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pivotCache/pivotCacheDefinition23.xml" ContentType="application/vnd.openxmlformats-officedocument.spreadsheetml.pivotCacheDefinition+xml"/>
  <Override PartName="/xl/pivotCache/pivotCacheRecords23.xml" ContentType="application/vnd.openxmlformats-officedocument.spreadsheetml.pivotCacheRecords+xml"/>
  <Override PartName="/xl/pivotCache/pivotCacheDefinition24.xml" ContentType="application/vnd.openxmlformats-officedocument.spreadsheetml.pivotCacheDefinition+xml"/>
  <Override PartName="/xl/pivotCache/pivotCacheRecords24.xml" ContentType="application/vnd.openxmlformats-officedocument.spreadsheetml.pivotCacheRecords+xml"/>
  <Override PartName="/xl/pivotCache/pivotCacheDefinition25.xml" ContentType="application/vnd.openxmlformats-officedocument.spreadsheetml.pivotCacheDefinition+xml"/>
  <Override PartName="/xl/pivotCache/pivotCacheRecords25.xml" ContentType="application/vnd.openxmlformats-officedocument.spreadsheetml.pivotCacheRecords+xml"/>
  <Override PartName="/xl/pivotCache/pivotCacheDefinition26.xml" ContentType="application/vnd.openxmlformats-officedocument.spreadsheetml.pivotCacheDefinition+xml"/>
  <Override PartName="/xl/pivotCache/pivotCacheRecords26.xml" ContentType="application/vnd.openxmlformats-officedocument.spreadsheetml.pivotCacheRecords+xml"/>
  <Override PartName="/xl/pivotCache/pivotCacheDefinition27.xml" ContentType="application/vnd.openxmlformats-officedocument.spreadsheetml.pivotCacheDefinition+xml"/>
  <Override PartName="/xl/pivotCache/pivotCacheRecords27.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7.xml" ContentType="application/vnd.openxmlformats-officedocument.spreadsheetml.pivotTable+xml"/>
  <Override PartName="/xl/drawings/drawing1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9.xml" ContentType="application/vnd.openxmlformats-officedocument.spreadsheetml.pivotTable+xml"/>
  <Override PartName="/xl/drawings/drawing15.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20.xml" ContentType="application/vnd.openxmlformats-officedocument.spreadsheetml.pivotTable+xml"/>
  <Override PartName="/xl/drawings/drawing16.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7.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3.xml" ContentType="application/vnd.openxmlformats-officedocument.spreadsheetml.pivotTable+xml"/>
  <Override PartName="/xl/drawings/drawing1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24.xml" ContentType="application/vnd.openxmlformats-officedocument.spreadsheetml.pivotTable+xml"/>
  <Override PartName="/xl/drawings/drawing1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25.xml" ContentType="application/vnd.openxmlformats-officedocument.spreadsheetml.pivotTable+xml"/>
  <Override PartName="/xl/drawings/drawing2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26.xml" ContentType="application/vnd.openxmlformats-officedocument.spreadsheetml.pivotTable+xml"/>
  <Override PartName="/xl/drawings/drawing21.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2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20490" windowHeight="7620"/>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Annual" sheetId="10" r:id="rId10"/>
    <sheet name="Emissions - Annual" sheetId="11" r:id="rId11"/>
    <sheet name="HE STO - Time" sheetId="16" r:id="rId12"/>
    <sheet name="HY STO - Time" sheetId="18" r:id="rId13"/>
    <sheet name="EL TRAN - Time" sheetId="19" r:id="rId14"/>
    <sheet name="EL TRAN - GWh &amp; €" sheetId="34" r:id="rId15"/>
    <sheet name="El Trans Cap" sheetId="32" r:id="rId16"/>
    <sheet name="GEN INVEST" sheetId="30" r:id="rId17"/>
    <sheet name="EL GEN CAP" sheetId="28" r:id="rId18"/>
    <sheet name="HE GEN CAP" sheetId="29" r:id="rId19"/>
    <sheet name="STO CAP" sheetId="39" r:id="rId20"/>
    <sheet name="Economy" sheetId="33" r:id="rId21"/>
    <sheet name="EL DEM - Time" sheetId="21" r:id="rId22"/>
    <sheet name="EL DEM - Annual" sheetId="23" r:id="rId23"/>
    <sheet name="HE DEM - Time" sheetId="37" r:id="rId24"/>
    <sheet name="Fuelprice" sheetId="35" r:id="rId25"/>
    <sheet name="Tech Specs" sheetId="36" r:id="rId26"/>
    <sheet name="AO - HE TRANS" sheetId="38" r:id="rId27"/>
  </sheets>
  <definedNames>
    <definedName name="C_filter">Control!$G$11</definedName>
    <definedName name="CountryCB">Control!$F$15:$F$501</definedName>
    <definedName name="DE">Control!$B$23</definedName>
    <definedName name="ECON">Control!$B$27</definedName>
    <definedName name="IGK">Control!$B$21</definedName>
    <definedName name="O_Model">Control!$B$12</definedName>
    <definedName name="O_ModelBB4All">Control!$B$14</definedName>
    <definedName name="O_ModelBB4BY">Control!$B$13</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 name="VXH_T">Control!$B$32</definedName>
  </definedNames>
  <calcPr calcId="162913"/>
  <pivotCaches>
    <pivotCache cacheId="60" r:id="rId28"/>
    <pivotCache cacheId="63" r:id="rId29"/>
    <pivotCache cacheId="66" r:id="rId30"/>
    <pivotCache cacheId="70" r:id="rId31"/>
    <pivotCache cacheId="73" r:id="rId32"/>
    <pivotCache cacheId="76" r:id="rId33"/>
    <pivotCache cacheId="79" r:id="rId34"/>
    <pivotCache cacheId="82" r:id="rId35"/>
    <pivotCache cacheId="85" r:id="rId36"/>
    <pivotCache cacheId="88" r:id="rId37"/>
    <pivotCache cacheId="91" r:id="rId38"/>
    <pivotCache cacheId="94" r:id="rId39"/>
    <pivotCache cacheId="100" r:id="rId40"/>
    <pivotCache cacheId="103" r:id="rId41"/>
    <pivotCache cacheId="106" r:id="rId42"/>
    <pivotCache cacheId="109" r:id="rId43"/>
    <pivotCache cacheId="112" r:id="rId44"/>
    <pivotCache cacheId="115" r:id="rId45"/>
    <pivotCache cacheId="118" r:id="rId46"/>
    <pivotCache cacheId="121" r:id="rId47"/>
    <pivotCache cacheId="124" r:id="rId48"/>
    <pivotCache cacheId="127" r:id="rId49"/>
    <pivotCache cacheId="130" r:id="rId50"/>
    <pivotCache cacheId="133" r:id="rId51"/>
    <pivotCache cacheId="137" r:id="rId52"/>
    <pivotCache cacheId="142" r:id="rId53"/>
    <pivotCache cacheId="145" r:id="rId5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3" i="5" l="1"/>
  <c r="C64" i="5"/>
  <c r="C75" i="5"/>
  <c r="C65" i="5" l="1"/>
  <c r="C66" i="5"/>
  <c r="C67" i="5"/>
  <c r="C38" i="5"/>
  <c r="C5" i="5"/>
  <c r="E12" i="5"/>
  <c r="E30" i="5" l="1"/>
  <c r="C12" i="5" l="1"/>
  <c r="E45" i="5"/>
  <c r="E46" i="5"/>
  <c r="E50" i="5"/>
  <c r="E92" i="5"/>
  <c r="E96" i="5"/>
  <c r="E100" i="5"/>
  <c r="C110" i="5" l="1"/>
  <c r="C108" i="5"/>
  <c r="C109" i="5"/>
  <c r="C107" i="5"/>
  <c r="C122" i="5"/>
  <c r="C126" i="5" l="1"/>
  <c r="F2" i="12" l="1"/>
  <c r="F1" i="12"/>
  <c r="C127" i="5"/>
  <c r="C125" i="5"/>
  <c r="C124" i="5"/>
  <c r="C123" i="5"/>
  <c r="C121" i="5"/>
  <c r="C120" i="5"/>
  <c r="C119" i="5"/>
  <c r="C118" i="5"/>
  <c r="C117" i="5"/>
  <c r="C116" i="5"/>
  <c r="C115" i="5"/>
  <c r="C114" i="5"/>
  <c r="C113" i="5"/>
  <c r="C112" i="5"/>
  <c r="C111" i="5"/>
  <c r="C106" i="5"/>
  <c r="C105" i="5"/>
  <c r="C104" i="5"/>
  <c r="C103" i="5"/>
  <c r="C102" i="5"/>
  <c r="C101" i="5"/>
  <c r="C99" i="5"/>
  <c r="C98" i="5"/>
  <c r="C97" i="5"/>
  <c r="C95" i="5"/>
  <c r="C94" i="5"/>
  <c r="C93" i="5"/>
  <c r="C91" i="5"/>
  <c r="C90" i="5"/>
  <c r="C89" i="5"/>
  <c r="C88" i="5"/>
  <c r="C87" i="5"/>
  <c r="C86" i="5"/>
  <c r="C85" i="5"/>
  <c r="C84" i="5"/>
  <c r="C83" i="5"/>
  <c r="C82" i="5"/>
  <c r="C81" i="5"/>
  <c r="C80" i="5"/>
  <c r="C79" i="5"/>
  <c r="C78" i="5"/>
  <c r="C77" i="5"/>
  <c r="C76" i="5"/>
  <c r="C74" i="5"/>
  <c r="C73" i="5"/>
  <c r="C72" i="5"/>
  <c r="C71" i="5"/>
  <c r="C70" i="5"/>
  <c r="C69" i="5"/>
  <c r="C68" i="5"/>
  <c r="C62" i="5"/>
  <c r="C61" i="5"/>
  <c r="C60" i="5"/>
  <c r="C59" i="5"/>
  <c r="C58" i="5"/>
  <c r="C57" i="5"/>
  <c r="C56" i="5"/>
  <c r="C55" i="5"/>
  <c r="C53" i="5"/>
  <c r="C52" i="5"/>
  <c r="C51" i="5"/>
  <c r="C49" i="5"/>
  <c r="C48" i="5"/>
  <c r="C47" i="5"/>
  <c r="C46" i="5"/>
  <c r="C44" i="5"/>
  <c r="C43" i="5"/>
  <c r="C42" i="5"/>
  <c r="C41" i="5"/>
  <c r="C40" i="5"/>
  <c r="C39" i="5"/>
  <c r="C37" i="5"/>
  <c r="C36" i="5"/>
  <c r="C35" i="5"/>
  <c r="C34" i="5"/>
  <c r="C33" i="5"/>
  <c r="C32" i="5"/>
  <c r="C30" i="5"/>
  <c r="C29" i="5"/>
  <c r="C28" i="5"/>
  <c r="C27" i="5"/>
  <c r="C26" i="5"/>
  <c r="C25" i="5"/>
  <c r="C23" i="5"/>
  <c r="C22" i="5"/>
  <c r="C21" i="5"/>
  <c r="C19" i="5"/>
  <c r="C18" i="5"/>
  <c r="C17" i="5"/>
  <c r="C16" i="5"/>
  <c r="C15" i="5"/>
  <c r="C14" i="5"/>
  <c r="C13" i="5"/>
  <c r="C11" i="5"/>
  <c r="C10" i="5"/>
  <c r="C9" i="5"/>
  <c r="C8" i="5"/>
  <c r="C7" i="5"/>
  <c r="C6" i="5"/>
  <c r="C4" i="5"/>
  <c r="C3" i="5"/>
  <c r="C2" i="5"/>
  <c r="C1" i="5"/>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E49" i="13"/>
  <c r="C49" i="13"/>
  <c r="C48" i="13"/>
  <c r="C47" i="13"/>
  <c r="C46" i="13"/>
  <c r="C45" i="13"/>
  <c r="C44" i="13"/>
  <c r="C43" i="13"/>
  <c r="E42" i="13"/>
  <c r="C42" i="13"/>
  <c r="C41" i="13"/>
  <c r="C40" i="13"/>
  <c r="C39" i="13"/>
  <c r="C38" i="13"/>
  <c r="C37" i="13"/>
  <c r="C36" i="13"/>
  <c r="E35" i="13"/>
  <c r="C35" i="13"/>
  <c r="C34" i="13"/>
  <c r="C33" i="13"/>
  <c r="C32" i="13"/>
  <c r="C31" i="13"/>
  <c r="C30" i="13"/>
  <c r="C29" i="13"/>
  <c r="C28" i="13"/>
  <c r="C27" i="13"/>
  <c r="C26" i="13"/>
  <c r="E25" i="13"/>
  <c r="C25" i="13"/>
  <c r="C24" i="13"/>
  <c r="C23" i="13"/>
  <c r="C22" i="13"/>
  <c r="C21" i="13"/>
  <c r="C20" i="13"/>
  <c r="C19" i="13"/>
  <c r="C18" i="13"/>
  <c r="C17" i="13"/>
  <c r="C16" i="13"/>
  <c r="C15" i="13"/>
  <c r="C14" i="13"/>
  <c r="C13" i="13"/>
  <c r="C12" i="13"/>
  <c r="C11" i="13"/>
  <c r="C10" i="13"/>
  <c r="E9" i="13"/>
  <c r="C9" i="13"/>
  <c r="C8" i="13"/>
  <c r="C7" i="13"/>
  <c r="C6" i="13"/>
  <c r="C5" i="13"/>
  <c r="C4" i="13"/>
  <c r="C3" i="13"/>
  <c r="C2" i="13"/>
  <c r="C1" i="13"/>
  <c r="B14" i="2"/>
  <c r="C92" i="5" s="1"/>
  <c r="C31" i="5" l="1"/>
  <c r="C24" i="5"/>
  <c r="C20" i="5"/>
  <c r="C96" i="5"/>
  <c r="C100" i="5"/>
  <c r="C50" i="5"/>
  <c r="C45" i="5"/>
  <c r="C54" i="5"/>
</calcChain>
</file>

<file path=xl/connections.xml><?xml version="1.0" encoding="utf-8"?>
<connections xmlns="http://schemas.openxmlformats.org/spreadsheetml/2006/main">
  <connection id="1" odcFile="C:\Doc\BASE-Results_VXH_T.db" name="Countries" type="1" refreshedVersion="6">
    <dbPr connection="Driver={SQLite3 ODBC Driver};Database=C:\Doc\BASE-Results_VXH_T.db;StepAPI=0;SyncPragma=NORMAL;NoTXN=0;Timeout=1000;ShortNames=;LongNames=0;NoCreat=;NoWCHAR=;FKSupport=;JournalMode=;OEMCP=;LoadExt=;BigInt=;JDConv=;" command="SELECT * FROM &quot;main&quot;.&quot;C&quot;"/>
  </connection>
  <connection id="2" odcFile="C:\Doc\BASE-Results_VXH_T.db" name="main Cap_Invest_MW" type="1" refreshedVersion="6">
    <dbPr connection="Driver={SQLite3 ODBC Driver};Database=C:\Doc\BASE-Results_VXH_T.db;StepAPI=0;SyncPragma=NORMAL;NoTXN=0;Timeout=1000;ShortNames=;LongNames=0;NoCreat=;NoWCHAR=;FKSupport=;JournalMode=;OEMCP=;LoadExt=;BigInt=;JDConv=;" command="SELECT * FROM &quot;main&quot;.&quot;Cap_Invest_MW&quot;"/>
  </connection>
  <connection id="3" odcFile="C:\Doc\BASE-Results_VXH_T.db" name="main Economy" type="1" refreshedVersion="6">
    <dbPr connection="Driver={SQLite3 ODBC Driver};Database=C:\Doc\BASE-Results_VXH_T.db;StepAPI=0;SyncPragma=NORMAL;NoTXN=0;Timeout=1000;ShortNames=;LongNames=0;NoCreat=;NoWCHAR=;FKSupport=;JournalMode=;OEMCP=;LoadExt=;BigInt=;JDConv=;" command="SELECT * FROM &quot;main&quot;.&quot;Economy&quot;"/>
  </connection>
  <connection id="4" odcFile="C:\Doc\BASE-Results_VXH_T.db" name="main Economy5" type="1" refreshedVersion="6">
    <dbPr connection="Driver={SQLite3 ODBC Driver};Database=C:\Doc\BASE-Results_VXH_T.db;StepAPI=0;SyncPragma=NORMAL;NoTXN=0;Timeout=1000;ShortNames=;LongNames=0;NoCreat=;NoWCHAR=;FKSupport=;JournalMode=;OEMCP=;LoadExt=;BigInt=;JDConv=;" command="SELECT * FROM &quot;main&quot;.&quot;Economy&quot;"/>
  </connection>
  <connection id="5" odcFile="C:\Doc\BASE-Results_VXH_T.db" name="main El Transmission between Countries" type="1" refreshedVersion="6">
    <dbPr connection="Driver={SQLite3 ODBC Driver};Database=C:\Doc\BASE-Results_VXH_T.db;StepAPI=0;SyncPragma=NORMAL;NoTXN=0;Timeout=1000;ShortNames=;LongNames=0;NoCreat=;NoWCHAR=;FKSupport=;JournalMode=;OEMCP=;LoadExt=;BigInt=;JDConv=;" command="SELECT * FROM &quot;main&quot;.&quot;El Transmission between Countries&quot;"/>
  </connection>
  <connection id="6" odcFile="C:\Doc\BASE-Results_VXH_T.db" name="main El Transmission between regions net - Term" type="1" refreshedVersion="6">
    <dbPr connection="Driver={SQLite3 ODBC Driver};Database=C:\Doc\BASE-Results_VXH_T.db;StepAPI=0;SyncPragma=NORMAL;NoTXN=0;Timeout=1000;ShortNames=;LongNames=0;NoCreat=;NoWCHAR=;FKSupport=;JournalMode=;OEMCP=;LoadExt=;BigInt=;JDConv=;" command="SELECT * FROM &quot;main&quot;.&quot;El Transmission between regions net - Term&quot;"/>
  </connection>
  <connection id="7" odcFile="C:\Doc\BASE-Results_VXH_T.db" name="main Electricity Demand - Annual" type="1" refreshedVersion="6">
    <dbPr connection="Driver={SQLite3 ODBC Driver};Database=C:\Doc\BASE-Results_VXH_T.db;StepAPI=0;SyncPragma=NORMAL;NoTXN=0;Timeout=1000;ShortNames=;LongNames=0;NoCreat=;NoWCHAR=;FKSupport=;JournalMode=;OEMCP=;LoadExt=;BigInt=;JDConv=;" command="SELECT * FROM &quot;main&quot;.&quot;Electricity Demand - Annual&quot;"/>
  </connection>
  <connection id="8" odcFile="C:\Doc\BASE-Results_VXH_T.db" name="main Electricity Demand - Term" type="1" refreshedVersion="6">
    <dbPr connection="Driver={SQLite3 ODBC Driver};Database=C:\Doc\BASE-Results_VXH_T.db;StepAPI=0;SyncPragma=NORMAL;NoTXN=0;Timeout=1000;ShortNames=;LongNames=0;NoCreat=;NoWCHAR=;FKSupport=;JournalMode=;OEMCP=;LoadExt=;BigInt=;JDConv=;" command="SELECT * FROM &quot;main&quot;.&quot;Electricity Demand - Term&quot;"/>
  </connection>
  <connection id="9" odcFile="C:\Doc\BASE-Results_VXH_T.db" name="main Electricity generation - Annual1" type="1" refreshedVersion="6">
    <dbPr connection="Driver={SQLite3 ODBC Driver};Database=C:\Doc\BASE-Results_VXH_T.db;StepAPI=0;SyncPragma=NORMAL;NoTXN=0;Timeout=1000;ShortNames=;LongNames=0;NoCreat=;NoWCHAR=;FKSupport=;JournalMode=;OEMCP=;LoadExt=;BigInt=;JDConv=;" command="SELECT * FROM &quot;main&quot;.&quot;Electricity generation - Annual&quot;"/>
  </connection>
  <connection id="10" odcFile="C:\Doc\BASE-Results_VXH_T.db" name="main Electricity generation - Term" type="1" refreshedVersion="6">
    <dbPr connection="Driver={SQLite3 ODBC Driver};Database=C:\Doc\BASE-Results_VXH_T.db;StepAPI=0;SyncPragma=NORMAL;NoTXN=0;Timeout=1000;ShortNames=;LongNames=0;NoCreat=;NoWCHAR=;FKSupport=;JournalMode=;OEMCP=;LoadExt=;BigInt=;JDConv=;" command="SELECT * FROM &quot;main&quot;.&quot;Electricity generation - Term&quot;"/>
  </connection>
  <connection id="11" odcFile="C:\Doc\BASE-Results_VXH_T.db" name="main Electricity generation capacity Total" type="1" refreshedVersion="6">
    <dbPr connection="Driver={SQLite3 ODBC Driver};Database=C:\Doc\BASE-Results_VXH_T.db;StepAPI=0;SyncPragma=NORMAL;NoTXN=0;Timeout=1000;ShortNames=;LongNames=0;NoCreat=;NoWCHAR=;FKSupport=;JournalMode=;OEMCP=;LoadExt=;BigInt=;JDConv=;" command="SELECT * FROM &quot;main&quot;.&quot;Electricity generation capacity Total&quot;"/>
  </connection>
  <connection id="12" odcFile="C:\Doc\BASE-Results_VXH_T.db" name="main Electricity_price" type="1" refreshedVersion="6">
    <dbPr connection="Driver={SQLite3 ODBC Driver};Database=C:\Doc\BASE-Results_VXH_T.db;StepAPI=0;SyncPragma=NORMAL;NoTXN=0;Timeout=1000;ShortNames=;LongNames=0;NoCreat=;NoWCHAR=;FKSupport=;JournalMode=;OEMCP=;LoadExt=;BigInt=;JDConv=;" command="SELECT * FROM &quot;main&quot;.&quot;Electricity_price&quot;"/>
  </connection>
  <connection id="13" odcFile="C:\Doc\BASE-Results_VXH_T.db" name="main Emissions - Annual" type="1" refreshedVersion="6">
    <dbPr connection="Driver={SQLite3 ODBC Driver};Database=C:\Doc\BASE-Results_VXH_T.db;StepAPI=0;SyncPragma=NORMAL;NoTXN=0;Timeout=1000;ShortNames=;LongNames=0;NoCreat=;NoWCHAR=;FKSupport=;JournalMode=;OEMCP=;LoadExt=;BigInt=;JDConv=;" command="SELECT * FROM &quot;main&quot;.&quot;Emissions - Annual&quot;"/>
  </connection>
  <connection id="14" odcFile="C:\Doc\BASE-Results_VXH_T.db" name="main Fuel price2" type="1" refreshedVersion="6">
    <dbPr connection="Driver={SQLite3 ODBC Driver};Database=C:\Doc\BASE-Results_VXH_T.db;StepAPI=0;SyncPragma=NORMAL;NoTXN=0;Timeout=1000;ShortNames=;LongNames=0;NoCreat=;NoWCHAR=;FKSupport=;JournalMode=;OEMCP=;LoadExt=;BigInt=;JDConv=;" command="SELECT * FROM &quot;main&quot;.&quot;Fuel price&quot;"/>
  </connection>
  <connection id="15" odcFile="C:\Doc\BASE-Results_VXH_T.db" name="main Fuel_Consumption" type="1" refreshedVersion="6">
    <dbPr connection="Driver={SQLite3 ODBC Driver};Database=C:\Doc\BASE-Results_VXH_T.db;StepAPI=0;SyncPragma=NORMAL;NoTXN=0;Timeout=1000;ShortNames=;LongNames=0;NoCreat=;NoWCHAR=;FKSupport=;JournalMode=;OEMCP=;LoadExt=;BigInt=;JDConv=;" command="SELECT * FROM &quot;main&quot;.&quot;Fuel_Consumption&quot;"/>
  </connection>
  <connection id="16" odcFile="C:\Doc\BASE-Results_VXH_T.db" name="main Heat Demand - Term" type="1" refreshedVersion="6">
    <dbPr connection="Driver={SQLite3 ODBC Driver};Database=C:\Doc\BASE-Results_VXH_T.db;StepAPI=0;SyncPragma=NORMAL;NoTXN=0;Timeout=1000;ShortNames=;LongNames=0;NoCreat=;NoWCHAR=;FKSupport=;JournalMode=;OEMCP=;LoadExt=;BigInt=;JDConv=;" command="SELECT * FROM &quot;main&quot;.&quot;Heat Demand - Term&quot;"/>
  </connection>
  <connection id="17" odcFile="C:\Doc\BASE-Results_VXH_T.db" name="main Heat Generation - Annual" type="1" refreshedVersion="6">
    <dbPr connection="Driver={SQLite3 ODBC Driver};Database=C:\Doc\BASE-Results_VXH_T.db;StepAPI=0;SyncPragma=NORMAL;NoTXN=0;Timeout=1000;ShortNames=;LongNames=0;NoCreat=;NoWCHAR=;FKSupport=;JournalMode=;OEMCP=;LoadExt=;BigInt=;JDConv=;" command="SELECT * FROM &quot;main&quot;.&quot;Heat Generation - Annual&quot;"/>
  </connection>
  <connection id="18" odcFile="C:\Doc\BASE-Results_VXH_T.db" name="main Heat Generation - Term" type="1" refreshedVersion="6">
    <dbPr connection="Driver={SQLite3 ODBC Driver};Database=C:\Doc\BASE-Results_VXH_T.db;StepAPI=0;SyncPragma=NORMAL;NoTXN=0;Timeout=1000;ShortNames=;LongNames=0;NoCreat=;NoWCHAR=;FKSupport=;JournalMode=;OEMCP=;LoadExt=;BigInt=;JDConv=;" command="SELECT * FROM &quot;main&quot;.&quot;Heat Generation - Term&quot;"/>
  </connection>
  <connection id="19" odcFile="C:\Doc\BASE-Results_VXH_T.db" name="main Heat generation capacity Total" type="1" refreshedVersion="6">
    <dbPr connection="Driver={SQLite3 ODBC Driver};Database=C:\Doc\BASE-Results_VXH_T.db;StepAPI=0;SyncPragma=NORMAL;NoTXN=0;Timeout=1000;ShortNames=;LongNames=0;NoCreat=;NoWCHAR=;FKSupport=;JournalMode=;OEMCP=;LoadExt=;BigInt=;JDConv=;" command="SELECT * FROM &quot;main&quot;.&quot;Heat generation capacity Total&quot;"/>
  </connection>
  <connection id="20" odcFile="C:\Doc\BASE-Results_VXH_T.db" name="main Heat price - Marginal" type="1" refreshedVersion="6">
    <dbPr connection="Driver={SQLite3 ODBC Driver};Database=C:\Doc\BASE-Results_VXH_T.db;StepAPI=0;SyncPragma=NORMAL;NoTXN=0;Timeout=1000;ShortNames=;LongNames=0;NoCreat=;NoWCHAR=;FKSupport=;JournalMode=;OEMCP=;LoadExt=;BigInt=;JDConv=;" command="SELECT * FROM &quot;main&quot;.&quot;Heat price - Marginal&quot;"/>
  </connection>
  <connection id="21" odcFile="C:\Doc\BASE-Results_VXH_T.db" name="main Heat Storage volume" type="1" refreshedVersion="6">
    <dbPr connection="Driver={SQLite3 ODBC Driver};Database=C:\Doc\BASE-Results_VXH_T.db;StepAPI=0;SyncPragma=NORMAL;NoTXN=0;Timeout=1000;ShortNames=;LongNames=0;NoCreat=;NoWCHAR=;FKSupport=;JournalMode=;OEMCP=;LoadExt=;BigInt=;JDConv=;" command="SELECT * FROM &quot;main&quot;.&quot;Heat Storage volume&quot;"/>
  </connection>
  <connection id="22" odcFile="C:\Doc\BASE-Results_VXH_T.db" name="main Heat Transfer - Time" type="1" refreshedVersion="6">
    <dbPr connection="Driver={SQLite3 ODBC Driver};Database=C:\Doc\BASE-Results_VXH_T.db;StepAPI=0;SyncPragma=NORMAL;NoTXN=0;Timeout=1000;ShortNames=;LongNames=0;NoCreat=;NoWCHAR=;FKSupport=;JournalMode=;OEMCP=;LoadExt=;BigInt=;JDConv=;" command="SELECT * FROM &quot;main&quot;.&quot;Heat Transfer - Time&quot;"/>
  </connection>
  <connection id="23" odcFile="C:\Doc\BASE-Results_VXH_T.db" name="main Storage capacity" type="1" refreshedVersion="6">
    <dbPr connection="Driver={SQLite3 ODBC Driver};Database=C:\Doc\BASE-Results_VXH_T.db;StepAPI=0;SyncPragma=NORMAL;NoTXN=0;Timeout=1000;ShortNames=;LongNames=0;NoCreat=;NoWCHAR=;FKSupport=;JournalMode=;OEMCP=;LoadExt=;BigInt=;JDConv=;" command="SELECT * FROM &quot;main&quot;.&quot;Storage capacity&quot;"/>
  </connection>
  <connection id="24" odcFile="C:\Doc\BASE-Results_VXH_T.db" name="main Technology characteristics" type="1" refreshedVersion="6">
    <dbPr connection="Driver={SQLite3 ODBC Driver};Database=C:\Doc\BASE-Results_VXH_T.db;StepAPI=0;SyncPragma=NORMAL;NoTXN=0;Timeout=1000;ShortNames=;LongNames=0;NoCreat=;NoWCHAR=;FKSupport=;JournalMode=;OEMCP=;LoadExt=;BigInt=;JDConv=;" command="SELECT * FROM &quot;main&quot;.&quot;Technology characteristics&quot;"/>
  </connection>
  <connection id="25" odcFile="C:\Doc\BASE-Results_VXH_T.db" name="main Transmission Capacity1" type="1" refreshedVersion="6">
    <dbPr connection="Driver={SQLite3 ODBC Driver};Database=C:\Doc\BASE-Results_VXH_T.db;StepAPI=0;SyncPragma=NORMAL;NoTXN=0;Timeout=1000;ShortNames=;LongNames=0;NoCreat=;NoWCHAR=;FKSupport=;JournalMode=;OEMCP=;LoadExt=;BigInt=;JDConv=;" command="SELECT * FROM &quot;main&quot;.&quot;Transmission Capacity&quot;"/>
  </connection>
  <connection id="26" odcFile="C:\Doc\BASE-Results_VXH_T.db" name="main Transmission Investments" type="1" refreshedVersion="6">
    <dbPr connection="Driver={SQLite3 ODBC Driver};Database=C:\Doc\BASE-Results_VXH_T.db;StepAPI=0;SyncPragma=NORMAL;NoTXN=0;Timeout=1000;ShortNames=;LongNames=0;NoCreat=;NoWCHAR=;FKSupport=;JournalMode=;OEMCP=;LoadExt=;BigInt=;JDConv=;" command="SELECT * FROM &quot;main&quot;.&quot;Transmission Investments&quot;"/>
  </connection>
  <connection id="27" odcFile="C:\Doc\BASE-Results_VXH_T.db" name="main Weekly Hydro Storage Volume" type="1" refreshedVersion="6">
    <dbPr connection="Driver={SQLite3 ODBC Driver};Database=C:\Doc\BASE-Results_VXH_T.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<sst xmlns="http://schemas.openxmlformats.org/spreadsheetml/2006/main" count="2768" uniqueCount="879">
  <si>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</si>
  <si>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</si>
  <si>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</si>
  <si>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</si>
  <si>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</si>
  <si>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</si>
  <si>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</si>
  <si>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</si>
  <si>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</si>
  <si>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</si>
  <si>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</si>
  <si>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</si>
  <si>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</si>
  <si>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</si>
  <si>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</si>
  <si>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</si>
  <si>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</si>
  <si>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</si>
  <si>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</si>
  <si>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</si>
  <si>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</si>
  <si>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Electricity_Price</t>
  </si>
  <si>
    <t>DROP TABLE if exists `El_Gen`;</t>
  </si>
  <si>
    <t>DROP TABLE if exists `Electricity generation - Annual`;</t>
  </si>
  <si>
    <t>DROP TABLE if exists `Electricity_price`;</t>
  </si>
  <si>
    <t>DROP TABLE if exists `Electricity generation - Term`;</t>
  </si>
  <si>
    <t>Heat_Gen</t>
  </si>
  <si>
    <t>DROP TABLE if exists `Heat_Gen`;</t>
  </si>
  <si>
    <t>Heat Generation - Term</t>
  </si>
  <si>
    <t>Heat Generation - Annual</t>
  </si>
  <si>
    <t>DROP TABLE if exists `Heat Generation - Term`;</t>
  </si>
  <si>
    <t>Electricity generation - Term</t>
  </si>
  <si>
    <t>DROP TABLE if exists `Heat Generation - Annual`;</t>
  </si>
  <si>
    <t>Column Labels</t>
  </si>
  <si>
    <t>Row Labels</t>
  </si>
  <si>
    <t>Fuel_Con</t>
  </si>
  <si>
    <t>DROP TABLE if exists `Fuel_Con`;</t>
  </si>
  <si>
    <t>Fuel Consumption - Term</t>
  </si>
  <si>
    <t>Fuel Consumption - Annual</t>
  </si>
  <si>
    <t>DROP TABLE if exists `Fuel Consumption - Term`;</t>
  </si>
  <si>
    <t>DROP TABLE if exists `Fuel Consumption - Annual`;</t>
  </si>
  <si>
    <t>DROP TABLE if exists `Emissions - Term`;</t>
  </si>
  <si>
    <t>Emissions - Term</t>
  </si>
  <si>
    <t>Emissions - Annual</t>
  </si>
  <si>
    <t>DROP TABLE if exists `Emissions - Annual`;</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</si>
  <si>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</si>
  <si>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</si>
  <si>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</si>
  <si>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</si>
  <si>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</si>
  <si>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</si>
  <si>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</si>
  <si>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</si>
  <si>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</si>
  <si>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</si>
  <si>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</si>
  <si>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</si>
  <si>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</si>
  <si>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</si>
  <si>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</si>
  <si>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</si>
  <si>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</si>
  <si>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</si>
  <si>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</si>
  <si>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</si>
  <si>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</si>
  <si>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</si>
  <si>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</si>
  <si>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</si>
  <si>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</si>
  <si>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</si>
  <si>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</si>
  <si>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</si>
  <si>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</si>
  <si>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</si>
  <si>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</si>
  <si>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</si>
  <si>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</si>
  <si>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</si>
  <si>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</si>
  <si>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</si>
  <si>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</si>
  <si>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</si>
  <si>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</si>
  <si>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</si>
  <si>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</si>
  <si>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</si>
  <si>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</si>
  <si>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</si>
  <si>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</si>
  <si>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</si>
  <si>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</si>
  <si>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</si>
  <si>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</si>
  <si>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</si>
  <si>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Heat generation</t>
  </si>
  <si>
    <t>Electricity price</t>
  </si>
  <si>
    <t>Marginal heat value</t>
  </si>
  <si>
    <t>Endogenous &amp; Exogenous generation capacity</t>
  </si>
  <si>
    <t>Fuel consumption &amp; Emissons</t>
  </si>
  <si>
    <t>Electricity &amp; Heat demand</t>
  </si>
  <si>
    <t>Storages</t>
  </si>
  <si>
    <t>Transmission</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</si>
  <si>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</si>
  <si>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Sum of GW</t>
  </si>
  <si>
    <t>Source</t>
  </si>
  <si>
    <t>Sum of GWh</t>
  </si>
  <si>
    <t>Destination</t>
  </si>
  <si>
    <t>CREATE TABLE `Heat price - Marginal`(`Case` TEXT, Year TEXT,  Country TEXT,Region TEXT, Area TEXT, Season TEXT, Term TEXT, `OMONEY/GJ` REAL,`OMONEY/MWh` REAL);</t>
  </si>
  <si>
    <t>Sum of OMONEY/MWh</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</si>
  <si>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</si>
  <si>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</si>
  <si>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EV</t>
  </si>
  <si>
    <t>DROP TABLE if exists `Electricity transmission`;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</si>
  <si>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</si>
  <si>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</si>
  <si>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</si>
  <si>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Investments</t>
  </si>
  <si>
    <t>Case</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</si>
  <si>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</si>
  <si>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</si>
  <si>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</si>
  <si>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</si>
  <si>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</si>
  <si>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</si>
  <si>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</si>
  <si>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</si>
  <si>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</si>
  <si>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</si>
  <si>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</si>
  <si>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</si>
  <si>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</si>
  <si>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</si>
  <si>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</si>
  <si>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</si>
  <si>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</si>
  <si>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</si>
  <si>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</si>
  <si>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</si>
  <si>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WIND</t>
  </si>
  <si>
    <t>NATGAS</t>
  </si>
  <si>
    <t>MUNIWASTE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</si>
  <si>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</si>
  <si>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</si>
  <si>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</si>
  <si>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</si>
  <si>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</si>
  <si>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</si>
  <si>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</si>
  <si>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</si>
  <si>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</si>
  <si>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</si>
  <si>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</si>
  <si>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HEAT</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</si>
  <si>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</si>
  <si>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</si>
  <si>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</si>
  <si>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</si>
  <si>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</si>
  <si>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</si>
  <si>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</si>
  <si>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</si>
  <si>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</si>
  <si>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</si>
  <si>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</si>
  <si>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</si>
  <si>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</si>
  <si>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</si>
  <si>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Electricity generation capacity Total</t>
  </si>
  <si>
    <t>DROP TABLE if exists `Electricity generation capacity Total`;</t>
  </si>
  <si>
    <t>Capacity Type</t>
  </si>
  <si>
    <t>CREATE TABLE `Weekly Hydro Storage Volume`(`Case` TEXT, `BaseYear`TEXT, `ModelYear` TEXT,`Country` TEXT, `Region` TEXT, `Area` TEXT,`Week` TEXT, `MWh` REAL);</t>
  </si>
  <si>
    <t>CREATE TABLE `El Transmission between regions net - Term`(`Case` TEXT, BaseYear TEXT,ModelYear TEXT, Source TEXT, Destination TEXT, Season TEXT, Term TEXT, GW REAL);</t>
  </si>
  <si>
    <t>Heat generation capacity Total</t>
  </si>
  <si>
    <t>DROP TABLE if exists `Heat generation capacity Total`;</t>
  </si>
  <si>
    <t>Transmission capacity</t>
  </si>
  <si>
    <t>DROP TABLE if exists `Transmission capacity`;</t>
  </si>
  <si>
    <t>CREATE TABLE `Electricity generation capacity Total`(`Case` TEXT,`Year` TEXT,`Country` TEXT, `Region` TEXT, `Area` TEXT, `Fuel` TEXT,`Technology Type` TEXT,`Capacity Type` TEXT, `Technology` TEXT, `MW` REAL, `GW` REAL);</t>
  </si>
  <si>
    <t>INSERT INTO `Electricity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</si>
  <si>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CREATE TABLE `Heat generation capacity Total`(`Case` TEXT,`Year` TEXT,`Country` TEXT, `Region` TEXT, `Area` TEXT, `Fuel` TEXT,`Technology Type` TEXT,`Capacity Type` TEXT, `Technology` TEXT, `MW` REAL, `GW` REAL);</t>
  </si>
  <si>
    <t>INSERT INTO `Heat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</si>
  <si>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CREATE TABLE `Transmission capacity`(`Case` TEXT, Year TEXT, `Export Region` TEXT,  `Import Region` TEXT, `Capacity Type` TEXT,MW REAL);</t>
  </si>
  <si>
    <t>INSERT INTO `Transmission capacity`(`Case`, Year, `Export Region` , `Import Region`, `Capacity Type`,MW )  SELECT VXKN.VXKN AS [Case],VXKN.VXKN2 as Year , VXKN.VXKN3 AS `Export Region`, VXKN.VXKN4 as `Import Region` ,'Endogenous',VXKN.level as MW FROM VXKN UNION SELECT XKINI.XKINI AS [Case],XKINI.XKINI3 as Year, XKINI.XKINI4 AS `Export Region`, XKINI.XKINI5 as `Import Region` ,'Exogenous',XKINI.value as MW FROM XKINI;</t>
  </si>
  <si>
    <t>Transmission Investments</t>
  </si>
  <si>
    <t>DROP TABLE if exists `Transmission Investments`;</t>
  </si>
  <si>
    <t>Transmission Capacity</t>
  </si>
  <si>
    <t>DROP TABLE if exists `Transmission Capacity`;</t>
  </si>
  <si>
    <t>Import Region</t>
  </si>
  <si>
    <t>Export Region</t>
  </si>
  <si>
    <t>Cap_Invest_MW</t>
  </si>
  <si>
    <t>DROP TABLE if exists `Cap_Invest_MW`;</t>
  </si>
  <si>
    <t>DROP TABLE IF EXISTS `Infeasibilities`;</t>
  </si>
  <si>
    <t>CREATE TABLE `Infeasibilities` (`Case` TEXT, `BaseYear` TEXT, `ModelYear` TEXT,`Location` TEXT, `Type` TEXT, `Season` TEXT, `Term` TEXT,`Direction` TEXT, `Level` REAL);</t>
  </si>
  <si>
    <t>UserGroup</t>
  </si>
  <si>
    <t>RESE</t>
  </si>
  <si>
    <t>INSERT INTO `Infeasibilities` SELECT VQEEQ, VQEEQ2, VQEEQ3, VQEEQ4, 'Electricity balance', VQEEQ5, VQEEQ6, VQEEQ7, level FROM VQEEQ WHERE level &gt;0UNION SELECT VQHEQ, VQHEQ2, VQHEQ3, VQHEQ4, 'Heat balance', VQHEQ5,  VQHEQ6, VQHEQ7, level FROM VQHEQ WHERE  level &gt;0UNION SELECT VQESTOVOLT, VQESTOVOLT2, VQESTOVOLT3, VQESTOVOLT4, 'Intra Season El Sto', VQESTOVOLT5, VQESTOVOLT6, VQESTOVOLT7,  level FROM VQESTOVOLT WHERE  level &gt;0UNION SELECT VQESTOVOLTS, VQESTOVOLTS2, VQESTOVOLTS3, VQESTOVOLTS4, 'Inter Season El Sto', VQESTOVOLTS5, VQESTOVOLTS6, VQESTOVOLTS7,  level FROM VQESTOVOLTS WHERE  level &gt;0UNION SELECT VQHSTOVOLT, VQHSTOVOLT2, VQHSTOVOLT3, VQHSTOVOLT4, 'Intra Season HE Sto', VQHSTOVOLT5, VQHSTOVOLT6, VQHSTOVOLT7,  level FROM VQHSTOVOLT WHERE  level &gt;0UNION SELECT VQHSTOVOLTS, VQHSTOVOLTS2, VQHSTOVOLTS3, VQHSTOVOLTS4, 'Inter Season HE Sto', VQHSTOVOLTS5, VQHSTOVOLTS6, VQHSTOVOLTS7,  level FROM VQHSTOVOLTS WHERE  level &gt;0UNION SELECT VQHYRSSEQ, VQHYRSSEQ2, VQHYRSSEQ3, VQHYRSSEQ4, 'Hydropower reservoir', VQHYRSSEQ5, '-', VQHYRSSEQ6, level FROM VQHYRSSEQ WHERE level &gt;0      UNION SELECT VQHYMAXG, VQHYMAXG2, VQHYMAXG3, VQHYMAXG4, 'QHYMAXG', VQHYMAXG5, VQHYMAXG6, VQHYMAXG7, level FROM VQHYMAXG WHERE level&gt;0UNION SELECT VQGKNACCUMNET, VQGKNACCUMNET2, VQGKNACCUMNET3, VQGKNACCUMNET4 + ' ' + VQGKNACCUMNET5, 'VQGKNACCUMNET', '-' , '-', VQGKNACCUMNET6, level FROM VQGKNACCUMNET WHERE level&gt;0UNION SELECT VQGKNACCUMGROSS, VQGKNACCUMGROSS2, VQGKNACCUMGROSS3, VQGKNACCUMGROSS4 + ' ' + VQGKNACCUMGROSS5, 'VQGKNACCUMGROSS', '-', '-', VQGKNACCUMGROSS6, level FROM VQGKNACCUMGROSS WHERE level&gt;0UNION SELECT VQXKNACCUMNET, VQXKNACCUMNET2, VQXKNACCUMNET3, VQXKNACCUMNET4 + ' ' + VQXKNACCUMNET5, 'VQXKNACCUMNET', '-', '-', VQXKNACCUMNET6, level FROM VQXKNACCUMNET WHERE level&gt;0UNION SELECT VQXKNACCUMGROSS, VQXKNACCUMGROSS2, VQXKNACCUMGROSS3, VQXKNACCUMGROSS4 + ' ' + VQXKNACCUMGROSS5, 'VQXKNACCUMGROSS', '-', '-', VQXKNACCUMGROSS6, level FROM VQXKNACCUMGROSS WHERE level&gt;0UNION SELECT VQHYRSMINVOL, VQHYRSMINVOL2, VQHYRSMINVOL3, VQHYRSMINVOL4, 'QHYRSMINVOL', VQHYRSMINVOL5, '-', VQHYRSMINVOL6, level FROM VQHYRSMINVOL WHERE level &gt;0      UNION SELECT VQHYRSMAXVOL, VQHYRSMAXVOL2, VQHYRSMAXVOL3, VQHYRSMAXVOL4, 'QHYRSMAXVOL', VQHYRSMAXVOL5, '-', VQHYRSMAXVOL6, level FROM VQHYRSMAXVOL WHERE level &gt;0      UNION SELECT VQGKE_UP, VQGKE_UP2, VQGKE_UP3, VQGKE_UP4 + ' ' + VQGKE_UP5, 'EL Generation limited by capacity', VQGKE_UP6, VQGKE_UP7, VQGKE_UP8, level FROM VQGKE_UP WHERE level &gt;0      UNION SELECT VQGKH_UP, VQGKH_UP2, VQGKH_UP3, VQGKH_UP4 + ' ' + VQGKH_UP5, 'HE Generation limited by capacity', VQGKH_UP6, VQGKH_UP7, VQGKH_UP8, level FROM VQGKH_UP WHERE level &gt;0      UNION SELECT VQXK_UP, VQXK_UP2, VQXK_UP3, VQXK_UP4 + ' ' + VQXK_UP5, 'Transmission limited by capacity', VQXK_UP6, VQXK_UP7, VQXK_UP8, level FROM VQXK_UP WHERE level &gt;0     UNION SELECT VQKFUEL, VQKFUEL2, VQKFUEL3, VQKFUEL4 + ' ' + VQKFUEL5, 'Max Installed capacity', '-', '-', 'Failure', level FROM VQKFUEL WHERE level &gt;0      ;</t>
  </si>
  <si>
    <t>2050</t>
  </si>
  <si>
    <t>Sum of CO2 megatons</t>
  </si>
  <si>
    <t>WOODCHIPS</t>
  </si>
  <si>
    <t>DK1</t>
  </si>
  <si>
    <t>DK2</t>
  </si>
  <si>
    <t>EE</t>
  </si>
  <si>
    <t>FIN</t>
  </si>
  <si>
    <t>LT</t>
  </si>
  <si>
    <t>LV</t>
  </si>
  <si>
    <t>NL</t>
  </si>
  <si>
    <t>NO1</t>
  </si>
  <si>
    <t>NO2</t>
  </si>
  <si>
    <t>NO3</t>
  </si>
  <si>
    <t>NO4</t>
  </si>
  <si>
    <t>NO5</t>
  </si>
  <si>
    <t>PL</t>
  </si>
  <si>
    <t>SE1</t>
  </si>
  <si>
    <t>SE2</t>
  </si>
  <si>
    <t>SE3</t>
  </si>
  <si>
    <t>SE4</t>
  </si>
  <si>
    <t>UK</t>
  </si>
  <si>
    <t>Case1</t>
  </si>
  <si>
    <t>INVESTMENTS IN TRANSMISSION CAPACITY</t>
  </si>
  <si>
    <t>TOTAL TRANSMISSION CAPACITY</t>
  </si>
  <si>
    <t>DROP TABLE if exists `Fuel price`;</t>
  </si>
  <si>
    <t>CREATE TABLE `Fuel price`(`Case` TEXT, Year TEXT, Country TEXT, Region TEXT, Area TEXT, Fuel TEXT, `€/MWh` REAL, `€/GJ` REAL);</t>
  </si>
  <si>
    <t>INSERT INTO `Fuel price`(`Case`,Year,Country,Region,Area, Fuel,`€/MWh`, `€/GJ`)   SELECT FUELPRICE.FUELPRICE AS [Case], FUELPRICE.FUELPRICE3 AS [Year], ICA.ICA3 AS Country, RRRAAA.RRRAAA3 AS Region, FUELPRICE.FUELPRICE4 AS Area,FUELPRICE.FUELPRICE5 AS Fuel, [FUELPRICE].[value]*3.6 AS `€/MWh`, [FUELPRICE].[value] AS `€/GJ`  FROM ICA INNER JOIN (FUELPRICE INNER JOIN RRRAAA ON (FUELPRICE.FUELPRICE4 = RRRAAA.RRRAAA4) AND (FUELPRICE.FUELPRICE = RRRAAA.RRRAAA)) ON (FUELPRICE.FUELPRICE4 = ICA.ICA4) AND (FUELPRICE.FUELPRICE = ICA.ICA) GROUP BY FUELPRICE.FUELPRICE, FUELPRICE.FUELPRICE3, ICA.ICA3, RRRAAA.RRRAAA3, FUELPRICE.FUELPRICE4,FUELPRICE.FUELPRICE5;</t>
  </si>
  <si>
    <t>Fuel Price</t>
  </si>
  <si>
    <t>DROP TABLE if exists `Economy`;</t>
  </si>
  <si>
    <t>Economy</t>
  </si>
  <si>
    <t>Economic</t>
  </si>
  <si>
    <t>Category</t>
  </si>
  <si>
    <t>Sum of M€</t>
  </si>
  <si>
    <t>Congestion rent</t>
  </si>
  <si>
    <t>Annual transmission</t>
  </si>
  <si>
    <t>CREATE TABLE `El Transmission between Countries`(`Case` TEXT, BaseYear TEXT,ModelYear TEXT,Country_Export TEXT, Region_Export TEXT,Country_Import TEXT,Region_Import TEXT,GWh REAL,M€ REAL);</t>
  </si>
  <si>
    <t>Region_Import</t>
  </si>
  <si>
    <t>Region_Export</t>
  </si>
  <si>
    <t>Sum of Value</t>
  </si>
  <si>
    <t>POLAND</t>
  </si>
  <si>
    <t>BIOGAS</t>
  </si>
  <si>
    <t>CREATE TABLE `Transmission Investments`(`Case` TEXT,BaseYear TEXT,ModelYear TEXT,`Export Country` TEXT,`Import Country` TEXT,`Export Region` TEXT,`Import Region` TEXT,`Capacity Type` TEXT,MW REAL);</t>
  </si>
  <si>
    <t>INSERT INTO `Transmission Investments`(`Case`,BaseYear,ModelYear,`Export Country`,`Import Country`,`Export Region`,`Import Region`,MW) SELECT VXKN.VXKN,VXKN.VXKN2,VXKN.VXKN3,CR1.CCCRRR3,CR2.CCCRRR3,VXKN.VXKN4,VXKN.VXKN5,VXKN.level FROM CCCRRR AS CR2 INNER JOIN (VXKN INNER JOIN CCCRRR AS CR1 ON VXKN.VXKN=CR1.CCCRRR AND VXKN.VXKN4=CR1.CCCRRR4) ON VXKN.VXKN=CR2.CCCRRR AND VXKN.VXKN5=CR2.CCCRRR4 WHERE VXKN.level&gt;0;</t>
  </si>
  <si>
    <t>BB4 Model / BaseYear data</t>
  </si>
  <si>
    <t xml:space="preserve">BB4 Model / ALL DATA </t>
  </si>
  <si>
    <t>Electricity generation</t>
  </si>
  <si>
    <t>CREATE TABLE `Electricity_price`(`Case`TEXT,`BaseYear` TEXT, `ModelYear` TEXT,`Country` TEXT,`Region` TEXT,`Season` TEXT,`Term` TEXT,`OMONEY/MWh` REAL);</t>
  </si>
  <si>
    <t>INSERT INTO `Electricity_price`(`Case`,`BaseYear`,`ModelYear`,`Country`,`Region`,`Season`,`Term`,`OMONEY/MWh`) SELECT QEEQ.QEEQ, QEEQ.QEEQ2,QEEQ.QEEQ3,CCCRRR.CCCRRR3,QEEQ.QEEQ4,QEEQ.QEEQ5,QEEQ.QEEQ6, Avg([QEEQ].[marginal]*[OMONEY].[value]/(IDISCOUNTFACTOR.value*[IHOURSINST].[value]*IWEIGHTY.VALUE))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</si>
  <si>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DELETE FROM Electricity_price WHERE NOT ((BaseYear=ModelYear AND BaseYear&lt;(SELECT MAX(BaseYear) FROM [Electricity_price])) OR (BaseYear=(SELECT MAX(BaseYear) FROM [Electricity_price]) )) ;</t>
  </si>
  <si>
    <t>CREATE TABLE `Heat price - Marginal`(`Case` TEXT,BaseYear TEXT,ModelYear TEXT,Country TEXT,Region TEXT,Area TEXT,Season TEXT,Term TEXT,`OMONEY/GJ` REAL,`OMONEY/MWh` REAL);</t>
  </si>
  <si>
    <t>INSERT INTO `Heat price - Marginal`(`Case`,BaseYear,ModelYear,Country,Region,Area,Season,Term,`OMONEY/GJ`,`OMONEY/MWh`) SELECT QHEQ.QHEQ, QHEQ.QHEQ2, QHEQ.QHEQ3,ICA.ICA3,RRRAAA.RRRAAA3,QHEQ.QHEQ4,QHEQ.QHEQ5,QHEQ.QHEQ6,(Avg([QHEQ].[marginal]*[OMONEY].[value]/(IWEIGHTY.VALUE*[IHOURSINST].[value]*IDISCOUNTFACTOR.VALUE)))/3.6, (Avg([QHEQ].[marginal]*[OMONEY].[value]/(IWEIGHTY.VALUE*[IHOURSINST].[value]*IDISCOUNTFACTOR.VALUE)))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</si>
  <si>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DELETE FROM [Heat price - Marginal] WHERE NOT ((BaseYear=ModelYear AND BaseYear&lt;(SELECT MAX(BaseYear) FROM [Heat price - Marginal])) OR (BaseYear=(SELECT MAX(BaseYear) FROM [Heat price - Marginal]) )) ;</t>
  </si>
  <si>
    <t>INSERT INTO `Weekly Hydro Storage Volume`(`Case`,BaseYear,ModelYear,Country, Region,Area,Week,MWh) SELECT VHYRS_S.VHYRS_S, VHYRS_S.VHYRS_S2,VHYRS_S.VHYRS_S3, ICA.ICA3,RRRAAA.RRRAAA3, VHYRS_S.VHYRS_S4, VHYRS_S.VHYRS_S5, VHYRS_S.level FROM (VHYRS_S INNER JOIN ICA ON VHYRS_S.VHYRS_S4 = ICA.ICA4) INNER JOIN RRRAAA ON VHYRS_S.VHYRS_S4 = RRRAAA.RRRAAA4;</t>
  </si>
  <si>
    <t>CREATE TABLE `Transmission Capacity`(`Case` TEXT,BaseYear TEXT,ModelYear TEXT, `Export Region` TEXT,`Import Region` TEXT, `Capacity Type` TEXT,MW REAL);</t>
  </si>
  <si>
    <t>INSERT INTO `El Transmission between regions net - Term`(`Case`,BaseYear,ModelYear,Source,Destination, Season, Term,GW) SELECT VX_T.VX_T, VX_T.VX_T2, VX_T.VX_T3, VX_T.VX_T4,VX_T.VX_T5, VX_T.VX_T6,VX_T.VX_T7, Sum(VX_T.level-VX_T_1.level)/1000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</si>
  <si>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Countries`(`Case`,BaseYear,ModelYear,Country_Export,Region_Export,Country_Import,Region_Import,GWh,M€)SELECT VX_T.VX_T, VX_T.VX_T2,VX_T.VX_T3,CCCRRR.CCCRRR3,VX_T.VX_T4, CCCRRR_1.CCCRRR3, VX_T.VX_T5, Sum(VX_T.level*IHOURSINST.value)/1000, Sum(VX_T.level*IHOURSINST.value*(EPR.[OMONEY/MWh] - EPR_1.[OMONEY/MWh]))/1000000 FROM Electricity_price AS EPR INNER JOIN (Electricity_price AS EPR_1 INNER JOIN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ON EPR_1.[Case]=VX_T.VX_T AND EPR_1.BaseYear=VX_T.VX_T2 AND EPR_1.ModelYear=VX_T.VX_T3 AND EPR_1.Region = VX_T.VX_T4 AND EPR_1.Season = VX_T.VX_T6 AND EPR_1.Term = VX_T.VX_T7) ON EPR.[Case]=VX_T.VX_T AND EPR.BaseYear=VX_T.VX_T2 AND EPR.ModelYear=VX_T.VX_T3 AND EPR.Region = VX_T.VX_T5 AND Epr.Season = VX_T.VX_T6 AND EPR.Term = VX_T.VX_T7 GROUP BY VX_T.VX_T,VX_T.VX_T2,VX_T.VX_T3,CCCRRR.CCCRRR3,VX_T.VX_T4,CCCRRR_1.CCCRRR3,VX_T.VX_T5;</t>
  </si>
  <si>
    <t>INSERT INTO `Economy`(`Case`,`BaseYear`,`ModelYear`,`Country`,`Region`,`Category`,`Value`) SELECT DE_T.[Case],EPR.BaseYear,EPR.ModelYear,DE_T.Country,DE_T.Region,'Consumer price €/MWh', sum(0.001*OMONEY.value*DE_T.MWh*EPR.[OMONEY/MWh]/DE.GWh) FROM OMONEY INNER JOIN ([Electricity Demand - Annual] AS DE INNER JOIN ([Electricity Demand - Term] AS DE_T INNER JOIN [Electricity_price] AS EPR ON DE_T.[Case] = EPR.[Case] AND DE_T.[Year] = EPR.[ModelYear] AND DE_T.[Region] = EPR.[Region] AND DE_T.[Season] = EPR.[Season] AND DE_T.[Term] = EPR.[Term]) ON DE.[Case] = EPR.[Case] AND DE.[Year] =EPR.[ModelYear] AND DE.[Region]=EPR.[Region]) ON OMONEY.OMONEY= DE.[Case] GROUP BY DE_T.[Case],EPR.BaseYear,EPR.ModelYear,DE_T.Country,DE_T.Region;</t>
  </si>
  <si>
    <t>INSERT INTO `Economy`(`Case`,`BaseYear`,`ModelYear`,`Country`,`Region`,`Category`,`Value`) SELECT DE_T.[Case],EPR.BaseYear,EPR.ModelYear,DE_T.Country,DE_T.Region,'Consumer costs M€', sum(0.000001*OMONEY.value*DE_T.MWh*EPR.[OMONEY/MWh]) FROM OMONEY INNER JOIN ([Electricity Demand - Term] AS DE_T INNER JOIN [Electricity_price] AS EPR ON DE_T.[Case]=EPR.[Case] AND DE_T.[Year]=EPR.[ModelYear] AND DE_T.[Region]=EPR.[Region] AND DE_T.[Season]=EPR.[Season] AND DE_T.[Term]=EPR.[Term]) ON OMONEY.OMONEY=DE_T.[Case] GROUP BY DE_T.[Case],EPR.BaseYear,EPR.ModelYear,DE_T.Country,DE_T.Region;</t>
  </si>
  <si>
    <t>INSERT INTO `Economy`(`Case`,`BaseYear`,`ModelYear`,`Country`,`Region`,`Area`,`Fuel`,`Technology`,`Category`,`Value`) SELECT IHOURSINST.IHOURSINST,ECAP.BaseYear,ECAP.ModelYear,ECAP.Country,ECAP.Region ,WND_VAR_T.WND_VAR_T3,ECAP.Fuel,ECAP.Technology, 'Curtailment GWh', 0.001*sum(ECAP.MW*IHOURSINST.value*WND_VAR_T.value*WNDFLH.value/IWND_SUMST.value)-1000*GE.TWh FROM [Electricity generation - Annual] AS GE INNER JOIN ([Electricity generation capacity Total] AS ECAP INNER JOIN (WNDFLH INNER JOIN (IWND_SUMST INNER JOIN (IHOURSINST LEFT JOIN WND_VAR_T ON IHOURSINST.IHOURSINST=WND_VAR_T.WND_VAR_T AND IHOURSINST.IHOURSINST3=WND_VAR_T.WND_VAR_T4 AND IHOURSINST.IHOURSINST4=WND_VAR_T.WND_VAR_T5) ON IWND_SUMST.IWND_SUMST=WND_VAR_T.WND_VAR_T AND WND_VAR_T.WND_VAR_T3=IWND_SUMST.IWND_SUMST3) ON WNDFLH.WNDFLH=WND_VAR_T.WND_VAR_T AND WND_VAR_T.WND_VAR_T3=WNDFLH.WNDFLH3) ON ECAP.[Case]=WNDFLH.WNDFLH AND ECAP.Area=WNDFLH.WNDFLH3 AND ECAP.Technology=WNDFLH.WNDFLH4) ON GE.[Case]=ECAP.[Case] AND GE.BaseYear=ECAP.BaseYear AND GE.ModelYear=ECAP.ModelYear AND GE.Area=ECAP.Area AND GE.Technology=ECAP.Technology GROUP BY IHOURSINST.IHOURSINST,ECAP.BaseYear,ECAP.ModelYear,ECAP.Country,ECAP.Region ,WND_VAR_T.WND_VAR_T3,ECAP.Fuel,ECAP.Technology;</t>
  </si>
  <si>
    <t>INSERT INTO `Economy`(`Case`,`BaseYear`,`ModelYear`,`Country`,`Region`,`Category`,`Value`) SELECT XIN.[Case],XIN.BaseYear,XIN.ModelYear,XIN.[Import Country],XIN.[Import Region],'Transmission investment cost M€',0.5*sum(OMONEY.value*XIN.MW*ANNUITYCX.value*XINVCOST.value)/1000000 FROM XINVCOST INNER JOIN (OMONEY INNER JOIN ([Transmission Investments] AS XIN INNER JOIN ANNUITYCX ON XIN.[Case]=ANNUITYCX.ANNUITYCX AND XIN.[Import Country]=ANNUITYCX.ANNUITYCX3) ON OMONEY.OMONEY=XIN.[Case]) ON XINVCOST.XINVCOST=XIN.[Case] AND XINVCOST.XINVCOST3=XIN.ModelYear AND XINVCOST.XINVCOST4=XIN.[Export Region] AND XINVCOST.XINVCOST5=XIN.[Import Region] GROUP BY XIN.[Case],XIN.BaseYear,XIN.ModelYear,XIN.[Import Country],XIN.[Import Region] UNION SELECT XIN.[Case],XIN.BaseYear,XIN.ModelYear,XIN.[Export Country],XIN.[Export Region],'Transmission investment cost M€',0.5*sum(OMONEY.value*XIN.MW*ANNUITYCX.value*XINVCOST.value)/1000000 FROM XINVCOST INNER JOIN (OMONEY INNER JOIN ([Transmission Investments] AS XIN INNER JOIN ANNUITYCX ON XIN.[Case]=ANNUITYCX.ANNUITYCX AND XIN.[Export Country]=ANNUITYCX.ANNUITYCX3) ON OMONEY.OMONEY=XIN.[Case]) ON XINVCOST.XINVCOST=XIN.[Case] AND XINVCOST.XINVCOST3=XIN.ModelYear AND XINVCOST.XINVCOST4=XIN.[Export Region] AND XINVCOST.XINVCOST5=XIN.[Import Region] GROUP BY XIN.[Case],XIN.BaseYear,XIN.ModelYear,XIN.[Export Country],XIN.[Export Region];</t>
  </si>
  <si>
    <t>INSERT INTO `Economy`(`Case`,`BaseYear`,`ModelYear`,`Country`,`Region`,`Category`,`Value`) SELECT EX.[Case],EX.BaseYear,EX.ModelYear,EX.Country_Import,EX.Region_Import,'Transmission cost M€',0.5*sum(OMONEY.value*EX.GWh*XCOST.value)/1000 FROM (OMONEY INNER JOIN ([El Transmission between Countries] AS EX INNER JOIN XCOST ON EX.[Case]=XCOST.XCOST AND EX.Region_Import=XCOST.XCOST4 AND EX.Region_Export=XCOST.XCOST3) ON OMONEY.OMONEY=EX.[Case]) GROUP BY EX.[Case],EX.BaseYear,EX.ModelYear,EX.Country_Import,EX.Region_Import UNION SELECT EX.[Case],EX.BaseYear,EX.ModelYear,EX.Country_Export,EX.Region_Export,'Transmission cost M€',0.5*sum(OMONEY.value*EX.GWh*XCOST.value)/1000 FROM (OMONEY INNER JOIN ([El Transmission between Countries] AS EX INNER JOIN XCOST ON EX.[Case]=XCOST.XCOST AND EX.Region_Import=XCOST.XCOST4 AND EX.Region_Export=XCOST.XCOST3) ON OMONEY.OMONEY=EX.[Case]) GROUP BY EX.[Case],EX.BaseYear,EX.ModelYear,EX.Country_Export,EX.Region_Export;</t>
  </si>
  <si>
    <t>INSERT INTO `Transmission Capacity`(`Case`,BaseYear,ModelYear,`Export Region`,`Import Region`,`Capacity Type`,MW) SELECT VXKNACCUMNET.VXKNACCUMNET,VXKNACCUMNET.VXKNACCUMNET2,VXKNACCUMNET.VXKNACCUMNET3,VXKNACCUMNET.VXKNACCUMNET4,VXKNACCUMNET.VXKNACCUMNET5 ,'Endogenous',VXKNACCUMNET.level FROM VXKNACCUMNET UNION SELECT XKINI.XKINI,XKINI.XKINI3,XKINI.XKINI3, XKINI.XKINI4, XKINI.XKINI5,'Exogenous',XKINI.value FROM XKINI INNER JOIN Y ON Y.Y3=XKINI.XKINI3;</t>
  </si>
  <si>
    <t>El Transmission between regions net - Term</t>
  </si>
  <si>
    <t>COAL</t>
  </si>
  <si>
    <t>ELECTRIC</t>
  </si>
  <si>
    <t>WOODWASTE</t>
  </si>
  <si>
    <t>WASTEHEAT</t>
  </si>
  <si>
    <t>WOOD</t>
  </si>
  <si>
    <t>DE4-N</t>
  </si>
  <si>
    <t>DE4-E</t>
  </si>
  <si>
    <t>DE4-S</t>
  </si>
  <si>
    <t>DE4-W</t>
  </si>
  <si>
    <t>2020</t>
  </si>
  <si>
    <t>2030</t>
  </si>
  <si>
    <t>STRAW</t>
  </si>
  <si>
    <t>WOODPELLETS</t>
  </si>
  <si>
    <t>ModelYear</t>
  </si>
  <si>
    <t>BaseYear</t>
  </si>
  <si>
    <t>2016</t>
  </si>
  <si>
    <t>Calculate wind curtailment if WNDFLH has AAA and GGG as control sets</t>
  </si>
  <si>
    <t>Average of Value</t>
  </si>
  <si>
    <t>2015</t>
  </si>
  <si>
    <t>2025</t>
  </si>
  <si>
    <t>2035</t>
  </si>
  <si>
    <t>2040</t>
  </si>
  <si>
    <t>2045</t>
  </si>
  <si>
    <t>Year</t>
  </si>
  <si>
    <t>Average of €/MWh</t>
  </si>
  <si>
    <t>Technology characteristics</t>
  </si>
  <si>
    <t>DROP TABLE if exists `Technology characteristics`;</t>
  </si>
  <si>
    <t>Technology</t>
  </si>
  <si>
    <t>HE storage</t>
  </si>
  <si>
    <t>DELETE FROM [Cap_Invest_MW] WHERE NOT ((BaseYear=ModelYear AND BaseYear&lt;(SELECT MAX(BaseYear) FROM [Cap_Invest_MW])) OR (BaseYear=(SELECT MAX(BaseYear) FROM [Cap_Invest_MW]))AND ModelYear&gt;=BaseYear);</t>
  </si>
  <si>
    <t>DELETE FROM [Endo_gen_cap_MW] WHERE NOT ((BaseYear=ModelYear AND BaseYear&lt;(SELECT MAX(BaseYear) FROM [Endo_gen_cap_MW])) OR (BaseYear=(SELECT MAX(BaseYear) FROM [Endo_gen_cap_MW])) AND ModelYear&gt;=BaseYear);</t>
  </si>
  <si>
    <t>RESH</t>
  </si>
  <si>
    <t>DROP VIEW if exists `El_Gen`;</t>
  </si>
  <si>
    <t>CREATE VIEW EL_Gen(`Case`,BaseYear,ModelYear,Area,Technology,Season,Term,Generation_MW) AS SELECT VGE_T,VGE_T2,VGE_T3,VGE_T4,VGE_T5,VGE_T6,VGE_T7,level FROM VGE_T WHERE level &gt;0 UNION SELECT VESTOLOADT,VESTOLOADT2,VESTOLOADT3,VESTOLOADT4,'IntraSeasonal Storage',VESTOLOADT5,VESTOLOADT6,(-1)*VESTOLOADT.LEVEL FROM VESTOLOADT WHERE LEVEL &gt;0 UNION SELECT VESTOLOADTS,VESTOLOADTS2,VESTOLOADTS3,VESTOLOADTS4,'InterSeasonal Storage',VESTOLOADTS5,VESTOLOADTS6,(-1)*VESTOLOADTS.LEVEL FROM VESTOLOADTS WHERE LEVEL &gt;0;</t>
  </si>
  <si>
    <t>DELETE FROM [Electricity generation - Term] WHERE NOT (([Electricity generation - Term].BaseYear=[Electricity generation - Term].ModelYear AND [Electricity generation - Term].BaseYear&lt;(SELECT MAX([Electricity generation - Term].BaseYear) FROM [Electricity generation - Term])) OR ([Electricity generation - Term].BaseYear=(SELECT MAX([Electricity generation - Term].BaseYear) FROM [Electricity generation - Term]) )) ;</t>
  </si>
  <si>
    <t>DROP VIEW if exists `Heat_Gen`;</t>
  </si>
  <si>
    <t>CREATE VIEW Heat_Gen(`Case`,BaseYear,ModelYear,Area,Technology,Season,Term,Generation_MW) AS SELECT VGH_T,VGH_T2,VGH_T3,VGH_T4,VGH_T5,VGH_T6,VGH_T7,level FROM VGH_T WHERE level &gt;0 UNION SELECT VHSTOLOADT,VHSTOLOADT2,VHSTOLOADT3,VHSTOLOADT4,'IntraSeasonal Storage',VHSTOLOADT5,VHSTOLOADT6,(-1)*VHSTOLOADT.LEVEL FROM VHSTOLOADT WHERE LEVEL &gt;0 UNION SELECT VHSTOLOADTS,VHSTOLOADTS2,VHSTOLOADTS3,VHSTOLOADTS4,'InterSeasonal Storage',VHSTOLOADTS5,VHSTOLOADTS6,(-1)*VHSTOLOADTS.LEVEL FROM VHSTOLOADTS WHERE LEVEL &gt;0;</t>
  </si>
  <si>
    <t>DELETE FROM [Heat Generation - Term] WHERE NOT ((BaseYear=ModelYear AND BaseYear&lt;(SELECT MAX(BaseYear) FROM [Heat Generation - Term])) OR (BaseYear=(SELECT MAX(BaseYear) FROM [Heat Generation - Term]) )) ;</t>
  </si>
  <si>
    <t>Exogenous</t>
  </si>
  <si>
    <t>S20</t>
  </si>
  <si>
    <t>Heat transfer</t>
  </si>
  <si>
    <t>DROP TABLE if exists `Heat Transfer - Time`;</t>
  </si>
  <si>
    <t>CREATE TABLE `Heat Transfer - Time`(`Case`,`BaseYear`,`ModelYear`,`Country`,`Region`,`Export Area`,`Import Area`,`Season` TEXT, `Term` TEXT,`MW` REAL, `MWh` REAL, `GJ` REAL);</t>
  </si>
  <si>
    <t xml:space="preserve">INSERT INTO `Heat Transfer - Time` SELECT VXH_T.VXH_T,VXH_T.VXH_T2,VXH_T.VXH_T3,ICA.ICA3,RRRAAA.RRRAAA3,VXH_T.VXH_T4,VXH_T.VXH_T5,VXH_T.VXH_T6,VXH_T.VXH_T7,VXH_T.LEVEL,IHOURSINST.VALUE*VXH_T.LEVEL,3.6*IHOURSINST.VALUE*VXH_T.LEVEL FROM IHOURSINST INNER JOIN (RRRAAA INNER JOIN	(VXH_T INNER JOIN ICA ON ICA.ICA=VXH_T.VXH_T AND ICA.ICA4=VXH_T.VXH_T4) ON RRRAAA.RRRAAA=VXH_T.VXH_T AND RRRAAA.RRRAAA4=VXH_T.VXH_T4) ON IHOURSINST.IHOURSINST=VXH_T.VXH_T AND IHOURSINST.IHOURSINST3=VXH_T.VXH_T6 AND IHOURSINST.IHOURSINST4=VXH_T.VXH_T7 WHERE VXH_T.LEVEL &gt; 0 GROUP BY VXH_T.VXH_T,VXH_T.VXH_T2,VXH_T.VXH_T3,ICA.ICA3,RRRAAA.RRRAAA3,VXH_T.VXH_T4,VXH_T.VXH_T5,VXH_T.VXH_T6,VXH_T.VXH_T7; </t>
  </si>
  <si>
    <t>DELETE FROM [Heat Transfer - Time] WHERE NOT (([Heat Transfer - Time].BaseYear=[Heat Transfer - Time].ModelYear AND [Heat Transfer - Time].BaseYear&lt;(SELECT MAX([Heat Transfer - Time].BaseYear) FROM [Heat Transfer - Time])) OR ([Heat Transfer - Time].BaseYear=(SELECT MAX([Heat Transfer - Time].BaseYear) FROM [Heat Transfer - Time]) )) ;</t>
  </si>
  <si>
    <t>DK1_NoDH_PHH</t>
  </si>
  <si>
    <t>DK1_NoDH_PHL</t>
  </si>
  <si>
    <t>S12</t>
  </si>
  <si>
    <t>S35</t>
  </si>
  <si>
    <t>T061</t>
  </si>
  <si>
    <t>T089</t>
  </si>
  <si>
    <t>T005</t>
  </si>
  <si>
    <t>T019</t>
  </si>
  <si>
    <t>T033</t>
  </si>
  <si>
    <t>T047</t>
  </si>
  <si>
    <t>T075</t>
  </si>
  <si>
    <t>T103</t>
  </si>
  <si>
    <t>T117</t>
  </si>
  <si>
    <t>T131</t>
  </si>
  <si>
    <t>T145</t>
  </si>
  <si>
    <t>T159</t>
  </si>
  <si>
    <t>Import Area</t>
  </si>
  <si>
    <t>Export Area</t>
  </si>
  <si>
    <t>Technology Type</t>
  </si>
  <si>
    <t>CREATE TABLE `Electricity generation - Annual` (`Case`,`BaseYear`,`ModelYear`,`Country`,`Region`,`Area`,`Fuel`,`Technology Category`,`Technology Type`,`Technology`,`TWh`REAL,`PJ` REAL);</t>
  </si>
  <si>
    <t>INSERT INTO `Electricity generation - annual` SELECT GE_T.`Case`,GE_T.BaseYear,GE_T.ModelYear,GE_T.Country,GE_T.Region,GE_T.Area,GE_T.Fuel,GE_T.[Technology Category],GE_T.[Technology Type],GE_T.Technology, Sum([MWh]/1000000) AS TWh, Sum([GJ]/1000000) AS PJ FROM [Electricity generation - Term] AS GE_T GROUP BY GE_T.`Case`,GE_T.BaseYear,GE_T.ModelYear,GE_T.Country,GE_T.Region,GE_T.Area,GE_T.Fuel,GE_T.[Technology Category],GE_T.[Technology Type],GE_T.Technology;</t>
  </si>
  <si>
    <t>CREATE TABLE `Electricity generation - Term` (`Case` ,`BaseYear`,`ModelYear`,`Country`,`Region`,`Area`,`Fuel`,`Technology Category`,`Technology Type`,`Technology`,`Season`,`Term`,`MW` REAL,`MWh`REAL,`GJ` REAL);</t>
  </si>
  <si>
    <t>CREATE TABLE `Heat Generation - Term` (`Case`,`BaseYear`,`ModelYear`,`Country`,`Region`,`Area`,`Fuel`,`Technology Category`,`Technology Type`,`Technology`,`Season`,`Term`,`MW` REAL,`MWh`REAL,`GJ` REAL);</t>
  </si>
  <si>
    <t>CREATE TABLE `Heat Generation - Annual` (`Case`,`BaseYear`,`ModelYear`,`Country`,`Region`,`Area`,`Fuel`,`Technology Category`,`Technology Type`,`Technology`,`TWh`REAL,`PJ` REAL);</t>
  </si>
  <si>
    <t>INSERT INTO `Heat Generation - Annual` SELECT GH_T.`Case`,GH_T.BaseYear,GH_T.ModelYear,GH_T.Country,GH_T.Region,GH_T.Area,GH_T.Fuel,GH_T.[Technology Category],GH_T.[Technology Type],GH_T.Technology, Sum([MWh]/1000000) AS TWh, Sum([GJ]/1000000) AS PJ FROM [Heat Generation - Term] AS GH_T GROUP BY GH_T.`Case`,GH_T.BaseYear,GH_T.ModelYear,GH_T.Country,GH_T.Region,GH_T.Area,GH_T.Fuel,GH_T.[Technology Type],GH_T.Technology;</t>
  </si>
  <si>
    <t>CREATE TABLE `Cap_Invest_MW` (`Case`,BaseYear,ModelYear,Country,Region,Area,Fuel,`Technology Category`,`Technology Type`,Technology,`MW` REAL);</t>
  </si>
  <si>
    <t>CREATE TABLE `Exo_gen_cap_MW`(`Case`,`Year`,`Country`,`Region`,`Area`,`Fuel`,`Technology Category`,`Technology Type`,`Capacity Type`,`Technology`,`MW` REAL);</t>
  </si>
  <si>
    <t>CREATE TABLE `Endo_gen_cap_MW`(`Case`,BaseYear,ModelYear,Country,Region,Area,Fuel,`Technology Category`,`Technology Type`,`Capacity Type`,Technology,`MW` REAL);</t>
  </si>
  <si>
    <t>CREATE TABLE `Electricity generation capacity Total`(`Case`,`BaseYear`,`ModelYear`,`Country`,`Region`,`Area`,`Fuel`,`Technology Category`,`Technology Type`,`Capacity Type`,`Technology`,`MW` REAL,`GW` REAL);</t>
  </si>
  <si>
    <t>CREATE TABLE `Heat generation capacity Total`(`Case`,`ModelYear`,`BaseYear`,`Country`,`Region`,`Area`,`Fuel`,`Technology Category`,`Technology Type`,`Capacity Type`,`Technology`, `MW` REAL, `GW` REAL);</t>
  </si>
  <si>
    <t>CREATE TABLE `Economy`(`Case`,`BaseYear`,`ModelYear`,`Country`,`Region`,`Area`,`Fuel`,`Technology Category`,`Technology Type`,`Technology`,`Category`,`Value` REAL);</t>
  </si>
  <si>
    <t>INSERT INTO `Economy`(`Case`,`BaseYear`,`ModelYear`,`Country`,`Region`,`Area`,`Fuel`,`Technology Category`,`Technology Type`,`Technology`,`Category`,`Value`) SELECT GE_T.[Case],GE_T.BaseYear,GE_T.ModelYear,GE_T.Country,GE_T.Region,GE_T.Area,GE_T.Fuel,GE_T.[Technology Category],GE_T.[Technology Type],GE_T.Technology,'Producer price €/MWh', sum(0.000001*OMONEY.value*GE_T.MWh*EPR.[OMONEY/MWh]/GE.TWh) FROM OMONEY INNER JOIN ([Electricity generation - Annual] AS GE INNER JOIN ([Electricity generation - Term] AS GE_T INNER JOIN [Electricity_price] AS EPR ON GE_T.[Case]=EPR.[Case] AND GE_T.[BaseYear]=EPR.[BaseYear] AND GE_T.[ModelYear]=EPR.[ModelYear] AND GE_T.[Region] = EPR.[Region] AND GE_T.[Season] = EPR.[Season] AND GE_T.[Term] = EPR.[Term]) ON GE.[Case]=GE_T.[Case] AND GE.[BaseYear]=GE_T.[BaseYear] AND GE.[ModelYear]=GE_T.[ModelYear] AND GE.[Area]=GE_T.[Area] AND GE.[Technology]=GE_T.[Technology]) ON OMONEY.OMONEY=GE.[Case] GROUP BY GE_T.[Case],GE_T.BaseYear,GE_T.ModelYear,GE_T.Country,GE_T.Region,GE_T.Area,GE_T.Fuel,GE_T.Technology;</t>
  </si>
  <si>
    <t>INSERT INTO `Economy`(`Case`,`BaseYear`,`ModelYear`,`Country`,`Region`,`Area`,`Fuel`,`Technology Category`,`Technology Type`,`Technology`,`Category`,`Value`) SELECT GE_T.[Case],GE_T.BaseYear,GE_T.ModelYear,GE_T.Country,GE_T.Region,GE_T.Area,GE_T.Fuel,GE_T.[Technology Category],GE_T.[Technology Type],GE_T.Technology,'Producer revenue M€',sum(0.000001*GE_T.MWh*EPR.[OMONEY/MWh]) FROM OMONEY INNER JOIN ([Electricity generation - Term] AS GE_T INNER JOIN [Electricity_price] AS EPR ON GE_T.[Case] = EPR.[Case] AND GE_T.[BaseYear] = EPR.[BaseYear] AND GE_T.[ModelYear] = EPR.[ModelYear] AND GE_T.Region = EPR.Region AND GE_T.[Season] = EPR.[Season] AND GE_T.[Term] = EPR.[Term]) ON OMONEY.OMONEY=GE_T.[Case] GROUP BY GE_T.[Case],GE_T.BaseYear,GE_T.ModelYear,GE_T.Country,GE_T.Region,GE_T.Area,GE_T.Fuel,GE_T.Technology;</t>
  </si>
  <si>
    <t>INSERT INTO `Economy`(`Case`,`BaseYear`,`ModelYear`,`Country`,`Region`,`Area`,`Fuel`,`Technology Category`,`Technology Type`,`Technology`,`Category`,`Value`) SELECT GE.[Case],GE.BaseYear,GE.ModelYear,GE.Country,GE.Region,GE.Area,GE.Fuel,GE.[Technology Category],GE.[Technology Type],GE.Technology,'Utilization hours - Electricity', sum(1000000*GE.TWh/ECAP.MW) FROM [Electricity generation - Annual] AS GE INNER JOIN [Electricity generation capacity Total] AS ECAP ON GE.[Case]=ECAP.[Case] AND GE.BaseYear=ECAP.BaseYear AND GE.ModelYear=ECAP.ModelYear AND GE.Area=ECAP.Area AND GE.Technology=ECAP.Technology GROUP BY GE.[Case],GE.BaseYear,GE.ModelYear,GE.Country,GE.Region,GE.Area,GE.Fuel,GE.Technology;</t>
  </si>
  <si>
    <t>INSERT INTO `Economy`(`Case`,`BaseYear`,`ModelYear`,`Country`,`Region`,`Area`,`Fuel`,`Technology Category`,`Technology Type`,`Technology`,`Category`,`Value`) SELECT ECAP.[Case],ECAP.BaseYear,ECAP.ModelYear,ECAP.Country,ECAP.Region ,ECAP.Area,ECAP.Fuel,ECAP.[Technology Category],ECAP.[Technology Type],ECAP.Technology, 'Curtailment GWh', 0.001*sum(ECAP.MW*WNDFLH.value)-1000*GE.TWh FROM [Electricity generation - Annual] AS GE INNER JOIN ([Electricity generation capacity Total] AS ECAP INNER JOIN WNDFLH ON ECAP.[Case]=WNDFLH.WNDFLH AND ECAP.Area=WNDFLH.WNDFLH3) ON GE.[Case]=ECAP.[Case] AND GE.BaseYear=ECAP.BaseYear AND GE.ModelYear=ECAP.ModelYear AND GE.Area=ECAP.Area AND GE.Technology=ECAP.Technology WHERE ECAP.Fuel IN ('WIND') GROUP BY ECAP.[Case],ECAP.BaseYear,ECAP.ModelYear,ECAP.Country,ECAP.Region ,ECAP.Area,ECAP.Fuel,ECAP.Technology UNION SELECT ECAP.[Case],ECAP.BaseYear,ECAP.ModelYear,ECAP.Country,ECAP.Region ,ECAP.Area,ECAP.Fuel,ECAP.[Technology Category],ECAP.[Technology Type],ECAP.Technology, 'Curtailment GWh', 0.001*sum(ECAP.MW*SOLEFLH.value)-1000*GE.TWh FROM [Electricity generation - Annual] AS GE INNER JOIN ([Electricity generation capacity Total] AS ECAP INNER JOIN SOLEFLH ON ECAP.[Case]=SOLEFLH.SOLEFLH AND ECAP.Area=SOLEFLH.SOLEFLH3) ON GE.[Case]=ECAP.[Case] AND GE.BaseYear=ECAP.BaseYear AND GE.ModelYear=ECAP.ModelYear AND GE.Area=ECAP.Area AND GE.Technology=ECAP.Technology WHERE ECAP.Fuel IN ('SUN') GROUP BY ECAP.[Case],ECAP.BaseYear,ECAP.ModelYear,ECAP.Country,ECAP.Region ,ECAP.Area,ECAP.Fuel,ECAP.Technology;</t>
  </si>
  <si>
    <t>DELETE FROM [Economy] WHERE NOT ((BaseYear=ModelYear AND BaseYear&lt;(SELECT MAX(BaseYear) FROM [Economy])) OR (BaseYear=(SELECT MAX(BaseYear) FROM [Economy])));</t>
  </si>
  <si>
    <t>CREATE TABLE `Heat Storage volume`(`Case`,`BaseYear`,`ModelYear`,`Country`,`Region`,`Area`,Technology,`Season`,`Term`,`MWh` REAL,`GJ` REAL);</t>
  </si>
  <si>
    <t>INSERT INTO `Heat Storage volume` SELECT VHSTOVOLT.VHSTOVOLT, VHSTOVOLT.VHSTOVOLT2, VHSTOVOLT.VHSTOVOLT3,ICA.ICA3, RRRAAA.RRRAAA3, VHSTOVOLT.VHSTOVOLT4, VHSTOVOLT.VHSTOVOLT5, VHSTOVOLT.VHSTOVOLT6, VHSTOVOLT.VHSTOVOLT7,Sum(VHSTOVOLT.level), Sum(VHSTOVOLT.level)*3.6 FROM ICA INNER JOIN (RRRAAA INNER JOIN VHSTOVOLT ON (RRRAAA.RRRAAA4 = VHSTOVOLT.VHSTOVOLT4) AND (RRRAAA.RRRAAA = VHSTOVOLT.VHSTOVOLT)) ON (ICA.ICA4 = VHSTOVOLT.VHSTOVOLT4) AND (ICA.ICA = VHSTOVOLT.VHSTOVOLT) GROUP BY VHSTOVOLT.VHSTOVOLT, VHSTOVOLT.VHSTOVOLT2, VHSTOVOLT.VHSTOVOLT3, ICA.ICA3, RRRAAA.RRRAAA3, VHSTOVOLT.VHSTOVOLT4, VHSTOVOLT.VHSTOVOLT5, VHSTOVOLT.VHSTOVOLT6,VHSTOVOLT.VHSTOVOLT7;</t>
  </si>
  <si>
    <t>UPDATE [Technology characteristics] SET [Technology Category] = CASE WHEN [Technology Type] IN ('Condensing') THEN 'Thermal power' WHEN [Technology Type] IN ('Backpressure','Extraction') THEN 'Cogeneration' WHEN [Technology Type] IN ('Wind','Solar PV','Solar heat') THEN 'VRE' WHEN [Technology Type] IN ('Hydro ROR','Hydro reservoir') THEN 'Hydro power' WHEN [Technology Type] IN ('EL storage','EL storage S','HE storage','HE storage S') THEN 'Storage' WHEN [Technology Type] IN ('Electricity to heat','Power to gas') THEN 'Conversion' ELSE 'Other' END;</t>
  </si>
  <si>
    <t>INSERT INTO `Heat generation - Term` SELECT [Heat_Gen].[Case],[Heat_Gen].BaseYear,[Heat_Gen].ModelYear,ICA.ICA3,RRRAAA.RRRAAA3,[Heat_Gen].Area,IGF.IGF4,Tech.[Technology Category],Tech.[Technology Type],[Heat_Gen].Technology,[Heat_Gen].Season,[Heat_Gen].Term,Sum([Heat_Gen].Generation_MW),Sum([Heat_Gen].[Generation_MW]*[IHOURSINST].[value]), Sum([Heat_Gen].[Generation_MW]*[IHOURSINST].[value])*3.6 FROM [Technology characteristics] AS Tech INNER JOIN (IHOURSINST INNER JOIN (ICA INNER JOIN (IGF INNER JOIN (RRRAAA INNER JOIN [Heat_Gen] ON RRRAAA.RRRAAA=[Heat_Gen].[Case] AND RRRAAA.RRRAAA4 = [Heat_Gen].Area) ON IGF.IGF3=[Heat_Gen].Technology AND [Heat_Gen].[Case] = IGF.IGF) ON ICA.ICA4 = [Heat_Gen].AREA AND [Heat_Gen].[Case] = ICA.ICA) ON IHOURSINST.IHOURSINST4=[Heat_Gen].Term AND IHOURSINST.IHOURSINST3 = [Heat_Gen].Season AND IHOURSINST.IHOURSINST = [Heat_Gen].[Case]) ON Tech.[Case]=[Heat_Gen].[Case] AND Tech.[Technology]=[Heat_Gen].[Technology] GROUP BY [Heat_Gen].[Case],[Heat_Gen].BaseYear,[Heat_Gen].ModelYear,ICA.ICA3,RRRAAA.RRRAAA3,[Heat_Gen].Area,IGF.IGF4,[Heat_Gen].Technology,[Heat_Gen].Season,[Heat_Gen].Term,[Heat_Gen].Generation_MW;</t>
  </si>
  <si>
    <t>DROP TABLE if exists `Fuel_Consumption`;</t>
  </si>
  <si>
    <t>CREATE TABLE `Fuel_Consumption`(`Case`,`BaseYear`,`ModelYear`,`Country`,`Region`,`Area`,`Fuel`,`Technology Category`,`Technology Type`,`Technology`,TWh REAL,PJ REAL);</t>
  </si>
  <si>
    <t>INSERT INTO Fuel_Consumption SELECT VGF_T,VGF_T2,VGF_T3,ICA.ICA3,RRRAAA.RRRAAA3,VGF_T4,IGF.IGF4,Tech.[Technology Category],Tech.[Technology Type],VGF_T5,SUM(VGF_T.level*IHOURSINST.VALUE/1000000),SUM(VGF_T.level*IHOURSINST.VALUE*3.6/1000000) FROM IGF INNER JOIN (IHOURSINST INNER JOIN (RRRAAA INNER JOIN (ICA INNER JOIN (VGF_T INNER JOIN [Technology characteristics] AS Tech ON VGF_T.VGF_T=Tech.[Case] AND VGF_T.VGF_T5=Tech.Technology) ON ICA.ICA=VGF_T.VGF_T AND ICA.ICA4=VGF_T.VGF_T4) ON RRRAAA.RRRAAA=VGF_T.VGF_T AND RRRAAA.RRRAAA4=VGF_T.VGF_T4) ON IHOURSINST.IHOURSINST=VGF_T.VGF_T AND IHOURSINST3=VGF_T.VGF_T6 AND IHOURSINST4=VGF_T.VGF_T7) ON IGF.IGF=VGF_T.VGF_T AND IGF.IGF3=VGF_T.VGF_T5 WHERE level &gt;0 GROUP BY VGF_T,VGF_T2,VGF_T3,ICA.ICA3,RRRAAA.RRRAAA3,VGF_T4,IGF.IGF4,Tech.[Technology Category],Tech.[Technology Type],VGF_T5;</t>
  </si>
  <si>
    <t>DELETE FROM Fuel_Consumption WHERE NOT ((BaseYear=ModelYear AND BaseYear&lt;(SELECT MAX(BaseYear) FROM Fuel_Consumption)) OR (BaseYear=(SELECT MAX(BaseYear) FROM Fuel_Consumption) )) ;</t>
  </si>
  <si>
    <t>CREATE TABLE `Emissions - Annual`(`Case`,`BaseYear`,`ModelYear`,`Country`,`Region`,`Area`,`Fuel`,`Technology Category`,`Technology Type`,`Technology`,`CO2 kilotons` REAL,`CO2 megatons` REAL,`SO2 tons` REAL,`SO2 kilotons` REAL,`N2O tons` REAL,`N2O kilotons` REAL);</t>
  </si>
  <si>
    <t xml:space="preserve">INSERT INTO `Cap_Invest_MW` (`Case`,BaseYear,ModelYear,Country,Region,Area,Fuel,`Technology Category`,`Technology Type`,Technology,`MW`) SELECT VGKN.VGKN,VGKN.VGKN2,VGKN.VGKN3,ICA.ICA3,RRRAAA.RRRAAA3,VGKN.VGKN4,IGF.IGF4,Tech.[Technology Category],Tech.[Technology Type],VGKN.VGKN5,VGKN.level FROM [Technology characteristics] AS Tech INNER JOIN (IGF INNER JOIN (ICA INNER JOIN (RRRAAA INNER JOIN VGKN ON RRRAAA.RRRAAA=VGKN.VGKN AND RRRAAA.RRRAAA4=VGKN.VGKN4) ON ICA.ICA4=VGKN.VGKN4 AND VGKN.VGKN=ICA.ICA) ON IGF.IGF3=VGKN.VGKN5 AND VGKN.VGKN=IGF.IGF) ON TECH.[Case]=ICA.ICA AND TECH.Technology=VGKN.VGKN5 WHERE VGKN.level &gt; 0 GROUP BY VGKN.VGKN,VGKN.VGKN2,VGKN.VGKN3,ICA.ICA3,RRRAAA.RRRAAA3,VGKN.VGKN4,IGF.IGF4,Tech.[Technology Category],Tech.[Technology Type],VGKN.VGKN5,VGKN.level; </t>
  </si>
  <si>
    <t>INSERT INTO `Exo_gen_cap_MW` SELECT GKFX.GKFX,GKFX.GKFX3,ICA.ICA3,RRRAAA.RRRAAA3,GKFX.GKFX4,Tech.[Fuel Type],Tech.[Technology Category],Tech.[Technology Type],'Exogenous',GKFX.GKFX5,Sum(GKFX.value) FROM [Technology characteristics] AS Tech INNER JOIN (RRRAAA INNER JOIN (ICA INNER JOIN (Y INNER JOIN GKFX ON (Y.Y3 = GKFX.GKFX3) AND (Y.Y = GKFX.GKFX)) ON (ICA.ICA4 = GKFX.GKFX4) AND (ICA.ICA = GKFX.GKFX)) ON (RRRAAA.RRRAAA4 = GKFX.GKFX4) AND (RRRAAA.RRRAAA = GKFX.GKFX))  ON TECH.[Case]=ICA.ICA AND TECH.Technology=GKFX.GKFX5 GROUP BY GKFX.GKFX,GKFX.GKFX3,ICA.ICA3,RRRAAA.RRRAAA3,GKFX.GKFX4,GKFX.GKFX5;</t>
  </si>
  <si>
    <t xml:space="preserve">INSERT INTO `Endo_gen_cap_MW` SELECT VGKNACCUMNET.VGKNACCUMNET,VGKNACCUMNET.VGKNACCUMNET2,VGKNACCUMNET.VGKNACCUMNET3,ICA.ICA3,RRRAAA.RRRAAA3,VGKNACCUMNET.VGKNACCUMNET4,Tech.[Fuel Type],Tech.[Technology category],Tech.[Technology Type],'Endogenous',VGKNACCUMNET.VGKNACCUMNET5,VGKNACCUMNET.level FROM [Technology characteristics] AS Tech INNER JOIN (ICA INNER JOIN (RRRAAA INNER JOIN VGKNACCUMNET ON RRRAAA.RRRAAA =VGKNACCUMNET.VGKNACCUMNET AND RRRAAA.RRRAAA4=VGKNACCUMNET.VGKNACCUMNET4) ON ICA.ICA4=VGKNACCUMNET.VGKNACCUMNET4 AND VGKNACCUMNET.VGKNACCUMNET=ICA.ICA) ON TECH.[Case]=ICA.ICA AND TECH.Technology=VGKNACCUMNET.VGKNACCUMNET5 WHERE VGKNACCUMNET.level&gt;0 AND VGKNACCUMNET.VGKNACCUMNET2&lt;=VGKNACCUMNET.VGKNACCUMNET3 GROUP BY VGKNACCUMNET.VGKNACCUMNET,VGKNACCUMNET.VGKNACCUMNET2,VGKNACCUMNET.VGKNACCUMNET3,ICA.ICA3,RRRAAA.RRRAAA3,VGKNACCUMNET.VGKNACCUMNET4,VGKNACCUMNET.VGKNACCUMNET5; </t>
  </si>
  <si>
    <t>INSERT INTO `Economy`(`Case`,`BaseYear`,`ModelYear`,`Country`,`Region`,`Area`,`Fuel`,`Technology Category`,`Technology Type`,`Technology`,`Category`,`Value`) SELECT FCON.[Case],FCON.BaseYear,FCON.ModelYear,FCON.Country,FCON.Region,FCON.Area,FCON.Fuel,FCON.[Technology Category],FCON.[Technology Type],FCON.Technology,'Fuel costs M€', sum(FCON.PJ*FP.value*OMONEY.value) FROM OMONEY INNER JOIN ([Fuel_consumption] AS FCON INNER JOIN FUELPRICE AS FP ON FCON.[Case] = FP.FUELPRICE AND FCON.[ModelYear]=FP.FUELPRICE3 AND FCON.Area=FP.FUELPRICE4 AND FCON.FUEL = FP.FUELPRICE5) ON OMONEY.OMONEY=FCON.[Case] GROUP BY FCON.[Case],FCON.BaseYear,FCON.ModelYear,FCON.Country, FCON.Region,FCON.Area, FCON.Fuel, FCON.Technology;</t>
  </si>
  <si>
    <t>INSERT INTO `Economy`(`Case`,`BaseYear`,`ModelYear`,`Country`,`Region`,`Area`,`Fuel`,`Technology Category`,`Technology Type`,`Technology`,`Category`,`Value`) SELECT EM.[Case],EM.BaseYear,EM.ModelYear,EM.Country,EM.Region,EM.Area,EM.Fuel,EM.[Technology Category],EM.[Technology Type],EM.Technology,'CO2 Emission costs M€', 0.001*sum(EM.[CO2 kilotons]*OMONEY.value*M_POL.value) FROM OMONEY INNER JOIN ([Emissions - Annual] AS EM INNER JOIN M_POL ON EM.[Case] = M_POL.M_POL AND EM.Country=M_POL.M_POL5 and EM.ModelYear = M_POL.M_POL3) ON OMONEY.OMONEY=EM.[Case] WHERE M_POL.M_POL4='TAX_CO2' AND EM.[CO2 kilotons]&gt;0 GROUP BY EM.[Case],EM.BaseYear,EM.ModelYear,EM.Country,EM.Region,EM.Area,EM.Fuel,EM.Technology UNION SELECT EM.[Case],EM.BaseYear,EM.ModelYear,EM.Country,EM.Region,EM.Area,EM.Fuel,EM.[Technology Category],EM.[Technology Type],EM.Technology,'SO2 Emission costs M€', 0.001*sum(EM.[SO2 kilotons]*OMONEY.value*M_POL.value) FROM OMONEY INNER JOIN ([Emissions - Annual] AS EM INNER JOIN M_POL ON EM.[Case] = M_POL.M_POL AND EM.Country=M_POL.M_POL5 and EM.ModelYear = M_POL.M_POL3 ) ON OMONEY.OMONEY=EM.[Case] WHERE M_POL.M_POL4='TAX_SO2' AND EM.[SO2 kilotons]&gt;0 GROUP BY EM.[Case], EM.BaseYear,EM.ModelYear, EM.Country, EM.Region,EM.Area, EM.Fuel, EM.Technology UNION SELECT EM.[Case],EM.BaseYear,EM.ModelYear,EM.Country,EM.Region,EM.Area,EM.Fuel,EM.[Technology Category],EM.[Technology Type],EM.Technology,'NOx Emission costs M€', 0.001*sum(EM.[N2O kilotons]*OMONEY.value*M_POL.value) FROM OMONEY INNER JOIN ([Emissions - Annual] AS EM INNER JOIN M_POL ON EM.[Case] = M_POL.M_POL AND EM.Country=M_POL.M_POL5 and EM.ModelYear = M_POL.M_POL3 ) ON OMONEY.OMONEY=EM.[Case] WHERE M_POL.M_POL4='TAX_NOx'  AND EM.[N2O kilotons]&gt;0 GROUP BY EM.[Case], EM.BaseYear,EM.ModelYear, EM.Country, EM.Region,EM.Area, EM.Fuel, EM.Technology;</t>
  </si>
  <si>
    <t>INSERT INTO `Economy`(`Case`,`BaseYear`,`ModelYear`,`Country`,`Region`,`Area`,`Fuel`,`Technology Category`,`Technology Type`,`Technology`,`Category`,`Value`) SELECT GE.[Case],GE.BaseYear,GE.ModelYear,GE.Country,GE.Region,GE.Area,GE.Fuel,GE.[Technology Category],GE.[Technology Type],GE.Technology,'Power plant variable O&amp;M cost M€',sum(OMONEY.value*VCOST.value*GE.TWh) FROM OMONEY INNER JOIN ([Electricity generation - Annual] AS GE INNER JOIN GOMVCOST AS VCOST ON GE.[Case]=VCOST.GOMVCOST AND GE.Area=GOMVCOST3 AND GE.Technology=GOMVCOST4) ON OMONEY.OMONEY=GE.[Case] GROUP BY GE.[Case],GE.BaseYear,GE.ModelYear,GE.Area,GE.Fuel,GE.Technology UNION SELECT GH.[Case],GH.BaseYear,GH.ModelYear,GH.Country,GH.Region,GH.Area,GH.Fuel,GH.[Technology Category],GH.[Technology Type],GH.Technology,'Power plant variable O&amp;M cost M€',sum(OMONEY.value*VCOST.value*GH.TWh*Tech.[CHP CV-value]) FROM [Technology characteristics] AS Tech INNER JOIN (OMONEY INNER JOIN ([Heat generation - Annual] AS GH INNER JOIN GOMVCOST AS VCOST ON GH.[Case]=VCOST.GOMVCOST AND GH.Area=GOMVCOST3 AND GH.Technology=GOMVCOST4) ON OMONEY.OMONEY=GH.[Case]) ON Tech.[Case]=GH.[Case] AND Tech.[Technology]=GH.Technology GROUP BY GH.[Case],GH.BaseYear,GH.ModelYear,GH.Area,GH.Fuel,GH.Technology;</t>
  </si>
  <si>
    <t>INSERT INTO `Economy`(`Case`,`BaseYear`,`ModelYear`,`Country`,`Region`,`Area`,`Fuel`,`Technology Category`,`Technology Type`,`Technology`,`Category`,`Value`) SELECT FCON.[Case],FCON.BaseYear,FCON.ModelYear,FCON.Country,FCON.Region,FCON.Area,FCON.Fuel,FCON.[Technology Category],FCON.[Technology Type],FCON.Technology,'Fuel used for electricity generation, PJ',sum(FCON.PJ*GE.PJ/(GH.PJ+GE.PJ)) FROM [Heat Generation - Annual] AS GH INNER JOIN ([Fuel_Consumption] AS FCON INNER JOIN [Electricity generation - Annual] AS GE ON GE.[Case]=FCON.[Case] AND GE.BaseYear=FCON.BaseYear AND GE.ModelYear=FCON.ModelYear AND GE.Area=FCON.Area AND GE.Technology=FCON.Technology) ON GH.[Case]=FCON.[Case] AND GH.BaseYear=FCON.BaseYear AND GH.ModelYear=FCON.ModelYear AND GH.Area=FCON.Area AND GH.Technology=FCON.Technology GROUP BY FCON.[Case],FCON.BaseYear,FCON.ModelYear,FCON.Country,FCON.Region,FCON.Area,FCON.Fuel,FCON.Technology UNION SELECT FCON.[Case],FCON.BaseYear,FCON.ModelYear,FCON.Country,FCON.Region,FCON.Area,FCON.Fuel,FCON.[Technology Category],FCON.[Technology Type],FCON.Technology,'Fuel used for heat generation, PJ',sum(FCON.PJ*GH.PJ/(GH.PJ+GE.PJ)) FROM [Heat Generation - Annual] AS GH INNER JOIN ([Fuel_Consumption] AS FCON INNER JOIN [Electricity generation - Annual] AS GE ON GE.[Case]=FCON.[Case] AND GE.BaseYear=FCON.BaseYear AND GE.ModelYear=FCON.ModelYear AND GE.Area=FCON.Area AND GE.Technology=FCON.Technology) ON GH.[Case]=FCON.[Case] AND GH.BaseYear=FCON.BaseYear AND GH.ModelYear=FCON.ModelYear AND GH.Area=FCON.Area AND GH.Technology=FCON.Technology GROUP BY FCON.[Case],FCON.BaseYear,FCON.ModelYear,FCON.Country,FCON.Region,FCON.Area,FCON.Fuel,FCON.Technology;</t>
  </si>
  <si>
    <t>Storage capacity</t>
  </si>
  <si>
    <t>DROP TABLE if exists `Storage capacity`;</t>
  </si>
  <si>
    <t>CREATE TABLE `Storage capacity`(`Case`,`BaseYear`,`ModelYear`,`Country`,`Region`,`Area`,`Fuel`,`Technology Type`,`Capacity Type`,`Technology`,`MWh` REAL,`GWh` REAL);</t>
  </si>
  <si>
    <t>HE storage S</t>
  </si>
  <si>
    <t>Technology available from year</t>
  </si>
  <si>
    <t>GNR_BO_ELEC_E-99_LS-10-MW-FEED_Y-2020</t>
  </si>
  <si>
    <t>GNR_BO_ELEC_E-99_LS-10-MW-FEED_Y-2030</t>
  </si>
  <si>
    <t>GNR_BO_ELEC_E-99_LS-10-MW-FEED_Y-2050</t>
  </si>
  <si>
    <t>GNR_BO_ELEC_E-99_MS-1-MW-FEED_Y-2020</t>
  </si>
  <si>
    <t>GNR_BO_ELEC_E-99_MS-1-MW-FEED_Y-2030</t>
  </si>
  <si>
    <t>GNR_BO_ELEC_E-99_MS-1-MW-FEED_Y-2050</t>
  </si>
  <si>
    <t>GNR_BO_ELEC_E-99_SS-5-KW-FEED_Y-2020</t>
  </si>
  <si>
    <t>GNR_BO_ELEC_E-99_SS-5-KW-FEED_Y-2030</t>
  </si>
  <si>
    <t>GNR_BO_ELEC_E-99_SS-5-KW-FEED_Y-2050</t>
  </si>
  <si>
    <t>GNR_BO_MSW_E-106_LS-35-MW-FEED_Y-2020</t>
  </si>
  <si>
    <t>GNR_BO_MSW_E-106_LS-35-MW-FEED_Y-2030</t>
  </si>
  <si>
    <t>GNR_BO_MSW_E-106_LS-35-MW-FEED_Y-2050</t>
  </si>
  <si>
    <t>GNR_BO_NGAS_E-105_SS-500-KW_Y-2020</t>
  </si>
  <si>
    <t>GNR_BO_NGAS_E-106_SS-500-KW_Y-2030</t>
  </si>
  <si>
    <t>GNR_BO_NGAS_E-106_SS-500-KW_Y-2050</t>
  </si>
  <si>
    <t>GNR_BO_STRW_E-104_LS-6-MW-FEED_Y-2020</t>
  </si>
  <si>
    <t>GNR_BO_STRW_E-104_LS-6-MW-FEED_Y-2030</t>
  </si>
  <si>
    <t>GNR_BO_STRW_E-104_LS-6-MW-FEED_Y-2050</t>
  </si>
  <si>
    <t>GNR_BO_WOOD_E-108</t>
  </si>
  <si>
    <t>GNR_BO_WOODCHI_E-117_LS-6-MW-FEED_Y-2020</t>
  </si>
  <si>
    <t>GNR_BO_WOODCHI_E-117_LS-6-MW-FEED_Y-2030</t>
  </si>
  <si>
    <t>GNR_BO_WOODCHI_E-117_LS-6-MW-FEED_Y-2050</t>
  </si>
  <si>
    <t>GNR_BO_WOODPEL_E-102_LS-6-MW-FEED_Y-2020</t>
  </si>
  <si>
    <t>GNR_BO_WOODPEL_E-102_LS-6-MW-FEED_Y-2030</t>
  </si>
  <si>
    <t>GNR_BO_WOODPEL_E-102_LS-6-MW-FEED_Y-2050</t>
  </si>
  <si>
    <t>GNR_BO_WOODPEL_E-87_SS-5-KW-FEED_Y-2020</t>
  </si>
  <si>
    <t>GNR_BO_WOODPEL_E-91_SS-4-KW-FEED_Y-2030</t>
  </si>
  <si>
    <t>GNR_BO_WOODPEL_E-95_SS-4-KW-FEED_Y-2050</t>
  </si>
  <si>
    <t>GNR_CC_NGAS_BP_E-51_SS-10-MW_Y-2020</t>
  </si>
  <si>
    <t>GNR_CC_NGAS_BP_E-53_SS-10-MW_Y-2030</t>
  </si>
  <si>
    <t>GNR_CC_NGAS_BP_E-55_SS-10-MW_Y-2050</t>
  </si>
  <si>
    <t>GNR_CC_NGAS_CND_E-51_SS-10-MW_Y-2020</t>
  </si>
  <si>
    <t>GNR_CC_NGAS_CND_E-53_SS-10-MW_Y-2030</t>
  </si>
  <si>
    <t>GNR_CC_NGAS_CND_E-55_SS-10-MW_Y-2050</t>
  </si>
  <si>
    <t>GNR_CC_NGAS_CND_E-58</t>
  </si>
  <si>
    <t>GNR_CC_NGAS_CND_E-59_LS-100-MW_Y-2020</t>
  </si>
  <si>
    <t>GNR_CC_NGAS_CND_E-61_LS-100-MW_Y-2030</t>
  </si>
  <si>
    <t>GNR_CC_NGAS_CND_E-63_LS-100-MW_Y-2050</t>
  </si>
  <si>
    <t>GNR_CC_NGAS_EXT_E-59_LS-100-MW_Y-2020</t>
  </si>
  <si>
    <t>GNR_CC_NGAS_EXT_E-61_LS-100-MW_Y-2030</t>
  </si>
  <si>
    <t>GNR_CC_NGAS_EXT_E-63_LS-100-MW_Y-2050</t>
  </si>
  <si>
    <t>GNR_ENG_BGAS_BP_E-43_Y-2020</t>
  </si>
  <si>
    <t>GNR_ENG_BGAS_BP_E-45_Y-2030</t>
  </si>
  <si>
    <t>GNR_ENG_BGAS_BP_E-47_Y-2050</t>
  </si>
  <si>
    <t>GNR_ENG_BGAS_CND_E-43_Y-2020</t>
  </si>
  <si>
    <t>GNR_ENG_BGAS_CND_E-45_Y-2030</t>
  </si>
  <si>
    <t>GNR_ENG_BGAS_CND_E-47_Y-2050</t>
  </si>
  <si>
    <t>GNR_ENG_NGAS_BP_E-47_Y-2020</t>
  </si>
  <si>
    <t>GNR_ENG_NGAS_BP_E-48_Y-2030</t>
  </si>
  <si>
    <t>GNR_ENG_NGAS_BP_E-50_Y-2050</t>
  </si>
  <si>
    <t>GNR_ENG_NGAS_CND_E-47_Y-2020</t>
  </si>
  <si>
    <t>GNR_ENG_NGAS_CND_E-48_Y-2030</t>
  </si>
  <si>
    <t>GNR_ENG_NGAS_CND_E-50_Y-2050</t>
  </si>
  <si>
    <t>GNR_ENG_NGAS_EXT_E-44</t>
  </si>
  <si>
    <t>GNR_ENG_RETORT-GAS_E-44</t>
  </si>
  <si>
    <t>GNR_ES_ELEC_BAT-LEAD_E-82_Y-16-29</t>
  </si>
  <si>
    <t>GNR_ES_ELEC_BAT-LEAD_E-85_Y-30-50</t>
  </si>
  <si>
    <t>GNR_ES_ELEC_BAT-LITHIO_E-95_Y-16-29</t>
  </si>
  <si>
    <t>GNR_ES_ELEC_BAT-LITHIO_E-97_Y-30-50</t>
  </si>
  <si>
    <t>GNR_ES_ELEC_BAT-NAS_E-80_Y-16-29</t>
  </si>
  <si>
    <t>GNR_ES_ELEC_BAT-NAS_E-85_Y-30-50</t>
  </si>
  <si>
    <t>GNR_ES_ELEC_BAT-VRFB_E-70_Y-15-19</t>
  </si>
  <si>
    <t>GNR_ES_ELEC_BAT-VRFB_E-78_Y-20-50</t>
  </si>
  <si>
    <t>GNR_ES_ELEC_CAES_E-60_Y-16-19</t>
  </si>
  <si>
    <t>GNR_ES_ELEC_CAES_E-71_Y-20-50</t>
  </si>
  <si>
    <t>GNR_GT_NGAS_BP_E-37_SS-5-MW_Y-2020</t>
  </si>
  <si>
    <t>GNR_GT_NGAS_BP_E-39_SS-5-MW_Y-2030</t>
  </si>
  <si>
    <t>GNR_GT_NGAS_BP_E-40_SS-5-MW_Y-2050</t>
  </si>
  <si>
    <t>GNR_GT_NGAS_BP_E-42_LS-40-MW_Y-2020</t>
  </si>
  <si>
    <t>GNR_GT_NGAS_BP_E-43_LS-40-MW_Y-2030</t>
  </si>
  <si>
    <t>GNR_GT_NGAS_BP_E-44_LS-40-MW_Y-2050</t>
  </si>
  <si>
    <t>GNR_GT_NGAS_CND_E-37_SS-5-MW_Y-2020</t>
  </si>
  <si>
    <t>GNR_GT_NGAS_CND_E-39_SS-5-MW_Y-2030</t>
  </si>
  <si>
    <t>GNR_GT_NGAS_CND_E-40_SS-5-MW_Y-2050</t>
  </si>
  <si>
    <t>GNR_GT_NGAS_CND_E-42_LS-40-MW_Y-2020</t>
  </si>
  <si>
    <t>GNR_GT_NGAS_CND_E-43_LS-40-MW_Y-2030</t>
  </si>
  <si>
    <t>GNR_GT_NGAS_CND_E-44_LS-40-MW_Y-2050</t>
  </si>
  <si>
    <t>GNR_HP_ELEC_AIR-WTR_COP-310_LS_Y-2020</t>
  </si>
  <si>
    <t>GNR_HP_ELEC_AIR-WTR_COP-310_SS-10-KW_Y-2020</t>
  </si>
  <si>
    <t>GNR_HP_ELEC_AIR-WTR_COP-320_SS-10-KW_Y-2030</t>
  </si>
  <si>
    <t>GNR_HP_ELEC_AIR-WTR_COP-330_LS_Y-2030</t>
  </si>
  <si>
    <t>GNR_HP_ELEC_AIR-WTR_COP-330_SS-10-KW_Y-2050</t>
  </si>
  <si>
    <t>GNR_HP_ELEC_AIR-WTR_COP-360_LS_Y-2050</t>
  </si>
  <si>
    <t>GNR_HP_ELEC_COP-1200_Y-2030</t>
  </si>
  <si>
    <t>GNR_HP_ELEC_COP-1800_Y-2050</t>
  </si>
  <si>
    <t>GNR_HP_ELEC_COP-400_Y-2020</t>
  </si>
  <si>
    <t>GNR_HP_ELEC_COP-480_Y-2030</t>
  </si>
  <si>
    <t>GNR_HP_ELEC_COP-500_Y-2020</t>
  </si>
  <si>
    <t>GNR_HP_ELEC_COP-600_Y-2030</t>
  </si>
  <si>
    <t>GNR_HP_ELEC_COP-600_Y-2050</t>
  </si>
  <si>
    <t>GNR_HP_ELEC_COP-740_Y-2050</t>
  </si>
  <si>
    <t>GNR_HP_ELEC_COP-900_Y-2020</t>
  </si>
  <si>
    <t>GNR_HP_ELEC_GROUND-WTR_COP-360_LS-4-MW_Y-2020</t>
  </si>
  <si>
    <t>GNR_HP_ELEC_GROUND-WTR_COP-370_SS-10-KW_Y-2020</t>
  </si>
  <si>
    <t>GNR_HP_ELEC_GROUND-WTR_COP-380_LS-4-MW_Y-2030</t>
  </si>
  <si>
    <t>GNR_HP_ELEC_GROUND-WTR_COP-380_SS-10-KW_Y-2030</t>
  </si>
  <si>
    <t>GNR_HP_ELEC_GROUND-WTR_COP-400_SS-10-KW_Y-2050</t>
  </si>
  <si>
    <t>GNR_HP_ELEC_GROUND-WTR_COP-410_LS-4-MW_Y-2050</t>
  </si>
  <si>
    <t>GNR_HS_HEAT_PIT_L-CEN_E-90_Y-2020</t>
  </si>
  <si>
    <t>GNR_HS_HEAT_PIT_L-CEN_E-90_Y-2030</t>
  </si>
  <si>
    <t>GNR_HS_HEAT_PIT_L-CEN_E-90_Y-2050</t>
  </si>
  <si>
    <t>GNR_HS_HEAT_PIT_L-DEC_E-91_Y-2020</t>
  </si>
  <si>
    <t>GNR_HS_HEAT_PIT_L-DEC_E-91_Y-2030</t>
  </si>
  <si>
    <t>GNR_HS_HEAT_PIT_L-DEC_E-91_Y-2050</t>
  </si>
  <si>
    <t>GNR_HS_HEAT_WTR-TANK_LS_E-95_Y-2010</t>
  </si>
  <si>
    <t>GNR_HS_HEAT_WTR-TANK_SS_E-95_Y-2010</t>
  </si>
  <si>
    <t>GNR_PV_SUN_LS-4-MW_Y-2020</t>
  </si>
  <si>
    <t>GNR_PV_SUN_LS-4-MW_Y-2030</t>
  </si>
  <si>
    <t>GNR_PV_SUN_LS-4-MW_Y-2050</t>
  </si>
  <si>
    <t>GNR_PV_SUN_MS-100-KW_Y-2020</t>
  </si>
  <si>
    <t>GNR_PV_SUN_MS-100-KW_Y-2030</t>
  </si>
  <si>
    <t>GNR_PV_SUN_MS-100-KW_Y-2050</t>
  </si>
  <si>
    <t>GNR_PV_SUN_SS-6-KW_Y-2020</t>
  </si>
  <si>
    <t>GNR_PV_SUN_SS-6-KW_Y-2030</t>
  </si>
  <si>
    <t>GNR_PV_SUN_SS-6-KW_Y-2050</t>
  </si>
  <si>
    <t>GNR_RES_WTR_PMP_E-80_Y-16-50</t>
  </si>
  <si>
    <t>GNR_SH_SUN_LS_Y-2020</t>
  </si>
  <si>
    <t>GNR_SH_SUN_LS_Y-2030</t>
  </si>
  <si>
    <t>GNR_SH_SUN_LS_Y-2050</t>
  </si>
  <si>
    <t>GNR_SH_SUN_SS-4-KW_Y-2020</t>
  </si>
  <si>
    <t>GNR_SH_SUN_SS-4-KW_Y-2030</t>
  </si>
  <si>
    <t>GNR_SH_SUN_SS-4-KW_Y-2050</t>
  </si>
  <si>
    <t>GNR_ST_COAL_CND_E-49_LS-400-MW_Y-2020</t>
  </si>
  <si>
    <t>GNR_ST_COAL_CND_E-52_LS-400-MW_Y-2030</t>
  </si>
  <si>
    <t>GNR_ST_COAL_CND_E-54_LS-400-MW_Y-2050</t>
  </si>
  <si>
    <t>GNR_ST_COAL_EXT_E-49_LS-400-MW_Y-2020</t>
  </si>
  <si>
    <t>GNR_ST_COAL_EXT_E-52_LS-400-MW_Y-2030</t>
  </si>
  <si>
    <t>GNR_ST_COAL_EXT_E-54_LS-400-MW_Y-2050</t>
  </si>
  <si>
    <t>GNR_ST_MSW_BP_E-23_LS-220-MW-FEED_Y-2020</t>
  </si>
  <si>
    <t>GNR_ST_MSW_BP_E-23_MS-80-MW-FEED_Y-2020</t>
  </si>
  <si>
    <t>GNR_ST_MSW_BP_E-23_SS-35-MW-FEED_Y-2020</t>
  </si>
  <si>
    <t>GNR_ST_MSW_BP_E-24_LS-220-MW-FEED_Y-2030</t>
  </si>
  <si>
    <t>GNR_ST_MSW_BP_E-24_MS-80-MW-FEED_Y-2030</t>
  </si>
  <si>
    <t>GNR_ST_MSW_BP_E-24_MS-80-MW-FEED_Y-2050</t>
  </si>
  <si>
    <t>GNR_ST_MSW_BP_E-24_SS-35-MW-FEED_Y-2030</t>
  </si>
  <si>
    <t>GNR_ST_MSW_BP_E-24_SS-35-MW-FEED_Y-2050</t>
  </si>
  <si>
    <t>GNR_ST_MSW_BP_E-25_LS-220-MW-FEED_Y-2050</t>
  </si>
  <si>
    <t>GNR_ST_MSW_CND_E-23_LS-220-MW-FEED_Y-2020</t>
  </si>
  <si>
    <t>GNR_ST_MSW_CND_E-23_MS-80-MW-FEED_Y-2020</t>
  </si>
  <si>
    <t>GNR_ST_MSW_CND_E-23_SS-35-MW-FEED_Y-2020</t>
  </si>
  <si>
    <t>GNR_ST_MSW_CND_E-24_LS-220-MW-FEED_Y-2030</t>
  </si>
  <si>
    <t>GNR_ST_MSW_CND_E-24_MS-80-MW-FEED_Y-2030</t>
  </si>
  <si>
    <t>GNR_ST_MSW_CND_E-24_MS-80-MW-FEED_Y-2050</t>
  </si>
  <si>
    <t>GNR_ST_MSW_CND_E-24_SS-35-MW-FEED_Y-2030</t>
  </si>
  <si>
    <t>GNR_ST_MSW_CND_E-24_SS-35-MW-FEED_Y-2050</t>
  </si>
  <si>
    <t>GNR_ST_MSW_CND_E-25_LS-220-MW-FEED_Y-2050</t>
  </si>
  <si>
    <t>GNR_ST_NGAS_CND_E-47_LS-400-MW_Y-2020</t>
  </si>
  <si>
    <t>GNR_ST_NGAS_CND_E-47_LS-400-MW_Y-2030</t>
  </si>
  <si>
    <t>GNR_ST_NGAS_CND_E-47_LS-400-MW_Y-2050</t>
  </si>
  <si>
    <t>GNR_ST_NGAS_EXT_E-47_LS-400-MW_Y-2020</t>
  </si>
  <si>
    <t>GNR_ST_NGAS_EXT_E-47_LS-400-MW_Y-2030</t>
  </si>
  <si>
    <t>GNR_ST_NGAS_EXT_E-47_LS-400-MW_Y-2050</t>
  </si>
  <si>
    <t>GNR_ST_STRW_BP_E-17_SS-20-MW-FEED_Y-2020</t>
  </si>
  <si>
    <t>GNR_ST_STRW_BP_E-17_SS-20-MW-FEED_Y-2030</t>
  </si>
  <si>
    <t>GNR_ST_STRW_BP_E-17_SS-20-MW-FEED_Y-2050</t>
  </si>
  <si>
    <t>GNR_ST_STRW_BP_E-25_MS-80-MW-FEED_Y-2020</t>
  </si>
  <si>
    <t>GNR_ST_STRW_BP_E-25_MS-80-MW-FEED_Y-2030</t>
  </si>
  <si>
    <t>GNR_ST_STRW_BP_E-25_MS-80-MW-FEED_Y-2050</t>
  </si>
  <si>
    <t>GNR_ST_STRW_BP_E-31_LS-132-MW-FEED_Y-2020</t>
  </si>
  <si>
    <t>GNR_ST_STRW_BP_E-31_LS-132-MW-FEED_Y-2030</t>
  </si>
  <si>
    <t>GNR_ST_STRW_BP_E-31_LS-132-MW-FEED_Y-2050</t>
  </si>
  <si>
    <t>GNR_ST_STRW_CND_E-17_SS-20-MW-FEED_Y-2020</t>
  </si>
  <si>
    <t>GNR_ST_STRW_CND_E-17_SS-20-MW-FEED_Y-2030</t>
  </si>
  <si>
    <t>GNR_ST_STRW_CND_E-17_SS-20-MW-FEED_Y-2050</t>
  </si>
  <si>
    <t>GNR_ST_STRW_CND_E-25_MS-80-MW-FEED_Y-2020</t>
  </si>
  <si>
    <t>GNR_ST_STRW_CND_E-25_MS-80-MW-FEED_Y-2030</t>
  </si>
  <si>
    <t>GNR_ST_STRW_CND_E-25_MS-80-MW-FEED_Y-2050</t>
  </si>
  <si>
    <t>GNR_ST_STRW_CND_E-31_LS-132-MW-FEED_Y-2020</t>
  </si>
  <si>
    <t>GNR_ST_STRW_CND_E-31_LS-132-MW-FEED_Y-2030</t>
  </si>
  <si>
    <t>GNR_ST_STRW_CND_E-31_LS-132-MW-FEED_Y-2050</t>
  </si>
  <si>
    <t>GNR_ST_WOODCHI_BP_E-16_SS-20-MW-FEED_Y-2020</t>
  </si>
  <si>
    <t>GNR_ST_WOODCHI_BP_E-16_SS-20-MW-FEED_Y-2030</t>
  </si>
  <si>
    <t>GNR_ST_WOODCHI_BP_E-16_SS-20-MW-FEED_Y-2050</t>
  </si>
  <si>
    <t>GNR_ST_WOODCHI_BP_E-29_LS-600-MW-FEED_Y-2020</t>
  </si>
  <si>
    <t>GNR_ST_WOODCHI_BP_E-29_LS-600-MW-FEED_Y-2030</t>
  </si>
  <si>
    <t>GNR_ST_WOODCHI_BP_E-29_LS-600-MW-FEED_Y-2050</t>
  </si>
  <si>
    <t>GNR_ST_WOODCHI_BP_E-29_MS-80-MW-FEED_Y-2020</t>
  </si>
  <si>
    <t>GNR_ST_WOODCHI_BP_E-29_MS-80-MW-FEED_Y-2030</t>
  </si>
  <si>
    <t>GNR_ST_WOODCHI_BP_E-29_MS-80-MW-FEED_Y-2050</t>
  </si>
  <si>
    <t>GNR_ST_WOODCHI_CND_E-16_SS-20-MW-FEED_Y-2020</t>
  </si>
  <si>
    <t>GNR_ST_WOODCHI_CND_E-16_SS-20-MW-FEED_Y-2030</t>
  </si>
  <si>
    <t>GNR_ST_WOODCHI_CND_E-16_SS-20-MW-FEED_Y-2050</t>
  </si>
  <si>
    <t>GNR_ST_WOODCHI_CND_E-29_LS-600-MW-FEED_Y-2020</t>
  </si>
  <si>
    <t>GNR_ST_WOODCHI_CND_E-29_LS-600-MW-FEED_Y-2030</t>
  </si>
  <si>
    <t>GNR_ST_WOODCHI_CND_E-29_LS-600-MW-FEED_Y-2050</t>
  </si>
  <si>
    <t>GNR_ST_WOODCHI_CND_E-29_MS-80-MW-FEED_Y-2020</t>
  </si>
  <si>
    <t>GNR_ST_WOODCHI_CND_E-29_MS-80-MW-FEED_Y-2030</t>
  </si>
  <si>
    <t>GNR_ST_WOODCHI_CND_E-29_MS-80-MW-FEED_Y-2050</t>
  </si>
  <si>
    <t>GNR_ST_WOODPEL_BP_E-30_MS-80-MW-FEED_Y-2020</t>
  </si>
  <si>
    <t>GNR_ST_WOODPEL_BP_E-30_MS-80-MW-FEED_Y-2030</t>
  </si>
  <si>
    <t>GNR_ST_WOODPEL_BP_E-30_MS-80-MW-FEED_Y-2050</t>
  </si>
  <si>
    <t>GNR_ST_WOODPEL_CND_E-30_MS-80-MW-FEED_Y-2020</t>
  </si>
  <si>
    <t>GNR_ST_WOODPEL_CND_E-30_MS-80-MW-FEED_Y-2030</t>
  </si>
  <si>
    <t>GNR_ST_WOODPEL_CND_E-30_MS-80-MW-FEED_Y-2050</t>
  </si>
  <si>
    <t>GNR_ST_WOODPEL_CND_E-33_LS-800-MW-FEED_Y-2020</t>
  </si>
  <si>
    <t>GNR_ST_WOODPEL_CND_E-33_LS-800-MW-FEED_Y-2030</t>
  </si>
  <si>
    <t>GNR_ST_WOODPEL_CND_E-33_LS-800-MW-FEED_Y-2050</t>
  </si>
  <si>
    <t>GNR_ST_WOODPEL_CND_E-49_LS-250-MW_Y-2020</t>
  </si>
  <si>
    <t>GNR_ST_WOODPEL_CND_E-52_LS-250-MW_Y-2030</t>
  </si>
  <si>
    <t>GNR_ST_WOODPEL_CND_E-54_LS-250-MW_Y-2050</t>
  </si>
  <si>
    <t>GNR_ST_WOODPEL_EXT_E-33_LS-800-MW-FEED_Y-2020</t>
  </si>
  <si>
    <t>GNR_ST_WOODPEL_EXT_E-33_LS-800-MW-FEED_Y-2030</t>
  </si>
  <si>
    <t>GNR_ST_WOODPEL_EXT_E-33_LS-800-MW-FEED_Y-2050</t>
  </si>
  <si>
    <t>GNR_ST_WOODPEL_EXT_E-49_LS-250-MW_Y-2020</t>
  </si>
  <si>
    <t>GNR_ST_WOODPEL_EXT_E-52_LS-250-MW_Y-2030</t>
  </si>
  <si>
    <t>GNR_ST_WOODPEL_EXT_E-54_LS-250-MW_Y-2050</t>
  </si>
  <si>
    <t>GNR_ST_WOODWST_BP_E-53</t>
  </si>
  <si>
    <t>GNR_WT_WIND_OFF_L-FS_Y-2020</t>
  </si>
  <si>
    <t>GNR_WT_WIND_OFF_L-FS_Y-2030</t>
  </si>
  <si>
    <t>GNR_WT_WIND_OFF_L-FS_Y-2050</t>
  </si>
  <si>
    <t>GNR_WT_WIND_OFF_L-NS_Y-2020</t>
  </si>
  <si>
    <t>GNR_WT_WIND_OFF_L-NS_Y-2030</t>
  </si>
  <si>
    <t>GNR_WT_WIND_OFF_L-NS_Y-2050</t>
  </si>
  <si>
    <t>GNR_WT_WIND_ON_LS_Y-2020</t>
  </si>
  <si>
    <t>GNR_WT_WIND_ON_LS_Y-2030</t>
  </si>
  <si>
    <t>GNR_WT_WIND_ON_LS_Y-2050</t>
  </si>
  <si>
    <t>GNR_WT_WIND_ON_SS-25-KW_Y-2020</t>
  </si>
  <si>
    <t>GNR_WT_WIND_ON_SS-25-KW_Y-2030</t>
  </si>
  <si>
    <t>GNR_WT_WIND_ON_SS-25-KW_Y-2050</t>
  </si>
  <si>
    <t>GNR_ST_WOODPEL_BP_E-17_SS-20-MW-FEED_Y-2020</t>
  </si>
  <si>
    <t>GNR_ST_WOODPEL_BP_E-17_SS-20-MW-FEED_Y-2030</t>
  </si>
  <si>
    <t>GNR_ST_WOODPEL_BP_E-17_SS-20-MW-FEED_Y-2050</t>
  </si>
  <si>
    <t>GNR_ST_WOODPEL_CND_E-17_SS-20-MW-FEED_Y-2020</t>
  </si>
  <si>
    <t>GNR_ST_WOODPEL_CND_E-17_SS-20-MW-FEED_Y-2030</t>
  </si>
  <si>
    <t>GNR_ST_WOODPEL_CND_E-17_SS-20-MW-FEED_Y-2050</t>
  </si>
  <si>
    <t>Sum of Investment cost M€/MW</t>
  </si>
  <si>
    <t>Investment technology (yes/no)</t>
  </si>
  <si>
    <t>1.0</t>
  </si>
  <si>
    <t>Fuel type</t>
  </si>
  <si>
    <t>CREATE TABLE `Technology characteristics`(`Case`,`Technology`,`Fuel type`,`Technology Type`,`Technology Category`,`CHP CB-value` REAL,`CHP CV-value` REAL,`Fuel efficiency` REAL,`Investment cost M€/MW` REAL,`Variable operating and maintenance cost €/MWh` REAL,`Annual fixed operational cost k€/MW` REAL,`Technology available from year` REAL,`Technology available until year` REAL,`Investment technology (yes/no)`,`Lifetime` REAL,`Time to unload storage` REAL,`Time to load storage` REAL);</t>
  </si>
  <si>
    <t>UPDATE [Technology characteristics] SET `Technology Type` = CASE WHEN EXISTS (SELECT * FROM IGCND WHERE ([Technology characteristics].[Case] =  IGCND.IGCND) AND ([Technology characteristics].[Technology] = IGCND.IGCND3)) THEN  'Condensing' WHEN EXISTS (SELECT * FROM IGBPR WHERE ([Technology characteristics].[Case] = IGBPR.IGBPR) AND ([Technology characteristics].[Technology] = IGBPR.IGBPR3)) THEN 'Backpressure' WHEN EXISTS (SELECT * FROM IGEXT WHERE ([Technology characteristics].[Case] = IGEXT.IGEXT) AND ([Technology characteristics].[Technology] = IGEXT.IGEXT3)) THEN 'Extraction' WHEN EXISTS (SELECT * FROM IGHOB WHERE ([Technology characteristics].[Case] = IGHOB.IGHOB) AND ([Technology characteristics].[Technology] = IGHOB.IGHOB3)) THEN 'Heat-Only' WHEN EXISTS (SELECT * FROM IGETOH WHERE ([Technology characteristics].[Case] = IGETOH.IGETOH) AND ([Technology characteristics].[Technology] = IGETOH.IGETOH3)) THEN 'Electricity to heat' WHEN EXISTS (SELECT * FROM IGESTO WHERE ([Technology characteristics].[Case] = IGESTO.IGESTO) AND ([Technology characteristics].[Technology] = IGESTO.IGESTO3)) THEN 'EL storage' WHEN EXISTS (SELECT * FROM IGESTOS WHERE ([Technology characteristics].[Case] = IGESTOS.IGESTOS) AND ([Technology characteristics].[Technology] = IGESTOS.IGESTOS3)) THEN 'EL storage S' WHEN EXISTS (SELECT * FROM IGHSTO WHERE ([Technology characteristics].[Case] = IGHSTO.IGHSTO) AND ([Technology characteristics].[Technology] = IGHSTO.IGHSTO3)) THEN 'HE storage' WHEN EXISTS (SELECT * FROM IGHSTOS WHERE ([Technology characteristics].[Case] = IGHSTOS.IGHSTOS) AND ([Technology characteristics].[Technology] = IGHSTOS.IGHSTOS3)) THEN 'HE storage S' WHEN EXISTS (SELECT * FROM IGHYRS WHERE ([Technology characteristics].[Case] = IGHYRS.IGHYRS) AND ([Technology characteristics].[Technology] = IGHYRS.IGHYRS3)) THEN 'Hydro reservoir' WHEN EXISTS (SELECT * FROM IGHYRR WHERE ([Technology characteristics].[Case] = IGHYRR.IGHYRR) AND ([Technology characteristics].[Technology] = IGHYRR.IGHYRR3)) THEN 'Hydro ROR' WHEN EXISTS (SELECT * FROM IGWND WHERE ([Technology characteristics].[Case] = IGWND.IGWND) AND ([Technology characteristics].[Technology] = IGWND.IGWND3)) THEN 'Wind' WHEN EXISTS (SELECT * FROM IGSOLE WHERE ([Technology characteristics].[Case] = IGSOLE.IGSOLE) AND ([Technology characteristics].[Technology] = IGSOLE.IGSOLE3)) THEN 'Solar PV' WHEN EXISTS (SELECT * FROM IGSOLH WHERE ([Technology characteristics].[Case] = IGSOLH.IGSOLH) AND ([Technology characteristics].[Technology] = IGSOLH.IGSOLH3)) THEN 'Solar heat' WHEN EXISTS (SELECT * FROM IGWAVE WHERE ([Technology characteristics].[Case] = IGWAVE.IGWAVE) AND ([Technology characteristics].[Technology] = IGWAVE.IGWAVE3)) THEN 'Wave' END;</t>
  </si>
  <si>
    <t>Sum of PJ</t>
  </si>
  <si>
    <t>UPDATE [Cap_Invest_MW] SET MW = MW/(SELECT Tech.[Time to unload storage] FROM [Technology characteristics] AS Tech INNER JOIN Cap_Invest_MW ON Tech.[Case]=Cap_Invest_MW.[Case] AND Tech.[Technology]=Cap_Invest_MW.[Technology] WHERE Cap_Invest_MW.[Technology Category] ='Storage') WHERE Cap_Invest_MW.[Technology Category] ='Storage';</t>
  </si>
  <si>
    <t>UPDATE [Electricity generation capacity Total] SET MW = MW/(SELECT Tech.[Time to unload storage] FROM [Technology characteristics] AS Tech INNER JOIN [Electricity generation capacity Total] AS CapTot ON Tech.[Case]=CapTot.[Case] AND Tech.[Technology]=CapTot.[Technology] WHERE CapTot.[Technology Category] ='Storage') WHERE [Electricity generation capacity Total].[Technology Category] ='Storage';</t>
  </si>
  <si>
    <t>UPDATE [Heat generation capacity Total] SET MW = MW/(SELECT Tech.[Time to unload storage] FROM [Technology characteristics] AS Tech INNER JOIN [Heat generation capacity Total] AS CapTot ON Tech.[Case]=CapTot.[Case] AND Tech.[Technology]=CapTot.[Technology] WHERE CapTot.[Technology Category] ='Storage') WHERE [Heat generation capacity Total].[Technology Category] ='Storage';</t>
  </si>
  <si>
    <t>LIGHTOIL</t>
  </si>
  <si>
    <t>FUELOIL</t>
  </si>
  <si>
    <t>RETORTGAS</t>
  </si>
  <si>
    <t>SHALE</t>
  </si>
  <si>
    <t>PEAT</t>
  </si>
  <si>
    <t>OTHERGAS</t>
  </si>
  <si>
    <t>LIGNITE</t>
  </si>
  <si>
    <t>BIOOIL</t>
  </si>
  <si>
    <t>LNG</t>
  </si>
  <si>
    <t>INSERT INTO `Electricity generation - Term` SELECT [El_Gen].[Case],[El_Gen].BaseYear,[El_Gen].ModelYear,ICA.ICA3,RRRAAA.RRRAAA3,[El_Gen].Area,IGF.IGF4,Tech.[Technology Category],Tech.[Technology Type],[El_Gen].Technology,[El_Gen].Season,[El_Gen].Term, Sum([El_Gen].Generation_MW), Sum([El_Gen].[Generation_MW]*[IHOURSINST].[value]), Sum([El_Gen].[Generation_MW]*[IHOURSINST].[value])*3.6 FROM [Technology characteristics] AS Tech INNER JOIN (IHOURSINST INNER JOIN (IGF INNER JOIN (ICA INNER JOIN (RRRAAA INNER JOIN [El_Gen] ON RRRAAA.RRRAAA = [El_Gen].[Case] AND RRRAAA.RRRAAA4 = [El_Gen].Area) ON ICA.ICA4 = [El_Gen].AREA AND [El_Gen].[Case] = ICA.ICA) ON IGF.IGF3=[El_Gen].Technology AND [El_Gen].[Case] = IGF.IGF) ON IHOURSINST.IHOURSINST4=[El_Gen].Term AND IHOURSINST.IHOURSINST3 = [El_Gen].Season AND IHOURSINST.IHOURSINST = [El_Gen].[Case]) ON Tech.[Case]=[El_Gen].[Case] AND Tech.[Technology]=[El_Gen].[Technology] GROUP BY [El_Gen].[Case],[El_Gen].BaseYear,[El_Gen].ModelYear,[El_Gen].Area,[El_Gen].Technology,[El_Gen].Season,[El_Gen].Term;</t>
  </si>
  <si>
    <t>INSERT INTO `Technology characteristics` (`Case`,`Technology`,`Fuel type`,`Technology Type`,`CHP CB-value`,`CHP CV-value`,`Fuel efficiency`,`Investment cost M€/MW`,`Variable operating and maintenance cost €/MWh`,`Annual fixed operational cost k€/MW`,`Technology available from year`,`Technology available until year`,`Investment technology (yes/no)`,`Lifetime`,`Time to unload storage`,`Time to load storage`) SELECT GDATA,GDATA3,IGF.IGF4,MAX(CASE GDATA4 WHEN 'GDTYPE' then Value else null end),MAX(CASE GDATA4 WHEN 'GDCB' then Value else null end),MAX(CASE GDATA4 WHEN 'GDCV' then Value else null end),MAX(CASE GDATA4 WHEN 'GDFE' then Value else null end),MAX(CASE GDATA4 WHEN 'GDINVCOST0' then Value else null end),MAX(CASE GDATA4 WHEN 'GDOMVCOST0' then Value else null end),mAX(CASE GDATA4 WHEN 'GDOMFCOST0' then Value else null end),MAX(CASE GDATA4 WHEN 'GDFROMYEAR' then Value else null end),MAX(CASE GDATA4 WHEN 'GDLASTYEAR' then Value else null end), MAX(CASE GDATA4 WHEN 'GDKVARIABL' then Value else null end), MAX(CASE GDATA4 WHEN 'GDLIFETIME' then Value else null end), MAX(CASE GDATA4 WHEN 'GDSTOHUNLD' then Value else null end), MAX(CASE GDATA4 WHEN 'GDSTOHLOAD' then Value else null end) FROM IGF INNER JOIN GDATA ON GDATA.GDATA = IGF.IGF AND GDATA.GDATA3=IGF.IGF3 GROUP BY GDATA,GDATA3;</t>
  </si>
  <si>
    <t>Generation investment cost M€</t>
  </si>
  <si>
    <t>Fuel costs M€</t>
  </si>
  <si>
    <t>Power plant variable O&amp;M cost M€</t>
  </si>
  <si>
    <t>Transmission cost M€</t>
  </si>
  <si>
    <t>Power plant fixed O&amp;M cost M€</t>
  </si>
  <si>
    <t>INSERT INTO `Economy`(`Case`,`BaseYear`,`ModelYear`,`Country`,`Region`,`Area`,`Fuel`,`Technology Category`,`Technology Type`,`Technology`,`Category`,`Value`) SELECT VGKN.VGKN,VGKN.VGKN2,VGKN.VGKN3,ICA.ICA3,RRRAAA.RRRAAA3,VGKN.VGKN4,Tech.[Fuel Type],Tech.[Technology Category],Tech.[Technology Type],VGKN.VGKN5,'Generation investment cost M€', sum(ANNUITYCG.value*VGKN.LEVEL*IC.value*OMONEY.value) FROM [Technology characteristics] AS Tech INNER JOIN (ANNUITYCG INNER JOIN (RRRAAA INNER JOIN (ICA INNER JOIN (OMONEY INNER JOIN (VGKN INNER JOIN GINVCOST AS IC ON VGKN.VGKN = IC.GINVCOST AND VGKN.VGKN4=IC.GINVCOST3 AND VGKN.VGKN5=IC.GINVCOST4) ON OMONEY.OMONEY=VGKN.VGKN) ON ICA.ICA=VGKN.VGKN AND ICA.ICA4=VGKN.VGKN4) ON RRRAAA.RRRAAA=VGKN.VGKN AND RRRAAA.RRRAAA4=VGKN.VGKN4) ON ANNUITYCG.ANNUITYCG=VGKN.VGKN AND ANNUITYCG.ANNUITYCG3=ICA.ICA3 AND ANNUITYCG.ANNUITYCG4=VGKN.VGKN5) ON Tech.[Case]=VGKN.VGKN AND Tech.[Technology]=VGKN.VGKN5 WHERE VGKN.LEVEL&gt;0 AND VGKN.VGKN3&gt;= VGKN.VGKN2 GROUP BY VGKN.VGKN,VGKN.VGKN2,VGKN.VGKN3,ICA.ICA3,RRRAAA.RRRAAA3,VGKN.VGKN4,VGKN.VGKN5;</t>
  </si>
  <si>
    <t>UPDATE `Heat generation capacity Total` SET MW = CASE WHEN [Technology Type]= ('Backpressure') THEN MW/ (SELECT Tech.[CHP CB-value] FROM [Technology characteristics] AS TECH INNER JOIN [Heat generation capacity Total] AS HCAP ON Tech.Technology=HCAP.[Technology] AND Tech.[Case]=HCAP.[Case]) WHEN [Technology Type]= ('Extraction') THEN MW/ (SELECT Tech.[CHP CB-value]+Tech.[CHP CV-value] FROM [Technology characteristics] AS TECH INNER JOIN [Heat generation capacity Total] AS HCAP ON Tech.Technology=HCAP.[Technology] AND Tech.[Case]=HCAP.[Case]) ELSE MW END, GW=CASE WHEN [Technology Type]= ('Backpressure') THEN GW/ (SELECT Tech.[CHP CB-value] FROM [Technology characteristics] AS TECH INNER JOIN [Heat generation capacity Total] AS HCAP ON Tech.Technology=HCAP.[Technology] AND Tech.[Case]=HCAP.[Case]) WHEN [Technology Type]= ('Extraction') THEN GW/ (SELECT Tech.[CHP CB-value]+Tech.[CHP CV-value] FROM [Technology characteristics] AS TECH INNER JOIN [Heat generation capacity Total] AS HCAP ON Tech.Technology=HCAP.[Technology] AND Tech.[Case]=HCAP.[Case]) ELSE GW END;</t>
  </si>
  <si>
    <t>Tot_Cap_MW</t>
  </si>
  <si>
    <t>DROP VIEW if exists `Cap_Tot`;</t>
  </si>
  <si>
    <t>CREATE VIEW Cap_Tot(`Case`,`BaseYear`,`ModelYear`,`Country`,`Region`,`Area`,`Fuel`,`Technology Category`,`Technology Type`,`Capacity Type`,`Technology`,`MW`) AS SELECT [Case],BaseYear,ModelYear,Country,Region,Area,Fuel,[Technology Category],[Technology Type],[Capacity Type],Technology,MW FROM [Endo_gen_cap_MW] UNION SELECT Exo.[Case],Endo.Baseyear,Exo.Year,Exo.Country,Exo.Region,Exo.Area,Exo.Fuel,Exo.[Technology Category],Exo.[Technology Type],Exo.[Capacity Type],Exo.Technology,Exo.MW FROM ([Exo_gen_cap_MW] AS Exo INNER JOIN Y ON Y.Y=Exo.[Case] AND Y.Y3=Exo.Year) LEFT JOIN [Endo_gen_cap_MW] AS Endo ON Exo.Year=Endo.ModelYear AND Exo.[Case]=Endo.[Case];</t>
  </si>
  <si>
    <t>INSERT INTO `Storage capacity` SELECT [Case],BaseYear,ModelYear,Country,Region,Area,Fuel,[Technology Type],[Capacity Type],Technology,MW,MW/1000 FROM Cap_Tot WHERE [Technology Category]='Storage';</t>
  </si>
  <si>
    <t>INSERT INTO `Electricity generation capacity Total` SELECT [Case],BaseYear,ModelYear,Country,Region,Area,Fuel,[Technology Category],[Technology Type],[Capacity Type],Technology,MW,MW/1000 FROM Cap_Tot WHERE [Technology Type] IN ('Condensing', 'Backpressure', 'Extraction','EL storage','EL storage S','Hydro reservoir','Hydro ROR','Solar PV' ,'Wind' ,'Wave');</t>
  </si>
  <si>
    <t>INSERT INTO `Heat generation capacity Total` SELECT [Case],BaseYear,ModelYear,Country,Region,Area,Fuel,[Technology Category],[Technology Type],`Capacity Type`,Technology,MW,MW/1000 FROM Cap_Tot WHERE [Technology Type] IN ('Backpressure','Extraction','Heat-Only','Electricity to heat','HE storage','HE storage S','Solar heat') ;</t>
  </si>
  <si>
    <t>INSERT INTO `Economy`(`Case`,`BaseYear`,`ModelYear`,`Country`,`Region`,`Area`,`Fuel`,`Technology Category`,`Technology Type`,`Technology`,`Category`,`Value`) SELECT CAP.[Case],CAP.BaseYear,CAP.ModelYear,CAP.Country,CAP.Region,CAP.Area,CAP.Fuel,CAP.[Technology Category],CAP.[Technology Type],CAP.Technology,'Power plant fixed O&amp;M cost M€',0.001*sum(OMONEY.value*FCOST.value*CAP.MW) FROM OMONEY INNER JOIN (Cap_Tot AS CAP INNER JOIN GOMFCOST AS FCOST ON CAP.[Case]=FCOST.GOMFCOST AND CAP.Area=GOMFCOST3 AND CAP.Technology=GOMFCOST4) ON OMONEY.OMONEY=CAP.[Case] GROUP BY CAP.[Case],CAP.BaseYear,CAP.ModelYear,CAP.Country,CAP.Region,CAP.Area,CAP.Fuel,CAP.Technology;</t>
  </si>
  <si>
    <t>Export Country</t>
  </si>
  <si>
    <t>Import Country</t>
  </si>
  <si>
    <t>Technology Category</t>
  </si>
  <si>
    <t>VRE</t>
  </si>
  <si>
    <t>Cogeneration</t>
  </si>
  <si>
    <t>Conversion</t>
  </si>
  <si>
    <t>Backpressure</t>
  </si>
  <si>
    <t>Electricity to heat</t>
  </si>
  <si>
    <t>Solar PV</t>
  </si>
  <si>
    <t>Wind</t>
  </si>
  <si>
    <t>Values</t>
  </si>
  <si>
    <t>Total Sum of CO2 megatons</t>
  </si>
  <si>
    <t>Total Sum of N2O tons</t>
  </si>
  <si>
    <t>Sum of N2O tons</t>
  </si>
  <si>
    <t>Total Sum of N2O kilotons</t>
  </si>
  <si>
    <t>Sum of N2O kilotons</t>
  </si>
  <si>
    <t>INSERT INTO `Emissions - Annual` SELECT DF.[Case],DF.BaseYear,DF.ModelYear,DF.Country,DF.Region,DF.Area,DF.Fuel,DF.[Technology Category],DF.[Technology Type],DF.Technology, DF.PJ*IM_CO2.value,DF.[PJ]*IM_CO2.value/1000,DF.PJ*IM_SO2.value*1000,DF.PJ*IM_SO2.value,DF.PJ*IM_N2O.value*1000,DF.PJ*IM_N2O.value FROM (([Fuel_Consumption] AS DF LEFT JOIN IM_CO2 ON DF.[Case]= IM_CO2.IM_CO2 AND DF.Technology=IM_CO2.IM_CO23) LEFT JOIN IM_SO2 ON DF.[Case]= IM_SO2.IM_SO2 AND DF.Technology=IM_SO2.IM_SO23 LEFT JOIN IM_N2O ON (DF.[Case]= IM_N2O.IM_N2O AND DF.Technology=IM_N2O.IM_N2O3)) GROUP BY DF.[Case],DF.BaseYear,DF.ModelYear,DF.Country,DF.Region,DF.Area,DF.Fuel,DF.[Technology Category],DF.[Technology Type],DF.Technology;</t>
  </si>
  <si>
    <t>C:\Doc\BASE-Results_VXH_T.db</t>
  </si>
  <si>
    <t>'DENMARK'</t>
  </si>
  <si>
    <t>BASE</t>
  </si>
  <si>
    <t>GNR_PV_SUN</t>
  </si>
  <si>
    <t>Other</t>
  </si>
  <si>
    <t>EL storage</t>
  </si>
  <si>
    <t>Heat-Only</t>
  </si>
  <si>
    <t>TRANS</t>
  </si>
  <si>
    <t>BASE Total</t>
  </si>
  <si>
    <t>PHL</t>
  </si>
  <si>
    <t>SH</t>
  </si>
  <si>
    <t>PHH</t>
  </si>
  <si>
    <t>GNR_BO_ELEC_E-99_LS-10-MW-FEED_PHH_Y-2020</t>
  </si>
  <si>
    <t>GNR_BO_ELEC_E-99_LS-10-MW-FEED_PHH_Y-2030</t>
  </si>
  <si>
    <t>GNR_BO_ELEC_E-99_LS-10-MW-FEED_PHH_Y-2050</t>
  </si>
  <si>
    <t>GNR_BO_ELEC_E-99_LS-10-MW-FEED_PHL_Y-2020</t>
  </si>
  <si>
    <t>GNR_BO_ELEC_E-99_LS-10-MW-FEED_PHL_Y-2030</t>
  </si>
  <si>
    <t>GNR_BO_ELEC_E-99_LS-10-MW-FEED_PHL_Y-2050</t>
  </si>
  <si>
    <t>GNR_BO_NGAS_E-105_SS-500-KW_Y-2020_CT-BGAS-H2</t>
  </si>
  <si>
    <t>BIOGAS_H2</t>
  </si>
  <si>
    <t>GNR_BO_NGAS_E-105_SS-500-KW_Y-2020_CT-BGAS-UP</t>
  </si>
  <si>
    <t>BIOGAS_UP</t>
  </si>
  <si>
    <t>GNR_BO_NGAS_E-105_SS-500-KW_Y-2020_CT-TGAS-H2</t>
  </si>
  <si>
    <t>THERMGAS_H2</t>
  </si>
  <si>
    <t>GNR_BO_NGAS_E-105_SS-500-KW_Y-2020_CT-TGAS-UP</t>
  </si>
  <si>
    <t>THERMGAS_UP</t>
  </si>
  <si>
    <t>GNR_BO_NGAS_E-106_SS-500-KW_Y-2030_CT-BGAS-H2</t>
  </si>
  <si>
    <t>GNR_BO_NGAS_E-106_SS-500-KW_Y-2030_CT-BGAS-UP</t>
  </si>
  <si>
    <t>GNR_BO_NGAS_E-106_SS-500-KW_Y-2030_CT-TGAS-H2</t>
  </si>
  <si>
    <t>GNR_BO_NGAS_E-106_SS-500-KW_Y-2030_CT-TGAS-UP</t>
  </si>
  <si>
    <t>GNR_BO_NGAS_E-106_SS-500-KW_Y-2050_CT-BGAS-H2</t>
  </si>
  <si>
    <t>GNR_BO_NGAS_E-106_SS-500-KW_Y-2050_CT-BGAS-UP</t>
  </si>
  <si>
    <t>GNR_BO_NGAS_E-106_SS-500-KW_Y-2050_CT-TGAS-H2</t>
  </si>
  <si>
    <t>GNR_BO_NGAS_E-106_SS-500-KW_Y-2050_CT-TGAS-UP</t>
  </si>
  <si>
    <t>GNR_BO_NGAS_E-70_PHH</t>
  </si>
  <si>
    <t>GNR_BO_NGAS_E-82_PHL</t>
  </si>
  <si>
    <t>GNR_CC_NGAS_BP_E-51_SS-10-MW_Y-2020_CT-BGAS-H2</t>
  </si>
  <si>
    <t>GNR_CC_NGAS_BP_E-51_SS-10-MW_Y-2020_CT-BGAS-UP</t>
  </si>
  <si>
    <t>GNR_CC_NGAS_BP_E-51_SS-10-MW_Y-2020_CT-TGAS-H2</t>
  </si>
  <si>
    <t>GNR_CC_NGAS_BP_E-51_SS-10-MW_Y-2020_CT-TGAS-UP</t>
  </si>
  <si>
    <t>GNR_CC_NGAS_BP_E-53_SS-10-MW_Y-2030_CT-BGAS-H2</t>
  </si>
  <si>
    <t>GNR_CC_NGAS_BP_E-53_SS-10-MW_Y-2030_CT-BGAS-UP</t>
  </si>
  <si>
    <t>GNR_CC_NGAS_BP_E-53_SS-10-MW_Y-2030_CT-TGAS-H2</t>
  </si>
  <si>
    <t>GNR_CC_NGAS_BP_E-53_SS-10-MW_Y-2030_CT-TGAS-UP</t>
  </si>
  <si>
    <t>GNR_CC_NGAS_BP_E-55_SS-10-MW_Y-2050_CT-BGAS-H2</t>
  </si>
  <si>
    <t>GNR_CC_NGAS_BP_E-55_SS-10-MW_Y-2050_CT-BGAS-UP</t>
  </si>
  <si>
    <t>GNR_CC_NGAS_BP_E-55_SS-10-MW_Y-2050_CT-TGAS-H2</t>
  </si>
  <si>
    <t>GNR_CC_NGAS_BP_E-55_SS-10-MW_Y-2050_CT-TGAS-UP</t>
  </si>
  <si>
    <t>GNR_CC_NGAS_CND_E-51_SS-10-MW_Y-2020_CT-BGAS-H2</t>
  </si>
  <si>
    <t>GNR_CC_NGAS_CND_E-51_SS-10-MW_Y-2020_CT-BGAS-UP</t>
  </si>
  <si>
    <t>GNR_CC_NGAS_CND_E-51_SS-10-MW_Y-2020_CT-TGAS-H2</t>
  </si>
  <si>
    <t>GNR_CC_NGAS_CND_E-51_SS-10-MW_Y-2020_CT-TGAS-UP</t>
  </si>
  <si>
    <t>GNR_CC_NGAS_CND_E-53_SS-10-MW_Y-2030_CT-BGAS-H2</t>
  </si>
  <si>
    <t>GNR_CC_NGAS_CND_E-53_SS-10-MW_Y-2030_CT-BGAS-UP</t>
  </si>
  <si>
    <t>GNR_CC_NGAS_CND_E-53_SS-10-MW_Y-2030_CT-TGAS-H2</t>
  </si>
  <si>
    <t>GNR_CC_NGAS_CND_E-53_SS-10-MW_Y-2030_CT-TGAS-UP</t>
  </si>
  <si>
    <t>GNR_CC_NGAS_CND_E-55_SS-10-MW_Y-2050_CT-BGAS-H2</t>
  </si>
  <si>
    <t>GNR_CC_NGAS_CND_E-55_SS-10-MW_Y-2050_CT-BGAS-UP</t>
  </si>
  <si>
    <t>GNR_CC_NGAS_CND_E-55_SS-10-MW_Y-2050_CT-TGAS-H2</t>
  </si>
  <si>
    <t>GNR_CC_NGAS_CND_E-55_SS-10-MW_Y-2050_CT-TGAS-UP</t>
  </si>
  <si>
    <t>GNR_CC_NGAS_CND_E-58_CT-BGAS-H2</t>
  </si>
  <si>
    <t>GNR_CC_NGAS_CND_E-58_CT-BGAS-UP</t>
  </si>
  <si>
    <t>GNR_CC_NGAS_CND_E-58_CT-TGAS-H2</t>
  </si>
  <si>
    <t>GNR_CC_NGAS_CND_E-58_CT-TGAS-UP</t>
  </si>
  <si>
    <t>GNR_CC_NGAS_CND_E-59_LS-100-MW_Y-2020_CT-BGAS-H2</t>
  </si>
  <si>
    <t>GNR_CC_NGAS_CND_E-59_LS-100-MW_Y-2020_CT-BGAS-UP</t>
  </si>
  <si>
    <t>GNR_CC_NGAS_CND_E-59_LS-100-MW_Y-2020_CT-TGAS-H2</t>
  </si>
  <si>
    <t>GNR_CC_NGAS_CND_E-59_LS-100-MW_Y-2020_CT-TGAS-UP</t>
  </si>
  <si>
    <t>GNR_CC_NGAS_CND_E-61_LS-100-MW_Y-2030_CT-BGAS-H2</t>
  </si>
  <si>
    <t>GNR_CC_NGAS_CND_E-61_LS-100-MW_Y-2030_CT-BGAS-UP</t>
  </si>
  <si>
    <t>GNR_CC_NGAS_CND_E-61_LS-100-MW_Y-2030_CT-TGAS-H2</t>
  </si>
  <si>
    <t>GNR_CC_NGAS_CND_E-61_LS-100-MW_Y-2030_CT-TGAS-UP</t>
  </si>
  <si>
    <t>GNR_CC_NGAS_CND_E-63_LS-100-MW_Y-2050_CT-BGAS-H2</t>
  </si>
  <si>
    <t>GNR_CC_NGAS_CND_E-63_LS-100-MW_Y-2050_CT-BGAS-UP</t>
  </si>
  <si>
    <t>GNR_CC_NGAS_CND_E-63_LS-100-MW_Y-2050_CT-TGAS-H2</t>
  </si>
  <si>
    <t>GNR_CC_NGAS_CND_E-63_LS-100-MW_Y-2050_CT-TGAS-UP</t>
  </si>
  <si>
    <t>GNR_CC_NGAS_EXT_E-59_LS-100-MW_Y-2020_CT-BGAS-H2</t>
  </si>
  <si>
    <t>GNR_CC_NGAS_EXT_E-59_LS-100-MW_Y-2020_CT-BGAS-UP</t>
  </si>
  <si>
    <t>GNR_CC_NGAS_EXT_E-59_LS-100-MW_Y-2020_CT-TGAS-H2</t>
  </si>
  <si>
    <t>GNR_CC_NGAS_EXT_E-59_LS-100-MW_Y-2020_CT-TGAS-UP</t>
  </si>
  <si>
    <t>GNR_CC_NGAS_EXT_E-61_LS-100-MW_Y-2030_CT-BGAS-H2</t>
  </si>
  <si>
    <t>GNR_CC_NGAS_EXT_E-61_LS-100-MW_Y-2030_CT-BGAS-UP</t>
  </si>
  <si>
    <t>GNR_CC_NGAS_EXT_E-61_LS-100-MW_Y-2030_CT-TGAS-H2</t>
  </si>
  <si>
    <t>GNR_CC_NGAS_EXT_E-61_LS-100-MW_Y-2030_CT-TGAS-UP</t>
  </si>
  <si>
    <t>GNR_CC_NGAS_EXT_E-63_LS-100-MW_Y-2050_CT-BGAS-H2</t>
  </si>
  <si>
    <t>GNR_CC_NGAS_EXT_E-63_LS-100-MW_Y-2050_CT-BGAS-UP</t>
  </si>
  <si>
    <t>GNR_CC_NGAS_EXT_E-63_LS-100-MW_Y-2050_CT-TGAS-H2</t>
  </si>
  <si>
    <t>GNR_CC_NGAS_EXT_E-63_LS-100-MW_Y-2050_CT-TGAS-UP</t>
  </si>
  <si>
    <t>GNR_ELYS_ELEC_AEC_Y-15</t>
  </si>
  <si>
    <t>GNR_ELYS_ELEC_AEC_Y-20</t>
  </si>
  <si>
    <t>GNR_ELYS_ELEC_AEC_Y-30</t>
  </si>
  <si>
    <t>GNR_ELYS_ELEC_AEC_Y-50</t>
  </si>
  <si>
    <t>GNR_ELYS_ELEC_PEMEC_Y-15</t>
  </si>
  <si>
    <t>GNR_ELYS_ELEC_PEMEC_Y-20</t>
  </si>
  <si>
    <t>GNR_ELYS_ELEC_PEMEC_Y-30</t>
  </si>
  <si>
    <t>GNR_ELYS_ELEC_PEMEC_Y-50</t>
  </si>
  <si>
    <t>GNR_ELYS_ELEC_SOEC_Y-20</t>
  </si>
  <si>
    <t>GNR_ELYS_ELEC_SOEC_Y-30</t>
  </si>
  <si>
    <t>GNR_ELYS_ELEC_SOEC_Y-50</t>
  </si>
  <si>
    <t>GNR_ENG_NGAS_BP_E-47_Y-2020_CT-BGAS-H2</t>
  </si>
  <si>
    <t>GNR_ENG_NGAS_BP_E-47_Y-2020_CT-BGAS-UP</t>
  </si>
  <si>
    <t>GNR_ENG_NGAS_BP_E-47_Y-2020_CT-TGAS-H2</t>
  </si>
  <si>
    <t>GNR_ENG_NGAS_BP_E-47_Y-2020_CT-TGAS-UP</t>
  </si>
  <si>
    <t>GNR_ENG_NGAS_BP_E-48_Y-2030_CT-BGAS-H2</t>
  </si>
  <si>
    <t>GNR_ENG_NGAS_BP_E-48_Y-2030_CT-BGAS-UP</t>
  </si>
  <si>
    <t>GNR_ENG_NGAS_BP_E-48_Y-2030_CT-TGAS-H2</t>
  </si>
  <si>
    <t>GNR_ENG_NGAS_BP_E-48_Y-2030_CT-TGAS-UP</t>
  </si>
  <si>
    <t>GNR_ENG_NGAS_BP_E-50_Y-2050_CT-BGAS-H2</t>
  </si>
  <si>
    <t>GNR_ENG_NGAS_BP_E-50_Y-2050_CT-BGAS-UP</t>
  </si>
  <si>
    <t>GNR_ENG_NGAS_BP_E-50_Y-2050_CT-TGAS-H2</t>
  </si>
  <si>
    <t>GNR_ENG_NGAS_BP_E-50_Y-2050_CT-TGAS-UP</t>
  </si>
  <si>
    <t>GNR_ENG_NGAS_CND_E-47_Y-2020_CT-BGAS-H2</t>
  </si>
  <si>
    <t>GNR_ENG_NGAS_CND_E-47_Y-2020_CT-BGAS-UP</t>
  </si>
  <si>
    <t>GNR_ENG_NGAS_CND_E-47_Y-2020_CT-TGAS-H2</t>
  </si>
  <si>
    <t>GNR_ENG_NGAS_CND_E-47_Y-2020_CT-TGAS-UP</t>
  </si>
  <si>
    <t>GNR_ENG_NGAS_CND_E-48_Y-2030_CT-BGAS-H2</t>
  </si>
  <si>
    <t>GNR_ENG_NGAS_CND_E-48_Y-2030_CT-BGAS-UP</t>
  </si>
  <si>
    <t>GNR_ENG_NGAS_CND_E-48_Y-2030_CT-TGAS-H2</t>
  </si>
  <si>
    <t>GNR_ENG_NGAS_CND_E-48_Y-2030_CT-TGAS-UP</t>
  </si>
  <si>
    <t>GNR_ENG_NGAS_CND_E-50_Y-2050_CT-BGAS-H2</t>
  </si>
  <si>
    <t>GNR_ENG_NGAS_CND_E-50_Y-2050_CT-BGAS-UP</t>
  </si>
  <si>
    <t>GNR_ENG_NGAS_CND_E-50_Y-2050_CT-TGAS-H2</t>
  </si>
  <si>
    <t>GNR_ENG_NGAS_CND_E-50_Y-2050_CT-TGAS-UP</t>
  </si>
  <si>
    <t>GNR_ENG_NGAS_EXT_E-44_CT-BGAS-H2</t>
  </si>
  <si>
    <t>GNR_ENG_NGAS_EXT_E-44_CT-BGAS-UP</t>
  </si>
  <si>
    <t>GNR_ENG_NGAS_EXT_E-44_CT-TGAS-H2</t>
  </si>
  <si>
    <t>GNR_ENG_NGAS_EXT_E-44_CT-TGAS-UP</t>
  </si>
  <si>
    <t>GNR_ENG_TGAS_BP_E-43_Y-2020</t>
  </si>
  <si>
    <t>THERMGAS</t>
  </si>
  <si>
    <t>GNR_ENG_TGAS_BP_E-45_Y-2030</t>
  </si>
  <si>
    <t>GNR_ENG_TGAS_BP_E-47_Y-2050</t>
  </si>
  <si>
    <t>GNR_ENG_TGAS_CND_E-43_Y-2020</t>
  </si>
  <si>
    <t>GNR_ENG_TGAS_CND_E-45_Y-2030</t>
  </si>
  <si>
    <t>GNR_ENG_TGAS_CND_E-47_Y-2050</t>
  </si>
  <si>
    <t>GNR_FC_H2_SOFCC_Y-15</t>
  </si>
  <si>
    <t>HYDROGEN</t>
  </si>
  <si>
    <t>GNR_FC_H2_SOFCC_Y-20</t>
  </si>
  <si>
    <t>GNR_FC_H2_SOFCC_Y-30</t>
  </si>
  <si>
    <t>GNR_FC_H2_SOFCC_Y-50</t>
  </si>
  <si>
    <t>GNR_GT_NGAS_BP_E-37_SS-5-MW_Y-2020_CT-BGAS-H2</t>
  </si>
  <si>
    <t>GNR_GT_NGAS_BP_E-37_SS-5-MW_Y-2020_CT-BGAS-UP</t>
  </si>
  <si>
    <t>GNR_GT_NGAS_BP_E-37_SS-5-MW_Y-2020_CT-TGAS-H2</t>
  </si>
  <si>
    <t>GNR_GT_NGAS_BP_E-37_SS-5-MW_Y-2020_CT-TGAS-UP</t>
  </si>
  <si>
    <t>GNR_GT_NGAS_BP_E-39_SS-5-MW_Y-2030_CT-BGAS-H2</t>
  </si>
  <si>
    <t>GNR_GT_NGAS_BP_E-39_SS-5-MW_Y-2030_CT-BGAS-UP</t>
  </si>
  <si>
    <t>GNR_GT_NGAS_BP_E-39_SS-5-MW_Y-2030_CT-TGAS-H2</t>
  </si>
  <si>
    <t>GNR_GT_NGAS_BP_E-39_SS-5-MW_Y-2030_CT-TGAS-UP</t>
  </si>
  <si>
    <t>GNR_GT_NGAS_BP_E-40_SS-5-MW_Y-2050_CT-BGAS-H2</t>
  </si>
  <si>
    <t>GNR_GT_NGAS_BP_E-40_SS-5-MW_Y-2050_CT-BGAS-UP</t>
  </si>
  <si>
    <t>GNR_GT_NGAS_BP_E-40_SS-5-MW_Y-2050_CT-TGAS-H2</t>
  </si>
  <si>
    <t>GNR_GT_NGAS_BP_E-40_SS-5-MW_Y-2050_CT-TGAS-UP</t>
  </si>
  <si>
    <t>GNR_GT_NGAS_BP_E-42_LS-40-MW_Y-2020_CT-BGAS-H2</t>
  </si>
  <si>
    <t>GNR_GT_NGAS_BP_E-42_LS-40-MW_Y-2020_CT-BGAS-UP</t>
  </si>
  <si>
    <t>GNR_GT_NGAS_BP_E-42_LS-40-MW_Y-2020_CT-TGAS-H2</t>
  </si>
  <si>
    <t>GNR_GT_NGAS_BP_E-42_LS-40-MW_Y-2020_CT-TGAS-UP</t>
  </si>
  <si>
    <t>GNR_GT_NGAS_BP_E-43_LS-40-MW_Y-2030_CT-BGAS-H2</t>
  </si>
  <si>
    <t>GNR_GT_NGAS_BP_E-43_LS-40-MW_Y-2030_CT-BGAS-UP</t>
  </si>
  <si>
    <t>GNR_GT_NGAS_BP_E-43_LS-40-MW_Y-2030_CT-TGAS-H2</t>
  </si>
  <si>
    <t>GNR_GT_NGAS_BP_E-43_LS-40-MW_Y-2030_CT-TGAS-UP</t>
  </si>
  <si>
    <t>GNR_GT_NGAS_BP_E-44_LS-40-MW_Y-2050_CT-BGAS-H2</t>
  </si>
  <si>
    <t>GNR_GT_NGAS_BP_E-44_LS-40-MW_Y-2050_CT-BGAS-UP</t>
  </si>
  <si>
    <t>GNR_GT_NGAS_BP_E-44_LS-40-MW_Y-2050_CT-TGAS-H2</t>
  </si>
  <si>
    <t>GNR_GT_NGAS_BP_E-44_LS-40-MW_Y-2050_CT-TGAS-UP</t>
  </si>
  <si>
    <t>GNR_GT_NGAS_CND_E-37_SS-5-MW_Y-2020_CT-BGAS-H2</t>
  </si>
  <si>
    <t>GNR_GT_NGAS_CND_E-37_SS-5-MW_Y-2020_CT-BGAS-UP</t>
  </si>
  <si>
    <t>GNR_GT_NGAS_CND_E-37_SS-5-MW_Y-2020_CT-TGAS-H2</t>
  </si>
  <si>
    <t>GNR_GT_NGAS_CND_E-37_SS-5-MW_Y-2020_CT-TGAS-UP</t>
  </si>
  <si>
    <t>GNR_GT_NGAS_CND_E-39_SS-5-MW_Y-2030_CT-BGAS-H2</t>
  </si>
  <si>
    <t>GNR_GT_NGAS_CND_E-39_SS-5-MW_Y-2030_CT-BGAS-UP</t>
  </si>
  <si>
    <t>GNR_GT_NGAS_CND_E-39_SS-5-MW_Y-2030_CT-TGAS-H2</t>
  </si>
  <si>
    <t>GNR_GT_NGAS_CND_E-39_SS-5-MW_Y-2030_CT-TGAS-UP</t>
  </si>
  <si>
    <t>GNR_GT_NGAS_CND_E-40_SS-5-MW_Y-2050_CT-BGAS-H2</t>
  </si>
  <si>
    <t>GNR_GT_NGAS_CND_E-40_SS-5-MW_Y-2050_CT-BGAS-UP</t>
  </si>
  <si>
    <t>GNR_GT_NGAS_CND_E-40_SS-5-MW_Y-2050_CT-TGAS-H2</t>
  </si>
  <si>
    <t>GNR_GT_NGAS_CND_E-40_SS-5-MW_Y-2050_CT-TGAS-UP</t>
  </si>
  <si>
    <t>GNR_GT_NGAS_CND_E-42_LS-40-MW_Y-2020_CT-BGAS-H2</t>
  </si>
  <si>
    <t>GNR_GT_NGAS_CND_E-42_LS-40-MW_Y-2020_CT-BGAS-UP</t>
  </si>
  <si>
    <t>GNR_GT_NGAS_CND_E-42_LS-40-MW_Y-2020_CT-TGAS-H2</t>
  </si>
  <si>
    <t>GNR_GT_NGAS_CND_E-42_LS-40-MW_Y-2020_CT-TGAS-UP</t>
  </si>
  <si>
    <t>GNR_GT_NGAS_CND_E-43_LS-40-MW_Y-2030_CT-BGAS-H2</t>
  </si>
  <si>
    <t>GNR_GT_NGAS_CND_E-43_LS-40-MW_Y-2030_CT-BGAS-UP</t>
  </si>
  <si>
    <t>GNR_GT_NGAS_CND_E-43_LS-40-MW_Y-2030_CT-TGAS-H2</t>
  </si>
  <si>
    <t>GNR_GT_NGAS_CND_E-43_LS-40-MW_Y-2030_CT-TGAS-UP</t>
  </si>
  <si>
    <t>GNR_GT_NGAS_CND_E-44_LS-40-MW_Y-2050_CT-BGAS-H2</t>
  </si>
  <si>
    <t>GNR_GT_NGAS_CND_E-44_LS-40-MW_Y-2050_CT-BGAS-UP</t>
  </si>
  <si>
    <t>GNR_GT_NGAS_CND_E-44_LS-40-MW_Y-2050_CT-TGAS-H2</t>
  </si>
  <si>
    <t>GNR_GT_NGAS_CND_E-44_LS-40-MW_Y-2050_CT-TGAS-UP</t>
  </si>
  <si>
    <t>GNR_H2S_H2-TNKC_Y-15</t>
  </si>
  <si>
    <t>GNR_H2S_H2-TNKC_Y-30</t>
  </si>
  <si>
    <t>GNR_H2S_H2-TNKD_Y-15</t>
  </si>
  <si>
    <t>GNR_H2S_H2-TNKD_Y-30</t>
  </si>
  <si>
    <t>GNR_H2S_H2-UND_Y-15</t>
  </si>
  <si>
    <t>GNR_H2S_H2-UND_Y-30</t>
  </si>
  <si>
    <t>GNR_HP_ELEC_COP-100_PHH_Y-2020</t>
  </si>
  <si>
    <t>GNR_HP_ELEC_COP-100_PHH_Y-2030</t>
  </si>
  <si>
    <t>GNR_HP_ELEC_COP-100_PHH_Y-2050</t>
  </si>
  <si>
    <t>GNR_HP_ELEC_COP-160_PHL_Y-2020</t>
  </si>
  <si>
    <t>GNR_HP_ELEC_COP-160_PHL_Y-2030</t>
  </si>
  <si>
    <t>GNR_HP_ELEC_COP-160_PHL_Y-2050</t>
  </si>
  <si>
    <t>GNR_ST_COAL_CND_E-49_LS-400-MW_Y-2020-Straw</t>
  </si>
  <si>
    <t>GNR_ST_COAL_CND_E-49_LS-400-MW_Y-2020-WC</t>
  </si>
  <si>
    <t>GNR_ST_COAL_CND_E-49_LS-400-MW_Y-2020-WP</t>
  </si>
  <si>
    <t>GNR_ST_COAL_CND_E-52_LS-400-MW_Y-2030-Straw</t>
  </si>
  <si>
    <t>GNR_ST_COAL_CND_E-52_LS-400-MW_Y-2030-WC</t>
  </si>
  <si>
    <t>GNR_ST_COAL_CND_E-52_LS-400-MW_Y-2030-WP</t>
  </si>
  <si>
    <t>GNR_ST_COAL_CND_E-54_LS-400-MW_Y-2050-Straw</t>
  </si>
  <si>
    <t>GNR_ST_COAL_CND_E-54_LS-400-MW_Y-2050-WC</t>
  </si>
  <si>
    <t>GNR_ST_COAL_CND_E-54_LS-400-MW_Y-2050-WP</t>
  </si>
  <si>
    <t>GNR_ST_COAL_EXT_E-49_LS-400-MW_Y-2020-Straw</t>
  </si>
  <si>
    <t>GNR_ST_COAL_EXT_E-49_LS-400-MW_Y-2020-WC</t>
  </si>
  <si>
    <t>GNR_ST_COAL_EXT_E-49_LS-400-MW_Y-2020-WP</t>
  </si>
  <si>
    <t>GNR_ST_COAL_EXT_E-52_LS-400-MW_Y-2030-Straw</t>
  </si>
  <si>
    <t>GNR_ST_COAL_EXT_E-52_LS-400-MW_Y-2030-WC</t>
  </si>
  <si>
    <t>GNR_ST_COAL_EXT_E-52_LS-400-MW_Y-2030-WP</t>
  </si>
  <si>
    <t>GNR_ST_COAL_EXT_E-54_LS-400-MW_Y-2050-Straw</t>
  </si>
  <si>
    <t>GNR_ST_COAL_EXT_E-54_LS-400-MW_Y-2050-WC</t>
  </si>
  <si>
    <t>GNR_ST_COAL_EXT_E-54_LS-400-MW_Y-2050-WP</t>
  </si>
  <si>
    <t>GNR_ST_NGAS_CND_E-47_LS-400-MW_Y-2020_CT-BGAS-H2</t>
  </si>
  <si>
    <t>GNR_ST_NGAS_CND_E-47_LS-400-MW_Y-2020_CT-BGAS-UP</t>
  </si>
  <si>
    <t>GNR_ST_NGAS_CND_E-47_LS-400-MW_Y-2020_CT-TGAS-H2</t>
  </si>
  <si>
    <t>GNR_ST_NGAS_CND_E-47_LS-400-MW_Y-2020_CT-TGAS-UP</t>
  </si>
  <si>
    <t>GNR_ST_NGAS_CND_E-47_LS-400-MW_Y-2030_CT-BGAS-H2</t>
  </si>
  <si>
    <t>GNR_ST_NGAS_CND_E-47_LS-400-MW_Y-2030_CT-BGAS-UP</t>
  </si>
  <si>
    <t>GNR_ST_NGAS_CND_E-47_LS-400-MW_Y-2030_CT-TGAS-H2</t>
  </si>
  <si>
    <t>GNR_ST_NGAS_CND_E-47_LS-400-MW_Y-2030_CT-TGAS-UP</t>
  </si>
  <si>
    <t>GNR_ST_NGAS_CND_E-47_LS-400-MW_Y-2050_CT-BGAS-H2</t>
  </si>
  <si>
    <t>GNR_ST_NGAS_CND_E-47_LS-400-MW_Y-2050_CT-BGAS-UP</t>
  </si>
  <si>
    <t>GNR_ST_NGAS_CND_E-47_LS-400-MW_Y-2050_CT-TGAS-H2</t>
  </si>
  <si>
    <t>GNR_ST_NGAS_CND_E-47_LS-400-MW_Y-2050_CT-TGAS-UP</t>
  </si>
  <si>
    <t>GNR_ST_NGAS_EXT_E-47_LS-400-MW_Y-2020_CT-BGAS-H2</t>
  </si>
  <si>
    <t>GNR_ST_NGAS_EXT_E-47_LS-400-MW_Y-2020_CT-BGAS-UP</t>
  </si>
  <si>
    <t>GNR_ST_NGAS_EXT_E-47_LS-400-MW_Y-2020_CT-TGAS-H2</t>
  </si>
  <si>
    <t>GNR_ST_NGAS_EXT_E-47_LS-400-MW_Y-2020_CT-TGAS-UP</t>
  </si>
  <si>
    <t>GNR_ST_NGAS_EXT_E-47_LS-400-MW_Y-2030_CT-BGAS-H2</t>
  </si>
  <si>
    <t>GNR_ST_NGAS_EXT_E-47_LS-400-MW_Y-2030_CT-BGAS-UP</t>
  </si>
  <si>
    <t>GNR_ST_NGAS_EXT_E-47_LS-400-MW_Y-2030_CT-TGAS-H2</t>
  </si>
  <si>
    <t>GNR_ST_NGAS_EXT_E-47_LS-400-MW_Y-2030_CT-TGAS-UP</t>
  </si>
  <si>
    <t>GNR_ST_NGAS_EXT_E-47_LS-400-MW_Y-2050_CT-BGAS-H2</t>
  </si>
  <si>
    <t>GNR_ST_NGAS_EXT_E-47_LS-400-MW_Y-2050_CT-BGAS-UP</t>
  </si>
  <si>
    <t>GNR_ST_NGAS_EXT_E-47_LS-400-MW_Y-2050_CT-TGAS-H2</t>
  </si>
  <si>
    <t>GNR_ST_NGAS_EXT_E-47_LS-400-MW_Y-2050_CT-TGAS-UP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</si>
</sst>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5" x14ac:knownFonts="1">
    <font>
      <sz val="11"/>
      <color theme="1"/>
      <name val="Calibri"/>
      <family val="2"/>
      <charset val="186"/>
      <scheme val="minor"/>
    </font>
    <font>
      <i/>
      <sz val="11"/>
      <color theme="1"/>
      <name val="Calibri"/>
      <family val="2"/>
      <charset val="186"/>
      <scheme val="minor"/>
    </font>
    <font>
      <i/>
      <sz val="11"/>
      <color theme="0" tint="-0.14999847407452621"/>
      <name val="Calibri"/>
      <family val="2"/>
      <charset val="186"/>
      <scheme val="minor"/>
    </font>
    <font>
      <sz val="11"/>
      <color rgb="FF000000"/>
      <name val="Calibri"/>
      <family val="2"/>
      <charset val="186"/>
    </font>
    <font>
      <sz val="8"/>
      <name val="Segoe UI"/>
      <family val="2"/>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8">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1" fillId="0" borderId="0" xfId="0" applyFont="1" applyProtection="1">
      <protection locked="0"/>
    </xf>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2" fillId="2" borderId="0" xfId="0" quotePrefix="1" applyNumberFormat="1" applyFont="1" applyFill="1" applyProtection="1">
      <protection locked="0"/>
    </xf>
    <xf numFmtId="164" fontId="0" fillId="0" borderId="0" xfId="0" pivotButton="1" applyNumberFormat="1"/>
    <xf numFmtId="164" fontId="0" fillId="0" borderId="0" xfId="0" applyNumberFormat="1"/>
    <xf numFmtId="0" fontId="0" fillId="0" borderId="0" xfId="0"/>
    <xf numFmtId="0" fontId="0" fillId="0" borderId="2" xfId="0" applyBorder="1" applyProtection="1">
      <protection locked="0"/>
    </xf>
    <xf numFmtId="0" fontId="0" fillId="0" borderId="0" xfId="0" applyBorder="1" applyProtection="1">
      <protection locked="0"/>
    </xf>
    <xf numFmtId="0" fontId="0" fillId="0" borderId="0" xfId="0" applyAlignment="1">
      <alignment horizontal="left" indent="1"/>
    </xf>
    <xf numFmtId="3" fontId="0" fillId="0" borderId="0" xfId="0" applyNumberFormat="1"/>
  </cellXfs>
  <cellStyles count="1">
    <cellStyle name="Normal" xfId="0" builtinId="0"/>
  </cellStyles>
  <dxfs count="28">
    <dxf>
      <numFmt numFmtId="164" formatCode="#,##0.0"/>
    </dxf>
    <dxf>
      <numFmt numFmtId="3" formatCode="#,##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2.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openxmlformats.org/officeDocument/2006/relationships/pivotCacheDefinition" Target="pivotCache/pivotCacheDefinition15.xml"/><Relationship Id="rId47" Type="http://schemas.openxmlformats.org/officeDocument/2006/relationships/pivotCacheDefinition" Target="pivotCache/pivotCacheDefinition20.xml"/><Relationship Id="rId50" Type="http://schemas.openxmlformats.org/officeDocument/2006/relationships/pivotCacheDefinition" Target="pivotCache/pivotCacheDefinition23.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openxmlformats.org/officeDocument/2006/relationships/pivotCacheDefinition" Target="pivotCache/pivotCacheDefinition13.xml"/><Relationship Id="rId45" Type="http://schemas.openxmlformats.org/officeDocument/2006/relationships/pivotCacheDefinition" Target="pivotCache/pivotCacheDefinition18.xml"/><Relationship Id="rId53" Type="http://schemas.openxmlformats.org/officeDocument/2006/relationships/pivotCacheDefinition" Target="pivotCache/pivotCacheDefinition26.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pivotCacheDefinition" Target="pivotCache/pivotCacheDefinition16.xml"/><Relationship Id="rId48" Type="http://schemas.openxmlformats.org/officeDocument/2006/relationships/pivotCacheDefinition" Target="pivotCache/pivotCacheDefinition21.xml"/><Relationship Id="rId56"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pivotCacheDefinition" Target="pivotCache/pivotCacheDefinition2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pivotCacheDefinition" Target="pivotCache/pivotCacheDefinition19.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pivotCacheDefinition" Target="pivotCache/pivotCacheDefinition14.xml"/><Relationship Id="rId54" Type="http://schemas.openxmlformats.org/officeDocument/2006/relationships/pivotCacheDefinition" Target="pivotCache/pivotCacheDefinition2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pivotCacheDefinition" Target="pivotCache/pivotCacheDefinition22.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pivotCacheDefinition" Target="pivotCache/pivotCacheDefinition4.xml"/><Relationship Id="rId44" Type="http://schemas.openxmlformats.org/officeDocument/2006/relationships/pivotCacheDefinition" Target="pivotCache/pivotCacheDefinition17.xml"/><Relationship Id="rId52" Type="http://schemas.openxmlformats.org/officeDocument/2006/relationships/pivotCacheDefinition" Target="pivotCache/pivotCacheDefinition25.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206"/>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207"/>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208"/>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209"/>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210"/>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211"/>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212"/>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213"/>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2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none"/>
        </c:marker>
      </c:pivotFmt>
      <c:pivotFmt>
        <c:idx val="329"/>
        <c:spPr>
          <a:solidFill>
            <a:schemeClr val="accent1"/>
          </a:solidFill>
          <a:ln w="28575" cap="rnd">
            <a:solidFill>
              <a:schemeClr val="accent1"/>
            </a:solidFill>
            <a:round/>
          </a:ln>
          <a:effectLst/>
        </c:spPr>
        <c:marker>
          <c:symbol val="none"/>
        </c:marker>
      </c:pivotFmt>
      <c:pivotFmt>
        <c:idx val="330"/>
        <c:spPr>
          <a:solidFill>
            <a:schemeClr val="accent1"/>
          </a:solidFill>
          <a:ln w="28575" cap="rnd">
            <a:solidFill>
              <a:schemeClr val="accent1"/>
            </a:solidFill>
            <a:round/>
          </a:ln>
          <a:effectLst/>
        </c:spPr>
        <c:marker>
          <c:symbol val="none"/>
        </c:marker>
      </c:pivotFmt>
      <c:pivotFmt>
        <c:idx val="331"/>
        <c:spPr>
          <a:solidFill>
            <a:schemeClr val="accent1"/>
          </a:solidFill>
          <a:ln w="28575" cap="rnd">
            <a:solidFill>
              <a:schemeClr val="accent1"/>
            </a:solidFill>
            <a:round/>
          </a:ln>
          <a:effectLst/>
        </c:spPr>
        <c:marker>
          <c:symbol val="none"/>
        </c:marker>
      </c:pivotFmt>
      <c:pivotFmt>
        <c:idx val="332"/>
        <c:spPr>
          <a:solidFill>
            <a:schemeClr val="accent1"/>
          </a:solidFill>
          <a:ln w="28575" cap="rnd">
            <a:solidFill>
              <a:schemeClr val="accent1"/>
            </a:solidFill>
            <a:round/>
          </a:ln>
          <a:effectLst/>
        </c:spPr>
        <c:marker>
          <c:symbol val="none"/>
        </c:marker>
      </c:pivotFmt>
      <c:pivotFmt>
        <c:idx val="333"/>
        <c:spPr>
          <a:solidFill>
            <a:schemeClr val="accent1"/>
          </a:solidFill>
          <a:ln w="28575" cap="rnd">
            <a:solidFill>
              <a:schemeClr val="accent1"/>
            </a:solidFill>
            <a:round/>
          </a:ln>
          <a:effectLst/>
        </c:spPr>
        <c:marker>
          <c:symbol val="none"/>
        </c:marker>
      </c:pivotFmt>
      <c:pivotFmt>
        <c:idx val="334"/>
        <c:spPr>
          <a:solidFill>
            <a:schemeClr val="accent1"/>
          </a:solidFill>
          <a:ln w="28575" cap="rnd">
            <a:solidFill>
              <a:schemeClr val="accent1"/>
            </a:solidFill>
            <a:round/>
          </a:ln>
          <a:effectLst/>
        </c:spPr>
        <c:marker>
          <c:symbol val="none"/>
        </c:marker>
      </c:pivotFmt>
      <c:pivotFmt>
        <c:idx val="335"/>
        <c:spPr>
          <a:solidFill>
            <a:schemeClr val="accent1"/>
          </a:solidFill>
          <a:ln w="28575" cap="rnd">
            <a:solidFill>
              <a:schemeClr val="accent1"/>
            </a:solidFill>
            <a:round/>
          </a:ln>
          <a:effectLst/>
        </c:spPr>
        <c:marker>
          <c:symbol val="none"/>
        </c:marker>
      </c:pivotFmt>
      <c:pivotFmt>
        <c:idx val="336"/>
        <c:spPr>
          <a:solidFill>
            <a:schemeClr val="accent1"/>
          </a:solidFill>
          <a:ln w="28575" cap="rnd">
            <a:solidFill>
              <a:schemeClr val="accent1"/>
            </a:solidFill>
            <a:round/>
          </a:ln>
          <a:effectLst/>
        </c:spPr>
        <c:marker>
          <c:symbol val="none"/>
        </c:marker>
      </c:pivotFmt>
      <c:pivotFmt>
        <c:idx val="337"/>
        <c:spPr>
          <a:solidFill>
            <a:schemeClr val="accent1"/>
          </a:solidFill>
          <a:ln w="28575" cap="rnd">
            <a:solidFill>
              <a:schemeClr val="accent1"/>
            </a:solidFill>
            <a:round/>
          </a:ln>
          <a:effectLst/>
        </c:spPr>
        <c:marker>
          <c:symbol val="none"/>
        </c:marker>
      </c:pivotFmt>
      <c:pivotFmt>
        <c:idx val="338"/>
        <c:spPr>
          <a:solidFill>
            <a:schemeClr val="accent1"/>
          </a:solidFill>
          <a:ln w="28575" cap="rnd">
            <a:solidFill>
              <a:schemeClr val="accent1"/>
            </a:solidFill>
            <a:round/>
          </a:ln>
          <a:effectLst/>
        </c:spPr>
        <c:marker>
          <c:symbol val="none"/>
        </c:marker>
      </c:pivotFmt>
      <c:pivotFmt>
        <c:idx val="339"/>
        <c:spPr>
          <a:solidFill>
            <a:schemeClr val="accent1"/>
          </a:solidFill>
          <a:ln w="28575" cap="rnd">
            <a:solidFill>
              <a:schemeClr val="accent1"/>
            </a:solidFill>
            <a:round/>
          </a:ln>
          <a:effectLst/>
        </c:spPr>
        <c:marker>
          <c:symbol val="none"/>
        </c:marker>
      </c:pivotFmt>
      <c:pivotFmt>
        <c:idx val="340"/>
        <c:spPr>
          <a:solidFill>
            <a:schemeClr val="accent1"/>
          </a:solidFill>
          <a:ln w="28575" cap="rnd">
            <a:solidFill>
              <a:schemeClr val="accent1"/>
            </a:solidFill>
            <a:round/>
          </a:ln>
          <a:effectLst/>
        </c:spPr>
        <c:marker>
          <c:symbol val="none"/>
        </c:marker>
      </c:pivotFmt>
      <c:pivotFmt>
        <c:idx val="341"/>
        <c:spPr>
          <a:solidFill>
            <a:schemeClr val="accent1"/>
          </a:solidFill>
          <a:ln w="28575" cap="rnd">
            <a:solidFill>
              <a:schemeClr val="accent1"/>
            </a:solidFill>
            <a:round/>
          </a:ln>
          <a:effectLst/>
        </c:spPr>
        <c:marker>
          <c:symbol val="none"/>
        </c:marker>
      </c:pivotFmt>
      <c:pivotFmt>
        <c:idx val="342"/>
        <c:spPr>
          <a:solidFill>
            <a:schemeClr val="accent1"/>
          </a:solidFill>
          <a:ln w="28575" cap="rnd">
            <a:solidFill>
              <a:schemeClr val="accent1"/>
            </a:solidFill>
            <a:round/>
          </a:ln>
          <a:effectLst/>
        </c:spPr>
        <c:marker>
          <c:symbol val="none"/>
        </c:marker>
      </c:pivotFmt>
      <c:pivotFmt>
        <c:idx val="343"/>
        <c:spPr>
          <a:solidFill>
            <a:schemeClr val="accent1"/>
          </a:solidFill>
          <a:ln w="28575" cap="rnd">
            <a:solidFill>
              <a:schemeClr val="accent1"/>
            </a:solidFill>
            <a:round/>
          </a:ln>
          <a:effectLst/>
        </c:spPr>
        <c:marker>
          <c:symbol val="none"/>
        </c:marker>
      </c:pivotFmt>
      <c:pivotFmt>
        <c:idx val="344"/>
        <c:spPr>
          <a:solidFill>
            <a:schemeClr val="accent1"/>
          </a:solidFill>
          <a:ln w="28575" cap="rnd">
            <a:solidFill>
              <a:schemeClr val="accent1"/>
            </a:solidFill>
            <a:round/>
          </a:ln>
          <a:effectLst/>
        </c:spPr>
        <c:marker>
          <c:symbol val="none"/>
        </c:marker>
      </c:pivotFmt>
      <c:pivotFmt>
        <c:idx val="345"/>
        <c:spPr>
          <a:solidFill>
            <a:schemeClr val="accent1"/>
          </a:solidFill>
          <a:ln w="28575" cap="rnd">
            <a:solidFill>
              <a:schemeClr val="accent1"/>
            </a:solidFill>
            <a:round/>
          </a:ln>
          <a:effectLst/>
        </c:spPr>
        <c:marker>
          <c:symbol val="none"/>
        </c:marker>
      </c:pivotFmt>
      <c:pivotFmt>
        <c:idx val="346"/>
        <c:spPr>
          <a:solidFill>
            <a:schemeClr val="accent1"/>
          </a:solidFill>
          <a:ln w="28575" cap="rnd">
            <a:solidFill>
              <a:schemeClr val="accent1"/>
            </a:solidFill>
            <a:round/>
          </a:ln>
          <a:effectLst/>
        </c:spPr>
        <c:marker>
          <c:symbol val="none"/>
        </c:marker>
      </c:pivotFmt>
      <c:pivotFmt>
        <c:idx val="347"/>
        <c:spPr>
          <a:solidFill>
            <a:schemeClr val="accent1"/>
          </a:solidFill>
          <a:ln w="28575" cap="rnd">
            <a:solidFill>
              <a:schemeClr val="accent1"/>
            </a:solidFill>
            <a:round/>
          </a:ln>
          <a:effectLst/>
        </c:spPr>
        <c:marker>
          <c:symbol val="none"/>
        </c:marker>
      </c:pivotFmt>
      <c:pivotFmt>
        <c:idx val="348"/>
        <c:spPr>
          <a:solidFill>
            <a:schemeClr val="accent1"/>
          </a:solidFill>
          <a:ln w="28575" cap="rnd">
            <a:solidFill>
              <a:schemeClr val="accent1"/>
            </a:solidFill>
            <a:round/>
          </a:ln>
          <a:effectLst/>
        </c:spPr>
        <c:marker>
          <c:symbol val="none"/>
        </c:marker>
      </c:pivotFmt>
      <c:pivotFmt>
        <c:idx val="349"/>
        <c:spPr>
          <a:solidFill>
            <a:schemeClr val="accent1"/>
          </a:solidFill>
          <a:ln w="28575" cap="rnd">
            <a:solidFill>
              <a:schemeClr val="accent1"/>
            </a:solidFill>
            <a:round/>
          </a:ln>
          <a:effectLst/>
        </c:spPr>
        <c:marker>
          <c:symbol val="none"/>
        </c:marker>
      </c:pivotFmt>
      <c:pivotFmt>
        <c:idx val="350"/>
        <c:spPr>
          <a:solidFill>
            <a:schemeClr val="accent1"/>
          </a:solidFill>
          <a:ln w="28575" cap="rnd">
            <a:solidFill>
              <a:schemeClr val="accent1"/>
            </a:solidFill>
            <a:round/>
          </a:ln>
          <a:effectLst/>
        </c:spPr>
        <c:marker>
          <c:symbol val="none"/>
        </c:marker>
      </c:pivotFmt>
      <c:pivotFmt>
        <c:idx val="351"/>
        <c:spPr>
          <a:solidFill>
            <a:schemeClr val="accent1"/>
          </a:solidFill>
          <a:ln w="28575" cap="rnd">
            <a:solidFill>
              <a:schemeClr val="accent1"/>
            </a:solidFill>
            <a:round/>
          </a:ln>
          <a:effectLst/>
        </c:spPr>
        <c:marker>
          <c:symbol val="none"/>
        </c:marker>
      </c:pivotFmt>
      <c:pivotFmt>
        <c:idx val="352"/>
        <c:spPr>
          <a:solidFill>
            <a:schemeClr val="accent1"/>
          </a:solidFill>
          <a:ln w="28575" cap="rnd">
            <a:solidFill>
              <a:schemeClr val="accent1"/>
            </a:solidFill>
            <a:round/>
          </a:ln>
          <a:effectLst/>
        </c:spPr>
        <c:marker>
          <c:symbol val="none"/>
        </c:marker>
      </c:pivotFmt>
      <c:pivotFmt>
        <c:idx val="353"/>
        <c:spPr>
          <a:solidFill>
            <a:schemeClr val="accent1"/>
          </a:solidFill>
          <a:ln w="28575" cap="rnd">
            <a:solidFill>
              <a:schemeClr val="accent1"/>
            </a:solidFill>
            <a:round/>
          </a:ln>
          <a:effectLst/>
        </c:spPr>
        <c:marker>
          <c:symbol val="none"/>
        </c:marker>
      </c:pivotFmt>
      <c:pivotFmt>
        <c:idx val="354"/>
        <c:spPr>
          <a:solidFill>
            <a:schemeClr val="accent1"/>
          </a:solidFill>
          <a:ln w="28575" cap="rnd">
            <a:solidFill>
              <a:schemeClr val="accent1"/>
            </a:solidFill>
            <a:round/>
          </a:ln>
          <a:effectLst/>
        </c:spPr>
        <c:marker>
          <c:symbol val="none"/>
        </c:marker>
      </c:pivotFmt>
      <c:pivotFmt>
        <c:idx val="355"/>
        <c:spPr>
          <a:solidFill>
            <a:schemeClr val="accent1"/>
          </a:solidFill>
          <a:ln w="28575" cap="rnd">
            <a:solidFill>
              <a:schemeClr val="accent1"/>
            </a:solidFill>
            <a:round/>
          </a:ln>
          <a:effectLst/>
        </c:spPr>
        <c:marker>
          <c:symbol val="none"/>
        </c:marker>
      </c:pivotFmt>
      <c:pivotFmt>
        <c:idx val="356"/>
        <c:spPr>
          <a:solidFill>
            <a:schemeClr val="accent1"/>
          </a:solidFill>
          <a:ln w="28575" cap="rnd">
            <a:solidFill>
              <a:schemeClr val="accent1"/>
            </a:solidFill>
            <a:round/>
          </a:ln>
          <a:effectLst/>
        </c:spPr>
        <c:marker>
          <c:symbol val="none"/>
        </c:marker>
      </c:pivotFmt>
      <c:pivotFmt>
        <c:idx val="357"/>
        <c:spPr>
          <a:solidFill>
            <a:schemeClr val="accent1"/>
          </a:solidFill>
          <a:ln w="28575" cap="rnd">
            <a:solidFill>
              <a:schemeClr val="accent1"/>
            </a:solidFill>
            <a:round/>
          </a:ln>
          <a:effectLst/>
        </c:spPr>
        <c:marker>
          <c:symbol val="none"/>
        </c:marker>
      </c:pivotFmt>
      <c:pivotFmt>
        <c:idx val="358"/>
        <c:spPr>
          <a:solidFill>
            <a:schemeClr val="accent1"/>
          </a:solidFill>
          <a:ln w="28575" cap="rnd">
            <a:solidFill>
              <a:schemeClr val="accent1"/>
            </a:solidFill>
            <a:round/>
          </a:ln>
          <a:effectLst/>
        </c:spPr>
        <c:marker>
          <c:symbol val="none"/>
        </c:marker>
      </c:pivotFmt>
      <c:pivotFmt>
        <c:idx val="359"/>
        <c:spPr>
          <a:solidFill>
            <a:schemeClr val="accent1"/>
          </a:solidFill>
          <a:ln w="28575" cap="rnd">
            <a:solidFill>
              <a:schemeClr val="accent1"/>
            </a:solidFill>
            <a:round/>
          </a:ln>
          <a:effectLst/>
        </c:spPr>
        <c:marker>
          <c:symbol val="none"/>
        </c:marker>
      </c:pivotFmt>
      <c:pivotFmt>
        <c:idx val="360"/>
        <c:spPr>
          <a:solidFill>
            <a:schemeClr val="accent1"/>
          </a:solidFill>
          <a:ln w="28575" cap="rnd">
            <a:solidFill>
              <a:schemeClr val="accent1"/>
            </a:solidFill>
            <a:round/>
          </a:ln>
          <a:effectLst/>
        </c:spPr>
        <c:marker>
          <c:symbol val="none"/>
        </c:marker>
      </c:pivotFmt>
      <c:pivotFmt>
        <c:idx val="361"/>
        <c:spPr>
          <a:solidFill>
            <a:schemeClr val="accent1"/>
          </a:solidFill>
          <a:ln w="28575" cap="rnd">
            <a:solidFill>
              <a:schemeClr val="accent1"/>
            </a:solidFill>
            <a:round/>
          </a:ln>
          <a:effectLst/>
        </c:spPr>
        <c:marker>
          <c:symbol val="none"/>
        </c:marker>
      </c:pivotFmt>
      <c:pivotFmt>
        <c:idx val="362"/>
        <c:spPr>
          <a:solidFill>
            <a:schemeClr val="accent1"/>
          </a:solidFill>
          <a:ln w="28575" cap="rnd">
            <a:solidFill>
              <a:schemeClr val="accent1"/>
            </a:solidFill>
            <a:round/>
          </a:ln>
          <a:effectLst/>
        </c:spPr>
        <c:marker>
          <c:symbol val="none"/>
        </c:marker>
      </c:pivotFmt>
      <c:pivotFmt>
        <c:idx val="363"/>
        <c:spPr>
          <a:solidFill>
            <a:schemeClr val="accent1"/>
          </a:solidFill>
          <a:ln w="28575" cap="rnd">
            <a:solidFill>
              <a:schemeClr val="accent1"/>
            </a:solidFill>
            <a:round/>
          </a:ln>
          <a:effectLst/>
        </c:spPr>
        <c:marker>
          <c:symbol val="none"/>
        </c:marker>
      </c:pivotFmt>
      <c:pivotFmt>
        <c:idx val="364"/>
        <c:spPr>
          <a:solidFill>
            <a:schemeClr val="accent1"/>
          </a:solidFill>
          <a:ln w="28575" cap="rnd">
            <a:solidFill>
              <a:schemeClr val="accent1"/>
            </a:solidFill>
            <a:round/>
          </a:ln>
          <a:effectLst/>
        </c:spPr>
        <c:marker>
          <c:symbol val="none"/>
        </c:marker>
      </c:pivotFmt>
      <c:pivotFmt>
        <c:idx val="365"/>
        <c:spPr>
          <a:solidFill>
            <a:schemeClr val="accent1"/>
          </a:solidFill>
          <a:ln w="28575" cap="rnd">
            <a:solidFill>
              <a:schemeClr val="accent1"/>
            </a:solidFill>
            <a:round/>
          </a:ln>
          <a:effectLst/>
        </c:spPr>
        <c:marker>
          <c:symbol val="none"/>
        </c:marker>
      </c:pivotFmt>
      <c:pivotFmt>
        <c:idx val="366"/>
        <c:spPr>
          <a:solidFill>
            <a:schemeClr val="accent1"/>
          </a:solidFill>
          <a:ln w="28575" cap="rnd">
            <a:solidFill>
              <a:schemeClr val="accent1"/>
            </a:solidFill>
            <a:round/>
          </a:ln>
          <a:effectLst/>
        </c:spPr>
        <c:marker>
          <c:symbol val="none"/>
        </c:marker>
      </c:pivotFmt>
      <c:pivotFmt>
        <c:idx val="367"/>
        <c:spPr>
          <a:solidFill>
            <a:schemeClr val="accent1"/>
          </a:solidFill>
          <a:ln w="28575" cap="rnd">
            <a:solidFill>
              <a:schemeClr val="accent1"/>
            </a:solidFill>
            <a:round/>
          </a:ln>
          <a:effectLst/>
        </c:spPr>
        <c:marker>
          <c:symbol val="none"/>
        </c:marker>
      </c:pivotFmt>
      <c:pivotFmt>
        <c:idx val="368"/>
        <c:spPr>
          <a:solidFill>
            <a:schemeClr val="accent1"/>
          </a:solidFill>
          <a:ln w="28575" cap="rnd">
            <a:solidFill>
              <a:schemeClr val="accent1"/>
            </a:solidFill>
            <a:round/>
          </a:ln>
          <a:effectLst/>
        </c:spPr>
        <c:marker>
          <c:symbol val="none"/>
        </c:marker>
      </c:pivotFmt>
      <c:pivotFmt>
        <c:idx val="369"/>
        <c:spPr>
          <a:solidFill>
            <a:schemeClr val="accent1"/>
          </a:solidFill>
          <a:ln w="28575" cap="rnd">
            <a:solidFill>
              <a:schemeClr val="accent1"/>
            </a:solidFill>
            <a:round/>
          </a:ln>
          <a:effectLst/>
        </c:spPr>
        <c:marker>
          <c:symbol val="none"/>
        </c:marker>
      </c:pivotFmt>
      <c:pivotFmt>
        <c:idx val="370"/>
        <c:spPr>
          <a:solidFill>
            <a:schemeClr val="accent1"/>
          </a:solidFill>
          <a:ln w="28575" cap="rnd">
            <a:solidFill>
              <a:schemeClr val="accent1"/>
            </a:solidFill>
            <a:round/>
          </a:ln>
          <a:effectLst/>
        </c:spPr>
        <c:marker>
          <c:symbol val="none"/>
        </c:marker>
      </c:pivotFmt>
      <c:pivotFmt>
        <c:idx val="371"/>
        <c:spPr>
          <a:solidFill>
            <a:schemeClr val="accent1"/>
          </a:solidFill>
          <a:ln w="28575" cap="rnd">
            <a:solidFill>
              <a:schemeClr val="accent1"/>
            </a:solidFill>
            <a:round/>
          </a:ln>
          <a:effectLst/>
        </c:spPr>
        <c:marker>
          <c:symbol val="none"/>
        </c:marker>
      </c:pivotFmt>
      <c:pivotFmt>
        <c:idx val="372"/>
        <c:spPr>
          <a:solidFill>
            <a:schemeClr val="accent1"/>
          </a:solidFill>
          <a:ln w="28575" cap="rnd">
            <a:solidFill>
              <a:schemeClr val="accent1"/>
            </a:solidFill>
            <a:round/>
          </a:ln>
          <a:effectLst/>
        </c:spPr>
        <c:marker>
          <c:symbol val="none"/>
        </c:marker>
      </c:pivotFmt>
      <c:pivotFmt>
        <c:idx val="373"/>
        <c:spPr>
          <a:solidFill>
            <a:schemeClr val="accent1"/>
          </a:solidFill>
          <a:ln w="28575" cap="rnd">
            <a:solidFill>
              <a:schemeClr val="accent1"/>
            </a:solidFill>
            <a:round/>
          </a:ln>
          <a:effectLst/>
        </c:spPr>
        <c:marker>
          <c:symbol val="none"/>
        </c:marker>
      </c:pivotFmt>
      <c:pivotFmt>
        <c:idx val="374"/>
        <c:spPr>
          <a:solidFill>
            <a:schemeClr val="accent1"/>
          </a:solidFill>
          <a:ln w="28575" cap="rnd">
            <a:solidFill>
              <a:schemeClr val="accent1"/>
            </a:solidFill>
            <a:round/>
          </a:ln>
          <a:effectLst/>
        </c:spPr>
        <c:marker>
          <c:symbol val="none"/>
        </c:marker>
      </c:pivotFmt>
      <c:pivotFmt>
        <c:idx val="375"/>
        <c:spPr>
          <a:solidFill>
            <a:schemeClr val="accent1"/>
          </a:solidFill>
          <a:ln w="28575" cap="rnd">
            <a:solidFill>
              <a:schemeClr val="accent1"/>
            </a:solidFill>
            <a:round/>
          </a:ln>
          <a:effectLst/>
        </c:spPr>
        <c:marker>
          <c:symbol val="none"/>
        </c:marker>
      </c:pivotFmt>
      <c:pivotFmt>
        <c:idx val="376"/>
        <c:spPr>
          <a:solidFill>
            <a:schemeClr val="accent1"/>
          </a:solidFill>
          <a:ln w="28575" cap="rnd">
            <a:solidFill>
              <a:schemeClr val="accent1"/>
            </a:solidFill>
            <a:round/>
          </a:ln>
          <a:effectLst/>
        </c:spPr>
        <c:marker>
          <c:symbol val="none"/>
        </c:marker>
      </c:pivotFmt>
      <c:pivotFmt>
        <c:idx val="377"/>
        <c:spPr>
          <a:solidFill>
            <a:schemeClr val="accent1"/>
          </a:solidFill>
          <a:ln w="28575" cap="rnd">
            <a:solidFill>
              <a:schemeClr val="accent1"/>
            </a:solidFill>
            <a:round/>
          </a:ln>
          <a:effectLst/>
        </c:spPr>
        <c:marker>
          <c:symbol val="none"/>
        </c:marker>
      </c:pivotFmt>
      <c:pivotFmt>
        <c:idx val="378"/>
        <c:spPr>
          <a:solidFill>
            <a:schemeClr val="accent1"/>
          </a:solidFill>
          <a:ln w="28575" cap="rnd">
            <a:solidFill>
              <a:schemeClr val="accent1"/>
            </a:solidFill>
            <a:round/>
          </a:ln>
          <a:effectLst/>
        </c:spPr>
        <c:marker>
          <c:symbol val="none"/>
        </c:marker>
      </c:pivotFmt>
      <c:pivotFmt>
        <c:idx val="379"/>
        <c:spPr>
          <a:solidFill>
            <a:schemeClr val="accent1"/>
          </a:solidFill>
          <a:ln w="28575" cap="rnd">
            <a:solidFill>
              <a:schemeClr val="accent1"/>
            </a:solidFill>
            <a:round/>
          </a:ln>
          <a:effectLst/>
        </c:spPr>
        <c:marker>
          <c:symbol val="none"/>
        </c:marker>
      </c:pivotFmt>
      <c:pivotFmt>
        <c:idx val="380"/>
        <c:spPr>
          <a:solidFill>
            <a:schemeClr val="accent1"/>
          </a:solidFill>
          <a:ln w="28575" cap="rnd">
            <a:solidFill>
              <a:schemeClr val="accent1"/>
            </a:solidFill>
            <a:round/>
          </a:ln>
          <a:effectLst/>
        </c:spPr>
        <c:marker>
          <c:symbol val="none"/>
        </c:marker>
      </c:pivotFmt>
      <c:pivotFmt>
        <c:idx val="381"/>
        <c:spPr>
          <a:solidFill>
            <a:schemeClr val="accent1"/>
          </a:solidFill>
          <a:ln w="28575" cap="rnd">
            <a:solidFill>
              <a:schemeClr val="accent1"/>
            </a:solidFill>
            <a:round/>
          </a:ln>
          <a:effectLst/>
        </c:spPr>
        <c:marker>
          <c:symbol val="none"/>
        </c:marker>
      </c:pivotFmt>
      <c:pivotFmt>
        <c:idx val="382"/>
        <c:spPr>
          <a:solidFill>
            <a:schemeClr val="accent1"/>
          </a:solidFill>
          <a:ln w="28575" cap="rnd">
            <a:solidFill>
              <a:schemeClr val="accent1"/>
            </a:solidFill>
            <a:round/>
          </a:ln>
          <a:effectLst/>
        </c:spPr>
        <c:marker>
          <c:symbol val="none"/>
        </c:marker>
      </c:pivotFmt>
      <c:pivotFmt>
        <c:idx val="383"/>
        <c:spPr>
          <a:solidFill>
            <a:schemeClr val="accent1"/>
          </a:solidFill>
          <a:ln w="28575" cap="rnd">
            <a:solidFill>
              <a:schemeClr val="accent1"/>
            </a:solidFill>
            <a:round/>
          </a:ln>
          <a:effectLst/>
        </c:spPr>
        <c:marker>
          <c:symbol val="none"/>
        </c:marker>
      </c:pivotFmt>
      <c:pivotFmt>
        <c:idx val="384"/>
        <c:spPr>
          <a:solidFill>
            <a:schemeClr val="accent1"/>
          </a:solidFill>
          <a:ln w="28575" cap="rnd">
            <a:solidFill>
              <a:schemeClr val="accent1"/>
            </a:solidFill>
            <a:round/>
          </a:ln>
          <a:effectLst/>
        </c:spPr>
        <c:marker>
          <c:symbol val="none"/>
        </c:marker>
      </c:pivotFmt>
      <c:pivotFmt>
        <c:idx val="385"/>
        <c:spPr>
          <a:solidFill>
            <a:schemeClr val="accent1"/>
          </a:solidFill>
          <a:ln w="28575" cap="rnd">
            <a:solidFill>
              <a:schemeClr val="accent1"/>
            </a:solidFill>
            <a:round/>
          </a:ln>
          <a:effectLst/>
        </c:spPr>
        <c:marker>
          <c:symbol val="none"/>
        </c:marker>
      </c:pivotFmt>
      <c:pivotFmt>
        <c:idx val="386"/>
        <c:spPr>
          <a:solidFill>
            <a:schemeClr val="accent1"/>
          </a:solidFill>
          <a:ln w="28575" cap="rnd">
            <a:solidFill>
              <a:schemeClr val="accent1"/>
            </a:solidFill>
            <a:round/>
          </a:ln>
          <a:effectLst/>
        </c:spPr>
        <c:marker>
          <c:symbol val="none"/>
        </c:marker>
      </c:pivotFmt>
      <c:pivotFmt>
        <c:idx val="387"/>
        <c:spPr>
          <a:solidFill>
            <a:schemeClr val="accent1"/>
          </a:solidFill>
          <a:ln w="28575" cap="rnd">
            <a:solidFill>
              <a:schemeClr val="accent1"/>
            </a:solidFill>
            <a:round/>
          </a:ln>
          <a:effectLst/>
        </c:spPr>
        <c:marker>
          <c:symbol val="none"/>
        </c:marker>
      </c:pivotFmt>
      <c:pivotFmt>
        <c:idx val="388"/>
        <c:spPr>
          <a:solidFill>
            <a:schemeClr val="accent1"/>
          </a:solidFill>
          <a:ln w="28575" cap="rnd">
            <a:solidFill>
              <a:schemeClr val="accent1"/>
            </a:solidFill>
            <a:round/>
          </a:ln>
          <a:effectLst/>
        </c:spPr>
        <c:marker>
          <c:symbol val="none"/>
        </c:marker>
      </c:pivotFmt>
      <c:pivotFmt>
        <c:idx val="389"/>
        <c:spPr>
          <a:solidFill>
            <a:schemeClr val="accent1"/>
          </a:solidFill>
          <a:ln w="28575" cap="rnd">
            <a:solidFill>
              <a:schemeClr val="accent1"/>
            </a:solidFill>
            <a:round/>
          </a:ln>
          <a:effectLst/>
        </c:spPr>
        <c:marker>
          <c:symbol val="none"/>
        </c:marker>
      </c:pivotFmt>
      <c:pivotFmt>
        <c:idx val="390"/>
        <c:spPr>
          <a:solidFill>
            <a:schemeClr val="accent1"/>
          </a:solidFill>
          <a:ln w="28575" cap="rnd">
            <a:solidFill>
              <a:schemeClr val="accent1"/>
            </a:solidFill>
            <a:round/>
          </a:ln>
          <a:effectLst/>
        </c:spPr>
        <c:marker>
          <c:symbol val="none"/>
        </c:marker>
      </c:pivotFmt>
      <c:pivotFmt>
        <c:idx val="391"/>
        <c:spPr>
          <a:solidFill>
            <a:schemeClr val="accent1"/>
          </a:solidFill>
          <a:ln w="28575" cap="rnd">
            <a:solidFill>
              <a:schemeClr val="accent1"/>
            </a:solidFill>
            <a:round/>
          </a:ln>
          <a:effectLst/>
        </c:spPr>
        <c:marker>
          <c:symbol val="none"/>
        </c:marker>
      </c:pivotFmt>
      <c:pivotFmt>
        <c:idx val="392"/>
        <c:spPr>
          <a:solidFill>
            <a:schemeClr val="accent1"/>
          </a:solidFill>
          <a:ln w="28575" cap="rnd">
            <a:solidFill>
              <a:schemeClr val="accent1"/>
            </a:solidFill>
            <a:round/>
          </a:ln>
          <a:effectLst/>
        </c:spPr>
        <c:marker>
          <c:symbol val="none"/>
        </c:marker>
      </c:pivotFmt>
      <c:pivotFmt>
        <c:idx val="393"/>
        <c:spPr>
          <a:solidFill>
            <a:schemeClr val="accent1"/>
          </a:solidFill>
          <a:ln w="28575" cap="rnd">
            <a:solidFill>
              <a:schemeClr val="accent1"/>
            </a:solidFill>
            <a:round/>
          </a:ln>
          <a:effectLst/>
        </c:spPr>
        <c:marker>
          <c:symbol val="none"/>
        </c:marker>
      </c:pivotFmt>
      <c:pivotFmt>
        <c:idx val="394"/>
        <c:spPr>
          <a:solidFill>
            <a:schemeClr val="accent1"/>
          </a:solidFill>
          <a:ln w="28575" cap="rnd">
            <a:solidFill>
              <a:schemeClr val="accent1"/>
            </a:solidFill>
            <a:round/>
          </a:ln>
          <a:effectLst/>
        </c:spPr>
        <c:marker>
          <c:symbol val="none"/>
        </c:marker>
      </c:pivotFmt>
      <c:pivotFmt>
        <c:idx val="395"/>
        <c:spPr>
          <a:solidFill>
            <a:schemeClr val="accent1"/>
          </a:solidFill>
          <a:ln w="28575" cap="rnd">
            <a:solidFill>
              <a:schemeClr val="accent1"/>
            </a:solidFill>
            <a:round/>
          </a:ln>
          <a:effectLst/>
        </c:spPr>
        <c:marker>
          <c:symbol val="none"/>
        </c:marker>
      </c:pivotFmt>
      <c:pivotFmt>
        <c:idx val="396"/>
        <c:spPr>
          <a:solidFill>
            <a:schemeClr val="accent1"/>
          </a:solidFill>
          <a:ln w="28575" cap="rnd">
            <a:solidFill>
              <a:schemeClr val="accent1"/>
            </a:solidFill>
            <a:round/>
          </a:ln>
          <a:effectLst/>
        </c:spPr>
        <c:marker>
          <c:symbol val="none"/>
        </c:marker>
      </c:pivotFmt>
      <c:pivotFmt>
        <c:idx val="397"/>
        <c:spPr>
          <a:solidFill>
            <a:schemeClr val="accent1"/>
          </a:solidFill>
          <a:ln w="28575" cap="rnd">
            <a:solidFill>
              <a:schemeClr val="accent1"/>
            </a:solidFill>
            <a:round/>
          </a:ln>
          <a:effectLst/>
        </c:spPr>
        <c:marker>
          <c:symbol val="none"/>
        </c:marker>
      </c:pivotFmt>
      <c:pivotFmt>
        <c:idx val="398"/>
        <c:spPr>
          <a:ln w="28575" cap="rnd">
            <a:solidFill>
              <a:schemeClr val="accent1"/>
            </a:solidFill>
            <a:round/>
          </a:ln>
          <a:effectLst/>
        </c:spPr>
        <c:marker>
          <c:symbol val="none"/>
        </c:marker>
      </c:pivotFmt>
      <c:pivotFmt>
        <c:idx val="399"/>
        <c:spPr>
          <a:ln w="28575" cap="rnd">
            <a:solidFill>
              <a:schemeClr val="accent1"/>
            </a:solidFill>
            <a:round/>
          </a:ln>
          <a:effectLst/>
        </c:spPr>
        <c:marker>
          <c:symbol val="none"/>
        </c:marker>
      </c:pivotFmt>
      <c:pivotFmt>
        <c:idx val="400"/>
        <c:spPr>
          <a:ln w="28575" cap="rnd">
            <a:solidFill>
              <a:schemeClr val="accent1"/>
            </a:solidFill>
            <a:round/>
          </a:ln>
          <a:effectLst/>
        </c:spPr>
        <c:marker>
          <c:symbol val="none"/>
        </c:marker>
      </c:pivotFmt>
      <c:pivotFmt>
        <c:idx val="401"/>
        <c:spPr>
          <a:ln w="28575" cap="rnd">
            <a:solidFill>
              <a:schemeClr val="accent1"/>
            </a:solidFill>
            <a:round/>
          </a:ln>
          <a:effectLst/>
        </c:spPr>
        <c:marker>
          <c:symbol val="none"/>
        </c:marker>
      </c:pivotFmt>
    </c:pivotFmts>
    <c:plotArea>
      <c:layout>
        <c:manualLayout>
          <c:layoutTarget val="inner"/>
          <c:xMode val="edge"/>
          <c:yMode val="edge"/>
          <c:x val="4.8079367244556165E-2"/>
          <c:y val="9.7080072356536457E-2"/>
          <c:w val="0.74893943316211065"/>
          <c:h val="0.68362102239686251"/>
        </c:manualLayout>
      </c:layout>
      <c:lineChart>
        <c:grouping val="standard"/>
        <c:varyColors val="0"/>
        <c:ser>
          <c:idx val="0"/>
          <c:order val="0"/>
          <c:tx>
            <c:strRef>
              <c:f>'EL Prices'!$C$4:$C$6</c:f>
              <c:strCache>
                <c:ptCount val="1"/>
                <c:pt idx="0">
                  <c:v>BASE - DK1</c:v>
                </c:pt>
              </c:strCache>
            </c:strRef>
          </c:tx>
          <c:spPr>
            <a:ln w="28575" cap="rnd">
              <a:solidFill>
                <a:schemeClr val="accent1"/>
              </a:solidFill>
              <a:round/>
            </a:ln>
            <a:effectLst/>
          </c:spPr>
          <c:marker>
            <c:symbol val="none"/>
          </c:marker>
          <c:cat>
            <c:strRef>
              <c:f>'EL Prices'!$B$7:$B$8</c:f>
              <c:strCache>
                <c:ptCount val="1"/>
                <c:pt idx="0">
                  <c:v>2030</c:v>
                </c:pt>
              </c:strCache>
            </c:strRef>
          </c:cat>
          <c:val>
            <c:numRef>
              <c:f>'EL Prices'!$C$7:$C$8</c:f>
              <c:numCache>
                <c:formatCode>General</c:formatCode>
                <c:ptCount val="1"/>
                <c:pt idx="0">
                  <c:v>46.980703044894554</c:v>
                </c:pt>
              </c:numCache>
            </c:numRef>
          </c:val>
          <c:smooth val="0"/>
          <c:extLst>
            <c:ext xmlns:c16="http://schemas.microsoft.com/office/drawing/2014/chart" uri="{C3380CC4-5D6E-409C-BE32-E72D297353CC}">
              <c16:uniqueId val="{00000000-2083-464D-A571-37C63C90D5A1}"/>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max val="2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169"/>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170"/>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171"/>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172"/>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173"/>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1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182"/>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183"/>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184"/>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185"/>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186"/>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187"/>
        <c:spPr>
          <a:solidFill>
            <a:schemeClr val="accent1"/>
          </a:solidFill>
          <a:ln w="28575" cap="rnd">
            <a:solidFill>
              <a:schemeClr val="accent1"/>
            </a:solidFill>
            <a:round/>
          </a:ln>
          <a:effectLst/>
        </c:spPr>
        <c:marker>
          <c:symbol val="circle"/>
          <c:size val="5"/>
          <c:spPr>
            <a:solidFill>
              <a:schemeClr val="accent5">
                <a:lumMod val="80000"/>
              </a:schemeClr>
            </a:solidFill>
            <a:ln w="9525">
              <a:solidFill>
                <a:schemeClr val="accent5">
                  <a:lumMod val="80000"/>
                </a:schemeClr>
              </a:solidFill>
            </a:ln>
            <a:effectLst/>
          </c:spPr>
        </c:marker>
      </c:pivotFmt>
      <c:pivotFmt>
        <c:idx val="188"/>
        <c:spPr>
          <a:solidFill>
            <a:schemeClr val="accent1"/>
          </a:solidFill>
          <a:ln w="28575" cap="rnd">
            <a:solidFill>
              <a:schemeClr val="accent1"/>
            </a:solidFill>
            <a:round/>
          </a:ln>
          <a:effectLst/>
        </c:spPr>
        <c:marker>
          <c:symbol val="circle"/>
          <c:size val="5"/>
          <c:spPr>
            <a:solidFill>
              <a:schemeClr val="accent6">
                <a:lumMod val="80000"/>
              </a:schemeClr>
            </a:solidFill>
            <a:ln w="9525">
              <a:solidFill>
                <a:schemeClr val="accent6">
                  <a:lumMod val="80000"/>
                </a:schemeClr>
              </a:solidFill>
            </a:ln>
            <a:effectLst/>
          </c:spPr>
        </c:marker>
      </c:pivotFmt>
      <c:pivotFmt>
        <c:idx val="189"/>
        <c:spPr>
          <a:solidFill>
            <a:schemeClr val="accent1"/>
          </a:solidFill>
          <a:ln w="28575" cap="rnd">
            <a:solidFill>
              <a:schemeClr val="accent1"/>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pivotFmt>
      <c:pivotFmt>
        <c:idx val="190"/>
        <c:spPr>
          <a:solidFill>
            <a:schemeClr val="accent1"/>
          </a:solidFill>
          <a:ln w="28575" cap="rnd">
            <a:solidFill>
              <a:schemeClr val="accent1"/>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pivotFmt>
      <c:pivotFmt>
        <c:idx val="191"/>
        <c:spPr>
          <a:solidFill>
            <a:schemeClr val="accent1"/>
          </a:solidFill>
          <a:ln w="28575" cap="rnd">
            <a:solidFill>
              <a:schemeClr val="accent1"/>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pivotFmt>
      <c:pivotFmt>
        <c:idx val="192"/>
        <c:spPr>
          <a:solidFill>
            <a:schemeClr val="accent1"/>
          </a:solidFill>
          <a:ln w="28575" cap="rnd">
            <a:solidFill>
              <a:schemeClr val="accent1"/>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ymbol val="none"/>
        </c:marker>
      </c:pivotFmt>
      <c:pivotFmt>
        <c:idx val="238"/>
        <c:spPr>
          <a:solidFill>
            <a:schemeClr val="accent1"/>
          </a:solidFill>
          <a:ln w="28575" cap="rnd">
            <a:solidFill>
              <a:schemeClr val="accent1"/>
            </a:solidFill>
            <a:round/>
          </a:ln>
          <a:effectLst/>
        </c:spPr>
        <c:marker>
          <c:symbol val="none"/>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none"/>
        </c:marker>
      </c:pivotFmt>
      <c:pivotFmt>
        <c:idx val="288"/>
        <c:spPr>
          <a:solidFill>
            <a:schemeClr val="accent1"/>
          </a:solidFill>
          <a:ln w="28575" cap="rnd">
            <a:solidFill>
              <a:schemeClr val="accent1"/>
            </a:solidFill>
            <a:round/>
          </a:ln>
          <a:effectLst/>
        </c:spPr>
        <c:marker>
          <c:symbol val="none"/>
        </c:marker>
      </c:pivotFmt>
      <c:pivotFmt>
        <c:idx val="289"/>
        <c:spPr>
          <a:solidFill>
            <a:schemeClr val="accent1"/>
          </a:solidFill>
          <a:ln w="28575" cap="rnd">
            <a:solidFill>
              <a:schemeClr val="accent1"/>
            </a:solidFill>
            <a:round/>
          </a:ln>
          <a:effectLst/>
        </c:spPr>
        <c:marker>
          <c:symbol val="none"/>
        </c:marker>
      </c:pivotFmt>
      <c:pivotFmt>
        <c:idx val="290"/>
        <c:spPr>
          <a:solidFill>
            <a:schemeClr val="accent1"/>
          </a:solidFill>
          <a:ln w="28575" cap="rnd">
            <a:solidFill>
              <a:schemeClr val="accent1"/>
            </a:solidFill>
            <a:round/>
          </a:ln>
          <a:effectLst/>
        </c:spPr>
        <c:marker>
          <c:symbol val="none"/>
        </c:marker>
      </c:pivotFmt>
      <c:pivotFmt>
        <c:idx val="291"/>
        <c:spPr>
          <a:solidFill>
            <a:schemeClr val="accent1"/>
          </a:solidFill>
          <a:ln w="28575" cap="rnd">
            <a:solidFill>
              <a:schemeClr val="accent1"/>
            </a:solidFill>
            <a:round/>
          </a:ln>
          <a:effectLst/>
        </c:spPr>
        <c:marker>
          <c:symbol val="none"/>
        </c:marker>
      </c:pivotFmt>
      <c:pivotFmt>
        <c:idx val="292"/>
        <c:spPr>
          <a:solidFill>
            <a:schemeClr val="accent1"/>
          </a:solidFill>
          <a:ln w="28575" cap="rnd">
            <a:solidFill>
              <a:schemeClr val="accent1"/>
            </a:solidFill>
            <a:round/>
          </a:ln>
          <a:effectLst/>
        </c:spPr>
        <c:marker>
          <c:symbol val="none"/>
        </c:marker>
      </c:pivotFmt>
      <c:pivotFmt>
        <c:idx val="293"/>
        <c:spPr>
          <a:solidFill>
            <a:schemeClr val="accent1"/>
          </a:solidFill>
          <a:ln w="28575" cap="rnd">
            <a:solidFill>
              <a:schemeClr val="accent1"/>
            </a:solidFill>
            <a:round/>
          </a:ln>
          <a:effectLst/>
        </c:spPr>
        <c:marker>
          <c:symbol val="none"/>
        </c:marker>
      </c:pivotFmt>
      <c:pivotFmt>
        <c:idx val="294"/>
        <c:spPr>
          <a:solidFill>
            <a:schemeClr val="accent1"/>
          </a:solidFill>
          <a:ln w="28575" cap="rnd">
            <a:solidFill>
              <a:schemeClr val="accent1"/>
            </a:solidFill>
            <a:round/>
          </a:ln>
          <a:effectLst/>
        </c:spPr>
        <c:marker>
          <c:symbol val="none"/>
        </c:marker>
      </c:pivotFmt>
      <c:pivotFmt>
        <c:idx val="295"/>
        <c:spPr>
          <a:solidFill>
            <a:schemeClr val="accent1"/>
          </a:solidFill>
          <a:ln w="28575" cap="rnd">
            <a:solidFill>
              <a:schemeClr val="accent1"/>
            </a:solidFill>
            <a:round/>
          </a:ln>
          <a:effectLst/>
        </c:spPr>
        <c:marker>
          <c:symbol val="none"/>
        </c:marker>
      </c:pivotFmt>
      <c:pivotFmt>
        <c:idx val="296"/>
        <c:spPr>
          <a:solidFill>
            <a:schemeClr val="accent1"/>
          </a:solidFill>
          <a:ln w="28575" cap="rnd">
            <a:solidFill>
              <a:schemeClr val="accent1"/>
            </a:solidFill>
            <a:round/>
          </a:ln>
          <a:effectLst/>
        </c:spPr>
        <c:marker>
          <c:symbol val="none"/>
        </c:marker>
      </c:pivotFmt>
      <c:pivotFmt>
        <c:idx val="297"/>
        <c:spPr>
          <a:solidFill>
            <a:schemeClr val="accent1"/>
          </a:solidFill>
          <a:ln w="28575" cap="rnd">
            <a:solidFill>
              <a:schemeClr val="accent1"/>
            </a:solidFill>
            <a:round/>
          </a:ln>
          <a:effectLst/>
        </c:spPr>
        <c:marker>
          <c:symbol val="none"/>
        </c:marker>
      </c:pivotFmt>
      <c:pivotFmt>
        <c:idx val="298"/>
        <c:spPr>
          <a:solidFill>
            <a:schemeClr val="accent1"/>
          </a:solidFill>
          <a:ln w="28575" cap="rnd">
            <a:solidFill>
              <a:schemeClr val="accent1"/>
            </a:solidFill>
            <a:round/>
          </a:ln>
          <a:effectLst/>
        </c:spPr>
        <c:marker>
          <c:symbol val="none"/>
        </c:marker>
      </c:pivotFmt>
      <c:pivotFmt>
        <c:idx val="299"/>
        <c:spPr>
          <a:solidFill>
            <a:schemeClr val="accent1"/>
          </a:solidFill>
          <a:ln w="28575" cap="rnd">
            <a:solidFill>
              <a:schemeClr val="accent1"/>
            </a:solidFill>
            <a:round/>
          </a:ln>
          <a:effectLst/>
        </c:spPr>
        <c:marker>
          <c:symbol val="none"/>
        </c:marker>
      </c:pivotFmt>
      <c:pivotFmt>
        <c:idx val="300"/>
        <c:spPr>
          <a:solidFill>
            <a:schemeClr val="accent1"/>
          </a:solidFill>
          <a:ln w="28575" cap="rnd">
            <a:solidFill>
              <a:schemeClr val="accent1"/>
            </a:solidFill>
            <a:round/>
          </a:ln>
          <a:effectLst/>
        </c:spPr>
        <c:marker>
          <c:symbol val="none"/>
        </c:marker>
      </c:pivotFmt>
      <c:pivotFmt>
        <c:idx val="301"/>
        <c:spPr>
          <a:solidFill>
            <a:schemeClr val="accent1"/>
          </a:solidFill>
          <a:ln w="28575" cap="rnd">
            <a:solidFill>
              <a:schemeClr val="accent1"/>
            </a:solidFill>
            <a:round/>
          </a:ln>
          <a:effectLst/>
        </c:spPr>
        <c:marker>
          <c:symbol val="none"/>
        </c:marker>
      </c:pivotFmt>
      <c:pivotFmt>
        <c:idx val="302"/>
        <c:spPr>
          <a:solidFill>
            <a:schemeClr val="accent1"/>
          </a:solidFill>
          <a:ln w="28575" cap="rnd">
            <a:solidFill>
              <a:schemeClr val="accent1"/>
            </a:solidFill>
            <a:round/>
          </a:ln>
          <a:effectLst/>
        </c:spPr>
        <c:marker>
          <c:symbol val="none"/>
        </c:marker>
      </c:pivotFmt>
      <c:pivotFmt>
        <c:idx val="303"/>
        <c:spPr>
          <a:solidFill>
            <a:schemeClr val="accent1"/>
          </a:solidFill>
          <a:ln w="28575" cap="rnd">
            <a:solidFill>
              <a:schemeClr val="accent1"/>
            </a:solidFill>
            <a:round/>
          </a:ln>
          <a:effectLst/>
        </c:spPr>
        <c:marker>
          <c:symbol val="none"/>
        </c:marker>
      </c:pivotFmt>
      <c:pivotFmt>
        <c:idx val="304"/>
        <c:spPr>
          <a:solidFill>
            <a:schemeClr val="accent1"/>
          </a:solidFill>
          <a:ln w="28575" cap="rnd">
            <a:solidFill>
              <a:schemeClr val="accent1"/>
            </a:solidFill>
            <a:round/>
          </a:ln>
          <a:effectLst/>
        </c:spPr>
        <c:marker>
          <c:symbol val="none"/>
        </c:marker>
      </c:pivotFmt>
      <c:pivotFmt>
        <c:idx val="305"/>
        <c:spPr>
          <a:solidFill>
            <a:schemeClr val="accent1"/>
          </a:solidFill>
          <a:ln w="28575" cap="rnd">
            <a:solidFill>
              <a:schemeClr val="accent1"/>
            </a:solidFill>
            <a:round/>
          </a:ln>
          <a:effectLst/>
        </c:spPr>
        <c:marker>
          <c:symbol val="none"/>
        </c:marker>
      </c:pivotFmt>
      <c:pivotFmt>
        <c:idx val="306"/>
        <c:spPr>
          <a:solidFill>
            <a:schemeClr val="accent1"/>
          </a:solidFill>
          <a:ln w="28575" cap="rnd">
            <a:solidFill>
              <a:schemeClr val="accent1"/>
            </a:solidFill>
            <a:round/>
          </a:ln>
          <a:effectLst/>
        </c:spPr>
        <c:marker>
          <c:symbol val="none"/>
        </c:marker>
      </c:pivotFmt>
      <c:pivotFmt>
        <c:idx val="307"/>
        <c:spPr>
          <a:solidFill>
            <a:schemeClr val="accent1"/>
          </a:solidFill>
          <a:ln w="28575" cap="rnd">
            <a:solidFill>
              <a:schemeClr val="accent1"/>
            </a:solidFill>
            <a:round/>
          </a:ln>
          <a:effectLst/>
        </c:spPr>
        <c:marker>
          <c:symbol val="none"/>
        </c:marker>
      </c:pivotFmt>
      <c:pivotFmt>
        <c:idx val="308"/>
        <c:spPr>
          <a:solidFill>
            <a:schemeClr val="accent1"/>
          </a:solidFill>
          <a:ln w="28575" cap="rnd">
            <a:solidFill>
              <a:schemeClr val="accent1"/>
            </a:solidFill>
            <a:round/>
          </a:ln>
          <a:effectLst/>
        </c:spPr>
        <c:marker>
          <c:symbol val="none"/>
        </c:marker>
      </c:pivotFmt>
      <c:pivotFmt>
        <c:idx val="309"/>
        <c:spPr>
          <a:solidFill>
            <a:schemeClr val="accent1"/>
          </a:solidFill>
          <a:ln w="28575" cap="rnd">
            <a:solidFill>
              <a:schemeClr val="accent1"/>
            </a:solidFill>
            <a:round/>
          </a:ln>
          <a:effectLst/>
        </c:spPr>
        <c:marker>
          <c:symbol val="none"/>
        </c:marker>
      </c:pivotFmt>
      <c:pivotFmt>
        <c:idx val="310"/>
        <c:spPr>
          <a:solidFill>
            <a:schemeClr val="accent1"/>
          </a:solidFill>
          <a:ln w="28575" cap="rnd">
            <a:solidFill>
              <a:schemeClr val="accent1"/>
            </a:solidFill>
            <a:round/>
          </a:ln>
          <a:effectLst/>
        </c:spPr>
        <c:marker>
          <c:symbol val="none"/>
        </c:marker>
      </c:pivotFmt>
      <c:pivotFmt>
        <c:idx val="311"/>
        <c:spPr>
          <a:solidFill>
            <a:schemeClr val="accent1"/>
          </a:solidFill>
          <a:ln w="28575" cap="rnd">
            <a:solidFill>
              <a:schemeClr val="accent1"/>
            </a:solidFill>
            <a:round/>
          </a:ln>
          <a:effectLst/>
        </c:spPr>
        <c:marker>
          <c:symbol val="none"/>
        </c:marker>
      </c:pivotFmt>
      <c:pivotFmt>
        <c:idx val="312"/>
        <c:spPr>
          <a:solidFill>
            <a:schemeClr val="accent1"/>
          </a:solidFill>
          <a:ln w="28575" cap="rnd">
            <a:solidFill>
              <a:schemeClr val="accent1"/>
            </a:solidFill>
            <a:round/>
          </a:ln>
          <a:effectLst/>
        </c:spPr>
        <c:marker>
          <c:symbol val="none"/>
        </c:marker>
      </c:pivotFmt>
      <c:pivotFmt>
        <c:idx val="313"/>
        <c:spPr>
          <a:solidFill>
            <a:schemeClr val="accent1"/>
          </a:solidFill>
          <a:ln w="28575" cap="rnd">
            <a:solidFill>
              <a:schemeClr val="accent1"/>
            </a:solidFill>
            <a:round/>
          </a:ln>
          <a:effectLst/>
        </c:spPr>
        <c:marker>
          <c:symbol val="none"/>
        </c:marker>
      </c:pivotFmt>
      <c:pivotFmt>
        <c:idx val="314"/>
        <c:spPr>
          <a:solidFill>
            <a:schemeClr val="accent1"/>
          </a:solidFill>
          <a:ln w="28575" cap="rnd">
            <a:solidFill>
              <a:schemeClr val="accent1"/>
            </a:solidFill>
            <a:round/>
          </a:ln>
          <a:effectLst/>
        </c:spPr>
        <c:marker>
          <c:symbol val="none"/>
        </c:marker>
      </c:pivotFmt>
      <c:pivotFmt>
        <c:idx val="315"/>
        <c:spPr>
          <a:solidFill>
            <a:schemeClr val="accent1"/>
          </a:solidFill>
          <a:ln w="28575" cap="rnd">
            <a:solidFill>
              <a:schemeClr val="accent1"/>
            </a:solidFill>
            <a:round/>
          </a:ln>
          <a:effectLst/>
        </c:spPr>
        <c:marker>
          <c:symbol val="none"/>
        </c:marker>
      </c:pivotFmt>
      <c:pivotFmt>
        <c:idx val="316"/>
        <c:spPr>
          <a:solidFill>
            <a:schemeClr val="accent1"/>
          </a:solidFill>
          <a:ln w="28575" cap="rnd">
            <a:solidFill>
              <a:schemeClr val="accent1"/>
            </a:solidFill>
            <a:round/>
          </a:ln>
          <a:effectLst/>
        </c:spPr>
        <c:marker>
          <c:symbol val="none"/>
        </c:marker>
      </c:pivotFmt>
      <c:pivotFmt>
        <c:idx val="317"/>
        <c:spPr>
          <a:solidFill>
            <a:schemeClr val="accent1"/>
          </a:solidFill>
          <a:ln w="28575" cap="rnd">
            <a:solidFill>
              <a:schemeClr val="accent1"/>
            </a:solidFill>
            <a:round/>
          </a:ln>
          <a:effectLst/>
        </c:spPr>
        <c:marker>
          <c:symbol val="none"/>
        </c:marker>
      </c:pivotFmt>
      <c:pivotFmt>
        <c:idx val="318"/>
        <c:spPr>
          <a:solidFill>
            <a:schemeClr val="accent1"/>
          </a:solidFill>
          <a:ln w="28575" cap="rnd">
            <a:solidFill>
              <a:schemeClr val="accent1"/>
            </a:solidFill>
            <a:round/>
          </a:ln>
          <a:effectLst/>
        </c:spPr>
        <c:marker>
          <c:symbol val="none"/>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6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6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6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6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6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6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6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36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8"/>
        <c:spPr>
          <a:solidFill>
            <a:schemeClr val="accent1"/>
          </a:solidFill>
          <a:ln w="28575" cap="rnd">
            <a:solidFill>
              <a:schemeClr val="accent1"/>
            </a:solidFill>
            <a:round/>
          </a:ln>
          <a:effectLst/>
        </c:spPr>
        <c:marker>
          <c:symbol val="none"/>
        </c:marker>
      </c:pivotFmt>
      <c:pivotFmt>
        <c:idx val="379"/>
        <c:spPr>
          <a:solidFill>
            <a:schemeClr val="accent1"/>
          </a:solidFill>
          <a:ln w="28575" cap="rnd">
            <a:solidFill>
              <a:schemeClr val="accent1"/>
            </a:solidFill>
            <a:round/>
          </a:ln>
          <a:effectLst/>
        </c:spPr>
        <c:marker>
          <c:symbol val="none"/>
        </c:marker>
      </c:pivotFmt>
      <c:pivotFmt>
        <c:idx val="380"/>
        <c:spPr>
          <a:solidFill>
            <a:schemeClr val="accent1"/>
          </a:solidFill>
          <a:ln w="28575" cap="rnd">
            <a:solidFill>
              <a:schemeClr val="accent1"/>
            </a:solidFill>
            <a:round/>
          </a:ln>
          <a:effectLst/>
        </c:spPr>
        <c:marker>
          <c:symbol val="none"/>
        </c:marker>
      </c:pivotFmt>
      <c:pivotFmt>
        <c:idx val="381"/>
        <c:spPr>
          <a:solidFill>
            <a:schemeClr val="accent1"/>
          </a:solidFill>
          <a:ln w="28575" cap="rnd">
            <a:solidFill>
              <a:schemeClr val="accent1"/>
            </a:solidFill>
            <a:round/>
          </a:ln>
          <a:effectLst/>
        </c:spPr>
        <c:marker>
          <c:symbol val="none"/>
        </c:marker>
      </c:pivotFmt>
      <c:pivotFmt>
        <c:idx val="382"/>
        <c:spPr>
          <a:solidFill>
            <a:schemeClr val="accent1"/>
          </a:solidFill>
          <a:ln w="28575" cap="rnd">
            <a:solidFill>
              <a:schemeClr val="accent1"/>
            </a:solidFill>
            <a:round/>
          </a:ln>
          <a:effectLst/>
        </c:spPr>
        <c:marker>
          <c:symbol val="none"/>
        </c:marker>
      </c:pivotFmt>
      <c:pivotFmt>
        <c:idx val="383"/>
        <c:spPr>
          <a:solidFill>
            <a:schemeClr val="accent1"/>
          </a:solidFill>
          <a:ln w="28575" cap="rnd">
            <a:solidFill>
              <a:schemeClr val="accent1"/>
            </a:solidFill>
            <a:round/>
          </a:ln>
          <a:effectLst/>
        </c:spPr>
        <c:marker>
          <c:symbol val="none"/>
        </c:marker>
      </c:pivotFmt>
      <c:pivotFmt>
        <c:idx val="384"/>
        <c:spPr>
          <a:solidFill>
            <a:schemeClr val="accent1"/>
          </a:solidFill>
          <a:ln w="28575" cap="rnd">
            <a:solidFill>
              <a:schemeClr val="accent1"/>
            </a:solidFill>
            <a:round/>
          </a:ln>
          <a:effectLst/>
        </c:spPr>
        <c:marker>
          <c:symbol val="none"/>
        </c:marker>
      </c:pivotFmt>
      <c:pivotFmt>
        <c:idx val="385"/>
        <c:spPr>
          <a:solidFill>
            <a:schemeClr val="accent1"/>
          </a:solidFill>
          <a:ln w="28575" cap="rnd">
            <a:solidFill>
              <a:schemeClr val="accent1"/>
            </a:solidFill>
            <a:round/>
          </a:ln>
          <a:effectLst/>
        </c:spPr>
        <c:marker>
          <c:symbol val="none"/>
        </c:marker>
      </c:pivotFmt>
      <c:pivotFmt>
        <c:idx val="386"/>
        <c:spPr>
          <a:solidFill>
            <a:schemeClr val="accent1"/>
          </a:solidFill>
          <a:ln w="28575" cap="rnd">
            <a:solidFill>
              <a:schemeClr val="accent1"/>
            </a:solidFill>
            <a:round/>
          </a:ln>
          <a:effectLst/>
        </c:spPr>
        <c:marker>
          <c:symbol val="none"/>
        </c:marker>
      </c:pivotFmt>
      <c:pivotFmt>
        <c:idx val="387"/>
        <c:spPr>
          <a:solidFill>
            <a:schemeClr val="accent1"/>
          </a:solidFill>
          <a:ln w="28575" cap="rnd">
            <a:solidFill>
              <a:schemeClr val="accent1"/>
            </a:solidFill>
            <a:round/>
          </a:ln>
          <a:effectLst/>
        </c:spPr>
        <c:marker>
          <c:symbol val="none"/>
        </c:marker>
      </c:pivotFmt>
      <c:pivotFmt>
        <c:idx val="388"/>
        <c:spPr>
          <a:solidFill>
            <a:schemeClr val="accent1"/>
          </a:solidFill>
          <a:ln w="28575" cap="rnd">
            <a:solidFill>
              <a:schemeClr val="accent1"/>
            </a:solidFill>
            <a:round/>
          </a:ln>
          <a:effectLst/>
        </c:spPr>
        <c:marker>
          <c:symbol val="none"/>
        </c:marker>
      </c:pivotFmt>
      <c:pivotFmt>
        <c:idx val="389"/>
        <c:spPr>
          <a:solidFill>
            <a:schemeClr val="accent1"/>
          </a:solidFill>
          <a:ln w="28575" cap="rnd">
            <a:solidFill>
              <a:schemeClr val="accent1"/>
            </a:solidFill>
            <a:round/>
          </a:ln>
          <a:effectLst/>
        </c:spPr>
        <c:marker>
          <c:symbol val="none"/>
        </c:marker>
      </c:pivotFmt>
      <c:pivotFmt>
        <c:idx val="390"/>
        <c:spPr>
          <a:solidFill>
            <a:schemeClr val="accent1"/>
          </a:solidFill>
          <a:ln w="28575" cap="rnd">
            <a:solidFill>
              <a:schemeClr val="accent1"/>
            </a:solidFill>
            <a:round/>
          </a:ln>
          <a:effectLst/>
        </c:spPr>
        <c:marker>
          <c:symbol val="none"/>
        </c:marker>
      </c:pivotFmt>
      <c:pivotFmt>
        <c:idx val="391"/>
        <c:spPr>
          <a:solidFill>
            <a:schemeClr val="accent1"/>
          </a:solidFill>
          <a:ln w="28575" cap="rnd">
            <a:solidFill>
              <a:schemeClr val="accent1"/>
            </a:solidFill>
            <a:round/>
          </a:ln>
          <a:effectLst/>
        </c:spPr>
        <c:marker>
          <c:symbol val="none"/>
        </c:marker>
      </c:pivotFmt>
      <c:pivotFmt>
        <c:idx val="392"/>
        <c:spPr>
          <a:solidFill>
            <a:schemeClr val="accent1"/>
          </a:solidFill>
          <a:ln w="28575" cap="rnd">
            <a:solidFill>
              <a:schemeClr val="accent1"/>
            </a:solidFill>
            <a:round/>
          </a:ln>
          <a:effectLst/>
        </c:spPr>
        <c:marker>
          <c:symbol val="none"/>
        </c:marker>
      </c:pivotFmt>
      <c:pivotFmt>
        <c:idx val="393"/>
        <c:spPr>
          <a:solidFill>
            <a:schemeClr val="accent1"/>
          </a:solidFill>
          <a:ln w="28575" cap="rnd">
            <a:solidFill>
              <a:schemeClr val="accent1"/>
            </a:solidFill>
            <a:round/>
          </a:ln>
          <a:effectLst/>
        </c:spPr>
        <c:marker>
          <c:symbol val="none"/>
        </c:marker>
      </c:pivotFmt>
      <c:pivotFmt>
        <c:idx val="394"/>
        <c:spPr>
          <a:solidFill>
            <a:schemeClr val="accent1"/>
          </a:solidFill>
          <a:ln w="28575" cap="rnd">
            <a:solidFill>
              <a:schemeClr val="accent1"/>
            </a:solidFill>
            <a:round/>
          </a:ln>
          <a:effectLst/>
        </c:spPr>
        <c:marker>
          <c:symbol val="none"/>
        </c:marker>
      </c:pivotFmt>
      <c:pivotFmt>
        <c:idx val="395"/>
        <c:spPr>
          <a:solidFill>
            <a:schemeClr val="accent1"/>
          </a:solidFill>
          <a:ln w="28575" cap="rnd">
            <a:solidFill>
              <a:schemeClr val="accent1"/>
            </a:solidFill>
            <a:round/>
          </a:ln>
          <a:effectLst/>
        </c:spPr>
        <c:marker>
          <c:symbol val="none"/>
        </c:marker>
      </c:pivotFmt>
      <c:pivotFmt>
        <c:idx val="396"/>
        <c:spPr>
          <a:solidFill>
            <a:schemeClr val="accent1"/>
          </a:solidFill>
          <a:ln w="28575" cap="rnd">
            <a:solidFill>
              <a:schemeClr val="accent1"/>
            </a:solidFill>
            <a:round/>
          </a:ln>
          <a:effectLst/>
        </c:spPr>
        <c:marker>
          <c:symbol val="none"/>
        </c:marker>
      </c:pivotFmt>
      <c:pivotFmt>
        <c:idx val="397"/>
        <c:spPr>
          <a:solidFill>
            <a:schemeClr val="accent1"/>
          </a:solidFill>
          <a:ln w="28575" cap="rnd">
            <a:solidFill>
              <a:schemeClr val="accent1"/>
            </a:solidFill>
            <a:round/>
          </a:ln>
          <a:effectLst/>
        </c:spPr>
        <c:marker>
          <c:symbol val="none"/>
        </c:marker>
      </c:pivotFmt>
      <c:pivotFmt>
        <c:idx val="398"/>
        <c:spPr>
          <a:solidFill>
            <a:schemeClr val="accent1"/>
          </a:solidFill>
          <a:ln w="28575" cap="rnd">
            <a:solidFill>
              <a:schemeClr val="accent1"/>
            </a:solidFill>
            <a:round/>
          </a:ln>
          <a:effectLst/>
        </c:spPr>
        <c:marker>
          <c:symbol val="none"/>
        </c:marker>
      </c:pivotFmt>
      <c:pivotFmt>
        <c:idx val="399"/>
        <c:spPr>
          <a:solidFill>
            <a:schemeClr val="accent1"/>
          </a:solidFill>
          <a:ln w="28575" cap="rnd">
            <a:solidFill>
              <a:schemeClr val="accent1"/>
            </a:solidFill>
            <a:round/>
          </a:ln>
          <a:effectLst/>
        </c:spPr>
        <c:marker>
          <c:symbol val="none"/>
        </c:marker>
      </c:pivotFmt>
      <c:pivotFmt>
        <c:idx val="400"/>
        <c:spPr>
          <a:solidFill>
            <a:schemeClr val="accent1"/>
          </a:solidFill>
          <a:ln w="28575" cap="rnd">
            <a:solidFill>
              <a:schemeClr val="accent1"/>
            </a:solidFill>
            <a:round/>
          </a:ln>
          <a:effectLst/>
        </c:spPr>
        <c:marker>
          <c:symbol val="none"/>
        </c:marker>
      </c:pivotFmt>
      <c:pivotFmt>
        <c:idx val="401"/>
        <c:spPr>
          <a:solidFill>
            <a:schemeClr val="accent1"/>
          </a:solidFill>
          <a:ln w="28575" cap="rnd">
            <a:solidFill>
              <a:schemeClr val="accent1"/>
            </a:solidFill>
            <a:round/>
          </a:ln>
          <a:effectLst/>
        </c:spPr>
        <c:marker>
          <c:symbol val="none"/>
        </c:marker>
      </c:pivotFmt>
      <c:pivotFmt>
        <c:idx val="402"/>
        <c:spPr>
          <a:solidFill>
            <a:schemeClr val="accent1"/>
          </a:solidFill>
          <a:ln w="28575" cap="rnd">
            <a:solidFill>
              <a:schemeClr val="accent1"/>
            </a:solidFill>
            <a:round/>
          </a:ln>
          <a:effectLst/>
        </c:spPr>
        <c:marker>
          <c:symbol val="none"/>
        </c:marker>
      </c:pivotFmt>
      <c:pivotFmt>
        <c:idx val="403"/>
        <c:spPr>
          <a:solidFill>
            <a:schemeClr val="accent1"/>
          </a:solidFill>
          <a:ln w="28575" cap="rnd">
            <a:solidFill>
              <a:schemeClr val="accent1"/>
            </a:solidFill>
            <a:round/>
          </a:ln>
          <a:effectLst/>
        </c:spPr>
        <c:marker>
          <c:symbol val="none"/>
        </c:marker>
      </c:pivotFmt>
      <c:pivotFmt>
        <c:idx val="404"/>
        <c:spPr>
          <a:solidFill>
            <a:schemeClr val="accent1"/>
          </a:solidFill>
          <a:ln w="28575" cap="rnd">
            <a:solidFill>
              <a:schemeClr val="accent1"/>
            </a:solidFill>
            <a:round/>
          </a:ln>
          <a:effectLst/>
        </c:spPr>
        <c:marker>
          <c:symbol val="none"/>
        </c:marker>
      </c:pivotFmt>
      <c:pivotFmt>
        <c:idx val="405"/>
        <c:spPr>
          <a:solidFill>
            <a:schemeClr val="accent1"/>
          </a:solidFill>
          <a:ln w="28575" cap="rnd">
            <a:solidFill>
              <a:schemeClr val="accent1"/>
            </a:solidFill>
            <a:round/>
          </a:ln>
          <a:effectLst/>
        </c:spPr>
        <c:marker>
          <c:symbol val="none"/>
        </c:marker>
      </c:pivotFmt>
      <c:pivotFmt>
        <c:idx val="406"/>
        <c:spPr>
          <a:solidFill>
            <a:schemeClr val="accent1"/>
          </a:solidFill>
          <a:ln w="28575" cap="rnd">
            <a:solidFill>
              <a:schemeClr val="accent1"/>
            </a:solidFill>
            <a:round/>
          </a:ln>
          <a:effectLst/>
        </c:spPr>
        <c:marker>
          <c:symbol val="none"/>
        </c:marker>
      </c:pivotFmt>
      <c:pivotFmt>
        <c:idx val="407"/>
        <c:spPr>
          <a:solidFill>
            <a:schemeClr val="accent1"/>
          </a:solidFill>
          <a:ln w="28575" cap="rnd">
            <a:solidFill>
              <a:schemeClr val="accent1"/>
            </a:solidFill>
            <a:round/>
          </a:ln>
          <a:effectLst/>
        </c:spPr>
        <c:marker>
          <c:symbol val="none"/>
        </c:marker>
      </c:pivotFmt>
      <c:pivotFmt>
        <c:idx val="408"/>
        <c:spPr>
          <a:solidFill>
            <a:schemeClr val="accent1"/>
          </a:solidFill>
          <a:ln w="28575" cap="rnd">
            <a:solidFill>
              <a:schemeClr val="accent1"/>
            </a:solidFill>
            <a:round/>
          </a:ln>
          <a:effectLst/>
        </c:spPr>
        <c:marker>
          <c:symbol val="none"/>
        </c:marker>
      </c:pivotFmt>
      <c:pivotFmt>
        <c:idx val="409"/>
        <c:spPr>
          <a:solidFill>
            <a:schemeClr val="accent1"/>
          </a:solidFill>
          <a:ln w="28575" cap="rnd">
            <a:solidFill>
              <a:schemeClr val="accent1"/>
            </a:solidFill>
            <a:round/>
          </a:ln>
          <a:effectLst/>
        </c:spPr>
        <c:marker>
          <c:symbol val="none"/>
        </c:marker>
      </c:pivotFmt>
      <c:pivotFmt>
        <c:idx val="410"/>
        <c:spPr>
          <a:solidFill>
            <a:schemeClr val="accent1"/>
          </a:solidFill>
          <a:ln w="28575" cap="rnd">
            <a:solidFill>
              <a:schemeClr val="accent1"/>
            </a:solidFill>
            <a:round/>
          </a:ln>
          <a:effectLst/>
        </c:spPr>
        <c:marker>
          <c:symbol val="none"/>
        </c:marker>
      </c:pivotFmt>
      <c:pivotFmt>
        <c:idx val="411"/>
        <c:spPr>
          <a:solidFill>
            <a:schemeClr val="accent1"/>
          </a:solidFill>
          <a:ln w="28575" cap="rnd">
            <a:solidFill>
              <a:schemeClr val="accent1"/>
            </a:solidFill>
            <a:round/>
          </a:ln>
          <a:effectLst/>
        </c:spPr>
        <c:marker>
          <c:symbol val="none"/>
        </c:marker>
      </c:pivotFmt>
      <c:pivotFmt>
        <c:idx val="412"/>
        <c:spPr>
          <a:solidFill>
            <a:schemeClr val="accent1"/>
          </a:solidFill>
          <a:ln w="28575" cap="rnd">
            <a:solidFill>
              <a:schemeClr val="accent1"/>
            </a:solidFill>
            <a:round/>
          </a:ln>
          <a:effectLst/>
        </c:spPr>
        <c:marker>
          <c:symbol val="none"/>
        </c:marker>
      </c:pivotFmt>
      <c:pivotFmt>
        <c:idx val="413"/>
        <c:spPr>
          <a:solidFill>
            <a:schemeClr val="accent1"/>
          </a:solidFill>
          <a:ln w="28575" cap="rnd">
            <a:solidFill>
              <a:schemeClr val="accent1"/>
            </a:solidFill>
            <a:round/>
          </a:ln>
          <a:effectLst/>
        </c:spPr>
        <c:marker>
          <c:symbol val="none"/>
        </c:marker>
      </c:pivotFmt>
      <c:pivotFmt>
        <c:idx val="414"/>
        <c:spPr>
          <a:solidFill>
            <a:schemeClr val="accent1"/>
          </a:solidFill>
          <a:ln w="28575" cap="rnd">
            <a:solidFill>
              <a:schemeClr val="accent1"/>
            </a:solidFill>
            <a:round/>
          </a:ln>
          <a:effectLst/>
        </c:spPr>
        <c:marker>
          <c:symbol val="none"/>
        </c:marker>
      </c:pivotFmt>
      <c:pivotFmt>
        <c:idx val="415"/>
        <c:spPr>
          <a:solidFill>
            <a:schemeClr val="accent1"/>
          </a:solidFill>
          <a:ln w="28575" cap="rnd">
            <a:solidFill>
              <a:schemeClr val="accent1"/>
            </a:solidFill>
            <a:round/>
          </a:ln>
          <a:effectLst/>
        </c:spPr>
        <c:marker>
          <c:symbol val="none"/>
        </c:marker>
      </c:pivotFmt>
      <c:pivotFmt>
        <c:idx val="416"/>
        <c:spPr>
          <a:solidFill>
            <a:schemeClr val="accent1"/>
          </a:solidFill>
          <a:ln w="28575" cap="rnd">
            <a:solidFill>
              <a:schemeClr val="accent1"/>
            </a:solidFill>
            <a:round/>
          </a:ln>
          <a:effectLst/>
        </c:spPr>
        <c:marker>
          <c:symbol val="none"/>
        </c:marker>
      </c:pivotFmt>
      <c:pivotFmt>
        <c:idx val="417"/>
        <c:spPr>
          <a:solidFill>
            <a:schemeClr val="accent1"/>
          </a:solidFill>
          <a:ln w="28575" cap="rnd">
            <a:solidFill>
              <a:schemeClr val="accent1"/>
            </a:solidFill>
            <a:round/>
          </a:ln>
          <a:effectLst/>
        </c:spPr>
        <c:marker>
          <c:symbol val="none"/>
        </c:marker>
      </c:pivotFmt>
      <c:pivotFmt>
        <c:idx val="418"/>
        <c:spPr>
          <a:solidFill>
            <a:schemeClr val="accent1"/>
          </a:solidFill>
          <a:ln w="28575" cap="rnd">
            <a:solidFill>
              <a:schemeClr val="accent1"/>
            </a:solidFill>
            <a:round/>
          </a:ln>
          <a:effectLst/>
        </c:spPr>
        <c:marker>
          <c:symbol val="none"/>
        </c:marker>
      </c:pivotFmt>
      <c:pivotFmt>
        <c:idx val="419"/>
        <c:spPr>
          <a:solidFill>
            <a:schemeClr val="accent1"/>
          </a:solidFill>
          <a:ln w="28575" cap="rnd">
            <a:solidFill>
              <a:schemeClr val="accent1"/>
            </a:solidFill>
            <a:round/>
          </a:ln>
          <a:effectLst/>
        </c:spPr>
        <c:marker>
          <c:symbol val="none"/>
        </c:marker>
      </c:pivotFmt>
      <c:pivotFmt>
        <c:idx val="420"/>
        <c:spPr>
          <a:solidFill>
            <a:schemeClr val="accent1"/>
          </a:solidFill>
          <a:ln w="28575" cap="rnd">
            <a:solidFill>
              <a:schemeClr val="accent1"/>
            </a:solidFill>
            <a:round/>
          </a:ln>
          <a:effectLst/>
        </c:spPr>
        <c:marker>
          <c:symbol val="none"/>
        </c:marker>
      </c:pivotFmt>
      <c:pivotFmt>
        <c:idx val="421"/>
        <c:spPr>
          <a:solidFill>
            <a:schemeClr val="accent1"/>
          </a:solidFill>
          <a:ln w="28575" cap="rnd">
            <a:solidFill>
              <a:schemeClr val="accent1"/>
            </a:solidFill>
            <a:round/>
          </a:ln>
          <a:effectLst/>
        </c:spPr>
        <c:marker>
          <c:symbol val="none"/>
        </c:marker>
      </c:pivotFmt>
      <c:pivotFmt>
        <c:idx val="422"/>
        <c:spPr>
          <a:solidFill>
            <a:schemeClr val="accent1"/>
          </a:solidFill>
          <a:ln w="28575" cap="rnd">
            <a:solidFill>
              <a:schemeClr val="accent1"/>
            </a:solidFill>
            <a:round/>
          </a:ln>
          <a:effectLst/>
        </c:spPr>
        <c:marker>
          <c:symbol val="none"/>
        </c:marker>
      </c:pivotFmt>
      <c:pivotFmt>
        <c:idx val="423"/>
        <c:spPr>
          <a:solidFill>
            <a:schemeClr val="accent1"/>
          </a:solidFill>
          <a:ln w="28575" cap="rnd">
            <a:solidFill>
              <a:schemeClr val="accent1"/>
            </a:solidFill>
            <a:round/>
          </a:ln>
          <a:effectLst/>
        </c:spPr>
        <c:marker>
          <c:symbol val="none"/>
        </c:marker>
      </c:pivotFmt>
      <c:pivotFmt>
        <c:idx val="424"/>
        <c:spPr>
          <a:solidFill>
            <a:schemeClr val="accent1"/>
          </a:solidFill>
          <a:ln w="28575" cap="rnd">
            <a:solidFill>
              <a:schemeClr val="accent1"/>
            </a:solidFill>
            <a:round/>
          </a:ln>
          <a:effectLst/>
        </c:spPr>
        <c:marker>
          <c:symbol val="none"/>
        </c:marker>
      </c:pivotFmt>
      <c:pivotFmt>
        <c:idx val="425"/>
        <c:spPr>
          <a:solidFill>
            <a:schemeClr val="accent1"/>
          </a:solidFill>
          <a:ln w="28575" cap="rnd">
            <a:solidFill>
              <a:schemeClr val="accent1"/>
            </a:solidFill>
            <a:round/>
          </a:ln>
          <a:effectLst/>
        </c:spPr>
        <c:marker>
          <c:symbol val="none"/>
        </c:marker>
      </c:pivotFmt>
      <c:pivotFmt>
        <c:idx val="426"/>
        <c:spPr>
          <a:solidFill>
            <a:schemeClr val="accent1"/>
          </a:solidFill>
          <a:ln w="28575" cap="rnd">
            <a:solidFill>
              <a:schemeClr val="accent1"/>
            </a:solidFill>
            <a:round/>
          </a:ln>
          <a:effectLst/>
        </c:spPr>
        <c:marker>
          <c:symbol val="none"/>
        </c:marker>
      </c:pivotFmt>
      <c:pivotFmt>
        <c:idx val="427"/>
        <c:spPr>
          <a:solidFill>
            <a:schemeClr val="accent1"/>
          </a:solidFill>
          <a:ln w="28575" cap="rnd">
            <a:solidFill>
              <a:schemeClr val="accent1"/>
            </a:solidFill>
            <a:round/>
          </a:ln>
          <a:effectLst/>
        </c:spPr>
        <c:marker>
          <c:symbol val="none"/>
        </c:marker>
      </c:pivotFmt>
      <c:pivotFmt>
        <c:idx val="428"/>
        <c:spPr>
          <a:solidFill>
            <a:schemeClr val="accent1"/>
          </a:solidFill>
          <a:ln w="28575" cap="rnd">
            <a:solidFill>
              <a:schemeClr val="accent1"/>
            </a:solidFill>
            <a:round/>
          </a:ln>
          <a:effectLst/>
        </c:spPr>
        <c:marker>
          <c:symbol val="none"/>
        </c:marker>
      </c:pivotFmt>
      <c:pivotFmt>
        <c:idx val="429"/>
        <c:spPr>
          <a:solidFill>
            <a:schemeClr val="accent1"/>
          </a:solidFill>
          <a:ln w="28575" cap="rnd">
            <a:solidFill>
              <a:schemeClr val="accent1"/>
            </a:solidFill>
            <a:round/>
          </a:ln>
          <a:effectLst/>
        </c:spPr>
        <c:marker>
          <c:symbol val="none"/>
        </c:marker>
      </c:pivotFmt>
      <c:pivotFmt>
        <c:idx val="430"/>
        <c:spPr>
          <a:solidFill>
            <a:schemeClr val="accent1"/>
          </a:solidFill>
          <a:ln w="28575" cap="rnd">
            <a:solidFill>
              <a:schemeClr val="accent1"/>
            </a:solidFill>
            <a:round/>
          </a:ln>
          <a:effectLst/>
        </c:spPr>
        <c:marker>
          <c:symbol val="none"/>
        </c:marker>
      </c:pivotFmt>
      <c:pivotFmt>
        <c:idx val="431"/>
        <c:spPr>
          <a:solidFill>
            <a:schemeClr val="accent1"/>
          </a:solidFill>
          <a:ln w="28575" cap="rnd">
            <a:solidFill>
              <a:schemeClr val="accent1"/>
            </a:solidFill>
            <a:round/>
          </a:ln>
          <a:effectLst/>
        </c:spPr>
        <c:marker>
          <c:symbol val="none"/>
        </c:marker>
      </c:pivotFmt>
      <c:pivotFmt>
        <c:idx val="432"/>
        <c:spPr>
          <a:solidFill>
            <a:schemeClr val="accent1"/>
          </a:solidFill>
          <a:ln w="28575" cap="rnd">
            <a:solidFill>
              <a:schemeClr val="accent1"/>
            </a:solidFill>
            <a:round/>
          </a:ln>
          <a:effectLst/>
        </c:spPr>
        <c:marker>
          <c:symbol val="none"/>
        </c:marker>
      </c:pivotFmt>
      <c:pivotFmt>
        <c:idx val="433"/>
        <c:spPr>
          <a:solidFill>
            <a:schemeClr val="accent1"/>
          </a:solidFill>
          <a:ln w="28575" cap="rnd">
            <a:solidFill>
              <a:schemeClr val="accent1"/>
            </a:solidFill>
            <a:round/>
          </a:ln>
          <a:effectLst/>
        </c:spPr>
        <c:marker>
          <c:symbol val="none"/>
        </c:marker>
      </c:pivotFmt>
      <c:pivotFmt>
        <c:idx val="434"/>
        <c:spPr>
          <a:solidFill>
            <a:schemeClr val="accent1"/>
          </a:solidFill>
          <a:ln w="28575" cap="rnd">
            <a:solidFill>
              <a:schemeClr val="accent1"/>
            </a:solidFill>
            <a:round/>
          </a:ln>
          <a:effectLst/>
        </c:spPr>
        <c:marker>
          <c:symbol val="none"/>
        </c:marker>
      </c:pivotFmt>
      <c:pivotFmt>
        <c:idx val="435"/>
        <c:spPr>
          <a:solidFill>
            <a:schemeClr val="accent1"/>
          </a:solidFill>
          <a:ln w="28575" cap="rnd">
            <a:solidFill>
              <a:schemeClr val="accent1"/>
            </a:solidFill>
            <a:round/>
          </a:ln>
          <a:effectLst/>
        </c:spPr>
        <c:marker>
          <c:symbol val="none"/>
        </c:marker>
      </c:pivotFmt>
      <c:pivotFmt>
        <c:idx val="436"/>
        <c:spPr>
          <a:solidFill>
            <a:schemeClr val="accent1"/>
          </a:solidFill>
          <a:ln w="28575" cap="rnd">
            <a:solidFill>
              <a:schemeClr val="accent1"/>
            </a:solidFill>
            <a:round/>
          </a:ln>
          <a:effectLst/>
        </c:spPr>
        <c:marker>
          <c:symbol val="none"/>
        </c:marker>
      </c:pivotFmt>
      <c:pivotFmt>
        <c:idx val="437"/>
        <c:spPr>
          <a:solidFill>
            <a:schemeClr val="accent1"/>
          </a:solidFill>
          <a:ln w="28575" cap="rnd">
            <a:solidFill>
              <a:schemeClr val="accent1"/>
            </a:solidFill>
            <a:round/>
          </a:ln>
          <a:effectLst/>
        </c:spPr>
        <c:marker>
          <c:symbol val="none"/>
        </c:marker>
      </c:pivotFmt>
      <c:pivotFmt>
        <c:idx val="438"/>
        <c:spPr>
          <a:solidFill>
            <a:schemeClr val="accent1"/>
          </a:solidFill>
          <a:ln w="28575" cap="rnd">
            <a:solidFill>
              <a:schemeClr val="accent1"/>
            </a:solidFill>
            <a:round/>
          </a:ln>
          <a:effectLst/>
        </c:spPr>
        <c:marker>
          <c:symbol val="none"/>
        </c:marker>
      </c:pivotFmt>
      <c:pivotFmt>
        <c:idx val="439"/>
        <c:spPr>
          <a:solidFill>
            <a:schemeClr val="accent1"/>
          </a:solidFill>
          <a:ln w="28575" cap="rnd">
            <a:solidFill>
              <a:schemeClr val="accent1"/>
            </a:solidFill>
            <a:round/>
          </a:ln>
          <a:effectLst/>
        </c:spPr>
        <c:marker>
          <c:symbol val="none"/>
        </c:marker>
      </c:pivotFmt>
      <c:pivotFmt>
        <c:idx val="440"/>
        <c:spPr>
          <a:solidFill>
            <a:schemeClr val="accent1"/>
          </a:solidFill>
          <a:ln w="28575" cap="rnd">
            <a:solidFill>
              <a:schemeClr val="accent1"/>
            </a:solidFill>
            <a:round/>
          </a:ln>
          <a:effectLst/>
        </c:spPr>
        <c:marker>
          <c:symbol val="none"/>
        </c:marker>
      </c:pivotFmt>
      <c:pivotFmt>
        <c:idx val="441"/>
        <c:spPr>
          <a:solidFill>
            <a:schemeClr val="accent1"/>
          </a:solidFill>
          <a:ln w="28575" cap="rnd">
            <a:solidFill>
              <a:schemeClr val="accent1"/>
            </a:solidFill>
            <a:round/>
          </a:ln>
          <a:effectLst/>
        </c:spPr>
        <c:marker>
          <c:symbol val="none"/>
        </c:marker>
      </c:pivotFmt>
      <c:pivotFmt>
        <c:idx val="442"/>
        <c:spPr>
          <a:solidFill>
            <a:schemeClr val="accent1"/>
          </a:solidFill>
          <a:ln w="28575" cap="rnd">
            <a:solidFill>
              <a:schemeClr val="accent1"/>
            </a:solidFill>
            <a:round/>
          </a:ln>
          <a:effectLst/>
        </c:spPr>
        <c:marker>
          <c:symbol val="none"/>
        </c:marker>
      </c:pivotFmt>
      <c:pivotFmt>
        <c:idx val="443"/>
        <c:spPr>
          <a:solidFill>
            <a:schemeClr val="accent1"/>
          </a:solidFill>
          <a:ln w="28575" cap="rnd">
            <a:solidFill>
              <a:schemeClr val="accent1"/>
            </a:solidFill>
            <a:round/>
          </a:ln>
          <a:effectLst/>
        </c:spPr>
        <c:marker>
          <c:symbol val="none"/>
        </c:marker>
      </c:pivotFmt>
      <c:pivotFmt>
        <c:idx val="444"/>
        <c:spPr>
          <a:solidFill>
            <a:schemeClr val="accent1"/>
          </a:solidFill>
          <a:ln w="28575" cap="rnd">
            <a:solidFill>
              <a:schemeClr val="accent1"/>
            </a:solidFill>
            <a:round/>
          </a:ln>
          <a:effectLst/>
        </c:spPr>
        <c:marker>
          <c:symbol val="none"/>
        </c:marker>
      </c:pivotFmt>
      <c:pivotFmt>
        <c:idx val="445"/>
        <c:spPr>
          <a:solidFill>
            <a:schemeClr val="accent1"/>
          </a:solidFill>
          <a:ln w="28575" cap="rnd">
            <a:solidFill>
              <a:schemeClr val="accent1"/>
            </a:solidFill>
            <a:round/>
          </a:ln>
          <a:effectLst/>
        </c:spPr>
        <c:marker>
          <c:symbol val="none"/>
        </c:marker>
      </c:pivotFmt>
      <c:pivotFmt>
        <c:idx val="446"/>
        <c:spPr>
          <a:solidFill>
            <a:schemeClr val="accent1"/>
          </a:solidFill>
          <a:ln w="28575" cap="rnd">
            <a:solidFill>
              <a:schemeClr val="accent1"/>
            </a:solidFill>
            <a:round/>
          </a:ln>
          <a:effectLst/>
        </c:spPr>
        <c:marker>
          <c:symbol val="none"/>
        </c:marker>
      </c:pivotFmt>
      <c:pivotFmt>
        <c:idx val="447"/>
        <c:spPr>
          <a:solidFill>
            <a:schemeClr val="accent1"/>
          </a:solidFill>
          <a:ln w="28575" cap="rnd">
            <a:solidFill>
              <a:schemeClr val="accent1"/>
            </a:solidFill>
            <a:round/>
          </a:ln>
          <a:effectLst/>
        </c:spPr>
        <c:marker>
          <c:symbol val="none"/>
        </c:marker>
      </c:pivotFmt>
      <c:pivotFmt>
        <c:idx val="448"/>
        <c:spPr>
          <a:solidFill>
            <a:schemeClr val="accent1"/>
          </a:solidFill>
          <a:ln w="28575" cap="rnd">
            <a:solidFill>
              <a:schemeClr val="accent1"/>
            </a:solidFill>
            <a:round/>
          </a:ln>
          <a:effectLst/>
        </c:spPr>
        <c:marker>
          <c:symbol val="none"/>
        </c:marker>
      </c:pivotFmt>
      <c:pivotFmt>
        <c:idx val="449"/>
        <c:spPr>
          <a:solidFill>
            <a:schemeClr val="accent1"/>
          </a:solidFill>
          <a:ln w="28575" cap="rnd">
            <a:solidFill>
              <a:schemeClr val="accent1"/>
            </a:solidFill>
            <a:round/>
          </a:ln>
          <a:effectLst/>
        </c:spPr>
        <c:marker>
          <c:symbol val="none"/>
        </c:marker>
      </c:pivotFmt>
      <c:pivotFmt>
        <c:idx val="450"/>
        <c:spPr>
          <a:solidFill>
            <a:schemeClr val="accent1"/>
          </a:solidFill>
          <a:ln w="28575" cap="rnd">
            <a:solidFill>
              <a:schemeClr val="accent1"/>
            </a:solidFill>
            <a:round/>
          </a:ln>
          <a:effectLst/>
        </c:spPr>
        <c:marker>
          <c:symbol val="none"/>
        </c:marker>
      </c:pivotFmt>
      <c:pivotFmt>
        <c:idx val="451"/>
        <c:spPr>
          <a:solidFill>
            <a:schemeClr val="accent1"/>
          </a:solidFill>
          <a:ln w="28575" cap="rnd">
            <a:solidFill>
              <a:schemeClr val="accent1"/>
            </a:solidFill>
            <a:round/>
          </a:ln>
          <a:effectLst/>
        </c:spPr>
        <c:marker>
          <c:symbol val="none"/>
        </c:marker>
      </c:pivotFmt>
      <c:pivotFmt>
        <c:idx val="452"/>
        <c:spPr>
          <a:solidFill>
            <a:schemeClr val="accent1"/>
          </a:solidFill>
          <a:ln w="28575" cap="rnd">
            <a:solidFill>
              <a:schemeClr val="accent1"/>
            </a:solidFill>
            <a:round/>
          </a:ln>
          <a:effectLst/>
        </c:spPr>
        <c:marker>
          <c:symbol val="none"/>
        </c:marker>
      </c:pivotFmt>
      <c:pivotFmt>
        <c:idx val="453"/>
        <c:spPr>
          <a:solidFill>
            <a:schemeClr val="accent1"/>
          </a:solidFill>
          <a:ln w="28575" cap="rnd">
            <a:solidFill>
              <a:schemeClr val="accent1"/>
            </a:solidFill>
            <a:round/>
          </a:ln>
          <a:effectLst/>
        </c:spPr>
        <c:marker>
          <c:symbol val="none"/>
        </c:marker>
      </c:pivotFmt>
      <c:pivotFmt>
        <c:idx val="454"/>
        <c:spPr>
          <a:solidFill>
            <a:schemeClr val="accent1"/>
          </a:solidFill>
          <a:ln w="28575" cap="rnd">
            <a:solidFill>
              <a:schemeClr val="accent1"/>
            </a:solidFill>
            <a:round/>
          </a:ln>
          <a:effectLst/>
        </c:spPr>
        <c:marker>
          <c:symbol val="none"/>
        </c:marker>
      </c:pivotFmt>
      <c:pivotFmt>
        <c:idx val="455"/>
        <c:spPr>
          <a:solidFill>
            <a:schemeClr val="accent1"/>
          </a:solidFill>
          <a:ln w="28575" cap="rnd">
            <a:solidFill>
              <a:schemeClr val="accent1"/>
            </a:solidFill>
            <a:round/>
          </a:ln>
          <a:effectLst/>
        </c:spPr>
        <c:marker>
          <c:symbol val="none"/>
        </c:marker>
      </c:pivotFmt>
      <c:pivotFmt>
        <c:idx val="456"/>
        <c:spPr>
          <a:solidFill>
            <a:schemeClr val="accent1"/>
          </a:solidFill>
          <a:ln w="28575" cap="rnd">
            <a:solidFill>
              <a:schemeClr val="accent1"/>
            </a:solidFill>
            <a:round/>
          </a:ln>
          <a:effectLst/>
        </c:spPr>
        <c:marker>
          <c:symbol val="none"/>
        </c:marker>
      </c:pivotFmt>
      <c:pivotFmt>
        <c:idx val="457"/>
        <c:spPr>
          <a:solidFill>
            <a:schemeClr val="accent1"/>
          </a:solidFill>
          <a:ln w="28575" cap="rnd">
            <a:solidFill>
              <a:schemeClr val="accent1"/>
            </a:solidFill>
            <a:round/>
          </a:ln>
          <a:effectLst/>
        </c:spPr>
        <c:marker>
          <c:symbol val="none"/>
        </c:marker>
      </c:pivotFmt>
      <c:pivotFmt>
        <c:idx val="458"/>
        <c:spPr>
          <a:solidFill>
            <a:schemeClr val="accent1"/>
          </a:solidFill>
          <a:ln w="28575" cap="rnd">
            <a:solidFill>
              <a:schemeClr val="accent1"/>
            </a:solidFill>
            <a:round/>
          </a:ln>
          <a:effectLst/>
        </c:spPr>
        <c:marker>
          <c:symbol val="none"/>
        </c:marker>
      </c:pivotFmt>
      <c:pivotFmt>
        <c:idx val="459"/>
        <c:spPr>
          <a:solidFill>
            <a:schemeClr val="accent1"/>
          </a:solidFill>
          <a:ln w="28575" cap="rnd">
            <a:solidFill>
              <a:schemeClr val="accent1"/>
            </a:solidFill>
            <a:round/>
          </a:ln>
          <a:effectLst/>
        </c:spPr>
        <c:marker>
          <c:symbol val="none"/>
        </c:marker>
      </c:pivotFmt>
      <c:pivotFmt>
        <c:idx val="460"/>
        <c:spPr>
          <a:solidFill>
            <a:schemeClr val="accent1"/>
          </a:solidFill>
          <a:ln w="28575" cap="rnd">
            <a:solidFill>
              <a:schemeClr val="accent1"/>
            </a:solidFill>
            <a:round/>
          </a:ln>
          <a:effectLst/>
        </c:spPr>
        <c:marker>
          <c:symbol val="none"/>
        </c:marker>
      </c:pivotFmt>
      <c:pivotFmt>
        <c:idx val="461"/>
        <c:spPr>
          <a:solidFill>
            <a:schemeClr val="accent1"/>
          </a:solidFill>
          <a:ln w="28575" cap="rnd">
            <a:solidFill>
              <a:schemeClr val="accent1"/>
            </a:solidFill>
            <a:round/>
          </a:ln>
          <a:effectLst/>
        </c:spPr>
        <c:marker>
          <c:symbol val="none"/>
        </c:marker>
      </c:pivotFmt>
      <c:pivotFmt>
        <c:idx val="462"/>
        <c:spPr>
          <a:solidFill>
            <a:schemeClr val="accent1"/>
          </a:solidFill>
          <a:ln w="28575" cap="rnd">
            <a:solidFill>
              <a:schemeClr val="accent1"/>
            </a:solidFill>
            <a:round/>
          </a:ln>
          <a:effectLst/>
        </c:spPr>
        <c:marker>
          <c:symbol val="none"/>
        </c:marker>
      </c:pivotFmt>
      <c:pivotFmt>
        <c:idx val="463"/>
        <c:spPr>
          <a:solidFill>
            <a:schemeClr val="accent1"/>
          </a:solidFill>
          <a:ln w="28575" cap="rnd">
            <a:solidFill>
              <a:schemeClr val="accent1"/>
            </a:solidFill>
            <a:round/>
          </a:ln>
          <a:effectLst/>
        </c:spPr>
        <c:marker>
          <c:symbol val="none"/>
        </c:marker>
      </c:pivotFmt>
      <c:pivotFmt>
        <c:idx val="464"/>
        <c:spPr>
          <a:solidFill>
            <a:schemeClr val="accent1"/>
          </a:solidFill>
          <a:ln w="28575" cap="rnd">
            <a:solidFill>
              <a:schemeClr val="accent1"/>
            </a:solidFill>
            <a:round/>
          </a:ln>
          <a:effectLst/>
        </c:spPr>
        <c:marker>
          <c:symbol val="none"/>
        </c:marker>
      </c:pivotFmt>
      <c:pivotFmt>
        <c:idx val="465"/>
        <c:spPr>
          <a:ln w="28575" cap="rnd">
            <a:solidFill>
              <a:schemeClr val="accent1"/>
            </a:solidFill>
            <a:round/>
          </a:ln>
          <a:effectLst/>
        </c:spPr>
        <c:marker>
          <c:symbol val="none"/>
        </c:marker>
      </c:pivotFmt>
      <c:pivotFmt>
        <c:idx val="466"/>
        <c:spPr>
          <a:ln w="28575" cap="rnd">
            <a:solidFill>
              <a:schemeClr val="accent1"/>
            </a:solidFill>
            <a:round/>
          </a:ln>
          <a:effectLst/>
        </c:spPr>
        <c:marker>
          <c:symbol val="none"/>
        </c:marker>
      </c:pivotFmt>
      <c:pivotFmt>
        <c:idx val="467"/>
        <c:spPr>
          <a:ln w="28575" cap="rnd">
            <a:solidFill>
              <a:schemeClr val="accent1"/>
            </a:solidFill>
            <a:round/>
          </a:ln>
          <a:effectLst/>
        </c:spPr>
        <c:marker>
          <c:symbol val="none"/>
        </c:marker>
      </c:pivotFmt>
      <c:pivotFmt>
        <c:idx val="468"/>
        <c:spPr>
          <a:ln w="28575" cap="rnd">
            <a:solidFill>
              <a:schemeClr val="accent1"/>
            </a:solidFill>
            <a:round/>
          </a:ln>
          <a:effectLst/>
        </c:spPr>
        <c:marker>
          <c:symbol val="none"/>
        </c:marker>
      </c:pivotFmt>
      <c:pivotFmt>
        <c:idx val="469"/>
        <c:spPr>
          <a:ln w="28575" cap="rnd">
            <a:solidFill>
              <a:schemeClr val="accent1"/>
            </a:solidFill>
            <a:round/>
          </a:ln>
          <a:effectLst/>
        </c:spPr>
        <c:marker>
          <c:symbol val="none"/>
        </c:marker>
      </c:pivotFmt>
      <c:pivotFmt>
        <c:idx val="470"/>
        <c:spPr>
          <a:ln w="28575" cap="rnd">
            <a:solidFill>
              <a:schemeClr val="accent1"/>
            </a:solidFill>
            <a:round/>
          </a:ln>
          <a:effectLst/>
        </c:spPr>
        <c:marker>
          <c:symbol val="none"/>
        </c:marker>
      </c:pivotFmt>
      <c:pivotFmt>
        <c:idx val="471"/>
        <c:spPr>
          <a:ln w="28575" cap="rnd">
            <a:solidFill>
              <a:schemeClr val="accent1"/>
            </a:solidFill>
            <a:round/>
          </a:ln>
          <a:effectLst/>
        </c:spPr>
        <c:marker>
          <c:symbol val="none"/>
        </c:marker>
      </c:pivotFmt>
      <c:pivotFmt>
        <c:idx val="472"/>
        <c:spPr>
          <a:ln w="28575" cap="rnd">
            <a:solidFill>
              <a:schemeClr val="accent1"/>
            </a:solidFill>
            <a:round/>
          </a:ln>
          <a:effectLst/>
        </c:spPr>
        <c:marker>
          <c:symbol val="none"/>
        </c:marker>
      </c:pivotFmt>
      <c:pivotFmt>
        <c:idx val="473"/>
        <c:spPr>
          <a:ln w="28575" cap="rnd">
            <a:solidFill>
              <a:schemeClr val="accent1"/>
            </a:solidFill>
            <a:round/>
          </a:ln>
          <a:effectLst/>
        </c:spPr>
        <c:marker>
          <c:symbol val="none"/>
        </c:marker>
      </c:pivotFmt>
      <c:pivotFmt>
        <c:idx val="474"/>
        <c:spPr>
          <a:ln w="28575" cap="rnd">
            <a:solidFill>
              <a:schemeClr val="accent1"/>
            </a:solidFill>
            <a:round/>
          </a:ln>
          <a:effectLst/>
        </c:spPr>
        <c:marker>
          <c:symbol val="none"/>
        </c:marker>
      </c:pivotFmt>
      <c:pivotFmt>
        <c:idx val="475"/>
        <c:spPr>
          <a:ln w="28575" cap="rnd">
            <a:solidFill>
              <a:schemeClr val="accent1"/>
            </a:solidFill>
            <a:round/>
          </a:ln>
          <a:effectLst/>
        </c:spPr>
        <c:marker>
          <c:symbol val="none"/>
        </c:marker>
      </c:pivotFmt>
      <c:pivotFmt>
        <c:idx val="476"/>
        <c:spPr>
          <a:ln w="28575" cap="rnd">
            <a:solidFill>
              <a:schemeClr val="accent1"/>
            </a:solidFill>
            <a:round/>
          </a:ln>
          <a:effectLst/>
        </c:spPr>
        <c:marker>
          <c:symbol val="none"/>
        </c:marker>
      </c:pivotFmt>
      <c:pivotFmt>
        <c:idx val="477"/>
        <c:spPr>
          <a:ln w="28575" cap="rnd">
            <a:solidFill>
              <a:schemeClr val="accent1"/>
            </a:solidFill>
            <a:round/>
          </a:ln>
          <a:effectLst/>
        </c:spPr>
        <c:marker>
          <c:symbol val="none"/>
        </c:marker>
      </c:pivotFmt>
      <c:pivotFmt>
        <c:idx val="478"/>
        <c:spPr>
          <a:ln w="28575" cap="rnd">
            <a:solidFill>
              <a:schemeClr val="accent1"/>
            </a:solidFill>
            <a:round/>
          </a:ln>
          <a:effectLst/>
        </c:spPr>
        <c:marker>
          <c:symbol val="none"/>
        </c:marker>
      </c:pivotFmt>
      <c:pivotFmt>
        <c:idx val="479"/>
        <c:spPr>
          <a:ln w="28575" cap="rnd">
            <a:solidFill>
              <a:schemeClr val="accent1"/>
            </a:solidFill>
            <a:round/>
          </a:ln>
          <a:effectLst/>
        </c:spPr>
        <c:marker>
          <c:symbol val="none"/>
        </c:marker>
      </c:pivotFmt>
      <c:pivotFmt>
        <c:idx val="480"/>
        <c:spPr>
          <a:ln w="28575" cap="rnd">
            <a:solidFill>
              <a:schemeClr val="accent1"/>
            </a:solidFill>
            <a:round/>
          </a:ln>
          <a:effectLst/>
        </c:spPr>
        <c:marker>
          <c:symbol val="none"/>
        </c:marker>
      </c:pivotFmt>
      <c:pivotFmt>
        <c:idx val="481"/>
        <c:spPr>
          <a:ln w="28575" cap="rnd">
            <a:solidFill>
              <a:schemeClr val="accent1"/>
            </a:solidFill>
            <a:round/>
          </a:ln>
          <a:effectLst/>
        </c:spPr>
        <c:marker>
          <c:symbol val="none"/>
        </c:marker>
      </c:pivotFmt>
      <c:pivotFmt>
        <c:idx val="482"/>
        <c:spPr>
          <a:ln w="28575" cap="rnd">
            <a:solidFill>
              <a:schemeClr val="accent1"/>
            </a:solidFill>
            <a:round/>
          </a:ln>
          <a:effectLst/>
        </c:spPr>
        <c:marker>
          <c:symbol val="none"/>
        </c:marker>
      </c:pivotFmt>
      <c:pivotFmt>
        <c:idx val="483"/>
        <c:spPr>
          <a:ln w="28575" cap="rnd">
            <a:solidFill>
              <a:schemeClr val="accent1"/>
            </a:solidFill>
            <a:round/>
          </a:ln>
          <a:effectLst/>
        </c:spPr>
        <c:marker>
          <c:symbol val="none"/>
        </c:marker>
      </c:pivotFmt>
      <c:pivotFmt>
        <c:idx val="484"/>
        <c:spPr>
          <a:ln w="28575" cap="rnd">
            <a:solidFill>
              <a:schemeClr val="accent1"/>
            </a:solidFill>
            <a:round/>
          </a:ln>
          <a:effectLst/>
        </c:spPr>
        <c:marker>
          <c:symbol val="none"/>
        </c:marker>
      </c:pivotFmt>
      <c:pivotFmt>
        <c:idx val="485"/>
        <c:spPr>
          <a:ln w="28575" cap="rnd">
            <a:solidFill>
              <a:schemeClr val="accent1"/>
            </a:solidFill>
            <a:round/>
          </a:ln>
          <a:effectLst/>
        </c:spPr>
        <c:marker>
          <c:symbol val="none"/>
        </c:marker>
      </c:pivotFmt>
      <c:pivotFmt>
        <c:idx val="486"/>
        <c:spPr>
          <a:ln w="28575" cap="rnd">
            <a:solidFill>
              <a:schemeClr val="accent1"/>
            </a:solidFill>
            <a:round/>
          </a:ln>
          <a:effectLst/>
        </c:spPr>
        <c:marker>
          <c:symbol val="none"/>
        </c:marker>
      </c:pivotFmt>
      <c:pivotFmt>
        <c:idx val="487"/>
        <c:spPr>
          <a:ln w="28575" cap="rnd">
            <a:solidFill>
              <a:schemeClr val="accent1"/>
            </a:solidFill>
            <a:round/>
          </a:ln>
          <a:effectLst/>
        </c:spPr>
        <c:marker>
          <c:symbol val="none"/>
        </c:marker>
      </c:pivotFmt>
      <c:pivotFmt>
        <c:idx val="488"/>
        <c:spPr>
          <a:ln w="28575" cap="rnd">
            <a:solidFill>
              <a:schemeClr val="accent1"/>
            </a:solidFill>
            <a:round/>
          </a:ln>
          <a:effectLst/>
        </c:spPr>
        <c:marker>
          <c:symbol val="none"/>
        </c:marker>
      </c:pivotFmt>
      <c:pivotFmt>
        <c:idx val="489"/>
        <c:spPr>
          <a:ln w="28575" cap="rnd">
            <a:solidFill>
              <a:schemeClr val="accent1"/>
            </a:solidFill>
            <a:round/>
          </a:ln>
          <a:effectLst/>
        </c:spPr>
        <c:marker>
          <c:symbol val="none"/>
        </c:marker>
      </c:pivotFmt>
      <c:pivotFmt>
        <c:idx val="490"/>
        <c:spPr>
          <a:ln w="28575" cap="rnd">
            <a:solidFill>
              <a:schemeClr val="accent1"/>
            </a:solidFill>
            <a:round/>
          </a:ln>
          <a:effectLst/>
        </c:spPr>
        <c:marker>
          <c:symbol val="none"/>
        </c:marker>
      </c:pivotFmt>
      <c:pivotFmt>
        <c:idx val="491"/>
        <c:spPr>
          <a:ln w="28575" cap="rnd">
            <a:solidFill>
              <a:schemeClr val="accent1"/>
            </a:solidFill>
            <a:round/>
          </a:ln>
          <a:effectLst/>
        </c:spPr>
        <c:marker>
          <c:symbol val="none"/>
        </c:marker>
      </c:pivotFmt>
      <c:pivotFmt>
        <c:idx val="492"/>
        <c:spPr>
          <a:ln w="28575" cap="rnd">
            <a:solidFill>
              <a:schemeClr val="accent1"/>
            </a:solidFill>
            <a:round/>
          </a:ln>
          <a:effectLst/>
        </c:spPr>
        <c:marker>
          <c:symbol val="none"/>
        </c:marker>
      </c:pivotFmt>
    </c:pivotFmts>
    <c:plotArea>
      <c:layout/>
      <c:lineChart>
        <c:grouping val="standard"/>
        <c:varyColors val="0"/>
        <c:ser>
          <c:idx val="0"/>
          <c:order val="0"/>
          <c:tx>
            <c:strRef>
              <c:f>'HE Prices'!$E$5:$E$7</c:f>
              <c:strCache>
                <c:ptCount val="1"/>
                <c:pt idx="0">
                  <c:v>BASE - DENMARK</c:v>
                </c:pt>
              </c:strCache>
            </c:strRef>
          </c:tx>
          <c:spPr>
            <a:ln w="28575" cap="rnd">
              <a:solidFill>
                <a:schemeClr val="accent1"/>
              </a:solidFill>
              <a:round/>
            </a:ln>
            <a:effectLst/>
          </c:spPr>
          <c:marker>
            <c:symbol val="none"/>
          </c:marker>
          <c:cat>
            <c:multiLvlStrRef>
              <c:f>'HE Prices'!$B$8:$D$44</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'HE Prices'!$E$8:$E$44</c:f>
              <c:numCache>
                <c:formatCode>General</c:formatCode>
                <c:ptCount val="36"/>
                <c:pt idx="0">
                  <c:v>563.12778716706248</c:v>
                </c:pt>
                <c:pt idx="1">
                  <c:v>547.58238454915261</c:v>
                </c:pt>
                <c:pt idx="2">
                  <c:v>572.94531311953085</c:v>
                </c:pt>
                <c:pt idx="3">
                  <c:v>540.14549322458436</c:v>
                </c:pt>
                <c:pt idx="4">
                  <c:v>537.91964508299611</c:v>
                </c:pt>
                <c:pt idx="5">
                  <c:v>603.51731008773436</c:v>
                </c:pt>
                <c:pt idx="6">
                  <c:v>542.13783771162059</c:v>
                </c:pt>
                <c:pt idx="7">
                  <c:v>546.51796328493845</c:v>
                </c:pt>
                <c:pt idx="8">
                  <c:v>548.33905710867782</c:v>
                </c:pt>
                <c:pt idx="9">
                  <c:v>534.85173495751553</c:v>
                </c:pt>
                <c:pt idx="10">
                  <c:v>535.83197675440101</c:v>
                </c:pt>
                <c:pt idx="11">
                  <c:v>535.4840573700119</c:v>
                </c:pt>
                <c:pt idx="12">
                  <c:v>519.51020228736888</c:v>
                </c:pt>
                <c:pt idx="13">
                  <c:v>512.42800717224532</c:v>
                </c:pt>
                <c:pt idx="14">
                  <c:v>524.07809964104581</c:v>
                </c:pt>
                <c:pt idx="15">
                  <c:v>512.42800717224532</c:v>
                </c:pt>
                <c:pt idx="16">
                  <c:v>509.82914692429944</c:v>
                </c:pt>
                <c:pt idx="17">
                  <c:v>516.03496185501444</c:v>
                </c:pt>
                <c:pt idx="18">
                  <c:v>487.95709084323056</c:v>
                </c:pt>
                <c:pt idx="19">
                  <c:v>515.48139614036472</c:v>
                </c:pt>
                <c:pt idx="20">
                  <c:v>516.70906065047211</c:v>
                </c:pt>
                <c:pt idx="21">
                  <c:v>518.62690663201352</c:v>
                </c:pt>
                <c:pt idx="22">
                  <c:v>515.48139614036472</c:v>
                </c:pt>
                <c:pt idx="23">
                  <c:v>518.62690663201352</c:v>
                </c:pt>
                <c:pt idx="24">
                  <c:v>500.92301091439572</c:v>
                </c:pt>
                <c:pt idx="25">
                  <c:v>497.24806302172624</c:v>
                </c:pt>
                <c:pt idx="26">
                  <c:v>508.18429652615606</c:v>
                </c:pt>
                <c:pt idx="27">
                  <c:v>496.87406976646554</c:v>
                </c:pt>
                <c:pt idx="28">
                  <c:v>498.83495134553925</c:v>
                </c:pt>
                <c:pt idx="29">
                  <c:v>499.33576384619931</c:v>
                </c:pt>
                <c:pt idx="30">
                  <c:v>498.63818469957727</c:v>
                </c:pt>
                <c:pt idx="31">
                  <c:v>498.32216549620131</c:v>
                </c:pt>
                <c:pt idx="32">
                  <c:v>498.22279438427267</c:v>
                </c:pt>
                <c:pt idx="33">
                  <c:v>497.82536256469461</c:v>
                </c:pt>
                <c:pt idx="34">
                  <c:v>499.70975710146001</c:v>
                </c:pt>
                <c:pt idx="35">
                  <c:v>500.92265217001233</c:v>
                </c:pt>
              </c:numCache>
            </c:numRef>
          </c:val>
          <c:smooth val="0"/>
          <c:extLst>
            <c:ext xmlns:c16="http://schemas.microsoft.com/office/drawing/2014/chart" uri="{C3380CC4-5D6E-409C-BE32-E72D297353CC}">
              <c16:uniqueId val="{00000000-A84A-4340-9547-E381381FE70E}"/>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max val="10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s>
    <c:plotArea>
      <c:layout/>
      <c:barChart>
        <c:barDir val="col"/>
        <c:grouping val="stacked"/>
        <c:varyColors val="0"/>
        <c:ser>
          <c:idx val="0"/>
          <c:order val="0"/>
          <c:tx>
            <c:strRef>
              <c:f>'EL GEN - Annual'!$E$4:$E$5</c:f>
              <c:strCache>
                <c:ptCount val="1"/>
                <c:pt idx="0">
                  <c:v>GNR_PV_SUN</c:v>
                </c:pt>
              </c:strCache>
            </c:strRef>
          </c:tx>
          <c:spPr>
            <a:solidFill>
              <a:schemeClr val="accent1"/>
            </a:solidFill>
            <a:ln>
              <a:noFill/>
            </a:ln>
            <a:effectLst/>
          </c:spPr>
          <c:invertIfNegative val="0"/>
          <c:cat>
            <c:multiLvlStrRef>
              <c:f>'EL GEN - Annual'!$B$6:$D$7</c:f>
              <c:multiLvlStrCache>
                <c:ptCount val="1"/>
                <c:lvl>
                  <c:pt idx="0">
                    <c:v>DENMARK</c:v>
                  </c:pt>
                </c:lvl>
                <c:lvl>
                  <c:pt idx="0">
                    <c:v>2030</c:v>
                  </c:pt>
                </c:lvl>
                <c:lvl>
                  <c:pt idx="0">
                    <c:v>BASE</c:v>
                  </c:pt>
                </c:lvl>
              </c:multiLvlStrCache>
            </c:multiLvlStrRef>
          </c:cat>
          <c:val>
            <c:numRef>
              <c:f>'EL GEN - Annual'!$E$6:$E$7</c:f>
              <c:numCache>
                <c:formatCode>General</c:formatCode>
                <c:ptCount val="1"/>
                <c:pt idx="0">
                  <c:v>0.86014869982413611</c:v>
                </c:pt>
              </c:numCache>
            </c:numRef>
          </c:val>
          <c:extLst>
            <c:ext xmlns:c16="http://schemas.microsoft.com/office/drawing/2014/chart" uri="{C3380CC4-5D6E-409C-BE32-E72D297353CC}">
              <c16:uniqueId val="{00000000-BF6E-492A-8A93-28F303A6814F}"/>
            </c:ext>
          </c:extLst>
        </c:ser>
        <c:ser>
          <c:idx val="1"/>
          <c:order val="1"/>
          <c:tx>
            <c:strRef>
              <c:f>'EL GEN - Annual'!$F$4:$F$5</c:f>
              <c:strCache>
                <c:ptCount val="1"/>
                <c:pt idx="0">
                  <c:v>GNR_PV_SUN_LS-4-MW_Y-2030</c:v>
                </c:pt>
              </c:strCache>
            </c:strRef>
          </c:tx>
          <c:spPr>
            <a:solidFill>
              <a:schemeClr val="accent2"/>
            </a:solidFill>
            <a:ln>
              <a:noFill/>
            </a:ln>
            <a:effectLst/>
          </c:spPr>
          <c:invertIfNegative val="0"/>
          <c:cat>
            <c:multiLvlStrRef>
              <c:f>'EL GEN - Annual'!$B$6:$D$7</c:f>
              <c:multiLvlStrCache>
                <c:ptCount val="1"/>
                <c:lvl>
                  <c:pt idx="0">
                    <c:v>DENMARK</c:v>
                  </c:pt>
                </c:lvl>
                <c:lvl>
                  <c:pt idx="0">
                    <c:v>2030</c:v>
                  </c:pt>
                </c:lvl>
                <c:lvl>
                  <c:pt idx="0">
                    <c:v>BASE</c:v>
                  </c:pt>
                </c:lvl>
              </c:multiLvlStrCache>
            </c:multiLvlStrRef>
          </c:cat>
          <c:val>
            <c:numRef>
              <c:f>'EL GEN - Annual'!$F$6:$F$7</c:f>
              <c:numCache>
                <c:formatCode>General</c:formatCode>
                <c:ptCount val="1"/>
                <c:pt idx="0">
                  <c:v>5.0526537886599101</c:v>
                </c:pt>
              </c:numCache>
            </c:numRef>
          </c:val>
          <c:extLst>
            <c:ext xmlns:c16="http://schemas.microsoft.com/office/drawing/2014/chart" uri="{C3380CC4-5D6E-409C-BE32-E72D297353CC}">
              <c16:uniqueId val="{00000046-2647-48A1-9889-C3FFC41D5F87}"/>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
        <c:idx val="815"/>
        <c:spPr>
          <a:solidFill>
            <a:schemeClr val="accent1"/>
          </a:solidFill>
          <a:ln w="25400">
            <a:noFill/>
          </a:ln>
          <a:effectLst/>
        </c:spPr>
        <c:marker>
          <c:symbol val="none"/>
        </c:marker>
      </c:pivotFmt>
      <c:pivotFmt>
        <c:idx val="816"/>
        <c:spPr>
          <a:solidFill>
            <a:schemeClr val="accent1"/>
          </a:solidFill>
          <a:ln>
            <a:noFill/>
          </a:ln>
          <a:effectLst/>
        </c:spPr>
        <c:marker>
          <c:symbol val="none"/>
        </c:marker>
      </c:pivotFmt>
      <c:pivotFmt>
        <c:idx val="817"/>
        <c:spPr>
          <a:solidFill>
            <a:schemeClr val="accent1"/>
          </a:solidFill>
          <a:ln w="25400">
            <a:noFill/>
          </a:ln>
          <a:effectLst/>
        </c:spPr>
        <c:marker>
          <c:symbol val="none"/>
        </c:marker>
      </c:pivotFmt>
      <c:pivotFmt>
        <c:idx val="818"/>
        <c:spPr>
          <a:solidFill>
            <a:schemeClr val="accent1"/>
          </a:solidFill>
          <a:ln w="25400">
            <a:noFill/>
          </a:ln>
          <a:effectLst/>
        </c:spPr>
        <c:marker>
          <c:symbol val="none"/>
        </c:marker>
      </c:pivotFmt>
      <c:pivotFmt>
        <c:idx val="819"/>
        <c:spPr>
          <a:solidFill>
            <a:schemeClr val="accent1"/>
          </a:solidFill>
          <a:ln w="25400">
            <a:noFill/>
          </a:ln>
          <a:effectLst/>
        </c:spPr>
        <c:marker>
          <c:symbol val="none"/>
        </c:marker>
      </c:pivotFmt>
      <c:pivotFmt>
        <c:idx val="820"/>
        <c:spPr>
          <a:solidFill>
            <a:schemeClr val="accent1"/>
          </a:solidFill>
          <a:ln w="25400">
            <a:noFill/>
          </a:ln>
          <a:effectLst/>
        </c:spPr>
        <c:marker>
          <c:symbol val="none"/>
        </c:marker>
      </c:pivotFmt>
      <c:pivotFmt>
        <c:idx val="821"/>
        <c:spPr>
          <a:solidFill>
            <a:schemeClr val="accent1"/>
          </a:solidFill>
          <a:ln w="25400">
            <a:noFill/>
          </a:ln>
          <a:effectLst/>
        </c:spPr>
        <c:marker>
          <c:symbol val="none"/>
        </c:marker>
      </c:pivotFmt>
      <c:pivotFmt>
        <c:idx val="822"/>
        <c:spPr>
          <a:solidFill>
            <a:schemeClr val="accent1"/>
          </a:solidFill>
          <a:ln w="25400">
            <a:noFill/>
          </a:ln>
          <a:effectLst/>
        </c:spPr>
        <c:marker>
          <c:symbol val="none"/>
        </c:marker>
      </c:pivotFmt>
      <c:pivotFmt>
        <c:idx val="823"/>
        <c:spPr>
          <a:solidFill>
            <a:schemeClr val="accent1"/>
          </a:solidFill>
          <a:ln w="25400">
            <a:noFill/>
          </a:ln>
          <a:effectLst/>
        </c:spPr>
        <c:marker>
          <c:symbol val="none"/>
        </c:marker>
      </c:pivotFmt>
      <c:pivotFmt>
        <c:idx val="824"/>
        <c:spPr>
          <a:solidFill>
            <a:schemeClr val="accent1"/>
          </a:solidFill>
          <a:ln w="25400">
            <a:noFill/>
          </a:ln>
          <a:effectLst/>
        </c:spPr>
        <c:marker>
          <c:symbol val="none"/>
        </c:marker>
      </c:pivotFmt>
      <c:pivotFmt>
        <c:idx val="825"/>
        <c:spPr>
          <a:solidFill>
            <a:schemeClr val="accent1"/>
          </a:solidFill>
          <a:ln w="25400">
            <a:noFill/>
          </a:ln>
          <a:effectLst/>
        </c:spPr>
        <c:marker>
          <c:symbol val="none"/>
        </c:marker>
      </c:pivotFmt>
      <c:pivotFmt>
        <c:idx val="826"/>
        <c:spPr>
          <a:solidFill>
            <a:schemeClr val="accent1"/>
          </a:solidFill>
          <a:ln w="25400">
            <a:noFill/>
          </a:ln>
          <a:effectLst/>
        </c:spPr>
        <c:marker>
          <c:symbol val="none"/>
        </c:marker>
      </c:pivotFmt>
      <c:pivotFmt>
        <c:idx val="827"/>
        <c:spPr>
          <a:solidFill>
            <a:schemeClr val="accent1"/>
          </a:solidFill>
          <a:ln w="25400">
            <a:noFill/>
          </a:ln>
          <a:effectLst/>
        </c:spPr>
        <c:marker>
          <c:symbol val="none"/>
        </c:marker>
      </c:pivotFmt>
      <c:pivotFmt>
        <c:idx val="828"/>
        <c:spPr>
          <a:solidFill>
            <a:schemeClr val="accent1"/>
          </a:solidFill>
          <a:ln w="25400">
            <a:noFill/>
          </a:ln>
          <a:effectLst/>
        </c:spPr>
        <c:marker>
          <c:symbol val="none"/>
        </c:marker>
      </c:pivotFmt>
      <c:pivotFmt>
        <c:idx val="829"/>
        <c:spPr>
          <a:solidFill>
            <a:schemeClr val="accent1"/>
          </a:solidFill>
          <a:ln w="25400">
            <a:noFill/>
          </a:ln>
          <a:effectLst/>
        </c:spPr>
        <c:marker>
          <c:symbol val="none"/>
        </c:marker>
      </c:pivotFmt>
      <c:pivotFmt>
        <c:idx val="830"/>
        <c:spPr>
          <a:solidFill>
            <a:schemeClr val="accent1"/>
          </a:solidFill>
          <a:ln w="25400">
            <a:noFill/>
          </a:ln>
          <a:effectLst/>
        </c:spPr>
        <c:marker>
          <c:symbol val="none"/>
        </c:marker>
      </c:pivotFmt>
      <c:pivotFmt>
        <c:idx val="831"/>
        <c:spPr>
          <a:solidFill>
            <a:schemeClr val="accent1"/>
          </a:solidFill>
          <a:ln w="25400">
            <a:noFill/>
          </a:ln>
          <a:effectLst/>
        </c:spPr>
        <c:marker>
          <c:symbol val="none"/>
        </c:marker>
      </c:pivotFmt>
      <c:pivotFmt>
        <c:idx val="832"/>
        <c:spPr>
          <a:solidFill>
            <a:schemeClr val="accent1"/>
          </a:solidFill>
          <a:ln w="25400">
            <a:noFill/>
          </a:ln>
          <a:effectLst/>
        </c:spPr>
        <c:marker>
          <c:symbol val="none"/>
        </c:marker>
      </c:pivotFmt>
      <c:pivotFmt>
        <c:idx val="833"/>
        <c:spPr>
          <a:solidFill>
            <a:schemeClr val="accent1"/>
          </a:solidFill>
          <a:ln w="25400">
            <a:noFill/>
          </a:ln>
          <a:effectLst/>
        </c:spPr>
        <c:marker>
          <c:symbol val="none"/>
        </c:marker>
      </c:pivotFmt>
      <c:pivotFmt>
        <c:idx val="834"/>
        <c:spPr>
          <a:solidFill>
            <a:schemeClr val="accent1"/>
          </a:solidFill>
          <a:ln w="25400">
            <a:noFill/>
          </a:ln>
          <a:effectLst/>
        </c:spPr>
        <c:marker>
          <c:symbol val="none"/>
        </c:marker>
      </c:pivotFmt>
      <c:pivotFmt>
        <c:idx val="835"/>
        <c:spPr>
          <a:solidFill>
            <a:schemeClr val="accent1"/>
          </a:solidFill>
          <a:ln w="25400">
            <a:noFill/>
          </a:ln>
          <a:effectLst/>
        </c:spPr>
        <c:marker>
          <c:symbol val="none"/>
        </c:marker>
      </c:pivotFmt>
      <c:pivotFmt>
        <c:idx val="836"/>
        <c:spPr>
          <a:solidFill>
            <a:schemeClr val="accent1"/>
          </a:solidFill>
          <a:ln w="25400">
            <a:noFill/>
          </a:ln>
          <a:effectLst/>
        </c:spPr>
        <c:marker>
          <c:symbol val="none"/>
        </c:marker>
      </c:pivotFmt>
      <c:pivotFmt>
        <c:idx val="837"/>
        <c:spPr>
          <a:solidFill>
            <a:schemeClr val="accent1"/>
          </a:solidFill>
          <a:ln w="25400">
            <a:noFill/>
          </a:ln>
          <a:effectLst/>
        </c:spPr>
        <c:marker>
          <c:symbol val="none"/>
        </c:marker>
      </c:pivotFmt>
      <c:pivotFmt>
        <c:idx val="838"/>
        <c:spPr>
          <a:solidFill>
            <a:schemeClr val="accent1"/>
          </a:solidFill>
          <a:ln w="25400">
            <a:noFill/>
          </a:ln>
          <a:effectLst/>
        </c:spPr>
        <c:marker>
          <c:symbol val="none"/>
        </c:marker>
      </c:pivotFmt>
      <c:pivotFmt>
        <c:idx val="839"/>
        <c:spPr>
          <a:solidFill>
            <a:schemeClr val="accent1"/>
          </a:solidFill>
          <a:ln w="25400">
            <a:noFill/>
          </a:ln>
          <a:effectLst/>
        </c:spPr>
        <c:marker>
          <c:symbol val="none"/>
        </c:marker>
      </c:pivotFmt>
      <c:pivotFmt>
        <c:idx val="840"/>
        <c:spPr>
          <a:solidFill>
            <a:schemeClr val="accent1"/>
          </a:solidFill>
          <a:ln w="25400">
            <a:noFill/>
          </a:ln>
          <a:effectLst/>
        </c:spPr>
        <c:marker>
          <c:symbol val="none"/>
        </c:marker>
      </c:pivotFmt>
      <c:pivotFmt>
        <c:idx val="841"/>
        <c:spPr>
          <a:solidFill>
            <a:schemeClr val="accent1"/>
          </a:solidFill>
          <a:ln w="25400">
            <a:noFill/>
          </a:ln>
          <a:effectLst/>
        </c:spPr>
        <c:marker>
          <c:symbol val="none"/>
        </c:marker>
      </c:pivotFmt>
      <c:pivotFmt>
        <c:idx val="842"/>
        <c:spPr>
          <a:solidFill>
            <a:schemeClr val="accent1"/>
          </a:solidFill>
          <a:ln w="25400">
            <a:noFill/>
          </a:ln>
          <a:effectLst/>
        </c:spPr>
        <c:marker>
          <c:symbol val="none"/>
        </c:marker>
      </c:pivotFmt>
      <c:pivotFmt>
        <c:idx val="843"/>
        <c:spPr>
          <a:solidFill>
            <a:schemeClr val="accent1"/>
          </a:solidFill>
          <a:ln w="25400">
            <a:noFill/>
          </a:ln>
          <a:effectLst/>
        </c:spPr>
        <c:marker>
          <c:symbol val="none"/>
        </c:marker>
      </c:pivotFmt>
      <c:pivotFmt>
        <c:idx val="844"/>
        <c:spPr>
          <a:solidFill>
            <a:schemeClr val="accent1"/>
          </a:solidFill>
          <a:ln w="25400">
            <a:noFill/>
          </a:ln>
          <a:effectLst/>
        </c:spPr>
        <c:marker>
          <c:symbol val="none"/>
        </c:marker>
      </c:pivotFmt>
      <c:pivotFmt>
        <c:idx val="845"/>
        <c:spPr>
          <a:solidFill>
            <a:schemeClr val="accent1"/>
          </a:solidFill>
          <a:ln w="25400">
            <a:noFill/>
          </a:ln>
          <a:effectLst/>
        </c:spPr>
        <c:marker>
          <c:symbol val="none"/>
        </c:marker>
      </c:pivotFmt>
      <c:pivotFmt>
        <c:idx val="846"/>
        <c:spPr>
          <a:solidFill>
            <a:schemeClr val="accent1"/>
          </a:solidFill>
          <a:ln w="25400">
            <a:noFill/>
          </a:ln>
          <a:effectLst/>
        </c:spPr>
        <c:marker>
          <c:symbol val="none"/>
        </c:marker>
      </c:pivotFmt>
      <c:pivotFmt>
        <c:idx val="847"/>
        <c:spPr>
          <a:solidFill>
            <a:schemeClr val="accent1"/>
          </a:solidFill>
          <a:ln w="25400">
            <a:noFill/>
          </a:ln>
          <a:effectLst/>
        </c:spPr>
        <c:marker>
          <c:symbol val="none"/>
        </c:marker>
      </c:pivotFmt>
      <c:pivotFmt>
        <c:idx val="848"/>
        <c:spPr>
          <a:solidFill>
            <a:schemeClr val="accent1"/>
          </a:solidFill>
          <a:ln w="25400">
            <a:noFill/>
          </a:ln>
          <a:effectLst/>
        </c:spPr>
        <c:marker>
          <c:symbol val="none"/>
        </c:marker>
      </c:pivotFmt>
      <c:pivotFmt>
        <c:idx val="849"/>
        <c:spPr>
          <a:solidFill>
            <a:schemeClr val="accent1"/>
          </a:solidFill>
          <a:ln w="25400">
            <a:noFill/>
          </a:ln>
          <a:effectLst/>
        </c:spPr>
        <c:marker>
          <c:symbol val="none"/>
        </c:marker>
      </c:pivotFmt>
      <c:pivotFmt>
        <c:idx val="850"/>
        <c:spPr>
          <a:solidFill>
            <a:schemeClr val="accent1"/>
          </a:solidFill>
          <a:ln w="25400">
            <a:noFill/>
          </a:ln>
          <a:effectLst/>
        </c:spPr>
        <c:marker>
          <c:symbol val="none"/>
        </c:marker>
      </c:pivotFmt>
      <c:pivotFmt>
        <c:idx val="851"/>
        <c:spPr>
          <a:solidFill>
            <a:schemeClr val="accent1"/>
          </a:solidFill>
          <a:ln w="25400">
            <a:noFill/>
          </a:ln>
          <a:effectLst/>
        </c:spPr>
        <c:marker>
          <c:symbol val="none"/>
        </c:marker>
      </c:pivotFmt>
      <c:pivotFmt>
        <c:idx val="852"/>
        <c:spPr>
          <a:solidFill>
            <a:schemeClr val="accent1"/>
          </a:solidFill>
          <a:ln w="25400">
            <a:noFill/>
          </a:ln>
          <a:effectLst/>
        </c:spPr>
        <c:marker>
          <c:symbol val="none"/>
        </c:marker>
      </c:pivotFmt>
      <c:pivotFmt>
        <c:idx val="853"/>
        <c:spPr>
          <a:solidFill>
            <a:schemeClr val="accent1"/>
          </a:solidFill>
          <a:ln w="25400">
            <a:noFill/>
          </a:ln>
          <a:effectLst/>
        </c:spPr>
        <c:marker>
          <c:symbol val="none"/>
        </c:marker>
      </c:pivotFmt>
      <c:pivotFmt>
        <c:idx val="854"/>
        <c:spPr>
          <a:solidFill>
            <a:schemeClr val="accent1"/>
          </a:solidFill>
          <a:ln w="25400">
            <a:noFill/>
          </a:ln>
          <a:effectLst/>
        </c:spPr>
        <c:marker>
          <c:symbol val="none"/>
        </c:marker>
      </c:pivotFmt>
      <c:pivotFmt>
        <c:idx val="855"/>
        <c:spPr>
          <a:solidFill>
            <a:schemeClr val="accent1"/>
          </a:solidFill>
          <a:ln w="25400">
            <a:noFill/>
          </a:ln>
          <a:effectLst/>
        </c:spPr>
        <c:marker>
          <c:symbol val="none"/>
        </c:marker>
      </c:pivotFmt>
      <c:pivotFmt>
        <c:idx val="856"/>
        <c:spPr>
          <a:solidFill>
            <a:schemeClr val="accent1"/>
          </a:solidFill>
          <a:ln w="25400">
            <a:noFill/>
          </a:ln>
          <a:effectLst/>
        </c:spPr>
        <c:marker>
          <c:symbol val="none"/>
        </c:marker>
      </c:pivotFmt>
      <c:pivotFmt>
        <c:idx val="857"/>
        <c:spPr>
          <a:solidFill>
            <a:schemeClr val="accent1"/>
          </a:solidFill>
          <a:ln w="25400">
            <a:noFill/>
          </a:ln>
          <a:effectLst/>
        </c:spPr>
        <c:marker>
          <c:symbol val="none"/>
        </c:marker>
      </c:pivotFmt>
      <c:pivotFmt>
        <c:idx val="858"/>
        <c:spPr>
          <a:solidFill>
            <a:schemeClr val="accent1"/>
          </a:solidFill>
          <a:ln w="25400">
            <a:noFill/>
          </a:ln>
          <a:effectLst/>
        </c:spPr>
        <c:marker>
          <c:symbol val="none"/>
        </c:marker>
      </c:pivotFmt>
      <c:pivotFmt>
        <c:idx val="859"/>
        <c:spPr>
          <a:solidFill>
            <a:schemeClr val="accent1"/>
          </a:solidFill>
          <a:ln w="25400">
            <a:noFill/>
          </a:ln>
          <a:effectLst/>
        </c:spPr>
        <c:marker>
          <c:symbol val="none"/>
        </c:marker>
      </c:pivotFmt>
      <c:pivotFmt>
        <c:idx val="860"/>
        <c:spPr>
          <a:solidFill>
            <a:schemeClr val="accent1"/>
          </a:solidFill>
          <a:ln w="25400">
            <a:noFill/>
          </a:ln>
          <a:effectLst/>
        </c:spPr>
        <c:marker>
          <c:symbol val="none"/>
        </c:marker>
      </c:pivotFmt>
      <c:pivotFmt>
        <c:idx val="861"/>
        <c:spPr>
          <a:solidFill>
            <a:schemeClr val="accent1"/>
          </a:solidFill>
          <a:ln w="25400">
            <a:noFill/>
          </a:ln>
          <a:effectLst/>
        </c:spPr>
        <c:marker>
          <c:symbol val="none"/>
        </c:marker>
      </c:pivotFmt>
      <c:pivotFmt>
        <c:idx val="862"/>
        <c:spPr>
          <a:solidFill>
            <a:schemeClr val="accent1"/>
          </a:solidFill>
          <a:ln w="25400">
            <a:noFill/>
          </a:ln>
          <a:effectLst/>
        </c:spPr>
        <c:marker>
          <c:symbol val="none"/>
        </c:marker>
      </c:pivotFmt>
      <c:pivotFmt>
        <c:idx val="863"/>
        <c:spPr>
          <a:solidFill>
            <a:schemeClr val="accent1"/>
          </a:solidFill>
          <a:ln w="25400">
            <a:noFill/>
          </a:ln>
          <a:effectLst/>
        </c:spPr>
        <c:marker>
          <c:symbol val="none"/>
        </c:marker>
      </c:pivotFmt>
      <c:pivotFmt>
        <c:idx val="864"/>
        <c:spPr>
          <a:solidFill>
            <a:schemeClr val="accent1"/>
          </a:solidFill>
          <a:ln>
            <a:noFill/>
          </a:ln>
          <a:effectLst/>
        </c:spPr>
        <c:marker>
          <c:symbol val="none"/>
        </c:marker>
      </c:pivotFmt>
      <c:pivotFmt>
        <c:idx val="865"/>
        <c:spPr>
          <a:solidFill>
            <a:schemeClr val="accent1"/>
          </a:solidFill>
          <a:ln w="25400">
            <a:noFill/>
          </a:ln>
          <a:effectLst/>
        </c:spPr>
        <c:marker>
          <c:symbol val="none"/>
        </c:marker>
      </c:pivotFmt>
      <c:pivotFmt>
        <c:idx val="866"/>
        <c:spPr>
          <a:solidFill>
            <a:schemeClr val="accent1"/>
          </a:solidFill>
          <a:ln>
            <a:noFill/>
          </a:ln>
          <a:effectLst/>
        </c:spPr>
        <c:marker>
          <c:symbol val="none"/>
        </c:marker>
      </c:pivotFmt>
      <c:pivotFmt>
        <c:idx val="867"/>
        <c:spPr>
          <a:solidFill>
            <a:schemeClr val="accent1"/>
          </a:solidFill>
          <a:ln>
            <a:noFill/>
          </a:ln>
          <a:effectLst/>
        </c:spPr>
        <c:marker>
          <c:symbol val="none"/>
        </c:marker>
      </c:pivotFmt>
      <c:pivotFmt>
        <c:idx val="868"/>
        <c:spPr>
          <a:solidFill>
            <a:schemeClr val="accent1"/>
          </a:solidFill>
          <a:ln w="25400">
            <a:noFill/>
          </a:ln>
          <a:effectLst/>
        </c:spPr>
        <c:marker>
          <c:symbol val="none"/>
        </c:marker>
      </c:pivotFmt>
      <c:pivotFmt>
        <c:idx val="869"/>
        <c:spPr>
          <a:solidFill>
            <a:schemeClr val="accent1"/>
          </a:solidFill>
          <a:ln w="25400">
            <a:noFill/>
          </a:ln>
          <a:effectLst/>
        </c:spPr>
        <c:marker>
          <c:symbol val="none"/>
        </c:marker>
      </c:pivotFmt>
      <c:pivotFmt>
        <c:idx val="870"/>
        <c:spPr>
          <a:solidFill>
            <a:schemeClr val="accent1"/>
          </a:solidFill>
          <a:ln w="25400">
            <a:noFill/>
          </a:ln>
          <a:effectLst/>
        </c:spPr>
        <c:marker>
          <c:symbol val="none"/>
        </c:marker>
      </c:pivotFmt>
      <c:pivotFmt>
        <c:idx val="871"/>
        <c:spPr>
          <a:solidFill>
            <a:schemeClr val="accent1"/>
          </a:solidFill>
          <a:ln w="25400">
            <a:noFill/>
          </a:ln>
          <a:effectLst/>
        </c:spPr>
        <c:marker>
          <c:symbol val="none"/>
        </c:marker>
      </c:pivotFmt>
      <c:pivotFmt>
        <c:idx val="872"/>
        <c:spPr>
          <a:solidFill>
            <a:schemeClr val="accent1"/>
          </a:solidFill>
          <a:ln w="25400">
            <a:noFill/>
          </a:ln>
          <a:effectLst/>
        </c:spPr>
        <c:marker>
          <c:symbol val="none"/>
        </c:marker>
      </c:pivotFmt>
      <c:pivotFmt>
        <c:idx val="873"/>
        <c:spPr>
          <a:solidFill>
            <a:schemeClr val="accent1"/>
          </a:solidFill>
          <a:ln w="25400">
            <a:noFill/>
          </a:ln>
          <a:effectLst/>
        </c:spPr>
        <c:marker>
          <c:symbol val="none"/>
        </c:marker>
      </c:pivotFmt>
      <c:pivotFmt>
        <c:idx val="874"/>
        <c:spPr>
          <a:solidFill>
            <a:schemeClr val="accent1"/>
          </a:solidFill>
          <a:ln w="25400">
            <a:noFill/>
          </a:ln>
          <a:effectLst/>
        </c:spPr>
        <c:marker>
          <c:symbol val="none"/>
        </c:marker>
      </c:pivotFmt>
      <c:pivotFmt>
        <c:idx val="875"/>
        <c:spPr>
          <a:solidFill>
            <a:schemeClr val="accent1"/>
          </a:solidFill>
          <a:ln w="25400">
            <a:noFill/>
          </a:ln>
          <a:effectLst/>
        </c:spPr>
        <c:marker>
          <c:symbol val="none"/>
        </c:marker>
      </c:pivotFmt>
      <c:pivotFmt>
        <c:idx val="876"/>
        <c:spPr>
          <a:solidFill>
            <a:schemeClr val="accent1"/>
          </a:solidFill>
          <a:ln w="25400">
            <a:noFill/>
          </a:ln>
          <a:effectLst/>
        </c:spPr>
        <c:marker>
          <c:symbol val="none"/>
        </c:marker>
      </c:pivotFmt>
      <c:pivotFmt>
        <c:idx val="877"/>
        <c:spPr>
          <a:solidFill>
            <a:schemeClr val="accent1"/>
          </a:solidFill>
          <a:ln w="25400">
            <a:noFill/>
          </a:ln>
          <a:effectLst/>
        </c:spPr>
        <c:marker>
          <c:symbol val="none"/>
        </c:marker>
      </c:pivotFmt>
      <c:pivotFmt>
        <c:idx val="878"/>
        <c:spPr>
          <a:solidFill>
            <a:schemeClr val="accent1"/>
          </a:solidFill>
          <a:ln w="25400">
            <a:noFill/>
          </a:ln>
          <a:effectLst/>
        </c:spPr>
        <c:marker>
          <c:symbol val="none"/>
        </c:marker>
      </c:pivotFmt>
      <c:pivotFmt>
        <c:idx val="879"/>
        <c:spPr>
          <a:solidFill>
            <a:schemeClr val="accent1"/>
          </a:solidFill>
          <a:ln w="25400">
            <a:noFill/>
          </a:ln>
          <a:effectLst/>
        </c:spPr>
        <c:marker>
          <c:symbol val="none"/>
        </c:marker>
      </c:pivotFmt>
      <c:pivotFmt>
        <c:idx val="880"/>
        <c:spPr>
          <a:solidFill>
            <a:schemeClr val="accent1"/>
          </a:solidFill>
          <a:ln w="25400">
            <a:noFill/>
          </a:ln>
          <a:effectLst/>
        </c:spPr>
        <c:marker>
          <c:symbol val="none"/>
        </c:marker>
      </c:pivotFmt>
      <c:pivotFmt>
        <c:idx val="881"/>
        <c:spPr>
          <a:solidFill>
            <a:schemeClr val="accent1"/>
          </a:solidFill>
          <a:ln w="25400">
            <a:noFill/>
          </a:ln>
          <a:effectLst/>
        </c:spPr>
        <c:marker>
          <c:symbol val="none"/>
        </c:marker>
      </c:pivotFmt>
      <c:pivotFmt>
        <c:idx val="882"/>
        <c:spPr>
          <a:solidFill>
            <a:schemeClr val="accent1"/>
          </a:solidFill>
          <a:ln w="25400">
            <a:noFill/>
          </a:ln>
          <a:effectLst/>
        </c:spPr>
        <c:marker>
          <c:symbol val="none"/>
        </c:marker>
      </c:pivotFmt>
      <c:pivotFmt>
        <c:idx val="883"/>
        <c:spPr>
          <a:solidFill>
            <a:schemeClr val="accent1"/>
          </a:solidFill>
          <a:ln w="25400">
            <a:noFill/>
          </a:ln>
          <a:effectLst/>
        </c:spPr>
        <c:marker>
          <c:symbol val="none"/>
        </c:marker>
      </c:pivotFmt>
      <c:pivotFmt>
        <c:idx val="884"/>
        <c:spPr>
          <a:solidFill>
            <a:schemeClr val="accent1"/>
          </a:solidFill>
          <a:ln w="25400">
            <a:noFill/>
          </a:ln>
          <a:effectLst/>
        </c:spPr>
        <c:marker>
          <c:symbol val="none"/>
        </c:marker>
      </c:pivotFmt>
      <c:pivotFmt>
        <c:idx val="885"/>
        <c:spPr>
          <a:solidFill>
            <a:schemeClr val="accent1"/>
          </a:solidFill>
          <a:ln w="25400">
            <a:noFill/>
          </a:ln>
          <a:effectLst/>
        </c:spPr>
        <c:marker>
          <c:symbol val="none"/>
        </c:marker>
      </c:pivotFmt>
      <c:pivotFmt>
        <c:idx val="886"/>
        <c:spPr>
          <a:solidFill>
            <a:schemeClr val="accent1"/>
          </a:solidFill>
          <a:ln w="25400">
            <a:noFill/>
          </a:ln>
          <a:effectLst/>
        </c:spPr>
        <c:marker>
          <c:symbol val="none"/>
        </c:marker>
      </c:pivotFmt>
      <c:pivotFmt>
        <c:idx val="887"/>
        <c:spPr>
          <a:solidFill>
            <a:schemeClr val="accent1"/>
          </a:solidFill>
          <a:ln w="25400">
            <a:noFill/>
          </a:ln>
          <a:effectLst/>
        </c:spPr>
        <c:marker>
          <c:symbol val="none"/>
        </c:marker>
      </c:pivotFmt>
      <c:pivotFmt>
        <c:idx val="888"/>
        <c:spPr>
          <a:solidFill>
            <a:schemeClr val="accent1"/>
          </a:solidFill>
          <a:ln w="25400">
            <a:noFill/>
          </a:ln>
          <a:effectLst/>
        </c:spPr>
        <c:marker>
          <c:symbol val="none"/>
        </c:marker>
      </c:pivotFmt>
      <c:pivotFmt>
        <c:idx val="889"/>
        <c:spPr>
          <a:solidFill>
            <a:schemeClr val="accent1"/>
          </a:solidFill>
          <a:ln w="25400">
            <a:noFill/>
          </a:ln>
          <a:effectLst/>
        </c:spPr>
        <c:marker>
          <c:symbol val="none"/>
        </c:marker>
      </c:pivotFmt>
      <c:pivotFmt>
        <c:idx val="890"/>
        <c:spPr>
          <a:solidFill>
            <a:schemeClr val="accent1"/>
          </a:solidFill>
          <a:ln w="25400">
            <a:noFill/>
          </a:ln>
          <a:effectLst/>
        </c:spPr>
        <c:marker>
          <c:symbol val="none"/>
        </c:marker>
      </c:pivotFmt>
      <c:pivotFmt>
        <c:idx val="891"/>
        <c:spPr>
          <a:solidFill>
            <a:schemeClr val="accent1"/>
          </a:solidFill>
          <a:ln w="25400">
            <a:noFill/>
          </a:ln>
          <a:effectLst/>
        </c:spPr>
        <c:marker>
          <c:symbol val="none"/>
        </c:marker>
      </c:pivotFmt>
      <c:pivotFmt>
        <c:idx val="892"/>
        <c:spPr>
          <a:solidFill>
            <a:schemeClr val="accent1"/>
          </a:solidFill>
          <a:ln w="25400">
            <a:noFill/>
          </a:ln>
          <a:effectLst/>
        </c:spPr>
        <c:marker>
          <c:symbol val="none"/>
        </c:marker>
      </c:pivotFmt>
      <c:pivotFmt>
        <c:idx val="893"/>
        <c:spPr>
          <a:solidFill>
            <a:schemeClr val="accent1"/>
          </a:solidFill>
          <a:ln w="25400">
            <a:noFill/>
          </a:ln>
          <a:effectLst/>
        </c:spPr>
        <c:marker>
          <c:symbol val="none"/>
        </c:marker>
      </c:pivotFmt>
      <c:pivotFmt>
        <c:idx val="894"/>
        <c:spPr>
          <a:solidFill>
            <a:schemeClr val="accent1"/>
          </a:solidFill>
          <a:ln w="25400">
            <a:noFill/>
          </a:ln>
          <a:effectLst/>
        </c:spPr>
        <c:marker>
          <c:symbol val="none"/>
        </c:marker>
      </c:pivotFmt>
      <c:pivotFmt>
        <c:idx val="895"/>
        <c:spPr>
          <a:solidFill>
            <a:schemeClr val="accent1"/>
          </a:solidFill>
          <a:ln w="25400">
            <a:noFill/>
          </a:ln>
          <a:effectLst/>
        </c:spPr>
        <c:marker>
          <c:symbol val="none"/>
        </c:marker>
      </c:pivotFmt>
      <c:pivotFmt>
        <c:idx val="896"/>
        <c:spPr>
          <a:solidFill>
            <a:schemeClr val="accent1"/>
          </a:solidFill>
          <a:ln w="25400">
            <a:noFill/>
          </a:ln>
          <a:effectLst/>
        </c:spPr>
        <c:marker>
          <c:symbol val="none"/>
        </c:marker>
      </c:pivotFmt>
      <c:pivotFmt>
        <c:idx val="897"/>
        <c:spPr>
          <a:solidFill>
            <a:schemeClr val="accent1"/>
          </a:solidFill>
          <a:ln w="25400">
            <a:noFill/>
          </a:ln>
          <a:effectLst/>
        </c:spPr>
        <c:marker>
          <c:symbol val="none"/>
        </c:marker>
      </c:pivotFmt>
      <c:pivotFmt>
        <c:idx val="898"/>
        <c:spPr>
          <a:solidFill>
            <a:schemeClr val="accent1"/>
          </a:solidFill>
          <a:ln w="25400">
            <a:noFill/>
          </a:ln>
          <a:effectLst/>
        </c:spPr>
        <c:marker>
          <c:symbol val="none"/>
        </c:marker>
      </c:pivotFmt>
      <c:pivotFmt>
        <c:idx val="899"/>
        <c:spPr>
          <a:solidFill>
            <a:schemeClr val="accent1"/>
          </a:solidFill>
          <a:ln w="25400">
            <a:noFill/>
          </a:ln>
          <a:effectLst/>
        </c:spPr>
        <c:marker>
          <c:symbol val="none"/>
        </c:marker>
      </c:pivotFmt>
      <c:pivotFmt>
        <c:idx val="900"/>
        <c:spPr>
          <a:solidFill>
            <a:schemeClr val="accent1"/>
          </a:solidFill>
          <a:ln w="25400">
            <a:noFill/>
          </a:ln>
          <a:effectLst/>
        </c:spPr>
        <c:marker>
          <c:symbol val="none"/>
        </c:marker>
      </c:pivotFmt>
      <c:pivotFmt>
        <c:idx val="901"/>
        <c:spPr>
          <a:solidFill>
            <a:schemeClr val="accent1"/>
          </a:solidFill>
          <a:ln w="25400">
            <a:noFill/>
          </a:ln>
          <a:effectLst/>
        </c:spPr>
        <c:marker>
          <c:symbol val="none"/>
        </c:marker>
      </c:pivotFmt>
      <c:pivotFmt>
        <c:idx val="902"/>
        <c:spPr>
          <a:solidFill>
            <a:schemeClr val="accent1"/>
          </a:solidFill>
          <a:ln w="25400">
            <a:noFill/>
          </a:ln>
          <a:effectLst/>
        </c:spPr>
        <c:marker>
          <c:symbol val="none"/>
        </c:marker>
      </c:pivotFmt>
      <c:pivotFmt>
        <c:idx val="903"/>
        <c:spPr>
          <a:solidFill>
            <a:schemeClr val="accent1"/>
          </a:solidFill>
          <a:ln w="25400">
            <a:noFill/>
          </a:ln>
          <a:effectLst/>
        </c:spPr>
        <c:marker>
          <c:symbol val="none"/>
        </c:marker>
      </c:pivotFmt>
      <c:pivotFmt>
        <c:idx val="904"/>
        <c:spPr>
          <a:solidFill>
            <a:schemeClr val="accent1"/>
          </a:solidFill>
          <a:ln w="25400">
            <a:noFill/>
          </a:ln>
          <a:effectLst/>
        </c:spPr>
        <c:marker>
          <c:symbol val="none"/>
        </c:marker>
      </c:pivotFmt>
      <c:pivotFmt>
        <c:idx val="905"/>
        <c:spPr>
          <a:solidFill>
            <a:schemeClr val="accent1"/>
          </a:solidFill>
          <a:ln w="25400">
            <a:noFill/>
          </a:ln>
          <a:effectLst/>
        </c:spPr>
        <c:marker>
          <c:symbol val="none"/>
        </c:marker>
      </c:pivotFmt>
      <c:pivotFmt>
        <c:idx val="906"/>
        <c:spPr>
          <a:solidFill>
            <a:schemeClr val="accent1"/>
          </a:solidFill>
          <a:ln w="25400">
            <a:noFill/>
          </a:ln>
          <a:effectLst/>
        </c:spPr>
        <c:marker>
          <c:symbol val="none"/>
        </c:marker>
      </c:pivotFmt>
      <c:pivotFmt>
        <c:idx val="907"/>
        <c:spPr>
          <a:solidFill>
            <a:schemeClr val="accent1"/>
          </a:solidFill>
          <a:ln w="25400">
            <a:noFill/>
          </a:ln>
          <a:effectLst/>
        </c:spPr>
        <c:marker>
          <c:symbol val="none"/>
        </c:marker>
      </c:pivotFmt>
      <c:pivotFmt>
        <c:idx val="908"/>
        <c:spPr>
          <a:solidFill>
            <a:schemeClr val="accent1"/>
          </a:solidFill>
          <a:ln w="25400">
            <a:noFill/>
          </a:ln>
          <a:effectLst/>
        </c:spPr>
        <c:marker>
          <c:symbol val="none"/>
        </c:marker>
      </c:pivotFmt>
      <c:pivotFmt>
        <c:idx val="909"/>
        <c:spPr>
          <a:solidFill>
            <a:schemeClr val="accent1"/>
          </a:solidFill>
          <a:ln w="25400">
            <a:noFill/>
          </a:ln>
          <a:effectLst/>
        </c:spPr>
        <c:marker>
          <c:symbol val="none"/>
        </c:marker>
      </c:pivotFmt>
      <c:pivotFmt>
        <c:idx val="910"/>
        <c:spPr>
          <a:solidFill>
            <a:schemeClr val="accent1"/>
          </a:solidFill>
          <a:ln w="25400">
            <a:noFill/>
          </a:ln>
          <a:effectLst/>
        </c:spPr>
        <c:marker>
          <c:symbol val="none"/>
        </c:marker>
      </c:pivotFmt>
      <c:pivotFmt>
        <c:idx val="911"/>
        <c:spPr>
          <a:solidFill>
            <a:schemeClr val="accent1"/>
          </a:solidFill>
          <a:ln w="25400">
            <a:noFill/>
          </a:ln>
          <a:effectLst/>
        </c:spPr>
        <c:marker>
          <c:symbol val="none"/>
        </c:marker>
      </c:pivotFmt>
      <c:pivotFmt>
        <c:idx val="912"/>
        <c:spPr>
          <a:solidFill>
            <a:schemeClr val="accent1"/>
          </a:solidFill>
          <a:ln w="25400">
            <a:noFill/>
          </a:ln>
          <a:effectLst/>
        </c:spPr>
        <c:marker>
          <c:symbol val="none"/>
        </c:marker>
      </c:pivotFmt>
      <c:pivotFmt>
        <c:idx val="913"/>
        <c:spPr>
          <a:solidFill>
            <a:schemeClr val="accent1"/>
          </a:solidFill>
          <a:ln w="25400">
            <a:noFill/>
          </a:ln>
          <a:effectLst/>
        </c:spPr>
        <c:marker>
          <c:symbol val="none"/>
        </c:marker>
      </c:pivotFmt>
      <c:pivotFmt>
        <c:idx val="914"/>
        <c:spPr>
          <a:solidFill>
            <a:schemeClr val="accent1"/>
          </a:solidFill>
          <a:ln w="25400">
            <a:noFill/>
          </a:ln>
          <a:effectLst/>
        </c:spPr>
        <c:marker>
          <c:symbol val="none"/>
        </c:marker>
      </c:pivotFmt>
      <c:pivotFmt>
        <c:idx val="915"/>
        <c:spPr>
          <a:solidFill>
            <a:schemeClr val="accent1"/>
          </a:solidFill>
          <a:ln w="25400">
            <a:noFill/>
          </a:ln>
          <a:effectLst/>
        </c:spPr>
        <c:marker>
          <c:symbol val="none"/>
        </c:marker>
      </c:pivotFmt>
      <c:pivotFmt>
        <c:idx val="916"/>
        <c:spPr>
          <a:solidFill>
            <a:schemeClr val="accent1"/>
          </a:solidFill>
          <a:ln w="25400">
            <a:noFill/>
          </a:ln>
          <a:effectLst/>
        </c:spPr>
        <c:marker>
          <c:symbol val="none"/>
        </c:marker>
      </c:pivotFmt>
      <c:pivotFmt>
        <c:idx val="917"/>
        <c:spPr>
          <a:solidFill>
            <a:schemeClr val="accent1"/>
          </a:solidFill>
          <a:ln w="25400">
            <a:noFill/>
          </a:ln>
          <a:effectLst/>
        </c:spPr>
        <c:marker>
          <c:symbol val="none"/>
        </c:marker>
      </c:pivotFmt>
      <c:pivotFmt>
        <c:idx val="918"/>
        <c:spPr>
          <a:solidFill>
            <a:schemeClr val="accent1"/>
          </a:solidFill>
          <a:ln w="25400">
            <a:noFill/>
          </a:ln>
          <a:effectLst/>
        </c:spPr>
        <c:marker>
          <c:symbol val="none"/>
        </c:marker>
      </c:pivotFmt>
      <c:pivotFmt>
        <c:idx val="919"/>
        <c:spPr>
          <a:solidFill>
            <a:schemeClr val="accent1"/>
          </a:solidFill>
          <a:ln w="25400">
            <a:noFill/>
          </a:ln>
          <a:effectLst/>
        </c:spPr>
        <c:marker>
          <c:symbol val="none"/>
        </c:marker>
      </c:pivotFmt>
      <c:pivotFmt>
        <c:idx val="920"/>
        <c:spPr>
          <a:solidFill>
            <a:schemeClr val="accent1"/>
          </a:solidFill>
          <a:ln w="25400">
            <a:noFill/>
          </a:ln>
          <a:effectLst/>
        </c:spPr>
        <c:marker>
          <c:symbol val="none"/>
        </c:marker>
      </c:pivotFmt>
      <c:pivotFmt>
        <c:idx val="921"/>
        <c:spPr>
          <a:solidFill>
            <a:schemeClr val="accent1"/>
          </a:solidFill>
          <a:ln w="25400">
            <a:noFill/>
          </a:ln>
          <a:effectLst/>
        </c:spPr>
        <c:marker>
          <c:symbol val="none"/>
        </c:marker>
      </c:pivotFmt>
      <c:pivotFmt>
        <c:idx val="922"/>
        <c:spPr>
          <a:solidFill>
            <a:schemeClr val="accent1"/>
          </a:solidFill>
          <a:ln w="25400">
            <a:noFill/>
          </a:ln>
          <a:effectLst/>
        </c:spPr>
        <c:marker>
          <c:symbol val="none"/>
        </c:marker>
      </c:pivotFmt>
      <c:pivotFmt>
        <c:idx val="923"/>
        <c:spPr>
          <a:solidFill>
            <a:schemeClr val="accent1"/>
          </a:solidFill>
          <a:ln w="25400">
            <a:noFill/>
          </a:ln>
          <a:effectLst/>
        </c:spPr>
        <c:marker>
          <c:symbol val="none"/>
        </c:marker>
      </c:pivotFmt>
      <c:pivotFmt>
        <c:idx val="924"/>
        <c:spPr>
          <a:solidFill>
            <a:schemeClr val="accent1"/>
          </a:solidFill>
          <a:ln w="25400">
            <a:noFill/>
          </a:ln>
          <a:effectLst/>
        </c:spPr>
        <c:marker>
          <c:symbol val="none"/>
        </c:marker>
      </c:pivotFmt>
      <c:pivotFmt>
        <c:idx val="925"/>
        <c:spPr>
          <a:solidFill>
            <a:schemeClr val="accent1"/>
          </a:solidFill>
          <a:ln w="25400">
            <a:noFill/>
          </a:ln>
          <a:effectLst/>
        </c:spPr>
        <c:marker>
          <c:symbol val="none"/>
        </c:marker>
      </c:pivotFmt>
      <c:pivotFmt>
        <c:idx val="926"/>
        <c:spPr>
          <a:solidFill>
            <a:schemeClr val="accent1"/>
          </a:solidFill>
          <a:ln w="25400">
            <a:noFill/>
          </a:ln>
          <a:effectLst/>
        </c:spPr>
        <c:marker>
          <c:symbol val="none"/>
        </c:marker>
      </c:pivotFmt>
      <c:pivotFmt>
        <c:idx val="927"/>
        <c:spPr>
          <a:solidFill>
            <a:schemeClr val="accent1"/>
          </a:solidFill>
          <a:ln w="25400">
            <a:noFill/>
          </a:ln>
          <a:effectLst/>
        </c:spPr>
        <c:marker>
          <c:symbol val="none"/>
        </c:marker>
      </c:pivotFmt>
      <c:pivotFmt>
        <c:idx val="928"/>
        <c:spPr>
          <a:solidFill>
            <a:schemeClr val="accent1"/>
          </a:solidFill>
          <a:ln w="25400">
            <a:noFill/>
          </a:ln>
          <a:effectLst/>
        </c:spPr>
        <c:marker>
          <c:symbol val="none"/>
        </c:marker>
      </c:pivotFmt>
      <c:pivotFmt>
        <c:idx val="929"/>
        <c:spPr>
          <a:solidFill>
            <a:schemeClr val="accent1"/>
          </a:solidFill>
          <a:ln w="25400">
            <a:noFill/>
          </a:ln>
          <a:effectLst/>
        </c:spPr>
        <c:marker>
          <c:symbol val="none"/>
        </c:marker>
      </c:pivotFmt>
      <c:pivotFmt>
        <c:idx val="930"/>
        <c:spPr>
          <a:solidFill>
            <a:schemeClr val="accent1"/>
          </a:solidFill>
          <a:ln w="25400">
            <a:noFill/>
          </a:ln>
          <a:effectLst/>
        </c:spPr>
        <c:marker>
          <c:symbol val="none"/>
        </c:marker>
      </c:pivotFmt>
      <c:pivotFmt>
        <c:idx val="931"/>
        <c:spPr>
          <a:solidFill>
            <a:schemeClr val="accent1"/>
          </a:solidFill>
          <a:ln w="25400">
            <a:noFill/>
          </a:ln>
          <a:effectLst/>
        </c:spPr>
        <c:marker>
          <c:symbol val="none"/>
        </c:marker>
      </c:pivotFmt>
      <c:pivotFmt>
        <c:idx val="932"/>
        <c:spPr>
          <a:solidFill>
            <a:schemeClr val="accent1"/>
          </a:solidFill>
          <a:ln w="25400">
            <a:noFill/>
          </a:ln>
          <a:effectLst/>
        </c:spPr>
        <c:marker>
          <c:symbol val="none"/>
        </c:marker>
      </c:pivotFmt>
      <c:pivotFmt>
        <c:idx val="933"/>
        <c:spPr>
          <a:solidFill>
            <a:schemeClr val="accent1"/>
          </a:solidFill>
          <a:ln w="25400">
            <a:noFill/>
          </a:ln>
          <a:effectLst/>
        </c:spPr>
        <c:marker>
          <c:symbol val="none"/>
        </c:marker>
      </c:pivotFmt>
      <c:pivotFmt>
        <c:idx val="934"/>
        <c:spPr>
          <a:solidFill>
            <a:schemeClr val="accent1"/>
          </a:solidFill>
          <a:ln w="25400">
            <a:noFill/>
          </a:ln>
          <a:effectLst/>
        </c:spPr>
        <c:marker>
          <c:symbol val="none"/>
        </c:marker>
      </c:pivotFmt>
      <c:pivotFmt>
        <c:idx val="935"/>
        <c:spPr>
          <a:solidFill>
            <a:schemeClr val="accent1"/>
          </a:solidFill>
          <a:ln w="25400">
            <a:noFill/>
          </a:ln>
          <a:effectLst/>
        </c:spPr>
        <c:marker>
          <c:symbol val="none"/>
        </c:marker>
      </c:pivotFmt>
      <c:pivotFmt>
        <c:idx val="936"/>
        <c:spPr>
          <a:solidFill>
            <a:schemeClr val="accent1"/>
          </a:solidFill>
          <a:ln w="25400">
            <a:noFill/>
          </a:ln>
          <a:effectLst/>
        </c:spPr>
        <c:marker>
          <c:symbol val="none"/>
        </c:marker>
      </c:pivotFmt>
      <c:pivotFmt>
        <c:idx val="937"/>
        <c:spPr>
          <a:solidFill>
            <a:schemeClr val="accent1"/>
          </a:solidFill>
          <a:ln w="25400">
            <a:noFill/>
          </a:ln>
          <a:effectLst/>
        </c:spPr>
        <c:marker>
          <c:symbol val="none"/>
        </c:marker>
      </c:pivotFmt>
      <c:pivotFmt>
        <c:idx val="938"/>
        <c:spPr>
          <a:solidFill>
            <a:schemeClr val="accent1"/>
          </a:solidFill>
          <a:ln w="25400">
            <a:noFill/>
          </a:ln>
          <a:effectLst/>
        </c:spPr>
        <c:marker>
          <c:symbol val="none"/>
        </c:marker>
      </c:pivotFmt>
      <c:pivotFmt>
        <c:idx val="939"/>
        <c:spPr>
          <a:solidFill>
            <a:schemeClr val="accent1"/>
          </a:solidFill>
          <a:ln w="25400">
            <a:noFill/>
          </a:ln>
          <a:effectLst/>
        </c:spPr>
        <c:marker>
          <c:symbol val="none"/>
        </c:marker>
      </c:pivotFmt>
      <c:pivotFmt>
        <c:idx val="940"/>
        <c:spPr>
          <a:solidFill>
            <a:schemeClr val="accent1"/>
          </a:solidFill>
          <a:ln w="25400">
            <a:noFill/>
          </a:ln>
          <a:effectLst/>
        </c:spPr>
        <c:marker>
          <c:symbol val="none"/>
        </c:marker>
      </c:pivotFmt>
      <c:pivotFmt>
        <c:idx val="941"/>
        <c:spPr>
          <a:solidFill>
            <a:schemeClr val="accent1"/>
          </a:solidFill>
          <a:ln w="25400">
            <a:noFill/>
          </a:ln>
          <a:effectLst/>
        </c:spPr>
        <c:marker>
          <c:symbol val="none"/>
        </c:marker>
      </c:pivotFmt>
      <c:pivotFmt>
        <c:idx val="942"/>
        <c:spPr>
          <a:solidFill>
            <a:schemeClr val="accent1"/>
          </a:solidFill>
          <a:ln w="25400">
            <a:noFill/>
          </a:ln>
          <a:effectLst/>
        </c:spPr>
        <c:marker>
          <c:symbol val="none"/>
        </c:marker>
      </c:pivotFmt>
      <c:pivotFmt>
        <c:idx val="943"/>
        <c:spPr>
          <a:solidFill>
            <a:schemeClr val="accent1"/>
          </a:solidFill>
          <a:ln w="25400">
            <a:noFill/>
          </a:ln>
          <a:effectLst/>
        </c:spPr>
        <c:marker>
          <c:symbol val="none"/>
        </c:marker>
      </c:pivotFmt>
      <c:pivotFmt>
        <c:idx val="944"/>
        <c:spPr>
          <a:solidFill>
            <a:schemeClr val="accent1"/>
          </a:solidFill>
          <a:ln w="25400">
            <a:noFill/>
          </a:ln>
          <a:effectLst/>
        </c:spPr>
        <c:marker>
          <c:symbol val="none"/>
        </c:marker>
      </c:pivotFmt>
      <c:pivotFmt>
        <c:idx val="945"/>
        <c:spPr>
          <a:solidFill>
            <a:schemeClr val="accent1"/>
          </a:solidFill>
          <a:ln w="25400">
            <a:noFill/>
          </a:ln>
          <a:effectLst/>
        </c:spPr>
        <c:marker>
          <c:symbol val="none"/>
        </c:marker>
      </c:pivotFmt>
      <c:pivotFmt>
        <c:idx val="946"/>
        <c:spPr>
          <a:solidFill>
            <a:schemeClr val="accent1"/>
          </a:solidFill>
          <a:ln w="25400">
            <a:noFill/>
          </a:ln>
          <a:effectLst/>
        </c:spPr>
        <c:marker>
          <c:symbol val="none"/>
        </c:marker>
      </c:pivotFmt>
      <c:pivotFmt>
        <c:idx val="947"/>
        <c:spPr>
          <a:solidFill>
            <a:schemeClr val="accent1"/>
          </a:solidFill>
          <a:ln w="25400">
            <a:noFill/>
          </a:ln>
          <a:effectLst/>
        </c:spPr>
        <c:marker>
          <c:symbol val="none"/>
        </c:marker>
      </c:pivotFmt>
      <c:pivotFmt>
        <c:idx val="948"/>
        <c:spPr>
          <a:solidFill>
            <a:schemeClr val="accent1"/>
          </a:solidFill>
          <a:ln w="25400">
            <a:noFill/>
          </a:ln>
          <a:effectLst/>
        </c:spPr>
        <c:marker>
          <c:symbol val="none"/>
        </c:marker>
      </c:pivotFmt>
      <c:pivotFmt>
        <c:idx val="949"/>
        <c:spPr>
          <a:solidFill>
            <a:schemeClr val="accent1"/>
          </a:solidFill>
          <a:ln w="25400">
            <a:noFill/>
          </a:ln>
          <a:effectLst/>
        </c:spPr>
        <c:marker>
          <c:symbol val="none"/>
        </c:marker>
      </c:pivotFmt>
      <c:pivotFmt>
        <c:idx val="950"/>
        <c:spPr>
          <a:solidFill>
            <a:schemeClr val="accent1"/>
          </a:solidFill>
          <a:ln w="25400">
            <a:noFill/>
          </a:ln>
          <a:effectLst/>
        </c:spPr>
        <c:marker>
          <c:symbol val="none"/>
        </c:marker>
      </c:pivotFmt>
      <c:pivotFmt>
        <c:idx val="951"/>
        <c:spPr>
          <a:solidFill>
            <a:schemeClr val="accent1"/>
          </a:solidFill>
          <a:ln w="25400">
            <a:noFill/>
          </a:ln>
          <a:effectLst/>
        </c:spPr>
        <c:marker>
          <c:symbol val="none"/>
        </c:marker>
      </c:pivotFmt>
      <c:pivotFmt>
        <c:idx val="952"/>
        <c:spPr>
          <a:solidFill>
            <a:schemeClr val="accent1"/>
          </a:solidFill>
          <a:ln w="25400">
            <a:noFill/>
          </a:ln>
          <a:effectLst/>
        </c:spPr>
        <c:marker>
          <c:symbol val="none"/>
        </c:marker>
      </c:pivotFmt>
      <c:pivotFmt>
        <c:idx val="953"/>
        <c:spPr>
          <a:solidFill>
            <a:schemeClr val="accent1"/>
          </a:solidFill>
          <a:ln w="25400">
            <a:noFill/>
          </a:ln>
          <a:effectLst/>
        </c:spPr>
        <c:marker>
          <c:symbol val="none"/>
        </c:marker>
      </c:pivotFmt>
      <c:pivotFmt>
        <c:idx val="954"/>
        <c:spPr>
          <a:solidFill>
            <a:schemeClr val="accent1"/>
          </a:solidFill>
          <a:ln w="25400">
            <a:noFill/>
          </a:ln>
          <a:effectLst/>
        </c:spPr>
        <c:marker>
          <c:symbol val="none"/>
        </c:marker>
      </c:pivotFmt>
      <c:pivotFmt>
        <c:idx val="955"/>
        <c:spPr>
          <a:solidFill>
            <a:schemeClr val="accent1"/>
          </a:solidFill>
          <a:ln w="25400">
            <a:noFill/>
          </a:ln>
          <a:effectLst/>
        </c:spPr>
        <c:marker>
          <c:symbol val="none"/>
        </c:marker>
      </c:pivotFmt>
      <c:pivotFmt>
        <c:idx val="956"/>
        <c:spPr>
          <a:solidFill>
            <a:schemeClr val="accent1"/>
          </a:solidFill>
          <a:ln w="25400">
            <a:noFill/>
          </a:ln>
          <a:effectLst/>
        </c:spPr>
        <c:marker>
          <c:symbol val="none"/>
        </c:marker>
      </c:pivotFmt>
      <c:pivotFmt>
        <c:idx val="957"/>
        <c:spPr>
          <a:solidFill>
            <a:schemeClr val="accent1"/>
          </a:solidFill>
          <a:ln w="25400">
            <a:noFill/>
          </a:ln>
          <a:effectLst/>
        </c:spPr>
        <c:marker>
          <c:symbol val="none"/>
        </c:marker>
      </c:pivotFmt>
      <c:pivotFmt>
        <c:idx val="958"/>
        <c:spPr>
          <a:solidFill>
            <a:schemeClr val="accent1"/>
          </a:solidFill>
          <a:ln w="25400">
            <a:noFill/>
          </a:ln>
          <a:effectLst/>
        </c:spPr>
        <c:marker>
          <c:symbol val="none"/>
        </c:marker>
      </c:pivotFmt>
      <c:pivotFmt>
        <c:idx val="959"/>
        <c:spPr>
          <a:solidFill>
            <a:schemeClr val="accent1"/>
          </a:solidFill>
          <a:ln w="25400">
            <a:noFill/>
          </a:ln>
          <a:effectLst/>
        </c:spPr>
        <c:marker>
          <c:symbol val="none"/>
        </c:marker>
      </c:pivotFmt>
      <c:pivotFmt>
        <c:idx val="960"/>
        <c:spPr>
          <a:solidFill>
            <a:schemeClr val="accent1"/>
          </a:solidFill>
          <a:ln w="25400">
            <a:noFill/>
          </a:ln>
          <a:effectLst/>
        </c:spPr>
        <c:marker>
          <c:symbol val="none"/>
        </c:marker>
      </c:pivotFmt>
      <c:pivotFmt>
        <c:idx val="961"/>
        <c:spPr>
          <a:solidFill>
            <a:schemeClr val="accent1"/>
          </a:solidFill>
          <a:ln w="25400">
            <a:noFill/>
          </a:ln>
          <a:effectLst/>
        </c:spPr>
        <c:marker>
          <c:symbol val="none"/>
        </c:marker>
      </c:pivotFmt>
      <c:pivotFmt>
        <c:idx val="962"/>
        <c:spPr>
          <a:solidFill>
            <a:schemeClr val="accent1"/>
          </a:solidFill>
          <a:ln w="25400">
            <a:noFill/>
          </a:ln>
          <a:effectLst/>
        </c:spPr>
        <c:marker>
          <c:symbol val="none"/>
        </c:marker>
      </c:pivotFmt>
      <c:pivotFmt>
        <c:idx val="963"/>
        <c:spPr>
          <a:solidFill>
            <a:schemeClr val="accent1"/>
          </a:solidFill>
          <a:ln w="25400">
            <a:noFill/>
          </a:ln>
          <a:effectLst/>
        </c:spPr>
        <c:marker>
          <c:symbol val="none"/>
        </c:marker>
      </c:pivotFmt>
      <c:pivotFmt>
        <c:idx val="964"/>
        <c:spPr>
          <a:solidFill>
            <a:schemeClr val="accent1"/>
          </a:solidFill>
          <a:ln w="25400">
            <a:noFill/>
          </a:ln>
          <a:effectLst/>
        </c:spPr>
        <c:marker>
          <c:symbol val="none"/>
        </c:marker>
      </c:pivotFmt>
      <c:pivotFmt>
        <c:idx val="965"/>
        <c:spPr>
          <a:solidFill>
            <a:schemeClr val="accent1"/>
          </a:solidFill>
          <a:ln w="25400">
            <a:noFill/>
          </a:ln>
          <a:effectLst/>
        </c:spPr>
        <c:marker>
          <c:symbol val="none"/>
        </c:marker>
      </c:pivotFmt>
      <c:pivotFmt>
        <c:idx val="966"/>
        <c:spPr>
          <a:solidFill>
            <a:schemeClr val="accent1"/>
          </a:solidFill>
          <a:ln w="25400">
            <a:noFill/>
          </a:ln>
          <a:effectLst/>
        </c:spPr>
        <c:marker>
          <c:symbol val="none"/>
        </c:marker>
      </c:pivotFmt>
      <c:pivotFmt>
        <c:idx val="967"/>
        <c:spPr>
          <a:solidFill>
            <a:schemeClr val="accent1"/>
          </a:solidFill>
          <a:ln w="25400">
            <a:noFill/>
          </a:ln>
          <a:effectLst/>
        </c:spPr>
        <c:marker>
          <c:symbol val="none"/>
        </c:marker>
      </c:pivotFmt>
      <c:pivotFmt>
        <c:idx val="968"/>
        <c:spPr>
          <a:solidFill>
            <a:schemeClr val="accent1"/>
          </a:solidFill>
          <a:ln w="25400">
            <a:noFill/>
          </a:ln>
          <a:effectLst/>
        </c:spPr>
        <c:marker>
          <c:symbol val="none"/>
        </c:marker>
      </c:pivotFmt>
      <c:pivotFmt>
        <c:idx val="969"/>
        <c:spPr>
          <a:solidFill>
            <a:schemeClr val="accent1"/>
          </a:solidFill>
          <a:ln w="25400">
            <a:noFill/>
          </a:ln>
          <a:effectLst/>
        </c:spPr>
        <c:marker>
          <c:symbol val="none"/>
        </c:marker>
      </c:pivotFmt>
      <c:pivotFmt>
        <c:idx val="970"/>
        <c:spPr>
          <a:solidFill>
            <a:schemeClr val="accent1"/>
          </a:solidFill>
          <a:ln w="25400">
            <a:noFill/>
          </a:ln>
          <a:effectLst/>
        </c:spPr>
        <c:marker>
          <c:symbol val="none"/>
        </c:marker>
      </c:pivotFmt>
      <c:pivotFmt>
        <c:idx val="971"/>
        <c:spPr>
          <a:solidFill>
            <a:schemeClr val="accent1"/>
          </a:solidFill>
          <a:ln w="25400">
            <a:noFill/>
          </a:ln>
          <a:effectLst/>
        </c:spPr>
        <c:marker>
          <c:symbol val="none"/>
        </c:marker>
      </c:pivotFmt>
      <c:pivotFmt>
        <c:idx val="972"/>
        <c:spPr>
          <a:solidFill>
            <a:schemeClr val="accent1"/>
          </a:solidFill>
          <a:ln w="25400">
            <a:noFill/>
          </a:ln>
          <a:effectLst/>
        </c:spPr>
        <c:marker>
          <c:symbol val="none"/>
        </c:marker>
      </c:pivotFmt>
      <c:pivotFmt>
        <c:idx val="973"/>
        <c:spPr>
          <a:solidFill>
            <a:schemeClr val="accent1"/>
          </a:solidFill>
          <a:ln w="25400">
            <a:noFill/>
          </a:ln>
          <a:effectLst/>
        </c:spPr>
        <c:marker>
          <c:symbol val="none"/>
        </c:marker>
      </c:pivotFmt>
      <c:pivotFmt>
        <c:idx val="974"/>
        <c:spPr>
          <a:solidFill>
            <a:schemeClr val="accent1"/>
          </a:solidFill>
          <a:ln w="25400">
            <a:noFill/>
          </a:ln>
          <a:effectLst/>
        </c:spPr>
        <c:marker>
          <c:symbol val="none"/>
        </c:marker>
      </c:pivotFmt>
      <c:pivotFmt>
        <c:idx val="975"/>
        <c:spPr>
          <a:solidFill>
            <a:schemeClr val="accent1"/>
          </a:solidFill>
          <a:ln w="25400">
            <a:noFill/>
          </a:ln>
          <a:effectLst/>
        </c:spPr>
        <c:marker>
          <c:symbol val="none"/>
        </c:marker>
      </c:pivotFmt>
      <c:pivotFmt>
        <c:idx val="976"/>
        <c:spPr>
          <a:solidFill>
            <a:schemeClr val="accent1"/>
          </a:solidFill>
          <a:ln w="25400">
            <a:noFill/>
          </a:ln>
          <a:effectLst/>
        </c:spPr>
        <c:marker>
          <c:symbol val="none"/>
        </c:marker>
      </c:pivotFmt>
      <c:pivotFmt>
        <c:idx val="977"/>
        <c:spPr>
          <a:solidFill>
            <a:schemeClr val="accent1"/>
          </a:solidFill>
          <a:ln w="25400">
            <a:noFill/>
          </a:ln>
          <a:effectLst/>
        </c:spPr>
        <c:marker>
          <c:symbol val="none"/>
        </c:marker>
      </c:pivotFmt>
      <c:pivotFmt>
        <c:idx val="978"/>
        <c:spPr>
          <a:solidFill>
            <a:schemeClr val="accent1"/>
          </a:solidFill>
          <a:ln w="25400">
            <a:noFill/>
          </a:ln>
          <a:effectLst/>
        </c:spPr>
        <c:marker>
          <c:symbol val="none"/>
        </c:marker>
      </c:pivotFmt>
      <c:pivotFmt>
        <c:idx val="979"/>
        <c:spPr>
          <a:solidFill>
            <a:schemeClr val="accent1"/>
          </a:solidFill>
          <a:ln w="25400">
            <a:noFill/>
          </a:ln>
          <a:effectLst/>
        </c:spPr>
        <c:marker>
          <c:symbol val="none"/>
        </c:marker>
      </c:pivotFmt>
      <c:pivotFmt>
        <c:idx val="980"/>
        <c:spPr>
          <a:solidFill>
            <a:schemeClr val="accent1"/>
          </a:solidFill>
          <a:ln w="25400">
            <a:noFill/>
          </a:ln>
          <a:effectLst/>
        </c:spPr>
        <c:marker>
          <c:symbol val="none"/>
        </c:marker>
      </c:pivotFmt>
      <c:pivotFmt>
        <c:idx val="981"/>
        <c:spPr>
          <a:solidFill>
            <a:schemeClr val="accent1"/>
          </a:solidFill>
          <a:ln w="25400">
            <a:noFill/>
          </a:ln>
          <a:effectLst/>
        </c:spPr>
        <c:marker>
          <c:symbol val="none"/>
        </c:marker>
      </c:pivotFmt>
      <c:pivotFmt>
        <c:idx val="982"/>
        <c:spPr>
          <a:solidFill>
            <a:schemeClr val="accent1"/>
          </a:solidFill>
          <a:ln w="25400">
            <a:noFill/>
          </a:ln>
          <a:effectLst/>
        </c:spPr>
        <c:marker>
          <c:symbol val="none"/>
        </c:marker>
      </c:pivotFmt>
      <c:pivotFmt>
        <c:idx val="983"/>
        <c:spPr>
          <a:solidFill>
            <a:schemeClr val="accent1"/>
          </a:solidFill>
          <a:ln w="25400">
            <a:noFill/>
          </a:ln>
          <a:effectLst/>
        </c:spPr>
        <c:marker>
          <c:symbol val="none"/>
        </c:marker>
      </c:pivotFmt>
      <c:pivotFmt>
        <c:idx val="984"/>
        <c:spPr>
          <a:solidFill>
            <a:schemeClr val="accent1"/>
          </a:solidFill>
          <a:ln w="25400">
            <a:noFill/>
          </a:ln>
          <a:effectLst/>
        </c:spPr>
        <c:marker>
          <c:symbol val="none"/>
        </c:marker>
      </c:pivotFmt>
      <c:pivotFmt>
        <c:idx val="985"/>
        <c:spPr>
          <a:solidFill>
            <a:schemeClr val="accent1"/>
          </a:solidFill>
          <a:ln w="25400">
            <a:noFill/>
          </a:ln>
          <a:effectLst/>
        </c:spPr>
        <c:marker>
          <c:symbol val="none"/>
        </c:marker>
      </c:pivotFmt>
      <c:pivotFmt>
        <c:idx val="986"/>
        <c:spPr>
          <a:solidFill>
            <a:schemeClr val="accent1"/>
          </a:solidFill>
          <a:ln w="25400">
            <a:noFill/>
          </a:ln>
          <a:effectLst/>
        </c:spPr>
        <c:marker>
          <c:symbol val="none"/>
        </c:marker>
      </c:pivotFmt>
      <c:pivotFmt>
        <c:idx val="987"/>
        <c:spPr>
          <a:solidFill>
            <a:schemeClr val="accent1"/>
          </a:solidFill>
          <a:ln w="25400">
            <a:noFill/>
          </a:ln>
          <a:effectLst/>
        </c:spPr>
        <c:marker>
          <c:symbol val="none"/>
        </c:marker>
      </c:pivotFmt>
      <c:pivotFmt>
        <c:idx val="988"/>
        <c:spPr>
          <a:solidFill>
            <a:schemeClr val="accent1"/>
          </a:solidFill>
          <a:ln w="25400">
            <a:noFill/>
          </a:ln>
          <a:effectLst/>
        </c:spPr>
        <c:marker>
          <c:symbol val="none"/>
        </c:marker>
      </c:pivotFmt>
      <c:pivotFmt>
        <c:idx val="989"/>
        <c:spPr>
          <a:solidFill>
            <a:schemeClr val="accent1"/>
          </a:solidFill>
          <a:ln w="25400">
            <a:noFill/>
          </a:ln>
          <a:effectLst/>
        </c:spPr>
        <c:marker>
          <c:symbol val="none"/>
        </c:marker>
      </c:pivotFmt>
      <c:pivotFmt>
        <c:idx val="990"/>
        <c:spPr>
          <a:solidFill>
            <a:schemeClr val="accent1"/>
          </a:solidFill>
          <a:ln w="25400">
            <a:noFill/>
          </a:ln>
          <a:effectLst/>
        </c:spPr>
        <c:marker>
          <c:symbol val="none"/>
        </c:marker>
      </c:pivotFmt>
      <c:pivotFmt>
        <c:idx val="991"/>
        <c:spPr>
          <a:solidFill>
            <a:schemeClr val="accent1"/>
          </a:solidFill>
          <a:ln w="25400">
            <a:noFill/>
          </a:ln>
          <a:effectLst/>
        </c:spPr>
        <c:marker>
          <c:symbol val="none"/>
        </c:marker>
      </c:pivotFmt>
      <c:pivotFmt>
        <c:idx val="992"/>
        <c:spPr>
          <a:solidFill>
            <a:schemeClr val="accent1"/>
          </a:solidFill>
          <a:ln w="25400">
            <a:noFill/>
          </a:ln>
          <a:effectLst/>
        </c:spPr>
        <c:marker>
          <c:symbol val="none"/>
        </c:marker>
      </c:pivotFmt>
      <c:pivotFmt>
        <c:idx val="993"/>
        <c:spPr>
          <a:solidFill>
            <a:schemeClr val="accent1"/>
          </a:solidFill>
          <a:ln w="25400">
            <a:noFill/>
          </a:ln>
          <a:effectLst/>
        </c:spPr>
        <c:marker>
          <c:symbol val="none"/>
        </c:marker>
      </c:pivotFmt>
      <c:pivotFmt>
        <c:idx val="994"/>
        <c:spPr>
          <a:solidFill>
            <a:schemeClr val="accent1"/>
          </a:solidFill>
          <a:ln w="25400">
            <a:noFill/>
          </a:ln>
          <a:effectLst/>
        </c:spPr>
        <c:marker>
          <c:symbol val="none"/>
        </c:marker>
      </c:pivotFmt>
      <c:pivotFmt>
        <c:idx val="995"/>
        <c:spPr>
          <a:solidFill>
            <a:schemeClr val="accent1"/>
          </a:solidFill>
          <a:ln w="25400">
            <a:noFill/>
          </a:ln>
          <a:effectLst/>
        </c:spPr>
        <c:marker>
          <c:symbol val="none"/>
        </c:marker>
      </c:pivotFmt>
      <c:pivotFmt>
        <c:idx val="996"/>
        <c:spPr>
          <a:solidFill>
            <a:schemeClr val="accent1"/>
          </a:solidFill>
          <a:ln w="25400">
            <a:noFill/>
          </a:ln>
          <a:effectLst/>
        </c:spPr>
        <c:marker>
          <c:symbol val="none"/>
        </c:marker>
      </c:pivotFmt>
      <c:pivotFmt>
        <c:idx val="997"/>
        <c:spPr>
          <a:solidFill>
            <a:schemeClr val="accent1"/>
          </a:solidFill>
          <a:ln w="25400">
            <a:noFill/>
          </a:ln>
          <a:effectLst/>
        </c:spPr>
        <c:marker>
          <c:symbol val="none"/>
        </c:marker>
      </c:pivotFmt>
      <c:pivotFmt>
        <c:idx val="998"/>
        <c:spPr>
          <a:solidFill>
            <a:schemeClr val="accent1"/>
          </a:solidFill>
          <a:ln w="25400">
            <a:noFill/>
          </a:ln>
          <a:effectLst/>
        </c:spPr>
        <c:marker>
          <c:symbol val="none"/>
        </c:marker>
      </c:pivotFmt>
      <c:pivotFmt>
        <c:idx val="999"/>
        <c:spPr>
          <a:solidFill>
            <a:schemeClr val="accent1"/>
          </a:solidFill>
          <a:ln w="25400">
            <a:noFill/>
          </a:ln>
          <a:effectLst/>
        </c:spPr>
        <c:marker>
          <c:symbol val="none"/>
        </c:marker>
      </c:pivotFmt>
      <c:pivotFmt>
        <c:idx val="1000"/>
        <c:spPr>
          <a:solidFill>
            <a:schemeClr val="accent1"/>
          </a:solidFill>
          <a:ln w="25400">
            <a:noFill/>
          </a:ln>
          <a:effectLst/>
        </c:spPr>
        <c:marker>
          <c:symbol val="none"/>
        </c:marker>
      </c:pivotFmt>
      <c:pivotFmt>
        <c:idx val="1001"/>
        <c:spPr>
          <a:solidFill>
            <a:schemeClr val="accent1"/>
          </a:solidFill>
          <a:ln w="25400">
            <a:noFill/>
          </a:ln>
          <a:effectLst/>
        </c:spPr>
        <c:marker>
          <c:symbol val="none"/>
        </c:marker>
      </c:pivotFmt>
      <c:pivotFmt>
        <c:idx val="1002"/>
        <c:spPr>
          <a:solidFill>
            <a:schemeClr val="accent1"/>
          </a:solidFill>
          <a:ln w="25400">
            <a:noFill/>
          </a:ln>
          <a:effectLst/>
        </c:spPr>
        <c:marker>
          <c:symbol val="none"/>
        </c:marker>
      </c:pivotFmt>
      <c:pivotFmt>
        <c:idx val="1003"/>
        <c:spPr>
          <a:solidFill>
            <a:schemeClr val="accent1"/>
          </a:solidFill>
          <a:ln w="25400">
            <a:noFill/>
          </a:ln>
          <a:effectLst/>
        </c:spPr>
        <c:marker>
          <c:symbol val="none"/>
        </c:marker>
      </c:pivotFmt>
      <c:pivotFmt>
        <c:idx val="1004"/>
        <c:spPr>
          <a:solidFill>
            <a:schemeClr val="accent1"/>
          </a:solidFill>
          <a:ln w="25400">
            <a:noFill/>
          </a:ln>
          <a:effectLst/>
        </c:spPr>
        <c:marker>
          <c:symbol val="none"/>
        </c:marker>
      </c:pivotFmt>
      <c:pivotFmt>
        <c:idx val="1005"/>
        <c:spPr>
          <a:solidFill>
            <a:schemeClr val="accent1"/>
          </a:solidFill>
          <a:ln w="25400">
            <a:noFill/>
          </a:ln>
          <a:effectLst/>
        </c:spPr>
        <c:marker>
          <c:symbol val="none"/>
        </c:marker>
      </c:pivotFmt>
      <c:pivotFmt>
        <c:idx val="1006"/>
        <c:spPr>
          <a:solidFill>
            <a:schemeClr val="accent1"/>
          </a:solidFill>
          <a:ln w="25400">
            <a:noFill/>
          </a:ln>
          <a:effectLst/>
        </c:spPr>
        <c:marker>
          <c:symbol val="none"/>
        </c:marker>
      </c:pivotFmt>
      <c:pivotFmt>
        <c:idx val="1007"/>
        <c:spPr>
          <a:solidFill>
            <a:schemeClr val="accent1"/>
          </a:solidFill>
          <a:ln w="25400">
            <a:noFill/>
          </a:ln>
          <a:effectLst/>
        </c:spPr>
        <c:marker>
          <c:symbol val="none"/>
        </c:marker>
      </c:pivotFmt>
      <c:pivotFmt>
        <c:idx val="1008"/>
        <c:spPr>
          <a:solidFill>
            <a:schemeClr val="accent1"/>
          </a:solidFill>
          <a:ln w="25400">
            <a:noFill/>
          </a:ln>
          <a:effectLst/>
        </c:spPr>
        <c:marker>
          <c:symbol val="none"/>
        </c:marker>
      </c:pivotFmt>
      <c:pivotFmt>
        <c:idx val="1009"/>
        <c:spPr>
          <a:solidFill>
            <a:schemeClr val="accent1"/>
          </a:solidFill>
          <a:ln w="25400">
            <a:noFill/>
          </a:ln>
          <a:effectLst/>
        </c:spPr>
        <c:marker>
          <c:symbol val="none"/>
        </c:marker>
      </c:pivotFmt>
      <c:pivotFmt>
        <c:idx val="1010"/>
        <c:spPr>
          <a:solidFill>
            <a:schemeClr val="accent1"/>
          </a:solidFill>
          <a:ln w="25400">
            <a:noFill/>
          </a:ln>
          <a:effectLst/>
        </c:spPr>
        <c:marker>
          <c:symbol val="none"/>
        </c:marker>
      </c:pivotFmt>
      <c:pivotFmt>
        <c:idx val="1011"/>
        <c:spPr>
          <a:solidFill>
            <a:schemeClr val="accent1"/>
          </a:solidFill>
          <a:ln w="25400">
            <a:noFill/>
          </a:ln>
          <a:effectLst/>
        </c:spPr>
        <c:marker>
          <c:symbol val="none"/>
        </c:marker>
      </c:pivotFmt>
      <c:pivotFmt>
        <c:idx val="1012"/>
        <c:spPr>
          <a:solidFill>
            <a:schemeClr val="accent1"/>
          </a:solidFill>
          <a:ln w="25400">
            <a:noFill/>
          </a:ln>
          <a:effectLst/>
        </c:spPr>
        <c:marker>
          <c:symbol val="none"/>
        </c:marker>
      </c:pivotFmt>
      <c:pivotFmt>
        <c:idx val="1013"/>
        <c:spPr>
          <a:solidFill>
            <a:schemeClr val="accent1"/>
          </a:solidFill>
          <a:ln w="25400">
            <a:noFill/>
          </a:ln>
          <a:effectLst/>
        </c:spPr>
        <c:marker>
          <c:symbol val="none"/>
        </c:marker>
      </c:pivotFmt>
      <c:pivotFmt>
        <c:idx val="1014"/>
        <c:spPr>
          <a:solidFill>
            <a:schemeClr val="accent1"/>
          </a:solidFill>
          <a:ln w="25400">
            <a:noFill/>
          </a:ln>
          <a:effectLst/>
        </c:spPr>
        <c:marker>
          <c:symbol val="none"/>
        </c:marker>
      </c:pivotFmt>
      <c:pivotFmt>
        <c:idx val="1015"/>
        <c:spPr>
          <a:solidFill>
            <a:schemeClr val="accent1"/>
          </a:solidFill>
          <a:ln w="25400">
            <a:noFill/>
          </a:ln>
          <a:effectLst/>
        </c:spPr>
        <c:marker>
          <c:symbol val="none"/>
        </c:marker>
      </c:pivotFmt>
      <c:pivotFmt>
        <c:idx val="1016"/>
        <c:spPr>
          <a:solidFill>
            <a:schemeClr val="accent1"/>
          </a:solidFill>
          <a:ln w="25400">
            <a:noFill/>
          </a:ln>
          <a:effectLst/>
        </c:spPr>
        <c:marker>
          <c:symbol val="none"/>
        </c:marker>
      </c:pivotFmt>
      <c:pivotFmt>
        <c:idx val="1017"/>
        <c:spPr>
          <a:solidFill>
            <a:schemeClr val="accent1"/>
          </a:solidFill>
          <a:ln w="25400">
            <a:noFill/>
          </a:ln>
          <a:effectLst/>
        </c:spPr>
        <c:marker>
          <c:symbol val="none"/>
        </c:marker>
      </c:pivotFmt>
      <c:pivotFmt>
        <c:idx val="1018"/>
        <c:spPr>
          <a:solidFill>
            <a:schemeClr val="accent1"/>
          </a:solidFill>
          <a:ln w="25400">
            <a:noFill/>
          </a:ln>
          <a:effectLst/>
        </c:spPr>
        <c:marker>
          <c:symbol val="none"/>
        </c:marker>
      </c:pivotFmt>
      <c:pivotFmt>
        <c:idx val="1019"/>
        <c:spPr>
          <a:solidFill>
            <a:schemeClr val="accent1"/>
          </a:solidFill>
          <a:ln w="25400">
            <a:noFill/>
          </a:ln>
          <a:effectLst/>
        </c:spPr>
        <c:marker>
          <c:symbol val="none"/>
        </c:marker>
      </c:pivotFmt>
      <c:pivotFmt>
        <c:idx val="1020"/>
        <c:spPr>
          <a:solidFill>
            <a:schemeClr val="accent1"/>
          </a:solidFill>
          <a:ln w="25400">
            <a:noFill/>
          </a:ln>
          <a:effectLst/>
        </c:spPr>
        <c:marker>
          <c:symbol val="none"/>
        </c:marker>
      </c:pivotFmt>
      <c:pivotFmt>
        <c:idx val="1021"/>
        <c:spPr>
          <a:solidFill>
            <a:schemeClr val="accent1"/>
          </a:solidFill>
          <a:ln w="25400">
            <a:noFill/>
          </a:ln>
          <a:effectLst/>
        </c:spPr>
        <c:marker>
          <c:symbol val="none"/>
        </c:marker>
      </c:pivotFmt>
      <c:pivotFmt>
        <c:idx val="1022"/>
        <c:spPr>
          <a:solidFill>
            <a:schemeClr val="accent1"/>
          </a:solidFill>
          <a:ln w="25400">
            <a:noFill/>
          </a:ln>
          <a:effectLst/>
        </c:spPr>
        <c:marker>
          <c:symbol val="none"/>
        </c:marker>
      </c:pivotFmt>
      <c:pivotFmt>
        <c:idx val="1023"/>
        <c:spPr>
          <a:solidFill>
            <a:schemeClr val="accent1"/>
          </a:solidFill>
          <a:ln w="25400">
            <a:noFill/>
          </a:ln>
          <a:effectLst/>
        </c:spPr>
        <c:marker>
          <c:symbol val="none"/>
        </c:marker>
      </c:pivotFmt>
      <c:pivotFmt>
        <c:idx val="1024"/>
        <c:spPr>
          <a:solidFill>
            <a:schemeClr val="accent1"/>
          </a:solidFill>
          <a:ln w="25400">
            <a:noFill/>
          </a:ln>
          <a:effectLst/>
        </c:spPr>
        <c:marker>
          <c:symbol val="none"/>
        </c:marker>
      </c:pivotFmt>
      <c:pivotFmt>
        <c:idx val="1025"/>
        <c:spPr>
          <a:solidFill>
            <a:schemeClr val="accent1"/>
          </a:solidFill>
          <a:ln w="25400">
            <a:noFill/>
          </a:ln>
          <a:effectLst/>
        </c:spPr>
        <c:marker>
          <c:symbol val="none"/>
        </c:marker>
      </c:pivotFmt>
      <c:pivotFmt>
        <c:idx val="1026"/>
        <c:spPr>
          <a:solidFill>
            <a:schemeClr val="accent1"/>
          </a:solidFill>
          <a:ln w="25400">
            <a:noFill/>
          </a:ln>
          <a:effectLst/>
        </c:spPr>
        <c:marker>
          <c:symbol val="none"/>
        </c:marker>
      </c:pivotFmt>
      <c:pivotFmt>
        <c:idx val="1027"/>
        <c:spPr>
          <a:solidFill>
            <a:schemeClr val="accent1"/>
          </a:solidFill>
          <a:ln w="25400">
            <a:noFill/>
          </a:ln>
          <a:effectLst/>
        </c:spPr>
        <c:marker>
          <c:symbol val="none"/>
        </c:marker>
      </c:pivotFmt>
      <c:pivotFmt>
        <c:idx val="1028"/>
        <c:spPr>
          <a:solidFill>
            <a:schemeClr val="accent1"/>
          </a:solidFill>
          <a:ln w="25400">
            <a:noFill/>
          </a:ln>
          <a:effectLst/>
        </c:spPr>
        <c:marker>
          <c:symbol val="none"/>
        </c:marker>
      </c:pivotFmt>
      <c:pivotFmt>
        <c:idx val="1029"/>
        <c:spPr>
          <a:solidFill>
            <a:schemeClr val="accent1"/>
          </a:solidFill>
          <a:ln w="25400">
            <a:noFill/>
          </a:ln>
          <a:effectLst/>
        </c:spPr>
        <c:marker>
          <c:symbol val="none"/>
        </c:marker>
      </c:pivotFmt>
      <c:pivotFmt>
        <c:idx val="1030"/>
        <c:spPr>
          <a:solidFill>
            <a:schemeClr val="accent1"/>
          </a:solidFill>
          <a:ln w="25400">
            <a:noFill/>
          </a:ln>
          <a:effectLst/>
        </c:spPr>
        <c:marker>
          <c:symbol val="none"/>
        </c:marker>
      </c:pivotFmt>
      <c:pivotFmt>
        <c:idx val="1031"/>
        <c:spPr>
          <a:solidFill>
            <a:schemeClr val="accent1"/>
          </a:solidFill>
          <a:ln w="25400">
            <a:noFill/>
          </a:ln>
          <a:effectLst/>
        </c:spPr>
        <c:marker>
          <c:symbol val="none"/>
        </c:marker>
      </c:pivotFmt>
      <c:pivotFmt>
        <c:idx val="1032"/>
        <c:spPr>
          <a:solidFill>
            <a:schemeClr val="accent1"/>
          </a:solidFill>
          <a:ln w="25400">
            <a:noFill/>
          </a:ln>
          <a:effectLst/>
        </c:spPr>
        <c:marker>
          <c:symbol val="none"/>
        </c:marker>
      </c:pivotFmt>
      <c:pivotFmt>
        <c:idx val="1033"/>
        <c:spPr>
          <a:solidFill>
            <a:schemeClr val="accent1"/>
          </a:solidFill>
          <a:ln w="25400">
            <a:noFill/>
          </a:ln>
          <a:effectLst/>
        </c:spPr>
        <c:marker>
          <c:symbol val="none"/>
        </c:marker>
      </c:pivotFmt>
      <c:pivotFmt>
        <c:idx val="1034"/>
        <c:spPr>
          <a:solidFill>
            <a:schemeClr val="accent1"/>
          </a:solidFill>
          <a:ln w="25400">
            <a:noFill/>
          </a:ln>
          <a:effectLst/>
        </c:spPr>
        <c:marker>
          <c:symbol val="none"/>
        </c:marker>
      </c:pivotFmt>
      <c:pivotFmt>
        <c:idx val="1035"/>
        <c:spPr>
          <a:solidFill>
            <a:schemeClr val="accent1"/>
          </a:solidFill>
          <a:ln w="25400">
            <a:noFill/>
          </a:ln>
          <a:effectLst/>
        </c:spPr>
        <c:marker>
          <c:symbol val="none"/>
        </c:marker>
      </c:pivotFmt>
      <c:pivotFmt>
        <c:idx val="1036"/>
        <c:spPr>
          <a:solidFill>
            <a:schemeClr val="accent1"/>
          </a:solidFill>
          <a:ln w="25400">
            <a:noFill/>
          </a:ln>
          <a:effectLst/>
        </c:spPr>
        <c:marker>
          <c:symbol val="none"/>
        </c:marker>
      </c:pivotFmt>
      <c:pivotFmt>
        <c:idx val="1037"/>
        <c:spPr>
          <a:solidFill>
            <a:schemeClr val="accent1"/>
          </a:solidFill>
          <a:ln w="25400">
            <a:noFill/>
          </a:ln>
          <a:effectLst/>
        </c:spPr>
        <c:marker>
          <c:symbol val="none"/>
        </c:marker>
      </c:pivotFmt>
      <c:pivotFmt>
        <c:idx val="1038"/>
        <c:spPr>
          <a:solidFill>
            <a:schemeClr val="accent1"/>
          </a:solidFill>
          <a:ln w="25400">
            <a:noFill/>
          </a:ln>
          <a:effectLst/>
        </c:spPr>
        <c:marker>
          <c:symbol val="none"/>
        </c:marker>
      </c:pivotFmt>
      <c:pivotFmt>
        <c:idx val="1039"/>
        <c:spPr>
          <a:solidFill>
            <a:schemeClr val="accent1"/>
          </a:solidFill>
          <a:ln w="25400">
            <a:noFill/>
          </a:ln>
          <a:effectLst/>
        </c:spPr>
        <c:marker>
          <c:symbol val="none"/>
        </c:marker>
      </c:pivotFmt>
      <c:pivotFmt>
        <c:idx val="1040"/>
        <c:spPr>
          <a:solidFill>
            <a:schemeClr val="accent1"/>
          </a:solidFill>
          <a:ln w="25400">
            <a:noFill/>
          </a:ln>
          <a:effectLst/>
        </c:spPr>
        <c:marker>
          <c:symbol val="none"/>
        </c:marker>
      </c:pivotFmt>
      <c:pivotFmt>
        <c:idx val="1041"/>
        <c:spPr>
          <a:solidFill>
            <a:schemeClr val="accent1"/>
          </a:solidFill>
          <a:ln w="25400">
            <a:noFill/>
          </a:ln>
          <a:effectLst/>
        </c:spPr>
        <c:marker>
          <c:symbol val="none"/>
        </c:marker>
      </c:pivotFmt>
      <c:pivotFmt>
        <c:idx val="1042"/>
        <c:spPr>
          <a:solidFill>
            <a:schemeClr val="accent1"/>
          </a:solidFill>
          <a:ln w="25400">
            <a:noFill/>
          </a:ln>
          <a:effectLst/>
        </c:spPr>
        <c:marker>
          <c:symbol val="none"/>
        </c:marker>
      </c:pivotFmt>
      <c:pivotFmt>
        <c:idx val="1043"/>
        <c:spPr>
          <a:solidFill>
            <a:schemeClr val="accent1"/>
          </a:solidFill>
          <a:ln w="25400">
            <a:noFill/>
          </a:ln>
          <a:effectLst/>
        </c:spPr>
        <c:marker>
          <c:symbol val="none"/>
        </c:marker>
      </c:pivotFmt>
      <c:pivotFmt>
        <c:idx val="1044"/>
        <c:spPr>
          <a:solidFill>
            <a:schemeClr val="accent1"/>
          </a:solidFill>
          <a:ln w="25400">
            <a:noFill/>
          </a:ln>
          <a:effectLst/>
        </c:spPr>
        <c:marker>
          <c:symbol val="none"/>
        </c:marker>
      </c:pivotFmt>
      <c:pivotFmt>
        <c:idx val="1045"/>
        <c:spPr>
          <a:solidFill>
            <a:schemeClr val="accent1"/>
          </a:solidFill>
          <a:ln w="25400">
            <a:noFill/>
          </a:ln>
          <a:effectLst/>
        </c:spPr>
        <c:marker>
          <c:symbol val="none"/>
        </c:marker>
      </c:pivotFmt>
      <c:pivotFmt>
        <c:idx val="1046"/>
        <c:spPr>
          <a:solidFill>
            <a:schemeClr val="accent1"/>
          </a:solidFill>
          <a:ln w="25400">
            <a:noFill/>
          </a:ln>
          <a:effectLst/>
        </c:spPr>
        <c:marker>
          <c:symbol val="none"/>
        </c:marker>
      </c:pivotFmt>
      <c:pivotFmt>
        <c:idx val="1047"/>
        <c:spPr>
          <a:solidFill>
            <a:schemeClr val="accent1"/>
          </a:solidFill>
          <a:ln w="25400">
            <a:noFill/>
          </a:ln>
          <a:effectLst/>
        </c:spPr>
        <c:marker>
          <c:symbol val="none"/>
        </c:marker>
      </c:pivotFmt>
      <c:pivotFmt>
        <c:idx val="1048"/>
        <c:spPr>
          <a:solidFill>
            <a:schemeClr val="accent1"/>
          </a:solidFill>
          <a:ln w="25400">
            <a:noFill/>
          </a:ln>
          <a:effectLst/>
        </c:spPr>
        <c:marker>
          <c:symbol val="none"/>
        </c:marker>
      </c:pivotFmt>
      <c:pivotFmt>
        <c:idx val="1049"/>
        <c:spPr>
          <a:solidFill>
            <a:schemeClr val="accent1"/>
          </a:solidFill>
          <a:ln w="25400">
            <a:noFill/>
          </a:ln>
          <a:effectLst/>
        </c:spPr>
        <c:marker>
          <c:symbol val="none"/>
        </c:marker>
      </c:pivotFmt>
      <c:pivotFmt>
        <c:idx val="1050"/>
        <c:spPr>
          <a:solidFill>
            <a:schemeClr val="accent1"/>
          </a:solidFill>
          <a:ln w="25400">
            <a:noFill/>
          </a:ln>
          <a:effectLst/>
        </c:spPr>
        <c:marker>
          <c:symbol val="none"/>
        </c:marker>
      </c:pivotFmt>
      <c:pivotFmt>
        <c:idx val="1051"/>
        <c:spPr>
          <a:solidFill>
            <a:schemeClr val="accent1"/>
          </a:solidFill>
          <a:ln w="25400">
            <a:noFill/>
          </a:ln>
          <a:effectLst/>
        </c:spPr>
        <c:marker>
          <c:symbol val="none"/>
        </c:marker>
      </c:pivotFmt>
      <c:pivotFmt>
        <c:idx val="1052"/>
        <c:spPr>
          <a:solidFill>
            <a:schemeClr val="accent1"/>
          </a:solidFill>
          <a:ln w="25400">
            <a:noFill/>
          </a:ln>
          <a:effectLst/>
        </c:spPr>
        <c:marker>
          <c:symbol val="none"/>
        </c:marker>
      </c:pivotFmt>
      <c:pivotFmt>
        <c:idx val="1053"/>
        <c:spPr>
          <a:solidFill>
            <a:schemeClr val="accent1"/>
          </a:solidFill>
          <a:ln w="25400">
            <a:noFill/>
          </a:ln>
          <a:effectLst/>
        </c:spPr>
        <c:marker>
          <c:symbol val="none"/>
        </c:marker>
      </c:pivotFmt>
      <c:pivotFmt>
        <c:idx val="1054"/>
        <c:spPr>
          <a:solidFill>
            <a:schemeClr val="accent1"/>
          </a:solidFill>
          <a:ln w="25400">
            <a:noFill/>
          </a:ln>
          <a:effectLst/>
        </c:spPr>
        <c:marker>
          <c:symbol val="none"/>
        </c:marker>
      </c:pivotFmt>
      <c:pivotFmt>
        <c:idx val="1055"/>
        <c:spPr>
          <a:solidFill>
            <a:schemeClr val="accent1"/>
          </a:solidFill>
          <a:ln w="25400">
            <a:noFill/>
          </a:ln>
          <a:effectLst/>
        </c:spPr>
        <c:marker>
          <c:symbol val="none"/>
        </c:marker>
      </c:pivotFmt>
      <c:pivotFmt>
        <c:idx val="1056"/>
        <c:spPr>
          <a:solidFill>
            <a:schemeClr val="accent1"/>
          </a:solidFill>
          <a:ln w="25400">
            <a:noFill/>
          </a:ln>
          <a:effectLst/>
        </c:spPr>
        <c:marker>
          <c:symbol val="none"/>
        </c:marker>
      </c:pivotFmt>
      <c:pivotFmt>
        <c:idx val="1057"/>
        <c:spPr>
          <a:solidFill>
            <a:schemeClr val="accent1"/>
          </a:solidFill>
          <a:ln w="25400">
            <a:noFill/>
          </a:ln>
          <a:effectLst/>
        </c:spPr>
        <c:marker>
          <c:symbol val="none"/>
        </c:marker>
      </c:pivotFmt>
      <c:pivotFmt>
        <c:idx val="1058"/>
        <c:spPr>
          <a:solidFill>
            <a:schemeClr val="accent1"/>
          </a:solidFill>
          <a:ln w="25400">
            <a:noFill/>
          </a:ln>
          <a:effectLst/>
        </c:spPr>
        <c:marker>
          <c:symbol val="none"/>
        </c:marker>
      </c:pivotFmt>
      <c:pivotFmt>
        <c:idx val="1059"/>
        <c:spPr>
          <a:solidFill>
            <a:schemeClr val="accent1"/>
          </a:solidFill>
          <a:ln w="25400">
            <a:noFill/>
          </a:ln>
          <a:effectLst/>
        </c:spPr>
        <c:marker>
          <c:symbol val="none"/>
        </c:marker>
      </c:pivotFmt>
      <c:pivotFmt>
        <c:idx val="1060"/>
        <c:spPr>
          <a:solidFill>
            <a:schemeClr val="accent1"/>
          </a:solidFill>
          <a:ln w="25400">
            <a:noFill/>
          </a:ln>
          <a:effectLst/>
        </c:spPr>
        <c:marker>
          <c:symbol val="none"/>
        </c:marker>
      </c:pivotFmt>
      <c:pivotFmt>
        <c:idx val="1061"/>
        <c:spPr>
          <a:solidFill>
            <a:schemeClr val="accent1"/>
          </a:solidFill>
          <a:ln w="25400">
            <a:noFill/>
          </a:ln>
          <a:effectLst/>
        </c:spPr>
        <c:marker>
          <c:symbol val="none"/>
        </c:marker>
      </c:pivotFmt>
      <c:pivotFmt>
        <c:idx val="1062"/>
        <c:spPr>
          <a:solidFill>
            <a:schemeClr val="accent1"/>
          </a:solidFill>
          <a:ln w="25400">
            <a:noFill/>
          </a:ln>
          <a:effectLst/>
        </c:spPr>
        <c:marker>
          <c:symbol val="none"/>
        </c:marker>
      </c:pivotFmt>
      <c:pivotFmt>
        <c:idx val="1063"/>
        <c:spPr>
          <a:solidFill>
            <a:schemeClr val="accent1"/>
          </a:solidFill>
          <a:ln w="25400">
            <a:noFill/>
          </a:ln>
          <a:effectLst/>
        </c:spPr>
        <c:marker>
          <c:symbol val="none"/>
        </c:marker>
      </c:pivotFmt>
      <c:pivotFmt>
        <c:idx val="1064"/>
        <c:spPr>
          <a:solidFill>
            <a:schemeClr val="accent1"/>
          </a:solidFill>
          <a:ln w="25400">
            <a:noFill/>
          </a:ln>
          <a:effectLst/>
        </c:spPr>
        <c:marker>
          <c:symbol val="none"/>
        </c:marker>
      </c:pivotFmt>
      <c:pivotFmt>
        <c:idx val="1065"/>
        <c:spPr>
          <a:solidFill>
            <a:schemeClr val="accent1"/>
          </a:solidFill>
          <a:ln w="25400">
            <a:noFill/>
          </a:ln>
          <a:effectLst/>
        </c:spPr>
        <c:marker>
          <c:symbol val="none"/>
        </c:marker>
      </c:pivotFmt>
      <c:pivotFmt>
        <c:idx val="1066"/>
        <c:spPr>
          <a:solidFill>
            <a:schemeClr val="accent1"/>
          </a:solidFill>
          <a:ln w="25400">
            <a:noFill/>
          </a:ln>
          <a:effectLst/>
        </c:spPr>
        <c:marker>
          <c:symbol val="none"/>
        </c:marker>
      </c:pivotFmt>
      <c:pivotFmt>
        <c:idx val="1067"/>
        <c:spPr>
          <a:solidFill>
            <a:schemeClr val="accent1"/>
          </a:solidFill>
          <a:ln>
            <a:noFill/>
          </a:ln>
          <a:effectLst/>
        </c:spPr>
        <c:marker>
          <c:symbol val="none"/>
        </c:marker>
      </c:pivotFmt>
      <c:pivotFmt>
        <c:idx val="1068"/>
        <c:spPr>
          <a:solidFill>
            <a:schemeClr val="accent1"/>
          </a:solidFill>
          <a:ln>
            <a:noFill/>
          </a:ln>
          <a:effectLst/>
        </c:spPr>
        <c:marker>
          <c:symbol val="none"/>
        </c:marker>
      </c:pivotFmt>
      <c:pivotFmt>
        <c:idx val="1069"/>
        <c:spPr>
          <a:solidFill>
            <a:schemeClr val="accent1"/>
          </a:solidFill>
          <a:ln w="25400">
            <a:noFill/>
          </a:ln>
          <a:effectLst/>
        </c:spPr>
        <c:marker>
          <c:symbol val="none"/>
        </c:marker>
      </c:pivotFmt>
      <c:pivotFmt>
        <c:idx val="1070"/>
        <c:spPr>
          <a:solidFill>
            <a:schemeClr val="accent1"/>
          </a:solidFill>
          <a:ln w="25400">
            <a:noFill/>
          </a:ln>
          <a:effectLst/>
        </c:spPr>
        <c:marker>
          <c:symbol val="none"/>
        </c:marker>
      </c:pivotFmt>
      <c:pivotFmt>
        <c:idx val="1071"/>
        <c:spPr>
          <a:solidFill>
            <a:schemeClr val="accent1"/>
          </a:solidFill>
          <a:ln>
            <a:noFill/>
          </a:ln>
          <a:effectLst/>
        </c:spPr>
        <c:marker>
          <c:symbol val="none"/>
        </c:marker>
      </c:pivotFmt>
      <c:pivotFmt>
        <c:idx val="1072"/>
        <c:spPr>
          <a:solidFill>
            <a:schemeClr val="accent1"/>
          </a:solidFill>
          <a:ln>
            <a:noFill/>
          </a:ln>
          <a:effectLst/>
        </c:spPr>
        <c:marker>
          <c:symbol val="none"/>
        </c:marker>
      </c:pivotFmt>
      <c:pivotFmt>
        <c:idx val="1073"/>
        <c:spPr>
          <a:solidFill>
            <a:schemeClr val="accent1"/>
          </a:solidFill>
          <a:ln w="25400">
            <a:noFill/>
          </a:ln>
          <a:effectLst/>
        </c:spPr>
        <c:marker>
          <c:symbol val="none"/>
        </c:marker>
      </c:pivotFmt>
      <c:pivotFmt>
        <c:idx val="1074"/>
        <c:spPr>
          <a:solidFill>
            <a:schemeClr val="accent1"/>
          </a:solidFill>
          <a:ln w="25400">
            <a:noFill/>
          </a:ln>
          <a:effectLst/>
        </c:spPr>
        <c:marker>
          <c:symbol val="none"/>
        </c:marker>
      </c:pivotFmt>
      <c:pivotFmt>
        <c:idx val="1075"/>
        <c:spPr>
          <a:solidFill>
            <a:schemeClr val="accent1"/>
          </a:solidFill>
          <a:ln>
            <a:noFill/>
          </a:ln>
          <a:effectLst/>
        </c:spPr>
        <c:marker>
          <c:symbol val="none"/>
        </c:marker>
      </c:pivotFmt>
      <c:pivotFmt>
        <c:idx val="1076"/>
        <c:spPr>
          <a:solidFill>
            <a:schemeClr val="accent1"/>
          </a:solidFill>
          <a:ln>
            <a:noFill/>
          </a:ln>
          <a:effectLst/>
        </c:spPr>
        <c:marker>
          <c:symbol val="none"/>
        </c:marker>
      </c:pivotFmt>
      <c:pivotFmt>
        <c:idx val="1077"/>
        <c:spPr>
          <a:solidFill>
            <a:schemeClr val="accent1"/>
          </a:solidFill>
          <a:ln>
            <a:noFill/>
          </a:ln>
          <a:effectLst/>
        </c:spPr>
        <c:marker>
          <c:symbol val="none"/>
        </c:marker>
      </c:pivotFmt>
      <c:pivotFmt>
        <c:idx val="1078"/>
        <c:spPr>
          <a:solidFill>
            <a:schemeClr val="accent1"/>
          </a:solidFill>
          <a:ln>
            <a:noFill/>
          </a:ln>
          <a:effectLst/>
        </c:spPr>
        <c:marker>
          <c:symbol val="none"/>
        </c:marker>
      </c:pivotFmt>
      <c:pivotFmt>
        <c:idx val="1079"/>
        <c:spPr>
          <a:solidFill>
            <a:schemeClr val="accent1"/>
          </a:solidFill>
          <a:ln w="25400">
            <a:noFill/>
          </a:ln>
          <a:effectLst/>
        </c:spPr>
        <c:marker>
          <c:symbol val="none"/>
        </c:marker>
      </c:pivotFmt>
      <c:pivotFmt>
        <c:idx val="1080"/>
        <c:spPr>
          <a:solidFill>
            <a:schemeClr val="accent1"/>
          </a:solidFill>
          <a:ln w="25400">
            <a:noFill/>
          </a:ln>
          <a:effectLst/>
        </c:spPr>
        <c:marker>
          <c:symbol val="none"/>
        </c:marker>
      </c:pivotFmt>
      <c:pivotFmt>
        <c:idx val="1081"/>
        <c:spPr>
          <a:solidFill>
            <a:schemeClr val="accent1"/>
          </a:solidFill>
          <a:ln>
            <a:noFill/>
          </a:ln>
          <a:effectLst/>
        </c:spPr>
        <c:marker>
          <c:symbol val="none"/>
        </c:marker>
      </c:pivotFmt>
      <c:pivotFmt>
        <c:idx val="1082"/>
        <c:spPr>
          <a:solidFill>
            <a:schemeClr val="accent1"/>
          </a:solidFill>
          <a:ln>
            <a:noFill/>
          </a:ln>
          <a:effectLst/>
        </c:spPr>
        <c:marker>
          <c:symbol val="none"/>
        </c:marker>
      </c:pivotFmt>
      <c:pivotFmt>
        <c:idx val="1083"/>
        <c:spPr>
          <a:solidFill>
            <a:schemeClr val="accent1"/>
          </a:solidFill>
          <a:ln>
            <a:noFill/>
          </a:ln>
          <a:effectLst/>
        </c:spPr>
        <c:marker>
          <c:symbol val="none"/>
        </c:marker>
      </c:pivotFmt>
      <c:pivotFmt>
        <c:idx val="1084"/>
        <c:spPr>
          <a:solidFill>
            <a:schemeClr val="accent1"/>
          </a:solidFill>
          <a:ln>
            <a:noFill/>
          </a:ln>
          <a:effectLst/>
        </c:spPr>
        <c:marker>
          <c:symbol val="none"/>
        </c:marker>
      </c:pivotFmt>
      <c:pivotFmt>
        <c:idx val="1085"/>
        <c:spPr>
          <a:solidFill>
            <a:schemeClr val="accent1"/>
          </a:solidFill>
          <a:ln>
            <a:noFill/>
          </a:ln>
          <a:effectLst/>
        </c:spPr>
        <c:marker>
          <c:symbol val="none"/>
        </c:marker>
      </c:pivotFmt>
      <c:pivotFmt>
        <c:idx val="1086"/>
        <c:spPr>
          <a:solidFill>
            <a:schemeClr val="accent1"/>
          </a:solidFill>
          <a:ln w="25400">
            <a:noFill/>
          </a:ln>
          <a:effectLst/>
        </c:spPr>
        <c:marker>
          <c:symbol val="none"/>
        </c:marker>
      </c:pivotFmt>
      <c:pivotFmt>
        <c:idx val="1087"/>
        <c:spPr>
          <a:solidFill>
            <a:schemeClr val="accent1"/>
          </a:solidFill>
          <a:ln w="25400">
            <a:noFill/>
          </a:ln>
          <a:effectLst/>
        </c:spPr>
        <c:marker>
          <c:symbol val="none"/>
        </c:marker>
      </c:pivotFmt>
      <c:pivotFmt>
        <c:idx val="1088"/>
        <c:spPr>
          <a:solidFill>
            <a:schemeClr val="accent1"/>
          </a:solidFill>
          <a:ln w="25400">
            <a:noFill/>
          </a:ln>
          <a:effectLst/>
        </c:spPr>
        <c:marker>
          <c:symbol val="none"/>
        </c:marker>
      </c:pivotFmt>
      <c:pivotFmt>
        <c:idx val="1089"/>
        <c:spPr>
          <a:solidFill>
            <a:schemeClr val="accent1"/>
          </a:solidFill>
          <a:ln w="25400">
            <a:noFill/>
          </a:ln>
          <a:effectLst/>
        </c:spPr>
        <c:marker>
          <c:symbol val="none"/>
        </c:marker>
      </c:pivotFmt>
      <c:pivotFmt>
        <c:idx val="1090"/>
        <c:spPr>
          <a:solidFill>
            <a:schemeClr val="accent1"/>
          </a:solidFill>
          <a:ln w="25400">
            <a:noFill/>
          </a:ln>
          <a:effectLst/>
        </c:spPr>
        <c:marker>
          <c:symbol val="none"/>
        </c:marker>
      </c:pivotFmt>
      <c:pivotFmt>
        <c:idx val="1091"/>
        <c:spPr>
          <a:solidFill>
            <a:schemeClr val="accent1"/>
          </a:solidFill>
          <a:ln w="25400">
            <a:noFill/>
          </a:ln>
          <a:effectLst/>
        </c:spPr>
        <c:marker>
          <c:symbol val="none"/>
        </c:marker>
      </c:pivotFmt>
      <c:pivotFmt>
        <c:idx val="1092"/>
        <c:spPr>
          <a:solidFill>
            <a:schemeClr val="accent1"/>
          </a:solidFill>
          <a:ln w="25400">
            <a:noFill/>
          </a:ln>
          <a:effectLst/>
        </c:spPr>
        <c:marker>
          <c:symbol val="none"/>
        </c:marker>
      </c:pivotFmt>
      <c:pivotFmt>
        <c:idx val="1093"/>
        <c:spPr>
          <a:solidFill>
            <a:schemeClr val="accent1"/>
          </a:solidFill>
          <a:ln w="25400">
            <a:noFill/>
          </a:ln>
          <a:effectLst/>
        </c:spPr>
        <c:marker>
          <c:symbol val="none"/>
        </c:marker>
      </c:pivotFmt>
      <c:pivotFmt>
        <c:idx val="1094"/>
        <c:spPr>
          <a:solidFill>
            <a:schemeClr val="accent1"/>
          </a:solidFill>
          <a:ln w="25400">
            <a:noFill/>
          </a:ln>
          <a:effectLst/>
        </c:spPr>
        <c:marker>
          <c:symbol val="none"/>
        </c:marker>
      </c:pivotFmt>
      <c:pivotFmt>
        <c:idx val="1095"/>
        <c:spPr>
          <a:solidFill>
            <a:schemeClr val="accent1"/>
          </a:solidFill>
          <a:ln w="25400">
            <a:noFill/>
          </a:ln>
          <a:effectLst/>
        </c:spPr>
        <c:marker>
          <c:symbol val="none"/>
        </c:marker>
      </c:pivotFmt>
      <c:pivotFmt>
        <c:idx val="1096"/>
        <c:spPr>
          <a:solidFill>
            <a:schemeClr val="accent1"/>
          </a:solidFill>
          <a:ln w="25400">
            <a:noFill/>
          </a:ln>
          <a:effectLst/>
        </c:spPr>
        <c:marker>
          <c:symbol val="none"/>
        </c:marker>
      </c:pivotFmt>
      <c:pivotFmt>
        <c:idx val="1097"/>
        <c:spPr>
          <a:solidFill>
            <a:schemeClr val="accent1"/>
          </a:solidFill>
          <a:ln w="25400">
            <a:noFill/>
          </a:ln>
          <a:effectLst/>
        </c:spPr>
        <c:marker>
          <c:symbol val="none"/>
        </c:marker>
      </c:pivotFmt>
      <c:pivotFmt>
        <c:idx val="1098"/>
        <c:spPr>
          <a:solidFill>
            <a:schemeClr val="accent1"/>
          </a:solidFill>
          <a:ln w="25400">
            <a:noFill/>
          </a:ln>
          <a:effectLst/>
        </c:spPr>
        <c:marker>
          <c:symbol val="none"/>
        </c:marker>
      </c:pivotFmt>
      <c:pivotFmt>
        <c:idx val="1099"/>
        <c:spPr>
          <a:solidFill>
            <a:schemeClr val="accent1"/>
          </a:solidFill>
          <a:ln w="25400">
            <a:noFill/>
          </a:ln>
          <a:effectLst/>
        </c:spPr>
        <c:marker>
          <c:symbol val="none"/>
        </c:marker>
      </c:pivotFmt>
      <c:pivotFmt>
        <c:idx val="1100"/>
        <c:spPr>
          <a:solidFill>
            <a:schemeClr val="accent1"/>
          </a:solidFill>
          <a:ln w="25400">
            <a:noFill/>
          </a:ln>
          <a:effectLst/>
        </c:spPr>
        <c:marker>
          <c:symbol val="none"/>
        </c:marker>
      </c:pivotFmt>
      <c:pivotFmt>
        <c:idx val="1101"/>
        <c:spPr>
          <a:solidFill>
            <a:schemeClr val="accent1"/>
          </a:solidFill>
          <a:ln w="25400">
            <a:noFill/>
          </a:ln>
          <a:effectLst/>
        </c:spPr>
        <c:marker>
          <c:symbol val="none"/>
        </c:marker>
      </c:pivotFmt>
      <c:pivotFmt>
        <c:idx val="1102"/>
        <c:spPr>
          <a:solidFill>
            <a:schemeClr val="accent1"/>
          </a:solidFill>
          <a:ln w="25400">
            <a:noFill/>
          </a:ln>
          <a:effectLst/>
        </c:spPr>
        <c:marker>
          <c:symbol val="none"/>
        </c:marker>
      </c:pivotFmt>
      <c:pivotFmt>
        <c:idx val="1103"/>
        <c:spPr>
          <a:solidFill>
            <a:schemeClr val="accent1"/>
          </a:solidFill>
          <a:ln>
            <a:noFill/>
          </a:ln>
          <a:effectLst/>
        </c:spPr>
        <c:marker>
          <c:symbol val="none"/>
        </c:marker>
      </c:pivotFmt>
      <c:pivotFmt>
        <c:idx val="1104"/>
        <c:spPr>
          <a:solidFill>
            <a:schemeClr val="accent1"/>
          </a:solidFill>
          <a:ln>
            <a:noFill/>
          </a:ln>
          <a:effectLst/>
        </c:spPr>
        <c:marker>
          <c:symbol val="none"/>
        </c:marker>
      </c:pivotFmt>
      <c:pivotFmt>
        <c:idx val="1105"/>
        <c:spPr>
          <a:solidFill>
            <a:schemeClr val="accent1"/>
          </a:solidFill>
          <a:ln>
            <a:noFill/>
          </a:ln>
          <a:effectLst/>
        </c:spPr>
        <c:marker>
          <c:symbol val="none"/>
        </c:marker>
      </c:pivotFmt>
      <c:pivotFmt>
        <c:idx val="1106"/>
        <c:spPr>
          <a:solidFill>
            <a:schemeClr val="accent1"/>
          </a:solidFill>
          <a:ln>
            <a:noFill/>
          </a:ln>
          <a:effectLst/>
        </c:spPr>
        <c:marker>
          <c:symbol val="none"/>
        </c:marker>
      </c:pivotFmt>
      <c:pivotFmt>
        <c:idx val="1107"/>
        <c:spPr>
          <a:solidFill>
            <a:schemeClr val="accent1"/>
          </a:solidFill>
          <a:ln w="25400">
            <a:noFill/>
          </a:ln>
          <a:effectLst/>
        </c:spPr>
        <c:marker>
          <c:symbol val="none"/>
        </c:marker>
      </c:pivotFmt>
      <c:pivotFmt>
        <c:idx val="1108"/>
        <c:spPr>
          <a:solidFill>
            <a:schemeClr val="accent1"/>
          </a:solidFill>
          <a:ln>
            <a:noFill/>
          </a:ln>
          <a:effectLst/>
        </c:spPr>
        <c:marker>
          <c:symbol val="none"/>
        </c:marker>
      </c:pivotFmt>
      <c:pivotFmt>
        <c:idx val="1109"/>
        <c:spPr>
          <a:solidFill>
            <a:schemeClr val="accent1"/>
          </a:solidFill>
          <a:ln w="25400">
            <a:noFill/>
          </a:ln>
          <a:effectLst/>
        </c:spPr>
        <c:marker>
          <c:symbol val="none"/>
        </c:marker>
      </c:pivotFmt>
      <c:pivotFmt>
        <c:idx val="1110"/>
        <c:spPr>
          <a:solidFill>
            <a:schemeClr val="accent1"/>
          </a:solidFill>
          <a:ln>
            <a:noFill/>
          </a:ln>
          <a:effectLst/>
        </c:spPr>
        <c:marker>
          <c:symbol val="none"/>
        </c:marker>
      </c:pivotFmt>
      <c:pivotFmt>
        <c:idx val="1111"/>
        <c:spPr>
          <a:solidFill>
            <a:schemeClr val="accent1"/>
          </a:solidFill>
          <a:ln w="25400">
            <a:noFill/>
          </a:ln>
          <a:effectLst/>
        </c:spPr>
        <c:marker>
          <c:symbol val="none"/>
        </c:marker>
      </c:pivotFmt>
      <c:pivotFmt>
        <c:idx val="1112"/>
        <c:spPr>
          <a:solidFill>
            <a:schemeClr val="accent1"/>
          </a:solidFill>
          <a:ln w="25400">
            <a:noFill/>
          </a:ln>
          <a:effectLst/>
        </c:spPr>
        <c:marker>
          <c:symbol val="none"/>
        </c:marker>
      </c:pivotFmt>
      <c:pivotFmt>
        <c:idx val="1113"/>
        <c:spPr>
          <a:solidFill>
            <a:schemeClr val="accent1"/>
          </a:solidFill>
          <a:ln w="25400">
            <a:noFill/>
          </a:ln>
          <a:effectLst/>
        </c:spPr>
        <c:marker>
          <c:symbol val="none"/>
        </c:marker>
      </c:pivotFmt>
      <c:pivotFmt>
        <c:idx val="1114"/>
        <c:spPr>
          <a:solidFill>
            <a:schemeClr val="accent1"/>
          </a:solidFill>
          <a:ln w="25400">
            <a:noFill/>
          </a:ln>
          <a:effectLst/>
        </c:spPr>
        <c:marker>
          <c:symbol val="none"/>
        </c:marker>
      </c:pivotFmt>
      <c:pivotFmt>
        <c:idx val="1115"/>
        <c:spPr>
          <a:solidFill>
            <a:schemeClr val="accent1"/>
          </a:solidFill>
          <a:ln w="25400">
            <a:noFill/>
          </a:ln>
          <a:effectLst/>
        </c:spPr>
        <c:marker>
          <c:symbol val="none"/>
        </c:marker>
      </c:pivotFmt>
      <c:pivotFmt>
        <c:idx val="1116"/>
        <c:spPr>
          <a:solidFill>
            <a:schemeClr val="accent1"/>
          </a:solidFill>
          <a:ln w="25400">
            <a:noFill/>
          </a:ln>
          <a:effectLst/>
        </c:spPr>
        <c:marker>
          <c:symbol val="none"/>
        </c:marker>
      </c:pivotFmt>
      <c:pivotFmt>
        <c:idx val="1117"/>
        <c:spPr>
          <a:solidFill>
            <a:schemeClr val="accent1"/>
          </a:solidFill>
          <a:ln w="25400">
            <a:noFill/>
          </a:ln>
          <a:effectLst/>
        </c:spPr>
        <c:marker>
          <c:symbol val="none"/>
        </c:marker>
      </c:pivotFmt>
      <c:pivotFmt>
        <c:idx val="1118"/>
        <c:spPr>
          <a:solidFill>
            <a:schemeClr val="accent1"/>
          </a:solidFill>
          <a:ln w="25400">
            <a:noFill/>
          </a:ln>
          <a:effectLst/>
        </c:spPr>
        <c:marker>
          <c:symbol val="none"/>
        </c:marker>
      </c:pivotFmt>
      <c:pivotFmt>
        <c:idx val="1119"/>
        <c:spPr>
          <a:solidFill>
            <a:schemeClr val="accent1"/>
          </a:solidFill>
          <a:ln w="25400">
            <a:noFill/>
          </a:ln>
          <a:effectLst/>
        </c:spPr>
        <c:marker>
          <c:symbol val="none"/>
        </c:marker>
      </c:pivotFmt>
      <c:pivotFmt>
        <c:idx val="1120"/>
        <c:spPr>
          <a:solidFill>
            <a:schemeClr val="accent1"/>
          </a:solidFill>
          <a:ln w="25400">
            <a:noFill/>
          </a:ln>
          <a:effectLst/>
        </c:spPr>
        <c:marker>
          <c:symbol val="none"/>
        </c:marker>
      </c:pivotFmt>
      <c:pivotFmt>
        <c:idx val="1121"/>
        <c:spPr>
          <a:solidFill>
            <a:schemeClr val="accent1"/>
          </a:solidFill>
          <a:ln w="25400">
            <a:noFill/>
          </a:ln>
          <a:effectLst/>
        </c:spPr>
        <c:marker>
          <c:symbol val="none"/>
        </c:marker>
      </c:pivotFmt>
      <c:pivotFmt>
        <c:idx val="1122"/>
        <c:spPr>
          <a:solidFill>
            <a:schemeClr val="accent1"/>
          </a:solidFill>
          <a:ln w="25400">
            <a:noFill/>
          </a:ln>
          <a:effectLst/>
        </c:spPr>
        <c:marker>
          <c:symbol val="none"/>
        </c:marker>
      </c:pivotFmt>
      <c:pivotFmt>
        <c:idx val="1123"/>
        <c:spPr>
          <a:solidFill>
            <a:schemeClr val="accent1"/>
          </a:solidFill>
          <a:ln w="25400">
            <a:noFill/>
          </a:ln>
          <a:effectLst/>
        </c:spPr>
        <c:marker>
          <c:symbol val="none"/>
        </c:marker>
      </c:pivotFmt>
      <c:pivotFmt>
        <c:idx val="1124"/>
        <c:spPr>
          <a:solidFill>
            <a:schemeClr val="accent1"/>
          </a:solidFill>
          <a:ln w="25400">
            <a:noFill/>
          </a:ln>
          <a:effectLst/>
        </c:spPr>
        <c:marker>
          <c:symbol val="none"/>
        </c:marker>
      </c:pivotFmt>
      <c:pivotFmt>
        <c:idx val="1125"/>
        <c:spPr>
          <a:solidFill>
            <a:schemeClr val="accent1"/>
          </a:solidFill>
          <a:ln w="25400">
            <a:noFill/>
          </a:ln>
          <a:effectLst/>
        </c:spPr>
        <c:marker>
          <c:symbol val="none"/>
        </c:marker>
      </c:pivotFmt>
      <c:pivotFmt>
        <c:idx val="1126"/>
        <c:spPr>
          <a:solidFill>
            <a:schemeClr val="accent1"/>
          </a:solidFill>
          <a:ln w="25400">
            <a:noFill/>
          </a:ln>
          <a:effectLst/>
        </c:spPr>
        <c:marker>
          <c:symbol val="none"/>
        </c:marker>
      </c:pivotFmt>
      <c:pivotFmt>
        <c:idx val="1127"/>
        <c:spPr>
          <a:solidFill>
            <a:schemeClr val="accent1"/>
          </a:solidFill>
          <a:ln w="25400">
            <a:noFill/>
          </a:ln>
          <a:effectLst/>
        </c:spPr>
        <c:marker>
          <c:symbol val="none"/>
        </c:marker>
      </c:pivotFmt>
      <c:pivotFmt>
        <c:idx val="1128"/>
        <c:spPr>
          <a:solidFill>
            <a:schemeClr val="accent1"/>
          </a:solidFill>
          <a:ln w="25400">
            <a:noFill/>
          </a:ln>
          <a:effectLst/>
        </c:spPr>
        <c:marker>
          <c:symbol val="none"/>
        </c:marker>
      </c:pivotFmt>
      <c:pivotFmt>
        <c:idx val="1129"/>
        <c:spPr>
          <a:solidFill>
            <a:schemeClr val="accent1"/>
          </a:solidFill>
          <a:ln w="25400">
            <a:noFill/>
          </a:ln>
          <a:effectLst/>
        </c:spPr>
        <c:marker>
          <c:symbol val="none"/>
        </c:marker>
      </c:pivotFmt>
      <c:pivotFmt>
        <c:idx val="1130"/>
        <c:spPr>
          <a:solidFill>
            <a:schemeClr val="accent1"/>
          </a:solidFill>
          <a:ln w="25400">
            <a:noFill/>
          </a:ln>
          <a:effectLst/>
        </c:spPr>
        <c:marker>
          <c:symbol val="none"/>
        </c:marker>
      </c:pivotFmt>
      <c:pivotFmt>
        <c:idx val="1131"/>
        <c:spPr>
          <a:solidFill>
            <a:schemeClr val="accent1"/>
          </a:solidFill>
          <a:ln w="25400">
            <a:noFill/>
          </a:ln>
          <a:effectLst/>
        </c:spPr>
        <c:marker>
          <c:symbol val="none"/>
        </c:marker>
      </c:pivotFmt>
      <c:pivotFmt>
        <c:idx val="1132"/>
        <c:spPr>
          <a:solidFill>
            <a:schemeClr val="accent1"/>
          </a:solidFill>
          <a:ln w="25400">
            <a:noFill/>
          </a:ln>
          <a:effectLst/>
        </c:spPr>
        <c:marker>
          <c:symbol val="none"/>
        </c:marker>
      </c:pivotFmt>
      <c:pivotFmt>
        <c:idx val="1133"/>
        <c:spPr>
          <a:solidFill>
            <a:schemeClr val="accent1"/>
          </a:solidFill>
          <a:ln w="25400">
            <a:noFill/>
          </a:ln>
          <a:effectLst/>
        </c:spPr>
        <c:marker>
          <c:symbol val="none"/>
        </c:marker>
      </c:pivotFmt>
      <c:pivotFmt>
        <c:idx val="1134"/>
        <c:spPr>
          <a:solidFill>
            <a:schemeClr val="accent1"/>
          </a:solidFill>
          <a:ln w="25400">
            <a:noFill/>
          </a:ln>
          <a:effectLst/>
        </c:spPr>
        <c:marker>
          <c:symbol val="none"/>
        </c:marker>
      </c:pivotFmt>
      <c:pivotFmt>
        <c:idx val="1135"/>
        <c:spPr>
          <a:solidFill>
            <a:schemeClr val="accent1"/>
          </a:solidFill>
          <a:ln w="25400">
            <a:noFill/>
          </a:ln>
          <a:effectLst/>
        </c:spPr>
        <c:marker>
          <c:symbol val="none"/>
        </c:marker>
      </c:pivotFmt>
      <c:pivotFmt>
        <c:idx val="1136"/>
        <c:spPr>
          <a:solidFill>
            <a:schemeClr val="accent1"/>
          </a:solidFill>
          <a:ln w="25400">
            <a:noFill/>
          </a:ln>
          <a:effectLst/>
        </c:spPr>
        <c:marker>
          <c:symbol val="none"/>
        </c:marker>
      </c:pivotFmt>
      <c:pivotFmt>
        <c:idx val="1137"/>
        <c:spPr>
          <a:solidFill>
            <a:schemeClr val="accent1"/>
          </a:solidFill>
          <a:ln w="25400">
            <a:noFill/>
          </a:ln>
          <a:effectLst/>
        </c:spPr>
        <c:marker>
          <c:symbol val="none"/>
        </c:marker>
      </c:pivotFmt>
      <c:pivotFmt>
        <c:idx val="1138"/>
        <c:spPr>
          <a:solidFill>
            <a:schemeClr val="accent1"/>
          </a:solidFill>
          <a:ln w="25400">
            <a:noFill/>
          </a:ln>
          <a:effectLst/>
        </c:spPr>
        <c:marker>
          <c:symbol val="none"/>
        </c:marker>
      </c:pivotFmt>
      <c:pivotFmt>
        <c:idx val="1139"/>
        <c:spPr>
          <a:solidFill>
            <a:schemeClr val="accent1"/>
          </a:solidFill>
          <a:ln w="25400">
            <a:noFill/>
          </a:ln>
          <a:effectLst/>
        </c:spPr>
        <c:marker>
          <c:symbol val="none"/>
        </c:marker>
      </c:pivotFmt>
      <c:pivotFmt>
        <c:idx val="1140"/>
        <c:spPr>
          <a:solidFill>
            <a:schemeClr val="accent1"/>
          </a:solidFill>
          <a:ln w="25400">
            <a:noFill/>
          </a:ln>
          <a:effectLst/>
        </c:spPr>
        <c:marker>
          <c:symbol val="none"/>
        </c:marker>
      </c:pivotFmt>
      <c:pivotFmt>
        <c:idx val="1141"/>
        <c:spPr>
          <a:solidFill>
            <a:schemeClr val="accent1"/>
          </a:solidFill>
          <a:ln w="25400">
            <a:noFill/>
          </a:ln>
          <a:effectLst/>
        </c:spPr>
        <c:marker>
          <c:symbol val="none"/>
        </c:marker>
      </c:pivotFmt>
      <c:pivotFmt>
        <c:idx val="1142"/>
        <c:spPr>
          <a:solidFill>
            <a:schemeClr val="accent1"/>
          </a:solidFill>
          <a:ln w="25400">
            <a:noFill/>
          </a:ln>
          <a:effectLst/>
        </c:spPr>
        <c:marker>
          <c:symbol val="none"/>
        </c:marker>
      </c:pivotFmt>
      <c:pivotFmt>
        <c:idx val="1143"/>
        <c:spPr>
          <a:solidFill>
            <a:schemeClr val="accent1"/>
          </a:solidFill>
          <a:ln w="25400">
            <a:noFill/>
          </a:ln>
          <a:effectLst/>
        </c:spPr>
        <c:marker>
          <c:symbol val="none"/>
        </c:marker>
      </c:pivotFmt>
      <c:pivotFmt>
        <c:idx val="1144"/>
        <c:spPr>
          <a:solidFill>
            <a:schemeClr val="accent1"/>
          </a:solidFill>
          <a:ln w="25400">
            <a:noFill/>
          </a:ln>
          <a:effectLst/>
        </c:spPr>
        <c:marker>
          <c:symbol val="none"/>
        </c:marker>
      </c:pivotFmt>
      <c:pivotFmt>
        <c:idx val="1145"/>
        <c:spPr>
          <a:solidFill>
            <a:schemeClr val="accent1"/>
          </a:solidFill>
          <a:ln w="25400">
            <a:noFill/>
          </a:ln>
          <a:effectLst/>
        </c:spPr>
        <c:marker>
          <c:symbol val="none"/>
        </c:marker>
      </c:pivotFmt>
      <c:pivotFmt>
        <c:idx val="1146"/>
        <c:spPr>
          <a:solidFill>
            <a:schemeClr val="accent1"/>
          </a:solidFill>
          <a:ln w="25400">
            <a:noFill/>
          </a:ln>
          <a:effectLst/>
        </c:spPr>
        <c:marker>
          <c:symbol val="none"/>
        </c:marker>
      </c:pivotFmt>
      <c:pivotFmt>
        <c:idx val="1147"/>
        <c:spPr>
          <a:solidFill>
            <a:schemeClr val="accent1"/>
          </a:solidFill>
          <a:ln w="25400">
            <a:noFill/>
          </a:ln>
          <a:effectLst/>
        </c:spPr>
        <c:marker>
          <c:symbol val="none"/>
        </c:marker>
      </c:pivotFmt>
      <c:pivotFmt>
        <c:idx val="1148"/>
        <c:spPr>
          <a:solidFill>
            <a:schemeClr val="accent1"/>
          </a:solidFill>
          <a:ln w="25400">
            <a:noFill/>
          </a:ln>
          <a:effectLst/>
        </c:spPr>
        <c:marker>
          <c:symbol val="none"/>
        </c:marker>
      </c:pivotFmt>
      <c:pivotFmt>
        <c:idx val="1149"/>
        <c:spPr>
          <a:solidFill>
            <a:schemeClr val="accent1"/>
          </a:solidFill>
          <a:ln w="25400">
            <a:noFill/>
          </a:ln>
          <a:effectLst/>
        </c:spPr>
        <c:marker>
          <c:symbol val="none"/>
        </c:marker>
      </c:pivotFmt>
      <c:pivotFmt>
        <c:idx val="1150"/>
        <c:spPr>
          <a:solidFill>
            <a:schemeClr val="accent1"/>
          </a:solidFill>
          <a:ln w="25400">
            <a:noFill/>
          </a:ln>
          <a:effectLst/>
        </c:spPr>
        <c:marker>
          <c:symbol val="none"/>
        </c:marker>
      </c:pivotFmt>
      <c:pivotFmt>
        <c:idx val="1151"/>
        <c:spPr>
          <a:solidFill>
            <a:schemeClr val="accent1"/>
          </a:solidFill>
          <a:ln w="25400">
            <a:noFill/>
          </a:ln>
          <a:effectLst/>
        </c:spPr>
        <c:marker>
          <c:symbol val="none"/>
        </c:marker>
      </c:pivotFmt>
      <c:pivotFmt>
        <c:idx val="1152"/>
        <c:spPr>
          <a:solidFill>
            <a:schemeClr val="accent1"/>
          </a:solidFill>
          <a:ln w="25400">
            <a:noFill/>
          </a:ln>
          <a:effectLst/>
        </c:spPr>
        <c:marker>
          <c:symbol val="none"/>
        </c:marker>
      </c:pivotFmt>
      <c:pivotFmt>
        <c:idx val="1153"/>
        <c:spPr>
          <a:solidFill>
            <a:schemeClr val="accent1"/>
          </a:solidFill>
          <a:ln>
            <a:noFill/>
          </a:ln>
          <a:effectLst/>
        </c:spPr>
        <c:marker>
          <c:symbol val="none"/>
        </c:marker>
      </c:pivotFmt>
      <c:pivotFmt>
        <c:idx val="1154"/>
        <c:spPr>
          <a:solidFill>
            <a:schemeClr val="accent1"/>
          </a:solidFill>
          <a:ln>
            <a:noFill/>
          </a:ln>
          <a:effectLst/>
        </c:spPr>
        <c:marker>
          <c:symbol val="none"/>
        </c:marker>
      </c:pivotFmt>
      <c:pivotFmt>
        <c:idx val="1155"/>
        <c:spPr>
          <a:solidFill>
            <a:schemeClr val="accent1"/>
          </a:solidFill>
          <a:ln>
            <a:noFill/>
          </a:ln>
          <a:effectLst/>
        </c:spPr>
        <c:marker>
          <c:symbol val="none"/>
        </c:marker>
      </c:pivotFmt>
      <c:pivotFmt>
        <c:idx val="1156"/>
        <c:spPr>
          <a:solidFill>
            <a:schemeClr val="accent1"/>
          </a:solidFill>
          <a:ln w="25400">
            <a:noFill/>
          </a:ln>
          <a:effectLst/>
        </c:spPr>
        <c:marker>
          <c:symbol val="none"/>
        </c:marker>
      </c:pivotFmt>
      <c:pivotFmt>
        <c:idx val="1157"/>
        <c:spPr>
          <a:solidFill>
            <a:schemeClr val="accent1"/>
          </a:solidFill>
          <a:ln w="25400">
            <a:noFill/>
          </a:ln>
          <a:effectLst/>
        </c:spPr>
        <c:marker>
          <c:symbol val="none"/>
        </c:marker>
      </c:pivotFmt>
      <c:pivotFmt>
        <c:idx val="1158"/>
        <c:spPr>
          <a:solidFill>
            <a:schemeClr val="accent1"/>
          </a:solidFill>
          <a:ln w="25400">
            <a:noFill/>
          </a:ln>
          <a:effectLst/>
        </c:spPr>
        <c:marker>
          <c:symbol val="none"/>
        </c:marker>
      </c:pivotFmt>
      <c:pivotFmt>
        <c:idx val="1159"/>
        <c:spPr>
          <a:solidFill>
            <a:schemeClr val="accent1"/>
          </a:solidFill>
          <a:ln w="25400">
            <a:noFill/>
          </a:ln>
          <a:effectLst/>
        </c:spPr>
        <c:marker>
          <c:symbol val="none"/>
        </c:marker>
      </c:pivotFmt>
      <c:pivotFmt>
        <c:idx val="1160"/>
        <c:spPr>
          <a:solidFill>
            <a:schemeClr val="accent1"/>
          </a:solidFill>
          <a:ln w="25400">
            <a:noFill/>
          </a:ln>
          <a:effectLst/>
        </c:spPr>
        <c:marker>
          <c:symbol val="none"/>
        </c:marker>
      </c:pivotFmt>
      <c:pivotFmt>
        <c:idx val="1161"/>
        <c:spPr>
          <a:solidFill>
            <a:schemeClr val="accent1"/>
          </a:solidFill>
          <a:ln w="25400">
            <a:noFill/>
          </a:ln>
          <a:effectLst/>
        </c:spPr>
        <c:marker>
          <c:symbol val="none"/>
        </c:marker>
      </c:pivotFmt>
      <c:pivotFmt>
        <c:idx val="1162"/>
        <c:spPr>
          <a:solidFill>
            <a:schemeClr val="accent1"/>
          </a:solidFill>
          <a:ln w="25400">
            <a:noFill/>
          </a:ln>
          <a:effectLst/>
        </c:spPr>
        <c:marker>
          <c:symbol val="none"/>
        </c:marker>
      </c:pivotFmt>
      <c:pivotFmt>
        <c:idx val="1163"/>
        <c:spPr>
          <a:solidFill>
            <a:schemeClr val="accent1"/>
          </a:solidFill>
          <a:ln w="25400">
            <a:noFill/>
          </a:ln>
          <a:effectLst/>
        </c:spPr>
        <c:marker>
          <c:symbol val="none"/>
        </c:marker>
      </c:pivotFmt>
      <c:pivotFmt>
        <c:idx val="1164"/>
        <c:spPr>
          <a:solidFill>
            <a:schemeClr val="accent1"/>
          </a:solidFill>
          <a:ln w="25400">
            <a:noFill/>
          </a:ln>
          <a:effectLst/>
        </c:spPr>
        <c:marker>
          <c:symbol val="none"/>
        </c:marker>
      </c:pivotFmt>
      <c:pivotFmt>
        <c:idx val="1165"/>
        <c:spPr>
          <a:solidFill>
            <a:schemeClr val="accent1"/>
          </a:solidFill>
          <a:ln w="25400">
            <a:noFill/>
          </a:ln>
          <a:effectLst/>
        </c:spPr>
        <c:marker>
          <c:symbol val="none"/>
        </c:marker>
      </c:pivotFmt>
      <c:pivotFmt>
        <c:idx val="1166"/>
        <c:spPr>
          <a:solidFill>
            <a:schemeClr val="accent1"/>
          </a:solidFill>
          <a:ln w="25400">
            <a:noFill/>
          </a:ln>
          <a:effectLst/>
        </c:spPr>
        <c:marker>
          <c:symbol val="none"/>
        </c:marker>
      </c:pivotFmt>
      <c:pivotFmt>
        <c:idx val="1167"/>
        <c:spPr>
          <a:solidFill>
            <a:schemeClr val="accent1"/>
          </a:solidFill>
          <a:ln w="25400">
            <a:noFill/>
          </a:ln>
          <a:effectLst/>
        </c:spPr>
        <c:marker>
          <c:symbol val="none"/>
        </c:marker>
      </c:pivotFmt>
      <c:pivotFmt>
        <c:idx val="1168"/>
        <c:spPr>
          <a:solidFill>
            <a:schemeClr val="accent1"/>
          </a:solidFill>
          <a:ln w="25400">
            <a:noFill/>
          </a:ln>
          <a:effectLst/>
        </c:spPr>
        <c:marker>
          <c:symbol val="none"/>
        </c:marker>
      </c:pivotFmt>
      <c:pivotFmt>
        <c:idx val="1169"/>
        <c:spPr>
          <a:solidFill>
            <a:schemeClr val="accent1"/>
          </a:solidFill>
          <a:ln w="25400">
            <a:noFill/>
          </a:ln>
          <a:effectLst/>
        </c:spPr>
        <c:marker>
          <c:symbol val="none"/>
        </c:marker>
      </c:pivotFmt>
      <c:pivotFmt>
        <c:idx val="1170"/>
        <c:spPr>
          <a:solidFill>
            <a:schemeClr val="accent1"/>
          </a:solidFill>
          <a:ln w="25400">
            <a:noFill/>
          </a:ln>
          <a:effectLst/>
        </c:spPr>
        <c:marker>
          <c:symbol val="none"/>
        </c:marker>
      </c:pivotFmt>
      <c:pivotFmt>
        <c:idx val="1171"/>
        <c:spPr>
          <a:solidFill>
            <a:schemeClr val="accent1"/>
          </a:solidFill>
          <a:ln w="25400">
            <a:noFill/>
          </a:ln>
          <a:effectLst/>
        </c:spPr>
        <c:marker>
          <c:symbol val="none"/>
        </c:marker>
      </c:pivotFmt>
      <c:pivotFmt>
        <c:idx val="1172"/>
        <c:spPr>
          <a:solidFill>
            <a:schemeClr val="accent1"/>
          </a:solidFill>
          <a:ln w="25400">
            <a:noFill/>
          </a:ln>
          <a:effectLst/>
        </c:spPr>
        <c:marker>
          <c:symbol val="none"/>
        </c:marker>
      </c:pivotFmt>
      <c:pivotFmt>
        <c:idx val="1173"/>
        <c:spPr>
          <a:solidFill>
            <a:schemeClr val="accent1"/>
          </a:solidFill>
          <a:ln w="25400">
            <a:noFill/>
          </a:ln>
          <a:effectLst/>
        </c:spPr>
        <c:marker>
          <c:symbol val="none"/>
        </c:marker>
      </c:pivotFmt>
      <c:pivotFmt>
        <c:idx val="1174"/>
        <c:spPr>
          <a:solidFill>
            <a:schemeClr val="accent1"/>
          </a:solidFill>
          <a:ln w="25400">
            <a:noFill/>
          </a:ln>
          <a:effectLst/>
        </c:spPr>
        <c:marker>
          <c:symbol val="none"/>
        </c:marker>
      </c:pivotFmt>
      <c:pivotFmt>
        <c:idx val="1175"/>
        <c:spPr>
          <a:solidFill>
            <a:schemeClr val="accent1"/>
          </a:solidFill>
          <a:ln w="25400">
            <a:noFill/>
          </a:ln>
          <a:effectLst/>
        </c:spPr>
        <c:marker>
          <c:symbol val="none"/>
        </c:marker>
      </c:pivotFmt>
      <c:pivotFmt>
        <c:idx val="1176"/>
        <c:spPr>
          <a:solidFill>
            <a:schemeClr val="accent1"/>
          </a:solidFill>
          <a:ln w="25400">
            <a:noFill/>
          </a:ln>
          <a:effectLst/>
        </c:spPr>
        <c:marker>
          <c:symbol val="none"/>
        </c:marker>
      </c:pivotFmt>
      <c:pivotFmt>
        <c:idx val="1177"/>
        <c:spPr>
          <a:solidFill>
            <a:schemeClr val="accent1"/>
          </a:solidFill>
          <a:ln>
            <a:noFill/>
          </a:ln>
          <a:effectLst/>
        </c:spPr>
        <c:marker>
          <c:symbol val="none"/>
        </c:marker>
      </c:pivotFmt>
      <c:pivotFmt>
        <c:idx val="1178"/>
        <c:spPr>
          <a:solidFill>
            <a:schemeClr val="accent1"/>
          </a:solidFill>
          <a:ln w="25400">
            <a:noFill/>
          </a:ln>
          <a:effectLst/>
        </c:spPr>
        <c:marker>
          <c:symbol val="none"/>
        </c:marker>
      </c:pivotFmt>
      <c:pivotFmt>
        <c:idx val="1179"/>
        <c:spPr>
          <a:solidFill>
            <a:schemeClr val="accent1"/>
          </a:solidFill>
          <a:ln w="25400">
            <a:noFill/>
          </a:ln>
          <a:effectLst/>
        </c:spPr>
        <c:marker>
          <c:symbol val="none"/>
        </c:marker>
      </c:pivotFmt>
      <c:pivotFmt>
        <c:idx val="1180"/>
        <c:spPr>
          <a:solidFill>
            <a:schemeClr val="accent1"/>
          </a:solidFill>
          <a:ln w="25400">
            <a:noFill/>
          </a:ln>
          <a:effectLst/>
        </c:spPr>
        <c:marker>
          <c:symbol val="none"/>
        </c:marker>
      </c:pivotFmt>
      <c:pivotFmt>
        <c:idx val="1181"/>
        <c:spPr>
          <a:solidFill>
            <a:schemeClr val="accent1"/>
          </a:solidFill>
          <a:ln w="25400">
            <a:noFill/>
          </a:ln>
          <a:effectLst/>
        </c:spPr>
        <c:marker>
          <c:symbol val="none"/>
        </c:marker>
      </c:pivotFmt>
      <c:pivotFmt>
        <c:idx val="1182"/>
        <c:spPr>
          <a:solidFill>
            <a:schemeClr val="accent1"/>
          </a:solidFill>
          <a:ln w="25400">
            <a:noFill/>
          </a:ln>
          <a:effectLst/>
        </c:spPr>
        <c:marker>
          <c:symbol val="none"/>
        </c:marker>
      </c:pivotFmt>
      <c:pivotFmt>
        <c:idx val="1183"/>
        <c:spPr>
          <a:solidFill>
            <a:schemeClr val="accent1"/>
          </a:solidFill>
          <a:ln w="25400">
            <a:noFill/>
          </a:ln>
          <a:effectLst/>
        </c:spPr>
        <c:marker>
          <c:symbol val="none"/>
        </c:marker>
      </c:pivotFmt>
      <c:pivotFmt>
        <c:idx val="1184"/>
        <c:spPr>
          <a:solidFill>
            <a:schemeClr val="accent1"/>
          </a:solidFill>
          <a:ln w="25400">
            <a:noFill/>
          </a:ln>
          <a:effectLst/>
        </c:spPr>
        <c:marker>
          <c:symbol val="none"/>
        </c:marker>
      </c:pivotFmt>
      <c:pivotFmt>
        <c:idx val="1185"/>
        <c:spPr>
          <a:solidFill>
            <a:schemeClr val="accent1"/>
          </a:solidFill>
          <a:ln w="25400">
            <a:noFill/>
          </a:ln>
          <a:effectLst/>
        </c:spPr>
        <c:marker>
          <c:symbol val="none"/>
        </c:marker>
      </c:pivotFmt>
      <c:pivotFmt>
        <c:idx val="1186"/>
        <c:spPr>
          <a:solidFill>
            <a:schemeClr val="accent1"/>
          </a:solidFill>
          <a:ln w="25400">
            <a:noFill/>
          </a:ln>
          <a:effectLst/>
        </c:spPr>
        <c:marker>
          <c:symbol val="none"/>
        </c:marker>
      </c:pivotFmt>
      <c:pivotFmt>
        <c:idx val="1187"/>
        <c:spPr>
          <a:solidFill>
            <a:schemeClr val="accent1"/>
          </a:solidFill>
          <a:ln w="25400">
            <a:noFill/>
          </a:ln>
          <a:effectLst/>
        </c:spPr>
        <c:marker>
          <c:symbol val="none"/>
        </c:marker>
      </c:pivotFmt>
      <c:pivotFmt>
        <c:idx val="1188"/>
        <c:spPr>
          <a:solidFill>
            <a:schemeClr val="accent1"/>
          </a:solidFill>
          <a:ln w="25400">
            <a:noFill/>
          </a:ln>
          <a:effectLst/>
        </c:spPr>
        <c:marker>
          <c:symbol val="none"/>
        </c:marker>
      </c:pivotFmt>
      <c:pivotFmt>
        <c:idx val="1189"/>
        <c:spPr>
          <a:solidFill>
            <a:schemeClr val="accent1"/>
          </a:solidFill>
          <a:ln w="25400">
            <a:noFill/>
          </a:ln>
          <a:effectLst/>
        </c:spPr>
        <c:marker>
          <c:symbol val="none"/>
        </c:marker>
      </c:pivotFmt>
      <c:pivotFmt>
        <c:idx val="1190"/>
        <c:spPr>
          <a:solidFill>
            <a:schemeClr val="accent1"/>
          </a:solidFill>
          <a:ln w="25400">
            <a:noFill/>
          </a:ln>
          <a:effectLst/>
        </c:spPr>
        <c:marker>
          <c:symbol val="none"/>
        </c:marker>
      </c:pivotFmt>
      <c:pivotFmt>
        <c:idx val="1191"/>
        <c:spPr>
          <a:solidFill>
            <a:schemeClr val="accent1"/>
          </a:solidFill>
          <a:ln w="25400">
            <a:noFill/>
          </a:ln>
          <a:effectLst/>
        </c:spPr>
        <c:marker>
          <c:symbol val="none"/>
        </c:marker>
      </c:pivotFmt>
      <c:pivotFmt>
        <c:idx val="1192"/>
        <c:spPr>
          <a:solidFill>
            <a:schemeClr val="accent1"/>
          </a:solidFill>
          <a:ln w="25400">
            <a:noFill/>
          </a:ln>
          <a:effectLst/>
        </c:spPr>
        <c:marker>
          <c:symbol val="none"/>
        </c:marker>
      </c:pivotFmt>
      <c:pivotFmt>
        <c:idx val="1193"/>
        <c:spPr>
          <a:solidFill>
            <a:schemeClr val="accent1"/>
          </a:solidFill>
          <a:ln w="25400">
            <a:noFill/>
          </a:ln>
          <a:effectLst/>
        </c:spPr>
        <c:marker>
          <c:symbol val="none"/>
        </c:marker>
      </c:pivotFmt>
      <c:pivotFmt>
        <c:idx val="1194"/>
        <c:spPr>
          <a:solidFill>
            <a:schemeClr val="accent1"/>
          </a:solidFill>
          <a:ln>
            <a:noFill/>
          </a:ln>
          <a:effectLst/>
        </c:spPr>
        <c:marker>
          <c:symbol val="none"/>
        </c:marker>
      </c:pivotFmt>
      <c:pivotFmt>
        <c:idx val="1195"/>
        <c:spPr>
          <a:solidFill>
            <a:schemeClr val="accent1"/>
          </a:solidFill>
          <a:ln w="25400">
            <a:noFill/>
          </a:ln>
          <a:effectLst/>
        </c:spPr>
        <c:marker>
          <c:symbol val="none"/>
        </c:marker>
      </c:pivotFmt>
      <c:pivotFmt>
        <c:idx val="1196"/>
        <c:spPr>
          <a:solidFill>
            <a:schemeClr val="accent1"/>
          </a:solidFill>
          <a:ln w="25400">
            <a:noFill/>
          </a:ln>
          <a:effectLst/>
        </c:spPr>
        <c:marker>
          <c:symbol val="none"/>
        </c:marker>
      </c:pivotFmt>
      <c:pivotFmt>
        <c:idx val="1197"/>
        <c:spPr>
          <a:solidFill>
            <a:schemeClr val="accent1"/>
          </a:solidFill>
          <a:ln w="25400">
            <a:noFill/>
          </a:ln>
          <a:effectLst/>
        </c:spPr>
        <c:marker>
          <c:symbol val="none"/>
        </c:marker>
      </c:pivotFmt>
      <c:pivotFmt>
        <c:idx val="1198"/>
        <c:spPr>
          <a:solidFill>
            <a:schemeClr val="accent1"/>
          </a:solidFill>
          <a:ln w="25400">
            <a:noFill/>
          </a:ln>
          <a:effectLst/>
        </c:spPr>
        <c:marker>
          <c:symbol val="none"/>
        </c:marker>
      </c:pivotFmt>
      <c:pivotFmt>
        <c:idx val="1199"/>
        <c:spPr>
          <a:solidFill>
            <a:schemeClr val="accent1"/>
          </a:solidFill>
          <a:ln w="25400">
            <a:noFill/>
          </a:ln>
          <a:effectLst/>
        </c:spPr>
        <c:marker>
          <c:symbol val="none"/>
        </c:marker>
      </c:pivotFmt>
      <c:pivotFmt>
        <c:idx val="1200"/>
        <c:spPr>
          <a:solidFill>
            <a:schemeClr val="accent1"/>
          </a:solidFill>
          <a:ln w="25400">
            <a:noFill/>
          </a:ln>
          <a:effectLst/>
        </c:spPr>
        <c:marker>
          <c:symbol val="none"/>
        </c:marker>
      </c:pivotFmt>
      <c:pivotFmt>
        <c:idx val="1201"/>
        <c:spPr>
          <a:solidFill>
            <a:schemeClr val="accent1"/>
          </a:solidFill>
          <a:ln w="25400">
            <a:noFill/>
          </a:ln>
          <a:effectLst/>
        </c:spPr>
        <c:marker>
          <c:symbol val="none"/>
        </c:marker>
      </c:pivotFmt>
      <c:pivotFmt>
        <c:idx val="1202"/>
        <c:spPr>
          <a:solidFill>
            <a:schemeClr val="accent1"/>
          </a:solidFill>
          <a:ln w="25400">
            <a:noFill/>
          </a:ln>
          <a:effectLst/>
        </c:spPr>
        <c:marker>
          <c:symbol val="none"/>
        </c:marker>
      </c:pivotFmt>
      <c:pivotFmt>
        <c:idx val="1203"/>
        <c:spPr>
          <a:solidFill>
            <a:schemeClr val="accent1"/>
          </a:solidFill>
          <a:ln w="25400">
            <a:noFill/>
          </a:ln>
          <a:effectLst/>
        </c:spPr>
        <c:marker>
          <c:symbol val="none"/>
        </c:marker>
      </c:pivotFmt>
      <c:pivotFmt>
        <c:idx val="1204"/>
        <c:spPr>
          <a:solidFill>
            <a:schemeClr val="accent1"/>
          </a:solidFill>
          <a:ln w="25400">
            <a:noFill/>
          </a:ln>
          <a:effectLst/>
        </c:spPr>
        <c:marker>
          <c:symbol val="none"/>
        </c:marker>
      </c:pivotFmt>
      <c:pivotFmt>
        <c:idx val="1205"/>
        <c:spPr>
          <a:solidFill>
            <a:schemeClr val="accent1"/>
          </a:solidFill>
          <a:ln w="25400">
            <a:noFill/>
          </a:ln>
          <a:effectLst/>
        </c:spPr>
        <c:marker>
          <c:symbol val="none"/>
        </c:marker>
      </c:pivotFmt>
      <c:pivotFmt>
        <c:idx val="1206"/>
        <c:spPr>
          <a:solidFill>
            <a:schemeClr val="accent1"/>
          </a:solidFill>
          <a:ln w="25400">
            <a:noFill/>
          </a:ln>
          <a:effectLst/>
        </c:spPr>
        <c:marker>
          <c:symbol val="none"/>
        </c:marker>
      </c:pivotFmt>
      <c:pivotFmt>
        <c:idx val="1207"/>
        <c:spPr>
          <a:solidFill>
            <a:schemeClr val="accent1"/>
          </a:solidFill>
          <a:ln w="25400">
            <a:noFill/>
          </a:ln>
          <a:effectLst/>
        </c:spPr>
        <c:marker>
          <c:symbol val="none"/>
        </c:marker>
      </c:pivotFmt>
      <c:pivotFmt>
        <c:idx val="1208"/>
        <c:spPr>
          <a:solidFill>
            <a:schemeClr val="accent1"/>
          </a:solidFill>
          <a:ln w="25400">
            <a:noFill/>
          </a:ln>
          <a:effectLst/>
        </c:spPr>
        <c:marker>
          <c:symbol val="none"/>
        </c:marker>
      </c:pivotFmt>
      <c:pivotFmt>
        <c:idx val="1209"/>
        <c:spPr>
          <a:solidFill>
            <a:schemeClr val="accent1"/>
          </a:solidFill>
          <a:ln w="25400">
            <a:noFill/>
          </a:ln>
          <a:effectLst/>
        </c:spPr>
        <c:marker>
          <c:symbol val="none"/>
        </c:marker>
      </c:pivotFmt>
      <c:pivotFmt>
        <c:idx val="1210"/>
        <c:spPr>
          <a:solidFill>
            <a:schemeClr val="accent1"/>
          </a:solidFill>
          <a:ln w="25400">
            <a:noFill/>
          </a:ln>
          <a:effectLst/>
        </c:spPr>
        <c:marker>
          <c:symbol val="none"/>
        </c:marker>
      </c:pivotFmt>
      <c:pivotFmt>
        <c:idx val="1211"/>
        <c:spPr>
          <a:solidFill>
            <a:schemeClr val="accent1"/>
          </a:solidFill>
          <a:ln w="25400">
            <a:noFill/>
          </a:ln>
          <a:effectLst/>
        </c:spPr>
        <c:marker>
          <c:symbol val="none"/>
        </c:marker>
      </c:pivotFmt>
      <c:pivotFmt>
        <c:idx val="1212"/>
        <c:spPr>
          <a:solidFill>
            <a:schemeClr val="accent1"/>
          </a:solidFill>
          <a:ln w="25400">
            <a:noFill/>
          </a:ln>
          <a:effectLst/>
        </c:spPr>
        <c:marker>
          <c:symbol val="none"/>
        </c:marker>
      </c:pivotFmt>
      <c:pivotFmt>
        <c:idx val="1213"/>
        <c:spPr>
          <a:solidFill>
            <a:schemeClr val="accent1"/>
          </a:solidFill>
          <a:ln w="25400">
            <a:noFill/>
          </a:ln>
          <a:effectLst/>
        </c:spPr>
        <c:marker>
          <c:symbol val="none"/>
        </c:marker>
      </c:pivotFmt>
      <c:pivotFmt>
        <c:idx val="1214"/>
        <c:spPr>
          <a:solidFill>
            <a:schemeClr val="accent1"/>
          </a:solidFill>
          <a:ln w="25400">
            <a:noFill/>
          </a:ln>
          <a:effectLst/>
        </c:spPr>
        <c:marker>
          <c:symbol val="none"/>
        </c:marker>
      </c:pivotFmt>
      <c:pivotFmt>
        <c:idx val="1215"/>
        <c:spPr>
          <a:solidFill>
            <a:schemeClr val="accent1"/>
          </a:solidFill>
          <a:ln w="25400">
            <a:noFill/>
          </a:ln>
          <a:effectLst/>
        </c:spPr>
        <c:marker>
          <c:symbol val="none"/>
        </c:marker>
      </c:pivotFmt>
      <c:pivotFmt>
        <c:idx val="1216"/>
        <c:spPr>
          <a:solidFill>
            <a:schemeClr val="accent1"/>
          </a:solidFill>
          <a:ln w="25400">
            <a:noFill/>
          </a:ln>
          <a:effectLst/>
        </c:spPr>
        <c:marker>
          <c:symbol val="none"/>
        </c:marker>
      </c:pivotFmt>
      <c:pivotFmt>
        <c:idx val="1217"/>
        <c:spPr>
          <a:solidFill>
            <a:schemeClr val="accent1"/>
          </a:solidFill>
          <a:ln w="25400">
            <a:noFill/>
          </a:ln>
          <a:effectLst/>
        </c:spPr>
        <c:marker>
          <c:symbol val="none"/>
        </c:marker>
      </c:pivotFmt>
      <c:pivotFmt>
        <c:idx val="1218"/>
        <c:spPr>
          <a:solidFill>
            <a:schemeClr val="accent1"/>
          </a:solidFill>
          <a:ln w="25400">
            <a:noFill/>
          </a:ln>
          <a:effectLst/>
        </c:spPr>
        <c:marker>
          <c:symbol val="none"/>
        </c:marker>
      </c:pivotFmt>
      <c:pivotFmt>
        <c:idx val="1219"/>
        <c:spPr>
          <a:solidFill>
            <a:schemeClr val="accent1"/>
          </a:solidFill>
          <a:ln w="25400">
            <a:noFill/>
          </a:ln>
          <a:effectLst/>
        </c:spPr>
        <c:marker>
          <c:symbol val="none"/>
        </c:marker>
      </c:pivotFmt>
      <c:pivotFmt>
        <c:idx val="1220"/>
        <c:spPr>
          <a:solidFill>
            <a:schemeClr val="accent1"/>
          </a:solidFill>
          <a:ln w="25400">
            <a:noFill/>
          </a:ln>
          <a:effectLst/>
        </c:spPr>
        <c:marker>
          <c:symbol val="none"/>
        </c:marker>
      </c:pivotFmt>
      <c:pivotFmt>
        <c:idx val="1221"/>
        <c:spPr>
          <a:solidFill>
            <a:schemeClr val="accent1"/>
          </a:solidFill>
          <a:ln w="25400">
            <a:noFill/>
          </a:ln>
          <a:effectLst/>
        </c:spPr>
        <c:marker>
          <c:symbol val="none"/>
        </c:marker>
      </c:pivotFmt>
      <c:pivotFmt>
        <c:idx val="1222"/>
        <c:spPr>
          <a:solidFill>
            <a:schemeClr val="accent1"/>
          </a:solidFill>
          <a:ln w="25400">
            <a:noFill/>
          </a:ln>
          <a:effectLst/>
        </c:spPr>
        <c:marker>
          <c:symbol val="none"/>
        </c:marker>
      </c:pivotFmt>
      <c:pivotFmt>
        <c:idx val="1223"/>
        <c:spPr>
          <a:solidFill>
            <a:schemeClr val="accent1"/>
          </a:solidFill>
          <a:ln w="25400">
            <a:noFill/>
          </a:ln>
          <a:effectLst/>
        </c:spPr>
        <c:marker>
          <c:symbol val="none"/>
        </c:marker>
      </c:pivotFmt>
      <c:pivotFmt>
        <c:idx val="1224"/>
        <c:spPr>
          <a:solidFill>
            <a:schemeClr val="accent1"/>
          </a:solidFill>
          <a:ln w="25400">
            <a:noFill/>
          </a:ln>
          <a:effectLst/>
        </c:spPr>
        <c:marker>
          <c:symbol val="none"/>
        </c:marker>
      </c:pivotFmt>
      <c:pivotFmt>
        <c:idx val="1225"/>
        <c:spPr>
          <a:solidFill>
            <a:schemeClr val="accent1"/>
          </a:solidFill>
          <a:ln w="25400">
            <a:noFill/>
          </a:ln>
          <a:effectLst/>
        </c:spPr>
        <c:marker>
          <c:symbol val="none"/>
        </c:marker>
      </c:pivotFmt>
      <c:pivotFmt>
        <c:idx val="1226"/>
        <c:spPr>
          <a:solidFill>
            <a:schemeClr val="accent1"/>
          </a:solidFill>
          <a:ln w="25400">
            <a:noFill/>
          </a:ln>
          <a:effectLst/>
        </c:spPr>
        <c:marker>
          <c:symbol val="none"/>
        </c:marker>
      </c:pivotFmt>
      <c:pivotFmt>
        <c:idx val="1227"/>
        <c:spPr>
          <a:solidFill>
            <a:schemeClr val="accent1"/>
          </a:solidFill>
          <a:ln w="25400">
            <a:noFill/>
          </a:ln>
          <a:effectLst/>
        </c:spPr>
        <c:marker>
          <c:symbol val="none"/>
        </c:marker>
      </c:pivotFmt>
      <c:pivotFmt>
        <c:idx val="1228"/>
        <c:spPr>
          <a:solidFill>
            <a:schemeClr val="accent1"/>
          </a:solidFill>
          <a:ln w="25400">
            <a:noFill/>
          </a:ln>
          <a:effectLst/>
        </c:spPr>
        <c:marker>
          <c:symbol val="none"/>
        </c:marker>
      </c:pivotFmt>
      <c:pivotFmt>
        <c:idx val="1229"/>
        <c:spPr>
          <a:solidFill>
            <a:schemeClr val="accent1"/>
          </a:solidFill>
          <a:ln w="25400">
            <a:noFill/>
          </a:ln>
          <a:effectLst/>
        </c:spPr>
        <c:marker>
          <c:symbol val="none"/>
        </c:marker>
      </c:pivotFmt>
      <c:pivotFmt>
        <c:idx val="1230"/>
        <c:spPr>
          <a:solidFill>
            <a:schemeClr val="accent1"/>
          </a:solidFill>
          <a:ln w="25400">
            <a:noFill/>
          </a:ln>
          <a:effectLst/>
        </c:spPr>
        <c:marker>
          <c:symbol val="none"/>
        </c:marker>
      </c:pivotFmt>
      <c:pivotFmt>
        <c:idx val="1231"/>
        <c:spPr>
          <a:solidFill>
            <a:schemeClr val="accent1"/>
          </a:solidFill>
          <a:ln w="25400">
            <a:noFill/>
          </a:ln>
          <a:effectLst/>
        </c:spPr>
        <c:marker>
          <c:symbol val="none"/>
        </c:marker>
      </c:pivotFmt>
      <c:pivotFmt>
        <c:idx val="1232"/>
        <c:spPr>
          <a:solidFill>
            <a:schemeClr val="accent1"/>
          </a:solidFill>
          <a:ln w="25400">
            <a:noFill/>
          </a:ln>
          <a:effectLst/>
        </c:spPr>
        <c:marker>
          <c:symbol val="none"/>
        </c:marker>
      </c:pivotFmt>
      <c:pivotFmt>
        <c:idx val="1233"/>
        <c:spPr>
          <a:solidFill>
            <a:schemeClr val="accent1"/>
          </a:solidFill>
          <a:ln w="25400">
            <a:noFill/>
          </a:ln>
          <a:effectLst/>
        </c:spPr>
        <c:marker>
          <c:symbol val="none"/>
        </c:marker>
      </c:pivotFmt>
      <c:pivotFmt>
        <c:idx val="1234"/>
        <c:spPr>
          <a:solidFill>
            <a:schemeClr val="accent1"/>
          </a:solidFill>
          <a:ln w="25400">
            <a:noFill/>
          </a:ln>
          <a:effectLst/>
        </c:spPr>
        <c:marker>
          <c:symbol val="none"/>
        </c:marker>
      </c:pivotFmt>
      <c:pivotFmt>
        <c:idx val="1235"/>
        <c:spPr>
          <a:solidFill>
            <a:schemeClr val="accent1"/>
          </a:solidFill>
          <a:ln w="25400">
            <a:noFill/>
          </a:ln>
          <a:effectLst/>
        </c:spPr>
        <c:marker>
          <c:symbol val="none"/>
        </c:marker>
      </c:pivotFmt>
      <c:pivotFmt>
        <c:idx val="1236"/>
        <c:spPr>
          <a:solidFill>
            <a:schemeClr val="accent1"/>
          </a:solidFill>
          <a:ln w="25400">
            <a:noFill/>
          </a:ln>
          <a:effectLst/>
        </c:spPr>
        <c:marker>
          <c:symbol val="none"/>
        </c:marker>
      </c:pivotFmt>
      <c:pivotFmt>
        <c:idx val="1237"/>
        <c:spPr>
          <a:solidFill>
            <a:schemeClr val="accent1"/>
          </a:solidFill>
          <a:ln w="25400">
            <a:noFill/>
          </a:ln>
          <a:effectLst/>
        </c:spPr>
        <c:marker>
          <c:symbol val="none"/>
        </c:marker>
      </c:pivotFmt>
      <c:pivotFmt>
        <c:idx val="1238"/>
        <c:spPr>
          <a:solidFill>
            <a:schemeClr val="accent1"/>
          </a:solidFill>
          <a:ln w="25400">
            <a:noFill/>
          </a:ln>
          <a:effectLst/>
        </c:spPr>
        <c:marker>
          <c:symbol val="none"/>
        </c:marker>
      </c:pivotFmt>
      <c:pivotFmt>
        <c:idx val="1239"/>
        <c:spPr>
          <a:solidFill>
            <a:schemeClr val="accent1"/>
          </a:solidFill>
          <a:ln w="25400">
            <a:noFill/>
          </a:ln>
          <a:effectLst/>
        </c:spPr>
        <c:marker>
          <c:symbol val="none"/>
        </c:marker>
      </c:pivotFmt>
      <c:pivotFmt>
        <c:idx val="1240"/>
        <c:spPr>
          <a:solidFill>
            <a:schemeClr val="accent1"/>
          </a:solidFill>
          <a:ln w="25400">
            <a:noFill/>
          </a:ln>
          <a:effectLst/>
        </c:spPr>
        <c:marker>
          <c:symbol val="none"/>
        </c:marker>
      </c:pivotFmt>
      <c:pivotFmt>
        <c:idx val="1241"/>
        <c:spPr>
          <a:solidFill>
            <a:schemeClr val="accent1"/>
          </a:solidFill>
          <a:ln w="25400">
            <a:noFill/>
          </a:ln>
          <a:effectLst/>
        </c:spPr>
        <c:marker>
          <c:symbol val="none"/>
        </c:marker>
      </c:pivotFmt>
      <c:pivotFmt>
        <c:idx val="1242"/>
        <c:spPr>
          <a:solidFill>
            <a:schemeClr val="accent1"/>
          </a:solidFill>
          <a:ln w="25400">
            <a:noFill/>
          </a:ln>
          <a:effectLst/>
        </c:spPr>
        <c:marker>
          <c:symbol val="none"/>
        </c:marker>
      </c:pivotFmt>
      <c:pivotFmt>
        <c:idx val="1243"/>
        <c:spPr>
          <a:solidFill>
            <a:schemeClr val="accent1"/>
          </a:solidFill>
          <a:ln w="25400">
            <a:noFill/>
          </a:ln>
          <a:effectLst/>
        </c:spPr>
        <c:marker>
          <c:symbol val="none"/>
        </c:marker>
      </c:pivotFmt>
      <c:pivotFmt>
        <c:idx val="1244"/>
        <c:spPr>
          <a:solidFill>
            <a:schemeClr val="accent1"/>
          </a:solidFill>
          <a:ln w="25400">
            <a:noFill/>
          </a:ln>
          <a:effectLst/>
        </c:spPr>
        <c:marker>
          <c:symbol val="none"/>
        </c:marker>
      </c:pivotFmt>
      <c:pivotFmt>
        <c:idx val="1245"/>
        <c:spPr>
          <a:solidFill>
            <a:schemeClr val="accent1"/>
          </a:solidFill>
          <a:ln w="25400">
            <a:noFill/>
          </a:ln>
          <a:effectLst/>
        </c:spPr>
        <c:marker>
          <c:symbol val="none"/>
        </c:marker>
      </c:pivotFmt>
      <c:pivotFmt>
        <c:idx val="1246"/>
        <c:spPr>
          <a:solidFill>
            <a:schemeClr val="accent1"/>
          </a:solidFill>
          <a:ln w="25400">
            <a:noFill/>
          </a:ln>
          <a:effectLst/>
        </c:spPr>
        <c:marker>
          <c:symbol val="none"/>
        </c:marker>
      </c:pivotFmt>
      <c:pivotFmt>
        <c:idx val="1247"/>
        <c:spPr>
          <a:solidFill>
            <a:schemeClr val="accent1"/>
          </a:solidFill>
          <a:ln w="25400">
            <a:noFill/>
          </a:ln>
          <a:effectLst/>
        </c:spPr>
        <c:marker>
          <c:symbol val="none"/>
        </c:marker>
      </c:pivotFmt>
      <c:pivotFmt>
        <c:idx val="1248"/>
        <c:spPr>
          <a:solidFill>
            <a:schemeClr val="accent1"/>
          </a:solidFill>
          <a:ln w="25400">
            <a:noFill/>
          </a:ln>
          <a:effectLst/>
        </c:spPr>
        <c:marker>
          <c:symbol val="none"/>
        </c:marker>
      </c:pivotFmt>
      <c:pivotFmt>
        <c:idx val="1249"/>
        <c:spPr>
          <a:solidFill>
            <a:schemeClr val="accent1"/>
          </a:solidFill>
          <a:ln w="25400">
            <a:noFill/>
          </a:ln>
          <a:effectLst/>
        </c:spPr>
        <c:marker>
          <c:symbol val="none"/>
        </c:marker>
      </c:pivotFmt>
      <c:pivotFmt>
        <c:idx val="1250"/>
        <c:spPr>
          <a:solidFill>
            <a:schemeClr val="accent1"/>
          </a:solidFill>
          <a:ln w="25400">
            <a:noFill/>
          </a:ln>
          <a:effectLst/>
        </c:spPr>
        <c:marker>
          <c:symbol val="none"/>
        </c:marker>
      </c:pivotFmt>
      <c:pivotFmt>
        <c:idx val="1251"/>
        <c:spPr>
          <a:solidFill>
            <a:schemeClr val="accent1"/>
          </a:solidFill>
          <a:ln w="25400">
            <a:noFill/>
          </a:ln>
          <a:effectLst/>
        </c:spPr>
        <c:marker>
          <c:symbol val="none"/>
        </c:marker>
      </c:pivotFmt>
      <c:pivotFmt>
        <c:idx val="1252"/>
        <c:spPr>
          <a:solidFill>
            <a:schemeClr val="accent1"/>
          </a:solidFill>
          <a:ln w="25400">
            <a:noFill/>
          </a:ln>
          <a:effectLst/>
        </c:spPr>
        <c:marker>
          <c:symbol val="none"/>
        </c:marker>
      </c:pivotFmt>
      <c:pivotFmt>
        <c:idx val="1253"/>
        <c:spPr>
          <a:solidFill>
            <a:schemeClr val="accent1"/>
          </a:solidFill>
          <a:ln w="25400">
            <a:noFill/>
          </a:ln>
          <a:effectLst/>
        </c:spPr>
        <c:marker>
          <c:symbol val="none"/>
        </c:marker>
      </c:pivotFmt>
      <c:pivotFmt>
        <c:idx val="1254"/>
        <c:spPr>
          <a:solidFill>
            <a:schemeClr val="accent1"/>
          </a:solidFill>
          <a:ln w="25400">
            <a:noFill/>
          </a:ln>
          <a:effectLst/>
        </c:spPr>
        <c:marker>
          <c:symbol val="none"/>
        </c:marker>
      </c:pivotFmt>
      <c:pivotFmt>
        <c:idx val="1255"/>
        <c:spPr>
          <a:solidFill>
            <a:schemeClr val="accent1"/>
          </a:solidFill>
          <a:ln w="25400">
            <a:noFill/>
          </a:ln>
          <a:effectLst/>
        </c:spPr>
        <c:marker>
          <c:symbol val="none"/>
        </c:marker>
      </c:pivotFmt>
      <c:pivotFmt>
        <c:idx val="1256"/>
        <c:spPr>
          <a:solidFill>
            <a:schemeClr val="accent1"/>
          </a:solidFill>
          <a:ln w="25400">
            <a:noFill/>
          </a:ln>
          <a:effectLst/>
        </c:spPr>
        <c:marker>
          <c:symbol val="none"/>
        </c:marker>
      </c:pivotFmt>
      <c:pivotFmt>
        <c:idx val="1257"/>
        <c:spPr>
          <a:solidFill>
            <a:schemeClr val="accent1"/>
          </a:solidFill>
          <a:ln w="25400">
            <a:noFill/>
          </a:ln>
          <a:effectLst/>
        </c:spPr>
        <c:marker>
          <c:symbol val="none"/>
        </c:marker>
      </c:pivotFmt>
      <c:pivotFmt>
        <c:idx val="1258"/>
        <c:spPr>
          <a:solidFill>
            <a:schemeClr val="accent1"/>
          </a:solidFill>
          <a:ln w="25400">
            <a:noFill/>
          </a:ln>
          <a:effectLst/>
        </c:spPr>
        <c:marker>
          <c:symbol val="none"/>
        </c:marker>
      </c:pivotFmt>
      <c:pivotFmt>
        <c:idx val="1259"/>
        <c:spPr>
          <a:solidFill>
            <a:schemeClr val="accent1"/>
          </a:solidFill>
          <a:ln w="25400">
            <a:noFill/>
          </a:ln>
          <a:effectLst/>
        </c:spPr>
        <c:marker>
          <c:symbol val="none"/>
        </c:marker>
      </c:pivotFmt>
      <c:pivotFmt>
        <c:idx val="1260"/>
        <c:spPr>
          <a:solidFill>
            <a:schemeClr val="accent1"/>
          </a:solidFill>
          <a:ln w="25400">
            <a:noFill/>
          </a:ln>
          <a:effectLst/>
        </c:spPr>
        <c:marker>
          <c:symbol val="none"/>
        </c:marker>
      </c:pivotFmt>
      <c:pivotFmt>
        <c:idx val="1261"/>
        <c:spPr>
          <a:solidFill>
            <a:schemeClr val="accent1"/>
          </a:solidFill>
          <a:ln w="25400">
            <a:noFill/>
          </a:ln>
          <a:effectLst/>
        </c:spPr>
        <c:marker>
          <c:symbol val="none"/>
        </c:marker>
      </c:pivotFmt>
      <c:pivotFmt>
        <c:idx val="1262"/>
        <c:spPr>
          <a:solidFill>
            <a:schemeClr val="accent1"/>
          </a:solidFill>
          <a:ln w="25400">
            <a:noFill/>
          </a:ln>
          <a:effectLst/>
        </c:spPr>
        <c:marker>
          <c:symbol val="none"/>
        </c:marker>
      </c:pivotFmt>
      <c:pivotFmt>
        <c:idx val="1263"/>
        <c:spPr>
          <a:solidFill>
            <a:schemeClr val="accent1"/>
          </a:solidFill>
          <a:ln w="25400">
            <a:noFill/>
          </a:ln>
          <a:effectLst/>
        </c:spPr>
        <c:marker>
          <c:symbol val="none"/>
        </c:marker>
      </c:pivotFmt>
      <c:pivotFmt>
        <c:idx val="1264"/>
        <c:spPr>
          <a:solidFill>
            <a:schemeClr val="accent1"/>
          </a:solidFill>
          <a:ln w="25400">
            <a:noFill/>
          </a:ln>
          <a:effectLst/>
        </c:spPr>
        <c:marker>
          <c:symbol val="none"/>
        </c:marker>
      </c:pivotFmt>
      <c:pivotFmt>
        <c:idx val="1265"/>
        <c:spPr>
          <a:solidFill>
            <a:schemeClr val="accent1"/>
          </a:solidFill>
          <a:ln w="25400">
            <a:noFill/>
          </a:ln>
          <a:effectLst/>
        </c:spPr>
        <c:marker>
          <c:symbol val="none"/>
        </c:marker>
      </c:pivotFmt>
      <c:pivotFmt>
        <c:idx val="1266"/>
        <c:spPr>
          <a:solidFill>
            <a:schemeClr val="accent1"/>
          </a:solidFill>
          <a:ln w="25400">
            <a:noFill/>
          </a:ln>
          <a:effectLst/>
        </c:spPr>
        <c:marker>
          <c:symbol val="none"/>
        </c:marker>
      </c:pivotFmt>
    </c:pivotFmts>
    <c:plotArea>
      <c:layout/>
      <c:areaChart>
        <c:grouping val="stacked"/>
        <c:varyColors val="0"/>
        <c:ser>
          <c:idx val="0"/>
          <c:order val="0"/>
          <c:tx>
            <c:strRef>
              <c:f>'EL GEN - Time'!$E$5:$E$6</c:f>
              <c:strCache>
                <c:ptCount val="1"/>
                <c:pt idx="0">
                  <c:v>MUNIWASTE</c:v>
                </c:pt>
              </c:strCache>
            </c:strRef>
          </c:tx>
          <c:spPr>
            <a:solidFill>
              <a:schemeClr val="accent1"/>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Time'!$E$7:$E$43</c:f>
              <c:numCache>
                <c:formatCode>General</c:formatCode>
                <c:ptCount val="36"/>
                <c:pt idx="0">
                  <c:v>389.28233958031399</c:v>
                </c:pt>
                <c:pt idx="1">
                  <c:v>389.28233958031399</c:v>
                </c:pt>
                <c:pt idx="2">
                  <c:v>389.28233958031399</c:v>
                </c:pt>
                <c:pt idx="3">
                  <c:v>389.28233958031399</c:v>
                </c:pt>
                <c:pt idx="4">
                  <c:v>389.28233958031399</c:v>
                </c:pt>
                <c:pt idx="5">
                  <c:v>389.28233958031399</c:v>
                </c:pt>
                <c:pt idx="6">
                  <c:v>389.28233958031399</c:v>
                </c:pt>
                <c:pt idx="7">
                  <c:v>389.28233958031399</c:v>
                </c:pt>
                <c:pt idx="8">
                  <c:v>389.28233958031399</c:v>
                </c:pt>
                <c:pt idx="9">
                  <c:v>389.28233958031399</c:v>
                </c:pt>
                <c:pt idx="10">
                  <c:v>389.28233958031399</c:v>
                </c:pt>
                <c:pt idx="11">
                  <c:v>389.28233958031399</c:v>
                </c:pt>
                <c:pt idx="12">
                  <c:v>389.28233958031399</c:v>
                </c:pt>
                <c:pt idx="13">
                  <c:v>389.28233958031399</c:v>
                </c:pt>
                <c:pt idx="14">
                  <c:v>389.28233958031399</c:v>
                </c:pt>
                <c:pt idx="15">
                  <c:v>389.28233958031399</c:v>
                </c:pt>
                <c:pt idx="16">
                  <c:v>389.28233958031399</c:v>
                </c:pt>
                <c:pt idx="17">
                  <c:v>389.28233958031399</c:v>
                </c:pt>
                <c:pt idx="18">
                  <c:v>389.28233958031399</c:v>
                </c:pt>
                <c:pt idx="19">
                  <c:v>389.28233958031399</c:v>
                </c:pt>
                <c:pt idx="20">
                  <c:v>389.28233958031399</c:v>
                </c:pt>
                <c:pt idx="21">
                  <c:v>389.28233958031399</c:v>
                </c:pt>
                <c:pt idx="22">
                  <c:v>389.28233958031399</c:v>
                </c:pt>
                <c:pt idx="23">
                  <c:v>389.28233958031399</c:v>
                </c:pt>
                <c:pt idx="24">
                  <c:v>389.28233958031399</c:v>
                </c:pt>
                <c:pt idx="25">
                  <c:v>389.28233958031399</c:v>
                </c:pt>
                <c:pt idx="26">
                  <c:v>389.28233958031399</c:v>
                </c:pt>
                <c:pt idx="27">
                  <c:v>389.28233958031399</c:v>
                </c:pt>
                <c:pt idx="28">
                  <c:v>389.28233958031399</c:v>
                </c:pt>
                <c:pt idx="29">
                  <c:v>389.28233958031399</c:v>
                </c:pt>
                <c:pt idx="30">
                  <c:v>389.28233958031399</c:v>
                </c:pt>
                <c:pt idx="31">
                  <c:v>389.28233958031399</c:v>
                </c:pt>
                <c:pt idx="32">
                  <c:v>389.28233958031399</c:v>
                </c:pt>
                <c:pt idx="33">
                  <c:v>389.28233958031399</c:v>
                </c:pt>
                <c:pt idx="34">
                  <c:v>389.28233958031399</c:v>
                </c:pt>
                <c:pt idx="35">
                  <c:v>389.28233958031399</c:v>
                </c:pt>
              </c:numCache>
            </c:numRef>
          </c:val>
          <c:extLst>
            <c:ext xmlns:c16="http://schemas.microsoft.com/office/drawing/2014/chart" uri="{C3380CC4-5D6E-409C-BE32-E72D297353CC}">
              <c16:uniqueId val="{00000000-422C-4272-A169-BD2915ED7009}"/>
            </c:ext>
          </c:extLst>
        </c:ser>
        <c:ser>
          <c:idx val="1"/>
          <c:order val="1"/>
          <c:tx>
            <c:strRef>
              <c:f>'EL GEN - Time'!$F$5:$F$6</c:f>
              <c:strCache>
                <c:ptCount val="1"/>
                <c:pt idx="0">
                  <c:v>WOODCHIPS</c:v>
                </c:pt>
              </c:strCache>
            </c:strRef>
          </c:tx>
          <c:spPr>
            <a:solidFill>
              <a:schemeClr val="accent2"/>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Time'!$F$7:$F$43</c:f>
              <c:numCache>
                <c:formatCode>General</c:formatCode>
                <c:ptCount val="36"/>
                <c:pt idx="1">
                  <c:v>0.33</c:v>
                </c:pt>
                <c:pt idx="3">
                  <c:v>0.33</c:v>
                </c:pt>
                <c:pt idx="4">
                  <c:v>0.33</c:v>
                </c:pt>
                <c:pt idx="5">
                  <c:v>7.83</c:v>
                </c:pt>
                <c:pt idx="6">
                  <c:v>100.58</c:v>
                </c:pt>
                <c:pt idx="7">
                  <c:v>100.58</c:v>
                </c:pt>
                <c:pt idx="8">
                  <c:v>100.58</c:v>
                </c:pt>
                <c:pt idx="9">
                  <c:v>7.83</c:v>
                </c:pt>
                <c:pt idx="10">
                  <c:v>0.33</c:v>
                </c:pt>
                <c:pt idx="11">
                  <c:v>0.33</c:v>
                </c:pt>
                <c:pt idx="13">
                  <c:v>0.33</c:v>
                </c:pt>
                <c:pt idx="14">
                  <c:v>0.33</c:v>
                </c:pt>
                <c:pt idx="15">
                  <c:v>0.33</c:v>
                </c:pt>
                <c:pt idx="19">
                  <c:v>0.33</c:v>
                </c:pt>
                <c:pt idx="20">
                  <c:v>0.33</c:v>
                </c:pt>
                <c:pt idx="21">
                  <c:v>0.33</c:v>
                </c:pt>
                <c:pt idx="22">
                  <c:v>0.33</c:v>
                </c:pt>
                <c:pt idx="23">
                  <c:v>0.33</c:v>
                </c:pt>
                <c:pt idx="25">
                  <c:v>8.58</c:v>
                </c:pt>
                <c:pt idx="26">
                  <c:v>0.33</c:v>
                </c:pt>
                <c:pt idx="27">
                  <c:v>7.83</c:v>
                </c:pt>
                <c:pt idx="28">
                  <c:v>0.33</c:v>
                </c:pt>
                <c:pt idx="29">
                  <c:v>0.33</c:v>
                </c:pt>
                <c:pt idx="30">
                  <c:v>8.58</c:v>
                </c:pt>
                <c:pt idx="31">
                  <c:v>0.33</c:v>
                </c:pt>
                <c:pt idx="32">
                  <c:v>8.58</c:v>
                </c:pt>
                <c:pt idx="33">
                  <c:v>0.33</c:v>
                </c:pt>
                <c:pt idx="34">
                  <c:v>0.33</c:v>
                </c:pt>
              </c:numCache>
            </c:numRef>
          </c:val>
          <c:extLst>
            <c:ext xmlns:c16="http://schemas.microsoft.com/office/drawing/2014/chart" uri="{C3380CC4-5D6E-409C-BE32-E72D297353CC}">
              <c16:uniqueId val="{00000000-B85D-4BE6-86F0-C450768B6278}"/>
            </c:ext>
          </c:extLst>
        </c:ser>
        <c:ser>
          <c:idx val="2"/>
          <c:order val="2"/>
          <c:tx>
            <c:strRef>
              <c:f>'EL GEN - Time'!$G$5:$G$6</c:f>
              <c:strCache>
                <c:ptCount val="1"/>
                <c:pt idx="0">
                  <c:v>WATER</c:v>
                </c:pt>
              </c:strCache>
            </c:strRef>
          </c:tx>
          <c:spPr>
            <a:solidFill>
              <a:schemeClr val="accent3"/>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Time'!$G$7:$G$43</c:f>
              <c:numCache>
                <c:formatCode>General</c:formatCode>
                <c:ptCount val="36"/>
                <c:pt idx="0">
                  <c:v>1.2847402289237059E-2</c:v>
                </c:pt>
                <c:pt idx="1">
                  <c:v>1.2847402289237059E-2</c:v>
                </c:pt>
                <c:pt idx="2">
                  <c:v>1.2847402289237059E-2</c:v>
                </c:pt>
                <c:pt idx="3">
                  <c:v>1.2847402289237059E-2</c:v>
                </c:pt>
                <c:pt idx="4">
                  <c:v>1.2847402289237059E-2</c:v>
                </c:pt>
                <c:pt idx="5">
                  <c:v>1.2847402289237059E-2</c:v>
                </c:pt>
                <c:pt idx="6">
                  <c:v>1.2847402289237059E-2</c:v>
                </c:pt>
                <c:pt idx="7">
                  <c:v>1.2847402289237059E-2</c:v>
                </c:pt>
                <c:pt idx="8">
                  <c:v>1.2847402289237059E-2</c:v>
                </c:pt>
                <c:pt idx="9">
                  <c:v>1.2847402289237059E-2</c:v>
                </c:pt>
                <c:pt idx="10">
                  <c:v>1.2847402289237059E-2</c:v>
                </c:pt>
                <c:pt idx="11">
                  <c:v>1.2847402289237059E-2</c:v>
                </c:pt>
                <c:pt idx="12">
                  <c:v>1.3869866596221421E-2</c:v>
                </c:pt>
                <c:pt idx="13">
                  <c:v>1.3869866596221421E-2</c:v>
                </c:pt>
                <c:pt idx="14">
                  <c:v>1.3869866596221421E-2</c:v>
                </c:pt>
                <c:pt idx="15">
                  <c:v>1.3869866596221421E-2</c:v>
                </c:pt>
                <c:pt idx="16">
                  <c:v>1.3869866596221421E-2</c:v>
                </c:pt>
                <c:pt idx="17">
                  <c:v>1.3869866596221421E-2</c:v>
                </c:pt>
                <c:pt idx="18">
                  <c:v>1.3869866596221421E-2</c:v>
                </c:pt>
                <c:pt idx="19">
                  <c:v>1.3869866596221421E-2</c:v>
                </c:pt>
                <c:pt idx="20">
                  <c:v>1.3869866596221421E-2</c:v>
                </c:pt>
                <c:pt idx="21">
                  <c:v>1.3869866596221421E-2</c:v>
                </c:pt>
                <c:pt idx="22">
                  <c:v>1.3869866596221421E-2</c:v>
                </c:pt>
                <c:pt idx="23">
                  <c:v>1.3869866596221421E-2</c:v>
                </c:pt>
                <c:pt idx="24">
                  <c:v>1.4548661257536051E-2</c:v>
                </c:pt>
                <c:pt idx="25">
                  <c:v>1.4548661257536051E-2</c:v>
                </c:pt>
                <c:pt idx="26">
                  <c:v>1.4548661257536051E-2</c:v>
                </c:pt>
                <c:pt idx="27">
                  <c:v>1.4548661257536051E-2</c:v>
                </c:pt>
                <c:pt idx="28">
                  <c:v>1.4548661257536051E-2</c:v>
                </c:pt>
                <c:pt idx="29">
                  <c:v>1.4548661257536051E-2</c:v>
                </c:pt>
                <c:pt idx="30">
                  <c:v>1.4548661257536051E-2</c:v>
                </c:pt>
                <c:pt idx="31">
                  <c:v>1.4548661257536051E-2</c:v>
                </c:pt>
                <c:pt idx="32">
                  <c:v>1.4548661257536051E-2</c:v>
                </c:pt>
                <c:pt idx="33">
                  <c:v>1.4548661257536051E-2</c:v>
                </c:pt>
                <c:pt idx="34">
                  <c:v>1.4548661257536051E-2</c:v>
                </c:pt>
                <c:pt idx="35">
                  <c:v>1.4548661257536051E-2</c:v>
                </c:pt>
              </c:numCache>
            </c:numRef>
          </c:val>
          <c:extLst>
            <c:ext xmlns:c16="http://schemas.microsoft.com/office/drawing/2014/chart" uri="{C3380CC4-5D6E-409C-BE32-E72D297353CC}">
              <c16:uniqueId val="{00000001-B85D-4BE6-86F0-C450768B6278}"/>
            </c:ext>
          </c:extLst>
        </c:ser>
        <c:ser>
          <c:idx val="3"/>
          <c:order val="3"/>
          <c:tx>
            <c:strRef>
              <c:f>'EL GEN - Time'!$H$5:$H$6</c:f>
              <c:strCache>
                <c:ptCount val="1"/>
                <c:pt idx="0">
                  <c:v>WIND</c:v>
                </c:pt>
              </c:strCache>
            </c:strRef>
          </c:tx>
          <c:spPr>
            <a:solidFill>
              <a:schemeClr val="accent4"/>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Time'!$H$7:$H$43</c:f>
              <c:numCache>
                <c:formatCode>General</c:formatCode>
                <c:ptCount val="36"/>
                <c:pt idx="0">
                  <c:v>5487.7736222826225</c:v>
                </c:pt>
                <c:pt idx="1">
                  <c:v>2756.7286807907567</c:v>
                </c:pt>
                <c:pt idx="2">
                  <c:v>4733.3205948704526</c:v>
                </c:pt>
                <c:pt idx="3">
                  <c:v>3265.9327407578612</c:v>
                </c:pt>
                <c:pt idx="4">
                  <c:v>2905.9036922756172</c:v>
                </c:pt>
                <c:pt idx="5">
                  <c:v>964.03504173242641</c:v>
                </c:pt>
                <c:pt idx="6">
                  <c:v>1368.1502076250124</c:v>
                </c:pt>
                <c:pt idx="7">
                  <c:v>297.46508139348663</c:v>
                </c:pt>
                <c:pt idx="8">
                  <c:v>136.9362052732186</c:v>
                </c:pt>
                <c:pt idx="9">
                  <c:v>220.42415404120692</c:v>
                </c:pt>
                <c:pt idx="10">
                  <c:v>1073.641553588915</c:v>
                </c:pt>
                <c:pt idx="11">
                  <c:v>575.27963334275796</c:v>
                </c:pt>
                <c:pt idx="12">
                  <c:v>4923.3375582186964</c:v>
                </c:pt>
                <c:pt idx="13">
                  <c:v>1850.4768362988427</c:v>
                </c:pt>
                <c:pt idx="14">
                  <c:v>732.70642606349224</c:v>
                </c:pt>
                <c:pt idx="15">
                  <c:v>916.58368885627783</c:v>
                </c:pt>
                <c:pt idx="16">
                  <c:v>3478.7064610286907</c:v>
                </c:pt>
                <c:pt idx="17">
                  <c:v>3507.6925200655614</c:v>
                </c:pt>
                <c:pt idx="18">
                  <c:v>4306.3515302483956</c:v>
                </c:pt>
                <c:pt idx="19">
                  <c:v>550.66065355099931</c:v>
                </c:pt>
                <c:pt idx="20">
                  <c:v>1862.035104988463</c:v>
                </c:pt>
                <c:pt idx="21">
                  <c:v>702.70875825788551</c:v>
                </c:pt>
                <c:pt idx="22">
                  <c:v>231.22426930499938</c:v>
                </c:pt>
                <c:pt idx="23">
                  <c:v>816.37991099394458</c:v>
                </c:pt>
                <c:pt idx="24">
                  <c:v>3851.9921919147746</c:v>
                </c:pt>
                <c:pt idx="25">
                  <c:v>274.01592225174977</c:v>
                </c:pt>
                <c:pt idx="26">
                  <c:v>2620.2258697492543</c:v>
                </c:pt>
                <c:pt idx="27">
                  <c:v>608.58450338104956</c:v>
                </c:pt>
                <c:pt idx="28">
                  <c:v>594.35540118677795</c:v>
                </c:pt>
                <c:pt idx="29">
                  <c:v>2867.136800088113</c:v>
                </c:pt>
                <c:pt idx="30">
                  <c:v>345.77964883834147</c:v>
                </c:pt>
                <c:pt idx="31">
                  <c:v>1321.5816519882603</c:v>
                </c:pt>
                <c:pt idx="32">
                  <c:v>1271.7464890180868</c:v>
                </c:pt>
                <c:pt idx="33">
                  <c:v>1187.8678852544804</c:v>
                </c:pt>
                <c:pt idx="34">
                  <c:v>2303.0906762408626</c:v>
                </c:pt>
                <c:pt idx="35">
                  <c:v>2843.8318674306311</c:v>
                </c:pt>
              </c:numCache>
            </c:numRef>
          </c:val>
          <c:extLst>
            <c:ext xmlns:c16="http://schemas.microsoft.com/office/drawing/2014/chart" uri="{C3380CC4-5D6E-409C-BE32-E72D297353CC}">
              <c16:uniqueId val="{00000002-B85D-4BE6-86F0-C450768B6278}"/>
            </c:ext>
          </c:extLst>
        </c:ser>
        <c:ser>
          <c:idx val="4"/>
          <c:order val="4"/>
          <c:tx>
            <c:strRef>
              <c:f>'EL GEN - Time'!$I$5:$I$6</c:f>
              <c:strCache>
                <c:ptCount val="1"/>
                <c:pt idx="0">
                  <c:v>SUN</c:v>
                </c:pt>
              </c:strCache>
            </c:strRef>
          </c:tx>
          <c:spPr>
            <a:solidFill>
              <a:schemeClr val="accent5"/>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Time'!$I$7:$I$43</c:f>
              <c:numCache>
                <c:formatCode>General</c:formatCode>
                <c:ptCount val="36"/>
                <c:pt idx="0">
                  <c:v>0.73258178309242816</c:v>
                </c:pt>
                <c:pt idx="1">
                  <c:v>92.854741006965327</c:v>
                </c:pt>
                <c:pt idx="2">
                  <c:v>1339.1594994929603</c:v>
                </c:pt>
                <c:pt idx="4">
                  <c:v>1466.6287297510426</c:v>
                </c:pt>
                <c:pt idx="6">
                  <c:v>152.37701088322518</c:v>
                </c:pt>
                <c:pt idx="7">
                  <c:v>394.12899930372612</c:v>
                </c:pt>
                <c:pt idx="9">
                  <c:v>1785.3018053962487</c:v>
                </c:pt>
                <c:pt idx="11">
                  <c:v>900.34301142059439</c:v>
                </c:pt>
                <c:pt idx="12">
                  <c:v>252.7407151668877</c:v>
                </c:pt>
                <c:pt idx="13">
                  <c:v>46.152652334823031</c:v>
                </c:pt>
                <c:pt idx="14">
                  <c:v>2009.471831022533</c:v>
                </c:pt>
                <c:pt idx="16">
                  <c:v>1997.7505224930539</c:v>
                </c:pt>
                <c:pt idx="17">
                  <c:v>2.1977453492772843</c:v>
                </c:pt>
                <c:pt idx="18">
                  <c:v>651.26520516916901</c:v>
                </c:pt>
                <c:pt idx="19">
                  <c:v>1058.5806765685606</c:v>
                </c:pt>
                <c:pt idx="20">
                  <c:v>250.1766789260642</c:v>
                </c:pt>
                <c:pt idx="21">
                  <c:v>2621.9102016878019</c:v>
                </c:pt>
                <c:pt idx="23">
                  <c:v>1912.7710356543323</c:v>
                </c:pt>
                <c:pt idx="24">
                  <c:v>34.431343805344156</c:v>
                </c:pt>
                <c:pt idx="25">
                  <c:v>4.3954906985545801</c:v>
                </c:pt>
                <c:pt idx="26">
                  <c:v>1677.6122832816627</c:v>
                </c:pt>
                <c:pt idx="28">
                  <c:v>1864.4206379702309</c:v>
                </c:pt>
                <c:pt idx="30">
                  <c:v>212.44871709680461</c:v>
                </c:pt>
                <c:pt idx="31">
                  <c:v>146.51635661848576</c:v>
                </c:pt>
                <c:pt idx="32">
                  <c:v>8.0583996140167216</c:v>
                </c:pt>
                <c:pt idx="33">
                  <c:v>2088.5906635965148</c:v>
                </c:pt>
                <c:pt idx="35">
                  <c:v>1328.1707727465728</c:v>
                </c:pt>
              </c:numCache>
            </c:numRef>
          </c:val>
          <c:extLst>
            <c:ext xmlns:c16="http://schemas.microsoft.com/office/drawing/2014/chart" uri="{C3380CC4-5D6E-409C-BE32-E72D297353CC}">
              <c16:uniqueId val="{00000003-B85D-4BE6-86F0-C450768B6278}"/>
            </c:ext>
          </c:extLst>
        </c:ser>
        <c:ser>
          <c:idx val="5"/>
          <c:order val="5"/>
          <c:tx>
            <c:strRef>
              <c:f>'EL GEN - Time'!$J$5:$J$6</c:f>
              <c:strCache>
                <c:ptCount val="1"/>
                <c:pt idx="0">
                  <c:v>NATGAS</c:v>
                </c:pt>
              </c:strCache>
            </c:strRef>
          </c:tx>
          <c:spPr>
            <a:solidFill>
              <a:schemeClr val="accent6"/>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Time'!$J$7:$J$43</c:f>
              <c:numCache>
                <c:formatCode>General</c:formatCode>
                <c:ptCount val="36"/>
                <c:pt idx="1">
                  <c:v>425.88818884708672</c:v>
                </c:pt>
                <c:pt idx="3">
                  <c:v>176.3102198091525</c:v>
                </c:pt>
                <c:pt idx="4">
                  <c:v>35.263031927811099</c:v>
                </c:pt>
                <c:pt idx="5">
                  <c:v>1453.6070864955252</c:v>
                </c:pt>
                <c:pt idx="6">
                  <c:v>1883.6401930628142</c:v>
                </c:pt>
                <c:pt idx="7">
                  <c:v>1883.6401930628142</c:v>
                </c:pt>
                <c:pt idx="8">
                  <c:v>1883.6401930628142</c:v>
                </c:pt>
                <c:pt idx="9">
                  <c:v>1512.4115486496798</c:v>
                </c:pt>
                <c:pt idx="10">
                  <c:v>1310.2161870896252</c:v>
                </c:pt>
                <c:pt idx="11">
                  <c:v>1487.7888850706561</c:v>
                </c:pt>
                <c:pt idx="13">
                  <c:v>1245.1953455363102</c:v>
                </c:pt>
                <c:pt idx="14">
                  <c:v>905.73271121236542</c:v>
                </c:pt>
                <c:pt idx="15">
                  <c:v>1290.9570193928382</c:v>
                </c:pt>
                <c:pt idx="19">
                  <c:v>499.76676265425448</c:v>
                </c:pt>
                <c:pt idx="20">
                  <c:v>543.35249770969801</c:v>
                </c:pt>
                <c:pt idx="22">
                  <c:v>369.35199988913394</c:v>
                </c:pt>
                <c:pt idx="25">
                  <c:v>1842.8401930628143</c:v>
                </c:pt>
                <c:pt idx="26">
                  <c:v>262.04564295703648</c:v>
                </c:pt>
                <c:pt idx="27">
                  <c:v>1841.8701930628142</c:v>
                </c:pt>
                <c:pt idx="28">
                  <c:v>1565.2971861785045</c:v>
                </c:pt>
                <c:pt idx="29">
                  <c:v>229.14748878228028</c:v>
                </c:pt>
                <c:pt idx="30">
                  <c:v>1842.8401930628143</c:v>
                </c:pt>
                <c:pt idx="31">
                  <c:v>1593.7728191207532</c:v>
                </c:pt>
                <c:pt idx="32">
                  <c:v>1842.8401930628143</c:v>
                </c:pt>
                <c:pt idx="33">
                  <c:v>86.011582753426296</c:v>
                </c:pt>
                <c:pt idx="34">
                  <c:v>79.091582753426309</c:v>
                </c:pt>
              </c:numCache>
            </c:numRef>
          </c:val>
          <c:extLst>
            <c:ext xmlns:c16="http://schemas.microsoft.com/office/drawing/2014/chart" uri="{C3380CC4-5D6E-409C-BE32-E72D297353CC}">
              <c16:uniqueId val="{00000004-B85D-4BE6-86F0-C450768B6278}"/>
            </c:ext>
          </c:extLst>
        </c:ser>
        <c:ser>
          <c:idx val="6"/>
          <c:order val="6"/>
          <c:tx>
            <c:strRef>
              <c:f>'EL GEN - Time'!$K$5:$K$6</c:f>
              <c:strCache>
                <c:ptCount val="1"/>
                <c:pt idx="0">
                  <c:v>COAL</c:v>
                </c:pt>
              </c:strCache>
            </c:strRef>
          </c:tx>
          <c:spPr>
            <a:solidFill>
              <a:schemeClr val="accent1">
                <a:lumMod val="60000"/>
              </a:schemeClr>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Time'!$K$7:$K$43</c:f>
              <c:numCache>
                <c:formatCode>General</c:formatCode>
                <c:ptCount val="36"/>
                <c:pt idx="1">
                  <c:v>162</c:v>
                </c:pt>
                <c:pt idx="2">
                  <c:v>21.8488483920043</c:v>
                </c:pt>
                <c:pt idx="3">
                  <c:v>162</c:v>
                </c:pt>
                <c:pt idx="4">
                  <c:v>245.333333333333</c:v>
                </c:pt>
                <c:pt idx="5">
                  <c:v>162</c:v>
                </c:pt>
                <c:pt idx="6">
                  <c:v>162</c:v>
                </c:pt>
                <c:pt idx="7">
                  <c:v>162</c:v>
                </c:pt>
                <c:pt idx="8">
                  <c:v>162</c:v>
                </c:pt>
                <c:pt idx="9">
                  <c:v>162</c:v>
                </c:pt>
                <c:pt idx="10">
                  <c:v>162</c:v>
                </c:pt>
                <c:pt idx="11">
                  <c:v>162</c:v>
                </c:pt>
                <c:pt idx="13">
                  <c:v>162</c:v>
                </c:pt>
                <c:pt idx="14">
                  <c:v>162</c:v>
                </c:pt>
                <c:pt idx="15">
                  <c:v>162</c:v>
                </c:pt>
                <c:pt idx="19">
                  <c:v>162</c:v>
                </c:pt>
                <c:pt idx="20">
                  <c:v>162</c:v>
                </c:pt>
                <c:pt idx="21">
                  <c:v>81.419831679281302</c:v>
                </c:pt>
                <c:pt idx="22">
                  <c:v>162</c:v>
                </c:pt>
                <c:pt idx="23">
                  <c:v>181.27828255663201</c:v>
                </c:pt>
                <c:pt idx="25">
                  <c:v>162</c:v>
                </c:pt>
                <c:pt idx="26">
                  <c:v>245.333333333333</c:v>
                </c:pt>
                <c:pt idx="27">
                  <c:v>162</c:v>
                </c:pt>
                <c:pt idx="28">
                  <c:v>162</c:v>
                </c:pt>
                <c:pt idx="29">
                  <c:v>245.333333333333</c:v>
                </c:pt>
                <c:pt idx="30">
                  <c:v>162</c:v>
                </c:pt>
                <c:pt idx="31">
                  <c:v>162</c:v>
                </c:pt>
                <c:pt idx="32">
                  <c:v>162</c:v>
                </c:pt>
                <c:pt idx="33">
                  <c:v>148.563093604263</c:v>
                </c:pt>
                <c:pt idx="34">
                  <c:v>143.47973383466601</c:v>
                </c:pt>
              </c:numCache>
            </c:numRef>
          </c:val>
          <c:extLst>
            <c:ext xmlns:c16="http://schemas.microsoft.com/office/drawing/2014/chart" uri="{C3380CC4-5D6E-409C-BE32-E72D297353CC}">
              <c16:uniqueId val="{00000005-B85D-4BE6-86F0-C450768B6278}"/>
            </c:ext>
          </c:extLst>
        </c:ser>
        <c:ser>
          <c:idx val="7"/>
          <c:order val="7"/>
          <c:tx>
            <c:strRef>
              <c:f>'EL GEN - Time'!$L$5:$L$6</c:f>
              <c:strCache>
                <c:ptCount val="1"/>
                <c:pt idx="0">
                  <c:v>ELECTRIC</c:v>
                </c:pt>
              </c:strCache>
            </c:strRef>
          </c:tx>
          <c:spPr>
            <a:solidFill>
              <a:schemeClr val="accent2">
                <a:lumMod val="60000"/>
              </a:schemeClr>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Time'!$L$7:$L$43</c:f>
              <c:numCache>
                <c:formatCode>General</c:formatCode>
                <c:ptCount val="36"/>
                <c:pt idx="0">
                  <c:v>-300.96576866778537</c:v>
                </c:pt>
                <c:pt idx="1">
                  <c:v>1130.2894878572049</c:v>
                </c:pt>
                <c:pt idx="2">
                  <c:v>-72.909386742288362</c:v>
                </c:pt>
                <c:pt idx="3">
                  <c:v>-72.796053408955032</c:v>
                </c:pt>
                <c:pt idx="4">
                  <c:v>-72.796053408955032</c:v>
                </c:pt>
                <c:pt idx="5">
                  <c:v>-72.296053408955032</c:v>
                </c:pt>
                <c:pt idx="6">
                  <c:v>242.5961887214259</c:v>
                </c:pt>
                <c:pt idx="7">
                  <c:v>602.77404384898591</c:v>
                </c:pt>
                <c:pt idx="8">
                  <c:v>1414.084272973744</c:v>
                </c:pt>
                <c:pt idx="9">
                  <c:v>-72.296053408955032</c:v>
                </c:pt>
                <c:pt idx="10">
                  <c:v>-72.796053408955032</c:v>
                </c:pt>
                <c:pt idx="11">
                  <c:v>-72.296053408955032</c:v>
                </c:pt>
                <c:pt idx="12">
                  <c:v>-354.2942318284318</c:v>
                </c:pt>
                <c:pt idx="13">
                  <c:v>711.47367231847784</c:v>
                </c:pt>
                <c:pt idx="14">
                  <c:v>411.78011328925294</c:v>
                </c:pt>
                <c:pt idx="15">
                  <c:v>920.42671065295303</c:v>
                </c:pt>
                <c:pt idx="16">
                  <c:v>-408.00542132922845</c:v>
                </c:pt>
                <c:pt idx="17">
                  <c:v>-408.00542132922845</c:v>
                </c:pt>
                <c:pt idx="18">
                  <c:v>-408.00542132922845</c:v>
                </c:pt>
                <c:pt idx="19">
                  <c:v>285.51277437631296</c:v>
                </c:pt>
                <c:pt idx="20">
                  <c:v>190.40278772626399</c:v>
                </c:pt>
                <c:pt idx="21">
                  <c:v>-72.296053408955032</c:v>
                </c:pt>
                <c:pt idx="22">
                  <c:v>1567.7649341581114</c:v>
                </c:pt>
                <c:pt idx="23">
                  <c:v>-72.296053408955032</c:v>
                </c:pt>
                <c:pt idx="24">
                  <c:v>-82.623113363215097</c:v>
                </c:pt>
                <c:pt idx="25">
                  <c:v>1603.1353859126161</c:v>
                </c:pt>
                <c:pt idx="26">
                  <c:v>-72.296053408955032</c:v>
                </c:pt>
                <c:pt idx="27">
                  <c:v>505.84019280611591</c:v>
                </c:pt>
                <c:pt idx="28">
                  <c:v>-27.518695659438773</c:v>
                </c:pt>
                <c:pt idx="29">
                  <c:v>-71.670624837526461</c:v>
                </c:pt>
                <c:pt idx="30">
                  <c:v>1331.763244080405</c:v>
                </c:pt>
                <c:pt idx="31">
                  <c:v>-68.536066638335171</c:v>
                </c:pt>
                <c:pt idx="32">
                  <c:v>36.471774010979587</c:v>
                </c:pt>
                <c:pt idx="33">
                  <c:v>-71.670624837526461</c:v>
                </c:pt>
                <c:pt idx="34">
                  <c:v>-72.796053408955032</c:v>
                </c:pt>
                <c:pt idx="35">
                  <c:v>-72.909386742288362</c:v>
                </c:pt>
              </c:numCache>
            </c:numRef>
          </c:val>
          <c:extLst>
            <c:ext xmlns:c16="http://schemas.microsoft.com/office/drawing/2014/chart" uri="{C3380CC4-5D6E-409C-BE32-E72D297353CC}">
              <c16:uniqueId val="{00000006-B85D-4BE6-86F0-C450768B6278}"/>
            </c:ext>
          </c:extLst>
        </c:ser>
        <c:ser>
          <c:idx val="8"/>
          <c:order val="8"/>
          <c:tx>
            <c:strRef>
              <c:f>'EL GEN - Time'!$M$5:$M$6</c:f>
              <c:strCache>
                <c:ptCount val="1"/>
                <c:pt idx="0">
                  <c:v>STRAW</c:v>
                </c:pt>
              </c:strCache>
            </c:strRef>
          </c:tx>
          <c:spPr>
            <a:solidFill>
              <a:schemeClr val="accent3">
                <a:lumMod val="60000"/>
              </a:schemeClr>
            </a:solidFill>
            <a:ln>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Time'!$M$7:$M$43</c:f>
              <c:numCache>
                <c:formatCode>General</c:formatCode>
                <c:ptCount val="36"/>
                <c:pt idx="1">
                  <c:v>156</c:v>
                </c:pt>
                <c:pt idx="3">
                  <c:v>156</c:v>
                </c:pt>
                <c:pt idx="5">
                  <c:v>156</c:v>
                </c:pt>
                <c:pt idx="6">
                  <c:v>156</c:v>
                </c:pt>
                <c:pt idx="7">
                  <c:v>156</c:v>
                </c:pt>
                <c:pt idx="8">
                  <c:v>156</c:v>
                </c:pt>
                <c:pt idx="9">
                  <c:v>156</c:v>
                </c:pt>
                <c:pt idx="10">
                  <c:v>156</c:v>
                </c:pt>
                <c:pt idx="11">
                  <c:v>156</c:v>
                </c:pt>
                <c:pt idx="13">
                  <c:v>125</c:v>
                </c:pt>
                <c:pt idx="14">
                  <c:v>138.8126663591392</c:v>
                </c:pt>
                <c:pt idx="15">
                  <c:v>156</c:v>
                </c:pt>
                <c:pt idx="19">
                  <c:v>125</c:v>
                </c:pt>
                <c:pt idx="20">
                  <c:v>125</c:v>
                </c:pt>
                <c:pt idx="22">
                  <c:v>125</c:v>
                </c:pt>
                <c:pt idx="25">
                  <c:v>156</c:v>
                </c:pt>
                <c:pt idx="27">
                  <c:v>156</c:v>
                </c:pt>
                <c:pt idx="28">
                  <c:v>156</c:v>
                </c:pt>
                <c:pt idx="30">
                  <c:v>156</c:v>
                </c:pt>
                <c:pt idx="31">
                  <c:v>156</c:v>
                </c:pt>
                <c:pt idx="32">
                  <c:v>156</c:v>
                </c:pt>
              </c:numCache>
            </c:numRef>
          </c:val>
          <c:extLst>
            <c:ext xmlns:c16="http://schemas.microsoft.com/office/drawing/2014/chart" uri="{C3380CC4-5D6E-409C-BE32-E72D297353CC}">
              <c16:uniqueId val="{00000007-B85D-4BE6-86F0-C450768B6278}"/>
            </c:ext>
          </c:extLst>
        </c:ser>
        <c:ser>
          <c:idx val="9"/>
          <c:order val="9"/>
          <c:tx>
            <c:strRef>
              <c:f>'EL GEN - Time'!$N$5:$N$6</c:f>
              <c:strCache>
                <c:ptCount val="1"/>
                <c:pt idx="0">
                  <c:v>BIOGAS</c:v>
                </c:pt>
              </c:strCache>
            </c:strRef>
          </c:tx>
          <c:spPr>
            <a:solidFill>
              <a:schemeClr val="accent4">
                <a:lumMod val="60000"/>
              </a:schemeClr>
            </a:solidFill>
            <a:ln w="25400">
              <a:noFill/>
            </a:ln>
            <a:effectLst/>
          </c:spPr>
          <c:cat>
            <c:multiLvlStrRef>
              <c:f>'EL GEN - Time'!$B$7:$D$43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2030</c:v>
                  </c:pt>
                </c:lvl>
              </c:multiLvlStrCache>
            </c:multiLvlStrRef>
          </c:cat>
          <c:val>
            <c:numRef>
              <c:f>'EL GEN - Time'!$N$7:$N$43</c:f>
              <c:numCache>
                <c:formatCode>General</c:formatCode>
                <c:ptCount val="36"/>
                <c:pt idx="6">
                  <c:v>58.48</c:v>
                </c:pt>
                <c:pt idx="7">
                  <c:v>58.48</c:v>
                </c:pt>
                <c:pt idx="8">
                  <c:v>58.48</c:v>
                </c:pt>
                <c:pt idx="25">
                  <c:v>31.271000000000001</c:v>
                </c:pt>
                <c:pt idx="27">
                  <c:v>31.271000000000001</c:v>
                </c:pt>
                <c:pt idx="30">
                  <c:v>31.271000000000001</c:v>
                </c:pt>
                <c:pt idx="32">
                  <c:v>31.271000000000001</c:v>
                </c:pt>
              </c:numCache>
            </c:numRef>
          </c:val>
          <c:extLst>
            <c:ext xmlns:c16="http://schemas.microsoft.com/office/drawing/2014/chart" uri="{C3380CC4-5D6E-409C-BE32-E72D297353CC}">
              <c16:uniqueId val="{00000000-A8C9-4185-8358-9152EA198F25}"/>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s>
    <c:plotArea>
      <c:layout/>
      <c:barChart>
        <c:barDir val="col"/>
        <c:grouping val="stacked"/>
        <c:varyColors val="0"/>
        <c:ser>
          <c:idx val="0"/>
          <c:order val="0"/>
          <c:tx>
            <c:strRef>
              <c:f>'HE GEN - Annual'!$D$4:$D$5</c:f>
              <c:strCache>
                <c:ptCount val="1"/>
                <c:pt idx="0">
                  <c:v>WOODCHIPS</c:v>
                </c:pt>
              </c:strCache>
            </c:strRef>
          </c:tx>
          <c:spPr>
            <a:solidFill>
              <a:schemeClr val="accent1"/>
            </a:solidFill>
            <a:ln>
              <a:noFill/>
            </a:ln>
            <a:effectLst/>
          </c:spPr>
          <c:invertIfNegative val="0"/>
          <c:cat>
            <c:multiLvlStrRef>
              <c:f>'HE GEN - Annual'!$B$6:$C$7</c:f>
              <c:multiLvlStrCache>
                <c:ptCount val="1"/>
                <c:lvl>
                  <c:pt idx="0">
                    <c:v>2030</c:v>
                  </c:pt>
                </c:lvl>
                <c:lvl>
                  <c:pt idx="0">
                    <c:v>DENMARK</c:v>
                  </c:pt>
                </c:lvl>
              </c:multiLvlStrCache>
            </c:multiLvlStrRef>
          </c:cat>
          <c:val>
            <c:numRef>
              <c:f>'HE GEN - Annual'!$D$6:$D$7</c:f>
              <c:numCache>
                <c:formatCode>General</c:formatCode>
                <c:ptCount val="1"/>
                <c:pt idx="0">
                  <c:v>2.3528978505278508</c:v>
                </c:pt>
              </c:numCache>
            </c:numRef>
          </c:val>
          <c:extLst>
            <c:ext xmlns:c16="http://schemas.microsoft.com/office/drawing/2014/chart" uri="{C3380CC4-5D6E-409C-BE32-E72D297353CC}">
              <c16:uniqueId val="{00000000-C23E-490F-98BC-81548CC429A8}"/>
            </c:ext>
          </c:extLst>
        </c:ser>
        <c:ser>
          <c:idx val="1"/>
          <c:order val="1"/>
          <c:tx>
            <c:strRef>
              <c:f>'HE GEN - Annual'!$E$4:$E$5</c:f>
              <c:strCache>
                <c:ptCount val="1"/>
                <c:pt idx="0">
                  <c:v>COAL</c:v>
                </c:pt>
              </c:strCache>
            </c:strRef>
          </c:tx>
          <c:spPr>
            <a:solidFill>
              <a:schemeClr val="accent2"/>
            </a:solidFill>
            <a:ln>
              <a:noFill/>
            </a:ln>
            <a:effectLst/>
          </c:spPr>
          <c:invertIfNegative val="0"/>
          <c:cat>
            <c:multiLvlStrRef>
              <c:f>'HE GEN - Annual'!$B$6:$C$7</c:f>
              <c:multiLvlStrCache>
                <c:ptCount val="1"/>
                <c:lvl>
                  <c:pt idx="0">
                    <c:v>2030</c:v>
                  </c:pt>
                </c:lvl>
                <c:lvl>
                  <c:pt idx="0">
                    <c:v>DENMARK</c:v>
                  </c:pt>
                </c:lvl>
              </c:multiLvlStrCache>
            </c:multiLvlStrRef>
          </c:cat>
          <c:val>
            <c:numRef>
              <c:f>'HE GEN - Annual'!$E$6:$E$7</c:f>
              <c:numCache>
                <c:formatCode>General</c:formatCode>
                <c:ptCount val="1"/>
                <c:pt idx="0">
                  <c:v>1.529622465221689</c:v>
                </c:pt>
              </c:numCache>
            </c:numRef>
          </c:val>
          <c:extLst>
            <c:ext xmlns:c16="http://schemas.microsoft.com/office/drawing/2014/chart" uri="{C3380CC4-5D6E-409C-BE32-E72D297353CC}">
              <c16:uniqueId val="{00000000-BDA2-4E05-ABBA-5CC62DDE2FC3}"/>
            </c:ext>
          </c:extLst>
        </c:ser>
        <c:ser>
          <c:idx val="2"/>
          <c:order val="2"/>
          <c:tx>
            <c:strRef>
              <c:f>'HE GEN - Annual'!$F$4:$F$5</c:f>
              <c:strCache>
                <c:ptCount val="1"/>
                <c:pt idx="0">
                  <c:v>MUNIWASTE</c:v>
                </c:pt>
              </c:strCache>
            </c:strRef>
          </c:tx>
          <c:spPr>
            <a:solidFill>
              <a:schemeClr val="accent3"/>
            </a:solidFill>
            <a:ln>
              <a:noFill/>
            </a:ln>
            <a:effectLst/>
          </c:spPr>
          <c:invertIfNegative val="0"/>
          <c:cat>
            <c:multiLvlStrRef>
              <c:f>'HE GEN - Annual'!$B$6:$C$7</c:f>
              <c:multiLvlStrCache>
                <c:ptCount val="1"/>
                <c:lvl>
                  <c:pt idx="0">
                    <c:v>2030</c:v>
                  </c:pt>
                </c:lvl>
                <c:lvl>
                  <c:pt idx="0">
                    <c:v>DENMARK</c:v>
                  </c:pt>
                </c:lvl>
              </c:multiLvlStrCache>
            </c:multiLvlStrRef>
          </c:cat>
          <c:val>
            <c:numRef>
              <c:f>'HE GEN - Annual'!$F$6:$F$7</c:f>
              <c:numCache>
                <c:formatCode>General</c:formatCode>
                <c:ptCount val="1"/>
                <c:pt idx="0">
                  <c:v>11.63128412032294</c:v>
                </c:pt>
              </c:numCache>
            </c:numRef>
          </c:val>
          <c:extLst>
            <c:ext xmlns:c16="http://schemas.microsoft.com/office/drawing/2014/chart" uri="{C3380CC4-5D6E-409C-BE32-E72D297353CC}">
              <c16:uniqueId val="{00000001-BDA2-4E05-ABBA-5CC62DDE2FC3}"/>
            </c:ext>
          </c:extLst>
        </c:ser>
        <c:ser>
          <c:idx val="3"/>
          <c:order val="3"/>
          <c:tx>
            <c:strRef>
              <c:f>'HE GEN - Annual'!$G$4:$G$5</c:f>
              <c:strCache>
                <c:ptCount val="1"/>
                <c:pt idx="0">
                  <c:v>WASTEHEAT</c:v>
                </c:pt>
              </c:strCache>
            </c:strRef>
          </c:tx>
          <c:spPr>
            <a:solidFill>
              <a:schemeClr val="accent4"/>
            </a:solidFill>
            <a:ln>
              <a:noFill/>
            </a:ln>
            <a:effectLst/>
          </c:spPr>
          <c:invertIfNegative val="0"/>
          <c:cat>
            <c:multiLvlStrRef>
              <c:f>'HE GEN - Annual'!$B$6:$C$7</c:f>
              <c:multiLvlStrCache>
                <c:ptCount val="1"/>
                <c:lvl>
                  <c:pt idx="0">
                    <c:v>2030</c:v>
                  </c:pt>
                </c:lvl>
                <c:lvl>
                  <c:pt idx="0">
                    <c:v>DENMARK</c:v>
                  </c:pt>
                </c:lvl>
              </c:multiLvlStrCache>
            </c:multiLvlStrRef>
          </c:cat>
          <c:val>
            <c:numRef>
              <c:f>'HE GEN - Annual'!$G$6:$G$7</c:f>
              <c:numCache>
                <c:formatCode>General</c:formatCode>
                <c:ptCount val="1"/>
                <c:pt idx="0">
                  <c:v>6.1933199999999999</c:v>
                </c:pt>
              </c:numCache>
            </c:numRef>
          </c:val>
          <c:extLst>
            <c:ext xmlns:c16="http://schemas.microsoft.com/office/drawing/2014/chart" uri="{C3380CC4-5D6E-409C-BE32-E72D297353CC}">
              <c16:uniqueId val="{00000002-BDA2-4E05-ABBA-5CC62DDE2FC3}"/>
            </c:ext>
          </c:extLst>
        </c:ser>
        <c:ser>
          <c:idx val="4"/>
          <c:order val="4"/>
          <c:tx>
            <c:strRef>
              <c:f>'HE GEN - Annual'!$H$4:$H$5</c:f>
              <c:strCache>
                <c:ptCount val="1"/>
                <c:pt idx="0">
                  <c:v>ELECTRIC</c:v>
                </c:pt>
              </c:strCache>
            </c:strRef>
          </c:tx>
          <c:spPr>
            <a:solidFill>
              <a:schemeClr val="accent5"/>
            </a:solidFill>
            <a:ln>
              <a:noFill/>
            </a:ln>
            <a:effectLst/>
          </c:spPr>
          <c:invertIfNegative val="0"/>
          <c:cat>
            <c:multiLvlStrRef>
              <c:f>'HE GEN - Annual'!$B$6:$C$7</c:f>
              <c:multiLvlStrCache>
                <c:ptCount val="1"/>
                <c:lvl>
                  <c:pt idx="0">
                    <c:v>2030</c:v>
                  </c:pt>
                </c:lvl>
                <c:lvl>
                  <c:pt idx="0">
                    <c:v>DENMARK</c:v>
                  </c:pt>
                </c:lvl>
              </c:multiLvlStrCache>
            </c:multiLvlStrRef>
          </c:cat>
          <c:val>
            <c:numRef>
              <c:f>'HE GEN - Annual'!$H$6:$H$7</c:f>
              <c:numCache>
                <c:formatCode>General</c:formatCode>
                <c:ptCount val="1"/>
                <c:pt idx="0">
                  <c:v>2.2803100021518792</c:v>
                </c:pt>
              </c:numCache>
            </c:numRef>
          </c:val>
          <c:extLst>
            <c:ext xmlns:c16="http://schemas.microsoft.com/office/drawing/2014/chart" uri="{C3380CC4-5D6E-409C-BE32-E72D297353CC}">
              <c16:uniqueId val="{00000003-BDA2-4E05-ABBA-5CC62DDE2FC3}"/>
            </c:ext>
          </c:extLst>
        </c:ser>
        <c:ser>
          <c:idx val="5"/>
          <c:order val="5"/>
          <c:tx>
            <c:strRef>
              <c:f>'HE GEN - Annual'!$I$4:$I$5</c:f>
              <c:strCache>
                <c:ptCount val="1"/>
                <c:pt idx="0">
                  <c:v>WOODWASTE</c:v>
                </c:pt>
              </c:strCache>
            </c:strRef>
          </c:tx>
          <c:spPr>
            <a:solidFill>
              <a:schemeClr val="accent6"/>
            </a:solidFill>
            <a:ln>
              <a:noFill/>
            </a:ln>
            <a:effectLst/>
          </c:spPr>
          <c:invertIfNegative val="0"/>
          <c:cat>
            <c:multiLvlStrRef>
              <c:f>'HE GEN - Annual'!$B$6:$C$7</c:f>
              <c:multiLvlStrCache>
                <c:ptCount val="1"/>
                <c:lvl>
                  <c:pt idx="0">
                    <c:v>2030</c:v>
                  </c:pt>
                </c:lvl>
                <c:lvl>
                  <c:pt idx="0">
                    <c:v>DENMARK</c:v>
                  </c:pt>
                </c:lvl>
              </c:multiLvlStrCache>
            </c:multiLvlStrRef>
          </c:cat>
          <c:val>
            <c:numRef>
              <c:f>'HE GEN - Annual'!$I$6:$I$7</c:f>
              <c:numCache>
                <c:formatCode>General</c:formatCode>
                <c:ptCount val="1"/>
                <c:pt idx="0">
                  <c:v>0.26451682324902714</c:v>
                </c:pt>
              </c:numCache>
            </c:numRef>
          </c:val>
          <c:extLst>
            <c:ext xmlns:c16="http://schemas.microsoft.com/office/drawing/2014/chart" uri="{C3380CC4-5D6E-409C-BE32-E72D297353CC}">
              <c16:uniqueId val="{00000000-3574-469B-8ABC-40A66D5C8235}"/>
            </c:ext>
          </c:extLst>
        </c:ser>
        <c:ser>
          <c:idx val="6"/>
          <c:order val="6"/>
          <c:tx>
            <c:strRef>
              <c:f>'HE GEN - Annual'!$J$4:$J$5</c:f>
              <c:strCache>
                <c:ptCount val="1"/>
                <c:pt idx="0">
                  <c:v>NATGAS</c:v>
                </c:pt>
              </c:strCache>
            </c:strRef>
          </c:tx>
          <c:spPr>
            <a:solidFill>
              <a:schemeClr val="accent1">
                <a:lumMod val="60000"/>
              </a:schemeClr>
            </a:solidFill>
            <a:ln>
              <a:noFill/>
            </a:ln>
            <a:effectLst/>
          </c:spPr>
          <c:invertIfNegative val="0"/>
          <c:cat>
            <c:multiLvlStrRef>
              <c:f>'HE GEN - Annual'!$B$6:$C$7</c:f>
              <c:multiLvlStrCache>
                <c:ptCount val="1"/>
                <c:lvl>
                  <c:pt idx="0">
                    <c:v>2030</c:v>
                  </c:pt>
                </c:lvl>
                <c:lvl>
                  <c:pt idx="0">
                    <c:v>DENMARK</c:v>
                  </c:pt>
                </c:lvl>
              </c:multiLvlStrCache>
            </c:multiLvlStrRef>
          </c:cat>
          <c:val>
            <c:numRef>
              <c:f>'HE GEN - Annual'!$J$6:$J$7</c:f>
              <c:numCache>
                <c:formatCode>General</c:formatCode>
                <c:ptCount val="1"/>
                <c:pt idx="0">
                  <c:v>22.278964560536341</c:v>
                </c:pt>
              </c:numCache>
            </c:numRef>
          </c:val>
          <c:extLst>
            <c:ext xmlns:c16="http://schemas.microsoft.com/office/drawing/2014/chart" uri="{C3380CC4-5D6E-409C-BE32-E72D297353CC}">
              <c16:uniqueId val="{00000000-5D63-4B7C-9903-A6D253AA2AC4}"/>
            </c:ext>
          </c:extLst>
        </c:ser>
        <c:ser>
          <c:idx val="7"/>
          <c:order val="7"/>
          <c:tx>
            <c:strRef>
              <c:f>'HE GEN - Annual'!$K$4:$K$5</c:f>
              <c:strCache>
                <c:ptCount val="1"/>
                <c:pt idx="0">
                  <c:v>STRAW</c:v>
                </c:pt>
              </c:strCache>
            </c:strRef>
          </c:tx>
          <c:spPr>
            <a:solidFill>
              <a:schemeClr val="accent2">
                <a:lumMod val="60000"/>
              </a:schemeClr>
            </a:solidFill>
            <a:ln>
              <a:noFill/>
            </a:ln>
            <a:effectLst/>
          </c:spPr>
          <c:invertIfNegative val="0"/>
          <c:cat>
            <c:multiLvlStrRef>
              <c:f>'HE GEN - Annual'!$B$6:$C$7</c:f>
              <c:multiLvlStrCache>
                <c:ptCount val="1"/>
                <c:lvl>
                  <c:pt idx="0">
                    <c:v>2030</c:v>
                  </c:pt>
                </c:lvl>
                <c:lvl>
                  <c:pt idx="0">
                    <c:v>DENMARK</c:v>
                  </c:pt>
                </c:lvl>
              </c:multiLvlStrCache>
            </c:multiLvlStrRef>
          </c:cat>
          <c:val>
            <c:numRef>
              <c:f>'HE GEN - Annual'!$K$6:$K$7</c:f>
              <c:numCache>
                <c:formatCode>General</c:formatCode>
                <c:ptCount val="1"/>
                <c:pt idx="0">
                  <c:v>3.0873320864086184</c:v>
                </c:pt>
              </c:numCache>
            </c:numRef>
          </c:val>
          <c:extLst>
            <c:ext xmlns:c16="http://schemas.microsoft.com/office/drawing/2014/chart" uri="{C3380CC4-5D6E-409C-BE32-E72D297353CC}">
              <c16:uniqueId val="{00000000-0476-44DD-8398-9E9C48D09CB4}"/>
            </c:ext>
          </c:extLst>
        </c:ser>
        <c:dLbls>
          <c:showLegendKey val="0"/>
          <c:showVal val="0"/>
          <c:showCatName val="0"/>
          <c:showSerName val="0"/>
          <c:showPercent val="0"/>
          <c:showBubbleSize val="0"/>
        </c:dLbls>
        <c:gapWidth val="2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a:noFill/>
          </a:ln>
          <a:effectLst/>
        </c:spPr>
        <c:marker>
          <c:symbol val="none"/>
        </c:marker>
      </c:pivotFmt>
      <c:pivotFmt>
        <c:idx val="364"/>
        <c:spPr>
          <a:solidFill>
            <a:schemeClr val="accent1"/>
          </a:solidFill>
          <a:ln>
            <a:noFill/>
          </a:ln>
          <a:effectLst/>
        </c:spPr>
        <c:marker>
          <c:symbol val="none"/>
        </c:marker>
      </c:pivotFmt>
      <c:pivotFmt>
        <c:idx val="365"/>
        <c:spPr>
          <a:solidFill>
            <a:schemeClr val="accent1"/>
          </a:solidFill>
          <a:ln>
            <a:noFill/>
          </a:ln>
          <a:effectLst/>
        </c:spPr>
        <c:marker>
          <c:symbol val="none"/>
        </c:marker>
      </c:pivotFmt>
      <c:pivotFmt>
        <c:idx val="366"/>
        <c:spPr>
          <a:solidFill>
            <a:schemeClr val="accent1"/>
          </a:solidFill>
          <a:ln>
            <a:noFill/>
          </a:ln>
          <a:effectLst/>
        </c:spPr>
        <c:marker>
          <c:symbol val="none"/>
        </c:marker>
      </c:pivotFmt>
      <c:pivotFmt>
        <c:idx val="367"/>
        <c:spPr>
          <a:solidFill>
            <a:schemeClr val="accent1"/>
          </a:solidFill>
          <a:ln>
            <a:noFill/>
          </a:ln>
          <a:effectLst/>
        </c:spPr>
        <c:marker>
          <c:symbol val="none"/>
        </c:marker>
      </c:pivotFmt>
      <c:pivotFmt>
        <c:idx val="368"/>
        <c:spPr>
          <a:solidFill>
            <a:schemeClr val="accent1"/>
          </a:solidFill>
          <a:ln>
            <a:noFill/>
          </a:ln>
          <a:effectLst/>
        </c:spPr>
        <c:marker>
          <c:symbol val="none"/>
        </c:marker>
      </c:pivotFmt>
      <c:pivotFmt>
        <c:idx val="369"/>
        <c:spPr>
          <a:solidFill>
            <a:schemeClr val="accent1"/>
          </a:solidFill>
          <a:ln>
            <a:noFill/>
          </a:ln>
          <a:effectLst/>
        </c:spPr>
        <c:marker>
          <c:symbol val="none"/>
        </c:marker>
      </c:pivotFmt>
      <c:pivotFmt>
        <c:idx val="370"/>
        <c:spPr>
          <a:solidFill>
            <a:schemeClr val="accent1"/>
          </a:solidFill>
          <a:ln>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a:noFill/>
          </a:ln>
          <a:effectLst/>
        </c:spPr>
        <c:marker>
          <c:symbol val="none"/>
        </c:marker>
      </c:pivotFmt>
      <c:pivotFmt>
        <c:idx val="416"/>
        <c:spPr>
          <a:solidFill>
            <a:schemeClr val="accent1"/>
          </a:solidFill>
          <a:ln>
            <a:noFill/>
          </a:ln>
          <a:effectLst/>
        </c:spPr>
        <c:marker>
          <c:symbol val="none"/>
        </c:marker>
      </c:pivotFmt>
      <c:pivotFmt>
        <c:idx val="417"/>
        <c:spPr>
          <a:solidFill>
            <a:schemeClr val="accent1"/>
          </a:solidFill>
          <a:ln>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a:noFill/>
          </a:ln>
          <a:effectLst/>
        </c:spPr>
        <c:marker>
          <c:symbol val="none"/>
        </c:marker>
      </c:pivotFmt>
      <c:pivotFmt>
        <c:idx val="429"/>
        <c:spPr>
          <a:solidFill>
            <a:schemeClr val="accent1"/>
          </a:solidFill>
          <a:ln>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a:noFill/>
          </a:ln>
          <a:effectLst/>
        </c:spPr>
        <c:marker>
          <c:symbol val="none"/>
        </c:marker>
      </c:pivotFmt>
      <c:pivotFmt>
        <c:idx val="441"/>
        <c:spPr>
          <a:solidFill>
            <a:schemeClr val="accent1"/>
          </a:solidFill>
          <a:ln>
            <a:noFill/>
          </a:ln>
          <a:effectLst/>
        </c:spPr>
        <c:marker>
          <c:symbol val="none"/>
        </c:marker>
      </c:pivotFmt>
    </c:pivotFmts>
    <c:plotArea>
      <c:layout/>
      <c:areaChart>
        <c:grouping val="stacked"/>
        <c:varyColors val="0"/>
        <c:ser>
          <c:idx val="0"/>
          <c:order val="0"/>
          <c:tx>
            <c:strRef>
              <c:f>'HE GEN - Time'!$E$6:$E$7</c:f>
              <c:strCache>
                <c:ptCount val="1"/>
                <c:pt idx="0">
                  <c:v>WOODCHIPS</c:v>
                </c:pt>
              </c:strCache>
            </c:strRef>
          </c:tx>
          <c:spPr>
            <a:solidFill>
              <a:schemeClr val="accent1"/>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Time'!$E$8:$E$44</c:f>
              <c:numCache>
                <c:formatCode>General</c:formatCode>
                <c:ptCount val="36"/>
                <c:pt idx="0">
                  <c:v>420.90558823529415</c:v>
                </c:pt>
                <c:pt idx="1">
                  <c:v>435.78295692476132</c:v>
                </c:pt>
                <c:pt idx="2">
                  <c:v>443.76760448743187</c:v>
                </c:pt>
                <c:pt idx="3">
                  <c:v>445.17029411764707</c:v>
                </c:pt>
                <c:pt idx="4">
                  <c:v>445.17029411764707</c:v>
                </c:pt>
                <c:pt idx="5">
                  <c:v>414.90281299429444</c:v>
                </c:pt>
                <c:pt idx="6">
                  <c:v>420.46372790243083</c:v>
                </c:pt>
                <c:pt idx="7">
                  <c:v>415.28167159951334</c:v>
                </c:pt>
                <c:pt idx="8">
                  <c:v>431.3889175709017</c:v>
                </c:pt>
                <c:pt idx="9">
                  <c:v>429.74595789117564</c:v>
                </c:pt>
                <c:pt idx="10">
                  <c:v>401.97196617822965</c:v>
                </c:pt>
                <c:pt idx="11">
                  <c:v>406.59439256129065</c:v>
                </c:pt>
                <c:pt idx="12">
                  <c:v>168.64443582643327</c:v>
                </c:pt>
                <c:pt idx="13">
                  <c:v>201.03000000000003</c:v>
                </c:pt>
                <c:pt idx="14">
                  <c:v>216.17956358409796</c:v>
                </c:pt>
                <c:pt idx="15">
                  <c:v>159.40058823529412</c:v>
                </c:pt>
                <c:pt idx="16">
                  <c:v>215.43509220670757</c:v>
                </c:pt>
                <c:pt idx="17">
                  <c:v>173.82126316337968</c:v>
                </c:pt>
                <c:pt idx="18">
                  <c:v>369.2721184888016</c:v>
                </c:pt>
                <c:pt idx="19">
                  <c:v>387.46000062058687</c:v>
                </c:pt>
                <c:pt idx="20">
                  <c:v>183.67229669680992</c:v>
                </c:pt>
                <c:pt idx="21">
                  <c:v>202.00058823529415</c:v>
                </c:pt>
                <c:pt idx="22">
                  <c:v>159.40058823529412</c:v>
                </c:pt>
                <c:pt idx="23">
                  <c:v>167.22072607425795</c:v>
                </c:pt>
                <c:pt idx="24">
                  <c:v>183.66529411764711</c:v>
                </c:pt>
                <c:pt idx="25">
                  <c:v>182.9802552906043</c:v>
                </c:pt>
                <c:pt idx="26">
                  <c:v>194.46529411764712</c:v>
                </c:pt>
                <c:pt idx="27">
                  <c:v>187.86394716386064</c:v>
                </c:pt>
                <c:pt idx="28">
                  <c:v>183.66529411764711</c:v>
                </c:pt>
                <c:pt idx="29">
                  <c:v>188.29538415551156</c:v>
                </c:pt>
                <c:pt idx="30">
                  <c:v>195.23303708149336</c:v>
                </c:pt>
                <c:pt idx="31">
                  <c:v>202.00058823529415</c:v>
                </c:pt>
                <c:pt idx="32">
                  <c:v>159.40058823529412</c:v>
                </c:pt>
                <c:pt idx="33">
                  <c:v>31.97058823529412</c:v>
                </c:pt>
                <c:pt idx="34">
                  <c:v>142.40058823529412</c:v>
                </c:pt>
                <c:pt idx="35">
                  <c:v>102.81891641417361</c:v>
                </c:pt>
              </c:numCache>
            </c:numRef>
          </c:val>
          <c:extLst>
            <c:ext xmlns:c16="http://schemas.microsoft.com/office/drawing/2014/chart" uri="{C3380CC4-5D6E-409C-BE32-E72D297353CC}">
              <c16:uniqueId val="{00000000-177D-44E0-A469-C45A999AF873}"/>
            </c:ext>
          </c:extLst>
        </c:ser>
        <c:ser>
          <c:idx val="1"/>
          <c:order val="1"/>
          <c:tx>
            <c:strRef>
              <c:f>'HE GEN - Time'!$F$6:$F$7</c:f>
              <c:strCache>
                <c:ptCount val="1"/>
                <c:pt idx="0">
                  <c:v>HEAT</c:v>
                </c:pt>
              </c:strCache>
            </c:strRef>
          </c:tx>
          <c:spPr>
            <a:solidFill>
              <a:schemeClr val="accent2"/>
            </a:solidFill>
            <a:ln>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Time'!$F$8:$F$44</c:f>
              <c:numCache>
                <c:formatCode>General</c:formatCode>
                <c:ptCount val="36"/>
                <c:pt idx="0">
                  <c:v>3645.5971789587247</c:v>
                </c:pt>
                <c:pt idx="1">
                  <c:v>4882.6332885501379</c:v>
                </c:pt>
                <c:pt idx="2">
                  <c:v>1831.5314360444229</c:v>
                </c:pt>
                <c:pt idx="3">
                  <c:v>2724.1026719358401</c:v>
                </c:pt>
                <c:pt idx="4">
                  <c:v>2565.0518654952348</c:v>
                </c:pt>
                <c:pt idx="5">
                  <c:v>3159.8282159961577</c:v>
                </c:pt>
                <c:pt idx="6">
                  <c:v>4844.3315180946829</c:v>
                </c:pt>
                <c:pt idx="7">
                  <c:v>2936.9692978277299</c:v>
                </c:pt>
                <c:pt idx="8">
                  <c:v>2219.1769801666842</c:v>
                </c:pt>
                <c:pt idx="9">
                  <c:v>2244.06169158996</c:v>
                </c:pt>
                <c:pt idx="10">
                  <c:v>2438.9683819660531</c:v>
                </c:pt>
                <c:pt idx="11">
                  <c:v>2450.2594689723232</c:v>
                </c:pt>
                <c:pt idx="13">
                  <c:v>526.05526073845601</c:v>
                </c:pt>
                <c:pt idx="14">
                  <c:v>360.38980066068603</c:v>
                </c:pt>
                <c:pt idx="16">
                  <c:v>22.138703482740802</c:v>
                </c:pt>
                <c:pt idx="18">
                  <c:v>552.85695143884277</c:v>
                </c:pt>
                <c:pt idx="19">
                  <c:v>1045.8587358397683</c:v>
                </c:pt>
                <c:pt idx="20">
                  <c:v>397.70722814424107</c:v>
                </c:pt>
                <c:pt idx="21">
                  <c:v>249.02051038937768</c:v>
                </c:pt>
                <c:pt idx="23">
                  <c:v>387.61960220148336</c:v>
                </c:pt>
                <c:pt idx="24">
                  <c:v>29.838199903929102</c:v>
                </c:pt>
                <c:pt idx="25">
                  <c:v>780.03790661959658</c:v>
                </c:pt>
                <c:pt idx="26">
                  <c:v>60.391202477590802</c:v>
                </c:pt>
                <c:pt idx="27">
                  <c:v>104.353388390259</c:v>
                </c:pt>
                <c:pt idx="28">
                  <c:v>45.9685479935427</c:v>
                </c:pt>
                <c:pt idx="29">
                  <c:v>1.8084284104064301</c:v>
                </c:pt>
                <c:pt idx="30">
                  <c:v>1024.0588879301879</c:v>
                </c:pt>
                <c:pt idx="31">
                  <c:v>32.889159552283871</c:v>
                </c:pt>
                <c:pt idx="32">
                  <c:v>434.29414005564536</c:v>
                </c:pt>
                <c:pt idx="33">
                  <c:v>545.36612640181897</c:v>
                </c:pt>
                <c:pt idx="34">
                  <c:v>619.77323685524595</c:v>
                </c:pt>
                <c:pt idx="35">
                  <c:v>848.11860743997943</c:v>
                </c:pt>
              </c:numCache>
            </c:numRef>
          </c:val>
          <c:extLst>
            <c:ext xmlns:c16="http://schemas.microsoft.com/office/drawing/2014/chart" uri="{C3380CC4-5D6E-409C-BE32-E72D297353CC}">
              <c16:uniqueId val="{00000004-86FE-48BB-9357-97F421BE4E71}"/>
            </c:ext>
          </c:extLst>
        </c:ser>
        <c:ser>
          <c:idx val="2"/>
          <c:order val="2"/>
          <c:tx>
            <c:strRef>
              <c:f>'HE GEN - Time'!$G$6:$G$7</c:f>
              <c:strCache>
                <c:ptCount val="1"/>
                <c:pt idx="0">
                  <c:v>COAL</c:v>
                </c:pt>
              </c:strCache>
            </c:strRef>
          </c:tx>
          <c:spPr>
            <a:solidFill>
              <a:schemeClr val="accent3"/>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Time'!$G$8:$G$44</c:f>
              <c:numCache>
                <c:formatCode>General</c:formatCode>
                <c:ptCount val="36"/>
                <c:pt idx="0">
                  <c:v>216.00000000000028</c:v>
                </c:pt>
                <c:pt idx="2">
                  <c:v>216.00000000000028</c:v>
                </c:pt>
                <c:pt idx="3">
                  <c:v>216.00000000000028</c:v>
                </c:pt>
                <c:pt idx="4">
                  <c:v>216.00000000000028</c:v>
                </c:pt>
                <c:pt idx="5">
                  <c:v>216.00000000000028</c:v>
                </c:pt>
                <c:pt idx="6">
                  <c:v>29.1317978560058</c:v>
                </c:pt>
                <c:pt idx="7">
                  <c:v>327.11111111111131</c:v>
                </c:pt>
                <c:pt idx="8">
                  <c:v>216.00000000000028</c:v>
                </c:pt>
                <c:pt idx="9">
                  <c:v>216.00000000000028</c:v>
                </c:pt>
                <c:pt idx="10">
                  <c:v>216.00000000000028</c:v>
                </c:pt>
                <c:pt idx="11">
                  <c:v>216.00000000000028</c:v>
                </c:pt>
                <c:pt idx="12">
                  <c:v>216.00000000000028</c:v>
                </c:pt>
                <c:pt idx="15">
                  <c:v>216.00000000000028</c:v>
                </c:pt>
                <c:pt idx="16">
                  <c:v>216.00000000000028</c:v>
                </c:pt>
                <c:pt idx="17">
                  <c:v>216.00000000000028</c:v>
                </c:pt>
                <c:pt idx="18">
                  <c:v>216.00000000000028</c:v>
                </c:pt>
                <c:pt idx="21">
                  <c:v>108.5597755723751</c:v>
                </c:pt>
                <c:pt idx="22">
                  <c:v>216.00000000000028</c:v>
                </c:pt>
                <c:pt idx="23">
                  <c:v>241.70437674217533</c:v>
                </c:pt>
                <c:pt idx="24">
                  <c:v>216.00000000000028</c:v>
                </c:pt>
                <c:pt idx="26">
                  <c:v>216.00000000000028</c:v>
                </c:pt>
                <c:pt idx="27">
                  <c:v>216.00000000000028</c:v>
                </c:pt>
                <c:pt idx="28">
                  <c:v>216.00000000000028</c:v>
                </c:pt>
                <c:pt idx="29">
                  <c:v>216.00000000000028</c:v>
                </c:pt>
                <c:pt idx="30">
                  <c:v>327.11111111111131</c:v>
                </c:pt>
                <c:pt idx="31">
                  <c:v>216.00000000000028</c:v>
                </c:pt>
                <c:pt idx="32">
                  <c:v>327.11111111111131</c:v>
                </c:pt>
                <c:pt idx="33">
                  <c:v>198.08412480568433</c:v>
                </c:pt>
                <c:pt idx="34">
                  <c:v>191.30631177955428</c:v>
                </c:pt>
              </c:numCache>
            </c:numRef>
          </c:val>
          <c:extLst>
            <c:ext xmlns:c16="http://schemas.microsoft.com/office/drawing/2014/chart" uri="{C3380CC4-5D6E-409C-BE32-E72D297353CC}">
              <c16:uniqueId val="{00000005-86FE-48BB-9357-97F421BE4E71}"/>
            </c:ext>
          </c:extLst>
        </c:ser>
        <c:ser>
          <c:idx val="3"/>
          <c:order val="3"/>
          <c:tx>
            <c:strRef>
              <c:f>'HE GEN - Time'!$H$6:$H$7</c:f>
              <c:strCache>
                <c:ptCount val="1"/>
                <c:pt idx="0">
                  <c:v>MUNIWASTE</c:v>
                </c:pt>
              </c:strCache>
            </c:strRef>
          </c:tx>
          <c:spPr>
            <a:solidFill>
              <a:schemeClr val="accent4"/>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Time'!$H$8:$H$44</c:f>
              <c:numCache>
                <c:formatCode>General</c:formatCode>
                <c:ptCount val="36"/>
                <c:pt idx="0">
                  <c:v>1327.7721598542171</c:v>
                </c:pt>
                <c:pt idx="1">
                  <c:v>1327.7721598542171</c:v>
                </c:pt>
                <c:pt idx="2">
                  <c:v>1327.7721598542171</c:v>
                </c:pt>
                <c:pt idx="3">
                  <c:v>1327.7721598542171</c:v>
                </c:pt>
                <c:pt idx="4">
                  <c:v>1327.7721598542171</c:v>
                </c:pt>
                <c:pt idx="5">
                  <c:v>1327.7721598542171</c:v>
                </c:pt>
                <c:pt idx="6">
                  <c:v>1327.7721598542171</c:v>
                </c:pt>
                <c:pt idx="7">
                  <c:v>1327.7721598542171</c:v>
                </c:pt>
                <c:pt idx="8">
                  <c:v>1327.7721598542171</c:v>
                </c:pt>
                <c:pt idx="9">
                  <c:v>1327.7721598542171</c:v>
                </c:pt>
                <c:pt idx="10">
                  <c:v>1327.7721598542171</c:v>
                </c:pt>
                <c:pt idx="11">
                  <c:v>1327.7721598542171</c:v>
                </c:pt>
                <c:pt idx="12">
                  <c:v>1327.7721598542171</c:v>
                </c:pt>
                <c:pt idx="13">
                  <c:v>1327.7721598542171</c:v>
                </c:pt>
                <c:pt idx="14">
                  <c:v>1327.7721598542171</c:v>
                </c:pt>
                <c:pt idx="15">
                  <c:v>1327.7721598542171</c:v>
                </c:pt>
                <c:pt idx="16">
                  <c:v>1327.7721598542171</c:v>
                </c:pt>
                <c:pt idx="17">
                  <c:v>1327.7721598542171</c:v>
                </c:pt>
                <c:pt idx="18">
                  <c:v>1327.7721598542171</c:v>
                </c:pt>
                <c:pt idx="19">
                  <c:v>1327.7721598542171</c:v>
                </c:pt>
                <c:pt idx="20">
                  <c:v>1327.7721598542171</c:v>
                </c:pt>
                <c:pt idx="21">
                  <c:v>1327.7721598542171</c:v>
                </c:pt>
                <c:pt idx="22">
                  <c:v>1327.7721598542171</c:v>
                </c:pt>
                <c:pt idx="23">
                  <c:v>1327.7721598542171</c:v>
                </c:pt>
                <c:pt idx="24">
                  <c:v>1327.7721598542171</c:v>
                </c:pt>
                <c:pt idx="25">
                  <c:v>1327.7721598542171</c:v>
                </c:pt>
                <c:pt idx="26">
                  <c:v>1327.7721598542171</c:v>
                </c:pt>
                <c:pt idx="27">
                  <c:v>1327.7721598542171</c:v>
                </c:pt>
                <c:pt idx="28">
                  <c:v>1327.7721598542171</c:v>
                </c:pt>
                <c:pt idx="29">
                  <c:v>1327.7721598542171</c:v>
                </c:pt>
                <c:pt idx="30">
                  <c:v>1327.7721598542171</c:v>
                </c:pt>
                <c:pt idx="31">
                  <c:v>1327.7721598542171</c:v>
                </c:pt>
                <c:pt idx="32">
                  <c:v>1327.7721598542171</c:v>
                </c:pt>
                <c:pt idx="33">
                  <c:v>1327.7721598542171</c:v>
                </c:pt>
                <c:pt idx="34">
                  <c:v>1327.7721598542171</c:v>
                </c:pt>
                <c:pt idx="35">
                  <c:v>1327.7721598542171</c:v>
                </c:pt>
              </c:numCache>
            </c:numRef>
          </c:val>
          <c:extLst>
            <c:ext xmlns:c16="http://schemas.microsoft.com/office/drawing/2014/chart" uri="{C3380CC4-5D6E-409C-BE32-E72D297353CC}">
              <c16:uniqueId val="{00000000-E023-40AB-A163-5FE9CA9C3D2B}"/>
            </c:ext>
          </c:extLst>
        </c:ser>
        <c:ser>
          <c:idx val="4"/>
          <c:order val="4"/>
          <c:tx>
            <c:strRef>
              <c:f>'HE GEN - Time'!$I$6:$I$7</c:f>
              <c:strCache>
                <c:ptCount val="1"/>
                <c:pt idx="0">
                  <c:v>WASTEHEAT</c:v>
                </c:pt>
              </c:strCache>
            </c:strRef>
          </c:tx>
          <c:spPr>
            <a:solidFill>
              <a:schemeClr val="accent5"/>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Time'!$I$8:$I$44</c:f>
              <c:numCache>
                <c:formatCode>General</c:formatCode>
                <c:ptCount val="36"/>
                <c:pt idx="0">
                  <c:v>707</c:v>
                </c:pt>
                <c:pt idx="1">
                  <c:v>707</c:v>
                </c:pt>
                <c:pt idx="2">
                  <c:v>707</c:v>
                </c:pt>
                <c:pt idx="3">
                  <c:v>707</c:v>
                </c:pt>
                <c:pt idx="4">
                  <c:v>707</c:v>
                </c:pt>
                <c:pt idx="5">
                  <c:v>707</c:v>
                </c:pt>
                <c:pt idx="6">
                  <c:v>707</c:v>
                </c:pt>
                <c:pt idx="7">
                  <c:v>707</c:v>
                </c:pt>
                <c:pt idx="8">
                  <c:v>707</c:v>
                </c:pt>
                <c:pt idx="9">
                  <c:v>707</c:v>
                </c:pt>
                <c:pt idx="10">
                  <c:v>707</c:v>
                </c:pt>
                <c:pt idx="11">
                  <c:v>707</c:v>
                </c:pt>
                <c:pt idx="12">
                  <c:v>707</c:v>
                </c:pt>
                <c:pt idx="13">
                  <c:v>707</c:v>
                </c:pt>
                <c:pt idx="14">
                  <c:v>707</c:v>
                </c:pt>
                <c:pt idx="15">
                  <c:v>707</c:v>
                </c:pt>
                <c:pt idx="16">
                  <c:v>707</c:v>
                </c:pt>
                <c:pt idx="17">
                  <c:v>707</c:v>
                </c:pt>
                <c:pt idx="18">
                  <c:v>707</c:v>
                </c:pt>
                <c:pt idx="19">
                  <c:v>707</c:v>
                </c:pt>
                <c:pt idx="20">
                  <c:v>707</c:v>
                </c:pt>
                <c:pt idx="21">
                  <c:v>707</c:v>
                </c:pt>
                <c:pt idx="22">
                  <c:v>707</c:v>
                </c:pt>
                <c:pt idx="23">
                  <c:v>707</c:v>
                </c:pt>
                <c:pt idx="24">
                  <c:v>707</c:v>
                </c:pt>
                <c:pt idx="25">
                  <c:v>707</c:v>
                </c:pt>
                <c:pt idx="26">
                  <c:v>707</c:v>
                </c:pt>
                <c:pt idx="27">
                  <c:v>707</c:v>
                </c:pt>
                <c:pt idx="28">
                  <c:v>707</c:v>
                </c:pt>
                <c:pt idx="29">
                  <c:v>707</c:v>
                </c:pt>
                <c:pt idx="30">
                  <c:v>707</c:v>
                </c:pt>
                <c:pt idx="31">
                  <c:v>707</c:v>
                </c:pt>
                <c:pt idx="32">
                  <c:v>707</c:v>
                </c:pt>
                <c:pt idx="33">
                  <c:v>707</c:v>
                </c:pt>
                <c:pt idx="34">
                  <c:v>707</c:v>
                </c:pt>
                <c:pt idx="35">
                  <c:v>707</c:v>
                </c:pt>
              </c:numCache>
            </c:numRef>
          </c:val>
          <c:extLst>
            <c:ext xmlns:c16="http://schemas.microsoft.com/office/drawing/2014/chart" uri="{C3380CC4-5D6E-409C-BE32-E72D297353CC}">
              <c16:uniqueId val="{00000001-E023-40AB-A163-5FE9CA9C3D2B}"/>
            </c:ext>
          </c:extLst>
        </c:ser>
        <c:ser>
          <c:idx val="5"/>
          <c:order val="5"/>
          <c:tx>
            <c:strRef>
              <c:f>'HE GEN - Time'!$J$6:$J$7</c:f>
              <c:strCache>
                <c:ptCount val="1"/>
                <c:pt idx="0">
                  <c:v>ELECTRIC</c:v>
                </c:pt>
              </c:strCache>
            </c:strRef>
          </c:tx>
          <c:spPr>
            <a:solidFill>
              <a:schemeClr val="accent6"/>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Time'!$J$8:$J$44</c:f>
              <c:numCache>
                <c:formatCode>General</c:formatCode>
                <c:ptCount val="36"/>
                <c:pt idx="0">
                  <c:v>277.83501449513471</c:v>
                </c:pt>
                <c:pt idx="1">
                  <c:v>503.95083260137602</c:v>
                </c:pt>
                <c:pt idx="2">
                  <c:v>1.6500000000000001</c:v>
                </c:pt>
                <c:pt idx="3">
                  <c:v>2.15</c:v>
                </c:pt>
                <c:pt idx="4">
                  <c:v>2.15</c:v>
                </c:pt>
                <c:pt idx="5">
                  <c:v>277.83501449513471</c:v>
                </c:pt>
                <c:pt idx="6">
                  <c:v>278.17501449513469</c:v>
                </c:pt>
                <c:pt idx="7">
                  <c:v>277.83501449513471</c:v>
                </c:pt>
                <c:pt idx="8">
                  <c:v>276.33501449513471</c:v>
                </c:pt>
                <c:pt idx="9">
                  <c:v>276.33501449513471</c:v>
                </c:pt>
                <c:pt idx="10">
                  <c:v>277.83501449513471</c:v>
                </c:pt>
                <c:pt idx="11">
                  <c:v>276.33501449513471</c:v>
                </c:pt>
                <c:pt idx="12">
                  <c:v>276.33501449513471</c:v>
                </c:pt>
                <c:pt idx="13">
                  <c:v>556.74601113041649</c:v>
                </c:pt>
                <c:pt idx="14">
                  <c:v>609.92008873620523</c:v>
                </c:pt>
                <c:pt idx="15">
                  <c:v>276.33501449513471</c:v>
                </c:pt>
                <c:pt idx="16">
                  <c:v>276.33501449513471</c:v>
                </c:pt>
                <c:pt idx="17">
                  <c:v>276.33501449513471</c:v>
                </c:pt>
                <c:pt idx="18">
                  <c:v>276.33501449513471</c:v>
                </c:pt>
                <c:pt idx="19">
                  <c:v>609.92008873620523</c:v>
                </c:pt>
                <c:pt idx="20">
                  <c:v>609.92008873620523</c:v>
                </c:pt>
                <c:pt idx="21">
                  <c:v>276.33501449513471</c:v>
                </c:pt>
                <c:pt idx="22">
                  <c:v>276.33501449513471</c:v>
                </c:pt>
                <c:pt idx="23">
                  <c:v>276.33501449513471</c:v>
                </c:pt>
                <c:pt idx="24">
                  <c:v>2.15</c:v>
                </c:pt>
                <c:pt idx="25">
                  <c:v>287.79160384985215</c:v>
                </c:pt>
                <c:pt idx="26">
                  <c:v>2.15</c:v>
                </c:pt>
                <c:pt idx="27">
                  <c:v>262.23469333820873</c:v>
                </c:pt>
                <c:pt idx="28">
                  <c:v>2.15</c:v>
                </c:pt>
                <c:pt idx="29">
                  <c:v>2.15</c:v>
                </c:pt>
                <c:pt idx="30">
                  <c:v>276.33501449513471</c:v>
                </c:pt>
                <c:pt idx="31">
                  <c:v>106.26628361840169</c:v>
                </c:pt>
                <c:pt idx="32">
                  <c:v>274.14601449513469</c:v>
                </c:pt>
                <c:pt idx="33">
                  <c:v>274.14601449513469</c:v>
                </c:pt>
                <c:pt idx="34">
                  <c:v>277.83501449513471</c:v>
                </c:pt>
                <c:pt idx="35">
                  <c:v>278.17501449513469</c:v>
                </c:pt>
              </c:numCache>
            </c:numRef>
          </c:val>
          <c:extLst>
            <c:ext xmlns:c16="http://schemas.microsoft.com/office/drawing/2014/chart" uri="{C3380CC4-5D6E-409C-BE32-E72D297353CC}">
              <c16:uniqueId val="{00000002-E023-40AB-A163-5FE9CA9C3D2B}"/>
            </c:ext>
          </c:extLst>
        </c:ser>
        <c:ser>
          <c:idx val="6"/>
          <c:order val="6"/>
          <c:tx>
            <c:strRef>
              <c:f>'HE GEN - Time'!$K$6:$K$7</c:f>
              <c:strCache>
                <c:ptCount val="1"/>
                <c:pt idx="0">
                  <c:v>NATGAS</c:v>
                </c:pt>
              </c:strCache>
            </c:strRef>
          </c:tx>
          <c:spPr>
            <a:solidFill>
              <a:schemeClr val="accent1">
                <a:lumMod val="60000"/>
              </a:schemeClr>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Time'!$K$8:$K$44</c:f>
              <c:numCache>
                <c:formatCode>General</c:formatCode>
                <c:ptCount val="36"/>
                <c:pt idx="0">
                  <c:v>3587.8841920271539</c:v>
                </c:pt>
                <c:pt idx="1">
                  <c:v>3533.8669964655137</c:v>
                </c:pt>
                <c:pt idx="2">
                  <c:v>4990.492871174064</c:v>
                </c:pt>
                <c:pt idx="3">
                  <c:v>5853.6143547334977</c:v>
                </c:pt>
                <c:pt idx="4">
                  <c:v>5405.8729565036792</c:v>
                </c:pt>
                <c:pt idx="5">
                  <c:v>3362.9822557420393</c:v>
                </c:pt>
                <c:pt idx="6">
                  <c:v>3831.5997808133707</c:v>
                </c:pt>
                <c:pt idx="7">
                  <c:v>3086.8781473377912</c:v>
                </c:pt>
                <c:pt idx="8">
                  <c:v>5548.4652780008282</c:v>
                </c:pt>
                <c:pt idx="9">
                  <c:v>4225.7553466911713</c:v>
                </c:pt>
                <c:pt idx="10">
                  <c:v>4059.9303918366445</c:v>
                </c:pt>
                <c:pt idx="11">
                  <c:v>4204.0997786688422</c:v>
                </c:pt>
                <c:pt idx="12">
                  <c:v>3083.5692143251094</c:v>
                </c:pt>
                <c:pt idx="13">
                  <c:v>2144.4977164806387</c:v>
                </c:pt>
                <c:pt idx="14">
                  <c:v>629.92697881566642</c:v>
                </c:pt>
                <c:pt idx="15">
                  <c:v>1889.0032436284077</c:v>
                </c:pt>
                <c:pt idx="16">
                  <c:v>1832.4148463414003</c:v>
                </c:pt>
                <c:pt idx="17">
                  <c:v>3131.4373676785622</c:v>
                </c:pt>
                <c:pt idx="18">
                  <c:v>2957.704734597166</c:v>
                </c:pt>
                <c:pt idx="19">
                  <c:v>966.71513384404693</c:v>
                </c:pt>
                <c:pt idx="20">
                  <c:v>1482.5625237543318</c:v>
                </c:pt>
                <c:pt idx="21">
                  <c:v>953.93183548551553</c:v>
                </c:pt>
                <c:pt idx="22">
                  <c:v>1463.1486390855466</c:v>
                </c:pt>
                <c:pt idx="23">
                  <c:v>562.8951735201058</c:v>
                </c:pt>
                <c:pt idx="24">
                  <c:v>2548.7659356368331</c:v>
                </c:pt>
                <c:pt idx="25">
                  <c:v>734.61529078191325</c:v>
                </c:pt>
                <c:pt idx="26">
                  <c:v>2397.917241397668</c:v>
                </c:pt>
                <c:pt idx="27">
                  <c:v>2368.0298371602789</c:v>
                </c:pt>
                <c:pt idx="28">
                  <c:v>2499.1038096375478</c:v>
                </c:pt>
                <c:pt idx="29">
                  <c:v>2428.0018121413395</c:v>
                </c:pt>
                <c:pt idx="30">
                  <c:v>924.74097814340007</c:v>
                </c:pt>
                <c:pt idx="31">
                  <c:v>2055.2122404271977</c:v>
                </c:pt>
                <c:pt idx="32">
                  <c:v>873.66910218522173</c:v>
                </c:pt>
                <c:pt idx="33">
                  <c:v>535.64308086726567</c:v>
                </c:pt>
                <c:pt idx="34">
                  <c:v>683.54473071242808</c:v>
                </c:pt>
                <c:pt idx="35">
                  <c:v>718.8947883016931</c:v>
                </c:pt>
              </c:numCache>
            </c:numRef>
          </c:val>
          <c:extLst>
            <c:ext xmlns:c16="http://schemas.microsoft.com/office/drawing/2014/chart" uri="{C3380CC4-5D6E-409C-BE32-E72D297353CC}">
              <c16:uniqueId val="{00000003-E023-40AB-A163-5FE9CA9C3D2B}"/>
            </c:ext>
          </c:extLst>
        </c:ser>
        <c:ser>
          <c:idx val="7"/>
          <c:order val="7"/>
          <c:tx>
            <c:strRef>
              <c:f>'HE GEN - Time'!$L$6:$L$7</c:f>
              <c:strCache>
                <c:ptCount val="1"/>
                <c:pt idx="0">
                  <c:v>WOODWASTE</c:v>
                </c:pt>
              </c:strCache>
            </c:strRef>
          </c:tx>
          <c:spPr>
            <a:solidFill>
              <a:schemeClr val="accent2">
                <a:lumMod val="60000"/>
              </a:schemeClr>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Time'!$L$8:$L$44</c:f>
              <c:numCache>
                <c:formatCode>General</c:formatCode>
                <c:ptCount val="36"/>
                <c:pt idx="0">
                  <c:v>35.257999999999996</c:v>
                </c:pt>
                <c:pt idx="1">
                  <c:v>41.917999999999992</c:v>
                </c:pt>
                <c:pt idx="2">
                  <c:v>35.257999999999996</c:v>
                </c:pt>
                <c:pt idx="3">
                  <c:v>35.257999999999996</c:v>
                </c:pt>
                <c:pt idx="4">
                  <c:v>35.257999999999996</c:v>
                </c:pt>
                <c:pt idx="5">
                  <c:v>35.257999999999996</c:v>
                </c:pt>
                <c:pt idx="6">
                  <c:v>35.257999999999996</c:v>
                </c:pt>
                <c:pt idx="7">
                  <c:v>35.257999999999996</c:v>
                </c:pt>
                <c:pt idx="8">
                  <c:v>35.257999999999996</c:v>
                </c:pt>
                <c:pt idx="9">
                  <c:v>35.257999999999996</c:v>
                </c:pt>
                <c:pt idx="10">
                  <c:v>35.257999999999996</c:v>
                </c:pt>
                <c:pt idx="11">
                  <c:v>35.257999999999996</c:v>
                </c:pt>
                <c:pt idx="12">
                  <c:v>26.68</c:v>
                </c:pt>
                <c:pt idx="13">
                  <c:v>26.68</c:v>
                </c:pt>
                <c:pt idx="14">
                  <c:v>26.68</c:v>
                </c:pt>
                <c:pt idx="15">
                  <c:v>26.68</c:v>
                </c:pt>
                <c:pt idx="16">
                  <c:v>30.48</c:v>
                </c:pt>
                <c:pt idx="17">
                  <c:v>26.68</c:v>
                </c:pt>
                <c:pt idx="18">
                  <c:v>35.257999999999996</c:v>
                </c:pt>
                <c:pt idx="19">
                  <c:v>35.257999999999996</c:v>
                </c:pt>
                <c:pt idx="20">
                  <c:v>26.68</c:v>
                </c:pt>
                <c:pt idx="21">
                  <c:v>26.68</c:v>
                </c:pt>
                <c:pt idx="22">
                  <c:v>26.68</c:v>
                </c:pt>
                <c:pt idx="23">
                  <c:v>26.68</c:v>
                </c:pt>
                <c:pt idx="24">
                  <c:v>26.68</c:v>
                </c:pt>
                <c:pt idx="25">
                  <c:v>26.423438009700419</c:v>
                </c:pt>
                <c:pt idx="26">
                  <c:v>26.68</c:v>
                </c:pt>
                <c:pt idx="27">
                  <c:v>26.68</c:v>
                </c:pt>
                <c:pt idx="28">
                  <c:v>26.68</c:v>
                </c:pt>
                <c:pt idx="29">
                  <c:v>25.75</c:v>
                </c:pt>
                <c:pt idx="30">
                  <c:v>26.68</c:v>
                </c:pt>
                <c:pt idx="31">
                  <c:v>26.68</c:v>
                </c:pt>
                <c:pt idx="32">
                  <c:v>25.75</c:v>
                </c:pt>
                <c:pt idx="33">
                  <c:v>25.75</c:v>
                </c:pt>
                <c:pt idx="34">
                  <c:v>26.68</c:v>
                </c:pt>
                <c:pt idx="35">
                  <c:v>25.75</c:v>
                </c:pt>
              </c:numCache>
            </c:numRef>
          </c:val>
          <c:extLst>
            <c:ext xmlns:c16="http://schemas.microsoft.com/office/drawing/2014/chart" uri="{C3380CC4-5D6E-409C-BE32-E72D297353CC}">
              <c16:uniqueId val="{00000004-E023-40AB-A163-5FE9CA9C3D2B}"/>
            </c:ext>
          </c:extLst>
        </c:ser>
        <c:ser>
          <c:idx val="8"/>
          <c:order val="8"/>
          <c:tx>
            <c:strRef>
              <c:f>'HE GEN - Time'!$M$6:$M$7</c:f>
              <c:strCache>
                <c:ptCount val="1"/>
                <c:pt idx="0">
                  <c:v>STRAW</c:v>
                </c:pt>
              </c:strCache>
            </c:strRef>
          </c:tx>
          <c:spPr>
            <a:solidFill>
              <a:schemeClr val="accent3">
                <a:lumMod val="60000"/>
              </a:schemeClr>
            </a:solidFill>
            <a:ln w="25400">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Time'!$M$8:$M$44</c:f>
              <c:numCache>
                <c:formatCode>General</c:formatCode>
                <c:ptCount val="36"/>
                <c:pt idx="0">
                  <c:v>504.29340708233741</c:v>
                </c:pt>
                <c:pt idx="1">
                  <c:v>279.36</c:v>
                </c:pt>
                <c:pt idx="2">
                  <c:v>504.29340708233741</c:v>
                </c:pt>
                <c:pt idx="3">
                  <c:v>504.29340708233741</c:v>
                </c:pt>
                <c:pt idx="4">
                  <c:v>504.29340708233741</c:v>
                </c:pt>
                <c:pt idx="5">
                  <c:v>504.29340708233741</c:v>
                </c:pt>
                <c:pt idx="6">
                  <c:v>270.33</c:v>
                </c:pt>
                <c:pt idx="7">
                  <c:v>267.91000000000003</c:v>
                </c:pt>
                <c:pt idx="8">
                  <c:v>504.29340708233741</c:v>
                </c:pt>
                <c:pt idx="9">
                  <c:v>504.29340708233741</c:v>
                </c:pt>
                <c:pt idx="10">
                  <c:v>504.29340708233741</c:v>
                </c:pt>
                <c:pt idx="11">
                  <c:v>504.29340708233741</c:v>
                </c:pt>
                <c:pt idx="12">
                  <c:v>429.89120229735164</c:v>
                </c:pt>
                <c:pt idx="13">
                  <c:v>239.12205307258614</c:v>
                </c:pt>
                <c:pt idx="14">
                  <c:v>249.1652122948596</c:v>
                </c:pt>
                <c:pt idx="15">
                  <c:v>375.47940173507209</c:v>
                </c:pt>
                <c:pt idx="16">
                  <c:v>366.4135039542964</c:v>
                </c:pt>
                <c:pt idx="17">
                  <c:v>474.12456394736961</c:v>
                </c:pt>
                <c:pt idx="18">
                  <c:v>465.64034650564673</c:v>
                </c:pt>
                <c:pt idx="19">
                  <c:v>267.91000000000003</c:v>
                </c:pt>
                <c:pt idx="20">
                  <c:v>240.53160025712413</c:v>
                </c:pt>
                <c:pt idx="21">
                  <c:v>220.53614708320544</c:v>
                </c:pt>
                <c:pt idx="22">
                  <c:v>381.36011248221439</c:v>
                </c:pt>
                <c:pt idx="23">
                  <c:v>224.05459816222714</c:v>
                </c:pt>
                <c:pt idx="24">
                  <c:v>399.82026968954193</c:v>
                </c:pt>
                <c:pt idx="25">
                  <c:v>218.8181150200034</c:v>
                </c:pt>
                <c:pt idx="26">
                  <c:v>414.00401338132627</c:v>
                </c:pt>
                <c:pt idx="27">
                  <c:v>410.70428272860124</c:v>
                </c:pt>
                <c:pt idx="28">
                  <c:v>418.29752977368958</c:v>
                </c:pt>
                <c:pt idx="29">
                  <c:v>291.07530954733835</c:v>
                </c:pt>
                <c:pt idx="30">
                  <c:v>247.23028038793882</c:v>
                </c:pt>
                <c:pt idx="31">
                  <c:v>448.93716344708264</c:v>
                </c:pt>
                <c:pt idx="32">
                  <c:v>125.51393692720514</c:v>
                </c:pt>
                <c:pt idx="33">
                  <c:v>20.025480513551578</c:v>
                </c:pt>
                <c:pt idx="34">
                  <c:v>161.89046965453011</c:v>
                </c:pt>
                <c:pt idx="35">
                  <c:v>240.87985192477953</c:v>
                </c:pt>
              </c:numCache>
            </c:numRef>
          </c:val>
          <c:extLst>
            <c:ext xmlns:c16="http://schemas.microsoft.com/office/drawing/2014/chart" uri="{C3380CC4-5D6E-409C-BE32-E72D297353CC}">
              <c16:uniqueId val="{00000005-E023-40AB-A163-5FE9CA9C3D2B}"/>
            </c:ext>
          </c:extLst>
        </c:ser>
        <c:ser>
          <c:idx val="9"/>
          <c:order val="9"/>
          <c:tx>
            <c:strRef>
              <c:f>'HE GEN - Time'!$N$6:$N$7</c:f>
              <c:strCache>
                <c:ptCount val="1"/>
                <c:pt idx="0">
                  <c:v>BIOGAS</c:v>
                </c:pt>
              </c:strCache>
            </c:strRef>
          </c:tx>
          <c:spPr>
            <a:solidFill>
              <a:schemeClr val="accent4">
                <a:lumMod val="60000"/>
              </a:schemeClr>
            </a:solidFill>
            <a:ln>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Time'!$N$8:$N$44</c:f>
              <c:numCache>
                <c:formatCode>General</c:formatCode>
                <c:ptCount val="36"/>
                <c:pt idx="2">
                  <c:v>71.317073170731717</c:v>
                </c:pt>
                <c:pt idx="3">
                  <c:v>71.317073170731717</c:v>
                </c:pt>
                <c:pt idx="4">
                  <c:v>71.317073170731717</c:v>
                </c:pt>
                <c:pt idx="24">
                  <c:v>38.135365853658534</c:v>
                </c:pt>
                <c:pt idx="26">
                  <c:v>38.135365853658534</c:v>
                </c:pt>
                <c:pt idx="28">
                  <c:v>38.135365853658534</c:v>
                </c:pt>
                <c:pt idx="29">
                  <c:v>38.135365853658534</c:v>
                </c:pt>
              </c:numCache>
            </c:numRef>
          </c:val>
          <c:extLst>
            <c:ext xmlns:c16="http://schemas.microsoft.com/office/drawing/2014/chart" uri="{C3380CC4-5D6E-409C-BE32-E72D297353CC}">
              <c16:uniqueId val="{00000006-E023-40AB-A163-5FE9CA9C3D2B}"/>
            </c:ext>
          </c:extLst>
        </c:ser>
        <c:ser>
          <c:idx val="10"/>
          <c:order val="10"/>
          <c:tx>
            <c:strRef>
              <c:f>'HE GEN - Time'!$O$6:$O$7</c:f>
              <c:strCache>
                <c:ptCount val="1"/>
                <c:pt idx="0">
                  <c:v>SUN</c:v>
                </c:pt>
              </c:strCache>
            </c:strRef>
          </c:tx>
          <c:spPr>
            <a:solidFill>
              <a:schemeClr val="accent5">
                <a:lumMod val="60000"/>
              </a:schemeClr>
            </a:solidFill>
            <a:ln>
              <a:noFill/>
            </a:ln>
            <a:effectLst/>
          </c:spPr>
          <c:cat>
            <c:multiLvlStrRef>
              <c:f>'HE GEN - Time'!$B$8:$D$44</c:f>
              <c:multiLvlStrCache>
                <c:ptCount val="36"/>
                <c:lvl>
                  <c:pt idx="0">
                    <c:v>T019</c:v>
                  </c:pt>
                  <c:pt idx="1">
                    <c:v>T005</c:v>
                  </c:pt>
                  <c:pt idx="2">
                    <c:v>T089</c:v>
                  </c:pt>
                  <c:pt idx="3">
                    <c:v>T103</c:v>
                  </c:pt>
                  <c:pt idx="4">
                    <c:v>T117</c:v>
                  </c:pt>
                  <c:pt idx="5">
                    <c:v>T047</c:v>
                  </c:pt>
                  <c:pt idx="6">
                    <c:v>T033</c:v>
                  </c:pt>
                  <c:pt idx="7">
                    <c:v>T061</c:v>
                  </c:pt>
                  <c:pt idx="8">
                    <c:v>T075</c:v>
                  </c:pt>
                  <c:pt idx="9">
                    <c:v>T131</c:v>
                  </c:pt>
                  <c:pt idx="10">
                    <c:v>T145</c:v>
                  </c:pt>
                  <c:pt idx="11">
                    <c:v>T159</c:v>
                  </c:pt>
                  <c:pt idx="12">
                    <c:v>T019</c:v>
                  </c:pt>
                  <c:pt idx="13">
                    <c:v>T005</c:v>
                  </c:pt>
                  <c:pt idx="14">
                    <c:v>T089</c:v>
                  </c:pt>
                  <c:pt idx="15">
                    <c:v>T103</c:v>
                  </c:pt>
                  <c:pt idx="16">
                    <c:v>T117</c:v>
                  </c:pt>
                  <c:pt idx="17">
                    <c:v>T047</c:v>
                  </c:pt>
                  <c:pt idx="18">
                    <c:v>T033</c:v>
                  </c:pt>
                  <c:pt idx="19">
                    <c:v>T061</c:v>
                  </c:pt>
                  <c:pt idx="20">
                    <c:v>T075</c:v>
                  </c:pt>
                  <c:pt idx="21">
                    <c:v>T131</c:v>
                  </c:pt>
                  <c:pt idx="22">
                    <c:v>T145</c:v>
                  </c:pt>
                  <c:pt idx="23">
                    <c:v>T159</c:v>
                  </c:pt>
                  <c:pt idx="24">
                    <c:v>T019</c:v>
                  </c:pt>
                  <c:pt idx="25">
                    <c:v>T005</c:v>
                  </c:pt>
                  <c:pt idx="26">
                    <c:v>T089</c:v>
                  </c:pt>
                  <c:pt idx="27">
                    <c:v>T103</c:v>
                  </c:pt>
                  <c:pt idx="28">
                    <c:v>T117</c:v>
                  </c:pt>
                  <c:pt idx="29">
                    <c:v>T047</c:v>
                  </c:pt>
                  <c:pt idx="30">
                    <c:v>T033</c:v>
                  </c:pt>
                  <c:pt idx="31">
                    <c:v>T061</c:v>
                  </c:pt>
                  <c:pt idx="32">
                    <c:v>T075</c:v>
                  </c:pt>
                  <c:pt idx="33">
                    <c:v>T131</c:v>
                  </c:pt>
                  <c:pt idx="34">
                    <c:v>T145</c:v>
                  </c:pt>
                  <c:pt idx="35">
                    <c:v>T159</c:v>
                  </c:pt>
                </c:lvl>
                <c:lvl>
                  <c:pt idx="0">
                    <c:v>S12</c:v>
                  </c:pt>
                  <c:pt idx="12">
                    <c:v>S20</c:v>
                  </c:pt>
                  <c:pt idx="24">
                    <c:v>S35</c:v>
                  </c:pt>
                </c:lvl>
                <c:lvl>
                  <c:pt idx="0">
                    <c:v>2030</c:v>
                  </c:pt>
                </c:lvl>
              </c:multiLvlStrCache>
            </c:multiLvlStrRef>
          </c:cat>
          <c:val>
            <c:numRef>
              <c:f>'HE GEN - Time'!$O$8:$O$44</c:f>
              <c:numCache>
                <c:formatCode>General</c:formatCode>
                <c:ptCount val="36"/>
                <c:pt idx="2">
                  <c:v>110.49592049242742</c:v>
                </c:pt>
                <c:pt idx="7">
                  <c:v>453.66940519318081</c:v>
                </c:pt>
                <c:pt idx="9">
                  <c:v>241.29618033298217</c:v>
                </c:pt>
                <c:pt idx="11">
                  <c:v>19.25161131480656</c:v>
                </c:pt>
                <c:pt idx="18">
                  <c:v>98.994001238780896</c:v>
                </c:pt>
                <c:pt idx="21">
                  <c:v>37.108777483604428</c:v>
                </c:pt>
                <c:pt idx="26">
                  <c:v>64.626444957466234</c:v>
                </c:pt>
                <c:pt idx="31">
                  <c:v>288.32509478302836</c:v>
                </c:pt>
                <c:pt idx="33">
                  <c:v>440.10003816615784</c:v>
                </c:pt>
                <c:pt idx="35">
                  <c:v>124.35592329783908</c:v>
                </c:pt>
              </c:numCache>
            </c:numRef>
          </c:val>
          <c:extLst>
            <c:ext xmlns:c16="http://schemas.microsoft.com/office/drawing/2014/chart" uri="{C3380CC4-5D6E-409C-BE32-E72D297353CC}">
              <c16:uniqueId val="{00000007-E023-40AB-A163-5FE9CA9C3D2B}"/>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s>
    <c:plotArea>
      <c:layout/>
      <c:barChart>
        <c:barDir val="col"/>
        <c:grouping val="clustered"/>
        <c:varyColors val="0"/>
        <c:ser>
          <c:idx val="0"/>
          <c:order val="0"/>
          <c:tx>
            <c:strRef>
              <c:f>'Fuel CON - Annual'!$D$5:$D$6</c:f>
              <c:strCache>
                <c:ptCount val="1"/>
                <c:pt idx="0">
                  <c:v>SUN</c:v>
                </c:pt>
              </c:strCache>
            </c:strRef>
          </c:tx>
          <c:spPr>
            <a:solidFill>
              <a:schemeClr val="accent1"/>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Annual'!$D$7:$D$8</c:f>
              <c:numCache>
                <c:formatCode>General</c:formatCode>
                <c:ptCount val="1"/>
                <c:pt idx="0">
                  <c:v>22.931412654542569</c:v>
                </c:pt>
              </c:numCache>
            </c:numRef>
          </c:val>
          <c:extLst>
            <c:ext xmlns:c16="http://schemas.microsoft.com/office/drawing/2014/chart" uri="{C3380CC4-5D6E-409C-BE32-E72D297353CC}">
              <c16:uniqueId val="{00000000-EDA3-410B-926F-8D2F72DA121B}"/>
            </c:ext>
          </c:extLst>
        </c:ser>
        <c:ser>
          <c:idx val="1"/>
          <c:order val="1"/>
          <c:tx>
            <c:strRef>
              <c:f>'Fuel CON - Annual'!$E$5:$E$6</c:f>
              <c:strCache>
                <c:ptCount val="1"/>
                <c:pt idx="0">
                  <c:v>BIOGAS</c:v>
                </c:pt>
              </c:strCache>
            </c:strRef>
          </c:tx>
          <c:spPr>
            <a:solidFill>
              <a:schemeClr val="accent2"/>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Annual'!$E$7:$E$8</c:f>
              <c:numCache>
                <c:formatCode>General</c:formatCode>
                <c:ptCount val="1"/>
                <c:pt idx="0">
                  <c:v>0.65256272589546882</c:v>
                </c:pt>
              </c:numCache>
            </c:numRef>
          </c:val>
          <c:extLst>
            <c:ext xmlns:c16="http://schemas.microsoft.com/office/drawing/2014/chart" uri="{C3380CC4-5D6E-409C-BE32-E72D297353CC}">
              <c16:uniqueId val="{00000001-EDA3-410B-926F-8D2F72DA121B}"/>
            </c:ext>
          </c:extLst>
        </c:ser>
        <c:ser>
          <c:idx val="2"/>
          <c:order val="2"/>
          <c:tx>
            <c:strRef>
              <c:f>'Fuel CON - Annual'!$F$5:$F$6</c:f>
              <c:strCache>
                <c:ptCount val="1"/>
                <c:pt idx="0">
                  <c:v>COAL</c:v>
                </c:pt>
              </c:strCache>
            </c:strRef>
          </c:tx>
          <c:spPr>
            <a:solidFill>
              <a:schemeClr val="accent3"/>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Annual'!$F$7:$F$8</c:f>
              <c:numCache>
                <c:formatCode>General</c:formatCode>
                <c:ptCount val="1"/>
                <c:pt idx="0">
                  <c:v>11.79994473171017</c:v>
                </c:pt>
              </c:numCache>
            </c:numRef>
          </c:val>
          <c:extLst>
            <c:ext xmlns:c16="http://schemas.microsoft.com/office/drawing/2014/chart" uri="{C3380CC4-5D6E-409C-BE32-E72D297353CC}">
              <c16:uniqueId val="{00000002-EDA3-410B-926F-8D2F72DA121B}"/>
            </c:ext>
          </c:extLst>
        </c:ser>
        <c:ser>
          <c:idx val="3"/>
          <c:order val="3"/>
          <c:tx>
            <c:strRef>
              <c:f>'Fuel CON - Annual'!$G$5:$G$6</c:f>
              <c:strCache>
                <c:ptCount val="1"/>
                <c:pt idx="0">
                  <c:v>ELECTRIC</c:v>
                </c:pt>
              </c:strCache>
            </c:strRef>
          </c:tx>
          <c:spPr>
            <a:solidFill>
              <a:schemeClr val="accent4"/>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Annual'!$G$7:$G$8</c:f>
              <c:numCache>
                <c:formatCode>General</c:formatCode>
                <c:ptCount val="1"/>
                <c:pt idx="0">
                  <c:v>13.490002334728581</c:v>
                </c:pt>
              </c:numCache>
            </c:numRef>
          </c:val>
          <c:extLst>
            <c:ext xmlns:c16="http://schemas.microsoft.com/office/drawing/2014/chart" uri="{C3380CC4-5D6E-409C-BE32-E72D297353CC}">
              <c16:uniqueId val="{00000003-EDA3-410B-926F-8D2F72DA121B}"/>
            </c:ext>
          </c:extLst>
        </c:ser>
        <c:ser>
          <c:idx val="4"/>
          <c:order val="4"/>
          <c:tx>
            <c:strRef>
              <c:f>'Fuel CON - Annual'!$H$5:$H$6</c:f>
              <c:strCache>
                <c:ptCount val="1"/>
                <c:pt idx="0">
                  <c:v>HEAT</c:v>
                </c:pt>
              </c:strCache>
            </c:strRef>
          </c:tx>
          <c:spPr>
            <a:solidFill>
              <a:schemeClr val="accent5"/>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Annual'!$H$7:$H$8</c:f>
              <c:numCache>
                <c:formatCode>General</c:formatCode>
                <c:ptCount val="1"/>
                <c:pt idx="0">
                  <c:v>42.072400755950312</c:v>
                </c:pt>
              </c:numCache>
            </c:numRef>
          </c:val>
          <c:extLst>
            <c:ext xmlns:c16="http://schemas.microsoft.com/office/drawing/2014/chart" uri="{C3380CC4-5D6E-409C-BE32-E72D297353CC}">
              <c16:uniqueId val="{00000004-EDA3-410B-926F-8D2F72DA121B}"/>
            </c:ext>
          </c:extLst>
        </c:ser>
        <c:ser>
          <c:idx val="5"/>
          <c:order val="5"/>
          <c:tx>
            <c:strRef>
              <c:f>'Fuel CON - Annual'!$I$5:$I$6</c:f>
              <c:strCache>
                <c:ptCount val="1"/>
                <c:pt idx="0">
                  <c:v>MUNIWASTE</c:v>
                </c:pt>
              </c:strCache>
            </c:strRef>
          </c:tx>
          <c:spPr>
            <a:solidFill>
              <a:schemeClr val="accent6"/>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Annual'!$I$7:$I$8</c:f>
              <c:numCache>
                <c:formatCode>General</c:formatCode>
                <c:ptCount val="1"/>
                <c:pt idx="0">
                  <c:v>51.4937837686794</c:v>
                </c:pt>
              </c:numCache>
            </c:numRef>
          </c:val>
          <c:extLst>
            <c:ext xmlns:c16="http://schemas.microsoft.com/office/drawing/2014/chart" uri="{C3380CC4-5D6E-409C-BE32-E72D297353CC}">
              <c16:uniqueId val="{00000005-EDA3-410B-926F-8D2F72DA121B}"/>
            </c:ext>
          </c:extLst>
        </c:ser>
        <c:ser>
          <c:idx val="6"/>
          <c:order val="6"/>
          <c:tx>
            <c:strRef>
              <c:f>'Fuel CON - Annual'!$J$5:$J$6</c:f>
              <c:strCache>
                <c:ptCount val="1"/>
                <c:pt idx="0">
                  <c:v>NATGAS</c:v>
                </c:pt>
              </c:strCache>
            </c:strRef>
          </c:tx>
          <c:spPr>
            <a:solidFill>
              <a:schemeClr val="accent1">
                <a:lumMod val="60000"/>
              </a:schemeClr>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Annual'!$J$7:$J$8</c:f>
              <c:numCache>
                <c:formatCode>General</c:formatCode>
                <c:ptCount val="1"/>
                <c:pt idx="0">
                  <c:v>120.83034275187478</c:v>
                </c:pt>
              </c:numCache>
            </c:numRef>
          </c:val>
          <c:extLst>
            <c:ext xmlns:c16="http://schemas.microsoft.com/office/drawing/2014/chart" uri="{C3380CC4-5D6E-409C-BE32-E72D297353CC}">
              <c16:uniqueId val="{00000006-EDA3-410B-926F-8D2F72DA121B}"/>
            </c:ext>
          </c:extLst>
        </c:ser>
        <c:ser>
          <c:idx val="7"/>
          <c:order val="7"/>
          <c:tx>
            <c:strRef>
              <c:f>'Fuel CON - Annual'!$K$5:$K$6</c:f>
              <c:strCache>
                <c:ptCount val="1"/>
                <c:pt idx="0">
                  <c:v>STRAW</c:v>
                </c:pt>
              </c:strCache>
            </c:strRef>
          </c:tx>
          <c:spPr>
            <a:solidFill>
              <a:schemeClr val="accent2">
                <a:lumMod val="60000"/>
              </a:schemeClr>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Annual'!$K$7:$K$8</c:f>
              <c:numCache>
                <c:formatCode>General</c:formatCode>
                <c:ptCount val="1"/>
                <c:pt idx="0">
                  <c:v>15.284578852289325</c:v>
                </c:pt>
              </c:numCache>
            </c:numRef>
          </c:val>
          <c:extLst>
            <c:ext xmlns:c16="http://schemas.microsoft.com/office/drawing/2014/chart" uri="{C3380CC4-5D6E-409C-BE32-E72D297353CC}">
              <c16:uniqueId val="{00000007-EDA3-410B-926F-8D2F72DA121B}"/>
            </c:ext>
          </c:extLst>
        </c:ser>
        <c:ser>
          <c:idx val="8"/>
          <c:order val="8"/>
          <c:tx>
            <c:strRef>
              <c:f>'Fuel CON - Annual'!$L$5:$L$6</c:f>
              <c:strCache>
                <c:ptCount val="1"/>
                <c:pt idx="0">
                  <c:v>WASTEHEAT</c:v>
                </c:pt>
              </c:strCache>
            </c:strRef>
          </c:tx>
          <c:spPr>
            <a:solidFill>
              <a:schemeClr val="accent3">
                <a:lumMod val="60000"/>
              </a:schemeClr>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Annual'!$L$7:$L$8</c:f>
              <c:numCache>
                <c:formatCode>General</c:formatCode>
                <c:ptCount val="1"/>
                <c:pt idx="0">
                  <c:v>22.295951999999996</c:v>
                </c:pt>
              </c:numCache>
            </c:numRef>
          </c:val>
          <c:extLst>
            <c:ext xmlns:c16="http://schemas.microsoft.com/office/drawing/2014/chart" uri="{C3380CC4-5D6E-409C-BE32-E72D297353CC}">
              <c16:uniqueId val="{00000008-EDA3-410B-926F-8D2F72DA121B}"/>
            </c:ext>
          </c:extLst>
        </c:ser>
        <c:ser>
          <c:idx val="9"/>
          <c:order val="9"/>
          <c:tx>
            <c:strRef>
              <c:f>'Fuel CON - Annual'!$M$5:$M$6</c:f>
              <c:strCache>
                <c:ptCount val="1"/>
                <c:pt idx="0">
                  <c:v>WATER</c:v>
                </c:pt>
              </c:strCache>
            </c:strRef>
          </c:tx>
          <c:spPr>
            <a:solidFill>
              <a:schemeClr val="accent4">
                <a:lumMod val="60000"/>
              </a:schemeClr>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Annual'!$M$7:$M$8</c:f>
              <c:numCache>
                <c:formatCode>General</c:formatCode>
                <c:ptCount val="1"/>
                <c:pt idx="0">
                  <c:v>4.3378745766315795E-4</c:v>
                </c:pt>
              </c:numCache>
            </c:numRef>
          </c:val>
          <c:extLst>
            <c:ext xmlns:c16="http://schemas.microsoft.com/office/drawing/2014/chart" uri="{C3380CC4-5D6E-409C-BE32-E72D297353CC}">
              <c16:uniqueId val="{00000009-EDA3-410B-926F-8D2F72DA121B}"/>
            </c:ext>
          </c:extLst>
        </c:ser>
        <c:ser>
          <c:idx val="10"/>
          <c:order val="10"/>
          <c:tx>
            <c:strRef>
              <c:f>'Fuel CON - Annual'!$N$5:$N$6</c:f>
              <c:strCache>
                <c:ptCount val="1"/>
                <c:pt idx="0">
                  <c:v>WIND</c:v>
                </c:pt>
              </c:strCache>
            </c:strRef>
          </c:tx>
          <c:spPr>
            <a:solidFill>
              <a:schemeClr val="accent5">
                <a:lumMod val="60000"/>
              </a:schemeClr>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Annual'!$N$7:$N$8</c:f>
              <c:numCache>
                <c:formatCode>General</c:formatCode>
                <c:ptCount val="1"/>
                <c:pt idx="0">
                  <c:v>59.35308551787702</c:v>
                </c:pt>
              </c:numCache>
            </c:numRef>
          </c:val>
          <c:extLst>
            <c:ext xmlns:c16="http://schemas.microsoft.com/office/drawing/2014/chart" uri="{C3380CC4-5D6E-409C-BE32-E72D297353CC}">
              <c16:uniqueId val="{0000000A-EDA3-410B-926F-8D2F72DA121B}"/>
            </c:ext>
          </c:extLst>
        </c:ser>
        <c:ser>
          <c:idx val="11"/>
          <c:order val="11"/>
          <c:tx>
            <c:strRef>
              <c:f>'Fuel CON - Annual'!$O$5:$O$6</c:f>
              <c:strCache>
                <c:ptCount val="1"/>
                <c:pt idx="0">
                  <c:v>WOODCHIPS</c:v>
                </c:pt>
              </c:strCache>
            </c:strRef>
          </c:tx>
          <c:spPr>
            <a:solidFill>
              <a:schemeClr val="accent6">
                <a:lumMod val="60000"/>
              </a:schemeClr>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Annual'!$O$7:$O$8</c:f>
              <c:numCache>
                <c:formatCode>General</c:formatCode>
                <c:ptCount val="1"/>
                <c:pt idx="0">
                  <c:v>8.770800000000003</c:v>
                </c:pt>
              </c:numCache>
            </c:numRef>
          </c:val>
          <c:extLst>
            <c:ext xmlns:c16="http://schemas.microsoft.com/office/drawing/2014/chart" uri="{C3380CC4-5D6E-409C-BE32-E72D297353CC}">
              <c16:uniqueId val="{0000000B-EDA3-410B-926F-8D2F72DA121B}"/>
            </c:ext>
          </c:extLst>
        </c:ser>
        <c:ser>
          <c:idx val="12"/>
          <c:order val="12"/>
          <c:tx>
            <c:strRef>
              <c:f>'Fuel CON - Annual'!$P$5:$P$6</c:f>
              <c:strCache>
                <c:ptCount val="1"/>
                <c:pt idx="0">
                  <c:v>WOODWASTE</c:v>
                </c:pt>
              </c:strCache>
            </c:strRef>
          </c:tx>
          <c:spPr>
            <a:solidFill>
              <a:schemeClr val="accent1">
                <a:lumMod val="80000"/>
                <a:lumOff val="20000"/>
              </a:schemeClr>
            </a:solidFill>
            <a:ln>
              <a:noFill/>
            </a:ln>
            <a:effectLst/>
          </c:spPr>
          <c:invertIfNegative val="0"/>
          <c:cat>
            <c:multiLvlStrRef>
              <c:f>'Fuel CON - Annual'!$B$7:$C$8</c:f>
              <c:multiLvlStrCache>
                <c:ptCount val="1"/>
                <c:lvl>
                  <c:pt idx="0">
                    <c:v>2030</c:v>
                  </c:pt>
                </c:lvl>
                <c:lvl>
                  <c:pt idx="0">
                    <c:v>2030</c:v>
                  </c:pt>
                </c:lvl>
              </c:multiLvlStrCache>
            </c:multiLvlStrRef>
          </c:cat>
          <c:val>
            <c:numRef>
              <c:f>'Fuel CON - Annual'!$P$7:$P$8</c:f>
              <c:numCache>
                <c:formatCode>General</c:formatCode>
                <c:ptCount val="1"/>
                <c:pt idx="0">
                  <c:v>0.95362765055900922</c:v>
                </c:pt>
              </c:numCache>
            </c:numRef>
          </c:val>
          <c:extLst>
            <c:ext xmlns:c16="http://schemas.microsoft.com/office/drawing/2014/chart" uri="{C3380CC4-5D6E-409C-BE32-E72D297353CC}">
              <c16:uniqueId val="{0000000C-EDA3-410B-926F-8D2F72DA121B}"/>
            </c:ext>
          </c:extLst>
        </c:ser>
        <c:dLbls>
          <c:showLegendKey val="0"/>
          <c:showVal val="0"/>
          <c:showCatName val="0"/>
          <c:showSerName val="0"/>
          <c:showPercent val="0"/>
          <c:showBubbleSize val="0"/>
        </c:dLbls>
        <c:gapWidth val="219"/>
        <c:overlap val="-27"/>
        <c:axId val="48660463"/>
        <c:axId val="48661295"/>
      </c:barChart>
      <c:catAx>
        <c:axId val="48660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48661295"/>
        <c:crosses val="autoZero"/>
        <c:auto val="1"/>
        <c:lblAlgn val="ctr"/>
        <c:lblOffset val="100"/>
        <c:noMultiLvlLbl val="0"/>
      </c:catAx>
      <c:valAx>
        <c:axId val="48661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4866046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4"/>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Annual'!$C$3:$C$5</c:f>
              <c:strCache>
                <c:ptCount val="1"/>
                <c:pt idx="0">
                  <c:v>BASE - Sum of CO2 megatons</c:v>
                </c:pt>
              </c:strCache>
            </c:strRef>
          </c:tx>
          <c:spPr>
            <a:solidFill>
              <a:schemeClr val="accent1"/>
            </a:solidFill>
            <a:ln>
              <a:noFill/>
            </a:ln>
            <a:effectLst/>
          </c:spPr>
          <c:invertIfNegative val="0"/>
          <c:cat>
            <c:strRef>
              <c:f>'Emissions - Annual'!$B$6:$B$7</c:f>
              <c:strCache>
                <c:ptCount val="1"/>
                <c:pt idx="0">
                  <c:v>2030</c:v>
                </c:pt>
              </c:strCache>
            </c:strRef>
          </c:cat>
          <c:val>
            <c:numRef>
              <c:f>'Emissions - Annual'!$C$6:$C$7</c:f>
              <c:numCache>
                <c:formatCode>#,##0</c:formatCode>
                <c:ptCount val="1"/>
                <c:pt idx="0">
                  <c:v>7.8948569999999689</c:v>
                </c:pt>
              </c:numCache>
            </c:numRef>
          </c:val>
          <c:extLst>
            <c:ext xmlns:c16="http://schemas.microsoft.com/office/drawing/2014/chart" uri="{C3380CC4-5D6E-409C-BE32-E72D297353CC}">
              <c16:uniqueId val="{00000000-C02D-4A8F-9D50-CFA785BE7091}"/>
            </c:ext>
          </c:extLst>
        </c:ser>
        <c:ser>
          <c:idx val="1"/>
          <c:order val="1"/>
          <c:tx>
            <c:strRef>
              <c:f>'Emissions - Annual'!$D$3:$D$5</c:f>
              <c:strCache>
                <c:ptCount val="1"/>
                <c:pt idx="0">
                  <c:v>BASE - Sum of N2O tons</c:v>
                </c:pt>
              </c:strCache>
            </c:strRef>
          </c:tx>
          <c:spPr>
            <a:solidFill>
              <a:schemeClr val="accent2"/>
            </a:solidFill>
            <a:ln>
              <a:noFill/>
            </a:ln>
            <a:effectLst/>
          </c:spPr>
          <c:invertIfNegative val="0"/>
          <c:cat>
            <c:strRef>
              <c:f>'Emissions - Annual'!$B$6:$B$7</c:f>
              <c:strCache>
                <c:ptCount val="1"/>
                <c:pt idx="0">
                  <c:v>2030</c:v>
                </c:pt>
              </c:strCache>
            </c:strRef>
          </c:cat>
          <c:val>
            <c:numRef>
              <c:f>'Emissions - Annual'!$D$6:$D$7</c:f>
              <c:numCache>
                <c:formatCode>#,##0</c:formatCode>
                <c:ptCount val="1"/>
                <c:pt idx="0">
                  <c:v>429.76838893669833</c:v>
                </c:pt>
              </c:numCache>
            </c:numRef>
          </c:val>
          <c:extLst>
            <c:ext xmlns:c16="http://schemas.microsoft.com/office/drawing/2014/chart" uri="{C3380CC4-5D6E-409C-BE32-E72D297353CC}">
              <c16:uniqueId val="{00000000-CA1D-4227-83E8-4162B3F018DE}"/>
            </c:ext>
          </c:extLst>
        </c:ser>
        <c:ser>
          <c:idx val="2"/>
          <c:order val="2"/>
          <c:tx>
            <c:strRef>
              <c:f>'Emissions - Annual'!$E$3:$E$5</c:f>
              <c:strCache>
                <c:ptCount val="1"/>
                <c:pt idx="0">
                  <c:v>BASE - Sum of N2O kilotons</c:v>
                </c:pt>
              </c:strCache>
            </c:strRef>
          </c:tx>
          <c:spPr>
            <a:solidFill>
              <a:schemeClr val="accent3"/>
            </a:solidFill>
            <a:ln>
              <a:noFill/>
            </a:ln>
            <a:effectLst/>
          </c:spPr>
          <c:invertIfNegative val="0"/>
          <c:cat>
            <c:strRef>
              <c:f>'Emissions - Annual'!$B$6:$B$7</c:f>
              <c:strCache>
                <c:ptCount val="1"/>
                <c:pt idx="0">
                  <c:v>2030</c:v>
                </c:pt>
              </c:strCache>
            </c:strRef>
          </c:cat>
          <c:val>
            <c:numRef>
              <c:f>'Emissions - Annual'!$E$6:$E$7</c:f>
              <c:numCache>
                <c:formatCode>#,##0</c:formatCode>
                <c:ptCount val="1"/>
                <c:pt idx="0">
                  <c:v>0.42976838893669855</c:v>
                </c:pt>
              </c:numCache>
            </c:numRef>
          </c:val>
          <c:extLst>
            <c:ext xmlns:c16="http://schemas.microsoft.com/office/drawing/2014/chart" uri="{C3380CC4-5D6E-409C-BE32-E72D297353CC}">
              <c16:uniqueId val="{00000001-CA1D-4227-83E8-4162B3F018DE}"/>
            </c:ext>
          </c:extLst>
        </c:ser>
        <c:dLbls>
          <c:showLegendKey val="0"/>
          <c:showVal val="0"/>
          <c:showCatName val="0"/>
          <c:showSerName val="0"/>
          <c:showPercent val="0"/>
          <c:showBubbleSize val="0"/>
        </c:dLbls>
        <c:gapWidth val="219"/>
        <c:overlap val="-27"/>
        <c:axId val="317443600"/>
        <c:axId val="317444432"/>
      </c:barChart>
      <c:catAx>
        <c:axId val="31744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4432"/>
        <c:crosses val="autoZero"/>
        <c:auto val="1"/>
        <c:lblAlgn val="ctr"/>
        <c:lblOffset val="100"/>
        <c:noMultiLvlLbl val="0"/>
      </c:catAx>
      <c:valAx>
        <c:axId val="31744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36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ln w="28575" cap="rnd">
            <a:solidFill>
              <a:schemeClr val="accent1"/>
            </a:solidFill>
            <a:round/>
          </a:ln>
          <a:effectLst/>
        </c:spPr>
        <c:marker>
          <c:symbol val="none"/>
        </c:marker>
      </c:pivotFmt>
      <c:pivotFmt>
        <c:idx val="71"/>
        <c:spPr>
          <a:ln w="28575" cap="rnd">
            <a:solidFill>
              <a:schemeClr val="accent1"/>
            </a:solidFill>
            <a:round/>
          </a:ln>
          <a:effectLst/>
        </c:spPr>
        <c:marker>
          <c:symbol val="none"/>
        </c:marker>
      </c:pivotFmt>
      <c:pivotFmt>
        <c:idx val="72"/>
        <c:spPr>
          <a:ln w="28575" cap="rnd">
            <a:solidFill>
              <a:schemeClr val="accent1"/>
            </a:solidFill>
            <a:round/>
          </a:ln>
          <a:effectLst/>
        </c:spPr>
        <c:marker>
          <c:symbol val="none"/>
        </c:marker>
      </c:pivotFmt>
      <c:pivotFmt>
        <c:idx val="73"/>
        <c:spPr>
          <a:ln w="28575" cap="rnd">
            <a:solidFill>
              <a:schemeClr val="accent1"/>
            </a:solidFill>
            <a:round/>
          </a:ln>
          <a:effectLst/>
        </c:spPr>
        <c:marker>
          <c:symbol val="none"/>
        </c:marker>
      </c:pivotFmt>
      <c:pivotFmt>
        <c:idx val="74"/>
        <c:spPr>
          <a:ln w="28575" cap="rnd">
            <a:solidFill>
              <a:schemeClr val="accent1"/>
            </a:solidFill>
            <a:round/>
          </a:ln>
          <a:effectLst/>
        </c:spPr>
        <c:marker>
          <c:symbol val="none"/>
        </c:marker>
      </c:pivotFmt>
      <c:pivotFmt>
        <c:idx val="75"/>
        <c:spPr>
          <a:ln w="28575" cap="rnd">
            <a:solidFill>
              <a:schemeClr val="accent1"/>
            </a:solidFill>
            <a:round/>
          </a:ln>
          <a:effectLst/>
        </c:spPr>
        <c:marker>
          <c:symbol val="none"/>
        </c:marker>
      </c:pivotFmt>
      <c:pivotFmt>
        <c:idx val="76"/>
        <c:spPr>
          <a:ln w="28575" cap="rnd">
            <a:solidFill>
              <a:schemeClr val="accent1"/>
            </a:solidFill>
            <a:round/>
          </a:ln>
          <a:effectLst/>
        </c:spPr>
        <c:marker>
          <c:symbol val="none"/>
        </c:marker>
      </c:pivotFmt>
      <c:pivotFmt>
        <c:idx val="77"/>
        <c:spPr>
          <a:ln w="28575" cap="rnd">
            <a:solidFill>
              <a:schemeClr val="accent1"/>
            </a:solidFill>
            <a:round/>
          </a:ln>
          <a:effectLst/>
        </c:spPr>
        <c:marker>
          <c:symbol val="none"/>
        </c:marker>
      </c:pivotFmt>
    </c:pivotFmts>
    <c:plotArea>
      <c:layout/>
      <c:lineChart>
        <c:grouping val="standard"/>
        <c:varyColors val="0"/>
        <c:ser>
          <c:idx val="0"/>
          <c:order val="0"/>
          <c:tx>
            <c:strRef>
              <c:f>'HE STO - Time'!$F$5:$F$6</c:f>
              <c:strCache>
                <c:ptCount val="1"/>
                <c:pt idx="0">
                  <c:v>DENMARK</c:v>
                </c:pt>
              </c:strCache>
            </c:strRef>
          </c:tx>
          <c:spPr>
            <a:ln w="28575" cap="rnd">
              <a:solidFill>
                <a:schemeClr val="accent1"/>
              </a:solidFill>
              <a:round/>
            </a:ln>
            <a:effectLst/>
          </c:spPr>
          <c:marker>
            <c:symbol val="none"/>
          </c:marker>
          <c:cat>
            <c:multiLvlStrRef>
              <c:f>'HE STO - Time'!$C$7:$E$43</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S12</c:v>
                  </c:pt>
                  <c:pt idx="12">
                    <c:v>S20</c:v>
                  </c:pt>
                  <c:pt idx="24">
                    <c:v>S35</c:v>
                  </c:pt>
                </c:lvl>
                <c:lvl>
                  <c:pt idx="0">
                    <c:v>BASE</c:v>
                  </c:pt>
                </c:lvl>
              </c:multiLvlStrCache>
            </c:multiLvlStrRef>
          </c:cat>
          <c:val>
            <c:numRef>
              <c:f>'HE STO - Time'!$F$7:$F$43</c:f>
              <c:numCache>
                <c:formatCode>General</c:formatCode>
                <c:ptCount val="36"/>
                <c:pt idx="0">
                  <c:v>5789.646744937193</c:v>
                </c:pt>
                <c:pt idx="1">
                  <c:v>3819.6012665135308</c:v>
                </c:pt>
                <c:pt idx="2">
                  <c:v>3106.4474265943045</c:v>
                </c:pt>
                <c:pt idx="3">
                  <c:v>1131.4679665319668</c:v>
                </c:pt>
                <c:pt idx="4">
                  <c:v>882.19857677742925</c:v>
                </c:pt>
                <c:pt idx="5">
                  <c:v>839.59177294885012</c:v>
                </c:pt>
                <c:pt idx="6">
                  <c:v>1605.1858893492554</c:v>
                </c:pt>
                <c:pt idx="7">
                  <c:v>1874.8910670872474</c:v>
                </c:pt>
                <c:pt idx="8">
                  <c:v>1617.0719728905553</c:v>
                </c:pt>
                <c:pt idx="9">
                  <c:v>2038.5853528446376</c:v>
                </c:pt>
                <c:pt idx="10">
                  <c:v>3066.3109284016086</c:v>
                </c:pt>
                <c:pt idx="11">
                  <c:v>4446.7006499087083</c:v>
                </c:pt>
                <c:pt idx="12">
                  <c:v>290.61411923784647</c:v>
                </c:pt>
                <c:pt idx="13">
                  <c:v>145.79790111091586</c:v>
                </c:pt>
                <c:pt idx="14">
                  <c:v>881.57301878608519</c:v>
                </c:pt>
                <c:pt idx="15">
                  <c:v>748.69745088881837</c:v>
                </c:pt>
                <c:pt idx="16">
                  <c:v>1561.9644679124551</c:v>
                </c:pt>
                <c:pt idx="17">
                  <c:v>903.56765094744799</c:v>
                </c:pt>
                <c:pt idx="18">
                  <c:v>684.73103088833648</c:v>
                </c:pt>
                <c:pt idx="19">
                  <c:v>596.43565579915537</c:v>
                </c:pt>
                <c:pt idx="20">
                  <c:v>607.96818000263056</c:v>
                </c:pt>
                <c:pt idx="21">
                  <c:v>584.66428159974544</c:v>
                </c:pt>
                <c:pt idx="22">
                  <c:v>353.06873502850505</c:v>
                </c:pt>
                <c:pt idx="23">
                  <c:v>663.79223537854591</c:v>
                </c:pt>
                <c:pt idx="24">
                  <c:v>1288.874044051988</c:v>
                </c:pt>
                <c:pt idx="25">
                  <c:v>504.38140376338549</c:v>
                </c:pt>
                <c:pt idx="26">
                  <c:v>1296.5756012832949</c:v>
                </c:pt>
                <c:pt idx="27">
                  <c:v>218.61887714625459</c:v>
                </c:pt>
                <c:pt idx="28">
                  <c:v>1220.6032331265571</c:v>
                </c:pt>
                <c:pt idx="29">
                  <c:v>1588.6078401443444</c:v>
                </c:pt>
                <c:pt idx="30">
                  <c:v>1187.2113562470226</c:v>
                </c:pt>
                <c:pt idx="31">
                  <c:v>2020.5885105272375</c:v>
                </c:pt>
                <c:pt idx="32">
                  <c:v>2334.7398344234721</c:v>
                </c:pt>
                <c:pt idx="33">
                  <c:v>3156.1703087110368</c:v>
                </c:pt>
                <c:pt idx="34">
                  <c:v>2781.9943547235862</c:v>
                </c:pt>
                <c:pt idx="35">
                  <c:v>2165.4390433965295</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8"/>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9"/>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s>
    <c:plotArea>
      <c:layout/>
      <c:barChart>
        <c:barDir val="col"/>
        <c:grouping val="clustered"/>
        <c:varyColors val="0"/>
        <c:ser>
          <c:idx val="0"/>
          <c:order val="0"/>
          <c:tx>
            <c:strRef>
              <c:f>'El Trans Cap'!$D$48:$D$49</c:f>
              <c:strCache>
                <c:ptCount val="1"/>
                <c:pt idx="0">
                  <c:v>NL</c:v>
                </c:pt>
              </c:strCache>
            </c:strRef>
          </c:tx>
          <c:spPr>
            <a:solidFill>
              <a:schemeClr val="accent1"/>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Cap'!$D$50:$D$71</c:f>
              <c:numCache>
                <c:formatCode>General</c:formatCode>
                <c:ptCount val="22"/>
                <c:pt idx="0">
                  <c:v>700</c:v>
                </c:pt>
                <c:pt idx="8">
                  <c:v>1400</c:v>
                </c:pt>
                <c:pt idx="17">
                  <c:v>1000</c:v>
                </c:pt>
                <c:pt idx="21">
                  <c:v>5900</c:v>
                </c:pt>
              </c:numCache>
            </c:numRef>
          </c:val>
          <c:extLst>
            <c:ext xmlns:c16="http://schemas.microsoft.com/office/drawing/2014/chart" uri="{C3380CC4-5D6E-409C-BE32-E72D297353CC}">
              <c16:uniqueId val="{00000000-2598-4FA1-9971-B74F85683843}"/>
            </c:ext>
          </c:extLst>
        </c:ser>
        <c:ser>
          <c:idx val="1"/>
          <c:order val="1"/>
          <c:tx>
            <c:strRef>
              <c:f>'El Trans Cap'!$E$48:$E$49</c:f>
              <c:strCache>
                <c:ptCount val="1"/>
                <c:pt idx="0">
                  <c:v>UK</c:v>
                </c:pt>
              </c:strCache>
            </c:strRef>
          </c:tx>
          <c:spPr>
            <a:solidFill>
              <a:schemeClr val="accent2"/>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Cap'!$E$50:$E$71</c:f>
              <c:numCache>
                <c:formatCode>General</c:formatCode>
                <c:ptCount val="22"/>
                <c:pt idx="0">
                  <c:v>1400</c:v>
                </c:pt>
                <c:pt idx="6">
                  <c:v>1000</c:v>
                </c:pt>
                <c:pt idx="8">
                  <c:v>1400</c:v>
                </c:pt>
              </c:numCache>
            </c:numRef>
          </c:val>
          <c:extLst>
            <c:ext xmlns:c16="http://schemas.microsoft.com/office/drawing/2014/chart" uri="{C3380CC4-5D6E-409C-BE32-E72D297353CC}">
              <c16:uniqueId val="{00000001-2598-4FA1-9971-B74F85683843}"/>
            </c:ext>
          </c:extLst>
        </c:ser>
        <c:ser>
          <c:idx val="2"/>
          <c:order val="2"/>
          <c:tx>
            <c:strRef>
              <c:f>'El Trans Cap'!$F$48:$F$49</c:f>
              <c:strCache>
                <c:ptCount val="1"/>
                <c:pt idx="0">
                  <c:v>PL</c:v>
                </c:pt>
              </c:strCache>
            </c:strRef>
          </c:tx>
          <c:spPr>
            <a:solidFill>
              <a:schemeClr val="accent3"/>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Cap'!$F$50:$F$71</c:f>
              <c:numCache>
                <c:formatCode>General</c:formatCode>
                <c:ptCount val="22"/>
                <c:pt idx="4">
                  <c:v>1000</c:v>
                </c:pt>
                <c:pt idx="18">
                  <c:v>2000</c:v>
                </c:pt>
              </c:numCache>
            </c:numRef>
          </c:val>
          <c:extLst>
            <c:ext xmlns:c16="http://schemas.microsoft.com/office/drawing/2014/chart" uri="{C3380CC4-5D6E-409C-BE32-E72D297353CC}">
              <c16:uniqueId val="{00000002-2598-4FA1-9971-B74F85683843}"/>
            </c:ext>
          </c:extLst>
        </c:ser>
        <c:ser>
          <c:idx val="3"/>
          <c:order val="3"/>
          <c:tx>
            <c:strRef>
              <c:f>'El Trans Cap'!$G$48:$G$49</c:f>
              <c:strCache>
                <c:ptCount val="1"/>
                <c:pt idx="0">
                  <c:v>DK2</c:v>
                </c:pt>
              </c:strCache>
            </c:strRef>
          </c:tx>
          <c:spPr>
            <a:solidFill>
              <a:schemeClr val="accent4"/>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Cap'!$G$50:$G$71</c:f>
              <c:numCache>
                <c:formatCode>General</c:formatCode>
                <c:ptCount val="22"/>
                <c:pt idx="0">
                  <c:v>600</c:v>
                </c:pt>
                <c:pt idx="16">
                  <c:v>1300</c:v>
                </c:pt>
                <c:pt idx="18">
                  <c:v>1000</c:v>
                </c:pt>
              </c:numCache>
            </c:numRef>
          </c:val>
          <c:extLst>
            <c:ext xmlns:c16="http://schemas.microsoft.com/office/drawing/2014/chart" uri="{C3380CC4-5D6E-409C-BE32-E72D297353CC}">
              <c16:uniqueId val="{00000003-2598-4FA1-9971-B74F85683843}"/>
            </c:ext>
          </c:extLst>
        </c:ser>
        <c:ser>
          <c:idx val="4"/>
          <c:order val="4"/>
          <c:tx>
            <c:strRef>
              <c:f>'El Trans Cap'!$H$48:$H$49</c:f>
              <c:strCache>
                <c:ptCount val="1"/>
                <c:pt idx="0">
                  <c:v>SE4</c:v>
                </c:pt>
              </c:strCache>
            </c:strRef>
          </c:tx>
          <c:spPr>
            <a:solidFill>
              <a:schemeClr val="accent5"/>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Cap'!$H$50:$H$71</c:f>
              <c:numCache>
                <c:formatCode>General</c:formatCode>
                <c:ptCount val="22"/>
                <c:pt idx="1">
                  <c:v>1700</c:v>
                </c:pt>
                <c:pt idx="4">
                  <c:v>700</c:v>
                </c:pt>
                <c:pt idx="15">
                  <c:v>6500</c:v>
                </c:pt>
                <c:pt idx="19">
                  <c:v>600</c:v>
                </c:pt>
              </c:numCache>
            </c:numRef>
          </c:val>
          <c:extLst>
            <c:ext xmlns:c16="http://schemas.microsoft.com/office/drawing/2014/chart" uri="{C3380CC4-5D6E-409C-BE32-E72D297353CC}">
              <c16:uniqueId val="{00000004-2598-4FA1-9971-B74F85683843}"/>
            </c:ext>
          </c:extLst>
        </c:ser>
        <c:ser>
          <c:idx val="5"/>
          <c:order val="5"/>
          <c:tx>
            <c:strRef>
              <c:f>'El Trans Cap'!$I$48:$I$49</c:f>
              <c:strCache>
                <c:ptCount val="1"/>
                <c:pt idx="0">
                  <c:v>DK1</c:v>
                </c:pt>
              </c:strCache>
            </c:strRef>
          </c:tx>
          <c:spPr>
            <a:solidFill>
              <a:schemeClr val="accent6"/>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Cap'!$I$50:$I$71</c:f>
              <c:numCache>
                <c:formatCode>General</c:formatCode>
                <c:ptCount val="22"/>
                <c:pt idx="1">
                  <c:v>600</c:v>
                </c:pt>
                <c:pt idx="6">
                  <c:v>700</c:v>
                </c:pt>
                <c:pt idx="8">
                  <c:v>1700</c:v>
                </c:pt>
                <c:pt idx="15">
                  <c:v>680</c:v>
                </c:pt>
                <c:pt idx="17">
                  <c:v>1400</c:v>
                </c:pt>
                <c:pt idx="19">
                  <c:v>3000</c:v>
                </c:pt>
              </c:numCache>
            </c:numRef>
          </c:val>
          <c:extLst>
            <c:ext xmlns:c16="http://schemas.microsoft.com/office/drawing/2014/chart" uri="{C3380CC4-5D6E-409C-BE32-E72D297353CC}">
              <c16:uniqueId val="{00000005-2598-4FA1-9971-B74F85683843}"/>
            </c:ext>
          </c:extLst>
        </c:ser>
        <c:ser>
          <c:idx val="6"/>
          <c:order val="6"/>
          <c:tx>
            <c:strRef>
              <c:f>'El Trans Cap'!$J$48:$J$49</c:f>
              <c:strCache>
                <c:ptCount val="1"/>
                <c:pt idx="0">
                  <c:v>NO2</c:v>
                </c:pt>
              </c:strCache>
            </c:strRef>
          </c:tx>
          <c:spPr>
            <a:solidFill>
              <a:schemeClr val="accent1">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Cap'!$J$50:$J$71</c:f>
              <c:numCache>
                <c:formatCode>General</c:formatCode>
                <c:ptCount val="22"/>
                <c:pt idx="0">
                  <c:v>1700</c:v>
                </c:pt>
                <c:pt idx="6">
                  <c:v>1400</c:v>
                </c:pt>
                <c:pt idx="7">
                  <c:v>1900</c:v>
                </c:pt>
                <c:pt idx="11">
                  <c:v>600</c:v>
                </c:pt>
                <c:pt idx="17">
                  <c:v>1400</c:v>
                </c:pt>
                <c:pt idx="19">
                  <c:v>1400</c:v>
                </c:pt>
              </c:numCache>
            </c:numRef>
          </c:val>
          <c:extLst>
            <c:ext xmlns:c16="http://schemas.microsoft.com/office/drawing/2014/chart" uri="{C3380CC4-5D6E-409C-BE32-E72D297353CC}">
              <c16:uniqueId val="{00000006-2598-4FA1-9971-B74F85683843}"/>
            </c:ext>
          </c:extLst>
        </c:ser>
        <c:ser>
          <c:idx val="7"/>
          <c:order val="7"/>
          <c:tx>
            <c:strRef>
              <c:f>'El Trans Cap'!$K$48:$K$49</c:f>
              <c:strCache>
                <c:ptCount val="1"/>
                <c:pt idx="0">
                  <c:v>SE3</c:v>
                </c:pt>
              </c:strCache>
            </c:strRef>
          </c:tx>
          <c:spPr>
            <a:solidFill>
              <a:schemeClr val="accent2">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Cap'!$K$50:$K$71</c:f>
              <c:numCache>
                <c:formatCode>General</c:formatCode>
                <c:ptCount val="22"/>
                <c:pt idx="0">
                  <c:v>740</c:v>
                </c:pt>
                <c:pt idx="3">
                  <c:v>1350</c:v>
                </c:pt>
                <c:pt idx="7">
                  <c:v>3345</c:v>
                </c:pt>
                <c:pt idx="14">
                  <c:v>7300</c:v>
                </c:pt>
                <c:pt idx="16">
                  <c:v>3200</c:v>
                </c:pt>
              </c:numCache>
            </c:numRef>
          </c:val>
          <c:extLst>
            <c:ext xmlns:c16="http://schemas.microsoft.com/office/drawing/2014/chart" uri="{C3380CC4-5D6E-409C-BE32-E72D297353CC}">
              <c16:uniqueId val="{00000007-2598-4FA1-9971-B74F85683843}"/>
            </c:ext>
          </c:extLst>
        </c:ser>
        <c:ser>
          <c:idx val="8"/>
          <c:order val="8"/>
          <c:tx>
            <c:strRef>
              <c:f>'El Trans Cap'!$L$48:$L$49</c:f>
              <c:strCache>
                <c:ptCount val="1"/>
                <c:pt idx="0">
                  <c:v>FIN</c:v>
                </c:pt>
              </c:strCache>
            </c:strRef>
          </c:tx>
          <c:spPr>
            <a:solidFill>
              <a:schemeClr val="accent3">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Cap'!$L$50:$L$71</c:f>
              <c:numCache>
                <c:formatCode>General</c:formatCode>
                <c:ptCount val="22"/>
                <c:pt idx="2">
                  <c:v>1000</c:v>
                </c:pt>
                <c:pt idx="10">
                  <c:v>600</c:v>
                </c:pt>
                <c:pt idx="13">
                  <c:v>1300</c:v>
                </c:pt>
                <c:pt idx="15">
                  <c:v>1350</c:v>
                </c:pt>
              </c:numCache>
            </c:numRef>
          </c:val>
          <c:extLst>
            <c:ext xmlns:c16="http://schemas.microsoft.com/office/drawing/2014/chart" uri="{C3380CC4-5D6E-409C-BE32-E72D297353CC}">
              <c16:uniqueId val="{00000008-2598-4FA1-9971-B74F85683843}"/>
            </c:ext>
          </c:extLst>
        </c:ser>
        <c:ser>
          <c:idx val="9"/>
          <c:order val="9"/>
          <c:tx>
            <c:strRef>
              <c:f>'El Trans Cap'!$M$48:$M$49</c:f>
              <c:strCache>
                <c:ptCount val="1"/>
                <c:pt idx="0">
                  <c:v>LV</c:v>
                </c:pt>
              </c:strCache>
            </c:strRef>
          </c:tx>
          <c:spPr>
            <a:solidFill>
              <a:schemeClr val="accent4">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Cap'!$M$50:$M$71</c:f>
              <c:numCache>
                <c:formatCode>General</c:formatCode>
                <c:ptCount val="22"/>
                <c:pt idx="2">
                  <c:v>800</c:v>
                </c:pt>
                <c:pt idx="4">
                  <c:v>700</c:v>
                </c:pt>
              </c:numCache>
            </c:numRef>
          </c:val>
          <c:extLst>
            <c:ext xmlns:c16="http://schemas.microsoft.com/office/drawing/2014/chart" uri="{C3380CC4-5D6E-409C-BE32-E72D297353CC}">
              <c16:uniqueId val="{00000009-2598-4FA1-9971-B74F85683843}"/>
            </c:ext>
          </c:extLst>
        </c:ser>
        <c:ser>
          <c:idx val="10"/>
          <c:order val="10"/>
          <c:tx>
            <c:strRef>
              <c:f>'El Trans Cap'!$N$48:$N$49</c:f>
              <c:strCache>
                <c:ptCount val="1"/>
                <c:pt idx="0">
                  <c:v>EE</c:v>
                </c:pt>
              </c:strCache>
            </c:strRef>
          </c:tx>
          <c:spPr>
            <a:solidFill>
              <a:schemeClr val="accent5">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Cap'!$N$50:$N$71</c:f>
              <c:numCache>
                <c:formatCode>General</c:formatCode>
                <c:ptCount val="22"/>
                <c:pt idx="3">
                  <c:v>1000</c:v>
                </c:pt>
                <c:pt idx="5">
                  <c:v>800</c:v>
                </c:pt>
              </c:numCache>
            </c:numRef>
          </c:val>
          <c:extLst>
            <c:ext xmlns:c16="http://schemas.microsoft.com/office/drawing/2014/chart" uri="{C3380CC4-5D6E-409C-BE32-E72D297353CC}">
              <c16:uniqueId val="{0000000A-2598-4FA1-9971-B74F85683843}"/>
            </c:ext>
          </c:extLst>
        </c:ser>
        <c:ser>
          <c:idx val="11"/>
          <c:order val="11"/>
          <c:tx>
            <c:strRef>
              <c:f>'El Trans Cap'!$O$48:$O$49</c:f>
              <c:strCache>
                <c:ptCount val="1"/>
                <c:pt idx="0">
                  <c:v>NO4</c:v>
                </c:pt>
              </c:strCache>
            </c:strRef>
          </c:tx>
          <c:spPr>
            <a:solidFill>
              <a:schemeClr val="accent6">
                <a:lumMod val="6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Cap'!$O$50:$O$71</c:f>
              <c:numCache>
                <c:formatCode>General</c:formatCode>
                <c:ptCount val="22"/>
                <c:pt idx="3">
                  <c:v>700</c:v>
                </c:pt>
                <c:pt idx="9">
                  <c:v>200</c:v>
                </c:pt>
                <c:pt idx="13">
                  <c:v>600</c:v>
                </c:pt>
                <c:pt idx="14">
                  <c:v>300</c:v>
                </c:pt>
              </c:numCache>
            </c:numRef>
          </c:val>
          <c:extLst>
            <c:ext xmlns:c16="http://schemas.microsoft.com/office/drawing/2014/chart" uri="{C3380CC4-5D6E-409C-BE32-E72D297353CC}">
              <c16:uniqueId val="{0000000B-2598-4FA1-9971-B74F85683843}"/>
            </c:ext>
          </c:extLst>
        </c:ser>
        <c:ser>
          <c:idx val="12"/>
          <c:order val="12"/>
          <c:tx>
            <c:strRef>
              <c:f>'El Trans Cap'!$P$48:$P$49</c:f>
              <c:strCache>
                <c:ptCount val="1"/>
                <c:pt idx="0">
                  <c:v>SE1</c:v>
                </c:pt>
              </c:strCache>
            </c:strRef>
          </c:tx>
          <c:spPr>
            <a:solidFill>
              <a:schemeClr val="accent1">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Cap'!$P$50:$P$71</c:f>
              <c:numCache>
                <c:formatCode>General</c:formatCode>
                <c:ptCount val="22"/>
                <c:pt idx="3">
                  <c:v>1300</c:v>
                </c:pt>
                <c:pt idx="14">
                  <c:v>3300</c:v>
                </c:pt>
              </c:numCache>
            </c:numRef>
          </c:val>
          <c:extLst>
            <c:ext xmlns:c16="http://schemas.microsoft.com/office/drawing/2014/chart" uri="{C3380CC4-5D6E-409C-BE32-E72D297353CC}">
              <c16:uniqueId val="{0000000C-2598-4FA1-9971-B74F85683843}"/>
            </c:ext>
          </c:extLst>
        </c:ser>
        <c:ser>
          <c:idx val="13"/>
          <c:order val="13"/>
          <c:tx>
            <c:strRef>
              <c:f>'El Trans Cap'!$Q$48:$Q$49</c:f>
              <c:strCache>
                <c:ptCount val="1"/>
                <c:pt idx="0">
                  <c:v>LT</c:v>
                </c:pt>
              </c:strCache>
            </c:strRef>
          </c:tx>
          <c:spPr>
            <a:solidFill>
              <a:schemeClr val="accent2">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Cap'!$Q$50:$Q$71</c:f>
              <c:numCache>
                <c:formatCode>General</c:formatCode>
                <c:ptCount val="22"/>
                <c:pt idx="5">
                  <c:v>1200</c:v>
                </c:pt>
                <c:pt idx="12">
                  <c:v>1000</c:v>
                </c:pt>
                <c:pt idx="16">
                  <c:v>700</c:v>
                </c:pt>
              </c:numCache>
            </c:numRef>
          </c:val>
          <c:extLst>
            <c:ext xmlns:c16="http://schemas.microsoft.com/office/drawing/2014/chart" uri="{C3380CC4-5D6E-409C-BE32-E72D297353CC}">
              <c16:uniqueId val="{0000000D-2598-4FA1-9971-B74F85683843}"/>
            </c:ext>
          </c:extLst>
        </c:ser>
        <c:ser>
          <c:idx val="14"/>
          <c:order val="14"/>
          <c:tx>
            <c:strRef>
              <c:f>'El Trans Cap'!$R$48:$R$49</c:f>
              <c:strCache>
                <c:ptCount val="1"/>
                <c:pt idx="0">
                  <c:v>NO3</c:v>
                </c:pt>
              </c:strCache>
            </c:strRef>
          </c:tx>
          <c:spPr>
            <a:solidFill>
              <a:schemeClr val="accent3">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Cap'!$R$50:$R$71</c:f>
              <c:numCache>
                <c:formatCode>General</c:formatCode>
                <c:ptCount val="22"/>
                <c:pt idx="7">
                  <c:v>800</c:v>
                </c:pt>
                <c:pt idx="10">
                  <c:v>1000</c:v>
                </c:pt>
                <c:pt idx="14">
                  <c:v>1000</c:v>
                </c:pt>
              </c:numCache>
            </c:numRef>
          </c:val>
          <c:extLst>
            <c:ext xmlns:c16="http://schemas.microsoft.com/office/drawing/2014/chart" uri="{C3380CC4-5D6E-409C-BE32-E72D297353CC}">
              <c16:uniqueId val="{0000000E-2598-4FA1-9971-B74F85683843}"/>
            </c:ext>
          </c:extLst>
        </c:ser>
        <c:ser>
          <c:idx val="15"/>
          <c:order val="15"/>
          <c:tx>
            <c:strRef>
              <c:f>'El Trans Cap'!$S$48:$S$49</c:f>
              <c:strCache>
                <c:ptCount val="1"/>
                <c:pt idx="0">
                  <c:v>NO5</c:v>
                </c:pt>
              </c:strCache>
            </c:strRef>
          </c:tx>
          <c:spPr>
            <a:solidFill>
              <a:schemeClr val="accent4">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Cap'!$S$50:$S$71</c:f>
              <c:numCache>
                <c:formatCode>General</c:formatCode>
                <c:ptCount val="22"/>
                <c:pt idx="7">
                  <c:v>300</c:v>
                </c:pt>
                <c:pt idx="8">
                  <c:v>500</c:v>
                </c:pt>
              </c:numCache>
            </c:numRef>
          </c:val>
          <c:extLst>
            <c:ext xmlns:c16="http://schemas.microsoft.com/office/drawing/2014/chart" uri="{C3380CC4-5D6E-409C-BE32-E72D297353CC}">
              <c16:uniqueId val="{0000000F-2598-4FA1-9971-B74F85683843}"/>
            </c:ext>
          </c:extLst>
        </c:ser>
        <c:ser>
          <c:idx val="16"/>
          <c:order val="16"/>
          <c:tx>
            <c:strRef>
              <c:f>'El Trans Cap'!$T$48:$T$49</c:f>
              <c:strCache>
                <c:ptCount val="1"/>
                <c:pt idx="0">
                  <c:v>NO1</c:v>
                </c:pt>
              </c:strCache>
            </c:strRef>
          </c:tx>
          <c:spPr>
            <a:solidFill>
              <a:schemeClr val="accent5">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Cap'!$T$50:$T$71</c:f>
              <c:numCache>
                <c:formatCode>General</c:formatCode>
                <c:ptCount val="22"/>
                <c:pt idx="8">
                  <c:v>2600</c:v>
                </c:pt>
                <c:pt idx="9">
                  <c:v>500</c:v>
                </c:pt>
                <c:pt idx="11">
                  <c:v>3700</c:v>
                </c:pt>
                <c:pt idx="15">
                  <c:v>3295</c:v>
                </c:pt>
              </c:numCache>
            </c:numRef>
          </c:val>
          <c:extLst>
            <c:ext xmlns:c16="http://schemas.microsoft.com/office/drawing/2014/chart" uri="{C3380CC4-5D6E-409C-BE32-E72D297353CC}">
              <c16:uniqueId val="{00000010-2598-4FA1-9971-B74F85683843}"/>
            </c:ext>
          </c:extLst>
        </c:ser>
        <c:ser>
          <c:idx val="17"/>
          <c:order val="17"/>
          <c:tx>
            <c:strRef>
              <c:f>'El Trans Cap'!$U$48:$U$49</c:f>
              <c:strCache>
                <c:ptCount val="1"/>
                <c:pt idx="0">
                  <c:v>SE2</c:v>
                </c:pt>
              </c:strCache>
            </c:strRef>
          </c:tx>
          <c:spPr>
            <a:solidFill>
              <a:schemeClr val="accent6">
                <a:lumMod val="80000"/>
                <a:lumOff val="2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Cap'!$U$50:$U$71</c:f>
              <c:numCache>
                <c:formatCode>General</c:formatCode>
                <c:ptCount val="22"/>
                <c:pt idx="9">
                  <c:v>600</c:v>
                </c:pt>
                <c:pt idx="10">
                  <c:v>250</c:v>
                </c:pt>
                <c:pt idx="13">
                  <c:v>3300</c:v>
                </c:pt>
                <c:pt idx="15">
                  <c:v>7300</c:v>
                </c:pt>
              </c:numCache>
            </c:numRef>
          </c:val>
          <c:extLst>
            <c:ext xmlns:c16="http://schemas.microsoft.com/office/drawing/2014/chart" uri="{C3380CC4-5D6E-409C-BE32-E72D297353CC}">
              <c16:uniqueId val="{00000011-2598-4FA1-9971-B74F85683843}"/>
            </c:ext>
          </c:extLst>
        </c:ser>
        <c:ser>
          <c:idx val="18"/>
          <c:order val="18"/>
          <c:tx>
            <c:strRef>
              <c:f>'El Trans Cap'!$V$48:$V$49</c:f>
              <c:strCache>
                <c:ptCount val="1"/>
                <c:pt idx="0">
                  <c:v>DE4-N</c:v>
                </c:pt>
              </c:strCache>
            </c:strRef>
          </c:tx>
          <c:spPr>
            <a:solidFill>
              <a:schemeClr val="accent1">
                <a:lumMod val="8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Cap'!$V$50:$V$71</c:f>
              <c:numCache>
                <c:formatCode>General</c:formatCode>
                <c:ptCount val="22"/>
                <c:pt idx="0">
                  <c:v>3000</c:v>
                </c:pt>
                <c:pt idx="8">
                  <c:v>1400</c:v>
                </c:pt>
                <c:pt idx="16">
                  <c:v>610</c:v>
                </c:pt>
                <c:pt idx="18">
                  <c:v>3010</c:v>
                </c:pt>
                <c:pt idx="21">
                  <c:v>8634</c:v>
                </c:pt>
              </c:numCache>
            </c:numRef>
          </c:val>
          <c:extLst>
            <c:ext xmlns:c16="http://schemas.microsoft.com/office/drawing/2014/chart" uri="{C3380CC4-5D6E-409C-BE32-E72D297353CC}">
              <c16:uniqueId val="{00000012-2598-4FA1-9971-B74F85683843}"/>
            </c:ext>
          </c:extLst>
        </c:ser>
        <c:ser>
          <c:idx val="19"/>
          <c:order val="19"/>
          <c:tx>
            <c:strRef>
              <c:f>'El Trans Cap'!$W$48:$W$49</c:f>
              <c:strCache>
                <c:ptCount val="1"/>
                <c:pt idx="0">
                  <c:v>DE4-S</c:v>
                </c:pt>
              </c:strCache>
            </c:strRef>
          </c:tx>
          <c:spPr>
            <a:solidFill>
              <a:schemeClr val="accent2">
                <a:lumMod val="8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Cap'!$W$50:$W$71</c:f>
              <c:numCache>
                <c:formatCode>General</c:formatCode>
                <c:ptCount val="22"/>
                <c:pt idx="18">
                  <c:v>3010</c:v>
                </c:pt>
                <c:pt idx="21">
                  <c:v>14416</c:v>
                </c:pt>
              </c:numCache>
            </c:numRef>
          </c:val>
          <c:extLst>
            <c:ext xmlns:c16="http://schemas.microsoft.com/office/drawing/2014/chart" uri="{C3380CC4-5D6E-409C-BE32-E72D297353CC}">
              <c16:uniqueId val="{00000013-2598-4FA1-9971-B74F85683843}"/>
            </c:ext>
          </c:extLst>
        </c:ser>
        <c:ser>
          <c:idx val="20"/>
          <c:order val="20"/>
          <c:tx>
            <c:strRef>
              <c:f>'El Trans Cap'!$X$48:$X$49</c:f>
              <c:strCache>
                <c:ptCount val="1"/>
                <c:pt idx="0">
                  <c:v>DE4-W</c:v>
                </c:pt>
              </c:strCache>
            </c:strRef>
          </c:tx>
          <c:spPr>
            <a:solidFill>
              <a:schemeClr val="accent3">
                <a:lumMod val="8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Cap'!$X$50:$X$71</c:f>
              <c:numCache>
                <c:formatCode>General</c:formatCode>
                <c:ptCount val="22"/>
                <c:pt idx="6">
                  <c:v>5100</c:v>
                </c:pt>
                <c:pt idx="18">
                  <c:v>6020</c:v>
                </c:pt>
                <c:pt idx="19">
                  <c:v>8634</c:v>
                </c:pt>
                <c:pt idx="20">
                  <c:v>14416</c:v>
                </c:pt>
              </c:numCache>
            </c:numRef>
          </c:val>
          <c:extLst>
            <c:ext xmlns:c16="http://schemas.microsoft.com/office/drawing/2014/chart" uri="{C3380CC4-5D6E-409C-BE32-E72D297353CC}">
              <c16:uniqueId val="{00000014-2598-4FA1-9971-B74F85683843}"/>
            </c:ext>
          </c:extLst>
        </c:ser>
        <c:ser>
          <c:idx val="21"/>
          <c:order val="21"/>
          <c:tx>
            <c:strRef>
              <c:f>'El Trans Cap'!$Y$48:$Y$49</c:f>
              <c:strCache>
                <c:ptCount val="1"/>
                <c:pt idx="0">
                  <c:v>DE4-E</c:v>
                </c:pt>
              </c:strCache>
            </c:strRef>
          </c:tx>
          <c:spPr>
            <a:solidFill>
              <a:schemeClr val="accent4">
                <a:lumMod val="80000"/>
              </a:schemeClr>
            </a:solidFill>
            <a:ln>
              <a:noFill/>
            </a:ln>
            <a:effectLst/>
          </c:spPr>
          <c:invertIfNegative val="0"/>
          <c:cat>
            <c:multiLvlStrRef>
              <c:f>'El Trans Cap'!$B$50:$C$71</c:f>
              <c:multiLvlStrCache>
                <c:ptCount val="22"/>
                <c:lvl>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lvl>
                <c:lvl>
                  <c:pt idx="0">
                    <c:v>2030</c:v>
                  </c:pt>
                </c:lvl>
              </c:multiLvlStrCache>
            </c:multiLvlStrRef>
          </c:cat>
          <c:val>
            <c:numRef>
              <c:f>'El Trans Cap'!$Y$50:$Y$71</c:f>
              <c:numCache>
                <c:formatCode>General</c:formatCode>
                <c:ptCount val="22"/>
                <c:pt idx="1">
                  <c:v>985</c:v>
                </c:pt>
                <c:pt idx="12">
                  <c:v>2000</c:v>
                </c:pt>
                <c:pt idx="19">
                  <c:v>3010</c:v>
                </c:pt>
                <c:pt idx="20">
                  <c:v>3010</c:v>
                </c:pt>
                <c:pt idx="21">
                  <c:v>6020</c:v>
                </c:pt>
              </c:numCache>
            </c:numRef>
          </c:val>
          <c:extLst>
            <c:ext xmlns:c16="http://schemas.microsoft.com/office/drawing/2014/chart" uri="{C3380CC4-5D6E-409C-BE32-E72D297353CC}">
              <c16:uniqueId val="{00000015-2598-4FA1-9971-B74F85683843}"/>
            </c:ext>
          </c:extLst>
        </c:ser>
        <c:dLbls>
          <c:showLegendKey val="0"/>
          <c:showVal val="0"/>
          <c:showCatName val="0"/>
          <c:showSerName val="0"/>
          <c:showPercent val="0"/>
          <c:showBubbleSize val="0"/>
        </c:dLbls>
        <c:gapWidth val="219"/>
        <c:overlap val="-27"/>
        <c:axId val="1043725743"/>
        <c:axId val="1043734895"/>
      </c:barChart>
      <c:catAx>
        <c:axId val="10437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34895"/>
        <c:crosses val="autoZero"/>
        <c:auto val="1"/>
        <c:lblAlgn val="ctr"/>
        <c:lblOffset val="100"/>
        <c:noMultiLvlLbl val="0"/>
      </c:catAx>
      <c:valAx>
        <c:axId val="104373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2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Cap!PivotTable1</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732344527"/>
        <c:axId val="732361583"/>
      </c:barChart>
      <c:catAx>
        <c:axId val="73234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61583"/>
        <c:crosses val="autoZero"/>
        <c:auto val="1"/>
        <c:lblAlgn val="ctr"/>
        <c:lblOffset val="100"/>
        <c:noMultiLvlLbl val="0"/>
      </c:catAx>
      <c:valAx>
        <c:axId val="73236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44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s>
    <c:plotArea>
      <c:layout/>
      <c:barChart>
        <c:barDir val="col"/>
        <c:grouping val="stacked"/>
        <c:varyColors val="0"/>
        <c:ser>
          <c:idx val="0"/>
          <c:order val="0"/>
          <c:tx>
            <c:v>GNR_HS_HEAT_WTR-TANK_LS_E-95_Y-2010</c:v>
          </c:tx>
          <c:spPr>
            <a:solidFill>
              <a:schemeClr val="accent1"/>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9092.0654100034262</c:v>
              </c:pt>
              <c:pt idx="1">
                <c:v>4538.1188945637596</c:v>
              </c:pt>
              <c:pt idx="2">
                <c:v>4538.1188945637596</c:v>
              </c:pt>
              <c:pt idx="3">
                <c:v>4538.1188945637596</c:v>
              </c:pt>
              <c:pt idx="4">
                <c:v>4538.1188945637596</c:v>
              </c:pt>
              <c:pt idx="5">
                <c:v>4538.1188945637596</c:v>
              </c:pt>
              <c:pt idx="6">
                <c:v>4538.1188945637596</c:v>
              </c:pt>
              <c:pt idx="7">
                <c:v>4538.1188945637596</c:v>
              </c:pt>
              <c:pt idx="8">
                <c:v>4538.1188945637596</c:v>
              </c:pt>
            </c:numLit>
          </c:val>
          <c:extLst>
            <c:ext xmlns:c16="http://schemas.microsoft.com/office/drawing/2014/chart" uri="{C3380CC4-5D6E-409C-BE32-E72D297353CC}">
              <c16:uniqueId val="{00000000-AB16-497C-86D7-0A47737DD7AC}"/>
            </c:ext>
          </c:extLst>
        </c:ser>
        <c:ser>
          <c:idx val="1"/>
          <c:order val="1"/>
          <c:tx>
            <c:v>GNR_WT_WIND_ON_LS_Y-2030</c:v>
          </c:tx>
          <c:spPr>
            <a:solidFill>
              <a:schemeClr val="accent2"/>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3502.8833284230996</c:v>
              </c:pt>
              <c:pt idx="3">
                <c:v>0</c:v>
              </c:pt>
              <c:pt idx="4">
                <c:v>6248.3969999999999</c:v>
              </c:pt>
              <c:pt idx="5">
                <c:v>6537.4947429098593</c:v>
              </c:pt>
              <c:pt idx="6">
                <c:v>6248.3969999999999</c:v>
              </c:pt>
              <c:pt idx="7">
                <c:v>7405.9270000000106</c:v>
              </c:pt>
              <c:pt idx="8">
                <c:v>7405.9270000000106</c:v>
              </c:pt>
            </c:numLit>
          </c:val>
          <c:extLst>
            <c:ext xmlns:c16="http://schemas.microsoft.com/office/drawing/2014/chart" uri="{C3380CC4-5D6E-409C-BE32-E72D297353CC}">
              <c16:uniqueId val="{00000001-AB16-497C-86D7-0A47737DD7AC}"/>
            </c:ext>
          </c:extLst>
        </c:ser>
        <c:ser>
          <c:idx val="2"/>
          <c:order val="2"/>
          <c:tx>
            <c:v>GNR_PV_SUN_LS-4-MW_Y-2030</c:v>
          </c:tx>
          <c:spPr>
            <a:solidFill>
              <a:schemeClr val="accent3"/>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5406.8152795792103</c:v>
              </c:pt>
              <c:pt idx="5">
                <c:v>5406.8152795792103</c:v>
              </c:pt>
              <c:pt idx="6">
                <c:v>5406.8152795792103</c:v>
              </c:pt>
              <c:pt idx="7">
                <c:v>6062.2770323710802</c:v>
              </c:pt>
              <c:pt idx="8">
                <c:v>6062.2770323710802</c:v>
              </c:pt>
            </c:numLit>
          </c:val>
          <c:extLst>
            <c:ext xmlns:c16="http://schemas.microsoft.com/office/drawing/2014/chart" uri="{C3380CC4-5D6E-409C-BE32-E72D297353CC}">
              <c16:uniqueId val="{00000000-7B67-4EEF-87FC-01B70FD32E35}"/>
            </c:ext>
          </c:extLst>
        </c:ser>
        <c:ser>
          <c:idx val="3"/>
          <c:order val="3"/>
          <c:tx>
            <c:v>GNR_HS_HEAT_PIT_L-DEC_E-91_Y-2020</c:v>
          </c:tx>
          <c:spPr>
            <a:solidFill>
              <a:schemeClr val="accent4"/>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156688.14121914966</c:v>
              </c:pt>
              <c:pt idx="1">
                <c:v>304783.37407149345</c:v>
              </c:pt>
              <c:pt idx="2">
                <c:v>304783.37407149345</c:v>
              </c:pt>
              <c:pt idx="3">
                <c:v>304783.37407149345</c:v>
              </c:pt>
              <c:pt idx="4">
                <c:v>304783.37407149345</c:v>
              </c:pt>
              <c:pt idx="5">
                <c:v>304783.37407149345</c:v>
              </c:pt>
              <c:pt idx="6">
                <c:v>304783.37407149345</c:v>
              </c:pt>
              <c:pt idx="7">
                <c:v>304783.37407149345</c:v>
              </c:pt>
              <c:pt idx="8">
                <c:v>304783.37407149345</c:v>
              </c:pt>
            </c:numLit>
          </c:val>
          <c:extLst>
            <c:ext xmlns:c16="http://schemas.microsoft.com/office/drawing/2014/chart" uri="{C3380CC4-5D6E-409C-BE32-E72D297353CC}">
              <c16:uniqueId val="{00000001-7B67-4EEF-87FC-01B70FD32E35}"/>
            </c:ext>
          </c:extLst>
        </c:ser>
        <c:ser>
          <c:idx val="4"/>
          <c:order val="4"/>
          <c:tx>
            <c:v>GNR_ES_ELEC_BAT-LITHIO_E-95_Y-16-29</c:v>
          </c:tx>
          <c:spPr>
            <a:solidFill>
              <a:schemeClr val="accent5"/>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24.7684295280669</c:v>
              </c:pt>
              <c:pt idx="1">
                <c:v>130.45019012032901</c:v>
              </c:pt>
              <c:pt idx="2">
                <c:v>130.45019012032901</c:v>
              </c:pt>
              <c:pt idx="3">
                <c:v>130.45019012032901</c:v>
              </c:pt>
              <c:pt idx="4">
                <c:v>130.45019012032901</c:v>
              </c:pt>
              <c:pt idx="5">
                <c:v>130.45019012032901</c:v>
              </c:pt>
              <c:pt idx="6">
                <c:v>130.45019012032901</c:v>
              </c:pt>
              <c:pt idx="7">
                <c:v>130.45019012032901</c:v>
              </c:pt>
              <c:pt idx="8">
                <c:v>130.45019012032901</c:v>
              </c:pt>
            </c:numLit>
          </c:val>
          <c:extLst>
            <c:ext xmlns:c16="http://schemas.microsoft.com/office/drawing/2014/chart" uri="{C3380CC4-5D6E-409C-BE32-E72D297353CC}">
              <c16:uniqueId val="{00000002-7B67-4EEF-87FC-01B70FD32E35}"/>
            </c:ext>
          </c:extLst>
        </c:ser>
        <c:ser>
          <c:idx val="5"/>
          <c:order val="5"/>
          <c:tx>
            <c:v>GNR_HS_HEAT_PIT_L-CEN_E-90_Y-2020</c:v>
          </c:tx>
          <c:spPr>
            <a:solidFill>
              <a:schemeClr val="accent6"/>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32859.835082634003</c:v>
              </c:pt>
              <c:pt idx="1">
                <c:v>283550.54786100099</c:v>
              </c:pt>
              <c:pt idx="2">
                <c:v>283550.54786100099</c:v>
              </c:pt>
              <c:pt idx="3">
                <c:v>283550.54786100099</c:v>
              </c:pt>
              <c:pt idx="4">
                <c:v>283550.54786100099</c:v>
              </c:pt>
              <c:pt idx="5">
                <c:v>283550.54786100099</c:v>
              </c:pt>
              <c:pt idx="6">
                <c:v>283550.54786100099</c:v>
              </c:pt>
              <c:pt idx="7">
                <c:v>283550.54786100099</c:v>
              </c:pt>
              <c:pt idx="8">
                <c:v>283550.54786100099</c:v>
              </c:pt>
            </c:numLit>
          </c:val>
          <c:extLst>
            <c:ext xmlns:c16="http://schemas.microsoft.com/office/drawing/2014/chart" uri="{C3380CC4-5D6E-409C-BE32-E72D297353CC}">
              <c16:uniqueId val="{00000003-7B67-4EEF-87FC-01B70FD32E35}"/>
            </c:ext>
          </c:extLst>
        </c:ser>
        <c:ser>
          <c:idx val="6"/>
          <c:order val="6"/>
          <c:tx>
            <c:v>GNR_ES_ELEC_BAT-LITHIO_E-97_Y-30-50</c:v>
          </c:tx>
          <c:spPr>
            <a:solidFill>
              <a:schemeClr val="accent1">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879.41757646308304</c:v>
              </c:pt>
              <c:pt idx="3">
                <c:v>0</c:v>
              </c:pt>
              <c:pt idx="4">
                <c:v>1187.72732659762</c:v>
              </c:pt>
              <c:pt idx="5">
                <c:v>1187.72732659762</c:v>
              </c:pt>
              <c:pt idx="6">
                <c:v>1187.72732659762</c:v>
              </c:pt>
              <c:pt idx="7">
                <c:v>1190.332871349199</c:v>
              </c:pt>
              <c:pt idx="8">
                <c:v>1190.332871349199</c:v>
              </c:pt>
            </c:numLit>
          </c:val>
          <c:extLst>
            <c:ext xmlns:c16="http://schemas.microsoft.com/office/drawing/2014/chart" uri="{C3380CC4-5D6E-409C-BE32-E72D297353CC}">
              <c16:uniqueId val="{00000000-AD31-45B3-AA74-2F8C6ECA3478}"/>
            </c:ext>
          </c:extLst>
        </c:ser>
        <c:ser>
          <c:idx val="7"/>
          <c:order val="7"/>
          <c:tx>
            <c:v>GNR_HS_HEAT_PIT_L-DEC_E-91_Y-2030</c:v>
          </c:tx>
          <c:spPr>
            <a:solidFill>
              <a:schemeClr val="accent2">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161972.63809249998</c:v>
              </c:pt>
              <c:pt idx="5">
                <c:v>173767.11177491461</c:v>
              </c:pt>
              <c:pt idx="6">
                <c:v>161972.63809249998</c:v>
              </c:pt>
              <c:pt idx="7">
                <c:v>183691.99563926502</c:v>
              </c:pt>
              <c:pt idx="8">
                <c:v>183691.99563926502</c:v>
              </c:pt>
            </c:numLit>
          </c:val>
          <c:extLst>
            <c:ext xmlns:c16="http://schemas.microsoft.com/office/drawing/2014/chart" uri="{C3380CC4-5D6E-409C-BE32-E72D297353CC}">
              <c16:uniqueId val="{00000001-AD31-45B3-AA74-2F8C6ECA3478}"/>
            </c:ext>
          </c:extLst>
        </c:ser>
        <c:ser>
          <c:idx val="8"/>
          <c:order val="8"/>
          <c:tx>
            <c:v>GNR_WT_WIND_ON_LS_Y-2050</c:v>
          </c:tx>
          <c:spPr>
            <a:solidFill>
              <a:schemeClr val="accent3">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1511.508578843263</c:v>
              </c:pt>
            </c:numLit>
          </c:val>
          <c:extLst>
            <c:ext xmlns:c16="http://schemas.microsoft.com/office/drawing/2014/chart" uri="{C3380CC4-5D6E-409C-BE32-E72D297353CC}">
              <c16:uniqueId val="{00000002-AD31-45B3-AA74-2F8C6ECA3478}"/>
            </c:ext>
          </c:extLst>
        </c:ser>
        <c:ser>
          <c:idx val="9"/>
          <c:order val="9"/>
          <c:tx>
            <c:v>GNR_BO_ELEC_E-99_LS-10-MW-FEED_Y-2020</c:v>
          </c:tx>
          <c:spPr>
            <a:solidFill>
              <a:schemeClr val="accent4">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886.30455196789399</c:v>
              </c:pt>
              <c:pt idx="1">
                <c:v>620.95540114622804</c:v>
              </c:pt>
              <c:pt idx="2">
                <c:v>620.95540114622804</c:v>
              </c:pt>
              <c:pt idx="3">
                <c:v>620.95540114622804</c:v>
              </c:pt>
              <c:pt idx="4">
                <c:v>620.95540114622804</c:v>
              </c:pt>
              <c:pt idx="5">
                <c:v>620.95540114622804</c:v>
              </c:pt>
              <c:pt idx="6">
                <c:v>620.95540114622804</c:v>
              </c:pt>
              <c:pt idx="7">
                <c:v>620.95540114622804</c:v>
              </c:pt>
              <c:pt idx="8">
                <c:v>620.95540114622804</c:v>
              </c:pt>
            </c:numLit>
          </c:val>
          <c:extLst>
            <c:ext xmlns:c16="http://schemas.microsoft.com/office/drawing/2014/chart" uri="{C3380CC4-5D6E-409C-BE32-E72D297353CC}">
              <c16:uniqueId val="{00000003-AD31-45B3-AA74-2F8C6ECA3478}"/>
            </c:ext>
          </c:extLst>
        </c:ser>
        <c:ser>
          <c:idx val="10"/>
          <c:order val="10"/>
          <c:tx>
            <c:v>GNR_HP_ELEC_AIR-WTR_COP-310_LS_Y-2020</c:v>
          </c:tx>
          <c:spPr>
            <a:solidFill>
              <a:schemeClr val="accent5">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707.50585447516573</c:v>
              </c:pt>
              <c:pt idx="1">
                <c:v>2538.9827458141172</c:v>
              </c:pt>
              <c:pt idx="2">
                <c:v>2538.9827458141172</c:v>
              </c:pt>
              <c:pt idx="3">
                <c:v>2538.9827458141172</c:v>
              </c:pt>
              <c:pt idx="4">
                <c:v>2538.9827458141172</c:v>
              </c:pt>
              <c:pt idx="5">
                <c:v>2538.9827458141172</c:v>
              </c:pt>
              <c:pt idx="6">
                <c:v>2538.9827458141172</c:v>
              </c:pt>
              <c:pt idx="7">
                <c:v>2538.9827458141172</c:v>
              </c:pt>
              <c:pt idx="8">
                <c:v>2538.9827458141172</c:v>
              </c:pt>
            </c:numLit>
          </c:val>
          <c:extLst>
            <c:ext xmlns:c16="http://schemas.microsoft.com/office/drawing/2014/chart" uri="{C3380CC4-5D6E-409C-BE32-E72D297353CC}">
              <c16:uniqueId val="{00000004-AD31-45B3-AA74-2F8C6ECA3478}"/>
            </c:ext>
          </c:extLst>
        </c:ser>
        <c:ser>
          <c:idx val="11"/>
          <c:order val="11"/>
          <c:tx>
            <c:v>GNR_BO_ELEC_E-99_MS-1-MW-FEED_Y-2020</c:v>
          </c:tx>
          <c:spPr>
            <a:solidFill>
              <a:schemeClr val="accent6">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425.48261149650801</c:v>
              </c:pt>
              <c:pt idx="1">
                <c:v>0</c:v>
              </c:pt>
              <c:pt idx="2">
                <c:v>0</c:v>
              </c:pt>
              <c:pt idx="3">
                <c:v>0</c:v>
              </c:pt>
              <c:pt idx="4">
                <c:v>0</c:v>
              </c:pt>
              <c:pt idx="5">
                <c:v>0</c:v>
              </c:pt>
              <c:pt idx="6">
                <c:v>0</c:v>
              </c:pt>
              <c:pt idx="7">
                <c:v>0</c:v>
              </c:pt>
              <c:pt idx="8">
                <c:v>0</c:v>
              </c:pt>
            </c:numLit>
          </c:val>
          <c:extLst>
            <c:ext xmlns:c16="http://schemas.microsoft.com/office/drawing/2014/chart" uri="{C3380CC4-5D6E-409C-BE32-E72D297353CC}">
              <c16:uniqueId val="{00000005-AD31-45B3-AA74-2F8C6ECA3478}"/>
            </c:ext>
          </c:extLst>
        </c:ser>
        <c:ser>
          <c:idx val="12"/>
          <c:order val="12"/>
          <c:tx>
            <c:v>GNR_HP_ELEC_AIR-WTR_COP-330_LS_Y-2030</c:v>
          </c:tx>
          <c:spPr>
            <a:solidFill>
              <a:schemeClr val="accent1">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123.5729359819446</c:v>
              </c:pt>
              <c:pt idx="3">
                <c:v>0</c:v>
              </c:pt>
              <c:pt idx="4">
                <c:v>1662.7531921343007</c:v>
              </c:pt>
              <c:pt idx="5">
                <c:v>1662.7531921343007</c:v>
              </c:pt>
              <c:pt idx="6">
                <c:v>1662.7531921343007</c:v>
              </c:pt>
              <c:pt idx="7">
                <c:v>1900.652333223748</c:v>
              </c:pt>
              <c:pt idx="8">
                <c:v>1900.652333223748</c:v>
              </c:pt>
            </c:numLit>
          </c:val>
          <c:extLst>
            <c:ext xmlns:c16="http://schemas.microsoft.com/office/drawing/2014/chart" uri="{C3380CC4-5D6E-409C-BE32-E72D297353CC}">
              <c16:uniqueId val="{00000006-AD31-45B3-AA74-2F8C6ECA3478}"/>
            </c:ext>
          </c:extLst>
        </c:ser>
        <c:ser>
          <c:idx val="13"/>
          <c:order val="13"/>
          <c:tx>
            <c:v>GNR_HS_HEAT_PIT_L-CEN_E-90_Y-2030</c:v>
          </c:tx>
          <c:spPr>
            <a:solidFill>
              <a:schemeClr val="accent2">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84061.551183566495</c:v>
              </c:pt>
              <c:pt idx="5">
                <c:v>84061.551183566495</c:v>
              </c:pt>
              <c:pt idx="6">
                <c:v>84061.551183566495</c:v>
              </c:pt>
              <c:pt idx="7">
                <c:v>104493.5451105422</c:v>
              </c:pt>
              <c:pt idx="8">
                <c:v>104493.5451105422</c:v>
              </c:pt>
            </c:numLit>
          </c:val>
          <c:extLst>
            <c:ext xmlns:c16="http://schemas.microsoft.com/office/drawing/2014/chart" uri="{C3380CC4-5D6E-409C-BE32-E72D297353CC}">
              <c16:uniqueId val="{00000007-AD31-45B3-AA74-2F8C6ECA3478}"/>
            </c:ext>
          </c:extLst>
        </c:ser>
        <c:ser>
          <c:idx val="14"/>
          <c:order val="14"/>
          <c:tx>
            <c:v>GNR_GT_NGAS_BP_E-43_LS-40-MW_Y-2030</c:v>
          </c:tx>
          <c:spPr>
            <a:solidFill>
              <a:schemeClr val="accent3">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1595.3829918927149</c:v>
              </c:pt>
              <c:pt idx="3">
                <c:v>0</c:v>
              </c:pt>
              <c:pt idx="4">
                <c:v>0</c:v>
              </c:pt>
              <c:pt idx="5">
                <c:v>98.689413185313001</c:v>
              </c:pt>
              <c:pt idx="6">
                <c:v>0</c:v>
              </c:pt>
              <c:pt idx="7">
                <c:v>0</c:v>
              </c:pt>
              <c:pt idx="8">
                <c:v>0</c:v>
              </c:pt>
            </c:numLit>
          </c:val>
          <c:extLst>
            <c:ext xmlns:c16="http://schemas.microsoft.com/office/drawing/2014/chart" uri="{C3380CC4-5D6E-409C-BE32-E72D297353CC}">
              <c16:uniqueId val="{00000008-AD31-45B3-AA74-2F8C6ECA3478}"/>
            </c:ext>
          </c:extLst>
        </c:ser>
        <c:ser>
          <c:idx val="15"/>
          <c:order val="15"/>
          <c:tx>
            <c:v>GNR_ST_WOODCHI_BP_E-29_LS-600-MW-FEED_Y-2030</c:v>
          </c:tx>
          <c:spPr>
            <a:solidFill>
              <a:schemeClr val="accent4">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98.802981381140597</c:v>
              </c:pt>
              <c:pt idx="3">
                <c:v>0</c:v>
              </c:pt>
              <c:pt idx="4">
                <c:v>157.94896778385731</c:v>
              </c:pt>
              <c:pt idx="5">
                <c:v>157.94896778385731</c:v>
              </c:pt>
              <c:pt idx="6">
                <c:v>157.94896778385731</c:v>
              </c:pt>
              <c:pt idx="7">
                <c:v>157.94896778385731</c:v>
              </c:pt>
              <c:pt idx="8">
                <c:v>157.94896778385731</c:v>
              </c:pt>
            </c:numLit>
          </c:val>
          <c:extLst>
            <c:ext xmlns:c16="http://schemas.microsoft.com/office/drawing/2014/chart" uri="{C3380CC4-5D6E-409C-BE32-E72D297353CC}">
              <c16:uniqueId val="{00000009-AD31-45B3-AA74-2F8C6ECA3478}"/>
            </c:ext>
          </c:extLst>
        </c:ser>
        <c:ser>
          <c:idx val="16"/>
          <c:order val="16"/>
          <c:tx>
            <c:v>GNR_ENG_NGAS_BP_E-48_Y-2030</c:v>
          </c:tx>
          <c:spPr>
            <a:solidFill>
              <a:schemeClr val="accent5">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276.77880416483788</c:v>
              </c:pt>
              <c:pt idx="3">
                <c:v>0</c:v>
              </c:pt>
              <c:pt idx="4">
                <c:v>0</c:v>
              </c:pt>
              <c:pt idx="5">
                <c:v>0</c:v>
              </c:pt>
              <c:pt idx="6">
                <c:v>0</c:v>
              </c:pt>
              <c:pt idx="7">
                <c:v>0</c:v>
              </c:pt>
              <c:pt idx="8">
                <c:v>0</c:v>
              </c:pt>
            </c:numLit>
          </c:val>
          <c:extLst>
            <c:ext xmlns:c16="http://schemas.microsoft.com/office/drawing/2014/chart" uri="{C3380CC4-5D6E-409C-BE32-E72D297353CC}">
              <c16:uniqueId val="{00000000-F019-4D15-BC70-B4A6CE3E15BD}"/>
            </c:ext>
          </c:extLst>
        </c:ser>
        <c:ser>
          <c:idx val="17"/>
          <c:order val="17"/>
          <c:tx>
            <c:v>GNR_CC_NGAS_EXT_E-61_LS-100-MW_Y-2030</c:v>
          </c:tx>
          <c:spPr>
            <a:solidFill>
              <a:schemeClr val="accent6">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917.89976531170998</c:v>
              </c:pt>
              <c:pt idx="5">
                <c:v>1653.615838883635</c:v>
              </c:pt>
              <c:pt idx="6">
                <c:v>917.89976531170998</c:v>
              </c:pt>
              <c:pt idx="7">
                <c:v>1942.2910155319751</c:v>
              </c:pt>
              <c:pt idx="8">
                <c:v>1942.2910155319751</c:v>
              </c:pt>
            </c:numLit>
          </c:val>
          <c:extLst>
            <c:ext xmlns:c16="http://schemas.microsoft.com/office/drawing/2014/chart" uri="{C3380CC4-5D6E-409C-BE32-E72D297353CC}">
              <c16:uniqueId val="{00000001-F019-4D15-BC70-B4A6CE3E15BD}"/>
            </c:ext>
          </c:extLst>
        </c:ser>
        <c:ser>
          <c:idx val="18"/>
          <c:order val="18"/>
          <c:tx>
            <c:v>GNR_WT_WIND_ON_LS_Y-2020</c:v>
          </c:tx>
          <c:spPr>
            <a:solidFill>
              <a:schemeClr val="accent1">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891.01908878247525</c:v>
              </c:pt>
              <c:pt idx="2">
                <c:v>891.01908878247525</c:v>
              </c:pt>
              <c:pt idx="3">
                <c:v>891.01908878247525</c:v>
              </c:pt>
              <c:pt idx="4">
                <c:v>891.01908878247525</c:v>
              </c:pt>
              <c:pt idx="5">
                <c:v>891.01908878247525</c:v>
              </c:pt>
              <c:pt idx="6">
                <c:v>891.01908878247525</c:v>
              </c:pt>
              <c:pt idx="7">
                <c:v>891.01908878247525</c:v>
              </c:pt>
              <c:pt idx="8">
                <c:v>891.01908878247525</c:v>
              </c:pt>
            </c:numLit>
          </c:val>
          <c:extLst>
            <c:ext xmlns:c16="http://schemas.microsoft.com/office/drawing/2014/chart" uri="{C3380CC4-5D6E-409C-BE32-E72D297353CC}">
              <c16:uniqueId val="{00000002-F019-4D15-BC70-B4A6CE3E15BD}"/>
            </c:ext>
          </c:extLst>
        </c:ser>
        <c:ser>
          <c:idx val="19"/>
          <c:order val="19"/>
          <c:tx>
            <c:v>GNR_BO_ELEC_E-99_LS-10-MW-FEED_Y-2030</c:v>
          </c:tx>
          <c:spPr>
            <a:solidFill>
              <a:schemeClr val="accent2">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218.394165835297</c:v>
              </c:pt>
              <c:pt idx="3">
                <c:v>0</c:v>
              </c:pt>
              <c:pt idx="4">
                <c:v>1402.1589999678047</c:v>
              </c:pt>
              <c:pt idx="5">
                <c:v>1402.1589999678047</c:v>
              </c:pt>
              <c:pt idx="6">
                <c:v>1402.1589999678047</c:v>
              </c:pt>
              <c:pt idx="7">
                <c:v>1571.0088301447747</c:v>
              </c:pt>
              <c:pt idx="8">
                <c:v>1571.0088301447747</c:v>
              </c:pt>
            </c:numLit>
          </c:val>
          <c:extLst>
            <c:ext xmlns:c16="http://schemas.microsoft.com/office/drawing/2014/chart" uri="{C3380CC4-5D6E-409C-BE32-E72D297353CC}">
              <c16:uniqueId val="{00000003-F019-4D15-BC70-B4A6CE3E15BD}"/>
            </c:ext>
          </c:extLst>
        </c:ser>
        <c:ser>
          <c:idx val="20"/>
          <c:order val="20"/>
          <c:tx>
            <c:v>GNR_PV_SUN_LS-4-MW_Y-2020</c:v>
          </c:tx>
          <c:spPr>
            <a:solidFill>
              <a:schemeClr val="accent3">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516.66053498192298</c:v>
              </c:pt>
              <c:pt idx="2">
                <c:v>516.66053498192298</c:v>
              </c:pt>
              <c:pt idx="3">
                <c:v>516.66053498192298</c:v>
              </c:pt>
              <c:pt idx="4">
                <c:v>516.66053498192298</c:v>
              </c:pt>
              <c:pt idx="5">
                <c:v>516.66053498192298</c:v>
              </c:pt>
              <c:pt idx="6">
                <c:v>516.66053498192298</c:v>
              </c:pt>
              <c:pt idx="7">
                <c:v>516.66053498192298</c:v>
              </c:pt>
              <c:pt idx="8">
                <c:v>516.66053498192298</c:v>
              </c:pt>
            </c:numLit>
          </c:val>
          <c:extLst>
            <c:ext xmlns:c16="http://schemas.microsoft.com/office/drawing/2014/chart" uri="{C3380CC4-5D6E-409C-BE32-E72D297353CC}">
              <c16:uniqueId val="{00000004-F019-4D15-BC70-B4A6CE3E15BD}"/>
            </c:ext>
          </c:extLst>
        </c:ser>
        <c:ser>
          <c:idx val="21"/>
          <c:order val="21"/>
          <c:tx>
            <c:v>GNR_BO_ELEC_E-99_MS-1-MW-FEED_Y-2030</c:v>
          </c:tx>
          <c:spPr>
            <a:solidFill>
              <a:schemeClr val="accent4">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55.271100449144697</c:v>
              </c:pt>
              <c:pt idx="5">
                <c:v>55.271100449144697</c:v>
              </c:pt>
              <c:pt idx="6">
                <c:v>55.271100449144697</c:v>
              </c:pt>
              <c:pt idx="7">
                <c:v>93.372350150060797</c:v>
              </c:pt>
              <c:pt idx="8">
                <c:v>93.372350150060797</c:v>
              </c:pt>
            </c:numLit>
          </c:val>
          <c:extLst>
            <c:ext xmlns:c16="http://schemas.microsoft.com/office/drawing/2014/chart" uri="{C3380CC4-5D6E-409C-BE32-E72D297353CC}">
              <c16:uniqueId val="{00000000-6F40-46CA-B9C7-A2F6E6DC87C1}"/>
            </c:ext>
          </c:extLst>
        </c:ser>
        <c:ser>
          <c:idx val="22"/>
          <c:order val="22"/>
          <c:tx>
            <c:v>GNR_WT_WIND_OFF_L-NS_Y-2030</c:v>
          </c:tx>
          <c:spPr>
            <a:solidFill>
              <a:schemeClr val="accent5">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310.71150917731097</c:v>
              </c:pt>
              <c:pt idx="5">
                <c:v>310.71150917731097</c:v>
              </c:pt>
              <c:pt idx="6">
                <c:v>310.71150917731097</c:v>
              </c:pt>
              <c:pt idx="7">
                <c:v>524.95153073032304</c:v>
              </c:pt>
              <c:pt idx="8">
                <c:v>524.95153073032304</c:v>
              </c:pt>
            </c:numLit>
          </c:val>
          <c:extLst>
            <c:ext xmlns:c16="http://schemas.microsoft.com/office/drawing/2014/chart" uri="{C3380CC4-5D6E-409C-BE32-E72D297353CC}">
              <c16:uniqueId val="{00000001-6F40-46CA-B9C7-A2F6E6DC87C1}"/>
            </c:ext>
          </c:extLst>
        </c:ser>
        <c:ser>
          <c:idx val="23"/>
          <c:order val="23"/>
          <c:tx>
            <c:v>GNR_HS_HEAT_PIT_L-DEC_E-91_Y-2050</c:v>
          </c:tx>
          <c:spPr>
            <a:solidFill>
              <a:schemeClr val="accent6">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943.35980977155896</c:v>
              </c:pt>
            </c:numLit>
          </c:val>
          <c:extLst>
            <c:ext xmlns:c16="http://schemas.microsoft.com/office/drawing/2014/chart" uri="{C3380CC4-5D6E-409C-BE32-E72D297353CC}">
              <c16:uniqueId val="{00000002-6F40-46CA-B9C7-A2F6E6DC87C1}"/>
            </c:ext>
          </c:extLst>
        </c:ser>
        <c:dLbls>
          <c:showLegendKey val="0"/>
          <c:showVal val="0"/>
          <c:showCatName val="0"/>
          <c:showSerName val="0"/>
          <c:showPercent val="0"/>
          <c:showBubbleSize val="0"/>
        </c:dLbls>
        <c:gapWidth val="150"/>
        <c:overlap val="100"/>
        <c:axId val="2080468400"/>
        <c:axId val="2080469232"/>
      </c:barChart>
      <c:catAx>
        <c:axId val="20804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9232"/>
        <c:crosses val="autoZero"/>
        <c:auto val="1"/>
        <c:lblAlgn val="ctr"/>
        <c:lblOffset val="100"/>
        <c:noMultiLvlLbl val="0"/>
      </c:catAx>
      <c:valAx>
        <c:axId val="208046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8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tool.xlsm]GEN INVEST!PivotTable3</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s>
    <c:plotArea>
      <c:layout>
        <c:manualLayout>
          <c:layoutTarget val="inner"/>
          <c:xMode val="edge"/>
          <c:yMode val="edge"/>
          <c:x val="8.2079605162027794E-2"/>
          <c:y val="0.12396292790204502"/>
          <c:w val="0.75684944049009073"/>
          <c:h val="0.60549250331739057"/>
        </c:manualLayout>
      </c:layout>
      <c:barChart>
        <c:barDir val="col"/>
        <c:grouping val="stacked"/>
        <c:varyColors val="0"/>
        <c:ser>
          <c:idx val="0"/>
          <c:order val="0"/>
          <c:tx>
            <c:strRef>
              <c:f>'GEN INVEST'!$E$5:$E$7</c:f>
              <c:strCache>
                <c:ptCount val="1"/>
                <c:pt idx="0">
                  <c:v>Cogeneration - Backpressure</c:v>
                </c:pt>
              </c:strCache>
            </c:strRef>
          </c:tx>
          <c:spPr>
            <a:solidFill>
              <a:schemeClr val="accent1"/>
            </a:solidFill>
            <a:ln>
              <a:noFill/>
            </a:ln>
            <a:effectLst/>
          </c:spPr>
          <c:invertIfNegative val="0"/>
          <c:cat>
            <c:multiLvlStrRef>
              <c:f>'GEN INVEST'!$B$8:$D$9</c:f>
              <c:multiLvlStrCache>
                <c:ptCount val="1"/>
                <c:lvl>
                  <c:pt idx="0">
                    <c:v>2030</c:v>
                  </c:pt>
                </c:lvl>
                <c:lvl>
                  <c:pt idx="0">
                    <c:v>2030</c:v>
                  </c:pt>
                </c:lvl>
                <c:lvl>
                  <c:pt idx="0">
                    <c:v>DENMARK</c:v>
                  </c:pt>
                </c:lvl>
              </c:multiLvlStrCache>
            </c:multiLvlStrRef>
          </c:cat>
          <c:val>
            <c:numRef>
              <c:f>'GEN INVEST'!$E$8:$E$9</c:f>
              <c:numCache>
                <c:formatCode>General</c:formatCode>
                <c:ptCount val="1"/>
                <c:pt idx="0">
                  <c:v>2041.8085326431283</c:v>
                </c:pt>
              </c:numCache>
            </c:numRef>
          </c:val>
          <c:extLst>
            <c:ext xmlns:c16="http://schemas.microsoft.com/office/drawing/2014/chart" uri="{C3380CC4-5D6E-409C-BE32-E72D297353CC}">
              <c16:uniqueId val="{00000000-D2F8-48B9-B2D8-13F315638C1F}"/>
            </c:ext>
          </c:extLst>
        </c:ser>
        <c:ser>
          <c:idx val="1"/>
          <c:order val="1"/>
          <c:tx>
            <c:strRef>
              <c:f>'GEN INVEST'!$F$5:$F$7</c:f>
              <c:strCache>
                <c:ptCount val="1"/>
                <c:pt idx="0">
                  <c:v>Conversion - Electricity to heat</c:v>
                </c:pt>
              </c:strCache>
            </c:strRef>
          </c:tx>
          <c:spPr>
            <a:solidFill>
              <a:schemeClr val="accent2"/>
            </a:solidFill>
            <a:ln>
              <a:noFill/>
            </a:ln>
            <a:effectLst/>
          </c:spPr>
          <c:invertIfNegative val="0"/>
          <c:cat>
            <c:multiLvlStrRef>
              <c:f>'GEN INVEST'!$B$8:$D$9</c:f>
              <c:multiLvlStrCache>
                <c:ptCount val="1"/>
                <c:lvl>
                  <c:pt idx="0">
                    <c:v>2030</c:v>
                  </c:pt>
                </c:lvl>
                <c:lvl>
                  <c:pt idx="0">
                    <c:v>2030</c:v>
                  </c:pt>
                </c:lvl>
                <c:lvl>
                  <c:pt idx="0">
                    <c:v>DENMARK</c:v>
                  </c:pt>
                </c:lvl>
              </c:multiLvlStrCache>
            </c:multiLvlStrRef>
          </c:cat>
          <c:val>
            <c:numRef>
              <c:f>'GEN INVEST'!$F$8:$F$9</c:f>
              <c:numCache>
                <c:formatCode>General</c:formatCode>
                <c:ptCount val="1"/>
                <c:pt idx="0">
                  <c:v>594.5030887362052</c:v>
                </c:pt>
              </c:numCache>
            </c:numRef>
          </c:val>
          <c:extLst>
            <c:ext xmlns:c16="http://schemas.microsoft.com/office/drawing/2014/chart" uri="{C3380CC4-5D6E-409C-BE32-E72D297353CC}">
              <c16:uniqueId val="{00000000-5663-456D-8651-E74DDFE4195E}"/>
            </c:ext>
          </c:extLst>
        </c:ser>
        <c:ser>
          <c:idx val="2"/>
          <c:order val="2"/>
          <c:tx>
            <c:strRef>
              <c:f>'GEN INVEST'!$G$5:$G$7</c:f>
              <c:strCache>
                <c:ptCount val="1"/>
                <c:pt idx="0">
                  <c:v>Storage - HE storage</c:v>
                </c:pt>
              </c:strCache>
            </c:strRef>
          </c:tx>
          <c:spPr>
            <a:solidFill>
              <a:schemeClr val="accent3"/>
            </a:solidFill>
            <a:ln>
              <a:noFill/>
            </a:ln>
            <a:effectLst/>
          </c:spPr>
          <c:invertIfNegative val="0"/>
          <c:cat>
            <c:multiLvlStrRef>
              <c:f>'GEN INVEST'!$B$8:$D$9</c:f>
              <c:multiLvlStrCache>
                <c:ptCount val="1"/>
                <c:lvl>
                  <c:pt idx="0">
                    <c:v>2030</c:v>
                  </c:pt>
                </c:lvl>
                <c:lvl>
                  <c:pt idx="0">
                    <c:v>2030</c:v>
                  </c:pt>
                </c:lvl>
                <c:lvl>
                  <c:pt idx="0">
                    <c:v>DENMARK</c:v>
                  </c:pt>
                </c:lvl>
              </c:multiLvlStrCache>
            </c:multiLvlStrRef>
          </c:cat>
          <c:val>
            <c:numRef>
              <c:f>'GEN INVEST'!$G$8:$G$9</c:f>
              <c:numCache>
                <c:formatCode>General</c:formatCode>
                <c:ptCount val="1"/>
                <c:pt idx="0">
                  <c:v>2188.4318600239853</c:v>
                </c:pt>
              </c:numCache>
            </c:numRef>
          </c:val>
          <c:extLst>
            <c:ext xmlns:c16="http://schemas.microsoft.com/office/drawing/2014/chart" uri="{C3380CC4-5D6E-409C-BE32-E72D297353CC}">
              <c16:uniqueId val="{00000000-4160-481D-A58E-2F3E9175EC86}"/>
            </c:ext>
          </c:extLst>
        </c:ser>
        <c:ser>
          <c:idx val="3"/>
          <c:order val="3"/>
          <c:tx>
            <c:strRef>
              <c:f>'GEN INVEST'!$H$5:$H$7</c:f>
              <c:strCache>
                <c:ptCount val="1"/>
                <c:pt idx="0">
                  <c:v>Storage - HE storage S</c:v>
                </c:pt>
              </c:strCache>
            </c:strRef>
          </c:tx>
          <c:spPr>
            <a:solidFill>
              <a:schemeClr val="accent4"/>
            </a:solidFill>
            <a:ln>
              <a:noFill/>
            </a:ln>
            <a:effectLst/>
          </c:spPr>
          <c:invertIfNegative val="0"/>
          <c:cat>
            <c:multiLvlStrRef>
              <c:f>'GEN INVEST'!$B$8:$D$9</c:f>
              <c:multiLvlStrCache>
                <c:ptCount val="1"/>
                <c:lvl>
                  <c:pt idx="0">
                    <c:v>2030</c:v>
                  </c:pt>
                </c:lvl>
                <c:lvl>
                  <c:pt idx="0">
                    <c:v>2030</c:v>
                  </c:pt>
                </c:lvl>
                <c:lvl>
                  <c:pt idx="0">
                    <c:v>DENMARK</c:v>
                  </c:pt>
                </c:lvl>
              </c:multiLvlStrCache>
            </c:multiLvlStrRef>
          </c:cat>
          <c:val>
            <c:numRef>
              <c:f>'GEN INVEST'!$H$8:$H$9</c:f>
              <c:numCache>
                <c:formatCode>General</c:formatCode>
                <c:ptCount val="1"/>
                <c:pt idx="0">
                  <c:v>46108.878656757915</c:v>
                </c:pt>
              </c:numCache>
            </c:numRef>
          </c:val>
          <c:extLst>
            <c:ext xmlns:c16="http://schemas.microsoft.com/office/drawing/2014/chart" uri="{C3380CC4-5D6E-409C-BE32-E72D297353CC}">
              <c16:uniqueId val="{00000005-4160-481D-A58E-2F3E9175EC86}"/>
            </c:ext>
          </c:extLst>
        </c:ser>
        <c:ser>
          <c:idx val="4"/>
          <c:order val="4"/>
          <c:tx>
            <c:strRef>
              <c:f>'GEN INVEST'!$I$5:$I$7</c:f>
              <c:strCache>
                <c:ptCount val="1"/>
                <c:pt idx="0">
                  <c:v>Storage - EL storage</c:v>
                </c:pt>
              </c:strCache>
            </c:strRef>
          </c:tx>
          <c:spPr>
            <a:solidFill>
              <a:schemeClr val="accent5"/>
            </a:solidFill>
            <a:ln>
              <a:noFill/>
            </a:ln>
            <a:effectLst/>
          </c:spPr>
          <c:invertIfNegative val="0"/>
          <c:cat>
            <c:multiLvlStrRef>
              <c:f>'GEN INVEST'!$B$8:$D$9</c:f>
              <c:multiLvlStrCache>
                <c:ptCount val="1"/>
                <c:lvl>
                  <c:pt idx="0">
                    <c:v>2030</c:v>
                  </c:pt>
                </c:lvl>
                <c:lvl>
                  <c:pt idx="0">
                    <c:v>2030</c:v>
                  </c:pt>
                </c:lvl>
                <c:lvl>
                  <c:pt idx="0">
                    <c:v>DENMARK</c:v>
                  </c:pt>
                </c:lvl>
              </c:multiLvlStrCache>
            </c:multiLvlStrRef>
          </c:cat>
          <c:val>
            <c:numRef>
              <c:f>'GEN INVEST'!$I$8:$I$9</c:f>
              <c:numCache>
                <c:formatCode>General</c:formatCode>
                <c:ptCount val="1"/>
                <c:pt idx="0">
                  <c:v>282.57108206094318</c:v>
                </c:pt>
              </c:numCache>
            </c:numRef>
          </c:val>
          <c:extLst>
            <c:ext xmlns:c16="http://schemas.microsoft.com/office/drawing/2014/chart" uri="{C3380CC4-5D6E-409C-BE32-E72D297353CC}">
              <c16:uniqueId val="{00000000-CD42-43D1-88B3-0E0C5BBE861C}"/>
            </c:ext>
          </c:extLst>
        </c:ser>
        <c:ser>
          <c:idx val="5"/>
          <c:order val="5"/>
          <c:tx>
            <c:strRef>
              <c:f>'GEN INVEST'!$J$5:$J$7</c:f>
              <c:strCache>
                <c:ptCount val="1"/>
                <c:pt idx="0">
                  <c:v>VRE - Solar PV</c:v>
                </c:pt>
              </c:strCache>
            </c:strRef>
          </c:tx>
          <c:spPr>
            <a:solidFill>
              <a:schemeClr val="accent6"/>
            </a:solidFill>
            <a:ln>
              <a:noFill/>
            </a:ln>
            <a:effectLst/>
          </c:spPr>
          <c:invertIfNegative val="0"/>
          <c:cat>
            <c:multiLvlStrRef>
              <c:f>'GEN INVEST'!$B$8:$D$9</c:f>
              <c:multiLvlStrCache>
                <c:ptCount val="1"/>
                <c:lvl>
                  <c:pt idx="0">
                    <c:v>2030</c:v>
                  </c:pt>
                </c:lvl>
                <c:lvl>
                  <c:pt idx="0">
                    <c:v>2030</c:v>
                  </c:pt>
                </c:lvl>
                <c:lvl>
                  <c:pt idx="0">
                    <c:v>DENMARK</c:v>
                  </c:pt>
                </c:lvl>
              </c:multiLvlStrCache>
            </c:multiLvlStrRef>
          </c:cat>
          <c:val>
            <c:numRef>
              <c:f>'GEN INVEST'!$J$8:$J$9</c:f>
              <c:numCache>
                <c:formatCode>General</c:formatCode>
                <c:ptCount val="1"/>
                <c:pt idx="0">
                  <c:v>4599.2849420992807</c:v>
                </c:pt>
              </c:numCache>
            </c:numRef>
          </c:val>
          <c:extLst>
            <c:ext xmlns:c16="http://schemas.microsoft.com/office/drawing/2014/chart" uri="{C3380CC4-5D6E-409C-BE32-E72D297353CC}">
              <c16:uniqueId val="{00000003-A24C-4BC5-980F-FEE7D9BE5DC8}"/>
            </c:ext>
          </c:extLst>
        </c:ser>
        <c:ser>
          <c:idx val="6"/>
          <c:order val="6"/>
          <c:tx>
            <c:strRef>
              <c:f>'GEN INVEST'!$K$5:$K$7</c:f>
              <c:strCache>
                <c:ptCount val="1"/>
                <c:pt idx="0">
                  <c:v>VRE - Wind</c:v>
                </c:pt>
              </c:strCache>
            </c:strRef>
          </c:tx>
          <c:spPr>
            <a:solidFill>
              <a:schemeClr val="accent1">
                <a:lumMod val="60000"/>
              </a:schemeClr>
            </a:solidFill>
            <a:ln>
              <a:noFill/>
            </a:ln>
            <a:effectLst/>
          </c:spPr>
          <c:invertIfNegative val="0"/>
          <c:cat>
            <c:multiLvlStrRef>
              <c:f>'GEN INVEST'!$B$8:$D$9</c:f>
              <c:multiLvlStrCache>
                <c:ptCount val="1"/>
                <c:lvl>
                  <c:pt idx="0">
                    <c:v>2030</c:v>
                  </c:pt>
                </c:lvl>
                <c:lvl>
                  <c:pt idx="0">
                    <c:v>2030</c:v>
                  </c:pt>
                </c:lvl>
                <c:lvl>
                  <c:pt idx="0">
                    <c:v>DENMARK</c:v>
                  </c:pt>
                </c:lvl>
              </c:multiLvlStrCache>
            </c:multiLvlStrRef>
          </c:cat>
          <c:val>
            <c:numRef>
              <c:f>'GEN INVEST'!$K$8:$K$9</c:f>
              <c:numCache>
                <c:formatCode>General</c:formatCode>
                <c:ptCount val="1"/>
                <c:pt idx="0">
                  <c:v>490.08634828731402</c:v>
                </c:pt>
              </c:numCache>
            </c:numRef>
          </c:val>
          <c:extLst>
            <c:ext xmlns:c16="http://schemas.microsoft.com/office/drawing/2014/chart" uri="{C3380CC4-5D6E-409C-BE32-E72D297353CC}">
              <c16:uniqueId val="{00000004-A24C-4BC5-980F-FEE7D9BE5DC8}"/>
            </c:ext>
          </c:extLst>
        </c:ser>
        <c:ser>
          <c:idx val="7"/>
          <c:order val="7"/>
          <c:tx>
            <c:strRef>
              <c:f>'GEN INVEST'!$L$5:$L$7</c:f>
              <c:strCache>
                <c:ptCount val="1"/>
                <c:pt idx="0">
                  <c:v>Other - Heat-Only</c:v>
                </c:pt>
              </c:strCache>
            </c:strRef>
          </c:tx>
          <c:spPr>
            <a:solidFill>
              <a:schemeClr val="accent2">
                <a:lumMod val="60000"/>
              </a:schemeClr>
            </a:solidFill>
            <a:ln>
              <a:noFill/>
            </a:ln>
            <a:effectLst/>
          </c:spPr>
          <c:invertIfNegative val="0"/>
          <c:cat>
            <c:multiLvlStrRef>
              <c:f>'GEN INVEST'!$B$8:$D$9</c:f>
              <c:multiLvlStrCache>
                <c:ptCount val="1"/>
                <c:lvl>
                  <c:pt idx="0">
                    <c:v>2030</c:v>
                  </c:pt>
                </c:lvl>
                <c:lvl>
                  <c:pt idx="0">
                    <c:v>2030</c:v>
                  </c:pt>
                </c:lvl>
                <c:lvl>
                  <c:pt idx="0">
                    <c:v>DENMARK</c:v>
                  </c:pt>
                </c:lvl>
              </c:multiLvlStrCache>
            </c:multiLvlStrRef>
          </c:cat>
          <c:val>
            <c:numRef>
              <c:f>'GEN INVEST'!$L$8:$L$9</c:f>
              <c:numCache>
                <c:formatCode>General</c:formatCode>
                <c:ptCount val="1"/>
                <c:pt idx="0">
                  <c:v>4088.4989019741411</c:v>
                </c:pt>
              </c:numCache>
            </c:numRef>
          </c:val>
          <c:extLst>
            <c:ext xmlns:c16="http://schemas.microsoft.com/office/drawing/2014/chart" uri="{C3380CC4-5D6E-409C-BE32-E72D297353CC}">
              <c16:uniqueId val="{00000005-A24C-4BC5-980F-FEE7D9BE5DC8}"/>
            </c:ext>
          </c:extLst>
        </c:ser>
        <c:dLbls>
          <c:showLegendKey val="0"/>
          <c:showVal val="0"/>
          <c:showCatName val="0"/>
          <c:showSerName val="0"/>
          <c:showPercent val="0"/>
          <c:showBubbleSize val="0"/>
        </c:dLbls>
        <c:gapWidth val="150"/>
        <c:overlap val="100"/>
        <c:axId val="863958735"/>
        <c:axId val="863959151"/>
      </c:barChart>
      <c:catAx>
        <c:axId val="863958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9151"/>
        <c:crosses val="autoZero"/>
        <c:auto val="1"/>
        <c:lblAlgn val="ctr"/>
        <c:lblOffset val="100"/>
        <c:noMultiLvlLbl val="0"/>
      </c:catAx>
      <c:valAx>
        <c:axId val="863959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8735"/>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s>
    <c:plotArea>
      <c:layout/>
      <c:barChart>
        <c:barDir val="col"/>
        <c:grouping val="stacked"/>
        <c:varyColors val="0"/>
        <c:ser>
          <c:idx val="0"/>
          <c:order val="0"/>
          <c:tx>
            <c:strRef>
              <c:f>'EL GEN CAP'!$E$6:$E$7</c:f>
              <c:strCache>
                <c:ptCount val="1"/>
                <c:pt idx="0">
                  <c:v>NATGAS</c:v>
                </c:pt>
              </c:strCache>
            </c:strRef>
          </c:tx>
          <c:spPr>
            <a:solidFill>
              <a:schemeClr val="accent1"/>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CAP'!$E$8:$E$9</c:f>
              <c:numCache>
                <c:formatCode>General</c:formatCode>
                <c:ptCount val="1"/>
                <c:pt idx="0">
                  <c:v>233.72499999999999</c:v>
                </c:pt>
              </c:numCache>
            </c:numRef>
          </c:val>
          <c:extLst>
            <c:ext xmlns:c16="http://schemas.microsoft.com/office/drawing/2014/chart" uri="{C3380CC4-5D6E-409C-BE32-E72D297353CC}">
              <c16:uniqueId val="{00000000-C939-4995-8C3F-7C3B4F0807CF}"/>
            </c:ext>
          </c:extLst>
        </c:ser>
        <c:ser>
          <c:idx val="1"/>
          <c:order val="1"/>
          <c:tx>
            <c:strRef>
              <c:f>'EL GEN CAP'!$F$6:$F$7</c:f>
              <c:strCache>
                <c:ptCount val="1"/>
                <c:pt idx="0">
                  <c:v>BIOGAS</c:v>
                </c:pt>
              </c:strCache>
            </c:strRef>
          </c:tx>
          <c:spPr>
            <a:solidFill>
              <a:schemeClr val="accent2"/>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CAP'!$F$8:$F$9</c:f>
              <c:numCache>
                <c:formatCode>General</c:formatCode>
                <c:ptCount val="1"/>
                <c:pt idx="0">
                  <c:v>79.736999999999981</c:v>
                </c:pt>
              </c:numCache>
            </c:numRef>
          </c:val>
          <c:extLst>
            <c:ext xmlns:c16="http://schemas.microsoft.com/office/drawing/2014/chart" uri="{C3380CC4-5D6E-409C-BE32-E72D297353CC}">
              <c16:uniqueId val="{00000000-D289-467B-BB57-5D9072F7AA1A}"/>
            </c:ext>
          </c:extLst>
        </c:ser>
        <c:ser>
          <c:idx val="2"/>
          <c:order val="2"/>
          <c:tx>
            <c:strRef>
              <c:f>'EL GEN CAP'!$G$6:$G$7</c:f>
              <c:strCache>
                <c:ptCount val="1"/>
                <c:pt idx="0">
                  <c:v>LIGHTOIL</c:v>
                </c:pt>
              </c:strCache>
            </c:strRef>
          </c:tx>
          <c:spPr>
            <a:solidFill>
              <a:schemeClr val="accent3"/>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CAP'!$G$8:$G$9</c:f>
              <c:numCache>
                <c:formatCode>General</c:formatCode>
                <c:ptCount val="1"/>
                <c:pt idx="0">
                  <c:v>146.18700000000001</c:v>
                </c:pt>
              </c:numCache>
            </c:numRef>
          </c:val>
          <c:extLst>
            <c:ext xmlns:c16="http://schemas.microsoft.com/office/drawing/2014/chart" uri="{C3380CC4-5D6E-409C-BE32-E72D297353CC}">
              <c16:uniqueId val="{00000001-D289-467B-BB57-5D9072F7AA1A}"/>
            </c:ext>
          </c:extLst>
        </c:ser>
        <c:ser>
          <c:idx val="3"/>
          <c:order val="3"/>
          <c:tx>
            <c:strRef>
              <c:f>'EL GEN CAP'!$H$6:$H$7</c:f>
              <c:strCache>
                <c:ptCount val="1"/>
                <c:pt idx="0">
                  <c:v>MUNIWASTE</c:v>
                </c:pt>
              </c:strCache>
            </c:strRef>
          </c:tx>
          <c:spPr>
            <a:solidFill>
              <a:schemeClr val="accent4"/>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CAP'!$H$8:$H$9</c:f>
              <c:numCache>
                <c:formatCode>General</c:formatCode>
                <c:ptCount val="1"/>
                <c:pt idx="0">
                  <c:v>45.3</c:v>
                </c:pt>
              </c:numCache>
            </c:numRef>
          </c:val>
          <c:extLst>
            <c:ext xmlns:c16="http://schemas.microsoft.com/office/drawing/2014/chart" uri="{C3380CC4-5D6E-409C-BE32-E72D297353CC}">
              <c16:uniqueId val="{00000002-D289-467B-BB57-5D9072F7AA1A}"/>
            </c:ext>
          </c:extLst>
        </c:ser>
        <c:ser>
          <c:idx val="4"/>
          <c:order val="4"/>
          <c:tx>
            <c:strRef>
              <c:f>'EL GEN CAP'!$I$6:$I$7</c:f>
              <c:strCache>
                <c:ptCount val="1"/>
                <c:pt idx="0">
                  <c:v>STRAW</c:v>
                </c:pt>
              </c:strCache>
            </c:strRef>
          </c:tx>
          <c:spPr>
            <a:solidFill>
              <a:schemeClr val="accent5"/>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CAP'!$I$8:$I$9</c:f>
              <c:numCache>
                <c:formatCode>General</c:formatCode>
                <c:ptCount val="1"/>
                <c:pt idx="0">
                  <c:v>31</c:v>
                </c:pt>
              </c:numCache>
            </c:numRef>
          </c:val>
          <c:extLst>
            <c:ext xmlns:c16="http://schemas.microsoft.com/office/drawing/2014/chart" uri="{C3380CC4-5D6E-409C-BE32-E72D297353CC}">
              <c16:uniqueId val="{00000003-D289-467B-BB57-5D9072F7AA1A}"/>
            </c:ext>
          </c:extLst>
        </c:ser>
        <c:ser>
          <c:idx val="5"/>
          <c:order val="5"/>
          <c:tx>
            <c:strRef>
              <c:f>'EL GEN CAP'!$J$6:$J$7</c:f>
              <c:strCache>
                <c:ptCount val="1"/>
                <c:pt idx="0">
                  <c:v>WOODCHIPS</c:v>
                </c:pt>
              </c:strCache>
            </c:strRef>
          </c:tx>
          <c:spPr>
            <a:solidFill>
              <a:schemeClr val="accent6"/>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CAP'!$J$8:$J$9</c:f>
              <c:numCache>
                <c:formatCode>General</c:formatCode>
                <c:ptCount val="1"/>
                <c:pt idx="0">
                  <c:v>100.58</c:v>
                </c:pt>
              </c:numCache>
            </c:numRef>
          </c:val>
          <c:extLst>
            <c:ext xmlns:c16="http://schemas.microsoft.com/office/drawing/2014/chart" uri="{C3380CC4-5D6E-409C-BE32-E72D297353CC}">
              <c16:uniqueId val="{00000004-D289-467B-BB57-5D9072F7AA1A}"/>
            </c:ext>
          </c:extLst>
        </c:ser>
        <c:ser>
          <c:idx val="6"/>
          <c:order val="6"/>
          <c:tx>
            <c:strRef>
              <c:f>'EL GEN CAP'!$K$6:$K$7</c:f>
              <c:strCache>
                <c:ptCount val="1"/>
                <c:pt idx="0">
                  <c:v>SUN</c:v>
                </c:pt>
              </c:strCache>
            </c:strRef>
          </c:tx>
          <c:spPr>
            <a:solidFill>
              <a:schemeClr val="accent1">
                <a:lumMod val="60000"/>
              </a:schemeClr>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CAP'!$K$8:$K$9</c:f>
              <c:numCache>
                <c:formatCode>General</c:formatCode>
                <c:ptCount val="1"/>
                <c:pt idx="0">
                  <c:v>782.87415599973895</c:v>
                </c:pt>
              </c:numCache>
            </c:numRef>
          </c:val>
          <c:extLst>
            <c:ext xmlns:c16="http://schemas.microsoft.com/office/drawing/2014/chart" uri="{C3380CC4-5D6E-409C-BE32-E72D297353CC}">
              <c16:uniqueId val="{00000005-D289-467B-BB57-5D9072F7AA1A}"/>
            </c:ext>
          </c:extLst>
        </c:ser>
        <c:ser>
          <c:idx val="7"/>
          <c:order val="7"/>
          <c:tx>
            <c:strRef>
              <c:f>'EL GEN CAP'!$L$6:$L$7</c:f>
              <c:strCache>
                <c:ptCount val="1"/>
                <c:pt idx="0">
                  <c:v>WATER</c:v>
                </c:pt>
              </c:strCache>
            </c:strRef>
          </c:tx>
          <c:spPr>
            <a:solidFill>
              <a:schemeClr val="accent2">
                <a:lumMod val="60000"/>
              </a:schemeClr>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CAP'!$L$8:$L$9</c:f>
              <c:numCache>
                <c:formatCode>General</c:formatCode>
                <c:ptCount val="1"/>
                <c:pt idx="0">
                  <c:v>2.5000000000000001E-2</c:v>
                </c:pt>
              </c:numCache>
            </c:numRef>
          </c:val>
          <c:extLst>
            <c:ext xmlns:c16="http://schemas.microsoft.com/office/drawing/2014/chart" uri="{C3380CC4-5D6E-409C-BE32-E72D297353CC}">
              <c16:uniqueId val="{00000006-D289-467B-BB57-5D9072F7AA1A}"/>
            </c:ext>
          </c:extLst>
        </c:ser>
        <c:ser>
          <c:idx val="8"/>
          <c:order val="8"/>
          <c:tx>
            <c:strRef>
              <c:f>'EL GEN CAP'!$M$6:$M$7</c:f>
              <c:strCache>
                <c:ptCount val="1"/>
                <c:pt idx="0">
                  <c:v>WIND</c:v>
                </c:pt>
              </c:strCache>
            </c:strRef>
          </c:tx>
          <c:spPr>
            <a:solidFill>
              <a:schemeClr val="accent3">
                <a:lumMod val="60000"/>
              </a:schemeClr>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CAP'!$M$8:$M$9</c:f>
              <c:numCache>
                <c:formatCode>General</c:formatCode>
                <c:ptCount val="1"/>
                <c:pt idx="0">
                  <c:v>3984.302999999999</c:v>
                </c:pt>
              </c:numCache>
            </c:numRef>
          </c:val>
          <c:extLst>
            <c:ext xmlns:c16="http://schemas.microsoft.com/office/drawing/2014/chart" uri="{C3380CC4-5D6E-409C-BE32-E72D297353CC}">
              <c16:uniqueId val="{00000007-D289-467B-BB57-5D9072F7AA1A}"/>
            </c:ext>
          </c:extLst>
        </c:ser>
        <c:ser>
          <c:idx val="9"/>
          <c:order val="9"/>
          <c:tx>
            <c:strRef>
              <c:f>'EL GEN CAP'!$N$6:$N$7</c:f>
              <c:strCache>
                <c:ptCount val="1"/>
                <c:pt idx="0">
                  <c:v>COAL</c:v>
                </c:pt>
              </c:strCache>
            </c:strRef>
          </c:tx>
          <c:spPr>
            <a:solidFill>
              <a:schemeClr val="accent4">
                <a:lumMod val="60000"/>
              </a:schemeClr>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CAP'!$N$8:$N$9</c:f>
              <c:numCache>
                <c:formatCode>General</c:formatCode>
                <c:ptCount val="1"/>
                <c:pt idx="0">
                  <c:v>287</c:v>
                </c:pt>
              </c:numCache>
            </c:numRef>
          </c:val>
          <c:extLst>
            <c:ext xmlns:c16="http://schemas.microsoft.com/office/drawing/2014/chart" uri="{C3380CC4-5D6E-409C-BE32-E72D297353CC}">
              <c16:uniqueId val="{00000008-D289-467B-BB57-5D9072F7AA1A}"/>
            </c:ext>
          </c:extLst>
        </c:ser>
        <c:ser>
          <c:idx val="10"/>
          <c:order val="10"/>
          <c:tx>
            <c:strRef>
              <c:f>'EL GEN CAP'!$O$6:$O$7</c:f>
              <c:strCache>
                <c:ptCount val="1"/>
                <c:pt idx="0">
                  <c:v>FUELOIL</c:v>
                </c:pt>
              </c:strCache>
            </c:strRef>
          </c:tx>
          <c:spPr>
            <a:solidFill>
              <a:schemeClr val="accent5">
                <a:lumMod val="60000"/>
              </a:schemeClr>
            </a:solidFill>
            <a:ln>
              <a:noFill/>
            </a:ln>
            <a:effectLst/>
          </c:spPr>
          <c:invertIfNegative val="0"/>
          <c:cat>
            <c:multiLvlStrRef>
              <c:f>'EL GEN CAP'!$B$8:$D$9</c:f>
              <c:multiLvlStrCache>
                <c:ptCount val="1"/>
                <c:lvl>
                  <c:pt idx="0">
                    <c:v>2030</c:v>
                  </c:pt>
                </c:lvl>
                <c:lvl>
                  <c:pt idx="0">
                    <c:v>DENMARK</c:v>
                  </c:pt>
                </c:lvl>
                <c:lvl>
                  <c:pt idx="0">
                    <c:v>BASE</c:v>
                  </c:pt>
                </c:lvl>
              </c:multiLvlStrCache>
            </c:multiLvlStrRef>
          </c:cat>
          <c:val>
            <c:numRef>
              <c:f>'EL GEN CAP'!$O$8:$O$9</c:f>
              <c:numCache>
                <c:formatCode>General</c:formatCode>
                <c:ptCount val="1"/>
                <c:pt idx="0">
                  <c:v>0.2</c:v>
                </c:pt>
              </c:numCache>
            </c:numRef>
          </c:val>
          <c:extLst>
            <c:ext xmlns:c16="http://schemas.microsoft.com/office/drawing/2014/chart" uri="{C3380CC4-5D6E-409C-BE32-E72D297353CC}">
              <c16:uniqueId val="{00000009-D289-467B-BB57-5D9072F7AA1A}"/>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
        <c:idx val="209"/>
        <c:spPr>
          <a:solidFill>
            <a:schemeClr val="accent1"/>
          </a:solidFill>
          <a:ln>
            <a:noFill/>
          </a:ln>
          <a:effectLst/>
        </c:spPr>
        <c:marker>
          <c:symbol val="none"/>
        </c:marker>
      </c:pivotFmt>
      <c:pivotFmt>
        <c:idx val="210"/>
        <c:spPr>
          <a:solidFill>
            <a:schemeClr val="accent1"/>
          </a:solidFill>
          <a:ln>
            <a:noFill/>
          </a:ln>
          <a:effectLst/>
        </c:spPr>
        <c:marker>
          <c:symbol val="none"/>
        </c:marker>
      </c:pivotFmt>
      <c:pivotFmt>
        <c:idx val="211"/>
        <c:spPr>
          <a:solidFill>
            <a:schemeClr val="accent1"/>
          </a:solidFill>
          <a:ln>
            <a:noFill/>
          </a:ln>
          <a:effectLst/>
        </c:spPr>
        <c:marker>
          <c:symbol val="none"/>
        </c:marker>
      </c:pivotFmt>
      <c:pivotFmt>
        <c:idx val="212"/>
        <c:spPr>
          <a:solidFill>
            <a:schemeClr val="accent1"/>
          </a:solidFill>
          <a:ln>
            <a:noFill/>
          </a:ln>
          <a:effectLst/>
        </c:spPr>
        <c:marker>
          <c:symbol val="none"/>
        </c:marker>
      </c:pivotFmt>
      <c:pivotFmt>
        <c:idx val="213"/>
        <c:spPr>
          <a:solidFill>
            <a:schemeClr val="accent1"/>
          </a:solidFill>
          <a:ln>
            <a:noFill/>
          </a:ln>
          <a:effectLst/>
        </c:spPr>
        <c:marker>
          <c:symbol val="none"/>
        </c:marker>
      </c:pivotFmt>
      <c:pivotFmt>
        <c:idx val="214"/>
        <c:spPr>
          <a:solidFill>
            <a:schemeClr val="accent1"/>
          </a:solidFill>
          <a:ln>
            <a:noFill/>
          </a:ln>
          <a:effectLst/>
        </c:spPr>
        <c:marker>
          <c:symbol val="none"/>
        </c:marker>
      </c:pivotFmt>
      <c:pivotFmt>
        <c:idx val="215"/>
        <c:spPr>
          <a:solidFill>
            <a:schemeClr val="accent1"/>
          </a:solidFill>
          <a:ln>
            <a:noFill/>
          </a:ln>
          <a:effectLst/>
        </c:spPr>
        <c:marker>
          <c:symbol val="none"/>
        </c:marker>
      </c:pivotFmt>
      <c:pivotFmt>
        <c:idx val="216"/>
        <c:spPr>
          <a:solidFill>
            <a:schemeClr val="accent1"/>
          </a:solidFill>
          <a:ln>
            <a:noFill/>
          </a:ln>
          <a:effectLst/>
        </c:spPr>
        <c:marker>
          <c:symbol val="none"/>
        </c:marker>
      </c:pivotFmt>
      <c:pivotFmt>
        <c:idx val="217"/>
        <c:spPr>
          <a:solidFill>
            <a:schemeClr val="accent1"/>
          </a:solidFill>
          <a:ln>
            <a:noFill/>
          </a:ln>
          <a:effectLst/>
        </c:spPr>
        <c:marker>
          <c:symbol val="none"/>
        </c:marker>
      </c:pivotFmt>
      <c:pivotFmt>
        <c:idx val="218"/>
        <c:spPr>
          <a:solidFill>
            <a:schemeClr val="accent1"/>
          </a:solidFill>
          <a:ln>
            <a:noFill/>
          </a:ln>
          <a:effectLst/>
        </c:spPr>
        <c:marker>
          <c:symbol val="none"/>
        </c:marker>
      </c:pivotFmt>
      <c:pivotFmt>
        <c:idx val="219"/>
        <c:spPr>
          <a:solidFill>
            <a:schemeClr val="accent1"/>
          </a:solidFill>
          <a:ln>
            <a:noFill/>
          </a:ln>
          <a:effectLst/>
        </c:spPr>
        <c:marker>
          <c:symbol val="none"/>
        </c:marker>
      </c:pivotFmt>
      <c:pivotFmt>
        <c:idx val="220"/>
        <c:spPr>
          <a:solidFill>
            <a:schemeClr val="accent1"/>
          </a:solidFill>
          <a:ln>
            <a:noFill/>
          </a:ln>
          <a:effectLst/>
        </c:spPr>
        <c:marker>
          <c:symbol val="none"/>
        </c:marker>
      </c:pivotFmt>
      <c:pivotFmt>
        <c:idx val="221"/>
        <c:spPr>
          <a:solidFill>
            <a:schemeClr val="accent1"/>
          </a:solidFill>
          <a:ln>
            <a:noFill/>
          </a:ln>
          <a:effectLst/>
        </c:spPr>
        <c:marker>
          <c:symbol val="none"/>
        </c:marker>
      </c:pivotFmt>
      <c:pivotFmt>
        <c:idx val="222"/>
        <c:spPr>
          <a:solidFill>
            <a:schemeClr val="accent1"/>
          </a:solidFill>
          <a:ln>
            <a:noFill/>
          </a:ln>
          <a:effectLst/>
        </c:spPr>
        <c:marker>
          <c:symbol val="none"/>
        </c:marker>
      </c:pivotFmt>
      <c:pivotFmt>
        <c:idx val="223"/>
        <c:spPr>
          <a:solidFill>
            <a:schemeClr val="accent1"/>
          </a:solidFill>
          <a:ln>
            <a:noFill/>
          </a:ln>
          <a:effectLst/>
        </c:spPr>
        <c:marker>
          <c:symbol val="none"/>
        </c:marker>
      </c:pivotFmt>
      <c:pivotFmt>
        <c:idx val="224"/>
        <c:spPr>
          <a:solidFill>
            <a:schemeClr val="accent1"/>
          </a:solidFill>
          <a:ln>
            <a:noFill/>
          </a:ln>
          <a:effectLst/>
        </c:spPr>
        <c:marker>
          <c:symbol val="none"/>
        </c:marker>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spPr>
          <a:solidFill>
            <a:schemeClr val="accent1"/>
          </a:solidFill>
          <a:ln>
            <a:noFill/>
          </a:ln>
          <a:effectLst/>
        </c:spPr>
        <c:marker>
          <c:symbol val="none"/>
        </c:marker>
      </c:pivotFmt>
      <c:pivotFmt>
        <c:idx val="229"/>
        <c:spPr>
          <a:solidFill>
            <a:schemeClr val="accent1"/>
          </a:solidFill>
          <a:ln>
            <a:noFill/>
          </a:ln>
          <a:effectLst/>
        </c:spPr>
        <c:marker>
          <c:symbol val="none"/>
        </c:marker>
      </c:pivotFmt>
      <c:pivotFmt>
        <c:idx val="230"/>
        <c:spPr>
          <a:solidFill>
            <a:schemeClr val="accent1"/>
          </a:solidFill>
          <a:ln>
            <a:noFill/>
          </a:ln>
          <a:effectLst/>
        </c:spPr>
        <c:marker>
          <c:symbol val="none"/>
        </c:marker>
      </c:pivotFmt>
      <c:pivotFmt>
        <c:idx val="231"/>
        <c:spPr>
          <a:solidFill>
            <a:schemeClr val="accent1"/>
          </a:solidFill>
          <a:ln>
            <a:noFill/>
          </a:ln>
          <a:effectLst/>
        </c:spPr>
        <c:marker>
          <c:symbol val="none"/>
        </c:marker>
      </c:pivotFmt>
      <c:pivotFmt>
        <c:idx val="232"/>
        <c:spPr>
          <a:solidFill>
            <a:schemeClr val="accent1"/>
          </a:solidFill>
          <a:ln>
            <a:noFill/>
          </a:ln>
          <a:effectLst/>
        </c:spPr>
        <c:marker>
          <c:symbol val="none"/>
        </c:marker>
      </c:pivotFmt>
      <c:pivotFmt>
        <c:idx val="233"/>
        <c:spPr>
          <a:solidFill>
            <a:schemeClr val="accent1"/>
          </a:solidFill>
          <a:ln>
            <a:noFill/>
          </a:ln>
          <a:effectLst/>
        </c:spPr>
        <c:marker>
          <c:symbol val="none"/>
        </c:marker>
      </c:pivotFmt>
      <c:pivotFmt>
        <c:idx val="234"/>
        <c:spPr>
          <a:solidFill>
            <a:schemeClr val="accent1"/>
          </a:solidFill>
          <a:ln>
            <a:noFill/>
          </a:ln>
          <a:effectLst/>
        </c:spPr>
        <c:marker>
          <c:symbol val="none"/>
        </c:marker>
      </c:pivotFmt>
      <c:pivotFmt>
        <c:idx val="235"/>
        <c:spPr>
          <a:solidFill>
            <a:schemeClr val="accent1"/>
          </a:solidFill>
          <a:ln>
            <a:noFill/>
          </a:ln>
          <a:effectLst/>
        </c:spPr>
        <c:marker>
          <c:symbol val="none"/>
        </c:marker>
      </c:pivotFmt>
      <c:pivotFmt>
        <c:idx val="236"/>
        <c:spPr>
          <a:solidFill>
            <a:schemeClr val="accent1"/>
          </a:solidFill>
          <a:ln>
            <a:noFill/>
          </a:ln>
          <a:effectLst/>
        </c:spPr>
        <c:marker>
          <c:symbol val="none"/>
        </c:marker>
      </c:pivotFmt>
      <c:pivotFmt>
        <c:idx val="237"/>
        <c:spPr>
          <a:solidFill>
            <a:schemeClr val="accent1"/>
          </a:solidFill>
          <a:ln>
            <a:noFill/>
          </a:ln>
          <a:effectLst/>
        </c:spPr>
        <c:marker>
          <c:symbol val="none"/>
        </c:marker>
      </c:pivotFmt>
      <c:pivotFmt>
        <c:idx val="238"/>
        <c:spPr>
          <a:solidFill>
            <a:schemeClr val="accent1"/>
          </a:solidFill>
          <a:ln>
            <a:noFill/>
          </a:ln>
          <a:effectLst/>
        </c:spPr>
        <c:marker>
          <c:symbol val="none"/>
        </c:marker>
      </c:pivotFmt>
      <c:pivotFmt>
        <c:idx val="239"/>
        <c:spPr>
          <a:solidFill>
            <a:schemeClr val="accent1"/>
          </a:solidFill>
          <a:ln>
            <a:noFill/>
          </a:ln>
          <a:effectLst/>
        </c:spPr>
        <c:marker>
          <c:symbol val="none"/>
        </c:marker>
      </c:pivotFmt>
      <c:pivotFmt>
        <c:idx val="240"/>
        <c:spPr>
          <a:solidFill>
            <a:schemeClr val="accent1"/>
          </a:solidFill>
          <a:ln>
            <a:noFill/>
          </a:ln>
          <a:effectLst/>
        </c:spPr>
        <c:marker>
          <c:symbol val="none"/>
        </c:marker>
      </c:pivotFmt>
      <c:pivotFmt>
        <c:idx val="241"/>
        <c:spPr>
          <a:solidFill>
            <a:schemeClr val="accent1"/>
          </a:solidFill>
          <a:ln>
            <a:noFill/>
          </a:ln>
          <a:effectLst/>
        </c:spPr>
        <c:marker>
          <c:symbol val="none"/>
        </c:marker>
      </c:pivotFmt>
      <c:pivotFmt>
        <c:idx val="242"/>
        <c:spPr>
          <a:solidFill>
            <a:schemeClr val="accent1"/>
          </a:solidFill>
          <a:ln>
            <a:noFill/>
          </a:ln>
          <a:effectLst/>
        </c:spPr>
        <c:marker>
          <c:symbol val="none"/>
        </c:marker>
      </c:pivotFmt>
      <c:pivotFmt>
        <c:idx val="243"/>
        <c:spPr>
          <a:solidFill>
            <a:schemeClr val="accent1"/>
          </a:solidFill>
          <a:ln>
            <a:noFill/>
          </a:ln>
          <a:effectLst/>
        </c:spPr>
        <c:marker>
          <c:symbol val="none"/>
        </c:marker>
      </c:pivotFmt>
      <c:pivotFmt>
        <c:idx val="244"/>
        <c:spPr>
          <a:solidFill>
            <a:schemeClr val="accent1"/>
          </a:solidFill>
          <a:ln>
            <a:noFill/>
          </a:ln>
          <a:effectLst/>
        </c:spPr>
        <c:marker>
          <c:symbol val="none"/>
        </c:marker>
      </c:pivotFmt>
      <c:pivotFmt>
        <c:idx val="245"/>
        <c:spPr>
          <a:solidFill>
            <a:schemeClr val="accent1"/>
          </a:solidFill>
          <a:ln>
            <a:noFill/>
          </a:ln>
          <a:effectLst/>
        </c:spPr>
        <c:marker>
          <c:symbol val="none"/>
        </c:marker>
      </c:pivotFmt>
      <c:pivotFmt>
        <c:idx val="246"/>
        <c:spPr>
          <a:solidFill>
            <a:schemeClr val="accent1"/>
          </a:solidFill>
          <a:ln>
            <a:noFill/>
          </a:ln>
          <a:effectLst/>
        </c:spPr>
        <c:marker>
          <c:symbol val="none"/>
        </c:marker>
      </c:pivotFmt>
      <c:pivotFmt>
        <c:idx val="247"/>
        <c:spPr>
          <a:solidFill>
            <a:schemeClr val="accent1"/>
          </a:solidFill>
          <a:ln>
            <a:noFill/>
          </a:ln>
          <a:effectLst/>
        </c:spPr>
        <c:marker>
          <c:symbol val="none"/>
        </c:marker>
      </c:pivotFmt>
      <c:pivotFmt>
        <c:idx val="248"/>
        <c:spPr>
          <a:solidFill>
            <a:schemeClr val="accent1"/>
          </a:solidFill>
          <a:ln>
            <a:noFill/>
          </a:ln>
          <a:effectLst/>
        </c:spPr>
        <c:marker>
          <c:symbol val="none"/>
        </c:marker>
      </c:pivotFmt>
      <c:pivotFmt>
        <c:idx val="249"/>
        <c:spPr>
          <a:solidFill>
            <a:schemeClr val="accent1"/>
          </a:solidFill>
          <a:ln>
            <a:noFill/>
          </a:ln>
          <a:effectLst/>
        </c:spPr>
        <c:marker>
          <c:symbol val="none"/>
        </c:marker>
      </c:pivotFmt>
      <c:pivotFmt>
        <c:idx val="250"/>
        <c:spPr>
          <a:solidFill>
            <a:schemeClr val="accent1"/>
          </a:solidFill>
          <a:ln>
            <a:noFill/>
          </a:ln>
          <a:effectLst/>
        </c:spPr>
        <c:marker>
          <c:symbol val="none"/>
        </c:marker>
      </c:pivotFmt>
      <c:pivotFmt>
        <c:idx val="251"/>
        <c:spPr>
          <a:solidFill>
            <a:schemeClr val="accent1"/>
          </a:solidFill>
          <a:ln>
            <a:noFill/>
          </a:ln>
          <a:effectLst/>
        </c:spPr>
        <c:marker>
          <c:symbol val="none"/>
        </c:marker>
      </c:pivotFmt>
      <c:pivotFmt>
        <c:idx val="252"/>
        <c:spPr>
          <a:solidFill>
            <a:schemeClr val="accent1"/>
          </a:solidFill>
          <a:ln>
            <a:noFill/>
          </a:ln>
          <a:effectLst/>
        </c:spPr>
        <c:marker>
          <c:symbol val="none"/>
        </c:marker>
      </c:pivotFmt>
      <c:pivotFmt>
        <c:idx val="253"/>
        <c:spPr>
          <a:solidFill>
            <a:schemeClr val="accent1"/>
          </a:solidFill>
          <a:ln>
            <a:noFill/>
          </a:ln>
          <a:effectLst/>
        </c:spPr>
        <c:marker>
          <c:symbol val="none"/>
        </c:marker>
      </c:pivotFmt>
      <c:pivotFmt>
        <c:idx val="254"/>
        <c:spPr>
          <a:solidFill>
            <a:schemeClr val="accent1"/>
          </a:solidFill>
          <a:ln>
            <a:noFill/>
          </a:ln>
          <a:effectLst/>
        </c:spPr>
        <c:marker>
          <c:symbol val="none"/>
        </c:marker>
      </c:pivotFmt>
      <c:pivotFmt>
        <c:idx val="255"/>
        <c:spPr>
          <a:solidFill>
            <a:schemeClr val="accent1"/>
          </a:solidFill>
          <a:ln>
            <a:noFill/>
          </a:ln>
          <a:effectLst/>
        </c:spPr>
        <c:marker>
          <c:symbol val="none"/>
        </c:marker>
      </c:pivotFmt>
      <c:pivotFmt>
        <c:idx val="256"/>
        <c:spPr>
          <a:solidFill>
            <a:schemeClr val="accent1"/>
          </a:solidFill>
          <a:ln>
            <a:noFill/>
          </a:ln>
          <a:effectLst/>
        </c:spPr>
        <c:marker>
          <c:symbol val="none"/>
        </c:marker>
      </c:pivotFmt>
      <c:pivotFmt>
        <c:idx val="257"/>
        <c:spPr>
          <a:solidFill>
            <a:schemeClr val="accent1"/>
          </a:solidFill>
          <a:ln>
            <a:noFill/>
          </a:ln>
          <a:effectLst/>
        </c:spPr>
        <c:marker>
          <c:symbol val="none"/>
        </c:marker>
      </c:pivotFmt>
      <c:pivotFmt>
        <c:idx val="258"/>
        <c:spPr>
          <a:solidFill>
            <a:schemeClr val="accent1"/>
          </a:solidFill>
          <a:ln>
            <a:noFill/>
          </a:ln>
          <a:effectLst/>
        </c:spPr>
        <c:marker>
          <c:symbol val="none"/>
        </c:marker>
      </c:pivotFmt>
      <c:pivotFmt>
        <c:idx val="259"/>
        <c:spPr>
          <a:solidFill>
            <a:schemeClr val="accent1"/>
          </a:solidFill>
          <a:ln>
            <a:noFill/>
          </a:ln>
          <a:effectLst/>
        </c:spPr>
        <c:marker>
          <c:symbol val="none"/>
        </c:marker>
      </c:pivotFmt>
      <c:pivotFmt>
        <c:idx val="260"/>
        <c:spPr>
          <a:solidFill>
            <a:schemeClr val="accent1"/>
          </a:solidFill>
          <a:ln>
            <a:noFill/>
          </a:ln>
          <a:effectLst/>
        </c:spPr>
        <c:marker>
          <c:symbol val="none"/>
        </c:marker>
      </c:pivotFmt>
      <c:pivotFmt>
        <c:idx val="261"/>
        <c:spPr>
          <a:solidFill>
            <a:schemeClr val="accent1"/>
          </a:solidFill>
          <a:ln>
            <a:noFill/>
          </a:ln>
          <a:effectLst/>
        </c:spPr>
        <c:marker>
          <c:symbol val="none"/>
        </c:marker>
      </c:pivotFmt>
      <c:pivotFmt>
        <c:idx val="262"/>
        <c:spPr>
          <a:solidFill>
            <a:schemeClr val="accent1"/>
          </a:solidFill>
          <a:ln>
            <a:noFill/>
          </a:ln>
          <a:effectLst/>
        </c:spPr>
        <c:marker>
          <c:symbol val="none"/>
        </c:marker>
      </c:pivotFmt>
      <c:pivotFmt>
        <c:idx val="263"/>
        <c:spPr>
          <a:solidFill>
            <a:schemeClr val="accent1"/>
          </a:solidFill>
          <a:ln>
            <a:noFill/>
          </a:ln>
          <a:effectLst/>
        </c:spPr>
        <c:marker>
          <c:symbol val="none"/>
        </c:marker>
      </c:pivotFmt>
      <c:pivotFmt>
        <c:idx val="264"/>
        <c:spPr>
          <a:solidFill>
            <a:schemeClr val="accent1"/>
          </a:solidFill>
          <a:ln>
            <a:noFill/>
          </a:ln>
          <a:effectLst/>
        </c:spPr>
        <c:marker>
          <c:symbol val="none"/>
        </c:marker>
      </c:pivotFmt>
      <c:pivotFmt>
        <c:idx val="265"/>
        <c:spPr>
          <a:solidFill>
            <a:schemeClr val="accent1"/>
          </a:solidFill>
          <a:ln>
            <a:noFill/>
          </a:ln>
          <a:effectLst/>
        </c:spPr>
        <c:marker>
          <c:symbol val="none"/>
        </c:marker>
      </c:pivotFmt>
      <c:pivotFmt>
        <c:idx val="266"/>
        <c:spPr>
          <a:solidFill>
            <a:schemeClr val="accent1"/>
          </a:solidFill>
          <a:ln>
            <a:noFill/>
          </a:ln>
          <a:effectLst/>
        </c:spPr>
        <c:marker>
          <c:symbol val="none"/>
        </c:marker>
      </c:pivotFmt>
      <c:pivotFmt>
        <c:idx val="267"/>
        <c:spPr>
          <a:solidFill>
            <a:schemeClr val="accent1"/>
          </a:solidFill>
          <a:ln>
            <a:noFill/>
          </a:ln>
          <a:effectLst/>
        </c:spPr>
        <c:marker>
          <c:symbol val="none"/>
        </c:marker>
      </c:pivotFmt>
      <c:pivotFmt>
        <c:idx val="268"/>
        <c:spPr>
          <a:solidFill>
            <a:schemeClr val="accent1"/>
          </a:solidFill>
          <a:ln>
            <a:noFill/>
          </a:ln>
          <a:effectLst/>
        </c:spPr>
        <c:marker>
          <c:symbol val="none"/>
        </c:marker>
      </c:pivotFmt>
      <c:pivotFmt>
        <c:idx val="269"/>
        <c:spPr>
          <a:solidFill>
            <a:schemeClr val="accent1"/>
          </a:solidFill>
          <a:ln>
            <a:noFill/>
          </a:ln>
          <a:effectLst/>
        </c:spPr>
        <c:marker>
          <c:symbol val="none"/>
        </c:marker>
      </c:pivotFmt>
      <c:pivotFmt>
        <c:idx val="270"/>
        <c:spPr>
          <a:solidFill>
            <a:schemeClr val="accent1"/>
          </a:solidFill>
          <a:ln>
            <a:noFill/>
          </a:ln>
          <a:effectLst/>
        </c:spPr>
        <c:marker>
          <c:symbol val="none"/>
        </c:marker>
      </c:pivotFmt>
      <c:pivotFmt>
        <c:idx val="271"/>
        <c:spPr>
          <a:solidFill>
            <a:schemeClr val="accent1"/>
          </a:solidFill>
          <a:ln>
            <a:noFill/>
          </a:ln>
          <a:effectLst/>
        </c:spPr>
        <c:marker>
          <c:symbol val="none"/>
        </c:marker>
      </c:pivotFmt>
      <c:pivotFmt>
        <c:idx val="272"/>
        <c:spPr>
          <a:solidFill>
            <a:schemeClr val="accent1"/>
          </a:solidFill>
          <a:ln>
            <a:noFill/>
          </a:ln>
          <a:effectLst/>
        </c:spPr>
        <c:marker>
          <c:symbol val="none"/>
        </c:marker>
      </c:pivotFmt>
      <c:pivotFmt>
        <c:idx val="273"/>
        <c:spPr>
          <a:solidFill>
            <a:schemeClr val="accent1"/>
          </a:solidFill>
          <a:ln>
            <a:noFill/>
          </a:ln>
          <a:effectLst/>
        </c:spPr>
        <c:marker>
          <c:symbol val="none"/>
        </c:marker>
      </c:pivotFmt>
      <c:pivotFmt>
        <c:idx val="274"/>
        <c:spPr>
          <a:solidFill>
            <a:schemeClr val="accent1"/>
          </a:solidFill>
          <a:ln>
            <a:noFill/>
          </a:ln>
          <a:effectLst/>
        </c:spPr>
        <c:marker>
          <c:symbol val="none"/>
        </c:marker>
      </c:pivotFmt>
      <c:pivotFmt>
        <c:idx val="275"/>
        <c:spPr>
          <a:solidFill>
            <a:schemeClr val="accent1"/>
          </a:solidFill>
          <a:ln>
            <a:noFill/>
          </a:ln>
          <a:effectLst/>
        </c:spPr>
        <c:marker>
          <c:symbol val="none"/>
        </c:marker>
      </c:pivotFmt>
      <c:pivotFmt>
        <c:idx val="276"/>
        <c:spPr>
          <a:solidFill>
            <a:schemeClr val="accent1"/>
          </a:solidFill>
          <a:ln>
            <a:noFill/>
          </a:ln>
          <a:effectLst/>
        </c:spPr>
        <c:marker>
          <c:symbol val="none"/>
        </c:marker>
      </c:pivotFmt>
      <c:pivotFmt>
        <c:idx val="277"/>
        <c:spPr>
          <a:solidFill>
            <a:schemeClr val="accent1"/>
          </a:solidFill>
          <a:ln>
            <a:noFill/>
          </a:ln>
          <a:effectLst/>
        </c:spPr>
        <c:marker>
          <c:symbol val="none"/>
        </c:marker>
      </c:pivotFmt>
      <c:pivotFmt>
        <c:idx val="278"/>
        <c:spPr>
          <a:solidFill>
            <a:schemeClr val="accent1"/>
          </a:solidFill>
          <a:ln>
            <a:noFill/>
          </a:ln>
          <a:effectLst/>
        </c:spPr>
        <c:marker>
          <c:symbol val="none"/>
        </c:marker>
      </c:pivotFmt>
      <c:pivotFmt>
        <c:idx val="279"/>
        <c:spPr>
          <a:solidFill>
            <a:schemeClr val="accent1"/>
          </a:solidFill>
          <a:ln>
            <a:noFill/>
          </a:ln>
          <a:effectLst/>
        </c:spPr>
        <c:marker>
          <c:symbol val="none"/>
        </c:marker>
      </c:pivotFmt>
      <c:pivotFmt>
        <c:idx val="280"/>
        <c:spPr>
          <a:solidFill>
            <a:schemeClr val="accent1"/>
          </a:solidFill>
          <a:ln>
            <a:noFill/>
          </a:ln>
          <a:effectLst/>
        </c:spPr>
        <c:marker>
          <c:symbol val="none"/>
        </c:marker>
      </c:pivotFmt>
      <c:pivotFmt>
        <c:idx val="281"/>
        <c:spPr>
          <a:solidFill>
            <a:schemeClr val="accent1"/>
          </a:solidFill>
          <a:ln>
            <a:noFill/>
          </a:ln>
          <a:effectLst/>
        </c:spPr>
        <c:marker>
          <c:symbol val="none"/>
        </c:marker>
      </c:pivotFmt>
      <c:pivotFmt>
        <c:idx val="282"/>
        <c:spPr>
          <a:solidFill>
            <a:schemeClr val="accent1"/>
          </a:solidFill>
          <a:ln>
            <a:noFill/>
          </a:ln>
          <a:effectLst/>
        </c:spPr>
        <c:marker>
          <c:symbol val="none"/>
        </c:marker>
      </c:pivotFmt>
      <c:pivotFmt>
        <c:idx val="283"/>
        <c:spPr>
          <a:solidFill>
            <a:schemeClr val="accent1"/>
          </a:solidFill>
          <a:ln>
            <a:noFill/>
          </a:ln>
          <a:effectLst/>
        </c:spPr>
        <c:marker>
          <c:symbol val="none"/>
        </c:marker>
      </c:pivotFmt>
      <c:pivotFmt>
        <c:idx val="284"/>
        <c:spPr>
          <a:solidFill>
            <a:schemeClr val="accent1"/>
          </a:solidFill>
          <a:ln>
            <a:noFill/>
          </a:ln>
          <a:effectLst/>
        </c:spPr>
        <c:marker>
          <c:symbol val="none"/>
        </c:marker>
      </c:pivotFmt>
      <c:pivotFmt>
        <c:idx val="285"/>
        <c:spPr>
          <a:solidFill>
            <a:schemeClr val="accent1"/>
          </a:solidFill>
          <a:ln>
            <a:noFill/>
          </a:ln>
          <a:effectLst/>
        </c:spPr>
        <c:marker>
          <c:symbol val="none"/>
        </c:marker>
      </c:pivotFmt>
      <c:pivotFmt>
        <c:idx val="286"/>
        <c:spPr>
          <a:solidFill>
            <a:schemeClr val="accent1"/>
          </a:solidFill>
          <a:ln>
            <a:noFill/>
          </a:ln>
          <a:effectLst/>
        </c:spPr>
        <c:marker>
          <c:symbol val="none"/>
        </c:marker>
      </c:pivotFmt>
      <c:pivotFmt>
        <c:idx val="287"/>
        <c:spPr>
          <a:solidFill>
            <a:schemeClr val="accent1"/>
          </a:solidFill>
          <a:ln>
            <a:noFill/>
          </a:ln>
          <a:effectLst/>
        </c:spPr>
        <c:marker>
          <c:symbol val="none"/>
        </c:marker>
      </c:pivotFmt>
      <c:pivotFmt>
        <c:idx val="288"/>
        <c:spPr>
          <a:solidFill>
            <a:schemeClr val="accent1"/>
          </a:solidFill>
          <a:ln>
            <a:noFill/>
          </a:ln>
          <a:effectLst/>
        </c:spPr>
        <c:marker>
          <c:symbol val="none"/>
        </c:marker>
      </c:pivotFmt>
      <c:pivotFmt>
        <c:idx val="289"/>
        <c:spPr>
          <a:solidFill>
            <a:schemeClr val="accent1"/>
          </a:solidFill>
          <a:ln>
            <a:noFill/>
          </a:ln>
          <a:effectLst/>
        </c:spPr>
        <c:marker>
          <c:symbol val="none"/>
        </c:marker>
      </c:pivotFmt>
      <c:pivotFmt>
        <c:idx val="290"/>
        <c:spPr>
          <a:solidFill>
            <a:schemeClr val="accent1"/>
          </a:solidFill>
          <a:ln>
            <a:noFill/>
          </a:ln>
          <a:effectLst/>
        </c:spPr>
        <c:marker>
          <c:symbol val="none"/>
        </c:marker>
      </c:pivotFmt>
      <c:pivotFmt>
        <c:idx val="291"/>
        <c:spPr>
          <a:solidFill>
            <a:schemeClr val="accent1"/>
          </a:solidFill>
          <a:ln>
            <a:noFill/>
          </a:ln>
          <a:effectLst/>
        </c:spPr>
        <c:marker>
          <c:symbol val="none"/>
        </c:marker>
      </c:pivotFmt>
      <c:pivotFmt>
        <c:idx val="292"/>
        <c:spPr>
          <a:solidFill>
            <a:schemeClr val="accent1"/>
          </a:solidFill>
          <a:ln>
            <a:noFill/>
          </a:ln>
          <a:effectLst/>
        </c:spPr>
        <c:marker>
          <c:symbol val="none"/>
        </c:marker>
      </c:pivotFmt>
      <c:pivotFmt>
        <c:idx val="293"/>
        <c:spPr>
          <a:solidFill>
            <a:schemeClr val="accent1"/>
          </a:solidFill>
          <a:ln>
            <a:noFill/>
          </a:ln>
          <a:effectLst/>
        </c:spPr>
        <c:marker>
          <c:symbol val="none"/>
        </c:marker>
      </c:pivotFmt>
      <c:pivotFmt>
        <c:idx val="294"/>
        <c:spPr>
          <a:solidFill>
            <a:schemeClr val="accent1"/>
          </a:solidFill>
          <a:ln>
            <a:noFill/>
          </a:ln>
          <a:effectLst/>
        </c:spPr>
        <c:marker>
          <c:symbol val="none"/>
        </c:marker>
      </c:pivotFmt>
      <c:pivotFmt>
        <c:idx val="295"/>
        <c:spPr>
          <a:solidFill>
            <a:schemeClr val="accent1"/>
          </a:solidFill>
          <a:ln>
            <a:noFill/>
          </a:ln>
          <a:effectLst/>
        </c:spPr>
        <c:marker>
          <c:symbol val="none"/>
        </c:marker>
      </c:pivotFmt>
      <c:pivotFmt>
        <c:idx val="296"/>
        <c:spPr>
          <a:solidFill>
            <a:schemeClr val="accent1"/>
          </a:solidFill>
          <a:ln>
            <a:noFill/>
          </a:ln>
          <a:effectLst/>
        </c:spPr>
        <c:marker>
          <c:symbol val="none"/>
        </c:marker>
      </c:pivotFmt>
      <c:pivotFmt>
        <c:idx val="297"/>
        <c:spPr>
          <a:solidFill>
            <a:schemeClr val="accent1"/>
          </a:solidFill>
          <a:ln>
            <a:noFill/>
          </a:ln>
          <a:effectLst/>
        </c:spPr>
        <c:marker>
          <c:symbol val="none"/>
        </c:marker>
      </c:pivotFmt>
      <c:pivotFmt>
        <c:idx val="298"/>
        <c:spPr>
          <a:solidFill>
            <a:schemeClr val="accent1"/>
          </a:solidFill>
          <a:ln>
            <a:noFill/>
          </a:ln>
          <a:effectLst/>
        </c:spPr>
        <c:marker>
          <c:symbol val="none"/>
        </c:marker>
      </c:pivotFmt>
      <c:pivotFmt>
        <c:idx val="299"/>
        <c:spPr>
          <a:solidFill>
            <a:schemeClr val="accent1"/>
          </a:solidFill>
          <a:ln>
            <a:noFill/>
          </a:ln>
          <a:effectLst/>
        </c:spPr>
        <c:marker>
          <c:symbol val="none"/>
        </c:marker>
      </c:pivotFmt>
      <c:pivotFmt>
        <c:idx val="300"/>
        <c:spPr>
          <a:solidFill>
            <a:schemeClr val="accent1"/>
          </a:solidFill>
          <a:ln>
            <a:noFill/>
          </a:ln>
          <a:effectLst/>
        </c:spPr>
        <c:marker>
          <c:symbol val="none"/>
        </c:marker>
      </c:pivotFmt>
      <c:pivotFmt>
        <c:idx val="301"/>
        <c:spPr>
          <a:solidFill>
            <a:schemeClr val="accent1"/>
          </a:solidFill>
          <a:ln>
            <a:noFill/>
          </a:ln>
          <a:effectLst/>
        </c:spPr>
        <c:marker>
          <c:symbol val="none"/>
        </c:marker>
      </c:pivotFmt>
      <c:pivotFmt>
        <c:idx val="302"/>
        <c:spPr>
          <a:solidFill>
            <a:schemeClr val="accent1"/>
          </a:solidFill>
          <a:ln>
            <a:noFill/>
          </a:ln>
          <a:effectLst/>
        </c:spPr>
        <c:marker>
          <c:symbol val="none"/>
        </c:marker>
      </c:pivotFmt>
      <c:pivotFmt>
        <c:idx val="303"/>
        <c:spPr>
          <a:solidFill>
            <a:schemeClr val="accent1"/>
          </a:solidFill>
          <a:ln>
            <a:noFill/>
          </a:ln>
          <a:effectLst/>
        </c:spPr>
        <c:marker>
          <c:symbol val="none"/>
        </c:marker>
      </c:pivotFmt>
      <c:pivotFmt>
        <c:idx val="304"/>
        <c:spPr>
          <a:solidFill>
            <a:schemeClr val="accent1"/>
          </a:solidFill>
          <a:ln>
            <a:noFill/>
          </a:ln>
          <a:effectLst/>
        </c:spPr>
        <c:marker>
          <c:symbol val="none"/>
        </c:marker>
      </c:pivotFmt>
      <c:pivotFmt>
        <c:idx val="305"/>
        <c:spPr>
          <a:solidFill>
            <a:schemeClr val="accent1"/>
          </a:solidFill>
          <a:ln>
            <a:noFill/>
          </a:ln>
          <a:effectLst/>
        </c:spPr>
        <c:marker>
          <c:symbol val="none"/>
        </c:marker>
      </c:pivotFmt>
      <c:pivotFmt>
        <c:idx val="306"/>
        <c:spPr>
          <a:solidFill>
            <a:schemeClr val="accent1"/>
          </a:solidFill>
          <a:ln>
            <a:noFill/>
          </a:ln>
          <a:effectLst/>
        </c:spPr>
        <c:marker>
          <c:symbol val="none"/>
        </c:marker>
      </c:pivotFmt>
      <c:pivotFmt>
        <c:idx val="307"/>
        <c:spPr>
          <a:solidFill>
            <a:schemeClr val="accent1"/>
          </a:solidFill>
          <a:ln>
            <a:noFill/>
          </a:ln>
          <a:effectLst/>
        </c:spPr>
        <c:marker>
          <c:symbol val="none"/>
        </c:marker>
      </c:pivotFmt>
      <c:pivotFmt>
        <c:idx val="308"/>
        <c:spPr>
          <a:solidFill>
            <a:schemeClr val="accent1"/>
          </a:solidFill>
          <a:ln>
            <a:noFill/>
          </a:ln>
          <a:effectLst/>
        </c:spPr>
        <c:marker>
          <c:symbol val="none"/>
        </c:marker>
      </c:pivotFmt>
      <c:pivotFmt>
        <c:idx val="309"/>
        <c:spPr>
          <a:solidFill>
            <a:schemeClr val="accent1"/>
          </a:solidFill>
          <a:ln>
            <a:noFill/>
          </a:ln>
          <a:effectLst/>
        </c:spPr>
        <c:marker>
          <c:symbol val="none"/>
        </c:marker>
      </c:pivotFmt>
      <c:pivotFmt>
        <c:idx val="310"/>
        <c:spPr>
          <a:solidFill>
            <a:schemeClr val="accent1"/>
          </a:solidFill>
          <a:ln>
            <a:noFill/>
          </a:ln>
          <a:effectLst/>
        </c:spPr>
        <c:marker>
          <c:symbol val="none"/>
        </c:marker>
      </c:pivotFmt>
      <c:pivotFmt>
        <c:idx val="311"/>
        <c:spPr>
          <a:solidFill>
            <a:schemeClr val="accent1"/>
          </a:solidFill>
          <a:ln>
            <a:noFill/>
          </a:ln>
          <a:effectLst/>
        </c:spPr>
        <c:marker>
          <c:symbol val="none"/>
        </c:marker>
      </c:pivotFmt>
      <c:pivotFmt>
        <c:idx val="312"/>
        <c:spPr>
          <a:solidFill>
            <a:schemeClr val="accent1"/>
          </a:solidFill>
          <a:ln>
            <a:noFill/>
          </a:ln>
          <a:effectLst/>
        </c:spPr>
        <c:marker>
          <c:symbol val="none"/>
        </c:marker>
      </c:pivotFmt>
      <c:pivotFmt>
        <c:idx val="313"/>
        <c:spPr>
          <a:solidFill>
            <a:schemeClr val="accent1"/>
          </a:solidFill>
          <a:ln>
            <a:noFill/>
          </a:ln>
          <a:effectLst/>
        </c:spPr>
        <c:marker>
          <c:symbol val="none"/>
        </c:marker>
      </c:pivotFmt>
      <c:pivotFmt>
        <c:idx val="314"/>
        <c:spPr>
          <a:solidFill>
            <a:schemeClr val="accent1"/>
          </a:solidFill>
          <a:ln>
            <a:noFill/>
          </a:ln>
          <a:effectLst/>
        </c:spPr>
        <c:marker>
          <c:symbol val="none"/>
        </c:marker>
      </c:pivotFmt>
      <c:pivotFmt>
        <c:idx val="315"/>
        <c:spPr>
          <a:solidFill>
            <a:schemeClr val="accent1"/>
          </a:solidFill>
          <a:ln>
            <a:noFill/>
          </a:ln>
          <a:effectLst/>
        </c:spPr>
        <c:marker>
          <c:symbol val="none"/>
        </c:marker>
      </c:pivotFmt>
      <c:pivotFmt>
        <c:idx val="316"/>
        <c:spPr>
          <a:solidFill>
            <a:schemeClr val="accent1"/>
          </a:solidFill>
          <a:ln>
            <a:noFill/>
          </a:ln>
          <a:effectLst/>
        </c:spPr>
        <c:marker>
          <c:symbol val="none"/>
        </c:marker>
      </c:pivotFmt>
      <c:pivotFmt>
        <c:idx val="317"/>
        <c:spPr>
          <a:solidFill>
            <a:schemeClr val="accent1"/>
          </a:solidFill>
          <a:ln>
            <a:noFill/>
          </a:ln>
          <a:effectLst/>
        </c:spPr>
        <c:marker>
          <c:symbol val="none"/>
        </c:marker>
      </c:pivotFmt>
      <c:pivotFmt>
        <c:idx val="318"/>
        <c:spPr>
          <a:solidFill>
            <a:schemeClr val="accent1"/>
          </a:solidFill>
          <a:ln>
            <a:noFill/>
          </a:ln>
          <a:effectLst/>
        </c:spPr>
        <c:marker>
          <c:symbol val="none"/>
        </c:marker>
      </c:pivotFmt>
      <c:pivotFmt>
        <c:idx val="319"/>
        <c:spPr>
          <a:solidFill>
            <a:schemeClr val="accent1"/>
          </a:solidFill>
          <a:ln>
            <a:noFill/>
          </a:ln>
          <a:effectLst/>
        </c:spPr>
        <c:marker>
          <c:symbol val="none"/>
        </c:marker>
      </c:pivotFmt>
      <c:pivotFmt>
        <c:idx val="320"/>
        <c:spPr>
          <a:solidFill>
            <a:schemeClr val="accent1"/>
          </a:solidFill>
          <a:ln>
            <a:noFill/>
          </a:ln>
          <a:effectLst/>
        </c:spPr>
        <c:marker>
          <c:symbol val="none"/>
        </c:marker>
      </c:pivotFmt>
      <c:pivotFmt>
        <c:idx val="321"/>
        <c:spPr>
          <a:solidFill>
            <a:schemeClr val="accent1"/>
          </a:solidFill>
          <a:ln>
            <a:noFill/>
          </a:ln>
          <a:effectLst/>
        </c:spPr>
        <c:marker>
          <c:symbol val="none"/>
        </c:marker>
      </c:pivotFmt>
      <c:pivotFmt>
        <c:idx val="322"/>
        <c:spPr>
          <a:solidFill>
            <a:schemeClr val="accent1"/>
          </a:solidFill>
          <a:ln>
            <a:noFill/>
          </a:ln>
          <a:effectLst/>
        </c:spPr>
        <c:marker>
          <c:symbol val="none"/>
        </c:marker>
      </c:pivotFmt>
      <c:pivotFmt>
        <c:idx val="323"/>
        <c:spPr>
          <a:solidFill>
            <a:schemeClr val="accent1"/>
          </a:solidFill>
          <a:ln>
            <a:noFill/>
          </a:ln>
          <a:effectLst/>
        </c:spPr>
        <c:marker>
          <c:symbol val="none"/>
        </c:marker>
      </c:pivotFmt>
      <c:pivotFmt>
        <c:idx val="324"/>
        <c:spPr>
          <a:solidFill>
            <a:schemeClr val="accent1"/>
          </a:solidFill>
          <a:ln>
            <a:noFill/>
          </a:ln>
          <a:effectLst/>
        </c:spPr>
        <c:marker>
          <c:symbol val="none"/>
        </c:marker>
      </c:pivotFmt>
      <c:pivotFmt>
        <c:idx val="325"/>
        <c:spPr>
          <a:solidFill>
            <a:schemeClr val="accent1"/>
          </a:solidFill>
          <a:ln>
            <a:noFill/>
          </a:ln>
          <a:effectLst/>
        </c:spPr>
        <c:marker>
          <c:symbol val="none"/>
        </c:marker>
      </c:pivotFmt>
      <c:pivotFmt>
        <c:idx val="326"/>
        <c:spPr>
          <a:solidFill>
            <a:schemeClr val="accent1"/>
          </a:solidFill>
          <a:ln>
            <a:noFill/>
          </a:ln>
          <a:effectLst/>
        </c:spPr>
        <c:marker>
          <c:symbol val="none"/>
        </c:marker>
      </c:pivotFmt>
      <c:pivotFmt>
        <c:idx val="327"/>
        <c:spPr>
          <a:solidFill>
            <a:schemeClr val="accent1"/>
          </a:solidFill>
          <a:ln>
            <a:noFill/>
          </a:ln>
          <a:effectLst/>
        </c:spPr>
        <c:marker>
          <c:symbol val="none"/>
        </c:marker>
      </c:pivotFmt>
      <c:pivotFmt>
        <c:idx val="328"/>
        <c:spPr>
          <a:solidFill>
            <a:schemeClr val="accent1"/>
          </a:solidFill>
          <a:ln>
            <a:noFill/>
          </a:ln>
          <a:effectLst/>
        </c:spPr>
        <c:marker>
          <c:symbol val="none"/>
        </c:marker>
      </c:pivotFmt>
      <c:pivotFmt>
        <c:idx val="329"/>
        <c:spPr>
          <a:solidFill>
            <a:schemeClr val="accent1"/>
          </a:solidFill>
          <a:ln>
            <a:noFill/>
          </a:ln>
          <a:effectLst/>
        </c:spPr>
        <c:marker>
          <c:symbol val="none"/>
        </c:marker>
      </c:pivotFmt>
      <c:pivotFmt>
        <c:idx val="330"/>
        <c:spPr>
          <a:solidFill>
            <a:schemeClr val="accent1"/>
          </a:solidFill>
          <a:ln>
            <a:noFill/>
          </a:ln>
          <a:effectLst/>
        </c:spPr>
        <c:marker>
          <c:symbol val="none"/>
        </c:marker>
      </c:pivotFmt>
      <c:pivotFmt>
        <c:idx val="331"/>
        <c:spPr>
          <a:solidFill>
            <a:schemeClr val="accent1"/>
          </a:solidFill>
          <a:ln>
            <a:noFill/>
          </a:ln>
          <a:effectLst/>
        </c:spPr>
        <c:marker>
          <c:symbol val="none"/>
        </c:marker>
      </c:pivotFmt>
      <c:pivotFmt>
        <c:idx val="332"/>
        <c:spPr>
          <a:solidFill>
            <a:schemeClr val="accent1"/>
          </a:solidFill>
          <a:ln>
            <a:noFill/>
          </a:ln>
          <a:effectLst/>
        </c:spPr>
        <c:marker>
          <c:symbol val="none"/>
        </c:marker>
      </c:pivotFmt>
      <c:pivotFmt>
        <c:idx val="333"/>
        <c:spPr>
          <a:solidFill>
            <a:schemeClr val="accent1"/>
          </a:solidFill>
          <a:ln>
            <a:noFill/>
          </a:ln>
          <a:effectLst/>
        </c:spPr>
        <c:marker>
          <c:symbol val="none"/>
        </c:marker>
      </c:pivotFmt>
      <c:pivotFmt>
        <c:idx val="334"/>
        <c:spPr>
          <a:solidFill>
            <a:schemeClr val="accent1"/>
          </a:solidFill>
          <a:ln>
            <a:noFill/>
          </a:ln>
          <a:effectLst/>
        </c:spPr>
        <c:marker>
          <c:symbol val="none"/>
        </c:marker>
      </c:pivotFmt>
      <c:pivotFmt>
        <c:idx val="335"/>
        <c:spPr>
          <a:solidFill>
            <a:schemeClr val="accent1"/>
          </a:solidFill>
          <a:ln>
            <a:noFill/>
          </a:ln>
          <a:effectLst/>
        </c:spPr>
        <c:marker>
          <c:symbol val="none"/>
        </c:marker>
      </c:pivotFmt>
      <c:pivotFmt>
        <c:idx val="336"/>
        <c:spPr>
          <a:solidFill>
            <a:schemeClr val="accent1"/>
          </a:solidFill>
          <a:ln>
            <a:noFill/>
          </a:ln>
          <a:effectLst/>
        </c:spPr>
        <c:marker>
          <c:symbol val="none"/>
        </c:marker>
      </c:pivotFmt>
      <c:pivotFmt>
        <c:idx val="337"/>
        <c:spPr>
          <a:solidFill>
            <a:schemeClr val="accent1"/>
          </a:solidFill>
          <a:ln>
            <a:noFill/>
          </a:ln>
          <a:effectLst/>
        </c:spPr>
        <c:marker>
          <c:symbol val="none"/>
        </c:marker>
      </c:pivotFmt>
      <c:pivotFmt>
        <c:idx val="338"/>
        <c:spPr>
          <a:solidFill>
            <a:schemeClr val="accent1"/>
          </a:solidFill>
          <a:ln>
            <a:noFill/>
          </a:ln>
          <a:effectLst/>
        </c:spPr>
        <c:marker>
          <c:symbol val="none"/>
        </c:marker>
      </c:pivotFmt>
      <c:pivotFmt>
        <c:idx val="339"/>
        <c:spPr>
          <a:solidFill>
            <a:schemeClr val="accent1"/>
          </a:solidFill>
          <a:ln>
            <a:noFill/>
          </a:ln>
          <a:effectLst/>
        </c:spPr>
        <c:marker>
          <c:symbol val="none"/>
        </c:marker>
      </c:pivotFmt>
      <c:pivotFmt>
        <c:idx val="340"/>
        <c:spPr>
          <a:solidFill>
            <a:schemeClr val="accent1"/>
          </a:solidFill>
          <a:ln>
            <a:noFill/>
          </a:ln>
          <a:effectLst/>
        </c:spPr>
        <c:marker>
          <c:symbol val="none"/>
        </c:marker>
      </c:pivotFmt>
      <c:pivotFmt>
        <c:idx val="341"/>
        <c:spPr>
          <a:solidFill>
            <a:schemeClr val="accent1"/>
          </a:solidFill>
          <a:ln>
            <a:noFill/>
          </a:ln>
          <a:effectLst/>
        </c:spPr>
        <c:marker>
          <c:symbol val="none"/>
        </c:marker>
      </c:pivotFmt>
      <c:pivotFmt>
        <c:idx val="342"/>
        <c:spPr>
          <a:solidFill>
            <a:schemeClr val="accent1"/>
          </a:solidFill>
          <a:ln>
            <a:noFill/>
          </a:ln>
          <a:effectLst/>
        </c:spPr>
        <c:marker>
          <c:symbol val="none"/>
        </c:marker>
      </c:pivotFmt>
      <c:pivotFmt>
        <c:idx val="343"/>
        <c:spPr>
          <a:solidFill>
            <a:schemeClr val="accent1"/>
          </a:solidFill>
          <a:ln>
            <a:noFill/>
          </a:ln>
          <a:effectLst/>
        </c:spPr>
        <c:marker>
          <c:symbol val="none"/>
        </c:marker>
      </c:pivotFmt>
      <c:pivotFmt>
        <c:idx val="344"/>
        <c:spPr>
          <a:solidFill>
            <a:schemeClr val="accent1"/>
          </a:solidFill>
          <a:ln>
            <a:noFill/>
          </a:ln>
          <a:effectLst/>
        </c:spPr>
        <c:marker>
          <c:symbol val="none"/>
        </c:marker>
      </c:pivotFmt>
      <c:pivotFmt>
        <c:idx val="345"/>
        <c:spPr>
          <a:solidFill>
            <a:schemeClr val="accent1"/>
          </a:solidFill>
          <a:ln>
            <a:noFill/>
          </a:ln>
          <a:effectLst/>
        </c:spPr>
        <c:marker>
          <c:symbol val="none"/>
        </c:marker>
      </c:pivotFmt>
      <c:pivotFmt>
        <c:idx val="346"/>
        <c:spPr>
          <a:solidFill>
            <a:schemeClr val="accent1"/>
          </a:solidFill>
          <a:ln>
            <a:noFill/>
          </a:ln>
          <a:effectLst/>
        </c:spPr>
        <c:marker>
          <c:symbol val="none"/>
        </c:marker>
      </c:pivotFmt>
      <c:pivotFmt>
        <c:idx val="347"/>
        <c:spPr>
          <a:solidFill>
            <a:schemeClr val="accent1"/>
          </a:solidFill>
          <a:ln>
            <a:noFill/>
          </a:ln>
          <a:effectLst/>
        </c:spPr>
        <c:marker>
          <c:symbol val="none"/>
        </c:marker>
      </c:pivotFmt>
      <c:pivotFmt>
        <c:idx val="348"/>
        <c:spPr>
          <a:solidFill>
            <a:schemeClr val="accent1"/>
          </a:solidFill>
          <a:ln>
            <a:noFill/>
          </a:ln>
          <a:effectLst/>
        </c:spPr>
        <c:marker>
          <c:symbol val="none"/>
        </c:marker>
      </c:pivotFmt>
      <c:pivotFmt>
        <c:idx val="349"/>
        <c:spPr>
          <a:solidFill>
            <a:schemeClr val="accent1"/>
          </a:solidFill>
          <a:ln>
            <a:noFill/>
          </a:ln>
          <a:effectLst/>
        </c:spPr>
        <c:marker>
          <c:symbol val="none"/>
        </c:marker>
      </c:pivotFmt>
      <c:pivotFmt>
        <c:idx val="350"/>
        <c:spPr>
          <a:solidFill>
            <a:schemeClr val="accent1"/>
          </a:solidFill>
          <a:ln>
            <a:noFill/>
          </a:ln>
          <a:effectLst/>
        </c:spPr>
        <c:marker>
          <c:symbol val="none"/>
        </c:marker>
      </c:pivotFmt>
      <c:pivotFmt>
        <c:idx val="351"/>
        <c:spPr>
          <a:solidFill>
            <a:schemeClr val="accent1"/>
          </a:solidFill>
          <a:ln>
            <a:noFill/>
          </a:ln>
          <a:effectLst/>
        </c:spPr>
        <c:marker>
          <c:symbol val="none"/>
        </c:marker>
      </c:pivotFmt>
      <c:pivotFmt>
        <c:idx val="352"/>
        <c:spPr>
          <a:solidFill>
            <a:schemeClr val="accent1"/>
          </a:solidFill>
          <a:ln>
            <a:noFill/>
          </a:ln>
          <a:effectLst/>
        </c:spPr>
        <c:marker>
          <c:symbol val="none"/>
        </c:marker>
      </c:pivotFmt>
      <c:pivotFmt>
        <c:idx val="353"/>
        <c:spPr>
          <a:solidFill>
            <a:schemeClr val="accent1"/>
          </a:solidFill>
          <a:ln>
            <a:noFill/>
          </a:ln>
          <a:effectLst/>
        </c:spPr>
        <c:marker>
          <c:symbol val="none"/>
        </c:marker>
      </c:pivotFmt>
      <c:pivotFmt>
        <c:idx val="354"/>
        <c:spPr>
          <a:solidFill>
            <a:schemeClr val="accent1"/>
          </a:solidFill>
          <a:ln>
            <a:noFill/>
          </a:ln>
          <a:effectLst/>
        </c:spPr>
        <c:marker>
          <c:symbol val="none"/>
        </c:marker>
      </c:pivotFmt>
      <c:pivotFmt>
        <c:idx val="355"/>
        <c:spPr>
          <a:solidFill>
            <a:schemeClr val="accent1"/>
          </a:solidFill>
          <a:ln>
            <a:noFill/>
          </a:ln>
          <a:effectLst/>
        </c:spPr>
        <c:marker>
          <c:symbol val="none"/>
        </c:marker>
      </c:pivotFmt>
      <c:pivotFmt>
        <c:idx val="356"/>
        <c:spPr>
          <a:solidFill>
            <a:schemeClr val="accent1"/>
          </a:solidFill>
          <a:ln>
            <a:noFill/>
          </a:ln>
          <a:effectLst/>
        </c:spPr>
        <c:marker>
          <c:symbol val="none"/>
        </c:marker>
      </c:pivotFmt>
      <c:pivotFmt>
        <c:idx val="357"/>
        <c:spPr>
          <a:solidFill>
            <a:schemeClr val="accent1"/>
          </a:solidFill>
          <a:ln>
            <a:noFill/>
          </a:ln>
          <a:effectLst/>
        </c:spPr>
        <c:marker>
          <c:symbol val="none"/>
        </c:marker>
      </c:pivotFmt>
      <c:pivotFmt>
        <c:idx val="358"/>
        <c:spPr>
          <a:solidFill>
            <a:schemeClr val="accent1"/>
          </a:solidFill>
          <a:ln>
            <a:noFill/>
          </a:ln>
          <a:effectLst/>
        </c:spPr>
        <c:marker>
          <c:symbol val="none"/>
        </c:marker>
      </c:pivotFmt>
      <c:pivotFmt>
        <c:idx val="359"/>
        <c:spPr>
          <a:solidFill>
            <a:schemeClr val="accent1"/>
          </a:solidFill>
          <a:ln>
            <a:noFill/>
          </a:ln>
          <a:effectLst/>
        </c:spPr>
        <c:marker>
          <c:symbol val="none"/>
        </c:marker>
      </c:pivotFmt>
      <c:pivotFmt>
        <c:idx val="360"/>
        <c:spPr>
          <a:solidFill>
            <a:schemeClr val="accent1"/>
          </a:solidFill>
          <a:ln>
            <a:noFill/>
          </a:ln>
          <a:effectLst/>
        </c:spPr>
        <c:marker>
          <c:symbol val="none"/>
        </c:marker>
      </c:pivotFmt>
      <c:pivotFmt>
        <c:idx val="361"/>
        <c:spPr>
          <a:solidFill>
            <a:schemeClr val="accent1"/>
          </a:solidFill>
          <a:ln>
            <a:noFill/>
          </a:ln>
          <a:effectLst/>
        </c:spPr>
        <c:marker>
          <c:symbol val="none"/>
        </c:marker>
      </c:pivotFmt>
      <c:pivotFmt>
        <c:idx val="362"/>
        <c:spPr>
          <a:solidFill>
            <a:schemeClr val="accent1"/>
          </a:solidFill>
          <a:ln>
            <a:noFill/>
          </a:ln>
          <a:effectLst/>
        </c:spPr>
        <c:marker>
          <c:symbol val="none"/>
        </c:marker>
      </c:pivotFmt>
    </c:pivotFmts>
    <c:plotArea>
      <c:layout/>
      <c:barChart>
        <c:barDir val="col"/>
        <c:grouping val="stacked"/>
        <c:varyColors val="0"/>
        <c:ser>
          <c:idx val="0"/>
          <c:order val="0"/>
          <c:tx>
            <c:strRef>
              <c:f>'HE GEN CAP'!$E$3:$E$4</c:f>
              <c:strCache>
                <c:ptCount val="1"/>
                <c:pt idx="0">
                  <c:v>NATGAS</c:v>
                </c:pt>
              </c:strCache>
            </c:strRef>
          </c:tx>
          <c:spPr>
            <a:solidFill>
              <a:schemeClr val="accent1"/>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CAP'!$E$5:$E$14</c:f>
              <c:numCache>
                <c:formatCode>General</c:formatCode>
                <c:ptCount val="9"/>
                <c:pt idx="0">
                  <c:v>7874.5313802598012</c:v>
                </c:pt>
                <c:pt idx="1">
                  <c:v>2461.7263636363641</c:v>
                </c:pt>
                <c:pt idx="2">
                  <c:v>2636.7384615384622</c:v>
                </c:pt>
                <c:pt idx="3">
                  <c:v>9037.0043589743582</c:v>
                </c:pt>
                <c:pt idx="4">
                  <c:v>4000.5235431235396</c:v>
                </c:pt>
                <c:pt idx="5">
                  <c:v>1705.5567832167833</c:v>
                </c:pt>
                <c:pt idx="6">
                  <c:v>906.94102564102604</c:v>
                </c:pt>
                <c:pt idx="7">
                  <c:v>1343.5088391608401</c:v>
                </c:pt>
                <c:pt idx="8">
                  <c:v>7888.9044289044296</c:v>
                </c:pt>
              </c:numCache>
            </c:numRef>
          </c:val>
          <c:extLst>
            <c:ext xmlns:c16="http://schemas.microsoft.com/office/drawing/2014/chart" uri="{C3380CC4-5D6E-409C-BE32-E72D297353CC}">
              <c16:uniqueId val="{00000001-51BA-47E1-8982-4F6993660764}"/>
            </c:ext>
          </c:extLst>
        </c:ser>
        <c:ser>
          <c:idx val="1"/>
          <c:order val="1"/>
          <c:tx>
            <c:strRef>
              <c:f>'HE GEN CAP'!$F$3:$F$4</c:f>
              <c:strCache>
                <c:ptCount val="1"/>
                <c:pt idx="0">
                  <c:v>BIOGAS</c:v>
                </c:pt>
              </c:strCache>
            </c:strRef>
          </c:tx>
          <c:spPr>
            <a:solidFill>
              <a:schemeClr val="accent2"/>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CAP'!$F$5:$F$14</c:f>
              <c:numCache>
                <c:formatCode>General</c:formatCode>
                <c:ptCount val="9"/>
                <c:pt idx="0">
                  <c:v>102.76538461538462</c:v>
                </c:pt>
                <c:pt idx="1">
                  <c:v>4.0909090909090917</c:v>
                </c:pt>
                <c:pt idx="2">
                  <c:v>66.092307692307713</c:v>
                </c:pt>
                <c:pt idx="3">
                  <c:v>3140.1741025641022</c:v>
                </c:pt>
                <c:pt idx="4">
                  <c:v>70.512820512820497</c:v>
                </c:pt>
                <c:pt idx="5">
                  <c:v>44.318181818181799</c:v>
                </c:pt>
                <c:pt idx="6">
                  <c:v>4.9000000000000004</c:v>
                </c:pt>
                <c:pt idx="7">
                  <c:v>52.445750000000004</c:v>
                </c:pt>
              </c:numCache>
            </c:numRef>
          </c:val>
          <c:extLst>
            <c:ext xmlns:c16="http://schemas.microsoft.com/office/drawing/2014/chart" uri="{C3380CC4-5D6E-409C-BE32-E72D297353CC}">
              <c16:uniqueId val="{00000000-C390-484E-81A8-81AA9ADD3B0B}"/>
            </c:ext>
          </c:extLst>
        </c:ser>
        <c:ser>
          <c:idx val="2"/>
          <c:order val="2"/>
          <c:tx>
            <c:strRef>
              <c:f>'HE GEN CAP'!$G$3:$G$4</c:f>
              <c:strCache>
                <c:ptCount val="1"/>
                <c:pt idx="0">
                  <c:v>BIOOIL</c:v>
                </c:pt>
              </c:strCache>
            </c:strRef>
          </c:tx>
          <c:spPr>
            <a:solidFill>
              <a:schemeClr val="accent3"/>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CAP'!$G$5:$G$14</c:f>
              <c:numCache>
                <c:formatCode>General</c:formatCode>
                <c:ptCount val="9"/>
                <c:pt idx="0">
                  <c:v>140</c:v>
                </c:pt>
                <c:pt idx="6">
                  <c:v>57.9</c:v>
                </c:pt>
                <c:pt idx="7">
                  <c:v>2378.4160000000006</c:v>
                </c:pt>
              </c:numCache>
            </c:numRef>
          </c:val>
          <c:extLst>
            <c:ext xmlns:c16="http://schemas.microsoft.com/office/drawing/2014/chart" uri="{C3380CC4-5D6E-409C-BE32-E72D297353CC}">
              <c16:uniqueId val="{00000001-C390-484E-81A8-81AA9ADD3B0B}"/>
            </c:ext>
          </c:extLst>
        </c:ser>
        <c:ser>
          <c:idx val="3"/>
          <c:order val="3"/>
          <c:tx>
            <c:strRef>
              <c:f>'HE GEN CAP'!$H$3:$H$4</c:f>
              <c:strCache>
                <c:ptCount val="1"/>
                <c:pt idx="0">
                  <c:v>ELECTRIC</c:v>
                </c:pt>
              </c:strCache>
            </c:strRef>
          </c:tx>
          <c:spPr>
            <a:solidFill>
              <a:schemeClr val="accent4"/>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CAP'!$H$5:$H$14</c:f>
              <c:numCache>
                <c:formatCode>General</c:formatCode>
                <c:ptCount val="9"/>
                <c:pt idx="0">
                  <c:v>978.73008873620506</c:v>
                </c:pt>
                <c:pt idx="2">
                  <c:v>44.4</c:v>
                </c:pt>
                <c:pt idx="3">
                  <c:v>21985.95</c:v>
                </c:pt>
                <c:pt idx="6">
                  <c:v>334.4083333333333</c:v>
                </c:pt>
                <c:pt idx="7">
                  <c:v>633.67889999999989</c:v>
                </c:pt>
              </c:numCache>
            </c:numRef>
          </c:val>
          <c:extLst>
            <c:ext xmlns:c16="http://schemas.microsoft.com/office/drawing/2014/chart" uri="{C3380CC4-5D6E-409C-BE32-E72D297353CC}">
              <c16:uniqueId val="{00000002-C390-484E-81A8-81AA9ADD3B0B}"/>
            </c:ext>
          </c:extLst>
        </c:ser>
        <c:ser>
          <c:idx val="4"/>
          <c:order val="4"/>
          <c:tx>
            <c:strRef>
              <c:f>'HE GEN CAP'!$I$3:$I$4</c:f>
              <c:strCache>
                <c:ptCount val="1"/>
                <c:pt idx="0">
                  <c:v>HEAT</c:v>
                </c:pt>
              </c:strCache>
            </c:strRef>
          </c:tx>
          <c:spPr>
            <a:solidFill>
              <a:schemeClr val="accent5"/>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CAP'!$I$5:$I$14</c:f>
              <c:numCache>
                <c:formatCode>General</c:formatCode>
                <c:ptCount val="9"/>
                <c:pt idx="0">
                  <c:v>48297.310516781901</c:v>
                </c:pt>
                <c:pt idx="2">
                  <c:v>3290.625</c:v>
                </c:pt>
                <c:pt idx="5">
                  <c:v>47.435897435897402</c:v>
                </c:pt>
                <c:pt idx="7">
                  <c:v>3252.1875</c:v>
                </c:pt>
              </c:numCache>
            </c:numRef>
          </c:val>
          <c:extLst>
            <c:ext xmlns:c16="http://schemas.microsoft.com/office/drawing/2014/chart" uri="{C3380CC4-5D6E-409C-BE32-E72D297353CC}">
              <c16:uniqueId val="{00000003-C390-484E-81A8-81AA9ADD3B0B}"/>
            </c:ext>
          </c:extLst>
        </c:ser>
        <c:ser>
          <c:idx val="5"/>
          <c:order val="5"/>
          <c:tx>
            <c:strRef>
              <c:f>'HE GEN CAP'!$J$3:$J$4</c:f>
              <c:strCache>
                <c:ptCount val="1"/>
                <c:pt idx="0">
                  <c:v>LIGHTOIL</c:v>
                </c:pt>
              </c:strCache>
            </c:strRef>
          </c:tx>
          <c:spPr>
            <a:solidFill>
              <a:schemeClr val="accent6"/>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CAP'!$J$5:$J$14</c:f>
              <c:numCache>
                <c:formatCode>General</c:formatCode>
                <c:ptCount val="9"/>
                <c:pt idx="0">
                  <c:v>775.5194871794871</c:v>
                </c:pt>
                <c:pt idx="2">
                  <c:v>1111.551282051282</c:v>
                </c:pt>
                <c:pt idx="7">
                  <c:v>3780.1199999999985</c:v>
                </c:pt>
              </c:numCache>
            </c:numRef>
          </c:val>
          <c:extLst>
            <c:ext xmlns:c16="http://schemas.microsoft.com/office/drawing/2014/chart" uri="{C3380CC4-5D6E-409C-BE32-E72D297353CC}">
              <c16:uniqueId val="{00000004-C390-484E-81A8-81AA9ADD3B0B}"/>
            </c:ext>
          </c:extLst>
        </c:ser>
        <c:ser>
          <c:idx val="6"/>
          <c:order val="6"/>
          <c:tx>
            <c:strRef>
              <c:f>'HE GEN CAP'!$K$3:$K$4</c:f>
              <c:strCache>
                <c:ptCount val="1"/>
                <c:pt idx="0">
                  <c:v>MUNIWASTE</c:v>
                </c:pt>
              </c:strCache>
            </c:strRef>
          </c:tx>
          <c:spPr>
            <a:solidFill>
              <a:schemeClr val="accent1">
                <a:lumMod val="6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CAP'!$K$5:$K$14</c:f>
              <c:numCache>
                <c:formatCode>General</c:formatCode>
                <c:ptCount val="9"/>
                <c:pt idx="0">
                  <c:v>527.07992253886414</c:v>
                </c:pt>
                <c:pt idx="1">
                  <c:v>21.794871794871799</c:v>
                </c:pt>
                <c:pt idx="2">
                  <c:v>223.61538461538458</c:v>
                </c:pt>
                <c:pt idx="3">
                  <c:v>2180.7558974358981</c:v>
                </c:pt>
                <c:pt idx="5">
                  <c:v>148.71794871794879</c:v>
                </c:pt>
                <c:pt idx="6">
                  <c:v>80.622649572649578</c:v>
                </c:pt>
                <c:pt idx="7">
                  <c:v>419.4271974855634</c:v>
                </c:pt>
                <c:pt idx="8">
                  <c:v>1015.4545454545455</c:v>
                </c:pt>
              </c:numCache>
            </c:numRef>
          </c:val>
          <c:extLst>
            <c:ext xmlns:c16="http://schemas.microsoft.com/office/drawing/2014/chart" uri="{C3380CC4-5D6E-409C-BE32-E72D297353CC}">
              <c16:uniqueId val="{00000005-C390-484E-81A8-81AA9ADD3B0B}"/>
            </c:ext>
          </c:extLst>
        </c:ser>
        <c:ser>
          <c:idx val="7"/>
          <c:order val="7"/>
          <c:tx>
            <c:strRef>
              <c:f>'HE GEN CAP'!$L$3:$L$4</c:f>
              <c:strCache>
                <c:ptCount val="1"/>
                <c:pt idx="0">
                  <c:v>STRAW</c:v>
                </c:pt>
              </c:strCache>
            </c:strRef>
          </c:tx>
          <c:spPr>
            <a:solidFill>
              <a:schemeClr val="accent2">
                <a:lumMod val="6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CAP'!$L$5:$L$14</c:f>
              <c:numCache>
                <c:formatCode>General</c:formatCode>
                <c:ptCount val="9"/>
                <c:pt idx="0">
                  <c:v>345.32358974358971</c:v>
                </c:pt>
                <c:pt idx="7">
                  <c:v>16.551000000000002</c:v>
                </c:pt>
                <c:pt idx="8">
                  <c:v>2742.0512820512822</c:v>
                </c:pt>
              </c:numCache>
            </c:numRef>
          </c:val>
          <c:extLst>
            <c:ext xmlns:c16="http://schemas.microsoft.com/office/drawing/2014/chart" uri="{C3380CC4-5D6E-409C-BE32-E72D297353CC}">
              <c16:uniqueId val="{00000006-C390-484E-81A8-81AA9ADD3B0B}"/>
            </c:ext>
          </c:extLst>
        </c:ser>
        <c:ser>
          <c:idx val="8"/>
          <c:order val="8"/>
          <c:tx>
            <c:strRef>
              <c:f>'HE GEN CAP'!$M$3:$M$4</c:f>
              <c:strCache>
                <c:ptCount val="1"/>
                <c:pt idx="0">
                  <c:v>WASTEHEAT</c:v>
                </c:pt>
              </c:strCache>
            </c:strRef>
          </c:tx>
          <c:spPr>
            <a:solidFill>
              <a:schemeClr val="accent3">
                <a:lumMod val="6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CAP'!$M$5:$M$14</c:f>
              <c:numCache>
                <c:formatCode>General</c:formatCode>
                <c:ptCount val="9"/>
                <c:pt idx="0">
                  <c:v>707</c:v>
                </c:pt>
                <c:pt idx="2">
                  <c:v>570.1</c:v>
                </c:pt>
                <c:pt idx="6">
                  <c:v>84.5</c:v>
                </c:pt>
                <c:pt idx="7">
                  <c:v>657.43679487410213</c:v>
                </c:pt>
              </c:numCache>
            </c:numRef>
          </c:val>
          <c:extLst>
            <c:ext xmlns:c16="http://schemas.microsoft.com/office/drawing/2014/chart" uri="{C3380CC4-5D6E-409C-BE32-E72D297353CC}">
              <c16:uniqueId val="{00000007-C390-484E-81A8-81AA9ADD3B0B}"/>
            </c:ext>
          </c:extLst>
        </c:ser>
        <c:ser>
          <c:idx val="9"/>
          <c:order val="9"/>
          <c:tx>
            <c:strRef>
              <c:f>'HE GEN CAP'!$N$3:$N$4</c:f>
              <c:strCache>
                <c:ptCount val="1"/>
                <c:pt idx="0">
                  <c:v>WOODCHIPS</c:v>
                </c:pt>
              </c:strCache>
            </c:strRef>
          </c:tx>
          <c:spPr>
            <a:solidFill>
              <a:schemeClr val="accent4">
                <a:lumMod val="6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CAP'!$N$5:$N$14</c:f>
              <c:numCache>
                <c:formatCode>General</c:formatCode>
                <c:ptCount val="9"/>
                <c:pt idx="0">
                  <c:v>654.07045454545482</c:v>
                </c:pt>
                <c:pt idx="2">
                  <c:v>1418.7820512820504</c:v>
                </c:pt>
                <c:pt idx="6">
                  <c:v>56.3</c:v>
                </c:pt>
                <c:pt idx="7">
                  <c:v>3976.0807028743561</c:v>
                </c:pt>
              </c:numCache>
            </c:numRef>
          </c:val>
          <c:extLst>
            <c:ext xmlns:c16="http://schemas.microsoft.com/office/drawing/2014/chart" uri="{C3380CC4-5D6E-409C-BE32-E72D297353CC}">
              <c16:uniqueId val="{00000008-C390-484E-81A8-81AA9ADD3B0B}"/>
            </c:ext>
          </c:extLst>
        </c:ser>
        <c:ser>
          <c:idx val="10"/>
          <c:order val="10"/>
          <c:tx>
            <c:strRef>
              <c:f>'HE GEN CAP'!$O$3:$O$4</c:f>
              <c:strCache>
                <c:ptCount val="1"/>
                <c:pt idx="0">
                  <c:v>WOODPELLETS</c:v>
                </c:pt>
              </c:strCache>
            </c:strRef>
          </c:tx>
          <c:spPr>
            <a:solidFill>
              <a:schemeClr val="accent5">
                <a:lumMod val="6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CAP'!$O$5:$O$14</c:f>
              <c:numCache>
                <c:formatCode>General</c:formatCode>
                <c:ptCount val="9"/>
                <c:pt idx="0">
                  <c:v>103.134</c:v>
                </c:pt>
                <c:pt idx="2">
                  <c:v>351.83249999999998</c:v>
                </c:pt>
                <c:pt idx="6">
                  <c:v>49.7</c:v>
                </c:pt>
                <c:pt idx="7">
                  <c:v>946.38841025641022</c:v>
                </c:pt>
              </c:numCache>
            </c:numRef>
          </c:val>
          <c:extLst>
            <c:ext xmlns:c16="http://schemas.microsoft.com/office/drawing/2014/chart" uri="{C3380CC4-5D6E-409C-BE32-E72D297353CC}">
              <c16:uniqueId val="{00000009-C390-484E-81A8-81AA9ADD3B0B}"/>
            </c:ext>
          </c:extLst>
        </c:ser>
        <c:ser>
          <c:idx val="11"/>
          <c:order val="11"/>
          <c:tx>
            <c:strRef>
              <c:f>'HE GEN CAP'!$P$3:$P$4</c:f>
              <c:strCache>
                <c:ptCount val="1"/>
                <c:pt idx="0">
                  <c:v>FUELOIL</c:v>
                </c:pt>
              </c:strCache>
            </c:strRef>
          </c:tx>
          <c:spPr>
            <a:solidFill>
              <a:schemeClr val="accent6">
                <a:lumMod val="6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CAP'!$P$5:$P$14</c:f>
              <c:numCache>
                <c:formatCode>General</c:formatCode>
                <c:ptCount val="9"/>
                <c:pt idx="0">
                  <c:v>24</c:v>
                </c:pt>
                <c:pt idx="1">
                  <c:v>607.68999999999994</c:v>
                </c:pt>
                <c:pt idx="2">
                  <c:v>1750.8871794871793</c:v>
                </c:pt>
                <c:pt idx="3">
                  <c:v>1562.37</c:v>
                </c:pt>
                <c:pt idx="4">
                  <c:v>16.3</c:v>
                </c:pt>
                <c:pt idx="5">
                  <c:v>181.81818181818201</c:v>
                </c:pt>
                <c:pt idx="6">
                  <c:v>343.93333333333334</c:v>
                </c:pt>
                <c:pt idx="7">
                  <c:v>3195.12</c:v>
                </c:pt>
                <c:pt idx="8">
                  <c:v>1512.8205128205129</c:v>
                </c:pt>
              </c:numCache>
            </c:numRef>
          </c:val>
          <c:extLst>
            <c:ext xmlns:c16="http://schemas.microsoft.com/office/drawing/2014/chart" uri="{C3380CC4-5D6E-409C-BE32-E72D297353CC}">
              <c16:uniqueId val="{0000000A-C390-484E-81A8-81AA9ADD3B0B}"/>
            </c:ext>
          </c:extLst>
        </c:ser>
        <c:ser>
          <c:idx val="12"/>
          <c:order val="12"/>
          <c:tx>
            <c:strRef>
              <c:f>'HE GEN CAP'!$Q$3:$Q$4</c:f>
              <c:strCache>
                <c:ptCount val="1"/>
                <c:pt idx="0">
                  <c:v>WOODWASTE</c:v>
                </c:pt>
              </c:strCache>
            </c:strRef>
          </c:tx>
          <c:spPr>
            <a:solidFill>
              <a:schemeClr val="accent1">
                <a:lumMod val="80000"/>
                <a:lumOff val="2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CAP'!$Q$5:$Q$14</c:f>
              <c:numCache>
                <c:formatCode>General</c:formatCode>
                <c:ptCount val="9"/>
                <c:pt idx="0">
                  <c:v>41.917999999999992</c:v>
                </c:pt>
                <c:pt idx="1">
                  <c:v>29.4871794871795</c:v>
                </c:pt>
                <c:pt idx="2">
                  <c:v>1859.0746794871775</c:v>
                </c:pt>
                <c:pt idx="5">
                  <c:v>6.9230769230769198</c:v>
                </c:pt>
                <c:pt idx="6">
                  <c:v>55.400000000000006</c:v>
                </c:pt>
                <c:pt idx="7">
                  <c:v>392.16584292762286</c:v>
                </c:pt>
              </c:numCache>
            </c:numRef>
          </c:val>
          <c:extLst>
            <c:ext xmlns:c16="http://schemas.microsoft.com/office/drawing/2014/chart" uri="{C3380CC4-5D6E-409C-BE32-E72D297353CC}">
              <c16:uniqueId val="{0000000B-C390-484E-81A8-81AA9ADD3B0B}"/>
            </c:ext>
          </c:extLst>
        </c:ser>
        <c:ser>
          <c:idx val="13"/>
          <c:order val="13"/>
          <c:tx>
            <c:strRef>
              <c:f>'HE GEN CAP'!$R$3:$R$4</c:f>
              <c:strCache>
                <c:ptCount val="1"/>
                <c:pt idx="0">
                  <c:v>COAL</c:v>
                </c:pt>
              </c:strCache>
            </c:strRef>
          </c:tx>
          <c:spPr>
            <a:solidFill>
              <a:schemeClr val="accent2">
                <a:lumMod val="80000"/>
                <a:lumOff val="2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CAP'!$R$5:$R$14</c:f>
              <c:numCache>
                <c:formatCode>General</c:formatCode>
                <c:ptCount val="9"/>
                <c:pt idx="0">
                  <c:v>331.52680652680641</c:v>
                </c:pt>
                <c:pt idx="3">
                  <c:v>8515.0269230769263</c:v>
                </c:pt>
                <c:pt idx="4">
                  <c:v>47.5</c:v>
                </c:pt>
                <c:pt idx="6">
                  <c:v>19.200000000000003</c:v>
                </c:pt>
                <c:pt idx="7">
                  <c:v>147.727272727273</c:v>
                </c:pt>
                <c:pt idx="8">
                  <c:v>48230.506993007002</c:v>
                </c:pt>
              </c:numCache>
            </c:numRef>
          </c:val>
          <c:extLst>
            <c:ext xmlns:c16="http://schemas.microsoft.com/office/drawing/2014/chart" uri="{C3380CC4-5D6E-409C-BE32-E72D297353CC}">
              <c16:uniqueId val="{0000000C-C390-484E-81A8-81AA9ADD3B0B}"/>
            </c:ext>
          </c:extLst>
        </c:ser>
        <c:ser>
          <c:idx val="14"/>
          <c:order val="14"/>
          <c:tx>
            <c:strRef>
              <c:f>'HE GEN CAP'!$S$3:$S$4</c:f>
              <c:strCache>
                <c:ptCount val="1"/>
                <c:pt idx="0">
                  <c:v>RETORTGAS</c:v>
                </c:pt>
              </c:strCache>
            </c:strRef>
          </c:tx>
          <c:spPr>
            <a:solidFill>
              <a:schemeClr val="accent3">
                <a:lumMod val="80000"/>
                <a:lumOff val="2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CAP'!$S$5:$S$14</c:f>
              <c:numCache>
                <c:formatCode>General</c:formatCode>
                <c:ptCount val="9"/>
                <c:pt idx="1">
                  <c:v>107.954545454545</c:v>
                </c:pt>
              </c:numCache>
            </c:numRef>
          </c:val>
          <c:extLst>
            <c:ext xmlns:c16="http://schemas.microsoft.com/office/drawing/2014/chart" uri="{C3380CC4-5D6E-409C-BE32-E72D297353CC}">
              <c16:uniqueId val="{0000000D-C390-484E-81A8-81AA9ADD3B0B}"/>
            </c:ext>
          </c:extLst>
        </c:ser>
        <c:ser>
          <c:idx val="15"/>
          <c:order val="15"/>
          <c:tx>
            <c:strRef>
              <c:f>'HE GEN CAP'!$T$3:$T$4</c:f>
              <c:strCache>
                <c:ptCount val="1"/>
                <c:pt idx="0">
                  <c:v>WOOD</c:v>
                </c:pt>
              </c:strCache>
            </c:strRef>
          </c:tx>
          <c:spPr>
            <a:solidFill>
              <a:schemeClr val="accent4">
                <a:lumMod val="80000"/>
                <a:lumOff val="2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CAP'!$T$5:$T$14</c:f>
              <c:numCache>
                <c:formatCode>General</c:formatCode>
                <c:ptCount val="9"/>
                <c:pt idx="1">
                  <c:v>1426.6666666666667</c:v>
                </c:pt>
                <c:pt idx="4">
                  <c:v>1917.3507692307692</c:v>
                </c:pt>
                <c:pt idx="5">
                  <c:v>210.71794871794862</c:v>
                </c:pt>
                <c:pt idx="8">
                  <c:v>2400</c:v>
                </c:pt>
              </c:numCache>
            </c:numRef>
          </c:val>
          <c:extLst>
            <c:ext xmlns:c16="http://schemas.microsoft.com/office/drawing/2014/chart" uri="{C3380CC4-5D6E-409C-BE32-E72D297353CC}">
              <c16:uniqueId val="{0000000E-C390-484E-81A8-81AA9ADD3B0B}"/>
            </c:ext>
          </c:extLst>
        </c:ser>
        <c:ser>
          <c:idx val="16"/>
          <c:order val="16"/>
          <c:tx>
            <c:strRef>
              <c:f>'HE GEN CAP'!$U$3:$U$4</c:f>
              <c:strCache>
                <c:ptCount val="1"/>
                <c:pt idx="0">
                  <c:v>SHALE</c:v>
                </c:pt>
              </c:strCache>
            </c:strRef>
          </c:tx>
          <c:spPr>
            <a:solidFill>
              <a:schemeClr val="accent5">
                <a:lumMod val="80000"/>
                <a:lumOff val="2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CAP'!$U$5:$U$14</c:f>
              <c:numCache>
                <c:formatCode>General</c:formatCode>
                <c:ptCount val="9"/>
                <c:pt idx="1">
                  <c:v>268.18181818181802</c:v>
                </c:pt>
              </c:numCache>
            </c:numRef>
          </c:val>
          <c:extLst>
            <c:ext xmlns:c16="http://schemas.microsoft.com/office/drawing/2014/chart" uri="{C3380CC4-5D6E-409C-BE32-E72D297353CC}">
              <c16:uniqueId val="{0000000F-C390-484E-81A8-81AA9ADD3B0B}"/>
            </c:ext>
          </c:extLst>
        </c:ser>
        <c:ser>
          <c:idx val="17"/>
          <c:order val="17"/>
          <c:tx>
            <c:strRef>
              <c:f>'HE GEN CAP'!$V$3:$V$4</c:f>
              <c:strCache>
                <c:ptCount val="1"/>
                <c:pt idx="0">
                  <c:v>PEAT</c:v>
                </c:pt>
              </c:strCache>
            </c:strRef>
          </c:tx>
          <c:spPr>
            <a:solidFill>
              <a:schemeClr val="accent6">
                <a:lumMod val="80000"/>
                <a:lumOff val="2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CAP'!$V$5:$V$14</c:f>
              <c:numCache>
                <c:formatCode>General</c:formatCode>
                <c:ptCount val="9"/>
                <c:pt idx="2">
                  <c:v>1476.5994172494177</c:v>
                </c:pt>
                <c:pt idx="7">
                  <c:v>27.307692307692271</c:v>
                </c:pt>
              </c:numCache>
            </c:numRef>
          </c:val>
          <c:extLst>
            <c:ext xmlns:c16="http://schemas.microsoft.com/office/drawing/2014/chart" uri="{C3380CC4-5D6E-409C-BE32-E72D297353CC}">
              <c16:uniqueId val="{00000010-C390-484E-81A8-81AA9ADD3B0B}"/>
            </c:ext>
          </c:extLst>
        </c:ser>
        <c:ser>
          <c:idx val="18"/>
          <c:order val="18"/>
          <c:tx>
            <c:strRef>
              <c:f>'HE GEN CAP'!$W$3:$W$4</c:f>
              <c:strCache>
                <c:ptCount val="1"/>
                <c:pt idx="0">
                  <c:v>OTHERGAS</c:v>
                </c:pt>
              </c:strCache>
            </c:strRef>
          </c:tx>
          <c:spPr>
            <a:solidFill>
              <a:schemeClr val="accent1">
                <a:lumMod val="8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CAP'!$W$5:$W$14</c:f>
              <c:numCache>
                <c:formatCode>General</c:formatCode>
                <c:ptCount val="9"/>
                <c:pt idx="2">
                  <c:v>158.07692307692304</c:v>
                </c:pt>
                <c:pt idx="6">
                  <c:v>8.3000000000000007</c:v>
                </c:pt>
                <c:pt idx="7">
                  <c:v>88.315999999999988</c:v>
                </c:pt>
              </c:numCache>
            </c:numRef>
          </c:val>
          <c:extLst>
            <c:ext xmlns:c16="http://schemas.microsoft.com/office/drawing/2014/chart" uri="{C3380CC4-5D6E-409C-BE32-E72D297353CC}">
              <c16:uniqueId val="{00000011-C390-484E-81A8-81AA9ADD3B0B}"/>
            </c:ext>
          </c:extLst>
        </c:ser>
        <c:ser>
          <c:idx val="19"/>
          <c:order val="19"/>
          <c:tx>
            <c:strRef>
              <c:f>'HE GEN CAP'!$X$3:$X$4</c:f>
              <c:strCache>
                <c:ptCount val="1"/>
                <c:pt idx="0">
                  <c:v>LIGNITE</c:v>
                </c:pt>
              </c:strCache>
            </c:strRef>
          </c:tx>
          <c:spPr>
            <a:solidFill>
              <a:schemeClr val="accent2">
                <a:lumMod val="8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CAP'!$X$5:$X$14</c:f>
              <c:numCache>
                <c:formatCode>General</c:formatCode>
                <c:ptCount val="9"/>
                <c:pt idx="3">
                  <c:v>7276.9230769230762</c:v>
                </c:pt>
              </c:numCache>
            </c:numRef>
          </c:val>
          <c:extLst>
            <c:ext xmlns:c16="http://schemas.microsoft.com/office/drawing/2014/chart" uri="{C3380CC4-5D6E-409C-BE32-E72D297353CC}">
              <c16:uniqueId val="{00000012-C390-484E-81A8-81AA9ADD3B0B}"/>
            </c:ext>
          </c:extLst>
        </c:ser>
        <c:ser>
          <c:idx val="20"/>
          <c:order val="20"/>
          <c:tx>
            <c:strRef>
              <c:f>'HE GEN CAP'!$Y$3:$Y$4</c:f>
              <c:strCache>
                <c:ptCount val="1"/>
                <c:pt idx="0">
                  <c:v>LNG</c:v>
                </c:pt>
              </c:strCache>
            </c:strRef>
          </c:tx>
          <c:spPr>
            <a:solidFill>
              <a:schemeClr val="accent3">
                <a:lumMod val="8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CAP'!$Y$5:$Y$14</c:f>
              <c:numCache>
                <c:formatCode>General</c:formatCode>
                <c:ptCount val="9"/>
                <c:pt idx="6">
                  <c:v>153.06666666666666</c:v>
                </c:pt>
              </c:numCache>
            </c:numRef>
          </c:val>
          <c:extLst>
            <c:ext xmlns:c16="http://schemas.microsoft.com/office/drawing/2014/chart" uri="{C3380CC4-5D6E-409C-BE32-E72D297353CC}">
              <c16:uniqueId val="{00000013-C390-484E-81A8-81AA9ADD3B0B}"/>
            </c:ext>
          </c:extLst>
        </c:ser>
        <c:ser>
          <c:idx val="21"/>
          <c:order val="21"/>
          <c:tx>
            <c:strRef>
              <c:f>'HE GEN CAP'!$Z$3:$Z$4</c:f>
              <c:strCache>
                <c:ptCount val="1"/>
                <c:pt idx="0">
                  <c:v>SUN</c:v>
                </c:pt>
              </c:strCache>
            </c:strRef>
          </c:tx>
          <c:spPr>
            <a:solidFill>
              <a:schemeClr val="accent4">
                <a:lumMod val="80000"/>
              </a:schemeClr>
            </a:solidFill>
            <a:ln>
              <a:noFill/>
            </a:ln>
            <a:effectLst/>
          </c:spPr>
          <c:invertIfNegative val="0"/>
          <c:cat>
            <c:multiLvlStrRef>
              <c:f>'HE GEN CAP'!$B$5:$D$14</c:f>
              <c:multiLvlStrCache>
                <c:ptCount val="9"/>
                <c:lvl>
                  <c:pt idx="0">
                    <c:v>2030</c:v>
                  </c:pt>
                  <c:pt idx="1">
                    <c:v>2030</c:v>
                  </c:pt>
                  <c:pt idx="2">
                    <c:v>2030</c:v>
                  </c:pt>
                  <c:pt idx="3">
                    <c:v>2030</c:v>
                  </c:pt>
                  <c:pt idx="4">
                    <c:v>2030</c:v>
                  </c:pt>
                  <c:pt idx="5">
                    <c:v>2030</c:v>
                  </c:pt>
                  <c:pt idx="6">
                    <c:v>2030</c:v>
                  </c:pt>
                  <c:pt idx="7">
                    <c:v>2030</c:v>
                  </c:pt>
                  <c:pt idx="8">
                    <c:v>2030</c:v>
                  </c:pt>
                </c:lvl>
                <c:lvl>
                  <c:pt idx="0">
                    <c:v>DENMARK</c:v>
                  </c:pt>
                  <c:pt idx="1">
                    <c:v>ESTONIA</c:v>
                  </c:pt>
                  <c:pt idx="2">
                    <c:v>FINLAND</c:v>
                  </c:pt>
                  <c:pt idx="3">
                    <c:v>GERMANY</c:v>
                  </c:pt>
                  <c:pt idx="4">
                    <c:v>LATVIA</c:v>
                  </c:pt>
                  <c:pt idx="5">
                    <c:v>LITHUANIA</c:v>
                  </c:pt>
                  <c:pt idx="6">
                    <c:v>NORWAY</c:v>
                  </c:pt>
                  <c:pt idx="7">
                    <c:v>SWEDEN</c:v>
                  </c:pt>
                  <c:pt idx="8">
                    <c:v>POLAND</c:v>
                  </c:pt>
                </c:lvl>
                <c:lvl>
                  <c:pt idx="0">
                    <c:v>BASE</c:v>
                  </c:pt>
                </c:lvl>
              </c:multiLvlStrCache>
            </c:multiLvlStrRef>
          </c:cat>
          <c:val>
            <c:numRef>
              <c:f>'HE GEN CAP'!$Z$5:$Z$14</c:f>
              <c:numCache>
                <c:formatCode>General</c:formatCode>
                <c:ptCount val="9"/>
                <c:pt idx="0">
                  <c:v>660.12</c:v>
                </c:pt>
              </c:numCache>
            </c:numRef>
          </c:val>
          <c:extLst>
            <c:ext xmlns:c16="http://schemas.microsoft.com/office/drawing/2014/chart" uri="{C3380CC4-5D6E-409C-BE32-E72D297353CC}">
              <c16:uniqueId val="{00000000-1E39-4EF8-A01E-DA302461C246}"/>
            </c:ext>
          </c:extLst>
        </c:ser>
        <c:dLbls>
          <c:showLegendKey val="0"/>
          <c:showVal val="0"/>
          <c:showCatName val="0"/>
          <c:showSerName val="0"/>
          <c:showPercent val="0"/>
          <c:showBubbleSize val="0"/>
        </c:dLbls>
        <c:gapWidth val="219"/>
        <c:overlap val="100"/>
        <c:axId val="1770374464"/>
        <c:axId val="1770372800"/>
      </c:barChart>
      <c:catAx>
        <c:axId val="17703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2800"/>
        <c:crosses val="autoZero"/>
        <c:auto val="1"/>
        <c:lblAlgn val="ctr"/>
        <c:lblOffset val="100"/>
        <c:noMultiLvlLbl val="0"/>
      </c:catAx>
      <c:valAx>
        <c:axId val="177037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4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tool.xlsm]STO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stacked"/>
        <c:varyColors val="0"/>
        <c:ser>
          <c:idx val="0"/>
          <c:order val="0"/>
          <c:tx>
            <c:strRef>
              <c:f>'STO CAP'!$E$3:$E$4</c:f>
              <c:strCache>
                <c:ptCount val="1"/>
                <c:pt idx="0">
                  <c:v>EL storage</c:v>
                </c:pt>
              </c:strCache>
            </c:strRef>
          </c:tx>
          <c:spPr>
            <a:solidFill>
              <a:schemeClr val="accent1"/>
            </a:solidFill>
            <a:ln>
              <a:noFill/>
            </a:ln>
            <a:effectLst/>
          </c:spPr>
          <c:invertIfNegative val="0"/>
          <c:cat>
            <c:multiLvlStrRef>
              <c:f>'STO CAP'!$C$5:$D$6</c:f>
              <c:multiLvlStrCache>
                <c:ptCount val="1"/>
                <c:lvl>
                  <c:pt idx="0">
                    <c:v>DENMARK</c:v>
                  </c:pt>
                </c:lvl>
                <c:lvl>
                  <c:pt idx="0">
                    <c:v>2030</c:v>
                  </c:pt>
                </c:lvl>
              </c:multiLvlStrCache>
            </c:multiLvlStrRef>
          </c:cat>
          <c:val>
            <c:numRef>
              <c:f>'STO CAP'!$E$5:$E$6</c:f>
              <c:numCache>
                <c:formatCode>General</c:formatCode>
                <c:ptCount val="1"/>
                <c:pt idx="0">
                  <c:v>2.2605686564875458</c:v>
                </c:pt>
              </c:numCache>
            </c:numRef>
          </c:val>
          <c:extLst>
            <c:ext xmlns:c16="http://schemas.microsoft.com/office/drawing/2014/chart" uri="{C3380CC4-5D6E-409C-BE32-E72D297353CC}">
              <c16:uniqueId val="{00000000-DA89-4ECC-ADF9-EAA4EC68EB40}"/>
            </c:ext>
          </c:extLst>
        </c:ser>
        <c:ser>
          <c:idx val="1"/>
          <c:order val="1"/>
          <c:tx>
            <c:strRef>
              <c:f>'STO CAP'!$F$3:$F$4</c:f>
              <c:strCache>
                <c:ptCount val="1"/>
                <c:pt idx="0">
                  <c:v>HE storage</c:v>
                </c:pt>
              </c:strCache>
            </c:strRef>
          </c:tx>
          <c:spPr>
            <a:solidFill>
              <a:schemeClr val="accent2"/>
            </a:solidFill>
            <a:ln>
              <a:noFill/>
            </a:ln>
            <a:effectLst/>
          </c:spPr>
          <c:invertIfNegative val="0"/>
          <c:cat>
            <c:multiLvlStrRef>
              <c:f>'STO CAP'!$C$5:$D$6</c:f>
              <c:multiLvlStrCache>
                <c:ptCount val="1"/>
                <c:lvl>
                  <c:pt idx="0">
                    <c:v>DENMARK</c:v>
                  </c:pt>
                </c:lvl>
                <c:lvl>
                  <c:pt idx="0">
                    <c:v>2030</c:v>
                  </c:pt>
                </c:lvl>
              </c:multiLvlStrCache>
            </c:multiLvlStrRef>
          </c:cat>
          <c:val>
            <c:numRef>
              <c:f>'STO CAP'!$F$5:$F$6</c:f>
              <c:numCache>
                <c:formatCode>General</c:formatCode>
                <c:ptCount val="1"/>
                <c:pt idx="0">
                  <c:v>17.507454880191872</c:v>
                </c:pt>
              </c:numCache>
            </c:numRef>
          </c:val>
          <c:extLst>
            <c:ext xmlns:c16="http://schemas.microsoft.com/office/drawing/2014/chart" uri="{C3380CC4-5D6E-409C-BE32-E72D297353CC}">
              <c16:uniqueId val="{0000000B-DA89-4ECC-ADF9-EAA4EC68EB40}"/>
            </c:ext>
          </c:extLst>
        </c:ser>
        <c:ser>
          <c:idx val="2"/>
          <c:order val="2"/>
          <c:tx>
            <c:strRef>
              <c:f>'STO CAP'!$G$3:$G$4</c:f>
              <c:strCache>
                <c:ptCount val="1"/>
                <c:pt idx="0">
                  <c:v>HE storage S</c:v>
                </c:pt>
              </c:strCache>
            </c:strRef>
          </c:tx>
          <c:spPr>
            <a:solidFill>
              <a:schemeClr val="accent3"/>
            </a:solidFill>
            <a:ln>
              <a:noFill/>
            </a:ln>
            <a:effectLst/>
          </c:spPr>
          <c:invertIfNegative val="0"/>
          <c:cat>
            <c:multiLvlStrRef>
              <c:f>'STO CAP'!$C$5:$D$6</c:f>
              <c:multiLvlStrCache>
                <c:ptCount val="1"/>
                <c:lvl>
                  <c:pt idx="0">
                    <c:v>DENMARK</c:v>
                  </c:pt>
                </c:lvl>
                <c:lvl>
                  <c:pt idx="0">
                    <c:v>2030</c:v>
                  </c:pt>
                </c:lvl>
              </c:multiLvlStrCache>
            </c:multiLvlStrRef>
          </c:cat>
          <c:val>
            <c:numRef>
              <c:f>'STO CAP'!$G$5:$G$6</c:f>
              <c:numCache>
                <c:formatCode>General</c:formatCode>
                <c:ptCount val="1"/>
                <c:pt idx="0">
                  <c:v>368.8710292540631</c:v>
                </c:pt>
              </c:numCache>
            </c:numRef>
          </c:val>
          <c:extLst>
            <c:ext xmlns:c16="http://schemas.microsoft.com/office/drawing/2014/chart" uri="{C3380CC4-5D6E-409C-BE32-E72D297353CC}">
              <c16:uniqueId val="{00000000-3749-42AF-A117-806BA68834CD}"/>
            </c:ext>
          </c:extLst>
        </c:ser>
        <c:dLbls>
          <c:showLegendKey val="0"/>
          <c:showVal val="0"/>
          <c:showCatName val="0"/>
          <c:showSerName val="0"/>
          <c:showPercent val="0"/>
          <c:showBubbleSize val="0"/>
        </c:dLbls>
        <c:gapWidth val="150"/>
        <c:overlap val="100"/>
        <c:axId val="1327349392"/>
        <c:axId val="1327329840"/>
      </c:barChart>
      <c:catAx>
        <c:axId val="132734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27329840"/>
        <c:crosses val="autoZero"/>
        <c:auto val="1"/>
        <c:lblAlgn val="ctr"/>
        <c:lblOffset val="100"/>
        <c:noMultiLvlLbl val="0"/>
      </c:catAx>
      <c:valAx>
        <c:axId val="132732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273493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tool.xlsm]Economy!PivotTable1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
        <c:idx val="209"/>
        <c:spPr>
          <a:solidFill>
            <a:schemeClr val="accent1"/>
          </a:solidFill>
          <a:ln>
            <a:noFill/>
          </a:ln>
          <a:effectLst/>
        </c:spPr>
        <c:marker>
          <c:symbol val="none"/>
        </c:marker>
      </c:pivotFmt>
      <c:pivotFmt>
        <c:idx val="210"/>
        <c:spPr>
          <a:solidFill>
            <a:schemeClr val="accent1"/>
          </a:solidFill>
          <a:ln>
            <a:noFill/>
          </a:ln>
          <a:effectLst/>
        </c:spPr>
        <c:marker>
          <c:symbol val="none"/>
        </c:marker>
      </c:pivotFmt>
      <c:pivotFmt>
        <c:idx val="211"/>
        <c:spPr>
          <a:solidFill>
            <a:schemeClr val="accent1"/>
          </a:solidFill>
          <a:ln>
            <a:noFill/>
          </a:ln>
          <a:effectLst/>
        </c:spPr>
        <c:marker>
          <c:symbol val="none"/>
        </c:marker>
      </c:pivotFmt>
      <c:pivotFmt>
        <c:idx val="212"/>
        <c:spPr>
          <a:solidFill>
            <a:schemeClr val="accent1"/>
          </a:solidFill>
          <a:ln>
            <a:noFill/>
          </a:ln>
          <a:effectLst/>
        </c:spPr>
        <c:marker>
          <c:symbol val="none"/>
        </c:marker>
      </c:pivotFmt>
      <c:pivotFmt>
        <c:idx val="213"/>
        <c:spPr>
          <a:solidFill>
            <a:schemeClr val="accent1"/>
          </a:solidFill>
          <a:ln>
            <a:noFill/>
          </a:ln>
          <a:effectLst/>
        </c:spPr>
        <c:marker>
          <c:symbol val="none"/>
        </c:marker>
      </c:pivotFmt>
      <c:pivotFmt>
        <c:idx val="214"/>
        <c:spPr>
          <a:solidFill>
            <a:schemeClr val="accent1"/>
          </a:solidFill>
          <a:ln>
            <a:noFill/>
          </a:ln>
          <a:effectLst/>
        </c:spPr>
        <c:marker>
          <c:symbol val="none"/>
        </c:marker>
      </c:pivotFmt>
      <c:pivotFmt>
        <c:idx val="215"/>
        <c:spPr>
          <a:solidFill>
            <a:schemeClr val="accent1"/>
          </a:solidFill>
          <a:ln>
            <a:noFill/>
          </a:ln>
          <a:effectLst/>
        </c:spPr>
        <c:marker>
          <c:symbol val="none"/>
        </c:marker>
      </c:pivotFmt>
      <c:pivotFmt>
        <c:idx val="216"/>
        <c:spPr>
          <a:solidFill>
            <a:schemeClr val="accent1"/>
          </a:solidFill>
          <a:ln>
            <a:noFill/>
          </a:ln>
          <a:effectLst/>
        </c:spPr>
        <c:marker>
          <c:symbol val="none"/>
        </c:marker>
      </c:pivotFmt>
      <c:pivotFmt>
        <c:idx val="217"/>
        <c:spPr>
          <a:solidFill>
            <a:schemeClr val="accent1"/>
          </a:solidFill>
          <a:ln>
            <a:noFill/>
          </a:ln>
          <a:effectLst/>
        </c:spPr>
        <c:marker>
          <c:symbol val="none"/>
        </c:marker>
      </c:pivotFmt>
      <c:pivotFmt>
        <c:idx val="218"/>
        <c:spPr>
          <a:solidFill>
            <a:schemeClr val="accent1"/>
          </a:solidFill>
          <a:ln>
            <a:noFill/>
          </a:ln>
          <a:effectLst/>
        </c:spPr>
        <c:marker>
          <c:symbol val="none"/>
        </c:marker>
      </c:pivotFmt>
      <c:pivotFmt>
        <c:idx val="219"/>
        <c:spPr>
          <a:solidFill>
            <a:schemeClr val="accent1"/>
          </a:solidFill>
          <a:ln>
            <a:noFill/>
          </a:ln>
          <a:effectLst/>
        </c:spPr>
        <c:marker>
          <c:symbol val="none"/>
        </c:marker>
      </c:pivotFmt>
      <c:pivotFmt>
        <c:idx val="220"/>
        <c:spPr>
          <a:solidFill>
            <a:schemeClr val="accent1"/>
          </a:solidFill>
          <a:ln>
            <a:noFill/>
          </a:ln>
          <a:effectLst/>
        </c:spPr>
        <c:marker>
          <c:symbol val="none"/>
        </c:marker>
      </c:pivotFmt>
      <c:pivotFmt>
        <c:idx val="221"/>
        <c:spPr>
          <a:solidFill>
            <a:schemeClr val="accent1"/>
          </a:solidFill>
          <a:ln>
            <a:noFill/>
          </a:ln>
          <a:effectLst/>
        </c:spPr>
        <c:marker>
          <c:symbol val="none"/>
        </c:marker>
      </c:pivotFmt>
      <c:pivotFmt>
        <c:idx val="222"/>
        <c:spPr>
          <a:solidFill>
            <a:schemeClr val="accent1"/>
          </a:solidFill>
          <a:ln>
            <a:noFill/>
          </a:ln>
          <a:effectLst/>
        </c:spPr>
        <c:marker>
          <c:symbol val="none"/>
        </c:marker>
      </c:pivotFmt>
      <c:pivotFmt>
        <c:idx val="223"/>
        <c:spPr>
          <a:solidFill>
            <a:schemeClr val="accent1"/>
          </a:solidFill>
          <a:ln>
            <a:noFill/>
          </a:ln>
          <a:effectLst/>
        </c:spPr>
        <c:marker>
          <c:symbol val="none"/>
        </c:marker>
      </c:pivotFmt>
      <c:pivotFmt>
        <c:idx val="224"/>
        <c:spPr>
          <a:solidFill>
            <a:schemeClr val="accent1"/>
          </a:solidFill>
          <a:ln>
            <a:noFill/>
          </a:ln>
          <a:effectLst/>
        </c:spPr>
        <c:marker>
          <c:symbol val="none"/>
        </c:marker>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spPr>
          <a:solidFill>
            <a:schemeClr val="accent1"/>
          </a:solidFill>
          <a:ln>
            <a:noFill/>
          </a:ln>
          <a:effectLst/>
        </c:spPr>
        <c:marker>
          <c:symbol val="none"/>
        </c:marker>
      </c:pivotFmt>
      <c:pivotFmt>
        <c:idx val="229"/>
        <c:spPr>
          <a:solidFill>
            <a:schemeClr val="accent1"/>
          </a:solidFill>
          <a:ln>
            <a:noFill/>
          </a:ln>
          <a:effectLst/>
        </c:spPr>
        <c:marker>
          <c:symbol val="none"/>
        </c:marker>
      </c:pivotFmt>
      <c:pivotFmt>
        <c:idx val="230"/>
        <c:spPr>
          <a:solidFill>
            <a:schemeClr val="accent1"/>
          </a:solidFill>
          <a:ln>
            <a:noFill/>
          </a:ln>
          <a:effectLst/>
        </c:spPr>
        <c:marker>
          <c:symbol val="none"/>
        </c:marker>
      </c:pivotFmt>
      <c:pivotFmt>
        <c:idx val="231"/>
        <c:spPr>
          <a:solidFill>
            <a:schemeClr val="accent1"/>
          </a:solidFill>
          <a:ln>
            <a:noFill/>
          </a:ln>
          <a:effectLst/>
        </c:spPr>
        <c:marker>
          <c:symbol val="none"/>
        </c:marker>
      </c:pivotFmt>
      <c:pivotFmt>
        <c:idx val="232"/>
        <c:spPr>
          <a:solidFill>
            <a:schemeClr val="accent1"/>
          </a:solidFill>
          <a:ln>
            <a:noFill/>
          </a:ln>
          <a:effectLst/>
        </c:spPr>
        <c:marker>
          <c:symbol val="none"/>
        </c:marker>
      </c:pivotFmt>
      <c:pivotFmt>
        <c:idx val="233"/>
        <c:spPr>
          <a:solidFill>
            <a:schemeClr val="accent1"/>
          </a:solidFill>
          <a:ln>
            <a:noFill/>
          </a:ln>
          <a:effectLst/>
        </c:spPr>
        <c:marker>
          <c:symbol val="none"/>
        </c:marker>
      </c:pivotFmt>
      <c:pivotFmt>
        <c:idx val="234"/>
        <c:spPr>
          <a:solidFill>
            <a:schemeClr val="accent1"/>
          </a:solidFill>
          <a:ln>
            <a:noFill/>
          </a:ln>
          <a:effectLst/>
        </c:spPr>
        <c:marker>
          <c:symbol val="none"/>
        </c:marker>
      </c:pivotFmt>
      <c:pivotFmt>
        <c:idx val="235"/>
        <c:spPr>
          <a:solidFill>
            <a:schemeClr val="accent1"/>
          </a:solidFill>
          <a:ln>
            <a:noFill/>
          </a:ln>
          <a:effectLst/>
        </c:spPr>
        <c:marker>
          <c:symbol val="none"/>
        </c:marker>
      </c:pivotFmt>
      <c:pivotFmt>
        <c:idx val="236"/>
        <c:spPr>
          <a:solidFill>
            <a:schemeClr val="accent1"/>
          </a:solidFill>
          <a:ln>
            <a:noFill/>
          </a:ln>
          <a:effectLst/>
        </c:spPr>
        <c:marker>
          <c:symbol val="none"/>
        </c:marker>
      </c:pivotFmt>
      <c:pivotFmt>
        <c:idx val="237"/>
        <c:spPr>
          <a:solidFill>
            <a:schemeClr val="accent1"/>
          </a:solidFill>
          <a:ln>
            <a:noFill/>
          </a:ln>
          <a:effectLst/>
        </c:spPr>
        <c:marker>
          <c:symbol val="none"/>
        </c:marker>
      </c:pivotFmt>
      <c:pivotFmt>
        <c:idx val="238"/>
        <c:spPr>
          <a:solidFill>
            <a:schemeClr val="accent1"/>
          </a:solidFill>
          <a:ln>
            <a:noFill/>
          </a:ln>
          <a:effectLst/>
        </c:spPr>
        <c:marker>
          <c:symbol val="none"/>
        </c:marker>
      </c:pivotFmt>
      <c:pivotFmt>
        <c:idx val="239"/>
        <c:spPr>
          <a:solidFill>
            <a:schemeClr val="accent1"/>
          </a:solidFill>
          <a:ln>
            <a:noFill/>
          </a:ln>
          <a:effectLst/>
        </c:spPr>
        <c:marker>
          <c:symbol val="none"/>
        </c:marker>
      </c:pivotFmt>
      <c:pivotFmt>
        <c:idx val="240"/>
        <c:spPr>
          <a:solidFill>
            <a:schemeClr val="accent1"/>
          </a:solidFill>
          <a:ln>
            <a:noFill/>
          </a:ln>
          <a:effectLst/>
        </c:spPr>
        <c:marker>
          <c:symbol val="none"/>
        </c:marker>
      </c:pivotFmt>
      <c:pivotFmt>
        <c:idx val="241"/>
        <c:spPr>
          <a:solidFill>
            <a:schemeClr val="accent1"/>
          </a:solidFill>
          <a:ln>
            <a:noFill/>
          </a:ln>
          <a:effectLst/>
        </c:spPr>
        <c:marker>
          <c:symbol val="none"/>
        </c:marker>
      </c:pivotFmt>
      <c:pivotFmt>
        <c:idx val="242"/>
        <c:spPr>
          <a:solidFill>
            <a:schemeClr val="accent1"/>
          </a:solidFill>
          <a:ln>
            <a:noFill/>
          </a:ln>
          <a:effectLst/>
        </c:spPr>
        <c:marker>
          <c:symbol val="none"/>
        </c:marker>
      </c:pivotFmt>
      <c:pivotFmt>
        <c:idx val="243"/>
        <c:spPr>
          <a:solidFill>
            <a:schemeClr val="accent1"/>
          </a:solidFill>
          <a:ln>
            <a:noFill/>
          </a:ln>
          <a:effectLst/>
        </c:spPr>
        <c:marker>
          <c:symbol val="none"/>
        </c:marker>
      </c:pivotFmt>
      <c:pivotFmt>
        <c:idx val="244"/>
        <c:spPr>
          <a:solidFill>
            <a:schemeClr val="accent1"/>
          </a:solidFill>
          <a:ln>
            <a:noFill/>
          </a:ln>
          <a:effectLst/>
        </c:spPr>
        <c:marker>
          <c:symbol val="none"/>
        </c:marker>
      </c:pivotFmt>
      <c:pivotFmt>
        <c:idx val="245"/>
        <c:spPr>
          <a:solidFill>
            <a:schemeClr val="accent1"/>
          </a:solidFill>
          <a:ln>
            <a:noFill/>
          </a:ln>
          <a:effectLst/>
        </c:spPr>
        <c:marker>
          <c:symbol val="none"/>
        </c:marker>
      </c:pivotFmt>
      <c:pivotFmt>
        <c:idx val="246"/>
        <c:spPr>
          <a:solidFill>
            <a:schemeClr val="accent1"/>
          </a:solidFill>
          <a:ln>
            <a:noFill/>
          </a:ln>
          <a:effectLst/>
        </c:spPr>
        <c:marker>
          <c:symbol val="none"/>
        </c:marker>
      </c:pivotFmt>
      <c:pivotFmt>
        <c:idx val="247"/>
        <c:spPr>
          <a:solidFill>
            <a:schemeClr val="accent1"/>
          </a:solidFill>
          <a:ln>
            <a:noFill/>
          </a:ln>
          <a:effectLst/>
        </c:spPr>
        <c:marker>
          <c:symbol val="none"/>
        </c:marker>
      </c:pivotFmt>
      <c:pivotFmt>
        <c:idx val="248"/>
        <c:spPr>
          <a:solidFill>
            <a:schemeClr val="accent1"/>
          </a:solidFill>
          <a:ln>
            <a:noFill/>
          </a:ln>
          <a:effectLst/>
        </c:spPr>
        <c:marker>
          <c:symbol val="none"/>
        </c:marker>
      </c:pivotFmt>
      <c:pivotFmt>
        <c:idx val="249"/>
        <c:spPr>
          <a:solidFill>
            <a:schemeClr val="accent1"/>
          </a:solidFill>
          <a:ln>
            <a:noFill/>
          </a:ln>
          <a:effectLst/>
        </c:spPr>
        <c:marker>
          <c:symbol val="none"/>
        </c:marker>
      </c:pivotFmt>
      <c:pivotFmt>
        <c:idx val="250"/>
        <c:spPr>
          <a:solidFill>
            <a:schemeClr val="accent1"/>
          </a:solidFill>
          <a:ln>
            <a:noFill/>
          </a:ln>
          <a:effectLst/>
        </c:spPr>
        <c:marker>
          <c:symbol val="none"/>
        </c:marker>
      </c:pivotFmt>
      <c:pivotFmt>
        <c:idx val="251"/>
        <c:spPr>
          <a:solidFill>
            <a:schemeClr val="accent1"/>
          </a:solidFill>
          <a:ln>
            <a:noFill/>
          </a:ln>
          <a:effectLst/>
        </c:spPr>
        <c:marker>
          <c:symbol val="none"/>
        </c:marker>
      </c:pivotFmt>
      <c:pivotFmt>
        <c:idx val="252"/>
        <c:spPr>
          <a:solidFill>
            <a:schemeClr val="accent1"/>
          </a:solidFill>
          <a:ln>
            <a:noFill/>
          </a:ln>
          <a:effectLst/>
        </c:spPr>
        <c:marker>
          <c:symbol val="none"/>
        </c:marker>
      </c:pivotFmt>
      <c:pivotFmt>
        <c:idx val="253"/>
        <c:spPr>
          <a:solidFill>
            <a:schemeClr val="accent1"/>
          </a:solidFill>
          <a:ln>
            <a:noFill/>
          </a:ln>
          <a:effectLst/>
        </c:spPr>
        <c:marker>
          <c:symbol val="none"/>
        </c:marker>
      </c:pivotFmt>
      <c:pivotFmt>
        <c:idx val="254"/>
        <c:spPr>
          <a:solidFill>
            <a:schemeClr val="accent1"/>
          </a:solidFill>
          <a:ln>
            <a:noFill/>
          </a:ln>
          <a:effectLst/>
        </c:spPr>
        <c:marker>
          <c:symbol val="none"/>
        </c:marker>
      </c:pivotFmt>
      <c:pivotFmt>
        <c:idx val="255"/>
        <c:spPr>
          <a:solidFill>
            <a:schemeClr val="accent1"/>
          </a:solidFill>
          <a:ln>
            <a:noFill/>
          </a:ln>
          <a:effectLst/>
        </c:spPr>
        <c:marker>
          <c:symbol val="none"/>
        </c:marker>
      </c:pivotFmt>
      <c:pivotFmt>
        <c:idx val="256"/>
        <c:spPr>
          <a:solidFill>
            <a:schemeClr val="accent1"/>
          </a:solidFill>
          <a:ln>
            <a:noFill/>
          </a:ln>
          <a:effectLst/>
        </c:spPr>
        <c:marker>
          <c:symbol val="none"/>
        </c:marker>
      </c:pivotFmt>
      <c:pivotFmt>
        <c:idx val="257"/>
        <c:spPr>
          <a:solidFill>
            <a:schemeClr val="accent1"/>
          </a:solidFill>
          <a:ln>
            <a:noFill/>
          </a:ln>
          <a:effectLst/>
        </c:spPr>
        <c:marker>
          <c:symbol val="none"/>
        </c:marker>
      </c:pivotFmt>
      <c:pivotFmt>
        <c:idx val="258"/>
        <c:spPr>
          <a:solidFill>
            <a:schemeClr val="accent1"/>
          </a:solidFill>
          <a:ln>
            <a:noFill/>
          </a:ln>
          <a:effectLst/>
        </c:spPr>
        <c:marker>
          <c:symbol val="none"/>
        </c:marker>
      </c:pivotFmt>
      <c:pivotFmt>
        <c:idx val="259"/>
        <c:spPr>
          <a:solidFill>
            <a:schemeClr val="accent1"/>
          </a:solidFill>
          <a:ln>
            <a:noFill/>
          </a:ln>
          <a:effectLst/>
        </c:spPr>
        <c:marker>
          <c:symbol val="none"/>
        </c:marker>
      </c:pivotFmt>
      <c:pivotFmt>
        <c:idx val="260"/>
        <c:spPr>
          <a:solidFill>
            <a:schemeClr val="accent1"/>
          </a:solidFill>
          <a:ln>
            <a:noFill/>
          </a:ln>
          <a:effectLst/>
        </c:spPr>
        <c:marker>
          <c:symbol val="none"/>
        </c:marker>
      </c:pivotFmt>
      <c:pivotFmt>
        <c:idx val="261"/>
        <c:spPr>
          <a:solidFill>
            <a:schemeClr val="accent1"/>
          </a:solidFill>
          <a:ln>
            <a:noFill/>
          </a:ln>
          <a:effectLst/>
        </c:spPr>
        <c:marker>
          <c:symbol val="none"/>
        </c:marker>
      </c:pivotFmt>
      <c:pivotFmt>
        <c:idx val="262"/>
        <c:spPr>
          <a:solidFill>
            <a:schemeClr val="accent1"/>
          </a:solidFill>
          <a:ln>
            <a:noFill/>
          </a:ln>
          <a:effectLst/>
        </c:spPr>
        <c:marker>
          <c:symbol val="none"/>
        </c:marker>
      </c:pivotFmt>
      <c:pivotFmt>
        <c:idx val="263"/>
        <c:spPr>
          <a:solidFill>
            <a:schemeClr val="accent1"/>
          </a:solidFill>
          <a:ln>
            <a:noFill/>
          </a:ln>
          <a:effectLst/>
        </c:spPr>
        <c:marker>
          <c:symbol val="none"/>
        </c:marker>
      </c:pivotFmt>
      <c:pivotFmt>
        <c:idx val="264"/>
        <c:spPr>
          <a:solidFill>
            <a:schemeClr val="accent1"/>
          </a:solidFill>
          <a:ln>
            <a:noFill/>
          </a:ln>
          <a:effectLst/>
        </c:spPr>
        <c:marker>
          <c:symbol val="none"/>
        </c:marker>
      </c:pivotFmt>
      <c:pivotFmt>
        <c:idx val="265"/>
        <c:spPr>
          <a:solidFill>
            <a:schemeClr val="accent1"/>
          </a:solidFill>
          <a:ln>
            <a:noFill/>
          </a:ln>
          <a:effectLst/>
        </c:spPr>
        <c:marker>
          <c:symbol val="none"/>
        </c:marker>
      </c:pivotFmt>
      <c:pivotFmt>
        <c:idx val="266"/>
        <c:spPr>
          <a:solidFill>
            <a:schemeClr val="accent1"/>
          </a:solidFill>
          <a:ln>
            <a:noFill/>
          </a:ln>
          <a:effectLst/>
        </c:spPr>
        <c:marker>
          <c:symbol val="none"/>
        </c:marker>
      </c:pivotFmt>
      <c:pivotFmt>
        <c:idx val="267"/>
        <c:spPr>
          <a:solidFill>
            <a:schemeClr val="accent1"/>
          </a:solidFill>
          <a:ln>
            <a:noFill/>
          </a:ln>
          <a:effectLst/>
        </c:spPr>
        <c:marker>
          <c:symbol val="none"/>
        </c:marker>
      </c:pivotFmt>
      <c:pivotFmt>
        <c:idx val="268"/>
        <c:spPr>
          <a:solidFill>
            <a:schemeClr val="accent1"/>
          </a:solidFill>
          <a:ln>
            <a:noFill/>
          </a:ln>
          <a:effectLst/>
        </c:spPr>
        <c:marker>
          <c:symbol val="none"/>
        </c:marker>
      </c:pivotFmt>
      <c:pivotFmt>
        <c:idx val="269"/>
        <c:spPr>
          <a:solidFill>
            <a:schemeClr val="accent1"/>
          </a:solidFill>
          <a:ln>
            <a:noFill/>
          </a:ln>
          <a:effectLst/>
        </c:spPr>
        <c:marker>
          <c:symbol val="none"/>
        </c:marker>
      </c:pivotFmt>
      <c:pivotFmt>
        <c:idx val="270"/>
        <c:spPr>
          <a:solidFill>
            <a:schemeClr val="accent1"/>
          </a:solidFill>
          <a:ln>
            <a:noFill/>
          </a:ln>
          <a:effectLst/>
        </c:spPr>
        <c:marker>
          <c:symbol val="none"/>
        </c:marker>
      </c:pivotFmt>
      <c:pivotFmt>
        <c:idx val="271"/>
        <c:spPr>
          <a:solidFill>
            <a:schemeClr val="accent1"/>
          </a:solidFill>
          <a:ln>
            <a:noFill/>
          </a:ln>
          <a:effectLst/>
        </c:spPr>
        <c:marker>
          <c:symbol val="none"/>
        </c:marker>
      </c:pivotFmt>
      <c:pivotFmt>
        <c:idx val="272"/>
        <c:spPr>
          <a:solidFill>
            <a:schemeClr val="accent1"/>
          </a:solidFill>
          <a:ln>
            <a:noFill/>
          </a:ln>
          <a:effectLst/>
        </c:spPr>
        <c:marker>
          <c:symbol val="none"/>
        </c:marker>
      </c:pivotFmt>
      <c:pivotFmt>
        <c:idx val="273"/>
        <c:spPr>
          <a:solidFill>
            <a:schemeClr val="accent1"/>
          </a:solidFill>
          <a:ln>
            <a:noFill/>
          </a:ln>
          <a:effectLst/>
        </c:spPr>
        <c:marker>
          <c:symbol val="none"/>
        </c:marker>
      </c:pivotFmt>
      <c:pivotFmt>
        <c:idx val="274"/>
        <c:spPr>
          <a:solidFill>
            <a:schemeClr val="accent1"/>
          </a:solidFill>
          <a:ln>
            <a:noFill/>
          </a:ln>
          <a:effectLst/>
        </c:spPr>
        <c:marker>
          <c:symbol val="none"/>
        </c:marker>
      </c:pivotFmt>
      <c:pivotFmt>
        <c:idx val="275"/>
        <c:spPr>
          <a:solidFill>
            <a:schemeClr val="accent1"/>
          </a:solidFill>
          <a:ln>
            <a:noFill/>
          </a:ln>
          <a:effectLst/>
        </c:spPr>
        <c:marker>
          <c:symbol val="none"/>
        </c:marker>
      </c:pivotFmt>
      <c:pivotFmt>
        <c:idx val="276"/>
        <c:spPr>
          <a:solidFill>
            <a:schemeClr val="accent1"/>
          </a:solidFill>
          <a:ln>
            <a:noFill/>
          </a:ln>
          <a:effectLst/>
        </c:spPr>
        <c:marker>
          <c:symbol val="none"/>
        </c:marker>
      </c:pivotFmt>
      <c:pivotFmt>
        <c:idx val="277"/>
        <c:spPr>
          <a:solidFill>
            <a:schemeClr val="accent1"/>
          </a:solidFill>
          <a:ln>
            <a:noFill/>
          </a:ln>
          <a:effectLst/>
        </c:spPr>
        <c:marker>
          <c:symbol val="none"/>
        </c:marker>
      </c:pivotFmt>
      <c:pivotFmt>
        <c:idx val="278"/>
        <c:spPr>
          <a:solidFill>
            <a:schemeClr val="accent1"/>
          </a:solidFill>
          <a:ln>
            <a:noFill/>
          </a:ln>
          <a:effectLst/>
        </c:spPr>
        <c:marker>
          <c:symbol val="none"/>
        </c:marker>
      </c:pivotFmt>
      <c:pivotFmt>
        <c:idx val="279"/>
        <c:spPr>
          <a:solidFill>
            <a:schemeClr val="accent1"/>
          </a:solidFill>
          <a:ln>
            <a:noFill/>
          </a:ln>
          <a:effectLst/>
        </c:spPr>
        <c:marker>
          <c:symbol val="none"/>
        </c:marker>
      </c:pivotFmt>
      <c:pivotFmt>
        <c:idx val="280"/>
        <c:spPr>
          <a:solidFill>
            <a:schemeClr val="accent1"/>
          </a:solidFill>
          <a:ln>
            <a:noFill/>
          </a:ln>
          <a:effectLst/>
        </c:spPr>
        <c:marker>
          <c:symbol val="none"/>
        </c:marker>
      </c:pivotFmt>
      <c:pivotFmt>
        <c:idx val="281"/>
        <c:spPr>
          <a:solidFill>
            <a:schemeClr val="accent1"/>
          </a:solidFill>
          <a:ln>
            <a:noFill/>
          </a:ln>
          <a:effectLst/>
        </c:spPr>
        <c:marker>
          <c:symbol val="none"/>
        </c:marker>
      </c:pivotFmt>
      <c:pivotFmt>
        <c:idx val="282"/>
        <c:spPr>
          <a:solidFill>
            <a:schemeClr val="accent1"/>
          </a:solidFill>
          <a:ln>
            <a:noFill/>
          </a:ln>
          <a:effectLst/>
        </c:spPr>
        <c:marker>
          <c:symbol val="none"/>
        </c:marker>
      </c:pivotFmt>
      <c:pivotFmt>
        <c:idx val="283"/>
        <c:spPr>
          <a:solidFill>
            <a:schemeClr val="accent1"/>
          </a:solidFill>
          <a:ln>
            <a:noFill/>
          </a:ln>
          <a:effectLst/>
        </c:spPr>
        <c:marker>
          <c:symbol val="none"/>
        </c:marker>
      </c:pivotFmt>
      <c:pivotFmt>
        <c:idx val="284"/>
        <c:spPr>
          <a:solidFill>
            <a:schemeClr val="accent1"/>
          </a:solidFill>
          <a:ln>
            <a:noFill/>
          </a:ln>
          <a:effectLst/>
        </c:spPr>
        <c:marker>
          <c:symbol val="none"/>
        </c:marker>
      </c:pivotFmt>
      <c:pivotFmt>
        <c:idx val="285"/>
        <c:spPr>
          <a:solidFill>
            <a:schemeClr val="accent1"/>
          </a:solidFill>
          <a:ln>
            <a:noFill/>
          </a:ln>
          <a:effectLst/>
        </c:spPr>
        <c:marker>
          <c:symbol val="none"/>
        </c:marker>
      </c:pivotFmt>
      <c:pivotFmt>
        <c:idx val="286"/>
        <c:spPr>
          <a:solidFill>
            <a:schemeClr val="accent1"/>
          </a:solidFill>
          <a:ln>
            <a:noFill/>
          </a:ln>
          <a:effectLst/>
        </c:spPr>
        <c:marker>
          <c:symbol val="none"/>
        </c:marker>
      </c:pivotFmt>
      <c:pivotFmt>
        <c:idx val="287"/>
        <c:spPr>
          <a:solidFill>
            <a:schemeClr val="accent1"/>
          </a:solidFill>
          <a:ln>
            <a:noFill/>
          </a:ln>
          <a:effectLst/>
        </c:spPr>
        <c:marker>
          <c:symbol val="none"/>
        </c:marker>
      </c:pivotFmt>
      <c:pivotFmt>
        <c:idx val="288"/>
        <c:spPr>
          <a:solidFill>
            <a:schemeClr val="accent1"/>
          </a:solidFill>
          <a:ln>
            <a:noFill/>
          </a:ln>
          <a:effectLst/>
        </c:spPr>
        <c:marker>
          <c:symbol val="none"/>
        </c:marker>
      </c:pivotFmt>
      <c:pivotFmt>
        <c:idx val="289"/>
        <c:spPr>
          <a:solidFill>
            <a:schemeClr val="accent1"/>
          </a:solidFill>
          <a:ln>
            <a:noFill/>
          </a:ln>
          <a:effectLst/>
        </c:spPr>
        <c:marker>
          <c:symbol val="none"/>
        </c:marker>
      </c:pivotFmt>
      <c:pivotFmt>
        <c:idx val="290"/>
        <c:spPr>
          <a:solidFill>
            <a:schemeClr val="accent1"/>
          </a:solidFill>
          <a:ln>
            <a:noFill/>
          </a:ln>
          <a:effectLst/>
        </c:spPr>
        <c:marker>
          <c:symbol val="none"/>
        </c:marker>
      </c:pivotFmt>
      <c:pivotFmt>
        <c:idx val="291"/>
        <c:spPr>
          <a:solidFill>
            <a:schemeClr val="accent1"/>
          </a:solidFill>
          <a:ln>
            <a:noFill/>
          </a:ln>
          <a:effectLst/>
        </c:spPr>
        <c:marker>
          <c:symbol val="none"/>
        </c:marker>
      </c:pivotFmt>
      <c:pivotFmt>
        <c:idx val="292"/>
        <c:spPr>
          <a:solidFill>
            <a:schemeClr val="accent1"/>
          </a:solidFill>
          <a:ln>
            <a:noFill/>
          </a:ln>
          <a:effectLst/>
        </c:spPr>
        <c:marker>
          <c:symbol val="none"/>
        </c:marker>
      </c:pivotFmt>
      <c:pivotFmt>
        <c:idx val="293"/>
        <c:spPr>
          <a:solidFill>
            <a:schemeClr val="accent1"/>
          </a:solidFill>
          <a:ln>
            <a:noFill/>
          </a:ln>
          <a:effectLst/>
        </c:spPr>
        <c:marker>
          <c:symbol val="none"/>
        </c:marker>
      </c:pivotFmt>
      <c:pivotFmt>
        <c:idx val="294"/>
        <c:spPr>
          <a:solidFill>
            <a:schemeClr val="accent1"/>
          </a:solidFill>
          <a:ln>
            <a:noFill/>
          </a:ln>
          <a:effectLst/>
        </c:spPr>
        <c:marker>
          <c:symbol val="none"/>
        </c:marker>
      </c:pivotFmt>
      <c:pivotFmt>
        <c:idx val="295"/>
        <c:spPr>
          <a:solidFill>
            <a:schemeClr val="accent1"/>
          </a:solidFill>
          <a:ln>
            <a:noFill/>
          </a:ln>
          <a:effectLst/>
        </c:spPr>
        <c:marker>
          <c:symbol val="none"/>
        </c:marker>
      </c:pivotFmt>
      <c:pivotFmt>
        <c:idx val="296"/>
        <c:spPr>
          <a:solidFill>
            <a:schemeClr val="accent1"/>
          </a:solidFill>
          <a:ln>
            <a:noFill/>
          </a:ln>
          <a:effectLst/>
        </c:spPr>
        <c:marker>
          <c:symbol val="none"/>
        </c:marker>
      </c:pivotFmt>
      <c:pivotFmt>
        <c:idx val="297"/>
        <c:spPr>
          <a:solidFill>
            <a:schemeClr val="accent1"/>
          </a:solidFill>
          <a:ln>
            <a:noFill/>
          </a:ln>
          <a:effectLst/>
        </c:spPr>
        <c:marker>
          <c:symbol val="none"/>
        </c:marker>
      </c:pivotFmt>
      <c:pivotFmt>
        <c:idx val="298"/>
        <c:spPr>
          <a:solidFill>
            <a:schemeClr val="accent1"/>
          </a:solidFill>
          <a:ln>
            <a:noFill/>
          </a:ln>
          <a:effectLst/>
        </c:spPr>
        <c:marker>
          <c:symbol val="none"/>
        </c:marker>
      </c:pivotFmt>
      <c:pivotFmt>
        <c:idx val="299"/>
        <c:spPr>
          <a:solidFill>
            <a:schemeClr val="accent1"/>
          </a:solidFill>
          <a:ln>
            <a:noFill/>
          </a:ln>
          <a:effectLst/>
        </c:spPr>
        <c:marker>
          <c:symbol val="none"/>
        </c:marker>
      </c:pivotFmt>
      <c:pivotFmt>
        <c:idx val="300"/>
        <c:spPr>
          <a:solidFill>
            <a:schemeClr val="accent1"/>
          </a:solidFill>
          <a:ln>
            <a:noFill/>
          </a:ln>
          <a:effectLst/>
        </c:spPr>
        <c:marker>
          <c:symbol val="none"/>
        </c:marker>
      </c:pivotFmt>
      <c:pivotFmt>
        <c:idx val="301"/>
        <c:spPr>
          <a:solidFill>
            <a:schemeClr val="accent1"/>
          </a:solidFill>
          <a:ln>
            <a:noFill/>
          </a:ln>
          <a:effectLst/>
        </c:spPr>
        <c:marker>
          <c:symbol val="none"/>
        </c:marker>
      </c:pivotFmt>
      <c:pivotFmt>
        <c:idx val="302"/>
        <c:spPr>
          <a:solidFill>
            <a:schemeClr val="accent1"/>
          </a:solidFill>
          <a:ln>
            <a:noFill/>
          </a:ln>
          <a:effectLst/>
        </c:spPr>
        <c:marker>
          <c:symbol val="none"/>
        </c:marker>
      </c:pivotFmt>
      <c:pivotFmt>
        <c:idx val="303"/>
        <c:spPr>
          <a:solidFill>
            <a:schemeClr val="accent1"/>
          </a:solidFill>
          <a:ln>
            <a:noFill/>
          </a:ln>
          <a:effectLst/>
        </c:spPr>
        <c:marker>
          <c:symbol val="none"/>
        </c:marker>
      </c:pivotFmt>
      <c:pivotFmt>
        <c:idx val="304"/>
        <c:spPr>
          <a:solidFill>
            <a:schemeClr val="accent1"/>
          </a:solidFill>
          <a:ln>
            <a:noFill/>
          </a:ln>
          <a:effectLst/>
        </c:spPr>
        <c:marker>
          <c:symbol val="none"/>
        </c:marker>
      </c:pivotFmt>
      <c:pivotFmt>
        <c:idx val="305"/>
        <c:spPr>
          <a:solidFill>
            <a:schemeClr val="accent1"/>
          </a:solidFill>
          <a:ln>
            <a:noFill/>
          </a:ln>
          <a:effectLst/>
        </c:spPr>
        <c:marker>
          <c:symbol val="none"/>
        </c:marker>
      </c:pivotFmt>
      <c:pivotFmt>
        <c:idx val="306"/>
        <c:spPr>
          <a:solidFill>
            <a:schemeClr val="accent1"/>
          </a:solidFill>
          <a:ln>
            <a:noFill/>
          </a:ln>
          <a:effectLst/>
        </c:spPr>
        <c:marker>
          <c:symbol val="none"/>
        </c:marker>
      </c:pivotFmt>
      <c:pivotFmt>
        <c:idx val="307"/>
        <c:spPr>
          <a:solidFill>
            <a:schemeClr val="accent1"/>
          </a:solidFill>
          <a:ln>
            <a:noFill/>
          </a:ln>
          <a:effectLst/>
        </c:spPr>
        <c:marker>
          <c:symbol val="none"/>
        </c:marker>
      </c:pivotFmt>
      <c:pivotFmt>
        <c:idx val="308"/>
        <c:spPr>
          <a:solidFill>
            <a:schemeClr val="accent1"/>
          </a:solidFill>
          <a:ln>
            <a:noFill/>
          </a:ln>
          <a:effectLst/>
        </c:spPr>
        <c:marker>
          <c:symbol val="none"/>
        </c:marker>
      </c:pivotFmt>
      <c:pivotFmt>
        <c:idx val="309"/>
        <c:spPr>
          <a:solidFill>
            <a:schemeClr val="accent1"/>
          </a:solidFill>
          <a:ln>
            <a:noFill/>
          </a:ln>
          <a:effectLst/>
        </c:spPr>
        <c:marker>
          <c:symbol val="none"/>
        </c:marker>
      </c:pivotFmt>
      <c:pivotFmt>
        <c:idx val="310"/>
        <c:spPr>
          <a:solidFill>
            <a:schemeClr val="accent1"/>
          </a:solidFill>
          <a:ln>
            <a:noFill/>
          </a:ln>
          <a:effectLst/>
        </c:spPr>
        <c:marker>
          <c:symbol val="none"/>
        </c:marker>
      </c:pivotFmt>
      <c:pivotFmt>
        <c:idx val="311"/>
        <c:spPr>
          <a:solidFill>
            <a:schemeClr val="accent1"/>
          </a:solidFill>
          <a:ln>
            <a:noFill/>
          </a:ln>
          <a:effectLst/>
        </c:spPr>
        <c:marker>
          <c:symbol val="none"/>
        </c:marker>
      </c:pivotFmt>
    </c:pivotFmts>
    <c:plotArea>
      <c:layout/>
      <c:barChart>
        <c:barDir val="col"/>
        <c:grouping val="stacked"/>
        <c:varyColors val="0"/>
        <c:ser>
          <c:idx val="0"/>
          <c:order val="0"/>
          <c:tx>
            <c:strRef>
              <c:f>Economy!$C$3:$C$4</c:f>
              <c:strCache>
                <c:ptCount val="1"/>
                <c:pt idx="0">
                  <c:v>Generation investment cost M€</c:v>
                </c:pt>
              </c:strCache>
            </c:strRef>
          </c:tx>
          <c:spPr>
            <a:solidFill>
              <a:schemeClr val="accent1"/>
            </a:solidFill>
            <a:ln>
              <a:noFill/>
            </a:ln>
            <a:effectLst/>
          </c:spPr>
          <c:invertIfNegative val="0"/>
          <c:cat>
            <c:strRef>
              <c:f>Economy!$B$5:$B$6</c:f>
              <c:strCache>
                <c:ptCount val="1"/>
                <c:pt idx="0">
                  <c:v>BASE</c:v>
                </c:pt>
              </c:strCache>
            </c:strRef>
          </c:cat>
          <c:val>
            <c:numRef>
              <c:f>Economy!$C$5:$C$6</c:f>
              <c:numCache>
                <c:formatCode>General</c:formatCode>
                <c:ptCount val="1"/>
                <c:pt idx="0">
                  <c:v>556.51758190712883</c:v>
                </c:pt>
              </c:numCache>
            </c:numRef>
          </c:val>
          <c:extLst>
            <c:ext xmlns:c16="http://schemas.microsoft.com/office/drawing/2014/chart" uri="{C3380CC4-5D6E-409C-BE32-E72D297353CC}">
              <c16:uniqueId val="{00000000-570A-49C8-A580-F3881FC7DD75}"/>
            </c:ext>
          </c:extLst>
        </c:ser>
        <c:ser>
          <c:idx val="1"/>
          <c:order val="1"/>
          <c:tx>
            <c:strRef>
              <c:f>Economy!$D$3:$D$4</c:f>
              <c:strCache>
                <c:ptCount val="1"/>
                <c:pt idx="0">
                  <c:v>Fuel costs M€</c:v>
                </c:pt>
              </c:strCache>
            </c:strRef>
          </c:tx>
          <c:spPr>
            <a:solidFill>
              <a:schemeClr val="accent2"/>
            </a:solidFill>
            <a:ln>
              <a:noFill/>
            </a:ln>
            <a:effectLst/>
          </c:spPr>
          <c:invertIfNegative val="0"/>
          <c:cat>
            <c:strRef>
              <c:f>Economy!$B$5:$B$6</c:f>
              <c:strCache>
                <c:ptCount val="1"/>
                <c:pt idx="0">
                  <c:v>BASE</c:v>
                </c:pt>
              </c:strCache>
            </c:strRef>
          </c:cat>
          <c:val>
            <c:numRef>
              <c:f>Economy!$D$5:$D$6</c:f>
              <c:numCache>
                <c:formatCode>General</c:formatCode>
                <c:ptCount val="1"/>
                <c:pt idx="0">
                  <c:v>994.35084672349751</c:v>
                </c:pt>
              </c:numCache>
            </c:numRef>
          </c:val>
          <c:extLst>
            <c:ext xmlns:c16="http://schemas.microsoft.com/office/drawing/2014/chart" uri="{C3380CC4-5D6E-409C-BE32-E72D297353CC}">
              <c16:uniqueId val="{000000A3-B0F1-4C48-B62F-A04B60242319}"/>
            </c:ext>
          </c:extLst>
        </c:ser>
        <c:ser>
          <c:idx val="2"/>
          <c:order val="2"/>
          <c:tx>
            <c:strRef>
              <c:f>Economy!$E$3:$E$4</c:f>
              <c:strCache>
                <c:ptCount val="1"/>
                <c:pt idx="0">
                  <c:v>Power plant variable O&amp;M cost M€</c:v>
                </c:pt>
              </c:strCache>
            </c:strRef>
          </c:tx>
          <c:spPr>
            <a:solidFill>
              <a:schemeClr val="accent3"/>
            </a:solidFill>
            <a:ln>
              <a:noFill/>
            </a:ln>
            <a:effectLst/>
          </c:spPr>
          <c:invertIfNegative val="0"/>
          <c:cat>
            <c:strRef>
              <c:f>Economy!$B$5:$B$6</c:f>
              <c:strCache>
                <c:ptCount val="1"/>
                <c:pt idx="0">
                  <c:v>BASE</c:v>
                </c:pt>
              </c:strCache>
            </c:strRef>
          </c:cat>
          <c:val>
            <c:numRef>
              <c:f>Economy!$E$5:$E$6</c:f>
              <c:numCache>
                <c:formatCode>General</c:formatCode>
                <c:ptCount val="1"/>
                <c:pt idx="0">
                  <c:v>519.90786007150894</c:v>
                </c:pt>
              </c:numCache>
            </c:numRef>
          </c:val>
          <c:extLst>
            <c:ext xmlns:c16="http://schemas.microsoft.com/office/drawing/2014/chart" uri="{C3380CC4-5D6E-409C-BE32-E72D297353CC}">
              <c16:uniqueId val="{000000A4-B0F1-4C48-B62F-A04B60242319}"/>
            </c:ext>
          </c:extLst>
        </c:ser>
        <c:ser>
          <c:idx val="3"/>
          <c:order val="3"/>
          <c:tx>
            <c:strRef>
              <c:f>Economy!$F$3:$F$4</c:f>
              <c:strCache>
                <c:ptCount val="1"/>
                <c:pt idx="0">
                  <c:v>Transmission cost M€</c:v>
                </c:pt>
              </c:strCache>
            </c:strRef>
          </c:tx>
          <c:spPr>
            <a:solidFill>
              <a:schemeClr val="accent4"/>
            </a:solidFill>
            <a:ln>
              <a:noFill/>
            </a:ln>
            <a:effectLst/>
          </c:spPr>
          <c:invertIfNegative val="0"/>
          <c:cat>
            <c:strRef>
              <c:f>Economy!$B$5:$B$6</c:f>
              <c:strCache>
                <c:ptCount val="1"/>
                <c:pt idx="0">
                  <c:v>BASE</c:v>
                </c:pt>
              </c:strCache>
            </c:strRef>
          </c:cat>
          <c:val>
            <c:numRef>
              <c:f>Economy!$F$5:$F$6</c:f>
              <c:numCache>
                <c:formatCode>General</c:formatCode>
                <c:ptCount val="1"/>
                <c:pt idx="0">
                  <c:v>1.0687906752981529E-4</c:v>
                </c:pt>
              </c:numCache>
            </c:numRef>
          </c:val>
          <c:extLst>
            <c:ext xmlns:c16="http://schemas.microsoft.com/office/drawing/2014/chart" uri="{C3380CC4-5D6E-409C-BE32-E72D297353CC}">
              <c16:uniqueId val="{000000A5-B0F1-4C48-B62F-A04B60242319}"/>
            </c:ext>
          </c:extLst>
        </c:ser>
        <c:ser>
          <c:idx val="4"/>
          <c:order val="4"/>
          <c:tx>
            <c:strRef>
              <c:f>Economy!$G$3:$G$4</c:f>
              <c:strCache>
                <c:ptCount val="1"/>
                <c:pt idx="0">
                  <c:v>Power plant fixed O&amp;M cost M€</c:v>
                </c:pt>
              </c:strCache>
            </c:strRef>
          </c:tx>
          <c:spPr>
            <a:solidFill>
              <a:schemeClr val="accent5"/>
            </a:solidFill>
            <a:ln>
              <a:noFill/>
            </a:ln>
            <a:effectLst/>
          </c:spPr>
          <c:invertIfNegative val="0"/>
          <c:cat>
            <c:strRef>
              <c:f>Economy!$B$5:$B$6</c:f>
              <c:strCache>
                <c:ptCount val="1"/>
                <c:pt idx="0">
                  <c:v>BASE</c:v>
                </c:pt>
              </c:strCache>
            </c:strRef>
          </c:cat>
          <c:val>
            <c:numRef>
              <c:f>Economy!$G$5:$G$6</c:f>
              <c:numCache>
                <c:formatCode>General</c:formatCode>
                <c:ptCount val="1"/>
                <c:pt idx="0">
                  <c:v>11876.10528737216</c:v>
                </c:pt>
              </c:numCache>
            </c:numRef>
          </c:val>
          <c:extLst>
            <c:ext xmlns:c16="http://schemas.microsoft.com/office/drawing/2014/chart" uri="{C3380CC4-5D6E-409C-BE32-E72D297353CC}">
              <c16:uniqueId val="{000000A6-B0F1-4C48-B62F-A04B60242319}"/>
            </c:ext>
          </c:extLst>
        </c:ser>
        <c:dLbls>
          <c:showLegendKey val="0"/>
          <c:showVal val="0"/>
          <c:showCatName val="0"/>
          <c:showSerName val="0"/>
          <c:showPercent val="0"/>
          <c:showBubbleSize val="0"/>
        </c:dLbls>
        <c:gapWidth val="50"/>
        <c:overlap val="100"/>
        <c:axId val="311924800"/>
        <c:axId val="311923136"/>
      </c:barChart>
      <c:catAx>
        <c:axId val="31192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3136"/>
        <c:crosses val="autoZero"/>
        <c:auto val="1"/>
        <c:lblAlgn val="ctr"/>
        <c:lblOffset val="100"/>
        <c:noMultiLvlLbl val="0"/>
      </c:catAx>
      <c:valAx>
        <c:axId val="31192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48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tool.xlsm]Economy!PivotTable2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axId val="1364398127"/>
        <c:axId val="1364400207"/>
      </c:barChart>
      <c:catAx>
        <c:axId val="1364398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64400207"/>
        <c:crosses val="autoZero"/>
        <c:auto val="1"/>
        <c:lblAlgn val="ctr"/>
        <c:lblOffset val="100"/>
        <c:noMultiLvlLbl val="0"/>
      </c:catAx>
      <c:valAx>
        <c:axId val="1364400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643981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ln w="28575" cap="rnd">
            <a:solidFill>
              <a:schemeClr val="accent1"/>
            </a:solidFill>
            <a:round/>
          </a:ln>
          <a:effectLst/>
        </c:spPr>
        <c:marker>
          <c:symbol val="none"/>
        </c:marker>
      </c:pivotFmt>
      <c:pivotFmt>
        <c:idx val="89"/>
        <c:spPr>
          <a:ln w="28575" cap="rnd">
            <a:solidFill>
              <a:schemeClr val="accent1"/>
            </a:solidFill>
            <a:round/>
          </a:ln>
          <a:effectLst/>
        </c:spPr>
        <c:marker>
          <c:symbol val="none"/>
        </c:marker>
      </c:pivotFmt>
      <c:pivotFmt>
        <c:idx val="90"/>
        <c:spPr>
          <a:ln w="28575" cap="rnd">
            <a:solidFill>
              <a:schemeClr val="accent1"/>
            </a:solidFill>
            <a:round/>
          </a:ln>
          <a:effectLst/>
        </c:spPr>
        <c:marker>
          <c:symbol val="none"/>
        </c:marker>
      </c:pivotFmt>
      <c:pivotFmt>
        <c:idx val="91"/>
        <c:spPr>
          <a:ln w="28575" cap="rnd">
            <a:solidFill>
              <a:schemeClr val="accent1"/>
            </a:solidFill>
            <a:round/>
          </a:ln>
          <a:effectLst/>
        </c:spPr>
        <c:marker>
          <c:symbol val="none"/>
        </c:marker>
      </c:pivotFmt>
      <c:pivotFmt>
        <c:idx val="92"/>
        <c:spPr>
          <a:ln w="28575" cap="rnd">
            <a:solidFill>
              <a:schemeClr val="accent1"/>
            </a:solidFill>
            <a:round/>
          </a:ln>
          <a:effectLst/>
        </c:spPr>
        <c:marker>
          <c:symbol val="none"/>
        </c:marker>
      </c:pivotFmt>
      <c:pivotFmt>
        <c:idx val="93"/>
        <c:spPr>
          <a:ln w="28575" cap="rnd">
            <a:solidFill>
              <a:schemeClr val="accent1"/>
            </a:solidFill>
            <a:round/>
          </a:ln>
          <a:effectLst/>
        </c:spPr>
        <c:marker>
          <c:symbol val="none"/>
        </c:marker>
      </c:pivotFmt>
      <c:pivotFmt>
        <c:idx val="94"/>
        <c:spPr>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ln w="28575" cap="rnd">
            <a:solidFill>
              <a:schemeClr val="accent1"/>
            </a:solidFill>
            <a:round/>
          </a:ln>
          <a:effectLst/>
        </c:spPr>
        <c:marker>
          <c:symbol val="none"/>
        </c:marker>
      </c:pivotFmt>
      <c:pivotFmt>
        <c:idx val="97"/>
        <c:spPr>
          <a:ln w="28575" cap="rnd">
            <a:solidFill>
              <a:schemeClr val="accent1"/>
            </a:solidFill>
            <a:round/>
          </a:ln>
          <a:effectLst/>
        </c:spPr>
        <c:marker>
          <c:symbol val="none"/>
        </c:marker>
      </c:pivotFmt>
      <c:pivotFmt>
        <c:idx val="98"/>
        <c:spPr>
          <a:ln w="28575" cap="rnd">
            <a:solidFill>
              <a:schemeClr val="accent1"/>
            </a:solidFill>
            <a:round/>
          </a:ln>
          <a:effectLst/>
        </c:spPr>
        <c:marker>
          <c:symbol val="none"/>
        </c:marker>
      </c:pivotFmt>
      <c:pivotFmt>
        <c:idx val="99"/>
        <c:spPr>
          <a:ln w="28575" cap="rnd">
            <a:solidFill>
              <a:schemeClr val="accent1"/>
            </a:solidFill>
            <a:round/>
          </a:ln>
          <a:effectLst/>
        </c:spPr>
        <c:marker>
          <c:symbol val="none"/>
        </c:marker>
      </c:pivotFmt>
    </c:pivotFmts>
    <c:plotArea>
      <c:layout/>
      <c:lineChart>
        <c:grouping val="standard"/>
        <c:varyColors val="0"/>
        <c:ser>
          <c:idx val="0"/>
          <c:order val="0"/>
          <c:tx>
            <c:strRef>
              <c:f>'EL DEM - Time'!$E$3:$E$5</c:f>
              <c:strCache>
                <c:ptCount val="1"/>
                <c:pt idx="0">
                  <c:v>DENMARK - RESE</c:v>
                </c:pt>
              </c:strCache>
            </c:strRef>
          </c:tx>
          <c:spPr>
            <a:ln w="28575" cap="rnd">
              <a:solidFill>
                <a:schemeClr val="accent1"/>
              </a:solidFill>
              <a:round/>
            </a:ln>
            <a:effectLst/>
          </c:spPr>
          <c:marker>
            <c:symbol val="none"/>
          </c:marker>
          <c:cat>
            <c:multiLvlStrRef>
              <c:f>'EL DEM - Time'!$B$6:$D$42</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S35</c:v>
                  </c:pt>
                  <c:pt idx="12">
                    <c:v>S12</c:v>
                  </c:pt>
                  <c:pt idx="24">
                    <c:v>S20</c:v>
                  </c:pt>
                </c:lvl>
                <c:lvl>
                  <c:pt idx="0">
                    <c:v>BASE</c:v>
                  </c:pt>
                </c:lvl>
              </c:multiLvlStrCache>
            </c:multiLvlStrRef>
          </c:cat>
          <c:val>
            <c:numRef>
              <c:f>'EL DEM - Time'!$E$6:$E$42</c:f>
              <c:numCache>
                <c:formatCode>General</c:formatCode>
                <c:ptCount val="36"/>
                <c:pt idx="0">
                  <c:v>2496.0013806554102</c:v>
                </c:pt>
                <c:pt idx="1">
                  <c:v>4108.7939364740396</c:v>
                </c:pt>
                <c:pt idx="2">
                  <c:v>4257.0516572960305</c:v>
                </c:pt>
                <c:pt idx="3">
                  <c:v>3401.7693763957604</c:v>
                </c:pt>
                <c:pt idx="4">
                  <c:v>4322.3380396933198</c:v>
                </c:pt>
                <c:pt idx="5">
                  <c:v>2660.27997022411</c:v>
                </c:pt>
                <c:pt idx="6">
                  <c:v>4115.8134549572005</c:v>
                </c:pt>
                <c:pt idx="7">
                  <c:v>3395.3054678984799</c:v>
                </c:pt>
                <c:pt idx="8">
                  <c:v>3588.4782525995897</c:v>
                </c:pt>
                <c:pt idx="9">
                  <c:v>3516.0261736716202</c:v>
                </c:pt>
                <c:pt idx="10">
                  <c:v>2590.00380185111</c:v>
                </c:pt>
                <c:pt idx="11">
                  <c:v>3337.8560965225997</c:v>
                </c:pt>
                <c:pt idx="12">
                  <c:v>2970.4317401831599</c:v>
                </c:pt>
                <c:pt idx="13">
                  <c:v>4696.3658926957496</c:v>
                </c:pt>
                <c:pt idx="14">
                  <c:v>4733.6034367699003</c:v>
                </c:pt>
                <c:pt idx="15">
                  <c:v>3744.0758456761105</c:v>
                </c:pt>
                <c:pt idx="16">
                  <c:v>4563.3952743005902</c:v>
                </c:pt>
                <c:pt idx="17">
                  <c:v>2810.5541103846299</c:v>
                </c:pt>
                <c:pt idx="18">
                  <c:v>4137.6455828280195</c:v>
                </c:pt>
                <c:pt idx="19">
                  <c:v>3713.5786437536899</c:v>
                </c:pt>
                <c:pt idx="20">
                  <c:v>3945.9548818687699</c:v>
                </c:pt>
                <c:pt idx="21">
                  <c:v>3819.3099551436599</c:v>
                </c:pt>
                <c:pt idx="22">
                  <c:v>2767.9891327843297</c:v>
                </c:pt>
                <c:pt idx="23">
                  <c:v>3303.4337992076698</c:v>
                </c:pt>
                <c:pt idx="24">
                  <c:v>2626.5302253330801</c:v>
                </c:pt>
                <c:pt idx="25">
                  <c:v>4147.9973898880098</c:v>
                </c:pt>
                <c:pt idx="26">
                  <c:v>4360.1564487527203</c:v>
                </c:pt>
                <c:pt idx="27">
                  <c:v>3504.0912628723399</c:v>
                </c:pt>
                <c:pt idx="28">
                  <c:v>4523.0553459154899</c:v>
                </c:pt>
                <c:pt idx="29">
                  <c:v>2667.26627248763</c:v>
                </c:pt>
                <c:pt idx="30">
                  <c:v>3424.8018024053499</c:v>
                </c:pt>
                <c:pt idx="31">
                  <c:v>2816.2563882910099</c:v>
                </c:pt>
                <c:pt idx="32">
                  <c:v>3228.8603003335902</c:v>
                </c:pt>
                <c:pt idx="33">
                  <c:v>3418.4428945156396</c:v>
                </c:pt>
                <c:pt idx="34">
                  <c:v>2611.1500641291</c:v>
                </c:pt>
                <c:pt idx="35">
                  <c:v>2956.73433137743</c:v>
                </c:pt>
              </c:numCache>
            </c:numRef>
          </c:val>
          <c:smooth val="0"/>
          <c:extLst>
            <c:ext xmlns:c16="http://schemas.microsoft.com/office/drawing/2014/chart" uri="{C3380CC4-5D6E-409C-BE32-E72D297353CC}">
              <c16:uniqueId val="{00000000-A847-44AA-82B9-3A455AABD4F5}"/>
            </c:ext>
          </c:extLst>
        </c:ser>
        <c:ser>
          <c:idx val="1"/>
          <c:order val="1"/>
          <c:tx>
            <c:strRef>
              <c:f>'EL DEM - Time'!$F$3:$F$5</c:f>
              <c:strCache>
                <c:ptCount val="1"/>
                <c:pt idx="0">
                  <c:v>DENMARK - TRANS</c:v>
                </c:pt>
              </c:strCache>
            </c:strRef>
          </c:tx>
          <c:spPr>
            <a:ln w="28575" cap="rnd">
              <a:solidFill>
                <a:schemeClr val="accent2"/>
              </a:solidFill>
              <a:round/>
            </a:ln>
            <a:effectLst/>
          </c:spPr>
          <c:marker>
            <c:symbol val="none"/>
          </c:marker>
          <c:cat>
            <c:multiLvlStrRef>
              <c:f>'EL DEM - Time'!$B$6:$D$42</c:f>
              <c:multiLvlStrCache>
                <c:ptCount val="36"/>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T061</c:v>
                  </c:pt>
                  <c:pt idx="17">
                    <c:v>T075</c:v>
                  </c:pt>
                  <c:pt idx="18">
                    <c:v>T089</c:v>
                  </c:pt>
                  <c:pt idx="19">
                    <c:v>T103</c:v>
                  </c:pt>
                  <c:pt idx="20">
                    <c:v>T117</c:v>
                  </c:pt>
                  <c:pt idx="21">
                    <c:v>T131</c:v>
                  </c:pt>
                  <c:pt idx="22">
                    <c:v>T145</c:v>
                  </c:pt>
                  <c:pt idx="23">
                    <c:v>T159</c:v>
                  </c:pt>
                  <c:pt idx="24">
                    <c:v>T005</c:v>
                  </c:pt>
                  <c:pt idx="25">
                    <c:v>T019</c:v>
                  </c:pt>
                  <c:pt idx="26">
                    <c:v>T033</c:v>
                  </c:pt>
                  <c:pt idx="27">
                    <c:v>T047</c:v>
                  </c:pt>
                  <c:pt idx="28">
                    <c:v>T061</c:v>
                  </c:pt>
                  <c:pt idx="29">
                    <c:v>T075</c:v>
                  </c:pt>
                  <c:pt idx="30">
                    <c:v>T089</c:v>
                  </c:pt>
                  <c:pt idx="31">
                    <c:v>T103</c:v>
                  </c:pt>
                  <c:pt idx="32">
                    <c:v>T117</c:v>
                  </c:pt>
                  <c:pt idx="33">
                    <c:v>T131</c:v>
                  </c:pt>
                  <c:pt idx="34">
                    <c:v>T145</c:v>
                  </c:pt>
                  <c:pt idx="35">
                    <c:v>T159</c:v>
                  </c:pt>
                </c:lvl>
                <c:lvl>
                  <c:pt idx="0">
                    <c:v>S35</c:v>
                  </c:pt>
                  <c:pt idx="12">
                    <c:v>S12</c:v>
                  </c:pt>
                  <c:pt idx="24">
                    <c:v>S20</c:v>
                  </c:pt>
                </c:lvl>
                <c:lvl>
                  <c:pt idx="0">
                    <c:v>BASE</c:v>
                  </c:pt>
                </c:lvl>
              </c:multiLvlStrCache>
            </c:multiLvlStrRef>
          </c:cat>
          <c:val>
            <c:numRef>
              <c:f>'EL DEM - Time'!$F$6:$F$42</c:f>
              <c:numCache>
                <c:formatCode>General</c:formatCode>
                <c:ptCount val="36"/>
                <c:pt idx="0">
                  <c:v>109.5807974778959</c:v>
                </c:pt>
                <c:pt idx="1">
                  <c:v>179.16430435937968</c:v>
                </c:pt>
                <c:pt idx="2">
                  <c:v>183.9111586890204</c:v>
                </c:pt>
                <c:pt idx="3">
                  <c:v>148.12235650098472</c:v>
                </c:pt>
                <c:pt idx="4">
                  <c:v>188.7155510550715</c:v>
                </c:pt>
                <c:pt idx="5">
                  <c:v>115.95639341741659</c:v>
                </c:pt>
                <c:pt idx="6">
                  <c:v>180.2428995093687</c:v>
                </c:pt>
                <c:pt idx="7">
                  <c:v>147.43203272012022</c:v>
                </c:pt>
                <c:pt idx="8">
                  <c:v>157.41673616093328</c:v>
                </c:pt>
                <c:pt idx="9">
                  <c:v>154.62058378629462</c:v>
                </c:pt>
                <c:pt idx="10">
                  <c:v>114.043013395206</c:v>
                </c:pt>
                <c:pt idx="11">
                  <c:v>146.82870546525231</c:v>
                </c:pt>
                <c:pt idx="12">
                  <c:v>131.15265625898849</c:v>
                </c:pt>
                <c:pt idx="13">
                  <c:v>207.09286341441</c:v>
                </c:pt>
                <c:pt idx="14">
                  <c:v>206.965508152224</c:v>
                </c:pt>
                <c:pt idx="15">
                  <c:v>164.74165017607208</c:v>
                </c:pt>
                <c:pt idx="16">
                  <c:v>199.63519537549109</c:v>
                </c:pt>
                <c:pt idx="17">
                  <c:v>122.7501593616598</c:v>
                </c:pt>
                <c:pt idx="18">
                  <c:v>181.46808300972538</c:v>
                </c:pt>
                <c:pt idx="19">
                  <c:v>161.92572184382618</c:v>
                </c:pt>
                <c:pt idx="20">
                  <c:v>173.79468423986361</c:v>
                </c:pt>
                <c:pt idx="21">
                  <c:v>168.8441436694568</c:v>
                </c:pt>
                <c:pt idx="22">
                  <c:v>122.98138227982599</c:v>
                </c:pt>
                <c:pt idx="23">
                  <c:v>147.01001909102609</c:v>
                </c:pt>
                <c:pt idx="24">
                  <c:v>114.0565102991939</c:v>
                </c:pt>
                <c:pt idx="25">
                  <c:v>181.048563314604</c:v>
                </c:pt>
                <c:pt idx="26">
                  <c:v>188.99411586060779</c:v>
                </c:pt>
                <c:pt idx="27">
                  <c:v>152.6582040160782</c:v>
                </c:pt>
                <c:pt idx="28">
                  <c:v>196.95674498342112</c:v>
                </c:pt>
                <c:pt idx="29">
                  <c:v>118.28737132256271</c:v>
                </c:pt>
                <c:pt idx="30">
                  <c:v>152.09972471460731</c:v>
                </c:pt>
                <c:pt idx="31">
                  <c:v>123.546037911504</c:v>
                </c:pt>
                <c:pt idx="32">
                  <c:v>142.7313760342754</c:v>
                </c:pt>
                <c:pt idx="33">
                  <c:v>150.84498000125231</c:v>
                </c:pt>
                <c:pt idx="34">
                  <c:v>115.4266977603322</c:v>
                </c:pt>
                <c:pt idx="35">
                  <c:v>131.147594919993</c:v>
                </c:pt>
              </c:numCache>
            </c:numRef>
          </c:val>
          <c:smooth val="0"/>
          <c:extLst>
            <c:ext xmlns:c16="http://schemas.microsoft.com/office/drawing/2014/chart" uri="{C3380CC4-5D6E-409C-BE32-E72D297353CC}">
              <c16:uniqueId val="{0000000C-2CDA-4037-9E7E-795264F1209C}"/>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s>
    <c:plotArea>
      <c:layout/>
      <c:barChart>
        <c:barDir val="col"/>
        <c:grouping val="clustered"/>
        <c:varyColors val="0"/>
        <c:ser>
          <c:idx val="0"/>
          <c:order val="0"/>
          <c:tx>
            <c:strRef>
              <c:f>'EL DEM - Annual'!$D$4:$D$6</c:f>
              <c:strCache>
                <c:ptCount val="1"/>
                <c:pt idx="0">
                  <c:v>BASE - RESE</c:v>
                </c:pt>
              </c:strCache>
            </c:strRef>
          </c:tx>
          <c:spPr>
            <a:solidFill>
              <a:schemeClr val="accent1"/>
            </a:solidFill>
            <a:ln>
              <a:noFill/>
            </a:ln>
            <a:effectLst/>
          </c:spPr>
          <c:invertIfNegative val="0"/>
          <c:cat>
            <c:multiLvlStrRef>
              <c:f>'EL DEM - Annual'!$C$7:$C$9</c:f>
              <c:multiLvlStrCache>
                <c:ptCount val="1"/>
                <c:lvl>
                  <c:pt idx="0">
                    <c:v>DENMARK</c:v>
                  </c:pt>
                </c:lvl>
                <c:lvl>
                  <c:pt idx="0">
                    <c:v>2030</c:v>
                  </c:pt>
                </c:lvl>
              </c:multiLvlStrCache>
            </c:multiLvlStrRef>
          </c:cat>
          <c:val>
            <c:numRef>
              <c:f>'EL DEM - Annual'!$D$7:$D$9</c:f>
              <c:numCache>
                <c:formatCode>General</c:formatCode>
                <c:ptCount val="1"/>
                <c:pt idx="0">
                  <c:v>30.971806999999998</c:v>
                </c:pt>
              </c:numCache>
            </c:numRef>
          </c:val>
          <c:extLst>
            <c:ext xmlns:c16="http://schemas.microsoft.com/office/drawing/2014/chart" uri="{C3380CC4-5D6E-409C-BE32-E72D297353CC}">
              <c16:uniqueId val="{00000000-61C2-4C88-B3A0-5995242AC754}"/>
            </c:ext>
          </c:extLst>
        </c:ser>
        <c:ser>
          <c:idx val="1"/>
          <c:order val="1"/>
          <c:tx>
            <c:strRef>
              <c:f>'EL DEM - Annual'!$E$4:$E$6</c:f>
              <c:strCache>
                <c:ptCount val="1"/>
                <c:pt idx="0">
                  <c:v>BASE - TRANS</c:v>
                </c:pt>
              </c:strCache>
            </c:strRef>
          </c:tx>
          <c:spPr>
            <a:solidFill>
              <a:schemeClr val="accent2"/>
            </a:solidFill>
            <a:ln>
              <a:noFill/>
            </a:ln>
            <a:effectLst/>
          </c:spPr>
          <c:invertIfNegative val="0"/>
          <c:cat>
            <c:multiLvlStrRef>
              <c:f>'EL DEM - Annual'!$C$7:$C$9</c:f>
              <c:multiLvlStrCache>
                <c:ptCount val="1"/>
                <c:lvl>
                  <c:pt idx="0">
                    <c:v>DENMARK</c:v>
                  </c:pt>
                </c:lvl>
                <c:lvl>
                  <c:pt idx="0">
                    <c:v>2030</c:v>
                  </c:pt>
                </c:lvl>
              </c:multiLvlStrCache>
            </c:multiLvlStrRef>
          </c:cat>
          <c:val>
            <c:numRef>
              <c:f>'EL DEM - Annual'!$E$7:$E$9</c:f>
              <c:numCache>
                <c:formatCode>General</c:formatCode>
                <c:ptCount val="1"/>
                <c:pt idx="0">
                  <c:v>1.3583339999999999</c:v>
                </c:pt>
              </c:numCache>
            </c:numRef>
          </c:val>
          <c:extLst>
            <c:ext xmlns:c16="http://schemas.microsoft.com/office/drawing/2014/chart" uri="{C3380CC4-5D6E-409C-BE32-E72D297353CC}">
              <c16:uniqueId val="{00000000-F32A-44F6-BC76-55009F9A94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DEM - Time!PivotTable1</c:name>
    <c:fmtId val="1"/>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
        <c:idx val="32"/>
        <c:spPr>
          <a:ln w="28575" cap="rnd">
            <a:solidFill>
              <a:schemeClr val="accent1"/>
            </a:solidFill>
            <a:round/>
          </a:ln>
          <a:effectLst/>
        </c:spPr>
        <c:marker>
          <c:symbol val="none"/>
        </c:marker>
      </c:pivotFmt>
    </c:pivotFmts>
    <c:plotArea>
      <c:layout/>
      <c:lineChart>
        <c:grouping val="standard"/>
        <c:varyColors val="0"/>
        <c:ser>
          <c:idx val="0"/>
          <c:order val="0"/>
          <c:tx>
            <c:strRef>
              <c:f>'HE DEM - Time'!$E$3:$E$5</c:f>
              <c:strCache>
                <c:ptCount val="1"/>
                <c:pt idx="0">
                  <c:v>DENMARK - RESH</c:v>
                </c:pt>
              </c:strCache>
            </c:strRef>
          </c:tx>
          <c:spPr>
            <a:ln w="28575" cap="rnd">
              <a:solidFill>
                <a:schemeClr val="accent1"/>
              </a:solidFill>
              <a:round/>
            </a:ln>
            <a:effectLst/>
          </c:spPr>
          <c:marker>
            <c:symbol val="none"/>
          </c:marker>
          <c:cat>
            <c:multiLvlStrRef>
              <c:f>'HE DEM - Time'!$B$6:$D$6</c:f>
              <c:multiLvlStrCache>
                <c:ptCount val="1"/>
                <c:lvl>
                  <c:pt idx="0">
                    <c:v>T159</c:v>
                  </c:pt>
                </c:lvl>
                <c:lvl>
                  <c:pt idx="0">
                    <c:v>S35</c:v>
                  </c:pt>
                </c:lvl>
                <c:lvl>
                  <c:pt idx="0">
                    <c:v>2030</c:v>
                  </c:pt>
                </c:lvl>
              </c:multiLvlStrCache>
            </c:multiLvlStrRef>
          </c:cat>
          <c:val>
            <c:numRef>
              <c:f>'HE DEM - Time'!$E$6</c:f>
              <c:numCache>
                <c:formatCode>General</c:formatCode>
                <c:ptCount val="1"/>
                <c:pt idx="0">
                  <c:v>23065755.899999995</c:v>
                </c:pt>
              </c:numCache>
            </c:numRef>
          </c:val>
          <c:smooth val="0"/>
          <c:extLst>
            <c:ext xmlns:c16="http://schemas.microsoft.com/office/drawing/2014/chart" uri="{C3380CC4-5D6E-409C-BE32-E72D297353CC}">
              <c16:uniqueId val="{00000000-0A86-453D-99D5-05CFFBA166F3}"/>
            </c:ext>
          </c:extLst>
        </c:ser>
        <c:ser>
          <c:idx val="1"/>
          <c:order val="1"/>
          <c:tx>
            <c:strRef>
              <c:f>'HE DEM - Time'!$F$3:$F$5</c:f>
              <c:strCache>
                <c:ptCount val="1"/>
                <c:pt idx="0">
                  <c:v>DENMARK - PHL</c:v>
                </c:pt>
              </c:strCache>
            </c:strRef>
          </c:tx>
          <c:spPr>
            <a:ln w="28575" cap="rnd">
              <a:solidFill>
                <a:schemeClr val="accent1"/>
              </a:solidFill>
              <a:round/>
            </a:ln>
            <a:effectLst/>
          </c:spPr>
          <c:marker>
            <c:symbol val="none"/>
          </c:marker>
          <c:cat>
            <c:multiLvlStrRef>
              <c:f>'HE DEM - Time'!$B$6:$D$6</c:f>
              <c:multiLvlStrCache>
                <c:ptCount val="1"/>
                <c:lvl>
                  <c:pt idx="0">
                    <c:v>T159</c:v>
                  </c:pt>
                </c:lvl>
                <c:lvl>
                  <c:pt idx="0">
                    <c:v>S35</c:v>
                  </c:pt>
                </c:lvl>
                <c:lvl>
                  <c:pt idx="0">
                    <c:v>2030</c:v>
                  </c:pt>
                </c:lvl>
              </c:multiLvlStrCache>
            </c:multiLvlStrRef>
          </c:cat>
          <c:val>
            <c:numRef>
              <c:f>'HE DEM - Time'!$F$6</c:f>
              <c:numCache>
                <c:formatCode>General</c:formatCode>
                <c:ptCount val="1"/>
                <c:pt idx="0">
                  <c:v>12509961.1</c:v>
                </c:pt>
              </c:numCache>
            </c:numRef>
          </c:val>
          <c:smooth val="0"/>
          <c:extLst>
            <c:ext xmlns:c16="http://schemas.microsoft.com/office/drawing/2014/chart" uri="{C3380CC4-5D6E-409C-BE32-E72D297353CC}">
              <c16:uniqueId val="{00000001-0A86-453D-99D5-05CFFBA166F3}"/>
            </c:ext>
          </c:extLst>
        </c:ser>
        <c:ser>
          <c:idx val="2"/>
          <c:order val="2"/>
          <c:tx>
            <c:strRef>
              <c:f>'HE DEM - Time'!$G$3:$G$5</c:f>
              <c:strCache>
                <c:ptCount val="1"/>
                <c:pt idx="0">
                  <c:v>DENMARK - SH</c:v>
                </c:pt>
              </c:strCache>
            </c:strRef>
          </c:tx>
          <c:spPr>
            <a:ln w="28575" cap="rnd">
              <a:solidFill>
                <a:schemeClr val="accent1"/>
              </a:solidFill>
              <a:round/>
            </a:ln>
            <a:effectLst/>
          </c:spPr>
          <c:marker>
            <c:symbol val="none"/>
          </c:marker>
          <c:cat>
            <c:multiLvlStrRef>
              <c:f>'HE DEM - Time'!$B$6:$D$6</c:f>
              <c:multiLvlStrCache>
                <c:ptCount val="1"/>
                <c:lvl>
                  <c:pt idx="0">
                    <c:v>T159</c:v>
                  </c:pt>
                </c:lvl>
                <c:lvl>
                  <c:pt idx="0">
                    <c:v>S35</c:v>
                  </c:pt>
                </c:lvl>
                <c:lvl>
                  <c:pt idx="0">
                    <c:v>2030</c:v>
                  </c:pt>
                </c:lvl>
              </c:multiLvlStrCache>
            </c:multiLvlStrRef>
          </c:cat>
          <c:val>
            <c:numRef>
              <c:f>'HE DEM - Time'!$G$6</c:f>
              <c:numCache>
                <c:formatCode>General</c:formatCode>
                <c:ptCount val="1"/>
                <c:pt idx="0">
                  <c:v>9565971.5999999996</c:v>
                </c:pt>
              </c:numCache>
            </c:numRef>
          </c:val>
          <c:smooth val="0"/>
          <c:extLst>
            <c:ext xmlns:c16="http://schemas.microsoft.com/office/drawing/2014/chart" uri="{C3380CC4-5D6E-409C-BE32-E72D297353CC}">
              <c16:uniqueId val="{00000002-0A86-453D-99D5-05CFFBA166F3}"/>
            </c:ext>
          </c:extLst>
        </c:ser>
        <c:ser>
          <c:idx val="3"/>
          <c:order val="3"/>
          <c:tx>
            <c:strRef>
              <c:f>'HE DEM - Time'!$H$3:$H$5</c:f>
              <c:strCache>
                <c:ptCount val="1"/>
                <c:pt idx="0">
                  <c:v>DENMARK - PHH</c:v>
                </c:pt>
              </c:strCache>
            </c:strRef>
          </c:tx>
          <c:spPr>
            <a:ln w="28575" cap="rnd">
              <a:solidFill>
                <a:schemeClr val="accent1"/>
              </a:solidFill>
              <a:round/>
            </a:ln>
            <a:effectLst/>
          </c:spPr>
          <c:marker>
            <c:symbol val="none"/>
          </c:marker>
          <c:cat>
            <c:multiLvlStrRef>
              <c:f>'HE DEM - Time'!$B$6:$D$6</c:f>
              <c:multiLvlStrCache>
                <c:ptCount val="1"/>
                <c:lvl>
                  <c:pt idx="0">
                    <c:v>T159</c:v>
                  </c:pt>
                </c:lvl>
                <c:lvl>
                  <c:pt idx="0">
                    <c:v>S35</c:v>
                  </c:pt>
                </c:lvl>
                <c:lvl>
                  <c:pt idx="0">
                    <c:v>2030</c:v>
                  </c:pt>
                </c:lvl>
              </c:multiLvlStrCache>
            </c:multiLvlStrRef>
          </c:cat>
          <c:val>
            <c:numRef>
              <c:f>'HE DEM - Time'!$H$6</c:f>
              <c:numCache>
                <c:formatCode>General</c:formatCode>
                <c:ptCount val="1"/>
                <c:pt idx="0">
                  <c:v>3765850.7800000003</c:v>
                </c:pt>
              </c:numCache>
            </c:numRef>
          </c:val>
          <c:smooth val="0"/>
          <c:extLst>
            <c:ext xmlns:c16="http://schemas.microsoft.com/office/drawing/2014/chart" uri="{C3380CC4-5D6E-409C-BE32-E72D297353CC}">
              <c16:uniqueId val="{00000003-0A86-453D-99D5-05CFFBA166F3}"/>
            </c:ext>
          </c:extLst>
        </c:ser>
        <c:dLbls>
          <c:showLegendKey val="0"/>
          <c:showVal val="0"/>
          <c:showCatName val="0"/>
          <c:showSerName val="0"/>
          <c:showPercent val="0"/>
          <c:showBubbleSize val="0"/>
        </c:dLbls>
        <c:smooth val="0"/>
        <c:axId val="474132640"/>
        <c:axId val="474133888"/>
      </c:lineChart>
      <c:catAx>
        <c:axId val="47413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474133888"/>
        <c:crosses val="autoZero"/>
        <c:auto val="1"/>
        <c:lblAlgn val="ctr"/>
        <c:lblOffset val="100"/>
        <c:noMultiLvlLbl val="0"/>
      </c:catAx>
      <c:valAx>
        <c:axId val="47413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47413264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tool.xlsm]Fuelprice!PivotTable3</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ln w="28575" cap="rnd">
            <a:solidFill>
              <a:schemeClr val="accent1"/>
            </a:solidFill>
            <a:round/>
          </a:ln>
          <a:effectLst/>
        </c:spPr>
        <c:marker>
          <c:symbol val="none"/>
        </c:marker>
      </c:pivotFmt>
      <c:pivotFmt>
        <c:idx val="105"/>
        <c:spPr>
          <a:ln w="28575" cap="rnd">
            <a:solidFill>
              <a:schemeClr val="accent1"/>
            </a:solidFill>
            <a:round/>
          </a:ln>
          <a:effectLst/>
        </c:spPr>
        <c:marker>
          <c:symbol val="none"/>
        </c:marker>
      </c:pivotFmt>
      <c:pivotFmt>
        <c:idx val="106"/>
        <c:spPr>
          <a:ln w="28575" cap="rnd">
            <a:solidFill>
              <a:schemeClr val="accent1"/>
            </a:solidFill>
            <a:round/>
          </a:ln>
          <a:effectLst/>
        </c:spPr>
        <c:marker>
          <c:symbol val="none"/>
        </c:marker>
      </c:pivotFmt>
      <c:pivotFmt>
        <c:idx val="107"/>
        <c:spPr>
          <a:ln w="28575" cap="rnd">
            <a:solidFill>
              <a:schemeClr val="accent1"/>
            </a:solidFill>
            <a:round/>
          </a:ln>
          <a:effectLst/>
        </c:spPr>
        <c:marker>
          <c:symbol val="none"/>
        </c:marker>
      </c:pivotFmt>
      <c:pivotFmt>
        <c:idx val="108"/>
        <c:spPr>
          <a:ln w="28575" cap="rnd">
            <a:solidFill>
              <a:schemeClr val="accent1"/>
            </a:solidFill>
            <a:round/>
          </a:ln>
          <a:effectLst/>
        </c:spPr>
        <c:marker>
          <c:symbol val="none"/>
        </c:marker>
      </c:pivotFmt>
    </c:pivotFmts>
    <c:plotArea>
      <c:layout/>
      <c:lineChart>
        <c:grouping val="standard"/>
        <c:varyColors val="0"/>
        <c:ser>
          <c:idx val="0"/>
          <c:order val="0"/>
          <c:tx>
            <c:strRef>
              <c:f>Fuelprice!$C$3:$C$5</c:f>
              <c:strCache>
                <c:ptCount val="1"/>
                <c:pt idx="0">
                  <c:v>COAL - ESTONIA</c:v>
                </c:pt>
              </c:strCache>
            </c:strRef>
          </c:tx>
          <c:spPr>
            <a:ln w="28575" cap="rnd">
              <a:solidFill>
                <a:schemeClr val="accent1"/>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Fuelprice!$C$6:$C$14</c:f>
              <c:numCache>
                <c:formatCode>General</c:formatCode>
                <c:ptCount val="9"/>
                <c:pt idx="0">
                  <c:v>8.1139884009941898</c:v>
                </c:pt>
                <c:pt idx="1">
                  <c:v>8.1139884009941898</c:v>
                </c:pt>
                <c:pt idx="2">
                  <c:v>8.1139884009941898</c:v>
                </c:pt>
                <c:pt idx="3">
                  <c:v>7.4084241922120802</c:v>
                </c:pt>
                <c:pt idx="4">
                  <c:v>15.169630488815196</c:v>
                </c:pt>
                <c:pt idx="5">
                  <c:v>10.759854183927102</c:v>
                </c:pt>
                <c:pt idx="6">
                  <c:v>6.3500778790389409</c:v>
                </c:pt>
                <c:pt idx="7">
                  <c:v>6.3500778790389409</c:v>
                </c:pt>
                <c:pt idx="8">
                  <c:v>6.3500778790389409</c:v>
                </c:pt>
              </c:numCache>
            </c:numRef>
          </c:val>
          <c:smooth val="0"/>
          <c:extLst>
            <c:ext xmlns:c16="http://schemas.microsoft.com/office/drawing/2014/chart" uri="{C3380CC4-5D6E-409C-BE32-E72D297353CC}">
              <c16:uniqueId val="{00000000-7F4B-4A64-AD8C-4674BA14ECEF}"/>
            </c:ext>
          </c:extLst>
        </c:ser>
        <c:ser>
          <c:idx val="1"/>
          <c:order val="1"/>
          <c:tx>
            <c:strRef>
              <c:f>Fuelprice!$D$3:$D$5</c:f>
              <c:strCache>
                <c:ptCount val="1"/>
                <c:pt idx="0">
                  <c:v>NATGAS - ESTONIA</c:v>
                </c:pt>
              </c:strCache>
            </c:strRef>
          </c:tx>
          <c:spPr>
            <a:ln w="28575" cap="rnd">
              <a:solidFill>
                <a:schemeClr val="accent2"/>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Fuelprice!$D$6:$D$14</c:f>
              <c:numCache>
                <c:formatCode>General</c:formatCode>
                <c:ptCount val="9"/>
                <c:pt idx="0">
                  <c:v>21.519708367854204</c:v>
                </c:pt>
                <c:pt idx="1">
                  <c:v>21.519708367854204</c:v>
                </c:pt>
                <c:pt idx="2">
                  <c:v>21.519708367854204</c:v>
                </c:pt>
                <c:pt idx="3">
                  <c:v>24.694747307373692</c:v>
                </c:pt>
                <c:pt idx="4">
                  <c:v>24.341965202982603</c:v>
                </c:pt>
                <c:pt idx="5">
                  <c:v>26.987830985915497</c:v>
                </c:pt>
                <c:pt idx="6">
                  <c:v>29.633696768848395</c:v>
                </c:pt>
                <c:pt idx="7">
                  <c:v>29.633696768848395</c:v>
                </c:pt>
                <c:pt idx="8">
                  <c:v>29.633696768848395</c:v>
                </c:pt>
              </c:numCache>
            </c:numRef>
          </c:val>
          <c:smooth val="0"/>
          <c:extLst>
            <c:ext xmlns:c16="http://schemas.microsoft.com/office/drawing/2014/chart" uri="{C3380CC4-5D6E-409C-BE32-E72D297353CC}">
              <c16:uniqueId val="{00000001-7F4B-4A64-AD8C-4674BA14ECEF}"/>
            </c:ext>
          </c:extLst>
        </c:ser>
        <c:ser>
          <c:idx val="2"/>
          <c:order val="2"/>
          <c:tx>
            <c:strRef>
              <c:f>Fuelprice!$E$3:$E$5</c:f>
              <c:strCache>
                <c:ptCount val="1"/>
                <c:pt idx="0">
                  <c:v>WOOD - ESTONIA</c:v>
                </c:pt>
              </c:strCache>
            </c:strRef>
          </c:tx>
          <c:spPr>
            <a:ln w="28575" cap="rnd">
              <a:solidFill>
                <a:schemeClr val="accent3"/>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Fuelprice!$E$6:$E$14</c:f>
              <c:numCache>
                <c:formatCode>General</c:formatCode>
                <c:ptCount val="9"/>
                <c:pt idx="0">
                  <c:v>20.016102573453797</c:v>
                </c:pt>
                <c:pt idx="1">
                  <c:v>20.016102573453797</c:v>
                </c:pt>
                <c:pt idx="2">
                  <c:v>19.174223581093905</c:v>
                </c:pt>
                <c:pt idx="3">
                  <c:v>19.174223581093905</c:v>
                </c:pt>
                <c:pt idx="4">
                  <c:v>19.174223581093905</c:v>
                </c:pt>
                <c:pt idx="5">
                  <c:v>19.174223581093905</c:v>
                </c:pt>
                <c:pt idx="6">
                  <c:v>19.174223581093905</c:v>
                </c:pt>
                <c:pt idx="7">
                  <c:v>19.174223581093905</c:v>
                </c:pt>
                <c:pt idx="8">
                  <c:v>19.174223581093905</c:v>
                </c:pt>
              </c:numCache>
            </c:numRef>
          </c:val>
          <c:smooth val="0"/>
          <c:extLst>
            <c:ext xmlns:c16="http://schemas.microsoft.com/office/drawing/2014/chart" uri="{C3380CC4-5D6E-409C-BE32-E72D297353CC}">
              <c16:uniqueId val="{00000002-7F4B-4A64-AD8C-4674BA14ECEF}"/>
            </c:ext>
          </c:extLst>
        </c:ser>
        <c:ser>
          <c:idx val="3"/>
          <c:order val="3"/>
          <c:tx>
            <c:strRef>
              <c:f>Fuelprice!$F$3:$F$5</c:f>
              <c:strCache>
                <c:ptCount val="1"/>
                <c:pt idx="0">
                  <c:v>WOODCHIPS - ESTONIA</c:v>
                </c:pt>
              </c:strCache>
            </c:strRef>
          </c:tx>
          <c:spPr>
            <a:ln w="28575" cap="rnd">
              <a:solidFill>
                <a:schemeClr val="accent4"/>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Fuelprice!$F$6:$F$14</c:f>
              <c:numCache>
                <c:formatCode>General</c:formatCode>
                <c:ptCount val="9"/>
                <c:pt idx="0">
                  <c:v>22.356874337357308</c:v>
                </c:pt>
                <c:pt idx="1">
                  <c:v>22.356874337357308</c:v>
                </c:pt>
                <c:pt idx="2">
                  <c:v>22.356874337357308</c:v>
                </c:pt>
                <c:pt idx="3">
                  <c:v>23.613931806316799</c:v>
                </c:pt>
                <c:pt idx="4">
                  <c:v>25.064747068787096</c:v>
                </c:pt>
                <c:pt idx="5">
                  <c:v>25.665295301292193</c:v>
                </c:pt>
                <c:pt idx="6">
                  <c:v>26.209507293842595</c:v>
                </c:pt>
                <c:pt idx="7">
                  <c:v>26.209507293842595</c:v>
                </c:pt>
                <c:pt idx="8">
                  <c:v>26.209507293842595</c:v>
                </c:pt>
              </c:numCache>
            </c:numRef>
          </c:val>
          <c:smooth val="0"/>
          <c:extLst>
            <c:ext xmlns:c16="http://schemas.microsoft.com/office/drawing/2014/chart" uri="{C3380CC4-5D6E-409C-BE32-E72D297353CC}">
              <c16:uniqueId val="{00000003-7F4B-4A64-AD8C-4674BA14ECEF}"/>
            </c:ext>
          </c:extLst>
        </c:ser>
        <c:ser>
          <c:idx val="4"/>
          <c:order val="4"/>
          <c:tx>
            <c:strRef>
              <c:f>Fuelprice!$G$3:$G$5</c:f>
              <c:strCache>
                <c:ptCount val="1"/>
                <c:pt idx="0">
                  <c:v>WOODPELLETS - ESTONIA</c:v>
                </c:pt>
              </c:strCache>
            </c:strRef>
          </c:tx>
          <c:spPr>
            <a:ln w="28575" cap="rnd">
              <a:solidFill>
                <a:schemeClr val="accent5"/>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Fuelprice!$G$6:$G$14</c:f>
              <c:numCache>
                <c:formatCode>General</c:formatCode>
                <c:ptCount val="9"/>
                <c:pt idx="0">
                  <c:v>29.665103238765496</c:v>
                </c:pt>
                <c:pt idx="1">
                  <c:v>29.665103238765496</c:v>
                </c:pt>
                <c:pt idx="2">
                  <c:v>29.665103238765496</c:v>
                </c:pt>
                <c:pt idx="3">
                  <c:v>30.869217554900899</c:v>
                </c:pt>
                <c:pt idx="4">
                  <c:v>32.516643167392601</c:v>
                </c:pt>
                <c:pt idx="5">
                  <c:v>32.971098611263095</c:v>
                </c:pt>
                <c:pt idx="6">
                  <c:v>33.320887798496699</c:v>
                </c:pt>
                <c:pt idx="7">
                  <c:v>33.320887798496699</c:v>
                </c:pt>
                <c:pt idx="8">
                  <c:v>33.320887798496699</c:v>
                </c:pt>
              </c:numCache>
            </c:numRef>
          </c:val>
          <c:smooth val="0"/>
          <c:extLst>
            <c:ext xmlns:c16="http://schemas.microsoft.com/office/drawing/2014/chart" uri="{C3380CC4-5D6E-409C-BE32-E72D297353CC}">
              <c16:uniqueId val="{00000000-71BF-4D6C-A2F8-432B7A332539}"/>
            </c:ext>
          </c:extLst>
        </c:ser>
        <c:ser>
          <c:idx val="5"/>
          <c:order val="5"/>
          <c:tx>
            <c:strRef>
              <c:f>Fuelprice!$H$3:$H$5</c:f>
              <c:strCache>
                <c:ptCount val="1"/>
                <c:pt idx="0">
                  <c:v>WOODWASTE - ESTONIA</c:v>
                </c:pt>
              </c:strCache>
            </c:strRef>
          </c:tx>
          <c:spPr>
            <a:ln w="28575" cap="rnd">
              <a:solidFill>
                <a:schemeClr val="accent6"/>
              </a:solidFill>
              <a:round/>
            </a:ln>
            <a:effectLst/>
          </c:spPr>
          <c:marker>
            <c:symbol val="none"/>
          </c:marker>
          <c:cat>
            <c:strRef>
              <c:f>Fuelprice!$B$6:$B$14</c:f>
              <c:strCache>
                <c:ptCount val="9"/>
                <c:pt idx="0">
                  <c:v>2015</c:v>
                </c:pt>
                <c:pt idx="1">
                  <c:v>2016</c:v>
                </c:pt>
                <c:pt idx="2">
                  <c:v>2020</c:v>
                </c:pt>
                <c:pt idx="3">
                  <c:v>2025</c:v>
                </c:pt>
                <c:pt idx="4">
                  <c:v>2030</c:v>
                </c:pt>
                <c:pt idx="5">
                  <c:v>2035</c:v>
                </c:pt>
                <c:pt idx="6">
                  <c:v>2040</c:v>
                </c:pt>
                <c:pt idx="7">
                  <c:v>2045</c:v>
                </c:pt>
                <c:pt idx="8">
                  <c:v>2050</c:v>
                </c:pt>
              </c:strCache>
            </c:strRef>
          </c:cat>
          <c:val>
            <c:numRef>
              <c:f>Fuelprice!$H$6:$H$14</c:f>
              <c:numCache>
                <c:formatCode>General</c:formatCode>
                <c:ptCount val="9"/>
                <c:pt idx="0">
                  <c:v>21.049332228666096</c:v>
                </c:pt>
                <c:pt idx="1">
                  <c:v>21.049332228666096</c:v>
                </c:pt>
                <c:pt idx="2">
                  <c:v>20.163995508318802</c:v>
                </c:pt>
                <c:pt idx="3">
                  <c:v>20.163995508318802</c:v>
                </c:pt>
                <c:pt idx="4">
                  <c:v>20.163995508318802</c:v>
                </c:pt>
                <c:pt idx="5">
                  <c:v>20.163995508318802</c:v>
                </c:pt>
                <c:pt idx="6">
                  <c:v>20.163995508318802</c:v>
                </c:pt>
                <c:pt idx="7">
                  <c:v>20.163995508318802</c:v>
                </c:pt>
                <c:pt idx="8">
                  <c:v>20.163995508318802</c:v>
                </c:pt>
              </c:numCache>
            </c:numRef>
          </c:val>
          <c:smooth val="0"/>
          <c:extLst>
            <c:ext xmlns:c16="http://schemas.microsoft.com/office/drawing/2014/chart" uri="{C3380CC4-5D6E-409C-BE32-E72D297353CC}">
              <c16:uniqueId val="{00000001-71BF-4D6C-A2F8-432B7A332539}"/>
            </c:ext>
          </c:extLst>
        </c:ser>
        <c:dLbls>
          <c:showLegendKey val="0"/>
          <c:showVal val="0"/>
          <c:showCatName val="0"/>
          <c:showSerName val="0"/>
          <c:showPercent val="0"/>
          <c:showBubbleSize val="0"/>
        </c:dLbls>
        <c:smooth val="0"/>
        <c:axId val="1309944847"/>
        <c:axId val="1309941935"/>
      </c:lineChart>
      <c:catAx>
        <c:axId val="130994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09941935"/>
        <c:crosses val="autoZero"/>
        <c:auto val="1"/>
        <c:lblAlgn val="ctr"/>
        <c:lblOffset val="100"/>
        <c:noMultiLvlLbl val="0"/>
      </c:catAx>
      <c:valAx>
        <c:axId val="1309941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0994484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tool.xlsm]AO - HE TRANS!PivotTable9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'AO - HE TRANS'!$F$5:$F$6</c:f>
              <c:strCache>
                <c:ptCount val="1"/>
                <c:pt idx="0">
                  <c:v>DK1_NoDH_PHH</c:v>
                </c:pt>
              </c:strCache>
            </c:strRef>
          </c:tx>
          <c:spPr>
            <a:ln w="28575" cap="rnd">
              <a:solidFill>
                <a:schemeClr val="accent1"/>
              </a:solidFill>
              <a:round/>
            </a:ln>
            <a:effectLst/>
          </c:spPr>
          <c:marker>
            <c:symbol val="none"/>
          </c:marker>
          <c:cat>
            <c:multiLvlStrRef>
              <c:f>'AO - HE TRANS'!$C$7:$E$41</c:f>
              <c:multiLvlStrCache>
                <c:ptCount val="34"/>
                <c:lvl>
                  <c:pt idx="0">
                    <c:v>T005</c:v>
                  </c:pt>
                  <c:pt idx="1">
                    <c:v>T019</c:v>
                  </c:pt>
                  <c:pt idx="2">
                    <c:v>T033</c:v>
                  </c:pt>
                  <c:pt idx="3">
                    <c:v>T047</c:v>
                  </c:pt>
                  <c:pt idx="4">
                    <c:v>T061</c:v>
                  </c:pt>
                  <c:pt idx="5">
                    <c:v>T075</c:v>
                  </c:pt>
                  <c:pt idx="6">
                    <c:v>T089</c:v>
                  </c:pt>
                  <c:pt idx="7">
                    <c:v>T103</c:v>
                  </c:pt>
                  <c:pt idx="8">
                    <c:v>T117</c:v>
                  </c:pt>
                  <c:pt idx="9">
                    <c:v>T131</c:v>
                  </c:pt>
                  <c:pt idx="10">
                    <c:v>T145</c:v>
                  </c:pt>
                  <c:pt idx="11">
                    <c:v>T159</c:v>
                  </c:pt>
                  <c:pt idx="12">
                    <c:v>T005</c:v>
                  </c:pt>
                  <c:pt idx="13">
                    <c:v>T019</c:v>
                  </c:pt>
                  <c:pt idx="14">
                    <c:v>T033</c:v>
                  </c:pt>
                  <c:pt idx="15">
                    <c:v>T047</c:v>
                  </c:pt>
                  <c:pt idx="16">
                    <c:v>T075</c:v>
                  </c:pt>
                  <c:pt idx="17">
                    <c:v>T103</c:v>
                  </c:pt>
                  <c:pt idx="18">
                    <c:v>T117</c:v>
                  </c:pt>
                  <c:pt idx="19">
                    <c:v>T131</c:v>
                  </c:pt>
                  <c:pt idx="20">
                    <c:v>T145</c:v>
                  </c:pt>
                  <c:pt idx="21">
                    <c:v>T159</c:v>
                  </c:pt>
                  <c:pt idx="22">
                    <c:v>T005</c:v>
                  </c:pt>
                  <c:pt idx="23">
                    <c:v>T019</c:v>
                  </c:pt>
                  <c:pt idx="24">
                    <c:v>T033</c:v>
                  </c:pt>
                  <c:pt idx="25">
                    <c:v>T047</c:v>
                  </c:pt>
                  <c:pt idx="26">
                    <c:v>T061</c:v>
                  </c:pt>
                  <c:pt idx="27">
                    <c:v>T075</c:v>
                  </c:pt>
                  <c:pt idx="28">
                    <c:v>T089</c:v>
                  </c:pt>
                  <c:pt idx="29">
                    <c:v>T103</c:v>
                  </c:pt>
                  <c:pt idx="30">
                    <c:v>T117</c:v>
                  </c:pt>
                  <c:pt idx="31">
                    <c:v>T131</c:v>
                  </c:pt>
                  <c:pt idx="32">
                    <c:v>T145</c:v>
                  </c:pt>
                  <c:pt idx="33">
                    <c:v>T159</c:v>
                  </c:pt>
                </c:lvl>
                <c:lvl>
                  <c:pt idx="0">
                    <c:v>S12</c:v>
                  </c:pt>
                  <c:pt idx="12">
                    <c:v>S20</c:v>
                  </c:pt>
                  <c:pt idx="22">
                    <c:v>S35</c:v>
                  </c:pt>
                </c:lvl>
                <c:lvl>
                  <c:pt idx="0">
                    <c:v>DK1_NoDH_PHL</c:v>
                  </c:pt>
                </c:lvl>
              </c:multiLvlStrCache>
            </c:multiLvlStrRef>
          </c:cat>
          <c:val>
            <c:numRef>
              <c:f>'AO - HE TRANS'!$F$7:$F$41</c:f>
              <c:numCache>
                <c:formatCode>General</c:formatCode>
                <c:ptCount val="34"/>
                <c:pt idx="0">
                  <c:v>116258.263974524</c:v>
                </c:pt>
                <c:pt idx="1">
                  <c:v>123501.166906739</c:v>
                </c:pt>
                <c:pt idx="2">
                  <c:v>144822.05701212099</c:v>
                </c:pt>
                <c:pt idx="3">
                  <c:v>124309.04158685</c:v>
                </c:pt>
                <c:pt idx="4">
                  <c:v>119672.408405265</c:v>
                </c:pt>
                <c:pt idx="5">
                  <c:v>143439.45783812701</c:v>
                </c:pt>
                <c:pt idx="6">
                  <c:v>119448.73291969</c:v>
                </c:pt>
                <c:pt idx="7">
                  <c:v>152809.84554481899</c:v>
                </c:pt>
                <c:pt idx="8">
                  <c:v>133548.47001494499</c:v>
                </c:pt>
                <c:pt idx="9">
                  <c:v>104743.069499551</c:v>
                </c:pt>
                <c:pt idx="10">
                  <c:v>106838.436656815</c:v>
                </c:pt>
                <c:pt idx="11">
                  <c:v>104772.677425756</c:v>
                </c:pt>
                <c:pt idx="12">
                  <c:v>44539.805928590198</c:v>
                </c:pt>
                <c:pt idx="13">
                  <c:v>72462.025120827806</c:v>
                </c:pt>
                <c:pt idx="14">
                  <c:v>80245.433672926301</c:v>
                </c:pt>
                <c:pt idx="15">
                  <c:v>71838.500733243098</c:v>
                </c:pt>
                <c:pt idx="16">
                  <c:v>19502.176136485901</c:v>
                </c:pt>
                <c:pt idx="17">
                  <c:v>54794.052115455597</c:v>
                </c:pt>
                <c:pt idx="18">
                  <c:v>50953.311528746402</c:v>
                </c:pt>
                <c:pt idx="19">
                  <c:v>37181.992973800501</c:v>
                </c:pt>
                <c:pt idx="20">
                  <c:v>43429.065310513703</c:v>
                </c:pt>
                <c:pt idx="21">
                  <c:v>21960.123746449401</c:v>
                </c:pt>
                <c:pt idx="22">
                  <c:v>28909.663956395401</c:v>
                </c:pt>
                <c:pt idx="23">
                  <c:v>26503.385304769101</c:v>
                </c:pt>
                <c:pt idx="24">
                  <c:v>26521.690658584899</c:v>
                </c:pt>
                <c:pt idx="25">
                  <c:v>21809.117008150199</c:v>
                </c:pt>
                <c:pt idx="26">
                  <c:v>18531.7423433207</c:v>
                </c:pt>
                <c:pt idx="27">
                  <c:v>25720.945073984101</c:v>
                </c:pt>
                <c:pt idx="28">
                  <c:v>20739.358884814799</c:v>
                </c:pt>
                <c:pt idx="29">
                  <c:v>29666.981678326501</c:v>
                </c:pt>
                <c:pt idx="30">
                  <c:v>24461.754603072</c:v>
                </c:pt>
                <c:pt idx="31">
                  <c:v>18264.345454119299</c:v>
                </c:pt>
                <c:pt idx="32">
                  <c:v>24399.618301593</c:v>
                </c:pt>
                <c:pt idx="33">
                  <c:v>28051.445536376799</c:v>
                </c:pt>
              </c:numCache>
            </c:numRef>
          </c:val>
          <c:smooth val="0"/>
          <c:extLst>
            <c:ext xmlns:c16="http://schemas.microsoft.com/office/drawing/2014/chart" uri="{C3380CC4-5D6E-409C-BE32-E72D297353CC}">
              <c16:uniqueId val="{00000000-B282-4733-BD39-E9CF1658CDDB}"/>
            </c:ext>
          </c:extLst>
        </c:ser>
        <c:dLbls>
          <c:showLegendKey val="0"/>
          <c:showVal val="0"/>
          <c:showCatName val="0"/>
          <c:showSerName val="0"/>
          <c:showPercent val="0"/>
          <c:showBubbleSize val="0"/>
        </c:dLbls>
        <c:smooth val="0"/>
        <c:axId val="151011072"/>
        <c:axId val="151000256"/>
      </c:lineChart>
      <c:catAx>
        <c:axId val="151011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51000256"/>
        <c:crosses val="autoZero"/>
        <c:auto val="1"/>
        <c:lblAlgn val="ctr"/>
        <c:lblOffset val="100"/>
        <c:noMultiLvlLbl val="0"/>
      </c:catAx>
      <c:valAx>
        <c:axId val="151000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51011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B27" lockText="1" noThreeD="1"/>
</file>

<file path=xl/ctrlProps/ctrlProp19.xml><?xml version="1.0" encoding="utf-8"?>
<formControlPr xmlns="http://schemas.microsoft.com/office/spreadsheetml/2009/9/main" objectType="Radio" checked="Checked" lockText="1" noThreeD="1"/>
</file>

<file path=xl/ctrlProps/ctrlProp20.xml><?xml version="1.0" encoding="utf-8"?>
<formControlPr xmlns="http://schemas.microsoft.com/office/spreadsheetml/2009/9/main" objectType="CheckBox" fmlaLink="B32" lockText="1" noThreeD="1"/>
</file>

<file path=xl/ctrlProps/ctrlProp21.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2</xdr:col>
          <xdr:colOff>0</xdr:colOff>
          <xdr:row>12</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xdr:colOff>
          <xdr:row>1</xdr:row>
          <xdr:rowOff>171450</xdr:rowOff>
        </xdr:from>
        <xdr:to>
          <xdr:col>7</xdr:col>
          <xdr:colOff>9525</xdr:colOff>
          <xdr:row>5</xdr:row>
          <xdr:rowOff>0</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Refresh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171450</xdr:rowOff>
        </xdr:from>
        <xdr:to>
          <xdr:col>2</xdr:col>
          <xdr:colOff>123825</xdr:colOff>
          <xdr:row>27</xdr:row>
          <xdr:rowOff>28575</xdr:rowOff>
        </xdr:to>
        <xdr:sp macro="" textlink="">
          <xdr:nvSpPr>
            <xdr:cNvPr id="2945" name="Check Box 897" hidden="1">
              <a:extLst>
                <a:ext uri="{63B3BB69-23CF-44E3-9099-C40C66FF867C}">
                  <a14:compatExt spid="_x0000_s2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979" name="Option Button 931" hidden="1">
              <a:extLst>
                <a:ext uri="{63B3BB69-23CF-44E3-9099-C40C66FF867C}">
                  <a14:compatExt spid="_x0000_s2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171450</xdr:rowOff>
        </xdr:from>
        <xdr:to>
          <xdr:col>2</xdr:col>
          <xdr:colOff>123825</xdr:colOff>
          <xdr:row>32</xdr:row>
          <xdr:rowOff>28575</xdr:rowOff>
        </xdr:to>
        <xdr:sp macro="" textlink="">
          <xdr:nvSpPr>
            <xdr:cNvPr id="3056" name="Check Box 1008" hidden="1">
              <a:extLst>
                <a:ext uri="{63B3BB69-23CF-44E3-9099-C40C66FF867C}">
                  <a14:compatExt spid="_x0000_s30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8712" name="Check Box 1064" hidden="1">
              <a:extLst>
                <a:ext uri="{63B3BB69-23CF-44E3-9099-C40C66FF867C}">
                  <a14:compatExt spid="_x0000_s287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293595</xdr:colOff>
      <xdr:row>1</xdr:row>
      <xdr:rowOff>8964</xdr:rowOff>
    </xdr:from>
    <xdr:to>
      <xdr:col>11</xdr:col>
      <xdr:colOff>392206</xdr:colOff>
      <xdr:row>26</xdr:row>
      <xdr:rowOff>145677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209549</xdr:colOff>
      <xdr:row>5</xdr:row>
      <xdr:rowOff>180974</xdr:rowOff>
    </xdr:from>
    <xdr:to>
      <xdr:col>9</xdr:col>
      <xdr:colOff>590550</xdr:colOff>
      <xdr:row>26</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44287</xdr:colOff>
      <xdr:row>10</xdr:row>
      <xdr:rowOff>36634</xdr:rowOff>
    </xdr:from>
    <xdr:to>
      <xdr:col>5</xdr:col>
      <xdr:colOff>923192</xdr:colOff>
      <xdr:row>33</xdr:row>
      <xdr:rowOff>70249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515474</xdr:colOff>
      <xdr:row>11</xdr:row>
      <xdr:rowOff>44823</xdr:rowOff>
    </xdr:from>
    <xdr:to>
      <xdr:col>13</xdr:col>
      <xdr:colOff>818030</xdr:colOff>
      <xdr:row>30</xdr:row>
      <xdr:rowOff>112059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1</xdr:row>
      <xdr:rowOff>166686</xdr:rowOff>
    </xdr:from>
    <xdr:to>
      <xdr:col>10</xdr:col>
      <xdr:colOff>409575</xdr:colOff>
      <xdr:row>26</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247652</xdr:colOff>
      <xdr:row>12</xdr:row>
      <xdr:rowOff>44825</xdr:rowOff>
    </xdr:from>
    <xdr:to>
      <xdr:col>9</xdr:col>
      <xdr:colOff>89647</xdr:colOff>
      <xdr:row>32</xdr:row>
      <xdr:rowOff>67235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632113</xdr:colOff>
      <xdr:row>11</xdr:row>
      <xdr:rowOff>31172</xdr:rowOff>
    </xdr:from>
    <xdr:to>
      <xdr:col>15</xdr:col>
      <xdr:colOff>554182</xdr:colOff>
      <xdr:row>33</xdr:row>
      <xdr:rowOff>17317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133350</xdr:colOff>
      <xdr:row>11</xdr:row>
      <xdr:rowOff>28575</xdr:rowOff>
    </xdr:from>
    <xdr:to>
      <xdr:col>6</xdr:col>
      <xdr:colOff>323850</xdr:colOff>
      <xdr:row>32</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114299</xdr:colOff>
      <xdr:row>1</xdr:row>
      <xdr:rowOff>114300</xdr:rowOff>
    </xdr:from>
    <xdr:to>
      <xdr:col>11</xdr:col>
      <xdr:colOff>304798</xdr:colOff>
      <xdr:row>20</xdr:row>
      <xdr:rowOff>123824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114299</xdr:colOff>
      <xdr:row>48</xdr:row>
      <xdr:rowOff>76199</xdr:rowOff>
    </xdr:from>
    <xdr:to>
      <xdr:col>23</xdr:col>
      <xdr:colOff>9524</xdr:colOff>
      <xdr:row>65</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381559</xdr:colOff>
      <xdr:row>18</xdr:row>
      <xdr:rowOff>57150</xdr:rowOff>
    </xdr:from>
    <xdr:to>
      <xdr:col>7</xdr:col>
      <xdr:colOff>114859</xdr:colOff>
      <xdr:row>32</xdr:row>
      <xdr:rowOff>47625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5</xdr:col>
      <xdr:colOff>1299883</xdr:colOff>
      <xdr:row>0</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291351</xdr:colOff>
      <xdr:row>7</xdr:row>
      <xdr:rowOff>33619</xdr:rowOff>
    </xdr:from>
    <xdr:to>
      <xdr:col>14</xdr:col>
      <xdr:colOff>30813</xdr:colOff>
      <xdr:row>29</xdr:row>
      <xdr:rowOff>100853</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303717</xdr:colOff>
      <xdr:row>9</xdr:row>
      <xdr:rowOff>176893</xdr:rowOff>
    </xdr:from>
    <xdr:to>
      <xdr:col>12</xdr:col>
      <xdr:colOff>95249</xdr:colOff>
      <xdr:row>31</xdr:row>
      <xdr:rowOff>44903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395287</xdr:colOff>
      <xdr:row>12</xdr:row>
      <xdr:rowOff>104775</xdr:rowOff>
    </xdr:from>
    <xdr:to>
      <xdr:col>8</xdr:col>
      <xdr:colOff>819150</xdr:colOff>
      <xdr:row>30</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681037</xdr:colOff>
      <xdr:row>3</xdr:row>
      <xdr:rowOff>66675</xdr:rowOff>
    </xdr:from>
    <xdr:to>
      <xdr:col>10</xdr:col>
      <xdr:colOff>138112</xdr:colOff>
      <xdr:row>17</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2</xdr:col>
      <xdr:colOff>818350</xdr:colOff>
      <xdr:row>7</xdr:row>
      <xdr:rowOff>175693</xdr:rowOff>
    </xdr:from>
    <xdr:to>
      <xdr:col>6</xdr:col>
      <xdr:colOff>156882</xdr:colOff>
      <xdr:row>24</xdr:row>
      <xdr:rowOff>168088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87084</xdr:colOff>
      <xdr:row>47</xdr:row>
      <xdr:rowOff>170089</xdr:rowOff>
    </xdr:from>
    <xdr:to>
      <xdr:col>6</xdr:col>
      <xdr:colOff>219075</xdr:colOff>
      <xdr:row>66</xdr:row>
      <xdr:rowOff>171450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433387</xdr:colOff>
      <xdr:row>17</xdr:row>
      <xdr:rowOff>38100</xdr:rowOff>
    </xdr:from>
    <xdr:to>
      <xdr:col>10</xdr:col>
      <xdr:colOff>523875</xdr:colOff>
      <xdr:row>40</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2</xdr:col>
      <xdr:colOff>14287</xdr:colOff>
      <xdr:row>19</xdr:row>
      <xdr:rowOff>123825</xdr:rowOff>
    </xdr:from>
    <xdr:to>
      <xdr:col>8</xdr:col>
      <xdr:colOff>357187</xdr:colOff>
      <xdr:row>34</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xdr:col>
      <xdr:colOff>128587</xdr:colOff>
      <xdr:row>11</xdr:row>
      <xdr:rowOff>123825</xdr:rowOff>
    </xdr:from>
    <xdr:to>
      <xdr:col>9</xdr:col>
      <xdr:colOff>300037</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1176337</xdr:colOff>
      <xdr:row>6</xdr:row>
      <xdr:rowOff>9524</xdr:rowOff>
    </xdr:from>
    <xdr:to>
      <xdr:col>8</xdr:col>
      <xdr:colOff>104775</xdr:colOff>
      <xdr:row>23</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5</xdr:col>
      <xdr:colOff>823912</xdr:colOff>
      <xdr:row>6</xdr:row>
      <xdr:rowOff>85725</xdr:rowOff>
    </xdr:from>
    <xdr:to>
      <xdr:col>11</xdr:col>
      <xdr:colOff>376237</xdr:colOff>
      <xdr:row>20</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_rels/pivotCacheDefinition23.xml.rels><?xml version="1.0" encoding="UTF-8" standalone="yes"?>
<Relationships xmlns="http://schemas.openxmlformats.org/package/2006/relationships"><Relationship Id="rId1" Type="http://schemas.openxmlformats.org/officeDocument/2006/relationships/pivotCacheRecords" Target="pivotCacheRecords23.xml"/></Relationships>
</file>

<file path=xl/pivotCache/_rels/pivotCacheDefinition24.xml.rels><?xml version="1.0" encoding="UTF-8" standalone="yes"?>
<Relationships xmlns="http://schemas.openxmlformats.org/package/2006/relationships"><Relationship Id="rId1" Type="http://schemas.openxmlformats.org/officeDocument/2006/relationships/pivotCacheRecords" Target="pivotCacheRecords24.xml"/></Relationships>
</file>

<file path=xl/pivotCache/_rels/pivotCacheDefinition25.xml.rels><?xml version="1.0" encoding="UTF-8" standalone="yes"?>
<Relationships xmlns="http://schemas.openxmlformats.org/package/2006/relationships"><Relationship Id="rId1" Type="http://schemas.openxmlformats.org/officeDocument/2006/relationships/pivotCacheRecords" Target="pivotCacheRecords25.xml"/></Relationships>
</file>

<file path=xl/pivotCache/_rels/pivotCacheDefinition26.xml.rels><?xml version="1.0" encoding="UTF-8" standalone="yes"?>
<Relationships xmlns="http://schemas.openxmlformats.org/package/2006/relationships"><Relationship Id="rId1" Type="http://schemas.openxmlformats.org/officeDocument/2006/relationships/pivotCacheRecords" Target="pivotCacheRecords26.xml"/></Relationships>
</file>

<file path=xl/pivotCache/_rels/pivotCacheDefinition27.xml.rels><?xml version="1.0" encoding="UTF-8" standalone="yes"?>
<Relationships xmlns="http://schemas.openxmlformats.org/package/2006/relationships"><Relationship Id="rId1" Type="http://schemas.openxmlformats.org/officeDocument/2006/relationships/pivotCacheRecords" Target="pivotCacheRecords27.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475.721098263886" missingItemsLimit="0" createdVersion="5" refreshedVersion="6" minRefreshableVersion="3" recordCount="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
        <s v="DENMARK"/>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475.721102430558" missingItemsLimit="0" createdVersion="5" refreshedVersion="6" minRefreshableVersion="3" recordCount="72">
  <cacheSource type="external" connectionId="12"/>
  <cacheFields count="8">
    <cacheField name="Case1" numFmtId="0" sqlType="-10">
      <sharedItems count="1">
        <s v="BASE"/>
      </sharedItems>
    </cacheField>
    <cacheField name="BaseYear" numFmtId="0" sqlType="-10">
      <sharedItems count="1">
        <s v="2030"/>
      </sharedItems>
    </cacheField>
    <cacheField name="Model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Season" numFmtId="0" sqlType="-10">
      <sharedItems count="3">
        <s v="S12"/>
        <s v="S20"/>
        <s v="S35"/>
      </sharedItems>
    </cacheField>
    <cacheField name="Term" numFmtId="0" sqlType="-10">
      <sharedItems count="12">
        <s v="T005"/>
        <s v="T019"/>
        <s v="T033"/>
        <s v="T047"/>
        <s v="T061"/>
        <s v="T075"/>
        <s v="T089"/>
        <s v="T103"/>
        <s v="T117"/>
        <s v="T131"/>
        <s v="T145"/>
        <s v="T159"/>
      </sharedItems>
    </cacheField>
    <cacheField name="OMONEY/MWh" numFmtId="0" sqlType="8">
      <sharedItems containsSemiMixedTypes="0" containsString="0" containsNumber="1" minValue="4.3067080000000004" maxValue="110.0202820276050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475.721105555553" missingItemsLimit="0" createdVersion="5" refreshedVersion="6" minRefreshableVersion="3" recordCount="648">
  <cacheSource type="external" connectionId="20"/>
  <cacheFields count="10">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8">
        <s v="DK1_Large"/>
        <s v="DK1_Large_PHH"/>
        <s v="DK1_Large_PHL"/>
        <s v="DK1_MedSmall"/>
        <s v="DK1_Medium"/>
        <s v="DK1_NoDH_PHH"/>
        <s v="DK1_NoDH_PHL"/>
        <s v="DK1_Rural"/>
        <s v="DK1_Small"/>
        <s v="DK2_Large"/>
        <s v="DK2_Large_PHH"/>
        <s v="DK2_Large_PHL"/>
        <s v="DK2_MedSmall"/>
        <s v="DK2_Medium"/>
        <s v="DK2_NoDH_PHH"/>
        <s v="DK2_NoDH_PHL"/>
        <s v="DK2_Rural"/>
        <s v="DK2_Small"/>
      </sharedItems>
    </cacheField>
    <cacheField name="Season" numFmtId="0" sqlType="-10">
      <sharedItems count="3">
        <s v="S12"/>
        <s v="S20"/>
        <s v="S35"/>
      </sharedItems>
    </cacheField>
    <cacheField name="Term" numFmtId="0" sqlType="-10">
      <sharedItems count="12">
        <s v="T005"/>
        <s v="T019"/>
        <s v="T033"/>
        <s v="T047"/>
        <s v="T061"/>
        <s v="T075"/>
        <s v="T089"/>
        <s v="T103"/>
        <s v="T117"/>
        <s v="T131"/>
        <s v="T145"/>
        <s v="T159"/>
      </sharedItems>
    </cacheField>
    <cacheField name="OMONEY/GJ" numFmtId="0" sqlType="8">
      <sharedItems containsSemiMixedTypes="0" containsString="0" containsNumber="1" minValue="3.6640623635677501" maxValue="14.1248260815803"/>
    </cacheField>
    <cacheField name="OMONEY/MWh" numFmtId="0" sqlType="8">
      <sharedItems containsSemiMixedTypes="0" containsString="0" containsNumber="1" minValue="13.1906245088439" maxValue="50.84937389368919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475.721109027778" missingItemsLimit="0" createdVersion="5" refreshedVersion="6" minRefreshableVersion="3" recordCount="102">
  <cacheSource type="external" connectionId="9"/>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8">
        <s v="DK1_Large"/>
        <s v="DK1_Large_PHH"/>
        <s v="DK1_MedSmall"/>
        <s v="DK1_Medium"/>
        <s v="DK1_NoDH"/>
        <s v="DK1_NoDH_PHH"/>
        <s v="DK1_Offshore"/>
        <s v="DK1_Rural"/>
        <s v="DK1_Small"/>
        <s v="DK2_Large"/>
        <s v="DK2_Large_PHH"/>
        <s v="DK2_MedSmall"/>
        <s v="DK2_Medium"/>
        <s v="DK2_NoDH"/>
        <s v="DK2_NoDH_PHH"/>
        <s v="DK2_Offshore"/>
        <s v="DK2_Rural"/>
        <s v="DK2_Small"/>
      </sharedItems>
    </cacheField>
    <cacheField name="Fuel" numFmtId="0" sqlType="-9">
      <sharedItems count="10">
        <s v="BIOGAS"/>
        <s v="MUNIWASTE"/>
        <s v="NATGAS"/>
        <s v="STRAW"/>
        <s v="WOODCHIPS"/>
        <s v="ELECTRIC"/>
        <s v="SUN"/>
        <s v="WATER"/>
        <s v="WIND"/>
        <s v="COAL"/>
      </sharedItems>
    </cacheField>
    <cacheField name="Technology Category" numFmtId="0" sqlType="-9">
      <sharedItems count="6">
        <s v="Cogeneration"/>
        <s v="Conversion"/>
        <s v="Storage"/>
        <s v="Thermal power"/>
        <s v="VRE"/>
        <s v="Hydro power"/>
      </sharedItems>
    </cacheField>
    <cacheField name="Technology Type" numFmtId="0" sqlType="-9">
      <sharedItems count="8">
        <s v="Backpressure"/>
        <s v="Electricity to heat"/>
        <s v="EL storage"/>
        <s v="Condensing"/>
        <s v="Solar PV"/>
        <s v="Hydro ROR"/>
        <s v="Wind"/>
        <s v="Extraction"/>
      </sharedItems>
    </cacheField>
    <cacheField name="Technology" numFmtId="0" sqlType="-9">
      <sharedItems count="56">
        <s v="GNR_ENG_BGAS_BP_E-36"/>
        <s v="GNR_ENG_BGAS_BP_E-37"/>
        <s v="GNR_ENG_BGAS_BP_E-39"/>
        <s v="GNR_ENG_BGAS_BP_E-40"/>
        <s v="GNR_ENG_BGAS_BP_E-41"/>
        <s v="GNR_ENG_BGAS_BP_E-42"/>
        <s v="GNR_ENG_BGAS_BP_E-43"/>
        <s v="GNR_ST_MSW_BP_E-24_LS-220-MW-FEED_Y-2030"/>
        <s v="GNR_ST_MSW_BP_E-27"/>
        <s v="GNR_ENG_NGAS_BP_E-39"/>
        <s v="GNR_ENG_NGAS_BP_E-42"/>
        <s v="GNR_ENG_NGAS_BP_E-43"/>
        <s v="GNR_ENG_NGAS_BP_E-46"/>
        <s v="GNR_GT_NGAS_BP_E-43_LS-40-MW_Y-2030"/>
        <s v="GNR_ST_STRW_BP_E-26"/>
        <s v="GNR_ST_WOODCHI_BP_E-23"/>
        <s v="GNR_BO_ELEC_E-99_LS-10-MW-FEED_PHH_Y-2030"/>
        <s v="GNR_HP_ELEC_GROUND-WTR_COP-380_LS-4-MW_Y-2030"/>
        <s v="GNR_ENG_NGAS_BP_E-41"/>
        <s v="GNR_ENG_NGAS_BP_E-44"/>
        <s v="GNR_ENG_NGAS_BP_E-48_Y-2030"/>
        <s v="GNR_ES_ELEC_BAT-LITHIO_E-97_Y-30-50"/>
        <s v="GNR_ENG_NGAS_CND_E-41"/>
        <s v="GNR_ENG_NGAS_CND_E-46"/>
        <s v="GNR_PV_SUN"/>
        <s v="GNR_PV_SUN_LS-4-MW_Y-2030"/>
        <s v="GNR_ROR_WTR"/>
        <s v="GNR_WT_WIND_ONS"/>
        <s v="GNR_WT_WIND_ON_LS_Y-2030"/>
        <s v="GNR_ST_WOODCHI_EXT_E-30"/>
        <s v="GNR_WT_WIND_OFF"/>
        <s v="GNR_ENG_BGAS_BP_E-30"/>
        <s v="GNR_ENG_BGAS_BP_E-38"/>
        <s v="GNR_HP_ELEC_COP-300"/>
        <s v="GNR_HP_ELEC_COP-350"/>
        <s v="GNR_HP_ELEC_COP-400"/>
        <s v="GNR_HP_ELEC_COP-430"/>
        <s v="GNR_HP_ELEC_COP-450"/>
        <s v="GNR_HP_ELEC_COP-460"/>
        <s v="GNR_HP_ELEC_COP-470"/>
        <s v="GNR_HP_ELEC_COP-500"/>
        <s v="GNR_HP_ELEC_COP-530"/>
        <s v="GNR_HP_ELEC_COP-600"/>
        <s v="GNR_ENG_NGAS_BP_E-37"/>
        <s v="GNR_ENG_NGAS_BP_E-38"/>
        <s v="GNR_ENG_NGAS_BP_E-40"/>
        <s v="GNR_ENG_NGAS_BP_E-45"/>
        <s v="GNR_ST_WOODCHI_BP_E-17"/>
        <s v="GNR_ST_COAL_EXT_E-42"/>
        <s v="GNR_ST_COAL_EXT_E-42-Straw"/>
        <s v="GNR_ST_MSW_BP_E-23"/>
        <s v="GNR_ENG_NGAS_BP_E-35"/>
        <s v="GNR_ST_WOODCHI_BP_E-27"/>
        <s v="GNR_ST_COAL_BP_E-35"/>
        <s v="GNR_CC_NGAS_BP_E-53_SS-10-MW_Y-2030"/>
        <s v="GNR_ENG_NGAS_BP_E-36"/>
      </sharedItems>
    </cacheField>
    <cacheField name="TWh" numFmtId="0" sqlType="8">
      <sharedItems containsSemiMixedTypes="0" containsString="0" containsNumber="1" minValue="-0.34383173589918398" maxValue="5.71283096523534"/>
    </cacheField>
    <cacheField name="PJ" numFmtId="0" sqlType="8">
      <sharedItems containsSemiMixedTypes="0" containsString="0" containsNumber="1" minValue="-1.2377942492370599" maxValue="20.5661914748472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475.721113657404" missingItemsLimit="0" createdVersion="5" refreshedVersion="6" minRefreshableVersion="3" recordCount="1674">
  <cacheSource type="external" connectionId="10"/>
  <cacheFields count="15">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8">
        <s v="DK1_Large"/>
        <s v="DK1_Large_PHH"/>
        <s v="DK1_MedSmall"/>
        <s v="DK1_Medium"/>
        <s v="DK1_NoDH"/>
        <s v="DK1_NoDH_PHH"/>
        <s v="DK1_Offshore"/>
        <s v="DK1_Rural"/>
        <s v="DK1_Small"/>
        <s v="DK2_Large"/>
        <s v="DK2_Large_PHH"/>
        <s v="DK2_MedSmall"/>
        <s v="DK2_Medium"/>
        <s v="DK2_NoDH"/>
        <s v="DK2_NoDH_PHH"/>
        <s v="DK2_Offshore"/>
        <s v="DK2_Rural"/>
        <s v="DK2_Small"/>
      </sharedItems>
    </cacheField>
    <cacheField name="Fuel" numFmtId="0" sqlType="-9">
      <sharedItems count="10">
        <s v="BIOGAS"/>
        <s v="NATGAS"/>
        <s v="MUNIWASTE"/>
        <s v="STRAW"/>
        <s v="WOODCHIPS"/>
        <s v="ELECTRIC"/>
        <s v="SUN"/>
        <s v="WATER"/>
        <s v="WIND"/>
        <s v="COAL"/>
      </sharedItems>
    </cacheField>
    <cacheField name="Technology Category" numFmtId="0" sqlType="-9">
      <sharedItems count="6">
        <s v="Cogeneration"/>
        <s v="Conversion"/>
        <s v="Thermal power"/>
        <s v="Storage"/>
        <s v="VRE"/>
        <s v="Hydro power"/>
      </sharedItems>
    </cacheField>
    <cacheField name="Technology Type" numFmtId="0" sqlType="-9">
      <sharedItems count="8">
        <s v="Backpressure"/>
        <s v="Electricity to heat"/>
        <s v="Condensing"/>
        <s v="EL storage"/>
        <s v="Solar PV"/>
        <s v="Hydro ROR"/>
        <s v="Extraction"/>
        <s v="Wind"/>
      </sharedItems>
    </cacheField>
    <cacheField name="Technology" numFmtId="0" sqlType="-9">
      <sharedItems/>
    </cacheField>
    <cacheField name="Season" numFmtId="0" sqlType="-9">
      <sharedItems count="3">
        <s v="S12"/>
        <s v="S35"/>
        <s v="S20"/>
      </sharedItems>
    </cacheField>
    <cacheField name="Term" numFmtId="0" sqlType="-9">
      <sharedItems count="12">
        <s v="T089"/>
        <s v="T103"/>
        <s v="T117"/>
        <s v="T019"/>
        <s v="T047"/>
        <s v="T131"/>
        <s v="T061"/>
        <s v="T075"/>
        <s v="T159"/>
        <s v="T005"/>
        <s v="T033"/>
        <s v="T145"/>
      </sharedItems>
    </cacheField>
    <cacheField name="MW" numFmtId="0" sqlType="8">
      <sharedItems containsSemiMixedTypes="0" containsString="0" containsNumber="1" minValue="-192.57699092958299" maxValue="2136.0652181985502"/>
    </cacheField>
    <cacheField name="MWh" numFmtId="0" sqlType="8">
      <sharedItems containsSemiMixedTypes="0" containsString="0" containsNumber="1" minValue="-46860.401126198398" maxValue="519775.86976164702"/>
    </cacheField>
    <cacheField name="GJ" numFmtId="0" sqlType="8">
      <sharedItems containsSemiMixedTypes="0" containsString="0" containsNumber="1" minValue="-168697.44405431399" maxValue="1871193.1311419299"/>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475.721116782406" missingItemsLimit="0" createdVersion="5" refreshedVersion="6" minRefreshableVersion="3" recordCount="177">
  <cacheSource type="external" connectionId="17"/>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8">
        <s v="DK1_Large"/>
        <s v="DK1_Large_PHH"/>
        <s v="DK1_Large_PHL"/>
        <s v="DK1_MedSmall"/>
        <s v="DK1_Medium"/>
        <s v="DK1_NoDH_PHH"/>
        <s v="DK1_NoDH_PHL"/>
        <s v="DK1_Rural"/>
        <s v="DK1_Small"/>
        <s v="DK2_Large"/>
        <s v="DK2_Large_PHH"/>
        <s v="DK2_Large_PHL"/>
        <s v="DK2_MedSmall"/>
        <s v="DK2_Medium"/>
        <s v="DK2_NoDH_PHH"/>
        <s v="DK2_NoDH_PHL"/>
        <s v="DK2_Rural"/>
        <s v="DK2_Small"/>
      </sharedItems>
    </cacheField>
    <cacheField name="Fuel" numFmtId="0" sqlType="-9">
      <sharedItems count="11">
        <s v="BIOGAS"/>
        <s v="HEAT"/>
        <s v="MUNIWASTE"/>
        <s v="NATGAS"/>
        <s v="STRAW"/>
        <s v="SUN"/>
        <s v="WASTEHEAT"/>
        <s v="WOODCHIPS"/>
        <s v="ELECTRIC"/>
        <s v="WOODWASTE"/>
        <s v="COAL"/>
      </sharedItems>
    </cacheField>
    <cacheField name="Technology Category" numFmtId="0" sqlType="-9">
      <sharedItems count="5">
        <s v="Cogeneration"/>
        <s v="Storage"/>
        <s v="Other"/>
        <s v="VRE"/>
        <s v="Conversion"/>
      </sharedItems>
    </cacheField>
    <cacheField name="Technology Type" numFmtId="0" sqlType="-9">
      <sharedItems count="7">
        <s v="Backpressure"/>
        <s v="HE storage"/>
        <s v="HE storage S"/>
        <s v="Heat-Only"/>
        <s v="Solar heat"/>
        <s v="Electricity to heat"/>
        <s v="Extraction"/>
      </sharedItems>
    </cacheField>
    <cacheField name="Technology" numFmtId="0" sqlType="-9">
      <sharedItems/>
    </cacheField>
    <cacheField name="TWh" numFmtId="0" sqlType="8">
      <sharedItems containsSemiMixedTypes="0" containsString="0" containsNumber="1" minValue="1.2865712292483501E-4" maxValue="8.8862784656844696"/>
    </cacheField>
    <cacheField name="PJ" numFmtId="0" sqlType="8">
      <sharedItems containsSemiMixedTypes="0" containsString="0" containsNumber="1" minValue="4.6316564252940802E-4" maxValue="31.99060247646410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475.721120717593" missingItemsLimit="0" createdVersion="5" refreshedVersion="6" minRefreshableVersion="3" recordCount="2998">
  <cacheSource type="external" connectionId="18"/>
  <cacheFields count="15">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8">
        <s v="DK1_Large"/>
        <s v="DK1_Large_PHH"/>
        <s v="DK1_Large_PHL"/>
        <s v="DK1_MedSmall"/>
        <s v="DK1_Medium"/>
        <s v="DK1_NoDH_PHH"/>
        <s v="DK1_NoDH_PHL"/>
        <s v="DK1_Rural"/>
        <s v="DK1_Small"/>
        <s v="DK2_Large"/>
        <s v="DK2_Large_PHH"/>
        <s v="DK2_Large_PHL"/>
        <s v="DK2_MedSmall"/>
        <s v="DK2_Medium"/>
        <s v="DK2_NoDH_PHH"/>
        <s v="DK2_NoDH_PHL"/>
        <s v="DK2_Rural"/>
        <s v="DK2_Small"/>
      </sharedItems>
    </cacheField>
    <cacheField name="Fuel" numFmtId="0" sqlType="-9">
      <sharedItems count="11">
        <s v="BIOGAS"/>
        <s v="HEAT"/>
        <s v="MUNIWASTE"/>
        <s v="NATGAS"/>
        <s v="STRAW"/>
        <s v="SUN"/>
        <s v="WASTEHEAT"/>
        <s v="WOODCHIPS"/>
        <s v="ELECTRIC"/>
        <s v="WOODWASTE"/>
        <s v="COAL"/>
      </sharedItems>
    </cacheField>
    <cacheField name="Technology Category" numFmtId="0" sqlType="-9">
      <sharedItems count="5">
        <s v="Cogeneration"/>
        <s v="Storage"/>
        <s v="Other"/>
        <s v="VRE"/>
        <s v="Conversion"/>
      </sharedItems>
    </cacheField>
    <cacheField name="Technology Type" numFmtId="0" sqlType="-9">
      <sharedItems count="7">
        <s v="Backpressure"/>
        <s v="HE storage S"/>
        <s v="HE storage"/>
        <s v="Heat-Only"/>
        <s v="Solar heat"/>
        <s v="Electricity to heat"/>
        <s v="Extraction"/>
      </sharedItems>
    </cacheField>
    <cacheField name="Technology" numFmtId="0" sqlType="-9">
      <sharedItems/>
    </cacheField>
    <cacheField name="Season" numFmtId="0" sqlType="-9">
      <sharedItems count="3">
        <s v="S12"/>
        <s v="S35"/>
        <s v="S20"/>
      </sharedItems>
    </cacheField>
    <cacheField name="Term" numFmtId="0" sqlType="-9">
      <sharedItems count="12">
        <s v="T089"/>
        <s v="T103"/>
        <s v="T117"/>
        <s v="T019"/>
        <s v="T047"/>
        <s v="T005"/>
        <s v="T033"/>
        <s v="T061"/>
        <s v="T075"/>
        <s v="T131"/>
        <s v="T145"/>
        <s v="T159"/>
      </sharedItems>
    </cacheField>
    <cacheField name="MW" numFmtId="0" sqlType="8">
      <sharedItems containsSemiMixedTypes="0" containsString="0" containsNumber="1" minValue="8.23224627071346E-2" maxValue="2305.8572677678299"/>
    </cacheField>
    <cacheField name="MWh" numFmtId="0" sqlType="8">
      <sharedItems containsSemiMixedTypes="0" containsString="0" containsNumber="1" minValue="20.0317992587361" maxValue="561091.93515683804"/>
    </cacheField>
    <cacheField name="GJ" numFmtId="0" sqlType="8">
      <sharedItems containsSemiMixedTypes="0" containsString="0" containsNumber="1" minValue="72.114477331449905" maxValue="2019930.966564619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475.721124999996" missingItemsLimit="0" createdVersion="6" refreshedVersion="6" minRefreshableVersion="3" recordCount="193">
  <cacheSource type="external" connectionId="15"/>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22">
        <s v="DK1_Large"/>
        <s v="DK1_Large_PHH"/>
        <s v="DK1_Large_PHL"/>
        <s v="DK1_MedSmall"/>
        <s v="DK1_Medium"/>
        <s v="DK1_NoDH"/>
        <s v="DK1_NoDH_PHH"/>
        <s v="DK1_NoDH_PHL"/>
        <s v="DK1_Offshore"/>
        <s v="DK1_Rural"/>
        <s v="DK1_Small"/>
        <s v="DK2_Large"/>
        <s v="DK2_Large_PHH"/>
        <s v="DK2_Large_PHL"/>
        <s v="DK2_MedSmall"/>
        <s v="DK2_Medium"/>
        <s v="DK2_NoDH"/>
        <s v="DK2_NoDH_PHH"/>
        <s v="DK2_NoDH_PHL"/>
        <s v="DK2_Offshore"/>
        <s v="DK2_Rural"/>
        <s v="DK2_Small"/>
      </sharedItems>
    </cacheField>
    <cacheField name="Fuel" numFmtId="0" sqlType="-9">
      <sharedItems count="13">
        <s v="BIOGAS"/>
        <s v="HEAT"/>
        <s v="MUNIWASTE"/>
        <s v="NATGAS"/>
        <s v="STRAW"/>
        <s v="SUN"/>
        <s v="WASTEHEAT"/>
        <s v="WOODCHIPS"/>
        <s v="ELECTRIC"/>
        <s v="WATER"/>
        <s v="WIND"/>
        <s v="WOODWASTE"/>
        <s v="COAL"/>
      </sharedItems>
    </cacheField>
    <cacheField name="Technology Category" numFmtId="0" sqlType="-9">
      <sharedItems count="7">
        <s v="Cogeneration"/>
        <s v="Storage"/>
        <s v="Other"/>
        <s v="VRE"/>
        <s v="Conversion"/>
        <s v="Thermal power"/>
        <s v="Hydro power"/>
      </sharedItems>
    </cacheField>
    <cacheField name="Technology Type" numFmtId="0" sqlType="-9">
      <sharedItems count="12">
        <s v="Backpressure"/>
        <s v="HE storage"/>
        <s v="HE storage S"/>
        <s v="Heat-Only"/>
        <s v="Solar heat"/>
        <s v="Electricity to heat"/>
        <s v="EL storage"/>
        <s v="Condensing"/>
        <s v="Solar PV"/>
        <s v="Hydro ROR"/>
        <s v="Wind"/>
        <s v="Extraction"/>
      </sharedItems>
    </cacheField>
    <cacheField name="Technology" numFmtId="0" sqlType="-9">
      <sharedItems/>
    </cacheField>
    <cacheField name="TWh" numFmtId="0" sqlType="8">
      <sharedItems containsSemiMixedTypes="0" containsString="0" containsNumber="1" minValue="4.8198606407017599E-5" maxValue="10.836924958151799"/>
    </cacheField>
    <cacheField name="PJ" numFmtId="0" sqlType="8">
      <sharedItems containsSemiMixedTypes="0" containsString="0" containsNumber="1" minValue="1.73514983065263E-4" maxValue="39.01292984934639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475.721128472222" missingItemsLimit="0" createdVersion="5" refreshedVersion="6" minRefreshableVersion="3" recordCount="193">
  <cacheSource type="external" connectionId="13"/>
  <cacheFields count="16">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22">
        <s v="DK1_Large"/>
        <s v="DK1_Large_PHH"/>
        <s v="DK1_Large_PHL"/>
        <s v="DK1_MedSmall"/>
        <s v="DK1_Medium"/>
        <s v="DK1_NoDH"/>
        <s v="DK1_NoDH_PHH"/>
        <s v="DK1_NoDH_PHL"/>
        <s v="DK1_Offshore"/>
        <s v="DK1_Rural"/>
        <s v="DK1_Small"/>
        <s v="DK2_Large"/>
        <s v="DK2_Large_PHH"/>
        <s v="DK2_Large_PHL"/>
        <s v="DK2_MedSmall"/>
        <s v="DK2_Medium"/>
        <s v="DK2_NoDH"/>
        <s v="DK2_NoDH_PHH"/>
        <s v="DK2_NoDH_PHL"/>
        <s v="DK2_Offshore"/>
        <s v="DK2_Rural"/>
        <s v="DK2_Small"/>
      </sharedItems>
    </cacheField>
    <cacheField name="Fuel" numFmtId="0" sqlType="-9">
      <sharedItems count="13">
        <s v="BIOGAS"/>
        <s v="HEAT"/>
        <s v="MUNIWASTE"/>
        <s v="NATGAS"/>
        <s v="STRAW"/>
        <s v="SUN"/>
        <s v="WASTEHEAT"/>
        <s v="WOODCHIPS"/>
        <s v="ELECTRIC"/>
        <s v="WATER"/>
        <s v="WIND"/>
        <s v="WOODWASTE"/>
        <s v="COAL"/>
      </sharedItems>
    </cacheField>
    <cacheField name="Technology Category" numFmtId="0" sqlType="-9">
      <sharedItems count="7">
        <s v="Cogeneration"/>
        <s v="Storage"/>
        <s v="Other"/>
        <s v="VRE"/>
        <s v="Conversion"/>
        <s v="Thermal power"/>
        <s v="Hydro power"/>
      </sharedItems>
    </cacheField>
    <cacheField name="Technology Type" numFmtId="0" sqlType="-9">
      <sharedItems count="12">
        <s v="Backpressure"/>
        <s v="HE storage"/>
        <s v="HE storage S"/>
        <s v="Heat-Only"/>
        <s v="Solar heat"/>
        <s v="Electricity to heat"/>
        <s v="EL storage"/>
        <s v="Condensing"/>
        <s v="Solar PV"/>
        <s v="Hydro ROR"/>
        <s v="Wind"/>
        <s v="Extraction"/>
      </sharedItems>
    </cacheField>
    <cacheField name="Technology" numFmtId="0" sqlType="-9">
      <sharedItems/>
    </cacheField>
    <cacheField name="CO2 kilotons" numFmtId="0" sqlType="8">
      <sharedItems containsString="0" containsBlank="1" containsNumber="1" minValue="3.9851998201142401E-2" maxValue="2188.6253645483398"/>
    </cacheField>
    <cacheField name="CO2 megatons" numFmtId="0" sqlType="8">
      <sharedItems containsString="0" containsBlank="1" containsNumber="1" minValue="3.9851998201142398E-5" maxValue="2.18862536454834"/>
    </cacheField>
    <cacheField name="SO2 tons" numFmtId="0" sqlType="8">
      <sharedItems containsString="0" containsBlank="1" containsNumber="1" minValue="2.3381470588235299E-3" maxValue="1890.4182060304499"/>
    </cacheField>
    <cacheField name="SO2 kilotons" numFmtId="0" sqlType="8">
      <sharedItems containsString="0" containsBlank="1" containsNumber="1" minValue="2.3381470588235298E-6" maxValue="1.89041820603045"/>
    </cacheField>
    <cacheField name="N2O tons" numFmtId="0" sqlType="8">
      <sharedItems containsString="0" containsBlank="1" containsNumber="1" minValue="7.1037429948560401E-4" maxValue="112.981365274271"/>
    </cacheField>
    <cacheField name="N2O kilotons" numFmtId="0" sqlType="8">
      <sharedItems containsString="0" containsBlank="1" containsNumber="1" minValue="7.1037429948560405E-7" maxValue="0.11298136527427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475.721131944447" missingItemsLimit="0" createdVersion="5" refreshedVersion="6" minRefreshableVersion="3" recordCount="360">
  <cacheSource type="external" connectionId="21"/>
  <cacheFields count="11">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10">
        <s v="DK1_Large"/>
        <s v="DK1_MedSmall"/>
        <s v="DK1_Medium"/>
        <s v="DK1_Rural"/>
        <s v="DK1_Small"/>
        <s v="DK2_Large"/>
        <s v="DK2_MedSmall"/>
        <s v="DK2_Medium"/>
        <s v="DK2_Rural"/>
        <s v="DK2_Small"/>
      </sharedItems>
    </cacheField>
    <cacheField name="Technology" numFmtId="0" sqlType="-9">
      <sharedItems count="1">
        <s v="GNR_HS_HEAT_WTR-TANK_LS_E-95_Y-2010"/>
      </sharedItems>
    </cacheField>
    <cacheField name="Season" numFmtId="0" sqlType="-9">
      <sharedItems count="3">
        <s v="S12"/>
        <s v="S20"/>
        <s v="S35"/>
      </sharedItems>
    </cacheField>
    <cacheField name="Term" numFmtId="0" sqlType="-9">
      <sharedItems count="12">
        <s v="T005"/>
        <s v="T019"/>
        <s v="T033"/>
        <s v="T047"/>
        <s v="T061"/>
        <s v="T075"/>
        <s v="T089"/>
        <s v="T103"/>
        <s v="T117"/>
        <s v="T131"/>
        <s v="T145"/>
        <s v="T159"/>
      </sharedItems>
    </cacheField>
    <cacheField name="MWh" numFmtId="0" sqlType="8">
      <sharedItems containsSemiMixedTypes="0" containsString="0" containsNumber="1" minValue="0" maxValue="1506.6710458468999"/>
    </cacheField>
    <cacheField name="GJ" numFmtId="0" sqlType="8">
      <sharedItems containsSemiMixedTypes="0" containsString="0" containsNumber="1" minValue="0" maxValue="5424.0157650488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475.721135416665" missingItemsLimit="0" createdVersion="5" refreshedVersion="6" minRefreshableVersion="3" recordCount="0">
  <cacheSource type="external" connectionId="27"/>
  <cacheFields count="8">
    <cacheField name="Case" numFmtId="0" sqlType="-10">
      <sharedItems containsSemiMixedTypes="0" containsString="0"/>
    </cacheField>
    <cacheField name="BaseYear" numFmtId="0" sqlType="-10">
      <sharedItems containsSemiMixedTypes="0" containsString="0"/>
    </cacheField>
    <cacheField name="ModelYear"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Week" numFmtId="0" sqlType="-10">
      <sharedItems containsSemiMixedTypes="0" containsString="0"/>
    </cacheField>
    <cacheField name="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475.721138541667" missingItemsLimit="0" createdVersion="5" refreshedVersion="6" minRefreshableVersion="3" recordCount="72">
  <cacheSource type="external" connectionId="6"/>
  <cacheFields count="8">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Source" numFmtId="0" sqlType="-10">
      <sharedItems count="2">
        <s v="DK1"/>
        <s v="DK2"/>
      </sharedItems>
    </cacheField>
    <cacheField name="Destination" numFmtId="0" sqlType="-10">
      <sharedItems count="2">
        <s v="DK2"/>
        <s v="DK1"/>
      </sharedItems>
    </cacheField>
    <cacheField name="Season" numFmtId="0" sqlType="-10">
      <sharedItems count="3">
        <s v="S12"/>
        <s v="S20"/>
        <s v="S35"/>
      </sharedItems>
    </cacheField>
    <cacheField name="Term" numFmtId="0" sqlType="-10">
      <sharedItems count="12">
        <s v="T005"/>
        <s v="T019"/>
        <s v="T033"/>
        <s v="T047"/>
        <s v="T061"/>
        <s v="T075"/>
        <s v="T089"/>
        <s v="T103"/>
        <s v="T117"/>
        <s v="T131"/>
        <s v="T145"/>
        <s v="T159"/>
      </sharedItems>
    </cacheField>
    <cacheField name="GW" numFmtId="0" sqlType="8">
      <sharedItems containsSemiMixedTypes="0" containsString="0" containsNumber="1" minValue="-0.54" maxValue="0.54"/>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475.721146296295" missingItemsLimit="0" createdVersion="6" refreshedVersion="6" minRefreshableVersion="3" recordCount="2">
  <cacheSource type="external" connectionId="5"/>
  <cacheFields count="9">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Country_Export" numFmtId="0" sqlType="-10">
      <sharedItems count="1">
        <s v="DENMARK"/>
      </sharedItems>
    </cacheField>
    <cacheField name="Region_Export" numFmtId="0" sqlType="-10">
      <sharedItems count="2">
        <s v="DK1"/>
        <s v="DK2"/>
      </sharedItems>
    </cacheField>
    <cacheField name="Country_Import" numFmtId="0" sqlType="-10">
      <sharedItems count="1">
        <s v="DENMARK"/>
      </sharedItems>
    </cacheField>
    <cacheField name="Region_Import" numFmtId="0" sqlType="-10">
      <sharedItems count="2">
        <s v="DK2"/>
        <s v="DK1"/>
      </sharedItems>
    </cacheField>
    <cacheField name="GWh" numFmtId="0" sqlType="8">
      <sharedItems containsSemiMixedTypes="0" containsString="0" containsNumber="1" minValue="113.401774872923" maxValue="932.38166475344997" count="2">
        <n v="932.38166475344997"/>
        <n v="113.401774872923"/>
      </sharedItems>
    </cacheField>
    <cacheField name="M€" numFmtId="0" sqlType="8">
      <sharedItems containsSemiMixedTypes="0" containsString="0" containsNumber="1" minValue="0.227779101343874" maxValue="3.7530392006794799" count="2">
        <n v="3.7530392006794799"/>
        <n v="0.227779101343874"/>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475.721151388891" missingItemsLimit="0" createdVersion="6" refreshedVersion="6" minRefreshableVersion="3" recordCount="0">
  <cacheSource type="external" connectionId="26"/>
  <cacheFields count="9">
    <cacheField name="Case" numFmtId="0" sqlType="-10">
      <sharedItems containsSemiMixedTypes="0" containsString="0"/>
    </cacheField>
    <cacheField name="BaseYear" numFmtId="0" sqlType="-10">
      <sharedItems containsSemiMixedTypes="0" containsString="0"/>
    </cacheField>
    <cacheField name="ModelYear" numFmtId="0" sqlType="-10">
      <sharedItems containsSemiMixedTypes="0" containsString="0"/>
    </cacheField>
    <cacheField name="Export Country" numFmtId="0" sqlType="-10">
      <sharedItems containsSemiMixedTypes="0" containsString="0"/>
    </cacheField>
    <cacheField name="Import Country" numFmtId="0" sqlType="-10">
      <sharedItems containsSemiMixedTypes="0" containsString="0"/>
    </cacheField>
    <cacheField name="Export Region" numFmtId="0" sqlType="-10">
      <sharedItems containsSemiMixedTypes="0" containsString="0"/>
    </cacheField>
    <cacheField name="Import Region" numFmtId="0" sqlType="-10">
      <sharedItems containsSemiMixedTypes="0" containsString="0"/>
    </cacheField>
    <cacheField name="Capacity Type" numFmtId="0" sqlType="-10">
      <sharedItems containsSemiMixedTypes="0" containsString="0"/>
    </cacheField>
    <cacheField name="MW"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475.721156597225" missingItemsLimit="0" createdVersion="6" refreshedVersion="6" minRefreshableVersion="3" recordCount="81">
  <cacheSource type="external" connectionId="25"/>
  <cacheFields count="7">
    <cacheField name="Case" numFmtId="0" sqlType="-10">
      <sharedItems count="1">
        <s v="BASE"/>
      </sharedItems>
    </cacheField>
    <cacheField name="BaseYear" numFmtId="0" sqlType="-10">
      <sharedItems count="1">
        <s v="2030"/>
      </sharedItems>
    </cacheField>
    <cacheField name="ModelYear" numFmtId="0" sqlType="-10">
      <sharedItems count="1">
        <s v="2030"/>
      </sharedItems>
    </cacheField>
    <cacheField name="Export Region" numFmtId="0" sqlType="-10">
      <sharedItems count="22">
        <s v="DE4-E"/>
        <s v="DE4-N"/>
        <s v="DE4-S"/>
        <s v="DE4-W"/>
        <s v="DK1"/>
        <s v="DK2"/>
        <s v="EE"/>
        <s v="FIN"/>
        <s v="LT"/>
        <s v="LV"/>
        <s v="NL"/>
        <s v="NO1"/>
        <s v="NO2"/>
        <s v="NO3"/>
        <s v="NO4"/>
        <s v="NO5"/>
        <s v="PL"/>
        <s v="SE1"/>
        <s v="SE2"/>
        <s v="SE3"/>
        <s v="SE4"/>
        <s v="UK"/>
      </sharedItems>
    </cacheField>
    <cacheField name="Import Region" numFmtId="0" sqlType="-10">
      <sharedItems count="22">
        <s v="DE4-N"/>
        <s v="DE4-S"/>
        <s v="DE4-W"/>
        <s v="DK2"/>
        <s v="PL"/>
        <s v="DE4-E"/>
        <s v="DK1"/>
        <s v="NO2"/>
        <s v="SE4"/>
        <s v="NL"/>
        <s v="SE3"/>
        <s v="UK"/>
        <s v="FIN"/>
        <s v="LV"/>
        <s v="EE"/>
        <s v="NO4"/>
        <s v="SE1"/>
        <s v="LT"/>
        <s v="NO3"/>
        <s v="NO5"/>
        <s v="NO1"/>
        <s v="SE2"/>
      </sharedItems>
    </cacheField>
    <cacheField name="Capacity Type" numFmtId="0" sqlType="-10">
      <sharedItems count="2">
        <s v="Exogenous"/>
        <s v="Endogenous"/>
      </sharedItems>
    </cacheField>
    <cacheField name="MW" numFmtId="0" sqlType="8">
      <sharedItems containsSemiMixedTypes="0" containsString="0" containsNumber="1" containsInteger="1" minValue="0" maxValue="14416"/>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475.72116134259" missingItemsLimit="0" createdVersion="6" refreshedVersion="6" minRefreshableVersion="3" recordCount="47">
  <cacheSource type="external" connectionId="2"/>
  <cacheFields count="11">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Area" numFmtId="0" sqlType="-9">
      <sharedItems count="20">
        <s v="DK1_Large"/>
        <s v="DK1_Large_PHH"/>
        <s v="DK1_Large_PHL"/>
        <s v="DK1_MedSmall"/>
        <s v="DK1_Medium"/>
        <s v="DK1_NoDH"/>
        <s v="DK1_NoDH_PHH"/>
        <s v="DK1_NoDH_PHL"/>
        <s v="DK1_Rural"/>
        <s v="DK1_Small"/>
        <s v="DK2_Large"/>
        <s v="DK2_Large_PHH"/>
        <s v="DK2_Large_PHL"/>
        <s v="DK2_MedSmall"/>
        <s v="DK2_Medium"/>
        <s v="DK2_NoDH"/>
        <s v="DK2_NoDH_PHH"/>
        <s v="DK2_NoDH_PHL"/>
        <s v="DK2_Rural"/>
        <s v="DK2_Small"/>
      </sharedItems>
    </cacheField>
    <cacheField name="Fuel" numFmtId="0" sqlType="-9">
      <sharedItems count="6">
        <s v="HEAT"/>
        <s v="MUNIWASTE"/>
        <s v="NATGAS"/>
        <s v="ELECTRIC"/>
        <s v="SUN"/>
        <s v="WIND"/>
      </sharedItems>
    </cacheField>
    <cacheField name="Technology Category" numFmtId="0" sqlType="-9">
      <sharedItems count="5">
        <s v="Storage"/>
        <s v="Cogeneration"/>
        <s v="Conversion"/>
        <s v="Other"/>
        <s v="VRE"/>
      </sharedItems>
    </cacheField>
    <cacheField name="Technology Type" numFmtId="0" sqlType="-9">
      <sharedItems count="8">
        <s v="HE storage"/>
        <s v="HE storage S"/>
        <s v="Backpressure"/>
        <s v="Electricity to heat"/>
        <s v="Heat-Only"/>
        <s v="EL storage"/>
        <s v="Solar PV"/>
        <s v="Wind"/>
      </sharedItems>
    </cacheField>
    <cacheField name="Technology" numFmtId="0" sqlType="-9">
      <sharedItems count="14">
        <s v="GNR_HS_HEAT_WTR-TANK_LS_E-95_Y-2010"/>
        <s v="GNR_HS_HEAT_PIT_L-CEN_E-90_Y-2030"/>
        <s v="GNR_ST_MSW_BP_E-24_LS-220-MW-FEED_Y-2030"/>
        <s v="GNR_GT_NGAS_BP_E-43_LS-40-MW_Y-2030"/>
        <s v="GNR_BO_ELEC_E-99_LS-10-MW-FEED_PHH_Y-2030"/>
        <s v="GNR_BO_NGAS_E-70_PHH"/>
        <s v="GNR_BO_NGAS_E-82_PHL"/>
        <s v="GNR_HP_ELEC_GROUND-WTR_COP-380_LS-4-MW_Y-2030"/>
        <s v="GNR_HS_HEAT_PIT_L-DEC_E-91_Y-2030"/>
        <s v="GNR_ENG_NGAS_BP_E-48_Y-2030"/>
        <s v="GNR_ES_ELEC_BAT-LITHIO_E-97_Y-30-50"/>
        <s v="GNR_PV_SUN_LS-4-MW_Y-2030"/>
        <s v="GNR_WT_WIND_ON_LS_Y-2030"/>
        <s v="GNR_CC_NGAS_BP_E-53_SS-10-MW_Y-2030"/>
      </sharedItems>
    </cacheField>
    <cacheField name="MW" numFmtId="0" sqlType="8">
      <sharedItems containsSemiMixedTypes="0" containsString="0" containsNumber="1" minValue="4.3654816492516098" maxValue="10145.311074842901"/>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475.721166898147" missingItemsLimit="0" createdVersion="6" refreshedVersion="6" minRefreshableVersion="3" recordCount="563">
  <cacheSource type="external" connectionId="11"/>
  <cacheFields count="13">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1">
        <s v="DENMARK"/>
        <s v="ESTONIA"/>
        <s v="FINLAND"/>
        <s v="GERMANY"/>
        <s v="LATVIA"/>
        <s v="LITHUANIA"/>
        <s v="NETHERLANDS"/>
        <s v="NORWAY"/>
        <s v="POLAND"/>
        <s v="SWEDEN"/>
        <s v="UNITED_KINGDOM"/>
      </sharedItems>
    </cacheField>
    <cacheField name="Region" numFmtId="0" sqlType="-9">
      <sharedItems count="22">
        <s v="DK1"/>
        <s v="DK2"/>
        <s v="EE"/>
        <s v="FIN"/>
        <s v="DE4-E"/>
        <s v="DE4-N"/>
        <s v="DE4-S"/>
        <s v="DE4-W"/>
        <s v="LV"/>
        <s v="LT"/>
        <s v="NL"/>
        <s v="NO1"/>
        <s v="NO2"/>
        <s v="NO3"/>
        <s v="NO4"/>
        <s v="NO5"/>
        <s v="PL"/>
        <s v="SE1"/>
        <s v="SE2"/>
        <s v="SE3"/>
        <s v="SE4"/>
        <s v="UK"/>
      </sharedItems>
    </cacheField>
    <cacheField name="Area" numFmtId="0" sqlType="-9">
      <sharedItems/>
    </cacheField>
    <cacheField name="Fuel" numFmtId="0" sqlType="-9">
      <sharedItems count="23">
        <s v="BIOGAS"/>
        <s v="LIGHTOIL"/>
        <s v="MUNIWASTE"/>
        <s v="NATGAS"/>
        <s v="STRAW"/>
        <s v="WOODCHIPS"/>
        <s v="ELECTRIC"/>
        <s v="SUN"/>
        <s v="WATER"/>
        <s v="WIND"/>
        <s v="COAL"/>
        <s v="FUELOIL"/>
        <s v="RETORTGAS"/>
        <s v="WOOD"/>
        <s v="WOODWASTE"/>
        <s v="SHALE"/>
        <s v="PEAT"/>
        <s v="OTHERGAS"/>
        <s v="NUCLEAR"/>
        <s v="LIGNITE"/>
        <s v="WASTEHEAT"/>
        <s v="HEAT"/>
        <s v="WOODPELLETS"/>
      </sharedItems>
    </cacheField>
    <cacheField name="Technology Category" numFmtId="0" sqlType="-9">
      <sharedItems count="5">
        <s v="Cogeneration"/>
        <s v="Thermal power"/>
        <s v="Storage"/>
        <s v="VRE"/>
        <s v="Hydro power"/>
      </sharedItems>
    </cacheField>
    <cacheField name="Technology Type" numFmtId="0" sqlType="-9">
      <sharedItems count="9">
        <s v="Backpressure"/>
        <s v="Condensing"/>
        <s v="EL storage"/>
        <s v="Solar PV"/>
        <s v="Hydro ROR"/>
        <s v="Wind"/>
        <s v="Extraction"/>
        <s v="Hydro reservoir"/>
        <s v="EL storage S"/>
      </sharedItems>
    </cacheField>
    <cacheField name="Capacity Type" numFmtId="0" sqlType="-9">
      <sharedItems count="2">
        <s v="Exogenous"/>
        <s v="Endogenous"/>
      </sharedItems>
    </cacheField>
    <cacheField name="Technology" numFmtId="0" sqlType="-9">
      <sharedItems/>
    </cacheField>
    <cacheField name="MW" numFmtId="0" sqlType="8">
      <sharedItems containsSemiMixedTypes="0" containsString="0" containsNumber="1" minValue="0.01" maxValue="38640"/>
    </cacheField>
    <cacheField name="GW" numFmtId="0" sqlType="8">
      <sharedItems containsSemiMixedTypes="0" containsString="0" containsNumber="1" minValue="1.0000000000000001E-5" maxValue="19.821539999999999"/>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475.721171527781" missingItemsLimit="0" createdVersion="6" refreshedVersion="6" minRefreshableVersion="3" recordCount="781">
  <cacheSource type="external" connectionId="19"/>
  <cacheFields count="13">
    <cacheField name="Case" numFmtId="0" sqlType="-9">
      <sharedItems count="1">
        <s v="BASE"/>
      </sharedItems>
    </cacheField>
    <cacheField name="ModelYear" numFmtId="0" sqlType="-9">
      <sharedItems count="1">
        <s v="2030"/>
      </sharedItems>
    </cacheField>
    <cacheField name="BaseYear" numFmtId="0" sqlType="-9">
      <sharedItems count="1">
        <s v="2030"/>
      </sharedItems>
    </cacheField>
    <cacheField name="Country" numFmtId="0" sqlType="-9">
      <sharedItems count="9">
        <s v="DENMARK"/>
        <s v="ESTONIA"/>
        <s v="FINLAND"/>
        <s v="GERMANY"/>
        <s v="LATVIA"/>
        <s v="LITHUANIA"/>
        <s v="NORWAY"/>
        <s v="POLAND"/>
        <s v="SWEDEN"/>
      </sharedItems>
    </cacheField>
    <cacheField name="Region" numFmtId="0" sqlType="-9">
      <sharedItems count="20">
        <s v="DK1"/>
        <s v="DK2"/>
        <s v="EE"/>
        <s v="FIN"/>
        <s v="DE4-E"/>
        <s v="DE4-N"/>
        <s v="DE4-S"/>
        <s v="DE4-W"/>
        <s v="LV"/>
        <s v="LT"/>
        <s v="NO1"/>
        <s v="NO2"/>
        <s v="NO3"/>
        <s v="NO4"/>
        <s v="NO5"/>
        <s v="PL"/>
        <s v="SE1"/>
        <s v="SE2"/>
        <s v="SE3"/>
        <s v="SE4"/>
      </sharedItems>
    </cacheField>
    <cacheField name="Area" numFmtId="0" sqlType="-9">
      <sharedItems/>
    </cacheField>
    <cacheField name="Fuel" numFmtId="0" sqlType="-9">
      <sharedItems count="22">
        <s v="BIOGAS"/>
        <s v="BIOOIL"/>
        <s v="ELECTRIC"/>
        <s v="HEAT"/>
        <s v="LIGHTOIL"/>
        <s v="MUNIWASTE"/>
        <s v="NATGAS"/>
        <s v="STRAW"/>
        <s v="SUN"/>
        <s v="WASTEHEAT"/>
        <s v="WOODCHIPS"/>
        <s v="WOODPELLETS"/>
        <s v="FUELOIL"/>
        <s v="WOODWASTE"/>
        <s v="COAL"/>
        <s v="RETORTGAS"/>
        <s v="WOOD"/>
        <s v="SHALE"/>
        <s v="PEAT"/>
        <s v="OTHERGAS"/>
        <s v="LIGNITE"/>
        <s v="LNG"/>
      </sharedItems>
    </cacheField>
    <cacheField name="Technology Category" numFmtId="0" sqlType="-9">
      <sharedItems count="5">
        <s v="Cogeneration"/>
        <s v="Other"/>
        <s v="Conversion"/>
        <s v="Storage"/>
        <s v="VRE"/>
      </sharedItems>
    </cacheField>
    <cacheField name="Technology Type" numFmtId="0" sqlType="-9">
      <sharedItems count="7">
        <s v="Backpressure"/>
        <s v="Heat-Only"/>
        <s v="Electricity to heat"/>
        <s v="HE storage"/>
        <s v="HE storage S"/>
        <s v="Solar heat"/>
        <s v="Extraction"/>
      </sharedItems>
    </cacheField>
    <cacheField name="Capacity Type" numFmtId="0" sqlType="-9">
      <sharedItems count="2">
        <s v="Exogenous"/>
        <s v="Endogenous"/>
      </sharedItems>
    </cacheField>
    <cacheField name="Technology" numFmtId="0" sqlType="-9">
      <sharedItems/>
    </cacheField>
    <cacheField name="MW" numFmtId="0" sqlType="8">
      <sharedItems containsSemiMixedTypes="0" containsString="0" containsNumber="1" minValue="1.9230769230769201E-2" maxValue="44500"/>
    </cacheField>
    <cacheField name="GW" numFmtId="0" sqlType="8">
      <sharedItems containsSemiMixedTypes="0" containsString="0" containsNumber="1" minValue="1.9230769230769201E-5" maxValue="81.162488598742897"/>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Hardi Koduvere" refreshedDate="43475.721176851854" missingItemsLimit="0" createdVersion="6" refreshedVersion="6" minRefreshableVersion="3" recordCount="47">
  <cacheSource type="external" connectionId="23"/>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7">
        <s v="DENMARK"/>
        <s v="FINLAND"/>
        <s v="GERMANY"/>
        <s v="LITHUANIA"/>
        <s v="POLAND"/>
        <s v="SWEDEN"/>
        <s v="UNITED_KINGDOM"/>
      </sharedItems>
    </cacheField>
    <cacheField name="Region" numFmtId="0" sqlType="-9">
      <sharedItems count="14">
        <s v="DK1"/>
        <s v="DK2"/>
        <s v="FIN"/>
        <s v="DE4-E"/>
        <s v="DE4-N"/>
        <s v="DE4-S"/>
        <s v="DE4-W"/>
        <s v="LT"/>
        <s v="PL"/>
        <s v="SE1"/>
        <s v="SE2"/>
        <s v="SE3"/>
        <s v="SE4"/>
        <s v="UK"/>
      </sharedItems>
    </cacheField>
    <cacheField name="Area" numFmtId="0" sqlType="-9">
      <sharedItems/>
    </cacheField>
    <cacheField name="Fuel" numFmtId="0" sqlType="-9">
      <sharedItems count="2">
        <s v="HEAT"/>
        <s v="ELECTRIC"/>
      </sharedItems>
    </cacheField>
    <cacheField name="Technology Type" numFmtId="0" sqlType="-9">
      <sharedItems count="4">
        <s v="HE storage"/>
        <s v="HE storage S"/>
        <s v="EL storage"/>
        <s v="EL storage S"/>
      </sharedItems>
    </cacheField>
    <cacheField name="Capacity Type" numFmtId="0" sqlType="-9">
      <sharedItems count="2">
        <s v="Endogenous"/>
        <s v="Exogenous"/>
      </sharedItems>
    </cacheField>
    <cacheField name="Technology" numFmtId="0" sqlType="-9">
      <sharedItems count="14">
        <s v="GNR_HS_HEAT_WTR-TANK_LS_E-95_Y-2010"/>
        <s v="GNR_HS_HEAT_PIT_L-CEN_E-90_Y-2030"/>
        <s v="GNR_HS_HEAT_PIT_L-DEC_E-91_Y-2030"/>
        <s v="GNR_ES_ELEC_BAT-LITHIO_E-97_Y-30-50"/>
        <s v="GNR_HS_HEAT_PIT_L-CEN_E-90"/>
        <s v="AGG-DE4-E_ES_ELEC"/>
        <s v="AGG-DE4-E_RES_WTR_PMP"/>
        <s v="AGG-DE4-N_ES_ELEC"/>
        <s v="AGG-DE4-N_RES_WTR_PMP"/>
        <s v="AGG-DE4-S_ES_ELEC"/>
        <s v="AGG-DE4-S_RES_WTR_PMP"/>
        <s v="AGG-DE4-W_ES_ELEC"/>
        <s v="AGG-DE4-W_RES_WTR_PMP"/>
        <s v="GNR_ES_WTR_PMP"/>
      </sharedItems>
    </cacheField>
    <cacheField name="MWh" numFmtId="0" sqlType="8">
      <sharedItems containsSemiMixedTypes="0" containsString="0" containsNumber="1" minValue="0.41" maxValue="81162.488598742901"/>
    </cacheField>
    <cacheField name="GWh" numFmtId="0" sqlType="8">
      <sharedItems containsSemiMixedTypes="0" containsString="0" containsNumber="1" minValue="4.0999999999999999E-4" maxValue="81.162488598742897"/>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r:id="rId1" refreshedBy="Hardi Koduvere" refreshedDate="43475.721181828703" missingItemsLimit="0" createdVersion="6" refreshedVersion="6" minRefreshableVersion="3" recordCount="1804">
  <cacheSource type="external" connectionId="4"/>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1">
        <s v="DENMARK"/>
        <s v="ESTONIA"/>
        <s v="FINLAND"/>
        <s v="GERMANY"/>
        <s v="LATVIA"/>
        <s v="LITHUANIA"/>
        <s v="NETHERLANDS"/>
        <s v="NORWAY"/>
        <s v="POLAND"/>
        <s v="SWEDEN"/>
        <s v="UNITED_KINGDOM"/>
      </sharedItems>
    </cacheField>
    <cacheField name="Region" numFmtId="0" sqlType="-9">
      <sharedItems count="22">
        <s v="DK1"/>
        <s v="DK2"/>
        <s v="EE"/>
        <s v="FIN"/>
        <s v="DE4-E"/>
        <s v="DE4-N"/>
        <s v="DE4-S"/>
        <s v="DE4-W"/>
        <s v="LV"/>
        <s v="LT"/>
        <s v="NL"/>
        <s v="NO1"/>
        <s v="NO2"/>
        <s v="NO3"/>
        <s v="NO4"/>
        <s v="NO5"/>
        <s v="PL"/>
        <s v="SE1"/>
        <s v="SE2"/>
        <s v="SE3"/>
        <s v="SE4"/>
        <s v="UK"/>
      </sharedItems>
    </cacheField>
    <cacheField name="Area" numFmtId="0" sqlType="-9">
      <sharedItems containsBlank="1"/>
    </cacheField>
    <cacheField name="Fuel" numFmtId="0" sqlType="-9">
      <sharedItems containsBlank="1" count="26">
        <m/>
        <s v="BIOGAS"/>
        <s v="MUNIWASTE"/>
        <s v="NATGAS"/>
        <s v="STRAW"/>
        <s v="WOODCHIPS"/>
        <s v="ELECTRIC"/>
        <s v="SUN"/>
        <s v="WATER"/>
        <s v="WIND"/>
        <s v="COAL"/>
        <s v="HEAT"/>
        <s v="WASTEHEAT"/>
        <s v="WOODWASTE"/>
        <s v="BIOOIL"/>
        <s v="LIGHTOIL"/>
        <s v="WOODPELLETS"/>
        <s v="FUELOIL"/>
        <s v="RETORTGAS"/>
        <s v="WOOD"/>
        <s v="SHALE"/>
        <s v="PEAT"/>
        <s v="OTHERGAS"/>
        <s v="NUCLEAR"/>
        <s v="LIGNITE"/>
        <s v="LNG"/>
      </sharedItems>
    </cacheField>
    <cacheField name="Technology Category" numFmtId="0" sqlType="-9">
      <sharedItems containsBlank="1" count="8">
        <m/>
        <s v="Cogeneration"/>
        <s v="Conversion"/>
        <s v="Storage"/>
        <s v="Thermal power"/>
        <s v="VRE"/>
        <s v="Hydro power"/>
        <s v="Other"/>
      </sharedItems>
    </cacheField>
    <cacheField name="Technology Type" numFmtId="0" sqlType="-9">
      <sharedItems containsBlank="1" count="15">
        <m/>
        <s v="Backpressure"/>
        <s v="Electricity to heat"/>
        <s v="EL storage"/>
        <s v="Condensing"/>
        <s v="Solar PV"/>
        <s v="Hydro ROR"/>
        <s v="Wind"/>
        <s v="Extraction"/>
        <s v="HE storage S"/>
        <s v="HE storage"/>
        <s v="Heat-Only"/>
        <s v="Hydro reservoir"/>
        <s v="EL storage S"/>
        <s v="Solar heat"/>
      </sharedItems>
    </cacheField>
    <cacheField name="Technology" numFmtId="0" sqlType="-9">
      <sharedItems containsBlank="1"/>
    </cacheField>
    <cacheField name="Category" numFmtId="0" sqlType="-9">
      <sharedItems count="13">
        <s v="Consumer price €/MWh"/>
        <s v="Consumer costs M€"/>
        <s v="Producer price €/MWh"/>
        <s v="Producer revenue M€"/>
        <s v="Utilization hours - Electricity"/>
        <s v="Curtailment GWh"/>
        <s v="Generation investment cost M€"/>
        <s v="Fuel costs M€"/>
        <s v="Power plant fixed O&amp;M cost M€"/>
        <s v="Power plant variable O&amp;M cost M€"/>
        <s v="Transmission cost M€"/>
        <s v="Fuel used for electricity generation, PJ"/>
        <s v="Fuel used for heat generation, PJ"/>
      </sharedItems>
    </cacheField>
    <cacheField name="Value" numFmtId="0" sqlType="8">
      <sharedItems containsSemiMixedTypes="0" containsString="0" containsNumber="1" minValue="-76.683892329250099" maxValue="8760.0000000000091"/>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r:id="rId1" refreshedBy="Hardi Koduvere" refreshedDate="43475.721187615738" missingItemsLimit="0" createdVersion="6" refreshedVersion="6" minRefreshableVersion="3" recordCount="1804">
  <cacheSource type="external" connectionId="3"/>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1">
        <s v="DENMARK"/>
        <s v="ESTONIA"/>
        <s v="FINLAND"/>
        <s v="GERMANY"/>
        <s v="LATVIA"/>
        <s v="LITHUANIA"/>
        <s v="NETHERLANDS"/>
        <s v="NORWAY"/>
        <s v="POLAND"/>
        <s v="SWEDEN"/>
        <s v="UNITED_KINGDOM"/>
      </sharedItems>
    </cacheField>
    <cacheField name="Region" numFmtId="0" sqlType="-9">
      <sharedItems count="22">
        <s v="DK1"/>
        <s v="DK2"/>
        <s v="EE"/>
        <s v="FIN"/>
        <s v="DE4-E"/>
        <s v="DE4-N"/>
        <s v="DE4-S"/>
        <s v="DE4-W"/>
        <s v="LV"/>
        <s v="LT"/>
        <s v="NL"/>
        <s v="NO1"/>
        <s v="NO2"/>
        <s v="NO3"/>
        <s v="NO4"/>
        <s v="NO5"/>
        <s v="PL"/>
        <s v="SE1"/>
        <s v="SE2"/>
        <s v="SE3"/>
        <s v="SE4"/>
        <s v="UK"/>
      </sharedItems>
    </cacheField>
    <cacheField name="Area" numFmtId="0" sqlType="-9">
      <sharedItems containsBlank="1"/>
    </cacheField>
    <cacheField name="Fuel" numFmtId="0" sqlType="-9">
      <sharedItems containsBlank="1" count="26">
        <m/>
        <s v="BIOGAS"/>
        <s v="MUNIWASTE"/>
        <s v="NATGAS"/>
        <s v="STRAW"/>
        <s v="WOODCHIPS"/>
        <s v="ELECTRIC"/>
        <s v="SUN"/>
        <s v="WATER"/>
        <s v="WIND"/>
        <s v="COAL"/>
        <s v="HEAT"/>
        <s v="WASTEHEAT"/>
        <s v="WOODWASTE"/>
        <s v="BIOOIL"/>
        <s v="LIGHTOIL"/>
        <s v="WOODPELLETS"/>
        <s v="FUELOIL"/>
        <s v="RETORTGAS"/>
        <s v="WOOD"/>
        <s v="SHALE"/>
        <s v="PEAT"/>
        <s v="OTHERGAS"/>
        <s v="NUCLEAR"/>
        <s v="LIGNITE"/>
        <s v="LNG"/>
      </sharedItems>
    </cacheField>
    <cacheField name="Technology Category" numFmtId="0" sqlType="-9">
      <sharedItems containsBlank="1" count="8">
        <m/>
        <s v="Cogeneration"/>
        <s v="Conversion"/>
        <s v="Storage"/>
        <s v="Thermal power"/>
        <s v="VRE"/>
        <s v="Hydro power"/>
        <s v="Other"/>
      </sharedItems>
    </cacheField>
    <cacheField name="Technology Type" numFmtId="0" sqlType="-9">
      <sharedItems containsBlank="1" count="15">
        <m/>
        <s v="Backpressure"/>
        <s v="Electricity to heat"/>
        <s v="EL storage"/>
        <s v="Condensing"/>
        <s v="Solar PV"/>
        <s v="Hydro ROR"/>
        <s v="Wind"/>
        <s v="Extraction"/>
        <s v="HE storage S"/>
        <s v="HE storage"/>
        <s v="Heat-Only"/>
        <s v="Hydro reservoir"/>
        <s v="EL storage S"/>
        <s v="Solar heat"/>
      </sharedItems>
    </cacheField>
    <cacheField name="Technology" numFmtId="0" sqlType="-9">
      <sharedItems containsBlank="1"/>
    </cacheField>
    <cacheField name="Category" numFmtId="0" sqlType="-9">
      <sharedItems count="13">
        <s v="Consumer price €/MWh"/>
        <s v="Consumer costs M€"/>
        <s v="Producer price €/MWh"/>
        <s v="Producer revenue M€"/>
        <s v="Utilization hours - Electricity"/>
        <s v="Curtailment GWh"/>
        <s v="Generation investment cost M€"/>
        <s v="Fuel costs M€"/>
        <s v="Power plant fixed O&amp;M cost M€"/>
        <s v="Power plant variable O&amp;M cost M€"/>
        <s v="Transmission cost M€"/>
        <s v="Fuel used for electricity generation, PJ"/>
        <s v="Fuel used for heat generation, PJ"/>
      </sharedItems>
    </cacheField>
    <cacheField name="Value" numFmtId="0" sqlType="8">
      <sharedItems containsSemiMixedTypes="0" containsString="0" containsNumber="1" minValue="-76.683892329250099" maxValue="8760.0000000000091"/>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r:id="rId1" refreshedBy="Hardi Koduvere" refreshedDate="43475.72119236111" missingItemsLimit="0" createdVersion="5" refreshedVersion="6" minRefreshableVersion="3" recordCount="144">
  <cacheSource type="external" connectionId="8"/>
  <cacheFields count="9">
    <cacheField name="Case" numFmtId="0" sqlType="-10">
      <sharedItems count="1">
        <s v="BASE"/>
      </sharedItems>
    </cacheField>
    <cacheField name="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UserGroup" numFmtId="0" sqlType="-10">
      <sharedItems count="2">
        <s v="RESE"/>
        <s v="TRANS"/>
      </sharedItems>
    </cacheField>
    <cacheField name="Season" numFmtId="0" sqlType="-10">
      <sharedItems count="3">
        <s v="S12"/>
        <s v="S20"/>
        <s v="S35"/>
      </sharedItems>
    </cacheField>
    <cacheField name="Term" numFmtId="0" sqlType="-10">
      <sharedItems count="12">
        <s v="T005"/>
        <s v="T019"/>
        <s v="T033"/>
        <s v="T047"/>
        <s v="T061"/>
        <s v="T075"/>
        <s v="T089"/>
        <s v="T103"/>
        <s v="T117"/>
        <s v="T131"/>
        <s v="T145"/>
        <s v="T159"/>
      </sharedItems>
    </cacheField>
    <cacheField name="MW" numFmtId="0" sqlType="8">
      <sharedItems containsSemiMixedTypes="0" containsString="0" containsNumber="1" minValue="53.9762041284704" maxValue="2844.7555691818002"/>
    </cacheField>
    <cacheField name="MWh" numFmtId="0" sqlType="8">
      <sharedItems containsSemiMixedTypes="0" containsString="0" containsNumber="1" minValue="13134.2096712611" maxValue="692223.85516757099"/>
    </cacheField>
  </cacheFields>
  <extLst>
    <ext xmlns:x14="http://schemas.microsoft.com/office/spreadsheetml/2009/9/main" uri="{725AE2AE-9491-48be-B2B4-4EB974FC3084}">
      <x14:pivotCacheDefinition/>
    </ext>
  </extLst>
</pivotCacheDefinition>
</file>

<file path=xl/pivotCache/pivotCacheDefinition23.xml><?xml version="1.0" encoding="utf-8"?>
<pivotCacheDefinition xmlns="http://schemas.openxmlformats.org/spreadsheetml/2006/main" xmlns:r="http://schemas.openxmlformats.org/officeDocument/2006/relationships" r:id="rId1" refreshedBy="Hardi Koduvere" refreshedDate="43475.72119733796" missingItemsLimit="0" createdVersion="5" refreshedVersion="6" minRefreshableVersion="3" recordCount="4">
  <cacheSource type="external" connectionId="7"/>
  <cacheFields count="7">
    <cacheField name="Case" numFmtId="0" sqlType="-10">
      <sharedItems count="1">
        <s v="BASE"/>
      </sharedItems>
    </cacheField>
    <cacheField name="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UserGroup" numFmtId="0" sqlType="-10">
      <sharedItems count="2">
        <s v="RESE"/>
        <s v="TRANS"/>
      </sharedItems>
    </cacheField>
    <cacheField name="TWh" numFmtId="0" sqlType="8">
      <sharedItems containsSemiMixedTypes="0" containsString="0" containsNumber="1" minValue="0.67916699999999997" maxValue="18.366678" count="3">
        <n v="18.366678"/>
        <n v="0.67916699999999997"/>
        <n v="12.605129"/>
      </sharedItems>
    </cacheField>
    <cacheField name="GWh" numFmtId="0" sqlType="8">
      <sharedItems containsSemiMixedTypes="0" containsString="0" containsNumber="1" minValue="679.16700000000003" maxValue="18366.678" count="3">
        <n v="18366.678"/>
        <n v="679.16700000000003"/>
        <n v="12605.129000000001"/>
      </sharedItems>
    </cacheField>
  </cacheFields>
  <extLst>
    <ext xmlns:x14="http://schemas.microsoft.com/office/spreadsheetml/2009/9/main" uri="{725AE2AE-9491-48be-B2B4-4EB974FC3084}">
      <x14:pivotCacheDefinition/>
    </ext>
  </extLst>
</pivotCacheDefinition>
</file>

<file path=xl/pivotCache/pivotCacheDefinition24.xml><?xml version="1.0" encoding="utf-8"?>
<pivotCacheDefinition xmlns="http://schemas.openxmlformats.org/spreadsheetml/2006/main" xmlns:r="http://schemas.openxmlformats.org/officeDocument/2006/relationships" r:id="rId1" refreshedBy="Hardi Koduvere" refreshedDate="43475.721201504632" missingItemsLimit="0" createdVersion="6" refreshedVersion="6" minRefreshableVersion="3" recordCount="38">
  <cacheSource type="external" connectionId="16"/>
  <cacheFields count="11">
    <cacheField name="Case" numFmtId="0" sqlType="-10">
      <sharedItems count="1">
        <s v="BASE"/>
      </sharedItems>
    </cacheField>
    <cacheField name="Year" numFmtId="0" sqlType="-10">
      <sharedItems count="1">
        <s v="2030"/>
      </sharedItems>
    </cacheField>
    <cacheField name="Country" numFmtId="0" sqlType="-10">
      <sharedItems count="1">
        <s v="DENMARK"/>
      </sharedItems>
    </cacheField>
    <cacheField name="Region" numFmtId="0" sqlType="-10">
      <sharedItems count="2">
        <s v="DK1"/>
        <s v="DK2"/>
      </sharedItems>
    </cacheField>
    <cacheField name="Area" numFmtId="0" sqlType="-10">
      <sharedItems count="18">
        <s v="DK1_Large"/>
        <s v="DK1_Large_PHH"/>
        <s v="DK1_Large_PHL"/>
        <s v="DK1_MedSmall"/>
        <s v="DK1_Medium"/>
        <s v="DK1_NoDH_PHH"/>
        <s v="DK1_NoDH_PHL"/>
        <s v="DK1_Rural"/>
        <s v="DK1_Small"/>
        <s v="DK2_Large"/>
        <s v="DK2_Large_PHH"/>
        <s v="DK2_Large_PHL"/>
        <s v="DK2_MedSmall"/>
        <s v="DK2_Medium"/>
        <s v="DK2_NoDH_PHH"/>
        <s v="DK2_NoDH_PHL"/>
        <s v="DK2_Rural"/>
        <s v="DK2_Small"/>
      </sharedItems>
    </cacheField>
    <cacheField name="UserGroup" numFmtId="0" sqlType="-10">
      <sharedItems count="4">
        <s v="PHL"/>
        <s v="RESH"/>
        <s v="SH"/>
        <s v="PHH"/>
      </sharedItems>
    </cacheField>
    <cacheField name="Season" numFmtId="0" sqlType="-10">
      <sharedItems count="1">
        <s v="S35"/>
      </sharedItems>
    </cacheField>
    <cacheField name="Term" numFmtId="0" sqlType="-10">
      <sharedItems count="1">
        <s v="T159"/>
      </sharedItems>
    </cacheField>
    <cacheField name="MW" numFmtId="0" sqlType="8">
      <sharedItems containsSemiMixedTypes="0" containsString="0" containsNumber="1" minValue="5.0766986301369901" maxValue="27175.306273972601"/>
    </cacheField>
    <cacheField name="MWh" numFmtId="0" sqlType="8">
      <sharedItems containsSemiMixedTypes="0" containsString="0" containsNumber="1" minValue="1235.33" maxValue="6612657.8600000003"/>
    </cacheField>
    <cacheField name="GJ" numFmtId="0" sqlType="8">
      <sharedItems containsSemiMixedTypes="0" containsString="0" containsNumber="1" minValue="4447.1880000000001" maxValue="23805568.296"/>
    </cacheField>
  </cacheFields>
  <extLst>
    <ext xmlns:x14="http://schemas.microsoft.com/office/spreadsheetml/2009/9/main" uri="{725AE2AE-9491-48be-B2B4-4EB974FC3084}">
      <x14:pivotCacheDefinition/>
    </ext>
  </extLst>
</pivotCacheDefinition>
</file>

<file path=xl/pivotCache/pivotCacheDefinition25.xml><?xml version="1.0" encoding="utf-8"?>
<pivotCacheDefinition xmlns="http://schemas.openxmlformats.org/spreadsheetml/2006/main" xmlns:r="http://schemas.openxmlformats.org/officeDocument/2006/relationships" r:id="rId1" refreshedBy="Hardi Koduvere" refreshedDate="43475.72121087963" missingItemsLimit="0" createdVersion="6" refreshedVersion="6" minRefreshableVersion="3" recordCount="34738">
  <cacheSource type="external" connectionId="14"/>
  <cacheFields count="8">
    <cacheField name="Case" numFmtId="0" sqlType="-10">
      <sharedItems count="1">
        <s v="BASE"/>
      </sharedItems>
    </cacheField>
    <cacheField name="Year" numFmtId="0" sqlType="-10">
      <sharedItems count="39">
        <s v="2012"/>
        <s v="2013"/>
        <s v="2014"/>
        <s v="2015"/>
        <s v="2016"/>
        <s v="2017"/>
        <s v="2018"/>
        <s v="2019"/>
        <s v="2020"/>
        <s v="2021"/>
        <s v="2022"/>
        <s v="2023"/>
        <s v="2024"/>
        <s v="2025"/>
        <s v="2026"/>
        <s v="2027"/>
        <s v="2028"/>
        <s v="2029"/>
        <s v="2030"/>
        <s v="2031"/>
        <s v="2032"/>
        <s v="2033"/>
        <s v="2034"/>
        <s v="2035"/>
        <s v="2036"/>
        <s v="2037"/>
        <s v="2038"/>
        <s v="2039"/>
        <s v="2040"/>
        <s v="2041"/>
        <s v="2042"/>
        <s v="2043"/>
        <s v="2044"/>
        <s v="2045"/>
        <s v="2046"/>
        <s v="2047"/>
        <s v="2048"/>
        <s v="2049"/>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9">
        <s v="BIOGAS_UP"/>
        <s v="BIOGAS"/>
        <s v="BIOGAS_H2"/>
        <s v="BIOOIL"/>
        <s v="COAL"/>
        <s v="COAL_EXETS"/>
        <s v="DRYWOODCHIPS"/>
        <s v="FUELOIL"/>
        <s v="FUELOIL_EXETS"/>
        <s v="HEAVYFUELOIL"/>
        <s v="LIGHTOIL"/>
        <s v="LIGNITE"/>
        <s v="MUNIWASTE"/>
        <s v="NATGAS"/>
        <s v="NATGAS_EXETS"/>
        <s v="NUCLEAR"/>
        <s v="PEAT"/>
        <s v="RECYCLEDWOOD"/>
        <s v="RETORTGAS"/>
        <s v="SHALE"/>
        <s v="STRAW"/>
        <s v="THERMGAS_H2"/>
        <s v="THERMGAS_UP"/>
        <s v="WASTEHEAT"/>
        <s v="WOOD"/>
        <s v="WOODCHIPS"/>
        <s v="WOODPELLETS"/>
        <s v="WOODWASTE"/>
        <s v="THERMGAS"/>
      </sharedItems>
    </cacheField>
    <cacheField name="€/MWh" numFmtId="0" sqlType="8">
      <sharedItems containsSemiMixedTypes="0" containsString="0" containsNumber="1" minValue="9.7995028997514597E-2" maxValue="130.68"/>
    </cacheField>
    <cacheField name="€/GJ" numFmtId="0" sqlType="8">
      <sharedItems containsSemiMixedTypes="0" containsString="0" containsNumber="1" minValue="2.72208413881985E-2" maxValue="36.299999999999997"/>
    </cacheField>
  </cacheFields>
  <extLst>
    <ext xmlns:x14="http://schemas.microsoft.com/office/spreadsheetml/2009/9/main" uri="{725AE2AE-9491-48be-B2B4-4EB974FC3084}">
      <x14:pivotCacheDefinition/>
    </ext>
  </extLst>
</pivotCacheDefinition>
</file>

<file path=xl/pivotCache/pivotCacheDefinition26.xml><?xml version="1.0" encoding="utf-8"?>
<pivotCacheDefinition xmlns="http://schemas.openxmlformats.org/spreadsheetml/2006/main" xmlns:r="http://schemas.openxmlformats.org/officeDocument/2006/relationships" r:id="rId1" refreshedBy="Hardi Koduvere" refreshedDate="43475.721216666665" missingItemsLimit="0" createdVersion="6" refreshedVersion="6" minRefreshableVersion="3" recordCount="1785">
  <cacheSource type="external" connectionId="24"/>
  <cacheFields count="17">
    <cacheField name="Case" numFmtId="0" sqlType="-9">
      <sharedItems count="1">
        <s v="BASE"/>
      </sharedItems>
    </cacheField>
    <cacheField name="Technology" numFmtId="0" sqlType="-9">
      <sharedItems count="1785">
        <s v="ACHEMA1_ST_NGAS_EXT"/>
        <s v="ACHEMA1_ST_NGAS_EXT_CT-BGAS-H2"/>
        <s v="ACHEMA1_ST_NGAS_EXT_CT-BGAS-UP"/>
        <s v="ACHEMA1_ST_NGAS_EXT_CT-TGAS-H2"/>
        <s v="ACHEMA1_ST_NGAS_EXT_CT-TGAS-UP"/>
        <s v="ACHEMA2_ST_NGAS_EXT"/>
        <s v="ACHEMA2_ST_NGAS_EXT_CT-BGAS-H2"/>
        <s v="ACHEMA2_ST_NGAS_EXT_CT-BGAS-UP"/>
        <s v="ACHEMA2_ST_NGAS_EXT_CT-TGAS-H2"/>
        <s v="ACHEMA2_ST_NGAS_EXT_CT-TGAS-UP"/>
        <s v="ADAM-1_ST_LIGNITE_EXT"/>
        <s v="ADAM-2_ST_LIGNITE_CON"/>
        <s v="AGG-DE4-E_ES_ELEC"/>
        <s v="AGG-DE4-E_RES_WTR_PMP"/>
        <s v="AGG-DE4-N_ES_ELEC"/>
        <s v="AGG-DE4-N_RES_WTR_PMP"/>
        <s v="AGG-DE4-S_ES_ELEC"/>
        <s v="AGG-DE4-S_RES_WTR_PMP"/>
        <s v="AGG-DE4-W_ES_ELEC"/>
        <s v="AGG-DE4-W_RES_WTR_PMP"/>
        <s v="AITTALUOTO_IND-ST_PEAT_EXT"/>
        <s v="ALHOLMEN2_IND-ST_PEAT_EXT"/>
        <s v="ALYTUS_ENG_NGAS_BP"/>
        <s v="ALYTUS_ENG_NGAS_BP_CT-BGAS-H2"/>
        <s v="ALYTUS_ENG_NGAS_BP_CT-BGAS-UP"/>
        <s v="ALYTUS_ENG_NGAS_BP_CT-TGAS-H2"/>
        <s v="ALYTUS_ENG_NGAS_BP_CT-TGAS-UP"/>
        <s v="ANJALANKOSKI_IND-ST_WOODWST_EXT"/>
        <s v="AROS3_ST_FUELOIL_EXT"/>
        <s v="AROS6_ST_MSW_EXT"/>
        <s v="AROS7_ST_WOODWST_EXT"/>
        <s v="AUVERE_ST_SHALE_CND"/>
        <s v="BELC-1_ST_LIGNITE_EXT"/>
        <s v="BELC-2_ST_LIGNITE_CON"/>
        <s v="BIAL-1_ST_STRAW_BP"/>
        <s v="BIAL-4_ST_COAL_CND"/>
        <s v="BIAL-4_ST_COAL_CND-Straw"/>
        <s v="BIAL-4_ST_COAL_CND-WC"/>
        <s v="BIAL-4_ST_COAL_CND-WP"/>
        <s v="BIEL-4_ST_COAL_BP"/>
        <s v="BIEL-4_ST_COAL_BP-Straw"/>
        <s v="BIEL-4_ST_COAL_BP-WC"/>
        <s v="BIEL-4_ST_COAL_BP-WP"/>
        <s v="CHOR2-1_ST_COAL_BP"/>
        <s v="CHOR2-1_ST_COAL_BP-Straw"/>
        <s v="CHOR2-1_ST_COAL_BP-WC"/>
        <s v="CHOR2-1_ST_COAL_BP-WP"/>
        <s v="CORZ-3_ST_COAL_EXT"/>
        <s v="CORZ-3_ST_COAL_EXT-Straw"/>
        <s v="CORZ-3_ST_COAL_EXT-WC"/>
        <s v="CORZ-3_ST_COAL_EXT-WP"/>
        <s v="CZEC-1_ST_COAL_EXT"/>
        <s v="CZEC-1_ST_COAL_EXT-Straw"/>
        <s v="CZEC-1_ST_COAL_EXT-WC"/>
        <s v="CZEC-1_ST_COAL_EXT-WP"/>
        <s v="DOLN-1_ST_COAL_EXT"/>
        <s v="DOLN-1_ST_COAL_EXT-Straw"/>
        <s v="DOLN-1_ST_COAL_EXT-WC"/>
        <s v="DOLN-1_ST_COAL_EXT-WP"/>
        <s v="DOLN-2_ST_COAL_CND"/>
        <s v="DOLN-2_ST_COAL_CND-Straw"/>
        <s v="DOLN-2_ST_COAL_CND-WC"/>
        <s v="DOLN-2_ST_COAL_CND-WP"/>
        <s v="EBAVERE_ST_WOODWST_BP"/>
        <s v="ENEFIT_ST_RETORT-GAS_CND"/>
        <s v="GDAN2-1_ST_COAL_BP"/>
        <s v="GDAN2-1_ST_COAL_BP-Straw"/>
        <s v="GDAN2-1_ST_COAL_BP-WC"/>
        <s v="GDAN2-1_ST_COAL_BP-WP"/>
        <s v="GNR_BO_BFG_E-90"/>
        <s v="GNR_BO_BGAS_E-100"/>
        <s v="GNR_BO_BGAS_E-80"/>
        <s v="GNR_BO_BGAS_E-90"/>
        <s v="GNR_BO_BGAS_E-91"/>
        <s v="GNR_BO_BGAS_E-92"/>
        <s v="GNR_BO_BGAS_E-95"/>
        <s v="GNR_BO_BGAS_E-99"/>
        <s v="GNR_BO_BIOIL_E-100"/>
        <s v="GNR_BO_BIOIL_E-102"/>
        <s v="GNR_BO_BIOIL_E-103"/>
        <s v="GNR_BO_BIOIL_E-113"/>
        <s v="GNR_BO_BIOIL_E-75"/>
        <s v="GNR_BO_BIOIL_E-79"/>
        <s v="GNR_BO_BIOIL_E-85"/>
        <s v="GNR_BO_BIOIL_E-86"/>
        <s v="GNR_BO_BIOIL_E-90"/>
        <s v="GNR_BO_BIOIL_E-91"/>
        <s v="GNR_BO_BIOIL_E-92"/>
        <s v="GNR_BO_BIOIL_E-93"/>
        <s v="GNR_BO_BIOIL_E-94"/>
        <s v="GNR_BO_BIOIL_E-97"/>
        <s v="GNR_BO_BIOIL_E-99"/>
        <s v="GNR_BO_COAL_E-100"/>
        <s v="GNR_BO_COAL_E-100-Straw"/>
        <s v="GNR_BO_COAL_E-100-WC"/>
        <s v="GNR_BO_COAL_E-100-WP"/>
        <s v="GNR_BO_COAL_E-76"/>
        <s v="GNR_BO_COAL_E-76-Straw"/>
        <s v="GNR_BO_COAL_E-76-WC"/>
        <s v="GNR_BO_COAL_E-76-WP"/>
        <s v="GNR_BO_COAL_E-80"/>
        <s v="GNR_BO_COAL_E-80-Straw"/>
        <s v="GNR_BO_COAL_E-80-WC"/>
        <s v="GNR_BO_COAL_E-80-WP"/>
        <s v="GNR_BO_COAL_E-90"/>
        <s v="GNR_BO_COAL_E-90-Straw"/>
        <s v="GNR_BO_COAL_E-90-WC"/>
        <s v="GNR_BO_COAL_E-90-WP"/>
        <s v="GNR_BO_COAL_E-91"/>
        <s v="GNR_BO_COAL_E-91-Straw"/>
        <s v="GNR_BO_COAL_E-91-WC"/>
        <s v="GNR_BO_COAL_E-91-WP"/>
        <s v="GNR_BO_ELEC_E-100"/>
        <s v="GNR_BO_ELEC_E-80"/>
        <s v="GNR_BO_ELEC_E-98"/>
        <s v="GNR_BO_ELEC_E-99"/>
        <s v="GNR_BO_ELEC_E-99_LS-10-MW-FEED_PHH_Y-2020"/>
        <s v="GNR_BO_ELEC_E-99_LS-10-MW-FEED_PHH_Y-2030"/>
        <s v="GNR_BO_ELEC_E-99_LS-10-MW-FEED_PHH_Y-2040"/>
        <s v="GNR_BO_ELEC_E-99_LS-10-MW-FEED_PHH_Y-2050"/>
        <s v="GNR_BO_ELEC_E-99_LS-10-MW-FEED_PHL_Y-2020"/>
        <s v="GNR_BO_ELEC_E-99_LS-10-MW-FEED_PHL_Y-2030"/>
        <s v="GNR_BO_ELEC_E-99_LS-10-MW-FEED_PHL_Y-2040"/>
        <s v="GNR_BO_ELEC_E-99_LS-10-MW-FEED_PHL_Y-2050"/>
        <s v="GNR_BO_ELEC_E-99_LS-10-MW-FEED_Y-2020"/>
        <s v="GNR_BO_ELEC_E-99_LS-10-MW-FEED_Y-2030"/>
        <s v="GNR_BO_ELEC_E-99_LS-10-MW-FEED_Y-2050"/>
        <s v="GNR_BO_ELEC_E-99_MS-1-MW-FEED_Y-2020"/>
        <s v="GNR_BO_ELEC_E-99_MS-1-MW-FEED_Y-2030"/>
        <s v="GNR_BO_ELEC_E-99_MS-1-MW-FEED_Y-2050"/>
        <s v="GNR_BO_ELEC_E-99_SS-5-KW-FEED_Y-2020"/>
        <s v="GNR_BO_ELEC_E-99_SS-5-KW-FEED_Y-2030"/>
        <s v="GNR_BO_ELEC_E-99_SS-5-KW-FEED_Y-2050"/>
        <s v="GNR_BO_FUELOIL_E-100"/>
        <s v="GNR_BO_FUELOIL_E-61"/>
        <s v="GNR_BO_FUELOIL_E-80"/>
        <s v="GNR_BO_FUELOIL_E-83"/>
        <s v="GNR_BO_FUELOIL_E-85"/>
        <s v="GNR_BO_FUELOIL_E-88"/>
        <s v="GNR_BO_FUELOIL_E-89"/>
        <s v="GNR_BO_FUELOIL_E-90"/>
        <s v="GNR_BO_FUELOIL_E-91"/>
        <s v="GNR_BO_FUELOIL_E-92"/>
        <s v="GNR_BO_FUELOIL_E-95"/>
        <s v="GNR_BO_FUELOIL_E-99"/>
        <s v="GNR_BO_HYDROGEN_E-90"/>
        <s v="GNR_BO_LIGHTOIL_E-100"/>
        <s v="GNR_BO_LIGHTOIL_E-109"/>
        <s v="GNR_BO_LIGHTOIL_E-110"/>
        <s v="GNR_BO_LIGHTOIL_E-114"/>
        <s v="GNR_BO_LIGHTOIL_E-115"/>
        <s v="GNR_BO_LIGHTOIL_E-120"/>
        <s v="GNR_BO_LIGHTOIL_E-67"/>
        <s v="GNR_BO_LIGHTOIL_E-72"/>
        <s v="GNR_BO_LIGHTOIL_E-73"/>
        <s v="GNR_BO_LIGHTOIL_E-75"/>
        <s v="GNR_BO_LIGHTOIL_E-78"/>
        <s v="GNR_BO_LIGHTOIL_E-79"/>
        <s v="GNR_BO_LIGHTOIL_E-81"/>
        <s v="GNR_BO_LIGHTOIL_E-82"/>
        <s v="GNR_BO_LIGHTOIL_E-83"/>
        <s v="GNR_BO_LIGHTOIL_E-84"/>
        <s v="GNR_BO_LIGHTOIL_E-85"/>
        <s v="GNR_BO_LIGHTOIL_E-86"/>
        <s v="GNR_BO_LIGHTOIL_E-87"/>
        <s v="GNR_BO_LIGHTOIL_E-88"/>
        <s v="GNR_BO_LIGHTOIL_E-89"/>
        <s v="GNR_BO_LIGHTOIL_E-90"/>
        <s v="GNR_BO_LIGHTOIL_E-91"/>
        <s v="GNR_BO_LIGHTOIL_E-92"/>
        <s v="GNR_BO_LIGHTOIL_E-93"/>
        <s v="GNR_BO_LIGHTOIL_E-94"/>
        <s v="GNR_BO_LIGHTOIL_E-95"/>
        <s v="GNR_BO_LIGHTOIL_E-96"/>
        <s v="GNR_BO_LIGHTOIL_E-97"/>
        <s v="GNR_BO_LIGHTOIL_E-98"/>
        <s v="GNR_BO_LNG_E-90"/>
        <s v="GNR_BO_MSW_E-100"/>
        <s v="GNR_BO_MSW_E-104"/>
        <s v="GNR_BO_MSW_E-105"/>
        <s v="GNR_BO_MSW_E-106_LS-35-MW-FEED_Y-2020"/>
        <s v="GNR_BO_MSW_E-106_LS-35-MW-FEED_Y-2030"/>
        <s v="GNR_BO_MSW_E-106_LS-35-MW-FEED_Y-2050"/>
        <s v="GNR_BO_MSW_E-80"/>
        <s v="GNR_BO_MSW_E-90"/>
        <s v="GNR_BO_NGAS_E-100"/>
        <s v="GNR_BO_NGAS_E-100_CT-BGAS-H2"/>
        <s v="GNR_BO_NGAS_E-100_CT-BGAS-UP"/>
        <s v="GNR_BO_NGAS_E-100_CT-TGAS-H2"/>
        <s v="GNR_BO_NGAS_E-100_CT-TGAS-UP"/>
        <s v="GNR_BO_NGAS_E-101"/>
        <s v="GNR_BO_NGAS_E-101_CT-BGAS-H2"/>
        <s v="GNR_BO_NGAS_E-101_CT-BGAS-UP"/>
        <s v="GNR_BO_NGAS_E-101_CT-TGAS-H2"/>
        <s v="GNR_BO_NGAS_E-101_CT-TGAS-UP"/>
        <s v="GNR_BO_NGAS_E-102"/>
        <s v="GNR_BO_NGAS_E-102_CT-BGAS-H2"/>
        <s v="GNR_BO_NGAS_E-102_CT-BGAS-UP"/>
        <s v="GNR_BO_NGAS_E-102_CT-TGAS-H2"/>
        <s v="GNR_BO_NGAS_E-102_CT-TGAS-UP"/>
        <s v="GNR_BO_NGAS_E-103"/>
        <s v="GNR_BO_NGAS_E-103_CT-BGAS-H2"/>
        <s v="GNR_BO_NGAS_E-103_CT-BGAS-UP"/>
        <s v="GNR_BO_NGAS_E-103_CT-TGAS-H2"/>
        <s v="GNR_BO_NGAS_E-103_CT-TGAS-UP"/>
        <s v="GNR_BO_NGAS_E-104"/>
        <s v="GNR_BO_NGAS_E-104_CT-BGAS-H2"/>
        <s v="GNR_BO_NGAS_E-104_CT-BGAS-UP"/>
        <s v="GNR_BO_NGAS_E-104_CT-TGAS-H2"/>
        <s v="GNR_BO_NGAS_E-104_CT-TGAS-UP"/>
        <s v="GNR_BO_NGAS_E-105"/>
        <s v="GNR_BO_NGAS_E-105_CT-BGAS-H2"/>
        <s v="GNR_BO_NGAS_E-105_CT-BGAS-UP"/>
        <s v="GNR_BO_NGAS_E-105_CT-TGAS-H2"/>
        <s v="GNR_BO_NGAS_E-105_CT-TGAS-UP"/>
        <s v="GNR_BO_NGAS_E-105_SS-500-KW_Y-2020"/>
        <s v="GNR_BO_NGAS_E-105_SS-500-KW_Y-2020_CT-BGAS-H2"/>
        <s v="GNR_BO_NGAS_E-105_SS-500-KW_Y-2020_CT-BGAS-UP"/>
        <s v="GNR_BO_NGAS_E-105_SS-500-KW_Y-2020_CT-TGAS-H2"/>
        <s v="GNR_BO_NGAS_E-105_SS-500-KW_Y-2020_CT-TGAS-UP"/>
        <s v="GNR_BO_NGAS_E-106_SS-500-KW_Y-2030"/>
        <s v="GNR_BO_NGAS_E-106_SS-500-KW_Y-2030_CT-BGAS-H2"/>
        <s v="GNR_BO_NGAS_E-106_SS-500-KW_Y-2030_CT-BGAS-UP"/>
        <s v="GNR_BO_NGAS_E-106_SS-500-KW_Y-2030_CT-TGAS-H2"/>
        <s v="GNR_BO_NGAS_E-106_SS-500-KW_Y-2030_CT-TGAS-UP"/>
        <s v="GNR_BO_NGAS_E-106_SS-500-KW_Y-2050"/>
        <s v="GNR_BO_NGAS_E-106_SS-500-KW_Y-2050_CT-BGAS-H2"/>
        <s v="GNR_BO_NGAS_E-106_SS-500-KW_Y-2050_CT-BGAS-UP"/>
        <s v="GNR_BO_NGAS_E-106_SS-500-KW_Y-2050_CT-TGAS-H2"/>
        <s v="GNR_BO_NGAS_E-106_SS-500-KW_Y-2050_CT-TGAS-UP"/>
        <s v="GNR_BO_NGAS_E-70_PHH"/>
        <s v="GNR_BO_NGAS_E-80"/>
        <s v="GNR_BO_NGAS_E-80_CT-BGAS-H2"/>
        <s v="GNR_BO_NGAS_E-80_CT-BGAS-UP"/>
        <s v="GNR_BO_NGAS_E-80_CT-TGAS-H2"/>
        <s v="GNR_BO_NGAS_E-80_CT-TGAS-UP"/>
        <s v="GNR_BO_NGAS_E-82_PHL"/>
        <s v="GNR_BO_NGAS_E-85"/>
        <s v="GNR_BO_NGAS_E-85_CT-BGAS-H2"/>
        <s v="GNR_BO_NGAS_E-85_CT-BGAS-UP"/>
        <s v="GNR_BO_NGAS_E-85_CT-TGAS-H2"/>
        <s v="GNR_BO_NGAS_E-85_CT-TGAS-UP"/>
        <s v="GNR_BO_NGAS_E-90"/>
        <s v="GNR_BO_NGAS_E-90_CT-BGAS-H2"/>
        <s v="GNR_BO_NGAS_E-90_CT-BGAS-UP"/>
        <s v="GNR_BO_NGAS_E-90_CT-TGAS-H2"/>
        <s v="GNR_BO_NGAS_E-90_CT-TGAS-UP"/>
        <s v="GNR_BO_NGAS_E-97"/>
        <s v="GNR_BO_NGAS_E-97_CT-BGAS-H2"/>
        <s v="GNR_BO_NGAS_E-97_CT-BGAS-UP"/>
        <s v="GNR_BO_NGAS_E-97_CT-TGAS-H2"/>
        <s v="GNR_BO_NGAS_E-97_CT-TGAS-UP"/>
        <s v="GNR_BO_NGAS_E-98"/>
        <s v="GNR_BO_NGAS_E-98_CT-BGAS-H2"/>
        <s v="GNR_BO_NGAS_E-98_CT-BGAS-UP"/>
        <s v="GNR_BO_NGAS_E-98_CT-TGAS-H2"/>
        <s v="GNR_BO_NGAS_E-98_CT-TGAS-UP"/>
        <s v="GNR_BO_NGAS_E-99"/>
        <s v="GNR_BO_NGAS_E-99_CT-BGAS-H2"/>
        <s v="GNR_BO_NGAS_E-99_CT-BGAS-UP"/>
        <s v="GNR_BO_NGAS_E-99_CT-TGAS-H2"/>
        <s v="GNR_BO_NGAS_E-99_CT-TGAS-UP"/>
        <s v="GNR_BO_OTHER_E-90"/>
        <s v="GNR_BO_PEAT_E-90"/>
        <s v="GNR_BO_SHALE_E-34"/>
        <s v="GNR_BO_STRW_E-100"/>
        <s v="GNR_BO_STRW_E-102"/>
        <s v="GNR_BO_STRW_E-104_LS-6-MW-FEED_Y-2020"/>
        <s v="GNR_BO_STRW_E-104_LS-6-MW-FEED_Y-2030"/>
        <s v="GNR_BO_STRW_E-104_LS-6-MW-FEED_Y-2050"/>
        <s v="GNR_BO_WOODCHI_E-100"/>
        <s v="GNR_BO_WOODCHI_E-105"/>
        <s v="GNR_BO_WOODCHI_E-106"/>
        <s v="GNR_BO_WOODCHI_E-107"/>
        <s v="GNR_BO_WOODCHI_E-108"/>
        <s v="GNR_BO_WOODCHI_E-110"/>
        <s v="GNR_BO_WOODCHI_E-111"/>
        <s v="GNR_BO_WOODCHI_E-112"/>
        <s v="GNR_BO_WOODCHI_E-113"/>
        <s v="GNR_BO_WOODCHI_E-114"/>
        <s v="GNR_BO_WOODCHI_E-117"/>
        <s v="GNR_BO_WOODCHI_E-117_LS-6-MW-FEED_Y-2020"/>
        <s v="GNR_BO_WOODCHI_E-117_LS-6-MW-FEED_Y-2030"/>
        <s v="GNR_BO_WOODCHI_E-117_LS-6-MW-FEED_Y-2050"/>
        <s v="GNR_BO_WOODCHI_E-118"/>
        <s v="GNR_BO_WOODCHI_E-119"/>
        <s v="GNR_BO_WOODCHI_E-120"/>
        <s v="GNR_BO_WOODCHI_E-90"/>
        <s v="GNR_BO_WOODPEL_E-100"/>
        <s v="GNR_BO_WOODPEL_E-102"/>
        <s v="GNR_BO_WOODPEL_E-102_LS-6-MW-FEED_Y-2020"/>
        <s v="GNR_BO_WOODPEL_E-102_LS-6-MW-FEED_Y-2030"/>
        <s v="GNR_BO_WOODPEL_E-102_LS-6-MW-FEED_Y-2050"/>
        <s v="GNR_BO_WOODPEL_E-87_SS-5-KW-FEED_Y-2020"/>
        <s v="GNR_BO_WOODPEL_E-90"/>
        <s v="GNR_BO_WOODPEL_E-91_SS-4-KW-FEED_Y-2030"/>
        <s v="GNR_BO_WOODPEL_E-95_SS-4-KW-FEED_Y-2050"/>
        <s v="GNR_BO_WOODWST_E-100"/>
        <s v="GNR_BO_WOODWST_E-113"/>
        <s v="GNR_BO_WOODWST_E-82"/>
        <s v="GNR_BO_WOODWST_E-84"/>
        <s v="GNR_BO_WOODWST_E-86"/>
        <s v="GNR_BO_WOODWST_E-89"/>
        <s v="GNR_BO_WOODWST_E-90"/>
        <s v="GNR_BO_WOODWST_E-91"/>
        <s v="GNR_BO_WOODWST_E-94"/>
        <s v="GNR_BO_WOOD_E-100"/>
        <s v="GNR_BO_WOOD_E-108"/>
        <s v="GNR_BO_WOOD_E-67"/>
        <s v="GNR_CC_COAL_BP_E-47"/>
        <s v="GNR_CC_COAL_BP_E-47-Straw"/>
        <s v="GNR_CC_COAL_BP_E-47-WC"/>
        <s v="GNR_CC_COAL_BP_E-47-WP"/>
        <s v="GNR_CC_COAL_BP_E-49"/>
        <s v="GNR_CC_COAL_BP_E-49-Straw"/>
        <s v="GNR_CC_COAL_BP_E-49-WC"/>
        <s v="GNR_CC_COAL_BP_E-49-WP"/>
        <s v="GNR_CC_FUELOIL_BP_E-38"/>
        <s v="GNR_CC_FUELOIL_CND_E-38"/>
        <s v="GNR_CC_NGAS_BP_CB-100"/>
        <s v="GNR_CC_NGAS_BP_CB-100_CT-BGAS-H2"/>
        <s v="GNR_CC_NGAS_BP_CB-100_CT-BGAS-UP"/>
        <s v="GNR_CC_NGAS_BP_CB-100_CT-TGAS-H2"/>
        <s v="GNR_CC_NGAS_BP_CB-100_CT-TGAS-UP"/>
        <s v="GNR_CC_NGAS_BP_CB-110"/>
        <s v="GNR_CC_NGAS_BP_CB-110_CT-BGAS-H2"/>
        <s v="GNR_CC_NGAS_BP_CB-110_CT-BGAS-UP"/>
        <s v="GNR_CC_NGAS_BP_CB-110_CT-TGAS-H2"/>
        <s v="GNR_CC_NGAS_BP_CB-110_CT-TGAS-UP"/>
        <s v="GNR_CC_NGAS_BP_CB-90"/>
        <s v="GNR_CC_NGAS_BP_CB-90_CT-BGAS-H2"/>
        <s v="GNR_CC_NGAS_BP_CB-90_CT-BGAS-UP"/>
        <s v="GNR_CC_NGAS_BP_CB-90_CT-TGAS-H2"/>
        <s v="GNR_CC_NGAS_BP_CB-90_CT-TGAS-UP"/>
        <s v="GNR_CC_NGAS_BP_E-18"/>
        <s v="GNR_CC_NGAS_BP_E-18_CT-BGAS-H2"/>
        <s v="GNR_CC_NGAS_BP_E-18_CT-BGAS-UP"/>
        <s v="GNR_CC_NGAS_BP_E-18_CT-TGAS-H2"/>
        <s v="GNR_CC_NGAS_BP_E-18_CT-TGAS-UP"/>
        <s v="GNR_CC_NGAS_BP_E-30"/>
        <s v="GNR_CC_NGAS_BP_E-30_CT-BGAS-H2"/>
        <s v="GNR_CC_NGAS_BP_E-30_CT-BGAS-UP"/>
        <s v="GNR_CC_NGAS_BP_E-30_CT-TGAS-H2"/>
        <s v="GNR_CC_NGAS_BP_E-30_CT-TGAS-UP"/>
        <s v="GNR_CC_NGAS_BP_E-39"/>
        <s v="GNR_CC_NGAS_BP_E-39_CT-BGAS-H2"/>
        <s v="GNR_CC_NGAS_BP_E-39_CT-BGAS-UP"/>
        <s v="GNR_CC_NGAS_BP_E-39_CT-TGAS-H2"/>
        <s v="GNR_CC_NGAS_BP_E-39_CT-TGAS-UP"/>
        <s v="GNR_CC_NGAS_BP_E-42"/>
        <s v="GNR_CC_NGAS_BP_E-42_CT-BGAS-H2"/>
        <s v="GNR_CC_NGAS_BP_E-42_CT-BGAS-UP"/>
        <s v="GNR_CC_NGAS_BP_E-42_CT-TGAS-H2"/>
        <s v="GNR_CC_NGAS_BP_E-42_CT-TGAS-UP"/>
        <s v="GNR_CC_NGAS_BP_E-51_SS-10-MW_Y-2020"/>
        <s v="GNR_CC_NGAS_BP_E-51_SS-10-MW_Y-2020_CT-BGAS-H2"/>
        <s v="GNR_CC_NGAS_BP_E-51_SS-10-MW_Y-2020_CT-BGAS-UP"/>
        <s v="GNR_CC_NGAS_BP_E-51_SS-10-MW_Y-2020_CT-TGAS-H2"/>
        <s v="GNR_CC_NGAS_BP_E-51_SS-10-MW_Y-2020_CT-TGAS-UP"/>
        <s v="GNR_CC_NGAS_BP_E-53"/>
        <s v="GNR_CC_NGAS_BP_E-53_CT-BGAS-H2"/>
        <s v="GNR_CC_NGAS_BP_E-53_CT-BGAS-UP"/>
        <s v="GNR_CC_NGAS_BP_E-53_CT-TGAS-H2"/>
        <s v="GNR_CC_NGAS_BP_E-53_CT-TGAS-UP"/>
        <s v="GNR_CC_NGAS_BP_E-53_SS-10-MW_Y-2030"/>
        <s v="GNR_CC_NGAS_BP_E-53_SS-10-MW_Y-2030_CT-BGAS-H2"/>
        <s v="GNR_CC_NGAS_BP_E-53_SS-10-MW_Y-2030_CT-BGAS-UP"/>
        <s v="GNR_CC_NGAS_BP_E-53_SS-10-MW_Y-2030_CT-TGAS-H2"/>
        <s v="GNR_CC_NGAS_BP_E-53_SS-10-MW_Y-2030_CT-TGAS-UP"/>
        <s v="GNR_CC_NGAS_BP_E-55"/>
        <s v="GNR_CC_NGAS_BP_E-55_CT-BGAS-H2"/>
        <s v="GNR_CC_NGAS_BP_E-55_CT-BGAS-UP"/>
        <s v="GNR_CC_NGAS_BP_E-55_CT-TGAS-H2"/>
        <s v="GNR_CC_NGAS_BP_E-55_CT-TGAS-UP"/>
        <s v="GNR_CC_NGAS_BP_E-55_SS-10-MW_Y-2050"/>
        <s v="GNR_CC_NGAS_BP_E-55_SS-10-MW_Y-2050_CT-BGAS-H2"/>
        <s v="GNR_CC_NGAS_BP_E-55_SS-10-MW_Y-2050_CT-BGAS-UP"/>
        <s v="GNR_CC_NGAS_BP_E-55_SS-10-MW_Y-2050_CT-TGAS-H2"/>
        <s v="GNR_CC_NGAS_BP_E-55_SS-10-MW_Y-2050_CT-TGAS-UP"/>
        <s v="GNR_CC_NGAS_BP_E-57"/>
        <s v="GNR_CC_NGAS_BP_E-57_CT-BGAS-H2"/>
        <s v="GNR_CC_NGAS_BP_E-57_CT-BGAS-UP"/>
        <s v="GNR_CC_NGAS_BP_E-57_CT-TGAS-H2"/>
        <s v="GNR_CC_NGAS_BP_E-57_CT-TGAS-UP"/>
        <s v="GNR_CC_NGAS_CND_E-38"/>
        <s v="GNR_CC_NGAS_CND_E-38_CT-BGAS-H2"/>
        <s v="GNR_CC_NGAS_CND_E-38_CT-BGAS-UP"/>
        <s v="GNR_CC_NGAS_CND_E-38_CT-TGAS-H2"/>
        <s v="GNR_CC_NGAS_CND_E-38_CT-TGAS-UP"/>
        <s v="GNR_CC_NGAS_CND_E-42"/>
        <s v="GNR_CC_NGAS_CND_E-42_CT-BGAS-H2"/>
        <s v="GNR_CC_NGAS_CND_E-42_CT-BGAS-UP"/>
        <s v="GNR_CC_NGAS_CND_E-42_CT-TGAS-H2"/>
        <s v="GNR_CC_NGAS_CND_E-42_CT-TGAS-UP"/>
        <s v="GNR_CC_NGAS_CND_E-43"/>
        <s v="GNR_CC_NGAS_CND_E-43_CT-BGAS-H2"/>
        <s v="GNR_CC_NGAS_CND_E-43_CT-BGAS-UP"/>
        <s v="GNR_CC_NGAS_CND_E-43_CT-TGAS-H2"/>
        <s v="GNR_CC_NGAS_CND_E-43_CT-TGAS-UP"/>
        <s v="GNR_CC_NGAS_CND_E-47"/>
        <s v="GNR_CC_NGAS_CND_E-47_CT-BGAS-H2"/>
        <s v="GNR_CC_NGAS_CND_E-47_CT-BGAS-UP"/>
        <s v="GNR_CC_NGAS_CND_E-47_CT-TGAS-H2"/>
        <s v="GNR_CC_NGAS_CND_E-47_CT-TGAS-UP"/>
        <s v="GNR_CC_NGAS_CND_E-51"/>
        <s v="GNR_CC_NGAS_CND_E-51_CT-BGAS-H2"/>
        <s v="GNR_CC_NGAS_CND_E-51_CT-BGAS-UP"/>
        <s v="GNR_CC_NGAS_CND_E-51_CT-TGAS-H2"/>
        <s v="GNR_CC_NGAS_CND_E-51_CT-TGAS-UP"/>
        <s v="GNR_CC_NGAS_CND_E-51_SS-10-MW_Y-2020"/>
        <s v="GNR_CC_NGAS_CND_E-51_SS-10-MW_Y-2020_CT-BGAS-H2"/>
        <s v="GNR_CC_NGAS_CND_E-51_SS-10-MW_Y-2020_CT-BGAS-UP"/>
        <s v="GNR_CC_NGAS_CND_E-51_SS-10-MW_Y-2020_CT-TGAS-H2"/>
        <s v="GNR_CC_NGAS_CND_E-51_SS-10-MW_Y-2020_CT-TGAS-UP"/>
        <s v="GNR_CC_NGAS_CND_E-52"/>
        <s v="GNR_CC_NGAS_CND_E-52_CT-BGAS-H2"/>
        <s v="GNR_CC_NGAS_CND_E-52_CT-BGAS-UP"/>
        <s v="GNR_CC_NGAS_CND_E-52_CT-TGAS-H2"/>
        <s v="GNR_CC_NGAS_CND_E-52_CT-TGAS-UP"/>
        <s v="GNR_CC_NGAS_CND_E-53_SS-10-MW_Y-2030"/>
        <s v="GNR_CC_NGAS_CND_E-53_SS-10-MW_Y-2030_CT-BGAS-H2"/>
        <s v="GNR_CC_NGAS_CND_E-53_SS-10-MW_Y-2030_CT-BGAS-UP"/>
        <s v="GNR_CC_NGAS_CND_E-53_SS-10-MW_Y-2030_CT-TGAS-H2"/>
        <s v="GNR_CC_NGAS_CND_E-53_SS-10-MW_Y-2030_CT-TGAS-UP"/>
        <s v="GNR_CC_NGAS_CND_E-55_SS-10-MW_Y-2050"/>
        <s v="GNR_CC_NGAS_CND_E-55_SS-10-MW_Y-2050_CT-BGAS-H2"/>
        <s v="GNR_CC_NGAS_CND_E-55_SS-10-MW_Y-2050_CT-BGAS-UP"/>
        <s v="GNR_CC_NGAS_CND_E-55_SS-10-MW_Y-2050_CT-TGAS-H2"/>
        <s v="GNR_CC_NGAS_CND_E-55_SS-10-MW_Y-2050_CT-TGAS-UP"/>
        <s v="GNR_CC_NGAS_CND_E-56"/>
        <s v="GNR_CC_NGAS_CND_E-56_CT-BGAS-H2"/>
        <s v="GNR_CC_NGAS_CND_E-56_CT-BGAS-UP"/>
        <s v="GNR_CC_NGAS_CND_E-56_CT-TGAS-H2"/>
        <s v="GNR_CC_NGAS_CND_E-56_CT-TGAS-UP"/>
        <s v="GNR_CC_NGAS_CND_E-57"/>
        <s v="GNR_CC_NGAS_CND_E-57_CT-BGAS-H2"/>
        <s v="GNR_CC_NGAS_CND_E-57_CT-BGAS-UP"/>
        <s v="GNR_CC_NGAS_CND_E-57_CT-TGAS-H2"/>
        <s v="GNR_CC_NGAS_CND_E-57_CT-TGAS-UP"/>
        <s v="GNR_CC_NGAS_CND_E-58"/>
        <s v="GNR_CC_NGAS_CND_E-58_CT-BGAS-H2"/>
        <s v="GNR_CC_NGAS_CND_E-58_CT-BGAS-UP"/>
        <s v="GNR_CC_NGAS_CND_E-58_CT-TGAS-H2"/>
        <s v="GNR_CC_NGAS_CND_E-58_CT-TGAS-UP"/>
        <s v="GNR_CC_NGAS_CND_E-59_LS-100-MW_Y-2020"/>
        <s v="GNR_CC_NGAS_CND_E-59_LS-100-MW_Y-2020_CT-BGAS-H2"/>
        <s v="GNR_CC_NGAS_CND_E-59_LS-100-MW_Y-2020_CT-BGAS-UP"/>
        <s v="GNR_CC_NGAS_CND_E-59_LS-100-MW_Y-2020_CT-TGAS-H2"/>
        <s v="GNR_CC_NGAS_CND_E-59_LS-100-MW_Y-2020_CT-TGAS-UP"/>
        <s v="GNR_CC_NGAS_CND_E-61_LS-100-MW_Y-2030"/>
        <s v="GNR_CC_NGAS_CND_E-61_LS-100-MW_Y-2030_CT-BGAS-H2"/>
        <s v="GNR_CC_NGAS_CND_E-61_LS-100-MW_Y-2030_CT-BGAS-UP"/>
        <s v="GNR_CC_NGAS_CND_E-61_LS-100-MW_Y-2030_CT-TGAS-H2"/>
        <s v="GNR_CC_NGAS_CND_E-61_LS-100-MW_Y-2030_CT-TGAS-UP"/>
        <s v="GNR_CC_NGAS_CND_E-63_LS-100-MW_Y-2050"/>
        <s v="GNR_CC_NGAS_CND_E-63_LS-100-MW_Y-2050_CT-BGAS-H2"/>
        <s v="GNR_CC_NGAS_CND_E-63_LS-100-MW_Y-2050_CT-BGAS-UP"/>
        <s v="GNR_CC_NGAS_CND_E-63_LS-100-MW_Y-2050_CT-TGAS-H2"/>
        <s v="GNR_CC_NGAS_CND_E-63_LS-100-MW_Y-2050_CT-TGAS-UP"/>
        <s v="GNR_CC_NGAS_EXT_E-59_LS-100-MW_Y-2020"/>
        <s v="GNR_CC_NGAS_EXT_E-59_LS-100-MW_Y-2020_CT-BGAS-H2"/>
        <s v="GNR_CC_NGAS_EXT_E-59_LS-100-MW_Y-2020_CT-BGAS-UP"/>
        <s v="GNR_CC_NGAS_EXT_E-59_LS-100-MW_Y-2020_CT-TGAS-H2"/>
        <s v="GNR_CC_NGAS_EXT_E-59_LS-100-MW_Y-2020_CT-TGAS-UP"/>
        <s v="GNR_CC_NGAS_EXT_E-61_LS-100-MW_Y-2030"/>
        <s v="GNR_CC_NGAS_EXT_E-61_LS-100-MW_Y-2030_CT-BGAS-H2"/>
        <s v="GNR_CC_NGAS_EXT_E-61_LS-100-MW_Y-2030_CT-BGAS-UP"/>
        <s v="GNR_CC_NGAS_EXT_E-61_LS-100-MW_Y-2030_CT-TGAS-H2"/>
        <s v="GNR_CC_NGAS_EXT_E-61_LS-100-MW_Y-2030_CT-TGAS-UP"/>
        <s v="GNR_CC_NGAS_EXT_E-63_LS-100-MW_Y-2050"/>
        <s v="GNR_CC_NGAS_EXT_E-63_LS-100-MW_Y-2050_CT-BGAS-H2"/>
        <s v="GNR_CC_NGAS_EXT_E-63_LS-100-MW_Y-2050_CT-BGAS-UP"/>
        <s v="GNR_CC_NGAS_EXT_E-63_LS-100-MW_Y-2050_CT-TGAS-H2"/>
        <s v="GNR_CC_NGAS_EXT_E-63_LS-100-MW_Y-2050_CT-TGAS-UP"/>
        <s v="GNR_EH_HEAT"/>
        <s v="GNR_ELYS_ELEC_AEC_Y-15"/>
        <s v="GNR_ELYS_ELEC_AEC_Y-20"/>
        <s v="GNR_ELYS_ELEC_AEC_Y-30"/>
        <s v="GNR_ELYS_ELEC_AEC_Y-50"/>
        <s v="GNR_ELYS_ELEC_PEMEC_Y-15"/>
        <s v="GNR_ELYS_ELEC_PEMEC_Y-20"/>
        <s v="GNR_ELYS_ELEC_PEMEC_Y-30"/>
        <s v="GNR_ELYS_ELEC_PEMEC_Y-50"/>
        <s v="GNR_ELYS_ELEC_SOEC_Y-20"/>
        <s v="GNR_ELYS_ELEC_SOEC_Y-30"/>
        <s v="GNR_ELYS_ELEC_SOEC_Y-50"/>
        <s v="GNR_ENG_BGAS_BP_CB-100"/>
        <s v="GNR_ENG_BGAS_BP_E-30"/>
        <s v="GNR_ENG_BGAS_BP_E-31"/>
        <s v="GNR_ENG_BGAS_BP_E-32"/>
        <s v="GNR_ENG_BGAS_BP_E-33"/>
        <s v="GNR_ENG_BGAS_BP_E-34"/>
        <s v="GNR_ENG_BGAS_BP_E-35"/>
        <s v="GNR_ENG_BGAS_BP_E-36"/>
        <s v="GNR_ENG_BGAS_BP_E-37"/>
        <s v="GNR_ENG_BGAS_BP_E-38"/>
        <s v="GNR_ENG_BGAS_BP_E-39"/>
        <s v="GNR_ENG_BGAS_BP_E-40"/>
        <s v="GNR_ENG_BGAS_BP_E-41"/>
        <s v="GNR_ENG_BGAS_BP_E-42"/>
        <s v="GNR_ENG_BGAS_BP_E-43"/>
        <s v="GNR_ENG_BGAS_BP_E-43_Y-2020"/>
        <s v="GNR_ENG_BGAS_BP_E-45"/>
        <s v="GNR_ENG_BGAS_BP_E-45_Y-2030"/>
        <s v="GNR_ENG_BGAS_BP_E-47_Y-2050"/>
        <s v="GNR_ENG_BGAS_CND_E-32"/>
        <s v="GNR_ENG_BGAS_CND_E-35"/>
        <s v="GNR_ENG_BGAS_CND_E-36"/>
        <s v="GNR_ENG_BGAS_CND_E-42"/>
        <s v="GNR_ENG_BGAS_CND_E-43_Y-2020"/>
        <s v="GNR_ENG_BGAS_CND_E-44"/>
        <s v="GNR_ENG_BGAS_CND_E-45"/>
        <s v="GNR_ENG_BGAS_CND_E-45_Y-2030"/>
        <s v="GNR_ENG_BGAS_CND_E-47_Y-2050"/>
        <s v="GNR_ENG_BGAS_EXT_E-33"/>
        <s v="GNR_ENG_FUELOIL_CND_E-42"/>
        <s v="GNR_ENG_LIGHTOIL_BP_E-35"/>
        <s v="GNR_ENG_LIGHTOIL_BP_E-37"/>
        <s v="GNR_ENG_LIGHTOIL_BP_E-39"/>
        <s v="GNR_ENG_LIGHTOIL_BP_E-43"/>
        <s v="GNR_ENG_LIGHTOIL_CND_E-33"/>
        <s v="GNR_ENG_LIGHTOIL_CND_E-34"/>
        <s v="GNR_ENG_LIGHTOIL_CND_E-36"/>
        <s v="GNR_ENG_LIGHTOIL_CND_E-37"/>
        <s v="GNR_ENG_LIGHTOIL_CND_E-38"/>
        <s v="GNR_ENG_LIGHTOIL_CND_E-39"/>
        <s v="GNR_ENG_LIGHTOIL_CND_E-40"/>
        <s v="GNR_ENG_LIGHTOIL_CND_E-41"/>
        <s v="GNR_ENG_LIGHTOIL_CND_E-42"/>
        <s v="GNR_ENG_LIGHTOIL_CND_E-43"/>
        <s v="GNR_ENG_NGAS_BP_CB-100"/>
        <s v="GNR_ENG_NGAS_BP_CB-100_CT-BGAS-H2"/>
        <s v="GNR_ENG_NGAS_BP_CB-100_CT-BGAS-UP"/>
        <s v="GNR_ENG_NGAS_BP_CB-100_CT-TGAS-H2"/>
        <s v="GNR_ENG_NGAS_BP_CB-100_CT-TGAS-UP"/>
        <s v="GNR_ENG_NGAS_BP_E-33"/>
        <s v="GNR_ENG_NGAS_BP_E-33_CT-BGAS-H2"/>
        <s v="GNR_ENG_NGAS_BP_E-33_CT-BGAS-UP"/>
        <s v="GNR_ENG_NGAS_BP_E-33_CT-TGAS-H2"/>
        <s v="GNR_ENG_NGAS_BP_E-33_CT-TGAS-UP"/>
        <s v="GNR_ENG_NGAS_BP_E-34"/>
        <s v="GNR_ENG_NGAS_BP_E-34_CT-BGAS-H2"/>
        <s v="GNR_ENG_NGAS_BP_E-34_CT-BGAS-UP"/>
        <s v="GNR_ENG_NGAS_BP_E-34_CT-TGAS-H2"/>
        <s v="GNR_ENG_NGAS_BP_E-34_CT-TGAS-UP"/>
        <s v="GNR_ENG_NGAS_BP_E-35"/>
        <s v="GNR_ENG_NGAS_BP_E-35_CT-BGAS-H2"/>
        <s v="GNR_ENG_NGAS_BP_E-35_CT-BGAS-UP"/>
        <s v="GNR_ENG_NGAS_BP_E-35_CT-TGAS-H2"/>
        <s v="GNR_ENG_NGAS_BP_E-35_CT-TGAS-UP"/>
        <s v="GNR_ENG_NGAS_BP_E-36"/>
        <s v="GNR_ENG_NGAS_BP_E-36_CT-BGAS-H2"/>
        <s v="GNR_ENG_NGAS_BP_E-36_CT-BGAS-UP"/>
        <s v="GNR_ENG_NGAS_BP_E-36_CT-TGAS-H2"/>
        <s v="GNR_ENG_NGAS_BP_E-36_CT-TGAS-UP"/>
        <s v="GNR_ENG_NGAS_BP_E-37"/>
        <s v="GNR_ENG_NGAS_BP_E-37_CT-BGAS-H2"/>
        <s v="GNR_ENG_NGAS_BP_E-37_CT-BGAS-UP"/>
        <s v="GNR_ENG_NGAS_BP_E-37_CT-TGAS-H2"/>
        <s v="GNR_ENG_NGAS_BP_E-37_CT-TGAS-UP"/>
        <s v="GNR_ENG_NGAS_BP_E-38"/>
        <s v="GNR_ENG_NGAS_BP_E-38_CT-BGAS-H2"/>
        <s v="GNR_ENG_NGAS_BP_E-38_CT-BGAS-UP"/>
        <s v="GNR_ENG_NGAS_BP_E-38_CT-TGAS-H2"/>
        <s v="GNR_ENG_NGAS_BP_E-38_CT-TGAS-UP"/>
        <s v="GNR_ENG_NGAS_BP_E-39"/>
        <s v="GNR_ENG_NGAS_BP_E-39_CT-BGAS-H2"/>
        <s v="GNR_ENG_NGAS_BP_E-39_CT-BGAS-UP"/>
        <s v="GNR_ENG_NGAS_BP_E-39_CT-TGAS-H2"/>
        <s v="GNR_ENG_NGAS_BP_E-39_CT-TGAS-UP"/>
        <s v="GNR_ENG_NGAS_BP_E-40"/>
        <s v="GNR_ENG_NGAS_BP_E-40_CT-BGAS-H2"/>
        <s v="GNR_ENG_NGAS_BP_E-40_CT-BGAS-UP"/>
        <s v="GNR_ENG_NGAS_BP_E-40_CT-TGAS-H2"/>
        <s v="GNR_ENG_NGAS_BP_E-40_CT-TGAS-UP"/>
        <s v="GNR_ENG_NGAS_BP_E-41"/>
        <s v="GNR_ENG_NGAS_BP_E-41_CT-BGAS-H2"/>
        <s v="GNR_ENG_NGAS_BP_E-41_CT-BGAS-UP"/>
        <s v="GNR_ENG_NGAS_BP_E-41_CT-TGAS-H2"/>
        <s v="GNR_ENG_NGAS_BP_E-41_CT-TGAS-UP"/>
        <s v="GNR_ENG_NGAS_BP_E-42"/>
        <s v="GNR_ENG_NGAS_BP_E-42_CT-BGAS-H2"/>
        <s v="GNR_ENG_NGAS_BP_E-42_CT-BGAS-UP"/>
        <s v="GNR_ENG_NGAS_BP_E-42_CT-TGAS-H2"/>
        <s v="GNR_ENG_NGAS_BP_E-42_CT-TGAS-UP"/>
        <s v="GNR_ENG_NGAS_BP_E-43"/>
        <s v="GNR_ENG_NGAS_BP_E-43_CT-BGAS-H2"/>
        <s v="GNR_ENG_NGAS_BP_E-43_CT-BGAS-UP"/>
        <s v="GNR_ENG_NGAS_BP_E-43_CT-TGAS-H2"/>
        <s v="GNR_ENG_NGAS_BP_E-43_CT-TGAS-UP"/>
        <s v="GNR_ENG_NGAS_BP_E-44"/>
        <s v="GNR_ENG_NGAS_BP_E-44_CT-BGAS-H2"/>
        <s v="GNR_ENG_NGAS_BP_E-44_CT-BGAS-UP"/>
        <s v="GNR_ENG_NGAS_BP_E-44_CT-TGAS-H2"/>
        <s v="GNR_ENG_NGAS_BP_E-44_CT-TGAS-UP"/>
        <s v="GNR_ENG_NGAS_BP_E-45"/>
        <s v="GNR_ENG_NGAS_BP_E-45_CT-BGAS-H2"/>
        <s v="GNR_ENG_NGAS_BP_E-45_CT-BGAS-UP"/>
        <s v="GNR_ENG_NGAS_BP_E-45_CT-TGAS-H2"/>
        <s v="GNR_ENG_NGAS_BP_E-45_CT-TGAS-UP"/>
        <s v="GNR_ENG_NGAS_BP_E-46"/>
        <s v="GNR_ENG_NGAS_BP_E-46_CT-BGAS-H2"/>
        <s v="GNR_ENG_NGAS_BP_E-46_CT-BGAS-UP"/>
        <s v="GNR_ENG_NGAS_BP_E-46_CT-TGAS-H2"/>
        <s v="GNR_ENG_NGAS_BP_E-46_CT-TGAS-UP"/>
        <s v="GNR_ENG_NGAS_BP_E-47"/>
        <s v="GNR_ENG_NGAS_BP_E-47_CT-BGAS-H2"/>
        <s v="GNR_ENG_NGAS_BP_E-47_CT-BGAS-UP"/>
        <s v="GNR_ENG_NGAS_BP_E-47_CT-TGAS-H2"/>
        <s v="GNR_ENG_NGAS_BP_E-47_CT-TGAS-UP"/>
        <s v="GNR_ENG_NGAS_BP_E-47_Y-2020"/>
        <s v="GNR_ENG_NGAS_BP_E-47_Y-2020_CT-BGAS-H2"/>
        <s v="GNR_ENG_NGAS_BP_E-47_Y-2020_CT-BGAS-UP"/>
        <s v="GNR_ENG_NGAS_BP_E-47_Y-2020_CT-TGAS-H2"/>
        <s v="GNR_ENG_NGAS_BP_E-47_Y-2020_CT-TGAS-UP"/>
        <s v="GNR_ENG_NGAS_BP_E-48_Y-2030"/>
        <s v="GNR_ENG_NGAS_BP_E-48_Y-2030_CT-BGAS-H2"/>
        <s v="GNR_ENG_NGAS_BP_E-48_Y-2030_CT-BGAS-UP"/>
        <s v="GNR_ENG_NGAS_BP_E-48_Y-2030_CT-TGAS-H2"/>
        <s v="GNR_ENG_NGAS_BP_E-48_Y-2030_CT-TGAS-UP"/>
        <s v="GNR_ENG_NGAS_BP_E-50_Y-2050"/>
        <s v="GNR_ENG_NGAS_BP_E-50_Y-2050_CT-BGAS-H2"/>
        <s v="GNR_ENG_NGAS_BP_E-50_Y-2050_CT-BGAS-UP"/>
        <s v="GNR_ENG_NGAS_BP_E-50_Y-2050_CT-TGAS-H2"/>
        <s v="GNR_ENG_NGAS_BP_E-50_Y-2050_CT-TGAS-UP"/>
        <s v="GNR_ENG_NGAS_CND_E-41"/>
        <s v="GNR_ENG_NGAS_CND_E-41_CT-BGAS-H2"/>
        <s v="GNR_ENG_NGAS_CND_E-41_CT-BGAS-UP"/>
        <s v="GNR_ENG_NGAS_CND_E-41_CT-TGAS-H2"/>
        <s v="GNR_ENG_NGAS_CND_E-41_CT-TGAS-UP"/>
        <s v="GNR_ENG_NGAS_CND_E-44"/>
        <s v="GNR_ENG_NGAS_CND_E-44_CT-BGAS-H2"/>
        <s v="GNR_ENG_NGAS_CND_E-44_CT-BGAS-UP"/>
        <s v="GNR_ENG_NGAS_CND_E-44_CT-TGAS-H2"/>
        <s v="GNR_ENG_NGAS_CND_E-44_CT-TGAS-UP"/>
        <s v="GNR_ENG_NGAS_CND_E-46"/>
        <s v="GNR_ENG_NGAS_CND_E-46_CT-BGAS-H2"/>
        <s v="GNR_ENG_NGAS_CND_E-46_CT-BGAS-UP"/>
        <s v="GNR_ENG_NGAS_CND_E-46_CT-TGAS-H2"/>
        <s v="GNR_ENG_NGAS_CND_E-46_CT-TGAS-UP"/>
        <s v="GNR_ENG_NGAS_CND_E-47_Y-2020"/>
        <s v="GNR_ENG_NGAS_CND_E-47_Y-2020_CT-BGAS-H2"/>
        <s v="GNR_ENG_NGAS_CND_E-47_Y-2020_CT-BGAS-UP"/>
        <s v="GNR_ENG_NGAS_CND_E-47_Y-2020_CT-TGAS-H2"/>
        <s v="GNR_ENG_NGAS_CND_E-47_Y-2020_CT-TGAS-UP"/>
        <s v="GNR_ENG_NGAS_CND_E-48_Y-2030"/>
        <s v="GNR_ENG_NGAS_CND_E-48_Y-2030_CT-BGAS-H2"/>
        <s v="GNR_ENG_NGAS_CND_E-48_Y-2030_CT-BGAS-UP"/>
        <s v="GNR_ENG_NGAS_CND_E-48_Y-2030_CT-TGAS-H2"/>
        <s v="GNR_ENG_NGAS_CND_E-48_Y-2030_CT-TGAS-UP"/>
        <s v="GNR_ENG_NGAS_CND_E-50_Y-2050"/>
        <s v="GNR_ENG_NGAS_CND_E-50_Y-2050_CT-BGAS-H2"/>
        <s v="GNR_ENG_NGAS_CND_E-50_Y-2050_CT-BGAS-UP"/>
        <s v="GNR_ENG_NGAS_CND_E-50_Y-2050_CT-TGAS-H2"/>
        <s v="GNR_ENG_NGAS_CND_E-50_Y-2050_CT-TGAS-UP"/>
        <s v="GNR_ENG_NGAS_EXT_E-43"/>
        <s v="GNR_ENG_NGAS_EXT_E-43_CT-BGAS-H2"/>
        <s v="GNR_ENG_NGAS_EXT_E-43_CT-BGAS-UP"/>
        <s v="GNR_ENG_NGAS_EXT_E-43_CT-TGAS-H2"/>
        <s v="GNR_ENG_NGAS_EXT_E-43_CT-TGAS-UP"/>
        <s v="GNR_ENG_NGAS_EXT_E-44"/>
        <s v="GNR_ENG_NGAS_EXT_E-44_CT-BGAS-H2"/>
        <s v="GNR_ENG_NGAS_EXT_E-44_CT-BGAS-UP"/>
        <s v="GNR_ENG_NGAS_EXT_E-44_CT-TGAS-H2"/>
        <s v="GNR_ENG_NGAS_EXT_E-44_CT-TGAS-UP"/>
        <s v="GNR_ENG_RETORT-GAS_E-44"/>
        <s v="GNR_ENG_TGAS_BP_E-43_Y-2020"/>
        <s v="GNR_ENG_TGAS_BP_E-45_Y-2030"/>
        <s v="GNR_ENG_TGAS_BP_E-47_Y-2050"/>
        <s v="GNR_ENG_TGAS_CND_E-43_Y-2020"/>
        <s v="GNR_ENG_TGAS_CND_E-45_Y-2030"/>
        <s v="GNR_ENG_TGAS_CND_E-47_Y-2050"/>
        <s v="GNR_ES_ELEC_BAT-LEAD_E-82_Y-16-29"/>
        <s v="GNR_ES_ELEC_BAT-LEAD_E-85_Y-30-50"/>
        <s v="GNR_ES_ELEC_BAT-LITHIO_E-95_Y-16-29"/>
        <s v="GNR_ES_ELEC_BAT-LITHIO_E-97_Y-30-50"/>
        <s v="GNR_ES_ELEC_BAT-NAS_E-80_Y-16-29"/>
        <s v="GNR_ES_ELEC_BAT-NAS_E-85_Y-30-50"/>
        <s v="GNR_ES_ELEC_BAT-VRFB_E-70_Y-15-19"/>
        <s v="GNR_ES_ELEC_BAT-VRFB_E-78_Y-20-50"/>
        <s v="GNR_ES_ELEC_CAES_E-60_Y-16-19"/>
        <s v="GNR_ES_ELEC_CAES_E-71_Y-20-50"/>
        <s v="GNR_ES_WTR_PMP"/>
        <s v="GNR_FC_H2_SOFCC_Y-15"/>
        <s v="GNR_FC_H2_SOFCC_Y-20"/>
        <s v="GNR_FC_H2_SOFCC_Y-30"/>
        <s v="GNR_FC_H2_SOFCC_Y-50"/>
        <s v="GNR_GEO_HEAT_EO"/>
        <s v="GNR_GEO_HEAT_HO"/>
        <s v="GNR_GT_BGAS_BP_CB-100"/>
        <s v="GNR_GT_BGAS_BP_CB-30"/>
        <s v="GNR_GT_BGAS_BP_E-30"/>
        <s v="GNR_GT_FUELOIL_BP_CB-180"/>
        <s v="GNR_GT_FUELOIL_BP_CB-40"/>
        <s v="GNR_GT_FUELOIL_CND_E-30"/>
        <s v="GNR_GT_FUELOIL_CND_E-31"/>
        <s v="GNR_GT_FUELOIL_CND_E-32"/>
        <s v="GNR_GT_FUELOIL_CND_E-35"/>
        <s v="GNR_GT_FUELOIL_CND_E-36"/>
        <s v="GNR_GT_LIGHTOIL_CND_E-24"/>
        <s v="GNR_GT_LIGHTOIL_CND_E-26"/>
        <s v="GNR_GT_LIGHTOIL_CND_E-27"/>
        <s v="GNR_GT_NGAS_BP_CB-150"/>
        <s v="GNR_GT_NGAS_BP_CB-150_CT-BGAS-H2"/>
        <s v="GNR_GT_NGAS_BP_CB-150_CT-BGAS-UP"/>
        <s v="GNR_GT_NGAS_BP_CB-150_CT-TGAS-H2"/>
        <s v="GNR_GT_NGAS_BP_CB-150_CT-TGAS-UP"/>
        <s v="GNR_GT_NGAS_BP_CB-30"/>
        <s v="GNR_GT_NGAS_BP_CB-30_CT-BGAS-H2"/>
        <s v="GNR_GT_NGAS_BP_CB-30_CT-BGAS-UP"/>
        <s v="GNR_GT_NGAS_BP_CB-30_CT-TGAS-H2"/>
        <s v="GNR_GT_NGAS_BP_CB-30_CT-TGAS-UP"/>
        <s v="GNR_GT_NGAS_BP_CB-40"/>
        <s v="GNR_GT_NGAS_BP_CB-40_CT-BGAS-H2"/>
        <s v="GNR_GT_NGAS_BP_CB-40_CT-BGAS-UP"/>
        <s v="GNR_GT_NGAS_BP_CB-40_CT-TGAS-H2"/>
        <s v="GNR_GT_NGAS_BP_CB-40_CT-TGAS-UP"/>
        <s v="GNR_GT_NGAS_BP_CB-470"/>
        <s v="GNR_GT_NGAS_BP_CB-470_CT-BGAS-H2"/>
        <s v="GNR_GT_NGAS_BP_CB-470_CT-BGAS-UP"/>
        <s v="GNR_GT_NGAS_BP_CB-470_CT-TGAS-H2"/>
        <s v="GNR_GT_NGAS_BP_CB-470_CT-TGAS-UP"/>
        <s v="GNR_GT_NGAS_BP_CB-50"/>
        <s v="GNR_GT_NGAS_BP_CB-50_CT-BGAS-H2"/>
        <s v="GNR_GT_NGAS_BP_CB-50_CT-BGAS-UP"/>
        <s v="GNR_GT_NGAS_BP_CB-50_CT-TGAS-H2"/>
        <s v="GNR_GT_NGAS_BP_CB-50_CT-TGAS-UP"/>
        <s v="GNR_GT_NGAS_BP_CB-60"/>
        <s v="GNR_GT_NGAS_BP_CB-60_CT-BGAS-H2"/>
        <s v="GNR_GT_NGAS_BP_CB-60_CT-BGAS-UP"/>
        <s v="GNR_GT_NGAS_BP_CB-60_CT-TGAS-H2"/>
        <s v="GNR_GT_NGAS_BP_CB-60_CT-TGAS-UP"/>
        <s v="GNR_GT_NGAS_BP_CB-70"/>
        <s v="GNR_GT_NGAS_BP_CB-70_CT-BGAS-H2"/>
        <s v="GNR_GT_NGAS_BP_CB-70_CT-BGAS-UP"/>
        <s v="GNR_GT_NGAS_BP_CB-70_CT-TGAS-H2"/>
        <s v="GNR_GT_NGAS_BP_CB-70_CT-TGAS-UP"/>
        <s v="GNR_GT_NGAS_BP_CB-80"/>
        <s v="GNR_GT_NGAS_BP_CB-80_CT-BGAS-H2"/>
        <s v="GNR_GT_NGAS_BP_CB-80_CT-BGAS-UP"/>
        <s v="GNR_GT_NGAS_BP_CB-80_CT-TGAS-H2"/>
        <s v="GNR_GT_NGAS_BP_CB-80_CT-TGAS-UP"/>
        <s v="GNR_GT_NGAS_BP_CB-90"/>
        <s v="GNR_GT_NGAS_BP_CB-90_CT-BGAS-H2"/>
        <s v="GNR_GT_NGAS_BP_CB-90_CT-BGAS-UP"/>
        <s v="GNR_GT_NGAS_BP_CB-90_CT-TGAS-H2"/>
        <s v="GNR_GT_NGAS_BP_CB-90_CT-TGAS-UP"/>
        <s v="GNR_GT_NGAS_BP_E-27"/>
        <s v="GNR_GT_NGAS_BP_E-27_CT-BGAS-H2"/>
        <s v="GNR_GT_NGAS_BP_E-27_CT-BGAS-UP"/>
        <s v="GNR_GT_NGAS_BP_E-27_CT-TGAS-H2"/>
        <s v="GNR_GT_NGAS_BP_E-27_CT-TGAS-UP"/>
        <s v="GNR_GT_NGAS_BP_E-28"/>
        <s v="GNR_GT_NGAS_BP_E-28_CT-BGAS-H2"/>
        <s v="GNR_GT_NGAS_BP_E-28_CT-BGAS-UP"/>
        <s v="GNR_GT_NGAS_BP_E-28_CT-TGAS-H2"/>
        <s v="GNR_GT_NGAS_BP_E-28_CT-TGAS-UP"/>
        <s v="GNR_GT_NGAS_BP_E-29"/>
        <s v="GNR_GT_NGAS_BP_E-29_CT-BGAS-H2"/>
        <s v="GNR_GT_NGAS_BP_E-29_CT-BGAS-UP"/>
        <s v="GNR_GT_NGAS_BP_E-29_CT-TGAS-H2"/>
        <s v="GNR_GT_NGAS_BP_E-29_CT-TGAS-UP"/>
        <s v="GNR_GT_NGAS_BP_E-30"/>
        <s v="GNR_GT_NGAS_BP_E-30_CT-BGAS-H2"/>
        <s v="GNR_GT_NGAS_BP_E-30_CT-BGAS-UP"/>
        <s v="GNR_GT_NGAS_BP_E-30_CT-TGAS-H2"/>
        <s v="GNR_GT_NGAS_BP_E-30_CT-TGAS-UP"/>
        <s v="GNR_GT_NGAS_BP_E-31"/>
        <s v="GNR_GT_NGAS_BP_E-31_CT-BGAS-H2"/>
        <s v="GNR_GT_NGAS_BP_E-31_CT-BGAS-UP"/>
        <s v="GNR_GT_NGAS_BP_E-31_CT-TGAS-H2"/>
        <s v="GNR_GT_NGAS_BP_E-31_CT-TGAS-UP"/>
        <s v="GNR_GT_NGAS_BP_E-32"/>
        <s v="GNR_GT_NGAS_BP_E-32_CT-BGAS-H2"/>
        <s v="GNR_GT_NGAS_BP_E-32_CT-BGAS-UP"/>
        <s v="GNR_GT_NGAS_BP_E-32_CT-TGAS-H2"/>
        <s v="GNR_GT_NGAS_BP_E-32_CT-TGAS-UP"/>
        <s v="GNR_GT_NGAS_BP_E-33"/>
        <s v="GNR_GT_NGAS_BP_E-33_CT-BGAS-H2"/>
        <s v="GNR_GT_NGAS_BP_E-33_CT-BGAS-UP"/>
        <s v="GNR_GT_NGAS_BP_E-33_CT-TGAS-H2"/>
        <s v="GNR_GT_NGAS_BP_E-33_CT-TGAS-UP"/>
        <s v="GNR_GT_NGAS_BP_E-36"/>
        <s v="GNR_GT_NGAS_BP_E-36_CT-BGAS-H2"/>
        <s v="GNR_GT_NGAS_BP_E-36_CT-BGAS-UP"/>
        <s v="GNR_GT_NGAS_BP_E-36_CT-TGAS-H2"/>
        <s v="GNR_GT_NGAS_BP_E-36_CT-TGAS-UP"/>
        <s v="GNR_GT_NGAS_BP_E-37"/>
        <s v="GNR_GT_NGAS_BP_E-37_CT-BGAS-H2"/>
        <s v="GNR_GT_NGAS_BP_E-37_CT-BGAS-UP"/>
        <s v="GNR_GT_NGAS_BP_E-37_CT-TGAS-H2"/>
        <s v="GNR_GT_NGAS_BP_E-37_CT-TGAS-UP"/>
        <s v="GNR_GT_NGAS_BP_E-37_SS-5-MW_Y-2020"/>
        <s v="GNR_GT_NGAS_BP_E-37_SS-5-MW_Y-2020_CT-BGAS-H2"/>
        <s v="GNR_GT_NGAS_BP_E-37_SS-5-MW_Y-2020_CT-BGAS-UP"/>
        <s v="GNR_GT_NGAS_BP_E-37_SS-5-MW_Y-2020_CT-TGAS-H2"/>
        <s v="GNR_GT_NGAS_BP_E-37_SS-5-MW_Y-2020_CT-TGAS-UP"/>
        <s v="GNR_GT_NGAS_BP_E-38"/>
        <s v="GNR_GT_NGAS_BP_E-38_CT-BGAS-H2"/>
        <s v="GNR_GT_NGAS_BP_E-38_CT-BGAS-UP"/>
        <s v="GNR_GT_NGAS_BP_E-38_CT-TGAS-H2"/>
        <s v="GNR_GT_NGAS_BP_E-38_CT-TGAS-UP"/>
        <s v="GNR_GT_NGAS_BP_E-39"/>
        <s v="GNR_GT_NGAS_BP_E-39_CT-BGAS-H2"/>
        <s v="GNR_GT_NGAS_BP_E-39_CT-BGAS-UP"/>
        <s v="GNR_GT_NGAS_BP_E-39_CT-TGAS-H2"/>
        <s v="GNR_GT_NGAS_BP_E-39_CT-TGAS-UP"/>
        <s v="GNR_GT_NGAS_BP_E-39_SS-5-MW_Y-2030"/>
        <s v="GNR_GT_NGAS_BP_E-39_SS-5-MW_Y-2030_CT-BGAS-H2"/>
        <s v="GNR_GT_NGAS_BP_E-39_SS-5-MW_Y-2030_CT-BGAS-UP"/>
        <s v="GNR_GT_NGAS_BP_E-39_SS-5-MW_Y-2030_CT-TGAS-H2"/>
        <s v="GNR_GT_NGAS_BP_E-39_SS-5-MW_Y-2030_CT-TGAS-UP"/>
        <s v="GNR_GT_NGAS_BP_E-40_SS-5-MW_Y-2050"/>
        <s v="GNR_GT_NGAS_BP_E-40_SS-5-MW_Y-2050_CT-BGAS-H2"/>
        <s v="GNR_GT_NGAS_BP_E-40_SS-5-MW_Y-2050_CT-BGAS-UP"/>
        <s v="GNR_GT_NGAS_BP_E-40_SS-5-MW_Y-2050_CT-TGAS-H2"/>
        <s v="GNR_GT_NGAS_BP_E-40_SS-5-MW_Y-2050_CT-TGAS-UP"/>
        <s v="GNR_GT_NGAS_BP_E-41"/>
        <s v="GNR_GT_NGAS_BP_E-41_CT-BGAS-H2"/>
        <s v="GNR_GT_NGAS_BP_E-41_CT-BGAS-UP"/>
        <s v="GNR_GT_NGAS_BP_E-41_CT-TGAS-H2"/>
        <s v="GNR_GT_NGAS_BP_E-41_CT-TGAS-UP"/>
        <s v="GNR_GT_NGAS_BP_E-42"/>
        <s v="GNR_GT_NGAS_BP_E-42_CT-BGAS-H2"/>
        <s v="GNR_GT_NGAS_BP_E-42_CT-BGAS-UP"/>
        <s v="GNR_GT_NGAS_BP_E-42_CT-TGAS-H2"/>
        <s v="GNR_GT_NGAS_BP_E-42_CT-TGAS-UP"/>
        <s v="GNR_GT_NGAS_BP_E-42_LS-40-MW_Y-2020"/>
        <s v="GNR_GT_NGAS_BP_E-42_LS-40-MW_Y-2020_CT-BGAS-H2"/>
        <s v="GNR_GT_NGAS_BP_E-42_LS-40-MW_Y-2020_CT-BGAS-UP"/>
        <s v="GNR_GT_NGAS_BP_E-42_LS-40-MW_Y-2020_CT-TGAS-H2"/>
        <s v="GNR_GT_NGAS_BP_E-42_LS-40-MW_Y-2020_CT-TGAS-UP"/>
        <s v="GNR_GT_NGAS_BP_E-43"/>
        <s v="GNR_GT_NGAS_BP_E-43_CT-BGAS-H2"/>
        <s v="GNR_GT_NGAS_BP_E-43_CT-BGAS-UP"/>
        <s v="GNR_GT_NGAS_BP_E-43_CT-TGAS-H2"/>
        <s v="GNR_GT_NGAS_BP_E-43_CT-TGAS-UP"/>
        <s v="GNR_GT_NGAS_BP_E-43_LS-40-MW_Y-2030"/>
        <s v="GNR_GT_NGAS_BP_E-43_LS-40-MW_Y-2030_CT-BGAS-H2"/>
        <s v="GNR_GT_NGAS_BP_E-43_LS-40-MW_Y-2030_CT-BGAS-UP"/>
        <s v="GNR_GT_NGAS_BP_E-43_LS-40-MW_Y-2030_CT-TGAS-H2"/>
        <s v="GNR_GT_NGAS_BP_E-43_LS-40-MW_Y-2030_CT-TGAS-UP"/>
        <s v="GNR_GT_NGAS_BP_E-44"/>
        <s v="GNR_GT_NGAS_BP_E-44_CT-BGAS-H2"/>
        <s v="GNR_GT_NGAS_BP_E-44_CT-BGAS-UP"/>
        <s v="GNR_GT_NGAS_BP_E-44_CT-TGAS-H2"/>
        <s v="GNR_GT_NGAS_BP_E-44_CT-TGAS-UP"/>
        <s v="GNR_GT_NGAS_BP_E-44_LS-40-MW_Y-2050"/>
        <s v="GNR_GT_NGAS_BP_E-44_LS-40-MW_Y-2050_CT-BGAS-H2"/>
        <s v="GNR_GT_NGAS_BP_E-44_LS-40-MW_Y-2050_CT-BGAS-UP"/>
        <s v="GNR_GT_NGAS_BP_E-44_LS-40-MW_Y-2050_CT-TGAS-H2"/>
        <s v="GNR_GT_NGAS_BP_E-44_LS-40-MW_Y-2050_CT-TGAS-UP"/>
        <s v="GNR_GT_NGAS_BP_E-47"/>
        <s v="GNR_GT_NGAS_BP_E-47_CT-BGAS-H2"/>
        <s v="GNR_GT_NGAS_BP_E-47_CT-BGAS-UP"/>
        <s v="GNR_GT_NGAS_BP_E-47_CT-TGAS-H2"/>
        <s v="GNR_GT_NGAS_BP_E-47_CT-TGAS-UP"/>
        <s v="GNR_GT_NGAS_CND_E-31"/>
        <s v="GNR_GT_NGAS_CND_E-31_CT-BGAS-H2"/>
        <s v="GNR_GT_NGAS_CND_E-31_CT-BGAS-UP"/>
        <s v="GNR_GT_NGAS_CND_E-31_CT-TGAS-H2"/>
        <s v="GNR_GT_NGAS_CND_E-31_CT-TGAS-UP"/>
        <s v="GNR_GT_NGAS_CND_E-32"/>
        <s v="GNR_GT_NGAS_CND_E-32_CT-BGAS-H2"/>
        <s v="GNR_GT_NGAS_CND_E-32_CT-BGAS-UP"/>
        <s v="GNR_GT_NGAS_CND_E-32_CT-TGAS-H2"/>
        <s v="GNR_GT_NGAS_CND_E-32_CT-TGAS-UP"/>
        <s v="GNR_GT_NGAS_CND_E-33"/>
        <s v="GNR_GT_NGAS_CND_E-33_CT-BGAS-H2"/>
        <s v="GNR_GT_NGAS_CND_E-33_CT-BGAS-UP"/>
        <s v="GNR_GT_NGAS_CND_E-33_CT-TGAS-H2"/>
        <s v="GNR_GT_NGAS_CND_E-33_CT-TGAS-UP"/>
        <s v="GNR_GT_NGAS_CND_E-35"/>
        <s v="GNR_GT_NGAS_CND_E-35_CT-BGAS-H2"/>
        <s v="GNR_GT_NGAS_CND_E-35_CT-BGAS-UP"/>
        <s v="GNR_GT_NGAS_CND_E-35_CT-TGAS-H2"/>
        <s v="GNR_GT_NGAS_CND_E-35_CT-TGAS-UP"/>
        <s v="GNR_GT_NGAS_CND_E-37_SS-5-MW_Y-2020"/>
        <s v="GNR_GT_NGAS_CND_E-37_SS-5-MW_Y-2020_CT-BGAS-H2"/>
        <s v="GNR_GT_NGAS_CND_E-37_SS-5-MW_Y-2020_CT-BGAS-UP"/>
        <s v="GNR_GT_NGAS_CND_E-37_SS-5-MW_Y-2020_CT-TGAS-H2"/>
        <s v="GNR_GT_NGAS_CND_E-37_SS-5-MW_Y-2020_CT-TGAS-UP"/>
        <s v="GNR_GT_NGAS_CND_E-38"/>
        <s v="GNR_GT_NGAS_CND_E-38_CT-BGAS-H2"/>
        <s v="GNR_GT_NGAS_CND_E-38_CT-BGAS-UP"/>
        <s v="GNR_GT_NGAS_CND_E-38_CT-TGAS-H2"/>
        <s v="GNR_GT_NGAS_CND_E-38_CT-TGAS-UP"/>
        <s v="GNR_GT_NGAS_CND_E-39_SS-5-MW_Y-2030"/>
        <s v="GNR_GT_NGAS_CND_E-39_SS-5-MW_Y-2030_CT-BGAS-H2"/>
        <s v="GNR_GT_NGAS_CND_E-39_SS-5-MW_Y-2030_CT-BGAS-UP"/>
        <s v="GNR_GT_NGAS_CND_E-39_SS-5-MW_Y-2030_CT-TGAS-H2"/>
        <s v="GNR_GT_NGAS_CND_E-39_SS-5-MW_Y-2030_CT-TGAS-UP"/>
        <s v="GNR_GT_NGAS_CND_E-40"/>
        <s v="GNR_GT_NGAS_CND_E-40_CT-BGAS-H2"/>
        <s v="GNR_GT_NGAS_CND_E-40_CT-BGAS-UP"/>
        <s v="GNR_GT_NGAS_CND_E-40_CT-TGAS-H2"/>
        <s v="GNR_GT_NGAS_CND_E-40_CT-TGAS-UP"/>
        <s v="GNR_GT_NGAS_CND_E-40_SS-5-MW_Y-2050"/>
        <s v="GNR_GT_NGAS_CND_E-40_SS-5-MW_Y-2050_CT-BGAS-H2"/>
        <s v="GNR_GT_NGAS_CND_E-40_SS-5-MW_Y-2050_CT-BGAS-UP"/>
        <s v="GNR_GT_NGAS_CND_E-40_SS-5-MW_Y-2050_CT-TGAS-H2"/>
        <s v="GNR_GT_NGAS_CND_E-40_SS-5-MW_Y-2050_CT-TGAS-UP"/>
        <s v="GNR_GT_NGAS_CND_E-41"/>
        <s v="GNR_GT_NGAS_CND_E-41_CT-BGAS-H2"/>
        <s v="GNR_GT_NGAS_CND_E-41_CT-BGAS-UP"/>
        <s v="GNR_GT_NGAS_CND_E-41_CT-TGAS-H2"/>
        <s v="GNR_GT_NGAS_CND_E-41_CT-TGAS-UP"/>
        <s v="GNR_GT_NGAS_CND_E-42_LS-40-MW_Y-2020"/>
        <s v="GNR_GT_NGAS_CND_E-42_LS-40-MW_Y-2020_CT-BGAS-H2"/>
        <s v="GNR_GT_NGAS_CND_E-42_LS-40-MW_Y-2020_CT-BGAS-UP"/>
        <s v="GNR_GT_NGAS_CND_E-42_LS-40-MW_Y-2020_CT-TGAS-H2"/>
        <s v="GNR_GT_NGAS_CND_E-42_LS-40-MW_Y-2020_CT-TGAS-UP"/>
        <s v="GNR_GT_NGAS_CND_E-43_LS-40-MW_Y-2030"/>
        <s v="GNR_GT_NGAS_CND_E-43_LS-40-MW_Y-2030_CT-BGAS-H2"/>
        <s v="GNR_GT_NGAS_CND_E-43_LS-40-MW_Y-2030_CT-BGAS-UP"/>
        <s v="GNR_GT_NGAS_CND_E-43_LS-40-MW_Y-2030_CT-TGAS-H2"/>
        <s v="GNR_GT_NGAS_CND_E-43_LS-40-MW_Y-2030_CT-TGAS-UP"/>
        <s v="GNR_GT_NGAS_CND_E-44_LS-40-MW_Y-2050"/>
        <s v="GNR_GT_NGAS_CND_E-44_LS-40-MW_Y-2050_CT-BGAS-H2"/>
        <s v="GNR_GT_NGAS_CND_E-44_LS-40-MW_Y-2050_CT-BGAS-UP"/>
        <s v="GNR_GT_NGAS_CND_E-44_LS-40-MW_Y-2050_CT-TGAS-H2"/>
        <s v="GNR_GT_NGAS_CND_E-44_LS-40-MW_Y-2050_CT-TGAS-UP"/>
        <s v="GNR_H2S_H2-TNKC_Y-15"/>
        <s v="GNR_H2S_H2-TNKC_Y-30"/>
        <s v="GNR_H2S_H2-TNKD_Y-15"/>
        <s v="GNR_H2S_H2-TNKD_Y-30"/>
        <s v="GNR_H2S_H2-UND_Y-15"/>
        <s v="GNR_H2S_H2-UND_Y-30"/>
        <s v="GNR_HP_ELEC_AIR-WTR_COP-310_LS_Y-2020"/>
        <s v="GNR_HP_ELEC_AIR-WTR_COP-310_SS-10-KW_Y-2020"/>
        <s v="GNR_HP_ELEC_AIR-WTR_COP-320_SS-10-KW_Y-2030"/>
        <s v="GNR_HP_ELEC_AIR-WTR_COP-330_LS_Y-2030"/>
        <s v="GNR_HP_ELEC_AIR-WTR_COP-330_SS-10-KW_Y-2050"/>
        <s v="GNR_HP_ELEC_AIR-WTR_COP-360_LS_Y-2050"/>
        <s v="GNR_HP_ELEC_COP-100_PHH_Y-2020"/>
        <s v="GNR_HP_ELEC_COP-100_PHH_Y-2030"/>
        <s v="GNR_HP_ELEC_COP-100_PHH_Y-2040"/>
        <s v="GNR_HP_ELEC_COP-100_PHH_Y-2050"/>
        <s v="GNR_HP_ELEC_COP-1200_Y-2030"/>
        <s v="GNR_HP_ELEC_COP-160_PHL_Y-2020"/>
        <s v="GNR_HP_ELEC_COP-160_PHL_Y-2030"/>
        <s v="GNR_HP_ELEC_COP-160_PHL_Y-2040"/>
        <s v="GNR_HP_ELEC_COP-160_PHL_Y-2050"/>
        <s v="GNR_HP_ELEC_COP-1800_Y-2050"/>
        <s v="GNR_HP_ELEC_COP-270"/>
        <s v="GNR_HP_ELEC_COP-300"/>
        <s v="GNR_HP_ELEC_COP-350"/>
        <s v="GNR_HP_ELEC_COP-400"/>
        <s v="GNR_HP_ELEC_COP-400_Y-2020"/>
        <s v="GNR_HP_ELEC_COP-430"/>
        <s v="GNR_HP_ELEC_COP-450"/>
        <s v="GNR_HP_ELEC_COP-460"/>
        <s v="GNR_HP_ELEC_COP-470"/>
        <s v="GNR_HP_ELEC_COP-480_Y-2030"/>
        <s v="GNR_HP_ELEC_COP-500"/>
        <s v="GNR_HP_ELEC_COP-500_Y-2020"/>
        <s v="GNR_HP_ELEC_COP-530"/>
        <s v="GNR_HP_ELEC_COP-600"/>
        <s v="GNR_HP_ELEC_COP-600_Y-2030"/>
        <s v="GNR_HP_ELEC_COP-600_Y-2050"/>
        <s v="GNR_HP_ELEC_COP-740_Y-2050"/>
        <s v="GNR_HP_ELEC_COP-900_Y-2020"/>
        <s v="GNR_HP_ELEC_GROUND-WTR_COP-360_LS-4-MW_Y-2020"/>
        <s v="GNR_HP_ELEC_GROUND-WTR_COP-370_SS-10-KW_Y-2020"/>
        <s v="GNR_HP_ELEC_GROUND-WTR_COP-380_LS-4-MW_Y-2030"/>
        <s v="GNR_HP_ELEC_GROUND-WTR_COP-380_SS-10-KW_Y-2030"/>
        <s v="GNR_HP_ELEC_GROUND-WTR_COP-400_SS-10-KW_Y-2050"/>
        <s v="GNR_HP_ELEC_GROUND-WTR_COP-410_LS-4-MW_Y-2050"/>
        <s v="GNR_HS_HEAT-E-100"/>
        <s v="GNR_HS_HEAT_PIT_L-CEN_E-90"/>
        <s v="GNR_HS_HEAT_PIT_L-CEN_E-90_Y-2020"/>
        <s v="GNR_HS_HEAT_PIT_L-CEN_E-90_Y-2030"/>
        <s v="GNR_HS_HEAT_PIT_L-CEN_E-90_Y-2050"/>
        <s v="GNR_HS_HEAT_PIT_L-DEC_E-91_Y-2020"/>
        <s v="GNR_HS_HEAT_PIT_L-DEC_E-91_Y-2030"/>
        <s v="GNR_HS_HEAT_PIT_L-DEC_E-91_Y-2050"/>
        <s v="GNR_HS_HEAT_WTR-TANK_LS_E-95_Y-2010"/>
        <s v="GNR_HS_HEAT_WTR-TANK_SS_E-95_Y-2010"/>
        <s v="GNR_IND-ST_BGAS_BP_CB-30"/>
        <s v="GNR_IND-ST_BLACKLIC_BP_CB-20"/>
        <s v="GNR_IND-ST_BLACKLIC_BP_CB-30"/>
        <s v="GNR_IND-ST_BLACKLIC_BP_CB-60"/>
        <s v="GNR_IND-ST_COAL_BP_CB-30"/>
        <s v="GNR_IND-ST_COAL_BP_CB-30-Straw"/>
        <s v="GNR_IND-ST_COAL_BP_CB-30-WC"/>
        <s v="GNR_IND-ST_COAL_BP_CB-30-WP"/>
        <s v="GNR_IND-ST_FUELOIL_BP_CB-30"/>
        <s v="GNR_IND-ST_FUELOIL_BP_CB-80"/>
        <s v="GNR_IND-ST_LIGHTOIL_BP_CB-30"/>
        <s v="GNR_IND-ST_MSW_BP_CB-30"/>
        <s v="GNR_IND-ST_NGAS_BP_CB-30"/>
        <s v="GNR_IND-ST_NGAS_BP_CB-30_CT-BGAS-H2"/>
        <s v="GNR_IND-ST_NGAS_BP_CB-30_CT-BGAS-UP"/>
        <s v="GNR_IND-ST_NGAS_BP_CB-30_CT-TGAS-H2"/>
        <s v="GNR_IND-ST_NGAS_BP_CB-30_CT-TGAS-UP"/>
        <s v="GNR_IND-ST_PEAT_BP_CB-20"/>
        <s v="GNR_IND-ST_PEAT_BP_CB-30"/>
        <s v="GNR_IND-ST_PEAT_BP_CB-40"/>
        <s v="GNR_IND-ST_WOODCHI_BP_CB-20"/>
        <s v="GNR_IND-ST_WOODCHI_BP_CB-30"/>
        <s v="GNR_IND-ST_WOODCHI_BP_CB-40"/>
        <s v="GNR_IND-ST_WOODCHI_BP_CB-50"/>
        <s v="GNR_IND-ST_WOODCHI_BP_CB-70"/>
        <s v="GNR_IND-ST_WOODCHI_BP_E-71"/>
        <s v="GNR_IND-ST_WOODWST_BP_CB-20"/>
        <s v="GNR_IND-ST_WOODWST_BP_CB-30"/>
        <s v="GNR_IND-ST_WOODWST_BP_CB-40"/>
        <s v="GNR_IND-ST_WOODWST_BP_CB-50"/>
        <s v="GNR_PV_SUN"/>
        <s v="GNR_PV_SUN_LS-4-MW_Y-2020"/>
        <s v="GNR_PV_SUN_LS-4-MW_Y-2030"/>
        <s v="GNR_PV_SUN_LS-4-MW_Y-2050"/>
        <s v="GNR_PV_SUN_MS-100-KW_Y-2020"/>
        <s v="GNR_PV_SUN_MS-100-KW_Y-2030"/>
        <s v="GNR_PV_SUN_MS-100-KW_Y-2050"/>
        <s v="GNR_PV_SUN_SS-6-KW_Y-2020"/>
        <s v="GNR_PV_SUN_SS-6-KW_Y-2030"/>
        <s v="GNR_PV_SUN_SS-6-KW_Y-2050"/>
        <s v="GNR_RES_WTR_NOPMP"/>
        <s v="GNR_RES_WTR_NOPMP_MC-01"/>
        <s v="GNR_RES_WTR_NOPMP_MC-02"/>
        <s v="GNR_RES_WTR_NOPMP_MC-03"/>
        <s v="GNR_RES_WTR_NOPMP_MC-04"/>
        <s v="GNR_RES_WTR_NOPMP_MC-05"/>
        <s v="GNR_RES_WTR_NOPMP_MC-06"/>
        <s v="GNR_RES_WTR_NOPMP_MC-07"/>
        <s v="GNR_RES_WTR_NOPMP_MC-08"/>
        <s v="GNR_RES_WTR_NOPMP_MC-09"/>
        <s v="GNR_RES_WTR_NOPMP_MC-10"/>
        <s v="GNR_RES_WTR_PMP_E-80_Y-16-50"/>
        <s v="GNR_RES_WTR_PMP_MC-01"/>
        <s v="GNR_ROR_WTR"/>
        <s v="GNR_SH_SUN"/>
        <s v="GNR_SH_SUN_LS_Y-2020"/>
        <s v="GNR_SH_SUN_LS_Y-2030"/>
        <s v="GNR_SH_SUN_LS_Y-2050"/>
        <s v="GNR_SH_SUN_SS-4-KW_Y-2020"/>
        <s v="GNR_SH_SUN_SS-4-KW_Y-2030"/>
        <s v="GNR_SH_SUN_SS-4-KW_Y-2050"/>
        <s v="GNR_ST_BFG_BP_CB-280"/>
        <s v="GNR_ST_BFG_BP_CB-70"/>
        <s v="GNR_ST_BFG_BP_CB-90"/>
        <s v="GNR_ST_BGAS_BP_CB-40"/>
        <s v="GNR_ST_BGAS_BP_E-33"/>
        <s v="GNR_ST_BGAS_BP_E-38"/>
        <s v="GNR_ST_BGAS_CND_E-37"/>
        <s v="GNR_ST_BGAS_CND_E-38"/>
        <s v="GNR_ST_BGAS_CND_E-40"/>
        <s v="GNR_ST_BGAS_CND_E-45"/>
        <s v="GNR_ST_BGAS_EXT_E-38"/>
        <s v="GNR_ST_COAL_BP_CB-130"/>
        <s v="GNR_ST_COAL_BP_CB-130-Straw"/>
        <s v="GNR_ST_COAL_BP_CB-130-WC"/>
        <s v="GNR_ST_COAL_BP_CB-130-WP"/>
        <s v="GNR_ST_COAL_BP_CB-40"/>
        <s v="GNR_ST_COAL_BP_CB-40-Straw"/>
        <s v="GNR_ST_COAL_BP_CB-40-WC"/>
        <s v="GNR_ST_COAL_BP_CB-40-WP"/>
        <s v="GNR_ST_COAL_BP_CB-50"/>
        <s v="GNR_ST_COAL_BP_CB-50-Straw"/>
        <s v="GNR_ST_COAL_BP_CB-50-WC"/>
        <s v="GNR_ST_COAL_BP_CB-50-WP"/>
        <s v="GNR_ST_COAL_BP_CB-80"/>
        <s v="GNR_ST_COAL_BP_CB-80-Straw"/>
        <s v="GNR_ST_COAL_BP_CB-80-WC"/>
        <s v="GNR_ST_COAL_BP_CB-80-WP"/>
        <s v="GNR_ST_COAL_BP_E-15"/>
        <s v="GNR_ST_COAL_BP_E-15-Straw"/>
        <s v="GNR_ST_COAL_BP_E-15-WC"/>
        <s v="GNR_ST_COAL_BP_E-15-WP"/>
        <s v="GNR_ST_COAL_BP_E-32"/>
        <s v="GNR_ST_COAL_BP_E-32-Straw"/>
        <s v="GNR_ST_COAL_BP_E-32-WC"/>
        <s v="GNR_ST_COAL_BP_E-32-WP"/>
        <s v="GNR_ST_COAL_BP_E-33"/>
        <s v="GNR_ST_COAL_BP_E-33-Straw"/>
        <s v="GNR_ST_COAL_BP_E-33-WC"/>
        <s v="GNR_ST_COAL_BP_E-33-WP"/>
        <s v="GNR_ST_COAL_BP_E-34"/>
        <s v="GNR_ST_COAL_BP_E-34-Straw"/>
        <s v="GNR_ST_COAL_BP_E-34-WC"/>
        <s v="GNR_ST_COAL_BP_E-34-WP"/>
        <s v="GNR_ST_COAL_BP_E-35"/>
        <s v="GNR_ST_COAL_BP_E-35-Straw"/>
        <s v="GNR_ST_COAL_BP_E-35-WC"/>
        <s v="GNR_ST_COAL_BP_E-35-WP"/>
        <s v="GNR_ST_COAL_BP_E-36"/>
        <s v="GNR_ST_COAL_BP_E-36-Straw"/>
        <s v="GNR_ST_COAL_BP_E-36-WC"/>
        <s v="GNR_ST_COAL_BP_E-36-WP"/>
        <s v="GNR_ST_COAL_BP_E-37"/>
        <s v="GNR_ST_COAL_BP_E-37-Straw"/>
        <s v="GNR_ST_COAL_BP_E-37-WC"/>
        <s v="GNR_ST_COAL_BP_E-37-WP"/>
        <s v="GNR_ST_COAL_BP_E-38"/>
        <s v="GNR_ST_COAL_BP_E-38-Straw"/>
        <s v="GNR_ST_COAL_BP_E-38-WC"/>
        <s v="GNR_ST_COAL_BP_E-38-WP"/>
        <s v="GNR_ST_COAL_BP_E-39"/>
        <s v="GNR_ST_COAL_BP_E-39-Straw"/>
        <s v="GNR_ST_COAL_BP_E-39-WC"/>
        <s v="GNR_ST_COAL_BP_E-39-WP"/>
        <s v="GNR_ST_COAL_BP_E-40"/>
        <s v="GNR_ST_COAL_BP_E-40-Straw"/>
        <s v="GNR_ST_COAL_BP_E-40-WC"/>
        <s v="GNR_ST_COAL_BP_E-40-WP"/>
        <s v="GNR_ST_COAL_BP_E-41"/>
        <s v="GNR_ST_COAL_BP_E-41-Straw"/>
        <s v="GNR_ST_COAL_BP_E-41-WC"/>
        <s v="GNR_ST_COAL_BP_E-41-WP"/>
        <s v="GNR_ST_COAL_BP_E-42"/>
        <s v="GNR_ST_COAL_BP_E-42-Straw"/>
        <s v="GNR_ST_COAL_BP_E-42-WC"/>
        <s v="GNR_ST_COAL_BP_E-42-WP"/>
        <s v="GNR_ST_COAL_BP_E-43"/>
        <s v="GNR_ST_COAL_BP_E-43-Straw"/>
        <s v="GNR_ST_COAL_BP_E-43-WC"/>
        <s v="GNR_ST_COAL_BP_E-43-WP"/>
        <s v="GNR_ST_COAL_BP_E-44"/>
        <s v="GNR_ST_COAL_BP_E-44-Straw"/>
        <s v="GNR_ST_COAL_BP_E-44-WC"/>
        <s v="GNR_ST_COAL_BP_E-44-WP"/>
        <s v="GNR_ST_COAL_CND_E-33"/>
        <s v="GNR_ST_COAL_CND_E-33-Straw"/>
        <s v="GNR_ST_COAL_CND_E-33-WC"/>
        <s v="GNR_ST_COAL_CND_E-33-WP"/>
        <s v="GNR_ST_COAL_CND_E-35"/>
        <s v="GNR_ST_COAL_CND_E-35-Straw"/>
        <s v="GNR_ST_COAL_CND_E-35-WC"/>
        <s v="GNR_ST_COAL_CND_E-35-WP"/>
        <s v="GNR_ST_COAL_CND_E-37"/>
        <s v="GNR_ST_COAL_CND_E-37-Straw"/>
        <s v="GNR_ST_COAL_CND_E-37-WC"/>
        <s v="GNR_ST_COAL_CND_E-37-WP"/>
        <s v="GNR_ST_COAL_CND_E-38"/>
        <s v="GNR_ST_COAL_CND_E-38-Straw"/>
        <s v="GNR_ST_COAL_CND_E-38-WC"/>
        <s v="GNR_ST_COAL_CND_E-38-WP"/>
        <s v="GNR_ST_COAL_CND_E-40"/>
        <s v="GNR_ST_COAL_CND_E-40-Straw"/>
        <s v="GNR_ST_COAL_CND_E-40-WC"/>
        <s v="GNR_ST_COAL_CND_E-40-WP"/>
        <s v="GNR_ST_COAL_CND_E-44"/>
        <s v="GNR_ST_COAL_CND_E-44-Straw"/>
        <s v="GNR_ST_COAL_CND_E-44-WC"/>
        <s v="GNR_ST_COAL_CND_E-44-WP"/>
        <s v="GNR_ST_COAL_CND_E-45"/>
        <s v="GNR_ST_COAL_CND_E-45-Straw"/>
        <s v="GNR_ST_COAL_CND_E-45-WC"/>
        <s v="GNR_ST_COAL_CND_E-45-WP"/>
        <s v="GNR_ST_COAL_CND_E-46"/>
        <s v="GNR_ST_COAL_CND_E-46-Straw"/>
        <s v="GNR_ST_COAL_CND_E-46-WC"/>
        <s v="GNR_ST_COAL_CND_E-46-WP"/>
        <s v="GNR_ST_COAL_CND_E-49_LS-400-MW_Y-2020"/>
        <s v="GNR_ST_COAL_CND_E-49_LS-400-MW_Y-2020-Straw"/>
        <s v="GNR_ST_COAL_CND_E-49_LS-400-MW_Y-2020-WC"/>
        <s v="GNR_ST_COAL_CND_E-49_LS-400-MW_Y-2020-WP"/>
        <s v="GNR_ST_COAL_CND_E-52_LS-400-MW_Y-2030"/>
        <s v="GNR_ST_COAL_CND_E-52_LS-400-MW_Y-2030-Straw"/>
        <s v="GNR_ST_COAL_CND_E-52_LS-400-MW_Y-2030-WC"/>
        <s v="GNR_ST_COAL_CND_E-52_LS-400-MW_Y-2030-WP"/>
        <s v="GNR_ST_COAL_CND_E-54_LS-400-MW_Y-2050"/>
        <s v="GNR_ST_COAL_CND_E-54_LS-400-MW_Y-2050-Straw"/>
        <s v="GNR_ST_COAL_CND_E-54_LS-400-MW_Y-2050-WC"/>
        <s v="GNR_ST_COAL_CND_E-54_LS-400-MW_Y-2050-WP"/>
        <s v="GNR_ST_COAL_EXT_E-36"/>
        <s v="GNR_ST_COAL_EXT_E-36-Straw"/>
        <s v="GNR_ST_COAL_EXT_E-36-WC"/>
        <s v="GNR_ST_COAL_EXT_E-36-WP"/>
        <s v="GNR_ST_COAL_EXT_E-37"/>
        <s v="GNR_ST_COAL_EXT_E-37-Straw"/>
        <s v="GNR_ST_COAL_EXT_E-37-WC"/>
        <s v="GNR_ST_COAL_EXT_E-37-WP"/>
        <s v="GNR_ST_COAL_EXT_E-38"/>
        <s v="GNR_ST_COAL_EXT_E-38-Straw"/>
        <s v="GNR_ST_COAL_EXT_E-38-WC"/>
        <s v="GNR_ST_COAL_EXT_E-38-WP"/>
        <s v="GNR_ST_COAL_EXT_E-39"/>
        <s v="GNR_ST_COAL_EXT_E-39-Straw"/>
        <s v="GNR_ST_COAL_EXT_E-39-WC"/>
        <s v="GNR_ST_COAL_EXT_E-39-WP"/>
        <s v="GNR_ST_COAL_EXT_E-40"/>
        <s v="GNR_ST_COAL_EXT_E-40-Straw"/>
        <s v="GNR_ST_COAL_EXT_E-40-WC"/>
        <s v="GNR_ST_COAL_EXT_E-40-WP"/>
        <s v="GNR_ST_COAL_EXT_E-41"/>
        <s v="GNR_ST_COAL_EXT_E-41-Straw"/>
        <s v="GNR_ST_COAL_EXT_E-41-WC"/>
        <s v="GNR_ST_COAL_EXT_E-41-WP"/>
        <s v="GNR_ST_COAL_EXT_E-42"/>
        <s v="GNR_ST_COAL_EXT_E-42-Straw"/>
        <s v="GNR_ST_COAL_EXT_E-42-WC"/>
        <s v="GNR_ST_COAL_EXT_E-42-WP"/>
        <s v="GNR_ST_COAL_EXT_E-43"/>
        <s v="GNR_ST_COAL_EXT_E-43-Straw"/>
        <s v="GNR_ST_COAL_EXT_E-43-WC"/>
        <s v="GNR_ST_COAL_EXT_E-43-WP"/>
        <s v="GNR_ST_COAL_EXT_E-47"/>
        <s v="GNR_ST_COAL_EXT_E-47-Straw"/>
        <s v="GNR_ST_COAL_EXT_E-47-WC"/>
        <s v="GNR_ST_COAL_EXT_E-47-WP"/>
        <s v="GNR_ST_COAL_EXT_E-49_LS-400-MW_Y-2020"/>
        <s v="GNR_ST_COAL_EXT_E-49_LS-400-MW_Y-2020-Straw"/>
        <s v="GNR_ST_COAL_EXT_E-49_LS-400-MW_Y-2020-WC"/>
        <s v="GNR_ST_COAL_EXT_E-49_LS-400-MW_Y-2020-WP"/>
        <s v="GNR_ST_COAL_EXT_E-52_LS-400-MW_Y-2030"/>
        <s v="GNR_ST_COAL_EXT_E-52_LS-400-MW_Y-2030-Straw"/>
        <s v="GNR_ST_COAL_EXT_E-52_LS-400-MW_Y-2030-WC"/>
        <s v="GNR_ST_COAL_EXT_E-52_LS-400-MW_Y-2030-WP"/>
        <s v="GNR_ST_COAL_EXT_E-54_LS-400-MW_Y-2050"/>
        <s v="GNR_ST_COAL_EXT_E-54_LS-400-MW_Y-2050-Straw"/>
        <s v="GNR_ST_COAL_EXT_E-54_LS-400-MW_Y-2050-WC"/>
        <s v="GNR_ST_COAL_EXT_E-54_LS-400-MW_Y-2050-WP"/>
        <s v="GNR_ST_FUELOIL_BP_CB-120"/>
        <s v="GNR_ST_FUELOIL_BP_CB-30"/>
        <s v="GNR_ST_FUELOIL_BP_CB-50"/>
        <s v="GNR_ST_FUELOIL_BP_E-15"/>
        <s v="GNR_ST_FUELOIL_BP_E-27"/>
        <s v="GNR_ST_FUELOIL_BP_E-34"/>
        <s v="GNR_ST_FUELOIL_BP_E-35"/>
        <s v="GNR_ST_FUELOIL_BP_E-36"/>
        <s v="GNR_ST_FUELOIL_BP_E-37"/>
        <s v="GNR_ST_FUELOIL_BP_E-38"/>
        <s v="GNR_ST_FUELOIL_CND_E-32"/>
        <s v="GNR_ST_FUELOIL_CND_E-33"/>
        <s v="GNR_ST_FUELOIL_CND_E-34"/>
        <s v="GNR_ST_FUELOIL_CND_E-35"/>
        <s v="GNR_ST_FUELOIL_CND_E-36"/>
        <s v="GNR_ST_FUELOIL_CND_E-37"/>
        <s v="GNR_ST_FUELOIL_CND_E-38"/>
        <s v="GNR_ST_FUELOIL_CND_E-39"/>
        <s v="GNR_ST_FUELOIL_EXT_E-22"/>
        <s v="GNR_ST_GAS_BP-E15"/>
        <s v="GNR_ST_GAS_BP-E15_CT-BGAS-H2"/>
        <s v="GNR_ST_GAS_BP-E15_CT-BGAS-UP"/>
        <s v="GNR_ST_GAS_BP-E15_CT-TGAS-H2"/>
        <s v="GNR_ST_GAS_BP-E15_CT-TGAS-UP"/>
        <s v="GNR_ST_HYDROGEN_BP_CB-30"/>
        <s v="GNR_ST_LIGHTOIL_CND_E-33"/>
        <s v="GNR_ST_LIGN_BP_E-28"/>
        <s v="GNR_ST_LIGN_BP_E-31"/>
        <s v="GNR_ST_LIGN_BP_E-33"/>
        <s v="GNR_ST_LIGN_BP_E-35"/>
        <s v="GNR_ST_LIGN_BP_E-37"/>
        <s v="GNR_ST_LIGN_BP_E-38"/>
        <s v="GNR_ST_LIGN_BP_E-39"/>
        <s v="GNR_ST_LIGN_CND_E-32"/>
        <s v="GNR_ST_LIGN_CND_E-41"/>
        <s v="GNR_ST_LIGN_CND_E-42"/>
        <s v="GNR_ST_LIGN_CND_E-43"/>
        <s v="GNR_ST_MSW_BP_CB-10"/>
        <s v="GNR_ST_MSW_BP_CB-20"/>
        <s v="GNR_ST_MSW_BP_CB-30"/>
        <s v="GNR_ST_MSW_BP_CB-40"/>
        <s v="GNR_ST_MSW_BP_CB-60"/>
        <s v="GNR_ST_MSW_BP_E-15"/>
        <s v="GNR_ST_MSW_BP_E-16"/>
        <s v="GNR_ST_MSW_BP_E-17"/>
        <s v="GNR_ST_MSW_BP_E-18"/>
        <s v="GNR_ST_MSW_BP_E-19"/>
        <s v="GNR_ST_MSW_BP_E-20"/>
        <s v="GNR_ST_MSW_BP_E-21"/>
        <s v="GNR_ST_MSW_BP_E-22"/>
        <s v="GNR_ST_MSW_BP_E-23"/>
        <s v="GNR_ST_MSW_BP_E-23_LS-220-MW-FEED_Y-2020"/>
        <s v="GNR_ST_MSW_BP_E-23_MS-80-MW-FEED_Y-2020"/>
        <s v="GNR_ST_MSW_BP_E-23_SS-35-MW-FEED_Y-2020"/>
        <s v="GNR_ST_MSW_BP_E-24_LS-220-MW-FEED_Y-2030"/>
        <s v="GNR_ST_MSW_BP_E-24_MS-80-MW-FEED_Y-2030"/>
        <s v="GNR_ST_MSW_BP_E-24_MS-80-MW-FEED_Y-2050"/>
        <s v="GNR_ST_MSW_BP_E-24_SS-35-MW-FEED_Y-2030"/>
        <s v="GNR_ST_MSW_BP_E-24_SS-35-MW-FEED_Y-2050"/>
        <s v="GNR_ST_MSW_BP_E-25"/>
        <s v="GNR_ST_MSW_BP_E-25_LS-220-MW-FEED_Y-2050"/>
        <s v="GNR_ST_MSW_BP_E-26"/>
        <s v="GNR_ST_MSW_BP_E-27"/>
        <s v="GNR_ST_MSW_BP_E-28"/>
        <s v="GNR_ST_MSW_BP_E-33"/>
        <s v="GNR_ST_MSW_CND_E-23_LS-220-MW-FEED_Y-2020"/>
        <s v="GNR_ST_MSW_CND_E-23_MS-80-MW-FEED_Y-2020"/>
        <s v="GNR_ST_MSW_CND_E-23_SS-35-MW-FEED_Y-2020"/>
        <s v="GNR_ST_MSW_CND_E-24_LS-220-MW-FEED_Y-2030"/>
        <s v="GNR_ST_MSW_CND_E-24_MS-80-MW-FEED_Y-2030"/>
        <s v="GNR_ST_MSW_CND_E-24_MS-80-MW-FEED_Y-2050"/>
        <s v="GNR_ST_MSW_CND_E-24_SS-35-MW-FEED_Y-2030"/>
        <s v="GNR_ST_MSW_CND_E-24_SS-35-MW-FEED_Y-2050"/>
        <s v="GNR_ST_MSW_CND_E-25_LS-220-MW-FEED_Y-2050"/>
        <s v="GNR_ST_MSW_CND_E-33"/>
        <s v="GNR_ST_MSW_CND_E-40"/>
        <s v="GNR_ST_NGAS_BP_CB-130"/>
        <s v="GNR_ST_NGAS_BP_CB-130_CT-BGAS-H2"/>
        <s v="GNR_ST_NGAS_BP_CB-130_CT-BGAS-UP"/>
        <s v="GNR_ST_NGAS_BP_CB-130_CT-TGAS-H2"/>
        <s v="GNR_ST_NGAS_BP_CB-130_CT-TGAS-UP"/>
        <s v="GNR_ST_NGAS_BP_CB-40"/>
        <s v="GNR_ST_NGAS_BP_CB-40_CT-BGAS-H2"/>
        <s v="GNR_ST_NGAS_BP_CB-40_CT-BGAS-UP"/>
        <s v="GNR_ST_NGAS_BP_CB-40_CT-TGAS-H2"/>
        <s v="GNR_ST_NGAS_BP_CB-40_CT-TGAS-UP"/>
        <s v="GNR_ST_NGAS_BP_CB-50"/>
        <s v="GNR_ST_NGAS_BP_CB-50_CT-BGAS-H2"/>
        <s v="GNR_ST_NGAS_BP_CB-50_CT-BGAS-UP"/>
        <s v="GNR_ST_NGAS_BP_CB-50_CT-TGAS-H2"/>
        <s v="GNR_ST_NGAS_BP_CB-50_CT-TGAS-UP"/>
        <s v="GNR_ST_NGAS_BP_CB-90"/>
        <s v="GNR_ST_NGAS_BP_CB-90_CT-BGAS-H2"/>
        <s v="GNR_ST_NGAS_BP_CB-90_CT-BGAS-UP"/>
        <s v="GNR_ST_NGAS_BP_CB-90_CT-TGAS-H2"/>
        <s v="GNR_ST_NGAS_BP_CB-90_CT-TGAS-UP"/>
        <s v="GNR_ST_NGAS_BP_E-15"/>
        <s v="GNR_ST_NGAS_BP_E-15_CT-BGAS-H2"/>
        <s v="GNR_ST_NGAS_BP_E-15_CT-BGAS-UP"/>
        <s v="GNR_ST_NGAS_BP_E-15_CT-TGAS-H2"/>
        <s v="GNR_ST_NGAS_BP_E-15_CT-TGAS-UP"/>
        <s v="GNR_ST_NGAS_BP_E-28"/>
        <s v="GNR_ST_NGAS_BP_E-28_CT-BGAS-H2"/>
        <s v="GNR_ST_NGAS_BP_E-28_CT-BGAS-UP"/>
        <s v="GNR_ST_NGAS_BP_E-28_CT-TGAS-H2"/>
        <s v="GNR_ST_NGAS_BP_E-28_CT-TGAS-UP"/>
        <s v="GNR_ST_NGAS_BP_E-31"/>
        <s v="GNR_ST_NGAS_BP_E-31_CT-BGAS-H2"/>
        <s v="GNR_ST_NGAS_BP_E-31_CT-BGAS-UP"/>
        <s v="GNR_ST_NGAS_BP_E-31_CT-TGAS-H2"/>
        <s v="GNR_ST_NGAS_BP_E-31_CT-TGAS-UP"/>
        <s v="GNR_ST_NGAS_BP_E-33"/>
        <s v="GNR_ST_NGAS_BP_E-33_CT-BGAS-H2"/>
        <s v="GNR_ST_NGAS_BP_E-33_CT-BGAS-UP"/>
        <s v="GNR_ST_NGAS_BP_E-33_CT-TGAS-H2"/>
        <s v="GNR_ST_NGAS_BP_E-33_CT-TGAS-UP"/>
        <s v="GNR_ST_NGAS_BP_E-37"/>
        <s v="GNR_ST_NGAS_BP_E-37_CT-BGAS-H2"/>
        <s v="GNR_ST_NGAS_BP_E-37_CT-BGAS-UP"/>
        <s v="GNR_ST_NGAS_BP_E-37_CT-TGAS-H2"/>
        <s v="GNR_ST_NGAS_BP_E-37_CT-TGAS-UP"/>
        <s v="GNR_ST_NGAS_BP_E-38"/>
        <s v="GNR_ST_NGAS_BP_E-38_CT-BGAS-H2"/>
        <s v="GNR_ST_NGAS_BP_E-38_CT-BGAS-UP"/>
        <s v="GNR_ST_NGAS_BP_E-38_CT-TGAS-H2"/>
        <s v="GNR_ST_NGAS_BP_E-38_CT-TGAS-UP"/>
        <s v="GNR_ST_NGAS_BP_E-39"/>
        <s v="GNR_ST_NGAS_BP_E-39_CT-BGAS-H2"/>
        <s v="GNR_ST_NGAS_BP_E-39_CT-BGAS-UP"/>
        <s v="GNR_ST_NGAS_BP_E-39_CT-TGAS-H2"/>
        <s v="GNR_ST_NGAS_BP_E-39_CT-TGAS-UP"/>
        <s v="GNR_ST_NGAS_BP_E-42"/>
        <s v="GNR_ST_NGAS_BP_E-42_CT-BGAS-H2"/>
        <s v="GNR_ST_NGAS_BP_E-42_CT-BGAS-UP"/>
        <s v="GNR_ST_NGAS_BP_E-42_CT-TGAS-H2"/>
        <s v="GNR_ST_NGAS_BP_E-42_CT-TGAS-UP"/>
        <s v="GNR_ST_NGAS_CND_E-36"/>
        <s v="GNR_ST_NGAS_CND_E-36_CT-BGAS-H2"/>
        <s v="GNR_ST_NGAS_CND_E-36_CT-BGAS-UP"/>
        <s v="GNR_ST_NGAS_CND_E-36_CT-TGAS-H2"/>
        <s v="GNR_ST_NGAS_CND_E-36_CT-TGAS-UP"/>
        <s v="GNR_ST_NGAS_CND_E-38"/>
        <s v="GNR_ST_NGAS_CND_E-38_CT-BGAS-H2"/>
        <s v="GNR_ST_NGAS_CND_E-38_CT-BGAS-UP"/>
        <s v="GNR_ST_NGAS_CND_E-38_CT-TGAS-H2"/>
        <s v="GNR_ST_NGAS_CND_E-38_CT-TGAS-UP"/>
        <s v="GNR_ST_NGAS_CND_E-39"/>
        <s v="GNR_ST_NGAS_CND_E-39_CT-BGAS-H2"/>
        <s v="GNR_ST_NGAS_CND_E-39_CT-BGAS-UP"/>
        <s v="GNR_ST_NGAS_CND_E-39_CT-TGAS-H2"/>
        <s v="GNR_ST_NGAS_CND_E-39_CT-TGAS-UP"/>
        <s v="GNR_ST_NGAS_CND_E-40"/>
        <s v="GNR_ST_NGAS_CND_E-40_CT-BGAS-H2"/>
        <s v="GNR_ST_NGAS_CND_E-40_CT-BGAS-UP"/>
        <s v="GNR_ST_NGAS_CND_E-40_CT-TGAS-H2"/>
        <s v="GNR_ST_NGAS_CND_E-40_CT-TGAS-UP"/>
        <s v="GNR_ST_NGAS_CND_E-47_LS-400-MW_Y-2020"/>
        <s v="GNR_ST_NGAS_CND_E-47_LS-400-MW_Y-2020_CT-BGAS-H2"/>
        <s v="GNR_ST_NGAS_CND_E-47_LS-400-MW_Y-2020_CT-BGAS-UP"/>
        <s v="GNR_ST_NGAS_CND_E-47_LS-400-MW_Y-2020_CT-TGAS-H2"/>
        <s v="GNR_ST_NGAS_CND_E-47_LS-400-MW_Y-2020_CT-TGAS-UP"/>
        <s v="GNR_ST_NGAS_CND_E-47_LS-400-MW_Y-2030"/>
        <s v="GNR_ST_NGAS_CND_E-47_LS-400-MW_Y-2030_CT-BGAS-H2"/>
        <s v="GNR_ST_NGAS_CND_E-47_LS-400-MW_Y-2030_CT-BGAS-UP"/>
        <s v="GNR_ST_NGAS_CND_E-47_LS-400-MW_Y-2030_CT-TGAS-H2"/>
        <s v="GNR_ST_NGAS_CND_E-47_LS-400-MW_Y-2030_CT-TGAS-UP"/>
        <s v="GNR_ST_NGAS_CND_E-47_LS-400-MW_Y-2050"/>
        <s v="GNR_ST_NGAS_CND_E-47_LS-400-MW_Y-2050_CT-BGAS-H2"/>
        <s v="GNR_ST_NGAS_CND_E-47_LS-400-MW_Y-2050_CT-BGAS-UP"/>
        <s v="GNR_ST_NGAS_CND_E-47_LS-400-MW_Y-2050_CT-TGAS-H2"/>
        <s v="GNR_ST_NGAS_CND_E-47_LS-400-MW_Y-2050_CT-TGAS-UP"/>
        <s v="GNR_ST_NGAS_CON_E-38"/>
        <s v="GNR_ST_NGAS_CON_E-38_CT-BGAS-H2"/>
        <s v="GNR_ST_NGAS_CON_E-38_CT-BGAS-UP"/>
        <s v="GNR_ST_NGAS_CON_E-38_CT-TGAS-H2"/>
        <s v="GNR_ST_NGAS_CON_E-38_CT-TGAS-UP"/>
        <s v="GNR_ST_NGAS_EXT_E-24"/>
        <s v="GNR_ST_NGAS_EXT_E-24_CT-BGAS-H2"/>
        <s v="GNR_ST_NGAS_EXT_E-24_CT-BGAS-UP"/>
        <s v="GNR_ST_NGAS_EXT_E-24_CT-TGAS-H2"/>
        <s v="GNR_ST_NGAS_EXT_E-24_CT-TGAS-UP"/>
        <s v="GNR_ST_NGAS_EXT_E-31"/>
        <s v="GNR_ST_NGAS_EXT_E-31_CT-BGAS-H2"/>
        <s v="GNR_ST_NGAS_EXT_E-31_CT-BGAS-UP"/>
        <s v="GNR_ST_NGAS_EXT_E-31_CT-TGAS-H2"/>
        <s v="GNR_ST_NGAS_EXT_E-31_CT-TGAS-UP"/>
        <s v="GNR_ST_NGAS_EXT_E-39"/>
        <s v="GNR_ST_NGAS_EXT_E-39_CT-BGAS-H2"/>
        <s v="GNR_ST_NGAS_EXT_E-39_CT-BGAS-UP"/>
        <s v="GNR_ST_NGAS_EXT_E-39_CT-TGAS-H2"/>
        <s v="GNR_ST_NGAS_EXT_E-39_CT-TGAS-UP"/>
        <s v="GNR_ST_NGAS_EXT_E-47"/>
        <s v="GNR_ST_NGAS_EXT_E-47_CT-BGAS-H2"/>
        <s v="GNR_ST_NGAS_EXT_E-47_CT-BGAS-UP"/>
        <s v="GNR_ST_NGAS_EXT_E-47_CT-TGAS-H2"/>
        <s v="GNR_ST_NGAS_EXT_E-47_CT-TGAS-UP"/>
        <s v="GNR_ST_NGAS_EXT_E-47_LS-400-MW_Y-2020"/>
        <s v="GNR_ST_NGAS_EXT_E-47_LS-400-MW_Y-2020_CT-BGAS-H2"/>
        <s v="GNR_ST_NGAS_EXT_E-47_LS-400-MW_Y-2020_CT-BGAS-UP"/>
        <s v="GNR_ST_NGAS_EXT_E-47_LS-400-MW_Y-2020_CT-TGAS-H2"/>
        <s v="GNR_ST_NGAS_EXT_E-47_LS-400-MW_Y-2020_CT-TGAS-UP"/>
        <s v="GNR_ST_NGAS_EXT_E-47_LS-400-MW_Y-2030"/>
        <s v="GNR_ST_NGAS_EXT_E-47_LS-400-MW_Y-2030_CT-BGAS-H2"/>
        <s v="GNR_ST_NGAS_EXT_E-47_LS-400-MW_Y-2030_CT-BGAS-UP"/>
        <s v="GNR_ST_NGAS_EXT_E-47_LS-400-MW_Y-2030_CT-TGAS-H2"/>
        <s v="GNR_ST_NGAS_EXT_E-47_LS-400-MW_Y-2030_CT-TGAS-UP"/>
        <s v="GNR_ST_NGAS_EXT_E-47_LS-400-MW_Y-2050"/>
        <s v="GNR_ST_NGAS_EXT_E-47_LS-400-MW_Y-2050_CT-BGAS-H2"/>
        <s v="GNR_ST_NGAS_EXT_E-47_LS-400-MW_Y-2050_CT-BGAS-UP"/>
        <s v="GNR_ST_NGAS_EXT_E-47_LS-400-MW_Y-2050_CT-TGAS-H2"/>
        <s v="GNR_ST_NGAS_EXT_E-47_LS-400-MW_Y-2050_CT-TGAS-UP"/>
        <s v="GNR_ST_NUCL_CND_E-33"/>
        <s v="GNR_ST_PEAT_BP_CB-10"/>
        <s v="GNR_ST_PEAT_BP_CB-120"/>
        <s v="GNR_ST_PEAT_BP_CB-20"/>
        <s v="GNR_ST_PEAT_BP_CB-30"/>
        <s v="GNR_ST_PEAT_BP_CB-40"/>
        <s v="GNR_ST_PEAT_BP_CB-50"/>
        <s v="GNR_ST_PEAT_CND_E-38"/>
        <s v="GNR_ST_STRAW_BP_E-15"/>
        <s v="GNR_ST_STRW_BP_E-17_SS-20-MW-FEED_Y-2020"/>
        <s v="GNR_ST_STRW_BP_E-17_SS-20-MW-FEED_Y-2030"/>
        <s v="GNR_ST_STRW_BP_E-17_SS-20-MW-FEED_Y-2050"/>
        <s v="GNR_ST_STRW_BP_E-21"/>
        <s v="GNR_ST_STRW_BP_E-24"/>
        <s v="GNR_ST_STRW_BP_E-25"/>
        <s v="GNR_ST_STRW_BP_E-25_MS-80-MW-FEED_Y-2020"/>
        <s v="GNR_ST_STRW_BP_E-25_MS-80-MW-FEED_Y-2030"/>
        <s v="GNR_ST_STRW_BP_E-25_MS-80-MW-FEED_Y-2050"/>
        <s v="GNR_ST_STRW_BP_E-26"/>
        <s v="GNR_ST_STRW_BP_E-27"/>
        <s v="GNR_ST_STRW_BP_E-28"/>
        <s v="GNR_ST_STRW_BP_E-31_LS-132-MW-FEED_Y-2020"/>
        <s v="GNR_ST_STRW_BP_E-31_LS-132-MW-FEED_Y-2030"/>
        <s v="GNR_ST_STRW_BP_E-31_LS-132-MW-FEED_Y-2050"/>
        <s v="GNR_ST_STRW_CND_E-17_SS-20-MW-FEED_Y-2020"/>
        <s v="GNR_ST_STRW_CND_E-17_SS-20-MW-FEED_Y-2030"/>
        <s v="GNR_ST_STRW_CND_E-17_SS-20-MW-FEED_Y-2050"/>
        <s v="GNR_ST_STRW_CND_E-25_MS-80-MW-FEED_Y-2020"/>
        <s v="GNR_ST_STRW_CND_E-25_MS-80-MW-FEED_Y-2030"/>
        <s v="GNR_ST_STRW_CND_E-25_MS-80-MW-FEED_Y-2050"/>
        <s v="GNR_ST_STRW_CND_E-31_LS-132-MW-FEED_Y-2020"/>
        <s v="GNR_ST_STRW_CND_E-31_LS-132-MW-FEED_Y-2030"/>
        <s v="GNR_ST_STRW_CND_E-31_LS-132-MW-FEED_Y-2050"/>
        <s v="GNR_ST_WOODCHI_BP_CB-10"/>
        <s v="GNR_ST_WOODCHI_BP_CB-20"/>
        <s v="GNR_ST_WOODCHI_BP_CB-30"/>
        <s v="GNR_ST_WOODCHI_BP_CB-40"/>
        <s v="GNR_ST_WOODCHI_BP_CB-50"/>
        <s v="GNR_ST_WOODCHI_BP_CB-60"/>
        <s v="GNR_ST_WOODCHI_BP_CB-70"/>
        <s v="GNR_ST_WOODCHI_BP_CB-80"/>
        <s v="GNR_ST_WOODCHI_BP_E-15"/>
        <s v="GNR_ST_WOODCHI_BP_E-16"/>
        <s v="GNR_ST_WOODCHI_BP_E-16_SS-20-MW-FEED_Y-2020"/>
        <s v="GNR_ST_WOODCHI_BP_E-16_SS-20-MW-FEED_Y-2030"/>
        <s v="GNR_ST_WOODCHI_BP_E-16_SS-20-MW-FEED_Y-2050"/>
        <s v="GNR_ST_WOODCHI_BP_E-17"/>
        <s v="GNR_ST_WOODCHI_BP_E-23"/>
        <s v="GNR_ST_WOODCHI_BP_E-24"/>
        <s v="GNR_ST_WOODCHI_BP_E-27"/>
        <s v="GNR_ST_WOODCHI_BP_E-29_LS-600-MW-FEED_Y-2020"/>
        <s v="GNR_ST_WOODCHI_BP_E-29_LS-600-MW-FEED_Y-2030"/>
        <s v="GNR_ST_WOODCHI_BP_E-29_LS-600-MW-FEED_Y-2050"/>
        <s v="GNR_ST_WOODCHI_BP_E-29_MS-80-MW-FEED_Y-2020"/>
        <s v="GNR_ST_WOODCHI_BP_E-29_MS-80-MW-FEED_Y-2030"/>
        <s v="GNR_ST_WOODCHI_BP_E-29_MS-80-MW-FEED_Y-2050"/>
        <s v="GNR_ST_WOODCHI_BP_E-30"/>
        <s v="GNR_ST_WOODCHI_CND_E-16_SS-20-MW-FEED_Y-2020"/>
        <s v="GNR_ST_WOODCHI_CND_E-16_SS-20-MW-FEED_Y-2030"/>
        <s v="GNR_ST_WOODCHI_CND_E-16_SS-20-MW-FEED_Y-2050"/>
        <s v="GNR_ST_WOODCHI_CND_E-29_LS-600-MW-FEED_Y-2020"/>
        <s v="GNR_ST_WOODCHI_CND_E-29_LS-600-MW-FEED_Y-2030"/>
        <s v="GNR_ST_WOODCHI_CND_E-29_LS-600-MW-FEED_Y-2050"/>
        <s v="GNR_ST_WOODCHI_CND_E-29_MS-80-MW-FEED_Y-2020"/>
        <s v="GNR_ST_WOODCHI_CND_E-29_MS-80-MW-FEED_Y-2030"/>
        <s v="GNR_ST_WOODCHI_CND_E-29_MS-80-MW-FEED_Y-2050"/>
        <s v="GNR_ST_WOODCHI_EXT_E-30"/>
        <s v="GNR_ST_WOODPEL_BP_CB-10"/>
        <s v="GNR_ST_WOODPEL_BP_CB-30"/>
        <s v="GNR_ST_WOODPEL_BP_CB-40"/>
        <s v="GNR_ST_WOODPEL_BP_CB-50"/>
        <s v="GNR_ST_WOODPEL_BP_E-15"/>
        <s v="GNR_ST_WOODPEL_BP_E-17_SS-20-MW-FEED_Y-2020"/>
        <s v="GNR_ST_WOODPEL_BP_E-17_SS-20-MW-FEED_Y-2030"/>
        <s v="GNR_ST_WOODPEL_BP_E-17_SS-20-MW-FEED_Y-2050"/>
        <s v="GNR_ST_WOODPEL_BP_E-18"/>
        <s v="GNR_ST_WOODPEL_BP_E-30"/>
        <s v="GNR_ST_WOODPEL_BP_E-30_MS-80-MW-FEED_Y-2020"/>
        <s v="GNR_ST_WOODPEL_BP_E-30_MS-80-MW-FEED_Y-2030"/>
        <s v="GNR_ST_WOODPEL_BP_E-30_MS-80-MW-FEED_Y-2050"/>
        <s v="GNR_ST_WOODPEL_CND_E-17_SS-20-MW-FEED_Y-2020"/>
        <s v="GNR_ST_WOODPEL_CND_E-17_SS-20-MW-FEED_Y-2030"/>
        <s v="GNR_ST_WOODPEL_CND_E-17_SS-20-MW-FEED_Y-2050"/>
        <s v="GNR_ST_WOODPEL_CND_E-30_MS-80-MW-FEED_Y-2020"/>
        <s v="GNR_ST_WOODPEL_CND_E-30_MS-80-MW-FEED_Y-2030"/>
        <s v="GNR_ST_WOODPEL_CND_E-30_MS-80-MW-FEED_Y-2050"/>
        <s v="GNR_ST_WOODPEL_CND_E-33_LS-800-MW-FEED_Y-2020"/>
        <s v="GNR_ST_WOODPEL_CND_E-33_LS-800-MW-FEED_Y-2030"/>
        <s v="GNR_ST_WOODPEL_CND_E-33_LS-800-MW-FEED_Y-2050"/>
        <s v="GNR_ST_WOODPEL_CND_E-49_LS-250-MW_Y-2020"/>
        <s v="GNR_ST_WOODPEL_CND_E-52_LS-250-MW_Y-2030"/>
        <s v="GNR_ST_WOODPEL_CND_E-54_LS-250-MW_Y-2050"/>
        <s v="GNR_ST_WOODPEL_EXT_E-30"/>
        <s v="GNR_ST_WOODPEL_EXT_E-33_LS-800-MW-FEED_Y-2020"/>
        <s v="GNR_ST_WOODPEL_EXT_E-33_LS-800-MW-FEED_Y-2030"/>
        <s v="GNR_ST_WOODPEL_EXT_E-33_LS-800-MW-FEED_Y-2050"/>
        <s v="GNR_ST_WOODPEL_EXT_E-49_LS-250-MW_Y-2020"/>
        <s v="GNR_ST_WOODPEL_EXT_E-50"/>
        <s v="GNR_ST_WOODPEL_EXT_E-52_LS-250-MW_Y-2030"/>
        <s v="GNR_ST_WOODPEL_EXT_E-54_LS-250-MW_Y-2050"/>
        <s v="GNR_ST_WOODWST_BP_CB-10"/>
        <s v="GNR_ST_WOODWST_BP_CB-20"/>
        <s v="GNR_ST_WOODWST_BP_CB-30"/>
        <s v="GNR_ST_WOODWST_BP_CB-40"/>
        <s v="GNR_ST_WOODWST_BP_CB-50"/>
        <s v="GNR_ST_WOODWST_BP_E-53"/>
        <s v="GNR_ST_WOOD_BP_E-30"/>
        <s v="GNR_ST_WOOD_BP_E-53"/>
        <s v="GNR_ST_WOOD_CND_E-50"/>
        <s v="GNR_ST_WOOD_EXT_E-14"/>
        <s v="GNR_ST_WOOD_EXT_E-45"/>
        <s v="GNR_WT_WIND_OFF"/>
        <s v="GNR_WT_WIND_OFF_L-FS_Y-2020"/>
        <s v="GNR_WT_WIND_OFF_L-FS_Y-2030"/>
        <s v="GNR_WT_WIND_OFF_L-FS_Y-2050"/>
        <s v="GNR_WT_WIND_OFF_L-NS_Y-2020"/>
        <s v="GNR_WT_WIND_OFF_L-NS_Y-2030"/>
        <s v="GNR_WT_WIND_OFF_L-NS_Y-2050"/>
        <s v="GNR_WT_WIND_ONS"/>
        <s v="GNR_WT_WIND_ON_LS_Y-2020"/>
        <s v="GNR_WT_WIND_ON_LS_Y-2030"/>
        <s v="GNR_WT_WIND_ON_LS_Y-2050"/>
        <s v="GNR_WT_WIND_ON_SS-25-KW_Y-2020"/>
        <s v="GNR_WT_WIND_ON_SS-25-KW_Y-2030"/>
        <s v="GNR_WT_WIND_ON_SS-25-KW_Y-2050"/>
        <s v="GORZ-4_ST_NGAS_BP"/>
        <s v="GORZ-4_ST_NGAS_BP_CT-BGAS-H2"/>
        <s v="GORZ-4_ST_NGAS_BP_CT-BGAS-UP"/>
        <s v="GORZ-4_ST_NGAS_BP_CT-TGAS-H2"/>
        <s v="GORZ-4_ST_NGAS_BP_CT-TGAS-UP"/>
        <s v="IMAVERE_ST_WOOD_BP"/>
        <s v="IRU_ST_MSW_BP"/>
        <s v="IRU_ST_NGAS_BP"/>
        <s v="IRU_ST_NGAS_BP_CT-BGAS-H2"/>
        <s v="IRU_ST_NGAS_BP_CT-BGAS-UP"/>
        <s v="IRU_ST_NGAS_BP_CT-TGAS-H2"/>
        <s v="IRU_ST_NGAS_BP_CT-TGAS-UP"/>
        <s v="JAWO2-1_ST_COAL_BP"/>
        <s v="JAWO2-1_ST_COAL_BP-Straw"/>
        <s v="JAWO2-1_ST_COAL_BP-WC"/>
        <s v="JAWO2-1_ST_COAL_BP-WP"/>
        <s v="KARO-1_ST_COAL_EXT"/>
        <s v="KARO-1_ST_COAL_EXT-Straw"/>
        <s v="KARO-1_ST_COAL_EXT-WC"/>
        <s v="KARO-1_ST_COAL_EXT-WP"/>
        <s v="KARO-2_ST_COAL_BP"/>
        <s v="KARO-2_ST_COAL_BP-Straw"/>
        <s v="KARO-2_ST_COAL_BP-WC"/>
        <s v="KARO-2_ST_COAL_BP-WP"/>
        <s v="KATO_ST_COAL_BP"/>
        <s v="KATO_ST_COAL_BP-Straw"/>
        <s v="KATO_ST_COAL_BP-WC"/>
        <s v="KATO_ST_COAL_BP-WP"/>
        <s v="KAUNAS_ST_MSW_BP"/>
        <s v="KELJONLAHTI_ST_PEAT_EXT"/>
        <s v="KLAIPEDA_ST_WOOD_BP"/>
        <s v="KOZI-1_ST_COAL_EXT"/>
        <s v="KOZI-1_ST_COAL_EXT-Straw"/>
        <s v="KOZI-1_ST_COAL_EXT-WC"/>
        <s v="KOZI-1_ST_COAL_EXT-WP"/>
        <s v="KOZI-2_ST_COAL_CND"/>
        <s v="KOZI-2_ST_COAL_CND-Straw"/>
        <s v="KOZI-2_ST_COAL_CND-WC"/>
        <s v="KOZI-2_ST_COAL_CND-WP"/>
        <s v="KRLEG-1_ST_COAL_BP"/>
        <s v="KRLEG-1_ST_COAL_BP-Straw"/>
        <s v="KRLEG-1_ST_COAL_BP-WC"/>
        <s v="KRLEG-1_ST_COAL_BP-WP"/>
        <s v="KRLEG-3_ST_COAL_EXT"/>
        <s v="KRLEG-3_ST_COAL_EXT-Straw"/>
        <s v="KRLEG-3_ST_COAL_EXT-WC"/>
        <s v="KRLEG-3_ST_COAL_EXT-WP"/>
        <s v="LAZI-1_ST_COAL_EXT"/>
        <s v="LAZI-1_ST_COAL_EXT-Straw"/>
        <s v="LAZI-1_ST_COAL_EXT-WC"/>
        <s v="LAZI-1_ST_COAL_EXT-WP"/>
        <s v="LAZI-2_ST_COAL_CND"/>
        <s v="LAZI-2_ST_COAL_CND-Straw"/>
        <s v="LAZI-2_ST_COAL_CND-WC"/>
        <s v="LAZI-2_ST_COAL_CND-WP"/>
        <s v="LAZI-6_ST_COAL_CND"/>
        <s v="LAZI-6_ST_COAL_CND-Straw"/>
        <s v="LAZI-6_ST_COAL_CND-WC"/>
        <s v="LAZI-6_ST_COAL_CND-WP"/>
        <s v="LIFOSA_ST_HEAT_BP"/>
        <s v="LINKOPING_ST_COAL_EXT"/>
        <s v="LINKOPING_ST_COAL_EXT-Straw"/>
        <s v="LINKOPING_ST_COAL_EXT-WC"/>
        <s v="LINKOPING_ST_COAL_EXT-WP"/>
        <s v="LODZ-3_ST_STRAW_EXT"/>
        <s v="LULEKRAFT_ST_BFG_EXT"/>
        <s v="MIEC_ST_COAL_EXT"/>
        <s v="MIEC_ST_COAL_EXT-Straw"/>
        <s v="MIEC_ST_COAL_EXT-WC"/>
        <s v="MIEC_ST_COAL_EXT-WP"/>
        <s v="MUSTAMAE_ST_WOOD_BP"/>
        <s v="NA1_IND-ST_COAL_EXT"/>
        <s v="NA1_IND-ST_COAL_EXT-Straw"/>
        <s v="NA1_IND-ST_COAL_EXT-WC"/>
        <s v="NA1_IND-ST_COAL_EXT-WP"/>
        <s v="NA2y3_ST_COAL_EXT"/>
        <s v="NA2y3_ST_COAL_EXT-Straw"/>
        <s v="NA2y3_ST_COAL_EXT-WC"/>
        <s v="NA2y3_ST_COAL_EXT-WP"/>
        <s v="NARVA-11_ST_SHALE_EXT"/>
        <s v="NARVA-12_ST_SHALE_CND"/>
        <s v="NARVA-1_ST_SHALE_CND"/>
        <s v="NARVA-2_ST_SHALE_CND"/>
        <s v="NARVA-3_ST_SHALE_CND"/>
        <s v="NARVA-4_ST_SHALE_CND"/>
        <s v="NARVA-5_ST_SHALE_CND"/>
        <s v="NARVA-6_ST_SHALE_CND"/>
        <s v="NARVA-7_ST_SHALE_CND"/>
        <s v="NARVA-8_ST_SHALE_CND"/>
        <s v="NOWA-1_ST_NGAS_BP"/>
        <s v="NOWA-1_ST_NGAS_BP_CT-BGAS-H2"/>
        <s v="NOWA-1_ST_NGAS_BP_CT-BGAS-UP"/>
        <s v="NOWA-1_ST_NGAS_BP_CT-TGAS-H2"/>
        <s v="NOWA-1_ST_NGAS_BP_CT-TGAS-UP"/>
        <s v="OPOL-1_ST_COAL_CND"/>
        <s v="OPOL-1_ST_COAL_CND-Straw"/>
        <s v="OPOL-1_ST_COAL_CND-WC"/>
        <s v="OPOL-1_ST_COAL_CND-WP"/>
        <s v="ORESUND_CC_NGAS_EXT"/>
        <s v="ORESUND_CC_NGAS_EXT_CT-BGAS-H2"/>
        <s v="ORESUND_CC_NGAS_EXT_CT-BGAS-UP"/>
        <s v="ORESUND_CC_NGAS_EXT_CT-TGAS-H2"/>
        <s v="ORESUND_CC_NGAS_EXT_CT-TGAS-UP"/>
        <s v="OSTRB-1_ST_COAL_CND"/>
        <s v="OSTRB-1_ST_COAL_CND-Straw"/>
        <s v="OSTRB-1_ST_COAL_CND-WC"/>
        <s v="OSTRB-1_ST_COAL_CND-WP"/>
        <s v="OSULA_ST_WOOD_BP"/>
        <s v="PARNU-1_ST_WOOD_BP"/>
        <s v="PATN2-1_ST_LIGNITE_CON"/>
        <s v="POLA-2_ST_COAL_CND"/>
        <s v="POLA-2_ST_COAL_CND-Straw"/>
        <s v="POLA-2_ST_COAL_CND-WC"/>
        <s v="POLA-2_ST_COAL_CND-WP"/>
        <s v="RIGA-TEC1_BO_NGAS_HO"/>
        <s v="RIGA-TEC1_BO_NGAS_HO_CT-BGAS-H2"/>
        <s v="RIGA-TEC1_BO_NGAS_HO_CT-BGAS-UP"/>
        <s v="RIGA-TEC1_BO_NGAS_HO_CT-TGAS-H2"/>
        <s v="RIGA-TEC1_BO_NGAS_HO_CT-TGAS-UP"/>
        <s v="RIGA-TEC2_BO_NGAS_HO"/>
        <s v="RIGA-TEC2_BO_NGAS_HO_CT-BGAS-H2"/>
        <s v="RIGA-TEC2_BO_NGAS_HO_CT-BGAS-UP"/>
        <s v="RIGA-TEC2_BO_NGAS_HO_CT-TGAS-H2"/>
        <s v="RIGA-TEC2_BO_NGAS_HO_CT-TGAS-UP"/>
        <s v="RIGA-TEC2_CC_NGAS_BP"/>
        <s v="RIGA-TEC2_CC_NGAS_BP_CT-BGAS-H2"/>
        <s v="RIGA-TEC2_CC_NGAS_BP_CT-BGAS-UP"/>
        <s v="RIGA-TEC2_CC_NGAS_BP_CT-TGAS-H2"/>
        <s v="RIGA-TEC2_CC_NGAS_BP_CT-TGAS-UP"/>
        <s v="RIGA-TEC2_CC_NGAS_EXT"/>
        <s v="RIGA-TEC2_CC_NGAS_EXT_CT-BGAS-H2"/>
        <s v="RIGA-TEC2_CC_NGAS_EXT_CT-BGAS-UP"/>
        <s v="RIGA-TEC2_CC_NGAS_EXT_CT-TGAS-H2"/>
        <s v="RIGA-TEC2_CC_NGAS_EXT_CT-TGAS-UP"/>
        <s v="RYBN-1_ST_COAL_EXT"/>
        <s v="RYBN-1_ST_COAL_EXT-Straw"/>
        <s v="RYBN-1_ST_COAL_EXT-WC"/>
        <s v="RYBN-1_ST_COAL_EXT-WP"/>
        <s v="RYBN-2_ST_COAL_CND"/>
        <s v="RYBN-2_ST_COAL_CND-Straw"/>
        <s v="RYBN-2_ST_COAL_CND-WC"/>
        <s v="RYBN-2_ST_COAL_CND-WP"/>
        <s v="RZES-2_ST_NGAS_BP"/>
        <s v="RZES-2_ST_NGAS_BP_CT-BGAS-H2"/>
        <s v="RZES-2_ST_NGAS_BP_CT-BGAS-UP"/>
        <s v="RZES-2_ST_NGAS_BP_CT-TGAS-H2"/>
        <s v="RZES-2_ST_NGAS_BP_CT-TGAS-UP"/>
        <s v="SIAULIAI_ST_WOOD_BP"/>
        <s v="SIEK-1_ST_COAL_BP"/>
        <s v="SIEK-1_ST_COAL_BP-Straw"/>
        <s v="SIEK-1_ST_COAL_BP-WC"/>
        <s v="SIEK-1_ST_COAL_BP-WP"/>
        <s v="SIEK-1_ST_COAL_EXT"/>
        <s v="SIEK-1_ST_COAL_EXT-Straw"/>
        <s v="SIEK-1_ST_COAL_EXT-WC"/>
        <s v="SIEK-1_ST_COAL_EXT-WP"/>
        <s v="SIEK-8_ST_COAL_EXT"/>
        <s v="SIEK-8_ST_COAL_EXT-Straw"/>
        <s v="SIEK-8_ST_COAL_EXT-WC"/>
        <s v="SIEK-8_ST_COAL_EXT-WP"/>
        <s v="SIER-1_ST_COAL_BP"/>
        <s v="SIER-1_ST_COAL_BP-Straw"/>
        <s v="SIER-1_ST_COAL_BP-WC"/>
        <s v="SIER-1_ST_COAL_BP-WP"/>
        <s v="SILLAMAE_ST_WOOD_BP"/>
        <s v="SKAW-1_ST_COAL_BP"/>
        <s v="SKAW-1_ST_COAL_BP-Straw"/>
        <s v="SKAW-1_ST_COAL_BP-WC"/>
        <s v="SKAW-1_ST_COAL_BP-WP"/>
        <s v="SZCZ-1_ST_COAL_BP"/>
        <s v="SZCZ-1_ST_COAL_BP-Straw"/>
        <s v="SZCZ-1_ST_COAL_BP-WC"/>
        <s v="SZCZ-1_ST_COAL_BP-WP"/>
        <s v="TARTU-1_ST_WOOD_BP"/>
        <s v="TOPPILA2_ST_PEAT_EXT"/>
        <s v="TURO-1_ST_COAL_BP"/>
        <s v="TURO-1_ST_COAL_BP-Straw"/>
        <s v="TURO-1_ST_COAL_BP-WC"/>
        <s v="TURO-1_ST_COAL_BP-WP"/>
        <s v="TYCH_ST_COAL_BP"/>
        <s v="TYCH_ST_COAL_BP-Straw"/>
        <s v="TYCH_ST_COAL_BP-WC"/>
        <s v="TYCH_ST_COAL_BP-WP"/>
        <s v="VAO-1_ST_WOOD_BP"/>
        <s v="VAO-2_ST_WOOD_BP"/>
        <s v="VARTAN1_ST_BIOIL_EXT"/>
        <s v="VARTAN6_ST_COAL_EXT"/>
        <s v="VARTAN6_ST_COAL_EXT-Straw"/>
        <s v="VARTAN6_ST_COAL_EXT-WC"/>
        <s v="VARTAN6_ST_COAL_EXT-WP"/>
        <s v="VILNIUS_ST_MSW_BP"/>
        <s v="VILNIUS_ST_WOOD_BP"/>
        <s v="VUOSAARIB_CC_NGAS_EXT"/>
        <s v="VUOSAARIB_CC_NGAS_EXT_CT-BGAS-H2"/>
        <s v="VUOSAARIB_CC_NGAS_EXT_CT-BGAS-UP"/>
        <s v="VUOSAARIB_CC_NGAS_EXT_CT-TGAS-H2"/>
        <s v="VUOSAARIB_CC_NGAS_EXT_CT-TGAS-UP"/>
        <s v="ZABR-1_ST_COAL_EXT"/>
        <s v="ZABR-1_ST_COAL_EXT-Straw"/>
        <s v="ZABR-1_ST_COAL_EXT-WC"/>
        <s v="ZABR-1_ST_COAL_EXT-WP"/>
        <s v="ZABR-2_ST_COAL_EXT"/>
        <s v="ZABR-2_ST_COAL_EXT-Straw"/>
        <s v="ZABR-2_ST_COAL_EXT-WC"/>
        <s v="ZABR-2_ST_COAL_EXT-WP"/>
        <s v="ZABR-3_ST_COAL_BP"/>
        <s v="ZABR-3_ST_COAL_BP-Straw"/>
        <s v="ZABR-3_ST_COAL_BP-WC"/>
        <s v="ZABR-3_ST_COAL_BP-WP"/>
        <s v="ZERA-7_ST_COAL_EXT"/>
        <s v="ZERA-7_ST_COAL_EXT-Straw"/>
        <s v="ZERA-7_ST_COAL_EXT-WC"/>
        <s v="ZERA-7_ST_COAL_EXT-WP"/>
        <s v="ZERA-8_ST_COAL_EXT"/>
        <s v="ZERA-8_ST_COAL_EXT-Straw"/>
        <s v="ZERA-8_ST_COAL_EXT-WC"/>
        <s v="ZERA-8_ST_COAL_EXT-WP"/>
        <s v="ZIEL-1_ST_NGAS_BP"/>
        <s v="ZIEL-1_ST_NGAS_BP_CT-BGAS-H2"/>
        <s v="ZIEL-1_ST_NGAS_BP_CT-BGAS-UP"/>
        <s v="ZIEL-1_ST_NGAS_BP_CT-TGAS-H2"/>
        <s v="ZIEL-1_ST_NGAS_BP_CT-TGAS-UP"/>
        <s v="ZIEL-2_ST_COAL_BP"/>
        <s v="ZIEL-2_ST_COAL_BP-Straw"/>
        <s v="ZIEL-2_ST_COAL_BP-WC"/>
        <s v="ZIEL-2_ST_COAL_BP-WP"/>
        <s v="ZIEL-3_ST_NGAS_BP"/>
        <s v="ZIEL-3_ST_NGAS_BP_CT-BGAS-H2"/>
        <s v="ZIEL-3_ST_NGAS_BP_CT-BGAS-UP"/>
        <s v="ZIEL-3_ST_NGAS_BP_CT-TGAS-H2"/>
        <s v="ZIEL-3_ST_NGAS_BP_CT-TGAS-UP"/>
        <s v="ZIEL-4_ST_COAL_BP"/>
        <s v="ZIEL-4_ST_COAL_BP-Straw"/>
        <s v="ZIEL-4_ST_COAL_BP-WC"/>
        <s v="ZIEL-4_ST_COAL_BP-WP"/>
      </sharedItems>
    </cacheField>
    <cacheField name="Fuel type" numFmtId="0" sqlType="-9">
      <sharedItems count="31">
        <s v="NATGAS"/>
        <s v="BIOGAS_H2"/>
        <s v="BIOGAS_UP"/>
        <s v="THERMGAS_H2"/>
        <s v="THERMGAS_UP"/>
        <s v="LIGNITE"/>
        <s v="ELECTRIC"/>
        <s v="PEAT"/>
        <s v="WOODWASTE"/>
        <s v="FUELOIL"/>
        <s v="MUNIWASTE"/>
        <s v="SHALE"/>
        <s v="STRAW"/>
        <s v="COAL"/>
        <s v="WOODCHIPS"/>
        <s v="WOODPELLETS"/>
        <s v="RETORTGAS"/>
        <s v="OTHERGAS"/>
        <s v="BIOGAS"/>
        <s v="BIOOIL"/>
        <s v="LIGHTOIL"/>
        <s v="LNG"/>
        <s v="WOOD"/>
        <s v="WASTEHEAT"/>
        <s v="THERMGAS"/>
        <s v="HYDROGEN"/>
        <s v="HEAT"/>
        <s v="SUN"/>
        <s v="WATER"/>
        <s v="NUCLEAR"/>
        <s v="WIND"/>
      </sharedItems>
    </cacheField>
    <cacheField name="Technology Type" numFmtId="0" sqlType="-9">
      <sharedItems containsBlank="1" count="15">
        <s v="Extraction"/>
        <s v="Condensing"/>
        <s v="EL storage"/>
        <s v="EL storage S"/>
        <s v="Backpressure"/>
        <s v="Heat-Only"/>
        <s v="Electricity to heat"/>
        <m/>
        <s v="HE storage"/>
        <s v="HE storage S"/>
        <s v="Solar PV"/>
        <s v="Hydro reservoir"/>
        <s v="Hydro ROR"/>
        <s v="Solar heat"/>
        <s v="Wind"/>
      </sharedItems>
    </cacheField>
    <cacheField name="Technology Category" numFmtId="0" sqlType="-9">
      <sharedItems count="7">
        <s v="Cogeneration"/>
        <s v="Thermal power"/>
        <s v="Storage"/>
        <s v="Other"/>
        <s v="Conversion"/>
        <s v="VRE"/>
        <s v="Hydro power"/>
      </sharedItems>
    </cacheField>
    <cacheField name="CHP CB-value" numFmtId="0" sqlType="8">
      <sharedItems containsString="0" containsBlank="1" containsNumber="1" minValue="0.05" maxValue="1000"/>
    </cacheField>
    <cacheField name="CHP CV-value" numFmtId="0" sqlType="8">
      <sharedItems containsString="0" containsBlank="1" containsNumber="1" minValue="-0.01" maxValue="1" count="27">
        <n v="0.1"/>
        <n v="0.2"/>
        <m/>
        <n v="0.05"/>
        <n v="0.31"/>
        <n v="1"/>
        <n v="0.38"/>
        <n v="0.11"/>
        <n v="0.04"/>
        <n v="0.18"/>
        <n v="0.15"/>
        <n v="-0.01"/>
        <n v="0.34"/>
        <n v="0.33"/>
        <n v="8.5999999999999993E-2"/>
        <n v="7.5999999999999998E-2"/>
        <n v="9.2999999999999999E-2"/>
        <n v="0.12"/>
        <n v="0.17"/>
        <n v="0.154"/>
        <n v="0.06"/>
        <n v="0.45"/>
        <n v="0.09"/>
        <n v="0.19500000000000001"/>
        <n v="0.16"/>
        <n v="0.02"/>
        <n v="0.03"/>
      </sharedItems>
    </cacheField>
    <cacheField name="Fuel efficiency" numFmtId="0" sqlType="8">
      <sharedItems containsSemiMixedTypes="0" containsString="0" containsNumber="1" minValue="0.13" maxValue="38.299999999999997"/>
    </cacheField>
    <cacheField name="Investment cost M€/MW" numFmtId="0" sqlType="8">
      <sharedItems containsString="0" containsBlank="1" containsNumber="1" minValue="1.0000000000000001E-5" maxValue="10.245668865323101"/>
    </cacheField>
    <cacheField name="Variable operating and maintenance cost €/MWh" numFmtId="0" sqlType="8">
      <sharedItems containsString="0" containsBlank="1" containsNumber="1" minValue="1.6809999999999999E-4" maxValue="25.045790356046499"/>
    </cacheField>
    <cacheField name="Annual fixed operational cost k€/MW" numFmtId="0" sqlType="8">
      <sharedItems containsString="0" containsBlank="1" containsNumber="1" minValue="8.0000000000000004E-4" maxValue="382.2"/>
    </cacheField>
    <cacheField name="Technology available from year" numFmtId="0" sqlType="8">
      <sharedItems containsString="0" containsBlank="1" containsNumber="1" containsInteger="1" minValue="1955" maxValue="2050" count="17">
        <n v="1995"/>
        <m/>
        <n v="2015"/>
        <n v="2010"/>
        <n v="2020"/>
        <n v="2030"/>
        <n v="2040"/>
        <n v="2050"/>
        <n v="1970"/>
        <n v="2016"/>
        <n v="2002"/>
        <n v="2009"/>
        <n v="1997"/>
        <n v="2006"/>
        <n v="2004"/>
        <n v="1955"/>
        <n v="2012"/>
      </sharedItems>
    </cacheField>
    <cacheField name="Technology available until year" numFmtId="0" sqlType="8">
      <sharedItems containsString="0" containsBlank="1" containsNumber="1" containsInteger="1" minValue="2019" maxValue="2050" count="6">
        <m/>
        <n v="2029"/>
        <n v="2039"/>
        <n v="2049"/>
        <n v="2050"/>
        <n v="2019"/>
      </sharedItems>
    </cacheField>
    <cacheField name="Investment technology (yes/no)" numFmtId="0" sqlType="-9">
      <sharedItems containsBlank="1" count="2">
        <m/>
        <s v="1.0"/>
      </sharedItems>
    </cacheField>
    <cacheField name="Lifetime" numFmtId="0" sqlType="8">
      <sharedItems containsString="0" containsBlank="1" containsNumber="1" minValue="6" maxValue="60" count="21">
        <n v="20"/>
        <m/>
        <n v="30"/>
        <n v="25"/>
        <n v="15"/>
        <n v="22.5"/>
        <n v="9"/>
        <n v="13"/>
        <n v="12"/>
        <n v="18"/>
        <n v="17"/>
        <n v="24"/>
        <n v="19"/>
        <n v="50"/>
        <n v="51"/>
        <n v="6"/>
        <n v="22"/>
        <n v="35"/>
        <n v="40"/>
        <n v="60"/>
        <n v="27"/>
      </sharedItems>
    </cacheField>
    <cacheField name="Time to unload storage" numFmtId="0" sqlType="8">
      <sharedItems containsString="0" containsBlank="1" containsNumber="1" minValue="0.1" maxValue="192.59259259259301" count="13">
        <m/>
        <n v="1.5"/>
        <n v="8"/>
        <n v="0.5"/>
        <n v="12"/>
        <n v="0.1"/>
        <n v="9.4"/>
        <n v="30"/>
        <n v="5"/>
        <n v="100"/>
        <n v="82.5"/>
        <n v="192.59259259259301"/>
        <n v="2"/>
      </sharedItems>
    </cacheField>
    <cacheField name="Time to load storage" numFmtId="0" sqlType="8">
      <sharedItems containsString="0" containsBlank="1" containsNumber="1" minValue="0.1" maxValue="192.59259259259301" count="14">
        <m/>
        <n v="1.5"/>
        <n v="8"/>
        <n v="0.5"/>
        <n v="9"/>
        <n v="0.1"/>
        <n v="8.93"/>
        <n v="30"/>
        <n v="5"/>
        <n v="100"/>
        <n v="110"/>
        <n v="192.59259259259301"/>
        <n v="2"/>
        <n v="13"/>
      </sharedItems>
    </cacheField>
  </cacheFields>
  <extLst>
    <ext xmlns:x14="http://schemas.microsoft.com/office/spreadsheetml/2009/9/main" uri="{725AE2AE-9491-48be-B2B4-4EB974FC3084}">
      <x14:pivotCacheDefinition/>
    </ext>
  </extLst>
</pivotCacheDefinition>
</file>

<file path=xl/pivotCache/pivotCacheDefinition27.xml><?xml version="1.0" encoding="utf-8"?>
<pivotCacheDefinition xmlns="http://schemas.openxmlformats.org/spreadsheetml/2006/main" xmlns:r="http://schemas.openxmlformats.org/officeDocument/2006/relationships" r:id="rId1" refreshedBy="Hardi Koduvere" refreshedDate="43475.721221759261" missingItemsLimit="0" createdVersion="6" refreshedVersion="6" minRefreshableVersion="3" recordCount="73">
  <cacheSource type="external" connectionId="22"/>
  <cacheFields count="12">
    <cacheField name="Case" numFmtId="0" sqlType="-9">
      <sharedItems count="1">
        <s v="BASE"/>
      </sharedItems>
    </cacheField>
    <cacheField name="BaseYear" numFmtId="0" sqlType="-9">
      <sharedItems count="1">
        <s v="2030"/>
      </sharedItems>
    </cacheField>
    <cacheField name="ModelYear" numFmtId="0" sqlType="-9">
      <sharedItems count="1">
        <s v="2030"/>
      </sharedItems>
    </cacheField>
    <cacheField name="Country" numFmtId="0" sqlType="-9">
      <sharedItems count="1">
        <s v="DENMARK"/>
      </sharedItems>
    </cacheField>
    <cacheField name="Region" numFmtId="0" sqlType="-9">
      <sharedItems count="2">
        <s v="DK1"/>
        <s v="DK2"/>
      </sharedItems>
    </cacheField>
    <cacheField name="Export Area" numFmtId="0" sqlType="-9">
      <sharedItems count="5">
        <s v="DK1_Large_PHH"/>
        <s v="DK1_NoDH_PHH"/>
        <s v="DK1_NoDH_PHL"/>
        <s v="DK2_Large_PHH"/>
        <s v="DK2_NoDH_PHL"/>
      </sharedItems>
    </cacheField>
    <cacheField name="Import Area" numFmtId="0" sqlType="-9">
      <sharedItems count="5">
        <s v="DK1_Large_PHL"/>
        <s v="DK1_NoDH_PHL"/>
        <s v="DK1_NoDH_PHH"/>
        <s v="DK2_Large_PHL"/>
        <s v="DK2_NoDH_PHH"/>
      </sharedItems>
    </cacheField>
    <cacheField name="Season" numFmtId="0" sqlType="-10">
      <sharedItems count="3">
        <s v="S20"/>
        <s v="S12"/>
        <s v="S35"/>
      </sharedItems>
    </cacheField>
    <cacheField name="Term" numFmtId="0" sqlType="-10">
      <sharedItems count="12">
        <s v="T061"/>
        <s v="T089"/>
        <s v="T005"/>
        <s v="T019"/>
        <s v="T033"/>
        <s v="T047"/>
        <s v="T075"/>
        <s v="T103"/>
        <s v="T117"/>
        <s v="T131"/>
        <s v="T145"/>
        <s v="T159"/>
      </sharedItems>
    </cacheField>
    <cacheField name="MW" numFmtId="0" sqlType="8">
      <sharedItems containsSemiMixedTypes="0" containsString="0" containsNumber="1" minValue="6.3300082751977698" maxValue="627.98566662254404"/>
    </cacheField>
    <cacheField name="MWh" numFmtId="0" sqlType="8">
      <sharedItems containsSemiMixedTypes="0" containsString="0" containsNumber="1" minValue="1540.3020136314601" maxValue="152809.84554481899"/>
    </cacheField>
    <cacheField name="GJ" numFmtId="0" sqlType="8">
      <sharedItems containsSemiMixedTypes="0" containsString="0" containsNumber="1" minValue="5545.0872490732399" maxValue="550115.443961348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r>
</pivotCacheRecords>
</file>

<file path=xl/pivotCache/pivotCacheRecords2.xml><?xml version="1.0" encoding="utf-8"?>
<pivotCacheRecords xmlns="http://schemas.openxmlformats.org/spreadsheetml/2006/main" xmlns:r="http://schemas.openxmlformats.org/officeDocument/2006/relationships" count="72">
  <r>
    <x v="0"/>
    <x v="0"/>
    <x v="0"/>
    <x v="0"/>
    <x v="0"/>
    <x v="0"/>
    <x v="0"/>
    <n v="13.450270959196001"/>
  </r>
  <r>
    <x v="0"/>
    <x v="0"/>
    <x v="0"/>
    <x v="0"/>
    <x v="0"/>
    <x v="0"/>
    <x v="1"/>
    <n v="45.166540071388397"/>
  </r>
  <r>
    <x v="0"/>
    <x v="0"/>
    <x v="0"/>
    <x v="0"/>
    <x v="0"/>
    <x v="0"/>
    <x v="2"/>
    <n v="18.057143869246801"/>
  </r>
  <r>
    <x v="0"/>
    <x v="0"/>
    <x v="0"/>
    <x v="0"/>
    <x v="0"/>
    <x v="0"/>
    <x v="3"/>
    <n v="44.524265325730298"/>
  </r>
  <r>
    <x v="0"/>
    <x v="0"/>
    <x v="0"/>
    <x v="0"/>
    <x v="0"/>
    <x v="0"/>
    <x v="4"/>
    <n v="38.799693952339702"/>
  </r>
  <r>
    <x v="0"/>
    <x v="0"/>
    <x v="0"/>
    <x v="0"/>
    <x v="0"/>
    <x v="0"/>
    <x v="5"/>
    <n v="51.864520683148299"/>
  </r>
  <r>
    <x v="0"/>
    <x v="0"/>
    <x v="0"/>
    <x v="0"/>
    <x v="0"/>
    <x v="0"/>
    <x v="6"/>
    <n v="105.399327982446"/>
  </r>
  <r>
    <x v="0"/>
    <x v="0"/>
    <x v="0"/>
    <x v="0"/>
    <x v="0"/>
    <x v="0"/>
    <x v="7"/>
    <n v="105.399327982446"/>
  </r>
  <r>
    <x v="0"/>
    <x v="0"/>
    <x v="0"/>
    <x v="0"/>
    <x v="0"/>
    <x v="0"/>
    <x v="8"/>
    <n v="105.399327982446"/>
  </r>
  <r>
    <x v="0"/>
    <x v="0"/>
    <x v="0"/>
    <x v="0"/>
    <x v="0"/>
    <x v="0"/>
    <x v="9"/>
    <n v="54.452116790813001"/>
  </r>
  <r>
    <x v="0"/>
    <x v="0"/>
    <x v="0"/>
    <x v="0"/>
    <x v="0"/>
    <x v="0"/>
    <x v="10"/>
    <n v="46.190959112759103"/>
  </r>
  <r>
    <x v="0"/>
    <x v="0"/>
    <x v="0"/>
    <x v="0"/>
    <x v="0"/>
    <x v="0"/>
    <x v="11"/>
    <n v="49.973992406803703"/>
  </r>
  <r>
    <x v="0"/>
    <x v="0"/>
    <x v="0"/>
    <x v="0"/>
    <x v="0"/>
    <x v="1"/>
    <x v="0"/>
    <n v="6.0041115119809101"/>
  </r>
  <r>
    <x v="0"/>
    <x v="0"/>
    <x v="0"/>
    <x v="0"/>
    <x v="0"/>
    <x v="1"/>
    <x v="1"/>
    <n v="47.942576846674598"/>
  </r>
  <r>
    <x v="0"/>
    <x v="0"/>
    <x v="0"/>
    <x v="0"/>
    <x v="0"/>
    <x v="1"/>
    <x v="2"/>
    <n v="47.942576846674598"/>
  </r>
  <r>
    <x v="0"/>
    <x v="0"/>
    <x v="0"/>
    <x v="0"/>
    <x v="0"/>
    <x v="1"/>
    <x v="3"/>
    <n v="47.942576846674598"/>
  </r>
  <r>
    <x v="0"/>
    <x v="0"/>
    <x v="0"/>
    <x v="0"/>
    <x v="0"/>
    <x v="1"/>
    <x v="4"/>
    <n v="4.3067080000000004"/>
  </r>
  <r>
    <x v="0"/>
    <x v="0"/>
    <x v="0"/>
    <x v="0"/>
    <x v="0"/>
    <x v="1"/>
    <x v="5"/>
    <n v="4.3067080000000004"/>
  </r>
  <r>
    <x v="0"/>
    <x v="0"/>
    <x v="0"/>
    <x v="0"/>
    <x v="0"/>
    <x v="1"/>
    <x v="6"/>
    <n v="4.3067080000000004"/>
  </r>
  <r>
    <x v="0"/>
    <x v="0"/>
    <x v="0"/>
    <x v="0"/>
    <x v="0"/>
    <x v="1"/>
    <x v="7"/>
    <n v="46.315637378524102"/>
  </r>
  <r>
    <x v="0"/>
    <x v="0"/>
    <x v="0"/>
    <x v="0"/>
    <x v="0"/>
    <x v="1"/>
    <x v="8"/>
    <n v="46.315637378524102"/>
  </r>
  <r>
    <x v="0"/>
    <x v="0"/>
    <x v="0"/>
    <x v="0"/>
    <x v="0"/>
    <x v="1"/>
    <x v="9"/>
    <n v="38.8337788597212"/>
  </r>
  <r>
    <x v="0"/>
    <x v="0"/>
    <x v="0"/>
    <x v="0"/>
    <x v="0"/>
    <x v="1"/>
    <x v="10"/>
    <n v="46.315637378524102"/>
  </r>
  <r>
    <x v="0"/>
    <x v="0"/>
    <x v="0"/>
    <x v="0"/>
    <x v="0"/>
    <x v="1"/>
    <x v="11"/>
    <n v="42.313687361153001"/>
  </r>
  <r>
    <x v="0"/>
    <x v="0"/>
    <x v="0"/>
    <x v="0"/>
    <x v="0"/>
    <x v="2"/>
    <x v="0"/>
    <n v="16.0164379817633"/>
  </r>
  <r>
    <x v="0"/>
    <x v="0"/>
    <x v="0"/>
    <x v="0"/>
    <x v="0"/>
    <x v="2"/>
    <x v="1"/>
    <n v="75.976264790386296"/>
  </r>
  <r>
    <x v="0"/>
    <x v="0"/>
    <x v="0"/>
    <x v="0"/>
    <x v="0"/>
    <x v="2"/>
    <x v="2"/>
    <n v="47.942576846674697"/>
  </r>
  <r>
    <x v="0"/>
    <x v="0"/>
    <x v="0"/>
    <x v="0"/>
    <x v="0"/>
    <x v="2"/>
    <x v="3"/>
    <n v="75.976264790386296"/>
  </r>
  <r>
    <x v="0"/>
    <x v="0"/>
    <x v="0"/>
    <x v="0"/>
    <x v="0"/>
    <x v="2"/>
    <x v="4"/>
    <n v="59.569648317083903"/>
  </r>
  <r>
    <x v="0"/>
    <x v="0"/>
    <x v="0"/>
    <x v="0"/>
    <x v="0"/>
    <x v="2"/>
    <x v="5"/>
    <n v="47.942576846674697"/>
  </r>
  <r>
    <x v="0"/>
    <x v="0"/>
    <x v="0"/>
    <x v="0"/>
    <x v="0"/>
    <x v="2"/>
    <x v="6"/>
    <n v="75.976264790386296"/>
  </r>
  <r>
    <x v="0"/>
    <x v="0"/>
    <x v="0"/>
    <x v="0"/>
    <x v="0"/>
    <x v="2"/>
    <x v="7"/>
    <n v="55.473187869756302"/>
  </r>
  <r>
    <x v="0"/>
    <x v="0"/>
    <x v="0"/>
    <x v="0"/>
    <x v="0"/>
    <x v="2"/>
    <x v="8"/>
    <n v="75.976264790386296"/>
  </r>
  <r>
    <x v="0"/>
    <x v="0"/>
    <x v="0"/>
    <x v="0"/>
    <x v="0"/>
    <x v="2"/>
    <x v="9"/>
    <n v="46.341959572294797"/>
  </r>
  <r>
    <x v="0"/>
    <x v="0"/>
    <x v="0"/>
    <x v="0"/>
    <x v="0"/>
    <x v="2"/>
    <x v="10"/>
    <n v="36.573593511433501"/>
  </r>
  <r>
    <x v="0"/>
    <x v="0"/>
    <x v="0"/>
    <x v="0"/>
    <x v="0"/>
    <x v="2"/>
    <x v="11"/>
    <n v="16.0164379817633"/>
  </r>
  <r>
    <x v="0"/>
    <x v="0"/>
    <x v="0"/>
    <x v="0"/>
    <x v="1"/>
    <x v="0"/>
    <x v="0"/>
    <n v="14.0400554897662"/>
  </r>
  <r>
    <x v="0"/>
    <x v="0"/>
    <x v="0"/>
    <x v="0"/>
    <x v="1"/>
    <x v="0"/>
    <x v="1"/>
    <n v="46.476375287818698"/>
  </r>
  <r>
    <x v="0"/>
    <x v="0"/>
    <x v="0"/>
    <x v="0"/>
    <x v="1"/>
    <x v="0"/>
    <x v="2"/>
    <n v="18.848899863514401"/>
  </r>
  <r>
    <x v="0"/>
    <x v="0"/>
    <x v="0"/>
    <x v="0"/>
    <x v="1"/>
    <x v="0"/>
    <x v="3"/>
    <n v="46.476375287818598"/>
  </r>
  <r>
    <x v="0"/>
    <x v="0"/>
    <x v="0"/>
    <x v="0"/>
    <x v="1"/>
    <x v="0"/>
    <x v="4"/>
    <n v="40.500831056721999"/>
  </r>
  <r>
    <x v="0"/>
    <x v="0"/>
    <x v="0"/>
    <x v="0"/>
    <x v="1"/>
    <x v="0"/>
    <x v="5"/>
    <n v="49.686108614456003"/>
  </r>
  <r>
    <x v="0"/>
    <x v="0"/>
    <x v="0"/>
    <x v="0"/>
    <x v="1"/>
    <x v="0"/>
    <x v="6"/>
    <n v="110.02028202760501"/>
  </r>
  <r>
    <x v="0"/>
    <x v="0"/>
    <x v="0"/>
    <x v="0"/>
    <x v="1"/>
    <x v="0"/>
    <x v="7"/>
    <n v="110.02028202760501"/>
  </r>
  <r>
    <x v="0"/>
    <x v="0"/>
    <x v="0"/>
    <x v="0"/>
    <x v="1"/>
    <x v="0"/>
    <x v="8"/>
    <n v="110.02028202760501"/>
  </r>
  <r>
    <x v="0"/>
    <x v="0"/>
    <x v="0"/>
    <x v="0"/>
    <x v="1"/>
    <x v="0"/>
    <x v="9"/>
    <n v="52.165025685598899"/>
  </r>
  <r>
    <x v="0"/>
    <x v="0"/>
    <x v="0"/>
    <x v="0"/>
    <x v="1"/>
    <x v="0"/>
    <x v="10"/>
    <n v="48.216139157368602"/>
  </r>
  <r>
    <x v="0"/>
    <x v="0"/>
    <x v="0"/>
    <x v="0"/>
    <x v="1"/>
    <x v="0"/>
    <x v="11"/>
    <n v="52.165025685598899"/>
  </r>
  <r>
    <x v="0"/>
    <x v="0"/>
    <x v="0"/>
    <x v="0"/>
    <x v="1"/>
    <x v="1"/>
    <x v="0"/>
    <n v="16.0876121729119"/>
  </r>
  <r>
    <x v="0"/>
    <x v="0"/>
    <x v="0"/>
    <x v="0"/>
    <x v="1"/>
    <x v="1"/>
    <x v="1"/>
    <n v="50.044550153105099"/>
  </r>
  <r>
    <x v="0"/>
    <x v="0"/>
    <x v="0"/>
    <x v="0"/>
    <x v="1"/>
    <x v="1"/>
    <x v="2"/>
    <n v="45.928886419114299"/>
  </r>
  <r>
    <x v="0"/>
    <x v="0"/>
    <x v="0"/>
    <x v="0"/>
    <x v="1"/>
    <x v="1"/>
    <x v="3"/>
    <n v="50.044550153105099"/>
  </r>
  <r>
    <x v="0"/>
    <x v="0"/>
    <x v="0"/>
    <x v="0"/>
    <x v="1"/>
    <x v="1"/>
    <x v="4"/>
    <n v="4.3067080000000004"/>
  </r>
  <r>
    <x v="0"/>
    <x v="0"/>
    <x v="0"/>
    <x v="0"/>
    <x v="1"/>
    <x v="1"/>
    <x v="5"/>
    <n v="4.3067080000000004"/>
  </r>
  <r>
    <x v="0"/>
    <x v="0"/>
    <x v="0"/>
    <x v="0"/>
    <x v="1"/>
    <x v="1"/>
    <x v="6"/>
    <n v="4.49562651356994"/>
  </r>
  <r>
    <x v="0"/>
    <x v="0"/>
    <x v="0"/>
    <x v="0"/>
    <x v="1"/>
    <x v="1"/>
    <x v="7"/>
    <n v="48.346283484889497"/>
  </r>
  <r>
    <x v="0"/>
    <x v="0"/>
    <x v="0"/>
    <x v="0"/>
    <x v="1"/>
    <x v="1"/>
    <x v="8"/>
    <n v="48.346283484889497"/>
  </r>
  <r>
    <x v="0"/>
    <x v="0"/>
    <x v="0"/>
    <x v="0"/>
    <x v="1"/>
    <x v="1"/>
    <x v="9"/>
    <n v="40.536410291984602"/>
  </r>
  <r>
    <x v="0"/>
    <x v="0"/>
    <x v="0"/>
    <x v="0"/>
    <x v="1"/>
    <x v="1"/>
    <x v="10"/>
    <n v="48.346283484889497"/>
  </r>
  <r>
    <x v="0"/>
    <x v="0"/>
    <x v="0"/>
    <x v="0"/>
    <x v="1"/>
    <x v="1"/>
    <x v="11"/>
    <n v="40.536410291984602"/>
  </r>
  <r>
    <x v="0"/>
    <x v="0"/>
    <x v="0"/>
    <x v="0"/>
    <x v="1"/>
    <x v="2"/>
    <x v="0"/>
    <n v="15.445255754752299"/>
  </r>
  <r>
    <x v="0"/>
    <x v="0"/>
    <x v="0"/>
    <x v="0"/>
    <x v="1"/>
    <x v="2"/>
    <x v="1"/>
    <n v="77.143638547709898"/>
  </r>
  <r>
    <x v="0"/>
    <x v="0"/>
    <x v="0"/>
    <x v="0"/>
    <x v="1"/>
    <x v="2"/>
    <x v="2"/>
    <n v="49.074929391278602"/>
  </r>
  <r>
    <x v="0"/>
    <x v="0"/>
    <x v="0"/>
    <x v="0"/>
    <x v="1"/>
    <x v="2"/>
    <x v="3"/>
    <n v="72.785159469190006"/>
  </r>
  <r>
    <x v="0"/>
    <x v="0"/>
    <x v="0"/>
    <x v="0"/>
    <x v="1"/>
    <x v="2"/>
    <x v="4"/>
    <n v="57.905313225215401"/>
  </r>
  <r>
    <x v="0"/>
    <x v="0"/>
    <x v="0"/>
    <x v="0"/>
    <x v="1"/>
    <x v="2"/>
    <x v="5"/>
    <n v="49.074929391278602"/>
  </r>
  <r>
    <x v="0"/>
    <x v="0"/>
    <x v="0"/>
    <x v="0"/>
    <x v="1"/>
    <x v="2"/>
    <x v="6"/>
    <n v="77.143638547709898"/>
  </r>
  <r>
    <x v="0"/>
    <x v="0"/>
    <x v="0"/>
    <x v="0"/>
    <x v="1"/>
    <x v="2"/>
    <x v="7"/>
    <n v="57.905313225215401"/>
  </r>
  <r>
    <x v="0"/>
    <x v="0"/>
    <x v="0"/>
    <x v="0"/>
    <x v="1"/>
    <x v="2"/>
    <x v="8"/>
    <n v="77.143638547709898"/>
  </r>
  <r>
    <x v="0"/>
    <x v="0"/>
    <x v="0"/>
    <x v="0"/>
    <x v="1"/>
    <x v="2"/>
    <x v="9"/>
    <n v="44.395495070258399"/>
  </r>
  <r>
    <x v="0"/>
    <x v="0"/>
    <x v="0"/>
    <x v="0"/>
    <x v="1"/>
    <x v="2"/>
    <x v="10"/>
    <n v="44.395495070258399"/>
  </r>
  <r>
    <x v="0"/>
    <x v="0"/>
    <x v="0"/>
    <x v="0"/>
    <x v="1"/>
    <x v="2"/>
    <x v="11"/>
    <n v="15.445255754752299"/>
  </r>
</pivotCacheRecords>
</file>

<file path=xl/pivotCache/pivotCacheRecords3.xml><?xml version="1.0" encoding="utf-8"?>
<pivotCacheRecords xmlns="http://schemas.openxmlformats.org/spreadsheetml/2006/main" xmlns:r="http://schemas.openxmlformats.org/officeDocument/2006/relationships" count="648">
  <r>
    <x v="0"/>
    <x v="0"/>
    <x v="0"/>
    <x v="0"/>
    <x v="0"/>
    <x v="0"/>
    <x v="0"/>
    <x v="0"/>
    <n v="7.6207444991759399"/>
    <n v="27.434680197033401"/>
  </r>
  <r>
    <x v="0"/>
    <x v="0"/>
    <x v="0"/>
    <x v="0"/>
    <x v="0"/>
    <x v="0"/>
    <x v="0"/>
    <x v="1"/>
    <n v="5.6016612701583597"/>
    <n v="20.165980572570099"/>
  </r>
  <r>
    <x v="0"/>
    <x v="0"/>
    <x v="0"/>
    <x v="0"/>
    <x v="0"/>
    <x v="0"/>
    <x v="0"/>
    <x v="2"/>
    <n v="5.6016612701583597"/>
    <n v="20.165980572570099"/>
  </r>
  <r>
    <x v="0"/>
    <x v="0"/>
    <x v="0"/>
    <x v="0"/>
    <x v="0"/>
    <x v="0"/>
    <x v="0"/>
    <x v="3"/>
    <n v="5.3215328710143304"/>
    <n v="19.157518335651599"/>
  </r>
  <r>
    <x v="0"/>
    <x v="0"/>
    <x v="0"/>
    <x v="0"/>
    <x v="0"/>
    <x v="0"/>
    <x v="0"/>
    <x v="4"/>
    <n v="5.3215328710143304"/>
    <n v="19.157518335651599"/>
  </r>
  <r>
    <x v="0"/>
    <x v="0"/>
    <x v="0"/>
    <x v="0"/>
    <x v="0"/>
    <x v="0"/>
    <x v="0"/>
    <x v="5"/>
    <n v="5.3215328710143304"/>
    <n v="19.157518335651599"/>
  </r>
  <r>
    <x v="0"/>
    <x v="0"/>
    <x v="0"/>
    <x v="0"/>
    <x v="0"/>
    <x v="0"/>
    <x v="0"/>
    <x v="6"/>
    <n v="5.3215328710143304"/>
    <n v="19.157518335651599"/>
  </r>
  <r>
    <x v="0"/>
    <x v="0"/>
    <x v="0"/>
    <x v="0"/>
    <x v="0"/>
    <x v="0"/>
    <x v="0"/>
    <x v="7"/>
    <n v="5.6016612701583597"/>
    <n v="20.165980572570099"/>
  </r>
  <r>
    <x v="0"/>
    <x v="0"/>
    <x v="0"/>
    <x v="0"/>
    <x v="0"/>
    <x v="0"/>
    <x v="0"/>
    <x v="8"/>
    <n v="5.3215328710143304"/>
    <n v="19.157518335651599"/>
  </r>
  <r>
    <x v="0"/>
    <x v="0"/>
    <x v="0"/>
    <x v="0"/>
    <x v="0"/>
    <x v="0"/>
    <x v="0"/>
    <x v="9"/>
    <n v="5.3215328710143304"/>
    <n v="19.157518335651599"/>
  </r>
  <r>
    <x v="0"/>
    <x v="0"/>
    <x v="0"/>
    <x v="0"/>
    <x v="0"/>
    <x v="0"/>
    <x v="0"/>
    <x v="10"/>
    <n v="5.3215328710143304"/>
    <n v="19.157518335651599"/>
  </r>
  <r>
    <x v="0"/>
    <x v="0"/>
    <x v="0"/>
    <x v="0"/>
    <x v="0"/>
    <x v="0"/>
    <x v="0"/>
    <x v="11"/>
    <n v="5.3215328710143304"/>
    <n v="19.157518335651599"/>
  </r>
  <r>
    <x v="0"/>
    <x v="0"/>
    <x v="0"/>
    <x v="0"/>
    <x v="0"/>
    <x v="0"/>
    <x v="1"/>
    <x v="0"/>
    <n v="4.6072408258042703"/>
    <n v="16.586066972895399"/>
  </r>
  <r>
    <x v="0"/>
    <x v="0"/>
    <x v="0"/>
    <x v="0"/>
    <x v="0"/>
    <x v="0"/>
    <x v="1"/>
    <x v="1"/>
    <n v="4.6072408258042703"/>
    <n v="16.586066972895399"/>
  </r>
  <r>
    <x v="0"/>
    <x v="0"/>
    <x v="0"/>
    <x v="0"/>
    <x v="0"/>
    <x v="0"/>
    <x v="1"/>
    <x v="2"/>
    <n v="4.6072408258042703"/>
    <n v="16.586066972895399"/>
  </r>
  <r>
    <x v="0"/>
    <x v="0"/>
    <x v="0"/>
    <x v="0"/>
    <x v="0"/>
    <x v="0"/>
    <x v="1"/>
    <x v="3"/>
    <n v="4.6072408258042703"/>
    <n v="16.586066972895399"/>
  </r>
  <r>
    <x v="0"/>
    <x v="0"/>
    <x v="0"/>
    <x v="0"/>
    <x v="0"/>
    <x v="0"/>
    <x v="1"/>
    <x v="4"/>
    <n v="4.6072408258042703"/>
    <n v="16.586066972895399"/>
  </r>
  <r>
    <x v="0"/>
    <x v="0"/>
    <x v="0"/>
    <x v="0"/>
    <x v="0"/>
    <x v="0"/>
    <x v="1"/>
    <x v="5"/>
    <n v="4.6072408258042703"/>
    <n v="16.586066972895399"/>
  </r>
  <r>
    <x v="0"/>
    <x v="0"/>
    <x v="0"/>
    <x v="0"/>
    <x v="0"/>
    <x v="0"/>
    <x v="1"/>
    <x v="6"/>
    <n v="4.6072408258042703"/>
    <n v="16.586066972895399"/>
  </r>
  <r>
    <x v="0"/>
    <x v="0"/>
    <x v="0"/>
    <x v="0"/>
    <x v="0"/>
    <x v="0"/>
    <x v="1"/>
    <x v="7"/>
    <n v="4.6072408258042703"/>
    <n v="16.586066972895399"/>
  </r>
  <r>
    <x v="0"/>
    <x v="0"/>
    <x v="0"/>
    <x v="0"/>
    <x v="0"/>
    <x v="0"/>
    <x v="1"/>
    <x v="8"/>
    <n v="4.6072408258042703"/>
    <n v="16.586066972895399"/>
  </r>
  <r>
    <x v="0"/>
    <x v="0"/>
    <x v="0"/>
    <x v="0"/>
    <x v="0"/>
    <x v="0"/>
    <x v="1"/>
    <x v="9"/>
    <n v="4.6072408258042703"/>
    <n v="16.586066972895399"/>
  </r>
  <r>
    <x v="0"/>
    <x v="0"/>
    <x v="0"/>
    <x v="0"/>
    <x v="0"/>
    <x v="0"/>
    <x v="1"/>
    <x v="10"/>
    <n v="4.6072408258042703"/>
    <n v="16.586066972895399"/>
  </r>
  <r>
    <x v="0"/>
    <x v="0"/>
    <x v="0"/>
    <x v="0"/>
    <x v="0"/>
    <x v="0"/>
    <x v="1"/>
    <x v="11"/>
    <n v="4.6072408258042703"/>
    <n v="16.586066972895399"/>
  </r>
  <r>
    <x v="0"/>
    <x v="0"/>
    <x v="0"/>
    <x v="0"/>
    <x v="0"/>
    <x v="0"/>
    <x v="2"/>
    <x v="0"/>
    <n v="4.2324083084754598"/>
    <n v="15.236669910511599"/>
  </r>
  <r>
    <x v="0"/>
    <x v="0"/>
    <x v="0"/>
    <x v="0"/>
    <x v="0"/>
    <x v="0"/>
    <x v="2"/>
    <x v="1"/>
    <n v="4.02074255741557"/>
    <n v="14.474673206696099"/>
  </r>
  <r>
    <x v="0"/>
    <x v="0"/>
    <x v="0"/>
    <x v="0"/>
    <x v="0"/>
    <x v="0"/>
    <x v="2"/>
    <x v="2"/>
    <n v="4.2324083084754598"/>
    <n v="15.236669910511599"/>
  </r>
  <r>
    <x v="0"/>
    <x v="0"/>
    <x v="0"/>
    <x v="0"/>
    <x v="0"/>
    <x v="0"/>
    <x v="2"/>
    <x v="3"/>
    <n v="4.02074255741557"/>
    <n v="14.474673206696099"/>
  </r>
  <r>
    <x v="0"/>
    <x v="0"/>
    <x v="0"/>
    <x v="0"/>
    <x v="0"/>
    <x v="0"/>
    <x v="2"/>
    <x v="4"/>
    <n v="4.02074255741557"/>
    <n v="14.474673206696099"/>
  </r>
  <r>
    <x v="0"/>
    <x v="0"/>
    <x v="0"/>
    <x v="0"/>
    <x v="0"/>
    <x v="0"/>
    <x v="2"/>
    <x v="5"/>
    <n v="4.2324083084754598"/>
    <n v="15.236669910511599"/>
  </r>
  <r>
    <x v="0"/>
    <x v="0"/>
    <x v="0"/>
    <x v="0"/>
    <x v="0"/>
    <x v="0"/>
    <x v="2"/>
    <x v="6"/>
    <n v="4.02074255741557"/>
    <n v="14.474673206696099"/>
  </r>
  <r>
    <x v="0"/>
    <x v="0"/>
    <x v="0"/>
    <x v="0"/>
    <x v="0"/>
    <x v="0"/>
    <x v="2"/>
    <x v="7"/>
    <n v="4.2324083084754598"/>
    <n v="15.236669910511599"/>
  </r>
  <r>
    <x v="0"/>
    <x v="0"/>
    <x v="0"/>
    <x v="0"/>
    <x v="0"/>
    <x v="0"/>
    <x v="2"/>
    <x v="8"/>
    <n v="4.02074255741557"/>
    <n v="14.474673206696099"/>
  </r>
  <r>
    <x v="0"/>
    <x v="0"/>
    <x v="0"/>
    <x v="0"/>
    <x v="0"/>
    <x v="0"/>
    <x v="2"/>
    <x v="9"/>
    <n v="4.2324083084754598"/>
    <n v="15.236669910511599"/>
  </r>
  <r>
    <x v="0"/>
    <x v="0"/>
    <x v="0"/>
    <x v="0"/>
    <x v="0"/>
    <x v="0"/>
    <x v="2"/>
    <x v="10"/>
    <n v="4.2324083084754598"/>
    <n v="15.236669910511599"/>
  </r>
  <r>
    <x v="0"/>
    <x v="0"/>
    <x v="0"/>
    <x v="0"/>
    <x v="0"/>
    <x v="0"/>
    <x v="2"/>
    <x v="11"/>
    <n v="4.2324083084754598"/>
    <n v="15.236669910511599"/>
  </r>
  <r>
    <x v="0"/>
    <x v="0"/>
    <x v="0"/>
    <x v="0"/>
    <x v="0"/>
    <x v="1"/>
    <x v="0"/>
    <x v="0"/>
    <n v="11.838159414913701"/>
    <n v="42.617373893689198"/>
  </r>
  <r>
    <x v="0"/>
    <x v="0"/>
    <x v="0"/>
    <x v="0"/>
    <x v="0"/>
    <x v="1"/>
    <x v="0"/>
    <x v="1"/>
    <n v="11.838159414913701"/>
    <n v="42.617373893689198"/>
  </r>
  <r>
    <x v="0"/>
    <x v="0"/>
    <x v="0"/>
    <x v="0"/>
    <x v="0"/>
    <x v="1"/>
    <x v="0"/>
    <x v="2"/>
    <n v="11.838159414913701"/>
    <n v="42.617373893689198"/>
  </r>
  <r>
    <x v="0"/>
    <x v="0"/>
    <x v="0"/>
    <x v="0"/>
    <x v="0"/>
    <x v="1"/>
    <x v="0"/>
    <x v="3"/>
    <n v="11.838159414913701"/>
    <n v="42.617373893689198"/>
  </r>
  <r>
    <x v="0"/>
    <x v="0"/>
    <x v="0"/>
    <x v="0"/>
    <x v="0"/>
    <x v="1"/>
    <x v="0"/>
    <x v="4"/>
    <n v="11.838159414913701"/>
    <n v="42.617373893689198"/>
  </r>
  <r>
    <x v="0"/>
    <x v="0"/>
    <x v="0"/>
    <x v="0"/>
    <x v="0"/>
    <x v="1"/>
    <x v="0"/>
    <x v="5"/>
    <n v="14.1248260815803"/>
    <n v="50.849373893689197"/>
  </r>
  <r>
    <x v="0"/>
    <x v="0"/>
    <x v="0"/>
    <x v="0"/>
    <x v="0"/>
    <x v="1"/>
    <x v="0"/>
    <x v="6"/>
    <n v="11.838159414913701"/>
    <n v="42.617373893689198"/>
  </r>
  <r>
    <x v="0"/>
    <x v="0"/>
    <x v="0"/>
    <x v="0"/>
    <x v="0"/>
    <x v="1"/>
    <x v="0"/>
    <x v="7"/>
    <n v="11.838159414913701"/>
    <n v="42.617373893689198"/>
  </r>
  <r>
    <x v="0"/>
    <x v="0"/>
    <x v="0"/>
    <x v="0"/>
    <x v="0"/>
    <x v="1"/>
    <x v="0"/>
    <x v="8"/>
    <n v="11.838159414913701"/>
    <n v="42.617373893689198"/>
  </r>
  <r>
    <x v="0"/>
    <x v="0"/>
    <x v="0"/>
    <x v="0"/>
    <x v="0"/>
    <x v="1"/>
    <x v="0"/>
    <x v="9"/>
    <n v="11.838159414913701"/>
    <n v="42.617373893689198"/>
  </r>
  <r>
    <x v="0"/>
    <x v="0"/>
    <x v="0"/>
    <x v="0"/>
    <x v="0"/>
    <x v="1"/>
    <x v="0"/>
    <x v="10"/>
    <n v="11.838159414913701"/>
    <n v="42.617373893689198"/>
  </r>
  <r>
    <x v="0"/>
    <x v="0"/>
    <x v="0"/>
    <x v="0"/>
    <x v="0"/>
    <x v="1"/>
    <x v="0"/>
    <x v="11"/>
    <n v="11.838159414913701"/>
    <n v="42.617373893689198"/>
  </r>
  <r>
    <x v="0"/>
    <x v="0"/>
    <x v="0"/>
    <x v="0"/>
    <x v="0"/>
    <x v="1"/>
    <x v="1"/>
    <x v="0"/>
    <n v="11.838159414913701"/>
    <n v="42.617373893689198"/>
  </r>
  <r>
    <x v="0"/>
    <x v="0"/>
    <x v="0"/>
    <x v="0"/>
    <x v="0"/>
    <x v="1"/>
    <x v="1"/>
    <x v="1"/>
    <n v="11.838159414913701"/>
    <n v="42.617373893689198"/>
  </r>
  <r>
    <x v="0"/>
    <x v="0"/>
    <x v="0"/>
    <x v="0"/>
    <x v="0"/>
    <x v="1"/>
    <x v="1"/>
    <x v="2"/>
    <n v="11.838159414913701"/>
    <n v="42.617373893689198"/>
  </r>
  <r>
    <x v="0"/>
    <x v="0"/>
    <x v="0"/>
    <x v="0"/>
    <x v="0"/>
    <x v="1"/>
    <x v="1"/>
    <x v="3"/>
    <n v="11.838159414913701"/>
    <n v="42.617373893689198"/>
  </r>
  <r>
    <x v="0"/>
    <x v="0"/>
    <x v="0"/>
    <x v="0"/>
    <x v="0"/>
    <x v="1"/>
    <x v="1"/>
    <x v="4"/>
    <n v="9.1354495518374694"/>
    <n v="32.887618386614903"/>
  </r>
  <r>
    <x v="0"/>
    <x v="0"/>
    <x v="0"/>
    <x v="0"/>
    <x v="0"/>
    <x v="1"/>
    <x v="1"/>
    <x v="5"/>
    <n v="10.8728148503707"/>
    <n v="39.142133461334701"/>
  </r>
  <r>
    <x v="0"/>
    <x v="0"/>
    <x v="0"/>
    <x v="0"/>
    <x v="0"/>
    <x v="1"/>
    <x v="1"/>
    <x v="6"/>
    <n v="9.1354495518374694"/>
    <n v="32.887618386614903"/>
  </r>
  <r>
    <x v="0"/>
    <x v="0"/>
    <x v="0"/>
    <x v="0"/>
    <x v="0"/>
    <x v="1"/>
    <x v="1"/>
    <x v="7"/>
    <n v="11.838159414913701"/>
    <n v="42.617373893689198"/>
  </r>
  <r>
    <x v="0"/>
    <x v="0"/>
    <x v="0"/>
    <x v="0"/>
    <x v="0"/>
    <x v="1"/>
    <x v="1"/>
    <x v="8"/>
    <n v="11.838159414913701"/>
    <n v="42.617373893689198"/>
  </r>
  <r>
    <x v="0"/>
    <x v="0"/>
    <x v="0"/>
    <x v="0"/>
    <x v="0"/>
    <x v="1"/>
    <x v="1"/>
    <x v="9"/>
    <n v="11.838159414913701"/>
    <n v="42.617373893689198"/>
  </r>
  <r>
    <x v="0"/>
    <x v="0"/>
    <x v="0"/>
    <x v="0"/>
    <x v="0"/>
    <x v="1"/>
    <x v="1"/>
    <x v="10"/>
    <n v="11.838159414913701"/>
    <n v="42.617373893689198"/>
  </r>
  <r>
    <x v="0"/>
    <x v="0"/>
    <x v="0"/>
    <x v="0"/>
    <x v="0"/>
    <x v="1"/>
    <x v="1"/>
    <x v="11"/>
    <n v="11.838159414913701"/>
    <n v="42.617373893689198"/>
  </r>
  <r>
    <x v="0"/>
    <x v="0"/>
    <x v="0"/>
    <x v="0"/>
    <x v="0"/>
    <x v="1"/>
    <x v="2"/>
    <x v="0"/>
    <n v="11.838159414913701"/>
    <n v="42.617373893689198"/>
  </r>
  <r>
    <x v="0"/>
    <x v="0"/>
    <x v="0"/>
    <x v="0"/>
    <x v="0"/>
    <x v="1"/>
    <x v="2"/>
    <x v="1"/>
    <n v="11.838159414913701"/>
    <n v="42.617373893689198"/>
  </r>
  <r>
    <x v="0"/>
    <x v="0"/>
    <x v="0"/>
    <x v="0"/>
    <x v="0"/>
    <x v="1"/>
    <x v="2"/>
    <x v="2"/>
    <n v="11.838159414913701"/>
    <n v="42.617373893689198"/>
  </r>
  <r>
    <x v="0"/>
    <x v="0"/>
    <x v="0"/>
    <x v="0"/>
    <x v="0"/>
    <x v="1"/>
    <x v="2"/>
    <x v="3"/>
    <n v="11.838159414913701"/>
    <n v="42.617373893689198"/>
  </r>
  <r>
    <x v="0"/>
    <x v="0"/>
    <x v="0"/>
    <x v="0"/>
    <x v="0"/>
    <x v="1"/>
    <x v="2"/>
    <x v="4"/>
    <n v="11.838159414913701"/>
    <n v="42.617373893689198"/>
  </r>
  <r>
    <x v="0"/>
    <x v="0"/>
    <x v="0"/>
    <x v="0"/>
    <x v="0"/>
    <x v="1"/>
    <x v="2"/>
    <x v="5"/>
    <n v="11.838159414913701"/>
    <n v="42.617373893689198"/>
  </r>
  <r>
    <x v="0"/>
    <x v="0"/>
    <x v="0"/>
    <x v="0"/>
    <x v="0"/>
    <x v="1"/>
    <x v="2"/>
    <x v="6"/>
    <n v="11.838159414913701"/>
    <n v="42.617373893689198"/>
  </r>
  <r>
    <x v="0"/>
    <x v="0"/>
    <x v="0"/>
    <x v="0"/>
    <x v="0"/>
    <x v="1"/>
    <x v="2"/>
    <x v="7"/>
    <n v="11.838159414913701"/>
    <n v="42.617373893689198"/>
  </r>
  <r>
    <x v="0"/>
    <x v="0"/>
    <x v="0"/>
    <x v="0"/>
    <x v="0"/>
    <x v="1"/>
    <x v="2"/>
    <x v="8"/>
    <n v="11.838159414913701"/>
    <n v="42.617373893689198"/>
  </r>
  <r>
    <x v="0"/>
    <x v="0"/>
    <x v="0"/>
    <x v="0"/>
    <x v="0"/>
    <x v="1"/>
    <x v="2"/>
    <x v="9"/>
    <n v="11.838159414913701"/>
    <n v="42.617373893689198"/>
  </r>
  <r>
    <x v="0"/>
    <x v="0"/>
    <x v="0"/>
    <x v="0"/>
    <x v="0"/>
    <x v="1"/>
    <x v="2"/>
    <x v="10"/>
    <n v="11.838159414913701"/>
    <n v="42.617373893689198"/>
  </r>
  <r>
    <x v="0"/>
    <x v="0"/>
    <x v="0"/>
    <x v="0"/>
    <x v="0"/>
    <x v="1"/>
    <x v="2"/>
    <x v="11"/>
    <n v="11.838159414913701"/>
    <n v="42.617373893689198"/>
  </r>
  <r>
    <x v="0"/>
    <x v="0"/>
    <x v="0"/>
    <x v="0"/>
    <x v="0"/>
    <x v="2"/>
    <x v="0"/>
    <x v="0"/>
    <n v="10.150531045251499"/>
    <n v="36.5419117629054"/>
  </r>
  <r>
    <x v="0"/>
    <x v="0"/>
    <x v="0"/>
    <x v="0"/>
    <x v="0"/>
    <x v="2"/>
    <x v="0"/>
    <x v="1"/>
    <n v="10.150531045251499"/>
    <n v="36.5419117629054"/>
  </r>
  <r>
    <x v="0"/>
    <x v="0"/>
    <x v="0"/>
    <x v="0"/>
    <x v="0"/>
    <x v="2"/>
    <x v="0"/>
    <x v="2"/>
    <n v="10.150531045251499"/>
    <n v="36.5419117629054"/>
  </r>
  <r>
    <x v="0"/>
    <x v="0"/>
    <x v="0"/>
    <x v="0"/>
    <x v="0"/>
    <x v="2"/>
    <x v="0"/>
    <x v="3"/>
    <n v="10.150531045251499"/>
    <n v="36.5419117629054"/>
  </r>
  <r>
    <x v="0"/>
    <x v="0"/>
    <x v="0"/>
    <x v="0"/>
    <x v="0"/>
    <x v="2"/>
    <x v="0"/>
    <x v="4"/>
    <n v="10.150531045251499"/>
    <n v="36.5419117629054"/>
  </r>
  <r>
    <x v="0"/>
    <x v="0"/>
    <x v="0"/>
    <x v="0"/>
    <x v="0"/>
    <x v="2"/>
    <x v="0"/>
    <x v="5"/>
    <n v="12.4371977119182"/>
    <n v="44.773911762905399"/>
  </r>
  <r>
    <x v="0"/>
    <x v="0"/>
    <x v="0"/>
    <x v="0"/>
    <x v="0"/>
    <x v="2"/>
    <x v="0"/>
    <x v="6"/>
    <n v="10.150531045251499"/>
    <n v="36.5419117629054"/>
  </r>
  <r>
    <x v="0"/>
    <x v="0"/>
    <x v="0"/>
    <x v="0"/>
    <x v="0"/>
    <x v="2"/>
    <x v="0"/>
    <x v="7"/>
    <n v="10.150531045251499"/>
    <n v="36.5419117629054"/>
  </r>
  <r>
    <x v="0"/>
    <x v="0"/>
    <x v="0"/>
    <x v="0"/>
    <x v="0"/>
    <x v="2"/>
    <x v="0"/>
    <x v="8"/>
    <n v="10.150531045251499"/>
    <n v="36.5419117629054"/>
  </r>
  <r>
    <x v="0"/>
    <x v="0"/>
    <x v="0"/>
    <x v="0"/>
    <x v="0"/>
    <x v="2"/>
    <x v="0"/>
    <x v="9"/>
    <n v="10.150531045251499"/>
    <n v="36.5419117629054"/>
  </r>
  <r>
    <x v="0"/>
    <x v="0"/>
    <x v="0"/>
    <x v="0"/>
    <x v="0"/>
    <x v="2"/>
    <x v="0"/>
    <x v="10"/>
    <n v="10.150531045251499"/>
    <n v="36.5419117629054"/>
  </r>
  <r>
    <x v="0"/>
    <x v="0"/>
    <x v="0"/>
    <x v="0"/>
    <x v="0"/>
    <x v="2"/>
    <x v="0"/>
    <x v="11"/>
    <n v="10.150531045251499"/>
    <n v="36.5419117629054"/>
  </r>
  <r>
    <x v="0"/>
    <x v="0"/>
    <x v="0"/>
    <x v="0"/>
    <x v="0"/>
    <x v="2"/>
    <x v="1"/>
    <x v="0"/>
    <n v="10.150531045251499"/>
    <n v="36.5419117629054"/>
  </r>
  <r>
    <x v="0"/>
    <x v="0"/>
    <x v="0"/>
    <x v="0"/>
    <x v="0"/>
    <x v="2"/>
    <x v="1"/>
    <x v="1"/>
    <n v="10.150531045251499"/>
    <n v="36.5419117629054"/>
  </r>
  <r>
    <x v="0"/>
    <x v="0"/>
    <x v="0"/>
    <x v="0"/>
    <x v="0"/>
    <x v="2"/>
    <x v="1"/>
    <x v="2"/>
    <n v="10.150531045251499"/>
    <n v="36.5419117629054"/>
  </r>
  <r>
    <x v="0"/>
    <x v="0"/>
    <x v="0"/>
    <x v="0"/>
    <x v="0"/>
    <x v="2"/>
    <x v="1"/>
    <x v="3"/>
    <n v="10.150531045251499"/>
    <n v="36.5419117629054"/>
  </r>
  <r>
    <x v="0"/>
    <x v="0"/>
    <x v="0"/>
    <x v="0"/>
    <x v="0"/>
    <x v="2"/>
    <x v="1"/>
    <x v="4"/>
    <n v="10.150531045251499"/>
    <n v="36.5419117629054"/>
  </r>
  <r>
    <x v="0"/>
    <x v="0"/>
    <x v="0"/>
    <x v="0"/>
    <x v="0"/>
    <x v="2"/>
    <x v="1"/>
    <x v="5"/>
    <n v="10.150531045251499"/>
    <n v="36.5419117629054"/>
  </r>
  <r>
    <x v="0"/>
    <x v="0"/>
    <x v="0"/>
    <x v="0"/>
    <x v="0"/>
    <x v="2"/>
    <x v="1"/>
    <x v="6"/>
    <n v="10.150531045251499"/>
    <n v="36.5419117629054"/>
  </r>
  <r>
    <x v="0"/>
    <x v="0"/>
    <x v="0"/>
    <x v="0"/>
    <x v="0"/>
    <x v="2"/>
    <x v="1"/>
    <x v="7"/>
    <n v="10.150531045251499"/>
    <n v="36.5419117629054"/>
  </r>
  <r>
    <x v="0"/>
    <x v="0"/>
    <x v="0"/>
    <x v="0"/>
    <x v="0"/>
    <x v="2"/>
    <x v="1"/>
    <x v="8"/>
    <n v="10.150531045251499"/>
    <n v="36.5419117629054"/>
  </r>
  <r>
    <x v="0"/>
    <x v="0"/>
    <x v="0"/>
    <x v="0"/>
    <x v="0"/>
    <x v="2"/>
    <x v="1"/>
    <x v="9"/>
    <n v="10.150531045251499"/>
    <n v="36.5419117629054"/>
  </r>
  <r>
    <x v="0"/>
    <x v="0"/>
    <x v="0"/>
    <x v="0"/>
    <x v="0"/>
    <x v="2"/>
    <x v="1"/>
    <x v="10"/>
    <n v="10.150531045251499"/>
    <n v="36.5419117629054"/>
  </r>
  <r>
    <x v="0"/>
    <x v="0"/>
    <x v="0"/>
    <x v="0"/>
    <x v="0"/>
    <x v="2"/>
    <x v="1"/>
    <x v="11"/>
    <n v="10.150531045251499"/>
    <n v="36.5419117629054"/>
  </r>
  <r>
    <x v="0"/>
    <x v="0"/>
    <x v="0"/>
    <x v="0"/>
    <x v="0"/>
    <x v="2"/>
    <x v="2"/>
    <x v="0"/>
    <n v="10.150531045251499"/>
    <n v="36.5419117629054"/>
  </r>
  <r>
    <x v="0"/>
    <x v="0"/>
    <x v="0"/>
    <x v="0"/>
    <x v="0"/>
    <x v="2"/>
    <x v="2"/>
    <x v="1"/>
    <n v="10.150531045251499"/>
    <n v="36.5419117629054"/>
  </r>
  <r>
    <x v="0"/>
    <x v="0"/>
    <x v="0"/>
    <x v="0"/>
    <x v="0"/>
    <x v="2"/>
    <x v="2"/>
    <x v="2"/>
    <n v="10.150531045251499"/>
    <n v="36.5419117629054"/>
  </r>
  <r>
    <x v="0"/>
    <x v="0"/>
    <x v="0"/>
    <x v="0"/>
    <x v="0"/>
    <x v="2"/>
    <x v="2"/>
    <x v="3"/>
    <n v="10.150531045251499"/>
    <n v="36.5419117629054"/>
  </r>
  <r>
    <x v="0"/>
    <x v="0"/>
    <x v="0"/>
    <x v="0"/>
    <x v="0"/>
    <x v="2"/>
    <x v="2"/>
    <x v="4"/>
    <n v="10.150531045251499"/>
    <n v="36.5419117629054"/>
  </r>
  <r>
    <x v="0"/>
    <x v="0"/>
    <x v="0"/>
    <x v="0"/>
    <x v="0"/>
    <x v="2"/>
    <x v="2"/>
    <x v="5"/>
    <n v="10.150531045251499"/>
    <n v="36.5419117629054"/>
  </r>
  <r>
    <x v="0"/>
    <x v="0"/>
    <x v="0"/>
    <x v="0"/>
    <x v="0"/>
    <x v="2"/>
    <x v="2"/>
    <x v="6"/>
    <n v="10.150531045251499"/>
    <n v="36.5419117629054"/>
  </r>
  <r>
    <x v="0"/>
    <x v="0"/>
    <x v="0"/>
    <x v="0"/>
    <x v="0"/>
    <x v="2"/>
    <x v="2"/>
    <x v="7"/>
    <n v="10.150531045251499"/>
    <n v="36.5419117629054"/>
  </r>
  <r>
    <x v="0"/>
    <x v="0"/>
    <x v="0"/>
    <x v="0"/>
    <x v="0"/>
    <x v="2"/>
    <x v="2"/>
    <x v="8"/>
    <n v="10.150531045251499"/>
    <n v="36.5419117629054"/>
  </r>
  <r>
    <x v="0"/>
    <x v="0"/>
    <x v="0"/>
    <x v="0"/>
    <x v="0"/>
    <x v="2"/>
    <x v="2"/>
    <x v="9"/>
    <n v="10.150531045251499"/>
    <n v="36.5419117629054"/>
  </r>
  <r>
    <x v="0"/>
    <x v="0"/>
    <x v="0"/>
    <x v="0"/>
    <x v="0"/>
    <x v="2"/>
    <x v="2"/>
    <x v="10"/>
    <n v="10.150531045251499"/>
    <n v="36.5419117629054"/>
  </r>
  <r>
    <x v="0"/>
    <x v="0"/>
    <x v="0"/>
    <x v="0"/>
    <x v="0"/>
    <x v="2"/>
    <x v="2"/>
    <x v="11"/>
    <n v="10.150531045251499"/>
    <n v="36.5419117629054"/>
  </r>
  <r>
    <x v="0"/>
    <x v="0"/>
    <x v="0"/>
    <x v="0"/>
    <x v="0"/>
    <x v="3"/>
    <x v="0"/>
    <x v="0"/>
    <n v="7.39317482288926"/>
    <n v="26.615429362401301"/>
  </r>
  <r>
    <x v="0"/>
    <x v="0"/>
    <x v="0"/>
    <x v="0"/>
    <x v="0"/>
    <x v="3"/>
    <x v="0"/>
    <x v="1"/>
    <n v="7.7823370089740704"/>
    <n v="28.0164132323067"/>
  </r>
  <r>
    <x v="0"/>
    <x v="0"/>
    <x v="0"/>
    <x v="0"/>
    <x v="0"/>
    <x v="3"/>
    <x v="0"/>
    <x v="2"/>
    <n v="7.7823370089740704"/>
    <n v="28.0164132323067"/>
  </r>
  <r>
    <x v="0"/>
    <x v="0"/>
    <x v="0"/>
    <x v="0"/>
    <x v="0"/>
    <x v="3"/>
    <x v="0"/>
    <x v="3"/>
    <n v="7.39317482288926"/>
    <n v="26.615429362401301"/>
  </r>
  <r>
    <x v="0"/>
    <x v="0"/>
    <x v="0"/>
    <x v="0"/>
    <x v="0"/>
    <x v="3"/>
    <x v="0"/>
    <x v="4"/>
    <n v="7.39317482288926"/>
    <n v="26.615429362401301"/>
  </r>
  <r>
    <x v="0"/>
    <x v="0"/>
    <x v="0"/>
    <x v="0"/>
    <x v="0"/>
    <x v="3"/>
    <x v="0"/>
    <x v="5"/>
    <n v="7.39317482288926"/>
    <n v="26.615429362401301"/>
  </r>
  <r>
    <x v="0"/>
    <x v="0"/>
    <x v="0"/>
    <x v="0"/>
    <x v="0"/>
    <x v="3"/>
    <x v="0"/>
    <x v="6"/>
    <n v="8.3785212571062395"/>
    <n v="30.162676525582501"/>
  </r>
  <r>
    <x v="0"/>
    <x v="0"/>
    <x v="0"/>
    <x v="0"/>
    <x v="0"/>
    <x v="3"/>
    <x v="0"/>
    <x v="7"/>
    <n v="8.3785212571062395"/>
    <n v="30.162676525582501"/>
  </r>
  <r>
    <x v="0"/>
    <x v="0"/>
    <x v="0"/>
    <x v="0"/>
    <x v="0"/>
    <x v="3"/>
    <x v="0"/>
    <x v="8"/>
    <n v="8.6090517417273098"/>
    <n v="30.9925862702183"/>
  </r>
  <r>
    <x v="0"/>
    <x v="0"/>
    <x v="0"/>
    <x v="0"/>
    <x v="0"/>
    <x v="3"/>
    <x v="0"/>
    <x v="9"/>
    <n v="7.39317482288926"/>
    <n v="26.615429362401301"/>
  </r>
  <r>
    <x v="0"/>
    <x v="0"/>
    <x v="0"/>
    <x v="0"/>
    <x v="0"/>
    <x v="3"/>
    <x v="0"/>
    <x v="10"/>
    <n v="7.39317482288926"/>
    <n v="26.615429362401301"/>
  </r>
  <r>
    <x v="0"/>
    <x v="0"/>
    <x v="0"/>
    <x v="0"/>
    <x v="0"/>
    <x v="3"/>
    <x v="0"/>
    <x v="11"/>
    <n v="7.39317482288926"/>
    <n v="26.615429362401301"/>
  </r>
  <r>
    <x v="0"/>
    <x v="0"/>
    <x v="0"/>
    <x v="0"/>
    <x v="0"/>
    <x v="3"/>
    <x v="1"/>
    <x v="0"/>
    <n v="6.5937978658406697"/>
    <n v="23.737672317026401"/>
  </r>
  <r>
    <x v="0"/>
    <x v="0"/>
    <x v="0"/>
    <x v="0"/>
    <x v="0"/>
    <x v="3"/>
    <x v="1"/>
    <x v="1"/>
    <n v="6.5937978658406697"/>
    <n v="23.737672317026401"/>
  </r>
  <r>
    <x v="0"/>
    <x v="0"/>
    <x v="0"/>
    <x v="0"/>
    <x v="0"/>
    <x v="3"/>
    <x v="1"/>
    <x v="2"/>
    <n v="6.9408875805018697"/>
    <n v="24.987195289806699"/>
  </r>
  <r>
    <x v="0"/>
    <x v="0"/>
    <x v="0"/>
    <x v="0"/>
    <x v="0"/>
    <x v="3"/>
    <x v="1"/>
    <x v="3"/>
    <n v="6.5937978658406697"/>
    <n v="23.737672317026401"/>
  </r>
  <r>
    <x v="0"/>
    <x v="0"/>
    <x v="0"/>
    <x v="0"/>
    <x v="0"/>
    <x v="3"/>
    <x v="1"/>
    <x v="4"/>
    <n v="6.9408875805018697"/>
    <n v="24.987195289806699"/>
  </r>
  <r>
    <x v="0"/>
    <x v="0"/>
    <x v="0"/>
    <x v="0"/>
    <x v="0"/>
    <x v="3"/>
    <x v="1"/>
    <x v="5"/>
    <n v="6.5937978658406697"/>
    <n v="23.737672317026401"/>
  </r>
  <r>
    <x v="0"/>
    <x v="0"/>
    <x v="0"/>
    <x v="0"/>
    <x v="0"/>
    <x v="3"/>
    <x v="1"/>
    <x v="6"/>
    <n v="6.5937978658406697"/>
    <n v="23.737672317026401"/>
  </r>
  <r>
    <x v="0"/>
    <x v="0"/>
    <x v="0"/>
    <x v="0"/>
    <x v="0"/>
    <x v="3"/>
    <x v="1"/>
    <x v="7"/>
    <n v="6.5937978658406697"/>
    <n v="23.737672317026401"/>
  </r>
  <r>
    <x v="0"/>
    <x v="0"/>
    <x v="0"/>
    <x v="0"/>
    <x v="0"/>
    <x v="3"/>
    <x v="1"/>
    <x v="8"/>
    <n v="6.5937978658406697"/>
    <n v="23.737672317026401"/>
  </r>
  <r>
    <x v="0"/>
    <x v="0"/>
    <x v="0"/>
    <x v="0"/>
    <x v="0"/>
    <x v="3"/>
    <x v="1"/>
    <x v="9"/>
    <n v="6.5937978658406697"/>
    <n v="23.737672317026401"/>
  </r>
  <r>
    <x v="0"/>
    <x v="0"/>
    <x v="0"/>
    <x v="0"/>
    <x v="0"/>
    <x v="3"/>
    <x v="1"/>
    <x v="10"/>
    <n v="6.5937978658406697"/>
    <n v="23.737672317026401"/>
  </r>
  <r>
    <x v="0"/>
    <x v="0"/>
    <x v="0"/>
    <x v="0"/>
    <x v="0"/>
    <x v="3"/>
    <x v="1"/>
    <x v="11"/>
    <n v="6.5937978658406697"/>
    <n v="23.737672317026401"/>
  </r>
  <r>
    <x v="0"/>
    <x v="0"/>
    <x v="0"/>
    <x v="0"/>
    <x v="0"/>
    <x v="3"/>
    <x v="2"/>
    <x v="0"/>
    <n v="6.3745467419391604"/>
    <n v="22.948368270981"/>
  </r>
  <r>
    <x v="0"/>
    <x v="0"/>
    <x v="0"/>
    <x v="0"/>
    <x v="0"/>
    <x v="3"/>
    <x v="2"/>
    <x v="1"/>
    <n v="6.71009692376344"/>
    <n v="24.1563489255484"/>
  </r>
  <r>
    <x v="0"/>
    <x v="0"/>
    <x v="0"/>
    <x v="0"/>
    <x v="0"/>
    <x v="3"/>
    <x v="2"/>
    <x v="2"/>
    <n v="6.5937978658406697"/>
    <n v="23.737672317026401"/>
  </r>
  <r>
    <x v="0"/>
    <x v="0"/>
    <x v="0"/>
    <x v="0"/>
    <x v="0"/>
    <x v="3"/>
    <x v="2"/>
    <x v="3"/>
    <n v="6.71009692376344"/>
    <n v="24.1563489255484"/>
  </r>
  <r>
    <x v="0"/>
    <x v="0"/>
    <x v="0"/>
    <x v="0"/>
    <x v="0"/>
    <x v="3"/>
    <x v="2"/>
    <x v="4"/>
    <n v="6.71009692376344"/>
    <n v="24.1563489255484"/>
  </r>
  <r>
    <x v="0"/>
    <x v="0"/>
    <x v="0"/>
    <x v="0"/>
    <x v="0"/>
    <x v="3"/>
    <x v="2"/>
    <x v="5"/>
    <n v="6.3745467419391604"/>
    <n v="22.948368270981"/>
  </r>
  <r>
    <x v="0"/>
    <x v="0"/>
    <x v="0"/>
    <x v="0"/>
    <x v="0"/>
    <x v="3"/>
    <x v="2"/>
    <x v="6"/>
    <n v="6.71009692376344"/>
    <n v="24.1563489255484"/>
  </r>
  <r>
    <x v="0"/>
    <x v="0"/>
    <x v="0"/>
    <x v="0"/>
    <x v="0"/>
    <x v="3"/>
    <x v="2"/>
    <x v="7"/>
    <n v="6.4106480606547001"/>
    <n v="23.078333018356901"/>
  </r>
  <r>
    <x v="0"/>
    <x v="0"/>
    <x v="0"/>
    <x v="0"/>
    <x v="0"/>
    <x v="3"/>
    <x v="2"/>
    <x v="8"/>
    <n v="6.71009692376344"/>
    <n v="24.1563489255484"/>
  </r>
  <r>
    <x v="0"/>
    <x v="0"/>
    <x v="0"/>
    <x v="0"/>
    <x v="0"/>
    <x v="3"/>
    <x v="2"/>
    <x v="9"/>
    <n v="6.3745467419391604"/>
    <n v="22.948368270981"/>
  </r>
  <r>
    <x v="0"/>
    <x v="0"/>
    <x v="0"/>
    <x v="0"/>
    <x v="0"/>
    <x v="3"/>
    <x v="2"/>
    <x v="10"/>
    <n v="6.3745467419391604"/>
    <n v="22.948368270981"/>
  </r>
  <r>
    <x v="0"/>
    <x v="0"/>
    <x v="0"/>
    <x v="0"/>
    <x v="0"/>
    <x v="3"/>
    <x v="2"/>
    <x v="11"/>
    <n v="6.3745467419391604"/>
    <n v="22.948368270981"/>
  </r>
  <r>
    <x v="0"/>
    <x v="0"/>
    <x v="0"/>
    <x v="0"/>
    <x v="0"/>
    <x v="4"/>
    <x v="0"/>
    <x v="0"/>
    <n v="5.6333980148164704"/>
    <n v="20.280232853339299"/>
  </r>
  <r>
    <x v="0"/>
    <x v="0"/>
    <x v="0"/>
    <x v="0"/>
    <x v="0"/>
    <x v="4"/>
    <x v="0"/>
    <x v="1"/>
    <n v="5.6333980148164704"/>
    <n v="20.280232853339299"/>
  </r>
  <r>
    <x v="0"/>
    <x v="0"/>
    <x v="0"/>
    <x v="0"/>
    <x v="0"/>
    <x v="4"/>
    <x v="0"/>
    <x v="2"/>
    <n v="6.6818297671635198"/>
    <n v="24.054587161788699"/>
  </r>
  <r>
    <x v="0"/>
    <x v="0"/>
    <x v="0"/>
    <x v="0"/>
    <x v="0"/>
    <x v="4"/>
    <x v="0"/>
    <x v="3"/>
    <n v="5.6333980148164704"/>
    <n v="20.280232853339299"/>
  </r>
  <r>
    <x v="0"/>
    <x v="0"/>
    <x v="0"/>
    <x v="0"/>
    <x v="0"/>
    <x v="4"/>
    <x v="0"/>
    <x v="4"/>
    <n v="5.6333980148164704"/>
    <n v="20.280232853339299"/>
  </r>
  <r>
    <x v="0"/>
    <x v="0"/>
    <x v="0"/>
    <x v="0"/>
    <x v="0"/>
    <x v="4"/>
    <x v="0"/>
    <x v="5"/>
    <n v="5.35168277843953"/>
    <n v="19.266058002382302"/>
  </r>
  <r>
    <x v="0"/>
    <x v="0"/>
    <x v="0"/>
    <x v="0"/>
    <x v="0"/>
    <x v="4"/>
    <x v="0"/>
    <x v="6"/>
    <n v="5.35168277843953"/>
    <n v="19.266058002382302"/>
  </r>
  <r>
    <x v="0"/>
    <x v="0"/>
    <x v="0"/>
    <x v="0"/>
    <x v="0"/>
    <x v="4"/>
    <x v="0"/>
    <x v="7"/>
    <n v="5.35168277843953"/>
    <n v="19.266058002382302"/>
  </r>
  <r>
    <x v="0"/>
    <x v="0"/>
    <x v="0"/>
    <x v="0"/>
    <x v="0"/>
    <x v="4"/>
    <x v="0"/>
    <x v="8"/>
    <n v="5.35168277843953"/>
    <n v="19.266058002382302"/>
  </r>
  <r>
    <x v="0"/>
    <x v="0"/>
    <x v="0"/>
    <x v="0"/>
    <x v="0"/>
    <x v="4"/>
    <x v="0"/>
    <x v="9"/>
    <n v="5.35168277843953"/>
    <n v="19.266058002382302"/>
  </r>
  <r>
    <x v="0"/>
    <x v="0"/>
    <x v="0"/>
    <x v="0"/>
    <x v="0"/>
    <x v="4"/>
    <x v="0"/>
    <x v="10"/>
    <n v="5.35168277843953"/>
    <n v="19.266058002382302"/>
  </r>
  <r>
    <x v="0"/>
    <x v="0"/>
    <x v="0"/>
    <x v="0"/>
    <x v="0"/>
    <x v="4"/>
    <x v="0"/>
    <x v="11"/>
    <n v="5.35168277843953"/>
    <n v="19.266058002382302"/>
  </r>
  <r>
    <x v="0"/>
    <x v="0"/>
    <x v="0"/>
    <x v="0"/>
    <x v="0"/>
    <x v="4"/>
    <x v="1"/>
    <x v="0"/>
    <n v="5.35168277843953"/>
    <n v="19.266058002382302"/>
  </r>
  <r>
    <x v="0"/>
    <x v="0"/>
    <x v="0"/>
    <x v="0"/>
    <x v="0"/>
    <x v="4"/>
    <x v="1"/>
    <x v="1"/>
    <n v="4.8699879016127596"/>
    <n v="17.5319564458059"/>
  </r>
  <r>
    <x v="0"/>
    <x v="0"/>
    <x v="0"/>
    <x v="0"/>
    <x v="0"/>
    <x v="4"/>
    <x v="1"/>
    <x v="2"/>
    <n v="5.0840533038814497"/>
    <n v="18.302591893973201"/>
  </r>
  <r>
    <x v="0"/>
    <x v="0"/>
    <x v="0"/>
    <x v="0"/>
    <x v="0"/>
    <x v="4"/>
    <x v="1"/>
    <x v="3"/>
    <n v="4.8699879016127596"/>
    <n v="17.5319564458059"/>
  </r>
  <r>
    <x v="0"/>
    <x v="0"/>
    <x v="0"/>
    <x v="0"/>
    <x v="0"/>
    <x v="4"/>
    <x v="1"/>
    <x v="4"/>
    <n v="5.35168277843953"/>
    <n v="19.266058002382302"/>
  </r>
  <r>
    <x v="0"/>
    <x v="0"/>
    <x v="0"/>
    <x v="0"/>
    <x v="0"/>
    <x v="4"/>
    <x v="1"/>
    <x v="5"/>
    <n v="5.35168277843953"/>
    <n v="19.266058002382302"/>
  </r>
  <r>
    <x v="0"/>
    <x v="0"/>
    <x v="0"/>
    <x v="0"/>
    <x v="0"/>
    <x v="4"/>
    <x v="1"/>
    <x v="6"/>
    <n v="5.35168277843953"/>
    <n v="19.266058002382302"/>
  </r>
  <r>
    <x v="0"/>
    <x v="0"/>
    <x v="0"/>
    <x v="0"/>
    <x v="0"/>
    <x v="4"/>
    <x v="1"/>
    <x v="7"/>
    <n v="5.3173962553541498"/>
    <n v="19.142626519274899"/>
  </r>
  <r>
    <x v="0"/>
    <x v="0"/>
    <x v="0"/>
    <x v="0"/>
    <x v="0"/>
    <x v="4"/>
    <x v="1"/>
    <x v="8"/>
    <n v="5.3173962553541498"/>
    <n v="19.142626519274899"/>
  </r>
  <r>
    <x v="0"/>
    <x v="0"/>
    <x v="0"/>
    <x v="0"/>
    <x v="0"/>
    <x v="4"/>
    <x v="1"/>
    <x v="9"/>
    <n v="5.35168277843953"/>
    <n v="19.266058002382302"/>
  </r>
  <r>
    <x v="0"/>
    <x v="0"/>
    <x v="0"/>
    <x v="0"/>
    <x v="0"/>
    <x v="4"/>
    <x v="1"/>
    <x v="10"/>
    <n v="5.3173962553541498"/>
    <n v="19.142626519274899"/>
  </r>
  <r>
    <x v="0"/>
    <x v="0"/>
    <x v="0"/>
    <x v="0"/>
    <x v="0"/>
    <x v="4"/>
    <x v="1"/>
    <x v="11"/>
    <n v="5.35168277843953"/>
    <n v="19.266058002382302"/>
  </r>
  <r>
    <x v="0"/>
    <x v="0"/>
    <x v="0"/>
    <x v="0"/>
    <x v="0"/>
    <x v="4"/>
    <x v="2"/>
    <x v="0"/>
    <n v="4.3274672294796099"/>
    <n v="15.5788820261266"/>
  </r>
  <r>
    <x v="0"/>
    <x v="0"/>
    <x v="0"/>
    <x v="0"/>
    <x v="0"/>
    <x v="4"/>
    <x v="2"/>
    <x v="1"/>
    <n v="4.1110485323695203"/>
    <n v="14.799774716530299"/>
  </r>
  <r>
    <x v="0"/>
    <x v="0"/>
    <x v="0"/>
    <x v="0"/>
    <x v="0"/>
    <x v="4"/>
    <x v="2"/>
    <x v="2"/>
    <n v="4.8699879016127499"/>
    <n v="17.5319564458059"/>
  </r>
  <r>
    <x v="0"/>
    <x v="0"/>
    <x v="0"/>
    <x v="0"/>
    <x v="0"/>
    <x v="4"/>
    <x v="2"/>
    <x v="3"/>
    <n v="4.1110485323695203"/>
    <n v="14.799774716530299"/>
  </r>
  <r>
    <x v="0"/>
    <x v="0"/>
    <x v="0"/>
    <x v="0"/>
    <x v="0"/>
    <x v="4"/>
    <x v="2"/>
    <x v="4"/>
    <n v="4.1110485323695203"/>
    <n v="14.799774716530299"/>
  </r>
  <r>
    <x v="0"/>
    <x v="0"/>
    <x v="0"/>
    <x v="0"/>
    <x v="0"/>
    <x v="4"/>
    <x v="2"/>
    <x v="5"/>
    <n v="4.3274672294796099"/>
    <n v="15.5788820261266"/>
  </r>
  <r>
    <x v="0"/>
    <x v="0"/>
    <x v="0"/>
    <x v="0"/>
    <x v="0"/>
    <x v="4"/>
    <x v="2"/>
    <x v="6"/>
    <n v="4.1110485323695203"/>
    <n v="14.799774716530299"/>
  </r>
  <r>
    <x v="0"/>
    <x v="0"/>
    <x v="0"/>
    <x v="0"/>
    <x v="0"/>
    <x v="4"/>
    <x v="2"/>
    <x v="7"/>
    <n v="4.1110485323695203"/>
    <n v="14.799774716530299"/>
  </r>
  <r>
    <x v="0"/>
    <x v="0"/>
    <x v="0"/>
    <x v="0"/>
    <x v="0"/>
    <x v="4"/>
    <x v="2"/>
    <x v="8"/>
    <n v="4.1110485323695203"/>
    <n v="14.799774716530299"/>
  </r>
  <r>
    <x v="0"/>
    <x v="0"/>
    <x v="0"/>
    <x v="0"/>
    <x v="0"/>
    <x v="4"/>
    <x v="2"/>
    <x v="9"/>
    <n v="4.3274672294796099"/>
    <n v="15.5788820261266"/>
  </r>
  <r>
    <x v="0"/>
    <x v="0"/>
    <x v="0"/>
    <x v="0"/>
    <x v="0"/>
    <x v="4"/>
    <x v="2"/>
    <x v="10"/>
    <n v="4.3274672294796099"/>
    <n v="15.5788820261266"/>
  </r>
  <r>
    <x v="0"/>
    <x v="0"/>
    <x v="0"/>
    <x v="0"/>
    <x v="0"/>
    <x v="4"/>
    <x v="2"/>
    <x v="11"/>
    <n v="4.3274672294796099"/>
    <n v="15.5788820261266"/>
  </r>
  <r>
    <x v="0"/>
    <x v="0"/>
    <x v="0"/>
    <x v="0"/>
    <x v="0"/>
    <x v="5"/>
    <x v="0"/>
    <x v="0"/>
    <n v="11.278399371267099"/>
    <n v="40.602237736561598"/>
  </r>
  <r>
    <x v="0"/>
    <x v="0"/>
    <x v="0"/>
    <x v="0"/>
    <x v="0"/>
    <x v="5"/>
    <x v="0"/>
    <x v="1"/>
    <n v="11.278399371267099"/>
    <n v="40.602237736561598"/>
  </r>
  <r>
    <x v="0"/>
    <x v="0"/>
    <x v="0"/>
    <x v="0"/>
    <x v="0"/>
    <x v="5"/>
    <x v="0"/>
    <x v="2"/>
    <n v="11.278399371267099"/>
    <n v="40.602237736561598"/>
  </r>
  <r>
    <x v="0"/>
    <x v="0"/>
    <x v="0"/>
    <x v="0"/>
    <x v="0"/>
    <x v="5"/>
    <x v="0"/>
    <x v="3"/>
    <n v="11.278399371267099"/>
    <n v="40.602237736561598"/>
  </r>
  <r>
    <x v="0"/>
    <x v="0"/>
    <x v="0"/>
    <x v="0"/>
    <x v="0"/>
    <x v="5"/>
    <x v="0"/>
    <x v="4"/>
    <n v="11.278399371267099"/>
    <n v="40.602237736561598"/>
  </r>
  <r>
    <x v="0"/>
    <x v="0"/>
    <x v="0"/>
    <x v="0"/>
    <x v="0"/>
    <x v="5"/>
    <x v="0"/>
    <x v="5"/>
    <n v="13.819140112007901"/>
    <n v="49.748904403228302"/>
  </r>
  <r>
    <x v="0"/>
    <x v="0"/>
    <x v="0"/>
    <x v="0"/>
    <x v="0"/>
    <x v="5"/>
    <x v="0"/>
    <x v="6"/>
    <n v="11.278399371267099"/>
    <n v="40.602237736561598"/>
  </r>
  <r>
    <x v="0"/>
    <x v="0"/>
    <x v="0"/>
    <x v="0"/>
    <x v="0"/>
    <x v="5"/>
    <x v="0"/>
    <x v="7"/>
    <n v="11.278399371267099"/>
    <n v="40.602237736561598"/>
  </r>
  <r>
    <x v="0"/>
    <x v="0"/>
    <x v="0"/>
    <x v="0"/>
    <x v="0"/>
    <x v="5"/>
    <x v="0"/>
    <x v="8"/>
    <n v="11.278399371267099"/>
    <n v="40.602237736561598"/>
  </r>
  <r>
    <x v="0"/>
    <x v="0"/>
    <x v="0"/>
    <x v="0"/>
    <x v="0"/>
    <x v="5"/>
    <x v="0"/>
    <x v="9"/>
    <n v="11.278399371267099"/>
    <n v="40.602237736561598"/>
  </r>
  <r>
    <x v="0"/>
    <x v="0"/>
    <x v="0"/>
    <x v="0"/>
    <x v="0"/>
    <x v="5"/>
    <x v="0"/>
    <x v="10"/>
    <n v="11.278399371267099"/>
    <n v="40.602237736561598"/>
  </r>
  <r>
    <x v="0"/>
    <x v="0"/>
    <x v="0"/>
    <x v="0"/>
    <x v="0"/>
    <x v="5"/>
    <x v="0"/>
    <x v="11"/>
    <n v="11.278399371267099"/>
    <n v="40.602237736561598"/>
  </r>
  <r>
    <x v="0"/>
    <x v="0"/>
    <x v="0"/>
    <x v="0"/>
    <x v="0"/>
    <x v="5"/>
    <x v="1"/>
    <x v="0"/>
    <n v="11.278399371267099"/>
    <n v="40.602237736561598"/>
  </r>
  <r>
    <x v="0"/>
    <x v="0"/>
    <x v="0"/>
    <x v="0"/>
    <x v="0"/>
    <x v="5"/>
    <x v="1"/>
    <x v="1"/>
    <n v="11.278399371267099"/>
    <n v="40.602237736561598"/>
  </r>
  <r>
    <x v="0"/>
    <x v="0"/>
    <x v="0"/>
    <x v="0"/>
    <x v="0"/>
    <x v="5"/>
    <x v="1"/>
    <x v="2"/>
    <n v="11.278399371267099"/>
    <n v="40.602237736561598"/>
  </r>
  <r>
    <x v="0"/>
    <x v="0"/>
    <x v="0"/>
    <x v="0"/>
    <x v="0"/>
    <x v="5"/>
    <x v="1"/>
    <x v="3"/>
    <n v="11.278399371267099"/>
    <n v="40.602237736561598"/>
  </r>
  <r>
    <x v="0"/>
    <x v="0"/>
    <x v="0"/>
    <x v="0"/>
    <x v="0"/>
    <x v="5"/>
    <x v="1"/>
    <x v="4"/>
    <n v="9.8493851182342294"/>
    <n v="35.457786425643199"/>
  </r>
  <r>
    <x v="0"/>
    <x v="0"/>
    <x v="0"/>
    <x v="0"/>
    <x v="0"/>
    <x v="5"/>
    <x v="1"/>
    <x v="5"/>
    <n v="11.278399371267099"/>
    <n v="40.602237736561598"/>
  </r>
  <r>
    <x v="0"/>
    <x v="0"/>
    <x v="0"/>
    <x v="0"/>
    <x v="0"/>
    <x v="5"/>
    <x v="1"/>
    <x v="6"/>
    <n v="9.1354495518374694"/>
    <n v="32.887618386614903"/>
  </r>
  <r>
    <x v="0"/>
    <x v="0"/>
    <x v="0"/>
    <x v="0"/>
    <x v="0"/>
    <x v="5"/>
    <x v="1"/>
    <x v="7"/>
    <n v="11.278399371267099"/>
    <n v="40.602237736561598"/>
  </r>
  <r>
    <x v="0"/>
    <x v="0"/>
    <x v="0"/>
    <x v="0"/>
    <x v="0"/>
    <x v="5"/>
    <x v="1"/>
    <x v="8"/>
    <n v="11.278399371267099"/>
    <n v="40.602237736561598"/>
  </r>
  <r>
    <x v="0"/>
    <x v="0"/>
    <x v="0"/>
    <x v="0"/>
    <x v="0"/>
    <x v="5"/>
    <x v="1"/>
    <x v="9"/>
    <n v="11.278399371267099"/>
    <n v="40.602237736561598"/>
  </r>
  <r>
    <x v="0"/>
    <x v="0"/>
    <x v="0"/>
    <x v="0"/>
    <x v="0"/>
    <x v="5"/>
    <x v="1"/>
    <x v="10"/>
    <n v="11.278399371267099"/>
    <n v="40.602237736561598"/>
  </r>
  <r>
    <x v="0"/>
    <x v="0"/>
    <x v="0"/>
    <x v="0"/>
    <x v="0"/>
    <x v="5"/>
    <x v="1"/>
    <x v="11"/>
    <n v="11.278399371267099"/>
    <n v="40.602237736561598"/>
  </r>
  <r>
    <x v="0"/>
    <x v="0"/>
    <x v="0"/>
    <x v="0"/>
    <x v="0"/>
    <x v="5"/>
    <x v="2"/>
    <x v="0"/>
    <n v="11.278399371267099"/>
    <n v="40.602237736561598"/>
  </r>
  <r>
    <x v="0"/>
    <x v="0"/>
    <x v="0"/>
    <x v="0"/>
    <x v="0"/>
    <x v="5"/>
    <x v="2"/>
    <x v="1"/>
    <n v="11.278399371267099"/>
    <n v="40.602237736561598"/>
  </r>
  <r>
    <x v="0"/>
    <x v="0"/>
    <x v="0"/>
    <x v="0"/>
    <x v="0"/>
    <x v="5"/>
    <x v="2"/>
    <x v="2"/>
    <n v="11.278399371267099"/>
    <n v="40.602237736561598"/>
  </r>
  <r>
    <x v="0"/>
    <x v="0"/>
    <x v="0"/>
    <x v="0"/>
    <x v="0"/>
    <x v="5"/>
    <x v="2"/>
    <x v="3"/>
    <n v="11.278399371267099"/>
    <n v="40.602237736561598"/>
  </r>
  <r>
    <x v="0"/>
    <x v="0"/>
    <x v="0"/>
    <x v="0"/>
    <x v="0"/>
    <x v="5"/>
    <x v="2"/>
    <x v="4"/>
    <n v="11.278399371267099"/>
    <n v="40.602237736561598"/>
  </r>
  <r>
    <x v="0"/>
    <x v="0"/>
    <x v="0"/>
    <x v="0"/>
    <x v="0"/>
    <x v="5"/>
    <x v="2"/>
    <x v="5"/>
    <n v="11.278399371267099"/>
    <n v="40.602237736561598"/>
  </r>
  <r>
    <x v="0"/>
    <x v="0"/>
    <x v="0"/>
    <x v="0"/>
    <x v="0"/>
    <x v="5"/>
    <x v="2"/>
    <x v="6"/>
    <n v="11.278399371267099"/>
    <n v="40.602237736561598"/>
  </r>
  <r>
    <x v="0"/>
    <x v="0"/>
    <x v="0"/>
    <x v="0"/>
    <x v="0"/>
    <x v="5"/>
    <x v="2"/>
    <x v="7"/>
    <n v="11.278399371267099"/>
    <n v="40.602237736561598"/>
  </r>
  <r>
    <x v="0"/>
    <x v="0"/>
    <x v="0"/>
    <x v="0"/>
    <x v="0"/>
    <x v="5"/>
    <x v="2"/>
    <x v="8"/>
    <n v="11.278399371267099"/>
    <n v="40.602237736561598"/>
  </r>
  <r>
    <x v="0"/>
    <x v="0"/>
    <x v="0"/>
    <x v="0"/>
    <x v="0"/>
    <x v="5"/>
    <x v="2"/>
    <x v="9"/>
    <n v="11.278399371267099"/>
    <n v="40.602237736561598"/>
  </r>
  <r>
    <x v="0"/>
    <x v="0"/>
    <x v="0"/>
    <x v="0"/>
    <x v="0"/>
    <x v="5"/>
    <x v="2"/>
    <x v="10"/>
    <n v="11.278399371267099"/>
    <n v="40.602237736561598"/>
  </r>
  <r>
    <x v="0"/>
    <x v="0"/>
    <x v="0"/>
    <x v="0"/>
    <x v="0"/>
    <x v="5"/>
    <x v="2"/>
    <x v="11"/>
    <n v="11.278399371267099"/>
    <n v="40.602237736561598"/>
  </r>
  <r>
    <x v="0"/>
    <x v="0"/>
    <x v="0"/>
    <x v="0"/>
    <x v="0"/>
    <x v="6"/>
    <x v="0"/>
    <x v="0"/>
    <n v="10.150531045251499"/>
    <n v="36.5419117629054"/>
  </r>
  <r>
    <x v="0"/>
    <x v="0"/>
    <x v="0"/>
    <x v="0"/>
    <x v="0"/>
    <x v="6"/>
    <x v="0"/>
    <x v="1"/>
    <n v="10.150531045251499"/>
    <n v="36.5419117629054"/>
  </r>
  <r>
    <x v="0"/>
    <x v="0"/>
    <x v="0"/>
    <x v="0"/>
    <x v="0"/>
    <x v="6"/>
    <x v="0"/>
    <x v="2"/>
    <n v="10.150531045251499"/>
    <n v="36.5419117629054"/>
  </r>
  <r>
    <x v="0"/>
    <x v="0"/>
    <x v="0"/>
    <x v="0"/>
    <x v="0"/>
    <x v="6"/>
    <x v="0"/>
    <x v="3"/>
    <n v="10.150531045251499"/>
    <n v="36.5419117629054"/>
  </r>
  <r>
    <x v="0"/>
    <x v="0"/>
    <x v="0"/>
    <x v="0"/>
    <x v="0"/>
    <x v="6"/>
    <x v="0"/>
    <x v="4"/>
    <n v="10.150531045251499"/>
    <n v="36.5419117629054"/>
  </r>
  <r>
    <x v="0"/>
    <x v="0"/>
    <x v="0"/>
    <x v="0"/>
    <x v="0"/>
    <x v="6"/>
    <x v="0"/>
    <x v="5"/>
    <n v="12.4371977119182"/>
    <n v="44.773911762905399"/>
  </r>
  <r>
    <x v="0"/>
    <x v="0"/>
    <x v="0"/>
    <x v="0"/>
    <x v="0"/>
    <x v="6"/>
    <x v="0"/>
    <x v="6"/>
    <n v="10.150531045251499"/>
    <n v="36.5419117629054"/>
  </r>
  <r>
    <x v="0"/>
    <x v="0"/>
    <x v="0"/>
    <x v="0"/>
    <x v="0"/>
    <x v="6"/>
    <x v="0"/>
    <x v="7"/>
    <n v="10.150531045251499"/>
    <n v="36.5419117629054"/>
  </r>
  <r>
    <x v="0"/>
    <x v="0"/>
    <x v="0"/>
    <x v="0"/>
    <x v="0"/>
    <x v="6"/>
    <x v="0"/>
    <x v="8"/>
    <n v="10.150531045251499"/>
    <n v="36.5419117629054"/>
  </r>
  <r>
    <x v="0"/>
    <x v="0"/>
    <x v="0"/>
    <x v="0"/>
    <x v="0"/>
    <x v="6"/>
    <x v="0"/>
    <x v="9"/>
    <n v="10.150531045251499"/>
    <n v="36.5419117629054"/>
  </r>
  <r>
    <x v="0"/>
    <x v="0"/>
    <x v="0"/>
    <x v="0"/>
    <x v="0"/>
    <x v="6"/>
    <x v="0"/>
    <x v="10"/>
    <n v="10.150531045251499"/>
    <n v="36.5419117629054"/>
  </r>
  <r>
    <x v="0"/>
    <x v="0"/>
    <x v="0"/>
    <x v="0"/>
    <x v="0"/>
    <x v="6"/>
    <x v="0"/>
    <x v="11"/>
    <n v="10.150531045251499"/>
    <n v="36.5419117629054"/>
  </r>
  <r>
    <x v="0"/>
    <x v="0"/>
    <x v="0"/>
    <x v="0"/>
    <x v="0"/>
    <x v="6"/>
    <x v="1"/>
    <x v="0"/>
    <n v="10.150531045251499"/>
    <n v="36.5419117629054"/>
  </r>
  <r>
    <x v="0"/>
    <x v="0"/>
    <x v="0"/>
    <x v="0"/>
    <x v="0"/>
    <x v="6"/>
    <x v="1"/>
    <x v="1"/>
    <n v="10.150531045251499"/>
    <n v="36.5419117629054"/>
  </r>
  <r>
    <x v="0"/>
    <x v="0"/>
    <x v="0"/>
    <x v="0"/>
    <x v="0"/>
    <x v="6"/>
    <x v="1"/>
    <x v="2"/>
    <n v="10.150531045251499"/>
    <n v="36.5419117629054"/>
  </r>
  <r>
    <x v="0"/>
    <x v="0"/>
    <x v="0"/>
    <x v="0"/>
    <x v="0"/>
    <x v="6"/>
    <x v="1"/>
    <x v="3"/>
    <n v="10.150531045251499"/>
    <n v="36.5419117629054"/>
  </r>
  <r>
    <x v="0"/>
    <x v="0"/>
    <x v="0"/>
    <x v="0"/>
    <x v="0"/>
    <x v="6"/>
    <x v="1"/>
    <x v="4"/>
    <n v="10.150531045251499"/>
    <n v="36.5419117629054"/>
  </r>
  <r>
    <x v="0"/>
    <x v="0"/>
    <x v="0"/>
    <x v="0"/>
    <x v="0"/>
    <x v="6"/>
    <x v="1"/>
    <x v="5"/>
    <n v="10.150531045251499"/>
    <n v="36.5419117629054"/>
  </r>
  <r>
    <x v="0"/>
    <x v="0"/>
    <x v="0"/>
    <x v="0"/>
    <x v="0"/>
    <x v="6"/>
    <x v="1"/>
    <x v="6"/>
    <n v="10.150531045251499"/>
    <n v="36.5419117629054"/>
  </r>
  <r>
    <x v="0"/>
    <x v="0"/>
    <x v="0"/>
    <x v="0"/>
    <x v="0"/>
    <x v="6"/>
    <x v="1"/>
    <x v="7"/>
    <n v="10.150531045251499"/>
    <n v="36.5419117629054"/>
  </r>
  <r>
    <x v="0"/>
    <x v="0"/>
    <x v="0"/>
    <x v="0"/>
    <x v="0"/>
    <x v="6"/>
    <x v="1"/>
    <x v="8"/>
    <n v="10.150531045251499"/>
    <n v="36.5419117629054"/>
  </r>
  <r>
    <x v="0"/>
    <x v="0"/>
    <x v="0"/>
    <x v="0"/>
    <x v="0"/>
    <x v="6"/>
    <x v="1"/>
    <x v="9"/>
    <n v="10.150531045251499"/>
    <n v="36.5419117629054"/>
  </r>
  <r>
    <x v="0"/>
    <x v="0"/>
    <x v="0"/>
    <x v="0"/>
    <x v="0"/>
    <x v="6"/>
    <x v="1"/>
    <x v="10"/>
    <n v="10.150531045251499"/>
    <n v="36.5419117629054"/>
  </r>
  <r>
    <x v="0"/>
    <x v="0"/>
    <x v="0"/>
    <x v="0"/>
    <x v="0"/>
    <x v="6"/>
    <x v="1"/>
    <x v="11"/>
    <n v="10.150531045251499"/>
    <n v="36.5419117629054"/>
  </r>
  <r>
    <x v="0"/>
    <x v="0"/>
    <x v="0"/>
    <x v="0"/>
    <x v="0"/>
    <x v="6"/>
    <x v="2"/>
    <x v="0"/>
    <n v="10.150531045251499"/>
    <n v="36.5419117629054"/>
  </r>
  <r>
    <x v="0"/>
    <x v="0"/>
    <x v="0"/>
    <x v="0"/>
    <x v="0"/>
    <x v="6"/>
    <x v="2"/>
    <x v="1"/>
    <n v="10.150531045251499"/>
    <n v="36.5419117629054"/>
  </r>
  <r>
    <x v="0"/>
    <x v="0"/>
    <x v="0"/>
    <x v="0"/>
    <x v="0"/>
    <x v="6"/>
    <x v="2"/>
    <x v="2"/>
    <n v="10.150531045251499"/>
    <n v="36.5419117629054"/>
  </r>
  <r>
    <x v="0"/>
    <x v="0"/>
    <x v="0"/>
    <x v="0"/>
    <x v="0"/>
    <x v="6"/>
    <x v="2"/>
    <x v="3"/>
    <n v="10.150531045251499"/>
    <n v="36.5419117629054"/>
  </r>
  <r>
    <x v="0"/>
    <x v="0"/>
    <x v="0"/>
    <x v="0"/>
    <x v="0"/>
    <x v="6"/>
    <x v="2"/>
    <x v="4"/>
    <n v="10.150531045251499"/>
    <n v="36.5419117629054"/>
  </r>
  <r>
    <x v="0"/>
    <x v="0"/>
    <x v="0"/>
    <x v="0"/>
    <x v="0"/>
    <x v="6"/>
    <x v="2"/>
    <x v="5"/>
    <n v="10.150531045251499"/>
    <n v="36.5419117629054"/>
  </r>
  <r>
    <x v="0"/>
    <x v="0"/>
    <x v="0"/>
    <x v="0"/>
    <x v="0"/>
    <x v="6"/>
    <x v="2"/>
    <x v="6"/>
    <n v="10.150531045251499"/>
    <n v="36.5419117629054"/>
  </r>
  <r>
    <x v="0"/>
    <x v="0"/>
    <x v="0"/>
    <x v="0"/>
    <x v="0"/>
    <x v="6"/>
    <x v="2"/>
    <x v="7"/>
    <n v="10.150531045251499"/>
    <n v="36.5419117629054"/>
  </r>
  <r>
    <x v="0"/>
    <x v="0"/>
    <x v="0"/>
    <x v="0"/>
    <x v="0"/>
    <x v="6"/>
    <x v="2"/>
    <x v="8"/>
    <n v="10.150531045251499"/>
    <n v="36.5419117629054"/>
  </r>
  <r>
    <x v="0"/>
    <x v="0"/>
    <x v="0"/>
    <x v="0"/>
    <x v="0"/>
    <x v="6"/>
    <x v="2"/>
    <x v="9"/>
    <n v="10.150531045251499"/>
    <n v="36.5419117629054"/>
  </r>
  <r>
    <x v="0"/>
    <x v="0"/>
    <x v="0"/>
    <x v="0"/>
    <x v="0"/>
    <x v="6"/>
    <x v="2"/>
    <x v="10"/>
    <n v="10.150531045251499"/>
    <n v="36.5419117629054"/>
  </r>
  <r>
    <x v="0"/>
    <x v="0"/>
    <x v="0"/>
    <x v="0"/>
    <x v="0"/>
    <x v="6"/>
    <x v="2"/>
    <x v="11"/>
    <n v="10.150531045251499"/>
    <n v="36.5419117629054"/>
  </r>
  <r>
    <x v="0"/>
    <x v="0"/>
    <x v="0"/>
    <x v="0"/>
    <x v="0"/>
    <x v="7"/>
    <x v="0"/>
    <x v="0"/>
    <n v="7.7805688636056303"/>
    <n v="28.010047908980301"/>
  </r>
  <r>
    <x v="0"/>
    <x v="0"/>
    <x v="0"/>
    <x v="0"/>
    <x v="0"/>
    <x v="7"/>
    <x v="0"/>
    <x v="1"/>
    <n v="7.7805688636056303"/>
    <n v="28.010047908980301"/>
  </r>
  <r>
    <x v="0"/>
    <x v="0"/>
    <x v="0"/>
    <x v="0"/>
    <x v="0"/>
    <x v="7"/>
    <x v="0"/>
    <x v="2"/>
    <n v="8.2985956230974907"/>
    <n v="29.874944243150999"/>
  </r>
  <r>
    <x v="0"/>
    <x v="0"/>
    <x v="0"/>
    <x v="0"/>
    <x v="0"/>
    <x v="7"/>
    <x v="0"/>
    <x v="3"/>
    <n v="7.7805688636056303"/>
    <n v="28.010047908980301"/>
  </r>
  <r>
    <x v="0"/>
    <x v="0"/>
    <x v="0"/>
    <x v="0"/>
    <x v="0"/>
    <x v="7"/>
    <x v="0"/>
    <x v="4"/>
    <n v="7.1192056967654702"/>
    <n v="25.6291405083557"/>
  </r>
  <r>
    <x v="0"/>
    <x v="0"/>
    <x v="0"/>
    <x v="0"/>
    <x v="0"/>
    <x v="7"/>
    <x v="0"/>
    <x v="5"/>
    <n v="7.3914950847892404"/>
    <n v="26.609382305241201"/>
  </r>
  <r>
    <x v="0"/>
    <x v="0"/>
    <x v="0"/>
    <x v="0"/>
    <x v="0"/>
    <x v="7"/>
    <x v="0"/>
    <x v="6"/>
    <n v="7.7805688636056303"/>
    <n v="28.010047908980301"/>
  </r>
  <r>
    <x v="0"/>
    <x v="0"/>
    <x v="0"/>
    <x v="0"/>
    <x v="0"/>
    <x v="7"/>
    <x v="0"/>
    <x v="7"/>
    <n v="7.9704566078660504"/>
    <n v="28.6936437883178"/>
  </r>
  <r>
    <x v="0"/>
    <x v="0"/>
    <x v="0"/>
    <x v="0"/>
    <x v="0"/>
    <x v="7"/>
    <x v="0"/>
    <x v="8"/>
    <n v="7.9941170173498604"/>
    <n v="28.778821262459498"/>
  </r>
  <r>
    <x v="0"/>
    <x v="0"/>
    <x v="0"/>
    <x v="0"/>
    <x v="0"/>
    <x v="7"/>
    <x v="0"/>
    <x v="9"/>
    <n v="7.1192056967654702"/>
    <n v="25.6291405083557"/>
  </r>
  <r>
    <x v="0"/>
    <x v="0"/>
    <x v="0"/>
    <x v="0"/>
    <x v="0"/>
    <x v="7"/>
    <x v="0"/>
    <x v="10"/>
    <n v="7.3914950847892404"/>
    <n v="26.609382305241201"/>
  </r>
  <r>
    <x v="0"/>
    <x v="0"/>
    <x v="0"/>
    <x v="0"/>
    <x v="0"/>
    <x v="7"/>
    <x v="0"/>
    <x v="11"/>
    <n v="7.2948508113478097"/>
    <n v="26.2614629208521"/>
  </r>
  <r>
    <x v="0"/>
    <x v="0"/>
    <x v="0"/>
    <x v="0"/>
    <x v="0"/>
    <x v="7"/>
    <x v="1"/>
    <x v="0"/>
    <n v="6.47843375728936"/>
    <n v="23.3223615262417"/>
  </r>
  <r>
    <x v="0"/>
    <x v="0"/>
    <x v="0"/>
    <x v="0"/>
    <x v="0"/>
    <x v="7"/>
    <x v="1"/>
    <x v="1"/>
    <n v="6.47843375728936"/>
    <n v="23.3223615262417"/>
  </r>
  <r>
    <x v="0"/>
    <x v="0"/>
    <x v="0"/>
    <x v="0"/>
    <x v="0"/>
    <x v="7"/>
    <x v="1"/>
    <x v="2"/>
    <n v="6.9760951787939396"/>
    <n v="25.113942643658199"/>
  </r>
  <r>
    <x v="0"/>
    <x v="0"/>
    <x v="0"/>
    <x v="0"/>
    <x v="0"/>
    <x v="7"/>
    <x v="1"/>
    <x v="3"/>
    <n v="6.47843375728936"/>
    <n v="23.3223615262417"/>
  </r>
  <r>
    <x v="0"/>
    <x v="0"/>
    <x v="0"/>
    <x v="0"/>
    <x v="0"/>
    <x v="7"/>
    <x v="1"/>
    <x v="4"/>
    <n v="7.1192056967654702"/>
    <n v="25.6291405083557"/>
  </r>
  <r>
    <x v="0"/>
    <x v="0"/>
    <x v="0"/>
    <x v="0"/>
    <x v="0"/>
    <x v="7"/>
    <x v="1"/>
    <x v="5"/>
    <n v="6.47843375728936"/>
    <n v="23.3223615262417"/>
  </r>
  <r>
    <x v="0"/>
    <x v="0"/>
    <x v="0"/>
    <x v="0"/>
    <x v="0"/>
    <x v="7"/>
    <x v="1"/>
    <x v="6"/>
    <n v="6.6015461520730403"/>
    <n v="23.765566147462899"/>
  </r>
  <r>
    <x v="0"/>
    <x v="0"/>
    <x v="0"/>
    <x v="0"/>
    <x v="0"/>
    <x v="7"/>
    <x v="1"/>
    <x v="7"/>
    <n v="6.47843375728936"/>
    <n v="23.3223615262417"/>
  </r>
  <r>
    <x v="0"/>
    <x v="0"/>
    <x v="0"/>
    <x v="0"/>
    <x v="0"/>
    <x v="7"/>
    <x v="1"/>
    <x v="8"/>
    <n v="6.8194516767636504"/>
    <n v="24.550026036349099"/>
  </r>
  <r>
    <x v="0"/>
    <x v="0"/>
    <x v="0"/>
    <x v="0"/>
    <x v="0"/>
    <x v="7"/>
    <x v="1"/>
    <x v="9"/>
    <n v="6.47843375728936"/>
    <n v="23.3223615262417"/>
  </r>
  <r>
    <x v="0"/>
    <x v="0"/>
    <x v="0"/>
    <x v="0"/>
    <x v="0"/>
    <x v="7"/>
    <x v="1"/>
    <x v="10"/>
    <n v="6.47843375728936"/>
    <n v="23.3223615262417"/>
  </r>
  <r>
    <x v="0"/>
    <x v="0"/>
    <x v="0"/>
    <x v="0"/>
    <x v="0"/>
    <x v="7"/>
    <x v="1"/>
    <x v="11"/>
    <n v="6.47843375728936"/>
    <n v="23.3223615262417"/>
  </r>
  <r>
    <x v="0"/>
    <x v="0"/>
    <x v="0"/>
    <x v="0"/>
    <x v="0"/>
    <x v="7"/>
    <x v="2"/>
    <x v="0"/>
    <n v="6.3746463931567696"/>
    <n v="22.948727015364401"/>
  </r>
  <r>
    <x v="0"/>
    <x v="0"/>
    <x v="0"/>
    <x v="0"/>
    <x v="0"/>
    <x v="7"/>
    <x v="2"/>
    <x v="1"/>
    <n v="6.47843375728936"/>
    <n v="23.3223615262417"/>
  </r>
  <r>
    <x v="0"/>
    <x v="0"/>
    <x v="0"/>
    <x v="0"/>
    <x v="0"/>
    <x v="7"/>
    <x v="2"/>
    <x v="2"/>
    <n v="6.47843375728936"/>
    <n v="23.3223615262417"/>
  </r>
  <r>
    <x v="0"/>
    <x v="0"/>
    <x v="0"/>
    <x v="0"/>
    <x v="0"/>
    <x v="7"/>
    <x v="2"/>
    <x v="3"/>
    <n v="6.3745467419391604"/>
    <n v="22.948368270981"/>
  </r>
  <r>
    <x v="0"/>
    <x v="0"/>
    <x v="0"/>
    <x v="0"/>
    <x v="0"/>
    <x v="7"/>
    <x v="2"/>
    <x v="4"/>
    <n v="6.47843375728936"/>
    <n v="23.3223615262417"/>
  </r>
  <r>
    <x v="0"/>
    <x v="0"/>
    <x v="0"/>
    <x v="0"/>
    <x v="0"/>
    <x v="7"/>
    <x v="2"/>
    <x v="5"/>
    <n v="6.3745467419391604"/>
    <n v="22.948368270981"/>
  </r>
  <r>
    <x v="0"/>
    <x v="0"/>
    <x v="0"/>
    <x v="0"/>
    <x v="0"/>
    <x v="7"/>
    <x v="2"/>
    <x v="6"/>
    <n v="6.47843375728936"/>
    <n v="23.3223615262417"/>
  </r>
  <r>
    <x v="0"/>
    <x v="0"/>
    <x v="0"/>
    <x v="0"/>
    <x v="0"/>
    <x v="7"/>
    <x v="2"/>
    <x v="7"/>
    <n v="6.47843375728936"/>
    <n v="23.3223615262417"/>
  </r>
  <r>
    <x v="0"/>
    <x v="0"/>
    <x v="0"/>
    <x v="0"/>
    <x v="0"/>
    <x v="7"/>
    <x v="2"/>
    <x v="8"/>
    <n v="6.47843375728936"/>
    <n v="23.3223615262417"/>
  </r>
  <r>
    <x v="0"/>
    <x v="0"/>
    <x v="0"/>
    <x v="0"/>
    <x v="0"/>
    <x v="7"/>
    <x v="2"/>
    <x v="9"/>
    <n v="6.1544667337887802"/>
    <n v="22.1560802416396"/>
  </r>
  <r>
    <x v="0"/>
    <x v="0"/>
    <x v="0"/>
    <x v="0"/>
    <x v="0"/>
    <x v="7"/>
    <x v="2"/>
    <x v="10"/>
    <n v="6.47843375728936"/>
    <n v="23.3223615262417"/>
  </r>
  <r>
    <x v="0"/>
    <x v="0"/>
    <x v="0"/>
    <x v="0"/>
    <x v="0"/>
    <x v="7"/>
    <x v="2"/>
    <x v="11"/>
    <n v="6.3745467419391604"/>
    <n v="22.948368270981"/>
  </r>
  <r>
    <x v="0"/>
    <x v="0"/>
    <x v="0"/>
    <x v="0"/>
    <x v="0"/>
    <x v="8"/>
    <x v="0"/>
    <x v="0"/>
    <n v="6.9760951787939396"/>
    <n v="25.113942643658199"/>
  </r>
  <r>
    <x v="0"/>
    <x v="0"/>
    <x v="0"/>
    <x v="0"/>
    <x v="0"/>
    <x v="8"/>
    <x v="0"/>
    <x v="1"/>
    <n v="7.3433058046632098"/>
    <n v="26.435900896787601"/>
  </r>
  <r>
    <x v="0"/>
    <x v="0"/>
    <x v="0"/>
    <x v="0"/>
    <x v="0"/>
    <x v="8"/>
    <x v="0"/>
    <x v="2"/>
    <n v="8.2985956230974907"/>
    <n v="29.874944243150999"/>
  </r>
  <r>
    <x v="0"/>
    <x v="0"/>
    <x v="0"/>
    <x v="0"/>
    <x v="0"/>
    <x v="8"/>
    <x v="0"/>
    <x v="3"/>
    <n v="6.9760951787939396"/>
    <n v="25.113942643658199"/>
  </r>
  <r>
    <x v="0"/>
    <x v="0"/>
    <x v="0"/>
    <x v="0"/>
    <x v="0"/>
    <x v="8"/>
    <x v="0"/>
    <x v="4"/>
    <n v="6.9760951787939396"/>
    <n v="25.113942643658199"/>
  </r>
  <r>
    <x v="0"/>
    <x v="0"/>
    <x v="0"/>
    <x v="0"/>
    <x v="0"/>
    <x v="8"/>
    <x v="0"/>
    <x v="5"/>
    <n v="6.9760951787939396"/>
    <n v="25.113942643658199"/>
  </r>
  <r>
    <x v="0"/>
    <x v="0"/>
    <x v="0"/>
    <x v="0"/>
    <x v="0"/>
    <x v="8"/>
    <x v="0"/>
    <x v="6"/>
    <n v="6.9760951787939396"/>
    <n v="25.113942643658199"/>
  </r>
  <r>
    <x v="0"/>
    <x v="0"/>
    <x v="0"/>
    <x v="0"/>
    <x v="0"/>
    <x v="8"/>
    <x v="0"/>
    <x v="7"/>
    <n v="7.3433058046632098"/>
    <n v="26.435900896787601"/>
  </r>
  <r>
    <x v="0"/>
    <x v="0"/>
    <x v="0"/>
    <x v="0"/>
    <x v="0"/>
    <x v="8"/>
    <x v="0"/>
    <x v="8"/>
    <n v="7.8751027051855198"/>
    <n v="28.350369738667901"/>
  </r>
  <r>
    <x v="0"/>
    <x v="0"/>
    <x v="0"/>
    <x v="0"/>
    <x v="0"/>
    <x v="8"/>
    <x v="0"/>
    <x v="9"/>
    <n v="6.9760951787939396"/>
    <n v="25.113942643658199"/>
  </r>
  <r>
    <x v="0"/>
    <x v="0"/>
    <x v="0"/>
    <x v="0"/>
    <x v="0"/>
    <x v="8"/>
    <x v="0"/>
    <x v="10"/>
    <n v="6.9760951787939396"/>
    <n v="25.113942643658199"/>
  </r>
  <r>
    <x v="0"/>
    <x v="0"/>
    <x v="0"/>
    <x v="0"/>
    <x v="0"/>
    <x v="8"/>
    <x v="0"/>
    <x v="11"/>
    <n v="6.9760951787939396"/>
    <n v="25.113942643658199"/>
  </r>
  <r>
    <x v="0"/>
    <x v="0"/>
    <x v="0"/>
    <x v="0"/>
    <x v="0"/>
    <x v="8"/>
    <x v="1"/>
    <x v="0"/>
    <n v="6.3745467419391604"/>
    <n v="22.948368270981"/>
  </r>
  <r>
    <x v="0"/>
    <x v="0"/>
    <x v="0"/>
    <x v="0"/>
    <x v="0"/>
    <x v="8"/>
    <x v="1"/>
    <x v="1"/>
    <n v="6.3745467419391604"/>
    <n v="22.948368270981"/>
  </r>
  <r>
    <x v="0"/>
    <x v="0"/>
    <x v="0"/>
    <x v="0"/>
    <x v="0"/>
    <x v="8"/>
    <x v="1"/>
    <x v="2"/>
    <n v="6.9760951787939396"/>
    <n v="25.113942643658199"/>
  </r>
  <r>
    <x v="0"/>
    <x v="0"/>
    <x v="0"/>
    <x v="0"/>
    <x v="0"/>
    <x v="8"/>
    <x v="1"/>
    <x v="3"/>
    <n v="6.3745467419391604"/>
    <n v="22.948368270981"/>
  </r>
  <r>
    <x v="0"/>
    <x v="0"/>
    <x v="0"/>
    <x v="0"/>
    <x v="0"/>
    <x v="8"/>
    <x v="1"/>
    <x v="4"/>
    <n v="6.9760951787939396"/>
    <n v="25.113942643658199"/>
  </r>
  <r>
    <x v="0"/>
    <x v="0"/>
    <x v="0"/>
    <x v="0"/>
    <x v="0"/>
    <x v="8"/>
    <x v="1"/>
    <x v="5"/>
    <n v="6.3745467419391604"/>
    <n v="22.948368270981"/>
  </r>
  <r>
    <x v="0"/>
    <x v="0"/>
    <x v="0"/>
    <x v="0"/>
    <x v="0"/>
    <x v="8"/>
    <x v="1"/>
    <x v="6"/>
    <n v="6.3745467419391604"/>
    <n v="22.948368270981"/>
  </r>
  <r>
    <x v="0"/>
    <x v="0"/>
    <x v="0"/>
    <x v="0"/>
    <x v="0"/>
    <x v="8"/>
    <x v="1"/>
    <x v="7"/>
    <n v="6.3745467419391604"/>
    <n v="22.948368270981"/>
  </r>
  <r>
    <x v="0"/>
    <x v="0"/>
    <x v="0"/>
    <x v="0"/>
    <x v="0"/>
    <x v="8"/>
    <x v="1"/>
    <x v="8"/>
    <n v="6.3745467419391604"/>
    <n v="22.948368270981"/>
  </r>
  <r>
    <x v="0"/>
    <x v="0"/>
    <x v="0"/>
    <x v="0"/>
    <x v="0"/>
    <x v="8"/>
    <x v="1"/>
    <x v="9"/>
    <n v="6.3745467419391604"/>
    <n v="22.948368270981"/>
  </r>
  <r>
    <x v="0"/>
    <x v="0"/>
    <x v="0"/>
    <x v="0"/>
    <x v="0"/>
    <x v="8"/>
    <x v="1"/>
    <x v="10"/>
    <n v="6.3745467419391604"/>
    <n v="22.948368270981"/>
  </r>
  <r>
    <x v="0"/>
    <x v="0"/>
    <x v="0"/>
    <x v="0"/>
    <x v="0"/>
    <x v="8"/>
    <x v="1"/>
    <x v="11"/>
    <n v="6.3745467419391604"/>
    <n v="22.948368270981"/>
  </r>
  <r>
    <x v="0"/>
    <x v="0"/>
    <x v="0"/>
    <x v="0"/>
    <x v="0"/>
    <x v="8"/>
    <x v="2"/>
    <x v="0"/>
    <n v="6.3745467419391604"/>
    <n v="22.948368270981"/>
  </r>
  <r>
    <x v="0"/>
    <x v="0"/>
    <x v="0"/>
    <x v="0"/>
    <x v="0"/>
    <x v="8"/>
    <x v="2"/>
    <x v="1"/>
    <n v="6.3745467419391604"/>
    <n v="22.948368270981"/>
  </r>
  <r>
    <x v="0"/>
    <x v="0"/>
    <x v="0"/>
    <x v="0"/>
    <x v="0"/>
    <x v="8"/>
    <x v="2"/>
    <x v="2"/>
    <n v="6.3745467419391604"/>
    <n v="22.948368270981"/>
  </r>
  <r>
    <x v="0"/>
    <x v="0"/>
    <x v="0"/>
    <x v="0"/>
    <x v="0"/>
    <x v="8"/>
    <x v="2"/>
    <x v="3"/>
    <n v="6.3745467419391604"/>
    <n v="22.948368270981"/>
  </r>
  <r>
    <x v="0"/>
    <x v="0"/>
    <x v="0"/>
    <x v="0"/>
    <x v="0"/>
    <x v="8"/>
    <x v="2"/>
    <x v="4"/>
    <n v="6.3745467419391604"/>
    <n v="22.948368270981"/>
  </r>
  <r>
    <x v="0"/>
    <x v="0"/>
    <x v="0"/>
    <x v="0"/>
    <x v="0"/>
    <x v="8"/>
    <x v="2"/>
    <x v="5"/>
    <n v="6.3745467419391604"/>
    <n v="22.948368270981"/>
  </r>
  <r>
    <x v="0"/>
    <x v="0"/>
    <x v="0"/>
    <x v="0"/>
    <x v="0"/>
    <x v="8"/>
    <x v="2"/>
    <x v="6"/>
    <n v="6.3745467419391604"/>
    <n v="22.948368270981"/>
  </r>
  <r>
    <x v="0"/>
    <x v="0"/>
    <x v="0"/>
    <x v="0"/>
    <x v="0"/>
    <x v="8"/>
    <x v="2"/>
    <x v="7"/>
    <n v="6.3745467419391604"/>
    <n v="22.948368270981"/>
  </r>
  <r>
    <x v="0"/>
    <x v="0"/>
    <x v="0"/>
    <x v="0"/>
    <x v="0"/>
    <x v="8"/>
    <x v="2"/>
    <x v="8"/>
    <n v="6.3745467419391604"/>
    <n v="22.948368270981"/>
  </r>
  <r>
    <x v="0"/>
    <x v="0"/>
    <x v="0"/>
    <x v="0"/>
    <x v="0"/>
    <x v="8"/>
    <x v="2"/>
    <x v="9"/>
    <n v="6.3745467419391604"/>
    <n v="22.948368270981"/>
  </r>
  <r>
    <x v="0"/>
    <x v="0"/>
    <x v="0"/>
    <x v="0"/>
    <x v="0"/>
    <x v="8"/>
    <x v="2"/>
    <x v="10"/>
    <n v="6.3745467419391604"/>
    <n v="22.948368270981"/>
  </r>
  <r>
    <x v="0"/>
    <x v="0"/>
    <x v="0"/>
    <x v="0"/>
    <x v="0"/>
    <x v="8"/>
    <x v="2"/>
    <x v="11"/>
    <n v="6.3745467419391604"/>
    <n v="22.948368270981"/>
  </r>
  <r>
    <x v="0"/>
    <x v="0"/>
    <x v="0"/>
    <x v="0"/>
    <x v="1"/>
    <x v="9"/>
    <x v="0"/>
    <x v="0"/>
    <n v="7.4705630184238796"/>
    <n v="26.894026866326001"/>
  </r>
  <r>
    <x v="0"/>
    <x v="0"/>
    <x v="0"/>
    <x v="0"/>
    <x v="1"/>
    <x v="9"/>
    <x v="0"/>
    <x v="1"/>
    <n v="5.4514797894063101"/>
    <n v="19.625327241862699"/>
  </r>
  <r>
    <x v="0"/>
    <x v="0"/>
    <x v="0"/>
    <x v="0"/>
    <x v="1"/>
    <x v="9"/>
    <x v="0"/>
    <x v="2"/>
    <n v="5.4514797894063101"/>
    <n v="19.625327241862699"/>
  </r>
  <r>
    <x v="0"/>
    <x v="0"/>
    <x v="0"/>
    <x v="0"/>
    <x v="1"/>
    <x v="9"/>
    <x v="0"/>
    <x v="3"/>
    <n v="5.1788604642998797"/>
    <n v="18.6438976714796"/>
  </r>
  <r>
    <x v="0"/>
    <x v="0"/>
    <x v="0"/>
    <x v="0"/>
    <x v="1"/>
    <x v="9"/>
    <x v="0"/>
    <x v="4"/>
    <n v="5.1788604642998797"/>
    <n v="18.6438976714796"/>
  </r>
  <r>
    <x v="0"/>
    <x v="0"/>
    <x v="0"/>
    <x v="0"/>
    <x v="1"/>
    <x v="9"/>
    <x v="0"/>
    <x v="5"/>
    <n v="5.1788604642998797"/>
    <n v="18.6438976714796"/>
  </r>
  <r>
    <x v="0"/>
    <x v="0"/>
    <x v="0"/>
    <x v="0"/>
    <x v="1"/>
    <x v="9"/>
    <x v="0"/>
    <x v="6"/>
    <n v="5.1788604642998797"/>
    <n v="18.6438976714796"/>
  </r>
  <r>
    <x v="0"/>
    <x v="0"/>
    <x v="0"/>
    <x v="0"/>
    <x v="1"/>
    <x v="9"/>
    <x v="0"/>
    <x v="7"/>
    <n v="5.1788604642998797"/>
    <n v="18.6438976714796"/>
  </r>
  <r>
    <x v="0"/>
    <x v="0"/>
    <x v="0"/>
    <x v="0"/>
    <x v="1"/>
    <x v="9"/>
    <x v="0"/>
    <x v="8"/>
    <n v="5.1788604642998797"/>
    <n v="18.6438976714796"/>
  </r>
  <r>
    <x v="0"/>
    <x v="0"/>
    <x v="0"/>
    <x v="0"/>
    <x v="1"/>
    <x v="9"/>
    <x v="0"/>
    <x v="9"/>
    <n v="5.1788604642998797"/>
    <n v="18.6438976714796"/>
  </r>
  <r>
    <x v="0"/>
    <x v="0"/>
    <x v="0"/>
    <x v="0"/>
    <x v="1"/>
    <x v="9"/>
    <x v="0"/>
    <x v="10"/>
    <n v="5.1788604642998797"/>
    <n v="18.6438976714796"/>
  </r>
  <r>
    <x v="0"/>
    <x v="0"/>
    <x v="0"/>
    <x v="0"/>
    <x v="1"/>
    <x v="9"/>
    <x v="0"/>
    <x v="11"/>
    <n v="5.1788604642998797"/>
    <n v="18.6438976714796"/>
  </r>
  <r>
    <x v="0"/>
    <x v="0"/>
    <x v="0"/>
    <x v="0"/>
    <x v="1"/>
    <x v="9"/>
    <x v="1"/>
    <x v="0"/>
    <n v="4.9062913725852697"/>
    <n v="17.662648941307001"/>
  </r>
  <r>
    <x v="0"/>
    <x v="0"/>
    <x v="0"/>
    <x v="0"/>
    <x v="1"/>
    <x v="9"/>
    <x v="1"/>
    <x v="1"/>
    <n v="4.6609314683198901"/>
    <n v="16.779353285951601"/>
  </r>
  <r>
    <x v="0"/>
    <x v="0"/>
    <x v="0"/>
    <x v="0"/>
    <x v="1"/>
    <x v="9"/>
    <x v="1"/>
    <x v="2"/>
    <n v="4.6609314683198901"/>
    <n v="16.779353285951601"/>
  </r>
  <r>
    <x v="0"/>
    <x v="0"/>
    <x v="0"/>
    <x v="0"/>
    <x v="1"/>
    <x v="9"/>
    <x v="1"/>
    <x v="3"/>
    <n v="4.6609314683198901"/>
    <n v="16.779353285951601"/>
  </r>
  <r>
    <x v="0"/>
    <x v="0"/>
    <x v="0"/>
    <x v="0"/>
    <x v="1"/>
    <x v="9"/>
    <x v="1"/>
    <x v="4"/>
    <n v="4.6609314683198901"/>
    <n v="16.779353285951601"/>
  </r>
  <r>
    <x v="0"/>
    <x v="0"/>
    <x v="0"/>
    <x v="0"/>
    <x v="1"/>
    <x v="9"/>
    <x v="1"/>
    <x v="5"/>
    <n v="4.9062913725852697"/>
    <n v="17.662648941307001"/>
  </r>
  <r>
    <x v="0"/>
    <x v="0"/>
    <x v="0"/>
    <x v="0"/>
    <x v="1"/>
    <x v="9"/>
    <x v="1"/>
    <x v="6"/>
    <n v="4.6609314683198901"/>
    <n v="16.779353285951601"/>
  </r>
  <r>
    <x v="0"/>
    <x v="0"/>
    <x v="0"/>
    <x v="0"/>
    <x v="1"/>
    <x v="9"/>
    <x v="1"/>
    <x v="7"/>
    <n v="4.6609314683198901"/>
    <n v="16.779353285951601"/>
  </r>
  <r>
    <x v="0"/>
    <x v="0"/>
    <x v="0"/>
    <x v="0"/>
    <x v="1"/>
    <x v="9"/>
    <x v="1"/>
    <x v="8"/>
    <n v="4.6609314683198901"/>
    <n v="16.779353285951601"/>
  </r>
  <r>
    <x v="0"/>
    <x v="0"/>
    <x v="0"/>
    <x v="0"/>
    <x v="1"/>
    <x v="9"/>
    <x v="1"/>
    <x v="9"/>
    <n v="4.6609314683198901"/>
    <n v="16.779353285951601"/>
  </r>
  <r>
    <x v="0"/>
    <x v="0"/>
    <x v="0"/>
    <x v="0"/>
    <x v="1"/>
    <x v="9"/>
    <x v="1"/>
    <x v="10"/>
    <n v="4.6609314683198901"/>
    <n v="16.779353285951601"/>
  </r>
  <r>
    <x v="0"/>
    <x v="0"/>
    <x v="0"/>
    <x v="0"/>
    <x v="1"/>
    <x v="9"/>
    <x v="1"/>
    <x v="11"/>
    <n v="4.6609314683198901"/>
    <n v="16.779353285951601"/>
  </r>
  <r>
    <x v="0"/>
    <x v="0"/>
    <x v="0"/>
    <x v="0"/>
    <x v="1"/>
    <x v="9"/>
    <x v="2"/>
    <x v="0"/>
    <n v="3.8569554728461699"/>
    <n v="13.8850397022462"/>
  </r>
  <r>
    <x v="0"/>
    <x v="0"/>
    <x v="0"/>
    <x v="0"/>
    <x v="1"/>
    <x v="9"/>
    <x v="2"/>
    <x v="1"/>
    <n v="3.6640623635677501"/>
    <n v="13.1906245088439"/>
  </r>
  <r>
    <x v="0"/>
    <x v="0"/>
    <x v="0"/>
    <x v="0"/>
    <x v="1"/>
    <x v="9"/>
    <x v="2"/>
    <x v="2"/>
    <n v="3.8569554728461699"/>
    <n v="13.8850397022462"/>
  </r>
  <r>
    <x v="0"/>
    <x v="0"/>
    <x v="0"/>
    <x v="0"/>
    <x v="1"/>
    <x v="9"/>
    <x v="2"/>
    <x v="3"/>
    <n v="3.6640623635677501"/>
    <n v="13.1906245088439"/>
  </r>
  <r>
    <x v="0"/>
    <x v="0"/>
    <x v="0"/>
    <x v="0"/>
    <x v="1"/>
    <x v="9"/>
    <x v="2"/>
    <x v="4"/>
    <n v="3.6640623635677501"/>
    <n v="13.1906245088439"/>
  </r>
  <r>
    <x v="0"/>
    <x v="0"/>
    <x v="0"/>
    <x v="0"/>
    <x v="1"/>
    <x v="9"/>
    <x v="2"/>
    <x v="5"/>
    <n v="3.8569554728461699"/>
    <n v="13.8850397022462"/>
  </r>
  <r>
    <x v="0"/>
    <x v="0"/>
    <x v="0"/>
    <x v="0"/>
    <x v="1"/>
    <x v="9"/>
    <x v="2"/>
    <x v="6"/>
    <n v="3.6640623635677501"/>
    <n v="13.1906245088439"/>
  </r>
  <r>
    <x v="0"/>
    <x v="0"/>
    <x v="0"/>
    <x v="0"/>
    <x v="1"/>
    <x v="9"/>
    <x v="2"/>
    <x v="7"/>
    <n v="3.6640623635677501"/>
    <n v="13.1906245088439"/>
  </r>
  <r>
    <x v="0"/>
    <x v="0"/>
    <x v="0"/>
    <x v="0"/>
    <x v="1"/>
    <x v="9"/>
    <x v="2"/>
    <x v="8"/>
    <n v="3.6640623635677501"/>
    <n v="13.1906245088439"/>
  </r>
  <r>
    <x v="0"/>
    <x v="0"/>
    <x v="0"/>
    <x v="0"/>
    <x v="1"/>
    <x v="9"/>
    <x v="2"/>
    <x v="9"/>
    <n v="3.8569554728461699"/>
    <n v="13.8850397022462"/>
  </r>
  <r>
    <x v="0"/>
    <x v="0"/>
    <x v="0"/>
    <x v="0"/>
    <x v="1"/>
    <x v="9"/>
    <x v="2"/>
    <x v="10"/>
    <n v="3.8569554728461699"/>
    <n v="13.8850397022462"/>
  </r>
  <r>
    <x v="0"/>
    <x v="0"/>
    <x v="0"/>
    <x v="0"/>
    <x v="1"/>
    <x v="9"/>
    <x v="2"/>
    <x v="11"/>
    <n v="3.8569554728461699"/>
    <n v="13.8850397022462"/>
  </r>
  <r>
    <x v="0"/>
    <x v="0"/>
    <x v="0"/>
    <x v="0"/>
    <x v="1"/>
    <x v="10"/>
    <x v="0"/>
    <x v="0"/>
    <n v="11.838159414913701"/>
    <n v="42.617373893689198"/>
  </r>
  <r>
    <x v="0"/>
    <x v="0"/>
    <x v="0"/>
    <x v="0"/>
    <x v="1"/>
    <x v="10"/>
    <x v="0"/>
    <x v="1"/>
    <n v="11.838159414913701"/>
    <n v="42.617373893689198"/>
  </r>
  <r>
    <x v="0"/>
    <x v="0"/>
    <x v="0"/>
    <x v="0"/>
    <x v="1"/>
    <x v="10"/>
    <x v="0"/>
    <x v="2"/>
    <n v="11.838159414913701"/>
    <n v="42.617373893689198"/>
  </r>
  <r>
    <x v="0"/>
    <x v="0"/>
    <x v="0"/>
    <x v="0"/>
    <x v="1"/>
    <x v="10"/>
    <x v="0"/>
    <x v="3"/>
    <n v="11.838159414913701"/>
    <n v="42.617373893689198"/>
  </r>
  <r>
    <x v="0"/>
    <x v="0"/>
    <x v="0"/>
    <x v="0"/>
    <x v="1"/>
    <x v="10"/>
    <x v="0"/>
    <x v="4"/>
    <n v="11.838159414913701"/>
    <n v="42.617373893689198"/>
  </r>
  <r>
    <x v="0"/>
    <x v="0"/>
    <x v="0"/>
    <x v="0"/>
    <x v="1"/>
    <x v="10"/>
    <x v="0"/>
    <x v="5"/>
    <n v="14.1248260815803"/>
    <n v="50.849373893689197"/>
  </r>
  <r>
    <x v="0"/>
    <x v="0"/>
    <x v="0"/>
    <x v="0"/>
    <x v="1"/>
    <x v="10"/>
    <x v="0"/>
    <x v="6"/>
    <n v="11.838159414913701"/>
    <n v="42.617373893689198"/>
  </r>
  <r>
    <x v="0"/>
    <x v="0"/>
    <x v="0"/>
    <x v="0"/>
    <x v="1"/>
    <x v="10"/>
    <x v="0"/>
    <x v="7"/>
    <n v="11.838159414913701"/>
    <n v="42.617373893689198"/>
  </r>
  <r>
    <x v="0"/>
    <x v="0"/>
    <x v="0"/>
    <x v="0"/>
    <x v="1"/>
    <x v="10"/>
    <x v="0"/>
    <x v="8"/>
    <n v="11.838159414913701"/>
    <n v="42.617373893689198"/>
  </r>
  <r>
    <x v="0"/>
    <x v="0"/>
    <x v="0"/>
    <x v="0"/>
    <x v="1"/>
    <x v="10"/>
    <x v="0"/>
    <x v="9"/>
    <n v="11.838159414913701"/>
    <n v="42.617373893689198"/>
  </r>
  <r>
    <x v="0"/>
    <x v="0"/>
    <x v="0"/>
    <x v="0"/>
    <x v="1"/>
    <x v="10"/>
    <x v="0"/>
    <x v="10"/>
    <n v="11.838159414913701"/>
    <n v="42.617373893689198"/>
  </r>
  <r>
    <x v="0"/>
    <x v="0"/>
    <x v="0"/>
    <x v="0"/>
    <x v="1"/>
    <x v="10"/>
    <x v="0"/>
    <x v="11"/>
    <n v="11.838159414913701"/>
    <n v="42.617373893689198"/>
  </r>
  <r>
    <x v="0"/>
    <x v="0"/>
    <x v="0"/>
    <x v="0"/>
    <x v="1"/>
    <x v="10"/>
    <x v="1"/>
    <x v="0"/>
    <n v="11.838159414913701"/>
    <n v="42.617373893689198"/>
  </r>
  <r>
    <x v="0"/>
    <x v="0"/>
    <x v="0"/>
    <x v="0"/>
    <x v="1"/>
    <x v="10"/>
    <x v="1"/>
    <x v="1"/>
    <n v="11.838159414913701"/>
    <n v="42.617373893689198"/>
  </r>
  <r>
    <x v="0"/>
    <x v="0"/>
    <x v="0"/>
    <x v="0"/>
    <x v="1"/>
    <x v="10"/>
    <x v="1"/>
    <x v="2"/>
    <n v="11.838159414913701"/>
    <n v="42.617373893689198"/>
  </r>
  <r>
    <x v="0"/>
    <x v="0"/>
    <x v="0"/>
    <x v="0"/>
    <x v="1"/>
    <x v="10"/>
    <x v="1"/>
    <x v="3"/>
    <n v="11.838159414913701"/>
    <n v="42.617373893689198"/>
  </r>
  <r>
    <x v="0"/>
    <x v="0"/>
    <x v="0"/>
    <x v="0"/>
    <x v="1"/>
    <x v="10"/>
    <x v="1"/>
    <x v="4"/>
    <n v="11.037626672735501"/>
    <n v="39.735456021847803"/>
  </r>
  <r>
    <x v="0"/>
    <x v="0"/>
    <x v="0"/>
    <x v="0"/>
    <x v="1"/>
    <x v="10"/>
    <x v="1"/>
    <x v="5"/>
    <n v="11.838159414913701"/>
    <n v="42.617373893689198"/>
  </r>
  <r>
    <x v="0"/>
    <x v="0"/>
    <x v="0"/>
    <x v="0"/>
    <x v="1"/>
    <x v="10"/>
    <x v="1"/>
    <x v="6"/>
    <n v="9.1354495518374694"/>
    <n v="32.887618386614903"/>
  </r>
  <r>
    <x v="0"/>
    <x v="0"/>
    <x v="0"/>
    <x v="0"/>
    <x v="1"/>
    <x v="10"/>
    <x v="1"/>
    <x v="7"/>
    <n v="11.838159414913701"/>
    <n v="42.617373893689198"/>
  </r>
  <r>
    <x v="0"/>
    <x v="0"/>
    <x v="0"/>
    <x v="0"/>
    <x v="1"/>
    <x v="10"/>
    <x v="1"/>
    <x v="8"/>
    <n v="11.838159414913701"/>
    <n v="42.617373893689198"/>
  </r>
  <r>
    <x v="0"/>
    <x v="0"/>
    <x v="0"/>
    <x v="0"/>
    <x v="1"/>
    <x v="10"/>
    <x v="1"/>
    <x v="9"/>
    <n v="11.838159414913701"/>
    <n v="42.617373893689198"/>
  </r>
  <r>
    <x v="0"/>
    <x v="0"/>
    <x v="0"/>
    <x v="0"/>
    <x v="1"/>
    <x v="10"/>
    <x v="1"/>
    <x v="10"/>
    <n v="11.838159414913701"/>
    <n v="42.617373893689198"/>
  </r>
  <r>
    <x v="0"/>
    <x v="0"/>
    <x v="0"/>
    <x v="0"/>
    <x v="1"/>
    <x v="10"/>
    <x v="1"/>
    <x v="11"/>
    <n v="11.838159414913701"/>
    <n v="42.617373893689198"/>
  </r>
  <r>
    <x v="0"/>
    <x v="0"/>
    <x v="0"/>
    <x v="0"/>
    <x v="1"/>
    <x v="10"/>
    <x v="2"/>
    <x v="0"/>
    <n v="11.838159414913701"/>
    <n v="42.617373893689198"/>
  </r>
  <r>
    <x v="0"/>
    <x v="0"/>
    <x v="0"/>
    <x v="0"/>
    <x v="1"/>
    <x v="10"/>
    <x v="2"/>
    <x v="1"/>
    <n v="11.838159414913701"/>
    <n v="42.617373893689198"/>
  </r>
  <r>
    <x v="0"/>
    <x v="0"/>
    <x v="0"/>
    <x v="0"/>
    <x v="1"/>
    <x v="10"/>
    <x v="2"/>
    <x v="2"/>
    <n v="11.838159414913701"/>
    <n v="42.617373893689198"/>
  </r>
  <r>
    <x v="0"/>
    <x v="0"/>
    <x v="0"/>
    <x v="0"/>
    <x v="1"/>
    <x v="10"/>
    <x v="2"/>
    <x v="3"/>
    <n v="11.838159414913701"/>
    <n v="42.617373893689198"/>
  </r>
  <r>
    <x v="0"/>
    <x v="0"/>
    <x v="0"/>
    <x v="0"/>
    <x v="1"/>
    <x v="10"/>
    <x v="2"/>
    <x v="4"/>
    <n v="11.838159414913701"/>
    <n v="42.617373893689198"/>
  </r>
  <r>
    <x v="0"/>
    <x v="0"/>
    <x v="0"/>
    <x v="0"/>
    <x v="1"/>
    <x v="10"/>
    <x v="2"/>
    <x v="5"/>
    <n v="11.838159414913701"/>
    <n v="42.617373893689198"/>
  </r>
  <r>
    <x v="0"/>
    <x v="0"/>
    <x v="0"/>
    <x v="0"/>
    <x v="1"/>
    <x v="10"/>
    <x v="2"/>
    <x v="6"/>
    <n v="11.838159414913701"/>
    <n v="42.617373893689198"/>
  </r>
  <r>
    <x v="0"/>
    <x v="0"/>
    <x v="0"/>
    <x v="0"/>
    <x v="1"/>
    <x v="10"/>
    <x v="2"/>
    <x v="7"/>
    <n v="11.838159414913701"/>
    <n v="42.617373893689198"/>
  </r>
  <r>
    <x v="0"/>
    <x v="0"/>
    <x v="0"/>
    <x v="0"/>
    <x v="1"/>
    <x v="10"/>
    <x v="2"/>
    <x v="8"/>
    <n v="11.838159414913701"/>
    <n v="42.617373893689198"/>
  </r>
  <r>
    <x v="0"/>
    <x v="0"/>
    <x v="0"/>
    <x v="0"/>
    <x v="1"/>
    <x v="10"/>
    <x v="2"/>
    <x v="9"/>
    <n v="11.838159414913701"/>
    <n v="42.617373893689198"/>
  </r>
  <r>
    <x v="0"/>
    <x v="0"/>
    <x v="0"/>
    <x v="0"/>
    <x v="1"/>
    <x v="10"/>
    <x v="2"/>
    <x v="10"/>
    <n v="11.838159414913701"/>
    <n v="42.617373893689198"/>
  </r>
  <r>
    <x v="0"/>
    <x v="0"/>
    <x v="0"/>
    <x v="0"/>
    <x v="1"/>
    <x v="10"/>
    <x v="2"/>
    <x v="11"/>
    <n v="11.838159414913701"/>
    <n v="42.617373893689198"/>
  </r>
  <r>
    <x v="0"/>
    <x v="0"/>
    <x v="0"/>
    <x v="0"/>
    <x v="1"/>
    <x v="11"/>
    <x v="0"/>
    <x v="0"/>
    <n v="10.150531045251499"/>
    <n v="36.5419117629054"/>
  </r>
  <r>
    <x v="0"/>
    <x v="0"/>
    <x v="0"/>
    <x v="0"/>
    <x v="1"/>
    <x v="11"/>
    <x v="0"/>
    <x v="1"/>
    <n v="10.150531045251499"/>
    <n v="36.5419117629054"/>
  </r>
  <r>
    <x v="0"/>
    <x v="0"/>
    <x v="0"/>
    <x v="0"/>
    <x v="1"/>
    <x v="11"/>
    <x v="0"/>
    <x v="2"/>
    <n v="10.150531045251499"/>
    <n v="36.5419117629054"/>
  </r>
  <r>
    <x v="0"/>
    <x v="0"/>
    <x v="0"/>
    <x v="0"/>
    <x v="1"/>
    <x v="11"/>
    <x v="0"/>
    <x v="3"/>
    <n v="10.150531045251499"/>
    <n v="36.5419117629054"/>
  </r>
  <r>
    <x v="0"/>
    <x v="0"/>
    <x v="0"/>
    <x v="0"/>
    <x v="1"/>
    <x v="11"/>
    <x v="0"/>
    <x v="4"/>
    <n v="10.150531045251499"/>
    <n v="36.5419117629054"/>
  </r>
  <r>
    <x v="0"/>
    <x v="0"/>
    <x v="0"/>
    <x v="0"/>
    <x v="1"/>
    <x v="11"/>
    <x v="0"/>
    <x v="5"/>
    <n v="12.4371977119182"/>
    <n v="44.773911762905399"/>
  </r>
  <r>
    <x v="0"/>
    <x v="0"/>
    <x v="0"/>
    <x v="0"/>
    <x v="1"/>
    <x v="11"/>
    <x v="0"/>
    <x v="6"/>
    <n v="10.150531045251499"/>
    <n v="36.5419117629054"/>
  </r>
  <r>
    <x v="0"/>
    <x v="0"/>
    <x v="0"/>
    <x v="0"/>
    <x v="1"/>
    <x v="11"/>
    <x v="0"/>
    <x v="7"/>
    <n v="10.150531045251499"/>
    <n v="36.5419117629054"/>
  </r>
  <r>
    <x v="0"/>
    <x v="0"/>
    <x v="0"/>
    <x v="0"/>
    <x v="1"/>
    <x v="11"/>
    <x v="0"/>
    <x v="8"/>
    <n v="10.150531045251499"/>
    <n v="36.5419117629054"/>
  </r>
  <r>
    <x v="0"/>
    <x v="0"/>
    <x v="0"/>
    <x v="0"/>
    <x v="1"/>
    <x v="11"/>
    <x v="0"/>
    <x v="9"/>
    <n v="10.150531045251499"/>
    <n v="36.5419117629054"/>
  </r>
  <r>
    <x v="0"/>
    <x v="0"/>
    <x v="0"/>
    <x v="0"/>
    <x v="1"/>
    <x v="11"/>
    <x v="0"/>
    <x v="10"/>
    <n v="10.150531045251499"/>
    <n v="36.5419117629054"/>
  </r>
  <r>
    <x v="0"/>
    <x v="0"/>
    <x v="0"/>
    <x v="0"/>
    <x v="1"/>
    <x v="11"/>
    <x v="0"/>
    <x v="11"/>
    <n v="10.150531045251499"/>
    <n v="36.5419117629054"/>
  </r>
  <r>
    <x v="0"/>
    <x v="0"/>
    <x v="0"/>
    <x v="0"/>
    <x v="1"/>
    <x v="11"/>
    <x v="1"/>
    <x v="0"/>
    <n v="10.150531045251499"/>
    <n v="36.5419117629054"/>
  </r>
  <r>
    <x v="0"/>
    <x v="0"/>
    <x v="0"/>
    <x v="0"/>
    <x v="1"/>
    <x v="11"/>
    <x v="1"/>
    <x v="1"/>
    <n v="10.150531045251499"/>
    <n v="36.5419117629054"/>
  </r>
  <r>
    <x v="0"/>
    <x v="0"/>
    <x v="0"/>
    <x v="0"/>
    <x v="1"/>
    <x v="11"/>
    <x v="1"/>
    <x v="2"/>
    <n v="10.150531045251499"/>
    <n v="36.5419117629054"/>
  </r>
  <r>
    <x v="0"/>
    <x v="0"/>
    <x v="0"/>
    <x v="0"/>
    <x v="1"/>
    <x v="11"/>
    <x v="1"/>
    <x v="3"/>
    <n v="10.150531045251499"/>
    <n v="36.5419117629054"/>
  </r>
  <r>
    <x v="0"/>
    <x v="0"/>
    <x v="0"/>
    <x v="0"/>
    <x v="1"/>
    <x v="11"/>
    <x v="1"/>
    <x v="4"/>
    <n v="10.150531045251499"/>
    <n v="36.5419117629054"/>
  </r>
  <r>
    <x v="0"/>
    <x v="0"/>
    <x v="0"/>
    <x v="0"/>
    <x v="1"/>
    <x v="11"/>
    <x v="1"/>
    <x v="5"/>
    <n v="10.150531045251499"/>
    <n v="36.5419117629054"/>
  </r>
  <r>
    <x v="0"/>
    <x v="0"/>
    <x v="0"/>
    <x v="0"/>
    <x v="1"/>
    <x v="11"/>
    <x v="1"/>
    <x v="6"/>
    <n v="10.150531045251499"/>
    <n v="36.5419117629054"/>
  </r>
  <r>
    <x v="0"/>
    <x v="0"/>
    <x v="0"/>
    <x v="0"/>
    <x v="1"/>
    <x v="11"/>
    <x v="1"/>
    <x v="7"/>
    <n v="10.150531045251499"/>
    <n v="36.5419117629054"/>
  </r>
  <r>
    <x v="0"/>
    <x v="0"/>
    <x v="0"/>
    <x v="0"/>
    <x v="1"/>
    <x v="11"/>
    <x v="1"/>
    <x v="8"/>
    <n v="10.150531045251499"/>
    <n v="36.5419117629054"/>
  </r>
  <r>
    <x v="0"/>
    <x v="0"/>
    <x v="0"/>
    <x v="0"/>
    <x v="1"/>
    <x v="11"/>
    <x v="1"/>
    <x v="9"/>
    <n v="10.150531045251499"/>
    <n v="36.5419117629054"/>
  </r>
  <r>
    <x v="0"/>
    <x v="0"/>
    <x v="0"/>
    <x v="0"/>
    <x v="1"/>
    <x v="11"/>
    <x v="1"/>
    <x v="10"/>
    <n v="10.150531045251499"/>
    <n v="36.5419117629054"/>
  </r>
  <r>
    <x v="0"/>
    <x v="0"/>
    <x v="0"/>
    <x v="0"/>
    <x v="1"/>
    <x v="11"/>
    <x v="1"/>
    <x v="11"/>
    <n v="10.150531045251499"/>
    <n v="36.5419117629054"/>
  </r>
  <r>
    <x v="0"/>
    <x v="0"/>
    <x v="0"/>
    <x v="0"/>
    <x v="1"/>
    <x v="11"/>
    <x v="2"/>
    <x v="0"/>
    <n v="10.150531045251499"/>
    <n v="36.5419117629054"/>
  </r>
  <r>
    <x v="0"/>
    <x v="0"/>
    <x v="0"/>
    <x v="0"/>
    <x v="1"/>
    <x v="11"/>
    <x v="2"/>
    <x v="1"/>
    <n v="10.150531045251499"/>
    <n v="36.5419117629054"/>
  </r>
  <r>
    <x v="0"/>
    <x v="0"/>
    <x v="0"/>
    <x v="0"/>
    <x v="1"/>
    <x v="11"/>
    <x v="2"/>
    <x v="2"/>
    <n v="10.150531045251499"/>
    <n v="36.5419117629054"/>
  </r>
  <r>
    <x v="0"/>
    <x v="0"/>
    <x v="0"/>
    <x v="0"/>
    <x v="1"/>
    <x v="11"/>
    <x v="2"/>
    <x v="3"/>
    <n v="10.150531045251499"/>
    <n v="36.5419117629054"/>
  </r>
  <r>
    <x v="0"/>
    <x v="0"/>
    <x v="0"/>
    <x v="0"/>
    <x v="1"/>
    <x v="11"/>
    <x v="2"/>
    <x v="4"/>
    <n v="10.150531045251499"/>
    <n v="36.5419117629054"/>
  </r>
  <r>
    <x v="0"/>
    <x v="0"/>
    <x v="0"/>
    <x v="0"/>
    <x v="1"/>
    <x v="11"/>
    <x v="2"/>
    <x v="5"/>
    <n v="10.150531045251499"/>
    <n v="36.5419117629054"/>
  </r>
  <r>
    <x v="0"/>
    <x v="0"/>
    <x v="0"/>
    <x v="0"/>
    <x v="1"/>
    <x v="11"/>
    <x v="2"/>
    <x v="6"/>
    <n v="10.150531045251499"/>
    <n v="36.5419117629054"/>
  </r>
  <r>
    <x v="0"/>
    <x v="0"/>
    <x v="0"/>
    <x v="0"/>
    <x v="1"/>
    <x v="11"/>
    <x v="2"/>
    <x v="7"/>
    <n v="10.150531045251499"/>
    <n v="36.5419117629054"/>
  </r>
  <r>
    <x v="0"/>
    <x v="0"/>
    <x v="0"/>
    <x v="0"/>
    <x v="1"/>
    <x v="11"/>
    <x v="2"/>
    <x v="8"/>
    <n v="10.150531045251499"/>
    <n v="36.5419117629054"/>
  </r>
  <r>
    <x v="0"/>
    <x v="0"/>
    <x v="0"/>
    <x v="0"/>
    <x v="1"/>
    <x v="11"/>
    <x v="2"/>
    <x v="9"/>
    <n v="10.150531045251499"/>
    <n v="36.5419117629054"/>
  </r>
  <r>
    <x v="0"/>
    <x v="0"/>
    <x v="0"/>
    <x v="0"/>
    <x v="1"/>
    <x v="11"/>
    <x v="2"/>
    <x v="10"/>
    <n v="10.150531045251499"/>
    <n v="36.5419117629054"/>
  </r>
  <r>
    <x v="0"/>
    <x v="0"/>
    <x v="0"/>
    <x v="0"/>
    <x v="1"/>
    <x v="11"/>
    <x v="2"/>
    <x v="11"/>
    <n v="10.150531045251499"/>
    <n v="36.5419117629054"/>
  </r>
  <r>
    <x v="0"/>
    <x v="0"/>
    <x v="0"/>
    <x v="0"/>
    <x v="1"/>
    <x v="12"/>
    <x v="0"/>
    <x v="0"/>
    <n v="5.6222650374372103"/>
    <n v="20.240154134773999"/>
  </r>
  <r>
    <x v="0"/>
    <x v="0"/>
    <x v="0"/>
    <x v="0"/>
    <x v="1"/>
    <x v="12"/>
    <x v="0"/>
    <x v="1"/>
    <n v="5.2731933302981799"/>
    <n v="18.983495989073401"/>
  </r>
  <r>
    <x v="0"/>
    <x v="0"/>
    <x v="0"/>
    <x v="0"/>
    <x v="1"/>
    <x v="12"/>
    <x v="0"/>
    <x v="2"/>
    <n v="5.9667172932240602"/>
    <n v="21.4801822556066"/>
  </r>
  <r>
    <x v="0"/>
    <x v="0"/>
    <x v="0"/>
    <x v="0"/>
    <x v="1"/>
    <x v="12"/>
    <x v="0"/>
    <x v="3"/>
    <n v="5.2731933302981799"/>
    <n v="18.983495989073401"/>
  </r>
  <r>
    <x v="0"/>
    <x v="0"/>
    <x v="0"/>
    <x v="0"/>
    <x v="1"/>
    <x v="12"/>
    <x v="0"/>
    <x v="4"/>
    <n v="5.2731933302981799"/>
    <n v="18.983495989073401"/>
  </r>
  <r>
    <x v="0"/>
    <x v="0"/>
    <x v="0"/>
    <x v="0"/>
    <x v="1"/>
    <x v="12"/>
    <x v="0"/>
    <x v="5"/>
    <n v="5.0094883281471603"/>
    <n v="18.034157981329798"/>
  </r>
  <r>
    <x v="0"/>
    <x v="0"/>
    <x v="0"/>
    <x v="0"/>
    <x v="1"/>
    <x v="12"/>
    <x v="0"/>
    <x v="6"/>
    <n v="5.0094883281471603"/>
    <n v="18.034157981329798"/>
  </r>
  <r>
    <x v="0"/>
    <x v="0"/>
    <x v="0"/>
    <x v="0"/>
    <x v="1"/>
    <x v="12"/>
    <x v="0"/>
    <x v="7"/>
    <n v="5.0094883281471603"/>
    <n v="18.034157981329798"/>
  </r>
  <r>
    <x v="0"/>
    <x v="0"/>
    <x v="0"/>
    <x v="0"/>
    <x v="1"/>
    <x v="12"/>
    <x v="0"/>
    <x v="8"/>
    <n v="5.0094883281471603"/>
    <n v="18.034157981329798"/>
  </r>
  <r>
    <x v="0"/>
    <x v="0"/>
    <x v="0"/>
    <x v="0"/>
    <x v="1"/>
    <x v="12"/>
    <x v="0"/>
    <x v="9"/>
    <n v="5.0094883281471603"/>
    <n v="18.034157981329798"/>
  </r>
  <r>
    <x v="0"/>
    <x v="0"/>
    <x v="0"/>
    <x v="0"/>
    <x v="1"/>
    <x v="12"/>
    <x v="0"/>
    <x v="10"/>
    <n v="5.0094883281471603"/>
    <n v="18.034157981329798"/>
  </r>
  <r>
    <x v="0"/>
    <x v="0"/>
    <x v="0"/>
    <x v="0"/>
    <x v="1"/>
    <x v="12"/>
    <x v="0"/>
    <x v="11"/>
    <n v="5.0094883281471603"/>
    <n v="18.034157981329798"/>
  </r>
  <r>
    <x v="0"/>
    <x v="0"/>
    <x v="0"/>
    <x v="0"/>
    <x v="1"/>
    <x v="12"/>
    <x v="1"/>
    <x v="0"/>
    <n v="5.0094883281471301"/>
    <n v="18.034157981329699"/>
  </r>
  <r>
    <x v="0"/>
    <x v="0"/>
    <x v="0"/>
    <x v="0"/>
    <x v="1"/>
    <x v="12"/>
    <x v="1"/>
    <x v="1"/>
    <n v="4.5585909518466696"/>
    <n v="16.410927426648001"/>
  </r>
  <r>
    <x v="0"/>
    <x v="0"/>
    <x v="0"/>
    <x v="0"/>
    <x v="1"/>
    <x v="12"/>
    <x v="1"/>
    <x v="2"/>
    <n v="5.0094883281471301"/>
    <n v="18.034157981329699"/>
  </r>
  <r>
    <x v="0"/>
    <x v="0"/>
    <x v="0"/>
    <x v="0"/>
    <x v="1"/>
    <x v="12"/>
    <x v="1"/>
    <x v="3"/>
    <n v="4.5585909518466696"/>
    <n v="16.410927426648001"/>
  </r>
  <r>
    <x v="0"/>
    <x v="0"/>
    <x v="0"/>
    <x v="0"/>
    <x v="1"/>
    <x v="12"/>
    <x v="1"/>
    <x v="4"/>
    <n v="5.0094883281471301"/>
    <n v="18.034157981329699"/>
  </r>
  <r>
    <x v="0"/>
    <x v="0"/>
    <x v="0"/>
    <x v="0"/>
    <x v="1"/>
    <x v="12"/>
    <x v="1"/>
    <x v="5"/>
    <n v="5.0094883281471301"/>
    <n v="18.034157981329699"/>
  </r>
  <r>
    <x v="0"/>
    <x v="0"/>
    <x v="0"/>
    <x v="0"/>
    <x v="1"/>
    <x v="12"/>
    <x v="1"/>
    <x v="6"/>
    <n v="5.0094883281471301"/>
    <n v="18.034157981329699"/>
  </r>
  <r>
    <x v="0"/>
    <x v="0"/>
    <x v="0"/>
    <x v="0"/>
    <x v="1"/>
    <x v="12"/>
    <x v="1"/>
    <x v="7"/>
    <n v="4.75896857610367"/>
    <n v="17.1322868739732"/>
  </r>
  <r>
    <x v="0"/>
    <x v="0"/>
    <x v="0"/>
    <x v="0"/>
    <x v="1"/>
    <x v="12"/>
    <x v="1"/>
    <x v="8"/>
    <n v="4.75896857610367"/>
    <n v="17.1322868739732"/>
  </r>
  <r>
    <x v="0"/>
    <x v="0"/>
    <x v="0"/>
    <x v="0"/>
    <x v="1"/>
    <x v="12"/>
    <x v="1"/>
    <x v="9"/>
    <n v="5.0094883281471301"/>
    <n v="18.034157981329699"/>
  </r>
  <r>
    <x v="0"/>
    <x v="0"/>
    <x v="0"/>
    <x v="0"/>
    <x v="1"/>
    <x v="12"/>
    <x v="1"/>
    <x v="10"/>
    <n v="4.75896857610367"/>
    <n v="17.1322868739732"/>
  </r>
  <r>
    <x v="0"/>
    <x v="0"/>
    <x v="0"/>
    <x v="0"/>
    <x v="1"/>
    <x v="12"/>
    <x v="1"/>
    <x v="11"/>
    <n v="5.0094883281471301"/>
    <n v="18.034157981329699"/>
  </r>
  <r>
    <x v="0"/>
    <x v="0"/>
    <x v="0"/>
    <x v="0"/>
    <x v="1"/>
    <x v="12"/>
    <x v="2"/>
    <x v="0"/>
    <n v="3.9828586414079998"/>
    <n v="14.3382911090688"/>
  </r>
  <r>
    <x v="0"/>
    <x v="0"/>
    <x v="0"/>
    <x v="0"/>
    <x v="1"/>
    <x v="12"/>
    <x v="2"/>
    <x v="1"/>
    <n v="3.7836703737014798"/>
    <n v="13.6212133453253"/>
  </r>
  <r>
    <x v="0"/>
    <x v="0"/>
    <x v="0"/>
    <x v="0"/>
    <x v="1"/>
    <x v="12"/>
    <x v="2"/>
    <x v="2"/>
    <n v="4.5585909518466696"/>
    <n v="16.410927426648001"/>
  </r>
  <r>
    <x v="0"/>
    <x v="0"/>
    <x v="0"/>
    <x v="0"/>
    <x v="1"/>
    <x v="12"/>
    <x v="2"/>
    <x v="3"/>
    <n v="3.7836703737014798"/>
    <n v="13.6212133453253"/>
  </r>
  <r>
    <x v="0"/>
    <x v="0"/>
    <x v="0"/>
    <x v="0"/>
    <x v="1"/>
    <x v="12"/>
    <x v="2"/>
    <x v="4"/>
    <n v="3.7836703737014798"/>
    <n v="13.6212133453253"/>
  </r>
  <r>
    <x v="0"/>
    <x v="0"/>
    <x v="0"/>
    <x v="0"/>
    <x v="1"/>
    <x v="12"/>
    <x v="2"/>
    <x v="5"/>
    <n v="3.9828586414079998"/>
    <n v="14.3382911090688"/>
  </r>
  <r>
    <x v="0"/>
    <x v="0"/>
    <x v="0"/>
    <x v="0"/>
    <x v="1"/>
    <x v="12"/>
    <x v="2"/>
    <x v="6"/>
    <n v="3.7836703737014798"/>
    <n v="13.6212133453253"/>
  </r>
  <r>
    <x v="0"/>
    <x v="0"/>
    <x v="0"/>
    <x v="0"/>
    <x v="1"/>
    <x v="12"/>
    <x v="2"/>
    <x v="7"/>
    <n v="3.7836703737014798"/>
    <n v="13.6212133453253"/>
  </r>
  <r>
    <x v="0"/>
    <x v="0"/>
    <x v="0"/>
    <x v="0"/>
    <x v="1"/>
    <x v="12"/>
    <x v="2"/>
    <x v="8"/>
    <n v="3.7836703737014798"/>
    <n v="13.6212133453253"/>
  </r>
  <r>
    <x v="0"/>
    <x v="0"/>
    <x v="0"/>
    <x v="0"/>
    <x v="1"/>
    <x v="12"/>
    <x v="2"/>
    <x v="9"/>
    <n v="3.9828586414079998"/>
    <n v="14.3382911090688"/>
  </r>
  <r>
    <x v="0"/>
    <x v="0"/>
    <x v="0"/>
    <x v="0"/>
    <x v="1"/>
    <x v="12"/>
    <x v="2"/>
    <x v="10"/>
    <n v="3.9828586414079998"/>
    <n v="14.3382911090688"/>
  </r>
  <r>
    <x v="0"/>
    <x v="0"/>
    <x v="0"/>
    <x v="0"/>
    <x v="1"/>
    <x v="12"/>
    <x v="2"/>
    <x v="11"/>
    <n v="3.9828586414079998"/>
    <n v="14.3382911090688"/>
  </r>
  <r>
    <x v="0"/>
    <x v="0"/>
    <x v="0"/>
    <x v="0"/>
    <x v="1"/>
    <x v="13"/>
    <x v="0"/>
    <x v="0"/>
    <n v="5.2731933302981604"/>
    <n v="18.983495989073401"/>
  </r>
  <r>
    <x v="0"/>
    <x v="0"/>
    <x v="0"/>
    <x v="0"/>
    <x v="1"/>
    <x v="13"/>
    <x v="0"/>
    <x v="1"/>
    <n v="5.2731933302981604"/>
    <n v="18.983495989073401"/>
  </r>
  <r>
    <x v="0"/>
    <x v="0"/>
    <x v="0"/>
    <x v="0"/>
    <x v="1"/>
    <x v="13"/>
    <x v="0"/>
    <x v="2"/>
    <n v="6.3157890003630799"/>
    <n v="22.736840401307099"/>
  </r>
  <r>
    <x v="0"/>
    <x v="0"/>
    <x v="0"/>
    <x v="0"/>
    <x v="1"/>
    <x v="13"/>
    <x v="0"/>
    <x v="3"/>
    <n v="5.2731933302981604"/>
    <n v="18.983495989073401"/>
  </r>
  <r>
    <x v="0"/>
    <x v="0"/>
    <x v="0"/>
    <x v="0"/>
    <x v="1"/>
    <x v="13"/>
    <x v="0"/>
    <x v="4"/>
    <n v="5.2731933302981604"/>
    <n v="18.983495989073401"/>
  </r>
  <r>
    <x v="0"/>
    <x v="0"/>
    <x v="0"/>
    <x v="0"/>
    <x v="1"/>
    <x v="13"/>
    <x v="0"/>
    <x v="5"/>
    <n v="5.0094883281471398"/>
    <n v="18.034157981329699"/>
  </r>
  <r>
    <x v="0"/>
    <x v="0"/>
    <x v="0"/>
    <x v="0"/>
    <x v="1"/>
    <x v="13"/>
    <x v="0"/>
    <x v="6"/>
    <n v="5.0094883281471398"/>
    <n v="18.034157981329699"/>
  </r>
  <r>
    <x v="0"/>
    <x v="0"/>
    <x v="0"/>
    <x v="0"/>
    <x v="1"/>
    <x v="13"/>
    <x v="0"/>
    <x v="7"/>
    <n v="5.0094883281471398"/>
    <n v="18.034157981329699"/>
  </r>
  <r>
    <x v="0"/>
    <x v="0"/>
    <x v="0"/>
    <x v="0"/>
    <x v="1"/>
    <x v="13"/>
    <x v="0"/>
    <x v="8"/>
    <n v="5.0094883281471398"/>
    <n v="18.034157981329699"/>
  </r>
  <r>
    <x v="0"/>
    <x v="0"/>
    <x v="0"/>
    <x v="0"/>
    <x v="1"/>
    <x v="13"/>
    <x v="0"/>
    <x v="9"/>
    <n v="5.0094883281471398"/>
    <n v="18.034157981329699"/>
  </r>
  <r>
    <x v="0"/>
    <x v="0"/>
    <x v="0"/>
    <x v="0"/>
    <x v="1"/>
    <x v="13"/>
    <x v="0"/>
    <x v="10"/>
    <n v="5.0094883281471398"/>
    <n v="18.034157981329699"/>
  </r>
  <r>
    <x v="0"/>
    <x v="0"/>
    <x v="0"/>
    <x v="0"/>
    <x v="1"/>
    <x v="13"/>
    <x v="0"/>
    <x v="11"/>
    <n v="5.0094883281471398"/>
    <n v="18.034157981329699"/>
  </r>
  <r>
    <x v="0"/>
    <x v="0"/>
    <x v="0"/>
    <x v="0"/>
    <x v="1"/>
    <x v="13"/>
    <x v="1"/>
    <x v="0"/>
    <n v="5.0094883281471398"/>
    <n v="18.034157981329699"/>
  </r>
  <r>
    <x v="0"/>
    <x v="0"/>
    <x v="0"/>
    <x v="0"/>
    <x v="1"/>
    <x v="13"/>
    <x v="1"/>
    <x v="1"/>
    <n v="4.5585909518466696"/>
    <n v="16.410927426648001"/>
  </r>
  <r>
    <x v="0"/>
    <x v="0"/>
    <x v="0"/>
    <x v="0"/>
    <x v="1"/>
    <x v="13"/>
    <x v="1"/>
    <x v="2"/>
    <n v="5.0094883281471398"/>
    <n v="18.034157981329699"/>
  </r>
  <r>
    <x v="0"/>
    <x v="0"/>
    <x v="0"/>
    <x v="0"/>
    <x v="1"/>
    <x v="13"/>
    <x v="1"/>
    <x v="3"/>
    <n v="4.5585909518466696"/>
    <n v="16.410927426648001"/>
  </r>
  <r>
    <x v="0"/>
    <x v="0"/>
    <x v="0"/>
    <x v="0"/>
    <x v="1"/>
    <x v="13"/>
    <x v="1"/>
    <x v="4"/>
    <n v="5.0094883281471398"/>
    <n v="18.034157981329699"/>
  </r>
  <r>
    <x v="0"/>
    <x v="0"/>
    <x v="0"/>
    <x v="0"/>
    <x v="1"/>
    <x v="13"/>
    <x v="1"/>
    <x v="5"/>
    <n v="5.0094883281471398"/>
    <n v="18.034157981329699"/>
  </r>
  <r>
    <x v="0"/>
    <x v="0"/>
    <x v="0"/>
    <x v="0"/>
    <x v="1"/>
    <x v="13"/>
    <x v="1"/>
    <x v="6"/>
    <n v="5.0094883281471398"/>
    <n v="18.034157981329699"/>
  </r>
  <r>
    <x v="0"/>
    <x v="0"/>
    <x v="0"/>
    <x v="0"/>
    <x v="1"/>
    <x v="13"/>
    <x v="1"/>
    <x v="7"/>
    <n v="4.75896857610367"/>
    <n v="17.1322868739732"/>
  </r>
  <r>
    <x v="0"/>
    <x v="0"/>
    <x v="0"/>
    <x v="0"/>
    <x v="1"/>
    <x v="13"/>
    <x v="1"/>
    <x v="8"/>
    <n v="4.75896857610367"/>
    <n v="17.1322868739732"/>
  </r>
  <r>
    <x v="0"/>
    <x v="0"/>
    <x v="0"/>
    <x v="0"/>
    <x v="1"/>
    <x v="13"/>
    <x v="1"/>
    <x v="9"/>
    <n v="5.0094883281471398"/>
    <n v="18.034157981329699"/>
  </r>
  <r>
    <x v="0"/>
    <x v="0"/>
    <x v="0"/>
    <x v="0"/>
    <x v="1"/>
    <x v="13"/>
    <x v="1"/>
    <x v="10"/>
    <n v="4.75896857610367"/>
    <n v="17.1322868739732"/>
  </r>
  <r>
    <x v="0"/>
    <x v="0"/>
    <x v="0"/>
    <x v="0"/>
    <x v="1"/>
    <x v="13"/>
    <x v="1"/>
    <x v="11"/>
    <n v="5.0094883281471398"/>
    <n v="18.034157981329699"/>
  </r>
  <r>
    <x v="0"/>
    <x v="0"/>
    <x v="0"/>
    <x v="0"/>
    <x v="1"/>
    <x v="13"/>
    <x v="2"/>
    <x v="0"/>
    <n v="3.9828586414080198"/>
    <n v="14.3382911090689"/>
  </r>
  <r>
    <x v="0"/>
    <x v="0"/>
    <x v="0"/>
    <x v="0"/>
    <x v="1"/>
    <x v="13"/>
    <x v="2"/>
    <x v="1"/>
    <n v="3.7836703737014998"/>
    <n v="13.621213345325399"/>
  </r>
  <r>
    <x v="0"/>
    <x v="0"/>
    <x v="0"/>
    <x v="0"/>
    <x v="1"/>
    <x v="13"/>
    <x v="2"/>
    <x v="2"/>
    <n v="4.5585909518466696"/>
    <n v="16.410927426648001"/>
  </r>
  <r>
    <x v="0"/>
    <x v="0"/>
    <x v="0"/>
    <x v="0"/>
    <x v="1"/>
    <x v="13"/>
    <x v="2"/>
    <x v="3"/>
    <n v="3.7836703737014998"/>
    <n v="13.621213345325399"/>
  </r>
  <r>
    <x v="0"/>
    <x v="0"/>
    <x v="0"/>
    <x v="0"/>
    <x v="1"/>
    <x v="13"/>
    <x v="2"/>
    <x v="4"/>
    <n v="3.7836703737014998"/>
    <n v="13.621213345325399"/>
  </r>
  <r>
    <x v="0"/>
    <x v="0"/>
    <x v="0"/>
    <x v="0"/>
    <x v="1"/>
    <x v="13"/>
    <x v="2"/>
    <x v="5"/>
    <n v="3.9828586414080198"/>
    <n v="14.3382911090689"/>
  </r>
  <r>
    <x v="0"/>
    <x v="0"/>
    <x v="0"/>
    <x v="0"/>
    <x v="1"/>
    <x v="13"/>
    <x v="2"/>
    <x v="6"/>
    <n v="3.7836703737014998"/>
    <n v="13.621213345325399"/>
  </r>
  <r>
    <x v="0"/>
    <x v="0"/>
    <x v="0"/>
    <x v="0"/>
    <x v="1"/>
    <x v="13"/>
    <x v="2"/>
    <x v="7"/>
    <n v="3.7836703737014998"/>
    <n v="13.621213345325399"/>
  </r>
  <r>
    <x v="0"/>
    <x v="0"/>
    <x v="0"/>
    <x v="0"/>
    <x v="1"/>
    <x v="13"/>
    <x v="2"/>
    <x v="8"/>
    <n v="3.7836703737014998"/>
    <n v="13.621213345325399"/>
  </r>
  <r>
    <x v="0"/>
    <x v="0"/>
    <x v="0"/>
    <x v="0"/>
    <x v="1"/>
    <x v="13"/>
    <x v="2"/>
    <x v="9"/>
    <n v="3.9828586414080198"/>
    <n v="14.3382911090689"/>
  </r>
  <r>
    <x v="0"/>
    <x v="0"/>
    <x v="0"/>
    <x v="0"/>
    <x v="1"/>
    <x v="13"/>
    <x v="2"/>
    <x v="10"/>
    <n v="3.9828586414080198"/>
    <n v="14.3382911090689"/>
  </r>
  <r>
    <x v="0"/>
    <x v="0"/>
    <x v="0"/>
    <x v="0"/>
    <x v="1"/>
    <x v="13"/>
    <x v="2"/>
    <x v="11"/>
    <n v="3.9828586414080198"/>
    <n v="14.3382911090689"/>
  </r>
  <r>
    <x v="0"/>
    <x v="0"/>
    <x v="0"/>
    <x v="0"/>
    <x v="1"/>
    <x v="14"/>
    <x v="0"/>
    <x v="0"/>
    <n v="11.278399371267099"/>
    <n v="40.602237736561598"/>
  </r>
  <r>
    <x v="0"/>
    <x v="0"/>
    <x v="0"/>
    <x v="0"/>
    <x v="1"/>
    <x v="14"/>
    <x v="0"/>
    <x v="1"/>
    <n v="11.278399371267099"/>
    <n v="40.602237736561598"/>
  </r>
  <r>
    <x v="0"/>
    <x v="0"/>
    <x v="0"/>
    <x v="0"/>
    <x v="1"/>
    <x v="14"/>
    <x v="0"/>
    <x v="2"/>
    <n v="11.278399371267099"/>
    <n v="40.602237736561598"/>
  </r>
  <r>
    <x v="0"/>
    <x v="0"/>
    <x v="0"/>
    <x v="0"/>
    <x v="1"/>
    <x v="14"/>
    <x v="0"/>
    <x v="3"/>
    <n v="11.278399371267099"/>
    <n v="40.602237736561598"/>
  </r>
  <r>
    <x v="0"/>
    <x v="0"/>
    <x v="0"/>
    <x v="0"/>
    <x v="1"/>
    <x v="14"/>
    <x v="0"/>
    <x v="4"/>
    <n v="11.278399371267099"/>
    <n v="40.602237736561598"/>
  </r>
  <r>
    <x v="0"/>
    <x v="0"/>
    <x v="0"/>
    <x v="0"/>
    <x v="1"/>
    <x v="14"/>
    <x v="0"/>
    <x v="5"/>
    <n v="13.819140112007901"/>
    <n v="49.748904403228302"/>
  </r>
  <r>
    <x v="0"/>
    <x v="0"/>
    <x v="0"/>
    <x v="0"/>
    <x v="1"/>
    <x v="14"/>
    <x v="0"/>
    <x v="6"/>
    <n v="11.278399371267099"/>
    <n v="40.602237736561598"/>
  </r>
  <r>
    <x v="0"/>
    <x v="0"/>
    <x v="0"/>
    <x v="0"/>
    <x v="1"/>
    <x v="14"/>
    <x v="0"/>
    <x v="7"/>
    <n v="11.278399371267099"/>
    <n v="40.602237736561598"/>
  </r>
  <r>
    <x v="0"/>
    <x v="0"/>
    <x v="0"/>
    <x v="0"/>
    <x v="1"/>
    <x v="14"/>
    <x v="0"/>
    <x v="8"/>
    <n v="11.278399371267099"/>
    <n v="40.602237736561598"/>
  </r>
  <r>
    <x v="0"/>
    <x v="0"/>
    <x v="0"/>
    <x v="0"/>
    <x v="1"/>
    <x v="14"/>
    <x v="0"/>
    <x v="9"/>
    <n v="11.278399371267099"/>
    <n v="40.602237736561598"/>
  </r>
  <r>
    <x v="0"/>
    <x v="0"/>
    <x v="0"/>
    <x v="0"/>
    <x v="1"/>
    <x v="14"/>
    <x v="0"/>
    <x v="10"/>
    <n v="11.278399371267099"/>
    <n v="40.602237736561598"/>
  </r>
  <r>
    <x v="0"/>
    <x v="0"/>
    <x v="0"/>
    <x v="0"/>
    <x v="1"/>
    <x v="14"/>
    <x v="0"/>
    <x v="11"/>
    <n v="11.278399371267099"/>
    <n v="40.602237736561598"/>
  </r>
  <r>
    <x v="0"/>
    <x v="0"/>
    <x v="0"/>
    <x v="0"/>
    <x v="1"/>
    <x v="14"/>
    <x v="1"/>
    <x v="0"/>
    <n v="11.278399371267099"/>
    <n v="40.602237736561598"/>
  </r>
  <r>
    <x v="0"/>
    <x v="0"/>
    <x v="0"/>
    <x v="0"/>
    <x v="1"/>
    <x v="14"/>
    <x v="1"/>
    <x v="1"/>
    <n v="11.278399371267099"/>
    <n v="40.602237736561598"/>
  </r>
  <r>
    <x v="0"/>
    <x v="0"/>
    <x v="0"/>
    <x v="0"/>
    <x v="1"/>
    <x v="14"/>
    <x v="1"/>
    <x v="2"/>
    <n v="11.278399371267099"/>
    <n v="40.602237736561598"/>
  </r>
  <r>
    <x v="0"/>
    <x v="0"/>
    <x v="0"/>
    <x v="0"/>
    <x v="1"/>
    <x v="14"/>
    <x v="1"/>
    <x v="3"/>
    <n v="11.278399371267099"/>
    <n v="40.602237736561598"/>
  </r>
  <r>
    <x v="0"/>
    <x v="0"/>
    <x v="0"/>
    <x v="0"/>
    <x v="1"/>
    <x v="14"/>
    <x v="1"/>
    <x v="4"/>
    <n v="11.278399371267099"/>
    <n v="40.602237736561598"/>
  </r>
  <r>
    <x v="0"/>
    <x v="0"/>
    <x v="0"/>
    <x v="0"/>
    <x v="1"/>
    <x v="14"/>
    <x v="1"/>
    <x v="5"/>
    <n v="11.278399371267099"/>
    <n v="40.602237736561598"/>
  </r>
  <r>
    <x v="0"/>
    <x v="0"/>
    <x v="0"/>
    <x v="0"/>
    <x v="1"/>
    <x v="14"/>
    <x v="1"/>
    <x v="6"/>
    <n v="9.8487130655792807"/>
    <n v="35.455367036085399"/>
  </r>
  <r>
    <x v="0"/>
    <x v="0"/>
    <x v="0"/>
    <x v="0"/>
    <x v="1"/>
    <x v="14"/>
    <x v="1"/>
    <x v="7"/>
    <n v="11.278399371267099"/>
    <n v="40.602237736561598"/>
  </r>
  <r>
    <x v="0"/>
    <x v="0"/>
    <x v="0"/>
    <x v="0"/>
    <x v="1"/>
    <x v="14"/>
    <x v="1"/>
    <x v="8"/>
    <n v="11.278399371267099"/>
    <n v="40.602237736561598"/>
  </r>
  <r>
    <x v="0"/>
    <x v="0"/>
    <x v="0"/>
    <x v="0"/>
    <x v="1"/>
    <x v="14"/>
    <x v="1"/>
    <x v="9"/>
    <n v="11.278399371267099"/>
    <n v="40.602237736561598"/>
  </r>
  <r>
    <x v="0"/>
    <x v="0"/>
    <x v="0"/>
    <x v="0"/>
    <x v="1"/>
    <x v="14"/>
    <x v="1"/>
    <x v="10"/>
    <n v="11.278399371267099"/>
    <n v="40.602237736561598"/>
  </r>
  <r>
    <x v="0"/>
    <x v="0"/>
    <x v="0"/>
    <x v="0"/>
    <x v="1"/>
    <x v="14"/>
    <x v="1"/>
    <x v="11"/>
    <n v="11.278399371267099"/>
    <n v="40.602237736561598"/>
  </r>
  <r>
    <x v="0"/>
    <x v="0"/>
    <x v="0"/>
    <x v="0"/>
    <x v="1"/>
    <x v="14"/>
    <x v="2"/>
    <x v="0"/>
    <n v="11.278399371267099"/>
    <n v="40.602237736561598"/>
  </r>
  <r>
    <x v="0"/>
    <x v="0"/>
    <x v="0"/>
    <x v="0"/>
    <x v="1"/>
    <x v="14"/>
    <x v="2"/>
    <x v="1"/>
    <n v="11.278399371267099"/>
    <n v="40.602237736561598"/>
  </r>
  <r>
    <x v="0"/>
    <x v="0"/>
    <x v="0"/>
    <x v="0"/>
    <x v="1"/>
    <x v="14"/>
    <x v="2"/>
    <x v="2"/>
    <n v="11.278399371267099"/>
    <n v="40.602237736561598"/>
  </r>
  <r>
    <x v="0"/>
    <x v="0"/>
    <x v="0"/>
    <x v="0"/>
    <x v="1"/>
    <x v="14"/>
    <x v="2"/>
    <x v="3"/>
    <n v="11.278399371267099"/>
    <n v="40.602237736561598"/>
  </r>
  <r>
    <x v="0"/>
    <x v="0"/>
    <x v="0"/>
    <x v="0"/>
    <x v="1"/>
    <x v="14"/>
    <x v="2"/>
    <x v="4"/>
    <n v="11.278399371267099"/>
    <n v="40.602237736561598"/>
  </r>
  <r>
    <x v="0"/>
    <x v="0"/>
    <x v="0"/>
    <x v="0"/>
    <x v="1"/>
    <x v="14"/>
    <x v="2"/>
    <x v="5"/>
    <n v="11.278399371267099"/>
    <n v="40.602237736561598"/>
  </r>
  <r>
    <x v="0"/>
    <x v="0"/>
    <x v="0"/>
    <x v="0"/>
    <x v="1"/>
    <x v="14"/>
    <x v="2"/>
    <x v="6"/>
    <n v="11.278399371267099"/>
    <n v="40.602237736561598"/>
  </r>
  <r>
    <x v="0"/>
    <x v="0"/>
    <x v="0"/>
    <x v="0"/>
    <x v="1"/>
    <x v="14"/>
    <x v="2"/>
    <x v="7"/>
    <n v="11.278399371267099"/>
    <n v="40.602237736561598"/>
  </r>
  <r>
    <x v="0"/>
    <x v="0"/>
    <x v="0"/>
    <x v="0"/>
    <x v="1"/>
    <x v="14"/>
    <x v="2"/>
    <x v="8"/>
    <n v="11.278399371267099"/>
    <n v="40.602237736561598"/>
  </r>
  <r>
    <x v="0"/>
    <x v="0"/>
    <x v="0"/>
    <x v="0"/>
    <x v="1"/>
    <x v="14"/>
    <x v="2"/>
    <x v="9"/>
    <n v="11.278399371267099"/>
    <n v="40.602237736561598"/>
  </r>
  <r>
    <x v="0"/>
    <x v="0"/>
    <x v="0"/>
    <x v="0"/>
    <x v="1"/>
    <x v="14"/>
    <x v="2"/>
    <x v="10"/>
    <n v="11.278399371267099"/>
    <n v="40.602237736561598"/>
  </r>
  <r>
    <x v="0"/>
    <x v="0"/>
    <x v="0"/>
    <x v="0"/>
    <x v="1"/>
    <x v="14"/>
    <x v="2"/>
    <x v="11"/>
    <n v="11.278399371267099"/>
    <n v="40.602237736561598"/>
  </r>
  <r>
    <x v="0"/>
    <x v="0"/>
    <x v="0"/>
    <x v="0"/>
    <x v="1"/>
    <x v="15"/>
    <x v="0"/>
    <x v="0"/>
    <n v="10.150531045251499"/>
    <n v="36.5419117629054"/>
  </r>
  <r>
    <x v="0"/>
    <x v="0"/>
    <x v="0"/>
    <x v="0"/>
    <x v="1"/>
    <x v="15"/>
    <x v="0"/>
    <x v="1"/>
    <n v="10.150531045251499"/>
    <n v="36.5419117629054"/>
  </r>
  <r>
    <x v="0"/>
    <x v="0"/>
    <x v="0"/>
    <x v="0"/>
    <x v="1"/>
    <x v="15"/>
    <x v="0"/>
    <x v="2"/>
    <n v="10.150531045251499"/>
    <n v="36.5419117629054"/>
  </r>
  <r>
    <x v="0"/>
    <x v="0"/>
    <x v="0"/>
    <x v="0"/>
    <x v="1"/>
    <x v="15"/>
    <x v="0"/>
    <x v="3"/>
    <n v="10.150531045251499"/>
    <n v="36.5419117629054"/>
  </r>
  <r>
    <x v="0"/>
    <x v="0"/>
    <x v="0"/>
    <x v="0"/>
    <x v="1"/>
    <x v="15"/>
    <x v="0"/>
    <x v="4"/>
    <n v="10.150531045251499"/>
    <n v="36.5419117629054"/>
  </r>
  <r>
    <x v="0"/>
    <x v="0"/>
    <x v="0"/>
    <x v="0"/>
    <x v="1"/>
    <x v="15"/>
    <x v="0"/>
    <x v="5"/>
    <n v="12.4371977119182"/>
    <n v="44.773911762905399"/>
  </r>
  <r>
    <x v="0"/>
    <x v="0"/>
    <x v="0"/>
    <x v="0"/>
    <x v="1"/>
    <x v="15"/>
    <x v="0"/>
    <x v="6"/>
    <n v="10.150531045251499"/>
    <n v="36.5419117629054"/>
  </r>
  <r>
    <x v="0"/>
    <x v="0"/>
    <x v="0"/>
    <x v="0"/>
    <x v="1"/>
    <x v="15"/>
    <x v="0"/>
    <x v="7"/>
    <n v="10.150531045251499"/>
    <n v="36.5419117629054"/>
  </r>
  <r>
    <x v="0"/>
    <x v="0"/>
    <x v="0"/>
    <x v="0"/>
    <x v="1"/>
    <x v="15"/>
    <x v="0"/>
    <x v="8"/>
    <n v="10.150531045251499"/>
    <n v="36.5419117629054"/>
  </r>
  <r>
    <x v="0"/>
    <x v="0"/>
    <x v="0"/>
    <x v="0"/>
    <x v="1"/>
    <x v="15"/>
    <x v="0"/>
    <x v="9"/>
    <n v="10.150531045251499"/>
    <n v="36.5419117629054"/>
  </r>
  <r>
    <x v="0"/>
    <x v="0"/>
    <x v="0"/>
    <x v="0"/>
    <x v="1"/>
    <x v="15"/>
    <x v="0"/>
    <x v="10"/>
    <n v="10.150531045251499"/>
    <n v="36.5419117629054"/>
  </r>
  <r>
    <x v="0"/>
    <x v="0"/>
    <x v="0"/>
    <x v="0"/>
    <x v="1"/>
    <x v="15"/>
    <x v="0"/>
    <x v="11"/>
    <n v="10.150531045251499"/>
    <n v="36.5419117629054"/>
  </r>
  <r>
    <x v="0"/>
    <x v="0"/>
    <x v="0"/>
    <x v="0"/>
    <x v="1"/>
    <x v="15"/>
    <x v="1"/>
    <x v="0"/>
    <n v="10.150531045251499"/>
    <n v="36.5419117629054"/>
  </r>
  <r>
    <x v="0"/>
    <x v="0"/>
    <x v="0"/>
    <x v="0"/>
    <x v="1"/>
    <x v="15"/>
    <x v="1"/>
    <x v="1"/>
    <n v="10.150531045251499"/>
    <n v="36.5419117629054"/>
  </r>
  <r>
    <x v="0"/>
    <x v="0"/>
    <x v="0"/>
    <x v="0"/>
    <x v="1"/>
    <x v="15"/>
    <x v="1"/>
    <x v="2"/>
    <n v="10.150531045251499"/>
    <n v="36.5419117629054"/>
  </r>
  <r>
    <x v="0"/>
    <x v="0"/>
    <x v="0"/>
    <x v="0"/>
    <x v="1"/>
    <x v="15"/>
    <x v="1"/>
    <x v="3"/>
    <n v="10.150531045251499"/>
    <n v="36.5419117629054"/>
  </r>
  <r>
    <x v="0"/>
    <x v="0"/>
    <x v="0"/>
    <x v="0"/>
    <x v="1"/>
    <x v="15"/>
    <x v="1"/>
    <x v="4"/>
    <n v="10.150531045251499"/>
    <n v="36.5419117629054"/>
  </r>
  <r>
    <x v="0"/>
    <x v="0"/>
    <x v="0"/>
    <x v="0"/>
    <x v="1"/>
    <x v="15"/>
    <x v="1"/>
    <x v="5"/>
    <n v="10.150531045251499"/>
    <n v="36.5419117629054"/>
  </r>
  <r>
    <x v="0"/>
    <x v="0"/>
    <x v="0"/>
    <x v="0"/>
    <x v="1"/>
    <x v="15"/>
    <x v="1"/>
    <x v="6"/>
    <n v="10.150531045251499"/>
    <n v="36.5419117629054"/>
  </r>
  <r>
    <x v="0"/>
    <x v="0"/>
    <x v="0"/>
    <x v="0"/>
    <x v="1"/>
    <x v="15"/>
    <x v="1"/>
    <x v="7"/>
    <n v="10.150531045251499"/>
    <n v="36.5419117629054"/>
  </r>
  <r>
    <x v="0"/>
    <x v="0"/>
    <x v="0"/>
    <x v="0"/>
    <x v="1"/>
    <x v="15"/>
    <x v="1"/>
    <x v="8"/>
    <n v="10.150531045251499"/>
    <n v="36.5419117629054"/>
  </r>
  <r>
    <x v="0"/>
    <x v="0"/>
    <x v="0"/>
    <x v="0"/>
    <x v="1"/>
    <x v="15"/>
    <x v="1"/>
    <x v="9"/>
    <n v="10.150531045251499"/>
    <n v="36.5419117629054"/>
  </r>
  <r>
    <x v="0"/>
    <x v="0"/>
    <x v="0"/>
    <x v="0"/>
    <x v="1"/>
    <x v="15"/>
    <x v="1"/>
    <x v="10"/>
    <n v="10.150531045251499"/>
    <n v="36.5419117629054"/>
  </r>
  <r>
    <x v="0"/>
    <x v="0"/>
    <x v="0"/>
    <x v="0"/>
    <x v="1"/>
    <x v="15"/>
    <x v="1"/>
    <x v="11"/>
    <n v="10.150531045251499"/>
    <n v="36.5419117629054"/>
  </r>
  <r>
    <x v="0"/>
    <x v="0"/>
    <x v="0"/>
    <x v="0"/>
    <x v="1"/>
    <x v="15"/>
    <x v="2"/>
    <x v="0"/>
    <n v="10.150531045251499"/>
    <n v="36.5419117629054"/>
  </r>
  <r>
    <x v="0"/>
    <x v="0"/>
    <x v="0"/>
    <x v="0"/>
    <x v="1"/>
    <x v="15"/>
    <x v="2"/>
    <x v="1"/>
    <n v="10.150531045251499"/>
    <n v="36.5419117629054"/>
  </r>
  <r>
    <x v="0"/>
    <x v="0"/>
    <x v="0"/>
    <x v="0"/>
    <x v="1"/>
    <x v="15"/>
    <x v="2"/>
    <x v="2"/>
    <n v="10.150531045251499"/>
    <n v="36.5419117629054"/>
  </r>
  <r>
    <x v="0"/>
    <x v="0"/>
    <x v="0"/>
    <x v="0"/>
    <x v="1"/>
    <x v="15"/>
    <x v="2"/>
    <x v="3"/>
    <n v="10.150531045251499"/>
    <n v="36.5419117629054"/>
  </r>
  <r>
    <x v="0"/>
    <x v="0"/>
    <x v="0"/>
    <x v="0"/>
    <x v="1"/>
    <x v="15"/>
    <x v="2"/>
    <x v="4"/>
    <n v="10.150531045251499"/>
    <n v="36.5419117629054"/>
  </r>
  <r>
    <x v="0"/>
    <x v="0"/>
    <x v="0"/>
    <x v="0"/>
    <x v="1"/>
    <x v="15"/>
    <x v="2"/>
    <x v="5"/>
    <n v="10.150531045251499"/>
    <n v="36.5419117629054"/>
  </r>
  <r>
    <x v="0"/>
    <x v="0"/>
    <x v="0"/>
    <x v="0"/>
    <x v="1"/>
    <x v="15"/>
    <x v="2"/>
    <x v="6"/>
    <n v="10.150531045251499"/>
    <n v="36.5419117629054"/>
  </r>
  <r>
    <x v="0"/>
    <x v="0"/>
    <x v="0"/>
    <x v="0"/>
    <x v="1"/>
    <x v="15"/>
    <x v="2"/>
    <x v="7"/>
    <n v="10.150531045251499"/>
    <n v="36.5419117629054"/>
  </r>
  <r>
    <x v="0"/>
    <x v="0"/>
    <x v="0"/>
    <x v="0"/>
    <x v="1"/>
    <x v="15"/>
    <x v="2"/>
    <x v="8"/>
    <n v="10.150531045251499"/>
    <n v="36.5419117629054"/>
  </r>
  <r>
    <x v="0"/>
    <x v="0"/>
    <x v="0"/>
    <x v="0"/>
    <x v="1"/>
    <x v="15"/>
    <x v="2"/>
    <x v="9"/>
    <n v="10.150531045251499"/>
    <n v="36.5419117629054"/>
  </r>
  <r>
    <x v="0"/>
    <x v="0"/>
    <x v="0"/>
    <x v="0"/>
    <x v="1"/>
    <x v="15"/>
    <x v="2"/>
    <x v="10"/>
    <n v="10.150531045251499"/>
    <n v="36.5419117629054"/>
  </r>
  <r>
    <x v="0"/>
    <x v="0"/>
    <x v="0"/>
    <x v="0"/>
    <x v="1"/>
    <x v="15"/>
    <x v="2"/>
    <x v="11"/>
    <n v="10.150531045251499"/>
    <n v="36.5419117629054"/>
  </r>
  <r>
    <x v="0"/>
    <x v="0"/>
    <x v="0"/>
    <x v="0"/>
    <x v="1"/>
    <x v="16"/>
    <x v="0"/>
    <x v="0"/>
    <n v="7.7510998957652504"/>
    <n v="27.903959624754901"/>
  </r>
  <r>
    <x v="0"/>
    <x v="0"/>
    <x v="0"/>
    <x v="0"/>
    <x v="1"/>
    <x v="16"/>
    <x v="0"/>
    <x v="1"/>
    <n v="7.5885888646813404"/>
    <n v="27.318919912852799"/>
  </r>
  <r>
    <x v="0"/>
    <x v="0"/>
    <x v="0"/>
    <x v="0"/>
    <x v="1"/>
    <x v="16"/>
    <x v="0"/>
    <x v="2"/>
    <n v="9.1791628075845093"/>
    <n v="33.044986107304197"/>
  </r>
  <r>
    <x v="0"/>
    <x v="0"/>
    <x v="0"/>
    <x v="0"/>
    <x v="1"/>
    <x v="16"/>
    <x v="0"/>
    <x v="3"/>
    <n v="7.2091140858111604"/>
    <n v="25.9528107089202"/>
  </r>
  <r>
    <x v="0"/>
    <x v="0"/>
    <x v="0"/>
    <x v="0"/>
    <x v="1"/>
    <x v="16"/>
    <x v="0"/>
    <x v="4"/>
    <n v="7.2091140858111604"/>
    <n v="25.9528107089202"/>
  </r>
  <r>
    <x v="0"/>
    <x v="0"/>
    <x v="0"/>
    <x v="0"/>
    <x v="1"/>
    <x v="16"/>
    <x v="0"/>
    <x v="5"/>
    <n v="7.2091140858111604"/>
    <n v="25.9528107089202"/>
  </r>
  <r>
    <x v="0"/>
    <x v="0"/>
    <x v="0"/>
    <x v="0"/>
    <x v="1"/>
    <x v="16"/>
    <x v="0"/>
    <x v="6"/>
    <n v="7.2091140858111604"/>
    <n v="25.9528107089202"/>
  </r>
  <r>
    <x v="0"/>
    <x v="0"/>
    <x v="0"/>
    <x v="0"/>
    <x v="1"/>
    <x v="16"/>
    <x v="0"/>
    <x v="7"/>
    <n v="7.5885888646813404"/>
    <n v="27.318919912852799"/>
  </r>
  <r>
    <x v="0"/>
    <x v="0"/>
    <x v="0"/>
    <x v="0"/>
    <x v="1"/>
    <x v="16"/>
    <x v="0"/>
    <x v="8"/>
    <n v="7.5885888646813404"/>
    <n v="27.318919912852799"/>
  </r>
  <r>
    <x v="0"/>
    <x v="0"/>
    <x v="0"/>
    <x v="0"/>
    <x v="1"/>
    <x v="16"/>
    <x v="0"/>
    <x v="9"/>
    <n v="7.2091140858111604"/>
    <n v="25.9528107089202"/>
  </r>
  <r>
    <x v="0"/>
    <x v="0"/>
    <x v="0"/>
    <x v="0"/>
    <x v="1"/>
    <x v="16"/>
    <x v="0"/>
    <x v="10"/>
    <n v="7.2091140858111604"/>
    <n v="25.9528107089202"/>
  </r>
  <r>
    <x v="0"/>
    <x v="0"/>
    <x v="0"/>
    <x v="0"/>
    <x v="1"/>
    <x v="16"/>
    <x v="0"/>
    <x v="11"/>
    <n v="7.2091140858111604"/>
    <n v="25.9528107089202"/>
  </r>
  <r>
    <x v="0"/>
    <x v="0"/>
    <x v="0"/>
    <x v="0"/>
    <x v="1"/>
    <x v="16"/>
    <x v="1"/>
    <x v="0"/>
    <n v="6.3745467419391604"/>
    <n v="22.948368270981"/>
  </r>
  <r>
    <x v="0"/>
    <x v="0"/>
    <x v="0"/>
    <x v="0"/>
    <x v="1"/>
    <x v="16"/>
    <x v="1"/>
    <x v="1"/>
    <n v="6.3745467419391604"/>
    <n v="22.948368270981"/>
  </r>
  <r>
    <x v="0"/>
    <x v="0"/>
    <x v="0"/>
    <x v="0"/>
    <x v="1"/>
    <x v="16"/>
    <x v="1"/>
    <x v="2"/>
    <n v="6.71009692376344"/>
    <n v="24.1563489255484"/>
  </r>
  <r>
    <x v="0"/>
    <x v="0"/>
    <x v="0"/>
    <x v="0"/>
    <x v="1"/>
    <x v="16"/>
    <x v="1"/>
    <x v="3"/>
    <n v="6.3745467419391604"/>
    <n v="22.948368270981"/>
  </r>
  <r>
    <x v="0"/>
    <x v="0"/>
    <x v="0"/>
    <x v="0"/>
    <x v="1"/>
    <x v="16"/>
    <x v="1"/>
    <x v="4"/>
    <n v="6.9760951787939396"/>
    <n v="25.113942643658199"/>
  </r>
  <r>
    <x v="0"/>
    <x v="0"/>
    <x v="0"/>
    <x v="0"/>
    <x v="1"/>
    <x v="16"/>
    <x v="1"/>
    <x v="5"/>
    <n v="6.3745467419391604"/>
    <n v="22.948368270981"/>
  </r>
  <r>
    <x v="0"/>
    <x v="0"/>
    <x v="0"/>
    <x v="0"/>
    <x v="1"/>
    <x v="16"/>
    <x v="1"/>
    <x v="6"/>
    <n v="6.71009692376344"/>
    <n v="24.1563489255484"/>
  </r>
  <r>
    <x v="0"/>
    <x v="0"/>
    <x v="0"/>
    <x v="0"/>
    <x v="1"/>
    <x v="16"/>
    <x v="1"/>
    <x v="7"/>
    <n v="6.3745467419391604"/>
    <n v="22.948368270981"/>
  </r>
  <r>
    <x v="0"/>
    <x v="0"/>
    <x v="0"/>
    <x v="0"/>
    <x v="1"/>
    <x v="16"/>
    <x v="1"/>
    <x v="8"/>
    <n v="6.3745467419391604"/>
    <n v="22.948368270981"/>
  </r>
  <r>
    <x v="0"/>
    <x v="0"/>
    <x v="0"/>
    <x v="0"/>
    <x v="1"/>
    <x v="16"/>
    <x v="1"/>
    <x v="9"/>
    <n v="6.3745467419391604"/>
    <n v="22.948368270981"/>
  </r>
  <r>
    <x v="0"/>
    <x v="0"/>
    <x v="0"/>
    <x v="0"/>
    <x v="1"/>
    <x v="16"/>
    <x v="1"/>
    <x v="10"/>
    <n v="6.3745467419391604"/>
    <n v="22.948368270981"/>
  </r>
  <r>
    <x v="0"/>
    <x v="0"/>
    <x v="0"/>
    <x v="0"/>
    <x v="1"/>
    <x v="16"/>
    <x v="1"/>
    <x v="11"/>
    <n v="6.3745467419391604"/>
    <n v="22.948368270981"/>
  </r>
  <r>
    <x v="0"/>
    <x v="0"/>
    <x v="0"/>
    <x v="0"/>
    <x v="1"/>
    <x v="16"/>
    <x v="2"/>
    <x v="0"/>
    <n v="6.3745467419391604"/>
    <n v="22.948368270981"/>
  </r>
  <r>
    <x v="0"/>
    <x v="0"/>
    <x v="0"/>
    <x v="0"/>
    <x v="1"/>
    <x v="16"/>
    <x v="2"/>
    <x v="1"/>
    <n v="6.2552499725847701"/>
    <n v="22.5188999013052"/>
  </r>
  <r>
    <x v="0"/>
    <x v="0"/>
    <x v="0"/>
    <x v="0"/>
    <x v="1"/>
    <x v="16"/>
    <x v="2"/>
    <x v="2"/>
    <n v="6.3745467419391604"/>
    <n v="22.948368270981"/>
  </r>
  <r>
    <x v="0"/>
    <x v="0"/>
    <x v="0"/>
    <x v="0"/>
    <x v="1"/>
    <x v="16"/>
    <x v="2"/>
    <x v="3"/>
    <n v="6.2552499725847701"/>
    <n v="22.5188999013052"/>
  </r>
  <r>
    <x v="0"/>
    <x v="0"/>
    <x v="0"/>
    <x v="0"/>
    <x v="1"/>
    <x v="16"/>
    <x v="2"/>
    <x v="4"/>
    <n v="6.3745467419391604"/>
    <n v="22.948368270981"/>
  </r>
  <r>
    <x v="0"/>
    <x v="0"/>
    <x v="0"/>
    <x v="0"/>
    <x v="1"/>
    <x v="16"/>
    <x v="2"/>
    <x v="5"/>
    <n v="6.2552499725847701"/>
    <n v="22.5188999013052"/>
  </r>
  <r>
    <x v="0"/>
    <x v="0"/>
    <x v="0"/>
    <x v="0"/>
    <x v="1"/>
    <x v="16"/>
    <x v="2"/>
    <x v="6"/>
    <n v="6.3745467419391604"/>
    <n v="22.948368270981"/>
  </r>
  <r>
    <x v="0"/>
    <x v="0"/>
    <x v="0"/>
    <x v="0"/>
    <x v="1"/>
    <x v="16"/>
    <x v="2"/>
    <x v="7"/>
    <n v="6.3745467419391604"/>
    <n v="22.948368270981"/>
  </r>
  <r>
    <x v="0"/>
    <x v="0"/>
    <x v="0"/>
    <x v="0"/>
    <x v="1"/>
    <x v="16"/>
    <x v="2"/>
    <x v="8"/>
    <n v="6.2591605432434498"/>
    <n v="22.532977955676401"/>
  </r>
  <r>
    <x v="0"/>
    <x v="0"/>
    <x v="0"/>
    <x v="0"/>
    <x v="1"/>
    <x v="16"/>
    <x v="2"/>
    <x v="9"/>
    <n v="6.0557740692060902"/>
    <n v="21.800786649141902"/>
  </r>
  <r>
    <x v="0"/>
    <x v="0"/>
    <x v="0"/>
    <x v="0"/>
    <x v="1"/>
    <x v="16"/>
    <x v="2"/>
    <x v="10"/>
    <n v="6.2552499725847701"/>
    <n v="22.5188999013052"/>
  </r>
  <r>
    <x v="0"/>
    <x v="0"/>
    <x v="0"/>
    <x v="0"/>
    <x v="1"/>
    <x v="16"/>
    <x v="2"/>
    <x v="11"/>
    <n v="6.3745467419391604"/>
    <n v="22.948368270981"/>
  </r>
  <r>
    <x v="0"/>
    <x v="0"/>
    <x v="0"/>
    <x v="0"/>
    <x v="1"/>
    <x v="17"/>
    <x v="0"/>
    <x v="0"/>
    <n v="8.0680409096106995"/>
    <n v="29.044947274598499"/>
  </r>
  <r>
    <x v="0"/>
    <x v="0"/>
    <x v="0"/>
    <x v="0"/>
    <x v="1"/>
    <x v="17"/>
    <x v="0"/>
    <x v="1"/>
    <n v="7.5432499000508502"/>
    <n v="27.155699640183101"/>
  </r>
  <r>
    <x v="0"/>
    <x v="0"/>
    <x v="0"/>
    <x v="0"/>
    <x v="1"/>
    <x v="17"/>
    <x v="0"/>
    <x v="2"/>
    <n v="8.74006593009989"/>
    <n v="31.4642373483596"/>
  </r>
  <r>
    <x v="0"/>
    <x v="0"/>
    <x v="0"/>
    <x v="0"/>
    <x v="1"/>
    <x v="17"/>
    <x v="0"/>
    <x v="3"/>
    <n v="7.1660420694121996"/>
    <n v="25.797751449883901"/>
  </r>
  <r>
    <x v="0"/>
    <x v="0"/>
    <x v="0"/>
    <x v="0"/>
    <x v="1"/>
    <x v="17"/>
    <x v="0"/>
    <x v="4"/>
    <n v="7.2091140858111604"/>
    <n v="25.9528107089202"/>
  </r>
  <r>
    <x v="0"/>
    <x v="0"/>
    <x v="0"/>
    <x v="0"/>
    <x v="1"/>
    <x v="17"/>
    <x v="0"/>
    <x v="5"/>
    <n v="7.1660420694121996"/>
    <n v="25.797751449883901"/>
  </r>
  <r>
    <x v="0"/>
    <x v="0"/>
    <x v="0"/>
    <x v="0"/>
    <x v="1"/>
    <x v="17"/>
    <x v="0"/>
    <x v="6"/>
    <n v="7.5432499000508502"/>
    <n v="27.155699640183101"/>
  </r>
  <r>
    <x v="0"/>
    <x v="0"/>
    <x v="0"/>
    <x v="0"/>
    <x v="1"/>
    <x v="17"/>
    <x v="0"/>
    <x v="7"/>
    <n v="7.5432499000508502"/>
    <n v="27.155699640183101"/>
  </r>
  <r>
    <x v="0"/>
    <x v="0"/>
    <x v="0"/>
    <x v="0"/>
    <x v="1"/>
    <x v="17"/>
    <x v="0"/>
    <x v="8"/>
    <n v="7.5432499000508502"/>
    <n v="27.155699640183101"/>
  </r>
  <r>
    <x v="0"/>
    <x v="0"/>
    <x v="0"/>
    <x v="0"/>
    <x v="1"/>
    <x v="17"/>
    <x v="0"/>
    <x v="9"/>
    <n v="7.1660420694121996"/>
    <n v="25.797751449883901"/>
  </r>
  <r>
    <x v="0"/>
    <x v="0"/>
    <x v="0"/>
    <x v="0"/>
    <x v="1"/>
    <x v="17"/>
    <x v="0"/>
    <x v="10"/>
    <n v="7.1660420694121996"/>
    <n v="25.797751449883901"/>
  </r>
  <r>
    <x v="0"/>
    <x v="0"/>
    <x v="0"/>
    <x v="0"/>
    <x v="1"/>
    <x v="17"/>
    <x v="0"/>
    <x v="11"/>
    <n v="7.1660420694121996"/>
    <n v="25.797751449883901"/>
  </r>
  <r>
    <x v="0"/>
    <x v="0"/>
    <x v="0"/>
    <x v="0"/>
    <x v="1"/>
    <x v="17"/>
    <x v="1"/>
    <x v="0"/>
    <n v="6.7676310307698699"/>
    <n v="24.363471710771499"/>
  </r>
  <r>
    <x v="0"/>
    <x v="0"/>
    <x v="0"/>
    <x v="0"/>
    <x v="1"/>
    <x v="17"/>
    <x v="1"/>
    <x v="1"/>
    <n v="6.4292041435952596"/>
    <n v="23.145134916943"/>
  </r>
  <r>
    <x v="0"/>
    <x v="0"/>
    <x v="0"/>
    <x v="0"/>
    <x v="1"/>
    <x v="17"/>
    <x v="1"/>
    <x v="2"/>
    <n v="6.7676310307698699"/>
    <n v="24.363471710771499"/>
  </r>
  <r>
    <x v="0"/>
    <x v="0"/>
    <x v="0"/>
    <x v="0"/>
    <x v="1"/>
    <x v="17"/>
    <x v="1"/>
    <x v="3"/>
    <n v="6.4292041435952596"/>
    <n v="23.145134916943"/>
  </r>
  <r>
    <x v="0"/>
    <x v="0"/>
    <x v="0"/>
    <x v="0"/>
    <x v="1"/>
    <x v="17"/>
    <x v="1"/>
    <x v="4"/>
    <n v="7.0651072201785503"/>
    <n v="25.434385992642799"/>
  </r>
  <r>
    <x v="0"/>
    <x v="0"/>
    <x v="0"/>
    <x v="0"/>
    <x v="1"/>
    <x v="17"/>
    <x v="1"/>
    <x v="5"/>
    <n v="6.7676310307698699"/>
    <n v="24.363471710771499"/>
  </r>
  <r>
    <x v="0"/>
    <x v="0"/>
    <x v="0"/>
    <x v="0"/>
    <x v="1"/>
    <x v="17"/>
    <x v="1"/>
    <x v="6"/>
    <n v="6.7676310307698699"/>
    <n v="24.363471710771499"/>
  </r>
  <r>
    <x v="0"/>
    <x v="0"/>
    <x v="0"/>
    <x v="0"/>
    <x v="1"/>
    <x v="17"/>
    <x v="1"/>
    <x v="7"/>
    <n v="6.4292041435952596"/>
    <n v="23.145134916943"/>
  </r>
  <r>
    <x v="0"/>
    <x v="0"/>
    <x v="0"/>
    <x v="0"/>
    <x v="1"/>
    <x v="17"/>
    <x v="1"/>
    <x v="8"/>
    <n v="6.4292041435952596"/>
    <n v="23.145134916943"/>
  </r>
  <r>
    <x v="0"/>
    <x v="0"/>
    <x v="0"/>
    <x v="0"/>
    <x v="1"/>
    <x v="17"/>
    <x v="1"/>
    <x v="9"/>
    <n v="6.7676310307698699"/>
    <n v="24.363471710771499"/>
  </r>
  <r>
    <x v="0"/>
    <x v="0"/>
    <x v="0"/>
    <x v="0"/>
    <x v="1"/>
    <x v="17"/>
    <x v="1"/>
    <x v="10"/>
    <n v="6.4292041435952596"/>
    <n v="23.145134916943"/>
  </r>
  <r>
    <x v="0"/>
    <x v="0"/>
    <x v="0"/>
    <x v="0"/>
    <x v="1"/>
    <x v="17"/>
    <x v="1"/>
    <x v="11"/>
    <n v="6.7676310307698699"/>
    <n v="24.363471710771499"/>
  </r>
  <r>
    <x v="0"/>
    <x v="0"/>
    <x v="0"/>
    <x v="0"/>
    <x v="1"/>
    <x v="17"/>
    <x v="2"/>
    <x v="0"/>
    <n v="6.4292041435952596"/>
    <n v="23.145134916943"/>
  </r>
  <r>
    <x v="0"/>
    <x v="0"/>
    <x v="0"/>
    <x v="0"/>
    <x v="1"/>
    <x v="17"/>
    <x v="2"/>
    <x v="1"/>
    <n v="6.1076986007793899"/>
    <n v="21.9877149628058"/>
  </r>
  <r>
    <x v="0"/>
    <x v="0"/>
    <x v="0"/>
    <x v="0"/>
    <x v="1"/>
    <x v="17"/>
    <x v="2"/>
    <x v="2"/>
    <n v="6.4292041435952596"/>
    <n v="23.145134916943"/>
  </r>
  <r>
    <x v="0"/>
    <x v="0"/>
    <x v="0"/>
    <x v="0"/>
    <x v="1"/>
    <x v="17"/>
    <x v="2"/>
    <x v="3"/>
    <n v="6.1076986007793899"/>
    <n v="21.9877149628058"/>
  </r>
  <r>
    <x v="0"/>
    <x v="0"/>
    <x v="0"/>
    <x v="0"/>
    <x v="1"/>
    <x v="17"/>
    <x v="2"/>
    <x v="4"/>
    <n v="6.4292041435952596"/>
    <n v="23.145134916943"/>
  </r>
  <r>
    <x v="0"/>
    <x v="0"/>
    <x v="0"/>
    <x v="0"/>
    <x v="1"/>
    <x v="17"/>
    <x v="2"/>
    <x v="5"/>
    <n v="6.1076986007793899"/>
    <n v="21.9877149628058"/>
  </r>
  <r>
    <x v="0"/>
    <x v="0"/>
    <x v="0"/>
    <x v="0"/>
    <x v="1"/>
    <x v="17"/>
    <x v="2"/>
    <x v="6"/>
    <n v="6.3745467419391604"/>
    <n v="22.948368270981"/>
  </r>
  <r>
    <x v="0"/>
    <x v="0"/>
    <x v="0"/>
    <x v="0"/>
    <x v="1"/>
    <x v="17"/>
    <x v="2"/>
    <x v="7"/>
    <n v="6.3745467419391604"/>
    <n v="22.948368270981"/>
  </r>
  <r>
    <x v="0"/>
    <x v="0"/>
    <x v="0"/>
    <x v="0"/>
    <x v="1"/>
    <x v="17"/>
    <x v="2"/>
    <x v="8"/>
    <n v="6.3745467419391604"/>
    <n v="22.948368270981"/>
  </r>
  <r>
    <x v="0"/>
    <x v="0"/>
    <x v="0"/>
    <x v="0"/>
    <x v="1"/>
    <x v="17"/>
    <x v="2"/>
    <x v="9"/>
    <n v="6.1076986007793899"/>
    <n v="21.9877149628058"/>
  </r>
  <r>
    <x v="0"/>
    <x v="0"/>
    <x v="0"/>
    <x v="0"/>
    <x v="1"/>
    <x v="17"/>
    <x v="2"/>
    <x v="10"/>
    <n v="6.1076986007793899"/>
    <n v="21.9877149628058"/>
  </r>
  <r>
    <x v="0"/>
    <x v="0"/>
    <x v="0"/>
    <x v="0"/>
    <x v="1"/>
    <x v="17"/>
    <x v="2"/>
    <x v="11"/>
    <n v="6.4292041435952596"/>
    <n v="23.145134916943"/>
  </r>
</pivotCacheRecords>
</file>

<file path=xl/pivotCache/pivotCacheRecords4.xml><?xml version="1.0" encoding="utf-8"?>
<pivotCacheRecords xmlns="http://schemas.openxmlformats.org/spreadsheetml/2006/main" xmlns:r="http://schemas.openxmlformats.org/officeDocument/2006/relationships" count="102">
  <r>
    <x v="0"/>
    <x v="0"/>
    <x v="0"/>
    <x v="0"/>
    <x v="0"/>
    <x v="0"/>
    <x v="0"/>
    <x v="0"/>
    <x v="0"/>
    <x v="0"/>
    <n v="5.9130000000000001E-4"/>
    <n v="2.12868E-3"/>
  </r>
  <r>
    <x v="0"/>
    <x v="0"/>
    <x v="0"/>
    <x v="0"/>
    <x v="0"/>
    <x v="0"/>
    <x v="0"/>
    <x v="0"/>
    <x v="0"/>
    <x v="1"/>
    <n v="3.6499999999999998E-4"/>
    <n v="1.3140000000000001E-3"/>
  </r>
  <r>
    <x v="0"/>
    <x v="0"/>
    <x v="0"/>
    <x v="0"/>
    <x v="0"/>
    <x v="0"/>
    <x v="0"/>
    <x v="0"/>
    <x v="0"/>
    <x v="2"/>
    <n v="2.4637499999999998E-3"/>
    <n v="8.8695000000000006E-3"/>
  </r>
  <r>
    <x v="0"/>
    <x v="0"/>
    <x v="0"/>
    <x v="0"/>
    <x v="0"/>
    <x v="0"/>
    <x v="0"/>
    <x v="0"/>
    <x v="0"/>
    <x v="3"/>
    <n v="9.0739E-4"/>
    <n v="3.2666040000000002E-3"/>
  </r>
  <r>
    <x v="0"/>
    <x v="0"/>
    <x v="0"/>
    <x v="0"/>
    <x v="0"/>
    <x v="0"/>
    <x v="0"/>
    <x v="0"/>
    <x v="0"/>
    <x v="4"/>
    <n v="1.9542100000000001E-3"/>
    <n v="7.0351559999999999E-3"/>
  </r>
  <r>
    <x v="0"/>
    <x v="0"/>
    <x v="0"/>
    <x v="0"/>
    <x v="0"/>
    <x v="0"/>
    <x v="0"/>
    <x v="0"/>
    <x v="0"/>
    <x v="5"/>
    <n v="1.80675E-3"/>
    <n v="6.5043000000000002E-3"/>
  </r>
  <r>
    <x v="0"/>
    <x v="0"/>
    <x v="0"/>
    <x v="0"/>
    <x v="0"/>
    <x v="0"/>
    <x v="0"/>
    <x v="0"/>
    <x v="0"/>
    <x v="6"/>
    <n v="5.19005666666667E-3"/>
    <n v="1.8684203999999999E-2"/>
  </r>
  <r>
    <x v="0"/>
    <x v="0"/>
    <x v="0"/>
    <x v="0"/>
    <x v="0"/>
    <x v="0"/>
    <x v="1"/>
    <x v="0"/>
    <x v="0"/>
    <x v="7"/>
    <n v="1.88302275457117"/>
    <n v="6.7788819164562302"/>
  </r>
  <r>
    <x v="0"/>
    <x v="0"/>
    <x v="0"/>
    <x v="0"/>
    <x v="0"/>
    <x v="0"/>
    <x v="1"/>
    <x v="0"/>
    <x v="0"/>
    <x v="8"/>
    <n v="0.156804"/>
    <n v="0.56449439999999995"/>
  </r>
  <r>
    <x v="0"/>
    <x v="0"/>
    <x v="0"/>
    <x v="0"/>
    <x v="0"/>
    <x v="0"/>
    <x v="2"/>
    <x v="0"/>
    <x v="0"/>
    <x v="9"/>
    <n v="6.3023333333333299E-3"/>
    <n v="2.2688400000000001E-2"/>
  </r>
  <r>
    <x v="0"/>
    <x v="0"/>
    <x v="0"/>
    <x v="0"/>
    <x v="0"/>
    <x v="0"/>
    <x v="2"/>
    <x v="0"/>
    <x v="0"/>
    <x v="10"/>
    <n v="4.9493999999999996E-3"/>
    <n v="1.7817840000000001E-2"/>
  </r>
  <r>
    <x v="0"/>
    <x v="0"/>
    <x v="0"/>
    <x v="0"/>
    <x v="0"/>
    <x v="0"/>
    <x v="2"/>
    <x v="0"/>
    <x v="0"/>
    <x v="11"/>
    <n v="7.3973333333333304E-3"/>
    <n v="2.6630399999999999E-2"/>
  </r>
  <r>
    <x v="0"/>
    <x v="0"/>
    <x v="0"/>
    <x v="0"/>
    <x v="0"/>
    <x v="0"/>
    <x v="2"/>
    <x v="0"/>
    <x v="0"/>
    <x v="12"/>
    <n v="2.1316E-3"/>
    <n v="7.67376E-3"/>
  </r>
  <r>
    <x v="0"/>
    <x v="0"/>
    <x v="0"/>
    <x v="0"/>
    <x v="0"/>
    <x v="0"/>
    <x v="2"/>
    <x v="0"/>
    <x v="0"/>
    <x v="13"/>
    <n v="0.20948096328320501"/>
    <n v="0.75413146781953899"/>
  </r>
  <r>
    <x v="0"/>
    <x v="0"/>
    <x v="0"/>
    <x v="0"/>
    <x v="0"/>
    <x v="0"/>
    <x v="3"/>
    <x v="0"/>
    <x v="0"/>
    <x v="14"/>
    <n v="0.124054415480724"/>
    <n v="0.44659589573060599"/>
  </r>
  <r>
    <x v="0"/>
    <x v="0"/>
    <x v="0"/>
    <x v="0"/>
    <x v="0"/>
    <x v="0"/>
    <x v="4"/>
    <x v="0"/>
    <x v="0"/>
    <x v="15"/>
    <n v="1.6424999999999999E-2"/>
    <n v="5.9130000000000002E-2"/>
  </r>
  <r>
    <x v="0"/>
    <x v="0"/>
    <x v="0"/>
    <x v="0"/>
    <x v="0"/>
    <x v="1"/>
    <x v="5"/>
    <x v="1"/>
    <x v="1"/>
    <x v="16"/>
    <n v="-0.108049555890482"/>
    <n v="-0.38897840120573401"/>
  </r>
  <r>
    <x v="0"/>
    <x v="0"/>
    <x v="0"/>
    <x v="0"/>
    <x v="0"/>
    <x v="2"/>
    <x v="5"/>
    <x v="1"/>
    <x v="1"/>
    <x v="17"/>
    <n v="-0.34383173589918398"/>
    <n v="-1.2377942492370599"/>
  </r>
  <r>
    <x v="0"/>
    <x v="0"/>
    <x v="0"/>
    <x v="0"/>
    <x v="0"/>
    <x v="2"/>
    <x v="2"/>
    <x v="0"/>
    <x v="0"/>
    <x v="18"/>
    <n v="9.5532666666666693E-3"/>
    <n v="3.439176E-2"/>
  </r>
  <r>
    <x v="0"/>
    <x v="0"/>
    <x v="0"/>
    <x v="0"/>
    <x v="0"/>
    <x v="3"/>
    <x v="0"/>
    <x v="0"/>
    <x v="0"/>
    <x v="2"/>
    <n v="4.5990000000000001E-4"/>
    <n v="1.6556400000000001E-3"/>
  </r>
  <r>
    <x v="0"/>
    <x v="0"/>
    <x v="0"/>
    <x v="0"/>
    <x v="0"/>
    <x v="3"/>
    <x v="0"/>
    <x v="0"/>
    <x v="0"/>
    <x v="4"/>
    <n v="2.4214100000000001E-3"/>
    <n v="8.7170760000000007E-3"/>
  </r>
  <r>
    <x v="0"/>
    <x v="0"/>
    <x v="0"/>
    <x v="0"/>
    <x v="0"/>
    <x v="3"/>
    <x v="0"/>
    <x v="0"/>
    <x v="0"/>
    <x v="5"/>
    <n v="2.409E-4"/>
    <n v="8.6724000000000002E-4"/>
  </r>
  <r>
    <x v="0"/>
    <x v="0"/>
    <x v="0"/>
    <x v="0"/>
    <x v="0"/>
    <x v="3"/>
    <x v="2"/>
    <x v="0"/>
    <x v="0"/>
    <x v="18"/>
    <n v="7.3243333333333303E-3"/>
    <n v="2.6367600000000001E-2"/>
  </r>
  <r>
    <x v="0"/>
    <x v="0"/>
    <x v="0"/>
    <x v="0"/>
    <x v="0"/>
    <x v="3"/>
    <x v="2"/>
    <x v="0"/>
    <x v="0"/>
    <x v="10"/>
    <n v="1.3578E-2"/>
    <n v="4.8880800000000002E-2"/>
  </r>
  <r>
    <x v="0"/>
    <x v="0"/>
    <x v="0"/>
    <x v="0"/>
    <x v="0"/>
    <x v="3"/>
    <x v="2"/>
    <x v="0"/>
    <x v="0"/>
    <x v="11"/>
    <n v="3.4553333333333298E-3"/>
    <n v="1.2439199999999999E-2"/>
  </r>
  <r>
    <x v="0"/>
    <x v="0"/>
    <x v="0"/>
    <x v="0"/>
    <x v="0"/>
    <x v="3"/>
    <x v="2"/>
    <x v="0"/>
    <x v="0"/>
    <x v="19"/>
    <n v="1.2526799999999999E-2"/>
    <n v="4.5096480000000001E-2"/>
  </r>
  <r>
    <x v="0"/>
    <x v="0"/>
    <x v="0"/>
    <x v="0"/>
    <x v="0"/>
    <x v="3"/>
    <x v="2"/>
    <x v="0"/>
    <x v="0"/>
    <x v="20"/>
    <n v="3.1834707713240098"/>
    <n v="11.460494776766399"/>
  </r>
  <r>
    <x v="0"/>
    <x v="0"/>
    <x v="0"/>
    <x v="0"/>
    <x v="0"/>
    <x v="4"/>
    <x v="5"/>
    <x v="2"/>
    <x v="2"/>
    <x v="21"/>
    <n v="2.2689228305425"/>
    <n v="8.1681221899529799"/>
  </r>
  <r>
    <x v="0"/>
    <x v="0"/>
    <x v="0"/>
    <x v="0"/>
    <x v="0"/>
    <x v="4"/>
    <x v="2"/>
    <x v="3"/>
    <x v="3"/>
    <x v="22"/>
    <n v="2.9784000000000001E-2"/>
    <n v="0.1072224"/>
  </r>
  <r>
    <x v="0"/>
    <x v="0"/>
    <x v="0"/>
    <x v="0"/>
    <x v="0"/>
    <x v="4"/>
    <x v="2"/>
    <x v="3"/>
    <x v="3"/>
    <x v="23"/>
    <n v="1.09013333333333E-3"/>
    <n v="3.9244800000000002E-3"/>
  </r>
  <r>
    <x v="0"/>
    <x v="0"/>
    <x v="0"/>
    <x v="0"/>
    <x v="0"/>
    <x v="4"/>
    <x v="6"/>
    <x v="4"/>
    <x v="4"/>
    <x v="24"/>
    <n v="0.56969215361430103"/>
    <n v="2.0508917530114799"/>
  </r>
  <r>
    <x v="0"/>
    <x v="0"/>
    <x v="0"/>
    <x v="0"/>
    <x v="0"/>
    <x v="4"/>
    <x v="6"/>
    <x v="4"/>
    <x v="4"/>
    <x v="25"/>
    <n v="2.8102651509237799"/>
    <n v="10.116954543325599"/>
  </r>
  <r>
    <x v="0"/>
    <x v="0"/>
    <x v="0"/>
    <x v="0"/>
    <x v="0"/>
    <x v="4"/>
    <x v="7"/>
    <x v="5"/>
    <x v="5"/>
    <x v="26"/>
    <n v="4.8198606407017599E-5"/>
    <n v="1.73514983065263E-4"/>
  </r>
  <r>
    <x v="0"/>
    <x v="0"/>
    <x v="0"/>
    <x v="0"/>
    <x v="0"/>
    <x v="4"/>
    <x v="8"/>
    <x v="4"/>
    <x v="6"/>
    <x v="27"/>
    <n v="4.7053835079999997"/>
    <n v="16.939380628799999"/>
  </r>
  <r>
    <x v="0"/>
    <x v="0"/>
    <x v="0"/>
    <x v="0"/>
    <x v="0"/>
    <x v="4"/>
    <x v="8"/>
    <x v="4"/>
    <x v="6"/>
    <x v="28"/>
    <n v="1.5677862281711199"/>
    <n v="5.64403042141603"/>
  </r>
  <r>
    <x v="0"/>
    <x v="0"/>
    <x v="0"/>
    <x v="0"/>
    <x v="0"/>
    <x v="4"/>
    <x v="4"/>
    <x v="0"/>
    <x v="7"/>
    <x v="29"/>
    <n v="6.7159999999999997E-2"/>
    <n v="0.24177599999999999"/>
  </r>
  <r>
    <x v="0"/>
    <x v="0"/>
    <x v="0"/>
    <x v="0"/>
    <x v="0"/>
    <x v="5"/>
    <x v="5"/>
    <x v="1"/>
    <x v="1"/>
    <x v="16"/>
    <n v="-0.21516243638959101"/>
    <n v="-0.77458477100252698"/>
  </r>
  <r>
    <x v="0"/>
    <x v="0"/>
    <x v="0"/>
    <x v="0"/>
    <x v="0"/>
    <x v="6"/>
    <x v="8"/>
    <x v="4"/>
    <x v="6"/>
    <x v="30"/>
    <n v="5.71283096523534"/>
    <n v="20.566191474847201"/>
  </r>
  <r>
    <x v="0"/>
    <x v="0"/>
    <x v="0"/>
    <x v="0"/>
    <x v="0"/>
    <x v="7"/>
    <x v="0"/>
    <x v="0"/>
    <x v="0"/>
    <x v="31"/>
    <n v="4.3800000000000002E-3"/>
    <n v="1.5768000000000001E-2"/>
  </r>
  <r>
    <x v="0"/>
    <x v="0"/>
    <x v="0"/>
    <x v="0"/>
    <x v="0"/>
    <x v="7"/>
    <x v="0"/>
    <x v="0"/>
    <x v="0"/>
    <x v="1"/>
    <n v="1.28115E-3"/>
    <n v="4.6121399999999998E-3"/>
  </r>
  <r>
    <x v="0"/>
    <x v="0"/>
    <x v="0"/>
    <x v="0"/>
    <x v="0"/>
    <x v="7"/>
    <x v="0"/>
    <x v="0"/>
    <x v="0"/>
    <x v="32"/>
    <n v="5.8399999999999999E-4"/>
    <n v="2.1023999999999999E-3"/>
  </r>
  <r>
    <x v="0"/>
    <x v="0"/>
    <x v="0"/>
    <x v="0"/>
    <x v="0"/>
    <x v="7"/>
    <x v="0"/>
    <x v="0"/>
    <x v="0"/>
    <x v="2"/>
    <n v="1.05606666666667E-3"/>
    <n v="3.8018399999999999E-3"/>
  </r>
  <r>
    <x v="0"/>
    <x v="0"/>
    <x v="0"/>
    <x v="0"/>
    <x v="0"/>
    <x v="7"/>
    <x v="0"/>
    <x v="0"/>
    <x v="0"/>
    <x v="3"/>
    <n v="1.0799133333333299E-2"/>
    <n v="3.8876880000000003E-2"/>
  </r>
  <r>
    <x v="0"/>
    <x v="0"/>
    <x v="0"/>
    <x v="0"/>
    <x v="0"/>
    <x v="7"/>
    <x v="0"/>
    <x v="0"/>
    <x v="0"/>
    <x v="4"/>
    <n v="2.0099333333333299E-3"/>
    <n v="7.2357599999999999E-3"/>
  </r>
  <r>
    <x v="0"/>
    <x v="0"/>
    <x v="0"/>
    <x v="0"/>
    <x v="0"/>
    <x v="7"/>
    <x v="0"/>
    <x v="0"/>
    <x v="0"/>
    <x v="5"/>
    <n v="1.1378266666666701E-2"/>
    <n v="4.096176E-2"/>
  </r>
  <r>
    <x v="0"/>
    <x v="0"/>
    <x v="0"/>
    <x v="0"/>
    <x v="0"/>
    <x v="7"/>
    <x v="0"/>
    <x v="0"/>
    <x v="0"/>
    <x v="6"/>
    <n v="8.7551333333333297E-3"/>
    <n v="3.1518480000000001E-2"/>
  </r>
  <r>
    <x v="0"/>
    <x v="0"/>
    <x v="0"/>
    <x v="0"/>
    <x v="0"/>
    <x v="7"/>
    <x v="5"/>
    <x v="1"/>
    <x v="1"/>
    <x v="33"/>
    <n v="-1.58166666666667E-3"/>
    <n v="-5.6940000000000003E-3"/>
  </r>
  <r>
    <x v="0"/>
    <x v="0"/>
    <x v="0"/>
    <x v="0"/>
    <x v="0"/>
    <x v="7"/>
    <x v="5"/>
    <x v="1"/>
    <x v="1"/>
    <x v="34"/>
    <n v="-3.8046904761904702E-3"/>
    <n v="-1.3696885714285701E-2"/>
  </r>
  <r>
    <x v="0"/>
    <x v="0"/>
    <x v="0"/>
    <x v="0"/>
    <x v="0"/>
    <x v="7"/>
    <x v="5"/>
    <x v="1"/>
    <x v="1"/>
    <x v="35"/>
    <n v="-3.48842666666667E-3"/>
    <n v="-1.2558336E-2"/>
  </r>
  <r>
    <x v="0"/>
    <x v="0"/>
    <x v="0"/>
    <x v="0"/>
    <x v="0"/>
    <x v="7"/>
    <x v="5"/>
    <x v="1"/>
    <x v="1"/>
    <x v="36"/>
    <n v="-2.1334108527131801E-3"/>
    <n v="-7.68027906976744E-3"/>
  </r>
  <r>
    <x v="0"/>
    <x v="0"/>
    <x v="0"/>
    <x v="0"/>
    <x v="0"/>
    <x v="7"/>
    <x v="5"/>
    <x v="1"/>
    <x v="1"/>
    <x v="37"/>
    <n v="-8.4679999999999901E-4"/>
    <n v="-3.0484800000000001E-3"/>
  </r>
  <r>
    <x v="0"/>
    <x v="0"/>
    <x v="0"/>
    <x v="0"/>
    <x v="0"/>
    <x v="7"/>
    <x v="5"/>
    <x v="1"/>
    <x v="1"/>
    <x v="38"/>
    <n v="-5.5226086956521696E-3"/>
    <n v="-1.9881391304347799E-2"/>
  </r>
  <r>
    <x v="0"/>
    <x v="0"/>
    <x v="0"/>
    <x v="0"/>
    <x v="0"/>
    <x v="7"/>
    <x v="5"/>
    <x v="1"/>
    <x v="1"/>
    <x v="39"/>
    <n v="-1.4263475177305001E-3"/>
    <n v="-5.1348510638297802E-3"/>
  </r>
  <r>
    <x v="0"/>
    <x v="0"/>
    <x v="0"/>
    <x v="0"/>
    <x v="0"/>
    <x v="7"/>
    <x v="5"/>
    <x v="1"/>
    <x v="1"/>
    <x v="40"/>
    <n v="-8.5166666666666702E-4"/>
    <n v="-3.0660000000000001E-3"/>
  </r>
  <r>
    <x v="0"/>
    <x v="0"/>
    <x v="0"/>
    <x v="0"/>
    <x v="0"/>
    <x v="7"/>
    <x v="5"/>
    <x v="1"/>
    <x v="1"/>
    <x v="41"/>
    <n v="-2.2313207547169801E-3"/>
    <n v="-8.0327547169811407E-3"/>
  </r>
  <r>
    <x v="0"/>
    <x v="0"/>
    <x v="0"/>
    <x v="0"/>
    <x v="0"/>
    <x v="7"/>
    <x v="5"/>
    <x v="1"/>
    <x v="1"/>
    <x v="42"/>
    <n v="-4.3800000000000002E-4"/>
    <n v="-1.5767999999999999E-3"/>
  </r>
  <r>
    <x v="0"/>
    <x v="0"/>
    <x v="0"/>
    <x v="0"/>
    <x v="0"/>
    <x v="7"/>
    <x v="5"/>
    <x v="1"/>
    <x v="1"/>
    <x v="17"/>
    <n v="-0.132732714879538"/>
    <n v="-0.477837773566338"/>
  </r>
  <r>
    <x v="0"/>
    <x v="0"/>
    <x v="0"/>
    <x v="0"/>
    <x v="0"/>
    <x v="7"/>
    <x v="2"/>
    <x v="0"/>
    <x v="0"/>
    <x v="43"/>
    <n v="1.3957600000000001E-2"/>
    <n v="5.0247359999999998E-2"/>
  </r>
  <r>
    <x v="0"/>
    <x v="0"/>
    <x v="0"/>
    <x v="0"/>
    <x v="0"/>
    <x v="7"/>
    <x v="2"/>
    <x v="0"/>
    <x v="0"/>
    <x v="44"/>
    <n v="6.5700000000000003E-3"/>
    <n v="2.3651999999999999E-2"/>
  </r>
  <r>
    <x v="0"/>
    <x v="0"/>
    <x v="0"/>
    <x v="0"/>
    <x v="0"/>
    <x v="7"/>
    <x v="2"/>
    <x v="0"/>
    <x v="0"/>
    <x v="9"/>
    <n v="5.3533333333333297E-3"/>
    <n v="1.9272000000000001E-2"/>
  </r>
  <r>
    <x v="0"/>
    <x v="0"/>
    <x v="0"/>
    <x v="0"/>
    <x v="0"/>
    <x v="7"/>
    <x v="2"/>
    <x v="0"/>
    <x v="0"/>
    <x v="45"/>
    <n v="1.34904E-2"/>
    <n v="4.8565440000000001E-2"/>
  </r>
  <r>
    <x v="0"/>
    <x v="0"/>
    <x v="0"/>
    <x v="0"/>
    <x v="0"/>
    <x v="7"/>
    <x v="2"/>
    <x v="0"/>
    <x v="0"/>
    <x v="18"/>
    <n v="4.6195003870965097E-2"/>
    <n v="0.166302013935474"/>
  </r>
  <r>
    <x v="0"/>
    <x v="0"/>
    <x v="0"/>
    <x v="0"/>
    <x v="0"/>
    <x v="7"/>
    <x v="2"/>
    <x v="0"/>
    <x v="0"/>
    <x v="10"/>
    <n v="0.131991786666667"/>
    <n v="0.47517043199999998"/>
  </r>
  <r>
    <x v="0"/>
    <x v="0"/>
    <x v="0"/>
    <x v="0"/>
    <x v="0"/>
    <x v="7"/>
    <x v="2"/>
    <x v="0"/>
    <x v="0"/>
    <x v="11"/>
    <n v="8.0901520000000005E-2"/>
    <n v="0.29124547200000001"/>
  </r>
  <r>
    <x v="0"/>
    <x v="0"/>
    <x v="0"/>
    <x v="0"/>
    <x v="0"/>
    <x v="7"/>
    <x v="2"/>
    <x v="0"/>
    <x v="0"/>
    <x v="19"/>
    <n v="7.36521333333333E-2"/>
    <n v="0.26514768"/>
  </r>
  <r>
    <x v="0"/>
    <x v="0"/>
    <x v="0"/>
    <x v="0"/>
    <x v="0"/>
    <x v="7"/>
    <x v="2"/>
    <x v="0"/>
    <x v="0"/>
    <x v="46"/>
    <n v="2.9784000000000001E-2"/>
    <n v="0.1072224"/>
  </r>
  <r>
    <x v="0"/>
    <x v="0"/>
    <x v="0"/>
    <x v="0"/>
    <x v="0"/>
    <x v="7"/>
    <x v="2"/>
    <x v="0"/>
    <x v="0"/>
    <x v="12"/>
    <n v="1.0628800000000001E-2"/>
    <n v="3.8263680000000001E-2"/>
  </r>
  <r>
    <x v="0"/>
    <x v="0"/>
    <x v="0"/>
    <x v="0"/>
    <x v="0"/>
    <x v="7"/>
    <x v="4"/>
    <x v="0"/>
    <x v="0"/>
    <x v="47"/>
    <n v="1.0950000000000001E-3"/>
    <n v="3.9420000000000002E-3"/>
  </r>
  <r>
    <x v="0"/>
    <x v="0"/>
    <x v="0"/>
    <x v="0"/>
    <x v="0"/>
    <x v="8"/>
    <x v="2"/>
    <x v="0"/>
    <x v="0"/>
    <x v="44"/>
    <n v="2.4746999999999998E-3"/>
    <n v="8.9089200000000007E-3"/>
  </r>
  <r>
    <x v="0"/>
    <x v="0"/>
    <x v="0"/>
    <x v="0"/>
    <x v="1"/>
    <x v="9"/>
    <x v="0"/>
    <x v="0"/>
    <x v="0"/>
    <x v="5"/>
    <n v="2.2243100000000002E-3"/>
    <n v="8.0075159999999992E-3"/>
  </r>
  <r>
    <x v="0"/>
    <x v="0"/>
    <x v="0"/>
    <x v="0"/>
    <x v="1"/>
    <x v="9"/>
    <x v="9"/>
    <x v="0"/>
    <x v="7"/>
    <x v="48"/>
    <n v="0.88980696247421198"/>
    <n v="3.2033050649071599"/>
  </r>
  <r>
    <x v="0"/>
    <x v="0"/>
    <x v="0"/>
    <x v="0"/>
    <x v="1"/>
    <x v="9"/>
    <x v="5"/>
    <x v="1"/>
    <x v="1"/>
    <x v="33"/>
    <n v="-2.20622222222222E-4"/>
    <n v="-7.9423999999999999E-4"/>
  </r>
  <r>
    <x v="0"/>
    <x v="0"/>
    <x v="0"/>
    <x v="0"/>
    <x v="1"/>
    <x v="9"/>
    <x v="1"/>
    <x v="0"/>
    <x v="0"/>
    <x v="7"/>
    <n v="1.13026254015238"/>
    <n v="4.06894514454856"/>
  </r>
  <r>
    <x v="0"/>
    <x v="0"/>
    <x v="0"/>
    <x v="0"/>
    <x v="1"/>
    <x v="9"/>
    <x v="1"/>
    <x v="0"/>
    <x v="0"/>
    <x v="8"/>
    <n v="0.16994400000000001"/>
    <n v="0.61179839999999996"/>
  </r>
  <r>
    <x v="0"/>
    <x v="0"/>
    <x v="0"/>
    <x v="0"/>
    <x v="1"/>
    <x v="9"/>
    <x v="2"/>
    <x v="0"/>
    <x v="0"/>
    <x v="13"/>
    <n v="0.72996349348204603"/>
    <n v="2.62786857653537"/>
  </r>
  <r>
    <x v="0"/>
    <x v="0"/>
    <x v="0"/>
    <x v="0"/>
    <x v="1"/>
    <x v="9"/>
    <x v="3"/>
    <x v="0"/>
    <x v="7"/>
    <x v="49"/>
    <n v="0.63875000000000004"/>
    <n v="2.2995000000000001"/>
  </r>
  <r>
    <x v="0"/>
    <x v="0"/>
    <x v="0"/>
    <x v="0"/>
    <x v="1"/>
    <x v="10"/>
    <x v="5"/>
    <x v="1"/>
    <x v="1"/>
    <x v="16"/>
    <n v="-2.7015579633668501E-2"/>
    <n v="-9.7256086681206402E-2"/>
  </r>
  <r>
    <x v="0"/>
    <x v="0"/>
    <x v="0"/>
    <x v="0"/>
    <x v="1"/>
    <x v="11"/>
    <x v="0"/>
    <x v="0"/>
    <x v="0"/>
    <x v="32"/>
    <n v="1.8249999999999999E-4"/>
    <n v="6.5700000000000003E-4"/>
  </r>
  <r>
    <x v="0"/>
    <x v="0"/>
    <x v="0"/>
    <x v="0"/>
    <x v="1"/>
    <x v="11"/>
    <x v="2"/>
    <x v="0"/>
    <x v="0"/>
    <x v="20"/>
    <n v="0.54439875047959296"/>
    <n v="1.9598355017265301"/>
  </r>
  <r>
    <x v="0"/>
    <x v="0"/>
    <x v="0"/>
    <x v="0"/>
    <x v="1"/>
    <x v="12"/>
    <x v="1"/>
    <x v="0"/>
    <x v="0"/>
    <x v="50"/>
    <n v="7.0080000000000003E-2"/>
    <n v="0.25228800000000001"/>
  </r>
  <r>
    <x v="0"/>
    <x v="0"/>
    <x v="0"/>
    <x v="0"/>
    <x v="1"/>
    <x v="12"/>
    <x v="2"/>
    <x v="0"/>
    <x v="0"/>
    <x v="51"/>
    <n v="1.4162000000000001E-3"/>
    <n v="5.0983199999999999E-3"/>
  </r>
  <r>
    <x v="0"/>
    <x v="0"/>
    <x v="0"/>
    <x v="0"/>
    <x v="1"/>
    <x v="12"/>
    <x v="2"/>
    <x v="0"/>
    <x v="0"/>
    <x v="10"/>
    <n v="3.4066666666666698E-3"/>
    <n v="1.2264000000000001E-2"/>
  </r>
  <r>
    <x v="0"/>
    <x v="0"/>
    <x v="0"/>
    <x v="0"/>
    <x v="1"/>
    <x v="12"/>
    <x v="2"/>
    <x v="0"/>
    <x v="0"/>
    <x v="20"/>
    <n v="1.13194960168659"/>
    <n v="4.07501856607173"/>
  </r>
  <r>
    <x v="0"/>
    <x v="0"/>
    <x v="0"/>
    <x v="0"/>
    <x v="1"/>
    <x v="12"/>
    <x v="4"/>
    <x v="0"/>
    <x v="0"/>
    <x v="52"/>
    <n v="2.2483999999999998E-3"/>
    <n v="8.0942400000000008E-3"/>
  </r>
  <r>
    <x v="0"/>
    <x v="0"/>
    <x v="0"/>
    <x v="0"/>
    <x v="1"/>
    <x v="13"/>
    <x v="5"/>
    <x v="2"/>
    <x v="2"/>
    <x v="21"/>
    <n v="0.52055827348694295"/>
    <n v="1.8740097845529999"/>
  </r>
  <r>
    <x v="0"/>
    <x v="0"/>
    <x v="0"/>
    <x v="0"/>
    <x v="1"/>
    <x v="13"/>
    <x v="6"/>
    <x v="4"/>
    <x v="4"/>
    <x v="24"/>
    <n v="0.29045654620983502"/>
    <n v="1.04564356635541"/>
  </r>
  <r>
    <x v="0"/>
    <x v="0"/>
    <x v="0"/>
    <x v="0"/>
    <x v="1"/>
    <x v="13"/>
    <x v="6"/>
    <x v="4"/>
    <x v="4"/>
    <x v="25"/>
    <n v="2.2423886377361302"/>
    <n v="8.0725990958500802"/>
  </r>
  <r>
    <x v="0"/>
    <x v="0"/>
    <x v="0"/>
    <x v="0"/>
    <x v="1"/>
    <x v="13"/>
    <x v="7"/>
    <x v="5"/>
    <x v="5"/>
    <x v="26"/>
    <n v="7.2297909610526497E-5"/>
    <n v="2.6027247459789498E-4"/>
  </r>
  <r>
    <x v="0"/>
    <x v="0"/>
    <x v="0"/>
    <x v="0"/>
    <x v="1"/>
    <x v="13"/>
    <x v="8"/>
    <x v="4"/>
    <x v="6"/>
    <x v="27"/>
    <n v="0.83062384899999697"/>
    <n v="2.9902458563999899"/>
  </r>
  <r>
    <x v="0"/>
    <x v="0"/>
    <x v="0"/>
    <x v="0"/>
    <x v="1"/>
    <x v="14"/>
    <x v="5"/>
    <x v="1"/>
    <x v="1"/>
    <x v="16"/>
    <n v="-2.0720238718649399E-2"/>
    <n v="-7.4592859387137903E-2"/>
  </r>
  <r>
    <x v="0"/>
    <x v="0"/>
    <x v="0"/>
    <x v="0"/>
    <x v="1"/>
    <x v="15"/>
    <x v="8"/>
    <x v="4"/>
    <x v="6"/>
    <x v="30"/>
    <n v="3.6703436490038199"/>
    <n v="13.213237136413801"/>
  </r>
  <r>
    <x v="0"/>
    <x v="0"/>
    <x v="0"/>
    <x v="0"/>
    <x v="1"/>
    <x v="16"/>
    <x v="0"/>
    <x v="0"/>
    <x v="0"/>
    <x v="3"/>
    <n v="9.0276666666666702E-4"/>
    <n v="3.2499600000000001E-3"/>
  </r>
  <r>
    <x v="0"/>
    <x v="0"/>
    <x v="0"/>
    <x v="0"/>
    <x v="1"/>
    <x v="16"/>
    <x v="0"/>
    <x v="0"/>
    <x v="0"/>
    <x v="4"/>
    <n v="3.4066666666666698E-3"/>
    <n v="1.2264000000000001E-2"/>
  </r>
  <r>
    <x v="0"/>
    <x v="0"/>
    <x v="0"/>
    <x v="0"/>
    <x v="1"/>
    <x v="16"/>
    <x v="0"/>
    <x v="0"/>
    <x v="0"/>
    <x v="5"/>
    <n v="9.7669133333333404E-3"/>
    <n v="3.5160888000000001E-2"/>
  </r>
  <r>
    <x v="0"/>
    <x v="0"/>
    <x v="0"/>
    <x v="0"/>
    <x v="1"/>
    <x v="16"/>
    <x v="9"/>
    <x v="0"/>
    <x v="0"/>
    <x v="53"/>
    <n v="0.25740988644205398"/>
    <n v="0.92667559119139598"/>
  </r>
  <r>
    <x v="0"/>
    <x v="0"/>
    <x v="0"/>
    <x v="0"/>
    <x v="1"/>
    <x v="16"/>
    <x v="5"/>
    <x v="1"/>
    <x v="1"/>
    <x v="35"/>
    <n v="-1.41133333333333E-3"/>
    <n v="-5.0807999999999999E-3"/>
  </r>
  <r>
    <x v="0"/>
    <x v="0"/>
    <x v="0"/>
    <x v="0"/>
    <x v="1"/>
    <x v="16"/>
    <x v="2"/>
    <x v="0"/>
    <x v="0"/>
    <x v="54"/>
    <n v="0.36955036405348501"/>
    <n v="1.3303813105925499"/>
  </r>
  <r>
    <x v="0"/>
    <x v="0"/>
    <x v="0"/>
    <x v="0"/>
    <x v="1"/>
    <x v="16"/>
    <x v="2"/>
    <x v="0"/>
    <x v="0"/>
    <x v="55"/>
    <n v="4.8545000000000001E-4"/>
    <n v="1.7476200000000001E-3"/>
  </r>
  <r>
    <x v="0"/>
    <x v="0"/>
    <x v="0"/>
    <x v="0"/>
    <x v="1"/>
    <x v="16"/>
    <x v="2"/>
    <x v="0"/>
    <x v="0"/>
    <x v="44"/>
    <n v="8.4314999999999998E-4"/>
    <n v="3.0353400000000001E-3"/>
  </r>
  <r>
    <x v="0"/>
    <x v="0"/>
    <x v="0"/>
    <x v="0"/>
    <x v="1"/>
    <x v="16"/>
    <x v="2"/>
    <x v="0"/>
    <x v="0"/>
    <x v="45"/>
    <n v="2.4819999999999998E-2"/>
    <n v="8.9352000000000001E-2"/>
  </r>
  <r>
    <x v="0"/>
    <x v="0"/>
    <x v="0"/>
    <x v="0"/>
    <x v="1"/>
    <x v="16"/>
    <x v="2"/>
    <x v="0"/>
    <x v="0"/>
    <x v="46"/>
    <n v="2.7983333333333302E-3"/>
    <n v="1.0074E-2"/>
  </r>
  <r>
    <x v="0"/>
    <x v="0"/>
    <x v="0"/>
    <x v="0"/>
    <x v="1"/>
    <x v="17"/>
    <x v="2"/>
    <x v="0"/>
    <x v="0"/>
    <x v="54"/>
    <n v="0.12017076879895899"/>
    <n v="0.43261476767625201"/>
  </r>
</pivotCacheRecords>
</file>

<file path=xl/pivotCache/pivotCacheRecords5.xml><?xml version="1.0" encoding="utf-8"?>
<pivotCacheRecords xmlns="http://schemas.openxmlformats.org/spreadsheetml/2006/main" xmlns:r="http://schemas.openxmlformats.org/officeDocument/2006/relationships" count="1674">
  <r>
    <x v="0"/>
    <x v="0"/>
    <x v="0"/>
    <x v="0"/>
    <x v="0"/>
    <x v="0"/>
    <x v="0"/>
    <x v="0"/>
    <x v="0"/>
    <s v="GNR_ENG_BGAS_BP_E-36"/>
    <x v="0"/>
    <x v="0"/>
    <n v="0.81"/>
    <n v="197.1"/>
    <n v="709.56"/>
  </r>
  <r>
    <x v="0"/>
    <x v="0"/>
    <x v="0"/>
    <x v="0"/>
    <x v="0"/>
    <x v="0"/>
    <x v="0"/>
    <x v="0"/>
    <x v="0"/>
    <s v="GNR_ENG_BGAS_BP_E-36"/>
    <x v="0"/>
    <x v="1"/>
    <n v="0.81"/>
    <n v="197.1"/>
    <n v="709.56"/>
  </r>
  <r>
    <x v="0"/>
    <x v="0"/>
    <x v="0"/>
    <x v="0"/>
    <x v="0"/>
    <x v="0"/>
    <x v="0"/>
    <x v="0"/>
    <x v="0"/>
    <s v="GNR_ENG_BGAS_BP_E-36"/>
    <x v="0"/>
    <x v="2"/>
    <n v="0.81"/>
    <n v="197.1"/>
    <n v="709.56"/>
  </r>
  <r>
    <x v="0"/>
    <x v="0"/>
    <x v="0"/>
    <x v="0"/>
    <x v="0"/>
    <x v="0"/>
    <x v="0"/>
    <x v="0"/>
    <x v="0"/>
    <s v="GNR_ENG_BGAS_BP_E-37"/>
    <x v="0"/>
    <x v="0"/>
    <n v="0.5"/>
    <n v="121.666666666667"/>
    <n v="438"/>
  </r>
  <r>
    <x v="0"/>
    <x v="0"/>
    <x v="0"/>
    <x v="0"/>
    <x v="0"/>
    <x v="0"/>
    <x v="0"/>
    <x v="0"/>
    <x v="0"/>
    <s v="GNR_ENG_BGAS_BP_E-37"/>
    <x v="0"/>
    <x v="1"/>
    <n v="0.5"/>
    <n v="121.666666666667"/>
    <n v="438"/>
  </r>
  <r>
    <x v="0"/>
    <x v="0"/>
    <x v="0"/>
    <x v="0"/>
    <x v="0"/>
    <x v="0"/>
    <x v="0"/>
    <x v="0"/>
    <x v="0"/>
    <s v="GNR_ENG_BGAS_BP_E-37"/>
    <x v="0"/>
    <x v="2"/>
    <n v="0.5"/>
    <n v="121.666666666667"/>
    <n v="438"/>
  </r>
  <r>
    <x v="0"/>
    <x v="0"/>
    <x v="0"/>
    <x v="0"/>
    <x v="0"/>
    <x v="0"/>
    <x v="0"/>
    <x v="0"/>
    <x v="0"/>
    <s v="GNR_ENG_BGAS_BP_E-39"/>
    <x v="0"/>
    <x v="0"/>
    <n v="3.375"/>
    <n v="821.25"/>
    <n v="2956.5"/>
  </r>
  <r>
    <x v="0"/>
    <x v="0"/>
    <x v="0"/>
    <x v="0"/>
    <x v="0"/>
    <x v="0"/>
    <x v="0"/>
    <x v="0"/>
    <x v="0"/>
    <s v="GNR_ENG_BGAS_BP_E-39"/>
    <x v="0"/>
    <x v="1"/>
    <n v="3.375"/>
    <n v="821.25"/>
    <n v="2956.5"/>
  </r>
  <r>
    <x v="0"/>
    <x v="0"/>
    <x v="0"/>
    <x v="0"/>
    <x v="0"/>
    <x v="0"/>
    <x v="0"/>
    <x v="0"/>
    <x v="0"/>
    <s v="GNR_ENG_BGAS_BP_E-39"/>
    <x v="0"/>
    <x v="2"/>
    <n v="3.375"/>
    <n v="821.25"/>
    <n v="2956.5"/>
  </r>
  <r>
    <x v="0"/>
    <x v="0"/>
    <x v="0"/>
    <x v="0"/>
    <x v="0"/>
    <x v="0"/>
    <x v="0"/>
    <x v="0"/>
    <x v="0"/>
    <s v="GNR_ENG_BGAS_BP_E-40"/>
    <x v="0"/>
    <x v="0"/>
    <n v="1.2430000000000001"/>
    <n v="302.46333333333303"/>
    <n v="1088.8679999999999"/>
  </r>
  <r>
    <x v="0"/>
    <x v="0"/>
    <x v="0"/>
    <x v="0"/>
    <x v="0"/>
    <x v="0"/>
    <x v="0"/>
    <x v="0"/>
    <x v="0"/>
    <s v="GNR_ENG_BGAS_BP_E-40"/>
    <x v="0"/>
    <x v="1"/>
    <n v="1.2430000000000001"/>
    <n v="302.46333333333303"/>
    <n v="1088.8679999999999"/>
  </r>
  <r>
    <x v="0"/>
    <x v="0"/>
    <x v="0"/>
    <x v="0"/>
    <x v="0"/>
    <x v="0"/>
    <x v="0"/>
    <x v="0"/>
    <x v="0"/>
    <s v="GNR_ENG_BGAS_BP_E-40"/>
    <x v="0"/>
    <x v="2"/>
    <n v="1.2430000000000001"/>
    <n v="302.46333333333303"/>
    <n v="1088.8679999999999"/>
  </r>
  <r>
    <x v="0"/>
    <x v="0"/>
    <x v="0"/>
    <x v="0"/>
    <x v="0"/>
    <x v="0"/>
    <x v="0"/>
    <x v="0"/>
    <x v="0"/>
    <s v="GNR_ENG_BGAS_BP_E-41"/>
    <x v="0"/>
    <x v="0"/>
    <n v="2.677"/>
    <n v="651.40333333333297"/>
    <n v="2345.0520000000001"/>
  </r>
  <r>
    <x v="0"/>
    <x v="0"/>
    <x v="0"/>
    <x v="0"/>
    <x v="0"/>
    <x v="0"/>
    <x v="0"/>
    <x v="0"/>
    <x v="0"/>
    <s v="GNR_ENG_BGAS_BP_E-41"/>
    <x v="0"/>
    <x v="1"/>
    <n v="2.677"/>
    <n v="651.40333333333297"/>
    <n v="2345.0520000000001"/>
  </r>
  <r>
    <x v="0"/>
    <x v="0"/>
    <x v="0"/>
    <x v="0"/>
    <x v="0"/>
    <x v="0"/>
    <x v="0"/>
    <x v="0"/>
    <x v="0"/>
    <s v="GNR_ENG_BGAS_BP_E-41"/>
    <x v="0"/>
    <x v="2"/>
    <n v="2.677"/>
    <n v="651.40333333333297"/>
    <n v="2345.0520000000001"/>
  </r>
  <r>
    <x v="0"/>
    <x v="0"/>
    <x v="0"/>
    <x v="0"/>
    <x v="0"/>
    <x v="0"/>
    <x v="0"/>
    <x v="0"/>
    <x v="0"/>
    <s v="GNR_ENG_BGAS_BP_E-42"/>
    <x v="0"/>
    <x v="0"/>
    <n v="2.4750000000000001"/>
    <n v="602.25"/>
    <n v="2168.1"/>
  </r>
  <r>
    <x v="0"/>
    <x v="0"/>
    <x v="0"/>
    <x v="0"/>
    <x v="0"/>
    <x v="0"/>
    <x v="0"/>
    <x v="0"/>
    <x v="0"/>
    <s v="GNR_ENG_BGAS_BP_E-42"/>
    <x v="0"/>
    <x v="1"/>
    <n v="2.4750000000000001"/>
    <n v="602.25"/>
    <n v="2168.1"/>
  </r>
  <r>
    <x v="0"/>
    <x v="0"/>
    <x v="0"/>
    <x v="0"/>
    <x v="0"/>
    <x v="0"/>
    <x v="0"/>
    <x v="0"/>
    <x v="0"/>
    <s v="GNR_ENG_BGAS_BP_E-42"/>
    <x v="0"/>
    <x v="2"/>
    <n v="2.4750000000000001"/>
    <n v="602.25"/>
    <n v="2168.1"/>
  </r>
  <r>
    <x v="0"/>
    <x v="0"/>
    <x v="0"/>
    <x v="0"/>
    <x v="0"/>
    <x v="0"/>
    <x v="0"/>
    <x v="0"/>
    <x v="0"/>
    <s v="GNR_ENG_BGAS_BP_E-43"/>
    <x v="0"/>
    <x v="0"/>
    <n v="3.0470000000000002"/>
    <n v="741.43666666666695"/>
    <n v="2669.172"/>
  </r>
  <r>
    <x v="0"/>
    <x v="0"/>
    <x v="0"/>
    <x v="0"/>
    <x v="0"/>
    <x v="0"/>
    <x v="0"/>
    <x v="0"/>
    <x v="0"/>
    <s v="GNR_ENG_BGAS_BP_E-43"/>
    <x v="0"/>
    <x v="1"/>
    <n v="3.0470000000000002"/>
    <n v="741.43666666666695"/>
    <n v="2669.172"/>
  </r>
  <r>
    <x v="0"/>
    <x v="0"/>
    <x v="0"/>
    <x v="0"/>
    <x v="0"/>
    <x v="0"/>
    <x v="0"/>
    <x v="0"/>
    <x v="0"/>
    <s v="GNR_ENG_BGAS_BP_E-43"/>
    <x v="0"/>
    <x v="2"/>
    <n v="3.0470000000000002"/>
    <n v="741.43666666666695"/>
    <n v="2669.172"/>
  </r>
  <r>
    <x v="0"/>
    <x v="0"/>
    <x v="0"/>
    <x v="0"/>
    <x v="0"/>
    <x v="0"/>
    <x v="0"/>
    <x v="0"/>
    <x v="0"/>
    <s v="GNR_ENG_BGAS_BP_E-43"/>
    <x v="1"/>
    <x v="3"/>
    <n v="3.0470000000000002"/>
    <n v="741.43666666666695"/>
    <n v="2669.172"/>
  </r>
  <r>
    <x v="0"/>
    <x v="0"/>
    <x v="0"/>
    <x v="0"/>
    <x v="0"/>
    <x v="0"/>
    <x v="0"/>
    <x v="0"/>
    <x v="0"/>
    <s v="GNR_ENG_BGAS_BP_E-43"/>
    <x v="1"/>
    <x v="4"/>
    <n v="3.0470000000000002"/>
    <n v="741.43666666666695"/>
    <n v="2669.172"/>
  </r>
  <r>
    <x v="0"/>
    <x v="0"/>
    <x v="0"/>
    <x v="0"/>
    <x v="0"/>
    <x v="0"/>
    <x v="0"/>
    <x v="0"/>
    <x v="0"/>
    <s v="GNR_ENG_BGAS_BP_E-43"/>
    <x v="1"/>
    <x v="0"/>
    <n v="3.0470000000000002"/>
    <n v="741.43666666666695"/>
    <n v="2669.172"/>
  </r>
  <r>
    <x v="0"/>
    <x v="0"/>
    <x v="0"/>
    <x v="0"/>
    <x v="0"/>
    <x v="0"/>
    <x v="0"/>
    <x v="0"/>
    <x v="0"/>
    <s v="GNR_ENG_BGAS_BP_E-43"/>
    <x v="1"/>
    <x v="2"/>
    <n v="3.0470000000000002"/>
    <n v="741.43666666666695"/>
    <n v="2669.172"/>
  </r>
  <r>
    <x v="0"/>
    <x v="0"/>
    <x v="0"/>
    <x v="0"/>
    <x v="0"/>
    <x v="0"/>
    <x v="1"/>
    <x v="0"/>
    <x v="0"/>
    <s v="GNR_ENG_NGAS_BP_E-39"/>
    <x v="0"/>
    <x v="0"/>
    <n v="3.7"/>
    <n v="900.33333333333303"/>
    <n v="3241.2"/>
  </r>
  <r>
    <x v="0"/>
    <x v="0"/>
    <x v="0"/>
    <x v="0"/>
    <x v="0"/>
    <x v="0"/>
    <x v="1"/>
    <x v="0"/>
    <x v="0"/>
    <s v="GNR_ENG_NGAS_BP_E-39"/>
    <x v="0"/>
    <x v="1"/>
    <n v="3.7"/>
    <n v="900.33333333333303"/>
    <n v="3241.2"/>
  </r>
  <r>
    <x v="0"/>
    <x v="0"/>
    <x v="0"/>
    <x v="0"/>
    <x v="0"/>
    <x v="0"/>
    <x v="1"/>
    <x v="0"/>
    <x v="0"/>
    <s v="GNR_ENG_NGAS_BP_E-39"/>
    <x v="0"/>
    <x v="2"/>
    <n v="3.7"/>
    <n v="900.33333333333303"/>
    <n v="3241.2"/>
  </r>
  <r>
    <x v="0"/>
    <x v="0"/>
    <x v="0"/>
    <x v="0"/>
    <x v="0"/>
    <x v="0"/>
    <x v="1"/>
    <x v="0"/>
    <x v="0"/>
    <s v="GNR_ENG_NGAS_BP_E-39"/>
    <x v="1"/>
    <x v="3"/>
    <n v="3.7"/>
    <n v="900.33333333333303"/>
    <n v="3241.2"/>
  </r>
  <r>
    <x v="0"/>
    <x v="0"/>
    <x v="0"/>
    <x v="0"/>
    <x v="0"/>
    <x v="0"/>
    <x v="1"/>
    <x v="0"/>
    <x v="0"/>
    <s v="GNR_ENG_NGAS_BP_E-39"/>
    <x v="1"/>
    <x v="4"/>
    <n v="3.7"/>
    <n v="900.33333333333303"/>
    <n v="3241.2"/>
  </r>
  <r>
    <x v="0"/>
    <x v="0"/>
    <x v="0"/>
    <x v="0"/>
    <x v="0"/>
    <x v="0"/>
    <x v="1"/>
    <x v="0"/>
    <x v="0"/>
    <s v="GNR_ENG_NGAS_BP_E-39"/>
    <x v="1"/>
    <x v="0"/>
    <n v="3.7"/>
    <n v="900.33333333333303"/>
    <n v="3241.2"/>
  </r>
  <r>
    <x v="0"/>
    <x v="0"/>
    <x v="0"/>
    <x v="0"/>
    <x v="0"/>
    <x v="0"/>
    <x v="1"/>
    <x v="0"/>
    <x v="0"/>
    <s v="GNR_ENG_NGAS_BP_E-39"/>
    <x v="1"/>
    <x v="2"/>
    <n v="3.7"/>
    <n v="900.33333333333303"/>
    <n v="3241.2"/>
  </r>
  <r>
    <x v="0"/>
    <x v="0"/>
    <x v="0"/>
    <x v="0"/>
    <x v="0"/>
    <x v="0"/>
    <x v="1"/>
    <x v="0"/>
    <x v="0"/>
    <s v="GNR_ENG_NGAS_BP_E-42"/>
    <x v="0"/>
    <x v="0"/>
    <n v="2.2599999999999998"/>
    <n v="549.93333333333305"/>
    <n v="1979.76"/>
  </r>
  <r>
    <x v="0"/>
    <x v="0"/>
    <x v="0"/>
    <x v="0"/>
    <x v="0"/>
    <x v="0"/>
    <x v="1"/>
    <x v="0"/>
    <x v="0"/>
    <s v="GNR_ENG_NGAS_BP_E-42"/>
    <x v="0"/>
    <x v="1"/>
    <n v="2.2599999999999998"/>
    <n v="549.93333333333305"/>
    <n v="1979.76"/>
  </r>
  <r>
    <x v="0"/>
    <x v="0"/>
    <x v="0"/>
    <x v="0"/>
    <x v="0"/>
    <x v="0"/>
    <x v="1"/>
    <x v="0"/>
    <x v="0"/>
    <s v="GNR_ENG_NGAS_BP_E-42"/>
    <x v="0"/>
    <x v="2"/>
    <n v="2.2599999999999998"/>
    <n v="549.93333333333305"/>
    <n v="1979.76"/>
  </r>
  <r>
    <x v="0"/>
    <x v="0"/>
    <x v="0"/>
    <x v="0"/>
    <x v="0"/>
    <x v="0"/>
    <x v="1"/>
    <x v="0"/>
    <x v="0"/>
    <s v="GNR_ENG_NGAS_BP_E-42"/>
    <x v="0"/>
    <x v="5"/>
    <n v="2.2599999999999998"/>
    <n v="549.93333333333305"/>
    <n v="1979.76"/>
  </r>
  <r>
    <x v="0"/>
    <x v="0"/>
    <x v="0"/>
    <x v="0"/>
    <x v="0"/>
    <x v="0"/>
    <x v="1"/>
    <x v="0"/>
    <x v="0"/>
    <s v="GNR_ENG_NGAS_BP_E-42"/>
    <x v="1"/>
    <x v="3"/>
    <n v="2.2599999999999998"/>
    <n v="549.93333333333305"/>
    <n v="1979.76"/>
  </r>
  <r>
    <x v="0"/>
    <x v="0"/>
    <x v="0"/>
    <x v="0"/>
    <x v="0"/>
    <x v="0"/>
    <x v="1"/>
    <x v="0"/>
    <x v="0"/>
    <s v="GNR_ENG_NGAS_BP_E-42"/>
    <x v="1"/>
    <x v="4"/>
    <n v="2.2599999999999998"/>
    <n v="549.93333333333305"/>
    <n v="1979.76"/>
  </r>
  <r>
    <x v="0"/>
    <x v="0"/>
    <x v="0"/>
    <x v="0"/>
    <x v="0"/>
    <x v="0"/>
    <x v="1"/>
    <x v="0"/>
    <x v="0"/>
    <s v="GNR_ENG_NGAS_BP_E-42"/>
    <x v="1"/>
    <x v="6"/>
    <n v="2.2599999999999998"/>
    <n v="549.93333333333305"/>
    <n v="1979.76"/>
  </r>
  <r>
    <x v="0"/>
    <x v="0"/>
    <x v="0"/>
    <x v="0"/>
    <x v="0"/>
    <x v="0"/>
    <x v="1"/>
    <x v="0"/>
    <x v="0"/>
    <s v="GNR_ENG_NGAS_BP_E-42"/>
    <x v="1"/>
    <x v="0"/>
    <n v="2.2599999999999998"/>
    <n v="549.93333333333305"/>
    <n v="1979.76"/>
  </r>
  <r>
    <x v="0"/>
    <x v="0"/>
    <x v="0"/>
    <x v="0"/>
    <x v="0"/>
    <x v="0"/>
    <x v="1"/>
    <x v="0"/>
    <x v="0"/>
    <s v="GNR_ENG_NGAS_BP_E-42"/>
    <x v="1"/>
    <x v="2"/>
    <n v="2.2599999999999998"/>
    <n v="549.93333333333305"/>
    <n v="1979.76"/>
  </r>
  <r>
    <x v="0"/>
    <x v="0"/>
    <x v="0"/>
    <x v="0"/>
    <x v="0"/>
    <x v="0"/>
    <x v="1"/>
    <x v="0"/>
    <x v="0"/>
    <s v="GNR_ENG_NGAS_BP_E-43"/>
    <x v="0"/>
    <x v="7"/>
    <n v="3.04"/>
    <n v="739.73333333333301"/>
    <n v="2663.04"/>
  </r>
  <r>
    <x v="0"/>
    <x v="0"/>
    <x v="0"/>
    <x v="0"/>
    <x v="0"/>
    <x v="0"/>
    <x v="1"/>
    <x v="0"/>
    <x v="0"/>
    <s v="GNR_ENG_NGAS_BP_E-43"/>
    <x v="0"/>
    <x v="0"/>
    <n v="3.04"/>
    <n v="739.73333333333301"/>
    <n v="2663.04"/>
  </r>
  <r>
    <x v="0"/>
    <x v="0"/>
    <x v="0"/>
    <x v="0"/>
    <x v="0"/>
    <x v="0"/>
    <x v="1"/>
    <x v="0"/>
    <x v="0"/>
    <s v="GNR_ENG_NGAS_BP_E-43"/>
    <x v="0"/>
    <x v="1"/>
    <n v="3.04"/>
    <n v="739.73333333333301"/>
    <n v="2663.04"/>
  </r>
  <r>
    <x v="0"/>
    <x v="0"/>
    <x v="0"/>
    <x v="0"/>
    <x v="0"/>
    <x v="0"/>
    <x v="1"/>
    <x v="0"/>
    <x v="0"/>
    <s v="GNR_ENG_NGAS_BP_E-43"/>
    <x v="0"/>
    <x v="2"/>
    <n v="3.04"/>
    <n v="739.73333333333301"/>
    <n v="2663.04"/>
  </r>
  <r>
    <x v="0"/>
    <x v="0"/>
    <x v="0"/>
    <x v="0"/>
    <x v="0"/>
    <x v="0"/>
    <x v="1"/>
    <x v="0"/>
    <x v="0"/>
    <s v="GNR_ENG_NGAS_BP_E-43"/>
    <x v="0"/>
    <x v="5"/>
    <n v="3.04"/>
    <n v="739.73333333333301"/>
    <n v="2663.04"/>
  </r>
  <r>
    <x v="0"/>
    <x v="0"/>
    <x v="0"/>
    <x v="0"/>
    <x v="0"/>
    <x v="0"/>
    <x v="1"/>
    <x v="0"/>
    <x v="0"/>
    <s v="GNR_ENG_NGAS_BP_E-43"/>
    <x v="1"/>
    <x v="3"/>
    <n v="3.04"/>
    <n v="739.73333333333301"/>
    <n v="2663.04"/>
  </r>
  <r>
    <x v="0"/>
    <x v="0"/>
    <x v="0"/>
    <x v="0"/>
    <x v="0"/>
    <x v="0"/>
    <x v="1"/>
    <x v="0"/>
    <x v="0"/>
    <s v="GNR_ENG_NGAS_BP_E-43"/>
    <x v="1"/>
    <x v="4"/>
    <n v="3.04"/>
    <n v="739.73333333333301"/>
    <n v="2663.04"/>
  </r>
  <r>
    <x v="0"/>
    <x v="0"/>
    <x v="0"/>
    <x v="0"/>
    <x v="0"/>
    <x v="0"/>
    <x v="1"/>
    <x v="0"/>
    <x v="0"/>
    <s v="GNR_ENG_NGAS_BP_E-43"/>
    <x v="1"/>
    <x v="6"/>
    <n v="3.04"/>
    <n v="739.73333333333301"/>
    <n v="2663.04"/>
  </r>
  <r>
    <x v="0"/>
    <x v="0"/>
    <x v="0"/>
    <x v="0"/>
    <x v="0"/>
    <x v="0"/>
    <x v="1"/>
    <x v="0"/>
    <x v="0"/>
    <s v="GNR_ENG_NGAS_BP_E-43"/>
    <x v="1"/>
    <x v="0"/>
    <n v="3.04"/>
    <n v="739.73333333333301"/>
    <n v="2663.04"/>
  </r>
  <r>
    <x v="0"/>
    <x v="0"/>
    <x v="0"/>
    <x v="0"/>
    <x v="0"/>
    <x v="0"/>
    <x v="1"/>
    <x v="0"/>
    <x v="0"/>
    <s v="GNR_ENG_NGAS_BP_E-43"/>
    <x v="1"/>
    <x v="2"/>
    <n v="3.04"/>
    <n v="739.73333333333301"/>
    <n v="2663.04"/>
  </r>
  <r>
    <x v="0"/>
    <x v="0"/>
    <x v="0"/>
    <x v="0"/>
    <x v="0"/>
    <x v="0"/>
    <x v="1"/>
    <x v="0"/>
    <x v="0"/>
    <s v="GNR_ENG_NGAS_BP_E-46"/>
    <x v="0"/>
    <x v="7"/>
    <n v="0.73"/>
    <n v="177.63333333333301"/>
    <n v="639.48"/>
  </r>
  <r>
    <x v="0"/>
    <x v="0"/>
    <x v="0"/>
    <x v="0"/>
    <x v="0"/>
    <x v="0"/>
    <x v="1"/>
    <x v="0"/>
    <x v="0"/>
    <s v="GNR_ENG_NGAS_BP_E-46"/>
    <x v="0"/>
    <x v="0"/>
    <n v="0.73"/>
    <n v="177.63333333333301"/>
    <n v="639.48"/>
  </r>
  <r>
    <x v="0"/>
    <x v="0"/>
    <x v="0"/>
    <x v="0"/>
    <x v="0"/>
    <x v="0"/>
    <x v="1"/>
    <x v="0"/>
    <x v="0"/>
    <s v="GNR_ENG_NGAS_BP_E-46"/>
    <x v="0"/>
    <x v="1"/>
    <n v="0.73"/>
    <n v="177.63333333333301"/>
    <n v="639.48"/>
  </r>
  <r>
    <x v="0"/>
    <x v="0"/>
    <x v="0"/>
    <x v="0"/>
    <x v="0"/>
    <x v="0"/>
    <x v="1"/>
    <x v="0"/>
    <x v="0"/>
    <s v="GNR_ENG_NGAS_BP_E-46"/>
    <x v="0"/>
    <x v="2"/>
    <n v="0.73"/>
    <n v="177.63333333333301"/>
    <n v="639.48"/>
  </r>
  <r>
    <x v="0"/>
    <x v="0"/>
    <x v="0"/>
    <x v="0"/>
    <x v="0"/>
    <x v="0"/>
    <x v="1"/>
    <x v="0"/>
    <x v="0"/>
    <s v="GNR_ENG_NGAS_BP_E-46"/>
    <x v="0"/>
    <x v="5"/>
    <n v="0.73"/>
    <n v="177.63333333333301"/>
    <n v="639.48"/>
  </r>
  <r>
    <x v="0"/>
    <x v="0"/>
    <x v="0"/>
    <x v="0"/>
    <x v="0"/>
    <x v="0"/>
    <x v="1"/>
    <x v="0"/>
    <x v="0"/>
    <s v="GNR_ENG_NGAS_BP_E-46"/>
    <x v="0"/>
    <x v="8"/>
    <n v="0.73"/>
    <n v="177.63333333333301"/>
    <n v="639.48"/>
  </r>
  <r>
    <x v="0"/>
    <x v="0"/>
    <x v="0"/>
    <x v="0"/>
    <x v="0"/>
    <x v="0"/>
    <x v="1"/>
    <x v="0"/>
    <x v="0"/>
    <s v="GNR_ENG_NGAS_BP_E-46"/>
    <x v="1"/>
    <x v="3"/>
    <n v="0.73"/>
    <n v="177.63333333333301"/>
    <n v="639.48"/>
  </r>
  <r>
    <x v="0"/>
    <x v="0"/>
    <x v="0"/>
    <x v="0"/>
    <x v="0"/>
    <x v="0"/>
    <x v="1"/>
    <x v="0"/>
    <x v="0"/>
    <s v="GNR_ENG_NGAS_BP_E-46"/>
    <x v="1"/>
    <x v="4"/>
    <n v="0.73"/>
    <n v="177.63333333333301"/>
    <n v="639.48"/>
  </r>
  <r>
    <x v="0"/>
    <x v="0"/>
    <x v="0"/>
    <x v="0"/>
    <x v="0"/>
    <x v="0"/>
    <x v="1"/>
    <x v="0"/>
    <x v="0"/>
    <s v="GNR_ENG_NGAS_BP_E-46"/>
    <x v="1"/>
    <x v="6"/>
    <n v="0.73"/>
    <n v="177.63333333333301"/>
    <n v="639.48"/>
  </r>
  <r>
    <x v="0"/>
    <x v="0"/>
    <x v="0"/>
    <x v="0"/>
    <x v="0"/>
    <x v="0"/>
    <x v="1"/>
    <x v="0"/>
    <x v="0"/>
    <s v="GNR_ENG_NGAS_BP_E-46"/>
    <x v="1"/>
    <x v="0"/>
    <n v="0.73"/>
    <n v="177.63333333333301"/>
    <n v="639.48"/>
  </r>
  <r>
    <x v="0"/>
    <x v="0"/>
    <x v="0"/>
    <x v="0"/>
    <x v="0"/>
    <x v="0"/>
    <x v="1"/>
    <x v="0"/>
    <x v="0"/>
    <s v="GNR_ENG_NGAS_BP_E-46"/>
    <x v="1"/>
    <x v="1"/>
    <n v="0.73"/>
    <n v="177.63333333333301"/>
    <n v="639.48"/>
  </r>
  <r>
    <x v="0"/>
    <x v="0"/>
    <x v="0"/>
    <x v="0"/>
    <x v="0"/>
    <x v="0"/>
    <x v="1"/>
    <x v="0"/>
    <x v="0"/>
    <s v="GNR_ENG_NGAS_BP_E-46"/>
    <x v="1"/>
    <x v="2"/>
    <n v="0.73"/>
    <n v="177.63333333333301"/>
    <n v="639.48"/>
  </r>
  <r>
    <x v="0"/>
    <x v="0"/>
    <x v="0"/>
    <x v="0"/>
    <x v="0"/>
    <x v="0"/>
    <x v="1"/>
    <x v="0"/>
    <x v="0"/>
    <s v="GNR_GT_NGAS_BP_E-43_LS-40-MW_Y-2030"/>
    <x v="0"/>
    <x v="7"/>
    <n v="86.088067102687106"/>
    <n v="20948.096328320498"/>
    <n v="75413.146781953896"/>
  </r>
  <r>
    <x v="0"/>
    <x v="0"/>
    <x v="0"/>
    <x v="0"/>
    <x v="0"/>
    <x v="0"/>
    <x v="1"/>
    <x v="0"/>
    <x v="0"/>
    <s v="GNR_GT_NGAS_BP_E-43_LS-40-MW_Y-2030"/>
    <x v="0"/>
    <x v="0"/>
    <n v="86.088067102687106"/>
    <n v="20948.096328320498"/>
    <n v="75413.146781953896"/>
  </r>
  <r>
    <x v="0"/>
    <x v="0"/>
    <x v="0"/>
    <x v="0"/>
    <x v="0"/>
    <x v="0"/>
    <x v="1"/>
    <x v="0"/>
    <x v="0"/>
    <s v="GNR_GT_NGAS_BP_E-43_LS-40-MW_Y-2030"/>
    <x v="0"/>
    <x v="1"/>
    <n v="86.088067102687106"/>
    <n v="20948.096328320498"/>
    <n v="75413.146781953896"/>
  </r>
  <r>
    <x v="0"/>
    <x v="0"/>
    <x v="0"/>
    <x v="0"/>
    <x v="0"/>
    <x v="0"/>
    <x v="1"/>
    <x v="0"/>
    <x v="0"/>
    <s v="GNR_GT_NGAS_BP_E-43_LS-40-MW_Y-2030"/>
    <x v="0"/>
    <x v="2"/>
    <n v="86.088067102687106"/>
    <n v="20948.096328320498"/>
    <n v="75413.146781953896"/>
  </r>
  <r>
    <x v="0"/>
    <x v="0"/>
    <x v="0"/>
    <x v="0"/>
    <x v="0"/>
    <x v="0"/>
    <x v="1"/>
    <x v="0"/>
    <x v="0"/>
    <s v="GNR_GT_NGAS_BP_E-43_LS-40-MW_Y-2030"/>
    <x v="0"/>
    <x v="5"/>
    <n v="86.088067102687106"/>
    <n v="20948.096328320498"/>
    <n v="75413.146781953896"/>
  </r>
  <r>
    <x v="0"/>
    <x v="0"/>
    <x v="0"/>
    <x v="0"/>
    <x v="0"/>
    <x v="0"/>
    <x v="1"/>
    <x v="0"/>
    <x v="0"/>
    <s v="GNR_GT_NGAS_BP_E-43_LS-40-MW_Y-2030"/>
    <x v="1"/>
    <x v="3"/>
    <n v="86.088067102687106"/>
    <n v="20948.096328320498"/>
    <n v="75413.146781953896"/>
  </r>
  <r>
    <x v="0"/>
    <x v="0"/>
    <x v="0"/>
    <x v="0"/>
    <x v="0"/>
    <x v="0"/>
    <x v="1"/>
    <x v="0"/>
    <x v="0"/>
    <s v="GNR_GT_NGAS_BP_E-43_LS-40-MW_Y-2030"/>
    <x v="1"/>
    <x v="4"/>
    <n v="86.088067102687106"/>
    <n v="20948.096328320498"/>
    <n v="75413.146781953896"/>
  </r>
  <r>
    <x v="0"/>
    <x v="0"/>
    <x v="0"/>
    <x v="0"/>
    <x v="0"/>
    <x v="0"/>
    <x v="1"/>
    <x v="0"/>
    <x v="0"/>
    <s v="GNR_GT_NGAS_BP_E-43_LS-40-MW_Y-2030"/>
    <x v="1"/>
    <x v="6"/>
    <n v="86.088067102687106"/>
    <n v="20948.096328320498"/>
    <n v="75413.146781953896"/>
  </r>
  <r>
    <x v="0"/>
    <x v="0"/>
    <x v="0"/>
    <x v="0"/>
    <x v="0"/>
    <x v="0"/>
    <x v="1"/>
    <x v="0"/>
    <x v="0"/>
    <s v="GNR_GT_NGAS_BP_E-43_LS-40-MW_Y-2030"/>
    <x v="1"/>
    <x v="0"/>
    <n v="86.088067102687106"/>
    <n v="20948.096328320498"/>
    <n v="75413.146781953896"/>
  </r>
  <r>
    <x v="0"/>
    <x v="0"/>
    <x v="0"/>
    <x v="0"/>
    <x v="0"/>
    <x v="0"/>
    <x v="1"/>
    <x v="0"/>
    <x v="0"/>
    <s v="GNR_GT_NGAS_BP_E-43_LS-40-MW_Y-2030"/>
    <x v="1"/>
    <x v="2"/>
    <n v="86.088067102687106"/>
    <n v="20948.096328320498"/>
    <n v="75413.146781953896"/>
  </r>
  <r>
    <x v="0"/>
    <x v="0"/>
    <x v="0"/>
    <x v="0"/>
    <x v="0"/>
    <x v="0"/>
    <x v="2"/>
    <x v="0"/>
    <x v="0"/>
    <s v="GNR_ST_MSW_BP_E-24_LS-220-MW-FEED_Y-2030"/>
    <x v="0"/>
    <x v="9"/>
    <n v="214.95693545333"/>
    <n v="52306.187626977102"/>
    <n v="188302.27545711701"/>
  </r>
  <r>
    <x v="0"/>
    <x v="0"/>
    <x v="0"/>
    <x v="0"/>
    <x v="0"/>
    <x v="0"/>
    <x v="2"/>
    <x v="0"/>
    <x v="0"/>
    <s v="GNR_ST_MSW_BP_E-24_LS-220-MW-FEED_Y-2030"/>
    <x v="0"/>
    <x v="3"/>
    <n v="214.95693545333"/>
    <n v="52306.187626977102"/>
    <n v="188302.27545711701"/>
  </r>
  <r>
    <x v="0"/>
    <x v="0"/>
    <x v="0"/>
    <x v="0"/>
    <x v="0"/>
    <x v="0"/>
    <x v="2"/>
    <x v="0"/>
    <x v="0"/>
    <s v="GNR_ST_MSW_BP_E-24_LS-220-MW-FEED_Y-2030"/>
    <x v="0"/>
    <x v="10"/>
    <n v="214.95693545333"/>
    <n v="52306.187626977102"/>
    <n v="188302.27545711701"/>
  </r>
  <r>
    <x v="0"/>
    <x v="0"/>
    <x v="0"/>
    <x v="0"/>
    <x v="0"/>
    <x v="0"/>
    <x v="2"/>
    <x v="0"/>
    <x v="0"/>
    <s v="GNR_ST_MSW_BP_E-24_LS-220-MW-FEED_Y-2030"/>
    <x v="0"/>
    <x v="4"/>
    <n v="214.95693545333"/>
    <n v="52306.187626977102"/>
    <n v="188302.27545711701"/>
  </r>
  <r>
    <x v="0"/>
    <x v="0"/>
    <x v="0"/>
    <x v="0"/>
    <x v="0"/>
    <x v="0"/>
    <x v="2"/>
    <x v="0"/>
    <x v="0"/>
    <s v="GNR_ST_MSW_BP_E-24_LS-220-MW-FEED_Y-2030"/>
    <x v="0"/>
    <x v="6"/>
    <n v="214.95693545333"/>
    <n v="52306.187626977102"/>
    <n v="188302.27545711701"/>
  </r>
  <r>
    <x v="0"/>
    <x v="0"/>
    <x v="0"/>
    <x v="0"/>
    <x v="0"/>
    <x v="0"/>
    <x v="2"/>
    <x v="0"/>
    <x v="0"/>
    <s v="GNR_ST_MSW_BP_E-24_LS-220-MW-FEED_Y-2030"/>
    <x v="0"/>
    <x v="7"/>
    <n v="214.95693545333"/>
    <n v="52306.187626977102"/>
    <n v="188302.27545711701"/>
  </r>
  <r>
    <x v="0"/>
    <x v="0"/>
    <x v="0"/>
    <x v="0"/>
    <x v="0"/>
    <x v="0"/>
    <x v="2"/>
    <x v="0"/>
    <x v="0"/>
    <s v="GNR_ST_MSW_BP_E-24_LS-220-MW-FEED_Y-2030"/>
    <x v="0"/>
    <x v="0"/>
    <n v="214.95693545333"/>
    <n v="52306.187626977102"/>
    <n v="188302.27545711701"/>
  </r>
  <r>
    <x v="0"/>
    <x v="0"/>
    <x v="0"/>
    <x v="0"/>
    <x v="0"/>
    <x v="0"/>
    <x v="2"/>
    <x v="0"/>
    <x v="0"/>
    <s v="GNR_ST_MSW_BP_E-24_LS-220-MW-FEED_Y-2030"/>
    <x v="0"/>
    <x v="1"/>
    <n v="214.95693545333"/>
    <n v="52306.187626977102"/>
    <n v="188302.27545711701"/>
  </r>
  <r>
    <x v="0"/>
    <x v="0"/>
    <x v="0"/>
    <x v="0"/>
    <x v="0"/>
    <x v="0"/>
    <x v="2"/>
    <x v="0"/>
    <x v="0"/>
    <s v="GNR_ST_MSW_BP_E-24_LS-220-MW-FEED_Y-2030"/>
    <x v="0"/>
    <x v="2"/>
    <n v="214.95693545333"/>
    <n v="52306.187626977102"/>
    <n v="188302.27545711701"/>
  </r>
  <r>
    <x v="0"/>
    <x v="0"/>
    <x v="0"/>
    <x v="0"/>
    <x v="0"/>
    <x v="0"/>
    <x v="2"/>
    <x v="0"/>
    <x v="0"/>
    <s v="GNR_ST_MSW_BP_E-24_LS-220-MW-FEED_Y-2030"/>
    <x v="0"/>
    <x v="5"/>
    <n v="214.95693545333"/>
    <n v="52306.187626977102"/>
    <n v="188302.27545711701"/>
  </r>
  <r>
    <x v="0"/>
    <x v="0"/>
    <x v="0"/>
    <x v="0"/>
    <x v="0"/>
    <x v="0"/>
    <x v="2"/>
    <x v="0"/>
    <x v="0"/>
    <s v="GNR_ST_MSW_BP_E-24_LS-220-MW-FEED_Y-2030"/>
    <x v="0"/>
    <x v="11"/>
    <n v="214.95693545333"/>
    <n v="52306.187626977102"/>
    <n v="188302.27545711701"/>
  </r>
  <r>
    <x v="0"/>
    <x v="0"/>
    <x v="0"/>
    <x v="0"/>
    <x v="0"/>
    <x v="0"/>
    <x v="2"/>
    <x v="0"/>
    <x v="0"/>
    <s v="GNR_ST_MSW_BP_E-24_LS-220-MW-FEED_Y-2030"/>
    <x v="0"/>
    <x v="8"/>
    <n v="214.95693545333"/>
    <n v="52306.187626977102"/>
    <n v="188302.27545711701"/>
  </r>
  <r>
    <x v="0"/>
    <x v="0"/>
    <x v="0"/>
    <x v="0"/>
    <x v="0"/>
    <x v="0"/>
    <x v="2"/>
    <x v="0"/>
    <x v="0"/>
    <s v="GNR_ST_MSW_BP_E-24_LS-220-MW-FEED_Y-2030"/>
    <x v="2"/>
    <x v="9"/>
    <n v="214.95693545333"/>
    <n v="52306.187626977102"/>
    <n v="188302.27545711701"/>
  </r>
  <r>
    <x v="0"/>
    <x v="0"/>
    <x v="0"/>
    <x v="0"/>
    <x v="0"/>
    <x v="0"/>
    <x v="2"/>
    <x v="0"/>
    <x v="0"/>
    <s v="GNR_ST_MSW_BP_E-24_LS-220-MW-FEED_Y-2030"/>
    <x v="2"/>
    <x v="3"/>
    <n v="214.95693545333"/>
    <n v="52306.187626977102"/>
    <n v="188302.27545711701"/>
  </r>
  <r>
    <x v="0"/>
    <x v="0"/>
    <x v="0"/>
    <x v="0"/>
    <x v="0"/>
    <x v="0"/>
    <x v="2"/>
    <x v="0"/>
    <x v="0"/>
    <s v="GNR_ST_MSW_BP_E-24_LS-220-MW-FEED_Y-2030"/>
    <x v="2"/>
    <x v="10"/>
    <n v="214.95693545333"/>
    <n v="52306.187626977102"/>
    <n v="188302.27545711701"/>
  </r>
  <r>
    <x v="0"/>
    <x v="0"/>
    <x v="0"/>
    <x v="0"/>
    <x v="0"/>
    <x v="0"/>
    <x v="2"/>
    <x v="0"/>
    <x v="0"/>
    <s v="GNR_ST_MSW_BP_E-24_LS-220-MW-FEED_Y-2030"/>
    <x v="2"/>
    <x v="4"/>
    <n v="214.95693545333"/>
    <n v="52306.187626977102"/>
    <n v="188302.27545711701"/>
  </r>
  <r>
    <x v="0"/>
    <x v="0"/>
    <x v="0"/>
    <x v="0"/>
    <x v="0"/>
    <x v="0"/>
    <x v="2"/>
    <x v="0"/>
    <x v="0"/>
    <s v="GNR_ST_MSW_BP_E-24_LS-220-MW-FEED_Y-2030"/>
    <x v="2"/>
    <x v="6"/>
    <n v="214.95693545333"/>
    <n v="52306.187626977102"/>
    <n v="188302.27545711701"/>
  </r>
  <r>
    <x v="0"/>
    <x v="0"/>
    <x v="0"/>
    <x v="0"/>
    <x v="0"/>
    <x v="0"/>
    <x v="2"/>
    <x v="0"/>
    <x v="0"/>
    <s v="GNR_ST_MSW_BP_E-24_LS-220-MW-FEED_Y-2030"/>
    <x v="2"/>
    <x v="7"/>
    <n v="214.95693545333"/>
    <n v="52306.187626977102"/>
    <n v="188302.27545711701"/>
  </r>
  <r>
    <x v="0"/>
    <x v="0"/>
    <x v="0"/>
    <x v="0"/>
    <x v="0"/>
    <x v="0"/>
    <x v="2"/>
    <x v="0"/>
    <x v="0"/>
    <s v="GNR_ST_MSW_BP_E-24_LS-220-MW-FEED_Y-2030"/>
    <x v="2"/>
    <x v="0"/>
    <n v="214.95693545333"/>
    <n v="52306.187626977102"/>
    <n v="188302.27545711701"/>
  </r>
  <r>
    <x v="0"/>
    <x v="0"/>
    <x v="0"/>
    <x v="0"/>
    <x v="0"/>
    <x v="0"/>
    <x v="2"/>
    <x v="0"/>
    <x v="0"/>
    <s v="GNR_ST_MSW_BP_E-24_LS-220-MW-FEED_Y-2030"/>
    <x v="2"/>
    <x v="1"/>
    <n v="214.95693545333"/>
    <n v="52306.187626977102"/>
    <n v="188302.27545711701"/>
  </r>
  <r>
    <x v="0"/>
    <x v="0"/>
    <x v="0"/>
    <x v="0"/>
    <x v="0"/>
    <x v="0"/>
    <x v="2"/>
    <x v="0"/>
    <x v="0"/>
    <s v="GNR_ST_MSW_BP_E-24_LS-220-MW-FEED_Y-2030"/>
    <x v="2"/>
    <x v="2"/>
    <n v="214.95693545333"/>
    <n v="52306.187626977102"/>
    <n v="188302.27545711701"/>
  </r>
  <r>
    <x v="0"/>
    <x v="0"/>
    <x v="0"/>
    <x v="0"/>
    <x v="0"/>
    <x v="0"/>
    <x v="2"/>
    <x v="0"/>
    <x v="0"/>
    <s v="GNR_ST_MSW_BP_E-24_LS-220-MW-FEED_Y-2030"/>
    <x v="2"/>
    <x v="5"/>
    <n v="214.95693545333"/>
    <n v="52306.187626977102"/>
    <n v="188302.27545711701"/>
  </r>
  <r>
    <x v="0"/>
    <x v="0"/>
    <x v="0"/>
    <x v="0"/>
    <x v="0"/>
    <x v="0"/>
    <x v="2"/>
    <x v="0"/>
    <x v="0"/>
    <s v="GNR_ST_MSW_BP_E-24_LS-220-MW-FEED_Y-2030"/>
    <x v="2"/>
    <x v="11"/>
    <n v="214.95693545333"/>
    <n v="52306.187626977102"/>
    <n v="188302.27545711701"/>
  </r>
  <r>
    <x v="0"/>
    <x v="0"/>
    <x v="0"/>
    <x v="0"/>
    <x v="0"/>
    <x v="0"/>
    <x v="2"/>
    <x v="0"/>
    <x v="0"/>
    <s v="GNR_ST_MSW_BP_E-24_LS-220-MW-FEED_Y-2030"/>
    <x v="2"/>
    <x v="8"/>
    <n v="214.95693545333"/>
    <n v="52306.187626977102"/>
    <n v="188302.27545711701"/>
  </r>
  <r>
    <x v="0"/>
    <x v="0"/>
    <x v="0"/>
    <x v="0"/>
    <x v="0"/>
    <x v="0"/>
    <x v="2"/>
    <x v="0"/>
    <x v="0"/>
    <s v="GNR_ST_MSW_BP_E-24_LS-220-MW-FEED_Y-2030"/>
    <x v="1"/>
    <x v="9"/>
    <n v="214.95693545333"/>
    <n v="52306.187626977102"/>
    <n v="188302.27545711701"/>
  </r>
  <r>
    <x v="0"/>
    <x v="0"/>
    <x v="0"/>
    <x v="0"/>
    <x v="0"/>
    <x v="0"/>
    <x v="2"/>
    <x v="0"/>
    <x v="0"/>
    <s v="GNR_ST_MSW_BP_E-24_LS-220-MW-FEED_Y-2030"/>
    <x v="1"/>
    <x v="3"/>
    <n v="214.95693545333"/>
    <n v="52306.187626977102"/>
    <n v="188302.27545711701"/>
  </r>
  <r>
    <x v="0"/>
    <x v="0"/>
    <x v="0"/>
    <x v="0"/>
    <x v="0"/>
    <x v="0"/>
    <x v="2"/>
    <x v="0"/>
    <x v="0"/>
    <s v="GNR_ST_MSW_BP_E-24_LS-220-MW-FEED_Y-2030"/>
    <x v="1"/>
    <x v="10"/>
    <n v="214.95693545333"/>
    <n v="52306.187626977102"/>
    <n v="188302.27545711701"/>
  </r>
  <r>
    <x v="0"/>
    <x v="0"/>
    <x v="0"/>
    <x v="0"/>
    <x v="0"/>
    <x v="0"/>
    <x v="2"/>
    <x v="0"/>
    <x v="0"/>
    <s v="GNR_ST_MSW_BP_E-24_LS-220-MW-FEED_Y-2030"/>
    <x v="1"/>
    <x v="4"/>
    <n v="214.95693545333"/>
    <n v="52306.187626977102"/>
    <n v="188302.27545711701"/>
  </r>
  <r>
    <x v="0"/>
    <x v="0"/>
    <x v="0"/>
    <x v="0"/>
    <x v="0"/>
    <x v="0"/>
    <x v="2"/>
    <x v="0"/>
    <x v="0"/>
    <s v="GNR_ST_MSW_BP_E-24_LS-220-MW-FEED_Y-2030"/>
    <x v="1"/>
    <x v="6"/>
    <n v="214.95693545333"/>
    <n v="52306.187626977102"/>
    <n v="188302.27545711701"/>
  </r>
  <r>
    <x v="0"/>
    <x v="0"/>
    <x v="0"/>
    <x v="0"/>
    <x v="0"/>
    <x v="0"/>
    <x v="2"/>
    <x v="0"/>
    <x v="0"/>
    <s v="GNR_ST_MSW_BP_E-24_LS-220-MW-FEED_Y-2030"/>
    <x v="1"/>
    <x v="7"/>
    <n v="214.95693545333"/>
    <n v="52306.187626977102"/>
    <n v="188302.27545711701"/>
  </r>
  <r>
    <x v="0"/>
    <x v="0"/>
    <x v="0"/>
    <x v="0"/>
    <x v="0"/>
    <x v="0"/>
    <x v="2"/>
    <x v="0"/>
    <x v="0"/>
    <s v="GNR_ST_MSW_BP_E-24_LS-220-MW-FEED_Y-2030"/>
    <x v="1"/>
    <x v="0"/>
    <n v="214.95693545333"/>
    <n v="52306.187626977102"/>
    <n v="188302.27545711701"/>
  </r>
  <r>
    <x v="0"/>
    <x v="0"/>
    <x v="0"/>
    <x v="0"/>
    <x v="0"/>
    <x v="0"/>
    <x v="2"/>
    <x v="0"/>
    <x v="0"/>
    <s v="GNR_ST_MSW_BP_E-24_LS-220-MW-FEED_Y-2030"/>
    <x v="1"/>
    <x v="1"/>
    <n v="214.95693545333"/>
    <n v="52306.187626977102"/>
    <n v="188302.27545711701"/>
  </r>
  <r>
    <x v="0"/>
    <x v="0"/>
    <x v="0"/>
    <x v="0"/>
    <x v="0"/>
    <x v="0"/>
    <x v="2"/>
    <x v="0"/>
    <x v="0"/>
    <s v="GNR_ST_MSW_BP_E-24_LS-220-MW-FEED_Y-2030"/>
    <x v="1"/>
    <x v="2"/>
    <n v="214.95693545333"/>
    <n v="52306.187626977102"/>
    <n v="188302.27545711701"/>
  </r>
  <r>
    <x v="0"/>
    <x v="0"/>
    <x v="0"/>
    <x v="0"/>
    <x v="0"/>
    <x v="0"/>
    <x v="2"/>
    <x v="0"/>
    <x v="0"/>
    <s v="GNR_ST_MSW_BP_E-24_LS-220-MW-FEED_Y-2030"/>
    <x v="1"/>
    <x v="5"/>
    <n v="214.95693545333"/>
    <n v="52306.187626977102"/>
    <n v="188302.27545711701"/>
  </r>
  <r>
    <x v="0"/>
    <x v="0"/>
    <x v="0"/>
    <x v="0"/>
    <x v="0"/>
    <x v="0"/>
    <x v="2"/>
    <x v="0"/>
    <x v="0"/>
    <s v="GNR_ST_MSW_BP_E-24_LS-220-MW-FEED_Y-2030"/>
    <x v="1"/>
    <x v="11"/>
    <n v="214.95693545333"/>
    <n v="52306.187626977102"/>
    <n v="188302.27545711701"/>
  </r>
  <r>
    <x v="0"/>
    <x v="0"/>
    <x v="0"/>
    <x v="0"/>
    <x v="0"/>
    <x v="0"/>
    <x v="2"/>
    <x v="0"/>
    <x v="0"/>
    <s v="GNR_ST_MSW_BP_E-24_LS-220-MW-FEED_Y-2030"/>
    <x v="1"/>
    <x v="8"/>
    <n v="214.95693545333"/>
    <n v="52306.187626977102"/>
    <n v="188302.27545711701"/>
  </r>
  <r>
    <x v="0"/>
    <x v="0"/>
    <x v="0"/>
    <x v="0"/>
    <x v="0"/>
    <x v="0"/>
    <x v="2"/>
    <x v="0"/>
    <x v="0"/>
    <s v="GNR_ST_MSW_BP_E-27"/>
    <x v="0"/>
    <x v="9"/>
    <n v="17.899999999999999"/>
    <n v="4355.6666666666697"/>
    <n v="15680.4"/>
  </r>
  <r>
    <x v="0"/>
    <x v="0"/>
    <x v="0"/>
    <x v="0"/>
    <x v="0"/>
    <x v="0"/>
    <x v="2"/>
    <x v="0"/>
    <x v="0"/>
    <s v="GNR_ST_MSW_BP_E-27"/>
    <x v="0"/>
    <x v="3"/>
    <n v="17.899999999999999"/>
    <n v="4355.6666666666697"/>
    <n v="15680.4"/>
  </r>
  <r>
    <x v="0"/>
    <x v="0"/>
    <x v="0"/>
    <x v="0"/>
    <x v="0"/>
    <x v="0"/>
    <x v="2"/>
    <x v="0"/>
    <x v="0"/>
    <s v="GNR_ST_MSW_BP_E-27"/>
    <x v="0"/>
    <x v="10"/>
    <n v="17.899999999999999"/>
    <n v="4355.6666666666697"/>
    <n v="15680.4"/>
  </r>
  <r>
    <x v="0"/>
    <x v="0"/>
    <x v="0"/>
    <x v="0"/>
    <x v="0"/>
    <x v="0"/>
    <x v="2"/>
    <x v="0"/>
    <x v="0"/>
    <s v="GNR_ST_MSW_BP_E-27"/>
    <x v="0"/>
    <x v="4"/>
    <n v="17.899999999999999"/>
    <n v="4355.6666666666697"/>
    <n v="15680.4"/>
  </r>
  <r>
    <x v="0"/>
    <x v="0"/>
    <x v="0"/>
    <x v="0"/>
    <x v="0"/>
    <x v="0"/>
    <x v="2"/>
    <x v="0"/>
    <x v="0"/>
    <s v="GNR_ST_MSW_BP_E-27"/>
    <x v="0"/>
    <x v="6"/>
    <n v="17.899999999999999"/>
    <n v="4355.6666666666697"/>
    <n v="15680.4"/>
  </r>
  <r>
    <x v="0"/>
    <x v="0"/>
    <x v="0"/>
    <x v="0"/>
    <x v="0"/>
    <x v="0"/>
    <x v="2"/>
    <x v="0"/>
    <x v="0"/>
    <s v="GNR_ST_MSW_BP_E-27"/>
    <x v="0"/>
    <x v="7"/>
    <n v="17.899999999999999"/>
    <n v="4355.6666666666697"/>
    <n v="15680.4"/>
  </r>
  <r>
    <x v="0"/>
    <x v="0"/>
    <x v="0"/>
    <x v="0"/>
    <x v="0"/>
    <x v="0"/>
    <x v="2"/>
    <x v="0"/>
    <x v="0"/>
    <s v="GNR_ST_MSW_BP_E-27"/>
    <x v="0"/>
    <x v="0"/>
    <n v="17.899999999999999"/>
    <n v="4355.6666666666697"/>
    <n v="15680.4"/>
  </r>
  <r>
    <x v="0"/>
    <x v="0"/>
    <x v="0"/>
    <x v="0"/>
    <x v="0"/>
    <x v="0"/>
    <x v="2"/>
    <x v="0"/>
    <x v="0"/>
    <s v="GNR_ST_MSW_BP_E-27"/>
    <x v="0"/>
    <x v="1"/>
    <n v="17.899999999999999"/>
    <n v="4355.6666666666697"/>
    <n v="15680.4"/>
  </r>
  <r>
    <x v="0"/>
    <x v="0"/>
    <x v="0"/>
    <x v="0"/>
    <x v="0"/>
    <x v="0"/>
    <x v="2"/>
    <x v="0"/>
    <x v="0"/>
    <s v="GNR_ST_MSW_BP_E-27"/>
    <x v="0"/>
    <x v="2"/>
    <n v="17.899999999999999"/>
    <n v="4355.6666666666697"/>
    <n v="15680.4"/>
  </r>
  <r>
    <x v="0"/>
    <x v="0"/>
    <x v="0"/>
    <x v="0"/>
    <x v="0"/>
    <x v="0"/>
    <x v="2"/>
    <x v="0"/>
    <x v="0"/>
    <s v="GNR_ST_MSW_BP_E-27"/>
    <x v="0"/>
    <x v="5"/>
    <n v="17.899999999999999"/>
    <n v="4355.6666666666697"/>
    <n v="15680.4"/>
  </r>
  <r>
    <x v="0"/>
    <x v="0"/>
    <x v="0"/>
    <x v="0"/>
    <x v="0"/>
    <x v="0"/>
    <x v="2"/>
    <x v="0"/>
    <x v="0"/>
    <s v="GNR_ST_MSW_BP_E-27"/>
    <x v="0"/>
    <x v="11"/>
    <n v="17.899999999999999"/>
    <n v="4355.6666666666697"/>
    <n v="15680.4"/>
  </r>
  <r>
    <x v="0"/>
    <x v="0"/>
    <x v="0"/>
    <x v="0"/>
    <x v="0"/>
    <x v="0"/>
    <x v="2"/>
    <x v="0"/>
    <x v="0"/>
    <s v="GNR_ST_MSW_BP_E-27"/>
    <x v="0"/>
    <x v="8"/>
    <n v="17.899999999999999"/>
    <n v="4355.6666666666697"/>
    <n v="15680.4"/>
  </r>
  <r>
    <x v="0"/>
    <x v="0"/>
    <x v="0"/>
    <x v="0"/>
    <x v="0"/>
    <x v="0"/>
    <x v="2"/>
    <x v="0"/>
    <x v="0"/>
    <s v="GNR_ST_MSW_BP_E-27"/>
    <x v="2"/>
    <x v="9"/>
    <n v="17.899999999999999"/>
    <n v="4355.6666666666697"/>
    <n v="15680.4"/>
  </r>
  <r>
    <x v="0"/>
    <x v="0"/>
    <x v="0"/>
    <x v="0"/>
    <x v="0"/>
    <x v="0"/>
    <x v="2"/>
    <x v="0"/>
    <x v="0"/>
    <s v="GNR_ST_MSW_BP_E-27"/>
    <x v="2"/>
    <x v="3"/>
    <n v="17.899999999999999"/>
    <n v="4355.6666666666697"/>
    <n v="15680.4"/>
  </r>
  <r>
    <x v="0"/>
    <x v="0"/>
    <x v="0"/>
    <x v="0"/>
    <x v="0"/>
    <x v="0"/>
    <x v="2"/>
    <x v="0"/>
    <x v="0"/>
    <s v="GNR_ST_MSW_BP_E-27"/>
    <x v="2"/>
    <x v="10"/>
    <n v="17.899999999999999"/>
    <n v="4355.6666666666697"/>
    <n v="15680.4"/>
  </r>
  <r>
    <x v="0"/>
    <x v="0"/>
    <x v="0"/>
    <x v="0"/>
    <x v="0"/>
    <x v="0"/>
    <x v="2"/>
    <x v="0"/>
    <x v="0"/>
    <s v="GNR_ST_MSW_BP_E-27"/>
    <x v="2"/>
    <x v="4"/>
    <n v="17.899999999999999"/>
    <n v="4355.6666666666697"/>
    <n v="15680.4"/>
  </r>
  <r>
    <x v="0"/>
    <x v="0"/>
    <x v="0"/>
    <x v="0"/>
    <x v="0"/>
    <x v="0"/>
    <x v="2"/>
    <x v="0"/>
    <x v="0"/>
    <s v="GNR_ST_MSW_BP_E-27"/>
    <x v="2"/>
    <x v="6"/>
    <n v="17.899999999999999"/>
    <n v="4355.6666666666697"/>
    <n v="15680.4"/>
  </r>
  <r>
    <x v="0"/>
    <x v="0"/>
    <x v="0"/>
    <x v="0"/>
    <x v="0"/>
    <x v="0"/>
    <x v="2"/>
    <x v="0"/>
    <x v="0"/>
    <s v="GNR_ST_MSW_BP_E-27"/>
    <x v="2"/>
    <x v="7"/>
    <n v="17.899999999999999"/>
    <n v="4355.6666666666697"/>
    <n v="15680.4"/>
  </r>
  <r>
    <x v="0"/>
    <x v="0"/>
    <x v="0"/>
    <x v="0"/>
    <x v="0"/>
    <x v="0"/>
    <x v="2"/>
    <x v="0"/>
    <x v="0"/>
    <s v="GNR_ST_MSW_BP_E-27"/>
    <x v="2"/>
    <x v="0"/>
    <n v="17.899999999999999"/>
    <n v="4355.6666666666697"/>
    <n v="15680.4"/>
  </r>
  <r>
    <x v="0"/>
    <x v="0"/>
    <x v="0"/>
    <x v="0"/>
    <x v="0"/>
    <x v="0"/>
    <x v="2"/>
    <x v="0"/>
    <x v="0"/>
    <s v="GNR_ST_MSW_BP_E-27"/>
    <x v="2"/>
    <x v="1"/>
    <n v="17.899999999999999"/>
    <n v="4355.6666666666697"/>
    <n v="15680.4"/>
  </r>
  <r>
    <x v="0"/>
    <x v="0"/>
    <x v="0"/>
    <x v="0"/>
    <x v="0"/>
    <x v="0"/>
    <x v="2"/>
    <x v="0"/>
    <x v="0"/>
    <s v="GNR_ST_MSW_BP_E-27"/>
    <x v="2"/>
    <x v="2"/>
    <n v="17.899999999999999"/>
    <n v="4355.6666666666697"/>
    <n v="15680.4"/>
  </r>
  <r>
    <x v="0"/>
    <x v="0"/>
    <x v="0"/>
    <x v="0"/>
    <x v="0"/>
    <x v="0"/>
    <x v="2"/>
    <x v="0"/>
    <x v="0"/>
    <s v="GNR_ST_MSW_BP_E-27"/>
    <x v="2"/>
    <x v="5"/>
    <n v="17.899999999999999"/>
    <n v="4355.6666666666697"/>
    <n v="15680.4"/>
  </r>
  <r>
    <x v="0"/>
    <x v="0"/>
    <x v="0"/>
    <x v="0"/>
    <x v="0"/>
    <x v="0"/>
    <x v="2"/>
    <x v="0"/>
    <x v="0"/>
    <s v="GNR_ST_MSW_BP_E-27"/>
    <x v="2"/>
    <x v="11"/>
    <n v="17.899999999999999"/>
    <n v="4355.6666666666697"/>
    <n v="15680.4"/>
  </r>
  <r>
    <x v="0"/>
    <x v="0"/>
    <x v="0"/>
    <x v="0"/>
    <x v="0"/>
    <x v="0"/>
    <x v="2"/>
    <x v="0"/>
    <x v="0"/>
    <s v="GNR_ST_MSW_BP_E-27"/>
    <x v="2"/>
    <x v="8"/>
    <n v="17.899999999999999"/>
    <n v="4355.6666666666697"/>
    <n v="15680.4"/>
  </r>
  <r>
    <x v="0"/>
    <x v="0"/>
    <x v="0"/>
    <x v="0"/>
    <x v="0"/>
    <x v="0"/>
    <x v="2"/>
    <x v="0"/>
    <x v="0"/>
    <s v="GNR_ST_MSW_BP_E-27"/>
    <x v="1"/>
    <x v="9"/>
    <n v="17.899999999999999"/>
    <n v="4355.6666666666697"/>
    <n v="15680.4"/>
  </r>
  <r>
    <x v="0"/>
    <x v="0"/>
    <x v="0"/>
    <x v="0"/>
    <x v="0"/>
    <x v="0"/>
    <x v="2"/>
    <x v="0"/>
    <x v="0"/>
    <s v="GNR_ST_MSW_BP_E-27"/>
    <x v="1"/>
    <x v="3"/>
    <n v="17.899999999999999"/>
    <n v="4355.6666666666697"/>
    <n v="15680.4"/>
  </r>
  <r>
    <x v="0"/>
    <x v="0"/>
    <x v="0"/>
    <x v="0"/>
    <x v="0"/>
    <x v="0"/>
    <x v="2"/>
    <x v="0"/>
    <x v="0"/>
    <s v="GNR_ST_MSW_BP_E-27"/>
    <x v="1"/>
    <x v="10"/>
    <n v="17.899999999999999"/>
    <n v="4355.6666666666697"/>
    <n v="15680.4"/>
  </r>
  <r>
    <x v="0"/>
    <x v="0"/>
    <x v="0"/>
    <x v="0"/>
    <x v="0"/>
    <x v="0"/>
    <x v="2"/>
    <x v="0"/>
    <x v="0"/>
    <s v="GNR_ST_MSW_BP_E-27"/>
    <x v="1"/>
    <x v="4"/>
    <n v="17.899999999999999"/>
    <n v="4355.6666666666697"/>
    <n v="15680.4"/>
  </r>
  <r>
    <x v="0"/>
    <x v="0"/>
    <x v="0"/>
    <x v="0"/>
    <x v="0"/>
    <x v="0"/>
    <x v="2"/>
    <x v="0"/>
    <x v="0"/>
    <s v="GNR_ST_MSW_BP_E-27"/>
    <x v="1"/>
    <x v="6"/>
    <n v="17.899999999999999"/>
    <n v="4355.6666666666697"/>
    <n v="15680.4"/>
  </r>
  <r>
    <x v="0"/>
    <x v="0"/>
    <x v="0"/>
    <x v="0"/>
    <x v="0"/>
    <x v="0"/>
    <x v="2"/>
    <x v="0"/>
    <x v="0"/>
    <s v="GNR_ST_MSW_BP_E-27"/>
    <x v="1"/>
    <x v="7"/>
    <n v="17.899999999999999"/>
    <n v="4355.6666666666697"/>
    <n v="15680.4"/>
  </r>
  <r>
    <x v="0"/>
    <x v="0"/>
    <x v="0"/>
    <x v="0"/>
    <x v="0"/>
    <x v="0"/>
    <x v="2"/>
    <x v="0"/>
    <x v="0"/>
    <s v="GNR_ST_MSW_BP_E-27"/>
    <x v="1"/>
    <x v="0"/>
    <n v="17.899999999999999"/>
    <n v="4355.6666666666697"/>
    <n v="15680.4"/>
  </r>
  <r>
    <x v="0"/>
    <x v="0"/>
    <x v="0"/>
    <x v="0"/>
    <x v="0"/>
    <x v="0"/>
    <x v="2"/>
    <x v="0"/>
    <x v="0"/>
    <s v="GNR_ST_MSW_BP_E-27"/>
    <x v="1"/>
    <x v="1"/>
    <n v="17.899999999999999"/>
    <n v="4355.6666666666697"/>
    <n v="15680.4"/>
  </r>
  <r>
    <x v="0"/>
    <x v="0"/>
    <x v="0"/>
    <x v="0"/>
    <x v="0"/>
    <x v="0"/>
    <x v="2"/>
    <x v="0"/>
    <x v="0"/>
    <s v="GNR_ST_MSW_BP_E-27"/>
    <x v="1"/>
    <x v="2"/>
    <n v="17.899999999999999"/>
    <n v="4355.6666666666697"/>
    <n v="15680.4"/>
  </r>
  <r>
    <x v="0"/>
    <x v="0"/>
    <x v="0"/>
    <x v="0"/>
    <x v="0"/>
    <x v="0"/>
    <x v="2"/>
    <x v="0"/>
    <x v="0"/>
    <s v="GNR_ST_MSW_BP_E-27"/>
    <x v="1"/>
    <x v="5"/>
    <n v="17.899999999999999"/>
    <n v="4355.6666666666697"/>
    <n v="15680.4"/>
  </r>
  <r>
    <x v="0"/>
    <x v="0"/>
    <x v="0"/>
    <x v="0"/>
    <x v="0"/>
    <x v="0"/>
    <x v="2"/>
    <x v="0"/>
    <x v="0"/>
    <s v="GNR_ST_MSW_BP_E-27"/>
    <x v="1"/>
    <x v="11"/>
    <n v="17.899999999999999"/>
    <n v="4355.6666666666697"/>
    <n v="15680.4"/>
  </r>
  <r>
    <x v="0"/>
    <x v="0"/>
    <x v="0"/>
    <x v="0"/>
    <x v="0"/>
    <x v="0"/>
    <x v="2"/>
    <x v="0"/>
    <x v="0"/>
    <s v="GNR_ST_MSW_BP_E-27"/>
    <x v="1"/>
    <x v="8"/>
    <n v="17.899999999999999"/>
    <n v="4355.6666666666697"/>
    <n v="15680.4"/>
  </r>
  <r>
    <x v="0"/>
    <x v="0"/>
    <x v="0"/>
    <x v="0"/>
    <x v="0"/>
    <x v="0"/>
    <x v="3"/>
    <x v="0"/>
    <x v="0"/>
    <s v="GNR_ST_STRW_BP_E-26"/>
    <x v="0"/>
    <x v="3"/>
    <n v="31"/>
    <n v="7543.3333333333303"/>
    <n v="27156"/>
  </r>
  <r>
    <x v="0"/>
    <x v="0"/>
    <x v="0"/>
    <x v="0"/>
    <x v="0"/>
    <x v="0"/>
    <x v="3"/>
    <x v="0"/>
    <x v="0"/>
    <s v="GNR_ST_STRW_BP_E-26"/>
    <x v="0"/>
    <x v="4"/>
    <n v="31"/>
    <n v="7543.3333333333303"/>
    <n v="27156"/>
  </r>
  <r>
    <x v="0"/>
    <x v="0"/>
    <x v="0"/>
    <x v="0"/>
    <x v="0"/>
    <x v="0"/>
    <x v="3"/>
    <x v="0"/>
    <x v="0"/>
    <s v="GNR_ST_STRW_BP_E-26"/>
    <x v="0"/>
    <x v="7"/>
    <n v="31"/>
    <n v="7543.3333333333303"/>
    <n v="27156"/>
  </r>
  <r>
    <x v="0"/>
    <x v="0"/>
    <x v="0"/>
    <x v="0"/>
    <x v="0"/>
    <x v="0"/>
    <x v="3"/>
    <x v="0"/>
    <x v="0"/>
    <s v="GNR_ST_STRW_BP_E-26"/>
    <x v="0"/>
    <x v="0"/>
    <n v="31"/>
    <n v="7543.3333333333303"/>
    <n v="27156"/>
  </r>
  <r>
    <x v="0"/>
    <x v="0"/>
    <x v="0"/>
    <x v="0"/>
    <x v="0"/>
    <x v="0"/>
    <x v="3"/>
    <x v="0"/>
    <x v="0"/>
    <s v="GNR_ST_STRW_BP_E-26"/>
    <x v="0"/>
    <x v="1"/>
    <n v="31"/>
    <n v="7543.3333333333303"/>
    <n v="27156"/>
  </r>
  <r>
    <x v="0"/>
    <x v="0"/>
    <x v="0"/>
    <x v="0"/>
    <x v="0"/>
    <x v="0"/>
    <x v="3"/>
    <x v="0"/>
    <x v="0"/>
    <s v="GNR_ST_STRW_BP_E-26"/>
    <x v="0"/>
    <x v="2"/>
    <n v="31"/>
    <n v="7543.3333333333303"/>
    <n v="27156"/>
  </r>
  <r>
    <x v="0"/>
    <x v="0"/>
    <x v="0"/>
    <x v="0"/>
    <x v="0"/>
    <x v="0"/>
    <x v="3"/>
    <x v="0"/>
    <x v="0"/>
    <s v="GNR_ST_STRW_BP_E-26"/>
    <x v="0"/>
    <x v="5"/>
    <n v="31"/>
    <n v="7543.3333333333303"/>
    <n v="27156"/>
  </r>
  <r>
    <x v="0"/>
    <x v="0"/>
    <x v="0"/>
    <x v="0"/>
    <x v="0"/>
    <x v="0"/>
    <x v="3"/>
    <x v="0"/>
    <x v="0"/>
    <s v="GNR_ST_STRW_BP_E-26"/>
    <x v="0"/>
    <x v="11"/>
    <n v="31"/>
    <n v="7543.3333333333303"/>
    <n v="27156"/>
  </r>
  <r>
    <x v="0"/>
    <x v="0"/>
    <x v="0"/>
    <x v="0"/>
    <x v="0"/>
    <x v="0"/>
    <x v="3"/>
    <x v="0"/>
    <x v="0"/>
    <s v="GNR_ST_STRW_BP_E-26"/>
    <x v="0"/>
    <x v="8"/>
    <n v="31"/>
    <n v="7543.3333333333303"/>
    <n v="27156"/>
  </r>
  <r>
    <x v="0"/>
    <x v="0"/>
    <x v="0"/>
    <x v="0"/>
    <x v="0"/>
    <x v="0"/>
    <x v="3"/>
    <x v="0"/>
    <x v="0"/>
    <s v="GNR_ST_STRW_BP_E-26"/>
    <x v="2"/>
    <x v="10"/>
    <n v="13.8126663591392"/>
    <n v="3361.0821473905298"/>
    <n v="12099.8957306059"/>
  </r>
  <r>
    <x v="0"/>
    <x v="0"/>
    <x v="0"/>
    <x v="0"/>
    <x v="0"/>
    <x v="0"/>
    <x v="3"/>
    <x v="0"/>
    <x v="0"/>
    <s v="GNR_ST_STRW_BP_E-26"/>
    <x v="2"/>
    <x v="4"/>
    <n v="31"/>
    <n v="7543.3333333333303"/>
    <n v="27156"/>
  </r>
  <r>
    <x v="0"/>
    <x v="0"/>
    <x v="0"/>
    <x v="0"/>
    <x v="0"/>
    <x v="0"/>
    <x v="3"/>
    <x v="0"/>
    <x v="0"/>
    <s v="GNR_ST_STRW_BP_E-26"/>
    <x v="1"/>
    <x v="3"/>
    <n v="31"/>
    <n v="7543.3333333333303"/>
    <n v="27156"/>
  </r>
  <r>
    <x v="0"/>
    <x v="0"/>
    <x v="0"/>
    <x v="0"/>
    <x v="0"/>
    <x v="0"/>
    <x v="3"/>
    <x v="0"/>
    <x v="0"/>
    <s v="GNR_ST_STRW_BP_E-26"/>
    <x v="1"/>
    <x v="4"/>
    <n v="31"/>
    <n v="7543.3333333333303"/>
    <n v="27156"/>
  </r>
  <r>
    <x v="0"/>
    <x v="0"/>
    <x v="0"/>
    <x v="0"/>
    <x v="0"/>
    <x v="0"/>
    <x v="3"/>
    <x v="0"/>
    <x v="0"/>
    <s v="GNR_ST_STRW_BP_E-26"/>
    <x v="1"/>
    <x v="6"/>
    <n v="31"/>
    <n v="7543.3333333333303"/>
    <n v="27156"/>
  </r>
  <r>
    <x v="0"/>
    <x v="0"/>
    <x v="0"/>
    <x v="0"/>
    <x v="0"/>
    <x v="0"/>
    <x v="3"/>
    <x v="0"/>
    <x v="0"/>
    <s v="GNR_ST_STRW_BP_E-26"/>
    <x v="1"/>
    <x v="0"/>
    <n v="31"/>
    <n v="7543.3333333333303"/>
    <n v="27156"/>
  </r>
  <r>
    <x v="0"/>
    <x v="0"/>
    <x v="0"/>
    <x v="0"/>
    <x v="0"/>
    <x v="0"/>
    <x v="3"/>
    <x v="0"/>
    <x v="0"/>
    <s v="GNR_ST_STRW_BP_E-26"/>
    <x v="1"/>
    <x v="1"/>
    <n v="31"/>
    <n v="7543.3333333333303"/>
    <n v="27156"/>
  </r>
  <r>
    <x v="0"/>
    <x v="0"/>
    <x v="0"/>
    <x v="0"/>
    <x v="0"/>
    <x v="0"/>
    <x v="3"/>
    <x v="0"/>
    <x v="0"/>
    <s v="GNR_ST_STRW_BP_E-26"/>
    <x v="1"/>
    <x v="2"/>
    <n v="31"/>
    <n v="7543.3333333333303"/>
    <n v="27156"/>
  </r>
  <r>
    <x v="0"/>
    <x v="0"/>
    <x v="0"/>
    <x v="0"/>
    <x v="0"/>
    <x v="0"/>
    <x v="4"/>
    <x v="0"/>
    <x v="0"/>
    <s v="GNR_ST_WOODCHI_BP_E-23"/>
    <x v="0"/>
    <x v="7"/>
    <n v="7.5"/>
    <n v="1825"/>
    <n v="6570"/>
  </r>
  <r>
    <x v="0"/>
    <x v="0"/>
    <x v="0"/>
    <x v="0"/>
    <x v="0"/>
    <x v="0"/>
    <x v="4"/>
    <x v="0"/>
    <x v="0"/>
    <s v="GNR_ST_WOODCHI_BP_E-23"/>
    <x v="0"/>
    <x v="0"/>
    <n v="7.5"/>
    <n v="1825"/>
    <n v="6570"/>
  </r>
  <r>
    <x v="0"/>
    <x v="0"/>
    <x v="0"/>
    <x v="0"/>
    <x v="0"/>
    <x v="0"/>
    <x v="4"/>
    <x v="0"/>
    <x v="0"/>
    <s v="GNR_ST_WOODCHI_BP_E-23"/>
    <x v="0"/>
    <x v="1"/>
    <n v="7.5"/>
    <n v="1825"/>
    <n v="6570"/>
  </r>
  <r>
    <x v="0"/>
    <x v="0"/>
    <x v="0"/>
    <x v="0"/>
    <x v="0"/>
    <x v="0"/>
    <x v="4"/>
    <x v="0"/>
    <x v="0"/>
    <s v="GNR_ST_WOODCHI_BP_E-23"/>
    <x v="0"/>
    <x v="2"/>
    <n v="7.5"/>
    <n v="1825"/>
    <n v="6570"/>
  </r>
  <r>
    <x v="0"/>
    <x v="0"/>
    <x v="0"/>
    <x v="0"/>
    <x v="0"/>
    <x v="0"/>
    <x v="4"/>
    <x v="0"/>
    <x v="0"/>
    <s v="GNR_ST_WOODCHI_BP_E-23"/>
    <x v="0"/>
    <x v="5"/>
    <n v="7.5"/>
    <n v="1825"/>
    <n v="6570"/>
  </r>
  <r>
    <x v="0"/>
    <x v="0"/>
    <x v="0"/>
    <x v="0"/>
    <x v="0"/>
    <x v="0"/>
    <x v="4"/>
    <x v="0"/>
    <x v="0"/>
    <s v="GNR_ST_WOODCHI_BP_E-23"/>
    <x v="1"/>
    <x v="3"/>
    <n v="7.5"/>
    <n v="1825"/>
    <n v="6570"/>
  </r>
  <r>
    <x v="0"/>
    <x v="0"/>
    <x v="0"/>
    <x v="0"/>
    <x v="0"/>
    <x v="0"/>
    <x v="4"/>
    <x v="0"/>
    <x v="0"/>
    <s v="GNR_ST_WOODCHI_BP_E-23"/>
    <x v="1"/>
    <x v="4"/>
    <n v="7.5"/>
    <n v="1825"/>
    <n v="6570"/>
  </r>
  <r>
    <x v="0"/>
    <x v="0"/>
    <x v="0"/>
    <x v="0"/>
    <x v="0"/>
    <x v="0"/>
    <x v="4"/>
    <x v="0"/>
    <x v="0"/>
    <s v="GNR_ST_WOODCHI_BP_E-23"/>
    <x v="1"/>
    <x v="0"/>
    <n v="7.5"/>
    <n v="1825"/>
    <n v="6570"/>
  </r>
  <r>
    <x v="0"/>
    <x v="0"/>
    <x v="0"/>
    <x v="0"/>
    <x v="0"/>
    <x v="0"/>
    <x v="4"/>
    <x v="0"/>
    <x v="0"/>
    <s v="GNR_ST_WOODCHI_BP_E-23"/>
    <x v="1"/>
    <x v="2"/>
    <n v="7.5"/>
    <n v="1825"/>
    <n v="6570"/>
  </r>
  <r>
    <x v="0"/>
    <x v="0"/>
    <x v="0"/>
    <x v="0"/>
    <x v="0"/>
    <x v="1"/>
    <x v="5"/>
    <x v="1"/>
    <x v="1"/>
    <s v="GNR_BO_ELEC_E-99_LS-10-MW-FEED_PHH_Y-2030"/>
    <x v="0"/>
    <x v="9"/>
    <n v="-88.807854156560396"/>
    <n v="-21609.911178096401"/>
    <n v="-77795.680241146896"/>
  </r>
  <r>
    <x v="0"/>
    <x v="0"/>
    <x v="0"/>
    <x v="0"/>
    <x v="0"/>
    <x v="1"/>
    <x v="5"/>
    <x v="1"/>
    <x v="1"/>
    <s v="GNR_BO_ELEC_E-99_LS-10-MW-FEED_PHH_Y-2030"/>
    <x v="2"/>
    <x v="9"/>
    <n v="-88.807854156560396"/>
    <n v="-21609.911178096401"/>
    <n v="-77795.680241146896"/>
  </r>
  <r>
    <x v="0"/>
    <x v="0"/>
    <x v="0"/>
    <x v="0"/>
    <x v="0"/>
    <x v="1"/>
    <x v="5"/>
    <x v="1"/>
    <x v="1"/>
    <s v="GNR_BO_ELEC_E-99_LS-10-MW-FEED_PHH_Y-2030"/>
    <x v="2"/>
    <x v="6"/>
    <n v="-88.807854156560396"/>
    <n v="-21609.911178096401"/>
    <n v="-77795.680241146896"/>
  </r>
  <r>
    <x v="0"/>
    <x v="0"/>
    <x v="0"/>
    <x v="0"/>
    <x v="0"/>
    <x v="1"/>
    <x v="5"/>
    <x v="1"/>
    <x v="1"/>
    <s v="GNR_BO_ELEC_E-99_LS-10-MW-FEED_PHH_Y-2030"/>
    <x v="2"/>
    <x v="7"/>
    <n v="-88.807854156560396"/>
    <n v="-21609.911178096401"/>
    <n v="-77795.680241146896"/>
  </r>
  <r>
    <x v="0"/>
    <x v="0"/>
    <x v="0"/>
    <x v="0"/>
    <x v="0"/>
    <x v="1"/>
    <x v="5"/>
    <x v="1"/>
    <x v="1"/>
    <s v="GNR_BO_ELEC_E-99_LS-10-MW-FEED_PHH_Y-2030"/>
    <x v="2"/>
    <x v="0"/>
    <n v="-88.807854156560396"/>
    <n v="-21609.911178096401"/>
    <n v="-77795.680241146896"/>
  </r>
  <r>
    <x v="0"/>
    <x v="0"/>
    <x v="0"/>
    <x v="0"/>
    <x v="0"/>
    <x v="2"/>
    <x v="1"/>
    <x v="0"/>
    <x v="0"/>
    <s v="GNR_ENG_NGAS_BP_E-41"/>
    <x v="0"/>
    <x v="3"/>
    <n v="3.02"/>
    <n v="734.86666666666702"/>
    <n v="2645.52"/>
  </r>
  <r>
    <x v="0"/>
    <x v="0"/>
    <x v="0"/>
    <x v="0"/>
    <x v="0"/>
    <x v="2"/>
    <x v="1"/>
    <x v="0"/>
    <x v="0"/>
    <s v="GNR_ENG_NGAS_BP_E-41"/>
    <x v="0"/>
    <x v="7"/>
    <n v="3.02"/>
    <n v="734.86666666666702"/>
    <n v="2645.52"/>
  </r>
  <r>
    <x v="0"/>
    <x v="0"/>
    <x v="0"/>
    <x v="0"/>
    <x v="0"/>
    <x v="2"/>
    <x v="1"/>
    <x v="0"/>
    <x v="0"/>
    <s v="GNR_ENG_NGAS_BP_E-41"/>
    <x v="0"/>
    <x v="0"/>
    <n v="3.02"/>
    <n v="734.86666666666702"/>
    <n v="2645.52"/>
  </r>
  <r>
    <x v="0"/>
    <x v="0"/>
    <x v="0"/>
    <x v="0"/>
    <x v="0"/>
    <x v="2"/>
    <x v="1"/>
    <x v="0"/>
    <x v="0"/>
    <s v="GNR_ENG_NGAS_BP_E-41"/>
    <x v="0"/>
    <x v="1"/>
    <n v="3.02"/>
    <n v="734.86666666666702"/>
    <n v="2645.52"/>
  </r>
  <r>
    <x v="0"/>
    <x v="0"/>
    <x v="0"/>
    <x v="0"/>
    <x v="0"/>
    <x v="2"/>
    <x v="1"/>
    <x v="0"/>
    <x v="0"/>
    <s v="GNR_ENG_NGAS_BP_E-41"/>
    <x v="0"/>
    <x v="2"/>
    <n v="3.02"/>
    <n v="734.86666666666702"/>
    <n v="2645.52"/>
  </r>
  <r>
    <x v="0"/>
    <x v="0"/>
    <x v="0"/>
    <x v="0"/>
    <x v="0"/>
    <x v="2"/>
    <x v="1"/>
    <x v="0"/>
    <x v="0"/>
    <s v="GNR_ENG_NGAS_BP_E-41"/>
    <x v="0"/>
    <x v="5"/>
    <n v="3.02"/>
    <n v="734.86666666666702"/>
    <n v="2645.52"/>
  </r>
  <r>
    <x v="0"/>
    <x v="0"/>
    <x v="0"/>
    <x v="0"/>
    <x v="0"/>
    <x v="2"/>
    <x v="1"/>
    <x v="0"/>
    <x v="0"/>
    <s v="GNR_ENG_NGAS_BP_E-41"/>
    <x v="0"/>
    <x v="8"/>
    <n v="3.02"/>
    <n v="734.86666666666702"/>
    <n v="2645.52"/>
  </r>
  <r>
    <x v="0"/>
    <x v="0"/>
    <x v="0"/>
    <x v="0"/>
    <x v="0"/>
    <x v="2"/>
    <x v="1"/>
    <x v="0"/>
    <x v="0"/>
    <s v="GNR_ENG_NGAS_BP_E-41"/>
    <x v="1"/>
    <x v="3"/>
    <n v="3.02"/>
    <n v="734.86666666666702"/>
    <n v="2645.52"/>
  </r>
  <r>
    <x v="0"/>
    <x v="0"/>
    <x v="0"/>
    <x v="0"/>
    <x v="0"/>
    <x v="2"/>
    <x v="1"/>
    <x v="0"/>
    <x v="0"/>
    <s v="GNR_ENG_NGAS_BP_E-41"/>
    <x v="1"/>
    <x v="4"/>
    <n v="3.02"/>
    <n v="734.86666666666702"/>
    <n v="2645.52"/>
  </r>
  <r>
    <x v="0"/>
    <x v="0"/>
    <x v="0"/>
    <x v="0"/>
    <x v="0"/>
    <x v="2"/>
    <x v="1"/>
    <x v="0"/>
    <x v="0"/>
    <s v="GNR_ENG_NGAS_BP_E-41"/>
    <x v="1"/>
    <x v="6"/>
    <n v="3.02"/>
    <n v="734.86666666666702"/>
    <n v="2645.52"/>
  </r>
  <r>
    <x v="0"/>
    <x v="0"/>
    <x v="0"/>
    <x v="0"/>
    <x v="0"/>
    <x v="2"/>
    <x v="1"/>
    <x v="0"/>
    <x v="0"/>
    <s v="GNR_ENG_NGAS_BP_E-41"/>
    <x v="1"/>
    <x v="0"/>
    <n v="3.02"/>
    <n v="734.86666666666702"/>
    <n v="2645.52"/>
  </r>
  <r>
    <x v="0"/>
    <x v="0"/>
    <x v="0"/>
    <x v="0"/>
    <x v="0"/>
    <x v="2"/>
    <x v="1"/>
    <x v="0"/>
    <x v="0"/>
    <s v="GNR_ENG_NGAS_BP_E-41"/>
    <x v="1"/>
    <x v="1"/>
    <n v="3.02"/>
    <n v="734.86666666666702"/>
    <n v="2645.52"/>
  </r>
  <r>
    <x v="0"/>
    <x v="0"/>
    <x v="0"/>
    <x v="0"/>
    <x v="0"/>
    <x v="2"/>
    <x v="1"/>
    <x v="0"/>
    <x v="0"/>
    <s v="GNR_ENG_NGAS_BP_E-41"/>
    <x v="1"/>
    <x v="2"/>
    <n v="3.02"/>
    <n v="734.86666666666702"/>
    <n v="2645.52"/>
  </r>
  <r>
    <x v="0"/>
    <x v="0"/>
    <x v="0"/>
    <x v="0"/>
    <x v="0"/>
    <x v="2"/>
    <x v="5"/>
    <x v="1"/>
    <x v="1"/>
    <s v="GNR_HP_ELEC_GROUND-WTR_COP-380_LS-4-MW_Y-2030"/>
    <x v="0"/>
    <x v="9"/>
    <n v="-49.665527688920399"/>
    <n v="-12085.278404303999"/>
    <n v="-43507.002255494299"/>
  </r>
  <r>
    <x v="0"/>
    <x v="0"/>
    <x v="0"/>
    <x v="0"/>
    <x v="0"/>
    <x v="2"/>
    <x v="5"/>
    <x v="1"/>
    <x v="1"/>
    <s v="GNR_HP_ELEC_GROUND-WTR_COP-380_LS-4-MW_Y-2030"/>
    <x v="0"/>
    <x v="3"/>
    <n v="-49.665527688920399"/>
    <n v="-12085.278404303999"/>
    <n v="-43507.002255494299"/>
  </r>
  <r>
    <x v="0"/>
    <x v="0"/>
    <x v="0"/>
    <x v="0"/>
    <x v="0"/>
    <x v="2"/>
    <x v="5"/>
    <x v="1"/>
    <x v="1"/>
    <s v="GNR_HP_ELEC_GROUND-WTR_COP-380_LS-4-MW_Y-2030"/>
    <x v="0"/>
    <x v="10"/>
    <n v="-49.665527688920399"/>
    <n v="-12085.278404303999"/>
    <n v="-43507.002255494299"/>
  </r>
  <r>
    <x v="0"/>
    <x v="0"/>
    <x v="0"/>
    <x v="0"/>
    <x v="0"/>
    <x v="2"/>
    <x v="5"/>
    <x v="1"/>
    <x v="1"/>
    <s v="GNR_HP_ELEC_GROUND-WTR_COP-380_LS-4-MW_Y-2030"/>
    <x v="0"/>
    <x v="4"/>
    <n v="-49.665527688920399"/>
    <n v="-12085.278404303999"/>
    <n v="-43507.002255494299"/>
  </r>
  <r>
    <x v="0"/>
    <x v="0"/>
    <x v="0"/>
    <x v="0"/>
    <x v="0"/>
    <x v="2"/>
    <x v="5"/>
    <x v="1"/>
    <x v="1"/>
    <s v="GNR_HP_ELEC_GROUND-WTR_COP-380_LS-4-MW_Y-2030"/>
    <x v="0"/>
    <x v="6"/>
    <n v="-49.665527688920399"/>
    <n v="-12085.278404303999"/>
    <n v="-43507.002255494299"/>
  </r>
  <r>
    <x v="0"/>
    <x v="0"/>
    <x v="0"/>
    <x v="0"/>
    <x v="0"/>
    <x v="2"/>
    <x v="5"/>
    <x v="1"/>
    <x v="1"/>
    <s v="GNR_HP_ELEC_GROUND-WTR_COP-380_LS-4-MW_Y-2030"/>
    <x v="0"/>
    <x v="7"/>
    <n v="-49.665527688920399"/>
    <n v="-12085.278404303999"/>
    <n v="-43507.002255494299"/>
  </r>
  <r>
    <x v="0"/>
    <x v="0"/>
    <x v="0"/>
    <x v="0"/>
    <x v="0"/>
    <x v="2"/>
    <x v="5"/>
    <x v="1"/>
    <x v="1"/>
    <s v="GNR_HP_ELEC_GROUND-WTR_COP-380_LS-4-MW_Y-2030"/>
    <x v="0"/>
    <x v="5"/>
    <n v="-49.665527688920399"/>
    <n v="-12085.278404303999"/>
    <n v="-43507.002255494299"/>
  </r>
  <r>
    <x v="0"/>
    <x v="0"/>
    <x v="0"/>
    <x v="0"/>
    <x v="0"/>
    <x v="2"/>
    <x v="5"/>
    <x v="1"/>
    <x v="1"/>
    <s v="GNR_HP_ELEC_GROUND-WTR_COP-380_LS-4-MW_Y-2030"/>
    <x v="0"/>
    <x v="11"/>
    <n v="-49.665527688920399"/>
    <n v="-12085.278404303999"/>
    <n v="-43507.002255494299"/>
  </r>
  <r>
    <x v="0"/>
    <x v="0"/>
    <x v="0"/>
    <x v="0"/>
    <x v="0"/>
    <x v="2"/>
    <x v="5"/>
    <x v="1"/>
    <x v="1"/>
    <s v="GNR_HP_ELEC_GROUND-WTR_COP-380_LS-4-MW_Y-2030"/>
    <x v="0"/>
    <x v="8"/>
    <n v="-49.665527688920399"/>
    <n v="-12085.278404303999"/>
    <n v="-43507.002255494299"/>
  </r>
  <r>
    <x v="0"/>
    <x v="0"/>
    <x v="0"/>
    <x v="0"/>
    <x v="0"/>
    <x v="2"/>
    <x v="5"/>
    <x v="1"/>
    <x v="1"/>
    <s v="GNR_HP_ELEC_GROUND-WTR_COP-380_LS-4-MW_Y-2030"/>
    <x v="2"/>
    <x v="9"/>
    <n v="-49.665527688920399"/>
    <n v="-12085.278404303999"/>
    <n v="-43507.002255494299"/>
  </r>
  <r>
    <x v="0"/>
    <x v="0"/>
    <x v="0"/>
    <x v="0"/>
    <x v="0"/>
    <x v="2"/>
    <x v="5"/>
    <x v="1"/>
    <x v="1"/>
    <s v="GNR_HP_ELEC_GROUND-WTR_COP-380_LS-4-MW_Y-2030"/>
    <x v="2"/>
    <x v="3"/>
    <n v="-49.665527688920399"/>
    <n v="-12085.278404303999"/>
    <n v="-43507.002255494299"/>
  </r>
  <r>
    <x v="0"/>
    <x v="0"/>
    <x v="0"/>
    <x v="0"/>
    <x v="0"/>
    <x v="2"/>
    <x v="5"/>
    <x v="1"/>
    <x v="1"/>
    <s v="GNR_HP_ELEC_GROUND-WTR_COP-380_LS-4-MW_Y-2030"/>
    <x v="2"/>
    <x v="10"/>
    <n v="-49.665527688920399"/>
    <n v="-12085.278404303999"/>
    <n v="-43507.002255494299"/>
  </r>
  <r>
    <x v="0"/>
    <x v="0"/>
    <x v="0"/>
    <x v="0"/>
    <x v="0"/>
    <x v="2"/>
    <x v="5"/>
    <x v="1"/>
    <x v="1"/>
    <s v="GNR_HP_ELEC_GROUND-WTR_COP-380_LS-4-MW_Y-2030"/>
    <x v="2"/>
    <x v="4"/>
    <n v="-49.665527688920399"/>
    <n v="-12085.278404303999"/>
    <n v="-43507.002255494299"/>
  </r>
  <r>
    <x v="0"/>
    <x v="0"/>
    <x v="0"/>
    <x v="0"/>
    <x v="0"/>
    <x v="2"/>
    <x v="5"/>
    <x v="1"/>
    <x v="1"/>
    <s v="GNR_HP_ELEC_GROUND-WTR_COP-380_LS-4-MW_Y-2030"/>
    <x v="2"/>
    <x v="6"/>
    <n v="-49.665527688920399"/>
    <n v="-12085.278404303999"/>
    <n v="-43507.002255494299"/>
  </r>
  <r>
    <x v="0"/>
    <x v="0"/>
    <x v="0"/>
    <x v="0"/>
    <x v="0"/>
    <x v="2"/>
    <x v="5"/>
    <x v="1"/>
    <x v="1"/>
    <s v="GNR_HP_ELEC_GROUND-WTR_COP-380_LS-4-MW_Y-2030"/>
    <x v="2"/>
    <x v="7"/>
    <n v="-49.665527688920399"/>
    <n v="-12085.278404303999"/>
    <n v="-43507.002255494299"/>
  </r>
  <r>
    <x v="0"/>
    <x v="0"/>
    <x v="0"/>
    <x v="0"/>
    <x v="0"/>
    <x v="2"/>
    <x v="5"/>
    <x v="1"/>
    <x v="1"/>
    <s v="GNR_HP_ELEC_GROUND-WTR_COP-380_LS-4-MW_Y-2030"/>
    <x v="2"/>
    <x v="0"/>
    <n v="-49.665527688920399"/>
    <n v="-12085.278404303999"/>
    <n v="-43507.002255494299"/>
  </r>
  <r>
    <x v="0"/>
    <x v="0"/>
    <x v="0"/>
    <x v="0"/>
    <x v="0"/>
    <x v="2"/>
    <x v="5"/>
    <x v="1"/>
    <x v="1"/>
    <s v="GNR_HP_ELEC_GROUND-WTR_COP-380_LS-4-MW_Y-2030"/>
    <x v="2"/>
    <x v="1"/>
    <n v="-49.665527688920399"/>
    <n v="-12085.278404303999"/>
    <n v="-43507.002255494299"/>
  </r>
  <r>
    <x v="0"/>
    <x v="0"/>
    <x v="0"/>
    <x v="0"/>
    <x v="0"/>
    <x v="2"/>
    <x v="5"/>
    <x v="1"/>
    <x v="1"/>
    <s v="GNR_HP_ELEC_GROUND-WTR_COP-380_LS-4-MW_Y-2030"/>
    <x v="2"/>
    <x v="2"/>
    <n v="-49.665527688920399"/>
    <n v="-12085.278404303999"/>
    <n v="-43507.002255494299"/>
  </r>
  <r>
    <x v="0"/>
    <x v="0"/>
    <x v="0"/>
    <x v="0"/>
    <x v="0"/>
    <x v="2"/>
    <x v="5"/>
    <x v="1"/>
    <x v="1"/>
    <s v="GNR_HP_ELEC_GROUND-WTR_COP-380_LS-4-MW_Y-2030"/>
    <x v="2"/>
    <x v="5"/>
    <n v="-49.665527688920399"/>
    <n v="-12085.278404303999"/>
    <n v="-43507.002255494299"/>
  </r>
  <r>
    <x v="0"/>
    <x v="0"/>
    <x v="0"/>
    <x v="0"/>
    <x v="0"/>
    <x v="2"/>
    <x v="5"/>
    <x v="1"/>
    <x v="1"/>
    <s v="GNR_HP_ELEC_GROUND-WTR_COP-380_LS-4-MW_Y-2030"/>
    <x v="2"/>
    <x v="11"/>
    <n v="-49.665527688920399"/>
    <n v="-12085.278404303999"/>
    <n v="-43507.002255494299"/>
  </r>
  <r>
    <x v="0"/>
    <x v="0"/>
    <x v="0"/>
    <x v="0"/>
    <x v="0"/>
    <x v="2"/>
    <x v="5"/>
    <x v="1"/>
    <x v="1"/>
    <s v="GNR_HP_ELEC_GROUND-WTR_COP-380_LS-4-MW_Y-2030"/>
    <x v="2"/>
    <x v="8"/>
    <n v="-49.665527688920399"/>
    <n v="-12085.278404303999"/>
    <n v="-43507.002255494299"/>
  </r>
  <r>
    <x v="0"/>
    <x v="0"/>
    <x v="0"/>
    <x v="0"/>
    <x v="0"/>
    <x v="2"/>
    <x v="5"/>
    <x v="1"/>
    <x v="1"/>
    <s v="GNR_HP_ELEC_GROUND-WTR_COP-380_LS-4-MW_Y-2030"/>
    <x v="1"/>
    <x v="9"/>
    <n v="-49.665527688920399"/>
    <n v="-12085.278404303999"/>
    <n v="-43507.002255494299"/>
  </r>
  <r>
    <x v="0"/>
    <x v="0"/>
    <x v="0"/>
    <x v="0"/>
    <x v="0"/>
    <x v="2"/>
    <x v="5"/>
    <x v="1"/>
    <x v="1"/>
    <s v="GNR_HP_ELEC_GROUND-WTR_COP-380_LS-4-MW_Y-2030"/>
    <x v="1"/>
    <x v="10"/>
    <n v="-49.665527688920399"/>
    <n v="-12085.278404303999"/>
    <n v="-43507.002255494299"/>
  </r>
  <r>
    <x v="0"/>
    <x v="0"/>
    <x v="0"/>
    <x v="0"/>
    <x v="0"/>
    <x v="2"/>
    <x v="5"/>
    <x v="1"/>
    <x v="1"/>
    <s v="GNR_HP_ELEC_GROUND-WTR_COP-380_LS-4-MW_Y-2030"/>
    <x v="1"/>
    <x v="6"/>
    <n v="-25.506916741684702"/>
    <n v="-6206.6830738099297"/>
    <n v="-22344.059065715799"/>
  </r>
  <r>
    <x v="0"/>
    <x v="0"/>
    <x v="0"/>
    <x v="0"/>
    <x v="0"/>
    <x v="2"/>
    <x v="5"/>
    <x v="1"/>
    <x v="1"/>
    <s v="GNR_HP_ELEC_GROUND-WTR_COP-380_LS-4-MW_Y-2030"/>
    <x v="1"/>
    <x v="7"/>
    <n v="-49.665527688920399"/>
    <n v="-12085.278404303999"/>
    <n v="-43507.002255494299"/>
  </r>
  <r>
    <x v="0"/>
    <x v="0"/>
    <x v="0"/>
    <x v="0"/>
    <x v="0"/>
    <x v="2"/>
    <x v="5"/>
    <x v="1"/>
    <x v="1"/>
    <s v="GNR_HP_ELEC_GROUND-WTR_COP-380_LS-4-MW_Y-2030"/>
    <x v="1"/>
    <x v="1"/>
    <n v="-46.530969489729102"/>
    <n v="-11322.5359091674"/>
    <n v="-40761.129273002698"/>
  </r>
  <r>
    <x v="0"/>
    <x v="0"/>
    <x v="0"/>
    <x v="0"/>
    <x v="0"/>
    <x v="2"/>
    <x v="5"/>
    <x v="1"/>
    <x v="1"/>
    <s v="GNR_HP_ELEC_GROUND-WTR_COP-380_LS-4-MW_Y-2030"/>
    <x v="1"/>
    <x v="5"/>
    <n v="-49.665527688920399"/>
    <n v="-12085.278404303999"/>
    <n v="-43507.002255494299"/>
  </r>
  <r>
    <x v="0"/>
    <x v="0"/>
    <x v="0"/>
    <x v="0"/>
    <x v="0"/>
    <x v="2"/>
    <x v="5"/>
    <x v="1"/>
    <x v="1"/>
    <s v="GNR_HP_ELEC_GROUND-WTR_COP-380_LS-4-MW_Y-2030"/>
    <x v="1"/>
    <x v="11"/>
    <n v="-49.665527688920399"/>
    <n v="-12085.278404303999"/>
    <n v="-43507.002255494299"/>
  </r>
  <r>
    <x v="0"/>
    <x v="0"/>
    <x v="0"/>
    <x v="0"/>
    <x v="0"/>
    <x v="2"/>
    <x v="5"/>
    <x v="1"/>
    <x v="1"/>
    <s v="GNR_HP_ELEC_GROUND-WTR_COP-380_LS-4-MW_Y-2030"/>
    <x v="1"/>
    <x v="8"/>
    <n v="-49.665527688920399"/>
    <n v="-12085.278404303999"/>
    <n v="-43507.002255494299"/>
  </r>
  <r>
    <x v="0"/>
    <x v="0"/>
    <x v="0"/>
    <x v="0"/>
    <x v="0"/>
    <x v="3"/>
    <x v="0"/>
    <x v="0"/>
    <x v="0"/>
    <s v="GNR_ENG_BGAS_BP_E-39"/>
    <x v="0"/>
    <x v="0"/>
    <n v="0.63"/>
    <n v="153.30000000000001"/>
    <n v="551.88"/>
  </r>
  <r>
    <x v="0"/>
    <x v="0"/>
    <x v="0"/>
    <x v="0"/>
    <x v="0"/>
    <x v="3"/>
    <x v="0"/>
    <x v="0"/>
    <x v="0"/>
    <s v="GNR_ENG_BGAS_BP_E-39"/>
    <x v="0"/>
    <x v="1"/>
    <n v="0.63"/>
    <n v="153.30000000000001"/>
    <n v="551.88"/>
  </r>
  <r>
    <x v="0"/>
    <x v="0"/>
    <x v="0"/>
    <x v="0"/>
    <x v="0"/>
    <x v="3"/>
    <x v="0"/>
    <x v="0"/>
    <x v="0"/>
    <s v="GNR_ENG_BGAS_BP_E-39"/>
    <x v="0"/>
    <x v="2"/>
    <n v="0.63"/>
    <n v="153.30000000000001"/>
    <n v="551.88"/>
  </r>
  <r>
    <x v="0"/>
    <x v="0"/>
    <x v="0"/>
    <x v="0"/>
    <x v="0"/>
    <x v="3"/>
    <x v="0"/>
    <x v="0"/>
    <x v="0"/>
    <s v="GNR_ENG_BGAS_BP_E-41"/>
    <x v="0"/>
    <x v="0"/>
    <n v="3.3170000000000002"/>
    <n v="807.136666666667"/>
    <n v="2905.692"/>
  </r>
  <r>
    <x v="0"/>
    <x v="0"/>
    <x v="0"/>
    <x v="0"/>
    <x v="0"/>
    <x v="3"/>
    <x v="0"/>
    <x v="0"/>
    <x v="0"/>
    <s v="GNR_ENG_BGAS_BP_E-41"/>
    <x v="0"/>
    <x v="1"/>
    <n v="3.3170000000000002"/>
    <n v="807.136666666667"/>
    <n v="2905.692"/>
  </r>
  <r>
    <x v="0"/>
    <x v="0"/>
    <x v="0"/>
    <x v="0"/>
    <x v="0"/>
    <x v="3"/>
    <x v="0"/>
    <x v="0"/>
    <x v="0"/>
    <s v="GNR_ENG_BGAS_BP_E-41"/>
    <x v="0"/>
    <x v="2"/>
    <n v="3.3170000000000002"/>
    <n v="807.136666666667"/>
    <n v="2905.692"/>
  </r>
  <r>
    <x v="0"/>
    <x v="0"/>
    <x v="0"/>
    <x v="0"/>
    <x v="0"/>
    <x v="3"/>
    <x v="0"/>
    <x v="0"/>
    <x v="0"/>
    <s v="GNR_ENG_BGAS_BP_E-42"/>
    <x v="0"/>
    <x v="0"/>
    <n v="0.33"/>
    <n v="80.3"/>
    <n v="289.08"/>
  </r>
  <r>
    <x v="0"/>
    <x v="0"/>
    <x v="0"/>
    <x v="0"/>
    <x v="0"/>
    <x v="3"/>
    <x v="0"/>
    <x v="0"/>
    <x v="0"/>
    <s v="GNR_ENG_BGAS_BP_E-42"/>
    <x v="0"/>
    <x v="1"/>
    <n v="0.33"/>
    <n v="80.3"/>
    <n v="289.08"/>
  </r>
  <r>
    <x v="0"/>
    <x v="0"/>
    <x v="0"/>
    <x v="0"/>
    <x v="0"/>
    <x v="3"/>
    <x v="0"/>
    <x v="0"/>
    <x v="0"/>
    <s v="GNR_ENG_BGAS_BP_E-42"/>
    <x v="0"/>
    <x v="2"/>
    <n v="0.33"/>
    <n v="80.3"/>
    <n v="289.08"/>
  </r>
  <r>
    <x v="0"/>
    <x v="0"/>
    <x v="0"/>
    <x v="0"/>
    <x v="0"/>
    <x v="3"/>
    <x v="1"/>
    <x v="0"/>
    <x v="0"/>
    <s v="GNR_ENG_NGAS_BP_E-41"/>
    <x v="0"/>
    <x v="0"/>
    <n v="4.3"/>
    <n v="1046.3333333333301"/>
    <n v="3766.8"/>
  </r>
  <r>
    <x v="0"/>
    <x v="0"/>
    <x v="0"/>
    <x v="0"/>
    <x v="0"/>
    <x v="3"/>
    <x v="1"/>
    <x v="0"/>
    <x v="0"/>
    <s v="GNR_ENG_NGAS_BP_E-41"/>
    <x v="0"/>
    <x v="1"/>
    <n v="4.3"/>
    <n v="1046.3333333333301"/>
    <n v="3766.8"/>
  </r>
  <r>
    <x v="0"/>
    <x v="0"/>
    <x v="0"/>
    <x v="0"/>
    <x v="0"/>
    <x v="3"/>
    <x v="1"/>
    <x v="0"/>
    <x v="0"/>
    <s v="GNR_ENG_NGAS_BP_E-41"/>
    <x v="0"/>
    <x v="2"/>
    <n v="4.3"/>
    <n v="1046.3333333333301"/>
    <n v="3766.8"/>
  </r>
  <r>
    <x v="0"/>
    <x v="0"/>
    <x v="0"/>
    <x v="0"/>
    <x v="0"/>
    <x v="3"/>
    <x v="1"/>
    <x v="0"/>
    <x v="0"/>
    <s v="GNR_ENG_NGAS_BP_E-41"/>
    <x v="1"/>
    <x v="3"/>
    <n v="4.3"/>
    <n v="1046.3333333333301"/>
    <n v="3766.8"/>
  </r>
  <r>
    <x v="0"/>
    <x v="0"/>
    <x v="0"/>
    <x v="0"/>
    <x v="0"/>
    <x v="3"/>
    <x v="1"/>
    <x v="0"/>
    <x v="0"/>
    <s v="GNR_ENG_NGAS_BP_E-41"/>
    <x v="1"/>
    <x v="4"/>
    <n v="4.3"/>
    <n v="1046.3333333333301"/>
    <n v="3766.8"/>
  </r>
  <r>
    <x v="0"/>
    <x v="0"/>
    <x v="0"/>
    <x v="0"/>
    <x v="0"/>
    <x v="3"/>
    <x v="1"/>
    <x v="0"/>
    <x v="0"/>
    <s v="GNR_ENG_NGAS_BP_E-41"/>
    <x v="1"/>
    <x v="0"/>
    <n v="4.3"/>
    <n v="1046.3333333333301"/>
    <n v="3766.8"/>
  </r>
  <r>
    <x v="0"/>
    <x v="0"/>
    <x v="0"/>
    <x v="0"/>
    <x v="0"/>
    <x v="3"/>
    <x v="1"/>
    <x v="0"/>
    <x v="0"/>
    <s v="GNR_ENG_NGAS_BP_E-41"/>
    <x v="1"/>
    <x v="2"/>
    <n v="4.3"/>
    <n v="1046.3333333333301"/>
    <n v="3766.8"/>
  </r>
  <r>
    <x v="0"/>
    <x v="0"/>
    <x v="0"/>
    <x v="0"/>
    <x v="0"/>
    <x v="3"/>
    <x v="1"/>
    <x v="0"/>
    <x v="0"/>
    <s v="GNR_ENG_NGAS_BP_E-42"/>
    <x v="0"/>
    <x v="0"/>
    <n v="6.2"/>
    <n v="1508.6666666666699"/>
    <n v="5431.2"/>
  </r>
  <r>
    <x v="0"/>
    <x v="0"/>
    <x v="0"/>
    <x v="0"/>
    <x v="0"/>
    <x v="3"/>
    <x v="1"/>
    <x v="0"/>
    <x v="0"/>
    <s v="GNR_ENG_NGAS_BP_E-42"/>
    <x v="0"/>
    <x v="1"/>
    <n v="6.2"/>
    <n v="1508.6666666666699"/>
    <n v="5431.2"/>
  </r>
  <r>
    <x v="0"/>
    <x v="0"/>
    <x v="0"/>
    <x v="0"/>
    <x v="0"/>
    <x v="3"/>
    <x v="1"/>
    <x v="0"/>
    <x v="0"/>
    <s v="GNR_ENG_NGAS_BP_E-42"/>
    <x v="0"/>
    <x v="2"/>
    <n v="6.2"/>
    <n v="1508.6666666666699"/>
    <n v="5431.2"/>
  </r>
  <r>
    <x v="0"/>
    <x v="0"/>
    <x v="0"/>
    <x v="0"/>
    <x v="0"/>
    <x v="3"/>
    <x v="1"/>
    <x v="0"/>
    <x v="0"/>
    <s v="GNR_ENG_NGAS_BP_E-42"/>
    <x v="0"/>
    <x v="5"/>
    <n v="6.2"/>
    <n v="1508.6666666666699"/>
    <n v="5431.2"/>
  </r>
  <r>
    <x v="0"/>
    <x v="0"/>
    <x v="0"/>
    <x v="0"/>
    <x v="0"/>
    <x v="3"/>
    <x v="1"/>
    <x v="0"/>
    <x v="0"/>
    <s v="GNR_ENG_NGAS_BP_E-42"/>
    <x v="1"/>
    <x v="3"/>
    <n v="6.2"/>
    <n v="1508.6666666666699"/>
    <n v="5431.2"/>
  </r>
  <r>
    <x v="0"/>
    <x v="0"/>
    <x v="0"/>
    <x v="0"/>
    <x v="0"/>
    <x v="3"/>
    <x v="1"/>
    <x v="0"/>
    <x v="0"/>
    <s v="GNR_ENG_NGAS_BP_E-42"/>
    <x v="1"/>
    <x v="4"/>
    <n v="6.2"/>
    <n v="1508.6666666666699"/>
    <n v="5431.2"/>
  </r>
  <r>
    <x v="0"/>
    <x v="0"/>
    <x v="0"/>
    <x v="0"/>
    <x v="0"/>
    <x v="3"/>
    <x v="1"/>
    <x v="0"/>
    <x v="0"/>
    <s v="GNR_ENG_NGAS_BP_E-42"/>
    <x v="1"/>
    <x v="6"/>
    <n v="6.2"/>
    <n v="1508.6666666666699"/>
    <n v="5431.2"/>
  </r>
  <r>
    <x v="0"/>
    <x v="0"/>
    <x v="0"/>
    <x v="0"/>
    <x v="0"/>
    <x v="3"/>
    <x v="1"/>
    <x v="0"/>
    <x v="0"/>
    <s v="GNR_ENG_NGAS_BP_E-42"/>
    <x v="1"/>
    <x v="0"/>
    <n v="6.2"/>
    <n v="1508.6666666666699"/>
    <n v="5431.2"/>
  </r>
  <r>
    <x v="0"/>
    <x v="0"/>
    <x v="0"/>
    <x v="0"/>
    <x v="0"/>
    <x v="3"/>
    <x v="1"/>
    <x v="0"/>
    <x v="0"/>
    <s v="GNR_ENG_NGAS_BP_E-42"/>
    <x v="1"/>
    <x v="2"/>
    <n v="6.2"/>
    <n v="1508.6666666666699"/>
    <n v="5431.2"/>
  </r>
  <r>
    <x v="0"/>
    <x v="0"/>
    <x v="0"/>
    <x v="0"/>
    <x v="0"/>
    <x v="3"/>
    <x v="1"/>
    <x v="0"/>
    <x v="0"/>
    <s v="GNR_ENG_NGAS_BP_E-43"/>
    <x v="0"/>
    <x v="7"/>
    <n v="1.42"/>
    <n v="345.53333333333302"/>
    <n v="1243.92"/>
  </r>
  <r>
    <x v="0"/>
    <x v="0"/>
    <x v="0"/>
    <x v="0"/>
    <x v="0"/>
    <x v="3"/>
    <x v="1"/>
    <x v="0"/>
    <x v="0"/>
    <s v="GNR_ENG_NGAS_BP_E-43"/>
    <x v="0"/>
    <x v="0"/>
    <n v="1.42"/>
    <n v="345.53333333333302"/>
    <n v="1243.92"/>
  </r>
  <r>
    <x v="0"/>
    <x v="0"/>
    <x v="0"/>
    <x v="0"/>
    <x v="0"/>
    <x v="3"/>
    <x v="1"/>
    <x v="0"/>
    <x v="0"/>
    <s v="GNR_ENG_NGAS_BP_E-43"/>
    <x v="0"/>
    <x v="1"/>
    <n v="1.42"/>
    <n v="345.53333333333302"/>
    <n v="1243.92"/>
  </r>
  <r>
    <x v="0"/>
    <x v="0"/>
    <x v="0"/>
    <x v="0"/>
    <x v="0"/>
    <x v="3"/>
    <x v="1"/>
    <x v="0"/>
    <x v="0"/>
    <s v="GNR_ENG_NGAS_BP_E-43"/>
    <x v="0"/>
    <x v="2"/>
    <n v="1.42"/>
    <n v="345.53333333333302"/>
    <n v="1243.92"/>
  </r>
  <r>
    <x v="0"/>
    <x v="0"/>
    <x v="0"/>
    <x v="0"/>
    <x v="0"/>
    <x v="3"/>
    <x v="1"/>
    <x v="0"/>
    <x v="0"/>
    <s v="GNR_ENG_NGAS_BP_E-43"/>
    <x v="0"/>
    <x v="5"/>
    <n v="1.42"/>
    <n v="345.53333333333302"/>
    <n v="1243.92"/>
  </r>
  <r>
    <x v="0"/>
    <x v="0"/>
    <x v="0"/>
    <x v="0"/>
    <x v="0"/>
    <x v="3"/>
    <x v="1"/>
    <x v="0"/>
    <x v="0"/>
    <s v="GNR_ENG_NGAS_BP_E-43"/>
    <x v="1"/>
    <x v="3"/>
    <n v="1.42"/>
    <n v="345.53333333333302"/>
    <n v="1243.92"/>
  </r>
  <r>
    <x v="0"/>
    <x v="0"/>
    <x v="0"/>
    <x v="0"/>
    <x v="0"/>
    <x v="3"/>
    <x v="1"/>
    <x v="0"/>
    <x v="0"/>
    <s v="GNR_ENG_NGAS_BP_E-43"/>
    <x v="1"/>
    <x v="4"/>
    <n v="1.42"/>
    <n v="345.53333333333302"/>
    <n v="1243.92"/>
  </r>
  <r>
    <x v="0"/>
    <x v="0"/>
    <x v="0"/>
    <x v="0"/>
    <x v="0"/>
    <x v="3"/>
    <x v="1"/>
    <x v="0"/>
    <x v="0"/>
    <s v="GNR_ENG_NGAS_BP_E-43"/>
    <x v="1"/>
    <x v="6"/>
    <n v="1.42"/>
    <n v="345.53333333333302"/>
    <n v="1243.92"/>
  </r>
  <r>
    <x v="0"/>
    <x v="0"/>
    <x v="0"/>
    <x v="0"/>
    <x v="0"/>
    <x v="3"/>
    <x v="1"/>
    <x v="0"/>
    <x v="0"/>
    <s v="GNR_ENG_NGAS_BP_E-43"/>
    <x v="1"/>
    <x v="0"/>
    <n v="1.42"/>
    <n v="345.53333333333302"/>
    <n v="1243.92"/>
  </r>
  <r>
    <x v="0"/>
    <x v="0"/>
    <x v="0"/>
    <x v="0"/>
    <x v="0"/>
    <x v="3"/>
    <x v="1"/>
    <x v="0"/>
    <x v="0"/>
    <s v="GNR_ENG_NGAS_BP_E-43"/>
    <x v="1"/>
    <x v="2"/>
    <n v="1.42"/>
    <n v="345.53333333333302"/>
    <n v="1243.92"/>
  </r>
  <r>
    <x v="0"/>
    <x v="0"/>
    <x v="0"/>
    <x v="0"/>
    <x v="0"/>
    <x v="3"/>
    <x v="1"/>
    <x v="0"/>
    <x v="0"/>
    <s v="GNR_ENG_NGAS_BP_E-44"/>
    <x v="0"/>
    <x v="7"/>
    <n v="4.68"/>
    <n v="1138.8"/>
    <n v="4099.68"/>
  </r>
  <r>
    <x v="0"/>
    <x v="0"/>
    <x v="0"/>
    <x v="0"/>
    <x v="0"/>
    <x v="3"/>
    <x v="1"/>
    <x v="0"/>
    <x v="0"/>
    <s v="GNR_ENG_NGAS_BP_E-44"/>
    <x v="0"/>
    <x v="0"/>
    <n v="4.68"/>
    <n v="1138.8"/>
    <n v="4099.68"/>
  </r>
  <r>
    <x v="0"/>
    <x v="0"/>
    <x v="0"/>
    <x v="0"/>
    <x v="0"/>
    <x v="3"/>
    <x v="1"/>
    <x v="0"/>
    <x v="0"/>
    <s v="GNR_ENG_NGAS_BP_E-44"/>
    <x v="0"/>
    <x v="1"/>
    <n v="4.68"/>
    <n v="1138.8"/>
    <n v="4099.68"/>
  </r>
  <r>
    <x v="0"/>
    <x v="0"/>
    <x v="0"/>
    <x v="0"/>
    <x v="0"/>
    <x v="3"/>
    <x v="1"/>
    <x v="0"/>
    <x v="0"/>
    <s v="GNR_ENG_NGAS_BP_E-44"/>
    <x v="0"/>
    <x v="2"/>
    <n v="4.68"/>
    <n v="1138.8"/>
    <n v="4099.68"/>
  </r>
  <r>
    <x v="0"/>
    <x v="0"/>
    <x v="0"/>
    <x v="0"/>
    <x v="0"/>
    <x v="3"/>
    <x v="1"/>
    <x v="0"/>
    <x v="0"/>
    <s v="GNR_ENG_NGAS_BP_E-44"/>
    <x v="0"/>
    <x v="5"/>
    <n v="4.68"/>
    <n v="1138.8"/>
    <n v="4099.68"/>
  </r>
  <r>
    <x v="0"/>
    <x v="0"/>
    <x v="0"/>
    <x v="0"/>
    <x v="0"/>
    <x v="3"/>
    <x v="1"/>
    <x v="0"/>
    <x v="0"/>
    <s v="GNR_ENG_NGAS_BP_E-44"/>
    <x v="1"/>
    <x v="3"/>
    <n v="4.68"/>
    <n v="1138.8"/>
    <n v="4099.68"/>
  </r>
  <r>
    <x v="0"/>
    <x v="0"/>
    <x v="0"/>
    <x v="0"/>
    <x v="0"/>
    <x v="3"/>
    <x v="1"/>
    <x v="0"/>
    <x v="0"/>
    <s v="GNR_ENG_NGAS_BP_E-44"/>
    <x v="1"/>
    <x v="4"/>
    <n v="4.68"/>
    <n v="1138.8"/>
    <n v="4099.68"/>
  </r>
  <r>
    <x v="0"/>
    <x v="0"/>
    <x v="0"/>
    <x v="0"/>
    <x v="0"/>
    <x v="3"/>
    <x v="1"/>
    <x v="0"/>
    <x v="0"/>
    <s v="GNR_ENG_NGAS_BP_E-44"/>
    <x v="1"/>
    <x v="6"/>
    <n v="4.68"/>
    <n v="1138.8"/>
    <n v="4099.68"/>
  </r>
  <r>
    <x v="0"/>
    <x v="0"/>
    <x v="0"/>
    <x v="0"/>
    <x v="0"/>
    <x v="3"/>
    <x v="1"/>
    <x v="0"/>
    <x v="0"/>
    <s v="GNR_ENG_NGAS_BP_E-44"/>
    <x v="1"/>
    <x v="0"/>
    <n v="4.68"/>
    <n v="1138.8"/>
    <n v="4099.68"/>
  </r>
  <r>
    <x v="0"/>
    <x v="0"/>
    <x v="0"/>
    <x v="0"/>
    <x v="0"/>
    <x v="3"/>
    <x v="1"/>
    <x v="0"/>
    <x v="0"/>
    <s v="GNR_ENG_NGAS_BP_E-44"/>
    <x v="1"/>
    <x v="1"/>
    <n v="4.68"/>
    <n v="1138.8"/>
    <n v="4099.68"/>
  </r>
  <r>
    <x v="0"/>
    <x v="0"/>
    <x v="0"/>
    <x v="0"/>
    <x v="0"/>
    <x v="3"/>
    <x v="1"/>
    <x v="0"/>
    <x v="0"/>
    <s v="GNR_ENG_NGAS_BP_E-44"/>
    <x v="1"/>
    <x v="2"/>
    <n v="4.68"/>
    <n v="1138.8"/>
    <n v="4099.68"/>
  </r>
  <r>
    <x v="0"/>
    <x v="0"/>
    <x v="0"/>
    <x v="0"/>
    <x v="0"/>
    <x v="3"/>
    <x v="1"/>
    <x v="0"/>
    <x v="0"/>
    <s v="GNR_ENG_NGAS_BP_E-48_Y-2030"/>
    <x v="0"/>
    <x v="3"/>
    <n v="128.68421584497"/>
    <n v="31313.159188942602"/>
    <n v="112727.373080194"/>
  </r>
  <r>
    <x v="0"/>
    <x v="0"/>
    <x v="0"/>
    <x v="0"/>
    <x v="0"/>
    <x v="3"/>
    <x v="1"/>
    <x v="0"/>
    <x v="0"/>
    <s v="GNR_ENG_NGAS_BP_E-48_Y-2030"/>
    <x v="0"/>
    <x v="7"/>
    <n v="756.327128458939"/>
    <n v="184039.60125834201"/>
    <n v="662542.56453003001"/>
  </r>
  <r>
    <x v="0"/>
    <x v="0"/>
    <x v="0"/>
    <x v="0"/>
    <x v="0"/>
    <x v="3"/>
    <x v="1"/>
    <x v="0"/>
    <x v="0"/>
    <s v="GNR_ENG_NGAS_BP_E-48_Y-2030"/>
    <x v="0"/>
    <x v="0"/>
    <n v="756.327128458939"/>
    <n v="184039.60125834201"/>
    <n v="662542.56453003001"/>
  </r>
  <r>
    <x v="0"/>
    <x v="0"/>
    <x v="0"/>
    <x v="0"/>
    <x v="0"/>
    <x v="3"/>
    <x v="1"/>
    <x v="0"/>
    <x v="0"/>
    <s v="GNR_ENG_NGAS_BP_E-48_Y-2030"/>
    <x v="0"/>
    <x v="1"/>
    <n v="756.327128458939"/>
    <n v="184039.60125834201"/>
    <n v="662542.56453003001"/>
  </r>
  <r>
    <x v="0"/>
    <x v="0"/>
    <x v="0"/>
    <x v="0"/>
    <x v="0"/>
    <x v="3"/>
    <x v="1"/>
    <x v="0"/>
    <x v="0"/>
    <s v="GNR_ENG_NGAS_BP_E-48_Y-2030"/>
    <x v="0"/>
    <x v="2"/>
    <n v="756.327128458939"/>
    <n v="184039.60125834201"/>
    <n v="662542.56453003001"/>
  </r>
  <r>
    <x v="0"/>
    <x v="0"/>
    <x v="0"/>
    <x v="0"/>
    <x v="0"/>
    <x v="3"/>
    <x v="1"/>
    <x v="0"/>
    <x v="0"/>
    <s v="GNR_ENG_NGAS_BP_E-48_Y-2030"/>
    <x v="0"/>
    <x v="5"/>
    <n v="756.327128458939"/>
    <n v="184039.60125834201"/>
    <n v="662542.56453003001"/>
  </r>
  <r>
    <x v="0"/>
    <x v="0"/>
    <x v="0"/>
    <x v="0"/>
    <x v="0"/>
    <x v="3"/>
    <x v="1"/>
    <x v="0"/>
    <x v="0"/>
    <s v="GNR_ENG_NGAS_BP_E-48_Y-2030"/>
    <x v="0"/>
    <x v="11"/>
    <n v="741.68429615572597"/>
    <n v="180476.51206456"/>
    <n v="649715.44343241595"/>
  </r>
  <r>
    <x v="0"/>
    <x v="0"/>
    <x v="0"/>
    <x v="0"/>
    <x v="0"/>
    <x v="3"/>
    <x v="1"/>
    <x v="0"/>
    <x v="0"/>
    <s v="GNR_ENG_NGAS_BP_E-48_Y-2030"/>
    <x v="0"/>
    <x v="8"/>
    <n v="756.327128458939"/>
    <n v="184039.60125834201"/>
    <n v="662542.56453003001"/>
  </r>
  <r>
    <x v="0"/>
    <x v="0"/>
    <x v="0"/>
    <x v="0"/>
    <x v="0"/>
    <x v="3"/>
    <x v="1"/>
    <x v="0"/>
    <x v="0"/>
    <s v="GNR_ENG_NGAS_BP_E-48_Y-2030"/>
    <x v="2"/>
    <x v="3"/>
    <n v="710.56545460241102"/>
    <n v="172904.26061992001"/>
    <n v="622455.338231712"/>
  </r>
  <r>
    <x v="0"/>
    <x v="0"/>
    <x v="0"/>
    <x v="0"/>
    <x v="0"/>
    <x v="3"/>
    <x v="1"/>
    <x v="0"/>
    <x v="0"/>
    <s v="GNR_ENG_NGAS_BP_E-48_Y-2030"/>
    <x v="2"/>
    <x v="10"/>
    <n v="756.327128458939"/>
    <n v="184039.60125834201"/>
    <n v="662542.56453003001"/>
  </r>
  <r>
    <x v="0"/>
    <x v="0"/>
    <x v="0"/>
    <x v="0"/>
    <x v="0"/>
    <x v="3"/>
    <x v="1"/>
    <x v="0"/>
    <x v="0"/>
    <s v="GNR_ENG_NGAS_BP_E-48_Y-2030"/>
    <x v="2"/>
    <x v="4"/>
    <n v="756.327128458939"/>
    <n v="184039.60125834201"/>
    <n v="662542.56453003001"/>
  </r>
  <r>
    <x v="0"/>
    <x v="0"/>
    <x v="0"/>
    <x v="0"/>
    <x v="0"/>
    <x v="3"/>
    <x v="1"/>
    <x v="0"/>
    <x v="0"/>
    <s v="GNR_ENG_NGAS_BP_E-48_Y-2030"/>
    <x v="2"/>
    <x v="1"/>
    <n v="272.83532379474798"/>
    <n v="66389.928790055303"/>
    <n v="239003.74364419901"/>
  </r>
  <r>
    <x v="0"/>
    <x v="0"/>
    <x v="0"/>
    <x v="0"/>
    <x v="0"/>
    <x v="3"/>
    <x v="1"/>
    <x v="0"/>
    <x v="0"/>
    <s v="GNR_ENG_NGAS_BP_E-48_Y-2030"/>
    <x v="2"/>
    <x v="2"/>
    <n v="323.94109586557801"/>
    <n v="78825.666660624003"/>
    <n v="283772.39997824602"/>
  </r>
  <r>
    <x v="0"/>
    <x v="0"/>
    <x v="0"/>
    <x v="0"/>
    <x v="0"/>
    <x v="3"/>
    <x v="1"/>
    <x v="0"/>
    <x v="0"/>
    <s v="GNR_ENG_NGAS_BP_E-48_Y-2030"/>
    <x v="2"/>
    <x v="11"/>
    <n v="147.55501245728399"/>
    <n v="35905.053031272502"/>
    <n v="129258.19091258101"/>
  </r>
  <r>
    <x v="0"/>
    <x v="0"/>
    <x v="0"/>
    <x v="0"/>
    <x v="0"/>
    <x v="3"/>
    <x v="1"/>
    <x v="0"/>
    <x v="0"/>
    <s v="GNR_ENG_NGAS_BP_E-48_Y-2030"/>
    <x v="1"/>
    <x v="3"/>
    <n v="756.327128458939"/>
    <n v="184039.60125834201"/>
    <n v="662542.56453003001"/>
  </r>
  <r>
    <x v="0"/>
    <x v="0"/>
    <x v="0"/>
    <x v="0"/>
    <x v="0"/>
    <x v="3"/>
    <x v="1"/>
    <x v="0"/>
    <x v="0"/>
    <s v="GNR_ENG_NGAS_BP_E-48_Y-2030"/>
    <x v="1"/>
    <x v="10"/>
    <n v="55.2674913075288"/>
    <n v="13448.422884832"/>
    <n v="48414.3223853952"/>
  </r>
  <r>
    <x v="0"/>
    <x v="0"/>
    <x v="0"/>
    <x v="0"/>
    <x v="0"/>
    <x v="3"/>
    <x v="1"/>
    <x v="0"/>
    <x v="0"/>
    <s v="GNR_ENG_NGAS_BP_E-48_Y-2030"/>
    <x v="1"/>
    <x v="4"/>
    <n v="756.327128458939"/>
    <n v="184039.60125834201"/>
    <n v="662542.56453003001"/>
  </r>
  <r>
    <x v="0"/>
    <x v="0"/>
    <x v="0"/>
    <x v="0"/>
    <x v="0"/>
    <x v="3"/>
    <x v="1"/>
    <x v="0"/>
    <x v="0"/>
    <s v="GNR_ENG_NGAS_BP_E-48_Y-2030"/>
    <x v="1"/>
    <x v="6"/>
    <n v="756.327128458939"/>
    <n v="184039.60125834201"/>
    <n v="662542.56453003001"/>
  </r>
  <r>
    <x v="0"/>
    <x v="0"/>
    <x v="0"/>
    <x v="0"/>
    <x v="0"/>
    <x v="3"/>
    <x v="1"/>
    <x v="0"/>
    <x v="0"/>
    <s v="GNR_ENG_NGAS_BP_E-48_Y-2030"/>
    <x v="1"/>
    <x v="7"/>
    <n v="113.643906028854"/>
    <n v="27653.3504670211"/>
    <n v="99552.061681275794"/>
  </r>
  <r>
    <x v="0"/>
    <x v="0"/>
    <x v="0"/>
    <x v="0"/>
    <x v="0"/>
    <x v="3"/>
    <x v="1"/>
    <x v="0"/>
    <x v="0"/>
    <s v="GNR_ENG_NGAS_BP_E-48_Y-2030"/>
    <x v="1"/>
    <x v="0"/>
    <n v="756.327128458939"/>
    <n v="184039.60125834201"/>
    <n v="662542.56453003001"/>
  </r>
  <r>
    <x v="0"/>
    <x v="0"/>
    <x v="0"/>
    <x v="0"/>
    <x v="0"/>
    <x v="3"/>
    <x v="1"/>
    <x v="0"/>
    <x v="0"/>
    <s v="GNR_ENG_NGAS_BP_E-48_Y-2030"/>
    <x v="1"/>
    <x v="1"/>
    <n v="756.327128458939"/>
    <n v="184039.60125834201"/>
    <n v="662542.56453003001"/>
  </r>
  <r>
    <x v="0"/>
    <x v="0"/>
    <x v="0"/>
    <x v="0"/>
    <x v="0"/>
    <x v="3"/>
    <x v="1"/>
    <x v="0"/>
    <x v="0"/>
    <s v="GNR_ENG_NGAS_BP_E-48_Y-2030"/>
    <x v="1"/>
    <x v="2"/>
    <n v="756.327128458939"/>
    <n v="184039.60125834201"/>
    <n v="662542.56453003001"/>
  </r>
  <r>
    <x v="0"/>
    <x v="0"/>
    <x v="0"/>
    <x v="0"/>
    <x v="0"/>
    <x v="4"/>
    <x v="1"/>
    <x v="2"/>
    <x v="2"/>
    <s v="GNR_ENG_NGAS_CND_E-41"/>
    <x v="0"/>
    <x v="0"/>
    <n v="40.799999999999997"/>
    <n v="9928"/>
    <n v="35740.800000000003"/>
  </r>
  <r>
    <x v="0"/>
    <x v="0"/>
    <x v="0"/>
    <x v="0"/>
    <x v="0"/>
    <x v="4"/>
    <x v="1"/>
    <x v="2"/>
    <x v="2"/>
    <s v="GNR_ENG_NGAS_CND_E-41"/>
    <x v="0"/>
    <x v="1"/>
    <n v="40.799999999999997"/>
    <n v="9928"/>
    <n v="35740.800000000003"/>
  </r>
  <r>
    <x v="0"/>
    <x v="0"/>
    <x v="0"/>
    <x v="0"/>
    <x v="0"/>
    <x v="4"/>
    <x v="1"/>
    <x v="2"/>
    <x v="2"/>
    <s v="GNR_ENG_NGAS_CND_E-41"/>
    <x v="0"/>
    <x v="2"/>
    <n v="40.799999999999997"/>
    <n v="9928"/>
    <n v="35740.800000000003"/>
  </r>
  <r>
    <x v="0"/>
    <x v="0"/>
    <x v="0"/>
    <x v="0"/>
    <x v="0"/>
    <x v="4"/>
    <x v="1"/>
    <x v="2"/>
    <x v="2"/>
    <s v="GNR_ENG_NGAS_CND_E-46"/>
    <x v="0"/>
    <x v="0"/>
    <n v="0.64"/>
    <n v="155.73333333333301"/>
    <n v="560.64"/>
  </r>
  <r>
    <x v="0"/>
    <x v="0"/>
    <x v="0"/>
    <x v="0"/>
    <x v="0"/>
    <x v="4"/>
    <x v="1"/>
    <x v="2"/>
    <x v="2"/>
    <s v="GNR_ENG_NGAS_CND_E-46"/>
    <x v="0"/>
    <x v="1"/>
    <n v="0.64"/>
    <n v="155.73333333333301"/>
    <n v="560.64"/>
  </r>
  <r>
    <x v="0"/>
    <x v="0"/>
    <x v="0"/>
    <x v="0"/>
    <x v="0"/>
    <x v="4"/>
    <x v="1"/>
    <x v="2"/>
    <x v="2"/>
    <s v="GNR_ENG_NGAS_CND_E-46"/>
    <x v="0"/>
    <x v="2"/>
    <n v="0.64"/>
    <n v="155.73333333333301"/>
    <n v="560.64"/>
  </r>
  <r>
    <x v="0"/>
    <x v="0"/>
    <x v="0"/>
    <x v="0"/>
    <x v="0"/>
    <x v="4"/>
    <x v="1"/>
    <x v="2"/>
    <x v="2"/>
    <s v="GNR_ENG_NGAS_CND_E-46"/>
    <x v="1"/>
    <x v="3"/>
    <n v="0.64"/>
    <n v="155.73333333333301"/>
    <n v="560.64"/>
  </r>
  <r>
    <x v="0"/>
    <x v="0"/>
    <x v="0"/>
    <x v="0"/>
    <x v="0"/>
    <x v="4"/>
    <x v="1"/>
    <x v="2"/>
    <x v="2"/>
    <s v="GNR_ENG_NGAS_CND_E-46"/>
    <x v="1"/>
    <x v="4"/>
    <n v="0.64"/>
    <n v="155.73333333333301"/>
    <n v="560.64"/>
  </r>
  <r>
    <x v="0"/>
    <x v="0"/>
    <x v="0"/>
    <x v="0"/>
    <x v="0"/>
    <x v="4"/>
    <x v="1"/>
    <x v="2"/>
    <x v="2"/>
    <s v="GNR_ENG_NGAS_CND_E-46"/>
    <x v="1"/>
    <x v="0"/>
    <n v="0.64"/>
    <n v="155.73333333333301"/>
    <n v="560.64"/>
  </r>
  <r>
    <x v="0"/>
    <x v="0"/>
    <x v="0"/>
    <x v="0"/>
    <x v="0"/>
    <x v="4"/>
    <x v="1"/>
    <x v="2"/>
    <x v="2"/>
    <s v="GNR_ENG_NGAS_CND_E-46"/>
    <x v="1"/>
    <x v="2"/>
    <n v="0.64"/>
    <n v="155.73333333333301"/>
    <n v="560.64"/>
  </r>
  <r>
    <x v="0"/>
    <x v="0"/>
    <x v="0"/>
    <x v="0"/>
    <x v="0"/>
    <x v="4"/>
    <x v="5"/>
    <x v="3"/>
    <x v="3"/>
    <s v="GNR_ES_ELEC_BAT-LITHIO_E-97_Y-30-50"/>
    <x v="0"/>
    <x v="3"/>
    <n v="840.63394881265401"/>
    <n v="204554.26087774601"/>
    <n v="736395.33915988496"/>
  </r>
  <r>
    <x v="0"/>
    <x v="0"/>
    <x v="0"/>
    <x v="0"/>
    <x v="0"/>
    <x v="4"/>
    <x v="5"/>
    <x v="3"/>
    <x v="3"/>
    <s v="GNR_ES_ELEC_BAT-LITHIO_E-97_Y-30-50"/>
    <x v="0"/>
    <x v="0"/>
    <n v="242.90090570255799"/>
    <n v="59105.887054289102"/>
    <n v="212781.19339544099"/>
  </r>
  <r>
    <x v="0"/>
    <x v="0"/>
    <x v="0"/>
    <x v="0"/>
    <x v="0"/>
    <x v="4"/>
    <x v="5"/>
    <x v="3"/>
    <x v="3"/>
    <s v="GNR_ES_ELEC_BAT-LITHIO_E-97_Y-30-50"/>
    <x v="0"/>
    <x v="1"/>
    <n v="603.17876083011799"/>
    <n v="146773.498468662"/>
    <n v="528384.59448718303"/>
  </r>
  <r>
    <x v="0"/>
    <x v="0"/>
    <x v="0"/>
    <x v="0"/>
    <x v="0"/>
    <x v="4"/>
    <x v="5"/>
    <x v="3"/>
    <x v="3"/>
    <s v="GNR_ES_ELEC_BAT-LITHIO_E-97_Y-30-50"/>
    <x v="0"/>
    <x v="2"/>
    <n v="1052.0373975013699"/>
    <n v="255995.766725333"/>
    <n v="921584.76021119801"/>
  </r>
  <r>
    <x v="0"/>
    <x v="0"/>
    <x v="0"/>
    <x v="0"/>
    <x v="0"/>
    <x v="4"/>
    <x v="5"/>
    <x v="3"/>
    <x v="3"/>
    <s v="GNR_ES_ELEC_BAT-LITHIO_E-97_Y-30-50"/>
    <x v="2"/>
    <x v="3"/>
    <n v="421.318133273927"/>
    <n v="102520.745763322"/>
    <n v="369074.68474796001"/>
  </r>
  <r>
    <x v="0"/>
    <x v="0"/>
    <x v="0"/>
    <x v="0"/>
    <x v="0"/>
    <x v="4"/>
    <x v="5"/>
    <x v="3"/>
    <x v="3"/>
    <s v="GNR_ES_ELEC_BAT-LITHIO_E-97_Y-30-50"/>
    <x v="2"/>
    <x v="10"/>
    <n v="484.076166698208"/>
    <n v="117791.86722989701"/>
    <n v="424050.72202763002"/>
  </r>
  <r>
    <x v="0"/>
    <x v="0"/>
    <x v="0"/>
    <x v="0"/>
    <x v="0"/>
    <x v="4"/>
    <x v="5"/>
    <x v="3"/>
    <x v="3"/>
    <s v="GNR_ES_ELEC_BAT-LITHIO_E-97_Y-30-50"/>
    <x v="2"/>
    <x v="4"/>
    <n v="992.72276406190804"/>
    <n v="241562.53925506401"/>
    <n v="869625.14131823101"/>
  </r>
  <r>
    <x v="0"/>
    <x v="0"/>
    <x v="0"/>
    <x v="0"/>
    <x v="0"/>
    <x v="4"/>
    <x v="5"/>
    <x v="3"/>
    <x v="3"/>
    <s v="GNR_ES_ELEC_BAT-LITHIO_E-97_Y-30-50"/>
    <x v="2"/>
    <x v="1"/>
    <n v="357.80882778526802"/>
    <n v="87066.8147610819"/>
    <n v="313440.53313989501"/>
  </r>
  <r>
    <x v="0"/>
    <x v="0"/>
    <x v="0"/>
    <x v="0"/>
    <x v="0"/>
    <x v="4"/>
    <x v="5"/>
    <x v="3"/>
    <x v="3"/>
    <s v="GNR_ES_ELEC_BAT-LITHIO_E-97_Y-30-50"/>
    <x v="2"/>
    <x v="2"/>
    <n v="262.69884113521903"/>
    <n v="63923.384676236601"/>
    <n v="230124.184834452"/>
  </r>
  <r>
    <x v="0"/>
    <x v="0"/>
    <x v="0"/>
    <x v="0"/>
    <x v="0"/>
    <x v="4"/>
    <x v="5"/>
    <x v="3"/>
    <x v="3"/>
    <s v="GNR_ES_ELEC_BAT-LITHIO_E-97_Y-30-50"/>
    <x v="2"/>
    <x v="11"/>
    <n v="1277.6093951135599"/>
    <n v="310884.95281096501"/>
    <n v="1119185.8301194799"/>
  </r>
  <r>
    <x v="0"/>
    <x v="0"/>
    <x v="0"/>
    <x v="0"/>
    <x v="0"/>
    <x v="4"/>
    <x v="5"/>
    <x v="3"/>
    <x v="3"/>
    <s v="GNR_ES_ELEC_BAT-LITHIO_E-97_Y-30-50"/>
    <x v="1"/>
    <x v="3"/>
    <n v="1243.8442624786501"/>
    <n v="302668.77053647098"/>
    <n v="1089607.5739313001"/>
  </r>
  <r>
    <x v="0"/>
    <x v="0"/>
    <x v="0"/>
    <x v="0"/>
    <x v="0"/>
    <x v="4"/>
    <x v="5"/>
    <x v="3"/>
    <x v="3"/>
    <s v="GNR_ES_ELEC_BAT-LITHIO_E-97_Y-30-50"/>
    <x v="1"/>
    <x v="4"/>
    <n v="506.24490978724799"/>
    <n v="123186.26138156401"/>
    <n v="443470.54097362899"/>
  </r>
  <r>
    <x v="0"/>
    <x v="0"/>
    <x v="0"/>
    <x v="0"/>
    <x v="0"/>
    <x v="4"/>
    <x v="5"/>
    <x v="3"/>
    <x v="3"/>
    <s v="GNR_ES_ELEC_BAT-LITHIO_E-97_Y-30-50"/>
    <x v="1"/>
    <x v="0"/>
    <n v="1006.41040145408"/>
    <n v="244893.197687159"/>
    <n v="881615.51167377096"/>
  </r>
  <r>
    <x v="0"/>
    <x v="0"/>
    <x v="0"/>
    <x v="0"/>
    <x v="0"/>
    <x v="4"/>
    <x v="5"/>
    <x v="3"/>
    <x v="3"/>
    <s v="GNR_ES_ELEC_BAT-LITHIO_E-97_Y-30-50"/>
    <x v="1"/>
    <x v="2"/>
    <n v="32.8556848549485"/>
    <n v="7994.8833147041496"/>
    <n v="28781.579932934899"/>
  </r>
  <r>
    <x v="0"/>
    <x v="0"/>
    <x v="0"/>
    <x v="0"/>
    <x v="0"/>
    <x v="4"/>
    <x v="6"/>
    <x v="4"/>
    <x v="4"/>
    <s v="GNR_PV_SUN"/>
    <x v="0"/>
    <x v="9"/>
    <n v="7.0583466050382404E-2"/>
    <n v="17.175310072259698"/>
    <n v="61.831116260134998"/>
  </r>
  <r>
    <x v="0"/>
    <x v="0"/>
    <x v="0"/>
    <x v="0"/>
    <x v="0"/>
    <x v="4"/>
    <x v="6"/>
    <x v="4"/>
    <x v="4"/>
    <s v="GNR_PV_SUN"/>
    <x v="0"/>
    <x v="3"/>
    <n v="8.9464543218859696"/>
    <n v="2176.9705516589202"/>
    <n v="7837.0939859721102"/>
  </r>
  <r>
    <x v="0"/>
    <x v="0"/>
    <x v="0"/>
    <x v="0"/>
    <x v="0"/>
    <x v="4"/>
    <x v="6"/>
    <x v="4"/>
    <x v="4"/>
    <s v="GNR_PV_SUN"/>
    <x v="0"/>
    <x v="10"/>
    <n v="129.02657594009901"/>
    <n v="31396.466812090799"/>
    <n v="113027.28052352701"/>
  </r>
  <r>
    <x v="0"/>
    <x v="0"/>
    <x v="0"/>
    <x v="0"/>
    <x v="0"/>
    <x v="4"/>
    <x v="6"/>
    <x v="4"/>
    <x v="4"/>
    <s v="GNR_PV_SUN"/>
    <x v="0"/>
    <x v="6"/>
    <n v="141.30809903286601"/>
    <n v="34384.970764664002"/>
    <n v="123785.89475279"/>
  </r>
  <r>
    <x v="0"/>
    <x v="0"/>
    <x v="0"/>
    <x v="0"/>
    <x v="0"/>
    <x v="4"/>
    <x v="6"/>
    <x v="4"/>
    <x v="4"/>
    <s v="GNR_PV_SUN"/>
    <x v="0"/>
    <x v="0"/>
    <n v="14.6813609384795"/>
    <n v="3572.4644950300199"/>
    <n v="12860.8721821081"/>
  </r>
  <r>
    <x v="0"/>
    <x v="0"/>
    <x v="0"/>
    <x v="0"/>
    <x v="0"/>
    <x v="4"/>
    <x v="6"/>
    <x v="4"/>
    <x v="4"/>
    <s v="GNR_PV_SUN"/>
    <x v="0"/>
    <x v="1"/>
    <n v="37.973904735105698"/>
    <n v="9240.31681887573"/>
    <n v="33265.1405479526"/>
  </r>
  <r>
    <x v="0"/>
    <x v="0"/>
    <x v="0"/>
    <x v="0"/>
    <x v="0"/>
    <x v="4"/>
    <x v="6"/>
    <x v="4"/>
    <x v="4"/>
    <s v="GNR_PV_SUN"/>
    <x v="0"/>
    <x v="5"/>
    <n v="172.011906764782"/>
    <n v="41856.230646096999"/>
    <n v="150682.43032594901"/>
  </r>
  <r>
    <x v="0"/>
    <x v="0"/>
    <x v="0"/>
    <x v="0"/>
    <x v="0"/>
    <x v="4"/>
    <x v="6"/>
    <x v="4"/>
    <x v="4"/>
    <s v="GNR_PV_SUN"/>
    <x v="0"/>
    <x v="8"/>
    <n v="86.74707977592"/>
    <n v="21108.456078807201"/>
    <n v="75990.441883705906"/>
  </r>
  <r>
    <x v="0"/>
    <x v="0"/>
    <x v="0"/>
    <x v="0"/>
    <x v="0"/>
    <x v="4"/>
    <x v="6"/>
    <x v="4"/>
    <x v="4"/>
    <s v="GNR_PV_SUN"/>
    <x v="2"/>
    <x v="9"/>
    <n v="24.3512957873819"/>
    <n v="5925.4819749296103"/>
    <n v="21331.735109746602"/>
  </r>
  <r>
    <x v="0"/>
    <x v="0"/>
    <x v="0"/>
    <x v="0"/>
    <x v="0"/>
    <x v="4"/>
    <x v="6"/>
    <x v="4"/>
    <x v="4"/>
    <s v="GNR_PV_SUN"/>
    <x v="2"/>
    <x v="3"/>
    <n v="4.4467583611740897"/>
    <n v="1082.0445345523599"/>
    <n v="3895.36032438851"/>
  </r>
  <r>
    <x v="0"/>
    <x v="0"/>
    <x v="0"/>
    <x v="0"/>
    <x v="0"/>
    <x v="4"/>
    <x v="6"/>
    <x v="4"/>
    <x v="4"/>
    <s v="GNR_PV_SUN"/>
    <x v="2"/>
    <x v="10"/>
    <n v="193.61044737619901"/>
    <n v="47111.875528208402"/>
    <n v="169602.75190154999"/>
  </r>
  <r>
    <x v="0"/>
    <x v="0"/>
    <x v="0"/>
    <x v="0"/>
    <x v="0"/>
    <x v="4"/>
    <x v="6"/>
    <x v="4"/>
    <x v="4"/>
    <s v="GNR_PV_SUN"/>
    <x v="2"/>
    <x v="6"/>
    <n v="192.48111191939299"/>
    <n v="46837.070567052302"/>
    <n v="168613.454041388"/>
  </r>
  <r>
    <x v="0"/>
    <x v="0"/>
    <x v="0"/>
    <x v="0"/>
    <x v="0"/>
    <x v="4"/>
    <x v="6"/>
    <x v="4"/>
    <x v="4"/>
    <s v="GNR_PV_SUN"/>
    <x v="2"/>
    <x v="7"/>
    <n v="0.21175039815114699"/>
    <n v="51.525930216779201"/>
    <n v="185.493348780405"/>
  </r>
  <r>
    <x v="0"/>
    <x v="0"/>
    <x v="0"/>
    <x v="0"/>
    <x v="0"/>
    <x v="4"/>
    <x v="6"/>
    <x v="4"/>
    <x v="4"/>
    <s v="GNR_PV_SUN"/>
    <x v="2"/>
    <x v="0"/>
    <n v="62.748701318789998"/>
    <n v="15268.8506542389"/>
    <n v="54967.862355259997"/>
  </r>
  <r>
    <x v="0"/>
    <x v="0"/>
    <x v="0"/>
    <x v="0"/>
    <x v="0"/>
    <x v="4"/>
    <x v="6"/>
    <x v="4"/>
    <x v="4"/>
    <s v="GNR_PV_SUN"/>
    <x v="2"/>
    <x v="1"/>
    <n v="101.99310844280301"/>
    <n v="24818.323054415301"/>
    <n v="89345.962995895097"/>
  </r>
  <r>
    <x v="0"/>
    <x v="0"/>
    <x v="0"/>
    <x v="0"/>
    <x v="0"/>
    <x v="4"/>
    <x v="6"/>
    <x v="4"/>
    <x v="4"/>
    <s v="GNR_PV_SUN"/>
    <x v="2"/>
    <x v="2"/>
    <n v="24.1042536562056"/>
    <n v="5865.3683896766997"/>
    <n v="21115.326202836099"/>
  </r>
  <r>
    <x v="0"/>
    <x v="0"/>
    <x v="0"/>
    <x v="0"/>
    <x v="0"/>
    <x v="4"/>
    <x v="6"/>
    <x v="4"/>
    <x v="4"/>
    <s v="GNR_PV_SUN"/>
    <x v="2"/>
    <x v="5"/>
    <n v="252.61822499431901"/>
    <n v="61470.434748617598"/>
    <n v="221293.56509502299"/>
  </r>
  <r>
    <x v="0"/>
    <x v="0"/>
    <x v="0"/>
    <x v="0"/>
    <x v="0"/>
    <x v="4"/>
    <x v="6"/>
    <x v="4"/>
    <x v="4"/>
    <s v="GNR_PV_SUN"/>
    <x v="2"/>
    <x v="8"/>
    <n v="184.293429857549"/>
    <n v="44844.734598670097"/>
    <n v="161441.04455521301"/>
  </r>
  <r>
    <x v="0"/>
    <x v="0"/>
    <x v="0"/>
    <x v="0"/>
    <x v="0"/>
    <x v="4"/>
    <x v="6"/>
    <x v="4"/>
    <x v="4"/>
    <s v="GNR_PV_SUN"/>
    <x v="1"/>
    <x v="9"/>
    <n v="3.3174229043679699"/>
    <n v="807.23957339620699"/>
    <n v="2906.0624642263501"/>
  </r>
  <r>
    <x v="0"/>
    <x v="0"/>
    <x v="0"/>
    <x v="0"/>
    <x v="0"/>
    <x v="4"/>
    <x v="6"/>
    <x v="4"/>
    <x v="4"/>
    <s v="GNR_PV_SUN"/>
    <x v="1"/>
    <x v="3"/>
    <n v="0.42350079630229498"/>
    <n v="103.05186043355801"/>
    <n v="370.98669756081"/>
  </r>
  <r>
    <x v="0"/>
    <x v="0"/>
    <x v="0"/>
    <x v="0"/>
    <x v="0"/>
    <x v="4"/>
    <x v="6"/>
    <x v="4"/>
    <x v="4"/>
    <s v="GNR_PV_SUN"/>
    <x v="1"/>
    <x v="10"/>
    <n v="161.63613725537601"/>
    <n v="39331.460065474799"/>
    <n v="141593.25623570901"/>
  </r>
  <r>
    <x v="0"/>
    <x v="0"/>
    <x v="0"/>
    <x v="0"/>
    <x v="0"/>
    <x v="4"/>
    <x v="6"/>
    <x v="4"/>
    <x v="4"/>
    <s v="GNR_PV_SUN"/>
    <x v="1"/>
    <x v="6"/>
    <n v="179.634921098223"/>
    <n v="43711.164133901002"/>
    <n v="157360.190882044"/>
  </r>
  <r>
    <x v="0"/>
    <x v="0"/>
    <x v="0"/>
    <x v="0"/>
    <x v="0"/>
    <x v="4"/>
    <x v="6"/>
    <x v="4"/>
    <x v="4"/>
    <s v="GNR_PV_SUN"/>
    <x v="1"/>
    <x v="0"/>
    <n v="20.469205154610901"/>
    <n v="4980.8399209553199"/>
    <n v="17931.023715439202"/>
  </r>
  <r>
    <x v="0"/>
    <x v="0"/>
    <x v="0"/>
    <x v="0"/>
    <x v="0"/>
    <x v="4"/>
    <x v="6"/>
    <x v="4"/>
    <x v="4"/>
    <s v="GNR_PV_SUN"/>
    <x v="1"/>
    <x v="1"/>
    <n v="14.1166932100765"/>
    <n v="3435.0620144519398"/>
    <n v="12366.223252027001"/>
  </r>
  <r>
    <x v="0"/>
    <x v="0"/>
    <x v="0"/>
    <x v="0"/>
    <x v="0"/>
    <x v="4"/>
    <x v="6"/>
    <x v="4"/>
    <x v="4"/>
    <s v="GNR_PV_SUN"/>
    <x v="1"/>
    <x v="2"/>
    <n v="0.77641812655420706"/>
    <n v="188.928410794857"/>
    <n v="680.14227886148501"/>
  </r>
  <r>
    <x v="0"/>
    <x v="0"/>
    <x v="0"/>
    <x v="0"/>
    <x v="0"/>
    <x v="4"/>
    <x v="6"/>
    <x v="4"/>
    <x v="4"/>
    <s v="GNR_PV_SUN"/>
    <x v="1"/>
    <x v="5"/>
    <n v="201.23346170964001"/>
    <n v="48966.809016012499"/>
    <n v="176280.512457645"/>
  </r>
  <r>
    <x v="0"/>
    <x v="0"/>
    <x v="0"/>
    <x v="0"/>
    <x v="0"/>
    <x v="4"/>
    <x v="6"/>
    <x v="4"/>
    <x v="4"/>
    <s v="GNR_PV_SUN"/>
    <x v="1"/>
    <x v="8"/>
    <n v="127.967823949343"/>
    <n v="31138.837161006901"/>
    <n v="112099.81377962499"/>
  </r>
  <r>
    <x v="0"/>
    <x v="0"/>
    <x v="0"/>
    <x v="0"/>
    <x v="0"/>
    <x v="4"/>
    <x v="6"/>
    <x v="4"/>
    <x v="4"/>
    <s v="GNR_PV_SUN_LS-4-MW_Y-2030"/>
    <x v="0"/>
    <x v="9"/>
    <n v="0.34818498660084402"/>
    <n v="84.725013406205406"/>
    <n v="305.01004826233998"/>
  </r>
  <r>
    <x v="0"/>
    <x v="0"/>
    <x v="0"/>
    <x v="0"/>
    <x v="0"/>
    <x v="4"/>
    <x v="6"/>
    <x v="4"/>
    <x v="4"/>
    <s v="GNR_PV_SUN_LS-4-MW_Y-2030"/>
    <x v="0"/>
    <x v="3"/>
    <n v="44.132447051657003"/>
    <n v="10738.895449236499"/>
    <n v="38660.0236172515"/>
  </r>
  <r>
    <x v="0"/>
    <x v="0"/>
    <x v="0"/>
    <x v="0"/>
    <x v="0"/>
    <x v="4"/>
    <x v="6"/>
    <x v="4"/>
    <x v="4"/>
    <s v="GNR_PV_SUN_LS-4-MW_Y-2030"/>
    <x v="0"/>
    <x v="10"/>
    <n v="636.48215550634302"/>
    <n v="154877.32450654299"/>
    <n v="557558.36822355702"/>
  </r>
  <r>
    <x v="0"/>
    <x v="0"/>
    <x v="0"/>
    <x v="0"/>
    <x v="0"/>
    <x v="4"/>
    <x v="6"/>
    <x v="4"/>
    <x v="4"/>
    <s v="GNR_PV_SUN_LS-4-MW_Y-2030"/>
    <x v="0"/>
    <x v="6"/>
    <n v="697.06634317488999"/>
    <n v="169619.476839223"/>
    <n v="610630.11662120395"/>
  </r>
  <r>
    <x v="0"/>
    <x v="0"/>
    <x v="0"/>
    <x v="0"/>
    <x v="0"/>
    <x v="4"/>
    <x v="6"/>
    <x v="4"/>
    <x v="4"/>
    <s v="GNR_PV_SUN_LS-4-MW_Y-2030"/>
    <x v="0"/>
    <x v="0"/>
    <n v="72.422477212975593"/>
    <n v="17622.802788490699"/>
    <n v="63442.090038566603"/>
  </r>
  <r>
    <x v="0"/>
    <x v="0"/>
    <x v="0"/>
    <x v="0"/>
    <x v="0"/>
    <x v="4"/>
    <x v="6"/>
    <x v="4"/>
    <x v="4"/>
    <s v="GNR_PV_SUN_LS-4-MW_Y-2030"/>
    <x v="0"/>
    <x v="1"/>
    <n v="187.32352279125399"/>
    <n v="45582.057212538501"/>
    <n v="164095.40596513901"/>
  </r>
  <r>
    <x v="0"/>
    <x v="0"/>
    <x v="0"/>
    <x v="0"/>
    <x v="0"/>
    <x v="4"/>
    <x v="6"/>
    <x v="4"/>
    <x v="4"/>
    <s v="GNR_PV_SUN_LS-4-MW_Y-2030"/>
    <x v="0"/>
    <x v="5"/>
    <n v="848.52681234625697"/>
    <n v="206474.857670923"/>
    <n v="743309.48761532095"/>
  </r>
  <r>
    <x v="0"/>
    <x v="0"/>
    <x v="0"/>
    <x v="0"/>
    <x v="0"/>
    <x v="4"/>
    <x v="6"/>
    <x v="4"/>
    <x v="4"/>
    <s v="GNR_PV_SUN_LS-4-MW_Y-2030"/>
    <x v="0"/>
    <x v="8"/>
    <n v="427.91934853243703"/>
    <n v="104127.041476226"/>
    <n v="374857.34931441501"/>
  </r>
  <r>
    <x v="0"/>
    <x v="0"/>
    <x v="0"/>
    <x v="0"/>
    <x v="0"/>
    <x v="4"/>
    <x v="6"/>
    <x v="4"/>
    <x v="4"/>
    <s v="GNR_PV_SUN_LS-4-MW_Y-2030"/>
    <x v="2"/>
    <x v="9"/>
    <n v="120.123820377291"/>
    <n v="29230.1296251409"/>
    <n v="105228.46665050701"/>
  </r>
  <r>
    <x v="0"/>
    <x v="0"/>
    <x v="0"/>
    <x v="0"/>
    <x v="0"/>
    <x v="4"/>
    <x v="6"/>
    <x v="4"/>
    <x v="4"/>
    <s v="GNR_PV_SUN_LS-4-MW_Y-2030"/>
    <x v="2"/>
    <x v="3"/>
    <n v="21.9356541558532"/>
    <n v="5337.67584459094"/>
    <n v="19215.633040527398"/>
  </r>
  <r>
    <x v="0"/>
    <x v="0"/>
    <x v="0"/>
    <x v="0"/>
    <x v="0"/>
    <x v="4"/>
    <x v="6"/>
    <x v="4"/>
    <x v="4"/>
    <s v="GNR_PV_SUN_LS-4-MW_Y-2030"/>
    <x v="2"/>
    <x v="10"/>
    <n v="955.07141824611597"/>
    <n v="232400.711773221"/>
    <n v="836642.56238359702"/>
  </r>
  <r>
    <x v="0"/>
    <x v="0"/>
    <x v="0"/>
    <x v="0"/>
    <x v="0"/>
    <x v="4"/>
    <x v="6"/>
    <x v="4"/>
    <x v="4"/>
    <s v="GNR_PV_SUN_LS-4-MW_Y-2030"/>
    <x v="2"/>
    <x v="6"/>
    <n v="949.50045846050205"/>
    <n v="231045.11155872201"/>
    <n v="831762.40161139995"/>
  </r>
  <r>
    <x v="0"/>
    <x v="0"/>
    <x v="0"/>
    <x v="0"/>
    <x v="0"/>
    <x v="4"/>
    <x v="6"/>
    <x v="4"/>
    <x v="4"/>
    <s v="GNR_PV_SUN_LS-4-MW_Y-2030"/>
    <x v="2"/>
    <x v="7"/>
    <n v="1.0445549598025301"/>
    <n v="254.175040218616"/>
    <n v="915.03014478701903"/>
  </r>
  <r>
    <x v="0"/>
    <x v="0"/>
    <x v="0"/>
    <x v="0"/>
    <x v="0"/>
    <x v="4"/>
    <x v="6"/>
    <x v="4"/>
    <x v="4"/>
    <s v="GNR_PV_SUN_LS-4-MW_Y-2030"/>
    <x v="2"/>
    <x v="0"/>
    <n v="309.53645308814998"/>
    <n v="75320.536918116602"/>
    <n v="271153.93290522002"/>
  </r>
  <r>
    <x v="0"/>
    <x v="0"/>
    <x v="0"/>
    <x v="0"/>
    <x v="0"/>
    <x v="4"/>
    <x v="6"/>
    <x v="4"/>
    <x v="4"/>
    <s v="GNR_PV_SUN_LS-4-MW_Y-2030"/>
    <x v="2"/>
    <x v="1"/>
    <n v="503.12730563821998"/>
    <n v="122427.64437196701"/>
    <n v="440739.51973908098"/>
  </r>
  <r>
    <x v="0"/>
    <x v="0"/>
    <x v="0"/>
    <x v="0"/>
    <x v="0"/>
    <x v="4"/>
    <x v="6"/>
    <x v="4"/>
    <x v="4"/>
    <s v="GNR_PV_SUN_LS-4-MW_Y-2030"/>
    <x v="2"/>
    <x v="2"/>
    <n v="118.90517292418799"/>
    <n v="28933.592078219201"/>
    <n v="104160.931481589"/>
  </r>
  <r>
    <x v="0"/>
    <x v="0"/>
    <x v="0"/>
    <x v="0"/>
    <x v="0"/>
    <x v="4"/>
    <x v="6"/>
    <x v="4"/>
    <x v="4"/>
    <s v="GNR_PV_SUN_LS-4-MW_Y-2030"/>
    <x v="2"/>
    <x v="5"/>
    <n v="1246.1540670444199"/>
    <n v="303230.82298080903"/>
    <n v="1091630.9627309099"/>
  </r>
  <r>
    <x v="0"/>
    <x v="0"/>
    <x v="0"/>
    <x v="0"/>
    <x v="0"/>
    <x v="4"/>
    <x v="6"/>
    <x v="4"/>
    <x v="4"/>
    <s v="GNR_PV_SUN_LS-4-MW_Y-2030"/>
    <x v="2"/>
    <x v="8"/>
    <n v="909.11100001480395"/>
    <n v="221217.01000360199"/>
    <n v="796381.23601296905"/>
  </r>
  <r>
    <x v="0"/>
    <x v="0"/>
    <x v="0"/>
    <x v="0"/>
    <x v="0"/>
    <x v="4"/>
    <x v="6"/>
    <x v="4"/>
    <x v="4"/>
    <s v="GNR_PV_SUN_LS-4-MW_Y-2030"/>
    <x v="1"/>
    <x v="9"/>
    <n v="16.3646943702397"/>
    <n v="3982.0756300916501"/>
    <n v="14335.472268330001"/>
  </r>
  <r>
    <x v="0"/>
    <x v="0"/>
    <x v="0"/>
    <x v="0"/>
    <x v="0"/>
    <x v="4"/>
    <x v="6"/>
    <x v="4"/>
    <x v="4"/>
    <s v="GNR_PV_SUN_LS-4-MW_Y-2030"/>
    <x v="1"/>
    <x v="3"/>
    <n v="2.08910991960507"/>
    <n v="508.35008043723298"/>
    <n v="1830.0602895740401"/>
  </r>
  <r>
    <x v="0"/>
    <x v="0"/>
    <x v="0"/>
    <x v="0"/>
    <x v="0"/>
    <x v="4"/>
    <x v="6"/>
    <x v="4"/>
    <x v="4"/>
    <s v="GNR_PV_SUN_LS-4-MW_Y-2030"/>
    <x v="1"/>
    <x v="10"/>
    <n v="797.34361931593298"/>
    <n v="194020.28070020999"/>
    <n v="698473.01052075799"/>
  </r>
  <r>
    <x v="0"/>
    <x v="0"/>
    <x v="0"/>
    <x v="0"/>
    <x v="0"/>
    <x v="4"/>
    <x v="6"/>
    <x v="4"/>
    <x v="4"/>
    <s v="GNR_PV_SUN_LS-4-MW_Y-2030"/>
    <x v="1"/>
    <x v="6"/>
    <n v="886.130790899148"/>
    <n v="215625.159118793"/>
    <n v="776250.57282765396"/>
  </r>
  <r>
    <x v="0"/>
    <x v="0"/>
    <x v="0"/>
    <x v="0"/>
    <x v="0"/>
    <x v="4"/>
    <x v="6"/>
    <x v="4"/>
    <x v="4"/>
    <s v="GNR_PV_SUN_LS-4-MW_Y-2030"/>
    <x v="1"/>
    <x v="0"/>
    <n v="100.973646114245"/>
    <n v="24570.253887799601"/>
    <n v="88452.913996078496"/>
  </r>
  <r>
    <x v="0"/>
    <x v="0"/>
    <x v="0"/>
    <x v="0"/>
    <x v="0"/>
    <x v="4"/>
    <x v="6"/>
    <x v="4"/>
    <x v="4"/>
    <s v="GNR_PV_SUN_LS-4-MW_Y-2030"/>
    <x v="1"/>
    <x v="1"/>
    <n v="69.636997320168803"/>
    <n v="16945.002681241102"/>
    <n v="61002.009652467903"/>
  </r>
  <r>
    <x v="0"/>
    <x v="0"/>
    <x v="0"/>
    <x v="0"/>
    <x v="0"/>
    <x v="4"/>
    <x v="6"/>
    <x v="4"/>
    <x v="4"/>
    <s v="GNR_PV_SUN_LS-4-MW_Y-2030"/>
    <x v="1"/>
    <x v="2"/>
    <n v="3.8300348526092902"/>
    <n v="931.97514746826005"/>
    <n v="3355.11053088573"/>
  </r>
  <r>
    <x v="0"/>
    <x v="0"/>
    <x v="0"/>
    <x v="0"/>
    <x v="0"/>
    <x v="4"/>
    <x v="6"/>
    <x v="4"/>
    <x v="4"/>
    <s v="GNR_PV_SUN_LS-4-MW_Y-2030"/>
    <x v="1"/>
    <x v="5"/>
    <n v="992.67539679900699"/>
    <n v="241551.013221092"/>
    <n v="869583.64759593003"/>
  </r>
  <r>
    <x v="0"/>
    <x v="0"/>
    <x v="0"/>
    <x v="0"/>
    <x v="0"/>
    <x v="4"/>
    <x v="6"/>
    <x v="4"/>
    <x v="4"/>
    <s v="GNR_PV_SUN_LS-4-MW_Y-2030"/>
    <x v="1"/>
    <x v="8"/>
    <n v="631.25938070733002"/>
    <n v="153606.44930544999"/>
    <n v="552983.21749962203"/>
  </r>
  <r>
    <x v="0"/>
    <x v="0"/>
    <x v="0"/>
    <x v="0"/>
    <x v="0"/>
    <x v="4"/>
    <x v="7"/>
    <x v="5"/>
    <x v="5"/>
    <s v="GNR_ROR_WTR"/>
    <x v="0"/>
    <x v="9"/>
    <n v="5.13896091569482E-3"/>
    <n v="1.25048048948574"/>
    <n v="4.5017297621486696"/>
  </r>
  <r>
    <x v="0"/>
    <x v="0"/>
    <x v="0"/>
    <x v="0"/>
    <x v="0"/>
    <x v="4"/>
    <x v="7"/>
    <x v="5"/>
    <x v="5"/>
    <s v="GNR_ROR_WTR"/>
    <x v="0"/>
    <x v="3"/>
    <n v="5.13896091569482E-3"/>
    <n v="1.25048048948574"/>
    <n v="4.5017297621486696"/>
  </r>
  <r>
    <x v="0"/>
    <x v="0"/>
    <x v="0"/>
    <x v="0"/>
    <x v="0"/>
    <x v="4"/>
    <x v="7"/>
    <x v="5"/>
    <x v="5"/>
    <s v="GNR_ROR_WTR"/>
    <x v="0"/>
    <x v="10"/>
    <n v="5.13896091569482E-3"/>
    <n v="1.25048048948574"/>
    <n v="4.5017297621486696"/>
  </r>
  <r>
    <x v="0"/>
    <x v="0"/>
    <x v="0"/>
    <x v="0"/>
    <x v="0"/>
    <x v="4"/>
    <x v="7"/>
    <x v="5"/>
    <x v="5"/>
    <s v="GNR_ROR_WTR"/>
    <x v="0"/>
    <x v="4"/>
    <n v="5.13896091569482E-3"/>
    <n v="1.25048048948574"/>
    <n v="4.5017297621486696"/>
  </r>
  <r>
    <x v="0"/>
    <x v="0"/>
    <x v="0"/>
    <x v="0"/>
    <x v="0"/>
    <x v="4"/>
    <x v="7"/>
    <x v="5"/>
    <x v="5"/>
    <s v="GNR_ROR_WTR"/>
    <x v="0"/>
    <x v="6"/>
    <n v="5.13896091569482E-3"/>
    <n v="1.25048048948574"/>
    <n v="4.5017297621486696"/>
  </r>
  <r>
    <x v="0"/>
    <x v="0"/>
    <x v="0"/>
    <x v="0"/>
    <x v="0"/>
    <x v="4"/>
    <x v="7"/>
    <x v="5"/>
    <x v="5"/>
    <s v="GNR_ROR_WTR"/>
    <x v="0"/>
    <x v="7"/>
    <n v="5.13896091569482E-3"/>
    <n v="1.25048048948574"/>
    <n v="4.5017297621486696"/>
  </r>
  <r>
    <x v="0"/>
    <x v="0"/>
    <x v="0"/>
    <x v="0"/>
    <x v="0"/>
    <x v="4"/>
    <x v="7"/>
    <x v="5"/>
    <x v="5"/>
    <s v="GNR_ROR_WTR"/>
    <x v="0"/>
    <x v="0"/>
    <n v="5.13896091569482E-3"/>
    <n v="1.25048048948574"/>
    <n v="4.5017297621486696"/>
  </r>
  <r>
    <x v="0"/>
    <x v="0"/>
    <x v="0"/>
    <x v="0"/>
    <x v="0"/>
    <x v="4"/>
    <x v="7"/>
    <x v="5"/>
    <x v="5"/>
    <s v="GNR_ROR_WTR"/>
    <x v="0"/>
    <x v="1"/>
    <n v="5.13896091569482E-3"/>
    <n v="1.25048048948574"/>
    <n v="4.5017297621486696"/>
  </r>
  <r>
    <x v="0"/>
    <x v="0"/>
    <x v="0"/>
    <x v="0"/>
    <x v="0"/>
    <x v="4"/>
    <x v="7"/>
    <x v="5"/>
    <x v="5"/>
    <s v="GNR_ROR_WTR"/>
    <x v="0"/>
    <x v="2"/>
    <n v="5.13896091569482E-3"/>
    <n v="1.25048048948574"/>
    <n v="4.5017297621486696"/>
  </r>
  <r>
    <x v="0"/>
    <x v="0"/>
    <x v="0"/>
    <x v="0"/>
    <x v="0"/>
    <x v="4"/>
    <x v="7"/>
    <x v="5"/>
    <x v="5"/>
    <s v="GNR_ROR_WTR"/>
    <x v="0"/>
    <x v="5"/>
    <n v="5.13896091569482E-3"/>
    <n v="1.25048048948574"/>
    <n v="4.5017297621486696"/>
  </r>
  <r>
    <x v="0"/>
    <x v="0"/>
    <x v="0"/>
    <x v="0"/>
    <x v="0"/>
    <x v="4"/>
    <x v="7"/>
    <x v="5"/>
    <x v="5"/>
    <s v="GNR_ROR_WTR"/>
    <x v="0"/>
    <x v="11"/>
    <n v="5.13896091569482E-3"/>
    <n v="1.25048048948574"/>
    <n v="4.5017297621486696"/>
  </r>
  <r>
    <x v="0"/>
    <x v="0"/>
    <x v="0"/>
    <x v="0"/>
    <x v="0"/>
    <x v="4"/>
    <x v="7"/>
    <x v="5"/>
    <x v="5"/>
    <s v="GNR_ROR_WTR"/>
    <x v="0"/>
    <x v="8"/>
    <n v="5.13896091569482E-3"/>
    <n v="1.25048048948574"/>
    <n v="4.5017297621486696"/>
  </r>
  <r>
    <x v="0"/>
    <x v="0"/>
    <x v="0"/>
    <x v="0"/>
    <x v="0"/>
    <x v="4"/>
    <x v="7"/>
    <x v="5"/>
    <x v="5"/>
    <s v="GNR_ROR_WTR"/>
    <x v="2"/>
    <x v="9"/>
    <n v="5.54794663848857E-3"/>
    <n v="1.3500003486988801"/>
    <n v="4.8600012553159804"/>
  </r>
  <r>
    <x v="0"/>
    <x v="0"/>
    <x v="0"/>
    <x v="0"/>
    <x v="0"/>
    <x v="4"/>
    <x v="7"/>
    <x v="5"/>
    <x v="5"/>
    <s v="GNR_ROR_WTR"/>
    <x v="2"/>
    <x v="3"/>
    <n v="5.54794663848857E-3"/>
    <n v="1.3500003486988801"/>
    <n v="4.8600012553159804"/>
  </r>
  <r>
    <x v="0"/>
    <x v="0"/>
    <x v="0"/>
    <x v="0"/>
    <x v="0"/>
    <x v="4"/>
    <x v="7"/>
    <x v="5"/>
    <x v="5"/>
    <s v="GNR_ROR_WTR"/>
    <x v="2"/>
    <x v="10"/>
    <n v="5.54794663848857E-3"/>
    <n v="1.3500003486988801"/>
    <n v="4.8600012553159804"/>
  </r>
  <r>
    <x v="0"/>
    <x v="0"/>
    <x v="0"/>
    <x v="0"/>
    <x v="0"/>
    <x v="4"/>
    <x v="7"/>
    <x v="5"/>
    <x v="5"/>
    <s v="GNR_ROR_WTR"/>
    <x v="2"/>
    <x v="4"/>
    <n v="5.54794663848857E-3"/>
    <n v="1.3500003486988801"/>
    <n v="4.8600012553159804"/>
  </r>
  <r>
    <x v="0"/>
    <x v="0"/>
    <x v="0"/>
    <x v="0"/>
    <x v="0"/>
    <x v="4"/>
    <x v="7"/>
    <x v="5"/>
    <x v="5"/>
    <s v="GNR_ROR_WTR"/>
    <x v="2"/>
    <x v="6"/>
    <n v="5.54794663848857E-3"/>
    <n v="1.3500003486988801"/>
    <n v="4.8600012553159804"/>
  </r>
  <r>
    <x v="0"/>
    <x v="0"/>
    <x v="0"/>
    <x v="0"/>
    <x v="0"/>
    <x v="4"/>
    <x v="7"/>
    <x v="5"/>
    <x v="5"/>
    <s v="GNR_ROR_WTR"/>
    <x v="2"/>
    <x v="7"/>
    <n v="5.54794663848857E-3"/>
    <n v="1.3500003486988801"/>
    <n v="4.8600012553159804"/>
  </r>
  <r>
    <x v="0"/>
    <x v="0"/>
    <x v="0"/>
    <x v="0"/>
    <x v="0"/>
    <x v="4"/>
    <x v="7"/>
    <x v="5"/>
    <x v="5"/>
    <s v="GNR_ROR_WTR"/>
    <x v="2"/>
    <x v="0"/>
    <n v="5.54794663848857E-3"/>
    <n v="1.3500003486988801"/>
    <n v="4.8600012553159804"/>
  </r>
  <r>
    <x v="0"/>
    <x v="0"/>
    <x v="0"/>
    <x v="0"/>
    <x v="0"/>
    <x v="4"/>
    <x v="7"/>
    <x v="5"/>
    <x v="5"/>
    <s v="GNR_ROR_WTR"/>
    <x v="2"/>
    <x v="1"/>
    <n v="5.54794663848857E-3"/>
    <n v="1.3500003486988801"/>
    <n v="4.8600012553159804"/>
  </r>
  <r>
    <x v="0"/>
    <x v="0"/>
    <x v="0"/>
    <x v="0"/>
    <x v="0"/>
    <x v="4"/>
    <x v="7"/>
    <x v="5"/>
    <x v="5"/>
    <s v="GNR_ROR_WTR"/>
    <x v="2"/>
    <x v="2"/>
    <n v="5.54794663848857E-3"/>
    <n v="1.3500003486988801"/>
    <n v="4.8600012553159804"/>
  </r>
  <r>
    <x v="0"/>
    <x v="0"/>
    <x v="0"/>
    <x v="0"/>
    <x v="0"/>
    <x v="4"/>
    <x v="7"/>
    <x v="5"/>
    <x v="5"/>
    <s v="GNR_ROR_WTR"/>
    <x v="2"/>
    <x v="5"/>
    <n v="5.54794663848857E-3"/>
    <n v="1.3500003486988801"/>
    <n v="4.8600012553159804"/>
  </r>
  <r>
    <x v="0"/>
    <x v="0"/>
    <x v="0"/>
    <x v="0"/>
    <x v="0"/>
    <x v="4"/>
    <x v="7"/>
    <x v="5"/>
    <x v="5"/>
    <s v="GNR_ROR_WTR"/>
    <x v="2"/>
    <x v="11"/>
    <n v="5.54794663848857E-3"/>
    <n v="1.3500003486988801"/>
    <n v="4.8600012553159804"/>
  </r>
  <r>
    <x v="0"/>
    <x v="0"/>
    <x v="0"/>
    <x v="0"/>
    <x v="0"/>
    <x v="4"/>
    <x v="7"/>
    <x v="5"/>
    <x v="5"/>
    <s v="GNR_ROR_WTR"/>
    <x v="2"/>
    <x v="8"/>
    <n v="5.54794663848857E-3"/>
    <n v="1.3500003486988801"/>
    <n v="4.8600012553159804"/>
  </r>
  <r>
    <x v="0"/>
    <x v="0"/>
    <x v="0"/>
    <x v="0"/>
    <x v="0"/>
    <x v="4"/>
    <x v="7"/>
    <x v="5"/>
    <x v="5"/>
    <s v="GNR_ROR_WTR"/>
    <x v="1"/>
    <x v="9"/>
    <n v="5.8194645030144199E-3"/>
    <n v="1.4160696957335099"/>
    <n v="5.0978509046406302"/>
  </r>
  <r>
    <x v="0"/>
    <x v="0"/>
    <x v="0"/>
    <x v="0"/>
    <x v="0"/>
    <x v="4"/>
    <x v="7"/>
    <x v="5"/>
    <x v="5"/>
    <s v="GNR_ROR_WTR"/>
    <x v="1"/>
    <x v="3"/>
    <n v="5.8194645030144199E-3"/>
    <n v="1.4160696957335099"/>
    <n v="5.0978509046406302"/>
  </r>
  <r>
    <x v="0"/>
    <x v="0"/>
    <x v="0"/>
    <x v="0"/>
    <x v="0"/>
    <x v="4"/>
    <x v="7"/>
    <x v="5"/>
    <x v="5"/>
    <s v="GNR_ROR_WTR"/>
    <x v="1"/>
    <x v="10"/>
    <n v="5.8194645030144199E-3"/>
    <n v="1.4160696957335099"/>
    <n v="5.0978509046406302"/>
  </r>
  <r>
    <x v="0"/>
    <x v="0"/>
    <x v="0"/>
    <x v="0"/>
    <x v="0"/>
    <x v="4"/>
    <x v="7"/>
    <x v="5"/>
    <x v="5"/>
    <s v="GNR_ROR_WTR"/>
    <x v="1"/>
    <x v="4"/>
    <n v="5.8194645030144199E-3"/>
    <n v="1.4160696957335099"/>
    <n v="5.0978509046406302"/>
  </r>
  <r>
    <x v="0"/>
    <x v="0"/>
    <x v="0"/>
    <x v="0"/>
    <x v="0"/>
    <x v="4"/>
    <x v="7"/>
    <x v="5"/>
    <x v="5"/>
    <s v="GNR_ROR_WTR"/>
    <x v="1"/>
    <x v="6"/>
    <n v="5.8194645030144199E-3"/>
    <n v="1.4160696957335099"/>
    <n v="5.0978509046406302"/>
  </r>
  <r>
    <x v="0"/>
    <x v="0"/>
    <x v="0"/>
    <x v="0"/>
    <x v="0"/>
    <x v="4"/>
    <x v="7"/>
    <x v="5"/>
    <x v="5"/>
    <s v="GNR_ROR_WTR"/>
    <x v="1"/>
    <x v="7"/>
    <n v="5.8194645030144199E-3"/>
    <n v="1.4160696957335099"/>
    <n v="5.0978509046406302"/>
  </r>
  <r>
    <x v="0"/>
    <x v="0"/>
    <x v="0"/>
    <x v="0"/>
    <x v="0"/>
    <x v="4"/>
    <x v="7"/>
    <x v="5"/>
    <x v="5"/>
    <s v="GNR_ROR_WTR"/>
    <x v="1"/>
    <x v="0"/>
    <n v="5.8194645030144199E-3"/>
    <n v="1.4160696957335099"/>
    <n v="5.0978509046406302"/>
  </r>
  <r>
    <x v="0"/>
    <x v="0"/>
    <x v="0"/>
    <x v="0"/>
    <x v="0"/>
    <x v="4"/>
    <x v="7"/>
    <x v="5"/>
    <x v="5"/>
    <s v="GNR_ROR_WTR"/>
    <x v="1"/>
    <x v="1"/>
    <n v="5.8194645030144199E-3"/>
    <n v="1.4160696957335099"/>
    <n v="5.0978509046406302"/>
  </r>
  <r>
    <x v="0"/>
    <x v="0"/>
    <x v="0"/>
    <x v="0"/>
    <x v="0"/>
    <x v="4"/>
    <x v="7"/>
    <x v="5"/>
    <x v="5"/>
    <s v="GNR_ROR_WTR"/>
    <x v="1"/>
    <x v="2"/>
    <n v="5.8194645030144199E-3"/>
    <n v="1.4160696957335099"/>
    <n v="5.0978509046406302"/>
  </r>
  <r>
    <x v="0"/>
    <x v="0"/>
    <x v="0"/>
    <x v="0"/>
    <x v="0"/>
    <x v="4"/>
    <x v="7"/>
    <x v="5"/>
    <x v="5"/>
    <s v="GNR_ROR_WTR"/>
    <x v="1"/>
    <x v="5"/>
    <n v="5.8194645030144199E-3"/>
    <n v="1.4160696957335099"/>
    <n v="5.0978509046406302"/>
  </r>
  <r>
    <x v="0"/>
    <x v="0"/>
    <x v="0"/>
    <x v="0"/>
    <x v="0"/>
    <x v="4"/>
    <x v="7"/>
    <x v="5"/>
    <x v="5"/>
    <s v="GNR_ROR_WTR"/>
    <x v="1"/>
    <x v="11"/>
    <n v="5.8194645030144199E-3"/>
    <n v="1.4160696957335099"/>
    <n v="5.0978509046406302"/>
  </r>
  <r>
    <x v="0"/>
    <x v="0"/>
    <x v="0"/>
    <x v="0"/>
    <x v="0"/>
    <x v="4"/>
    <x v="7"/>
    <x v="5"/>
    <x v="5"/>
    <s v="GNR_ROR_WTR"/>
    <x v="1"/>
    <x v="8"/>
    <n v="5.8194645030144199E-3"/>
    <n v="1.4160696957335099"/>
    <n v="5.0978509046406302"/>
  </r>
  <r>
    <x v="0"/>
    <x v="0"/>
    <x v="0"/>
    <x v="0"/>
    <x v="0"/>
    <x v="4"/>
    <x v="4"/>
    <x v="0"/>
    <x v="6"/>
    <s v="GNR_ST_WOODCHI_EXT_E-30"/>
    <x v="0"/>
    <x v="0"/>
    <n v="92"/>
    <n v="22386.666666666701"/>
    <n v="80592"/>
  </r>
  <r>
    <x v="0"/>
    <x v="0"/>
    <x v="0"/>
    <x v="0"/>
    <x v="0"/>
    <x v="4"/>
    <x v="4"/>
    <x v="0"/>
    <x v="6"/>
    <s v="GNR_ST_WOODCHI_EXT_E-30"/>
    <x v="0"/>
    <x v="1"/>
    <n v="92"/>
    <n v="22386.666666666701"/>
    <n v="80592"/>
  </r>
  <r>
    <x v="0"/>
    <x v="0"/>
    <x v="0"/>
    <x v="0"/>
    <x v="0"/>
    <x v="4"/>
    <x v="4"/>
    <x v="0"/>
    <x v="6"/>
    <s v="GNR_ST_WOODCHI_EXT_E-30"/>
    <x v="0"/>
    <x v="2"/>
    <n v="92"/>
    <n v="22386.666666666701"/>
    <n v="80592"/>
  </r>
  <r>
    <x v="0"/>
    <x v="0"/>
    <x v="0"/>
    <x v="0"/>
    <x v="0"/>
    <x v="4"/>
    <x v="8"/>
    <x v="4"/>
    <x v="7"/>
    <s v="GNR_WT_WIND_ONS"/>
    <x v="0"/>
    <x v="9"/>
    <n v="1534.6978173516"/>
    <n v="373443.13555555599"/>
    <n v="1344395.2879999999"/>
  </r>
  <r>
    <x v="0"/>
    <x v="0"/>
    <x v="0"/>
    <x v="0"/>
    <x v="0"/>
    <x v="4"/>
    <x v="8"/>
    <x v="4"/>
    <x v="7"/>
    <s v="GNR_WT_WIND_ONS"/>
    <x v="0"/>
    <x v="3"/>
    <n v="608.70183309897197"/>
    <n v="148117.446054083"/>
    <n v="533222.805794699"/>
  </r>
  <r>
    <x v="0"/>
    <x v="0"/>
    <x v="0"/>
    <x v="0"/>
    <x v="0"/>
    <x v="4"/>
    <x v="8"/>
    <x v="4"/>
    <x v="7"/>
    <s v="GNR_WT_WIND_ONS"/>
    <x v="0"/>
    <x v="10"/>
    <n v="1282.48964592177"/>
    <n v="312072.48050763097"/>
    <n v="1123460.9298274701"/>
  </r>
  <r>
    <x v="0"/>
    <x v="0"/>
    <x v="0"/>
    <x v="0"/>
    <x v="0"/>
    <x v="4"/>
    <x v="8"/>
    <x v="4"/>
    <x v="7"/>
    <s v="GNR_WT_WIND_ONS"/>
    <x v="0"/>
    <x v="4"/>
    <n v="789.90711755735299"/>
    <n v="192210.73193895601"/>
    <n v="691958.63498024095"/>
  </r>
  <r>
    <x v="0"/>
    <x v="0"/>
    <x v="0"/>
    <x v="0"/>
    <x v="0"/>
    <x v="4"/>
    <x v="8"/>
    <x v="4"/>
    <x v="7"/>
    <s v="GNR_WT_WIND_ONS"/>
    <x v="0"/>
    <x v="6"/>
    <n v="754.40567407162905"/>
    <n v="183572.04735743001"/>
    <n v="660859.37048674701"/>
  </r>
  <r>
    <x v="0"/>
    <x v="0"/>
    <x v="0"/>
    <x v="0"/>
    <x v="0"/>
    <x v="4"/>
    <x v="8"/>
    <x v="4"/>
    <x v="7"/>
    <s v="GNR_WT_WIND_ONS"/>
    <x v="0"/>
    <x v="7"/>
    <n v="242.59319715244601"/>
    <n v="59031.011307095097"/>
    <n v="212511.640705542"/>
  </r>
  <r>
    <x v="0"/>
    <x v="0"/>
    <x v="0"/>
    <x v="0"/>
    <x v="0"/>
    <x v="4"/>
    <x v="8"/>
    <x v="4"/>
    <x v="7"/>
    <s v="GNR_WT_WIND_ONS"/>
    <x v="0"/>
    <x v="0"/>
    <n v="413.44389392749099"/>
    <n v="100604.680855689"/>
    <n v="362176.85108048201"/>
  </r>
  <r>
    <x v="0"/>
    <x v="0"/>
    <x v="0"/>
    <x v="0"/>
    <x v="0"/>
    <x v="4"/>
    <x v="8"/>
    <x v="4"/>
    <x v="7"/>
    <s v="GNR_WT_WIND_ONS"/>
    <x v="0"/>
    <x v="1"/>
    <n v="95.410129367882504"/>
    <n v="23216.464812851402"/>
    <n v="83579.273326265102"/>
  </r>
  <r>
    <x v="0"/>
    <x v="0"/>
    <x v="0"/>
    <x v="0"/>
    <x v="0"/>
    <x v="4"/>
    <x v="8"/>
    <x v="4"/>
    <x v="7"/>
    <s v="GNR_WT_WIND_ONS"/>
    <x v="0"/>
    <x v="2"/>
    <n v="45.1164177631073"/>
    <n v="10978.328322356099"/>
    <n v="39521.981960481899"/>
  </r>
  <r>
    <x v="0"/>
    <x v="0"/>
    <x v="0"/>
    <x v="0"/>
    <x v="0"/>
    <x v="4"/>
    <x v="8"/>
    <x v="4"/>
    <x v="7"/>
    <s v="GNR_WT_WIND_ONS"/>
    <x v="0"/>
    <x v="5"/>
    <n v="51.0333250107279"/>
    <n v="12418.109085943801"/>
    <n v="44705.192709397597"/>
  </r>
  <r>
    <x v="0"/>
    <x v="0"/>
    <x v="0"/>
    <x v="0"/>
    <x v="0"/>
    <x v="4"/>
    <x v="8"/>
    <x v="4"/>
    <x v="7"/>
    <s v="GNR_WT_WIND_ONS"/>
    <x v="0"/>
    <x v="11"/>
    <n v="284.01154788578998"/>
    <n v="69109.476652208905"/>
    <n v="248794.115947952"/>
  </r>
  <r>
    <x v="0"/>
    <x v="0"/>
    <x v="0"/>
    <x v="0"/>
    <x v="0"/>
    <x v="4"/>
    <x v="8"/>
    <x v="4"/>
    <x v="7"/>
    <s v="GNR_WT_WIND_ONS"/>
    <x v="0"/>
    <x v="8"/>
    <n v="163.45456271552001"/>
    <n v="39773.943594109798"/>
    <n v="143186.19693879501"/>
  </r>
  <r>
    <x v="0"/>
    <x v="0"/>
    <x v="0"/>
    <x v="0"/>
    <x v="0"/>
    <x v="4"/>
    <x v="8"/>
    <x v="4"/>
    <x v="7"/>
    <s v="GNR_WT_WIND_ONS"/>
    <x v="2"/>
    <x v="9"/>
    <n v="1570.93887424328"/>
    <n v="382261.79273252998"/>
    <n v="1376142.45383711"/>
  </r>
  <r>
    <x v="0"/>
    <x v="0"/>
    <x v="0"/>
    <x v="0"/>
    <x v="0"/>
    <x v="4"/>
    <x v="8"/>
    <x v="4"/>
    <x v="7"/>
    <s v="GNR_WT_WIND_ONS"/>
    <x v="2"/>
    <x v="3"/>
    <n v="642.72404977278995"/>
    <n v="156396.185444712"/>
    <n v="563026.26760096406"/>
  </r>
  <r>
    <x v="0"/>
    <x v="0"/>
    <x v="0"/>
    <x v="0"/>
    <x v="0"/>
    <x v="4"/>
    <x v="8"/>
    <x v="4"/>
    <x v="7"/>
    <s v="GNR_WT_WIND_ONS"/>
    <x v="2"/>
    <x v="10"/>
    <n v="60.648299288111403"/>
    <n v="14757.7528267738"/>
    <n v="53127.910176385602"/>
  </r>
  <r>
    <x v="0"/>
    <x v="0"/>
    <x v="0"/>
    <x v="0"/>
    <x v="0"/>
    <x v="4"/>
    <x v="8"/>
    <x v="4"/>
    <x v="7"/>
    <s v="GNR_WT_WIND_ONS"/>
    <x v="2"/>
    <x v="4"/>
    <n v="321.73183158937098"/>
    <n v="78288.079020080404"/>
    <n v="281837.08447228902"/>
  </r>
  <r>
    <x v="0"/>
    <x v="0"/>
    <x v="0"/>
    <x v="0"/>
    <x v="0"/>
    <x v="4"/>
    <x v="8"/>
    <x v="4"/>
    <x v="7"/>
    <s v="GNR_WT_WIND_ONS"/>
    <x v="2"/>
    <x v="6"/>
    <n v="930.43366468834301"/>
    <n v="226405.52507416299"/>
    <n v="815059.89026698796"/>
  </r>
  <r>
    <x v="0"/>
    <x v="0"/>
    <x v="0"/>
    <x v="0"/>
    <x v="0"/>
    <x v="4"/>
    <x v="8"/>
    <x v="4"/>
    <x v="7"/>
    <s v="GNR_WT_WIND_ONS"/>
    <x v="2"/>
    <x v="7"/>
    <n v="1469.61183762777"/>
    <n v="357605.54715609102"/>
    <n v="1287379.9697619299"/>
  </r>
  <r>
    <x v="0"/>
    <x v="0"/>
    <x v="0"/>
    <x v="0"/>
    <x v="0"/>
    <x v="4"/>
    <x v="8"/>
    <x v="4"/>
    <x v="7"/>
    <s v="GNR_WT_WIND_ONS"/>
    <x v="2"/>
    <x v="0"/>
    <n v="1433.3707807361"/>
    <n v="348786.88997911703"/>
    <n v="1255632.8039248199"/>
  </r>
  <r>
    <x v="0"/>
    <x v="0"/>
    <x v="0"/>
    <x v="0"/>
    <x v="0"/>
    <x v="4"/>
    <x v="8"/>
    <x v="4"/>
    <x v="7"/>
    <s v="GNR_WT_WIND_ONS"/>
    <x v="2"/>
    <x v="1"/>
    <n v="192.29948554767"/>
    <n v="46792.874816599797"/>
    <n v="168454.34933975901"/>
  </r>
  <r>
    <x v="0"/>
    <x v="0"/>
    <x v="0"/>
    <x v="0"/>
    <x v="0"/>
    <x v="4"/>
    <x v="8"/>
    <x v="4"/>
    <x v="7"/>
    <s v="GNR_WT_WIND_ONS"/>
    <x v="2"/>
    <x v="2"/>
    <n v="457.08108487869299"/>
    <n v="111223.063987149"/>
    <n v="400403.03035373503"/>
  </r>
  <r>
    <x v="0"/>
    <x v="0"/>
    <x v="0"/>
    <x v="0"/>
    <x v="0"/>
    <x v="4"/>
    <x v="8"/>
    <x v="4"/>
    <x v="7"/>
    <s v="GNR_WT_WIND_ONS"/>
    <x v="2"/>
    <x v="5"/>
    <n v="187.12219170600201"/>
    <n v="45533.066648460503"/>
    <n v="163919.03993445801"/>
  </r>
  <r>
    <x v="0"/>
    <x v="0"/>
    <x v="0"/>
    <x v="0"/>
    <x v="0"/>
    <x v="4"/>
    <x v="8"/>
    <x v="4"/>
    <x v="7"/>
    <s v="GNR_WT_WIND_ONS"/>
    <x v="2"/>
    <x v="11"/>
    <n v="18.490335148814399"/>
    <n v="4499.3148862115104"/>
    <n v="16197.5335903615"/>
  </r>
  <r>
    <x v="0"/>
    <x v="0"/>
    <x v="0"/>
    <x v="0"/>
    <x v="0"/>
    <x v="4"/>
    <x v="8"/>
    <x v="4"/>
    <x v="7"/>
    <s v="GNR_WT_WIND_ONS"/>
    <x v="2"/>
    <x v="8"/>
    <n v="138.30770691313199"/>
    <n v="33654.875348862101"/>
    <n v="121157.55125590401"/>
  </r>
  <r>
    <x v="0"/>
    <x v="0"/>
    <x v="0"/>
    <x v="0"/>
    <x v="0"/>
    <x v="4"/>
    <x v="8"/>
    <x v="4"/>
    <x v="7"/>
    <s v="GNR_WT_WIND_ONS"/>
    <x v="1"/>
    <x v="9"/>
    <n v="943.74670599548904"/>
    <n v="229645.031792236"/>
    <n v="826722.11445204902"/>
  </r>
  <r>
    <x v="0"/>
    <x v="0"/>
    <x v="0"/>
    <x v="0"/>
    <x v="0"/>
    <x v="4"/>
    <x v="8"/>
    <x v="4"/>
    <x v="7"/>
    <s v="GNR_WT_WIND_ONS"/>
    <x v="1"/>
    <x v="3"/>
    <n v="68.784046753589706"/>
    <n v="16737.451376706798"/>
    <n v="60254.824956144599"/>
  </r>
  <r>
    <x v="0"/>
    <x v="0"/>
    <x v="0"/>
    <x v="0"/>
    <x v="0"/>
    <x v="4"/>
    <x v="8"/>
    <x v="4"/>
    <x v="7"/>
    <s v="GNR_WT_WIND_ONS"/>
    <x v="1"/>
    <x v="10"/>
    <n v="777.33368965615898"/>
    <n v="189151.19781633199"/>
    <n v="680944.31213879597"/>
  </r>
  <r>
    <x v="0"/>
    <x v="0"/>
    <x v="0"/>
    <x v="0"/>
    <x v="0"/>
    <x v="4"/>
    <x v="8"/>
    <x v="4"/>
    <x v="7"/>
    <s v="GNR_WT_WIND_ONS"/>
    <x v="1"/>
    <x v="4"/>
    <n v="169.37146996313999"/>
    <n v="41213.724357697502"/>
    <n v="148369.40768771101"/>
  </r>
  <r>
    <x v="0"/>
    <x v="0"/>
    <x v="0"/>
    <x v="0"/>
    <x v="0"/>
    <x v="4"/>
    <x v="8"/>
    <x v="4"/>
    <x v="7"/>
    <s v="GNR_WT_WIND_ONS"/>
    <x v="1"/>
    <x v="6"/>
    <n v="207.09175366672201"/>
    <n v="50392.326725569001"/>
    <n v="181412.376212048"/>
  </r>
  <r>
    <x v="0"/>
    <x v="0"/>
    <x v="0"/>
    <x v="0"/>
    <x v="0"/>
    <x v="4"/>
    <x v="8"/>
    <x v="4"/>
    <x v="7"/>
    <s v="GNR_WT_WIND_ONS"/>
    <x v="1"/>
    <x v="7"/>
    <n v="729.25881826924206"/>
    <n v="177452.97911218199"/>
    <n v="638830.72480385599"/>
  </r>
  <r>
    <x v="0"/>
    <x v="0"/>
    <x v="0"/>
    <x v="0"/>
    <x v="0"/>
    <x v="4"/>
    <x v="8"/>
    <x v="4"/>
    <x v="7"/>
    <s v="GNR_WT_WIND_ONS"/>
    <x v="1"/>
    <x v="0"/>
    <n v="96.149742773835101"/>
    <n v="23396.437408299898"/>
    <n v="84227.174669879605"/>
  </r>
  <r>
    <x v="0"/>
    <x v="0"/>
    <x v="0"/>
    <x v="0"/>
    <x v="0"/>
    <x v="4"/>
    <x v="8"/>
    <x v="4"/>
    <x v="7"/>
    <s v="GNR_WT_WIND_ONS"/>
    <x v="1"/>
    <x v="1"/>
    <n v="480.00910046322298"/>
    <n v="116802.214446051"/>
    <n v="420487.972005783"/>
  </r>
  <r>
    <x v="0"/>
    <x v="0"/>
    <x v="0"/>
    <x v="0"/>
    <x v="0"/>
    <x v="4"/>
    <x v="8"/>
    <x v="4"/>
    <x v="7"/>
    <s v="GNR_WT_WIND_ONS"/>
    <x v="1"/>
    <x v="2"/>
    <n v="368.327476164384"/>
    <n v="89626.352533333396"/>
    <n v="322654.86911999999"/>
  </r>
  <r>
    <x v="0"/>
    <x v="0"/>
    <x v="0"/>
    <x v="0"/>
    <x v="0"/>
    <x v="4"/>
    <x v="8"/>
    <x v="4"/>
    <x v="7"/>
    <s v="GNR_WT_WIND_ONS"/>
    <x v="1"/>
    <x v="5"/>
    <n v="311.37724390603501"/>
    <n v="75768.462683801903"/>
    <n v="272766.46566168702"/>
  </r>
  <r>
    <x v="0"/>
    <x v="0"/>
    <x v="0"/>
    <x v="0"/>
    <x v="0"/>
    <x v="4"/>
    <x v="8"/>
    <x v="4"/>
    <x v="7"/>
    <s v="GNR_WT_WIND_ONS"/>
    <x v="1"/>
    <x v="11"/>
    <n v="747.00954001210403"/>
    <n v="181772.321402945"/>
    <n v="654380.35705060302"/>
  </r>
  <r>
    <x v="0"/>
    <x v="0"/>
    <x v="0"/>
    <x v="0"/>
    <x v="0"/>
    <x v="4"/>
    <x v="8"/>
    <x v="4"/>
    <x v="7"/>
    <s v="GNR_WT_WIND_ONS"/>
    <x v="1"/>
    <x v="8"/>
    <n v="750.70760704186705"/>
    <n v="182672.184380188"/>
    <n v="657619.86376867502"/>
  </r>
  <r>
    <x v="0"/>
    <x v="0"/>
    <x v="0"/>
    <x v="0"/>
    <x v="0"/>
    <x v="4"/>
    <x v="8"/>
    <x v="4"/>
    <x v="7"/>
    <s v="GNR_WT_WIND_ON_LS_Y-2030"/>
    <x v="0"/>
    <x v="9"/>
    <n v="511.34580175183299"/>
    <n v="124427.47842627901"/>
    <n v="447938.922334606"/>
  </r>
  <r>
    <x v="0"/>
    <x v="0"/>
    <x v="0"/>
    <x v="0"/>
    <x v="0"/>
    <x v="4"/>
    <x v="8"/>
    <x v="4"/>
    <x v="7"/>
    <s v="GNR_WT_WIND_ON_LS_Y-2030"/>
    <x v="0"/>
    <x v="3"/>
    <n v="202.81329871892001"/>
    <n v="49351.2360216038"/>
    <n v="177664.44967777401"/>
  </r>
  <r>
    <x v="0"/>
    <x v="0"/>
    <x v="0"/>
    <x v="0"/>
    <x v="0"/>
    <x v="4"/>
    <x v="8"/>
    <x v="4"/>
    <x v="7"/>
    <s v="GNR_WT_WIND_ON_LS_Y-2030"/>
    <x v="0"/>
    <x v="10"/>
    <n v="427.312588066351"/>
    <n v="103979.39642947901"/>
    <n v="374325.82714612398"/>
  </r>
  <r>
    <x v="0"/>
    <x v="0"/>
    <x v="0"/>
    <x v="0"/>
    <x v="0"/>
    <x v="4"/>
    <x v="8"/>
    <x v="4"/>
    <x v="7"/>
    <s v="GNR_WT_WIND_ON_LS_Y-2030"/>
    <x v="0"/>
    <x v="4"/>
    <n v="263.18906808238899"/>
    <n v="64042.6732333814"/>
    <n v="230553.623640173"/>
  </r>
  <r>
    <x v="0"/>
    <x v="0"/>
    <x v="0"/>
    <x v="0"/>
    <x v="0"/>
    <x v="4"/>
    <x v="8"/>
    <x v="4"/>
    <x v="7"/>
    <s v="GNR_WT_WIND_ON_LS_Y-2030"/>
    <x v="0"/>
    <x v="6"/>
    <n v="251.36034592138299"/>
    <n v="61164.350840869898"/>
    <n v="220191.663027131"/>
  </r>
  <r>
    <x v="0"/>
    <x v="0"/>
    <x v="0"/>
    <x v="0"/>
    <x v="0"/>
    <x v="4"/>
    <x v="8"/>
    <x v="4"/>
    <x v="7"/>
    <s v="GNR_WT_WIND_ON_LS_Y-2030"/>
    <x v="0"/>
    <x v="7"/>
    <n v="80.829601433542706"/>
    <n v="19668.5363488287"/>
    <n v="70806.730855783404"/>
  </r>
  <r>
    <x v="0"/>
    <x v="0"/>
    <x v="0"/>
    <x v="0"/>
    <x v="0"/>
    <x v="4"/>
    <x v="8"/>
    <x v="4"/>
    <x v="7"/>
    <s v="GNR_WT_WIND_ON_LS_Y-2030"/>
    <x v="0"/>
    <x v="0"/>
    <n v="137.755326833385"/>
    <n v="33520.462862790402"/>
    <n v="120673.666306046"/>
  </r>
  <r>
    <x v="0"/>
    <x v="0"/>
    <x v="0"/>
    <x v="0"/>
    <x v="0"/>
    <x v="4"/>
    <x v="8"/>
    <x v="4"/>
    <x v="7"/>
    <s v="GNR_WT_WIND_ON_LS_Y-2030"/>
    <x v="0"/>
    <x v="1"/>
    <n v="31.7896908077043"/>
    <n v="7735.4914298747199"/>
    <n v="27847.769147548999"/>
  </r>
  <r>
    <x v="0"/>
    <x v="0"/>
    <x v="0"/>
    <x v="0"/>
    <x v="0"/>
    <x v="4"/>
    <x v="8"/>
    <x v="4"/>
    <x v="7"/>
    <s v="GNR_WT_WIND_ON_LS_Y-2030"/>
    <x v="0"/>
    <x v="2"/>
    <n v="15.032334412945399"/>
    <n v="3657.8680404833899"/>
    <n v="13168.3249457402"/>
  </r>
  <r>
    <x v="0"/>
    <x v="0"/>
    <x v="0"/>
    <x v="0"/>
    <x v="0"/>
    <x v="4"/>
    <x v="8"/>
    <x v="4"/>
    <x v="7"/>
    <s v="GNR_WT_WIND_ON_LS_Y-2030"/>
    <x v="0"/>
    <x v="5"/>
    <n v="17.0037881064465"/>
    <n v="4137.58843923531"/>
    <n v="14895.3183812471"/>
  </r>
  <r>
    <x v="0"/>
    <x v="0"/>
    <x v="0"/>
    <x v="0"/>
    <x v="0"/>
    <x v="4"/>
    <x v="8"/>
    <x v="4"/>
    <x v="7"/>
    <s v="GNR_WT_WIND_ON_LS_Y-2030"/>
    <x v="0"/>
    <x v="11"/>
    <n v="94.629777288049993"/>
    <n v="23026.579140092199"/>
    <n v="82895.684904331807"/>
  </r>
  <r>
    <x v="0"/>
    <x v="0"/>
    <x v="0"/>
    <x v="0"/>
    <x v="0"/>
    <x v="4"/>
    <x v="8"/>
    <x v="4"/>
    <x v="7"/>
    <s v="GNR_WT_WIND_ON_LS_Y-2030"/>
    <x v="0"/>
    <x v="8"/>
    <n v="54.461408282966303"/>
    <n v="13252.2760155218"/>
    <n v="47708.193655878502"/>
  </r>
  <r>
    <x v="0"/>
    <x v="0"/>
    <x v="0"/>
    <x v="0"/>
    <x v="0"/>
    <x v="4"/>
    <x v="8"/>
    <x v="4"/>
    <x v="7"/>
    <s v="GNR_WT_WIND_ON_LS_Y-2030"/>
    <x v="2"/>
    <x v="9"/>
    <n v="523.42095562452698"/>
    <n v="127365.765868635"/>
    <n v="458516.757127085"/>
  </r>
  <r>
    <x v="0"/>
    <x v="0"/>
    <x v="0"/>
    <x v="0"/>
    <x v="0"/>
    <x v="4"/>
    <x v="8"/>
    <x v="4"/>
    <x v="7"/>
    <s v="GNR_WT_WIND_ON_LS_Y-2030"/>
    <x v="2"/>
    <x v="3"/>
    <n v="214.14915745655099"/>
    <n v="52109.628314427297"/>
    <n v="187594.661931938"/>
  </r>
  <r>
    <x v="0"/>
    <x v="0"/>
    <x v="0"/>
    <x v="0"/>
    <x v="0"/>
    <x v="4"/>
    <x v="8"/>
    <x v="4"/>
    <x v="7"/>
    <s v="GNR_WT_WIND_ON_LS_Y-2030"/>
    <x v="2"/>
    <x v="10"/>
    <n v="20.207400358385701"/>
    <n v="4917.1340872071796"/>
    <n v="17701.682713945898"/>
  </r>
  <r>
    <x v="0"/>
    <x v="0"/>
    <x v="0"/>
    <x v="0"/>
    <x v="0"/>
    <x v="4"/>
    <x v="8"/>
    <x v="4"/>
    <x v="7"/>
    <s v="GNR_WT_WIND_ON_LS_Y-2030"/>
    <x v="2"/>
    <x v="4"/>
    <n v="107.19779458411899"/>
    <n v="26084.7966821357"/>
    <n v="93905.268055688401"/>
  </r>
  <r>
    <x v="0"/>
    <x v="0"/>
    <x v="0"/>
    <x v="0"/>
    <x v="0"/>
    <x v="4"/>
    <x v="8"/>
    <x v="4"/>
    <x v="7"/>
    <s v="GNR_WT_WIND_ON_LS_Y-2030"/>
    <x v="2"/>
    <x v="6"/>
    <n v="310.01109330303899"/>
    <n v="75436.032703739504"/>
    <n v="271569.71773346199"/>
  </r>
  <r>
    <x v="0"/>
    <x v="0"/>
    <x v="0"/>
    <x v="0"/>
    <x v="0"/>
    <x v="4"/>
    <x v="8"/>
    <x v="4"/>
    <x v="7"/>
    <s v="GNR_WT_WIND_ON_LS_Y-2030"/>
    <x v="2"/>
    <x v="7"/>
    <n v="489.65981112332099"/>
    <n v="119150.55404000801"/>
    <n v="428941.99454402999"/>
  </r>
  <r>
    <x v="0"/>
    <x v="0"/>
    <x v="0"/>
    <x v="0"/>
    <x v="0"/>
    <x v="4"/>
    <x v="8"/>
    <x v="4"/>
    <x v="7"/>
    <s v="GNR_WT_WIND_ON_LS_Y-2030"/>
    <x v="2"/>
    <x v="0"/>
    <n v="477.58465725062803"/>
    <n v="116212.266597653"/>
    <n v="418364.15975155"/>
  </r>
  <r>
    <x v="0"/>
    <x v="0"/>
    <x v="0"/>
    <x v="0"/>
    <x v="0"/>
    <x v="4"/>
    <x v="8"/>
    <x v="4"/>
    <x v="7"/>
    <s v="GNR_WT_WIND_ON_LS_Y-2030"/>
    <x v="2"/>
    <x v="1"/>
    <n v="64.072245038783905"/>
    <n v="15590.912959437401"/>
    <n v="56127.286653974697"/>
  </r>
  <r>
    <x v="0"/>
    <x v="0"/>
    <x v="0"/>
    <x v="0"/>
    <x v="0"/>
    <x v="4"/>
    <x v="8"/>
    <x v="4"/>
    <x v="7"/>
    <s v="GNR_WT_WIND_ON_LS_Y-2030"/>
    <x v="2"/>
    <x v="2"/>
    <n v="152.29479782295601"/>
    <n v="37058.400803585799"/>
    <n v="133410.24289290901"/>
  </r>
  <r>
    <x v="0"/>
    <x v="0"/>
    <x v="0"/>
    <x v="0"/>
    <x v="0"/>
    <x v="4"/>
    <x v="8"/>
    <x v="4"/>
    <x v="7"/>
    <s v="GNR_WT_WIND_ON_LS_Y-2030"/>
    <x v="2"/>
    <x v="5"/>
    <n v="62.347223056970499"/>
    <n v="15171.157610529501"/>
    <n v="54616.167397906102"/>
  </r>
  <r>
    <x v="0"/>
    <x v="0"/>
    <x v="0"/>
    <x v="0"/>
    <x v="0"/>
    <x v="4"/>
    <x v="8"/>
    <x v="4"/>
    <x v="7"/>
    <s v="GNR_WT_WIND_ON_LS_Y-2030"/>
    <x v="2"/>
    <x v="11"/>
    <n v="6.1607927921907599"/>
    <n v="1499.12624609975"/>
    <n v="5396.8544859591002"/>
  </r>
  <r>
    <x v="0"/>
    <x v="0"/>
    <x v="0"/>
    <x v="0"/>
    <x v="0"/>
    <x v="4"/>
    <x v="8"/>
    <x v="4"/>
    <x v="7"/>
    <s v="GNR_WT_WIND_ON_LS_Y-2030"/>
    <x v="2"/>
    <x v="8"/>
    <n v="46.082730085586903"/>
    <n v="11213.4643208261"/>
    <n v="40368.471554974101"/>
  </r>
  <r>
    <x v="0"/>
    <x v="0"/>
    <x v="0"/>
    <x v="0"/>
    <x v="0"/>
    <x v="4"/>
    <x v="8"/>
    <x v="4"/>
    <x v="7"/>
    <s v="GNR_WT_WIND_ON_LS_Y-2030"/>
    <x v="1"/>
    <x v="9"/>
    <n v="314.44686411341598"/>
    <n v="76515.403600931299"/>
    <n v="275455.45296335302"/>
  </r>
  <r>
    <x v="0"/>
    <x v="0"/>
    <x v="0"/>
    <x v="0"/>
    <x v="0"/>
    <x v="4"/>
    <x v="8"/>
    <x v="4"/>
    <x v="7"/>
    <s v="GNR_WT_WIND_ON_LS_Y-2030"/>
    <x v="1"/>
    <x v="3"/>
    <n v="22.918149186949599"/>
    <n v="5576.74963549107"/>
    <n v="20076.2986877679"/>
  </r>
  <r>
    <x v="0"/>
    <x v="0"/>
    <x v="0"/>
    <x v="0"/>
    <x v="0"/>
    <x v="4"/>
    <x v="8"/>
    <x v="4"/>
    <x v="7"/>
    <s v="GNR_WT_WIND_ON_LS_Y-2030"/>
    <x v="1"/>
    <x v="10"/>
    <n v="258.99972898369901"/>
    <n v="63023.267386033498"/>
    <n v="226883.76258972101"/>
  </r>
  <r>
    <x v="0"/>
    <x v="0"/>
    <x v="0"/>
    <x v="0"/>
    <x v="0"/>
    <x v="4"/>
    <x v="8"/>
    <x v="4"/>
    <x v="7"/>
    <s v="GNR_WT_WIND_ON_LS_Y-2030"/>
    <x v="1"/>
    <x v="4"/>
    <n v="56.432861976467301"/>
    <n v="13731.996414273701"/>
    <n v="49435.1870913854"/>
  </r>
  <r>
    <x v="0"/>
    <x v="0"/>
    <x v="0"/>
    <x v="0"/>
    <x v="0"/>
    <x v="4"/>
    <x v="8"/>
    <x v="4"/>
    <x v="7"/>
    <s v="GNR_WT_WIND_ON_LS_Y-2030"/>
    <x v="1"/>
    <x v="6"/>
    <n v="69.000879272536494"/>
    <n v="16790.213956317199"/>
    <n v="60444.770242742001"/>
  </r>
  <r>
    <x v="0"/>
    <x v="0"/>
    <x v="0"/>
    <x v="0"/>
    <x v="0"/>
    <x v="4"/>
    <x v="8"/>
    <x v="4"/>
    <x v="7"/>
    <s v="GNR_WT_WIND_ON_LS_Y-2030"/>
    <x v="1"/>
    <x v="7"/>
    <n v="242.98166772400401"/>
    <n v="59125.539146174197"/>
    <n v="212851.94092622699"/>
  </r>
  <r>
    <x v="0"/>
    <x v="0"/>
    <x v="0"/>
    <x v="0"/>
    <x v="0"/>
    <x v="4"/>
    <x v="8"/>
    <x v="4"/>
    <x v="7"/>
    <s v="GNR_WT_WIND_ON_LS_Y-2030"/>
    <x v="1"/>
    <x v="0"/>
    <n v="32.036122519391903"/>
    <n v="7795.4564797187004"/>
    <n v="28063.643326987301"/>
  </r>
  <r>
    <x v="0"/>
    <x v="0"/>
    <x v="0"/>
    <x v="0"/>
    <x v="0"/>
    <x v="4"/>
    <x v="8"/>
    <x v="4"/>
    <x v="7"/>
    <s v="GNR_WT_WIND_ON_LS_Y-2030"/>
    <x v="1"/>
    <x v="1"/>
    <n v="159.93418088527201"/>
    <n v="38917.317348749501"/>
    <n v="140102.342455498"/>
  </r>
  <r>
    <x v="0"/>
    <x v="0"/>
    <x v="0"/>
    <x v="0"/>
    <x v="0"/>
    <x v="4"/>
    <x v="8"/>
    <x v="4"/>
    <x v="7"/>
    <s v="GNR_WT_WIND_ON_LS_Y-2030"/>
    <x v="1"/>
    <x v="2"/>
    <n v="122.72299242043999"/>
    <n v="29862.594822307001"/>
    <n v="107505.341360305"/>
  </r>
  <r>
    <x v="0"/>
    <x v="0"/>
    <x v="0"/>
    <x v="0"/>
    <x v="0"/>
    <x v="4"/>
    <x v="8"/>
    <x v="4"/>
    <x v="7"/>
    <s v="GNR_WT_WIND_ON_LS_Y-2030"/>
    <x v="1"/>
    <x v="5"/>
    <n v="103.747750620492"/>
    <n v="25245.285984319798"/>
    <n v="90883.029543551296"/>
  </r>
  <r>
    <x v="0"/>
    <x v="0"/>
    <x v="0"/>
    <x v="0"/>
    <x v="0"/>
    <x v="4"/>
    <x v="8"/>
    <x v="4"/>
    <x v="7"/>
    <s v="GNR_WT_WIND_ON_LS_Y-2030"/>
    <x v="1"/>
    <x v="11"/>
    <n v="248.89602880450701"/>
    <n v="60564.700342429896"/>
    <n v="218032.92123274799"/>
  </r>
  <r>
    <x v="0"/>
    <x v="0"/>
    <x v="0"/>
    <x v="0"/>
    <x v="0"/>
    <x v="4"/>
    <x v="8"/>
    <x v="4"/>
    <x v="7"/>
    <s v="GNR_WT_WIND_ON_LS_Y-2030"/>
    <x v="1"/>
    <x v="8"/>
    <n v="250.128187362945"/>
    <n v="60864.525591649901"/>
    <n v="219112.29212994"/>
  </r>
  <r>
    <x v="0"/>
    <x v="0"/>
    <x v="0"/>
    <x v="0"/>
    <x v="0"/>
    <x v="5"/>
    <x v="5"/>
    <x v="1"/>
    <x v="1"/>
    <s v="GNR_BO_ELEC_E-99_LS-10-MW-FEED_PHH_Y-2030"/>
    <x v="0"/>
    <x v="9"/>
    <n v="-113.92122692382399"/>
    <n v="-27720.831884797099"/>
    <n v="-99794.994785269606"/>
  </r>
  <r>
    <x v="0"/>
    <x v="0"/>
    <x v="0"/>
    <x v="0"/>
    <x v="0"/>
    <x v="5"/>
    <x v="5"/>
    <x v="1"/>
    <x v="1"/>
    <s v="GNR_BO_ELEC_E-99_LS-10-MW-FEED_PHH_Y-2030"/>
    <x v="2"/>
    <x v="9"/>
    <n v="-192.57699092958299"/>
    <n v="-46860.401126198398"/>
    <n v="-168697.44405431399"/>
  </r>
  <r>
    <x v="0"/>
    <x v="0"/>
    <x v="0"/>
    <x v="0"/>
    <x v="0"/>
    <x v="5"/>
    <x v="5"/>
    <x v="1"/>
    <x v="1"/>
    <s v="GNR_BO_ELEC_E-99_LS-10-MW-FEED_PHH_Y-2030"/>
    <x v="2"/>
    <x v="6"/>
    <n v="-192.57699092958299"/>
    <n v="-46860.401126198398"/>
    <n v="-168697.44405431399"/>
  </r>
  <r>
    <x v="0"/>
    <x v="0"/>
    <x v="0"/>
    <x v="0"/>
    <x v="0"/>
    <x v="5"/>
    <x v="5"/>
    <x v="1"/>
    <x v="1"/>
    <s v="GNR_BO_ELEC_E-99_LS-10-MW-FEED_PHH_Y-2030"/>
    <x v="2"/>
    <x v="7"/>
    <n v="-192.57699092958299"/>
    <n v="-46860.401126198398"/>
    <n v="-168697.44405431399"/>
  </r>
  <r>
    <x v="0"/>
    <x v="0"/>
    <x v="0"/>
    <x v="0"/>
    <x v="0"/>
    <x v="5"/>
    <x v="5"/>
    <x v="1"/>
    <x v="1"/>
    <s v="GNR_BO_ELEC_E-99_LS-10-MW-FEED_PHH_Y-2030"/>
    <x v="2"/>
    <x v="0"/>
    <n v="-192.57699092958299"/>
    <n v="-46860.401126198398"/>
    <n v="-168697.44405431399"/>
  </r>
  <r>
    <x v="0"/>
    <x v="0"/>
    <x v="0"/>
    <x v="0"/>
    <x v="0"/>
    <x v="6"/>
    <x v="8"/>
    <x v="4"/>
    <x v="7"/>
    <s v="GNR_WT_WIND_OFF"/>
    <x v="0"/>
    <x v="9"/>
    <n v="2086.7868774774001"/>
    <n v="507784.80685283302"/>
    <n v="1828025.3046702"/>
  </r>
  <r>
    <x v="0"/>
    <x v="0"/>
    <x v="0"/>
    <x v="0"/>
    <x v="0"/>
    <x v="6"/>
    <x v="8"/>
    <x v="4"/>
    <x v="7"/>
    <s v="GNR_WT_WIND_OFF"/>
    <x v="0"/>
    <x v="3"/>
    <n v="827.67498803079297"/>
    <n v="201400.91375415999"/>
    <n v="725043.28951497504"/>
  </r>
  <r>
    <x v="0"/>
    <x v="0"/>
    <x v="0"/>
    <x v="0"/>
    <x v="0"/>
    <x v="6"/>
    <x v="8"/>
    <x v="4"/>
    <x v="7"/>
    <s v="GNR_WT_WIND_OFF"/>
    <x v="0"/>
    <x v="10"/>
    <n v="1743.84985327509"/>
    <n v="424336.797630271"/>
    <n v="1527612.47146898"/>
  </r>
  <r>
    <x v="0"/>
    <x v="0"/>
    <x v="0"/>
    <x v="0"/>
    <x v="0"/>
    <x v="6"/>
    <x v="8"/>
    <x v="4"/>
    <x v="7"/>
    <s v="GNR_WT_WIND_OFF"/>
    <x v="0"/>
    <x v="4"/>
    <n v="1074.0666916365601"/>
    <n v="261356.22829822899"/>
    <n v="940882.42187362502"/>
  </r>
  <r>
    <x v="0"/>
    <x v="0"/>
    <x v="0"/>
    <x v="0"/>
    <x v="0"/>
    <x v="6"/>
    <x v="8"/>
    <x v="4"/>
    <x v="7"/>
    <s v="GNR_WT_WIND_OFF"/>
    <x v="0"/>
    <x v="6"/>
    <n v="1025.7940313382901"/>
    <n v="249609.88095898301"/>
    <n v="898595.57145233802"/>
  </r>
  <r>
    <x v="0"/>
    <x v="0"/>
    <x v="0"/>
    <x v="0"/>
    <x v="0"/>
    <x v="6"/>
    <x v="8"/>
    <x v="4"/>
    <x v="7"/>
    <s v="GNR_WT_WIND_OFF"/>
    <x v="0"/>
    <x v="7"/>
    <n v="329.86317870485999"/>
    <n v="80266.706818182705"/>
    <n v="288960.14454545802"/>
  </r>
  <r>
    <x v="0"/>
    <x v="0"/>
    <x v="0"/>
    <x v="0"/>
    <x v="0"/>
    <x v="6"/>
    <x v="8"/>
    <x v="4"/>
    <x v="7"/>
    <s v="GNR_WT_WIND_OFF"/>
    <x v="0"/>
    <x v="0"/>
    <n v="562.17535639029597"/>
    <n v="136796.00338830499"/>
    <n v="492465.61219789903"/>
  </r>
  <r>
    <x v="0"/>
    <x v="0"/>
    <x v="0"/>
    <x v="0"/>
    <x v="0"/>
    <x v="6"/>
    <x v="8"/>
    <x v="4"/>
    <x v="7"/>
    <s v="GNR_WT_WIND_OFF"/>
    <x v="0"/>
    <x v="1"/>
    <n v="129.73277455160701"/>
    <n v="31568.308474224301"/>
    <n v="113645.910507208"/>
  </r>
  <r>
    <x v="0"/>
    <x v="0"/>
    <x v="0"/>
    <x v="0"/>
    <x v="0"/>
    <x v="6"/>
    <x v="8"/>
    <x v="4"/>
    <x v="7"/>
    <s v="GNR_WT_WIND_OFF"/>
    <x v="0"/>
    <x v="2"/>
    <n v="61.346505795721001"/>
    <n v="14927.649743625399"/>
    <n v="53739.539077051602"/>
  </r>
  <r>
    <x v="0"/>
    <x v="0"/>
    <x v="0"/>
    <x v="0"/>
    <x v="0"/>
    <x v="6"/>
    <x v="8"/>
    <x v="4"/>
    <x v="7"/>
    <s v="GNR_WT_WIND_OFF"/>
    <x v="0"/>
    <x v="5"/>
    <n v="69.391949178766396"/>
    <n v="16885.374300166499"/>
    <n v="60787.347480599397"/>
  </r>
  <r>
    <x v="0"/>
    <x v="0"/>
    <x v="0"/>
    <x v="0"/>
    <x v="0"/>
    <x v="6"/>
    <x v="8"/>
    <x v="4"/>
    <x v="7"/>
    <s v="GNR_WT_WIND_OFF"/>
    <x v="0"/>
    <x v="11"/>
    <n v="386.181282386178"/>
    <n v="93970.778713969994"/>
    <n v="338294.80337029201"/>
  </r>
  <r>
    <x v="0"/>
    <x v="0"/>
    <x v="0"/>
    <x v="0"/>
    <x v="0"/>
    <x v="6"/>
    <x v="8"/>
    <x v="4"/>
    <x v="7"/>
    <s v="GNR_WT_WIND_OFF"/>
    <x v="0"/>
    <x v="8"/>
    <n v="222.255373456629"/>
    <n v="54082.140874446297"/>
    <n v="194695.707148007"/>
  </r>
  <r>
    <x v="0"/>
    <x v="0"/>
    <x v="0"/>
    <x v="0"/>
    <x v="0"/>
    <x v="6"/>
    <x v="8"/>
    <x v="4"/>
    <x v="7"/>
    <s v="GNR_WT_WIND_OFF"/>
    <x v="2"/>
    <x v="9"/>
    <n v="2136.0652181985502"/>
    <n v="519775.86976164702"/>
    <n v="1871193.1311419299"/>
  </r>
  <r>
    <x v="0"/>
    <x v="0"/>
    <x v="0"/>
    <x v="0"/>
    <x v="0"/>
    <x v="6"/>
    <x v="8"/>
    <x v="4"/>
    <x v="7"/>
    <s v="GNR_WT_WIND_OFF"/>
    <x v="2"/>
    <x v="3"/>
    <n v="873.936287483304"/>
    <n v="212657.829954271"/>
    <n v="765568.18783537496"/>
  </r>
  <r>
    <x v="0"/>
    <x v="0"/>
    <x v="0"/>
    <x v="0"/>
    <x v="0"/>
    <x v="6"/>
    <x v="8"/>
    <x v="4"/>
    <x v="7"/>
    <s v="GNR_WT_WIND_OFF"/>
    <x v="2"/>
    <x v="10"/>
    <n v="82.465794676215097"/>
    <n v="20066.676704545702"/>
    <n v="72240.036136364404"/>
  </r>
  <r>
    <x v="0"/>
    <x v="0"/>
    <x v="0"/>
    <x v="0"/>
    <x v="0"/>
    <x v="6"/>
    <x v="8"/>
    <x v="4"/>
    <x v="7"/>
    <s v="GNR_WT_WIND_OFF"/>
    <x v="2"/>
    <x v="4"/>
    <n v="437.470983953092"/>
    <n v="106451.272761919"/>
    <n v="383224.58194290899"/>
  </r>
  <r>
    <x v="0"/>
    <x v="0"/>
    <x v="0"/>
    <x v="0"/>
    <x v="0"/>
    <x v="6"/>
    <x v="8"/>
    <x v="4"/>
    <x v="7"/>
    <s v="GNR_WT_WIND_OFF"/>
    <x v="2"/>
    <x v="6"/>
    <n v="1265.1459719838899"/>
    <n v="307852.186516079"/>
    <n v="1108267.8714578799"/>
  </r>
  <r>
    <x v="0"/>
    <x v="0"/>
    <x v="0"/>
    <x v="0"/>
    <x v="0"/>
    <x v="6"/>
    <x v="8"/>
    <x v="4"/>
    <x v="7"/>
    <s v="GNR_WT_WIND_OFF"/>
    <x v="2"/>
    <x v="0"/>
    <n v="1131.1685319558701"/>
    <n v="275251.00944259501"/>
    <n v="990903.63399334101"/>
  </r>
  <r>
    <x v="0"/>
    <x v="0"/>
    <x v="0"/>
    <x v="0"/>
    <x v="0"/>
    <x v="6"/>
    <x v="8"/>
    <x v="4"/>
    <x v="7"/>
    <s v="GNR_WT_WIND_OFF"/>
    <x v="2"/>
    <x v="1"/>
    <n v="261.47690994897499"/>
    <n v="63626.048087583898"/>
    <n v="229053.773115302"/>
  </r>
  <r>
    <x v="0"/>
    <x v="0"/>
    <x v="0"/>
    <x v="0"/>
    <x v="0"/>
    <x v="6"/>
    <x v="8"/>
    <x v="4"/>
    <x v="7"/>
    <s v="GNR_WT_WIND_OFF"/>
    <x v="2"/>
    <x v="2"/>
    <n v="621.51050134025502"/>
    <n v="151234.221992796"/>
    <n v="544443.19917406398"/>
  </r>
  <r>
    <x v="0"/>
    <x v="0"/>
    <x v="0"/>
    <x v="0"/>
    <x v="0"/>
    <x v="6"/>
    <x v="8"/>
    <x v="4"/>
    <x v="7"/>
    <s v="GNR_WT_WIND_OFF"/>
    <x v="2"/>
    <x v="5"/>
    <n v="254.43714698881001"/>
    <n v="61913.039100610498"/>
    <n v="222886.94076219801"/>
  </r>
  <r>
    <x v="0"/>
    <x v="0"/>
    <x v="0"/>
    <x v="0"/>
    <x v="0"/>
    <x v="6"/>
    <x v="8"/>
    <x v="4"/>
    <x v="7"/>
    <s v="GNR_WT_WIND_OFF"/>
    <x v="2"/>
    <x v="11"/>
    <n v="25.142010572016801"/>
    <n v="6117.8892391907602"/>
    <n v="22024.401261086699"/>
  </r>
  <r>
    <x v="0"/>
    <x v="0"/>
    <x v="0"/>
    <x v="0"/>
    <x v="0"/>
    <x v="6"/>
    <x v="8"/>
    <x v="4"/>
    <x v="7"/>
    <s v="GNR_WT_WIND_OFF"/>
    <x v="2"/>
    <x v="8"/>
    <n v="188.06223907868599"/>
    <n v="45761.811509146901"/>
    <n v="164742.521432929"/>
  </r>
  <r>
    <x v="0"/>
    <x v="0"/>
    <x v="0"/>
    <x v="0"/>
    <x v="0"/>
    <x v="6"/>
    <x v="8"/>
    <x v="4"/>
    <x v="7"/>
    <s v="GNR_WT_WIND_OFF"/>
    <x v="1"/>
    <x v="9"/>
    <n v="1283.24821959574"/>
    <n v="312257.066768296"/>
    <n v="1124125.44036587"/>
  </r>
  <r>
    <x v="0"/>
    <x v="0"/>
    <x v="0"/>
    <x v="0"/>
    <x v="0"/>
    <x v="6"/>
    <x v="8"/>
    <x v="4"/>
    <x v="7"/>
    <s v="GNR_WT_WIND_OFF"/>
    <x v="1"/>
    <x v="3"/>
    <n v="93.528279327902496"/>
    <n v="22758.547969789601"/>
    <n v="81930.772691242601"/>
  </r>
  <r>
    <x v="0"/>
    <x v="0"/>
    <x v="0"/>
    <x v="0"/>
    <x v="0"/>
    <x v="6"/>
    <x v="8"/>
    <x v="4"/>
    <x v="7"/>
    <s v="GNR_WT_WIND_OFF"/>
    <x v="1"/>
    <x v="10"/>
    <n v="1056.97012444759"/>
    <n v="257196.06361557901"/>
    <n v="925905.82901608595"/>
  </r>
  <r>
    <x v="0"/>
    <x v="0"/>
    <x v="0"/>
    <x v="0"/>
    <x v="0"/>
    <x v="6"/>
    <x v="8"/>
    <x v="4"/>
    <x v="7"/>
    <s v="GNR_WT_WIND_OFF"/>
    <x v="1"/>
    <x v="4"/>
    <n v="230.30081683967401"/>
    <n v="56039.865430987302"/>
    <n v="201743.51555155401"/>
  </r>
  <r>
    <x v="0"/>
    <x v="0"/>
    <x v="0"/>
    <x v="0"/>
    <x v="0"/>
    <x v="6"/>
    <x v="8"/>
    <x v="4"/>
    <x v="7"/>
    <s v="GNR_WT_WIND_OFF"/>
    <x v="1"/>
    <x v="6"/>
    <n v="281.59051840658799"/>
    <n v="68520.359478936502"/>
    <n v="246673.29412417099"/>
  </r>
  <r>
    <x v="0"/>
    <x v="0"/>
    <x v="0"/>
    <x v="0"/>
    <x v="0"/>
    <x v="6"/>
    <x v="8"/>
    <x v="4"/>
    <x v="7"/>
    <s v="GNR_WT_WIND_OFF"/>
    <x v="1"/>
    <x v="7"/>
    <n v="991.60089696034299"/>
    <n v="241289.55159368299"/>
    <n v="868642.38573725999"/>
  </r>
  <r>
    <x v="0"/>
    <x v="0"/>
    <x v="0"/>
    <x v="0"/>
    <x v="0"/>
    <x v="6"/>
    <x v="8"/>
    <x v="4"/>
    <x v="7"/>
    <s v="GNR_WT_WIND_OFF"/>
    <x v="1"/>
    <x v="0"/>
    <n v="130.73845497448701"/>
    <n v="31813.024043791898"/>
    <n v="114526.886557651"/>
  </r>
  <r>
    <x v="0"/>
    <x v="0"/>
    <x v="0"/>
    <x v="0"/>
    <x v="0"/>
    <x v="6"/>
    <x v="8"/>
    <x v="4"/>
    <x v="7"/>
    <s v="GNR_WT_WIND_OFF"/>
    <x v="1"/>
    <x v="1"/>
    <n v="652.68659444955597"/>
    <n v="158820.404649392"/>
    <n v="571753.45673781098"/>
  </r>
  <r>
    <x v="0"/>
    <x v="0"/>
    <x v="0"/>
    <x v="0"/>
    <x v="0"/>
    <x v="6"/>
    <x v="8"/>
    <x v="4"/>
    <x v="7"/>
    <s v="GNR_WT_WIND_OFF"/>
    <x v="1"/>
    <x v="2"/>
    <n v="500.82885059457499"/>
    <n v="121868.35364468"/>
    <n v="438726.07312084798"/>
  </r>
  <r>
    <x v="0"/>
    <x v="0"/>
    <x v="0"/>
    <x v="0"/>
    <x v="0"/>
    <x v="6"/>
    <x v="8"/>
    <x v="4"/>
    <x v="7"/>
    <s v="GNR_WT_WIND_OFF"/>
    <x v="1"/>
    <x v="5"/>
    <n v="423.39145803276301"/>
    <n v="103025.25478797199"/>
    <n v="370890.91723670001"/>
  </r>
  <r>
    <x v="0"/>
    <x v="0"/>
    <x v="0"/>
    <x v="0"/>
    <x v="0"/>
    <x v="6"/>
    <x v="8"/>
    <x v="4"/>
    <x v="7"/>
    <s v="GNR_WT_WIND_OFF"/>
    <x v="1"/>
    <x v="11"/>
    <n v="1015.73722710948"/>
    <n v="247162.72526330699"/>
    <n v="889785.81094790401"/>
  </r>
  <r>
    <x v="0"/>
    <x v="0"/>
    <x v="0"/>
    <x v="0"/>
    <x v="0"/>
    <x v="6"/>
    <x v="8"/>
    <x v="4"/>
    <x v="7"/>
    <s v="GNR_WT_WIND_OFF"/>
    <x v="1"/>
    <x v="8"/>
    <n v="1020.76562922388"/>
    <n v="248386.30311114501"/>
    <n v="894190.69120012096"/>
  </r>
  <r>
    <x v="0"/>
    <x v="0"/>
    <x v="0"/>
    <x v="0"/>
    <x v="0"/>
    <x v="7"/>
    <x v="0"/>
    <x v="0"/>
    <x v="0"/>
    <s v="GNR_ENG_BGAS_BP_E-30"/>
    <x v="0"/>
    <x v="0"/>
    <n v="6"/>
    <n v="1460"/>
    <n v="5256"/>
  </r>
  <r>
    <x v="0"/>
    <x v="0"/>
    <x v="0"/>
    <x v="0"/>
    <x v="0"/>
    <x v="7"/>
    <x v="0"/>
    <x v="0"/>
    <x v="0"/>
    <s v="GNR_ENG_BGAS_BP_E-30"/>
    <x v="0"/>
    <x v="1"/>
    <n v="6"/>
    <n v="1460"/>
    <n v="5256"/>
  </r>
  <r>
    <x v="0"/>
    <x v="0"/>
    <x v="0"/>
    <x v="0"/>
    <x v="0"/>
    <x v="7"/>
    <x v="0"/>
    <x v="0"/>
    <x v="0"/>
    <s v="GNR_ENG_BGAS_BP_E-30"/>
    <x v="0"/>
    <x v="2"/>
    <n v="6"/>
    <n v="1460"/>
    <n v="5256"/>
  </r>
  <r>
    <x v="0"/>
    <x v="0"/>
    <x v="0"/>
    <x v="0"/>
    <x v="0"/>
    <x v="7"/>
    <x v="0"/>
    <x v="0"/>
    <x v="0"/>
    <s v="GNR_ENG_BGAS_BP_E-37"/>
    <x v="0"/>
    <x v="0"/>
    <n v="1.7549999999999999"/>
    <n v="427.05"/>
    <n v="1537.38"/>
  </r>
  <r>
    <x v="0"/>
    <x v="0"/>
    <x v="0"/>
    <x v="0"/>
    <x v="0"/>
    <x v="7"/>
    <x v="0"/>
    <x v="0"/>
    <x v="0"/>
    <s v="GNR_ENG_BGAS_BP_E-37"/>
    <x v="0"/>
    <x v="1"/>
    <n v="1.7549999999999999"/>
    <n v="427.05"/>
    <n v="1537.38"/>
  </r>
  <r>
    <x v="0"/>
    <x v="0"/>
    <x v="0"/>
    <x v="0"/>
    <x v="0"/>
    <x v="7"/>
    <x v="0"/>
    <x v="0"/>
    <x v="0"/>
    <s v="GNR_ENG_BGAS_BP_E-37"/>
    <x v="0"/>
    <x v="2"/>
    <n v="1.7549999999999999"/>
    <n v="427.05"/>
    <n v="1537.38"/>
  </r>
  <r>
    <x v="0"/>
    <x v="0"/>
    <x v="0"/>
    <x v="0"/>
    <x v="0"/>
    <x v="7"/>
    <x v="0"/>
    <x v="0"/>
    <x v="0"/>
    <s v="GNR_ENG_BGAS_BP_E-38"/>
    <x v="0"/>
    <x v="0"/>
    <n v="0.8"/>
    <n v="194.666666666667"/>
    <n v="700.8"/>
  </r>
  <r>
    <x v="0"/>
    <x v="0"/>
    <x v="0"/>
    <x v="0"/>
    <x v="0"/>
    <x v="7"/>
    <x v="0"/>
    <x v="0"/>
    <x v="0"/>
    <s v="GNR_ENG_BGAS_BP_E-38"/>
    <x v="0"/>
    <x v="1"/>
    <n v="0.8"/>
    <n v="194.666666666667"/>
    <n v="700.8"/>
  </r>
  <r>
    <x v="0"/>
    <x v="0"/>
    <x v="0"/>
    <x v="0"/>
    <x v="0"/>
    <x v="7"/>
    <x v="0"/>
    <x v="0"/>
    <x v="0"/>
    <s v="GNR_ENG_BGAS_BP_E-38"/>
    <x v="0"/>
    <x v="2"/>
    <n v="0.8"/>
    <n v="194.666666666667"/>
    <n v="700.8"/>
  </r>
  <r>
    <x v="0"/>
    <x v="0"/>
    <x v="0"/>
    <x v="0"/>
    <x v="0"/>
    <x v="7"/>
    <x v="0"/>
    <x v="0"/>
    <x v="0"/>
    <s v="GNR_ENG_BGAS_BP_E-39"/>
    <x v="0"/>
    <x v="0"/>
    <n v="0.62"/>
    <n v="150.86666666666699"/>
    <n v="543.12"/>
  </r>
  <r>
    <x v="0"/>
    <x v="0"/>
    <x v="0"/>
    <x v="0"/>
    <x v="0"/>
    <x v="7"/>
    <x v="0"/>
    <x v="0"/>
    <x v="0"/>
    <s v="GNR_ENG_BGAS_BP_E-39"/>
    <x v="0"/>
    <x v="1"/>
    <n v="0.62"/>
    <n v="150.86666666666699"/>
    <n v="543.12"/>
  </r>
  <r>
    <x v="0"/>
    <x v="0"/>
    <x v="0"/>
    <x v="0"/>
    <x v="0"/>
    <x v="7"/>
    <x v="0"/>
    <x v="0"/>
    <x v="0"/>
    <s v="GNR_ENG_BGAS_BP_E-39"/>
    <x v="0"/>
    <x v="2"/>
    <n v="0.62"/>
    <n v="150.86666666666699"/>
    <n v="543.12"/>
  </r>
  <r>
    <x v="0"/>
    <x v="0"/>
    <x v="0"/>
    <x v="0"/>
    <x v="0"/>
    <x v="7"/>
    <x v="0"/>
    <x v="0"/>
    <x v="0"/>
    <s v="GNR_ENG_BGAS_BP_E-39"/>
    <x v="1"/>
    <x v="3"/>
    <n v="0.62"/>
    <n v="150.86666666666699"/>
    <n v="543.12"/>
  </r>
  <r>
    <x v="0"/>
    <x v="0"/>
    <x v="0"/>
    <x v="0"/>
    <x v="0"/>
    <x v="7"/>
    <x v="0"/>
    <x v="0"/>
    <x v="0"/>
    <s v="GNR_ENG_BGAS_BP_E-39"/>
    <x v="1"/>
    <x v="4"/>
    <n v="0.62"/>
    <n v="150.86666666666699"/>
    <n v="543.12"/>
  </r>
  <r>
    <x v="0"/>
    <x v="0"/>
    <x v="0"/>
    <x v="0"/>
    <x v="0"/>
    <x v="7"/>
    <x v="0"/>
    <x v="0"/>
    <x v="0"/>
    <s v="GNR_ENG_BGAS_BP_E-39"/>
    <x v="1"/>
    <x v="0"/>
    <n v="0.62"/>
    <n v="150.86666666666699"/>
    <n v="543.12"/>
  </r>
  <r>
    <x v="0"/>
    <x v="0"/>
    <x v="0"/>
    <x v="0"/>
    <x v="0"/>
    <x v="7"/>
    <x v="0"/>
    <x v="0"/>
    <x v="0"/>
    <s v="GNR_ENG_BGAS_BP_E-39"/>
    <x v="1"/>
    <x v="2"/>
    <n v="0.62"/>
    <n v="150.86666666666699"/>
    <n v="543.12"/>
  </r>
  <r>
    <x v="0"/>
    <x v="0"/>
    <x v="0"/>
    <x v="0"/>
    <x v="0"/>
    <x v="7"/>
    <x v="0"/>
    <x v="0"/>
    <x v="0"/>
    <s v="GNR_ENG_BGAS_BP_E-40"/>
    <x v="0"/>
    <x v="0"/>
    <n v="6.34"/>
    <n v="1542.7333333333299"/>
    <n v="5553.84"/>
  </r>
  <r>
    <x v="0"/>
    <x v="0"/>
    <x v="0"/>
    <x v="0"/>
    <x v="0"/>
    <x v="7"/>
    <x v="0"/>
    <x v="0"/>
    <x v="0"/>
    <s v="GNR_ENG_BGAS_BP_E-40"/>
    <x v="0"/>
    <x v="1"/>
    <n v="6.34"/>
    <n v="1542.7333333333299"/>
    <n v="5553.84"/>
  </r>
  <r>
    <x v="0"/>
    <x v="0"/>
    <x v="0"/>
    <x v="0"/>
    <x v="0"/>
    <x v="7"/>
    <x v="0"/>
    <x v="0"/>
    <x v="0"/>
    <s v="GNR_ENG_BGAS_BP_E-40"/>
    <x v="0"/>
    <x v="2"/>
    <n v="6.34"/>
    <n v="1542.7333333333299"/>
    <n v="5553.84"/>
  </r>
  <r>
    <x v="0"/>
    <x v="0"/>
    <x v="0"/>
    <x v="0"/>
    <x v="0"/>
    <x v="7"/>
    <x v="0"/>
    <x v="0"/>
    <x v="0"/>
    <s v="GNR_ENG_BGAS_BP_E-40"/>
    <x v="1"/>
    <x v="3"/>
    <n v="6.34"/>
    <n v="1542.7333333333299"/>
    <n v="5553.84"/>
  </r>
  <r>
    <x v="0"/>
    <x v="0"/>
    <x v="0"/>
    <x v="0"/>
    <x v="0"/>
    <x v="7"/>
    <x v="0"/>
    <x v="0"/>
    <x v="0"/>
    <s v="GNR_ENG_BGAS_BP_E-40"/>
    <x v="1"/>
    <x v="4"/>
    <n v="6.34"/>
    <n v="1542.7333333333299"/>
    <n v="5553.84"/>
  </r>
  <r>
    <x v="0"/>
    <x v="0"/>
    <x v="0"/>
    <x v="0"/>
    <x v="0"/>
    <x v="7"/>
    <x v="0"/>
    <x v="0"/>
    <x v="0"/>
    <s v="GNR_ENG_BGAS_BP_E-40"/>
    <x v="1"/>
    <x v="0"/>
    <n v="6.34"/>
    <n v="1542.7333333333299"/>
    <n v="5553.84"/>
  </r>
  <r>
    <x v="0"/>
    <x v="0"/>
    <x v="0"/>
    <x v="0"/>
    <x v="0"/>
    <x v="7"/>
    <x v="0"/>
    <x v="0"/>
    <x v="0"/>
    <s v="GNR_ENG_BGAS_BP_E-40"/>
    <x v="1"/>
    <x v="2"/>
    <n v="6.34"/>
    <n v="1542.7333333333299"/>
    <n v="5553.84"/>
  </r>
  <r>
    <x v="0"/>
    <x v="0"/>
    <x v="0"/>
    <x v="0"/>
    <x v="0"/>
    <x v="7"/>
    <x v="0"/>
    <x v="0"/>
    <x v="0"/>
    <s v="GNR_ENG_BGAS_BP_E-41"/>
    <x v="0"/>
    <x v="0"/>
    <n v="1.18"/>
    <n v="287.13333333333298"/>
    <n v="1033.68"/>
  </r>
  <r>
    <x v="0"/>
    <x v="0"/>
    <x v="0"/>
    <x v="0"/>
    <x v="0"/>
    <x v="7"/>
    <x v="0"/>
    <x v="0"/>
    <x v="0"/>
    <s v="GNR_ENG_BGAS_BP_E-41"/>
    <x v="0"/>
    <x v="1"/>
    <n v="1.18"/>
    <n v="287.13333333333298"/>
    <n v="1033.68"/>
  </r>
  <r>
    <x v="0"/>
    <x v="0"/>
    <x v="0"/>
    <x v="0"/>
    <x v="0"/>
    <x v="7"/>
    <x v="0"/>
    <x v="0"/>
    <x v="0"/>
    <s v="GNR_ENG_BGAS_BP_E-41"/>
    <x v="0"/>
    <x v="2"/>
    <n v="1.18"/>
    <n v="287.13333333333298"/>
    <n v="1033.68"/>
  </r>
  <r>
    <x v="0"/>
    <x v="0"/>
    <x v="0"/>
    <x v="0"/>
    <x v="0"/>
    <x v="7"/>
    <x v="0"/>
    <x v="0"/>
    <x v="0"/>
    <s v="GNR_ENG_BGAS_BP_E-41"/>
    <x v="1"/>
    <x v="3"/>
    <n v="1.18"/>
    <n v="287.13333333333298"/>
    <n v="1033.68"/>
  </r>
  <r>
    <x v="0"/>
    <x v="0"/>
    <x v="0"/>
    <x v="0"/>
    <x v="0"/>
    <x v="7"/>
    <x v="0"/>
    <x v="0"/>
    <x v="0"/>
    <s v="GNR_ENG_BGAS_BP_E-41"/>
    <x v="1"/>
    <x v="4"/>
    <n v="1.18"/>
    <n v="287.13333333333298"/>
    <n v="1033.68"/>
  </r>
  <r>
    <x v="0"/>
    <x v="0"/>
    <x v="0"/>
    <x v="0"/>
    <x v="0"/>
    <x v="7"/>
    <x v="0"/>
    <x v="0"/>
    <x v="0"/>
    <s v="GNR_ENG_BGAS_BP_E-41"/>
    <x v="1"/>
    <x v="0"/>
    <n v="1.18"/>
    <n v="287.13333333333298"/>
    <n v="1033.68"/>
  </r>
  <r>
    <x v="0"/>
    <x v="0"/>
    <x v="0"/>
    <x v="0"/>
    <x v="0"/>
    <x v="7"/>
    <x v="0"/>
    <x v="0"/>
    <x v="0"/>
    <s v="GNR_ENG_BGAS_BP_E-41"/>
    <x v="1"/>
    <x v="2"/>
    <n v="1.18"/>
    <n v="287.13333333333298"/>
    <n v="1033.68"/>
  </r>
  <r>
    <x v="0"/>
    <x v="0"/>
    <x v="0"/>
    <x v="0"/>
    <x v="0"/>
    <x v="7"/>
    <x v="0"/>
    <x v="0"/>
    <x v="0"/>
    <s v="GNR_ENG_BGAS_BP_E-42"/>
    <x v="0"/>
    <x v="0"/>
    <n v="6.68"/>
    <n v="1625.4666666666701"/>
    <n v="5851.68"/>
  </r>
  <r>
    <x v="0"/>
    <x v="0"/>
    <x v="0"/>
    <x v="0"/>
    <x v="0"/>
    <x v="7"/>
    <x v="0"/>
    <x v="0"/>
    <x v="0"/>
    <s v="GNR_ENG_BGAS_BP_E-42"/>
    <x v="0"/>
    <x v="1"/>
    <n v="6.68"/>
    <n v="1625.4666666666701"/>
    <n v="5851.68"/>
  </r>
  <r>
    <x v="0"/>
    <x v="0"/>
    <x v="0"/>
    <x v="0"/>
    <x v="0"/>
    <x v="7"/>
    <x v="0"/>
    <x v="0"/>
    <x v="0"/>
    <s v="GNR_ENG_BGAS_BP_E-42"/>
    <x v="0"/>
    <x v="2"/>
    <n v="6.68"/>
    <n v="1625.4666666666701"/>
    <n v="5851.68"/>
  </r>
  <r>
    <x v="0"/>
    <x v="0"/>
    <x v="0"/>
    <x v="0"/>
    <x v="0"/>
    <x v="7"/>
    <x v="0"/>
    <x v="0"/>
    <x v="0"/>
    <s v="GNR_ENG_BGAS_BP_E-42"/>
    <x v="1"/>
    <x v="3"/>
    <n v="6.68"/>
    <n v="1625.4666666666701"/>
    <n v="5851.68"/>
  </r>
  <r>
    <x v="0"/>
    <x v="0"/>
    <x v="0"/>
    <x v="0"/>
    <x v="0"/>
    <x v="7"/>
    <x v="0"/>
    <x v="0"/>
    <x v="0"/>
    <s v="GNR_ENG_BGAS_BP_E-42"/>
    <x v="1"/>
    <x v="4"/>
    <n v="6.68"/>
    <n v="1625.4666666666701"/>
    <n v="5851.68"/>
  </r>
  <r>
    <x v="0"/>
    <x v="0"/>
    <x v="0"/>
    <x v="0"/>
    <x v="0"/>
    <x v="7"/>
    <x v="0"/>
    <x v="0"/>
    <x v="0"/>
    <s v="GNR_ENG_BGAS_BP_E-42"/>
    <x v="1"/>
    <x v="0"/>
    <n v="6.68"/>
    <n v="1625.4666666666701"/>
    <n v="5851.68"/>
  </r>
  <r>
    <x v="0"/>
    <x v="0"/>
    <x v="0"/>
    <x v="0"/>
    <x v="0"/>
    <x v="7"/>
    <x v="0"/>
    <x v="0"/>
    <x v="0"/>
    <s v="GNR_ENG_BGAS_BP_E-42"/>
    <x v="1"/>
    <x v="2"/>
    <n v="6.68"/>
    <n v="1625.4666666666701"/>
    <n v="5851.68"/>
  </r>
  <r>
    <x v="0"/>
    <x v="0"/>
    <x v="0"/>
    <x v="0"/>
    <x v="0"/>
    <x v="7"/>
    <x v="0"/>
    <x v="0"/>
    <x v="0"/>
    <s v="GNR_ENG_BGAS_BP_E-43"/>
    <x v="0"/>
    <x v="0"/>
    <n v="5.14"/>
    <n v="1250.7333333333299"/>
    <n v="4502.6400000000003"/>
  </r>
  <r>
    <x v="0"/>
    <x v="0"/>
    <x v="0"/>
    <x v="0"/>
    <x v="0"/>
    <x v="7"/>
    <x v="0"/>
    <x v="0"/>
    <x v="0"/>
    <s v="GNR_ENG_BGAS_BP_E-43"/>
    <x v="0"/>
    <x v="1"/>
    <n v="5.14"/>
    <n v="1250.7333333333299"/>
    <n v="4502.6400000000003"/>
  </r>
  <r>
    <x v="0"/>
    <x v="0"/>
    <x v="0"/>
    <x v="0"/>
    <x v="0"/>
    <x v="7"/>
    <x v="0"/>
    <x v="0"/>
    <x v="0"/>
    <s v="GNR_ENG_BGAS_BP_E-43"/>
    <x v="0"/>
    <x v="2"/>
    <n v="5.14"/>
    <n v="1250.7333333333299"/>
    <n v="4502.6400000000003"/>
  </r>
  <r>
    <x v="0"/>
    <x v="0"/>
    <x v="0"/>
    <x v="0"/>
    <x v="0"/>
    <x v="7"/>
    <x v="0"/>
    <x v="0"/>
    <x v="0"/>
    <s v="GNR_ENG_BGAS_BP_E-43"/>
    <x v="1"/>
    <x v="3"/>
    <n v="5.14"/>
    <n v="1250.7333333333299"/>
    <n v="4502.6400000000003"/>
  </r>
  <r>
    <x v="0"/>
    <x v="0"/>
    <x v="0"/>
    <x v="0"/>
    <x v="0"/>
    <x v="7"/>
    <x v="0"/>
    <x v="0"/>
    <x v="0"/>
    <s v="GNR_ENG_BGAS_BP_E-43"/>
    <x v="1"/>
    <x v="4"/>
    <n v="5.14"/>
    <n v="1250.7333333333299"/>
    <n v="4502.6400000000003"/>
  </r>
  <r>
    <x v="0"/>
    <x v="0"/>
    <x v="0"/>
    <x v="0"/>
    <x v="0"/>
    <x v="7"/>
    <x v="0"/>
    <x v="0"/>
    <x v="0"/>
    <s v="GNR_ENG_BGAS_BP_E-43"/>
    <x v="1"/>
    <x v="0"/>
    <n v="5.14"/>
    <n v="1250.7333333333299"/>
    <n v="4502.6400000000003"/>
  </r>
  <r>
    <x v="0"/>
    <x v="0"/>
    <x v="0"/>
    <x v="0"/>
    <x v="0"/>
    <x v="7"/>
    <x v="0"/>
    <x v="0"/>
    <x v="0"/>
    <s v="GNR_ENG_BGAS_BP_E-43"/>
    <x v="1"/>
    <x v="2"/>
    <n v="5.14"/>
    <n v="1250.7333333333299"/>
    <n v="4502.6400000000003"/>
  </r>
  <r>
    <x v="0"/>
    <x v="0"/>
    <x v="0"/>
    <x v="0"/>
    <x v="0"/>
    <x v="7"/>
    <x v="1"/>
    <x v="0"/>
    <x v="0"/>
    <s v="GNR_ENG_NGAS_BP_E-37"/>
    <x v="0"/>
    <x v="0"/>
    <n v="7.17"/>
    <n v="1744.7"/>
    <n v="6280.92"/>
  </r>
  <r>
    <x v="0"/>
    <x v="0"/>
    <x v="0"/>
    <x v="0"/>
    <x v="0"/>
    <x v="7"/>
    <x v="1"/>
    <x v="0"/>
    <x v="0"/>
    <s v="GNR_ENG_NGAS_BP_E-37"/>
    <x v="0"/>
    <x v="1"/>
    <n v="7.17"/>
    <n v="1744.7"/>
    <n v="6280.92"/>
  </r>
  <r>
    <x v="0"/>
    <x v="0"/>
    <x v="0"/>
    <x v="0"/>
    <x v="0"/>
    <x v="7"/>
    <x v="1"/>
    <x v="0"/>
    <x v="0"/>
    <s v="GNR_ENG_NGAS_BP_E-37"/>
    <x v="0"/>
    <x v="2"/>
    <n v="7.17"/>
    <n v="1744.7"/>
    <n v="6280.92"/>
  </r>
  <r>
    <x v="0"/>
    <x v="0"/>
    <x v="0"/>
    <x v="0"/>
    <x v="0"/>
    <x v="7"/>
    <x v="1"/>
    <x v="0"/>
    <x v="0"/>
    <s v="GNR_ENG_NGAS_BP_E-37"/>
    <x v="1"/>
    <x v="3"/>
    <n v="7.17"/>
    <n v="1744.7"/>
    <n v="6280.92"/>
  </r>
  <r>
    <x v="0"/>
    <x v="0"/>
    <x v="0"/>
    <x v="0"/>
    <x v="0"/>
    <x v="7"/>
    <x v="1"/>
    <x v="0"/>
    <x v="0"/>
    <s v="GNR_ENG_NGAS_BP_E-37"/>
    <x v="1"/>
    <x v="4"/>
    <n v="7.17"/>
    <n v="1744.7"/>
    <n v="6280.92"/>
  </r>
  <r>
    <x v="0"/>
    <x v="0"/>
    <x v="0"/>
    <x v="0"/>
    <x v="0"/>
    <x v="7"/>
    <x v="1"/>
    <x v="0"/>
    <x v="0"/>
    <s v="GNR_ENG_NGAS_BP_E-37"/>
    <x v="1"/>
    <x v="6"/>
    <n v="7.17"/>
    <n v="1744.7"/>
    <n v="6280.92"/>
  </r>
  <r>
    <x v="0"/>
    <x v="0"/>
    <x v="0"/>
    <x v="0"/>
    <x v="0"/>
    <x v="7"/>
    <x v="1"/>
    <x v="0"/>
    <x v="0"/>
    <s v="GNR_ENG_NGAS_BP_E-37"/>
    <x v="1"/>
    <x v="0"/>
    <n v="7.17"/>
    <n v="1744.7"/>
    <n v="6280.92"/>
  </r>
  <r>
    <x v="0"/>
    <x v="0"/>
    <x v="0"/>
    <x v="0"/>
    <x v="0"/>
    <x v="7"/>
    <x v="1"/>
    <x v="0"/>
    <x v="0"/>
    <s v="GNR_ENG_NGAS_BP_E-37"/>
    <x v="1"/>
    <x v="2"/>
    <n v="7.17"/>
    <n v="1744.7"/>
    <n v="6280.92"/>
  </r>
  <r>
    <x v="0"/>
    <x v="0"/>
    <x v="0"/>
    <x v="0"/>
    <x v="0"/>
    <x v="7"/>
    <x v="1"/>
    <x v="0"/>
    <x v="0"/>
    <s v="GNR_ENG_NGAS_BP_E-38"/>
    <x v="0"/>
    <x v="0"/>
    <n v="3"/>
    <n v="730"/>
    <n v="2628"/>
  </r>
  <r>
    <x v="0"/>
    <x v="0"/>
    <x v="0"/>
    <x v="0"/>
    <x v="0"/>
    <x v="7"/>
    <x v="1"/>
    <x v="0"/>
    <x v="0"/>
    <s v="GNR_ENG_NGAS_BP_E-38"/>
    <x v="0"/>
    <x v="1"/>
    <n v="3"/>
    <n v="730"/>
    <n v="2628"/>
  </r>
  <r>
    <x v="0"/>
    <x v="0"/>
    <x v="0"/>
    <x v="0"/>
    <x v="0"/>
    <x v="7"/>
    <x v="1"/>
    <x v="0"/>
    <x v="0"/>
    <s v="GNR_ENG_NGAS_BP_E-38"/>
    <x v="0"/>
    <x v="2"/>
    <n v="3"/>
    <n v="730"/>
    <n v="2628"/>
  </r>
  <r>
    <x v="0"/>
    <x v="0"/>
    <x v="0"/>
    <x v="0"/>
    <x v="0"/>
    <x v="7"/>
    <x v="1"/>
    <x v="0"/>
    <x v="0"/>
    <s v="GNR_ENG_NGAS_BP_E-38"/>
    <x v="0"/>
    <x v="5"/>
    <n v="3"/>
    <n v="730"/>
    <n v="2628"/>
  </r>
  <r>
    <x v="0"/>
    <x v="0"/>
    <x v="0"/>
    <x v="0"/>
    <x v="0"/>
    <x v="7"/>
    <x v="1"/>
    <x v="0"/>
    <x v="0"/>
    <s v="GNR_ENG_NGAS_BP_E-38"/>
    <x v="1"/>
    <x v="3"/>
    <n v="3"/>
    <n v="730"/>
    <n v="2628"/>
  </r>
  <r>
    <x v="0"/>
    <x v="0"/>
    <x v="0"/>
    <x v="0"/>
    <x v="0"/>
    <x v="7"/>
    <x v="1"/>
    <x v="0"/>
    <x v="0"/>
    <s v="GNR_ENG_NGAS_BP_E-38"/>
    <x v="1"/>
    <x v="4"/>
    <n v="3"/>
    <n v="730"/>
    <n v="2628"/>
  </r>
  <r>
    <x v="0"/>
    <x v="0"/>
    <x v="0"/>
    <x v="0"/>
    <x v="0"/>
    <x v="7"/>
    <x v="1"/>
    <x v="0"/>
    <x v="0"/>
    <s v="GNR_ENG_NGAS_BP_E-38"/>
    <x v="1"/>
    <x v="6"/>
    <n v="3"/>
    <n v="730"/>
    <n v="2628"/>
  </r>
  <r>
    <x v="0"/>
    <x v="0"/>
    <x v="0"/>
    <x v="0"/>
    <x v="0"/>
    <x v="7"/>
    <x v="1"/>
    <x v="0"/>
    <x v="0"/>
    <s v="GNR_ENG_NGAS_BP_E-38"/>
    <x v="1"/>
    <x v="0"/>
    <n v="3"/>
    <n v="730"/>
    <n v="2628"/>
  </r>
  <r>
    <x v="0"/>
    <x v="0"/>
    <x v="0"/>
    <x v="0"/>
    <x v="0"/>
    <x v="7"/>
    <x v="1"/>
    <x v="0"/>
    <x v="0"/>
    <s v="GNR_ENG_NGAS_BP_E-38"/>
    <x v="1"/>
    <x v="2"/>
    <n v="3"/>
    <n v="730"/>
    <n v="2628"/>
  </r>
  <r>
    <x v="0"/>
    <x v="0"/>
    <x v="0"/>
    <x v="0"/>
    <x v="0"/>
    <x v="7"/>
    <x v="1"/>
    <x v="0"/>
    <x v="0"/>
    <s v="GNR_ENG_NGAS_BP_E-39"/>
    <x v="0"/>
    <x v="7"/>
    <n v="2"/>
    <n v="486.66666666666703"/>
    <n v="1752"/>
  </r>
  <r>
    <x v="0"/>
    <x v="0"/>
    <x v="0"/>
    <x v="0"/>
    <x v="0"/>
    <x v="7"/>
    <x v="1"/>
    <x v="0"/>
    <x v="0"/>
    <s v="GNR_ENG_NGAS_BP_E-39"/>
    <x v="0"/>
    <x v="0"/>
    <n v="2"/>
    <n v="486.66666666666703"/>
    <n v="1752"/>
  </r>
  <r>
    <x v="0"/>
    <x v="0"/>
    <x v="0"/>
    <x v="0"/>
    <x v="0"/>
    <x v="7"/>
    <x v="1"/>
    <x v="0"/>
    <x v="0"/>
    <s v="GNR_ENG_NGAS_BP_E-39"/>
    <x v="0"/>
    <x v="1"/>
    <n v="2"/>
    <n v="486.66666666666703"/>
    <n v="1752"/>
  </r>
  <r>
    <x v="0"/>
    <x v="0"/>
    <x v="0"/>
    <x v="0"/>
    <x v="0"/>
    <x v="7"/>
    <x v="1"/>
    <x v="0"/>
    <x v="0"/>
    <s v="GNR_ENG_NGAS_BP_E-39"/>
    <x v="0"/>
    <x v="2"/>
    <n v="2"/>
    <n v="486.66666666666703"/>
    <n v="1752"/>
  </r>
  <r>
    <x v="0"/>
    <x v="0"/>
    <x v="0"/>
    <x v="0"/>
    <x v="0"/>
    <x v="7"/>
    <x v="1"/>
    <x v="0"/>
    <x v="0"/>
    <s v="GNR_ENG_NGAS_BP_E-39"/>
    <x v="0"/>
    <x v="5"/>
    <n v="2"/>
    <n v="486.66666666666703"/>
    <n v="1752"/>
  </r>
  <r>
    <x v="0"/>
    <x v="0"/>
    <x v="0"/>
    <x v="0"/>
    <x v="0"/>
    <x v="7"/>
    <x v="1"/>
    <x v="0"/>
    <x v="0"/>
    <s v="GNR_ENG_NGAS_BP_E-39"/>
    <x v="1"/>
    <x v="3"/>
    <n v="2"/>
    <n v="486.66666666666703"/>
    <n v="1752"/>
  </r>
  <r>
    <x v="0"/>
    <x v="0"/>
    <x v="0"/>
    <x v="0"/>
    <x v="0"/>
    <x v="7"/>
    <x v="1"/>
    <x v="0"/>
    <x v="0"/>
    <s v="GNR_ENG_NGAS_BP_E-39"/>
    <x v="1"/>
    <x v="4"/>
    <n v="2"/>
    <n v="486.66666666666703"/>
    <n v="1752"/>
  </r>
  <r>
    <x v="0"/>
    <x v="0"/>
    <x v="0"/>
    <x v="0"/>
    <x v="0"/>
    <x v="7"/>
    <x v="1"/>
    <x v="0"/>
    <x v="0"/>
    <s v="GNR_ENG_NGAS_BP_E-39"/>
    <x v="1"/>
    <x v="6"/>
    <n v="2"/>
    <n v="486.66666666666703"/>
    <n v="1752"/>
  </r>
  <r>
    <x v="0"/>
    <x v="0"/>
    <x v="0"/>
    <x v="0"/>
    <x v="0"/>
    <x v="7"/>
    <x v="1"/>
    <x v="0"/>
    <x v="0"/>
    <s v="GNR_ENG_NGAS_BP_E-39"/>
    <x v="1"/>
    <x v="0"/>
    <n v="2"/>
    <n v="486.66666666666703"/>
    <n v="1752"/>
  </r>
  <r>
    <x v="0"/>
    <x v="0"/>
    <x v="0"/>
    <x v="0"/>
    <x v="0"/>
    <x v="7"/>
    <x v="1"/>
    <x v="0"/>
    <x v="0"/>
    <s v="GNR_ENG_NGAS_BP_E-39"/>
    <x v="1"/>
    <x v="1"/>
    <n v="2"/>
    <n v="486.66666666666703"/>
    <n v="1752"/>
  </r>
  <r>
    <x v="0"/>
    <x v="0"/>
    <x v="0"/>
    <x v="0"/>
    <x v="0"/>
    <x v="7"/>
    <x v="1"/>
    <x v="0"/>
    <x v="0"/>
    <s v="GNR_ENG_NGAS_BP_E-39"/>
    <x v="1"/>
    <x v="2"/>
    <n v="2"/>
    <n v="486.66666666666703"/>
    <n v="1752"/>
  </r>
  <r>
    <x v="0"/>
    <x v="0"/>
    <x v="0"/>
    <x v="0"/>
    <x v="0"/>
    <x v="7"/>
    <x v="1"/>
    <x v="0"/>
    <x v="0"/>
    <s v="GNR_ENG_NGAS_BP_E-40"/>
    <x v="0"/>
    <x v="7"/>
    <n v="4.62"/>
    <n v="1124.2"/>
    <n v="4047.12"/>
  </r>
  <r>
    <x v="0"/>
    <x v="0"/>
    <x v="0"/>
    <x v="0"/>
    <x v="0"/>
    <x v="7"/>
    <x v="1"/>
    <x v="0"/>
    <x v="0"/>
    <s v="GNR_ENG_NGAS_BP_E-40"/>
    <x v="0"/>
    <x v="0"/>
    <n v="4.62"/>
    <n v="1124.2"/>
    <n v="4047.12"/>
  </r>
  <r>
    <x v="0"/>
    <x v="0"/>
    <x v="0"/>
    <x v="0"/>
    <x v="0"/>
    <x v="7"/>
    <x v="1"/>
    <x v="0"/>
    <x v="0"/>
    <s v="GNR_ENG_NGAS_BP_E-40"/>
    <x v="0"/>
    <x v="1"/>
    <n v="4.62"/>
    <n v="1124.2"/>
    <n v="4047.12"/>
  </r>
  <r>
    <x v="0"/>
    <x v="0"/>
    <x v="0"/>
    <x v="0"/>
    <x v="0"/>
    <x v="7"/>
    <x v="1"/>
    <x v="0"/>
    <x v="0"/>
    <s v="GNR_ENG_NGAS_BP_E-40"/>
    <x v="0"/>
    <x v="2"/>
    <n v="4.62"/>
    <n v="1124.2"/>
    <n v="4047.12"/>
  </r>
  <r>
    <x v="0"/>
    <x v="0"/>
    <x v="0"/>
    <x v="0"/>
    <x v="0"/>
    <x v="7"/>
    <x v="1"/>
    <x v="0"/>
    <x v="0"/>
    <s v="GNR_ENG_NGAS_BP_E-40"/>
    <x v="0"/>
    <x v="5"/>
    <n v="4.62"/>
    <n v="1124.2"/>
    <n v="4047.12"/>
  </r>
  <r>
    <x v="0"/>
    <x v="0"/>
    <x v="0"/>
    <x v="0"/>
    <x v="0"/>
    <x v="7"/>
    <x v="1"/>
    <x v="0"/>
    <x v="0"/>
    <s v="GNR_ENG_NGAS_BP_E-40"/>
    <x v="0"/>
    <x v="8"/>
    <n v="4.62"/>
    <n v="1124.2"/>
    <n v="4047.12"/>
  </r>
  <r>
    <x v="0"/>
    <x v="0"/>
    <x v="0"/>
    <x v="0"/>
    <x v="0"/>
    <x v="7"/>
    <x v="1"/>
    <x v="0"/>
    <x v="0"/>
    <s v="GNR_ENG_NGAS_BP_E-40"/>
    <x v="1"/>
    <x v="3"/>
    <n v="4.62"/>
    <n v="1124.2"/>
    <n v="4047.12"/>
  </r>
  <r>
    <x v="0"/>
    <x v="0"/>
    <x v="0"/>
    <x v="0"/>
    <x v="0"/>
    <x v="7"/>
    <x v="1"/>
    <x v="0"/>
    <x v="0"/>
    <s v="GNR_ENG_NGAS_BP_E-40"/>
    <x v="1"/>
    <x v="4"/>
    <n v="4.62"/>
    <n v="1124.2"/>
    <n v="4047.12"/>
  </r>
  <r>
    <x v="0"/>
    <x v="0"/>
    <x v="0"/>
    <x v="0"/>
    <x v="0"/>
    <x v="7"/>
    <x v="1"/>
    <x v="0"/>
    <x v="0"/>
    <s v="GNR_ENG_NGAS_BP_E-40"/>
    <x v="1"/>
    <x v="6"/>
    <n v="4.62"/>
    <n v="1124.2"/>
    <n v="4047.12"/>
  </r>
  <r>
    <x v="0"/>
    <x v="0"/>
    <x v="0"/>
    <x v="0"/>
    <x v="0"/>
    <x v="7"/>
    <x v="1"/>
    <x v="0"/>
    <x v="0"/>
    <s v="GNR_ENG_NGAS_BP_E-40"/>
    <x v="1"/>
    <x v="0"/>
    <n v="4.62"/>
    <n v="1124.2"/>
    <n v="4047.12"/>
  </r>
  <r>
    <x v="0"/>
    <x v="0"/>
    <x v="0"/>
    <x v="0"/>
    <x v="0"/>
    <x v="7"/>
    <x v="1"/>
    <x v="0"/>
    <x v="0"/>
    <s v="GNR_ENG_NGAS_BP_E-40"/>
    <x v="1"/>
    <x v="1"/>
    <n v="4.62"/>
    <n v="1124.2"/>
    <n v="4047.12"/>
  </r>
  <r>
    <x v="0"/>
    <x v="0"/>
    <x v="0"/>
    <x v="0"/>
    <x v="0"/>
    <x v="7"/>
    <x v="1"/>
    <x v="0"/>
    <x v="0"/>
    <s v="GNR_ENG_NGAS_BP_E-40"/>
    <x v="1"/>
    <x v="2"/>
    <n v="4.62"/>
    <n v="1124.2"/>
    <n v="4047.12"/>
  </r>
  <r>
    <x v="0"/>
    <x v="0"/>
    <x v="0"/>
    <x v="0"/>
    <x v="0"/>
    <x v="7"/>
    <x v="1"/>
    <x v="0"/>
    <x v="0"/>
    <s v="GNR_ENG_NGAS_BP_E-41"/>
    <x v="0"/>
    <x v="3"/>
    <n v="14.0424816615004"/>
    <n v="3417.0038709650898"/>
    <n v="12301.213935474299"/>
  </r>
  <r>
    <x v="0"/>
    <x v="0"/>
    <x v="0"/>
    <x v="0"/>
    <x v="0"/>
    <x v="7"/>
    <x v="1"/>
    <x v="0"/>
    <x v="0"/>
    <s v="GNR_ENG_NGAS_BP_E-41"/>
    <x v="0"/>
    <x v="7"/>
    <n v="14.65"/>
    <n v="3564.8333333333298"/>
    <n v="12833.4"/>
  </r>
  <r>
    <x v="0"/>
    <x v="0"/>
    <x v="0"/>
    <x v="0"/>
    <x v="0"/>
    <x v="7"/>
    <x v="1"/>
    <x v="0"/>
    <x v="0"/>
    <s v="GNR_ENG_NGAS_BP_E-41"/>
    <x v="0"/>
    <x v="0"/>
    <n v="14.65"/>
    <n v="3564.8333333333298"/>
    <n v="12833.4"/>
  </r>
  <r>
    <x v="0"/>
    <x v="0"/>
    <x v="0"/>
    <x v="0"/>
    <x v="0"/>
    <x v="7"/>
    <x v="1"/>
    <x v="0"/>
    <x v="0"/>
    <s v="GNR_ENG_NGAS_BP_E-41"/>
    <x v="0"/>
    <x v="1"/>
    <n v="14.65"/>
    <n v="3564.8333333333298"/>
    <n v="12833.4"/>
  </r>
  <r>
    <x v="0"/>
    <x v="0"/>
    <x v="0"/>
    <x v="0"/>
    <x v="0"/>
    <x v="7"/>
    <x v="1"/>
    <x v="0"/>
    <x v="0"/>
    <s v="GNR_ENG_NGAS_BP_E-41"/>
    <x v="0"/>
    <x v="2"/>
    <n v="14.65"/>
    <n v="3564.8333333333298"/>
    <n v="12833.4"/>
  </r>
  <r>
    <x v="0"/>
    <x v="0"/>
    <x v="0"/>
    <x v="0"/>
    <x v="0"/>
    <x v="7"/>
    <x v="1"/>
    <x v="0"/>
    <x v="0"/>
    <s v="GNR_ENG_NGAS_BP_E-41"/>
    <x v="0"/>
    <x v="5"/>
    <n v="14.65"/>
    <n v="3564.8333333333298"/>
    <n v="12833.4"/>
  </r>
  <r>
    <x v="0"/>
    <x v="0"/>
    <x v="0"/>
    <x v="0"/>
    <x v="0"/>
    <x v="7"/>
    <x v="1"/>
    <x v="0"/>
    <x v="0"/>
    <s v="GNR_ENG_NGAS_BP_E-41"/>
    <x v="0"/>
    <x v="8"/>
    <n v="14.65"/>
    <n v="3564.8333333333298"/>
    <n v="12833.4"/>
  </r>
  <r>
    <x v="0"/>
    <x v="0"/>
    <x v="0"/>
    <x v="0"/>
    <x v="0"/>
    <x v="7"/>
    <x v="1"/>
    <x v="0"/>
    <x v="0"/>
    <s v="GNR_ENG_NGAS_BP_E-41"/>
    <x v="1"/>
    <x v="3"/>
    <n v="14.65"/>
    <n v="3564.8333333333298"/>
    <n v="12833.4"/>
  </r>
  <r>
    <x v="0"/>
    <x v="0"/>
    <x v="0"/>
    <x v="0"/>
    <x v="0"/>
    <x v="7"/>
    <x v="1"/>
    <x v="0"/>
    <x v="0"/>
    <s v="GNR_ENG_NGAS_BP_E-41"/>
    <x v="1"/>
    <x v="4"/>
    <n v="14.65"/>
    <n v="3564.8333333333298"/>
    <n v="12833.4"/>
  </r>
  <r>
    <x v="0"/>
    <x v="0"/>
    <x v="0"/>
    <x v="0"/>
    <x v="0"/>
    <x v="7"/>
    <x v="1"/>
    <x v="0"/>
    <x v="0"/>
    <s v="GNR_ENG_NGAS_BP_E-41"/>
    <x v="1"/>
    <x v="6"/>
    <n v="14.65"/>
    <n v="3564.8333333333298"/>
    <n v="12833.4"/>
  </r>
  <r>
    <x v="0"/>
    <x v="0"/>
    <x v="0"/>
    <x v="0"/>
    <x v="0"/>
    <x v="7"/>
    <x v="1"/>
    <x v="0"/>
    <x v="0"/>
    <s v="GNR_ENG_NGAS_BP_E-41"/>
    <x v="1"/>
    <x v="0"/>
    <n v="14.65"/>
    <n v="3564.8333333333298"/>
    <n v="12833.4"/>
  </r>
  <r>
    <x v="0"/>
    <x v="0"/>
    <x v="0"/>
    <x v="0"/>
    <x v="0"/>
    <x v="7"/>
    <x v="1"/>
    <x v="0"/>
    <x v="0"/>
    <s v="GNR_ENG_NGAS_BP_E-41"/>
    <x v="1"/>
    <x v="1"/>
    <n v="14.65"/>
    <n v="3564.8333333333298"/>
    <n v="12833.4"/>
  </r>
  <r>
    <x v="0"/>
    <x v="0"/>
    <x v="0"/>
    <x v="0"/>
    <x v="0"/>
    <x v="7"/>
    <x v="1"/>
    <x v="0"/>
    <x v="0"/>
    <s v="GNR_ENG_NGAS_BP_E-41"/>
    <x v="1"/>
    <x v="2"/>
    <n v="14.65"/>
    <n v="3564.8333333333298"/>
    <n v="12833.4"/>
  </r>
  <r>
    <x v="0"/>
    <x v="0"/>
    <x v="0"/>
    <x v="0"/>
    <x v="0"/>
    <x v="7"/>
    <x v="1"/>
    <x v="0"/>
    <x v="0"/>
    <s v="GNR_ENG_NGAS_BP_E-42"/>
    <x v="0"/>
    <x v="3"/>
    <n v="33.902000000000001"/>
    <n v="8249.4866666666694"/>
    <n v="29698.151999999998"/>
  </r>
  <r>
    <x v="0"/>
    <x v="0"/>
    <x v="0"/>
    <x v="0"/>
    <x v="0"/>
    <x v="7"/>
    <x v="1"/>
    <x v="0"/>
    <x v="0"/>
    <s v="GNR_ENG_NGAS_BP_E-42"/>
    <x v="0"/>
    <x v="4"/>
    <n v="33.902000000000001"/>
    <n v="8249.4866666666694"/>
    <n v="29698.151999999998"/>
  </r>
  <r>
    <x v="0"/>
    <x v="0"/>
    <x v="0"/>
    <x v="0"/>
    <x v="0"/>
    <x v="7"/>
    <x v="1"/>
    <x v="0"/>
    <x v="0"/>
    <s v="GNR_ENG_NGAS_BP_E-42"/>
    <x v="0"/>
    <x v="7"/>
    <n v="33.902000000000001"/>
    <n v="8249.4866666666694"/>
    <n v="29698.151999999998"/>
  </r>
  <r>
    <x v="0"/>
    <x v="0"/>
    <x v="0"/>
    <x v="0"/>
    <x v="0"/>
    <x v="7"/>
    <x v="1"/>
    <x v="0"/>
    <x v="0"/>
    <s v="GNR_ENG_NGAS_BP_E-42"/>
    <x v="0"/>
    <x v="0"/>
    <n v="33.902000000000001"/>
    <n v="8249.4866666666694"/>
    <n v="29698.151999999998"/>
  </r>
  <r>
    <x v="0"/>
    <x v="0"/>
    <x v="0"/>
    <x v="0"/>
    <x v="0"/>
    <x v="7"/>
    <x v="1"/>
    <x v="0"/>
    <x v="0"/>
    <s v="GNR_ENG_NGAS_BP_E-42"/>
    <x v="0"/>
    <x v="1"/>
    <n v="33.902000000000001"/>
    <n v="8249.4866666666694"/>
    <n v="29698.151999999998"/>
  </r>
  <r>
    <x v="0"/>
    <x v="0"/>
    <x v="0"/>
    <x v="0"/>
    <x v="0"/>
    <x v="7"/>
    <x v="1"/>
    <x v="0"/>
    <x v="0"/>
    <s v="GNR_ENG_NGAS_BP_E-42"/>
    <x v="0"/>
    <x v="2"/>
    <n v="33.902000000000001"/>
    <n v="8249.4866666666694"/>
    <n v="29698.151999999998"/>
  </r>
  <r>
    <x v="0"/>
    <x v="0"/>
    <x v="0"/>
    <x v="0"/>
    <x v="0"/>
    <x v="7"/>
    <x v="1"/>
    <x v="0"/>
    <x v="0"/>
    <s v="GNR_ENG_NGAS_BP_E-42"/>
    <x v="0"/>
    <x v="5"/>
    <n v="33.902000000000001"/>
    <n v="8249.4866666666694"/>
    <n v="29698.151999999998"/>
  </r>
  <r>
    <x v="0"/>
    <x v="0"/>
    <x v="0"/>
    <x v="0"/>
    <x v="0"/>
    <x v="7"/>
    <x v="1"/>
    <x v="0"/>
    <x v="0"/>
    <s v="GNR_ENG_NGAS_BP_E-42"/>
    <x v="0"/>
    <x v="11"/>
    <n v="33.902000000000001"/>
    <n v="8249.4866666666694"/>
    <n v="29698.151999999998"/>
  </r>
  <r>
    <x v="0"/>
    <x v="0"/>
    <x v="0"/>
    <x v="0"/>
    <x v="0"/>
    <x v="7"/>
    <x v="1"/>
    <x v="0"/>
    <x v="0"/>
    <s v="GNR_ENG_NGAS_BP_E-42"/>
    <x v="0"/>
    <x v="8"/>
    <n v="33.902000000000001"/>
    <n v="8249.4866666666694"/>
    <n v="29698.151999999998"/>
  </r>
  <r>
    <x v="0"/>
    <x v="0"/>
    <x v="0"/>
    <x v="0"/>
    <x v="0"/>
    <x v="7"/>
    <x v="1"/>
    <x v="0"/>
    <x v="0"/>
    <s v="GNR_ENG_NGAS_BP_E-42"/>
    <x v="2"/>
    <x v="10"/>
    <n v="33.902000000000001"/>
    <n v="8249.4866666666694"/>
    <n v="29698.151999999998"/>
  </r>
  <r>
    <x v="0"/>
    <x v="0"/>
    <x v="0"/>
    <x v="0"/>
    <x v="0"/>
    <x v="7"/>
    <x v="1"/>
    <x v="0"/>
    <x v="0"/>
    <s v="GNR_ENG_NGAS_BP_E-42"/>
    <x v="1"/>
    <x v="3"/>
    <n v="33.902000000000001"/>
    <n v="8249.4866666666694"/>
    <n v="29698.151999999998"/>
  </r>
  <r>
    <x v="0"/>
    <x v="0"/>
    <x v="0"/>
    <x v="0"/>
    <x v="0"/>
    <x v="7"/>
    <x v="1"/>
    <x v="0"/>
    <x v="0"/>
    <s v="GNR_ENG_NGAS_BP_E-42"/>
    <x v="1"/>
    <x v="4"/>
    <n v="33.902000000000001"/>
    <n v="8249.4866666666694"/>
    <n v="29698.151999999998"/>
  </r>
  <r>
    <x v="0"/>
    <x v="0"/>
    <x v="0"/>
    <x v="0"/>
    <x v="0"/>
    <x v="7"/>
    <x v="1"/>
    <x v="0"/>
    <x v="0"/>
    <s v="GNR_ENG_NGAS_BP_E-42"/>
    <x v="1"/>
    <x v="6"/>
    <n v="33.902000000000001"/>
    <n v="8249.4866666666694"/>
    <n v="29698.151999999998"/>
  </r>
  <r>
    <x v="0"/>
    <x v="0"/>
    <x v="0"/>
    <x v="0"/>
    <x v="0"/>
    <x v="7"/>
    <x v="1"/>
    <x v="0"/>
    <x v="0"/>
    <s v="GNR_ENG_NGAS_BP_E-42"/>
    <x v="1"/>
    <x v="0"/>
    <n v="33.902000000000001"/>
    <n v="8249.4866666666694"/>
    <n v="29698.151999999998"/>
  </r>
  <r>
    <x v="0"/>
    <x v="0"/>
    <x v="0"/>
    <x v="0"/>
    <x v="0"/>
    <x v="7"/>
    <x v="1"/>
    <x v="0"/>
    <x v="0"/>
    <s v="GNR_ENG_NGAS_BP_E-42"/>
    <x v="1"/>
    <x v="1"/>
    <n v="33.902000000000001"/>
    <n v="8249.4866666666694"/>
    <n v="29698.151999999998"/>
  </r>
  <r>
    <x v="0"/>
    <x v="0"/>
    <x v="0"/>
    <x v="0"/>
    <x v="0"/>
    <x v="7"/>
    <x v="1"/>
    <x v="0"/>
    <x v="0"/>
    <s v="GNR_ENG_NGAS_BP_E-42"/>
    <x v="1"/>
    <x v="2"/>
    <n v="33.902000000000001"/>
    <n v="8249.4866666666694"/>
    <n v="29698.151999999998"/>
  </r>
  <r>
    <x v="0"/>
    <x v="0"/>
    <x v="0"/>
    <x v="0"/>
    <x v="0"/>
    <x v="7"/>
    <x v="1"/>
    <x v="0"/>
    <x v="0"/>
    <s v="GNR_ENG_NGAS_BP_E-43"/>
    <x v="0"/>
    <x v="3"/>
    <n v="15.832000000000001"/>
    <n v="3852.4533333333302"/>
    <n v="13868.832"/>
  </r>
  <r>
    <x v="0"/>
    <x v="0"/>
    <x v="0"/>
    <x v="0"/>
    <x v="0"/>
    <x v="7"/>
    <x v="1"/>
    <x v="0"/>
    <x v="0"/>
    <s v="GNR_ENG_NGAS_BP_E-43"/>
    <x v="0"/>
    <x v="4"/>
    <n v="15.832000000000001"/>
    <n v="3852.4533333333302"/>
    <n v="13868.832"/>
  </r>
  <r>
    <x v="0"/>
    <x v="0"/>
    <x v="0"/>
    <x v="0"/>
    <x v="0"/>
    <x v="7"/>
    <x v="1"/>
    <x v="0"/>
    <x v="0"/>
    <s v="GNR_ENG_NGAS_BP_E-43"/>
    <x v="0"/>
    <x v="7"/>
    <n v="15.832000000000001"/>
    <n v="3852.4533333333302"/>
    <n v="13868.832"/>
  </r>
  <r>
    <x v="0"/>
    <x v="0"/>
    <x v="0"/>
    <x v="0"/>
    <x v="0"/>
    <x v="7"/>
    <x v="1"/>
    <x v="0"/>
    <x v="0"/>
    <s v="GNR_ENG_NGAS_BP_E-43"/>
    <x v="0"/>
    <x v="0"/>
    <n v="15.832000000000001"/>
    <n v="3852.4533333333302"/>
    <n v="13868.832"/>
  </r>
  <r>
    <x v="0"/>
    <x v="0"/>
    <x v="0"/>
    <x v="0"/>
    <x v="0"/>
    <x v="7"/>
    <x v="1"/>
    <x v="0"/>
    <x v="0"/>
    <s v="GNR_ENG_NGAS_BP_E-43"/>
    <x v="0"/>
    <x v="1"/>
    <n v="15.832000000000001"/>
    <n v="3852.4533333333302"/>
    <n v="13868.832"/>
  </r>
  <r>
    <x v="0"/>
    <x v="0"/>
    <x v="0"/>
    <x v="0"/>
    <x v="0"/>
    <x v="7"/>
    <x v="1"/>
    <x v="0"/>
    <x v="0"/>
    <s v="GNR_ENG_NGAS_BP_E-43"/>
    <x v="0"/>
    <x v="2"/>
    <n v="15.832000000000001"/>
    <n v="3852.4533333333302"/>
    <n v="13868.832"/>
  </r>
  <r>
    <x v="0"/>
    <x v="0"/>
    <x v="0"/>
    <x v="0"/>
    <x v="0"/>
    <x v="7"/>
    <x v="1"/>
    <x v="0"/>
    <x v="0"/>
    <s v="GNR_ENG_NGAS_BP_E-43"/>
    <x v="0"/>
    <x v="5"/>
    <n v="15.832000000000001"/>
    <n v="3852.4533333333302"/>
    <n v="13868.832"/>
  </r>
  <r>
    <x v="0"/>
    <x v="0"/>
    <x v="0"/>
    <x v="0"/>
    <x v="0"/>
    <x v="7"/>
    <x v="1"/>
    <x v="0"/>
    <x v="0"/>
    <s v="GNR_ENG_NGAS_BP_E-43"/>
    <x v="0"/>
    <x v="11"/>
    <n v="15.832000000000001"/>
    <n v="3852.4533333333302"/>
    <n v="13868.832"/>
  </r>
  <r>
    <x v="0"/>
    <x v="0"/>
    <x v="0"/>
    <x v="0"/>
    <x v="0"/>
    <x v="7"/>
    <x v="1"/>
    <x v="0"/>
    <x v="0"/>
    <s v="GNR_ENG_NGAS_BP_E-43"/>
    <x v="0"/>
    <x v="8"/>
    <n v="15.832000000000001"/>
    <n v="3852.4533333333302"/>
    <n v="13868.832"/>
  </r>
  <r>
    <x v="0"/>
    <x v="0"/>
    <x v="0"/>
    <x v="0"/>
    <x v="0"/>
    <x v="7"/>
    <x v="1"/>
    <x v="0"/>
    <x v="0"/>
    <s v="GNR_ENG_NGAS_BP_E-43"/>
    <x v="2"/>
    <x v="3"/>
    <n v="15.832000000000001"/>
    <n v="3852.4533333333302"/>
    <n v="13868.832"/>
  </r>
  <r>
    <x v="0"/>
    <x v="0"/>
    <x v="0"/>
    <x v="0"/>
    <x v="0"/>
    <x v="7"/>
    <x v="1"/>
    <x v="0"/>
    <x v="0"/>
    <s v="GNR_ENG_NGAS_BP_E-43"/>
    <x v="2"/>
    <x v="10"/>
    <n v="15.832000000000001"/>
    <n v="3852.4533333333302"/>
    <n v="13868.832"/>
  </r>
  <r>
    <x v="0"/>
    <x v="0"/>
    <x v="0"/>
    <x v="0"/>
    <x v="0"/>
    <x v="7"/>
    <x v="1"/>
    <x v="0"/>
    <x v="0"/>
    <s v="GNR_ENG_NGAS_BP_E-43"/>
    <x v="2"/>
    <x v="4"/>
    <n v="15.832000000000001"/>
    <n v="3852.4533333333302"/>
    <n v="13868.832"/>
  </r>
  <r>
    <x v="0"/>
    <x v="0"/>
    <x v="0"/>
    <x v="0"/>
    <x v="0"/>
    <x v="7"/>
    <x v="1"/>
    <x v="0"/>
    <x v="0"/>
    <s v="GNR_ENG_NGAS_BP_E-43"/>
    <x v="2"/>
    <x v="2"/>
    <n v="15.832000000000001"/>
    <n v="3852.4533333333302"/>
    <n v="13868.832"/>
  </r>
  <r>
    <x v="0"/>
    <x v="0"/>
    <x v="0"/>
    <x v="0"/>
    <x v="0"/>
    <x v="7"/>
    <x v="1"/>
    <x v="0"/>
    <x v="0"/>
    <s v="GNR_ENG_NGAS_BP_E-43"/>
    <x v="1"/>
    <x v="3"/>
    <n v="15.832000000000001"/>
    <n v="3852.4533333333302"/>
    <n v="13868.832"/>
  </r>
  <r>
    <x v="0"/>
    <x v="0"/>
    <x v="0"/>
    <x v="0"/>
    <x v="0"/>
    <x v="7"/>
    <x v="1"/>
    <x v="0"/>
    <x v="0"/>
    <s v="GNR_ENG_NGAS_BP_E-43"/>
    <x v="1"/>
    <x v="10"/>
    <n v="15.832000000000001"/>
    <n v="3852.4533333333302"/>
    <n v="13868.832"/>
  </r>
  <r>
    <x v="0"/>
    <x v="0"/>
    <x v="0"/>
    <x v="0"/>
    <x v="0"/>
    <x v="7"/>
    <x v="1"/>
    <x v="0"/>
    <x v="0"/>
    <s v="GNR_ENG_NGAS_BP_E-43"/>
    <x v="1"/>
    <x v="4"/>
    <n v="15.832000000000001"/>
    <n v="3852.4533333333302"/>
    <n v="13868.832"/>
  </r>
  <r>
    <x v="0"/>
    <x v="0"/>
    <x v="0"/>
    <x v="0"/>
    <x v="0"/>
    <x v="7"/>
    <x v="1"/>
    <x v="0"/>
    <x v="0"/>
    <s v="GNR_ENG_NGAS_BP_E-43"/>
    <x v="1"/>
    <x v="6"/>
    <n v="15.832000000000001"/>
    <n v="3852.4533333333302"/>
    <n v="13868.832"/>
  </r>
  <r>
    <x v="0"/>
    <x v="0"/>
    <x v="0"/>
    <x v="0"/>
    <x v="0"/>
    <x v="7"/>
    <x v="1"/>
    <x v="0"/>
    <x v="0"/>
    <s v="GNR_ENG_NGAS_BP_E-43"/>
    <x v="1"/>
    <x v="7"/>
    <n v="15.832000000000001"/>
    <n v="3852.4533333333302"/>
    <n v="13868.832"/>
  </r>
  <r>
    <x v="0"/>
    <x v="0"/>
    <x v="0"/>
    <x v="0"/>
    <x v="0"/>
    <x v="7"/>
    <x v="1"/>
    <x v="0"/>
    <x v="0"/>
    <s v="GNR_ENG_NGAS_BP_E-43"/>
    <x v="1"/>
    <x v="0"/>
    <n v="15.832000000000001"/>
    <n v="3852.4533333333302"/>
    <n v="13868.832"/>
  </r>
  <r>
    <x v="0"/>
    <x v="0"/>
    <x v="0"/>
    <x v="0"/>
    <x v="0"/>
    <x v="7"/>
    <x v="1"/>
    <x v="0"/>
    <x v="0"/>
    <s v="GNR_ENG_NGAS_BP_E-43"/>
    <x v="1"/>
    <x v="1"/>
    <n v="15.832000000000001"/>
    <n v="3852.4533333333302"/>
    <n v="13868.832"/>
  </r>
  <r>
    <x v="0"/>
    <x v="0"/>
    <x v="0"/>
    <x v="0"/>
    <x v="0"/>
    <x v="7"/>
    <x v="1"/>
    <x v="0"/>
    <x v="0"/>
    <s v="GNR_ENG_NGAS_BP_E-43"/>
    <x v="1"/>
    <x v="2"/>
    <n v="15.832000000000001"/>
    <n v="3852.4533333333302"/>
    <n v="13868.832"/>
  </r>
  <r>
    <x v="0"/>
    <x v="0"/>
    <x v="0"/>
    <x v="0"/>
    <x v="0"/>
    <x v="7"/>
    <x v="1"/>
    <x v="0"/>
    <x v="0"/>
    <s v="GNR_ENG_NGAS_BP_E-44"/>
    <x v="0"/>
    <x v="3"/>
    <n v="13.16"/>
    <n v="3202.2666666666701"/>
    <n v="11528.16"/>
  </r>
  <r>
    <x v="0"/>
    <x v="0"/>
    <x v="0"/>
    <x v="0"/>
    <x v="0"/>
    <x v="7"/>
    <x v="1"/>
    <x v="0"/>
    <x v="0"/>
    <s v="GNR_ENG_NGAS_BP_E-44"/>
    <x v="0"/>
    <x v="4"/>
    <n v="13.16"/>
    <n v="3202.2666666666701"/>
    <n v="11528.16"/>
  </r>
  <r>
    <x v="0"/>
    <x v="0"/>
    <x v="0"/>
    <x v="0"/>
    <x v="0"/>
    <x v="7"/>
    <x v="1"/>
    <x v="0"/>
    <x v="0"/>
    <s v="GNR_ENG_NGAS_BP_E-44"/>
    <x v="0"/>
    <x v="7"/>
    <n v="13.16"/>
    <n v="3202.2666666666701"/>
    <n v="11528.16"/>
  </r>
  <r>
    <x v="0"/>
    <x v="0"/>
    <x v="0"/>
    <x v="0"/>
    <x v="0"/>
    <x v="7"/>
    <x v="1"/>
    <x v="0"/>
    <x v="0"/>
    <s v="GNR_ENG_NGAS_BP_E-44"/>
    <x v="0"/>
    <x v="0"/>
    <n v="13.16"/>
    <n v="3202.2666666666701"/>
    <n v="11528.16"/>
  </r>
  <r>
    <x v="0"/>
    <x v="0"/>
    <x v="0"/>
    <x v="0"/>
    <x v="0"/>
    <x v="7"/>
    <x v="1"/>
    <x v="0"/>
    <x v="0"/>
    <s v="GNR_ENG_NGAS_BP_E-44"/>
    <x v="0"/>
    <x v="1"/>
    <n v="13.16"/>
    <n v="3202.2666666666701"/>
    <n v="11528.16"/>
  </r>
  <r>
    <x v="0"/>
    <x v="0"/>
    <x v="0"/>
    <x v="0"/>
    <x v="0"/>
    <x v="7"/>
    <x v="1"/>
    <x v="0"/>
    <x v="0"/>
    <s v="GNR_ENG_NGAS_BP_E-44"/>
    <x v="0"/>
    <x v="2"/>
    <n v="13.16"/>
    <n v="3202.2666666666701"/>
    <n v="11528.16"/>
  </r>
  <r>
    <x v="0"/>
    <x v="0"/>
    <x v="0"/>
    <x v="0"/>
    <x v="0"/>
    <x v="7"/>
    <x v="1"/>
    <x v="0"/>
    <x v="0"/>
    <s v="GNR_ENG_NGAS_BP_E-44"/>
    <x v="0"/>
    <x v="5"/>
    <n v="13.16"/>
    <n v="3202.2666666666701"/>
    <n v="11528.16"/>
  </r>
  <r>
    <x v="0"/>
    <x v="0"/>
    <x v="0"/>
    <x v="0"/>
    <x v="0"/>
    <x v="7"/>
    <x v="1"/>
    <x v="0"/>
    <x v="0"/>
    <s v="GNR_ENG_NGAS_BP_E-44"/>
    <x v="0"/>
    <x v="11"/>
    <n v="13.16"/>
    <n v="3202.2666666666701"/>
    <n v="11528.16"/>
  </r>
  <r>
    <x v="0"/>
    <x v="0"/>
    <x v="0"/>
    <x v="0"/>
    <x v="0"/>
    <x v="7"/>
    <x v="1"/>
    <x v="0"/>
    <x v="0"/>
    <s v="GNR_ENG_NGAS_BP_E-44"/>
    <x v="0"/>
    <x v="8"/>
    <n v="13.16"/>
    <n v="3202.2666666666701"/>
    <n v="11528.16"/>
  </r>
  <r>
    <x v="0"/>
    <x v="0"/>
    <x v="0"/>
    <x v="0"/>
    <x v="0"/>
    <x v="7"/>
    <x v="1"/>
    <x v="0"/>
    <x v="0"/>
    <s v="GNR_ENG_NGAS_BP_E-44"/>
    <x v="2"/>
    <x v="3"/>
    <n v="13.16"/>
    <n v="3202.2666666666701"/>
    <n v="11528.16"/>
  </r>
  <r>
    <x v="0"/>
    <x v="0"/>
    <x v="0"/>
    <x v="0"/>
    <x v="0"/>
    <x v="7"/>
    <x v="1"/>
    <x v="0"/>
    <x v="0"/>
    <s v="GNR_ENG_NGAS_BP_E-44"/>
    <x v="2"/>
    <x v="10"/>
    <n v="13.16"/>
    <n v="3202.2666666666701"/>
    <n v="11528.16"/>
  </r>
  <r>
    <x v="0"/>
    <x v="0"/>
    <x v="0"/>
    <x v="0"/>
    <x v="0"/>
    <x v="7"/>
    <x v="1"/>
    <x v="0"/>
    <x v="0"/>
    <s v="GNR_ENG_NGAS_BP_E-44"/>
    <x v="2"/>
    <x v="4"/>
    <n v="13.16"/>
    <n v="3202.2666666666701"/>
    <n v="11528.16"/>
  </r>
  <r>
    <x v="0"/>
    <x v="0"/>
    <x v="0"/>
    <x v="0"/>
    <x v="0"/>
    <x v="7"/>
    <x v="1"/>
    <x v="0"/>
    <x v="0"/>
    <s v="GNR_ENG_NGAS_BP_E-44"/>
    <x v="2"/>
    <x v="1"/>
    <n v="13.16"/>
    <n v="3202.2666666666701"/>
    <n v="11528.16"/>
  </r>
  <r>
    <x v="0"/>
    <x v="0"/>
    <x v="0"/>
    <x v="0"/>
    <x v="0"/>
    <x v="7"/>
    <x v="1"/>
    <x v="0"/>
    <x v="0"/>
    <s v="GNR_ENG_NGAS_BP_E-44"/>
    <x v="2"/>
    <x v="2"/>
    <n v="13.16"/>
    <n v="3202.2666666666701"/>
    <n v="11528.16"/>
  </r>
  <r>
    <x v="0"/>
    <x v="0"/>
    <x v="0"/>
    <x v="0"/>
    <x v="0"/>
    <x v="7"/>
    <x v="1"/>
    <x v="0"/>
    <x v="0"/>
    <s v="GNR_ENG_NGAS_BP_E-44"/>
    <x v="2"/>
    <x v="11"/>
    <n v="13.16"/>
    <n v="3202.2666666666701"/>
    <n v="11528.16"/>
  </r>
  <r>
    <x v="0"/>
    <x v="0"/>
    <x v="0"/>
    <x v="0"/>
    <x v="0"/>
    <x v="7"/>
    <x v="1"/>
    <x v="0"/>
    <x v="0"/>
    <s v="GNR_ENG_NGAS_BP_E-44"/>
    <x v="1"/>
    <x v="3"/>
    <n v="13.16"/>
    <n v="3202.2666666666701"/>
    <n v="11528.16"/>
  </r>
  <r>
    <x v="0"/>
    <x v="0"/>
    <x v="0"/>
    <x v="0"/>
    <x v="0"/>
    <x v="7"/>
    <x v="1"/>
    <x v="0"/>
    <x v="0"/>
    <s v="GNR_ENG_NGAS_BP_E-44"/>
    <x v="1"/>
    <x v="10"/>
    <n v="13.16"/>
    <n v="3202.2666666666701"/>
    <n v="11528.16"/>
  </r>
  <r>
    <x v="0"/>
    <x v="0"/>
    <x v="0"/>
    <x v="0"/>
    <x v="0"/>
    <x v="7"/>
    <x v="1"/>
    <x v="0"/>
    <x v="0"/>
    <s v="GNR_ENG_NGAS_BP_E-44"/>
    <x v="1"/>
    <x v="4"/>
    <n v="13.16"/>
    <n v="3202.2666666666701"/>
    <n v="11528.16"/>
  </r>
  <r>
    <x v="0"/>
    <x v="0"/>
    <x v="0"/>
    <x v="0"/>
    <x v="0"/>
    <x v="7"/>
    <x v="1"/>
    <x v="0"/>
    <x v="0"/>
    <s v="GNR_ENG_NGAS_BP_E-44"/>
    <x v="1"/>
    <x v="6"/>
    <n v="13.16"/>
    <n v="3202.2666666666701"/>
    <n v="11528.16"/>
  </r>
  <r>
    <x v="0"/>
    <x v="0"/>
    <x v="0"/>
    <x v="0"/>
    <x v="0"/>
    <x v="7"/>
    <x v="1"/>
    <x v="0"/>
    <x v="0"/>
    <s v="GNR_ENG_NGAS_BP_E-44"/>
    <x v="1"/>
    <x v="7"/>
    <n v="13.16"/>
    <n v="3202.2666666666701"/>
    <n v="11528.16"/>
  </r>
  <r>
    <x v="0"/>
    <x v="0"/>
    <x v="0"/>
    <x v="0"/>
    <x v="0"/>
    <x v="7"/>
    <x v="1"/>
    <x v="0"/>
    <x v="0"/>
    <s v="GNR_ENG_NGAS_BP_E-44"/>
    <x v="1"/>
    <x v="0"/>
    <n v="13.16"/>
    <n v="3202.2666666666701"/>
    <n v="11528.16"/>
  </r>
  <r>
    <x v="0"/>
    <x v="0"/>
    <x v="0"/>
    <x v="0"/>
    <x v="0"/>
    <x v="7"/>
    <x v="1"/>
    <x v="0"/>
    <x v="0"/>
    <s v="GNR_ENG_NGAS_BP_E-44"/>
    <x v="1"/>
    <x v="1"/>
    <n v="13.16"/>
    <n v="3202.2666666666701"/>
    <n v="11528.16"/>
  </r>
  <r>
    <x v="0"/>
    <x v="0"/>
    <x v="0"/>
    <x v="0"/>
    <x v="0"/>
    <x v="7"/>
    <x v="1"/>
    <x v="0"/>
    <x v="0"/>
    <s v="GNR_ENG_NGAS_BP_E-44"/>
    <x v="1"/>
    <x v="2"/>
    <n v="13.16"/>
    <n v="3202.2666666666701"/>
    <n v="11528.16"/>
  </r>
  <r>
    <x v="0"/>
    <x v="0"/>
    <x v="0"/>
    <x v="0"/>
    <x v="0"/>
    <x v="7"/>
    <x v="1"/>
    <x v="0"/>
    <x v="0"/>
    <s v="GNR_ENG_NGAS_BP_E-45"/>
    <x v="0"/>
    <x v="3"/>
    <n v="5.0999999999999996"/>
    <n v="1241"/>
    <n v="4467.6000000000004"/>
  </r>
  <r>
    <x v="0"/>
    <x v="0"/>
    <x v="0"/>
    <x v="0"/>
    <x v="0"/>
    <x v="7"/>
    <x v="1"/>
    <x v="0"/>
    <x v="0"/>
    <s v="GNR_ENG_NGAS_BP_E-45"/>
    <x v="0"/>
    <x v="4"/>
    <n v="5.0999999999999996"/>
    <n v="1241"/>
    <n v="4467.6000000000004"/>
  </r>
  <r>
    <x v="0"/>
    <x v="0"/>
    <x v="0"/>
    <x v="0"/>
    <x v="0"/>
    <x v="7"/>
    <x v="1"/>
    <x v="0"/>
    <x v="0"/>
    <s v="GNR_ENG_NGAS_BP_E-45"/>
    <x v="0"/>
    <x v="7"/>
    <n v="5.0999999999999996"/>
    <n v="1241"/>
    <n v="4467.6000000000004"/>
  </r>
  <r>
    <x v="0"/>
    <x v="0"/>
    <x v="0"/>
    <x v="0"/>
    <x v="0"/>
    <x v="7"/>
    <x v="1"/>
    <x v="0"/>
    <x v="0"/>
    <s v="GNR_ENG_NGAS_BP_E-45"/>
    <x v="0"/>
    <x v="0"/>
    <n v="5.0999999999999996"/>
    <n v="1241"/>
    <n v="4467.6000000000004"/>
  </r>
  <r>
    <x v="0"/>
    <x v="0"/>
    <x v="0"/>
    <x v="0"/>
    <x v="0"/>
    <x v="7"/>
    <x v="1"/>
    <x v="0"/>
    <x v="0"/>
    <s v="GNR_ENG_NGAS_BP_E-45"/>
    <x v="0"/>
    <x v="1"/>
    <n v="5.0999999999999996"/>
    <n v="1241"/>
    <n v="4467.6000000000004"/>
  </r>
  <r>
    <x v="0"/>
    <x v="0"/>
    <x v="0"/>
    <x v="0"/>
    <x v="0"/>
    <x v="7"/>
    <x v="1"/>
    <x v="0"/>
    <x v="0"/>
    <s v="GNR_ENG_NGAS_BP_E-45"/>
    <x v="0"/>
    <x v="2"/>
    <n v="5.0999999999999996"/>
    <n v="1241"/>
    <n v="4467.6000000000004"/>
  </r>
  <r>
    <x v="0"/>
    <x v="0"/>
    <x v="0"/>
    <x v="0"/>
    <x v="0"/>
    <x v="7"/>
    <x v="1"/>
    <x v="0"/>
    <x v="0"/>
    <s v="GNR_ENG_NGAS_BP_E-45"/>
    <x v="0"/>
    <x v="5"/>
    <n v="5.0999999999999996"/>
    <n v="1241"/>
    <n v="4467.6000000000004"/>
  </r>
  <r>
    <x v="0"/>
    <x v="0"/>
    <x v="0"/>
    <x v="0"/>
    <x v="0"/>
    <x v="7"/>
    <x v="1"/>
    <x v="0"/>
    <x v="0"/>
    <s v="GNR_ENG_NGAS_BP_E-45"/>
    <x v="0"/>
    <x v="11"/>
    <n v="5.0999999999999996"/>
    <n v="1241"/>
    <n v="4467.6000000000004"/>
  </r>
  <r>
    <x v="0"/>
    <x v="0"/>
    <x v="0"/>
    <x v="0"/>
    <x v="0"/>
    <x v="7"/>
    <x v="1"/>
    <x v="0"/>
    <x v="0"/>
    <s v="GNR_ENG_NGAS_BP_E-45"/>
    <x v="0"/>
    <x v="8"/>
    <n v="5.0999999999999996"/>
    <n v="1241"/>
    <n v="4467.6000000000004"/>
  </r>
  <r>
    <x v="0"/>
    <x v="0"/>
    <x v="0"/>
    <x v="0"/>
    <x v="0"/>
    <x v="7"/>
    <x v="1"/>
    <x v="0"/>
    <x v="0"/>
    <s v="GNR_ENG_NGAS_BP_E-45"/>
    <x v="2"/>
    <x v="3"/>
    <n v="5.0999999999999996"/>
    <n v="1241"/>
    <n v="4467.6000000000004"/>
  </r>
  <r>
    <x v="0"/>
    <x v="0"/>
    <x v="0"/>
    <x v="0"/>
    <x v="0"/>
    <x v="7"/>
    <x v="1"/>
    <x v="0"/>
    <x v="0"/>
    <s v="GNR_ENG_NGAS_BP_E-45"/>
    <x v="2"/>
    <x v="10"/>
    <n v="5.0999999999999996"/>
    <n v="1241"/>
    <n v="4467.6000000000004"/>
  </r>
  <r>
    <x v="0"/>
    <x v="0"/>
    <x v="0"/>
    <x v="0"/>
    <x v="0"/>
    <x v="7"/>
    <x v="1"/>
    <x v="0"/>
    <x v="0"/>
    <s v="GNR_ENG_NGAS_BP_E-45"/>
    <x v="2"/>
    <x v="4"/>
    <n v="5.0999999999999996"/>
    <n v="1241"/>
    <n v="4467.6000000000004"/>
  </r>
  <r>
    <x v="0"/>
    <x v="0"/>
    <x v="0"/>
    <x v="0"/>
    <x v="0"/>
    <x v="7"/>
    <x v="1"/>
    <x v="0"/>
    <x v="0"/>
    <s v="GNR_ENG_NGAS_BP_E-45"/>
    <x v="2"/>
    <x v="1"/>
    <n v="5.0999999999999996"/>
    <n v="1241"/>
    <n v="4467.6000000000004"/>
  </r>
  <r>
    <x v="0"/>
    <x v="0"/>
    <x v="0"/>
    <x v="0"/>
    <x v="0"/>
    <x v="7"/>
    <x v="1"/>
    <x v="0"/>
    <x v="0"/>
    <s v="GNR_ENG_NGAS_BP_E-45"/>
    <x v="2"/>
    <x v="2"/>
    <n v="5.0999999999999996"/>
    <n v="1241"/>
    <n v="4467.6000000000004"/>
  </r>
  <r>
    <x v="0"/>
    <x v="0"/>
    <x v="0"/>
    <x v="0"/>
    <x v="0"/>
    <x v="7"/>
    <x v="1"/>
    <x v="0"/>
    <x v="0"/>
    <s v="GNR_ENG_NGAS_BP_E-45"/>
    <x v="2"/>
    <x v="11"/>
    <n v="5.0999999999999996"/>
    <n v="1241"/>
    <n v="4467.6000000000004"/>
  </r>
  <r>
    <x v="0"/>
    <x v="0"/>
    <x v="0"/>
    <x v="0"/>
    <x v="0"/>
    <x v="7"/>
    <x v="1"/>
    <x v="0"/>
    <x v="0"/>
    <s v="GNR_ENG_NGAS_BP_E-45"/>
    <x v="1"/>
    <x v="3"/>
    <n v="5.0999999999999996"/>
    <n v="1241"/>
    <n v="4467.6000000000004"/>
  </r>
  <r>
    <x v="0"/>
    <x v="0"/>
    <x v="0"/>
    <x v="0"/>
    <x v="0"/>
    <x v="7"/>
    <x v="1"/>
    <x v="0"/>
    <x v="0"/>
    <s v="GNR_ENG_NGAS_BP_E-45"/>
    <x v="1"/>
    <x v="10"/>
    <n v="5.0999999999999996"/>
    <n v="1241"/>
    <n v="4467.6000000000004"/>
  </r>
  <r>
    <x v="0"/>
    <x v="0"/>
    <x v="0"/>
    <x v="0"/>
    <x v="0"/>
    <x v="7"/>
    <x v="1"/>
    <x v="0"/>
    <x v="0"/>
    <s v="GNR_ENG_NGAS_BP_E-45"/>
    <x v="1"/>
    <x v="4"/>
    <n v="5.0999999999999996"/>
    <n v="1241"/>
    <n v="4467.6000000000004"/>
  </r>
  <r>
    <x v="0"/>
    <x v="0"/>
    <x v="0"/>
    <x v="0"/>
    <x v="0"/>
    <x v="7"/>
    <x v="1"/>
    <x v="0"/>
    <x v="0"/>
    <s v="GNR_ENG_NGAS_BP_E-45"/>
    <x v="1"/>
    <x v="6"/>
    <n v="5.0999999999999996"/>
    <n v="1241"/>
    <n v="4467.6000000000004"/>
  </r>
  <r>
    <x v="0"/>
    <x v="0"/>
    <x v="0"/>
    <x v="0"/>
    <x v="0"/>
    <x v="7"/>
    <x v="1"/>
    <x v="0"/>
    <x v="0"/>
    <s v="GNR_ENG_NGAS_BP_E-45"/>
    <x v="1"/>
    <x v="7"/>
    <n v="5.0999999999999996"/>
    <n v="1241"/>
    <n v="4467.6000000000004"/>
  </r>
  <r>
    <x v="0"/>
    <x v="0"/>
    <x v="0"/>
    <x v="0"/>
    <x v="0"/>
    <x v="7"/>
    <x v="1"/>
    <x v="0"/>
    <x v="0"/>
    <s v="GNR_ENG_NGAS_BP_E-45"/>
    <x v="1"/>
    <x v="0"/>
    <n v="5.0999999999999996"/>
    <n v="1241"/>
    <n v="4467.6000000000004"/>
  </r>
  <r>
    <x v="0"/>
    <x v="0"/>
    <x v="0"/>
    <x v="0"/>
    <x v="0"/>
    <x v="7"/>
    <x v="1"/>
    <x v="0"/>
    <x v="0"/>
    <s v="GNR_ENG_NGAS_BP_E-45"/>
    <x v="1"/>
    <x v="1"/>
    <n v="5.0999999999999996"/>
    <n v="1241"/>
    <n v="4467.6000000000004"/>
  </r>
  <r>
    <x v="0"/>
    <x v="0"/>
    <x v="0"/>
    <x v="0"/>
    <x v="0"/>
    <x v="7"/>
    <x v="1"/>
    <x v="0"/>
    <x v="0"/>
    <s v="GNR_ENG_NGAS_BP_E-45"/>
    <x v="1"/>
    <x v="2"/>
    <n v="5.0999999999999996"/>
    <n v="1241"/>
    <n v="4467.6000000000004"/>
  </r>
  <r>
    <x v="0"/>
    <x v="0"/>
    <x v="0"/>
    <x v="0"/>
    <x v="0"/>
    <x v="7"/>
    <x v="1"/>
    <x v="0"/>
    <x v="0"/>
    <s v="GNR_ENG_NGAS_BP_E-45"/>
    <x v="1"/>
    <x v="5"/>
    <n v="5.0999999999999996"/>
    <n v="1241"/>
    <n v="4467.6000000000004"/>
  </r>
  <r>
    <x v="0"/>
    <x v="0"/>
    <x v="0"/>
    <x v="0"/>
    <x v="0"/>
    <x v="7"/>
    <x v="1"/>
    <x v="0"/>
    <x v="0"/>
    <s v="GNR_ENG_NGAS_BP_E-46"/>
    <x v="0"/>
    <x v="3"/>
    <n v="1.82"/>
    <n v="442.86666666666702"/>
    <n v="1594.32"/>
  </r>
  <r>
    <x v="0"/>
    <x v="0"/>
    <x v="0"/>
    <x v="0"/>
    <x v="0"/>
    <x v="7"/>
    <x v="1"/>
    <x v="0"/>
    <x v="0"/>
    <s v="GNR_ENG_NGAS_BP_E-46"/>
    <x v="0"/>
    <x v="4"/>
    <n v="1.82"/>
    <n v="442.86666666666702"/>
    <n v="1594.32"/>
  </r>
  <r>
    <x v="0"/>
    <x v="0"/>
    <x v="0"/>
    <x v="0"/>
    <x v="0"/>
    <x v="7"/>
    <x v="1"/>
    <x v="0"/>
    <x v="0"/>
    <s v="GNR_ENG_NGAS_BP_E-46"/>
    <x v="0"/>
    <x v="7"/>
    <n v="1.82"/>
    <n v="442.86666666666702"/>
    <n v="1594.32"/>
  </r>
  <r>
    <x v="0"/>
    <x v="0"/>
    <x v="0"/>
    <x v="0"/>
    <x v="0"/>
    <x v="7"/>
    <x v="1"/>
    <x v="0"/>
    <x v="0"/>
    <s v="GNR_ENG_NGAS_BP_E-46"/>
    <x v="0"/>
    <x v="0"/>
    <n v="1.82"/>
    <n v="442.86666666666702"/>
    <n v="1594.32"/>
  </r>
  <r>
    <x v="0"/>
    <x v="0"/>
    <x v="0"/>
    <x v="0"/>
    <x v="0"/>
    <x v="7"/>
    <x v="1"/>
    <x v="0"/>
    <x v="0"/>
    <s v="GNR_ENG_NGAS_BP_E-46"/>
    <x v="0"/>
    <x v="1"/>
    <n v="1.82"/>
    <n v="442.86666666666702"/>
    <n v="1594.32"/>
  </r>
  <r>
    <x v="0"/>
    <x v="0"/>
    <x v="0"/>
    <x v="0"/>
    <x v="0"/>
    <x v="7"/>
    <x v="1"/>
    <x v="0"/>
    <x v="0"/>
    <s v="GNR_ENG_NGAS_BP_E-46"/>
    <x v="0"/>
    <x v="2"/>
    <n v="1.82"/>
    <n v="442.86666666666702"/>
    <n v="1594.32"/>
  </r>
  <r>
    <x v="0"/>
    <x v="0"/>
    <x v="0"/>
    <x v="0"/>
    <x v="0"/>
    <x v="7"/>
    <x v="1"/>
    <x v="0"/>
    <x v="0"/>
    <s v="GNR_ENG_NGAS_BP_E-46"/>
    <x v="0"/>
    <x v="5"/>
    <n v="1.82"/>
    <n v="442.86666666666702"/>
    <n v="1594.32"/>
  </r>
  <r>
    <x v="0"/>
    <x v="0"/>
    <x v="0"/>
    <x v="0"/>
    <x v="0"/>
    <x v="7"/>
    <x v="1"/>
    <x v="0"/>
    <x v="0"/>
    <s v="GNR_ENG_NGAS_BP_E-46"/>
    <x v="0"/>
    <x v="11"/>
    <n v="1.82"/>
    <n v="442.86666666666702"/>
    <n v="1594.32"/>
  </r>
  <r>
    <x v="0"/>
    <x v="0"/>
    <x v="0"/>
    <x v="0"/>
    <x v="0"/>
    <x v="7"/>
    <x v="1"/>
    <x v="0"/>
    <x v="0"/>
    <s v="GNR_ENG_NGAS_BP_E-46"/>
    <x v="0"/>
    <x v="8"/>
    <n v="1.82"/>
    <n v="442.86666666666702"/>
    <n v="1594.32"/>
  </r>
  <r>
    <x v="0"/>
    <x v="0"/>
    <x v="0"/>
    <x v="0"/>
    <x v="0"/>
    <x v="7"/>
    <x v="1"/>
    <x v="0"/>
    <x v="0"/>
    <s v="GNR_ENG_NGAS_BP_E-46"/>
    <x v="2"/>
    <x v="3"/>
    <n v="1.82"/>
    <n v="442.86666666666702"/>
    <n v="1594.32"/>
  </r>
  <r>
    <x v="0"/>
    <x v="0"/>
    <x v="0"/>
    <x v="0"/>
    <x v="0"/>
    <x v="7"/>
    <x v="1"/>
    <x v="0"/>
    <x v="0"/>
    <s v="GNR_ENG_NGAS_BP_E-46"/>
    <x v="2"/>
    <x v="10"/>
    <n v="1.82"/>
    <n v="442.86666666666702"/>
    <n v="1594.32"/>
  </r>
  <r>
    <x v="0"/>
    <x v="0"/>
    <x v="0"/>
    <x v="0"/>
    <x v="0"/>
    <x v="7"/>
    <x v="1"/>
    <x v="0"/>
    <x v="0"/>
    <s v="GNR_ENG_NGAS_BP_E-46"/>
    <x v="2"/>
    <x v="4"/>
    <n v="1.82"/>
    <n v="442.86666666666702"/>
    <n v="1594.32"/>
  </r>
  <r>
    <x v="0"/>
    <x v="0"/>
    <x v="0"/>
    <x v="0"/>
    <x v="0"/>
    <x v="7"/>
    <x v="1"/>
    <x v="0"/>
    <x v="0"/>
    <s v="GNR_ENG_NGAS_BP_E-46"/>
    <x v="2"/>
    <x v="1"/>
    <n v="1.82"/>
    <n v="442.86666666666702"/>
    <n v="1594.32"/>
  </r>
  <r>
    <x v="0"/>
    <x v="0"/>
    <x v="0"/>
    <x v="0"/>
    <x v="0"/>
    <x v="7"/>
    <x v="1"/>
    <x v="0"/>
    <x v="0"/>
    <s v="GNR_ENG_NGAS_BP_E-46"/>
    <x v="2"/>
    <x v="2"/>
    <n v="1.82"/>
    <n v="442.86666666666702"/>
    <n v="1594.32"/>
  </r>
  <r>
    <x v="0"/>
    <x v="0"/>
    <x v="0"/>
    <x v="0"/>
    <x v="0"/>
    <x v="7"/>
    <x v="1"/>
    <x v="0"/>
    <x v="0"/>
    <s v="GNR_ENG_NGAS_BP_E-46"/>
    <x v="2"/>
    <x v="11"/>
    <n v="1.82"/>
    <n v="442.86666666666702"/>
    <n v="1594.32"/>
  </r>
  <r>
    <x v="0"/>
    <x v="0"/>
    <x v="0"/>
    <x v="0"/>
    <x v="0"/>
    <x v="7"/>
    <x v="1"/>
    <x v="0"/>
    <x v="0"/>
    <s v="GNR_ENG_NGAS_BP_E-46"/>
    <x v="1"/>
    <x v="3"/>
    <n v="1.82"/>
    <n v="442.86666666666702"/>
    <n v="1594.32"/>
  </r>
  <r>
    <x v="0"/>
    <x v="0"/>
    <x v="0"/>
    <x v="0"/>
    <x v="0"/>
    <x v="7"/>
    <x v="1"/>
    <x v="0"/>
    <x v="0"/>
    <s v="GNR_ENG_NGAS_BP_E-46"/>
    <x v="1"/>
    <x v="10"/>
    <n v="1.82"/>
    <n v="442.86666666666702"/>
    <n v="1594.32"/>
  </r>
  <r>
    <x v="0"/>
    <x v="0"/>
    <x v="0"/>
    <x v="0"/>
    <x v="0"/>
    <x v="7"/>
    <x v="1"/>
    <x v="0"/>
    <x v="0"/>
    <s v="GNR_ENG_NGAS_BP_E-46"/>
    <x v="1"/>
    <x v="4"/>
    <n v="1.82"/>
    <n v="442.86666666666702"/>
    <n v="1594.32"/>
  </r>
  <r>
    <x v="0"/>
    <x v="0"/>
    <x v="0"/>
    <x v="0"/>
    <x v="0"/>
    <x v="7"/>
    <x v="1"/>
    <x v="0"/>
    <x v="0"/>
    <s v="GNR_ENG_NGAS_BP_E-46"/>
    <x v="1"/>
    <x v="6"/>
    <n v="1.82"/>
    <n v="442.86666666666702"/>
    <n v="1594.32"/>
  </r>
  <r>
    <x v="0"/>
    <x v="0"/>
    <x v="0"/>
    <x v="0"/>
    <x v="0"/>
    <x v="7"/>
    <x v="1"/>
    <x v="0"/>
    <x v="0"/>
    <s v="GNR_ENG_NGAS_BP_E-46"/>
    <x v="1"/>
    <x v="7"/>
    <n v="1.82"/>
    <n v="442.86666666666702"/>
    <n v="1594.32"/>
  </r>
  <r>
    <x v="0"/>
    <x v="0"/>
    <x v="0"/>
    <x v="0"/>
    <x v="0"/>
    <x v="7"/>
    <x v="1"/>
    <x v="0"/>
    <x v="0"/>
    <s v="GNR_ENG_NGAS_BP_E-46"/>
    <x v="1"/>
    <x v="0"/>
    <n v="1.82"/>
    <n v="442.86666666666702"/>
    <n v="1594.32"/>
  </r>
  <r>
    <x v="0"/>
    <x v="0"/>
    <x v="0"/>
    <x v="0"/>
    <x v="0"/>
    <x v="7"/>
    <x v="1"/>
    <x v="0"/>
    <x v="0"/>
    <s v="GNR_ENG_NGAS_BP_E-46"/>
    <x v="1"/>
    <x v="1"/>
    <n v="1.82"/>
    <n v="442.86666666666702"/>
    <n v="1594.32"/>
  </r>
  <r>
    <x v="0"/>
    <x v="0"/>
    <x v="0"/>
    <x v="0"/>
    <x v="0"/>
    <x v="7"/>
    <x v="1"/>
    <x v="0"/>
    <x v="0"/>
    <s v="GNR_ENG_NGAS_BP_E-46"/>
    <x v="1"/>
    <x v="2"/>
    <n v="1.82"/>
    <n v="442.86666666666702"/>
    <n v="1594.32"/>
  </r>
  <r>
    <x v="0"/>
    <x v="0"/>
    <x v="0"/>
    <x v="0"/>
    <x v="0"/>
    <x v="7"/>
    <x v="1"/>
    <x v="0"/>
    <x v="0"/>
    <s v="GNR_ENG_NGAS_BP_E-46"/>
    <x v="1"/>
    <x v="5"/>
    <n v="1.82"/>
    <n v="442.86666666666702"/>
    <n v="1594.32"/>
  </r>
  <r>
    <x v="0"/>
    <x v="0"/>
    <x v="0"/>
    <x v="0"/>
    <x v="0"/>
    <x v="7"/>
    <x v="5"/>
    <x v="1"/>
    <x v="1"/>
    <s v="GNR_HP_ELEC_COP-300"/>
    <x v="0"/>
    <x v="9"/>
    <n v="-0.5"/>
    <n v="-121.666666666667"/>
    <n v="-438"/>
  </r>
  <r>
    <x v="0"/>
    <x v="0"/>
    <x v="0"/>
    <x v="0"/>
    <x v="0"/>
    <x v="7"/>
    <x v="5"/>
    <x v="1"/>
    <x v="1"/>
    <s v="GNR_HP_ELEC_COP-300"/>
    <x v="0"/>
    <x v="3"/>
    <n v="-0.5"/>
    <n v="-121.666666666667"/>
    <n v="-438"/>
  </r>
  <r>
    <x v="0"/>
    <x v="0"/>
    <x v="0"/>
    <x v="0"/>
    <x v="0"/>
    <x v="7"/>
    <x v="5"/>
    <x v="1"/>
    <x v="1"/>
    <s v="GNR_HP_ELEC_COP-300"/>
    <x v="0"/>
    <x v="10"/>
    <n v="-0.5"/>
    <n v="-121.666666666667"/>
    <n v="-438"/>
  </r>
  <r>
    <x v="0"/>
    <x v="0"/>
    <x v="0"/>
    <x v="0"/>
    <x v="0"/>
    <x v="7"/>
    <x v="5"/>
    <x v="1"/>
    <x v="1"/>
    <s v="GNR_HP_ELEC_COP-300"/>
    <x v="0"/>
    <x v="4"/>
    <n v="-0.5"/>
    <n v="-121.666666666667"/>
    <n v="-438"/>
  </r>
  <r>
    <x v="0"/>
    <x v="0"/>
    <x v="0"/>
    <x v="0"/>
    <x v="0"/>
    <x v="7"/>
    <x v="5"/>
    <x v="1"/>
    <x v="1"/>
    <s v="GNR_HP_ELEC_COP-300"/>
    <x v="0"/>
    <x v="6"/>
    <n v="-0.5"/>
    <n v="-121.666666666667"/>
    <n v="-438"/>
  </r>
  <r>
    <x v="0"/>
    <x v="0"/>
    <x v="0"/>
    <x v="0"/>
    <x v="0"/>
    <x v="7"/>
    <x v="5"/>
    <x v="1"/>
    <x v="1"/>
    <s v="GNR_HP_ELEC_COP-300"/>
    <x v="0"/>
    <x v="11"/>
    <n v="-0.5"/>
    <n v="-121.666666666667"/>
    <n v="-438"/>
  </r>
  <r>
    <x v="0"/>
    <x v="0"/>
    <x v="0"/>
    <x v="0"/>
    <x v="0"/>
    <x v="7"/>
    <x v="5"/>
    <x v="1"/>
    <x v="1"/>
    <s v="GNR_HP_ELEC_COP-300"/>
    <x v="2"/>
    <x v="9"/>
    <n v="-0.5"/>
    <n v="-121.666666666667"/>
    <n v="-438"/>
  </r>
  <r>
    <x v="0"/>
    <x v="0"/>
    <x v="0"/>
    <x v="0"/>
    <x v="0"/>
    <x v="7"/>
    <x v="5"/>
    <x v="1"/>
    <x v="1"/>
    <s v="GNR_HP_ELEC_COP-300"/>
    <x v="2"/>
    <x v="6"/>
    <n v="-0.5"/>
    <n v="-121.666666666667"/>
    <n v="-438"/>
  </r>
  <r>
    <x v="0"/>
    <x v="0"/>
    <x v="0"/>
    <x v="0"/>
    <x v="0"/>
    <x v="7"/>
    <x v="5"/>
    <x v="1"/>
    <x v="1"/>
    <s v="GNR_HP_ELEC_COP-300"/>
    <x v="2"/>
    <x v="7"/>
    <n v="-0.5"/>
    <n v="-121.666666666667"/>
    <n v="-438"/>
  </r>
  <r>
    <x v="0"/>
    <x v="0"/>
    <x v="0"/>
    <x v="0"/>
    <x v="0"/>
    <x v="7"/>
    <x v="5"/>
    <x v="1"/>
    <x v="1"/>
    <s v="GNR_HP_ELEC_COP-300"/>
    <x v="2"/>
    <x v="0"/>
    <n v="-0.5"/>
    <n v="-121.666666666667"/>
    <n v="-438"/>
  </r>
  <r>
    <x v="0"/>
    <x v="0"/>
    <x v="0"/>
    <x v="0"/>
    <x v="0"/>
    <x v="7"/>
    <x v="5"/>
    <x v="1"/>
    <x v="1"/>
    <s v="GNR_HP_ELEC_COP-300"/>
    <x v="1"/>
    <x v="9"/>
    <n v="-0.5"/>
    <n v="-121.666666666667"/>
    <n v="-438"/>
  </r>
  <r>
    <x v="0"/>
    <x v="0"/>
    <x v="0"/>
    <x v="0"/>
    <x v="0"/>
    <x v="7"/>
    <x v="5"/>
    <x v="1"/>
    <x v="1"/>
    <s v="GNR_HP_ELEC_COP-300"/>
    <x v="1"/>
    <x v="11"/>
    <n v="-0.5"/>
    <n v="-121.666666666667"/>
    <n v="-438"/>
  </r>
  <r>
    <x v="0"/>
    <x v="0"/>
    <x v="0"/>
    <x v="0"/>
    <x v="0"/>
    <x v="7"/>
    <x v="5"/>
    <x v="1"/>
    <x v="1"/>
    <s v="GNR_HP_ELEC_COP-300"/>
    <x v="1"/>
    <x v="8"/>
    <n v="-0.5"/>
    <n v="-121.666666666667"/>
    <n v="-438"/>
  </r>
  <r>
    <x v="0"/>
    <x v="0"/>
    <x v="0"/>
    <x v="0"/>
    <x v="0"/>
    <x v="7"/>
    <x v="5"/>
    <x v="1"/>
    <x v="1"/>
    <s v="GNR_HP_ELEC_COP-350"/>
    <x v="0"/>
    <x v="9"/>
    <n v="-0.625428571428571"/>
    <n v="-152.18761904761899"/>
    <n v="-547.87542857142898"/>
  </r>
  <r>
    <x v="0"/>
    <x v="0"/>
    <x v="0"/>
    <x v="0"/>
    <x v="0"/>
    <x v="7"/>
    <x v="5"/>
    <x v="1"/>
    <x v="1"/>
    <s v="GNR_HP_ELEC_COP-350"/>
    <x v="0"/>
    <x v="3"/>
    <n v="-0.625428571428571"/>
    <n v="-152.18761904761899"/>
    <n v="-547.87542857142898"/>
  </r>
  <r>
    <x v="0"/>
    <x v="0"/>
    <x v="0"/>
    <x v="0"/>
    <x v="0"/>
    <x v="7"/>
    <x v="5"/>
    <x v="1"/>
    <x v="1"/>
    <s v="GNR_HP_ELEC_COP-350"/>
    <x v="0"/>
    <x v="10"/>
    <n v="-0.625428571428571"/>
    <n v="-152.18761904761899"/>
    <n v="-547.87542857142898"/>
  </r>
  <r>
    <x v="0"/>
    <x v="0"/>
    <x v="0"/>
    <x v="0"/>
    <x v="0"/>
    <x v="7"/>
    <x v="5"/>
    <x v="1"/>
    <x v="1"/>
    <s v="GNR_HP_ELEC_COP-350"/>
    <x v="0"/>
    <x v="4"/>
    <n v="-0.625428571428571"/>
    <n v="-152.18761904761899"/>
    <n v="-547.87542857142898"/>
  </r>
  <r>
    <x v="0"/>
    <x v="0"/>
    <x v="0"/>
    <x v="0"/>
    <x v="0"/>
    <x v="7"/>
    <x v="5"/>
    <x v="1"/>
    <x v="1"/>
    <s v="GNR_HP_ELEC_COP-350"/>
    <x v="0"/>
    <x v="6"/>
    <n v="-0.625428571428571"/>
    <n v="-152.18761904761899"/>
    <n v="-547.87542857142898"/>
  </r>
  <r>
    <x v="0"/>
    <x v="0"/>
    <x v="0"/>
    <x v="0"/>
    <x v="0"/>
    <x v="7"/>
    <x v="5"/>
    <x v="1"/>
    <x v="1"/>
    <s v="GNR_HP_ELEC_COP-350"/>
    <x v="0"/>
    <x v="7"/>
    <n v="-0.625428571428571"/>
    <n v="-152.18761904761899"/>
    <n v="-547.87542857142898"/>
  </r>
  <r>
    <x v="0"/>
    <x v="0"/>
    <x v="0"/>
    <x v="0"/>
    <x v="0"/>
    <x v="7"/>
    <x v="5"/>
    <x v="1"/>
    <x v="1"/>
    <s v="GNR_HP_ELEC_COP-350"/>
    <x v="0"/>
    <x v="5"/>
    <n v="-0.625428571428571"/>
    <n v="-152.18761904761899"/>
    <n v="-547.87542857142898"/>
  </r>
  <r>
    <x v="0"/>
    <x v="0"/>
    <x v="0"/>
    <x v="0"/>
    <x v="0"/>
    <x v="7"/>
    <x v="5"/>
    <x v="1"/>
    <x v="1"/>
    <s v="GNR_HP_ELEC_COP-350"/>
    <x v="0"/>
    <x v="11"/>
    <n v="-0.625428571428571"/>
    <n v="-152.18761904761899"/>
    <n v="-547.87542857142898"/>
  </r>
  <r>
    <x v="0"/>
    <x v="0"/>
    <x v="0"/>
    <x v="0"/>
    <x v="0"/>
    <x v="7"/>
    <x v="5"/>
    <x v="1"/>
    <x v="1"/>
    <s v="GNR_HP_ELEC_COP-350"/>
    <x v="0"/>
    <x v="8"/>
    <n v="-0.625428571428571"/>
    <n v="-152.18761904761899"/>
    <n v="-547.87542857142898"/>
  </r>
  <r>
    <x v="0"/>
    <x v="0"/>
    <x v="0"/>
    <x v="0"/>
    <x v="0"/>
    <x v="7"/>
    <x v="5"/>
    <x v="1"/>
    <x v="1"/>
    <s v="GNR_HP_ELEC_COP-350"/>
    <x v="2"/>
    <x v="9"/>
    <n v="-0.625428571428571"/>
    <n v="-152.18761904761899"/>
    <n v="-547.87542857142898"/>
  </r>
  <r>
    <x v="0"/>
    <x v="0"/>
    <x v="0"/>
    <x v="0"/>
    <x v="0"/>
    <x v="7"/>
    <x v="5"/>
    <x v="1"/>
    <x v="1"/>
    <s v="GNR_HP_ELEC_COP-350"/>
    <x v="2"/>
    <x v="3"/>
    <n v="-0.625428571428571"/>
    <n v="-152.18761904761899"/>
    <n v="-547.87542857142898"/>
  </r>
  <r>
    <x v="0"/>
    <x v="0"/>
    <x v="0"/>
    <x v="0"/>
    <x v="0"/>
    <x v="7"/>
    <x v="5"/>
    <x v="1"/>
    <x v="1"/>
    <s v="GNR_HP_ELEC_COP-350"/>
    <x v="2"/>
    <x v="10"/>
    <n v="-0.625428571428571"/>
    <n v="-152.18761904761899"/>
    <n v="-547.87542857142898"/>
  </r>
  <r>
    <x v="0"/>
    <x v="0"/>
    <x v="0"/>
    <x v="0"/>
    <x v="0"/>
    <x v="7"/>
    <x v="5"/>
    <x v="1"/>
    <x v="1"/>
    <s v="GNR_HP_ELEC_COP-350"/>
    <x v="2"/>
    <x v="4"/>
    <n v="-0.625428571428571"/>
    <n v="-152.18761904761899"/>
    <n v="-547.87542857142898"/>
  </r>
  <r>
    <x v="0"/>
    <x v="0"/>
    <x v="0"/>
    <x v="0"/>
    <x v="0"/>
    <x v="7"/>
    <x v="5"/>
    <x v="1"/>
    <x v="1"/>
    <s v="GNR_HP_ELEC_COP-350"/>
    <x v="2"/>
    <x v="6"/>
    <n v="-0.625428571428571"/>
    <n v="-152.18761904761899"/>
    <n v="-547.87542857142898"/>
  </r>
  <r>
    <x v="0"/>
    <x v="0"/>
    <x v="0"/>
    <x v="0"/>
    <x v="0"/>
    <x v="7"/>
    <x v="5"/>
    <x v="1"/>
    <x v="1"/>
    <s v="GNR_HP_ELEC_COP-350"/>
    <x v="2"/>
    <x v="7"/>
    <n v="-0.625428571428571"/>
    <n v="-152.18761904761899"/>
    <n v="-547.87542857142898"/>
  </r>
  <r>
    <x v="0"/>
    <x v="0"/>
    <x v="0"/>
    <x v="0"/>
    <x v="0"/>
    <x v="7"/>
    <x v="5"/>
    <x v="1"/>
    <x v="1"/>
    <s v="GNR_HP_ELEC_COP-350"/>
    <x v="2"/>
    <x v="0"/>
    <n v="-0.625428571428571"/>
    <n v="-152.18761904761899"/>
    <n v="-547.87542857142898"/>
  </r>
  <r>
    <x v="0"/>
    <x v="0"/>
    <x v="0"/>
    <x v="0"/>
    <x v="0"/>
    <x v="7"/>
    <x v="5"/>
    <x v="1"/>
    <x v="1"/>
    <s v="GNR_HP_ELEC_COP-350"/>
    <x v="2"/>
    <x v="1"/>
    <n v="-0.625428571428571"/>
    <n v="-152.18761904761899"/>
    <n v="-547.87542857142898"/>
  </r>
  <r>
    <x v="0"/>
    <x v="0"/>
    <x v="0"/>
    <x v="0"/>
    <x v="0"/>
    <x v="7"/>
    <x v="5"/>
    <x v="1"/>
    <x v="1"/>
    <s v="GNR_HP_ELEC_COP-350"/>
    <x v="2"/>
    <x v="2"/>
    <n v="-0.625428571428571"/>
    <n v="-152.18761904761899"/>
    <n v="-547.87542857142898"/>
  </r>
  <r>
    <x v="0"/>
    <x v="0"/>
    <x v="0"/>
    <x v="0"/>
    <x v="0"/>
    <x v="7"/>
    <x v="5"/>
    <x v="1"/>
    <x v="1"/>
    <s v="GNR_HP_ELEC_COP-350"/>
    <x v="2"/>
    <x v="5"/>
    <n v="-0.625428571428571"/>
    <n v="-152.18761904761899"/>
    <n v="-547.87542857142898"/>
  </r>
  <r>
    <x v="0"/>
    <x v="0"/>
    <x v="0"/>
    <x v="0"/>
    <x v="0"/>
    <x v="7"/>
    <x v="5"/>
    <x v="1"/>
    <x v="1"/>
    <s v="GNR_HP_ELEC_COP-350"/>
    <x v="2"/>
    <x v="11"/>
    <n v="-0.625428571428571"/>
    <n v="-152.18761904761899"/>
    <n v="-547.87542857142898"/>
  </r>
  <r>
    <x v="0"/>
    <x v="0"/>
    <x v="0"/>
    <x v="0"/>
    <x v="0"/>
    <x v="7"/>
    <x v="5"/>
    <x v="1"/>
    <x v="1"/>
    <s v="GNR_HP_ELEC_COP-350"/>
    <x v="2"/>
    <x v="8"/>
    <n v="-0.625428571428571"/>
    <n v="-152.18761904761899"/>
    <n v="-547.87542857142898"/>
  </r>
  <r>
    <x v="0"/>
    <x v="0"/>
    <x v="0"/>
    <x v="0"/>
    <x v="0"/>
    <x v="7"/>
    <x v="5"/>
    <x v="1"/>
    <x v="1"/>
    <s v="GNR_HP_ELEC_COP-350"/>
    <x v="1"/>
    <x v="9"/>
    <n v="-0.625428571428571"/>
    <n v="-152.18761904761899"/>
    <n v="-547.87542857142898"/>
  </r>
  <r>
    <x v="0"/>
    <x v="0"/>
    <x v="0"/>
    <x v="0"/>
    <x v="0"/>
    <x v="7"/>
    <x v="5"/>
    <x v="1"/>
    <x v="1"/>
    <s v="GNR_HP_ELEC_COP-350"/>
    <x v="1"/>
    <x v="10"/>
    <n v="-0.625428571428571"/>
    <n v="-152.18761904761899"/>
    <n v="-547.87542857142898"/>
  </r>
  <r>
    <x v="0"/>
    <x v="0"/>
    <x v="0"/>
    <x v="0"/>
    <x v="0"/>
    <x v="7"/>
    <x v="5"/>
    <x v="1"/>
    <x v="1"/>
    <s v="GNR_HP_ELEC_COP-350"/>
    <x v="1"/>
    <x v="11"/>
    <n v="-0.625428571428571"/>
    <n v="-152.18761904761899"/>
    <n v="-547.87542857142898"/>
  </r>
  <r>
    <x v="0"/>
    <x v="0"/>
    <x v="0"/>
    <x v="0"/>
    <x v="0"/>
    <x v="7"/>
    <x v="5"/>
    <x v="1"/>
    <x v="1"/>
    <s v="GNR_HP_ELEC_COP-350"/>
    <x v="1"/>
    <x v="8"/>
    <n v="-0.625428571428571"/>
    <n v="-152.18761904761899"/>
    <n v="-547.87542857142898"/>
  </r>
  <r>
    <x v="0"/>
    <x v="0"/>
    <x v="0"/>
    <x v="0"/>
    <x v="0"/>
    <x v="7"/>
    <x v="5"/>
    <x v="1"/>
    <x v="1"/>
    <s v="GNR_HP_ELEC_COP-400"/>
    <x v="0"/>
    <x v="9"/>
    <n v="-0.51200000000000001"/>
    <n v="-124.586666666667"/>
    <n v="-448.512"/>
  </r>
  <r>
    <x v="0"/>
    <x v="0"/>
    <x v="0"/>
    <x v="0"/>
    <x v="0"/>
    <x v="7"/>
    <x v="5"/>
    <x v="1"/>
    <x v="1"/>
    <s v="GNR_HP_ELEC_COP-400"/>
    <x v="0"/>
    <x v="3"/>
    <n v="-0.51200000000000001"/>
    <n v="-124.586666666667"/>
    <n v="-448.512"/>
  </r>
  <r>
    <x v="0"/>
    <x v="0"/>
    <x v="0"/>
    <x v="0"/>
    <x v="0"/>
    <x v="7"/>
    <x v="5"/>
    <x v="1"/>
    <x v="1"/>
    <s v="GNR_HP_ELEC_COP-400"/>
    <x v="0"/>
    <x v="10"/>
    <n v="-0.51200000000000001"/>
    <n v="-124.586666666667"/>
    <n v="-448.512"/>
  </r>
  <r>
    <x v="0"/>
    <x v="0"/>
    <x v="0"/>
    <x v="0"/>
    <x v="0"/>
    <x v="7"/>
    <x v="5"/>
    <x v="1"/>
    <x v="1"/>
    <s v="GNR_HP_ELEC_COP-400"/>
    <x v="0"/>
    <x v="4"/>
    <n v="-0.51200000000000001"/>
    <n v="-124.586666666667"/>
    <n v="-448.512"/>
  </r>
  <r>
    <x v="0"/>
    <x v="0"/>
    <x v="0"/>
    <x v="0"/>
    <x v="0"/>
    <x v="7"/>
    <x v="5"/>
    <x v="1"/>
    <x v="1"/>
    <s v="GNR_HP_ELEC_COP-400"/>
    <x v="0"/>
    <x v="6"/>
    <n v="-0.51200000000000001"/>
    <n v="-124.586666666667"/>
    <n v="-448.512"/>
  </r>
  <r>
    <x v="0"/>
    <x v="0"/>
    <x v="0"/>
    <x v="0"/>
    <x v="0"/>
    <x v="7"/>
    <x v="5"/>
    <x v="1"/>
    <x v="1"/>
    <s v="GNR_HP_ELEC_COP-400"/>
    <x v="0"/>
    <x v="7"/>
    <n v="-0.51200000000000001"/>
    <n v="-124.586666666667"/>
    <n v="-448.512"/>
  </r>
  <r>
    <x v="0"/>
    <x v="0"/>
    <x v="0"/>
    <x v="0"/>
    <x v="0"/>
    <x v="7"/>
    <x v="5"/>
    <x v="1"/>
    <x v="1"/>
    <s v="GNR_HP_ELEC_COP-400"/>
    <x v="0"/>
    <x v="5"/>
    <n v="-0.51200000000000001"/>
    <n v="-124.586666666667"/>
    <n v="-448.512"/>
  </r>
  <r>
    <x v="0"/>
    <x v="0"/>
    <x v="0"/>
    <x v="0"/>
    <x v="0"/>
    <x v="7"/>
    <x v="5"/>
    <x v="1"/>
    <x v="1"/>
    <s v="GNR_HP_ELEC_COP-400"/>
    <x v="0"/>
    <x v="11"/>
    <n v="-0.51200000000000001"/>
    <n v="-124.586666666667"/>
    <n v="-448.512"/>
  </r>
  <r>
    <x v="0"/>
    <x v="0"/>
    <x v="0"/>
    <x v="0"/>
    <x v="0"/>
    <x v="7"/>
    <x v="5"/>
    <x v="1"/>
    <x v="1"/>
    <s v="GNR_HP_ELEC_COP-400"/>
    <x v="0"/>
    <x v="8"/>
    <n v="-0.51200000000000001"/>
    <n v="-124.586666666667"/>
    <n v="-448.512"/>
  </r>
  <r>
    <x v="0"/>
    <x v="0"/>
    <x v="0"/>
    <x v="0"/>
    <x v="0"/>
    <x v="7"/>
    <x v="5"/>
    <x v="1"/>
    <x v="1"/>
    <s v="GNR_HP_ELEC_COP-400"/>
    <x v="2"/>
    <x v="9"/>
    <n v="-0.51200000000000001"/>
    <n v="-124.586666666667"/>
    <n v="-448.512"/>
  </r>
  <r>
    <x v="0"/>
    <x v="0"/>
    <x v="0"/>
    <x v="0"/>
    <x v="0"/>
    <x v="7"/>
    <x v="5"/>
    <x v="1"/>
    <x v="1"/>
    <s v="GNR_HP_ELEC_COP-400"/>
    <x v="2"/>
    <x v="3"/>
    <n v="-0.51200000000000001"/>
    <n v="-124.586666666667"/>
    <n v="-448.512"/>
  </r>
  <r>
    <x v="0"/>
    <x v="0"/>
    <x v="0"/>
    <x v="0"/>
    <x v="0"/>
    <x v="7"/>
    <x v="5"/>
    <x v="1"/>
    <x v="1"/>
    <s v="GNR_HP_ELEC_COP-400"/>
    <x v="2"/>
    <x v="10"/>
    <n v="-0.51200000000000001"/>
    <n v="-124.586666666667"/>
    <n v="-448.512"/>
  </r>
  <r>
    <x v="0"/>
    <x v="0"/>
    <x v="0"/>
    <x v="0"/>
    <x v="0"/>
    <x v="7"/>
    <x v="5"/>
    <x v="1"/>
    <x v="1"/>
    <s v="GNR_HP_ELEC_COP-400"/>
    <x v="2"/>
    <x v="4"/>
    <n v="-0.51200000000000001"/>
    <n v="-124.586666666667"/>
    <n v="-448.512"/>
  </r>
  <r>
    <x v="0"/>
    <x v="0"/>
    <x v="0"/>
    <x v="0"/>
    <x v="0"/>
    <x v="7"/>
    <x v="5"/>
    <x v="1"/>
    <x v="1"/>
    <s v="GNR_HP_ELEC_COP-400"/>
    <x v="2"/>
    <x v="6"/>
    <n v="-0.51200000000000001"/>
    <n v="-124.586666666667"/>
    <n v="-448.512"/>
  </r>
  <r>
    <x v="0"/>
    <x v="0"/>
    <x v="0"/>
    <x v="0"/>
    <x v="0"/>
    <x v="7"/>
    <x v="5"/>
    <x v="1"/>
    <x v="1"/>
    <s v="GNR_HP_ELEC_COP-400"/>
    <x v="2"/>
    <x v="7"/>
    <n v="-0.51200000000000001"/>
    <n v="-124.586666666667"/>
    <n v="-448.512"/>
  </r>
  <r>
    <x v="0"/>
    <x v="0"/>
    <x v="0"/>
    <x v="0"/>
    <x v="0"/>
    <x v="7"/>
    <x v="5"/>
    <x v="1"/>
    <x v="1"/>
    <s v="GNR_HP_ELEC_COP-400"/>
    <x v="2"/>
    <x v="0"/>
    <n v="-0.51200000000000001"/>
    <n v="-124.586666666667"/>
    <n v="-448.512"/>
  </r>
  <r>
    <x v="0"/>
    <x v="0"/>
    <x v="0"/>
    <x v="0"/>
    <x v="0"/>
    <x v="7"/>
    <x v="5"/>
    <x v="1"/>
    <x v="1"/>
    <s v="GNR_HP_ELEC_COP-400"/>
    <x v="2"/>
    <x v="1"/>
    <n v="-0.51200000000000001"/>
    <n v="-124.586666666667"/>
    <n v="-448.512"/>
  </r>
  <r>
    <x v="0"/>
    <x v="0"/>
    <x v="0"/>
    <x v="0"/>
    <x v="0"/>
    <x v="7"/>
    <x v="5"/>
    <x v="1"/>
    <x v="1"/>
    <s v="GNR_HP_ELEC_COP-400"/>
    <x v="2"/>
    <x v="2"/>
    <n v="-0.51200000000000001"/>
    <n v="-124.586666666667"/>
    <n v="-448.512"/>
  </r>
  <r>
    <x v="0"/>
    <x v="0"/>
    <x v="0"/>
    <x v="0"/>
    <x v="0"/>
    <x v="7"/>
    <x v="5"/>
    <x v="1"/>
    <x v="1"/>
    <s v="GNR_HP_ELEC_COP-400"/>
    <x v="2"/>
    <x v="5"/>
    <n v="-0.51200000000000001"/>
    <n v="-124.586666666667"/>
    <n v="-448.512"/>
  </r>
  <r>
    <x v="0"/>
    <x v="0"/>
    <x v="0"/>
    <x v="0"/>
    <x v="0"/>
    <x v="7"/>
    <x v="5"/>
    <x v="1"/>
    <x v="1"/>
    <s v="GNR_HP_ELEC_COP-400"/>
    <x v="2"/>
    <x v="11"/>
    <n v="-0.51200000000000001"/>
    <n v="-124.586666666667"/>
    <n v="-448.512"/>
  </r>
  <r>
    <x v="0"/>
    <x v="0"/>
    <x v="0"/>
    <x v="0"/>
    <x v="0"/>
    <x v="7"/>
    <x v="5"/>
    <x v="1"/>
    <x v="1"/>
    <s v="GNR_HP_ELEC_COP-400"/>
    <x v="2"/>
    <x v="8"/>
    <n v="-0.51200000000000001"/>
    <n v="-124.586666666667"/>
    <n v="-448.512"/>
  </r>
  <r>
    <x v="0"/>
    <x v="0"/>
    <x v="0"/>
    <x v="0"/>
    <x v="0"/>
    <x v="7"/>
    <x v="5"/>
    <x v="1"/>
    <x v="1"/>
    <s v="GNR_HP_ELEC_COP-400"/>
    <x v="1"/>
    <x v="9"/>
    <n v="-0.51200000000000001"/>
    <n v="-124.586666666667"/>
    <n v="-448.512"/>
  </r>
  <r>
    <x v="0"/>
    <x v="0"/>
    <x v="0"/>
    <x v="0"/>
    <x v="0"/>
    <x v="7"/>
    <x v="5"/>
    <x v="1"/>
    <x v="1"/>
    <s v="GNR_HP_ELEC_COP-400"/>
    <x v="1"/>
    <x v="10"/>
    <n v="-0.51200000000000001"/>
    <n v="-124.586666666667"/>
    <n v="-448.512"/>
  </r>
  <r>
    <x v="0"/>
    <x v="0"/>
    <x v="0"/>
    <x v="0"/>
    <x v="0"/>
    <x v="7"/>
    <x v="5"/>
    <x v="1"/>
    <x v="1"/>
    <s v="GNR_HP_ELEC_COP-400"/>
    <x v="1"/>
    <x v="7"/>
    <n v="-0.51200000000000001"/>
    <n v="-124.586666666667"/>
    <n v="-448.512"/>
  </r>
  <r>
    <x v="0"/>
    <x v="0"/>
    <x v="0"/>
    <x v="0"/>
    <x v="0"/>
    <x v="7"/>
    <x v="5"/>
    <x v="1"/>
    <x v="1"/>
    <s v="GNR_HP_ELEC_COP-400"/>
    <x v="1"/>
    <x v="1"/>
    <n v="-0.51200000000000001"/>
    <n v="-124.586666666667"/>
    <n v="-448.512"/>
  </r>
  <r>
    <x v="0"/>
    <x v="0"/>
    <x v="0"/>
    <x v="0"/>
    <x v="0"/>
    <x v="7"/>
    <x v="5"/>
    <x v="1"/>
    <x v="1"/>
    <s v="GNR_HP_ELEC_COP-400"/>
    <x v="1"/>
    <x v="5"/>
    <n v="-0.51200000000000001"/>
    <n v="-124.586666666667"/>
    <n v="-448.512"/>
  </r>
  <r>
    <x v="0"/>
    <x v="0"/>
    <x v="0"/>
    <x v="0"/>
    <x v="0"/>
    <x v="7"/>
    <x v="5"/>
    <x v="1"/>
    <x v="1"/>
    <s v="GNR_HP_ELEC_COP-400"/>
    <x v="1"/>
    <x v="11"/>
    <n v="-0.51200000000000001"/>
    <n v="-124.586666666667"/>
    <n v="-448.512"/>
  </r>
  <r>
    <x v="0"/>
    <x v="0"/>
    <x v="0"/>
    <x v="0"/>
    <x v="0"/>
    <x v="7"/>
    <x v="5"/>
    <x v="1"/>
    <x v="1"/>
    <s v="GNR_HP_ELEC_COP-400"/>
    <x v="1"/>
    <x v="8"/>
    <n v="-0.51200000000000001"/>
    <n v="-124.586666666667"/>
    <n v="-448.512"/>
  </r>
  <r>
    <x v="0"/>
    <x v="0"/>
    <x v="0"/>
    <x v="0"/>
    <x v="0"/>
    <x v="7"/>
    <x v="5"/>
    <x v="1"/>
    <x v="1"/>
    <s v="GNR_HP_ELEC_COP-430"/>
    <x v="0"/>
    <x v="9"/>
    <n v="-0.30232558139534899"/>
    <n v="-73.565891472868202"/>
    <n v="-264.83720930232602"/>
  </r>
  <r>
    <x v="0"/>
    <x v="0"/>
    <x v="0"/>
    <x v="0"/>
    <x v="0"/>
    <x v="7"/>
    <x v="5"/>
    <x v="1"/>
    <x v="1"/>
    <s v="GNR_HP_ELEC_COP-430"/>
    <x v="0"/>
    <x v="3"/>
    <n v="-0.30232558139534899"/>
    <n v="-73.565891472868202"/>
    <n v="-264.83720930232602"/>
  </r>
  <r>
    <x v="0"/>
    <x v="0"/>
    <x v="0"/>
    <x v="0"/>
    <x v="0"/>
    <x v="7"/>
    <x v="5"/>
    <x v="1"/>
    <x v="1"/>
    <s v="GNR_HP_ELEC_COP-430"/>
    <x v="0"/>
    <x v="10"/>
    <n v="-0.30232558139534899"/>
    <n v="-73.565891472868202"/>
    <n v="-264.83720930232602"/>
  </r>
  <r>
    <x v="0"/>
    <x v="0"/>
    <x v="0"/>
    <x v="0"/>
    <x v="0"/>
    <x v="7"/>
    <x v="5"/>
    <x v="1"/>
    <x v="1"/>
    <s v="GNR_HP_ELEC_COP-430"/>
    <x v="0"/>
    <x v="4"/>
    <n v="-0.30232558139534899"/>
    <n v="-73.565891472868202"/>
    <n v="-264.83720930232602"/>
  </r>
  <r>
    <x v="0"/>
    <x v="0"/>
    <x v="0"/>
    <x v="0"/>
    <x v="0"/>
    <x v="7"/>
    <x v="5"/>
    <x v="1"/>
    <x v="1"/>
    <s v="GNR_HP_ELEC_COP-430"/>
    <x v="0"/>
    <x v="6"/>
    <n v="-0.30232558139534899"/>
    <n v="-73.565891472868202"/>
    <n v="-264.83720930232602"/>
  </r>
  <r>
    <x v="0"/>
    <x v="0"/>
    <x v="0"/>
    <x v="0"/>
    <x v="0"/>
    <x v="7"/>
    <x v="5"/>
    <x v="1"/>
    <x v="1"/>
    <s v="GNR_HP_ELEC_COP-430"/>
    <x v="0"/>
    <x v="7"/>
    <n v="-0.30232558139534899"/>
    <n v="-73.565891472868202"/>
    <n v="-264.83720930232602"/>
  </r>
  <r>
    <x v="0"/>
    <x v="0"/>
    <x v="0"/>
    <x v="0"/>
    <x v="0"/>
    <x v="7"/>
    <x v="5"/>
    <x v="1"/>
    <x v="1"/>
    <s v="GNR_HP_ELEC_COP-430"/>
    <x v="0"/>
    <x v="5"/>
    <n v="-0.30232558139534899"/>
    <n v="-73.565891472868202"/>
    <n v="-264.83720930232602"/>
  </r>
  <r>
    <x v="0"/>
    <x v="0"/>
    <x v="0"/>
    <x v="0"/>
    <x v="0"/>
    <x v="7"/>
    <x v="5"/>
    <x v="1"/>
    <x v="1"/>
    <s v="GNR_HP_ELEC_COP-430"/>
    <x v="0"/>
    <x v="11"/>
    <n v="-0.30232558139534899"/>
    <n v="-73.565891472868202"/>
    <n v="-264.83720930232602"/>
  </r>
  <r>
    <x v="0"/>
    <x v="0"/>
    <x v="0"/>
    <x v="0"/>
    <x v="0"/>
    <x v="7"/>
    <x v="5"/>
    <x v="1"/>
    <x v="1"/>
    <s v="GNR_HP_ELEC_COP-430"/>
    <x v="0"/>
    <x v="8"/>
    <n v="-0.30232558139534899"/>
    <n v="-73.565891472868202"/>
    <n v="-264.83720930232602"/>
  </r>
  <r>
    <x v="0"/>
    <x v="0"/>
    <x v="0"/>
    <x v="0"/>
    <x v="0"/>
    <x v="7"/>
    <x v="5"/>
    <x v="1"/>
    <x v="1"/>
    <s v="GNR_HP_ELEC_COP-430"/>
    <x v="2"/>
    <x v="9"/>
    <n v="-0.30232558139534899"/>
    <n v="-73.565891472868202"/>
    <n v="-264.83720930232602"/>
  </r>
  <r>
    <x v="0"/>
    <x v="0"/>
    <x v="0"/>
    <x v="0"/>
    <x v="0"/>
    <x v="7"/>
    <x v="5"/>
    <x v="1"/>
    <x v="1"/>
    <s v="GNR_HP_ELEC_COP-430"/>
    <x v="2"/>
    <x v="3"/>
    <n v="-0.30232558139534899"/>
    <n v="-73.565891472868202"/>
    <n v="-264.83720930232602"/>
  </r>
  <r>
    <x v="0"/>
    <x v="0"/>
    <x v="0"/>
    <x v="0"/>
    <x v="0"/>
    <x v="7"/>
    <x v="5"/>
    <x v="1"/>
    <x v="1"/>
    <s v="GNR_HP_ELEC_COP-430"/>
    <x v="2"/>
    <x v="10"/>
    <n v="-0.30232558139534899"/>
    <n v="-73.565891472868202"/>
    <n v="-264.83720930232602"/>
  </r>
  <r>
    <x v="0"/>
    <x v="0"/>
    <x v="0"/>
    <x v="0"/>
    <x v="0"/>
    <x v="7"/>
    <x v="5"/>
    <x v="1"/>
    <x v="1"/>
    <s v="GNR_HP_ELEC_COP-430"/>
    <x v="2"/>
    <x v="4"/>
    <n v="-0.30232558139534899"/>
    <n v="-73.565891472868202"/>
    <n v="-264.83720930232602"/>
  </r>
  <r>
    <x v="0"/>
    <x v="0"/>
    <x v="0"/>
    <x v="0"/>
    <x v="0"/>
    <x v="7"/>
    <x v="5"/>
    <x v="1"/>
    <x v="1"/>
    <s v="GNR_HP_ELEC_COP-430"/>
    <x v="2"/>
    <x v="6"/>
    <n v="-0.30232558139534899"/>
    <n v="-73.565891472868202"/>
    <n v="-264.83720930232602"/>
  </r>
  <r>
    <x v="0"/>
    <x v="0"/>
    <x v="0"/>
    <x v="0"/>
    <x v="0"/>
    <x v="7"/>
    <x v="5"/>
    <x v="1"/>
    <x v="1"/>
    <s v="GNR_HP_ELEC_COP-430"/>
    <x v="2"/>
    <x v="7"/>
    <n v="-0.30232558139534899"/>
    <n v="-73.565891472868202"/>
    <n v="-264.83720930232602"/>
  </r>
  <r>
    <x v="0"/>
    <x v="0"/>
    <x v="0"/>
    <x v="0"/>
    <x v="0"/>
    <x v="7"/>
    <x v="5"/>
    <x v="1"/>
    <x v="1"/>
    <s v="GNR_HP_ELEC_COP-430"/>
    <x v="2"/>
    <x v="0"/>
    <n v="-0.30232558139534899"/>
    <n v="-73.565891472868202"/>
    <n v="-264.83720930232602"/>
  </r>
  <r>
    <x v="0"/>
    <x v="0"/>
    <x v="0"/>
    <x v="0"/>
    <x v="0"/>
    <x v="7"/>
    <x v="5"/>
    <x v="1"/>
    <x v="1"/>
    <s v="GNR_HP_ELEC_COP-430"/>
    <x v="2"/>
    <x v="1"/>
    <n v="-0.30232558139534899"/>
    <n v="-73.565891472868202"/>
    <n v="-264.83720930232602"/>
  </r>
  <r>
    <x v="0"/>
    <x v="0"/>
    <x v="0"/>
    <x v="0"/>
    <x v="0"/>
    <x v="7"/>
    <x v="5"/>
    <x v="1"/>
    <x v="1"/>
    <s v="GNR_HP_ELEC_COP-430"/>
    <x v="2"/>
    <x v="2"/>
    <n v="-0.30232558139534899"/>
    <n v="-73.565891472868202"/>
    <n v="-264.83720930232602"/>
  </r>
  <r>
    <x v="0"/>
    <x v="0"/>
    <x v="0"/>
    <x v="0"/>
    <x v="0"/>
    <x v="7"/>
    <x v="5"/>
    <x v="1"/>
    <x v="1"/>
    <s v="GNR_HP_ELEC_COP-430"/>
    <x v="2"/>
    <x v="5"/>
    <n v="-0.30232558139534899"/>
    <n v="-73.565891472868202"/>
    <n v="-264.83720930232602"/>
  </r>
  <r>
    <x v="0"/>
    <x v="0"/>
    <x v="0"/>
    <x v="0"/>
    <x v="0"/>
    <x v="7"/>
    <x v="5"/>
    <x v="1"/>
    <x v="1"/>
    <s v="GNR_HP_ELEC_COP-430"/>
    <x v="2"/>
    <x v="11"/>
    <n v="-0.30232558139534899"/>
    <n v="-73.565891472868202"/>
    <n v="-264.83720930232602"/>
  </r>
  <r>
    <x v="0"/>
    <x v="0"/>
    <x v="0"/>
    <x v="0"/>
    <x v="0"/>
    <x v="7"/>
    <x v="5"/>
    <x v="1"/>
    <x v="1"/>
    <s v="GNR_HP_ELEC_COP-430"/>
    <x v="2"/>
    <x v="8"/>
    <n v="-0.30232558139534899"/>
    <n v="-73.565891472868202"/>
    <n v="-264.83720930232602"/>
  </r>
  <r>
    <x v="0"/>
    <x v="0"/>
    <x v="0"/>
    <x v="0"/>
    <x v="0"/>
    <x v="7"/>
    <x v="5"/>
    <x v="1"/>
    <x v="1"/>
    <s v="GNR_HP_ELEC_COP-430"/>
    <x v="1"/>
    <x v="9"/>
    <n v="-0.30232558139534899"/>
    <n v="-73.565891472868202"/>
    <n v="-264.83720930232602"/>
  </r>
  <r>
    <x v="0"/>
    <x v="0"/>
    <x v="0"/>
    <x v="0"/>
    <x v="0"/>
    <x v="7"/>
    <x v="5"/>
    <x v="1"/>
    <x v="1"/>
    <s v="GNR_HP_ELEC_COP-430"/>
    <x v="1"/>
    <x v="10"/>
    <n v="-0.30232558139534899"/>
    <n v="-73.565891472868202"/>
    <n v="-264.83720930232602"/>
  </r>
  <r>
    <x v="0"/>
    <x v="0"/>
    <x v="0"/>
    <x v="0"/>
    <x v="0"/>
    <x v="7"/>
    <x v="5"/>
    <x v="1"/>
    <x v="1"/>
    <s v="GNR_HP_ELEC_COP-430"/>
    <x v="1"/>
    <x v="6"/>
    <n v="-0.30232558139534899"/>
    <n v="-73.565891472868202"/>
    <n v="-264.83720930232602"/>
  </r>
  <r>
    <x v="0"/>
    <x v="0"/>
    <x v="0"/>
    <x v="0"/>
    <x v="0"/>
    <x v="7"/>
    <x v="5"/>
    <x v="1"/>
    <x v="1"/>
    <s v="GNR_HP_ELEC_COP-430"/>
    <x v="1"/>
    <x v="7"/>
    <n v="-0.30232558139534899"/>
    <n v="-73.565891472868202"/>
    <n v="-264.83720930232602"/>
  </r>
  <r>
    <x v="0"/>
    <x v="0"/>
    <x v="0"/>
    <x v="0"/>
    <x v="0"/>
    <x v="7"/>
    <x v="5"/>
    <x v="1"/>
    <x v="1"/>
    <s v="GNR_HP_ELEC_COP-430"/>
    <x v="1"/>
    <x v="1"/>
    <n v="-0.30232558139534899"/>
    <n v="-73.565891472868202"/>
    <n v="-264.83720930232602"/>
  </r>
  <r>
    <x v="0"/>
    <x v="0"/>
    <x v="0"/>
    <x v="0"/>
    <x v="0"/>
    <x v="7"/>
    <x v="5"/>
    <x v="1"/>
    <x v="1"/>
    <s v="GNR_HP_ELEC_COP-430"/>
    <x v="1"/>
    <x v="5"/>
    <n v="-0.30232558139534899"/>
    <n v="-73.565891472868202"/>
    <n v="-264.83720930232602"/>
  </r>
  <r>
    <x v="0"/>
    <x v="0"/>
    <x v="0"/>
    <x v="0"/>
    <x v="0"/>
    <x v="7"/>
    <x v="5"/>
    <x v="1"/>
    <x v="1"/>
    <s v="GNR_HP_ELEC_COP-430"/>
    <x v="1"/>
    <x v="11"/>
    <n v="-0.30232558139534899"/>
    <n v="-73.565891472868202"/>
    <n v="-264.83720930232602"/>
  </r>
  <r>
    <x v="0"/>
    <x v="0"/>
    <x v="0"/>
    <x v="0"/>
    <x v="0"/>
    <x v="7"/>
    <x v="5"/>
    <x v="1"/>
    <x v="1"/>
    <s v="GNR_HP_ELEC_COP-430"/>
    <x v="1"/>
    <x v="8"/>
    <n v="-0.30232558139534899"/>
    <n v="-73.565891472868202"/>
    <n v="-264.83720930232602"/>
  </r>
  <r>
    <x v="0"/>
    <x v="0"/>
    <x v="0"/>
    <x v="0"/>
    <x v="0"/>
    <x v="7"/>
    <x v="5"/>
    <x v="1"/>
    <x v="1"/>
    <s v="GNR_HP_ELEC_COP-450"/>
    <x v="0"/>
    <x v="9"/>
    <n v="-0.12"/>
    <n v="-29.2"/>
    <n v="-105.12"/>
  </r>
  <r>
    <x v="0"/>
    <x v="0"/>
    <x v="0"/>
    <x v="0"/>
    <x v="0"/>
    <x v="7"/>
    <x v="5"/>
    <x v="1"/>
    <x v="1"/>
    <s v="GNR_HP_ELEC_COP-450"/>
    <x v="0"/>
    <x v="3"/>
    <n v="-0.12"/>
    <n v="-29.2"/>
    <n v="-105.12"/>
  </r>
  <r>
    <x v="0"/>
    <x v="0"/>
    <x v="0"/>
    <x v="0"/>
    <x v="0"/>
    <x v="7"/>
    <x v="5"/>
    <x v="1"/>
    <x v="1"/>
    <s v="GNR_HP_ELEC_COP-450"/>
    <x v="0"/>
    <x v="10"/>
    <n v="-0.12"/>
    <n v="-29.2"/>
    <n v="-105.12"/>
  </r>
  <r>
    <x v="0"/>
    <x v="0"/>
    <x v="0"/>
    <x v="0"/>
    <x v="0"/>
    <x v="7"/>
    <x v="5"/>
    <x v="1"/>
    <x v="1"/>
    <s v="GNR_HP_ELEC_COP-450"/>
    <x v="0"/>
    <x v="4"/>
    <n v="-0.12"/>
    <n v="-29.2"/>
    <n v="-105.12"/>
  </r>
  <r>
    <x v="0"/>
    <x v="0"/>
    <x v="0"/>
    <x v="0"/>
    <x v="0"/>
    <x v="7"/>
    <x v="5"/>
    <x v="1"/>
    <x v="1"/>
    <s v="GNR_HP_ELEC_COP-450"/>
    <x v="0"/>
    <x v="6"/>
    <n v="-0.12"/>
    <n v="-29.2"/>
    <n v="-105.12"/>
  </r>
  <r>
    <x v="0"/>
    <x v="0"/>
    <x v="0"/>
    <x v="0"/>
    <x v="0"/>
    <x v="7"/>
    <x v="5"/>
    <x v="1"/>
    <x v="1"/>
    <s v="GNR_HP_ELEC_COP-450"/>
    <x v="0"/>
    <x v="7"/>
    <n v="-0.12"/>
    <n v="-29.2"/>
    <n v="-105.12"/>
  </r>
  <r>
    <x v="0"/>
    <x v="0"/>
    <x v="0"/>
    <x v="0"/>
    <x v="0"/>
    <x v="7"/>
    <x v="5"/>
    <x v="1"/>
    <x v="1"/>
    <s v="GNR_HP_ELEC_COP-450"/>
    <x v="0"/>
    <x v="5"/>
    <n v="-0.12"/>
    <n v="-29.2"/>
    <n v="-105.12"/>
  </r>
  <r>
    <x v="0"/>
    <x v="0"/>
    <x v="0"/>
    <x v="0"/>
    <x v="0"/>
    <x v="7"/>
    <x v="5"/>
    <x v="1"/>
    <x v="1"/>
    <s v="GNR_HP_ELEC_COP-450"/>
    <x v="0"/>
    <x v="11"/>
    <n v="-0.12"/>
    <n v="-29.2"/>
    <n v="-105.12"/>
  </r>
  <r>
    <x v="0"/>
    <x v="0"/>
    <x v="0"/>
    <x v="0"/>
    <x v="0"/>
    <x v="7"/>
    <x v="5"/>
    <x v="1"/>
    <x v="1"/>
    <s v="GNR_HP_ELEC_COP-450"/>
    <x v="0"/>
    <x v="8"/>
    <n v="-0.12"/>
    <n v="-29.2"/>
    <n v="-105.12"/>
  </r>
  <r>
    <x v="0"/>
    <x v="0"/>
    <x v="0"/>
    <x v="0"/>
    <x v="0"/>
    <x v="7"/>
    <x v="5"/>
    <x v="1"/>
    <x v="1"/>
    <s v="GNR_HP_ELEC_COP-450"/>
    <x v="2"/>
    <x v="9"/>
    <n v="-0.12"/>
    <n v="-29.2"/>
    <n v="-105.12"/>
  </r>
  <r>
    <x v="0"/>
    <x v="0"/>
    <x v="0"/>
    <x v="0"/>
    <x v="0"/>
    <x v="7"/>
    <x v="5"/>
    <x v="1"/>
    <x v="1"/>
    <s v="GNR_HP_ELEC_COP-450"/>
    <x v="2"/>
    <x v="3"/>
    <n v="-0.12"/>
    <n v="-29.2"/>
    <n v="-105.12"/>
  </r>
  <r>
    <x v="0"/>
    <x v="0"/>
    <x v="0"/>
    <x v="0"/>
    <x v="0"/>
    <x v="7"/>
    <x v="5"/>
    <x v="1"/>
    <x v="1"/>
    <s v="GNR_HP_ELEC_COP-450"/>
    <x v="2"/>
    <x v="10"/>
    <n v="-0.12"/>
    <n v="-29.2"/>
    <n v="-105.12"/>
  </r>
  <r>
    <x v="0"/>
    <x v="0"/>
    <x v="0"/>
    <x v="0"/>
    <x v="0"/>
    <x v="7"/>
    <x v="5"/>
    <x v="1"/>
    <x v="1"/>
    <s v="GNR_HP_ELEC_COP-450"/>
    <x v="2"/>
    <x v="4"/>
    <n v="-0.12"/>
    <n v="-29.2"/>
    <n v="-105.12"/>
  </r>
  <r>
    <x v="0"/>
    <x v="0"/>
    <x v="0"/>
    <x v="0"/>
    <x v="0"/>
    <x v="7"/>
    <x v="5"/>
    <x v="1"/>
    <x v="1"/>
    <s v="GNR_HP_ELEC_COP-450"/>
    <x v="2"/>
    <x v="6"/>
    <n v="-0.12"/>
    <n v="-29.2"/>
    <n v="-105.12"/>
  </r>
  <r>
    <x v="0"/>
    <x v="0"/>
    <x v="0"/>
    <x v="0"/>
    <x v="0"/>
    <x v="7"/>
    <x v="5"/>
    <x v="1"/>
    <x v="1"/>
    <s v="GNR_HP_ELEC_COP-450"/>
    <x v="2"/>
    <x v="7"/>
    <n v="-0.12"/>
    <n v="-29.2"/>
    <n v="-105.12"/>
  </r>
  <r>
    <x v="0"/>
    <x v="0"/>
    <x v="0"/>
    <x v="0"/>
    <x v="0"/>
    <x v="7"/>
    <x v="5"/>
    <x v="1"/>
    <x v="1"/>
    <s v="GNR_HP_ELEC_COP-450"/>
    <x v="2"/>
    <x v="0"/>
    <n v="-0.12"/>
    <n v="-29.2"/>
    <n v="-105.12"/>
  </r>
  <r>
    <x v="0"/>
    <x v="0"/>
    <x v="0"/>
    <x v="0"/>
    <x v="0"/>
    <x v="7"/>
    <x v="5"/>
    <x v="1"/>
    <x v="1"/>
    <s v="GNR_HP_ELEC_COP-450"/>
    <x v="2"/>
    <x v="1"/>
    <n v="-0.12"/>
    <n v="-29.2"/>
    <n v="-105.12"/>
  </r>
  <r>
    <x v="0"/>
    <x v="0"/>
    <x v="0"/>
    <x v="0"/>
    <x v="0"/>
    <x v="7"/>
    <x v="5"/>
    <x v="1"/>
    <x v="1"/>
    <s v="GNR_HP_ELEC_COP-450"/>
    <x v="2"/>
    <x v="2"/>
    <n v="-0.12"/>
    <n v="-29.2"/>
    <n v="-105.12"/>
  </r>
  <r>
    <x v="0"/>
    <x v="0"/>
    <x v="0"/>
    <x v="0"/>
    <x v="0"/>
    <x v="7"/>
    <x v="5"/>
    <x v="1"/>
    <x v="1"/>
    <s v="GNR_HP_ELEC_COP-450"/>
    <x v="2"/>
    <x v="5"/>
    <n v="-0.12"/>
    <n v="-29.2"/>
    <n v="-105.12"/>
  </r>
  <r>
    <x v="0"/>
    <x v="0"/>
    <x v="0"/>
    <x v="0"/>
    <x v="0"/>
    <x v="7"/>
    <x v="5"/>
    <x v="1"/>
    <x v="1"/>
    <s v="GNR_HP_ELEC_COP-450"/>
    <x v="2"/>
    <x v="11"/>
    <n v="-0.12"/>
    <n v="-29.2"/>
    <n v="-105.12"/>
  </r>
  <r>
    <x v="0"/>
    <x v="0"/>
    <x v="0"/>
    <x v="0"/>
    <x v="0"/>
    <x v="7"/>
    <x v="5"/>
    <x v="1"/>
    <x v="1"/>
    <s v="GNR_HP_ELEC_COP-450"/>
    <x v="2"/>
    <x v="8"/>
    <n v="-0.12"/>
    <n v="-29.2"/>
    <n v="-105.12"/>
  </r>
  <r>
    <x v="0"/>
    <x v="0"/>
    <x v="0"/>
    <x v="0"/>
    <x v="0"/>
    <x v="7"/>
    <x v="5"/>
    <x v="1"/>
    <x v="1"/>
    <s v="GNR_HP_ELEC_COP-450"/>
    <x v="1"/>
    <x v="9"/>
    <n v="-0.12"/>
    <n v="-29.2"/>
    <n v="-105.12"/>
  </r>
  <r>
    <x v="0"/>
    <x v="0"/>
    <x v="0"/>
    <x v="0"/>
    <x v="0"/>
    <x v="7"/>
    <x v="5"/>
    <x v="1"/>
    <x v="1"/>
    <s v="GNR_HP_ELEC_COP-450"/>
    <x v="1"/>
    <x v="10"/>
    <n v="-0.12"/>
    <n v="-29.2"/>
    <n v="-105.12"/>
  </r>
  <r>
    <x v="0"/>
    <x v="0"/>
    <x v="0"/>
    <x v="0"/>
    <x v="0"/>
    <x v="7"/>
    <x v="5"/>
    <x v="1"/>
    <x v="1"/>
    <s v="GNR_HP_ELEC_COP-450"/>
    <x v="1"/>
    <x v="6"/>
    <n v="-0.12"/>
    <n v="-29.2"/>
    <n v="-105.12"/>
  </r>
  <r>
    <x v="0"/>
    <x v="0"/>
    <x v="0"/>
    <x v="0"/>
    <x v="0"/>
    <x v="7"/>
    <x v="5"/>
    <x v="1"/>
    <x v="1"/>
    <s v="GNR_HP_ELEC_COP-450"/>
    <x v="1"/>
    <x v="7"/>
    <n v="-0.12"/>
    <n v="-29.2"/>
    <n v="-105.12"/>
  </r>
  <r>
    <x v="0"/>
    <x v="0"/>
    <x v="0"/>
    <x v="0"/>
    <x v="0"/>
    <x v="7"/>
    <x v="5"/>
    <x v="1"/>
    <x v="1"/>
    <s v="GNR_HP_ELEC_COP-450"/>
    <x v="1"/>
    <x v="1"/>
    <n v="-0.12"/>
    <n v="-29.2"/>
    <n v="-105.12"/>
  </r>
  <r>
    <x v="0"/>
    <x v="0"/>
    <x v="0"/>
    <x v="0"/>
    <x v="0"/>
    <x v="7"/>
    <x v="5"/>
    <x v="1"/>
    <x v="1"/>
    <s v="GNR_HP_ELEC_COP-450"/>
    <x v="1"/>
    <x v="5"/>
    <n v="-0.12"/>
    <n v="-29.2"/>
    <n v="-105.12"/>
  </r>
  <r>
    <x v="0"/>
    <x v="0"/>
    <x v="0"/>
    <x v="0"/>
    <x v="0"/>
    <x v="7"/>
    <x v="5"/>
    <x v="1"/>
    <x v="1"/>
    <s v="GNR_HP_ELEC_COP-450"/>
    <x v="1"/>
    <x v="11"/>
    <n v="-0.12"/>
    <n v="-29.2"/>
    <n v="-105.12"/>
  </r>
  <r>
    <x v="0"/>
    <x v="0"/>
    <x v="0"/>
    <x v="0"/>
    <x v="0"/>
    <x v="7"/>
    <x v="5"/>
    <x v="1"/>
    <x v="1"/>
    <s v="GNR_HP_ELEC_COP-450"/>
    <x v="1"/>
    <x v="8"/>
    <n v="-0.12"/>
    <n v="-29.2"/>
    <n v="-105.12"/>
  </r>
  <r>
    <x v="0"/>
    <x v="0"/>
    <x v="0"/>
    <x v="0"/>
    <x v="0"/>
    <x v="7"/>
    <x v="5"/>
    <x v="1"/>
    <x v="1"/>
    <s v="GNR_HP_ELEC_COP-460"/>
    <x v="0"/>
    <x v="9"/>
    <n v="-0.78260869565217395"/>
    <n v="-190.434782608696"/>
    <n v="-685.56521739130403"/>
  </r>
  <r>
    <x v="0"/>
    <x v="0"/>
    <x v="0"/>
    <x v="0"/>
    <x v="0"/>
    <x v="7"/>
    <x v="5"/>
    <x v="1"/>
    <x v="1"/>
    <s v="GNR_HP_ELEC_COP-460"/>
    <x v="0"/>
    <x v="3"/>
    <n v="-0.78260869565217395"/>
    <n v="-190.434782608696"/>
    <n v="-685.56521739130403"/>
  </r>
  <r>
    <x v="0"/>
    <x v="0"/>
    <x v="0"/>
    <x v="0"/>
    <x v="0"/>
    <x v="7"/>
    <x v="5"/>
    <x v="1"/>
    <x v="1"/>
    <s v="GNR_HP_ELEC_COP-460"/>
    <x v="0"/>
    <x v="10"/>
    <n v="-0.78260869565217395"/>
    <n v="-190.434782608696"/>
    <n v="-685.56521739130403"/>
  </r>
  <r>
    <x v="0"/>
    <x v="0"/>
    <x v="0"/>
    <x v="0"/>
    <x v="0"/>
    <x v="7"/>
    <x v="5"/>
    <x v="1"/>
    <x v="1"/>
    <s v="GNR_HP_ELEC_COP-460"/>
    <x v="0"/>
    <x v="4"/>
    <n v="-0.78260869565217395"/>
    <n v="-190.434782608696"/>
    <n v="-685.56521739130403"/>
  </r>
  <r>
    <x v="0"/>
    <x v="0"/>
    <x v="0"/>
    <x v="0"/>
    <x v="0"/>
    <x v="7"/>
    <x v="5"/>
    <x v="1"/>
    <x v="1"/>
    <s v="GNR_HP_ELEC_COP-460"/>
    <x v="0"/>
    <x v="6"/>
    <n v="-0.78260869565217395"/>
    <n v="-190.434782608696"/>
    <n v="-685.56521739130403"/>
  </r>
  <r>
    <x v="0"/>
    <x v="0"/>
    <x v="0"/>
    <x v="0"/>
    <x v="0"/>
    <x v="7"/>
    <x v="5"/>
    <x v="1"/>
    <x v="1"/>
    <s v="GNR_HP_ELEC_COP-460"/>
    <x v="0"/>
    <x v="7"/>
    <n v="-0.78260869565217395"/>
    <n v="-190.434782608696"/>
    <n v="-685.56521739130403"/>
  </r>
  <r>
    <x v="0"/>
    <x v="0"/>
    <x v="0"/>
    <x v="0"/>
    <x v="0"/>
    <x v="7"/>
    <x v="5"/>
    <x v="1"/>
    <x v="1"/>
    <s v="GNR_HP_ELEC_COP-460"/>
    <x v="0"/>
    <x v="5"/>
    <n v="-0.78260869565217395"/>
    <n v="-190.434782608696"/>
    <n v="-685.56521739130403"/>
  </r>
  <r>
    <x v="0"/>
    <x v="0"/>
    <x v="0"/>
    <x v="0"/>
    <x v="0"/>
    <x v="7"/>
    <x v="5"/>
    <x v="1"/>
    <x v="1"/>
    <s v="GNR_HP_ELEC_COP-460"/>
    <x v="0"/>
    <x v="11"/>
    <n v="-0.78260869565217395"/>
    <n v="-190.434782608696"/>
    <n v="-685.56521739130403"/>
  </r>
  <r>
    <x v="0"/>
    <x v="0"/>
    <x v="0"/>
    <x v="0"/>
    <x v="0"/>
    <x v="7"/>
    <x v="5"/>
    <x v="1"/>
    <x v="1"/>
    <s v="GNR_HP_ELEC_COP-460"/>
    <x v="0"/>
    <x v="8"/>
    <n v="-0.78260869565217395"/>
    <n v="-190.434782608696"/>
    <n v="-685.56521739130403"/>
  </r>
  <r>
    <x v="0"/>
    <x v="0"/>
    <x v="0"/>
    <x v="0"/>
    <x v="0"/>
    <x v="7"/>
    <x v="5"/>
    <x v="1"/>
    <x v="1"/>
    <s v="GNR_HP_ELEC_COP-460"/>
    <x v="2"/>
    <x v="9"/>
    <n v="-0.78260869565217395"/>
    <n v="-190.434782608696"/>
    <n v="-685.56521739130403"/>
  </r>
  <r>
    <x v="0"/>
    <x v="0"/>
    <x v="0"/>
    <x v="0"/>
    <x v="0"/>
    <x v="7"/>
    <x v="5"/>
    <x v="1"/>
    <x v="1"/>
    <s v="GNR_HP_ELEC_COP-460"/>
    <x v="2"/>
    <x v="3"/>
    <n v="-0.78260869565217395"/>
    <n v="-190.434782608696"/>
    <n v="-685.56521739130403"/>
  </r>
  <r>
    <x v="0"/>
    <x v="0"/>
    <x v="0"/>
    <x v="0"/>
    <x v="0"/>
    <x v="7"/>
    <x v="5"/>
    <x v="1"/>
    <x v="1"/>
    <s v="GNR_HP_ELEC_COP-460"/>
    <x v="2"/>
    <x v="10"/>
    <n v="-0.78260869565217395"/>
    <n v="-190.434782608696"/>
    <n v="-685.56521739130403"/>
  </r>
  <r>
    <x v="0"/>
    <x v="0"/>
    <x v="0"/>
    <x v="0"/>
    <x v="0"/>
    <x v="7"/>
    <x v="5"/>
    <x v="1"/>
    <x v="1"/>
    <s v="GNR_HP_ELEC_COP-460"/>
    <x v="2"/>
    <x v="4"/>
    <n v="-0.78260869565217395"/>
    <n v="-190.434782608696"/>
    <n v="-685.56521739130403"/>
  </r>
  <r>
    <x v="0"/>
    <x v="0"/>
    <x v="0"/>
    <x v="0"/>
    <x v="0"/>
    <x v="7"/>
    <x v="5"/>
    <x v="1"/>
    <x v="1"/>
    <s v="GNR_HP_ELEC_COP-460"/>
    <x v="2"/>
    <x v="6"/>
    <n v="-0.78260869565217395"/>
    <n v="-190.434782608696"/>
    <n v="-685.56521739130403"/>
  </r>
  <r>
    <x v="0"/>
    <x v="0"/>
    <x v="0"/>
    <x v="0"/>
    <x v="0"/>
    <x v="7"/>
    <x v="5"/>
    <x v="1"/>
    <x v="1"/>
    <s v="GNR_HP_ELEC_COP-460"/>
    <x v="2"/>
    <x v="7"/>
    <n v="-0.78260869565217395"/>
    <n v="-190.434782608696"/>
    <n v="-685.56521739130403"/>
  </r>
  <r>
    <x v="0"/>
    <x v="0"/>
    <x v="0"/>
    <x v="0"/>
    <x v="0"/>
    <x v="7"/>
    <x v="5"/>
    <x v="1"/>
    <x v="1"/>
    <s v="GNR_HP_ELEC_COP-460"/>
    <x v="2"/>
    <x v="0"/>
    <n v="-0.78260869565217395"/>
    <n v="-190.434782608696"/>
    <n v="-685.56521739130403"/>
  </r>
  <r>
    <x v="0"/>
    <x v="0"/>
    <x v="0"/>
    <x v="0"/>
    <x v="0"/>
    <x v="7"/>
    <x v="5"/>
    <x v="1"/>
    <x v="1"/>
    <s v="GNR_HP_ELEC_COP-460"/>
    <x v="2"/>
    <x v="1"/>
    <n v="-0.78260869565217395"/>
    <n v="-190.434782608696"/>
    <n v="-685.56521739130403"/>
  </r>
  <r>
    <x v="0"/>
    <x v="0"/>
    <x v="0"/>
    <x v="0"/>
    <x v="0"/>
    <x v="7"/>
    <x v="5"/>
    <x v="1"/>
    <x v="1"/>
    <s v="GNR_HP_ELEC_COP-460"/>
    <x v="2"/>
    <x v="2"/>
    <n v="-0.78260869565217395"/>
    <n v="-190.434782608696"/>
    <n v="-685.56521739130403"/>
  </r>
  <r>
    <x v="0"/>
    <x v="0"/>
    <x v="0"/>
    <x v="0"/>
    <x v="0"/>
    <x v="7"/>
    <x v="5"/>
    <x v="1"/>
    <x v="1"/>
    <s v="GNR_HP_ELEC_COP-460"/>
    <x v="2"/>
    <x v="5"/>
    <n v="-0.78260869565217395"/>
    <n v="-190.434782608696"/>
    <n v="-685.56521739130403"/>
  </r>
  <r>
    <x v="0"/>
    <x v="0"/>
    <x v="0"/>
    <x v="0"/>
    <x v="0"/>
    <x v="7"/>
    <x v="5"/>
    <x v="1"/>
    <x v="1"/>
    <s v="GNR_HP_ELEC_COP-460"/>
    <x v="2"/>
    <x v="11"/>
    <n v="-0.78260869565217395"/>
    <n v="-190.434782608696"/>
    <n v="-685.56521739130403"/>
  </r>
  <r>
    <x v="0"/>
    <x v="0"/>
    <x v="0"/>
    <x v="0"/>
    <x v="0"/>
    <x v="7"/>
    <x v="5"/>
    <x v="1"/>
    <x v="1"/>
    <s v="GNR_HP_ELEC_COP-460"/>
    <x v="2"/>
    <x v="8"/>
    <n v="-0.78260869565217395"/>
    <n v="-190.434782608696"/>
    <n v="-685.56521739130403"/>
  </r>
  <r>
    <x v="0"/>
    <x v="0"/>
    <x v="0"/>
    <x v="0"/>
    <x v="0"/>
    <x v="7"/>
    <x v="5"/>
    <x v="1"/>
    <x v="1"/>
    <s v="GNR_HP_ELEC_COP-460"/>
    <x v="1"/>
    <x v="9"/>
    <n v="-0.78260869565217395"/>
    <n v="-190.434782608696"/>
    <n v="-685.56521739130403"/>
  </r>
  <r>
    <x v="0"/>
    <x v="0"/>
    <x v="0"/>
    <x v="0"/>
    <x v="0"/>
    <x v="7"/>
    <x v="5"/>
    <x v="1"/>
    <x v="1"/>
    <s v="GNR_HP_ELEC_COP-460"/>
    <x v="1"/>
    <x v="10"/>
    <n v="-0.78260869565217395"/>
    <n v="-190.434782608696"/>
    <n v="-685.56521739130403"/>
  </r>
  <r>
    <x v="0"/>
    <x v="0"/>
    <x v="0"/>
    <x v="0"/>
    <x v="0"/>
    <x v="7"/>
    <x v="5"/>
    <x v="1"/>
    <x v="1"/>
    <s v="GNR_HP_ELEC_COP-460"/>
    <x v="1"/>
    <x v="6"/>
    <n v="-0.78260869565217395"/>
    <n v="-190.434782608696"/>
    <n v="-685.56521739130403"/>
  </r>
  <r>
    <x v="0"/>
    <x v="0"/>
    <x v="0"/>
    <x v="0"/>
    <x v="0"/>
    <x v="7"/>
    <x v="5"/>
    <x v="1"/>
    <x v="1"/>
    <s v="GNR_HP_ELEC_COP-460"/>
    <x v="1"/>
    <x v="7"/>
    <n v="-0.78260869565217395"/>
    <n v="-190.434782608696"/>
    <n v="-685.56521739130403"/>
  </r>
  <r>
    <x v="0"/>
    <x v="0"/>
    <x v="0"/>
    <x v="0"/>
    <x v="0"/>
    <x v="7"/>
    <x v="5"/>
    <x v="1"/>
    <x v="1"/>
    <s v="GNR_HP_ELEC_COP-460"/>
    <x v="1"/>
    <x v="1"/>
    <n v="-0.78260869565217395"/>
    <n v="-190.434782608696"/>
    <n v="-685.56521739130403"/>
  </r>
  <r>
    <x v="0"/>
    <x v="0"/>
    <x v="0"/>
    <x v="0"/>
    <x v="0"/>
    <x v="7"/>
    <x v="5"/>
    <x v="1"/>
    <x v="1"/>
    <s v="GNR_HP_ELEC_COP-460"/>
    <x v="1"/>
    <x v="5"/>
    <n v="-0.78260869565217395"/>
    <n v="-190.434782608696"/>
    <n v="-685.56521739130403"/>
  </r>
  <r>
    <x v="0"/>
    <x v="0"/>
    <x v="0"/>
    <x v="0"/>
    <x v="0"/>
    <x v="7"/>
    <x v="5"/>
    <x v="1"/>
    <x v="1"/>
    <s v="GNR_HP_ELEC_COP-460"/>
    <x v="1"/>
    <x v="11"/>
    <n v="-0.78260869565217395"/>
    <n v="-190.434782608696"/>
    <n v="-685.56521739130403"/>
  </r>
  <r>
    <x v="0"/>
    <x v="0"/>
    <x v="0"/>
    <x v="0"/>
    <x v="0"/>
    <x v="7"/>
    <x v="5"/>
    <x v="1"/>
    <x v="1"/>
    <s v="GNR_HP_ELEC_COP-460"/>
    <x v="1"/>
    <x v="8"/>
    <n v="-0.78260869565217395"/>
    <n v="-190.434782608696"/>
    <n v="-685.56521739130403"/>
  </r>
  <r>
    <x v="0"/>
    <x v="0"/>
    <x v="0"/>
    <x v="0"/>
    <x v="0"/>
    <x v="7"/>
    <x v="5"/>
    <x v="1"/>
    <x v="1"/>
    <s v="GNR_HP_ELEC_COP-470"/>
    <x v="0"/>
    <x v="9"/>
    <n v="-0.20212765957446799"/>
    <n v="-49.1843971631206"/>
    <n v="-177.063829787234"/>
  </r>
  <r>
    <x v="0"/>
    <x v="0"/>
    <x v="0"/>
    <x v="0"/>
    <x v="0"/>
    <x v="7"/>
    <x v="5"/>
    <x v="1"/>
    <x v="1"/>
    <s v="GNR_HP_ELEC_COP-470"/>
    <x v="0"/>
    <x v="3"/>
    <n v="-0.20212765957446799"/>
    <n v="-49.1843971631206"/>
    <n v="-177.063829787234"/>
  </r>
  <r>
    <x v="0"/>
    <x v="0"/>
    <x v="0"/>
    <x v="0"/>
    <x v="0"/>
    <x v="7"/>
    <x v="5"/>
    <x v="1"/>
    <x v="1"/>
    <s v="GNR_HP_ELEC_COP-470"/>
    <x v="0"/>
    <x v="10"/>
    <n v="-0.20212765957446799"/>
    <n v="-49.1843971631206"/>
    <n v="-177.063829787234"/>
  </r>
  <r>
    <x v="0"/>
    <x v="0"/>
    <x v="0"/>
    <x v="0"/>
    <x v="0"/>
    <x v="7"/>
    <x v="5"/>
    <x v="1"/>
    <x v="1"/>
    <s v="GNR_HP_ELEC_COP-470"/>
    <x v="0"/>
    <x v="4"/>
    <n v="-0.20212765957446799"/>
    <n v="-49.1843971631206"/>
    <n v="-177.063829787234"/>
  </r>
  <r>
    <x v="0"/>
    <x v="0"/>
    <x v="0"/>
    <x v="0"/>
    <x v="0"/>
    <x v="7"/>
    <x v="5"/>
    <x v="1"/>
    <x v="1"/>
    <s v="GNR_HP_ELEC_COP-470"/>
    <x v="0"/>
    <x v="6"/>
    <n v="-0.20212765957446799"/>
    <n v="-49.1843971631206"/>
    <n v="-177.063829787234"/>
  </r>
  <r>
    <x v="0"/>
    <x v="0"/>
    <x v="0"/>
    <x v="0"/>
    <x v="0"/>
    <x v="7"/>
    <x v="5"/>
    <x v="1"/>
    <x v="1"/>
    <s v="GNR_HP_ELEC_COP-470"/>
    <x v="0"/>
    <x v="7"/>
    <n v="-0.20212765957446799"/>
    <n v="-49.1843971631206"/>
    <n v="-177.063829787234"/>
  </r>
  <r>
    <x v="0"/>
    <x v="0"/>
    <x v="0"/>
    <x v="0"/>
    <x v="0"/>
    <x v="7"/>
    <x v="5"/>
    <x v="1"/>
    <x v="1"/>
    <s v="GNR_HP_ELEC_COP-470"/>
    <x v="0"/>
    <x v="5"/>
    <n v="-0.20212765957446799"/>
    <n v="-49.1843971631206"/>
    <n v="-177.063829787234"/>
  </r>
  <r>
    <x v="0"/>
    <x v="0"/>
    <x v="0"/>
    <x v="0"/>
    <x v="0"/>
    <x v="7"/>
    <x v="5"/>
    <x v="1"/>
    <x v="1"/>
    <s v="GNR_HP_ELEC_COP-470"/>
    <x v="0"/>
    <x v="11"/>
    <n v="-0.20212765957446799"/>
    <n v="-49.1843971631206"/>
    <n v="-177.063829787234"/>
  </r>
  <r>
    <x v="0"/>
    <x v="0"/>
    <x v="0"/>
    <x v="0"/>
    <x v="0"/>
    <x v="7"/>
    <x v="5"/>
    <x v="1"/>
    <x v="1"/>
    <s v="GNR_HP_ELEC_COP-470"/>
    <x v="0"/>
    <x v="8"/>
    <n v="-0.20212765957446799"/>
    <n v="-49.1843971631206"/>
    <n v="-177.063829787234"/>
  </r>
  <r>
    <x v="0"/>
    <x v="0"/>
    <x v="0"/>
    <x v="0"/>
    <x v="0"/>
    <x v="7"/>
    <x v="5"/>
    <x v="1"/>
    <x v="1"/>
    <s v="GNR_HP_ELEC_COP-470"/>
    <x v="2"/>
    <x v="9"/>
    <n v="-0.20212765957446799"/>
    <n v="-49.1843971631206"/>
    <n v="-177.063829787234"/>
  </r>
  <r>
    <x v="0"/>
    <x v="0"/>
    <x v="0"/>
    <x v="0"/>
    <x v="0"/>
    <x v="7"/>
    <x v="5"/>
    <x v="1"/>
    <x v="1"/>
    <s v="GNR_HP_ELEC_COP-470"/>
    <x v="2"/>
    <x v="3"/>
    <n v="-0.20212765957446799"/>
    <n v="-49.1843971631206"/>
    <n v="-177.063829787234"/>
  </r>
  <r>
    <x v="0"/>
    <x v="0"/>
    <x v="0"/>
    <x v="0"/>
    <x v="0"/>
    <x v="7"/>
    <x v="5"/>
    <x v="1"/>
    <x v="1"/>
    <s v="GNR_HP_ELEC_COP-470"/>
    <x v="2"/>
    <x v="10"/>
    <n v="-0.20212765957446799"/>
    <n v="-49.1843971631206"/>
    <n v="-177.063829787234"/>
  </r>
  <r>
    <x v="0"/>
    <x v="0"/>
    <x v="0"/>
    <x v="0"/>
    <x v="0"/>
    <x v="7"/>
    <x v="5"/>
    <x v="1"/>
    <x v="1"/>
    <s v="GNR_HP_ELEC_COP-470"/>
    <x v="2"/>
    <x v="4"/>
    <n v="-0.20212765957446799"/>
    <n v="-49.1843971631206"/>
    <n v="-177.063829787234"/>
  </r>
  <r>
    <x v="0"/>
    <x v="0"/>
    <x v="0"/>
    <x v="0"/>
    <x v="0"/>
    <x v="7"/>
    <x v="5"/>
    <x v="1"/>
    <x v="1"/>
    <s v="GNR_HP_ELEC_COP-470"/>
    <x v="2"/>
    <x v="6"/>
    <n v="-0.20212765957446799"/>
    <n v="-49.1843971631206"/>
    <n v="-177.063829787234"/>
  </r>
  <r>
    <x v="0"/>
    <x v="0"/>
    <x v="0"/>
    <x v="0"/>
    <x v="0"/>
    <x v="7"/>
    <x v="5"/>
    <x v="1"/>
    <x v="1"/>
    <s v="GNR_HP_ELEC_COP-470"/>
    <x v="2"/>
    <x v="7"/>
    <n v="-0.20212765957446799"/>
    <n v="-49.1843971631206"/>
    <n v="-177.063829787234"/>
  </r>
  <r>
    <x v="0"/>
    <x v="0"/>
    <x v="0"/>
    <x v="0"/>
    <x v="0"/>
    <x v="7"/>
    <x v="5"/>
    <x v="1"/>
    <x v="1"/>
    <s v="GNR_HP_ELEC_COP-470"/>
    <x v="2"/>
    <x v="0"/>
    <n v="-0.20212765957446799"/>
    <n v="-49.1843971631206"/>
    <n v="-177.063829787234"/>
  </r>
  <r>
    <x v="0"/>
    <x v="0"/>
    <x v="0"/>
    <x v="0"/>
    <x v="0"/>
    <x v="7"/>
    <x v="5"/>
    <x v="1"/>
    <x v="1"/>
    <s v="GNR_HP_ELEC_COP-470"/>
    <x v="2"/>
    <x v="1"/>
    <n v="-0.20212765957446799"/>
    <n v="-49.1843971631206"/>
    <n v="-177.063829787234"/>
  </r>
  <r>
    <x v="0"/>
    <x v="0"/>
    <x v="0"/>
    <x v="0"/>
    <x v="0"/>
    <x v="7"/>
    <x v="5"/>
    <x v="1"/>
    <x v="1"/>
    <s v="GNR_HP_ELEC_COP-470"/>
    <x v="2"/>
    <x v="2"/>
    <n v="-0.20212765957446799"/>
    <n v="-49.1843971631206"/>
    <n v="-177.063829787234"/>
  </r>
  <r>
    <x v="0"/>
    <x v="0"/>
    <x v="0"/>
    <x v="0"/>
    <x v="0"/>
    <x v="7"/>
    <x v="5"/>
    <x v="1"/>
    <x v="1"/>
    <s v="GNR_HP_ELEC_COP-470"/>
    <x v="2"/>
    <x v="5"/>
    <n v="-0.20212765957446799"/>
    <n v="-49.1843971631206"/>
    <n v="-177.063829787234"/>
  </r>
  <r>
    <x v="0"/>
    <x v="0"/>
    <x v="0"/>
    <x v="0"/>
    <x v="0"/>
    <x v="7"/>
    <x v="5"/>
    <x v="1"/>
    <x v="1"/>
    <s v="GNR_HP_ELEC_COP-470"/>
    <x v="2"/>
    <x v="11"/>
    <n v="-0.20212765957446799"/>
    <n v="-49.1843971631206"/>
    <n v="-177.063829787234"/>
  </r>
  <r>
    <x v="0"/>
    <x v="0"/>
    <x v="0"/>
    <x v="0"/>
    <x v="0"/>
    <x v="7"/>
    <x v="5"/>
    <x v="1"/>
    <x v="1"/>
    <s v="GNR_HP_ELEC_COP-470"/>
    <x v="2"/>
    <x v="8"/>
    <n v="-0.20212765957446799"/>
    <n v="-49.1843971631206"/>
    <n v="-177.063829787234"/>
  </r>
  <r>
    <x v="0"/>
    <x v="0"/>
    <x v="0"/>
    <x v="0"/>
    <x v="0"/>
    <x v="7"/>
    <x v="5"/>
    <x v="1"/>
    <x v="1"/>
    <s v="GNR_HP_ELEC_COP-470"/>
    <x v="1"/>
    <x v="9"/>
    <n v="-0.20212765957446799"/>
    <n v="-49.1843971631206"/>
    <n v="-177.063829787234"/>
  </r>
  <r>
    <x v="0"/>
    <x v="0"/>
    <x v="0"/>
    <x v="0"/>
    <x v="0"/>
    <x v="7"/>
    <x v="5"/>
    <x v="1"/>
    <x v="1"/>
    <s v="GNR_HP_ELEC_COP-470"/>
    <x v="1"/>
    <x v="10"/>
    <n v="-0.20212765957446799"/>
    <n v="-49.1843971631206"/>
    <n v="-177.063829787234"/>
  </r>
  <r>
    <x v="0"/>
    <x v="0"/>
    <x v="0"/>
    <x v="0"/>
    <x v="0"/>
    <x v="7"/>
    <x v="5"/>
    <x v="1"/>
    <x v="1"/>
    <s v="GNR_HP_ELEC_COP-470"/>
    <x v="1"/>
    <x v="6"/>
    <n v="-0.20212765957446799"/>
    <n v="-49.1843971631206"/>
    <n v="-177.063829787234"/>
  </r>
  <r>
    <x v="0"/>
    <x v="0"/>
    <x v="0"/>
    <x v="0"/>
    <x v="0"/>
    <x v="7"/>
    <x v="5"/>
    <x v="1"/>
    <x v="1"/>
    <s v="GNR_HP_ELEC_COP-470"/>
    <x v="1"/>
    <x v="7"/>
    <n v="-0.20212765957446799"/>
    <n v="-49.1843971631206"/>
    <n v="-177.063829787234"/>
  </r>
  <r>
    <x v="0"/>
    <x v="0"/>
    <x v="0"/>
    <x v="0"/>
    <x v="0"/>
    <x v="7"/>
    <x v="5"/>
    <x v="1"/>
    <x v="1"/>
    <s v="GNR_HP_ELEC_COP-470"/>
    <x v="1"/>
    <x v="1"/>
    <n v="-0.20212765957446799"/>
    <n v="-49.1843971631206"/>
    <n v="-177.063829787234"/>
  </r>
  <r>
    <x v="0"/>
    <x v="0"/>
    <x v="0"/>
    <x v="0"/>
    <x v="0"/>
    <x v="7"/>
    <x v="5"/>
    <x v="1"/>
    <x v="1"/>
    <s v="GNR_HP_ELEC_COP-470"/>
    <x v="1"/>
    <x v="5"/>
    <n v="-0.20212765957446799"/>
    <n v="-49.1843971631206"/>
    <n v="-177.063829787234"/>
  </r>
  <r>
    <x v="0"/>
    <x v="0"/>
    <x v="0"/>
    <x v="0"/>
    <x v="0"/>
    <x v="7"/>
    <x v="5"/>
    <x v="1"/>
    <x v="1"/>
    <s v="GNR_HP_ELEC_COP-470"/>
    <x v="1"/>
    <x v="11"/>
    <n v="-0.20212765957446799"/>
    <n v="-49.1843971631206"/>
    <n v="-177.063829787234"/>
  </r>
  <r>
    <x v="0"/>
    <x v="0"/>
    <x v="0"/>
    <x v="0"/>
    <x v="0"/>
    <x v="7"/>
    <x v="5"/>
    <x v="1"/>
    <x v="1"/>
    <s v="GNR_HP_ELEC_COP-470"/>
    <x v="1"/>
    <x v="8"/>
    <n v="-0.20212765957446799"/>
    <n v="-49.1843971631206"/>
    <n v="-177.063829787234"/>
  </r>
  <r>
    <x v="0"/>
    <x v="0"/>
    <x v="0"/>
    <x v="0"/>
    <x v="0"/>
    <x v="7"/>
    <x v="5"/>
    <x v="1"/>
    <x v="1"/>
    <s v="GNR_HP_ELEC_COP-500"/>
    <x v="0"/>
    <x v="9"/>
    <n v="-0.1"/>
    <n v="-24.3333333333333"/>
    <n v="-87.6"/>
  </r>
  <r>
    <x v="0"/>
    <x v="0"/>
    <x v="0"/>
    <x v="0"/>
    <x v="0"/>
    <x v="7"/>
    <x v="5"/>
    <x v="1"/>
    <x v="1"/>
    <s v="GNR_HP_ELEC_COP-500"/>
    <x v="0"/>
    <x v="3"/>
    <n v="-0.1"/>
    <n v="-24.3333333333333"/>
    <n v="-87.6"/>
  </r>
  <r>
    <x v="0"/>
    <x v="0"/>
    <x v="0"/>
    <x v="0"/>
    <x v="0"/>
    <x v="7"/>
    <x v="5"/>
    <x v="1"/>
    <x v="1"/>
    <s v="GNR_HP_ELEC_COP-500"/>
    <x v="0"/>
    <x v="10"/>
    <n v="-0.1"/>
    <n v="-24.3333333333333"/>
    <n v="-87.6"/>
  </r>
  <r>
    <x v="0"/>
    <x v="0"/>
    <x v="0"/>
    <x v="0"/>
    <x v="0"/>
    <x v="7"/>
    <x v="5"/>
    <x v="1"/>
    <x v="1"/>
    <s v="GNR_HP_ELEC_COP-500"/>
    <x v="0"/>
    <x v="4"/>
    <n v="-0.1"/>
    <n v="-24.3333333333333"/>
    <n v="-87.6"/>
  </r>
  <r>
    <x v="0"/>
    <x v="0"/>
    <x v="0"/>
    <x v="0"/>
    <x v="0"/>
    <x v="7"/>
    <x v="5"/>
    <x v="1"/>
    <x v="1"/>
    <s v="GNR_HP_ELEC_COP-500"/>
    <x v="0"/>
    <x v="6"/>
    <n v="-0.1"/>
    <n v="-24.3333333333333"/>
    <n v="-87.6"/>
  </r>
  <r>
    <x v="0"/>
    <x v="0"/>
    <x v="0"/>
    <x v="0"/>
    <x v="0"/>
    <x v="7"/>
    <x v="5"/>
    <x v="1"/>
    <x v="1"/>
    <s v="GNR_HP_ELEC_COP-500"/>
    <x v="0"/>
    <x v="7"/>
    <n v="-0.1"/>
    <n v="-24.3333333333333"/>
    <n v="-87.6"/>
  </r>
  <r>
    <x v="0"/>
    <x v="0"/>
    <x v="0"/>
    <x v="0"/>
    <x v="0"/>
    <x v="7"/>
    <x v="5"/>
    <x v="1"/>
    <x v="1"/>
    <s v="GNR_HP_ELEC_COP-500"/>
    <x v="0"/>
    <x v="1"/>
    <n v="-0.1"/>
    <n v="-24.3333333333333"/>
    <n v="-87.6"/>
  </r>
  <r>
    <x v="0"/>
    <x v="0"/>
    <x v="0"/>
    <x v="0"/>
    <x v="0"/>
    <x v="7"/>
    <x v="5"/>
    <x v="1"/>
    <x v="1"/>
    <s v="GNR_HP_ELEC_COP-500"/>
    <x v="0"/>
    <x v="2"/>
    <n v="-0.1"/>
    <n v="-24.3333333333333"/>
    <n v="-87.6"/>
  </r>
  <r>
    <x v="0"/>
    <x v="0"/>
    <x v="0"/>
    <x v="0"/>
    <x v="0"/>
    <x v="7"/>
    <x v="5"/>
    <x v="1"/>
    <x v="1"/>
    <s v="GNR_HP_ELEC_COP-500"/>
    <x v="0"/>
    <x v="5"/>
    <n v="-0.1"/>
    <n v="-24.3333333333333"/>
    <n v="-87.6"/>
  </r>
  <r>
    <x v="0"/>
    <x v="0"/>
    <x v="0"/>
    <x v="0"/>
    <x v="0"/>
    <x v="7"/>
    <x v="5"/>
    <x v="1"/>
    <x v="1"/>
    <s v="GNR_HP_ELEC_COP-500"/>
    <x v="0"/>
    <x v="11"/>
    <n v="-0.1"/>
    <n v="-24.3333333333333"/>
    <n v="-87.6"/>
  </r>
  <r>
    <x v="0"/>
    <x v="0"/>
    <x v="0"/>
    <x v="0"/>
    <x v="0"/>
    <x v="7"/>
    <x v="5"/>
    <x v="1"/>
    <x v="1"/>
    <s v="GNR_HP_ELEC_COP-500"/>
    <x v="0"/>
    <x v="8"/>
    <n v="-0.1"/>
    <n v="-24.3333333333333"/>
    <n v="-87.6"/>
  </r>
  <r>
    <x v="0"/>
    <x v="0"/>
    <x v="0"/>
    <x v="0"/>
    <x v="0"/>
    <x v="7"/>
    <x v="5"/>
    <x v="1"/>
    <x v="1"/>
    <s v="GNR_HP_ELEC_COP-500"/>
    <x v="2"/>
    <x v="9"/>
    <n v="-0.1"/>
    <n v="-24.3333333333333"/>
    <n v="-87.6"/>
  </r>
  <r>
    <x v="0"/>
    <x v="0"/>
    <x v="0"/>
    <x v="0"/>
    <x v="0"/>
    <x v="7"/>
    <x v="5"/>
    <x v="1"/>
    <x v="1"/>
    <s v="GNR_HP_ELEC_COP-500"/>
    <x v="2"/>
    <x v="3"/>
    <n v="-0.1"/>
    <n v="-24.3333333333333"/>
    <n v="-87.6"/>
  </r>
  <r>
    <x v="0"/>
    <x v="0"/>
    <x v="0"/>
    <x v="0"/>
    <x v="0"/>
    <x v="7"/>
    <x v="5"/>
    <x v="1"/>
    <x v="1"/>
    <s v="GNR_HP_ELEC_COP-500"/>
    <x v="2"/>
    <x v="10"/>
    <n v="-0.1"/>
    <n v="-24.3333333333333"/>
    <n v="-87.6"/>
  </r>
  <r>
    <x v="0"/>
    <x v="0"/>
    <x v="0"/>
    <x v="0"/>
    <x v="0"/>
    <x v="7"/>
    <x v="5"/>
    <x v="1"/>
    <x v="1"/>
    <s v="GNR_HP_ELEC_COP-500"/>
    <x v="2"/>
    <x v="4"/>
    <n v="-0.1"/>
    <n v="-24.3333333333333"/>
    <n v="-87.6"/>
  </r>
  <r>
    <x v="0"/>
    <x v="0"/>
    <x v="0"/>
    <x v="0"/>
    <x v="0"/>
    <x v="7"/>
    <x v="5"/>
    <x v="1"/>
    <x v="1"/>
    <s v="GNR_HP_ELEC_COP-500"/>
    <x v="2"/>
    <x v="6"/>
    <n v="-0.1"/>
    <n v="-24.3333333333333"/>
    <n v="-87.6"/>
  </r>
  <r>
    <x v="0"/>
    <x v="0"/>
    <x v="0"/>
    <x v="0"/>
    <x v="0"/>
    <x v="7"/>
    <x v="5"/>
    <x v="1"/>
    <x v="1"/>
    <s v="GNR_HP_ELEC_COP-500"/>
    <x v="2"/>
    <x v="7"/>
    <n v="-0.1"/>
    <n v="-24.3333333333333"/>
    <n v="-87.6"/>
  </r>
  <r>
    <x v="0"/>
    <x v="0"/>
    <x v="0"/>
    <x v="0"/>
    <x v="0"/>
    <x v="7"/>
    <x v="5"/>
    <x v="1"/>
    <x v="1"/>
    <s v="GNR_HP_ELEC_COP-500"/>
    <x v="2"/>
    <x v="0"/>
    <n v="-0.1"/>
    <n v="-24.3333333333333"/>
    <n v="-87.6"/>
  </r>
  <r>
    <x v="0"/>
    <x v="0"/>
    <x v="0"/>
    <x v="0"/>
    <x v="0"/>
    <x v="7"/>
    <x v="5"/>
    <x v="1"/>
    <x v="1"/>
    <s v="GNR_HP_ELEC_COP-500"/>
    <x v="2"/>
    <x v="1"/>
    <n v="-0.1"/>
    <n v="-24.3333333333333"/>
    <n v="-87.6"/>
  </r>
  <r>
    <x v="0"/>
    <x v="0"/>
    <x v="0"/>
    <x v="0"/>
    <x v="0"/>
    <x v="7"/>
    <x v="5"/>
    <x v="1"/>
    <x v="1"/>
    <s v="GNR_HP_ELEC_COP-500"/>
    <x v="2"/>
    <x v="2"/>
    <n v="-0.1"/>
    <n v="-24.3333333333333"/>
    <n v="-87.6"/>
  </r>
  <r>
    <x v="0"/>
    <x v="0"/>
    <x v="0"/>
    <x v="0"/>
    <x v="0"/>
    <x v="7"/>
    <x v="5"/>
    <x v="1"/>
    <x v="1"/>
    <s v="GNR_HP_ELEC_COP-500"/>
    <x v="2"/>
    <x v="5"/>
    <n v="-0.1"/>
    <n v="-24.3333333333333"/>
    <n v="-87.6"/>
  </r>
  <r>
    <x v="0"/>
    <x v="0"/>
    <x v="0"/>
    <x v="0"/>
    <x v="0"/>
    <x v="7"/>
    <x v="5"/>
    <x v="1"/>
    <x v="1"/>
    <s v="GNR_HP_ELEC_COP-500"/>
    <x v="2"/>
    <x v="11"/>
    <n v="-0.1"/>
    <n v="-24.3333333333333"/>
    <n v="-87.6"/>
  </r>
  <r>
    <x v="0"/>
    <x v="0"/>
    <x v="0"/>
    <x v="0"/>
    <x v="0"/>
    <x v="7"/>
    <x v="5"/>
    <x v="1"/>
    <x v="1"/>
    <s v="GNR_HP_ELEC_COP-500"/>
    <x v="2"/>
    <x v="8"/>
    <n v="-0.1"/>
    <n v="-24.3333333333333"/>
    <n v="-87.6"/>
  </r>
  <r>
    <x v="0"/>
    <x v="0"/>
    <x v="0"/>
    <x v="0"/>
    <x v="0"/>
    <x v="7"/>
    <x v="5"/>
    <x v="1"/>
    <x v="1"/>
    <s v="GNR_HP_ELEC_COP-500"/>
    <x v="1"/>
    <x v="9"/>
    <n v="-0.1"/>
    <n v="-24.3333333333333"/>
    <n v="-87.6"/>
  </r>
  <r>
    <x v="0"/>
    <x v="0"/>
    <x v="0"/>
    <x v="0"/>
    <x v="0"/>
    <x v="7"/>
    <x v="5"/>
    <x v="1"/>
    <x v="1"/>
    <s v="GNR_HP_ELEC_COP-500"/>
    <x v="1"/>
    <x v="3"/>
    <n v="-0.1"/>
    <n v="-24.3333333333333"/>
    <n v="-87.6"/>
  </r>
  <r>
    <x v="0"/>
    <x v="0"/>
    <x v="0"/>
    <x v="0"/>
    <x v="0"/>
    <x v="7"/>
    <x v="5"/>
    <x v="1"/>
    <x v="1"/>
    <s v="GNR_HP_ELEC_COP-500"/>
    <x v="1"/>
    <x v="10"/>
    <n v="-0.1"/>
    <n v="-24.3333333333333"/>
    <n v="-87.6"/>
  </r>
  <r>
    <x v="0"/>
    <x v="0"/>
    <x v="0"/>
    <x v="0"/>
    <x v="0"/>
    <x v="7"/>
    <x v="5"/>
    <x v="1"/>
    <x v="1"/>
    <s v="GNR_HP_ELEC_COP-500"/>
    <x v="1"/>
    <x v="4"/>
    <n v="-0.1"/>
    <n v="-24.3333333333333"/>
    <n v="-87.6"/>
  </r>
  <r>
    <x v="0"/>
    <x v="0"/>
    <x v="0"/>
    <x v="0"/>
    <x v="0"/>
    <x v="7"/>
    <x v="5"/>
    <x v="1"/>
    <x v="1"/>
    <s v="GNR_HP_ELEC_COP-500"/>
    <x v="1"/>
    <x v="6"/>
    <n v="-0.1"/>
    <n v="-24.3333333333333"/>
    <n v="-87.6"/>
  </r>
  <r>
    <x v="0"/>
    <x v="0"/>
    <x v="0"/>
    <x v="0"/>
    <x v="0"/>
    <x v="7"/>
    <x v="5"/>
    <x v="1"/>
    <x v="1"/>
    <s v="GNR_HP_ELEC_COP-500"/>
    <x v="1"/>
    <x v="7"/>
    <n v="-0.1"/>
    <n v="-24.3333333333333"/>
    <n v="-87.6"/>
  </r>
  <r>
    <x v="0"/>
    <x v="0"/>
    <x v="0"/>
    <x v="0"/>
    <x v="0"/>
    <x v="7"/>
    <x v="5"/>
    <x v="1"/>
    <x v="1"/>
    <s v="GNR_HP_ELEC_COP-500"/>
    <x v="1"/>
    <x v="0"/>
    <n v="-0.1"/>
    <n v="-24.3333333333333"/>
    <n v="-87.6"/>
  </r>
  <r>
    <x v="0"/>
    <x v="0"/>
    <x v="0"/>
    <x v="0"/>
    <x v="0"/>
    <x v="7"/>
    <x v="5"/>
    <x v="1"/>
    <x v="1"/>
    <s v="GNR_HP_ELEC_COP-500"/>
    <x v="1"/>
    <x v="1"/>
    <n v="-0.1"/>
    <n v="-24.3333333333333"/>
    <n v="-87.6"/>
  </r>
  <r>
    <x v="0"/>
    <x v="0"/>
    <x v="0"/>
    <x v="0"/>
    <x v="0"/>
    <x v="7"/>
    <x v="5"/>
    <x v="1"/>
    <x v="1"/>
    <s v="GNR_HP_ELEC_COP-500"/>
    <x v="1"/>
    <x v="2"/>
    <n v="-0.1"/>
    <n v="-24.3333333333333"/>
    <n v="-87.6"/>
  </r>
  <r>
    <x v="0"/>
    <x v="0"/>
    <x v="0"/>
    <x v="0"/>
    <x v="0"/>
    <x v="7"/>
    <x v="5"/>
    <x v="1"/>
    <x v="1"/>
    <s v="GNR_HP_ELEC_COP-500"/>
    <x v="1"/>
    <x v="5"/>
    <n v="-0.1"/>
    <n v="-24.3333333333333"/>
    <n v="-87.6"/>
  </r>
  <r>
    <x v="0"/>
    <x v="0"/>
    <x v="0"/>
    <x v="0"/>
    <x v="0"/>
    <x v="7"/>
    <x v="5"/>
    <x v="1"/>
    <x v="1"/>
    <s v="GNR_HP_ELEC_COP-500"/>
    <x v="1"/>
    <x v="11"/>
    <n v="-0.1"/>
    <n v="-24.3333333333333"/>
    <n v="-87.6"/>
  </r>
  <r>
    <x v="0"/>
    <x v="0"/>
    <x v="0"/>
    <x v="0"/>
    <x v="0"/>
    <x v="7"/>
    <x v="5"/>
    <x v="1"/>
    <x v="1"/>
    <s v="GNR_HP_ELEC_COP-500"/>
    <x v="1"/>
    <x v="8"/>
    <n v="-0.1"/>
    <n v="-24.3333333333333"/>
    <n v="-87.6"/>
  </r>
  <r>
    <x v="0"/>
    <x v="0"/>
    <x v="0"/>
    <x v="0"/>
    <x v="0"/>
    <x v="7"/>
    <x v="5"/>
    <x v="1"/>
    <x v="1"/>
    <s v="GNR_HP_ELEC_COP-530"/>
    <x v="0"/>
    <x v="9"/>
    <n v="-0.25471698113207603"/>
    <n v="-61.981132075471699"/>
    <n v="-223.13207547169799"/>
  </r>
  <r>
    <x v="0"/>
    <x v="0"/>
    <x v="0"/>
    <x v="0"/>
    <x v="0"/>
    <x v="7"/>
    <x v="5"/>
    <x v="1"/>
    <x v="1"/>
    <s v="GNR_HP_ELEC_COP-530"/>
    <x v="0"/>
    <x v="3"/>
    <n v="-0.25471698113207603"/>
    <n v="-61.981132075471699"/>
    <n v="-223.13207547169799"/>
  </r>
  <r>
    <x v="0"/>
    <x v="0"/>
    <x v="0"/>
    <x v="0"/>
    <x v="0"/>
    <x v="7"/>
    <x v="5"/>
    <x v="1"/>
    <x v="1"/>
    <s v="GNR_HP_ELEC_COP-530"/>
    <x v="0"/>
    <x v="10"/>
    <n v="-0.25471698113207603"/>
    <n v="-61.981132075471699"/>
    <n v="-223.13207547169799"/>
  </r>
  <r>
    <x v="0"/>
    <x v="0"/>
    <x v="0"/>
    <x v="0"/>
    <x v="0"/>
    <x v="7"/>
    <x v="5"/>
    <x v="1"/>
    <x v="1"/>
    <s v="GNR_HP_ELEC_COP-530"/>
    <x v="0"/>
    <x v="4"/>
    <n v="-0.25471698113207603"/>
    <n v="-61.981132075471699"/>
    <n v="-223.13207547169799"/>
  </r>
  <r>
    <x v="0"/>
    <x v="0"/>
    <x v="0"/>
    <x v="0"/>
    <x v="0"/>
    <x v="7"/>
    <x v="5"/>
    <x v="1"/>
    <x v="1"/>
    <s v="GNR_HP_ELEC_COP-530"/>
    <x v="0"/>
    <x v="6"/>
    <n v="-0.25471698113207603"/>
    <n v="-61.981132075471699"/>
    <n v="-223.13207547169799"/>
  </r>
  <r>
    <x v="0"/>
    <x v="0"/>
    <x v="0"/>
    <x v="0"/>
    <x v="0"/>
    <x v="7"/>
    <x v="5"/>
    <x v="1"/>
    <x v="1"/>
    <s v="GNR_HP_ELEC_COP-530"/>
    <x v="0"/>
    <x v="7"/>
    <n v="-0.25471698113207603"/>
    <n v="-61.981132075471699"/>
    <n v="-223.13207547169799"/>
  </r>
  <r>
    <x v="0"/>
    <x v="0"/>
    <x v="0"/>
    <x v="0"/>
    <x v="0"/>
    <x v="7"/>
    <x v="5"/>
    <x v="1"/>
    <x v="1"/>
    <s v="GNR_HP_ELEC_COP-530"/>
    <x v="0"/>
    <x v="0"/>
    <n v="-0.25471698113207603"/>
    <n v="-61.981132075471699"/>
    <n v="-223.13207547169799"/>
  </r>
  <r>
    <x v="0"/>
    <x v="0"/>
    <x v="0"/>
    <x v="0"/>
    <x v="0"/>
    <x v="7"/>
    <x v="5"/>
    <x v="1"/>
    <x v="1"/>
    <s v="GNR_HP_ELEC_COP-530"/>
    <x v="0"/>
    <x v="1"/>
    <n v="-0.25471698113207603"/>
    <n v="-61.981132075471699"/>
    <n v="-223.13207547169799"/>
  </r>
  <r>
    <x v="0"/>
    <x v="0"/>
    <x v="0"/>
    <x v="0"/>
    <x v="0"/>
    <x v="7"/>
    <x v="5"/>
    <x v="1"/>
    <x v="1"/>
    <s v="GNR_HP_ELEC_COP-530"/>
    <x v="0"/>
    <x v="2"/>
    <n v="-0.25471698113207603"/>
    <n v="-61.981132075471699"/>
    <n v="-223.13207547169799"/>
  </r>
  <r>
    <x v="0"/>
    <x v="0"/>
    <x v="0"/>
    <x v="0"/>
    <x v="0"/>
    <x v="7"/>
    <x v="5"/>
    <x v="1"/>
    <x v="1"/>
    <s v="GNR_HP_ELEC_COP-530"/>
    <x v="0"/>
    <x v="5"/>
    <n v="-0.25471698113207603"/>
    <n v="-61.981132075471699"/>
    <n v="-223.13207547169799"/>
  </r>
  <r>
    <x v="0"/>
    <x v="0"/>
    <x v="0"/>
    <x v="0"/>
    <x v="0"/>
    <x v="7"/>
    <x v="5"/>
    <x v="1"/>
    <x v="1"/>
    <s v="GNR_HP_ELEC_COP-530"/>
    <x v="0"/>
    <x v="11"/>
    <n v="-0.25471698113207603"/>
    <n v="-61.981132075471699"/>
    <n v="-223.13207547169799"/>
  </r>
  <r>
    <x v="0"/>
    <x v="0"/>
    <x v="0"/>
    <x v="0"/>
    <x v="0"/>
    <x v="7"/>
    <x v="5"/>
    <x v="1"/>
    <x v="1"/>
    <s v="GNR_HP_ELEC_COP-530"/>
    <x v="0"/>
    <x v="8"/>
    <n v="-0.25471698113207603"/>
    <n v="-61.981132075471699"/>
    <n v="-223.13207547169799"/>
  </r>
  <r>
    <x v="0"/>
    <x v="0"/>
    <x v="0"/>
    <x v="0"/>
    <x v="0"/>
    <x v="7"/>
    <x v="5"/>
    <x v="1"/>
    <x v="1"/>
    <s v="GNR_HP_ELEC_COP-530"/>
    <x v="2"/>
    <x v="9"/>
    <n v="-0.25471698113207603"/>
    <n v="-61.981132075471699"/>
    <n v="-223.13207547169799"/>
  </r>
  <r>
    <x v="0"/>
    <x v="0"/>
    <x v="0"/>
    <x v="0"/>
    <x v="0"/>
    <x v="7"/>
    <x v="5"/>
    <x v="1"/>
    <x v="1"/>
    <s v="GNR_HP_ELEC_COP-530"/>
    <x v="2"/>
    <x v="3"/>
    <n v="-0.25471698113207603"/>
    <n v="-61.981132075471699"/>
    <n v="-223.13207547169799"/>
  </r>
  <r>
    <x v="0"/>
    <x v="0"/>
    <x v="0"/>
    <x v="0"/>
    <x v="0"/>
    <x v="7"/>
    <x v="5"/>
    <x v="1"/>
    <x v="1"/>
    <s v="GNR_HP_ELEC_COP-530"/>
    <x v="2"/>
    <x v="10"/>
    <n v="-0.25471698113207603"/>
    <n v="-61.981132075471699"/>
    <n v="-223.13207547169799"/>
  </r>
  <r>
    <x v="0"/>
    <x v="0"/>
    <x v="0"/>
    <x v="0"/>
    <x v="0"/>
    <x v="7"/>
    <x v="5"/>
    <x v="1"/>
    <x v="1"/>
    <s v="GNR_HP_ELEC_COP-530"/>
    <x v="2"/>
    <x v="4"/>
    <n v="-0.25471698113207603"/>
    <n v="-61.981132075471699"/>
    <n v="-223.13207547169799"/>
  </r>
  <r>
    <x v="0"/>
    <x v="0"/>
    <x v="0"/>
    <x v="0"/>
    <x v="0"/>
    <x v="7"/>
    <x v="5"/>
    <x v="1"/>
    <x v="1"/>
    <s v="GNR_HP_ELEC_COP-530"/>
    <x v="2"/>
    <x v="6"/>
    <n v="-0.25471698113207603"/>
    <n v="-61.981132075471699"/>
    <n v="-223.13207547169799"/>
  </r>
  <r>
    <x v="0"/>
    <x v="0"/>
    <x v="0"/>
    <x v="0"/>
    <x v="0"/>
    <x v="7"/>
    <x v="5"/>
    <x v="1"/>
    <x v="1"/>
    <s v="GNR_HP_ELEC_COP-530"/>
    <x v="2"/>
    <x v="7"/>
    <n v="-0.25471698113207603"/>
    <n v="-61.981132075471699"/>
    <n v="-223.13207547169799"/>
  </r>
  <r>
    <x v="0"/>
    <x v="0"/>
    <x v="0"/>
    <x v="0"/>
    <x v="0"/>
    <x v="7"/>
    <x v="5"/>
    <x v="1"/>
    <x v="1"/>
    <s v="GNR_HP_ELEC_COP-530"/>
    <x v="2"/>
    <x v="0"/>
    <n v="-0.25471698113207603"/>
    <n v="-61.981132075471699"/>
    <n v="-223.13207547169799"/>
  </r>
  <r>
    <x v="0"/>
    <x v="0"/>
    <x v="0"/>
    <x v="0"/>
    <x v="0"/>
    <x v="7"/>
    <x v="5"/>
    <x v="1"/>
    <x v="1"/>
    <s v="GNR_HP_ELEC_COP-530"/>
    <x v="2"/>
    <x v="1"/>
    <n v="-0.25471698113207603"/>
    <n v="-61.981132075471699"/>
    <n v="-223.13207547169799"/>
  </r>
  <r>
    <x v="0"/>
    <x v="0"/>
    <x v="0"/>
    <x v="0"/>
    <x v="0"/>
    <x v="7"/>
    <x v="5"/>
    <x v="1"/>
    <x v="1"/>
    <s v="GNR_HP_ELEC_COP-530"/>
    <x v="2"/>
    <x v="2"/>
    <n v="-0.25471698113207603"/>
    <n v="-61.981132075471699"/>
    <n v="-223.13207547169799"/>
  </r>
  <r>
    <x v="0"/>
    <x v="0"/>
    <x v="0"/>
    <x v="0"/>
    <x v="0"/>
    <x v="7"/>
    <x v="5"/>
    <x v="1"/>
    <x v="1"/>
    <s v="GNR_HP_ELEC_COP-530"/>
    <x v="2"/>
    <x v="5"/>
    <n v="-0.25471698113207603"/>
    <n v="-61.981132075471699"/>
    <n v="-223.13207547169799"/>
  </r>
  <r>
    <x v="0"/>
    <x v="0"/>
    <x v="0"/>
    <x v="0"/>
    <x v="0"/>
    <x v="7"/>
    <x v="5"/>
    <x v="1"/>
    <x v="1"/>
    <s v="GNR_HP_ELEC_COP-530"/>
    <x v="2"/>
    <x v="11"/>
    <n v="-0.25471698113207603"/>
    <n v="-61.981132075471699"/>
    <n v="-223.13207547169799"/>
  </r>
  <r>
    <x v="0"/>
    <x v="0"/>
    <x v="0"/>
    <x v="0"/>
    <x v="0"/>
    <x v="7"/>
    <x v="5"/>
    <x v="1"/>
    <x v="1"/>
    <s v="GNR_HP_ELEC_COP-530"/>
    <x v="2"/>
    <x v="8"/>
    <n v="-0.25471698113207603"/>
    <n v="-61.981132075471699"/>
    <n v="-223.13207547169799"/>
  </r>
  <r>
    <x v="0"/>
    <x v="0"/>
    <x v="0"/>
    <x v="0"/>
    <x v="0"/>
    <x v="7"/>
    <x v="5"/>
    <x v="1"/>
    <x v="1"/>
    <s v="GNR_HP_ELEC_COP-530"/>
    <x v="1"/>
    <x v="9"/>
    <n v="-0.25471698113207603"/>
    <n v="-61.981132075471699"/>
    <n v="-223.13207547169799"/>
  </r>
  <r>
    <x v="0"/>
    <x v="0"/>
    <x v="0"/>
    <x v="0"/>
    <x v="0"/>
    <x v="7"/>
    <x v="5"/>
    <x v="1"/>
    <x v="1"/>
    <s v="GNR_HP_ELEC_COP-530"/>
    <x v="1"/>
    <x v="3"/>
    <n v="-0.25471698113207603"/>
    <n v="-61.981132075471699"/>
    <n v="-223.13207547169799"/>
  </r>
  <r>
    <x v="0"/>
    <x v="0"/>
    <x v="0"/>
    <x v="0"/>
    <x v="0"/>
    <x v="7"/>
    <x v="5"/>
    <x v="1"/>
    <x v="1"/>
    <s v="GNR_HP_ELEC_COP-530"/>
    <x v="1"/>
    <x v="10"/>
    <n v="-0.25471698113207603"/>
    <n v="-61.981132075471699"/>
    <n v="-223.13207547169799"/>
  </r>
  <r>
    <x v="0"/>
    <x v="0"/>
    <x v="0"/>
    <x v="0"/>
    <x v="0"/>
    <x v="7"/>
    <x v="5"/>
    <x v="1"/>
    <x v="1"/>
    <s v="GNR_HP_ELEC_COP-530"/>
    <x v="1"/>
    <x v="4"/>
    <n v="-0.25471698113207603"/>
    <n v="-61.981132075471699"/>
    <n v="-223.13207547169799"/>
  </r>
  <r>
    <x v="0"/>
    <x v="0"/>
    <x v="0"/>
    <x v="0"/>
    <x v="0"/>
    <x v="7"/>
    <x v="5"/>
    <x v="1"/>
    <x v="1"/>
    <s v="GNR_HP_ELEC_COP-530"/>
    <x v="1"/>
    <x v="6"/>
    <n v="-0.25471698113207603"/>
    <n v="-61.981132075471699"/>
    <n v="-223.13207547169799"/>
  </r>
  <r>
    <x v="0"/>
    <x v="0"/>
    <x v="0"/>
    <x v="0"/>
    <x v="0"/>
    <x v="7"/>
    <x v="5"/>
    <x v="1"/>
    <x v="1"/>
    <s v="GNR_HP_ELEC_COP-530"/>
    <x v="1"/>
    <x v="7"/>
    <n v="-0.25471698113207603"/>
    <n v="-61.981132075471699"/>
    <n v="-223.13207547169799"/>
  </r>
  <r>
    <x v="0"/>
    <x v="0"/>
    <x v="0"/>
    <x v="0"/>
    <x v="0"/>
    <x v="7"/>
    <x v="5"/>
    <x v="1"/>
    <x v="1"/>
    <s v="GNR_HP_ELEC_COP-530"/>
    <x v="1"/>
    <x v="0"/>
    <n v="-0.25471698113207603"/>
    <n v="-61.981132075471699"/>
    <n v="-223.13207547169799"/>
  </r>
  <r>
    <x v="0"/>
    <x v="0"/>
    <x v="0"/>
    <x v="0"/>
    <x v="0"/>
    <x v="7"/>
    <x v="5"/>
    <x v="1"/>
    <x v="1"/>
    <s v="GNR_HP_ELEC_COP-530"/>
    <x v="1"/>
    <x v="1"/>
    <n v="-0.25471698113207603"/>
    <n v="-61.981132075471699"/>
    <n v="-223.13207547169799"/>
  </r>
  <r>
    <x v="0"/>
    <x v="0"/>
    <x v="0"/>
    <x v="0"/>
    <x v="0"/>
    <x v="7"/>
    <x v="5"/>
    <x v="1"/>
    <x v="1"/>
    <s v="GNR_HP_ELEC_COP-530"/>
    <x v="1"/>
    <x v="2"/>
    <n v="-0.25471698113207603"/>
    <n v="-61.981132075471699"/>
    <n v="-223.13207547169799"/>
  </r>
  <r>
    <x v="0"/>
    <x v="0"/>
    <x v="0"/>
    <x v="0"/>
    <x v="0"/>
    <x v="7"/>
    <x v="5"/>
    <x v="1"/>
    <x v="1"/>
    <s v="GNR_HP_ELEC_COP-530"/>
    <x v="1"/>
    <x v="5"/>
    <n v="-0.25471698113207603"/>
    <n v="-61.981132075471699"/>
    <n v="-223.13207547169799"/>
  </r>
  <r>
    <x v="0"/>
    <x v="0"/>
    <x v="0"/>
    <x v="0"/>
    <x v="0"/>
    <x v="7"/>
    <x v="5"/>
    <x v="1"/>
    <x v="1"/>
    <s v="GNR_HP_ELEC_COP-530"/>
    <x v="1"/>
    <x v="11"/>
    <n v="-0.25471698113207603"/>
    <n v="-61.981132075471699"/>
    <n v="-223.13207547169799"/>
  </r>
  <r>
    <x v="0"/>
    <x v="0"/>
    <x v="0"/>
    <x v="0"/>
    <x v="0"/>
    <x v="7"/>
    <x v="5"/>
    <x v="1"/>
    <x v="1"/>
    <s v="GNR_HP_ELEC_COP-530"/>
    <x v="1"/>
    <x v="8"/>
    <n v="-0.25471698113207603"/>
    <n v="-61.981132075471699"/>
    <n v="-223.13207547169799"/>
  </r>
  <r>
    <x v="0"/>
    <x v="0"/>
    <x v="0"/>
    <x v="0"/>
    <x v="0"/>
    <x v="7"/>
    <x v="5"/>
    <x v="1"/>
    <x v="1"/>
    <s v="GNR_HP_ELEC_COP-600"/>
    <x v="0"/>
    <x v="9"/>
    <n v="-0.05"/>
    <n v="-12.1666666666667"/>
    <n v="-43.8"/>
  </r>
  <r>
    <x v="0"/>
    <x v="0"/>
    <x v="0"/>
    <x v="0"/>
    <x v="0"/>
    <x v="7"/>
    <x v="5"/>
    <x v="1"/>
    <x v="1"/>
    <s v="GNR_HP_ELEC_COP-600"/>
    <x v="0"/>
    <x v="3"/>
    <n v="-0.05"/>
    <n v="-12.1666666666667"/>
    <n v="-43.8"/>
  </r>
  <r>
    <x v="0"/>
    <x v="0"/>
    <x v="0"/>
    <x v="0"/>
    <x v="0"/>
    <x v="7"/>
    <x v="5"/>
    <x v="1"/>
    <x v="1"/>
    <s v="GNR_HP_ELEC_COP-600"/>
    <x v="0"/>
    <x v="10"/>
    <n v="-0.05"/>
    <n v="-12.1666666666667"/>
    <n v="-43.8"/>
  </r>
  <r>
    <x v="0"/>
    <x v="0"/>
    <x v="0"/>
    <x v="0"/>
    <x v="0"/>
    <x v="7"/>
    <x v="5"/>
    <x v="1"/>
    <x v="1"/>
    <s v="GNR_HP_ELEC_COP-600"/>
    <x v="0"/>
    <x v="4"/>
    <n v="-0.05"/>
    <n v="-12.1666666666667"/>
    <n v="-43.8"/>
  </r>
  <r>
    <x v="0"/>
    <x v="0"/>
    <x v="0"/>
    <x v="0"/>
    <x v="0"/>
    <x v="7"/>
    <x v="5"/>
    <x v="1"/>
    <x v="1"/>
    <s v="GNR_HP_ELEC_COP-600"/>
    <x v="0"/>
    <x v="6"/>
    <n v="-0.05"/>
    <n v="-12.1666666666667"/>
    <n v="-43.8"/>
  </r>
  <r>
    <x v="0"/>
    <x v="0"/>
    <x v="0"/>
    <x v="0"/>
    <x v="0"/>
    <x v="7"/>
    <x v="5"/>
    <x v="1"/>
    <x v="1"/>
    <s v="GNR_HP_ELEC_COP-600"/>
    <x v="0"/>
    <x v="7"/>
    <n v="-0.05"/>
    <n v="-12.1666666666667"/>
    <n v="-43.8"/>
  </r>
  <r>
    <x v="0"/>
    <x v="0"/>
    <x v="0"/>
    <x v="0"/>
    <x v="0"/>
    <x v="7"/>
    <x v="5"/>
    <x v="1"/>
    <x v="1"/>
    <s v="GNR_HP_ELEC_COP-600"/>
    <x v="0"/>
    <x v="0"/>
    <n v="-0.05"/>
    <n v="-12.1666666666667"/>
    <n v="-43.8"/>
  </r>
  <r>
    <x v="0"/>
    <x v="0"/>
    <x v="0"/>
    <x v="0"/>
    <x v="0"/>
    <x v="7"/>
    <x v="5"/>
    <x v="1"/>
    <x v="1"/>
    <s v="GNR_HP_ELEC_COP-600"/>
    <x v="0"/>
    <x v="1"/>
    <n v="-0.05"/>
    <n v="-12.1666666666667"/>
    <n v="-43.8"/>
  </r>
  <r>
    <x v="0"/>
    <x v="0"/>
    <x v="0"/>
    <x v="0"/>
    <x v="0"/>
    <x v="7"/>
    <x v="5"/>
    <x v="1"/>
    <x v="1"/>
    <s v="GNR_HP_ELEC_COP-600"/>
    <x v="0"/>
    <x v="2"/>
    <n v="-0.05"/>
    <n v="-12.1666666666667"/>
    <n v="-43.8"/>
  </r>
  <r>
    <x v="0"/>
    <x v="0"/>
    <x v="0"/>
    <x v="0"/>
    <x v="0"/>
    <x v="7"/>
    <x v="5"/>
    <x v="1"/>
    <x v="1"/>
    <s v="GNR_HP_ELEC_COP-600"/>
    <x v="0"/>
    <x v="5"/>
    <n v="-0.05"/>
    <n v="-12.1666666666667"/>
    <n v="-43.8"/>
  </r>
  <r>
    <x v="0"/>
    <x v="0"/>
    <x v="0"/>
    <x v="0"/>
    <x v="0"/>
    <x v="7"/>
    <x v="5"/>
    <x v="1"/>
    <x v="1"/>
    <s v="GNR_HP_ELEC_COP-600"/>
    <x v="0"/>
    <x v="11"/>
    <n v="-0.05"/>
    <n v="-12.1666666666667"/>
    <n v="-43.8"/>
  </r>
  <r>
    <x v="0"/>
    <x v="0"/>
    <x v="0"/>
    <x v="0"/>
    <x v="0"/>
    <x v="7"/>
    <x v="5"/>
    <x v="1"/>
    <x v="1"/>
    <s v="GNR_HP_ELEC_COP-600"/>
    <x v="0"/>
    <x v="8"/>
    <n v="-0.05"/>
    <n v="-12.1666666666667"/>
    <n v="-43.8"/>
  </r>
  <r>
    <x v="0"/>
    <x v="0"/>
    <x v="0"/>
    <x v="0"/>
    <x v="0"/>
    <x v="7"/>
    <x v="5"/>
    <x v="1"/>
    <x v="1"/>
    <s v="GNR_HP_ELEC_COP-600"/>
    <x v="2"/>
    <x v="9"/>
    <n v="-0.05"/>
    <n v="-12.1666666666667"/>
    <n v="-43.8"/>
  </r>
  <r>
    <x v="0"/>
    <x v="0"/>
    <x v="0"/>
    <x v="0"/>
    <x v="0"/>
    <x v="7"/>
    <x v="5"/>
    <x v="1"/>
    <x v="1"/>
    <s v="GNR_HP_ELEC_COP-600"/>
    <x v="2"/>
    <x v="3"/>
    <n v="-0.05"/>
    <n v="-12.1666666666667"/>
    <n v="-43.8"/>
  </r>
  <r>
    <x v="0"/>
    <x v="0"/>
    <x v="0"/>
    <x v="0"/>
    <x v="0"/>
    <x v="7"/>
    <x v="5"/>
    <x v="1"/>
    <x v="1"/>
    <s v="GNR_HP_ELEC_COP-600"/>
    <x v="2"/>
    <x v="10"/>
    <n v="-0.05"/>
    <n v="-12.1666666666667"/>
    <n v="-43.8"/>
  </r>
  <r>
    <x v="0"/>
    <x v="0"/>
    <x v="0"/>
    <x v="0"/>
    <x v="0"/>
    <x v="7"/>
    <x v="5"/>
    <x v="1"/>
    <x v="1"/>
    <s v="GNR_HP_ELEC_COP-600"/>
    <x v="2"/>
    <x v="4"/>
    <n v="-0.05"/>
    <n v="-12.1666666666667"/>
    <n v="-43.8"/>
  </r>
  <r>
    <x v="0"/>
    <x v="0"/>
    <x v="0"/>
    <x v="0"/>
    <x v="0"/>
    <x v="7"/>
    <x v="5"/>
    <x v="1"/>
    <x v="1"/>
    <s v="GNR_HP_ELEC_COP-600"/>
    <x v="2"/>
    <x v="6"/>
    <n v="-0.05"/>
    <n v="-12.1666666666667"/>
    <n v="-43.8"/>
  </r>
  <r>
    <x v="0"/>
    <x v="0"/>
    <x v="0"/>
    <x v="0"/>
    <x v="0"/>
    <x v="7"/>
    <x v="5"/>
    <x v="1"/>
    <x v="1"/>
    <s v="GNR_HP_ELEC_COP-600"/>
    <x v="2"/>
    <x v="7"/>
    <n v="-0.05"/>
    <n v="-12.1666666666667"/>
    <n v="-43.8"/>
  </r>
  <r>
    <x v="0"/>
    <x v="0"/>
    <x v="0"/>
    <x v="0"/>
    <x v="0"/>
    <x v="7"/>
    <x v="5"/>
    <x v="1"/>
    <x v="1"/>
    <s v="GNR_HP_ELEC_COP-600"/>
    <x v="2"/>
    <x v="0"/>
    <n v="-0.05"/>
    <n v="-12.1666666666667"/>
    <n v="-43.8"/>
  </r>
  <r>
    <x v="0"/>
    <x v="0"/>
    <x v="0"/>
    <x v="0"/>
    <x v="0"/>
    <x v="7"/>
    <x v="5"/>
    <x v="1"/>
    <x v="1"/>
    <s v="GNR_HP_ELEC_COP-600"/>
    <x v="2"/>
    <x v="1"/>
    <n v="-0.05"/>
    <n v="-12.1666666666667"/>
    <n v="-43.8"/>
  </r>
  <r>
    <x v="0"/>
    <x v="0"/>
    <x v="0"/>
    <x v="0"/>
    <x v="0"/>
    <x v="7"/>
    <x v="5"/>
    <x v="1"/>
    <x v="1"/>
    <s v="GNR_HP_ELEC_COP-600"/>
    <x v="2"/>
    <x v="2"/>
    <n v="-0.05"/>
    <n v="-12.1666666666667"/>
    <n v="-43.8"/>
  </r>
  <r>
    <x v="0"/>
    <x v="0"/>
    <x v="0"/>
    <x v="0"/>
    <x v="0"/>
    <x v="7"/>
    <x v="5"/>
    <x v="1"/>
    <x v="1"/>
    <s v="GNR_HP_ELEC_COP-600"/>
    <x v="2"/>
    <x v="5"/>
    <n v="-0.05"/>
    <n v="-12.1666666666667"/>
    <n v="-43.8"/>
  </r>
  <r>
    <x v="0"/>
    <x v="0"/>
    <x v="0"/>
    <x v="0"/>
    <x v="0"/>
    <x v="7"/>
    <x v="5"/>
    <x v="1"/>
    <x v="1"/>
    <s v="GNR_HP_ELEC_COP-600"/>
    <x v="2"/>
    <x v="11"/>
    <n v="-0.05"/>
    <n v="-12.1666666666667"/>
    <n v="-43.8"/>
  </r>
  <r>
    <x v="0"/>
    <x v="0"/>
    <x v="0"/>
    <x v="0"/>
    <x v="0"/>
    <x v="7"/>
    <x v="5"/>
    <x v="1"/>
    <x v="1"/>
    <s v="GNR_HP_ELEC_COP-600"/>
    <x v="2"/>
    <x v="8"/>
    <n v="-0.05"/>
    <n v="-12.1666666666667"/>
    <n v="-43.8"/>
  </r>
  <r>
    <x v="0"/>
    <x v="0"/>
    <x v="0"/>
    <x v="0"/>
    <x v="0"/>
    <x v="7"/>
    <x v="5"/>
    <x v="1"/>
    <x v="1"/>
    <s v="GNR_HP_ELEC_COP-600"/>
    <x v="1"/>
    <x v="9"/>
    <n v="-0.05"/>
    <n v="-12.1666666666667"/>
    <n v="-43.8"/>
  </r>
  <r>
    <x v="0"/>
    <x v="0"/>
    <x v="0"/>
    <x v="0"/>
    <x v="0"/>
    <x v="7"/>
    <x v="5"/>
    <x v="1"/>
    <x v="1"/>
    <s v="GNR_HP_ELEC_COP-600"/>
    <x v="1"/>
    <x v="3"/>
    <n v="-0.05"/>
    <n v="-12.1666666666667"/>
    <n v="-43.8"/>
  </r>
  <r>
    <x v="0"/>
    <x v="0"/>
    <x v="0"/>
    <x v="0"/>
    <x v="0"/>
    <x v="7"/>
    <x v="5"/>
    <x v="1"/>
    <x v="1"/>
    <s v="GNR_HP_ELEC_COP-600"/>
    <x v="1"/>
    <x v="10"/>
    <n v="-0.05"/>
    <n v="-12.1666666666667"/>
    <n v="-43.8"/>
  </r>
  <r>
    <x v="0"/>
    <x v="0"/>
    <x v="0"/>
    <x v="0"/>
    <x v="0"/>
    <x v="7"/>
    <x v="5"/>
    <x v="1"/>
    <x v="1"/>
    <s v="GNR_HP_ELEC_COP-600"/>
    <x v="1"/>
    <x v="4"/>
    <n v="-0.05"/>
    <n v="-12.1666666666667"/>
    <n v="-43.8"/>
  </r>
  <r>
    <x v="0"/>
    <x v="0"/>
    <x v="0"/>
    <x v="0"/>
    <x v="0"/>
    <x v="7"/>
    <x v="5"/>
    <x v="1"/>
    <x v="1"/>
    <s v="GNR_HP_ELEC_COP-600"/>
    <x v="1"/>
    <x v="6"/>
    <n v="-0.05"/>
    <n v="-12.1666666666667"/>
    <n v="-43.8"/>
  </r>
  <r>
    <x v="0"/>
    <x v="0"/>
    <x v="0"/>
    <x v="0"/>
    <x v="0"/>
    <x v="7"/>
    <x v="5"/>
    <x v="1"/>
    <x v="1"/>
    <s v="GNR_HP_ELEC_COP-600"/>
    <x v="1"/>
    <x v="7"/>
    <n v="-0.05"/>
    <n v="-12.1666666666667"/>
    <n v="-43.8"/>
  </r>
  <r>
    <x v="0"/>
    <x v="0"/>
    <x v="0"/>
    <x v="0"/>
    <x v="0"/>
    <x v="7"/>
    <x v="5"/>
    <x v="1"/>
    <x v="1"/>
    <s v="GNR_HP_ELEC_COP-600"/>
    <x v="1"/>
    <x v="0"/>
    <n v="-0.05"/>
    <n v="-12.1666666666667"/>
    <n v="-43.8"/>
  </r>
  <r>
    <x v="0"/>
    <x v="0"/>
    <x v="0"/>
    <x v="0"/>
    <x v="0"/>
    <x v="7"/>
    <x v="5"/>
    <x v="1"/>
    <x v="1"/>
    <s v="GNR_HP_ELEC_COP-600"/>
    <x v="1"/>
    <x v="1"/>
    <n v="-0.05"/>
    <n v="-12.1666666666667"/>
    <n v="-43.8"/>
  </r>
  <r>
    <x v="0"/>
    <x v="0"/>
    <x v="0"/>
    <x v="0"/>
    <x v="0"/>
    <x v="7"/>
    <x v="5"/>
    <x v="1"/>
    <x v="1"/>
    <s v="GNR_HP_ELEC_COP-600"/>
    <x v="1"/>
    <x v="2"/>
    <n v="-0.05"/>
    <n v="-12.1666666666667"/>
    <n v="-43.8"/>
  </r>
  <r>
    <x v="0"/>
    <x v="0"/>
    <x v="0"/>
    <x v="0"/>
    <x v="0"/>
    <x v="7"/>
    <x v="5"/>
    <x v="1"/>
    <x v="1"/>
    <s v="GNR_HP_ELEC_COP-600"/>
    <x v="1"/>
    <x v="5"/>
    <n v="-0.05"/>
    <n v="-12.1666666666667"/>
    <n v="-43.8"/>
  </r>
  <r>
    <x v="0"/>
    <x v="0"/>
    <x v="0"/>
    <x v="0"/>
    <x v="0"/>
    <x v="7"/>
    <x v="5"/>
    <x v="1"/>
    <x v="1"/>
    <s v="GNR_HP_ELEC_COP-600"/>
    <x v="1"/>
    <x v="11"/>
    <n v="-0.05"/>
    <n v="-12.1666666666667"/>
    <n v="-43.8"/>
  </r>
  <r>
    <x v="0"/>
    <x v="0"/>
    <x v="0"/>
    <x v="0"/>
    <x v="0"/>
    <x v="7"/>
    <x v="5"/>
    <x v="1"/>
    <x v="1"/>
    <s v="GNR_HP_ELEC_COP-600"/>
    <x v="1"/>
    <x v="8"/>
    <n v="-0.05"/>
    <n v="-12.1666666666667"/>
    <n v="-43.8"/>
  </r>
  <r>
    <x v="0"/>
    <x v="0"/>
    <x v="0"/>
    <x v="0"/>
    <x v="0"/>
    <x v="7"/>
    <x v="5"/>
    <x v="1"/>
    <x v="1"/>
    <s v="GNR_HP_ELEC_GROUND-WTR_COP-380_LS-4-MW_Y-2030"/>
    <x v="0"/>
    <x v="9"/>
    <n v="-19.481318230852001"/>
    <n v="-4740.4541028406602"/>
    <n v="-17065.634770226399"/>
  </r>
  <r>
    <x v="0"/>
    <x v="0"/>
    <x v="0"/>
    <x v="0"/>
    <x v="0"/>
    <x v="7"/>
    <x v="5"/>
    <x v="1"/>
    <x v="1"/>
    <s v="GNR_HP_ELEC_GROUND-WTR_COP-380_LS-4-MW_Y-2030"/>
    <x v="0"/>
    <x v="3"/>
    <n v="-19.481318230852001"/>
    <n v="-4740.4541028406602"/>
    <n v="-17065.634770226399"/>
  </r>
  <r>
    <x v="0"/>
    <x v="0"/>
    <x v="0"/>
    <x v="0"/>
    <x v="0"/>
    <x v="7"/>
    <x v="5"/>
    <x v="1"/>
    <x v="1"/>
    <s v="GNR_HP_ELEC_GROUND-WTR_COP-380_LS-4-MW_Y-2030"/>
    <x v="0"/>
    <x v="10"/>
    <n v="-19.481318230852001"/>
    <n v="-4740.4541028406602"/>
    <n v="-17065.634770226399"/>
  </r>
  <r>
    <x v="0"/>
    <x v="0"/>
    <x v="0"/>
    <x v="0"/>
    <x v="0"/>
    <x v="7"/>
    <x v="5"/>
    <x v="1"/>
    <x v="1"/>
    <s v="GNR_HP_ELEC_GROUND-WTR_COP-380_LS-4-MW_Y-2030"/>
    <x v="0"/>
    <x v="4"/>
    <n v="-19.481318230852001"/>
    <n v="-4740.4541028406602"/>
    <n v="-17065.634770226399"/>
  </r>
  <r>
    <x v="0"/>
    <x v="0"/>
    <x v="0"/>
    <x v="0"/>
    <x v="0"/>
    <x v="7"/>
    <x v="5"/>
    <x v="1"/>
    <x v="1"/>
    <s v="GNR_HP_ELEC_GROUND-WTR_COP-380_LS-4-MW_Y-2030"/>
    <x v="0"/>
    <x v="6"/>
    <n v="-19.481318230852001"/>
    <n v="-4740.4541028406602"/>
    <n v="-17065.634770226399"/>
  </r>
  <r>
    <x v="0"/>
    <x v="0"/>
    <x v="0"/>
    <x v="0"/>
    <x v="0"/>
    <x v="7"/>
    <x v="5"/>
    <x v="1"/>
    <x v="1"/>
    <s v="GNR_HP_ELEC_GROUND-WTR_COP-380_LS-4-MW_Y-2030"/>
    <x v="0"/>
    <x v="7"/>
    <n v="-19.481318230852001"/>
    <n v="-4740.4541028406602"/>
    <n v="-17065.634770226399"/>
  </r>
  <r>
    <x v="0"/>
    <x v="0"/>
    <x v="0"/>
    <x v="0"/>
    <x v="0"/>
    <x v="7"/>
    <x v="5"/>
    <x v="1"/>
    <x v="1"/>
    <s v="GNR_HP_ELEC_GROUND-WTR_COP-380_LS-4-MW_Y-2030"/>
    <x v="0"/>
    <x v="5"/>
    <n v="-19.481318230852001"/>
    <n v="-4740.4541028406602"/>
    <n v="-17065.634770226399"/>
  </r>
  <r>
    <x v="0"/>
    <x v="0"/>
    <x v="0"/>
    <x v="0"/>
    <x v="0"/>
    <x v="7"/>
    <x v="5"/>
    <x v="1"/>
    <x v="1"/>
    <s v="GNR_HP_ELEC_GROUND-WTR_COP-380_LS-4-MW_Y-2030"/>
    <x v="0"/>
    <x v="11"/>
    <n v="-19.481318230852001"/>
    <n v="-4740.4541028406602"/>
    <n v="-17065.634770226399"/>
  </r>
  <r>
    <x v="0"/>
    <x v="0"/>
    <x v="0"/>
    <x v="0"/>
    <x v="0"/>
    <x v="7"/>
    <x v="5"/>
    <x v="1"/>
    <x v="1"/>
    <s v="GNR_HP_ELEC_GROUND-WTR_COP-380_LS-4-MW_Y-2030"/>
    <x v="0"/>
    <x v="8"/>
    <n v="-19.481318230852001"/>
    <n v="-4740.4541028406602"/>
    <n v="-17065.634770226399"/>
  </r>
  <r>
    <x v="0"/>
    <x v="0"/>
    <x v="0"/>
    <x v="0"/>
    <x v="0"/>
    <x v="7"/>
    <x v="5"/>
    <x v="1"/>
    <x v="1"/>
    <s v="GNR_HP_ELEC_GROUND-WTR_COP-380_LS-4-MW_Y-2030"/>
    <x v="2"/>
    <x v="9"/>
    <n v="-19.481318230852001"/>
    <n v="-4740.4541028406602"/>
    <n v="-17065.634770226399"/>
  </r>
  <r>
    <x v="0"/>
    <x v="0"/>
    <x v="0"/>
    <x v="0"/>
    <x v="0"/>
    <x v="7"/>
    <x v="5"/>
    <x v="1"/>
    <x v="1"/>
    <s v="GNR_HP_ELEC_GROUND-WTR_COP-380_LS-4-MW_Y-2030"/>
    <x v="2"/>
    <x v="3"/>
    <n v="-19.481318230852001"/>
    <n v="-4740.4541028406602"/>
    <n v="-17065.634770226399"/>
  </r>
  <r>
    <x v="0"/>
    <x v="0"/>
    <x v="0"/>
    <x v="0"/>
    <x v="0"/>
    <x v="7"/>
    <x v="5"/>
    <x v="1"/>
    <x v="1"/>
    <s v="GNR_HP_ELEC_GROUND-WTR_COP-380_LS-4-MW_Y-2030"/>
    <x v="2"/>
    <x v="10"/>
    <n v="-19.481318230852001"/>
    <n v="-4740.4541028406602"/>
    <n v="-17065.634770226399"/>
  </r>
  <r>
    <x v="0"/>
    <x v="0"/>
    <x v="0"/>
    <x v="0"/>
    <x v="0"/>
    <x v="7"/>
    <x v="5"/>
    <x v="1"/>
    <x v="1"/>
    <s v="GNR_HP_ELEC_GROUND-WTR_COP-380_LS-4-MW_Y-2030"/>
    <x v="2"/>
    <x v="4"/>
    <n v="-19.481318230852001"/>
    <n v="-4740.4541028406602"/>
    <n v="-17065.634770226399"/>
  </r>
  <r>
    <x v="0"/>
    <x v="0"/>
    <x v="0"/>
    <x v="0"/>
    <x v="0"/>
    <x v="7"/>
    <x v="5"/>
    <x v="1"/>
    <x v="1"/>
    <s v="GNR_HP_ELEC_GROUND-WTR_COP-380_LS-4-MW_Y-2030"/>
    <x v="2"/>
    <x v="6"/>
    <n v="-19.481318230852001"/>
    <n v="-4740.4541028406602"/>
    <n v="-17065.634770226399"/>
  </r>
  <r>
    <x v="0"/>
    <x v="0"/>
    <x v="0"/>
    <x v="0"/>
    <x v="0"/>
    <x v="7"/>
    <x v="5"/>
    <x v="1"/>
    <x v="1"/>
    <s v="GNR_HP_ELEC_GROUND-WTR_COP-380_LS-4-MW_Y-2030"/>
    <x v="2"/>
    <x v="7"/>
    <n v="-19.481318230852001"/>
    <n v="-4740.4541028406602"/>
    <n v="-17065.634770226399"/>
  </r>
  <r>
    <x v="0"/>
    <x v="0"/>
    <x v="0"/>
    <x v="0"/>
    <x v="0"/>
    <x v="7"/>
    <x v="5"/>
    <x v="1"/>
    <x v="1"/>
    <s v="GNR_HP_ELEC_GROUND-WTR_COP-380_LS-4-MW_Y-2030"/>
    <x v="2"/>
    <x v="0"/>
    <n v="-19.481318230852001"/>
    <n v="-4740.4541028406602"/>
    <n v="-17065.634770226399"/>
  </r>
  <r>
    <x v="0"/>
    <x v="0"/>
    <x v="0"/>
    <x v="0"/>
    <x v="0"/>
    <x v="7"/>
    <x v="5"/>
    <x v="1"/>
    <x v="1"/>
    <s v="GNR_HP_ELEC_GROUND-WTR_COP-380_LS-4-MW_Y-2030"/>
    <x v="2"/>
    <x v="1"/>
    <n v="-19.481318230852001"/>
    <n v="-4740.4541028406602"/>
    <n v="-17065.634770226399"/>
  </r>
  <r>
    <x v="0"/>
    <x v="0"/>
    <x v="0"/>
    <x v="0"/>
    <x v="0"/>
    <x v="7"/>
    <x v="5"/>
    <x v="1"/>
    <x v="1"/>
    <s v="GNR_HP_ELEC_GROUND-WTR_COP-380_LS-4-MW_Y-2030"/>
    <x v="2"/>
    <x v="2"/>
    <n v="-19.481318230852001"/>
    <n v="-4740.4541028406602"/>
    <n v="-17065.634770226399"/>
  </r>
  <r>
    <x v="0"/>
    <x v="0"/>
    <x v="0"/>
    <x v="0"/>
    <x v="0"/>
    <x v="7"/>
    <x v="5"/>
    <x v="1"/>
    <x v="1"/>
    <s v="GNR_HP_ELEC_GROUND-WTR_COP-380_LS-4-MW_Y-2030"/>
    <x v="2"/>
    <x v="5"/>
    <n v="-19.481318230852001"/>
    <n v="-4740.4541028406602"/>
    <n v="-17065.634770226399"/>
  </r>
  <r>
    <x v="0"/>
    <x v="0"/>
    <x v="0"/>
    <x v="0"/>
    <x v="0"/>
    <x v="7"/>
    <x v="5"/>
    <x v="1"/>
    <x v="1"/>
    <s v="GNR_HP_ELEC_GROUND-WTR_COP-380_LS-4-MW_Y-2030"/>
    <x v="2"/>
    <x v="11"/>
    <n v="-19.481318230852001"/>
    <n v="-4740.4541028406602"/>
    <n v="-17065.634770226399"/>
  </r>
  <r>
    <x v="0"/>
    <x v="0"/>
    <x v="0"/>
    <x v="0"/>
    <x v="0"/>
    <x v="7"/>
    <x v="5"/>
    <x v="1"/>
    <x v="1"/>
    <s v="GNR_HP_ELEC_GROUND-WTR_COP-380_LS-4-MW_Y-2030"/>
    <x v="2"/>
    <x v="8"/>
    <n v="-19.481318230852001"/>
    <n v="-4740.4541028406602"/>
    <n v="-17065.634770226399"/>
  </r>
  <r>
    <x v="0"/>
    <x v="0"/>
    <x v="0"/>
    <x v="0"/>
    <x v="0"/>
    <x v="7"/>
    <x v="5"/>
    <x v="1"/>
    <x v="1"/>
    <s v="GNR_HP_ELEC_GROUND-WTR_COP-380_LS-4-MW_Y-2030"/>
    <x v="1"/>
    <x v="9"/>
    <n v="-19.481318230852001"/>
    <n v="-4740.4541028406602"/>
    <n v="-17065.634770226399"/>
  </r>
  <r>
    <x v="0"/>
    <x v="0"/>
    <x v="0"/>
    <x v="0"/>
    <x v="0"/>
    <x v="7"/>
    <x v="5"/>
    <x v="1"/>
    <x v="1"/>
    <s v="GNR_HP_ELEC_GROUND-WTR_COP-380_LS-4-MW_Y-2030"/>
    <x v="1"/>
    <x v="10"/>
    <n v="-19.481318230852001"/>
    <n v="-4740.4541028406602"/>
    <n v="-17065.634770226399"/>
  </r>
  <r>
    <x v="0"/>
    <x v="0"/>
    <x v="0"/>
    <x v="0"/>
    <x v="0"/>
    <x v="7"/>
    <x v="5"/>
    <x v="1"/>
    <x v="1"/>
    <s v="GNR_HP_ELEC_GROUND-WTR_COP-380_LS-4-MW_Y-2030"/>
    <x v="1"/>
    <x v="7"/>
    <n v="-19.481318230852001"/>
    <n v="-4740.4541028406602"/>
    <n v="-17065.634770226399"/>
  </r>
  <r>
    <x v="0"/>
    <x v="0"/>
    <x v="0"/>
    <x v="0"/>
    <x v="0"/>
    <x v="7"/>
    <x v="5"/>
    <x v="1"/>
    <x v="1"/>
    <s v="GNR_HP_ELEC_GROUND-WTR_COP-380_LS-4-MW_Y-2030"/>
    <x v="1"/>
    <x v="1"/>
    <n v="-19.481318230852001"/>
    <n v="-4740.4541028406602"/>
    <n v="-17065.634770226399"/>
  </r>
  <r>
    <x v="0"/>
    <x v="0"/>
    <x v="0"/>
    <x v="0"/>
    <x v="0"/>
    <x v="7"/>
    <x v="5"/>
    <x v="1"/>
    <x v="1"/>
    <s v="GNR_HP_ELEC_GROUND-WTR_COP-380_LS-4-MW_Y-2030"/>
    <x v="1"/>
    <x v="5"/>
    <n v="-19.481318230852001"/>
    <n v="-4740.4541028406602"/>
    <n v="-17065.634770226399"/>
  </r>
  <r>
    <x v="0"/>
    <x v="0"/>
    <x v="0"/>
    <x v="0"/>
    <x v="0"/>
    <x v="7"/>
    <x v="5"/>
    <x v="1"/>
    <x v="1"/>
    <s v="GNR_HP_ELEC_GROUND-WTR_COP-380_LS-4-MW_Y-2030"/>
    <x v="1"/>
    <x v="11"/>
    <n v="-19.481318230852001"/>
    <n v="-4740.4541028406602"/>
    <n v="-17065.634770226399"/>
  </r>
  <r>
    <x v="0"/>
    <x v="0"/>
    <x v="0"/>
    <x v="0"/>
    <x v="0"/>
    <x v="7"/>
    <x v="5"/>
    <x v="1"/>
    <x v="1"/>
    <s v="GNR_HP_ELEC_GROUND-WTR_COP-380_LS-4-MW_Y-2030"/>
    <x v="1"/>
    <x v="8"/>
    <n v="-19.481318230852001"/>
    <n v="-4740.4541028406602"/>
    <n v="-17065.634770226399"/>
  </r>
  <r>
    <x v="0"/>
    <x v="0"/>
    <x v="0"/>
    <x v="0"/>
    <x v="0"/>
    <x v="7"/>
    <x v="4"/>
    <x v="0"/>
    <x v="0"/>
    <s v="GNR_ST_WOODCHI_BP_E-17"/>
    <x v="0"/>
    <x v="0"/>
    <n v="0.75"/>
    <n v="182.5"/>
    <n v="657"/>
  </r>
  <r>
    <x v="0"/>
    <x v="0"/>
    <x v="0"/>
    <x v="0"/>
    <x v="0"/>
    <x v="7"/>
    <x v="4"/>
    <x v="0"/>
    <x v="0"/>
    <s v="GNR_ST_WOODCHI_BP_E-17"/>
    <x v="0"/>
    <x v="1"/>
    <n v="0.75"/>
    <n v="182.5"/>
    <n v="657"/>
  </r>
  <r>
    <x v="0"/>
    <x v="0"/>
    <x v="0"/>
    <x v="0"/>
    <x v="0"/>
    <x v="7"/>
    <x v="4"/>
    <x v="0"/>
    <x v="0"/>
    <s v="GNR_ST_WOODCHI_BP_E-17"/>
    <x v="0"/>
    <x v="2"/>
    <n v="0.75"/>
    <n v="182.5"/>
    <n v="657"/>
  </r>
  <r>
    <x v="0"/>
    <x v="0"/>
    <x v="0"/>
    <x v="0"/>
    <x v="0"/>
    <x v="7"/>
    <x v="4"/>
    <x v="0"/>
    <x v="0"/>
    <s v="GNR_ST_WOODCHI_BP_E-17"/>
    <x v="1"/>
    <x v="3"/>
    <n v="0.75"/>
    <n v="182.5"/>
    <n v="657"/>
  </r>
  <r>
    <x v="0"/>
    <x v="0"/>
    <x v="0"/>
    <x v="0"/>
    <x v="0"/>
    <x v="7"/>
    <x v="4"/>
    <x v="0"/>
    <x v="0"/>
    <s v="GNR_ST_WOODCHI_BP_E-17"/>
    <x v="1"/>
    <x v="0"/>
    <n v="0.75"/>
    <n v="182.5"/>
    <n v="657"/>
  </r>
  <r>
    <x v="0"/>
    <x v="0"/>
    <x v="0"/>
    <x v="0"/>
    <x v="0"/>
    <x v="7"/>
    <x v="4"/>
    <x v="0"/>
    <x v="0"/>
    <s v="GNR_ST_WOODCHI_BP_E-17"/>
    <x v="1"/>
    <x v="2"/>
    <n v="0.75"/>
    <n v="182.5"/>
    <n v="657"/>
  </r>
  <r>
    <x v="0"/>
    <x v="0"/>
    <x v="0"/>
    <x v="0"/>
    <x v="0"/>
    <x v="8"/>
    <x v="1"/>
    <x v="0"/>
    <x v="0"/>
    <s v="GNR_ENG_NGAS_BP_E-38"/>
    <x v="0"/>
    <x v="0"/>
    <n v="1.1299999999999999"/>
    <n v="274.96666666666698"/>
    <n v="989.88"/>
  </r>
  <r>
    <x v="0"/>
    <x v="0"/>
    <x v="0"/>
    <x v="0"/>
    <x v="0"/>
    <x v="8"/>
    <x v="1"/>
    <x v="0"/>
    <x v="0"/>
    <s v="GNR_ENG_NGAS_BP_E-38"/>
    <x v="0"/>
    <x v="1"/>
    <n v="1.1299999999999999"/>
    <n v="274.96666666666698"/>
    <n v="989.88"/>
  </r>
  <r>
    <x v="0"/>
    <x v="0"/>
    <x v="0"/>
    <x v="0"/>
    <x v="0"/>
    <x v="8"/>
    <x v="1"/>
    <x v="0"/>
    <x v="0"/>
    <s v="GNR_ENG_NGAS_BP_E-38"/>
    <x v="0"/>
    <x v="2"/>
    <n v="1.1299999999999999"/>
    <n v="274.96666666666698"/>
    <n v="989.88"/>
  </r>
  <r>
    <x v="0"/>
    <x v="0"/>
    <x v="0"/>
    <x v="0"/>
    <x v="0"/>
    <x v="8"/>
    <x v="1"/>
    <x v="0"/>
    <x v="0"/>
    <s v="GNR_ENG_NGAS_BP_E-38"/>
    <x v="0"/>
    <x v="5"/>
    <n v="1.1299999999999999"/>
    <n v="274.96666666666698"/>
    <n v="989.88"/>
  </r>
  <r>
    <x v="0"/>
    <x v="0"/>
    <x v="0"/>
    <x v="0"/>
    <x v="0"/>
    <x v="8"/>
    <x v="1"/>
    <x v="0"/>
    <x v="0"/>
    <s v="GNR_ENG_NGAS_BP_E-38"/>
    <x v="1"/>
    <x v="3"/>
    <n v="1.1299999999999999"/>
    <n v="274.96666666666698"/>
    <n v="989.88"/>
  </r>
  <r>
    <x v="0"/>
    <x v="0"/>
    <x v="0"/>
    <x v="0"/>
    <x v="0"/>
    <x v="8"/>
    <x v="1"/>
    <x v="0"/>
    <x v="0"/>
    <s v="GNR_ENG_NGAS_BP_E-38"/>
    <x v="1"/>
    <x v="4"/>
    <n v="1.1299999999999999"/>
    <n v="274.96666666666698"/>
    <n v="989.88"/>
  </r>
  <r>
    <x v="0"/>
    <x v="0"/>
    <x v="0"/>
    <x v="0"/>
    <x v="0"/>
    <x v="8"/>
    <x v="1"/>
    <x v="0"/>
    <x v="0"/>
    <s v="GNR_ENG_NGAS_BP_E-38"/>
    <x v="1"/>
    <x v="6"/>
    <n v="1.1299999999999999"/>
    <n v="274.96666666666698"/>
    <n v="989.88"/>
  </r>
  <r>
    <x v="0"/>
    <x v="0"/>
    <x v="0"/>
    <x v="0"/>
    <x v="0"/>
    <x v="8"/>
    <x v="1"/>
    <x v="0"/>
    <x v="0"/>
    <s v="GNR_ENG_NGAS_BP_E-38"/>
    <x v="1"/>
    <x v="0"/>
    <n v="1.1299999999999999"/>
    <n v="274.96666666666698"/>
    <n v="989.88"/>
  </r>
  <r>
    <x v="0"/>
    <x v="0"/>
    <x v="0"/>
    <x v="0"/>
    <x v="0"/>
    <x v="8"/>
    <x v="1"/>
    <x v="0"/>
    <x v="0"/>
    <s v="GNR_ENG_NGAS_BP_E-38"/>
    <x v="1"/>
    <x v="2"/>
    <n v="1.1299999999999999"/>
    <n v="274.96666666666698"/>
    <n v="989.88"/>
  </r>
  <r>
    <x v="0"/>
    <x v="0"/>
    <x v="0"/>
    <x v="0"/>
    <x v="1"/>
    <x v="9"/>
    <x v="0"/>
    <x v="0"/>
    <x v="0"/>
    <s v="GNR_ENG_BGAS_BP_E-42"/>
    <x v="0"/>
    <x v="0"/>
    <n v="3.0470000000000002"/>
    <n v="741.43666666666695"/>
    <n v="2669.172"/>
  </r>
  <r>
    <x v="0"/>
    <x v="0"/>
    <x v="0"/>
    <x v="0"/>
    <x v="1"/>
    <x v="9"/>
    <x v="0"/>
    <x v="0"/>
    <x v="0"/>
    <s v="GNR_ENG_BGAS_BP_E-42"/>
    <x v="0"/>
    <x v="1"/>
    <n v="3.0470000000000002"/>
    <n v="741.43666666666695"/>
    <n v="2669.172"/>
  </r>
  <r>
    <x v="0"/>
    <x v="0"/>
    <x v="0"/>
    <x v="0"/>
    <x v="1"/>
    <x v="9"/>
    <x v="0"/>
    <x v="0"/>
    <x v="0"/>
    <s v="GNR_ENG_BGAS_BP_E-42"/>
    <x v="0"/>
    <x v="2"/>
    <n v="3.0470000000000002"/>
    <n v="741.43666666666695"/>
    <n v="2669.172"/>
  </r>
  <r>
    <x v="0"/>
    <x v="0"/>
    <x v="0"/>
    <x v="0"/>
    <x v="1"/>
    <x v="9"/>
    <x v="1"/>
    <x v="0"/>
    <x v="0"/>
    <s v="GNR_GT_NGAS_BP_E-43_LS-40-MW_Y-2030"/>
    <x v="0"/>
    <x v="0"/>
    <n v="357.19310656728902"/>
    <n v="86916.989264706906"/>
    <n v="312901.16135294503"/>
  </r>
  <r>
    <x v="0"/>
    <x v="0"/>
    <x v="0"/>
    <x v="0"/>
    <x v="1"/>
    <x v="9"/>
    <x v="1"/>
    <x v="0"/>
    <x v="0"/>
    <s v="GNR_GT_NGAS_BP_E-43_LS-40-MW_Y-2030"/>
    <x v="0"/>
    <x v="1"/>
    <n v="357.19310656728902"/>
    <n v="86916.989264706906"/>
    <n v="312901.16135294503"/>
  </r>
  <r>
    <x v="0"/>
    <x v="0"/>
    <x v="0"/>
    <x v="0"/>
    <x v="1"/>
    <x v="9"/>
    <x v="1"/>
    <x v="0"/>
    <x v="0"/>
    <s v="GNR_GT_NGAS_BP_E-43_LS-40-MW_Y-2030"/>
    <x v="0"/>
    <x v="2"/>
    <n v="357.19310656728902"/>
    <n v="86916.989264706906"/>
    <n v="312901.16135294503"/>
  </r>
  <r>
    <x v="0"/>
    <x v="0"/>
    <x v="0"/>
    <x v="0"/>
    <x v="1"/>
    <x v="9"/>
    <x v="1"/>
    <x v="0"/>
    <x v="0"/>
    <s v="GNR_GT_NGAS_BP_E-43_LS-40-MW_Y-2030"/>
    <x v="0"/>
    <x v="5"/>
    <n v="46.214462154154603"/>
    <n v="11245.519124177599"/>
    <n v="40483.868847039397"/>
  </r>
  <r>
    <x v="0"/>
    <x v="0"/>
    <x v="0"/>
    <x v="0"/>
    <x v="1"/>
    <x v="9"/>
    <x v="1"/>
    <x v="0"/>
    <x v="0"/>
    <s v="GNR_GT_NGAS_BP_E-43_LS-40-MW_Y-2030"/>
    <x v="0"/>
    <x v="8"/>
    <n v="131.409865677818"/>
    <n v="31976.400648268998"/>
    <n v="115115.042333768"/>
  </r>
  <r>
    <x v="0"/>
    <x v="0"/>
    <x v="0"/>
    <x v="0"/>
    <x v="1"/>
    <x v="9"/>
    <x v="1"/>
    <x v="0"/>
    <x v="0"/>
    <s v="GNR_GT_NGAS_BP_E-43_LS-40-MW_Y-2030"/>
    <x v="1"/>
    <x v="3"/>
    <n v="357.19310656728902"/>
    <n v="86916.989264706906"/>
    <n v="312901.16135294503"/>
  </r>
  <r>
    <x v="0"/>
    <x v="0"/>
    <x v="0"/>
    <x v="0"/>
    <x v="1"/>
    <x v="9"/>
    <x v="1"/>
    <x v="0"/>
    <x v="0"/>
    <s v="GNR_GT_NGAS_BP_E-43_LS-40-MW_Y-2030"/>
    <x v="1"/>
    <x v="4"/>
    <n v="357.19310656728902"/>
    <n v="86916.989264706906"/>
    <n v="312901.16135294503"/>
  </r>
  <r>
    <x v="0"/>
    <x v="0"/>
    <x v="0"/>
    <x v="0"/>
    <x v="1"/>
    <x v="9"/>
    <x v="1"/>
    <x v="0"/>
    <x v="0"/>
    <s v="GNR_GT_NGAS_BP_E-43_LS-40-MW_Y-2030"/>
    <x v="1"/>
    <x v="6"/>
    <n v="91.545099682979398"/>
    <n v="22275.974256191701"/>
    <n v="80193.507322289995"/>
  </r>
  <r>
    <x v="0"/>
    <x v="0"/>
    <x v="0"/>
    <x v="0"/>
    <x v="1"/>
    <x v="9"/>
    <x v="1"/>
    <x v="0"/>
    <x v="0"/>
    <s v="GNR_GT_NGAS_BP_E-43_LS-40-MW_Y-2030"/>
    <x v="1"/>
    <x v="0"/>
    <n v="357.19310656728902"/>
    <n v="86916.989264706906"/>
    <n v="312901.16135294503"/>
  </r>
  <r>
    <x v="0"/>
    <x v="0"/>
    <x v="0"/>
    <x v="0"/>
    <x v="1"/>
    <x v="9"/>
    <x v="1"/>
    <x v="0"/>
    <x v="0"/>
    <s v="GNR_GT_NGAS_BP_E-43_LS-40-MW_Y-2030"/>
    <x v="1"/>
    <x v="1"/>
    <n v="230.328799727915"/>
    <n v="56046.674600459301"/>
    <n v="201768.02856165299"/>
  </r>
  <r>
    <x v="0"/>
    <x v="0"/>
    <x v="0"/>
    <x v="0"/>
    <x v="1"/>
    <x v="9"/>
    <x v="1"/>
    <x v="0"/>
    <x v="0"/>
    <s v="GNR_GT_NGAS_BP_E-43_LS-40-MW_Y-2030"/>
    <x v="1"/>
    <x v="2"/>
    <n v="357.19310656728902"/>
    <n v="86916.989264706906"/>
    <n v="312901.16135294503"/>
  </r>
  <r>
    <x v="0"/>
    <x v="0"/>
    <x v="0"/>
    <x v="0"/>
    <x v="1"/>
    <x v="9"/>
    <x v="5"/>
    <x v="1"/>
    <x v="1"/>
    <s v="GNR_HP_ELEC_COP-300"/>
    <x v="0"/>
    <x v="9"/>
    <n v="-0.11333333333333299"/>
    <n v="-27.577777777777801"/>
    <n v="-99.28"/>
  </r>
  <r>
    <x v="0"/>
    <x v="0"/>
    <x v="0"/>
    <x v="0"/>
    <x v="1"/>
    <x v="9"/>
    <x v="5"/>
    <x v="1"/>
    <x v="1"/>
    <s v="GNR_HP_ELEC_COP-300"/>
    <x v="0"/>
    <x v="10"/>
    <n v="-0.11333333333333299"/>
    <n v="-27.577777777777801"/>
    <n v="-99.28"/>
  </r>
  <r>
    <x v="0"/>
    <x v="0"/>
    <x v="0"/>
    <x v="0"/>
    <x v="1"/>
    <x v="9"/>
    <x v="5"/>
    <x v="1"/>
    <x v="1"/>
    <s v="GNR_HP_ELEC_COP-300"/>
    <x v="2"/>
    <x v="9"/>
    <n v="-0.11333333333333299"/>
    <n v="-27.577777777777801"/>
    <n v="-99.28"/>
  </r>
  <r>
    <x v="0"/>
    <x v="0"/>
    <x v="0"/>
    <x v="0"/>
    <x v="1"/>
    <x v="9"/>
    <x v="5"/>
    <x v="1"/>
    <x v="1"/>
    <s v="GNR_HP_ELEC_COP-300"/>
    <x v="2"/>
    <x v="6"/>
    <n v="-0.11333333333333299"/>
    <n v="-27.577777777777801"/>
    <n v="-99.28"/>
  </r>
  <r>
    <x v="0"/>
    <x v="0"/>
    <x v="0"/>
    <x v="0"/>
    <x v="1"/>
    <x v="9"/>
    <x v="5"/>
    <x v="1"/>
    <x v="1"/>
    <s v="GNR_HP_ELEC_COP-300"/>
    <x v="2"/>
    <x v="7"/>
    <n v="-0.11333333333333299"/>
    <n v="-27.577777777777801"/>
    <n v="-99.28"/>
  </r>
  <r>
    <x v="0"/>
    <x v="0"/>
    <x v="0"/>
    <x v="0"/>
    <x v="1"/>
    <x v="9"/>
    <x v="5"/>
    <x v="1"/>
    <x v="1"/>
    <s v="GNR_HP_ELEC_COP-300"/>
    <x v="2"/>
    <x v="0"/>
    <n v="-0.11333333333333299"/>
    <n v="-27.577777777777801"/>
    <n v="-99.28"/>
  </r>
  <r>
    <x v="0"/>
    <x v="0"/>
    <x v="0"/>
    <x v="0"/>
    <x v="1"/>
    <x v="9"/>
    <x v="5"/>
    <x v="1"/>
    <x v="1"/>
    <s v="GNR_HP_ELEC_COP-300"/>
    <x v="1"/>
    <x v="9"/>
    <n v="-0.11333333333333299"/>
    <n v="-27.577777777777801"/>
    <n v="-99.28"/>
  </r>
  <r>
    <x v="0"/>
    <x v="0"/>
    <x v="0"/>
    <x v="0"/>
    <x v="1"/>
    <x v="9"/>
    <x v="5"/>
    <x v="1"/>
    <x v="1"/>
    <s v="GNR_HP_ELEC_COP-300"/>
    <x v="1"/>
    <x v="8"/>
    <n v="-0.11333333333333299"/>
    <n v="-27.577777777777801"/>
    <n v="-99.28"/>
  </r>
  <r>
    <x v="0"/>
    <x v="0"/>
    <x v="0"/>
    <x v="0"/>
    <x v="1"/>
    <x v="9"/>
    <x v="9"/>
    <x v="0"/>
    <x v="6"/>
    <s v="GNR_ST_COAL_EXT_E-42"/>
    <x v="0"/>
    <x v="3"/>
    <n v="125"/>
    <n v="30416.666666666701"/>
    <n v="109500"/>
  </r>
  <r>
    <x v="0"/>
    <x v="0"/>
    <x v="0"/>
    <x v="0"/>
    <x v="1"/>
    <x v="9"/>
    <x v="9"/>
    <x v="0"/>
    <x v="6"/>
    <s v="GNR_ST_COAL_EXT_E-42"/>
    <x v="0"/>
    <x v="4"/>
    <n v="125"/>
    <n v="30416.666666666701"/>
    <n v="109500"/>
  </r>
  <r>
    <x v="0"/>
    <x v="0"/>
    <x v="0"/>
    <x v="0"/>
    <x v="1"/>
    <x v="9"/>
    <x v="9"/>
    <x v="0"/>
    <x v="6"/>
    <s v="GNR_ST_COAL_EXT_E-42"/>
    <x v="0"/>
    <x v="6"/>
    <n v="208.333333333333"/>
    <n v="50694.444444444402"/>
    <n v="182500"/>
  </r>
  <r>
    <x v="0"/>
    <x v="0"/>
    <x v="0"/>
    <x v="0"/>
    <x v="1"/>
    <x v="9"/>
    <x v="9"/>
    <x v="0"/>
    <x v="6"/>
    <s v="GNR_ST_COAL_EXT_E-42"/>
    <x v="0"/>
    <x v="7"/>
    <n v="125"/>
    <n v="30416.666666666701"/>
    <n v="109500"/>
  </r>
  <r>
    <x v="0"/>
    <x v="0"/>
    <x v="0"/>
    <x v="0"/>
    <x v="1"/>
    <x v="9"/>
    <x v="9"/>
    <x v="0"/>
    <x v="6"/>
    <s v="GNR_ST_COAL_EXT_E-42"/>
    <x v="0"/>
    <x v="0"/>
    <n v="125"/>
    <n v="30416.666666666701"/>
    <n v="109500"/>
  </r>
  <r>
    <x v="0"/>
    <x v="0"/>
    <x v="0"/>
    <x v="0"/>
    <x v="1"/>
    <x v="9"/>
    <x v="9"/>
    <x v="0"/>
    <x v="6"/>
    <s v="GNR_ST_COAL_EXT_E-42"/>
    <x v="0"/>
    <x v="1"/>
    <n v="125"/>
    <n v="30416.666666666701"/>
    <n v="109500"/>
  </r>
  <r>
    <x v="0"/>
    <x v="0"/>
    <x v="0"/>
    <x v="0"/>
    <x v="1"/>
    <x v="9"/>
    <x v="9"/>
    <x v="0"/>
    <x v="6"/>
    <s v="GNR_ST_COAL_EXT_E-42"/>
    <x v="0"/>
    <x v="2"/>
    <n v="125"/>
    <n v="30416.666666666701"/>
    <n v="109500"/>
  </r>
  <r>
    <x v="0"/>
    <x v="0"/>
    <x v="0"/>
    <x v="0"/>
    <x v="1"/>
    <x v="9"/>
    <x v="9"/>
    <x v="0"/>
    <x v="6"/>
    <s v="GNR_ST_COAL_EXT_E-42"/>
    <x v="0"/>
    <x v="5"/>
    <n v="125"/>
    <n v="30416.666666666701"/>
    <n v="109500"/>
  </r>
  <r>
    <x v="0"/>
    <x v="0"/>
    <x v="0"/>
    <x v="0"/>
    <x v="1"/>
    <x v="9"/>
    <x v="9"/>
    <x v="0"/>
    <x v="6"/>
    <s v="GNR_ST_COAL_EXT_E-42"/>
    <x v="0"/>
    <x v="11"/>
    <n v="125"/>
    <n v="30416.666666666701"/>
    <n v="109500"/>
  </r>
  <r>
    <x v="0"/>
    <x v="0"/>
    <x v="0"/>
    <x v="0"/>
    <x v="1"/>
    <x v="9"/>
    <x v="9"/>
    <x v="0"/>
    <x v="6"/>
    <s v="GNR_ST_COAL_EXT_E-42"/>
    <x v="0"/>
    <x v="8"/>
    <n v="125"/>
    <n v="30416.666666666701"/>
    <n v="109500"/>
  </r>
  <r>
    <x v="0"/>
    <x v="0"/>
    <x v="0"/>
    <x v="0"/>
    <x v="1"/>
    <x v="9"/>
    <x v="9"/>
    <x v="0"/>
    <x v="6"/>
    <s v="GNR_ST_COAL_EXT_E-42"/>
    <x v="2"/>
    <x v="3"/>
    <n v="125"/>
    <n v="30416.666666666701"/>
    <n v="109500"/>
  </r>
  <r>
    <x v="0"/>
    <x v="0"/>
    <x v="0"/>
    <x v="0"/>
    <x v="1"/>
    <x v="9"/>
    <x v="9"/>
    <x v="0"/>
    <x v="6"/>
    <s v="GNR_ST_COAL_EXT_E-42"/>
    <x v="2"/>
    <x v="10"/>
    <n v="125"/>
    <n v="30416.666666666701"/>
    <n v="109500"/>
  </r>
  <r>
    <x v="0"/>
    <x v="0"/>
    <x v="0"/>
    <x v="0"/>
    <x v="1"/>
    <x v="9"/>
    <x v="9"/>
    <x v="0"/>
    <x v="6"/>
    <s v="GNR_ST_COAL_EXT_E-42"/>
    <x v="2"/>
    <x v="4"/>
    <n v="125"/>
    <n v="30416.666666666701"/>
    <n v="109500"/>
  </r>
  <r>
    <x v="0"/>
    <x v="0"/>
    <x v="0"/>
    <x v="0"/>
    <x v="1"/>
    <x v="9"/>
    <x v="9"/>
    <x v="0"/>
    <x v="6"/>
    <s v="GNR_ST_COAL_EXT_E-42"/>
    <x v="2"/>
    <x v="1"/>
    <n v="125"/>
    <n v="30416.666666666701"/>
    <n v="109500"/>
  </r>
  <r>
    <x v="0"/>
    <x v="0"/>
    <x v="0"/>
    <x v="0"/>
    <x v="1"/>
    <x v="9"/>
    <x v="9"/>
    <x v="0"/>
    <x v="6"/>
    <s v="GNR_ST_COAL_EXT_E-42"/>
    <x v="2"/>
    <x v="2"/>
    <n v="125"/>
    <n v="30416.666666666701"/>
    <n v="109500"/>
  </r>
  <r>
    <x v="0"/>
    <x v="0"/>
    <x v="0"/>
    <x v="0"/>
    <x v="1"/>
    <x v="9"/>
    <x v="9"/>
    <x v="0"/>
    <x v="6"/>
    <s v="GNR_ST_COAL_EXT_E-42"/>
    <x v="2"/>
    <x v="5"/>
    <n v="44.419831679281302"/>
    <n v="10808.8257086251"/>
    <n v="38911.772551050402"/>
  </r>
  <r>
    <x v="0"/>
    <x v="0"/>
    <x v="0"/>
    <x v="0"/>
    <x v="1"/>
    <x v="9"/>
    <x v="9"/>
    <x v="0"/>
    <x v="6"/>
    <s v="GNR_ST_COAL_EXT_E-42"/>
    <x v="2"/>
    <x v="11"/>
    <n v="125"/>
    <n v="30416.666666666701"/>
    <n v="109500"/>
  </r>
  <r>
    <x v="0"/>
    <x v="0"/>
    <x v="0"/>
    <x v="0"/>
    <x v="1"/>
    <x v="9"/>
    <x v="9"/>
    <x v="0"/>
    <x v="6"/>
    <s v="GNR_ST_COAL_EXT_E-42"/>
    <x v="2"/>
    <x v="8"/>
    <n v="144.27828255663201"/>
    <n v="35107.715422113703"/>
    <n v="126387.775519609"/>
  </r>
  <r>
    <x v="0"/>
    <x v="0"/>
    <x v="0"/>
    <x v="0"/>
    <x v="1"/>
    <x v="9"/>
    <x v="9"/>
    <x v="0"/>
    <x v="6"/>
    <s v="GNR_ST_COAL_EXT_E-42"/>
    <x v="1"/>
    <x v="3"/>
    <n v="125"/>
    <n v="30416.666666666701"/>
    <n v="109500"/>
  </r>
  <r>
    <x v="0"/>
    <x v="0"/>
    <x v="0"/>
    <x v="0"/>
    <x v="1"/>
    <x v="9"/>
    <x v="9"/>
    <x v="0"/>
    <x v="6"/>
    <s v="GNR_ST_COAL_EXT_E-42"/>
    <x v="1"/>
    <x v="10"/>
    <n v="208.333333333333"/>
    <n v="50694.444444444402"/>
    <n v="182500"/>
  </r>
  <r>
    <x v="0"/>
    <x v="0"/>
    <x v="0"/>
    <x v="0"/>
    <x v="1"/>
    <x v="9"/>
    <x v="9"/>
    <x v="0"/>
    <x v="6"/>
    <s v="GNR_ST_COAL_EXT_E-42"/>
    <x v="1"/>
    <x v="4"/>
    <n v="125"/>
    <n v="30416.666666666701"/>
    <n v="109500"/>
  </r>
  <r>
    <x v="0"/>
    <x v="0"/>
    <x v="0"/>
    <x v="0"/>
    <x v="1"/>
    <x v="9"/>
    <x v="9"/>
    <x v="0"/>
    <x v="6"/>
    <s v="GNR_ST_COAL_EXT_E-42"/>
    <x v="1"/>
    <x v="6"/>
    <n v="125"/>
    <n v="30416.666666666701"/>
    <n v="109500"/>
  </r>
  <r>
    <x v="0"/>
    <x v="0"/>
    <x v="0"/>
    <x v="0"/>
    <x v="1"/>
    <x v="9"/>
    <x v="9"/>
    <x v="0"/>
    <x v="6"/>
    <s v="GNR_ST_COAL_EXT_E-42"/>
    <x v="1"/>
    <x v="7"/>
    <n v="208.333333333333"/>
    <n v="50694.444444444402"/>
    <n v="182500"/>
  </r>
  <r>
    <x v="0"/>
    <x v="0"/>
    <x v="0"/>
    <x v="0"/>
    <x v="1"/>
    <x v="9"/>
    <x v="9"/>
    <x v="0"/>
    <x v="6"/>
    <s v="GNR_ST_COAL_EXT_E-42"/>
    <x v="1"/>
    <x v="0"/>
    <n v="125"/>
    <n v="30416.666666666701"/>
    <n v="109500"/>
  </r>
  <r>
    <x v="0"/>
    <x v="0"/>
    <x v="0"/>
    <x v="0"/>
    <x v="1"/>
    <x v="9"/>
    <x v="9"/>
    <x v="0"/>
    <x v="6"/>
    <s v="GNR_ST_COAL_EXT_E-42"/>
    <x v="1"/>
    <x v="1"/>
    <n v="125"/>
    <n v="30416.666666666701"/>
    <n v="109500"/>
  </r>
  <r>
    <x v="0"/>
    <x v="0"/>
    <x v="0"/>
    <x v="0"/>
    <x v="1"/>
    <x v="9"/>
    <x v="9"/>
    <x v="0"/>
    <x v="6"/>
    <s v="GNR_ST_COAL_EXT_E-42"/>
    <x v="1"/>
    <x v="2"/>
    <n v="125"/>
    <n v="30416.666666666701"/>
    <n v="109500"/>
  </r>
  <r>
    <x v="0"/>
    <x v="0"/>
    <x v="0"/>
    <x v="0"/>
    <x v="1"/>
    <x v="9"/>
    <x v="9"/>
    <x v="0"/>
    <x v="6"/>
    <s v="GNR_ST_COAL_EXT_E-42"/>
    <x v="1"/>
    <x v="5"/>
    <n v="111.563093604263"/>
    <n v="27147.019443704099"/>
    <n v="97729.269997334603"/>
  </r>
  <r>
    <x v="0"/>
    <x v="0"/>
    <x v="0"/>
    <x v="0"/>
    <x v="1"/>
    <x v="9"/>
    <x v="9"/>
    <x v="0"/>
    <x v="6"/>
    <s v="GNR_ST_COAL_EXT_E-42"/>
    <x v="1"/>
    <x v="11"/>
    <n v="106.47973383466601"/>
    <n v="25910.068566435399"/>
    <n v="93276.246839167405"/>
  </r>
  <r>
    <x v="0"/>
    <x v="0"/>
    <x v="0"/>
    <x v="0"/>
    <x v="1"/>
    <x v="9"/>
    <x v="3"/>
    <x v="0"/>
    <x v="6"/>
    <s v="GNR_ST_COAL_EXT_E-42-Straw"/>
    <x v="0"/>
    <x v="3"/>
    <n v="125"/>
    <n v="30416.666666666701"/>
    <n v="109500"/>
  </r>
  <r>
    <x v="0"/>
    <x v="0"/>
    <x v="0"/>
    <x v="0"/>
    <x v="1"/>
    <x v="9"/>
    <x v="3"/>
    <x v="0"/>
    <x v="6"/>
    <s v="GNR_ST_COAL_EXT_E-42-Straw"/>
    <x v="0"/>
    <x v="4"/>
    <n v="125"/>
    <n v="30416.666666666701"/>
    <n v="109500"/>
  </r>
  <r>
    <x v="0"/>
    <x v="0"/>
    <x v="0"/>
    <x v="0"/>
    <x v="1"/>
    <x v="9"/>
    <x v="3"/>
    <x v="0"/>
    <x v="6"/>
    <s v="GNR_ST_COAL_EXT_E-42-Straw"/>
    <x v="0"/>
    <x v="7"/>
    <n v="125"/>
    <n v="30416.666666666701"/>
    <n v="109500"/>
  </r>
  <r>
    <x v="0"/>
    <x v="0"/>
    <x v="0"/>
    <x v="0"/>
    <x v="1"/>
    <x v="9"/>
    <x v="3"/>
    <x v="0"/>
    <x v="6"/>
    <s v="GNR_ST_COAL_EXT_E-42-Straw"/>
    <x v="0"/>
    <x v="0"/>
    <n v="125"/>
    <n v="30416.666666666701"/>
    <n v="109500"/>
  </r>
  <r>
    <x v="0"/>
    <x v="0"/>
    <x v="0"/>
    <x v="0"/>
    <x v="1"/>
    <x v="9"/>
    <x v="3"/>
    <x v="0"/>
    <x v="6"/>
    <s v="GNR_ST_COAL_EXT_E-42-Straw"/>
    <x v="0"/>
    <x v="1"/>
    <n v="125"/>
    <n v="30416.666666666701"/>
    <n v="109500"/>
  </r>
  <r>
    <x v="0"/>
    <x v="0"/>
    <x v="0"/>
    <x v="0"/>
    <x v="1"/>
    <x v="9"/>
    <x v="3"/>
    <x v="0"/>
    <x v="6"/>
    <s v="GNR_ST_COAL_EXT_E-42-Straw"/>
    <x v="0"/>
    <x v="2"/>
    <n v="125"/>
    <n v="30416.666666666701"/>
    <n v="109500"/>
  </r>
  <r>
    <x v="0"/>
    <x v="0"/>
    <x v="0"/>
    <x v="0"/>
    <x v="1"/>
    <x v="9"/>
    <x v="3"/>
    <x v="0"/>
    <x v="6"/>
    <s v="GNR_ST_COAL_EXT_E-42-Straw"/>
    <x v="0"/>
    <x v="5"/>
    <n v="125"/>
    <n v="30416.666666666701"/>
    <n v="109500"/>
  </r>
  <r>
    <x v="0"/>
    <x v="0"/>
    <x v="0"/>
    <x v="0"/>
    <x v="1"/>
    <x v="9"/>
    <x v="3"/>
    <x v="0"/>
    <x v="6"/>
    <s v="GNR_ST_COAL_EXT_E-42-Straw"/>
    <x v="0"/>
    <x v="11"/>
    <n v="125"/>
    <n v="30416.666666666701"/>
    <n v="109500"/>
  </r>
  <r>
    <x v="0"/>
    <x v="0"/>
    <x v="0"/>
    <x v="0"/>
    <x v="1"/>
    <x v="9"/>
    <x v="3"/>
    <x v="0"/>
    <x v="6"/>
    <s v="GNR_ST_COAL_EXT_E-42-Straw"/>
    <x v="0"/>
    <x v="8"/>
    <n v="125"/>
    <n v="30416.666666666701"/>
    <n v="109500"/>
  </r>
  <r>
    <x v="0"/>
    <x v="0"/>
    <x v="0"/>
    <x v="0"/>
    <x v="1"/>
    <x v="9"/>
    <x v="3"/>
    <x v="0"/>
    <x v="6"/>
    <s v="GNR_ST_COAL_EXT_E-42-Straw"/>
    <x v="2"/>
    <x v="3"/>
    <n v="125"/>
    <n v="30416.666666666701"/>
    <n v="109500"/>
  </r>
  <r>
    <x v="0"/>
    <x v="0"/>
    <x v="0"/>
    <x v="0"/>
    <x v="1"/>
    <x v="9"/>
    <x v="3"/>
    <x v="0"/>
    <x v="6"/>
    <s v="GNR_ST_COAL_EXT_E-42-Straw"/>
    <x v="2"/>
    <x v="10"/>
    <n v="125"/>
    <n v="30416.666666666701"/>
    <n v="109500"/>
  </r>
  <r>
    <x v="0"/>
    <x v="0"/>
    <x v="0"/>
    <x v="0"/>
    <x v="1"/>
    <x v="9"/>
    <x v="3"/>
    <x v="0"/>
    <x v="6"/>
    <s v="GNR_ST_COAL_EXT_E-42-Straw"/>
    <x v="2"/>
    <x v="4"/>
    <n v="125"/>
    <n v="30416.666666666701"/>
    <n v="109500"/>
  </r>
  <r>
    <x v="0"/>
    <x v="0"/>
    <x v="0"/>
    <x v="0"/>
    <x v="1"/>
    <x v="9"/>
    <x v="3"/>
    <x v="0"/>
    <x v="6"/>
    <s v="GNR_ST_COAL_EXT_E-42-Straw"/>
    <x v="2"/>
    <x v="1"/>
    <n v="125"/>
    <n v="30416.666666666701"/>
    <n v="109500"/>
  </r>
  <r>
    <x v="0"/>
    <x v="0"/>
    <x v="0"/>
    <x v="0"/>
    <x v="1"/>
    <x v="9"/>
    <x v="3"/>
    <x v="0"/>
    <x v="6"/>
    <s v="GNR_ST_COAL_EXT_E-42-Straw"/>
    <x v="2"/>
    <x v="2"/>
    <n v="125"/>
    <n v="30416.666666666701"/>
    <n v="109500"/>
  </r>
  <r>
    <x v="0"/>
    <x v="0"/>
    <x v="0"/>
    <x v="0"/>
    <x v="1"/>
    <x v="9"/>
    <x v="3"/>
    <x v="0"/>
    <x v="6"/>
    <s v="GNR_ST_COAL_EXT_E-42-Straw"/>
    <x v="2"/>
    <x v="11"/>
    <n v="125"/>
    <n v="30416.666666666701"/>
    <n v="109500"/>
  </r>
  <r>
    <x v="0"/>
    <x v="0"/>
    <x v="0"/>
    <x v="0"/>
    <x v="1"/>
    <x v="9"/>
    <x v="3"/>
    <x v="0"/>
    <x v="6"/>
    <s v="GNR_ST_COAL_EXT_E-42-Straw"/>
    <x v="1"/>
    <x v="3"/>
    <n v="125"/>
    <n v="30416.666666666701"/>
    <n v="109500"/>
  </r>
  <r>
    <x v="0"/>
    <x v="0"/>
    <x v="0"/>
    <x v="0"/>
    <x v="1"/>
    <x v="9"/>
    <x v="3"/>
    <x v="0"/>
    <x v="6"/>
    <s v="GNR_ST_COAL_EXT_E-42-Straw"/>
    <x v="1"/>
    <x v="4"/>
    <n v="125"/>
    <n v="30416.666666666701"/>
    <n v="109500"/>
  </r>
  <r>
    <x v="0"/>
    <x v="0"/>
    <x v="0"/>
    <x v="0"/>
    <x v="1"/>
    <x v="9"/>
    <x v="3"/>
    <x v="0"/>
    <x v="6"/>
    <s v="GNR_ST_COAL_EXT_E-42-Straw"/>
    <x v="1"/>
    <x v="6"/>
    <n v="125"/>
    <n v="30416.666666666701"/>
    <n v="109500"/>
  </r>
  <r>
    <x v="0"/>
    <x v="0"/>
    <x v="0"/>
    <x v="0"/>
    <x v="1"/>
    <x v="9"/>
    <x v="3"/>
    <x v="0"/>
    <x v="6"/>
    <s v="GNR_ST_COAL_EXT_E-42-Straw"/>
    <x v="1"/>
    <x v="0"/>
    <n v="125"/>
    <n v="30416.666666666701"/>
    <n v="109500"/>
  </r>
  <r>
    <x v="0"/>
    <x v="0"/>
    <x v="0"/>
    <x v="0"/>
    <x v="1"/>
    <x v="9"/>
    <x v="3"/>
    <x v="0"/>
    <x v="6"/>
    <s v="GNR_ST_COAL_EXT_E-42-Straw"/>
    <x v="1"/>
    <x v="1"/>
    <n v="125"/>
    <n v="30416.666666666701"/>
    <n v="109500"/>
  </r>
  <r>
    <x v="0"/>
    <x v="0"/>
    <x v="0"/>
    <x v="0"/>
    <x v="1"/>
    <x v="9"/>
    <x v="3"/>
    <x v="0"/>
    <x v="6"/>
    <s v="GNR_ST_COAL_EXT_E-42-Straw"/>
    <x v="1"/>
    <x v="2"/>
    <n v="125"/>
    <n v="30416.666666666701"/>
    <n v="109500"/>
  </r>
  <r>
    <x v="0"/>
    <x v="0"/>
    <x v="0"/>
    <x v="0"/>
    <x v="1"/>
    <x v="9"/>
    <x v="2"/>
    <x v="0"/>
    <x v="0"/>
    <s v="GNR_ST_MSW_BP_E-24_LS-220-MW-FEED_Y-2030"/>
    <x v="0"/>
    <x v="9"/>
    <n v="129.025404126984"/>
    <n v="31396.181670899401"/>
    <n v="113026.254015238"/>
  </r>
  <r>
    <x v="0"/>
    <x v="0"/>
    <x v="0"/>
    <x v="0"/>
    <x v="1"/>
    <x v="9"/>
    <x v="2"/>
    <x v="0"/>
    <x v="0"/>
    <s v="GNR_ST_MSW_BP_E-24_LS-220-MW-FEED_Y-2030"/>
    <x v="0"/>
    <x v="3"/>
    <n v="129.025404126984"/>
    <n v="31396.181670899401"/>
    <n v="113026.254015238"/>
  </r>
  <r>
    <x v="0"/>
    <x v="0"/>
    <x v="0"/>
    <x v="0"/>
    <x v="1"/>
    <x v="9"/>
    <x v="2"/>
    <x v="0"/>
    <x v="0"/>
    <s v="GNR_ST_MSW_BP_E-24_LS-220-MW-FEED_Y-2030"/>
    <x v="0"/>
    <x v="10"/>
    <n v="129.025404126984"/>
    <n v="31396.181670899401"/>
    <n v="113026.254015238"/>
  </r>
  <r>
    <x v="0"/>
    <x v="0"/>
    <x v="0"/>
    <x v="0"/>
    <x v="1"/>
    <x v="9"/>
    <x v="2"/>
    <x v="0"/>
    <x v="0"/>
    <s v="GNR_ST_MSW_BP_E-24_LS-220-MW-FEED_Y-2030"/>
    <x v="0"/>
    <x v="4"/>
    <n v="129.025404126984"/>
    <n v="31396.181670899401"/>
    <n v="113026.254015238"/>
  </r>
  <r>
    <x v="0"/>
    <x v="0"/>
    <x v="0"/>
    <x v="0"/>
    <x v="1"/>
    <x v="9"/>
    <x v="2"/>
    <x v="0"/>
    <x v="0"/>
    <s v="GNR_ST_MSW_BP_E-24_LS-220-MW-FEED_Y-2030"/>
    <x v="0"/>
    <x v="6"/>
    <n v="129.025404126984"/>
    <n v="31396.181670899401"/>
    <n v="113026.254015238"/>
  </r>
  <r>
    <x v="0"/>
    <x v="0"/>
    <x v="0"/>
    <x v="0"/>
    <x v="1"/>
    <x v="9"/>
    <x v="2"/>
    <x v="0"/>
    <x v="0"/>
    <s v="GNR_ST_MSW_BP_E-24_LS-220-MW-FEED_Y-2030"/>
    <x v="0"/>
    <x v="7"/>
    <n v="129.025404126984"/>
    <n v="31396.181670899401"/>
    <n v="113026.254015238"/>
  </r>
  <r>
    <x v="0"/>
    <x v="0"/>
    <x v="0"/>
    <x v="0"/>
    <x v="1"/>
    <x v="9"/>
    <x v="2"/>
    <x v="0"/>
    <x v="0"/>
    <s v="GNR_ST_MSW_BP_E-24_LS-220-MW-FEED_Y-2030"/>
    <x v="0"/>
    <x v="0"/>
    <n v="129.025404126984"/>
    <n v="31396.181670899401"/>
    <n v="113026.254015238"/>
  </r>
  <r>
    <x v="0"/>
    <x v="0"/>
    <x v="0"/>
    <x v="0"/>
    <x v="1"/>
    <x v="9"/>
    <x v="2"/>
    <x v="0"/>
    <x v="0"/>
    <s v="GNR_ST_MSW_BP_E-24_LS-220-MW-FEED_Y-2030"/>
    <x v="0"/>
    <x v="1"/>
    <n v="129.025404126984"/>
    <n v="31396.181670899401"/>
    <n v="113026.254015238"/>
  </r>
  <r>
    <x v="0"/>
    <x v="0"/>
    <x v="0"/>
    <x v="0"/>
    <x v="1"/>
    <x v="9"/>
    <x v="2"/>
    <x v="0"/>
    <x v="0"/>
    <s v="GNR_ST_MSW_BP_E-24_LS-220-MW-FEED_Y-2030"/>
    <x v="0"/>
    <x v="2"/>
    <n v="129.025404126984"/>
    <n v="31396.181670899401"/>
    <n v="113026.254015238"/>
  </r>
  <r>
    <x v="0"/>
    <x v="0"/>
    <x v="0"/>
    <x v="0"/>
    <x v="1"/>
    <x v="9"/>
    <x v="2"/>
    <x v="0"/>
    <x v="0"/>
    <s v="GNR_ST_MSW_BP_E-24_LS-220-MW-FEED_Y-2030"/>
    <x v="0"/>
    <x v="5"/>
    <n v="129.025404126984"/>
    <n v="31396.181670899401"/>
    <n v="113026.254015238"/>
  </r>
  <r>
    <x v="0"/>
    <x v="0"/>
    <x v="0"/>
    <x v="0"/>
    <x v="1"/>
    <x v="9"/>
    <x v="2"/>
    <x v="0"/>
    <x v="0"/>
    <s v="GNR_ST_MSW_BP_E-24_LS-220-MW-FEED_Y-2030"/>
    <x v="0"/>
    <x v="11"/>
    <n v="129.025404126984"/>
    <n v="31396.181670899401"/>
    <n v="113026.254015238"/>
  </r>
  <r>
    <x v="0"/>
    <x v="0"/>
    <x v="0"/>
    <x v="0"/>
    <x v="1"/>
    <x v="9"/>
    <x v="2"/>
    <x v="0"/>
    <x v="0"/>
    <s v="GNR_ST_MSW_BP_E-24_LS-220-MW-FEED_Y-2030"/>
    <x v="0"/>
    <x v="8"/>
    <n v="129.025404126984"/>
    <n v="31396.181670899401"/>
    <n v="113026.254015238"/>
  </r>
  <r>
    <x v="0"/>
    <x v="0"/>
    <x v="0"/>
    <x v="0"/>
    <x v="1"/>
    <x v="9"/>
    <x v="2"/>
    <x v="0"/>
    <x v="0"/>
    <s v="GNR_ST_MSW_BP_E-24_LS-220-MW-FEED_Y-2030"/>
    <x v="2"/>
    <x v="9"/>
    <n v="129.025404126984"/>
    <n v="31396.181670899401"/>
    <n v="113026.254015238"/>
  </r>
  <r>
    <x v="0"/>
    <x v="0"/>
    <x v="0"/>
    <x v="0"/>
    <x v="1"/>
    <x v="9"/>
    <x v="2"/>
    <x v="0"/>
    <x v="0"/>
    <s v="GNR_ST_MSW_BP_E-24_LS-220-MW-FEED_Y-2030"/>
    <x v="2"/>
    <x v="3"/>
    <n v="129.025404126984"/>
    <n v="31396.181670899401"/>
    <n v="113026.254015238"/>
  </r>
  <r>
    <x v="0"/>
    <x v="0"/>
    <x v="0"/>
    <x v="0"/>
    <x v="1"/>
    <x v="9"/>
    <x v="2"/>
    <x v="0"/>
    <x v="0"/>
    <s v="GNR_ST_MSW_BP_E-24_LS-220-MW-FEED_Y-2030"/>
    <x v="2"/>
    <x v="10"/>
    <n v="129.025404126984"/>
    <n v="31396.181670899401"/>
    <n v="113026.254015238"/>
  </r>
  <r>
    <x v="0"/>
    <x v="0"/>
    <x v="0"/>
    <x v="0"/>
    <x v="1"/>
    <x v="9"/>
    <x v="2"/>
    <x v="0"/>
    <x v="0"/>
    <s v="GNR_ST_MSW_BP_E-24_LS-220-MW-FEED_Y-2030"/>
    <x v="2"/>
    <x v="4"/>
    <n v="129.025404126984"/>
    <n v="31396.181670899401"/>
    <n v="113026.254015238"/>
  </r>
  <r>
    <x v="0"/>
    <x v="0"/>
    <x v="0"/>
    <x v="0"/>
    <x v="1"/>
    <x v="9"/>
    <x v="2"/>
    <x v="0"/>
    <x v="0"/>
    <s v="GNR_ST_MSW_BP_E-24_LS-220-MW-FEED_Y-2030"/>
    <x v="2"/>
    <x v="6"/>
    <n v="129.025404126984"/>
    <n v="31396.181670899401"/>
    <n v="113026.254015238"/>
  </r>
  <r>
    <x v="0"/>
    <x v="0"/>
    <x v="0"/>
    <x v="0"/>
    <x v="1"/>
    <x v="9"/>
    <x v="2"/>
    <x v="0"/>
    <x v="0"/>
    <s v="GNR_ST_MSW_BP_E-24_LS-220-MW-FEED_Y-2030"/>
    <x v="2"/>
    <x v="7"/>
    <n v="129.025404126984"/>
    <n v="31396.181670899401"/>
    <n v="113026.254015238"/>
  </r>
  <r>
    <x v="0"/>
    <x v="0"/>
    <x v="0"/>
    <x v="0"/>
    <x v="1"/>
    <x v="9"/>
    <x v="2"/>
    <x v="0"/>
    <x v="0"/>
    <s v="GNR_ST_MSW_BP_E-24_LS-220-MW-FEED_Y-2030"/>
    <x v="2"/>
    <x v="0"/>
    <n v="129.025404126984"/>
    <n v="31396.181670899401"/>
    <n v="113026.254015238"/>
  </r>
  <r>
    <x v="0"/>
    <x v="0"/>
    <x v="0"/>
    <x v="0"/>
    <x v="1"/>
    <x v="9"/>
    <x v="2"/>
    <x v="0"/>
    <x v="0"/>
    <s v="GNR_ST_MSW_BP_E-24_LS-220-MW-FEED_Y-2030"/>
    <x v="2"/>
    <x v="1"/>
    <n v="129.025404126984"/>
    <n v="31396.181670899401"/>
    <n v="113026.254015238"/>
  </r>
  <r>
    <x v="0"/>
    <x v="0"/>
    <x v="0"/>
    <x v="0"/>
    <x v="1"/>
    <x v="9"/>
    <x v="2"/>
    <x v="0"/>
    <x v="0"/>
    <s v="GNR_ST_MSW_BP_E-24_LS-220-MW-FEED_Y-2030"/>
    <x v="2"/>
    <x v="2"/>
    <n v="129.025404126984"/>
    <n v="31396.181670899401"/>
    <n v="113026.254015238"/>
  </r>
  <r>
    <x v="0"/>
    <x v="0"/>
    <x v="0"/>
    <x v="0"/>
    <x v="1"/>
    <x v="9"/>
    <x v="2"/>
    <x v="0"/>
    <x v="0"/>
    <s v="GNR_ST_MSW_BP_E-24_LS-220-MW-FEED_Y-2030"/>
    <x v="2"/>
    <x v="5"/>
    <n v="129.025404126984"/>
    <n v="31396.181670899401"/>
    <n v="113026.254015238"/>
  </r>
  <r>
    <x v="0"/>
    <x v="0"/>
    <x v="0"/>
    <x v="0"/>
    <x v="1"/>
    <x v="9"/>
    <x v="2"/>
    <x v="0"/>
    <x v="0"/>
    <s v="GNR_ST_MSW_BP_E-24_LS-220-MW-FEED_Y-2030"/>
    <x v="2"/>
    <x v="11"/>
    <n v="129.025404126984"/>
    <n v="31396.181670899401"/>
    <n v="113026.254015238"/>
  </r>
  <r>
    <x v="0"/>
    <x v="0"/>
    <x v="0"/>
    <x v="0"/>
    <x v="1"/>
    <x v="9"/>
    <x v="2"/>
    <x v="0"/>
    <x v="0"/>
    <s v="GNR_ST_MSW_BP_E-24_LS-220-MW-FEED_Y-2030"/>
    <x v="2"/>
    <x v="8"/>
    <n v="129.025404126984"/>
    <n v="31396.181670899401"/>
    <n v="113026.254015238"/>
  </r>
  <r>
    <x v="0"/>
    <x v="0"/>
    <x v="0"/>
    <x v="0"/>
    <x v="1"/>
    <x v="9"/>
    <x v="2"/>
    <x v="0"/>
    <x v="0"/>
    <s v="GNR_ST_MSW_BP_E-24_LS-220-MW-FEED_Y-2030"/>
    <x v="1"/>
    <x v="9"/>
    <n v="129.025404126984"/>
    <n v="31396.181670899401"/>
    <n v="113026.254015238"/>
  </r>
  <r>
    <x v="0"/>
    <x v="0"/>
    <x v="0"/>
    <x v="0"/>
    <x v="1"/>
    <x v="9"/>
    <x v="2"/>
    <x v="0"/>
    <x v="0"/>
    <s v="GNR_ST_MSW_BP_E-24_LS-220-MW-FEED_Y-2030"/>
    <x v="1"/>
    <x v="3"/>
    <n v="129.025404126984"/>
    <n v="31396.181670899401"/>
    <n v="113026.254015238"/>
  </r>
  <r>
    <x v="0"/>
    <x v="0"/>
    <x v="0"/>
    <x v="0"/>
    <x v="1"/>
    <x v="9"/>
    <x v="2"/>
    <x v="0"/>
    <x v="0"/>
    <s v="GNR_ST_MSW_BP_E-24_LS-220-MW-FEED_Y-2030"/>
    <x v="1"/>
    <x v="10"/>
    <n v="129.025404126984"/>
    <n v="31396.181670899401"/>
    <n v="113026.254015238"/>
  </r>
  <r>
    <x v="0"/>
    <x v="0"/>
    <x v="0"/>
    <x v="0"/>
    <x v="1"/>
    <x v="9"/>
    <x v="2"/>
    <x v="0"/>
    <x v="0"/>
    <s v="GNR_ST_MSW_BP_E-24_LS-220-MW-FEED_Y-2030"/>
    <x v="1"/>
    <x v="4"/>
    <n v="129.025404126984"/>
    <n v="31396.181670899401"/>
    <n v="113026.254015238"/>
  </r>
  <r>
    <x v="0"/>
    <x v="0"/>
    <x v="0"/>
    <x v="0"/>
    <x v="1"/>
    <x v="9"/>
    <x v="2"/>
    <x v="0"/>
    <x v="0"/>
    <s v="GNR_ST_MSW_BP_E-24_LS-220-MW-FEED_Y-2030"/>
    <x v="1"/>
    <x v="6"/>
    <n v="129.025404126984"/>
    <n v="31396.181670899401"/>
    <n v="113026.254015238"/>
  </r>
  <r>
    <x v="0"/>
    <x v="0"/>
    <x v="0"/>
    <x v="0"/>
    <x v="1"/>
    <x v="9"/>
    <x v="2"/>
    <x v="0"/>
    <x v="0"/>
    <s v="GNR_ST_MSW_BP_E-24_LS-220-MW-FEED_Y-2030"/>
    <x v="1"/>
    <x v="7"/>
    <n v="129.025404126984"/>
    <n v="31396.181670899401"/>
    <n v="113026.254015238"/>
  </r>
  <r>
    <x v="0"/>
    <x v="0"/>
    <x v="0"/>
    <x v="0"/>
    <x v="1"/>
    <x v="9"/>
    <x v="2"/>
    <x v="0"/>
    <x v="0"/>
    <s v="GNR_ST_MSW_BP_E-24_LS-220-MW-FEED_Y-2030"/>
    <x v="1"/>
    <x v="0"/>
    <n v="129.025404126984"/>
    <n v="31396.181670899401"/>
    <n v="113026.254015238"/>
  </r>
  <r>
    <x v="0"/>
    <x v="0"/>
    <x v="0"/>
    <x v="0"/>
    <x v="1"/>
    <x v="9"/>
    <x v="2"/>
    <x v="0"/>
    <x v="0"/>
    <s v="GNR_ST_MSW_BP_E-24_LS-220-MW-FEED_Y-2030"/>
    <x v="1"/>
    <x v="1"/>
    <n v="129.025404126984"/>
    <n v="31396.181670899401"/>
    <n v="113026.254015238"/>
  </r>
  <r>
    <x v="0"/>
    <x v="0"/>
    <x v="0"/>
    <x v="0"/>
    <x v="1"/>
    <x v="9"/>
    <x v="2"/>
    <x v="0"/>
    <x v="0"/>
    <s v="GNR_ST_MSW_BP_E-24_LS-220-MW-FEED_Y-2030"/>
    <x v="1"/>
    <x v="2"/>
    <n v="129.025404126984"/>
    <n v="31396.181670899401"/>
    <n v="113026.254015238"/>
  </r>
  <r>
    <x v="0"/>
    <x v="0"/>
    <x v="0"/>
    <x v="0"/>
    <x v="1"/>
    <x v="9"/>
    <x v="2"/>
    <x v="0"/>
    <x v="0"/>
    <s v="GNR_ST_MSW_BP_E-24_LS-220-MW-FEED_Y-2030"/>
    <x v="1"/>
    <x v="5"/>
    <n v="129.025404126984"/>
    <n v="31396.181670899401"/>
    <n v="113026.254015238"/>
  </r>
  <r>
    <x v="0"/>
    <x v="0"/>
    <x v="0"/>
    <x v="0"/>
    <x v="1"/>
    <x v="9"/>
    <x v="2"/>
    <x v="0"/>
    <x v="0"/>
    <s v="GNR_ST_MSW_BP_E-24_LS-220-MW-FEED_Y-2030"/>
    <x v="1"/>
    <x v="11"/>
    <n v="129.025404126984"/>
    <n v="31396.181670899401"/>
    <n v="113026.254015238"/>
  </r>
  <r>
    <x v="0"/>
    <x v="0"/>
    <x v="0"/>
    <x v="0"/>
    <x v="1"/>
    <x v="9"/>
    <x v="2"/>
    <x v="0"/>
    <x v="0"/>
    <s v="GNR_ST_MSW_BP_E-24_LS-220-MW-FEED_Y-2030"/>
    <x v="1"/>
    <x v="8"/>
    <n v="129.025404126984"/>
    <n v="31396.181670899401"/>
    <n v="113026.254015238"/>
  </r>
  <r>
    <x v="0"/>
    <x v="0"/>
    <x v="0"/>
    <x v="0"/>
    <x v="1"/>
    <x v="9"/>
    <x v="2"/>
    <x v="0"/>
    <x v="0"/>
    <s v="GNR_ST_MSW_BP_E-27"/>
    <x v="0"/>
    <x v="9"/>
    <n v="19.399999999999999"/>
    <n v="4720.6666666666697"/>
    <n v="16994.400000000001"/>
  </r>
  <r>
    <x v="0"/>
    <x v="0"/>
    <x v="0"/>
    <x v="0"/>
    <x v="1"/>
    <x v="9"/>
    <x v="2"/>
    <x v="0"/>
    <x v="0"/>
    <s v="GNR_ST_MSW_BP_E-27"/>
    <x v="0"/>
    <x v="3"/>
    <n v="19.399999999999999"/>
    <n v="4720.6666666666697"/>
    <n v="16994.400000000001"/>
  </r>
  <r>
    <x v="0"/>
    <x v="0"/>
    <x v="0"/>
    <x v="0"/>
    <x v="1"/>
    <x v="9"/>
    <x v="2"/>
    <x v="0"/>
    <x v="0"/>
    <s v="GNR_ST_MSW_BP_E-27"/>
    <x v="0"/>
    <x v="10"/>
    <n v="19.399999999999999"/>
    <n v="4720.6666666666697"/>
    <n v="16994.400000000001"/>
  </r>
  <r>
    <x v="0"/>
    <x v="0"/>
    <x v="0"/>
    <x v="0"/>
    <x v="1"/>
    <x v="9"/>
    <x v="2"/>
    <x v="0"/>
    <x v="0"/>
    <s v="GNR_ST_MSW_BP_E-27"/>
    <x v="0"/>
    <x v="4"/>
    <n v="19.399999999999999"/>
    <n v="4720.6666666666697"/>
    <n v="16994.400000000001"/>
  </r>
  <r>
    <x v="0"/>
    <x v="0"/>
    <x v="0"/>
    <x v="0"/>
    <x v="1"/>
    <x v="9"/>
    <x v="2"/>
    <x v="0"/>
    <x v="0"/>
    <s v="GNR_ST_MSW_BP_E-27"/>
    <x v="0"/>
    <x v="6"/>
    <n v="19.399999999999999"/>
    <n v="4720.6666666666697"/>
    <n v="16994.400000000001"/>
  </r>
  <r>
    <x v="0"/>
    <x v="0"/>
    <x v="0"/>
    <x v="0"/>
    <x v="1"/>
    <x v="9"/>
    <x v="2"/>
    <x v="0"/>
    <x v="0"/>
    <s v="GNR_ST_MSW_BP_E-27"/>
    <x v="0"/>
    <x v="7"/>
    <n v="19.399999999999999"/>
    <n v="4720.6666666666697"/>
    <n v="16994.400000000001"/>
  </r>
  <r>
    <x v="0"/>
    <x v="0"/>
    <x v="0"/>
    <x v="0"/>
    <x v="1"/>
    <x v="9"/>
    <x v="2"/>
    <x v="0"/>
    <x v="0"/>
    <s v="GNR_ST_MSW_BP_E-27"/>
    <x v="0"/>
    <x v="0"/>
    <n v="19.399999999999999"/>
    <n v="4720.6666666666697"/>
    <n v="16994.400000000001"/>
  </r>
  <r>
    <x v="0"/>
    <x v="0"/>
    <x v="0"/>
    <x v="0"/>
    <x v="1"/>
    <x v="9"/>
    <x v="2"/>
    <x v="0"/>
    <x v="0"/>
    <s v="GNR_ST_MSW_BP_E-27"/>
    <x v="0"/>
    <x v="1"/>
    <n v="19.399999999999999"/>
    <n v="4720.6666666666697"/>
    <n v="16994.400000000001"/>
  </r>
  <r>
    <x v="0"/>
    <x v="0"/>
    <x v="0"/>
    <x v="0"/>
    <x v="1"/>
    <x v="9"/>
    <x v="2"/>
    <x v="0"/>
    <x v="0"/>
    <s v="GNR_ST_MSW_BP_E-27"/>
    <x v="0"/>
    <x v="2"/>
    <n v="19.399999999999999"/>
    <n v="4720.6666666666697"/>
    <n v="16994.400000000001"/>
  </r>
  <r>
    <x v="0"/>
    <x v="0"/>
    <x v="0"/>
    <x v="0"/>
    <x v="1"/>
    <x v="9"/>
    <x v="2"/>
    <x v="0"/>
    <x v="0"/>
    <s v="GNR_ST_MSW_BP_E-27"/>
    <x v="0"/>
    <x v="5"/>
    <n v="19.399999999999999"/>
    <n v="4720.6666666666697"/>
    <n v="16994.400000000001"/>
  </r>
  <r>
    <x v="0"/>
    <x v="0"/>
    <x v="0"/>
    <x v="0"/>
    <x v="1"/>
    <x v="9"/>
    <x v="2"/>
    <x v="0"/>
    <x v="0"/>
    <s v="GNR_ST_MSW_BP_E-27"/>
    <x v="0"/>
    <x v="11"/>
    <n v="19.399999999999999"/>
    <n v="4720.6666666666697"/>
    <n v="16994.400000000001"/>
  </r>
  <r>
    <x v="0"/>
    <x v="0"/>
    <x v="0"/>
    <x v="0"/>
    <x v="1"/>
    <x v="9"/>
    <x v="2"/>
    <x v="0"/>
    <x v="0"/>
    <s v="GNR_ST_MSW_BP_E-27"/>
    <x v="0"/>
    <x v="8"/>
    <n v="19.399999999999999"/>
    <n v="4720.6666666666697"/>
    <n v="16994.400000000001"/>
  </r>
  <r>
    <x v="0"/>
    <x v="0"/>
    <x v="0"/>
    <x v="0"/>
    <x v="1"/>
    <x v="9"/>
    <x v="2"/>
    <x v="0"/>
    <x v="0"/>
    <s v="GNR_ST_MSW_BP_E-27"/>
    <x v="2"/>
    <x v="9"/>
    <n v="19.399999999999999"/>
    <n v="4720.6666666666697"/>
    <n v="16994.400000000001"/>
  </r>
  <r>
    <x v="0"/>
    <x v="0"/>
    <x v="0"/>
    <x v="0"/>
    <x v="1"/>
    <x v="9"/>
    <x v="2"/>
    <x v="0"/>
    <x v="0"/>
    <s v="GNR_ST_MSW_BP_E-27"/>
    <x v="2"/>
    <x v="3"/>
    <n v="19.399999999999999"/>
    <n v="4720.6666666666697"/>
    <n v="16994.400000000001"/>
  </r>
  <r>
    <x v="0"/>
    <x v="0"/>
    <x v="0"/>
    <x v="0"/>
    <x v="1"/>
    <x v="9"/>
    <x v="2"/>
    <x v="0"/>
    <x v="0"/>
    <s v="GNR_ST_MSW_BP_E-27"/>
    <x v="2"/>
    <x v="10"/>
    <n v="19.399999999999999"/>
    <n v="4720.6666666666697"/>
    <n v="16994.400000000001"/>
  </r>
  <r>
    <x v="0"/>
    <x v="0"/>
    <x v="0"/>
    <x v="0"/>
    <x v="1"/>
    <x v="9"/>
    <x v="2"/>
    <x v="0"/>
    <x v="0"/>
    <s v="GNR_ST_MSW_BP_E-27"/>
    <x v="2"/>
    <x v="4"/>
    <n v="19.399999999999999"/>
    <n v="4720.6666666666697"/>
    <n v="16994.400000000001"/>
  </r>
  <r>
    <x v="0"/>
    <x v="0"/>
    <x v="0"/>
    <x v="0"/>
    <x v="1"/>
    <x v="9"/>
    <x v="2"/>
    <x v="0"/>
    <x v="0"/>
    <s v="GNR_ST_MSW_BP_E-27"/>
    <x v="2"/>
    <x v="6"/>
    <n v="19.399999999999999"/>
    <n v="4720.6666666666697"/>
    <n v="16994.400000000001"/>
  </r>
  <r>
    <x v="0"/>
    <x v="0"/>
    <x v="0"/>
    <x v="0"/>
    <x v="1"/>
    <x v="9"/>
    <x v="2"/>
    <x v="0"/>
    <x v="0"/>
    <s v="GNR_ST_MSW_BP_E-27"/>
    <x v="2"/>
    <x v="7"/>
    <n v="19.399999999999999"/>
    <n v="4720.6666666666697"/>
    <n v="16994.400000000001"/>
  </r>
  <r>
    <x v="0"/>
    <x v="0"/>
    <x v="0"/>
    <x v="0"/>
    <x v="1"/>
    <x v="9"/>
    <x v="2"/>
    <x v="0"/>
    <x v="0"/>
    <s v="GNR_ST_MSW_BP_E-27"/>
    <x v="2"/>
    <x v="0"/>
    <n v="19.399999999999999"/>
    <n v="4720.6666666666697"/>
    <n v="16994.400000000001"/>
  </r>
  <r>
    <x v="0"/>
    <x v="0"/>
    <x v="0"/>
    <x v="0"/>
    <x v="1"/>
    <x v="9"/>
    <x v="2"/>
    <x v="0"/>
    <x v="0"/>
    <s v="GNR_ST_MSW_BP_E-27"/>
    <x v="2"/>
    <x v="1"/>
    <n v="19.399999999999999"/>
    <n v="4720.6666666666697"/>
    <n v="16994.400000000001"/>
  </r>
  <r>
    <x v="0"/>
    <x v="0"/>
    <x v="0"/>
    <x v="0"/>
    <x v="1"/>
    <x v="9"/>
    <x v="2"/>
    <x v="0"/>
    <x v="0"/>
    <s v="GNR_ST_MSW_BP_E-27"/>
    <x v="2"/>
    <x v="2"/>
    <n v="19.399999999999999"/>
    <n v="4720.6666666666697"/>
    <n v="16994.400000000001"/>
  </r>
  <r>
    <x v="0"/>
    <x v="0"/>
    <x v="0"/>
    <x v="0"/>
    <x v="1"/>
    <x v="9"/>
    <x v="2"/>
    <x v="0"/>
    <x v="0"/>
    <s v="GNR_ST_MSW_BP_E-27"/>
    <x v="2"/>
    <x v="5"/>
    <n v="19.399999999999999"/>
    <n v="4720.6666666666697"/>
    <n v="16994.400000000001"/>
  </r>
  <r>
    <x v="0"/>
    <x v="0"/>
    <x v="0"/>
    <x v="0"/>
    <x v="1"/>
    <x v="9"/>
    <x v="2"/>
    <x v="0"/>
    <x v="0"/>
    <s v="GNR_ST_MSW_BP_E-27"/>
    <x v="2"/>
    <x v="11"/>
    <n v="19.399999999999999"/>
    <n v="4720.6666666666697"/>
    <n v="16994.400000000001"/>
  </r>
  <r>
    <x v="0"/>
    <x v="0"/>
    <x v="0"/>
    <x v="0"/>
    <x v="1"/>
    <x v="9"/>
    <x v="2"/>
    <x v="0"/>
    <x v="0"/>
    <s v="GNR_ST_MSW_BP_E-27"/>
    <x v="2"/>
    <x v="8"/>
    <n v="19.399999999999999"/>
    <n v="4720.6666666666697"/>
    <n v="16994.400000000001"/>
  </r>
  <r>
    <x v="0"/>
    <x v="0"/>
    <x v="0"/>
    <x v="0"/>
    <x v="1"/>
    <x v="9"/>
    <x v="2"/>
    <x v="0"/>
    <x v="0"/>
    <s v="GNR_ST_MSW_BP_E-27"/>
    <x v="1"/>
    <x v="9"/>
    <n v="19.399999999999999"/>
    <n v="4720.6666666666697"/>
    <n v="16994.400000000001"/>
  </r>
  <r>
    <x v="0"/>
    <x v="0"/>
    <x v="0"/>
    <x v="0"/>
    <x v="1"/>
    <x v="9"/>
    <x v="2"/>
    <x v="0"/>
    <x v="0"/>
    <s v="GNR_ST_MSW_BP_E-27"/>
    <x v="1"/>
    <x v="3"/>
    <n v="19.399999999999999"/>
    <n v="4720.6666666666697"/>
    <n v="16994.400000000001"/>
  </r>
  <r>
    <x v="0"/>
    <x v="0"/>
    <x v="0"/>
    <x v="0"/>
    <x v="1"/>
    <x v="9"/>
    <x v="2"/>
    <x v="0"/>
    <x v="0"/>
    <s v="GNR_ST_MSW_BP_E-27"/>
    <x v="1"/>
    <x v="10"/>
    <n v="19.399999999999999"/>
    <n v="4720.6666666666697"/>
    <n v="16994.400000000001"/>
  </r>
  <r>
    <x v="0"/>
    <x v="0"/>
    <x v="0"/>
    <x v="0"/>
    <x v="1"/>
    <x v="9"/>
    <x v="2"/>
    <x v="0"/>
    <x v="0"/>
    <s v="GNR_ST_MSW_BP_E-27"/>
    <x v="1"/>
    <x v="4"/>
    <n v="19.399999999999999"/>
    <n v="4720.6666666666697"/>
    <n v="16994.400000000001"/>
  </r>
  <r>
    <x v="0"/>
    <x v="0"/>
    <x v="0"/>
    <x v="0"/>
    <x v="1"/>
    <x v="9"/>
    <x v="2"/>
    <x v="0"/>
    <x v="0"/>
    <s v="GNR_ST_MSW_BP_E-27"/>
    <x v="1"/>
    <x v="6"/>
    <n v="19.399999999999999"/>
    <n v="4720.6666666666697"/>
    <n v="16994.400000000001"/>
  </r>
  <r>
    <x v="0"/>
    <x v="0"/>
    <x v="0"/>
    <x v="0"/>
    <x v="1"/>
    <x v="9"/>
    <x v="2"/>
    <x v="0"/>
    <x v="0"/>
    <s v="GNR_ST_MSW_BP_E-27"/>
    <x v="1"/>
    <x v="7"/>
    <n v="19.399999999999999"/>
    <n v="4720.6666666666697"/>
    <n v="16994.400000000001"/>
  </r>
  <r>
    <x v="0"/>
    <x v="0"/>
    <x v="0"/>
    <x v="0"/>
    <x v="1"/>
    <x v="9"/>
    <x v="2"/>
    <x v="0"/>
    <x v="0"/>
    <s v="GNR_ST_MSW_BP_E-27"/>
    <x v="1"/>
    <x v="0"/>
    <n v="19.399999999999999"/>
    <n v="4720.6666666666697"/>
    <n v="16994.400000000001"/>
  </r>
  <r>
    <x v="0"/>
    <x v="0"/>
    <x v="0"/>
    <x v="0"/>
    <x v="1"/>
    <x v="9"/>
    <x v="2"/>
    <x v="0"/>
    <x v="0"/>
    <s v="GNR_ST_MSW_BP_E-27"/>
    <x v="1"/>
    <x v="1"/>
    <n v="19.399999999999999"/>
    <n v="4720.6666666666697"/>
    <n v="16994.400000000001"/>
  </r>
  <r>
    <x v="0"/>
    <x v="0"/>
    <x v="0"/>
    <x v="0"/>
    <x v="1"/>
    <x v="9"/>
    <x v="2"/>
    <x v="0"/>
    <x v="0"/>
    <s v="GNR_ST_MSW_BP_E-27"/>
    <x v="1"/>
    <x v="2"/>
    <n v="19.399999999999999"/>
    <n v="4720.6666666666697"/>
    <n v="16994.400000000001"/>
  </r>
  <r>
    <x v="0"/>
    <x v="0"/>
    <x v="0"/>
    <x v="0"/>
    <x v="1"/>
    <x v="9"/>
    <x v="2"/>
    <x v="0"/>
    <x v="0"/>
    <s v="GNR_ST_MSW_BP_E-27"/>
    <x v="1"/>
    <x v="5"/>
    <n v="19.399999999999999"/>
    <n v="4720.6666666666697"/>
    <n v="16994.400000000001"/>
  </r>
  <r>
    <x v="0"/>
    <x v="0"/>
    <x v="0"/>
    <x v="0"/>
    <x v="1"/>
    <x v="9"/>
    <x v="2"/>
    <x v="0"/>
    <x v="0"/>
    <s v="GNR_ST_MSW_BP_E-27"/>
    <x v="1"/>
    <x v="11"/>
    <n v="19.399999999999999"/>
    <n v="4720.6666666666697"/>
    <n v="16994.400000000001"/>
  </r>
  <r>
    <x v="0"/>
    <x v="0"/>
    <x v="0"/>
    <x v="0"/>
    <x v="1"/>
    <x v="9"/>
    <x v="2"/>
    <x v="0"/>
    <x v="0"/>
    <s v="GNR_ST_MSW_BP_E-27"/>
    <x v="1"/>
    <x v="8"/>
    <n v="19.399999999999999"/>
    <n v="4720.6666666666697"/>
    <n v="16994.400000000001"/>
  </r>
  <r>
    <x v="0"/>
    <x v="0"/>
    <x v="0"/>
    <x v="0"/>
    <x v="1"/>
    <x v="10"/>
    <x v="5"/>
    <x v="1"/>
    <x v="1"/>
    <s v="GNR_BO_ELEC_E-99_LS-10-MW-FEED_PHH_Y-2030"/>
    <x v="0"/>
    <x v="9"/>
    <n v="-25.3273008451126"/>
    <n v="-6162.9765389774002"/>
    <n v="-22186.715540318699"/>
  </r>
  <r>
    <x v="0"/>
    <x v="0"/>
    <x v="0"/>
    <x v="0"/>
    <x v="1"/>
    <x v="10"/>
    <x v="5"/>
    <x v="1"/>
    <x v="1"/>
    <s v="GNR_BO_ELEC_E-99_LS-10-MW-FEED_PHH_Y-2030"/>
    <x v="2"/>
    <x v="6"/>
    <n v="-25.3273008451126"/>
    <n v="-6162.9765389774002"/>
    <n v="-22186.715540318699"/>
  </r>
  <r>
    <x v="0"/>
    <x v="0"/>
    <x v="0"/>
    <x v="0"/>
    <x v="1"/>
    <x v="10"/>
    <x v="5"/>
    <x v="1"/>
    <x v="1"/>
    <s v="GNR_BO_ELEC_E-99_LS-10-MW-FEED_PHH_Y-2030"/>
    <x v="2"/>
    <x v="7"/>
    <n v="-25.3273008451126"/>
    <n v="-6162.9765389774002"/>
    <n v="-22186.715540318699"/>
  </r>
  <r>
    <x v="0"/>
    <x v="0"/>
    <x v="0"/>
    <x v="0"/>
    <x v="1"/>
    <x v="10"/>
    <x v="5"/>
    <x v="1"/>
    <x v="1"/>
    <s v="GNR_BO_ELEC_E-99_LS-10-MW-FEED_PHH_Y-2030"/>
    <x v="2"/>
    <x v="0"/>
    <n v="-25.3273008451126"/>
    <n v="-6162.9765389774002"/>
    <n v="-22186.715540318699"/>
  </r>
  <r>
    <x v="0"/>
    <x v="0"/>
    <x v="0"/>
    <x v="0"/>
    <x v="1"/>
    <x v="10"/>
    <x v="5"/>
    <x v="1"/>
    <x v="1"/>
    <s v="GNR_BO_ELEC_E-99_LS-10-MW-FEED_PHH_Y-2030"/>
    <x v="1"/>
    <x v="9"/>
    <n v="-9.7137266209267299"/>
    <n v="-2363.6734777588399"/>
    <n v="-8509.2245199318095"/>
  </r>
  <r>
    <x v="0"/>
    <x v="0"/>
    <x v="0"/>
    <x v="0"/>
    <x v="1"/>
    <x v="11"/>
    <x v="0"/>
    <x v="0"/>
    <x v="0"/>
    <s v="GNR_ENG_BGAS_BP_E-38"/>
    <x v="0"/>
    <x v="0"/>
    <n v="0.25"/>
    <n v="60.8333333333333"/>
    <n v="219"/>
  </r>
  <r>
    <x v="0"/>
    <x v="0"/>
    <x v="0"/>
    <x v="0"/>
    <x v="1"/>
    <x v="11"/>
    <x v="0"/>
    <x v="0"/>
    <x v="0"/>
    <s v="GNR_ENG_BGAS_BP_E-38"/>
    <x v="0"/>
    <x v="1"/>
    <n v="0.25"/>
    <n v="60.8333333333333"/>
    <n v="219"/>
  </r>
  <r>
    <x v="0"/>
    <x v="0"/>
    <x v="0"/>
    <x v="0"/>
    <x v="1"/>
    <x v="11"/>
    <x v="0"/>
    <x v="0"/>
    <x v="0"/>
    <s v="GNR_ENG_BGAS_BP_E-38"/>
    <x v="0"/>
    <x v="2"/>
    <n v="0.25"/>
    <n v="60.8333333333333"/>
    <n v="219"/>
  </r>
  <r>
    <x v="0"/>
    <x v="0"/>
    <x v="0"/>
    <x v="0"/>
    <x v="1"/>
    <x v="11"/>
    <x v="1"/>
    <x v="0"/>
    <x v="0"/>
    <s v="GNR_ENG_NGAS_BP_E-48_Y-2030"/>
    <x v="0"/>
    <x v="7"/>
    <n v="135.56091266022801"/>
    <n v="32986.488747322197"/>
    <n v="118751.35949036"/>
  </r>
  <r>
    <x v="0"/>
    <x v="0"/>
    <x v="0"/>
    <x v="0"/>
    <x v="1"/>
    <x v="11"/>
    <x v="1"/>
    <x v="0"/>
    <x v="0"/>
    <s v="GNR_ENG_NGAS_BP_E-48_Y-2030"/>
    <x v="0"/>
    <x v="0"/>
    <n v="135.56091266022801"/>
    <n v="32986.488747322197"/>
    <n v="118751.35949036"/>
  </r>
  <r>
    <x v="0"/>
    <x v="0"/>
    <x v="0"/>
    <x v="0"/>
    <x v="1"/>
    <x v="11"/>
    <x v="1"/>
    <x v="0"/>
    <x v="0"/>
    <s v="GNR_ENG_NGAS_BP_E-48_Y-2030"/>
    <x v="0"/>
    <x v="1"/>
    <n v="135.56091266022801"/>
    <n v="32986.488747322197"/>
    <n v="118751.35949036"/>
  </r>
  <r>
    <x v="0"/>
    <x v="0"/>
    <x v="0"/>
    <x v="0"/>
    <x v="1"/>
    <x v="11"/>
    <x v="1"/>
    <x v="0"/>
    <x v="0"/>
    <s v="GNR_ENG_NGAS_BP_E-48_Y-2030"/>
    <x v="0"/>
    <x v="2"/>
    <n v="135.56091266022801"/>
    <n v="32986.488747322197"/>
    <n v="118751.35949036"/>
  </r>
  <r>
    <x v="0"/>
    <x v="0"/>
    <x v="0"/>
    <x v="0"/>
    <x v="1"/>
    <x v="11"/>
    <x v="1"/>
    <x v="0"/>
    <x v="0"/>
    <s v="GNR_ENG_NGAS_BP_E-48_Y-2030"/>
    <x v="0"/>
    <x v="5"/>
    <n v="135.56091266022801"/>
    <n v="32986.488747322197"/>
    <n v="118751.35949036"/>
  </r>
  <r>
    <x v="0"/>
    <x v="0"/>
    <x v="0"/>
    <x v="0"/>
    <x v="1"/>
    <x v="11"/>
    <x v="1"/>
    <x v="0"/>
    <x v="0"/>
    <s v="GNR_ENG_NGAS_BP_E-48_Y-2030"/>
    <x v="0"/>
    <x v="11"/>
    <n v="135.56091266022801"/>
    <n v="32986.488747322197"/>
    <n v="118751.35949036"/>
  </r>
  <r>
    <x v="0"/>
    <x v="0"/>
    <x v="0"/>
    <x v="0"/>
    <x v="1"/>
    <x v="11"/>
    <x v="1"/>
    <x v="0"/>
    <x v="0"/>
    <s v="GNR_ENG_NGAS_BP_E-48_Y-2030"/>
    <x v="0"/>
    <x v="8"/>
    <n v="135.56091266022801"/>
    <n v="32986.488747322197"/>
    <n v="118751.35949036"/>
  </r>
  <r>
    <x v="0"/>
    <x v="0"/>
    <x v="0"/>
    <x v="0"/>
    <x v="1"/>
    <x v="11"/>
    <x v="1"/>
    <x v="0"/>
    <x v="0"/>
    <s v="GNR_ENG_NGAS_BP_E-48_Y-2030"/>
    <x v="2"/>
    <x v="3"/>
    <n v="135.56091266022801"/>
    <n v="32986.488747322197"/>
    <n v="118751.35949036"/>
  </r>
  <r>
    <x v="0"/>
    <x v="0"/>
    <x v="0"/>
    <x v="0"/>
    <x v="1"/>
    <x v="11"/>
    <x v="1"/>
    <x v="0"/>
    <x v="0"/>
    <s v="GNR_ENG_NGAS_BP_E-48_Y-2030"/>
    <x v="2"/>
    <x v="4"/>
    <n v="135.56091266022801"/>
    <n v="32986.488747322197"/>
    <n v="118751.35949036"/>
  </r>
  <r>
    <x v="0"/>
    <x v="0"/>
    <x v="0"/>
    <x v="0"/>
    <x v="1"/>
    <x v="11"/>
    <x v="1"/>
    <x v="0"/>
    <x v="0"/>
    <s v="GNR_ENG_NGAS_BP_E-48_Y-2030"/>
    <x v="2"/>
    <x v="1"/>
    <n v="47.505945600859803"/>
    <n v="11559.780096209201"/>
    <n v="41615.208346353204"/>
  </r>
  <r>
    <x v="0"/>
    <x v="0"/>
    <x v="0"/>
    <x v="0"/>
    <x v="1"/>
    <x v="11"/>
    <x v="1"/>
    <x v="0"/>
    <x v="0"/>
    <s v="GNR_ENG_NGAS_BP_E-48_Y-2030"/>
    <x v="2"/>
    <x v="2"/>
    <n v="48.444371879538899"/>
    <n v="11788.130490687799"/>
    <n v="42437.2697664761"/>
  </r>
  <r>
    <x v="0"/>
    <x v="0"/>
    <x v="0"/>
    <x v="0"/>
    <x v="1"/>
    <x v="11"/>
    <x v="1"/>
    <x v="0"/>
    <x v="0"/>
    <s v="GNR_ENG_NGAS_BP_E-48_Y-2030"/>
    <x v="2"/>
    <x v="11"/>
    <n v="25.777181928422799"/>
    <n v="6272.4476025828799"/>
    <n v="22580.811369298401"/>
  </r>
  <r>
    <x v="0"/>
    <x v="0"/>
    <x v="0"/>
    <x v="0"/>
    <x v="1"/>
    <x v="11"/>
    <x v="1"/>
    <x v="0"/>
    <x v="0"/>
    <s v="GNR_ENG_NGAS_BP_E-48_Y-2030"/>
    <x v="1"/>
    <x v="3"/>
    <n v="135.56091266022801"/>
    <n v="32986.488747322197"/>
    <n v="118751.35949036"/>
  </r>
  <r>
    <x v="0"/>
    <x v="0"/>
    <x v="0"/>
    <x v="0"/>
    <x v="1"/>
    <x v="11"/>
    <x v="1"/>
    <x v="0"/>
    <x v="0"/>
    <s v="GNR_ENG_NGAS_BP_E-48_Y-2030"/>
    <x v="1"/>
    <x v="10"/>
    <n v="82.113949644982696"/>
    <n v="19981.061080279102"/>
    <n v="71931.819889004895"/>
  </r>
  <r>
    <x v="0"/>
    <x v="0"/>
    <x v="0"/>
    <x v="0"/>
    <x v="1"/>
    <x v="11"/>
    <x v="1"/>
    <x v="0"/>
    <x v="0"/>
    <s v="GNR_ENG_NGAS_BP_E-48_Y-2030"/>
    <x v="1"/>
    <x v="4"/>
    <n v="135.56091266022801"/>
    <n v="32986.488747322197"/>
    <n v="118751.35949036"/>
  </r>
  <r>
    <x v="0"/>
    <x v="0"/>
    <x v="0"/>
    <x v="0"/>
    <x v="1"/>
    <x v="11"/>
    <x v="1"/>
    <x v="0"/>
    <x v="0"/>
    <s v="GNR_ENG_NGAS_BP_E-48_Y-2030"/>
    <x v="1"/>
    <x v="6"/>
    <n v="135.56091266022801"/>
    <n v="32986.488747322197"/>
    <n v="118751.35949036"/>
  </r>
  <r>
    <x v="0"/>
    <x v="0"/>
    <x v="0"/>
    <x v="0"/>
    <x v="1"/>
    <x v="11"/>
    <x v="1"/>
    <x v="0"/>
    <x v="0"/>
    <s v="GNR_ENG_NGAS_BP_E-48_Y-2030"/>
    <x v="1"/>
    <x v="0"/>
    <n v="135.56091266022801"/>
    <n v="32986.488747322197"/>
    <n v="118751.35949036"/>
  </r>
  <r>
    <x v="0"/>
    <x v="0"/>
    <x v="0"/>
    <x v="0"/>
    <x v="1"/>
    <x v="11"/>
    <x v="1"/>
    <x v="0"/>
    <x v="0"/>
    <s v="GNR_ENG_NGAS_BP_E-48_Y-2030"/>
    <x v="1"/>
    <x v="1"/>
    <n v="135.56091266022801"/>
    <n v="32986.488747322197"/>
    <n v="118751.35949036"/>
  </r>
  <r>
    <x v="0"/>
    <x v="0"/>
    <x v="0"/>
    <x v="0"/>
    <x v="1"/>
    <x v="11"/>
    <x v="1"/>
    <x v="0"/>
    <x v="0"/>
    <s v="GNR_ENG_NGAS_BP_E-48_Y-2030"/>
    <x v="1"/>
    <x v="2"/>
    <n v="135.56091266022801"/>
    <n v="32986.488747322197"/>
    <n v="118751.35949036"/>
  </r>
  <r>
    <x v="0"/>
    <x v="0"/>
    <x v="0"/>
    <x v="0"/>
    <x v="1"/>
    <x v="12"/>
    <x v="1"/>
    <x v="0"/>
    <x v="0"/>
    <s v="GNR_ENG_NGAS_BP_E-35"/>
    <x v="0"/>
    <x v="0"/>
    <n v="0.97"/>
    <n v="236.03333333333299"/>
    <n v="849.72"/>
  </r>
  <r>
    <x v="0"/>
    <x v="0"/>
    <x v="0"/>
    <x v="0"/>
    <x v="1"/>
    <x v="12"/>
    <x v="1"/>
    <x v="0"/>
    <x v="0"/>
    <s v="GNR_ENG_NGAS_BP_E-35"/>
    <x v="0"/>
    <x v="1"/>
    <n v="0.97"/>
    <n v="236.03333333333299"/>
    <n v="849.72"/>
  </r>
  <r>
    <x v="0"/>
    <x v="0"/>
    <x v="0"/>
    <x v="0"/>
    <x v="1"/>
    <x v="12"/>
    <x v="1"/>
    <x v="0"/>
    <x v="0"/>
    <s v="GNR_ENG_NGAS_BP_E-35"/>
    <x v="0"/>
    <x v="2"/>
    <n v="0.97"/>
    <n v="236.03333333333299"/>
    <n v="849.72"/>
  </r>
  <r>
    <x v="0"/>
    <x v="0"/>
    <x v="0"/>
    <x v="0"/>
    <x v="1"/>
    <x v="12"/>
    <x v="1"/>
    <x v="0"/>
    <x v="0"/>
    <s v="GNR_ENG_NGAS_BP_E-35"/>
    <x v="1"/>
    <x v="3"/>
    <n v="0.97"/>
    <n v="236.03333333333299"/>
    <n v="849.72"/>
  </r>
  <r>
    <x v="0"/>
    <x v="0"/>
    <x v="0"/>
    <x v="0"/>
    <x v="1"/>
    <x v="12"/>
    <x v="1"/>
    <x v="0"/>
    <x v="0"/>
    <s v="GNR_ENG_NGAS_BP_E-35"/>
    <x v="1"/>
    <x v="0"/>
    <n v="0.97"/>
    <n v="236.03333333333299"/>
    <n v="849.72"/>
  </r>
  <r>
    <x v="0"/>
    <x v="0"/>
    <x v="0"/>
    <x v="0"/>
    <x v="1"/>
    <x v="12"/>
    <x v="1"/>
    <x v="0"/>
    <x v="0"/>
    <s v="GNR_ENG_NGAS_BP_E-35"/>
    <x v="1"/>
    <x v="2"/>
    <n v="0.97"/>
    <n v="236.03333333333299"/>
    <n v="849.72"/>
  </r>
  <r>
    <x v="0"/>
    <x v="0"/>
    <x v="0"/>
    <x v="0"/>
    <x v="1"/>
    <x v="12"/>
    <x v="1"/>
    <x v="0"/>
    <x v="0"/>
    <s v="GNR_ENG_NGAS_BP_E-42"/>
    <x v="0"/>
    <x v="0"/>
    <n v="2"/>
    <n v="486.66666666666703"/>
    <n v="1752"/>
  </r>
  <r>
    <x v="0"/>
    <x v="0"/>
    <x v="0"/>
    <x v="0"/>
    <x v="1"/>
    <x v="12"/>
    <x v="1"/>
    <x v="0"/>
    <x v="0"/>
    <s v="GNR_ENG_NGAS_BP_E-42"/>
    <x v="0"/>
    <x v="1"/>
    <n v="2"/>
    <n v="486.66666666666703"/>
    <n v="1752"/>
  </r>
  <r>
    <x v="0"/>
    <x v="0"/>
    <x v="0"/>
    <x v="0"/>
    <x v="1"/>
    <x v="12"/>
    <x v="1"/>
    <x v="0"/>
    <x v="0"/>
    <s v="GNR_ENG_NGAS_BP_E-42"/>
    <x v="0"/>
    <x v="2"/>
    <n v="2"/>
    <n v="486.66666666666703"/>
    <n v="1752"/>
  </r>
  <r>
    <x v="0"/>
    <x v="0"/>
    <x v="0"/>
    <x v="0"/>
    <x v="1"/>
    <x v="12"/>
    <x v="1"/>
    <x v="0"/>
    <x v="0"/>
    <s v="GNR_ENG_NGAS_BP_E-42"/>
    <x v="1"/>
    <x v="3"/>
    <n v="2"/>
    <n v="486.66666666666703"/>
    <n v="1752"/>
  </r>
  <r>
    <x v="0"/>
    <x v="0"/>
    <x v="0"/>
    <x v="0"/>
    <x v="1"/>
    <x v="12"/>
    <x v="1"/>
    <x v="0"/>
    <x v="0"/>
    <s v="GNR_ENG_NGAS_BP_E-42"/>
    <x v="1"/>
    <x v="4"/>
    <n v="2"/>
    <n v="486.66666666666703"/>
    <n v="1752"/>
  </r>
  <r>
    <x v="0"/>
    <x v="0"/>
    <x v="0"/>
    <x v="0"/>
    <x v="1"/>
    <x v="12"/>
    <x v="1"/>
    <x v="0"/>
    <x v="0"/>
    <s v="GNR_ENG_NGAS_BP_E-42"/>
    <x v="1"/>
    <x v="0"/>
    <n v="2"/>
    <n v="486.66666666666703"/>
    <n v="1752"/>
  </r>
  <r>
    <x v="0"/>
    <x v="0"/>
    <x v="0"/>
    <x v="0"/>
    <x v="1"/>
    <x v="12"/>
    <x v="1"/>
    <x v="0"/>
    <x v="0"/>
    <s v="GNR_ENG_NGAS_BP_E-42"/>
    <x v="1"/>
    <x v="2"/>
    <n v="2"/>
    <n v="486.66666666666703"/>
    <n v="1752"/>
  </r>
  <r>
    <x v="0"/>
    <x v="0"/>
    <x v="0"/>
    <x v="0"/>
    <x v="1"/>
    <x v="12"/>
    <x v="1"/>
    <x v="0"/>
    <x v="0"/>
    <s v="GNR_ENG_NGAS_BP_E-48_Y-2030"/>
    <x v="0"/>
    <x v="3"/>
    <n v="130.73590858719001"/>
    <n v="31812.404422882901"/>
    <n v="114524.655922379"/>
  </r>
  <r>
    <x v="0"/>
    <x v="0"/>
    <x v="0"/>
    <x v="0"/>
    <x v="1"/>
    <x v="12"/>
    <x v="1"/>
    <x v="0"/>
    <x v="0"/>
    <s v="GNR_ENG_NGAS_BP_E-48_Y-2030"/>
    <x v="0"/>
    <x v="4"/>
    <n v="26.904637055726202"/>
    <n v="6546.7950168933703"/>
    <n v="23568.462060816099"/>
  </r>
  <r>
    <x v="0"/>
    <x v="0"/>
    <x v="0"/>
    <x v="0"/>
    <x v="1"/>
    <x v="12"/>
    <x v="1"/>
    <x v="0"/>
    <x v="0"/>
    <s v="GNR_ENG_NGAS_BP_E-48_Y-2030"/>
    <x v="0"/>
    <x v="7"/>
    <n v="283.56539552024498"/>
    <n v="69000.912909926396"/>
    <n v="248403.28647573499"/>
  </r>
  <r>
    <x v="0"/>
    <x v="0"/>
    <x v="0"/>
    <x v="0"/>
    <x v="1"/>
    <x v="12"/>
    <x v="1"/>
    <x v="0"/>
    <x v="0"/>
    <s v="GNR_ENG_NGAS_BP_E-48_Y-2030"/>
    <x v="0"/>
    <x v="0"/>
    <n v="283.56539552024498"/>
    <n v="69000.912909926396"/>
    <n v="248403.28647573499"/>
  </r>
  <r>
    <x v="0"/>
    <x v="0"/>
    <x v="0"/>
    <x v="0"/>
    <x v="1"/>
    <x v="12"/>
    <x v="1"/>
    <x v="0"/>
    <x v="0"/>
    <s v="GNR_ENG_NGAS_BP_E-48_Y-2030"/>
    <x v="0"/>
    <x v="1"/>
    <n v="283.56539552024498"/>
    <n v="69000.912909926396"/>
    <n v="248403.28647573499"/>
  </r>
  <r>
    <x v="0"/>
    <x v="0"/>
    <x v="0"/>
    <x v="0"/>
    <x v="1"/>
    <x v="12"/>
    <x v="1"/>
    <x v="0"/>
    <x v="0"/>
    <s v="GNR_ENG_NGAS_BP_E-48_Y-2030"/>
    <x v="0"/>
    <x v="2"/>
    <n v="283.56539552024498"/>
    <n v="69000.912909926396"/>
    <n v="248403.28647573499"/>
  </r>
  <r>
    <x v="0"/>
    <x v="0"/>
    <x v="0"/>
    <x v="0"/>
    <x v="1"/>
    <x v="12"/>
    <x v="1"/>
    <x v="0"/>
    <x v="0"/>
    <s v="GNR_ENG_NGAS_BP_E-48_Y-2030"/>
    <x v="0"/>
    <x v="5"/>
    <n v="283.56539552024498"/>
    <n v="69000.912909926396"/>
    <n v="248403.28647573499"/>
  </r>
  <r>
    <x v="0"/>
    <x v="0"/>
    <x v="0"/>
    <x v="0"/>
    <x v="1"/>
    <x v="12"/>
    <x v="1"/>
    <x v="0"/>
    <x v="0"/>
    <s v="GNR_ENG_NGAS_BP_E-48_Y-2030"/>
    <x v="0"/>
    <x v="11"/>
    <n v="283.56539552024498"/>
    <n v="69000.912909926396"/>
    <n v="248403.28647573499"/>
  </r>
  <r>
    <x v="0"/>
    <x v="0"/>
    <x v="0"/>
    <x v="0"/>
    <x v="1"/>
    <x v="12"/>
    <x v="1"/>
    <x v="0"/>
    <x v="0"/>
    <s v="GNR_ENG_NGAS_BP_E-48_Y-2030"/>
    <x v="0"/>
    <x v="8"/>
    <n v="283.56539552024498"/>
    <n v="69000.912909926396"/>
    <n v="248403.28647573499"/>
  </r>
  <r>
    <x v="0"/>
    <x v="0"/>
    <x v="0"/>
    <x v="0"/>
    <x v="1"/>
    <x v="12"/>
    <x v="1"/>
    <x v="0"/>
    <x v="0"/>
    <s v="GNR_ENG_NGAS_BP_E-48_Y-2030"/>
    <x v="2"/>
    <x v="3"/>
    <n v="283.56539552024498"/>
    <n v="69000.912909926396"/>
    <n v="248403.28647573499"/>
  </r>
  <r>
    <x v="0"/>
    <x v="0"/>
    <x v="0"/>
    <x v="0"/>
    <x v="1"/>
    <x v="12"/>
    <x v="1"/>
    <x v="0"/>
    <x v="0"/>
    <s v="GNR_ENG_NGAS_BP_E-48_Y-2030"/>
    <x v="2"/>
    <x v="4"/>
    <n v="283.56539552024498"/>
    <n v="69000.912909926396"/>
    <n v="248403.28647573499"/>
  </r>
  <r>
    <x v="0"/>
    <x v="0"/>
    <x v="0"/>
    <x v="0"/>
    <x v="1"/>
    <x v="12"/>
    <x v="1"/>
    <x v="0"/>
    <x v="0"/>
    <s v="GNR_ENG_NGAS_BP_E-48_Y-2030"/>
    <x v="2"/>
    <x v="1"/>
    <n v="79.753910505220304"/>
    <n v="19406.784889603601"/>
    <n v="69864.425602572999"/>
  </r>
  <r>
    <x v="0"/>
    <x v="0"/>
    <x v="0"/>
    <x v="0"/>
    <x v="1"/>
    <x v="12"/>
    <x v="1"/>
    <x v="0"/>
    <x v="0"/>
    <s v="GNR_ENG_NGAS_BP_E-48_Y-2030"/>
    <x v="2"/>
    <x v="2"/>
    <n v="55.463447211154801"/>
    <n v="13496.1054880477"/>
    <n v="48585.979756971603"/>
  </r>
  <r>
    <x v="0"/>
    <x v="0"/>
    <x v="0"/>
    <x v="0"/>
    <x v="1"/>
    <x v="12"/>
    <x v="1"/>
    <x v="0"/>
    <x v="0"/>
    <s v="GNR_ENG_NGAS_BP_E-48_Y-2030"/>
    <x v="2"/>
    <x v="11"/>
    <n v="96.348222750000801"/>
    <n v="23444.7342025002"/>
    <n v="84401.043129000696"/>
  </r>
  <r>
    <x v="0"/>
    <x v="0"/>
    <x v="0"/>
    <x v="0"/>
    <x v="1"/>
    <x v="12"/>
    <x v="1"/>
    <x v="0"/>
    <x v="0"/>
    <s v="GNR_ENG_NGAS_BP_E-48_Y-2030"/>
    <x v="1"/>
    <x v="3"/>
    <n v="283.56539552024498"/>
    <n v="69000.912909926396"/>
    <n v="248403.28647573499"/>
  </r>
  <r>
    <x v="0"/>
    <x v="0"/>
    <x v="0"/>
    <x v="0"/>
    <x v="1"/>
    <x v="12"/>
    <x v="1"/>
    <x v="0"/>
    <x v="0"/>
    <s v="GNR_ENG_NGAS_BP_E-48_Y-2030"/>
    <x v="1"/>
    <x v="10"/>
    <n v="9.1606192510986801"/>
    <n v="2229.0840177673499"/>
    <n v="8024.7024639624497"/>
  </r>
  <r>
    <x v="0"/>
    <x v="0"/>
    <x v="0"/>
    <x v="0"/>
    <x v="1"/>
    <x v="12"/>
    <x v="1"/>
    <x v="0"/>
    <x v="0"/>
    <s v="GNR_ENG_NGAS_BP_E-48_Y-2030"/>
    <x v="1"/>
    <x v="4"/>
    <n v="283.56539552024498"/>
    <n v="69000.912909926396"/>
    <n v="248403.28647573499"/>
  </r>
  <r>
    <x v="0"/>
    <x v="0"/>
    <x v="0"/>
    <x v="0"/>
    <x v="1"/>
    <x v="12"/>
    <x v="1"/>
    <x v="0"/>
    <x v="0"/>
    <s v="GNR_ENG_NGAS_BP_E-48_Y-2030"/>
    <x v="1"/>
    <x v="6"/>
    <n v="283.56539552024498"/>
    <n v="69000.912909926396"/>
    <n v="248403.28647573499"/>
  </r>
  <r>
    <x v="0"/>
    <x v="0"/>
    <x v="0"/>
    <x v="0"/>
    <x v="1"/>
    <x v="12"/>
    <x v="1"/>
    <x v="0"/>
    <x v="0"/>
    <s v="GNR_ENG_NGAS_BP_E-48_Y-2030"/>
    <x v="1"/>
    <x v="0"/>
    <n v="283.56539552024498"/>
    <n v="69000.912909926396"/>
    <n v="248403.28647573499"/>
  </r>
  <r>
    <x v="0"/>
    <x v="0"/>
    <x v="0"/>
    <x v="0"/>
    <x v="1"/>
    <x v="12"/>
    <x v="1"/>
    <x v="0"/>
    <x v="0"/>
    <s v="GNR_ENG_NGAS_BP_E-48_Y-2030"/>
    <x v="1"/>
    <x v="1"/>
    <n v="283.56539552024498"/>
    <n v="69000.912909926396"/>
    <n v="248403.28647573499"/>
  </r>
  <r>
    <x v="0"/>
    <x v="0"/>
    <x v="0"/>
    <x v="0"/>
    <x v="1"/>
    <x v="12"/>
    <x v="1"/>
    <x v="0"/>
    <x v="0"/>
    <s v="GNR_ENG_NGAS_BP_E-48_Y-2030"/>
    <x v="1"/>
    <x v="2"/>
    <n v="283.56539552024498"/>
    <n v="69000.912909926396"/>
    <n v="248403.28647573499"/>
  </r>
  <r>
    <x v="0"/>
    <x v="0"/>
    <x v="0"/>
    <x v="0"/>
    <x v="1"/>
    <x v="12"/>
    <x v="2"/>
    <x v="0"/>
    <x v="0"/>
    <s v="GNR_ST_MSW_BP_E-23"/>
    <x v="0"/>
    <x v="9"/>
    <n v="8"/>
    <n v="1946.6666666666699"/>
    <n v="7008"/>
  </r>
  <r>
    <x v="0"/>
    <x v="0"/>
    <x v="0"/>
    <x v="0"/>
    <x v="1"/>
    <x v="12"/>
    <x v="2"/>
    <x v="0"/>
    <x v="0"/>
    <s v="GNR_ST_MSW_BP_E-23"/>
    <x v="0"/>
    <x v="3"/>
    <n v="8"/>
    <n v="1946.6666666666699"/>
    <n v="7008"/>
  </r>
  <r>
    <x v="0"/>
    <x v="0"/>
    <x v="0"/>
    <x v="0"/>
    <x v="1"/>
    <x v="12"/>
    <x v="2"/>
    <x v="0"/>
    <x v="0"/>
    <s v="GNR_ST_MSW_BP_E-23"/>
    <x v="0"/>
    <x v="10"/>
    <n v="8"/>
    <n v="1946.6666666666699"/>
    <n v="7008"/>
  </r>
  <r>
    <x v="0"/>
    <x v="0"/>
    <x v="0"/>
    <x v="0"/>
    <x v="1"/>
    <x v="12"/>
    <x v="2"/>
    <x v="0"/>
    <x v="0"/>
    <s v="GNR_ST_MSW_BP_E-23"/>
    <x v="0"/>
    <x v="4"/>
    <n v="8"/>
    <n v="1946.6666666666699"/>
    <n v="7008"/>
  </r>
  <r>
    <x v="0"/>
    <x v="0"/>
    <x v="0"/>
    <x v="0"/>
    <x v="1"/>
    <x v="12"/>
    <x v="2"/>
    <x v="0"/>
    <x v="0"/>
    <s v="GNR_ST_MSW_BP_E-23"/>
    <x v="0"/>
    <x v="6"/>
    <n v="8"/>
    <n v="1946.6666666666699"/>
    <n v="7008"/>
  </r>
  <r>
    <x v="0"/>
    <x v="0"/>
    <x v="0"/>
    <x v="0"/>
    <x v="1"/>
    <x v="12"/>
    <x v="2"/>
    <x v="0"/>
    <x v="0"/>
    <s v="GNR_ST_MSW_BP_E-23"/>
    <x v="0"/>
    <x v="7"/>
    <n v="8"/>
    <n v="1946.6666666666699"/>
    <n v="7008"/>
  </r>
  <r>
    <x v="0"/>
    <x v="0"/>
    <x v="0"/>
    <x v="0"/>
    <x v="1"/>
    <x v="12"/>
    <x v="2"/>
    <x v="0"/>
    <x v="0"/>
    <s v="GNR_ST_MSW_BP_E-23"/>
    <x v="0"/>
    <x v="0"/>
    <n v="8"/>
    <n v="1946.6666666666699"/>
    <n v="7008"/>
  </r>
  <r>
    <x v="0"/>
    <x v="0"/>
    <x v="0"/>
    <x v="0"/>
    <x v="1"/>
    <x v="12"/>
    <x v="2"/>
    <x v="0"/>
    <x v="0"/>
    <s v="GNR_ST_MSW_BP_E-23"/>
    <x v="0"/>
    <x v="1"/>
    <n v="8"/>
    <n v="1946.6666666666699"/>
    <n v="7008"/>
  </r>
  <r>
    <x v="0"/>
    <x v="0"/>
    <x v="0"/>
    <x v="0"/>
    <x v="1"/>
    <x v="12"/>
    <x v="2"/>
    <x v="0"/>
    <x v="0"/>
    <s v="GNR_ST_MSW_BP_E-23"/>
    <x v="0"/>
    <x v="2"/>
    <n v="8"/>
    <n v="1946.6666666666699"/>
    <n v="7008"/>
  </r>
  <r>
    <x v="0"/>
    <x v="0"/>
    <x v="0"/>
    <x v="0"/>
    <x v="1"/>
    <x v="12"/>
    <x v="2"/>
    <x v="0"/>
    <x v="0"/>
    <s v="GNR_ST_MSW_BP_E-23"/>
    <x v="0"/>
    <x v="5"/>
    <n v="8"/>
    <n v="1946.6666666666699"/>
    <n v="7008"/>
  </r>
  <r>
    <x v="0"/>
    <x v="0"/>
    <x v="0"/>
    <x v="0"/>
    <x v="1"/>
    <x v="12"/>
    <x v="2"/>
    <x v="0"/>
    <x v="0"/>
    <s v="GNR_ST_MSW_BP_E-23"/>
    <x v="0"/>
    <x v="11"/>
    <n v="8"/>
    <n v="1946.6666666666699"/>
    <n v="7008"/>
  </r>
  <r>
    <x v="0"/>
    <x v="0"/>
    <x v="0"/>
    <x v="0"/>
    <x v="1"/>
    <x v="12"/>
    <x v="2"/>
    <x v="0"/>
    <x v="0"/>
    <s v="GNR_ST_MSW_BP_E-23"/>
    <x v="0"/>
    <x v="8"/>
    <n v="8"/>
    <n v="1946.6666666666699"/>
    <n v="7008"/>
  </r>
  <r>
    <x v="0"/>
    <x v="0"/>
    <x v="0"/>
    <x v="0"/>
    <x v="1"/>
    <x v="12"/>
    <x v="2"/>
    <x v="0"/>
    <x v="0"/>
    <s v="GNR_ST_MSW_BP_E-23"/>
    <x v="2"/>
    <x v="9"/>
    <n v="8"/>
    <n v="1946.6666666666699"/>
    <n v="7008"/>
  </r>
  <r>
    <x v="0"/>
    <x v="0"/>
    <x v="0"/>
    <x v="0"/>
    <x v="1"/>
    <x v="12"/>
    <x v="2"/>
    <x v="0"/>
    <x v="0"/>
    <s v="GNR_ST_MSW_BP_E-23"/>
    <x v="2"/>
    <x v="3"/>
    <n v="8"/>
    <n v="1946.6666666666699"/>
    <n v="7008"/>
  </r>
  <r>
    <x v="0"/>
    <x v="0"/>
    <x v="0"/>
    <x v="0"/>
    <x v="1"/>
    <x v="12"/>
    <x v="2"/>
    <x v="0"/>
    <x v="0"/>
    <s v="GNR_ST_MSW_BP_E-23"/>
    <x v="2"/>
    <x v="10"/>
    <n v="8"/>
    <n v="1946.6666666666699"/>
    <n v="7008"/>
  </r>
  <r>
    <x v="0"/>
    <x v="0"/>
    <x v="0"/>
    <x v="0"/>
    <x v="1"/>
    <x v="12"/>
    <x v="2"/>
    <x v="0"/>
    <x v="0"/>
    <s v="GNR_ST_MSW_BP_E-23"/>
    <x v="2"/>
    <x v="4"/>
    <n v="8"/>
    <n v="1946.6666666666699"/>
    <n v="7008"/>
  </r>
  <r>
    <x v="0"/>
    <x v="0"/>
    <x v="0"/>
    <x v="0"/>
    <x v="1"/>
    <x v="12"/>
    <x v="2"/>
    <x v="0"/>
    <x v="0"/>
    <s v="GNR_ST_MSW_BP_E-23"/>
    <x v="2"/>
    <x v="6"/>
    <n v="8"/>
    <n v="1946.6666666666699"/>
    <n v="7008"/>
  </r>
  <r>
    <x v="0"/>
    <x v="0"/>
    <x v="0"/>
    <x v="0"/>
    <x v="1"/>
    <x v="12"/>
    <x v="2"/>
    <x v="0"/>
    <x v="0"/>
    <s v="GNR_ST_MSW_BP_E-23"/>
    <x v="2"/>
    <x v="7"/>
    <n v="8"/>
    <n v="1946.6666666666699"/>
    <n v="7008"/>
  </r>
  <r>
    <x v="0"/>
    <x v="0"/>
    <x v="0"/>
    <x v="0"/>
    <x v="1"/>
    <x v="12"/>
    <x v="2"/>
    <x v="0"/>
    <x v="0"/>
    <s v="GNR_ST_MSW_BP_E-23"/>
    <x v="2"/>
    <x v="0"/>
    <n v="8"/>
    <n v="1946.6666666666699"/>
    <n v="7008"/>
  </r>
  <r>
    <x v="0"/>
    <x v="0"/>
    <x v="0"/>
    <x v="0"/>
    <x v="1"/>
    <x v="12"/>
    <x v="2"/>
    <x v="0"/>
    <x v="0"/>
    <s v="GNR_ST_MSW_BP_E-23"/>
    <x v="2"/>
    <x v="1"/>
    <n v="8"/>
    <n v="1946.6666666666699"/>
    <n v="7008"/>
  </r>
  <r>
    <x v="0"/>
    <x v="0"/>
    <x v="0"/>
    <x v="0"/>
    <x v="1"/>
    <x v="12"/>
    <x v="2"/>
    <x v="0"/>
    <x v="0"/>
    <s v="GNR_ST_MSW_BP_E-23"/>
    <x v="2"/>
    <x v="2"/>
    <n v="8"/>
    <n v="1946.6666666666699"/>
    <n v="7008"/>
  </r>
  <r>
    <x v="0"/>
    <x v="0"/>
    <x v="0"/>
    <x v="0"/>
    <x v="1"/>
    <x v="12"/>
    <x v="2"/>
    <x v="0"/>
    <x v="0"/>
    <s v="GNR_ST_MSW_BP_E-23"/>
    <x v="2"/>
    <x v="5"/>
    <n v="8"/>
    <n v="1946.6666666666699"/>
    <n v="7008"/>
  </r>
  <r>
    <x v="0"/>
    <x v="0"/>
    <x v="0"/>
    <x v="0"/>
    <x v="1"/>
    <x v="12"/>
    <x v="2"/>
    <x v="0"/>
    <x v="0"/>
    <s v="GNR_ST_MSW_BP_E-23"/>
    <x v="2"/>
    <x v="11"/>
    <n v="8"/>
    <n v="1946.6666666666699"/>
    <n v="7008"/>
  </r>
  <r>
    <x v="0"/>
    <x v="0"/>
    <x v="0"/>
    <x v="0"/>
    <x v="1"/>
    <x v="12"/>
    <x v="2"/>
    <x v="0"/>
    <x v="0"/>
    <s v="GNR_ST_MSW_BP_E-23"/>
    <x v="2"/>
    <x v="8"/>
    <n v="8"/>
    <n v="1946.6666666666699"/>
    <n v="7008"/>
  </r>
  <r>
    <x v="0"/>
    <x v="0"/>
    <x v="0"/>
    <x v="0"/>
    <x v="1"/>
    <x v="12"/>
    <x v="2"/>
    <x v="0"/>
    <x v="0"/>
    <s v="GNR_ST_MSW_BP_E-23"/>
    <x v="1"/>
    <x v="9"/>
    <n v="8"/>
    <n v="1946.6666666666699"/>
    <n v="7008"/>
  </r>
  <r>
    <x v="0"/>
    <x v="0"/>
    <x v="0"/>
    <x v="0"/>
    <x v="1"/>
    <x v="12"/>
    <x v="2"/>
    <x v="0"/>
    <x v="0"/>
    <s v="GNR_ST_MSW_BP_E-23"/>
    <x v="1"/>
    <x v="3"/>
    <n v="8"/>
    <n v="1946.6666666666699"/>
    <n v="7008"/>
  </r>
  <r>
    <x v="0"/>
    <x v="0"/>
    <x v="0"/>
    <x v="0"/>
    <x v="1"/>
    <x v="12"/>
    <x v="2"/>
    <x v="0"/>
    <x v="0"/>
    <s v="GNR_ST_MSW_BP_E-23"/>
    <x v="1"/>
    <x v="10"/>
    <n v="8"/>
    <n v="1946.6666666666699"/>
    <n v="7008"/>
  </r>
  <r>
    <x v="0"/>
    <x v="0"/>
    <x v="0"/>
    <x v="0"/>
    <x v="1"/>
    <x v="12"/>
    <x v="2"/>
    <x v="0"/>
    <x v="0"/>
    <s v="GNR_ST_MSW_BP_E-23"/>
    <x v="1"/>
    <x v="4"/>
    <n v="8"/>
    <n v="1946.6666666666699"/>
    <n v="7008"/>
  </r>
  <r>
    <x v="0"/>
    <x v="0"/>
    <x v="0"/>
    <x v="0"/>
    <x v="1"/>
    <x v="12"/>
    <x v="2"/>
    <x v="0"/>
    <x v="0"/>
    <s v="GNR_ST_MSW_BP_E-23"/>
    <x v="1"/>
    <x v="6"/>
    <n v="8"/>
    <n v="1946.6666666666699"/>
    <n v="7008"/>
  </r>
  <r>
    <x v="0"/>
    <x v="0"/>
    <x v="0"/>
    <x v="0"/>
    <x v="1"/>
    <x v="12"/>
    <x v="2"/>
    <x v="0"/>
    <x v="0"/>
    <s v="GNR_ST_MSW_BP_E-23"/>
    <x v="1"/>
    <x v="7"/>
    <n v="8"/>
    <n v="1946.6666666666699"/>
    <n v="7008"/>
  </r>
  <r>
    <x v="0"/>
    <x v="0"/>
    <x v="0"/>
    <x v="0"/>
    <x v="1"/>
    <x v="12"/>
    <x v="2"/>
    <x v="0"/>
    <x v="0"/>
    <s v="GNR_ST_MSW_BP_E-23"/>
    <x v="1"/>
    <x v="0"/>
    <n v="8"/>
    <n v="1946.6666666666699"/>
    <n v="7008"/>
  </r>
  <r>
    <x v="0"/>
    <x v="0"/>
    <x v="0"/>
    <x v="0"/>
    <x v="1"/>
    <x v="12"/>
    <x v="2"/>
    <x v="0"/>
    <x v="0"/>
    <s v="GNR_ST_MSW_BP_E-23"/>
    <x v="1"/>
    <x v="1"/>
    <n v="8"/>
    <n v="1946.6666666666699"/>
    <n v="7008"/>
  </r>
  <r>
    <x v="0"/>
    <x v="0"/>
    <x v="0"/>
    <x v="0"/>
    <x v="1"/>
    <x v="12"/>
    <x v="2"/>
    <x v="0"/>
    <x v="0"/>
    <s v="GNR_ST_MSW_BP_E-23"/>
    <x v="1"/>
    <x v="2"/>
    <n v="8"/>
    <n v="1946.6666666666699"/>
    <n v="7008"/>
  </r>
  <r>
    <x v="0"/>
    <x v="0"/>
    <x v="0"/>
    <x v="0"/>
    <x v="1"/>
    <x v="12"/>
    <x v="2"/>
    <x v="0"/>
    <x v="0"/>
    <s v="GNR_ST_MSW_BP_E-23"/>
    <x v="1"/>
    <x v="5"/>
    <n v="8"/>
    <n v="1946.6666666666699"/>
    <n v="7008"/>
  </r>
  <r>
    <x v="0"/>
    <x v="0"/>
    <x v="0"/>
    <x v="0"/>
    <x v="1"/>
    <x v="12"/>
    <x v="2"/>
    <x v="0"/>
    <x v="0"/>
    <s v="GNR_ST_MSW_BP_E-23"/>
    <x v="1"/>
    <x v="11"/>
    <n v="8"/>
    <n v="1946.6666666666699"/>
    <n v="7008"/>
  </r>
  <r>
    <x v="0"/>
    <x v="0"/>
    <x v="0"/>
    <x v="0"/>
    <x v="1"/>
    <x v="12"/>
    <x v="2"/>
    <x v="0"/>
    <x v="0"/>
    <s v="GNR_ST_MSW_BP_E-23"/>
    <x v="1"/>
    <x v="8"/>
    <n v="8"/>
    <n v="1946.6666666666699"/>
    <n v="7008"/>
  </r>
  <r>
    <x v="0"/>
    <x v="0"/>
    <x v="0"/>
    <x v="0"/>
    <x v="1"/>
    <x v="12"/>
    <x v="4"/>
    <x v="0"/>
    <x v="0"/>
    <s v="GNR_ST_WOODCHI_BP_E-27"/>
    <x v="0"/>
    <x v="3"/>
    <n v="0.33"/>
    <n v="80.3"/>
    <n v="289.08"/>
  </r>
  <r>
    <x v="0"/>
    <x v="0"/>
    <x v="0"/>
    <x v="0"/>
    <x v="1"/>
    <x v="12"/>
    <x v="4"/>
    <x v="0"/>
    <x v="0"/>
    <s v="GNR_ST_WOODCHI_BP_E-27"/>
    <x v="0"/>
    <x v="4"/>
    <n v="0.33"/>
    <n v="80.3"/>
    <n v="289.08"/>
  </r>
  <r>
    <x v="0"/>
    <x v="0"/>
    <x v="0"/>
    <x v="0"/>
    <x v="1"/>
    <x v="12"/>
    <x v="4"/>
    <x v="0"/>
    <x v="0"/>
    <s v="GNR_ST_WOODCHI_BP_E-27"/>
    <x v="0"/>
    <x v="6"/>
    <n v="0.33"/>
    <n v="80.3"/>
    <n v="289.08"/>
  </r>
  <r>
    <x v="0"/>
    <x v="0"/>
    <x v="0"/>
    <x v="0"/>
    <x v="1"/>
    <x v="12"/>
    <x v="4"/>
    <x v="0"/>
    <x v="0"/>
    <s v="GNR_ST_WOODCHI_BP_E-27"/>
    <x v="0"/>
    <x v="7"/>
    <n v="0.33"/>
    <n v="80.3"/>
    <n v="289.08"/>
  </r>
  <r>
    <x v="0"/>
    <x v="0"/>
    <x v="0"/>
    <x v="0"/>
    <x v="1"/>
    <x v="12"/>
    <x v="4"/>
    <x v="0"/>
    <x v="0"/>
    <s v="GNR_ST_WOODCHI_BP_E-27"/>
    <x v="0"/>
    <x v="0"/>
    <n v="0.33"/>
    <n v="80.3"/>
    <n v="289.08"/>
  </r>
  <r>
    <x v="0"/>
    <x v="0"/>
    <x v="0"/>
    <x v="0"/>
    <x v="1"/>
    <x v="12"/>
    <x v="4"/>
    <x v="0"/>
    <x v="0"/>
    <s v="GNR_ST_WOODCHI_BP_E-27"/>
    <x v="0"/>
    <x v="1"/>
    <n v="0.33"/>
    <n v="80.3"/>
    <n v="289.08"/>
  </r>
  <r>
    <x v="0"/>
    <x v="0"/>
    <x v="0"/>
    <x v="0"/>
    <x v="1"/>
    <x v="12"/>
    <x v="4"/>
    <x v="0"/>
    <x v="0"/>
    <s v="GNR_ST_WOODCHI_BP_E-27"/>
    <x v="0"/>
    <x v="2"/>
    <n v="0.33"/>
    <n v="80.3"/>
    <n v="289.08"/>
  </r>
  <r>
    <x v="0"/>
    <x v="0"/>
    <x v="0"/>
    <x v="0"/>
    <x v="1"/>
    <x v="12"/>
    <x v="4"/>
    <x v="0"/>
    <x v="0"/>
    <s v="GNR_ST_WOODCHI_BP_E-27"/>
    <x v="0"/>
    <x v="5"/>
    <n v="0.33"/>
    <n v="80.3"/>
    <n v="289.08"/>
  </r>
  <r>
    <x v="0"/>
    <x v="0"/>
    <x v="0"/>
    <x v="0"/>
    <x v="1"/>
    <x v="12"/>
    <x v="4"/>
    <x v="0"/>
    <x v="0"/>
    <s v="GNR_ST_WOODCHI_BP_E-27"/>
    <x v="0"/>
    <x v="11"/>
    <n v="0.33"/>
    <n v="80.3"/>
    <n v="289.08"/>
  </r>
  <r>
    <x v="0"/>
    <x v="0"/>
    <x v="0"/>
    <x v="0"/>
    <x v="1"/>
    <x v="12"/>
    <x v="4"/>
    <x v="0"/>
    <x v="0"/>
    <s v="GNR_ST_WOODCHI_BP_E-27"/>
    <x v="0"/>
    <x v="8"/>
    <n v="0.33"/>
    <n v="80.3"/>
    <n v="289.08"/>
  </r>
  <r>
    <x v="0"/>
    <x v="0"/>
    <x v="0"/>
    <x v="0"/>
    <x v="1"/>
    <x v="12"/>
    <x v="4"/>
    <x v="0"/>
    <x v="0"/>
    <s v="GNR_ST_WOODCHI_BP_E-27"/>
    <x v="2"/>
    <x v="3"/>
    <n v="0.33"/>
    <n v="80.3"/>
    <n v="289.08"/>
  </r>
  <r>
    <x v="0"/>
    <x v="0"/>
    <x v="0"/>
    <x v="0"/>
    <x v="1"/>
    <x v="12"/>
    <x v="4"/>
    <x v="0"/>
    <x v="0"/>
    <s v="GNR_ST_WOODCHI_BP_E-27"/>
    <x v="2"/>
    <x v="10"/>
    <n v="0.33"/>
    <n v="80.3"/>
    <n v="289.08"/>
  </r>
  <r>
    <x v="0"/>
    <x v="0"/>
    <x v="0"/>
    <x v="0"/>
    <x v="1"/>
    <x v="12"/>
    <x v="4"/>
    <x v="0"/>
    <x v="0"/>
    <s v="GNR_ST_WOODCHI_BP_E-27"/>
    <x v="2"/>
    <x v="4"/>
    <n v="0.33"/>
    <n v="80.3"/>
    <n v="289.08"/>
  </r>
  <r>
    <x v="0"/>
    <x v="0"/>
    <x v="0"/>
    <x v="0"/>
    <x v="1"/>
    <x v="12"/>
    <x v="4"/>
    <x v="0"/>
    <x v="0"/>
    <s v="GNR_ST_WOODCHI_BP_E-27"/>
    <x v="2"/>
    <x v="1"/>
    <n v="0.33"/>
    <n v="80.3"/>
    <n v="289.08"/>
  </r>
  <r>
    <x v="0"/>
    <x v="0"/>
    <x v="0"/>
    <x v="0"/>
    <x v="1"/>
    <x v="12"/>
    <x v="4"/>
    <x v="0"/>
    <x v="0"/>
    <s v="GNR_ST_WOODCHI_BP_E-27"/>
    <x v="2"/>
    <x v="2"/>
    <n v="0.33"/>
    <n v="80.3"/>
    <n v="289.08"/>
  </r>
  <r>
    <x v="0"/>
    <x v="0"/>
    <x v="0"/>
    <x v="0"/>
    <x v="1"/>
    <x v="12"/>
    <x v="4"/>
    <x v="0"/>
    <x v="0"/>
    <s v="GNR_ST_WOODCHI_BP_E-27"/>
    <x v="2"/>
    <x v="5"/>
    <n v="0.33"/>
    <n v="80.3"/>
    <n v="289.08"/>
  </r>
  <r>
    <x v="0"/>
    <x v="0"/>
    <x v="0"/>
    <x v="0"/>
    <x v="1"/>
    <x v="12"/>
    <x v="4"/>
    <x v="0"/>
    <x v="0"/>
    <s v="GNR_ST_WOODCHI_BP_E-27"/>
    <x v="2"/>
    <x v="11"/>
    <n v="0.33"/>
    <n v="80.3"/>
    <n v="289.08"/>
  </r>
  <r>
    <x v="0"/>
    <x v="0"/>
    <x v="0"/>
    <x v="0"/>
    <x v="1"/>
    <x v="12"/>
    <x v="4"/>
    <x v="0"/>
    <x v="0"/>
    <s v="GNR_ST_WOODCHI_BP_E-27"/>
    <x v="2"/>
    <x v="8"/>
    <n v="0.33"/>
    <n v="80.3"/>
    <n v="289.08"/>
  </r>
  <r>
    <x v="0"/>
    <x v="0"/>
    <x v="0"/>
    <x v="0"/>
    <x v="1"/>
    <x v="12"/>
    <x v="4"/>
    <x v="0"/>
    <x v="0"/>
    <s v="GNR_ST_WOODCHI_BP_E-27"/>
    <x v="1"/>
    <x v="3"/>
    <n v="0.33"/>
    <n v="80.3"/>
    <n v="289.08"/>
  </r>
  <r>
    <x v="0"/>
    <x v="0"/>
    <x v="0"/>
    <x v="0"/>
    <x v="1"/>
    <x v="12"/>
    <x v="4"/>
    <x v="0"/>
    <x v="0"/>
    <s v="GNR_ST_WOODCHI_BP_E-27"/>
    <x v="1"/>
    <x v="10"/>
    <n v="0.33"/>
    <n v="80.3"/>
    <n v="289.08"/>
  </r>
  <r>
    <x v="0"/>
    <x v="0"/>
    <x v="0"/>
    <x v="0"/>
    <x v="1"/>
    <x v="12"/>
    <x v="4"/>
    <x v="0"/>
    <x v="0"/>
    <s v="GNR_ST_WOODCHI_BP_E-27"/>
    <x v="1"/>
    <x v="4"/>
    <n v="0.33"/>
    <n v="80.3"/>
    <n v="289.08"/>
  </r>
  <r>
    <x v="0"/>
    <x v="0"/>
    <x v="0"/>
    <x v="0"/>
    <x v="1"/>
    <x v="12"/>
    <x v="4"/>
    <x v="0"/>
    <x v="0"/>
    <s v="GNR_ST_WOODCHI_BP_E-27"/>
    <x v="1"/>
    <x v="6"/>
    <n v="0.33"/>
    <n v="80.3"/>
    <n v="289.08"/>
  </r>
  <r>
    <x v="0"/>
    <x v="0"/>
    <x v="0"/>
    <x v="0"/>
    <x v="1"/>
    <x v="12"/>
    <x v="4"/>
    <x v="0"/>
    <x v="0"/>
    <s v="GNR_ST_WOODCHI_BP_E-27"/>
    <x v="1"/>
    <x v="7"/>
    <n v="0.33"/>
    <n v="80.3"/>
    <n v="289.08"/>
  </r>
  <r>
    <x v="0"/>
    <x v="0"/>
    <x v="0"/>
    <x v="0"/>
    <x v="1"/>
    <x v="12"/>
    <x v="4"/>
    <x v="0"/>
    <x v="0"/>
    <s v="GNR_ST_WOODCHI_BP_E-27"/>
    <x v="1"/>
    <x v="0"/>
    <n v="0.33"/>
    <n v="80.3"/>
    <n v="289.08"/>
  </r>
  <r>
    <x v="0"/>
    <x v="0"/>
    <x v="0"/>
    <x v="0"/>
    <x v="1"/>
    <x v="12"/>
    <x v="4"/>
    <x v="0"/>
    <x v="0"/>
    <s v="GNR_ST_WOODCHI_BP_E-27"/>
    <x v="1"/>
    <x v="1"/>
    <n v="0.33"/>
    <n v="80.3"/>
    <n v="289.08"/>
  </r>
  <r>
    <x v="0"/>
    <x v="0"/>
    <x v="0"/>
    <x v="0"/>
    <x v="1"/>
    <x v="12"/>
    <x v="4"/>
    <x v="0"/>
    <x v="0"/>
    <s v="GNR_ST_WOODCHI_BP_E-27"/>
    <x v="1"/>
    <x v="2"/>
    <n v="0.33"/>
    <n v="80.3"/>
    <n v="289.08"/>
  </r>
  <r>
    <x v="0"/>
    <x v="0"/>
    <x v="0"/>
    <x v="0"/>
    <x v="1"/>
    <x v="12"/>
    <x v="4"/>
    <x v="0"/>
    <x v="0"/>
    <s v="GNR_ST_WOODCHI_BP_E-27"/>
    <x v="1"/>
    <x v="5"/>
    <n v="0.33"/>
    <n v="80.3"/>
    <n v="289.08"/>
  </r>
  <r>
    <x v="0"/>
    <x v="0"/>
    <x v="0"/>
    <x v="0"/>
    <x v="1"/>
    <x v="12"/>
    <x v="4"/>
    <x v="0"/>
    <x v="0"/>
    <s v="GNR_ST_WOODCHI_BP_E-27"/>
    <x v="1"/>
    <x v="11"/>
    <n v="0.33"/>
    <n v="80.3"/>
    <n v="289.08"/>
  </r>
  <r>
    <x v="0"/>
    <x v="0"/>
    <x v="0"/>
    <x v="0"/>
    <x v="1"/>
    <x v="13"/>
    <x v="5"/>
    <x v="3"/>
    <x v="3"/>
    <s v="GNR_ES_ELEC_BAT-LITHIO_E-97_Y-30-50"/>
    <x v="0"/>
    <x v="3"/>
    <n v="362.45159245350601"/>
    <n v="88196.554163686407"/>
    <n v="317507.59498927102"/>
  </r>
  <r>
    <x v="0"/>
    <x v="0"/>
    <x v="0"/>
    <x v="0"/>
    <x v="1"/>
    <x v="13"/>
    <x v="5"/>
    <x v="3"/>
    <x v="3"/>
    <s v="GNR_ES_ELEC_BAT-LITHIO_E-97_Y-30-50"/>
    <x v="0"/>
    <x v="2"/>
    <n v="362.45159245350601"/>
    <n v="88196.554163686407"/>
    <n v="317507.59498927102"/>
  </r>
  <r>
    <x v="0"/>
    <x v="0"/>
    <x v="0"/>
    <x v="0"/>
    <x v="1"/>
    <x v="13"/>
    <x v="5"/>
    <x v="3"/>
    <x v="3"/>
    <s v="GNR_ES_ELEC_BAT-LITHIO_E-97_Y-30-50"/>
    <x v="2"/>
    <x v="3"/>
    <n v="362.45159245350601"/>
    <n v="88196.554163686407"/>
    <n v="317507.59498927102"/>
  </r>
  <r>
    <x v="0"/>
    <x v="0"/>
    <x v="0"/>
    <x v="0"/>
    <x v="1"/>
    <x v="13"/>
    <x v="5"/>
    <x v="3"/>
    <x v="3"/>
    <s v="GNR_ES_ELEC_BAT-LITHIO_E-97_Y-30-50"/>
    <x v="2"/>
    <x v="11"/>
    <n v="362.45159245350601"/>
    <n v="88196.554163686407"/>
    <n v="317507.59498927102"/>
  </r>
  <r>
    <x v="0"/>
    <x v="0"/>
    <x v="0"/>
    <x v="0"/>
    <x v="1"/>
    <x v="13"/>
    <x v="5"/>
    <x v="3"/>
    <x v="3"/>
    <s v="GNR_ES_ELEC_BAT-LITHIO_E-97_Y-30-50"/>
    <x v="1"/>
    <x v="3"/>
    <n v="359.69584041509802"/>
    <n v="87525.987834340398"/>
    <n v="315093.55620362598"/>
  </r>
  <r>
    <x v="0"/>
    <x v="0"/>
    <x v="0"/>
    <x v="0"/>
    <x v="1"/>
    <x v="13"/>
    <x v="5"/>
    <x v="3"/>
    <x v="3"/>
    <s v="GNR_ES_ELEC_BAT-LITHIO_E-97_Y-30-50"/>
    <x v="1"/>
    <x v="0"/>
    <n v="325.75755960745698"/>
    <n v="79267.672837814505"/>
    <n v="285363.622216132"/>
  </r>
  <r>
    <x v="0"/>
    <x v="0"/>
    <x v="0"/>
    <x v="0"/>
    <x v="1"/>
    <x v="13"/>
    <x v="5"/>
    <x v="3"/>
    <x v="3"/>
    <s v="GNR_ES_ELEC_BAT-LITHIO_E-97_Y-30-50"/>
    <x v="1"/>
    <x v="2"/>
    <n v="4.0208061371631603"/>
    <n v="978.39616004303605"/>
    <n v="3522.2261761549298"/>
  </r>
  <r>
    <x v="0"/>
    <x v="0"/>
    <x v="0"/>
    <x v="0"/>
    <x v="1"/>
    <x v="13"/>
    <x v="6"/>
    <x v="4"/>
    <x v="4"/>
    <s v="GNR_PV_SUN"/>
    <x v="0"/>
    <x v="9"/>
    <n v="3.5986856477565797E-2"/>
    <n v="8.7568017428743392"/>
    <n v="31.524486274347598"/>
  </r>
  <r>
    <x v="0"/>
    <x v="0"/>
    <x v="0"/>
    <x v="0"/>
    <x v="1"/>
    <x v="13"/>
    <x v="6"/>
    <x v="4"/>
    <x v="4"/>
    <s v="GNR_PV_SUN"/>
    <x v="0"/>
    <x v="3"/>
    <n v="4.5613340585314601"/>
    <n v="1109.9246209093201"/>
    <n v="3995.72863527356"/>
  </r>
  <r>
    <x v="0"/>
    <x v="0"/>
    <x v="0"/>
    <x v="0"/>
    <x v="1"/>
    <x v="13"/>
    <x v="6"/>
    <x v="4"/>
    <x v="4"/>
    <s v="GNR_PV_SUN"/>
    <x v="0"/>
    <x v="10"/>
    <n v="65.783973640990297"/>
    <n v="16007.433585974301"/>
    <n v="57626.760909507502"/>
  </r>
  <r>
    <x v="0"/>
    <x v="0"/>
    <x v="0"/>
    <x v="0"/>
    <x v="1"/>
    <x v="13"/>
    <x v="6"/>
    <x v="4"/>
    <x v="4"/>
    <s v="GNR_PV_SUN"/>
    <x v="0"/>
    <x v="6"/>
    <n v="72.045686668086702"/>
    <n v="17531.117089234402"/>
    <n v="63112.021521244002"/>
  </r>
  <r>
    <x v="0"/>
    <x v="0"/>
    <x v="0"/>
    <x v="0"/>
    <x v="1"/>
    <x v="13"/>
    <x v="6"/>
    <x v="4"/>
    <x v="4"/>
    <s v="GNR_PV_SUN"/>
    <x v="0"/>
    <x v="0"/>
    <n v="7.4852661473336797"/>
    <n v="1821.41476251786"/>
    <n v="6557.0931450643102"/>
  </r>
  <r>
    <x v="0"/>
    <x v="0"/>
    <x v="0"/>
    <x v="0"/>
    <x v="1"/>
    <x v="13"/>
    <x v="6"/>
    <x v="4"/>
    <x v="4"/>
    <s v="GNR_PV_SUN"/>
    <x v="0"/>
    <x v="1"/>
    <n v="19.360928784930401"/>
    <n v="4711.1593376663996"/>
    <n v="16960.173615599"/>
  </r>
  <r>
    <x v="0"/>
    <x v="0"/>
    <x v="0"/>
    <x v="0"/>
    <x v="1"/>
    <x v="13"/>
    <x v="6"/>
    <x v="4"/>
    <x v="4"/>
    <s v="GNR_PV_SUN"/>
    <x v="0"/>
    <x v="5"/>
    <n v="87.699969235827794"/>
    <n v="21340.3258473848"/>
    <n v="76825.173050585203"/>
  </r>
  <r>
    <x v="0"/>
    <x v="0"/>
    <x v="0"/>
    <x v="0"/>
    <x v="1"/>
    <x v="13"/>
    <x v="6"/>
    <x v="4"/>
    <x v="4"/>
    <s v="GNR_PV_SUN"/>
    <x v="0"/>
    <x v="8"/>
    <n v="44.227846610928403"/>
    <n v="10762.1093419926"/>
    <n v="38743.5936311732"/>
  </r>
  <r>
    <x v="0"/>
    <x v="0"/>
    <x v="0"/>
    <x v="0"/>
    <x v="1"/>
    <x v="13"/>
    <x v="6"/>
    <x v="4"/>
    <x v="4"/>
    <s v="GNR_PV_SUN"/>
    <x v="2"/>
    <x v="9"/>
    <n v="12.415465484760199"/>
    <n v="3021.0966012916501"/>
    <n v="10875.9477646499"/>
  </r>
  <r>
    <x v="0"/>
    <x v="0"/>
    <x v="0"/>
    <x v="0"/>
    <x v="1"/>
    <x v="13"/>
    <x v="6"/>
    <x v="4"/>
    <x v="4"/>
    <s v="GNR_PV_SUN"/>
    <x v="2"/>
    <x v="3"/>
    <n v="2.2671719580866401"/>
    <n v="551.67850980108301"/>
    <n v="1986.0426352838999"/>
  </r>
  <r>
    <x v="0"/>
    <x v="0"/>
    <x v="0"/>
    <x v="0"/>
    <x v="1"/>
    <x v="13"/>
    <x v="6"/>
    <x v="4"/>
    <x v="4"/>
    <s v="GNR_PV_SUN"/>
    <x v="2"/>
    <x v="10"/>
    <n v="98.711947317962995"/>
    <n v="24019.9071807043"/>
    <n v="86471.665850535501"/>
  </r>
  <r>
    <x v="0"/>
    <x v="0"/>
    <x v="0"/>
    <x v="0"/>
    <x v="1"/>
    <x v="13"/>
    <x v="6"/>
    <x v="4"/>
    <x v="4"/>
    <s v="GNR_PV_SUN"/>
    <x v="2"/>
    <x v="6"/>
    <n v="98.136157614321903"/>
    <n v="23879.798352818299"/>
    <n v="85967.274070145999"/>
  </r>
  <r>
    <x v="0"/>
    <x v="0"/>
    <x v="0"/>
    <x v="0"/>
    <x v="1"/>
    <x v="13"/>
    <x v="6"/>
    <x v="4"/>
    <x v="4"/>
    <s v="GNR_PV_SUN"/>
    <x v="2"/>
    <x v="7"/>
    <n v="0.107960569432697"/>
    <n v="26.270405228623002"/>
    <n v="94.573458823042898"/>
  </r>
  <r>
    <x v="0"/>
    <x v="0"/>
    <x v="0"/>
    <x v="0"/>
    <x v="1"/>
    <x v="13"/>
    <x v="6"/>
    <x v="4"/>
    <x v="4"/>
    <s v="GNR_PV_SUN"/>
    <x v="2"/>
    <x v="0"/>
    <n v="31.992315408555999"/>
    <n v="7784.7967494152899"/>
    <n v="28025.268297895"/>
  </r>
  <r>
    <x v="0"/>
    <x v="0"/>
    <x v="0"/>
    <x v="0"/>
    <x v="1"/>
    <x v="13"/>
    <x v="6"/>
    <x v="4"/>
    <x v="4"/>
    <s v="GNR_PV_SUN"/>
    <x v="2"/>
    <x v="1"/>
    <n v="52.001007610082603"/>
    <n v="12653.5785184534"/>
    <n v="45552.882666432299"/>
  </r>
  <r>
    <x v="0"/>
    <x v="0"/>
    <x v="0"/>
    <x v="0"/>
    <x v="1"/>
    <x v="13"/>
    <x v="6"/>
    <x v="4"/>
    <x v="4"/>
    <s v="GNR_PV_SUN"/>
    <x v="2"/>
    <x v="2"/>
    <n v="12.289511487088699"/>
    <n v="2990.4477951915901"/>
    <n v="10765.612062689701"/>
  </r>
  <r>
    <x v="0"/>
    <x v="0"/>
    <x v="0"/>
    <x v="0"/>
    <x v="1"/>
    <x v="13"/>
    <x v="6"/>
    <x v="4"/>
    <x v="4"/>
    <s v="GNR_PV_SUN"/>
    <x v="2"/>
    <x v="5"/>
    <n v="128.79695933320801"/>
    <n v="31340.593437747299"/>
    <n v="112826.13637589"/>
  </r>
  <r>
    <x v="0"/>
    <x v="0"/>
    <x v="0"/>
    <x v="0"/>
    <x v="1"/>
    <x v="13"/>
    <x v="6"/>
    <x v="4"/>
    <x v="4"/>
    <s v="GNR_PV_SUN"/>
    <x v="2"/>
    <x v="8"/>
    <n v="93.961682262924299"/>
    <n v="22864.009350644901"/>
    <n v="82310.433662321695"/>
  </r>
  <r>
    <x v="0"/>
    <x v="0"/>
    <x v="0"/>
    <x v="0"/>
    <x v="1"/>
    <x v="13"/>
    <x v="6"/>
    <x v="4"/>
    <x v="4"/>
    <s v="GNR_PV_SUN"/>
    <x v="1"/>
    <x v="9"/>
    <n v="1.6913822544455901"/>
    <n v="411.56968191509401"/>
    <n v="1481.65085489434"/>
  </r>
  <r>
    <x v="0"/>
    <x v="0"/>
    <x v="0"/>
    <x v="0"/>
    <x v="1"/>
    <x v="13"/>
    <x v="6"/>
    <x v="4"/>
    <x v="4"/>
    <s v="GNR_PV_SUN"/>
    <x v="1"/>
    <x v="3"/>
    <n v="0.21592113886539499"/>
    <n v="52.540810457246003"/>
    <n v="189.146917646086"/>
  </r>
  <r>
    <x v="0"/>
    <x v="0"/>
    <x v="0"/>
    <x v="0"/>
    <x v="1"/>
    <x v="13"/>
    <x v="6"/>
    <x v="4"/>
    <x v="4"/>
    <s v="GNR_PV_SUN"/>
    <x v="1"/>
    <x v="10"/>
    <n v="82.409901333625697"/>
    <n v="20053.075991182199"/>
    <n v="72191.073568256106"/>
  </r>
  <r>
    <x v="0"/>
    <x v="0"/>
    <x v="0"/>
    <x v="0"/>
    <x v="1"/>
    <x v="13"/>
    <x v="6"/>
    <x v="4"/>
    <x v="4"/>
    <s v="GNR_PV_SUN"/>
    <x v="1"/>
    <x v="6"/>
    <n v="91.586549735404901"/>
    <n v="22286.0604356152"/>
    <n v="80229.817568214698"/>
  </r>
  <r>
    <x v="0"/>
    <x v="0"/>
    <x v="0"/>
    <x v="0"/>
    <x v="1"/>
    <x v="13"/>
    <x v="6"/>
    <x v="4"/>
    <x v="4"/>
    <s v="GNR_PV_SUN"/>
    <x v="1"/>
    <x v="0"/>
    <n v="10.4361883784941"/>
    <n v="2539.4725054335599"/>
    <n v="9142.1010195608105"/>
  </r>
  <r>
    <x v="0"/>
    <x v="0"/>
    <x v="0"/>
    <x v="0"/>
    <x v="1"/>
    <x v="13"/>
    <x v="6"/>
    <x v="4"/>
    <x v="4"/>
    <s v="GNR_PV_SUN"/>
    <x v="1"/>
    <x v="1"/>
    <n v="7.1973712955131601"/>
    <n v="1751.3603485748699"/>
    <n v="6304.8972548695301"/>
  </r>
  <r>
    <x v="0"/>
    <x v="0"/>
    <x v="0"/>
    <x v="0"/>
    <x v="1"/>
    <x v="13"/>
    <x v="6"/>
    <x v="4"/>
    <x v="4"/>
    <s v="GNR_PV_SUN"/>
    <x v="1"/>
    <x v="2"/>
    <n v="0.39585542125322398"/>
    <n v="96.324819171617804"/>
    <n v="346.76934901782403"/>
  </r>
  <r>
    <x v="0"/>
    <x v="0"/>
    <x v="0"/>
    <x v="0"/>
    <x v="1"/>
    <x v="13"/>
    <x v="6"/>
    <x v="4"/>
    <x v="4"/>
    <s v="GNR_PV_SUN"/>
    <x v="1"/>
    <x v="5"/>
    <n v="102.59852781754"/>
    <n v="24965.6417689347"/>
    <n v="89876.310368165097"/>
  </r>
  <r>
    <x v="0"/>
    <x v="0"/>
    <x v="0"/>
    <x v="0"/>
    <x v="1"/>
    <x v="13"/>
    <x v="6"/>
    <x v="4"/>
    <x v="4"/>
    <s v="GNR_PV_SUN"/>
    <x v="1"/>
    <x v="8"/>
    <n v="65.244170793826797"/>
    <n v="15876.0815598312"/>
    <n v="57153.893615392197"/>
  </r>
  <r>
    <x v="0"/>
    <x v="0"/>
    <x v="0"/>
    <x v="0"/>
    <x v="1"/>
    <x v="13"/>
    <x v="6"/>
    <x v="4"/>
    <x v="4"/>
    <s v="GNR_PV_SUN_LS-4-MW_Y-2030"/>
    <x v="0"/>
    <x v="9"/>
    <n v="0.27782647396363602"/>
    <n v="67.604441997818199"/>
    <n v="243.37599119214599"/>
  </r>
  <r>
    <x v="0"/>
    <x v="0"/>
    <x v="0"/>
    <x v="0"/>
    <x v="1"/>
    <x v="13"/>
    <x v="6"/>
    <x v="4"/>
    <x v="4"/>
    <s v="GNR_PV_SUN_LS-4-MW_Y-2030"/>
    <x v="0"/>
    <x v="3"/>
    <n v="35.2145055748909"/>
    <n v="8568.8630232234591"/>
    <n v="30847.906883604501"/>
  </r>
  <r>
    <x v="0"/>
    <x v="0"/>
    <x v="0"/>
    <x v="0"/>
    <x v="1"/>
    <x v="13"/>
    <x v="6"/>
    <x v="4"/>
    <x v="4"/>
    <s v="GNR_PV_SUN_LS-4-MW_Y-2030"/>
    <x v="0"/>
    <x v="10"/>
    <n v="507.86679440552803"/>
    <n v="123580.91997201199"/>
    <n v="444891.31189924199"/>
  </r>
  <r>
    <x v="0"/>
    <x v="0"/>
    <x v="0"/>
    <x v="0"/>
    <x v="1"/>
    <x v="13"/>
    <x v="6"/>
    <x v="4"/>
    <x v="4"/>
    <s v="GNR_PV_SUN_LS-4-MW_Y-2030"/>
    <x v="0"/>
    <x v="6"/>
    <n v="556.20860087519998"/>
    <n v="135344.09287963199"/>
    <n v="487238.73436667601"/>
  </r>
  <r>
    <x v="0"/>
    <x v="0"/>
    <x v="0"/>
    <x v="0"/>
    <x v="1"/>
    <x v="13"/>
    <x v="6"/>
    <x v="4"/>
    <x v="4"/>
    <s v="GNR_PV_SUN_LS-4-MW_Y-2030"/>
    <x v="0"/>
    <x v="0"/>
    <n v="57.787906584436399"/>
    <n v="14061.723935546201"/>
    <n v="50622.206167966302"/>
  </r>
  <r>
    <x v="0"/>
    <x v="0"/>
    <x v="0"/>
    <x v="0"/>
    <x v="1"/>
    <x v="13"/>
    <x v="6"/>
    <x v="4"/>
    <x v="4"/>
    <s v="GNR_PV_SUN_LS-4-MW_Y-2030"/>
    <x v="0"/>
    <x v="1"/>
    <n v="149.47064299243601"/>
    <n v="36371.189794826198"/>
    <n v="130936.283261374"/>
  </r>
  <r>
    <x v="0"/>
    <x v="0"/>
    <x v="0"/>
    <x v="0"/>
    <x v="1"/>
    <x v="13"/>
    <x v="6"/>
    <x v="4"/>
    <x v="4"/>
    <s v="GNR_PV_SUN_LS-4-MW_Y-2030"/>
    <x v="0"/>
    <x v="5"/>
    <n v="677.06311704938196"/>
    <n v="164752.02514868299"/>
    <n v="593107.29053525894"/>
  </r>
  <r>
    <x v="0"/>
    <x v="0"/>
    <x v="0"/>
    <x v="0"/>
    <x v="1"/>
    <x v="13"/>
    <x v="6"/>
    <x v="4"/>
    <x v="4"/>
    <s v="GNR_PV_SUN_LS-4-MW_Y-2030"/>
    <x v="0"/>
    <x v="8"/>
    <n v="341.44873650130899"/>
    <n v="83085.859215318604"/>
    <n v="299109.09317514702"/>
  </r>
  <r>
    <x v="0"/>
    <x v="0"/>
    <x v="0"/>
    <x v="0"/>
    <x v="1"/>
    <x v="13"/>
    <x v="6"/>
    <x v="4"/>
    <x v="4"/>
    <s v="GNR_PV_SUN_LS-4-MW_Y-2030"/>
    <x v="2"/>
    <x v="9"/>
    <n v="95.850133517454594"/>
    <n v="23323.5324892473"/>
    <n v="83964.716961290207"/>
  </r>
  <r>
    <x v="0"/>
    <x v="0"/>
    <x v="0"/>
    <x v="0"/>
    <x v="1"/>
    <x v="13"/>
    <x v="6"/>
    <x v="4"/>
    <x v="4"/>
    <s v="GNR_PV_SUN_LS-4-MW_Y-2030"/>
    <x v="2"/>
    <x v="3"/>
    <n v="17.503067859709098"/>
    <n v="4259.0798458625504"/>
    <n v="15332.687445105201"/>
  </r>
  <r>
    <x v="0"/>
    <x v="0"/>
    <x v="0"/>
    <x v="0"/>
    <x v="1"/>
    <x v="13"/>
    <x v="6"/>
    <x v="4"/>
    <x v="4"/>
    <s v="GNR_PV_SUN_LS-4-MW_Y-2030"/>
    <x v="2"/>
    <x v="10"/>
    <n v="762.07801808225497"/>
    <n v="185438.984400015"/>
    <n v="667580.34384005505"/>
  </r>
  <r>
    <x v="0"/>
    <x v="0"/>
    <x v="0"/>
    <x v="0"/>
    <x v="1"/>
    <x v="13"/>
    <x v="6"/>
    <x v="4"/>
    <x v="4"/>
    <s v="GNR_PV_SUN_LS-4-MW_Y-2030"/>
    <x v="2"/>
    <x v="6"/>
    <n v="757.63279449883703"/>
    <n v="184357.31332804999"/>
    <n v="663686.32798098098"/>
  </r>
  <r>
    <x v="0"/>
    <x v="0"/>
    <x v="0"/>
    <x v="0"/>
    <x v="1"/>
    <x v="13"/>
    <x v="6"/>
    <x v="4"/>
    <x v="4"/>
    <s v="GNR_PV_SUN_LS-4-MW_Y-2030"/>
    <x v="2"/>
    <x v="7"/>
    <n v="0.83347942189090996"/>
    <n v="202.81332599345501"/>
    <n v="730.12797357643694"/>
  </r>
  <r>
    <x v="0"/>
    <x v="0"/>
    <x v="0"/>
    <x v="0"/>
    <x v="1"/>
    <x v="13"/>
    <x v="6"/>
    <x v="4"/>
    <x v="4"/>
    <s v="GNR_PV_SUN_LS-4-MW_Y-2030"/>
    <x v="2"/>
    <x v="0"/>
    <n v="246.987735353673"/>
    <n v="60100.3489360604"/>
    <n v="216361.256169817"/>
  </r>
  <r>
    <x v="0"/>
    <x v="0"/>
    <x v="0"/>
    <x v="0"/>
    <x v="1"/>
    <x v="13"/>
    <x v="6"/>
    <x v="4"/>
    <x v="4"/>
    <s v="GNR_PV_SUN_LS-4-MW_Y-2030"/>
    <x v="2"/>
    <x v="1"/>
    <n v="401.45925487745501"/>
    <n v="97688.418686847304"/>
    <n v="351678.30727265001"/>
  </r>
  <r>
    <x v="0"/>
    <x v="0"/>
    <x v="0"/>
    <x v="0"/>
    <x v="1"/>
    <x v="13"/>
    <x v="6"/>
    <x v="4"/>
    <x v="4"/>
    <s v="GNR_PV_SUN_LS-4-MW_Y-2030"/>
    <x v="2"/>
    <x v="2"/>
    <n v="94.877740858581902"/>
    <n v="23086.916942254898"/>
    <n v="83112.900992117706"/>
  </r>
  <r>
    <x v="0"/>
    <x v="0"/>
    <x v="0"/>
    <x v="0"/>
    <x v="1"/>
    <x v="13"/>
    <x v="6"/>
    <x v="4"/>
    <x v="4"/>
    <s v="GNR_PV_SUN_LS-4-MW_Y-2030"/>
    <x v="2"/>
    <x v="5"/>
    <n v="994.34095031585503"/>
    <n v="241956.297910191"/>
    <n v="871042.67247668898"/>
  </r>
  <r>
    <x v="0"/>
    <x v="0"/>
    <x v="0"/>
    <x v="0"/>
    <x v="1"/>
    <x v="13"/>
    <x v="6"/>
    <x v="4"/>
    <x v="4"/>
    <s v="GNR_PV_SUN_LS-4-MW_Y-2030"/>
    <x v="2"/>
    <x v="8"/>
    <n v="725.40492351905505"/>
    <n v="176515.19805630299"/>
    <n v="635454.71300269198"/>
  </r>
  <r>
    <x v="0"/>
    <x v="0"/>
    <x v="0"/>
    <x v="0"/>
    <x v="1"/>
    <x v="13"/>
    <x v="6"/>
    <x v="4"/>
    <x v="4"/>
    <s v="GNR_PV_SUN_LS-4-MW_Y-2030"/>
    <x v="1"/>
    <x v="9"/>
    <n v="13.057844276290901"/>
    <n v="3177.4087738974599"/>
    <n v="11438.6715860308"/>
  </r>
  <r>
    <x v="0"/>
    <x v="0"/>
    <x v="0"/>
    <x v="0"/>
    <x v="1"/>
    <x v="13"/>
    <x v="6"/>
    <x v="4"/>
    <x v="4"/>
    <s v="GNR_PV_SUN_LS-4-MW_Y-2030"/>
    <x v="1"/>
    <x v="3"/>
    <n v="1.6669588437818199"/>
    <n v="405.626651986909"/>
    <n v="1460.25594715287"/>
  </r>
  <r>
    <x v="0"/>
    <x v="0"/>
    <x v="0"/>
    <x v="0"/>
    <x v="1"/>
    <x v="13"/>
    <x v="6"/>
    <x v="4"/>
    <x v="4"/>
    <s v="GNR_PV_SUN_LS-4-MW_Y-2030"/>
    <x v="1"/>
    <x v="10"/>
    <n v="636.22262537672805"/>
    <n v="154814.172175004"/>
    <n v="557331.01983001397"/>
  </r>
  <r>
    <x v="0"/>
    <x v="0"/>
    <x v="0"/>
    <x v="0"/>
    <x v="1"/>
    <x v="13"/>
    <x v="6"/>
    <x v="4"/>
    <x v="4"/>
    <s v="GNR_PV_SUN_LS-4-MW_Y-2030"/>
    <x v="1"/>
    <x v="6"/>
    <n v="707.06837623745503"/>
    <n v="172053.30488444699"/>
    <n v="619391.89758401003"/>
  </r>
  <r>
    <x v="0"/>
    <x v="0"/>
    <x v="0"/>
    <x v="0"/>
    <x v="1"/>
    <x v="13"/>
    <x v="6"/>
    <x v="4"/>
    <x v="4"/>
    <s v="GNR_PV_SUN_LS-4-MW_Y-2030"/>
    <x v="1"/>
    <x v="0"/>
    <n v="80.569677449454602"/>
    <n v="19605.2881793673"/>
    <n v="70579.037445722206"/>
  </r>
  <r>
    <x v="0"/>
    <x v="0"/>
    <x v="0"/>
    <x v="0"/>
    <x v="1"/>
    <x v="13"/>
    <x v="6"/>
    <x v="4"/>
    <x v="4"/>
    <s v="GNR_PV_SUN_LS-4-MW_Y-2030"/>
    <x v="1"/>
    <x v="1"/>
    <n v="55.5652947927273"/>
    <n v="13520.888399563601"/>
    <n v="48675.198238429097"/>
  </r>
  <r>
    <x v="0"/>
    <x v="0"/>
    <x v="0"/>
    <x v="0"/>
    <x v="1"/>
    <x v="13"/>
    <x v="6"/>
    <x v="4"/>
    <x v="4"/>
    <s v="GNR_PV_SUN_LS-4-MW_Y-2030"/>
    <x v="1"/>
    <x v="2"/>
    <n v="3.0560912135999998"/>
    <n v="743.64886197600003"/>
    <n v="2677.1359031135999"/>
  </r>
  <r>
    <x v="0"/>
    <x v="0"/>
    <x v="0"/>
    <x v="0"/>
    <x v="1"/>
    <x v="13"/>
    <x v="6"/>
    <x v="4"/>
    <x v="4"/>
    <s v="GNR_PV_SUN_LS-4-MW_Y-2030"/>
    <x v="1"/>
    <x v="5"/>
    <n v="792.08327727032804"/>
    <n v="192740.26413577999"/>
    <n v="693864.95088880695"/>
  </r>
  <r>
    <x v="0"/>
    <x v="0"/>
    <x v="0"/>
    <x v="0"/>
    <x v="1"/>
    <x v="13"/>
    <x v="6"/>
    <x v="4"/>
    <x v="4"/>
    <s v="GNR_PV_SUN_LS-4-MW_Y-2030"/>
    <x v="1"/>
    <x v="8"/>
    <n v="503.69939729607302"/>
    <n v="122566.85334204401"/>
    <n v="441240.67203135998"/>
  </r>
  <r>
    <x v="0"/>
    <x v="0"/>
    <x v="0"/>
    <x v="0"/>
    <x v="1"/>
    <x v="13"/>
    <x v="7"/>
    <x v="5"/>
    <x v="5"/>
    <s v="GNR_ROR_WTR"/>
    <x v="0"/>
    <x v="9"/>
    <n v="7.7084413735422396E-3"/>
    <n v="1.87572073422861"/>
    <n v="6.7525946432230004"/>
  </r>
  <r>
    <x v="0"/>
    <x v="0"/>
    <x v="0"/>
    <x v="0"/>
    <x v="1"/>
    <x v="13"/>
    <x v="7"/>
    <x v="5"/>
    <x v="5"/>
    <s v="GNR_ROR_WTR"/>
    <x v="0"/>
    <x v="3"/>
    <n v="7.7084413735422396E-3"/>
    <n v="1.87572073422861"/>
    <n v="6.7525946432230004"/>
  </r>
  <r>
    <x v="0"/>
    <x v="0"/>
    <x v="0"/>
    <x v="0"/>
    <x v="1"/>
    <x v="13"/>
    <x v="7"/>
    <x v="5"/>
    <x v="5"/>
    <s v="GNR_ROR_WTR"/>
    <x v="0"/>
    <x v="10"/>
    <n v="7.7084413735422396E-3"/>
    <n v="1.87572073422861"/>
    <n v="6.7525946432230004"/>
  </r>
  <r>
    <x v="0"/>
    <x v="0"/>
    <x v="0"/>
    <x v="0"/>
    <x v="1"/>
    <x v="13"/>
    <x v="7"/>
    <x v="5"/>
    <x v="5"/>
    <s v="GNR_ROR_WTR"/>
    <x v="0"/>
    <x v="4"/>
    <n v="7.7084413735422396E-3"/>
    <n v="1.87572073422861"/>
    <n v="6.7525946432230004"/>
  </r>
  <r>
    <x v="0"/>
    <x v="0"/>
    <x v="0"/>
    <x v="0"/>
    <x v="1"/>
    <x v="13"/>
    <x v="7"/>
    <x v="5"/>
    <x v="5"/>
    <s v="GNR_ROR_WTR"/>
    <x v="0"/>
    <x v="6"/>
    <n v="7.7084413735422396E-3"/>
    <n v="1.87572073422861"/>
    <n v="6.7525946432230004"/>
  </r>
  <r>
    <x v="0"/>
    <x v="0"/>
    <x v="0"/>
    <x v="0"/>
    <x v="1"/>
    <x v="13"/>
    <x v="7"/>
    <x v="5"/>
    <x v="5"/>
    <s v="GNR_ROR_WTR"/>
    <x v="0"/>
    <x v="7"/>
    <n v="7.7084413735422396E-3"/>
    <n v="1.87572073422861"/>
    <n v="6.7525946432230004"/>
  </r>
  <r>
    <x v="0"/>
    <x v="0"/>
    <x v="0"/>
    <x v="0"/>
    <x v="1"/>
    <x v="13"/>
    <x v="7"/>
    <x v="5"/>
    <x v="5"/>
    <s v="GNR_ROR_WTR"/>
    <x v="0"/>
    <x v="0"/>
    <n v="7.7084413735422396E-3"/>
    <n v="1.87572073422861"/>
    <n v="6.7525946432230004"/>
  </r>
  <r>
    <x v="0"/>
    <x v="0"/>
    <x v="0"/>
    <x v="0"/>
    <x v="1"/>
    <x v="13"/>
    <x v="7"/>
    <x v="5"/>
    <x v="5"/>
    <s v="GNR_ROR_WTR"/>
    <x v="0"/>
    <x v="1"/>
    <n v="7.7084413735422396E-3"/>
    <n v="1.87572073422861"/>
    <n v="6.7525946432230004"/>
  </r>
  <r>
    <x v="0"/>
    <x v="0"/>
    <x v="0"/>
    <x v="0"/>
    <x v="1"/>
    <x v="13"/>
    <x v="7"/>
    <x v="5"/>
    <x v="5"/>
    <s v="GNR_ROR_WTR"/>
    <x v="0"/>
    <x v="2"/>
    <n v="7.7084413735422396E-3"/>
    <n v="1.87572073422861"/>
    <n v="6.7525946432230004"/>
  </r>
  <r>
    <x v="0"/>
    <x v="0"/>
    <x v="0"/>
    <x v="0"/>
    <x v="1"/>
    <x v="13"/>
    <x v="7"/>
    <x v="5"/>
    <x v="5"/>
    <s v="GNR_ROR_WTR"/>
    <x v="0"/>
    <x v="5"/>
    <n v="7.7084413735422396E-3"/>
    <n v="1.87572073422861"/>
    <n v="6.7525946432230004"/>
  </r>
  <r>
    <x v="0"/>
    <x v="0"/>
    <x v="0"/>
    <x v="0"/>
    <x v="1"/>
    <x v="13"/>
    <x v="7"/>
    <x v="5"/>
    <x v="5"/>
    <s v="GNR_ROR_WTR"/>
    <x v="0"/>
    <x v="11"/>
    <n v="7.7084413735422396E-3"/>
    <n v="1.87572073422861"/>
    <n v="6.7525946432230004"/>
  </r>
  <r>
    <x v="0"/>
    <x v="0"/>
    <x v="0"/>
    <x v="0"/>
    <x v="1"/>
    <x v="13"/>
    <x v="7"/>
    <x v="5"/>
    <x v="5"/>
    <s v="GNR_ROR_WTR"/>
    <x v="0"/>
    <x v="8"/>
    <n v="7.7084413735422396E-3"/>
    <n v="1.87572073422861"/>
    <n v="6.7525946432230004"/>
  </r>
  <r>
    <x v="0"/>
    <x v="0"/>
    <x v="0"/>
    <x v="0"/>
    <x v="1"/>
    <x v="13"/>
    <x v="7"/>
    <x v="5"/>
    <x v="5"/>
    <s v="GNR_ROR_WTR"/>
    <x v="2"/>
    <x v="9"/>
    <n v="8.3219199577328502E-3"/>
    <n v="2.0250005230483299"/>
    <n v="7.2900018829739803"/>
  </r>
  <r>
    <x v="0"/>
    <x v="0"/>
    <x v="0"/>
    <x v="0"/>
    <x v="1"/>
    <x v="13"/>
    <x v="7"/>
    <x v="5"/>
    <x v="5"/>
    <s v="GNR_ROR_WTR"/>
    <x v="2"/>
    <x v="3"/>
    <n v="8.3219199577328502E-3"/>
    <n v="2.0250005230483299"/>
    <n v="7.2900018829739803"/>
  </r>
  <r>
    <x v="0"/>
    <x v="0"/>
    <x v="0"/>
    <x v="0"/>
    <x v="1"/>
    <x v="13"/>
    <x v="7"/>
    <x v="5"/>
    <x v="5"/>
    <s v="GNR_ROR_WTR"/>
    <x v="2"/>
    <x v="10"/>
    <n v="8.3219199577328502E-3"/>
    <n v="2.0250005230483299"/>
    <n v="7.2900018829739803"/>
  </r>
  <r>
    <x v="0"/>
    <x v="0"/>
    <x v="0"/>
    <x v="0"/>
    <x v="1"/>
    <x v="13"/>
    <x v="7"/>
    <x v="5"/>
    <x v="5"/>
    <s v="GNR_ROR_WTR"/>
    <x v="2"/>
    <x v="4"/>
    <n v="8.3219199577328502E-3"/>
    <n v="2.0250005230483299"/>
    <n v="7.2900018829739803"/>
  </r>
  <r>
    <x v="0"/>
    <x v="0"/>
    <x v="0"/>
    <x v="0"/>
    <x v="1"/>
    <x v="13"/>
    <x v="7"/>
    <x v="5"/>
    <x v="5"/>
    <s v="GNR_ROR_WTR"/>
    <x v="2"/>
    <x v="6"/>
    <n v="8.3219199577328502E-3"/>
    <n v="2.0250005230483299"/>
    <n v="7.2900018829739803"/>
  </r>
  <r>
    <x v="0"/>
    <x v="0"/>
    <x v="0"/>
    <x v="0"/>
    <x v="1"/>
    <x v="13"/>
    <x v="7"/>
    <x v="5"/>
    <x v="5"/>
    <s v="GNR_ROR_WTR"/>
    <x v="2"/>
    <x v="7"/>
    <n v="8.3219199577328502E-3"/>
    <n v="2.0250005230483299"/>
    <n v="7.2900018829739803"/>
  </r>
  <r>
    <x v="0"/>
    <x v="0"/>
    <x v="0"/>
    <x v="0"/>
    <x v="1"/>
    <x v="13"/>
    <x v="7"/>
    <x v="5"/>
    <x v="5"/>
    <s v="GNR_ROR_WTR"/>
    <x v="2"/>
    <x v="0"/>
    <n v="8.3219199577328502E-3"/>
    <n v="2.0250005230483299"/>
    <n v="7.2900018829739803"/>
  </r>
  <r>
    <x v="0"/>
    <x v="0"/>
    <x v="0"/>
    <x v="0"/>
    <x v="1"/>
    <x v="13"/>
    <x v="7"/>
    <x v="5"/>
    <x v="5"/>
    <s v="GNR_ROR_WTR"/>
    <x v="2"/>
    <x v="1"/>
    <n v="8.3219199577328502E-3"/>
    <n v="2.0250005230483299"/>
    <n v="7.2900018829739803"/>
  </r>
  <r>
    <x v="0"/>
    <x v="0"/>
    <x v="0"/>
    <x v="0"/>
    <x v="1"/>
    <x v="13"/>
    <x v="7"/>
    <x v="5"/>
    <x v="5"/>
    <s v="GNR_ROR_WTR"/>
    <x v="2"/>
    <x v="2"/>
    <n v="8.3219199577328502E-3"/>
    <n v="2.0250005230483299"/>
    <n v="7.2900018829739803"/>
  </r>
  <r>
    <x v="0"/>
    <x v="0"/>
    <x v="0"/>
    <x v="0"/>
    <x v="1"/>
    <x v="13"/>
    <x v="7"/>
    <x v="5"/>
    <x v="5"/>
    <s v="GNR_ROR_WTR"/>
    <x v="2"/>
    <x v="5"/>
    <n v="8.3219199577328502E-3"/>
    <n v="2.0250005230483299"/>
    <n v="7.2900018829739803"/>
  </r>
  <r>
    <x v="0"/>
    <x v="0"/>
    <x v="0"/>
    <x v="0"/>
    <x v="1"/>
    <x v="13"/>
    <x v="7"/>
    <x v="5"/>
    <x v="5"/>
    <s v="GNR_ROR_WTR"/>
    <x v="2"/>
    <x v="11"/>
    <n v="8.3219199577328502E-3"/>
    <n v="2.0250005230483299"/>
    <n v="7.2900018829739803"/>
  </r>
  <r>
    <x v="0"/>
    <x v="0"/>
    <x v="0"/>
    <x v="0"/>
    <x v="1"/>
    <x v="13"/>
    <x v="7"/>
    <x v="5"/>
    <x v="5"/>
    <s v="GNR_ROR_WTR"/>
    <x v="2"/>
    <x v="8"/>
    <n v="8.3219199577328502E-3"/>
    <n v="2.0250005230483299"/>
    <n v="7.2900018829739803"/>
  </r>
  <r>
    <x v="0"/>
    <x v="0"/>
    <x v="0"/>
    <x v="0"/>
    <x v="1"/>
    <x v="13"/>
    <x v="7"/>
    <x v="5"/>
    <x v="5"/>
    <s v="GNR_ROR_WTR"/>
    <x v="1"/>
    <x v="9"/>
    <n v="8.7291967545216308E-3"/>
    <n v="2.1241045436002599"/>
    <n v="7.6467763569609497"/>
  </r>
  <r>
    <x v="0"/>
    <x v="0"/>
    <x v="0"/>
    <x v="0"/>
    <x v="1"/>
    <x v="13"/>
    <x v="7"/>
    <x v="5"/>
    <x v="5"/>
    <s v="GNR_ROR_WTR"/>
    <x v="1"/>
    <x v="3"/>
    <n v="8.7291967545216308E-3"/>
    <n v="2.1241045436002599"/>
    <n v="7.6467763569609497"/>
  </r>
  <r>
    <x v="0"/>
    <x v="0"/>
    <x v="0"/>
    <x v="0"/>
    <x v="1"/>
    <x v="13"/>
    <x v="7"/>
    <x v="5"/>
    <x v="5"/>
    <s v="GNR_ROR_WTR"/>
    <x v="1"/>
    <x v="10"/>
    <n v="8.7291967545216308E-3"/>
    <n v="2.1241045436002599"/>
    <n v="7.6467763569609497"/>
  </r>
  <r>
    <x v="0"/>
    <x v="0"/>
    <x v="0"/>
    <x v="0"/>
    <x v="1"/>
    <x v="13"/>
    <x v="7"/>
    <x v="5"/>
    <x v="5"/>
    <s v="GNR_ROR_WTR"/>
    <x v="1"/>
    <x v="4"/>
    <n v="8.7291967545216308E-3"/>
    <n v="2.1241045436002599"/>
    <n v="7.6467763569609497"/>
  </r>
  <r>
    <x v="0"/>
    <x v="0"/>
    <x v="0"/>
    <x v="0"/>
    <x v="1"/>
    <x v="13"/>
    <x v="7"/>
    <x v="5"/>
    <x v="5"/>
    <s v="GNR_ROR_WTR"/>
    <x v="1"/>
    <x v="6"/>
    <n v="8.7291967545216308E-3"/>
    <n v="2.1241045436002599"/>
    <n v="7.6467763569609497"/>
  </r>
  <r>
    <x v="0"/>
    <x v="0"/>
    <x v="0"/>
    <x v="0"/>
    <x v="1"/>
    <x v="13"/>
    <x v="7"/>
    <x v="5"/>
    <x v="5"/>
    <s v="GNR_ROR_WTR"/>
    <x v="1"/>
    <x v="7"/>
    <n v="8.7291967545216308E-3"/>
    <n v="2.1241045436002599"/>
    <n v="7.6467763569609497"/>
  </r>
  <r>
    <x v="0"/>
    <x v="0"/>
    <x v="0"/>
    <x v="0"/>
    <x v="1"/>
    <x v="13"/>
    <x v="7"/>
    <x v="5"/>
    <x v="5"/>
    <s v="GNR_ROR_WTR"/>
    <x v="1"/>
    <x v="0"/>
    <n v="8.7291967545216308E-3"/>
    <n v="2.1241045436002599"/>
    <n v="7.6467763569609497"/>
  </r>
  <r>
    <x v="0"/>
    <x v="0"/>
    <x v="0"/>
    <x v="0"/>
    <x v="1"/>
    <x v="13"/>
    <x v="7"/>
    <x v="5"/>
    <x v="5"/>
    <s v="GNR_ROR_WTR"/>
    <x v="1"/>
    <x v="1"/>
    <n v="8.7291967545216308E-3"/>
    <n v="2.1241045436002599"/>
    <n v="7.6467763569609497"/>
  </r>
  <r>
    <x v="0"/>
    <x v="0"/>
    <x v="0"/>
    <x v="0"/>
    <x v="1"/>
    <x v="13"/>
    <x v="7"/>
    <x v="5"/>
    <x v="5"/>
    <s v="GNR_ROR_WTR"/>
    <x v="1"/>
    <x v="2"/>
    <n v="8.7291967545216308E-3"/>
    <n v="2.1241045436002599"/>
    <n v="7.6467763569609497"/>
  </r>
  <r>
    <x v="0"/>
    <x v="0"/>
    <x v="0"/>
    <x v="0"/>
    <x v="1"/>
    <x v="13"/>
    <x v="7"/>
    <x v="5"/>
    <x v="5"/>
    <s v="GNR_ROR_WTR"/>
    <x v="1"/>
    <x v="5"/>
    <n v="8.7291967545216308E-3"/>
    <n v="2.1241045436002599"/>
    <n v="7.6467763569609497"/>
  </r>
  <r>
    <x v="0"/>
    <x v="0"/>
    <x v="0"/>
    <x v="0"/>
    <x v="1"/>
    <x v="13"/>
    <x v="7"/>
    <x v="5"/>
    <x v="5"/>
    <s v="GNR_ROR_WTR"/>
    <x v="1"/>
    <x v="11"/>
    <n v="8.7291967545216308E-3"/>
    <n v="2.1241045436002599"/>
    <n v="7.6467763569609497"/>
  </r>
  <r>
    <x v="0"/>
    <x v="0"/>
    <x v="0"/>
    <x v="0"/>
    <x v="1"/>
    <x v="13"/>
    <x v="7"/>
    <x v="5"/>
    <x v="5"/>
    <s v="GNR_ROR_WTR"/>
    <x v="1"/>
    <x v="8"/>
    <n v="8.7291967545216308E-3"/>
    <n v="2.1241045436002599"/>
    <n v="7.6467763569609497"/>
  </r>
  <r>
    <x v="0"/>
    <x v="0"/>
    <x v="0"/>
    <x v="0"/>
    <x v="1"/>
    <x v="13"/>
    <x v="8"/>
    <x v="4"/>
    <x v="7"/>
    <s v="GNR_WT_WIND_ONS"/>
    <x v="0"/>
    <x v="9"/>
    <n v="249.58784629940001"/>
    <n v="60733.042599520697"/>
    <n v="218638.95335827401"/>
  </r>
  <r>
    <x v="0"/>
    <x v="0"/>
    <x v="0"/>
    <x v="0"/>
    <x v="1"/>
    <x v="13"/>
    <x v="8"/>
    <x v="4"/>
    <x v="7"/>
    <s v="GNR_WT_WIND_ONS"/>
    <x v="0"/>
    <x v="3"/>
    <n v="205.856642460616"/>
    <n v="50091.782998749899"/>
    <n v="180330.41879550001"/>
  </r>
  <r>
    <x v="0"/>
    <x v="0"/>
    <x v="0"/>
    <x v="0"/>
    <x v="1"/>
    <x v="13"/>
    <x v="8"/>
    <x v="4"/>
    <x v="7"/>
    <s v="GNR_WT_WIND_ONS"/>
    <x v="0"/>
    <x v="10"/>
    <n v="235.721854838322"/>
    <n v="57358.984677325097"/>
    <n v="206492.34483836999"/>
  </r>
  <r>
    <x v="0"/>
    <x v="0"/>
    <x v="0"/>
    <x v="0"/>
    <x v="1"/>
    <x v="13"/>
    <x v="8"/>
    <x v="4"/>
    <x v="7"/>
    <s v="GNR_WT_WIND_ONS"/>
    <x v="0"/>
    <x v="4"/>
    <n v="209.76756312912499"/>
    <n v="51043.4403614205"/>
    <n v="183756.385301114"/>
  </r>
  <r>
    <x v="0"/>
    <x v="0"/>
    <x v="0"/>
    <x v="0"/>
    <x v="1"/>
    <x v="13"/>
    <x v="8"/>
    <x v="4"/>
    <x v="7"/>
    <s v="GNR_WT_WIND_ONS"/>
    <x v="0"/>
    <x v="6"/>
    <n v="161.05882389405701"/>
    <n v="39190.980480887301"/>
    <n v="141087.52973119399"/>
  </r>
  <r>
    <x v="0"/>
    <x v="0"/>
    <x v="0"/>
    <x v="0"/>
    <x v="1"/>
    <x v="13"/>
    <x v="8"/>
    <x v="4"/>
    <x v="7"/>
    <s v="GNR_WT_WIND_ONS"/>
    <x v="0"/>
    <x v="7"/>
    <n v="57.241657057269798"/>
    <n v="13928.803217269"/>
    <n v="50143.691582168402"/>
  </r>
  <r>
    <x v="0"/>
    <x v="0"/>
    <x v="0"/>
    <x v="0"/>
    <x v="1"/>
    <x v="13"/>
    <x v="8"/>
    <x v="4"/>
    <x v="7"/>
    <s v="GNR_WT_WIND_ONS"/>
    <x v="0"/>
    <x v="0"/>
    <n v="46.931048022109401"/>
    <n v="11419.888352046601"/>
    <n v="41111.598067367799"/>
  </r>
  <r>
    <x v="0"/>
    <x v="0"/>
    <x v="0"/>
    <x v="0"/>
    <x v="1"/>
    <x v="13"/>
    <x v="8"/>
    <x v="4"/>
    <x v="7"/>
    <s v="GNR_WT_WIND_ONS"/>
    <x v="0"/>
    <x v="1"/>
    <n v="7.4663030944264897"/>
    <n v="1816.8004196437801"/>
    <n v="6540.48151071761"/>
  </r>
  <r>
    <x v="0"/>
    <x v="0"/>
    <x v="0"/>
    <x v="0"/>
    <x v="1"/>
    <x v="13"/>
    <x v="8"/>
    <x v="4"/>
    <x v="7"/>
    <s v="GNR_WT_WIND_ONS"/>
    <x v="0"/>
    <x v="2"/>
    <n v="2.8443059407339"/>
    <n v="692.11444557858295"/>
    <n v="2491.6120040829001"/>
  </r>
  <r>
    <x v="0"/>
    <x v="0"/>
    <x v="0"/>
    <x v="0"/>
    <x v="1"/>
    <x v="13"/>
    <x v="8"/>
    <x v="4"/>
    <x v="7"/>
    <s v="GNR_WT_WIND_ONS"/>
    <x v="0"/>
    <x v="5"/>
    <n v="15.288144431444699"/>
    <n v="3720.1151449848799"/>
    <n v="13392.4145219456"/>
  </r>
  <r>
    <x v="0"/>
    <x v="0"/>
    <x v="0"/>
    <x v="0"/>
    <x v="1"/>
    <x v="13"/>
    <x v="8"/>
    <x v="4"/>
    <x v="7"/>
    <s v="GNR_WT_WIND_ONS"/>
    <x v="0"/>
    <x v="11"/>
    <n v="56.886118814678099"/>
    <n v="13842.288911571701"/>
    <n v="49832.240081657998"/>
  </r>
  <r>
    <x v="0"/>
    <x v="0"/>
    <x v="0"/>
    <x v="0"/>
    <x v="1"/>
    <x v="13"/>
    <x v="8"/>
    <x v="4"/>
    <x v="7"/>
    <s v="GNR_WT_WIND_ONS"/>
    <x v="0"/>
    <x v="8"/>
    <n v="24.887676981421599"/>
    <n v="6056.0013988126002"/>
    <n v="21801.605035725399"/>
  </r>
  <r>
    <x v="0"/>
    <x v="0"/>
    <x v="0"/>
    <x v="0"/>
    <x v="1"/>
    <x v="13"/>
    <x v="8"/>
    <x v="4"/>
    <x v="7"/>
    <s v="GNR_WT_WIND_ONS"/>
    <x v="2"/>
    <x v="9"/>
    <n v="127.638229090434"/>
    <n v="31058.635745338899"/>
    <n v="111811.08868322"/>
  </r>
  <r>
    <x v="0"/>
    <x v="0"/>
    <x v="0"/>
    <x v="0"/>
    <x v="1"/>
    <x v="13"/>
    <x v="8"/>
    <x v="4"/>
    <x v="7"/>
    <s v="GNR_WT_WIND_ONS"/>
    <x v="2"/>
    <x v="3"/>
    <n v="22.043371040687699"/>
    <n v="5363.8869532340204"/>
    <n v="19309.993031642502"/>
  </r>
  <r>
    <x v="0"/>
    <x v="0"/>
    <x v="0"/>
    <x v="0"/>
    <x v="1"/>
    <x v="13"/>
    <x v="8"/>
    <x v="4"/>
    <x v="7"/>
    <s v="GNR_WT_WIND_ONS"/>
    <x v="2"/>
    <x v="10"/>
    <n v="104.88378156456299"/>
    <n v="25521.720180710301"/>
    <n v="91878.192650556899"/>
  </r>
  <r>
    <x v="0"/>
    <x v="0"/>
    <x v="0"/>
    <x v="0"/>
    <x v="1"/>
    <x v="13"/>
    <x v="8"/>
    <x v="4"/>
    <x v="7"/>
    <s v="GNR_WT_WIND_ONS"/>
    <x v="2"/>
    <x v="4"/>
    <n v="9.2439943073851794"/>
    <n v="2249.3719481304001"/>
    <n v="8097.73901326942"/>
  </r>
  <r>
    <x v="0"/>
    <x v="0"/>
    <x v="0"/>
    <x v="0"/>
    <x v="1"/>
    <x v="13"/>
    <x v="8"/>
    <x v="4"/>
    <x v="7"/>
    <s v="GNR_WT_WIND_ONS"/>
    <x v="2"/>
    <x v="6"/>
    <n v="180.25788899401101"/>
    <n v="43862.752988542699"/>
    <n v="157905.91075875401"/>
  </r>
  <r>
    <x v="0"/>
    <x v="0"/>
    <x v="0"/>
    <x v="0"/>
    <x v="1"/>
    <x v="13"/>
    <x v="8"/>
    <x v="4"/>
    <x v="7"/>
    <s v="GNR_WT_WIND_ONS"/>
    <x v="2"/>
    <x v="7"/>
    <n v="290.47474419744998"/>
    <n v="70682.187754712795"/>
    <n v="254455.875916966"/>
  </r>
  <r>
    <x v="0"/>
    <x v="0"/>
    <x v="0"/>
    <x v="0"/>
    <x v="1"/>
    <x v="13"/>
    <x v="8"/>
    <x v="4"/>
    <x v="7"/>
    <s v="GNR_WT_WIND_ONS"/>
    <x v="2"/>
    <x v="0"/>
    <n v="232.87754889758801"/>
    <n v="56666.870231746499"/>
    <n v="204000.73283428699"/>
  </r>
  <r>
    <x v="0"/>
    <x v="0"/>
    <x v="0"/>
    <x v="0"/>
    <x v="1"/>
    <x v="13"/>
    <x v="8"/>
    <x v="4"/>
    <x v="7"/>
    <s v="GNR_WT_WIND_ONS"/>
    <x v="2"/>
    <x v="1"/>
    <n v="6.0441501240595397"/>
    <n v="1470.74319685449"/>
    <n v="5294.6755086761596"/>
  </r>
  <r>
    <x v="0"/>
    <x v="0"/>
    <x v="0"/>
    <x v="0"/>
    <x v="1"/>
    <x v="13"/>
    <x v="8"/>
    <x v="4"/>
    <x v="7"/>
    <s v="GNR_WT_WIND_ONS"/>
    <x v="2"/>
    <x v="2"/>
    <n v="116.261005327498"/>
    <n v="28290.177963024598"/>
    <n v="101844.640666889"/>
  </r>
  <r>
    <x v="0"/>
    <x v="0"/>
    <x v="0"/>
    <x v="0"/>
    <x v="1"/>
    <x v="13"/>
    <x v="8"/>
    <x v="4"/>
    <x v="7"/>
    <s v="GNR_WT_WIND_ONS"/>
    <x v="2"/>
    <x v="5"/>
    <n v="36.620438986948997"/>
    <n v="8910.9734868242595"/>
    <n v="32079.504552567301"/>
  </r>
  <r>
    <x v="0"/>
    <x v="0"/>
    <x v="0"/>
    <x v="0"/>
    <x v="1"/>
    <x v="13"/>
    <x v="8"/>
    <x v="4"/>
    <x v="7"/>
    <s v="GNR_WT_WIND_ONS"/>
    <x v="2"/>
    <x v="11"/>
    <n v="33.420594803623402"/>
    <n v="8132.3447355483504"/>
    <n v="29276.441047974098"/>
  </r>
  <r>
    <x v="0"/>
    <x v="0"/>
    <x v="0"/>
    <x v="0"/>
    <x v="1"/>
    <x v="13"/>
    <x v="8"/>
    <x v="4"/>
    <x v="7"/>
    <s v="GNR_WT_WIND_ONS"/>
    <x v="2"/>
    <x v="8"/>
    <n v="81.773795796099705"/>
    <n v="19898.290310384298"/>
    <n v="71633.845117383404"/>
  </r>
  <r>
    <x v="0"/>
    <x v="0"/>
    <x v="0"/>
    <x v="0"/>
    <x v="1"/>
    <x v="13"/>
    <x v="8"/>
    <x v="4"/>
    <x v="7"/>
    <s v="GNR_WT_WIND_ONS"/>
    <x v="1"/>
    <x v="9"/>
    <n v="241.41046671979001"/>
    <n v="58743.213568482199"/>
    <n v="211475.56884653601"/>
  </r>
  <r>
    <x v="0"/>
    <x v="0"/>
    <x v="0"/>
    <x v="0"/>
    <x v="1"/>
    <x v="13"/>
    <x v="8"/>
    <x v="4"/>
    <x v="7"/>
    <s v="GNR_WT_WIND_ONS"/>
    <x v="1"/>
    <x v="3"/>
    <n v="16.354759159219899"/>
    <n v="3979.65806207685"/>
    <n v="14326.7690234767"/>
  </r>
  <r>
    <x v="0"/>
    <x v="0"/>
    <x v="0"/>
    <x v="0"/>
    <x v="1"/>
    <x v="13"/>
    <x v="8"/>
    <x v="4"/>
    <x v="7"/>
    <s v="GNR_WT_WIND_ONS"/>
    <x v="1"/>
    <x v="10"/>
    <n v="97.061940227544397"/>
    <n v="23618.405455369098"/>
    <n v="85026.259639328899"/>
  </r>
  <r>
    <x v="0"/>
    <x v="0"/>
    <x v="0"/>
    <x v="0"/>
    <x v="1"/>
    <x v="13"/>
    <x v="8"/>
    <x v="4"/>
    <x v="7"/>
    <s v="GNR_WT_WIND_ONS"/>
    <x v="1"/>
    <x v="4"/>
    <n v="28.087521164747301"/>
    <n v="6834.6301500885102"/>
    <n v="24604.668540318598"/>
  </r>
  <r>
    <x v="0"/>
    <x v="0"/>
    <x v="0"/>
    <x v="0"/>
    <x v="1"/>
    <x v="13"/>
    <x v="8"/>
    <x v="4"/>
    <x v="7"/>
    <s v="GNR_WT_WIND_ONS"/>
    <x v="1"/>
    <x v="6"/>
    <n v="6.75522660924302"/>
    <n v="1643.7718082491299"/>
    <n v="5917.5785096968802"/>
  </r>
  <r>
    <x v="0"/>
    <x v="0"/>
    <x v="0"/>
    <x v="0"/>
    <x v="1"/>
    <x v="13"/>
    <x v="8"/>
    <x v="4"/>
    <x v="7"/>
    <s v="GNR_WT_WIND_ONS"/>
    <x v="1"/>
    <x v="7"/>
    <n v="166.391897532933"/>
    <n v="40488.6950663471"/>
    <n v="145759.30223885001"/>
  </r>
  <r>
    <x v="0"/>
    <x v="0"/>
    <x v="0"/>
    <x v="0"/>
    <x v="1"/>
    <x v="13"/>
    <x v="8"/>
    <x v="4"/>
    <x v="7"/>
    <s v="GNR_WT_WIND_ONS"/>
    <x v="1"/>
    <x v="0"/>
    <n v="15.9992209166282"/>
    <n v="3893.1437563795298"/>
    <n v="14015.317522966299"/>
  </r>
  <r>
    <x v="0"/>
    <x v="0"/>
    <x v="0"/>
    <x v="0"/>
    <x v="1"/>
    <x v="13"/>
    <x v="8"/>
    <x v="4"/>
    <x v="7"/>
    <s v="GNR_WT_WIND_ONS"/>
    <x v="1"/>
    <x v="1"/>
    <n v="5.33307363887607"/>
    <n v="1297.71458545984"/>
    <n v="4671.7725076554398"/>
  </r>
  <r>
    <x v="0"/>
    <x v="0"/>
    <x v="0"/>
    <x v="0"/>
    <x v="1"/>
    <x v="13"/>
    <x v="8"/>
    <x v="4"/>
    <x v="7"/>
    <s v="GNR_WT_WIND_ONS"/>
    <x v="1"/>
    <x v="2"/>
    <n v="51.553045175801998"/>
    <n v="12544.5743261118"/>
    <n v="45160.467574002498"/>
  </r>
  <r>
    <x v="0"/>
    <x v="0"/>
    <x v="0"/>
    <x v="0"/>
    <x v="1"/>
    <x v="13"/>
    <x v="8"/>
    <x v="4"/>
    <x v="7"/>
    <s v="GNR_WT_WIND_ONS"/>
    <x v="1"/>
    <x v="5"/>
    <n v="64.352421909104507"/>
    <n v="15659.0893312154"/>
    <n v="56372.721592375601"/>
  </r>
  <r>
    <x v="0"/>
    <x v="0"/>
    <x v="0"/>
    <x v="0"/>
    <x v="1"/>
    <x v="13"/>
    <x v="8"/>
    <x v="4"/>
    <x v="7"/>
    <s v="GNR_WT_WIND_ONS"/>
    <x v="1"/>
    <x v="11"/>
    <n v="53.686274631352397"/>
    <n v="13063.6601602958"/>
    <n v="47029.176577064703"/>
  </r>
  <r>
    <x v="0"/>
    <x v="0"/>
    <x v="0"/>
    <x v="0"/>
    <x v="1"/>
    <x v="13"/>
    <x v="8"/>
    <x v="4"/>
    <x v="7"/>
    <s v="GNR_WT_WIND_ONS"/>
    <x v="1"/>
    <x v="8"/>
    <n v="151.45929134407999"/>
    <n v="36855.094227059497"/>
    <n v="132678.339217414"/>
  </r>
  <r>
    <x v="0"/>
    <x v="0"/>
    <x v="0"/>
    <x v="0"/>
    <x v="1"/>
    <x v="14"/>
    <x v="5"/>
    <x v="1"/>
    <x v="1"/>
    <s v="GNR_BO_ELEC_E-99_LS-10-MW-FEED_PHH_Y-2030"/>
    <x v="2"/>
    <x v="6"/>
    <n v="-28.3838886556841"/>
    <n v="-6906.7462395498096"/>
    <n v="-24864.286462379299"/>
  </r>
  <r>
    <x v="0"/>
    <x v="0"/>
    <x v="0"/>
    <x v="0"/>
    <x v="1"/>
    <x v="14"/>
    <x v="5"/>
    <x v="1"/>
    <x v="1"/>
    <s v="GNR_BO_ELEC_E-99_LS-10-MW-FEED_PHH_Y-2030"/>
    <x v="2"/>
    <x v="7"/>
    <n v="-28.3838886556841"/>
    <n v="-6906.7462395498096"/>
    <n v="-24864.286462379299"/>
  </r>
  <r>
    <x v="0"/>
    <x v="0"/>
    <x v="0"/>
    <x v="0"/>
    <x v="1"/>
    <x v="14"/>
    <x v="5"/>
    <x v="1"/>
    <x v="1"/>
    <s v="GNR_BO_ELEC_E-99_LS-10-MW-FEED_PHH_Y-2030"/>
    <x v="2"/>
    <x v="0"/>
    <n v="-28.3838886556841"/>
    <n v="-6906.7462395498096"/>
    <n v="-24864.286462379299"/>
  </r>
  <r>
    <x v="0"/>
    <x v="0"/>
    <x v="0"/>
    <x v="0"/>
    <x v="1"/>
    <x v="15"/>
    <x v="8"/>
    <x v="4"/>
    <x v="7"/>
    <s v="GNR_WT_WIND_OFF"/>
    <x v="0"/>
    <x v="9"/>
    <n v="1105.3552794023899"/>
    <n v="268969.78465458099"/>
    <n v="968291.22475649102"/>
  </r>
  <r>
    <x v="0"/>
    <x v="0"/>
    <x v="0"/>
    <x v="0"/>
    <x v="1"/>
    <x v="15"/>
    <x v="8"/>
    <x v="4"/>
    <x v="7"/>
    <s v="GNR_WT_WIND_OFF"/>
    <x v="0"/>
    <x v="3"/>
    <n v="911.68191848145602"/>
    <n v="221842.60016382099"/>
    <n v="798633.36058975605"/>
  </r>
  <r>
    <x v="0"/>
    <x v="0"/>
    <x v="0"/>
    <x v="0"/>
    <x v="1"/>
    <x v="15"/>
    <x v="8"/>
    <x v="4"/>
    <x v="7"/>
    <s v="GNR_WT_WIND_OFF"/>
    <x v="0"/>
    <x v="10"/>
    <n v="1043.9466527689201"/>
    <n v="254027.01884043799"/>
    <n v="914497.26782557496"/>
  </r>
  <r>
    <x v="0"/>
    <x v="0"/>
    <x v="0"/>
    <x v="0"/>
    <x v="1"/>
    <x v="15"/>
    <x v="8"/>
    <x v="4"/>
    <x v="7"/>
    <s v="GNR_WT_WIND_OFF"/>
    <x v="0"/>
    <x v="4"/>
    <n v="929.00230035243396"/>
    <n v="226057.22641909201"/>
    <n v="813806.01510873204"/>
  </r>
  <r>
    <x v="0"/>
    <x v="0"/>
    <x v="0"/>
    <x v="0"/>
    <x v="1"/>
    <x v="15"/>
    <x v="8"/>
    <x v="4"/>
    <x v="7"/>
    <s v="GNR_WT_WIND_OFF"/>
    <x v="0"/>
    <x v="6"/>
    <n v="713.28481705025797"/>
    <n v="173565.97214889599"/>
    <n v="624837.49973602605"/>
  </r>
  <r>
    <x v="0"/>
    <x v="0"/>
    <x v="0"/>
    <x v="0"/>
    <x v="1"/>
    <x v="15"/>
    <x v="8"/>
    <x v="4"/>
    <x v="7"/>
    <s v="GNR_WT_WIND_OFF"/>
    <x v="0"/>
    <x v="7"/>
    <n v="253.50740738430801"/>
    <n v="61686.802463515"/>
    <n v="222072.48886865401"/>
  </r>
  <r>
    <x v="0"/>
    <x v="0"/>
    <x v="0"/>
    <x v="0"/>
    <x v="1"/>
    <x v="15"/>
    <x v="8"/>
    <x v="4"/>
    <x v="7"/>
    <s v="GNR_WT_WIND_OFF"/>
    <x v="0"/>
    <x v="0"/>
    <n v="207.84458245173099"/>
    <n v="50575.515063254497"/>
    <n v="182071.85422771599"/>
  </r>
  <r>
    <x v="0"/>
    <x v="0"/>
    <x v="0"/>
    <x v="0"/>
    <x v="1"/>
    <x v="15"/>
    <x v="8"/>
    <x v="4"/>
    <x v="7"/>
    <s v="GNR_WT_WIND_OFF"/>
    <x v="0"/>
    <x v="1"/>
    <n v="33.066183571866297"/>
    <n v="8046.1046691541296"/>
    <n v="28965.9768089549"/>
  </r>
  <r>
    <x v="0"/>
    <x v="0"/>
    <x v="0"/>
    <x v="0"/>
    <x v="1"/>
    <x v="15"/>
    <x v="8"/>
    <x v="4"/>
    <x v="7"/>
    <s v="GNR_WT_WIND_OFF"/>
    <x v="0"/>
    <x v="2"/>
    <n v="12.596641360711001"/>
    <n v="3065.1827311063398"/>
    <n v="11034.6578319828"/>
  </r>
  <r>
    <x v="0"/>
    <x v="0"/>
    <x v="0"/>
    <x v="0"/>
    <x v="1"/>
    <x v="15"/>
    <x v="8"/>
    <x v="4"/>
    <x v="7"/>
    <s v="GNR_WT_WIND_OFF"/>
    <x v="0"/>
    <x v="5"/>
    <n v="67.706947313821402"/>
    <n v="16475.357179696599"/>
    <n v="59311.285846907602"/>
  </r>
  <r>
    <x v="0"/>
    <x v="0"/>
    <x v="0"/>
    <x v="0"/>
    <x v="1"/>
    <x v="15"/>
    <x v="8"/>
    <x v="4"/>
    <x v="7"/>
    <s v="GNR_WT_WIND_OFF"/>
    <x v="0"/>
    <x v="11"/>
    <n v="251.932827214219"/>
    <n v="61303.654622126698"/>
    <n v="220693.15663965599"/>
  </r>
  <r>
    <x v="0"/>
    <x v="0"/>
    <x v="0"/>
    <x v="0"/>
    <x v="1"/>
    <x v="15"/>
    <x v="8"/>
    <x v="4"/>
    <x v="7"/>
    <s v="GNR_WT_WIND_OFF"/>
    <x v="0"/>
    <x v="8"/>
    <n v="110.220611906221"/>
    <n v="26820.3488971804"/>
    <n v="96553.256029849596"/>
  </r>
  <r>
    <x v="0"/>
    <x v="0"/>
    <x v="0"/>
    <x v="0"/>
    <x v="1"/>
    <x v="15"/>
    <x v="8"/>
    <x v="4"/>
    <x v="7"/>
    <s v="GNR_WT_WIND_OFF"/>
    <x v="2"/>
    <x v="9"/>
    <n v="565.27428106190496"/>
    <n v="137550.07505839699"/>
    <n v="495180.27021022799"/>
  </r>
  <r>
    <x v="0"/>
    <x v="0"/>
    <x v="0"/>
    <x v="0"/>
    <x v="1"/>
    <x v="15"/>
    <x v="8"/>
    <x v="4"/>
    <x v="7"/>
    <s v="GNR_WT_WIND_OFF"/>
    <x v="2"/>
    <x v="3"/>
    <n v="97.623970545510005"/>
    <n v="23755.166166074101"/>
    <n v="85518.598197866799"/>
  </r>
  <r>
    <x v="0"/>
    <x v="0"/>
    <x v="0"/>
    <x v="0"/>
    <x v="1"/>
    <x v="15"/>
    <x v="8"/>
    <x v="4"/>
    <x v="7"/>
    <s v="GNR_WT_WIND_OFF"/>
    <x v="2"/>
    <x v="10"/>
    <n v="464.50115017621698"/>
    <n v="113028.61320954601"/>
    <n v="406903.00755436602"/>
  </r>
  <r>
    <x v="0"/>
    <x v="0"/>
    <x v="0"/>
    <x v="0"/>
    <x v="1"/>
    <x v="15"/>
    <x v="8"/>
    <x v="4"/>
    <x v="7"/>
    <s v="GNR_WT_WIND_OFF"/>
    <x v="2"/>
    <x v="4"/>
    <n v="40.9390844223106"/>
    <n v="9961.8438760955905"/>
    <n v="35862.637953944097"/>
  </r>
  <r>
    <x v="0"/>
    <x v="0"/>
    <x v="0"/>
    <x v="0"/>
    <x v="1"/>
    <x v="15"/>
    <x v="8"/>
    <x v="4"/>
    <x v="7"/>
    <s v="GNR_WT_WIND_OFF"/>
    <x v="2"/>
    <x v="6"/>
    <n v="792.85784205940797"/>
    <n v="192928.74156778899"/>
    <n v="694543.46964404103"/>
  </r>
  <r>
    <x v="0"/>
    <x v="0"/>
    <x v="0"/>
    <x v="0"/>
    <x v="1"/>
    <x v="15"/>
    <x v="8"/>
    <x v="4"/>
    <x v="7"/>
    <s v="GNR_WT_WIND_OFF"/>
    <x v="2"/>
    <x v="7"/>
    <n v="1257.9461271170201"/>
    <n v="306100.22426514199"/>
    <n v="1101960.8073545101"/>
  </r>
  <r>
    <x v="0"/>
    <x v="0"/>
    <x v="0"/>
    <x v="0"/>
    <x v="1"/>
    <x v="15"/>
    <x v="8"/>
    <x v="4"/>
    <x v="7"/>
    <s v="GNR_WT_WIND_OFF"/>
    <x v="2"/>
    <x v="0"/>
    <n v="1031.3500114082101"/>
    <n v="250961.83610933099"/>
    <n v="903462.60999359202"/>
  </r>
  <r>
    <x v="0"/>
    <x v="0"/>
    <x v="0"/>
    <x v="0"/>
    <x v="1"/>
    <x v="15"/>
    <x v="8"/>
    <x v="4"/>
    <x v="7"/>
    <s v="GNR_WT_WIND_OFF"/>
    <x v="2"/>
    <x v="1"/>
    <n v="26.767862891510799"/>
    <n v="6513.5133036009602"/>
    <n v="23448.647892963501"/>
  </r>
  <r>
    <x v="0"/>
    <x v="0"/>
    <x v="0"/>
    <x v="0"/>
    <x v="1"/>
    <x v="15"/>
    <x v="8"/>
    <x v="4"/>
    <x v="7"/>
    <s v="GNR_WT_WIND_OFF"/>
    <x v="2"/>
    <x v="2"/>
    <n v="514.88771561906105"/>
    <n v="125289.344133971"/>
    <n v="451041.63888229697"/>
  </r>
  <r>
    <x v="0"/>
    <x v="0"/>
    <x v="0"/>
    <x v="0"/>
    <x v="1"/>
    <x v="15"/>
    <x v="8"/>
    <x v="4"/>
    <x v="7"/>
    <s v="GNR_WT_WIND_OFF"/>
    <x v="2"/>
    <x v="5"/>
    <n v="162.18175751915399"/>
    <n v="39464.227662994097"/>
    <n v="142071.21958677901"/>
  </r>
  <r>
    <x v="0"/>
    <x v="0"/>
    <x v="0"/>
    <x v="0"/>
    <x v="1"/>
    <x v="15"/>
    <x v="8"/>
    <x v="4"/>
    <x v="7"/>
    <s v="GNR_WT_WIND_OFF"/>
    <x v="2"/>
    <x v="11"/>
    <n v="148.01053598835401"/>
    <n v="36015.897090499398"/>
    <n v="129657.229525798"/>
  </r>
  <r>
    <x v="0"/>
    <x v="0"/>
    <x v="0"/>
    <x v="0"/>
    <x v="1"/>
    <x v="15"/>
    <x v="8"/>
    <x v="4"/>
    <x v="7"/>
    <s v="GNR_WT_WIND_OFF"/>
    <x v="2"/>
    <x v="8"/>
    <n v="362.15343912044"/>
    <n v="88124.003519307094"/>
    <n v="317246.41266950598"/>
  </r>
  <r>
    <x v="0"/>
    <x v="0"/>
    <x v="0"/>
    <x v="0"/>
    <x v="1"/>
    <x v="15"/>
    <x v="8"/>
    <x v="4"/>
    <x v="7"/>
    <s v="GNR_WT_WIND_OFF"/>
    <x v="1"/>
    <x v="9"/>
    <n v="1069.1399354903399"/>
    <n v="260157.38430265"/>
    <n v="936566.58348954096"/>
  </r>
  <r>
    <x v="0"/>
    <x v="0"/>
    <x v="0"/>
    <x v="0"/>
    <x v="1"/>
    <x v="15"/>
    <x v="8"/>
    <x v="4"/>
    <x v="7"/>
    <s v="GNR_WT_WIND_OFF"/>
    <x v="1"/>
    <x v="3"/>
    <n v="72.430687824088096"/>
    <n v="17624.800703861401"/>
    <n v="63449.282533901103"/>
  </r>
  <r>
    <x v="0"/>
    <x v="0"/>
    <x v="0"/>
    <x v="0"/>
    <x v="1"/>
    <x v="15"/>
    <x v="8"/>
    <x v="4"/>
    <x v="7"/>
    <s v="GNR_WT_WIND_OFF"/>
    <x v="1"/>
    <x v="10"/>
    <n v="429.86038643426201"/>
    <n v="104599.360699004"/>
    <n v="376557.69851641299"/>
  </r>
  <r>
    <x v="0"/>
    <x v="0"/>
    <x v="0"/>
    <x v="0"/>
    <x v="1"/>
    <x v="15"/>
    <x v="8"/>
    <x v="4"/>
    <x v="7"/>
    <s v="GNR_WT_WIND_OFF"/>
    <x v="1"/>
    <x v="4"/>
    <n v="124.39183343702101"/>
    <n v="30268.679469675099"/>
    <n v="108967.24609083"/>
  </r>
  <r>
    <x v="0"/>
    <x v="0"/>
    <x v="0"/>
    <x v="0"/>
    <x v="1"/>
    <x v="15"/>
    <x v="8"/>
    <x v="4"/>
    <x v="7"/>
    <s v="GNR_WT_WIND_OFF"/>
    <x v="1"/>
    <x v="6"/>
    <n v="29.9170232316885"/>
    <n v="7279.8089863775504"/>
    <n v="26207.312350959201"/>
  </r>
  <r>
    <x v="0"/>
    <x v="0"/>
    <x v="0"/>
    <x v="0"/>
    <x v="1"/>
    <x v="15"/>
    <x v="8"/>
    <x v="4"/>
    <x v="7"/>
    <s v="GNR_WT_WIND_OFF"/>
    <x v="1"/>
    <x v="7"/>
    <n v="736.90351960159103"/>
    <n v="179313.18976972101"/>
    <n v="645527.48317099398"/>
  </r>
  <r>
    <x v="0"/>
    <x v="0"/>
    <x v="0"/>
    <x v="0"/>
    <x v="1"/>
    <x v="15"/>
    <x v="8"/>
    <x v="4"/>
    <x v="7"/>
    <s v="GNR_WT_WIND_OFF"/>
    <x v="1"/>
    <x v="0"/>
    <n v="70.856107653999203"/>
    <n v="17241.6528624731"/>
    <n v="62069.950304903301"/>
  </r>
  <r>
    <x v="0"/>
    <x v="0"/>
    <x v="0"/>
    <x v="0"/>
    <x v="1"/>
    <x v="15"/>
    <x v="8"/>
    <x v="4"/>
    <x v="7"/>
    <s v="GNR_WT_WIND_OFF"/>
    <x v="1"/>
    <x v="1"/>
    <n v="23.618702551333101"/>
    <n v="5747.21762082438"/>
    <n v="20689.983434967799"/>
  </r>
  <r>
    <x v="0"/>
    <x v="0"/>
    <x v="0"/>
    <x v="0"/>
    <x v="1"/>
    <x v="15"/>
    <x v="8"/>
    <x v="4"/>
    <x v="7"/>
    <s v="GNR_WT_WIND_OFF"/>
    <x v="1"/>
    <x v="2"/>
    <n v="228.314124662886"/>
    <n v="55556.4370013023"/>
    <n v="200003.17320468801"/>
  </r>
  <r>
    <x v="0"/>
    <x v="0"/>
    <x v="0"/>
    <x v="0"/>
    <x v="1"/>
    <x v="15"/>
    <x v="8"/>
    <x v="4"/>
    <x v="7"/>
    <s v="GNR_WT_WIND_OFF"/>
    <x v="1"/>
    <x v="5"/>
    <n v="284.99901078608599"/>
    <n v="69349.759291280803"/>
    <n v="249659.13344861101"/>
  </r>
  <r>
    <x v="0"/>
    <x v="0"/>
    <x v="0"/>
    <x v="0"/>
    <x v="1"/>
    <x v="15"/>
    <x v="8"/>
    <x v="4"/>
    <x v="7"/>
    <s v="GNR_WT_WIND_OFF"/>
    <x v="1"/>
    <x v="11"/>
    <n v="237.76160568341899"/>
    <n v="57855.324049632101"/>
    <n v="208279.16657867501"/>
  </r>
  <r>
    <x v="0"/>
    <x v="0"/>
    <x v="0"/>
    <x v="0"/>
    <x v="1"/>
    <x v="15"/>
    <x v="8"/>
    <x v="4"/>
    <x v="7"/>
    <s v="GNR_WT_WIND_OFF"/>
    <x v="1"/>
    <x v="8"/>
    <n v="670.77115245785899"/>
    <n v="163220.980431412"/>
    <n v="587595.52955308498"/>
  </r>
  <r>
    <x v="0"/>
    <x v="0"/>
    <x v="0"/>
    <x v="0"/>
    <x v="1"/>
    <x v="16"/>
    <x v="1"/>
    <x v="0"/>
    <x v="0"/>
    <s v="GNR_CC_NGAS_BP_E-53_SS-10-MW_Y-2030"/>
    <x v="0"/>
    <x v="3"/>
    <n v="60.045449663168803"/>
    <n v="14611.059418037699"/>
    <n v="52599.813904935902"/>
  </r>
  <r>
    <x v="0"/>
    <x v="0"/>
    <x v="0"/>
    <x v="0"/>
    <x v="1"/>
    <x v="16"/>
    <x v="1"/>
    <x v="0"/>
    <x v="0"/>
    <s v="GNR_CC_NGAS_BP_E-53_SS-10-MW_Y-2030"/>
    <x v="0"/>
    <x v="4"/>
    <n v="60.045449663168803"/>
    <n v="14611.059418037699"/>
    <n v="52599.813904935902"/>
  </r>
  <r>
    <x v="0"/>
    <x v="0"/>
    <x v="0"/>
    <x v="0"/>
    <x v="1"/>
    <x v="16"/>
    <x v="1"/>
    <x v="0"/>
    <x v="0"/>
    <s v="GNR_CC_NGAS_BP_E-53_SS-10-MW_Y-2030"/>
    <x v="0"/>
    <x v="6"/>
    <n v="17.563884667979899"/>
    <n v="4273.8786025417703"/>
    <n v="15385.9629691504"/>
  </r>
  <r>
    <x v="0"/>
    <x v="0"/>
    <x v="0"/>
    <x v="0"/>
    <x v="1"/>
    <x v="16"/>
    <x v="1"/>
    <x v="0"/>
    <x v="0"/>
    <s v="GNR_CC_NGAS_BP_E-53_SS-10-MW_Y-2030"/>
    <x v="0"/>
    <x v="7"/>
    <n v="60.045449663168803"/>
    <n v="14611.059418037699"/>
    <n v="52599.813904935902"/>
  </r>
  <r>
    <x v="0"/>
    <x v="0"/>
    <x v="0"/>
    <x v="0"/>
    <x v="1"/>
    <x v="16"/>
    <x v="1"/>
    <x v="0"/>
    <x v="0"/>
    <s v="GNR_CC_NGAS_BP_E-53_SS-10-MW_Y-2030"/>
    <x v="0"/>
    <x v="0"/>
    <n v="60.045449663168803"/>
    <n v="14611.059418037699"/>
    <n v="52599.813904935902"/>
  </r>
  <r>
    <x v="0"/>
    <x v="0"/>
    <x v="0"/>
    <x v="0"/>
    <x v="1"/>
    <x v="16"/>
    <x v="1"/>
    <x v="0"/>
    <x v="0"/>
    <s v="GNR_CC_NGAS_BP_E-53_SS-10-MW_Y-2030"/>
    <x v="0"/>
    <x v="1"/>
    <n v="60.045449663168803"/>
    <n v="14611.059418037699"/>
    <n v="52599.813904935902"/>
  </r>
  <r>
    <x v="0"/>
    <x v="0"/>
    <x v="0"/>
    <x v="0"/>
    <x v="1"/>
    <x v="16"/>
    <x v="1"/>
    <x v="0"/>
    <x v="0"/>
    <s v="GNR_CC_NGAS_BP_E-53_SS-10-MW_Y-2030"/>
    <x v="0"/>
    <x v="2"/>
    <n v="60.045449663168803"/>
    <n v="14611.059418037699"/>
    <n v="52599.813904935902"/>
  </r>
  <r>
    <x v="0"/>
    <x v="0"/>
    <x v="0"/>
    <x v="0"/>
    <x v="1"/>
    <x v="16"/>
    <x v="1"/>
    <x v="0"/>
    <x v="0"/>
    <s v="GNR_CC_NGAS_BP_E-53_SS-10-MW_Y-2030"/>
    <x v="0"/>
    <x v="5"/>
    <n v="60.045449663168803"/>
    <n v="14611.059418037699"/>
    <n v="52599.813904935902"/>
  </r>
  <r>
    <x v="0"/>
    <x v="0"/>
    <x v="0"/>
    <x v="0"/>
    <x v="1"/>
    <x v="16"/>
    <x v="1"/>
    <x v="0"/>
    <x v="0"/>
    <s v="GNR_CC_NGAS_BP_E-53_SS-10-MW_Y-2030"/>
    <x v="0"/>
    <x v="11"/>
    <n v="60.045449663168803"/>
    <n v="14611.059418037699"/>
    <n v="52599.813904935902"/>
  </r>
  <r>
    <x v="0"/>
    <x v="0"/>
    <x v="0"/>
    <x v="0"/>
    <x v="1"/>
    <x v="16"/>
    <x v="1"/>
    <x v="0"/>
    <x v="0"/>
    <s v="GNR_CC_NGAS_BP_E-53_SS-10-MW_Y-2030"/>
    <x v="0"/>
    <x v="8"/>
    <n v="60.045449663168803"/>
    <n v="14611.059418037699"/>
    <n v="52599.813904935902"/>
  </r>
  <r>
    <x v="0"/>
    <x v="0"/>
    <x v="0"/>
    <x v="0"/>
    <x v="1"/>
    <x v="16"/>
    <x v="1"/>
    <x v="0"/>
    <x v="0"/>
    <s v="GNR_CC_NGAS_BP_E-53_SS-10-MW_Y-2030"/>
    <x v="2"/>
    <x v="3"/>
    <n v="60.045449663168803"/>
    <n v="14611.059418037699"/>
    <n v="52599.813904935902"/>
  </r>
  <r>
    <x v="0"/>
    <x v="0"/>
    <x v="0"/>
    <x v="0"/>
    <x v="1"/>
    <x v="16"/>
    <x v="1"/>
    <x v="0"/>
    <x v="0"/>
    <s v="GNR_CC_NGAS_BP_E-53_SS-10-MW_Y-2030"/>
    <x v="2"/>
    <x v="10"/>
    <n v="60.045449663168803"/>
    <n v="14611.059418037699"/>
    <n v="52599.813904935902"/>
  </r>
  <r>
    <x v="0"/>
    <x v="0"/>
    <x v="0"/>
    <x v="0"/>
    <x v="1"/>
    <x v="16"/>
    <x v="1"/>
    <x v="0"/>
    <x v="0"/>
    <s v="GNR_CC_NGAS_BP_E-53_SS-10-MW_Y-2030"/>
    <x v="2"/>
    <x v="4"/>
    <n v="60.045449663168803"/>
    <n v="14611.059418037699"/>
    <n v="52599.813904935902"/>
  </r>
  <r>
    <x v="0"/>
    <x v="0"/>
    <x v="0"/>
    <x v="0"/>
    <x v="1"/>
    <x v="16"/>
    <x v="1"/>
    <x v="0"/>
    <x v="0"/>
    <s v="GNR_CC_NGAS_BP_E-53_SS-10-MW_Y-2030"/>
    <x v="2"/>
    <x v="1"/>
    <n v="60.045449663168803"/>
    <n v="14611.059418037699"/>
    <n v="52599.813904935902"/>
  </r>
  <r>
    <x v="0"/>
    <x v="0"/>
    <x v="0"/>
    <x v="0"/>
    <x v="1"/>
    <x v="16"/>
    <x v="1"/>
    <x v="0"/>
    <x v="0"/>
    <s v="GNR_CC_NGAS_BP_E-53_SS-10-MW_Y-2030"/>
    <x v="2"/>
    <x v="2"/>
    <n v="60.045449663168803"/>
    <n v="14611.059418037699"/>
    <n v="52599.813904935902"/>
  </r>
  <r>
    <x v="0"/>
    <x v="0"/>
    <x v="0"/>
    <x v="0"/>
    <x v="1"/>
    <x v="16"/>
    <x v="1"/>
    <x v="0"/>
    <x v="0"/>
    <s v="GNR_CC_NGAS_BP_E-53_SS-10-MW_Y-2030"/>
    <x v="2"/>
    <x v="11"/>
    <n v="60.045449663168803"/>
    <n v="14611.059418037699"/>
    <n v="52599.813904935902"/>
  </r>
  <r>
    <x v="0"/>
    <x v="0"/>
    <x v="0"/>
    <x v="0"/>
    <x v="1"/>
    <x v="16"/>
    <x v="1"/>
    <x v="0"/>
    <x v="0"/>
    <s v="GNR_CC_NGAS_BP_E-53_SS-10-MW_Y-2030"/>
    <x v="1"/>
    <x v="3"/>
    <n v="60.045449663168803"/>
    <n v="14611.059418037699"/>
    <n v="52599.813904935902"/>
  </r>
  <r>
    <x v="0"/>
    <x v="0"/>
    <x v="0"/>
    <x v="0"/>
    <x v="1"/>
    <x v="16"/>
    <x v="1"/>
    <x v="0"/>
    <x v="0"/>
    <s v="GNR_CC_NGAS_BP_E-53_SS-10-MW_Y-2030"/>
    <x v="1"/>
    <x v="10"/>
    <n v="60.045449663168803"/>
    <n v="14611.059418037699"/>
    <n v="52599.813904935902"/>
  </r>
  <r>
    <x v="0"/>
    <x v="0"/>
    <x v="0"/>
    <x v="0"/>
    <x v="1"/>
    <x v="16"/>
    <x v="1"/>
    <x v="0"/>
    <x v="0"/>
    <s v="GNR_CC_NGAS_BP_E-53_SS-10-MW_Y-2030"/>
    <x v="1"/>
    <x v="4"/>
    <n v="60.045449663168803"/>
    <n v="14611.059418037699"/>
    <n v="52599.813904935902"/>
  </r>
  <r>
    <x v="0"/>
    <x v="0"/>
    <x v="0"/>
    <x v="0"/>
    <x v="1"/>
    <x v="16"/>
    <x v="1"/>
    <x v="0"/>
    <x v="0"/>
    <s v="GNR_CC_NGAS_BP_E-53_SS-10-MW_Y-2030"/>
    <x v="1"/>
    <x v="6"/>
    <n v="60.045449663168803"/>
    <n v="14611.059418037699"/>
    <n v="52599.813904935902"/>
  </r>
  <r>
    <x v="0"/>
    <x v="0"/>
    <x v="0"/>
    <x v="0"/>
    <x v="1"/>
    <x v="16"/>
    <x v="1"/>
    <x v="0"/>
    <x v="0"/>
    <s v="GNR_CC_NGAS_BP_E-53_SS-10-MW_Y-2030"/>
    <x v="1"/>
    <x v="7"/>
    <n v="60.045449663168803"/>
    <n v="14611.059418037699"/>
    <n v="52599.813904935902"/>
  </r>
  <r>
    <x v="0"/>
    <x v="0"/>
    <x v="0"/>
    <x v="0"/>
    <x v="1"/>
    <x v="16"/>
    <x v="1"/>
    <x v="0"/>
    <x v="0"/>
    <s v="GNR_CC_NGAS_BP_E-53_SS-10-MW_Y-2030"/>
    <x v="1"/>
    <x v="0"/>
    <n v="60.045449663168803"/>
    <n v="14611.059418037699"/>
    <n v="52599.813904935902"/>
  </r>
  <r>
    <x v="0"/>
    <x v="0"/>
    <x v="0"/>
    <x v="0"/>
    <x v="1"/>
    <x v="16"/>
    <x v="1"/>
    <x v="0"/>
    <x v="0"/>
    <s v="GNR_CC_NGAS_BP_E-53_SS-10-MW_Y-2030"/>
    <x v="1"/>
    <x v="1"/>
    <n v="60.045449663168803"/>
    <n v="14611.059418037699"/>
    <n v="52599.813904935902"/>
  </r>
  <r>
    <x v="0"/>
    <x v="0"/>
    <x v="0"/>
    <x v="0"/>
    <x v="1"/>
    <x v="16"/>
    <x v="1"/>
    <x v="0"/>
    <x v="0"/>
    <s v="GNR_CC_NGAS_BP_E-53_SS-10-MW_Y-2030"/>
    <x v="1"/>
    <x v="2"/>
    <n v="60.045449663168803"/>
    <n v="14611.059418037699"/>
    <n v="52599.813904935902"/>
  </r>
  <r>
    <x v="0"/>
    <x v="0"/>
    <x v="0"/>
    <x v="0"/>
    <x v="1"/>
    <x v="16"/>
    <x v="1"/>
    <x v="0"/>
    <x v="0"/>
    <s v="GNR_CC_NGAS_BP_E-53_SS-10-MW_Y-2030"/>
    <x v="1"/>
    <x v="5"/>
    <n v="60.045449663168803"/>
    <n v="14611.059418037699"/>
    <n v="52599.813904935902"/>
  </r>
  <r>
    <x v="0"/>
    <x v="0"/>
    <x v="0"/>
    <x v="0"/>
    <x v="1"/>
    <x v="16"/>
    <x v="1"/>
    <x v="0"/>
    <x v="0"/>
    <s v="GNR_CC_NGAS_BP_E-53_SS-10-MW_Y-2030"/>
    <x v="1"/>
    <x v="11"/>
    <n v="60.045449663168803"/>
    <n v="14611.059418037699"/>
    <n v="52599.813904935902"/>
  </r>
  <r>
    <x v="0"/>
    <x v="0"/>
    <x v="0"/>
    <x v="0"/>
    <x v="1"/>
    <x v="16"/>
    <x v="0"/>
    <x v="0"/>
    <x v="0"/>
    <s v="GNR_ENG_BGAS_BP_E-40"/>
    <x v="0"/>
    <x v="0"/>
    <n v="0.53"/>
    <n v="128.96666666666701"/>
    <n v="464.28"/>
  </r>
  <r>
    <x v="0"/>
    <x v="0"/>
    <x v="0"/>
    <x v="0"/>
    <x v="1"/>
    <x v="16"/>
    <x v="0"/>
    <x v="0"/>
    <x v="0"/>
    <s v="GNR_ENG_BGAS_BP_E-40"/>
    <x v="0"/>
    <x v="1"/>
    <n v="0.53"/>
    <n v="128.96666666666701"/>
    <n v="464.28"/>
  </r>
  <r>
    <x v="0"/>
    <x v="0"/>
    <x v="0"/>
    <x v="0"/>
    <x v="1"/>
    <x v="16"/>
    <x v="0"/>
    <x v="0"/>
    <x v="0"/>
    <s v="GNR_ENG_BGAS_BP_E-40"/>
    <x v="0"/>
    <x v="2"/>
    <n v="0.53"/>
    <n v="128.96666666666701"/>
    <n v="464.28"/>
  </r>
  <r>
    <x v="0"/>
    <x v="0"/>
    <x v="0"/>
    <x v="0"/>
    <x v="1"/>
    <x v="16"/>
    <x v="0"/>
    <x v="0"/>
    <x v="0"/>
    <s v="GNR_ENG_BGAS_BP_E-40"/>
    <x v="1"/>
    <x v="3"/>
    <n v="0.53"/>
    <n v="128.96666666666701"/>
    <n v="464.28"/>
  </r>
  <r>
    <x v="0"/>
    <x v="0"/>
    <x v="0"/>
    <x v="0"/>
    <x v="1"/>
    <x v="16"/>
    <x v="0"/>
    <x v="0"/>
    <x v="0"/>
    <s v="GNR_ENG_BGAS_BP_E-40"/>
    <x v="1"/>
    <x v="4"/>
    <n v="0.53"/>
    <n v="128.96666666666701"/>
    <n v="464.28"/>
  </r>
  <r>
    <x v="0"/>
    <x v="0"/>
    <x v="0"/>
    <x v="0"/>
    <x v="1"/>
    <x v="16"/>
    <x v="0"/>
    <x v="0"/>
    <x v="0"/>
    <s v="GNR_ENG_BGAS_BP_E-40"/>
    <x v="1"/>
    <x v="0"/>
    <n v="0.53"/>
    <n v="128.96666666666701"/>
    <n v="464.28"/>
  </r>
  <r>
    <x v="0"/>
    <x v="0"/>
    <x v="0"/>
    <x v="0"/>
    <x v="1"/>
    <x v="16"/>
    <x v="0"/>
    <x v="0"/>
    <x v="0"/>
    <s v="GNR_ENG_BGAS_BP_E-40"/>
    <x v="1"/>
    <x v="2"/>
    <n v="0.53"/>
    <n v="128.96666666666701"/>
    <n v="464.28"/>
  </r>
  <r>
    <x v="0"/>
    <x v="0"/>
    <x v="0"/>
    <x v="0"/>
    <x v="1"/>
    <x v="16"/>
    <x v="0"/>
    <x v="0"/>
    <x v="0"/>
    <s v="GNR_ENG_BGAS_BP_E-41"/>
    <x v="0"/>
    <x v="0"/>
    <n v="2"/>
    <n v="486.66666666666703"/>
    <n v="1752"/>
  </r>
  <r>
    <x v="0"/>
    <x v="0"/>
    <x v="0"/>
    <x v="0"/>
    <x v="1"/>
    <x v="16"/>
    <x v="0"/>
    <x v="0"/>
    <x v="0"/>
    <s v="GNR_ENG_BGAS_BP_E-41"/>
    <x v="0"/>
    <x v="1"/>
    <n v="2"/>
    <n v="486.66666666666703"/>
    <n v="1752"/>
  </r>
  <r>
    <x v="0"/>
    <x v="0"/>
    <x v="0"/>
    <x v="0"/>
    <x v="1"/>
    <x v="16"/>
    <x v="0"/>
    <x v="0"/>
    <x v="0"/>
    <s v="GNR_ENG_BGAS_BP_E-41"/>
    <x v="0"/>
    <x v="2"/>
    <n v="2"/>
    <n v="486.66666666666703"/>
    <n v="1752"/>
  </r>
  <r>
    <x v="0"/>
    <x v="0"/>
    <x v="0"/>
    <x v="0"/>
    <x v="1"/>
    <x v="16"/>
    <x v="0"/>
    <x v="0"/>
    <x v="0"/>
    <s v="GNR_ENG_BGAS_BP_E-41"/>
    <x v="1"/>
    <x v="3"/>
    <n v="2"/>
    <n v="486.66666666666703"/>
    <n v="1752"/>
  </r>
  <r>
    <x v="0"/>
    <x v="0"/>
    <x v="0"/>
    <x v="0"/>
    <x v="1"/>
    <x v="16"/>
    <x v="0"/>
    <x v="0"/>
    <x v="0"/>
    <s v="GNR_ENG_BGAS_BP_E-41"/>
    <x v="1"/>
    <x v="4"/>
    <n v="2"/>
    <n v="486.66666666666703"/>
    <n v="1752"/>
  </r>
  <r>
    <x v="0"/>
    <x v="0"/>
    <x v="0"/>
    <x v="0"/>
    <x v="1"/>
    <x v="16"/>
    <x v="0"/>
    <x v="0"/>
    <x v="0"/>
    <s v="GNR_ENG_BGAS_BP_E-41"/>
    <x v="1"/>
    <x v="0"/>
    <n v="2"/>
    <n v="486.66666666666703"/>
    <n v="1752"/>
  </r>
  <r>
    <x v="0"/>
    <x v="0"/>
    <x v="0"/>
    <x v="0"/>
    <x v="1"/>
    <x v="16"/>
    <x v="0"/>
    <x v="0"/>
    <x v="0"/>
    <s v="GNR_ENG_BGAS_BP_E-41"/>
    <x v="1"/>
    <x v="2"/>
    <n v="2"/>
    <n v="486.66666666666703"/>
    <n v="1752"/>
  </r>
  <r>
    <x v="0"/>
    <x v="0"/>
    <x v="0"/>
    <x v="0"/>
    <x v="1"/>
    <x v="16"/>
    <x v="0"/>
    <x v="0"/>
    <x v="0"/>
    <s v="GNR_ENG_BGAS_BP_E-42"/>
    <x v="0"/>
    <x v="0"/>
    <n v="5.734"/>
    <n v="1395.2733333333299"/>
    <n v="5022.9840000000004"/>
  </r>
  <r>
    <x v="0"/>
    <x v="0"/>
    <x v="0"/>
    <x v="0"/>
    <x v="1"/>
    <x v="16"/>
    <x v="0"/>
    <x v="0"/>
    <x v="0"/>
    <s v="GNR_ENG_BGAS_BP_E-42"/>
    <x v="0"/>
    <x v="1"/>
    <n v="5.734"/>
    <n v="1395.2733333333299"/>
    <n v="5022.9840000000004"/>
  </r>
  <r>
    <x v="0"/>
    <x v="0"/>
    <x v="0"/>
    <x v="0"/>
    <x v="1"/>
    <x v="16"/>
    <x v="0"/>
    <x v="0"/>
    <x v="0"/>
    <s v="GNR_ENG_BGAS_BP_E-42"/>
    <x v="0"/>
    <x v="2"/>
    <n v="5.734"/>
    <n v="1395.2733333333299"/>
    <n v="5022.9840000000004"/>
  </r>
  <r>
    <x v="0"/>
    <x v="0"/>
    <x v="0"/>
    <x v="0"/>
    <x v="1"/>
    <x v="16"/>
    <x v="0"/>
    <x v="0"/>
    <x v="0"/>
    <s v="GNR_ENG_BGAS_BP_E-42"/>
    <x v="1"/>
    <x v="3"/>
    <n v="5.734"/>
    <n v="1395.2733333333299"/>
    <n v="5022.9840000000004"/>
  </r>
  <r>
    <x v="0"/>
    <x v="0"/>
    <x v="0"/>
    <x v="0"/>
    <x v="1"/>
    <x v="16"/>
    <x v="0"/>
    <x v="0"/>
    <x v="0"/>
    <s v="GNR_ENG_BGAS_BP_E-42"/>
    <x v="1"/>
    <x v="4"/>
    <n v="5.734"/>
    <n v="1395.2733333333299"/>
    <n v="5022.9840000000004"/>
  </r>
  <r>
    <x v="0"/>
    <x v="0"/>
    <x v="0"/>
    <x v="0"/>
    <x v="1"/>
    <x v="16"/>
    <x v="0"/>
    <x v="0"/>
    <x v="0"/>
    <s v="GNR_ENG_BGAS_BP_E-42"/>
    <x v="1"/>
    <x v="0"/>
    <n v="5.734"/>
    <n v="1395.2733333333299"/>
    <n v="5022.9840000000004"/>
  </r>
  <r>
    <x v="0"/>
    <x v="0"/>
    <x v="0"/>
    <x v="0"/>
    <x v="1"/>
    <x v="16"/>
    <x v="0"/>
    <x v="0"/>
    <x v="0"/>
    <s v="GNR_ENG_BGAS_BP_E-42"/>
    <x v="1"/>
    <x v="2"/>
    <n v="5.734"/>
    <n v="1395.2733333333299"/>
    <n v="5022.9840000000004"/>
  </r>
  <r>
    <x v="0"/>
    <x v="0"/>
    <x v="0"/>
    <x v="0"/>
    <x v="1"/>
    <x v="16"/>
    <x v="1"/>
    <x v="0"/>
    <x v="0"/>
    <s v="GNR_ENG_NGAS_BP_E-36"/>
    <x v="0"/>
    <x v="0"/>
    <n v="0.28499999999999998"/>
    <n v="69.349999999999994"/>
    <n v="249.66"/>
  </r>
  <r>
    <x v="0"/>
    <x v="0"/>
    <x v="0"/>
    <x v="0"/>
    <x v="1"/>
    <x v="16"/>
    <x v="1"/>
    <x v="0"/>
    <x v="0"/>
    <s v="GNR_ENG_NGAS_BP_E-36"/>
    <x v="0"/>
    <x v="1"/>
    <n v="0.28499999999999998"/>
    <n v="69.349999999999994"/>
    <n v="249.66"/>
  </r>
  <r>
    <x v="0"/>
    <x v="0"/>
    <x v="0"/>
    <x v="0"/>
    <x v="1"/>
    <x v="16"/>
    <x v="1"/>
    <x v="0"/>
    <x v="0"/>
    <s v="GNR_ENG_NGAS_BP_E-36"/>
    <x v="0"/>
    <x v="2"/>
    <n v="0.28499999999999998"/>
    <n v="69.349999999999994"/>
    <n v="249.66"/>
  </r>
  <r>
    <x v="0"/>
    <x v="0"/>
    <x v="0"/>
    <x v="0"/>
    <x v="1"/>
    <x v="16"/>
    <x v="1"/>
    <x v="0"/>
    <x v="0"/>
    <s v="GNR_ENG_NGAS_BP_E-36"/>
    <x v="1"/>
    <x v="3"/>
    <n v="0.28499999999999998"/>
    <n v="69.349999999999994"/>
    <n v="249.66"/>
  </r>
  <r>
    <x v="0"/>
    <x v="0"/>
    <x v="0"/>
    <x v="0"/>
    <x v="1"/>
    <x v="16"/>
    <x v="1"/>
    <x v="0"/>
    <x v="0"/>
    <s v="GNR_ENG_NGAS_BP_E-36"/>
    <x v="1"/>
    <x v="4"/>
    <n v="0.28499999999999998"/>
    <n v="69.349999999999994"/>
    <n v="249.66"/>
  </r>
  <r>
    <x v="0"/>
    <x v="0"/>
    <x v="0"/>
    <x v="0"/>
    <x v="1"/>
    <x v="16"/>
    <x v="1"/>
    <x v="0"/>
    <x v="0"/>
    <s v="GNR_ENG_NGAS_BP_E-36"/>
    <x v="1"/>
    <x v="0"/>
    <n v="0.28499999999999998"/>
    <n v="69.349999999999994"/>
    <n v="249.66"/>
  </r>
  <r>
    <x v="0"/>
    <x v="0"/>
    <x v="0"/>
    <x v="0"/>
    <x v="1"/>
    <x v="16"/>
    <x v="1"/>
    <x v="0"/>
    <x v="0"/>
    <s v="GNR_ENG_NGAS_BP_E-36"/>
    <x v="1"/>
    <x v="2"/>
    <n v="0.28499999999999998"/>
    <n v="69.349999999999994"/>
    <n v="249.66"/>
  </r>
  <r>
    <x v="0"/>
    <x v="0"/>
    <x v="0"/>
    <x v="0"/>
    <x v="1"/>
    <x v="16"/>
    <x v="1"/>
    <x v="0"/>
    <x v="0"/>
    <s v="GNR_ENG_NGAS_BP_E-38"/>
    <x v="0"/>
    <x v="0"/>
    <n v="0.38500000000000001"/>
    <n v="93.683333333333294"/>
    <n v="337.26"/>
  </r>
  <r>
    <x v="0"/>
    <x v="0"/>
    <x v="0"/>
    <x v="0"/>
    <x v="1"/>
    <x v="16"/>
    <x v="1"/>
    <x v="0"/>
    <x v="0"/>
    <s v="GNR_ENG_NGAS_BP_E-38"/>
    <x v="0"/>
    <x v="1"/>
    <n v="0.38500000000000001"/>
    <n v="93.683333333333294"/>
    <n v="337.26"/>
  </r>
  <r>
    <x v="0"/>
    <x v="0"/>
    <x v="0"/>
    <x v="0"/>
    <x v="1"/>
    <x v="16"/>
    <x v="1"/>
    <x v="0"/>
    <x v="0"/>
    <s v="GNR_ENG_NGAS_BP_E-38"/>
    <x v="0"/>
    <x v="2"/>
    <n v="0.38500000000000001"/>
    <n v="93.683333333333294"/>
    <n v="337.26"/>
  </r>
  <r>
    <x v="0"/>
    <x v="0"/>
    <x v="0"/>
    <x v="0"/>
    <x v="1"/>
    <x v="16"/>
    <x v="1"/>
    <x v="0"/>
    <x v="0"/>
    <s v="GNR_ENG_NGAS_BP_E-38"/>
    <x v="1"/>
    <x v="3"/>
    <n v="0.38500000000000001"/>
    <n v="93.683333333333294"/>
    <n v="337.26"/>
  </r>
  <r>
    <x v="0"/>
    <x v="0"/>
    <x v="0"/>
    <x v="0"/>
    <x v="1"/>
    <x v="16"/>
    <x v="1"/>
    <x v="0"/>
    <x v="0"/>
    <s v="GNR_ENG_NGAS_BP_E-38"/>
    <x v="1"/>
    <x v="4"/>
    <n v="0.38500000000000001"/>
    <n v="93.683333333333294"/>
    <n v="337.26"/>
  </r>
  <r>
    <x v="0"/>
    <x v="0"/>
    <x v="0"/>
    <x v="0"/>
    <x v="1"/>
    <x v="16"/>
    <x v="1"/>
    <x v="0"/>
    <x v="0"/>
    <s v="GNR_ENG_NGAS_BP_E-38"/>
    <x v="1"/>
    <x v="6"/>
    <n v="0.38500000000000001"/>
    <n v="93.683333333333294"/>
    <n v="337.26"/>
  </r>
  <r>
    <x v="0"/>
    <x v="0"/>
    <x v="0"/>
    <x v="0"/>
    <x v="1"/>
    <x v="16"/>
    <x v="1"/>
    <x v="0"/>
    <x v="0"/>
    <s v="GNR_ENG_NGAS_BP_E-38"/>
    <x v="1"/>
    <x v="0"/>
    <n v="0.38500000000000001"/>
    <n v="93.683333333333294"/>
    <n v="337.26"/>
  </r>
  <r>
    <x v="0"/>
    <x v="0"/>
    <x v="0"/>
    <x v="0"/>
    <x v="1"/>
    <x v="16"/>
    <x v="1"/>
    <x v="0"/>
    <x v="0"/>
    <s v="GNR_ENG_NGAS_BP_E-38"/>
    <x v="1"/>
    <x v="1"/>
    <n v="0.38500000000000001"/>
    <n v="93.683333333333294"/>
    <n v="337.26"/>
  </r>
  <r>
    <x v="0"/>
    <x v="0"/>
    <x v="0"/>
    <x v="0"/>
    <x v="1"/>
    <x v="16"/>
    <x v="1"/>
    <x v="0"/>
    <x v="0"/>
    <s v="GNR_ENG_NGAS_BP_E-38"/>
    <x v="1"/>
    <x v="2"/>
    <n v="0.38500000000000001"/>
    <n v="93.683333333333294"/>
    <n v="337.26"/>
  </r>
  <r>
    <x v="0"/>
    <x v="0"/>
    <x v="0"/>
    <x v="0"/>
    <x v="1"/>
    <x v="16"/>
    <x v="1"/>
    <x v="0"/>
    <x v="0"/>
    <s v="GNR_ENG_NGAS_BP_E-40"/>
    <x v="0"/>
    <x v="7"/>
    <n v="8.5"/>
    <n v="2068.3333333333298"/>
    <n v="7446"/>
  </r>
  <r>
    <x v="0"/>
    <x v="0"/>
    <x v="0"/>
    <x v="0"/>
    <x v="1"/>
    <x v="16"/>
    <x v="1"/>
    <x v="0"/>
    <x v="0"/>
    <s v="GNR_ENG_NGAS_BP_E-40"/>
    <x v="0"/>
    <x v="0"/>
    <n v="8.5"/>
    <n v="2068.3333333333298"/>
    <n v="7446"/>
  </r>
  <r>
    <x v="0"/>
    <x v="0"/>
    <x v="0"/>
    <x v="0"/>
    <x v="1"/>
    <x v="16"/>
    <x v="1"/>
    <x v="0"/>
    <x v="0"/>
    <s v="GNR_ENG_NGAS_BP_E-40"/>
    <x v="0"/>
    <x v="1"/>
    <n v="8.5"/>
    <n v="2068.3333333333298"/>
    <n v="7446"/>
  </r>
  <r>
    <x v="0"/>
    <x v="0"/>
    <x v="0"/>
    <x v="0"/>
    <x v="1"/>
    <x v="16"/>
    <x v="1"/>
    <x v="0"/>
    <x v="0"/>
    <s v="GNR_ENG_NGAS_BP_E-40"/>
    <x v="0"/>
    <x v="2"/>
    <n v="8.5"/>
    <n v="2068.3333333333298"/>
    <n v="7446"/>
  </r>
  <r>
    <x v="0"/>
    <x v="0"/>
    <x v="0"/>
    <x v="0"/>
    <x v="1"/>
    <x v="16"/>
    <x v="1"/>
    <x v="0"/>
    <x v="0"/>
    <s v="GNR_ENG_NGAS_BP_E-40"/>
    <x v="0"/>
    <x v="5"/>
    <n v="8.5"/>
    <n v="2068.3333333333298"/>
    <n v="7446"/>
  </r>
  <r>
    <x v="0"/>
    <x v="0"/>
    <x v="0"/>
    <x v="0"/>
    <x v="1"/>
    <x v="16"/>
    <x v="1"/>
    <x v="0"/>
    <x v="0"/>
    <s v="GNR_ENG_NGAS_BP_E-40"/>
    <x v="0"/>
    <x v="8"/>
    <n v="8.5"/>
    <n v="2068.3333333333298"/>
    <n v="7446"/>
  </r>
  <r>
    <x v="0"/>
    <x v="0"/>
    <x v="0"/>
    <x v="0"/>
    <x v="1"/>
    <x v="16"/>
    <x v="1"/>
    <x v="0"/>
    <x v="0"/>
    <s v="GNR_ENG_NGAS_BP_E-40"/>
    <x v="1"/>
    <x v="3"/>
    <n v="8.5"/>
    <n v="2068.3333333333298"/>
    <n v="7446"/>
  </r>
  <r>
    <x v="0"/>
    <x v="0"/>
    <x v="0"/>
    <x v="0"/>
    <x v="1"/>
    <x v="16"/>
    <x v="1"/>
    <x v="0"/>
    <x v="0"/>
    <s v="GNR_ENG_NGAS_BP_E-40"/>
    <x v="1"/>
    <x v="4"/>
    <n v="8.5"/>
    <n v="2068.3333333333298"/>
    <n v="7446"/>
  </r>
  <r>
    <x v="0"/>
    <x v="0"/>
    <x v="0"/>
    <x v="0"/>
    <x v="1"/>
    <x v="16"/>
    <x v="1"/>
    <x v="0"/>
    <x v="0"/>
    <s v="GNR_ENG_NGAS_BP_E-40"/>
    <x v="1"/>
    <x v="6"/>
    <n v="8.5"/>
    <n v="2068.3333333333298"/>
    <n v="7446"/>
  </r>
  <r>
    <x v="0"/>
    <x v="0"/>
    <x v="0"/>
    <x v="0"/>
    <x v="1"/>
    <x v="16"/>
    <x v="1"/>
    <x v="0"/>
    <x v="0"/>
    <s v="GNR_ENG_NGAS_BP_E-40"/>
    <x v="1"/>
    <x v="0"/>
    <n v="8.5"/>
    <n v="2068.3333333333298"/>
    <n v="7446"/>
  </r>
  <r>
    <x v="0"/>
    <x v="0"/>
    <x v="0"/>
    <x v="0"/>
    <x v="1"/>
    <x v="16"/>
    <x v="1"/>
    <x v="0"/>
    <x v="0"/>
    <s v="GNR_ENG_NGAS_BP_E-40"/>
    <x v="1"/>
    <x v="1"/>
    <n v="8.5"/>
    <n v="2068.3333333333298"/>
    <n v="7446"/>
  </r>
  <r>
    <x v="0"/>
    <x v="0"/>
    <x v="0"/>
    <x v="0"/>
    <x v="1"/>
    <x v="16"/>
    <x v="1"/>
    <x v="0"/>
    <x v="0"/>
    <s v="GNR_ENG_NGAS_BP_E-40"/>
    <x v="1"/>
    <x v="2"/>
    <n v="8.5"/>
    <n v="2068.3333333333298"/>
    <n v="7446"/>
  </r>
  <r>
    <x v="0"/>
    <x v="0"/>
    <x v="0"/>
    <x v="0"/>
    <x v="1"/>
    <x v="16"/>
    <x v="1"/>
    <x v="0"/>
    <x v="0"/>
    <s v="GNR_ENG_NGAS_BP_E-45"/>
    <x v="0"/>
    <x v="3"/>
    <n v="0.5"/>
    <n v="121.666666666667"/>
    <n v="438"/>
  </r>
  <r>
    <x v="0"/>
    <x v="0"/>
    <x v="0"/>
    <x v="0"/>
    <x v="1"/>
    <x v="16"/>
    <x v="1"/>
    <x v="0"/>
    <x v="0"/>
    <s v="GNR_ENG_NGAS_BP_E-45"/>
    <x v="0"/>
    <x v="4"/>
    <n v="0.5"/>
    <n v="121.666666666667"/>
    <n v="438"/>
  </r>
  <r>
    <x v="0"/>
    <x v="0"/>
    <x v="0"/>
    <x v="0"/>
    <x v="1"/>
    <x v="16"/>
    <x v="1"/>
    <x v="0"/>
    <x v="0"/>
    <s v="GNR_ENG_NGAS_BP_E-45"/>
    <x v="0"/>
    <x v="7"/>
    <n v="0.5"/>
    <n v="121.666666666667"/>
    <n v="438"/>
  </r>
  <r>
    <x v="0"/>
    <x v="0"/>
    <x v="0"/>
    <x v="0"/>
    <x v="1"/>
    <x v="16"/>
    <x v="1"/>
    <x v="0"/>
    <x v="0"/>
    <s v="GNR_ENG_NGAS_BP_E-45"/>
    <x v="0"/>
    <x v="0"/>
    <n v="0.5"/>
    <n v="121.666666666667"/>
    <n v="438"/>
  </r>
  <r>
    <x v="0"/>
    <x v="0"/>
    <x v="0"/>
    <x v="0"/>
    <x v="1"/>
    <x v="16"/>
    <x v="1"/>
    <x v="0"/>
    <x v="0"/>
    <s v="GNR_ENG_NGAS_BP_E-45"/>
    <x v="0"/>
    <x v="1"/>
    <n v="0.5"/>
    <n v="121.666666666667"/>
    <n v="438"/>
  </r>
  <r>
    <x v="0"/>
    <x v="0"/>
    <x v="0"/>
    <x v="0"/>
    <x v="1"/>
    <x v="16"/>
    <x v="1"/>
    <x v="0"/>
    <x v="0"/>
    <s v="GNR_ENG_NGAS_BP_E-45"/>
    <x v="0"/>
    <x v="2"/>
    <n v="0.5"/>
    <n v="121.666666666667"/>
    <n v="438"/>
  </r>
  <r>
    <x v="0"/>
    <x v="0"/>
    <x v="0"/>
    <x v="0"/>
    <x v="1"/>
    <x v="16"/>
    <x v="1"/>
    <x v="0"/>
    <x v="0"/>
    <s v="GNR_ENG_NGAS_BP_E-45"/>
    <x v="0"/>
    <x v="5"/>
    <n v="0.5"/>
    <n v="121.666666666667"/>
    <n v="438"/>
  </r>
  <r>
    <x v="0"/>
    <x v="0"/>
    <x v="0"/>
    <x v="0"/>
    <x v="1"/>
    <x v="16"/>
    <x v="1"/>
    <x v="0"/>
    <x v="0"/>
    <s v="GNR_ENG_NGAS_BP_E-45"/>
    <x v="0"/>
    <x v="11"/>
    <n v="0.5"/>
    <n v="121.666666666667"/>
    <n v="438"/>
  </r>
  <r>
    <x v="0"/>
    <x v="0"/>
    <x v="0"/>
    <x v="0"/>
    <x v="1"/>
    <x v="16"/>
    <x v="1"/>
    <x v="0"/>
    <x v="0"/>
    <s v="GNR_ENG_NGAS_BP_E-45"/>
    <x v="0"/>
    <x v="8"/>
    <n v="0.5"/>
    <n v="121.666666666667"/>
    <n v="438"/>
  </r>
  <r>
    <x v="0"/>
    <x v="0"/>
    <x v="0"/>
    <x v="0"/>
    <x v="1"/>
    <x v="16"/>
    <x v="1"/>
    <x v="0"/>
    <x v="0"/>
    <s v="GNR_ENG_NGAS_BP_E-45"/>
    <x v="2"/>
    <x v="3"/>
    <n v="0.5"/>
    <n v="121.666666666667"/>
    <n v="438"/>
  </r>
  <r>
    <x v="0"/>
    <x v="0"/>
    <x v="0"/>
    <x v="0"/>
    <x v="1"/>
    <x v="16"/>
    <x v="1"/>
    <x v="0"/>
    <x v="0"/>
    <s v="GNR_ENG_NGAS_BP_E-45"/>
    <x v="2"/>
    <x v="10"/>
    <n v="0.5"/>
    <n v="121.666666666667"/>
    <n v="438"/>
  </r>
  <r>
    <x v="0"/>
    <x v="0"/>
    <x v="0"/>
    <x v="0"/>
    <x v="1"/>
    <x v="16"/>
    <x v="1"/>
    <x v="0"/>
    <x v="0"/>
    <s v="GNR_ENG_NGAS_BP_E-45"/>
    <x v="2"/>
    <x v="4"/>
    <n v="0.5"/>
    <n v="121.666666666667"/>
    <n v="438"/>
  </r>
  <r>
    <x v="0"/>
    <x v="0"/>
    <x v="0"/>
    <x v="0"/>
    <x v="1"/>
    <x v="16"/>
    <x v="1"/>
    <x v="0"/>
    <x v="0"/>
    <s v="GNR_ENG_NGAS_BP_E-45"/>
    <x v="2"/>
    <x v="1"/>
    <n v="0.5"/>
    <n v="121.666666666667"/>
    <n v="438"/>
  </r>
  <r>
    <x v="0"/>
    <x v="0"/>
    <x v="0"/>
    <x v="0"/>
    <x v="1"/>
    <x v="16"/>
    <x v="1"/>
    <x v="0"/>
    <x v="0"/>
    <s v="GNR_ENG_NGAS_BP_E-45"/>
    <x v="2"/>
    <x v="2"/>
    <n v="0.5"/>
    <n v="121.666666666667"/>
    <n v="438"/>
  </r>
  <r>
    <x v="0"/>
    <x v="0"/>
    <x v="0"/>
    <x v="0"/>
    <x v="1"/>
    <x v="16"/>
    <x v="1"/>
    <x v="0"/>
    <x v="0"/>
    <s v="GNR_ENG_NGAS_BP_E-45"/>
    <x v="2"/>
    <x v="11"/>
    <n v="0.5"/>
    <n v="121.666666666667"/>
    <n v="438"/>
  </r>
  <r>
    <x v="0"/>
    <x v="0"/>
    <x v="0"/>
    <x v="0"/>
    <x v="1"/>
    <x v="16"/>
    <x v="1"/>
    <x v="0"/>
    <x v="0"/>
    <s v="GNR_ENG_NGAS_BP_E-45"/>
    <x v="1"/>
    <x v="3"/>
    <n v="0.5"/>
    <n v="121.666666666667"/>
    <n v="438"/>
  </r>
  <r>
    <x v="0"/>
    <x v="0"/>
    <x v="0"/>
    <x v="0"/>
    <x v="1"/>
    <x v="16"/>
    <x v="1"/>
    <x v="0"/>
    <x v="0"/>
    <s v="GNR_ENG_NGAS_BP_E-45"/>
    <x v="1"/>
    <x v="10"/>
    <n v="0.5"/>
    <n v="121.666666666667"/>
    <n v="438"/>
  </r>
  <r>
    <x v="0"/>
    <x v="0"/>
    <x v="0"/>
    <x v="0"/>
    <x v="1"/>
    <x v="16"/>
    <x v="1"/>
    <x v="0"/>
    <x v="0"/>
    <s v="GNR_ENG_NGAS_BP_E-45"/>
    <x v="1"/>
    <x v="4"/>
    <n v="0.5"/>
    <n v="121.666666666667"/>
    <n v="438"/>
  </r>
  <r>
    <x v="0"/>
    <x v="0"/>
    <x v="0"/>
    <x v="0"/>
    <x v="1"/>
    <x v="16"/>
    <x v="1"/>
    <x v="0"/>
    <x v="0"/>
    <s v="GNR_ENG_NGAS_BP_E-45"/>
    <x v="1"/>
    <x v="6"/>
    <n v="0.5"/>
    <n v="121.666666666667"/>
    <n v="438"/>
  </r>
  <r>
    <x v="0"/>
    <x v="0"/>
    <x v="0"/>
    <x v="0"/>
    <x v="1"/>
    <x v="16"/>
    <x v="1"/>
    <x v="0"/>
    <x v="0"/>
    <s v="GNR_ENG_NGAS_BP_E-45"/>
    <x v="1"/>
    <x v="7"/>
    <n v="0.5"/>
    <n v="121.666666666667"/>
    <n v="438"/>
  </r>
  <r>
    <x v="0"/>
    <x v="0"/>
    <x v="0"/>
    <x v="0"/>
    <x v="1"/>
    <x v="16"/>
    <x v="1"/>
    <x v="0"/>
    <x v="0"/>
    <s v="GNR_ENG_NGAS_BP_E-45"/>
    <x v="1"/>
    <x v="0"/>
    <n v="0.5"/>
    <n v="121.666666666667"/>
    <n v="438"/>
  </r>
  <r>
    <x v="0"/>
    <x v="0"/>
    <x v="0"/>
    <x v="0"/>
    <x v="1"/>
    <x v="16"/>
    <x v="1"/>
    <x v="0"/>
    <x v="0"/>
    <s v="GNR_ENG_NGAS_BP_E-45"/>
    <x v="1"/>
    <x v="1"/>
    <n v="0.5"/>
    <n v="121.666666666667"/>
    <n v="438"/>
  </r>
  <r>
    <x v="0"/>
    <x v="0"/>
    <x v="0"/>
    <x v="0"/>
    <x v="1"/>
    <x v="16"/>
    <x v="1"/>
    <x v="0"/>
    <x v="0"/>
    <s v="GNR_ENG_NGAS_BP_E-45"/>
    <x v="1"/>
    <x v="2"/>
    <n v="0.5"/>
    <n v="121.666666666667"/>
    <n v="438"/>
  </r>
  <r>
    <x v="0"/>
    <x v="0"/>
    <x v="0"/>
    <x v="0"/>
    <x v="1"/>
    <x v="16"/>
    <x v="5"/>
    <x v="1"/>
    <x v="1"/>
    <s v="GNR_HP_ELEC_COP-400"/>
    <x v="0"/>
    <x v="9"/>
    <n v="-0.2"/>
    <n v="-48.6666666666667"/>
    <n v="-175.2"/>
  </r>
  <r>
    <x v="0"/>
    <x v="0"/>
    <x v="0"/>
    <x v="0"/>
    <x v="1"/>
    <x v="16"/>
    <x v="5"/>
    <x v="1"/>
    <x v="1"/>
    <s v="GNR_HP_ELEC_COP-400"/>
    <x v="0"/>
    <x v="3"/>
    <n v="-0.2"/>
    <n v="-48.6666666666667"/>
    <n v="-175.2"/>
  </r>
  <r>
    <x v="0"/>
    <x v="0"/>
    <x v="0"/>
    <x v="0"/>
    <x v="1"/>
    <x v="16"/>
    <x v="5"/>
    <x v="1"/>
    <x v="1"/>
    <s v="GNR_HP_ELEC_COP-400"/>
    <x v="0"/>
    <x v="10"/>
    <n v="-0.2"/>
    <n v="-48.6666666666667"/>
    <n v="-175.2"/>
  </r>
  <r>
    <x v="0"/>
    <x v="0"/>
    <x v="0"/>
    <x v="0"/>
    <x v="1"/>
    <x v="16"/>
    <x v="5"/>
    <x v="1"/>
    <x v="1"/>
    <s v="GNR_HP_ELEC_COP-400"/>
    <x v="0"/>
    <x v="4"/>
    <n v="-0.2"/>
    <n v="-48.6666666666667"/>
    <n v="-175.2"/>
  </r>
  <r>
    <x v="0"/>
    <x v="0"/>
    <x v="0"/>
    <x v="0"/>
    <x v="1"/>
    <x v="16"/>
    <x v="5"/>
    <x v="1"/>
    <x v="1"/>
    <s v="GNR_HP_ELEC_COP-400"/>
    <x v="0"/>
    <x v="6"/>
    <n v="-0.2"/>
    <n v="-48.6666666666667"/>
    <n v="-175.2"/>
  </r>
  <r>
    <x v="0"/>
    <x v="0"/>
    <x v="0"/>
    <x v="0"/>
    <x v="1"/>
    <x v="16"/>
    <x v="5"/>
    <x v="1"/>
    <x v="1"/>
    <s v="GNR_HP_ELEC_COP-400"/>
    <x v="0"/>
    <x v="7"/>
    <n v="-0.2"/>
    <n v="-48.6666666666667"/>
    <n v="-175.2"/>
  </r>
  <r>
    <x v="0"/>
    <x v="0"/>
    <x v="0"/>
    <x v="0"/>
    <x v="1"/>
    <x v="16"/>
    <x v="5"/>
    <x v="1"/>
    <x v="1"/>
    <s v="GNR_HP_ELEC_COP-400"/>
    <x v="0"/>
    <x v="5"/>
    <n v="-0.2"/>
    <n v="-48.6666666666667"/>
    <n v="-175.2"/>
  </r>
  <r>
    <x v="0"/>
    <x v="0"/>
    <x v="0"/>
    <x v="0"/>
    <x v="1"/>
    <x v="16"/>
    <x v="5"/>
    <x v="1"/>
    <x v="1"/>
    <s v="GNR_HP_ELEC_COP-400"/>
    <x v="0"/>
    <x v="11"/>
    <n v="-0.2"/>
    <n v="-48.6666666666667"/>
    <n v="-175.2"/>
  </r>
  <r>
    <x v="0"/>
    <x v="0"/>
    <x v="0"/>
    <x v="0"/>
    <x v="1"/>
    <x v="16"/>
    <x v="5"/>
    <x v="1"/>
    <x v="1"/>
    <s v="GNR_HP_ELEC_COP-400"/>
    <x v="0"/>
    <x v="8"/>
    <n v="-0.2"/>
    <n v="-48.6666666666667"/>
    <n v="-175.2"/>
  </r>
  <r>
    <x v="0"/>
    <x v="0"/>
    <x v="0"/>
    <x v="0"/>
    <x v="1"/>
    <x v="16"/>
    <x v="5"/>
    <x v="1"/>
    <x v="1"/>
    <s v="GNR_HP_ELEC_COP-400"/>
    <x v="2"/>
    <x v="9"/>
    <n v="-0.2"/>
    <n v="-48.6666666666667"/>
    <n v="-175.2"/>
  </r>
  <r>
    <x v="0"/>
    <x v="0"/>
    <x v="0"/>
    <x v="0"/>
    <x v="1"/>
    <x v="16"/>
    <x v="5"/>
    <x v="1"/>
    <x v="1"/>
    <s v="GNR_HP_ELEC_COP-400"/>
    <x v="2"/>
    <x v="3"/>
    <n v="-0.2"/>
    <n v="-48.6666666666667"/>
    <n v="-175.2"/>
  </r>
  <r>
    <x v="0"/>
    <x v="0"/>
    <x v="0"/>
    <x v="0"/>
    <x v="1"/>
    <x v="16"/>
    <x v="5"/>
    <x v="1"/>
    <x v="1"/>
    <s v="GNR_HP_ELEC_COP-400"/>
    <x v="2"/>
    <x v="10"/>
    <n v="-0.2"/>
    <n v="-48.6666666666667"/>
    <n v="-175.2"/>
  </r>
  <r>
    <x v="0"/>
    <x v="0"/>
    <x v="0"/>
    <x v="0"/>
    <x v="1"/>
    <x v="16"/>
    <x v="5"/>
    <x v="1"/>
    <x v="1"/>
    <s v="GNR_HP_ELEC_COP-400"/>
    <x v="2"/>
    <x v="4"/>
    <n v="-0.2"/>
    <n v="-48.6666666666667"/>
    <n v="-175.2"/>
  </r>
  <r>
    <x v="0"/>
    <x v="0"/>
    <x v="0"/>
    <x v="0"/>
    <x v="1"/>
    <x v="16"/>
    <x v="5"/>
    <x v="1"/>
    <x v="1"/>
    <s v="GNR_HP_ELEC_COP-400"/>
    <x v="2"/>
    <x v="6"/>
    <n v="-0.2"/>
    <n v="-48.6666666666667"/>
    <n v="-175.2"/>
  </r>
  <r>
    <x v="0"/>
    <x v="0"/>
    <x v="0"/>
    <x v="0"/>
    <x v="1"/>
    <x v="16"/>
    <x v="5"/>
    <x v="1"/>
    <x v="1"/>
    <s v="GNR_HP_ELEC_COP-400"/>
    <x v="2"/>
    <x v="7"/>
    <n v="-0.2"/>
    <n v="-48.6666666666667"/>
    <n v="-175.2"/>
  </r>
  <r>
    <x v="0"/>
    <x v="0"/>
    <x v="0"/>
    <x v="0"/>
    <x v="1"/>
    <x v="16"/>
    <x v="5"/>
    <x v="1"/>
    <x v="1"/>
    <s v="GNR_HP_ELEC_COP-400"/>
    <x v="2"/>
    <x v="0"/>
    <n v="-0.2"/>
    <n v="-48.6666666666667"/>
    <n v="-175.2"/>
  </r>
  <r>
    <x v="0"/>
    <x v="0"/>
    <x v="0"/>
    <x v="0"/>
    <x v="1"/>
    <x v="16"/>
    <x v="5"/>
    <x v="1"/>
    <x v="1"/>
    <s v="GNR_HP_ELEC_COP-400"/>
    <x v="2"/>
    <x v="1"/>
    <n v="-0.2"/>
    <n v="-48.6666666666667"/>
    <n v="-175.2"/>
  </r>
  <r>
    <x v="0"/>
    <x v="0"/>
    <x v="0"/>
    <x v="0"/>
    <x v="1"/>
    <x v="16"/>
    <x v="5"/>
    <x v="1"/>
    <x v="1"/>
    <s v="GNR_HP_ELEC_COP-400"/>
    <x v="2"/>
    <x v="2"/>
    <n v="-0.2"/>
    <n v="-48.6666666666667"/>
    <n v="-175.2"/>
  </r>
  <r>
    <x v="0"/>
    <x v="0"/>
    <x v="0"/>
    <x v="0"/>
    <x v="1"/>
    <x v="16"/>
    <x v="5"/>
    <x v="1"/>
    <x v="1"/>
    <s v="GNR_HP_ELEC_COP-400"/>
    <x v="2"/>
    <x v="5"/>
    <n v="-0.2"/>
    <n v="-48.6666666666667"/>
    <n v="-175.2"/>
  </r>
  <r>
    <x v="0"/>
    <x v="0"/>
    <x v="0"/>
    <x v="0"/>
    <x v="1"/>
    <x v="16"/>
    <x v="5"/>
    <x v="1"/>
    <x v="1"/>
    <s v="GNR_HP_ELEC_COP-400"/>
    <x v="2"/>
    <x v="11"/>
    <n v="-0.2"/>
    <n v="-48.6666666666667"/>
    <n v="-175.2"/>
  </r>
  <r>
    <x v="0"/>
    <x v="0"/>
    <x v="0"/>
    <x v="0"/>
    <x v="1"/>
    <x v="16"/>
    <x v="5"/>
    <x v="1"/>
    <x v="1"/>
    <s v="GNR_HP_ELEC_COP-400"/>
    <x v="2"/>
    <x v="8"/>
    <n v="-0.2"/>
    <n v="-48.6666666666667"/>
    <n v="-175.2"/>
  </r>
  <r>
    <x v="0"/>
    <x v="0"/>
    <x v="0"/>
    <x v="0"/>
    <x v="1"/>
    <x v="16"/>
    <x v="5"/>
    <x v="1"/>
    <x v="1"/>
    <s v="GNR_HP_ELEC_COP-400"/>
    <x v="1"/>
    <x v="9"/>
    <n v="-0.2"/>
    <n v="-48.6666666666667"/>
    <n v="-175.2"/>
  </r>
  <r>
    <x v="0"/>
    <x v="0"/>
    <x v="0"/>
    <x v="0"/>
    <x v="1"/>
    <x v="16"/>
    <x v="5"/>
    <x v="1"/>
    <x v="1"/>
    <s v="GNR_HP_ELEC_COP-400"/>
    <x v="1"/>
    <x v="10"/>
    <n v="-0.2"/>
    <n v="-48.6666666666667"/>
    <n v="-175.2"/>
  </r>
  <r>
    <x v="0"/>
    <x v="0"/>
    <x v="0"/>
    <x v="0"/>
    <x v="1"/>
    <x v="16"/>
    <x v="5"/>
    <x v="1"/>
    <x v="1"/>
    <s v="GNR_HP_ELEC_COP-400"/>
    <x v="1"/>
    <x v="6"/>
    <n v="-0.2"/>
    <n v="-48.6666666666667"/>
    <n v="-175.2"/>
  </r>
  <r>
    <x v="0"/>
    <x v="0"/>
    <x v="0"/>
    <x v="0"/>
    <x v="1"/>
    <x v="16"/>
    <x v="5"/>
    <x v="1"/>
    <x v="1"/>
    <s v="GNR_HP_ELEC_COP-400"/>
    <x v="1"/>
    <x v="7"/>
    <n v="-0.2"/>
    <n v="-48.6666666666667"/>
    <n v="-175.2"/>
  </r>
  <r>
    <x v="0"/>
    <x v="0"/>
    <x v="0"/>
    <x v="0"/>
    <x v="1"/>
    <x v="16"/>
    <x v="5"/>
    <x v="1"/>
    <x v="1"/>
    <s v="GNR_HP_ELEC_COP-400"/>
    <x v="1"/>
    <x v="1"/>
    <n v="-0.2"/>
    <n v="-48.6666666666667"/>
    <n v="-175.2"/>
  </r>
  <r>
    <x v="0"/>
    <x v="0"/>
    <x v="0"/>
    <x v="0"/>
    <x v="1"/>
    <x v="16"/>
    <x v="5"/>
    <x v="1"/>
    <x v="1"/>
    <s v="GNR_HP_ELEC_COP-400"/>
    <x v="1"/>
    <x v="5"/>
    <n v="-0.2"/>
    <n v="-48.6666666666667"/>
    <n v="-175.2"/>
  </r>
  <r>
    <x v="0"/>
    <x v="0"/>
    <x v="0"/>
    <x v="0"/>
    <x v="1"/>
    <x v="16"/>
    <x v="5"/>
    <x v="1"/>
    <x v="1"/>
    <s v="GNR_HP_ELEC_COP-400"/>
    <x v="1"/>
    <x v="11"/>
    <n v="-0.2"/>
    <n v="-48.6666666666667"/>
    <n v="-175.2"/>
  </r>
  <r>
    <x v="0"/>
    <x v="0"/>
    <x v="0"/>
    <x v="0"/>
    <x v="1"/>
    <x v="16"/>
    <x v="5"/>
    <x v="1"/>
    <x v="1"/>
    <s v="GNR_HP_ELEC_COP-400"/>
    <x v="1"/>
    <x v="8"/>
    <n v="-0.2"/>
    <n v="-48.6666666666667"/>
    <n v="-175.2"/>
  </r>
  <r>
    <x v="0"/>
    <x v="0"/>
    <x v="0"/>
    <x v="0"/>
    <x v="1"/>
    <x v="16"/>
    <x v="9"/>
    <x v="0"/>
    <x v="0"/>
    <s v="GNR_ST_COAL_BP_E-35"/>
    <x v="0"/>
    <x v="3"/>
    <n v="37"/>
    <n v="9003.3333333333303"/>
    <n v="32412"/>
  </r>
  <r>
    <x v="0"/>
    <x v="0"/>
    <x v="0"/>
    <x v="0"/>
    <x v="1"/>
    <x v="16"/>
    <x v="9"/>
    <x v="0"/>
    <x v="0"/>
    <s v="GNR_ST_COAL_BP_E-35"/>
    <x v="0"/>
    <x v="10"/>
    <n v="21.8488483920043"/>
    <n v="5316.5531087210602"/>
    <n v="19139.591191395801"/>
  </r>
  <r>
    <x v="0"/>
    <x v="0"/>
    <x v="0"/>
    <x v="0"/>
    <x v="1"/>
    <x v="16"/>
    <x v="9"/>
    <x v="0"/>
    <x v="0"/>
    <s v="GNR_ST_COAL_BP_E-35"/>
    <x v="0"/>
    <x v="4"/>
    <n v="37"/>
    <n v="9003.3333333333303"/>
    <n v="32412"/>
  </r>
  <r>
    <x v="0"/>
    <x v="0"/>
    <x v="0"/>
    <x v="0"/>
    <x v="1"/>
    <x v="16"/>
    <x v="9"/>
    <x v="0"/>
    <x v="0"/>
    <s v="GNR_ST_COAL_BP_E-35"/>
    <x v="0"/>
    <x v="6"/>
    <n v="37"/>
    <n v="9003.3333333333303"/>
    <n v="32412"/>
  </r>
  <r>
    <x v="0"/>
    <x v="0"/>
    <x v="0"/>
    <x v="0"/>
    <x v="1"/>
    <x v="16"/>
    <x v="9"/>
    <x v="0"/>
    <x v="0"/>
    <s v="GNR_ST_COAL_BP_E-35"/>
    <x v="0"/>
    <x v="7"/>
    <n v="37"/>
    <n v="9003.3333333333303"/>
    <n v="32412"/>
  </r>
  <r>
    <x v="0"/>
    <x v="0"/>
    <x v="0"/>
    <x v="0"/>
    <x v="1"/>
    <x v="16"/>
    <x v="9"/>
    <x v="0"/>
    <x v="0"/>
    <s v="GNR_ST_COAL_BP_E-35"/>
    <x v="0"/>
    <x v="0"/>
    <n v="37"/>
    <n v="9003.3333333333303"/>
    <n v="32412"/>
  </r>
  <r>
    <x v="0"/>
    <x v="0"/>
    <x v="0"/>
    <x v="0"/>
    <x v="1"/>
    <x v="16"/>
    <x v="9"/>
    <x v="0"/>
    <x v="0"/>
    <s v="GNR_ST_COAL_BP_E-35"/>
    <x v="0"/>
    <x v="1"/>
    <n v="37"/>
    <n v="9003.3333333333303"/>
    <n v="32412"/>
  </r>
  <r>
    <x v="0"/>
    <x v="0"/>
    <x v="0"/>
    <x v="0"/>
    <x v="1"/>
    <x v="16"/>
    <x v="9"/>
    <x v="0"/>
    <x v="0"/>
    <s v="GNR_ST_COAL_BP_E-35"/>
    <x v="0"/>
    <x v="2"/>
    <n v="37"/>
    <n v="9003.3333333333303"/>
    <n v="32412"/>
  </r>
  <r>
    <x v="0"/>
    <x v="0"/>
    <x v="0"/>
    <x v="0"/>
    <x v="1"/>
    <x v="16"/>
    <x v="9"/>
    <x v="0"/>
    <x v="0"/>
    <s v="GNR_ST_COAL_BP_E-35"/>
    <x v="0"/>
    <x v="5"/>
    <n v="37"/>
    <n v="9003.3333333333303"/>
    <n v="32412"/>
  </r>
  <r>
    <x v="0"/>
    <x v="0"/>
    <x v="0"/>
    <x v="0"/>
    <x v="1"/>
    <x v="16"/>
    <x v="9"/>
    <x v="0"/>
    <x v="0"/>
    <s v="GNR_ST_COAL_BP_E-35"/>
    <x v="0"/>
    <x v="11"/>
    <n v="37"/>
    <n v="9003.3333333333303"/>
    <n v="32412"/>
  </r>
  <r>
    <x v="0"/>
    <x v="0"/>
    <x v="0"/>
    <x v="0"/>
    <x v="1"/>
    <x v="16"/>
    <x v="9"/>
    <x v="0"/>
    <x v="0"/>
    <s v="GNR_ST_COAL_BP_E-35"/>
    <x v="0"/>
    <x v="8"/>
    <n v="37"/>
    <n v="9003.3333333333303"/>
    <n v="32412"/>
  </r>
  <r>
    <x v="0"/>
    <x v="0"/>
    <x v="0"/>
    <x v="0"/>
    <x v="1"/>
    <x v="16"/>
    <x v="9"/>
    <x v="0"/>
    <x v="0"/>
    <s v="GNR_ST_COAL_BP_E-35"/>
    <x v="2"/>
    <x v="3"/>
    <n v="37"/>
    <n v="9003.3333333333303"/>
    <n v="32412"/>
  </r>
  <r>
    <x v="0"/>
    <x v="0"/>
    <x v="0"/>
    <x v="0"/>
    <x v="1"/>
    <x v="16"/>
    <x v="9"/>
    <x v="0"/>
    <x v="0"/>
    <s v="GNR_ST_COAL_BP_E-35"/>
    <x v="2"/>
    <x v="10"/>
    <n v="37"/>
    <n v="9003.3333333333303"/>
    <n v="32412"/>
  </r>
  <r>
    <x v="0"/>
    <x v="0"/>
    <x v="0"/>
    <x v="0"/>
    <x v="1"/>
    <x v="16"/>
    <x v="9"/>
    <x v="0"/>
    <x v="0"/>
    <s v="GNR_ST_COAL_BP_E-35"/>
    <x v="2"/>
    <x v="4"/>
    <n v="37"/>
    <n v="9003.3333333333303"/>
    <n v="32412"/>
  </r>
  <r>
    <x v="0"/>
    <x v="0"/>
    <x v="0"/>
    <x v="0"/>
    <x v="1"/>
    <x v="16"/>
    <x v="9"/>
    <x v="0"/>
    <x v="0"/>
    <s v="GNR_ST_COAL_BP_E-35"/>
    <x v="2"/>
    <x v="1"/>
    <n v="37"/>
    <n v="9003.3333333333303"/>
    <n v="32412"/>
  </r>
  <r>
    <x v="0"/>
    <x v="0"/>
    <x v="0"/>
    <x v="0"/>
    <x v="1"/>
    <x v="16"/>
    <x v="9"/>
    <x v="0"/>
    <x v="0"/>
    <s v="GNR_ST_COAL_BP_E-35"/>
    <x v="2"/>
    <x v="2"/>
    <n v="37"/>
    <n v="9003.3333333333303"/>
    <n v="32412"/>
  </r>
  <r>
    <x v="0"/>
    <x v="0"/>
    <x v="0"/>
    <x v="0"/>
    <x v="1"/>
    <x v="16"/>
    <x v="9"/>
    <x v="0"/>
    <x v="0"/>
    <s v="GNR_ST_COAL_BP_E-35"/>
    <x v="2"/>
    <x v="5"/>
    <n v="37"/>
    <n v="9003.3333333333303"/>
    <n v="32412"/>
  </r>
  <r>
    <x v="0"/>
    <x v="0"/>
    <x v="0"/>
    <x v="0"/>
    <x v="1"/>
    <x v="16"/>
    <x v="9"/>
    <x v="0"/>
    <x v="0"/>
    <s v="GNR_ST_COAL_BP_E-35"/>
    <x v="2"/>
    <x v="11"/>
    <n v="37"/>
    <n v="9003.3333333333303"/>
    <n v="32412"/>
  </r>
  <r>
    <x v="0"/>
    <x v="0"/>
    <x v="0"/>
    <x v="0"/>
    <x v="1"/>
    <x v="16"/>
    <x v="9"/>
    <x v="0"/>
    <x v="0"/>
    <s v="GNR_ST_COAL_BP_E-35"/>
    <x v="2"/>
    <x v="8"/>
    <n v="37"/>
    <n v="9003.3333333333303"/>
    <n v="32412"/>
  </r>
  <r>
    <x v="0"/>
    <x v="0"/>
    <x v="0"/>
    <x v="0"/>
    <x v="1"/>
    <x v="16"/>
    <x v="9"/>
    <x v="0"/>
    <x v="0"/>
    <s v="GNR_ST_COAL_BP_E-35"/>
    <x v="1"/>
    <x v="3"/>
    <n v="37"/>
    <n v="9003.3333333333303"/>
    <n v="32412"/>
  </r>
  <r>
    <x v="0"/>
    <x v="0"/>
    <x v="0"/>
    <x v="0"/>
    <x v="1"/>
    <x v="16"/>
    <x v="9"/>
    <x v="0"/>
    <x v="0"/>
    <s v="GNR_ST_COAL_BP_E-35"/>
    <x v="1"/>
    <x v="10"/>
    <n v="37"/>
    <n v="9003.3333333333303"/>
    <n v="32412"/>
  </r>
  <r>
    <x v="0"/>
    <x v="0"/>
    <x v="0"/>
    <x v="0"/>
    <x v="1"/>
    <x v="16"/>
    <x v="9"/>
    <x v="0"/>
    <x v="0"/>
    <s v="GNR_ST_COAL_BP_E-35"/>
    <x v="1"/>
    <x v="4"/>
    <n v="37"/>
    <n v="9003.3333333333303"/>
    <n v="32412"/>
  </r>
  <r>
    <x v="0"/>
    <x v="0"/>
    <x v="0"/>
    <x v="0"/>
    <x v="1"/>
    <x v="16"/>
    <x v="9"/>
    <x v="0"/>
    <x v="0"/>
    <s v="GNR_ST_COAL_BP_E-35"/>
    <x v="1"/>
    <x v="6"/>
    <n v="37"/>
    <n v="9003.3333333333303"/>
    <n v="32412"/>
  </r>
  <r>
    <x v="0"/>
    <x v="0"/>
    <x v="0"/>
    <x v="0"/>
    <x v="1"/>
    <x v="16"/>
    <x v="9"/>
    <x v="0"/>
    <x v="0"/>
    <s v="GNR_ST_COAL_BP_E-35"/>
    <x v="1"/>
    <x v="7"/>
    <n v="37"/>
    <n v="9003.3333333333303"/>
    <n v="32412"/>
  </r>
  <r>
    <x v="0"/>
    <x v="0"/>
    <x v="0"/>
    <x v="0"/>
    <x v="1"/>
    <x v="16"/>
    <x v="9"/>
    <x v="0"/>
    <x v="0"/>
    <s v="GNR_ST_COAL_BP_E-35"/>
    <x v="1"/>
    <x v="0"/>
    <n v="37"/>
    <n v="9003.3333333333303"/>
    <n v="32412"/>
  </r>
  <r>
    <x v="0"/>
    <x v="0"/>
    <x v="0"/>
    <x v="0"/>
    <x v="1"/>
    <x v="16"/>
    <x v="9"/>
    <x v="0"/>
    <x v="0"/>
    <s v="GNR_ST_COAL_BP_E-35"/>
    <x v="1"/>
    <x v="1"/>
    <n v="37"/>
    <n v="9003.3333333333303"/>
    <n v="32412"/>
  </r>
  <r>
    <x v="0"/>
    <x v="0"/>
    <x v="0"/>
    <x v="0"/>
    <x v="1"/>
    <x v="16"/>
    <x v="9"/>
    <x v="0"/>
    <x v="0"/>
    <s v="GNR_ST_COAL_BP_E-35"/>
    <x v="1"/>
    <x v="2"/>
    <n v="37"/>
    <n v="9003.3333333333303"/>
    <n v="32412"/>
  </r>
  <r>
    <x v="0"/>
    <x v="0"/>
    <x v="0"/>
    <x v="0"/>
    <x v="1"/>
    <x v="16"/>
    <x v="9"/>
    <x v="0"/>
    <x v="0"/>
    <s v="GNR_ST_COAL_BP_E-35"/>
    <x v="1"/>
    <x v="5"/>
    <n v="37"/>
    <n v="9003.3333333333303"/>
    <n v="32412"/>
  </r>
  <r>
    <x v="0"/>
    <x v="0"/>
    <x v="0"/>
    <x v="0"/>
    <x v="1"/>
    <x v="16"/>
    <x v="9"/>
    <x v="0"/>
    <x v="0"/>
    <s v="GNR_ST_COAL_BP_E-35"/>
    <x v="1"/>
    <x v="11"/>
    <n v="37"/>
    <n v="9003.3333333333303"/>
    <n v="32412"/>
  </r>
  <r>
    <x v="0"/>
    <x v="0"/>
    <x v="0"/>
    <x v="0"/>
    <x v="1"/>
    <x v="17"/>
    <x v="1"/>
    <x v="0"/>
    <x v="0"/>
    <s v="GNR_CC_NGAS_BP_E-53_SS-10-MW_Y-2030"/>
    <x v="0"/>
    <x v="3"/>
    <n v="19.046133090257499"/>
    <n v="4634.5590519626703"/>
    <n v="16684.412587065599"/>
  </r>
  <r>
    <x v="0"/>
    <x v="0"/>
    <x v="0"/>
    <x v="0"/>
    <x v="1"/>
    <x v="17"/>
    <x v="1"/>
    <x v="0"/>
    <x v="0"/>
    <s v="GNR_CC_NGAS_BP_E-53_SS-10-MW_Y-2030"/>
    <x v="0"/>
    <x v="4"/>
    <n v="19.046133090257499"/>
    <n v="4634.5590519626703"/>
    <n v="16684.412587065599"/>
  </r>
  <r>
    <x v="0"/>
    <x v="0"/>
    <x v="0"/>
    <x v="0"/>
    <x v="1"/>
    <x v="17"/>
    <x v="1"/>
    <x v="0"/>
    <x v="0"/>
    <s v="GNR_CC_NGAS_BP_E-53_SS-10-MW_Y-2030"/>
    <x v="0"/>
    <x v="6"/>
    <n v="17.6991472598312"/>
    <n v="4306.7924998922499"/>
    <n v="15504.4529996121"/>
  </r>
  <r>
    <x v="0"/>
    <x v="0"/>
    <x v="0"/>
    <x v="0"/>
    <x v="1"/>
    <x v="17"/>
    <x v="1"/>
    <x v="0"/>
    <x v="0"/>
    <s v="GNR_CC_NGAS_BP_E-53_SS-10-MW_Y-2030"/>
    <x v="0"/>
    <x v="7"/>
    <n v="19.046133090257499"/>
    <n v="4634.5590519626703"/>
    <n v="16684.412587065599"/>
  </r>
  <r>
    <x v="0"/>
    <x v="0"/>
    <x v="0"/>
    <x v="0"/>
    <x v="1"/>
    <x v="17"/>
    <x v="1"/>
    <x v="0"/>
    <x v="0"/>
    <s v="GNR_CC_NGAS_BP_E-53_SS-10-MW_Y-2030"/>
    <x v="0"/>
    <x v="0"/>
    <n v="19.046133090257499"/>
    <n v="4634.5590519626703"/>
    <n v="16684.412587065599"/>
  </r>
  <r>
    <x v="0"/>
    <x v="0"/>
    <x v="0"/>
    <x v="0"/>
    <x v="1"/>
    <x v="17"/>
    <x v="1"/>
    <x v="0"/>
    <x v="0"/>
    <s v="GNR_CC_NGAS_BP_E-53_SS-10-MW_Y-2030"/>
    <x v="0"/>
    <x v="1"/>
    <n v="19.046133090257499"/>
    <n v="4634.5590519626703"/>
    <n v="16684.412587065599"/>
  </r>
  <r>
    <x v="0"/>
    <x v="0"/>
    <x v="0"/>
    <x v="0"/>
    <x v="1"/>
    <x v="17"/>
    <x v="1"/>
    <x v="0"/>
    <x v="0"/>
    <s v="GNR_CC_NGAS_BP_E-53_SS-10-MW_Y-2030"/>
    <x v="0"/>
    <x v="2"/>
    <n v="19.046133090257499"/>
    <n v="4634.5590519626703"/>
    <n v="16684.412587065599"/>
  </r>
  <r>
    <x v="0"/>
    <x v="0"/>
    <x v="0"/>
    <x v="0"/>
    <x v="1"/>
    <x v="17"/>
    <x v="1"/>
    <x v="0"/>
    <x v="0"/>
    <s v="GNR_CC_NGAS_BP_E-53_SS-10-MW_Y-2030"/>
    <x v="0"/>
    <x v="5"/>
    <n v="19.046133090257499"/>
    <n v="4634.5590519626703"/>
    <n v="16684.412587065599"/>
  </r>
  <r>
    <x v="0"/>
    <x v="0"/>
    <x v="0"/>
    <x v="0"/>
    <x v="1"/>
    <x v="17"/>
    <x v="1"/>
    <x v="0"/>
    <x v="0"/>
    <s v="GNR_CC_NGAS_BP_E-53_SS-10-MW_Y-2030"/>
    <x v="0"/>
    <x v="11"/>
    <n v="19.046133090257499"/>
    <n v="4634.5590519626703"/>
    <n v="16684.412587065599"/>
  </r>
  <r>
    <x v="0"/>
    <x v="0"/>
    <x v="0"/>
    <x v="0"/>
    <x v="1"/>
    <x v="17"/>
    <x v="1"/>
    <x v="0"/>
    <x v="0"/>
    <s v="GNR_CC_NGAS_BP_E-53_SS-10-MW_Y-2030"/>
    <x v="0"/>
    <x v="8"/>
    <n v="19.046133090257499"/>
    <n v="4634.5590519626703"/>
    <n v="16684.412587065599"/>
  </r>
  <r>
    <x v="0"/>
    <x v="0"/>
    <x v="0"/>
    <x v="0"/>
    <x v="1"/>
    <x v="17"/>
    <x v="1"/>
    <x v="0"/>
    <x v="0"/>
    <s v="GNR_CC_NGAS_BP_E-53_SS-10-MW_Y-2030"/>
    <x v="2"/>
    <x v="3"/>
    <n v="19.046133090257499"/>
    <n v="4634.5590519626703"/>
    <n v="16684.412587065599"/>
  </r>
  <r>
    <x v="0"/>
    <x v="0"/>
    <x v="0"/>
    <x v="0"/>
    <x v="1"/>
    <x v="17"/>
    <x v="1"/>
    <x v="0"/>
    <x v="0"/>
    <s v="GNR_CC_NGAS_BP_E-53_SS-10-MW_Y-2030"/>
    <x v="2"/>
    <x v="10"/>
    <n v="19.046133090257499"/>
    <n v="4634.5590519626703"/>
    <n v="16684.412587065599"/>
  </r>
  <r>
    <x v="0"/>
    <x v="0"/>
    <x v="0"/>
    <x v="0"/>
    <x v="1"/>
    <x v="17"/>
    <x v="1"/>
    <x v="0"/>
    <x v="0"/>
    <s v="GNR_CC_NGAS_BP_E-53_SS-10-MW_Y-2030"/>
    <x v="2"/>
    <x v="4"/>
    <n v="19.046133090257499"/>
    <n v="4634.5590519626703"/>
    <n v="16684.412587065599"/>
  </r>
  <r>
    <x v="0"/>
    <x v="0"/>
    <x v="0"/>
    <x v="0"/>
    <x v="1"/>
    <x v="17"/>
    <x v="1"/>
    <x v="0"/>
    <x v="0"/>
    <s v="GNR_CC_NGAS_BP_E-53_SS-10-MW_Y-2030"/>
    <x v="2"/>
    <x v="1"/>
    <n v="19.046133090257499"/>
    <n v="4634.5590519626703"/>
    <n v="16684.412587065599"/>
  </r>
  <r>
    <x v="0"/>
    <x v="0"/>
    <x v="0"/>
    <x v="0"/>
    <x v="1"/>
    <x v="17"/>
    <x v="1"/>
    <x v="0"/>
    <x v="0"/>
    <s v="GNR_CC_NGAS_BP_E-53_SS-10-MW_Y-2030"/>
    <x v="2"/>
    <x v="2"/>
    <n v="19.046133090257499"/>
    <n v="4634.5590519626703"/>
    <n v="16684.412587065599"/>
  </r>
  <r>
    <x v="0"/>
    <x v="0"/>
    <x v="0"/>
    <x v="0"/>
    <x v="1"/>
    <x v="17"/>
    <x v="1"/>
    <x v="0"/>
    <x v="0"/>
    <s v="GNR_CC_NGAS_BP_E-53_SS-10-MW_Y-2030"/>
    <x v="2"/>
    <x v="11"/>
    <n v="19.046133090257499"/>
    <n v="4634.5590519626703"/>
    <n v="16684.412587065599"/>
  </r>
  <r>
    <x v="0"/>
    <x v="0"/>
    <x v="0"/>
    <x v="0"/>
    <x v="1"/>
    <x v="17"/>
    <x v="1"/>
    <x v="0"/>
    <x v="0"/>
    <s v="GNR_CC_NGAS_BP_E-53_SS-10-MW_Y-2030"/>
    <x v="1"/>
    <x v="3"/>
    <n v="19.046133090257499"/>
    <n v="4634.5590519626703"/>
    <n v="16684.412587065599"/>
  </r>
  <r>
    <x v="0"/>
    <x v="0"/>
    <x v="0"/>
    <x v="0"/>
    <x v="1"/>
    <x v="17"/>
    <x v="1"/>
    <x v="0"/>
    <x v="0"/>
    <s v="GNR_CC_NGAS_BP_E-53_SS-10-MW_Y-2030"/>
    <x v="1"/>
    <x v="10"/>
    <n v="19.046133090257499"/>
    <n v="4634.5590519626703"/>
    <n v="16684.412587065599"/>
  </r>
  <r>
    <x v="0"/>
    <x v="0"/>
    <x v="0"/>
    <x v="0"/>
    <x v="1"/>
    <x v="17"/>
    <x v="1"/>
    <x v="0"/>
    <x v="0"/>
    <s v="GNR_CC_NGAS_BP_E-53_SS-10-MW_Y-2030"/>
    <x v="1"/>
    <x v="4"/>
    <n v="19.046133090257499"/>
    <n v="4634.5590519626703"/>
    <n v="16684.412587065599"/>
  </r>
  <r>
    <x v="0"/>
    <x v="0"/>
    <x v="0"/>
    <x v="0"/>
    <x v="1"/>
    <x v="17"/>
    <x v="1"/>
    <x v="0"/>
    <x v="0"/>
    <s v="GNR_CC_NGAS_BP_E-53_SS-10-MW_Y-2030"/>
    <x v="1"/>
    <x v="6"/>
    <n v="19.046133090257499"/>
    <n v="4634.5590519626703"/>
    <n v="16684.412587065599"/>
  </r>
  <r>
    <x v="0"/>
    <x v="0"/>
    <x v="0"/>
    <x v="0"/>
    <x v="1"/>
    <x v="17"/>
    <x v="1"/>
    <x v="0"/>
    <x v="0"/>
    <s v="GNR_CC_NGAS_BP_E-53_SS-10-MW_Y-2030"/>
    <x v="1"/>
    <x v="7"/>
    <n v="19.046133090257499"/>
    <n v="4634.5590519626703"/>
    <n v="16684.412587065599"/>
  </r>
  <r>
    <x v="0"/>
    <x v="0"/>
    <x v="0"/>
    <x v="0"/>
    <x v="1"/>
    <x v="17"/>
    <x v="1"/>
    <x v="0"/>
    <x v="0"/>
    <s v="GNR_CC_NGAS_BP_E-53_SS-10-MW_Y-2030"/>
    <x v="1"/>
    <x v="0"/>
    <n v="19.046133090257499"/>
    <n v="4634.5590519626703"/>
    <n v="16684.412587065599"/>
  </r>
  <r>
    <x v="0"/>
    <x v="0"/>
    <x v="0"/>
    <x v="0"/>
    <x v="1"/>
    <x v="17"/>
    <x v="1"/>
    <x v="0"/>
    <x v="0"/>
    <s v="GNR_CC_NGAS_BP_E-53_SS-10-MW_Y-2030"/>
    <x v="1"/>
    <x v="1"/>
    <n v="19.046133090257499"/>
    <n v="4634.5590519626703"/>
    <n v="16684.412587065599"/>
  </r>
  <r>
    <x v="0"/>
    <x v="0"/>
    <x v="0"/>
    <x v="0"/>
    <x v="1"/>
    <x v="17"/>
    <x v="1"/>
    <x v="0"/>
    <x v="0"/>
    <s v="GNR_CC_NGAS_BP_E-53_SS-10-MW_Y-2030"/>
    <x v="1"/>
    <x v="2"/>
    <n v="19.046133090257499"/>
    <n v="4634.5590519626703"/>
    <n v="16684.412587065599"/>
  </r>
  <r>
    <x v="0"/>
    <x v="0"/>
    <x v="0"/>
    <x v="0"/>
    <x v="1"/>
    <x v="17"/>
    <x v="1"/>
    <x v="0"/>
    <x v="0"/>
    <s v="GNR_CC_NGAS_BP_E-53_SS-10-MW_Y-2030"/>
    <x v="1"/>
    <x v="5"/>
    <n v="19.046133090257499"/>
    <n v="4634.5590519626703"/>
    <n v="16684.412587065599"/>
  </r>
  <r>
    <x v="0"/>
    <x v="0"/>
    <x v="0"/>
    <x v="0"/>
    <x v="1"/>
    <x v="17"/>
    <x v="1"/>
    <x v="0"/>
    <x v="0"/>
    <s v="GNR_CC_NGAS_BP_E-53_SS-10-MW_Y-2030"/>
    <x v="1"/>
    <x v="11"/>
    <n v="19.046133090257499"/>
    <n v="4634.5590519626703"/>
    <n v="16684.412587065599"/>
  </r>
</pivotCacheRecords>
</file>

<file path=xl/pivotCache/pivotCacheRecords6.xml><?xml version="1.0" encoding="utf-8"?>
<pivotCacheRecords xmlns="http://schemas.openxmlformats.org/spreadsheetml/2006/main" xmlns:r="http://schemas.openxmlformats.org/officeDocument/2006/relationships" count="177">
  <r>
    <x v="0"/>
    <x v="0"/>
    <x v="0"/>
    <x v="0"/>
    <x v="0"/>
    <x v="0"/>
    <x v="0"/>
    <x v="0"/>
    <x v="0"/>
    <s v="GNR_ENG_BGAS_BP_E-36"/>
    <n v="7.2109756097561001E-4"/>
    <n v="2.5959512195122001E-3"/>
  </r>
  <r>
    <x v="0"/>
    <x v="0"/>
    <x v="0"/>
    <x v="0"/>
    <x v="0"/>
    <x v="0"/>
    <x v="0"/>
    <x v="0"/>
    <x v="0"/>
    <s v="GNR_ENG_BGAS_BP_E-37"/>
    <n v="4.4512195121951199E-4"/>
    <n v="1.60243902439024E-3"/>
  </r>
  <r>
    <x v="0"/>
    <x v="0"/>
    <x v="0"/>
    <x v="0"/>
    <x v="0"/>
    <x v="0"/>
    <x v="0"/>
    <x v="0"/>
    <x v="0"/>
    <s v="GNR_ENG_BGAS_BP_E-39"/>
    <n v="3.00457317073171E-3"/>
    <n v="1.08164634146341E-2"/>
  </r>
  <r>
    <x v="0"/>
    <x v="0"/>
    <x v="0"/>
    <x v="0"/>
    <x v="0"/>
    <x v="0"/>
    <x v="0"/>
    <x v="0"/>
    <x v="0"/>
    <s v="GNR_ENG_BGAS_BP_E-40"/>
    <n v="1.10657317073171E-3"/>
    <n v="3.9836634146341501E-3"/>
  </r>
  <r>
    <x v="0"/>
    <x v="0"/>
    <x v="0"/>
    <x v="0"/>
    <x v="0"/>
    <x v="0"/>
    <x v="0"/>
    <x v="0"/>
    <x v="0"/>
    <s v="GNR_ENG_BGAS_BP_E-41"/>
    <n v="2.3831829268292702E-3"/>
    <n v="8.5794585365853698E-3"/>
  </r>
  <r>
    <x v="0"/>
    <x v="0"/>
    <x v="0"/>
    <x v="0"/>
    <x v="0"/>
    <x v="0"/>
    <x v="0"/>
    <x v="0"/>
    <x v="0"/>
    <s v="GNR_ENG_BGAS_BP_E-42"/>
    <n v="2.2033536585365902E-3"/>
    <n v="7.9320731707317096E-3"/>
  </r>
  <r>
    <x v="0"/>
    <x v="0"/>
    <x v="0"/>
    <x v="0"/>
    <x v="0"/>
    <x v="0"/>
    <x v="0"/>
    <x v="0"/>
    <x v="0"/>
    <s v="GNR_ENG_BGAS_BP_E-43"/>
    <n v="6.3293373983739796E-3"/>
    <n v="2.2785614634146301E-2"/>
  </r>
  <r>
    <x v="0"/>
    <x v="0"/>
    <x v="0"/>
    <x v="0"/>
    <x v="0"/>
    <x v="0"/>
    <x v="1"/>
    <x v="1"/>
    <x v="1"/>
    <s v="GNR_HS_HEAT_WTR-TANK_LS_E-95_Y-2010"/>
    <n v="0.516748570654331"/>
    <n v="1.8602948543555899"/>
  </r>
  <r>
    <x v="0"/>
    <x v="0"/>
    <x v="0"/>
    <x v="0"/>
    <x v="0"/>
    <x v="0"/>
    <x v="1"/>
    <x v="1"/>
    <x v="2"/>
    <s v="GNR_HS_HEAT_PIT_L-CEN_E-90_Y-2030"/>
    <n v="2.6391649224364402"/>
    <n v="9.5009937207711701"/>
  </r>
  <r>
    <x v="0"/>
    <x v="0"/>
    <x v="0"/>
    <x v="0"/>
    <x v="0"/>
    <x v="0"/>
    <x v="2"/>
    <x v="0"/>
    <x v="0"/>
    <s v="GNR_ST_MSW_BP_E-24_LS-220-MW-FEED_Y-2030"/>
    <n v="6.2767425152372498"/>
    <n v="22.596273054854102"/>
  </r>
  <r>
    <x v="0"/>
    <x v="0"/>
    <x v="0"/>
    <x v="0"/>
    <x v="0"/>
    <x v="0"/>
    <x v="2"/>
    <x v="0"/>
    <x v="0"/>
    <s v="GNR_ST_MSW_BP_E-27"/>
    <n v="0.53017184330997902"/>
    <n v="1.9086186359159201"/>
  </r>
  <r>
    <x v="0"/>
    <x v="0"/>
    <x v="0"/>
    <x v="0"/>
    <x v="0"/>
    <x v="0"/>
    <x v="2"/>
    <x v="2"/>
    <x v="3"/>
    <s v="GNR_BO_MSW_E-105"/>
    <n v="0.24528"/>
    <n v="0.88300800000000002"/>
  </r>
  <r>
    <x v="0"/>
    <x v="0"/>
    <x v="0"/>
    <x v="0"/>
    <x v="0"/>
    <x v="0"/>
    <x v="3"/>
    <x v="0"/>
    <x v="0"/>
    <s v="GNR_ENG_NGAS_BP_E-39"/>
    <n v="7.0025925925925898E-3"/>
    <n v="2.5209333333333299E-2"/>
  </r>
  <r>
    <x v="0"/>
    <x v="0"/>
    <x v="0"/>
    <x v="0"/>
    <x v="0"/>
    <x v="0"/>
    <x v="3"/>
    <x v="0"/>
    <x v="0"/>
    <s v="GNR_ENG_NGAS_BP_E-42"/>
    <n v="5.49933333333333E-3"/>
    <n v="1.9797599999999999E-2"/>
  </r>
  <r>
    <x v="0"/>
    <x v="0"/>
    <x v="0"/>
    <x v="0"/>
    <x v="0"/>
    <x v="0"/>
    <x v="3"/>
    <x v="0"/>
    <x v="0"/>
    <s v="GNR_ENG_NGAS_BP_E-43"/>
    <n v="8.2192592592592595E-3"/>
    <n v="2.9589333333333301E-2"/>
  </r>
  <r>
    <x v="0"/>
    <x v="0"/>
    <x v="0"/>
    <x v="0"/>
    <x v="0"/>
    <x v="0"/>
    <x v="3"/>
    <x v="0"/>
    <x v="0"/>
    <s v="GNR_ENG_NGAS_BP_E-46"/>
    <n v="2.3684444444444399E-3"/>
    <n v="8.5264E-3"/>
  </r>
  <r>
    <x v="0"/>
    <x v="0"/>
    <x v="0"/>
    <x v="0"/>
    <x v="0"/>
    <x v="0"/>
    <x v="3"/>
    <x v="0"/>
    <x v="0"/>
    <s v="GNR_GT_NGAS_BP_E-43_LS-40-MW_Y-2030"/>
    <n v="0.22050627714021601"/>
    <n v="0.79382259770477803"/>
  </r>
  <r>
    <x v="0"/>
    <x v="0"/>
    <x v="0"/>
    <x v="0"/>
    <x v="0"/>
    <x v="0"/>
    <x v="4"/>
    <x v="0"/>
    <x v="0"/>
    <s v="GNR_ST_STRW_BP_E-26"/>
    <n v="0.27898933811249499"/>
    <n v="1.0043616172049801"/>
  </r>
  <r>
    <x v="0"/>
    <x v="0"/>
    <x v="0"/>
    <x v="0"/>
    <x v="0"/>
    <x v="0"/>
    <x v="4"/>
    <x v="2"/>
    <x v="3"/>
    <s v="GNR_BO_STRW_E-100"/>
    <n v="1.25316666666667E-3"/>
    <n v="4.5113999999999996E-3"/>
  </r>
  <r>
    <x v="0"/>
    <x v="0"/>
    <x v="0"/>
    <x v="0"/>
    <x v="0"/>
    <x v="0"/>
    <x v="4"/>
    <x v="2"/>
    <x v="3"/>
    <s v="GNR_BO_STRW_E-102"/>
    <n v="1.5330000000000001E-3"/>
    <n v="5.5187999999999999E-3"/>
  </r>
  <r>
    <x v="0"/>
    <x v="0"/>
    <x v="0"/>
    <x v="0"/>
    <x v="0"/>
    <x v="0"/>
    <x v="5"/>
    <x v="3"/>
    <x v="4"/>
    <s v="GNR_SH_SUN"/>
    <n v="1.9543400000000002E-3"/>
    <n v="7.0356239999999999E-3"/>
  </r>
  <r>
    <x v="0"/>
    <x v="0"/>
    <x v="0"/>
    <x v="0"/>
    <x v="0"/>
    <x v="0"/>
    <x v="6"/>
    <x v="2"/>
    <x v="3"/>
    <s v="GNR_EH_HEAT"/>
    <n v="1.59432"/>
    <n v="5.7395519999999998"/>
  </r>
  <r>
    <x v="0"/>
    <x v="0"/>
    <x v="0"/>
    <x v="0"/>
    <x v="0"/>
    <x v="0"/>
    <x v="7"/>
    <x v="0"/>
    <x v="0"/>
    <s v="GNR_ST_WOODCHI_BP_E-23"/>
    <n v="4.83088235294118E-2"/>
    <n v="0.17391176470588199"/>
  </r>
  <r>
    <x v="0"/>
    <x v="0"/>
    <x v="0"/>
    <x v="0"/>
    <x v="0"/>
    <x v="0"/>
    <x v="7"/>
    <x v="2"/>
    <x v="3"/>
    <s v="GNR_BO_WOODCHI_E-100"/>
    <n v="4.8666666666666702E-3"/>
    <n v="1.7520000000000001E-2"/>
  </r>
  <r>
    <x v="0"/>
    <x v="0"/>
    <x v="0"/>
    <x v="0"/>
    <x v="0"/>
    <x v="1"/>
    <x v="8"/>
    <x v="4"/>
    <x v="5"/>
    <s v="GNR_BO_ELEC_E-99_LS-10-MW-FEED_PHH_Y-2030"/>
    <n v="0.10696906033157701"/>
    <n v="0.38508861719367699"/>
  </r>
  <r>
    <x v="0"/>
    <x v="0"/>
    <x v="0"/>
    <x v="0"/>
    <x v="0"/>
    <x v="1"/>
    <x v="3"/>
    <x v="2"/>
    <x v="3"/>
    <s v="GNR_BO_NGAS_E-70_PHH"/>
    <n v="0.65313994132505804"/>
    <n v="2.3513037887702102"/>
  </r>
  <r>
    <x v="0"/>
    <x v="0"/>
    <x v="0"/>
    <x v="0"/>
    <x v="0"/>
    <x v="2"/>
    <x v="3"/>
    <x v="2"/>
    <x v="3"/>
    <s v="GNR_BO_NGAS_E-82_PHL"/>
    <n v="1.70801737550903"/>
    <n v="6.1488625518325"/>
  </r>
  <r>
    <x v="0"/>
    <x v="0"/>
    <x v="0"/>
    <x v="0"/>
    <x v="0"/>
    <x v="3"/>
    <x v="8"/>
    <x v="4"/>
    <x v="5"/>
    <s v="GNR_HP_ELEC_GROUND-WTR_COP-380_LS-4-MW_Y-2030"/>
    <n v="1.3065605964169"/>
    <n v="4.7036181471008502"/>
  </r>
  <r>
    <x v="0"/>
    <x v="0"/>
    <x v="0"/>
    <x v="0"/>
    <x v="0"/>
    <x v="3"/>
    <x v="1"/>
    <x v="1"/>
    <x v="1"/>
    <s v="GNR_HS_HEAT_WTR-TANK_LS_E-95_Y-2010"/>
    <n v="0.17511760960093001"/>
    <n v="0.63042339456334695"/>
  </r>
  <r>
    <x v="0"/>
    <x v="0"/>
    <x v="0"/>
    <x v="0"/>
    <x v="0"/>
    <x v="3"/>
    <x v="1"/>
    <x v="1"/>
    <x v="2"/>
    <s v="GNR_HS_HEAT_PIT_L-DEC_E-91_Y-2030"/>
    <n v="0.37115907202433701"/>
    <n v="1.33617265928761"/>
  </r>
  <r>
    <x v="0"/>
    <x v="0"/>
    <x v="0"/>
    <x v="0"/>
    <x v="0"/>
    <x v="3"/>
    <x v="3"/>
    <x v="0"/>
    <x v="0"/>
    <s v="GNR_ENG_NGAS_BP_E-41"/>
    <n v="1.0614740740740701E-2"/>
    <n v="3.8213066666666698E-2"/>
  </r>
  <r>
    <x v="0"/>
    <x v="0"/>
    <x v="0"/>
    <x v="0"/>
    <x v="0"/>
    <x v="3"/>
    <x v="3"/>
    <x v="2"/>
    <x v="3"/>
    <s v="GNR_BO_NGAS_E-100"/>
    <n v="1.05240345806938E-2"/>
    <n v="3.7886524490497599E-2"/>
  </r>
  <r>
    <x v="0"/>
    <x v="0"/>
    <x v="0"/>
    <x v="0"/>
    <x v="0"/>
    <x v="3"/>
    <x v="3"/>
    <x v="2"/>
    <x v="3"/>
    <s v="GNR_BO_NGAS_E-101"/>
    <n v="2.409E-2"/>
    <n v="8.6723999999999996E-2"/>
  </r>
  <r>
    <x v="0"/>
    <x v="0"/>
    <x v="0"/>
    <x v="0"/>
    <x v="0"/>
    <x v="3"/>
    <x v="3"/>
    <x v="2"/>
    <x v="3"/>
    <s v="GNR_BO_NGAS_E-102"/>
    <n v="3.7230000000000002E-3"/>
    <n v="1.3402799999999999E-2"/>
  </r>
  <r>
    <x v="0"/>
    <x v="0"/>
    <x v="0"/>
    <x v="0"/>
    <x v="0"/>
    <x v="3"/>
    <x v="4"/>
    <x v="2"/>
    <x v="3"/>
    <s v="GNR_BO_STRW_E-102"/>
    <n v="9.39948000000001E-2"/>
    <n v="0.33838128000000001"/>
  </r>
  <r>
    <x v="0"/>
    <x v="0"/>
    <x v="0"/>
    <x v="0"/>
    <x v="0"/>
    <x v="3"/>
    <x v="5"/>
    <x v="3"/>
    <x v="4"/>
    <s v="GNR_SH_SUN"/>
    <n v="5.9052000000000002E-3"/>
    <n v="2.1258719999999998E-2"/>
  </r>
  <r>
    <x v="0"/>
    <x v="0"/>
    <x v="0"/>
    <x v="0"/>
    <x v="0"/>
    <x v="3"/>
    <x v="6"/>
    <x v="2"/>
    <x v="3"/>
    <s v="GNR_EH_HEAT"/>
    <n v="0.33288000000000001"/>
    <n v="1.1983680000000001"/>
  </r>
  <r>
    <x v="0"/>
    <x v="0"/>
    <x v="0"/>
    <x v="0"/>
    <x v="0"/>
    <x v="3"/>
    <x v="7"/>
    <x v="2"/>
    <x v="3"/>
    <s v="GNR_BO_WOODCHI_E-110"/>
    <n v="0.13274738464676999"/>
    <n v="0.47789058472837398"/>
  </r>
  <r>
    <x v="0"/>
    <x v="0"/>
    <x v="0"/>
    <x v="0"/>
    <x v="0"/>
    <x v="4"/>
    <x v="0"/>
    <x v="0"/>
    <x v="0"/>
    <s v="GNR_ENG_BGAS_BP_E-39"/>
    <n v="5.6085365853658501E-4"/>
    <n v="2.0190731707317102E-3"/>
  </r>
  <r>
    <x v="0"/>
    <x v="0"/>
    <x v="0"/>
    <x v="0"/>
    <x v="0"/>
    <x v="4"/>
    <x v="0"/>
    <x v="0"/>
    <x v="0"/>
    <s v="GNR_ENG_BGAS_BP_E-41"/>
    <n v="2.9529390243902402E-3"/>
    <n v="1.0630580487804899E-2"/>
  </r>
  <r>
    <x v="0"/>
    <x v="0"/>
    <x v="0"/>
    <x v="0"/>
    <x v="0"/>
    <x v="4"/>
    <x v="0"/>
    <x v="0"/>
    <x v="0"/>
    <s v="GNR_ENG_BGAS_BP_E-42"/>
    <n v="2.9378048780487798E-4"/>
    <n v="1.0576097560975599E-3"/>
  </r>
  <r>
    <x v="0"/>
    <x v="0"/>
    <x v="0"/>
    <x v="0"/>
    <x v="0"/>
    <x v="4"/>
    <x v="1"/>
    <x v="1"/>
    <x v="1"/>
    <s v="GNR_HS_HEAT_WTR-TANK_LS_E-95_Y-2010"/>
    <n v="0.76131436117448603"/>
    <n v="2.7407317002281499"/>
  </r>
  <r>
    <x v="0"/>
    <x v="0"/>
    <x v="0"/>
    <x v="0"/>
    <x v="0"/>
    <x v="4"/>
    <x v="1"/>
    <x v="1"/>
    <x v="2"/>
    <s v="GNR_HS_HEAT_PIT_L-DEC_E-91_Y-2030"/>
    <n v="0.77754085920264204"/>
    <n v="2.7991470931295099"/>
  </r>
  <r>
    <x v="0"/>
    <x v="0"/>
    <x v="0"/>
    <x v="0"/>
    <x v="0"/>
    <x v="4"/>
    <x v="3"/>
    <x v="0"/>
    <x v="0"/>
    <s v="GNR_ENG_NGAS_BP_E-41"/>
    <n v="8.1381481481481496E-3"/>
    <n v="2.92973333333333E-2"/>
  </r>
  <r>
    <x v="0"/>
    <x v="0"/>
    <x v="0"/>
    <x v="0"/>
    <x v="0"/>
    <x v="4"/>
    <x v="3"/>
    <x v="0"/>
    <x v="0"/>
    <s v="GNR_ENG_NGAS_BP_E-42"/>
    <n v="1.50866666666667E-2"/>
    <n v="5.4311999999999999E-2"/>
  </r>
  <r>
    <x v="0"/>
    <x v="0"/>
    <x v="0"/>
    <x v="0"/>
    <x v="0"/>
    <x v="4"/>
    <x v="3"/>
    <x v="0"/>
    <x v="0"/>
    <s v="GNR_ENG_NGAS_BP_E-43"/>
    <n v="3.8392592592592601E-3"/>
    <n v="1.38213333333333E-2"/>
  </r>
  <r>
    <x v="0"/>
    <x v="0"/>
    <x v="0"/>
    <x v="0"/>
    <x v="0"/>
    <x v="4"/>
    <x v="3"/>
    <x v="0"/>
    <x v="0"/>
    <s v="GNR_ENG_NGAS_BP_E-44"/>
    <n v="1.3918666666666701E-2"/>
    <n v="5.0107199999999998E-2"/>
  </r>
  <r>
    <x v="0"/>
    <x v="0"/>
    <x v="0"/>
    <x v="0"/>
    <x v="0"/>
    <x v="4"/>
    <x v="3"/>
    <x v="0"/>
    <x v="0"/>
    <s v="GNR_ENG_NGAS_BP_E-48_Y-2030"/>
    <n v="3.2156270417414299"/>
    <n v="11.576257350269101"/>
  </r>
  <r>
    <x v="0"/>
    <x v="0"/>
    <x v="0"/>
    <x v="0"/>
    <x v="0"/>
    <x v="4"/>
    <x v="4"/>
    <x v="2"/>
    <x v="3"/>
    <s v="GNR_BO_STRW_E-102"/>
    <n v="5.8886666666666703E-4"/>
    <n v="2.11992E-3"/>
  </r>
  <r>
    <x v="0"/>
    <x v="0"/>
    <x v="0"/>
    <x v="0"/>
    <x v="0"/>
    <x v="4"/>
    <x v="5"/>
    <x v="3"/>
    <x v="4"/>
    <s v="GNR_SH_SUN"/>
    <n v="1.27946E-2"/>
    <n v="4.606056E-2"/>
  </r>
  <r>
    <x v="0"/>
    <x v="0"/>
    <x v="0"/>
    <x v="0"/>
    <x v="0"/>
    <x v="4"/>
    <x v="6"/>
    <x v="2"/>
    <x v="3"/>
    <s v="GNR_EH_HEAT"/>
    <n v="0.70955999999999997"/>
    <n v="2.5544159999999998"/>
  </r>
  <r>
    <x v="0"/>
    <x v="0"/>
    <x v="0"/>
    <x v="0"/>
    <x v="0"/>
    <x v="4"/>
    <x v="6"/>
    <x v="2"/>
    <x v="3"/>
    <s v="GNR_GEO_HEAT_HO"/>
    <n v="8.7599999999999997E-2"/>
    <n v="0.31535999999999997"/>
  </r>
  <r>
    <x v="0"/>
    <x v="0"/>
    <x v="0"/>
    <x v="0"/>
    <x v="0"/>
    <x v="5"/>
    <x v="8"/>
    <x v="4"/>
    <x v="5"/>
    <s v="GNR_BO_ELEC_E-99_LS-10-MW-FEED_PHH_Y-2030"/>
    <n v="0.213010812025695"/>
    <n v="0.76683892329250203"/>
  </r>
  <r>
    <x v="0"/>
    <x v="0"/>
    <x v="0"/>
    <x v="0"/>
    <x v="0"/>
    <x v="5"/>
    <x v="3"/>
    <x v="2"/>
    <x v="3"/>
    <s v="GNR_BO_NGAS_E-70_PHH"/>
    <n v="1.43587451388889E-2"/>
    <n v="5.1691482499999997E-2"/>
  </r>
  <r>
    <x v="0"/>
    <x v="0"/>
    <x v="0"/>
    <x v="0"/>
    <x v="0"/>
    <x v="6"/>
    <x v="3"/>
    <x v="2"/>
    <x v="3"/>
    <s v="GNR_BO_NGAS_E-82_PHL"/>
    <n v="8.8862784656844696"/>
    <n v="31.990602476464101"/>
  </r>
  <r>
    <x v="0"/>
    <x v="0"/>
    <x v="0"/>
    <x v="0"/>
    <x v="0"/>
    <x v="7"/>
    <x v="0"/>
    <x v="0"/>
    <x v="0"/>
    <s v="GNR_ENG_BGAS_BP_E-30"/>
    <n v="5.3414634146341502E-3"/>
    <n v="1.9229268292682899E-2"/>
  </r>
  <r>
    <x v="0"/>
    <x v="0"/>
    <x v="0"/>
    <x v="0"/>
    <x v="0"/>
    <x v="7"/>
    <x v="0"/>
    <x v="0"/>
    <x v="0"/>
    <s v="GNR_ENG_BGAS_BP_E-37"/>
    <n v="1.56237804878049E-3"/>
    <n v="5.6245609756097603E-3"/>
  </r>
  <r>
    <x v="0"/>
    <x v="0"/>
    <x v="0"/>
    <x v="0"/>
    <x v="0"/>
    <x v="7"/>
    <x v="0"/>
    <x v="0"/>
    <x v="0"/>
    <s v="GNR_ENG_BGAS_BP_E-38"/>
    <n v="7.1219512195121995E-4"/>
    <n v="2.56390243902439E-3"/>
  </r>
  <r>
    <x v="0"/>
    <x v="0"/>
    <x v="0"/>
    <x v="0"/>
    <x v="0"/>
    <x v="7"/>
    <x v="0"/>
    <x v="0"/>
    <x v="0"/>
    <s v="GNR_ENG_BGAS_BP_E-39"/>
    <n v="1.28788617886179E-3"/>
    <n v="4.6363902439024397E-3"/>
  </r>
  <r>
    <x v="0"/>
    <x v="0"/>
    <x v="0"/>
    <x v="0"/>
    <x v="0"/>
    <x v="7"/>
    <x v="0"/>
    <x v="0"/>
    <x v="0"/>
    <s v="GNR_ENG_BGAS_BP_E-40"/>
    <n v="1.3169674796748E-2"/>
    <n v="4.7410829268292702E-2"/>
  </r>
  <r>
    <x v="0"/>
    <x v="0"/>
    <x v="0"/>
    <x v="0"/>
    <x v="0"/>
    <x v="7"/>
    <x v="0"/>
    <x v="0"/>
    <x v="0"/>
    <s v="GNR_ENG_BGAS_BP_E-41"/>
    <n v="2.45113821138211E-3"/>
    <n v="8.8240975609756092E-3"/>
  </r>
  <r>
    <x v="0"/>
    <x v="0"/>
    <x v="0"/>
    <x v="0"/>
    <x v="0"/>
    <x v="7"/>
    <x v="0"/>
    <x v="0"/>
    <x v="0"/>
    <s v="GNR_ENG_BGAS_BP_E-42"/>
    <n v="1.3875934959349599E-2"/>
    <n v="4.9953365853658498E-2"/>
  </r>
  <r>
    <x v="0"/>
    <x v="0"/>
    <x v="0"/>
    <x v="0"/>
    <x v="0"/>
    <x v="7"/>
    <x v="0"/>
    <x v="0"/>
    <x v="0"/>
    <s v="GNR_ENG_BGAS_BP_E-43"/>
    <n v="1.06769918699187E-2"/>
    <n v="3.8437170731707299E-2"/>
  </r>
  <r>
    <x v="0"/>
    <x v="0"/>
    <x v="0"/>
    <x v="0"/>
    <x v="0"/>
    <x v="7"/>
    <x v="8"/>
    <x v="4"/>
    <x v="5"/>
    <s v="GNR_HP_ELEC_COP-300"/>
    <n v="4.7450000000000001E-3"/>
    <n v="1.7082E-2"/>
  </r>
  <r>
    <x v="0"/>
    <x v="0"/>
    <x v="0"/>
    <x v="0"/>
    <x v="0"/>
    <x v="7"/>
    <x v="8"/>
    <x v="4"/>
    <x v="5"/>
    <s v="GNR_HP_ELEC_COP-350"/>
    <n v="1.33164166666667E-2"/>
    <n v="4.7939099999999998E-2"/>
  </r>
  <r>
    <x v="0"/>
    <x v="0"/>
    <x v="0"/>
    <x v="0"/>
    <x v="0"/>
    <x v="7"/>
    <x v="8"/>
    <x v="4"/>
    <x v="5"/>
    <s v="GNR_HP_ELEC_COP-400"/>
    <n v="1.3953706666666701E-2"/>
    <n v="5.0233343999999999E-2"/>
  </r>
  <r>
    <x v="0"/>
    <x v="0"/>
    <x v="0"/>
    <x v="0"/>
    <x v="0"/>
    <x v="7"/>
    <x v="8"/>
    <x v="4"/>
    <x v="5"/>
    <s v="GNR_HP_ELEC_COP-430"/>
    <n v="9.1736666666666702E-3"/>
    <n v="3.3025199999999998E-2"/>
  </r>
  <r>
    <x v="0"/>
    <x v="0"/>
    <x v="0"/>
    <x v="0"/>
    <x v="0"/>
    <x v="7"/>
    <x v="8"/>
    <x v="4"/>
    <x v="5"/>
    <s v="GNR_HP_ELEC_COP-450"/>
    <n v="3.8105999999999999E-3"/>
    <n v="1.371816E-2"/>
  </r>
  <r>
    <x v="0"/>
    <x v="0"/>
    <x v="0"/>
    <x v="0"/>
    <x v="0"/>
    <x v="7"/>
    <x v="8"/>
    <x v="4"/>
    <x v="5"/>
    <s v="GNR_HP_ELEC_COP-460"/>
    <n v="2.5403999999999999E-2"/>
    <n v="9.1454400000000102E-2"/>
  </r>
  <r>
    <x v="0"/>
    <x v="0"/>
    <x v="0"/>
    <x v="0"/>
    <x v="0"/>
    <x v="7"/>
    <x v="8"/>
    <x v="4"/>
    <x v="5"/>
    <s v="GNR_HP_ELEC_COP-470"/>
    <n v="6.7038333333333403E-3"/>
    <n v="2.41338E-2"/>
  </r>
  <r>
    <x v="0"/>
    <x v="0"/>
    <x v="0"/>
    <x v="0"/>
    <x v="0"/>
    <x v="7"/>
    <x v="8"/>
    <x v="4"/>
    <x v="5"/>
    <s v="GNR_HP_ELEC_COP-500"/>
    <n v="4.2583333333333301E-3"/>
    <n v="1.533E-2"/>
  </r>
  <r>
    <x v="0"/>
    <x v="0"/>
    <x v="0"/>
    <x v="0"/>
    <x v="0"/>
    <x v="7"/>
    <x v="8"/>
    <x v="4"/>
    <x v="5"/>
    <s v="GNR_HP_ELEC_COP-530"/>
    <n v="1.1826E-2"/>
    <n v="4.2573600000000003E-2"/>
  </r>
  <r>
    <x v="0"/>
    <x v="0"/>
    <x v="0"/>
    <x v="0"/>
    <x v="0"/>
    <x v="7"/>
    <x v="8"/>
    <x v="4"/>
    <x v="5"/>
    <s v="GNR_HP_ELEC_COP-600"/>
    <n v="2.6280000000000001E-3"/>
    <n v="9.4608000000000001E-3"/>
  </r>
  <r>
    <x v="0"/>
    <x v="0"/>
    <x v="0"/>
    <x v="0"/>
    <x v="0"/>
    <x v="7"/>
    <x v="8"/>
    <x v="4"/>
    <x v="5"/>
    <s v="GNR_HP_ELEC_GROUND-WTR_COP-380_LS-4-MW_Y-2030"/>
    <n v="0.50438431654224603"/>
    <n v="1.81578353955209"/>
  </r>
  <r>
    <x v="0"/>
    <x v="0"/>
    <x v="0"/>
    <x v="0"/>
    <x v="0"/>
    <x v="7"/>
    <x v="1"/>
    <x v="1"/>
    <x v="1"/>
    <s v="GNR_HS_HEAT_WTR-TANK_LS_E-95_Y-2010"/>
    <n v="0.24891633819835501"/>
    <n v="0.89609881751407805"/>
  </r>
  <r>
    <x v="0"/>
    <x v="0"/>
    <x v="0"/>
    <x v="0"/>
    <x v="0"/>
    <x v="7"/>
    <x v="1"/>
    <x v="1"/>
    <x v="2"/>
    <s v="GNR_HS_HEAT_PIT_L-DEC_E-91_Y-2030"/>
    <n v="0.68709028518695503"/>
    <n v="2.4735250266730402"/>
  </r>
  <r>
    <x v="0"/>
    <x v="0"/>
    <x v="0"/>
    <x v="0"/>
    <x v="0"/>
    <x v="7"/>
    <x v="3"/>
    <x v="0"/>
    <x v="0"/>
    <s v="GNR_ENG_NGAS_BP_E-37"/>
    <n v="1.5508444444444399E-2"/>
    <n v="5.5830400000000002E-2"/>
  </r>
  <r>
    <x v="0"/>
    <x v="0"/>
    <x v="0"/>
    <x v="0"/>
    <x v="0"/>
    <x v="7"/>
    <x v="3"/>
    <x v="0"/>
    <x v="0"/>
    <s v="GNR_ENG_NGAS_BP_E-38"/>
    <n v="7.3000000000000001E-3"/>
    <n v="2.6280000000000001E-2"/>
  </r>
  <r>
    <x v="0"/>
    <x v="0"/>
    <x v="0"/>
    <x v="0"/>
    <x v="0"/>
    <x v="7"/>
    <x v="3"/>
    <x v="0"/>
    <x v="0"/>
    <s v="GNR_ENG_NGAS_BP_E-39"/>
    <n v="5.9481481481481503E-3"/>
    <n v="2.1413333333333302E-2"/>
  </r>
  <r>
    <x v="0"/>
    <x v="0"/>
    <x v="0"/>
    <x v="0"/>
    <x v="0"/>
    <x v="7"/>
    <x v="3"/>
    <x v="0"/>
    <x v="0"/>
    <s v="GNR_ENG_NGAS_BP_E-40"/>
    <n v="1.4989333333333301E-2"/>
    <n v="5.3961599999999998E-2"/>
  </r>
  <r>
    <x v="0"/>
    <x v="0"/>
    <x v="0"/>
    <x v="0"/>
    <x v="0"/>
    <x v="7"/>
    <x v="3"/>
    <x v="0"/>
    <x v="0"/>
    <s v="GNR_ENG_NGAS_BP_E-41"/>
    <n v="5.1327782078850102E-2"/>
    <n v="0.18478001548386"/>
  </r>
  <r>
    <x v="0"/>
    <x v="0"/>
    <x v="0"/>
    <x v="0"/>
    <x v="0"/>
    <x v="7"/>
    <x v="3"/>
    <x v="0"/>
    <x v="0"/>
    <s v="GNR_ENG_NGAS_BP_E-42"/>
    <n v="0.146657540740741"/>
    <n v="0.527967146666667"/>
  </r>
  <r>
    <x v="0"/>
    <x v="0"/>
    <x v="0"/>
    <x v="0"/>
    <x v="0"/>
    <x v="7"/>
    <x v="3"/>
    <x v="0"/>
    <x v="0"/>
    <s v="GNR_ENG_NGAS_BP_E-43"/>
    <n v="8.9890577777777703E-2"/>
    <n v="0.32360608000000002"/>
  </r>
  <r>
    <x v="0"/>
    <x v="0"/>
    <x v="0"/>
    <x v="0"/>
    <x v="0"/>
    <x v="7"/>
    <x v="3"/>
    <x v="0"/>
    <x v="0"/>
    <s v="GNR_ENG_NGAS_BP_E-44"/>
    <n v="8.1835703703703702E-2"/>
    <n v="0.29460853333333298"/>
  </r>
  <r>
    <x v="0"/>
    <x v="0"/>
    <x v="0"/>
    <x v="0"/>
    <x v="0"/>
    <x v="7"/>
    <x v="3"/>
    <x v="0"/>
    <x v="0"/>
    <s v="GNR_ENG_NGAS_BP_E-45"/>
    <n v="3.3093333333333301E-2"/>
    <n v="0.11913600000000001"/>
  </r>
  <r>
    <x v="0"/>
    <x v="0"/>
    <x v="0"/>
    <x v="0"/>
    <x v="0"/>
    <x v="7"/>
    <x v="3"/>
    <x v="0"/>
    <x v="0"/>
    <s v="GNR_ENG_NGAS_BP_E-46"/>
    <n v="1.1809777777777799E-2"/>
    <n v="4.2515200000000003E-2"/>
  </r>
  <r>
    <x v="0"/>
    <x v="0"/>
    <x v="0"/>
    <x v="0"/>
    <x v="0"/>
    <x v="7"/>
    <x v="3"/>
    <x v="2"/>
    <x v="3"/>
    <s v="GNR_BO_NGAS_E-101"/>
    <n v="9.8238929726552193E-3"/>
    <n v="3.5366014701558798E-2"/>
  </r>
  <r>
    <x v="0"/>
    <x v="0"/>
    <x v="0"/>
    <x v="0"/>
    <x v="0"/>
    <x v="7"/>
    <x v="3"/>
    <x v="2"/>
    <x v="3"/>
    <s v="GNR_BO_NGAS_E-102"/>
    <n v="3.3117666666666701E-3"/>
    <n v="1.192236E-2"/>
  </r>
  <r>
    <x v="0"/>
    <x v="0"/>
    <x v="0"/>
    <x v="0"/>
    <x v="0"/>
    <x v="7"/>
    <x v="3"/>
    <x v="2"/>
    <x v="3"/>
    <s v="GNR_BO_NGAS_E-104"/>
    <n v="1.02686666666667E-3"/>
    <n v="3.6967200000000001E-3"/>
  </r>
  <r>
    <x v="0"/>
    <x v="0"/>
    <x v="0"/>
    <x v="0"/>
    <x v="0"/>
    <x v="7"/>
    <x v="3"/>
    <x v="2"/>
    <x v="3"/>
    <s v="GNR_BO_NGAS_E-105"/>
    <n v="1.6780586834533599E-2"/>
    <n v="6.0410112604320901E-2"/>
  </r>
  <r>
    <x v="0"/>
    <x v="0"/>
    <x v="0"/>
    <x v="0"/>
    <x v="0"/>
    <x v="7"/>
    <x v="4"/>
    <x v="2"/>
    <x v="3"/>
    <s v="GNR_BO_STRW_E-100"/>
    <n v="0.69339807535130504"/>
    <n v="2.4962330712647001"/>
  </r>
  <r>
    <x v="0"/>
    <x v="0"/>
    <x v="0"/>
    <x v="0"/>
    <x v="0"/>
    <x v="7"/>
    <x v="4"/>
    <x v="2"/>
    <x v="3"/>
    <s v="GNR_BO_STRW_E-102"/>
    <n v="0.225351"/>
    <n v="0.81126359999999997"/>
  </r>
  <r>
    <x v="0"/>
    <x v="0"/>
    <x v="0"/>
    <x v="0"/>
    <x v="0"/>
    <x v="7"/>
    <x v="5"/>
    <x v="3"/>
    <x v="4"/>
    <s v="GNR_SH_SUN"/>
    <n v="0.35606247000000002"/>
    <n v="1.2818248919999999"/>
  </r>
  <r>
    <x v="0"/>
    <x v="0"/>
    <x v="0"/>
    <x v="0"/>
    <x v="0"/>
    <x v="7"/>
    <x v="6"/>
    <x v="2"/>
    <x v="3"/>
    <s v="GNR_EH_HEAT"/>
    <n v="0.95484000000000002"/>
    <n v="3.437424"/>
  </r>
  <r>
    <x v="0"/>
    <x v="0"/>
    <x v="0"/>
    <x v="0"/>
    <x v="0"/>
    <x v="7"/>
    <x v="7"/>
    <x v="0"/>
    <x v="0"/>
    <s v="GNR_ST_WOODCHI_BP_E-17"/>
    <n v="3.22058823529412E-3"/>
    <n v="1.15941176470588E-2"/>
  </r>
  <r>
    <x v="0"/>
    <x v="0"/>
    <x v="0"/>
    <x v="0"/>
    <x v="0"/>
    <x v="7"/>
    <x v="7"/>
    <x v="2"/>
    <x v="3"/>
    <s v="GNR_BO_WOODCHI_E-100"/>
    <n v="0.50823702330505105"/>
    <n v="1.82965328389818"/>
  </r>
  <r>
    <x v="0"/>
    <x v="0"/>
    <x v="0"/>
    <x v="0"/>
    <x v="0"/>
    <x v="7"/>
    <x v="7"/>
    <x v="2"/>
    <x v="3"/>
    <s v="GNR_BO_WOODCHI_E-105"/>
    <n v="1.6424999999999999E-2"/>
    <n v="5.9130000000000002E-2"/>
  </r>
  <r>
    <x v="0"/>
    <x v="0"/>
    <x v="0"/>
    <x v="0"/>
    <x v="0"/>
    <x v="7"/>
    <x v="7"/>
    <x v="2"/>
    <x v="3"/>
    <s v="GNR_BO_WOODCHI_E-106"/>
    <n v="1.06870938054638E-2"/>
    <n v="3.8473537699669803E-2"/>
  </r>
  <r>
    <x v="0"/>
    <x v="0"/>
    <x v="0"/>
    <x v="0"/>
    <x v="0"/>
    <x v="7"/>
    <x v="7"/>
    <x v="2"/>
    <x v="3"/>
    <s v="GNR_BO_WOODCHI_E-107"/>
    <n v="4.8588800000000001E-2"/>
    <n v="0.17491967999999999"/>
  </r>
  <r>
    <x v="0"/>
    <x v="0"/>
    <x v="0"/>
    <x v="0"/>
    <x v="0"/>
    <x v="7"/>
    <x v="7"/>
    <x v="2"/>
    <x v="3"/>
    <s v="GNR_BO_WOODCHI_E-110"/>
    <n v="0.76848566658578998"/>
    <n v="2.7665483997088498"/>
  </r>
  <r>
    <x v="0"/>
    <x v="0"/>
    <x v="0"/>
    <x v="0"/>
    <x v="0"/>
    <x v="7"/>
    <x v="7"/>
    <x v="2"/>
    <x v="3"/>
    <s v="GNR_BO_WOODCHI_E-112"/>
    <n v="0.161816666666667"/>
    <n v="0.58253999999999995"/>
  </r>
  <r>
    <x v="0"/>
    <x v="0"/>
    <x v="0"/>
    <x v="0"/>
    <x v="0"/>
    <x v="7"/>
    <x v="7"/>
    <x v="2"/>
    <x v="3"/>
    <s v="GNR_BO_WOODCHI_E-117"/>
    <n v="0.11388"/>
    <n v="0.409968"/>
  </r>
  <r>
    <x v="0"/>
    <x v="0"/>
    <x v="0"/>
    <x v="0"/>
    <x v="0"/>
    <x v="7"/>
    <x v="7"/>
    <x v="2"/>
    <x v="3"/>
    <s v="GNR_BO_WOODCHI_E-120"/>
    <n v="0.15767999999999999"/>
    <n v="0.56764800000000004"/>
  </r>
  <r>
    <x v="0"/>
    <x v="0"/>
    <x v="0"/>
    <x v="0"/>
    <x v="0"/>
    <x v="7"/>
    <x v="9"/>
    <x v="2"/>
    <x v="3"/>
    <s v="GNR_BO_WOODWST_E-100"/>
    <n v="0.19053"/>
    <n v="0.68590799999999996"/>
  </r>
  <r>
    <x v="0"/>
    <x v="0"/>
    <x v="0"/>
    <x v="0"/>
    <x v="0"/>
    <x v="7"/>
    <x v="9"/>
    <x v="2"/>
    <x v="3"/>
    <s v="GNR_BO_WOODWST_E-113"/>
    <n v="3.5040000000000002E-2"/>
    <n v="0.12614400000000001"/>
  </r>
  <r>
    <x v="0"/>
    <x v="0"/>
    <x v="0"/>
    <x v="0"/>
    <x v="0"/>
    <x v="7"/>
    <x v="9"/>
    <x v="2"/>
    <x v="3"/>
    <s v="GNR_BO_WOODWST_E-86"/>
    <n v="1.022E-2"/>
    <n v="3.6791999999999998E-2"/>
  </r>
  <r>
    <x v="0"/>
    <x v="0"/>
    <x v="0"/>
    <x v="0"/>
    <x v="0"/>
    <x v="7"/>
    <x v="9"/>
    <x v="2"/>
    <x v="3"/>
    <s v="GNR_BO_WOODWST_E-89"/>
    <n v="7.3000000000000001E-3"/>
    <n v="2.6280000000000001E-2"/>
  </r>
  <r>
    <x v="0"/>
    <x v="0"/>
    <x v="0"/>
    <x v="0"/>
    <x v="0"/>
    <x v="7"/>
    <x v="9"/>
    <x v="2"/>
    <x v="3"/>
    <s v="GNR_BO_WOODWST_E-90"/>
    <n v="6.5700000000000003E-3"/>
    <n v="2.3651999999999999E-2"/>
  </r>
  <r>
    <x v="0"/>
    <x v="0"/>
    <x v="0"/>
    <x v="0"/>
    <x v="0"/>
    <x v="7"/>
    <x v="9"/>
    <x v="2"/>
    <x v="3"/>
    <s v="GNR_BO_WOODWST_E-94"/>
    <n v="7.1791699156937604E-3"/>
    <n v="2.58450116964976E-2"/>
  </r>
  <r>
    <x v="0"/>
    <x v="0"/>
    <x v="0"/>
    <x v="0"/>
    <x v="0"/>
    <x v="8"/>
    <x v="1"/>
    <x v="1"/>
    <x v="1"/>
    <s v="GNR_HS_HEAT_WTR-TANK_LS_E-95_Y-2010"/>
    <n v="4.74943061818291E-3"/>
    <n v="1.70979502254585E-2"/>
  </r>
  <r>
    <x v="0"/>
    <x v="0"/>
    <x v="0"/>
    <x v="0"/>
    <x v="0"/>
    <x v="8"/>
    <x v="3"/>
    <x v="0"/>
    <x v="0"/>
    <s v="GNR_ENG_NGAS_BP_E-38"/>
    <n v="2.7496666666666698E-3"/>
    <n v="9.8987999999999993E-3"/>
  </r>
  <r>
    <x v="0"/>
    <x v="0"/>
    <x v="0"/>
    <x v="0"/>
    <x v="0"/>
    <x v="8"/>
    <x v="3"/>
    <x v="2"/>
    <x v="3"/>
    <s v="GNR_BO_NGAS_E-101"/>
    <n v="1.9929945624457199E-4"/>
    <n v="7.1747804248046003E-4"/>
  </r>
  <r>
    <x v="0"/>
    <x v="0"/>
    <x v="0"/>
    <x v="0"/>
    <x v="0"/>
    <x v="8"/>
    <x v="4"/>
    <x v="2"/>
    <x v="3"/>
    <s v="GNR_BO_STRW_E-100"/>
    <n v="0.23322973565743799"/>
    <n v="0.83962704836677704"/>
  </r>
  <r>
    <x v="0"/>
    <x v="0"/>
    <x v="0"/>
    <x v="0"/>
    <x v="0"/>
    <x v="8"/>
    <x v="6"/>
    <x v="2"/>
    <x v="3"/>
    <s v="GNR_EH_HEAT"/>
    <n v="7.8839999999999993E-2"/>
    <n v="0.28382400000000002"/>
  </r>
  <r>
    <x v="0"/>
    <x v="0"/>
    <x v="0"/>
    <x v="0"/>
    <x v="0"/>
    <x v="8"/>
    <x v="7"/>
    <x v="2"/>
    <x v="3"/>
    <s v="GNR_BO_WOODCHI_E-100"/>
    <n v="7.2892103422987201E-2"/>
    <n v="0.26241157232275403"/>
  </r>
  <r>
    <x v="0"/>
    <x v="0"/>
    <x v="0"/>
    <x v="0"/>
    <x v="0"/>
    <x v="8"/>
    <x v="7"/>
    <x v="2"/>
    <x v="3"/>
    <s v="GNR_BO_WOODCHI_E-110"/>
    <n v="6.7364111495866102E-2"/>
    <n v="0.24251080138511799"/>
  </r>
  <r>
    <x v="0"/>
    <x v="0"/>
    <x v="0"/>
    <x v="0"/>
    <x v="0"/>
    <x v="8"/>
    <x v="9"/>
    <x v="2"/>
    <x v="3"/>
    <s v="GNR_BO_WOODWST_E-89"/>
    <n v="6.0570533333333303E-3"/>
    <n v="2.1805392E-2"/>
  </r>
  <r>
    <x v="0"/>
    <x v="0"/>
    <x v="0"/>
    <x v="0"/>
    <x v="1"/>
    <x v="9"/>
    <x v="0"/>
    <x v="0"/>
    <x v="0"/>
    <s v="GNR_ENG_BGAS_BP_E-42"/>
    <n v="2.7125731707317098E-3"/>
    <n v="9.7652634146341497E-3"/>
  </r>
  <r>
    <x v="0"/>
    <x v="0"/>
    <x v="0"/>
    <x v="0"/>
    <x v="1"/>
    <x v="9"/>
    <x v="10"/>
    <x v="0"/>
    <x v="6"/>
    <s v="GNR_ST_COAL_EXT_E-42"/>
    <n v="1.1864092832989499"/>
    <n v="4.2710734198762097"/>
  </r>
  <r>
    <x v="0"/>
    <x v="0"/>
    <x v="0"/>
    <x v="0"/>
    <x v="1"/>
    <x v="9"/>
    <x v="8"/>
    <x v="4"/>
    <x v="5"/>
    <s v="GNR_HP_ELEC_COP-300"/>
    <n v="6.6186666666666696E-4"/>
    <n v="2.3827200000000001E-3"/>
  </r>
  <r>
    <x v="0"/>
    <x v="0"/>
    <x v="0"/>
    <x v="0"/>
    <x v="1"/>
    <x v="9"/>
    <x v="1"/>
    <x v="1"/>
    <x v="1"/>
    <s v="GNR_HS_HEAT_WTR-TANK_LS_E-95_Y-2010"/>
    <n v="0.79945306947559203"/>
    <n v="2.87803105011213"/>
  </r>
  <r>
    <x v="0"/>
    <x v="0"/>
    <x v="0"/>
    <x v="0"/>
    <x v="1"/>
    <x v="9"/>
    <x v="1"/>
    <x v="1"/>
    <x v="2"/>
    <s v="GNR_HS_HEAT_PIT_L-CEN_E-90_Y-2030"/>
    <n v="2.3959943018697398"/>
    <n v="8.6255794867310502"/>
  </r>
  <r>
    <x v="0"/>
    <x v="0"/>
    <x v="0"/>
    <x v="0"/>
    <x v="1"/>
    <x v="9"/>
    <x v="2"/>
    <x v="0"/>
    <x v="0"/>
    <s v="GNR_ST_MSW_BP_E-24_LS-220-MW-FEED_Y-2030"/>
    <n v="3.76754180050792"/>
    <n v="13.563150481828499"/>
  </r>
  <r>
    <x v="0"/>
    <x v="0"/>
    <x v="0"/>
    <x v="0"/>
    <x v="1"/>
    <x v="9"/>
    <x v="2"/>
    <x v="0"/>
    <x v="0"/>
    <s v="GNR_ST_MSW_BP_E-27"/>
    <n v="0.57459965140858105"/>
    <n v="2.0685587450708902"/>
  </r>
  <r>
    <x v="0"/>
    <x v="0"/>
    <x v="0"/>
    <x v="0"/>
    <x v="1"/>
    <x v="9"/>
    <x v="3"/>
    <x v="0"/>
    <x v="0"/>
    <s v="GNR_GT_NGAS_BP_E-43_LS-40-MW_Y-2030"/>
    <n v="0.76838262471794305"/>
    <n v="2.7661774489846001"/>
  </r>
  <r>
    <x v="0"/>
    <x v="0"/>
    <x v="0"/>
    <x v="0"/>
    <x v="1"/>
    <x v="9"/>
    <x v="4"/>
    <x v="0"/>
    <x v="6"/>
    <s v="GNR_ST_COAL_EXT_E-42-Straw"/>
    <n v="0.85166666666666702"/>
    <n v="3.0659999999999998"/>
  </r>
  <r>
    <x v="0"/>
    <x v="0"/>
    <x v="0"/>
    <x v="0"/>
    <x v="1"/>
    <x v="9"/>
    <x v="6"/>
    <x v="2"/>
    <x v="3"/>
    <s v="GNR_EH_HEAT"/>
    <n v="1.5154799999999999"/>
    <n v="5.4557279999999997"/>
  </r>
  <r>
    <x v="0"/>
    <x v="0"/>
    <x v="0"/>
    <x v="0"/>
    <x v="1"/>
    <x v="9"/>
    <x v="6"/>
    <x v="2"/>
    <x v="3"/>
    <s v="GNR_GEO_HEAT_HO"/>
    <n v="0.12264"/>
    <n v="0.44150400000000001"/>
  </r>
  <r>
    <x v="0"/>
    <x v="0"/>
    <x v="0"/>
    <x v="0"/>
    <x v="1"/>
    <x v="9"/>
    <x v="9"/>
    <x v="2"/>
    <x v="3"/>
    <s v="GNR_BO_WOODWST_E-90"/>
    <n v="1.6206E-3"/>
    <n v="5.8341599999999997E-3"/>
  </r>
  <r>
    <x v="0"/>
    <x v="0"/>
    <x v="0"/>
    <x v="0"/>
    <x v="1"/>
    <x v="10"/>
    <x v="8"/>
    <x v="4"/>
    <x v="5"/>
    <s v="GNR_BO_ELEC_E-99_LS-10-MW-FEED_PHH_Y-2030"/>
    <n v="2.6745423837331798E-2"/>
    <n v="9.6283525814394394E-2"/>
  </r>
  <r>
    <x v="0"/>
    <x v="0"/>
    <x v="0"/>
    <x v="0"/>
    <x v="1"/>
    <x v="10"/>
    <x v="3"/>
    <x v="2"/>
    <x v="3"/>
    <s v="GNR_BO_NGAS_E-70_PHH"/>
    <n v="0.27162799817630001"/>
    <n v="0.97786079343467902"/>
  </r>
  <r>
    <x v="0"/>
    <x v="0"/>
    <x v="0"/>
    <x v="0"/>
    <x v="1"/>
    <x v="11"/>
    <x v="3"/>
    <x v="2"/>
    <x v="3"/>
    <s v="GNR_BO_NGAS_E-82_PHL"/>
    <n v="1.63953902818773"/>
    <n v="5.9023405014758303"/>
  </r>
  <r>
    <x v="0"/>
    <x v="0"/>
    <x v="0"/>
    <x v="0"/>
    <x v="1"/>
    <x v="12"/>
    <x v="0"/>
    <x v="0"/>
    <x v="0"/>
    <s v="GNR_ENG_BGAS_BP_E-38"/>
    <n v="2.22560975609756E-4"/>
    <n v="8.0121951219512197E-4"/>
  </r>
  <r>
    <x v="0"/>
    <x v="0"/>
    <x v="0"/>
    <x v="0"/>
    <x v="1"/>
    <x v="12"/>
    <x v="1"/>
    <x v="1"/>
    <x v="1"/>
    <s v="GNR_HS_HEAT_WTR-TANK_LS_E-95_Y-2010"/>
    <n v="0.114692904466508"/>
    <n v="0.41289445607942998"/>
  </r>
  <r>
    <x v="0"/>
    <x v="0"/>
    <x v="0"/>
    <x v="0"/>
    <x v="1"/>
    <x v="12"/>
    <x v="1"/>
    <x v="1"/>
    <x v="2"/>
    <s v="GNR_HS_HEAT_PIT_L-DEC_E-91_Y-2030"/>
    <n v="0.16578660279562199"/>
    <n v="0.59683177006423804"/>
  </r>
  <r>
    <x v="0"/>
    <x v="0"/>
    <x v="0"/>
    <x v="0"/>
    <x v="1"/>
    <x v="12"/>
    <x v="3"/>
    <x v="0"/>
    <x v="0"/>
    <s v="GNR_ENG_NGAS_BP_E-48_Y-2030"/>
    <n v="0.54989772775716395"/>
    <n v="1.9796318199257901"/>
  </r>
  <r>
    <x v="0"/>
    <x v="0"/>
    <x v="0"/>
    <x v="0"/>
    <x v="1"/>
    <x v="12"/>
    <x v="5"/>
    <x v="3"/>
    <x v="4"/>
    <s v="GNR_SH_SUN"/>
    <n v="1.0545000000000001E-2"/>
    <n v="3.7962000000000003E-2"/>
  </r>
  <r>
    <x v="0"/>
    <x v="0"/>
    <x v="0"/>
    <x v="0"/>
    <x v="1"/>
    <x v="12"/>
    <x v="6"/>
    <x v="2"/>
    <x v="3"/>
    <s v="GNR_EH_HEAT"/>
    <n v="0.12264"/>
    <n v="0.44150400000000001"/>
  </r>
  <r>
    <x v="0"/>
    <x v="0"/>
    <x v="0"/>
    <x v="0"/>
    <x v="1"/>
    <x v="12"/>
    <x v="7"/>
    <x v="2"/>
    <x v="3"/>
    <s v="GNR_BO_WOODCHI_E-118"/>
    <n v="1.2865712292483501E-4"/>
    <n v="4.6316564252940802E-4"/>
  </r>
  <r>
    <x v="0"/>
    <x v="0"/>
    <x v="0"/>
    <x v="0"/>
    <x v="1"/>
    <x v="13"/>
    <x v="1"/>
    <x v="1"/>
    <x v="1"/>
    <s v="GNR_HS_HEAT_WTR-TANK_LS_E-95_Y-2010"/>
    <n v="0.34377366221802103"/>
    <n v="1.2375851839848799"/>
  </r>
  <r>
    <x v="0"/>
    <x v="0"/>
    <x v="0"/>
    <x v="0"/>
    <x v="1"/>
    <x v="13"/>
    <x v="1"/>
    <x v="1"/>
    <x v="2"/>
    <s v="GNR_HS_HEAT_PIT_L-DEC_E-91_Y-2030"/>
    <n v="0.30828754704654299"/>
    <n v="1.1098351693675601"/>
  </r>
  <r>
    <x v="0"/>
    <x v="0"/>
    <x v="0"/>
    <x v="0"/>
    <x v="1"/>
    <x v="13"/>
    <x v="2"/>
    <x v="0"/>
    <x v="0"/>
    <s v="GNR_ST_MSW_BP_E-23"/>
    <n v="0.23694830985920801"/>
    <n v="0.85301391549315098"/>
  </r>
  <r>
    <x v="0"/>
    <x v="0"/>
    <x v="0"/>
    <x v="0"/>
    <x v="1"/>
    <x v="13"/>
    <x v="3"/>
    <x v="0"/>
    <x v="0"/>
    <s v="GNR_ENG_NGAS_BP_E-35"/>
    <n v="1.57355555555556E-3"/>
    <n v="5.6648000000000002E-3"/>
  </r>
  <r>
    <x v="0"/>
    <x v="0"/>
    <x v="0"/>
    <x v="0"/>
    <x v="1"/>
    <x v="13"/>
    <x v="3"/>
    <x v="0"/>
    <x v="0"/>
    <s v="GNR_ENG_NGAS_BP_E-42"/>
    <n v="3.78518518518519E-3"/>
    <n v="1.36266666666667E-2"/>
  </r>
  <r>
    <x v="0"/>
    <x v="0"/>
    <x v="0"/>
    <x v="0"/>
    <x v="1"/>
    <x v="13"/>
    <x v="3"/>
    <x v="0"/>
    <x v="0"/>
    <s v="GNR_ENG_NGAS_BP_E-48_Y-2030"/>
    <n v="1.1433834360470601"/>
    <n v="4.1161803697694204"/>
  </r>
  <r>
    <x v="0"/>
    <x v="0"/>
    <x v="0"/>
    <x v="0"/>
    <x v="1"/>
    <x v="13"/>
    <x v="5"/>
    <x v="3"/>
    <x v="4"/>
    <s v="GNR_SH_SUN"/>
    <n v="1.28649E-2"/>
    <n v="4.6313640000000003E-2"/>
  </r>
  <r>
    <x v="0"/>
    <x v="0"/>
    <x v="0"/>
    <x v="0"/>
    <x v="1"/>
    <x v="13"/>
    <x v="6"/>
    <x v="2"/>
    <x v="3"/>
    <s v="GNR_EH_HEAT"/>
    <n v="0.29783999999999999"/>
    <n v="1.0722240000000001"/>
  </r>
  <r>
    <x v="0"/>
    <x v="0"/>
    <x v="0"/>
    <x v="0"/>
    <x v="1"/>
    <x v="13"/>
    <x v="7"/>
    <x v="0"/>
    <x v="0"/>
    <s v="GNR_ST_WOODCHI_BP_E-27"/>
    <n v="6.6129411764705897E-3"/>
    <n v="2.38065882352941E-2"/>
  </r>
  <r>
    <x v="0"/>
    <x v="0"/>
    <x v="0"/>
    <x v="0"/>
    <x v="1"/>
    <x v="14"/>
    <x v="8"/>
    <x v="4"/>
    <x v="5"/>
    <s v="GNR_BO_ELEC_E-99_LS-10-MW-FEED_PHH_Y-2030"/>
    <n v="2.0513036331462901E-2"/>
    <n v="7.3846930793266499E-2"/>
  </r>
  <r>
    <x v="0"/>
    <x v="0"/>
    <x v="0"/>
    <x v="0"/>
    <x v="1"/>
    <x v="14"/>
    <x v="3"/>
    <x v="2"/>
    <x v="3"/>
    <s v="GNR_BO_NGAS_E-70_PHH"/>
    <n v="3.1227851666666699E-3"/>
    <n v="1.12420266E-2"/>
  </r>
  <r>
    <x v="0"/>
    <x v="0"/>
    <x v="0"/>
    <x v="0"/>
    <x v="1"/>
    <x v="15"/>
    <x v="3"/>
    <x v="2"/>
    <x v="3"/>
    <s v="GNR_BO_NGAS_E-82_PHL"/>
    <n v="2.2098856061131902"/>
    <n v="7.9555881820074799"/>
  </r>
  <r>
    <x v="0"/>
    <x v="0"/>
    <x v="0"/>
    <x v="0"/>
    <x v="1"/>
    <x v="16"/>
    <x v="0"/>
    <x v="0"/>
    <x v="0"/>
    <s v="GNR_ENG_BGAS_BP_E-40"/>
    <n v="1.10093495934959E-3"/>
    <n v="3.9633658536585396E-3"/>
  </r>
  <r>
    <x v="0"/>
    <x v="0"/>
    <x v="0"/>
    <x v="0"/>
    <x v="1"/>
    <x v="16"/>
    <x v="0"/>
    <x v="0"/>
    <x v="0"/>
    <s v="GNR_ENG_BGAS_BP_E-41"/>
    <n v="4.1544715447154497E-3"/>
    <n v="1.4956097560975601E-2"/>
  </r>
  <r>
    <x v="0"/>
    <x v="0"/>
    <x v="0"/>
    <x v="0"/>
    <x v="1"/>
    <x v="16"/>
    <x v="0"/>
    <x v="0"/>
    <x v="0"/>
    <s v="GNR_ENG_BGAS_BP_E-42"/>
    <n v="1.1910869918699199E-2"/>
    <n v="4.2879131707317102E-2"/>
  </r>
  <r>
    <x v="0"/>
    <x v="0"/>
    <x v="0"/>
    <x v="0"/>
    <x v="1"/>
    <x v="16"/>
    <x v="10"/>
    <x v="0"/>
    <x v="0"/>
    <s v="GNR_ST_COAL_BP_E-35"/>
    <n v="0.34321318192273897"/>
    <n v="1.23556745492186"/>
  </r>
  <r>
    <x v="0"/>
    <x v="0"/>
    <x v="0"/>
    <x v="0"/>
    <x v="1"/>
    <x v="16"/>
    <x v="8"/>
    <x v="4"/>
    <x v="5"/>
    <s v="GNR_HP_ELEC_COP-400"/>
    <n v="5.6453333333333399E-3"/>
    <n v="2.03232E-2"/>
  </r>
  <r>
    <x v="0"/>
    <x v="0"/>
    <x v="0"/>
    <x v="0"/>
    <x v="1"/>
    <x v="16"/>
    <x v="1"/>
    <x v="1"/>
    <x v="1"/>
    <s v="GNR_HS_HEAT_WTR-TANK_LS_E-95_Y-2010"/>
    <n v="0.114946683295472"/>
    <n v="0.41380805986370001"/>
  </r>
  <r>
    <x v="0"/>
    <x v="0"/>
    <x v="0"/>
    <x v="0"/>
    <x v="1"/>
    <x v="16"/>
    <x v="1"/>
    <x v="1"/>
    <x v="2"/>
    <s v="GNR_HS_HEAT_PIT_L-DEC_E-91_Y-2030"/>
    <n v="0.24504640295195801"/>
    <n v="0.88216705062704903"/>
  </r>
  <r>
    <x v="0"/>
    <x v="0"/>
    <x v="0"/>
    <x v="0"/>
    <x v="1"/>
    <x v="16"/>
    <x v="3"/>
    <x v="0"/>
    <x v="0"/>
    <s v="GNR_CC_NGAS_BP_E-53_SS-10-MW_Y-2030"/>
    <n v="0.26396454575249001"/>
    <n v="0.95027236470896204"/>
  </r>
  <r>
    <x v="0"/>
    <x v="0"/>
    <x v="0"/>
    <x v="0"/>
    <x v="1"/>
    <x v="16"/>
    <x v="3"/>
    <x v="0"/>
    <x v="0"/>
    <s v="GNR_ENG_NGAS_BP_E-36"/>
    <n v="5.3938888888888895E-4"/>
    <n v="1.9418E-3"/>
  </r>
  <r>
    <x v="0"/>
    <x v="0"/>
    <x v="0"/>
    <x v="0"/>
    <x v="1"/>
    <x v="16"/>
    <x v="3"/>
    <x v="0"/>
    <x v="0"/>
    <s v="GNR_ENG_NGAS_BP_E-38"/>
    <n v="9.3683333333333303E-4"/>
    <n v="3.3725999999999999E-3"/>
  </r>
  <r>
    <x v="0"/>
    <x v="0"/>
    <x v="0"/>
    <x v="0"/>
    <x v="1"/>
    <x v="16"/>
    <x v="3"/>
    <x v="0"/>
    <x v="0"/>
    <s v="GNR_ENG_NGAS_BP_E-40"/>
    <n v="2.7577777777777802E-2"/>
    <n v="9.9279999999999993E-2"/>
  </r>
  <r>
    <x v="0"/>
    <x v="0"/>
    <x v="0"/>
    <x v="0"/>
    <x v="1"/>
    <x v="16"/>
    <x v="3"/>
    <x v="0"/>
    <x v="0"/>
    <s v="GNR_ENG_NGAS_BP_E-45"/>
    <n v="3.10925925925926E-3"/>
    <n v="1.11933333333333E-2"/>
  </r>
  <r>
    <x v="0"/>
    <x v="0"/>
    <x v="0"/>
    <x v="0"/>
    <x v="1"/>
    <x v="16"/>
    <x v="3"/>
    <x v="2"/>
    <x v="3"/>
    <s v="GNR_BO_NGAS_E-100"/>
    <n v="7.9083333333333295E-4"/>
    <n v="2.8470000000000001E-3"/>
  </r>
  <r>
    <x v="0"/>
    <x v="0"/>
    <x v="0"/>
    <x v="0"/>
    <x v="1"/>
    <x v="16"/>
    <x v="3"/>
    <x v="2"/>
    <x v="3"/>
    <s v="GNR_BO_NGAS_E-101"/>
    <n v="6.3266666666666701E-4"/>
    <n v="2.2775999999999999E-3"/>
  </r>
  <r>
    <x v="0"/>
    <x v="0"/>
    <x v="0"/>
    <x v="0"/>
    <x v="1"/>
    <x v="16"/>
    <x v="4"/>
    <x v="2"/>
    <x v="3"/>
    <s v="GNR_BO_STRW_E-100"/>
    <n v="0.31590642882976"/>
    <n v="1.1372631437871401"/>
  </r>
  <r>
    <x v="0"/>
    <x v="0"/>
    <x v="0"/>
    <x v="0"/>
    <x v="1"/>
    <x v="16"/>
    <x v="4"/>
    <x v="2"/>
    <x v="3"/>
    <s v="GNR_BO_STRW_E-102"/>
    <n v="0.34622948458148001"/>
    <n v="1.24642614449333"/>
  </r>
  <r>
    <x v="0"/>
    <x v="0"/>
    <x v="0"/>
    <x v="0"/>
    <x v="1"/>
    <x v="16"/>
    <x v="5"/>
    <x v="3"/>
    <x v="4"/>
    <s v="GNR_SH_SUN"/>
    <n v="5.6907850000000003E-2"/>
    <n v="0.20486826"/>
  </r>
  <r>
    <x v="0"/>
    <x v="0"/>
    <x v="0"/>
    <x v="0"/>
    <x v="1"/>
    <x v="16"/>
    <x v="6"/>
    <x v="2"/>
    <x v="3"/>
    <s v="GNR_EH_HEAT"/>
    <n v="0.35039999999999999"/>
    <n v="1.2614399999999999"/>
  </r>
  <r>
    <x v="0"/>
    <x v="0"/>
    <x v="0"/>
    <x v="0"/>
    <x v="1"/>
    <x v="16"/>
    <x v="7"/>
    <x v="2"/>
    <x v="3"/>
    <s v="GNR_BO_WOODCHI_E-100"/>
    <n v="5.8623732792036497E-2"/>
    <n v="0.211045438051331"/>
  </r>
  <r>
    <x v="0"/>
    <x v="0"/>
    <x v="0"/>
    <x v="0"/>
    <x v="1"/>
    <x v="16"/>
    <x v="7"/>
    <x v="2"/>
    <x v="3"/>
    <s v="GNR_BO_WOODCHI_E-110"/>
    <n v="0.17233259107645099"/>
    <n v="0.62039732787522495"/>
  </r>
  <r>
    <x v="0"/>
    <x v="0"/>
    <x v="0"/>
    <x v="0"/>
    <x v="1"/>
    <x v="17"/>
    <x v="1"/>
    <x v="1"/>
    <x v="1"/>
    <s v="GNR_HS_HEAT_WTR-TANK_LS_E-95_Y-2010"/>
    <n v="1.5752068941448701E-2"/>
    <n v="5.6707448189215401E-2"/>
  </r>
  <r>
    <x v="0"/>
    <x v="0"/>
    <x v="0"/>
    <x v="0"/>
    <x v="1"/>
    <x v="17"/>
    <x v="1"/>
    <x v="1"/>
    <x v="2"/>
    <s v="GNR_HS_HEAT_PIT_L-DEC_E-91_Y-2030"/>
    <n v="2.3822418836626801E-2"/>
    <n v="8.5760707811856601E-2"/>
  </r>
  <r>
    <x v="0"/>
    <x v="0"/>
    <x v="0"/>
    <x v="0"/>
    <x v="1"/>
    <x v="17"/>
    <x v="3"/>
    <x v="0"/>
    <x v="0"/>
    <s v="GNR_CC_NGAS_BP_E-53_SS-10-MW_Y-2030"/>
    <n v="8.5836263427827797E-2"/>
    <n v="0.30901054834017999"/>
  </r>
  <r>
    <x v="0"/>
    <x v="0"/>
    <x v="0"/>
    <x v="0"/>
    <x v="1"/>
    <x v="17"/>
    <x v="3"/>
    <x v="2"/>
    <x v="3"/>
    <s v="GNR_BO_NGAS_E-104"/>
    <n v="1.1743323575329201E-3"/>
    <n v="4.2275964871185002E-3"/>
  </r>
  <r>
    <x v="0"/>
    <x v="0"/>
    <x v="0"/>
    <x v="0"/>
    <x v="1"/>
    <x v="17"/>
    <x v="4"/>
    <x v="2"/>
    <x v="3"/>
    <s v="GNR_BO_STRW_E-100"/>
    <n v="4.5191523876140102E-2"/>
    <n v="0.16268948595410501"/>
  </r>
  <r>
    <x v="0"/>
    <x v="0"/>
    <x v="0"/>
    <x v="0"/>
    <x v="1"/>
    <x v="17"/>
    <x v="6"/>
    <x v="2"/>
    <x v="3"/>
    <s v="GNR_EH_HEAT"/>
    <n v="2.6280000000000001E-2"/>
    <n v="9.4607999999999998E-2"/>
  </r>
</pivotCacheRecords>
</file>

<file path=xl/pivotCache/pivotCacheRecords7.xml><?xml version="1.0" encoding="utf-8"?>
<pivotCacheRecords xmlns="http://schemas.openxmlformats.org/spreadsheetml/2006/main" xmlns:r="http://schemas.openxmlformats.org/officeDocument/2006/relationships" count="2998">
  <r>
    <x v="0"/>
    <x v="0"/>
    <x v="0"/>
    <x v="0"/>
    <x v="0"/>
    <x v="0"/>
    <x v="0"/>
    <x v="0"/>
    <x v="0"/>
    <s v="GNR_ENG_BGAS_BP_E-36"/>
    <x v="0"/>
    <x v="0"/>
    <n v="0.98780487804878003"/>
    <n v="240.36585365853699"/>
    <n v="865.31707317073199"/>
  </r>
  <r>
    <x v="0"/>
    <x v="0"/>
    <x v="0"/>
    <x v="0"/>
    <x v="0"/>
    <x v="0"/>
    <x v="0"/>
    <x v="0"/>
    <x v="0"/>
    <s v="GNR_ENG_BGAS_BP_E-36"/>
    <x v="0"/>
    <x v="1"/>
    <n v="0.98780487804878003"/>
    <n v="240.36585365853699"/>
    <n v="865.31707317073199"/>
  </r>
  <r>
    <x v="0"/>
    <x v="0"/>
    <x v="0"/>
    <x v="0"/>
    <x v="0"/>
    <x v="0"/>
    <x v="0"/>
    <x v="0"/>
    <x v="0"/>
    <s v="GNR_ENG_BGAS_BP_E-36"/>
    <x v="0"/>
    <x v="2"/>
    <n v="0.98780487804878003"/>
    <n v="240.36585365853699"/>
    <n v="865.31707317073199"/>
  </r>
  <r>
    <x v="0"/>
    <x v="0"/>
    <x v="0"/>
    <x v="0"/>
    <x v="0"/>
    <x v="0"/>
    <x v="0"/>
    <x v="0"/>
    <x v="0"/>
    <s v="GNR_ENG_BGAS_BP_E-37"/>
    <x v="0"/>
    <x v="0"/>
    <n v="0.60975609756097604"/>
    <n v="148.373983739837"/>
    <n v="534.14634146341496"/>
  </r>
  <r>
    <x v="0"/>
    <x v="0"/>
    <x v="0"/>
    <x v="0"/>
    <x v="0"/>
    <x v="0"/>
    <x v="0"/>
    <x v="0"/>
    <x v="0"/>
    <s v="GNR_ENG_BGAS_BP_E-37"/>
    <x v="0"/>
    <x v="1"/>
    <n v="0.60975609756097604"/>
    <n v="148.373983739837"/>
    <n v="534.14634146341496"/>
  </r>
  <r>
    <x v="0"/>
    <x v="0"/>
    <x v="0"/>
    <x v="0"/>
    <x v="0"/>
    <x v="0"/>
    <x v="0"/>
    <x v="0"/>
    <x v="0"/>
    <s v="GNR_ENG_BGAS_BP_E-37"/>
    <x v="0"/>
    <x v="2"/>
    <n v="0.60975609756097604"/>
    <n v="148.373983739837"/>
    <n v="534.14634146341496"/>
  </r>
  <r>
    <x v="0"/>
    <x v="0"/>
    <x v="0"/>
    <x v="0"/>
    <x v="0"/>
    <x v="0"/>
    <x v="0"/>
    <x v="0"/>
    <x v="0"/>
    <s v="GNR_ENG_BGAS_BP_E-39"/>
    <x v="0"/>
    <x v="0"/>
    <n v="4.1158536585365901"/>
    <n v="1001.5243902439"/>
    <n v="3605.4878048780502"/>
  </r>
  <r>
    <x v="0"/>
    <x v="0"/>
    <x v="0"/>
    <x v="0"/>
    <x v="0"/>
    <x v="0"/>
    <x v="0"/>
    <x v="0"/>
    <x v="0"/>
    <s v="GNR_ENG_BGAS_BP_E-39"/>
    <x v="0"/>
    <x v="1"/>
    <n v="4.1158536585365901"/>
    <n v="1001.5243902439"/>
    <n v="3605.4878048780502"/>
  </r>
  <r>
    <x v="0"/>
    <x v="0"/>
    <x v="0"/>
    <x v="0"/>
    <x v="0"/>
    <x v="0"/>
    <x v="0"/>
    <x v="0"/>
    <x v="0"/>
    <s v="GNR_ENG_BGAS_BP_E-39"/>
    <x v="0"/>
    <x v="2"/>
    <n v="4.1158536585365901"/>
    <n v="1001.5243902439"/>
    <n v="3605.4878048780502"/>
  </r>
  <r>
    <x v="0"/>
    <x v="0"/>
    <x v="0"/>
    <x v="0"/>
    <x v="0"/>
    <x v="0"/>
    <x v="0"/>
    <x v="0"/>
    <x v="0"/>
    <s v="GNR_ENG_BGAS_BP_E-40"/>
    <x v="0"/>
    <x v="0"/>
    <n v="1.51585365853659"/>
    <n v="368.85772357723602"/>
    <n v="1327.88780487805"/>
  </r>
  <r>
    <x v="0"/>
    <x v="0"/>
    <x v="0"/>
    <x v="0"/>
    <x v="0"/>
    <x v="0"/>
    <x v="0"/>
    <x v="0"/>
    <x v="0"/>
    <s v="GNR_ENG_BGAS_BP_E-40"/>
    <x v="0"/>
    <x v="1"/>
    <n v="1.51585365853659"/>
    <n v="368.85772357723602"/>
    <n v="1327.88780487805"/>
  </r>
  <r>
    <x v="0"/>
    <x v="0"/>
    <x v="0"/>
    <x v="0"/>
    <x v="0"/>
    <x v="0"/>
    <x v="0"/>
    <x v="0"/>
    <x v="0"/>
    <s v="GNR_ENG_BGAS_BP_E-40"/>
    <x v="0"/>
    <x v="2"/>
    <n v="1.51585365853659"/>
    <n v="368.85772357723602"/>
    <n v="1327.88780487805"/>
  </r>
  <r>
    <x v="0"/>
    <x v="0"/>
    <x v="0"/>
    <x v="0"/>
    <x v="0"/>
    <x v="0"/>
    <x v="0"/>
    <x v="0"/>
    <x v="0"/>
    <s v="GNR_ENG_BGAS_BP_E-41"/>
    <x v="0"/>
    <x v="0"/>
    <n v="3.2646341463414599"/>
    <n v="794.39430894308896"/>
    <n v="2859.8195121951198"/>
  </r>
  <r>
    <x v="0"/>
    <x v="0"/>
    <x v="0"/>
    <x v="0"/>
    <x v="0"/>
    <x v="0"/>
    <x v="0"/>
    <x v="0"/>
    <x v="0"/>
    <s v="GNR_ENG_BGAS_BP_E-41"/>
    <x v="0"/>
    <x v="1"/>
    <n v="3.2646341463414599"/>
    <n v="794.39430894308896"/>
    <n v="2859.8195121951198"/>
  </r>
  <r>
    <x v="0"/>
    <x v="0"/>
    <x v="0"/>
    <x v="0"/>
    <x v="0"/>
    <x v="0"/>
    <x v="0"/>
    <x v="0"/>
    <x v="0"/>
    <s v="GNR_ENG_BGAS_BP_E-41"/>
    <x v="0"/>
    <x v="2"/>
    <n v="3.2646341463414599"/>
    <n v="794.39430894308896"/>
    <n v="2859.8195121951198"/>
  </r>
  <r>
    <x v="0"/>
    <x v="0"/>
    <x v="0"/>
    <x v="0"/>
    <x v="0"/>
    <x v="0"/>
    <x v="0"/>
    <x v="0"/>
    <x v="0"/>
    <s v="GNR_ENG_BGAS_BP_E-42"/>
    <x v="0"/>
    <x v="0"/>
    <n v="3.01829268292683"/>
    <n v="734.45121951219505"/>
    <n v="2644.0243902439001"/>
  </r>
  <r>
    <x v="0"/>
    <x v="0"/>
    <x v="0"/>
    <x v="0"/>
    <x v="0"/>
    <x v="0"/>
    <x v="0"/>
    <x v="0"/>
    <x v="0"/>
    <s v="GNR_ENG_BGAS_BP_E-42"/>
    <x v="0"/>
    <x v="1"/>
    <n v="3.01829268292683"/>
    <n v="734.45121951219505"/>
    <n v="2644.0243902439001"/>
  </r>
  <r>
    <x v="0"/>
    <x v="0"/>
    <x v="0"/>
    <x v="0"/>
    <x v="0"/>
    <x v="0"/>
    <x v="0"/>
    <x v="0"/>
    <x v="0"/>
    <s v="GNR_ENG_BGAS_BP_E-42"/>
    <x v="0"/>
    <x v="2"/>
    <n v="3.01829268292683"/>
    <n v="734.45121951219505"/>
    <n v="2644.0243902439001"/>
  </r>
  <r>
    <x v="0"/>
    <x v="0"/>
    <x v="0"/>
    <x v="0"/>
    <x v="0"/>
    <x v="0"/>
    <x v="0"/>
    <x v="0"/>
    <x v="0"/>
    <s v="GNR_ENG_BGAS_BP_E-43"/>
    <x v="0"/>
    <x v="0"/>
    <n v="3.7158536585365902"/>
    <n v="904.19105691056905"/>
    <n v="3255.0878048780501"/>
  </r>
  <r>
    <x v="0"/>
    <x v="0"/>
    <x v="0"/>
    <x v="0"/>
    <x v="0"/>
    <x v="0"/>
    <x v="0"/>
    <x v="0"/>
    <x v="0"/>
    <s v="GNR_ENG_BGAS_BP_E-43"/>
    <x v="0"/>
    <x v="1"/>
    <n v="3.7158536585365902"/>
    <n v="904.19105691056905"/>
    <n v="3255.0878048780501"/>
  </r>
  <r>
    <x v="0"/>
    <x v="0"/>
    <x v="0"/>
    <x v="0"/>
    <x v="0"/>
    <x v="0"/>
    <x v="0"/>
    <x v="0"/>
    <x v="0"/>
    <s v="GNR_ENG_BGAS_BP_E-43"/>
    <x v="0"/>
    <x v="2"/>
    <n v="3.7158536585365902"/>
    <n v="904.19105691056905"/>
    <n v="3255.0878048780501"/>
  </r>
  <r>
    <x v="0"/>
    <x v="0"/>
    <x v="0"/>
    <x v="0"/>
    <x v="0"/>
    <x v="0"/>
    <x v="0"/>
    <x v="0"/>
    <x v="0"/>
    <s v="GNR_ENG_BGAS_BP_E-43"/>
    <x v="1"/>
    <x v="3"/>
    <n v="3.7158536585365902"/>
    <n v="904.19105691056905"/>
    <n v="3255.0878048780501"/>
  </r>
  <r>
    <x v="0"/>
    <x v="0"/>
    <x v="0"/>
    <x v="0"/>
    <x v="0"/>
    <x v="0"/>
    <x v="0"/>
    <x v="0"/>
    <x v="0"/>
    <s v="GNR_ENG_BGAS_BP_E-43"/>
    <x v="1"/>
    <x v="4"/>
    <n v="3.7158536585365902"/>
    <n v="904.19105691056905"/>
    <n v="3255.0878048780501"/>
  </r>
  <r>
    <x v="0"/>
    <x v="0"/>
    <x v="0"/>
    <x v="0"/>
    <x v="0"/>
    <x v="0"/>
    <x v="0"/>
    <x v="0"/>
    <x v="0"/>
    <s v="GNR_ENG_BGAS_BP_E-43"/>
    <x v="1"/>
    <x v="0"/>
    <n v="3.7158536585365902"/>
    <n v="904.19105691056905"/>
    <n v="3255.0878048780501"/>
  </r>
  <r>
    <x v="0"/>
    <x v="0"/>
    <x v="0"/>
    <x v="0"/>
    <x v="0"/>
    <x v="0"/>
    <x v="0"/>
    <x v="0"/>
    <x v="0"/>
    <s v="GNR_ENG_BGAS_BP_E-43"/>
    <x v="1"/>
    <x v="2"/>
    <n v="3.7158536585365902"/>
    <n v="904.19105691056905"/>
    <n v="3255.0878048780501"/>
  </r>
  <r>
    <x v="0"/>
    <x v="0"/>
    <x v="0"/>
    <x v="0"/>
    <x v="0"/>
    <x v="0"/>
    <x v="1"/>
    <x v="1"/>
    <x v="1"/>
    <s v="GNR_HS_HEAT_PIT_L-CEN_E-90_Y-2030"/>
    <x v="0"/>
    <x v="5"/>
    <n v="903.82360357412199"/>
    <n v="219930.41020303601"/>
    <n v="791749.47673093097"/>
  </r>
  <r>
    <x v="0"/>
    <x v="0"/>
    <x v="0"/>
    <x v="0"/>
    <x v="0"/>
    <x v="0"/>
    <x v="1"/>
    <x v="1"/>
    <x v="1"/>
    <s v="GNR_HS_HEAT_PIT_L-CEN_E-90_Y-2030"/>
    <x v="0"/>
    <x v="3"/>
    <n v="903.82360357412199"/>
    <n v="219930.41020303601"/>
    <n v="791749.47673093097"/>
  </r>
  <r>
    <x v="0"/>
    <x v="0"/>
    <x v="0"/>
    <x v="0"/>
    <x v="0"/>
    <x v="0"/>
    <x v="1"/>
    <x v="1"/>
    <x v="1"/>
    <s v="GNR_HS_HEAT_PIT_L-CEN_E-90_Y-2030"/>
    <x v="0"/>
    <x v="6"/>
    <n v="903.82360357412199"/>
    <n v="219930.41020303601"/>
    <n v="791749.47673093097"/>
  </r>
  <r>
    <x v="0"/>
    <x v="0"/>
    <x v="0"/>
    <x v="0"/>
    <x v="0"/>
    <x v="0"/>
    <x v="1"/>
    <x v="1"/>
    <x v="1"/>
    <s v="GNR_HS_HEAT_PIT_L-CEN_E-90_Y-2030"/>
    <x v="0"/>
    <x v="4"/>
    <n v="903.82360357412199"/>
    <n v="219930.41020303601"/>
    <n v="791749.47673093097"/>
  </r>
  <r>
    <x v="0"/>
    <x v="0"/>
    <x v="0"/>
    <x v="0"/>
    <x v="0"/>
    <x v="0"/>
    <x v="1"/>
    <x v="1"/>
    <x v="1"/>
    <s v="GNR_HS_HEAT_PIT_L-CEN_E-90_Y-2030"/>
    <x v="0"/>
    <x v="7"/>
    <n v="903.82360357412199"/>
    <n v="219930.41020303601"/>
    <n v="791749.47673093097"/>
  </r>
  <r>
    <x v="0"/>
    <x v="0"/>
    <x v="0"/>
    <x v="0"/>
    <x v="0"/>
    <x v="0"/>
    <x v="1"/>
    <x v="1"/>
    <x v="1"/>
    <s v="GNR_HS_HEAT_PIT_L-CEN_E-90_Y-2030"/>
    <x v="0"/>
    <x v="8"/>
    <n v="903.82360357412199"/>
    <n v="219930.41020303601"/>
    <n v="791749.47673093097"/>
  </r>
  <r>
    <x v="0"/>
    <x v="0"/>
    <x v="0"/>
    <x v="0"/>
    <x v="0"/>
    <x v="0"/>
    <x v="1"/>
    <x v="1"/>
    <x v="1"/>
    <s v="GNR_HS_HEAT_PIT_L-CEN_E-90_Y-2030"/>
    <x v="0"/>
    <x v="0"/>
    <n v="903.82360357412199"/>
    <n v="219930.41020303601"/>
    <n v="791749.47673093097"/>
  </r>
  <r>
    <x v="0"/>
    <x v="0"/>
    <x v="0"/>
    <x v="0"/>
    <x v="0"/>
    <x v="0"/>
    <x v="1"/>
    <x v="1"/>
    <x v="1"/>
    <s v="GNR_HS_HEAT_PIT_L-CEN_E-90_Y-2030"/>
    <x v="0"/>
    <x v="1"/>
    <n v="903.82360357412199"/>
    <n v="219930.41020303601"/>
    <n v="791749.47673093097"/>
  </r>
  <r>
    <x v="0"/>
    <x v="0"/>
    <x v="0"/>
    <x v="0"/>
    <x v="0"/>
    <x v="0"/>
    <x v="1"/>
    <x v="1"/>
    <x v="1"/>
    <s v="GNR_HS_HEAT_PIT_L-CEN_E-90_Y-2030"/>
    <x v="0"/>
    <x v="2"/>
    <n v="903.82360357412199"/>
    <n v="219930.41020303601"/>
    <n v="791749.47673093097"/>
  </r>
  <r>
    <x v="0"/>
    <x v="0"/>
    <x v="0"/>
    <x v="0"/>
    <x v="0"/>
    <x v="0"/>
    <x v="1"/>
    <x v="1"/>
    <x v="1"/>
    <s v="GNR_HS_HEAT_PIT_L-CEN_E-90_Y-2030"/>
    <x v="0"/>
    <x v="9"/>
    <n v="903.82360357412199"/>
    <n v="219930.41020303601"/>
    <n v="791749.47673093097"/>
  </r>
  <r>
    <x v="0"/>
    <x v="0"/>
    <x v="0"/>
    <x v="0"/>
    <x v="0"/>
    <x v="0"/>
    <x v="1"/>
    <x v="1"/>
    <x v="1"/>
    <s v="GNR_HS_HEAT_PIT_L-CEN_E-90_Y-2030"/>
    <x v="0"/>
    <x v="10"/>
    <n v="903.82360357412199"/>
    <n v="219930.41020303601"/>
    <n v="791749.47673093097"/>
  </r>
  <r>
    <x v="0"/>
    <x v="0"/>
    <x v="0"/>
    <x v="0"/>
    <x v="0"/>
    <x v="0"/>
    <x v="1"/>
    <x v="1"/>
    <x v="1"/>
    <s v="GNR_HS_HEAT_PIT_L-CEN_E-90_Y-2030"/>
    <x v="0"/>
    <x v="11"/>
    <n v="903.82360357412199"/>
    <n v="219930.41020303601"/>
    <n v="791749.47673093097"/>
  </r>
  <r>
    <x v="0"/>
    <x v="0"/>
    <x v="0"/>
    <x v="0"/>
    <x v="0"/>
    <x v="0"/>
    <x v="1"/>
    <x v="1"/>
    <x v="2"/>
    <s v="GNR_HS_HEAT_WTR-TANK_LS_E-95_Y-2010"/>
    <x v="0"/>
    <x v="5"/>
    <n v="511.41580384998201"/>
    <n v="124444.512270162"/>
    <n v="448000.24417258397"/>
  </r>
  <r>
    <x v="0"/>
    <x v="0"/>
    <x v="0"/>
    <x v="0"/>
    <x v="0"/>
    <x v="0"/>
    <x v="1"/>
    <x v="1"/>
    <x v="2"/>
    <s v="GNR_HS_HEAT_WTR-TANK_LS_E-95_Y-2010"/>
    <x v="0"/>
    <x v="3"/>
    <n v="281.61486068317402"/>
    <n v="68526.282766239106"/>
    <n v="246694.61795846099"/>
  </r>
  <r>
    <x v="0"/>
    <x v="0"/>
    <x v="0"/>
    <x v="0"/>
    <x v="0"/>
    <x v="0"/>
    <x v="1"/>
    <x v="1"/>
    <x v="2"/>
    <s v="GNR_HS_HEAT_WTR-TANK_LS_E-95_Y-2010"/>
    <x v="0"/>
    <x v="6"/>
    <n v="466.15298219803799"/>
    <n v="113430.55900152199"/>
    <n v="408350.01240548101"/>
  </r>
  <r>
    <x v="0"/>
    <x v="0"/>
    <x v="0"/>
    <x v="0"/>
    <x v="0"/>
    <x v="0"/>
    <x v="1"/>
    <x v="1"/>
    <x v="2"/>
    <s v="GNR_HS_HEAT_WTR-TANK_LS_E-95_Y-2010"/>
    <x v="0"/>
    <x v="1"/>
    <n v="169.08509858532801"/>
    <n v="41144.040655763201"/>
    <n v="148118.54636074801"/>
  </r>
  <r>
    <x v="0"/>
    <x v="0"/>
    <x v="0"/>
    <x v="0"/>
    <x v="0"/>
    <x v="0"/>
    <x v="1"/>
    <x v="1"/>
    <x v="2"/>
    <s v="GNR_HS_HEAT_WTR-TANK_LS_E-95_Y-2010"/>
    <x v="1"/>
    <x v="5"/>
    <n v="112.185629576587"/>
    <n v="27298.503196969599"/>
    <n v="98274.611509090406"/>
  </r>
  <r>
    <x v="0"/>
    <x v="0"/>
    <x v="0"/>
    <x v="0"/>
    <x v="0"/>
    <x v="0"/>
    <x v="1"/>
    <x v="1"/>
    <x v="2"/>
    <s v="GNR_HS_HEAT_WTR-TANK_LS_E-95_Y-2010"/>
    <x v="1"/>
    <x v="6"/>
    <n v="167.956576492111"/>
    <n v="40869.433613080299"/>
    <n v="147129.961007089"/>
  </r>
  <r>
    <x v="0"/>
    <x v="0"/>
    <x v="0"/>
    <x v="0"/>
    <x v="0"/>
    <x v="0"/>
    <x v="1"/>
    <x v="1"/>
    <x v="2"/>
    <s v="GNR_HS_HEAT_WTR-TANK_LS_E-95_Y-2010"/>
    <x v="1"/>
    <x v="8"/>
    <n v="65.671198399730898"/>
    <n v="15979.991610601201"/>
    <n v="57527.969798164297"/>
  </r>
  <r>
    <x v="0"/>
    <x v="0"/>
    <x v="0"/>
    <x v="0"/>
    <x v="0"/>
    <x v="0"/>
    <x v="1"/>
    <x v="1"/>
    <x v="2"/>
    <s v="GNR_HS_HEAT_WTR-TANK_LS_E-95_Y-2010"/>
    <x v="1"/>
    <x v="1"/>
    <n v="104.353388390259"/>
    <n v="25392.6578416296"/>
    <n v="91413.568229866607"/>
  </r>
  <r>
    <x v="0"/>
    <x v="0"/>
    <x v="0"/>
    <x v="0"/>
    <x v="0"/>
    <x v="0"/>
    <x v="1"/>
    <x v="1"/>
    <x v="2"/>
    <s v="GNR_HS_HEAT_WTR-TANK_LS_E-95_Y-2010"/>
    <x v="1"/>
    <x v="9"/>
    <n v="63.905337992156802"/>
    <n v="15550.298911424799"/>
    <n v="55981.0760811293"/>
  </r>
  <r>
    <x v="0"/>
    <x v="0"/>
    <x v="0"/>
    <x v="0"/>
    <x v="0"/>
    <x v="0"/>
    <x v="1"/>
    <x v="1"/>
    <x v="2"/>
    <s v="GNR_HS_HEAT_WTR-TANK_LS_E-95_Y-2010"/>
    <x v="1"/>
    <x v="10"/>
    <n v="78.561138953062496"/>
    <n v="19116.543811911899"/>
    <n v="68819.557722882702"/>
  </r>
  <r>
    <x v="0"/>
    <x v="0"/>
    <x v="0"/>
    <x v="0"/>
    <x v="0"/>
    <x v="0"/>
    <x v="1"/>
    <x v="1"/>
    <x v="2"/>
    <s v="GNR_HS_HEAT_WTR-TANK_LS_E-95_Y-2010"/>
    <x v="1"/>
    <x v="11"/>
    <n v="102.722247842576"/>
    <n v="24995.746975026799"/>
    <n v="89984.689110096399"/>
  </r>
  <r>
    <x v="0"/>
    <x v="0"/>
    <x v="0"/>
    <x v="0"/>
    <x v="0"/>
    <x v="0"/>
    <x v="2"/>
    <x v="2"/>
    <x v="3"/>
    <s v="GNR_BO_MSW_E-105"/>
    <x v="0"/>
    <x v="5"/>
    <n v="28"/>
    <n v="6813.3333333333303"/>
    <n v="24528"/>
  </r>
  <r>
    <x v="0"/>
    <x v="0"/>
    <x v="0"/>
    <x v="0"/>
    <x v="0"/>
    <x v="0"/>
    <x v="2"/>
    <x v="2"/>
    <x v="3"/>
    <s v="GNR_BO_MSW_E-105"/>
    <x v="0"/>
    <x v="3"/>
    <n v="28"/>
    <n v="6813.3333333333303"/>
    <n v="24528"/>
  </r>
  <r>
    <x v="0"/>
    <x v="0"/>
    <x v="0"/>
    <x v="0"/>
    <x v="0"/>
    <x v="0"/>
    <x v="2"/>
    <x v="2"/>
    <x v="3"/>
    <s v="GNR_BO_MSW_E-105"/>
    <x v="0"/>
    <x v="6"/>
    <n v="28"/>
    <n v="6813.3333333333303"/>
    <n v="24528"/>
  </r>
  <r>
    <x v="0"/>
    <x v="0"/>
    <x v="0"/>
    <x v="0"/>
    <x v="0"/>
    <x v="0"/>
    <x v="2"/>
    <x v="2"/>
    <x v="3"/>
    <s v="GNR_BO_MSW_E-105"/>
    <x v="0"/>
    <x v="4"/>
    <n v="28"/>
    <n v="6813.3333333333303"/>
    <n v="24528"/>
  </r>
  <r>
    <x v="0"/>
    <x v="0"/>
    <x v="0"/>
    <x v="0"/>
    <x v="0"/>
    <x v="0"/>
    <x v="2"/>
    <x v="2"/>
    <x v="3"/>
    <s v="GNR_BO_MSW_E-105"/>
    <x v="0"/>
    <x v="7"/>
    <n v="28"/>
    <n v="6813.3333333333303"/>
    <n v="24528"/>
  </r>
  <r>
    <x v="0"/>
    <x v="0"/>
    <x v="0"/>
    <x v="0"/>
    <x v="0"/>
    <x v="0"/>
    <x v="2"/>
    <x v="2"/>
    <x v="3"/>
    <s v="GNR_BO_MSW_E-105"/>
    <x v="0"/>
    <x v="8"/>
    <n v="28"/>
    <n v="6813.3333333333303"/>
    <n v="24528"/>
  </r>
  <r>
    <x v="0"/>
    <x v="0"/>
    <x v="0"/>
    <x v="0"/>
    <x v="0"/>
    <x v="0"/>
    <x v="2"/>
    <x v="2"/>
    <x v="3"/>
    <s v="GNR_BO_MSW_E-105"/>
    <x v="0"/>
    <x v="0"/>
    <n v="28"/>
    <n v="6813.3333333333303"/>
    <n v="24528"/>
  </r>
  <r>
    <x v="0"/>
    <x v="0"/>
    <x v="0"/>
    <x v="0"/>
    <x v="0"/>
    <x v="0"/>
    <x v="2"/>
    <x v="2"/>
    <x v="3"/>
    <s v="GNR_BO_MSW_E-105"/>
    <x v="0"/>
    <x v="1"/>
    <n v="28"/>
    <n v="6813.3333333333303"/>
    <n v="24528"/>
  </r>
  <r>
    <x v="0"/>
    <x v="0"/>
    <x v="0"/>
    <x v="0"/>
    <x v="0"/>
    <x v="0"/>
    <x v="2"/>
    <x v="2"/>
    <x v="3"/>
    <s v="GNR_BO_MSW_E-105"/>
    <x v="0"/>
    <x v="2"/>
    <n v="28"/>
    <n v="6813.3333333333303"/>
    <n v="24528"/>
  </r>
  <r>
    <x v="0"/>
    <x v="0"/>
    <x v="0"/>
    <x v="0"/>
    <x v="0"/>
    <x v="0"/>
    <x v="2"/>
    <x v="2"/>
    <x v="3"/>
    <s v="GNR_BO_MSW_E-105"/>
    <x v="0"/>
    <x v="9"/>
    <n v="28"/>
    <n v="6813.3333333333303"/>
    <n v="24528"/>
  </r>
  <r>
    <x v="0"/>
    <x v="0"/>
    <x v="0"/>
    <x v="0"/>
    <x v="0"/>
    <x v="0"/>
    <x v="2"/>
    <x v="2"/>
    <x v="3"/>
    <s v="GNR_BO_MSW_E-105"/>
    <x v="0"/>
    <x v="10"/>
    <n v="28"/>
    <n v="6813.3333333333303"/>
    <n v="24528"/>
  </r>
  <r>
    <x v="0"/>
    <x v="0"/>
    <x v="0"/>
    <x v="0"/>
    <x v="0"/>
    <x v="0"/>
    <x v="2"/>
    <x v="2"/>
    <x v="3"/>
    <s v="GNR_BO_MSW_E-105"/>
    <x v="0"/>
    <x v="11"/>
    <n v="28"/>
    <n v="6813.3333333333303"/>
    <n v="24528"/>
  </r>
  <r>
    <x v="0"/>
    <x v="0"/>
    <x v="0"/>
    <x v="0"/>
    <x v="0"/>
    <x v="0"/>
    <x v="2"/>
    <x v="2"/>
    <x v="3"/>
    <s v="GNR_BO_MSW_E-105"/>
    <x v="2"/>
    <x v="5"/>
    <n v="28"/>
    <n v="6813.3333333333303"/>
    <n v="24528"/>
  </r>
  <r>
    <x v="0"/>
    <x v="0"/>
    <x v="0"/>
    <x v="0"/>
    <x v="0"/>
    <x v="0"/>
    <x v="2"/>
    <x v="2"/>
    <x v="3"/>
    <s v="GNR_BO_MSW_E-105"/>
    <x v="2"/>
    <x v="3"/>
    <n v="28"/>
    <n v="6813.3333333333303"/>
    <n v="24528"/>
  </r>
  <r>
    <x v="0"/>
    <x v="0"/>
    <x v="0"/>
    <x v="0"/>
    <x v="0"/>
    <x v="0"/>
    <x v="2"/>
    <x v="2"/>
    <x v="3"/>
    <s v="GNR_BO_MSW_E-105"/>
    <x v="2"/>
    <x v="6"/>
    <n v="28"/>
    <n v="6813.3333333333303"/>
    <n v="24528"/>
  </r>
  <r>
    <x v="0"/>
    <x v="0"/>
    <x v="0"/>
    <x v="0"/>
    <x v="0"/>
    <x v="0"/>
    <x v="2"/>
    <x v="2"/>
    <x v="3"/>
    <s v="GNR_BO_MSW_E-105"/>
    <x v="2"/>
    <x v="4"/>
    <n v="28"/>
    <n v="6813.3333333333303"/>
    <n v="24528"/>
  </r>
  <r>
    <x v="0"/>
    <x v="0"/>
    <x v="0"/>
    <x v="0"/>
    <x v="0"/>
    <x v="0"/>
    <x v="2"/>
    <x v="2"/>
    <x v="3"/>
    <s v="GNR_BO_MSW_E-105"/>
    <x v="2"/>
    <x v="7"/>
    <n v="28"/>
    <n v="6813.3333333333303"/>
    <n v="24528"/>
  </r>
  <r>
    <x v="0"/>
    <x v="0"/>
    <x v="0"/>
    <x v="0"/>
    <x v="0"/>
    <x v="0"/>
    <x v="2"/>
    <x v="2"/>
    <x v="3"/>
    <s v="GNR_BO_MSW_E-105"/>
    <x v="2"/>
    <x v="8"/>
    <n v="28"/>
    <n v="6813.3333333333303"/>
    <n v="24528"/>
  </r>
  <r>
    <x v="0"/>
    <x v="0"/>
    <x v="0"/>
    <x v="0"/>
    <x v="0"/>
    <x v="0"/>
    <x v="2"/>
    <x v="2"/>
    <x v="3"/>
    <s v="GNR_BO_MSW_E-105"/>
    <x v="2"/>
    <x v="0"/>
    <n v="28"/>
    <n v="6813.3333333333303"/>
    <n v="24528"/>
  </r>
  <r>
    <x v="0"/>
    <x v="0"/>
    <x v="0"/>
    <x v="0"/>
    <x v="0"/>
    <x v="0"/>
    <x v="2"/>
    <x v="2"/>
    <x v="3"/>
    <s v="GNR_BO_MSW_E-105"/>
    <x v="2"/>
    <x v="1"/>
    <n v="28"/>
    <n v="6813.3333333333303"/>
    <n v="24528"/>
  </r>
  <r>
    <x v="0"/>
    <x v="0"/>
    <x v="0"/>
    <x v="0"/>
    <x v="0"/>
    <x v="0"/>
    <x v="2"/>
    <x v="2"/>
    <x v="3"/>
    <s v="GNR_BO_MSW_E-105"/>
    <x v="2"/>
    <x v="2"/>
    <n v="28"/>
    <n v="6813.3333333333303"/>
    <n v="24528"/>
  </r>
  <r>
    <x v="0"/>
    <x v="0"/>
    <x v="0"/>
    <x v="0"/>
    <x v="0"/>
    <x v="0"/>
    <x v="2"/>
    <x v="2"/>
    <x v="3"/>
    <s v="GNR_BO_MSW_E-105"/>
    <x v="2"/>
    <x v="9"/>
    <n v="28"/>
    <n v="6813.3333333333303"/>
    <n v="24528"/>
  </r>
  <r>
    <x v="0"/>
    <x v="0"/>
    <x v="0"/>
    <x v="0"/>
    <x v="0"/>
    <x v="0"/>
    <x v="2"/>
    <x v="2"/>
    <x v="3"/>
    <s v="GNR_BO_MSW_E-105"/>
    <x v="2"/>
    <x v="10"/>
    <n v="28"/>
    <n v="6813.3333333333303"/>
    <n v="24528"/>
  </r>
  <r>
    <x v="0"/>
    <x v="0"/>
    <x v="0"/>
    <x v="0"/>
    <x v="0"/>
    <x v="0"/>
    <x v="2"/>
    <x v="2"/>
    <x v="3"/>
    <s v="GNR_BO_MSW_E-105"/>
    <x v="2"/>
    <x v="11"/>
    <n v="28"/>
    <n v="6813.3333333333303"/>
    <n v="24528"/>
  </r>
  <r>
    <x v="0"/>
    <x v="0"/>
    <x v="0"/>
    <x v="0"/>
    <x v="0"/>
    <x v="0"/>
    <x v="2"/>
    <x v="2"/>
    <x v="3"/>
    <s v="GNR_BO_MSW_E-105"/>
    <x v="1"/>
    <x v="5"/>
    <n v="28"/>
    <n v="6813.3333333333303"/>
    <n v="24528"/>
  </r>
  <r>
    <x v="0"/>
    <x v="0"/>
    <x v="0"/>
    <x v="0"/>
    <x v="0"/>
    <x v="0"/>
    <x v="2"/>
    <x v="2"/>
    <x v="3"/>
    <s v="GNR_BO_MSW_E-105"/>
    <x v="1"/>
    <x v="3"/>
    <n v="28"/>
    <n v="6813.3333333333303"/>
    <n v="24528"/>
  </r>
  <r>
    <x v="0"/>
    <x v="0"/>
    <x v="0"/>
    <x v="0"/>
    <x v="0"/>
    <x v="0"/>
    <x v="2"/>
    <x v="2"/>
    <x v="3"/>
    <s v="GNR_BO_MSW_E-105"/>
    <x v="1"/>
    <x v="6"/>
    <n v="28"/>
    <n v="6813.3333333333303"/>
    <n v="24528"/>
  </r>
  <r>
    <x v="0"/>
    <x v="0"/>
    <x v="0"/>
    <x v="0"/>
    <x v="0"/>
    <x v="0"/>
    <x v="2"/>
    <x v="2"/>
    <x v="3"/>
    <s v="GNR_BO_MSW_E-105"/>
    <x v="1"/>
    <x v="4"/>
    <n v="28"/>
    <n v="6813.3333333333303"/>
    <n v="24528"/>
  </r>
  <r>
    <x v="0"/>
    <x v="0"/>
    <x v="0"/>
    <x v="0"/>
    <x v="0"/>
    <x v="0"/>
    <x v="2"/>
    <x v="2"/>
    <x v="3"/>
    <s v="GNR_BO_MSW_E-105"/>
    <x v="1"/>
    <x v="7"/>
    <n v="28"/>
    <n v="6813.3333333333303"/>
    <n v="24528"/>
  </r>
  <r>
    <x v="0"/>
    <x v="0"/>
    <x v="0"/>
    <x v="0"/>
    <x v="0"/>
    <x v="0"/>
    <x v="2"/>
    <x v="2"/>
    <x v="3"/>
    <s v="GNR_BO_MSW_E-105"/>
    <x v="1"/>
    <x v="8"/>
    <n v="28"/>
    <n v="6813.3333333333303"/>
    <n v="24528"/>
  </r>
  <r>
    <x v="0"/>
    <x v="0"/>
    <x v="0"/>
    <x v="0"/>
    <x v="0"/>
    <x v="0"/>
    <x v="2"/>
    <x v="2"/>
    <x v="3"/>
    <s v="GNR_BO_MSW_E-105"/>
    <x v="1"/>
    <x v="0"/>
    <n v="28"/>
    <n v="6813.3333333333303"/>
    <n v="24528"/>
  </r>
  <r>
    <x v="0"/>
    <x v="0"/>
    <x v="0"/>
    <x v="0"/>
    <x v="0"/>
    <x v="0"/>
    <x v="2"/>
    <x v="2"/>
    <x v="3"/>
    <s v="GNR_BO_MSW_E-105"/>
    <x v="1"/>
    <x v="1"/>
    <n v="28"/>
    <n v="6813.3333333333303"/>
    <n v="24528"/>
  </r>
  <r>
    <x v="0"/>
    <x v="0"/>
    <x v="0"/>
    <x v="0"/>
    <x v="0"/>
    <x v="0"/>
    <x v="2"/>
    <x v="2"/>
    <x v="3"/>
    <s v="GNR_BO_MSW_E-105"/>
    <x v="1"/>
    <x v="2"/>
    <n v="28"/>
    <n v="6813.3333333333303"/>
    <n v="24528"/>
  </r>
  <r>
    <x v="0"/>
    <x v="0"/>
    <x v="0"/>
    <x v="0"/>
    <x v="0"/>
    <x v="0"/>
    <x v="2"/>
    <x v="2"/>
    <x v="3"/>
    <s v="GNR_BO_MSW_E-105"/>
    <x v="1"/>
    <x v="9"/>
    <n v="28"/>
    <n v="6813.3333333333303"/>
    <n v="24528"/>
  </r>
  <r>
    <x v="0"/>
    <x v="0"/>
    <x v="0"/>
    <x v="0"/>
    <x v="0"/>
    <x v="0"/>
    <x v="2"/>
    <x v="2"/>
    <x v="3"/>
    <s v="GNR_BO_MSW_E-105"/>
    <x v="1"/>
    <x v="10"/>
    <n v="28"/>
    <n v="6813.3333333333303"/>
    <n v="24528"/>
  </r>
  <r>
    <x v="0"/>
    <x v="0"/>
    <x v="0"/>
    <x v="0"/>
    <x v="0"/>
    <x v="0"/>
    <x v="2"/>
    <x v="2"/>
    <x v="3"/>
    <s v="GNR_BO_MSW_E-105"/>
    <x v="1"/>
    <x v="11"/>
    <n v="28"/>
    <n v="6813.3333333333303"/>
    <n v="24528"/>
  </r>
  <r>
    <x v="0"/>
    <x v="0"/>
    <x v="0"/>
    <x v="0"/>
    <x v="0"/>
    <x v="0"/>
    <x v="2"/>
    <x v="0"/>
    <x v="0"/>
    <s v="GNR_ST_MSW_BP_E-24_LS-220-MW-FEED_Y-2030"/>
    <x v="0"/>
    <x v="5"/>
    <n v="716.52311817776797"/>
    <n v="174353.95875659"/>
    <n v="627674.25152372499"/>
  </r>
  <r>
    <x v="0"/>
    <x v="0"/>
    <x v="0"/>
    <x v="0"/>
    <x v="0"/>
    <x v="0"/>
    <x v="2"/>
    <x v="0"/>
    <x v="0"/>
    <s v="GNR_ST_MSW_BP_E-24_LS-220-MW-FEED_Y-2030"/>
    <x v="0"/>
    <x v="3"/>
    <n v="716.52311817776797"/>
    <n v="174353.95875659"/>
    <n v="627674.25152372499"/>
  </r>
  <r>
    <x v="0"/>
    <x v="0"/>
    <x v="0"/>
    <x v="0"/>
    <x v="0"/>
    <x v="0"/>
    <x v="2"/>
    <x v="0"/>
    <x v="0"/>
    <s v="GNR_ST_MSW_BP_E-24_LS-220-MW-FEED_Y-2030"/>
    <x v="0"/>
    <x v="6"/>
    <n v="716.52311817776797"/>
    <n v="174353.95875659"/>
    <n v="627674.25152372499"/>
  </r>
  <r>
    <x v="0"/>
    <x v="0"/>
    <x v="0"/>
    <x v="0"/>
    <x v="0"/>
    <x v="0"/>
    <x v="2"/>
    <x v="0"/>
    <x v="0"/>
    <s v="GNR_ST_MSW_BP_E-24_LS-220-MW-FEED_Y-2030"/>
    <x v="0"/>
    <x v="4"/>
    <n v="716.52311817776797"/>
    <n v="174353.95875659"/>
    <n v="627674.25152372499"/>
  </r>
  <r>
    <x v="0"/>
    <x v="0"/>
    <x v="0"/>
    <x v="0"/>
    <x v="0"/>
    <x v="0"/>
    <x v="2"/>
    <x v="0"/>
    <x v="0"/>
    <s v="GNR_ST_MSW_BP_E-24_LS-220-MW-FEED_Y-2030"/>
    <x v="0"/>
    <x v="7"/>
    <n v="716.52311817776797"/>
    <n v="174353.95875659"/>
    <n v="627674.25152372499"/>
  </r>
  <r>
    <x v="0"/>
    <x v="0"/>
    <x v="0"/>
    <x v="0"/>
    <x v="0"/>
    <x v="0"/>
    <x v="2"/>
    <x v="0"/>
    <x v="0"/>
    <s v="GNR_ST_MSW_BP_E-24_LS-220-MW-FEED_Y-2030"/>
    <x v="0"/>
    <x v="8"/>
    <n v="716.52311817776797"/>
    <n v="174353.95875659"/>
    <n v="627674.25152372499"/>
  </r>
  <r>
    <x v="0"/>
    <x v="0"/>
    <x v="0"/>
    <x v="0"/>
    <x v="0"/>
    <x v="0"/>
    <x v="2"/>
    <x v="0"/>
    <x v="0"/>
    <s v="GNR_ST_MSW_BP_E-24_LS-220-MW-FEED_Y-2030"/>
    <x v="0"/>
    <x v="0"/>
    <n v="716.52311817776797"/>
    <n v="174353.95875659"/>
    <n v="627674.25152372499"/>
  </r>
  <r>
    <x v="0"/>
    <x v="0"/>
    <x v="0"/>
    <x v="0"/>
    <x v="0"/>
    <x v="0"/>
    <x v="2"/>
    <x v="0"/>
    <x v="0"/>
    <s v="GNR_ST_MSW_BP_E-24_LS-220-MW-FEED_Y-2030"/>
    <x v="0"/>
    <x v="1"/>
    <n v="716.52311817776797"/>
    <n v="174353.95875659"/>
    <n v="627674.25152372499"/>
  </r>
  <r>
    <x v="0"/>
    <x v="0"/>
    <x v="0"/>
    <x v="0"/>
    <x v="0"/>
    <x v="0"/>
    <x v="2"/>
    <x v="0"/>
    <x v="0"/>
    <s v="GNR_ST_MSW_BP_E-24_LS-220-MW-FEED_Y-2030"/>
    <x v="0"/>
    <x v="2"/>
    <n v="716.52311817776797"/>
    <n v="174353.95875659"/>
    <n v="627674.25152372499"/>
  </r>
  <r>
    <x v="0"/>
    <x v="0"/>
    <x v="0"/>
    <x v="0"/>
    <x v="0"/>
    <x v="0"/>
    <x v="2"/>
    <x v="0"/>
    <x v="0"/>
    <s v="GNR_ST_MSW_BP_E-24_LS-220-MW-FEED_Y-2030"/>
    <x v="0"/>
    <x v="9"/>
    <n v="716.52311817776797"/>
    <n v="174353.95875659"/>
    <n v="627674.25152372499"/>
  </r>
  <r>
    <x v="0"/>
    <x v="0"/>
    <x v="0"/>
    <x v="0"/>
    <x v="0"/>
    <x v="0"/>
    <x v="2"/>
    <x v="0"/>
    <x v="0"/>
    <s v="GNR_ST_MSW_BP_E-24_LS-220-MW-FEED_Y-2030"/>
    <x v="0"/>
    <x v="10"/>
    <n v="716.52311817776797"/>
    <n v="174353.95875659"/>
    <n v="627674.25152372499"/>
  </r>
  <r>
    <x v="0"/>
    <x v="0"/>
    <x v="0"/>
    <x v="0"/>
    <x v="0"/>
    <x v="0"/>
    <x v="2"/>
    <x v="0"/>
    <x v="0"/>
    <s v="GNR_ST_MSW_BP_E-24_LS-220-MW-FEED_Y-2030"/>
    <x v="0"/>
    <x v="11"/>
    <n v="716.52311817776797"/>
    <n v="174353.95875659"/>
    <n v="627674.25152372499"/>
  </r>
  <r>
    <x v="0"/>
    <x v="0"/>
    <x v="0"/>
    <x v="0"/>
    <x v="0"/>
    <x v="0"/>
    <x v="2"/>
    <x v="0"/>
    <x v="0"/>
    <s v="GNR_ST_MSW_BP_E-24_LS-220-MW-FEED_Y-2030"/>
    <x v="2"/>
    <x v="5"/>
    <n v="716.52311817776797"/>
    <n v="174353.95875659"/>
    <n v="627674.25152372499"/>
  </r>
  <r>
    <x v="0"/>
    <x v="0"/>
    <x v="0"/>
    <x v="0"/>
    <x v="0"/>
    <x v="0"/>
    <x v="2"/>
    <x v="0"/>
    <x v="0"/>
    <s v="GNR_ST_MSW_BP_E-24_LS-220-MW-FEED_Y-2030"/>
    <x v="2"/>
    <x v="3"/>
    <n v="716.52311817776797"/>
    <n v="174353.95875659"/>
    <n v="627674.25152372499"/>
  </r>
  <r>
    <x v="0"/>
    <x v="0"/>
    <x v="0"/>
    <x v="0"/>
    <x v="0"/>
    <x v="0"/>
    <x v="2"/>
    <x v="0"/>
    <x v="0"/>
    <s v="GNR_ST_MSW_BP_E-24_LS-220-MW-FEED_Y-2030"/>
    <x v="2"/>
    <x v="6"/>
    <n v="716.52311817776797"/>
    <n v="174353.95875659"/>
    <n v="627674.25152372499"/>
  </r>
  <r>
    <x v="0"/>
    <x v="0"/>
    <x v="0"/>
    <x v="0"/>
    <x v="0"/>
    <x v="0"/>
    <x v="2"/>
    <x v="0"/>
    <x v="0"/>
    <s v="GNR_ST_MSW_BP_E-24_LS-220-MW-FEED_Y-2030"/>
    <x v="2"/>
    <x v="4"/>
    <n v="716.52311817776797"/>
    <n v="174353.95875659"/>
    <n v="627674.25152372499"/>
  </r>
  <r>
    <x v="0"/>
    <x v="0"/>
    <x v="0"/>
    <x v="0"/>
    <x v="0"/>
    <x v="0"/>
    <x v="2"/>
    <x v="0"/>
    <x v="0"/>
    <s v="GNR_ST_MSW_BP_E-24_LS-220-MW-FEED_Y-2030"/>
    <x v="2"/>
    <x v="7"/>
    <n v="716.52311817776797"/>
    <n v="174353.95875659"/>
    <n v="627674.25152372499"/>
  </r>
  <r>
    <x v="0"/>
    <x v="0"/>
    <x v="0"/>
    <x v="0"/>
    <x v="0"/>
    <x v="0"/>
    <x v="2"/>
    <x v="0"/>
    <x v="0"/>
    <s v="GNR_ST_MSW_BP_E-24_LS-220-MW-FEED_Y-2030"/>
    <x v="2"/>
    <x v="8"/>
    <n v="716.52311817776797"/>
    <n v="174353.95875659"/>
    <n v="627674.25152372499"/>
  </r>
  <r>
    <x v="0"/>
    <x v="0"/>
    <x v="0"/>
    <x v="0"/>
    <x v="0"/>
    <x v="0"/>
    <x v="2"/>
    <x v="0"/>
    <x v="0"/>
    <s v="GNR_ST_MSW_BP_E-24_LS-220-MW-FEED_Y-2030"/>
    <x v="2"/>
    <x v="0"/>
    <n v="716.52311817776797"/>
    <n v="174353.95875659"/>
    <n v="627674.25152372499"/>
  </r>
  <r>
    <x v="0"/>
    <x v="0"/>
    <x v="0"/>
    <x v="0"/>
    <x v="0"/>
    <x v="0"/>
    <x v="2"/>
    <x v="0"/>
    <x v="0"/>
    <s v="GNR_ST_MSW_BP_E-24_LS-220-MW-FEED_Y-2030"/>
    <x v="2"/>
    <x v="1"/>
    <n v="716.52311817776797"/>
    <n v="174353.95875659"/>
    <n v="627674.25152372499"/>
  </r>
  <r>
    <x v="0"/>
    <x v="0"/>
    <x v="0"/>
    <x v="0"/>
    <x v="0"/>
    <x v="0"/>
    <x v="2"/>
    <x v="0"/>
    <x v="0"/>
    <s v="GNR_ST_MSW_BP_E-24_LS-220-MW-FEED_Y-2030"/>
    <x v="2"/>
    <x v="2"/>
    <n v="716.52311817776797"/>
    <n v="174353.95875659"/>
    <n v="627674.25152372499"/>
  </r>
  <r>
    <x v="0"/>
    <x v="0"/>
    <x v="0"/>
    <x v="0"/>
    <x v="0"/>
    <x v="0"/>
    <x v="2"/>
    <x v="0"/>
    <x v="0"/>
    <s v="GNR_ST_MSW_BP_E-24_LS-220-MW-FEED_Y-2030"/>
    <x v="2"/>
    <x v="9"/>
    <n v="716.52311817776797"/>
    <n v="174353.95875659"/>
    <n v="627674.25152372499"/>
  </r>
  <r>
    <x v="0"/>
    <x v="0"/>
    <x v="0"/>
    <x v="0"/>
    <x v="0"/>
    <x v="0"/>
    <x v="2"/>
    <x v="0"/>
    <x v="0"/>
    <s v="GNR_ST_MSW_BP_E-24_LS-220-MW-FEED_Y-2030"/>
    <x v="2"/>
    <x v="10"/>
    <n v="716.52311817776797"/>
    <n v="174353.95875659"/>
    <n v="627674.25152372499"/>
  </r>
  <r>
    <x v="0"/>
    <x v="0"/>
    <x v="0"/>
    <x v="0"/>
    <x v="0"/>
    <x v="0"/>
    <x v="2"/>
    <x v="0"/>
    <x v="0"/>
    <s v="GNR_ST_MSW_BP_E-24_LS-220-MW-FEED_Y-2030"/>
    <x v="2"/>
    <x v="11"/>
    <n v="716.52311817776797"/>
    <n v="174353.95875659"/>
    <n v="627674.25152372499"/>
  </r>
  <r>
    <x v="0"/>
    <x v="0"/>
    <x v="0"/>
    <x v="0"/>
    <x v="0"/>
    <x v="0"/>
    <x v="2"/>
    <x v="0"/>
    <x v="0"/>
    <s v="GNR_ST_MSW_BP_E-24_LS-220-MW-FEED_Y-2030"/>
    <x v="1"/>
    <x v="5"/>
    <n v="716.52311817776797"/>
    <n v="174353.95875659"/>
    <n v="627674.25152372499"/>
  </r>
  <r>
    <x v="0"/>
    <x v="0"/>
    <x v="0"/>
    <x v="0"/>
    <x v="0"/>
    <x v="0"/>
    <x v="2"/>
    <x v="0"/>
    <x v="0"/>
    <s v="GNR_ST_MSW_BP_E-24_LS-220-MW-FEED_Y-2030"/>
    <x v="1"/>
    <x v="3"/>
    <n v="716.52311817776797"/>
    <n v="174353.95875659"/>
    <n v="627674.25152372499"/>
  </r>
  <r>
    <x v="0"/>
    <x v="0"/>
    <x v="0"/>
    <x v="0"/>
    <x v="0"/>
    <x v="0"/>
    <x v="2"/>
    <x v="0"/>
    <x v="0"/>
    <s v="GNR_ST_MSW_BP_E-24_LS-220-MW-FEED_Y-2030"/>
    <x v="1"/>
    <x v="6"/>
    <n v="716.52311817776797"/>
    <n v="174353.95875659"/>
    <n v="627674.25152372499"/>
  </r>
  <r>
    <x v="0"/>
    <x v="0"/>
    <x v="0"/>
    <x v="0"/>
    <x v="0"/>
    <x v="0"/>
    <x v="2"/>
    <x v="0"/>
    <x v="0"/>
    <s v="GNR_ST_MSW_BP_E-24_LS-220-MW-FEED_Y-2030"/>
    <x v="1"/>
    <x v="4"/>
    <n v="716.52311817776797"/>
    <n v="174353.95875659"/>
    <n v="627674.25152372499"/>
  </r>
  <r>
    <x v="0"/>
    <x v="0"/>
    <x v="0"/>
    <x v="0"/>
    <x v="0"/>
    <x v="0"/>
    <x v="2"/>
    <x v="0"/>
    <x v="0"/>
    <s v="GNR_ST_MSW_BP_E-24_LS-220-MW-FEED_Y-2030"/>
    <x v="1"/>
    <x v="7"/>
    <n v="716.52311817776797"/>
    <n v="174353.95875659"/>
    <n v="627674.25152372499"/>
  </r>
  <r>
    <x v="0"/>
    <x v="0"/>
    <x v="0"/>
    <x v="0"/>
    <x v="0"/>
    <x v="0"/>
    <x v="2"/>
    <x v="0"/>
    <x v="0"/>
    <s v="GNR_ST_MSW_BP_E-24_LS-220-MW-FEED_Y-2030"/>
    <x v="1"/>
    <x v="8"/>
    <n v="716.52311817776797"/>
    <n v="174353.95875659"/>
    <n v="627674.25152372499"/>
  </r>
  <r>
    <x v="0"/>
    <x v="0"/>
    <x v="0"/>
    <x v="0"/>
    <x v="0"/>
    <x v="0"/>
    <x v="2"/>
    <x v="0"/>
    <x v="0"/>
    <s v="GNR_ST_MSW_BP_E-24_LS-220-MW-FEED_Y-2030"/>
    <x v="1"/>
    <x v="0"/>
    <n v="716.52311817776797"/>
    <n v="174353.95875659"/>
    <n v="627674.25152372499"/>
  </r>
  <r>
    <x v="0"/>
    <x v="0"/>
    <x v="0"/>
    <x v="0"/>
    <x v="0"/>
    <x v="0"/>
    <x v="2"/>
    <x v="0"/>
    <x v="0"/>
    <s v="GNR_ST_MSW_BP_E-24_LS-220-MW-FEED_Y-2030"/>
    <x v="1"/>
    <x v="1"/>
    <n v="716.52311817776797"/>
    <n v="174353.95875659"/>
    <n v="627674.25152372499"/>
  </r>
  <r>
    <x v="0"/>
    <x v="0"/>
    <x v="0"/>
    <x v="0"/>
    <x v="0"/>
    <x v="0"/>
    <x v="2"/>
    <x v="0"/>
    <x v="0"/>
    <s v="GNR_ST_MSW_BP_E-24_LS-220-MW-FEED_Y-2030"/>
    <x v="1"/>
    <x v="2"/>
    <n v="716.52311817776797"/>
    <n v="174353.95875659"/>
    <n v="627674.25152372499"/>
  </r>
  <r>
    <x v="0"/>
    <x v="0"/>
    <x v="0"/>
    <x v="0"/>
    <x v="0"/>
    <x v="0"/>
    <x v="2"/>
    <x v="0"/>
    <x v="0"/>
    <s v="GNR_ST_MSW_BP_E-24_LS-220-MW-FEED_Y-2030"/>
    <x v="1"/>
    <x v="9"/>
    <n v="716.52311817776797"/>
    <n v="174353.95875659"/>
    <n v="627674.25152372499"/>
  </r>
  <r>
    <x v="0"/>
    <x v="0"/>
    <x v="0"/>
    <x v="0"/>
    <x v="0"/>
    <x v="0"/>
    <x v="2"/>
    <x v="0"/>
    <x v="0"/>
    <s v="GNR_ST_MSW_BP_E-24_LS-220-MW-FEED_Y-2030"/>
    <x v="1"/>
    <x v="10"/>
    <n v="716.52311817776797"/>
    <n v="174353.95875659"/>
    <n v="627674.25152372499"/>
  </r>
  <r>
    <x v="0"/>
    <x v="0"/>
    <x v="0"/>
    <x v="0"/>
    <x v="0"/>
    <x v="0"/>
    <x v="2"/>
    <x v="0"/>
    <x v="0"/>
    <s v="GNR_ST_MSW_BP_E-24_LS-220-MW-FEED_Y-2030"/>
    <x v="1"/>
    <x v="11"/>
    <n v="716.52311817776797"/>
    <n v="174353.95875659"/>
    <n v="627674.25152372499"/>
  </r>
  <r>
    <x v="0"/>
    <x v="0"/>
    <x v="0"/>
    <x v="0"/>
    <x v="0"/>
    <x v="0"/>
    <x v="2"/>
    <x v="0"/>
    <x v="0"/>
    <s v="GNR_ST_MSW_BP_E-27"/>
    <x v="0"/>
    <x v="5"/>
    <n v="60.521899921230499"/>
    <n v="14726.9956474994"/>
    <n v="53017.184330997901"/>
  </r>
  <r>
    <x v="0"/>
    <x v="0"/>
    <x v="0"/>
    <x v="0"/>
    <x v="0"/>
    <x v="0"/>
    <x v="2"/>
    <x v="0"/>
    <x v="0"/>
    <s v="GNR_ST_MSW_BP_E-27"/>
    <x v="0"/>
    <x v="3"/>
    <n v="60.521899921230499"/>
    <n v="14726.9956474994"/>
    <n v="53017.184330997901"/>
  </r>
  <r>
    <x v="0"/>
    <x v="0"/>
    <x v="0"/>
    <x v="0"/>
    <x v="0"/>
    <x v="0"/>
    <x v="2"/>
    <x v="0"/>
    <x v="0"/>
    <s v="GNR_ST_MSW_BP_E-27"/>
    <x v="0"/>
    <x v="6"/>
    <n v="60.521899921230499"/>
    <n v="14726.9956474994"/>
    <n v="53017.184330997901"/>
  </r>
  <r>
    <x v="0"/>
    <x v="0"/>
    <x v="0"/>
    <x v="0"/>
    <x v="0"/>
    <x v="0"/>
    <x v="2"/>
    <x v="0"/>
    <x v="0"/>
    <s v="GNR_ST_MSW_BP_E-27"/>
    <x v="0"/>
    <x v="4"/>
    <n v="60.521899921230499"/>
    <n v="14726.9956474994"/>
    <n v="53017.184330997901"/>
  </r>
  <r>
    <x v="0"/>
    <x v="0"/>
    <x v="0"/>
    <x v="0"/>
    <x v="0"/>
    <x v="0"/>
    <x v="2"/>
    <x v="0"/>
    <x v="0"/>
    <s v="GNR_ST_MSW_BP_E-27"/>
    <x v="0"/>
    <x v="7"/>
    <n v="60.521899921230499"/>
    <n v="14726.9956474994"/>
    <n v="53017.184330997901"/>
  </r>
  <r>
    <x v="0"/>
    <x v="0"/>
    <x v="0"/>
    <x v="0"/>
    <x v="0"/>
    <x v="0"/>
    <x v="2"/>
    <x v="0"/>
    <x v="0"/>
    <s v="GNR_ST_MSW_BP_E-27"/>
    <x v="0"/>
    <x v="8"/>
    <n v="60.521899921230499"/>
    <n v="14726.9956474994"/>
    <n v="53017.184330997901"/>
  </r>
  <r>
    <x v="0"/>
    <x v="0"/>
    <x v="0"/>
    <x v="0"/>
    <x v="0"/>
    <x v="0"/>
    <x v="2"/>
    <x v="0"/>
    <x v="0"/>
    <s v="GNR_ST_MSW_BP_E-27"/>
    <x v="0"/>
    <x v="0"/>
    <n v="60.521899921230499"/>
    <n v="14726.9956474994"/>
    <n v="53017.184330997901"/>
  </r>
  <r>
    <x v="0"/>
    <x v="0"/>
    <x v="0"/>
    <x v="0"/>
    <x v="0"/>
    <x v="0"/>
    <x v="2"/>
    <x v="0"/>
    <x v="0"/>
    <s v="GNR_ST_MSW_BP_E-27"/>
    <x v="0"/>
    <x v="1"/>
    <n v="60.521899921230499"/>
    <n v="14726.9956474994"/>
    <n v="53017.184330997901"/>
  </r>
  <r>
    <x v="0"/>
    <x v="0"/>
    <x v="0"/>
    <x v="0"/>
    <x v="0"/>
    <x v="0"/>
    <x v="2"/>
    <x v="0"/>
    <x v="0"/>
    <s v="GNR_ST_MSW_BP_E-27"/>
    <x v="0"/>
    <x v="2"/>
    <n v="60.521899921230499"/>
    <n v="14726.9956474994"/>
    <n v="53017.184330997901"/>
  </r>
  <r>
    <x v="0"/>
    <x v="0"/>
    <x v="0"/>
    <x v="0"/>
    <x v="0"/>
    <x v="0"/>
    <x v="2"/>
    <x v="0"/>
    <x v="0"/>
    <s v="GNR_ST_MSW_BP_E-27"/>
    <x v="0"/>
    <x v="9"/>
    <n v="60.521899921230499"/>
    <n v="14726.9956474994"/>
    <n v="53017.184330997901"/>
  </r>
  <r>
    <x v="0"/>
    <x v="0"/>
    <x v="0"/>
    <x v="0"/>
    <x v="0"/>
    <x v="0"/>
    <x v="2"/>
    <x v="0"/>
    <x v="0"/>
    <s v="GNR_ST_MSW_BP_E-27"/>
    <x v="0"/>
    <x v="10"/>
    <n v="60.521899921230499"/>
    <n v="14726.9956474994"/>
    <n v="53017.184330997901"/>
  </r>
  <r>
    <x v="0"/>
    <x v="0"/>
    <x v="0"/>
    <x v="0"/>
    <x v="0"/>
    <x v="0"/>
    <x v="2"/>
    <x v="0"/>
    <x v="0"/>
    <s v="GNR_ST_MSW_BP_E-27"/>
    <x v="0"/>
    <x v="11"/>
    <n v="60.521899921230499"/>
    <n v="14726.9956474994"/>
    <n v="53017.184330997901"/>
  </r>
  <r>
    <x v="0"/>
    <x v="0"/>
    <x v="0"/>
    <x v="0"/>
    <x v="0"/>
    <x v="0"/>
    <x v="2"/>
    <x v="0"/>
    <x v="0"/>
    <s v="GNR_ST_MSW_BP_E-27"/>
    <x v="2"/>
    <x v="5"/>
    <n v="60.521899921230499"/>
    <n v="14726.9956474994"/>
    <n v="53017.184330997901"/>
  </r>
  <r>
    <x v="0"/>
    <x v="0"/>
    <x v="0"/>
    <x v="0"/>
    <x v="0"/>
    <x v="0"/>
    <x v="2"/>
    <x v="0"/>
    <x v="0"/>
    <s v="GNR_ST_MSW_BP_E-27"/>
    <x v="2"/>
    <x v="3"/>
    <n v="60.521899921230499"/>
    <n v="14726.9956474994"/>
    <n v="53017.184330997901"/>
  </r>
  <r>
    <x v="0"/>
    <x v="0"/>
    <x v="0"/>
    <x v="0"/>
    <x v="0"/>
    <x v="0"/>
    <x v="2"/>
    <x v="0"/>
    <x v="0"/>
    <s v="GNR_ST_MSW_BP_E-27"/>
    <x v="2"/>
    <x v="6"/>
    <n v="60.521899921230499"/>
    <n v="14726.9956474994"/>
    <n v="53017.184330997901"/>
  </r>
  <r>
    <x v="0"/>
    <x v="0"/>
    <x v="0"/>
    <x v="0"/>
    <x v="0"/>
    <x v="0"/>
    <x v="2"/>
    <x v="0"/>
    <x v="0"/>
    <s v="GNR_ST_MSW_BP_E-27"/>
    <x v="2"/>
    <x v="4"/>
    <n v="60.521899921230499"/>
    <n v="14726.9956474994"/>
    <n v="53017.184330997901"/>
  </r>
  <r>
    <x v="0"/>
    <x v="0"/>
    <x v="0"/>
    <x v="0"/>
    <x v="0"/>
    <x v="0"/>
    <x v="2"/>
    <x v="0"/>
    <x v="0"/>
    <s v="GNR_ST_MSW_BP_E-27"/>
    <x v="2"/>
    <x v="7"/>
    <n v="60.521899921230499"/>
    <n v="14726.9956474994"/>
    <n v="53017.184330997901"/>
  </r>
  <r>
    <x v="0"/>
    <x v="0"/>
    <x v="0"/>
    <x v="0"/>
    <x v="0"/>
    <x v="0"/>
    <x v="2"/>
    <x v="0"/>
    <x v="0"/>
    <s v="GNR_ST_MSW_BP_E-27"/>
    <x v="2"/>
    <x v="8"/>
    <n v="60.521899921230499"/>
    <n v="14726.9956474994"/>
    <n v="53017.184330997901"/>
  </r>
  <r>
    <x v="0"/>
    <x v="0"/>
    <x v="0"/>
    <x v="0"/>
    <x v="0"/>
    <x v="0"/>
    <x v="2"/>
    <x v="0"/>
    <x v="0"/>
    <s v="GNR_ST_MSW_BP_E-27"/>
    <x v="2"/>
    <x v="0"/>
    <n v="60.521899921230499"/>
    <n v="14726.9956474994"/>
    <n v="53017.184330997901"/>
  </r>
  <r>
    <x v="0"/>
    <x v="0"/>
    <x v="0"/>
    <x v="0"/>
    <x v="0"/>
    <x v="0"/>
    <x v="2"/>
    <x v="0"/>
    <x v="0"/>
    <s v="GNR_ST_MSW_BP_E-27"/>
    <x v="2"/>
    <x v="1"/>
    <n v="60.521899921230499"/>
    <n v="14726.9956474994"/>
    <n v="53017.184330997901"/>
  </r>
  <r>
    <x v="0"/>
    <x v="0"/>
    <x v="0"/>
    <x v="0"/>
    <x v="0"/>
    <x v="0"/>
    <x v="2"/>
    <x v="0"/>
    <x v="0"/>
    <s v="GNR_ST_MSW_BP_E-27"/>
    <x v="2"/>
    <x v="2"/>
    <n v="60.521899921230499"/>
    <n v="14726.9956474994"/>
    <n v="53017.184330997901"/>
  </r>
  <r>
    <x v="0"/>
    <x v="0"/>
    <x v="0"/>
    <x v="0"/>
    <x v="0"/>
    <x v="0"/>
    <x v="2"/>
    <x v="0"/>
    <x v="0"/>
    <s v="GNR_ST_MSW_BP_E-27"/>
    <x v="2"/>
    <x v="9"/>
    <n v="60.521899921230499"/>
    <n v="14726.9956474994"/>
    <n v="53017.184330997901"/>
  </r>
  <r>
    <x v="0"/>
    <x v="0"/>
    <x v="0"/>
    <x v="0"/>
    <x v="0"/>
    <x v="0"/>
    <x v="2"/>
    <x v="0"/>
    <x v="0"/>
    <s v="GNR_ST_MSW_BP_E-27"/>
    <x v="2"/>
    <x v="10"/>
    <n v="60.521899921230499"/>
    <n v="14726.9956474994"/>
    <n v="53017.184330997901"/>
  </r>
  <r>
    <x v="0"/>
    <x v="0"/>
    <x v="0"/>
    <x v="0"/>
    <x v="0"/>
    <x v="0"/>
    <x v="2"/>
    <x v="0"/>
    <x v="0"/>
    <s v="GNR_ST_MSW_BP_E-27"/>
    <x v="2"/>
    <x v="11"/>
    <n v="60.521899921230499"/>
    <n v="14726.9956474994"/>
    <n v="53017.184330997901"/>
  </r>
  <r>
    <x v="0"/>
    <x v="0"/>
    <x v="0"/>
    <x v="0"/>
    <x v="0"/>
    <x v="0"/>
    <x v="2"/>
    <x v="0"/>
    <x v="0"/>
    <s v="GNR_ST_MSW_BP_E-27"/>
    <x v="1"/>
    <x v="5"/>
    <n v="60.521899921230499"/>
    <n v="14726.9956474994"/>
    <n v="53017.184330997901"/>
  </r>
  <r>
    <x v="0"/>
    <x v="0"/>
    <x v="0"/>
    <x v="0"/>
    <x v="0"/>
    <x v="0"/>
    <x v="2"/>
    <x v="0"/>
    <x v="0"/>
    <s v="GNR_ST_MSW_BP_E-27"/>
    <x v="1"/>
    <x v="3"/>
    <n v="60.521899921230499"/>
    <n v="14726.9956474994"/>
    <n v="53017.184330997901"/>
  </r>
  <r>
    <x v="0"/>
    <x v="0"/>
    <x v="0"/>
    <x v="0"/>
    <x v="0"/>
    <x v="0"/>
    <x v="2"/>
    <x v="0"/>
    <x v="0"/>
    <s v="GNR_ST_MSW_BP_E-27"/>
    <x v="1"/>
    <x v="6"/>
    <n v="60.521899921230499"/>
    <n v="14726.9956474994"/>
    <n v="53017.184330997901"/>
  </r>
  <r>
    <x v="0"/>
    <x v="0"/>
    <x v="0"/>
    <x v="0"/>
    <x v="0"/>
    <x v="0"/>
    <x v="2"/>
    <x v="0"/>
    <x v="0"/>
    <s v="GNR_ST_MSW_BP_E-27"/>
    <x v="1"/>
    <x v="4"/>
    <n v="60.521899921230499"/>
    <n v="14726.9956474994"/>
    <n v="53017.184330997901"/>
  </r>
  <r>
    <x v="0"/>
    <x v="0"/>
    <x v="0"/>
    <x v="0"/>
    <x v="0"/>
    <x v="0"/>
    <x v="2"/>
    <x v="0"/>
    <x v="0"/>
    <s v="GNR_ST_MSW_BP_E-27"/>
    <x v="1"/>
    <x v="7"/>
    <n v="60.521899921230499"/>
    <n v="14726.9956474994"/>
    <n v="53017.184330997901"/>
  </r>
  <r>
    <x v="0"/>
    <x v="0"/>
    <x v="0"/>
    <x v="0"/>
    <x v="0"/>
    <x v="0"/>
    <x v="2"/>
    <x v="0"/>
    <x v="0"/>
    <s v="GNR_ST_MSW_BP_E-27"/>
    <x v="1"/>
    <x v="8"/>
    <n v="60.521899921230499"/>
    <n v="14726.9956474994"/>
    <n v="53017.184330997901"/>
  </r>
  <r>
    <x v="0"/>
    <x v="0"/>
    <x v="0"/>
    <x v="0"/>
    <x v="0"/>
    <x v="0"/>
    <x v="2"/>
    <x v="0"/>
    <x v="0"/>
    <s v="GNR_ST_MSW_BP_E-27"/>
    <x v="1"/>
    <x v="0"/>
    <n v="60.521899921230499"/>
    <n v="14726.9956474994"/>
    <n v="53017.184330997901"/>
  </r>
  <r>
    <x v="0"/>
    <x v="0"/>
    <x v="0"/>
    <x v="0"/>
    <x v="0"/>
    <x v="0"/>
    <x v="2"/>
    <x v="0"/>
    <x v="0"/>
    <s v="GNR_ST_MSW_BP_E-27"/>
    <x v="1"/>
    <x v="1"/>
    <n v="60.521899921230499"/>
    <n v="14726.9956474994"/>
    <n v="53017.184330997901"/>
  </r>
  <r>
    <x v="0"/>
    <x v="0"/>
    <x v="0"/>
    <x v="0"/>
    <x v="0"/>
    <x v="0"/>
    <x v="2"/>
    <x v="0"/>
    <x v="0"/>
    <s v="GNR_ST_MSW_BP_E-27"/>
    <x v="1"/>
    <x v="2"/>
    <n v="60.521899921230499"/>
    <n v="14726.9956474994"/>
    <n v="53017.184330997901"/>
  </r>
  <r>
    <x v="0"/>
    <x v="0"/>
    <x v="0"/>
    <x v="0"/>
    <x v="0"/>
    <x v="0"/>
    <x v="2"/>
    <x v="0"/>
    <x v="0"/>
    <s v="GNR_ST_MSW_BP_E-27"/>
    <x v="1"/>
    <x v="9"/>
    <n v="60.521899921230499"/>
    <n v="14726.9956474994"/>
    <n v="53017.184330997901"/>
  </r>
  <r>
    <x v="0"/>
    <x v="0"/>
    <x v="0"/>
    <x v="0"/>
    <x v="0"/>
    <x v="0"/>
    <x v="2"/>
    <x v="0"/>
    <x v="0"/>
    <s v="GNR_ST_MSW_BP_E-27"/>
    <x v="1"/>
    <x v="10"/>
    <n v="60.521899921230499"/>
    <n v="14726.9956474994"/>
    <n v="53017.184330997901"/>
  </r>
  <r>
    <x v="0"/>
    <x v="0"/>
    <x v="0"/>
    <x v="0"/>
    <x v="0"/>
    <x v="0"/>
    <x v="2"/>
    <x v="0"/>
    <x v="0"/>
    <s v="GNR_ST_MSW_BP_E-27"/>
    <x v="1"/>
    <x v="11"/>
    <n v="60.521899921230499"/>
    <n v="14726.9956474994"/>
    <n v="53017.184330997901"/>
  </r>
  <r>
    <x v="0"/>
    <x v="0"/>
    <x v="0"/>
    <x v="0"/>
    <x v="0"/>
    <x v="0"/>
    <x v="3"/>
    <x v="0"/>
    <x v="0"/>
    <s v="GNR_ENG_NGAS_BP_E-39"/>
    <x v="0"/>
    <x v="0"/>
    <n v="4.1111111111111098"/>
    <n v="1000.37037037037"/>
    <n v="3601.3333333333298"/>
  </r>
  <r>
    <x v="0"/>
    <x v="0"/>
    <x v="0"/>
    <x v="0"/>
    <x v="0"/>
    <x v="0"/>
    <x v="3"/>
    <x v="0"/>
    <x v="0"/>
    <s v="GNR_ENG_NGAS_BP_E-39"/>
    <x v="0"/>
    <x v="1"/>
    <n v="4.1111111111111098"/>
    <n v="1000.37037037037"/>
    <n v="3601.3333333333298"/>
  </r>
  <r>
    <x v="0"/>
    <x v="0"/>
    <x v="0"/>
    <x v="0"/>
    <x v="0"/>
    <x v="0"/>
    <x v="3"/>
    <x v="0"/>
    <x v="0"/>
    <s v="GNR_ENG_NGAS_BP_E-39"/>
    <x v="0"/>
    <x v="2"/>
    <n v="4.1111111111111098"/>
    <n v="1000.37037037037"/>
    <n v="3601.3333333333298"/>
  </r>
  <r>
    <x v="0"/>
    <x v="0"/>
    <x v="0"/>
    <x v="0"/>
    <x v="0"/>
    <x v="0"/>
    <x v="3"/>
    <x v="0"/>
    <x v="0"/>
    <s v="GNR_ENG_NGAS_BP_E-39"/>
    <x v="1"/>
    <x v="3"/>
    <n v="4.1111111111111098"/>
    <n v="1000.37037037037"/>
    <n v="3601.3333333333298"/>
  </r>
  <r>
    <x v="0"/>
    <x v="0"/>
    <x v="0"/>
    <x v="0"/>
    <x v="0"/>
    <x v="0"/>
    <x v="3"/>
    <x v="0"/>
    <x v="0"/>
    <s v="GNR_ENG_NGAS_BP_E-39"/>
    <x v="1"/>
    <x v="4"/>
    <n v="4.1111111111111098"/>
    <n v="1000.37037037037"/>
    <n v="3601.3333333333298"/>
  </r>
  <r>
    <x v="0"/>
    <x v="0"/>
    <x v="0"/>
    <x v="0"/>
    <x v="0"/>
    <x v="0"/>
    <x v="3"/>
    <x v="0"/>
    <x v="0"/>
    <s v="GNR_ENG_NGAS_BP_E-39"/>
    <x v="1"/>
    <x v="0"/>
    <n v="4.1111111111111098"/>
    <n v="1000.37037037037"/>
    <n v="3601.3333333333298"/>
  </r>
  <r>
    <x v="0"/>
    <x v="0"/>
    <x v="0"/>
    <x v="0"/>
    <x v="0"/>
    <x v="0"/>
    <x v="3"/>
    <x v="0"/>
    <x v="0"/>
    <s v="GNR_ENG_NGAS_BP_E-39"/>
    <x v="1"/>
    <x v="2"/>
    <n v="4.1111111111111098"/>
    <n v="1000.37037037037"/>
    <n v="3601.3333333333298"/>
  </r>
  <r>
    <x v="0"/>
    <x v="0"/>
    <x v="0"/>
    <x v="0"/>
    <x v="0"/>
    <x v="0"/>
    <x v="3"/>
    <x v="0"/>
    <x v="0"/>
    <s v="GNR_ENG_NGAS_BP_E-42"/>
    <x v="0"/>
    <x v="0"/>
    <n v="2.5111111111111102"/>
    <n v="611.03703703703695"/>
    <n v="2199.7333333333299"/>
  </r>
  <r>
    <x v="0"/>
    <x v="0"/>
    <x v="0"/>
    <x v="0"/>
    <x v="0"/>
    <x v="0"/>
    <x v="3"/>
    <x v="0"/>
    <x v="0"/>
    <s v="GNR_ENG_NGAS_BP_E-42"/>
    <x v="0"/>
    <x v="1"/>
    <n v="2.5111111111111102"/>
    <n v="611.03703703703695"/>
    <n v="2199.7333333333299"/>
  </r>
  <r>
    <x v="0"/>
    <x v="0"/>
    <x v="0"/>
    <x v="0"/>
    <x v="0"/>
    <x v="0"/>
    <x v="3"/>
    <x v="0"/>
    <x v="0"/>
    <s v="GNR_ENG_NGAS_BP_E-42"/>
    <x v="0"/>
    <x v="2"/>
    <n v="2.5111111111111102"/>
    <n v="611.03703703703695"/>
    <n v="2199.7333333333299"/>
  </r>
  <r>
    <x v="0"/>
    <x v="0"/>
    <x v="0"/>
    <x v="0"/>
    <x v="0"/>
    <x v="0"/>
    <x v="3"/>
    <x v="0"/>
    <x v="0"/>
    <s v="GNR_ENG_NGAS_BP_E-42"/>
    <x v="0"/>
    <x v="9"/>
    <n v="2.5111111111111102"/>
    <n v="611.03703703703695"/>
    <n v="2199.7333333333299"/>
  </r>
  <r>
    <x v="0"/>
    <x v="0"/>
    <x v="0"/>
    <x v="0"/>
    <x v="0"/>
    <x v="0"/>
    <x v="3"/>
    <x v="0"/>
    <x v="0"/>
    <s v="GNR_ENG_NGAS_BP_E-42"/>
    <x v="1"/>
    <x v="3"/>
    <n v="2.5111111111111102"/>
    <n v="611.03703703703695"/>
    <n v="2199.7333333333299"/>
  </r>
  <r>
    <x v="0"/>
    <x v="0"/>
    <x v="0"/>
    <x v="0"/>
    <x v="0"/>
    <x v="0"/>
    <x v="3"/>
    <x v="0"/>
    <x v="0"/>
    <s v="GNR_ENG_NGAS_BP_E-42"/>
    <x v="1"/>
    <x v="4"/>
    <n v="2.5111111111111102"/>
    <n v="611.03703703703695"/>
    <n v="2199.7333333333299"/>
  </r>
  <r>
    <x v="0"/>
    <x v="0"/>
    <x v="0"/>
    <x v="0"/>
    <x v="0"/>
    <x v="0"/>
    <x v="3"/>
    <x v="0"/>
    <x v="0"/>
    <s v="GNR_ENG_NGAS_BP_E-42"/>
    <x v="1"/>
    <x v="7"/>
    <n v="2.5111111111111102"/>
    <n v="611.03703703703695"/>
    <n v="2199.7333333333299"/>
  </r>
  <r>
    <x v="0"/>
    <x v="0"/>
    <x v="0"/>
    <x v="0"/>
    <x v="0"/>
    <x v="0"/>
    <x v="3"/>
    <x v="0"/>
    <x v="0"/>
    <s v="GNR_ENG_NGAS_BP_E-42"/>
    <x v="1"/>
    <x v="0"/>
    <n v="2.5111111111111102"/>
    <n v="611.03703703703695"/>
    <n v="2199.7333333333299"/>
  </r>
  <r>
    <x v="0"/>
    <x v="0"/>
    <x v="0"/>
    <x v="0"/>
    <x v="0"/>
    <x v="0"/>
    <x v="3"/>
    <x v="0"/>
    <x v="0"/>
    <s v="GNR_ENG_NGAS_BP_E-42"/>
    <x v="1"/>
    <x v="2"/>
    <n v="2.5111111111111102"/>
    <n v="611.03703703703695"/>
    <n v="2199.7333333333299"/>
  </r>
  <r>
    <x v="0"/>
    <x v="0"/>
    <x v="0"/>
    <x v="0"/>
    <x v="0"/>
    <x v="0"/>
    <x v="3"/>
    <x v="0"/>
    <x v="0"/>
    <s v="GNR_ENG_NGAS_BP_E-43"/>
    <x v="0"/>
    <x v="8"/>
    <n v="3.37777777777778"/>
    <n v="821.92592592592598"/>
    <n v="2958.9333333333302"/>
  </r>
  <r>
    <x v="0"/>
    <x v="0"/>
    <x v="0"/>
    <x v="0"/>
    <x v="0"/>
    <x v="0"/>
    <x v="3"/>
    <x v="0"/>
    <x v="0"/>
    <s v="GNR_ENG_NGAS_BP_E-43"/>
    <x v="0"/>
    <x v="0"/>
    <n v="3.37777777777778"/>
    <n v="821.92592592592598"/>
    <n v="2958.9333333333302"/>
  </r>
  <r>
    <x v="0"/>
    <x v="0"/>
    <x v="0"/>
    <x v="0"/>
    <x v="0"/>
    <x v="0"/>
    <x v="3"/>
    <x v="0"/>
    <x v="0"/>
    <s v="GNR_ENG_NGAS_BP_E-43"/>
    <x v="0"/>
    <x v="1"/>
    <n v="3.37777777777778"/>
    <n v="821.92592592592598"/>
    <n v="2958.9333333333302"/>
  </r>
  <r>
    <x v="0"/>
    <x v="0"/>
    <x v="0"/>
    <x v="0"/>
    <x v="0"/>
    <x v="0"/>
    <x v="3"/>
    <x v="0"/>
    <x v="0"/>
    <s v="GNR_ENG_NGAS_BP_E-43"/>
    <x v="0"/>
    <x v="2"/>
    <n v="3.37777777777778"/>
    <n v="821.92592592592598"/>
    <n v="2958.9333333333302"/>
  </r>
  <r>
    <x v="0"/>
    <x v="0"/>
    <x v="0"/>
    <x v="0"/>
    <x v="0"/>
    <x v="0"/>
    <x v="3"/>
    <x v="0"/>
    <x v="0"/>
    <s v="GNR_ENG_NGAS_BP_E-43"/>
    <x v="0"/>
    <x v="9"/>
    <n v="3.37777777777778"/>
    <n v="821.92592592592598"/>
    <n v="2958.9333333333302"/>
  </r>
  <r>
    <x v="0"/>
    <x v="0"/>
    <x v="0"/>
    <x v="0"/>
    <x v="0"/>
    <x v="0"/>
    <x v="3"/>
    <x v="0"/>
    <x v="0"/>
    <s v="GNR_ENG_NGAS_BP_E-43"/>
    <x v="1"/>
    <x v="3"/>
    <n v="3.37777777777778"/>
    <n v="821.92592592592598"/>
    <n v="2958.9333333333302"/>
  </r>
  <r>
    <x v="0"/>
    <x v="0"/>
    <x v="0"/>
    <x v="0"/>
    <x v="0"/>
    <x v="0"/>
    <x v="3"/>
    <x v="0"/>
    <x v="0"/>
    <s v="GNR_ENG_NGAS_BP_E-43"/>
    <x v="1"/>
    <x v="4"/>
    <n v="3.37777777777778"/>
    <n v="821.92592592592598"/>
    <n v="2958.9333333333302"/>
  </r>
  <r>
    <x v="0"/>
    <x v="0"/>
    <x v="0"/>
    <x v="0"/>
    <x v="0"/>
    <x v="0"/>
    <x v="3"/>
    <x v="0"/>
    <x v="0"/>
    <s v="GNR_ENG_NGAS_BP_E-43"/>
    <x v="1"/>
    <x v="7"/>
    <n v="3.37777777777778"/>
    <n v="821.92592592592598"/>
    <n v="2958.9333333333302"/>
  </r>
  <r>
    <x v="0"/>
    <x v="0"/>
    <x v="0"/>
    <x v="0"/>
    <x v="0"/>
    <x v="0"/>
    <x v="3"/>
    <x v="0"/>
    <x v="0"/>
    <s v="GNR_ENG_NGAS_BP_E-43"/>
    <x v="1"/>
    <x v="0"/>
    <n v="3.37777777777778"/>
    <n v="821.92592592592598"/>
    <n v="2958.9333333333302"/>
  </r>
  <r>
    <x v="0"/>
    <x v="0"/>
    <x v="0"/>
    <x v="0"/>
    <x v="0"/>
    <x v="0"/>
    <x v="3"/>
    <x v="0"/>
    <x v="0"/>
    <s v="GNR_ENG_NGAS_BP_E-43"/>
    <x v="1"/>
    <x v="2"/>
    <n v="3.37777777777778"/>
    <n v="821.92592592592598"/>
    <n v="2958.9333333333302"/>
  </r>
  <r>
    <x v="0"/>
    <x v="0"/>
    <x v="0"/>
    <x v="0"/>
    <x v="0"/>
    <x v="0"/>
    <x v="3"/>
    <x v="0"/>
    <x v="0"/>
    <s v="GNR_ENG_NGAS_BP_E-46"/>
    <x v="0"/>
    <x v="8"/>
    <n v="0.81111111111111101"/>
    <n v="197.37037037037001"/>
    <n v="710.53333333333296"/>
  </r>
  <r>
    <x v="0"/>
    <x v="0"/>
    <x v="0"/>
    <x v="0"/>
    <x v="0"/>
    <x v="0"/>
    <x v="3"/>
    <x v="0"/>
    <x v="0"/>
    <s v="GNR_ENG_NGAS_BP_E-46"/>
    <x v="0"/>
    <x v="0"/>
    <n v="0.81111111111111101"/>
    <n v="197.37037037037001"/>
    <n v="710.53333333333296"/>
  </r>
  <r>
    <x v="0"/>
    <x v="0"/>
    <x v="0"/>
    <x v="0"/>
    <x v="0"/>
    <x v="0"/>
    <x v="3"/>
    <x v="0"/>
    <x v="0"/>
    <s v="GNR_ENG_NGAS_BP_E-46"/>
    <x v="0"/>
    <x v="1"/>
    <n v="0.81111111111111101"/>
    <n v="197.37037037037001"/>
    <n v="710.53333333333296"/>
  </r>
  <r>
    <x v="0"/>
    <x v="0"/>
    <x v="0"/>
    <x v="0"/>
    <x v="0"/>
    <x v="0"/>
    <x v="3"/>
    <x v="0"/>
    <x v="0"/>
    <s v="GNR_ENG_NGAS_BP_E-46"/>
    <x v="0"/>
    <x v="2"/>
    <n v="0.81111111111111101"/>
    <n v="197.37037037037001"/>
    <n v="710.53333333333296"/>
  </r>
  <r>
    <x v="0"/>
    <x v="0"/>
    <x v="0"/>
    <x v="0"/>
    <x v="0"/>
    <x v="0"/>
    <x v="3"/>
    <x v="0"/>
    <x v="0"/>
    <s v="GNR_ENG_NGAS_BP_E-46"/>
    <x v="0"/>
    <x v="9"/>
    <n v="0.81111111111111101"/>
    <n v="197.37037037037001"/>
    <n v="710.53333333333296"/>
  </r>
  <r>
    <x v="0"/>
    <x v="0"/>
    <x v="0"/>
    <x v="0"/>
    <x v="0"/>
    <x v="0"/>
    <x v="3"/>
    <x v="0"/>
    <x v="0"/>
    <s v="GNR_ENG_NGAS_BP_E-46"/>
    <x v="0"/>
    <x v="11"/>
    <n v="0.81111111111111101"/>
    <n v="197.37037037037001"/>
    <n v="710.53333333333296"/>
  </r>
  <r>
    <x v="0"/>
    <x v="0"/>
    <x v="0"/>
    <x v="0"/>
    <x v="0"/>
    <x v="0"/>
    <x v="3"/>
    <x v="0"/>
    <x v="0"/>
    <s v="GNR_ENG_NGAS_BP_E-46"/>
    <x v="1"/>
    <x v="3"/>
    <n v="0.81111111111111101"/>
    <n v="197.37037037037001"/>
    <n v="710.53333333333296"/>
  </r>
  <r>
    <x v="0"/>
    <x v="0"/>
    <x v="0"/>
    <x v="0"/>
    <x v="0"/>
    <x v="0"/>
    <x v="3"/>
    <x v="0"/>
    <x v="0"/>
    <s v="GNR_ENG_NGAS_BP_E-46"/>
    <x v="1"/>
    <x v="4"/>
    <n v="0.81111111111111101"/>
    <n v="197.37037037037001"/>
    <n v="710.53333333333296"/>
  </r>
  <r>
    <x v="0"/>
    <x v="0"/>
    <x v="0"/>
    <x v="0"/>
    <x v="0"/>
    <x v="0"/>
    <x v="3"/>
    <x v="0"/>
    <x v="0"/>
    <s v="GNR_ENG_NGAS_BP_E-46"/>
    <x v="1"/>
    <x v="7"/>
    <n v="0.81111111111111101"/>
    <n v="197.37037037037001"/>
    <n v="710.53333333333296"/>
  </r>
  <r>
    <x v="0"/>
    <x v="0"/>
    <x v="0"/>
    <x v="0"/>
    <x v="0"/>
    <x v="0"/>
    <x v="3"/>
    <x v="0"/>
    <x v="0"/>
    <s v="GNR_ENG_NGAS_BP_E-46"/>
    <x v="1"/>
    <x v="0"/>
    <n v="0.81111111111111101"/>
    <n v="197.37037037037001"/>
    <n v="710.53333333333296"/>
  </r>
  <r>
    <x v="0"/>
    <x v="0"/>
    <x v="0"/>
    <x v="0"/>
    <x v="0"/>
    <x v="0"/>
    <x v="3"/>
    <x v="0"/>
    <x v="0"/>
    <s v="GNR_ENG_NGAS_BP_E-46"/>
    <x v="1"/>
    <x v="1"/>
    <n v="0.81111111111111101"/>
    <n v="197.37037037037001"/>
    <n v="710.53333333333296"/>
  </r>
  <r>
    <x v="0"/>
    <x v="0"/>
    <x v="0"/>
    <x v="0"/>
    <x v="0"/>
    <x v="0"/>
    <x v="3"/>
    <x v="0"/>
    <x v="0"/>
    <s v="GNR_ENG_NGAS_BP_E-46"/>
    <x v="1"/>
    <x v="2"/>
    <n v="0.81111111111111101"/>
    <n v="197.37037037037001"/>
    <n v="710.53333333333296"/>
  </r>
  <r>
    <x v="0"/>
    <x v="0"/>
    <x v="0"/>
    <x v="0"/>
    <x v="0"/>
    <x v="0"/>
    <x v="3"/>
    <x v="0"/>
    <x v="0"/>
    <s v="GNR_GT_NGAS_BP_E-43_LS-40-MW_Y-2030"/>
    <x v="0"/>
    <x v="8"/>
    <n v="90.619018002828497"/>
    <n v="22050.627714021601"/>
    <n v="79382.259770477802"/>
  </r>
  <r>
    <x v="0"/>
    <x v="0"/>
    <x v="0"/>
    <x v="0"/>
    <x v="0"/>
    <x v="0"/>
    <x v="3"/>
    <x v="0"/>
    <x v="0"/>
    <s v="GNR_GT_NGAS_BP_E-43_LS-40-MW_Y-2030"/>
    <x v="0"/>
    <x v="0"/>
    <n v="90.619018002828497"/>
    <n v="22050.627714021601"/>
    <n v="79382.259770477802"/>
  </r>
  <r>
    <x v="0"/>
    <x v="0"/>
    <x v="0"/>
    <x v="0"/>
    <x v="0"/>
    <x v="0"/>
    <x v="3"/>
    <x v="0"/>
    <x v="0"/>
    <s v="GNR_GT_NGAS_BP_E-43_LS-40-MW_Y-2030"/>
    <x v="0"/>
    <x v="1"/>
    <n v="90.619018002828497"/>
    <n v="22050.627714021601"/>
    <n v="79382.259770477802"/>
  </r>
  <r>
    <x v="0"/>
    <x v="0"/>
    <x v="0"/>
    <x v="0"/>
    <x v="0"/>
    <x v="0"/>
    <x v="3"/>
    <x v="0"/>
    <x v="0"/>
    <s v="GNR_GT_NGAS_BP_E-43_LS-40-MW_Y-2030"/>
    <x v="0"/>
    <x v="2"/>
    <n v="90.619018002828497"/>
    <n v="22050.627714021601"/>
    <n v="79382.259770477802"/>
  </r>
  <r>
    <x v="0"/>
    <x v="0"/>
    <x v="0"/>
    <x v="0"/>
    <x v="0"/>
    <x v="0"/>
    <x v="3"/>
    <x v="0"/>
    <x v="0"/>
    <s v="GNR_GT_NGAS_BP_E-43_LS-40-MW_Y-2030"/>
    <x v="0"/>
    <x v="9"/>
    <n v="90.619018002828497"/>
    <n v="22050.627714021601"/>
    <n v="79382.259770477802"/>
  </r>
  <r>
    <x v="0"/>
    <x v="0"/>
    <x v="0"/>
    <x v="0"/>
    <x v="0"/>
    <x v="0"/>
    <x v="3"/>
    <x v="0"/>
    <x v="0"/>
    <s v="GNR_GT_NGAS_BP_E-43_LS-40-MW_Y-2030"/>
    <x v="1"/>
    <x v="3"/>
    <n v="90.619018002828497"/>
    <n v="22050.627714021601"/>
    <n v="79382.259770477802"/>
  </r>
  <r>
    <x v="0"/>
    <x v="0"/>
    <x v="0"/>
    <x v="0"/>
    <x v="0"/>
    <x v="0"/>
    <x v="3"/>
    <x v="0"/>
    <x v="0"/>
    <s v="GNR_GT_NGAS_BP_E-43_LS-40-MW_Y-2030"/>
    <x v="1"/>
    <x v="4"/>
    <n v="90.619018002828497"/>
    <n v="22050.627714021601"/>
    <n v="79382.259770477802"/>
  </r>
  <r>
    <x v="0"/>
    <x v="0"/>
    <x v="0"/>
    <x v="0"/>
    <x v="0"/>
    <x v="0"/>
    <x v="3"/>
    <x v="0"/>
    <x v="0"/>
    <s v="GNR_GT_NGAS_BP_E-43_LS-40-MW_Y-2030"/>
    <x v="1"/>
    <x v="7"/>
    <n v="90.619018002828497"/>
    <n v="22050.627714021601"/>
    <n v="79382.259770477802"/>
  </r>
  <r>
    <x v="0"/>
    <x v="0"/>
    <x v="0"/>
    <x v="0"/>
    <x v="0"/>
    <x v="0"/>
    <x v="3"/>
    <x v="0"/>
    <x v="0"/>
    <s v="GNR_GT_NGAS_BP_E-43_LS-40-MW_Y-2030"/>
    <x v="1"/>
    <x v="0"/>
    <n v="90.619018002828497"/>
    <n v="22050.627714021601"/>
    <n v="79382.259770477802"/>
  </r>
  <r>
    <x v="0"/>
    <x v="0"/>
    <x v="0"/>
    <x v="0"/>
    <x v="0"/>
    <x v="0"/>
    <x v="3"/>
    <x v="0"/>
    <x v="0"/>
    <s v="GNR_GT_NGAS_BP_E-43_LS-40-MW_Y-2030"/>
    <x v="1"/>
    <x v="2"/>
    <n v="90.619018002828497"/>
    <n v="22050.627714021601"/>
    <n v="79382.259770477802"/>
  </r>
  <r>
    <x v="0"/>
    <x v="0"/>
    <x v="0"/>
    <x v="0"/>
    <x v="0"/>
    <x v="0"/>
    <x v="4"/>
    <x v="2"/>
    <x v="3"/>
    <s v="GNR_BO_STRW_E-100"/>
    <x v="0"/>
    <x v="5"/>
    <n v="5.15"/>
    <n v="1253.1666666666699"/>
    <n v="4511.3999999999996"/>
  </r>
  <r>
    <x v="0"/>
    <x v="0"/>
    <x v="0"/>
    <x v="0"/>
    <x v="0"/>
    <x v="0"/>
    <x v="4"/>
    <x v="2"/>
    <x v="3"/>
    <s v="GNR_BO_STRW_E-102"/>
    <x v="0"/>
    <x v="5"/>
    <n v="6.3"/>
    <n v="1533"/>
    <n v="5518.8"/>
  </r>
  <r>
    <x v="0"/>
    <x v="0"/>
    <x v="0"/>
    <x v="0"/>
    <x v="0"/>
    <x v="0"/>
    <x v="4"/>
    <x v="0"/>
    <x v="0"/>
    <s v="GNR_ST_STRW_BP_E-26"/>
    <x v="0"/>
    <x v="3"/>
    <n v="69.716740415670401"/>
    <n v="16964.4068344798"/>
    <n v="61071.864604127302"/>
  </r>
  <r>
    <x v="0"/>
    <x v="0"/>
    <x v="0"/>
    <x v="0"/>
    <x v="0"/>
    <x v="0"/>
    <x v="4"/>
    <x v="0"/>
    <x v="0"/>
    <s v="GNR_ST_STRW_BP_E-26"/>
    <x v="0"/>
    <x v="4"/>
    <n v="69.716740415670401"/>
    <n v="16964.4068344798"/>
    <n v="61071.864604127302"/>
  </r>
  <r>
    <x v="0"/>
    <x v="0"/>
    <x v="0"/>
    <x v="0"/>
    <x v="0"/>
    <x v="0"/>
    <x v="4"/>
    <x v="0"/>
    <x v="0"/>
    <s v="GNR_ST_STRW_BP_E-26"/>
    <x v="0"/>
    <x v="8"/>
    <n v="69.716740415670401"/>
    <n v="16964.4068344798"/>
    <n v="61071.864604127302"/>
  </r>
  <r>
    <x v="0"/>
    <x v="0"/>
    <x v="0"/>
    <x v="0"/>
    <x v="0"/>
    <x v="0"/>
    <x v="4"/>
    <x v="0"/>
    <x v="0"/>
    <s v="GNR_ST_STRW_BP_E-26"/>
    <x v="0"/>
    <x v="0"/>
    <n v="69.716740415670401"/>
    <n v="16964.4068344798"/>
    <n v="61071.864604127302"/>
  </r>
  <r>
    <x v="0"/>
    <x v="0"/>
    <x v="0"/>
    <x v="0"/>
    <x v="0"/>
    <x v="0"/>
    <x v="4"/>
    <x v="0"/>
    <x v="0"/>
    <s v="GNR_ST_STRW_BP_E-26"/>
    <x v="0"/>
    <x v="1"/>
    <n v="69.716740415670401"/>
    <n v="16964.4068344798"/>
    <n v="61071.864604127302"/>
  </r>
  <r>
    <x v="0"/>
    <x v="0"/>
    <x v="0"/>
    <x v="0"/>
    <x v="0"/>
    <x v="0"/>
    <x v="4"/>
    <x v="0"/>
    <x v="0"/>
    <s v="GNR_ST_STRW_BP_E-26"/>
    <x v="0"/>
    <x v="2"/>
    <n v="69.716740415670401"/>
    <n v="16964.4068344798"/>
    <n v="61071.864604127302"/>
  </r>
  <r>
    <x v="0"/>
    <x v="0"/>
    <x v="0"/>
    <x v="0"/>
    <x v="0"/>
    <x v="0"/>
    <x v="4"/>
    <x v="0"/>
    <x v="0"/>
    <s v="GNR_ST_STRW_BP_E-26"/>
    <x v="0"/>
    <x v="9"/>
    <n v="69.716740415670401"/>
    <n v="16964.4068344798"/>
    <n v="61071.864604127302"/>
  </r>
  <r>
    <x v="0"/>
    <x v="0"/>
    <x v="0"/>
    <x v="0"/>
    <x v="0"/>
    <x v="0"/>
    <x v="4"/>
    <x v="0"/>
    <x v="0"/>
    <s v="GNR_ST_STRW_BP_E-26"/>
    <x v="0"/>
    <x v="10"/>
    <n v="69.716740415670401"/>
    <n v="16964.4068344798"/>
    <n v="61071.864604127302"/>
  </r>
  <r>
    <x v="0"/>
    <x v="0"/>
    <x v="0"/>
    <x v="0"/>
    <x v="0"/>
    <x v="0"/>
    <x v="4"/>
    <x v="0"/>
    <x v="0"/>
    <s v="GNR_ST_STRW_BP_E-26"/>
    <x v="0"/>
    <x v="11"/>
    <n v="69.716740415670401"/>
    <n v="16964.4068344798"/>
    <n v="61071.864604127302"/>
  </r>
  <r>
    <x v="0"/>
    <x v="0"/>
    <x v="0"/>
    <x v="0"/>
    <x v="0"/>
    <x v="0"/>
    <x v="4"/>
    <x v="0"/>
    <x v="0"/>
    <s v="GNR_ST_STRW_BP_E-26"/>
    <x v="2"/>
    <x v="6"/>
    <n v="31.063679838979699"/>
    <n v="7558.82876081838"/>
    <n v="27211.783538946202"/>
  </r>
  <r>
    <x v="0"/>
    <x v="0"/>
    <x v="0"/>
    <x v="0"/>
    <x v="0"/>
    <x v="0"/>
    <x v="4"/>
    <x v="0"/>
    <x v="0"/>
    <s v="GNR_ST_STRW_BP_E-26"/>
    <x v="2"/>
    <x v="4"/>
    <n v="69.716740415670401"/>
    <n v="16964.4068344798"/>
    <n v="61071.864604127302"/>
  </r>
  <r>
    <x v="0"/>
    <x v="0"/>
    <x v="0"/>
    <x v="0"/>
    <x v="0"/>
    <x v="0"/>
    <x v="4"/>
    <x v="0"/>
    <x v="0"/>
    <s v="GNR_ST_STRW_BP_E-26"/>
    <x v="1"/>
    <x v="3"/>
    <n v="69.716740415670401"/>
    <n v="16964.4068344798"/>
    <n v="61071.864604127302"/>
  </r>
  <r>
    <x v="0"/>
    <x v="0"/>
    <x v="0"/>
    <x v="0"/>
    <x v="0"/>
    <x v="0"/>
    <x v="4"/>
    <x v="0"/>
    <x v="0"/>
    <s v="GNR_ST_STRW_BP_E-26"/>
    <x v="1"/>
    <x v="4"/>
    <n v="69.716740415670401"/>
    <n v="16964.4068344798"/>
    <n v="61071.864604127302"/>
  </r>
  <r>
    <x v="0"/>
    <x v="0"/>
    <x v="0"/>
    <x v="0"/>
    <x v="0"/>
    <x v="0"/>
    <x v="4"/>
    <x v="0"/>
    <x v="0"/>
    <s v="GNR_ST_STRW_BP_E-26"/>
    <x v="1"/>
    <x v="7"/>
    <n v="69.716740415670401"/>
    <n v="16964.4068344798"/>
    <n v="61071.864604127302"/>
  </r>
  <r>
    <x v="0"/>
    <x v="0"/>
    <x v="0"/>
    <x v="0"/>
    <x v="0"/>
    <x v="0"/>
    <x v="4"/>
    <x v="0"/>
    <x v="0"/>
    <s v="GNR_ST_STRW_BP_E-26"/>
    <x v="1"/>
    <x v="0"/>
    <n v="69.716740415670401"/>
    <n v="16964.4068344798"/>
    <n v="61071.864604127302"/>
  </r>
  <r>
    <x v="0"/>
    <x v="0"/>
    <x v="0"/>
    <x v="0"/>
    <x v="0"/>
    <x v="0"/>
    <x v="4"/>
    <x v="0"/>
    <x v="0"/>
    <s v="GNR_ST_STRW_BP_E-26"/>
    <x v="1"/>
    <x v="1"/>
    <n v="69.716740415670401"/>
    <n v="16964.4068344798"/>
    <n v="61071.864604127302"/>
  </r>
  <r>
    <x v="0"/>
    <x v="0"/>
    <x v="0"/>
    <x v="0"/>
    <x v="0"/>
    <x v="0"/>
    <x v="4"/>
    <x v="0"/>
    <x v="0"/>
    <s v="GNR_ST_STRW_BP_E-26"/>
    <x v="1"/>
    <x v="2"/>
    <n v="69.716740415670401"/>
    <n v="16964.4068344798"/>
    <n v="61071.864604127302"/>
  </r>
  <r>
    <x v="0"/>
    <x v="0"/>
    <x v="0"/>
    <x v="0"/>
    <x v="0"/>
    <x v="0"/>
    <x v="5"/>
    <x v="3"/>
    <x v="4"/>
    <s v="GNR_SH_SUN"/>
    <x v="0"/>
    <x v="7"/>
    <n v="1.9399510035640199"/>
    <n v="472.054744200578"/>
    <n v="1699.39707912208"/>
  </r>
  <r>
    <x v="0"/>
    <x v="0"/>
    <x v="0"/>
    <x v="0"/>
    <x v="0"/>
    <x v="0"/>
    <x v="5"/>
    <x v="3"/>
    <x v="4"/>
    <s v="GNR_SH_SUN"/>
    <x v="0"/>
    <x v="0"/>
    <n v="0.47249532235425501"/>
    <n v="114.973861772869"/>
    <n v="413.90590238232699"/>
  </r>
  <r>
    <x v="0"/>
    <x v="0"/>
    <x v="0"/>
    <x v="0"/>
    <x v="0"/>
    <x v="0"/>
    <x v="5"/>
    <x v="3"/>
    <x v="4"/>
    <s v="GNR_SH_SUN"/>
    <x v="0"/>
    <x v="9"/>
    <n v="1.0318147131694"/>
    <n v="251.074913537887"/>
    <n v="903.86968873639398"/>
  </r>
  <r>
    <x v="0"/>
    <x v="0"/>
    <x v="0"/>
    <x v="0"/>
    <x v="0"/>
    <x v="0"/>
    <x v="5"/>
    <x v="3"/>
    <x v="4"/>
    <s v="GNR_SH_SUN"/>
    <x v="0"/>
    <x v="11"/>
    <n v="8.23224627071346E-2"/>
    <n v="20.0317992587361"/>
    <n v="72.114477331449905"/>
  </r>
  <r>
    <x v="0"/>
    <x v="0"/>
    <x v="0"/>
    <x v="0"/>
    <x v="0"/>
    <x v="0"/>
    <x v="5"/>
    <x v="3"/>
    <x v="4"/>
    <s v="GNR_SH_SUN"/>
    <x v="2"/>
    <x v="6"/>
    <n v="0.42331157854520801"/>
    <n v="103.005817446001"/>
    <n v="370.82094280560301"/>
  </r>
  <r>
    <x v="0"/>
    <x v="0"/>
    <x v="0"/>
    <x v="0"/>
    <x v="0"/>
    <x v="0"/>
    <x v="5"/>
    <x v="3"/>
    <x v="4"/>
    <s v="GNR_SH_SUN"/>
    <x v="2"/>
    <x v="9"/>
    <n v="0.158682091620655"/>
    <n v="38.612642294359397"/>
    <n v="139.005512259694"/>
  </r>
  <r>
    <x v="0"/>
    <x v="0"/>
    <x v="0"/>
    <x v="0"/>
    <x v="0"/>
    <x v="0"/>
    <x v="5"/>
    <x v="3"/>
    <x v="4"/>
    <s v="GNR_SH_SUN"/>
    <x v="1"/>
    <x v="7"/>
    <n v="1.23291663615459"/>
    <n v="300.00971479761603"/>
    <n v="1080.0349732714201"/>
  </r>
  <r>
    <x v="0"/>
    <x v="0"/>
    <x v="0"/>
    <x v="0"/>
    <x v="0"/>
    <x v="0"/>
    <x v="5"/>
    <x v="3"/>
    <x v="4"/>
    <s v="GNR_SH_SUN"/>
    <x v="1"/>
    <x v="0"/>
    <n v="0.27635131511375699"/>
    <n v="67.245486677681001"/>
    <n v="242.08375203965201"/>
  </r>
  <r>
    <x v="0"/>
    <x v="0"/>
    <x v="0"/>
    <x v="0"/>
    <x v="0"/>
    <x v="0"/>
    <x v="5"/>
    <x v="3"/>
    <x v="4"/>
    <s v="GNR_SH_SUN"/>
    <x v="1"/>
    <x v="9"/>
    <n v="1.8819265767887801"/>
    <n v="457.93546701860203"/>
    <n v="1648.5676812669701"/>
  </r>
  <r>
    <x v="0"/>
    <x v="0"/>
    <x v="0"/>
    <x v="0"/>
    <x v="0"/>
    <x v="0"/>
    <x v="5"/>
    <x v="3"/>
    <x v="4"/>
    <s v="GNR_SH_SUN"/>
    <x v="1"/>
    <x v="11"/>
    <n v="0.53176254655754696"/>
    <n v="129.39555299566999"/>
    <n v="465.82399078441102"/>
  </r>
  <r>
    <x v="0"/>
    <x v="0"/>
    <x v="0"/>
    <x v="0"/>
    <x v="0"/>
    <x v="0"/>
    <x v="6"/>
    <x v="2"/>
    <x v="3"/>
    <s v="GNR_EH_HEAT"/>
    <x v="0"/>
    <x v="5"/>
    <n v="182"/>
    <n v="44286.666666666701"/>
    <n v="159432"/>
  </r>
  <r>
    <x v="0"/>
    <x v="0"/>
    <x v="0"/>
    <x v="0"/>
    <x v="0"/>
    <x v="0"/>
    <x v="6"/>
    <x v="2"/>
    <x v="3"/>
    <s v="GNR_EH_HEAT"/>
    <x v="0"/>
    <x v="3"/>
    <n v="182"/>
    <n v="44286.666666666701"/>
    <n v="159432"/>
  </r>
  <r>
    <x v="0"/>
    <x v="0"/>
    <x v="0"/>
    <x v="0"/>
    <x v="0"/>
    <x v="0"/>
    <x v="6"/>
    <x v="2"/>
    <x v="3"/>
    <s v="GNR_EH_HEAT"/>
    <x v="0"/>
    <x v="6"/>
    <n v="182"/>
    <n v="44286.666666666701"/>
    <n v="159432"/>
  </r>
  <r>
    <x v="0"/>
    <x v="0"/>
    <x v="0"/>
    <x v="0"/>
    <x v="0"/>
    <x v="0"/>
    <x v="6"/>
    <x v="2"/>
    <x v="3"/>
    <s v="GNR_EH_HEAT"/>
    <x v="0"/>
    <x v="4"/>
    <n v="182"/>
    <n v="44286.666666666701"/>
    <n v="159432"/>
  </r>
  <r>
    <x v="0"/>
    <x v="0"/>
    <x v="0"/>
    <x v="0"/>
    <x v="0"/>
    <x v="0"/>
    <x v="6"/>
    <x v="2"/>
    <x v="3"/>
    <s v="GNR_EH_HEAT"/>
    <x v="0"/>
    <x v="7"/>
    <n v="182"/>
    <n v="44286.666666666701"/>
    <n v="159432"/>
  </r>
  <r>
    <x v="0"/>
    <x v="0"/>
    <x v="0"/>
    <x v="0"/>
    <x v="0"/>
    <x v="0"/>
    <x v="6"/>
    <x v="2"/>
    <x v="3"/>
    <s v="GNR_EH_HEAT"/>
    <x v="0"/>
    <x v="8"/>
    <n v="182"/>
    <n v="44286.666666666701"/>
    <n v="159432"/>
  </r>
  <r>
    <x v="0"/>
    <x v="0"/>
    <x v="0"/>
    <x v="0"/>
    <x v="0"/>
    <x v="0"/>
    <x v="6"/>
    <x v="2"/>
    <x v="3"/>
    <s v="GNR_EH_HEAT"/>
    <x v="0"/>
    <x v="0"/>
    <n v="182"/>
    <n v="44286.666666666701"/>
    <n v="159432"/>
  </r>
  <r>
    <x v="0"/>
    <x v="0"/>
    <x v="0"/>
    <x v="0"/>
    <x v="0"/>
    <x v="0"/>
    <x v="6"/>
    <x v="2"/>
    <x v="3"/>
    <s v="GNR_EH_HEAT"/>
    <x v="0"/>
    <x v="1"/>
    <n v="182"/>
    <n v="44286.666666666701"/>
    <n v="159432"/>
  </r>
  <r>
    <x v="0"/>
    <x v="0"/>
    <x v="0"/>
    <x v="0"/>
    <x v="0"/>
    <x v="0"/>
    <x v="6"/>
    <x v="2"/>
    <x v="3"/>
    <s v="GNR_EH_HEAT"/>
    <x v="0"/>
    <x v="2"/>
    <n v="182"/>
    <n v="44286.666666666701"/>
    <n v="159432"/>
  </r>
  <r>
    <x v="0"/>
    <x v="0"/>
    <x v="0"/>
    <x v="0"/>
    <x v="0"/>
    <x v="0"/>
    <x v="6"/>
    <x v="2"/>
    <x v="3"/>
    <s v="GNR_EH_HEAT"/>
    <x v="0"/>
    <x v="9"/>
    <n v="182"/>
    <n v="44286.666666666701"/>
    <n v="159432"/>
  </r>
  <r>
    <x v="0"/>
    <x v="0"/>
    <x v="0"/>
    <x v="0"/>
    <x v="0"/>
    <x v="0"/>
    <x v="6"/>
    <x v="2"/>
    <x v="3"/>
    <s v="GNR_EH_HEAT"/>
    <x v="0"/>
    <x v="10"/>
    <n v="182"/>
    <n v="44286.666666666701"/>
    <n v="159432"/>
  </r>
  <r>
    <x v="0"/>
    <x v="0"/>
    <x v="0"/>
    <x v="0"/>
    <x v="0"/>
    <x v="0"/>
    <x v="6"/>
    <x v="2"/>
    <x v="3"/>
    <s v="GNR_EH_HEAT"/>
    <x v="0"/>
    <x v="11"/>
    <n v="182"/>
    <n v="44286.666666666701"/>
    <n v="159432"/>
  </r>
  <r>
    <x v="0"/>
    <x v="0"/>
    <x v="0"/>
    <x v="0"/>
    <x v="0"/>
    <x v="0"/>
    <x v="6"/>
    <x v="2"/>
    <x v="3"/>
    <s v="GNR_EH_HEAT"/>
    <x v="2"/>
    <x v="5"/>
    <n v="182"/>
    <n v="44286.666666666701"/>
    <n v="159432"/>
  </r>
  <r>
    <x v="0"/>
    <x v="0"/>
    <x v="0"/>
    <x v="0"/>
    <x v="0"/>
    <x v="0"/>
    <x v="6"/>
    <x v="2"/>
    <x v="3"/>
    <s v="GNR_EH_HEAT"/>
    <x v="2"/>
    <x v="3"/>
    <n v="182"/>
    <n v="44286.666666666701"/>
    <n v="159432"/>
  </r>
  <r>
    <x v="0"/>
    <x v="0"/>
    <x v="0"/>
    <x v="0"/>
    <x v="0"/>
    <x v="0"/>
    <x v="6"/>
    <x v="2"/>
    <x v="3"/>
    <s v="GNR_EH_HEAT"/>
    <x v="2"/>
    <x v="6"/>
    <n v="182"/>
    <n v="44286.666666666701"/>
    <n v="159432"/>
  </r>
  <r>
    <x v="0"/>
    <x v="0"/>
    <x v="0"/>
    <x v="0"/>
    <x v="0"/>
    <x v="0"/>
    <x v="6"/>
    <x v="2"/>
    <x v="3"/>
    <s v="GNR_EH_HEAT"/>
    <x v="2"/>
    <x v="4"/>
    <n v="182"/>
    <n v="44286.666666666701"/>
    <n v="159432"/>
  </r>
  <r>
    <x v="0"/>
    <x v="0"/>
    <x v="0"/>
    <x v="0"/>
    <x v="0"/>
    <x v="0"/>
    <x v="6"/>
    <x v="2"/>
    <x v="3"/>
    <s v="GNR_EH_HEAT"/>
    <x v="2"/>
    <x v="7"/>
    <n v="182"/>
    <n v="44286.666666666701"/>
    <n v="159432"/>
  </r>
  <r>
    <x v="0"/>
    <x v="0"/>
    <x v="0"/>
    <x v="0"/>
    <x v="0"/>
    <x v="0"/>
    <x v="6"/>
    <x v="2"/>
    <x v="3"/>
    <s v="GNR_EH_HEAT"/>
    <x v="2"/>
    <x v="8"/>
    <n v="182"/>
    <n v="44286.666666666701"/>
    <n v="159432"/>
  </r>
  <r>
    <x v="0"/>
    <x v="0"/>
    <x v="0"/>
    <x v="0"/>
    <x v="0"/>
    <x v="0"/>
    <x v="6"/>
    <x v="2"/>
    <x v="3"/>
    <s v="GNR_EH_HEAT"/>
    <x v="2"/>
    <x v="0"/>
    <n v="182"/>
    <n v="44286.666666666701"/>
    <n v="159432"/>
  </r>
  <r>
    <x v="0"/>
    <x v="0"/>
    <x v="0"/>
    <x v="0"/>
    <x v="0"/>
    <x v="0"/>
    <x v="6"/>
    <x v="2"/>
    <x v="3"/>
    <s v="GNR_EH_HEAT"/>
    <x v="2"/>
    <x v="1"/>
    <n v="182"/>
    <n v="44286.666666666701"/>
    <n v="159432"/>
  </r>
  <r>
    <x v="0"/>
    <x v="0"/>
    <x v="0"/>
    <x v="0"/>
    <x v="0"/>
    <x v="0"/>
    <x v="6"/>
    <x v="2"/>
    <x v="3"/>
    <s v="GNR_EH_HEAT"/>
    <x v="2"/>
    <x v="2"/>
    <n v="182"/>
    <n v="44286.666666666701"/>
    <n v="159432"/>
  </r>
  <r>
    <x v="0"/>
    <x v="0"/>
    <x v="0"/>
    <x v="0"/>
    <x v="0"/>
    <x v="0"/>
    <x v="6"/>
    <x v="2"/>
    <x v="3"/>
    <s v="GNR_EH_HEAT"/>
    <x v="2"/>
    <x v="9"/>
    <n v="182"/>
    <n v="44286.666666666701"/>
    <n v="159432"/>
  </r>
  <r>
    <x v="0"/>
    <x v="0"/>
    <x v="0"/>
    <x v="0"/>
    <x v="0"/>
    <x v="0"/>
    <x v="6"/>
    <x v="2"/>
    <x v="3"/>
    <s v="GNR_EH_HEAT"/>
    <x v="2"/>
    <x v="10"/>
    <n v="182"/>
    <n v="44286.666666666701"/>
    <n v="159432"/>
  </r>
  <r>
    <x v="0"/>
    <x v="0"/>
    <x v="0"/>
    <x v="0"/>
    <x v="0"/>
    <x v="0"/>
    <x v="6"/>
    <x v="2"/>
    <x v="3"/>
    <s v="GNR_EH_HEAT"/>
    <x v="2"/>
    <x v="11"/>
    <n v="182"/>
    <n v="44286.666666666701"/>
    <n v="159432"/>
  </r>
  <r>
    <x v="0"/>
    <x v="0"/>
    <x v="0"/>
    <x v="0"/>
    <x v="0"/>
    <x v="0"/>
    <x v="6"/>
    <x v="2"/>
    <x v="3"/>
    <s v="GNR_EH_HEAT"/>
    <x v="1"/>
    <x v="5"/>
    <n v="182"/>
    <n v="44286.666666666701"/>
    <n v="159432"/>
  </r>
  <r>
    <x v="0"/>
    <x v="0"/>
    <x v="0"/>
    <x v="0"/>
    <x v="0"/>
    <x v="0"/>
    <x v="6"/>
    <x v="2"/>
    <x v="3"/>
    <s v="GNR_EH_HEAT"/>
    <x v="1"/>
    <x v="3"/>
    <n v="182"/>
    <n v="44286.666666666701"/>
    <n v="159432"/>
  </r>
  <r>
    <x v="0"/>
    <x v="0"/>
    <x v="0"/>
    <x v="0"/>
    <x v="0"/>
    <x v="0"/>
    <x v="6"/>
    <x v="2"/>
    <x v="3"/>
    <s v="GNR_EH_HEAT"/>
    <x v="1"/>
    <x v="6"/>
    <n v="182"/>
    <n v="44286.666666666701"/>
    <n v="159432"/>
  </r>
  <r>
    <x v="0"/>
    <x v="0"/>
    <x v="0"/>
    <x v="0"/>
    <x v="0"/>
    <x v="0"/>
    <x v="6"/>
    <x v="2"/>
    <x v="3"/>
    <s v="GNR_EH_HEAT"/>
    <x v="1"/>
    <x v="4"/>
    <n v="182"/>
    <n v="44286.666666666701"/>
    <n v="159432"/>
  </r>
  <r>
    <x v="0"/>
    <x v="0"/>
    <x v="0"/>
    <x v="0"/>
    <x v="0"/>
    <x v="0"/>
    <x v="6"/>
    <x v="2"/>
    <x v="3"/>
    <s v="GNR_EH_HEAT"/>
    <x v="1"/>
    <x v="7"/>
    <n v="182"/>
    <n v="44286.666666666701"/>
    <n v="159432"/>
  </r>
  <r>
    <x v="0"/>
    <x v="0"/>
    <x v="0"/>
    <x v="0"/>
    <x v="0"/>
    <x v="0"/>
    <x v="6"/>
    <x v="2"/>
    <x v="3"/>
    <s v="GNR_EH_HEAT"/>
    <x v="1"/>
    <x v="8"/>
    <n v="182"/>
    <n v="44286.666666666701"/>
    <n v="159432"/>
  </r>
  <r>
    <x v="0"/>
    <x v="0"/>
    <x v="0"/>
    <x v="0"/>
    <x v="0"/>
    <x v="0"/>
    <x v="6"/>
    <x v="2"/>
    <x v="3"/>
    <s v="GNR_EH_HEAT"/>
    <x v="1"/>
    <x v="0"/>
    <n v="182"/>
    <n v="44286.666666666701"/>
    <n v="159432"/>
  </r>
  <r>
    <x v="0"/>
    <x v="0"/>
    <x v="0"/>
    <x v="0"/>
    <x v="0"/>
    <x v="0"/>
    <x v="6"/>
    <x v="2"/>
    <x v="3"/>
    <s v="GNR_EH_HEAT"/>
    <x v="1"/>
    <x v="1"/>
    <n v="182"/>
    <n v="44286.666666666701"/>
    <n v="159432"/>
  </r>
  <r>
    <x v="0"/>
    <x v="0"/>
    <x v="0"/>
    <x v="0"/>
    <x v="0"/>
    <x v="0"/>
    <x v="6"/>
    <x v="2"/>
    <x v="3"/>
    <s v="GNR_EH_HEAT"/>
    <x v="1"/>
    <x v="2"/>
    <n v="182"/>
    <n v="44286.666666666701"/>
    <n v="159432"/>
  </r>
  <r>
    <x v="0"/>
    <x v="0"/>
    <x v="0"/>
    <x v="0"/>
    <x v="0"/>
    <x v="0"/>
    <x v="6"/>
    <x v="2"/>
    <x v="3"/>
    <s v="GNR_EH_HEAT"/>
    <x v="1"/>
    <x v="9"/>
    <n v="182"/>
    <n v="44286.666666666701"/>
    <n v="159432"/>
  </r>
  <r>
    <x v="0"/>
    <x v="0"/>
    <x v="0"/>
    <x v="0"/>
    <x v="0"/>
    <x v="0"/>
    <x v="6"/>
    <x v="2"/>
    <x v="3"/>
    <s v="GNR_EH_HEAT"/>
    <x v="1"/>
    <x v="10"/>
    <n v="182"/>
    <n v="44286.666666666701"/>
    <n v="159432"/>
  </r>
  <r>
    <x v="0"/>
    <x v="0"/>
    <x v="0"/>
    <x v="0"/>
    <x v="0"/>
    <x v="0"/>
    <x v="6"/>
    <x v="2"/>
    <x v="3"/>
    <s v="GNR_EH_HEAT"/>
    <x v="1"/>
    <x v="11"/>
    <n v="182"/>
    <n v="44286.666666666701"/>
    <n v="159432"/>
  </r>
  <r>
    <x v="0"/>
    <x v="0"/>
    <x v="0"/>
    <x v="0"/>
    <x v="0"/>
    <x v="0"/>
    <x v="7"/>
    <x v="2"/>
    <x v="3"/>
    <s v="GNR_BO_WOODCHI_E-100"/>
    <x v="0"/>
    <x v="5"/>
    <n v="20"/>
    <n v="4866.6666666666697"/>
    <n v="17520"/>
  </r>
  <r>
    <x v="0"/>
    <x v="0"/>
    <x v="0"/>
    <x v="0"/>
    <x v="0"/>
    <x v="0"/>
    <x v="7"/>
    <x v="0"/>
    <x v="0"/>
    <s v="GNR_ST_WOODCHI_BP_E-23"/>
    <x v="0"/>
    <x v="8"/>
    <n v="22.0588235294118"/>
    <n v="5367.6470588235297"/>
    <n v="19323.529411764699"/>
  </r>
  <r>
    <x v="0"/>
    <x v="0"/>
    <x v="0"/>
    <x v="0"/>
    <x v="0"/>
    <x v="0"/>
    <x v="7"/>
    <x v="0"/>
    <x v="0"/>
    <s v="GNR_ST_WOODCHI_BP_E-23"/>
    <x v="0"/>
    <x v="0"/>
    <n v="22.0588235294118"/>
    <n v="5367.6470588235297"/>
    <n v="19323.529411764699"/>
  </r>
  <r>
    <x v="0"/>
    <x v="0"/>
    <x v="0"/>
    <x v="0"/>
    <x v="0"/>
    <x v="0"/>
    <x v="7"/>
    <x v="0"/>
    <x v="0"/>
    <s v="GNR_ST_WOODCHI_BP_E-23"/>
    <x v="0"/>
    <x v="1"/>
    <n v="22.0588235294118"/>
    <n v="5367.6470588235297"/>
    <n v="19323.529411764699"/>
  </r>
  <r>
    <x v="0"/>
    <x v="0"/>
    <x v="0"/>
    <x v="0"/>
    <x v="0"/>
    <x v="0"/>
    <x v="7"/>
    <x v="0"/>
    <x v="0"/>
    <s v="GNR_ST_WOODCHI_BP_E-23"/>
    <x v="0"/>
    <x v="2"/>
    <n v="22.0588235294118"/>
    <n v="5367.6470588235297"/>
    <n v="19323.529411764699"/>
  </r>
  <r>
    <x v="0"/>
    <x v="0"/>
    <x v="0"/>
    <x v="0"/>
    <x v="0"/>
    <x v="0"/>
    <x v="7"/>
    <x v="0"/>
    <x v="0"/>
    <s v="GNR_ST_WOODCHI_BP_E-23"/>
    <x v="0"/>
    <x v="9"/>
    <n v="22.0588235294118"/>
    <n v="5367.6470588235297"/>
    <n v="19323.529411764699"/>
  </r>
  <r>
    <x v="0"/>
    <x v="0"/>
    <x v="0"/>
    <x v="0"/>
    <x v="0"/>
    <x v="0"/>
    <x v="7"/>
    <x v="0"/>
    <x v="0"/>
    <s v="GNR_ST_WOODCHI_BP_E-23"/>
    <x v="1"/>
    <x v="3"/>
    <n v="22.0588235294118"/>
    <n v="5367.6470588235297"/>
    <n v="19323.529411764699"/>
  </r>
  <r>
    <x v="0"/>
    <x v="0"/>
    <x v="0"/>
    <x v="0"/>
    <x v="0"/>
    <x v="0"/>
    <x v="7"/>
    <x v="0"/>
    <x v="0"/>
    <s v="GNR_ST_WOODCHI_BP_E-23"/>
    <x v="1"/>
    <x v="4"/>
    <n v="22.0588235294118"/>
    <n v="5367.6470588235297"/>
    <n v="19323.529411764699"/>
  </r>
  <r>
    <x v="0"/>
    <x v="0"/>
    <x v="0"/>
    <x v="0"/>
    <x v="0"/>
    <x v="0"/>
    <x v="7"/>
    <x v="0"/>
    <x v="0"/>
    <s v="GNR_ST_WOODCHI_BP_E-23"/>
    <x v="1"/>
    <x v="0"/>
    <n v="22.0588235294118"/>
    <n v="5367.6470588235297"/>
    <n v="19323.529411764699"/>
  </r>
  <r>
    <x v="0"/>
    <x v="0"/>
    <x v="0"/>
    <x v="0"/>
    <x v="0"/>
    <x v="0"/>
    <x v="7"/>
    <x v="0"/>
    <x v="0"/>
    <s v="GNR_ST_WOODCHI_BP_E-23"/>
    <x v="1"/>
    <x v="2"/>
    <n v="22.0588235294118"/>
    <n v="5367.6470588235297"/>
    <n v="19323.529411764699"/>
  </r>
  <r>
    <x v="0"/>
    <x v="0"/>
    <x v="0"/>
    <x v="0"/>
    <x v="0"/>
    <x v="1"/>
    <x v="8"/>
    <x v="4"/>
    <x v="5"/>
    <s v="GNR_BO_ELEC_E-99_LS-10-MW-FEED_PHH_Y-2030"/>
    <x v="0"/>
    <x v="5"/>
    <n v="87.919775614994705"/>
    <n v="21393.8120663154"/>
    <n v="77017.723438735396"/>
  </r>
  <r>
    <x v="0"/>
    <x v="0"/>
    <x v="0"/>
    <x v="0"/>
    <x v="0"/>
    <x v="1"/>
    <x v="8"/>
    <x v="4"/>
    <x v="5"/>
    <s v="GNR_BO_ELEC_E-99_LS-10-MW-FEED_PHH_Y-2030"/>
    <x v="2"/>
    <x v="5"/>
    <n v="87.919775614994705"/>
    <n v="21393.8120663154"/>
    <n v="77017.723438735396"/>
  </r>
  <r>
    <x v="0"/>
    <x v="0"/>
    <x v="0"/>
    <x v="0"/>
    <x v="0"/>
    <x v="1"/>
    <x v="8"/>
    <x v="4"/>
    <x v="5"/>
    <s v="GNR_BO_ELEC_E-99_LS-10-MW-FEED_PHH_Y-2030"/>
    <x v="2"/>
    <x v="7"/>
    <n v="87.919775614994705"/>
    <n v="21393.8120663154"/>
    <n v="77017.723438735396"/>
  </r>
  <r>
    <x v="0"/>
    <x v="0"/>
    <x v="0"/>
    <x v="0"/>
    <x v="0"/>
    <x v="1"/>
    <x v="8"/>
    <x v="4"/>
    <x v="5"/>
    <s v="GNR_BO_ELEC_E-99_LS-10-MW-FEED_PHH_Y-2030"/>
    <x v="2"/>
    <x v="8"/>
    <n v="87.919775614994705"/>
    <n v="21393.8120663154"/>
    <n v="77017.723438735396"/>
  </r>
  <r>
    <x v="0"/>
    <x v="0"/>
    <x v="0"/>
    <x v="0"/>
    <x v="0"/>
    <x v="1"/>
    <x v="8"/>
    <x v="4"/>
    <x v="5"/>
    <s v="GNR_BO_ELEC_E-99_LS-10-MW-FEED_PHH_Y-2030"/>
    <x v="2"/>
    <x v="0"/>
    <n v="87.919775614994705"/>
    <n v="21393.8120663154"/>
    <n v="77017.723438735396"/>
  </r>
  <r>
    <x v="0"/>
    <x v="0"/>
    <x v="0"/>
    <x v="0"/>
    <x v="0"/>
    <x v="1"/>
    <x v="3"/>
    <x v="2"/>
    <x v="3"/>
    <s v="GNR_BO_NGAS_E-70_PHH"/>
    <x v="0"/>
    <x v="5"/>
    <n v="90.571157752656404"/>
    <n v="22038.981719813099"/>
    <n v="79340.334191326998"/>
  </r>
  <r>
    <x v="0"/>
    <x v="0"/>
    <x v="0"/>
    <x v="0"/>
    <x v="0"/>
    <x v="1"/>
    <x v="3"/>
    <x v="2"/>
    <x v="3"/>
    <s v="GNR_BO_NGAS_E-70_PHH"/>
    <x v="0"/>
    <x v="3"/>
    <n v="150.22645787221001"/>
    <n v="36555.104748904501"/>
    <n v="131598.37709605601"/>
  </r>
  <r>
    <x v="0"/>
    <x v="0"/>
    <x v="0"/>
    <x v="0"/>
    <x v="0"/>
    <x v="1"/>
    <x v="3"/>
    <x v="2"/>
    <x v="3"/>
    <s v="GNR_BO_NGAS_E-70_PHH"/>
    <x v="0"/>
    <x v="6"/>
    <n v="176.42892973260601"/>
    <n v="42931.039568267501"/>
    <n v="154551.742445763"/>
  </r>
  <r>
    <x v="0"/>
    <x v="0"/>
    <x v="0"/>
    <x v="0"/>
    <x v="0"/>
    <x v="1"/>
    <x v="3"/>
    <x v="2"/>
    <x v="3"/>
    <s v="GNR_BO_NGAS_E-70_PHH"/>
    <x v="0"/>
    <x v="4"/>
    <n v="152.181915640504"/>
    <n v="37030.932805855897"/>
    <n v="133311.35810108099"/>
  </r>
  <r>
    <x v="0"/>
    <x v="0"/>
    <x v="0"/>
    <x v="0"/>
    <x v="0"/>
    <x v="1"/>
    <x v="3"/>
    <x v="2"/>
    <x v="3"/>
    <s v="GNR_BO_NGAS_E-70_PHH"/>
    <x v="0"/>
    <x v="7"/>
    <n v="140.17346243149399"/>
    <n v="34108.875858330197"/>
    <n v="122791.95308998899"/>
  </r>
  <r>
    <x v="0"/>
    <x v="0"/>
    <x v="0"/>
    <x v="0"/>
    <x v="0"/>
    <x v="1"/>
    <x v="3"/>
    <x v="2"/>
    <x v="3"/>
    <s v="GNR_BO_NGAS_E-70_PHH"/>
    <x v="0"/>
    <x v="8"/>
    <n v="194.294581114441"/>
    <n v="47278.348071180597"/>
    <n v="170202.05305625001"/>
  </r>
  <r>
    <x v="0"/>
    <x v="0"/>
    <x v="0"/>
    <x v="0"/>
    <x v="0"/>
    <x v="1"/>
    <x v="3"/>
    <x v="2"/>
    <x v="3"/>
    <s v="GNR_BO_NGAS_E-70_PHH"/>
    <x v="0"/>
    <x v="0"/>
    <n v="146.63249694867201"/>
    <n v="35680.574257510198"/>
    <n v="128450.067327037"/>
  </r>
  <r>
    <x v="0"/>
    <x v="0"/>
    <x v="0"/>
    <x v="0"/>
    <x v="0"/>
    <x v="1"/>
    <x v="3"/>
    <x v="2"/>
    <x v="3"/>
    <s v="GNR_BO_NGAS_E-70_PHH"/>
    <x v="0"/>
    <x v="1"/>
    <n v="191.37432791453901"/>
    <n v="46567.753125871197"/>
    <n v="167643.911253136"/>
  </r>
  <r>
    <x v="0"/>
    <x v="0"/>
    <x v="0"/>
    <x v="0"/>
    <x v="0"/>
    <x v="1"/>
    <x v="3"/>
    <x v="2"/>
    <x v="3"/>
    <s v="GNR_BO_NGAS_E-70_PHH"/>
    <x v="0"/>
    <x v="2"/>
    <n v="163.51999594088699"/>
    <n v="39789.8656789491"/>
    <n v="143243.51644421701"/>
  </r>
  <r>
    <x v="0"/>
    <x v="0"/>
    <x v="0"/>
    <x v="0"/>
    <x v="0"/>
    <x v="1"/>
    <x v="3"/>
    <x v="2"/>
    <x v="3"/>
    <s v="GNR_BO_NGAS_E-70_PHH"/>
    <x v="0"/>
    <x v="9"/>
    <n v="131.59945162027401"/>
    <n v="32022.533227600099"/>
    <n v="115281.11961936"/>
  </r>
  <r>
    <x v="0"/>
    <x v="0"/>
    <x v="0"/>
    <x v="0"/>
    <x v="0"/>
    <x v="1"/>
    <x v="3"/>
    <x v="2"/>
    <x v="3"/>
    <s v="GNR_BO_NGAS_E-70_PHH"/>
    <x v="0"/>
    <x v="10"/>
    <n v="132.12048977053499"/>
    <n v="32149.319177496898"/>
    <n v="115737.549038989"/>
  </r>
  <r>
    <x v="0"/>
    <x v="0"/>
    <x v="0"/>
    <x v="0"/>
    <x v="0"/>
    <x v="1"/>
    <x v="3"/>
    <x v="2"/>
    <x v="3"/>
    <s v="GNR_BO_NGAS_E-70_PHH"/>
    <x v="0"/>
    <x v="11"/>
    <n v="132.58526924427099"/>
    <n v="32262.415516106001"/>
    <n v="116144.69585798201"/>
  </r>
  <r>
    <x v="0"/>
    <x v="0"/>
    <x v="0"/>
    <x v="0"/>
    <x v="0"/>
    <x v="1"/>
    <x v="3"/>
    <x v="2"/>
    <x v="3"/>
    <s v="GNR_BO_NGAS_E-70_PHH"/>
    <x v="2"/>
    <x v="5"/>
    <n v="22.368489105507301"/>
    <n v="5442.9990156734402"/>
    <n v="19594.796456424399"/>
  </r>
  <r>
    <x v="0"/>
    <x v="0"/>
    <x v="0"/>
    <x v="0"/>
    <x v="0"/>
    <x v="1"/>
    <x v="3"/>
    <x v="2"/>
    <x v="3"/>
    <s v="GNR_BO_NGAS_E-70_PHH"/>
    <x v="2"/>
    <x v="3"/>
    <n v="82.711157671952904"/>
    <n v="20126.3817001752"/>
    <n v="72454.974120630795"/>
  </r>
  <r>
    <x v="0"/>
    <x v="0"/>
    <x v="0"/>
    <x v="0"/>
    <x v="0"/>
    <x v="1"/>
    <x v="3"/>
    <x v="2"/>
    <x v="3"/>
    <s v="GNR_BO_NGAS_E-70_PHH"/>
    <x v="2"/>
    <x v="6"/>
    <n v="95.647441740637205"/>
    <n v="23274.210823555099"/>
    <n v="83787.158964798204"/>
  </r>
  <r>
    <x v="0"/>
    <x v="0"/>
    <x v="0"/>
    <x v="0"/>
    <x v="0"/>
    <x v="1"/>
    <x v="3"/>
    <x v="2"/>
    <x v="3"/>
    <s v="GNR_BO_NGAS_E-70_PHH"/>
    <x v="2"/>
    <x v="4"/>
    <n v="86.893104675752099"/>
    <n v="21143.988804433"/>
    <n v="76118.359695958905"/>
  </r>
  <r>
    <x v="0"/>
    <x v="0"/>
    <x v="0"/>
    <x v="0"/>
    <x v="0"/>
    <x v="1"/>
    <x v="3"/>
    <x v="2"/>
    <x v="3"/>
    <s v="GNR_BO_NGAS_E-70_PHH"/>
    <x v="2"/>
    <x v="1"/>
    <n v="64.658431212060194"/>
    <n v="15733.551594934699"/>
    <n v="56640.785741764703"/>
  </r>
  <r>
    <x v="0"/>
    <x v="0"/>
    <x v="0"/>
    <x v="0"/>
    <x v="0"/>
    <x v="1"/>
    <x v="3"/>
    <x v="2"/>
    <x v="3"/>
    <s v="GNR_BO_NGAS_E-70_PHH"/>
    <x v="2"/>
    <x v="2"/>
    <n v="59.782436465763503"/>
    <n v="14547.059540002499"/>
    <n v="52369.414344008903"/>
  </r>
  <r>
    <x v="0"/>
    <x v="0"/>
    <x v="0"/>
    <x v="0"/>
    <x v="0"/>
    <x v="1"/>
    <x v="3"/>
    <x v="2"/>
    <x v="3"/>
    <s v="GNR_BO_NGAS_E-70_PHH"/>
    <x v="2"/>
    <x v="9"/>
    <n v="44.542156062155897"/>
    <n v="10838.591308457901"/>
    <n v="39018.928710448599"/>
  </r>
  <r>
    <x v="0"/>
    <x v="0"/>
    <x v="0"/>
    <x v="0"/>
    <x v="0"/>
    <x v="1"/>
    <x v="3"/>
    <x v="2"/>
    <x v="3"/>
    <s v="GNR_BO_NGAS_E-70_PHH"/>
    <x v="2"/>
    <x v="10"/>
    <n v="51.185444102795302"/>
    <n v="12455.1247316802"/>
    <n v="44838.449034048703"/>
  </r>
  <r>
    <x v="0"/>
    <x v="0"/>
    <x v="0"/>
    <x v="0"/>
    <x v="0"/>
    <x v="1"/>
    <x v="3"/>
    <x v="2"/>
    <x v="3"/>
    <s v="GNR_BO_NGAS_E-70_PHH"/>
    <x v="2"/>
    <x v="11"/>
    <n v="25.944331990177002"/>
    <n v="6313.1207842763997"/>
    <n v="22727.234823395102"/>
  </r>
  <r>
    <x v="0"/>
    <x v="0"/>
    <x v="0"/>
    <x v="0"/>
    <x v="0"/>
    <x v="1"/>
    <x v="3"/>
    <x v="2"/>
    <x v="3"/>
    <s v="GNR_BO_NGAS_E-70_PHH"/>
    <x v="1"/>
    <x v="5"/>
    <n v="34.983780396037503"/>
    <n v="8512.7198963691299"/>
    <n v="30645.791626928902"/>
  </r>
  <r>
    <x v="0"/>
    <x v="0"/>
    <x v="0"/>
    <x v="0"/>
    <x v="0"/>
    <x v="1"/>
    <x v="3"/>
    <x v="2"/>
    <x v="3"/>
    <s v="GNR_BO_NGAS_E-70_PHH"/>
    <x v="1"/>
    <x v="3"/>
    <n v="31.0080435013647"/>
    <n v="7545.2905853320699"/>
    <n v="27163.0461071955"/>
  </r>
  <r>
    <x v="0"/>
    <x v="0"/>
    <x v="0"/>
    <x v="0"/>
    <x v="0"/>
    <x v="1"/>
    <x v="3"/>
    <x v="2"/>
    <x v="3"/>
    <s v="GNR_BO_NGAS_E-70_PHH"/>
    <x v="1"/>
    <x v="6"/>
    <n v="31.148608661189101"/>
    <n v="7579.4947742226796"/>
    <n v="27286.181187201601"/>
  </r>
  <r>
    <x v="0"/>
    <x v="0"/>
    <x v="0"/>
    <x v="0"/>
    <x v="0"/>
    <x v="1"/>
    <x v="3"/>
    <x v="2"/>
    <x v="3"/>
    <s v="GNR_BO_NGAS_E-70_PHH"/>
    <x v="1"/>
    <x v="4"/>
    <n v="25.693551447013601"/>
    <n v="6252.0975187733002"/>
    <n v="22507.5510675839"/>
  </r>
  <r>
    <x v="0"/>
    <x v="0"/>
    <x v="0"/>
    <x v="0"/>
    <x v="0"/>
    <x v="1"/>
    <x v="3"/>
    <x v="2"/>
    <x v="3"/>
    <s v="GNR_BO_NGAS_E-70_PHH"/>
    <x v="1"/>
    <x v="7"/>
    <n v="22.531941182189598"/>
    <n v="5482.7723543328002"/>
    <n v="19737.980475598099"/>
  </r>
  <r>
    <x v="0"/>
    <x v="0"/>
    <x v="0"/>
    <x v="0"/>
    <x v="0"/>
    <x v="1"/>
    <x v="3"/>
    <x v="2"/>
    <x v="3"/>
    <s v="GNR_BO_NGAS_E-70_PHH"/>
    <x v="1"/>
    <x v="8"/>
    <n v="30.882790023377101"/>
    <n v="7514.8122390217604"/>
    <n v="27053.324060478299"/>
  </r>
  <r>
    <x v="0"/>
    <x v="0"/>
    <x v="0"/>
    <x v="0"/>
    <x v="0"/>
    <x v="1"/>
    <x v="3"/>
    <x v="2"/>
    <x v="3"/>
    <s v="GNR_BO_NGAS_E-70_PHH"/>
    <x v="1"/>
    <x v="0"/>
    <n v="23.318440079808401"/>
    <n v="5674.1537527533701"/>
    <n v="20426.953509912099"/>
  </r>
  <r>
    <x v="0"/>
    <x v="0"/>
    <x v="0"/>
    <x v="0"/>
    <x v="0"/>
    <x v="1"/>
    <x v="3"/>
    <x v="2"/>
    <x v="3"/>
    <s v="GNR_BO_NGAS_E-70_PHH"/>
    <x v="1"/>
    <x v="1"/>
    <n v="34.965686817968702"/>
    <n v="8508.3171257057093"/>
    <n v="30629.941652540601"/>
  </r>
  <r>
    <x v="0"/>
    <x v="0"/>
    <x v="0"/>
    <x v="0"/>
    <x v="0"/>
    <x v="1"/>
    <x v="3"/>
    <x v="2"/>
    <x v="3"/>
    <s v="GNR_BO_NGAS_E-70_PHH"/>
    <x v="1"/>
    <x v="2"/>
    <n v="29.3709719157679"/>
    <n v="7146.9364995035203"/>
    <n v="25728.9713982127"/>
  </r>
  <r>
    <x v="0"/>
    <x v="0"/>
    <x v="0"/>
    <x v="0"/>
    <x v="0"/>
    <x v="1"/>
    <x v="3"/>
    <x v="2"/>
    <x v="3"/>
    <s v="GNR_BO_NGAS_E-70_PHH"/>
    <x v="1"/>
    <x v="9"/>
    <n v="22.759842958138499"/>
    <n v="5538.2284531470305"/>
    <n v="19937.622431329299"/>
  </r>
  <r>
    <x v="0"/>
    <x v="0"/>
    <x v="0"/>
    <x v="0"/>
    <x v="0"/>
    <x v="1"/>
    <x v="3"/>
    <x v="2"/>
    <x v="3"/>
    <s v="GNR_BO_NGAS_E-70_PHH"/>
    <x v="1"/>
    <x v="10"/>
    <n v="29.2159395382387"/>
    <n v="7109.2119543047402"/>
    <n v="25593.163035497098"/>
  </r>
  <r>
    <x v="0"/>
    <x v="0"/>
    <x v="0"/>
    <x v="0"/>
    <x v="0"/>
    <x v="1"/>
    <x v="3"/>
    <x v="2"/>
    <x v="3"/>
    <s v="GNR_BO_NGAS_E-70_PHH"/>
    <x v="1"/>
    <x v="11"/>
    <n v="32.815619640483703"/>
    <n v="7985.1341125176996"/>
    <n v="28746.482805063701"/>
  </r>
  <r>
    <x v="0"/>
    <x v="0"/>
    <x v="0"/>
    <x v="0"/>
    <x v="0"/>
    <x v="2"/>
    <x v="3"/>
    <x v="2"/>
    <x v="3"/>
    <s v="GNR_BO_NGAS_E-82_PHL"/>
    <x v="0"/>
    <x v="5"/>
    <n v="414.19365691510097"/>
    <n v="100787.123182675"/>
    <n v="362833.64345762902"/>
  </r>
  <r>
    <x v="0"/>
    <x v="0"/>
    <x v="0"/>
    <x v="0"/>
    <x v="0"/>
    <x v="2"/>
    <x v="3"/>
    <x v="2"/>
    <x v="3"/>
    <s v="GNR_BO_NGAS_E-82_PHL"/>
    <x v="0"/>
    <x v="3"/>
    <n v="348.60507913490602"/>
    <n v="84827.235922827094"/>
    <n v="305378.04932217702"/>
  </r>
  <r>
    <x v="0"/>
    <x v="0"/>
    <x v="0"/>
    <x v="0"/>
    <x v="0"/>
    <x v="2"/>
    <x v="3"/>
    <x v="2"/>
    <x v="3"/>
    <s v="GNR_BO_NGAS_E-82_PHL"/>
    <x v="0"/>
    <x v="6"/>
    <n v="409.408714565048"/>
    <n v="99622.787210828305"/>
    <n v="358642.03395898198"/>
  </r>
  <r>
    <x v="0"/>
    <x v="0"/>
    <x v="0"/>
    <x v="0"/>
    <x v="0"/>
    <x v="2"/>
    <x v="3"/>
    <x v="2"/>
    <x v="3"/>
    <s v="GNR_BO_NGAS_E-82_PHL"/>
    <x v="0"/>
    <x v="4"/>
    <n v="353.14277855028303"/>
    <n v="85931.409447235506"/>
    <n v="309353.074010048"/>
  </r>
  <r>
    <x v="0"/>
    <x v="0"/>
    <x v="0"/>
    <x v="0"/>
    <x v="0"/>
    <x v="2"/>
    <x v="3"/>
    <x v="2"/>
    <x v="3"/>
    <s v="GNR_BO_NGAS_E-82_PHL"/>
    <x v="0"/>
    <x v="7"/>
    <n v="325.27679648222602"/>
    <n v="79150.687144008305"/>
    <n v="284942.47371842997"/>
  </r>
  <r>
    <x v="0"/>
    <x v="0"/>
    <x v="0"/>
    <x v="0"/>
    <x v="0"/>
    <x v="2"/>
    <x v="3"/>
    <x v="2"/>
    <x v="3"/>
    <s v="GNR_BO_NGAS_E-82_PHL"/>
    <x v="0"/>
    <x v="8"/>
    <n v="450.86650370535301"/>
    <n v="109710.84923496901"/>
    <n v="394959.05724589003"/>
  </r>
  <r>
    <x v="0"/>
    <x v="0"/>
    <x v="0"/>
    <x v="0"/>
    <x v="0"/>
    <x v="2"/>
    <x v="3"/>
    <x v="2"/>
    <x v="3"/>
    <s v="GNR_BO_NGAS_E-82_PHL"/>
    <x v="0"/>
    <x v="0"/>
    <n v="340.26518315450801"/>
    <n v="82797.861234263706"/>
    <n v="298072.300443349"/>
  </r>
  <r>
    <x v="0"/>
    <x v="0"/>
    <x v="0"/>
    <x v="0"/>
    <x v="0"/>
    <x v="2"/>
    <x v="3"/>
    <x v="2"/>
    <x v="3"/>
    <s v="GNR_BO_NGAS_E-82_PHL"/>
    <x v="0"/>
    <x v="1"/>
    <n v="444.08996705352303"/>
    <n v="108061.891983024"/>
    <n v="389022.81113888603"/>
  </r>
  <r>
    <x v="0"/>
    <x v="0"/>
    <x v="0"/>
    <x v="0"/>
    <x v="0"/>
    <x v="2"/>
    <x v="3"/>
    <x v="2"/>
    <x v="3"/>
    <s v="GNR_BO_NGAS_E-82_PHL"/>
    <x v="0"/>
    <x v="2"/>
    <n v="379.45313982975301"/>
    <n v="92333.597358573097"/>
    <n v="332400.950490863"/>
  </r>
  <r>
    <x v="0"/>
    <x v="0"/>
    <x v="0"/>
    <x v="0"/>
    <x v="0"/>
    <x v="2"/>
    <x v="3"/>
    <x v="2"/>
    <x v="3"/>
    <s v="GNR_BO_NGAS_E-82_PHL"/>
    <x v="0"/>
    <x v="9"/>
    <n v="305.38054278841099"/>
    <n v="74309.265411846602"/>
    <n v="267513.35548264801"/>
  </r>
  <r>
    <x v="0"/>
    <x v="0"/>
    <x v="0"/>
    <x v="0"/>
    <x v="0"/>
    <x v="2"/>
    <x v="3"/>
    <x v="2"/>
    <x v="3"/>
    <s v="GNR_BO_NGAS_E-82_PHL"/>
    <x v="0"/>
    <x v="10"/>
    <n v="306.58962771377401"/>
    <n v="74603.476077018393"/>
    <n v="268572.51387726603"/>
  </r>
  <r>
    <x v="0"/>
    <x v="0"/>
    <x v="0"/>
    <x v="0"/>
    <x v="0"/>
    <x v="2"/>
    <x v="3"/>
    <x v="2"/>
    <x v="3"/>
    <s v="GNR_BO_NGAS_E-82_PHL"/>
    <x v="0"/>
    <x v="11"/>
    <n v="307.668162663722"/>
    <n v="74865.919581505601"/>
    <n v="269517.31049341999"/>
  </r>
  <r>
    <x v="0"/>
    <x v="0"/>
    <x v="0"/>
    <x v="0"/>
    <x v="0"/>
    <x v="2"/>
    <x v="3"/>
    <x v="2"/>
    <x v="3"/>
    <s v="GNR_BO_NGAS_E-82_PHL"/>
    <x v="2"/>
    <x v="5"/>
    <n v="255.92728335009301"/>
    <n v="62275.638948522697"/>
    <n v="224192.30021468201"/>
  </r>
  <r>
    <x v="0"/>
    <x v="0"/>
    <x v="0"/>
    <x v="0"/>
    <x v="0"/>
    <x v="2"/>
    <x v="3"/>
    <x v="2"/>
    <x v="3"/>
    <s v="GNR_BO_NGAS_E-82_PHL"/>
    <x v="2"/>
    <x v="3"/>
    <n v="191.93376502358799"/>
    <n v="46703.8828224065"/>
    <n v="168133.97816066301"/>
  </r>
  <r>
    <x v="0"/>
    <x v="0"/>
    <x v="0"/>
    <x v="0"/>
    <x v="0"/>
    <x v="2"/>
    <x v="3"/>
    <x v="2"/>
    <x v="3"/>
    <s v="GNR_BO_NGAS_E-82_PHL"/>
    <x v="2"/>
    <x v="6"/>
    <n v="221.95280691107999"/>
    <n v="54008.516348362697"/>
    <n v="194430.658854106"/>
  </r>
  <r>
    <x v="0"/>
    <x v="0"/>
    <x v="0"/>
    <x v="0"/>
    <x v="0"/>
    <x v="2"/>
    <x v="3"/>
    <x v="2"/>
    <x v="3"/>
    <s v="GNR_BO_NGAS_E-82_PHL"/>
    <x v="2"/>
    <x v="4"/>
    <n v="201.63810064360001"/>
    <n v="49065.271156609197"/>
    <n v="176634.97616379301"/>
  </r>
  <r>
    <x v="0"/>
    <x v="0"/>
    <x v="0"/>
    <x v="0"/>
    <x v="0"/>
    <x v="2"/>
    <x v="3"/>
    <x v="2"/>
    <x v="3"/>
    <s v="GNR_BO_NGAS_E-82_PHL"/>
    <x v="2"/>
    <x v="7"/>
    <n v="116.563274537891"/>
    <n v="28363.730137553601"/>
    <n v="102109.428495193"/>
  </r>
  <r>
    <x v="0"/>
    <x v="0"/>
    <x v="0"/>
    <x v="0"/>
    <x v="0"/>
    <x v="2"/>
    <x v="3"/>
    <x v="2"/>
    <x v="3"/>
    <s v="GNR_BO_NGAS_E-82_PHL"/>
    <x v="2"/>
    <x v="8"/>
    <n v="204.020521883436"/>
    <n v="49644.993658302803"/>
    <n v="178721.97716988999"/>
  </r>
  <r>
    <x v="0"/>
    <x v="0"/>
    <x v="0"/>
    <x v="0"/>
    <x v="0"/>
    <x v="2"/>
    <x v="3"/>
    <x v="2"/>
    <x v="3"/>
    <s v="GNR_BO_NGAS_E-82_PHL"/>
    <x v="2"/>
    <x v="0"/>
    <n v="62.003433855713403"/>
    <n v="15087.5022382236"/>
    <n v="54315.0080576049"/>
  </r>
  <r>
    <x v="0"/>
    <x v="0"/>
    <x v="0"/>
    <x v="0"/>
    <x v="0"/>
    <x v="2"/>
    <x v="3"/>
    <x v="2"/>
    <x v="3"/>
    <s v="GNR_BO_NGAS_E-82_PHL"/>
    <x v="2"/>
    <x v="1"/>
    <n v="150.041862456698"/>
    <n v="36510.186531129802"/>
    <n v="131436.671512067"/>
  </r>
  <r>
    <x v="0"/>
    <x v="0"/>
    <x v="0"/>
    <x v="0"/>
    <x v="0"/>
    <x v="2"/>
    <x v="3"/>
    <x v="2"/>
    <x v="3"/>
    <s v="GNR_BO_NGAS_E-82_PHL"/>
    <x v="2"/>
    <x v="2"/>
    <n v="138.72696787374699"/>
    <n v="33756.895515945202"/>
    <n v="121524.823857403"/>
  </r>
  <r>
    <x v="0"/>
    <x v="0"/>
    <x v="0"/>
    <x v="0"/>
    <x v="0"/>
    <x v="2"/>
    <x v="3"/>
    <x v="2"/>
    <x v="3"/>
    <s v="GNR_BO_NGAS_E-82_PHL"/>
    <x v="2"/>
    <x v="9"/>
    <n v="103.36143219256201"/>
    <n v="25151.281833523299"/>
    <n v="90544.614600683897"/>
  </r>
  <r>
    <x v="0"/>
    <x v="0"/>
    <x v="0"/>
    <x v="0"/>
    <x v="0"/>
    <x v="2"/>
    <x v="3"/>
    <x v="2"/>
    <x v="3"/>
    <s v="GNR_BO_NGAS_E-82_PHL"/>
    <x v="2"/>
    <x v="10"/>
    <n v="118.777384787896"/>
    <n v="28902.496965054801"/>
    <n v="104048.989074197"/>
  </r>
  <r>
    <x v="0"/>
    <x v="0"/>
    <x v="0"/>
    <x v="0"/>
    <x v="0"/>
    <x v="2"/>
    <x v="3"/>
    <x v="2"/>
    <x v="3"/>
    <s v="GNR_BO_NGAS_E-82_PHL"/>
    <x v="2"/>
    <x v="11"/>
    <n v="60.204613985050798"/>
    <n v="14649.789403029001"/>
    <n v="52739.241850904502"/>
  </r>
  <r>
    <x v="0"/>
    <x v="0"/>
    <x v="0"/>
    <x v="0"/>
    <x v="0"/>
    <x v="2"/>
    <x v="3"/>
    <x v="2"/>
    <x v="3"/>
    <s v="GNR_BO_NGAS_E-82_PHL"/>
    <x v="1"/>
    <x v="5"/>
    <n v="81.180929818453905"/>
    <n v="19754.026255823799"/>
    <n v="71114.4945209656"/>
  </r>
  <r>
    <x v="0"/>
    <x v="0"/>
    <x v="0"/>
    <x v="0"/>
    <x v="0"/>
    <x v="2"/>
    <x v="3"/>
    <x v="2"/>
    <x v="3"/>
    <s v="GNR_BO_NGAS_E-82_PHL"/>
    <x v="1"/>
    <x v="3"/>
    <n v="71.955111048460907"/>
    <n v="17509.0770217922"/>
    <n v="63032.677278451803"/>
  </r>
  <r>
    <x v="0"/>
    <x v="0"/>
    <x v="0"/>
    <x v="0"/>
    <x v="0"/>
    <x v="2"/>
    <x v="3"/>
    <x v="2"/>
    <x v="3"/>
    <s v="GNR_BO_NGAS_E-82_PHL"/>
    <x v="1"/>
    <x v="6"/>
    <n v="72.281296790694697"/>
    <n v="17588.448885735699"/>
    <n v="63318.415988648601"/>
  </r>
  <r>
    <x v="0"/>
    <x v="0"/>
    <x v="0"/>
    <x v="0"/>
    <x v="0"/>
    <x v="2"/>
    <x v="3"/>
    <x v="2"/>
    <x v="3"/>
    <s v="GNR_BO_NGAS_E-82_PHL"/>
    <x v="1"/>
    <x v="4"/>
    <n v="59.622670082936303"/>
    <n v="14508.1830535145"/>
    <n v="52229.458992652202"/>
  </r>
  <r>
    <x v="0"/>
    <x v="0"/>
    <x v="0"/>
    <x v="0"/>
    <x v="0"/>
    <x v="2"/>
    <x v="3"/>
    <x v="2"/>
    <x v="3"/>
    <s v="GNR_BO_NGAS_E-82_PHL"/>
    <x v="1"/>
    <x v="7"/>
    <n v="52.286056997774999"/>
    <n v="12722.940536125299"/>
    <n v="45802.585930050896"/>
  </r>
  <r>
    <x v="0"/>
    <x v="0"/>
    <x v="0"/>
    <x v="0"/>
    <x v="0"/>
    <x v="2"/>
    <x v="3"/>
    <x v="2"/>
    <x v="3"/>
    <s v="GNR_BO_NGAS_E-82_PHL"/>
    <x v="1"/>
    <x v="8"/>
    <n v="71.664456531112705"/>
    <n v="17438.3510892374"/>
    <n v="62778.063921254703"/>
  </r>
  <r>
    <x v="0"/>
    <x v="0"/>
    <x v="0"/>
    <x v="0"/>
    <x v="0"/>
    <x v="2"/>
    <x v="3"/>
    <x v="2"/>
    <x v="3"/>
    <s v="GNR_BO_NGAS_E-82_PHL"/>
    <x v="1"/>
    <x v="0"/>
    <n v="54.111151687001801"/>
    <n v="13167.046910503799"/>
    <n v="47401.368877813497"/>
  </r>
  <r>
    <x v="0"/>
    <x v="0"/>
    <x v="0"/>
    <x v="0"/>
    <x v="0"/>
    <x v="2"/>
    <x v="3"/>
    <x v="2"/>
    <x v="3"/>
    <s v="GNR_BO_NGAS_E-82_PHL"/>
    <x v="1"/>
    <x v="1"/>
    <n v="81.138943118482004"/>
    <n v="19743.809492163899"/>
    <n v="71077.714171790198"/>
  </r>
  <r>
    <x v="0"/>
    <x v="0"/>
    <x v="0"/>
    <x v="0"/>
    <x v="0"/>
    <x v="2"/>
    <x v="3"/>
    <x v="2"/>
    <x v="3"/>
    <s v="GNR_BO_NGAS_E-82_PHL"/>
    <x v="1"/>
    <x v="2"/>
    <n v="68.156236484488105"/>
    <n v="16584.684211225402"/>
    <n v="59704.863160411602"/>
  </r>
  <r>
    <x v="0"/>
    <x v="0"/>
    <x v="0"/>
    <x v="0"/>
    <x v="0"/>
    <x v="2"/>
    <x v="3"/>
    <x v="2"/>
    <x v="3"/>
    <s v="GNR_BO_NGAS_E-82_PHL"/>
    <x v="1"/>
    <x v="9"/>
    <n v="52.814910022501401"/>
    <n v="12851.6281054753"/>
    <n v="46265.861179711203"/>
  </r>
  <r>
    <x v="0"/>
    <x v="0"/>
    <x v="0"/>
    <x v="0"/>
    <x v="0"/>
    <x v="2"/>
    <x v="3"/>
    <x v="2"/>
    <x v="3"/>
    <s v="GNR_BO_NGAS_E-82_PHL"/>
    <x v="1"/>
    <x v="10"/>
    <n v="67.796479122153002"/>
    <n v="16497.143253057198"/>
    <n v="59389.715711006"/>
  </r>
  <r>
    <x v="0"/>
    <x v="0"/>
    <x v="0"/>
    <x v="0"/>
    <x v="0"/>
    <x v="2"/>
    <x v="3"/>
    <x v="2"/>
    <x v="3"/>
    <s v="GNR_BO_NGAS_E-82_PHL"/>
    <x v="1"/>
    <x v="11"/>
    <n v="76.1496466312406"/>
    <n v="18529.747346935201"/>
    <n v="66707.090448966803"/>
  </r>
  <r>
    <x v="0"/>
    <x v="0"/>
    <x v="0"/>
    <x v="0"/>
    <x v="0"/>
    <x v="3"/>
    <x v="8"/>
    <x v="4"/>
    <x v="5"/>
    <s v="GNR_HP_ELEC_GROUND-WTR_COP-380_LS-4-MW_Y-2030"/>
    <x v="0"/>
    <x v="5"/>
    <n v="188.729005217897"/>
    <n v="45924.057936355101"/>
    <n v="165326.60857087799"/>
  </r>
  <r>
    <x v="0"/>
    <x v="0"/>
    <x v="0"/>
    <x v="0"/>
    <x v="0"/>
    <x v="3"/>
    <x v="8"/>
    <x v="4"/>
    <x v="5"/>
    <s v="GNR_HP_ELEC_GROUND-WTR_COP-380_LS-4-MW_Y-2030"/>
    <x v="0"/>
    <x v="3"/>
    <n v="188.729005217897"/>
    <n v="45924.057936355101"/>
    <n v="165326.60857087799"/>
  </r>
  <r>
    <x v="0"/>
    <x v="0"/>
    <x v="0"/>
    <x v="0"/>
    <x v="0"/>
    <x v="3"/>
    <x v="8"/>
    <x v="4"/>
    <x v="5"/>
    <s v="GNR_HP_ELEC_GROUND-WTR_COP-380_LS-4-MW_Y-2030"/>
    <x v="0"/>
    <x v="6"/>
    <n v="188.729005217897"/>
    <n v="45924.057936355101"/>
    <n v="165326.60857087799"/>
  </r>
  <r>
    <x v="0"/>
    <x v="0"/>
    <x v="0"/>
    <x v="0"/>
    <x v="0"/>
    <x v="3"/>
    <x v="8"/>
    <x v="4"/>
    <x v="5"/>
    <s v="GNR_HP_ELEC_GROUND-WTR_COP-380_LS-4-MW_Y-2030"/>
    <x v="0"/>
    <x v="4"/>
    <n v="188.729005217897"/>
    <n v="45924.057936355101"/>
    <n v="165326.60857087799"/>
  </r>
  <r>
    <x v="0"/>
    <x v="0"/>
    <x v="0"/>
    <x v="0"/>
    <x v="0"/>
    <x v="3"/>
    <x v="8"/>
    <x v="4"/>
    <x v="5"/>
    <s v="GNR_HP_ELEC_GROUND-WTR_COP-380_LS-4-MW_Y-2030"/>
    <x v="0"/>
    <x v="7"/>
    <n v="188.729005217897"/>
    <n v="45924.057936355101"/>
    <n v="165326.60857087799"/>
  </r>
  <r>
    <x v="0"/>
    <x v="0"/>
    <x v="0"/>
    <x v="0"/>
    <x v="0"/>
    <x v="3"/>
    <x v="8"/>
    <x v="4"/>
    <x v="5"/>
    <s v="GNR_HP_ELEC_GROUND-WTR_COP-380_LS-4-MW_Y-2030"/>
    <x v="0"/>
    <x v="8"/>
    <n v="188.729005217897"/>
    <n v="45924.057936355101"/>
    <n v="165326.60857087799"/>
  </r>
  <r>
    <x v="0"/>
    <x v="0"/>
    <x v="0"/>
    <x v="0"/>
    <x v="0"/>
    <x v="3"/>
    <x v="8"/>
    <x v="4"/>
    <x v="5"/>
    <s v="GNR_HP_ELEC_GROUND-WTR_COP-380_LS-4-MW_Y-2030"/>
    <x v="0"/>
    <x v="9"/>
    <n v="188.729005217897"/>
    <n v="45924.057936355101"/>
    <n v="165326.60857087799"/>
  </r>
  <r>
    <x v="0"/>
    <x v="0"/>
    <x v="0"/>
    <x v="0"/>
    <x v="0"/>
    <x v="3"/>
    <x v="8"/>
    <x v="4"/>
    <x v="5"/>
    <s v="GNR_HP_ELEC_GROUND-WTR_COP-380_LS-4-MW_Y-2030"/>
    <x v="0"/>
    <x v="10"/>
    <n v="188.729005217897"/>
    <n v="45924.057936355101"/>
    <n v="165326.60857087799"/>
  </r>
  <r>
    <x v="0"/>
    <x v="0"/>
    <x v="0"/>
    <x v="0"/>
    <x v="0"/>
    <x v="3"/>
    <x v="8"/>
    <x v="4"/>
    <x v="5"/>
    <s v="GNR_HP_ELEC_GROUND-WTR_COP-380_LS-4-MW_Y-2030"/>
    <x v="0"/>
    <x v="11"/>
    <n v="188.729005217897"/>
    <n v="45924.057936355101"/>
    <n v="165326.60857087799"/>
  </r>
  <r>
    <x v="0"/>
    <x v="0"/>
    <x v="0"/>
    <x v="0"/>
    <x v="0"/>
    <x v="3"/>
    <x v="8"/>
    <x v="4"/>
    <x v="5"/>
    <s v="GNR_HP_ELEC_GROUND-WTR_COP-380_LS-4-MW_Y-2030"/>
    <x v="2"/>
    <x v="5"/>
    <n v="188.729005217897"/>
    <n v="45924.057936355101"/>
    <n v="165326.60857087799"/>
  </r>
  <r>
    <x v="0"/>
    <x v="0"/>
    <x v="0"/>
    <x v="0"/>
    <x v="0"/>
    <x v="3"/>
    <x v="8"/>
    <x v="4"/>
    <x v="5"/>
    <s v="GNR_HP_ELEC_GROUND-WTR_COP-380_LS-4-MW_Y-2030"/>
    <x v="2"/>
    <x v="3"/>
    <n v="188.729005217897"/>
    <n v="45924.057936355101"/>
    <n v="165326.60857087799"/>
  </r>
  <r>
    <x v="0"/>
    <x v="0"/>
    <x v="0"/>
    <x v="0"/>
    <x v="0"/>
    <x v="3"/>
    <x v="8"/>
    <x v="4"/>
    <x v="5"/>
    <s v="GNR_HP_ELEC_GROUND-WTR_COP-380_LS-4-MW_Y-2030"/>
    <x v="2"/>
    <x v="6"/>
    <n v="188.729005217897"/>
    <n v="45924.057936355101"/>
    <n v="165326.60857087799"/>
  </r>
  <r>
    <x v="0"/>
    <x v="0"/>
    <x v="0"/>
    <x v="0"/>
    <x v="0"/>
    <x v="3"/>
    <x v="8"/>
    <x v="4"/>
    <x v="5"/>
    <s v="GNR_HP_ELEC_GROUND-WTR_COP-380_LS-4-MW_Y-2030"/>
    <x v="2"/>
    <x v="4"/>
    <n v="188.729005217897"/>
    <n v="45924.057936355101"/>
    <n v="165326.60857087799"/>
  </r>
  <r>
    <x v="0"/>
    <x v="0"/>
    <x v="0"/>
    <x v="0"/>
    <x v="0"/>
    <x v="3"/>
    <x v="8"/>
    <x v="4"/>
    <x v="5"/>
    <s v="GNR_HP_ELEC_GROUND-WTR_COP-380_LS-4-MW_Y-2030"/>
    <x v="2"/>
    <x v="7"/>
    <n v="188.729005217897"/>
    <n v="45924.057936355101"/>
    <n v="165326.60857087799"/>
  </r>
  <r>
    <x v="0"/>
    <x v="0"/>
    <x v="0"/>
    <x v="0"/>
    <x v="0"/>
    <x v="3"/>
    <x v="8"/>
    <x v="4"/>
    <x v="5"/>
    <s v="GNR_HP_ELEC_GROUND-WTR_COP-380_LS-4-MW_Y-2030"/>
    <x v="2"/>
    <x v="8"/>
    <n v="188.729005217897"/>
    <n v="45924.057936355101"/>
    <n v="165326.60857087799"/>
  </r>
  <r>
    <x v="0"/>
    <x v="0"/>
    <x v="0"/>
    <x v="0"/>
    <x v="0"/>
    <x v="3"/>
    <x v="8"/>
    <x v="4"/>
    <x v="5"/>
    <s v="GNR_HP_ELEC_GROUND-WTR_COP-380_LS-4-MW_Y-2030"/>
    <x v="2"/>
    <x v="0"/>
    <n v="188.729005217897"/>
    <n v="45924.057936355101"/>
    <n v="165326.60857087799"/>
  </r>
  <r>
    <x v="0"/>
    <x v="0"/>
    <x v="0"/>
    <x v="0"/>
    <x v="0"/>
    <x v="3"/>
    <x v="8"/>
    <x v="4"/>
    <x v="5"/>
    <s v="GNR_HP_ELEC_GROUND-WTR_COP-380_LS-4-MW_Y-2030"/>
    <x v="2"/>
    <x v="1"/>
    <n v="188.729005217897"/>
    <n v="45924.057936355101"/>
    <n v="165326.60857087799"/>
  </r>
  <r>
    <x v="0"/>
    <x v="0"/>
    <x v="0"/>
    <x v="0"/>
    <x v="0"/>
    <x v="3"/>
    <x v="8"/>
    <x v="4"/>
    <x v="5"/>
    <s v="GNR_HP_ELEC_GROUND-WTR_COP-380_LS-4-MW_Y-2030"/>
    <x v="2"/>
    <x v="2"/>
    <n v="188.729005217897"/>
    <n v="45924.057936355101"/>
    <n v="165326.60857087799"/>
  </r>
  <r>
    <x v="0"/>
    <x v="0"/>
    <x v="0"/>
    <x v="0"/>
    <x v="0"/>
    <x v="3"/>
    <x v="8"/>
    <x v="4"/>
    <x v="5"/>
    <s v="GNR_HP_ELEC_GROUND-WTR_COP-380_LS-4-MW_Y-2030"/>
    <x v="2"/>
    <x v="9"/>
    <n v="188.729005217897"/>
    <n v="45924.057936355101"/>
    <n v="165326.60857087799"/>
  </r>
  <r>
    <x v="0"/>
    <x v="0"/>
    <x v="0"/>
    <x v="0"/>
    <x v="0"/>
    <x v="3"/>
    <x v="8"/>
    <x v="4"/>
    <x v="5"/>
    <s v="GNR_HP_ELEC_GROUND-WTR_COP-380_LS-4-MW_Y-2030"/>
    <x v="2"/>
    <x v="10"/>
    <n v="188.729005217897"/>
    <n v="45924.057936355101"/>
    <n v="165326.60857087799"/>
  </r>
  <r>
    <x v="0"/>
    <x v="0"/>
    <x v="0"/>
    <x v="0"/>
    <x v="0"/>
    <x v="3"/>
    <x v="8"/>
    <x v="4"/>
    <x v="5"/>
    <s v="GNR_HP_ELEC_GROUND-WTR_COP-380_LS-4-MW_Y-2030"/>
    <x v="2"/>
    <x v="11"/>
    <n v="188.729005217897"/>
    <n v="45924.057936355101"/>
    <n v="165326.60857087799"/>
  </r>
  <r>
    <x v="0"/>
    <x v="0"/>
    <x v="0"/>
    <x v="0"/>
    <x v="0"/>
    <x v="3"/>
    <x v="8"/>
    <x v="4"/>
    <x v="5"/>
    <s v="GNR_HP_ELEC_GROUND-WTR_COP-380_LS-4-MW_Y-2030"/>
    <x v="1"/>
    <x v="5"/>
    <n v="188.729005217897"/>
    <n v="45924.057936355101"/>
    <n v="165326.60857087799"/>
  </r>
  <r>
    <x v="0"/>
    <x v="0"/>
    <x v="0"/>
    <x v="0"/>
    <x v="0"/>
    <x v="3"/>
    <x v="8"/>
    <x v="4"/>
    <x v="5"/>
    <s v="GNR_HP_ELEC_GROUND-WTR_COP-380_LS-4-MW_Y-2030"/>
    <x v="1"/>
    <x v="6"/>
    <n v="188.729005217897"/>
    <n v="45924.057936355101"/>
    <n v="165326.60857087799"/>
  </r>
  <r>
    <x v="0"/>
    <x v="0"/>
    <x v="0"/>
    <x v="0"/>
    <x v="0"/>
    <x v="3"/>
    <x v="8"/>
    <x v="4"/>
    <x v="5"/>
    <s v="GNR_HP_ELEC_GROUND-WTR_COP-380_LS-4-MW_Y-2030"/>
    <x v="1"/>
    <x v="7"/>
    <n v="96.926283618401698"/>
    <n v="23585.395680477799"/>
    <n v="84907.424449719896"/>
  </r>
  <r>
    <x v="0"/>
    <x v="0"/>
    <x v="0"/>
    <x v="0"/>
    <x v="0"/>
    <x v="3"/>
    <x v="8"/>
    <x v="4"/>
    <x v="5"/>
    <s v="GNR_HP_ELEC_GROUND-WTR_COP-380_LS-4-MW_Y-2030"/>
    <x v="1"/>
    <x v="8"/>
    <n v="188.729005217897"/>
    <n v="45924.057936355101"/>
    <n v="165326.60857087799"/>
  </r>
  <r>
    <x v="0"/>
    <x v="0"/>
    <x v="0"/>
    <x v="0"/>
    <x v="0"/>
    <x v="3"/>
    <x v="8"/>
    <x v="4"/>
    <x v="5"/>
    <s v="GNR_HP_ELEC_GROUND-WTR_COP-380_LS-4-MW_Y-2030"/>
    <x v="1"/>
    <x v="1"/>
    <n v="176.817684060971"/>
    <n v="43025.636454836203"/>
    <n v="154892.29123741001"/>
  </r>
  <r>
    <x v="0"/>
    <x v="0"/>
    <x v="0"/>
    <x v="0"/>
    <x v="0"/>
    <x v="3"/>
    <x v="8"/>
    <x v="4"/>
    <x v="5"/>
    <s v="GNR_HP_ELEC_GROUND-WTR_COP-380_LS-4-MW_Y-2030"/>
    <x v="1"/>
    <x v="9"/>
    <n v="188.729005217897"/>
    <n v="45924.057936355101"/>
    <n v="165326.60857087799"/>
  </r>
  <r>
    <x v="0"/>
    <x v="0"/>
    <x v="0"/>
    <x v="0"/>
    <x v="0"/>
    <x v="3"/>
    <x v="8"/>
    <x v="4"/>
    <x v="5"/>
    <s v="GNR_HP_ELEC_GROUND-WTR_COP-380_LS-4-MW_Y-2030"/>
    <x v="1"/>
    <x v="10"/>
    <n v="188.729005217897"/>
    <n v="45924.057936355101"/>
    <n v="165326.60857087799"/>
  </r>
  <r>
    <x v="0"/>
    <x v="0"/>
    <x v="0"/>
    <x v="0"/>
    <x v="0"/>
    <x v="3"/>
    <x v="8"/>
    <x v="4"/>
    <x v="5"/>
    <s v="GNR_HP_ELEC_GROUND-WTR_COP-380_LS-4-MW_Y-2030"/>
    <x v="1"/>
    <x v="11"/>
    <n v="188.729005217897"/>
    <n v="45924.057936355101"/>
    <n v="165326.60857087799"/>
  </r>
  <r>
    <x v="0"/>
    <x v="0"/>
    <x v="0"/>
    <x v="0"/>
    <x v="0"/>
    <x v="3"/>
    <x v="1"/>
    <x v="1"/>
    <x v="1"/>
    <s v="GNR_HS_HEAT_PIT_L-DEC_E-91_Y-2030"/>
    <x v="0"/>
    <x v="5"/>
    <n v="127.109271241211"/>
    <n v="30929.9226686947"/>
    <n v="111347.72160730101"/>
  </r>
  <r>
    <x v="0"/>
    <x v="0"/>
    <x v="0"/>
    <x v="0"/>
    <x v="0"/>
    <x v="3"/>
    <x v="1"/>
    <x v="1"/>
    <x v="1"/>
    <s v="GNR_HS_HEAT_PIT_L-DEC_E-91_Y-2030"/>
    <x v="0"/>
    <x v="3"/>
    <n v="127.109271241211"/>
    <n v="30929.9226686947"/>
    <n v="111347.72160730101"/>
  </r>
  <r>
    <x v="0"/>
    <x v="0"/>
    <x v="0"/>
    <x v="0"/>
    <x v="0"/>
    <x v="3"/>
    <x v="1"/>
    <x v="1"/>
    <x v="1"/>
    <s v="GNR_HS_HEAT_PIT_L-DEC_E-91_Y-2030"/>
    <x v="0"/>
    <x v="6"/>
    <n v="127.109271241211"/>
    <n v="30929.9226686947"/>
    <n v="111347.72160730101"/>
  </r>
  <r>
    <x v="0"/>
    <x v="0"/>
    <x v="0"/>
    <x v="0"/>
    <x v="0"/>
    <x v="3"/>
    <x v="1"/>
    <x v="1"/>
    <x v="1"/>
    <s v="GNR_HS_HEAT_PIT_L-DEC_E-91_Y-2030"/>
    <x v="0"/>
    <x v="4"/>
    <n v="127.109271241211"/>
    <n v="30929.9226686947"/>
    <n v="111347.72160730101"/>
  </r>
  <r>
    <x v="0"/>
    <x v="0"/>
    <x v="0"/>
    <x v="0"/>
    <x v="0"/>
    <x v="3"/>
    <x v="1"/>
    <x v="1"/>
    <x v="1"/>
    <s v="GNR_HS_HEAT_PIT_L-DEC_E-91_Y-2030"/>
    <x v="0"/>
    <x v="7"/>
    <n v="127.109271241211"/>
    <n v="30929.9226686947"/>
    <n v="111347.72160730101"/>
  </r>
  <r>
    <x v="0"/>
    <x v="0"/>
    <x v="0"/>
    <x v="0"/>
    <x v="0"/>
    <x v="3"/>
    <x v="1"/>
    <x v="1"/>
    <x v="1"/>
    <s v="GNR_HS_HEAT_PIT_L-DEC_E-91_Y-2030"/>
    <x v="0"/>
    <x v="8"/>
    <n v="127.109271241211"/>
    <n v="30929.9226686947"/>
    <n v="111347.72160730101"/>
  </r>
  <r>
    <x v="0"/>
    <x v="0"/>
    <x v="0"/>
    <x v="0"/>
    <x v="0"/>
    <x v="3"/>
    <x v="1"/>
    <x v="1"/>
    <x v="1"/>
    <s v="GNR_HS_HEAT_PIT_L-DEC_E-91_Y-2030"/>
    <x v="0"/>
    <x v="0"/>
    <n v="127.109271241211"/>
    <n v="30929.9226686947"/>
    <n v="111347.72160730101"/>
  </r>
  <r>
    <x v="0"/>
    <x v="0"/>
    <x v="0"/>
    <x v="0"/>
    <x v="0"/>
    <x v="3"/>
    <x v="1"/>
    <x v="1"/>
    <x v="1"/>
    <s v="GNR_HS_HEAT_PIT_L-DEC_E-91_Y-2030"/>
    <x v="0"/>
    <x v="1"/>
    <n v="127.109271241211"/>
    <n v="30929.9226686947"/>
    <n v="111347.72160730101"/>
  </r>
  <r>
    <x v="0"/>
    <x v="0"/>
    <x v="0"/>
    <x v="0"/>
    <x v="0"/>
    <x v="3"/>
    <x v="1"/>
    <x v="1"/>
    <x v="1"/>
    <s v="GNR_HS_HEAT_PIT_L-DEC_E-91_Y-2030"/>
    <x v="0"/>
    <x v="2"/>
    <n v="127.109271241211"/>
    <n v="30929.9226686947"/>
    <n v="111347.72160730101"/>
  </r>
  <r>
    <x v="0"/>
    <x v="0"/>
    <x v="0"/>
    <x v="0"/>
    <x v="0"/>
    <x v="3"/>
    <x v="1"/>
    <x v="1"/>
    <x v="1"/>
    <s v="GNR_HS_HEAT_PIT_L-DEC_E-91_Y-2030"/>
    <x v="0"/>
    <x v="9"/>
    <n v="127.109271241211"/>
    <n v="30929.9226686947"/>
    <n v="111347.72160730101"/>
  </r>
  <r>
    <x v="0"/>
    <x v="0"/>
    <x v="0"/>
    <x v="0"/>
    <x v="0"/>
    <x v="3"/>
    <x v="1"/>
    <x v="1"/>
    <x v="1"/>
    <s v="GNR_HS_HEAT_PIT_L-DEC_E-91_Y-2030"/>
    <x v="0"/>
    <x v="10"/>
    <n v="127.109271241211"/>
    <n v="30929.9226686947"/>
    <n v="111347.72160730101"/>
  </r>
  <r>
    <x v="0"/>
    <x v="0"/>
    <x v="0"/>
    <x v="0"/>
    <x v="0"/>
    <x v="3"/>
    <x v="1"/>
    <x v="1"/>
    <x v="1"/>
    <s v="GNR_HS_HEAT_PIT_L-DEC_E-91_Y-2030"/>
    <x v="0"/>
    <x v="11"/>
    <n v="127.109271241211"/>
    <n v="30929.9226686947"/>
    <n v="111347.72160730101"/>
  </r>
  <r>
    <x v="0"/>
    <x v="0"/>
    <x v="0"/>
    <x v="0"/>
    <x v="0"/>
    <x v="3"/>
    <x v="1"/>
    <x v="1"/>
    <x v="2"/>
    <s v="GNR_HS_HEAT_WTR-TANK_LS_E-95_Y-2010"/>
    <x v="0"/>
    <x v="3"/>
    <n v="1.2208391935804701"/>
    <n v="297.070870437915"/>
    <n v="1069.4551335765"/>
  </r>
  <r>
    <x v="0"/>
    <x v="0"/>
    <x v="0"/>
    <x v="0"/>
    <x v="0"/>
    <x v="3"/>
    <x v="1"/>
    <x v="1"/>
    <x v="2"/>
    <s v="GNR_HS_HEAT_WTR-TANK_LS_E-95_Y-2010"/>
    <x v="0"/>
    <x v="6"/>
    <n v="9.0287678443135899"/>
    <n v="2197.0001754496402"/>
    <n v="7909.2006316187098"/>
  </r>
  <r>
    <x v="0"/>
    <x v="0"/>
    <x v="0"/>
    <x v="0"/>
    <x v="0"/>
    <x v="3"/>
    <x v="1"/>
    <x v="1"/>
    <x v="2"/>
    <s v="GNR_HS_HEAT_WTR-TANK_LS_E-95_Y-2010"/>
    <x v="0"/>
    <x v="0"/>
    <n v="137.57437017855301"/>
    <n v="33476.430076781202"/>
    <n v="120515.148276412"/>
  </r>
  <r>
    <x v="0"/>
    <x v="0"/>
    <x v="0"/>
    <x v="0"/>
    <x v="0"/>
    <x v="3"/>
    <x v="1"/>
    <x v="1"/>
    <x v="2"/>
    <s v="GNR_HS_HEAT_WTR-TANK_LS_E-95_Y-2010"/>
    <x v="0"/>
    <x v="1"/>
    <n v="137.57437017855301"/>
    <n v="33476.430076781202"/>
    <n v="120515.148276412"/>
  </r>
  <r>
    <x v="0"/>
    <x v="0"/>
    <x v="0"/>
    <x v="0"/>
    <x v="0"/>
    <x v="3"/>
    <x v="1"/>
    <x v="1"/>
    <x v="2"/>
    <s v="GNR_HS_HEAT_WTR-TANK_LS_E-95_Y-2010"/>
    <x v="0"/>
    <x v="2"/>
    <n v="137.57437017855301"/>
    <n v="33476.430076781202"/>
    <n v="120515.148276412"/>
  </r>
  <r>
    <x v="0"/>
    <x v="0"/>
    <x v="0"/>
    <x v="0"/>
    <x v="0"/>
    <x v="3"/>
    <x v="1"/>
    <x v="1"/>
    <x v="2"/>
    <s v="GNR_HS_HEAT_WTR-TANK_LS_E-95_Y-2010"/>
    <x v="2"/>
    <x v="6"/>
    <n v="79.257296741203504"/>
    <n v="19285.942207026201"/>
    <n v="69429.391945294294"/>
  </r>
  <r>
    <x v="0"/>
    <x v="0"/>
    <x v="0"/>
    <x v="0"/>
    <x v="0"/>
    <x v="3"/>
    <x v="1"/>
    <x v="1"/>
    <x v="2"/>
    <s v="GNR_HS_HEAT_WTR-TANK_LS_E-95_Y-2010"/>
    <x v="2"/>
    <x v="7"/>
    <n v="48.008214345270403"/>
    <n v="11681.9988240158"/>
    <n v="42055.195766456898"/>
  </r>
  <r>
    <x v="0"/>
    <x v="0"/>
    <x v="0"/>
    <x v="0"/>
    <x v="0"/>
    <x v="3"/>
    <x v="1"/>
    <x v="1"/>
    <x v="2"/>
    <s v="GNR_HS_HEAT_WTR-TANK_LS_E-95_Y-2010"/>
    <x v="1"/>
    <x v="3"/>
    <n v="29.838199903929102"/>
    <n v="7260.6286432894203"/>
    <n v="26138.263115841899"/>
  </r>
  <r>
    <x v="0"/>
    <x v="0"/>
    <x v="0"/>
    <x v="0"/>
    <x v="0"/>
    <x v="3"/>
    <x v="1"/>
    <x v="1"/>
    <x v="2"/>
    <s v="GNR_HS_HEAT_WTR-TANK_LS_E-95_Y-2010"/>
    <x v="1"/>
    <x v="4"/>
    <n v="1.8084284104064301"/>
    <n v="440.05091319889902"/>
    <n v="1584.1832875160401"/>
  </r>
  <r>
    <x v="0"/>
    <x v="0"/>
    <x v="0"/>
    <x v="0"/>
    <x v="0"/>
    <x v="3"/>
    <x v="1"/>
    <x v="1"/>
    <x v="2"/>
    <s v="GNR_HS_HEAT_WTR-TANK_LS_E-95_Y-2010"/>
    <x v="1"/>
    <x v="7"/>
    <n v="31.416801873393599"/>
    <n v="7644.7551225257703"/>
    <n v="27521.1184410928"/>
  </r>
  <r>
    <x v="0"/>
    <x v="0"/>
    <x v="0"/>
    <x v="0"/>
    <x v="0"/>
    <x v="3"/>
    <x v="1"/>
    <x v="1"/>
    <x v="2"/>
    <s v="GNR_HS_HEAT_WTR-TANK_LS_E-95_Y-2010"/>
    <x v="1"/>
    <x v="0"/>
    <n v="60.391202477590802"/>
    <n v="14695.192602880399"/>
    <n v="52902.693370369503"/>
  </r>
  <r>
    <x v="0"/>
    <x v="0"/>
    <x v="0"/>
    <x v="0"/>
    <x v="0"/>
    <x v="3"/>
    <x v="1"/>
    <x v="1"/>
    <x v="2"/>
    <s v="GNR_HS_HEAT_WTR-TANK_LS_E-95_Y-2010"/>
    <x v="1"/>
    <x v="2"/>
    <n v="45.9685479935427"/>
    <n v="11185.680011762101"/>
    <n v="40268.4480423434"/>
  </r>
  <r>
    <x v="0"/>
    <x v="0"/>
    <x v="0"/>
    <x v="0"/>
    <x v="0"/>
    <x v="3"/>
    <x v="3"/>
    <x v="2"/>
    <x v="3"/>
    <s v="GNR_BO_NGAS_E-100"/>
    <x v="0"/>
    <x v="0"/>
    <n v="8.2953075865968309"/>
    <n v="2018.5248460718999"/>
    <n v="7266.6894458588304"/>
  </r>
  <r>
    <x v="0"/>
    <x v="0"/>
    <x v="0"/>
    <x v="0"/>
    <x v="0"/>
    <x v="3"/>
    <x v="3"/>
    <x v="2"/>
    <x v="3"/>
    <s v="GNR_BO_NGAS_E-100"/>
    <x v="0"/>
    <x v="1"/>
    <n v="4.9541495943365099"/>
    <n v="1205.5097346218799"/>
    <n v="4339.8350446387904"/>
  </r>
  <r>
    <x v="0"/>
    <x v="0"/>
    <x v="0"/>
    <x v="0"/>
    <x v="0"/>
    <x v="3"/>
    <x v="3"/>
    <x v="2"/>
    <x v="3"/>
    <s v="GNR_BO_NGAS_E-100"/>
    <x v="0"/>
    <x v="2"/>
    <n v="30"/>
    <n v="7300"/>
    <n v="26280"/>
  </r>
  <r>
    <x v="0"/>
    <x v="0"/>
    <x v="0"/>
    <x v="0"/>
    <x v="0"/>
    <x v="3"/>
    <x v="3"/>
    <x v="2"/>
    <x v="3"/>
    <s v="GNR_BO_NGAS_E-101"/>
    <x v="0"/>
    <x v="0"/>
    <n v="33"/>
    <n v="8030"/>
    <n v="28908"/>
  </r>
  <r>
    <x v="0"/>
    <x v="0"/>
    <x v="0"/>
    <x v="0"/>
    <x v="0"/>
    <x v="3"/>
    <x v="3"/>
    <x v="2"/>
    <x v="3"/>
    <s v="GNR_BO_NGAS_E-101"/>
    <x v="0"/>
    <x v="1"/>
    <n v="33"/>
    <n v="8030"/>
    <n v="28908"/>
  </r>
  <r>
    <x v="0"/>
    <x v="0"/>
    <x v="0"/>
    <x v="0"/>
    <x v="0"/>
    <x v="3"/>
    <x v="3"/>
    <x v="2"/>
    <x v="3"/>
    <s v="GNR_BO_NGAS_E-101"/>
    <x v="0"/>
    <x v="2"/>
    <n v="33"/>
    <n v="8030"/>
    <n v="28908"/>
  </r>
  <r>
    <x v="0"/>
    <x v="0"/>
    <x v="0"/>
    <x v="0"/>
    <x v="0"/>
    <x v="3"/>
    <x v="3"/>
    <x v="2"/>
    <x v="3"/>
    <s v="GNR_BO_NGAS_E-102"/>
    <x v="0"/>
    <x v="0"/>
    <n v="5.0999999999999996"/>
    <n v="1241"/>
    <n v="4467.6000000000004"/>
  </r>
  <r>
    <x v="0"/>
    <x v="0"/>
    <x v="0"/>
    <x v="0"/>
    <x v="0"/>
    <x v="3"/>
    <x v="3"/>
    <x v="2"/>
    <x v="3"/>
    <s v="GNR_BO_NGAS_E-102"/>
    <x v="0"/>
    <x v="1"/>
    <n v="5.0999999999999996"/>
    <n v="1241"/>
    <n v="4467.6000000000004"/>
  </r>
  <r>
    <x v="0"/>
    <x v="0"/>
    <x v="0"/>
    <x v="0"/>
    <x v="0"/>
    <x v="3"/>
    <x v="3"/>
    <x v="2"/>
    <x v="3"/>
    <s v="GNR_BO_NGAS_E-102"/>
    <x v="0"/>
    <x v="2"/>
    <n v="5.0999999999999996"/>
    <n v="1241"/>
    <n v="4467.6000000000004"/>
  </r>
  <r>
    <x v="0"/>
    <x v="0"/>
    <x v="0"/>
    <x v="0"/>
    <x v="0"/>
    <x v="3"/>
    <x v="3"/>
    <x v="0"/>
    <x v="0"/>
    <s v="GNR_ENG_NGAS_BP_E-41"/>
    <x v="0"/>
    <x v="3"/>
    <n v="3.3555555555555601"/>
    <n v="816.51851851851904"/>
    <n v="2939.4666666666699"/>
  </r>
  <r>
    <x v="0"/>
    <x v="0"/>
    <x v="0"/>
    <x v="0"/>
    <x v="0"/>
    <x v="3"/>
    <x v="3"/>
    <x v="0"/>
    <x v="0"/>
    <s v="GNR_ENG_NGAS_BP_E-41"/>
    <x v="0"/>
    <x v="8"/>
    <n v="3.3555555555555601"/>
    <n v="816.51851851851904"/>
    <n v="2939.4666666666699"/>
  </r>
  <r>
    <x v="0"/>
    <x v="0"/>
    <x v="0"/>
    <x v="0"/>
    <x v="0"/>
    <x v="3"/>
    <x v="3"/>
    <x v="0"/>
    <x v="0"/>
    <s v="GNR_ENG_NGAS_BP_E-41"/>
    <x v="0"/>
    <x v="0"/>
    <n v="3.3555555555555601"/>
    <n v="816.51851851851904"/>
    <n v="2939.4666666666699"/>
  </r>
  <r>
    <x v="0"/>
    <x v="0"/>
    <x v="0"/>
    <x v="0"/>
    <x v="0"/>
    <x v="3"/>
    <x v="3"/>
    <x v="0"/>
    <x v="0"/>
    <s v="GNR_ENG_NGAS_BP_E-41"/>
    <x v="0"/>
    <x v="1"/>
    <n v="3.3555555555555601"/>
    <n v="816.51851851851904"/>
    <n v="2939.4666666666699"/>
  </r>
  <r>
    <x v="0"/>
    <x v="0"/>
    <x v="0"/>
    <x v="0"/>
    <x v="0"/>
    <x v="3"/>
    <x v="3"/>
    <x v="0"/>
    <x v="0"/>
    <s v="GNR_ENG_NGAS_BP_E-41"/>
    <x v="0"/>
    <x v="2"/>
    <n v="3.3555555555555601"/>
    <n v="816.51851851851904"/>
    <n v="2939.4666666666699"/>
  </r>
  <r>
    <x v="0"/>
    <x v="0"/>
    <x v="0"/>
    <x v="0"/>
    <x v="0"/>
    <x v="3"/>
    <x v="3"/>
    <x v="0"/>
    <x v="0"/>
    <s v="GNR_ENG_NGAS_BP_E-41"/>
    <x v="0"/>
    <x v="9"/>
    <n v="3.3555555555555601"/>
    <n v="816.51851851851904"/>
    <n v="2939.4666666666699"/>
  </r>
  <r>
    <x v="0"/>
    <x v="0"/>
    <x v="0"/>
    <x v="0"/>
    <x v="0"/>
    <x v="3"/>
    <x v="3"/>
    <x v="0"/>
    <x v="0"/>
    <s v="GNR_ENG_NGAS_BP_E-41"/>
    <x v="0"/>
    <x v="11"/>
    <n v="3.3555555555555601"/>
    <n v="816.51851851851904"/>
    <n v="2939.4666666666699"/>
  </r>
  <r>
    <x v="0"/>
    <x v="0"/>
    <x v="0"/>
    <x v="0"/>
    <x v="0"/>
    <x v="3"/>
    <x v="3"/>
    <x v="0"/>
    <x v="0"/>
    <s v="GNR_ENG_NGAS_BP_E-41"/>
    <x v="1"/>
    <x v="3"/>
    <n v="3.3555555555555601"/>
    <n v="816.51851851851904"/>
    <n v="2939.4666666666699"/>
  </r>
  <r>
    <x v="0"/>
    <x v="0"/>
    <x v="0"/>
    <x v="0"/>
    <x v="0"/>
    <x v="3"/>
    <x v="3"/>
    <x v="0"/>
    <x v="0"/>
    <s v="GNR_ENG_NGAS_BP_E-41"/>
    <x v="1"/>
    <x v="4"/>
    <n v="3.3555555555555601"/>
    <n v="816.51851851851904"/>
    <n v="2939.4666666666699"/>
  </r>
  <r>
    <x v="0"/>
    <x v="0"/>
    <x v="0"/>
    <x v="0"/>
    <x v="0"/>
    <x v="3"/>
    <x v="3"/>
    <x v="0"/>
    <x v="0"/>
    <s v="GNR_ENG_NGAS_BP_E-41"/>
    <x v="1"/>
    <x v="7"/>
    <n v="3.3555555555555601"/>
    <n v="816.51851851851904"/>
    <n v="2939.4666666666699"/>
  </r>
  <r>
    <x v="0"/>
    <x v="0"/>
    <x v="0"/>
    <x v="0"/>
    <x v="0"/>
    <x v="3"/>
    <x v="3"/>
    <x v="0"/>
    <x v="0"/>
    <s v="GNR_ENG_NGAS_BP_E-41"/>
    <x v="1"/>
    <x v="0"/>
    <n v="3.3555555555555601"/>
    <n v="816.51851851851904"/>
    <n v="2939.4666666666699"/>
  </r>
  <r>
    <x v="0"/>
    <x v="0"/>
    <x v="0"/>
    <x v="0"/>
    <x v="0"/>
    <x v="3"/>
    <x v="3"/>
    <x v="0"/>
    <x v="0"/>
    <s v="GNR_ENG_NGAS_BP_E-41"/>
    <x v="1"/>
    <x v="1"/>
    <n v="3.3555555555555601"/>
    <n v="816.51851851851904"/>
    <n v="2939.4666666666699"/>
  </r>
  <r>
    <x v="0"/>
    <x v="0"/>
    <x v="0"/>
    <x v="0"/>
    <x v="0"/>
    <x v="3"/>
    <x v="3"/>
    <x v="0"/>
    <x v="0"/>
    <s v="GNR_ENG_NGAS_BP_E-41"/>
    <x v="1"/>
    <x v="2"/>
    <n v="3.3555555555555601"/>
    <n v="816.51851851851904"/>
    <n v="2939.4666666666699"/>
  </r>
  <r>
    <x v="0"/>
    <x v="0"/>
    <x v="0"/>
    <x v="0"/>
    <x v="0"/>
    <x v="3"/>
    <x v="4"/>
    <x v="2"/>
    <x v="3"/>
    <s v="GNR_BO_STRW_E-102"/>
    <x v="0"/>
    <x v="5"/>
    <n v="10.73"/>
    <n v="2610.9666666666699"/>
    <n v="9399.48"/>
  </r>
  <r>
    <x v="0"/>
    <x v="0"/>
    <x v="0"/>
    <x v="0"/>
    <x v="0"/>
    <x v="3"/>
    <x v="4"/>
    <x v="2"/>
    <x v="3"/>
    <s v="GNR_BO_STRW_E-102"/>
    <x v="0"/>
    <x v="3"/>
    <n v="10.73"/>
    <n v="2610.9666666666699"/>
    <n v="9399.48"/>
  </r>
  <r>
    <x v="0"/>
    <x v="0"/>
    <x v="0"/>
    <x v="0"/>
    <x v="0"/>
    <x v="3"/>
    <x v="4"/>
    <x v="2"/>
    <x v="3"/>
    <s v="GNR_BO_STRW_E-102"/>
    <x v="0"/>
    <x v="6"/>
    <n v="10.73"/>
    <n v="2610.9666666666699"/>
    <n v="9399.48"/>
  </r>
  <r>
    <x v="0"/>
    <x v="0"/>
    <x v="0"/>
    <x v="0"/>
    <x v="0"/>
    <x v="3"/>
    <x v="4"/>
    <x v="2"/>
    <x v="3"/>
    <s v="GNR_BO_STRW_E-102"/>
    <x v="0"/>
    <x v="4"/>
    <n v="10.73"/>
    <n v="2610.9666666666699"/>
    <n v="9399.48"/>
  </r>
  <r>
    <x v="0"/>
    <x v="0"/>
    <x v="0"/>
    <x v="0"/>
    <x v="0"/>
    <x v="3"/>
    <x v="4"/>
    <x v="2"/>
    <x v="3"/>
    <s v="GNR_BO_STRW_E-102"/>
    <x v="0"/>
    <x v="7"/>
    <n v="10.73"/>
    <n v="2610.9666666666699"/>
    <n v="9399.48"/>
  </r>
  <r>
    <x v="0"/>
    <x v="0"/>
    <x v="0"/>
    <x v="0"/>
    <x v="0"/>
    <x v="3"/>
    <x v="4"/>
    <x v="2"/>
    <x v="3"/>
    <s v="GNR_BO_STRW_E-102"/>
    <x v="0"/>
    <x v="8"/>
    <n v="10.73"/>
    <n v="2610.9666666666699"/>
    <n v="9399.48"/>
  </r>
  <r>
    <x v="0"/>
    <x v="0"/>
    <x v="0"/>
    <x v="0"/>
    <x v="0"/>
    <x v="3"/>
    <x v="4"/>
    <x v="2"/>
    <x v="3"/>
    <s v="GNR_BO_STRW_E-102"/>
    <x v="0"/>
    <x v="0"/>
    <n v="10.73"/>
    <n v="2610.9666666666699"/>
    <n v="9399.48"/>
  </r>
  <r>
    <x v="0"/>
    <x v="0"/>
    <x v="0"/>
    <x v="0"/>
    <x v="0"/>
    <x v="3"/>
    <x v="4"/>
    <x v="2"/>
    <x v="3"/>
    <s v="GNR_BO_STRW_E-102"/>
    <x v="0"/>
    <x v="1"/>
    <n v="10.73"/>
    <n v="2610.9666666666699"/>
    <n v="9399.48"/>
  </r>
  <r>
    <x v="0"/>
    <x v="0"/>
    <x v="0"/>
    <x v="0"/>
    <x v="0"/>
    <x v="3"/>
    <x v="4"/>
    <x v="2"/>
    <x v="3"/>
    <s v="GNR_BO_STRW_E-102"/>
    <x v="0"/>
    <x v="2"/>
    <n v="10.73"/>
    <n v="2610.9666666666699"/>
    <n v="9399.48"/>
  </r>
  <r>
    <x v="0"/>
    <x v="0"/>
    <x v="0"/>
    <x v="0"/>
    <x v="0"/>
    <x v="3"/>
    <x v="4"/>
    <x v="2"/>
    <x v="3"/>
    <s v="GNR_BO_STRW_E-102"/>
    <x v="0"/>
    <x v="9"/>
    <n v="10.73"/>
    <n v="2610.9666666666699"/>
    <n v="9399.48"/>
  </r>
  <r>
    <x v="0"/>
    <x v="0"/>
    <x v="0"/>
    <x v="0"/>
    <x v="0"/>
    <x v="3"/>
    <x v="4"/>
    <x v="2"/>
    <x v="3"/>
    <s v="GNR_BO_STRW_E-102"/>
    <x v="0"/>
    <x v="10"/>
    <n v="10.73"/>
    <n v="2610.9666666666699"/>
    <n v="9399.48"/>
  </r>
  <r>
    <x v="0"/>
    <x v="0"/>
    <x v="0"/>
    <x v="0"/>
    <x v="0"/>
    <x v="3"/>
    <x v="4"/>
    <x v="2"/>
    <x v="3"/>
    <s v="GNR_BO_STRW_E-102"/>
    <x v="0"/>
    <x v="11"/>
    <n v="10.73"/>
    <n v="2610.9666666666699"/>
    <n v="9399.48"/>
  </r>
  <r>
    <x v="0"/>
    <x v="0"/>
    <x v="0"/>
    <x v="0"/>
    <x v="0"/>
    <x v="3"/>
    <x v="4"/>
    <x v="2"/>
    <x v="3"/>
    <s v="GNR_BO_STRW_E-102"/>
    <x v="2"/>
    <x v="5"/>
    <n v="10.73"/>
    <n v="2610.9666666666699"/>
    <n v="9399.48"/>
  </r>
  <r>
    <x v="0"/>
    <x v="0"/>
    <x v="0"/>
    <x v="0"/>
    <x v="0"/>
    <x v="3"/>
    <x v="4"/>
    <x v="2"/>
    <x v="3"/>
    <s v="GNR_BO_STRW_E-102"/>
    <x v="2"/>
    <x v="3"/>
    <n v="10.73"/>
    <n v="2610.9666666666699"/>
    <n v="9399.48"/>
  </r>
  <r>
    <x v="0"/>
    <x v="0"/>
    <x v="0"/>
    <x v="0"/>
    <x v="0"/>
    <x v="3"/>
    <x v="4"/>
    <x v="2"/>
    <x v="3"/>
    <s v="GNR_BO_STRW_E-102"/>
    <x v="2"/>
    <x v="6"/>
    <n v="10.73"/>
    <n v="2610.9666666666699"/>
    <n v="9399.48"/>
  </r>
  <r>
    <x v="0"/>
    <x v="0"/>
    <x v="0"/>
    <x v="0"/>
    <x v="0"/>
    <x v="3"/>
    <x v="4"/>
    <x v="2"/>
    <x v="3"/>
    <s v="GNR_BO_STRW_E-102"/>
    <x v="2"/>
    <x v="4"/>
    <n v="10.73"/>
    <n v="2610.9666666666699"/>
    <n v="9399.48"/>
  </r>
  <r>
    <x v="0"/>
    <x v="0"/>
    <x v="0"/>
    <x v="0"/>
    <x v="0"/>
    <x v="3"/>
    <x v="4"/>
    <x v="2"/>
    <x v="3"/>
    <s v="GNR_BO_STRW_E-102"/>
    <x v="2"/>
    <x v="7"/>
    <n v="10.73"/>
    <n v="2610.9666666666699"/>
    <n v="9399.48"/>
  </r>
  <r>
    <x v="0"/>
    <x v="0"/>
    <x v="0"/>
    <x v="0"/>
    <x v="0"/>
    <x v="3"/>
    <x v="4"/>
    <x v="2"/>
    <x v="3"/>
    <s v="GNR_BO_STRW_E-102"/>
    <x v="2"/>
    <x v="8"/>
    <n v="10.73"/>
    <n v="2610.9666666666699"/>
    <n v="9399.48"/>
  </r>
  <r>
    <x v="0"/>
    <x v="0"/>
    <x v="0"/>
    <x v="0"/>
    <x v="0"/>
    <x v="3"/>
    <x v="4"/>
    <x v="2"/>
    <x v="3"/>
    <s v="GNR_BO_STRW_E-102"/>
    <x v="2"/>
    <x v="0"/>
    <n v="10.73"/>
    <n v="2610.9666666666699"/>
    <n v="9399.48"/>
  </r>
  <r>
    <x v="0"/>
    <x v="0"/>
    <x v="0"/>
    <x v="0"/>
    <x v="0"/>
    <x v="3"/>
    <x v="4"/>
    <x v="2"/>
    <x v="3"/>
    <s v="GNR_BO_STRW_E-102"/>
    <x v="2"/>
    <x v="1"/>
    <n v="10.73"/>
    <n v="2610.9666666666699"/>
    <n v="9399.48"/>
  </r>
  <r>
    <x v="0"/>
    <x v="0"/>
    <x v="0"/>
    <x v="0"/>
    <x v="0"/>
    <x v="3"/>
    <x v="4"/>
    <x v="2"/>
    <x v="3"/>
    <s v="GNR_BO_STRW_E-102"/>
    <x v="2"/>
    <x v="2"/>
    <n v="10.73"/>
    <n v="2610.9666666666699"/>
    <n v="9399.48"/>
  </r>
  <r>
    <x v="0"/>
    <x v="0"/>
    <x v="0"/>
    <x v="0"/>
    <x v="0"/>
    <x v="3"/>
    <x v="4"/>
    <x v="2"/>
    <x v="3"/>
    <s v="GNR_BO_STRW_E-102"/>
    <x v="2"/>
    <x v="9"/>
    <n v="10.73"/>
    <n v="2610.9666666666699"/>
    <n v="9399.48"/>
  </r>
  <r>
    <x v="0"/>
    <x v="0"/>
    <x v="0"/>
    <x v="0"/>
    <x v="0"/>
    <x v="3"/>
    <x v="4"/>
    <x v="2"/>
    <x v="3"/>
    <s v="GNR_BO_STRW_E-102"/>
    <x v="2"/>
    <x v="10"/>
    <n v="10.73"/>
    <n v="2610.9666666666699"/>
    <n v="9399.48"/>
  </r>
  <r>
    <x v="0"/>
    <x v="0"/>
    <x v="0"/>
    <x v="0"/>
    <x v="0"/>
    <x v="3"/>
    <x v="4"/>
    <x v="2"/>
    <x v="3"/>
    <s v="GNR_BO_STRW_E-102"/>
    <x v="2"/>
    <x v="11"/>
    <n v="10.73"/>
    <n v="2610.9666666666699"/>
    <n v="9399.48"/>
  </r>
  <r>
    <x v="0"/>
    <x v="0"/>
    <x v="0"/>
    <x v="0"/>
    <x v="0"/>
    <x v="3"/>
    <x v="4"/>
    <x v="2"/>
    <x v="3"/>
    <s v="GNR_BO_STRW_E-102"/>
    <x v="1"/>
    <x v="5"/>
    <n v="10.73"/>
    <n v="2610.9666666666699"/>
    <n v="9399.48"/>
  </r>
  <r>
    <x v="0"/>
    <x v="0"/>
    <x v="0"/>
    <x v="0"/>
    <x v="0"/>
    <x v="3"/>
    <x v="4"/>
    <x v="2"/>
    <x v="3"/>
    <s v="GNR_BO_STRW_E-102"/>
    <x v="1"/>
    <x v="3"/>
    <n v="10.73"/>
    <n v="2610.9666666666699"/>
    <n v="9399.48"/>
  </r>
  <r>
    <x v="0"/>
    <x v="0"/>
    <x v="0"/>
    <x v="0"/>
    <x v="0"/>
    <x v="3"/>
    <x v="4"/>
    <x v="2"/>
    <x v="3"/>
    <s v="GNR_BO_STRW_E-102"/>
    <x v="1"/>
    <x v="6"/>
    <n v="10.73"/>
    <n v="2610.9666666666699"/>
    <n v="9399.48"/>
  </r>
  <r>
    <x v="0"/>
    <x v="0"/>
    <x v="0"/>
    <x v="0"/>
    <x v="0"/>
    <x v="3"/>
    <x v="4"/>
    <x v="2"/>
    <x v="3"/>
    <s v="GNR_BO_STRW_E-102"/>
    <x v="1"/>
    <x v="4"/>
    <n v="10.73"/>
    <n v="2610.9666666666699"/>
    <n v="9399.48"/>
  </r>
  <r>
    <x v="0"/>
    <x v="0"/>
    <x v="0"/>
    <x v="0"/>
    <x v="0"/>
    <x v="3"/>
    <x v="4"/>
    <x v="2"/>
    <x v="3"/>
    <s v="GNR_BO_STRW_E-102"/>
    <x v="1"/>
    <x v="7"/>
    <n v="10.73"/>
    <n v="2610.9666666666699"/>
    <n v="9399.48"/>
  </r>
  <r>
    <x v="0"/>
    <x v="0"/>
    <x v="0"/>
    <x v="0"/>
    <x v="0"/>
    <x v="3"/>
    <x v="4"/>
    <x v="2"/>
    <x v="3"/>
    <s v="GNR_BO_STRW_E-102"/>
    <x v="1"/>
    <x v="8"/>
    <n v="10.73"/>
    <n v="2610.9666666666699"/>
    <n v="9399.48"/>
  </r>
  <r>
    <x v="0"/>
    <x v="0"/>
    <x v="0"/>
    <x v="0"/>
    <x v="0"/>
    <x v="3"/>
    <x v="4"/>
    <x v="2"/>
    <x v="3"/>
    <s v="GNR_BO_STRW_E-102"/>
    <x v="1"/>
    <x v="0"/>
    <n v="10.73"/>
    <n v="2610.9666666666699"/>
    <n v="9399.48"/>
  </r>
  <r>
    <x v="0"/>
    <x v="0"/>
    <x v="0"/>
    <x v="0"/>
    <x v="0"/>
    <x v="3"/>
    <x v="4"/>
    <x v="2"/>
    <x v="3"/>
    <s v="GNR_BO_STRW_E-102"/>
    <x v="1"/>
    <x v="1"/>
    <n v="10.73"/>
    <n v="2610.9666666666699"/>
    <n v="9399.48"/>
  </r>
  <r>
    <x v="0"/>
    <x v="0"/>
    <x v="0"/>
    <x v="0"/>
    <x v="0"/>
    <x v="3"/>
    <x v="4"/>
    <x v="2"/>
    <x v="3"/>
    <s v="GNR_BO_STRW_E-102"/>
    <x v="1"/>
    <x v="2"/>
    <n v="10.73"/>
    <n v="2610.9666666666699"/>
    <n v="9399.48"/>
  </r>
  <r>
    <x v="0"/>
    <x v="0"/>
    <x v="0"/>
    <x v="0"/>
    <x v="0"/>
    <x v="3"/>
    <x v="4"/>
    <x v="2"/>
    <x v="3"/>
    <s v="GNR_BO_STRW_E-102"/>
    <x v="1"/>
    <x v="9"/>
    <n v="10.73"/>
    <n v="2610.9666666666699"/>
    <n v="9399.48"/>
  </r>
  <r>
    <x v="0"/>
    <x v="0"/>
    <x v="0"/>
    <x v="0"/>
    <x v="0"/>
    <x v="3"/>
    <x v="4"/>
    <x v="2"/>
    <x v="3"/>
    <s v="GNR_BO_STRW_E-102"/>
    <x v="1"/>
    <x v="10"/>
    <n v="10.73"/>
    <n v="2610.9666666666699"/>
    <n v="9399.48"/>
  </r>
  <r>
    <x v="0"/>
    <x v="0"/>
    <x v="0"/>
    <x v="0"/>
    <x v="0"/>
    <x v="3"/>
    <x v="4"/>
    <x v="2"/>
    <x v="3"/>
    <s v="GNR_BO_STRW_E-102"/>
    <x v="1"/>
    <x v="11"/>
    <n v="10.73"/>
    <n v="2610.9666666666699"/>
    <n v="9399.48"/>
  </r>
  <r>
    <x v="0"/>
    <x v="0"/>
    <x v="0"/>
    <x v="0"/>
    <x v="0"/>
    <x v="3"/>
    <x v="5"/>
    <x v="3"/>
    <x v="4"/>
    <s v="GNR_SH_SUN"/>
    <x v="0"/>
    <x v="7"/>
    <n v="5.8617224568121502"/>
    <n v="1426.3524644909601"/>
    <n v="5134.8688721674398"/>
  </r>
  <r>
    <x v="0"/>
    <x v="0"/>
    <x v="0"/>
    <x v="0"/>
    <x v="0"/>
    <x v="3"/>
    <x v="5"/>
    <x v="3"/>
    <x v="4"/>
    <s v="GNR_SH_SUN"/>
    <x v="0"/>
    <x v="0"/>
    <n v="1.427683707833"/>
    <n v="347.40303557269698"/>
    <n v="1250.6509280617099"/>
  </r>
  <r>
    <x v="0"/>
    <x v="0"/>
    <x v="0"/>
    <x v="0"/>
    <x v="0"/>
    <x v="3"/>
    <x v="5"/>
    <x v="3"/>
    <x v="4"/>
    <s v="GNR_SH_SUN"/>
    <x v="0"/>
    <x v="9"/>
    <n v="3.1177135218068202"/>
    <n v="758.64362363965904"/>
    <n v="2731.1170451027701"/>
  </r>
  <r>
    <x v="0"/>
    <x v="0"/>
    <x v="0"/>
    <x v="0"/>
    <x v="0"/>
    <x v="3"/>
    <x v="5"/>
    <x v="3"/>
    <x v="4"/>
    <s v="GNR_SH_SUN"/>
    <x v="0"/>
    <x v="11"/>
    <n v="0.248744131920838"/>
    <n v="60.527738767404003"/>
    <n v="217.899859562654"/>
  </r>
  <r>
    <x v="0"/>
    <x v="0"/>
    <x v="0"/>
    <x v="0"/>
    <x v="0"/>
    <x v="3"/>
    <x v="5"/>
    <x v="3"/>
    <x v="4"/>
    <s v="GNR_SH_SUN"/>
    <x v="2"/>
    <x v="6"/>
    <n v="1.27907095675531"/>
    <n v="311.24059947712402"/>
    <n v="1120.4661581176499"/>
  </r>
  <r>
    <x v="0"/>
    <x v="0"/>
    <x v="0"/>
    <x v="0"/>
    <x v="0"/>
    <x v="3"/>
    <x v="5"/>
    <x v="3"/>
    <x v="4"/>
    <s v="GNR_SH_SUN"/>
    <x v="2"/>
    <x v="9"/>
    <n v="0.47947106820629498"/>
    <n v="116.67129326353199"/>
    <n v="420.01665574871498"/>
  </r>
  <r>
    <x v="0"/>
    <x v="0"/>
    <x v="0"/>
    <x v="0"/>
    <x v="0"/>
    <x v="3"/>
    <x v="5"/>
    <x v="3"/>
    <x v="4"/>
    <s v="GNR_SH_SUN"/>
    <x v="1"/>
    <x v="7"/>
    <n v="3.72535962003544"/>
    <n v="906.50417420862402"/>
    <n v="3263.4150271510398"/>
  </r>
  <r>
    <x v="0"/>
    <x v="0"/>
    <x v="0"/>
    <x v="0"/>
    <x v="0"/>
    <x v="3"/>
    <x v="5"/>
    <x v="3"/>
    <x v="4"/>
    <s v="GNR_SH_SUN"/>
    <x v="1"/>
    <x v="0"/>
    <n v="0.83501836221423098"/>
    <n v="203.18780147212999"/>
    <n v="731.47608529966703"/>
  </r>
  <r>
    <x v="0"/>
    <x v="0"/>
    <x v="0"/>
    <x v="0"/>
    <x v="0"/>
    <x v="3"/>
    <x v="5"/>
    <x v="3"/>
    <x v="4"/>
    <s v="GNR_SH_SUN"/>
    <x v="1"/>
    <x v="9"/>
    <n v="5.6863968507286797"/>
    <n v="1383.6899003439801"/>
    <n v="4981.2836412383203"/>
  </r>
  <r>
    <x v="0"/>
    <x v="0"/>
    <x v="0"/>
    <x v="0"/>
    <x v="0"/>
    <x v="3"/>
    <x v="5"/>
    <x v="3"/>
    <x v="4"/>
    <s v="GNR_SH_SUN"/>
    <x v="1"/>
    <x v="11"/>
    <n v="1.6067645291666901"/>
    <n v="390.97936876389502"/>
    <n v="1407.5257275500201"/>
  </r>
  <r>
    <x v="0"/>
    <x v="0"/>
    <x v="0"/>
    <x v="0"/>
    <x v="0"/>
    <x v="3"/>
    <x v="6"/>
    <x v="2"/>
    <x v="3"/>
    <s v="GNR_EH_HEAT"/>
    <x v="0"/>
    <x v="5"/>
    <n v="38"/>
    <n v="9246.6666666666697"/>
    <n v="33288"/>
  </r>
  <r>
    <x v="0"/>
    <x v="0"/>
    <x v="0"/>
    <x v="0"/>
    <x v="0"/>
    <x v="3"/>
    <x v="6"/>
    <x v="2"/>
    <x v="3"/>
    <s v="GNR_EH_HEAT"/>
    <x v="0"/>
    <x v="3"/>
    <n v="38"/>
    <n v="9246.6666666666697"/>
    <n v="33288"/>
  </r>
  <r>
    <x v="0"/>
    <x v="0"/>
    <x v="0"/>
    <x v="0"/>
    <x v="0"/>
    <x v="3"/>
    <x v="6"/>
    <x v="2"/>
    <x v="3"/>
    <s v="GNR_EH_HEAT"/>
    <x v="0"/>
    <x v="6"/>
    <n v="38"/>
    <n v="9246.6666666666697"/>
    <n v="33288"/>
  </r>
  <r>
    <x v="0"/>
    <x v="0"/>
    <x v="0"/>
    <x v="0"/>
    <x v="0"/>
    <x v="3"/>
    <x v="6"/>
    <x v="2"/>
    <x v="3"/>
    <s v="GNR_EH_HEAT"/>
    <x v="0"/>
    <x v="4"/>
    <n v="38"/>
    <n v="9246.6666666666697"/>
    <n v="33288"/>
  </r>
  <r>
    <x v="0"/>
    <x v="0"/>
    <x v="0"/>
    <x v="0"/>
    <x v="0"/>
    <x v="3"/>
    <x v="6"/>
    <x v="2"/>
    <x v="3"/>
    <s v="GNR_EH_HEAT"/>
    <x v="0"/>
    <x v="7"/>
    <n v="38"/>
    <n v="9246.6666666666697"/>
    <n v="33288"/>
  </r>
  <r>
    <x v="0"/>
    <x v="0"/>
    <x v="0"/>
    <x v="0"/>
    <x v="0"/>
    <x v="3"/>
    <x v="6"/>
    <x v="2"/>
    <x v="3"/>
    <s v="GNR_EH_HEAT"/>
    <x v="0"/>
    <x v="8"/>
    <n v="38"/>
    <n v="9246.6666666666697"/>
    <n v="33288"/>
  </r>
  <r>
    <x v="0"/>
    <x v="0"/>
    <x v="0"/>
    <x v="0"/>
    <x v="0"/>
    <x v="3"/>
    <x v="6"/>
    <x v="2"/>
    <x v="3"/>
    <s v="GNR_EH_HEAT"/>
    <x v="0"/>
    <x v="0"/>
    <n v="38"/>
    <n v="9246.6666666666697"/>
    <n v="33288"/>
  </r>
  <r>
    <x v="0"/>
    <x v="0"/>
    <x v="0"/>
    <x v="0"/>
    <x v="0"/>
    <x v="3"/>
    <x v="6"/>
    <x v="2"/>
    <x v="3"/>
    <s v="GNR_EH_HEAT"/>
    <x v="0"/>
    <x v="1"/>
    <n v="38"/>
    <n v="9246.6666666666697"/>
    <n v="33288"/>
  </r>
  <r>
    <x v="0"/>
    <x v="0"/>
    <x v="0"/>
    <x v="0"/>
    <x v="0"/>
    <x v="3"/>
    <x v="6"/>
    <x v="2"/>
    <x v="3"/>
    <s v="GNR_EH_HEAT"/>
    <x v="0"/>
    <x v="2"/>
    <n v="38"/>
    <n v="9246.6666666666697"/>
    <n v="33288"/>
  </r>
  <r>
    <x v="0"/>
    <x v="0"/>
    <x v="0"/>
    <x v="0"/>
    <x v="0"/>
    <x v="3"/>
    <x v="6"/>
    <x v="2"/>
    <x v="3"/>
    <s v="GNR_EH_HEAT"/>
    <x v="0"/>
    <x v="9"/>
    <n v="38"/>
    <n v="9246.6666666666697"/>
    <n v="33288"/>
  </r>
  <r>
    <x v="0"/>
    <x v="0"/>
    <x v="0"/>
    <x v="0"/>
    <x v="0"/>
    <x v="3"/>
    <x v="6"/>
    <x v="2"/>
    <x v="3"/>
    <s v="GNR_EH_HEAT"/>
    <x v="0"/>
    <x v="10"/>
    <n v="38"/>
    <n v="9246.6666666666697"/>
    <n v="33288"/>
  </r>
  <r>
    <x v="0"/>
    <x v="0"/>
    <x v="0"/>
    <x v="0"/>
    <x v="0"/>
    <x v="3"/>
    <x v="6"/>
    <x v="2"/>
    <x v="3"/>
    <s v="GNR_EH_HEAT"/>
    <x v="0"/>
    <x v="11"/>
    <n v="38"/>
    <n v="9246.6666666666697"/>
    <n v="33288"/>
  </r>
  <r>
    <x v="0"/>
    <x v="0"/>
    <x v="0"/>
    <x v="0"/>
    <x v="0"/>
    <x v="3"/>
    <x v="6"/>
    <x v="2"/>
    <x v="3"/>
    <s v="GNR_EH_HEAT"/>
    <x v="2"/>
    <x v="5"/>
    <n v="38"/>
    <n v="9246.6666666666697"/>
    <n v="33288"/>
  </r>
  <r>
    <x v="0"/>
    <x v="0"/>
    <x v="0"/>
    <x v="0"/>
    <x v="0"/>
    <x v="3"/>
    <x v="6"/>
    <x v="2"/>
    <x v="3"/>
    <s v="GNR_EH_HEAT"/>
    <x v="2"/>
    <x v="3"/>
    <n v="38"/>
    <n v="9246.6666666666697"/>
    <n v="33288"/>
  </r>
  <r>
    <x v="0"/>
    <x v="0"/>
    <x v="0"/>
    <x v="0"/>
    <x v="0"/>
    <x v="3"/>
    <x v="6"/>
    <x v="2"/>
    <x v="3"/>
    <s v="GNR_EH_HEAT"/>
    <x v="2"/>
    <x v="6"/>
    <n v="38"/>
    <n v="9246.6666666666697"/>
    <n v="33288"/>
  </r>
  <r>
    <x v="0"/>
    <x v="0"/>
    <x v="0"/>
    <x v="0"/>
    <x v="0"/>
    <x v="3"/>
    <x v="6"/>
    <x v="2"/>
    <x v="3"/>
    <s v="GNR_EH_HEAT"/>
    <x v="2"/>
    <x v="4"/>
    <n v="38"/>
    <n v="9246.6666666666697"/>
    <n v="33288"/>
  </r>
  <r>
    <x v="0"/>
    <x v="0"/>
    <x v="0"/>
    <x v="0"/>
    <x v="0"/>
    <x v="3"/>
    <x v="6"/>
    <x v="2"/>
    <x v="3"/>
    <s v="GNR_EH_HEAT"/>
    <x v="2"/>
    <x v="7"/>
    <n v="38"/>
    <n v="9246.6666666666697"/>
    <n v="33288"/>
  </r>
  <r>
    <x v="0"/>
    <x v="0"/>
    <x v="0"/>
    <x v="0"/>
    <x v="0"/>
    <x v="3"/>
    <x v="6"/>
    <x v="2"/>
    <x v="3"/>
    <s v="GNR_EH_HEAT"/>
    <x v="2"/>
    <x v="8"/>
    <n v="38"/>
    <n v="9246.6666666666697"/>
    <n v="33288"/>
  </r>
  <r>
    <x v="0"/>
    <x v="0"/>
    <x v="0"/>
    <x v="0"/>
    <x v="0"/>
    <x v="3"/>
    <x v="6"/>
    <x v="2"/>
    <x v="3"/>
    <s v="GNR_EH_HEAT"/>
    <x v="2"/>
    <x v="0"/>
    <n v="38"/>
    <n v="9246.6666666666697"/>
    <n v="33288"/>
  </r>
  <r>
    <x v="0"/>
    <x v="0"/>
    <x v="0"/>
    <x v="0"/>
    <x v="0"/>
    <x v="3"/>
    <x v="6"/>
    <x v="2"/>
    <x v="3"/>
    <s v="GNR_EH_HEAT"/>
    <x v="2"/>
    <x v="1"/>
    <n v="38"/>
    <n v="9246.6666666666697"/>
    <n v="33288"/>
  </r>
  <r>
    <x v="0"/>
    <x v="0"/>
    <x v="0"/>
    <x v="0"/>
    <x v="0"/>
    <x v="3"/>
    <x v="6"/>
    <x v="2"/>
    <x v="3"/>
    <s v="GNR_EH_HEAT"/>
    <x v="2"/>
    <x v="2"/>
    <n v="38"/>
    <n v="9246.6666666666697"/>
    <n v="33288"/>
  </r>
  <r>
    <x v="0"/>
    <x v="0"/>
    <x v="0"/>
    <x v="0"/>
    <x v="0"/>
    <x v="3"/>
    <x v="6"/>
    <x v="2"/>
    <x v="3"/>
    <s v="GNR_EH_HEAT"/>
    <x v="2"/>
    <x v="9"/>
    <n v="38"/>
    <n v="9246.6666666666697"/>
    <n v="33288"/>
  </r>
  <r>
    <x v="0"/>
    <x v="0"/>
    <x v="0"/>
    <x v="0"/>
    <x v="0"/>
    <x v="3"/>
    <x v="6"/>
    <x v="2"/>
    <x v="3"/>
    <s v="GNR_EH_HEAT"/>
    <x v="2"/>
    <x v="10"/>
    <n v="38"/>
    <n v="9246.6666666666697"/>
    <n v="33288"/>
  </r>
  <r>
    <x v="0"/>
    <x v="0"/>
    <x v="0"/>
    <x v="0"/>
    <x v="0"/>
    <x v="3"/>
    <x v="6"/>
    <x v="2"/>
    <x v="3"/>
    <s v="GNR_EH_HEAT"/>
    <x v="2"/>
    <x v="11"/>
    <n v="38"/>
    <n v="9246.6666666666697"/>
    <n v="33288"/>
  </r>
  <r>
    <x v="0"/>
    <x v="0"/>
    <x v="0"/>
    <x v="0"/>
    <x v="0"/>
    <x v="3"/>
    <x v="6"/>
    <x v="2"/>
    <x v="3"/>
    <s v="GNR_EH_HEAT"/>
    <x v="1"/>
    <x v="5"/>
    <n v="38"/>
    <n v="9246.6666666666697"/>
    <n v="33288"/>
  </r>
  <r>
    <x v="0"/>
    <x v="0"/>
    <x v="0"/>
    <x v="0"/>
    <x v="0"/>
    <x v="3"/>
    <x v="6"/>
    <x v="2"/>
    <x v="3"/>
    <s v="GNR_EH_HEAT"/>
    <x v="1"/>
    <x v="3"/>
    <n v="38"/>
    <n v="9246.6666666666697"/>
    <n v="33288"/>
  </r>
  <r>
    <x v="0"/>
    <x v="0"/>
    <x v="0"/>
    <x v="0"/>
    <x v="0"/>
    <x v="3"/>
    <x v="6"/>
    <x v="2"/>
    <x v="3"/>
    <s v="GNR_EH_HEAT"/>
    <x v="1"/>
    <x v="6"/>
    <n v="38"/>
    <n v="9246.6666666666697"/>
    <n v="33288"/>
  </r>
  <r>
    <x v="0"/>
    <x v="0"/>
    <x v="0"/>
    <x v="0"/>
    <x v="0"/>
    <x v="3"/>
    <x v="6"/>
    <x v="2"/>
    <x v="3"/>
    <s v="GNR_EH_HEAT"/>
    <x v="1"/>
    <x v="4"/>
    <n v="38"/>
    <n v="9246.6666666666697"/>
    <n v="33288"/>
  </r>
  <r>
    <x v="0"/>
    <x v="0"/>
    <x v="0"/>
    <x v="0"/>
    <x v="0"/>
    <x v="3"/>
    <x v="6"/>
    <x v="2"/>
    <x v="3"/>
    <s v="GNR_EH_HEAT"/>
    <x v="1"/>
    <x v="7"/>
    <n v="38"/>
    <n v="9246.6666666666697"/>
    <n v="33288"/>
  </r>
  <r>
    <x v="0"/>
    <x v="0"/>
    <x v="0"/>
    <x v="0"/>
    <x v="0"/>
    <x v="3"/>
    <x v="6"/>
    <x v="2"/>
    <x v="3"/>
    <s v="GNR_EH_HEAT"/>
    <x v="1"/>
    <x v="8"/>
    <n v="38"/>
    <n v="9246.6666666666697"/>
    <n v="33288"/>
  </r>
  <r>
    <x v="0"/>
    <x v="0"/>
    <x v="0"/>
    <x v="0"/>
    <x v="0"/>
    <x v="3"/>
    <x v="6"/>
    <x v="2"/>
    <x v="3"/>
    <s v="GNR_EH_HEAT"/>
    <x v="1"/>
    <x v="0"/>
    <n v="38"/>
    <n v="9246.6666666666697"/>
    <n v="33288"/>
  </r>
  <r>
    <x v="0"/>
    <x v="0"/>
    <x v="0"/>
    <x v="0"/>
    <x v="0"/>
    <x v="3"/>
    <x v="6"/>
    <x v="2"/>
    <x v="3"/>
    <s v="GNR_EH_HEAT"/>
    <x v="1"/>
    <x v="1"/>
    <n v="38"/>
    <n v="9246.6666666666697"/>
    <n v="33288"/>
  </r>
  <r>
    <x v="0"/>
    <x v="0"/>
    <x v="0"/>
    <x v="0"/>
    <x v="0"/>
    <x v="3"/>
    <x v="6"/>
    <x v="2"/>
    <x v="3"/>
    <s v="GNR_EH_HEAT"/>
    <x v="1"/>
    <x v="2"/>
    <n v="38"/>
    <n v="9246.6666666666697"/>
    <n v="33288"/>
  </r>
  <r>
    <x v="0"/>
    <x v="0"/>
    <x v="0"/>
    <x v="0"/>
    <x v="0"/>
    <x v="3"/>
    <x v="6"/>
    <x v="2"/>
    <x v="3"/>
    <s v="GNR_EH_HEAT"/>
    <x v="1"/>
    <x v="9"/>
    <n v="38"/>
    <n v="9246.6666666666697"/>
    <n v="33288"/>
  </r>
  <r>
    <x v="0"/>
    <x v="0"/>
    <x v="0"/>
    <x v="0"/>
    <x v="0"/>
    <x v="3"/>
    <x v="6"/>
    <x v="2"/>
    <x v="3"/>
    <s v="GNR_EH_HEAT"/>
    <x v="1"/>
    <x v="10"/>
    <n v="38"/>
    <n v="9246.6666666666697"/>
    <n v="33288"/>
  </r>
  <r>
    <x v="0"/>
    <x v="0"/>
    <x v="0"/>
    <x v="0"/>
    <x v="0"/>
    <x v="3"/>
    <x v="6"/>
    <x v="2"/>
    <x v="3"/>
    <s v="GNR_EH_HEAT"/>
    <x v="1"/>
    <x v="11"/>
    <n v="38"/>
    <n v="9246.6666666666697"/>
    <n v="33288"/>
  </r>
  <r>
    <x v="0"/>
    <x v="0"/>
    <x v="0"/>
    <x v="0"/>
    <x v="0"/>
    <x v="3"/>
    <x v="7"/>
    <x v="2"/>
    <x v="3"/>
    <s v="GNR_BO_WOODCHI_E-110"/>
    <x v="0"/>
    <x v="5"/>
    <n v="17"/>
    <n v="4136.6666666666697"/>
    <n v="14892"/>
  </r>
  <r>
    <x v="0"/>
    <x v="0"/>
    <x v="0"/>
    <x v="0"/>
    <x v="0"/>
    <x v="3"/>
    <x v="7"/>
    <x v="2"/>
    <x v="3"/>
    <s v="GNR_BO_WOODCHI_E-110"/>
    <x v="0"/>
    <x v="3"/>
    <n v="17"/>
    <n v="4136.6666666666697"/>
    <n v="14892"/>
  </r>
  <r>
    <x v="0"/>
    <x v="0"/>
    <x v="0"/>
    <x v="0"/>
    <x v="0"/>
    <x v="3"/>
    <x v="7"/>
    <x v="2"/>
    <x v="3"/>
    <s v="GNR_BO_WOODCHI_E-110"/>
    <x v="0"/>
    <x v="6"/>
    <n v="17"/>
    <n v="4136.6666666666697"/>
    <n v="14892"/>
  </r>
  <r>
    <x v="0"/>
    <x v="0"/>
    <x v="0"/>
    <x v="0"/>
    <x v="0"/>
    <x v="3"/>
    <x v="7"/>
    <x v="2"/>
    <x v="3"/>
    <s v="GNR_BO_WOODCHI_E-110"/>
    <x v="0"/>
    <x v="4"/>
    <n v="17"/>
    <n v="4136.6666666666697"/>
    <n v="14892"/>
  </r>
  <r>
    <x v="0"/>
    <x v="0"/>
    <x v="0"/>
    <x v="0"/>
    <x v="0"/>
    <x v="3"/>
    <x v="7"/>
    <x v="2"/>
    <x v="3"/>
    <s v="GNR_BO_WOODCHI_E-110"/>
    <x v="0"/>
    <x v="7"/>
    <n v="17"/>
    <n v="4136.6666666666697"/>
    <n v="14892"/>
  </r>
  <r>
    <x v="0"/>
    <x v="0"/>
    <x v="0"/>
    <x v="0"/>
    <x v="0"/>
    <x v="3"/>
    <x v="7"/>
    <x v="2"/>
    <x v="3"/>
    <s v="GNR_BO_WOODCHI_E-110"/>
    <x v="0"/>
    <x v="8"/>
    <n v="17"/>
    <n v="4136.6666666666697"/>
    <n v="14892"/>
  </r>
  <r>
    <x v="0"/>
    <x v="0"/>
    <x v="0"/>
    <x v="0"/>
    <x v="0"/>
    <x v="3"/>
    <x v="7"/>
    <x v="2"/>
    <x v="3"/>
    <s v="GNR_BO_WOODCHI_E-110"/>
    <x v="0"/>
    <x v="0"/>
    <n v="17"/>
    <n v="4136.6666666666697"/>
    <n v="14892"/>
  </r>
  <r>
    <x v="0"/>
    <x v="0"/>
    <x v="0"/>
    <x v="0"/>
    <x v="0"/>
    <x v="3"/>
    <x v="7"/>
    <x v="2"/>
    <x v="3"/>
    <s v="GNR_BO_WOODCHI_E-110"/>
    <x v="0"/>
    <x v="1"/>
    <n v="17"/>
    <n v="4136.6666666666697"/>
    <n v="14892"/>
  </r>
  <r>
    <x v="0"/>
    <x v="0"/>
    <x v="0"/>
    <x v="0"/>
    <x v="0"/>
    <x v="3"/>
    <x v="7"/>
    <x v="2"/>
    <x v="3"/>
    <s v="GNR_BO_WOODCHI_E-110"/>
    <x v="0"/>
    <x v="2"/>
    <n v="17"/>
    <n v="4136.6666666666697"/>
    <n v="14892"/>
  </r>
  <r>
    <x v="0"/>
    <x v="0"/>
    <x v="0"/>
    <x v="0"/>
    <x v="0"/>
    <x v="3"/>
    <x v="7"/>
    <x v="2"/>
    <x v="3"/>
    <s v="GNR_BO_WOODCHI_E-110"/>
    <x v="0"/>
    <x v="9"/>
    <n v="17"/>
    <n v="4136.6666666666697"/>
    <n v="14892"/>
  </r>
  <r>
    <x v="0"/>
    <x v="0"/>
    <x v="0"/>
    <x v="0"/>
    <x v="0"/>
    <x v="3"/>
    <x v="7"/>
    <x v="2"/>
    <x v="3"/>
    <s v="GNR_BO_WOODCHI_E-110"/>
    <x v="0"/>
    <x v="10"/>
    <n v="17"/>
    <n v="4136.6666666666697"/>
    <n v="14892"/>
  </r>
  <r>
    <x v="0"/>
    <x v="0"/>
    <x v="0"/>
    <x v="0"/>
    <x v="0"/>
    <x v="3"/>
    <x v="7"/>
    <x v="2"/>
    <x v="3"/>
    <s v="GNR_BO_WOODCHI_E-110"/>
    <x v="0"/>
    <x v="11"/>
    <n v="17"/>
    <n v="4136.6666666666697"/>
    <n v="14892"/>
  </r>
  <r>
    <x v="0"/>
    <x v="0"/>
    <x v="0"/>
    <x v="0"/>
    <x v="0"/>
    <x v="3"/>
    <x v="7"/>
    <x v="2"/>
    <x v="3"/>
    <s v="GNR_BO_WOODCHI_E-110"/>
    <x v="2"/>
    <x v="5"/>
    <n v="17"/>
    <n v="4136.6666666666697"/>
    <n v="14892"/>
  </r>
  <r>
    <x v="0"/>
    <x v="0"/>
    <x v="0"/>
    <x v="0"/>
    <x v="0"/>
    <x v="3"/>
    <x v="7"/>
    <x v="2"/>
    <x v="3"/>
    <s v="GNR_BO_WOODCHI_E-110"/>
    <x v="2"/>
    <x v="3"/>
    <n v="17"/>
    <n v="4136.6666666666697"/>
    <n v="14892"/>
  </r>
  <r>
    <x v="0"/>
    <x v="0"/>
    <x v="0"/>
    <x v="0"/>
    <x v="0"/>
    <x v="3"/>
    <x v="7"/>
    <x v="2"/>
    <x v="3"/>
    <s v="GNR_BO_WOODCHI_E-110"/>
    <x v="2"/>
    <x v="6"/>
    <n v="17"/>
    <n v="4136.6666666666697"/>
    <n v="14892"/>
  </r>
  <r>
    <x v="0"/>
    <x v="0"/>
    <x v="0"/>
    <x v="0"/>
    <x v="0"/>
    <x v="3"/>
    <x v="7"/>
    <x v="2"/>
    <x v="3"/>
    <s v="GNR_BO_WOODCHI_E-110"/>
    <x v="2"/>
    <x v="4"/>
    <n v="17"/>
    <n v="4136.6666666666697"/>
    <n v="14892"/>
  </r>
  <r>
    <x v="0"/>
    <x v="0"/>
    <x v="0"/>
    <x v="0"/>
    <x v="0"/>
    <x v="3"/>
    <x v="7"/>
    <x v="2"/>
    <x v="3"/>
    <s v="GNR_BO_WOODCHI_E-110"/>
    <x v="2"/>
    <x v="7"/>
    <n v="17"/>
    <n v="4136.6666666666697"/>
    <n v="14892"/>
  </r>
  <r>
    <x v="0"/>
    <x v="0"/>
    <x v="0"/>
    <x v="0"/>
    <x v="0"/>
    <x v="3"/>
    <x v="7"/>
    <x v="2"/>
    <x v="3"/>
    <s v="GNR_BO_WOODCHI_E-110"/>
    <x v="2"/>
    <x v="8"/>
    <n v="17"/>
    <n v="4136.6666666666697"/>
    <n v="14892"/>
  </r>
  <r>
    <x v="0"/>
    <x v="0"/>
    <x v="0"/>
    <x v="0"/>
    <x v="0"/>
    <x v="3"/>
    <x v="7"/>
    <x v="2"/>
    <x v="3"/>
    <s v="GNR_BO_WOODCHI_E-110"/>
    <x v="2"/>
    <x v="0"/>
    <n v="17"/>
    <n v="4136.6666666666697"/>
    <n v="14892"/>
  </r>
  <r>
    <x v="0"/>
    <x v="0"/>
    <x v="0"/>
    <x v="0"/>
    <x v="0"/>
    <x v="3"/>
    <x v="7"/>
    <x v="2"/>
    <x v="3"/>
    <s v="GNR_BO_WOODCHI_E-110"/>
    <x v="2"/>
    <x v="1"/>
    <n v="17"/>
    <n v="4136.6666666666697"/>
    <n v="14892"/>
  </r>
  <r>
    <x v="0"/>
    <x v="0"/>
    <x v="0"/>
    <x v="0"/>
    <x v="0"/>
    <x v="3"/>
    <x v="7"/>
    <x v="2"/>
    <x v="3"/>
    <s v="GNR_BO_WOODCHI_E-110"/>
    <x v="2"/>
    <x v="2"/>
    <n v="17"/>
    <n v="4136.6666666666697"/>
    <n v="14892"/>
  </r>
  <r>
    <x v="0"/>
    <x v="0"/>
    <x v="0"/>
    <x v="0"/>
    <x v="0"/>
    <x v="3"/>
    <x v="7"/>
    <x v="2"/>
    <x v="3"/>
    <s v="GNR_BO_WOODCHI_E-110"/>
    <x v="2"/>
    <x v="9"/>
    <n v="17"/>
    <n v="4136.6666666666697"/>
    <n v="14892"/>
  </r>
  <r>
    <x v="0"/>
    <x v="0"/>
    <x v="0"/>
    <x v="0"/>
    <x v="0"/>
    <x v="3"/>
    <x v="7"/>
    <x v="2"/>
    <x v="3"/>
    <s v="GNR_BO_WOODCHI_E-110"/>
    <x v="2"/>
    <x v="10"/>
    <n v="17"/>
    <n v="4136.6666666666697"/>
    <n v="14892"/>
  </r>
  <r>
    <x v="0"/>
    <x v="0"/>
    <x v="0"/>
    <x v="0"/>
    <x v="0"/>
    <x v="3"/>
    <x v="7"/>
    <x v="2"/>
    <x v="3"/>
    <s v="GNR_BO_WOODCHI_E-110"/>
    <x v="2"/>
    <x v="11"/>
    <n v="17"/>
    <n v="4136.6666666666697"/>
    <n v="14892"/>
  </r>
  <r>
    <x v="0"/>
    <x v="0"/>
    <x v="0"/>
    <x v="0"/>
    <x v="0"/>
    <x v="3"/>
    <x v="7"/>
    <x v="2"/>
    <x v="3"/>
    <s v="GNR_BO_WOODCHI_E-110"/>
    <x v="1"/>
    <x v="3"/>
    <n v="17"/>
    <n v="4136.6666666666697"/>
    <n v="14892"/>
  </r>
  <r>
    <x v="0"/>
    <x v="0"/>
    <x v="0"/>
    <x v="0"/>
    <x v="0"/>
    <x v="3"/>
    <x v="7"/>
    <x v="2"/>
    <x v="3"/>
    <s v="GNR_BO_WOODCHI_E-110"/>
    <x v="1"/>
    <x v="6"/>
    <n v="17"/>
    <n v="4136.6666666666697"/>
    <n v="14892"/>
  </r>
  <r>
    <x v="0"/>
    <x v="0"/>
    <x v="0"/>
    <x v="0"/>
    <x v="0"/>
    <x v="3"/>
    <x v="7"/>
    <x v="2"/>
    <x v="3"/>
    <s v="GNR_BO_WOODCHI_E-110"/>
    <x v="1"/>
    <x v="4"/>
    <n v="17"/>
    <n v="4136.6666666666697"/>
    <n v="14892"/>
  </r>
  <r>
    <x v="0"/>
    <x v="0"/>
    <x v="0"/>
    <x v="0"/>
    <x v="0"/>
    <x v="3"/>
    <x v="7"/>
    <x v="2"/>
    <x v="3"/>
    <s v="GNR_BO_WOODCHI_E-110"/>
    <x v="1"/>
    <x v="7"/>
    <n v="17"/>
    <n v="4136.6666666666697"/>
    <n v="14892"/>
  </r>
  <r>
    <x v="0"/>
    <x v="0"/>
    <x v="0"/>
    <x v="0"/>
    <x v="0"/>
    <x v="3"/>
    <x v="7"/>
    <x v="2"/>
    <x v="3"/>
    <s v="GNR_BO_WOODCHI_E-110"/>
    <x v="1"/>
    <x v="8"/>
    <n v="17"/>
    <n v="4136.6666666666697"/>
    <n v="14892"/>
  </r>
  <r>
    <x v="0"/>
    <x v="0"/>
    <x v="0"/>
    <x v="0"/>
    <x v="0"/>
    <x v="3"/>
    <x v="7"/>
    <x v="2"/>
    <x v="3"/>
    <s v="GNR_BO_WOODCHI_E-110"/>
    <x v="1"/>
    <x v="0"/>
    <n v="17"/>
    <n v="4136.6666666666697"/>
    <n v="14892"/>
  </r>
  <r>
    <x v="0"/>
    <x v="0"/>
    <x v="0"/>
    <x v="0"/>
    <x v="0"/>
    <x v="3"/>
    <x v="7"/>
    <x v="2"/>
    <x v="3"/>
    <s v="GNR_BO_WOODCHI_E-110"/>
    <x v="1"/>
    <x v="1"/>
    <n v="17"/>
    <n v="4136.6666666666697"/>
    <n v="14892"/>
  </r>
  <r>
    <x v="0"/>
    <x v="0"/>
    <x v="0"/>
    <x v="0"/>
    <x v="0"/>
    <x v="3"/>
    <x v="7"/>
    <x v="2"/>
    <x v="3"/>
    <s v="GNR_BO_WOODCHI_E-110"/>
    <x v="1"/>
    <x v="2"/>
    <n v="17"/>
    <n v="4136.6666666666697"/>
    <n v="14892"/>
  </r>
  <r>
    <x v="0"/>
    <x v="0"/>
    <x v="0"/>
    <x v="0"/>
    <x v="0"/>
    <x v="3"/>
    <x v="7"/>
    <x v="2"/>
    <x v="3"/>
    <s v="GNR_BO_WOODCHI_E-110"/>
    <x v="1"/>
    <x v="11"/>
    <n v="1.5371971785082601"/>
    <n v="374.051313437011"/>
    <n v="1346.5847283732401"/>
  </r>
  <r>
    <x v="0"/>
    <x v="0"/>
    <x v="0"/>
    <x v="0"/>
    <x v="0"/>
    <x v="4"/>
    <x v="0"/>
    <x v="0"/>
    <x v="0"/>
    <s v="GNR_ENG_BGAS_BP_E-39"/>
    <x v="0"/>
    <x v="0"/>
    <n v="0.76829268292682895"/>
    <n v="186.951219512195"/>
    <n v="673.02439024390299"/>
  </r>
  <r>
    <x v="0"/>
    <x v="0"/>
    <x v="0"/>
    <x v="0"/>
    <x v="0"/>
    <x v="4"/>
    <x v="0"/>
    <x v="0"/>
    <x v="0"/>
    <s v="GNR_ENG_BGAS_BP_E-39"/>
    <x v="0"/>
    <x v="1"/>
    <n v="0.76829268292682895"/>
    <n v="186.951219512195"/>
    <n v="673.02439024390299"/>
  </r>
  <r>
    <x v="0"/>
    <x v="0"/>
    <x v="0"/>
    <x v="0"/>
    <x v="0"/>
    <x v="4"/>
    <x v="0"/>
    <x v="0"/>
    <x v="0"/>
    <s v="GNR_ENG_BGAS_BP_E-39"/>
    <x v="0"/>
    <x v="2"/>
    <n v="0.76829268292682895"/>
    <n v="186.951219512195"/>
    <n v="673.02439024390299"/>
  </r>
  <r>
    <x v="0"/>
    <x v="0"/>
    <x v="0"/>
    <x v="0"/>
    <x v="0"/>
    <x v="4"/>
    <x v="0"/>
    <x v="0"/>
    <x v="0"/>
    <s v="GNR_ENG_BGAS_BP_E-41"/>
    <x v="0"/>
    <x v="0"/>
    <n v="4.0451219512195102"/>
    <n v="984.31300813008102"/>
    <n v="3543.5268292682899"/>
  </r>
  <r>
    <x v="0"/>
    <x v="0"/>
    <x v="0"/>
    <x v="0"/>
    <x v="0"/>
    <x v="4"/>
    <x v="0"/>
    <x v="0"/>
    <x v="0"/>
    <s v="GNR_ENG_BGAS_BP_E-41"/>
    <x v="0"/>
    <x v="1"/>
    <n v="4.0451219512195102"/>
    <n v="984.31300813008102"/>
    <n v="3543.5268292682899"/>
  </r>
  <r>
    <x v="0"/>
    <x v="0"/>
    <x v="0"/>
    <x v="0"/>
    <x v="0"/>
    <x v="4"/>
    <x v="0"/>
    <x v="0"/>
    <x v="0"/>
    <s v="GNR_ENG_BGAS_BP_E-41"/>
    <x v="0"/>
    <x v="2"/>
    <n v="4.0451219512195102"/>
    <n v="984.31300813008102"/>
    <n v="3543.5268292682899"/>
  </r>
  <r>
    <x v="0"/>
    <x v="0"/>
    <x v="0"/>
    <x v="0"/>
    <x v="0"/>
    <x v="4"/>
    <x v="0"/>
    <x v="0"/>
    <x v="0"/>
    <s v="GNR_ENG_BGAS_BP_E-42"/>
    <x v="0"/>
    <x v="0"/>
    <n v="0.40243902439024398"/>
    <n v="97.926829268292707"/>
    <n v="352.53658536585402"/>
  </r>
  <r>
    <x v="0"/>
    <x v="0"/>
    <x v="0"/>
    <x v="0"/>
    <x v="0"/>
    <x v="4"/>
    <x v="0"/>
    <x v="0"/>
    <x v="0"/>
    <s v="GNR_ENG_BGAS_BP_E-42"/>
    <x v="0"/>
    <x v="1"/>
    <n v="0.40243902439024398"/>
    <n v="97.926829268292707"/>
    <n v="352.53658536585402"/>
  </r>
  <r>
    <x v="0"/>
    <x v="0"/>
    <x v="0"/>
    <x v="0"/>
    <x v="0"/>
    <x v="4"/>
    <x v="0"/>
    <x v="0"/>
    <x v="0"/>
    <s v="GNR_ENG_BGAS_BP_E-42"/>
    <x v="0"/>
    <x v="2"/>
    <n v="0.40243902439024398"/>
    <n v="97.926829268292707"/>
    <n v="352.53658536585402"/>
  </r>
  <r>
    <x v="0"/>
    <x v="0"/>
    <x v="0"/>
    <x v="0"/>
    <x v="0"/>
    <x v="4"/>
    <x v="1"/>
    <x v="1"/>
    <x v="1"/>
    <s v="GNR_HS_HEAT_PIT_L-DEC_E-91_Y-2030"/>
    <x v="0"/>
    <x v="5"/>
    <n v="421.42061387808701"/>
    <n v="102545.68271033499"/>
    <n v="369164.45775720401"/>
  </r>
  <r>
    <x v="0"/>
    <x v="0"/>
    <x v="0"/>
    <x v="0"/>
    <x v="0"/>
    <x v="4"/>
    <x v="1"/>
    <x v="1"/>
    <x v="1"/>
    <s v="GNR_HS_HEAT_PIT_L-DEC_E-91_Y-2030"/>
    <x v="0"/>
    <x v="3"/>
    <n v="421.42061387808701"/>
    <n v="102545.68271033499"/>
    <n v="369164.45775720401"/>
  </r>
  <r>
    <x v="0"/>
    <x v="0"/>
    <x v="0"/>
    <x v="0"/>
    <x v="0"/>
    <x v="4"/>
    <x v="1"/>
    <x v="1"/>
    <x v="1"/>
    <s v="GNR_HS_HEAT_PIT_L-DEC_E-91_Y-2030"/>
    <x v="0"/>
    <x v="6"/>
    <n v="421.42061387808701"/>
    <n v="102545.68271033499"/>
    <n v="369164.45775720401"/>
  </r>
  <r>
    <x v="0"/>
    <x v="0"/>
    <x v="0"/>
    <x v="0"/>
    <x v="0"/>
    <x v="4"/>
    <x v="1"/>
    <x v="1"/>
    <x v="1"/>
    <s v="GNR_HS_HEAT_PIT_L-DEC_E-91_Y-2030"/>
    <x v="0"/>
    <x v="4"/>
    <n v="421.42061387808701"/>
    <n v="102545.68271033499"/>
    <n v="369164.45775720401"/>
  </r>
  <r>
    <x v="0"/>
    <x v="0"/>
    <x v="0"/>
    <x v="0"/>
    <x v="0"/>
    <x v="4"/>
    <x v="1"/>
    <x v="1"/>
    <x v="1"/>
    <s v="GNR_HS_HEAT_PIT_L-DEC_E-91_Y-2030"/>
    <x v="0"/>
    <x v="7"/>
    <n v="421.42061387808701"/>
    <n v="102545.68271033499"/>
    <n v="369164.45775720401"/>
  </r>
  <r>
    <x v="0"/>
    <x v="0"/>
    <x v="0"/>
    <x v="0"/>
    <x v="0"/>
    <x v="4"/>
    <x v="1"/>
    <x v="1"/>
    <x v="1"/>
    <s v="GNR_HS_HEAT_PIT_L-DEC_E-91_Y-2030"/>
    <x v="0"/>
    <x v="8"/>
    <n v="14.5178753020797"/>
    <n v="3532.6829901727201"/>
    <n v="12717.658764621799"/>
  </r>
  <r>
    <x v="0"/>
    <x v="0"/>
    <x v="0"/>
    <x v="0"/>
    <x v="0"/>
    <x v="4"/>
    <x v="1"/>
    <x v="1"/>
    <x v="1"/>
    <s v="GNR_HS_HEAT_PIT_L-DEC_E-91_Y-2030"/>
    <x v="0"/>
    <x v="9"/>
    <n v="107.64993498345299"/>
    <n v="26194.8175126401"/>
    <n v="94301.343045504502"/>
  </r>
  <r>
    <x v="0"/>
    <x v="0"/>
    <x v="0"/>
    <x v="0"/>
    <x v="0"/>
    <x v="4"/>
    <x v="1"/>
    <x v="1"/>
    <x v="1"/>
    <s v="GNR_HS_HEAT_PIT_L-DEC_E-91_Y-2030"/>
    <x v="0"/>
    <x v="10"/>
    <n v="119.42167173421601"/>
    <n v="29059.2734553259"/>
    <n v="104613.38443917299"/>
  </r>
  <r>
    <x v="0"/>
    <x v="0"/>
    <x v="0"/>
    <x v="0"/>
    <x v="0"/>
    <x v="4"/>
    <x v="1"/>
    <x v="1"/>
    <x v="1"/>
    <s v="GNR_HS_HEAT_PIT_L-DEC_E-91_Y-2030"/>
    <x v="2"/>
    <x v="5"/>
    <n v="226.81405930502399"/>
    <n v="55191.421097555904"/>
    <n v="198689.11595120101"/>
  </r>
  <r>
    <x v="0"/>
    <x v="0"/>
    <x v="0"/>
    <x v="0"/>
    <x v="0"/>
    <x v="4"/>
    <x v="1"/>
    <x v="1"/>
    <x v="1"/>
    <s v="GNR_HS_HEAT_PIT_L-DEC_E-91_Y-2030"/>
    <x v="2"/>
    <x v="7"/>
    <n v="186.696680172616"/>
    <n v="45429.525508669904"/>
    <n v="163546.291831212"/>
  </r>
  <r>
    <x v="0"/>
    <x v="0"/>
    <x v="0"/>
    <x v="0"/>
    <x v="0"/>
    <x v="4"/>
    <x v="1"/>
    <x v="1"/>
    <x v="1"/>
    <s v="GNR_HS_HEAT_PIT_L-DEC_E-91_Y-2030"/>
    <x v="2"/>
    <x v="8"/>
    <n v="156.660908769673"/>
    <n v="38120.821133953803"/>
    <n v="137234.95608223401"/>
  </r>
  <r>
    <x v="0"/>
    <x v="0"/>
    <x v="0"/>
    <x v="0"/>
    <x v="0"/>
    <x v="4"/>
    <x v="1"/>
    <x v="1"/>
    <x v="1"/>
    <s v="GNR_HS_HEAT_PIT_L-DEC_E-91_Y-2030"/>
    <x v="2"/>
    <x v="0"/>
    <n v="276.50919432596402"/>
    <n v="67283.903952651293"/>
    <n v="242222.054229545"/>
  </r>
  <r>
    <x v="0"/>
    <x v="0"/>
    <x v="0"/>
    <x v="0"/>
    <x v="0"/>
    <x v="4"/>
    <x v="1"/>
    <x v="1"/>
    <x v="2"/>
    <s v="GNR_HS_HEAT_WTR-TANK_LS_E-95_Y-2010"/>
    <x v="0"/>
    <x v="5"/>
    <n v="243.37026720420101"/>
    <n v="59220.0983530222"/>
    <n v="213192.35407088001"/>
  </r>
  <r>
    <x v="0"/>
    <x v="0"/>
    <x v="0"/>
    <x v="0"/>
    <x v="0"/>
    <x v="4"/>
    <x v="1"/>
    <x v="1"/>
    <x v="2"/>
    <s v="GNR_HS_HEAT_WTR-TANK_LS_E-95_Y-2010"/>
    <x v="0"/>
    <x v="3"/>
    <n v="163.45990107549599"/>
    <n v="39775.242595037402"/>
    <n v="143190.873342134"/>
  </r>
  <r>
    <x v="0"/>
    <x v="0"/>
    <x v="0"/>
    <x v="0"/>
    <x v="0"/>
    <x v="4"/>
    <x v="1"/>
    <x v="1"/>
    <x v="2"/>
    <s v="GNR_HS_HEAT_WTR-TANK_LS_E-95_Y-2010"/>
    <x v="0"/>
    <x v="6"/>
    <n v="325.40516082497697"/>
    <n v="79181.922467411103"/>
    <n v="285054.92088267999"/>
  </r>
  <r>
    <x v="0"/>
    <x v="0"/>
    <x v="0"/>
    <x v="0"/>
    <x v="0"/>
    <x v="4"/>
    <x v="1"/>
    <x v="1"/>
    <x v="2"/>
    <s v="GNR_HS_HEAT_WTR-TANK_LS_E-95_Y-2010"/>
    <x v="0"/>
    <x v="4"/>
    <n v="223.86957515933"/>
    <n v="54474.929955437001"/>
    <n v="196109.74783957301"/>
  </r>
  <r>
    <x v="0"/>
    <x v="0"/>
    <x v="0"/>
    <x v="0"/>
    <x v="0"/>
    <x v="4"/>
    <x v="1"/>
    <x v="1"/>
    <x v="2"/>
    <s v="GNR_HS_HEAT_WTR-TANK_LS_E-95_Y-2010"/>
    <x v="0"/>
    <x v="7"/>
    <n v="225.920810035866"/>
    <n v="54974.063775394003"/>
    <n v="197906.62959141799"/>
  </r>
  <r>
    <x v="0"/>
    <x v="0"/>
    <x v="0"/>
    <x v="0"/>
    <x v="0"/>
    <x v="4"/>
    <x v="1"/>
    <x v="1"/>
    <x v="2"/>
    <s v="GNR_HS_HEAT_WTR-TANK_LS_E-95_Y-2010"/>
    <x v="2"/>
    <x v="7"/>
    <n v="325.40516082497697"/>
    <n v="79181.922467411103"/>
    <n v="285054.92088267999"/>
  </r>
  <r>
    <x v="0"/>
    <x v="0"/>
    <x v="0"/>
    <x v="0"/>
    <x v="0"/>
    <x v="4"/>
    <x v="1"/>
    <x v="1"/>
    <x v="2"/>
    <s v="GNR_HS_HEAT_WTR-TANK_LS_E-95_Y-2010"/>
    <x v="2"/>
    <x v="8"/>
    <n v="38.752667524370899"/>
    <n v="9429.8157642635906"/>
    <n v="33947.336751348899"/>
  </r>
  <r>
    <x v="0"/>
    <x v="0"/>
    <x v="0"/>
    <x v="0"/>
    <x v="0"/>
    <x v="4"/>
    <x v="1"/>
    <x v="1"/>
    <x v="2"/>
    <s v="GNR_HS_HEAT_WTR-TANK_LS_E-95_Y-2010"/>
    <x v="2"/>
    <x v="9"/>
    <n v="165.42026380834901"/>
    <n v="40252.264193365001"/>
    <n v="144908.15109611399"/>
  </r>
  <r>
    <x v="0"/>
    <x v="0"/>
    <x v="0"/>
    <x v="0"/>
    <x v="0"/>
    <x v="4"/>
    <x v="1"/>
    <x v="1"/>
    <x v="2"/>
    <s v="GNR_HS_HEAT_WTR-TANK_LS_E-95_Y-2010"/>
    <x v="2"/>
    <x v="11"/>
    <n v="250.00747448019399"/>
    <n v="60835.152123513901"/>
    <n v="219006.54764465001"/>
  </r>
  <r>
    <x v="0"/>
    <x v="0"/>
    <x v="0"/>
    <x v="0"/>
    <x v="0"/>
    <x v="4"/>
    <x v="1"/>
    <x v="1"/>
    <x v="2"/>
    <s v="GNR_HS_HEAT_WTR-TANK_LS_E-95_Y-2010"/>
    <x v="1"/>
    <x v="5"/>
    <n v="160.12468047551101"/>
    <n v="38963.672249040901"/>
    <n v="140269.22009654701"/>
  </r>
  <r>
    <x v="0"/>
    <x v="0"/>
    <x v="0"/>
    <x v="0"/>
    <x v="0"/>
    <x v="4"/>
    <x v="1"/>
    <x v="1"/>
    <x v="2"/>
    <s v="GNR_HS_HEAT_WTR-TANK_LS_E-95_Y-2010"/>
    <x v="1"/>
    <x v="6"/>
    <n v="325.40516082497697"/>
    <n v="79181.922467411103"/>
    <n v="285054.92088267999"/>
  </r>
  <r>
    <x v="0"/>
    <x v="0"/>
    <x v="0"/>
    <x v="0"/>
    <x v="0"/>
    <x v="4"/>
    <x v="1"/>
    <x v="1"/>
    <x v="2"/>
    <s v="GNR_HS_HEAT_WTR-TANK_LS_E-95_Y-2010"/>
    <x v="1"/>
    <x v="8"/>
    <n v="160.227988580919"/>
    <n v="38988.810554690397"/>
    <n v="140359.71799688501"/>
  </r>
  <r>
    <x v="0"/>
    <x v="0"/>
    <x v="0"/>
    <x v="0"/>
    <x v="0"/>
    <x v="4"/>
    <x v="1"/>
    <x v="1"/>
    <x v="2"/>
    <s v="GNR_HS_HEAT_WTR-TANK_LS_E-95_Y-2010"/>
    <x v="1"/>
    <x v="9"/>
    <n v="157.53824188515301"/>
    <n v="38334.305525387201"/>
    <n v="138003.49989139399"/>
  </r>
  <r>
    <x v="0"/>
    <x v="0"/>
    <x v="0"/>
    <x v="0"/>
    <x v="0"/>
    <x v="4"/>
    <x v="1"/>
    <x v="1"/>
    <x v="2"/>
    <s v="GNR_HS_HEAT_WTR-TANK_LS_E-95_Y-2010"/>
    <x v="1"/>
    <x v="10"/>
    <n v="162.02628008267399"/>
    <n v="39426.394820117202"/>
    <n v="141935.02135242199"/>
  </r>
  <r>
    <x v="0"/>
    <x v="0"/>
    <x v="0"/>
    <x v="0"/>
    <x v="0"/>
    <x v="4"/>
    <x v="1"/>
    <x v="1"/>
    <x v="2"/>
    <s v="GNR_HS_HEAT_WTR-TANK_LS_E-95_Y-2010"/>
    <x v="1"/>
    <x v="11"/>
    <n v="201.755522724591"/>
    <n v="49093.8438629839"/>
    <n v="176737.837906742"/>
  </r>
  <r>
    <x v="0"/>
    <x v="0"/>
    <x v="0"/>
    <x v="0"/>
    <x v="0"/>
    <x v="4"/>
    <x v="3"/>
    <x v="0"/>
    <x v="0"/>
    <s v="GNR_ENG_NGAS_BP_E-41"/>
    <x v="0"/>
    <x v="0"/>
    <n v="4.7777777777777803"/>
    <n v="1162.5925925925901"/>
    <n v="4185.3333333333303"/>
  </r>
  <r>
    <x v="0"/>
    <x v="0"/>
    <x v="0"/>
    <x v="0"/>
    <x v="0"/>
    <x v="4"/>
    <x v="3"/>
    <x v="0"/>
    <x v="0"/>
    <s v="GNR_ENG_NGAS_BP_E-41"/>
    <x v="0"/>
    <x v="1"/>
    <n v="4.7777777777777803"/>
    <n v="1162.5925925925901"/>
    <n v="4185.3333333333303"/>
  </r>
  <r>
    <x v="0"/>
    <x v="0"/>
    <x v="0"/>
    <x v="0"/>
    <x v="0"/>
    <x v="4"/>
    <x v="3"/>
    <x v="0"/>
    <x v="0"/>
    <s v="GNR_ENG_NGAS_BP_E-41"/>
    <x v="0"/>
    <x v="2"/>
    <n v="4.7777777777777803"/>
    <n v="1162.5925925925901"/>
    <n v="4185.3333333333303"/>
  </r>
  <r>
    <x v="0"/>
    <x v="0"/>
    <x v="0"/>
    <x v="0"/>
    <x v="0"/>
    <x v="4"/>
    <x v="3"/>
    <x v="0"/>
    <x v="0"/>
    <s v="GNR_ENG_NGAS_BP_E-41"/>
    <x v="1"/>
    <x v="3"/>
    <n v="4.7777777777777803"/>
    <n v="1162.5925925925901"/>
    <n v="4185.3333333333303"/>
  </r>
  <r>
    <x v="0"/>
    <x v="0"/>
    <x v="0"/>
    <x v="0"/>
    <x v="0"/>
    <x v="4"/>
    <x v="3"/>
    <x v="0"/>
    <x v="0"/>
    <s v="GNR_ENG_NGAS_BP_E-41"/>
    <x v="1"/>
    <x v="4"/>
    <n v="4.7777777777777803"/>
    <n v="1162.5925925925901"/>
    <n v="4185.3333333333303"/>
  </r>
  <r>
    <x v="0"/>
    <x v="0"/>
    <x v="0"/>
    <x v="0"/>
    <x v="0"/>
    <x v="4"/>
    <x v="3"/>
    <x v="0"/>
    <x v="0"/>
    <s v="GNR_ENG_NGAS_BP_E-41"/>
    <x v="1"/>
    <x v="0"/>
    <n v="4.7777777777777803"/>
    <n v="1162.5925925925901"/>
    <n v="4185.3333333333303"/>
  </r>
  <r>
    <x v="0"/>
    <x v="0"/>
    <x v="0"/>
    <x v="0"/>
    <x v="0"/>
    <x v="4"/>
    <x v="3"/>
    <x v="0"/>
    <x v="0"/>
    <s v="GNR_ENG_NGAS_BP_E-41"/>
    <x v="1"/>
    <x v="2"/>
    <n v="4.7777777777777803"/>
    <n v="1162.5925925925901"/>
    <n v="4185.3333333333303"/>
  </r>
  <r>
    <x v="0"/>
    <x v="0"/>
    <x v="0"/>
    <x v="0"/>
    <x v="0"/>
    <x v="4"/>
    <x v="3"/>
    <x v="0"/>
    <x v="0"/>
    <s v="GNR_ENG_NGAS_BP_E-42"/>
    <x v="0"/>
    <x v="0"/>
    <n v="6.8888888888888902"/>
    <n v="1676.2962962962999"/>
    <n v="6034.6666666666697"/>
  </r>
  <r>
    <x v="0"/>
    <x v="0"/>
    <x v="0"/>
    <x v="0"/>
    <x v="0"/>
    <x v="4"/>
    <x v="3"/>
    <x v="0"/>
    <x v="0"/>
    <s v="GNR_ENG_NGAS_BP_E-42"/>
    <x v="0"/>
    <x v="1"/>
    <n v="6.8888888888888902"/>
    <n v="1676.2962962962999"/>
    <n v="6034.6666666666697"/>
  </r>
  <r>
    <x v="0"/>
    <x v="0"/>
    <x v="0"/>
    <x v="0"/>
    <x v="0"/>
    <x v="4"/>
    <x v="3"/>
    <x v="0"/>
    <x v="0"/>
    <s v="GNR_ENG_NGAS_BP_E-42"/>
    <x v="0"/>
    <x v="2"/>
    <n v="6.8888888888888902"/>
    <n v="1676.2962962962999"/>
    <n v="6034.6666666666697"/>
  </r>
  <r>
    <x v="0"/>
    <x v="0"/>
    <x v="0"/>
    <x v="0"/>
    <x v="0"/>
    <x v="4"/>
    <x v="3"/>
    <x v="0"/>
    <x v="0"/>
    <s v="GNR_ENG_NGAS_BP_E-42"/>
    <x v="0"/>
    <x v="9"/>
    <n v="6.8888888888888902"/>
    <n v="1676.2962962962999"/>
    <n v="6034.6666666666697"/>
  </r>
  <r>
    <x v="0"/>
    <x v="0"/>
    <x v="0"/>
    <x v="0"/>
    <x v="0"/>
    <x v="4"/>
    <x v="3"/>
    <x v="0"/>
    <x v="0"/>
    <s v="GNR_ENG_NGAS_BP_E-42"/>
    <x v="1"/>
    <x v="3"/>
    <n v="6.8888888888888902"/>
    <n v="1676.2962962962999"/>
    <n v="6034.6666666666697"/>
  </r>
  <r>
    <x v="0"/>
    <x v="0"/>
    <x v="0"/>
    <x v="0"/>
    <x v="0"/>
    <x v="4"/>
    <x v="3"/>
    <x v="0"/>
    <x v="0"/>
    <s v="GNR_ENG_NGAS_BP_E-42"/>
    <x v="1"/>
    <x v="4"/>
    <n v="6.8888888888888902"/>
    <n v="1676.2962962962999"/>
    <n v="6034.6666666666697"/>
  </r>
  <r>
    <x v="0"/>
    <x v="0"/>
    <x v="0"/>
    <x v="0"/>
    <x v="0"/>
    <x v="4"/>
    <x v="3"/>
    <x v="0"/>
    <x v="0"/>
    <s v="GNR_ENG_NGAS_BP_E-42"/>
    <x v="1"/>
    <x v="7"/>
    <n v="6.8888888888888902"/>
    <n v="1676.2962962962999"/>
    <n v="6034.6666666666697"/>
  </r>
  <r>
    <x v="0"/>
    <x v="0"/>
    <x v="0"/>
    <x v="0"/>
    <x v="0"/>
    <x v="4"/>
    <x v="3"/>
    <x v="0"/>
    <x v="0"/>
    <s v="GNR_ENG_NGAS_BP_E-42"/>
    <x v="1"/>
    <x v="0"/>
    <n v="6.8888888888888902"/>
    <n v="1676.2962962962999"/>
    <n v="6034.6666666666697"/>
  </r>
  <r>
    <x v="0"/>
    <x v="0"/>
    <x v="0"/>
    <x v="0"/>
    <x v="0"/>
    <x v="4"/>
    <x v="3"/>
    <x v="0"/>
    <x v="0"/>
    <s v="GNR_ENG_NGAS_BP_E-42"/>
    <x v="1"/>
    <x v="2"/>
    <n v="6.8888888888888902"/>
    <n v="1676.2962962962999"/>
    <n v="6034.6666666666697"/>
  </r>
  <r>
    <x v="0"/>
    <x v="0"/>
    <x v="0"/>
    <x v="0"/>
    <x v="0"/>
    <x v="4"/>
    <x v="3"/>
    <x v="0"/>
    <x v="0"/>
    <s v="GNR_ENG_NGAS_BP_E-43"/>
    <x v="0"/>
    <x v="8"/>
    <n v="1.5777777777777799"/>
    <n v="383.92592592592598"/>
    <n v="1382.13333333333"/>
  </r>
  <r>
    <x v="0"/>
    <x v="0"/>
    <x v="0"/>
    <x v="0"/>
    <x v="0"/>
    <x v="4"/>
    <x v="3"/>
    <x v="0"/>
    <x v="0"/>
    <s v="GNR_ENG_NGAS_BP_E-43"/>
    <x v="0"/>
    <x v="0"/>
    <n v="1.5777777777777799"/>
    <n v="383.92592592592598"/>
    <n v="1382.13333333333"/>
  </r>
  <r>
    <x v="0"/>
    <x v="0"/>
    <x v="0"/>
    <x v="0"/>
    <x v="0"/>
    <x v="4"/>
    <x v="3"/>
    <x v="0"/>
    <x v="0"/>
    <s v="GNR_ENG_NGAS_BP_E-43"/>
    <x v="0"/>
    <x v="1"/>
    <n v="1.5777777777777799"/>
    <n v="383.92592592592598"/>
    <n v="1382.13333333333"/>
  </r>
  <r>
    <x v="0"/>
    <x v="0"/>
    <x v="0"/>
    <x v="0"/>
    <x v="0"/>
    <x v="4"/>
    <x v="3"/>
    <x v="0"/>
    <x v="0"/>
    <s v="GNR_ENG_NGAS_BP_E-43"/>
    <x v="0"/>
    <x v="2"/>
    <n v="1.5777777777777799"/>
    <n v="383.92592592592598"/>
    <n v="1382.13333333333"/>
  </r>
  <r>
    <x v="0"/>
    <x v="0"/>
    <x v="0"/>
    <x v="0"/>
    <x v="0"/>
    <x v="4"/>
    <x v="3"/>
    <x v="0"/>
    <x v="0"/>
    <s v="GNR_ENG_NGAS_BP_E-43"/>
    <x v="0"/>
    <x v="9"/>
    <n v="1.5777777777777799"/>
    <n v="383.92592592592598"/>
    <n v="1382.13333333333"/>
  </r>
  <r>
    <x v="0"/>
    <x v="0"/>
    <x v="0"/>
    <x v="0"/>
    <x v="0"/>
    <x v="4"/>
    <x v="3"/>
    <x v="0"/>
    <x v="0"/>
    <s v="GNR_ENG_NGAS_BP_E-43"/>
    <x v="1"/>
    <x v="3"/>
    <n v="1.5777777777777799"/>
    <n v="383.92592592592598"/>
    <n v="1382.13333333333"/>
  </r>
  <r>
    <x v="0"/>
    <x v="0"/>
    <x v="0"/>
    <x v="0"/>
    <x v="0"/>
    <x v="4"/>
    <x v="3"/>
    <x v="0"/>
    <x v="0"/>
    <s v="GNR_ENG_NGAS_BP_E-43"/>
    <x v="1"/>
    <x v="4"/>
    <n v="1.5777777777777799"/>
    <n v="383.92592592592598"/>
    <n v="1382.13333333333"/>
  </r>
  <r>
    <x v="0"/>
    <x v="0"/>
    <x v="0"/>
    <x v="0"/>
    <x v="0"/>
    <x v="4"/>
    <x v="3"/>
    <x v="0"/>
    <x v="0"/>
    <s v="GNR_ENG_NGAS_BP_E-43"/>
    <x v="1"/>
    <x v="7"/>
    <n v="1.5777777777777799"/>
    <n v="383.92592592592598"/>
    <n v="1382.13333333333"/>
  </r>
  <r>
    <x v="0"/>
    <x v="0"/>
    <x v="0"/>
    <x v="0"/>
    <x v="0"/>
    <x v="4"/>
    <x v="3"/>
    <x v="0"/>
    <x v="0"/>
    <s v="GNR_ENG_NGAS_BP_E-43"/>
    <x v="1"/>
    <x v="0"/>
    <n v="1.5777777777777799"/>
    <n v="383.92592592592598"/>
    <n v="1382.13333333333"/>
  </r>
  <r>
    <x v="0"/>
    <x v="0"/>
    <x v="0"/>
    <x v="0"/>
    <x v="0"/>
    <x v="4"/>
    <x v="3"/>
    <x v="0"/>
    <x v="0"/>
    <s v="GNR_ENG_NGAS_BP_E-43"/>
    <x v="1"/>
    <x v="2"/>
    <n v="1.5777777777777799"/>
    <n v="383.92592592592598"/>
    <n v="1382.13333333333"/>
  </r>
  <r>
    <x v="0"/>
    <x v="0"/>
    <x v="0"/>
    <x v="0"/>
    <x v="0"/>
    <x v="4"/>
    <x v="3"/>
    <x v="0"/>
    <x v="0"/>
    <s v="GNR_ENG_NGAS_BP_E-44"/>
    <x v="0"/>
    <x v="8"/>
    <n v="5.2"/>
    <n v="1265.3333333333301"/>
    <n v="4555.2"/>
  </r>
  <r>
    <x v="0"/>
    <x v="0"/>
    <x v="0"/>
    <x v="0"/>
    <x v="0"/>
    <x v="4"/>
    <x v="3"/>
    <x v="0"/>
    <x v="0"/>
    <s v="GNR_ENG_NGAS_BP_E-44"/>
    <x v="0"/>
    <x v="0"/>
    <n v="5.2"/>
    <n v="1265.3333333333301"/>
    <n v="4555.2"/>
  </r>
  <r>
    <x v="0"/>
    <x v="0"/>
    <x v="0"/>
    <x v="0"/>
    <x v="0"/>
    <x v="4"/>
    <x v="3"/>
    <x v="0"/>
    <x v="0"/>
    <s v="GNR_ENG_NGAS_BP_E-44"/>
    <x v="0"/>
    <x v="1"/>
    <n v="5.2"/>
    <n v="1265.3333333333301"/>
    <n v="4555.2"/>
  </r>
  <r>
    <x v="0"/>
    <x v="0"/>
    <x v="0"/>
    <x v="0"/>
    <x v="0"/>
    <x v="4"/>
    <x v="3"/>
    <x v="0"/>
    <x v="0"/>
    <s v="GNR_ENG_NGAS_BP_E-44"/>
    <x v="0"/>
    <x v="2"/>
    <n v="5.2"/>
    <n v="1265.3333333333301"/>
    <n v="4555.2"/>
  </r>
  <r>
    <x v="0"/>
    <x v="0"/>
    <x v="0"/>
    <x v="0"/>
    <x v="0"/>
    <x v="4"/>
    <x v="3"/>
    <x v="0"/>
    <x v="0"/>
    <s v="GNR_ENG_NGAS_BP_E-44"/>
    <x v="0"/>
    <x v="9"/>
    <n v="5.2"/>
    <n v="1265.3333333333301"/>
    <n v="4555.2"/>
  </r>
  <r>
    <x v="0"/>
    <x v="0"/>
    <x v="0"/>
    <x v="0"/>
    <x v="0"/>
    <x v="4"/>
    <x v="3"/>
    <x v="0"/>
    <x v="0"/>
    <s v="GNR_ENG_NGAS_BP_E-44"/>
    <x v="1"/>
    <x v="3"/>
    <n v="5.2"/>
    <n v="1265.3333333333301"/>
    <n v="4555.2"/>
  </r>
  <r>
    <x v="0"/>
    <x v="0"/>
    <x v="0"/>
    <x v="0"/>
    <x v="0"/>
    <x v="4"/>
    <x v="3"/>
    <x v="0"/>
    <x v="0"/>
    <s v="GNR_ENG_NGAS_BP_E-44"/>
    <x v="1"/>
    <x v="4"/>
    <n v="5.2"/>
    <n v="1265.3333333333301"/>
    <n v="4555.2"/>
  </r>
  <r>
    <x v="0"/>
    <x v="0"/>
    <x v="0"/>
    <x v="0"/>
    <x v="0"/>
    <x v="4"/>
    <x v="3"/>
    <x v="0"/>
    <x v="0"/>
    <s v="GNR_ENG_NGAS_BP_E-44"/>
    <x v="1"/>
    <x v="7"/>
    <n v="5.2"/>
    <n v="1265.3333333333301"/>
    <n v="4555.2"/>
  </r>
  <r>
    <x v="0"/>
    <x v="0"/>
    <x v="0"/>
    <x v="0"/>
    <x v="0"/>
    <x v="4"/>
    <x v="3"/>
    <x v="0"/>
    <x v="0"/>
    <s v="GNR_ENG_NGAS_BP_E-44"/>
    <x v="1"/>
    <x v="0"/>
    <n v="5.2"/>
    <n v="1265.3333333333301"/>
    <n v="4555.2"/>
  </r>
  <r>
    <x v="0"/>
    <x v="0"/>
    <x v="0"/>
    <x v="0"/>
    <x v="0"/>
    <x v="4"/>
    <x v="3"/>
    <x v="0"/>
    <x v="0"/>
    <s v="GNR_ENG_NGAS_BP_E-44"/>
    <x v="1"/>
    <x v="1"/>
    <n v="5.2"/>
    <n v="1265.3333333333301"/>
    <n v="4555.2"/>
  </r>
  <r>
    <x v="0"/>
    <x v="0"/>
    <x v="0"/>
    <x v="0"/>
    <x v="0"/>
    <x v="4"/>
    <x v="3"/>
    <x v="0"/>
    <x v="0"/>
    <s v="GNR_ENG_NGAS_BP_E-44"/>
    <x v="1"/>
    <x v="2"/>
    <n v="5.2"/>
    <n v="1265.3333333333301"/>
    <n v="4555.2"/>
  </r>
  <r>
    <x v="0"/>
    <x v="0"/>
    <x v="0"/>
    <x v="0"/>
    <x v="0"/>
    <x v="4"/>
    <x v="3"/>
    <x v="0"/>
    <x v="0"/>
    <s v="GNR_ENG_NGAS_BP_E-48_Y-2030"/>
    <x v="0"/>
    <x v="3"/>
    <n v="129.98405640906"/>
    <n v="31629.453726204702"/>
    <n v="113866.033414337"/>
  </r>
  <r>
    <x v="0"/>
    <x v="0"/>
    <x v="0"/>
    <x v="0"/>
    <x v="0"/>
    <x v="4"/>
    <x v="3"/>
    <x v="0"/>
    <x v="0"/>
    <s v="GNR_ENG_NGAS_BP_E-48_Y-2030"/>
    <x v="0"/>
    <x v="8"/>
    <n v="763.96679642317099"/>
    <n v="185898.58712963801"/>
    <n v="669234.91366669699"/>
  </r>
  <r>
    <x v="0"/>
    <x v="0"/>
    <x v="0"/>
    <x v="0"/>
    <x v="0"/>
    <x v="4"/>
    <x v="3"/>
    <x v="0"/>
    <x v="0"/>
    <s v="GNR_ENG_NGAS_BP_E-48_Y-2030"/>
    <x v="0"/>
    <x v="0"/>
    <n v="763.96679642317099"/>
    <n v="185898.58712963801"/>
    <n v="669234.91366669699"/>
  </r>
  <r>
    <x v="0"/>
    <x v="0"/>
    <x v="0"/>
    <x v="0"/>
    <x v="0"/>
    <x v="4"/>
    <x v="3"/>
    <x v="0"/>
    <x v="0"/>
    <s v="GNR_ENG_NGAS_BP_E-48_Y-2030"/>
    <x v="0"/>
    <x v="1"/>
    <n v="763.96679642317099"/>
    <n v="185898.58712963801"/>
    <n v="669234.91366669699"/>
  </r>
  <r>
    <x v="0"/>
    <x v="0"/>
    <x v="0"/>
    <x v="0"/>
    <x v="0"/>
    <x v="4"/>
    <x v="3"/>
    <x v="0"/>
    <x v="0"/>
    <s v="GNR_ENG_NGAS_BP_E-48_Y-2030"/>
    <x v="0"/>
    <x v="2"/>
    <n v="763.96679642317099"/>
    <n v="185898.58712963801"/>
    <n v="669234.91366669699"/>
  </r>
  <r>
    <x v="0"/>
    <x v="0"/>
    <x v="0"/>
    <x v="0"/>
    <x v="0"/>
    <x v="4"/>
    <x v="3"/>
    <x v="0"/>
    <x v="0"/>
    <s v="GNR_ENG_NGAS_BP_E-48_Y-2030"/>
    <x v="0"/>
    <x v="9"/>
    <n v="763.96679642317099"/>
    <n v="185898.58712963801"/>
    <n v="669234.91366669699"/>
  </r>
  <r>
    <x v="0"/>
    <x v="0"/>
    <x v="0"/>
    <x v="0"/>
    <x v="0"/>
    <x v="4"/>
    <x v="3"/>
    <x v="0"/>
    <x v="0"/>
    <s v="GNR_ENG_NGAS_BP_E-48_Y-2030"/>
    <x v="0"/>
    <x v="10"/>
    <n v="749.17605672295497"/>
    <n v="182299.507135919"/>
    <n v="656278.22568930895"/>
  </r>
  <r>
    <x v="0"/>
    <x v="0"/>
    <x v="0"/>
    <x v="0"/>
    <x v="0"/>
    <x v="4"/>
    <x v="3"/>
    <x v="0"/>
    <x v="0"/>
    <s v="GNR_ENG_NGAS_BP_E-48_Y-2030"/>
    <x v="0"/>
    <x v="11"/>
    <n v="763.96679642317099"/>
    <n v="185898.58712963801"/>
    <n v="669234.91366669699"/>
  </r>
  <r>
    <x v="0"/>
    <x v="0"/>
    <x v="0"/>
    <x v="0"/>
    <x v="0"/>
    <x v="4"/>
    <x v="3"/>
    <x v="0"/>
    <x v="0"/>
    <s v="GNR_ENG_NGAS_BP_E-48_Y-2030"/>
    <x v="2"/>
    <x v="3"/>
    <n v="717.74288343677904"/>
    <n v="174650.76830294999"/>
    <n v="628742.76589061902"/>
  </r>
  <r>
    <x v="0"/>
    <x v="0"/>
    <x v="0"/>
    <x v="0"/>
    <x v="0"/>
    <x v="4"/>
    <x v="3"/>
    <x v="0"/>
    <x v="0"/>
    <s v="GNR_ENG_NGAS_BP_E-48_Y-2030"/>
    <x v="2"/>
    <x v="6"/>
    <n v="763.96679642317099"/>
    <n v="185898.58712963801"/>
    <n v="669234.91366669699"/>
  </r>
  <r>
    <x v="0"/>
    <x v="0"/>
    <x v="0"/>
    <x v="0"/>
    <x v="0"/>
    <x v="4"/>
    <x v="3"/>
    <x v="0"/>
    <x v="0"/>
    <s v="GNR_ENG_NGAS_BP_E-48_Y-2030"/>
    <x v="2"/>
    <x v="4"/>
    <n v="763.96679642317099"/>
    <n v="185898.58712963801"/>
    <n v="669234.91366669699"/>
  </r>
  <r>
    <x v="0"/>
    <x v="0"/>
    <x v="0"/>
    <x v="0"/>
    <x v="0"/>
    <x v="4"/>
    <x v="3"/>
    <x v="0"/>
    <x v="0"/>
    <s v="GNR_ENG_NGAS_BP_E-48_Y-2030"/>
    <x v="2"/>
    <x v="1"/>
    <n v="275.59123615631103"/>
    <n v="67060.534131369001"/>
    <n v="241417.922872928"/>
  </r>
  <r>
    <x v="0"/>
    <x v="0"/>
    <x v="0"/>
    <x v="0"/>
    <x v="0"/>
    <x v="4"/>
    <x v="3"/>
    <x v="0"/>
    <x v="0"/>
    <s v="GNR_ENG_NGAS_BP_E-48_Y-2030"/>
    <x v="2"/>
    <x v="2"/>
    <n v="327.21322814704803"/>
    <n v="79621.885515781803"/>
    <n v="286638.78785681399"/>
  </r>
  <r>
    <x v="0"/>
    <x v="0"/>
    <x v="0"/>
    <x v="0"/>
    <x v="0"/>
    <x v="4"/>
    <x v="3"/>
    <x v="0"/>
    <x v="0"/>
    <s v="GNR_ENG_NGAS_BP_E-48_Y-2030"/>
    <x v="2"/>
    <x v="10"/>
    <n v="149.04546712857001"/>
    <n v="36267.730334618704"/>
    <n v="130563.82920462701"/>
  </r>
  <r>
    <x v="0"/>
    <x v="0"/>
    <x v="0"/>
    <x v="0"/>
    <x v="0"/>
    <x v="4"/>
    <x v="3"/>
    <x v="0"/>
    <x v="0"/>
    <s v="GNR_ENG_NGAS_BP_E-48_Y-2030"/>
    <x v="1"/>
    <x v="3"/>
    <n v="763.96679642317099"/>
    <n v="185898.58712963801"/>
    <n v="669234.91366669699"/>
  </r>
  <r>
    <x v="0"/>
    <x v="0"/>
    <x v="0"/>
    <x v="0"/>
    <x v="0"/>
    <x v="4"/>
    <x v="3"/>
    <x v="0"/>
    <x v="0"/>
    <s v="GNR_ENG_NGAS_BP_E-48_Y-2030"/>
    <x v="1"/>
    <x v="6"/>
    <n v="55.825748795483698"/>
    <n v="13584.265540234401"/>
    <n v="48903.355944843701"/>
  </r>
  <r>
    <x v="0"/>
    <x v="0"/>
    <x v="0"/>
    <x v="0"/>
    <x v="0"/>
    <x v="4"/>
    <x v="3"/>
    <x v="0"/>
    <x v="0"/>
    <s v="GNR_ENG_NGAS_BP_E-48_Y-2030"/>
    <x v="1"/>
    <x v="4"/>
    <n v="763.96679642317099"/>
    <n v="185898.58712963801"/>
    <n v="669234.91366669699"/>
  </r>
  <r>
    <x v="0"/>
    <x v="0"/>
    <x v="0"/>
    <x v="0"/>
    <x v="0"/>
    <x v="4"/>
    <x v="3"/>
    <x v="0"/>
    <x v="0"/>
    <s v="GNR_ENG_NGAS_BP_E-48_Y-2030"/>
    <x v="1"/>
    <x v="7"/>
    <n v="763.96679642317099"/>
    <n v="185898.58712963801"/>
    <n v="669234.91366669699"/>
  </r>
  <r>
    <x v="0"/>
    <x v="0"/>
    <x v="0"/>
    <x v="0"/>
    <x v="0"/>
    <x v="4"/>
    <x v="3"/>
    <x v="0"/>
    <x v="0"/>
    <s v="GNR_ENG_NGAS_BP_E-48_Y-2030"/>
    <x v="1"/>
    <x v="8"/>
    <n v="114.791824271569"/>
    <n v="27932.677239415199"/>
    <n v="100557.63806189501"/>
  </r>
  <r>
    <x v="0"/>
    <x v="0"/>
    <x v="0"/>
    <x v="0"/>
    <x v="0"/>
    <x v="4"/>
    <x v="3"/>
    <x v="0"/>
    <x v="0"/>
    <s v="GNR_ENG_NGAS_BP_E-48_Y-2030"/>
    <x v="1"/>
    <x v="0"/>
    <n v="763.96679642317099"/>
    <n v="185898.58712963801"/>
    <n v="669234.91366669699"/>
  </r>
  <r>
    <x v="0"/>
    <x v="0"/>
    <x v="0"/>
    <x v="0"/>
    <x v="0"/>
    <x v="4"/>
    <x v="3"/>
    <x v="0"/>
    <x v="0"/>
    <s v="GNR_ENG_NGAS_BP_E-48_Y-2030"/>
    <x v="1"/>
    <x v="1"/>
    <n v="763.96679642317099"/>
    <n v="185898.58712963801"/>
    <n v="669234.91366669699"/>
  </r>
  <r>
    <x v="0"/>
    <x v="0"/>
    <x v="0"/>
    <x v="0"/>
    <x v="0"/>
    <x v="4"/>
    <x v="3"/>
    <x v="0"/>
    <x v="0"/>
    <s v="GNR_ENG_NGAS_BP_E-48_Y-2030"/>
    <x v="1"/>
    <x v="2"/>
    <n v="763.96679642317099"/>
    <n v="185898.58712963801"/>
    <n v="669234.91366669699"/>
  </r>
  <r>
    <x v="0"/>
    <x v="0"/>
    <x v="0"/>
    <x v="0"/>
    <x v="0"/>
    <x v="4"/>
    <x v="4"/>
    <x v="2"/>
    <x v="3"/>
    <s v="GNR_BO_STRW_E-102"/>
    <x v="0"/>
    <x v="6"/>
    <n v="2.42"/>
    <n v="588.86666666666702"/>
    <n v="2119.92"/>
  </r>
  <r>
    <x v="0"/>
    <x v="0"/>
    <x v="0"/>
    <x v="0"/>
    <x v="0"/>
    <x v="4"/>
    <x v="5"/>
    <x v="3"/>
    <x v="4"/>
    <s v="GNR_SH_SUN"/>
    <x v="0"/>
    <x v="7"/>
    <n v="12.7003986564263"/>
    <n v="3090.4303397304002"/>
    <n v="11125.5492230295"/>
  </r>
  <r>
    <x v="0"/>
    <x v="0"/>
    <x v="0"/>
    <x v="0"/>
    <x v="0"/>
    <x v="4"/>
    <x v="5"/>
    <x v="3"/>
    <x v="4"/>
    <s v="GNR_SH_SUN"/>
    <x v="0"/>
    <x v="0"/>
    <n v="3.09331470030483"/>
    <n v="752.70657707417604"/>
    <n v="2709.74367746703"/>
  </r>
  <r>
    <x v="0"/>
    <x v="0"/>
    <x v="0"/>
    <x v="0"/>
    <x v="0"/>
    <x v="4"/>
    <x v="5"/>
    <x v="3"/>
    <x v="4"/>
    <s v="GNR_SH_SUN"/>
    <x v="0"/>
    <x v="9"/>
    <n v="6.75504596391478"/>
    <n v="1643.7278512192599"/>
    <n v="5917.4202643893404"/>
  </r>
  <r>
    <x v="0"/>
    <x v="0"/>
    <x v="0"/>
    <x v="0"/>
    <x v="0"/>
    <x v="4"/>
    <x v="5"/>
    <x v="3"/>
    <x v="4"/>
    <s v="GNR_SH_SUN"/>
    <x v="0"/>
    <x v="11"/>
    <n v="0.53894561916181605"/>
    <n v="131.14343399604201"/>
    <n v="472.11636238575102"/>
  </r>
  <r>
    <x v="0"/>
    <x v="0"/>
    <x v="0"/>
    <x v="0"/>
    <x v="0"/>
    <x v="4"/>
    <x v="5"/>
    <x v="3"/>
    <x v="4"/>
    <s v="GNR_SH_SUN"/>
    <x v="2"/>
    <x v="6"/>
    <n v="2.7713204063031598"/>
    <n v="674.35463220043596"/>
    <n v="2427.6766759215702"/>
  </r>
  <r>
    <x v="0"/>
    <x v="0"/>
    <x v="0"/>
    <x v="0"/>
    <x v="0"/>
    <x v="4"/>
    <x v="5"/>
    <x v="3"/>
    <x v="4"/>
    <s v="GNR_SH_SUN"/>
    <x v="2"/>
    <x v="9"/>
    <n v="1.0388539811136399"/>
    <n v="252.787802070986"/>
    <n v="910.03608745554902"/>
  </r>
  <r>
    <x v="0"/>
    <x v="0"/>
    <x v="0"/>
    <x v="0"/>
    <x v="0"/>
    <x v="4"/>
    <x v="5"/>
    <x v="3"/>
    <x v="4"/>
    <s v="GNR_SH_SUN"/>
    <x v="1"/>
    <x v="7"/>
    <n v="8.0716125100767808"/>
    <n v="1964.0923774520199"/>
    <n v="7070.7325588272597"/>
  </r>
  <r>
    <x v="0"/>
    <x v="0"/>
    <x v="0"/>
    <x v="0"/>
    <x v="0"/>
    <x v="4"/>
    <x v="5"/>
    <x v="3"/>
    <x v="4"/>
    <s v="GNR_SH_SUN"/>
    <x v="1"/>
    <x v="0"/>
    <n v="1.8092064514641699"/>
    <n v="440.24023652294801"/>
    <n v="1584.86485148261"/>
  </r>
  <r>
    <x v="0"/>
    <x v="0"/>
    <x v="0"/>
    <x v="0"/>
    <x v="0"/>
    <x v="4"/>
    <x v="5"/>
    <x v="3"/>
    <x v="4"/>
    <s v="GNR_SH_SUN"/>
    <x v="1"/>
    <x v="9"/>
    <n v="12.320526509912099"/>
    <n v="2997.9947840786199"/>
    <n v="10792.781222682999"/>
  </r>
  <r>
    <x v="0"/>
    <x v="0"/>
    <x v="0"/>
    <x v="0"/>
    <x v="0"/>
    <x v="4"/>
    <x v="5"/>
    <x v="3"/>
    <x v="4"/>
    <s v="GNR_SH_SUN"/>
    <x v="1"/>
    <x v="11"/>
    <n v="3.48132314652783"/>
    <n v="847.12196565510499"/>
    <n v="3049.63907635838"/>
  </r>
  <r>
    <x v="0"/>
    <x v="0"/>
    <x v="0"/>
    <x v="0"/>
    <x v="0"/>
    <x v="4"/>
    <x v="6"/>
    <x v="2"/>
    <x v="3"/>
    <s v="GNR_EH_HEAT"/>
    <x v="0"/>
    <x v="5"/>
    <n v="81"/>
    <n v="19710"/>
    <n v="70956"/>
  </r>
  <r>
    <x v="0"/>
    <x v="0"/>
    <x v="0"/>
    <x v="0"/>
    <x v="0"/>
    <x v="4"/>
    <x v="6"/>
    <x v="2"/>
    <x v="3"/>
    <s v="GNR_EH_HEAT"/>
    <x v="0"/>
    <x v="3"/>
    <n v="81"/>
    <n v="19710"/>
    <n v="70956"/>
  </r>
  <r>
    <x v="0"/>
    <x v="0"/>
    <x v="0"/>
    <x v="0"/>
    <x v="0"/>
    <x v="4"/>
    <x v="6"/>
    <x v="2"/>
    <x v="3"/>
    <s v="GNR_EH_HEAT"/>
    <x v="0"/>
    <x v="6"/>
    <n v="81"/>
    <n v="19710"/>
    <n v="70956"/>
  </r>
  <r>
    <x v="0"/>
    <x v="0"/>
    <x v="0"/>
    <x v="0"/>
    <x v="0"/>
    <x v="4"/>
    <x v="6"/>
    <x v="2"/>
    <x v="3"/>
    <s v="GNR_EH_HEAT"/>
    <x v="0"/>
    <x v="4"/>
    <n v="81"/>
    <n v="19710"/>
    <n v="70956"/>
  </r>
  <r>
    <x v="0"/>
    <x v="0"/>
    <x v="0"/>
    <x v="0"/>
    <x v="0"/>
    <x v="4"/>
    <x v="6"/>
    <x v="2"/>
    <x v="3"/>
    <s v="GNR_EH_HEAT"/>
    <x v="0"/>
    <x v="7"/>
    <n v="81"/>
    <n v="19710"/>
    <n v="70956"/>
  </r>
  <r>
    <x v="0"/>
    <x v="0"/>
    <x v="0"/>
    <x v="0"/>
    <x v="0"/>
    <x v="4"/>
    <x v="6"/>
    <x v="2"/>
    <x v="3"/>
    <s v="GNR_EH_HEAT"/>
    <x v="0"/>
    <x v="8"/>
    <n v="81"/>
    <n v="19710"/>
    <n v="70956"/>
  </r>
  <r>
    <x v="0"/>
    <x v="0"/>
    <x v="0"/>
    <x v="0"/>
    <x v="0"/>
    <x v="4"/>
    <x v="6"/>
    <x v="2"/>
    <x v="3"/>
    <s v="GNR_EH_HEAT"/>
    <x v="0"/>
    <x v="0"/>
    <n v="81"/>
    <n v="19710"/>
    <n v="70956"/>
  </r>
  <r>
    <x v="0"/>
    <x v="0"/>
    <x v="0"/>
    <x v="0"/>
    <x v="0"/>
    <x v="4"/>
    <x v="6"/>
    <x v="2"/>
    <x v="3"/>
    <s v="GNR_EH_HEAT"/>
    <x v="0"/>
    <x v="1"/>
    <n v="81"/>
    <n v="19710"/>
    <n v="70956"/>
  </r>
  <r>
    <x v="0"/>
    <x v="0"/>
    <x v="0"/>
    <x v="0"/>
    <x v="0"/>
    <x v="4"/>
    <x v="6"/>
    <x v="2"/>
    <x v="3"/>
    <s v="GNR_EH_HEAT"/>
    <x v="0"/>
    <x v="2"/>
    <n v="81"/>
    <n v="19710"/>
    <n v="70956"/>
  </r>
  <r>
    <x v="0"/>
    <x v="0"/>
    <x v="0"/>
    <x v="0"/>
    <x v="0"/>
    <x v="4"/>
    <x v="6"/>
    <x v="2"/>
    <x v="3"/>
    <s v="GNR_EH_HEAT"/>
    <x v="0"/>
    <x v="9"/>
    <n v="81"/>
    <n v="19710"/>
    <n v="70956"/>
  </r>
  <r>
    <x v="0"/>
    <x v="0"/>
    <x v="0"/>
    <x v="0"/>
    <x v="0"/>
    <x v="4"/>
    <x v="6"/>
    <x v="2"/>
    <x v="3"/>
    <s v="GNR_EH_HEAT"/>
    <x v="0"/>
    <x v="10"/>
    <n v="81"/>
    <n v="19710"/>
    <n v="70956"/>
  </r>
  <r>
    <x v="0"/>
    <x v="0"/>
    <x v="0"/>
    <x v="0"/>
    <x v="0"/>
    <x v="4"/>
    <x v="6"/>
    <x v="2"/>
    <x v="3"/>
    <s v="GNR_EH_HEAT"/>
    <x v="0"/>
    <x v="11"/>
    <n v="81"/>
    <n v="19710"/>
    <n v="70956"/>
  </r>
  <r>
    <x v="0"/>
    <x v="0"/>
    <x v="0"/>
    <x v="0"/>
    <x v="0"/>
    <x v="4"/>
    <x v="6"/>
    <x v="2"/>
    <x v="3"/>
    <s v="GNR_EH_HEAT"/>
    <x v="2"/>
    <x v="5"/>
    <n v="81"/>
    <n v="19710"/>
    <n v="70956"/>
  </r>
  <r>
    <x v="0"/>
    <x v="0"/>
    <x v="0"/>
    <x v="0"/>
    <x v="0"/>
    <x v="4"/>
    <x v="6"/>
    <x v="2"/>
    <x v="3"/>
    <s v="GNR_EH_HEAT"/>
    <x v="2"/>
    <x v="3"/>
    <n v="81"/>
    <n v="19710"/>
    <n v="70956"/>
  </r>
  <r>
    <x v="0"/>
    <x v="0"/>
    <x v="0"/>
    <x v="0"/>
    <x v="0"/>
    <x v="4"/>
    <x v="6"/>
    <x v="2"/>
    <x v="3"/>
    <s v="GNR_EH_HEAT"/>
    <x v="2"/>
    <x v="6"/>
    <n v="81"/>
    <n v="19710"/>
    <n v="70956"/>
  </r>
  <r>
    <x v="0"/>
    <x v="0"/>
    <x v="0"/>
    <x v="0"/>
    <x v="0"/>
    <x v="4"/>
    <x v="6"/>
    <x v="2"/>
    <x v="3"/>
    <s v="GNR_EH_HEAT"/>
    <x v="2"/>
    <x v="4"/>
    <n v="81"/>
    <n v="19710"/>
    <n v="70956"/>
  </r>
  <r>
    <x v="0"/>
    <x v="0"/>
    <x v="0"/>
    <x v="0"/>
    <x v="0"/>
    <x v="4"/>
    <x v="6"/>
    <x v="2"/>
    <x v="3"/>
    <s v="GNR_EH_HEAT"/>
    <x v="2"/>
    <x v="7"/>
    <n v="81"/>
    <n v="19710"/>
    <n v="70956"/>
  </r>
  <r>
    <x v="0"/>
    <x v="0"/>
    <x v="0"/>
    <x v="0"/>
    <x v="0"/>
    <x v="4"/>
    <x v="6"/>
    <x v="2"/>
    <x v="3"/>
    <s v="GNR_EH_HEAT"/>
    <x v="2"/>
    <x v="8"/>
    <n v="81"/>
    <n v="19710"/>
    <n v="70956"/>
  </r>
  <r>
    <x v="0"/>
    <x v="0"/>
    <x v="0"/>
    <x v="0"/>
    <x v="0"/>
    <x v="4"/>
    <x v="6"/>
    <x v="2"/>
    <x v="3"/>
    <s v="GNR_EH_HEAT"/>
    <x v="2"/>
    <x v="0"/>
    <n v="81"/>
    <n v="19710"/>
    <n v="70956"/>
  </r>
  <r>
    <x v="0"/>
    <x v="0"/>
    <x v="0"/>
    <x v="0"/>
    <x v="0"/>
    <x v="4"/>
    <x v="6"/>
    <x v="2"/>
    <x v="3"/>
    <s v="GNR_EH_HEAT"/>
    <x v="2"/>
    <x v="1"/>
    <n v="81"/>
    <n v="19710"/>
    <n v="70956"/>
  </r>
  <r>
    <x v="0"/>
    <x v="0"/>
    <x v="0"/>
    <x v="0"/>
    <x v="0"/>
    <x v="4"/>
    <x v="6"/>
    <x v="2"/>
    <x v="3"/>
    <s v="GNR_EH_HEAT"/>
    <x v="2"/>
    <x v="2"/>
    <n v="81"/>
    <n v="19710"/>
    <n v="70956"/>
  </r>
  <r>
    <x v="0"/>
    <x v="0"/>
    <x v="0"/>
    <x v="0"/>
    <x v="0"/>
    <x v="4"/>
    <x v="6"/>
    <x v="2"/>
    <x v="3"/>
    <s v="GNR_EH_HEAT"/>
    <x v="2"/>
    <x v="9"/>
    <n v="81"/>
    <n v="19710"/>
    <n v="70956"/>
  </r>
  <r>
    <x v="0"/>
    <x v="0"/>
    <x v="0"/>
    <x v="0"/>
    <x v="0"/>
    <x v="4"/>
    <x v="6"/>
    <x v="2"/>
    <x v="3"/>
    <s v="GNR_EH_HEAT"/>
    <x v="2"/>
    <x v="10"/>
    <n v="81"/>
    <n v="19710"/>
    <n v="70956"/>
  </r>
  <r>
    <x v="0"/>
    <x v="0"/>
    <x v="0"/>
    <x v="0"/>
    <x v="0"/>
    <x v="4"/>
    <x v="6"/>
    <x v="2"/>
    <x v="3"/>
    <s v="GNR_EH_HEAT"/>
    <x v="2"/>
    <x v="11"/>
    <n v="81"/>
    <n v="19710"/>
    <n v="70956"/>
  </r>
  <r>
    <x v="0"/>
    <x v="0"/>
    <x v="0"/>
    <x v="0"/>
    <x v="0"/>
    <x v="4"/>
    <x v="6"/>
    <x v="2"/>
    <x v="3"/>
    <s v="GNR_EH_HEAT"/>
    <x v="1"/>
    <x v="5"/>
    <n v="81"/>
    <n v="19710"/>
    <n v="70956"/>
  </r>
  <r>
    <x v="0"/>
    <x v="0"/>
    <x v="0"/>
    <x v="0"/>
    <x v="0"/>
    <x v="4"/>
    <x v="6"/>
    <x v="2"/>
    <x v="3"/>
    <s v="GNR_EH_HEAT"/>
    <x v="1"/>
    <x v="3"/>
    <n v="81"/>
    <n v="19710"/>
    <n v="70956"/>
  </r>
  <r>
    <x v="0"/>
    <x v="0"/>
    <x v="0"/>
    <x v="0"/>
    <x v="0"/>
    <x v="4"/>
    <x v="6"/>
    <x v="2"/>
    <x v="3"/>
    <s v="GNR_EH_HEAT"/>
    <x v="1"/>
    <x v="6"/>
    <n v="81"/>
    <n v="19710"/>
    <n v="70956"/>
  </r>
  <r>
    <x v="0"/>
    <x v="0"/>
    <x v="0"/>
    <x v="0"/>
    <x v="0"/>
    <x v="4"/>
    <x v="6"/>
    <x v="2"/>
    <x v="3"/>
    <s v="GNR_EH_HEAT"/>
    <x v="1"/>
    <x v="4"/>
    <n v="81"/>
    <n v="19710"/>
    <n v="70956"/>
  </r>
  <r>
    <x v="0"/>
    <x v="0"/>
    <x v="0"/>
    <x v="0"/>
    <x v="0"/>
    <x v="4"/>
    <x v="6"/>
    <x v="2"/>
    <x v="3"/>
    <s v="GNR_EH_HEAT"/>
    <x v="1"/>
    <x v="7"/>
    <n v="81"/>
    <n v="19710"/>
    <n v="70956"/>
  </r>
  <r>
    <x v="0"/>
    <x v="0"/>
    <x v="0"/>
    <x v="0"/>
    <x v="0"/>
    <x v="4"/>
    <x v="6"/>
    <x v="2"/>
    <x v="3"/>
    <s v="GNR_EH_HEAT"/>
    <x v="1"/>
    <x v="8"/>
    <n v="81"/>
    <n v="19710"/>
    <n v="70956"/>
  </r>
  <r>
    <x v="0"/>
    <x v="0"/>
    <x v="0"/>
    <x v="0"/>
    <x v="0"/>
    <x v="4"/>
    <x v="6"/>
    <x v="2"/>
    <x v="3"/>
    <s v="GNR_EH_HEAT"/>
    <x v="1"/>
    <x v="0"/>
    <n v="81"/>
    <n v="19710"/>
    <n v="70956"/>
  </r>
  <r>
    <x v="0"/>
    <x v="0"/>
    <x v="0"/>
    <x v="0"/>
    <x v="0"/>
    <x v="4"/>
    <x v="6"/>
    <x v="2"/>
    <x v="3"/>
    <s v="GNR_EH_HEAT"/>
    <x v="1"/>
    <x v="1"/>
    <n v="81"/>
    <n v="19710"/>
    <n v="70956"/>
  </r>
  <r>
    <x v="0"/>
    <x v="0"/>
    <x v="0"/>
    <x v="0"/>
    <x v="0"/>
    <x v="4"/>
    <x v="6"/>
    <x v="2"/>
    <x v="3"/>
    <s v="GNR_EH_HEAT"/>
    <x v="1"/>
    <x v="2"/>
    <n v="81"/>
    <n v="19710"/>
    <n v="70956"/>
  </r>
  <r>
    <x v="0"/>
    <x v="0"/>
    <x v="0"/>
    <x v="0"/>
    <x v="0"/>
    <x v="4"/>
    <x v="6"/>
    <x v="2"/>
    <x v="3"/>
    <s v="GNR_EH_HEAT"/>
    <x v="1"/>
    <x v="9"/>
    <n v="81"/>
    <n v="19710"/>
    <n v="70956"/>
  </r>
  <r>
    <x v="0"/>
    <x v="0"/>
    <x v="0"/>
    <x v="0"/>
    <x v="0"/>
    <x v="4"/>
    <x v="6"/>
    <x v="2"/>
    <x v="3"/>
    <s v="GNR_EH_HEAT"/>
    <x v="1"/>
    <x v="10"/>
    <n v="81"/>
    <n v="19710"/>
    <n v="70956"/>
  </r>
  <r>
    <x v="0"/>
    <x v="0"/>
    <x v="0"/>
    <x v="0"/>
    <x v="0"/>
    <x v="4"/>
    <x v="6"/>
    <x v="2"/>
    <x v="3"/>
    <s v="GNR_EH_HEAT"/>
    <x v="1"/>
    <x v="11"/>
    <n v="81"/>
    <n v="19710"/>
    <n v="70956"/>
  </r>
  <r>
    <x v="0"/>
    <x v="0"/>
    <x v="0"/>
    <x v="0"/>
    <x v="0"/>
    <x v="4"/>
    <x v="6"/>
    <x v="2"/>
    <x v="3"/>
    <s v="GNR_GEO_HEAT_HO"/>
    <x v="0"/>
    <x v="5"/>
    <n v="10"/>
    <n v="2433.3333333333298"/>
    <n v="8760"/>
  </r>
  <r>
    <x v="0"/>
    <x v="0"/>
    <x v="0"/>
    <x v="0"/>
    <x v="0"/>
    <x v="4"/>
    <x v="6"/>
    <x v="2"/>
    <x v="3"/>
    <s v="GNR_GEO_HEAT_HO"/>
    <x v="0"/>
    <x v="3"/>
    <n v="10"/>
    <n v="2433.3333333333298"/>
    <n v="8760"/>
  </r>
  <r>
    <x v="0"/>
    <x v="0"/>
    <x v="0"/>
    <x v="0"/>
    <x v="0"/>
    <x v="4"/>
    <x v="6"/>
    <x v="2"/>
    <x v="3"/>
    <s v="GNR_GEO_HEAT_HO"/>
    <x v="0"/>
    <x v="6"/>
    <n v="10"/>
    <n v="2433.3333333333298"/>
    <n v="8760"/>
  </r>
  <r>
    <x v="0"/>
    <x v="0"/>
    <x v="0"/>
    <x v="0"/>
    <x v="0"/>
    <x v="4"/>
    <x v="6"/>
    <x v="2"/>
    <x v="3"/>
    <s v="GNR_GEO_HEAT_HO"/>
    <x v="0"/>
    <x v="4"/>
    <n v="10"/>
    <n v="2433.3333333333298"/>
    <n v="8760"/>
  </r>
  <r>
    <x v="0"/>
    <x v="0"/>
    <x v="0"/>
    <x v="0"/>
    <x v="0"/>
    <x v="4"/>
    <x v="6"/>
    <x v="2"/>
    <x v="3"/>
    <s v="GNR_GEO_HEAT_HO"/>
    <x v="0"/>
    <x v="7"/>
    <n v="10"/>
    <n v="2433.3333333333298"/>
    <n v="8760"/>
  </r>
  <r>
    <x v="0"/>
    <x v="0"/>
    <x v="0"/>
    <x v="0"/>
    <x v="0"/>
    <x v="4"/>
    <x v="6"/>
    <x v="2"/>
    <x v="3"/>
    <s v="GNR_GEO_HEAT_HO"/>
    <x v="0"/>
    <x v="8"/>
    <n v="10"/>
    <n v="2433.3333333333298"/>
    <n v="8760"/>
  </r>
  <r>
    <x v="0"/>
    <x v="0"/>
    <x v="0"/>
    <x v="0"/>
    <x v="0"/>
    <x v="4"/>
    <x v="6"/>
    <x v="2"/>
    <x v="3"/>
    <s v="GNR_GEO_HEAT_HO"/>
    <x v="0"/>
    <x v="0"/>
    <n v="10"/>
    <n v="2433.3333333333298"/>
    <n v="8760"/>
  </r>
  <r>
    <x v="0"/>
    <x v="0"/>
    <x v="0"/>
    <x v="0"/>
    <x v="0"/>
    <x v="4"/>
    <x v="6"/>
    <x v="2"/>
    <x v="3"/>
    <s v="GNR_GEO_HEAT_HO"/>
    <x v="0"/>
    <x v="1"/>
    <n v="10"/>
    <n v="2433.3333333333298"/>
    <n v="8760"/>
  </r>
  <r>
    <x v="0"/>
    <x v="0"/>
    <x v="0"/>
    <x v="0"/>
    <x v="0"/>
    <x v="4"/>
    <x v="6"/>
    <x v="2"/>
    <x v="3"/>
    <s v="GNR_GEO_HEAT_HO"/>
    <x v="0"/>
    <x v="2"/>
    <n v="10"/>
    <n v="2433.3333333333298"/>
    <n v="8760"/>
  </r>
  <r>
    <x v="0"/>
    <x v="0"/>
    <x v="0"/>
    <x v="0"/>
    <x v="0"/>
    <x v="4"/>
    <x v="6"/>
    <x v="2"/>
    <x v="3"/>
    <s v="GNR_GEO_HEAT_HO"/>
    <x v="0"/>
    <x v="9"/>
    <n v="10"/>
    <n v="2433.3333333333298"/>
    <n v="8760"/>
  </r>
  <r>
    <x v="0"/>
    <x v="0"/>
    <x v="0"/>
    <x v="0"/>
    <x v="0"/>
    <x v="4"/>
    <x v="6"/>
    <x v="2"/>
    <x v="3"/>
    <s v="GNR_GEO_HEAT_HO"/>
    <x v="0"/>
    <x v="10"/>
    <n v="10"/>
    <n v="2433.3333333333298"/>
    <n v="8760"/>
  </r>
  <r>
    <x v="0"/>
    <x v="0"/>
    <x v="0"/>
    <x v="0"/>
    <x v="0"/>
    <x v="4"/>
    <x v="6"/>
    <x v="2"/>
    <x v="3"/>
    <s v="GNR_GEO_HEAT_HO"/>
    <x v="0"/>
    <x v="11"/>
    <n v="10"/>
    <n v="2433.3333333333298"/>
    <n v="8760"/>
  </r>
  <r>
    <x v="0"/>
    <x v="0"/>
    <x v="0"/>
    <x v="0"/>
    <x v="0"/>
    <x v="4"/>
    <x v="6"/>
    <x v="2"/>
    <x v="3"/>
    <s v="GNR_GEO_HEAT_HO"/>
    <x v="2"/>
    <x v="5"/>
    <n v="10"/>
    <n v="2433.3333333333298"/>
    <n v="8760"/>
  </r>
  <r>
    <x v="0"/>
    <x v="0"/>
    <x v="0"/>
    <x v="0"/>
    <x v="0"/>
    <x v="4"/>
    <x v="6"/>
    <x v="2"/>
    <x v="3"/>
    <s v="GNR_GEO_HEAT_HO"/>
    <x v="2"/>
    <x v="3"/>
    <n v="10"/>
    <n v="2433.3333333333298"/>
    <n v="8760"/>
  </r>
  <r>
    <x v="0"/>
    <x v="0"/>
    <x v="0"/>
    <x v="0"/>
    <x v="0"/>
    <x v="4"/>
    <x v="6"/>
    <x v="2"/>
    <x v="3"/>
    <s v="GNR_GEO_HEAT_HO"/>
    <x v="2"/>
    <x v="6"/>
    <n v="10"/>
    <n v="2433.3333333333298"/>
    <n v="8760"/>
  </r>
  <r>
    <x v="0"/>
    <x v="0"/>
    <x v="0"/>
    <x v="0"/>
    <x v="0"/>
    <x v="4"/>
    <x v="6"/>
    <x v="2"/>
    <x v="3"/>
    <s v="GNR_GEO_HEAT_HO"/>
    <x v="2"/>
    <x v="4"/>
    <n v="10"/>
    <n v="2433.3333333333298"/>
    <n v="8760"/>
  </r>
  <r>
    <x v="0"/>
    <x v="0"/>
    <x v="0"/>
    <x v="0"/>
    <x v="0"/>
    <x v="4"/>
    <x v="6"/>
    <x v="2"/>
    <x v="3"/>
    <s v="GNR_GEO_HEAT_HO"/>
    <x v="2"/>
    <x v="7"/>
    <n v="10"/>
    <n v="2433.3333333333298"/>
    <n v="8760"/>
  </r>
  <r>
    <x v="0"/>
    <x v="0"/>
    <x v="0"/>
    <x v="0"/>
    <x v="0"/>
    <x v="4"/>
    <x v="6"/>
    <x v="2"/>
    <x v="3"/>
    <s v="GNR_GEO_HEAT_HO"/>
    <x v="2"/>
    <x v="8"/>
    <n v="10"/>
    <n v="2433.3333333333298"/>
    <n v="8760"/>
  </r>
  <r>
    <x v="0"/>
    <x v="0"/>
    <x v="0"/>
    <x v="0"/>
    <x v="0"/>
    <x v="4"/>
    <x v="6"/>
    <x v="2"/>
    <x v="3"/>
    <s v="GNR_GEO_HEAT_HO"/>
    <x v="2"/>
    <x v="0"/>
    <n v="10"/>
    <n v="2433.3333333333298"/>
    <n v="8760"/>
  </r>
  <r>
    <x v="0"/>
    <x v="0"/>
    <x v="0"/>
    <x v="0"/>
    <x v="0"/>
    <x v="4"/>
    <x v="6"/>
    <x v="2"/>
    <x v="3"/>
    <s v="GNR_GEO_HEAT_HO"/>
    <x v="2"/>
    <x v="1"/>
    <n v="10"/>
    <n v="2433.3333333333298"/>
    <n v="8760"/>
  </r>
  <r>
    <x v="0"/>
    <x v="0"/>
    <x v="0"/>
    <x v="0"/>
    <x v="0"/>
    <x v="4"/>
    <x v="6"/>
    <x v="2"/>
    <x v="3"/>
    <s v="GNR_GEO_HEAT_HO"/>
    <x v="2"/>
    <x v="2"/>
    <n v="10"/>
    <n v="2433.3333333333298"/>
    <n v="8760"/>
  </r>
  <r>
    <x v="0"/>
    <x v="0"/>
    <x v="0"/>
    <x v="0"/>
    <x v="0"/>
    <x v="4"/>
    <x v="6"/>
    <x v="2"/>
    <x v="3"/>
    <s v="GNR_GEO_HEAT_HO"/>
    <x v="2"/>
    <x v="9"/>
    <n v="10"/>
    <n v="2433.3333333333298"/>
    <n v="8760"/>
  </r>
  <r>
    <x v="0"/>
    <x v="0"/>
    <x v="0"/>
    <x v="0"/>
    <x v="0"/>
    <x v="4"/>
    <x v="6"/>
    <x v="2"/>
    <x v="3"/>
    <s v="GNR_GEO_HEAT_HO"/>
    <x v="2"/>
    <x v="10"/>
    <n v="10"/>
    <n v="2433.3333333333298"/>
    <n v="8760"/>
  </r>
  <r>
    <x v="0"/>
    <x v="0"/>
    <x v="0"/>
    <x v="0"/>
    <x v="0"/>
    <x v="4"/>
    <x v="6"/>
    <x v="2"/>
    <x v="3"/>
    <s v="GNR_GEO_HEAT_HO"/>
    <x v="2"/>
    <x v="11"/>
    <n v="10"/>
    <n v="2433.3333333333298"/>
    <n v="8760"/>
  </r>
  <r>
    <x v="0"/>
    <x v="0"/>
    <x v="0"/>
    <x v="0"/>
    <x v="0"/>
    <x v="4"/>
    <x v="6"/>
    <x v="2"/>
    <x v="3"/>
    <s v="GNR_GEO_HEAT_HO"/>
    <x v="1"/>
    <x v="5"/>
    <n v="10"/>
    <n v="2433.3333333333298"/>
    <n v="8760"/>
  </r>
  <r>
    <x v="0"/>
    <x v="0"/>
    <x v="0"/>
    <x v="0"/>
    <x v="0"/>
    <x v="4"/>
    <x v="6"/>
    <x v="2"/>
    <x v="3"/>
    <s v="GNR_GEO_HEAT_HO"/>
    <x v="1"/>
    <x v="3"/>
    <n v="10"/>
    <n v="2433.3333333333298"/>
    <n v="8760"/>
  </r>
  <r>
    <x v="0"/>
    <x v="0"/>
    <x v="0"/>
    <x v="0"/>
    <x v="0"/>
    <x v="4"/>
    <x v="6"/>
    <x v="2"/>
    <x v="3"/>
    <s v="GNR_GEO_HEAT_HO"/>
    <x v="1"/>
    <x v="6"/>
    <n v="10"/>
    <n v="2433.3333333333298"/>
    <n v="8760"/>
  </r>
  <r>
    <x v="0"/>
    <x v="0"/>
    <x v="0"/>
    <x v="0"/>
    <x v="0"/>
    <x v="4"/>
    <x v="6"/>
    <x v="2"/>
    <x v="3"/>
    <s v="GNR_GEO_HEAT_HO"/>
    <x v="1"/>
    <x v="4"/>
    <n v="10"/>
    <n v="2433.3333333333298"/>
    <n v="8760"/>
  </r>
  <r>
    <x v="0"/>
    <x v="0"/>
    <x v="0"/>
    <x v="0"/>
    <x v="0"/>
    <x v="4"/>
    <x v="6"/>
    <x v="2"/>
    <x v="3"/>
    <s v="GNR_GEO_HEAT_HO"/>
    <x v="1"/>
    <x v="7"/>
    <n v="10"/>
    <n v="2433.3333333333298"/>
    <n v="8760"/>
  </r>
  <r>
    <x v="0"/>
    <x v="0"/>
    <x v="0"/>
    <x v="0"/>
    <x v="0"/>
    <x v="4"/>
    <x v="6"/>
    <x v="2"/>
    <x v="3"/>
    <s v="GNR_GEO_HEAT_HO"/>
    <x v="1"/>
    <x v="8"/>
    <n v="10"/>
    <n v="2433.3333333333298"/>
    <n v="8760"/>
  </r>
  <r>
    <x v="0"/>
    <x v="0"/>
    <x v="0"/>
    <x v="0"/>
    <x v="0"/>
    <x v="4"/>
    <x v="6"/>
    <x v="2"/>
    <x v="3"/>
    <s v="GNR_GEO_HEAT_HO"/>
    <x v="1"/>
    <x v="0"/>
    <n v="10"/>
    <n v="2433.3333333333298"/>
    <n v="8760"/>
  </r>
  <r>
    <x v="0"/>
    <x v="0"/>
    <x v="0"/>
    <x v="0"/>
    <x v="0"/>
    <x v="4"/>
    <x v="6"/>
    <x v="2"/>
    <x v="3"/>
    <s v="GNR_GEO_HEAT_HO"/>
    <x v="1"/>
    <x v="1"/>
    <n v="10"/>
    <n v="2433.3333333333298"/>
    <n v="8760"/>
  </r>
  <r>
    <x v="0"/>
    <x v="0"/>
    <x v="0"/>
    <x v="0"/>
    <x v="0"/>
    <x v="4"/>
    <x v="6"/>
    <x v="2"/>
    <x v="3"/>
    <s v="GNR_GEO_HEAT_HO"/>
    <x v="1"/>
    <x v="2"/>
    <n v="10"/>
    <n v="2433.3333333333298"/>
    <n v="8760"/>
  </r>
  <r>
    <x v="0"/>
    <x v="0"/>
    <x v="0"/>
    <x v="0"/>
    <x v="0"/>
    <x v="4"/>
    <x v="6"/>
    <x v="2"/>
    <x v="3"/>
    <s v="GNR_GEO_HEAT_HO"/>
    <x v="1"/>
    <x v="9"/>
    <n v="10"/>
    <n v="2433.3333333333298"/>
    <n v="8760"/>
  </r>
  <r>
    <x v="0"/>
    <x v="0"/>
    <x v="0"/>
    <x v="0"/>
    <x v="0"/>
    <x v="4"/>
    <x v="6"/>
    <x v="2"/>
    <x v="3"/>
    <s v="GNR_GEO_HEAT_HO"/>
    <x v="1"/>
    <x v="10"/>
    <n v="10"/>
    <n v="2433.3333333333298"/>
    <n v="8760"/>
  </r>
  <r>
    <x v="0"/>
    <x v="0"/>
    <x v="0"/>
    <x v="0"/>
    <x v="0"/>
    <x v="4"/>
    <x v="6"/>
    <x v="2"/>
    <x v="3"/>
    <s v="GNR_GEO_HEAT_HO"/>
    <x v="1"/>
    <x v="11"/>
    <n v="10"/>
    <n v="2433.3333333333298"/>
    <n v="8760"/>
  </r>
  <r>
    <x v="0"/>
    <x v="0"/>
    <x v="0"/>
    <x v="0"/>
    <x v="0"/>
    <x v="5"/>
    <x v="8"/>
    <x v="4"/>
    <x v="5"/>
    <s v="GNR_BO_ELEC_E-99_LS-10-MW-FEED_PHH_Y-2030"/>
    <x v="0"/>
    <x v="5"/>
    <n v="112.782014654585"/>
    <n v="27443.623565949099"/>
    <n v="98797.044837416906"/>
  </r>
  <r>
    <x v="0"/>
    <x v="0"/>
    <x v="0"/>
    <x v="0"/>
    <x v="0"/>
    <x v="5"/>
    <x v="8"/>
    <x v="4"/>
    <x v="5"/>
    <s v="GNR_BO_ELEC_E-99_LS-10-MW-FEED_PHH_Y-2030"/>
    <x v="2"/>
    <x v="5"/>
    <n v="190.65122102028701"/>
    <n v="46391.797114936497"/>
    <n v="167010.46961377101"/>
  </r>
  <r>
    <x v="0"/>
    <x v="0"/>
    <x v="0"/>
    <x v="0"/>
    <x v="0"/>
    <x v="5"/>
    <x v="8"/>
    <x v="4"/>
    <x v="5"/>
    <s v="GNR_BO_ELEC_E-99_LS-10-MW-FEED_PHH_Y-2030"/>
    <x v="2"/>
    <x v="7"/>
    <n v="190.65122102028701"/>
    <n v="46391.797114936497"/>
    <n v="167010.46961377101"/>
  </r>
  <r>
    <x v="0"/>
    <x v="0"/>
    <x v="0"/>
    <x v="0"/>
    <x v="0"/>
    <x v="5"/>
    <x v="8"/>
    <x v="4"/>
    <x v="5"/>
    <s v="GNR_BO_ELEC_E-99_LS-10-MW-FEED_PHH_Y-2030"/>
    <x v="2"/>
    <x v="8"/>
    <n v="190.65122102028701"/>
    <n v="46391.797114936497"/>
    <n v="167010.46961377101"/>
  </r>
  <r>
    <x v="0"/>
    <x v="0"/>
    <x v="0"/>
    <x v="0"/>
    <x v="0"/>
    <x v="5"/>
    <x v="8"/>
    <x v="4"/>
    <x v="5"/>
    <s v="GNR_BO_ELEC_E-99_LS-10-MW-FEED_PHH_Y-2030"/>
    <x v="2"/>
    <x v="0"/>
    <n v="190.65122102028701"/>
    <n v="46391.797114936497"/>
    <n v="167010.46961377101"/>
  </r>
  <r>
    <x v="0"/>
    <x v="0"/>
    <x v="0"/>
    <x v="0"/>
    <x v="0"/>
    <x v="5"/>
    <x v="3"/>
    <x v="2"/>
    <x v="3"/>
    <s v="GNR_BO_NGAS_E-70_PHH"/>
    <x v="0"/>
    <x v="8"/>
    <n v="59.008541666666702"/>
    <n v="14358.7451388889"/>
    <n v="51691.482499999998"/>
  </r>
  <r>
    <x v="0"/>
    <x v="0"/>
    <x v="0"/>
    <x v="0"/>
    <x v="0"/>
    <x v="6"/>
    <x v="3"/>
    <x v="2"/>
    <x v="3"/>
    <s v="GNR_BO_NGAS_E-82_PHL"/>
    <x v="0"/>
    <x v="5"/>
    <n v="2058.0175927791202"/>
    <n v="500784.280909586"/>
    <n v="1802823.41127451"/>
  </r>
  <r>
    <x v="0"/>
    <x v="0"/>
    <x v="0"/>
    <x v="0"/>
    <x v="0"/>
    <x v="6"/>
    <x v="3"/>
    <x v="2"/>
    <x v="3"/>
    <s v="GNR_BO_NGAS_E-82_PHL"/>
    <x v="0"/>
    <x v="3"/>
    <n v="1837.42250576115"/>
    <n v="447106.14306854602"/>
    <n v="1609582.1150467701"/>
  </r>
  <r>
    <x v="0"/>
    <x v="0"/>
    <x v="0"/>
    <x v="0"/>
    <x v="0"/>
    <x v="6"/>
    <x v="3"/>
    <x v="2"/>
    <x v="3"/>
    <s v="GNR_BO_NGAS_E-82_PHL"/>
    <x v="0"/>
    <x v="6"/>
    <n v="2154.6298998586599"/>
    <n v="524293.27563227399"/>
    <n v="1887455.7922761899"/>
  </r>
  <r>
    <x v="0"/>
    <x v="0"/>
    <x v="0"/>
    <x v="0"/>
    <x v="0"/>
    <x v="6"/>
    <x v="3"/>
    <x v="2"/>
    <x v="3"/>
    <s v="GNR_BO_NGAS_E-82_PHL"/>
    <x v="0"/>
    <x v="4"/>
    <n v="1849.4418830370701"/>
    <n v="450030.85820568801"/>
    <n v="1620111.0895404799"/>
  </r>
  <r>
    <x v="0"/>
    <x v="0"/>
    <x v="0"/>
    <x v="0"/>
    <x v="0"/>
    <x v="6"/>
    <x v="3"/>
    <x v="2"/>
    <x v="3"/>
    <s v="GNR_BO_NGAS_E-82_PHL"/>
    <x v="0"/>
    <x v="7"/>
    <n v="1780.4591003461501"/>
    <n v="433245.04775089602"/>
    <n v="1559682.17190323"/>
  </r>
  <r>
    <x v="0"/>
    <x v="0"/>
    <x v="0"/>
    <x v="0"/>
    <x v="0"/>
    <x v="6"/>
    <x v="3"/>
    <x v="2"/>
    <x v="3"/>
    <s v="GNR_BO_NGAS_E-82_PHL"/>
    <x v="0"/>
    <x v="8"/>
    <n v="2305.8572677678299"/>
    <n v="561091.93515683804"/>
    <n v="2019930.9665646199"/>
  </r>
  <r>
    <x v="0"/>
    <x v="0"/>
    <x v="0"/>
    <x v="0"/>
    <x v="0"/>
    <x v="6"/>
    <x v="3"/>
    <x v="2"/>
    <x v="3"/>
    <s v="GNR_BO_NGAS_E-82_PHL"/>
    <x v="0"/>
    <x v="0"/>
    <n v="1777.1313069214"/>
    <n v="432435.284684207"/>
    <n v="1556767.02486315"/>
  </r>
  <r>
    <x v="0"/>
    <x v="0"/>
    <x v="0"/>
    <x v="0"/>
    <x v="0"/>
    <x v="6"/>
    <x v="3"/>
    <x v="2"/>
    <x v="3"/>
    <s v="GNR_BO_NGAS_E-82_PHL"/>
    <x v="0"/>
    <x v="1"/>
    <n v="2273.47041601607"/>
    <n v="553211.13456391101"/>
    <n v="1991560.0844300799"/>
  </r>
  <r>
    <x v="0"/>
    <x v="0"/>
    <x v="0"/>
    <x v="0"/>
    <x v="0"/>
    <x v="6"/>
    <x v="3"/>
    <x v="2"/>
    <x v="3"/>
    <s v="GNR_BO_NGAS_E-82_PHL"/>
    <x v="0"/>
    <x v="2"/>
    <n v="1986.9040152529799"/>
    <n v="483479.97704489098"/>
    <n v="1740527.9173616101"/>
  </r>
  <r>
    <x v="0"/>
    <x v="0"/>
    <x v="0"/>
    <x v="0"/>
    <x v="0"/>
    <x v="6"/>
    <x v="3"/>
    <x v="2"/>
    <x v="3"/>
    <s v="GNR_BO_NGAS_E-82_PHL"/>
    <x v="0"/>
    <x v="9"/>
    <n v="1558.3437633938399"/>
    <n v="379196.98242583399"/>
    <n v="1365109.1367329999"/>
  </r>
  <r>
    <x v="0"/>
    <x v="0"/>
    <x v="0"/>
    <x v="0"/>
    <x v="0"/>
    <x v="6"/>
    <x v="3"/>
    <x v="2"/>
    <x v="3"/>
    <s v="GNR_BO_NGAS_E-82_PHL"/>
    <x v="0"/>
    <x v="10"/>
    <n v="1589.5181633531299"/>
    <n v="386782.75308259402"/>
    <n v="1392417.9110973401"/>
  </r>
  <r>
    <x v="0"/>
    <x v="0"/>
    <x v="0"/>
    <x v="0"/>
    <x v="0"/>
    <x v="6"/>
    <x v="3"/>
    <x v="2"/>
    <x v="3"/>
    <s v="GNR_BO_NGAS_E-82_PHL"/>
    <x v="0"/>
    <x v="11"/>
    <n v="1558.7842634418901"/>
    <n v="379304.17077086098"/>
    <n v="1365495.0147750999"/>
  </r>
  <r>
    <x v="0"/>
    <x v="0"/>
    <x v="0"/>
    <x v="0"/>
    <x v="0"/>
    <x v="6"/>
    <x v="3"/>
    <x v="2"/>
    <x v="3"/>
    <s v="GNR_BO_NGAS_E-82_PHL"/>
    <x v="2"/>
    <x v="5"/>
    <n v="1217.71482324518"/>
    <n v="296310.60698966001"/>
    <n v="1066718.1851627801"/>
  </r>
  <r>
    <x v="0"/>
    <x v="0"/>
    <x v="0"/>
    <x v="0"/>
    <x v="0"/>
    <x v="6"/>
    <x v="3"/>
    <x v="2"/>
    <x v="3"/>
    <s v="GNR_BO_NGAS_E-82_PHL"/>
    <x v="2"/>
    <x v="3"/>
    <n v="1078.0736660616401"/>
    <n v="262331.25874166499"/>
    <n v="944392.53146999399"/>
  </r>
  <r>
    <x v="0"/>
    <x v="0"/>
    <x v="0"/>
    <x v="0"/>
    <x v="0"/>
    <x v="6"/>
    <x v="3"/>
    <x v="2"/>
    <x v="3"/>
    <s v="GNR_BO_NGAS_E-82_PHL"/>
    <x v="2"/>
    <x v="6"/>
    <n v="1193.8734629652499"/>
    <n v="290509.20932154398"/>
    <n v="1045833.1535575601"/>
  </r>
  <r>
    <x v="0"/>
    <x v="0"/>
    <x v="0"/>
    <x v="0"/>
    <x v="0"/>
    <x v="6"/>
    <x v="3"/>
    <x v="2"/>
    <x v="3"/>
    <s v="GNR_BO_NGAS_E-82_PHL"/>
    <x v="2"/>
    <x v="4"/>
    <n v="1068.79701085801"/>
    <n v="260073.93930878301"/>
    <n v="936266.18151161901"/>
  </r>
  <r>
    <x v="0"/>
    <x v="0"/>
    <x v="0"/>
    <x v="0"/>
    <x v="0"/>
    <x v="6"/>
    <x v="3"/>
    <x v="2"/>
    <x v="3"/>
    <s v="GNR_BO_NGAS_E-82_PHL"/>
    <x v="2"/>
    <x v="7"/>
    <n v="555.06163651679003"/>
    <n v="135064.998219086"/>
    <n v="486233.99358870799"/>
  </r>
  <r>
    <x v="0"/>
    <x v="0"/>
    <x v="0"/>
    <x v="0"/>
    <x v="0"/>
    <x v="6"/>
    <x v="3"/>
    <x v="2"/>
    <x v="3"/>
    <s v="GNR_BO_NGAS_E-82_PHL"/>
    <x v="2"/>
    <x v="8"/>
    <n v="845.21061439289997"/>
    <n v="205667.916168939"/>
    <n v="740404.498208181"/>
  </r>
  <r>
    <x v="0"/>
    <x v="0"/>
    <x v="0"/>
    <x v="0"/>
    <x v="0"/>
    <x v="6"/>
    <x v="3"/>
    <x v="2"/>
    <x v="3"/>
    <s v="GNR_BO_NGAS_E-82_PHL"/>
    <x v="2"/>
    <x v="0"/>
    <n v="363.10712045453897"/>
    <n v="88356.065977271195"/>
    <n v="318081.83751817601"/>
  </r>
  <r>
    <x v="0"/>
    <x v="0"/>
    <x v="0"/>
    <x v="0"/>
    <x v="0"/>
    <x v="6"/>
    <x v="3"/>
    <x v="2"/>
    <x v="3"/>
    <s v="GNR_BO_NGAS_E-82_PHL"/>
    <x v="2"/>
    <x v="1"/>
    <n v="815.21354866885304"/>
    <n v="198368.63017608799"/>
    <n v="714127.06863391504"/>
  </r>
  <r>
    <x v="0"/>
    <x v="0"/>
    <x v="0"/>
    <x v="0"/>
    <x v="0"/>
    <x v="6"/>
    <x v="3"/>
    <x v="2"/>
    <x v="3"/>
    <s v="GNR_BO_NGAS_E-82_PHL"/>
    <x v="2"/>
    <x v="2"/>
    <n v="758.07187649227399"/>
    <n v="184464.15661311999"/>
    <n v="664070.96380723198"/>
  </r>
  <r>
    <x v="0"/>
    <x v="0"/>
    <x v="0"/>
    <x v="0"/>
    <x v="0"/>
    <x v="6"/>
    <x v="3"/>
    <x v="2"/>
    <x v="3"/>
    <s v="GNR_BO_NGAS_E-82_PHL"/>
    <x v="2"/>
    <x v="9"/>
    <n v="553.18530512917596"/>
    <n v="134608.4242481"/>
    <n v="484590.32729315798"/>
  </r>
  <r>
    <x v="0"/>
    <x v="0"/>
    <x v="0"/>
    <x v="0"/>
    <x v="0"/>
    <x v="6"/>
    <x v="3"/>
    <x v="2"/>
    <x v="3"/>
    <s v="GNR_BO_NGAS_E-82_PHL"/>
    <x v="2"/>
    <x v="10"/>
    <n v="646.12783833829599"/>
    <n v="157224.44066231899"/>
    <n v="566007.98638434801"/>
  </r>
  <r>
    <x v="0"/>
    <x v="0"/>
    <x v="0"/>
    <x v="0"/>
    <x v="0"/>
    <x v="6"/>
    <x v="3"/>
    <x v="2"/>
    <x v="3"/>
    <s v="GNR_BO_NGAS_E-82_PHL"/>
    <x v="2"/>
    <x v="11"/>
    <n v="326.71776803125999"/>
    <n v="79501.323554273302"/>
    <n v="286204.76479538402"/>
  </r>
  <r>
    <x v="0"/>
    <x v="0"/>
    <x v="0"/>
    <x v="0"/>
    <x v="0"/>
    <x v="6"/>
    <x v="3"/>
    <x v="2"/>
    <x v="3"/>
    <s v="GNR_BO_NGAS_E-82_PHL"/>
    <x v="1"/>
    <x v="5"/>
    <n v="430.11145981790798"/>
    <n v="104660.455222358"/>
    <n v="376777.63880048698"/>
  </r>
  <r>
    <x v="0"/>
    <x v="0"/>
    <x v="0"/>
    <x v="0"/>
    <x v="0"/>
    <x v="6"/>
    <x v="3"/>
    <x v="2"/>
    <x v="3"/>
    <s v="GNR_BO_NGAS_E-82_PHL"/>
    <x v="1"/>
    <x v="3"/>
    <n v="394.31138877105298"/>
    <n v="95949.1046009563"/>
    <n v="345416.77656344301"/>
  </r>
  <r>
    <x v="0"/>
    <x v="0"/>
    <x v="0"/>
    <x v="0"/>
    <x v="0"/>
    <x v="6"/>
    <x v="3"/>
    <x v="2"/>
    <x v="3"/>
    <s v="GNR_BO_NGAS_E-82_PHL"/>
    <x v="1"/>
    <x v="6"/>
    <n v="394.58373169638298"/>
    <n v="96015.374712786594"/>
    <n v="345655.34896603198"/>
  </r>
  <r>
    <x v="0"/>
    <x v="0"/>
    <x v="0"/>
    <x v="0"/>
    <x v="0"/>
    <x v="6"/>
    <x v="3"/>
    <x v="2"/>
    <x v="3"/>
    <s v="GNR_BO_NGAS_E-82_PHL"/>
    <x v="1"/>
    <x v="4"/>
    <n v="324.47112383815499"/>
    <n v="78954.640133951107"/>
    <n v="284236.70448222401"/>
  </r>
  <r>
    <x v="0"/>
    <x v="0"/>
    <x v="0"/>
    <x v="0"/>
    <x v="0"/>
    <x v="6"/>
    <x v="3"/>
    <x v="2"/>
    <x v="3"/>
    <s v="GNR_BO_NGAS_E-82_PHL"/>
    <x v="1"/>
    <x v="7"/>
    <n v="275.71108278108198"/>
    <n v="67089.696810063295"/>
    <n v="241522.908516228"/>
  </r>
  <r>
    <x v="0"/>
    <x v="0"/>
    <x v="0"/>
    <x v="0"/>
    <x v="0"/>
    <x v="6"/>
    <x v="3"/>
    <x v="2"/>
    <x v="3"/>
    <s v="GNR_BO_NGAS_E-82_PHL"/>
    <x v="1"/>
    <x v="8"/>
    <n v="382.67041949549099"/>
    <n v="93116.468743902893"/>
    <n v="335219.28747804998"/>
  </r>
  <r>
    <x v="0"/>
    <x v="0"/>
    <x v="0"/>
    <x v="0"/>
    <x v="0"/>
    <x v="6"/>
    <x v="3"/>
    <x v="2"/>
    <x v="3"/>
    <s v="GNR_BO_NGAS_E-82_PHL"/>
    <x v="1"/>
    <x v="0"/>
    <n v="308.55550376129003"/>
    <n v="75081.839248580596"/>
    <n v="270294.62129489001"/>
  </r>
  <r>
    <x v="0"/>
    <x v="0"/>
    <x v="0"/>
    <x v="0"/>
    <x v="0"/>
    <x v="6"/>
    <x v="3"/>
    <x v="2"/>
    <x v="3"/>
    <s v="GNR_BO_NGAS_E-82_PHL"/>
    <x v="1"/>
    <x v="1"/>
    <n v="441.37866207308002"/>
    <n v="107402.14110445"/>
    <n v="386647.70797601802"/>
  </r>
  <r>
    <x v="0"/>
    <x v="0"/>
    <x v="0"/>
    <x v="0"/>
    <x v="0"/>
    <x v="6"/>
    <x v="3"/>
    <x v="2"/>
    <x v="3"/>
    <s v="GNR_BO_NGAS_E-82_PHL"/>
    <x v="1"/>
    <x v="2"/>
    <n v="363.93646767752301"/>
    <n v="88557.873801530499"/>
    <n v="318808.34568551002"/>
  </r>
  <r>
    <x v="0"/>
    <x v="0"/>
    <x v="0"/>
    <x v="0"/>
    <x v="0"/>
    <x v="6"/>
    <x v="3"/>
    <x v="2"/>
    <x v="3"/>
    <s v="GNR_BO_NGAS_E-82_PHL"/>
    <x v="1"/>
    <x v="9"/>
    <n v="271.732812174456"/>
    <n v="66121.650962450803"/>
    <n v="238037.94346482301"/>
  </r>
  <r>
    <x v="0"/>
    <x v="0"/>
    <x v="0"/>
    <x v="0"/>
    <x v="0"/>
    <x v="6"/>
    <x v="3"/>
    <x v="2"/>
    <x v="3"/>
    <s v="GNR_BO_NGAS_E-82_PHL"/>
    <x v="1"/>
    <x v="10"/>
    <n v="363.01201779885503"/>
    <n v="88332.924331054703"/>
    <n v="317998.527591797"/>
  </r>
  <r>
    <x v="0"/>
    <x v="0"/>
    <x v="0"/>
    <x v="0"/>
    <x v="0"/>
    <x v="6"/>
    <x v="3"/>
    <x v="2"/>
    <x v="3"/>
    <s v="GNR_BO_NGAS_E-82_PHL"/>
    <x v="1"/>
    <x v="11"/>
    <n v="417.34307973456998"/>
    <n v="101553.48273541201"/>
    <n v="365592.53784748301"/>
  </r>
  <r>
    <x v="0"/>
    <x v="0"/>
    <x v="0"/>
    <x v="0"/>
    <x v="0"/>
    <x v="7"/>
    <x v="0"/>
    <x v="0"/>
    <x v="0"/>
    <s v="GNR_ENG_BGAS_BP_E-30"/>
    <x v="0"/>
    <x v="0"/>
    <n v="7.3170731707317103"/>
    <n v="1780.4878048780499"/>
    <n v="6409.7560975609804"/>
  </r>
  <r>
    <x v="0"/>
    <x v="0"/>
    <x v="0"/>
    <x v="0"/>
    <x v="0"/>
    <x v="7"/>
    <x v="0"/>
    <x v="0"/>
    <x v="0"/>
    <s v="GNR_ENG_BGAS_BP_E-30"/>
    <x v="0"/>
    <x v="1"/>
    <n v="7.3170731707317103"/>
    <n v="1780.4878048780499"/>
    <n v="6409.7560975609804"/>
  </r>
  <r>
    <x v="0"/>
    <x v="0"/>
    <x v="0"/>
    <x v="0"/>
    <x v="0"/>
    <x v="7"/>
    <x v="0"/>
    <x v="0"/>
    <x v="0"/>
    <s v="GNR_ENG_BGAS_BP_E-30"/>
    <x v="0"/>
    <x v="2"/>
    <n v="7.3170731707317103"/>
    <n v="1780.4878048780499"/>
    <n v="6409.7560975609804"/>
  </r>
  <r>
    <x v="0"/>
    <x v="0"/>
    <x v="0"/>
    <x v="0"/>
    <x v="0"/>
    <x v="7"/>
    <x v="0"/>
    <x v="0"/>
    <x v="0"/>
    <s v="GNR_ENG_BGAS_BP_E-37"/>
    <x v="0"/>
    <x v="0"/>
    <n v="2.1402439024390199"/>
    <n v="520.792682926829"/>
    <n v="1874.85365853659"/>
  </r>
  <r>
    <x v="0"/>
    <x v="0"/>
    <x v="0"/>
    <x v="0"/>
    <x v="0"/>
    <x v="7"/>
    <x v="0"/>
    <x v="0"/>
    <x v="0"/>
    <s v="GNR_ENG_BGAS_BP_E-37"/>
    <x v="0"/>
    <x v="1"/>
    <n v="2.1402439024390199"/>
    <n v="520.792682926829"/>
    <n v="1874.85365853659"/>
  </r>
  <r>
    <x v="0"/>
    <x v="0"/>
    <x v="0"/>
    <x v="0"/>
    <x v="0"/>
    <x v="7"/>
    <x v="0"/>
    <x v="0"/>
    <x v="0"/>
    <s v="GNR_ENG_BGAS_BP_E-37"/>
    <x v="0"/>
    <x v="2"/>
    <n v="2.1402439024390199"/>
    <n v="520.792682926829"/>
    <n v="1874.85365853659"/>
  </r>
  <r>
    <x v="0"/>
    <x v="0"/>
    <x v="0"/>
    <x v="0"/>
    <x v="0"/>
    <x v="7"/>
    <x v="0"/>
    <x v="0"/>
    <x v="0"/>
    <s v="GNR_ENG_BGAS_BP_E-38"/>
    <x v="0"/>
    <x v="0"/>
    <n v="0.97560975609756095"/>
    <n v="237.39837398373999"/>
    <n v="854.63414634146295"/>
  </r>
  <r>
    <x v="0"/>
    <x v="0"/>
    <x v="0"/>
    <x v="0"/>
    <x v="0"/>
    <x v="7"/>
    <x v="0"/>
    <x v="0"/>
    <x v="0"/>
    <s v="GNR_ENG_BGAS_BP_E-38"/>
    <x v="0"/>
    <x v="1"/>
    <n v="0.97560975609756095"/>
    <n v="237.39837398373999"/>
    <n v="854.63414634146295"/>
  </r>
  <r>
    <x v="0"/>
    <x v="0"/>
    <x v="0"/>
    <x v="0"/>
    <x v="0"/>
    <x v="7"/>
    <x v="0"/>
    <x v="0"/>
    <x v="0"/>
    <s v="GNR_ENG_BGAS_BP_E-38"/>
    <x v="0"/>
    <x v="2"/>
    <n v="0.97560975609756095"/>
    <n v="237.39837398373999"/>
    <n v="854.63414634146295"/>
  </r>
  <r>
    <x v="0"/>
    <x v="0"/>
    <x v="0"/>
    <x v="0"/>
    <x v="0"/>
    <x v="7"/>
    <x v="0"/>
    <x v="0"/>
    <x v="0"/>
    <s v="GNR_ENG_BGAS_BP_E-39"/>
    <x v="0"/>
    <x v="0"/>
    <n v="0.75609756097560998"/>
    <n v="183.98373983739799"/>
    <n v="662.34146341463395"/>
  </r>
  <r>
    <x v="0"/>
    <x v="0"/>
    <x v="0"/>
    <x v="0"/>
    <x v="0"/>
    <x v="7"/>
    <x v="0"/>
    <x v="0"/>
    <x v="0"/>
    <s v="GNR_ENG_BGAS_BP_E-39"/>
    <x v="0"/>
    <x v="1"/>
    <n v="0.75609756097560998"/>
    <n v="183.98373983739799"/>
    <n v="662.34146341463395"/>
  </r>
  <r>
    <x v="0"/>
    <x v="0"/>
    <x v="0"/>
    <x v="0"/>
    <x v="0"/>
    <x v="7"/>
    <x v="0"/>
    <x v="0"/>
    <x v="0"/>
    <s v="GNR_ENG_BGAS_BP_E-39"/>
    <x v="0"/>
    <x v="2"/>
    <n v="0.75609756097560998"/>
    <n v="183.98373983739799"/>
    <n v="662.34146341463395"/>
  </r>
  <r>
    <x v="0"/>
    <x v="0"/>
    <x v="0"/>
    <x v="0"/>
    <x v="0"/>
    <x v="7"/>
    <x v="0"/>
    <x v="0"/>
    <x v="0"/>
    <s v="GNR_ENG_BGAS_BP_E-39"/>
    <x v="1"/>
    <x v="3"/>
    <n v="0.75609756097560998"/>
    <n v="183.98373983739799"/>
    <n v="662.34146341463395"/>
  </r>
  <r>
    <x v="0"/>
    <x v="0"/>
    <x v="0"/>
    <x v="0"/>
    <x v="0"/>
    <x v="7"/>
    <x v="0"/>
    <x v="0"/>
    <x v="0"/>
    <s v="GNR_ENG_BGAS_BP_E-39"/>
    <x v="1"/>
    <x v="4"/>
    <n v="0.75609756097560998"/>
    <n v="183.98373983739799"/>
    <n v="662.34146341463395"/>
  </r>
  <r>
    <x v="0"/>
    <x v="0"/>
    <x v="0"/>
    <x v="0"/>
    <x v="0"/>
    <x v="7"/>
    <x v="0"/>
    <x v="0"/>
    <x v="0"/>
    <s v="GNR_ENG_BGAS_BP_E-39"/>
    <x v="1"/>
    <x v="0"/>
    <n v="0.75609756097560998"/>
    <n v="183.98373983739799"/>
    <n v="662.34146341463395"/>
  </r>
  <r>
    <x v="0"/>
    <x v="0"/>
    <x v="0"/>
    <x v="0"/>
    <x v="0"/>
    <x v="7"/>
    <x v="0"/>
    <x v="0"/>
    <x v="0"/>
    <s v="GNR_ENG_BGAS_BP_E-39"/>
    <x v="1"/>
    <x v="2"/>
    <n v="0.75609756097560998"/>
    <n v="183.98373983739799"/>
    <n v="662.34146341463395"/>
  </r>
  <r>
    <x v="0"/>
    <x v="0"/>
    <x v="0"/>
    <x v="0"/>
    <x v="0"/>
    <x v="7"/>
    <x v="0"/>
    <x v="0"/>
    <x v="0"/>
    <s v="GNR_ENG_BGAS_BP_E-40"/>
    <x v="0"/>
    <x v="0"/>
    <n v="7.7317073170731696"/>
    <n v="1881.3821138211399"/>
    <n v="6772.9756097561003"/>
  </r>
  <r>
    <x v="0"/>
    <x v="0"/>
    <x v="0"/>
    <x v="0"/>
    <x v="0"/>
    <x v="7"/>
    <x v="0"/>
    <x v="0"/>
    <x v="0"/>
    <s v="GNR_ENG_BGAS_BP_E-40"/>
    <x v="0"/>
    <x v="1"/>
    <n v="7.7317073170731696"/>
    <n v="1881.3821138211399"/>
    <n v="6772.9756097561003"/>
  </r>
  <r>
    <x v="0"/>
    <x v="0"/>
    <x v="0"/>
    <x v="0"/>
    <x v="0"/>
    <x v="7"/>
    <x v="0"/>
    <x v="0"/>
    <x v="0"/>
    <s v="GNR_ENG_BGAS_BP_E-40"/>
    <x v="0"/>
    <x v="2"/>
    <n v="7.7317073170731696"/>
    <n v="1881.3821138211399"/>
    <n v="6772.9756097561003"/>
  </r>
  <r>
    <x v="0"/>
    <x v="0"/>
    <x v="0"/>
    <x v="0"/>
    <x v="0"/>
    <x v="7"/>
    <x v="0"/>
    <x v="0"/>
    <x v="0"/>
    <s v="GNR_ENG_BGAS_BP_E-40"/>
    <x v="1"/>
    <x v="3"/>
    <n v="7.7317073170731696"/>
    <n v="1881.3821138211399"/>
    <n v="6772.9756097561003"/>
  </r>
  <r>
    <x v="0"/>
    <x v="0"/>
    <x v="0"/>
    <x v="0"/>
    <x v="0"/>
    <x v="7"/>
    <x v="0"/>
    <x v="0"/>
    <x v="0"/>
    <s v="GNR_ENG_BGAS_BP_E-40"/>
    <x v="1"/>
    <x v="4"/>
    <n v="7.7317073170731696"/>
    <n v="1881.3821138211399"/>
    <n v="6772.9756097561003"/>
  </r>
  <r>
    <x v="0"/>
    <x v="0"/>
    <x v="0"/>
    <x v="0"/>
    <x v="0"/>
    <x v="7"/>
    <x v="0"/>
    <x v="0"/>
    <x v="0"/>
    <s v="GNR_ENG_BGAS_BP_E-40"/>
    <x v="1"/>
    <x v="0"/>
    <n v="7.7317073170731696"/>
    <n v="1881.3821138211399"/>
    <n v="6772.9756097561003"/>
  </r>
  <r>
    <x v="0"/>
    <x v="0"/>
    <x v="0"/>
    <x v="0"/>
    <x v="0"/>
    <x v="7"/>
    <x v="0"/>
    <x v="0"/>
    <x v="0"/>
    <s v="GNR_ENG_BGAS_BP_E-40"/>
    <x v="1"/>
    <x v="2"/>
    <n v="7.7317073170731696"/>
    <n v="1881.3821138211399"/>
    <n v="6772.9756097561003"/>
  </r>
  <r>
    <x v="0"/>
    <x v="0"/>
    <x v="0"/>
    <x v="0"/>
    <x v="0"/>
    <x v="7"/>
    <x v="0"/>
    <x v="0"/>
    <x v="0"/>
    <s v="GNR_ENG_BGAS_BP_E-41"/>
    <x v="0"/>
    <x v="0"/>
    <n v="1.4390243902438999"/>
    <n v="350.162601626016"/>
    <n v="1260.5853658536601"/>
  </r>
  <r>
    <x v="0"/>
    <x v="0"/>
    <x v="0"/>
    <x v="0"/>
    <x v="0"/>
    <x v="7"/>
    <x v="0"/>
    <x v="0"/>
    <x v="0"/>
    <s v="GNR_ENG_BGAS_BP_E-41"/>
    <x v="0"/>
    <x v="1"/>
    <n v="1.4390243902438999"/>
    <n v="350.162601626016"/>
    <n v="1260.5853658536601"/>
  </r>
  <r>
    <x v="0"/>
    <x v="0"/>
    <x v="0"/>
    <x v="0"/>
    <x v="0"/>
    <x v="7"/>
    <x v="0"/>
    <x v="0"/>
    <x v="0"/>
    <s v="GNR_ENG_BGAS_BP_E-41"/>
    <x v="0"/>
    <x v="2"/>
    <n v="1.4390243902438999"/>
    <n v="350.162601626016"/>
    <n v="1260.5853658536601"/>
  </r>
  <r>
    <x v="0"/>
    <x v="0"/>
    <x v="0"/>
    <x v="0"/>
    <x v="0"/>
    <x v="7"/>
    <x v="0"/>
    <x v="0"/>
    <x v="0"/>
    <s v="GNR_ENG_BGAS_BP_E-41"/>
    <x v="1"/>
    <x v="3"/>
    <n v="1.4390243902438999"/>
    <n v="350.162601626016"/>
    <n v="1260.5853658536601"/>
  </r>
  <r>
    <x v="0"/>
    <x v="0"/>
    <x v="0"/>
    <x v="0"/>
    <x v="0"/>
    <x v="7"/>
    <x v="0"/>
    <x v="0"/>
    <x v="0"/>
    <s v="GNR_ENG_BGAS_BP_E-41"/>
    <x v="1"/>
    <x v="4"/>
    <n v="1.4390243902438999"/>
    <n v="350.162601626016"/>
    <n v="1260.5853658536601"/>
  </r>
  <r>
    <x v="0"/>
    <x v="0"/>
    <x v="0"/>
    <x v="0"/>
    <x v="0"/>
    <x v="7"/>
    <x v="0"/>
    <x v="0"/>
    <x v="0"/>
    <s v="GNR_ENG_BGAS_BP_E-41"/>
    <x v="1"/>
    <x v="0"/>
    <n v="1.4390243902438999"/>
    <n v="350.162601626016"/>
    <n v="1260.5853658536601"/>
  </r>
  <r>
    <x v="0"/>
    <x v="0"/>
    <x v="0"/>
    <x v="0"/>
    <x v="0"/>
    <x v="7"/>
    <x v="0"/>
    <x v="0"/>
    <x v="0"/>
    <s v="GNR_ENG_BGAS_BP_E-41"/>
    <x v="1"/>
    <x v="2"/>
    <n v="1.4390243902438999"/>
    <n v="350.162601626016"/>
    <n v="1260.5853658536601"/>
  </r>
  <r>
    <x v="0"/>
    <x v="0"/>
    <x v="0"/>
    <x v="0"/>
    <x v="0"/>
    <x v="7"/>
    <x v="0"/>
    <x v="0"/>
    <x v="0"/>
    <s v="GNR_ENG_BGAS_BP_E-42"/>
    <x v="0"/>
    <x v="0"/>
    <n v="8.1463414634146307"/>
    <n v="1982.2764227642299"/>
    <n v="7136.1951219512202"/>
  </r>
  <r>
    <x v="0"/>
    <x v="0"/>
    <x v="0"/>
    <x v="0"/>
    <x v="0"/>
    <x v="7"/>
    <x v="0"/>
    <x v="0"/>
    <x v="0"/>
    <s v="GNR_ENG_BGAS_BP_E-42"/>
    <x v="0"/>
    <x v="1"/>
    <n v="8.1463414634146307"/>
    <n v="1982.2764227642299"/>
    <n v="7136.1951219512202"/>
  </r>
  <r>
    <x v="0"/>
    <x v="0"/>
    <x v="0"/>
    <x v="0"/>
    <x v="0"/>
    <x v="7"/>
    <x v="0"/>
    <x v="0"/>
    <x v="0"/>
    <s v="GNR_ENG_BGAS_BP_E-42"/>
    <x v="0"/>
    <x v="2"/>
    <n v="8.1463414634146307"/>
    <n v="1982.2764227642299"/>
    <n v="7136.1951219512202"/>
  </r>
  <r>
    <x v="0"/>
    <x v="0"/>
    <x v="0"/>
    <x v="0"/>
    <x v="0"/>
    <x v="7"/>
    <x v="0"/>
    <x v="0"/>
    <x v="0"/>
    <s v="GNR_ENG_BGAS_BP_E-42"/>
    <x v="1"/>
    <x v="3"/>
    <n v="8.1463414634146307"/>
    <n v="1982.2764227642299"/>
    <n v="7136.1951219512202"/>
  </r>
  <r>
    <x v="0"/>
    <x v="0"/>
    <x v="0"/>
    <x v="0"/>
    <x v="0"/>
    <x v="7"/>
    <x v="0"/>
    <x v="0"/>
    <x v="0"/>
    <s v="GNR_ENG_BGAS_BP_E-42"/>
    <x v="1"/>
    <x v="4"/>
    <n v="8.1463414634146307"/>
    <n v="1982.2764227642299"/>
    <n v="7136.1951219512202"/>
  </r>
  <r>
    <x v="0"/>
    <x v="0"/>
    <x v="0"/>
    <x v="0"/>
    <x v="0"/>
    <x v="7"/>
    <x v="0"/>
    <x v="0"/>
    <x v="0"/>
    <s v="GNR_ENG_BGAS_BP_E-42"/>
    <x v="1"/>
    <x v="0"/>
    <n v="8.1463414634146307"/>
    <n v="1982.2764227642299"/>
    <n v="7136.1951219512202"/>
  </r>
  <r>
    <x v="0"/>
    <x v="0"/>
    <x v="0"/>
    <x v="0"/>
    <x v="0"/>
    <x v="7"/>
    <x v="0"/>
    <x v="0"/>
    <x v="0"/>
    <s v="GNR_ENG_BGAS_BP_E-42"/>
    <x v="1"/>
    <x v="2"/>
    <n v="8.1463414634146307"/>
    <n v="1982.2764227642299"/>
    <n v="7136.1951219512202"/>
  </r>
  <r>
    <x v="0"/>
    <x v="0"/>
    <x v="0"/>
    <x v="0"/>
    <x v="0"/>
    <x v="7"/>
    <x v="0"/>
    <x v="0"/>
    <x v="0"/>
    <s v="GNR_ENG_BGAS_BP_E-43"/>
    <x v="0"/>
    <x v="0"/>
    <n v="6.2682926829268304"/>
    <n v="1525.28455284553"/>
    <n v="5491.0243902438997"/>
  </r>
  <r>
    <x v="0"/>
    <x v="0"/>
    <x v="0"/>
    <x v="0"/>
    <x v="0"/>
    <x v="7"/>
    <x v="0"/>
    <x v="0"/>
    <x v="0"/>
    <s v="GNR_ENG_BGAS_BP_E-43"/>
    <x v="0"/>
    <x v="1"/>
    <n v="6.2682926829268304"/>
    <n v="1525.28455284553"/>
    <n v="5491.0243902438997"/>
  </r>
  <r>
    <x v="0"/>
    <x v="0"/>
    <x v="0"/>
    <x v="0"/>
    <x v="0"/>
    <x v="7"/>
    <x v="0"/>
    <x v="0"/>
    <x v="0"/>
    <s v="GNR_ENG_BGAS_BP_E-43"/>
    <x v="0"/>
    <x v="2"/>
    <n v="6.2682926829268304"/>
    <n v="1525.28455284553"/>
    <n v="5491.0243902438997"/>
  </r>
  <r>
    <x v="0"/>
    <x v="0"/>
    <x v="0"/>
    <x v="0"/>
    <x v="0"/>
    <x v="7"/>
    <x v="0"/>
    <x v="0"/>
    <x v="0"/>
    <s v="GNR_ENG_BGAS_BP_E-43"/>
    <x v="1"/>
    <x v="3"/>
    <n v="6.2682926829268304"/>
    <n v="1525.28455284553"/>
    <n v="5491.0243902438997"/>
  </r>
  <r>
    <x v="0"/>
    <x v="0"/>
    <x v="0"/>
    <x v="0"/>
    <x v="0"/>
    <x v="7"/>
    <x v="0"/>
    <x v="0"/>
    <x v="0"/>
    <s v="GNR_ENG_BGAS_BP_E-43"/>
    <x v="1"/>
    <x v="4"/>
    <n v="6.2682926829268304"/>
    <n v="1525.28455284553"/>
    <n v="5491.0243902438997"/>
  </r>
  <r>
    <x v="0"/>
    <x v="0"/>
    <x v="0"/>
    <x v="0"/>
    <x v="0"/>
    <x v="7"/>
    <x v="0"/>
    <x v="0"/>
    <x v="0"/>
    <s v="GNR_ENG_BGAS_BP_E-43"/>
    <x v="1"/>
    <x v="0"/>
    <n v="6.2682926829268304"/>
    <n v="1525.28455284553"/>
    <n v="5491.0243902438997"/>
  </r>
  <r>
    <x v="0"/>
    <x v="0"/>
    <x v="0"/>
    <x v="0"/>
    <x v="0"/>
    <x v="7"/>
    <x v="0"/>
    <x v="0"/>
    <x v="0"/>
    <s v="GNR_ENG_BGAS_BP_E-43"/>
    <x v="1"/>
    <x v="2"/>
    <n v="6.2682926829268304"/>
    <n v="1525.28455284553"/>
    <n v="5491.0243902438997"/>
  </r>
  <r>
    <x v="0"/>
    <x v="0"/>
    <x v="0"/>
    <x v="0"/>
    <x v="0"/>
    <x v="7"/>
    <x v="8"/>
    <x v="4"/>
    <x v="5"/>
    <s v="GNR_HP_ELEC_COP-300"/>
    <x v="0"/>
    <x v="5"/>
    <n v="1.5"/>
    <n v="365"/>
    <n v="1314"/>
  </r>
  <r>
    <x v="0"/>
    <x v="0"/>
    <x v="0"/>
    <x v="0"/>
    <x v="0"/>
    <x v="7"/>
    <x v="8"/>
    <x v="4"/>
    <x v="5"/>
    <s v="GNR_HP_ELEC_COP-300"/>
    <x v="0"/>
    <x v="3"/>
    <n v="1.5"/>
    <n v="365"/>
    <n v="1314"/>
  </r>
  <r>
    <x v="0"/>
    <x v="0"/>
    <x v="0"/>
    <x v="0"/>
    <x v="0"/>
    <x v="7"/>
    <x v="8"/>
    <x v="4"/>
    <x v="5"/>
    <s v="GNR_HP_ELEC_COP-300"/>
    <x v="0"/>
    <x v="6"/>
    <n v="1.5"/>
    <n v="365"/>
    <n v="1314"/>
  </r>
  <r>
    <x v="0"/>
    <x v="0"/>
    <x v="0"/>
    <x v="0"/>
    <x v="0"/>
    <x v="7"/>
    <x v="8"/>
    <x v="4"/>
    <x v="5"/>
    <s v="GNR_HP_ELEC_COP-300"/>
    <x v="0"/>
    <x v="4"/>
    <n v="1.5"/>
    <n v="365"/>
    <n v="1314"/>
  </r>
  <r>
    <x v="0"/>
    <x v="0"/>
    <x v="0"/>
    <x v="0"/>
    <x v="0"/>
    <x v="7"/>
    <x v="8"/>
    <x v="4"/>
    <x v="5"/>
    <s v="GNR_HP_ELEC_COP-300"/>
    <x v="0"/>
    <x v="7"/>
    <n v="1.5"/>
    <n v="365"/>
    <n v="1314"/>
  </r>
  <r>
    <x v="0"/>
    <x v="0"/>
    <x v="0"/>
    <x v="0"/>
    <x v="0"/>
    <x v="7"/>
    <x v="8"/>
    <x v="4"/>
    <x v="5"/>
    <s v="GNR_HP_ELEC_COP-300"/>
    <x v="0"/>
    <x v="10"/>
    <n v="1.5"/>
    <n v="365"/>
    <n v="1314"/>
  </r>
  <r>
    <x v="0"/>
    <x v="0"/>
    <x v="0"/>
    <x v="0"/>
    <x v="0"/>
    <x v="7"/>
    <x v="8"/>
    <x v="4"/>
    <x v="5"/>
    <s v="GNR_HP_ELEC_COP-300"/>
    <x v="2"/>
    <x v="5"/>
    <n v="1.5"/>
    <n v="365"/>
    <n v="1314"/>
  </r>
  <r>
    <x v="0"/>
    <x v="0"/>
    <x v="0"/>
    <x v="0"/>
    <x v="0"/>
    <x v="7"/>
    <x v="8"/>
    <x v="4"/>
    <x v="5"/>
    <s v="GNR_HP_ELEC_COP-300"/>
    <x v="2"/>
    <x v="7"/>
    <n v="1.5"/>
    <n v="365"/>
    <n v="1314"/>
  </r>
  <r>
    <x v="0"/>
    <x v="0"/>
    <x v="0"/>
    <x v="0"/>
    <x v="0"/>
    <x v="7"/>
    <x v="8"/>
    <x v="4"/>
    <x v="5"/>
    <s v="GNR_HP_ELEC_COP-300"/>
    <x v="2"/>
    <x v="8"/>
    <n v="1.5"/>
    <n v="365"/>
    <n v="1314"/>
  </r>
  <r>
    <x v="0"/>
    <x v="0"/>
    <x v="0"/>
    <x v="0"/>
    <x v="0"/>
    <x v="7"/>
    <x v="8"/>
    <x v="4"/>
    <x v="5"/>
    <s v="GNR_HP_ELEC_COP-300"/>
    <x v="2"/>
    <x v="0"/>
    <n v="1.5"/>
    <n v="365"/>
    <n v="1314"/>
  </r>
  <r>
    <x v="0"/>
    <x v="0"/>
    <x v="0"/>
    <x v="0"/>
    <x v="0"/>
    <x v="7"/>
    <x v="8"/>
    <x v="4"/>
    <x v="5"/>
    <s v="GNR_HP_ELEC_COP-300"/>
    <x v="1"/>
    <x v="5"/>
    <n v="1.5"/>
    <n v="365"/>
    <n v="1314"/>
  </r>
  <r>
    <x v="0"/>
    <x v="0"/>
    <x v="0"/>
    <x v="0"/>
    <x v="0"/>
    <x v="7"/>
    <x v="8"/>
    <x v="4"/>
    <x v="5"/>
    <s v="GNR_HP_ELEC_COP-300"/>
    <x v="1"/>
    <x v="10"/>
    <n v="1.5"/>
    <n v="365"/>
    <n v="1314"/>
  </r>
  <r>
    <x v="0"/>
    <x v="0"/>
    <x v="0"/>
    <x v="0"/>
    <x v="0"/>
    <x v="7"/>
    <x v="8"/>
    <x v="4"/>
    <x v="5"/>
    <s v="GNR_HP_ELEC_COP-300"/>
    <x v="1"/>
    <x v="11"/>
    <n v="1.5"/>
    <n v="365"/>
    <n v="1314"/>
  </r>
  <r>
    <x v="0"/>
    <x v="0"/>
    <x v="0"/>
    <x v="0"/>
    <x v="0"/>
    <x v="7"/>
    <x v="8"/>
    <x v="4"/>
    <x v="5"/>
    <s v="GNR_HP_ELEC_COP-350"/>
    <x v="0"/>
    <x v="5"/>
    <n v="2.1890000000000001"/>
    <n v="532.65666666666698"/>
    <n v="1917.5640000000001"/>
  </r>
  <r>
    <x v="0"/>
    <x v="0"/>
    <x v="0"/>
    <x v="0"/>
    <x v="0"/>
    <x v="7"/>
    <x v="8"/>
    <x v="4"/>
    <x v="5"/>
    <s v="GNR_HP_ELEC_COP-350"/>
    <x v="0"/>
    <x v="3"/>
    <n v="2.1890000000000001"/>
    <n v="532.65666666666698"/>
    <n v="1917.5640000000001"/>
  </r>
  <r>
    <x v="0"/>
    <x v="0"/>
    <x v="0"/>
    <x v="0"/>
    <x v="0"/>
    <x v="7"/>
    <x v="8"/>
    <x v="4"/>
    <x v="5"/>
    <s v="GNR_HP_ELEC_COP-350"/>
    <x v="0"/>
    <x v="6"/>
    <n v="2.1890000000000001"/>
    <n v="532.65666666666698"/>
    <n v="1917.5640000000001"/>
  </r>
  <r>
    <x v="0"/>
    <x v="0"/>
    <x v="0"/>
    <x v="0"/>
    <x v="0"/>
    <x v="7"/>
    <x v="8"/>
    <x v="4"/>
    <x v="5"/>
    <s v="GNR_HP_ELEC_COP-350"/>
    <x v="0"/>
    <x v="4"/>
    <n v="2.1890000000000001"/>
    <n v="532.65666666666698"/>
    <n v="1917.5640000000001"/>
  </r>
  <r>
    <x v="0"/>
    <x v="0"/>
    <x v="0"/>
    <x v="0"/>
    <x v="0"/>
    <x v="7"/>
    <x v="8"/>
    <x v="4"/>
    <x v="5"/>
    <s v="GNR_HP_ELEC_COP-350"/>
    <x v="0"/>
    <x v="7"/>
    <n v="2.1890000000000001"/>
    <n v="532.65666666666698"/>
    <n v="1917.5640000000001"/>
  </r>
  <r>
    <x v="0"/>
    <x v="0"/>
    <x v="0"/>
    <x v="0"/>
    <x v="0"/>
    <x v="7"/>
    <x v="8"/>
    <x v="4"/>
    <x v="5"/>
    <s v="GNR_HP_ELEC_COP-350"/>
    <x v="0"/>
    <x v="8"/>
    <n v="2.1890000000000001"/>
    <n v="532.65666666666698"/>
    <n v="1917.5640000000001"/>
  </r>
  <r>
    <x v="0"/>
    <x v="0"/>
    <x v="0"/>
    <x v="0"/>
    <x v="0"/>
    <x v="7"/>
    <x v="8"/>
    <x v="4"/>
    <x v="5"/>
    <s v="GNR_HP_ELEC_COP-350"/>
    <x v="0"/>
    <x v="9"/>
    <n v="2.1890000000000001"/>
    <n v="532.65666666666698"/>
    <n v="1917.5640000000001"/>
  </r>
  <r>
    <x v="0"/>
    <x v="0"/>
    <x v="0"/>
    <x v="0"/>
    <x v="0"/>
    <x v="7"/>
    <x v="8"/>
    <x v="4"/>
    <x v="5"/>
    <s v="GNR_HP_ELEC_COP-350"/>
    <x v="0"/>
    <x v="10"/>
    <n v="2.1890000000000001"/>
    <n v="532.65666666666698"/>
    <n v="1917.5640000000001"/>
  </r>
  <r>
    <x v="0"/>
    <x v="0"/>
    <x v="0"/>
    <x v="0"/>
    <x v="0"/>
    <x v="7"/>
    <x v="8"/>
    <x v="4"/>
    <x v="5"/>
    <s v="GNR_HP_ELEC_COP-350"/>
    <x v="0"/>
    <x v="11"/>
    <n v="2.1890000000000001"/>
    <n v="532.65666666666698"/>
    <n v="1917.5640000000001"/>
  </r>
  <r>
    <x v="0"/>
    <x v="0"/>
    <x v="0"/>
    <x v="0"/>
    <x v="0"/>
    <x v="7"/>
    <x v="8"/>
    <x v="4"/>
    <x v="5"/>
    <s v="GNR_HP_ELEC_COP-350"/>
    <x v="2"/>
    <x v="5"/>
    <n v="2.1890000000000001"/>
    <n v="532.65666666666698"/>
    <n v="1917.5640000000001"/>
  </r>
  <r>
    <x v="0"/>
    <x v="0"/>
    <x v="0"/>
    <x v="0"/>
    <x v="0"/>
    <x v="7"/>
    <x v="8"/>
    <x v="4"/>
    <x v="5"/>
    <s v="GNR_HP_ELEC_COP-350"/>
    <x v="2"/>
    <x v="3"/>
    <n v="2.1890000000000001"/>
    <n v="532.65666666666698"/>
    <n v="1917.5640000000001"/>
  </r>
  <r>
    <x v="0"/>
    <x v="0"/>
    <x v="0"/>
    <x v="0"/>
    <x v="0"/>
    <x v="7"/>
    <x v="8"/>
    <x v="4"/>
    <x v="5"/>
    <s v="GNR_HP_ELEC_COP-350"/>
    <x v="2"/>
    <x v="6"/>
    <n v="2.1890000000000001"/>
    <n v="532.65666666666698"/>
    <n v="1917.5640000000001"/>
  </r>
  <r>
    <x v="0"/>
    <x v="0"/>
    <x v="0"/>
    <x v="0"/>
    <x v="0"/>
    <x v="7"/>
    <x v="8"/>
    <x v="4"/>
    <x v="5"/>
    <s v="GNR_HP_ELEC_COP-350"/>
    <x v="2"/>
    <x v="4"/>
    <n v="2.1890000000000001"/>
    <n v="532.65666666666698"/>
    <n v="1917.5640000000001"/>
  </r>
  <r>
    <x v="0"/>
    <x v="0"/>
    <x v="0"/>
    <x v="0"/>
    <x v="0"/>
    <x v="7"/>
    <x v="8"/>
    <x v="4"/>
    <x v="5"/>
    <s v="GNR_HP_ELEC_COP-350"/>
    <x v="2"/>
    <x v="7"/>
    <n v="2.1890000000000001"/>
    <n v="532.65666666666698"/>
    <n v="1917.5640000000001"/>
  </r>
  <r>
    <x v="0"/>
    <x v="0"/>
    <x v="0"/>
    <x v="0"/>
    <x v="0"/>
    <x v="7"/>
    <x v="8"/>
    <x v="4"/>
    <x v="5"/>
    <s v="GNR_HP_ELEC_COP-350"/>
    <x v="2"/>
    <x v="8"/>
    <n v="2.1890000000000001"/>
    <n v="532.65666666666698"/>
    <n v="1917.5640000000001"/>
  </r>
  <r>
    <x v="0"/>
    <x v="0"/>
    <x v="0"/>
    <x v="0"/>
    <x v="0"/>
    <x v="7"/>
    <x v="8"/>
    <x v="4"/>
    <x v="5"/>
    <s v="GNR_HP_ELEC_COP-350"/>
    <x v="2"/>
    <x v="0"/>
    <n v="2.1890000000000001"/>
    <n v="532.65666666666698"/>
    <n v="1917.5640000000001"/>
  </r>
  <r>
    <x v="0"/>
    <x v="0"/>
    <x v="0"/>
    <x v="0"/>
    <x v="0"/>
    <x v="7"/>
    <x v="8"/>
    <x v="4"/>
    <x v="5"/>
    <s v="GNR_HP_ELEC_COP-350"/>
    <x v="2"/>
    <x v="1"/>
    <n v="2.1890000000000001"/>
    <n v="532.65666666666698"/>
    <n v="1917.5640000000001"/>
  </r>
  <r>
    <x v="0"/>
    <x v="0"/>
    <x v="0"/>
    <x v="0"/>
    <x v="0"/>
    <x v="7"/>
    <x v="8"/>
    <x v="4"/>
    <x v="5"/>
    <s v="GNR_HP_ELEC_COP-350"/>
    <x v="2"/>
    <x v="2"/>
    <n v="2.1890000000000001"/>
    <n v="532.65666666666698"/>
    <n v="1917.5640000000001"/>
  </r>
  <r>
    <x v="0"/>
    <x v="0"/>
    <x v="0"/>
    <x v="0"/>
    <x v="0"/>
    <x v="7"/>
    <x v="8"/>
    <x v="4"/>
    <x v="5"/>
    <s v="GNR_HP_ELEC_COP-350"/>
    <x v="2"/>
    <x v="9"/>
    <n v="2.1890000000000001"/>
    <n v="532.65666666666698"/>
    <n v="1917.5640000000001"/>
  </r>
  <r>
    <x v="0"/>
    <x v="0"/>
    <x v="0"/>
    <x v="0"/>
    <x v="0"/>
    <x v="7"/>
    <x v="8"/>
    <x v="4"/>
    <x v="5"/>
    <s v="GNR_HP_ELEC_COP-350"/>
    <x v="2"/>
    <x v="10"/>
    <n v="2.1890000000000001"/>
    <n v="532.65666666666698"/>
    <n v="1917.5640000000001"/>
  </r>
  <r>
    <x v="0"/>
    <x v="0"/>
    <x v="0"/>
    <x v="0"/>
    <x v="0"/>
    <x v="7"/>
    <x v="8"/>
    <x v="4"/>
    <x v="5"/>
    <s v="GNR_HP_ELEC_COP-350"/>
    <x v="2"/>
    <x v="11"/>
    <n v="2.1890000000000001"/>
    <n v="532.65666666666698"/>
    <n v="1917.5640000000001"/>
  </r>
  <r>
    <x v="0"/>
    <x v="0"/>
    <x v="0"/>
    <x v="0"/>
    <x v="0"/>
    <x v="7"/>
    <x v="8"/>
    <x v="4"/>
    <x v="5"/>
    <s v="GNR_HP_ELEC_COP-350"/>
    <x v="1"/>
    <x v="5"/>
    <n v="2.1890000000000001"/>
    <n v="532.65666666666698"/>
    <n v="1917.5640000000001"/>
  </r>
  <r>
    <x v="0"/>
    <x v="0"/>
    <x v="0"/>
    <x v="0"/>
    <x v="0"/>
    <x v="7"/>
    <x v="8"/>
    <x v="4"/>
    <x v="5"/>
    <s v="GNR_HP_ELEC_COP-350"/>
    <x v="1"/>
    <x v="6"/>
    <n v="2.1890000000000001"/>
    <n v="532.65666666666698"/>
    <n v="1917.5640000000001"/>
  </r>
  <r>
    <x v="0"/>
    <x v="0"/>
    <x v="0"/>
    <x v="0"/>
    <x v="0"/>
    <x v="7"/>
    <x v="8"/>
    <x v="4"/>
    <x v="5"/>
    <s v="GNR_HP_ELEC_COP-350"/>
    <x v="1"/>
    <x v="10"/>
    <n v="2.1890000000000001"/>
    <n v="532.65666666666698"/>
    <n v="1917.5640000000001"/>
  </r>
  <r>
    <x v="0"/>
    <x v="0"/>
    <x v="0"/>
    <x v="0"/>
    <x v="0"/>
    <x v="7"/>
    <x v="8"/>
    <x v="4"/>
    <x v="5"/>
    <s v="GNR_HP_ELEC_COP-350"/>
    <x v="1"/>
    <x v="11"/>
    <n v="2.1890000000000001"/>
    <n v="532.65666666666698"/>
    <n v="1917.5640000000001"/>
  </r>
  <r>
    <x v="0"/>
    <x v="0"/>
    <x v="0"/>
    <x v="0"/>
    <x v="0"/>
    <x v="7"/>
    <x v="8"/>
    <x v="4"/>
    <x v="5"/>
    <s v="GNR_HP_ELEC_COP-400"/>
    <x v="0"/>
    <x v="5"/>
    <n v="2.048"/>
    <n v="498.34666666666698"/>
    <n v="1794.048"/>
  </r>
  <r>
    <x v="0"/>
    <x v="0"/>
    <x v="0"/>
    <x v="0"/>
    <x v="0"/>
    <x v="7"/>
    <x v="8"/>
    <x v="4"/>
    <x v="5"/>
    <s v="GNR_HP_ELEC_COP-400"/>
    <x v="0"/>
    <x v="3"/>
    <n v="2.048"/>
    <n v="498.34666666666698"/>
    <n v="1794.048"/>
  </r>
  <r>
    <x v="0"/>
    <x v="0"/>
    <x v="0"/>
    <x v="0"/>
    <x v="0"/>
    <x v="7"/>
    <x v="8"/>
    <x v="4"/>
    <x v="5"/>
    <s v="GNR_HP_ELEC_COP-400"/>
    <x v="0"/>
    <x v="6"/>
    <n v="2.048"/>
    <n v="498.34666666666698"/>
    <n v="1794.048"/>
  </r>
  <r>
    <x v="0"/>
    <x v="0"/>
    <x v="0"/>
    <x v="0"/>
    <x v="0"/>
    <x v="7"/>
    <x v="8"/>
    <x v="4"/>
    <x v="5"/>
    <s v="GNR_HP_ELEC_COP-400"/>
    <x v="0"/>
    <x v="4"/>
    <n v="2.048"/>
    <n v="498.34666666666698"/>
    <n v="1794.048"/>
  </r>
  <r>
    <x v="0"/>
    <x v="0"/>
    <x v="0"/>
    <x v="0"/>
    <x v="0"/>
    <x v="7"/>
    <x v="8"/>
    <x v="4"/>
    <x v="5"/>
    <s v="GNR_HP_ELEC_COP-400"/>
    <x v="0"/>
    <x v="7"/>
    <n v="2.048"/>
    <n v="498.34666666666698"/>
    <n v="1794.048"/>
  </r>
  <r>
    <x v="0"/>
    <x v="0"/>
    <x v="0"/>
    <x v="0"/>
    <x v="0"/>
    <x v="7"/>
    <x v="8"/>
    <x v="4"/>
    <x v="5"/>
    <s v="GNR_HP_ELEC_COP-400"/>
    <x v="0"/>
    <x v="8"/>
    <n v="2.048"/>
    <n v="498.34666666666698"/>
    <n v="1794.048"/>
  </r>
  <r>
    <x v="0"/>
    <x v="0"/>
    <x v="0"/>
    <x v="0"/>
    <x v="0"/>
    <x v="7"/>
    <x v="8"/>
    <x v="4"/>
    <x v="5"/>
    <s v="GNR_HP_ELEC_COP-400"/>
    <x v="0"/>
    <x v="9"/>
    <n v="2.048"/>
    <n v="498.34666666666698"/>
    <n v="1794.048"/>
  </r>
  <r>
    <x v="0"/>
    <x v="0"/>
    <x v="0"/>
    <x v="0"/>
    <x v="0"/>
    <x v="7"/>
    <x v="8"/>
    <x v="4"/>
    <x v="5"/>
    <s v="GNR_HP_ELEC_COP-400"/>
    <x v="0"/>
    <x v="10"/>
    <n v="2.048"/>
    <n v="498.34666666666698"/>
    <n v="1794.048"/>
  </r>
  <r>
    <x v="0"/>
    <x v="0"/>
    <x v="0"/>
    <x v="0"/>
    <x v="0"/>
    <x v="7"/>
    <x v="8"/>
    <x v="4"/>
    <x v="5"/>
    <s v="GNR_HP_ELEC_COP-400"/>
    <x v="0"/>
    <x v="11"/>
    <n v="2.048"/>
    <n v="498.34666666666698"/>
    <n v="1794.048"/>
  </r>
  <r>
    <x v="0"/>
    <x v="0"/>
    <x v="0"/>
    <x v="0"/>
    <x v="0"/>
    <x v="7"/>
    <x v="8"/>
    <x v="4"/>
    <x v="5"/>
    <s v="GNR_HP_ELEC_COP-400"/>
    <x v="2"/>
    <x v="5"/>
    <n v="2.048"/>
    <n v="498.34666666666698"/>
    <n v="1794.048"/>
  </r>
  <r>
    <x v="0"/>
    <x v="0"/>
    <x v="0"/>
    <x v="0"/>
    <x v="0"/>
    <x v="7"/>
    <x v="8"/>
    <x v="4"/>
    <x v="5"/>
    <s v="GNR_HP_ELEC_COP-400"/>
    <x v="2"/>
    <x v="3"/>
    <n v="2.048"/>
    <n v="498.34666666666698"/>
    <n v="1794.048"/>
  </r>
  <r>
    <x v="0"/>
    <x v="0"/>
    <x v="0"/>
    <x v="0"/>
    <x v="0"/>
    <x v="7"/>
    <x v="8"/>
    <x v="4"/>
    <x v="5"/>
    <s v="GNR_HP_ELEC_COP-400"/>
    <x v="2"/>
    <x v="6"/>
    <n v="2.048"/>
    <n v="498.34666666666698"/>
    <n v="1794.048"/>
  </r>
  <r>
    <x v="0"/>
    <x v="0"/>
    <x v="0"/>
    <x v="0"/>
    <x v="0"/>
    <x v="7"/>
    <x v="8"/>
    <x v="4"/>
    <x v="5"/>
    <s v="GNR_HP_ELEC_COP-400"/>
    <x v="2"/>
    <x v="4"/>
    <n v="2.048"/>
    <n v="498.34666666666698"/>
    <n v="1794.048"/>
  </r>
  <r>
    <x v="0"/>
    <x v="0"/>
    <x v="0"/>
    <x v="0"/>
    <x v="0"/>
    <x v="7"/>
    <x v="8"/>
    <x v="4"/>
    <x v="5"/>
    <s v="GNR_HP_ELEC_COP-400"/>
    <x v="2"/>
    <x v="7"/>
    <n v="2.048"/>
    <n v="498.34666666666698"/>
    <n v="1794.048"/>
  </r>
  <r>
    <x v="0"/>
    <x v="0"/>
    <x v="0"/>
    <x v="0"/>
    <x v="0"/>
    <x v="7"/>
    <x v="8"/>
    <x v="4"/>
    <x v="5"/>
    <s v="GNR_HP_ELEC_COP-400"/>
    <x v="2"/>
    <x v="8"/>
    <n v="2.048"/>
    <n v="498.34666666666698"/>
    <n v="1794.048"/>
  </r>
  <r>
    <x v="0"/>
    <x v="0"/>
    <x v="0"/>
    <x v="0"/>
    <x v="0"/>
    <x v="7"/>
    <x v="8"/>
    <x v="4"/>
    <x v="5"/>
    <s v="GNR_HP_ELEC_COP-400"/>
    <x v="2"/>
    <x v="0"/>
    <n v="2.048"/>
    <n v="498.34666666666698"/>
    <n v="1794.048"/>
  </r>
  <r>
    <x v="0"/>
    <x v="0"/>
    <x v="0"/>
    <x v="0"/>
    <x v="0"/>
    <x v="7"/>
    <x v="8"/>
    <x v="4"/>
    <x v="5"/>
    <s v="GNR_HP_ELEC_COP-400"/>
    <x v="2"/>
    <x v="1"/>
    <n v="2.048"/>
    <n v="498.34666666666698"/>
    <n v="1794.048"/>
  </r>
  <r>
    <x v="0"/>
    <x v="0"/>
    <x v="0"/>
    <x v="0"/>
    <x v="0"/>
    <x v="7"/>
    <x v="8"/>
    <x v="4"/>
    <x v="5"/>
    <s v="GNR_HP_ELEC_COP-400"/>
    <x v="2"/>
    <x v="2"/>
    <n v="2.048"/>
    <n v="498.34666666666698"/>
    <n v="1794.048"/>
  </r>
  <r>
    <x v="0"/>
    <x v="0"/>
    <x v="0"/>
    <x v="0"/>
    <x v="0"/>
    <x v="7"/>
    <x v="8"/>
    <x v="4"/>
    <x v="5"/>
    <s v="GNR_HP_ELEC_COP-400"/>
    <x v="2"/>
    <x v="9"/>
    <n v="2.048"/>
    <n v="498.34666666666698"/>
    <n v="1794.048"/>
  </r>
  <r>
    <x v="0"/>
    <x v="0"/>
    <x v="0"/>
    <x v="0"/>
    <x v="0"/>
    <x v="7"/>
    <x v="8"/>
    <x v="4"/>
    <x v="5"/>
    <s v="GNR_HP_ELEC_COP-400"/>
    <x v="2"/>
    <x v="10"/>
    <n v="2.048"/>
    <n v="498.34666666666698"/>
    <n v="1794.048"/>
  </r>
  <r>
    <x v="0"/>
    <x v="0"/>
    <x v="0"/>
    <x v="0"/>
    <x v="0"/>
    <x v="7"/>
    <x v="8"/>
    <x v="4"/>
    <x v="5"/>
    <s v="GNR_HP_ELEC_COP-400"/>
    <x v="2"/>
    <x v="11"/>
    <n v="2.048"/>
    <n v="498.34666666666698"/>
    <n v="1794.048"/>
  </r>
  <r>
    <x v="0"/>
    <x v="0"/>
    <x v="0"/>
    <x v="0"/>
    <x v="0"/>
    <x v="7"/>
    <x v="8"/>
    <x v="4"/>
    <x v="5"/>
    <s v="GNR_HP_ELEC_COP-400"/>
    <x v="1"/>
    <x v="5"/>
    <n v="2.048"/>
    <n v="498.34666666666698"/>
    <n v="1794.048"/>
  </r>
  <r>
    <x v="0"/>
    <x v="0"/>
    <x v="0"/>
    <x v="0"/>
    <x v="0"/>
    <x v="7"/>
    <x v="8"/>
    <x v="4"/>
    <x v="5"/>
    <s v="GNR_HP_ELEC_COP-400"/>
    <x v="1"/>
    <x v="6"/>
    <n v="2.048"/>
    <n v="498.34666666666698"/>
    <n v="1794.048"/>
  </r>
  <r>
    <x v="0"/>
    <x v="0"/>
    <x v="0"/>
    <x v="0"/>
    <x v="0"/>
    <x v="7"/>
    <x v="8"/>
    <x v="4"/>
    <x v="5"/>
    <s v="GNR_HP_ELEC_COP-400"/>
    <x v="1"/>
    <x v="8"/>
    <n v="2.048"/>
    <n v="498.34666666666698"/>
    <n v="1794.048"/>
  </r>
  <r>
    <x v="0"/>
    <x v="0"/>
    <x v="0"/>
    <x v="0"/>
    <x v="0"/>
    <x v="7"/>
    <x v="8"/>
    <x v="4"/>
    <x v="5"/>
    <s v="GNR_HP_ELEC_COP-400"/>
    <x v="1"/>
    <x v="1"/>
    <n v="2.048"/>
    <n v="498.34666666666698"/>
    <n v="1794.048"/>
  </r>
  <r>
    <x v="0"/>
    <x v="0"/>
    <x v="0"/>
    <x v="0"/>
    <x v="0"/>
    <x v="7"/>
    <x v="8"/>
    <x v="4"/>
    <x v="5"/>
    <s v="GNR_HP_ELEC_COP-400"/>
    <x v="1"/>
    <x v="9"/>
    <n v="2.048"/>
    <n v="498.34666666666698"/>
    <n v="1794.048"/>
  </r>
  <r>
    <x v="0"/>
    <x v="0"/>
    <x v="0"/>
    <x v="0"/>
    <x v="0"/>
    <x v="7"/>
    <x v="8"/>
    <x v="4"/>
    <x v="5"/>
    <s v="GNR_HP_ELEC_COP-400"/>
    <x v="1"/>
    <x v="10"/>
    <n v="2.048"/>
    <n v="498.34666666666698"/>
    <n v="1794.048"/>
  </r>
  <r>
    <x v="0"/>
    <x v="0"/>
    <x v="0"/>
    <x v="0"/>
    <x v="0"/>
    <x v="7"/>
    <x v="8"/>
    <x v="4"/>
    <x v="5"/>
    <s v="GNR_HP_ELEC_COP-400"/>
    <x v="1"/>
    <x v="11"/>
    <n v="2.048"/>
    <n v="498.34666666666698"/>
    <n v="1794.048"/>
  </r>
  <r>
    <x v="0"/>
    <x v="0"/>
    <x v="0"/>
    <x v="0"/>
    <x v="0"/>
    <x v="7"/>
    <x v="8"/>
    <x v="4"/>
    <x v="5"/>
    <s v="GNR_HP_ELEC_COP-430"/>
    <x v="0"/>
    <x v="5"/>
    <n v="1.3"/>
    <n v="316.33333333333297"/>
    <n v="1138.8"/>
  </r>
  <r>
    <x v="0"/>
    <x v="0"/>
    <x v="0"/>
    <x v="0"/>
    <x v="0"/>
    <x v="7"/>
    <x v="8"/>
    <x v="4"/>
    <x v="5"/>
    <s v="GNR_HP_ELEC_COP-430"/>
    <x v="0"/>
    <x v="3"/>
    <n v="1.3"/>
    <n v="316.33333333333297"/>
    <n v="1138.8"/>
  </r>
  <r>
    <x v="0"/>
    <x v="0"/>
    <x v="0"/>
    <x v="0"/>
    <x v="0"/>
    <x v="7"/>
    <x v="8"/>
    <x v="4"/>
    <x v="5"/>
    <s v="GNR_HP_ELEC_COP-430"/>
    <x v="0"/>
    <x v="6"/>
    <n v="1.3"/>
    <n v="316.33333333333297"/>
    <n v="1138.8"/>
  </r>
  <r>
    <x v="0"/>
    <x v="0"/>
    <x v="0"/>
    <x v="0"/>
    <x v="0"/>
    <x v="7"/>
    <x v="8"/>
    <x v="4"/>
    <x v="5"/>
    <s v="GNR_HP_ELEC_COP-430"/>
    <x v="0"/>
    <x v="4"/>
    <n v="1.3"/>
    <n v="316.33333333333297"/>
    <n v="1138.8"/>
  </r>
  <r>
    <x v="0"/>
    <x v="0"/>
    <x v="0"/>
    <x v="0"/>
    <x v="0"/>
    <x v="7"/>
    <x v="8"/>
    <x v="4"/>
    <x v="5"/>
    <s v="GNR_HP_ELEC_COP-430"/>
    <x v="0"/>
    <x v="7"/>
    <n v="1.3"/>
    <n v="316.33333333333297"/>
    <n v="1138.8"/>
  </r>
  <r>
    <x v="0"/>
    <x v="0"/>
    <x v="0"/>
    <x v="0"/>
    <x v="0"/>
    <x v="7"/>
    <x v="8"/>
    <x v="4"/>
    <x v="5"/>
    <s v="GNR_HP_ELEC_COP-430"/>
    <x v="0"/>
    <x v="8"/>
    <n v="1.3"/>
    <n v="316.33333333333297"/>
    <n v="1138.8"/>
  </r>
  <r>
    <x v="0"/>
    <x v="0"/>
    <x v="0"/>
    <x v="0"/>
    <x v="0"/>
    <x v="7"/>
    <x v="8"/>
    <x v="4"/>
    <x v="5"/>
    <s v="GNR_HP_ELEC_COP-430"/>
    <x v="0"/>
    <x v="9"/>
    <n v="1.3"/>
    <n v="316.33333333333297"/>
    <n v="1138.8"/>
  </r>
  <r>
    <x v="0"/>
    <x v="0"/>
    <x v="0"/>
    <x v="0"/>
    <x v="0"/>
    <x v="7"/>
    <x v="8"/>
    <x v="4"/>
    <x v="5"/>
    <s v="GNR_HP_ELEC_COP-430"/>
    <x v="0"/>
    <x v="10"/>
    <n v="1.3"/>
    <n v="316.33333333333297"/>
    <n v="1138.8"/>
  </r>
  <r>
    <x v="0"/>
    <x v="0"/>
    <x v="0"/>
    <x v="0"/>
    <x v="0"/>
    <x v="7"/>
    <x v="8"/>
    <x v="4"/>
    <x v="5"/>
    <s v="GNR_HP_ELEC_COP-430"/>
    <x v="0"/>
    <x v="11"/>
    <n v="1.3"/>
    <n v="316.33333333333297"/>
    <n v="1138.8"/>
  </r>
  <r>
    <x v="0"/>
    <x v="0"/>
    <x v="0"/>
    <x v="0"/>
    <x v="0"/>
    <x v="7"/>
    <x v="8"/>
    <x v="4"/>
    <x v="5"/>
    <s v="GNR_HP_ELEC_COP-430"/>
    <x v="2"/>
    <x v="5"/>
    <n v="1.3"/>
    <n v="316.33333333333297"/>
    <n v="1138.8"/>
  </r>
  <r>
    <x v="0"/>
    <x v="0"/>
    <x v="0"/>
    <x v="0"/>
    <x v="0"/>
    <x v="7"/>
    <x v="8"/>
    <x v="4"/>
    <x v="5"/>
    <s v="GNR_HP_ELEC_COP-430"/>
    <x v="2"/>
    <x v="3"/>
    <n v="1.3"/>
    <n v="316.33333333333297"/>
    <n v="1138.8"/>
  </r>
  <r>
    <x v="0"/>
    <x v="0"/>
    <x v="0"/>
    <x v="0"/>
    <x v="0"/>
    <x v="7"/>
    <x v="8"/>
    <x v="4"/>
    <x v="5"/>
    <s v="GNR_HP_ELEC_COP-430"/>
    <x v="2"/>
    <x v="6"/>
    <n v="1.3"/>
    <n v="316.33333333333297"/>
    <n v="1138.8"/>
  </r>
  <r>
    <x v="0"/>
    <x v="0"/>
    <x v="0"/>
    <x v="0"/>
    <x v="0"/>
    <x v="7"/>
    <x v="8"/>
    <x v="4"/>
    <x v="5"/>
    <s v="GNR_HP_ELEC_COP-430"/>
    <x v="2"/>
    <x v="4"/>
    <n v="1.3"/>
    <n v="316.33333333333297"/>
    <n v="1138.8"/>
  </r>
  <r>
    <x v="0"/>
    <x v="0"/>
    <x v="0"/>
    <x v="0"/>
    <x v="0"/>
    <x v="7"/>
    <x v="8"/>
    <x v="4"/>
    <x v="5"/>
    <s v="GNR_HP_ELEC_COP-430"/>
    <x v="2"/>
    <x v="7"/>
    <n v="1.3"/>
    <n v="316.33333333333297"/>
    <n v="1138.8"/>
  </r>
  <r>
    <x v="0"/>
    <x v="0"/>
    <x v="0"/>
    <x v="0"/>
    <x v="0"/>
    <x v="7"/>
    <x v="8"/>
    <x v="4"/>
    <x v="5"/>
    <s v="GNR_HP_ELEC_COP-430"/>
    <x v="2"/>
    <x v="8"/>
    <n v="1.3"/>
    <n v="316.33333333333297"/>
    <n v="1138.8"/>
  </r>
  <r>
    <x v="0"/>
    <x v="0"/>
    <x v="0"/>
    <x v="0"/>
    <x v="0"/>
    <x v="7"/>
    <x v="8"/>
    <x v="4"/>
    <x v="5"/>
    <s v="GNR_HP_ELEC_COP-430"/>
    <x v="2"/>
    <x v="0"/>
    <n v="1.3"/>
    <n v="316.33333333333297"/>
    <n v="1138.8"/>
  </r>
  <r>
    <x v="0"/>
    <x v="0"/>
    <x v="0"/>
    <x v="0"/>
    <x v="0"/>
    <x v="7"/>
    <x v="8"/>
    <x v="4"/>
    <x v="5"/>
    <s v="GNR_HP_ELEC_COP-430"/>
    <x v="2"/>
    <x v="1"/>
    <n v="1.3"/>
    <n v="316.33333333333297"/>
    <n v="1138.8"/>
  </r>
  <r>
    <x v="0"/>
    <x v="0"/>
    <x v="0"/>
    <x v="0"/>
    <x v="0"/>
    <x v="7"/>
    <x v="8"/>
    <x v="4"/>
    <x v="5"/>
    <s v="GNR_HP_ELEC_COP-430"/>
    <x v="2"/>
    <x v="2"/>
    <n v="1.3"/>
    <n v="316.33333333333297"/>
    <n v="1138.8"/>
  </r>
  <r>
    <x v="0"/>
    <x v="0"/>
    <x v="0"/>
    <x v="0"/>
    <x v="0"/>
    <x v="7"/>
    <x v="8"/>
    <x v="4"/>
    <x v="5"/>
    <s v="GNR_HP_ELEC_COP-430"/>
    <x v="2"/>
    <x v="9"/>
    <n v="1.3"/>
    <n v="316.33333333333297"/>
    <n v="1138.8"/>
  </r>
  <r>
    <x v="0"/>
    <x v="0"/>
    <x v="0"/>
    <x v="0"/>
    <x v="0"/>
    <x v="7"/>
    <x v="8"/>
    <x v="4"/>
    <x v="5"/>
    <s v="GNR_HP_ELEC_COP-430"/>
    <x v="2"/>
    <x v="10"/>
    <n v="1.3"/>
    <n v="316.33333333333297"/>
    <n v="1138.8"/>
  </r>
  <r>
    <x v="0"/>
    <x v="0"/>
    <x v="0"/>
    <x v="0"/>
    <x v="0"/>
    <x v="7"/>
    <x v="8"/>
    <x v="4"/>
    <x v="5"/>
    <s v="GNR_HP_ELEC_COP-430"/>
    <x v="2"/>
    <x v="11"/>
    <n v="1.3"/>
    <n v="316.33333333333297"/>
    <n v="1138.8"/>
  </r>
  <r>
    <x v="0"/>
    <x v="0"/>
    <x v="0"/>
    <x v="0"/>
    <x v="0"/>
    <x v="7"/>
    <x v="8"/>
    <x v="4"/>
    <x v="5"/>
    <s v="GNR_HP_ELEC_COP-430"/>
    <x v="1"/>
    <x v="5"/>
    <n v="1.3"/>
    <n v="316.33333333333297"/>
    <n v="1138.8"/>
  </r>
  <r>
    <x v="0"/>
    <x v="0"/>
    <x v="0"/>
    <x v="0"/>
    <x v="0"/>
    <x v="7"/>
    <x v="8"/>
    <x v="4"/>
    <x v="5"/>
    <s v="GNR_HP_ELEC_COP-430"/>
    <x v="1"/>
    <x v="6"/>
    <n v="1.3"/>
    <n v="316.33333333333297"/>
    <n v="1138.8"/>
  </r>
  <r>
    <x v="0"/>
    <x v="0"/>
    <x v="0"/>
    <x v="0"/>
    <x v="0"/>
    <x v="7"/>
    <x v="8"/>
    <x v="4"/>
    <x v="5"/>
    <s v="GNR_HP_ELEC_COP-430"/>
    <x v="1"/>
    <x v="7"/>
    <n v="1.3"/>
    <n v="316.33333333333297"/>
    <n v="1138.8"/>
  </r>
  <r>
    <x v="0"/>
    <x v="0"/>
    <x v="0"/>
    <x v="0"/>
    <x v="0"/>
    <x v="7"/>
    <x v="8"/>
    <x v="4"/>
    <x v="5"/>
    <s v="GNR_HP_ELEC_COP-430"/>
    <x v="1"/>
    <x v="8"/>
    <n v="1.3"/>
    <n v="316.33333333333297"/>
    <n v="1138.8"/>
  </r>
  <r>
    <x v="0"/>
    <x v="0"/>
    <x v="0"/>
    <x v="0"/>
    <x v="0"/>
    <x v="7"/>
    <x v="8"/>
    <x v="4"/>
    <x v="5"/>
    <s v="GNR_HP_ELEC_COP-430"/>
    <x v="1"/>
    <x v="1"/>
    <n v="1.3"/>
    <n v="316.33333333333297"/>
    <n v="1138.8"/>
  </r>
  <r>
    <x v="0"/>
    <x v="0"/>
    <x v="0"/>
    <x v="0"/>
    <x v="0"/>
    <x v="7"/>
    <x v="8"/>
    <x v="4"/>
    <x v="5"/>
    <s v="GNR_HP_ELEC_COP-430"/>
    <x v="1"/>
    <x v="9"/>
    <n v="1.3"/>
    <n v="316.33333333333297"/>
    <n v="1138.8"/>
  </r>
  <r>
    <x v="0"/>
    <x v="0"/>
    <x v="0"/>
    <x v="0"/>
    <x v="0"/>
    <x v="7"/>
    <x v="8"/>
    <x v="4"/>
    <x v="5"/>
    <s v="GNR_HP_ELEC_COP-430"/>
    <x v="1"/>
    <x v="10"/>
    <n v="1.3"/>
    <n v="316.33333333333297"/>
    <n v="1138.8"/>
  </r>
  <r>
    <x v="0"/>
    <x v="0"/>
    <x v="0"/>
    <x v="0"/>
    <x v="0"/>
    <x v="7"/>
    <x v="8"/>
    <x v="4"/>
    <x v="5"/>
    <s v="GNR_HP_ELEC_COP-430"/>
    <x v="1"/>
    <x v="11"/>
    <n v="1.3"/>
    <n v="316.33333333333297"/>
    <n v="1138.8"/>
  </r>
  <r>
    <x v="0"/>
    <x v="0"/>
    <x v="0"/>
    <x v="0"/>
    <x v="0"/>
    <x v="7"/>
    <x v="8"/>
    <x v="4"/>
    <x v="5"/>
    <s v="GNR_HP_ELEC_COP-450"/>
    <x v="0"/>
    <x v="5"/>
    <n v="0.54"/>
    <n v="131.4"/>
    <n v="473.04"/>
  </r>
  <r>
    <x v="0"/>
    <x v="0"/>
    <x v="0"/>
    <x v="0"/>
    <x v="0"/>
    <x v="7"/>
    <x v="8"/>
    <x v="4"/>
    <x v="5"/>
    <s v="GNR_HP_ELEC_COP-450"/>
    <x v="0"/>
    <x v="3"/>
    <n v="0.54"/>
    <n v="131.4"/>
    <n v="473.04"/>
  </r>
  <r>
    <x v="0"/>
    <x v="0"/>
    <x v="0"/>
    <x v="0"/>
    <x v="0"/>
    <x v="7"/>
    <x v="8"/>
    <x v="4"/>
    <x v="5"/>
    <s v="GNR_HP_ELEC_COP-450"/>
    <x v="0"/>
    <x v="6"/>
    <n v="0.54"/>
    <n v="131.4"/>
    <n v="473.04"/>
  </r>
  <r>
    <x v="0"/>
    <x v="0"/>
    <x v="0"/>
    <x v="0"/>
    <x v="0"/>
    <x v="7"/>
    <x v="8"/>
    <x v="4"/>
    <x v="5"/>
    <s v="GNR_HP_ELEC_COP-450"/>
    <x v="0"/>
    <x v="4"/>
    <n v="0.54"/>
    <n v="131.4"/>
    <n v="473.04"/>
  </r>
  <r>
    <x v="0"/>
    <x v="0"/>
    <x v="0"/>
    <x v="0"/>
    <x v="0"/>
    <x v="7"/>
    <x v="8"/>
    <x v="4"/>
    <x v="5"/>
    <s v="GNR_HP_ELEC_COP-450"/>
    <x v="0"/>
    <x v="7"/>
    <n v="0.54"/>
    <n v="131.4"/>
    <n v="473.04"/>
  </r>
  <r>
    <x v="0"/>
    <x v="0"/>
    <x v="0"/>
    <x v="0"/>
    <x v="0"/>
    <x v="7"/>
    <x v="8"/>
    <x v="4"/>
    <x v="5"/>
    <s v="GNR_HP_ELEC_COP-450"/>
    <x v="0"/>
    <x v="8"/>
    <n v="0.54"/>
    <n v="131.4"/>
    <n v="473.04"/>
  </r>
  <r>
    <x v="0"/>
    <x v="0"/>
    <x v="0"/>
    <x v="0"/>
    <x v="0"/>
    <x v="7"/>
    <x v="8"/>
    <x v="4"/>
    <x v="5"/>
    <s v="GNR_HP_ELEC_COP-450"/>
    <x v="0"/>
    <x v="9"/>
    <n v="0.54"/>
    <n v="131.4"/>
    <n v="473.04"/>
  </r>
  <r>
    <x v="0"/>
    <x v="0"/>
    <x v="0"/>
    <x v="0"/>
    <x v="0"/>
    <x v="7"/>
    <x v="8"/>
    <x v="4"/>
    <x v="5"/>
    <s v="GNR_HP_ELEC_COP-450"/>
    <x v="0"/>
    <x v="10"/>
    <n v="0.54"/>
    <n v="131.4"/>
    <n v="473.04"/>
  </r>
  <r>
    <x v="0"/>
    <x v="0"/>
    <x v="0"/>
    <x v="0"/>
    <x v="0"/>
    <x v="7"/>
    <x v="8"/>
    <x v="4"/>
    <x v="5"/>
    <s v="GNR_HP_ELEC_COP-450"/>
    <x v="0"/>
    <x v="11"/>
    <n v="0.54"/>
    <n v="131.4"/>
    <n v="473.04"/>
  </r>
  <r>
    <x v="0"/>
    <x v="0"/>
    <x v="0"/>
    <x v="0"/>
    <x v="0"/>
    <x v="7"/>
    <x v="8"/>
    <x v="4"/>
    <x v="5"/>
    <s v="GNR_HP_ELEC_COP-450"/>
    <x v="2"/>
    <x v="5"/>
    <n v="0.54"/>
    <n v="131.4"/>
    <n v="473.04"/>
  </r>
  <r>
    <x v="0"/>
    <x v="0"/>
    <x v="0"/>
    <x v="0"/>
    <x v="0"/>
    <x v="7"/>
    <x v="8"/>
    <x v="4"/>
    <x v="5"/>
    <s v="GNR_HP_ELEC_COP-450"/>
    <x v="2"/>
    <x v="3"/>
    <n v="0.54"/>
    <n v="131.4"/>
    <n v="473.04"/>
  </r>
  <r>
    <x v="0"/>
    <x v="0"/>
    <x v="0"/>
    <x v="0"/>
    <x v="0"/>
    <x v="7"/>
    <x v="8"/>
    <x v="4"/>
    <x v="5"/>
    <s v="GNR_HP_ELEC_COP-450"/>
    <x v="2"/>
    <x v="6"/>
    <n v="0.54"/>
    <n v="131.4"/>
    <n v="473.04"/>
  </r>
  <r>
    <x v="0"/>
    <x v="0"/>
    <x v="0"/>
    <x v="0"/>
    <x v="0"/>
    <x v="7"/>
    <x v="8"/>
    <x v="4"/>
    <x v="5"/>
    <s v="GNR_HP_ELEC_COP-450"/>
    <x v="2"/>
    <x v="4"/>
    <n v="0.54"/>
    <n v="131.4"/>
    <n v="473.04"/>
  </r>
  <r>
    <x v="0"/>
    <x v="0"/>
    <x v="0"/>
    <x v="0"/>
    <x v="0"/>
    <x v="7"/>
    <x v="8"/>
    <x v="4"/>
    <x v="5"/>
    <s v="GNR_HP_ELEC_COP-450"/>
    <x v="2"/>
    <x v="7"/>
    <n v="0.54"/>
    <n v="131.4"/>
    <n v="473.04"/>
  </r>
  <r>
    <x v="0"/>
    <x v="0"/>
    <x v="0"/>
    <x v="0"/>
    <x v="0"/>
    <x v="7"/>
    <x v="8"/>
    <x v="4"/>
    <x v="5"/>
    <s v="GNR_HP_ELEC_COP-450"/>
    <x v="2"/>
    <x v="8"/>
    <n v="0.54"/>
    <n v="131.4"/>
    <n v="473.04"/>
  </r>
  <r>
    <x v="0"/>
    <x v="0"/>
    <x v="0"/>
    <x v="0"/>
    <x v="0"/>
    <x v="7"/>
    <x v="8"/>
    <x v="4"/>
    <x v="5"/>
    <s v="GNR_HP_ELEC_COP-450"/>
    <x v="2"/>
    <x v="0"/>
    <n v="0.54"/>
    <n v="131.4"/>
    <n v="473.04"/>
  </r>
  <r>
    <x v="0"/>
    <x v="0"/>
    <x v="0"/>
    <x v="0"/>
    <x v="0"/>
    <x v="7"/>
    <x v="8"/>
    <x v="4"/>
    <x v="5"/>
    <s v="GNR_HP_ELEC_COP-450"/>
    <x v="2"/>
    <x v="1"/>
    <n v="0.54"/>
    <n v="131.4"/>
    <n v="473.04"/>
  </r>
  <r>
    <x v="0"/>
    <x v="0"/>
    <x v="0"/>
    <x v="0"/>
    <x v="0"/>
    <x v="7"/>
    <x v="8"/>
    <x v="4"/>
    <x v="5"/>
    <s v="GNR_HP_ELEC_COP-450"/>
    <x v="2"/>
    <x v="2"/>
    <n v="0.54"/>
    <n v="131.4"/>
    <n v="473.04"/>
  </r>
  <r>
    <x v="0"/>
    <x v="0"/>
    <x v="0"/>
    <x v="0"/>
    <x v="0"/>
    <x v="7"/>
    <x v="8"/>
    <x v="4"/>
    <x v="5"/>
    <s v="GNR_HP_ELEC_COP-450"/>
    <x v="2"/>
    <x v="9"/>
    <n v="0.54"/>
    <n v="131.4"/>
    <n v="473.04"/>
  </r>
  <r>
    <x v="0"/>
    <x v="0"/>
    <x v="0"/>
    <x v="0"/>
    <x v="0"/>
    <x v="7"/>
    <x v="8"/>
    <x v="4"/>
    <x v="5"/>
    <s v="GNR_HP_ELEC_COP-450"/>
    <x v="2"/>
    <x v="10"/>
    <n v="0.54"/>
    <n v="131.4"/>
    <n v="473.04"/>
  </r>
  <r>
    <x v="0"/>
    <x v="0"/>
    <x v="0"/>
    <x v="0"/>
    <x v="0"/>
    <x v="7"/>
    <x v="8"/>
    <x v="4"/>
    <x v="5"/>
    <s v="GNR_HP_ELEC_COP-450"/>
    <x v="2"/>
    <x v="11"/>
    <n v="0.54"/>
    <n v="131.4"/>
    <n v="473.04"/>
  </r>
  <r>
    <x v="0"/>
    <x v="0"/>
    <x v="0"/>
    <x v="0"/>
    <x v="0"/>
    <x v="7"/>
    <x v="8"/>
    <x v="4"/>
    <x v="5"/>
    <s v="GNR_HP_ELEC_COP-450"/>
    <x v="1"/>
    <x v="5"/>
    <n v="0.54"/>
    <n v="131.4"/>
    <n v="473.04"/>
  </r>
  <r>
    <x v="0"/>
    <x v="0"/>
    <x v="0"/>
    <x v="0"/>
    <x v="0"/>
    <x v="7"/>
    <x v="8"/>
    <x v="4"/>
    <x v="5"/>
    <s v="GNR_HP_ELEC_COP-450"/>
    <x v="1"/>
    <x v="6"/>
    <n v="0.54"/>
    <n v="131.4"/>
    <n v="473.04"/>
  </r>
  <r>
    <x v="0"/>
    <x v="0"/>
    <x v="0"/>
    <x v="0"/>
    <x v="0"/>
    <x v="7"/>
    <x v="8"/>
    <x v="4"/>
    <x v="5"/>
    <s v="GNR_HP_ELEC_COP-450"/>
    <x v="1"/>
    <x v="7"/>
    <n v="0.54"/>
    <n v="131.4"/>
    <n v="473.04"/>
  </r>
  <r>
    <x v="0"/>
    <x v="0"/>
    <x v="0"/>
    <x v="0"/>
    <x v="0"/>
    <x v="7"/>
    <x v="8"/>
    <x v="4"/>
    <x v="5"/>
    <s v="GNR_HP_ELEC_COP-450"/>
    <x v="1"/>
    <x v="8"/>
    <n v="0.54"/>
    <n v="131.4"/>
    <n v="473.04"/>
  </r>
  <r>
    <x v="0"/>
    <x v="0"/>
    <x v="0"/>
    <x v="0"/>
    <x v="0"/>
    <x v="7"/>
    <x v="8"/>
    <x v="4"/>
    <x v="5"/>
    <s v="GNR_HP_ELEC_COP-450"/>
    <x v="1"/>
    <x v="1"/>
    <n v="0.54"/>
    <n v="131.4"/>
    <n v="473.04"/>
  </r>
  <r>
    <x v="0"/>
    <x v="0"/>
    <x v="0"/>
    <x v="0"/>
    <x v="0"/>
    <x v="7"/>
    <x v="8"/>
    <x v="4"/>
    <x v="5"/>
    <s v="GNR_HP_ELEC_COP-450"/>
    <x v="1"/>
    <x v="9"/>
    <n v="0.54"/>
    <n v="131.4"/>
    <n v="473.04"/>
  </r>
  <r>
    <x v="0"/>
    <x v="0"/>
    <x v="0"/>
    <x v="0"/>
    <x v="0"/>
    <x v="7"/>
    <x v="8"/>
    <x v="4"/>
    <x v="5"/>
    <s v="GNR_HP_ELEC_COP-450"/>
    <x v="1"/>
    <x v="10"/>
    <n v="0.54"/>
    <n v="131.4"/>
    <n v="473.04"/>
  </r>
  <r>
    <x v="0"/>
    <x v="0"/>
    <x v="0"/>
    <x v="0"/>
    <x v="0"/>
    <x v="7"/>
    <x v="8"/>
    <x v="4"/>
    <x v="5"/>
    <s v="GNR_HP_ELEC_COP-450"/>
    <x v="1"/>
    <x v="11"/>
    <n v="0.54"/>
    <n v="131.4"/>
    <n v="473.04"/>
  </r>
  <r>
    <x v="0"/>
    <x v="0"/>
    <x v="0"/>
    <x v="0"/>
    <x v="0"/>
    <x v="7"/>
    <x v="8"/>
    <x v="4"/>
    <x v="5"/>
    <s v="GNR_HP_ELEC_COP-460"/>
    <x v="0"/>
    <x v="5"/>
    <n v="3.6"/>
    <n v="876"/>
    <n v="3153.6"/>
  </r>
  <r>
    <x v="0"/>
    <x v="0"/>
    <x v="0"/>
    <x v="0"/>
    <x v="0"/>
    <x v="7"/>
    <x v="8"/>
    <x v="4"/>
    <x v="5"/>
    <s v="GNR_HP_ELEC_COP-460"/>
    <x v="0"/>
    <x v="3"/>
    <n v="3.6"/>
    <n v="876"/>
    <n v="3153.6"/>
  </r>
  <r>
    <x v="0"/>
    <x v="0"/>
    <x v="0"/>
    <x v="0"/>
    <x v="0"/>
    <x v="7"/>
    <x v="8"/>
    <x v="4"/>
    <x v="5"/>
    <s v="GNR_HP_ELEC_COP-460"/>
    <x v="0"/>
    <x v="6"/>
    <n v="3.6"/>
    <n v="876"/>
    <n v="3153.6"/>
  </r>
  <r>
    <x v="0"/>
    <x v="0"/>
    <x v="0"/>
    <x v="0"/>
    <x v="0"/>
    <x v="7"/>
    <x v="8"/>
    <x v="4"/>
    <x v="5"/>
    <s v="GNR_HP_ELEC_COP-460"/>
    <x v="0"/>
    <x v="4"/>
    <n v="3.6"/>
    <n v="876"/>
    <n v="3153.6"/>
  </r>
  <r>
    <x v="0"/>
    <x v="0"/>
    <x v="0"/>
    <x v="0"/>
    <x v="0"/>
    <x v="7"/>
    <x v="8"/>
    <x v="4"/>
    <x v="5"/>
    <s v="GNR_HP_ELEC_COP-460"/>
    <x v="0"/>
    <x v="7"/>
    <n v="3.6"/>
    <n v="876"/>
    <n v="3153.6"/>
  </r>
  <r>
    <x v="0"/>
    <x v="0"/>
    <x v="0"/>
    <x v="0"/>
    <x v="0"/>
    <x v="7"/>
    <x v="8"/>
    <x v="4"/>
    <x v="5"/>
    <s v="GNR_HP_ELEC_COP-460"/>
    <x v="0"/>
    <x v="8"/>
    <n v="3.6"/>
    <n v="876"/>
    <n v="3153.6"/>
  </r>
  <r>
    <x v="0"/>
    <x v="0"/>
    <x v="0"/>
    <x v="0"/>
    <x v="0"/>
    <x v="7"/>
    <x v="8"/>
    <x v="4"/>
    <x v="5"/>
    <s v="GNR_HP_ELEC_COP-460"/>
    <x v="0"/>
    <x v="9"/>
    <n v="3.6"/>
    <n v="876"/>
    <n v="3153.6"/>
  </r>
  <r>
    <x v="0"/>
    <x v="0"/>
    <x v="0"/>
    <x v="0"/>
    <x v="0"/>
    <x v="7"/>
    <x v="8"/>
    <x v="4"/>
    <x v="5"/>
    <s v="GNR_HP_ELEC_COP-460"/>
    <x v="0"/>
    <x v="10"/>
    <n v="3.6"/>
    <n v="876"/>
    <n v="3153.6"/>
  </r>
  <r>
    <x v="0"/>
    <x v="0"/>
    <x v="0"/>
    <x v="0"/>
    <x v="0"/>
    <x v="7"/>
    <x v="8"/>
    <x v="4"/>
    <x v="5"/>
    <s v="GNR_HP_ELEC_COP-460"/>
    <x v="0"/>
    <x v="11"/>
    <n v="3.6"/>
    <n v="876"/>
    <n v="3153.6"/>
  </r>
  <r>
    <x v="0"/>
    <x v="0"/>
    <x v="0"/>
    <x v="0"/>
    <x v="0"/>
    <x v="7"/>
    <x v="8"/>
    <x v="4"/>
    <x v="5"/>
    <s v="GNR_HP_ELEC_COP-460"/>
    <x v="2"/>
    <x v="5"/>
    <n v="3.6"/>
    <n v="876"/>
    <n v="3153.6"/>
  </r>
  <r>
    <x v="0"/>
    <x v="0"/>
    <x v="0"/>
    <x v="0"/>
    <x v="0"/>
    <x v="7"/>
    <x v="8"/>
    <x v="4"/>
    <x v="5"/>
    <s v="GNR_HP_ELEC_COP-460"/>
    <x v="2"/>
    <x v="3"/>
    <n v="3.6"/>
    <n v="876"/>
    <n v="3153.6"/>
  </r>
  <r>
    <x v="0"/>
    <x v="0"/>
    <x v="0"/>
    <x v="0"/>
    <x v="0"/>
    <x v="7"/>
    <x v="8"/>
    <x v="4"/>
    <x v="5"/>
    <s v="GNR_HP_ELEC_COP-460"/>
    <x v="2"/>
    <x v="6"/>
    <n v="3.6"/>
    <n v="876"/>
    <n v="3153.6"/>
  </r>
  <r>
    <x v="0"/>
    <x v="0"/>
    <x v="0"/>
    <x v="0"/>
    <x v="0"/>
    <x v="7"/>
    <x v="8"/>
    <x v="4"/>
    <x v="5"/>
    <s v="GNR_HP_ELEC_COP-460"/>
    <x v="2"/>
    <x v="4"/>
    <n v="3.6"/>
    <n v="876"/>
    <n v="3153.6"/>
  </r>
  <r>
    <x v="0"/>
    <x v="0"/>
    <x v="0"/>
    <x v="0"/>
    <x v="0"/>
    <x v="7"/>
    <x v="8"/>
    <x v="4"/>
    <x v="5"/>
    <s v="GNR_HP_ELEC_COP-460"/>
    <x v="2"/>
    <x v="7"/>
    <n v="3.6"/>
    <n v="876"/>
    <n v="3153.6"/>
  </r>
  <r>
    <x v="0"/>
    <x v="0"/>
    <x v="0"/>
    <x v="0"/>
    <x v="0"/>
    <x v="7"/>
    <x v="8"/>
    <x v="4"/>
    <x v="5"/>
    <s v="GNR_HP_ELEC_COP-460"/>
    <x v="2"/>
    <x v="8"/>
    <n v="3.6"/>
    <n v="876"/>
    <n v="3153.6"/>
  </r>
  <r>
    <x v="0"/>
    <x v="0"/>
    <x v="0"/>
    <x v="0"/>
    <x v="0"/>
    <x v="7"/>
    <x v="8"/>
    <x v="4"/>
    <x v="5"/>
    <s v="GNR_HP_ELEC_COP-460"/>
    <x v="2"/>
    <x v="0"/>
    <n v="3.6"/>
    <n v="876"/>
    <n v="3153.6"/>
  </r>
  <r>
    <x v="0"/>
    <x v="0"/>
    <x v="0"/>
    <x v="0"/>
    <x v="0"/>
    <x v="7"/>
    <x v="8"/>
    <x v="4"/>
    <x v="5"/>
    <s v="GNR_HP_ELEC_COP-460"/>
    <x v="2"/>
    <x v="1"/>
    <n v="3.6"/>
    <n v="876"/>
    <n v="3153.6"/>
  </r>
  <r>
    <x v="0"/>
    <x v="0"/>
    <x v="0"/>
    <x v="0"/>
    <x v="0"/>
    <x v="7"/>
    <x v="8"/>
    <x v="4"/>
    <x v="5"/>
    <s v="GNR_HP_ELEC_COP-460"/>
    <x v="2"/>
    <x v="2"/>
    <n v="3.6"/>
    <n v="876"/>
    <n v="3153.6"/>
  </r>
  <r>
    <x v="0"/>
    <x v="0"/>
    <x v="0"/>
    <x v="0"/>
    <x v="0"/>
    <x v="7"/>
    <x v="8"/>
    <x v="4"/>
    <x v="5"/>
    <s v="GNR_HP_ELEC_COP-460"/>
    <x v="2"/>
    <x v="9"/>
    <n v="3.6"/>
    <n v="876"/>
    <n v="3153.6"/>
  </r>
  <r>
    <x v="0"/>
    <x v="0"/>
    <x v="0"/>
    <x v="0"/>
    <x v="0"/>
    <x v="7"/>
    <x v="8"/>
    <x v="4"/>
    <x v="5"/>
    <s v="GNR_HP_ELEC_COP-460"/>
    <x v="2"/>
    <x v="10"/>
    <n v="3.6"/>
    <n v="876"/>
    <n v="3153.6"/>
  </r>
  <r>
    <x v="0"/>
    <x v="0"/>
    <x v="0"/>
    <x v="0"/>
    <x v="0"/>
    <x v="7"/>
    <x v="8"/>
    <x v="4"/>
    <x v="5"/>
    <s v="GNR_HP_ELEC_COP-460"/>
    <x v="2"/>
    <x v="11"/>
    <n v="3.6"/>
    <n v="876"/>
    <n v="3153.6"/>
  </r>
  <r>
    <x v="0"/>
    <x v="0"/>
    <x v="0"/>
    <x v="0"/>
    <x v="0"/>
    <x v="7"/>
    <x v="8"/>
    <x v="4"/>
    <x v="5"/>
    <s v="GNR_HP_ELEC_COP-460"/>
    <x v="1"/>
    <x v="5"/>
    <n v="3.6"/>
    <n v="876"/>
    <n v="3153.6"/>
  </r>
  <r>
    <x v="0"/>
    <x v="0"/>
    <x v="0"/>
    <x v="0"/>
    <x v="0"/>
    <x v="7"/>
    <x v="8"/>
    <x v="4"/>
    <x v="5"/>
    <s v="GNR_HP_ELEC_COP-460"/>
    <x v="1"/>
    <x v="6"/>
    <n v="3.6"/>
    <n v="876"/>
    <n v="3153.6"/>
  </r>
  <r>
    <x v="0"/>
    <x v="0"/>
    <x v="0"/>
    <x v="0"/>
    <x v="0"/>
    <x v="7"/>
    <x v="8"/>
    <x v="4"/>
    <x v="5"/>
    <s v="GNR_HP_ELEC_COP-460"/>
    <x v="1"/>
    <x v="7"/>
    <n v="3.6"/>
    <n v="876"/>
    <n v="3153.6"/>
  </r>
  <r>
    <x v="0"/>
    <x v="0"/>
    <x v="0"/>
    <x v="0"/>
    <x v="0"/>
    <x v="7"/>
    <x v="8"/>
    <x v="4"/>
    <x v="5"/>
    <s v="GNR_HP_ELEC_COP-460"/>
    <x v="1"/>
    <x v="8"/>
    <n v="3.6"/>
    <n v="876"/>
    <n v="3153.6"/>
  </r>
  <r>
    <x v="0"/>
    <x v="0"/>
    <x v="0"/>
    <x v="0"/>
    <x v="0"/>
    <x v="7"/>
    <x v="8"/>
    <x v="4"/>
    <x v="5"/>
    <s v="GNR_HP_ELEC_COP-460"/>
    <x v="1"/>
    <x v="1"/>
    <n v="3.6"/>
    <n v="876"/>
    <n v="3153.6"/>
  </r>
  <r>
    <x v="0"/>
    <x v="0"/>
    <x v="0"/>
    <x v="0"/>
    <x v="0"/>
    <x v="7"/>
    <x v="8"/>
    <x v="4"/>
    <x v="5"/>
    <s v="GNR_HP_ELEC_COP-460"/>
    <x v="1"/>
    <x v="9"/>
    <n v="3.6"/>
    <n v="876"/>
    <n v="3153.6"/>
  </r>
  <r>
    <x v="0"/>
    <x v="0"/>
    <x v="0"/>
    <x v="0"/>
    <x v="0"/>
    <x v="7"/>
    <x v="8"/>
    <x v="4"/>
    <x v="5"/>
    <s v="GNR_HP_ELEC_COP-460"/>
    <x v="1"/>
    <x v="10"/>
    <n v="3.6"/>
    <n v="876"/>
    <n v="3153.6"/>
  </r>
  <r>
    <x v="0"/>
    <x v="0"/>
    <x v="0"/>
    <x v="0"/>
    <x v="0"/>
    <x v="7"/>
    <x v="8"/>
    <x v="4"/>
    <x v="5"/>
    <s v="GNR_HP_ELEC_COP-460"/>
    <x v="1"/>
    <x v="11"/>
    <n v="3.6"/>
    <n v="876"/>
    <n v="3153.6"/>
  </r>
  <r>
    <x v="0"/>
    <x v="0"/>
    <x v="0"/>
    <x v="0"/>
    <x v="0"/>
    <x v="7"/>
    <x v="8"/>
    <x v="4"/>
    <x v="5"/>
    <s v="GNR_HP_ELEC_COP-470"/>
    <x v="0"/>
    <x v="5"/>
    <n v="0.95"/>
    <n v="231.166666666667"/>
    <n v="832.2"/>
  </r>
  <r>
    <x v="0"/>
    <x v="0"/>
    <x v="0"/>
    <x v="0"/>
    <x v="0"/>
    <x v="7"/>
    <x v="8"/>
    <x v="4"/>
    <x v="5"/>
    <s v="GNR_HP_ELEC_COP-470"/>
    <x v="0"/>
    <x v="3"/>
    <n v="0.95"/>
    <n v="231.166666666667"/>
    <n v="832.2"/>
  </r>
  <r>
    <x v="0"/>
    <x v="0"/>
    <x v="0"/>
    <x v="0"/>
    <x v="0"/>
    <x v="7"/>
    <x v="8"/>
    <x v="4"/>
    <x v="5"/>
    <s v="GNR_HP_ELEC_COP-470"/>
    <x v="0"/>
    <x v="6"/>
    <n v="0.95"/>
    <n v="231.166666666667"/>
    <n v="832.2"/>
  </r>
  <r>
    <x v="0"/>
    <x v="0"/>
    <x v="0"/>
    <x v="0"/>
    <x v="0"/>
    <x v="7"/>
    <x v="8"/>
    <x v="4"/>
    <x v="5"/>
    <s v="GNR_HP_ELEC_COP-470"/>
    <x v="0"/>
    <x v="4"/>
    <n v="0.95"/>
    <n v="231.166666666667"/>
    <n v="832.2"/>
  </r>
  <r>
    <x v="0"/>
    <x v="0"/>
    <x v="0"/>
    <x v="0"/>
    <x v="0"/>
    <x v="7"/>
    <x v="8"/>
    <x v="4"/>
    <x v="5"/>
    <s v="GNR_HP_ELEC_COP-470"/>
    <x v="0"/>
    <x v="7"/>
    <n v="0.95"/>
    <n v="231.166666666667"/>
    <n v="832.2"/>
  </r>
  <r>
    <x v="0"/>
    <x v="0"/>
    <x v="0"/>
    <x v="0"/>
    <x v="0"/>
    <x v="7"/>
    <x v="8"/>
    <x v="4"/>
    <x v="5"/>
    <s v="GNR_HP_ELEC_COP-470"/>
    <x v="0"/>
    <x v="8"/>
    <n v="0.95"/>
    <n v="231.166666666667"/>
    <n v="832.2"/>
  </r>
  <r>
    <x v="0"/>
    <x v="0"/>
    <x v="0"/>
    <x v="0"/>
    <x v="0"/>
    <x v="7"/>
    <x v="8"/>
    <x v="4"/>
    <x v="5"/>
    <s v="GNR_HP_ELEC_COP-470"/>
    <x v="0"/>
    <x v="9"/>
    <n v="0.95"/>
    <n v="231.166666666667"/>
    <n v="832.2"/>
  </r>
  <r>
    <x v="0"/>
    <x v="0"/>
    <x v="0"/>
    <x v="0"/>
    <x v="0"/>
    <x v="7"/>
    <x v="8"/>
    <x v="4"/>
    <x v="5"/>
    <s v="GNR_HP_ELEC_COP-470"/>
    <x v="0"/>
    <x v="10"/>
    <n v="0.95"/>
    <n v="231.166666666667"/>
    <n v="832.2"/>
  </r>
  <r>
    <x v="0"/>
    <x v="0"/>
    <x v="0"/>
    <x v="0"/>
    <x v="0"/>
    <x v="7"/>
    <x v="8"/>
    <x v="4"/>
    <x v="5"/>
    <s v="GNR_HP_ELEC_COP-470"/>
    <x v="0"/>
    <x v="11"/>
    <n v="0.95"/>
    <n v="231.166666666667"/>
    <n v="832.2"/>
  </r>
  <r>
    <x v="0"/>
    <x v="0"/>
    <x v="0"/>
    <x v="0"/>
    <x v="0"/>
    <x v="7"/>
    <x v="8"/>
    <x v="4"/>
    <x v="5"/>
    <s v="GNR_HP_ELEC_COP-470"/>
    <x v="2"/>
    <x v="5"/>
    <n v="0.95"/>
    <n v="231.166666666667"/>
    <n v="832.2"/>
  </r>
  <r>
    <x v="0"/>
    <x v="0"/>
    <x v="0"/>
    <x v="0"/>
    <x v="0"/>
    <x v="7"/>
    <x v="8"/>
    <x v="4"/>
    <x v="5"/>
    <s v="GNR_HP_ELEC_COP-470"/>
    <x v="2"/>
    <x v="3"/>
    <n v="0.95"/>
    <n v="231.166666666667"/>
    <n v="832.2"/>
  </r>
  <r>
    <x v="0"/>
    <x v="0"/>
    <x v="0"/>
    <x v="0"/>
    <x v="0"/>
    <x v="7"/>
    <x v="8"/>
    <x v="4"/>
    <x v="5"/>
    <s v="GNR_HP_ELEC_COP-470"/>
    <x v="2"/>
    <x v="6"/>
    <n v="0.95"/>
    <n v="231.166666666667"/>
    <n v="832.2"/>
  </r>
  <r>
    <x v="0"/>
    <x v="0"/>
    <x v="0"/>
    <x v="0"/>
    <x v="0"/>
    <x v="7"/>
    <x v="8"/>
    <x v="4"/>
    <x v="5"/>
    <s v="GNR_HP_ELEC_COP-470"/>
    <x v="2"/>
    <x v="4"/>
    <n v="0.95"/>
    <n v="231.166666666667"/>
    <n v="832.2"/>
  </r>
  <r>
    <x v="0"/>
    <x v="0"/>
    <x v="0"/>
    <x v="0"/>
    <x v="0"/>
    <x v="7"/>
    <x v="8"/>
    <x v="4"/>
    <x v="5"/>
    <s v="GNR_HP_ELEC_COP-470"/>
    <x v="2"/>
    <x v="7"/>
    <n v="0.95"/>
    <n v="231.166666666667"/>
    <n v="832.2"/>
  </r>
  <r>
    <x v="0"/>
    <x v="0"/>
    <x v="0"/>
    <x v="0"/>
    <x v="0"/>
    <x v="7"/>
    <x v="8"/>
    <x v="4"/>
    <x v="5"/>
    <s v="GNR_HP_ELEC_COP-470"/>
    <x v="2"/>
    <x v="8"/>
    <n v="0.95"/>
    <n v="231.166666666667"/>
    <n v="832.2"/>
  </r>
  <r>
    <x v="0"/>
    <x v="0"/>
    <x v="0"/>
    <x v="0"/>
    <x v="0"/>
    <x v="7"/>
    <x v="8"/>
    <x v="4"/>
    <x v="5"/>
    <s v="GNR_HP_ELEC_COP-470"/>
    <x v="2"/>
    <x v="0"/>
    <n v="0.95"/>
    <n v="231.166666666667"/>
    <n v="832.2"/>
  </r>
  <r>
    <x v="0"/>
    <x v="0"/>
    <x v="0"/>
    <x v="0"/>
    <x v="0"/>
    <x v="7"/>
    <x v="8"/>
    <x v="4"/>
    <x v="5"/>
    <s v="GNR_HP_ELEC_COP-470"/>
    <x v="2"/>
    <x v="1"/>
    <n v="0.95"/>
    <n v="231.166666666667"/>
    <n v="832.2"/>
  </r>
  <r>
    <x v="0"/>
    <x v="0"/>
    <x v="0"/>
    <x v="0"/>
    <x v="0"/>
    <x v="7"/>
    <x v="8"/>
    <x v="4"/>
    <x v="5"/>
    <s v="GNR_HP_ELEC_COP-470"/>
    <x v="2"/>
    <x v="2"/>
    <n v="0.95"/>
    <n v="231.166666666667"/>
    <n v="832.2"/>
  </r>
  <r>
    <x v="0"/>
    <x v="0"/>
    <x v="0"/>
    <x v="0"/>
    <x v="0"/>
    <x v="7"/>
    <x v="8"/>
    <x v="4"/>
    <x v="5"/>
    <s v="GNR_HP_ELEC_COP-470"/>
    <x v="2"/>
    <x v="9"/>
    <n v="0.95"/>
    <n v="231.166666666667"/>
    <n v="832.2"/>
  </r>
  <r>
    <x v="0"/>
    <x v="0"/>
    <x v="0"/>
    <x v="0"/>
    <x v="0"/>
    <x v="7"/>
    <x v="8"/>
    <x v="4"/>
    <x v="5"/>
    <s v="GNR_HP_ELEC_COP-470"/>
    <x v="2"/>
    <x v="10"/>
    <n v="0.95"/>
    <n v="231.166666666667"/>
    <n v="832.2"/>
  </r>
  <r>
    <x v="0"/>
    <x v="0"/>
    <x v="0"/>
    <x v="0"/>
    <x v="0"/>
    <x v="7"/>
    <x v="8"/>
    <x v="4"/>
    <x v="5"/>
    <s v="GNR_HP_ELEC_COP-470"/>
    <x v="2"/>
    <x v="11"/>
    <n v="0.95"/>
    <n v="231.166666666667"/>
    <n v="832.2"/>
  </r>
  <r>
    <x v="0"/>
    <x v="0"/>
    <x v="0"/>
    <x v="0"/>
    <x v="0"/>
    <x v="7"/>
    <x v="8"/>
    <x v="4"/>
    <x v="5"/>
    <s v="GNR_HP_ELEC_COP-470"/>
    <x v="1"/>
    <x v="5"/>
    <n v="0.95"/>
    <n v="231.166666666667"/>
    <n v="832.2"/>
  </r>
  <r>
    <x v="0"/>
    <x v="0"/>
    <x v="0"/>
    <x v="0"/>
    <x v="0"/>
    <x v="7"/>
    <x v="8"/>
    <x v="4"/>
    <x v="5"/>
    <s v="GNR_HP_ELEC_COP-470"/>
    <x v="1"/>
    <x v="6"/>
    <n v="0.95"/>
    <n v="231.166666666667"/>
    <n v="832.2"/>
  </r>
  <r>
    <x v="0"/>
    <x v="0"/>
    <x v="0"/>
    <x v="0"/>
    <x v="0"/>
    <x v="7"/>
    <x v="8"/>
    <x v="4"/>
    <x v="5"/>
    <s v="GNR_HP_ELEC_COP-470"/>
    <x v="1"/>
    <x v="7"/>
    <n v="0.95"/>
    <n v="231.166666666667"/>
    <n v="832.2"/>
  </r>
  <r>
    <x v="0"/>
    <x v="0"/>
    <x v="0"/>
    <x v="0"/>
    <x v="0"/>
    <x v="7"/>
    <x v="8"/>
    <x v="4"/>
    <x v="5"/>
    <s v="GNR_HP_ELEC_COP-470"/>
    <x v="1"/>
    <x v="8"/>
    <n v="0.95"/>
    <n v="231.166666666667"/>
    <n v="832.2"/>
  </r>
  <r>
    <x v="0"/>
    <x v="0"/>
    <x v="0"/>
    <x v="0"/>
    <x v="0"/>
    <x v="7"/>
    <x v="8"/>
    <x v="4"/>
    <x v="5"/>
    <s v="GNR_HP_ELEC_COP-470"/>
    <x v="1"/>
    <x v="1"/>
    <n v="0.95"/>
    <n v="231.166666666667"/>
    <n v="832.2"/>
  </r>
  <r>
    <x v="0"/>
    <x v="0"/>
    <x v="0"/>
    <x v="0"/>
    <x v="0"/>
    <x v="7"/>
    <x v="8"/>
    <x v="4"/>
    <x v="5"/>
    <s v="GNR_HP_ELEC_COP-470"/>
    <x v="1"/>
    <x v="9"/>
    <n v="0.95"/>
    <n v="231.166666666667"/>
    <n v="832.2"/>
  </r>
  <r>
    <x v="0"/>
    <x v="0"/>
    <x v="0"/>
    <x v="0"/>
    <x v="0"/>
    <x v="7"/>
    <x v="8"/>
    <x v="4"/>
    <x v="5"/>
    <s v="GNR_HP_ELEC_COP-470"/>
    <x v="1"/>
    <x v="10"/>
    <n v="0.95"/>
    <n v="231.166666666667"/>
    <n v="832.2"/>
  </r>
  <r>
    <x v="0"/>
    <x v="0"/>
    <x v="0"/>
    <x v="0"/>
    <x v="0"/>
    <x v="7"/>
    <x v="8"/>
    <x v="4"/>
    <x v="5"/>
    <s v="GNR_HP_ELEC_COP-470"/>
    <x v="1"/>
    <x v="11"/>
    <n v="0.95"/>
    <n v="231.166666666667"/>
    <n v="832.2"/>
  </r>
  <r>
    <x v="0"/>
    <x v="0"/>
    <x v="0"/>
    <x v="0"/>
    <x v="0"/>
    <x v="7"/>
    <x v="8"/>
    <x v="4"/>
    <x v="5"/>
    <s v="GNR_HP_ELEC_COP-500"/>
    <x v="0"/>
    <x v="5"/>
    <n v="0.5"/>
    <n v="121.666666666667"/>
    <n v="438"/>
  </r>
  <r>
    <x v="0"/>
    <x v="0"/>
    <x v="0"/>
    <x v="0"/>
    <x v="0"/>
    <x v="7"/>
    <x v="8"/>
    <x v="4"/>
    <x v="5"/>
    <s v="GNR_HP_ELEC_COP-500"/>
    <x v="0"/>
    <x v="3"/>
    <n v="0.5"/>
    <n v="121.666666666667"/>
    <n v="438"/>
  </r>
  <r>
    <x v="0"/>
    <x v="0"/>
    <x v="0"/>
    <x v="0"/>
    <x v="0"/>
    <x v="7"/>
    <x v="8"/>
    <x v="4"/>
    <x v="5"/>
    <s v="GNR_HP_ELEC_COP-500"/>
    <x v="0"/>
    <x v="6"/>
    <n v="0.5"/>
    <n v="121.666666666667"/>
    <n v="438"/>
  </r>
  <r>
    <x v="0"/>
    <x v="0"/>
    <x v="0"/>
    <x v="0"/>
    <x v="0"/>
    <x v="7"/>
    <x v="8"/>
    <x v="4"/>
    <x v="5"/>
    <s v="GNR_HP_ELEC_COP-500"/>
    <x v="0"/>
    <x v="4"/>
    <n v="0.5"/>
    <n v="121.666666666667"/>
    <n v="438"/>
  </r>
  <r>
    <x v="0"/>
    <x v="0"/>
    <x v="0"/>
    <x v="0"/>
    <x v="0"/>
    <x v="7"/>
    <x v="8"/>
    <x v="4"/>
    <x v="5"/>
    <s v="GNR_HP_ELEC_COP-500"/>
    <x v="0"/>
    <x v="7"/>
    <n v="0.5"/>
    <n v="121.666666666667"/>
    <n v="438"/>
  </r>
  <r>
    <x v="0"/>
    <x v="0"/>
    <x v="0"/>
    <x v="0"/>
    <x v="0"/>
    <x v="7"/>
    <x v="8"/>
    <x v="4"/>
    <x v="5"/>
    <s v="GNR_HP_ELEC_COP-500"/>
    <x v="0"/>
    <x v="8"/>
    <n v="0.5"/>
    <n v="121.666666666667"/>
    <n v="438"/>
  </r>
  <r>
    <x v="0"/>
    <x v="0"/>
    <x v="0"/>
    <x v="0"/>
    <x v="0"/>
    <x v="7"/>
    <x v="8"/>
    <x v="4"/>
    <x v="5"/>
    <s v="GNR_HP_ELEC_COP-500"/>
    <x v="0"/>
    <x v="1"/>
    <n v="0.5"/>
    <n v="121.666666666667"/>
    <n v="438"/>
  </r>
  <r>
    <x v="0"/>
    <x v="0"/>
    <x v="0"/>
    <x v="0"/>
    <x v="0"/>
    <x v="7"/>
    <x v="8"/>
    <x v="4"/>
    <x v="5"/>
    <s v="GNR_HP_ELEC_COP-500"/>
    <x v="0"/>
    <x v="2"/>
    <n v="0.5"/>
    <n v="121.666666666667"/>
    <n v="438"/>
  </r>
  <r>
    <x v="0"/>
    <x v="0"/>
    <x v="0"/>
    <x v="0"/>
    <x v="0"/>
    <x v="7"/>
    <x v="8"/>
    <x v="4"/>
    <x v="5"/>
    <s v="GNR_HP_ELEC_COP-500"/>
    <x v="0"/>
    <x v="9"/>
    <n v="0.5"/>
    <n v="121.666666666667"/>
    <n v="438"/>
  </r>
  <r>
    <x v="0"/>
    <x v="0"/>
    <x v="0"/>
    <x v="0"/>
    <x v="0"/>
    <x v="7"/>
    <x v="8"/>
    <x v="4"/>
    <x v="5"/>
    <s v="GNR_HP_ELEC_COP-500"/>
    <x v="0"/>
    <x v="10"/>
    <n v="0.5"/>
    <n v="121.666666666667"/>
    <n v="438"/>
  </r>
  <r>
    <x v="0"/>
    <x v="0"/>
    <x v="0"/>
    <x v="0"/>
    <x v="0"/>
    <x v="7"/>
    <x v="8"/>
    <x v="4"/>
    <x v="5"/>
    <s v="GNR_HP_ELEC_COP-500"/>
    <x v="0"/>
    <x v="11"/>
    <n v="0.5"/>
    <n v="121.666666666667"/>
    <n v="438"/>
  </r>
  <r>
    <x v="0"/>
    <x v="0"/>
    <x v="0"/>
    <x v="0"/>
    <x v="0"/>
    <x v="7"/>
    <x v="8"/>
    <x v="4"/>
    <x v="5"/>
    <s v="GNR_HP_ELEC_COP-500"/>
    <x v="2"/>
    <x v="5"/>
    <n v="0.5"/>
    <n v="121.666666666667"/>
    <n v="438"/>
  </r>
  <r>
    <x v="0"/>
    <x v="0"/>
    <x v="0"/>
    <x v="0"/>
    <x v="0"/>
    <x v="7"/>
    <x v="8"/>
    <x v="4"/>
    <x v="5"/>
    <s v="GNR_HP_ELEC_COP-500"/>
    <x v="2"/>
    <x v="3"/>
    <n v="0.5"/>
    <n v="121.666666666667"/>
    <n v="438"/>
  </r>
  <r>
    <x v="0"/>
    <x v="0"/>
    <x v="0"/>
    <x v="0"/>
    <x v="0"/>
    <x v="7"/>
    <x v="8"/>
    <x v="4"/>
    <x v="5"/>
    <s v="GNR_HP_ELEC_COP-500"/>
    <x v="2"/>
    <x v="6"/>
    <n v="0.5"/>
    <n v="121.666666666667"/>
    <n v="438"/>
  </r>
  <r>
    <x v="0"/>
    <x v="0"/>
    <x v="0"/>
    <x v="0"/>
    <x v="0"/>
    <x v="7"/>
    <x v="8"/>
    <x v="4"/>
    <x v="5"/>
    <s v="GNR_HP_ELEC_COP-500"/>
    <x v="2"/>
    <x v="4"/>
    <n v="0.5"/>
    <n v="121.666666666667"/>
    <n v="438"/>
  </r>
  <r>
    <x v="0"/>
    <x v="0"/>
    <x v="0"/>
    <x v="0"/>
    <x v="0"/>
    <x v="7"/>
    <x v="8"/>
    <x v="4"/>
    <x v="5"/>
    <s v="GNR_HP_ELEC_COP-500"/>
    <x v="2"/>
    <x v="7"/>
    <n v="0.5"/>
    <n v="121.666666666667"/>
    <n v="438"/>
  </r>
  <r>
    <x v="0"/>
    <x v="0"/>
    <x v="0"/>
    <x v="0"/>
    <x v="0"/>
    <x v="7"/>
    <x v="8"/>
    <x v="4"/>
    <x v="5"/>
    <s v="GNR_HP_ELEC_COP-500"/>
    <x v="2"/>
    <x v="8"/>
    <n v="0.5"/>
    <n v="121.666666666667"/>
    <n v="438"/>
  </r>
  <r>
    <x v="0"/>
    <x v="0"/>
    <x v="0"/>
    <x v="0"/>
    <x v="0"/>
    <x v="7"/>
    <x v="8"/>
    <x v="4"/>
    <x v="5"/>
    <s v="GNR_HP_ELEC_COP-500"/>
    <x v="2"/>
    <x v="0"/>
    <n v="0.5"/>
    <n v="121.666666666667"/>
    <n v="438"/>
  </r>
  <r>
    <x v="0"/>
    <x v="0"/>
    <x v="0"/>
    <x v="0"/>
    <x v="0"/>
    <x v="7"/>
    <x v="8"/>
    <x v="4"/>
    <x v="5"/>
    <s v="GNR_HP_ELEC_COP-500"/>
    <x v="2"/>
    <x v="1"/>
    <n v="0.5"/>
    <n v="121.666666666667"/>
    <n v="438"/>
  </r>
  <r>
    <x v="0"/>
    <x v="0"/>
    <x v="0"/>
    <x v="0"/>
    <x v="0"/>
    <x v="7"/>
    <x v="8"/>
    <x v="4"/>
    <x v="5"/>
    <s v="GNR_HP_ELEC_COP-500"/>
    <x v="2"/>
    <x v="2"/>
    <n v="0.5"/>
    <n v="121.666666666667"/>
    <n v="438"/>
  </r>
  <r>
    <x v="0"/>
    <x v="0"/>
    <x v="0"/>
    <x v="0"/>
    <x v="0"/>
    <x v="7"/>
    <x v="8"/>
    <x v="4"/>
    <x v="5"/>
    <s v="GNR_HP_ELEC_COP-500"/>
    <x v="2"/>
    <x v="9"/>
    <n v="0.5"/>
    <n v="121.666666666667"/>
    <n v="438"/>
  </r>
  <r>
    <x v="0"/>
    <x v="0"/>
    <x v="0"/>
    <x v="0"/>
    <x v="0"/>
    <x v="7"/>
    <x v="8"/>
    <x v="4"/>
    <x v="5"/>
    <s v="GNR_HP_ELEC_COP-500"/>
    <x v="2"/>
    <x v="10"/>
    <n v="0.5"/>
    <n v="121.666666666667"/>
    <n v="438"/>
  </r>
  <r>
    <x v="0"/>
    <x v="0"/>
    <x v="0"/>
    <x v="0"/>
    <x v="0"/>
    <x v="7"/>
    <x v="8"/>
    <x v="4"/>
    <x v="5"/>
    <s v="GNR_HP_ELEC_COP-500"/>
    <x v="2"/>
    <x v="11"/>
    <n v="0.5"/>
    <n v="121.666666666667"/>
    <n v="438"/>
  </r>
  <r>
    <x v="0"/>
    <x v="0"/>
    <x v="0"/>
    <x v="0"/>
    <x v="0"/>
    <x v="7"/>
    <x v="8"/>
    <x v="4"/>
    <x v="5"/>
    <s v="GNR_HP_ELEC_COP-500"/>
    <x v="1"/>
    <x v="5"/>
    <n v="0.5"/>
    <n v="121.666666666667"/>
    <n v="438"/>
  </r>
  <r>
    <x v="0"/>
    <x v="0"/>
    <x v="0"/>
    <x v="0"/>
    <x v="0"/>
    <x v="7"/>
    <x v="8"/>
    <x v="4"/>
    <x v="5"/>
    <s v="GNR_HP_ELEC_COP-500"/>
    <x v="1"/>
    <x v="3"/>
    <n v="0.5"/>
    <n v="121.666666666667"/>
    <n v="438"/>
  </r>
  <r>
    <x v="0"/>
    <x v="0"/>
    <x v="0"/>
    <x v="0"/>
    <x v="0"/>
    <x v="7"/>
    <x v="8"/>
    <x v="4"/>
    <x v="5"/>
    <s v="GNR_HP_ELEC_COP-500"/>
    <x v="1"/>
    <x v="6"/>
    <n v="0.5"/>
    <n v="121.666666666667"/>
    <n v="438"/>
  </r>
  <r>
    <x v="0"/>
    <x v="0"/>
    <x v="0"/>
    <x v="0"/>
    <x v="0"/>
    <x v="7"/>
    <x v="8"/>
    <x v="4"/>
    <x v="5"/>
    <s v="GNR_HP_ELEC_COP-500"/>
    <x v="1"/>
    <x v="4"/>
    <n v="0.5"/>
    <n v="121.666666666667"/>
    <n v="438"/>
  </r>
  <r>
    <x v="0"/>
    <x v="0"/>
    <x v="0"/>
    <x v="0"/>
    <x v="0"/>
    <x v="7"/>
    <x v="8"/>
    <x v="4"/>
    <x v="5"/>
    <s v="GNR_HP_ELEC_COP-500"/>
    <x v="1"/>
    <x v="7"/>
    <n v="0.5"/>
    <n v="121.666666666667"/>
    <n v="438"/>
  </r>
  <r>
    <x v="0"/>
    <x v="0"/>
    <x v="0"/>
    <x v="0"/>
    <x v="0"/>
    <x v="7"/>
    <x v="8"/>
    <x v="4"/>
    <x v="5"/>
    <s v="GNR_HP_ELEC_COP-500"/>
    <x v="1"/>
    <x v="8"/>
    <n v="0.5"/>
    <n v="121.666666666667"/>
    <n v="438"/>
  </r>
  <r>
    <x v="0"/>
    <x v="0"/>
    <x v="0"/>
    <x v="0"/>
    <x v="0"/>
    <x v="7"/>
    <x v="8"/>
    <x v="4"/>
    <x v="5"/>
    <s v="GNR_HP_ELEC_COP-500"/>
    <x v="1"/>
    <x v="0"/>
    <n v="0.5"/>
    <n v="121.666666666667"/>
    <n v="438"/>
  </r>
  <r>
    <x v="0"/>
    <x v="0"/>
    <x v="0"/>
    <x v="0"/>
    <x v="0"/>
    <x v="7"/>
    <x v="8"/>
    <x v="4"/>
    <x v="5"/>
    <s v="GNR_HP_ELEC_COP-500"/>
    <x v="1"/>
    <x v="1"/>
    <n v="0.5"/>
    <n v="121.666666666667"/>
    <n v="438"/>
  </r>
  <r>
    <x v="0"/>
    <x v="0"/>
    <x v="0"/>
    <x v="0"/>
    <x v="0"/>
    <x v="7"/>
    <x v="8"/>
    <x v="4"/>
    <x v="5"/>
    <s v="GNR_HP_ELEC_COP-500"/>
    <x v="1"/>
    <x v="2"/>
    <n v="0.5"/>
    <n v="121.666666666667"/>
    <n v="438"/>
  </r>
  <r>
    <x v="0"/>
    <x v="0"/>
    <x v="0"/>
    <x v="0"/>
    <x v="0"/>
    <x v="7"/>
    <x v="8"/>
    <x v="4"/>
    <x v="5"/>
    <s v="GNR_HP_ELEC_COP-500"/>
    <x v="1"/>
    <x v="9"/>
    <n v="0.5"/>
    <n v="121.666666666667"/>
    <n v="438"/>
  </r>
  <r>
    <x v="0"/>
    <x v="0"/>
    <x v="0"/>
    <x v="0"/>
    <x v="0"/>
    <x v="7"/>
    <x v="8"/>
    <x v="4"/>
    <x v="5"/>
    <s v="GNR_HP_ELEC_COP-500"/>
    <x v="1"/>
    <x v="10"/>
    <n v="0.5"/>
    <n v="121.666666666667"/>
    <n v="438"/>
  </r>
  <r>
    <x v="0"/>
    <x v="0"/>
    <x v="0"/>
    <x v="0"/>
    <x v="0"/>
    <x v="7"/>
    <x v="8"/>
    <x v="4"/>
    <x v="5"/>
    <s v="GNR_HP_ELEC_COP-500"/>
    <x v="1"/>
    <x v="11"/>
    <n v="0.5"/>
    <n v="121.666666666667"/>
    <n v="438"/>
  </r>
  <r>
    <x v="0"/>
    <x v="0"/>
    <x v="0"/>
    <x v="0"/>
    <x v="0"/>
    <x v="7"/>
    <x v="8"/>
    <x v="4"/>
    <x v="5"/>
    <s v="GNR_HP_ELEC_COP-530"/>
    <x v="0"/>
    <x v="5"/>
    <n v="1.35"/>
    <n v="328.5"/>
    <n v="1182.5999999999999"/>
  </r>
  <r>
    <x v="0"/>
    <x v="0"/>
    <x v="0"/>
    <x v="0"/>
    <x v="0"/>
    <x v="7"/>
    <x v="8"/>
    <x v="4"/>
    <x v="5"/>
    <s v="GNR_HP_ELEC_COP-530"/>
    <x v="0"/>
    <x v="3"/>
    <n v="1.35"/>
    <n v="328.5"/>
    <n v="1182.5999999999999"/>
  </r>
  <r>
    <x v="0"/>
    <x v="0"/>
    <x v="0"/>
    <x v="0"/>
    <x v="0"/>
    <x v="7"/>
    <x v="8"/>
    <x v="4"/>
    <x v="5"/>
    <s v="GNR_HP_ELEC_COP-530"/>
    <x v="0"/>
    <x v="6"/>
    <n v="1.35"/>
    <n v="328.5"/>
    <n v="1182.5999999999999"/>
  </r>
  <r>
    <x v="0"/>
    <x v="0"/>
    <x v="0"/>
    <x v="0"/>
    <x v="0"/>
    <x v="7"/>
    <x v="8"/>
    <x v="4"/>
    <x v="5"/>
    <s v="GNR_HP_ELEC_COP-530"/>
    <x v="0"/>
    <x v="4"/>
    <n v="1.35"/>
    <n v="328.5"/>
    <n v="1182.5999999999999"/>
  </r>
  <r>
    <x v="0"/>
    <x v="0"/>
    <x v="0"/>
    <x v="0"/>
    <x v="0"/>
    <x v="7"/>
    <x v="8"/>
    <x v="4"/>
    <x v="5"/>
    <s v="GNR_HP_ELEC_COP-530"/>
    <x v="0"/>
    <x v="7"/>
    <n v="1.35"/>
    <n v="328.5"/>
    <n v="1182.5999999999999"/>
  </r>
  <r>
    <x v="0"/>
    <x v="0"/>
    <x v="0"/>
    <x v="0"/>
    <x v="0"/>
    <x v="7"/>
    <x v="8"/>
    <x v="4"/>
    <x v="5"/>
    <s v="GNR_HP_ELEC_COP-530"/>
    <x v="0"/>
    <x v="8"/>
    <n v="1.35"/>
    <n v="328.5"/>
    <n v="1182.5999999999999"/>
  </r>
  <r>
    <x v="0"/>
    <x v="0"/>
    <x v="0"/>
    <x v="0"/>
    <x v="0"/>
    <x v="7"/>
    <x v="8"/>
    <x v="4"/>
    <x v="5"/>
    <s v="GNR_HP_ELEC_COP-530"/>
    <x v="0"/>
    <x v="0"/>
    <n v="1.35"/>
    <n v="328.5"/>
    <n v="1182.5999999999999"/>
  </r>
  <r>
    <x v="0"/>
    <x v="0"/>
    <x v="0"/>
    <x v="0"/>
    <x v="0"/>
    <x v="7"/>
    <x v="8"/>
    <x v="4"/>
    <x v="5"/>
    <s v="GNR_HP_ELEC_COP-530"/>
    <x v="0"/>
    <x v="1"/>
    <n v="1.35"/>
    <n v="328.5"/>
    <n v="1182.5999999999999"/>
  </r>
  <r>
    <x v="0"/>
    <x v="0"/>
    <x v="0"/>
    <x v="0"/>
    <x v="0"/>
    <x v="7"/>
    <x v="8"/>
    <x v="4"/>
    <x v="5"/>
    <s v="GNR_HP_ELEC_COP-530"/>
    <x v="0"/>
    <x v="2"/>
    <n v="1.35"/>
    <n v="328.5"/>
    <n v="1182.5999999999999"/>
  </r>
  <r>
    <x v="0"/>
    <x v="0"/>
    <x v="0"/>
    <x v="0"/>
    <x v="0"/>
    <x v="7"/>
    <x v="8"/>
    <x v="4"/>
    <x v="5"/>
    <s v="GNR_HP_ELEC_COP-530"/>
    <x v="0"/>
    <x v="9"/>
    <n v="1.35"/>
    <n v="328.5"/>
    <n v="1182.5999999999999"/>
  </r>
  <r>
    <x v="0"/>
    <x v="0"/>
    <x v="0"/>
    <x v="0"/>
    <x v="0"/>
    <x v="7"/>
    <x v="8"/>
    <x v="4"/>
    <x v="5"/>
    <s v="GNR_HP_ELEC_COP-530"/>
    <x v="0"/>
    <x v="10"/>
    <n v="1.35"/>
    <n v="328.5"/>
    <n v="1182.5999999999999"/>
  </r>
  <r>
    <x v="0"/>
    <x v="0"/>
    <x v="0"/>
    <x v="0"/>
    <x v="0"/>
    <x v="7"/>
    <x v="8"/>
    <x v="4"/>
    <x v="5"/>
    <s v="GNR_HP_ELEC_COP-530"/>
    <x v="0"/>
    <x v="11"/>
    <n v="1.35"/>
    <n v="328.5"/>
    <n v="1182.5999999999999"/>
  </r>
  <r>
    <x v="0"/>
    <x v="0"/>
    <x v="0"/>
    <x v="0"/>
    <x v="0"/>
    <x v="7"/>
    <x v="8"/>
    <x v="4"/>
    <x v="5"/>
    <s v="GNR_HP_ELEC_COP-530"/>
    <x v="2"/>
    <x v="5"/>
    <n v="1.35"/>
    <n v="328.5"/>
    <n v="1182.5999999999999"/>
  </r>
  <r>
    <x v="0"/>
    <x v="0"/>
    <x v="0"/>
    <x v="0"/>
    <x v="0"/>
    <x v="7"/>
    <x v="8"/>
    <x v="4"/>
    <x v="5"/>
    <s v="GNR_HP_ELEC_COP-530"/>
    <x v="2"/>
    <x v="3"/>
    <n v="1.35"/>
    <n v="328.5"/>
    <n v="1182.5999999999999"/>
  </r>
  <r>
    <x v="0"/>
    <x v="0"/>
    <x v="0"/>
    <x v="0"/>
    <x v="0"/>
    <x v="7"/>
    <x v="8"/>
    <x v="4"/>
    <x v="5"/>
    <s v="GNR_HP_ELEC_COP-530"/>
    <x v="2"/>
    <x v="6"/>
    <n v="1.35"/>
    <n v="328.5"/>
    <n v="1182.5999999999999"/>
  </r>
  <r>
    <x v="0"/>
    <x v="0"/>
    <x v="0"/>
    <x v="0"/>
    <x v="0"/>
    <x v="7"/>
    <x v="8"/>
    <x v="4"/>
    <x v="5"/>
    <s v="GNR_HP_ELEC_COP-530"/>
    <x v="2"/>
    <x v="4"/>
    <n v="1.35"/>
    <n v="328.5"/>
    <n v="1182.5999999999999"/>
  </r>
  <r>
    <x v="0"/>
    <x v="0"/>
    <x v="0"/>
    <x v="0"/>
    <x v="0"/>
    <x v="7"/>
    <x v="8"/>
    <x v="4"/>
    <x v="5"/>
    <s v="GNR_HP_ELEC_COP-530"/>
    <x v="2"/>
    <x v="7"/>
    <n v="1.35"/>
    <n v="328.5"/>
    <n v="1182.5999999999999"/>
  </r>
  <r>
    <x v="0"/>
    <x v="0"/>
    <x v="0"/>
    <x v="0"/>
    <x v="0"/>
    <x v="7"/>
    <x v="8"/>
    <x v="4"/>
    <x v="5"/>
    <s v="GNR_HP_ELEC_COP-530"/>
    <x v="2"/>
    <x v="8"/>
    <n v="1.35"/>
    <n v="328.5"/>
    <n v="1182.5999999999999"/>
  </r>
  <r>
    <x v="0"/>
    <x v="0"/>
    <x v="0"/>
    <x v="0"/>
    <x v="0"/>
    <x v="7"/>
    <x v="8"/>
    <x v="4"/>
    <x v="5"/>
    <s v="GNR_HP_ELEC_COP-530"/>
    <x v="2"/>
    <x v="0"/>
    <n v="1.35"/>
    <n v="328.5"/>
    <n v="1182.5999999999999"/>
  </r>
  <r>
    <x v="0"/>
    <x v="0"/>
    <x v="0"/>
    <x v="0"/>
    <x v="0"/>
    <x v="7"/>
    <x v="8"/>
    <x v="4"/>
    <x v="5"/>
    <s v="GNR_HP_ELEC_COP-530"/>
    <x v="2"/>
    <x v="1"/>
    <n v="1.35"/>
    <n v="328.5"/>
    <n v="1182.5999999999999"/>
  </r>
  <r>
    <x v="0"/>
    <x v="0"/>
    <x v="0"/>
    <x v="0"/>
    <x v="0"/>
    <x v="7"/>
    <x v="8"/>
    <x v="4"/>
    <x v="5"/>
    <s v="GNR_HP_ELEC_COP-530"/>
    <x v="2"/>
    <x v="2"/>
    <n v="1.35"/>
    <n v="328.5"/>
    <n v="1182.5999999999999"/>
  </r>
  <r>
    <x v="0"/>
    <x v="0"/>
    <x v="0"/>
    <x v="0"/>
    <x v="0"/>
    <x v="7"/>
    <x v="8"/>
    <x v="4"/>
    <x v="5"/>
    <s v="GNR_HP_ELEC_COP-530"/>
    <x v="2"/>
    <x v="9"/>
    <n v="1.35"/>
    <n v="328.5"/>
    <n v="1182.5999999999999"/>
  </r>
  <r>
    <x v="0"/>
    <x v="0"/>
    <x v="0"/>
    <x v="0"/>
    <x v="0"/>
    <x v="7"/>
    <x v="8"/>
    <x v="4"/>
    <x v="5"/>
    <s v="GNR_HP_ELEC_COP-530"/>
    <x v="2"/>
    <x v="10"/>
    <n v="1.35"/>
    <n v="328.5"/>
    <n v="1182.5999999999999"/>
  </r>
  <r>
    <x v="0"/>
    <x v="0"/>
    <x v="0"/>
    <x v="0"/>
    <x v="0"/>
    <x v="7"/>
    <x v="8"/>
    <x v="4"/>
    <x v="5"/>
    <s v="GNR_HP_ELEC_COP-530"/>
    <x v="2"/>
    <x v="11"/>
    <n v="1.35"/>
    <n v="328.5"/>
    <n v="1182.5999999999999"/>
  </r>
  <r>
    <x v="0"/>
    <x v="0"/>
    <x v="0"/>
    <x v="0"/>
    <x v="0"/>
    <x v="7"/>
    <x v="8"/>
    <x v="4"/>
    <x v="5"/>
    <s v="GNR_HP_ELEC_COP-530"/>
    <x v="1"/>
    <x v="5"/>
    <n v="1.35"/>
    <n v="328.5"/>
    <n v="1182.5999999999999"/>
  </r>
  <r>
    <x v="0"/>
    <x v="0"/>
    <x v="0"/>
    <x v="0"/>
    <x v="0"/>
    <x v="7"/>
    <x v="8"/>
    <x v="4"/>
    <x v="5"/>
    <s v="GNR_HP_ELEC_COP-530"/>
    <x v="1"/>
    <x v="3"/>
    <n v="1.35"/>
    <n v="328.5"/>
    <n v="1182.5999999999999"/>
  </r>
  <r>
    <x v="0"/>
    <x v="0"/>
    <x v="0"/>
    <x v="0"/>
    <x v="0"/>
    <x v="7"/>
    <x v="8"/>
    <x v="4"/>
    <x v="5"/>
    <s v="GNR_HP_ELEC_COP-530"/>
    <x v="1"/>
    <x v="6"/>
    <n v="1.35"/>
    <n v="328.5"/>
    <n v="1182.5999999999999"/>
  </r>
  <r>
    <x v="0"/>
    <x v="0"/>
    <x v="0"/>
    <x v="0"/>
    <x v="0"/>
    <x v="7"/>
    <x v="8"/>
    <x v="4"/>
    <x v="5"/>
    <s v="GNR_HP_ELEC_COP-530"/>
    <x v="1"/>
    <x v="4"/>
    <n v="1.35"/>
    <n v="328.5"/>
    <n v="1182.5999999999999"/>
  </r>
  <r>
    <x v="0"/>
    <x v="0"/>
    <x v="0"/>
    <x v="0"/>
    <x v="0"/>
    <x v="7"/>
    <x v="8"/>
    <x v="4"/>
    <x v="5"/>
    <s v="GNR_HP_ELEC_COP-530"/>
    <x v="1"/>
    <x v="7"/>
    <n v="1.35"/>
    <n v="328.5"/>
    <n v="1182.5999999999999"/>
  </r>
  <r>
    <x v="0"/>
    <x v="0"/>
    <x v="0"/>
    <x v="0"/>
    <x v="0"/>
    <x v="7"/>
    <x v="8"/>
    <x v="4"/>
    <x v="5"/>
    <s v="GNR_HP_ELEC_COP-530"/>
    <x v="1"/>
    <x v="8"/>
    <n v="1.35"/>
    <n v="328.5"/>
    <n v="1182.5999999999999"/>
  </r>
  <r>
    <x v="0"/>
    <x v="0"/>
    <x v="0"/>
    <x v="0"/>
    <x v="0"/>
    <x v="7"/>
    <x v="8"/>
    <x v="4"/>
    <x v="5"/>
    <s v="GNR_HP_ELEC_COP-530"/>
    <x v="1"/>
    <x v="0"/>
    <n v="1.35"/>
    <n v="328.5"/>
    <n v="1182.5999999999999"/>
  </r>
  <r>
    <x v="0"/>
    <x v="0"/>
    <x v="0"/>
    <x v="0"/>
    <x v="0"/>
    <x v="7"/>
    <x v="8"/>
    <x v="4"/>
    <x v="5"/>
    <s v="GNR_HP_ELEC_COP-530"/>
    <x v="1"/>
    <x v="1"/>
    <n v="1.35"/>
    <n v="328.5"/>
    <n v="1182.5999999999999"/>
  </r>
  <r>
    <x v="0"/>
    <x v="0"/>
    <x v="0"/>
    <x v="0"/>
    <x v="0"/>
    <x v="7"/>
    <x v="8"/>
    <x v="4"/>
    <x v="5"/>
    <s v="GNR_HP_ELEC_COP-530"/>
    <x v="1"/>
    <x v="2"/>
    <n v="1.35"/>
    <n v="328.5"/>
    <n v="1182.5999999999999"/>
  </r>
  <r>
    <x v="0"/>
    <x v="0"/>
    <x v="0"/>
    <x v="0"/>
    <x v="0"/>
    <x v="7"/>
    <x v="8"/>
    <x v="4"/>
    <x v="5"/>
    <s v="GNR_HP_ELEC_COP-530"/>
    <x v="1"/>
    <x v="9"/>
    <n v="1.35"/>
    <n v="328.5"/>
    <n v="1182.5999999999999"/>
  </r>
  <r>
    <x v="0"/>
    <x v="0"/>
    <x v="0"/>
    <x v="0"/>
    <x v="0"/>
    <x v="7"/>
    <x v="8"/>
    <x v="4"/>
    <x v="5"/>
    <s v="GNR_HP_ELEC_COP-530"/>
    <x v="1"/>
    <x v="10"/>
    <n v="1.35"/>
    <n v="328.5"/>
    <n v="1182.5999999999999"/>
  </r>
  <r>
    <x v="0"/>
    <x v="0"/>
    <x v="0"/>
    <x v="0"/>
    <x v="0"/>
    <x v="7"/>
    <x v="8"/>
    <x v="4"/>
    <x v="5"/>
    <s v="GNR_HP_ELEC_COP-530"/>
    <x v="1"/>
    <x v="11"/>
    <n v="1.35"/>
    <n v="328.5"/>
    <n v="1182.5999999999999"/>
  </r>
  <r>
    <x v="0"/>
    <x v="0"/>
    <x v="0"/>
    <x v="0"/>
    <x v="0"/>
    <x v="7"/>
    <x v="8"/>
    <x v="4"/>
    <x v="5"/>
    <s v="GNR_HP_ELEC_COP-600"/>
    <x v="0"/>
    <x v="5"/>
    <n v="0.3"/>
    <n v="73"/>
    <n v="262.8"/>
  </r>
  <r>
    <x v="0"/>
    <x v="0"/>
    <x v="0"/>
    <x v="0"/>
    <x v="0"/>
    <x v="7"/>
    <x v="8"/>
    <x v="4"/>
    <x v="5"/>
    <s v="GNR_HP_ELEC_COP-600"/>
    <x v="0"/>
    <x v="3"/>
    <n v="0.3"/>
    <n v="73"/>
    <n v="262.8"/>
  </r>
  <r>
    <x v="0"/>
    <x v="0"/>
    <x v="0"/>
    <x v="0"/>
    <x v="0"/>
    <x v="7"/>
    <x v="8"/>
    <x v="4"/>
    <x v="5"/>
    <s v="GNR_HP_ELEC_COP-600"/>
    <x v="0"/>
    <x v="6"/>
    <n v="0.3"/>
    <n v="73"/>
    <n v="262.8"/>
  </r>
  <r>
    <x v="0"/>
    <x v="0"/>
    <x v="0"/>
    <x v="0"/>
    <x v="0"/>
    <x v="7"/>
    <x v="8"/>
    <x v="4"/>
    <x v="5"/>
    <s v="GNR_HP_ELEC_COP-600"/>
    <x v="0"/>
    <x v="4"/>
    <n v="0.3"/>
    <n v="73"/>
    <n v="262.8"/>
  </r>
  <r>
    <x v="0"/>
    <x v="0"/>
    <x v="0"/>
    <x v="0"/>
    <x v="0"/>
    <x v="7"/>
    <x v="8"/>
    <x v="4"/>
    <x v="5"/>
    <s v="GNR_HP_ELEC_COP-600"/>
    <x v="0"/>
    <x v="7"/>
    <n v="0.3"/>
    <n v="73"/>
    <n v="262.8"/>
  </r>
  <r>
    <x v="0"/>
    <x v="0"/>
    <x v="0"/>
    <x v="0"/>
    <x v="0"/>
    <x v="7"/>
    <x v="8"/>
    <x v="4"/>
    <x v="5"/>
    <s v="GNR_HP_ELEC_COP-600"/>
    <x v="0"/>
    <x v="8"/>
    <n v="0.3"/>
    <n v="73"/>
    <n v="262.8"/>
  </r>
  <r>
    <x v="0"/>
    <x v="0"/>
    <x v="0"/>
    <x v="0"/>
    <x v="0"/>
    <x v="7"/>
    <x v="8"/>
    <x v="4"/>
    <x v="5"/>
    <s v="GNR_HP_ELEC_COP-600"/>
    <x v="0"/>
    <x v="0"/>
    <n v="0.3"/>
    <n v="73"/>
    <n v="262.8"/>
  </r>
  <r>
    <x v="0"/>
    <x v="0"/>
    <x v="0"/>
    <x v="0"/>
    <x v="0"/>
    <x v="7"/>
    <x v="8"/>
    <x v="4"/>
    <x v="5"/>
    <s v="GNR_HP_ELEC_COP-600"/>
    <x v="0"/>
    <x v="1"/>
    <n v="0.3"/>
    <n v="73"/>
    <n v="262.8"/>
  </r>
  <r>
    <x v="0"/>
    <x v="0"/>
    <x v="0"/>
    <x v="0"/>
    <x v="0"/>
    <x v="7"/>
    <x v="8"/>
    <x v="4"/>
    <x v="5"/>
    <s v="GNR_HP_ELEC_COP-600"/>
    <x v="0"/>
    <x v="2"/>
    <n v="0.3"/>
    <n v="73"/>
    <n v="262.8"/>
  </r>
  <r>
    <x v="0"/>
    <x v="0"/>
    <x v="0"/>
    <x v="0"/>
    <x v="0"/>
    <x v="7"/>
    <x v="8"/>
    <x v="4"/>
    <x v="5"/>
    <s v="GNR_HP_ELEC_COP-600"/>
    <x v="0"/>
    <x v="9"/>
    <n v="0.3"/>
    <n v="73"/>
    <n v="262.8"/>
  </r>
  <r>
    <x v="0"/>
    <x v="0"/>
    <x v="0"/>
    <x v="0"/>
    <x v="0"/>
    <x v="7"/>
    <x v="8"/>
    <x v="4"/>
    <x v="5"/>
    <s v="GNR_HP_ELEC_COP-600"/>
    <x v="0"/>
    <x v="10"/>
    <n v="0.3"/>
    <n v="73"/>
    <n v="262.8"/>
  </r>
  <r>
    <x v="0"/>
    <x v="0"/>
    <x v="0"/>
    <x v="0"/>
    <x v="0"/>
    <x v="7"/>
    <x v="8"/>
    <x v="4"/>
    <x v="5"/>
    <s v="GNR_HP_ELEC_COP-600"/>
    <x v="0"/>
    <x v="11"/>
    <n v="0.3"/>
    <n v="73"/>
    <n v="262.8"/>
  </r>
  <r>
    <x v="0"/>
    <x v="0"/>
    <x v="0"/>
    <x v="0"/>
    <x v="0"/>
    <x v="7"/>
    <x v="8"/>
    <x v="4"/>
    <x v="5"/>
    <s v="GNR_HP_ELEC_COP-600"/>
    <x v="2"/>
    <x v="5"/>
    <n v="0.3"/>
    <n v="73"/>
    <n v="262.8"/>
  </r>
  <r>
    <x v="0"/>
    <x v="0"/>
    <x v="0"/>
    <x v="0"/>
    <x v="0"/>
    <x v="7"/>
    <x v="8"/>
    <x v="4"/>
    <x v="5"/>
    <s v="GNR_HP_ELEC_COP-600"/>
    <x v="2"/>
    <x v="3"/>
    <n v="0.3"/>
    <n v="73"/>
    <n v="262.8"/>
  </r>
  <r>
    <x v="0"/>
    <x v="0"/>
    <x v="0"/>
    <x v="0"/>
    <x v="0"/>
    <x v="7"/>
    <x v="8"/>
    <x v="4"/>
    <x v="5"/>
    <s v="GNR_HP_ELEC_COP-600"/>
    <x v="2"/>
    <x v="6"/>
    <n v="0.3"/>
    <n v="73"/>
    <n v="262.8"/>
  </r>
  <r>
    <x v="0"/>
    <x v="0"/>
    <x v="0"/>
    <x v="0"/>
    <x v="0"/>
    <x v="7"/>
    <x v="8"/>
    <x v="4"/>
    <x v="5"/>
    <s v="GNR_HP_ELEC_COP-600"/>
    <x v="2"/>
    <x v="4"/>
    <n v="0.3"/>
    <n v="73"/>
    <n v="262.8"/>
  </r>
  <r>
    <x v="0"/>
    <x v="0"/>
    <x v="0"/>
    <x v="0"/>
    <x v="0"/>
    <x v="7"/>
    <x v="8"/>
    <x v="4"/>
    <x v="5"/>
    <s v="GNR_HP_ELEC_COP-600"/>
    <x v="2"/>
    <x v="7"/>
    <n v="0.3"/>
    <n v="73"/>
    <n v="262.8"/>
  </r>
  <r>
    <x v="0"/>
    <x v="0"/>
    <x v="0"/>
    <x v="0"/>
    <x v="0"/>
    <x v="7"/>
    <x v="8"/>
    <x v="4"/>
    <x v="5"/>
    <s v="GNR_HP_ELEC_COP-600"/>
    <x v="2"/>
    <x v="8"/>
    <n v="0.3"/>
    <n v="73"/>
    <n v="262.8"/>
  </r>
  <r>
    <x v="0"/>
    <x v="0"/>
    <x v="0"/>
    <x v="0"/>
    <x v="0"/>
    <x v="7"/>
    <x v="8"/>
    <x v="4"/>
    <x v="5"/>
    <s v="GNR_HP_ELEC_COP-600"/>
    <x v="2"/>
    <x v="0"/>
    <n v="0.3"/>
    <n v="73"/>
    <n v="262.8"/>
  </r>
  <r>
    <x v="0"/>
    <x v="0"/>
    <x v="0"/>
    <x v="0"/>
    <x v="0"/>
    <x v="7"/>
    <x v="8"/>
    <x v="4"/>
    <x v="5"/>
    <s v="GNR_HP_ELEC_COP-600"/>
    <x v="2"/>
    <x v="1"/>
    <n v="0.3"/>
    <n v="73"/>
    <n v="262.8"/>
  </r>
  <r>
    <x v="0"/>
    <x v="0"/>
    <x v="0"/>
    <x v="0"/>
    <x v="0"/>
    <x v="7"/>
    <x v="8"/>
    <x v="4"/>
    <x v="5"/>
    <s v="GNR_HP_ELEC_COP-600"/>
    <x v="2"/>
    <x v="2"/>
    <n v="0.3"/>
    <n v="73"/>
    <n v="262.8"/>
  </r>
  <r>
    <x v="0"/>
    <x v="0"/>
    <x v="0"/>
    <x v="0"/>
    <x v="0"/>
    <x v="7"/>
    <x v="8"/>
    <x v="4"/>
    <x v="5"/>
    <s v="GNR_HP_ELEC_COP-600"/>
    <x v="2"/>
    <x v="9"/>
    <n v="0.3"/>
    <n v="73"/>
    <n v="262.8"/>
  </r>
  <r>
    <x v="0"/>
    <x v="0"/>
    <x v="0"/>
    <x v="0"/>
    <x v="0"/>
    <x v="7"/>
    <x v="8"/>
    <x v="4"/>
    <x v="5"/>
    <s v="GNR_HP_ELEC_COP-600"/>
    <x v="2"/>
    <x v="10"/>
    <n v="0.3"/>
    <n v="73"/>
    <n v="262.8"/>
  </r>
  <r>
    <x v="0"/>
    <x v="0"/>
    <x v="0"/>
    <x v="0"/>
    <x v="0"/>
    <x v="7"/>
    <x v="8"/>
    <x v="4"/>
    <x v="5"/>
    <s v="GNR_HP_ELEC_COP-600"/>
    <x v="2"/>
    <x v="11"/>
    <n v="0.3"/>
    <n v="73"/>
    <n v="262.8"/>
  </r>
  <r>
    <x v="0"/>
    <x v="0"/>
    <x v="0"/>
    <x v="0"/>
    <x v="0"/>
    <x v="7"/>
    <x v="8"/>
    <x v="4"/>
    <x v="5"/>
    <s v="GNR_HP_ELEC_COP-600"/>
    <x v="1"/>
    <x v="5"/>
    <n v="0.3"/>
    <n v="73"/>
    <n v="262.8"/>
  </r>
  <r>
    <x v="0"/>
    <x v="0"/>
    <x v="0"/>
    <x v="0"/>
    <x v="0"/>
    <x v="7"/>
    <x v="8"/>
    <x v="4"/>
    <x v="5"/>
    <s v="GNR_HP_ELEC_COP-600"/>
    <x v="1"/>
    <x v="3"/>
    <n v="0.3"/>
    <n v="73"/>
    <n v="262.8"/>
  </r>
  <r>
    <x v="0"/>
    <x v="0"/>
    <x v="0"/>
    <x v="0"/>
    <x v="0"/>
    <x v="7"/>
    <x v="8"/>
    <x v="4"/>
    <x v="5"/>
    <s v="GNR_HP_ELEC_COP-600"/>
    <x v="1"/>
    <x v="6"/>
    <n v="0.3"/>
    <n v="73"/>
    <n v="262.8"/>
  </r>
  <r>
    <x v="0"/>
    <x v="0"/>
    <x v="0"/>
    <x v="0"/>
    <x v="0"/>
    <x v="7"/>
    <x v="8"/>
    <x v="4"/>
    <x v="5"/>
    <s v="GNR_HP_ELEC_COP-600"/>
    <x v="1"/>
    <x v="4"/>
    <n v="0.3"/>
    <n v="73"/>
    <n v="262.8"/>
  </r>
  <r>
    <x v="0"/>
    <x v="0"/>
    <x v="0"/>
    <x v="0"/>
    <x v="0"/>
    <x v="7"/>
    <x v="8"/>
    <x v="4"/>
    <x v="5"/>
    <s v="GNR_HP_ELEC_COP-600"/>
    <x v="1"/>
    <x v="7"/>
    <n v="0.3"/>
    <n v="73"/>
    <n v="262.8"/>
  </r>
  <r>
    <x v="0"/>
    <x v="0"/>
    <x v="0"/>
    <x v="0"/>
    <x v="0"/>
    <x v="7"/>
    <x v="8"/>
    <x v="4"/>
    <x v="5"/>
    <s v="GNR_HP_ELEC_COP-600"/>
    <x v="1"/>
    <x v="8"/>
    <n v="0.3"/>
    <n v="73"/>
    <n v="262.8"/>
  </r>
  <r>
    <x v="0"/>
    <x v="0"/>
    <x v="0"/>
    <x v="0"/>
    <x v="0"/>
    <x v="7"/>
    <x v="8"/>
    <x v="4"/>
    <x v="5"/>
    <s v="GNR_HP_ELEC_COP-600"/>
    <x v="1"/>
    <x v="0"/>
    <n v="0.3"/>
    <n v="73"/>
    <n v="262.8"/>
  </r>
  <r>
    <x v="0"/>
    <x v="0"/>
    <x v="0"/>
    <x v="0"/>
    <x v="0"/>
    <x v="7"/>
    <x v="8"/>
    <x v="4"/>
    <x v="5"/>
    <s v="GNR_HP_ELEC_COP-600"/>
    <x v="1"/>
    <x v="1"/>
    <n v="0.3"/>
    <n v="73"/>
    <n v="262.8"/>
  </r>
  <r>
    <x v="0"/>
    <x v="0"/>
    <x v="0"/>
    <x v="0"/>
    <x v="0"/>
    <x v="7"/>
    <x v="8"/>
    <x v="4"/>
    <x v="5"/>
    <s v="GNR_HP_ELEC_COP-600"/>
    <x v="1"/>
    <x v="2"/>
    <n v="0.3"/>
    <n v="73"/>
    <n v="262.8"/>
  </r>
  <r>
    <x v="0"/>
    <x v="0"/>
    <x v="0"/>
    <x v="0"/>
    <x v="0"/>
    <x v="7"/>
    <x v="8"/>
    <x v="4"/>
    <x v="5"/>
    <s v="GNR_HP_ELEC_COP-600"/>
    <x v="1"/>
    <x v="9"/>
    <n v="0.3"/>
    <n v="73"/>
    <n v="262.8"/>
  </r>
  <r>
    <x v="0"/>
    <x v="0"/>
    <x v="0"/>
    <x v="0"/>
    <x v="0"/>
    <x v="7"/>
    <x v="8"/>
    <x v="4"/>
    <x v="5"/>
    <s v="GNR_HP_ELEC_COP-600"/>
    <x v="1"/>
    <x v="10"/>
    <n v="0.3"/>
    <n v="73"/>
    <n v="262.8"/>
  </r>
  <r>
    <x v="0"/>
    <x v="0"/>
    <x v="0"/>
    <x v="0"/>
    <x v="0"/>
    <x v="7"/>
    <x v="8"/>
    <x v="4"/>
    <x v="5"/>
    <s v="GNR_HP_ELEC_COP-600"/>
    <x v="1"/>
    <x v="11"/>
    <n v="0.3"/>
    <n v="73"/>
    <n v="262.8"/>
  </r>
  <r>
    <x v="0"/>
    <x v="0"/>
    <x v="0"/>
    <x v="0"/>
    <x v="0"/>
    <x v="7"/>
    <x v="8"/>
    <x v="4"/>
    <x v="5"/>
    <s v="GNR_HP_ELEC_GROUND-WTR_COP-380_LS-4-MW_Y-2030"/>
    <x v="0"/>
    <x v="5"/>
    <n v="74.029009277237705"/>
    <n v="18013.7255907945"/>
    <n v="64849.412126860203"/>
  </r>
  <r>
    <x v="0"/>
    <x v="0"/>
    <x v="0"/>
    <x v="0"/>
    <x v="0"/>
    <x v="7"/>
    <x v="8"/>
    <x v="4"/>
    <x v="5"/>
    <s v="GNR_HP_ELEC_GROUND-WTR_COP-380_LS-4-MW_Y-2030"/>
    <x v="0"/>
    <x v="3"/>
    <n v="74.029009277237705"/>
    <n v="18013.7255907945"/>
    <n v="64849.412126860203"/>
  </r>
  <r>
    <x v="0"/>
    <x v="0"/>
    <x v="0"/>
    <x v="0"/>
    <x v="0"/>
    <x v="7"/>
    <x v="8"/>
    <x v="4"/>
    <x v="5"/>
    <s v="GNR_HP_ELEC_GROUND-WTR_COP-380_LS-4-MW_Y-2030"/>
    <x v="0"/>
    <x v="6"/>
    <n v="74.029009277237705"/>
    <n v="18013.7255907945"/>
    <n v="64849.412126860203"/>
  </r>
  <r>
    <x v="0"/>
    <x v="0"/>
    <x v="0"/>
    <x v="0"/>
    <x v="0"/>
    <x v="7"/>
    <x v="8"/>
    <x v="4"/>
    <x v="5"/>
    <s v="GNR_HP_ELEC_GROUND-WTR_COP-380_LS-4-MW_Y-2030"/>
    <x v="0"/>
    <x v="4"/>
    <n v="74.029009277237705"/>
    <n v="18013.7255907945"/>
    <n v="64849.412126860203"/>
  </r>
  <r>
    <x v="0"/>
    <x v="0"/>
    <x v="0"/>
    <x v="0"/>
    <x v="0"/>
    <x v="7"/>
    <x v="8"/>
    <x v="4"/>
    <x v="5"/>
    <s v="GNR_HP_ELEC_GROUND-WTR_COP-380_LS-4-MW_Y-2030"/>
    <x v="0"/>
    <x v="7"/>
    <n v="74.029009277237705"/>
    <n v="18013.7255907945"/>
    <n v="64849.412126860203"/>
  </r>
  <r>
    <x v="0"/>
    <x v="0"/>
    <x v="0"/>
    <x v="0"/>
    <x v="0"/>
    <x v="7"/>
    <x v="8"/>
    <x v="4"/>
    <x v="5"/>
    <s v="GNR_HP_ELEC_GROUND-WTR_COP-380_LS-4-MW_Y-2030"/>
    <x v="0"/>
    <x v="8"/>
    <n v="74.029009277237705"/>
    <n v="18013.7255907945"/>
    <n v="64849.412126860203"/>
  </r>
  <r>
    <x v="0"/>
    <x v="0"/>
    <x v="0"/>
    <x v="0"/>
    <x v="0"/>
    <x v="7"/>
    <x v="8"/>
    <x v="4"/>
    <x v="5"/>
    <s v="GNR_HP_ELEC_GROUND-WTR_COP-380_LS-4-MW_Y-2030"/>
    <x v="0"/>
    <x v="9"/>
    <n v="74.029009277237705"/>
    <n v="18013.7255907945"/>
    <n v="64849.412126860203"/>
  </r>
  <r>
    <x v="0"/>
    <x v="0"/>
    <x v="0"/>
    <x v="0"/>
    <x v="0"/>
    <x v="7"/>
    <x v="8"/>
    <x v="4"/>
    <x v="5"/>
    <s v="GNR_HP_ELEC_GROUND-WTR_COP-380_LS-4-MW_Y-2030"/>
    <x v="0"/>
    <x v="10"/>
    <n v="74.029009277237705"/>
    <n v="18013.7255907945"/>
    <n v="64849.412126860203"/>
  </r>
  <r>
    <x v="0"/>
    <x v="0"/>
    <x v="0"/>
    <x v="0"/>
    <x v="0"/>
    <x v="7"/>
    <x v="8"/>
    <x v="4"/>
    <x v="5"/>
    <s v="GNR_HP_ELEC_GROUND-WTR_COP-380_LS-4-MW_Y-2030"/>
    <x v="0"/>
    <x v="11"/>
    <n v="74.029009277237705"/>
    <n v="18013.7255907945"/>
    <n v="64849.412126860203"/>
  </r>
  <r>
    <x v="0"/>
    <x v="0"/>
    <x v="0"/>
    <x v="0"/>
    <x v="0"/>
    <x v="7"/>
    <x v="8"/>
    <x v="4"/>
    <x v="5"/>
    <s v="GNR_HP_ELEC_GROUND-WTR_COP-380_LS-4-MW_Y-2030"/>
    <x v="2"/>
    <x v="5"/>
    <n v="74.029009277237705"/>
    <n v="18013.7255907945"/>
    <n v="64849.412126860203"/>
  </r>
  <r>
    <x v="0"/>
    <x v="0"/>
    <x v="0"/>
    <x v="0"/>
    <x v="0"/>
    <x v="7"/>
    <x v="8"/>
    <x v="4"/>
    <x v="5"/>
    <s v="GNR_HP_ELEC_GROUND-WTR_COP-380_LS-4-MW_Y-2030"/>
    <x v="2"/>
    <x v="3"/>
    <n v="74.029009277237705"/>
    <n v="18013.7255907945"/>
    <n v="64849.412126860203"/>
  </r>
  <r>
    <x v="0"/>
    <x v="0"/>
    <x v="0"/>
    <x v="0"/>
    <x v="0"/>
    <x v="7"/>
    <x v="8"/>
    <x v="4"/>
    <x v="5"/>
    <s v="GNR_HP_ELEC_GROUND-WTR_COP-380_LS-4-MW_Y-2030"/>
    <x v="2"/>
    <x v="6"/>
    <n v="74.029009277237705"/>
    <n v="18013.7255907945"/>
    <n v="64849.412126860203"/>
  </r>
  <r>
    <x v="0"/>
    <x v="0"/>
    <x v="0"/>
    <x v="0"/>
    <x v="0"/>
    <x v="7"/>
    <x v="8"/>
    <x v="4"/>
    <x v="5"/>
    <s v="GNR_HP_ELEC_GROUND-WTR_COP-380_LS-4-MW_Y-2030"/>
    <x v="2"/>
    <x v="4"/>
    <n v="74.029009277237705"/>
    <n v="18013.7255907945"/>
    <n v="64849.412126860203"/>
  </r>
  <r>
    <x v="0"/>
    <x v="0"/>
    <x v="0"/>
    <x v="0"/>
    <x v="0"/>
    <x v="7"/>
    <x v="8"/>
    <x v="4"/>
    <x v="5"/>
    <s v="GNR_HP_ELEC_GROUND-WTR_COP-380_LS-4-MW_Y-2030"/>
    <x v="2"/>
    <x v="7"/>
    <n v="74.029009277237705"/>
    <n v="18013.7255907945"/>
    <n v="64849.412126860203"/>
  </r>
  <r>
    <x v="0"/>
    <x v="0"/>
    <x v="0"/>
    <x v="0"/>
    <x v="0"/>
    <x v="7"/>
    <x v="8"/>
    <x v="4"/>
    <x v="5"/>
    <s v="GNR_HP_ELEC_GROUND-WTR_COP-380_LS-4-MW_Y-2030"/>
    <x v="2"/>
    <x v="8"/>
    <n v="74.029009277237705"/>
    <n v="18013.7255907945"/>
    <n v="64849.412126860203"/>
  </r>
  <r>
    <x v="0"/>
    <x v="0"/>
    <x v="0"/>
    <x v="0"/>
    <x v="0"/>
    <x v="7"/>
    <x v="8"/>
    <x v="4"/>
    <x v="5"/>
    <s v="GNR_HP_ELEC_GROUND-WTR_COP-380_LS-4-MW_Y-2030"/>
    <x v="2"/>
    <x v="0"/>
    <n v="74.029009277237705"/>
    <n v="18013.7255907945"/>
    <n v="64849.412126860203"/>
  </r>
  <r>
    <x v="0"/>
    <x v="0"/>
    <x v="0"/>
    <x v="0"/>
    <x v="0"/>
    <x v="7"/>
    <x v="8"/>
    <x v="4"/>
    <x v="5"/>
    <s v="GNR_HP_ELEC_GROUND-WTR_COP-380_LS-4-MW_Y-2030"/>
    <x v="2"/>
    <x v="1"/>
    <n v="74.029009277237705"/>
    <n v="18013.7255907945"/>
    <n v="64849.412126860203"/>
  </r>
  <r>
    <x v="0"/>
    <x v="0"/>
    <x v="0"/>
    <x v="0"/>
    <x v="0"/>
    <x v="7"/>
    <x v="8"/>
    <x v="4"/>
    <x v="5"/>
    <s v="GNR_HP_ELEC_GROUND-WTR_COP-380_LS-4-MW_Y-2030"/>
    <x v="2"/>
    <x v="2"/>
    <n v="74.029009277237705"/>
    <n v="18013.7255907945"/>
    <n v="64849.412126860203"/>
  </r>
  <r>
    <x v="0"/>
    <x v="0"/>
    <x v="0"/>
    <x v="0"/>
    <x v="0"/>
    <x v="7"/>
    <x v="8"/>
    <x v="4"/>
    <x v="5"/>
    <s v="GNR_HP_ELEC_GROUND-WTR_COP-380_LS-4-MW_Y-2030"/>
    <x v="2"/>
    <x v="9"/>
    <n v="74.029009277237705"/>
    <n v="18013.7255907945"/>
    <n v="64849.412126860203"/>
  </r>
  <r>
    <x v="0"/>
    <x v="0"/>
    <x v="0"/>
    <x v="0"/>
    <x v="0"/>
    <x v="7"/>
    <x v="8"/>
    <x v="4"/>
    <x v="5"/>
    <s v="GNR_HP_ELEC_GROUND-WTR_COP-380_LS-4-MW_Y-2030"/>
    <x v="2"/>
    <x v="10"/>
    <n v="74.029009277237705"/>
    <n v="18013.7255907945"/>
    <n v="64849.412126860203"/>
  </r>
  <r>
    <x v="0"/>
    <x v="0"/>
    <x v="0"/>
    <x v="0"/>
    <x v="0"/>
    <x v="7"/>
    <x v="8"/>
    <x v="4"/>
    <x v="5"/>
    <s v="GNR_HP_ELEC_GROUND-WTR_COP-380_LS-4-MW_Y-2030"/>
    <x v="2"/>
    <x v="11"/>
    <n v="74.029009277237705"/>
    <n v="18013.7255907945"/>
    <n v="64849.412126860203"/>
  </r>
  <r>
    <x v="0"/>
    <x v="0"/>
    <x v="0"/>
    <x v="0"/>
    <x v="0"/>
    <x v="7"/>
    <x v="8"/>
    <x v="4"/>
    <x v="5"/>
    <s v="GNR_HP_ELEC_GROUND-WTR_COP-380_LS-4-MW_Y-2030"/>
    <x v="1"/>
    <x v="5"/>
    <n v="74.029009277237705"/>
    <n v="18013.7255907945"/>
    <n v="64849.412126860203"/>
  </r>
  <r>
    <x v="0"/>
    <x v="0"/>
    <x v="0"/>
    <x v="0"/>
    <x v="0"/>
    <x v="7"/>
    <x v="8"/>
    <x v="4"/>
    <x v="5"/>
    <s v="GNR_HP_ELEC_GROUND-WTR_COP-380_LS-4-MW_Y-2030"/>
    <x v="1"/>
    <x v="6"/>
    <n v="74.029009277237705"/>
    <n v="18013.7255907945"/>
    <n v="64849.412126860203"/>
  </r>
  <r>
    <x v="0"/>
    <x v="0"/>
    <x v="0"/>
    <x v="0"/>
    <x v="0"/>
    <x v="7"/>
    <x v="8"/>
    <x v="4"/>
    <x v="5"/>
    <s v="GNR_HP_ELEC_GROUND-WTR_COP-380_LS-4-MW_Y-2030"/>
    <x v="1"/>
    <x v="8"/>
    <n v="74.029009277237705"/>
    <n v="18013.7255907945"/>
    <n v="64849.412126860203"/>
  </r>
  <r>
    <x v="0"/>
    <x v="0"/>
    <x v="0"/>
    <x v="0"/>
    <x v="0"/>
    <x v="7"/>
    <x v="8"/>
    <x v="4"/>
    <x v="5"/>
    <s v="GNR_HP_ELEC_GROUND-WTR_COP-380_LS-4-MW_Y-2030"/>
    <x v="1"/>
    <x v="1"/>
    <n v="74.029009277237705"/>
    <n v="18013.7255907945"/>
    <n v="64849.412126860203"/>
  </r>
  <r>
    <x v="0"/>
    <x v="0"/>
    <x v="0"/>
    <x v="0"/>
    <x v="0"/>
    <x v="7"/>
    <x v="8"/>
    <x v="4"/>
    <x v="5"/>
    <s v="GNR_HP_ELEC_GROUND-WTR_COP-380_LS-4-MW_Y-2030"/>
    <x v="1"/>
    <x v="9"/>
    <n v="74.029009277237705"/>
    <n v="18013.7255907945"/>
    <n v="64849.412126860203"/>
  </r>
  <r>
    <x v="0"/>
    <x v="0"/>
    <x v="0"/>
    <x v="0"/>
    <x v="0"/>
    <x v="7"/>
    <x v="8"/>
    <x v="4"/>
    <x v="5"/>
    <s v="GNR_HP_ELEC_GROUND-WTR_COP-380_LS-4-MW_Y-2030"/>
    <x v="1"/>
    <x v="10"/>
    <n v="74.029009277237705"/>
    <n v="18013.7255907945"/>
    <n v="64849.412126860203"/>
  </r>
  <r>
    <x v="0"/>
    <x v="0"/>
    <x v="0"/>
    <x v="0"/>
    <x v="0"/>
    <x v="7"/>
    <x v="8"/>
    <x v="4"/>
    <x v="5"/>
    <s v="GNR_HP_ELEC_GROUND-WTR_COP-380_LS-4-MW_Y-2030"/>
    <x v="1"/>
    <x v="11"/>
    <n v="74.029009277237705"/>
    <n v="18013.7255907945"/>
    <n v="64849.412126860203"/>
  </r>
  <r>
    <x v="0"/>
    <x v="0"/>
    <x v="0"/>
    <x v="0"/>
    <x v="0"/>
    <x v="7"/>
    <x v="1"/>
    <x v="1"/>
    <x v="1"/>
    <s v="GNR_HS_HEAT_PIT_L-DEC_E-91_Y-2030"/>
    <x v="0"/>
    <x v="5"/>
    <n v="259.05861607763597"/>
    <n v="63037.596578891498"/>
    <n v="226935.347684009"/>
  </r>
  <r>
    <x v="0"/>
    <x v="0"/>
    <x v="0"/>
    <x v="0"/>
    <x v="0"/>
    <x v="7"/>
    <x v="1"/>
    <x v="1"/>
    <x v="1"/>
    <s v="GNR_HS_HEAT_PIT_L-DEC_E-91_Y-2030"/>
    <x v="0"/>
    <x v="3"/>
    <n v="259.05861607763597"/>
    <n v="63037.596578891498"/>
    <n v="226935.347684009"/>
  </r>
  <r>
    <x v="0"/>
    <x v="0"/>
    <x v="0"/>
    <x v="0"/>
    <x v="0"/>
    <x v="7"/>
    <x v="1"/>
    <x v="1"/>
    <x v="1"/>
    <s v="GNR_HS_HEAT_PIT_L-DEC_E-91_Y-2030"/>
    <x v="0"/>
    <x v="6"/>
    <n v="259.05861607763597"/>
    <n v="63037.596578891498"/>
    <n v="226935.347684009"/>
  </r>
  <r>
    <x v="0"/>
    <x v="0"/>
    <x v="0"/>
    <x v="0"/>
    <x v="0"/>
    <x v="7"/>
    <x v="1"/>
    <x v="1"/>
    <x v="1"/>
    <s v="GNR_HS_HEAT_PIT_L-DEC_E-91_Y-2030"/>
    <x v="0"/>
    <x v="4"/>
    <n v="259.05861607763597"/>
    <n v="63037.596578891498"/>
    <n v="226935.347684009"/>
  </r>
  <r>
    <x v="0"/>
    <x v="0"/>
    <x v="0"/>
    <x v="0"/>
    <x v="0"/>
    <x v="7"/>
    <x v="1"/>
    <x v="1"/>
    <x v="1"/>
    <s v="GNR_HS_HEAT_PIT_L-DEC_E-91_Y-2030"/>
    <x v="0"/>
    <x v="7"/>
    <n v="137.21470105383199"/>
    <n v="33388.910589765801"/>
    <n v="120200.078123157"/>
  </r>
  <r>
    <x v="0"/>
    <x v="0"/>
    <x v="0"/>
    <x v="0"/>
    <x v="0"/>
    <x v="7"/>
    <x v="1"/>
    <x v="1"/>
    <x v="1"/>
    <s v="GNR_HS_HEAT_PIT_L-DEC_E-91_Y-2030"/>
    <x v="0"/>
    <x v="8"/>
    <n v="259.05861607763597"/>
    <n v="63037.596578891498"/>
    <n v="226935.347684009"/>
  </r>
  <r>
    <x v="0"/>
    <x v="0"/>
    <x v="0"/>
    <x v="0"/>
    <x v="0"/>
    <x v="7"/>
    <x v="1"/>
    <x v="1"/>
    <x v="1"/>
    <s v="GNR_HS_HEAT_PIT_L-DEC_E-91_Y-2030"/>
    <x v="0"/>
    <x v="0"/>
    <n v="259.05861607763597"/>
    <n v="63037.596578891498"/>
    <n v="226935.347684009"/>
  </r>
  <r>
    <x v="0"/>
    <x v="0"/>
    <x v="0"/>
    <x v="0"/>
    <x v="0"/>
    <x v="7"/>
    <x v="1"/>
    <x v="1"/>
    <x v="1"/>
    <s v="GNR_HS_HEAT_PIT_L-DEC_E-91_Y-2030"/>
    <x v="0"/>
    <x v="1"/>
    <n v="259.05861607763597"/>
    <n v="63037.596578891498"/>
    <n v="226935.347684009"/>
  </r>
  <r>
    <x v="0"/>
    <x v="0"/>
    <x v="0"/>
    <x v="0"/>
    <x v="0"/>
    <x v="7"/>
    <x v="1"/>
    <x v="1"/>
    <x v="1"/>
    <s v="GNR_HS_HEAT_PIT_L-DEC_E-91_Y-2030"/>
    <x v="0"/>
    <x v="2"/>
    <n v="259.05861607763597"/>
    <n v="63037.596578891498"/>
    <n v="226935.347684009"/>
  </r>
  <r>
    <x v="0"/>
    <x v="0"/>
    <x v="0"/>
    <x v="0"/>
    <x v="0"/>
    <x v="7"/>
    <x v="1"/>
    <x v="1"/>
    <x v="1"/>
    <s v="GNR_HS_HEAT_PIT_L-DEC_E-91_Y-2030"/>
    <x v="0"/>
    <x v="9"/>
    <n v="75.923662452306004"/>
    <n v="18474.757863394501"/>
    <n v="66509.128308220097"/>
  </r>
  <r>
    <x v="0"/>
    <x v="0"/>
    <x v="0"/>
    <x v="0"/>
    <x v="0"/>
    <x v="7"/>
    <x v="1"/>
    <x v="1"/>
    <x v="1"/>
    <s v="GNR_HS_HEAT_PIT_L-DEC_E-91_Y-2030"/>
    <x v="0"/>
    <x v="10"/>
    <n v="259.05861607763597"/>
    <n v="63037.596578891498"/>
    <n v="226935.347684009"/>
  </r>
  <r>
    <x v="0"/>
    <x v="0"/>
    <x v="0"/>
    <x v="0"/>
    <x v="0"/>
    <x v="7"/>
    <x v="1"/>
    <x v="1"/>
    <x v="1"/>
    <s v="GNR_HS_HEAT_PIT_L-DEC_E-91_Y-2030"/>
    <x v="0"/>
    <x v="11"/>
    <n v="259.05861607763597"/>
    <n v="63037.596578891498"/>
    <n v="226935.347684009"/>
  </r>
  <r>
    <x v="0"/>
    <x v="0"/>
    <x v="0"/>
    <x v="0"/>
    <x v="0"/>
    <x v="7"/>
    <x v="1"/>
    <x v="1"/>
    <x v="1"/>
    <s v="GNR_HS_HEAT_PIT_L-DEC_E-91_Y-2030"/>
    <x v="2"/>
    <x v="7"/>
    <n v="19.9341819652612"/>
    <n v="4850.6509448802299"/>
    <n v="17462.3434015688"/>
  </r>
  <r>
    <x v="0"/>
    <x v="0"/>
    <x v="0"/>
    <x v="0"/>
    <x v="0"/>
    <x v="7"/>
    <x v="1"/>
    <x v="1"/>
    <x v="2"/>
    <s v="GNR_HS_HEAT_WTR-TANK_LS_E-95_Y-2010"/>
    <x v="0"/>
    <x v="5"/>
    <n v="116.760852615449"/>
    <n v="28411.8074697593"/>
    <n v="102282.506891133"/>
  </r>
  <r>
    <x v="0"/>
    <x v="0"/>
    <x v="0"/>
    <x v="0"/>
    <x v="0"/>
    <x v="7"/>
    <x v="1"/>
    <x v="1"/>
    <x v="2"/>
    <s v="GNR_HS_HEAT_WTR-TANK_LS_E-95_Y-2010"/>
    <x v="0"/>
    <x v="3"/>
    <n v="80.158456205453305"/>
    <n v="19505.224343327001"/>
    <n v="70218.807635977093"/>
  </r>
  <r>
    <x v="0"/>
    <x v="0"/>
    <x v="0"/>
    <x v="0"/>
    <x v="0"/>
    <x v="7"/>
    <x v="1"/>
    <x v="1"/>
    <x v="2"/>
    <s v="GNR_HS_HEAT_WTR-TANK_LS_E-95_Y-2010"/>
    <x v="0"/>
    <x v="6"/>
    <n v="132.020677366179"/>
    <n v="32125.031492436799"/>
    <n v="115650.113372772"/>
  </r>
  <r>
    <x v="0"/>
    <x v="0"/>
    <x v="0"/>
    <x v="0"/>
    <x v="0"/>
    <x v="7"/>
    <x v="1"/>
    <x v="1"/>
    <x v="2"/>
    <s v="GNR_HS_HEAT_WTR-TANK_LS_E-95_Y-2010"/>
    <x v="0"/>
    <x v="4"/>
    <n v="5.97354415190203"/>
    <n v="1453.5624102961599"/>
    <n v="5232.8246770661799"/>
  </r>
  <r>
    <x v="0"/>
    <x v="0"/>
    <x v="0"/>
    <x v="0"/>
    <x v="0"/>
    <x v="7"/>
    <x v="1"/>
    <x v="1"/>
    <x v="2"/>
    <s v="GNR_HS_HEAT_WTR-TANK_LS_E-95_Y-2010"/>
    <x v="0"/>
    <x v="0"/>
    <n v="13.8584564566216"/>
    <n v="3372.2244044445902"/>
    <n v="12140.0078560005"/>
  </r>
  <r>
    <x v="0"/>
    <x v="0"/>
    <x v="0"/>
    <x v="0"/>
    <x v="0"/>
    <x v="7"/>
    <x v="1"/>
    <x v="1"/>
    <x v="2"/>
    <s v="GNR_HS_HEAT_WTR-TANK_LS_E-95_Y-2010"/>
    <x v="0"/>
    <x v="1"/>
    <n v="132.020677366179"/>
    <n v="32125.031492436799"/>
    <n v="115650.113372772"/>
  </r>
  <r>
    <x v="0"/>
    <x v="0"/>
    <x v="0"/>
    <x v="0"/>
    <x v="0"/>
    <x v="7"/>
    <x v="1"/>
    <x v="1"/>
    <x v="2"/>
    <s v="GNR_HS_HEAT_WTR-TANK_LS_E-95_Y-2010"/>
    <x v="0"/>
    <x v="2"/>
    <n v="132.020677366179"/>
    <n v="32125.031492436799"/>
    <n v="115650.113372772"/>
  </r>
  <r>
    <x v="0"/>
    <x v="0"/>
    <x v="0"/>
    <x v="0"/>
    <x v="0"/>
    <x v="7"/>
    <x v="1"/>
    <x v="1"/>
    <x v="2"/>
    <s v="GNR_HS_HEAT_WTR-TANK_LS_E-95_Y-2010"/>
    <x v="2"/>
    <x v="6"/>
    <n v="132.020677366179"/>
    <n v="32125.031492436799"/>
    <n v="115650.113372772"/>
  </r>
  <r>
    <x v="0"/>
    <x v="0"/>
    <x v="0"/>
    <x v="0"/>
    <x v="0"/>
    <x v="7"/>
    <x v="1"/>
    <x v="1"/>
    <x v="2"/>
    <s v="GNR_HS_HEAT_WTR-TANK_LS_E-95_Y-2010"/>
    <x v="2"/>
    <x v="7"/>
    <n v="132.020677366179"/>
    <n v="32125.031492436799"/>
    <n v="115650.113372772"/>
  </r>
  <r>
    <x v="0"/>
    <x v="0"/>
    <x v="0"/>
    <x v="0"/>
    <x v="0"/>
    <x v="7"/>
    <x v="1"/>
    <x v="1"/>
    <x v="2"/>
    <s v="GNR_HS_HEAT_WTR-TANK_LS_E-95_Y-2010"/>
    <x v="2"/>
    <x v="2"/>
    <n v="22.138703482740802"/>
    <n v="5387.0845141336004"/>
    <n v="19393.504250881"/>
  </r>
  <r>
    <x v="0"/>
    <x v="0"/>
    <x v="0"/>
    <x v="0"/>
    <x v="0"/>
    <x v="7"/>
    <x v="1"/>
    <x v="1"/>
    <x v="2"/>
    <s v="GNR_HS_HEAT_WTR-TANK_LS_E-95_Y-2010"/>
    <x v="1"/>
    <x v="6"/>
    <n v="122.77488837701399"/>
    <n v="29875.222838406698"/>
    <n v="107550.802218264"/>
  </r>
  <r>
    <x v="0"/>
    <x v="0"/>
    <x v="0"/>
    <x v="0"/>
    <x v="0"/>
    <x v="7"/>
    <x v="1"/>
    <x v="1"/>
    <x v="2"/>
    <s v="GNR_HS_HEAT_WTR-TANK_LS_E-95_Y-2010"/>
    <x v="1"/>
    <x v="10"/>
    <n v="1.1755674896046999"/>
    <n v="286.05475580381102"/>
    <n v="1029.7971208937199"/>
  </r>
  <r>
    <x v="0"/>
    <x v="0"/>
    <x v="0"/>
    <x v="0"/>
    <x v="0"/>
    <x v="7"/>
    <x v="3"/>
    <x v="2"/>
    <x v="3"/>
    <s v="GNR_BO_NGAS_E-101"/>
    <x v="0"/>
    <x v="6"/>
    <n v="40.372162901322802"/>
    <n v="9823.8929726552196"/>
    <n v="35366.014701558801"/>
  </r>
  <r>
    <x v="0"/>
    <x v="0"/>
    <x v="0"/>
    <x v="0"/>
    <x v="0"/>
    <x v="7"/>
    <x v="3"/>
    <x v="2"/>
    <x v="3"/>
    <s v="GNR_BO_NGAS_E-102"/>
    <x v="0"/>
    <x v="6"/>
    <n v="13.61"/>
    <n v="3311.7666666666701"/>
    <n v="11922.36"/>
  </r>
  <r>
    <x v="0"/>
    <x v="0"/>
    <x v="0"/>
    <x v="0"/>
    <x v="0"/>
    <x v="7"/>
    <x v="3"/>
    <x v="2"/>
    <x v="3"/>
    <s v="GNR_BO_NGAS_E-104"/>
    <x v="0"/>
    <x v="6"/>
    <n v="4.22"/>
    <n v="1026.86666666667"/>
    <n v="3696.72"/>
  </r>
  <r>
    <x v="0"/>
    <x v="0"/>
    <x v="0"/>
    <x v="0"/>
    <x v="0"/>
    <x v="7"/>
    <x v="3"/>
    <x v="2"/>
    <x v="3"/>
    <s v="GNR_BO_NGAS_E-105"/>
    <x v="0"/>
    <x v="6"/>
    <n v="34.6"/>
    <n v="8419.3333333333303"/>
    <n v="30309.599999999999"/>
  </r>
  <r>
    <x v="0"/>
    <x v="0"/>
    <x v="0"/>
    <x v="0"/>
    <x v="0"/>
    <x v="7"/>
    <x v="3"/>
    <x v="2"/>
    <x v="3"/>
    <s v="GNR_BO_NGAS_E-105"/>
    <x v="0"/>
    <x v="2"/>
    <n v="34.361315758357101"/>
    <n v="8361.2535012002409"/>
    <n v="30100.512604320898"/>
  </r>
  <r>
    <x v="0"/>
    <x v="0"/>
    <x v="0"/>
    <x v="0"/>
    <x v="0"/>
    <x v="7"/>
    <x v="3"/>
    <x v="0"/>
    <x v="0"/>
    <s v="GNR_ENG_NGAS_BP_E-37"/>
    <x v="0"/>
    <x v="0"/>
    <n v="7.9666666666666703"/>
    <n v="1938.55555555556"/>
    <n v="6978.8"/>
  </r>
  <r>
    <x v="0"/>
    <x v="0"/>
    <x v="0"/>
    <x v="0"/>
    <x v="0"/>
    <x v="7"/>
    <x v="3"/>
    <x v="0"/>
    <x v="0"/>
    <s v="GNR_ENG_NGAS_BP_E-37"/>
    <x v="0"/>
    <x v="1"/>
    <n v="7.9666666666666703"/>
    <n v="1938.55555555556"/>
    <n v="6978.8"/>
  </r>
  <r>
    <x v="0"/>
    <x v="0"/>
    <x v="0"/>
    <x v="0"/>
    <x v="0"/>
    <x v="7"/>
    <x v="3"/>
    <x v="0"/>
    <x v="0"/>
    <s v="GNR_ENG_NGAS_BP_E-37"/>
    <x v="0"/>
    <x v="2"/>
    <n v="7.9666666666666703"/>
    <n v="1938.55555555556"/>
    <n v="6978.8"/>
  </r>
  <r>
    <x v="0"/>
    <x v="0"/>
    <x v="0"/>
    <x v="0"/>
    <x v="0"/>
    <x v="7"/>
    <x v="3"/>
    <x v="0"/>
    <x v="0"/>
    <s v="GNR_ENG_NGAS_BP_E-37"/>
    <x v="1"/>
    <x v="3"/>
    <n v="7.9666666666666703"/>
    <n v="1938.55555555556"/>
    <n v="6978.8"/>
  </r>
  <r>
    <x v="0"/>
    <x v="0"/>
    <x v="0"/>
    <x v="0"/>
    <x v="0"/>
    <x v="7"/>
    <x v="3"/>
    <x v="0"/>
    <x v="0"/>
    <s v="GNR_ENG_NGAS_BP_E-37"/>
    <x v="1"/>
    <x v="4"/>
    <n v="7.9666666666666703"/>
    <n v="1938.55555555556"/>
    <n v="6978.8"/>
  </r>
  <r>
    <x v="0"/>
    <x v="0"/>
    <x v="0"/>
    <x v="0"/>
    <x v="0"/>
    <x v="7"/>
    <x v="3"/>
    <x v="0"/>
    <x v="0"/>
    <s v="GNR_ENG_NGAS_BP_E-37"/>
    <x v="1"/>
    <x v="7"/>
    <n v="7.9666666666666703"/>
    <n v="1938.55555555556"/>
    <n v="6978.8"/>
  </r>
  <r>
    <x v="0"/>
    <x v="0"/>
    <x v="0"/>
    <x v="0"/>
    <x v="0"/>
    <x v="7"/>
    <x v="3"/>
    <x v="0"/>
    <x v="0"/>
    <s v="GNR_ENG_NGAS_BP_E-37"/>
    <x v="1"/>
    <x v="0"/>
    <n v="7.9666666666666703"/>
    <n v="1938.55555555556"/>
    <n v="6978.8"/>
  </r>
  <r>
    <x v="0"/>
    <x v="0"/>
    <x v="0"/>
    <x v="0"/>
    <x v="0"/>
    <x v="7"/>
    <x v="3"/>
    <x v="0"/>
    <x v="0"/>
    <s v="GNR_ENG_NGAS_BP_E-37"/>
    <x v="1"/>
    <x v="2"/>
    <n v="7.9666666666666703"/>
    <n v="1938.55555555556"/>
    <n v="6978.8"/>
  </r>
  <r>
    <x v="0"/>
    <x v="0"/>
    <x v="0"/>
    <x v="0"/>
    <x v="0"/>
    <x v="7"/>
    <x v="3"/>
    <x v="0"/>
    <x v="0"/>
    <s v="GNR_ENG_NGAS_BP_E-38"/>
    <x v="0"/>
    <x v="0"/>
    <n v="3.3333333333333299"/>
    <n v="811.11111111111097"/>
    <n v="2920"/>
  </r>
  <r>
    <x v="0"/>
    <x v="0"/>
    <x v="0"/>
    <x v="0"/>
    <x v="0"/>
    <x v="7"/>
    <x v="3"/>
    <x v="0"/>
    <x v="0"/>
    <s v="GNR_ENG_NGAS_BP_E-38"/>
    <x v="0"/>
    <x v="1"/>
    <n v="3.3333333333333299"/>
    <n v="811.11111111111097"/>
    <n v="2920"/>
  </r>
  <r>
    <x v="0"/>
    <x v="0"/>
    <x v="0"/>
    <x v="0"/>
    <x v="0"/>
    <x v="7"/>
    <x v="3"/>
    <x v="0"/>
    <x v="0"/>
    <s v="GNR_ENG_NGAS_BP_E-38"/>
    <x v="0"/>
    <x v="2"/>
    <n v="3.3333333333333299"/>
    <n v="811.11111111111097"/>
    <n v="2920"/>
  </r>
  <r>
    <x v="0"/>
    <x v="0"/>
    <x v="0"/>
    <x v="0"/>
    <x v="0"/>
    <x v="7"/>
    <x v="3"/>
    <x v="0"/>
    <x v="0"/>
    <s v="GNR_ENG_NGAS_BP_E-38"/>
    <x v="0"/>
    <x v="9"/>
    <n v="3.3333333333333299"/>
    <n v="811.11111111111097"/>
    <n v="2920"/>
  </r>
  <r>
    <x v="0"/>
    <x v="0"/>
    <x v="0"/>
    <x v="0"/>
    <x v="0"/>
    <x v="7"/>
    <x v="3"/>
    <x v="0"/>
    <x v="0"/>
    <s v="GNR_ENG_NGAS_BP_E-38"/>
    <x v="1"/>
    <x v="3"/>
    <n v="3.3333333333333299"/>
    <n v="811.11111111111097"/>
    <n v="2920"/>
  </r>
  <r>
    <x v="0"/>
    <x v="0"/>
    <x v="0"/>
    <x v="0"/>
    <x v="0"/>
    <x v="7"/>
    <x v="3"/>
    <x v="0"/>
    <x v="0"/>
    <s v="GNR_ENG_NGAS_BP_E-38"/>
    <x v="1"/>
    <x v="4"/>
    <n v="3.3333333333333299"/>
    <n v="811.11111111111097"/>
    <n v="2920"/>
  </r>
  <r>
    <x v="0"/>
    <x v="0"/>
    <x v="0"/>
    <x v="0"/>
    <x v="0"/>
    <x v="7"/>
    <x v="3"/>
    <x v="0"/>
    <x v="0"/>
    <s v="GNR_ENG_NGAS_BP_E-38"/>
    <x v="1"/>
    <x v="7"/>
    <n v="3.3333333333333299"/>
    <n v="811.11111111111097"/>
    <n v="2920"/>
  </r>
  <r>
    <x v="0"/>
    <x v="0"/>
    <x v="0"/>
    <x v="0"/>
    <x v="0"/>
    <x v="7"/>
    <x v="3"/>
    <x v="0"/>
    <x v="0"/>
    <s v="GNR_ENG_NGAS_BP_E-38"/>
    <x v="1"/>
    <x v="0"/>
    <n v="3.3333333333333299"/>
    <n v="811.11111111111097"/>
    <n v="2920"/>
  </r>
  <r>
    <x v="0"/>
    <x v="0"/>
    <x v="0"/>
    <x v="0"/>
    <x v="0"/>
    <x v="7"/>
    <x v="3"/>
    <x v="0"/>
    <x v="0"/>
    <s v="GNR_ENG_NGAS_BP_E-38"/>
    <x v="1"/>
    <x v="2"/>
    <n v="3.3333333333333299"/>
    <n v="811.11111111111097"/>
    <n v="2920"/>
  </r>
  <r>
    <x v="0"/>
    <x v="0"/>
    <x v="0"/>
    <x v="0"/>
    <x v="0"/>
    <x v="7"/>
    <x v="3"/>
    <x v="0"/>
    <x v="0"/>
    <s v="GNR_ENG_NGAS_BP_E-39"/>
    <x v="0"/>
    <x v="8"/>
    <n v="2.2222222222222201"/>
    <n v="540.74074074074099"/>
    <n v="1946.6666666666699"/>
  </r>
  <r>
    <x v="0"/>
    <x v="0"/>
    <x v="0"/>
    <x v="0"/>
    <x v="0"/>
    <x v="7"/>
    <x v="3"/>
    <x v="0"/>
    <x v="0"/>
    <s v="GNR_ENG_NGAS_BP_E-39"/>
    <x v="0"/>
    <x v="0"/>
    <n v="2.2222222222222201"/>
    <n v="540.74074074074099"/>
    <n v="1946.6666666666699"/>
  </r>
  <r>
    <x v="0"/>
    <x v="0"/>
    <x v="0"/>
    <x v="0"/>
    <x v="0"/>
    <x v="7"/>
    <x v="3"/>
    <x v="0"/>
    <x v="0"/>
    <s v="GNR_ENG_NGAS_BP_E-39"/>
    <x v="0"/>
    <x v="1"/>
    <n v="2.2222222222222201"/>
    <n v="540.74074074074099"/>
    <n v="1946.6666666666699"/>
  </r>
  <r>
    <x v="0"/>
    <x v="0"/>
    <x v="0"/>
    <x v="0"/>
    <x v="0"/>
    <x v="7"/>
    <x v="3"/>
    <x v="0"/>
    <x v="0"/>
    <s v="GNR_ENG_NGAS_BP_E-39"/>
    <x v="0"/>
    <x v="2"/>
    <n v="2.2222222222222201"/>
    <n v="540.74074074074099"/>
    <n v="1946.6666666666699"/>
  </r>
  <r>
    <x v="0"/>
    <x v="0"/>
    <x v="0"/>
    <x v="0"/>
    <x v="0"/>
    <x v="7"/>
    <x v="3"/>
    <x v="0"/>
    <x v="0"/>
    <s v="GNR_ENG_NGAS_BP_E-39"/>
    <x v="0"/>
    <x v="9"/>
    <n v="2.2222222222222201"/>
    <n v="540.74074074074099"/>
    <n v="1946.6666666666699"/>
  </r>
  <r>
    <x v="0"/>
    <x v="0"/>
    <x v="0"/>
    <x v="0"/>
    <x v="0"/>
    <x v="7"/>
    <x v="3"/>
    <x v="0"/>
    <x v="0"/>
    <s v="GNR_ENG_NGAS_BP_E-39"/>
    <x v="1"/>
    <x v="3"/>
    <n v="2.2222222222222201"/>
    <n v="540.74074074074099"/>
    <n v="1946.6666666666699"/>
  </r>
  <r>
    <x v="0"/>
    <x v="0"/>
    <x v="0"/>
    <x v="0"/>
    <x v="0"/>
    <x v="7"/>
    <x v="3"/>
    <x v="0"/>
    <x v="0"/>
    <s v="GNR_ENG_NGAS_BP_E-39"/>
    <x v="1"/>
    <x v="4"/>
    <n v="2.2222222222222201"/>
    <n v="540.74074074074099"/>
    <n v="1946.6666666666699"/>
  </r>
  <r>
    <x v="0"/>
    <x v="0"/>
    <x v="0"/>
    <x v="0"/>
    <x v="0"/>
    <x v="7"/>
    <x v="3"/>
    <x v="0"/>
    <x v="0"/>
    <s v="GNR_ENG_NGAS_BP_E-39"/>
    <x v="1"/>
    <x v="7"/>
    <n v="2.2222222222222201"/>
    <n v="540.74074074074099"/>
    <n v="1946.6666666666699"/>
  </r>
  <r>
    <x v="0"/>
    <x v="0"/>
    <x v="0"/>
    <x v="0"/>
    <x v="0"/>
    <x v="7"/>
    <x v="3"/>
    <x v="0"/>
    <x v="0"/>
    <s v="GNR_ENG_NGAS_BP_E-39"/>
    <x v="1"/>
    <x v="0"/>
    <n v="2.2222222222222201"/>
    <n v="540.74074074074099"/>
    <n v="1946.6666666666699"/>
  </r>
  <r>
    <x v="0"/>
    <x v="0"/>
    <x v="0"/>
    <x v="0"/>
    <x v="0"/>
    <x v="7"/>
    <x v="3"/>
    <x v="0"/>
    <x v="0"/>
    <s v="GNR_ENG_NGAS_BP_E-39"/>
    <x v="1"/>
    <x v="1"/>
    <n v="2.2222222222222201"/>
    <n v="540.74074074074099"/>
    <n v="1946.6666666666699"/>
  </r>
  <r>
    <x v="0"/>
    <x v="0"/>
    <x v="0"/>
    <x v="0"/>
    <x v="0"/>
    <x v="7"/>
    <x v="3"/>
    <x v="0"/>
    <x v="0"/>
    <s v="GNR_ENG_NGAS_BP_E-39"/>
    <x v="1"/>
    <x v="2"/>
    <n v="2.2222222222222201"/>
    <n v="540.74074074074099"/>
    <n v="1946.6666666666699"/>
  </r>
  <r>
    <x v="0"/>
    <x v="0"/>
    <x v="0"/>
    <x v="0"/>
    <x v="0"/>
    <x v="7"/>
    <x v="3"/>
    <x v="0"/>
    <x v="0"/>
    <s v="GNR_ENG_NGAS_BP_E-40"/>
    <x v="0"/>
    <x v="8"/>
    <n v="5.1333333333333302"/>
    <n v="1249.1111111111099"/>
    <n v="4496.8"/>
  </r>
  <r>
    <x v="0"/>
    <x v="0"/>
    <x v="0"/>
    <x v="0"/>
    <x v="0"/>
    <x v="7"/>
    <x v="3"/>
    <x v="0"/>
    <x v="0"/>
    <s v="GNR_ENG_NGAS_BP_E-40"/>
    <x v="0"/>
    <x v="0"/>
    <n v="5.1333333333333302"/>
    <n v="1249.1111111111099"/>
    <n v="4496.8"/>
  </r>
  <r>
    <x v="0"/>
    <x v="0"/>
    <x v="0"/>
    <x v="0"/>
    <x v="0"/>
    <x v="7"/>
    <x v="3"/>
    <x v="0"/>
    <x v="0"/>
    <s v="GNR_ENG_NGAS_BP_E-40"/>
    <x v="0"/>
    <x v="1"/>
    <n v="5.1333333333333302"/>
    <n v="1249.1111111111099"/>
    <n v="4496.8"/>
  </r>
  <r>
    <x v="0"/>
    <x v="0"/>
    <x v="0"/>
    <x v="0"/>
    <x v="0"/>
    <x v="7"/>
    <x v="3"/>
    <x v="0"/>
    <x v="0"/>
    <s v="GNR_ENG_NGAS_BP_E-40"/>
    <x v="0"/>
    <x v="2"/>
    <n v="5.1333333333333302"/>
    <n v="1249.1111111111099"/>
    <n v="4496.8"/>
  </r>
  <r>
    <x v="0"/>
    <x v="0"/>
    <x v="0"/>
    <x v="0"/>
    <x v="0"/>
    <x v="7"/>
    <x v="3"/>
    <x v="0"/>
    <x v="0"/>
    <s v="GNR_ENG_NGAS_BP_E-40"/>
    <x v="0"/>
    <x v="9"/>
    <n v="5.1333333333333302"/>
    <n v="1249.1111111111099"/>
    <n v="4496.8"/>
  </r>
  <r>
    <x v="0"/>
    <x v="0"/>
    <x v="0"/>
    <x v="0"/>
    <x v="0"/>
    <x v="7"/>
    <x v="3"/>
    <x v="0"/>
    <x v="0"/>
    <s v="GNR_ENG_NGAS_BP_E-40"/>
    <x v="0"/>
    <x v="11"/>
    <n v="5.1333333333333302"/>
    <n v="1249.1111111111099"/>
    <n v="4496.8"/>
  </r>
  <r>
    <x v="0"/>
    <x v="0"/>
    <x v="0"/>
    <x v="0"/>
    <x v="0"/>
    <x v="7"/>
    <x v="3"/>
    <x v="0"/>
    <x v="0"/>
    <s v="GNR_ENG_NGAS_BP_E-40"/>
    <x v="1"/>
    <x v="3"/>
    <n v="5.1333333333333302"/>
    <n v="1249.1111111111099"/>
    <n v="4496.8"/>
  </r>
  <r>
    <x v="0"/>
    <x v="0"/>
    <x v="0"/>
    <x v="0"/>
    <x v="0"/>
    <x v="7"/>
    <x v="3"/>
    <x v="0"/>
    <x v="0"/>
    <s v="GNR_ENG_NGAS_BP_E-40"/>
    <x v="1"/>
    <x v="4"/>
    <n v="5.1333333333333302"/>
    <n v="1249.1111111111099"/>
    <n v="4496.8"/>
  </r>
  <r>
    <x v="0"/>
    <x v="0"/>
    <x v="0"/>
    <x v="0"/>
    <x v="0"/>
    <x v="7"/>
    <x v="3"/>
    <x v="0"/>
    <x v="0"/>
    <s v="GNR_ENG_NGAS_BP_E-40"/>
    <x v="1"/>
    <x v="7"/>
    <n v="5.1333333333333302"/>
    <n v="1249.1111111111099"/>
    <n v="4496.8"/>
  </r>
  <r>
    <x v="0"/>
    <x v="0"/>
    <x v="0"/>
    <x v="0"/>
    <x v="0"/>
    <x v="7"/>
    <x v="3"/>
    <x v="0"/>
    <x v="0"/>
    <s v="GNR_ENG_NGAS_BP_E-40"/>
    <x v="1"/>
    <x v="0"/>
    <n v="5.1333333333333302"/>
    <n v="1249.1111111111099"/>
    <n v="4496.8"/>
  </r>
  <r>
    <x v="0"/>
    <x v="0"/>
    <x v="0"/>
    <x v="0"/>
    <x v="0"/>
    <x v="7"/>
    <x v="3"/>
    <x v="0"/>
    <x v="0"/>
    <s v="GNR_ENG_NGAS_BP_E-40"/>
    <x v="1"/>
    <x v="1"/>
    <n v="5.1333333333333302"/>
    <n v="1249.1111111111099"/>
    <n v="4496.8"/>
  </r>
  <r>
    <x v="0"/>
    <x v="0"/>
    <x v="0"/>
    <x v="0"/>
    <x v="0"/>
    <x v="7"/>
    <x v="3"/>
    <x v="0"/>
    <x v="0"/>
    <s v="GNR_ENG_NGAS_BP_E-40"/>
    <x v="1"/>
    <x v="2"/>
    <n v="5.1333333333333302"/>
    <n v="1249.1111111111099"/>
    <n v="4496.8"/>
  </r>
  <r>
    <x v="0"/>
    <x v="0"/>
    <x v="0"/>
    <x v="0"/>
    <x v="0"/>
    <x v="7"/>
    <x v="3"/>
    <x v="0"/>
    <x v="0"/>
    <s v="GNR_ENG_NGAS_BP_E-41"/>
    <x v="0"/>
    <x v="3"/>
    <n v="15.6027574016671"/>
    <n v="3796.6709677389899"/>
    <n v="13668.015483860399"/>
  </r>
  <r>
    <x v="0"/>
    <x v="0"/>
    <x v="0"/>
    <x v="0"/>
    <x v="0"/>
    <x v="7"/>
    <x v="3"/>
    <x v="0"/>
    <x v="0"/>
    <s v="GNR_ENG_NGAS_BP_E-41"/>
    <x v="0"/>
    <x v="8"/>
    <n v="16.2777777777778"/>
    <n v="3960.9259259259302"/>
    <n v="14259.333333333299"/>
  </r>
  <r>
    <x v="0"/>
    <x v="0"/>
    <x v="0"/>
    <x v="0"/>
    <x v="0"/>
    <x v="7"/>
    <x v="3"/>
    <x v="0"/>
    <x v="0"/>
    <s v="GNR_ENG_NGAS_BP_E-41"/>
    <x v="0"/>
    <x v="0"/>
    <n v="16.2777777777778"/>
    <n v="3960.9259259259302"/>
    <n v="14259.333333333299"/>
  </r>
  <r>
    <x v="0"/>
    <x v="0"/>
    <x v="0"/>
    <x v="0"/>
    <x v="0"/>
    <x v="7"/>
    <x v="3"/>
    <x v="0"/>
    <x v="0"/>
    <s v="GNR_ENG_NGAS_BP_E-41"/>
    <x v="0"/>
    <x v="1"/>
    <n v="16.2777777777778"/>
    <n v="3960.9259259259302"/>
    <n v="14259.333333333299"/>
  </r>
  <r>
    <x v="0"/>
    <x v="0"/>
    <x v="0"/>
    <x v="0"/>
    <x v="0"/>
    <x v="7"/>
    <x v="3"/>
    <x v="0"/>
    <x v="0"/>
    <s v="GNR_ENG_NGAS_BP_E-41"/>
    <x v="0"/>
    <x v="2"/>
    <n v="16.2777777777778"/>
    <n v="3960.9259259259302"/>
    <n v="14259.333333333299"/>
  </r>
  <r>
    <x v="0"/>
    <x v="0"/>
    <x v="0"/>
    <x v="0"/>
    <x v="0"/>
    <x v="7"/>
    <x v="3"/>
    <x v="0"/>
    <x v="0"/>
    <s v="GNR_ENG_NGAS_BP_E-41"/>
    <x v="0"/>
    <x v="9"/>
    <n v="16.2777777777778"/>
    <n v="3960.9259259259302"/>
    <n v="14259.333333333299"/>
  </r>
  <r>
    <x v="0"/>
    <x v="0"/>
    <x v="0"/>
    <x v="0"/>
    <x v="0"/>
    <x v="7"/>
    <x v="3"/>
    <x v="0"/>
    <x v="0"/>
    <s v="GNR_ENG_NGAS_BP_E-41"/>
    <x v="0"/>
    <x v="11"/>
    <n v="16.2777777777778"/>
    <n v="3960.9259259259302"/>
    <n v="14259.333333333299"/>
  </r>
  <r>
    <x v="0"/>
    <x v="0"/>
    <x v="0"/>
    <x v="0"/>
    <x v="0"/>
    <x v="7"/>
    <x v="3"/>
    <x v="0"/>
    <x v="0"/>
    <s v="GNR_ENG_NGAS_BP_E-41"/>
    <x v="1"/>
    <x v="3"/>
    <n v="16.2777777777778"/>
    <n v="3960.9259259259302"/>
    <n v="14259.333333333299"/>
  </r>
  <r>
    <x v="0"/>
    <x v="0"/>
    <x v="0"/>
    <x v="0"/>
    <x v="0"/>
    <x v="7"/>
    <x v="3"/>
    <x v="0"/>
    <x v="0"/>
    <s v="GNR_ENG_NGAS_BP_E-41"/>
    <x v="1"/>
    <x v="4"/>
    <n v="16.2777777777778"/>
    <n v="3960.9259259259302"/>
    <n v="14259.333333333299"/>
  </r>
  <r>
    <x v="0"/>
    <x v="0"/>
    <x v="0"/>
    <x v="0"/>
    <x v="0"/>
    <x v="7"/>
    <x v="3"/>
    <x v="0"/>
    <x v="0"/>
    <s v="GNR_ENG_NGAS_BP_E-41"/>
    <x v="1"/>
    <x v="7"/>
    <n v="16.2777777777778"/>
    <n v="3960.9259259259302"/>
    <n v="14259.333333333299"/>
  </r>
  <r>
    <x v="0"/>
    <x v="0"/>
    <x v="0"/>
    <x v="0"/>
    <x v="0"/>
    <x v="7"/>
    <x v="3"/>
    <x v="0"/>
    <x v="0"/>
    <s v="GNR_ENG_NGAS_BP_E-41"/>
    <x v="1"/>
    <x v="0"/>
    <n v="16.2777777777778"/>
    <n v="3960.9259259259302"/>
    <n v="14259.333333333299"/>
  </r>
  <r>
    <x v="0"/>
    <x v="0"/>
    <x v="0"/>
    <x v="0"/>
    <x v="0"/>
    <x v="7"/>
    <x v="3"/>
    <x v="0"/>
    <x v="0"/>
    <s v="GNR_ENG_NGAS_BP_E-41"/>
    <x v="1"/>
    <x v="1"/>
    <n v="16.2777777777778"/>
    <n v="3960.9259259259302"/>
    <n v="14259.333333333299"/>
  </r>
  <r>
    <x v="0"/>
    <x v="0"/>
    <x v="0"/>
    <x v="0"/>
    <x v="0"/>
    <x v="7"/>
    <x v="3"/>
    <x v="0"/>
    <x v="0"/>
    <s v="GNR_ENG_NGAS_BP_E-41"/>
    <x v="1"/>
    <x v="2"/>
    <n v="16.2777777777778"/>
    <n v="3960.9259259259302"/>
    <n v="14259.333333333299"/>
  </r>
  <r>
    <x v="0"/>
    <x v="0"/>
    <x v="0"/>
    <x v="0"/>
    <x v="0"/>
    <x v="7"/>
    <x v="3"/>
    <x v="0"/>
    <x v="0"/>
    <s v="GNR_ENG_NGAS_BP_E-42"/>
    <x v="0"/>
    <x v="3"/>
    <n v="37.668888888888901"/>
    <n v="9166.0962962963004"/>
    <n v="32997.946666666699"/>
  </r>
  <r>
    <x v="0"/>
    <x v="0"/>
    <x v="0"/>
    <x v="0"/>
    <x v="0"/>
    <x v="7"/>
    <x v="3"/>
    <x v="0"/>
    <x v="0"/>
    <s v="GNR_ENG_NGAS_BP_E-42"/>
    <x v="0"/>
    <x v="4"/>
    <n v="37.668888888888901"/>
    <n v="9166.0962962963004"/>
    <n v="32997.946666666699"/>
  </r>
  <r>
    <x v="0"/>
    <x v="0"/>
    <x v="0"/>
    <x v="0"/>
    <x v="0"/>
    <x v="7"/>
    <x v="3"/>
    <x v="0"/>
    <x v="0"/>
    <s v="GNR_ENG_NGAS_BP_E-42"/>
    <x v="0"/>
    <x v="8"/>
    <n v="37.668888888888901"/>
    <n v="9166.0962962963004"/>
    <n v="32997.946666666699"/>
  </r>
  <r>
    <x v="0"/>
    <x v="0"/>
    <x v="0"/>
    <x v="0"/>
    <x v="0"/>
    <x v="7"/>
    <x v="3"/>
    <x v="0"/>
    <x v="0"/>
    <s v="GNR_ENG_NGAS_BP_E-42"/>
    <x v="0"/>
    <x v="0"/>
    <n v="37.668888888888901"/>
    <n v="9166.0962962963004"/>
    <n v="32997.946666666699"/>
  </r>
  <r>
    <x v="0"/>
    <x v="0"/>
    <x v="0"/>
    <x v="0"/>
    <x v="0"/>
    <x v="7"/>
    <x v="3"/>
    <x v="0"/>
    <x v="0"/>
    <s v="GNR_ENG_NGAS_BP_E-42"/>
    <x v="0"/>
    <x v="1"/>
    <n v="37.668888888888901"/>
    <n v="9166.0962962963004"/>
    <n v="32997.946666666699"/>
  </r>
  <r>
    <x v="0"/>
    <x v="0"/>
    <x v="0"/>
    <x v="0"/>
    <x v="0"/>
    <x v="7"/>
    <x v="3"/>
    <x v="0"/>
    <x v="0"/>
    <s v="GNR_ENG_NGAS_BP_E-42"/>
    <x v="0"/>
    <x v="2"/>
    <n v="37.668888888888901"/>
    <n v="9166.0962962963004"/>
    <n v="32997.946666666699"/>
  </r>
  <r>
    <x v="0"/>
    <x v="0"/>
    <x v="0"/>
    <x v="0"/>
    <x v="0"/>
    <x v="7"/>
    <x v="3"/>
    <x v="0"/>
    <x v="0"/>
    <s v="GNR_ENG_NGAS_BP_E-42"/>
    <x v="0"/>
    <x v="9"/>
    <n v="37.668888888888901"/>
    <n v="9166.0962962963004"/>
    <n v="32997.946666666699"/>
  </r>
  <r>
    <x v="0"/>
    <x v="0"/>
    <x v="0"/>
    <x v="0"/>
    <x v="0"/>
    <x v="7"/>
    <x v="3"/>
    <x v="0"/>
    <x v="0"/>
    <s v="GNR_ENG_NGAS_BP_E-42"/>
    <x v="0"/>
    <x v="10"/>
    <n v="37.668888888888901"/>
    <n v="9166.0962962963004"/>
    <n v="32997.946666666699"/>
  </r>
  <r>
    <x v="0"/>
    <x v="0"/>
    <x v="0"/>
    <x v="0"/>
    <x v="0"/>
    <x v="7"/>
    <x v="3"/>
    <x v="0"/>
    <x v="0"/>
    <s v="GNR_ENG_NGAS_BP_E-42"/>
    <x v="0"/>
    <x v="11"/>
    <n v="37.668888888888901"/>
    <n v="9166.0962962963004"/>
    <n v="32997.946666666699"/>
  </r>
  <r>
    <x v="0"/>
    <x v="0"/>
    <x v="0"/>
    <x v="0"/>
    <x v="0"/>
    <x v="7"/>
    <x v="3"/>
    <x v="0"/>
    <x v="0"/>
    <s v="GNR_ENG_NGAS_BP_E-42"/>
    <x v="2"/>
    <x v="6"/>
    <n v="37.668888888888901"/>
    <n v="9166.0962962963004"/>
    <n v="32997.946666666699"/>
  </r>
  <r>
    <x v="0"/>
    <x v="0"/>
    <x v="0"/>
    <x v="0"/>
    <x v="0"/>
    <x v="7"/>
    <x v="3"/>
    <x v="0"/>
    <x v="0"/>
    <s v="GNR_ENG_NGAS_BP_E-42"/>
    <x v="1"/>
    <x v="3"/>
    <n v="37.668888888888901"/>
    <n v="9166.0962962963004"/>
    <n v="32997.946666666699"/>
  </r>
  <r>
    <x v="0"/>
    <x v="0"/>
    <x v="0"/>
    <x v="0"/>
    <x v="0"/>
    <x v="7"/>
    <x v="3"/>
    <x v="0"/>
    <x v="0"/>
    <s v="GNR_ENG_NGAS_BP_E-42"/>
    <x v="1"/>
    <x v="4"/>
    <n v="37.668888888888901"/>
    <n v="9166.0962962963004"/>
    <n v="32997.946666666699"/>
  </r>
  <r>
    <x v="0"/>
    <x v="0"/>
    <x v="0"/>
    <x v="0"/>
    <x v="0"/>
    <x v="7"/>
    <x v="3"/>
    <x v="0"/>
    <x v="0"/>
    <s v="GNR_ENG_NGAS_BP_E-42"/>
    <x v="1"/>
    <x v="7"/>
    <n v="37.668888888888901"/>
    <n v="9166.0962962963004"/>
    <n v="32997.946666666699"/>
  </r>
  <r>
    <x v="0"/>
    <x v="0"/>
    <x v="0"/>
    <x v="0"/>
    <x v="0"/>
    <x v="7"/>
    <x v="3"/>
    <x v="0"/>
    <x v="0"/>
    <s v="GNR_ENG_NGAS_BP_E-42"/>
    <x v="1"/>
    <x v="0"/>
    <n v="37.668888888888901"/>
    <n v="9166.0962962963004"/>
    <n v="32997.946666666699"/>
  </r>
  <r>
    <x v="0"/>
    <x v="0"/>
    <x v="0"/>
    <x v="0"/>
    <x v="0"/>
    <x v="7"/>
    <x v="3"/>
    <x v="0"/>
    <x v="0"/>
    <s v="GNR_ENG_NGAS_BP_E-42"/>
    <x v="1"/>
    <x v="1"/>
    <n v="37.668888888888901"/>
    <n v="9166.0962962963004"/>
    <n v="32997.946666666699"/>
  </r>
  <r>
    <x v="0"/>
    <x v="0"/>
    <x v="0"/>
    <x v="0"/>
    <x v="0"/>
    <x v="7"/>
    <x v="3"/>
    <x v="0"/>
    <x v="0"/>
    <s v="GNR_ENG_NGAS_BP_E-42"/>
    <x v="1"/>
    <x v="2"/>
    <n v="37.668888888888901"/>
    <n v="9166.0962962963004"/>
    <n v="32997.946666666699"/>
  </r>
  <r>
    <x v="0"/>
    <x v="0"/>
    <x v="0"/>
    <x v="0"/>
    <x v="0"/>
    <x v="7"/>
    <x v="3"/>
    <x v="0"/>
    <x v="0"/>
    <s v="GNR_ENG_NGAS_BP_E-43"/>
    <x v="0"/>
    <x v="3"/>
    <n v="17.5911111111111"/>
    <n v="4280.5037037037"/>
    <n v="15409.813333333301"/>
  </r>
  <r>
    <x v="0"/>
    <x v="0"/>
    <x v="0"/>
    <x v="0"/>
    <x v="0"/>
    <x v="7"/>
    <x v="3"/>
    <x v="0"/>
    <x v="0"/>
    <s v="GNR_ENG_NGAS_BP_E-43"/>
    <x v="0"/>
    <x v="4"/>
    <n v="17.5911111111111"/>
    <n v="4280.5037037037"/>
    <n v="15409.813333333301"/>
  </r>
  <r>
    <x v="0"/>
    <x v="0"/>
    <x v="0"/>
    <x v="0"/>
    <x v="0"/>
    <x v="7"/>
    <x v="3"/>
    <x v="0"/>
    <x v="0"/>
    <s v="GNR_ENG_NGAS_BP_E-43"/>
    <x v="0"/>
    <x v="8"/>
    <n v="17.5911111111111"/>
    <n v="4280.5037037037"/>
    <n v="15409.813333333301"/>
  </r>
  <r>
    <x v="0"/>
    <x v="0"/>
    <x v="0"/>
    <x v="0"/>
    <x v="0"/>
    <x v="7"/>
    <x v="3"/>
    <x v="0"/>
    <x v="0"/>
    <s v="GNR_ENG_NGAS_BP_E-43"/>
    <x v="0"/>
    <x v="0"/>
    <n v="17.5911111111111"/>
    <n v="4280.5037037037"/>
    <n v="15409.813333333301"/>
  </r>
  <r>
    <x v="0"/>
    <x v="0"/>
    <x v="0"/>
    <x v="0"/>
    <x v="0"/>
    <x v="7"/>
    <x v="3"/>
    <x v="0"/>
    <x v="0"/>
    <s v="GNR_ENG_NGAS_BP_E-43"/>
    <x v="0"/>
    <x v="1"/>
    <n v="17.5911111111111"/>
    <n v="4280.5037037037"/>
    <n v="15409.813333333301"/>
  </r>
  <r>
    <x v="0"/>
    <x v="0"/>
    <x v="0"/>
    <x v="0"/>
    <x v="0"/>
    <x v="7"/>
    <x v="3"/>
    <x v="0"/>
    <x v="0"/>
    <s v="GNR_ENG_NGAS_BP_E-43"/>
    <x v="0"/>
    <x v="2"/>
    <n v="17.5911111111111"/>
    <n v="4280.5037037037"/>
    <n v="15409.813333333301"/>
  </r>
  <r>
    <x v="0"/>
    <x v="0"/>
    <x v="0"/>
    <x v="0"/>
    <x v="0"/>
    <x v="7"/>
    <x v="3"/>
    <x v="0"/>
    <x v="0"/>
    <s v="GNR_ENG_NGAS_BP_E-43"/>
    <x v="0"/>
    <x v="9"/>
    <n v="17.5911111111111"/>
    <n v="4280.5037037037"/>
    <n v="15409.813333333301"/>
  </r>
  <r>
    <x v="0"/>
    <x v="0"/>
    <x v="0"/>
    <x v="0"/>
    <x v="0"/>
    <x v="7"/>
    <x v="3"/>
    <x v="0"/>
    <x v="0"/>
    <s v="GNR_ENG_NGAS_BP_E-43"/>
    <x v="0"/>
    <x v="10"/>
    <n v="17.5911111111111"/>
    <n v="4280.5037037037"/>
    <n v="15409.813333333301"/>
  </r>
  <r>
    <x v="0"/>
    <x v="0"/>
    <x v="0"/>
    <x v="0"/>
    <x v="0"/>
    <x v="7"/>
    <x v="3"/>
    <x v="0"/>
    <x v="0"/>
    <s v="GNR_ENG_NGAS_BP_E-43"/>
    <x v="0"/>
    <x v="11"/>
    <n v="17.5911111111111"/>
    <n v="4280.5037037037"/>
    <n v="15409.813333333301"/>
  </r>
  <r>
    <x v="0"/>
    <x v="0"/>
    <x v="0"/>
    <x v="0"/>
    <x v="0"/>
    <x v="7"/>
    <x v="3"/>
    <x v="0"/>
    <x v="0"/>
    <s v="GNR_ENG_NGAS_BP_E-43"/>
    <x v="2"/>
    <x v="3"/>
    <n v="17.5911111111111"/>
    <n v="4280.5037037037"/>
    <n v="15409.813333333301"/>
  </r>
  <r>
    <x v="0"/>
    <x v="0"/>
    <x v="0"/>
    <x v="0"/>
    <x v="0"/>
    <x v="7"/>
    <x v="3"/>
    <x v="0"/>
    <x v="0"/>
    <s v="GNR_ENG_NGAS_BP_E-43"/>
    <x v="2"/>
    <x v="6"/>
    <n v="17.5911111111111"/>
    <n v="4280.5037037037"/>
    <n v="15409.813333333301"/>
  </r>
  <r>
    <x v="0"/>
    <x v="0"/>
    <x v="0"/>
    <x v="0"/>
    <x v="0"/>
    <x v="7"/>
    <x v="3"/>
    <x v="0"/>
    <x v="0"/>
    <s v="GNR_ENG_NGAS_BP_E-43"/>
    <x v="2"/>
    <x v="4"/>
    <n v="17.5911111111111"/>
    <n v="4280.5037037037"/>
    <n v="15409.813333333301"/>
  </r>
  <r>
    <x v="0"/>
    <x v="0"/>
    <x v="0"/>
    <x v="0"/>
    <x v="0"/>
    <x v="7"/>
    <x v="3"/>
    <x v="0"/>
    <x v="0"/>
    <s v="GNR_ENG_NGAS_BP_E-43"/>
    <x v="2"/>
    <x v="2"/>
    <n v="17.5911111111111"/>
    <n v="4280.5037037037"/>
    <n v="15409.813333333301"/>
  </r>
  <r>
    <x v="0"/>
    <x v="0"/>
    <x v="0"/>
    <x v="0"/>
    <x v="0"/>
    <x v="7"/>
    <x v="3"/>
    <x v="0"/>
    <x v="0"/>
    <s v="GNR_ENG_NGAS_BP_E-43"/>
    <x v="1"/>
    <x v="3"/>
    <n v="17.5911111111111"/>
    <n v="4280.5037037037"/>
    <n v="15409.813333333301"/>
  </r>
  <r>
    <x v="0"/>
    <x v="0"/>
    <x v="0"/>
    <x v="0"/>
    <x v="0"/>
    <x v="7"/>
    <x v="3"/>
    <x v="0"/>
    <x v="0"/>
    <s v="GNR_ENG_NGAS_BP_E-43"/>
    <x v="1"/>
    <x v="6"/>
    <n v="17.5911111111111"/>
    <n v="4280.5037037037"/>
    <n v="15409.813333333301"/>
  </r>
  <r>
    <x v="0"/>
    <x v="0"/>
    <x v="0"/>
    <x v="0"/>
    <x v="0"/>
    <x v="7"/>
    <x v="3"/>
    <x v="0"/>
    <x v="0"/>
    <s v="GNR_ENG_NGAS_BP_E-43"/>
    <x v="1"/>
    <x v="4"/>
    <n v="17.5911111111111"/>
    <n v="4280.5037037037"/>
    <n v="15409.813333333301"/>
  </r>
  <r>
    <x v="0"/>
    <x v="0"/>
    <x v="0"/>
    <x v="0"/>
    <x v="0"/>
    <x v="7"/>
    <x v="3"/>
    <x v="0"/>
    <x v="0"/>
    <s v="GNR_ENG_NGAS_BP_E-43"/>
    <x v="1"/>
    <x v="7"/>
    <n v="17.5911111111111"/>
    <n v="4280.5037037037"/>
    <n v="15409.813333333301"/>
  </r>
  <r>
    <x v="0"/>
    <x v="0"/>
    <x v="0"/>
    <x v="0"/>
    <x v="0"/>
    <x v="7"/>
    <x v="3"/>
    <x v="0"/>
    <x v="0"/>
    <s v="GNR_ENG_NGAS_BP_E-43"/>
    <x v="1"/>
    <x v="8"/>
    <n v="17.5911111111111"/>
    <n v="4280.5037037037"/>
    <n v="15409.813333333301"/>
  </r>
  <r>
    <x v="0"/>
    <x v="0"/>
    <x v="0"/>
    <x v="0"/>
    <x v="0"/>
    <x v="7"/>
    <x v="3"/>
    <x v="0"/>
    <x v="0"/>
    <s v="GNR_ENG_NGAS_BP_E-43"/>
    <x v="1"/>
    <x v="0"/>
    <n v="17.5911111111111"/>
    <n v="4280.5037037037"/>
    <n v="15409.813333333301"/>
  </r>
  <r>
    <x v="0"/>
    <x v="0"/>
    <x v="0"/>
    <x v="0"/>
    <x v="0"/>
    <x v="7"/>
    <x v="3"/>
    <x v="0"/>
    <x v="0"/>
    <s v="GNR_ENG_NGAS_BP_E-43"/>
    <x v="1"/>
    <x v="1"/>
    <n v="17.5911111111111"/>
    <n v="4280.5037037037"/>
    <n v="15409.813333333301"/>
  </r>
  <r>
    <x v="0"/>
    <x v="0"/>
    <x v="0"/>
    <x v="0"/>
    <x v="0"/>
    <x v="7"/>
    <x v="3"/>
    <x v="0"/>
    <x v="0"/>
    <s v="GNR_ENG_NGAS_BP_E-43"/>
    <x v="1"/>
    <x v="2"/>
    <n v="17.5911111111111"/>
    <n v="4280.5037037037"/>
    <n v="15409.813333333301"/>
  </r>
  <r>
    <x v="0"/>
    <x v="0"/>
    <x v="0"/>
    <x v="0"/>
    <x v="0"/>
    <x v="7"/>
    <x v="3"/>
    <x v="0"/>
    <x v="0"/>
    <s v="GNR_ENG_NGAS_BP_E-44"/>
    <x v="0"/>
    <x v="3"/>
    <n v="14.6222222222222"/>
    <n v="3558.0740740740698"/>
    <n v="12809.0666666667"/>
  </r>
  <r>
    <x v="0"/>
    <x v="0"/>
    <x v="0"/>
    <x v="0"/>
    <x v="0"/>
    <x v="7"/>
    <x v="3"/>
    <x v="0"/>
    <x v="0"/>
    <s v="GNR_ENG_NGAS_BP_E-44"/>
    <x v="0"/>
    <x v="4"/>
    <n v="14.6222222222222"/>
    <n v="3558.0740740740698"/>
    <n v="12809.0666666667"/>
  </r>
  <r>
    <x v="0"/>
    <x v="0"/>
    <x v="0"/>
    <x v="0"/>
    <x v="0"/>
    <x v="7"/>
    <x v="3"/>
    <x v="0"/>
    <x v="0"/>
    <s v="GNR_ENG_NGAS_BP_E-44"/>
    <x v="0"/>
    <x v="8"/>
    <n v="14.6222222222222"/>
    <n v="3558.0740740740698"/>
    <n v="12809.0666666667"/>
  </r>
  <r>
    <x v="0"/>
    <x v="0"/>
    <x v="0"/>
    <x v="0"/>
    <x v="0"/>
    <x v="7"/>
    <x v="3"/>
    <x v="0"/>
    <x v="0"/>
    <s v="GNR_ENG_NGAS_BP_E-44"/>
    <x v="0"/>
    <x v="0"/>
    <n v="14.6222222222222"/>
    <n v="3558.0740740740698"/>
    <n v="12809.0666666667"/>
  </r>
  <r>
    <x v="0"/>
    <x v="0"/>
    <x v="0"/>
    <x v="0"/>
    <x v="0"/>
    <x v="7"/>
    <x v="3"/>
    <x v="0"/>
    <x v="0"/>
    <s v="GNR_ENG_NGAS_BP_E-44"/>
    <x v="0"/>
    <x v="1"/>
    <n v="14.6222222222222"/>
    <n v="3558.0740740740698"/>
    <n v="12809.0666666667"/>
  </r>
  <r>
    <x v="0"/>
    <x v="0"/>
    <x v="0"/>
    <x v="0"/>
    <x v="0"/>
    <x v="7"/>
    <x v="3"/>
    <x v="0"/>
    <x v="0"/>
    <s v="GNR_ENG_NGAS_BP_E-44"/>
    <x v="0"/>
    <x v="2"/>
    <n v="14.6222222222222"/>
    <n v="3558.0740740740698"/>
    <n v="12809.0666666667"/>
  </r>
  <r>
    <x v="0"/>
    <x v="0"/>
    <x v="0"/>
    <x v="0"/>
    <x v="0"/>
    <x v="7"/>
    <x v="3"/>
    <x v="0"/>
    <x v="0"/>
    <s v="GNR_ENG_NGAS_BP_E-44"/>
    <x v="0"/>
    <x v="9"/>
    <n v="14.6222222222222"/>
    <n v="3558.0740740740698"/>
    <n v="12809.0666666667"/>
  </r>
  <r>
    <x v="0"/>
    <x v="0"/>
    <x v="0"/>
    <x v="0"/>
    <x v="0"/>
    <x v="7"/>
    <x v="3"/>
    <x v="0"/>
    <x v="0"/>
    <s v="GNR_ENG_NGAS_BP_E-44"/>
    <x v="0"/>
    <x v="10"/>
    <n v="14.6222222222222"/>
    <n v="3558.0740740740698"/>
    <n v="12809.0666666667"/>
  </r>
  <r>
    <x v="0"/>
    <x v="0"/>
    <x v="0"/>
    <x v="0"/>
    <x v="0"/>
    <x v="7"/>
    <x v="3"/>
    <x v="0"/>
    <x v="0"/>
    <s v="GNR_ENG_NGAS_BP_E-44"/>
    <x v="0"/>
    <x v="11"/>
    <n v="14.6222222222222"/>
    <n v="3558.0740740740698"/>
    <n v="12809.0666666667"/>
  </r>
  <r>
    <x v="0"/>
    <x v="0"/>
    <x v="0"/>
    <x v="0"/>
    <x v="0"/>
    <x v="7"/>
    <x v="3"/>
    <x v="0"/>
    <x v="0"/>
    <s v="GNR_ENG_NGAS_BP_E-44"/>
    <x v="2"/>
    <x v="3"/>
    <n v="14.6222222222222"/>
    <n v="3558.0740740740698"/>
    <n v="12809.0666666667"/>
  </r>
  <r>
    <x v="0"/>
    <x v="0"/>
    <x v="0"/>
    <x v="0"/>
    <x v="0"/>
    <x v="7"/>
    <x v="3"/>
    <x v="0"/>
    <x v="0"/>
    <s v="GNR_ENG_NGAS_BP_E-44"/>
    <x v="2"/>
    <x v="6"/>
    <n v="14.6222222222222"/>
    <n v="3558.0740740740698"/>
    <n v="12809.0666666667"/>
  </r>
  <r>
    <x v="0"/>
    <x v="0"/>
    <x v="0"/>
    <x v="0"/>
    <x v="0"/>
    <x v="7"/>
    <x v="3"/>
    <x v="0"/>
    <x v="0"/>
    <s v="GNR_ENG_NGAS_BP_E-44"/>
    <x v="2"/>
    <x v="4"/>
    <n v="14.6222222222222"/>
    <n v="3558.0740740740698"/>
    <n v="12809.0666666667"/>
  </r>
  <r>
    <x v="0"/>
    <x v="0"/>
    <x v="0"/>
    <x v="0"/>
    <x v="0"/>
    <x v="7"/>
    <x v="3"/>
    <x v="0"/>
    <x v="0"/>
    <s v="GNR_ENG_NGAS_BP_E-44"/>
    <x v="2"/>
    <x v="1"/>
    <n v="14.6222222222222"/>
    <n v="3558.0740740740698"/>
    <n v="12809.0666666667"/>
  </r>
  <r>
    <x v="0"/>
    <x v="0"/>
    <x v="0"/>
    <x v="0"/>
    <x v="0"/>
    <x v="7"/>
    <x v="3"/>
    <x v="0"/>
    <x v="0"/>
    <s v="GNR_ENG_NGAS_BP_E-44"/>
    <x v="2"/>
    <x v="2"/>
    <n v="14.6222222222222"/>
    <n v="3558.0740740740698"/>
    <n v="12809.0666666667"/>
  </r>
  <r>
    <x v="0"/>
    <x v="0"/>
    <x v="0"/>
    <x v="0"/>
    <x v="0"/>
    <x v="7"/>
    <x v="3"/>
    <x v="0"/>
    <x v="0"/>
    <s v="GNR_ENG_NGAS_BP_E-44"/>
    <x v="2"/>
    <x v="10"/>
    <n v="14.6222222222222"/>
    <n v="3558.0740740740698"/>
    <n v="12809.0666666667"/>
  </r>
  <r>
    <x v="0"/>
    <x v="0"/>
    <x v="0"/>
    <x v="0"/>
    <x v="0"/>
    <x v="7"/>
    <x v="3"/>
    <x v="0"/>
    <x v="0"/>
    <s v="GNR_ENG_NGAS_BP_E-44"/>
    <x v="1"/>
    <x v="3"/>
    <n v="14.6222222222222"/>
    <n v="3558.0740740740698"/>
    <n v="12809.0666666667"/>
  </r>
  <r>
    <x v="0"/>
    <x v="0"/>
    <x v="0"/>
    <x v="0"/>
    <x v="0"/>
    <x v="7"/>
    <x v="3"/>
    <x v="0"/>
    <x v="0"/>
    <s v="GNR_ENG_NGAS_BP_E-44"/>
    <x v="1"/>
    <x v="6"/>
    <n v="14.6222222222222"/>
    <n v="3558.0740740740698"/>
    <n v="12809.0666666667"/>
  </r>
  <r>
    <x v="0"/>
    <x v="0"/>
    <x v="0"/>
    <x v="0"/>
    <x v="0"/>
    <x v="7"/>
    <x v="3"/>
    <x v="0"/>
    <x v="0"/>
    <s v="GNR_ENG_NGAS_BP_E-44"/>
    <x v="1"/>
    <x v="4"/>
    <n v="14.6222222222222"/>
    <n v="3558.0740740740698"/>
    <n v="12809.0666666667"/>
  </r>
  <r>
    <x v="0"/>
    <x v="0"/>
    <x v="0"/>
    <x v="0"/>
    <x v="0"/>
    <x v="7"/>
    <x v="3"/>
    <x v="0"/>
    <x v="0"/>
    <s v="GNR_ENG_NGAS_BP_E-44"/>
    <x v="1"/>
    <x v="7"/>
    <n v="14.6222222222222"/>
    <n v="3558.0740740740698"/>
    <n v="12809.0666666667"/>
  </r>
  <r>
    <x v="0"/>
    <x v="0"/>
    <x v="0"/>
    <x v="0"/>
    <x v="0"/>
    <x v="7"/>
    <x v="3"/>
    <x v="0"/>
    <x v="0"/>
    <s v="GNR_ENG_NGAS_BP_E-44"/>
    <x v="1"/>
    <x v="8"/>
    <n v="14.6222222222222"/>
    <n v="3558.0740740740698"/>
    <n v="12809.0666666667"/>
  </r>
  <r>
    <x v="0"/>
    <x v="0"/>
    <x v="0"/>
    <x v="0"/>
    <x v="0"/>
    <x v="7"/>
    <x v="3"/>
    <x v="0"/>
    <x v="0"/>
    <s v="GNR_ENG_NGAS_BP_E-44"/>
    <x v="1"/>
    <x v="0"/>
    <n v="14.6222222222222"/>
    <n v="3558.0740740740698"/>
    <n v="12809.0666666667"/>
  </r>
  <r>
    <x v="0"/>
    <x v="0"/>
    <x v="0"/>
    <x v="0"/>
    <x v="0"/>
    <x v="7"/>
    <x v="3"/>
    <x v="0"/>
    <x v="0"/>
    <s v="GNR_ENG_NGAS_BP_E-44"/>
    <x v="1"/>
    <x v="1"/>
    <n v="14.6222222222222"/>
    <n v="3558.0740740740698"/>
    <n v="12809.0666666667"/>
  </r>
  <r>
    <x v="0"/>
    <x v="0"/>
    <x v="0"/>
    <x v="0"/>
    <x v="0"/>
    <x v="7"/>
    <x v="3"/>
    <x v="0"/>
    <x v="0"/>
    <s v="GNR_ENG_NGAS_BP_E-44"/>
    <x v="1"/>
    <x v="2"/>
    <n v="14.6222222222222"/>
    <n v="3558.0740740740698"/>
    <n v="12809.0666666667"/>
  </r>
  <r>
    <x v="0"/>
    <x v="0"/>
    <x v="0"/>
    <x v="0"/>
    <x v="0"/>
    <x v="7"/>
    <x v="3"/>
    <x v="0"/>
    <x v="0"/>
    <s v="GNR_ENG_NGAS_BP_E-45"/>
    <x v="0"/>
    <x v="3"/>
    <n v="5.6666666666666696"/>
    <n v="1378.8888888888901"/>
    <n v="4964"/>
  </r>
  <r>
    <x v="0"/>
    <x v="0"/>
    <x v="0"/>
    <x v="0"/>
    <x v="0"/>
    <x v="7"/>
    <x v="3"/>
    <x v="0"/>
    <x v="0"/>
    <s v="GNR_ENG_NGAS_BP_E-45"/>
    <x v="0"/>
    <x v="4"/>
    <n v="5.6666666666666696"/>
    <n v="1378.8888888888901"/>
    <n v="4964"/>
  </r>
  <r>
    <x v="0"/>
    <x v="0"/>
    <x v="0"/>
    <x v="0"/>
    <x v="0"/>
    <x v="7"/>
    <x v="3"/>
    <x v="0"/>
    <x v="0"/>
    <s v="GNR_ENG_NGAS_BP_E-45"/>
    <x v="0"/>
    <x v="8"/>
    <n v="5.6666666666666696"/>
    <n v="1378.8888888888901"/>
    <n v="4964"/>
  </r>
  <r>
    <x v="0"/>
    <x v="0"/>
    <x v="0"/>
    <x v="0"/>
    <x v="0"/>
    <x v="7"/>
    <x v="3"/>
    <x v="0"/>
    <x v="0"/>
    <s v="GNR_ENG_NGAS_BP_E-45"/>
    <x v="0"/>
    <x v="0"/>
    <n v="5.6666666666666696"/>
    <n v="1378.8888888888901"/>
    <n v="4964"/>
  </r>
  <r>
    <x v="0"/>
    <x v="0"/>
    <x v="0"/>
    <x v="0"/>
    <x v="0"/>
    <x v="7"/>
    <x v="3"/>
    <x v="0"/>
    <x v="0"/>
    <s v="GNR_ENG_NGAS_BP_E-45"/>
    <x v="0"/>
    <x v="1"/>
    <n v="5.6666666666666696"/>
    <n v="1378.8888888888901"/>
    <n v="4964"/>
  </r>
  <r>
    <x v="0"/>
    <x v="0"/>
    <x v="0"/>
    <x v="0"/>
    <x v="0"/>
    <x v="7"/>
    <x v="3"/>
    <x v="0"/>
    <x v="0"/>
    <s v="GNR_ENG_NGAS_BP_E-45"/>
    <x v="0"/>
    <x v="2"/>
    <n v="5.6666666666666696"/>
    <n v="1378.8888888888901"/>
    <n v="4964"/>
  </r>
  <r>
    <x v="0"/>
    <x v="0"/>
    <x v="0"/>
    <x v="0"/>
    <x v="0"/>
    <x v="7"/>
    <x v="3"/>
    <x v="0"/>
    <x v="0"/>
    <s v="GNR_ENG_NGAS_BP_E-45"/>
    <x v="0"/>
    <x v="9"/>
    <n v="5.6666666666666696"/>
    <n v="1378.8888888888901"/>
    <n v="4964"/>
  </r>
  <r>
    <x v="0"/>
    <x v="0"/>
    <x v="0"/>
    <x v="0"/>
    <x v="0"/>
    <x v="7"/>
    <x v="3"/>
    <x v="0"/>
    <x v="0"/>
    <s v="GNR_ENG_NGAS_BP_E-45"/>
    <x v="0"/>
    <x v="10"/>
    <n v="5.6666666666666696"/>
    <n v="1378.8888888888901"/>
    <n v="4964"/>
  </r>
  <r>
    <x v="0"/>
    <x v="0"/>
    <x v="0"/>
    <x v="0"/>
    <x v="0"/>
    <x v="7"/>
    <x v="3"/>
    <x v="0"/>
    <x v="0"/>
    <s v="GNR_ENG_NGAS_BP_E-45"/>
    <x v="0"/>
    <x v="11"/>
    <n v="5.6666666666666696"/>
    <n v="1378.8888888888901"/>
    <n v="4964"/>
  </r>
  <r>
    <x v="0"/>
    <x v="0"/>
    <x v="0"/>
    <x v="0"/>
    <x v="0"/>
    <x v="7"/>
    <x v="3"/>
    <x v="0"/>
    <x v="0"/>
    <s v="GNR_ENG_NGAS_BP_E-45"/>
    <x v="2"/>
    <x v="3"/>
    <n v="5.6666666666666696"/>
    <n v="1378.8888888888901"/>
    <n v="4964"/>
  </r>
  <r>
    <x v="0"/>
    <x v="0"/>
    <x v="0"/>
    <x v="0"/>
    <x v="0"/>
    <x v="7"/>
    <x v="3"/>
    <x v="0"/>
    <x v="0"/>
    <s v="GNR_ENG_NGAS_BP_E-45"/>
    <x v="2"/>
    <x v="6"/>
    <n v="5.6666666666666696"/>
    <n v="1378.8888888888901"/>
    <n v="4964"/>
  </r>
  <r>
    <x v="0"/>
    <x v="0"/>
    <x v="0"/>
    <x v="0"/>
    <x v="0"/>
    <x v="7"/>
    <x v="3"/>
    <x v="0"/>
    <x v="0"/>
    <s v="GNR_ENG_NGAS_BP_E-45"/>
    <x v="2"/>
    <x v="4"/>
    <n v="5.6666666666666696"/>
    <n v="1378.8888888888901"/>
    <n v="4964"/>
  </r>
  <r>
    <x v="0"/>
    <x v="0"/>
    <x v="0"/>
    <x v="0"/>
    <x v="0"/>
    <x v="7"/>
    <x v="3"/>
    <x v="0"/>
    <x v="0"/>
    <s v="GNR_ENG_NGAS_BP_E-45"/>
    <x v="2"/>
    <x v="1"/>
    <n v="5.6666666666666696"/>
    <n v="1378.8888888888901"/>
    <n v="4964"/>
  </r>
  <r>
    <x v="0"/>
    <x v="0"/>
    <x v="0"/>
    <x v="0"/>
    <x v="0"/>
    <x v="7"/>
    <x v="3"/>
    <x v="0"/>
    <x v="0"/>
    <s v="GNR_ENG_NGAS_BP_E-45"/>
    <x v="2"/>
    <x v="2"/>
    <n v="5.6666666666666696"/>
    <n v="1378.8888888888901"/>
    <n v="4964"/>
  </r>
  <r>
    <x v="0"/>
    <x v="0"/>
    <x v="0"/>
    <x v="0"/>
    <x v="0"/>
    <x v="7"/>
    <x v="3"/>
    <x v="0"/>
    <x v="0"/>
    <s v="GNR_ENG_NGAS_BP_E-45"/>
    <x v="2"/>
    <x v="10"/>
    <n v="5.6666666666666696"/>
    <n v="1378.8888888888901"/>
    <n v="4964"/>
  </r>
  <r>
    <x v="0"/>
    <x v="0"/>
    <x v="0"/>
    <x v="0"/>
    <x v="0"/>
    <x v="7"/>
    <x v="3"/>
    <x v="0"/>
    <x v="0"/>
    <s v="GNR_ENG_NGAS_BP_E-45"/>
    <x v="1"/>
    <x v="3"/>
    <n v="5.6666666666666696"/>
    <n v="1378.8888888888901"/>
    <n v="4964"/>
  </r>
  <r>
    <x v="0"/>
    <x v="0"/>
    <x v="0"/>
    <x v="0"/>
    <x v="0"/>
    <x v="7"/>
    <x v="3"/>
    <x v="0"/>
    <x v="0"/>
    <s v="GNR_ENG_NGAS_BP_E-45"/>
    <x v="1"/>
    <x v="6"/>
    <n v="5.6666666666666696"/>
    <n v="1378.8888888888901"/>
    <n v="4964"/>
  </r>
  <r>
    <x v="0"/>
    <x v="0"/>
    <x v="0"/>
    <x v="0"/>
    <x v="0"/>
    <x v="7"/>
    <x v="3"/>
    <x v="0"/>
    <x v="0"/>
    <s v="GNR_ENG_NGAS_BP_E-45"/>
    <x v="1"/>
    <x v="4"/>
    <n v="5.6666666666666696"/>
    <n v="1378.8888888888901"/>
    <n v="4964"/>
  </r>
  <r>
    <x v="0"/>
    <x v="0"/>
    <x v="0"/>
    <x v="0"/>
    <x v="0"/>
    <x v="7"/>
    <x v="3"/>
    <x v="0"/>
    <x v="0"/>
    <s v="GNR_ENG_NGAS_BP_E-45"/>
    <x v="1"/>
    <x v="7"/>
    <n v="5.6666666666666696"/>
    <n v="1378.8888888888901"/>
    <n v="4964"/>
  </r>
  <r>
    <x v="0"/>
    <x v="0"/>
    <x v="0"/>
    <x v="0"/>
    <x v="0"/>
    <x v="7"/>
    <x v="3"/>
    <x v="0"/>
    <x v="0"/>
    <s v="GNR_ENG_NGAS_BP_E-45"/>
    <x v="1"/>
    <x v="8"/>
    <n v="5.6666666666666696"/>
    <n v="1378.8888888888901"/>
    <n v="4964"/>
  </r>
  <r>
    <x v="0"/>
    <x v="0"/>
    <x v="0"/>
    <x v="0"/>
    <x v="0"/>
    <x v="7"/>
    <x v="3"/>
    <x v="0"/>
    <x v="0"/>
    <s v="GNR_ENG_NGAS_BP_E-45"/>
    <x v="1"/>
    <x v="0"/>
    <n v="5.6666666666666696"/>
    <n v="1378.8888888888901"/>
    <n v="4964"/>
  </r>
  <r>
    <x v="0"/>
    <x v="0"/>
    <x v="0"/>
    <x v="0"/>
    <x v="0"/>
    <x v="7"/>
    <x v="3"/>
    <x v="0"/>
    <x v="0"/>
    <s v="GNR_ENG_NGAS_BP_E-45"/>
    <x v="1"/>
    <x v="1"/>
    <n v="5.6666666666666696"/>
    <n v="1378.8888888888901"/>
    <n v="4964"/>
  </r>
  <r>
    <x v="0"/>
    <x v="0"/>
    <x v="0"/>
    <x v="0"/>
    <x v="0"/>
    <x v="7"/>
    <x v="3"/>
    <x v="0"/>
    <x v="0"/>
    <s v="GNR_ENG_NGAS_BP_E-45"/>
    <x v="1"/>
    <x v="2"/>
    <n v="5.6666666666666696"/>
    <n v="1378.8888888888901"/>
    <n v="4964"/>
  </r>
  <r>
    <x v="0"/>
    <x v="0"/>
    <x v="0"/>
    <x v="0"/>
    <x v="0"/>
    <x v="7"/>
    <x v="3"/>
    <x v="0"/>
    <x v="0"/>
    <s v="GNR_ENG_NGAS_BP_E-45"/>
    <x v="1"/>
    <x v="9"/>
    <n v="5.6666666666666696"/>
    <n v="1378.8888888888901"/>
    <n v="4964"/>
  </r>
  <r>
    <x v="0"/>
    <x v="0"/>
    <x v="0"/>
    <x v="0"/>
    <x v="0"/>
    <x v="7"/>
    <x v="3"/>
    <x v="0"/>
    <x v="0"/>
    <s v="GNR_ENG_NGAS_BP_E-46"/>
    <x v="0"/>
    <x v="3"/>
    <n v="2.0222222222222199"/>
    <n v="492.07407407407402"/>
    <n v="1771.4666666666701"/>
  </r>
  <r>
    <x v="0"/>
    <x v="0"/>
    <x v="0"/>
    <x v="0"/>
    <x v="0"/>
    <x v="7"/>
    <x v="3"/>
    <x v="0"/>
    <x v="0"/>
    <s v="GNR_ENG_NGAS_BP_E-46"/>
    <x v="0"/>
    <x v="4"/>
    <n v="2.0222222222222199"/>
    <n v="492.07407407407402"/>
    <n v="1771.4666666666701"/>
  </r>
  <r>
    <x v="0"/>
    <x v="0"/>
    <x v="0"/>
    <x v="0"/>
    <x v="0"/>
    <x v="7"/>
    <x v="3"/>
    <x v="0"/>
    <x v="0"/>
    <s v="GNR_ENG_NGAS_BP_E-46"/>
    <x v="0"/>
    <x v="8"/>
    <n v="2.0222222222222199"/>
    <n v="492.07407407407402"/>
    <n v="1771.4666666666701"/>
  </r>
  <r>
    <x v="0"/>
    <x v="0"/>
    <x v="0"/>
    <x v="0"/>
    <x v="0"/>
    <x v="7"/>
    <x v="3"/>
    <x v="0"/>
    <x v="0"/>
    <s v="GNR_ENG_NGAS_BP_E-46"/>
    <x v="0"/>
    <x v="0"/>
    <n v="2.0222222222222199"/>
    <n v="492.07407407407402"/>
    <n v="1771.4666666666701"/>
  </r>
  <r>
    <x v="0"/>
    <x v="0"/>
    <x v="0"/>
    <x v="0"/>
    <x v="0"/>
    <x v="7"/>
    <x v="3"/>
    <x v="0"/>
    <x v="0"/>
    <s v="GNR_ENG_NGAS_BP_E-46"/>
    <x v="0"/>
    <x v="1"/>
    <n v="2.0222222222222199"/>
    <n v="492.07407407407402"/>
    <n v="1771.4666666666701"/>
  </r>
  <r>
    <x v="0"/>
    <x v="0"/>
    <x v="0"/>
    <x v="0"/>
    <x v="0"/>
    <x v="7"/>
    <x v="3"/>
    <x v="0"/>
    <x v="0"/>
    <s v="GNR_ENG_NGAS_BP_E-46"/>
    <x v="0"/>
    <x v="2"/>
    <n v="2.0222222222222199"/>
    <n v="492.07407407407402"/>
    <n v="1771.4666666666701"/>
  </r>
  <r>
    <x v="0"/>
    <x v="0"/>
    <x v="0"/>
    <x v="0"/>
    <x v="0"/>
    <x v="7"/>
    <x v="3"/>
    <x v="0"/>
    <x v="0"/>
    <s v="GNR_ENG_NGAS_BP_E-46"/>
    <x v="0"/>
    <x v="9"/>
    <n v="2.0222222222222199"/>
    <n v="492.07407407407402"/>
    <n v="1771.4666666666701"/>
  </r>
  <r>
    <x v="0"/>
    <x v="0"/>
    <x v="0"/>
    <x v="0"/>
    <x v="0"/>
    <x v="7"/>
    <x v="3"/>
    <x v="0"/>
    <x v="0"/>
    <s v="GNR_ENG_NGAS_BP_E-46"/>
    <x v="0"/>
    <x v="10"/>
    <n v="2.0222222222222199"/>
    <n v="492.07407407407402"/>
    <n v="1771.4666666666701"/>
  </r>
  <r>
    <x v="0"/>
    <x v="0"/>
    <x v="0"/>
    <x v="0"/>
    <x v="0"/>
    <x v="7"/>
    <x v="3"/>
    <x v="0"/>
    <x v="0"/>
    <s v="GNR_ENG_NGAS_BP_E-46"/>
    <x v="0"/>
    <x v="11"/>
    <n v="2.0222222222222199"/>
    <n v="492.07407407407402"/>
    <n v="1771.4666666666701"/>
  </r>
  <r>
    <x v="0"/>
    <x v="0"/>
    <x v="0"/>
    <x v="0"/>
    <x v="0"/>
    <x v="7"/>
    <x v="3"/>
    <x v="0"/>
    <x v="0"/>
    <s v="GNR_ENG_NGAS_BP_E-46"/>
    <x v="2"/>
    <x v="3"/>
    <n v="2.0222222222222199"/>
    <n v="492.07407407407402"/>
    <n v="1771.4666666666701"/>
  </r>
  <r>
    <x v="0"/>
    <x v="0"/>
    <x v="0"/>
    <x v="0"/>
    <x v="0"/>
    <x v="7"/>
    <x v="3"/>
    <x v="0"/>
    <x v="0"/>
    <s v="GNR_ENG_NGAS_BP_E-46"/>
    <x v="2"/>
    <x v="6"/>
    <n v="2.0222222222222199"/>
    <n v="492.07407407407402"/>
    <n v="1771.4666666666701"/>
  </r>
  <r>
    <x v="0"/>
    <x v="0"/>
    <x v="0"/>
    <x v="0"/>
    <x v="0"/>
    <x v="7"/>
    <x v="3"/>
    <x v="0"/>
    <x v="0"/>
    <s v="GNR_ENG_NGAS_BP_E-46"/>
    <x v="2"/>
    <x v="4"/>
    <n v="2.0222222222222199"/>
    <n v="492.07407407407402"/>
    <n v="1771.4666666666701"/>
  </r>
  <r>
    <x v="0"/>
    <x v="0"/>
    <x v="0"/>
    <x v="0"/>
    <x v="0"/>
    <x v="7"/>
    <x v="3"/>
    <x v="0"/>
    <x v="0"/>
    <s v="GNR_ENG_NGAS_BP_E-46"/>
    <x v="2"/>
    <x v="1"/>
    <n v="2.0222222222222199"/>
    <n v="492.07407407407402"/>
    <n v="1771.4666666666701"/>
  </r>
  <r>
    <x v="0"/>
    <x v="0"/>
    <x v="0"/>
    <x v="0"/>
    <x v="0"/>
    <x v="7"/>
    <x v="3"/>
    <x v="0"/>
    <x v="0"/>
    <s v="GNR_ENG_NGAS_BP_E-46"/>
    <x v="2"/>
    <x v="2"/>
    <n v="2.0222222222222199"/>
    <n v="492.07407407407402"/>
    <n v="1771.4666666666701"/>
  </r>
  <r>
    <x v="0"/>
    <x v="0"/>
    <x v="0"/>
    <x v="0"/>
    <x v="0"/>
    <x v="7"/>
    <x v="3"/>
    <x v="0"/>
    <x v="0"/>
    <s v="GNR_ENG_NGAS_BP_E-46"/>
    <x v="2"/>
    <x v="10"/>
    <n v="2.0222222222222199"/>
    <n v="492.07407407407402"/>
    <n v="1771.4666666666701"/>
  </r>
  <r>
    <x v="0"/>
    <x v="0"/>
    <x v="0"/>
    <x v="0"/>
    <x v="0"/>
    <x v="7"/>
    <x v="3"/>
    <x v="0"/>
    <x v="0"/>
    <s v="GNR_ENG_NGAS_BP_E-46"/>
    <x v="1"/>
    <x v="3"/>
    <n v="2.0222222222222199"/>
    <n v="492.07407407407402"/>
    <n v="1771.4666666666701"/>
  </r>
  <r>
    <x v="0"/>
    <x v="0"/>
    <x v="0"/>
    <x v="0"/>
    <x v="0"/>
    <x v="7"/>
    <x v="3"/>
    <x v="0"/>
    <x v="0"/>
    <s v="GNR_ENG_NGAS_BP_E-46"/>
    <x v="1"/>
    <x v="6"/>
    <n v="2.0222222222222199"/>
    <n v="492.07407407407402"/>
    <n v="1771.4666666666701"/>
  </r>
  <r>
    <x v="0"/>
    <x v="0"/>
    <x v="0"/>
    <x v="0"/>
    <x v="0"/>
    <x v="7"/>
    <x v="3"/>
    <x v="0"/>
    <x v="0"/>
    <s v="GNR_ENG_NGAS_BP_E-46"/>
    <x v="1"/>
    <x v="4"/>
    <n v="2.0222222222222199"/>
    <n v="492.07407407407402"/>
    <n v="1771.4666666666701"/>
  </r>
  <r>
    <x v="0"/>
    <x v="0"/>
    <x v="0"/>
    <x v="0"/>
    <x v="0"/>
    <x v="7"/>
    <x v="3"/>
    <x v="0"/>
    <x v="0"/>
    <s v="GNR_ENG_NGAS_BP_E-46"/>
    <x v="1"/>
    <x v="7"/>
    <n v="2.0222222222222199"/>
    <n v="492.07407407407402"/>
    <n v="1771.4666666666701"/>
  </r>
  <r>
    <x v="0"/>
    <x v="0"/>
    <x v="0"/>
    <x v="0"/>
    <x v="0"/>
    <x v="7"/>
    <x v="3"/>
    <x v="0"/>
    <x v="0"/>
    <s v="GNR_ENG_NGAS_BP_E-46"/>
    <x v="1"/>
    <x v="8"/>
    <n v="2.0222222222222199"/>
    <n v="492.07407407407402"/>
    <n v="1771.4666666666701"/>
  </r>
  <r>
    <x v="0"/>
    <x v="0"/>
    <x v="0"/>
    <x v="0"/>
    <x v="0"/>
    <x v="7"/>
    <x v="3"/>
    <x v="0"/>
    <x v="0"/>
    <s v="GNR_ENG_NGAS_BP_E-46"/>
    <x v="1"/>
    <x v="0"/>
    <n v="2.0222222222222199"/>
    <n v="492.07407407407402"/>
    <n v="1771.4666666666701"/>
  </r>
  <r>
    <x v="0"/>
    <x v="0"/>
    <x v="0"/>
    <x v="0"/>
    <x v="0"/>
    <x v="7"/>
    <x v="3"/>
    <x v="0"/>
    <x v="0"/>
    <s v="GNR_ENG_NGAS_BP_E-46"/>
    <x v="1"/>
    <x v="1"/>
    <n v="2.0222222222222199"/>
    <n v="492.07407407407402"/>
    <n v="1771.4666666666701"/>
  </r>
  <r>
    <x v="0"/>
    <x v="0"/>
    <x v="0"/>
    <x v="0"/>
    <x v="0"/>
    <x v="7"/>
    <x v="3"/>
    <x v="0"/>
    <x v="0"/>
    <s v="GNR_ENG_NGAS_BP_E-46"/>
    <x v="1"/>
    <x v="2"/>
    <n v="2.0222222222222199"/>
    <n v="492.07407407407402"/>
    <n v="1771.4666666666701"/>
  </r>
  <r>
    <x v="0"/>
    <x v="0"/>
    <x v="0"/>
    <x v="0"/>
    <x v="0"/>
    <x v="7"/>
    <x v="3"/>
    <x v="0"/>
    <x v="0"/>
    <s v="GNR_ENG_NGAS_BP_E-46"/>
    <x v="1"/>
    <x v="9"/>
    <n v="2.0222222222222199"/>
    <n v="492.07407407407402"/>
    <n v="1771.4666666666701"/>
  </r>
  <r>
    <x v="0"/>
    <x v="0"/>
    <x v="0"/>
    <x v="0"/>
    <x v="0"/>
    <x v="7"/>
    <x v="4"/>
    <x v="2"/>
    <x v="3"/>
    <s v="GNR_BO_STRW_E-100"/>
    <x v="0"/>
    <x v="5"/>
    <n v="84.42"/>
    <n v="20542.2"/>
    <n v="73951.92"/>
  </r>
  <r>
    <x v="0"/>
    <x v="0"/>
    <x v="0"/>
    <x v="0"/>
    <x v="0"/>
    <x v="7"/>
    <x v="4"/>
    <x v="2"/>
    <x v="3"/>
    <s v="GNR_BO_STRW_E-100"/>
    <x v="0"/>
    <x v="3"/>
    <n v="84.42"/>
    <n v="20542.2"/>
    <n v="73951.92"/>
  </r>
  <r>
    <x v="0"/>
    <x v="0"/>
    <x v="0"/>
    <x v="0"/>
    <x v="0"/>
    <x v="7"/>
    <x v="4"/>
    <x v="2"/>
    <x v="3"/>
    <s v="GNR_BO_STRW_E-100"/>
    <x v="0"/>
    <x v="6"/>
    <n v="84.42"/>
    <n v="20542.2"/>
    <n v="73951.92"/>
  </r>
  <r>
    <x v="0"/>
    <x v="0"/>
    <x v="0"/>
    <x v="0"/>
    <x v="0"/>
    <x v="7"/>
    <x v="4"/>
    <x v="2"/>
    <x v="3"/>
    <s v="GNR_BO_STRW_E-100"/>
    <x v="0"/>
    <x v="4"/>
    <n v="84.42"/>
    <n v="20542.2"/>
    <n v="73951.92"/>
  </r>
  <r>
    <x v="0"/>
    <x v="0"/>
    <x v="0"/>
    <x v="0"/>
    <x v="0"/>
    <x v="7"/>
    <x v="4"/>
    <x v="2"/>
    <x v="3"/>
    <s v="GNR_BO_STRW_E-100"/>
    <x v="0"/>
    <x v="7"/>
    <n v="84.42"/>
    <n v="20542.2"/>
    <n v="73951.92"/>
  </r>
  <r>
    <x v="0"/>
    <x v="0"/>
    <x v="0"/>
    <x v="0"/>
    <x v="0"/>
    <x v="7"/>
    <x v="4"/>
    <x v="2"/>
    <x v="3"/>
    <s v="GNR_BO_STRW_E-100"/>
    <x v="0"/>
    <x v="8"/>
    <n v="84.42"/>
    <n v="20542.2"/>
    <n v="73951.92"/>
  </r>
  <r>
    <x v="0"/>
    <x v="0"/>
    <x v="0"/>
    <x v="0"/>
    <x v="0"/>
    <x v="7"/>
    <x v="4"/>
    <x v="2"/>
    <x v="3"/>
    <s v="GNR_BO_STRW_E-100"/>
    <x v="0"/>
    <x v="0"/>
    <n v="84.42"/>
    <n v="20542.2"/>
    <n v="73951.92"/>
  </r>
  <r>
    <x v="0"/>
    <x v="0"/>
    <x v="0"/>
    <x v="0"/>
    <x v="0"/>
    <x v="7"/>
    <x v="4"/>
    <x v="2"/>
    <x v="3"/>
    <s v="GNR_BO_STRW_E-100"/>
    <x v="0"/>
    <x v="1"/>
    <n v="84.42"/>
    <n v="20542.2"/>
    <n v="73951.92"/>
  </r>
  <r>
    <x v="0"/>
    <x v="0"/>
    <x v="0"/>
    <x v="0"/>
    <x v="0"/>
    <x v="7"/>
    <x v="4"/>
    <x v="2"/>
    <x v="3"/>
    <s v="GNR_BO_STRW_E-100"/>
    <x v="0"/>
    <x v="2"/>
    <n v="84.42"/>
    <n v="20542.2"/>
    <n v="73951.92"/>
  </r>
  <r>
    <x v="0"/>
    <x v="0"/>
    <x v="0"/>
    <x v="0"/>
    <x v="0"/>
    <x v="7"/>
    <x v="4"/>
    <x v="2"/>
    <x v="3"/>
    <s v="GNR_BO_STRW_E-100"/>
    <x v="0"/>
    <x v="9"/>
    <n v="84.42"/>
    <n v="20542.2"/>
    <n v="73951.92"/>
  </r>
  <r>
    <x v="0"/>
    <x v="0"/>
    <x v="0"/>
    <x v="0"/>
    <x v="0"/>
    <x v="7"/>
    <x v="4"/>
    <x v="2"/>
    <x v="3"/>
    <s v="GNR_BO_STRW_E-100"/>
    <x v="0"/>
    <x v="10"/>
    <n v="84.42"/>
    <n v="20542.2"/>
    <n v="73951.92"/>
  </r>
  <r>
    <x v="0"/>
    <x v="0"/>
    <x v="0"/>
    <x v="0"/>
    <x v="0"/>
    <x v="7"/>
    <x v="4"/>
    <x v="2"/>
    <x v="3"/>
    <s v="GNR_BO_STRW_E-100"/>
    <x v="0"/>
    <x v="11"/>
    <n v="84.42"/>
    <n v="20542.2"/>
    <n v="73951.92"/>
  </r>
  <r>
    <x v="0"/>
    <x v="0"/>
    <x v="0"/>
    <x v="0"/>
    <x v="0"/>
    <x v="7"/>
    <x v="4"/>
    <x v="2"/>
    <x v="3"/>
    <s v="GNR_BO_STRW_E-100"/>
    <x v="2"/>
    <x v="5"/>
    <n v="84.42"/>
    <n v="20542.2"/>
    <n v="73951.92"/>
  </r>
  <r>
    <x v="0"/>
    <x v="0"/>
    <x v="0"/>
    <x v="0"/>
    <x v="0"/>
    <x v="7"/>
    <x v="4"/>
    <x v="2"/>
    <x v="3"/>
    <s v="GNR_BO_STRW_E-100"/>
    <x v="2"/>
    <x v="3"/>
    <n v="84.42"/>
    <n v="20542.2"/>
    <n v="73951.92"/>
  </r>
  <r>
    <x v="0"/>
    <x v="0"/>
    <x v="0"/>
    <x v="0"/>
    <x v="0"/>
    <x v="7"/>
    <x v="4"/>
    <x v="2"/>
    <x v="3"/>
    <s v="GNR_BO_STRW_E-100"/>
    <x v="2"/>
    <x v="6"/>
    <n v="84.42"/>
    <n v="20542.2"/>
    <n v="73951.92"/>
  </r>
  <r>
    <x v="0"/>
    <x v="0"/>
    <x v="0"/>
    <x v="0"/>
    <x v="0"/>
    <x v="7"/>
    <x v="4"/>
    <x v="2"/>
    <x v="3"/>
    <s v="GNR_BO_STRW_E-100"/>
    <x v="2"/>
    <x v="4"/>
    <n v="84.42"/>
    <n v="20542.2"/>
    <n v="73951.92"/>
  </r>
  <r>
    <x v="0"/>
    <x v="0"/>
    <x v="0"/>
    <x v="0"/>
    <x v="0"/>
    <x v="7"/>
    <x v="4"/>
    <x v="2"/>
    <x v="3"/>
    <s v="GNR_BO_STRW_E-100"/>
    <x v="2"/>
    <x v="7"/>
    <n v="84.42"/>
    <n v="20542.2"/>
    <n v="73951.92"/>
  </r>
  <r>
    <x v="0"/>
    <x v="0"/>
    <x v="0"/>
    <x v="0"/>
    <x v="0"/>
    <x v="7"/>
    <x v="4"/>
    <x v="2"/>
    <x v="3"/>
    <s v="GNR_BO_STRW_E-100"/>
    <x v="2"/>
    <x v="8"/>
    <n v="84.42"/>
    <n v="20542.2"/>
    <n v="73951.92"/>
  </r>
  <r>
    <x v="0"/>
    <x v="0"/>
    <x v="0"/>
    <x v="0"/>
    <x v="0"/>
    <x v="7"/>
    <x v="4"/>
    <x v="2"/>
    <x v="3"/>
    <s v="GNR_BO_STRW_E-100"/>
    <x v="2"/>
    <x v="0"/>
    <n v="84.42"/>
    <n v="20542.2"/>
    <n v="73951.92"/>
  </r>
  <r>
    <x v="0"/>
    <x v="0"/>
    <x v="0"/>
    <x v="0"/>
    <x v="0"/>
    <x v="7"/>
    <x v="4"/>
    <x v="2"/>
    <x v="3"/>
    <s v="GNR_BO_STRW_E-100"/>
    <x v="2"/>
    <x v="1"/>
    <n v="84.42"/>
    <n v="20542.2"/>
    <n v="73951.92"/>
  </r>
  <r>
    <x v="0"/>
    <x v="0"/>
    <x v="0"/>
    <x v="0"/>
    <x v="0"/>
    <x v="7"/>
    <x v="4"/>
    <x v="2"/>
    <x v="3"/>
    <s v="GNR_BO_STRW_E-100"/>
    <x v="2"/>
    <x v="2"/>
    <n v="84.42"/>
    <n v="20542.2"/>
    <n v="73951.92"/>
  </r>
  <r>
    <x v="0"/>
    <x v="0"/>
    <x v="0"/>
    <x v="0"/>
    <x v="0"/>
    <x v="7"/>
    <x v="4"/>
    <x v="2"/>
    <x v="3"/>
    <s v="GNR_BO_STRW_E-100"/>
    <x v="2"/>
    <x v="9"/>
    <n v="84.42"/>
    <n v="20542.2"/>
    <n v="73951.92"/>
  </r>
  <r>
    <x v="0"/>
    <x v="0"/>
    <x v="0"/>
    <x v="0"/>
    <x v="0"/>
    <x v="7"/>
    <x v="4"/>
    <x v="2"/>
    <x v="3"/>
    <s v="GNR_BO_STRW_E-100"/>
    <x v="2"/>
    <x v="10"/>
    <n v="84.42"/>
    <n v="20542.2"/>
    <n v="73951.92"/>
  </r>
  <r>
    <x v="0"/>
    <x v="0"/>
    <x v="0"/>
    <x v="0"/>
    <x v="0"/>
    <x v="7"/>
    <x v="4"/>
    <x v="2"/>
    <x v="3"/>
    <s v="GNR_BO_STRW_E-100"/>
    <x v="2"/>
    <x v="11"/>
    <n v="84.42"/>
    <n v="20542.2"/>
    <n v="73951.92"/>
  </r>
  <r>
    <x v="0"/>
    <x v="0"/>
    <x v="0"/>
    <x v="0"/>
    <x v="0"/>
    <x v="7"/>
    <x v="4"/>
    <x v="2"/>
    <x v="3"/>
    <s v="GNR_BO_STRW_E-100"/>
    <x v="1"/>
    <x v="5"/>
    <n v="84.42"/>
    <n v="20542.2"/>
    <n v="73951.92"/>
  </r>
  <r>
    <x v="0"/>
    <x v="0"/>
    <x v="0"/>
    <x v="0"/>
    <x v="0"/>
    <x v="7"/>
    <x v="4"/>
    <x v="2"/>
    <x v="3"/>
    <s v="GNR_BO_STRW_E-100"/>
    <x v="1"/>
    <x v="3"/>
    <n v="84.42"/>
    <n v="20542.2"/>
    <n v="73951.92"/>
  </r>
  <r>
    <x v="0"/>
    <x v="0"/>
    <x v="0"/>
    <x v="0"/>
    <x v="0"/>
    <x v="7"/>
    <x v="4"/>
    <x v="2"/>
    <x v="3"/>
    <s v="GNR_BO_STRW_E-100"/>
    <x v="1"/>
    <x v="6"/>
    <n v="84.42"/>
    <n v="20542.2"/>
    <n v="73951.92"/>
  </r>
  <r>
    <x v="0"/>
    <x v="0"/>
    <x v="0"/>
    <x v="0"/>
    <x v="0"/>
    <x v="7"/>
    <x v="4"/>
    <x v="2"/>
    <x v="3"/>
    <s v="GNR_BO_STRW_E-100"/>
    <x v="1"/>
    <x v="4"/>
    <n v="15.094225735761199"/>
    <n v="3672.9282623685599"/>
    <n v="13222.541744526799"/>
  </r>
  <r>
    <x v="0"/>
    <x v="0"/>
    <x v="0"/>
    <x v="0"/>
    <x v="0"/>
    <x v="7"/>
    <x v="4"/>
    <x v="2"/>
    <x v="3"/>
    <s v="GNR_BO_STRW_E-100"/>
    <x v="1"/>
    <x v="7"/>
    <n v="84.42"/>
    <n v="20542.2"/>
    <n v="73951.92"/>
  </r>
  <r>
    <x v="0"/>
    <x v="0"/>
    <x v="0"/>
    <x v="0"/>
    <x v="0"/>
    <x v="7"/>
    <x v="4"/>
    <x v="2"/>
    <x v="3"/>
    <s v="GNR_BO_STRW_E-100"/>
    <x v="1"/>
    <x v="8"/>
    <n v="48.626905844944098"/>
    <n v="11832.547088936401"/>
    <n v="42597.169520171003"/>
  </r>
  <r>
    <x v="0"/>
    <x v="0"/>
    <x v="0"/>
    <x v="0"/>
    <x v="0"/>
    <x v="7"/>
    <x v="4"/>
    <x v="2"/>
    <x v="3"/>
    <s v="GNR_BO_STRW_E-100"/>
    <x v="1"/>
    <x v="0"/>
    <n v="84.42"/>
    <n v="20542.2"/>
    <n v="73951.92"/>
  </r>
  <r>
    <x v="0"/>
    <x v="0"/>
    <x v="0"/>
    <x v="0"/>
    <x v="0"/>
    <x v="7"/>
    <x v="4"/>
    <x v="2"/>
    <x v="3"/>
    <s v="GNR_BO_STRW_E-100"/>
    <x v="1"/>
    <x v="1"/>
    <n v="84.42"/>
    <n v="20542.2"/>
    <n v="73951.92"/>
  </r>
  <r>
    <x v="0"/>
    <x v="0"/>
    <x v="0"/>
    <x v="0"/>
    <x v="0"/>
    <x v="7"/>
    <x v="4"/>
    <x v="2"/>
    <x v="3"/>
    <s v="GNR_BO_STRW_E-100"/>
    <x v="1"/>
    <x v="2"/>
    <n v="84.42"/>
    <n v="20542.2"/>
    <n v="73951.92"/>
  </r>
  <r>
    <x v="0"/>
    <x v="0"/>
    <x v="0"/>
    <x v="0"/>
    <x v="0"/>
    <x v="7"/>
    <x v="4"/>
    <x v="2"/>
    <x v="3"/>
    <s v="GNR_BO_STRW_E-100"/>
    <x v="1"/>
    <x v="10"/>
    <n v="84.42"/>
    <n v="20542.2"/>
    <n v="73951.92"/>
  </r>
  <r>
    <x v="0"/>
    <x v="0"/>
    <x v="0"/>
    <x v="0"/>
    <x v="0"/>
    <x v="7"/>
    <x v="4"/>
    <x v="2"/>
    <x v="3"/>
    <s v="GNR_BO_STRW_E-100"/>
    <x v="1"/>
    <x v="11"/>
    <n v="84.42"/>
    <n v="20542.2"/>
    <n v="73951.92"/>
  </r>
  <r>
    <x v="0"/>
    <x v="0"/>
    <x v="0"/>
    <x v="0"/>
    <x v="0"/>
    <x v="7"/>
    <x v="4"/>
    <x v="2"/>
    <x v="3"/>
    <s v="GNR_BO_STRW_E-102"/>
    <x v="0"/>
    <x v="5"/>
    <n v="26.46"/>
    <n v="6438.6"/>
    <n v="23178.959999999999"/>
  </r>
  <r>
    <x v="0"/>
    <x v="0"/>
    <x v="0"/>
    <x v="0"/>
    <x v="0"/>
    <x v="7"/>
    <x v="4"/>
    <x v="2"/>
    <x v="3"/>
    <s v="GNR_BO_STRW_E-102"/>
    <x v="0"/>
    <x v="3"/>
    <n v="26.46"/>
    <n v="6438.6"/>
    <n v="23178.959999999999"/>
  </r>
  <r>
    <x v="0"/>
    <x v="0"/>
    <x v="0"/>
    <x v="0"/>
    <x v="0"/>
    <x v="7"/>
    <x v="4"/>
    <x v="2"/>
    <x v="3"/>
    <s v="GNR_BO_STRW_E-102"/>
    <x v="0"/>
    <x v="6"/>
    <n v="26.46"/>
    <n v="6438.6"/>
    <n v="23178.959999999999"/>
  </r>
  <r>
    <x v="0"/>
    <x v="0"/>
    <x v="0"/>
    <x v="0"/>
    <x v="0"/>
    <x v="7"/>
    <x v="4"/>
    <x v="2"/>
    <x v="3"/>
    <s v="GNR_BO_STRW_E-102"/>
    <x v="0"/>
    <x v="4"/>
    <n v="26.46"/>
    <n v="6438.6"/>
    <n v="23178.959999999999"/>
  </r>
  <r>
    <x v="0"/>
    <x v="0"/>
    <x v="0"/>
    <x v="0"/>
    <x v="0"/>
    <x v="7"/>
    <x v="4"/>
    <x v="2"/>
    <x v="3"/>
    <s v="GNR_BO_STRW_E-102"/>
    <x v="0"/>
    <x v="7"/>
    <n v="26.46"/>
    <n v="6438.6"/>
    <n v="23178.959999999999"/>
  </r>
  <r>
    <x v="0"/>
    <x v="0"/>
    <x v="0"/>
    <x v="0"/>
    <x v="0"/>
    <x v="7"/>
    <x v="4"/>
    <x v="2"/>
    <x v="3"/>
    <s v="GNR_BO_STRW_E-102"/>
    <x v="0"/>
    <x v="8"/>
    <n v="26.46"/>
    <n v="6438.6"/>
    <n v="23178.959999999999"/>
  </r>
  <r>
    <x v="0"/>
    <x v="0"/>
    <x v="0"/>
    <x v="0"/>
    <x v="0"/>
    <x v="7"/>
    <x v="4"/>
    <x v="2"/>
    <x v="3"/>
    <s v="GNR_BO_STRW_E-102"/>
    <x v="0"/>
    <x v="0"/>
    <n v="26.46"/>
    <n v="6438.6"/>
    <n v="23178.959999999999"/>
  </r>
  <r>
    <x v="0"/>
    <x v="0"/>
    <x v="0"/>
    <x v="0"/>
    <x v="0"/>
    <x v="7"/>
    <x v="4"/>
    <x v="2"/>
    <x v="3"/>
    <s v="GNR_BO_STRW_E-102"/>
    <x v="0"/>
    <x v="1"/>
    <n v="26.46"/>
    <n v="6438.6"/>
    <n v="23178.959999999999"/>
  </r>
  <r>
    <x v="0"/>
    <x v="0"/>
    <x v="0"/>
    <x v="0"/>
    <x v="0"/>
    <x v="7"/>
    <x v="4"/>
    <x v="2"/>
    <x v="3"/>
    <s v="GNR_BO_STRW_E-102"/>
    <x v="0"/>
    <x v="2"/>
    <n v="26.46"/>
    <n v="6438.6"/>
    <n v="23178.959999999999"/>
  </r>
  <r>
    <x v="0"/>
    <x v="0"/>
    <x v="0"/>
    <x v="0"/>
    <x v="0"/>
    <x v="7"/>
    <x v="4"/>
    <x v="2"/>
    <x v="3"/>
    <s v="GNR_BO_STRW_E-102"/>
    <x v="0"/>
    <x v="9"/>
    <n v="26.46"/>
    <n v="6438.6"/>
    <n v="23178.959999999999"/>
  </r>
  <r>
    <x v="0"/>
    <x v="0"/>
    <x v="0"/>
    <x v="0"/>
    <x v="0"/>
    <x v="7"/>
    <x v="4"/>
    <x v="2"/>
    <x v="3"/>
    <s v="GNR_BO_STRW_E-102"/>
    <x v="0"/>
    <x v="10"/>
    <n v="26.46"/>
    <n v="6438.6"/>
    <n v="23178.959999999999"/>
  </r>
  <r>
    <x v="0"/>
    <x v="0"/>
    <x v="0"/>
    <x v="0"/>
    <x v="0"/>
    <x v="7"/>
    <x v="4"/>
    <x v="2"/>
    <x v="3"/>
    <s v="GNR_BO_STRW_E-102"/>
    <x v="0"/>
    <x v="11"/>
    <n v="26.46"/>
    <n v="6438.6"/>
    <n v="23178.959999999999"/>
  </r>
  <r>
    <x v="0"/>
    <x v="0"/>
    <x v="0"/>
    <x v="0"/>
    <x v="0"/>
    <x v="7"/>
    <x v="4"/>
    <x v="2"/>
    <x v="3"/>
    <s v="GNR_BO_STRW_E-102"/>
    <x v="2"/>
    <x v="5"/>
    <n v="26.46"/>
    <n v="6438.6"/>
    <n v="23178.959999999999"/>
  </r>
  <r>
    <x v="0"/>
    <x v="0"/>
    <x v="0"/>
    <x v="0"/>
    <x v="0"/>
    <x v="7"/>
    <x v="4"/>
    <x v="2"/>
    <x v="3"/>
    <s v="GNR_BO_STRW_E-102"/>
    <x v="2"/>
    <x v="3"/>
    <n v="26.46"/>
    <n v="6438.6"/>
    <n v="23178.959999999999"/>
  </r>
  <r>
    <x v="0"/>
    <x v="0"/>
    <x v="0"/>
    <x v="0"/>
    <x v="0"/>
    <x v="7"/>
    <x v="4"/>
    <x v="2"/>
    <x v="3"/>
    <s v="GNR_BO_STRW_E-102"/>
    <x v="2"/>
    <x v="6"/>
    <n v="26.46"/>
    <n v="6438.6"/>
    <n v="23178.959999999999"/>
  </r>
  <r>
    <x v="0"/>
    <x v="0"/>
    <x v="0"/>
    <x v="0"/>
    <x v="0"/>
    <x v="7"/>
    <x v="4"/>
    <x v="2"/>
    <x v="3"/>
    <s v="GNR_BO_STRW_E-102"/>
    <x v="2"/>
    <x v="4"/>
    <n v="26.46"/>
    <n v="6438.6"/>
    <n v="23178.959999999999"/>
  </r>
  <r>
    <x v="0"/>
    <x v="0"/>
    <x v="0"/>
    <x v="0"/>
    <x v="0"/>
    <x v="7"/>
    <x v="4"/>
    <x v="2"/>
    <x v="3"/>
    <s v="GNR_BO_STRW_E-102"/>
    <x v="2"/>
    <x v="7"/>
    <n v="26.46"/>
    <n v="6438.6"/>
    <n v="23178.959999999999"/>
  </r>
  <r>
    <x v="0"/>
    <x v="0"/>
    <x v="0"/>
    <x v="0"/>
    <x v="0"/>
    <x v="7"/>
    <x v="4"/>
    <x v="2"/>
    <x v="3"/>
    <s v="GNR_BO_STRW_E-102"/>
    <x v="2"/>
    <x v="8"/>
    <n v="26.46"/>
    <n v="6438.6"/>
    <n v="23178.959999999999"/>
  </r>
  <r>
    <x v="0"/>
    <x v="0"/>
    <x v="0"/>
    <x v="0"/>
    <x v="0"/>
    <x v="7"/>
    <x v="4"/>
    <x v="2"/>
    <x v="3"/>
    <s v="GNR_BO_STRW_E-102"/>
    <x v="2"/>
    <x v="0"/>
    <n v="26.46"/>
    <n v="6438.6"/>
    <n v="23178.959999999999"/>
  </r>
  <r>
    <x v="0"/>
    <x v="0"/>
    <x v="0"/>
    <x v="0"/>
    <x v="0"/>
    <x v="7"/>
    <x v="4"/>
    <x v="2"/>
    <x v="3"/>
    <s v="GNR_BO_STRW_E-102"/>
    <x v="2"/>
    <x v="1"/>
    <n v="26.46"/>
    <n v="6438.6"/>
    <n v="23178.959999999999"/>
  </r>
  <r>
    <x v="0"/>
    <x v="0"/>
    <x v="0"/>
    <x v="0"/>
    <x v="0"/>
    <x v="7"/>
    <x v="4"/>
    <x v="2"/>
    <x v="3"/>
    <s v="GNR_BO_STRW_E-102"/>
    <x v="2"/>
    <x v="2"/>
    <n v="26.46"/>
    <n v="6438.6"/>
    <n v="23178.959999999999"/>
  </r>
  <r>
    <x v="0"/>
    <x v="0"/>
    <x v="0"/>
    <x v="0"/>
    <x v="0"/>
    <x v="7"/>
    <x v="4"/>
    <x v="2"/>
    <x v="3"/>
    <s v="GNR_BO_STRW_E-102"/>
    <x v="2"/>
    <x v="9"/>
    <n v="26.46"/>
    <n v="6438.6"/>
    <n v="23178.959999999999"/>
  </r>
  <r>
    <x v="0"/>
    <x v="0"/>
    <x v="0"/>
    <x v="0"/>
    <x v="0"/>
    <x v="7"/>
    <x v="4"/>
    <x v="2"/>
    <x v="3"/>
    <s v="GNR_BO_STRW_E-102"/>
    <x v="2"/>
    <x v="10"/>
    <n v="26.46"/>
    <n v="6438.6"/>
    <n v="23178.959999999999"/>
  </r>
  <r>
    <x v="0"/>
    <x v="0"/>
    <x v="0"/>
    <x v="0"/>
    <x v="0"/>
    <x v="7"/>
    <x v="4"/>
    <x v="2"/>
    <x v="3"/>
    <s v="GNR_BO_STRW_E-102"/>
    <x v="2"/>
    <x v="11"/>
    <n v="26.46"/>
    <n v="6438.6"/>
    <n v="23178.959999999999"/>
  </r>
  <r>
    <x v="0"/>
    <x v="0"/>
    <x v="0"/>
    <x v="0"/>
    <x v="0"/>
    <x v="7"/>
    <x v="4"/>
    <x v="2"/>
    <x v="3"/>
    <s v="GNR_BO_STRW_E-102"/>
    <x v="1"/>
    <x v="5"/>
    <n v="26.46"/>
    <n v="6438.6"/>
    <n v="23178.959999999999"/>
  </r>
  <r>
    <x v="0"/>
    <x v="0"/>
    <x v="0"/>
    <x v="0"/>
    <x v="0"/>
    <x v="7"/>
    <x v="4"/>
    <x v="2"/>
    <x v="3"/>
    <s v="GNR_BO_STRW_E-102"/>
    <x v="1"/>
    <x v="3"/>
    <n v="26.46"/>
    <n v="6438.6"/>
    <n v="23178.959999999999"/>
  </r>
  <r>
    <x v="0"/>
    <x v="0"/>
    <x v="0"/>
    <x v="0"/>
    <x v="0"/>
    <x v="7"/>
    <x v="4"/>
    <x v="2"/>
    <x v="3"/>
    <s v="GNR_BO_STRW_E-102"/>
    <x v="1"/>
    <x v="6"/>
    <n v="26.46"/>
    <n v="6438.6"/>
    <n v="23178.959999999999"/>
  </r>
  <r>
    <x v="0"/>
    <x v="0"/>
    <x v="0"/>
    <x v="0"/>
    <x v="0"/>
    <x v="7"/>
    <x v="4"/>
    <x v="2"/>
    <x v="3"/>
    <s v="GNR_BO_STRW_E-102"/>
    <x v="1"/>
    <x v="4"/>
    <n v="26.46"/>
    <n v="6438.6"/>
    <n v="23178.959999999999"/>
  </r>
  <r>
    <x v="0"/>
    <x v="0"/>
    <x v="0"/>
    <x v="0"/>
    <x v="0"/>
    <x v="7"/>
    <x v="4"/>
    <x v="2"/>
    <x v="3"/>
    <s v="GNR_BO_STRW_E-102"/>
    <x v="1"/>
    <x v="7"/>
    <n v="26.46"/>
    <n v="6438.6"/>
    <n v="23178.959999999999"/>
  </r>
  <r>
    <x v="0"/>
    <x v="0"/>
    <x v="0"/>
    <x v="0"/>
    <x v="0"/>
    <x v="7"/>
    <x v="4"/>
    <x v="2"/>
    <x v="3"/>
    <s v="GNR_BO_STRW_E-102"/>
    <x v="1"/>
    <x v="8"/>
    <n v="26.46"/>
    <n v="6438.6"/>
    <n v="23178.959999999999"/>
  </r>
  <r>
    <x v="0"/>
    <x v="0"/>
    <x v="0"/>
    <x v="0"/>
    <x v="0"/>
    <x v="7"/>
    <x v="4"/>
    <x v="2"/>
    <x v="3"/>
    <s v="GNR_BO_STRW_E-102"/>
    <x v="1"/>
    <x v="0"/>
    <n v="26.46"/>
    <n v="6438.6"/>
    <n v="23178.959999999999"/>
  </r>
  <r>
    <x v="0"/>
    <x v="0"/>
    <x v="0"/>
    <x v="0"/>
    <x v="0"/>
    <x v="7"/>
    <x v="4"/>
    <x v="2"/>
    <x v="3"/>
    <s v="GNR_BO_STRW_E-102"/>
    <x v="1"/>
    <x v="1"/>
    <n v="26.46"/>
    <n v="6438.6"/>
    <n v="23178.959999999999"/>
  </r>
  <r>
    <x v="0"/>
    <x v="0"/>
    <x v="0"/>
    <x v="0"/>
    <x v="0"/>
    <x v="7"/>
    <x v="4"/>
    <x v="2"/>
    <x v="3"/>
    <s v="GNR_BO_STRW_E-102"/>
    <x v="1"/>
    <x v="2"/>
    <n v="26.46"/>
    <n v="6438.6"/>
    <n v="23178.959999999999"/>
  </r>
  <r>
    <x v="0"/>
    <x v="0"/>
    <x v="0"/>
    <x v="0"/>
    <x v="0"/>
    <x v="7"/>
    <x v="4"/>
    <x v="2"/>
    <x v="3"/>
    <s v="GNR_BO_STRW_E-102"/>
    <x v="1"/>
    <x v="10"/>
    <n v="26.46"/>
    <n v="6438.6"/>
    <n v="23178.959999999999"/>
  </r>
  <r>
    <x v="0"/>
    <x v="0"/>
    <x v="0"/>
    <x v="0"/>
    <x v="0"/>
    <x v="7"/>
    <x v="4"/>
    <x v="2"/>
    <x v="3"/>
    <s v="GNR_BO_STRW_E-102"/>
    <x v="1"/>
    <x v="11"/>
    <n v="26.46"/>
    <n v="6438.6"/>
    <n v="23178.959999999999"/>
  </r>
  <r>
    <x v="0"/>
    <x v="0"/>
    <x v="0"/>
    <x v="0"/>
    <x v="0"/>
    <x v="7"/>
    <x v="5"/>
    <x v="3"/>
    <x v="4"/>
    <s v="GNR_SH_SUN"/>
    <x v="0"/>
    <x v="7"/>
    <n v="353.440929422713"/>
    <n v="86003.9594928601"/>
    <n v="309614.25417429599"/>
  </r>
  <r>
    <x v="0"/>
    <x v="0"/>
    <x v="0"/>
    <x v="0"/>
    <x v="0"/>
    <x v="7"/>
    <x v="5"/>
    <x v="3"/>
    <x v="4"/>
    <s v="GNR_SH_SUN"/>
    <x v="0"/>
    <x v="0"/>
    <n v="86.084228711944803"/>
    <n v="20947.162319906602"/>
    <n v="75409.784351663606"/>
  </r>
  <r>
    <x v="0"/>
    <x v="0"/>
    <x v="0"/>
    <x v="0"/>
    <x v="0"/>
    <x v="7"/>
    <x v="5"/>
    <x v="3"/>
    <x v="4"/>
    <s v="GNR_SH_SUN"/>
    <x v="0"/>
    <x v="9"/>
    <n v="187.98699067380201"/>
    <n v="45743.501063958502"/>
    <n v="164676.60383025001"/>
  </r>
  <r>
    <x v="0"/>
    <x v="0"/>
    <x v="0"/>
    <x v="0"/>
    <x v="0"/>
    <x v="7"/>
    <x v="5"/>
    <x v="3"/>
    <x v="4"/>
    <s v="GNR_SH_SUN"/>
    <x v="0"/>
    <x v="11"/>
    <n v="14.9983827829268"/>
    <n v="3649.6064771788601"/>
    <n v="13138.583317843901"/>
  </r>
  <r>
    <x v="0"/>
    <x v="0"/>
    <x v="0"/>
    <x v="0"/>
    <x v="0"/>
    <x v="7"/>
    <x v="5"/>
    <x v="3"/>
    <x v="4"/>
    <s v="GNR_SH_SUN"/>
    <x v="2"/>
    <x v="6"/>
    <n v="77.123410581785095"/>
    <n v="18766.696574901001"/>
    <n v="67560.107669643796"/>
  </r>
  <r>
    <x v="0"/>
    <x v="0"/>
    <x v="0"/>
    <x v="0"/>
    <x v="0"/>
    <x v="7"/>
    <x v="5"/>
    <x v="3"/>
    <x v="4"/>
    <s v="GNR_SH_SUN"/>
    <x v="2"/>
    <x v="9"/>
    <n v="28.9103930161675"/>
    <n v="7034.8623006007501"/>
    <n v="25325.504282162699"/>
  </r>
  <r>
    <x v="0"/>
    <x v="0"/>
    <x v="0"/>
    <x v="0"/>
    <x v="0"/>
    <x v="7"/>
    <x v="5"/>
    <x v="3"/>
    <x v="4"/>
    <s v="GNR_SH_SUN"/>
    <x v="1"/>
    <x v="7"/>
    <n v="224.62588023235099"/>
    <n v="54658.964189872102"/>
    <n v="196772.27108353999"/>
  </r>
  <r>
    <x v="0"/>
    <x v="0"/>
    <x v="0"/>
    <x v="0"/>
    <x v="0"/>
    <x v="7"/>
    <x v="5"/>
    <x v="3"/>
    <x v="4"/>
    <s v="GNR_SH_SUN"/>
    <x v="1"/>
    <x v="0"/>
    <n v="50.348625033081703"/>
    <n v="12251.4987580499"/>
    <n v="44105.395528979599"/>
  </r>
  <r>
    <x v="0"/>
    <x v="0"/>
    <x v="0"/>
    <x v="0"/>
    <x v="0"/>
    <x v="7"/>
    <x v="5"/>
    <x v="3"/>
    <x v="4"/>
    <s v="GNR_SH_SUN"/>
    <x v="1"/>
    <x v="9"/>
    <n v="342.86942153875799"/>
    <n v="83431.559241097799"/>
    <n v="300353.61326795199"/>
  </r>
  <r>
    <x v="0"/>
    <x v="0"/>
    <x v="0"/>
    <x v="0"/>
    <x v="0"/>
    <x v="7"/>
    <x v="5"/>
    <x v="3"/>
    <x v="4"/>
    <s v="GNR_SH_SUN"/>
    <x v="1"/>
    <x v="11"/>
    <n v="96.882162664004397"/>
    <n v="23574.6595815744"/>
    <n v="84868.774493667806"/>
  </r>
  <r>
    <x v="0"/>
    <x v="0"/>
    <x v="0"/>
    <x v="0"/>
    <x v="0"/>
    <x v="7"/>
    <x v="6"/>
    <x v="2"/>
    <x v="3"/>
    <s v="GNR_EH_HEAT"/>
    <x v="0"/>
    <x v="5"/>
    <n v="109"/>
    <n v="26523.333333333299"/>
    <n v="95484"/>
  </r>
  <r>
    <x v="0"/>
    <x v="0"/>
    <x v="0"/>
    <x v="0"/>
    <x v="0"/>
    <x v="7"/>
    <x v="6"/>
    <x v="2"/>
    <x v="3"/>
    <s v="GNR_EH_HEAT"/>
    <x v="0"/>
    <x v="3"/>
    <n v="109"/>
    <n v="26523.333333333299"/>
    <n v="95484"/>
  </r>
  <r>
    <x v="0"/>
    <x v="0"/>
    <x v="0"/>
    <x v="0"/>
    <x v="0"/>
    <x v="7"/>
    <x v="6"/>
    <x v="2"/>
    <x v="3"/>
    <s v="GNR_EH_HEAT"/>
    <x v="0"/>
    <x v="6"/>
    <n v="109"/>
    <n v="26523.333333333299"/>
    <n v="95484"/>
  </r>
  <r>
    <x v="0"/>
    <x v="0"/>
    <x v="0"/>
    <x v="0"/>
    <x v="0"/>
    <x v="7"/>
    <x v="6"/>
    <x v="2"/>
    <x v="3"/>
    <s v="GNR_EH_HEAT"/>
    <x v="0"/>
    <x v="4"/>
    <n v="109"/>
    <n v="26523.333333333299"/>
    <n v="95484"/>
  </r>
  <r>
    <x v="0"/>
    <x v="0"/>
    <x v="0"/>
    <x v="0"/>
    <x v="0"/>
    <x v="7"/>
    <x v="6"/>
    <x v="2"/>
    <x v="3"/>
    <s v="GNR_EH_HEAT"/>
    <x v="0"/>
    <x v="7"/>
    <n v="109"/>
    <n v="26523.333333333299"/>
    <n v="95484"/>
  </r>
  <r>
    <x v="0"/>
    <x v="0"/>
    <x v="0"/>
    <x v="0"/>
    <x v="0"/>
    <x v="7"/>
    <x v="6"/>
    <x v="2"/>
    <x v="3"/>
    <s v="GNR_EH_HEAT"/>
    <x v="0"/>
    <x v="8"/>
    <n v="109"/>
    <n v="26523.333333333299"/>
    <n v="95484"/>
  </r>
  <r>
    <x v="0"/>
    <x v="0"/>
    <x v="0"/>
    <x v="0"/>
    <x v="0"/>
    <x v="7"/>
    <x v="6"/>
    <x v="2"/>
    <x v="3"/>
    <s v="GNR_EH_HEAT"/>
    <x v="0"/>
    <x v="0"/>
    <n v="109"/>
    <n v="26523.333333333299"/>
    <n v="95484"/>
  </r>
  <r>
    <x v="0"/>
    <x v="0"/>
    <x v="0"/>
    <x v="0"/>
    <x v="0"/>
    <x v="7"/>
    <x v="6"/>
    <x v="2"/>
    <x v="3"/>
    <s v="GNR_EH_HEAT"/>
    <x v="0"/>
    <x v="1"/>
    <n v="109"/>
    <n v="26523.333333333299"/>
    <n v="95484"/>
  </r>
  <r>
    <x v="0"/>
    <x v="0"/>
    <x v="0"/>
    <x v="0"/>
    <x v="0"/>
    <x v="7"/>
    <x v="6"/>
    <x v="2"/>
    <x v="3"/>
    <s v="GNR_EH_HEAT"/>
    <x v="0"/>
    <x v="2"/>
    <n v="109"/>
    <n v="26523.333333333299"/>
    <n v="95484"/>
  </r>
  <r>
    <x v="0"/>
    <x v="0"/>
    <x v="0"/>
    <x v="0"/>
    <x v="0"/>
    <x v="7"/>
    <x v="6"/>
    <x v="2"/>
    <x v="3"/>
    <s v="GNR_EH_HEAT"/>
    <x v="0"/>
    <x v="9"/>
    <n v="109"/>
    <n v="26523.333333333299"/>
    <n v="95484"/>
  </r>
  <r>
    <x v="0"/>
    <x v="0"/>
    <x v="0"/>
    <x v="0"/>
    <x v="0"/>
    <x v="7"/>
    <x v="6"/>
    <x v="2"/>
    <x v="3"/>
    <s v="GNR_EH_HEAT"/>
    <x v="0"/>
    <x v="10"/>
    <n v="109"/>
    <n v="26523.333333333299"/>
    <n v="95484"/>
  </r>
  <r>
    <x v="0"/>
    <x v="0"/>
    <x v="0"/>
    <x v="0"/>
    <x v="0"/>
    <x v="7"/>
    <x v="6"/>
    <x v="2"/>
    <x v="3"/>
    <s v="GNR_EH_HEAT"/>
    <x v="0"/>
    <x v="11"/>
    <n v="109"/>
    <n v="26523.333333333299"/>
    <n v="95484"/>
  </r>
  <r>
    <x v="0"/>
    <x v="0"/>
    <x v="0"/>
    <x v="0"/>
    <x v="0"/>
    <x v="7"/>
    <x v="6"/>
    <x v="2"/>
    <x v="3"/>
    <s v="GNR_EH_HEAT"/>
    <x v="2"/>
    <x v="5"/>
    <n v="109"/>
    <n v="26523.333333333299"/>
    <n v="95484"/>
  </r>
  <r>
    <x v="0"/>
    <x v="0"/>
    <x v="0"/>
    <x v="0"/>
    <x v="0"/>
    <x v="7"/>
    <x v="6"/>
    <x v="2"/>
    <x v="3"/>
    <s v="GNR_EH_HEAT"/>
    <x v="2"/>
    <x v="3"/>
    <n v="109"/>
    <n v="26523.333333333299"/>
    <n v="95484"/>
  </r>
  <r>
    <x v="0"/>
    <x v="0"/>
    <x v="0"/>
    <x v="0"/>
    <x v="0"/>
    <x v="7"/>
    <x v="6"/>
    <x v="2"/>
    <x v="3"/>
    <s v="GNR_EH_HEAT"/>
    <x v="2"/>
    <x v="6"/>
    <n v="109"/>
    <n v="26523.333333333299"/>
    <n v="95484"/>
  </r>
  <r>
    <x v="0"/>
    <x v="0"/>
    <x v="0"/>
    <x v="0"/>
    <x v="0"/>
    <x v="7"/>
    <x v="6"/>
    <x v="2"/>
    <x v="3"/>
    <s v="GNR_EH_HEAT"/>
    <x v="2"/>
    <x v="4"/>
    <n v="109"/>
    <n v="26523.333333333299"/>
    <n v="95484"/>
  </r>
  <r>
    <x v="0"/>
    <x v="0"/>
    <x v="0"/>
    <x v="0"/>
    <x v="0"/>
    <x v="7"/>
    <x v="6"/>
    <x v="2"/>
    <x v="3"/>
    <s v="GNR_EH_HEAT"/>
    <x v="2"/>
    <x v="7"/>
    <n v="109"/>
    <n v="26523.333333333299"/>
    <n v="95484"/>
  </r>
  <r>
    <x v="0"/>
    <x v="0"/>
    <x v="0"/>
    <x v="0"/>
    <x v="0"/>
    <x v="7"/>
    <x v="6"/>
    <x v="2"/>
    <x v="3"/>
    <s v="GNR_EH_HEAT"/>
    <x v="2"/>
    <x v="8"/>
    <n v="109"/>
    <n v="26523.333333333299"/>
    <n v="95484"/>
  </r>
  <r>
    <x v="0"/>
    <x v="0"/>
    <x v="0"/>
    <x v="0"/>
    <x v="0"/>
    <x v="7"/>
    <x v="6"/>
    <x v="2"/>
    <x v="3"/>
    <s v="GNR_EH_HEAT"/>
    <x v="2"/>
    <x v="0"/>
    <n v="109"/>
    <n v="26523.333333333299"/>
    <n v="95484"/>
  </r>
  <r>
    <x v="0"/>
    <x v="0"/>
    <x v="0"/>
    <x v="0"/>
    <x v="0"/>
    <x v="7"/>
    <x v="6"/>
    <x v="2"/>
    <x v="3"/>
    <s v="GNR_EH_HEAT"/>
    <x v="2"/>
    <x v="1"/>
    <n v="109"/>
    <n v="26523.333333333299"/>
    <n v="95484"/>
  </r>
  <r>
    <x v="0"/>
    <x v="0"/>
    <x v="0"/>
    <x v="0"/>
    <x v="0"/>
    <x v="7"/>
    <x v="6"/>
    <x v="2"/>
    <x v="3"/>
    <s v="GNR_EH_HEAT"/>
    <x v="2"/>
    <x v="2"/>
    <n v="109"/>
    <n v="26523.333333333299"/>
    <n v="95484"/>
  </r>
  <r>
    <x v="0"/>
    <x v="0"/>
    <x v="0"/>
    <x v="0"/>
    <x v="0"/>
    <x v="7"/>
    <x v="6"/>
    <x v="2"/>
    <x v="3"/>
    <s v="GNR_EH_HEAT"/>
    <x v="2"/>
    <x v="9"/>
    <n v="109"/>
    <n v="26523.333333333299"/>
    <n v="95484"/>
  </r>
  <r>
    <x v="0"/>
    <x v="0"/>
    <x v="0"/>
    <x v="0"/>
    <x v="0"/>
    <x v="7"/>
    <x v="6"/>
    <x v="2"/>
    <x v="3"/>
    <s v="GNR_EH_HEAT"/>
    <x v="2"/>
    <x v="10"/>
    <n v="109"/>
    <n v="26523.333333333299"/>
    <n v="95484"/>
  </r>
  <r>
    <x v="0"/>
    <x v="0"/>
    <x v="0"/>
    <x v="0"/>
    <x v="0"/>
    <x v="7"/>
    <x v="6"/>
    <x v="2"/>
    <x v="3"/>
    <s v="GNR_EH_HEAT"/>
    <x v="2"/>
    <x v="11"/>
    <n v="109"/>
    <n v="26523.333333333299"/>
    <n v="95484"/>
  </r>
  <r>
    <x v="0"/>
    <x v="0"/>
    <x v="0"/>
    <x v="0"/>
    <x v="0"/>
    <x v="7"/>
    <x v="6"/>
    <x v="2"/>
    <x v="3"/>
    <s v="GNR_EH_HEAT"/>
    <x v="1"/>
    <x v="5"/>
    <n v="109"/>
    <n v="26523.333333333299"/>
    <n v="95484"/>
  </r>
  <r>
    <x v="0"/>
    <x v="0"/>
    <x v="0"/>
    <x v="0"/>
    <x v="0"/>
    <x v="7"/>
    <x v="6"/>
    <x v="2"/>
    <x v="3"/>
    <s v="GNR_EH_HEAT"/>
    <x v="1"/>
    <x v="3"/>
    <n v="109"/>
    <n v="26523.333333333299"/>
    <n v="95484"/>
  </r>
  <r>
    <x v="0"/>
    <x v="0"/>
    <x v="0"/>
    <x v="0"/>
    <x v="0"/>
    <x v="7"/>
    <x v="6"/>
    <x v="2"/>
    <x v="3"/>
    <s v="GNR_EH_HEAT"/>
    <x v="1"/>
    <x v="6"/>
    <n v="109"/>
    <n v="26523.333333333299"/>
    <n v="95484"/>
  </r>
  <r>
    <x v="0"/>
    <x v="0"/>
    <x v="0"/>
    <x v="0"/>
    <x v="0"/>
    <x v="7"/>
    <x v="6"/>
    <x v="2"/>
    <x v="3"/>
    <s v="GNR_EH_HEAT"/>
    <x v="1"/>
    <x v="4"/>
    <n v="109"/>
    <n v="26523.333333333299"/>
    <n v="95484"/>
  </r>
  <r>
    <x v="0"/>
    <x v="0"/>
    <x v="0"/>
    <x v="0"/>
    <x v="0"/>
    <x v="7"/>
    <x v="6"/>
    <x v="2"/>
    <x v="3"/>
    <s v="GNR_EH_HEAT"/>
    <x v="1"/>
    <x v="7"/>
    <n v="109"/>
    <n v="26523.333333333299"/>
    <n v="95484"/>
  </r>
  <r>
    <x v="0"/>
    <x v="0"/>
    <x v="0"/>
    <x v="0"/>
    <x v="0"/>
    <x v="7"/>
    <x v="6"/>
    <x v="2"/>
    <x v="3"/>
    <s v="GNR_EH_HEAT"/>
    <x v="1"/>
    <x v="8"/>
    <n v="109"/>
    <n v="26523.333333333299"/>
    <n v="95484"/>
  </r>
  <r>
    <x v="0"/>
    <x v="0"/>
    <x v="0"/>
    <x v="0"/>
    <x v="0"/>
    <x v="7"/>
    <x v="6"/>
    <x v="2"/>
    <x v="3"/>
    <s v="GNR_EH_HEAT"/>
    <x v="1"/>
    <x v="0"/>
    <n v="109"/>
    <n v="26523.333333333299"/>
    <n v="95484"/>
  </r>
  <r>
    <x v="0"/>
    <x v="0"/>
    <x v="0"/>
    <x v="0"/>
    <x v="0"/>
    <x v="7"/>
    <x v="6"/>
    <x v="2"/>
    <x v="3"/>
    <s v="GNR_EH_HEAT"/>
    <x v="1"/>
    <x v="1"/>
    <n v="109"/>
    <n v="26523.333333333299"/>
    <n v="95484"/>
  </r>
  <r>
    <x v="0"/>
    <x v="0"/>
    <x v="0"/>
    <x v="0"/>
    <x v="0"/>
    <x v="7"/>
    <x v="6"/>
    <x v="2"/>
    <x v="3"/>
    <s v="GNR_EH_HEAT"/>
    <x v="1"/>
    <x v="2"/>
    <n v="109"/>
    <n v="26523.333333333299"/>
    <n v="95484"/>
  </r>
  <r>
    <x v="0"/>
    <x v="0"/>
    <x v="0"/>
    <x v="0"/>
    <x v="0"/>
    <x v="7"/>
    <x v="6"/>
    <x v="2"/>
    <x v="3"/>
    <s v="GNR_EH_HEAT"/>
    <x v="1"/>
    <x v="9"/>
    <n v="109"/>
    <n v="26523.333333333299"/>
    <n v="95484"/>
  </r>
  <r>
    <x v="0"/>
    <x v="0"/>
    <x v="0"/>
    <x v="0"/>
    <x v="0"/>
    <x v="7"/>
    <x v="6"/>
    <x v="2"/>
    <x v="3"/>
    <s v="GNR_EH_HEAT"/>
    <x v="1"/>
    <x v="10"/>
    <n v="109"/>
    <n v="26523.333333333299"/>
    <n v="95484"/>
  </r>
  <r>
    <x v="0"/>
    <x v="0"/>
    <x v="0"/>
    <x v="0"/>
    <x v="0"/>
    <x v="7"/>
    <x v="6"/>
    <x v="2"/>
    <x v="3"/>
    <s v="GNR_EH_HEAT"/>
    <x v="1"/>
    <x v="11"/>
    <n v="109"/>
    <n v="26523.333333333299"/>
    <n v="95484"/>
  </r>
  <r>
    <x v="0"/>
    <x v="0"/>
    <x v="0"/>
    <x v="0"/>
    <x v="0"/>
    <x v="7"/>
    <x v="7"/>
    <x v="2"/>
    <x v="3"/>
    <s v="GNR_BO_WOODCHI_E-100"/>
    <x v="0"/>
    <x v="5"/>
    <n v="150.27500000000001"/>
    <n v="36566.916666666701"/>
    <n v="131640.9"/>
  </r>
  <r>
    <x v="0"/>
    <x v="0"/>
    <x v="0"/>
    <x v="0"/>
    <x v="0"/>
    <x v="7"/>
    <x v="7"/>
    <x v="2"/>
    <x v="3"/>
    <s v="GNR_BO_WOODCHI_E-100"/>
    <x v="0"/>
    <x v="3"/>
    <n v="150.27500000000001"/>
    <n v="36566.916666666701"/>
    <n v="131640.9"/>
  </r>
  <r>
    <x v="0"/>
    <x v="0"/>
    <x v="0"/>
    <x v="0"/>
    <x v="0"/>
    <x v="7"/>
    <x v="7"/>
    <x v="2"/>
    <x v="3"/>
    <s v="GNR_BO_WOODCHI_E-100"/>
    <x v="0"/>
    <x v="6"/>
    <n v="150.27500000000001"/>
    <n v="36566.916666666701"/>
    <n v="131640.9"/>
  </r>
  <r>
    <x v="0"/>
    <x v="0"/>
    <x v="0"/>
    <x v="0"/>
    <x v="0"/>
    <x v="7"/>
    <x v="7"/>
    <x v="2"/>
    <x v="3"/>
    <s v="GNR_BO_WOODCHI_E-100"/>
    <x v="0"/>
    <x v="4"/>
    <n v="150.27500000000001"/>
    <n v="36566.916666666701"/>
    <n v="131640.9"/>
  </r>
  <r>
    <x v="0"/>
    <x v="0"/>
    <x v="0"/>
    <x v="0"/>
    <x v="0"/>
    <x v="7"/>
    <x v="7"/>
    <x v="2"/>
    <x v="3"/>
    <s v="GNR_BO_WOODCHI_E-100"/>
    <x v="0"/>
    <x v="7"/>
    <n v="150.27500000000001"/>
    <n v="36566.916666666701"/>
    <n v="131640.9"/>
  </r>
  <r>
    <x v="0"/>
    <x v="0"/>
    <x v="0"/>
    <x v="0"/>
    <x v="0"/>
    <x v="7"/>
    <x v="7"/>
    <x v="2"/>
    <x v="3"/>
    <s v="GNR_BO_WOODCHI_E-100"/>
    <x v="0"/>
    <x v="8"/>
    <n v="150.27500000000001"/>
    <n v="36566.916666666701"/>
    <n v="131640.9"/>
  </r>
  <r>
    <x v="0"/>
    <x v="0"/>
    <x v="0"/>
    <x v="0"/>
    <x v="0"/>
    <x v="7"/>
    <x v="7"/>
    <x v="2"/>
    <x v="3"/>
    <s v="GNR_BO_WOODCHI_E-100"/>
    <x v="0"/>
    <x v="0"/>
    <n v="150.27500000000001"/>
    <n v="36566.916666666701"/>
    <n v="131640.9"/>
  </r>
  <r>
    <x v="0"/>
    <x v="0"/>
    <x v="0"/>
    <x v="0"/>
    <x v="0"/>
    <x v="7"/>
    <x v="7"/>
    <x v="2"/>
    <x v="3"/>
    <s v="GNR_BO_WOODCHI_E-100"/>
    <x v="0"/>
    <x v="1"/>
    <n v="150.27500000000001"/>
    <n v="36566.916666666701"/>
    <n v="131640.9"/>
  </r>
  <r>
    <x v="0"/>
    <x v="0"/>
    <x v="0"/>
    <x v="0"/>
    <x v="0"/>
    <x v="7"/>
    <x v="7"/>
    <x v="2"/>
    <x v="3"/>
    <s v="GNR_BO_WOODCHI_E-100"/>
    <x v="0"/>
    <x v="2"/>
    <n v="150.27500000000001"/>
    <n v="36566.916666666701"/>
    <n v="131640.9"/>
  </r>
  <r>
    <x v="0"/>
    <x v="0"/>
    <x v="0"/>
    <x v="0"/>
    <x v="0"/>
    <x v="7"/>
    <x v="7"/>
    <x v="2"/>
    <x v="3"/>
    <s v="GNR_BO_WOODCHI_E-100"/>
    <x v="0"/>
    <x v="9"/>
    <n v="150.27500000000001"/>
    <n v="36566.916666666701"/>
    <n v="131640.9"/>
  </r>
  <r>
    <x v="0"/>
    <x v="0"/>
    <x v="0"/>
    <x v="0"/>
    <x v="0"/>
    <x v="7"/>
    <x v="7"/>
    <x v="2"/>
    <x v="3"/>
    <s v="GNR_BO_WOODCHI_E-100"/>
    <x v="0"/>
    <x v="10"/>
    <n v="150.27500000000001"/>
    <n v="36566.916666666701"/>
    <n v="131640.9"/>
  </r>
  <r>
    <x v="0"/>
    <x v="0"/>
    <x v="0"/>
    <x v="0"/>
    <x v="0"/>
    <x v="7"/>
    <x v="7"/>
    <x v="2"/>
    <x v="3"/>
    <s v="GNR_BO_WOODCHI_E-100"/>
    <x v="0"/>
    <x v="11"/>
    <n v="150.27500000000001"/>
    <n v="36566.916666666701"/>
    <n v="131640.9"/>
  </r>
  <r>
    <x v="0"/>
    <x v="0"/>
    <x v="0"/>
    <x v="0"/>
    <x v="0"/>
    <x v="7"/>
    <x v="7"/>
    <x v="2"/>
    <x v="3"/>
    <s v="GNR_BO_WOODCHI_E-100"/>
    <x v="2"/>
    <x v="6"/>
    <n v="135.070301253634"/>
    <n v="32867.106638384299"/>
    <n v="118321.583898183"/>
  </r>
  <r>
    <x v="0"/>
    <x v="0"/>
    <x v="0"/>
    <x v="0"/>
    <x v="0"/>
    <x v="7"/>
    <x v="7"/>
    <x v="2"/>
    <x v="3"/>
    <s v="GNR_BO_WOODCHI_E-100"/>
    <x v="2"/>
    <x v="7"/>
    <n v="150.27500000000001"/>
    <n v="36566.916666666701"/>
    <n v="131640.9"/>
  </r>
  <r>
    <x v="0"/>
    <x v="0"/>
    <x v="0"/>
    <x v="0"/>
    <x v="0"/>
    <x v="7"/>
    <x v="7"/>
    <x v="2"/>
    <x v="3"/>
    <s v="GNR_BO_WOODCHI_E-105"/>
    <x v="0"/>
    <x v="5"/>
    <n v="4.5"/>
    <n v="1095"/>
    <n v="3942"/>
  </r>
  <r>
    <x v="0"/>
    <x v="0"/>
    <x v="0"/>
    <x v="0"/>
    <x v="0"/>
    <x v="7"/>
    <x v="7"/>
    <x v="2"/>
    <x v="3"/>
    <s v="GNR_BO_WOODCHI_E-105"/>
    <x v="0"/>
    <x v="3"/>
    <n v="4.5"/>
    <n v="1095"/>
    <n v="3942"/>
  </r>
  <r>
    <x v="0"/>
    <x v="0"/>
    <x v="0"/>
    <x v="0"/>
    <x v="0"/>
    <x v="7"/>
    <x v="7"/>
    <x v="2"/>
    <x v="3"/>
    <s v="GNR_BO_WOODCHI_E-105"/>
    <x v="0"/>
    <x v="6"/>
    <n v="4.5"/>
    <n v="1095"/>
    <n v="3942"/>
  </r>
  <r>
    <x v="0"/>
    <x v="0"/>
    <x v="0"/>
    <x v="0"/>
    <x v="0"/>
    <x v="7"/>
    <x v="7"/>
    <x v="2"/>
    <x v="3"/>
    <s v="GNR_BO_WOODCHI_E-105"/>
    <x v="0"/>
    <x v="4"/>
    <n v="4.5"/>
    <n v="1095"/>
    <n v="3942"/>
  </r>
  <r>
    <x v="0"/>
    <x v="0"/>
    <x v="0"/>
    <x v="0"/>
    <x v="0"/>
    <x v="7"/>
    <x v="7"/>
    <x v="2"/>
    <x v="3"/>
    <s v="GNR_BO_WOODCHI_E-105"/>
    <x v="0"/>
    <x v="7"/>
    <n v="4.5"/>
    <n v="1095"/>
    <n v="3942"/>
  </r>
  <r>
    <x v="0"/>
    <x v="0"/>
    <x v="0"/>
    <x v="0"/>
    <x v="0"/>
    <x v="7"/>
    <x v="7"/>
    <x v="2"/>
    <x v="3"/>
    <s v="GNR_BO_WOODCHI_E-105"/>
    <x v="0"/>
    <x v="8"/>
    <n v="4.5"/>
    <n v="1095"/>
    <n v="3942"/>
  </r>
  <r>
    <x v="0"/>
    <x v="0"/>
    <x v="0"/>
    <x v="0"/>
    <x v="0"/>
    <x v="7"/>
    <x v="7"/>
    <x v="2"/>
    <x v="3"/>
    <s v="GNR_BO_WOODCHI_E-105"/>
    <x v="0"/>
    <x v="0"/>
    <n v="4.5"/>
    <n v="1095"/>
    <n v="3942"/>
  </r>
  <r>
    <x v="0"/>
    <x v="0"/>
    <x v="0"/>
    <x v="0"/>
    <x v="0"/>
    <x v="7"/>
    <x v="7"/>
    <x v="2"/>
    <x v="3"/>
    <s v="GNR_BO_WOODCHI_E-105"/>
    <x v="0"/>
    <x v="1"/>
    <n v="4.5"/>
    <n v="1095"/>
    <n v="3942"/>
  </r>
  <r>
    <x v="0"/>
    <x v="0"/>
    <x v="0"/>
    <x v="0"/>
    <x v="0"/>
    <x v="7"/>
    <x v="7"/>
    <x v="2"/>
    <x v="3"/>
    <s v="GNR_BO_WOODCHI_E-105"/>
    <x v="0"/>
    <x v="2"/>
    <n v="4.5"/>
    <n v="1095"/>
    <n v="3942"/>
  </r>
  <r>
    <x v="0"/>
    <x v="0"/>
    <x v="0"/>
    <x v="0"/>
    <x v="0"/>
    <x v="7"/>
    <x v="7"/>
    <x v="2"/>
    <x v="3"/>
    <s v="GNR_BO_WOODCHI_E-105"/>
    <x v="0"/>
    <x v="9"/>
    <n v="4.5"/>
    <n v="1095"/>
    <n v="3942"/>
  </r>
  <r>
    <x v="0"/>
    <x v="0"/>
    <x v="0"/>
    <x v="0"/>
    <x v="0"/>
    <x v="7"/>
    <x v="7"/>
    <x v="2"/>
    <x v="3"/>
    <s v="GNR_BO_WOODCHI_E-105"/>
    <x v="0"/>
    <x v="10"/>
    <n v="4.5"/>
    <n v="1095"/>
    <n v="3942"/>
  </r>
  <r>
    <x v="0"/>
    <x v="0"/>
    <x v="0"/>
    <x v="0"/>
    <x v="0"/>
    <x v="7"/>
    <x v="7"/>
    <x v="2"/>
    <x v="3"/>
    <s v="GNR_BO_WOODCHI_E-105"/>
    <x v="0"/>
    <x v="11"/>
    <n v="4.5"/>
    <n v="1095"/>
    <n v="3942"/>
  </r>
  <r>
    <x v="0"/>
    <x v="0"/>
    <x v="0"/>
    <x v="0"/>
    <x v="0"/>
    <x v="7"/>
    <x v="7"/>
    <x v="2"/>
    <x v="3"/>
    <s v="GNR_BO_WOODCHI_E-105"/>
    <x v="2"/>
    <x v="6"/>
    <n v="4.5"/>
    <n v="1095"/>
    <n v="3942"/>
  </r>
  <r>
    <x v="0"/>
    <x v="0"/>
    <x v="0"/>
    <x v="0"/>
    <x v="0"/>
    <x v="7"/>
    <x v="7"/>
    <x v="2"/>
    <x v="3"/>
    <s v="GNR_BO_WOODCHI_E-105"/>
    <x v="2"/>
    <x v="7"/>
    <n v="4.5"/>
    <n v="1095"/>
    <n v="3942"/>
  </r>
  <r>
    <x v="0"/>
    <x v="0"/>
    <x v="0"/>
    <x v="0"/>
    <x v="0"/>
    <x v="7"/>
    <x v="7"/>
    <x v="2"/>
    <x v="3"/>
    <s v="GNR_BO_WOODCHI_E-105"/>
    <x v="2"/>
    <x v="2"/>
    <n v="4.5"/>
    <n v="1095"/>
    <n v="3942"/>
  </r>
  <r>
    <x v="0"/>
    <x v="0"/>
    <x v="0"/>
    <x v="0"/>
    <x v="0"/>
    <x v="7"/>
    <x v="7"/>
    <x v="2"/>
    <x v="3"/>
    <s v="GNR_BO_WOODCHI_E-106"/>
    <x v="0"/>
    <x v="5"/>
    <n v="2.75"/>
    <n v="669.16666666666697"/>
    <n v="2409"/>
  </r>
  <r>
    <x v="0"/>
    <x v="0"/>
    <x v="0"/>
    <x v="0"/>
    <x v="0"/>
    <x v="7"/>
    <x v="7"/>
    <x v="2"/>
    <x v="3"/>
    <s v="GNR_BO_WOODCHI_E-106"/>
    <x v="0"/>
    <x v="3"/>
    <n v="2.75"/>
    <n v="669.16666666666697"/>
    <n v="2409"/>
  </r>
  <r>
    <x v="0"/>
    <x v="0"/>
    <x v="0"/>
    <x v="0"/>
    <x v="0"/>
    <x v="7"/>
    <x v="7"/>
    <x v="2"/>
    <x v="3"/>
    <s v="GNR_BO_WOODCHI_E-106"/>
    <x v="0"/>
    <x v="6"/>
    <n v="2.75"/>
    <n v="669.16666666666697"/>
    <n v="2409"/>
  </r>
  <r>
    <x v="0"/>
    <x v="0"/>
    <x v="0"/>
    <x v="0"/>
    <x v="0"/>
    <x v="7"/>
    <x v="7"/>
    <x v="2"/>
    <x v="3"/>
    <s v="GNR_BO_WOODCHI_E-106"/>
    <x v="0"/>
    <x v="4"/>
    <n v="2.75"/>
    <n v="669.16666666666697"/>
    <n v="2409"/>
  </r>
  <r>
    <x v="0"/>
    <x v="0"/>
    <x v="0"/>
    <x v="0"/>
    <x v="0"/>
    <x v="7"/>
    <x v="7"/>
    <x v="2"/>
    <x v="3"/>
    <s v="GNR_BO_WOODCHI_E-106"/>
    <x v="0"/>
    <x v="7"/>
    <n v="2.75"/>
    <n v="669.16666666666697"/>
    <n v="2409"/>
  </r>
  <r>
    <x v="0"/>
    <x v="0"/>
    <x v="0"/>
    <x v="0"/>
    <x v="0"/>
    <x v="7"/>
    <x v="7"/>
    <x v="2"/>
    <x v="3"/>
    <s v="GNR_BO_WOODCHI_E-106"/>
    <x v="0"/>
    <x v="8"/>
    <n v="2.75"/>
    <n v="669.16666666666697"/>
    <n v="2409"/>
  </r>
  <r>
    <x v="0"/>
    <x v="0"/>
    <x v="0"/>
    <x v="0"/>
    <x v="0"/>
    <x v="7"/>
    <x v="7"/>
    <x v="2"/>
    <x v="3"/>
    <s v="GNR_BO_WOODCHI_E-106"/>
    <x v="0"/>
    <x v="0"/>
    <n v="2.75"/>
    <n v="669.16666666666697"/>
    <n v="2409"/>
  </r>
  <r>
    <x v="0"/>
    <x v="0"/>
    <x v="0"/>
    <x v="0"/>
    <x v="0"/>
    <x v="7"/>
    <x v="7"/>
    <x v="2"/>
    <x v="3"/>
    <s v="GNR_BO_WOODCHI_E-106"/>
    <x v="0"/>
    <x v="1"/>
    <n v="2.75"/>
    <n v="669.16666666666697"/>
    <n v="2409"/>
  </r>
  <r>
    <x v="0"/>
    <x v="0"/>
    <x v="0"/>
    <x v="0"/>
    <x v="0"/>
    <x v="7"/>
    <x v="7"/>
    <x v="2"/>
    <x v="3"/>
    <s v="GNR_BO_WOODCHI_E-106"/>
    <x v="0"/>
    <x v="2"/>
    <n v="2.75"/>
    <n v="669.16666666666697"/>
    <n v="2409"/>
  </r>
  <r>
    <x v="0"/>
    <x v="0"/>
    <x v="0"/>
    <x v="0"/>
    <x v="0"/>
    <x v="7"/>
    <x v="7"/>
    <x v="2"/>
    <x v="3"/>
    <s v="GNR_BO_WOODCHI_E-106"/>
    <x v="0"/>
    <x v="9"/>
    <n v="2.75"/>
    <n v="669.16666666666697"/>
    <n v="2409"/>
  </r>
  <r>
    <x v="0"/>
    <x v="0"/>
    <x v="0"/>
    <x v="0"/>
    <x v="0"/>
    <x v="7"/>
    <x v="7"/>
    <x v="2"/>
    <x v="3"/>
    <s v="GNR_BO_WOODCHI_E-106"/>
    <x v="0"/>
    <x v="10"/>
    <n v="2.75"/>
    <n v="669.16666666666697"/>
    <n v="2409"/>
  </r>
  <r>
    <x v="0"/>
    <x v="0"/>
    <x v="0"/>
    <x v="0"/>
    <x v="0"/>
    <x v="7"/>
    <x v="7"/>
    <x v="2"/>
    <x v="3"/>
    <s v="GNR_BO_WOODCHI_E-106"/>
    <x v="0"/>
    <x v="11"/>
    <n v="2.75"/>
    <n v="669.16666666666697"/>
    <n v="2409"/>
  </r>
  <r>
    <x v="0"/>
    <x v="0"/>
    <x v="0"/>
    <x v="0"/>
    <x v="0"/>
    <x v="7"/>
    <x v="7"/>
    <x v="2"/>
    <x v="3"/>
    <s v="GNR_BO_WOODCHI_E-106"/>
    <x v="2"/>
    <x v="6"/>
    <n v="2.75"/>
    <n v="669.16666666666697"/>
    <n v="2409"/>
  </r>
  <r>
    <x v="0"/>
    <x v="0"/>
    <x v="0"/>
    <x v="0"/>
    <x v="0"/>
    <x v="7"/>
    <x v="7"/>
    <x v="2"/>
    <x v="3"/>
    <s v="GNR_BO_WOODCHI_E-106"/>
    <x v="2"/>
    <x v="7"/>
    <n v="2.75"/>
    <n v="669.16666666666697"/>
    <n v="2409"/>
  </r>
  <r>
    <x v="0"/>
    <x v="0"/>
    <x v="0"/>
    <x v="0"/>
    <x v="0"/>
    <x v="7"/>
    <x v="7"/>
    <x v="2"/>
    <x v="3"/>
    <s v="GNR_BO_WOODCHI_E-106"/>
    <x v="2"/>
    <x v="0"/>
    <n v="2.6695635840979302"/>
    <n v="649.59380546382897"/>
    <n v="2338.5376996697901"/>
  </r>
  <r>
    <x v="0"/>
    <x v="0"/>
    <x v="0"/>
    <x v="0"/>
    <x v="0"/>
    <x v="7"/>
    <x v="7"/>
    <x v="2"/>
    <x v="3"/>
    <s v="GNR_BO_WOODCHI_E-106"/>
    <x v="2"/>
    <x v="2"/>
    <n v="2.75"/>
    <n v="669.16666666666697"/>
    <n v="2409"/>
  </r>
  <r>
    <x v="0"/>
    <x v="0"/>
    <x v="0"/>
    <x v="0"/>
    <x v="0"/>
    <x v="7"/>
    <x v="7"/>
    <x v="2"/>
    <x v="3"/>
    <s v="GNR_BO_WOODCHI_E-107"/>
    <x v="0"/>
    <x v="5"/>
    <n v="12.48"/>
    <n v="3036.8"/>
    <n v="10932.48"/>
  </r>
  <r>
    <x v="0"/>
    <x v="0"/>
    <x v="0"/>
    <x v="0"/>
    <x v="0"/>
    <x v="7"/>
    <x v="7"/>
    <x v="2"/>
    <x v="3"/>
    <s v="GNR_BO_WOODCHI_E-107"/>
    <x v="0"/>
    <x v="3"/>
    <n v="12.48"/>
    <n v="3036.8"/>
    <n v="10932.48"/>
  </r>
  <r>
    <x v="0"/>
    <x v="0"/>
    <x v="0"/>
    <x v="0"/>
    <x v="0"/>
    <x v="7"/>
    <x v="7"/>
    <x v="2"/>
    <x v="3"/>
    <s v="GNR_BO_WOODCHI_E-107"/>
    <x v="0"/>
    <x v="6"/>
    <n v="12.48"/>
    <n v="3036.8"/>
    <n v="10932.48"/>
  </r>
  <r>
    <x v="0"/>
    <x v="0"/>
    <x v="0"/>
    <x v="0"/>
    <x v="0"/>
    <x v="7"/>
    <x v="7"/>
    <x v="2"/>
    <x v="3"/>
    <s v="GNR_BO_WOODCHI_E-107"/>
    <x v="0"/>
    <x v="4"/>
    <n v="12.48"/>
    <n v="3036.8"/>
    <n v="10932.48"/>
  </r>
  <r>
    <x v="0"/>
    <x v="0"/>
    <x v="0"/>
    <x v="0"/>
    <x v="0"/>
    <x v="7"/>
    <x v="7"/>
    <x v="2"/>
    <x v="3"/>
    <s v="GNR_BO_WOODCHI_E-107"/>
    <x v="0"/>
    <x v="7"/>
    <n v="12.48"/>
    <n v="3036.8"/>
    <n v="10932.48"/>
  </r>
  <r>
    <x v="0"/>
    <x v="0"/>
    <x v="0"/>
    <x v="0"/>
    <x v="0"/>
    <x v="7"/>
    <x v="7"/>
    <x v="2"/>
    <x v="3"/>
    <s v="GNR_BO_WOODCHI_E-107"/>
    <x v="0"/>
    <x v="8"/>
    <n v="12.48"/>
    <n v="3036.8"/>
    <n v="10932.48"/>
  </r>
  <r>
    <x v="0"/>
    <x v="0"/>
    <x v="0"/>
    <x v="0"/>
    <x v="0"/>
    <x v="7"/>
    <x v="7"/>
    <x v="2"/>
    <x v="3"/>
    <s v="GNR_BO_WOODCHI_E-107"/>
    <x v="0"/>
    <x v="0"/>
    <n v="12.48"/>
    <n v="3036.8"/>
    <n v="10932.48"/>
  </r>
  <r>
    <x v="0"/>
    <x v="0"/>
    <x v="0"/>
    <x v="0"/>
    <x v="0"/>
    <x v="7"/>
    <x v="7"/>
    <x v="2"/>
    <x v="3"/>
    <s v="GNR_BO_WOODCHI_E-107"/>
    <x v="0"/>
    <x v="1"/>
    <n v="12.48"/>
    <n v="3036.8"/>
    <n v="10932.48"/>
  </r>
  <r>
    <x v="0"/>
    <x v="0"/>
    <x v="0"/>
    <x v="0"/>
    <x v="0"/>
    <x v="7"/>
    <x v="7"/>
    <x v="2"/>
    <x v="3"/>
    <s v="GNR_BO_WOODCHI_E-107"/>
    <x v="0"/>
    <x v="2"/>
    <n v="12.48"/>
    <n v="3036.8"/>
    <n v="10932.48"/>
  </r>
  <r>
    <x v="0"/>
    <x v="0"/>
    <x v="0"/>
    <x v="0"/>
    <x v="0"/>
    <x v="7"/>
    <x v="7"/>
    <x v="2"/>
    <x v="3"/>
    <s v="GNR_BO_WOODCHI_E-107"/>
    <x v="0"/>
    <x v="9"/>
    <n v="12.48"/>
    <n v="3036.8"/>
    <n v="10932.48"/>
  </r>
  <r>
    <x v="0"/>
    <x v="0"/>
    <x v="0"/>
    <x v="0"/>
    <x v="0"/>
    <x v="7"/>
    <x v="7"/>
    <x v="2"/>
    <x v="3"/>
    <s v="GNR_BO_WOODCHI_E-107"/>
    <x v="0"/>
    <x v="10"/>
    <n v="12.48"/>
    <n v="3036.8"/>
    <n v="10932.48"/>
  </r>
  <r>
    <x v="0"/>
    <x v="0"/>
    <x v="0"/>
    <x v="0"/>
    <x v="0"/>
    <x v="7"/>
    <x v="7"/>
    <x v="2"/>
    <x v="3"/>
    <s v="GNR_BO_WOODCHI_E-107"/>
    <x v="0"/>
    <x v="11"/>
    <n v="12.48"/>
    <n v="3036.8"/>
    <n v="10932.48"/>
  </r>
  <r>
    <x v="0"/>
    <x v="0"/>
    <x v="0"/>
    <x v="0"/>
    <x v="0"/>
    <x v="7"/>
    <x v="7"/>
    <x v="2"/>
    <x v="3"/>
    <s v="GNR_BO_WOODCHI_E-107"/>
    <x v="2"/>
    <x v="6"/>
    <n v="12.48"/>
    <n v="3036.8"/>
    <n v="10932.48"/>
  </r>
  <r>
    <x v="0"/>
    <x v="0"/>
    <x v="0"/>
    <x v="0"/>
    <x v="0"/>
    <x v="7"/>
    <x v="7"/>
    <x v="2"/>
    <x v="3"/>
    <s v="GNR_BO_WOODCHI_E-107"/>
    <x v="2"/>
    <x v="7"/>
    <n v="12.48"/>
    <n v="3036.8"/>
    <n v="10932.48"/>
  </r>
  <r>
    <x v="0"/>
    <x v="0"/>
    <x v="0"/>
    <x v="0"/>
    <x v="0"/>
    <x v="7"/>
    <x v="7"/>
    <x v="2"/>
    <x v="3"/>
    <s v="GNR_BO_WOODCHI_E-107"/>
    <x v="2"/>
    <x v="0"/>
    <n v="12.48"/>
    <n v="3036.8"/>
    <n v="10932.48"/>
  </r>
  <r>
    <x v="0"/>
    <x v="0"/>
    <x v="0"/>
    <x v="0"/>
    <x v="0"/>
    <x v="7"/>
    <x v="7"/>
    <x v="2"/>
    <x v="3"/>
    <s v="GNR_BO_WOODCHI_E-107"/>
    <x v="2"/>
    <x v="2"/>
    <n v="12.48"/>
    <n v="3036.8"/>
    <n v="10932.48"/>
  </r>
  <r>
    <x v="0"/>
    <x v="0"/>
    <x v="0"/>
    <x v="0"/>
    <x v="0"/>
    <x v="7"/>
    <x v="7"/>
    <x v="2"/>
    <x v="3"/>
    <s v="GNR_BO_WOODCHI_E-110"/>
    <x v="0"/>
    <x v="5"/>
    <n v="91.43"/>
    <n v="22247.9666666667"/>
    <n v="80092.679999999993"/>
  </r>
  <r>
    <x v="0"/>
    <x v="0"/>
    <x v="0"/>
    <x v="0"/>
    <x v="0"/>
    <x v="7"/>
    <x v="7"/>
    <x v="2"/>
    <x v="3"/>
    <s v="GNR_BO_WOODCHI_E-110"/>
    <x v="0"/>
    <x v="3"/>
    <n v="91.43"/>
    <n v="22247.9666666667"/>
    <n v="80092.679999999993"/>
  </r>
  <r>
    <x v="0"/>
    <x v="0"/>
    <x v="0"/>
    <x v="0"/>
    <x v="0"/>
    <x v="7"/>
    <x v="7"/>
    <x v="2"/>
    <x v="3"/>
    <s v="GNR_BO_WOODCHI_E-110"/>
    <x v="0"/>
    <x v="6"/>
    <n v="91.43"/>
    <n v="22247.9666666667"/>
    <n v="80092.679999999993"/>
  </r>
  <r>
    <x v="0"/>
    <x v="0"/>
    <x v="0"/>
    <x v="0"/>
    <x v="0"/>
    <x v="7"/>
    <x v="7"/>
    <x v="2"/>
    <x v="3"/>
    <s v="GNR_BO_WOODCHI_E-110"/>
    <x v="0"/>
    <x v="4"/>
    <n v="91.43"/>
    <n v="22247.9666666667"/>
    <n v="80092.679999999993"/>
  </r>
  <r>
    <x v="0"/>
    <x v="0"/>
    <x v="0"/>
    <x v="0"/>
    <x v="0"/>
    <x v="7"/>
    <x v="7"/>
    <x v="2"/>
    <x v="3"/>
    <s v="GNR_BO_WOODCHI_E-110"/>
    <x v="0"/>
    <x v="7"/>
    <n v="91.43"/>
    <n v="22247.9666666667"/>
    <n v="80092.679999999993"/>
  </r>
  <r>
    <x v="0"/>
    <x v="0"/>
    <x v="0"/>
    <x v="0"/>
    <x v="0"/>
    <x v="7"/>
    <x v="7"/>
    <x v="2"/>
    <x v="3"/>
    <s v="GNR_BO_WOODCHI_E-110"/>
    <x v="0"/>
    <x v="8"/>
    <n v="91.43"/>
    <n v="22247.9666666667"/>
    <n v="80092.679999999993"/>
  </r>
  <r>
    <x v="0"/>
    <x v="0"/>
    <x v="0"/>
    <x v="0"/>
    <x v="0"/>
    <x v="7"/>
    <x v="7"/>
    <x v="2"/>
    <x v="3"/>
    <s v="GNR_BO_WOODCHI_E-110"/>
    <x v="0"/>
    <x v="0"/>
    <n v="91.43"/>
    <n v="22247.9666666667"/>
    <n v="80092.679999999993"/>
  </r>
  <r>
    <x v="0"/>
    <x v="0"/>
    <x v="0"/>
    <x v="0"/>
    <x v="0"/>
    <x v="7"/>
    <x v="7"/>
    <x v="2"/>
    <x v="3"/>
    <s v="GNR_BO_WOODCHI_E-110"/>
    <x v="0"/>
    <x v="1"/>
    <n v="91.43"/>
    <n v="22247.9666666667"/>
    <n v="80092.679999999993"/>
  </r>
  <r>
    <x v="0"/>
    <x v="0"/>
    <x v="0"/>
    <x v="0"/>
    <x v="0"/>
    <x v="7"/>
    <x v="7"/>
    <x v="2"/>
    <x v="3"/>
    <s v="GNR_BO_WOODCHI_E-110"/>
    <x v="0"/>
    <x v="2"/>
    <n v="91.43"/>
    <n v="22247.9666666667"/>
    <n v="80092.679999999993"/>
  </r>
  <r>
    <x v="0"/>
    <x v="0"/>
    <x v="0"/>
    <x v="0"/>
    <x v="0"/>
    <x v="7"/>
    <x v="7"/>
    <x v="2"/>
    <x v="3"/>
    <s v="GNR_BO_WOODCHI_E-110"/>
    <x v="0"/>
    <x v="9"/>
    <n v="91.43"/>
    <n v="22247.9666666667"/>
    <n v="80092.679999999993"/>
  </r>
  <r>
    <x v="0"/>
    <x v="0"/>
    <x v="0"/>
    <x v="0"/>
    <x v="0"/>
    <x v="7"/>
    <x v="7"/>
    <x v="2"/>
    <x v="3"/>
    <s v="GNR_BO_WOODCHI_E-110"/>
    <x v="0"/>
    <x v="10"/>
    <n v="91.43"/>
    <n v="22247.9666666667"/>
    <n v="80092.679999999993"/>
  </r>
  <r>
    <x v="0"/>
    <x v="0"/>
    <x v="0"/>
    <x v="0"/>
    <x v="0"/>
    <x v="7"/>
    <x v="7"/>
    <x v="2"/>
    <x v="3"/>
    <s v="GNR_BO_WOODCHI_E-110"/>
    <x v="0"/>
    <x v="11"/>
    <n v="91.43"/>
    <n v="22247.9666666667"/>
    <n v="80092.679999999993"/>
  </r>
  <r>
    <x v="0"/>
    <x v="0"/>
    <x v="0"/>
    <x v="0"/>
    <x v="0"/>
    <x v="7"/>
    <x v="7"/>
    <x v="2"/>
    <x v="3"/>
    <s v="GNR_BO_WOODCHI_E-110"/>
    <x v="2"/>
    <x v="5"/>
    <n v="91.43"/>
    <n v="22247.9666666667"/>
    <n v="80092.679999999993"/>
  </r>
  <r>
    <x v="0"/>
    <x v="0"/>
    <x v="0"/>
    <x v="0"/>
    <x v="0"/>
    <x v="7"/>
    <x v="7"/>
    <x v="2"/>
    <x v="3"/>
    <s v="GNR_BO_WOODCHI_E-110"/>
    <x v="2"/>
    <x v="3"/>
    <n v="91.43"/>
    <n v="22247.9666666667"/>
    <n v="80092.679999999993"/>
  </r>
  <r>
    <x v="0"/>
    <x v="0"/>
    <x v="0"/>
    <x v="0"/>
    <x v="0"/>
    <x v="7"/>
    <x v="7"/>
    <x v="2"/>
    <x v="3"/>
    <s v="GNR_BO_WOODCHI_E-110"/>
    <x v="2"/>
    <x v="6"/>
    <n v="91.43"/>
    <n v="22247.9666666667"/>
    <n v="80092.679999999993"/>
  </r>
  <r>
    <x v="0"/>
    <x v="0"/>
    <x v="0"/>
    <x v="0"/>
    <x v="0"/>
    <x v="7"/>
    <x v="7"/>
    <x v="2"/>
    <x v="3"/>
    <s v="GNR_BO_WOODCHI_E-110"/>
    <x v="2"/>
    <x v="4"/>
    <n v="91.43"/>
    <n v="22247.9666666667"/>
    <n v="80092.679999999993"/>
  </r>
  <r>
    <x v="0"/>
    <x v="0"/>
    <x v="0"/>
    <x v="0"/>
    <x v="0"/>
    <x v="7"/>
    <x v="7"/>
    <x v="2"/>
    <x v="3"/>
    <s v="GNR_BO_WOODCHI_E-110"/>
    <x v="2"/>
    <x v="7"/>
    <n v="91.43"/>
    <n v="22247.9666666667"/>
    <n v="80092.679999999993"/>
  </r>
  <r>
    <x v="0"/>
    <x v="0"/>
    <x v="0"/>
    <x v="0"/>
    <x v="0"/>
    <x v="7"/>
    <x v="7"/>
    <x v="2"/>
    <x v="3"/>
    <s v="GNR_BO_WOODCHI_E-110"/>
    <x v="2"/>
    <x v="8"/>
    <n v="91.43"/>
    <n v="22247.9666666667"/>
    <n v="80092.679999999993"/>
  </r>
  <r>
    <x v="0"/>
    <x v="0"/>
    <x v="0"/>
    <x v="0"/>
    <x v="0"/>
    <x v="7"/>
    <x v="7"/>
    <x v="2"/>
    <x v="3"/>
    <s v="GNR_BO_WOODCHI_E-110"/>
    <x v="2"/>
    <x v="0"/>
    <n v="91.43"/>
    <n v="22247.9666666667"/>
    <n v="80092.679999999993"/>
  </r>
  <r>
    <x v="0"/>
    <x v="0"/>
    <x v="0"/>
    <x v="0"/>
    <x v="0"/>
    <x v="7"/>
    <x v="7"/>
    <x v="2"/>
    <x v="3"/>
    <s v="GNR_BO_WOODCHI_E-110"/>
    <x v="2"/>
    <x v="1"/>
    <n v="91.43"/>
    <n v="22247.9666666667"/>
    <n v="80092.679999999993"/>
  </r>
  <r>
    <x v="0"/>
    <x v="0"/>
    <x v="0"/>
    <x v="0"/>
    <x v="0"/>
    <x v="7"/>
    <x v="7"/>
    <x v="2"/>
    <x v="3"/>
    <s v="GNR_BO_WOODCHI_E-110"/>
    <x v="2"/>
    <x v="2"/>
    <n v="91.43"/>
    <n v="22247.9666666667"/>
    <n v="80092.679999999993"/>
  </r>
  <r>
    <x v="0"/>
    <x v="0"/>
    <x v="0"/>
    <x v="0"/>
    <x v="0"/>
    <x v="7"/>
    <x v="7"/>
    <x v="2"/>
    <x v="3"/>
    <s v="GNR_BO_WOODCHI_E-110"/>
    <x v="2"/>
    <x v="9"/>
    <n v="91.43"/>
    <n v="22247.9666666667"/>
    <n v="80092.679999999993"/>
  </r>
  <r>
    <x v="0"/>
    <x v="0"/>
    <x v="0"/>
    <x v="0"/>
    <x v="0"/>
    <x v="7"/>
    <x v="7"/>
    <x v="2"/>
    <x v="3"/>
    <s v="GNR_BO_WOODCHI_E-110"/>
    <x v="2"/>
    <x v="10"/>
    <n v="91.43"/>
    <n v="22247.9666666667"/>
    <n v="80092.679999999993"/>
  </r>
  <r>
    <x v="0"/>
    <x v="0"/>
    <x v="0"/>
    <x v="0"/>
    <x v="0"/>
    <x v="7"/>
    <x v="7"/>
    <x v="2"/>
    <x v="3"/>
    <s v="GNR_BO_WOODCHI_E-110"/>
    <x v="2"/>
    <x v="11"/>
    <n v="91.43"/>
    <n v="22247.9666666667"/>
    <n v="80092.679999999993"/>
  </r>
  <r>
    <x v="0"/>
    <x v="0"/>
    <x v="0"/>
    <x v="0"/>
    <x v="0"/>
    <x v="7"/>
    <x v="7"/>
    <x v="2"/>
    <x v="3"/>
    <s v="GNR_BO_WOODCHI_E-110"/>
    <x v="1"/>
    <x v="5"/>
    <n v="91.43"/>
    <n v="22247.9666666667"/>
    <n v="80092.679999999993"/>
  </r>
  <r>
    <x v="0"/>
    <x v="0"/>
    <x v="0"/>
    <x v="0"/>
    <x v="0"/>
    <x v="7"/>
    <x v="7"/>
    <x v="2"/>
    <x v="3"/>
    <s v="GNR_BO_WOODCHI_E-110"/>
    <x v="1"/>
    <x v="3"/>
    <n v="91.43"/>
    <n v="22247.9666666667"/>
    <n v="80092.679999999993"/>
  </r>
  <r>
    <x v="0"/>
    <x v="0"/>
    <x v="0"/>
    <x v="0"/>
    <x v="0"/>
    <x v="7"/>
    <x v="7"/>
    <x v="2"/>
    <x v="3"/>
    <s v="GNR_BO_WOODCHI_E-110"/>
    <x v="1"/>
    <x v="6"/>
    <n v="91.43"/>
    <n v="22247.9666666667"/>
    <n v="80092.679999999993"/>
  </r>
  <r>
    <x v="0"/>
    <x v="0"/>
    <x v="0"/>
    <x v="0"/>
    <x v="0"/>
    <x v="7"/>
    <x v="7"/>
    <x v="2"/>
    <x v="3"/>
    <s v="GNR_BO_WOODCHI_E-110"/>
    <x v="1"/>
    <x v="4"/>
    <n v="91.43"/>
    <n v="22247.9666666667"/>
    <n v="80092.679999999993"/>
  </r>
  <r>
    <x v="0"/>
    <x v="0"/>
    <x v="0"/>
    <x v="0"/>
    <x v="0"/>
    <x v="7"/>
    <x v="7"/>
    <x v="2"/>
    <x v="3"/>
    <s v="GNR_BO_WOODCHI_E-110"/>
    <x v="1"/>
    <x v="7"/>
    <n v="91.43"/>
    <n v="22247.9666666667"/>
    <n v="80092.679999999993"/>
  </r>
  <r>
    <x v="0"/>
    <x v="0"/>
    <x v="0"/>
    <x v="0"/>
    <x v="0"/>
    <x v="7"/>
    <x v="7"/>
    <x v="2"/>
    <x v="3"/>
    <s v="GNR_BO_WOODCHI_E-110"/>
    <x v="1"/>
    <x v="8"/>
    <n v="91.43"/>
    <n v="22247.9666666667"/>
    <n v="80092.679999999993"/>
  </r>
  <r>
    <x v="0"/>
    <x v="0"/>
    <x v="0"/>
    <x v="0"/>
    <x v="0"/>
    <x v="7"/>
    <x v="7"/>
    <x v="2"/>
    <x v="3"/>
    <s v="GNR_BO_WOODCHI_E-110"/>
    <x v="1"/>
    <x v="0"/>
    <n v="91.43"/>
    <n v="22247.9666666667"/>
    <n v="80092.679999999993"/>
  </r>
  <r>
    <x v="0"/>
    <x v="0"/>
    <x v="0"/>
    <x v="0"/>
    <x v="0"/>
    <x v="7"/>
    <x v="7"/>
    <x v="2"/>
    <x v="3"/>
    <s v="GNR_BO_WOODCHI_E-110"/>
    <x v="1"/>
    <x v="1"/>
    <n v="91.43"/>
    <n v="22247.9666666667"/>
    <n v="80092.679999999993"/>
  </r>
  <r>
    <x v="0"/>
    <x v="0"/>
    <x v="0"/>
    <x v="0"/>
    <x v="0"/>
    <x v="7"/>
    <x v="7"/>
    <x v="2"/>
    <x v="3"/>
    <s v="GNR_BO_WOODCHI_E-110"/>
    <x v="1"/>
    <x v="2"/>
    <n v="91.43"/>
    <n v="22247.9666666667"/>
    <n v="80092.679999999993"/>
  </r>
  <r>
    <x v="0"/>
    <x v="0"/>
    <x v="0"/>
    <x v="0"/>
    <x v="0"/>
    <x v="7"/>
    <x v="7"/>
    <x v="2"/>
    <x v="3"/>
    <s v="GNR_BO_WOODCHI_E-110"/>
    <x v="1"/>
    <x v="10"/>
    <n v="91.43"/>
    <n v="22247.9666666667"/>
    <n v="80092.679999999993"/>
  </r>
  <r>
    <x v="0"/>
    <x v="0"/>
    <x v="0"/>
    <x v="0"/>
    <x v="0"/>
    <x v="7"/>
    <x v="7"/>
    <x v="2"/>
    <x v="3"/>
    <s v="GNR_BO_WOODCHI_E-110"/>
    <x v="1"/>
    <x v="11"/>
    <n v="49.540273640236101"/>
    <n v="12054.7999191241"/>
    <n v="43397.2797088468"/>
  </r>
  <r>
    <x v="0"/>
    <x v="0"/>
    <x v="0"/>
    <x v="0"/>
    <x v="0"/>
    <x v="7"/>
    <x v="7"/>
    <x v="2"/>
    <x v="3"/>
    <s v="GNR_BO_WOODCHI_E-112"/>
    <x v="0"/>
    <x v="5"/>
    <n v="19"/>
    <n v="4623.3333333333303"/>
    <n v="16644"/>
  </r>
  <r>
    <x v="0"/>
    <x v="0"/>
    <x v="0"/>
    <x v="0"/>
    <x v="0"/>
    <x v="7"/>
    <x v="7"/>
    <x v="2"/>
    <x v="3"/>
    <s v="GNR_BO_WOODCHI_E-112"/>
    <x v="0"/>
    <x v="3"/>
    <n v="19"/>
    <n v="4623.3333333333303"/>
    <n v="16644"/>
  </r>
  <r>
    <x v="0"/>
    <x v="0"/>
    <x v="0"/>
    <x v="0"/>
    <x v="0"/>
    <x v="7"/>
    <x v="7"/>
    <x v="2"/>
    <x v="3"/>
    <s v="GNR_BO_WOODCHI_E-112"/>
    <x v="0"/>
    <x v="6"/>
    <n v="19"/>
    <n v="4623.3333333333303"/>
    <n v="16644"/>
  </r>
  <r>
    <x v="0"/>
    <x v="0"/>
    <x v="0"/>
    <x v="0"/>
    <x v="0"/>
    <x v="7"/>
    <x v="7"/>
    <x v="2"/>
    <x v="3"/>
    <s v="GNR_BO_WOODCHI_E-112"/>
    <x v="0"/>
    <x v="4"/>
    <n v="19"/>
    <n v="4623.3333333333303"/>
    <n v="16644"/>
  </r>
  <r>
    <x v="0"/>
    <x v="0"/>
    <x v="0"/>
    <x v="0"/>
    <x v="0"/>
    <x v="7"/>
    <x v="7"/>
    <x v="2"/>
    <x v="3"/>
    <s v="GNR_BO_WOODCHI_E-112"/>
    <x v="0"/>
    <x v="7"/>
    <n v="19"/>
    <n v="4623.3333333333303"/>
    <n v="16644"/>
  </r>
  <r>
    <x v="0"/>
    <x v="0"/>
    <x v="0"/>
    <x v="0"/>
    <x v="0"/>
    <x v="7"/>
    <x v="7"/>
    <x v="2"/>
    <x v="3"/>
    <s v="GNR_BO_WOODCHI_E-112"/>
    <x v="0"/>
    <x v="8"/>
    <n v="19"/>
    <n v="4623.3333333333303"/>
    <n v="16644"/>
  </r>
  <r>
    <x v="0"/>
    <x v="0"/>
    <x v="0"/>
    <x v="0"/>
    <x v="0"/>
    <x v="7"/>
    <x v="7"/>
    <x v="2"/>
    <x v="3"/>
    <s v="GNR_BO_WOODCHI_E-112"/>
    <x v="0"/>
    <x v="0"/>
    <n v="19"/>
    <n v="4623.3333333333303"/>
    <n v="16644"/>
  </r>
  <r>
    <x v="0"/>
    <x v="0"/>
    <x v="0"/>
    <x v="0"/>
    <x v="0"/>
    <x v="7"/>
    <x v="7"/>
    <x v="2"/>
    <x v="3"/>
    <s v="GNR_BO_WOODCHI_E-112"/>
    <x v="0"/>
    <x v="1"/>
    <n v="19"/>
    <n v="4623.3333333333303"/>
    <n v="16644"/>
  </r>
  <r>
    <x v="0"/>
    <x v="0"/>
    <x v="0"/>
    <x v="0"/>
    <x v="0"/>
    <x v="7"/>
    <x v="7"/>
    <x v="2"/>
    <x v="3"/>
    <s v="GNR_BO_WOODCHI_E-112"/>
    <x v="0"/>
    <x v="2"/>
    <n v="19"/>
    <n v="4623.3333333333303"/>
    <n v="16644"/>
  </r>
  <r>
    <x v="0"/>
    <x v="0"/>
    <x v="0"/>
    <x v="0"/>
    <x v="0"/>
    <x v="7"/>
    <x v="7"/>
    <x v="2"/>
    <x v="3"/>
    <s v="GNR_BO_WOODCHI_E-112"/>
    <x v="0"/>
    <x v="9"/>
    <n v="19"/>
    <n v="4623.3333333333303"/>
    <n v="16644"/>
  </r>
  <r>
    <x v="0"/>
    <x v="0"/>
    <x v="0"/>
    <x v="0"/>
    <x v="0"/>
    <x v="7"/>
    <x v="7"/>
    <x v="2"/>
    <x v="3"/>
    <s v="GNR_BO_WOODCHI_E-112"/>
    <x v="0"/>
    <x v="10"/>
    <n v="19"/>
    <n v="4623.3333333333303"/>
    <n v="16644"/>
  </r>
  <r>
    <x v="0"/>
    <x v="0"/>
    <x v="0"/>
    <x v="0"/>
    <x v="0"/>
    <x v="7"/>
    <x v="7"/>
    <x v="2"/>
    <x v="3"/>
    <s v="GNR_BO_WOODCHI_E-112"/>
    <x v="0"/>
    <x v="11"/>
    <n v="19"/>
    <n v="4623.3333333333303"/>
    <n v="16644"/>
  </r>
  <r>
    <x v="0"/>
    <x v="0"/>
    <x v="0"/>
    <x v="0"/>
    <x v="0"/>
    <x v="7"/>
    <x v="7"/>
    <x v="2"/>
    <x v="3"/>
    <s v="GNR_BO_WOODCHI_E-112"/>
    <x v="2"/>
    <x v="5"/>
    <n v="19"/>
    <n v="4623.3333333333303"/>
    <n v="16644"/>
  </r>
  <r>
    <x v="0"/>
    <x v="0"/>
    <x v="0"/>
    <x v="0"/>
    <x v="0"/>
    <x v="7"/>
    <x v="7"/>
    <x v="2"/>
    <x v="3"/>
    <s v="GNR_BO_WOODCHI_E-112"/>
    <x v="2"/>
    <x v="3"/>
    <n v="19"/>
    <n v="4623.3333333333303"/>
    <n v="16644"/>
  </r>
  <r>
    <x v="0"/>
    <x v="0"/>
    <x v="0"/>
    <x v="0"/>
    <x v="0"/>
    <x v="7"/>
    <x v="7"/>
    <x v="2"/>
    <x v="3"/>
    <s v="GNR_BO_WOODCHI_E-112"/>
    <x v="2"/>
    <x v="6"/>
    <n v="19"/>
    <n v="4623.3333333333303"/>
    <n v="16644"/>
  </r>
  <r>
    <x v="0"/>
    <x v="0"/>
    <x v="0"/>
    <x v="0"/>
    <x v="0"/>
    <x v="7"/>
    <x v="7"/>
    <x v="2"/>
    <x v="3"/>
    <s v="GNR_BO_WOODCHI_E-112"/>
    <x v="2"/>
    <x v="4"/>
    <n v="19"/>
    <n v="4623.3333333333303"/>
    <n v="16644"/>
  </r>
  <r>
    <x v="0"/>
    <x v="0"/>
    <x v="0"/>
    <x v="0"/>
    <x v="0"/>
    <x v="7"/>
    <x v="7"/>
    <x v="2"/>
    <x v="3"/>
    <s v="GNR_BO_WOODCHI_E-112"/>
    <x v="2"/>
    <x v="7"/>
    <n v="19"/>
    <n v="4623.3333333333303"/>
    <n v="16644"/>
  </r>
  <r>
    <x v="0"/>
    <x v="0"/>
    <x v="0"/>
    <x v="0"/>
    <x v="0"/>
    <x v="7"/>
    <x v="7"/>
    <x v="2"/>
    <x v="3"/>
    <s v="GNR_BO_WOODCHI_E-112"/>
    <x v="2"/>
    <x v="8"/>
    <n v="19"/>
    <n v="4623.3333333333303"/>
    <n v="16644"/>
  </r>
  <r>
    <x v="0"/>
    <x v="0"/>
    <x v="0"/>
    <x v="0"/>
    <x v="0"/>
    <x v="7"/>
    <x v="7"/>
    <x v="2"/>
    <x v="3"/>
    <s v="GNR_BO_WOODCHI_E-112"/>
    <x v="2"/>
    <x v="0"/>
    <n v="19"/>
    <n v="4623.3333333333303"/>
    <n v="16644"/>
  </r>
  <r>
    <x v="0"/>
    <x v="0"/>
    <x v="0"/>
    <x v="0"/>
    <x v="0"/>
    <x v="7"/>
    <x v="7"/>
    <x v="2"/>
    <x v="3"/>
    <s v="GNR_BO_WOODCHI_E-112"/>
    <x v="2"/>
    <x v="1"/>
    <n v="19"/>
    <n v="4623.3333333333303"/>
    <n v="16644"/>
  </r>
  <r>
    <x v="0"/>
    <x v="0"/>
    <x v="0"/>
    <x v="0"/>
    <x v="0"/>
    <x v="7"/>
    <x v="7"/>
    <x v="2"/>
    <x v="3"/>
    <s v="GNR_BO_WOODCHI_E-112"/>
    <x v="2"/>
    <x v="2"/>
    <n v="19"/>
    <n v="4623.3333333333303"/>
    <n v="16644"/>
  </r>
  <r>
    <x v="0"/>
    <x v="0"/>
    <x v="0"/>
    <x v="0"/>
    <x v="0"/>
    <x v="7"/>
    <x v="7"/>
    <x v="2"/>
    <x v="3"/>
    <s v="GNR_BO_WOODCHI_E-112"/>
    <x v="2"/>
    <x v="9"/>
    <n v="19"/>
    <n v="4623.3333333333303"/>
    <n v="16644"/>
  </r>
  <r>
    <x v="0"/>
    <x v="0"/>
    <x v="0"/>
    <x v="0"/>
    <x v="0"/>
    <x v="7"/>
    <x v="7"/>
    <x v="2"/>
    <x v="3"/>
    <s v="GNR_BO_WOODCHI_E-112"/>
    <x v="2"/>
    <x v="10"/>
    <n v="19"/>
    <n v="4623.3333333333303"/>
    <n v="16644"/>
  </r>
  <r>
    <x v="0"/>
    <x v="0"/>
    <x v="0"/>
    <x v="0"/>
    <x v="0"/>
    <x v="7"/>
    <x v="7"/>
    <x v="2"/>
    <x v="3"/>
    <s v="GNR_BO_WOODCHI_E-112"/>
    <x v="2"/>
    <x v="11"/>
    <n v="19"/>
    <n v="4623.3333333333303"/>
    <n v="16644"/>
  </r>
  <r>
    <x v="0"/>
    <x v="0"/>
    <x v="0"/>
    <x v="0"/>
    <x v="0"/>
    <x v="7"/>
    <x v="7"/>
    <x v="2"/>
    <x v="3"/>
    <s v="GNR_BO_WOODCHI_E-112"/>
    <x v="1"/>
    <x v="5"/>
    <n v="19"/>
    <n v="4623.3333333333303"/>
    <n v="16644"/>
  </r>
  <r>
    <x v="0"/>
    <x v="0"/>
    <x v="0"/>
    <x v="0"/>
    <x v="0"/>
    <x v="7"/>
    <x v="7"/>
    <x v="2"/>
    <x v="3"/>
    <s v="GNR_BO_WOODCHI_E-112"/>
    <x v="1"/>
    <x v="3"/>
    <n v="19"/>
    <n v="4623.3333333333303"/>
    <n v="16644"/>
  </r>
  <r>
    <x v="0"/>
    <x v="0"/>
    <x v="0"/>
    <x v="0"/>
    <x v="0"/>
    <x v="7"/>
    <x v="7"/>
    <x v="2"/>
    <x v="3"/>
    <s v="GNR_BO_WOODCHI_E-112"/>
    <x v="1"/>
    <x v="6"/>
    <n v="19"/>
    <n v="4623.3333333333303"/>
    <n v="16644"/>
  </r>
  <r>
    <x v="0"/>
    <x v="0"/>
    <x v="0"/>
    <x v="0"/>
    <x v="0"/>
    <x v="7"/>
    <x v="7"/>
    <x v="2"/>
    <x v="3"/>
    <s v="GNR_BO_WOODCHI_E-112"/>
    <x v="1"/>
    <x v="4"/>
    <n v="19"/>
    <n v="4623.3333333333303"/>
    <n v="16644"/>
  </r>
  <r>
    <x v="0"/>
    <x v="0"/>
    <x v="0"/>
    <x v="0"/>
    <x v="0"/>
    <x v="7"/>
    <x v="7"/>
    <x v="2"/>
    <x v="3"/>
    <s v="GNR_BO_WOODCHI_E-112"/>
    <x v="1"/>
    <x v="7"/>
    <n v="19"/>
    <n v="4623.3333333333303"/>
    <n v="16644"/>
  </r>
  <r>
    <x v="0"/>
    <x v="0"/>
    <x v="0"/>
    <x v="0"/>
    <x v="0"/>
    <x v="7"/>
    <x v="7"/>
    <x v="2"/>
    <x v="3"/>
    <s v="GNR_BO_WOODCHI_E-112"/>
    <x v="1"/>
    <x v="8"/>
    <n v="19"/>
    <n v="4623.3333333333303"/>
    <n v="16644"/>
  </r>
  <r>
    <x v="0"/>
    <x v="0"/>
    <x v="0"/>
    <x v="0"/>
    <x v="0"/>
    <x v="7"/>
    <x v="7"/>
    <x v="2"/>
    <x v="3"/>
    <s v="GNR_BO_WOODCHI_E-112"/>
    <x v="1"/>
    <x v="0"/>
    <n v="19"/>
    <n v="4623.3333333333303"/>
    <n v="16644"/>
  </r>
  <r>
    <x v="0"/>
    <x v="0"/>
    <x v="0"/>
    <x v="0"/>
    <x v="0"/>
    <x v="7"/>
    <x v="7"/>
    <x v="2"/>
    <x v="3"/>
    <s v="GNR_BO_WOODCHI_E-112"/>
    <x v="1"/>
    <x v="1"/>
    <n v="19"/>
    <n v="4623.3333333333303"/>
    <n v="16644"/>
  </r>
  <r>
    <x v="0"/>
    <x v="0"/>
    <x v="0"/>
    <x v="0"/>
    <x v="0"/>
    <x v="7"/>
    <x v="7"/>
    <x v="2"/>
    <x v="3"/>
    <s v="GNR_BO_WOODCHI_E-112"/>
    <x v="1"/>
    <x v="2"/>
    <n v="19"/>
    <n v="4623.3333333333303"/>
    <n v="16644"/>
  </r>
  <r>
    <x v="0"/>
    <x v="0"/>
    <x v="0"/>
    <x v="0"/>
    <x v="0"/>
    <x v="7"/>
    <x v="7"/>
    <x v="2"/>
    <x v="3"/>
    <s v="GNR_BO_WOODCHI_E-112"/>
    <x v="1"/>
    <x v="10"/>
    <n v="19"/>
    <n v="4623.3333333333303"/>
    <n v="16644"/>
  </r>
  <r>
    <x v="0"/>
    <x v="0"/>
    <x v="0"/>
    <x v="0"/>
    <x v="0"/>
    <x v="7"/>
    <x v="7"/>
    <x v="2"/>
    <x v="3"/>
    <s v="GNR_BO_WOODCHI_E-112"/>
    <x v="1"/>
    <x v="11"/>
    <n v="19"/>
    <n v="4623.3333333333303"/>
    <n v="16644"/>
  </r>
  <r>
    <x v="0"/>
    <x v="0"/>
    <x v="0"/>
    <x v="0"/>
    <x v="0"/>
    <x v="7"/>
    <x v="7"/>
    <x v="2"/>
    <x v="3"/>
    <s v="GNR_BO_WOODCHI_E-117"/>
    <x v="0"/>
    <x v="5"/>
    <n v="13"/>
    <n v="3163.3333333333298"/>
    <n v="11388"/>
  </r>
  <r>
    <x v="0"/>
    <x v="0"/>
    <x v="0"/>
    <x v="0"/>
    <x v="0"/>
    <x v="7"/>
    <x v="7"/>
    <x v="2"/>
    <x v="3"/>
    <s v="GNR_BO_WOODCHI_E-117"/>
    <x v="0"/>
    <x v="3"/>
    <n v="13"/>
    <n v="3163.3333333333298"/>
    <n v="11388"/>
  </r>
  <r>
    <x v="0"/>
    <x v="0"/>
    <x v="0"/>
    <x v="0"/>
    <x v="0"/>
    <x v="7"/>
    <x v="7"/>
    <x v="2"/>
    <x v="3"/>
    <s v="GNR_BO_WOODCHI_E-117"/>
    <x v="0"/>
    <x v="6"/>
    <n v="13"/>
    <n v="3163.3333333333298"/>
    <n v="11388"/>
  </r>
  <r>
    <x v="0"/>
    <x v="0"/>
    <x v="0"/>
    <x v="0"/>
    <x v="0"/>
    <x v="7"/>
    <x v="7"/>
    <x v="2"/>
    <x v="3"/>
    <s v="GNR_BO_WOODCHI_E-117"/>
    <x v="0"/>
    <x v="4"/>
    <n v="13"/>
    <n v="3163.3333333333298"/>
    <n v="11388"/>
  </r>
  <r>
    <x v="0"/>
    <x v="0"/>
    <x v="0"/>
    <x v="0"/>
    <x v="0"/>
    <x v="7"/>
    <x v="7"/>
    <x v="2"/>
    <x v="3"/>
    <s v="GNR_BO_WOODCHI_E-117"/>
    <x v="0"/>
    <x v="7"/>
    <n v="13"/>
    <n v="3163.3333333333298"/>
    <n v="11388"/>
  </r>
  <r>
    <x v="0"/>
    <x v="0"/>
    <x v="0"/>
    <x v="0"/>
    <x v="0"/>
    <x v="7"/>
    <x v="7"/>
    <x v="2"/>
    <x v="3"/>
    <s v="GNR_BO_WOODCHI_E-117"/>
    <x v="0"/>
    <x v="8"/>
    <n v="13"/>
    <n v="3163.3333333333298"/>
    <n v="11388"/>
  </r>
  <r>
    <x v="0"/>
    <x v="0"/>
    <x v="0"/>
    <x v="0"/>
    <x v="0"/>
    <x v="7"/>
    <x v="7"/>
    <x v="2"/>
    <x v="3"/>
    <s v="GNR_BO_WOODCHI_E-117"/>
    <x v="0"/>
    <x v="0"/>
    <n v="13"/>
    <n v="3163.3333333333298"/>
    <n v="11388"/>
  </r>
  <r>
    <x v="0"/>
    <x v="0"/>
    <x v="0"/>
    <x v="0"/>
    <x v="0"/>
    <x v="7"/>
    <x v="7"/>
    <x v="2"/>
    <x v="3"/>
    <s v="GNR_BO_WOODCHI_E-117"/>
    <x v="0"/>
    <x v="1"/>
    <n v="13"/>
    <n v="3163.3333333333298"/>
    <n v="11388"/>
  </r>
  <r>
    <x v="0"/>
    <x v="0"/>
    <x v="0"/>
    <x v="0"/>
    <x v="0"/>
    <x v="7"/>
    <x v="7"/>
    <x v="2"/>
    <x v="3"/>
    <s v="GNR_BO_WOODCHI_E-117"/>
    <x v="0"/>
    <x v="2"/>
    <n v="13"/>
    <n v="3163.3333333333298"/>
    <n v="11388"/>
  </r>
  <r>
    <x v="0"/>
    <x v="0"/>
    <x v="0"/>
    <x v="0"/>
    <x v="0"/>
    <x v="7"/>
    <x v="7"/>
    <x v="2"/>
    <x v="3"/>
    <s v="GNR_BO_WOODCHI_E-117"/>
    <x v="0"/>
    <x v="9"/>
    <n v="13"/>
    <n v="3163.3333333333298"/>
    <n v="11388"/>
  </r>
  <r>
    <x v="0"/>
    <x v="0"/>
    <x v="0"/>
    <x v="0"/>
    <x v="0"/>
    <x v="7"/>
    <x v="7"/>
    <x v="2"/>
    <x v="3"/>
    <s v="GNR_BO_WOODCHI_E-117"/>
    <x v="0"/>
    <x v="10"/>
    <n v="13"/>
    <n v="3163.3333333333298"/>
    <n v="11388"/>
  </r>
  <r>
    <x v="0"/>
    <x v="0"/>
    <x v="0"/>
    <x v="0"/>
    <x v="0"/>
    <x v="7"/>
    <x v="7"/>
    <x v="2"/>
    <x v="3"/>
    <s v="GNR_BO_WOODCHI_E-117"/>
    <x v="0"/>
    <x v="11"/>
    <n v="13"/>
    <n v="3163.3333333333298"/>
    <n v="11388"/>
  </r>
  <r>
    <x v="0"/>
    <x v="0"/>
    <x v="0"/>
    <x v="0"/>
    <x v="0"/>
    <x v="7"/>
    <x v="7"/>
    <x v="2"/>
    <x v="3"/>
    <s v="GNR_BO_WOODCHI_E-117"/>
    <x v="2"/>
    <x v="5"/>
    <n v="13"/>
    <n v="3163.3333333333298"/>
    <n v="11388"/>
  </r>
  <r>
    <x v="0"/>
    <x v="0"/>
    <x v="0"/>
    <x v="0"/>
    <x v="0"/>
    <x v="7"/>
    <x v="7"/>
    <x v="2"/>
    <x v="3"/>
    <s v="GNR_BO_WOODCHI_E-117"/>
    <x v="2"/>
    <x v="3"/>
    <n v="13"/>
    <n v="3163.3333333333298"/>
    <n v="11388"/>
  </r>
  <r>
    <x v="0"/>
    <x v="0"/>
    <x v="0"/>
    <x v="0"/>
    <x v="0"/>
    <x v="7"/>
    <x v="7"/>
    <x v="2"/>
    <x v="3"/>
    <s v="GNR_BO_WOODCHI_E-117"/>
    <x v="2"/>
    <x v="6"/>
    <n v="13"/>
    <n v="3163.3333333333298"/>
    <n v="11388"/>
  </r>
  <r>
    <x v="0"/>
    <x v="0"/>
    <x v="0"/>
    <x v="0"/>
    <x v="0"/>
    <x v="7"/>
    <x v="7"/>
    <x v="2"/>
    <x v="3"/>
    <s v="GNR_BO_WOODCHI_E-117"/>
    <x v="2"/>
    <x v="4"/>
    <n v="13"/>
    <n v="3163.3333333333298"/>
    <n v="11388"/>
  </r>
  <r>
    <x v="0"/>
    <x v="0"/>
    <x v="0"/>
    <x v="0"/>
    <x v="0"/>
    <x v="7"/>
    <x v="7"/>
    <x v="2"/>
    <x v="3"/>
    <s v="GNR_BO_WOODCHI_E-117"/>
    <x v="2"/>
    <x v="7"/>
    <n v="13"/>
    <n v="3163.3333333333298"/>
    <n v="11388"/>
  </r>
  <r>
    <x v="0"/>
    <x v="0"/>
    <x v="0"/>
    <x v="0"/>
    <x v="0"/>
    <x v="7"/>
    <x v="7"/>
    <x v="2"/>
    <x v="3"/>
    <s v="GNR_BO_WOODCHI_E-117"/>
    <x v="2"/>
    <x v="8"/>
    <n v="13"/>
    <n v="3163.3333333333298"/>
    <n v="11388"/>
  </r>
  <r>
    <x v="0"/>
    <x v="0"/>
    <x v="0"/>
    <x v="0"/>
    <x v="0"/>
    <x v="7"/>
    <x v="7"/>
    <x v="2"/>
    <x v="3"/>
    <s v="GNR_BO_WOODCHI_E-117"/>
    <x v="2"/>
    <x v="0"/>
    <n v="13"/>
    <n v="3163.3333333333298"/>
    <n v="11388"/>
  </r>
  <r>
    <x v="0"/>
    <x v="0"/>
    <x v="0"/>
    <x v="0"/>
    <x v="0"/>
    <x v="7"/>
    <x v="7"/>
    <x v="2"/>
    <x v="3"/>
    <s v="GNR_BO_WOODCHI_E-117"/>
    <x v="2"/>
    <x v="1"/>
    <n v="13"/>
    <n v="3163.3333333333298"/>
    <n v="11388"/>
  </r>
  <r>
    <x v="0"/>
    <x v="0"/>
    <x v="0"/>
    <x v="0"/>
    <x v="0"/>
    <x v="7"/>
    <x v="7"/>
    <x v="2"/>
    <x v="3"/>
    <s v="GNR_BO_WOODCHI_E-117"/>
    <x v="2"/>
    <x v="2"/>
    <n v="13"/>
    <n v="3163.3333333333298"/>
    <n v="11388"/>
  </r>
  <r>
    <x v="0"/>
    <x v="0"/>
    <x v="0"/>
    <x v="0"/>
    <x v="0"/>
    <x v="7"/>
    <x v="7"/>
    <x v="2"/>
    <x v="3"/>
    <s v="GNR_BO_WOODCHI_E-117"/>
    <x v="2"/>
    <x v="9"/>
    <n v="13"/>
    <n v="3163.3333333333298"/>
    <n v="11388"/>
  </r>
  <r>
    <x v="0"/>
    <x v="0"/>
    <x v="0"/>
    <x v="0"/>
    <x v="0"/>
    <x v="7"/>
    <x v="7"/>
    <x v="2"/>
    <x v="3"/>
    <s v="GNR_BO_WOODCHI_E-117"/>
    <x v="2"/>
    <x v="10"/>
    <n v="13"/>
    <n v="3163.3333333333298"/>
    <n v="11388"/>
  </r>
  <r>
    <x v="0"/>
    <x v="0"/>
    <x v="0"/>
    <x v="0"/>
    <x v="0"/>
    <x v="7"/>
    <x v="7"/>
    <x v="2"/>
    <x v="3"/>
    <s v="GNR_BO_WOODCHI_E-117"/>
    <x v="2"/>
    <x v="11"/>
    <n v="13"/>
    <n v="3163.3333333333298"/>
    <n v="11388"/>
  </r>
  <r>
    <x v="0"/>
    <x v="0"/>
    <x v="0"/>
    <x v="0"/>
    <x v="0"/>
    <x v="7"/>
    <x v="7"/>
    <x v="2"/>
    <x v="3"/>
    <s v="GNR_BO_WOODCHI_E-117"/>
    <x v="1"/>
    <x v="5"/>
    <n v="13"/>
    <n v="3163.3333333333298"/>
    <n v="11388"/>
  </r>
  <r>
    <x v="0"/>
    <x v="0"/>
    <x v="0"/>
    <x v="0"/>
    <x v="0"/>
    <x v="7"/>
    <x v="7"/>
    <x v="2"/>
    <x v="3"/>
    <s v="GNR_BO_WOODCHI_E-117"/>
    <x v="1"/>
    <x v="3"/>
    <n v="13"/>
    <n v="3163.3333333333298"/>
    <n v="11388"/>
  </r>
  <r>
    <x v="0"/>
    <x v="0"/>
    <x v="0"/>
    <x v="0"/>
    <x v="0"/>
    <x v="7"/>
    <x v="7"/>
    <x v="2"/>
    <x v="3"/>
    <s v="GNR_BO_WOODCHI_E-117"/>
    <x v="1"/>
    <x v="6"/>
    <n v="13"/>
    <n v="3163.3333333333298"/>
    <n v="11388"/>
  </r>
  <r>
    <x v="0"/>
    <x v="0"/>
    <x v="0"/>
    <x v="0"/>
    <x v="0"/>
    <x v="7"/>
    <x v="7"/>
    <x v="2"/>
    <x v="3"/>
    <s v="GNR_BO_WOODCHI_E-117"/>
    <x v="1"/>
    <x v="4"/>
    <n v="13"/>
    <n v="3163.3333333333298"/>
    <n v="11388"/>
  </r>
  <r>
    <x v="0"/>
    <x v="0"/>
    <x v="0"/>
    <x v="0"/>
    <x v="0"/>
    <x v="7"/>
    <x v="7"/>
    <x v="2"/>
    <x v="3"/>
    <s v="GNR_BO_WOODCHI_E-117"/>
    <x v="1"/>
    <x v="7"/>
    <n v="13"/>
    <n v="3163.3333333333298"/>
    <n v="11388"/>
  </r>
  <r>
    <x v="0"/>
    <x v="0"/>
    <x v="0"/>
    <x v="0"/>
    <x v="0"/>
    <x v="7"/>
    <x v="7"/>
    <x v="2"/>
    <x v="3"/>
    <s v="GNR_BO_WOODCHI_E-117"/>
    <x v="1"/>
    <x v="8"/>
    <n v="13"/>
    <n v="3163.3333333333298"/>
    <n v="11388"/>
  </r>
  <r>
    <x v="0"/>
    <x v="0"/>
    <x v="0"/>
    <x v="0"/>
    <x v="0"/>
    <x v="7"/>
    <x v="7"/>
    <x v="2"/>
    <x v="3"/>
    <s v="GNR_BO_WOODCHI_E-117"/>
    <x v="1"/>
    <x v="0"/>
    <n v="13"/>
    <n v="3163.3333333333298"/>
    <n v="11388"/>
  </r>
  <r>
    <x v="0"/>
    <x v="0"/>
    <x v="0"/>
    <x v="0"/>
    <x v="0"/>
    <x v="7"/>
    <x v="7"/>
    <x v="2"/>
    <x v="3"/>
    <s v="GNR_BO_WOODCHI_E-117"/>
    <x v="1"/>
    <x v="1"/>
    <n v="13"/>
    <n v="3163.3333333333298"/>
    <n v="11388"/>
  </r>
  <r>
    <x v="0"/>
    <x v="0"/>
    <x v="0"/>
    <x v="0"/>
    <x v="0"/>
    <x v="7"/>
    <x v="7"/>
    <x v="2"/>
    <x v="3"/>
    <s v="GNR_BO_WOODCHI_E-117"/>
    <x v="1"/>
    <x v="2"/>
    <n v="13"/>
    <n v="3163.3333333333298"/>
    <n v="11388"/>
  </r>
  <r>
    <x v="0"/>
    <x v="0"/>
    <x v="0"/>
    <x v="0"/>
    <x v="0"/>
    <x v="7"/>
    <x v="7"/>
    <x v="2"/>
    <x v="3"/>
    <s v="GNR_BO_WOODCHI_E-117"/>
    <x v="1"/>
    <x v="9"/>
    <n v="13"/>
    <n v="3163.3333333333298"/>
    <n v="11388"/>
  </r>
  <r>
    <x v="0"/>
    <x v="0"/>
    <x v="0"/>
    <x v="0"/>
    <x v="0"/>
    <x v="7"/>
    <x v="7"/>
    <x v="2"/>
    <x v="3"/>
    <s v="GNR_BO_WOODCHI_E-117"/>
    <x v="1"/>
    <x v="10"/>
    <n v="13"/>
    <n v="3163.3333333333298"/>
    <n v="11388"/>
  </r>
  <r>
    <x v="0"/>
    <x v="0"/>
    <x v="0"/>
    <x v="0"/>
    <x v="0"/>
    <x v="7"/>
    <x v="7"/>
    <x v="2"/>
    <x v="3"/>
    <s v="GNR_BO_WOODCHI_E-117"/>
    <x v="1"/>
    <x v="11"/>
    <n v="13"/>
    <n v="3163.3333333333298"/>
    <n v="11388"/>
  </r>
  <r>
    <x v="0"/>
    <x v="0"/>
    <x v="0"/>
    <x v="0"/>
    <x v="0"/>
    <x v="7"/>
    <x v="7"/>
    <x v="2"/>
    <x v="3"/>
    <s v="GNR_BO_WOODCHI_E-120"/>
    <x v="0"/>
    <x v="5"/>
    <n v="18"/>
    <n v="4380"/>
    <n v="15768"/>
  </r>
  <r>
    <x v="0"/>
    <x v="0"/>
    <x v="0"/>
    <x v="0"/>
    <x v="0"/>
    <x v="7"/>
    <x v="7"/>
    <x v="2"/>
    <x v="3"/>
    <s v="GNR_BO_WOODCHI_E-120"/>
    <x v="0"/>
    <x v="3"/>
    <n v="18"/>
    <n v="4380"/>
    <n v="15768"/>
  </r>
  <r>
    <x v="0"/>
    <x v="0"/>
    <x v="0"/>
    <x v="0"/>
    <x v="0"/>
    <x v="7"/>
    <x v="7"/>
    <x v="2"/>
    <x v="3"/>
    <s v="GNR_BO_WOODCHI_E-120"/>
    <x v="0"/>
    <x v="6"/>
    <n v="18"/>
    <n v="4380"/>
    <n v="15768"/>
  </r>
  <r>
    <x v="0"/>
    <x v="0"/>
    <x v="0"/>
    <x v="0"/>
    <x v="0"/>
    <x v="7"/>
    <x v="7"/>
    <x v="2"/>
    <x v="3"/>
    <s v="GNR_BO_WOODCHI_E-120"/>
    <x v="0"/>
    <x v="4"/>
    <n v="18"/>
    <n v="4380"/>
    <n v="15768"/>
  </r>
  <r>
    <x v="0"/>
    <x v="0"/>
    <x v="0"/>
    <x v="0"/>
    <x v="0"/>
    <x v="7"/>
    <x v="7"/>
    <x v="2"/>
    <x v="3"/>
    <s v="GNR_BO_WOODCHI_E-120"/>
    <x v="0"/>
    <x v="7"/>
    <n v="18"/>
    <n v="4380"/>
    <n v="15768"/>
  </r>
  <r>
    <x v="0"/>
    <x v="0"/>
    <x v="0"/>
    <x v="0"/>
    <x v="0"/>
    <x v="7"/>
    <x v="7"/>
    <x v="2"/>
    <x v="3"/>
    <s v="GNR_BO_WOODCHI_E-120"/>
    <x v="0"/>
    <x v="8"/>
    <n v="18"/>
    <n v="4380"/>
    <n v="15768"/>
  </r>
  <r>
    <x v="0"/>
    <x v="0"/>
    <x v="0"/>
    <x v="0"/>
    <x v="0"/>
    <x v="7"/>
    <x v="7"/>
    <x v="2"/>
    <x v="3"/>
    <s v="GNR_BO_WOODCHI_E-120"/>
    <x v="0"/>
    <x v="0"/>
    <n v="18"/>
    <n v="4380"/>
    <n v="15768"/>
  </r>
  <r>
    <x v="0"/>
    <x v="0"/>
    <x v="0"/>
    <x v="0"/>
    <x v="0"/>
    <x v="7"/>
    <x v="7"/>
    <x v="2"/>
    <x v="3"/>
    <s v="GNR_BO_WOODCHI_E-120"/>
    <x v="0"/>
    <x v="1"/>
    <n v="18"/>
    <n v="4380"/>
    <n v="15768"/>
  </r>
  <r>
    <x v="0"/>
    <x v="0"/>
    <x v="0"/>
    <x v="0"/>
    <x v="0"/>
    <x v="7"/>
    <x v="7"/>
    <x v="2"/>
    <x v="3"/>
    <s v="GNR_BO_WOODCHI_E-120"/>
    <x v="0"/>
    <x v="2"/>
    <n v="18"/>
    <n v="4380"/>
    <n v="15768"/>
  </r>
  <r>
    <x v="0"/>
    <x v="0"/>
    <x v="0"/>
    <x v="0"/>
    <x v="0"/>
    <x v="7"/>
    <x v="7"/>
    <x v="2"/>
    <x v="3"/>
    <s v="GNR_BO_WOODCHI_E-120"/>
    <x v="0"/>
    <x v="9"/>
    <n v="18"/>
    <n v="4380"/>
    <n v="15768"/>
  </r>
  <r>
    <x v="0"/>
    <x v="0"/>
    <x v="0"/>
    <x v="0"/>
    <x v="0"/>
    <x v="7"/>
    <x v="7"/>
    <x v="2"/>
    <x v="3"/>
    <s v="GNR_BO_WOODCHI_E-120"/>
    <x v="0"/>
    <x v="10"/>
    <n v="18"/>
    <n v="4380"/>
    <n v="15768"/>
  </r>
  <r>
    <x v="0"/>
    <x v="0"/>
    <x v="0"/>
    <x v="0"/>
    <x v="0"/>
    <x v="7"/>
    <x v="7"/>
    <x v="2"/>
    <x v="3"/>
    <s v="GNR_BO_WOODCHI_E-120"/>
    <x v="0"/>
    <x v="11"/>
    <n v="18"/>
    <n v="4380"/>
    <n v="15768"/>
  </r>
  <r>
    <x v="0"/>
    <x v="0"/>
    <x v="0"/>
    <x v="0"/>
    <x v="0"/>
    <x v="7"/>
    <x v="7"/>
    <x v="2"/>
    <x v="3"/>
    <s v="GNR_BO_WOODCHI_E-120"/>
    <x v="2"/>
    <x v="5"/>
    <n v="18"/>
    <n v="4380"/>
    <n v="15768"/>
  </r>
  <r>
    <x v="0"/>
    <x v="0"/>
    <x v="0"/>
    <x v="0"/>
    <x v="0"/>
    <x v="7"/>
    <x v="7"/>
    <x v="2"/>
    <x v="3"/>
    <s v="GNR_BO_WOODCHI_E-120"/>
    <x v="2"/>
    <x v="3"/>
    <n v="18"/>
    <n v="4380"/>
    <n v="15768"/>
  </r>
  <r>
    <x v="0"/>
    <x v="0"/>
    <x v="0"/>
    <x v="0"/>
    <x v="0"/>
    <x v="7"/>
    <x v="7"/>
    <x v="2"/>
    <x v="3"/>
    <s v="GNR_BO_WOODCHI_E-120"/>
    <x v="2"/>
    <x v="6"/>
    <n v="18"/>
    <n v="4380"/>
    <n v="15768"/>
  </r>
  <r>
    <x v="0"/>
    <x v="0"/>
    <x v="0"/>
    <x v="0"/>
    <x v="0"/>
    <x v="7"/>
    <x v="7"/>
    <x v="2"/>
    <x v="3"/>
    <s v="GNR_BO_WOODCHI_E-120"/>
    <x v="2"/>
    <x v="4"/>
    <n v="18"/>
    <n v="4380"/>
    <n v="15768"/>
  </r>
  <r>
    <x v="0"/>
    <x v="0"/>
    <x v="0"/>
    <x v="0"/>
    <x v="0"/>
    <x v="7"/>
    <x v="7"/>
    <x v="2"/>
    <x v="3"/>
    <s v="GNR_BO_WOODCHI_E-120"/>
    <x v="2"/>
    <x v="7"/>
    <n v="18"/>
    <n v="4380"/>
    <n v="15768"/>
  </r>
  <r>
    <x v="0"/>
    <x v="0"/>
    <x v="0"/>
    <x v="0"/>
    <x v="0"/>
    <x v="7"/>
    <x v="7"/>
    <x v="2"/>
    <x v="3"/>
    <s v="GNR_BO_WOODCHI_E-120"/>
    <x v="2"/>
    <x v="8"/>
    <n v="18"/>
    <n v="4380"/>
    <n v="15768"/>
  </r>
  <r>
    <x v="0"/>
    <x v="0"/>
    <x v="0"/>
    <x v="0"/>
    <x v="0"/>
    <x v="7"/>
    <x v="7"/>
    <x v="2"/>
    <x v="3"/>
    <s v="GNR_BO_WOODCHI_E-120"/>
    <x v="2"/>
    <x v="0"/>
    <n v="18"/>
    <n v="4380"/>
    <n v="15768"/>
  </r>
  <r>
    <x v="0"/>
    <x v="0"/>
    <x v="0"/>
    <x v="0"/>
    <x v="0"/>
    <x v="7"/>
    <x v="7"/>
    <x v="2"/>
    <x v="3"/>
    <s v="GNR_BO_WOODCHI_E-120"/>
    <x v="2"/>
    <x v="1"/>
    <n v="18"/>
    <n v="4380"/>
    <n v="15768"/>
  </r>
  <r>
    <x v="0"/>
    <x v="0"/>
    <x v="0"/>
    <x v="0"/>
    <x v="0"/>
    <x v="7"/>
    <x v="7"/>
    <x v="2"/>
    <x v="3"/>
    <s v="GNR_BO_WOODCHI_E-120"/>
    <x v="2"/>
    <x v="2"/>
    <n v="18"/>
    <n v="4380"/>
    <n v="15768"/>
  </r>
  <r>
    <x v="0"/>
    <x v="0"/>
    <x v="0"/>
    <x v="0"/>
    <x v="0"/>
    <x v="7"/>
    <x v="7"/>
    <x v="2"/>
    <x v="3"/>
    <s v="GNR_BO_WOODCHI_E-120"/>
    <x v="2"/>
    <x v="9"/>
    <n v="18"/>
    <n v="4380"/>
    <n v="15768"/>
  </r>
  <r>
    <x v="0"/>
    <x v="0"/>
    <x v="0"/>
    <x v="0"/>
    <x v="0"/>
    <x v="7"/>
    <x v="7"/>
    <x v="2"/>
    <x v="3"/>
    <s v="GNR_BO_WOODCHI_E-120"/>
    <x v="2"/>
    <x v="10"/>
    <n v="18"/>
    <n v="4380"/>
    <n v="15768"/>
  </r>
  <r>
    <x v="0"/>
    <x v="0"/>
    <x v="0"/>
    <x v="0"/>
    <x v="0"/>
    <x v="7"/>
    <x v="7"/>
    <x v="2"/>
    <x v="3"/>
    <s v="GNR_BO_WOODCHI_E-120"/>
    <x v="2"/>
    <x v="11"/>
    <n v="18"/>
    <n v="4380"/>
    <n v="15768"/>
  </r>
  <r>
    <x v="0"/>
    <x v="0"/>
    <x v="0"/>
    <x v="0"/>
    <x v="0"/>
    <x v="7"/>
    <x v="7"/>
    <x v="2"/>
    <x v="3"/>
    <s v="GNR_BO_WOODCHI_E-120"/>
    <x v="1"/>
    <x v="5"/>
    <n v="18"/>
    <n v="4380"/>
    <n v="15768"/>
  </r>
  <r>
    <x v="0"/>
    <x v="0"/>
    <x v="0"/>
    <x v="0"/>
    <x v="0"/>
    <x v="7"/>
    <x v="7"/>
    <x v="2"/>
    <x v="3"/>
    <s v="GNR_BO_WOODCHI_E-120"/>
    <x v="1"/>
    <x v="3"/>
    <n v="18"/>
    <n v="4380"/>
    <n v="15768"/>
  </r>
  <r>
    <x v="0"/>
    <x v="0"/>
    <x v="0"/>
    <x v="0"/>
    <x v="0"/>
    <x v="7"/>
    <x v="7"/>
    <x v="2"/>
    <x v="3"/>
    <s v="GNR_BO_WOODCHI_E-120"/>
    <x v="1"/>
    <x v="6"/>
    <n v="18"/>
    <n v="4380"/>
    <n v="15768"/>
  </r>
  <r>
    <x v="0"/>
    <x v="0"/>
    <x v="0"/>
    <x v="0"/>
    <x v="0"/>
    <x v="7"/>
    <x v="7"/>
    <x v="2"/>
    <x v="3"/>
    <s v="GNR_BO_WOODCHI_E-120"/>
    <x v="1"/>
    <x v="4"/>
    <n v="18"/>
    <n v="4380"/>
    <n v="15768"/>
  </r>
  <r>
    <x v="0"/>
    <x v="0"/>
    <x v="0"/>
    <x v="0"/>
    <x v="0"/>
    <x v="7"/>
    <x v="7"/>
    <x v="2"/>
    <x v="3"/>
    <s v="GNR_BO_WOODCHI_E-120"/>
    <x v="1"/>
    <x v="7"/>
    <n v="18"/>
    <n v="4380"/>
    <n v="15768"/>
  </r>
  <r>
    <x v="0"/>
    <x v="0"/>
    <x v="0"/>
    <x v="0"/>
    <x v="0"/>
    <x v="7"/>
    <x v="7"/>
    <x v="2"/>
    <x v="3"/>
    <s v="GNR_BO_WOODCHI_E-120"/>
    <x v="1"/>
    <x v="8"/>
    <n v="18"/>
    <n v="4380"/>
    <n v="15768"/>
  </r>
  <r>
    <x v="0"/>
    <x v="0"/>
    <x v="0"/>
    <x v="0"/>
    <x v="0"/>
    <x v="7"/>
    <x v="7"/>
    <x v="2"/>
    <x v="3"/>
    <s v="GNR_BO_WOODCHI_E-120"/>
    <x v="1"/>
    <x v="0"/>
    <n v="18"/>
    <n v="4380"/>
    <n v="15768"/>
  </r>
  <r>
    <x v="0"/>
    <x v="0"/>
    <x v="0"/>
    <x v="0"/>
    <x v="0"/>
    <x v="7"/>
    <x v="7"/>
    <x v="2"/>
    <x v="3"/>
    <s v="GNR_BO_WOODCHI_E-120"/>
    <x v="1"/>
    <x v="1"/>
    <n v="18"/>
    <n v="4380"/>
    <n v="15768"/>
  </r>
  <r>
    <x v="0"/>
    <x v="0"/>
    <x v="0"/>
    <x v="0"/>
    <x v="0"/>
    <x v="7"/>
    <x v="7"/>
    <x v="2"/>
    <x v="3"/>
    <s v="GNR_BO_WOODCHI_E-120"/>
    <x v="1"/>
    <x v="2"/>
    <n v="18"/>
    <n v="4380"/>
    <n v="15768"/>
  </r>
  <r>
    <x v="0"/>
    <x v="0"/>
    <x v="0"/>
    <x v="0"/>
    <x v="0"/>
    <x v="7"/>
    <x v="7"/>
    <x v="2"/>
    <x v="3"/>
    <s v="GNR_BO_WOODCHI_E-120"/>
    <x v="1"/>
    <x v="9"/>
    <n v="18"/>
    <n v="4380"/>
    <n v="15768"/>
  </r>
  <r>
    <x v="0"/>
    <x v="0"/>
    <x v="0"/>
    <x v="0"/>
    <x v="0"/>
    <x v="7"/>
    <x v="7"/>
    <x v="2"/>
    <x v="3"/>
    <s v="GNR_BO_WOODCHI_E-120"/>
    <x v="1"/>
    <x v="10"/>
    <n v="18"/>
    <n v="4380"/>
    <n v="15768"/>
  </r>
  <r>
    <x v="0"/>
    <x v="0"/>
    <x v="0"/>
    <x v="0"/>
    <x v="0"/>
    <x v="7"/>
    <x v="7"/>
    <x v="2"/>
    <x v="3"/>
    <s v="GNR_BO_WOODCHI_E-120"/>
    <x v="1"/>
    <x v="11"/>
    <n v="18"/>
    <n v="4380"/>
    <n v="15768"/>
  </r>
  <r>
    <x v="0"/>
    <x v="0"/>
    <x v="0"/>
    <x v="0"/>
    <x v="0"/>
    <x v="7"/>
    <x v="7"/>
    <x v="0"/>
    <x v="0"/>
    <s v="GNR_ST_WOODCHI_BP_E-17"/>
    <x v="0"/>
    <x v="0"/>
    <n v="2.2058823529411802"/>
    <n v="536.76470588235304"/>
    <n v="1932.35294117647"/>
  </r>
  <r>
    <x v="0"/>
    <x v="0"/>
    <x v="0"/>
    <x v="0"/>
    <x v="0"/>
    <x v="7"/>
    <x v="7"/>
    <x v="0"/>
    <x v="0"/>
    <s v="GNR_ST_WOODCHI_BP_E-17"/>
    <x v="0"/>
    <x v="1"/>
    <n v="2.2058823529411802"/>
    <n v="536.76470588235304"/>
    <n v="1932.35294117647"/>
  </r>
  <r>
    <x v="0"/>
    <x v="0"/>
    <x v="0"/>
    <x v="0"/>
    <x v="0"/>
    <x v="7"/>
    <x v="7"/>
    <x v="0"/>
    <x v="0"/>
    <s v="GNR_ST_WOODCHI_BP_E-17"/>
    <x v="0"/>
    <x v="2"/>
    <n v="2.2058823529411802"/>
    <n v="536.76470588235304"/>
    <n v="1932.35294117647"/>
  </r>
  <r>
    <x v="0"/>
    <x v="0"/>
    <x v="0"/>
    <x v="0"/>
    <x v="0"/>
    <x v="7"/>
    <x v="7"/>
    <x v="0"/>
    <x v="0"/>
    <s v="GNR_ST_WOODCHI_BP_E-17"/>
    <x v="1"/>
    <x v="3"/>
    <n v="2.2058823529411802"/>
    <n v="536.76470588235304"/>
    <n v="1932.35294117647"/>
  </r>
  <r>
    <x v="0"/>
    <x v="0"/>
    <x v="0"/>
    <x v="0"/>
    <x v="0"/>
    <x v="7"/>
    <x v="7"/>
    <x v="0"/>
    <x v="0"/>
    <s v="GNR_ST_WOODCHI_BP_E-17"/>
    <x v="1"/>
    <x v="0"/>
    <n v="2.2058823529411802"/>
    <n v="536.76470588235304"/>
    <n v="1932.35294117647"/>
  </r>
  <r>
    <x v="0"/>
    <x v="0"/>
    <x v="0"/>
    <x v="0"/>
    <x v="0"/>
    <x v="7"/>
    <x v="7"/>
    <x v="0"/>
    <x v="0"/>
    <s v="GNR_ST_WOODCHI_BP_E-17"/>
    <x v="1"/>
    <x v="2"/>
    <n v="2.2058823529411802"/>
    <n v="536.76470588235304"/>
    <n v="1932.35294117647"/>
  </r>
  <r>
    <x v="0"/>
    <x v="0"/>
    <x v="0"/>
    <x v="0"/>
    <x v="0"/>
    <x v="7"/>
    <x v="9"/>
    <x v="2"/>
    <x v="3"/>
    <s v="GNR_BO_WOODWST_E-100"/>
    <x v="0"/>
    <x v="5"/>
    <n v="21.75"/>
    <n v="5292.5"/>
    <n v="19053"/>
  </r>
  <r>
    <x v="0"/>
    <x v="0"/>
    <x v="0"/>
    <x v="0"/>
    <x v="0"/>
    <x v="7"/>
    <x v="9"/>
    <x v="2"/>
    <x v="3"/>
    <s v="GNR_BO_WOODWST_E-100"/>
    <x v="0"/>
    <x v="3"/>
    <n v="21.75"/>
    <n v="5292.5"/>
    <n v="19053"/>
  </r>
  <r>
    <x v="0"/>
    <x v="0"/>
    <x v="0"/>
    <x v="0"/>
    <x v="0"/>
    <x v="7"/>
    <x v="9"/>
    <x v="2"/>
    <x v="3"/>
    <s v="GNR_BO_WOODWST_E-100"/>
    <x v="0"/>
    <x v="6"/>
    <n v="21.75"/>
    <n v="5292.5"/>
    <n v="19053"/>
  </r>
  <r>
    <x v="0"/>
    <x v="0"/>
    <x v="0"/>
    <x v="0"/>
    <x v="0"/>
    <x v="7"/>
    <x v="9"/>
    <x v="2"/>
    <x v="3"/>
    <s v="GNR_BO_WOODWST_E-100"/>
    <x v="0"/>
    <x v="4"/>
    <n v="21.75"/>
    <n v="5292.5"/>
    <n v="19053"/>
  </r>
  <r>
    <x v="0"/>
    <x v="0"/>
    <x v="0"/>
    <x v="0"/>
    <x v="0"/>
    <x v="7"/>
    <x v="9"/>
    <x v="2"/>
    <x v="3"/>
    <s v="GNR_BO_WOODWST_E-100"/>
    <x v="0"/>
    <x v="7"/>
    <n v="21.75"/>
    <n v="5292.5"/>
    <n v="19053"/>
  </r>
  <r>
    <x v="0"/>
    <x v="0"/>
    <x v="0"/>
    <x v="0"/>
    <x v="0"/>
    <x v="7"/>
    <x v="9"/>
    <x v="2"/>
    <x v="3"/>
    <s v="GNR_BO_WOODWST_E-100"/>
    <x v="0"/>
    <x v="8"/>
    <n v="21.75"/>
    <n v="5292.5"/>
    <n v="19053"/>
  </r>
  <r>
    <x v="0"/>
    <x v="0"/>
    <x v="0"/>
    <x v="0"/>
    <x v="0"/>
    <x v="7"/>
    <x v="9"/>
    <x v="2"/>
    <x v="3"/>
    <s v="GNR_BO_WOODWST_E-100"/>
    <x v="0"/>
    <x v="0"/>
    <n v="21.75"/>
    <n v="5292.5"/>
    <n v="19053"/>
  </r>
  <r>
    <x v="0"/>
    <x v="0"/>
    <x v="0"/>
    <x v="0"/>
    <x v="0"/>
    <x v="7"/>
    <x v="9"/>
    <x v="2"/>
    <x v="3"/>
    <s v="GNR_BO_WOODWST_E-100"/>
    <x v="0"/>
    <x v="1"/>
    <n v="21.75"/>
    <n v="5292.5"/>
    <n v="19053"/>
  </r>
  <r>
    <x v="0"/>
    <x v="0"/>
    <x v="0"/>
    <x v="0"/>
    <x v="0"/>
    <x v="7"/>
    <x v="9"/>
    <x v="2"/>
    <x v="3"/>
    <s v="GNR_BO_WOODWST_E-100"/>
    <x v="0"/>
    <x v="2"/>
    <n v="21.75"/>
    <n v="5292.5"/>
    <n v="19053"/>
  </r>
  <r>
    <x v="0"/>
    <x v="0"/>
    <x v="0"/>
    <x v="0"/>
    <x v="0"/>
    <x v="7"/>
    <x v="9"/>
    <x v="2"/>
    <x v="3"/>
    <s v="GNR_BO_WOODWST_E-100"/>
    <x v="0"/>
    <x v="9"/>
    <n v="21.75"/>
    <n v="5292.5"/>
    <n v="19053"/>
  </r>
  <r>
    <x v="0"/>
    <x v="0"/>
    <x v="0"/>
    <x v="0"/>
    <x v="0"/>
    <x v="7"/>
    <x v="9"/>
    <x v="2"/>
    <x v="3"/>
    <s v="GNR_BO_WOODWST_E-100"/>
    <x v="0"/>
    <x v="10"/>
    <n v="21.75"/>
    <n v="5292.5"/>
    <n v="19053"/>
  </r>
  <r>
    <x v="0"/>
    <x v="0"/>
    <x v="0"/>
    <x v="0"/>
    <x v="0"/>
    <x v="7"/>
    <x v="9"/>
    <x v="2"/>
    <x v="3"/>
    <s v="GNR_BO_WOODWST_E-100"/>
    <x v="0"/>
    <x v="11"/>
    <n v="21.75"/>
    <n v="5292.5"/>
    <n v="19053"/>
  </r>
  <r>
    <x v="0"/>
    <x v="0"/>
    <x v="0"/>
    <x v="0"/>
    <x v="0"/>
    <x v="7"/>
    <x v="9"/>
    <x v="2"/>
    <x v="3"/>
    <s v="GNR_BO_WOODWST_E-100"/>
    <x v="2"/>
    <x v="5"/>
    <n v="21.75"/>
    <n v="5292.5"/>
    <n v="19053"/>
  </r>
  <r>
    <x v="0"/>
    <x v="0"/>
    <x v="0"/>
    <x v="0"/>
    <x v="0"/>
    <x v="7"/>
    <x v="9"/>
    <x v="2"/>
    <x v="3"/>
    <s v="GNR_BO_WOODWST_E-100"/>
    <x v="2"/>
    <x v="3"/>
    <n v="21.75"/>
    <n v="5292.5"/>
    <n v="19053"/>
  </r>
  <r>
    <x v="0"/>
    <x v="0"/>
    <x v="0"/>
    <x v="0"/>
    <x v="0"/>
    <x v="7"/>
    <x v="9"/>
    <x v="2"/>
    <x v="3"/>
    <s v="GNR_BO_WOODWST_E-100"/>
    <x v="2"/>
    <x v="6"/>
    <n v="21.75"/>
    <n v="5292.5"/>
    <n v="19053"/>
  </r>
  <r>
    <x v="0"/>
    <x v="0"/>
    <x v="0"/>
    <x v="0"/>
    <x v="0"/>
    <x v="7"/>
    <x v="9"/>
    <x v="2"/>
    <x v="3"/>
    <s v="GNR_BO_WOODWST_E-100"/>
    <x v="2"/>
    <x v="4"/>
    <n v="21.75"/>
    <n v="5292.5"/>
    <n v="19053"/>
  </r>
  <r>
    <x v="0"/>
    <x v="0"/>
    <x v="0"/>
    <x v="0"/>
    <x v="0"/>
    <x v="7"/>
    <x v="9"/>
    <x v="2"/>
    <x v="3"/>
    <s v="GNR_BO_WOODWST_E-100"/>
    <x v="2"/>
    <x v="7"/>
    <n v="21.75"/>
    <n v="5292.5"/>
    <n v="19053"/>
  </r>
  <r>
    <x v="0"/>
    <x v="0"/>
    <x v="0"/>
    <x v="0"/>
    <x v="0"/>
    <x v="7"/>
    <x v="9"/>
    <x v="2"/>
    <x v="3"/>
    <s v="GNR_BO_WOODWST_E-100"/>
    <x v="2"/>
    <x v="8"/>
    <n v="21.75"/>
    <n v="5292.5"/>
    <n v="19053"/>
  </r>
  <r>
    <x v="0"/>
    <x v="0"/>
    <x v="0"/>
    <x v="0"/>
    <x v="0"/>
    <x v="7"/>
    <x v="9"/>
    <x v="2"/>
    <x v="3"/>
    <s v="GNR_BO_WOODWST_E-100"/>
    <x v="2"/>
    <x v="0"/>
    <n v="21.75"/>
    <n v="5292.5"/>
    <n v="19053"/>
  </r>
  <r>
    <x v="0"/>
    <x v="0"/>
    <x v="0"/>
    <x v="0"/>
    <x v="0"/>
    <x v="7"/>
    <x v="9"/>
    <x v="2"/>
    <x v="3"/>
    <s v="GNR_BO_WOODWST_E-100"/>
    <x v="2"/>
    <x v="1"/>
    <n v="21.75"/>
    <n v="5292.5"/>
    <n v="19053"/>
  </r>
  <r>
    <x v="0"/>
    <x v="0"/>
    <x v="0"/>
    <x v="0"/>
    <x v="0"/>
    <x v="7"/>
    <x v="9"/>
    <x v="2"/>
    <x v="3"/>
    <s v="GNR_BO_WOODWST_E-100"/>
    <x v="2"/>
    <x v="2"/>
    <n v="21.75"/>
    <n v="5292.5"/>
    <n v="19053"/>
  </r>
  <r>
    <x v="0"/>
    <x v="0"/>
    <x v="0"/>
    <x v="0"/>
    <x v="0"/>
    <x v="7"/>
    <x v="9"/>
    <x v="2"/>
    <x v="3"/>
    <s v="GNR_BO_WOODWST_E-100"/>
    <x v="2"/>
    <x v="9"/>
    <n v="21.75"/>
    <n v="5292.5"/>
    <n v="19053"/>
  </r>
  <r>
    <x v="0"/>
    <x v="0"/>
    <x v="0"/>
    <x v="0"/>
    <x v="0"/>
    <x v="7"/>
    <x v="9"/>
    <x v="2"/>
    <x v="3"/>
    <s v="GNR_BO_WOODWST_E-100"/>
    <x v="2"/>
    <x v="10"/>
    <n v="21.75"/>
    <n v="5292.5"/>
    <n v="19053"/>
  </r>
  <r>
    <x v="0"/>
    <x v="0"/>
    <x v="0"/>
    <x v="0"/>
    <x v="0"/>
    <x v="7"/>
    <x v="9"/>
    <x v="2"/>
    <x v="3"/>
    <s v="GNR_BO_WOODWST_E-100"/>
    <x v="2"/>
    <x v="11"/>
    <n v="21.75"/>
    <n v="5292.5"/>
    <n v="19053"/>
  </r>
  <r>
    <x v="0"/>
    <x v="0"/>
    <x v="0"/>
    <x v="0"/>
    <x v="0"/>
    <x v="7"/>
    <x v="9"/>
    <x v="2"/>
    <x v="3"/>
    <s v="GNR_BO_WOODWST_E-100"/>
    <x v="1"/>
    <x v="5"/>
    <n v="21.75"/>
    <n v="5292.5"/>
    <n v="19053"/>
  </r>
  <r>
    <x v="0"/>
    <x v="0"/>
    <x v="0"/>
    <x v="0"/>
    <x v="0"/>
    <x v="7"/>
    <x v="9"/>
    <x v="2"/>
    <x v="3"/>
    <s v="GNR_BO_WOODWST_E-100"/>
    <x v="1"/>
    <x v="3"/>
    <n v="21.75"/>
    <n v="5292.5"/>
    <n v="19053"/>
  </r>
  <r>
    <x v="0"/>
    <x v="0"/>
    <x v="0"/>
    <x v="0"/>
    <x v="0"/>
    <x v="7"/>
    <x v="9"/>
    <x v="2"/>
    <x v="3"/>
    <s v="GNR_BO_WOODWST_E-100"/>
    <x v="1"/>
    <x v="6"/>
    <n v="21.75"/>
    <n v="5292.5"/>
    <n v="19053"/>
  </r>
  <r>
    <x v="0"/>
    <x v="0"/>
    <x v="0"/>
    <x v="0"/>
    <x v="0"/>
    <x v="7"/>
    <x v="9"/>
    <x v="2"/>
    <x v="3"/>
    <s v="GNR_BO_WOODWST_E-100"/>
    <x v="1"/>
    <x v="4"/>
    <n v="21.75"/>
    <n v="5292.5"/>
    <n v="19053"/>
  </r>
  <r>
    <x v="0"/>
    <x v="0"/>
    <x v="0"/>
    <x v="0"/>
    <x v="0"/>
    <x v="7"/>
    <x v="9"/>
    <x v="2"/>
    <x v="3"/>
    <s v="GNR_BO_WOODWST_E-100"/>
    <x v="1"/>
    <x v="7"/>
    <n v="21.75"/>
    <n v="5292.5"/>
    <n v="19053"/>
  </r>
  <r>
    <x v="0"/>
    <x v="0"/>
    <x v="0"/>
    <x v="0"/>
    <x v="0"/>
    <x v="7"/>
    <x v="9"/>
    <x v="2"/>
    <x v="3"/>
    <s v="GNR_BO_WOODWST_E-100"/>
    <x v="1"/>
    <x v="8"/>
    <n v="21.75"/>
    <n v="5292.5"/>
    <n v="19053"/>
  </r>
  <r>
    <x v="0"/>
    <x v="0"/>
    <x v="0"/>
    <x v="0"/>
    <x v="0"/>
    <x v="7"/>
    <x v="9"/>
    <x v="2"/>
    <x v="3"/>
    <s v="GNR_BO_WOODWST_E-100"/>
    <x v="1"/>
    <x v="0"/>
    <n v="21.75"/>
    <n v="5292.5"/>
    <n v="19053"/>
  </r>
  <r>
    <x v="0"/>
    <x v="0"/>
    <x v="0"/>
    <x v="0"/>
    <x v="0"/>
    <x v="7"/>
    <x v="9"/>
    <x v="2"/>
    <x v="3"/>
    <s v="GNR_BO_WOODWST_E-100"/>
    <x v="1"/>
    <x v="1"/>
    <n v="21.75"/>
    <n v="5292.5"/>
    <n v="19053"/>
  </r>
  <r>
    <x v="0"/>
    <x v="0"/>
    <x v="0"/>
    <x v="0"/>
    <x v="0"/>
    <x v="7"/>
    <x v="9"/>
    <x v="2"/>
    <x v="3"/>
    <s v="GNR_BO_WOODWST_E-100"/>
    <x v="1"/>
    <x v="2"/>
    <n v="21.75"/>
    <n v="5292.5"/>
    <n v="19053"/>
  </r>
  <r>
    <x v="0"/>
    <x v="0"/>
    <x v="0"/>
    <x v="0"/>
    <x v="0"/>
    <x v="7"/>
    <x v="9"/>
    <x v="2"/>
    <x v="3"/>
    <s v="GNR_BO_WOODWST_E-100"/>
    <x v="1"/>
    <x v="9"/>
    <n v="21.75"/>
    <n v="5292.5"/>
    <n v="19053"/>
  </r>
  <r>
    <x v="0"/>
    <x v="0"/>
    <x v="0"/>
    <x v="0"/>
    <x v="0"/>
    <x v="7"/>
    <x v="9"/>
    <x v="2"/>
    <x v="3"/>
    <s v="GNR_BO_WOODWST_E-100"/>
    <x v="1"/>
    <x v="10"/>
    <n v="21.75"/>
    <n v="5292.5"/>
    <n v="19053"/>
  </r>
  <r>
    <x v="0"/>
    <x v="0"/>
    <x v="0"/>
    <x v="0"/>
    <x v="0"/>
    <x v="7"/>
    <x v="9"/>
    <x v="2"/>
    <x v="3"/>
    <s v="GNR_BO_WOODWST_E-100"/>
    <x v="1"/>
    <x v="11"/>
    <n v="21.75"/>
    <n v="5292.5"/>
    <n v="19053"/>
  </r>
  <r>
    <x v="0"/>
    <x v="0"/>
    <x v="0"/>
    <x v="0"/>
    <x v="0"/>
    <x v="7"/>
    <x v="9"/>
    <x v="2"/>
    <x v="3"/>
    <s v="GNR_BO_WOODWST_E-113"/>
    <x v="0"/>
    <x v="5"/>
    <n v="4"/>
    <n v="973.33333333333303"/>
    <n v="3504"/>
  </r>
  <r>
    <x v="0"/>
    <x v="0"/>
    <x v="0"/>
    <x v="0"/>
    <x v="0"/>
    <x v="7"/>
    <x v="9"/>
    <x v="2"/>
    <x v="3"/>
    <s v="GNR_BO_WOODWST_E-113"/>
    <x v="0"/>
    <x v="3"/>
    <n v="4"/>
    <n v="973.33333333333303"/>
    <n v="3504"/>
  </r>
  <r>
    <x v="0"/>
    <x v="0"/>
    <x v="0"/>
    <x v="0"/>
    <x v="0"/>
    <x v="7"/>
    <x v="9"/>
    <x v="2"/>
    <x v="3"/>
    <s v="GNR_BO_WOODWST_E-113"/>
    <x v="0"/>
    <x v="6"/>
    <n v="4"/>
    <n v="973.33333333333303"/>
    <n v="3504"/>
  </r>
  <r>
    <x v="0"/>
    <x v="0"/>
    <x v="0"/>
    <x v="0"/>
    <x v="0"/>
    <x v="7"/>
    <x v="9"/>
    <x v="2"/>
    <x v="3"/>
    <s v="GNR_BO_WOODWST_E-113"/>
    <x v="0"/>
    <x v="4"/>
    <n v="4"/>
    <n v="973.33333333333303"/>
    <n v="3504"/>
  </r>
  <r>
    <x v="0"/>
    <x v="0"/>
    <x v="0"/>
    <x v="0"/>
    <x v="0"/>
    <x v="7"/>
    <x v="9"/>
    <x v="2"/>
    <x v="3"/>
    <s v="GNR_BO_WOODWST_E-113"/>
    <x v="0"/>
    <x v="7"/>
    <n v="4"/>
    <n v="973.33333333333303"/>
    <n v="3504"/>
  </r>
  <r>
    <x v="0"/>
    <x v="0"/>
    <x v="0"/>
    <x v="0"/>
    <x v="0"/>
    <x v="7"/>
    <x v="9"/>
    <x v="2"/>
    <x v="3"/>
    <s v="GNR_BO_WOODWST_E-113"/>
    <x v="0"/>
    <x v="8"/>
    <n v="4"/>
    <n v="973.33333333333303"/>
    <n v="3504"/>
  </r>
  <r>
    <x v="0"/>
    <x v="0"/>
    <x v="0"/>
    <x v="0"/>
    <x v="0"/>
    <x v="7"/>
    <x v="9"/>
    <x v="2"/>
    <x v="3"/>
    <s v="GNR_BO_WOODWST_E-113"/>
    <x v="0"/>
    <x v="0"/>
    <n v="4"/>
    <n v="973.33333333333303"/>
    <n v="3504"/>
  </r>
  <r>
    <x v="0"/>
    <x v="0"/>
    <x v="0"/>
    <x v="0"/>
    <x v="0"/>
    <x v="7"/>
    <x v="9"/>
    <x v="2"/>
    <x v="3"/>
    <s v="GNR_BO_WOODWST_E-113"/>
    <x v="0"/>
    <x v="1"/>
    <n v="4"/>
    <n v="973.33333333333303"/>
    <n v="3504"/>
  </r>
  <r>
    <x v="0"/>
    <x v="0"/>
    <x v="0"/>
    <x v="0"/>
    <x v="0"/>
    <x v="7"/>
    <x v="9"/>
    <x v="2"/>
    <x v="3"/>
    <s v="GNR_BO_WOODWST_E-113"/>
    <x v="0"/>
    <x v="2"/>
    <n v="4"/>
    <n v="973.33333333333303"/>
    <n v="3504"/>
  </r>
  <r>
    <x v="0"/>
    <x v="0"/>
    <x v="0"/>
    <x v="0"/>
    <x v="0"/>
    <x v="7"/>
    <x v="9"/>
    <x v="2"/>
    <x v="3"/>
    <s v="GNR_BO_WOODWST_E-113"/>
    <x v="0"/>
    <x v="9"/>
    <n v="4"/>
    <n v="973.33333333333303"/>
    <n v="3504"/>
  </r>
  <r>
    <x v="0"/>
    <x v="0"/>
    <x v="0"/>
    <x v="0"/>
    <x v="0"/>
    <x v="7"/>
    <x v="9"/>
    <x v="2"/>
    <x v="3"/>
    <s v="GNR_BO_WOODWST_E-113"/>
    <x v="0"/>
    <x v="10"/>
    <n v="4"/>
    <n v="973.33333333333303"/>
    <n v="3504"/>
  </r>
  <r>
    <x v="0"/>
    <x v="0"/>
    <x v="0"/>
    <x v="0"/>
    <x v="0"/>
    <x v="7"/>
    <x v="9"/>
    <x v="2"/>
    <x v="3"/>
    <s v="GNR_BO_WOODWST_E-113"/>
    <x v="0"/>
    <x v="11"/>
    <n v="4"/>
    <n v="973.33333333333303"/>
    <n v="3504"/>
  </r>
  <r>
    <x v="0"/>
    <x v="0"/>
    <x v="0"/>
    <x v="0"/>
    <x v="0"/>
    <x v="7"/>
    <x v="9"/>
    <x v="2"/>
    <x v="3"/>
    <s v="GNR_BO_WOODWST_E-113"/>
    <x v="2"/>
    <x v="5"/>
    <n v="4"/>
    <n v="973.33333333333303"/>
    <n v="3504"/>
  </r>
  <r>
    <x v="0"/>
    <x v="0"/>
    <x v="0"/>
    <x v="0"/>
    <x v="0"/>
    <x v="7"/>
    <x v="9"/>
    <x v="2"/>
    <x v="3"/>
    <s v="GNR_BO_WOODWST_E-113"/>
    <x v="2"/>
    <x v="3"/>
    <n v="4"/>
    <n v="973.33333333333303"/>
    <n v="3504"/>
  </r>
  <r>
    <x v="0"/>
    <x v="0"/>
    <x v="0"/>
    <x v="0"/>
    <x v="0"/>
    <x v="7"/>
    <x v="9"/>
    <x v="2"/>
    <x v="3"/>
    <s v="GNR_BO_WOODWST_E-113"/>
    <x v="2"/>
    <x v="6"/>
    <n v="4"/>
    <n v="973.33333333333303"/>
    <n v="3504"/>
  </r>
  <r>
    <x v="0"/>
    <x v="0"/>
    <x v="0"/>
    <x v="0"/>
    <x v="0"/>
    <x v="7"/>
    <x v="9"/>
    <x v="2"/>
    <x v="3"/>
    <s v="GNR_BO_WOODWST_E-113"/>
    <x v="2"/>
    <x v="4"/>
    <n v="4"/>
    <n v="973.33333333333303"/>
    <n v="3504"/>
  </r>
  <r>
    <x v="0"/>
    <x v="0"/>
    <x v="0"/>
    <x v="0"/>
    <x v="0"/>
    <x v="7"/>
    <x v="9"/>
    <x v="2"/>
    <x v="3"/>
    <s v="GNR_BO_WOODWST_E-113"/>
    <x v="2"/>
    <x v="7"/>
    <n v="4"/>
    <n v="973.33333333333303"/>
    <n v="3504"/>
  </r>
  <r>
    <x v="0"/>
    <x v="0"/>
    <x v="0"/>
    <x v="0"/>
    <x v="0"/>
    <x v="7"/>
    <x v="9"/>
    <x v="2"/>
    <x v="3"/>
    <s v="GNR_BO_WOODWST_E-113"/>
    <x v="2"/>
    <x v="8"/>
    <n v="4"/>
    <n v="973.33333333333303"/>
    <n v="3504"/>
  </r>
  <r>
    <x v="0"/>
    <x v="0"/>
    <x v="0"/>
    <x v="0"/>
    <x v="0"/>
    <x v="7"/>
    <x v="9"/>
    <x v="2"/>
    <x v="3"/>
    <s v="GNR_BO_WOODWST_E-113"/>
    <x v="2"/>
    <x v="0"/>
    <n v="4"/>
    <n v="973.33333333333303"/>
    <n v="3504"/>
  </r>
  <r>
    <x v="0"/>
    <x v="0"/>
    <x v="0"/>
    <x v="0"/>
    <x v="0"/>
    <x v="7"/>
    <x v="9"/>
    <x v="2"/>
    <x v="3"/>
    <s v="GNR_BO_WOODWST_E-113"/>
    <x v="2"/>
    <x v="1"/>
    <n v="4"/>
    <n v="973.33333333333303"/>
    <n v="3504"/>
  </r>
  <r>
    <x v="0"/>
    <x v="0"/>
    <x v="0"/>
    <x v="0"/>
    <x v="0"/>
    <x v="7"/>
    <x v="9"/>
    <x v="2"/>
    <x v="3"/>
    <s v="GNR_BO_WOODWST_E-113"/>
    <x v="2"/>
    <x v="2"/>
    <n v="4"/>
    <n v="973.33333333333303"/>
    <n v="3504"/>
  </r>
  <r>
    <x v="0"/>
    <x v="0"/>
    <x v="0"/>
    <x v="0"/>
    <x v="0"/>
    <x v="7"/>
    <x v="9"/>
    <x v="2"/>
    <x v="3"/>
    <s v="GNR_BO_WOODWST_E-113"/>
    <x v="2"/>
    <x v="9"/>
    <n v="4"/>
    <n v="973.33333333333303"/>
    <n v="3504"/>
  </r>
  <r>
    <x v="0"/>
    <x v="0"/>
    <x v="0"/>
    <x v="0"/>
    <x v="0"/>
    <x v="7"/>
    <x v="9"/>
    <x v="2"/>
    <x v="3"/>
    <s v="GNR_BO_WOODWST_E-113"/>
    <x v="2"/>
    <x v="10"/>
    <n v="4"/>
    <n v="973.33333333333303"/>
    <n v="3504"/>
  </r>
  <r>
    <x v="0"/>
    <x v="0"/>
    <x v="0"/>
    <x v="0"/>
    <x v="0"/>
    <x v="7"/>
    <x v="9"/>
    <x v="2"/>
    <x v="3"/>
    <s v="GNR_BO_WOODWST_E-113"/>
    <x v="2"/>
    <x v="11"/>
    <n v="4"/>
    <n v="973.33333333333303"/>
    <n v="3504"/>
  </r>
  <r>
    <x v="0"/>
    <x v="0"/>
    <x v="0"/>
    <x v="0"/>
    <x v="0"/>
    <x v="7"/>
    <x v="9"/>
    <x v="2"/>
    <x v="3"/>
    <s v="GNR_BO_WOODWST_E-113"/>
    <x v="1"/>
    <x v="5"/>
    <n v="4"/>
    <n v="973.33333333333303"/>
    <n v="3504"/>
  </r>
  <r>
    <x v="0"/>
    <x v="0"/>
    <x v="0"/>
    <x v="0"/>
    <x v="0"/>
    <x v="7"/>
    <x v="9"/>
    <x v="2"/>
    <x v="3"/>
    <s v="GNR_BO_WOODWST_E-113"/>
    <x v="1"/>
    <x v="3"/>
    <n v="4"/>
    <n v="973.33333333333303"/>
    <n v="3504"/>
  </r>
  <r>
    <x v="0"/>
    <x v="0"/>
    <x v="0"/>
    <x v="0"/>
    <x v="0"/>
    <x v="7"/>
    <x v="9"/>
    <x v="2"/>
    <x v="3"/>
    <s v="GNR_BO_WOODWST_E-113"/>
    <x v="1"/>
    <x v="6"/>
    <n v="4"/>
    <n v="973.33333333333303"/>
    <n v="3504"/>
  </r>
  <r>
    <x v="0"/>
    <x v="0"/>
    <x v="0"/>
    <x v="0"/>
    <x v="0"/>
    <x v="7"/>
    <x v="9"/>
    <x v="2"/>
    <x v="3"/>
    <s v="GNR_BO_WOODWST_E-113"/>
    <x v="1"/>
    <x v="4"/>
    <n v="4"/>
    <n v="973.33333333333303"/>
    <n v="3504"/>
  </r>
  <r>
    <x v="0"/>
    <x v="0"/>
    <x v="0"/>
    <x v="0"/>
    <x v="0"/>
    <x v="7"/>
    <x v="9"/>
    <x v="2"/>
    <x v="3"/>
    <s v="GNR_BO_WOODWST_E-113"/>
    <x v="1"/>
    <x v="7"/>
    <n v="4"/>
    <n v="973.33333333333303"/>
    <n v="3504"/>
  </r>
  <r>
    <x v="0"/>
    <x v="0"/>
    <x v="0"/>
    <x v="0"/>
    <x v="0"/>
    <x v="7"/>
    <x v="9"/>
    <x v="2"/>
    <x v="3"/>
    <s v="GNR_BO_WOODWST_E-113"/>
    <x v="1"/>
    <x v="8"/>
    <n v="4"/>
    <n v="973.33333333333303"/>
    <n v="3504"/>
  </r>
  <r>
    <x v="0"/>
    <x v="0"/>
    <x v="0"/>
    <x v="0"/>
    <x v="0"/>
    <x v="7"/>
    <x v="9"/>
    <x v="2"/>
    <x v="3"/>
    <s v="GNR_BO_WOODWST_E-113"/>
    <x v="1"/>
    <x v="0"/>
    <n v="4"/>
    <n v="973.33333333333303"/>
    <n v="3504"/>
  </r>
  <r>
    <x v="0"/>
    <x v="0"/>
    <x v="0"/>
    <x v="0"/>
    <x v="0"/>
    <x v="7"/>
    <x v="9"/>
    <x v="2"/>
    <x v="3"/>
    <s v="GNR_BO_WOODWST_E-113"/>
    <x v="1"/>
    <x v="1"/>
    <n v="4"/>
    <n v="973.33333333333303"/>
    <n v="3504"/>
  </r>
  <r>
    <x v="0"/>
    <x v="0"/>
    <x v="0"/>
    <x v="0"/>
    <x v="0"/>
    <x v="7"/>
    <x v="9"/>
    <x v="2"/>
    <x v="3"/>
    <s v="GNR_BO_WOODWST_E-113"/>
    <x v="1"/>
    <x v="2"/>
    <n v="4"/>
    <n v="973.33333333333303"/>
    <n v="3504"/>
  </r>
  <r>
    <x v="0"/>
    <x v="0"/>
    <x v="0"/>
    <x v="0"/>
    <x v="0"/>
    <x v="7"/>
    <x v="9"/>
    <x v="2"/>
    <x v="3"/>
    <s v="GNR_BO_WOODWST_E-113"/>
    <x v="1"/>
    <x v="9"/>
    <n v="4"/>
    <n v="973.33333333333303"/>
    <n v="3504"/>
  </r>
  <r>
    <x v="0"/>
    <x v="0"/>
    <x v="0"/>
    <x v="0"/>
    <x v="0"/>
    <x v="7"/>
    <x v="9"/>
    <x v="2"/>
    <x v="3"/>
    <s v="GNR_BO_WOODWST_E-113"/>
    <x v="1"/>
    <x v="10"/>
    <n v="4"/>
    <n v="973.33333333333303"/>
    <n v="3504"/>
  </r>
  <r>
    <x v="0"/>
    <x v="0"/>
    <x v="0"/>
    <x v="0"/>
    <x v="0"/>
    <x v="7"/>
    <x v="9"/>
    <x v="2"/>
    <x v="3"/>
    <s v="GNR_BO_WOODWST_E-113"/>
    <x v="1"/>
    <x v="11"/>
    <n v="4"/>
    <n v="973.33333333333303"/>
    <n v="3504"/>
  </r>
  <r>
    <x v="0"/>
    <x v="0"/>
    <x v="0"/>
    <x v="0"/>
    <x v="0"/>
    <x v="7"/>
    <x v="9"/>
    <x v="2"/>
    <x v="3"/>
    <s v="GNR_BO_WOODWST_E-86"/>
    <x v="0"/>
    <x v="5"/>
    <n v="3"/>
    <n v="730"/>
    <n v="2628"/>
  </r>
  <r>
    <x v="0"/>
    <x v="0"/>
    <x v="0"/>
    <x v="0"/>
    <x v="0"/>
    <x v="7"/>
    <x v="9"/>
    <x v="2"/>
    <x v="3"/>
    <s v="GNR_BO_WOODWST_E-86"/>
    <x v="0"/>
    <x v="3"/>
    <n v="3"/>
    <n v="730"/>
    <n v="2628"/>
  </r>
  <r>
    <x v="0"/>
    <x v="0"/>
    <x v="0"/>
    <x v="0"/>
    <x v="0"/>
    <x v="7"/>
    <x v="9"/>
    <x v="2"/>
    <x v="3"/>
    <s v="GNR_BO_WOODWST_E-86"/>
    <x v="0"/>
    <x v="6"/>
    <n v="3"/>
    <n v="730"/>
    <n v="2628"/>
  </r>
  <r>
    <x v="0"/>
    <x v="0"/>
    <x v="0"/>
    <x v="0"/>
    <x v="0"/>
    <x v="7"/>
    <x v="9"/>
    <x v="2"/>
    <x v="3"/>
    <s v="GNR_BO_WOODWST_E-86"/>
    <x v="0"/>
    <x v="4"/>
    <n v="3"/>
    <n v="730"/>
    <n v="2628"/>
  </r>
  <r>
    <x v="0"/>
    <x v="0"/>
    <x v="0"/>
    <x v="0"/>
    <x v="0"/>
    <x v="7"/>
    <x v="9"/>
    <x v="2"/>
    <x v="3"/>
    <s v="GNR_BO_WOODWST_E-86"/>
    <x v="0"/>
    <x v="7"/>
    <n v="3"/>
    <n v="730"/>
    <n v="2628"/>
  </r>
  <r>
    <x v="0"/>
    <x v="0"/>
    <x v="0"/>
    <x v="0"/>
    <x v="0"/>
    <x v="7"/>
    <x v="9"/>
    <x v="2"/>
    <x v="3"/>
    <s v="GNR_BO_WOODWST_E-86"/>
    <x v="0"/>
    <x v="8"/>
    <n v="3"/>
    <n v="730"/>
    <n v="2628"/>
  </r>
  <r>
    <x v="0"/>
    <x v="0"/>
    <x v="0"/>
    <x v="0"/>
    <x v="0"/>
    <x v="7"/>
    <x v="9"/>
    <x v="2"/>
    <x v="3"/>
    <s v="GNR_BO_WOODWST_E-86"/>
    <x v="0"/>
    <x v="0"/>
    <n v="3"/>
    <n v="730"/>
    <n v="2628"/>
  </r>
  <r>
    <x v="0"/>
    <x v="0"/>
    <x v="0"/>
    <x v="0"/>
    <x v="0"/>
    <x v="7"/>
    <x v="9"/>
    <x v="2"/>
    <x v="3"/>
    <s v="GNR_BO_WOODWST_E-86"/>
    <x v="0"/>
    <x v="1"/>
    <n v="3"/>
    <n v="730"/>
    <n v="2628"/>
  </r>
  <r>
    <x v="0"/>
    <x v="0"/>
    <x v="0"/>
    <x v="0"/>
    <x v="0"/>
    <x v="7"/>
    <x v="9"/>
    <x v="2"/>
    <x v="3"/>
    <s v="GNR_BO_WOODWST_E-86"/>
    <x v="0"/>
    <x v="2"/>
    <n v="3"/>
    <n v="730"/>
    <n v="2628"/>
  </r>
  <r>
    <x v="0"/>
    <x v="0"/>
    <x v="0"/>
    <x v="0"/>
    <x v="0"/>
    <x v="7"/>
    <x v="9"/>
    <x v="2"/>
    <x v="3"/>
    <s v="GNR_BO_WOODWST_E-86"/>
    <x v="0"/>
    <x v="9"/>
    <n v="3"/>
    <n v="730"/>
    <n v="2628"/>
  </r>
  <r>
    <x v="0"/>
    <x v="0"/>
    <x v="0"/>
    <x v="0"/>
    <x v="0"/>
    <x v="7"/>
    <x v="9"/>
    <x v="2"/>
    <x v="3"/>
    <s v="GNR_BO_WOODWST_E-86"/>
    <x v="0"/>
    <x v="10"/>
    <n v="3"/>
    <n v="730"/>
    <n v="2628"/>
  </r>
  <r>
    <x v="0"/>
    <x v="0"/>
    <x v="0"/>
    <x v="0"/>
    <x v="0"/>
    <x v="7"/>
    <x v="9"/>
    <x v="2"/>
    <x v="3"/>
    <s v="GNR_BO_WOODWST_E-86"/>
    <x v="0"/>
    <x v="11"/>
    <n v="3"/>
    <n v="730"/>
    <n v="2628"/>
  </r>
  <r>
    <x v="0"/>
    <x v="0"/>
    <x v="0"/>
    <x v="0"/>
    <x v="0"/>
    <x v="7"/>
    <x v="9"/>
    <x v="2"/>
    <x v="3"/>
    <s v="GNR_BO_WOODWST_E-86"/>
    <x v="2"/>
    <x v="6"/>
    <n v="3"/>
    <n v="730"/>
    <n v="2628"/>
  </r>
  <r>
    <x v="0"/>
    <x v="0"/>
    <x v="0"/>
    <x v="0"/>
    <x v="0"/>
    <x v="7"/>
    <x v="9"/>
    <x v="2"/>
    <x v="3"/>
    <s v="GNR_BO_WOODWST_E-86"/>
    <x v="2"/>
    <x v="7"/>
    <n v="3"/>
    <n v="730"/>
    <n v="2628"/>
  </r>
  <r>
    <x v="0"/>
    <x v="0"/>
    <x v="0"/>
    <x v="0"/>
    <x v="0"/>
    <x v="7"/>
    <x v="9"/>
    <x v="2"/>
    <x v="3"/>
    <s v="GNR_BO_WOODWST_E-89"/>
    <x v="0"/>
    <x v="5"/>
    <n v="2"/>
    <n v="486.66666666666703"/>
    <n v="1752"/>
  </r>
  <r>
    <x v="0"/>
    <x v="0"/>
    <x v="0"/>
    <x v="0"/>
    <x v="0"/>
    <x v="7"/>
    <x v="9"/>
    <x v="2"/>
    <x v="3"/>
    <s v="GNR_BO_WOODWST_E-89"/>
    <x v="0"/>
    <x v="3"/>
    <n v="2"/>
    <n v="486.66666666666703"/>
    <n v="1752"/>
  </r>
  <r>
    <x v="0"/>
    <x v="0"/>
    <x v="0"/>
    <x v="0"/>
    <x v="0"/>
    <x v="7"/>
    <x v="9"/>
    <x v="2"/>
    <x v="3"/>
    <s v="GNR_BO_WOODWST_E-89"/>
    <x v="0"/>
    <x v="6"/>
    <n v="2"/>
    <n v="486.66666666666703"/>
    <n v="1752"/>
  </r>
  <r>
    <x v="0"/>
    <x v="0"/>
    <x v="0"/>
    <x v="0"/>
    <x v="0"/>
    <x v="7"/>
    <x v="9"/>
    <x v="2"/>
    <x v="3"/>
    <s v="GNR_BO_WOODWST_E-89"/>
    <x v="0"/>
    <x v="4"/>
    <n v="2"/>
    <n v="486.66666666666703"/>
    <n v="1752"/>
  </r>
  <r>
    <x v="0"/>
    <x v="0"/>
    <x v="0"/>
    <x v="0"/>
    <x v="0"/>
    <x v="7"/>
    <x v="9"/>
    <x v="2"/>
    <x v="3"/>
    <s v="GNR_BO_WOODWST_E-89"/>
    <x v="0"/>
    <x v="7"/>
    <n v="2"/>
    <n v="486.66666666666703"/>
    <n v="1752"/>
  </r>
  <r>
    <x v="0"/>
    <x v="0"/>
    <x v="0"/>
    <x v="0"/>
    <x v="0"/>
    <x v="7"/>
    <x v="9"/>
    <x v="2"/>
    <x v="3"/>
    <s v="GNR_BO_WOODWST_E-89"/>
    <x v="0"/>
    <x v="8"/>
    <n v="2"/>
    <n v="486.66666666666703"/>
    <n v="1752"/>
  </r>
  <r>
    <x v="0"/>
    <x v="0"/>
    <x v="0"/>
    <x v="0"/>
    <x v="0"/>
    <x v="7"/>
    <x v="9"/>
    <x v="2"/>
    <x v="3"/>
    <s v="GNR_BO_WOODWST_E-89"/>
    <x v="0"/>
    <x v="0"/>
    <n v="2"/>
    <n v="486.66666666666703"/>
    <n v="1752"/>
  </r>
  <r>
    <x v="0"/>
    <x v="0"/>
    <x v="0"/>
    <x v="0"/>
    <x v="0"/>
    <x v="7"/>
    <x v="9"/>
    <x v="2"/>
    <x v="3"/>
    <s v="GNR_BO_WOODWST_E-89"/>
    <x v="0"/>
    <x v="1"/>
    <n v="2"/>
    <n v="486.66666666666703"/>
    <n v="1752"/>
  </r>
  <r>
    <x v="0"/>
    <x v="0"/>
    <x v="0"/>
    <x v="0"/>
    <x v="0"/>
    <x v="7"/>
    <x v="9"/>
    <x v="2"/>
    <x v="3"/>
    <s v="GNR_BO_WOODWST_E-89"/>
    <x v="0"/>
    <x v="2"/>
    <n v="2"/>
    <n v="486.66666666666703"/>
    <n v="1752"/>
  </r>
  <r>
    <x v="0"/>
    <x v="0"/>
    <x v="0"/>
    <x v="0"/>
    <x v="0"/>
    <x v="7"/>
    <x v="9"/>
    <x v="2"/>
    <x v="3"/>
    <s v="GNR_BO_WOODWST_E-89"/>
    <x v="0"/>
    <x v="9"/>
    <n v="2"/>
    <n v="486.66666666666703"/>
    <n v="1752"/>
  </r>
  <r>
    <x v="0"/>
    <x v="0"/>
    <x v="0"/>
    <x v="0"/>
    <x v="0"/>
    <x v="7"/>
    <x v="9"/>
    <x v="2"/>
    <x v="3"/>
    <s v="GNR_BO_WOODWST_E-89"/>
    <x v="0"/>
    <x v="10"/>
    <n v="2"/>
    <n v="486.66666666666703"/>
    <n v="1752"/>
  </r>
  <r>
    <x v="0"/>
    <x v="0"/>
    <x v="0"/>
    <x v="0"/>
    <x v="0"/>
    <x v="7"/>
    <x v="9"/>
    <x v="2"/>
    <x v="3"/>
    <s v="GNR_BO_WOODWST_E-89"/>
    <x v="0"/>
    <x v="11"/>
    <n v="2"/>
    <n v="486.66666666666703"/>
    <n v="1752"/>
  </r>
  <r>
    <x v="0"/>
    <x v="0"/>
    <x v="0"/>
    <x v="0"/>
    <x v="0"/>
    <x v="7"/>
    <x v="9"/>
    <x v="2"/>
    <x v="3"/>
    <s v="GNR_BO_WOODWST_E-89"/>
    <x v="2"/>
    <x v="6"/>
    <n v="2"/>
    <n v="486.66666666666703"/>
    <n v="1752"/>
  </r>
  <r>
    <x v="0"/>
    <x v="0"/>
    <x v="0"/>
    <x v="0"/>
    <x v="0"/>
    <x v="7"/>
    <x v="9"/>
    <x v="2"/>
    <x v="3"/>
    <s v="GNR_BO_WOODWST_E-89"/>
    <x v="2"/>
    <x v="7"/>
    <n v="2"/>
    <n v="486.66666666666703"/>
    <n v="1752"/>
  </r>
  <r>
    <x v="0"/>
    <x v="0"/>
    <x v="0"/>
    <x v="0"/>
    <x v="0"/>
    <x v="7"/>
    <x v="9"/>
    <x v="2"/>
    <x v="3"/>
    <s v="GNR_BO_WOODWST_E-89"/>
    <x v="2"/>
    <x v="2"/>
    <n v="2"/>
    <n v="486.66666666666703"/>
    <n v="1752"/>
  </r>
  <r>
    <x v="0"/>
    <x v="0"/>
    <x v="0"/>
    <x v="0"/>
    <x v="0"/>
    <x v="7"/>
    <x v="9"/>
    <x v="2"/>
    <x v="3"/>
    <s v="GNR_BO_WOODWST_E-90"/>
    <x v="0"/>
    <x v="5"/>
    <n v="1.8"/>
    <n v="438"/>
    <n v="1576.8"/>
  </r>
  <r>
    <x v="0"/>
    <x v="0"/>
    <x v="0"/>
    <x v="0"/>
    <x v="0"/>
    <x v="7"/>
    <x v="9"/>
    <x v="2"/>
    <x v="3"/>
    <s v="GNR_BO_WOODWST_E-90"/>
    <x v="0"/>
    <x v="3"/>
    <n v="1.8"/>
    <n v="438"/>
    <n v="1576.8"/>
  </r>
  <r>
    <x v="0"/>
    <x v="0"/>
    <x v="0"/>
    <x v="0"/>
    <x v="0"/>
    <x v="7"/>
    <x v="9"/>
    <x v="2"/>
    <x v="3"/>
    <s v="GNR_BO_WOODWST_E-90"/>
    <x v="0"/>
    <x v="6"/>
    <n v="1.8"/>
    <n v="438"/>
    <n v="1576.8"/>
  </r>
  <r>
    <x v="0"/>
    <x v="0"/>
    <x v="0"/>
    <x v="0"/>
    <x v="0"/>
    <x v="7"/>
    <x v="9"/>
    <x v="2"/>
    <x v="3"/>
    <s v="GNR_BO_WOODWST_E-90"/>
    <x v="0"/>
    <x v="4"/>
    <n v="1.8"/>
    <n v="438"/>
    <n v="1576.8"/>
  </r>
  <r>
    <x v="0"/>
    <x v="0"/>
    <x v="0"/>
    <x v="0"/>
    <x v="0"/>
    <x v="7"/>
    <x v="9"/>
    <x v="2"/>
    <x v="3"/>
    <s v="GNR_BO_WOODWST_E-90"/>
    <x v="0"/>
    <x v="7"/>
    <n v="1.8"/>
    <n v="438"/>
    <n v="1576.8"/>
  </r>
  <r>
    <x v="0"/>
    <x v="0"/>
    <x v="0"/>
    <x v="0"/>
    <x v="0"/>
    <x v="7"/>
    <x v="9"/>
    <x v="2"/>
    <x v="3"/>
    <s v="GNR_BO_WOODWST_E-90"/>
    <x v="0"/>
    <x v="8"/>
    <n v="1.8"/>
    <n v="438"/>
    <n v="1576.8"/>
  </r>
  <r>
    <x v="0"/>
    <x v="0"/>
    <x v="0"/>
    <x v="0"/>
    <x v="0"/>
    <x v="7"/>
    <x v="9"/>
    <x v="2"/>
    <x v="3"/>
    <s v="GNR_BO_WOODWST_E-90"/>
    <x v="0"/>
    <x v="0"/>
    <n v="1.8"/>
    <n v="438"/>
    <n v="1576.8"/>
  </r>
  <r>
    <x v="0"/>
    <x v="0"/>
    <x v="0"/>
    <x v="0"/>
    <x v="0"/>
    <x v="7"/>
    <x v="9"/>
    <x v="2"/>
    <x v="3"/>
    <s v="GNR_BO_WOODWST_E-90"/>
    <x v="0"/>
    <x v="1"/>
    <n v="1.8"/>
    <n v="438"/>
    <n v="1576.8"/>
  </r>
  <r>
    <x v="0"/>
    <x v="0"/>
    <x v="0"/>
    <x v="0"/>
    <x v="0"/>
    <x v="7"/>
    <x v="9"/>
    <x v="2"/>
    <x v="3"/>
    <s v="GNR_BO_WOODWST_E-90"/>
    <x v="0"/>
    <x v="2"/>
    <n v="1.8"/>
    <n v="438"/>
    <n v="1576.8"/>
  </r>
  <r>
    <x v="0"/>
    <x v="0"/>
    <x v="0"/>
    <x v="0"/>
    <x v="0"/>
    <x v="7"/>
    <x v="9"/>
    <x v="2"/>
    <x v="3"/>
    <s v="GNR_BO_WOODWST_E-90"/>
    <x v="0"/>
    <x v="9"/>
    <n v="1.8"/>
    <n v="438"/>
    <n v="1576.8"/>
  </r>
  <r>
    <x v="0"/>
    <x v="0"/>
    <x v="0"/>
    <x v="0"/>
    <x v="0"/>
    <x v="7"/>
    <x v="9"/>
    <x v="2"/>
    <x v="3"/>
    <s v="GNR_BO_WOODWST_E-90"/>
    <x v="0"/>
    <x v="10"/>
    <n v="1.8"/>
    <n v="438"/>
    <n v="1576.8"/>
  </r>
  <r>
    <x v="0"/>
    <x v="0"/>
    <x v="0"/>
    <x v="0"/>
    <x v="0"/>
    <x v="7"/>
    <x v="9"/>
    <x v="2"/>
    <x v="3"/>
    <s v="GNR_BO_WOODWST_E-90"/>
    <x v="0"/>
    <x v="11"/>
    <n v="1.8"/>
    <n v="438"/>
    <n v="1576.8"/>
  </r>
  <r>
    <x v="0"/>
    <x v="0"/>
    <x v="0"/>
    <x v="0"/>
    <x v="0"/>
    <x v="7"/>
    <x v="9"/>
    <x v="2"/>
    <x v="3"/>
    <s v="GNR_BO_WOODWST_E-90"/>
    <x v="2"/>
    <x v="6"/>
    <n v="1.8"/>
    <n v="438"/>
    <n v="1576.8"/>
  </r>
  <r>
    <x v="0"/>
    <x v="0"/>
    <x v="0"/>
    <x v="0"/>
    <x v="0"/>
    <x v="7"/>
    <x v="9"/>
    <x v="2"/>
    <x v="3"/>
    <s v="GNR_BO_WOODWST_E-90"/>
    <x v="2"/>
    <x v="7"/>
    <n v="1.8"/>
    <n v="438"/>
    <n v="1576.8"/>
  </r>
  <r>
    <x v="0"/>
    <x v="0"/>
    <x v="0"/>
    <x v="0"/>
    <x v="0"/>
    <x v="7"/>
    <x v="9"/>
    <x v="2"/>
    <x v="3"/>
    <s v="GNR_BO_WOODWST_E-90"/>
    <x v="2"/>
    <x v="2"/>
    <n v="1.8"/>
    <n v="438"/>
    <n v="1576.8"/>
  </r>
  <r>
    <x v="0"/>
    <x v="0"/>
    <x v="0"/>
    <x v="0"/>
    <x v="0"/>
    <x v="7"/>
    <x v="9"/>
    <x v="2"/>
    <x v="3"/>
    <s v="GNR_BO_WOODWST_E-94"/>
    <x v="0"/>
    <x v="5"/>
    <n v="0.93"/>
    <n v="226.3"/>
    <n v="814.68"/>
  </r>
  <r>
    <x v="0"/>
    <x v="0"/>
    <x v="0"/>
    <x v="0"/>
    <x v="0"/>
    <x v="7"/>
    <x v="9"/>
    <x v="2"/>
    <x v="3"/>
    <s v="GNR_BO_WOODWST_E-94"/>
    <x v="0"/>
    <x v="3"/>
    <n v="0.93"/>
    <n v="226.3"/>
    <n v="814.68"/>
  </r>
  <r>
    <x v="0"/>
    <x v="0"/>
    <x v="0"/>
    <x v="0"/>
    <x v="0"/>
    <x v="7"/>
    <x v="9"/>
    <x v="2"/>
    <x v="3"/>
    <s v="GNR_BO_WOODWST_E-94"/>
    <x v="0"/>
    <x v="6"/>
    <n v="0.93"/>
    <n v="226.3"/>
    <n v="814.68"/>
  </r>
  <r>
    <x v="0"/>
    <x v="0"/>
    <x v="0"/>
    <x v="0"/>
    <x v="0"/>
    <x v="7"/>
    <x v="9"/>
    <x v="2"/>
    <x v="3"/>
    <s v="GNR_BO_WOODWST_E-94"/>
    <x v="0"/>
    <x v="4"/>
    <n v="0.93"/>
    <n v="226.3"/>
    <n v="814.68"/>
  </r>
  <r>
    <x v="0"/>
    <x v="0"/>
    <x v="0"/>
    <x v="0"/>
    <x v="0"/>
    <x v="7"/>
    <x v="9"/>
    <x v="2"/>
    <x v="3"/>
    <s v="GNR_BO_WOODWST_E-94"/>
    <x v="0"/>
    <x v="7"/>
    <n v="0.93"/>
    <n v="226.3"/>
    <n v="814.68"/>
  </r>
  <r>
    <x v="0"/>
    <x v="0"/>
    <x v="0"/>
    <x v="0"/>
    <x v="0"/>
    <x v="7"/>
    <x v="9"/>
    <x v="2"/>
    <x v="3"/>
    <s v="GNR_BO_WOODWST_E-94"/>
    <x v="0"/>
    <x v="8"/>
    <n v="0.93"/>
    <n v="226.3"/>
    <n v="814.68"/>
  </r>
  <r>
    <x v="0"/>
    <x v="0"/>
    <x v="0"/>
    <x v="0"/>
    <x v="0"/>
    <x v="7"/>
    <x v="9"/>
    <x v="2"/>
    <x v="3"/>
    <s v="GNR_BO_WOODWST_E-94"/>
    <x v="0"/>
    <x v="0"/>
    <n v="0.93"/>
    <n v="226.3"/>
    <n v="814.68"/>
  </r>
  <r>
    <x v="0"/>
    <x v="0"/>
    <x v="0"/>
    <x v="0"/>
    <x v="0"/>
    <x v="7"/>
    <x v="9"/>
    <x v="2"/>
    <x v="3"/>
    <s v="GNR_BO_WOODWST_E-94"/>
    <x v="0"/>
    <x v="1"/>
    <n v="0.93"/>
    <n v="226.3"/>
    <n v="814.68"/>
  </r>
  <r>
    <x v="0"/>
    <x v="0"/>
    <x v="0"/>
    <x v="0"/>
    <x v="0"/>
    <x v="7"/>
    <x v="9"/>
    <x v="2"/>
    <x v="3"/>
    <s v="GNR_BO_WOODWST_E-94"/>
    <x v="0"/>
    <x v="2"/>
    <n v="0.93"/>
    <n v="226.3"/>
    <n v="814.68"/>
  </r>
  <r>
    <x v="0"/>
    <x v="0"/>
    <x v="0"/>
    <x v="0"/>
    <x v="0"/>
    <x v="7"/>
    <x v="9"/>
    <x v="2"/>
    <x v="3"/>
    <s v="GNR_BO_WOODWST_E-94"/>
    <x v="0"/>
    <x v="9"/>
    <n v="0.93"/>
    <n v="226.3"/>
    <n v="814.68"/>
  </r>
  <r>
    <x v="0"/>
    <x v="0"/>
    <x v="0"/>
    <x v="0"/>
    <x v="0"/>
    <x v="7"/>
    <x v="9"/>
    <x v="2"/>
    <x v="3"/>
    <s v="GNR_BO_WOODWST_E-94"/>
    <x v="0"/>
    <x v="10"/>
    <n v="0.93"/>
    <n v="226.3"/>
    <n v="814.68"/>
  </r>
  <r>
    <x v="0"/>
    <x v="0"/>
    <x v="0"/>
    <x v="0"/>
    <x v="0"/>
    <x v="7"/>
    <x v="9"/>
    <x v="2"/>
    <x v="3"/>
    <s v="GNR_BO_WOODWST_E-94"/>
    <x v="0"/>
    <x v="11"/>
    <n v="0.93"/>
    <n v="226.3"/>
    <n v="814.68"/>
  </r>
  <r>
    <x v="0"/>
    <x v="0"/>
    <x v="0"/>
    <x v="0"/>
    <x v="0"/>
    <x v="7"/>
    <x v="9"/>
    <x v="2"/>
    <x v="3"/>
    <s v="GNR_BO_WOODWST_E-94"/>
    <x v="2"/>
    <x v="5"/>
    <n v="0.93"/>
    <n v="226.3"/>
    <n v="814.68"/>
  </r>
  <r>
    <x v="0"/>
    <x v="0"/>
    <x v="0"/>
    <x v="0"/>
    <x v="0"/>
    <x v="7"/>
    <x v="9"/>
    <x v="2"/>
    <x v="3"/>
    <s v="GNR_BO_WOODWST_E-94"/>
    <x v="2"/>
    <x v="3"/>
    <n v="0.93"/>
    <n v="226.3"/>
    <n v="814.68"/>
  </r>
  <r>
    <x v="0"/>
    <x v="0"/>
    <x v="0"/>
    <x v="0"/>
    <x v="0"/>
    <x v="7"/>
    <x v="9"/>
    <x v="2"/>
    <x v="3"/>
    <s v="GNR_BO_WOODWST_E-94"/>
    <x v="2"/>
    <x v="6"/>
    <n v="0.93"/>
    <n v="226.3"/>
    <n v="814.68"/>
  </r>
  <r>
    <x v="0"/>
    <x v="0"/>
    <x v="0"/>
    <x v="0"/>
    <x v="0"/>
    <x v="7"/>
    <x v="9"/>
    <x v="2"/>
    <x v="3"/>
    <s v="GNR_BO_WOODWST_E-94"/>
    <x v="2"/>
    <x v="4"/>
    <n v="0.93"/>
    <n v="226.3"/>
    <n v="814.68"/>
  </r>
  <r>
    <x v="0"/>
    <x v="0"/>
    <x v="0"/>
    <x v="0"/>
    <x v="0"/>
    <x v="7"/>
    <x v="9"/>
    <x v="2"/>
    <x v="3"/>
    <s v="GNR_BO_WOODWST_E-94"/>
    <x v="2"/>
    <x v="7"/>
    <n v="0.93"/>
    <n v="226.3"/>
    <n v="814.68"/>
  </r>
  <r>
    <x v="0"/>
    <x v="0"/>
    <x v="0"/>
    <x v="0"/>
    <x v="0"/>
    <x v="7"/>
    <x v="9"/>
    <x v="2"/>
    <x v="3"/>
    <s v="GNR_BO_WOODWST_E-94"/>
    <x v="2"/>
    <x v="8"/>
    <n v="0.93"/>
    <n v="226.3"/>
    <n v="814.68"/>
  </r>
  <r>
    <x v="0"/>
    <x v="0"/>
    <x v="0"/>
    <x v="0"/>
    <x v="0"/>
    <x v="7"/>
    <x v="9"/>
    <x v="2"/>
    <x v="3"/>
    <s v="GNR_BO_WOODWST_E-94"/>
    <x v="2"/>
    <x v="0"/>
    <n v="0.93"/>
    <n v="226.3"/>
    <n v="814.68"/>
  </r>
  <r>
    <x v="0"/>
    <x v="0"/>
    <x v="0"/>
    <x v="0"/>
    <x v="0"/>
    <x v="7"/>
    <x v="9"/>
    <x v="2"/>
    <x v="3"/>
    <s v="GNR_BO_WOODWST_E-94"/>
    <x v="2"/>
    <x v="1"/>
    <n v="0.93"/>
    <n v="226.3"/>
    <n v="814.68"/>
  </r>
  <r>
    <x v="0"/>
    <x v="0"/>
    <x v="0"/>
    <x v="0"/>
    <x v="0"/>
    <x v="7"/>
    <x v="9"/>
    <x v="2"/>
    <x v="3"/>
    <s v="GNR_BO_WOODWST_E-94"/>
    <x v="2"/>
    <x v="2"/>
    <n v="0.93"/>
    <n v="226.3"/>
    <n v="814.68"/>
  </r>
  <r>
    <x v="0"/>
    <x v="0"/>
    <x v="0"/>
    <x v="0"/>
    <x v="0"/>
    <x v="7"/>
    <x v="9"/>
    <x v="2"/>
    <x v="3"/>
    <s v="GNR_BO_WOODWST_E-94"/>
    <x v="2"/>
    <x v="9"/>
    <n v="0.93"/>
    <n v="226.3"/>
    <n v="814.68"/>
  </r>
  <r>
    <x v="0"/>
    <x v="0"/>
    <x v="0"/>
    <x v="0"/>
    <x v="0"/>
    <x v="7"/>
    <x v="9"/>
    <x v="2"/>
    <x v="3"/>
    <s v="GNR_BO_WOODWST_E-94"/>
    <x v="2"/>
    <x v="10"/>
    <n v="0.93"/>
    <n v="226.3"/>
    <n v="814.68"/>
  </r>
  <r>
    <x v="0"/>
    <x v="0"/>
    <x v="0"/>
    <x v="0"/>
    <x v="0"/>
    <x v="7"/>
    <x v="9"/>
    <x v="2"/>
    <x v="3"/>
    <s v="GNR_BO_WOODWST_E-94"/>
    <x v="2"/>
    <x v="11"/>
    <n v="0.93"/>
    <n v="226.3"/>
    <n v="814.68"/>
  </r>
  <r>
    <x v="0"/>
    <x v="0"/>
    <x v="0"/>
    <x v="0"/>
    <x v="0"/>
    <x v="7"/>
    <x v="9"/>
    <x v="2"/>
    <x v="3"/>
    <s v="GNR_BO_WOODWST_E-94"/>
    <x v="1"/>
    <x v="5"/>
    <n v="0.673438009700419"/>
    <n v="163.869915693769"/>
    <n v="589.93169649756703"/>
  </r>
  <r>
    <x v="0"/>
    <x v="0"/>
    <x v="0"/>
    <x v="0"/>
    <x v="0"/>
    <x v="7"/>
    <x v="9"/>
    <x v="2"/>
    <x v="3"/>
    <s v="GNR_BO_WOODWST_E-94"/>
    <x v="1"/>
    <x v="3"/>
    <n v="0.93"/>
    <n v="226.3"/>
    <n v="814.68"/>
  </r>
  <r>
    <x v="0"/>
    <x v="0"/>
    <x v="0"/>
    <x v="0"/>
    <x v="0"/>
    <x v="7"/>
    <x v="9"/>
    <x v="2"/>
    <x v="3"/>
    <s v="GNR_BO_WOODWST_E-94"/>
    <x v="1"/>
    <x v="6"/>
    <n v="0.93"/>
    <n v="226.3"/>
    <n v="814.68"/>
  </r>
  <r>
    <x v="0"/>
    <x v="0"/>
    <x v="0"/>
    <x v="0"/>
    <x v="0"/>
    <x v="7"/>
    <x v="9"/>
    <x v="2"/>
    <x v="3"/>
    <s v="GNR_BO_WOODWST_E-94"/>
    <x v="1"/>
    <x v="7"/>
    <n v="0.93"/>
    <n v="226.3"/>
    <n v="814.68"/>
  </r>
  <r>
    <x v="0"/>
    <x v="0"/>
    <x v="0"/>
    <x v="0"/>
    <x v="0"/>
    <x v="7"/>
    <x v="9"/>
    <x v="2"/>
    <x v="3"/>
    <s v="GNR_BO_WOODWST_E-94"/>
    <x v="1"/>
    <x v="0"/>
    <n v="0.93"/>
    <n v="226.3"/>
    <n v="814.68"/>
  </r>
  <r>
    <x v="0"/>
    <x v="0"/>
    <x v="0"/>
    <x v="0"/>
    <x v="0"/>
    <x v="7"/>
    <x v="9"/>
    <x v="2"/>
    <x v="3"/>
    <s v="GNR_BO_WOODWST_E-94"/>
    <x v="1"/>
    <x v="1"/>
    <n v="0.93"/>
    <n v="226.3"/>
    <n v="814.68"/>
  </r>
  <r>
    <x v="0"/>
    <x v="0"/>
    <x v="0"/>
    <x v="0"/>
    <x v="0"/>
    <x v="7"/>
    <x v="9"/>
    <x v="2"/>
    <x v="3"/>
    <s v="GNR_BO_WOODWST_E-94"/>
    <x v="1"/>
    <x v="2"/>
    <n v="0.93"/>
    <n v="226.3"/>
    <n v="814.68"/>
  </r>
  <r>
    <x v="0"/>
    <x v="0"/>
    <x v="0"/>
    <x v="0"/>
    <x v="0"/>
    <x v="7"/>
    <x v="9"/>
    <x v="2"/>
    <x v="3"/>
    <s v="GNR_BO_WOODWST_E-94"/>
    <x v="1"/>
    <x v="10"/>
    <n v="0.93"/>
    <n v="226.3"/>
    <n v="814.68"/>
  </r>
  <r>
    <x v="0"/>
    <x v="0"/>
    <x v="0"/>
    <x v="0"/>
    <x v="0"/>
    <x v="8"/>
    <x v="1"/>
    <x v="1"/>
    <x v="2"/>
    <s v="GNR_HS_HEAT_WTR-TANK_LS_E-95_Y-2010"/>
    <x v="0"/>
    <x v="3"/>
    <n v="0.75074949442738304"/>
    <n v="182.68237697732999"/>
    <n v="657.65655711838804"/>
  </r>
  <r>
    <x v="0"/>
    <x v="0"/>
    <x v="0"/>
    <x v="0"/>
    <x v="0"/>
    <x v="8"/>
    <x v="1"/>
    <x v="1"/>
    <x v="2"/>
    <s v="GNR_HS_HEAT_WTR-TANK_LS_E-95_Y-2010"/>
    <x v="0"/>
    <x v="6"/>
    <n v="4.3654816492516098"/>
    <n v="1062.2672013178901"/>
    <n v="3824.16192474441"/>
  </r>
  <r>
    <x v="0"/>
    <x v="0"/>
    <x v="0"/>
    <x v="0"/>
    <x v="0"/>
    <x v="8"/>
    <x v="1"/>
    <x v="1"/>
    <x v="2"/>
    <s v="GNR_HS_HEAT_WTR-TANK_LS_E-95_Y-2010"/>
    <x v="0"/>
    <x v="1"/>
    <n v="1.3055319284959199"/>
    <n v="317.67943593400599"/>
    <n v="1143.6459693624199"/>
  </r>
  <r>
    <x v="0"/>
    <x v="0"/>
    <x v="0"/>
    <x v="0"/>
    <x v="0"/>
    <x v="8"/>
    <x v="1"/>
    <x v="1"/>
    <x v="2"/>
    <s v="GNR_HS_HEAT_WTR-TANK_LS_E-95_Y-2010"/>
    <x v="0"/>
    <x v="2"/>
    <n v="4.3654816492516098"/>
    <n v="1062.2672013178901"/>
    <n v="3824.16192474441"/>
  </r>
  <r>
    <x v="0"/>
    <x v="0"/>
    <x v="0"/>
    <x v="0"/>
    <x v="0"/>
    <x v="8"/>
    <x v="1"/>
    <x v="1"/>
    <x v="2"/>
    <s v="GNR_HS_HEAT_WTR-TANK_LS_E-95_Y-2010"/>
    <x v="2"/>
    <x v="6"/>
    <n v="4.3654816492516098"/>
    <n v="1062.2672013178901"/>
    <n v="3824.16192474441"/>
  </r>
  <r>
    <x v="0"/>
    <x v="0"/>
    <x v="0"/>
    <x v="0"/>
    <x v="0"/>
    <x v="8"/>
    <x v="1"/>
    <x v="1"/>
    <x v="2"/>
    <s v="GNR_HS_HEAT_WTR-TANK_LS_E-95_Y-2010"/>
    <x v="2"/>
    <x v="7"/>
    <n v="4.3654816492516098"/>
    <n v="1062.2672013178901"/>
    <n v="3824.16192474441"/>
  </r>
  <r>
    <x v="0"/>
    <x v="0"/>
    <x v="0"/>
    <x v="0"/>
    <x v="0"/>
    <x v="8"/>
    <x v="3"/>
    <x v="2"/>
    <x v="3"/>
    <s v="GNR_BO_NGAS_E-101"/>
    <x v="0"/>
    <x v="6"/>
    <n v="0.819038861279064"/>
    <n v="199.29945624457201"/>
    <n v="717.47804248045998"/>
  </r>
  <r>
    <x v="0"/>
    <x v="0"/>
    <x v="0"/>
    <x v="0"/>
    <x v="0"/>
    <x v="8"/>
    <x v="3"/>
    <x v="0"/>
    <x v="0"/>
    <s v="GNR_ENG_NGAS_BP_E-38"/>
    <x v="0"/>
    <x v="0"/>
    <n v="1.25555555555556"/>
    <n v="305.51851851851899"/>
    <n v="1099.86666666667"/>
  </r>
  <r>
    <x v="0"/>
    <x v="0"/>
    <x v="0"/>
    <x v="0"/>
    <x v="0"/>
    <x v="8"/>
    <x v="3"/>
    <x v="0"/>
    <x v="0"/>
    <s v="GNR_ENG_NGAS_BP_E-38"/>
    <x v="0"/>
    <x v="1"/>
    <n v="1.25555555555556"/>
    <n v="305.51851851851899"/>
    <n v="1099.86666666667"/>
  </r>
  <r>
    <x v="0"/>
    <x v="0"/>
    <x v="0"/>
    <x v="0"/>
    <x v="0"/>
    <x v="8"/>
    <x v="3"/>
    <x v="0"/>
    <x v="0"/>
    <s v="GNR_ENG_NGAS_BP_E-38"/>
    <x v="0"/>
    <x v="2"/>
    <n v="1.25555555555556"/>
    <n v="305.51851851851899"/>
    <n v="1099.86666666667"/>
  </r>
  <r>
    <x v="0"/>
    <x v="0"/>
    <x v="0"/>
    <x v="0"/>
    <x v="0"/>
    <x v="8"/>
    <x v="3"/>
    <x v="0"/>
    <x v="0"/>
    <s v="GNR_ENG_NGAS_BP_E-38"/>
    <x v="0"/>
    <x v="9"/>
    <n v="1.25555555555556"/>
    <n v="305.51851851851899"/>
    <n v="1099.86666666667"/>
  </r>
  <r>
    <x v="0"/>
    <x v="0"/>
    <x v="0"/>
    <x v="0"/>
    <x v="0"/>
    <x v="8"/>
    <x v="3"/>
    <x v="0"/>
    <x v="0"/>
    <s v="GNR_ENG_NGAS_BP_E-38"/>
    <x v="1"/>
    <x v="3"/>
    <n v="1.25555555555556"/>
    <n v="305.51851851851899"/>
    <n v="1099.86666666667"/>
  </r>
  <r>
    <x v="0"/>
    <x v="0"/>
    <x v="0"/>
    <x v="0"/>
    <x v="0"/>
    <x v="8"/>
    <x v="3"/>
    <x v="0"/>
    <x v="0"/>
    <s v="GNR_ENG_NGAS_BP_E-38"/>
    <x v="1"/>
    <x v="4"/>
    <n v="1.25555555555556"/>
    <n v="305.51851851851899"/>
    <n v="1099.86666666667"/>
  </r>
  <r>
    <x v="0"/>
    <x v="0"/>
    <x v="0"/>
    <x v="0"/>
    <x v="0"/>
    <x v="8"/>
    <x v="3"/>
    <x v="0"/>
    <x v="0"/>
    <s v="GNR_ENG_NGAS_BP_E-38"/>
    <x v="1"/>
    <x v="7"/>
    <n v="1.25555555555556"/>
    <n v="305.51851851851899"/>
    <n v="1099.86666666667"/>
  </r>
  <r>
    <x v="0"/>
    <x v="0"/>
    <x v="0"/>
    <x v="0"/>
    <x v="0"/>
    <x v="8"/>
    <x v="3"/>
    <x v="0"/>
    <x v="0"/>
    <s v="GNR_ENG_NGAS_BP_E-38"/>
    <x v="1"/>
    <x v="0"/>
    <n v="1.25555555555556"/>
    <n v="305.51851851851899"/>
    <n v="1099.86666666667"/>
  </r>
  <r>
    <x v="0"/>
    <x v="0"/>
    <x v="0"/>
    <x v="0"/>
    <x v="0"/>
    <x v="8"/>
    <x v="3"/>
    <x v="0"/>
    <x v="0"/>
    <s v="GNR_ENG_NGAS_BP_E-38"/>
    <x v="1"/>
    <x v="2"/>
    <n v="1.25555555555556"/>
    <n v="305.51851851851899"/>
    <n v="1099.86666666667"/>
  </r>
  <r>
    <x v="0"/>
    <x v="0"/>
    <x v="0"/>
    <x v="0"/>
    <x v="0"/>
    <x v="8"/>
    <x v="4"/>
    <x v="2"/>
    <x v="3"/>
    <s v="GNR_BO_STRW_E-100"/>
    <x v="0"/>
    <x v="5"/>
    <n v="41.5"/>
    <n v="10098.333333333299"/>
    <n v="36354"/>
  </r>
  <r>
    <x v="0"/>
    <x v="0"/>
    <x v="0"/>
    <x v="0"/>
    <x v="0"/>
    <x v="8"/>
    <x v="4"/>
    <x v="2"/>
    <x v="3"/>
    <s v="GNR_BO_STRW_E-100"/>
    <x v="0"/>
    <x v="3"/>
    <n v="41.5"/>
    <n v="10098.333333333299"/>
    <n v="36354"/>
  </r>
  <r>
    <x v="0"/>
    <x v="0"/>
    <x v="0"/>
    <x v="0"/>
    <x v="0"/>
    <x v="8"/>
    <x v="4"/>
    <x v="2"/>
    <x v="3"/>
    <s v="GNR_BO_STRW_E-100"/>
    <x v="0"/>
    <x v="6"/>
    <n v="41.5"/>
    <n v="10098.333333333299"/>
    <n v="36354"/>
  </r>
  <r>
    <x v="0"/>
    <x v="0"/>
    <x v="0"/>
    <x v="0"/>
    <x v="0"/>
    <x v="8"/>
    <x v="4"/>
    <x v="2"/>
    <x v="3"/>
    <s v="GNR_BO_STRW_E-100"/>
    <x v="0"/>
    <x v="4"/>
    <n v="41.5"/>
    <n v="10098.333333333299"/>
    <n v="36354"/>
  </r>
  <r>
    <x v="0"/>
    <x v="0"/>
    <x v="0"/>
    <x v="0"/>
    <x v="0"/>
    <x v="8"/>
    <x v="4"/>
    <x v="2"/>
    <x v="3"/>
    <s v="GNR_BO_STRW_E-100"/>
    <x v="0"/>
    <x v="7"/>
    <n v="41.5"/>
    <n v="10098.333333333299"/>
    <n v="36354"/>
  </r>
  <r>
    <x v="0"/>
    <x v="0"/>
    <x v="0"/>
    <x v="0"/>
    <x v="0"/>
    <x v="8"/>
    <x v="4"/>
    <x v="2"/>
    <x v="3"/>
    <s v="GNR_BO_STRW_E-100"/>
    <x v="0"/>
    <x v="8"/>
    <n v="41.5"/>
    <n v="10098.333333333299"/>
    <n v="36354"/>
  </r>
  <r>
    <x v="0"/>
    <x v="0"/>
    <x v="0"/>
    <x v="0"/>
    <x v="0"/>
    <x v="8"/>
    <x v="4"/>
    <x v="2"/>
    <x v="3"/>
    <s v="GNR_BO_STRW_E-100"/>
    <x v="0"/>
    <x v="0"/>
    <n v="41.5"/>
    <n v="10098.333333333299"/>
    <n v="36354"/>
  </r>
  <r>
    <x v="0"/>
    <x v="0"/>
    <x v="0"/>
    <x v="0"/>
    <x v="0"/>
    <x v="8"/>
    <x v="4"/>
    <x v="2"/>
    <x v="3"/>
    <s v="GNR_BO_STRW_E-100"/>
    <x v="0"/>
    <x v="1"/>
    <n v="41.5"/>
    <n v="10098.333333333299"/>
    <n v="36354"/>
  </r>
  <r>
    <x v="0"/>
    <x v="0"/>
    <x v="0"/>
    <x v="0"/>
    <x v="0"/>
    <x v="8"/>
    <x v="4"/>
    <x v="2"/>
    <x v="3"/>
    <s v="GNR_BO_STRW_E-100"/>
    <x v="0"/>
    <x v="2"/>
    <n v="41.5"/>
    <n v="10098.333333333299"/>
    <n v="36354"/>
  </r>
  <r>
    <x v="0"/>
    <x v="0"/>
    <x v="0"/>
    <x v="0"/>
    <x v="0"/>
    <x v="8"/>
    <x v="4"/>
    <x v="2"/>
    <x v="3"/>
    <s v="GNR_BO_STRW_E-100"/>
    <x v="0"/>
    <x v="9"/>
    <n v="41.5"/>
    <n v="10098.333333333299"/>
    <n v="36354"/>
  </r>
  <r>
    <x v="0"/>
    <x v="0"/>
    <x v="0"/>
    <x v="0"/>
    <x v="0"/>
    <x v="8"/>
    <x v="4"/>
    <x v="2"/>
    <x v="3"/>
    <s v="GNR_BO_STRW_E-100"/>
    <x v="0"/>
    <x v="10"/>
    <n v="41.5"/>
    <n v="10098.333333333299"/>
    <n v="36354"/>
  </r>
  <r>
    <x v="0"/>
    <x v="0"/>
    <x v="0"/>
    <x v="0"/>
    <x v="0"/>
    <x v="8"/>
    <x v="4"/>
    <x v="2"/>
    <x v="3"/>
    <s v="GNR_BO_STRW_E-100"/>
    <x v="0"/>
    <x v="11"/>
    <n v="41.5"/>
    <n v="10098.333333333299"/>
    <n v="36354"/>
  </r>
  <r>
    <x v="0"/>
    <x v="0"/>
    <x v="0"/>
    <x v="0"/>
    <x v="0"/>
    <x v="8"/>
    <x v="4"/>
    <x v="2"/>
    <x v="3"/>
    <s v="GNR_BO_STRW_E-100"/>
    <x v="2"/>
    <x v="5"/>
    <n v="22.1851331744964"/>
    <n v="5398.3824057941301"/>
    <n v="19434.176660858899"/>
  </r>
  <r>
    <x v="0"/>
    <x v="0"/>
    <x v="0"/>
    <x v="0"/>
    <x v="0"/>
    <x v="8"/>
    <x v="4"/>
    <x v="2"/>
    <x v="3"/>
    <s v="GNR_BO_STRW_E-100"/>
    <x v="2"/>
    <x v="3"/>
    <n v="36.814535630684603"/>
    <n v="8958.2036701332599"/>
    <n v="32249.533212479699"/>
  </r>
  <r>
    <x v="0"/>
    <x v="0"/>
    <x v="0"/>
    <x v="0"/>
    <x v="0"/>
    <x v="8"/>
    <x v="4"/>
    <x v="2"/>
    <x v="3"/>
    <s v="GNR_BO_STRW_E-100"/>
    <x v="2"/>
    <x v="6"/>
    <n v="41.5"/>
    <n v="10098.333333333299"/>
    <n v="36354"/>
  </r>
  <r>
    <x v="0"/>
    <x v="0"/>
    <x v="0"/>
    <x v="0"/>
    <x v="0"/>
    <x v="8"/>
    <x v="4"/>
    <x v="2"/>
    <x v="3"/>
    <s v="GNR_BO_STRW_E-100"/>
    <x v="2"/>
    <x v="4"/>
    <n v="11.331156865032201"/>
    <n v="2757.2481704911702"/>
    <n v="9926.0934137682198"/>
  </r>
  <r>
    <x v="0"/>
    <x v="0"/>
    <x v="0"/>
    <x v="0"/>
    <x v="0"/>
    <x v="8"/>
    <x v="4"/>
    <x v="2"/>
    <x v="3"/>
    <s v="GNR_BO_STRW_E-100"/>
    <x v="2"/>
    <x v="7"/>
    <n v="41.5"/>
    <n v="10098.333333333299"/>
    <n v="36354"/>
  </r>
  <r>
    <x v="0"/>
    <x v="0"/>
    <x v="0"/>
    <x v="0"/>
    <x v="0"/>
    <x v="8"/>
    <x v="4"/>
    <x v="2"/>
    <x v="3"/>
    <s v="GNR_BO_STRW_E-100"/>
    <x v="2"/>
    <x v="8"/>
    <n v="14.121600257124101"/>
    <n v="3436.2560625668698"/>
    <n v="12370.521825240699"/>
  </r>
  <r>
    <x v="0"/>
    <x v="0"/>
    <x v="0"/>
    <x v="0"/>
    <x v="0"/>
    <x v="8"/>
    <x v="4"/>
    <x v="2"/>
    <x v="3"/>
    <s v="GNR_BO_STRW_E-100"/>
    <x v="2"/>
    <x v="0"/>
    <n v="22.7552122948596"/>
    <n v="5537.1016584158197"/>
    <n v="19933.565970297001"/>
  </r>
  <r>
    <x v="0"/>
    <x v="0"/>
    <x v="0"/>
    <x v="0"/>
    <x v="0"/>
    <x v="8"/>
    <x v="4"/>
    <x v="2"/>
    <x v="3"/>
    <s v="GNR_BO_STRW_E-100"/>
    <x v="2"/>
    <x v="1"/>
    <n v="33.749143481713702"/>
    <n v="8212.2915805503198"/>
    <n v="29564.249689981199"/>
  </r>
  <r>
    <x v="0"/>
    <x v="0"/>
    <x v="0"/>
    <x v="0"/>
    <x v="0"/>
    <x v="8"/>
    <x v="4"/>
    <x v="2"/>
    <x v="3"/>
    <s v="GNR_BO_STRW_E-100"/>
    <x v="2"/>
    <x v="2"/>
    <n v="28.686837287629402"/>
    <n v="6980.4637399898302"/>
    <n v="25129.669463963401"/>
  </r>
  <r>
    <x v="0"/>
    <x v="0"/>
    <x v="0"/>
    <x v="0"/>
    <x v="0"/>
    <x v="8"/>
    <x v="4"/>
    <x v="2"/>
    <x v="3"/>
    <s v="GNR_BO_STRW_E-100"/>
    <x v="2"/>
    <x v="9"/>
    <n v="10.134500440458799"/>
    <n v="2466.0617738449801"/>
    <n v="8877.8223858419205"/>
  </r>
  <r>
    <x v="0"/>
    <x v="0"/>
    <x v="0"/>
    <x v="0"/>
    <x v="0"/>
    <x v="8"/>
    <x v="4"/>
    <x v="2"/>
    <x v="3"/>
    <s v="GNR_BO_STRW_E-100"/>
    <x v="2"/>
    <x v="10"/>
    <n v="18.988919832951598"/>
    <n v="4620.6371593515496"/>
    <n v="16634.293773665599"/>
  </r>
  <r>
    <x v="0"/>
    <x v="0"/>
    <x v="0"/>
    <x v="0"/>
    <x v="0"/>
    <x v="8"/>
    <x v="4"/>
    <x v="2"/>
    <x v="3"/>
    <s v="GNR_BO_STRW_E-100"/>
    <x v="2"/>
    <x v="11"/>
    <n v="22.5411720249719"/>
    <n v="5485.0185260764902"/>
    <n v="19746.0666938754"/>
  </r>
  <r>
    <x v="0"/>
    <x v="0"/>
    <x v="0"/>
    <x v="0"/>
    <x v="0"/>
    <x v="8"/>
    <x v="4"/>
    <x v="2"/>
    <x v="3"/>
    <s v="GNR_BO_STRW_E-100"/>
    <x v="1"/>
    <x v="3"/>
    <n v="13.168182182426101"/>
    <n v="3204.2576643903499"/>
    <n v="11535.3275918053"/>
  </r>
  <r>
    <x v="0"/>
    <x v="0"/>
    <x v="0"/>
    <x v="0"/>
    <x v="0"/>
    <x v="8"/>
    <x v="4"/>
    <x v="2"/>
    <x v="3"/>
    <s v="GNR_BO_STRW_E-100"/>
    <x v="1"/>
    <x v="6"/>
    <n v="41.5"/>
    <n v="10098.333333333299"/>
    <n v="36354"/>
  </r>
  <r>
    <x v="0"/>
    <x v="0"/>
    <x v="0"/>
    <x v="0"/>
    <x v="0"/>
    <x v="8"/>
    <x v="4"/>
    <x v="2"/>
    <x v="3"/>
    <s v="GNR_BO_STRW_E-100"/>
    <x v="1"/>
    <x v="7"/>
    <n v="24.1938716864274"/>
    <n v="5887.1754436973397"/>
    <n v="21193.8315973104"/>
  </r>
  <r>
    <x v="0"/>
    <x v="0"/>
    <x v="0"/>
    <x v="0"/>
    <x v="0"/>
    <x v="8"/>
    <x v="4"/>
    <x v="2"/>
    <x v="3"/>
    <s v="GNR_BO_STRW_E-100"/>
    <x v="1"/>
    <x v="8"/>
    <n v="9.7447762250802299"/>
    <n v="2371.22888143619"/>
    <n v="8536.4239731702801"/>
  </r>
  <r>
    <x v="0"/>
    <x v="0"/>
    <x v="0"/>
    <x v="0"/>
    <x v="0"/>
    <x v="8"/>
    <x v="4"/>
    <x v="2"/>
    <x v="3"/>
    <s v="GNR_BO_STRW_E-100"/>
    <x v="1"/>
    <x v="0"/>
    <n v="8.4984137439518204"/>
    <n v="2067.9473443616098"/>
    <n v="7444.6104397017898"/>
  </r>
  <r>
    <x v="0"/>
    <x v="0"/>
    <x v="0"/>
    <x v="0"/>
    <x v="0"/>
    <x v="8"/>
    <x v="4"/>
    <x v="2"/>
    <x v="3"/>
    <s v="GNR_BO_STRW_E-100"/>
    <x v="1"/>
    <x v="1"/>
    <n v="8.7517802863479606"/>
    <n v="2129.5998696779998"/>
    <n v="7666.5595308408101"/>
  </r>
  <r>
    <x v="0"/>
    <x v="0"/>
    <x v="0"/>
    <x v="0"/>
    <x v="0"/>
    <x v="8"/>
    <x v="4"/>
    <x v="2"/>
    <x v="3"/>
    <s v="GNR_BO_STRW_E-100"/>
    <x v="1"/>
    <x v="2"/>
    <n v="16.659611737612401"/>
    <n v="4053.8388561523402"/>
    <n v="14593.8198821484"/>
  </r>
  <r>
    <x v="0"/>
    <x v="0"/>
    <x v="0"/>
    <x v="0"/>
    <x v="0"/>
    <x v="8"/>
    <x v="4"/>
    <x v="2"/>
    <x v="3"/>
    <s v="GNR_BO_STRW_E-100"/>
    <x v="1"/>
    <x v="9"/>
    <n v="9.2954805135515794"/>
    <n v="2261.90025829755"/>
    <n v="8142.8409298711804"/>
  </r>
  <r>
    <x v="0"/>
    <x v="0"/>
    <x v="0"/>
    <x v="0"/>
    <x v="0"/>
    <x v="8"/>
    <x v="4"/>
    <x v="2"/>
    <x v="3"/>
    <s v="GNR_BO_STRW_E-100"/>
    <x v="1"/>
    <x v="10"/>
    <n v="9.8881861253994892"/>
    <n v="2406.1252905138699"/>
    <n v="8662.0510458499502"/>
  </r>
  <r>
    <x v="0"/>
    <x v="0"/>
    <x v="0"/>
    <x v="0"/>
    <x v="0"/>
    <x v="8"/>
    <x v="4"/>
    <x v="2"/>
    <x v="3"/>
    <s v="GNR_BO_STRW_E-100"/>
    <x v="1"/>
    <x v="11"/>
    <n v="14.469851924779499"/>
    <n v="3520.9973016963399"/>
    <n v="12675.590286106801"/>
  </r>
  <r>
    <x v="0"/>
    <x v="0"/>
    <x v="0"/>
    <x v="0"/>
    <x v="0"/>
    <x v="8"/>
    <x v="6"/>
    <x v="2"/>
    <x v="3"/>
    <s v="GNR_EH_HEAT"/>
    <x v="0"/>
    <x v="5"/>
    <n v="9"/>
    <n v="2190"/>
    <n v="7884"/>
  </r>
  <r>
    <x v="0"/>
    <x v="0"/>
    <x v="0"/>
    <x v="0"/>
    <x v="0"/>
    <x v="8"/>
    <x v="6"/>
    <x v="2"/>
    <x v="3"/>
    <s v="GNR_EH_HEAT"/>
    <x v="0"/>
    <x v="3"/>
    <n v="9"/>
    <n v="2190"/>
    <n v="7884"/>
  </r>
  <r>
    <x v="0"/>
    <x v="0"/>
    <x v="0"/>
    <x v="0"/>
    <x v="0"/>
    <x v="8"/>
    <x v="6"/>
    <x v="2"/>
    <x v="3"/>
    <s v="GNR_EH_HEAT"/>
    <x v="0"/>
    <x v="6"/>
    <n v="9"/>
    <n v="2190"/>
    <n v="7884"/>
  </r>
  <r>
    <x v="0"/>
    <x v="0"/>
    <x v="0"/>
    <x v="0"/>
    <x v="0"/>
    <x v="8"/>
    <x v="6"/>
    <x v="2"/>
    <x v="3"/>
    <s v="GNR_EH_HEAT"/>
    <x v="0"/>
    <x v="4"/>
    <n v="9"/>
    <n v="2190"/>
    <n v="7884"/>
  </r>
  <r>
    <x v="0"/>
    <x v="0"/>
    <x v="0"/>
    <x v="0"/>
    <x v="0"/>
    <x v="8"/>
    <x v="6"/>
    <x v="2"/>
    <x v="3"/>
    <s v="GNR_EH_HEAT"/>
    <x v="0"/>
    <x v="7"/>
    <n v="9"/>
    <n v="2190"/>
    <n v="7884"/>
  </r>
  <r>
    <x v="0"/>
    <x v="0"/>
    <x v="0"/>
    <x v="0"/>
    <x v="0"/>
    <x v="8"/>
    <x v="6"/>
    <x v="2"/>
    <x v="3"/>
    <s v="GNR_EH_HEAT"/>
    <x v="0"/>
    <x v="8"/>
    <n v="9"/>
    <n v="2190"/>
    <n v="7884"/>
  </r>
  <r>
    <x v="0"/>
    <x v="0"/>
    <x v="0"/>
    <x v="0"/>
    <x v="0"/>
    <x v="8"/>
    <x v="6"/>
    <x v="2"/>
    <x v="3"/>
    <s v="GNR_EH_HEAT"/>
    <x v="0"/>
    <x v="0"/>
    <n v="9"/>
    <n v="2190"/>
    <n v="7884"/>
  </r>
  <r>
    <x v="0"/>
    <x v="0"/>
    <x v="0"/>
    <x v="0"/>
    <x v="0"/>
    <x v="8"/>
    <x v="6"/>
    <x v="2"/>
    <x v="3"/>
    <s v="GNR_EH_HEAT"/>
    <x v="0"/>
    <x v="1"/>
    <n v="9"/>
    <n v="2190"/>
    <n v="7884"/>
  </r>
  <r>
    <x v="0"/>
    <x v="0"/>
    <x v="0"/>
    <x v="0"/>
    <x v="0"/>
    <x v="8"/>
    <x v="6"/>
    <x v="2"/>
    <x v="3"/>
    <s v="GNR_EH_HEAT"/>
    <x v="0"/>
    <x v="2"/>
    <n v="9"/>
    <n v="2190"/>
    <n v="7884"/>
  </r>
  <r>
    <x v="0"/>
    <x v="0"/>
    <x v="0"/>
    <x v="0"/>
    <x v="0"/>
    <x v="8"/>
    <x v="6"/>
    <x v="2"/>
    <x v="3"/>
    <s v="GNR_EH_HEAT"/>
    <x v="0"/>
    <x v="9"/>
    <n v="9"/>
    <n v="2190"/>
    <n v="7884"/>
  </r>
  <r>
    <x v="0"/>
    <x v="0"/>
    <x v="0"/>
    <x v="0"/>
    <x v="0"/>
    <x v="8"/>
    <x v="6"/>
    <x v="2"/>
    <x v="3"/>
    <s v="GNR_EH_HEAT"/>
    <x v="0"/>
    <x v="10"/>
    <n v="9"/>
    <n v="2190"/>
    <n v="7884"/>
  </r>
  <r>
    <x v="0"/>
    <x v="0"/>
    <x v="0"/>
    <x v="0"/>
    <x v="0"/>
    <x v="8"/>
    <x v="6"/>
    <x v="2"/>
    <x v="3"/>
    <s v="GNR_EH_HEAT"/>
    <x v="0"/>
    <x v="11"/>
    <n v="9"/>
    <n v="2190"/>
    <n v="7884"/>
  </r>
  <r>
    <x v="0"/>
    <x v="0"/>
    <x v="0"/>
    <x v="0"/>
    <x v="0"/>
    <x v="8"/>
    <x v="6"/>
    <x v="2"/>
    <x v="3"/>
    <s v="GNR_EH_HEAT"/>
    <x v="2"/>
    <x v="5"/>
    <n v="9"/>
    <n v="2190"/>
    <n v="7884"/>
  </r>
  <r>
    <x v="0"/>
    <x v="0"/>
    <x v="0"/>
    <x v="0"/>
    <x v="0"/>
    <x v="8"/>
    <x v="6"/>
    <x v="2"/>
    <x v="3"/>
    <s v="GNR_EH_HEAT"/>
    <x v="2"/>
    <x v="3"/>
    <n v="9"/>
    <n v="2190"/>
    <n v="7884"/>
  </r>
  <r>
    <x v="0"/>
    <x v="0"/>
    <x v="0"/>
    <x v="0"/>
    <x v="0"/>
    <x v="8"/>
    <x v="6"/>
    <x v="2"/>
    <x v="3"/>
    <s v="GNR_EH_HEAT"/>
    <x v="2"/>
    <x v="6"/>
    <n v="9"/>
    <n v="2190"/>
    <n v="7884"/>
  </r>
  <r>
    <x v="0"/>
    <x v="0"/>
    <x v="0"/>
    <x v="0"/>
    <x v="0"/>
    <x v="8"/>
    <x v="6"/>
    <x v="2"/>
    <x v="3"/>
    <s v="GNR_EH_HEAT"/>
    <x v="2"/>
    <x v="4"/>
    <n v="9"/>
    <n v="2190"/>
    <n v="7884"/>
  </r>
  <r>
    <x v="0"/>
    <x v="0"/>
    <x v="0"/>
    <x v="0"/>
    <x v="0"/>
    <x v="8"/>
    <x v="6"/>
    <x v="2"/>
    <x v="3"/>
    <s v="GNR_EH_HEAT"/>
    <x v="2"/>
    <x v="7"/>
    <n v="9"/>
    <n v="2190"/>
    <n v="7884"/>
  </r>
  <r>
    <x v="0"/>
    <x v="0"/>
    <x v="0"/>
    <x v="0"/>
    <x v="0"/>
    <x v="8"/>
    <x v="6"/>
    <x v="2"/>
    <x v="3"/>
    <s v="GNR_EH_HEAT"/>
    <x v="2"/>
    <x v="8"/>
    <n v="9"/>
    <n v="2190"/>
    <n v="7884"/>
  </r>
  <r>
    <x v="0"/>
    <x v="0"/>
    <x v="0"/>
    <x v="0"/>
    <x v="0"/>
    <x v="8"/>
    <x v="6"/>
    <x v="2"/>
    <x v="3"/>
    <s v="GNR_EH_HEAT"/>
    <x v="2"/>
    <x v="0"/>
    <n v="9"/>
    <n v="2190"/>
    <n v="7884"/>
  </r>
  <r>
    <x v="0"/>
    <x v="0"/>
    <x v="0"/>
    <x v="0"/>
    <x v="0"/>
    <x v="8"/>
    <x v="6"/>
    <x v="2"/>
    <x v="3"/>
    <s v="GNR_EH_HEAT"/>
    <x v="2"/>
    <x v="1"/>
    <n v="9"/>
    <n v="2190"/>
    <n v="7884"/>
  </r>
  <r>
    <x v="0"/>
    <x v="0"/>
    <x v="0"/>
    <x v="0"/>
    <x v="0"/>
    <x v="8"/>
    <x v="6"/>
    <x v="2"/>
    <x v="3"/>
    <s v="GNR_EH_HEAT"/>
    <x v="2"/>
    <x v="2"/>
    <n v="9"/>
    <n v="2190"/>
    <n v="7884"/>
  </r>
  <r>
    <x v="0"/>
    <x v="0"/>
    <x v="0"/>
    <x v="0"/>
    <x v="0"/>
    <x v="8"/>
    <x v="6"/>
    <x v="2"/>
    <x v="3"/>
    <s v="GNR_EH_HEAT"/>
    <x v="2"/>
    <x v="9"/>
    <n v="9"/>
    <n v="2190"/>
    <n v="7884"/>
  </r>
  <r>
    <x v="0"/>
    <x v="0"/>
    <x v="0"/>
    <x v="0"/>
    <x v="0"/>
    <x v="8"/>
    <x v="6"/>
    <x v="2"/>
    <x v="3"/>
    <s v="GNR_EH_HEAT"/>
    <x v="2"/>
    <x v="10"/>
    <n v="9"/>
    <n v="2190"/>
    <n v="7884"/>
  </r>
  <r>
    <x v="0"/>
    <x v="0"/>
    <x v="0"/>
    <x v="0"/>
    <x v="0"/>
    <x v="8"/>
    <x v="6"/>
    <x v="2"/>
    <x v="3"/>
    <s v="GNR_EH_HEAT"/>
    <x v="2"/>
    <x v="11"/>
    <n v="9"/>
    <n v="2190"/>
    <n v="7884"/>
  </r>
  <r>
    <x v="0"/>
    <x v="0"/>
    <x v="0"/>
    <x v="0"/>
    <x v="0"/>
    <x v="8"/>
    <x v="6"/>
    <x v="2"/>
    <x v="3"/>
    <s v="GNR_EH_HEAT"/>
    <x v="1"/>
    <x v="5"/>
    <n v="9"/>
    <n v="2190"/>
    <n v="7884"/>
  </r>
  <r>
    <x v="0"/>
    <x v="0"/>
    <x v="0"/>
    <x v="0"/>
    <x v="0"/>
    <x v="8"/>
    <x v="6"/>
    <x v="2"/>
    <x v="3"/>
    <s v="GNR_EH_HEAT"/>
    <x v="1"/>
    <x v="3"/>
    <n v="9"/>
    <n v="2190"/>
    <n v="7884"/>
  </r>
  <r>
    <x v="0"/>
    <x v="0"/>
    <x v="0"/>
    <x v="0"/>
    <x v="0"/>
    <x v="8"/>
    <x v="6"/>
    <x v="2"/>
    <x v="3"/>
    <s v="GNR_EH_HEAT"/>
    <x v="1"/>
    <x v="6"/>
    <n v="9"/>
    <n v="2190"/>
    <n v="7884"/>
  </r>
  <r>
    <x v="0"/>
    <x v="0"/>
    <x v="0"/>
    <x v="0"/>
    <x v="0"/>
    <x v="8"/>
    <x v="6"/>
    <x v="2"/>
    <x v="3"/>
    <s v="GNR_EH_HEAT"/>
    <x v="1"/>
    <x v="4"/>
    <n v="9"/>
    <n v="2190"/>
    <n v="7884"/>
  </r>
  <r>
    <x v="0"/>
    <x v="0"/>
    <x v="0"/>
    <x v="0"/>
    <x v="0"/>
    <x v="8"/>
    <x v="6"/>
    <x v="2"/>
    <x v="3"/>
    <s v="GNR_EH_HEAT"/>
    <x v="1"/>
    <x v="7"/>
    <n v="9"/>
    <n v="2190"/>
    <n v="7884"/>
  </r>
  <r>
    <x v="0"/>
    <x v="0"/>
    <x v="0"/>
    <x v="0"/>
    <x v="0"/>
    <x v="8"/>
    <x v="6"/>
    <x v="2"/>
    <x v="3"/>
    <s v="GNR_EH_HEAT"/>
    <x v="1"/>
    <x v="8"/>
    <n v="9"/>
    <n v="2190"/>
    <n v="7884"/>
  </r>
  <r>
    <x v="0"/>
    <x v="0"/>
    <x v="0"/>
    <x v="0"/>
    <x v="0"/>
    <x v="8"/>
    <x v="6"/>
    <x v="2"/>
    <x v="3"/>
    <s v="GNR_EH_HEAT"/>
    <x v="1"/>
    <x v="0"/>
    <n v="9"/>
    <n v="2190"/>
    <n v="7884"/>
  </r>
  <r>
    <x v="0"/>
    <x v="0"/>
    <x v="0"/>
    <x v="0"/>
    <x v="0"/>
    <x v="8"/>
    <x v="6"/>
    <x v="2"/>
    <x v="3"/>
    <s v="GNR_EH_HEAT"/>
    <x v="1"/>
    <x v="1"/>
    <n v="9"/>
    <n v="2190"/>
    <n v="7884"/>
  </r>
  <r>
    <x v="0"/>
    <x v="0"/>
    <x v="0"/>
    <x v="0"/>
    <x v="0"/>
    <x v="8"/>
    <x v="6"/>
    <x v="2"/>
    <x v="3"/>
    <s v="GNR_EH_HEAT"/>
    <x v="1"/>
    <x v="2"/>
    <n v="9"/>
    <n v="2190"/>
    <n v="7884"/>
  </r>
  <r>
    <x v="0"/>
    <x v="0"/>
    <x v="0"/>
    <x v="0"/>
    <x v="0"/>
    <x v="8"/>
    <x v="6"/>
    <x v="2"/>
    <x v="3"/>
    <s v="GNR_EH_HEAT"/>
    <x v="1"/>
    <x v="9"/>
    <n v="9"/>
    <n v="2190"/>
    <n v="7884"/>
  </r>
  <r>
    <x v="0"/>
    <x v="0"/>
    <x v="0"/>
    <x v="0"/>
    <x v="0"/>
    <x v="8"/>
    <x v="6"/>
    <x v="2"/>
    <x v="3"/>
    <s v="GNR_EH_HEAT"/>
    <x v="1"/>
    <x v="10"/>
    <n v="9"/>
    <n v="2190"/>
    <n v="7884"/>
  </r>
  <r>
    <x v="0"/>
    <x v="0"/>
    <x v="0"/>
    <x v="0"/>
    <x v="0"/>
    <x v="8"/>
    <x v="6"/>
    <x v="2"/>
    <x v="3"/>
    <s v="GNR_EH_HEAT"/>
    <x v="1"/>
    <x v="11"/>
    <n v="9"/>
    <n v="2190"/>
    <n v="7884"/>
  </r>
  <r>
    <x v="0"/>
    <x v="0"/>
    <x v="0"/>
    <x v="0"/>
    <x v="0"/>
    <x v="8"/>
    <x v="7"/>
    <x v="2"/>
    <x v="3"/>
    <s v="GNR_BO_WOODCHI_E-100"/>
    <x v="0"/>
    <x v="5"/>
    <n v="25.847956924761299"/>
    <n v="6289.6695183585898"/>
    <n v="22642.810266090899"/>
  </r>
  <r>
    <x v="0"/>
    <x v="0"/>
    <x v="0"/>
    <x v="0"/>
    <x v="0"/>
    <x v="8"/>
    <x v="7"/>
    <x v="2"/>
    <x v="3"/>
    <s v="GNR_BO_WOODCHI_E-100"/>
    <x v="0"/>
    <x v="3"/>
    <n v="30"/>
    <n v="7300"/>
    <n v="26280"/>
  </r>
  <r>
    <x v="0"/>
    <x v="0"/>
    <x v="0"/>
    <x v="0"/>
    <x v="0"/>
    <x v="8"/>
    <x v="7"/>
    <x v="2"/>
    <x v="3"/>
    <s v="GNR_BO_WOODCHI_E-100"/>
    <x v="0"/>
    <x v="6"/>
    <n v="30"/>
    <n v="7300"/>
    <n v="26280"/>
  </r>
  <r>
    <x v="0"/>
    <x v="0"/>
    <x v="0"/>
    <x v="0"/>
    <x v="0"/>
    <x v="8"/>
    <x v="7"/>
    <x v="2"/>
    <x v="3"/>
    <s v="GNR_BO_WOODCHI_E-100"/>
    <x v="0"/>
    <x v="4"/>
    <n v="23.9972247590003"/>
    <n v="5839.32469135675"/>
    <n v="21021.5688888843"/>
  </r>
  <r>
    <x v="0"/>
    <x v="0"/>
    <x v="0"/>
    <x v="0"/>
    <x v="0"/>
    <x v="8"/>
    <x v="7"/>
    <x v="2"/>
    <x v="3"/>
    <s v="GNR_BO_WOODCHI_E-100"/>
    <x v="0"/>
    <x v="7"/>
    <n v="24.376083364219198"/>
    <n v="5931.51361862667"/>
    <n v="21353.449027056002"/>
  </r>
  <r>
    <x v="0"/>
    <x v="0"/>
    <x v="0"/>
    <x v="0"/>
    <x v="0"/>
    <x v="8"/>
    <x v="7"/>
    <x v="2"/>
    <x v="3"/>
    <s v="GNR_BO_WOODCHI_E-100"/>
    <x v="0"/>
    <x v="8"/>
    <n v="18.4245058061958"/>
    <n v="4483.2964128409903"/>
    <n v="16139.867086227599"/>
  </r>
  <r>
    <x v="0"/>
    <x v="0"/>
    <x v="0"/>
    <x v="0"/>
    <x v="0"/>
    <x v="8"/>
    <x v="7"/>
    <x v="2"/>
    <x v="3"/>
    <s v="GNR_BO_WOODCHI_E-100"/>
    <x v="0"/>
    <x v="0"/>
    <n v="28.5973103697848"/>
    <n v="6958.6788566476298"/>
    <n v="25051.2438839315"/>
  </r>
  <r>
    <x v="0"/>
    <x v="0"/>
    <x v="0"/>
    <x v="0"/>
    <x v="0"/>
    <x v="8"/>
    <x v="7"/>
    <x v="2"/>
    <x v="3"/>
    <s v="GNR_BO_WOODCHI_E-100"/>
    <x v="0"/>
    <x v="1"/>
    <n v="30"/>
    <n v="7300"/>
    <n v="26280"/>
  </r>
  <r>
    <x v="0"/>
    <x v="0"/>
    <x v="0"/>
    <x v="0"/>
    <x v="0"/>
    <x v="8"/>
    <x v="7"/>
    <x v="2"/>
    <x v="3"/>
    <s v="GNR_BO_WOODCHI_E-100"/>
    <x v="0"/>
    <x v="2"/>
    <n v="30"/>
    <n v="7300"/>
    <n v="26280"/>
  </r>
  <r>
    <x v="0"/>
    <x v="0"/>
    <x v="0"/>
    <x v="0"/>
    <x v="0"/>
    <x v="8"/>
    <x v="7"/>
    <x v="2"/>
    <x v="3"/>
    <s v="GNR_BO_WOODCHI_E-100"/>
    <x v="0"/>
    <x v="9"/>
    <n v="16.781546126469699"/>
    <n v="4083.5095574409602"/>
    <n v="14700.6344067875"/>
  </r>
  <r>
    <x v="0"/>
    <x v="0"/>
    <x v="0"/>
    <x v="0"/>
    <x v="0"/>
    <x v="8"/>
    <x v="7"/>
    <x v="2"/>
    <x v="3"/>
    <s v="GNR_BO_WOODCHI_E-100"/>
    <x v="0"/>
    <x v="10"/>
    <n v="11.0663779429355"/>
    <n v="2692.8186327809799"/>
    <n v="9694.1470780115196"/>
  </r>
  <r>
    <x v="0"/>
    <x v="0"/>
    <x v="0"/>
    <x v="0"/>
    <x v="0"/>
    <x v="8"/>
    <x v="7"/>
    <x v="2"/>
    <x v="3"/>
    <s v="GNR_BO_WOODCHI_E-100"/>
    <x v="0"/>
    <x v="11"/>
    <n v="15.6888043259965"/>
    <n v="3817.6090526591602"/>
    <n v="13743.392589573001"/>
  </r>
  <r>
    <x v="0"/>
    <x v="0"/>
    <x v="0"/>
    <x v="0"/>
    <x v="0"/>
    <x v="8"/>
    <x v="7"/>
    <x v="2"/>
    <x v="3"/>
    <s v="GNR_BO_WOODCHI_E-100"/>
    <x v="2"/>
    <x v="6"/>
    <n v="12.4712289998734"/>
    <n v="3034.6657233025298"/>
    <n v="10924.796603889101"/>
  </r>
  <r>
    <x v="0"/>
    <x v="0"/>
    <x v="0"/>
    <x v="0"/>
    <x v="0"/>
    <x v="8"/>
    <x v="7"/>
    <x v="2"/>
    <x v="3"/>
    <s v="GNR_BO_WOODCHI_E-100"/>
    <x v="2"/>
    <x v="7"/>
    <n v="2.30555079029986"/>
    <n v="561.01735897296498"/>
    <n v="2019.66249230267"/>
  </r>
  <r>
    <x v="0"/>
    <x v="0"/>
    <x v="0"/>
    <x v="0"/>
    <x v="0"/>
    <x v="8"/>
    <x v="7"/>
    <x v="2"/>
    <x v="3"/>
    <s v="GNR_BO_WOODCHI_E-110"/>
    <x v="0"/>
    <x v="5"/>
    <n v="10.8"/>
    <n v="2628"/>
    <n v="9460.7999999999993"/>
  </r>
  <r>
    <x v="0"/>
    <x v="0"/>
    <x v="0"/>
    <x v="0"/>
    <x v="0"/>
    <x v="8"/>
    <x v="7"/>
    <x v="2"/>
    <x v="3"/>
    <s v="GNR_BO_WOODCHI_E-110"/>
    <x v="0"/>
    <x v="3"/>
    <n v="10.8"/>
    <n v="2628"/>
    <n v="9460.7999999999993"/>
  </r>
  <r>
    <x v="0"/>
    <x v="0"/>
    <x v="0"/>
    <x v="0"/>
    <x v="0"/>
    <x v="8"/>
    <x v="7"/>
    <x v="2"/>
    <x v="3"/>
    <s v="GNR_BO_WOODCHI_E-110"/>
    <x v="0"/>
    <x v="6"/>
    <n v="10.8"/>
    <n v="2628"/>
    <n v="9460.7999999999993"/>
  </r>
  <r>
    <x v="0"/>
    <x v="0"/>
    <x v="0"/>
    <x v="0"/>
    <x v="0"/>
    <x v="8"/>
    <x v="7"/>
    <x v="2"/>
    <x v="3"/>
    <s v="GNR_BO_WOODCHI_E-110"/>
    <x v="0"/>
    <x v="4"/>
    <n v="10.8"/>
    <n v="2628"/>
    <n v="9460.7999999999993"/>
  </r>
  <r>
    <x v="0"/>
    <x v="0"/>
    <x v="0"/>
    <x v="0"/>
    <x v="0"/>
    <x v="8"/>
    <x v="7"/>
    <x v="2"/>
    <x v="3"/>
    <s v="GNR_BO_WOODCHI_E-110"/>
    <x v="0"/>
    <x v="7"/>
    <n v="10.8"/>
    <n v="2628"/>
    <n v="9460.7999999999993"/>
  </r>
  <r>
    <x v="0"/>
    <x v="0"/>
    <x v="0"/>
    <x v="0"/>
    <x v="0"/>
    <x v="8"/>
    <x v="7"/>
    <x v="2"/>
    <x v="3"/>
    <s v="GNR_BO_WOODCHI_E-110"/>
    <x v="0"/>
    <x v="8"/>
    <n v="10.8"/>
    <n v="2628"/>
    <n v="9460.7999999999993"/>
  </r>
  <r>
    <x v="0"/>
    <x v="0"/>
    <x v="0"/>
    <x v="0"/>
    <x v="0"/>
    <x v="8"/>
    <x v="7"/>
    <x v="2"/>
    <x v="3"/>
    <s v="GNR_BO_WOODCHI_E-110"/>
    <x v="0"/>
    <x v="0"/>
    <n v="10.8"/>
    <n v="2628"/>
    <n v="9460.7999999999993"/>
  </r>
  <r>
    <x v="0"/>
    <x v="0"/>
    <x v="0"/>
    <x v="0"/>
    <x v="0"/>
    <x v="8"/>
    <x v="7"/>
    <x v="2"/>
    <x v="3"/>
    <s v="GNR_BO_WOODCHI_E-110"/>
    <x v="0"/>
    <x v="1"/>
    <n v="10.8"/>
    <n v="2628"/>
    <n v="9460.7999999999993"/>
  </r>
  <r>
    <x v="0"/>
    <x v="0"/>
    <x v="0"/>
    <x v="0"/>
    <x v="0"/>
    <x v="8"/>
    <x v="7"/>
    <x v="2"/>
    <x v="3"/>
    <s v="GNR_BO_WOODCHI_E-110"/>
    <x v="0"/>
    <x v="2"/>
    <n v="10.8"/>
    <n v="2628"/>
    <n v="9460.7999999999993"/>
  </r>
  <r>
    <x v="0"/>
    <x v="0"/>
    <x v="0"/>
    <x v="0"/>
    <x v="0"/>
    <x v="8"/>
    <x v="7"/>
    <x v="2"/>
    <x v="3"/>
    <s v="GNR_BO_WOODCHI_E-110"/>
    <x v="0"/>
    <x v="9"/>
    <n v="10.8"/>
    <n v="2628"/>
    <n v="9460.7999999999993"/>
  </r>
  <r>
    <x v="0"/>
    <x v="0"/>
    <x v="0"/>
    <x v="0"/>
    <x v="0"/>
    <x v="8"/>
    <x v="7"/>
    <x v="2"/>
    <x v="3"/>
    <s v="GNR_BO_WOODCHI_E-110"/>
    <x v="0"/>
    <x v="10"/>
    <n v="10.8"/>
    <n v="2628"/>
    <n v="9460.7999999999993"/>
  </r>
  <r>
    <x v="0"/>
    <x v="0"/>
    <x v="0"/>
    <x v="0"/>
    <x v="0"/>
    <x v="8"/>
    <x v="7"/>
    <x v="2"/>
    <x v="3"/>
    <s v="GNR_BO_WOODCHI_E-110"/>
    <x v="0"/>
    <x v="11"/>
    <n v="10.8"/>
    <n v="2628"/>
    <n v="9460.7999999999993"/>
  </r>
  <r>
    <x v="0"/>
    <x v="0"/>
    <x v="0"/>
    <x v="0"/>
    <x v="0"/>
    <x v="8"/>
    <x v="7"/>
    <x v="2"/>
    <x v="3"/>
    <s v="GNR_BO_WOODCHI_E-110"/>
    <x v="2"/>
    <x v="5"/>
    <n v="10.8"/>
    <n v="2628"/>
    <n v="9460.7999999999993"/>
  </r>
  <r>
    <x v="0"/>
    <x v="0"/>
    <x v="0"/>
    <x v="0"/>
    <x v="0"/>
    <x v="8"/>
    <x v="7"/>
    <x v="2"/>
    <x v="3"/>
    <s v="GNR_BO_WOODCHI_E-110"/>
    <x v="2"/>
    <x v="6"/>
    <n v="10.8"/>
    <n v="2628"/>
    <n v="9460.7999999999993"/>
  </r>
  <r>
    <x v="0"/>
    <x v="0"/>
    <x v="0"/>
    <x v="0"/>
    <x v="0"/>
    <x v="8"/>
    <x v="7"/>
    <x v="2"/>
    <x v="3"/>
    <s v="GNR_BO_WOODCHI_E-110"/>
    <x v="2"/>
    <x v="4"/>
    <n v="10.8"/>
    <n v="2628"/>
    <n v="9460.7999999999993"/>
  </r>
  <r>
    <x v="0"/>
    <x v="0"/>
    <x v="0"/>
    <x v="0"/>
    <x v="0"/>
    <x v="8"/>
    <x v="7"/>
    <x v="2"/>
    <x v="3"/>
    <s v="GNR_BO_WOODCHI_E-110"/>
    <x v="2"/>
    <x v="7"/>
    <n v="10.8"/>
    <n v="2628"/>
    <n v="9460.7999999999993"/>
  </r>
  <r>
    <x v="0"/>
    <x v="0"/>
    <x v="0"/>
    <x v="0"/>
    <x v="0"/>
    <x v="8"/>
    <x v="7"/>
    <x v="2"/>
    <x v="3"/>
    <s v="GNR_BO_WOODCHI_E-110"/>
    <x v="2"/>
    <x v="8"/>
    <n v="10.8"/>
    <n v="2628"/>
    <n v="9460.7999999999993"/>
  </r>
  <r>
    <x v="0"/>
    <x v="0"/>
    <x v="0"/>
    <x v="0"/>
    <x v="0"/>
    <x v="8"/>
    <x v="7"/>
    <x v="2"/>
    <x v="3"/>
    <s v="GNR_BO_WOODCHI_E-110"/>
    <x v="2"/>
    <x v="0"/>
    <n v="10.8"/>
    <n v="2628"/>
    <n v="9460.7999999999993"/>
  </r>
  <r>
    <x v="0"/>
    <x v="0"/>
    <x v="0"/>
    <x v="0"/>
    <x v="0"/>
    <x v="8"/>
    <x v="7"/>
    <x v="2"/>
    <x v="3"/>
    <s v="GNR_BO_WOODCHI_E-110"/>
    <x v="2"/>
    <x v="2"/>
    <n v="10.8"/>
    <n v="2628"/>
    <n v="9460.7999999999993"/>
  </r>
  <r>
    <x v="0"/>
    <x v="0"/>
    <x v="0"/>
    <x v="0"/>
    <x v="0"/>
    <x v="8"/>
    <x v="7"/>
    <x v="2"/>
    <x v="3"/>
    <s v="GNR_BO_WOODCHI_E-110"/>
    <x v="2"/>
    <x v="9"/>
    <n v="10.8"/>
    <n v="2628"/>
    <n v="9460.7999999999993"/>
  </r>
  <r>
    <x v="0"/>
    <x v="0"/>
    <x v="0"/>
    <x v="0"/>
    <x v="0"/>
    <x v="8"/>
    <x v="7"/>
    <x v="2"/>
    <x v="3"/>
    <s v="GNR_BO_WOODCHI_E-110"/>
    <x v="2"/>
    <x v="11"/>
    <n v="7.8201378389638396"/>
    <n v="1902.9002074811999"/>
    <n v="6850.4407469323196"/>
  </r>
  <r>
    <x v="0"/>
    <x v="0"/>
    <x v="0"/>
    <x v="0"/>
    <x v="0"/>
    <x v="8"/>
    <x v="7"/>
    <x v="2"/>
    <x v="3"/>
    <s v="GNR_BO_WOODCHI_E-110"/>
    <x v="1"/>
    <x v="5"/>
    <n v="9.7502552906042901"/>
    <n v="2372.5621207137101"/>
    <n v="8541.22363456936"/>
  </r>
  <r>
    <x v="0"/>
    <x v="0"/>
    <x v="0"/>
    <x v="0"/>
    <x v="0"/>
    <x v="8"/>
    <x v="7"/>
    <x v="2"/>
    <x v="3"/>
    <s v="GNR_BO_WOODCHI_E-110"/>
    <x v="1"/>
    <x v="6"/>
    <n v="4.0324488461992196"/>
    <n v="981.22921924181105"/>
    <n v="3532.4251892705201"/>
  </r>
  <r>
    <x v="0"/>
    <x v="0"/>
    <x v="0"/>
    <x v="0"/>
    <x v="0"/>
    <x v="8"/>
    <x v="7"/>
    <x v="2"/>
    <x v="3"/>
    <s v="GNR_BO_WOODCHI_E-110"/>
    <x v="1"/>
    <x v="4"/>
    <n v="6.83597239080565"/>
    <n v="1663.4199484293699"/>
    <n v="5988.3118143457496"/>
  </r>
  <r>
    <x v="0"/>
    <x v="0"/>
    <x v="0"/>
    <x v="0"/>
    <x v="0"/>
    <x v="8"/>
    <x v="7"/>
    <x v="2"/>
    <x v="3"/>
    <s v="GNR_BO_WOODCHI_E-110"/>
    <x v="1"/>
    <x v="7"/>
    <n v="10.8"/>
    <n v="2628"/>
    <n v="9460.7999999999993"/>
  </r>
  <r>
    <x v="0"/>
    <x v="0"/>
    <x v="0"/>
    <x v="0"/>
    <x v="0"/>
    <x v="8"/>
    <x v="7"/>
    <x v="2"/>
    <x v="3"/>
    <s v="GNR_BO_WOODCHI_E-110"/>
    <x v="1"/>
    <x v="0"/>
    <n v="10.8"/>
    <n v="2628"/>
    <n v="9460.7999999999993"/>
  </r>
  <r>
    <x v="0"/>
    <x v="0"/>
    <x v="0"/>
    <x v="0"/>
    <x v="0"/>
    <x v="8"/>
    <x v="7"/>
    <x v="2"/>
    <x v="3"/>
    <s v="GNR_BO_WOODCHI_E-110"/>
    <x v="1"/>
    <x v="1"/>
    <n v="10.8"/>
    <n v="2628"/>
    <n v="9460.7999999999993"/>
  </r>
  <r>
    <x v="0"/>
    <x v="0"/>
    <x v="0"/>
    <x v="0"/>
    <x v="0"/>
    <x v="8"/>
    <x v="9"/>
    <x v="2"/>
    <x v="3"/>
    <s v="GNR_BO_WOODWST_E-89"/>
    <x v="0"/>
    <x v="5"/>
    <n v="1.778"/>
    <n v="432.64666666666699"/>
    <n v="1557.528"/>
  </r>
  <r>
    <x v="0"/>
    <x v="0"/>
    <x v="0"/>
    <x v="0"/>
    <x v="0"/>
    <x v="8"/>
    <x v="9"/>
    <x v="2"/>
    <x v="3"/>
    <s v="GNR_BO_WOODWST_E-89"/>
    <x v="0"/>
    <x v="3"/>
    <n v="1.778"/>
    <n v="432.64666666666699"/>
    <n v="1557.528"/>
  </r>
  <r>
    <x v="0"/>
    <x v="0"/>
    <x v="0"/>
    <x v="0"/>
    <x v="0"/>
    <x v="8"/>
    <x v="9"/>
    <x v="2"/>
    <x v="3"/>
    <s v="GNR_BO_WOODWST_E-89"/>
    <x v="0"/>
    <x v="6"/>
    <n v="1.778"/>
    <n v="432.64666666666699"/>
    <n v="1557.528"/>
  </r>
  <r>
    <x v="0"/>
    <x v="0"/>
    <x v="0"/>
    <x v="0"/>
    <x v="0"/>
    <x v="8"/>
    <x v="9"/>
    <x v="2"/>
    <x v="3"/>
    <s v="GNR_BO_WOODWST_E-89"/>
    <x v="0"/>
    <x v="4"/>
    <n v="1.778"/>
    <n v="432.64666666666699"/>
    <n v="1557.528"/>
  </r>
  <r>
    <x v="0"/>
    <x v="0"/>
    <x v="0"/>
    <x v="0"/>
    <x v="0"/>
    <x v="8"/>
    <x v="9"/>
    <x v="2"/>
    <x v="3"/>
    <s v="GNR_BO_WOODWST_E-89"/>
    <x v="0"/>
    <x v="7"/>
    <n v="1.778"/>
    <n v="432.64666666666699"/>
    <n v="1557.528"/>
  </r>
  <r>
    <x v="0"/>
    <x v="0"/>
    <x v="0"/>
    <x v="0"/>
    <x v="0"/>
    <x v="8"/>
    <x v="9"/>
    <x v="2"/>
    <x v="3"/>
    <s v="GNR_BO_WOODWST_E-89"/>
    <x v="0"/>
    <x v="8"/>
    <n v="1.778"/>
    <n v="432.64666666666699"/>
    <n v="1557.528"/>
  </r>
  <r>
    <x v="0"/>
    <x v="0"/>
    <x v="0"/>
    <x v="0"/>
    <x v="0"/>
    <x v="8"/>
    <x v="9"/>
    <x v="2"/>
    <x v="3"/>
    <s v="GNR_BO_WOODWST_E-89"/>
    <x v="0"/>
    <x v="0"/>
    <n v="1.778"/>
    <n v="432.64666666666699"/>
    <n v="1557.528"/>
  </r>
  <r>
    <x v="0"/>
    <x v="0"/>
    <x v="0"/>
    <x v="0"/>
    <x v="0"/>
    <x v="8"/>
    <x v="9"/>
    <x v="2"/>
    <x v="3"/>
    <s v="GNR_BO_WOODWST_E-89"/>
    <x v="0"/>
    <x v="1"/>
    <n v="1.778"/>
    <n v="432.64666666666699"/>
    <n v="1557.528"/>
  </r>
  <r>
    <x v="0"/>
    <x v="0"/>
    <x v="0"/>
    <x v="0"/>
    <x v="0"/>
    <x v="8"/>
    <x v="9"/>
    <x v="2"/>
    <x v="3"/>
    <s v="GNR_BO_WOODWST_E-89"/>
    <x v="0"/>
    <x v="2"/>
    <n v="1.778"/>
    <n v="432.64666666666699"/>
    <n v="1557.528"/>
  </r>
  <r>
    <x v="0"/>
    <x v="0"/>
    <x v="0"/>
    <x v="0"/>
    <x v="0"/>
    <x v="8"/>
    <x v="9"/>
    <x v="2"/>
    <x v="3"/>
    <s v="GNR_BO_WOODWST_E-89"/>
    <x v="0"/>
    <x v="9"/>
    <n v="1.778"/>
    <n v="432.64666666666699"/>
    <n v="1557.528"/>
  </r>
  <r>
    <x v="0"/>
    <x v="0"/>
    <x v="0"/>
    <x v="0"/>
    <x v="0"/>
    <x v="8"/>
    <x v="9"/>
    <x v="2"/>
    <x v="3"/>
    <s v="GNR_BO_WOODWST_E-89"/>
    <x v="0"/>
    <x v="10"/>
    <n v="1.778"/>
    <n v="432.64666666666699"/>
    <n v="1557.528"/>
  </r>
  <r>
    <x v="0"/>
    <x v="0"/>
    <x v="0"/>
    <x v="0"/>
    <x v="0"/>
    <x v="8"/>
    <x v="9"/>
    <x v="2"/>
    <x v="3"/>
    <s v="GNR_BO_WOODWST_E-89"/>
    <x v="0"/>
    <x v="11"/>
    <n v="1.778"/>
    <n v="432.64666666666699"/>
    <n v="1557.528"/>
  </r>
  <r>
    <x v="0"/>
    <x v="0"/>
    <x v="0"/>
    <x v="0"/>
    <x v="0"/>
    <x v="8"/>
    <x v="9"/>
    <x v="2"/>
    <x v="3"/>
    <s v="GNR_BO_WOODWST_E-89"/>
    <x v="2"/>
    <x v="6"/>
    <n v="1.778"/>
    <n v="432.64666666666699"/>
    <n v="1557.528"/>
  </r>
  <r>
    <x v="0"/>
    <x v="0"/>
    <x v="0"/>
    <x v="0"/>
    <x v="0"/>
    <x v="8"/>
    <x v="9"/>
    <x v="2"/>
    <x v="3"/>
    <s v="GNR_BO_WOODWST_E-89"/>
    <x v="2"/>
    <x v="7"/>
    <n v="1.778"/>
    <n v="432.64666666666699"/>
    <n v="1557.528"/>
  </r>
  <r>
    <x v="0"/>
    <x v="0"/>
    <x v="0"/>
    <x v="0"/>
    <x v="1"/>
    <x v="9"/>
    <x v="0"/>
    <x v="0"/>
    <x v="0"/>
    <s v="GNR_ENG_BGAS_BP_E-42"/>
    <x v="0"/>
    <x v="0"/>
    <n v="3.7158536585365902"/>
    <n v="904.19105691056905"/>
    <n v="3255.0878048780501"/>
  </r>
  <r>
    <x v="0"/>
    <x v="0"/>
    <x v="0"/>
    <x v="0"/>
    <x v="1"/>
    <x v="9"/>
    <x v="0"/>
    <x v="0"/>
    <x v="0"/>
    <s v="GNR_ENG_BGAS_BP_E-42"/>
    <x v="0"/>
    <x v="1"/>
    <n v="3.7158536585365902"/>
    <n v="904.19105691056905"/>
    <n v="3255.0878048780501"/>
  </r>
  <r>
    <x v="0"/>
    <x v="0"/>
    <x v="0"/>
    <x v="0"/>
    <x v="1"/>
    <x v="9"/>
    <x v="0"/>
    <x v="0"/>
    <x v="0"/>
    <s v="GNR_ENG_BGAS_BP_E-42"/>
    <x v="0"/>
    <x v="2"/>
    <n v="3.7158536585365902"/>
    <n v="904.19105691056905"/>
    <n v="3255.0878048780501"/>
  </r>
  <r>
    <x v="0"/>
    <x v="0"/>
    <x v="0"/>
    <x v="0"/>
    <x v="1"/>
    <x v="9"/>
    <x v="10"/>
    <x v="0"/>
    <x v="6"/>
    <s v="GNR_ST_COAL_EXT_E-42"/>
    <x v="0"/>
    <x v="3"/>
    <n v="166.666666666667"/>
    <n v="40555.555555555598"/>
    <n v="146000"/>
  </r>
  <r>
    <x v="0"/>
    <x v="0"/>
    <x v="0"/>
    <x v="0"/>
    <x v="1"/>
    <x v="9"/>
    <x v="10"/>
    <x v="0"/>
    <x v="6"/>
    <s v="GNR_ST_COAL_EXT_E-42"/>
    <x v="0"/>
    <x v="4"/>
    <n v="166.666666666667"/>
    <n v="40555.555555555598"/>
    <n v="146000"/>
  </r>
  <r>
    <x v="0"/>
    <x v="0"/>
    <x v="0"/>
    <x v="0"/>
    <x v="1"/>
    <x v="9"/>
    <x v="10"/>
    <x v="0"/>
    <x v="6"/>
    <s v="GNR_ST_COAL_EXT_E-42"/>
    <x v="0"/>
    <x v="7"/>
    <n v="277.777777777778"/>
    <n v="67592.592592592599"/>
    <n v="243333.33333333299"/>
  </r>
  <r>
    <x v="0"/>
    <x v="0"/>
    <x v="0"/>
    <x v="0"/>
    <x v="1"/>
    <x v="9"/>
    <x v="10"/>
    <x v="0"/>
    <x v="6"/>
    <s v="GNR_ST_COAL_EXT_E-42"/>
    <x v="0"/>
    <x v="8"/>
    <n v="166.666666666667"/>
    <n v="40555.555555555598"/>
    <n v="146000"/>
  </r>
  <r>
    <x v="0"/>
    <x v="0"/>
    <x v="0"/>
    <x v="0"/>
    <x v="1"/>
    <x v="9"/>
    <x v="10"/>
    <x v="0"/>
    <x v="6"/>
    <s v="GNR_ST_COAL_EXT_E-42"/>
    <x v="0"/>
    <x v="0"/>
    <n v="166.666666666667"/>
    <n v="40555.555555555598"/>
    <n v="146000"/>
  </r>
  <r>
    <x v="0"/>
    <x v="0"/>
    <x v="0"/>
    <x v="0"/>
    <x v="1"/>
    <x v="9"/>
    <x v="10"/>
    <x v="0"/>
    <x v="6"/>
    <s v="GNR_ST_COAL_EXT_E-42"/>
    <x v="0"/>
    <x v="1"/>
    <n v="166.666666666667"/>
    <n v="40555.555555555598"/>
    <n v="146000"/>
  </r>
  <r>
    <x v="0"/>
    <x v="0"/>
    <x v="0"/>
    <x v="0"/>
    <x v="1"/>
    <x v="9"/>
    <x v="10"/>
    <x v="0"/>
    <x v="6"/>
    <s v="GNR_ST_COAL_EXT_E-42"/>
    <x v="0"/>
    <x v="2"/>
    <n v="166.666666666667"/>
    <n v="40555.555555555598"/>
    <n v="146000"/>
  </r>
  <r>
    <x v="0"/>
    <x v="0"/>
    <x v="0"/>
    <x v="0"/>
    <x v="1"/>
    <x v="9"/>
    <x v="10"/>
    <x v="0"/>
    <x v="6"/>
    <s v="GNR_ST_COAL_EXT_E-42"/>
    <x v="0"/>
    <x v="9"/>
    <n v="166.666666666667"/>
    <n v="40555.555555555598"/>
    <n v="146000"/>
  </r>
  <r>
    <x v="0"/>
    <x v="0"/>
    <x v="0"/>
    <x v="0"/>
    <x v="1"/>
    <x v="9"/>
    <x v="10"/>
    <x v="0"/>
    <x v="6"/>
    <s v="GNR_ST_COAL_EXT_E-42"/>
    <x v="0"/>
    <x v="10"/>
    <n v="166.666666666667"/>
    <n v="40555.555555555598"/>
    <n v="146000"/>
  </r>
  <r>
    <x v="0"/>
    <x v="0"/>
    <x v="0"/>
    <x v="0"/>
    <x v="1"/>
    <x v="9"/>
    <x v="10"/>
    <x v="0"/>
    <x v="6"/>
    <s v="GNR_ST_COAL_EXT_E-42"/>
    <x v="0"/>
    <x v="11"/>
    <n v="166.666666666667"/>
    <n v="40555.555555555598"/>
    <n v="146000"/>
  </r>
  <r>
    <x v="0"/>
    <x v="0"/>
    <x v="0"/>
    <x v="0"/>
    <x v="1"/>
    <x v="9"/>
    <x v="10"/>
    <x v="0"/>
    <x v="6"/>
    <s v="GNR_ST_COAL_EXT_E-42"/>
    <x v="2"/>
    <x v="3"/>
    <n v="166.666666666667"/>
    <n v="40555.555555555598"/>
    <n v="146000"/>
  </r>
  <r>
    <x v="0"/>
    <x v="0"/>
    <x v="0"/>
    <x v="0"/>
    <x v="1"/>
    <x v="9"/>
    <x v="10"/>
    <x v="0"/>
    <x v="6"/>
    <s v="GNR_ST_COAL_EXT_E-42"/>
    <x v="2"/>
    <x v="6"/>
    <n v="166.666666666667"/>
    <n v="40555.555555555598"/>
    <n v="146000"/>
  </r>
  <r>
    <x v="0"/>
    <x v="0"/>
    <x v="0"/>
    <x v="0"/>
    <x v="1"/>
    <x v="9"/>
    <x v="10"/>
    <x v="0"/>
    <x v="6"/>
    <s v="GNR_ST_COAL_EXT_E-42"/>
    <x v="2"/>
    <x v="4"/>
    <n v="166.666666666667"/>
    <n v="40555.555555555598"/>
    <n v="146000"/>
  </r>
  <r>
    <x v="0"/>
    <x v="0"/>
    <x v="0"/>
    <x v="0"/>
    <x v="1"/>
    <x v="9"/>
    <x v="10"/>
    <x v="0"/>
    <x v="6"/>
    <s v="GNR_ST_COAL_EXT_E-42"/>
    <x v="2"/>
    <x v="1"/>
    <n v="166.666666666667"/>
    <n v="40555.555555555598"/>
    <n v="146000"/>
  </r>
  <r>
    <x v="0"/>
    <x v="0"/>
    <x v="0"/>
    <x v="0"/>
    <x v="1"/>
    <x v="9"/>
    <x v="10"/>
    <x v="0"/>
    <x v="6"/>
    <s v="GNR_ST_COAL_EXT_E-42"/>
    <x v="2"/>
    <x v="2"/>
    <n v="166.666666666667"/>
    <n v="40555.555555555598"/>
    <n v="146000"/>
  </r>
  <r>
    <x v="0"/>
    <x v="0"/>
    <x v="0"/>
    <x v="0"/>
    <x v="1"/>
    <x v="9"/>
    <x v="10"/>
    <x v="0"/>
    <x v="6"/>
    <s v="GNR_ST_COAL_EXT_E-42"/>
    <x v="2"/>
    <x v="9"/>
    <n v="59.226442239041802"/>
    <n v="14411.7676115002"/>
    <n v="51882.363401400602"/>
  </r>
  <r>
    <x v="0"/>
    <x v="0"/>
    <x v="0"/>
    <x v="0"/>
    <x v="1"/>
    <x v="9"/>
    <x v="10"/>
    <x v="0"/>
    <x v="6"/>
    <s v="GNR_ST_COAL_EXT_E-42"/>
    <x v="2"/>
    <x v="10"/>
    <n v="166.666666666667"/>
    <n v="40555.555555555598"/>
    <n v="146000"/>
  </r>
  <r>
    <x v="0"/>
    <x v="0"/>
    <x v="0"/>
    <x v="0"/>
    <x v="1"/>
    <x v="9"/>
    <x v="10"/>
    <x v="0"/>
    <x v="6"/>
    <s v="GNR_ST_COAL_EXT_E-42"/>
    <x v="2"/>
    <x v="11"/>
    <n v="192.37104340884201"/>
    <n v="46810.287229485002"/>
    <n v="168517.03402614599"/>
  </r>
  <r>
    <x v="0"/>
    <x v="0"/>
    <x v="0"/>
    <x v="0"/>
    <x v="1"/>
    <x v="9"/>
    <x v="10"/>
    <x v="0"/>
    <x v="6"/>
    <s v="GNR_ST_COAL_EXT_E-42"/>
    <x v="1"/>
    <x v="3"/>
    <n v="166.666666666667"/>
    <n v="40555.555555555598"/>
    <n v="146000"/>
  </r>
  <r>
    <x v="0"/>
    <x v="0"/>
    <x v="0"/>
    <x v="0"/>
    <x v="1"/>
    <x v="9"/>
    <x v="10"/>
    <x v="0"/>
    <x v="6"/>
    <s v="GNR_ST_COAL_EXT_E-42"/>
    <x v="1"/>
    <x v="6"/>
    <n v="277.777777777778"/>
    <n v="67592.592592592599"/>
    <n v="243333.33333333299"/>
  </r>
  <r>
    <x v="0"/>
    <x v="0"/>
    <x v="0"/>
    <x v="0"/>
    <x v="1"/>
    <x v="9"/>
    <x v="10"/>
    <x v="0"/>
    <x v="6"/>
    <s v="GNR_ST_COAL_EXT_E-42"/>
    <x v="1"/>
    <x v="4"/>
    <n v="166.666666666667"/>
    <n v="40555.555555555598"/>
    <n v="146000"/>
  </r>
  <r>
    <x v="0"/>
    <x v="0"/>
    <x v="0"/>
    <x v="0"/>
    <x v="1"/>
    <x v="9"/>
    <x v="10"/>
    <x v="0"/>
    <x v="6"/>
    <s v="GNR_ST_COAL_EXT_E-42"/>
    <x v="1"/>
    <x v="7"/>
    <n v="166.666666666667"/>
    <n v="40555.555555555598"/>
    <n v="146000"/>
  </r>
  <r>
    <x v="0"/>
    <x v="0"/>
    <x v="0"/>
    <x v="0"/>
    <x v="1"/>
    <x v="9"/>
    <x v="10"/>
    <x v="0"/>
    <x v="6"/>
    <s v="GNR_ST_COAL_EXT_E-42"/>
    <x v="1"/>
    <x v="8"/>
    <n v="277.777777777778"/>
    <n v="67592.592592592599"/>
    <n v="243333.33333333299"/>
  </r>
  <r>
    <x v="0"/>
    <x v="0"/>
    <x v="0"/>
    <x v="0"/>
    <x v="1"/>
    <x v="9"/>
    <x v="10"/>
    <x v="0"/>
    <x v="6"/>
    <s v="GNR_ST_COAL_EXT_E-42"/>
    <x v="1"/>
    <x v="0"/>
    <n v="166.666666666667"/>
    <n v="40555.555555555598"/>
    <n v="146000"/>
  </r>
  <r>
    <x v="0"/>
    <x v="0"/>
    <x v="0"/>
    <x v="0"/>
    <x v="1"/>
    <x v="9"/>
    <x v="10"/>
    <x v="0"/>
    <x v="6"/>
    <s v="GNR_ST_COAL_EXT_E-42"/>
    <x v="1"/>
    <x v="1"/>
    <n v="166.666666666667"/>
    <n v="40555.555555555598"/>
    <n v="146000"/>
  </r>
  <r>
    <x v="0"/>
    <x v="0"/>
    <x v="0"/>
    <x v="0"/>
    <x v="1"/>
    <x v="9"/>
    <x v="10"/>
    <x v="0"/>
    <x v="6"/>
    <s v="GNR_ST_COAL_EXT_E-42"/>
    <x v="1"/>
    <x v="2"/>
    <n v="166.666666666667"/>
    <n v="40555.555555555598"/>
    <n v="146000"/>
  </r>
  <r>
    <x v="0"/>
    <x v="0"/>
    <x v="0"/>
    <x v="0"/>
    <x v="1"/>
    <x v="9"/>
    <x v="10"/>
    <x v="0"/>
    <x v="6"/>
    <s v="GNR_ST_COAL_EXT_E-42"/>
    <x v="1"/>
    <x v="9"/>
    <n v="148.75079147235101"/>
    <n v="36196.025924938702"/>
    <n v="130305.69332977899"/>
  </r>
  <r>
    <x v="0"/>
    <x v="0"/>
    <x v="0"/>
    <x v="0"/>
    <x v="1"/>
    <x v="9"/>
    <x v="10"/>
    <x v="0"/>
    <x v="6"/>
    <s v="GNR_ST_COAL_EXT_E-42"/>
    <x v="1"/>
    <x v="10"/>
    <n v="141.97297844622099"/>
    <n v="34546.7580885805"/>
    <n v="124368.32911889"/>
  </r>
  <r>
    <x v="0"/>
    <x v="0"/>
    <x v="0"/>
    <x v="0"/>
    <x v="1"/>
    <x v="9"/>
    <x v="8"/>
    <x v="4"/>
    <x v="5"/>
    <s v="GNR_HP_ELEC_COP-300"/>
    <x v="0"/>
    <x v="5"/>
    <n v="0.34"/>
    <n v="82.733333333333306"/>
    <n v="297.83999999999997"/>
  </r>
  <r>
    <x v="0"/>
    <x v="0"/>
    <x v="0"/>
    <x v="0"/>
    <x v="1"/>
    <x v="9"/>
    <x v="8"/>
    <x v="4"/>
    <x v="5"/>
    <s v="GNR_HP_ELEC_COP-300"/>
    <x v="0"/>
    <x v="6"/>
    <n v="0.34"/>
    <n v="82.733333333333306"/>
    <n v="297.83999999999997"/>
  </r>
  <r>
    <x v="0"/>
    <x v="0"/>
    <x v="0"/>
    <x v="0"/>
    <x v="1"/>
    <x v="9"/>
    <x v="8"/>
    <x v="4"/>
    <x v="5"/>
    <s v="GNR_HP_ELEC_COP-300"/>
    <x v="2"/>
    <x v="5"/>
    <n v="0.34"/>
    <n v="82.733333333333306"/>
    <n v="297.83999999999997"/>
  </r>
  <r>
    <x v="0"/>
    <x v="0"/>
    <x v="0"/>
    <x v="0"/>
    <x v="1"/>
    <x v="9"/>
    <x v="8"/>
    <x v="4"/>
    <x v="5"/>
    <s v="GNR_HP_ELEC_COP-300"/>
    <x v="2"/>
    <x v="7"/>
    <n v="0.34"/>
    <n v="82.733333333333306"/>
    <n v="297.83999999999997"/>
  </r>
  <r>
    <x v="0"/>
    <x v="0"/>
    <x v="0"/>
    <x v="0"/>
    <x v="1"/>
    <x v="9"/>
    <x v="8"/>
    <x v="4"/>
    <x v="5"/>
    <s v="GNR_HP_ELEC_COP-300"/>
    <x v="2"/>
    <x v="8"/>
    <n v="0.34"/>
    <n v="82.733333333333306"/>
    <n v="297.83999999999997"/>
  </r>
  <r>
    <x v="0"/>
    <x v="0"/>
    <x v="0"/>
    <x v="0"/>
    <x v="1"/>
    <x v="9"/>
    <x v="8"/>
    <x v="4"/>
    <x v="5"/>
    <s v="GNR_HP_ELEC_COP-300"/>
    <x v="2"/>
    <x v="0"/>
    <n v="0.34"/>
    <n v="82.733333333333306"/>
    <n v="297.83999999999997"/>
  </r>
  <r>
    <x v="0"/>
    <x v="0"/>
    <x v="0"/>
    <x v="0"/>
    <x v="1"/>
    <x v="9"/>
    <x v="8"/>
    <x v="4"/>
    <x v="5"/>
    <s v="GNR_HP_ELEC_COP-300"/>
    <x v="1"/>
    <x v="5"/>
    <n v="0.34"/>
    <n v="82.733333333333306"/>
    <n v="297.83999999999997"/>
  </r>
  <r>
    <x v="0"/>
    <x v="0"/>
    <x v="0"/>
    <x v="0"/>
    <x v="1"/>
    <x v="9"/>
    <x v="8"/>
    <x v="4"/>
    <x v="5"/>
    <s v="GNR_HP_ELEC_COP-300"/>
    <x v="1"/>
    <x v="11"/>
    <n v="0.34"/>
    <n v="82.733333333333306"/>
    <n v="297.83999999999997"/>
  </r>
  <r>
    <x v="0"/>
    <x v="0"/>
    <x v="0"/>
    <x v="0"/>
    <x v="1"/>
    <x v="9"/>
    <x v="1"/>
    <x v="1"/>
    <x v="1"/>
    <s v="GNR_HS_HEAT_PIT_L-CEN_E-90_Y-2030"/>
    <x v="0"/>
    <x v="5"/>
    <n v="937.92831283452801"/>
    <n v="228229.22278973501"/>
    <n v="821625.20204304694"/>
  </r>
  <r>
    <x v="0"/>
    <x v="0"/>
    <x v="0"/>
    <x v="0"/>
    <x v="1"/>
    <x v="9"/>
    <x v="1"/>
    <x v="1"/>
    <x v="1"/>
    <s v="GNR_HS_HEAT_PIT_L-CEN_E-90_Y-2030"/>
    <x v="0"/>
    <x v="3"/>
    <n v="937.92831283452801"/>
    <n v="228229.22278973501"/>
    <n v="821625.20204304694"/>
  </r>
  <r>
    <x v="0"/>
    <x v="0"/>
    <x v="0"/>
    <x v="0"/>
    <x v="1"/>
    <x v="9"/>
    <x v="1"/>
    <x v="1"/>
    <x v="1"/>
    <s v="GNR_HS_HEAT_PIT_L-CEN_E-90_Y-2030"/>
    <x v="0"/>
    <x v="6"/>
    <n v="937.92831283452801"/>
    <n v="228229.22278973501"/>
    <n v="821625.20204304694"/>
  </r>
  <r>
    <x v="0"/>
    <x v="0"/>
    <x v="0"/>
    <x v="0"/>
    <x v="1"/>
    <x v="9"/>
    <x v="1"/>
    <x v="1"/>
    <x v="1"/>
    <s v="GNR_HS_HEAT_PIT_L-CEN_E-90_Y-2030"/>
    <x v="0"/>
    <x v="4"/>
    <n v="798.49740773702501"/>
    <n v="194301.03588267599"/>
    <n v="699483.729177634"/>
  </r>
  <r>
    <x v="0"/>
    <x v="0"/>
    <x v="0"/>
    <x v="0"/>
    <x v="1"/>
    <x v="9"/>
    <x v="1"/>
    <x v="1"/>
    <x v="1"/>
    <s v="GNR_HS_HEAT_PIT_L-CEN_E-90_Y-2030"/>
    <x v="0"/>
    <x v="7"/>
    <n v="672.57847076987298"/>
    <n v="163660.761220669"/>
    <n v="589178.74039440905"/>
  </r>
  <r>
    <x v="0"/>
    <x v="0"/>
    <x v="0"/>
    <x v="0"/>
    <x v="1"/>
    <x v="9"/>
    <x v="1"/>
    <x v="1"/>
    <x v="1"/>
    <s v="GNR_HS_HEAT_PIT_L-CEN_E-90_Y-2030"/>
    <x v="0"/>
    <x v="8"/>
    <n v="823.04070746729599"/>
    <n v="200273.238817042"/>
    <n v="720983.65974135103"/>
  </r>
  <r>
    <x v="0"/>
    <x v="0"/>
    <x v="0"/>
    <x v="0"/>
    <x v="1"/>
    <x v="9"/>
    <x v="1"/>
    <x v="1"/>
    <x v="1"/>
    <s v="GNR_HS_HEAT_PIT_L-CEN_E-90_Y-2030"/>
    <x v="0"/>
    <x v="0"/>
    <n v="297.71917753306201"/>
    <n v="72444.999866378406"/>
    <n v="260801.99951896199"/>
  </r>
  <r>
    <x v="0"/>
    <x v="0"/>
    <x v="0"/>
    <x v="0"/>
    <x v="1"/>
    <x v="9"/>
    <x v="1"/>
    <x v="1"/>
    <x v="1"/>
    <s v="GNR_HS_HEAT_PIT_L-CEN_E-90_Y-2030"/>
    <x v="0"/>
    <x v="1"/>
    <n v="746.18250356517206"/>
    <n v="181571.07586752501"/>
    <n v="653655.87312309095"/>
  </r>
  <r>
    <x v="0"/>
    <x v="0"/>
    <x v="0"/>
    <x v="0"/>
    <x v="1"/>
    <x v="9"/>
    <x v="1"/>
    <x v="1"/>
    <x v="1"/>
    <s v="GNR_HS_HEAT_PIT_L-CEN_E-90_Y-2030"/>
    <x v="0"/>
    <x v="2"/>
    <n v="880.96378141246498"/>
    <n v="214367.853477033"/>
    <n v="771724.27251731895"/>
  </r>
  <r>
    <x v="0"/>
    <x v="0"/>
    <x v="0"/>
    <x v="0"/>
    <x v="1"/>
    <x v="9"/>
    <x v="1"/>
    <x v="1"/>
    <x v="1"/>
    <s v="GNR_HS_HEAT_PIT_L-CEN_E-90_Y-2030"/>
    <x v="0"/>
    <x v="9"/>
    <n v="937.92831283452801"/>
    <n v="228229.22278973501"/>
    <n v="821625.20204304694"/>
  </r>
  <r>
    <x v="0"/>
    <x v="0"/>
    <x v="0"/>
    <x v="0"/>
    <x v="1"/>
    <x v="9"/>
    <x v="1"/>
    <x v="1"/>
    <x v="1"/>
    <s v="GNR_HS_HEAT_PIT_L-CEN_E-90_Y-2030"/>
    <x v="0"/>
    <x v="10"/>
    <n v="937.92831283452801"/>
    <n v="228229.22278973501"/>
    <n v="821625.20204304694"/>
  </r>
  <r>
    <x v="0"/>
    <x v="0"/>
    <x v="0"/>
    <x v="0"/>
    <x v="1"/>
    <x v="9"/>
    <x v="1"/>
    <x v="1"/>
    <x v="1"/>
    <s v="GNR_HS_HEAT_PIT_L-CEN_E-90_Y-2030"/>
    <x v="0"/>
    <x v="11"/>
    <n v="937.92831283452801"/>
    <n v="228229.22278973501"/>
    <n v="821625.20204304694"/>
  </r>
  <r>
    <x v="0"/>
    <x v="0"/>
    <x v="0"/>
    <x v="0"/>
    <x v="1"/>
    <x v="9"/>
    <x v="1"/>
    <x v="1"/>
    <x v="2"/>
    <s v="GNR_HS_HEAT_WTR-TANK_LS_E-95_Y-2010"/>
    <x v="0"/>
    <x v="5"/>
    <n v="748.15667954066396"/>
    <n v="182051.45868822801"/>
    <n v="655385.25127762195"/>
  </r>
  <r>
    <x v="0"/>
    <x v="0"/>
    <x v="0"/>
    <x v="0"/>
    <x v="1"/>
    <x v="9"/>
    <x v="1"/>
    <x v="1"/>
    <x v="2"/>
    <s v="GNR_HS_HEAT_WTR-TANK_LS_E-95_Y-2010"/>
    <x v="0"/>
    <x v="3"/>
    <n v="73.417083451807002"/>
    <n v="17864.823639939699"/>
    <n v="64313.365103782897"/>
  </r>
  <r>
    <x v="0"/>
    <x v="0"/>
    <x v="0"/>
    <x v="0"/>
    <x v="1"/>
    <x v="9"/>
    <x v="1"/>
    <x v="1"/>
    <x v="2"/>
    <s v="GNR_HS_HEAT_WTR-TANK_LS_E-95_Y-2010"/>
    <x v="0"/>
    <x v="6"/>
    <n v="609.76373056208297"/>
    <n v="148375.84110344001"/>
    <n v="534153.02797238505"/>
  </r>
  <r>
    <x v="0"/>
    <x v="0"/>
    <x v="0"/>
    <x v="0"/>
    <x v="1"/>
    <x v="9"/>
    <x v="1"/>
    <x v="1"/>
    <x v="2"/>
    <s v="GNR_HS_HEAT_WTR-TANK_LS_E-95_Y-2010"/>
    <x v="2"/>
    <x v="5"/>
    <n v="177.794394154016"/>
    <n v="43263.302577477101"/>
    <n v="155747.88927891801"/>
  </r>
  <r>
    <x v="0"/>
    <x v="0"/>
    <x v="0"/>
    <x v="0"/>
    <x v="1"/>
    <x v="9"/>
    <x v="1"/>
    <x v="1"/>
    <x v="2"/>
    <s v="GNR_HS_HEAT_WTR-TANK_LS_E-95_Y-2010"/>
    <x v="2"/>
    <x v="8"/>
    <n v="114.229993736228"/>
    <n v="27795.965142482099"/>
    <n v="100065.47451293599"/>
  </r>
  <r>
    <x v="0"/>
    <x v="0"/>
    <x v="0"/>
    <x v="0"/>
    <x v="1"/>
    <x v="9"/>
    <x v="1"/>
    <x v="1"/>
    <x v="2"/>
    <s v="GNR_HS_HEAT_WTR-TANK_LS_E-95_Y-2010"/>
    <x v="1"/>
    <x v="5"/>
    <n v="409.36914934908901"/>
    <n v="99613.159674944895"/>
    <n v="358607.37482980202"/>
  </r>
  <r>
    <x v="0"/>
    <x v="0"/>
    <x v="0"/>
    <x v="0"/>
    <x v="1"/>
    <x v="9"/>
    <x v="1"/>
    <x v="1"/>
    <x v="2"/>
    <s v="GNR_HS_HEAT_WTR-TANK_LS_E-95_Y-2010"/>
    <x v="1"/>
    <x v="6"/>
    <n v="191.04174656965401"/>
    <n v="46486.824998615899"/>
    <n v="167352.56999501699"/>
  </r>
  <r>
    <x v="0"/>
    <x v="0"/>
    <x v="0"/>
    <x v="0"/>
    <x v="1"/>
    <x v="9"/>
    <x v="1"/>
    <x v="1"/>
    <x v="2"/>
    <s v="GNR_HS_HEAT_WTR-TANK_LS_E-95_Y-2010"/>
    <x v="1"/>
    <x v="8"/>
    <n v="114.512808718469"/>
    <n v="27864.783454827499"/>
    <n v="100313.220437379"/>
  </r>
  <r>
    <x v="0"/>
    <x v="0"/>
    <x v="0"/>
    <x v="0"/>
    <x v="1"/>
    <x v="9"/>
    <x v="1"/>
    <x v="1"/>
    <x v="2"/>
    <s v="GNR_HS_HEAT_WTR-TANK_LS_E-95_Y-2010"/>
    <x v="1"/>
    <x v="9"/>
    <n v="210.25169695806099"/>
    <n v="51161.246259794803"/>
    <n v="184180.48653526101"/>
  </r>
  <r>
    <x v="0"/>
    <x v="0"/>
    <x v="0"/>
    <x v="0"/>
    <x v="1"/>
    <x v="9"/>
    <x v="1"/>
    <x v="1"/>
    <x v="2"/>
    <s v="GNR_HS_HEAT_WTR-TANK_LS_E-95_Y-2010"/>
    <x v="1"/>
    <x v="10"/>
    <n v="245.686128791035"/>
    <n v="59783.624672485101"/>
    <n v="215221.04882094599"/>
  </r>
  <r>
    <x v="0"/>
    <x v="0"/>
    <x v="0"/>
    <x v="0"/>
    <x v="1"/>
    <x v="9"/>
    <x v="1"/>
    <x v="1"/>
    <x v="2"/>
    <s v="GNR_HS_HEAT_WTR-TANK_LS_E-95_Y-2010"/>
    <x v="1"/>
    <x v="11"/>
    <n v="391.20016135625701"/>
    <n v="95192.039263355895"/>
    <n v="342691.34134808101"/>
  </r>
  <r>
    <x v="0"/>
    <x v="0"/>
    <x v="0"/>
    <x v="0"/>
    <x v="1"/>
    <x v="9"/>
    <x v="2"/>
    <x v="0"/>
    <x v="0"/>
    <s v="GNR_ST_MSW_BP_E-24_LS-220-MW-FEED_Y-2030"/>
    <x v="0"/>
    <x v="5"/>
    <n v="430.084680423279"/>
    <n v="104653.93890299799"/>
    <n v="376754.180050792"/>
  </r>
  <r>
    <x v="0"/>
    <x v="0"/>
    <x v="0"/>
    <x v="0"/>
    <x v="1"/>
    <x v="9"/>
    <x v="2"/>
    <x v="0"/>
    <x v="0"/>
    <s v="GNR_ST_MSW_BP_E-24_LS-220-MW-FEED_Y-2030"/>
    <x v="0"/>
    <x v="3"/>
    <n v="430.084680423279"/>
    <n v="104653.93890299799"/>
    <n v="376754.180050792"/>
  </r>
  <r>
    <x v="0"/>
    <x v="0"/>
    <x v="0"/>
    <x v="0"/>
    <x v="1"/>
    <x v="9"/>
    <x v="2"/>
    <x v="0"/>
    <x v="0"/>
    <s v="GNR_ST_MSW_BP_E-24_LS-220-MW-FEED_Y-2030"/>
    <x v="0"/>
    <x v="6"/>
    <n v="430.084680423279"/>
    <n v="104653.93890299799"/>
    <n v="376754.180050792"/>
  </r>
  <r>
    <x v="0"/>
    <x v="0"/>
    <x v="0"/>
    <x v="0"/>
    <x v="1"/>
    <x v="9"/>
    <x v="2"/>
    <x v="0"/>
    <x v="0"/>
    <s v="GNR_ST_MSW_BP_E-24_LS-220-MW-FEED_Y-2030"/>
    <x v="0"/>
    <x v="4"/>
    <n v="430.084680423279"/>
    <n v="104653.93890299799"/>
    <n v="376754.180050792"/>
  </r>
  <r>
    <x v="0"/>
    <x v="0"/>
    <x v="0"/>
    <x v="0"/>
    <x v="1"/>
    <x v="9"/>
    <x v="2"/>
    <x v="0"/>
    <x v="0"/>
    <s v="GNR_ST_MSW_BP_E-24_LS-220-MW-FEED_Y-2030"/>
    <x v="0"/>
    <x v="7"/>
    <n v="430.084680423279"/>
    <n v="104653.93890299799"/>
    <n v="376754.180050792"/>
  </r>
  <r>
    <x v="0"/>
    <x v="0"/>
    <x v="0"/>
    <x v="0"/>
    <x v="1"/>
    <x v="9"/>
    <x v="2"/>
    <x v="0"/>
    <x v="0"/>
    <s v="GNR_ST_MSW_BP_E-24_LS-220-MW-FEED_Y-2030"/>
    <x v="0"/>
    <x v="8"/>
    <n v="430.084680423279"/>
    <n v="104653.93890299799"/>
    <n v="376754.180050792"/>
  </r>
  <r>
    <x v="0"/>
    <x v="0"/>
    <x v="0"/>
    <x v="0"/>
    <x v="1"/>
    <x v="9"/>
    <x v="2"/>
    <x v="0"/>
    <x v="0"/>
    <s v="GNR_ST_MSW_BP_E-24_LS-220-MW-FEED_Y-2030"/>
    <x v="0"/>
    <x v="0"/>
    <n v="430.084680423279"/>
    <n v="104653.93890299799"/>
    <n v="376754.180050792"/>
  </r>
  <r>
    <x v="0"/>
    <x v="0"/>
    <x v="0"/>
    <x v="0"/>
    <x v="1"/>
    <x v="9"/>
    <x v="2"/>
    <x v="0"/>
    <x v="0"/>
    <s v="GNR_ST_MSW_BP_E-24_LS-220-MW-FEED_Y-2030"/>
    <x v="0"/>
    <x v="1"/>
    <n v="430.084680423279"/>
    <n v="104653.93890299799"/>
    <n v="376754.180050792"/>
  </r>
  <r>
    <x v="0"/>
    <x v="0"/>
    <x v="0"/>
    <x v="0"/>
    <x v="1"/>
    <x v="9"/>
    <x v="2"/>
    <x v="0"/>
    <x v="0"/>
    <s v="GNR_ST_MSW_BP_E-24_LS-220-MW-FEED_Y-2030"/>
    <x v="0"/>
    <x v="2"/>
    <n v="430.084680423279"/>
    <n v="104653.93890299799"/>
    <n v="376754.180050792"/>
  </r>
  <r>
    <x v="0"/>
    <x v="0"/>
    <x v="0"/>
    <x v="0"/>
    <x v="1"/>
    <x v="9"/>
    <x v="2"/>
    <x v="0"/>
    <x v="0"/>
    <s v="GNR_ST_MSW_BP_E-24_LS-220-MW-FEED_Y-2030"/>
    <x v="0"/>
    <x v="9"/>
    <n v="430.084680423279"/>
    <n v="104653.93890299799"/>
    <n v="376754.180050792"/>
  </r>
  <r>
    <x v="0"/>
    <x v="0"/>
    <x v="0"/>
    <x v="0"/>
    <x v="1"/>
    <x v="9"/>
    <x v="2"/>
    <x v="0"/>
    <x v="0"/>
    <s v="GNR_ST_MSW_BP_E-24_LS-220-MW-FEED_Y-2030"/>
    <x v="0"/>
    <x v="10"/>
    <n v="430.084680423279"/>
    <n v="104653.93890299799"/>
    <n v="376754.180050792"/>
  </r>
  <r>
    <x v="0"/>
    <x v="0"/>
    <x v="0"/>
    <x v="0"/>
    <x v="1"/>
    <x v="9"/>
    <x v="2"/>
    <x v="0"/>
    <x v="0"/>
    <s v="GNR_ST_MSW_BP_E-24_LS-220-MW-FEED_Y-2030"/>
    <x v="0"/>
    <x v="11"/>
    <n v="430.084680423279"/>
    <n v="104653.93890299799"/>
    <n v="376754.180050792"/>
  </r>
  <r>
    <x v="0"/>
    <x v="0"/>
    <x v="0"/>
    <x v="0"/>
    <x v="1"/>
    <x v="9"/>
    <x v="2"/>
    <x v="0"/>
    <x v="0"/>
    <s v="GNR_ST_MSW_BP_E-24_LS-220-MW-FEED_Y-2030"/>
    <x v="2"/>
    <x v="5"/>
    <n v="430.084680423279"/>
    <n v="104653.93890299799"/>
    <n v="376754.180050792"/>
  </r>
  <r>
    <x v="0"/>
    <x v="0"/>
    <x v="0"/>
    <x v="0"/>
    <x v="1"/>
    <x v="9"/>
    <x v="2"/>
    <x v="0"/>
    <x v="0"/>
    <s v="GNR_ST_MSW_BP_E-24_LS-220-MW-FEED_Y-2030"/>
    <x v="2"/>
    <x v="3"/>
    <n v="430.084680423279"/>
    <n v="104653.93890299799"/>
    <n v="376754.180050792"/>
  </r>
  <r>
    <x v="0"/>
    <x v="0"/>
    <x v="0"/>
    <x v="0"/>
    <x v="1"/>
    <x v="9"/>
    <x v="2"/>
    <x v="0"/>
    <x v="0"/>
    <s v="GNR_ST_MSW_BP_E-24_LS-220-MW-FEED_Y-2030"/>
    <x v="2"/>
    <x v="6"/>
    <n v="430.084680423279"/>
    <n v="104653.93890299799"/>
    <n v="376754.180050792"/>
  </r>
  <r>
    <x v="0"/>
    <x v="0"/>
    <x v="0"/>
    <x v="0"/>
    <x v="1"/>
    <x v="9"/>
    <x v="2"/>
    <x v="0"/>
    <x v="0"/>
    <s v="GNR_ST_MSW_BP_E-24_LS-220-MW-FEED_Y-2030"/>
    <x v="2"/>
    <x v="4"/>
    <n v="430.084680423279"/>
    <n v="104653.93890299799"/>
    <n v="376754.180050792"/>
  </r>
  <r>
    <x v="0"/>
    <x v="0"/>
    <x v="0"/>
    <x v="0"/>
    <x v="1"/>
    <x v="9"/>
    <x v="2"/>
    <x v="0"/>
    <x v="0"/>
    <s v="GNR_ST_MSW_BP_E-24_LS-220-MW-FEED_Y-2030"/>
    <x v="2"/>
    <x v="7"/>
    <n v="430.084680423279"/>
    <n v="104653.93890299799"/>
    <n v="376754.180050792"/>
  </r>
  <r>
    <x v="0"/>
    <x v="0"/>
    <x v="0"/>
    <x v="0"/>
    <x v="1"/>
    <x v="9"/>
    <x v="2"/>
    <x v="0"/>
    <x v="0"/>
    <s v="GNR_ST_MSW_BP_E-24_LS-220-MW-FEED_Y-2030"/>
    <x v="2"/>
    <x v="8"/>
    <n v="430.084680423279"/>
    <n v="104653.93890299799"/>
    <n v="376754.180050792"/>
  </r>
  <r>
    <x v="0"/>
    <x v="0"/>
    <x v="0"/>
    <x v="0"/>
    <x v="1"/>
    <x v="9"/>
    <x v="2"/>
    <x v="0"/>
    <x v="0"/>
    <s v="GNR_ST_MSW_BP_E-24_LS-220-MW-FEED_Y-2030"/>
    <x v="2"/>
    <x v="0"/>
    <n v="430.084680423279"/>
    <n v="104653.93890299799"/>
    <n v="376754.180050792"/>
  </r>
  <r>
    <x v="0"/>
    <x v="0"/>
    <x v="0"/>
    <x v="0"/>
    <x v="1"/>
    <x v="9"/>
    <x v="2"/>
    <x v="0"/>
    <x v="0"/>
    <s v="GNR_ST_MSW_BP_E-24_LS-220-MW-FEED_Y-2030"/>
    <x v="2"/>
    <x v="1"/>
    <n v="430.084680423279"/>
    <n v="104653.93890299799"/>
    <n v="376754.180050792"/>
  </r>
  <r>
    <x v="0"/>
    <x v="0"/>
    <x v="0"/>
    <x v="0"/>
    <x v="1"/>
    <x v="9"/>
    <x v="2"/>
    <x v="0"/>
    <x v="0"/>
    <s v="GNR_ST_MSW_BP_E-24_LS-220-MW-FEED_Y-2030"/>
    <x v="2"/>
    <x v="2"/>
    <n v="430.084680423279"/>
    <n v="104653.93890299799"/>
    <n v="376754.180050792"/>
  </r>
  <r>
    <x v="0"/>
    <x v="0"/>
    <x v="0"/>
    <x v="0"/>
    <x v="1"/>
    <x v="9"/>
    <x v="2"/>
    <x v="0"/>
    <x v="0"/>
    <s v="GNR_ST_MSW_BP_E-24_LS-220-MW-FEED_Y-2030"/>
    <x v="2"/>
    <x v="9"/>
    <n v="430.084680423279"/>
    <n v="104653.93890299799"/>
    <n v="376754.180050792"/>
  </r>
  <r>
    <x v="0"/>
    <x v="0"/>
    <x v="0"/>
    <x v="0"/>
    <x v="1"/>
    <x v="9"/>
    <x v="2"/>
    <x v="0"/>
    <x v="0"/>
    <s v="GNR_ST_MSW_BP_E-24_LS-220-MW-FEED_Y-2030"/>
    <x v="2"/>
    <x v="10"/>
    <n v="430.084680423279"/>
    <n v="104653.93890299799"/>
    <n v="376754.180050792"/>
  </r>
  <r>
    <x v="0"/>
    <x v="0"/>
    <x v="0"/>
    <x v="0"/>
    <x v="1"/>
    <x v="9"/>
    <x v="2"/>
    <x v="0"/>
    <x v="0"/>
    <s v="GNR_ST_MSW_BP_E-24_LS-220-MW-FEED_Y-2030"/>
    <x v="2"/>
    <x v="11"/>
    <n v="430.084680423279"/>
    <n v="104653.93890299799"/>
    <n v="376754.180050792"/>
  </r>
  <r>
    <x v="0"/>
    <x v="0"/>
    <x v="0"/>
    <x v="0"/>
    <x v="1"/>
    <x v="9"/>
    <x v="2"/>
    <x v="0"/>
    <x v="0"/>
    <s v="GNR_ST_MSW_BP_E-24_LS-220-MW-FEED_Y-2030"/>
    <x v="1"/>
    <x v="5"/>
    <n v="430.084680423279"/>
    <n v="104653.93890299799"/>
    <n v="376754.180050792"/>
  </r>
  <r>
    <x v="0"/>
    <x v="0"/>
    <x v="0"/>
    <x v="0"/>
    <x v="1"/>
    <x v="9"/>
    <x v="2"/>
    <x v="0"/>
    <x v="0"/>
    <s v="GNR_ST_MSW_BP_E-24_LS-220-MW-FEED_Y-2030"/>
    <x v="1"/>
    <x v="3"/>
    <n v="430.084680423279"/>
    <n v="104653.93890299799"/>
    <n v="376754.180050792"/>
  </r>
  <r>
    <x v="0"/>
    <x v="0"/>
    <x v="0"/>
    <x v="0"/>
    <x v="1"/>
    <x v="9"/>
    <x v="2"/>
    <x v="0"/>
    <x v="0"/>
    <s v="GNR_ST_MSW_BP_E-24_LS-220-MW-FEED_Y-2030"/>
    <x v="1"/>
    <x v="6"/>
    <n v="430.084680423279"/>
    <n v="104653.93890299799"/>
    <n v="376754.180050792"/>
  </r>
  <r>
    <x v="0"/>
    <x v="0"/>
    <x v="0"/>
    <x v="0"/>
    <x v="1"/>
    <x v="9"/>
    <x v="2"/>
    <x v="0"/>
    <x v="0"/>
    <s v="GNR_ST_MSW_BP_E-24_LS-220-MW-FEED_Y-2030"/>
    <x v="1"/>
    <x v="4"/>
    <n v="430.084680423279"/>
    <n v="104653.93890299799"/>
    <n v="376754.180050792"/>
  </r>
  <r>
    <x v="0"/>
    <x v="0"/>
    <x v="0"/>
    <x v="0"/>
    <x v="1"/>
    <x v="9"/>
    <x v="2"/>
    <x v="0"/>
    <x v="0"/>
    <s v="GNR_ST_MSW_BP_E-24_LS-220-MW-FEED_Y-2030"/>
    <x v="1"/>
    <x v="7"/>
    <n v="430.084680423279"/>
    <n v="104653.93890299799"/>
    <n v="376754.180050792"/>
  </r>
  <r>
    <x v="0"/>
    <x v="0"/>
    <x v="0"/>
    <x v="0"/>
    <x v="1"/>
    <x v="9"/>
    <x v="2"/>
    <x v="0"/>
    <x v="0"/>
    <s v="GNR_ST_MSW_BP_E-24_LS-220-MW-FEED_Y-2030"/>
    <x v="1"/>
    <x v="8"/>
    <n v="430.084680423279"/>
    <n v="104653.93890299799"/>
    <n v="376754.180050792"/>
  </r>
  <r>
    <x v="0"/>
    <x v="0"/>
    <x v="0"/>
    <x v="0"/>
    <x v="1"/>
    <x v="9"/>
    <x v="2"/>
    <x v="0"/>
    <x v="0"/>
    <s v="GNR_ST_MSW_BP_E-24_LS-220-MW-FEED_Y-2030"/>
    <x v="1"/>
    <x v="0"/>
    <n v="430.084680423279"/>
    <n v="104653.93890299799"/>
    <n v="376754.180050792"/>
  </r>
  <r>
    <x v="0"/>
    <x v="0"/>
    <x v="0"/>
    <x v="0"/>
    <x v="1"/>
    <x v="9"/>
    <x v="2"/>
    <x v="0"/>
    <x v="0"/>
    <s v="GNR_ST_MSW_BP_E-24_LS-220-MW-FEED_Y-2030"/>
    <x v="1"/>
    <x v="1"/>
    <n v="430.084680423279"/>
    <n v="104653.93890299799"/>
    <n v="376754.180050792"/>
  </r>
  <r>
    <x v="0"/>
    <x v="0"/>
    <x v="0"/>
    <x v="0"/>
    <x v="1"/>
    <x v="9"/>
    <x v="2"/>
    <x v="0"/>
    <x v="0"/>
    <s v="GNR_ST_MSW_BP_E-24_LS-220-MW-FEED_Y-2030"/>
    <x v="1"/>
    <x v="2"/>
    <n v="430.084680423279"/>
    <n v="104653.93890299799"/>
    <n v="376754.180050792"/>
  </r>
  <r>
    <x v="0"/>
    <x v="0"/>
    <x v="0"/>
    <x v="0"/>
    <x v="1"/>
    <x v="9"/>
    <x v="2"/>
    <x v="0"/>
    <x v="0"/>
    <s v="GNR_ST_MSW_BP_E-24_LS-220-MW-FEED_Y-2030"/>
    <x v="1"/>
    <x v="9"/>
    <n v="430.084680423279"/>
    <n v="104653.93890299799"/>
    <n v="376754.180050792"/>
  </r>
  <r>
    <x v="0"/>
    <x v="0"/>
    <x v="0"/>
    <x v="0"/>
    <x v="1"/>
    <x v="9"/>
    <x v="2"/>
    <x v="0"/>
    <x v="0"/>
    <s v="GNR_ST_MSW_BP_E-24_LS-220-MW-FEED_Y-2030"/>
    <x v="1"/>
    <x v="10"/>
    <n v="430.084680423279"/>
    <n v="104653.93890299799"/>
    <n v="376754.180050792"/>
  </r>
  <r>
    <x v="0"/>
    <x v="0"/>
    <x v="0"/>
    <x v="0"/>
    <x v="1"/>
    <x v="9"/>
    <x v="2"/>
    <x v="0"/>
    <x v="0"/>
    <s v="GNR_ST_MSW_BP_E-24_LS-220-MW-FEED_Y-2030"/>
    <x v="1"/>
    <x v="11"/>
    <n v="430.084680423279"/>
    <n v="104653.93890299799"/>
    <n v="376754.180050792"/>
  </r>
  <r>
    <x v="0"/>
    <x v="0"/>
    <x v="0"/>
    <x v="0"/>
    <x v="1"/>
    <x v="9"/>
    <x v="2"/>
    <x v="0"/>
    <x v="0"/>
    <s v="GNR_ST_MSW_BP_E-27"/>
    <x v="0"/>
    <x v="5"/>
    <n v="65.593567512395097"/>
    <n v="15961.1014280161"/>
    <n v="57459.965140858098"/>
  </r>
  <r>
    <x v="0"/>
    <x v="0"/>
    <x v="0"/>
    <x v="0"/>
    <x v="1"/>
    <x v="9"/>
    <x v="2"/>
    <x v="0"/>
    <x v="0"/>
    <s v="GNR_ST_MSW_BP_E-27"/>
    <x v="0"/>
    <x v="3"/>
    <n v="65.593567512395097"/>
    <n v="15961.1014280161"/>
    <n v="57459.965140858098"/>
  </r>
  <r>
    <x v="0"/>
    <x v="0"/>
    <x v="0"/>
    <x v="0"/>
    <x v="1"/>
    <x v="9"/>
    <x v="2"/>
    <x v="0"/>
    <x v="0"/>
    <s v="GNR_ST_MSW_BP_E-27"/>
    <x v="0"/>
    <x v="6"/>
    <n v="65.593567512395097"/>
    <n v="15961.1014280161"/>
    <n v="57459.965140858098"/>
  </r>
  <r>
    <x v="0"/>
    <x v="0"/>
    <x v="0"/>
    <x v="0"/>
    <x v="1"/>
    <x v="9"/>
    <x v="2"/>
    <x v="0"/>
    <x v="0"/>
    <s v="GNR_ST_MSW_BP_E-27"/>
    <x v="0"/>
    <x v="4"/>
    <n v="65.593567512395097"/>
    <n v="15961.1014280161"/>
    <n v="57459.965140858098"/>
  </r>
  <r>
    <x v="0"/>
    <x v="0"/>
    <x v="0"/>
    <x v="0"/>
    <x v="1"/>
    <x v="9"/>
    <x v="2"/>
    <x v="0"/>
    <x v="0"/>
    <s v="GNR_ST_MSW_BP_E-27"/>
    <x v="0"/>
    <x v="7"/>
    <n v="65.593567512395097"/>
    <n v="15961.1014280161"/>
    <n v="57459.965140858098"/>
  </r>
  <r>
    <x v="0"/>
    <x v="0"/>
    <x v="0"/>
    <x v="0"/>
    <x v="1"/>
    <x v="9"/>
    <x v="2"/>
    <x v="0"/>
    <x v="0"/>
    <s v="GNR_ST_MSW_BP_E-27"/>
    <x v="0"/>
    <x v="8"/>
    <n v="65.593567512395097"/>
    <n v="15961.1014280161"/>
    <n v="57459.965140858098"/>
  </r>
  <r>
    <x v="0"/>
    <x v="0"/>
    <x v="0"/>
    <x v="0"/>
    <x v="1"/>
    <x v="9"/>
    <x v="2"/>
    <x v="0"/>
    <x v="0"/>
    <s v="GNR_ST_MSW_BP_E-27"/>
    <x v="0"/>
    <x v="0"/>
    <n v="65.593567512395097"/>
    <n v="15961.1014280161"/>
    <n v="57459.965140858098"/>
  </r>
  <r>
    <x v="0"/>
    <x v="0"/>
    <x v="0"/>
    <x v="0"/>
    <x v="1"/>
    <x v="9"/>
    <x v="2"/>
    <x v="0"/>
    <x v="0"/>
    <s v="GNR_ST_MSW_BP_E-27"/>
    <x v="0"/>
    <x v="1"/>
    <n v="65.593567512395097"/>
    <n v="15961.1014280161"/>
    <n v="57459.965140858098"/>
  </r>
  <r>
    <x v="0"/>
    <x v="0"/>
    <x v="0"/>
    <x v="0"/>
    <x v="1"/>
    <x v="9"/>
    <x v="2"/>
    <x v="0"/>
    <x v="0"/>
    <s v="GNR_ST_MSW_BP_E-27"/>
    <x v="0"/>
    <x v="2"/>
    <n v="65.593567512395097"/>
    <n v="15961.1014280161"/>
    <n v="57459.965140858098"/>
  </r>
  <r>
    <x v="0"/>
    <x v="0"/>
    <x v="0"/>
    <x v="0"/>
    <x v="1"/>
    <x v="9"/>
    <x v="2"/>
    <x v="0"/>
    <x v="0"/>
    <s v="GNR_ST_MSW_BP_E-27"/>
    <x v="0"/>
    <x v="9"/>
    <n v="65.593567512395097"/>
    <n v="15961.1014280161"/>
    <n v="57459.965140858098"/>
  </r>
  <r>
    <x v="0"/>
    <x v="0"/>
    <x v="0"/>
    <x v="0"/>
    <x v="1"/>
    <x v="9"/>
    <x v="2"/>
    <x v="0"/>
    <x v="0"/>
    <s v="GNR_ST_MSW_BP_E-27"/>
    <x v="0"/>
    <x v="10"/>
    <n v="65.593567512395097"/>
    <n v="15961.1014280161"/>
    <n v="57459.965140858098"/>
  </r>
  <r>
    <x v="0"/>
    <x v="0"/>
    <x v="0"/>
    <x v="0"/>
    <x v="1"/>
    <x v="9"/>
    <x v="2"/>
    <x v="0"/>
    <x v="0"/>
    <s v="GNR_ST_MSW_BP_E-27"/>
    <x v="0"/>
    <x v="11"/>
    <n v="65.593567512395097"/>
    <n v="15961.1014280161"/>
    <n v="57459.965140858098"/>
  </r>
  <r>
    <x v="0"/>
    <x v="0"/>
    <x v="0"/>
    <x v="0"/>
    <x v="1"/>
    <x v="9"/>
    <x v="2"/>
    <x v="0"/>
    <x v="0"/>
    <s v="GNR_ST_MSW_BP_E-27"/>
    <x v="2"/>
    <x v="5"/>
    <n v="65.593567512395097"/>
    <n v="15961.1014280161"/>
    <n v="57459.965140858098"/>
  </r>
  <r>
    <x v="0"/>
    <x v="0"/>
    <x v="0"/>
    <x v="0"/>
    <x v="1"/>
    <x v="9"/>
    <x v="2"/>
    <x v="0"/>
    <x v="0"/>
    <s v="GNR_ST_MSW_BP_E-27"/>
    <x v="2"/>
    <x v="3"/>
    <n v="65.593567512395097"/>
    <n v="15961.1014280161"/>
    <n v="57459.965140858098"/>
  </r>
  <r>
    <x v="0"/>
    <x v="0"/>
    <x v="0"/>
    <x v="0"/>
    <x v="1"/>
    <x v="9"/>
    <x v="2"/>
    <x v="0"/>
    <x v="0"/>
    <s v="GNR_ST_MSW_BP_E-27"/>
    <x v="2"/>
    <x v="6"/>
    <n v="65.593567512395097"/>
    <n v="15961.1014280161"/>
    <n v="57459.965140858098"/>
  </r>
  <r>
    <x v="0"/>
    <x v="0"/>
    <x v="0"/>
    <x v="0"/>
    <x v="1"/>
    <x v="9"/>
    <x v="2"/>
    <x v="0"/>
    <x v="0"/>
    <s v="GNR_ST_MSW_BP_E-27"/>
    <x v="2"/>
    <x v="4"/>
    <n v="65.593567512395097"/>
    <n v="15961.1014280161"/>
    <n v="57459.965140858098"/>
  </r>
  <r>
    <x v="0"/>
    <x v="0"/>
    <x v="0"/>
    <x v="0"/>
    <x v="1"/>
    <x v="9"/>
    <x v="2"/>
    <x v="0"/>
    <x v="0"/>
    <s v="GNR_ST_MSW_BP_E-27"/>
    <x v="2"/>
    <x v="7"/>
    <n v="65.593567512395097"/>
    <n v="15961.1014280161"/>
    <n v="57459.965140858098"/>
  </r>
  <r>
    <x v="0"/>
    <x v="0"/>
    <x v="0"/>
    <x v="0"/>
    <x v="1"/>
    <x v="9"/>
    <x v="2"/>
    <x v="0"/>
    <x v="0"/>
    <s v="GNR_ST_MSW_BP_E-27"/>
    <x v="2"/>
    <x v="8"/>
    <n v="65.593567512395097"/>
    <n v="15961.1014280161"/>
    <n v="57459.965140858098"/>
  </r>
  <r>
    <x v="0"/>
    <x v="0"/>
    <x v="0"/>
    <x v="0"/>
    <x v="1"/>
    <x v="9"/>
    <x v="2"/>
    <x v="0"/>
    <x v="0"/>
    <s v="GNR_ST_MSW_BP_E-27"/>
    <x v="2"/>
    <x v="0"/>
    <n v="65.593567512395097"/>
    <n v="15961.1014280161"/>
    <n v="57459.965140858098"/>
  </r>
  <r>
    <x v="0"/>
    <x v="0"/>
    <x v="0"/>
    <x v="0"/>
    <x v="1"/>
    <x v="9"/>
    <x v="2"/>
    <x v="0"/>
    <x v="0"/>
    <s v="GNR_ST_MSW_BP_E-27"/>
    <x v="2"/>
    <x v="1"/>
    <n v="65.593567512395097"/>
    <n v="15961.1014280161"/>
    <n v="57459.965140858098"/>
  </r>
  <r>
    <x v="0"/>
    <x v="0"/>
    <x v="0"/>
    <x v="0"/>
    <x v="1"/>
    <x v="9"/>
    <x v="2"/>
    <x v="0"/>
    <x v="0"/>
    <s v="GNR_ST_MSW_BP_E-27"/>
    <x v="2"/>
    <x v="2"/>
    <n v="65.593567512395097"/>
    <n v="15961.1014280161"/>
    <n v="57459.965140858098"/>
  </r>
  <r>
    <x v="0"/>
    <x v="0"/>
    <x v="0"/>
    <x v="0"/>
    <x v="1"/>
    <x v="9"/>
    <x v="2"/>
    <x v="0"/>
    <x v="0"/>
    <s v="GNR_ST_MSW_BP_E-27"/>
    <x v="2"/>
    <x v="9"/>
    <n v="65.593567512395097"/>
    <n v="15961.1014280161"/>
    <n v="57459.965140858098"/>
  </r>
  <r>
    <x v="0"/>
    <x v="0"/>
    <x v="0"/>
    <x v="0"/>
    <x v="1"/>
    <x v="9"/>
    <x v="2"/>
    <x v="0"/>
    <x v="0"/>
    <s v="GNR_ST_MSW_BP_E-27"/>
    <x v="2"/>
    <x v="10"/>
    <n v="65.593567512395097"/>
    <n v="15961.1014280161"/>
    <n v="57459.965140858098"/>
  </r>
  <r>
    <x v="0"/>
    <x v="0"/>
    <x v="0"/>
    <x v="0"/>
    <x v="1"/>
    <x v="9"/>
    <x v="2"/>
    <x v="0"/>
    <x v="0"/>
    <s v="GNR_ST_MSW_BP_E-27"/>
    <x v="2"/>
    <x v="11"/>
    <n v="65.593567512395097"/>
    <n v="15961.1014280161"/>
    <n v="57459.965140858098"/>
  </r>
  <r>
    <x v="0"/>
    <x v="0"/>
    <x v="0"/>
    <x v="0"/>
    <x v="1"/>
    <x v="9"/>
    <x v="2"/>
    <x v="0"/>
    <x v="0"/>
    <s v="GNR_ST_MSW_BP_E-27"/>
    <x v="1"/>
    <x v="5"/>
    <n v="65.593567512395097"/>
    <n v="15961.1014280161"/>
    <n v="57459.965140858098"/>
  </r>
  <r>
    <x v="0"/>
    <x v="0"/>
    <x v="0"/>
    <x v="0"/>
    <x v="1"/>
    <x v="9"/>
    <x v="2"/>
    <x v="0"/>
    <x v="0"/>
    <s v="GNR_ST_MSW_BP_E-27"/>
    <x v="1"/>
    <x v="3"/>
    <n v="65.593567512395097"/>
    <n v="15961.1014280161"/>
    <n v="57459.965140858098"/>
  </r>
  <r>
    <x v="0"/>
    <x v="0"/>
    <x v="0"/>
    <x v="0"/>
    <x v="1"/>
    <x v="9"/>
    <x v="2"/>
    <x v="0"/>
    <x v="0"/>
    <s v="GNR_ST_MSW_BP_E-27"/>
    <x v="1"/>
    <x v="6"/>
    <n v="65.593567512395097"/>
    <n v="15961.1014280161"/>
    <n v="57459.965140858098"/>
  </r>
  <r>
    <x v="0"/>
    <x v="0"/>
    <x v="0"/>
    <x v="0"/>
    <x v="1"/>
    <x v="9"/>
    <x v="2"/>
    <x v="0"/>
    <x v="0"/>
    <s v="GNR_ST_MSW_BP_E-27"/>
    <x v="1"/>
    <x v="4"/>
    <n v="65.593567512395097"/>
    <n v="15961.1014280161"/>
    <n v="57459.965140858098"/>
  </r>
  <r>
    <x v="0"/>
    <x v="0"/>
    <x v="0"/>
    <x v="0"/>
    <x v="1"/>
    <x v="9"/>
    <x v="2"/>
    <x v="0"/>
    <x v="0"/>
    <s v="GNR_ST_MSW_BP_E-27"/>
    <x v="1"/>
    <x v="7"/>
    <n v="65.593567512395097"/>
    <n v="15961.1014280161"/>
    <n v="57459.965140858098"/>
  </r>
  <r>
    <x v="0"/>
    <x v="0"/>
    <x v="0"/>
    <x v="0"/>
    <x v="1"/>
    <x v="9"/>
    <x v="2"/>
    <x v="0"/>
    <x v="0"/>
    <s v="GNR_ST_MSW_BP_E-27"/>
    <x v="1"/>
    <x v="8"/>
    <n v="65.593567512395097"/>
    <n v="15961.1014280161"/>
    <n v="57459.965140858098"/>
  </r>
  <r>
    <x v="0"/>
    <x v="0"/>
    <x v="0"/>
    <x v="0"/>
    <x v="1"/>
    <x v="9"/>
    <x v="2"/>
    <x v="0"/>
    <x v="0"/>
    <s v="GNR_ST_MSW_BP_E-27"/>
    <x v="1"/>
    <x v="0"/>
    <n v="65.593567512395097"/>
    <n v="15961.1014280161"/>
    <n v="57459.965140858098"/>
  </r>
  <r>
    <x v="0"/>
    <x v="0"/>
    <x v="0"/>
    <x v="0"/>
    <x v="1"/>
    <x v="9"/>
    <x v="2"/>
    <x v="0"/>
    <x v="0"/>
    <s v="GNR_ST_MSW_BP_E-27"/>
    <x v="1"/>
    <x v="1"/>
    <n v="65.593567512395097"/>
    <n v="15961.1014280161"/>
    <n v="57459.965140858098"/>
  </r>
  <r>
    <x v="0"/>
    <x v="0"/>
    <x v="0"/>
    <x v="0"/>
    <x v="1"/>
    <x v="9"/>
    <x v="2"/>
    <x v="0"/>
    <x v="0"/>
    <s v="GNR_ST_MSW_BP_E-27"/>
    <x v="1"/>
    <x v="2"/>
    <n v="65.593567512395097"/>
    <n v="15961.1014280161"/>
    <n v="57459.965140858098"/>
  </r>
  <r>
    <x v="0"/>
    <x v="0"/>
    <x v="0"/>
    <x v="0"/>
    <x v="1"/>
    <x v="9"/>
    <x v="2"/>
    <x v="0"/>
    <x v="0"/>
    <s v="GNR_ST_MSW_BP_E-27"/>
    <x v="1"/>
    <x v="9"/>
    <n v="65.593567512395097"/>
    <n v="15961.1014280161"/>
    <n v="57459.965140858098"/>
  </r>
  <r>
    <x v="0"/>
    <x v="0"/>
    <x v="0"/>
    <x v="0"/>
    <x v="1"/>
    <x v="9"/>
    <x v="2"/>
    <x v="0"/>
    <x v="0"/>
    <s v="GNR_ST_MSW_BP_E-27"/>
    <x v="1"/>
    <x v="10"/>
    <n v="65.593567512395097"/>
    <n v="15961.1014280161"/>
    <n v="57459.965140858098"/>
  </r>
  <r>
    <x v="0"/>
    <x v="0"/>
    <x v="0"/>
    <x v="0"/>
    <x v="1"/>
    <x v="9"/>
    <x v="2"/>
    <x v="0"/>
    <x v="0"/>
    <s v="GNR_ST_MSW_BP_E-27"/>
    <x v="1"/>
    <x v="11"/>
    <n v="65.593567512395097"/>
    <n v="15961.1014280161"/>
    <n v="57459.965140858098"/>
  </r>
  <r>
    <x v="0"/>
    <x v="0"/>
    <x v="0"/>
    <x v="0"/>
    <x v="1"/>
    <x v="9"/>
    <x v="3"/>
    <x v="0"/>
    <x v="0"/>
    <s v="GNR_GT_NGAS_BP_E-43_LS-40-MW_Y-2030"/>
    <x v="0"/>
    <x v="0"/>
    <n v="375.99274375504098"/>
    <n v="91491.567647059899"/>
    <n v="329369.643529416"/>
  </r>
  <r>
    <x v="0"/>
    <x v="0"/>
    <x v="0"/>
    <x v="0"/>
    <x v="1"/>
    <x v="9"/>
    <x v="3"/>
    <x v="0"/>
    <x v="0"/>
    <s v="GNR_GT_NGAS_BP_E-43_LS-40-MW_Y-2030"/>
    <x v="0"/>
    <x v="1"/>
    <n v="375.99274375504098"/>
    <n v="91491.567647059899"/>
    <n v="329369.643529416"/>
  </r>
  <r>
    <x v="0"/>
    <x v="0"/>
    <x v="0"/>
    <x v="0"/>
    <x v="1"/>
    <x v="9"/>
    <x v="3"/>
    <x v="0"/>
    <x v="0"/>
    <s v="GNR_GT_NGAS_BP_E-43_LS-40-MW_Y-2030"/>
    <x v="0"/>
    <x v="2"/>
    <n v="375.99274375504098"/>
    <n v="91491.567647059899"/>
    <n v="329369.643529416"/>
  </r>
  <r>
    <x v="0"/>
    <x v="0"/>
    <x v="0"/>
    <x v="0"/>
    <x v="1"/>
    <x v="9"/>
    <x v="3"/>
    <x v="0"/>
    <x v="0"/>
    <s v="GNR_GT_NGAS_BP_E-43_LS-40-MW_Y-2030"/>
    <x v="0"/>
    <x v="9"/>
    <n v="48.6468022675311"/>
    <n v="11837.3885517659"/>
    <n v="42614.598786357303"/>
  </r>
  <r>
    <x v="0"/>
    <x v="0"/>
    <x v="0"/>
    <x v="0"/>
    <x v="1"/>
    <x v="9"/>
    <x v="3"/>
    <x v="0"/>
    <x v="0"/>
    <s v="GNR_GT_NGAS_BP_E-43_LS-40-MW_Y-2030"/>
    <x v="0"/>
    <x v="11"/>
    <n v="138.326174397703"/>
    <n v="33659.369103441"/>
    <n v="121173.728772388"/>
  </r>
  <r>
    <x v="0"/>
    <x v="0"/>
    <x v="0"/>
    <x v="0"/>
    <x v="1"/>
    <x v="9"/>
    <x v="3"/>
    <x v="0"/>
    <x v="0"/>
    <s v="GNR_GT_NGAS_BP_E-43_LS-40-MW_Y-2030"/>
    <x v="1"/>
    <x v="3"/>
    <n v="375.99274375504098"/>
    <n v="91491.567647059899"/>
    <n v="329369.643529416"/>
  </r>
  <r>
    <x v="0"/>
    <x v="0"/>
    <x v="0"/>
    <x v="0"/>
    <x v="1"/>
    <x v="9"/>
    <x v="3"/>
    <x v="0"/>
    <x v="0"/>
    <s v="GNR_GT_NGAS_BP_E-43_LS-40-MW_Y-2030"/>
    <x v="1"/>
    <x v="4"/>
    <n v="375.99274375504098"/>
    <n v="91491.567647059899"/>
    <n v="329369.643529416"/>
  </r>
  <r>
    <x v="0"/>
    <x v="0"/>
    <x v="0"/>
    <x v="0"/>
    <x v="1"/>
    <x v="9"/>
    <x v="3"/>
    <x v="0"/>
    <x v="0"/>
    <s v="GNR_GT_NGAS_BP_E-43_LS-40-MW_Y-2030"/>
    <x v="1"/>
    <x v="7"/>
    <n v="96.363262824188894"/>
    <n v="23448.393953886"/>
    <n v="84414.218233989406"/>
  </r>
  <r>
    <x v="0"/>
    <x v="0"/>
    <x v="0"/>
    <x v="0"/>
    <x v="1"/>
    <x v="9"/>
    <x v="3"/>
    <x v="0"/>
    <x v="0"/>
    <s v="GNR_GT_NGAS_BP_E-43_LS-40-MW_Y-2030"/>
    <x v="1"/>
    <x v="0"/>
    <n v="375.99274375504098"/>
    <n v="91491.567647059899"/>
    <n v="329369.643529416"/>
  </r>
  <r>
    <x v="0"/>
    <x v="0"/>
    <x v="0"/>
    <x v="0"/>
    <x v="1"/>
    <x v="9"/>
    <x v="3"/>
    <x v="0"/>
    <x v="0"/>
    <s v="GNR_GT_NGAS_BP_E-43_LS-40-MW_Y-2030"/>
    <x v="1"/>
    <x v="1"/>
    <n v="242.451368134647"/>
    <n v="58996.499579430798"/>
    <n v="212387.39848595101"/>
  </r>
  <r>
    <x v="0"/>
    <x v="0"/>
    <x v="0"/>
    <x v="0"/>
    <x v="1"/>
    <x v="9"/>
    <x v="3"/>
    <x v="0"/>
    <x v="0"/>
    <s v="GNR_GT_NGAS_BP_E-43_LS-40-MW_Y-2030"/>
    <x v="1"/>
    <x v="2"/>
    <n v="375.99274375504098"/>
    <n v="91491.567647059899"/>
    <n v="329369.643529416"/>
  </r>
  <r>
    <x v="0"/>
    <x v="0"/>
    <x v="0"/>
    <x v="0"/>
    <x v="1"/>
    <x v="9"/>
    <x v="4"/>
    <x v="0"/>
    <x v="6"/>
    <s v="GNR_ST_COAL_EXT_E-42-Straw"/>
    <x v="0"/>
    <x v="3"/>
    <n v="166.666666666667"/>
    <n v="40555.555555555598"/>
    <n v="146000"/>
  </r>
  <r>
    <x v="0"/>
    <x v="0"/>
    <x v="0"/>
    <x v="0"/>
    <x v="1"/>
    <x v="9"/>
    <x v="4"/>
    <x v="0"/>
    <x v="6"/>
    <s v="GNR_ST_COAL_EXT_E-42-Straw"/>
    <x v="0"/>
    <x v="4"/>
    <n v="166.666666666667"/>
    <n v="40555.555555555598"/>
    <n v="146000"/>
  </r>
  <r>
    <x v="0"/>
    <x v="0"/>
    <x v="0"/>
    <x v="0"/>
    <x v="1"/>
    <x v="9"/>
    <x v="4"/>
    <x v="0"/>
    <x v="6"/>
    <s v="GNR_ST_COAL_EXT_E-42-Straw"/>
    <x v="0"/>
    <x v="8"/>
    <n v="166.666666666667"/>
    <n v="40555.555555555598"/>
    <n v="146000"/>
  </r>
  <r>
    <x v="0"/>
    <x v="0"/>
    <x v="0"/>
    <x v="0"/>
    <x v="1"/>
    <x v="9"/>
    <x v="4"/>
    <x v="0"/>
    <x v="6"/>
    <s v="GNR_ST_COAL_EXT_E-42-Straw"/>
    <x v="0"/>
    <x v="0"/>
    <n v="166.666666666667"/>
    <n v="40555.555555555598"/>
    <n v="146000"/>
  </r>
  <r>
    <x v="0"/>
    <x v="0"/>
    <x v="0"/>
    <x v="0"/>
    <x v="1"/>
    <x v="9"/>
    <x v="4"/>
    <x v="0"/>
    <x v="6"/>
    <s v="GNR_ST_COAL_EXT_E-42-Straw"/>
    <x v="0"/>
    <x v="1"/>
    <n v="166.666666666667"/>
    <n v="40555.555555555598"/>
    <n v="146000"/>
  </r>
  <r>
    <x v="0"/>
    <x v="0"/>
    <x v="0"/>
    <x v="0"/>
    <x v="1"/>
    <x v="9"/>
    <x v="4"/>
    <x v="0"/>
    <x v="6"/>
    <s v="GNR_ST_COAL_EXT_E-42-Straw"/>
    <x v="0"/>
    <x v="2"/>
    <n v="166.666666666667"/>
    <n v="40555.555555555598"/>
    <n v="146000"/>
  </r>
  <r>
    <x v="0"/>
    <x v="0"/>
    <x v="0"/>
    <x v="0"/>
    <x v="1"/>
    <x v="9"/>
    <x v="4"/>
    <x v="0"/>
    <x v="6"/>
    <s v="GNR_ST_COAL_EXT_E-42-Straw"/>
    <x v="0"/>
    <x v="9"/>
    <n v="166.666666666667"/>
    <n v="40555.555555555598"/>
    <n v="146000"/>
  </r>
  <r>
    <x v="0"/>
    <x v="0"/>
    <x v="0"/>
    <x v="0"/>
    <x v="1"/>
    <x v="9"/>
    <x v="4"/>
    <x v="0"/>
    <x v="6"/>
    <s v="GNR_ST_COAL_EXT_E-42-Straw"/>
    <x v="0"/>
    <x v="10"/>
    <n v="166.666666666667"/>
    <n v="40555.555555555598"/>
    <n v="146000"/>
  </r>
  <r>
    <x v="0"/>
    <x v="0"/>
    <x v="0"/>
    <x v="0"/>
    <x v="1"/>
    <x v="9"/>
    <x v="4"/>
    <x v="0"/>
    <x v="6"/>
    <s v="GNR_ST_COAL_EXT_E-42-Straw"/>
    <x v="0"/>
    <x v="11"/>
    <n v="166.666666666667"/>
    <n v="40555.555555555598"/>
    <n v="146000"/>
  </r>
  <r>
    <x v="0"/>
    <x v="0"/>
    <x v="0"/>
    <x v="0"/>
    <x v="1"/>
    <x v="9"/>
    <x v="4"/>
    <x v="0"/>
    <x v="6"/>
    <s v="GNR_ST_COAL_EXT_E-42-Straw"/>
    <x v="2"/>
    <x v="3"/>
    <n v="166.666666666667"/>
    <n v="40555.555555555598"/>
    <n v="146000"/>
  </r>
  <r>
    <x v="0"/>
    <x v="0"/>
    <x v="0"/>
    <x v="0"/>
    <x v="1"/>
    <x v="9"/>
    <x v="4"/>
    <x v="0"/>
    <x v="6"/>
    <s v="GNR_ST_COAL_EXT_E-42-Straw"/>
    <x v="2"/>
    <x v="6"/>
    <n v="166.666666666667"/>
    <n v="40555.555555555598"/>
    <n v="146000"/>
  </r>
  <r>
    <x v="0"/>
    <x v="0"/>
    <x v="0"/>
    <x v="0"/>
    <x v="1"/>
    <x v="9"/>
    <x v="4"/>
    <x v="0"/>
    <x v="6"/>
    <s v="GNR_ST_COAL_EXT_E-42-Straw"/>
    <x v="2"/>
    <x v="4"/>
    <n v="166.666666666667"/>
    <n v="40555.555555555598"/>
    <n v="146000"/>
  </r>
  <r>
    <x v="0"/>
    <x v="0"/>
    <x v="0"/>
    <x v="0"/>
    <x v="1"/>
    <x v="9"/>
    <x v="4"/>
    <x v="0"/>
    <x v="6"/>
    <s v="GNR_ST_COAL_EXT_E-42-Straw"/>
    <x v="2"/>
    <x v="1"/>
    <n v="166.666666666667"/>
    <n v="40555.555555555598"/>
    <n v="146000"/>
  </r>
  <r>
    <x v="0"/>
    <x v="0"/>
    <x v="0"/>
    <x v="0"/>
    <x v="1"/>
    <x v="9"/>
    <x v="4"/>
    <x v="0"/>
    <x v="6"/>
    <s v="GNR_ST_COAL_EXT_E-42-Straw"/>
    <x v="2"/>
    <x v="2"/>
    <n v="166.666666666667"/>
    <n v="40555.555555555598"/>
    <n v="146000"/>
  </r>
  <r>
    <x v="0"/>
    <x v="0"/>
    <x v="0"/>
    <x v="0"/>
    <x v="1"/>
    <x v="9"/>
    <x v="4"/>
    <x v="0"/>
    <x v="6"/>
    <s v="GNR_ST_COAL_EXT_E-42-Straw"/>
    <x v="2"/>
    <x v="10"/>
    <n v="166.666666666667"/>
    <n v="40555.555555555598"/>
    <n v="146000"/>
  </r>
  <r>
    <x v="0"/>
    <x v="0"/>
    <x v="0"/>
    <x v="0"/>
    <x v="1"/>
    <x v="9"/>
    <x v="4"/>
    <x v="0"/>
    <x v="6"/>
    <s v="GNR_ST_COAL_EXT_E-42-Straw"/>
    <x v="1"/>
    <x v="3"/>
    <n v="166.666666666667"/>
    <n v="40555.555555555598"/>
    <n v="146000"/>
  </r>
  <r>
    <x v="0"/>
    <x v="0"/>
    <x v="0"/>
    <x v="0"/>
    <x v="1"/>
    <x v="9"/>
    <x v="4"/>
    <x v="0"/>
    <x v="6"/>
    <s v="GNR_ST_COAL_EXT_E-42-Straw"/>
    <x v="1"/>
    <x v="4"/>
    <n v="166.666666666667"/>
    <n v="40555.555555555598"/>
    <n v="146000"/>
  </r>
  <r>
    <x v="0"/>
    <x v="0"/>
    <x v="0"/>
    <x v="0"/>
    <x v="1"/>
    <x v="9"/>
    <x v="4"/>
    <x v="0"/>
    <x v="6"/>
    <s v="GNR_ST_COAL_EXT_E-42-Straw"/>
    <x v="1"/>
    <x v="7"/>
    <n v="166.666666666667"/>
    <n v="40555.555555555598"/>
    <n v="146000"/>
  </r>
  <r>
    <x v="0"/>
    <x v="0"/>
    <x v="0"/>
    <x v="0"/>
    <x v="1"/>
    <x v="9"/>
    <x v="4"/>
    <x v="0"/>
    <x v="6"/>
    <s v="GNR_ST_COAL_EXT_E-42-Straw"/>
    <x v="1"/>
    <x v="0"/>
    <n v="166.666666666667"/>
    <n v="40555.555555555598"/>
    <n v="146000"/>
  </r>
  <r>
    <x v="0"/>
    <x v="0"/>
    <x v="0"/>
    <x v="0"/>
    <x v="1"/>
    <x v="9"/>
    <x v="4"/>
    <x v="0"/>
    <x v="6"/>
    <s v="GNR_ST_COAL_EXT_E-42-Straw"/>
    <x v="1"/>
    <x v="1"/>
    <n v="166.666666666667"/>
    <n v="40555.555555555598"/>
    <n v="146000"/>
  </r>
  <r>
    <x v="0"/>
    <x v="0"/>
    <x v="0"/>
    <x v="0"/>
    <x v="1"/>
    <x v="9"/>
    <x v="4"/>
    <x v="0"/>
    <x v="6"/>
    <s v="GNR_ST_COAL_EXT_E-42-Straw"/>
    <x v="1"/>
    <x v="2"/>
    <n v="166.666666666667"/>
    <n v="40555.555555555598"/>
    <n v="146000"/>
  </r>
  <r>
    <x v="0"/>
    <x v="0"/>
    <x v="0"/>
    <x v="0"/>
    <x v="1"/>
    <x v="9"/>
    <x v="6"/>
    <x v="2"/>
    <x v="3"/>
    <s v="GNR_EH_HEAT"/>
    <x v="0"/>
    <x v="5"/>
    <n v="173"/>
    <n v="42096.666666666701"/>
    <n v="151548"/>
  </r>
  <r>
    <x v="0"/>
    <x v="0"/>
    <x v="0"/>
    <x v="0"/>
    <x v="1"/>
    <x v="9"/>
    <x v="6"/>
    <x v="2"/>
    <x v="3"/>
    <s v="GNR_EH_HEAT"/>
    <x v="0"/>
    <x v="3"/>
    <n v="173"/>
    <n v="42096.666666666701"/>
    <n v="151548"/>
  </r>
  <r>
    <x v="0"/>
    <x v="0"/>
    <x v="0"/>
    <x v="0"/>
    <x v="1"/>
    <x v="9"/>
    <x v="6"/>
    <x v="2"/>
    <x v="3"/>
    <s v="GNR_EH_HEAT"/>
    <x v="0"/>
    <x v="6"/>
    <n v="173"/>
    <n v="42096.666666666701"/>
    <n v="151548"/>
  </r>
  <r>
    <x v="0"/>
    <x v="0"/>
    <x v="0"/>
    <x v="0"/>
    <x v="1"/>
    <x v="9"/>
    <x v="6"/>
    <x v="2"/>
    <x v="3"/>
    <s v="GNR_EH_HEAT"/>
    <x v="0"/>
    <x v="4"/>
    <n v="173"/>
    <n v="42096.666666666701"/>
    <n v="151548"/>
  </r>
  <r>
    <x v="0"/>
    <x v="0"/>
    <x v="0"/>
    <x v="0"/>
    <x v="1"/>
    <x v="9"/>
    <x v="6"/>
    <x v="2"/>
    <x v="3"/>
    <s v="GNR_EH_HEAT"/>
    <x v="0"/>
    <x v="7"/>
    <n v="173"/>
    <n v="42096.666666666701"/>
    <n v="151548"/>
  </r>
  <r>
    <x v="0"/>
    <x v="0"/>
    <x v="0"/>
    <x v="0"/>
    <x v="1"/>
    <x v="9"/>
    <x v="6"/>
    <x v="2"/>
    <x v="3"/>
    <s v="GNR_EH_HEAT"/>
    <x v="0"/>
    <x v="8"/>
    <n v="173"/>
    <n v="42096.666666666701"/>
    <n v="151548"/>
  </r>
  <r>
    <x v="0"/>
    <x v="0"/>
    <x v="0"/>
    <x v="0"/>
    <x v="1"/>
    <x v="9"/>
    <x v="6"/>
    <x v="2"/>
    <x v="3"/>
    <s v="GNR_EH_HEAT"/>
    <x v="0"/>
    <x v="0"/>
    <n v="173"/>
    <n v="42096.666666666701"/>
    <n v="151548"/>
  </r>
  <r>
    <x v="0"/>
    <x v="0"/>
    <x v="0"/>
    <x v="0"/>
    <x v="1"/>
    <x v="9"/>
    <x v="6"/>
    <x v="2"/>
    <x v="3"/>
    <s v="GNR_EH_HEAT"/>
    <x v="0"/>
    <x v="1"/>
    <n v="173"/>
    <n v="42096.666666666701"/>
    <n v="151548"/>
  </r>
  <r>
    <x v="0"/>
    <x v="0"/>
    <x v="0"/>
    <x v="0"/>
    <x v="1"/>
    <x v="9"/>
    <x v="6"/>
    <x v="2"/>
    <x v="3"/>
    <s v="GNR_EH_HEAT"/>
    <x v="0"/>
    <x v="2"/>
    <n v="173"/>
    <n v="42096.666666666701"/>
    <n v="151548"/>
  </r>
  <r>
    <x v="0"/>
    <x v="0"/>
    <x v="0"/>
    <x v="0"/>
    <x v="1"/>
    <x v="9"/>
    <x v="6"/>
    <x v="2"/>
    <x v="3"/>
    <s v="GNR_EH_HEAT"/>
    <x v="0"/>
    <x v="9"/>
    <n v="173"/>
    <n v="42096.666666666701"/>
    <n v="151548"/>
  </r>
  <r>
    <x v="0"/>
    <x v="0"/>
    <x v="0"/>
    <x v="0"/>
    <x v="1"/>
    <x v="9"/>
    <x v="6"/>
    <x v="2"/>
    <x v="3"/>
    <s v="GNR_EH_HEAT"/>
    <x v="0"/>
    <x v="10"/>
    <n v="173"/>
    <n v="42096.666666666701"/>
    <n v="151548"/>
  </r>
  <r>
    <x v="0"/>
    <x v="0"/>
    <x v="0"/>
    <x v="0"/>
    <x v="1"/>
    <x v="9"/>
    <x v="6"/>
    <x v="2"/>
    <x v="3"/>
    <s v="GNR_EH_HEAT"/>
    <x v="0"/>
    <x v="11"/>
    <n v="173"/>
    <n v="42096.666666666701"/>
    <n v="151548"/>
  </r>
  <r>
    <x v="0"/>
    <x v="0"/>
    <x v="0"/>
    <x v="0"/>
    <x v="1"/>
    <x v="9"/>
    <x v="6"/>
    <x v="2"/>
    <x v="3"/>
    <s v="GNR_EH_HEAT"/>
    <x v="2"/>
    <x v="5"/>
    <n v="173"/>
    <n v="42096.666666666701"/>
    <n v="151548"/>
  </r>
  <r>
    <x v="0"/>
    <x v="0"/>
    <x v="0"/>
    <x v="0"/>
    <x v="1"/>
    <x v="9"/>
    <x v="6"/>
    <x v="2"/>
    <x v="3"/>
    <s v="GNR_EH_HEAT"/>
    <x v="2"/>
    <x v="3"/>
    <n v="173"/>
    <n v="42096.666666666701"/>
    <n v="151548"/>
  </r>
  <r>
    <x v="0"/>
    <x v="0"/>
    <x v="0"/>
    <x v="0"/>
    <x v="1"/>
    <x v="9"/>
    <x v="6"/>
    <x v="2"/>
    <x v="3"/>
    <s v="GNR_EH_HEAT"/>
    <x v="2"/>
    <x v="6"/>
    <n v="173"/>
    <n v="42096.666666666701"/>
    <n v="151548"/>
  </r>
  <r>
    <x v="0"/>
    <x v="0"/>
    <x v="0"/>
    <x v="0"/>
    <x v="1"/>
    <x v="9"/>
    <x v="6"/>
    <x v="2"/>
    <x v="3"/>
    <s v="GNR_EH_HEAT"/>
    <x v="2"/>
    <x v="4"/>
    <n v="173"/>
    <n v="42096.666666666701"/>
    <n v="151548"/>
  </r>
  <r>
    <x v="0"/>
    <x v="0"/>
    <x v="0"/>
    <x v="0"/>
    <x v="1"/>
    <x v="9"/>
    <x v="6"/>
    <x v="2"/>
    <x v="3"/>
    <s v="GNR_EH_HEAT"/>
    <x v="2"/>
    <x v="7"/>
    <n v="173"/>
    <n v="42096.666666666701"/>
    <n v="151548"/>
  </r>
  <r>
    <x v="0"/>
    <x v="0"/>
    <x v="0"/>
    <x v="0"/>
    <x v="1"/>
    <x v="9"/>
    <x v="6"/>
    <x v="2"/>
    <x v="3"/>
    <s v="GNR_EH_HEAT"/>
    <x v="2"/>
    <x v="8"/>
    <n v="173"/>
    <n v="42096.666666666701"/>
    <n v="151548"/>
  </r>
  <r>
    <x v="0"/>
    <x v="0"/>
    <x v="0"/>
    <x v="0"/>
    <x v="1"/>
    <x v="9"/>
    <x v="6"/>
    <x v="2"/>
    <x v="3"/>
    <s v="GNR_EH_HEAT"/>
    <x v="2"/>
    <x v="0"/>
    <n v="173"/>
    <n v="42096.666666666701"/>
    <n v="151548"/>
  </r>
  <r>
    <x v="0"/>
    <x v="0"/>
    <x v="0"/>
    <x v="0"/>
    <x v="1"/>
    <x v="9"/>
    <x v="6"/>
    <x v="2"/>
    <x v="3"/>
    <s v="GNR_EH_HEAT"/>
    <x v="2"/>
    <x v="1"/>
    <n v="173"/>
    <n v="42096.666666666701"/>
    <n v="151548"/>
  </r>
  <r>
    <x v="0"/>
    <x v="0"/>
    <x v="0"/>
    <x v="0"/>
    <x v="1"/>
    <x v="9"/>
    <x v="6"/>
    <x v="2"/>
    <x v="3"/>
    <s v="GNR_EH_HEAT"/>
    <x v="2"/>
    <x v="2"/>
    <n v="173"/>
    <n v="42096.666666666701"/>
    <n v="151548"/>
  </r>
  <r>
    <x v="0"/>
    <x v="0"/>
    <x v="0"/>
    <x v="0"/>
    <x v="1"/>
    <x v="9"/>
    <x v="6"/>
    <x v="2"/>
    <x v="3"/>
    <s v="GNR_EH_HEAT"/>
    <x v="2"/>
    <x v="9"/>
    <n v="173"/>
    <n v="42096.666666666701"/>
    <n v="151548"/>
  </r>
  <r>
    <x v="0"/>
    <x v="0"/>
    <x v="0"/>
    <x v="0"/>
    <x v="1"/>
    <x v="9"/>
    <x v="6"/>
    <x v="2"/>
    <x v="3"/>
    <s v="GNR_EH_HEAT"/>
    <x v="2"/>
    <x v="10"/>
    <n v="173"/>
    <n v="42096.666666666701"/>
    <n v="151548"/>
  </r>
  <r>
    <x v="0"/>
    <x v="0"/>
    <x v="0"/>
    <x v="0"/>
    <x v="1"/>
    <x v="9"/>
    <x v="6"/>
    <x v="2"/>
    <x v="3"/>
    <s v="GNR_EH_HEAT"/>
    <x v="2"/>
    <x v="11"/>
    <n v="173"/>
    <n v="42096.666666666701"/>
    <n v="151548"/>
  </r>
  <r>
    <x v="0"/>
    <x v="0"/>
    <x v="0"/>
    <x v="0"/>
    <x v="1"/>
    <x v="9"/>
    <x v="6"/>
    <x v="2"/>
    <x v="3"/>
    <s v="GNR_EH_HEAT"/>
    <x v="1"/>
    <x v="5"/>
    <n v="173"/>
    <n v="42096.666666666701"/>
    <n v="151548"/>
  </r>
  <r>
    <x v="0"/>
    <x v="0"/>
    <x v="0"/>
    <x v="0"/>
    <x v="1"/>
    <x v="9"/>
    <x v="6"/>
    <x v="2"/>
    <x v="3"/>
    <s v="GNR_EH_HEAT"/>
    <x v="1"/>
    <x v="3"/>
    <n v="173"/>
    <n v="42096.666666666701"/>
    <n v="151548"/>
  </r>
  <r>
    <x v="0"/>
    <x v="0"/>
    <x v="0"/>
    <x v="0"/>
    <x v="1"/>
    <x v="9"/>
    <x v="6"/>
    <x v="2"/>
    <x v="3"/>
    <s v="GNR_EH_HEAT"/>
    <x v="1"/>
    <x v="6"/>
    <n v="173"/>
    <n v="42096.666666666701"/>
    <n v="151548"/>
  </r>
  <r>
    <x v="0"/>
    <x v="0"/>
    <x v="0"/>
    <x v="0"/>
    <x v="1"/>
    <x v="9"/>
    <x v="6"/>
    <x v="2"/>
    <x v="3"/>
    <s v="GNR_EH_HEAT"/>
    <x v="1"/>
    <x v="4"/>
    <n v="173"/>
    <n v="42096.666666666701"/>
    <n v="151548"/>
  </r>
  <r>
    <x v="0"/>
    <x v="0"/>
    <x v="0"/>
    <x v="0"/>
    <x v="1"/>
    <x v="9"/>
    <x v="6"/>
    <x v="2"/>
    <x v="3"/>
    <s v="GNR_EH_HEAT"/>
    <x v="1"/>
    <x v="7"/>
    <n v="173"/>
    <n v="42096.666666666701"/>
    <n v="151548"/>
  </r>
  <r>
    <x v="0"/>
    <x v="0"/>
    <x v="0"/>
    <x v="0"/>
    <x v="1"/>
    <x v="9"/>
    <x v="6"/>
    <x v="2"/>
    <x v="3"/>
    <s v="GNR_EH_HEAT"/>
    <x v="1"/>
    <x v="8"/>
    <n v="173"/>
    <n v="42096.666666666701"/>
    <n v="151548"/>
  </r>
  <r>
    <x v="0"/>
    <x v="0"/>
    <x v="0"/>
    <x v="0"/>
    <x v="1"/>
    <x v="9"/>
    <x v="6"/>
    <x v="2"/>
    <x v="3"/>
    <s v="GNR_EH_HEAT"/>
    <x v="1"/>
    <x v="0"/>
    <n v="173"/>
    <n v="42096.666666666701"/>
    <n v="151548"/>
  </r>
  <r>
    <x v="0"/>
    <x v="0"/>
    <x v="0"/>
    <x v="0"/>
    <x v="1"/>
    <x v="9"/>
    <x v="6"/>
    <x v="2"/>
    <x v="3"/>
    <s v="GNR_EH_HEAT"/>
    <x v="1"/>
    <x v="1"/>
    <n v="173"/>
    <n v="42096.666666666701"/>
    <n v="151548"/>
  </r>
  <r>
    <x v="0"/>
    <x v="0"/>
    <x v="0"/>
    <x v="0"/>
    <x v="1"/>
    <x v="9"/>
    <x v="6"/>
    <x v="2"/>
    <x v="3"/>
    <s v="GNR_EH_HEAT"/>
    <x v="1"/>
    <x v="2"/>
    <n v="173"/>
    <n v="42096.666666666701"/>
    <n v="151548"/>
  </r>
  <r>
    <x v="0"/>
    <x v="0"/>
    <x v="0"/>
    <x v="0"/>
    <x v="1"/>
    <x v="9"/>
    <x v="6"/>
    <x v="2"/>
    <x v="3"/>
    <s v="GNR_EH_HEAT"/>
    <x v="1"/>
    <x v="9"/>
    <n v="173"/>
    <n v="42096.666666666701"/>
    <n v="151548"/>
  </r>
  <r>
    <x v="0"/>
    <x v="0"/>
    <x v="0"/>
    <x v="0"/>
    <x v="1"/>
    <x v="9"/>
    <x v="6"/>
    <x v="2"/>
    <x v="3"/>
    <s v="GNR_EH_HEAT"/>
    <x v="1"/>
    <x v="10"/>
    <n v="173"/>
    <n v="42096.666666666701"/>
    <n v="151548"/>
  </r>
  <r>
    <x v="0"/>
    <x v="0"/>
    <x v="0"/>
    <x v="0"/>
    <x v="1"/>
    <x v="9"/>
    <x v="6"/>
    <x v="2"/>
    <x v="3"/>
    <s v="GNR_EH_HEAT"/>
    <x v="1"/>
    <x v="11"/>
    <n v="173"/>
    <n v="42096.666666666701"/>
    <n v="151548"/>
  </r>
  <r>
    <x v="0"/>
    <x v="0"/>
    <x v="0"/>
    <x v="0"/>
    <x v="1"/>
    <x v="9"/>
    <x v="6"/>
    <x v="2"/>
    <x v="3"/>
    <s v="GNR_GEO_HEAT_HO"/>
    <x v="0"/>
    <x v="5"/>
    <n v="14"/>
    <n v="3406.6666666666702"/>
    <n v="12264"/>
  </r>
  <r>
    <x v="0"/>
    <x v="0"/>
    <x v="0"/>
    <x v="0"/>
    <x v="1"/>
    <x v="9"/>
    <x v="6"/>
    <x v="2"/>
    <x v="3"/>
    <s v="GNR_GEO_HEAT_HO"/>
    <x v="0"/>
    <x v="3"/>
    <n v="14"/>
    <n v="3406.6666666666702"/>
    <n v="12264"/>
  </r>
  <r>
    <x v="0"/>
    <x v="0"/>
    <x v="0"/>
    <x v="0"/>
    <x v="1"/>
    <x v="9"/>
    <x v="6"/>
    <x v="2"/>
    <x v="3"/>
    <s v="GNR_GEO_HEAT_HO"/>
    <x v="0"/>
    <x v="6"/>
    <n v="14"/>
    <n v="3406.6666666666702"/>
    <n v="12264"/>
  </r>
  <r>
    <x v="0"/>
    <x v="0"/>
    <x v="0"/>
    <x v="0"/>
    <x v="1"/>
    <x v="9"/>
    <x v="6"/>
    <x v="2"/>
    <x v="3"/>
    <s v="GNR_GEO_HEAT_HO"/>
    <x v="0"/>
    <x v="4"/>
    <n v="14"/>
    <n v="3406.6666666666702"/>
    <n v="12264"/>
  </r>
  <r>
    <x v="0"/>
    <x v="0"/>
    <x v="0"/>
    <x v="0"/>
    <x v="1"/>
    <x v="9"/>
    <x v="6"/>
    <x v="2"/>
    <x v="3"/>
    <s v="GNR_GEO_HEAT_HO"/>
    <x v="0"/>
    <x v="7"/>
    <n v="14"/>
    <n v="3406.6666666666702"/>
    <n v="12264"/>
  </r>
  <r>
    <x v="0"/>
    <x v="0"/>
    <x v="0"/>
    <x v="0"/>
    <x v="1"/>
    <x v="9"/>
    <x v="6"/>
    <x v="2"/>
    <x v="3"/>
    <s v="GNR_GEO_HEAT_HO"/>
    <x v="0"/>
    <x v="8"/>
    <n v="14"/>
    <n v="3406.6666666666702"/>
    <n v="12264"/>
  </r>
  <r>
    <x v="0"/>
    <x v="0"/>
    <x v="0"/>
    <x v="0"/>
    <x v="1"/>
    <x v="9"/>
    <x v="6"/>
    <x v="2"/>
    <x v="3"/>
    <s v="GNR_GEO_HEAT_HO"/>
    <x v="0"/>
    <x v="0"/>
    <n v="14"/>
    <n v="3406.6666666666702"/>
    <n v="12264"/>
  </r>
  <r>
    <x v="0"/>
    <x v="0"/>
    <x v="0"/>
    <x v="0"/>
    <x v="1"/>
    <x v="9"/>
    <x v="6"/>
    <x v="2"/>
    <x v="3"/>
    <s v="GNR_GEO_HEAT_HO"/>
    <x v="0"/>
    <x v="1"/>
    <n v="14"/>
    <n v="3406.6666666666702"/>
    <n v="12264"/>
  </r>
  <r>
    <x v="0"/>
    <x v="0"/>
    <x v="0"/>
    <x v="0"/>
    <x v="1"/>
    <x v="9"/>
    <x v="6"/>
    <x v="2"/>
    <x v="3"/>
    <s v="GNR_GEO_HEAT_HO"/>
    <x v="0"/>
    <x v="2"/>
    <n v="14"/>
    <n v="3406.6666666666702"/>
    <n v="12264"/>
  </r>
  <r>
    <x v="0"/>
    <x v="0"/>
    <x v="0"/>
    <x v="0"/>
    <x v="1"/>
    <x v="9"/>
    <x v="6"/>
    <x v="2"/>
    <x v="3"/>
    <s v="GNR_GEO_HEAT_HO"/>
    <x v="0"/>
    <x v="9"/>
    <n v="14"/>
    <n v="3406.6666666666702"/>
    <n v="12264"/>
  </r>
  <r>
    <x v="0"/>
    <x v="0"/>
    <x v="0"/>
    <x v="0"/>
    <x v="1"/>
    <x v="9"/>
    <x v="6"/>
    <x v="2"/>
    <x v="3"/>
    <s v="GNR_GEO_HEAT_HO"/>
    <x v="0"/>
    <x v="10"/>
    <n v="14"/>
    <n v="3406.6666666666702"/>
    <n v="12264"/>
  </r>
  <r>
    <x v="0"/>
    <x v="0"/>
    <x v="0"/>
    <x v="0"/>
    <x v="1"/>
    <x v="9"/>
    <x v="6"/>
    <x v="2"/>
    <x v="3"/>
    <s v="GNR_GEO_HEAT_HO"/>
    <x v="0"/>
    <x v="11"/>
    <n v="14"/>
    <n v="3406.6666666666702"/>
    <n v="12264"/>
  </r>
  <r>
    <x v="0"/>
    <x v="0"/>
    <x v="0"/>
    <x v="0"/>
    <x v="1"/>
    <x v="9"/>
    <x v="6"/>
    <x v="2"/>
    <x v="3"/>
    <s v="GNR_GEO_HEAT_HO"/>
    <x v="2"/>
    <x v="5"/>
    <n v="14"/>
    <n v="3406.6666666666702"/>
    <n v="12264"/>
  </r>
  <r>
    <x v="0"/>
    <x v="0"/>
    <x v="0"/>
    <x v="0"/>
    <x v="1"/>
    <x v="9"/>
    <x v="6"/>
    <x v="2"/>
    <x v="3"/>
    <s v="GNR_GEO_HEAT_HO"/>
    <x v="2"/>
    <x v="3"/>
    <n v="14"/>
    <n v="3406.6666666666702"/>
    <n v="12264"/>
  </r>
  <r>
    <x v="0"/>
    <x v="0"/>
    <x v="0"/>
    <x v="0"/>
    <x v="1"/>
    <x v="9"/>
    <x v="6"/>
    <x v="2"/>
    <x v="3"/>
    <s v="GNR_GEO_HEAT_HO"/>
    <x v="2"/>
    <x v="6"/>
    <n v="14"/>
    <n v="3406.6666666666702"/>
    <n v="12264"/>
  </r>
  <r>
    <x v="0"/>
    <x v="0"/>
    <x v="0"/>
    <x v="0"/>
    <x v="1"/>
    <x v="9"/>
    <x v="6"/>
    <x v="2"/>
    <x v="3"/>
    <s v="GNR_GEO_HEAT_HO"/>
    <x v="2"/>
    <x v="4"/>
    <n v="14"/>
    <n v="3406.6666666666702"/>
    <n v="12264"/>
  </r>
  <r>
    <x v="0"/>
    <x v="0"/>
    <x v="0"/>
    <x v="0"/>
    <x v="1"/>
    <x v="9"/>
    <x v="6"/>
    <x v="2"/>
    <x v="3"/>
    <s v="GNR_GEO_HEAT_HO"/>
    <x v="2"/>
    <x v="7"/>
    <n v="14"/>
    <n v="3406.6666666666702"/>
    <n v="12264"/>
  </r>
  <r>
    <x v="0"/>
    <x v="0"/>
    <x v="0"/>
    <x v="0"/>
    <x v="1"/>
    <x v="9"/>
    <x v="6"/>
    <x v="2"/>
    <x v="3"/>
    <s v="GNR_GEO_HEAT_HO"/>
    <x v="2"/>
    <x v="8"/>
    <n v="14"/>
    <n v="3406.6666666666702"/>
    <n v="12264"/>
  </r>
  <r>
    <x v="0"/>
    <x v="0"/>
    <x v="0"/>
    <x v="0"/>
    <x v="1"/>
    <x v="9"/>
    <x v="6"/>
    <x v="2"/>
    <x v="3"/>
    <s v="GNR_GEO_HEAT_HO"/>
    <x v="2"/>
    <x v="0"/>
    <n v="14"/>
    <n v="3406.6666666666702"/>
    <n v="12264"/>
  </r>
  <r>
    <x v="0"/>
    <x v="0"/>
    <x v="0"/>
    <x v="0"/>
    <x v="1"/>
    <x v="9"/>
    <x v="6"/>
    <x v="2"/>
    <x v="3"/>
    <s v="GNR_GEO_HEAT_HO"/>
    <x v="2"/>
    <x v="1"/>
    <n v="14"/>
    <n v="3406.6666666666702"/>
    <n v="12264"/>
  </r>
  <r>
    <x v="0"/>
    <x v="0"/>
    <x v="0"/>
    <x v="0"/>
    <x v="1"/>
    <x v="9"/>
    <x v="6"/>
    <x v="2"/>
    <x v="3"/>
    <s v="GNR_GEO_HEAT_HO"/>
    <x v="2"/>
    <x v="2"/>
    <n v="14"/>
    <n v="3406.6666666666702"/>
    <n v="12264"/>
  </r>
  <r>
    <x v="0"/>
    <x v="0"/>
    <x v="0"/>
    <x v="0"/>
    <x v="1"/>
    <x v="9"/>
    <x v="6"/>
    <x v="2"/>
    <x v="3"/>
    <s v="GNR_GEO_HEAT_HO"/>
    <x v="2"/>
    <x v="9"/>
    <n v="14"/>
    <n v="3406.6666666666702"/>
    <n v="12264"/>
  </r>
  <r>
    <x v="0"/>
    <x v="0"/>
    <x v="0"/>
    <x v="0"/>
    <x v="1"/>
    <x v="9"/>
    <x v="6"/>
    <x v="2"/>
    <x v="3"/>
    <s v="GNR_GEO_HEAT_HO"/>
    <x v="2"/>
    <x v="10"/>
    <n v="14"/>
    <n v="3406.6666666666702"/>
    <n v="12264"/>
  </r>
  <r>
    <x v="0"/>
    <x v="0"/>
    <x v="0"/>
    <x v="0"/>
    <x v="1"/>
    <x v="9"/>
    <x v="6"/>
    <x v="2"/>
    <x v="3"/>
    <s v="GNR_GEO_HEAT_HO"/>
    <x v="2"/>
    <x v="11"/>
    <n v="14"/>
    <n v="3406.6666666666702"/>
    <n v="12264"/>
  </r>
  <r>
    <x v="0"/>
    <x v="0"/>
    <x v="0"/>
    <x v="0"/>
    <x v="1"/>
    <x v="9"/>
    <x v="6"/>
    <x v="2"/>
    <x v="3"/>
    <s v="GNR_GEO_HEAT_HO"/>
    <x v="1"/>
    <x v="5"/>
    <n v="14"/>
    <n v="3406.6666666666702"/>
    <n v="12264"/>
  </r>
  <r>
    <x v="0"/>
    <x v="0"/>
    <x v="0"/>
    <x v="0"/>
    <x v="1"/>
    <x v="9"/>
    <x v="6"/>
    <x v="2"/>
    <x v="3"/>
    <s v="GNR_GEO_HEAT_HO"/>
    <x v="1"/>
    <x v="3"/>
    <n v="14"/>
    <n v="3406.6666666666702"/>
    <n v="12264"/>
  </r>
  <r>
    <x v="0"/>
    <x v="0"/>
    <x v="0"/>
    <x v="0"/>
    <x v="1"/>
    <x v="9"/>
    <x v="6"/>
    <x v="2"/>
    <x v="3"/>
    <s v="GNR_GEO_HEAT_HO"/>
    <x v="1"/>
    <x v="6"/>
    <n v="14"/>
    <n v="3406.6666666666702"/>
    <n v="12264"/>
  </r>
  <r>
    <x v="0"/>
    <x v="0"/>
    <x v="0"/>
    <x v="0"/>
    <x v="1"/>
    <x v="9"/>
    <x v="6"/>
    <x v="2"/>
    <x v="3"/>
    <s v="GNR_GEO_HEAT_HO"/>
    <x v="1"/>
    <x v="4"/>
    <n v="14"/>
    <n v="3406.6666666666702"/>
    <n v="12264"/>
  </r>
  <r>
    <x v="0"/>
    <x v="0"/>
    <x v="0"/>
    <x v="0"/>
    <x v="1"/>
    <x v="9"/>
    <x v="6"/>
    <x v="2"/>
    <x v="3"/>
    <s v="GNR_GEO_HEAT_HO"/>
    <x v="1"/>
    <x v="7"/>
    <n v="14"/>
    <n v="3406.6666666666702"/>
    <n v="12264"/>
  </r>
  <r>
    <x v="0"/>
    <x v="0"/>
    <x v="0"/>
    <x v="0"/>
    <x v="1"/>
    <x v="9"/>
    <x v="6"/>
    <x v="2"/>
    <x v="3"/>
    <s v="GNR_GEO_HEAT_HO"/>
    <x v="1"/>
    <x v="8"/>
    <n v="14"/>
    <n v="3406.6666666666702"/>
    <n v="12264"/>
  </r>
  <r>
    <x v="0"/>
    <x v="0"/>
    <x v="0"/>
    <x v="0"/>
    <x v="1"/>
    <x v="9"/>
    <x v="6"/>
    <x v="2"/>
    <x v="3"/>
    <s v="GNR_GEO_HEAT_HO"/>
    <x v="1"/>
    <x v="0"/>
    <n v="14"/>
    <n v="3406.6666666666702"/>
    <n v="12264"/>
  </r>
  <r>
    <x v="0"/>
    <x v="0"/>
    <x v="0"/>
    <x v="0"/>
    <x v="1"/>
    <x v="9"/>
    <x v="6"/>
    <x v="2"/>
    <x v="3"/>
    <s v="GNR_GEO_HEAT_HO"/>
    <x v="1"/>
    <x v="1"/>
    <n v="14"/>
    <n v="3406.6666666666702"/>
    <n v="12264"/>
  </r>
  <r>
    <x v="0"/>
    <x v="0"/>
    <x v="0"/>
    <x v="0"/>
    <x v="1"/>
    <x v="9"/>
    <x v="6"/>
    <x v="2"/>
    <x v="3"/>
    <s v="GNR_GEO_HEAT_HO"/>
    <x v="1"/>
    <x v="2"/>
    <n v="14"/>
    <n v="3406.6666666666702"/>
    <n v="12264"/>
  </r>
  <r>
    <x v="0"/>
    <x v="0"/>
    <x v="0"/>
    <x v="0"/>
    <x v="1"/>
    <x v="9"/>
    <x v="6"/>
    <x v="2"/>
    <x v="3"/>
    <s v="GNR_GEO_HEAT_HO"/>
    <x v="1"/>
    <x v="9"/>
    <n v="14"/>
    <n v="3406.6666666666702"/>
    <n v="12264"/>
  </r>
  <r>
    <x v="0"/>
    <x v="0"/>
    <x v="0"/>
    <x v="0"/>
    <x v="1"/>
    <x v="9"/>
    <x v="6"/>
    <x v="2"/>
    <x v="3"/>
    <s v="GNR_GEO_HEAT_HO"/>
    <x v="1"/>
    <x v="10"/>
    <n v="14"/>
    <n v="3406.6666666666702"/>
    <n v="12264"/>
  </r>
  <r>
    <x v="0"/>
    <x v="0"/>
    <x v="0"/>
    <x v="0"/>
    <x v="1"/>
    <x v="9"/>
    <x v="6"/>
    <x v="2"/>
    <x v="3"/>
    <s v="GNR_GEO_HEAT_HO"/>
    <x v="1"/>
    <x v="11"/>
    <n v="14"/>
    <n v="3406.6666666666702"/>
    <n v="12264"/>
  </r>
  <r>
    <x v="0"/>
    <x v="0"/>
    <x v="0"/>
    <x v="0"/>
    <x v="1"/>
    <x v="9"/>
    <x v="9"/>
    <x v="2"/>
    <x v="3"/>
    <s v="GNR_BO_WOODWST_E-90"/>
    <x v="0"/>
    <x v="5"/>
    <n v="6.66"/>
    <n v="1620.6"/>
    <n v="5834.16"/>
  </r>
  <r>
    <x v="0"/>
    <x v="0"/>
    <x v="0"/>
    <x v="0"/>
    <x v="1"/>
    <x v="10"/>
    <x v="8"/>
    <x v="4"/>
    <x v="5"/>
    <s v="GNR_BO_ELEC_E-99_LS-10-MW-FEED_PHH_Y-2030"/>
    <x v="0"/>
    <x v="5"/>
    <n v="25.0740278366615"/>
    <n v="6101.3467735876302"/>
    <n v="21964.848384915502"/>
  </r>
  <r>
    <x v="0"/>
    <x v="0"/>
    <x v="0"/>
    <x v="0"/>
    <x v="1"/>
    <x v="10"/>
    <x v="8"/>
    <x v="4"/>
    <x v="5"/>
    <s v="GNR_BO_ELEC_E-99_LS-10-MW-FEED_PHH_Y-2030"/>
    <x v="2"/>
    <x v="7"/>
    <n v="25.0740278366615"/>
    <n v="6101.3467735876302"/>
    <n v="21964.848384915502"/>
  </r>
  <r>
    <x v="0"/>
    <x v="0"/>
    <x v="0"/>
    <x v="0"/>
    <x v="1"/>
    <x v="10"/>
    <x v="8"/>
    <x v="4"/>
    <x v="5"/>
    <s v="GNR_BO_ELEC_E-99_LS-10-MW-FEED_PHH_Y-2030"/>
    <x v="2"/>
    <x v="8"/>
    <n v="25.0740278366615"/>
    <n v="6101.3467735876302"/>
    <n v="21964.848384915502"/>
  </r>
  <r>
    <x v="0"/>
    <x v="0"/>
    <x v="0"/>
    <x v="0"/>
    <x v="1"/>
    <x v="10"/>
    <x v="8"/>
    <x v="4"/>
    <x v="5"/>
    <s v="GNR_BO_ELEC_E-99_LS-10-MW-FEED_PHH_Y-2030"/>
    <x v="2"/>
    <x v="0"/>
    <n v="25.0740278366615"/>
    <n v="6101.3467735876302"/>
    <n v="21964.848384915502"/>
  </r>
  <r>
    <x v="0"/>
    <x v="0"/>
    <x v="0"/>
    <x v="0"/>
    <x v="1"/>
    <x v="10"/>
    <x v="8"/>
    <x v="4"/>
    <x v="5"/>
    <s v="GNR_BO_ELEC_E-99_LS-10-MW-FEED_PHH_Y-2030"/>
    <x v="1"/>
    <x v="5"/>
    <n v="9.6165893547174601"/>
    <n v="2340.03674298125"/>
    <n v="8424.1322747324903"/>
  </r>
  <r>
    <x v="0"/>
    <x v="0"/>
    <x v="0"/>
    <x v="0"/>
    <x v="1"/>
    <x v="10"/>
    <x v="3"/>
    <x v="2"/>
    <x v="3"/>
    <s v="GNR_BO_NGAS_E-70_PHH"/>
    <x v="0"/>
    <x v="5"/>
    <n v="45.643963494436299"/>
    <n v="11106.697783646199"/>
    <n v="39984.112021126202"/>
  </r>
  <r>
    <x v="0"/>
    <x v="0"/>
    <x v="0"/>
    <x v="0"/>
    <x v="1"/>
    <x v="10"/>
    <x v="3"/>
    <x v="2"/>
    <x v="3"/>
    <s v="GNR_BO_NGAS_E-70_PHH"/>
    <x v="0"/>
    <x v="3"/>
    <n v="59.174120118304501"/>
    <n v="14399.035895454101"/>
    <n v="51836.529223634701"/>
  </r>
  <r>
    <x v="0"/>
    <x v="0"/>
    <x v="0"/>
    <x v="0"/>
    <x v="1"/>
    <x v="10"/>
    <x v="3"/>
    <x v="2"/>
    <x v="3"/>
    <s v="GNR_BO_NGAS_E-70_PHH"/>
    <x v="0"/>
    <x v="6"/>
    <n v="70.4044430251992"/>
    <n v="17131.747802798502"/>
    <n v="61674.292090074501"/>
  </r>
  <r>
    <x v="0"/>
    <x v="0"/>
    <x v="0"/>
    <x v="0"/>
    <x v="1"/>
    <x v="10"/>
    <x v="3"/>
    <x v="2"/>
    <x v="3"/>
    <s v="GNR_BO_NGAS_E-70_PHH"/>
    <x v="0"/>
    <x v="4"/>
    <n v="60.317818528320799"/>
    <n v="14677.335841891399"/>
    <n v="52838.409030809002"/>
  </r>
  <r>
    <x v="0"/>
    <x v="0"/>
    <x v="0"/>
    <x v="0"/>
    <x v="1"/>
    <x v="10"/>
    <x v="3"/>
    <x v="2"/>
    <x v="3"/>
    <s v="GNR_BO_NGAS_E-70_PHH"/>
    <x v="0"/>
    <x v="7"/>
    <n v="58.210939051005298"/>
    <n v="14164.6618357446"/>
    <n v="50992.782608680704"/>
  </r>
  <r>
    <x v="0"/>
    <x v="0"/>
    <x v="0"/>
    <x v="0"/>
    <x v="1"/>
    <x v="10"/>
    <x v="3"/>
    <x v="2"/>
    <x v="3"/>
    <s v="GNR_BO_NGAS_E-70_PHH"/>
    <x v="0"/>
    <x v="8"/>
    <n v="76.5128280829462"/>
    <n v="18618.121500183599"/>
    <n v="67025.237400660902"/>
  </r>
  <r>
    <x v="0"/>
    <x v="0"/>
    <x v="0"/>
    <x v="0"/>
    <x v="1"/>
    <x v="10"/>
    <x v="3"/>
    <x v="2"/>
    <x v="3"/>
    <s v="GNR_BO_NGAS_E-70_PHH"/>
    <x v="0"/>
    <x v="0"/>
    <n v="57.330767987795802"/>
    <n v="13950.4868770303"/>
    <n v="50221.752757309099"/>
  </r>
  <r>
    <x v="0"/>
    <x v="0"/>
    <x v="0"/>
    <x v="0"/>
    <x v="1"/>
    <x v="10"/>
    <x v="3"/>
    <x v="2"/>
    <x v="3"/>
    <s v="GNR_BO_NGAS_E-70_PHH"/>
    <x v="0"/>
    <x v="1"/>
    <n v="72.660811330364893"/>
    <n v="17680.797423722099"/>
    <n v="63650.870725399698"/>
  </r>
  <r>
    <x v="0"/>
    <x v="0"/>
    <x v="0"/>
    <x v="0"/>
    <x v="1"/>
    <x v="10"/>
    <x v="3"/>
    <x v="2"/>
    <x v="3"/>
    <s v="GNR_BO_NGAS_E-70_PHH"/>
    <x v="0"/>
    <x v="2"/>
    <n v="63.783373629477097"/>
    <n v="15520.620916506099"/>
    <n v="55874.235299421904"/>
  </r>
  <r>
    <x v="0"/>
    <x v="0"/>
    <x v="0"/>
    <x v="0"/>
    <x v="1"/>
    <x v="10"/>
    <x v="3"/>
    <x v="2"/>
    <x v="3"/>
    <s v="GNR_BO_NGAS_E-70_PHH"/>
    <x v="0"/>
    <x v="9"/>
    <n v="50.002147279077498"/>
    <n v="12167.1891712422"/>
    <n v="43801.881016471903"/>
  </r>
  <r>
    <x v="0"/>
    <x v="0"/>
    <x v="0"/>
    <x v="0"/>
    <x v="1"/>
    <x v="10"/>
    <x v="3"/>
    <x v="2"/>
    <x v="3"/>
    <s v="GNR_BO_NGAS_E-70_PHH"/>
    <x v="0"/>
    <x v="10"/>
    <n v="51.393963639696501"/>
    <n v="12505.8644856595"/>
    <n v="45021.112148374101"/>
  </r>
  <r>
    <x v="0"/>
    <x v="0"/>
    <x v="0"/>
    <x v="0"/>
    <x v="1"/>
    <x v="10"/>
    <x v="3"/>
    <x v="2"/>
    <x v="3"/>
    <s v="GNR_BO_NGAS_E-70_PHH"/>
    <x v="0"/>
    <x v="11"/>
    <n v="50.282319307040801"/>
    <n v="12235.364364713299"/>
    <n v="44047.311712967698"/>
  </r>
  <r>
    <x v="0"/>
    <x v="0"/>
    <x v="0"/>
    <x v="0"/>
    <x v="1"/>
    <x v="10"/>
    <x v="3"/>
    <x v="2"/>
    <x v="3"/>
    <s v="GNR_BO_NGAS_E-70_PHH"/>
    <x v="2"/>
    <x v="5"/>
    <n v="45.740643578734598"/>
    <n v="11130.2232708254"/>
    <n v="40068.8037749715"/>
  </r>
  <r>
    <x v="0"/>
    <x v="0"/>
    <x v="0"/>
    <x v="0"/>
    <x v="1"/>
    <x v="10"/>
    <x v="3"/>
    <x v="2"/>
    <x v="3"/>
    <s v="GNR_BO_NGAS_E-70_PHH"/>
    <x v="2"/>
    <x v="3"/>
    <n v="35.0689292028297"/>
    <n v="8533.4394393552193"/>
    <n v="30720.381981678798"/>
  </r>
  <r>
    <x v="0"/>
    <x v="0"/>
    <x v="0"/>
    <x v="0"/>
    <x v="1"/>
    <x v="10"/>
    <x v="3"/>
    <x v="2"/>
    <x v="3"/>
    <s v="GNR_BO_NGAS_E-70_PHH"/>
    <x v="2"/>
    <x v="6"/>
    <n v="39.129079013789998"/>
    <n v="9521.4092266889093"/>
    <n v="34277.073216080098"/>
  </r>
  <r>
    <x v="0"/>
    <x v="0"/>
    <x v="0"/>
    <x v="0"/>
    <x v="1"/>
    <x v="10"/>
    <x v="3"/>
    <x v="2"/>
    <x v="3"/>
    <s v="GNR_BO_NGAS_E-70_PHH"/>
    <x v="2"/>
    <x v="4"/>
    <n v="34.962482896503701"/>
    <n v="8507.5375048158894"/>
    <n v="30627.135017337201"/>
  </r>
  <r>
    <x v="0"/>
    <x v="0"/>
    <x v="0"/>
    <x v="0"/>
    <x v="1"/>
    <x v="10"/>
    <x v="3"/>
    <x v="2"/>
    <x v="3"/>
    <s v="GNR_BO_NGAS_E-70_PHH"/>
    <x v="2"/>
    <x v="8"/>
    <n v="10.29795847281"/>
    <n v="2505.8365617170898"/>
    <n v="9021.0116221815297"/>
  </r>
  <r>
    <x v="0"/>
    <x v="0"/>
    <x v="0"/>
    <x v="0"/>
    <x v="1"/>
    <x v="10"/>
    <x v="3"/>
    <x v="2"/>
    <x v="3"/>
    <s v="GNR_BO_NGAS_E-70_PHH"/>
    <x v="2"/>
    <x v="1"/>
    <n v="26.970421719072998"/>
    <n v="6562.80261830777"/>
    <n v="23626.089425908001"/>
  </r>
  <r>
    <x v="0"/>
    <x v="0"/>
    <x v="0"/>
    <x v="0"/>
    <x v="1"/>
    <x v="10"/>
    <x v="3"/>
    <x v="2"/>
    <x v="3"/>
    <s v="GNR_BO_NGAS_E-70_PHH"/>
    <x v="2"/>
    <x v="2"/>
    <n v="24.688688893668299"/>
    <n v="6007.5809641259602"/>
    <n v="21627.291470853401"/>
  </r>
  <r>
    <x v="0"/>
    <x v="0"/>
    <x v="0"/>
    <x v="0"/>
    <x v="1"/>
    <x v="10"/>
    <x v="3"/>
    <x v="2"/>
    <x v="3"/>
    <s v="GNR_BO_NGAS_E-70_PHH"/>
    <x v="2"/>
    <x v="9"/>
    <n v="17.991261456458499"/>
    <n v="4377.8736210715597"/>
    <n v="15760.345035857599"/>
  </r>
  <r>
    <x v="0"/>
    <x v="0"/>
    <x v="0"/>
    <x v="0"/>
    <x v="1"/>
    <x v="10"/>
    <x v="3"/>
    <x v="2"/>
    <x v="3"/>
    <s v="GNR_BO_NGAS_E-70_PHH"/>
    <x v="2"/>
    <x v="10"/>
    <n v="21.009272580385201"/>
    <n v="5112.2563278937296"/>
    <n v="18404.122780417401"/>
  </r>
  <r>
    <x v="0"/>
    <x v="0"/>
    <x v="0"/>
    <x v="0"/>
    <x v="1"/>
    <x v="10"/>
    <x v="3"/>
    <x v="2"/>
    <x v="3"/>
    <s v="GNR_BO_NGAS_E-70_PHH"/>
    <x v="2"/>
    <x v="11"/>
    <n v="10.732533775584701"/>
    <n v="2611.5832187256001"/>
    <n v="9401.6995874121603"/>
  </r>
  <r>
    <x v="0"/>
    <x v="0"/>
    <x v="0"/>
    <x v="0"/>
    <x v="1"/>
    <x v="10"/>
    <x v="3"/>
    <x v="2"/>
    <x v="3"/>
    <s v="GNR_BO_NGAS_E-70_PHH"/>
    <x v="1"/>
    <x v="5"/>
    <n v="4.5811569844741502"/>
    <n v="1114.7481995553801"/>
    <n v="4013.0935183993502"/>
  </r>
  <r>
    <x v="0"/>
    <x v="0"/>
    <x v="0"/>
    <x v="0"/>
    <x v="1"/>
    <x v="10"/>
    <x v="3"/>
    <x v="2"/>
    <x v="3"/>
    <s v="GNR_BO_NGAS_E-70_PHH"/>
    <x v="1"/>
    <x v="3"/>
    <n v="12.888004896903899"/>
    <n v="3136.08119157996"/>
    <n v="11289.892289687799"/>
  </r>
  <r>
    <x v="0"/>
    <x v="0"/>
    <x v="0"/>
    <x v="0"/>
    <x v="1"/>
    <x v="10"/>
    <x v="3"/>
    <x v="2"/>
    <x v="3"/>
    <s v="GNR_BO_NGAS_E-70_PHH"/>
    <x v="1"/>
    <x v="6"/>
    <n v="13.047814154859999"/>
    <n v="3174.9681110159199"/>
    <n v="11429.885199657299"/>
  </r>
  <r>
    <x v="0"/>
    <x v="0"/>
    <x v="0"/>
    <x v="0"/>
    <x v="1"/>
    <x v="10"/>
    <x v="3"/>
    <x v="2"/>
    <x v="3"/>
    <s v="GNR_BO_NGAS_E-70_PHH"/>
    <x v="1"/>
    <x v="4"/>
    <n v="10.5740882266948"/>
    <n v="2573.0281351623998"/>
    <n v="9262.9012865846398"/>
  </r>
  <r>
    <x v="0"/>
    <x v="0"/>
    <x v="0"/>
    <x v="0"/>
    <x v="1"/>
    <x v="10"/>
    <x v="3"/>
    <x v="2"/>
    <x v="3"/>
    <s v="GNR_BO_NGAS_E-70_PHH"/>
    <x v="1"/>
    <x v="7"/>
    <n v="8.9595534333179803"/>
    <n v="2180.1580021073801"/>
    <n v="7848.5688075865501"/>
  </r>
  <r>
    <x v="0"/>
    <x v="0"/>
    <x v="0"/>
    <x v="0"/>
    <x v="1"/>
    <x v="10"/>
    <x v="3"/>
    <x v="2"/>
    <x v="3"/>
    <s v="GNR_BO_NGAS_E-70_PHH"/>
    <x v="1"/>
    <x v="8"/>
    <n v="12.7215908312905"/>
    <n v="3095.58710228068"/>
    <n v="11144.1135682105"/>
  </r>
  <r>
    <x v="0"/>
    <x v="0"/>
    <x v="0"/>
    <x v="0"/>
    <x v="1"/>
    <x v="10"/>
    <x v="3"/>
    <x v="2"/>
    <x v="3"/>
    <s v="GNR_BO_NGAS_E-70_PHH"/>
    <x v="1"/>
    <x v="0"/>
    <n v="10.043353312507101"/>
    <n v="2443.8826393767299"/>
    <n v="8797.9775017562206"/>
  </r>
  <r>
    <x v="0"/>
    <x v="0"/>
    <x v="0"/>
    <x v="0"/>
    <x v="1"/>
    <x v="10"/>
    <x v="3"/>
    <x v="2"/>
    <x v="3"/>
    <s v="GNR_BO_NGAS_E-70_PHH"/>
    <x v="1"/>
    <x v="1"/>
    <n v="14.590233627216699"/>
    <n v="3550.2901826227198"/>
    <n v="12781.0446574418"/>
  </r>
  <r>
    <x v="0"/>
    <x v="0"/>
    <x v="0"/>
    <x v="0"/>
    <x v="1"/>
    <x v="10"/>
    <x v="3"/>
    <x v="2"/>
    <x v="3"/>
    <s v="GNR_BO_NGAS_E-70_PHH"/>
    <x v="1"/>
    <x v="2"/>
    <n v="11.905041648539999"/>
    <n v="2896.8934678114101"/>
    <n v="10428.8164841211"/>
  </r>
  <r>
    <x v="0"/>
    <x v="0"/>
    <x v="0"/>
    <x v="0"/>
    <x v="1"/>
    <x v="10"/>
    <x v="3"/>
    <x v="2"/>
    <x v="3"/>
    <s v="GNR_BO_NGAS_E-70_PHH"/>
    <x v="1"/>
    <x v="9"/>
    <n v="8.8302889586781692"/>
    <n v="2148.7036466116901"/>
    <n v="7735.3331278020796"/>
  </r>
  <r>
    <x v="0"/>
    <x v="0"/>
    <x v="0"/>
    <x v="0"/>
    <x v="1"/>
    <x v="10"/>
    <x v="3"/>
    <x v="2"/>
    <x v="3"/>
    <s v="GNR_BO_NGAS_E-70_PHH"/>
    <x v="1"/>
    <x v="10"/>
    <n v="11.975574200598899"/>
    <n v="2914.0563888124002"/>
    <n v="10490.602999724701"/>
  </r>
  <r>
    <x v="0"/>
    <x v="0"/>
    <x v="0"/>
    <x v="0"/>
    <x v="1"/>
    <x v="10"/>
    <x v="3"/>
    <x v="2"/>
    <x v="3"/>
    <s v="GNR_BO_NGAS_E-70_PHH"/>
    <x v="1"/>
    <x v="11"/>
    <n v="13.8539772215513"/>
    <n v="3371.1344572441499"/>
    <n v="12136.0840460789"/>
  </r>
  <r>
    <x v="0"/>
    <x v="0"/>
    <x v="0"/>
    <x v="0"/>
    <x v="1"/>
    <x v="11"/>
    <x v="3"/>
    <x v="2"/>
    <x v="3"/>
    <s v="GNR_BO_NGAS_E-82_PHL"/>
    <x v="0"/>
    <x v="5"/>
    <n v="390.93663517190703"/>
    <n v="95127.914558497403"/>
    <n v="342460.49241059099"/>
  </r>
  <r>
    <x v="0"/>
    <x v="0"/>
    <x v="0"/>
    <x v="0"/>
    <x v="1"/>
    <x v="11"/>
    <x v="3"/>
    <x v="2"/>
    <x v="3"/>
    <s v="GNR_BO_NGAS_E-82_PHL"/>
    <x v="0"/>
    <x v="3"/>
    <n v="327.12087791067501"/>
    <n v="79599.413624930996"/>
    <n v="286557.88904975198"/>
  </r>
  <r>
    <x v="0"/>
    <x v="0"/>
    <x v="0"/>
    <x v="0"/>
    <x v="1"/>
    <x v="11"/>
    <x v="3"/>
    <x v="2"/>
    <x v="3"/>
    <s v="GNR_BO_NGAS_E-82_PHL"/>
    <x v="0"/>
    <x v="6"/>
    <n v="389.20330653283497"/>
    <n v="94706.137922989903"/>
    <n v="340942.09652276401"/>
  </r>
  <r>
    <x v="0"/>
    <x v="0"/>
    <x v="0"/>
    <x v="0"/>
    <x v="1"/>
    <x v="11"/>
    <x v="3"/>
    <x v="2"/>
    <x v="3"/>
    <s v="GNR_BO_NGAS_E-82_PHL"/>
    <x v="0"/>
    <x v="4"/>
    <n v="333.44336529538998"/>
    <n v="81137.8855552116"/>
    <n v="292096.38799876202"/>
  </r>
  <r>
    <x v="0"/>
    <x v="0"/>
    <x v="0"/>
    <x v="0"/>
    <x v="1"/>
    <x v="11"/>
    <x v="3"/>
    <x v="2"/>
    <x v="3"/>
    <s v="GNR_BO_NGAS_E-82_PHL"/>
    <x v="0"/>
    <x v="7"/>
    <n v="321.79630974317399"/>
    <n v="78303.768704172195"/>
    <n v="281893.56733501999"/>
  </r>
  <r>
    <x v="0"/>
    <x v="0"/>
    <x v="0"/>
    <x v="0"/>
    <x v="1"/>
    <x v="11"/>
    <x v="3"/>
    <x v="2"/>
    <x v="3"/>
    <s v="GNR_BO_NGAS_E-82_PHL"/>
    <x v="0"/>
    <x v="8"/>
    <n v="422.97111378897699"/>
    <n v="102922.97102198401"/>
    <n v="370522.69567914301"/>
  </r>
  <r>
    <x v="0"/>
    <x v="0"/>
    <x v="0"/>
    <x v="0"/>
    <x v="1"/>
    <x v="11"/>
    <x v="3"/>
    <x v="2"/>
    <x v="3"/>
    <s v="GNR_BO_NGAS_E-82_PHL"/>
    <x v="0"/>
    <x v="0"/>
    <n v="316.93062977475103"/>
    <n v="77119.786578522704"/>
    <n v="277631.231682682"/>
  </r>
  <r>
    <x v="0"/>
    <x v="0"/>
    <x v="0"/>
    <x v="0"/>
    <x v="1"/>
    <x v="11"/>
    <x v="3"/>
    <x v="2"/>
    <x v="3"/>
    <s v="GNR_BO_NGAS_E-82_PHL"/>
    <x v="0"/>
    <x v="1"/>
    <n v="401.67675234664699"/>
    <n v="97741.3430710174"/>
    <n v="351868.83505566302"/>
  </r>
  <r>
    <x v="0"/>
    <x v="0"/>
    <x v="0"/>
    <x v="0"/>
    <x v="1"/>
    <x v="11"/>
    <x v="3"/>
    <x v="2"/>
    <x v="3"/>
    <s v="GNR_BO_NGAS_E-82_PHL"/>
    <x v="0"/>
    <x v="2"/>
    <n v="352.60132531020099"/>
    <n v="85799.655825482099"/>
    <n v="308878.76097173599"/>
  </r>
  <r>
    <x v="0"/>
    <x v="0"/>
    <x v="0"/>
    <x v="0"/>
    <x v="1"/>
    <x v="11"/>
    <x v="3"/>
    <x v="2"/>
    <x v="3"/>
    <s v="GNR_BO_NGAS_E-82_PHL"/>
    <x v="0"/>
    <x v="9"/>
    <n v="276.41722906313299"/>
    <n v="67261.525738695695"/>
    <n v="242141.492659304"/>
  </r>
  <r>
    <x v="0"/>
    <x v="0"/>
    <x v="0"/>
    <x v="0"/>
    <x v="1"/>
    <x v="11"/>
    <x v="3"/>
    <x v="2"/>
    <x v="3"/>
    <s v="GNR_BO_NGAS_E-82_PHL"/>
    <x v="0"/>
    <x v="10"/>
    <n v="284.11133907044501"/>
    <n v="69133.759173808197"/>
    <n v="248881.53302571"/>
  </r>
  <r>
    <x v="0"/>
    <x v="0"/>
    <x v="0"/>
    <x v="0"/>
    <x v="1"/>
    <x v="11"/>
    <x v="3"/>
    <x v="2"/>
    <x v="3"/>
    <s v="GNR_BO_NGAS_E-82_PHL"/>
    <x v="0"/>
    <x v="11"/>
    <n v="277.96605006072701"/>
    <n v="67638.405514776794"/>
    <n v="243498.25985319601"/>
  </r>
  <r>
    <x v="0"/>
    <x v="0"/>
    <x v="0"/>
    <x v="0"/>
    <x v="1"/>
    <x v="11"/>
    <x v="3"/>
    <x v="2"/>
    <x v="3"/>
    <s v="GNR_BO_NGAS_E-82_PHL"/>
    <x v="2"/>
    <x v="5"/>
    <n v="252.85917988743299"/>
    <n v="61529.0671059421"/>
    <n v="221504.641581392"/>
  </r>
  <r>
    <x v="0"/>
    <x v="0"/>
    <x v="0"/>
    <x v="0"/>
    <x v="1"/>
    <x v="11"/>
    <x v="3"/>
    <x v="2"/>
    <x v="3"/>
    <s v="GNR_BO_NGAS_E-82_PHL"/>
    <x v="2"/>
    <x v="3"/>
    <n v="193.864799092608"/>
    <n v="47173.767779201298"/>
    <n v="169825.56400512499"/>
  </r>
  <r>
    <x v="0"/>
    <x v="0"/>
    <x v="0"/>
    <x v="0"/>
    <x v="1"/>
    <x v="11"/>
    <x v="3"/>
    <x v="2"/>
    <x v="3"/>
    <s v="GNR_BO_NGAS_E-82_PHL"/>
    <x v="2"/>
    <x v="6"/>
    <n v="216.309742388003"/>
    <n v="52635.370647747397"/>
    <n v="189487.334331891"/>
  </r>
  <r>
    <x v="0"/>
    <x v="0"/>
    <x v="0"/>
    <x v="0"/>
    <x v="1"/>
    <x v="11"/>
    <x v="3"/>
    <x v="2"/>
    <x v="3"/>
    <s v="GNR_BO_NGAS_E-82_PHL"/>
    <x v="2"/>
    <x v="4"/>
    <n v="193.276352503016"/>
    <n v="47030.579109067301"/>
    <n v="169310.08479264201"/>
  </r>
  <r>
    <x v="0"/>
    <x v="0"/>
    <x v="0"/>
    <x v="0"/>
    <x v="1"/>
    <x v="11"/>
    <x v="3"/>
    <x v="2"/>
    <x v="3"/>
    <s v="GNR_BO_NGAS_E-82_PHL"/>
    <x v="2"/>
    <x v="7"/>
    <n v="138.611913152017"/>
    <n v="33728.898866990698"/>
    <n v="121424.035921166"/>
  </r>
  <r>
    <x v="0"/>
    <x v="0"/>
    <x v="0"/>
    <x v="0"/>
    <x v="1"/>
    <x v="11"/>
    <x v="3"/>
    <x v="2"/>
    <x v="3"/>
    <s v="GNR_BO_NGAS_E-82_PHL"/>
    <x v="2"/>
    <x v="8"/>
    <n v="195.54013125781"/>
    <n v="47581.4319394005"/>
    <n v="171293.154981842"/>
  </r>
  <r>
    <x v="0"/>
    <x v="0"/>
    <x v="0"/>
    <x v="0"/>
    <x v="1"/>
    <x v="11"/>
    <x v="3"/>
    <x v="2"/>
    <x v="3"/>
    <s v="GNR_BO_NGAS_E-82_PHL"/>
    <x v="2"/>
    <x v="0"/>
    <n v="97.921941549997001"/>
    <n v="23827.672443832598"/>
    <n v="85779.620797797295"/>
  </r>
  <r>
    <x v="0"/>
    <x v="0"/>
    <x v="0"/>
    <x v="0"/>
    <x v="1"/>
    <x v="11"/>
    <x v="3"/>
    <x v="2"/>
    <x v="3"/>
    <s v="GNR_BO_NGAS_E-82_PHL"/>
    <x v="2"/>
    <x v="1"/>
    <n v="149.09538177712901"/>
    <n v="36279.876232434799"/>
    <n v="130607.554436765"/>
  </r>
  <r>
    <x v="0"/>
    <x v="0"/>
    <x v="0"/>
    <x v="0"/>
    <x v="1"/>
    <x v="11"/>
    <x v="3"/>
    <x v="2"/>
    <x v="3"/>
    <s v="GNR_BO_NGAS_E-82_PHL"/>
    <x v="2"/>
    <x v="2"/>
    <n v="136.481718177033"/>
    <n v="33210.551423078003"/>
    <n v="119557.985123081"/>
  </r>
  <r>
    <x v="0"/>
    <x v="0"/>
    <x v="0"/>
    <x v="0"/>
    <x v="1"/>
    <x v="11"/>
    <x v="3"/>
    <x v="2"/>
    <x v="3"/>
    <s v="GNR_BO_NGAS_E-82_PHL"/>
    <x v="2"/>
    <x v="9"/>
    <n v="99.457621517496307"/>
    <n v="24201.354569257401"/>
    <n v="87124.876449326795"/>
  </r>
  <r>
    <x v="0"/>
    <x v="0"/>
    <x v="0"/>
    <x v="0"/>
    <x v="1"/>
    <x v="11"/>
    <x v="3"/>
    <x v="2"/>
    <x v="3"/>
    <s v="GNR_BO_NGAS_E-82_PHL"/>
    <x v="2"/>
    <x v="10"/>
    <n v="116.14151046133399"/>
    <n v="28261.100878924601"/>
    <n v="101739.963164128"/>
  </r>
  <r>
    <x v="0"/>
    <x v="0"/>
    <x v="0"/>
    <x v="0"/>
    <x v="1"/>
    <x v="11"/>
    <x v="3"/>
    <x v="2"/>
    <x v="3"/>
    <s v="GNR_BO_NGAS_E-82_PHL"/>
    <x v="2"/>
    <x v="11"/>
    <n v="59.330596954481997"/>
    <n v="14437.1119255906"/>
    <n v="51973.602932126298"/>
  </r>
  <r>
    <x v="0"/>
    <x v="0"/>
    <x v="0"/>
    <x v="0"/>
    <x v="1"/>
    <x v="11"/>
    <x v="3"/>
    <x v="2"/>
    <x v="3"/>
    <s v="GNR_BO_NGAS_E-82_PHL"/>
    <x v="1"/>
    <x v="5"/>
    <n v="78.486663385008697"/>
    <n v="19098.421423685399"/>
    <n v="68754.317125267597"/>
  </r>
  <r>
    <x v="0"/>
    <x v="0"/>
    <x v="0"/>
    <x v="0"/>
    <x v="1"/>
    <x v="11"/>
    <x v="3"/>
    <x v="2"/>
    <x v="3"/>
    <s v="GNR_BO_NGAS_E-82_PHL"/>
    <x v="1"/>
    <x v="3"/>
    <n v="71.2462723224873"/>
    <n v="17336.5929318052"/>
    <n v="62411.7345544989"/>
  </r>
  <r>
    <x v="0"/>
    <x v="0"/>
    <x v="0"/>
    <x v="0"/>
    <x v="1"/>
    <x v="11"/>
    <x v="3"/>
    <x v="2"/>
    <x v="3"/>
    <s v="GNR_BO_NGAS_E-82_PHL"/>
    <x v="1"/>
    <x v="6"/>
    <n v="72.129715027783305"/>
    <n v="17551.563990093899"/>
    <n v="63185.630364338198"/>
  </r>
  <r>
    <x v="0"/>
    <x v="0"/>
    <x v="0"/>
    <x v="0"/>
    <x v="1"/>
    <x v="11"/>
    <x v="3"/>
    <x v="2"/>
    <x v="3"/>
    <s v="GNR_BO_NGAS_E-82_PHL"/>
    <x v="1"/>
    <x v="4"/>
    <n v="58.454692979057199"/>
    <n v="14223.975291570599"/>
    <n v="51206.311049654098"/>
  </r>
  <r>
    <x v="0"/>
    <x v="0"/>
    <x v="0"/>
    <x v="0"/>
    <x v="1"/>
    <x v="11"/>
    <x v="3"/>
    <x v="2"/>
    <x v="3"/>
    <s v="GNR_BO_NGAS_E-82_PHL"/>
    <x v="1"/>
    <x v="7"/>
    <n v="49.529371605949301"/>
    <n v="12052.147090781"/>
    <n v="43387.729526811599"/>
  </r>
  <r>
    <x v="0"/>
    <x v="0"/>
    <x v="0"/>
    <x v="0"/>
    <x v="1"/>
    <x v="11"/>
    <x v="3"/>
    <x v="2"/>
    <x v="3"/>
    <s v="GNR_BO_NGAS_E-82_PHL"/>
    <x v="1"/>
    <x v="8"/>
    <n v="70.326317532600797"/>
    <n v="17112.737266266198"/>
    <n v="61605.854158558301"/>
  </r>
  <r>
    <x v="0"/>
    <x v="0"/>
    <x v="0"/>
    <x v="0"/>
    <x v="1"/>
    <x v="11"/>
    <x v="3"/>
    <x v="2"/>
    <x v="3"/>
    <s v="GNR_BO_NGAS_E-82_PHL"/>
    <x v="1"/>
    <x v="0"/>
    <n v="55.520733492717099"/>
    <n v="13510.0451498945"/>
    <n v="48636.1625396202"/>
  </r>
  <r>
    <x v="0"/>
    <x v="0"/>
    <x v="0"/>
    <x v="0"/>
    <x v="1"/>
    <x v="11"/>
    <x v="3"/>
    <x v="2"/>
    <x v="3"/>
    <s v="GNR_BO_NGAS_E-82_PHL"/>
    <x v="1"/>
    <x v="1"/>
    <n v="80.656375177441802"/>
    <n v="19626.3846265108"/>
    <n v="70654.984655438995"/>
  </r>
  <r>
    <x v="0"/>
    <x v="0"/>
    <x v="0"/>
    <x v="0"/>
    <x v="1"/>
    <x v="11"/>
    <x v="3"/>
    <x v="2"/>
    <x v="3"/>
    <s v="GNR_BO_NGAS_E-82_PHL"/>
    <x v="1"/>
    <x v="2"/>
    <n v="65.812346137934597"/>
    <n v="16014.337560230701"/>
    <n v="57651.615216830702"/>
  </r>
  <r>
    <x v="0"/>
    <x v="0"/>
    <x v="0"/>
    <x v="0"/>
    <x v="1"/>
    <x v="11"/>
    <x v="3"/>
    <x v="2"/>
    <x v="3"/>
    <s v="GNR_BO_NGAS_E-82_PHL"/>
    <x v="1"/>
    <x v="9"/>
    <n v="48.814783736416203"/>
    <n v="11878.264042527901"/>
    <n v="42761.750553100603"/>
  </r>
  <r>
    <x v="0"/>
    <x v="0"/>
    <x v="0"/>
    <x v="0"/>
    <x v="1"/>
    <x v="11"/>
    <x v="3"/>
    <x v="2"/>
    <x v="3"/>
    <s v="GNR_BO_NGAS_E-82_PHL"/>
    <x v="1"/>
    <x v="10"/>
    <n v="66.202257644935401"/>
    <n v="16109.2160269343"/>
    <n v="57993.177696963503"/>
  </r>
  <r>
    <x v="0"/>
    <x v="0"/>
    <x v="0"/>
    <x v="0"/>
    <x v="1"/>
    <x v="11"/>
    <x v="3"/>
    <x v="2"/>
    <x v="3"/>
    <s v="GNR_BO_NGAS_E-82_PHL"/>
    <x v="1"/>
    <x v="11"/>
    <n v="76.5862708597585"/>
    <n v="18635.992575874599"/>
    <n v="67089.573273148504"/>
  </r>
  <r>
    <x v="0"/>
    <x v="0"/>
    <x v="0"/>
    <x v="0"/>
    <x v="1"/>
    <x v="12"/>
    <x v="0"/>
    <x v="0"/>
    <x v="0"/>
    <s v="GNR_ENG_BGAS_BP_E-38"/>
    <x v="0"/>
    <x v="0"/>
    <n v="0.30487804878048802"/>
    <n v="74.1869918699187"/>
    <n v="267.07317073170702"/>
  </r>
  <r>
    <x v="0"/>
    <x v="0"/>
    <x v="0"/>
    <x v="0"/>
    <x v="1"/>
    <x v="12"/>
    <x v="0"/>
    <x v="0"/>
    <x v="0"/>
    <s v="GNR_ENG_BGAS_BP_E-38"/>
    <x v="0"/>
    <x v="1"/>
    <n v="0.30487804878048802"/>
    <n v="74.1869918699187"/>
    <n v="267.07317073170702"/>
  </r>
  <r>
    <x v="0"/>
    <x v="0"/>
    <x v="0"/>
    <x v="0"/>
    <x v="1"/>
    <x v="12"/>
    <x v="0"/>
    <x v="0"/>
    <x v="0"/>
    <s v="GNR_ENG_BGAS_BP_E-38"/>
    <x v="0"/>
    <x v="2"/>
    <n v="0.30487804878048802"/>
    <n v="74.1869918699187"/>
    <n v="267.07317073170702"/>
  </r>
  <r>
    <x v="0"/>
    <x v="0"/>
    <x v="0"/>
    <x v="0"/>
    <x v="1"/>
    <x v="12"/>
    <x v="1"/>
    <x v="1"/>
    <x v="1"/>
    <s v="GNR_HS_HEAT_PIT_L-DEC_E-91_Y-2030"/>
    <x v="0"/>
    <x v="5"/>
    <n v="82.509052665424605"/>
    <n v="20077.202815253298"/>
    <n v="72277.930134911905"/>
  </r>
  <r>
    <x v="0"/>
    <x v="0"/>
    <x v="0"/>
    <x v="0"/>
    <x v="1"/>
    <x v="12"/>
    <x v="1"/>
    <x v="1"/>
    <x v="1"/>
    <s v="GNR_HS_HEAT_PIT_L-DEC_E-91_Y-2030"/>
    <x v="0"/>
    <x v="3"/>
    <n v="82.509052665424605"/>
    <n v="20077.202815253298"/>
    <n v="72277.930134911905"/>
  </r>
  <r>
    <x v="0"/>
    <x v="0"/>
    <x v="0"/>
    <x v="0"/>
    <x v="1"/>
    <x v="12"/>
    <x v="1"/>
    <x v="1"/>
    <x v="1"/>
    <s v="GNR_HS_HEAT_PIT_L-DEC_E-91_Y-2030"/>
    <x v="0"/>
    <x v="6"/>
    <n v="82.509052665424605"/>
    <n v="20077.202815253298"/>
    <n v="72277.930134911905"/>
  </r>
  <r>
    <x v="0"/>
    <x v="0"/>
    <x v="0"/>
    <x v="0"/>
    <x v="1"/>
    <x v="12"/>
    <x v="1"/>
    <x v="1"/>
    <x v="1"/>
    <s v="GNR_HS_HEAT_PIT_L-DEC_E-91_Y-2030"/>
    <x v="0"/>
    <x v="4"/>
    <n v="82.509052665424605"/>
    <n v="20077.202815253298"/>
    <n v="72277.930134911905"/>
  </r>
  <r>
    <x v="0"/>
    <x v="0"/>
    <x v="0"/>
    <x v="0"/>
    <x v="1"/>
    <x v="12"/>
    <x v="1"/>
    <x v="1"/>
    <x v="1"/>
    <s v="GNR_HS_HEAT_PIT_L-DEC_E-91_Y-2030"/>
    <x v="0"/>
    <x v="7"/>
    <n v="82.509052665424605"/>
    <n v="20077.202815253298"/>
    <n v="72277.930134911905"/>
  </r>
  <r>
    <x v="0"/>
    <x v="0"/>
    <x v="0"/>
    <x v="0"/>
    <x v="1"/>
    <x v="12"/>
    <x v="1"/>
    <x v="1"/>
    <x v="1"/>
    <s v="GNR_HS_HEAT_PIT_L-DEC_E-91_Y-2030"/>
    <x v="2"/>
    <x v="5"/>
    <n v="53.702962275658699"/>
    <n v="13067.720820410301"/>
    <n v="47043.794953477001"/>
  </r>
  <r>
    <x v="0"/>
    <x v="0"/>
    <x v="0"/>
    <x v="0"/>
    <x v="1"/>
    <x v="12"/>
    <x v="1"/>
    <x v="1"/>
    <x v="1"/>
    <s v="GNR_HS_HEAT_PIT_L-DEC_E-91_Y-2030"/>
    <x v="2"/>
    <x v="6"/>
    <n v="82.509052665424605"/>
    <n v="20077.202815253298"/>
    <n v="72277.930134911905"/>
  </r>
  <r>
    <x v="0"/>
    <x v="0"/>
    <x v="0"/>
    <x v="0"/>
    <x v="1"/>
    <x v="12"/>
    <x v="1"/>
    <x v="1"/>
    <x v="1"/>
    <s v="GNR_HS_HEAT_PIT_L-DEC_E-91_Y-2030"/>
    <x v="2"/>
    <x v="7"/>
    <n v="72.639409183852294"/>
    <n v="17675.5895680707"/>
    <n v="63632.1224450546"/>
  </r>
  <r>
    <x v="0"/>
    <x v="0"/>
    <x v="0"/>
    <x v="0"/>
    <x v="1"/>
    <x v="12"/>
    <x v="1"/>
    <x v="1"/>
    <x v="1"/>
    <s v="GNR_HS_HEAT_PIT_L-DEC_E-91_Y-2030"/>
    <x v="2"/>
    <x v="8"/>
    <n v="0.92160648181123195"/>
    <n v="224.25757724073301"/>
    <n v="807.327278066639"/>
  </r>
  <r>
    <x v="0"/>
    <x v="0"/>
    <x v="0"/>
    <x v="0"/>
    <x v="1"/>
    <x v="12"/>
    <x v="1"/>
    <x v="1"/>
    <x v="1"/>
    <s v="GNR_HS_HEAT_PIT_L-DEC_E-91_Y-2030"/>
    <x v="2"/>
    <x v="9"/>
    <n v="25.896120207715501"/>
    <n v="6301.3892505440899"/>
    <n v="22685.001301958699"/>
  </r>
  <r>
    <x v="0"/>
    <x v="0"/>
    <x v="0"/>
    <x v="0"/>
    <x v="1"/>
    <x v="12"/>
    <x v="1"/>
    <x v="1"/>
    <x v="1"/>
    <s v="GNR_HS_HEAT_PIT_L-DEC_E-91_Y-2030"/>
    <x v="2"/>
    <x v="11"/>
    <n v="33.100391867819297"/>
    <n v="8054.4286878360299"/>
    <n v="28995.943276209699"/>
  </r>
  <r>
    <x v="0"/>
    <x v="0"/>
    <x v="0"/>
    <x v="0"/>
    <x v="1"/>
    <x v="12"/>
    <x v="1"/>
    <x v="1"/>
    <x v="2"/>
    <s v="GNR_HS_HEAT_WTR-TANK_LS_E-95_Y-2010"/>
    <x v="0"/>
    <x v="5"/>
    <n v="50.721106628646901"/>
    <n v="12342.135946304101"/>
    <n v="44431.689406694699"/>
  </r>
  <r>
    <x v="0"/>
    <x v="0"/>
    <x v="0"/>
    <x v="0"/>
    <x v="1"/>
    <x v="12"/>
    <x v="1"/>
    <x v="1"/>
    <x v="2"/>
    <s v="GNR_HS_HEAT_WTR-TANK_LS_E-95_Y-2010"/>
    <x v="0"/>
    <x v="3"/>
    <n v="33.708169369708799"/>
    <n v="8202.3212132958106"/>
    <n v="29528.356367864901"/>
  </r>
  <r>
    <x v="0"/>
    <x v="0"/>
    <x v="0"/>
    <x v="0"/>
    <x v="1"/>
    <x v="12"/>
    <x v="1"/>
    <x v="1"/>
    <x v="2"/>
    <s v="GNR_HS_HEAT_WTR-TANK_LS_E-95_Y-2010"/>
    <x v="0"/>
    <x v="6"/>
    <n v="50.721106628646901"/>
    <n v="12342.135946304101"/>
    <n v="44431.689406694699"/>
  </r>
  <r>
    <x v="0"/>
    <x v="0"/>
    <x v="0"/>
    <x v="0"/>
    <x v="1"/>
    <x v="12"/>
    <x v="1"/>
    <x v="1"/>
    <x v="2"/>
    <s v="GNR_HS_HEAT_WTR-TANK_LS_E-95_Y-2010"/>
    <x v="0"/>
    <x v="4"/>
    <n v="31.444623095563099"/>
    <n v="7651.52495325368"/>
    <n v="27545.489831713199"/>
  </r>
  <r>
    <x v="0"/>
    <x v="0"/>
    <x v="0"/>
    <x v="0"/>
    <x v="1"/>
    <x v="12"/>
    <x v="1"/>
    <x v="1"/>
    <x v="2"/>
    <s v="GNR_HS_HEAT_WTR-TANK_LS_E-95_Y-2010"/>
    <x v="0"/>
    <x v="7"/>
    <n v="15.9685112917418"/>
    <n v="3885.6710809905098"/>
    <n v="13988.415891565801"/>
  </r>
  <r>
    <x v="0"/>
    <x v="0"/>
    <x v="0"/>
    <x v="0"/>
    <x v="1"/>
    <x v="12"/>
    <x v="1"/>
    <x v="1"/>
    <x v="2"/>
    <s v="GNR_HS_HEAT_WTR-TANK_LS_E-95_Y-2010"/>
    <x v="2"/>
    <x v="6"/>
    <n v="9.1751318507348003"/>
    <n v="2232.6154170121299"/>
    <n v="8037.4155012436904"/>
  </r>
  <r>
    <x v="0"/>
    <x v="0"/>
    <x v="0"/>
    <x v="0"/>
    <x v="1"/>
    <x v="12"/>
    <x v="1"/>
    <x v="1"/>
    <x v="2"/>
    <s v="GNR_HS_HEAT_WTR-TANK_LS_E-95_Y-2010"/>
    <x v="2"/>
    <x v="8"/>
    <n v="46.804289862761699"/>
    <n v="11389.0438666054"/>
    <n v="41000.557919779298"/>
  </r>
  <r>
    <x v="0"/>
    <x v="0"/>
    <x v="0"/>
    <x v="0"/>
    <x v="1"/>
    <x v="12"/>
    <x v="1"/>
    <x v="1"/>
    <x v="2"/>
    <s v="GNR_HS_HEAT_WTR-TANK_LS_E-95_Y-2010"/>
    <x v="2"/>
    <x v="0"/>
    <n v="40.390680880932599"/>
    <n v="9828.3990143602696"/>
    <n v="35382.236451696997"/>
  </r>
  <r>
    <x v="0"/>
    <x v="0"/>
    <x v="0"/>
    <x v="0"/>
    <x v="1"/>
    <x v="12"/>
    <x v="1"/>
    <x v="1"/>
    <x v="2"/>
    <s v="GNR_HS_HEAT_WTR-TANK_LS_E-95_Y-2010"/>
    <x v="1"/>
    <x v="5"/>
    <n v="28.923030066462601"/>
    <n v="7037.9373161725698"/>
    <n v="25336.574338221199"/>
  </r>
  <r>
    <x v="0"/>
    <x v="0"/>
    <x v="0"/>
    <x v="0"/>
    <x v="1"/>
    <x v="12"/>
    <x v="1"/>
    <x v="1"/>
    <x v="2"/>
    <s v="GNR_HS_HEAT_WTR-TANK_LS_E-95_Y-2010"/>
    <x v="1"/>
    <x v="6"/>
    <n v="50.721106628646901"/>
    <n v="12342.135946304101"/>
    <n v="44431.689406694699"/>
  </r>
  <r>
    <x v="0"/>
    <x v="0"/>
    <x v="0"/>
    <x v="0"/>
    <x v="1"/>
    <x v="12"/>
    <x v="1"/>
    <x v="1"/>
    <x v="2"/>
    <s v="GNR_HS_HEAT_WTR-TANK_LS_E-95_Y-2010"/>
    <x v="1"/>
    <x v="8"/>
    <n v="28.6722979131127"/>
    <n v="6976.9258255240902"/>
    <n v="25116.932971886701"/>
  </r>
  <r>
    <x v="0"/>
    <x v="0"/>
    <x v="0"/>
    <x v="0"/>
    <x v="1"/>
    <x v="12"/>
    <x v="1"/>
    <x v="1"/>
    <x v="2"/>
    <s v="GNR_HS_HEAT_WTR-TANK_LS_E-95_Y-2010"/>
    <x v="1"/>
    <x v="9"/>
    <n v="24.340971563491099"/>
    <n v="5922.9697471161699"/>
    <n v="21322.691089618202"/>
  </r>
  <r>
    <x v="0"/>
    <x v="0"/>
    <x v="0"/>
    <x v="0"/>
    <x v="1"/>
    <x v="12"/>
    <x v="1"/>
    <x v="1"/>
    <x v="2"/>
    <s v="GNR_HS_HEAT_WTR-TANK_LS_E-95_Y-2010"/>
    <x v="1"/>
    <x v="10"/>
    <n v="27.112291472017699"/>
    <n v="6597.3242581909699"/>
    <n v="23750.367329487501"/>
  </r>
  <r>
    <x v="0"/>
    <x v="0"/>
    <x v="0"/>
    <x v="0"/>
    <x v="1"/>
    <x v="12"/>
    <x v="1"/>
    <x v="1"/>
    <x v="2"/>
    <s v="GNR_HS_HEAT_WTR-TANK_LS_E-95_Y-2010"/>
    <x v="1"/>
    <x v="11"/>
    <n v="32.637386034552797"/>
    <n v="7941.7639350745203"/>
    <n v="28590.350166268301"/>
  </r>
  <r>
    <x v="0"/>
    <x v="0"/>
    <x v="0"/>
    <x v="0"/>
    <x v="1"/>
    <x v="12"/>
    <x v="3"/>
    <x v="0"/>
    <x v="0"/>
    <s v="GNR_ENG_NGAS_BP_E-48_Y-2030"/>
    <x v="0"/>
    <x v="8"/>
    <n v="136.930214808312"/>
    <n v="33319.6856033558"/>
    <n v="119950.868172081"/>
  </r>
  <r>
    <x v="0"/>
    <x v="0"/>
    <x v="0"/>
    <x v="0"/>
    <x v="1"/>
    <x v="12"/>
    <x v="3"/>
    <x v="0"/>
    <x v="0"/>
    <s v="GNR_ENG_NGAS_BP_E-48_Y-2030"/>
    <x v="0"/>
    <x v="0"/>
    <n v="136.930214808312"/>
    <n v="33319.6856033558"/>
    <n v="119950.868172081"/>
  </r>
  <r>
    <x v="0"/>
    <x v="0"/>
    <x v="0"/>
    <x v="0"/>
    <x v="1"/>
    <x v="12"/>
    <x v="3"/>
    <x v="0"/>
    <x v="0"/>
    <s v="GNR_ENG_NGAS_BP_E-48_Y-2030"/>
    <x v="0"/>
    <x v="1"/>
    <n v="136.930214808312"/>
    <n v="33319.6856033558"/>
    <n v="119950.868172081"/>
  </r>
  <r>
    <x v="0"/>
    <x v="0"/>
    <x v="0"/>
    <x v="0"/>
    <x v="1"/>
    <x v="12"/>
    <x v="3"/>
    <x v="0"/>
    <x v="0"/>
    <s v="GNR_ENG_NGAS_BP_E-48_Y-2030"/>
    <x v="0"/>
    <x v="2"/>
    <n v="136.930214808312"/>
    <n v="33319.6856033558"/>
    <n v="119950.868172081"/>
  </r>
  <r>
    <x v="0"/>
    <x v="0"/>
    <x v="0"/>
    <x v="0"/>
    <x v="1"/>
    <x v="12"/>
    <x v="3"/>
    <x v="0"/>
    <x v="0"/>
    <s v="GNR_ENG_NGAS_BP_E-48_Y-2030"/>
    <x v="0"/>
    <x v="9"/>
    <n v="136.930214808312"/>
    <n v="33319.6856033558"/>
    <n v="119950.868172081"/>
  </r>
  <r>
    <x v="0"/>
    <x v="0"/>
    <x v="0"/>
    <x v="0"/>
    <x v="1"/>
    <x v="12"/>
    <x v="3"/>
    <x v="0"/>
    <x v="0"/>
    <s v="GNR_ENG_NGAS_BP_E-48_Y-2030"/>
    <x v="0"/>
    <x v="10"/>
    <n v="136.930214808312"/>
    <n v="33319.6856033558"/>
    <n v="119950.868172081"/>
  </r>
  <r>
    <x v="0"/>
    <x v="0"/>
    <x v="0"/>
    <x v="0"/>
    <x v="1"/>
    <x v="12"/>
    <x v="3"/>
    <x v="0"/>
    <x v="0"/>
    <s v="GNR_ENG_NGAS_BP_E-48_Y-2030"/>
    <x v="0"/>
    <x v="11"/>
    <n v="136.930214808312"/>
    <n v="33319.6856033558"/>
    <n v="119950.868172081"/>
  </r>
  <r>
    <x v="0"/>
    <x v="0"/>
    <x v="0"/>
    <x v="0"/>
    <x v="1"/>
    <x v="12"/>
    <x v="3"/>
    <x v="0"/>
    <x v="0"/>
    <s v="GNR_ENG_NGAS_BP_E-48_Y-2030"/>
    <x v="2"/>
    <x v="3"/>
    <n v="136.930214808312"/>
    <n v="33319.6856033558"/>
    <n v="119950.868172081"/>
  </r>
  <r>
    <x v="0"/>
    <x v="0"/>
    <x v="0"/>
    <x v="0"/>
    <x v="1"/>
    <x v="12"/>
    <x v="3"/>
    <x v="0"/>
    <x v="0"/>
    <s v="GNR_ENG_NGAS_BP_E-48_Y-2030"/>
    <x v="2"/>
    <x v="4"/>
    <n v="136.930214808312"/>
    <n v="33319.6856033558"/>
    <n v="119950.868172081"/>
  </r>
  <r>
    <x v="0"/>
    <x v="0"/>
    <x v="0"/>
    <x v="0"/>
    <x v="1"/>
    <x v="12"/>
    <x v="3"/>
    <x v="0"/>
    <x v="0"/>
    <s v="GNR_ENG_NGAS_BP_E-48_Y-2030"/>
    <x v="2"/>
    <x v="1"/>
    <n v="47.985803637232102"/>
    <n v="11676.5455517265"/>
    <n v="42035.563986215297"/>
  </r>
  <r>
    <x v="0"/>
    <x v="0"/>
    <x v="0"/>
    <x v="0"/>
    <x v="1"/>
    <x v="12"/>
    <x v="3"/>
    <x v="0"/>
    <x v="0"/>
    <s v="GNR_ENG_NGAS_BP_E-48_Y-2030"/>
    <x v="2"/>
    <x v="2"/>
    <n v="48.933708969231198"/>
    <n v="11907.2025158463"/>
    <n v="42865.929057046502"/>
  </r>
  <r>
    <x v="0"/>
    <x v="0"/>
    <x v="0"/>
    <x v="0"/>
    <x v="1"/>
    <x v="12"/>
    <x v="3"/>
    <x v="0"/>
    <x v="0"/>
    <s v="GNR_ENG_NGAS_BP_E-48_Y-2030"/>
    <x v="2"/>
    <x v="10"/>
    <n v="26.0375575034574"/>
    <n v="6335.8056591746299"/>
    <n v="22808.9003730287"/>
  </r>
  <r>
    <x v="0"/>
    <x v="0"/>
    <x v="0"/>
    <x v="0"/>
    <x v="1"/>
    <x v="12"/>
    <x v="3"/>
    <x v="0"/>
    <x v="0"/>
    <s v="GNR_ENG_NGAS_BP_E-48_Y-2030"/>
    <x v="1"/>
    <x v="3"/>
    <n v="136.930214808312"/>
    <n v="33319.6856033558"/>
    <n v="119950.868172081"/>
  </r>
  <r>
    <x v="0"/>
    <x v="0"/>
    <x v="0"/>
    <x v="0"/>
    <x v="1"/>
    <x v="12"/>
    <x v="3"/>
    <x v="0"/>
    <x v="0"/>
    <s v="GNR_ENG_NGAS_BP_E-48_Y-2030"/>
    <x v="1"/>
    <x v="6"/>
    <n v="82.943383479780607"/>
    <n v="20182.889980079901"/>
    <n v="72658.403928287793"/>
  </r>
  <r>
    <x v="0"/>
    <x v="0"/>
    <x v="0"/>
    <x v="0"/>
    <x v="1"/>
    <x v="12"/>
    <x v="3"/>
    <x v="0"/>
    <x v="0"/>
    <s v="GNR_ENG_NGAS_BP_E-48_Y-2030"/>
    <x v="1"/>
    <x v="4"/>
    <n v="136.930214808312"/>
    <n v="33319.6856033558"/>
    <n v="119950.868172081"/>
  </r>
  <r>
    <x v="0"/>
    <x v="0"/>
    <x v="0"/>
    <x v="0"/>
    <x v="1"/>
    <x v="12"/>
    <x v="3"/>
    <x v="0"/>
    <x v="0"/>
    <s v="GNR_ENG_NGAS_BP_E-48_Y-2030"/>
    <x v="1"/>
    <x v="7"/>
    <n v="136.930214808312"/>
    <n v="33319.6856033558"/>
    <n v="119950.868172081"/>
  </r>
  <r>
    <x v="0"/>
    <x v="0"/>
    <x v="0"/>
    <x v="0"/>
    <x v="1"/>
    <x v="12"/>
    <x v="3"/>
    <x v="0"/>
    <x v="0"/>
    <s v="GNR_ENG_NGAS_BP_E-48_Y-2030"/>
    <x v="1"/>
    <x v="0"/>
    <n v="136.930214808312"/>
    <n v="33319.6856033558"/>
    <n v="119950.868172081"/>
  </r>
  <r>
    <x v="0"/>
    <x v="0"/>
    <x v="0"/>
    <x v="0"/>
    <x v="1"/>
    <x v="12"/>
    <x v="3"/>
    <x v="0"/>
    <x v="0"/>
    <s v="GNR_ENG_NGAS_BP_E-48_Y-2030"/>
    <x v="1"/>
    <x v="1"/>
    <n v="136.930214808312"/>
    <n v="33319.6856033558"/>
    <n v="119950.868172081"/>
  </r>
  <r>
    <x v="0"/>
    <x v="0"/>
    <x v="0"/>
    <x v="0"/>
    <x v="1"/>
    <x v="12"/>
    <x v="3"/>
    <x v="0"/>
    <x v="0"/>
    <s v="GNR_ENG_NGAS_BP_E-48_Y-2030"/>
    <x v="1"/>
    <x v="2"/>
    <n v="136.930214808312"/>
    <n v="33319.6856033558"/>
    <n v="119950.868172081"/>
  </r>
  <r>
    <x v="0"/>
    <x v="0"/>
    <x v="0"/>
    <x v="0"/>
    <x v="1"/>
    <x v="12"/>
    <x v="5"/>
    <x v="3"/>
    <x v="4"/>
    <s v="GNR_SH_SUN"/>
    <x v="0"/>
    <x v="7"/>
    <n v="10.4673615300217"/>
    <n v="2547.0579723052801"/>
    <n v="9169.408700299"/>
  </r>
  <r>
    <x v="0"/>
    <x v="0"/>
    <x v="0"/>
    <x v="0"/>
    <x v="1"/>
    <x v="12"/>
    <x v="5"/>
    <x v="3"/>
    <x v="4"/>
    <s v="GNR_SH_SUN"/>
    <x v="0"/>
    <x v="0"/>
    <n v="2.54943519255893"/>
    <n v="620.36256352267299"/>
    <n v="2233.3052286816201"/>
  </r>
  <r>
    <x v="0"/>
    <x v="0"/>
    <x v="0"/>
    <x v="0"/>
    <x v="1"/>
    <x v="12"/>
    <x v="5"/>
    <x v="3"/>
    <x v="4"/>
    <s v="GNR_SH_SUN"/>
    <x v="0"/>
    <x v="9"/>
    <n v="5.5673455746550298"/>
    <n v="1354.7207564993901"/>
    <n v="4876.99472339781"/>
  </r>
  <r>
    <x v="0"/>
    <x v="0"/>
    <x v="0"/>
    <x v="0"/>
    <x v="1"/>
    <x v="12"/>
    <x v="5"/>
    <x v="3"/>
    <x v="4"/>
    <s v="GNR_SH_SUN"/>
    <x v="0"/>
    <x v="11"/>
    <n v="0.44418594985864002"/>
    <n v="108.085247798936"/>
    <n v="389.106892076169"/>
  </r>
  <r>
    <x v="0"/>
    <x v="0"/>
    <x v="0"/>
    <x v="0"/>
    <x v="1"/>
    <x v="12"/>
    <x v="5"/>
    <x v="3"/>
    <x v="4"/>
    <s v="GNR_SH_SUN"/>
    <x v="2"/>
    <x v="6"/>
    <n v="2.2840552799201901"/>
    <n v="555.78678478057896"/>
    <n v="2000.8324252100899"/>
  </r>
  <r>
    <x v="0"/>
    <x v="0"/>
    <x v="0"/>
    <x v="0"/>
    <x v="1"/>
    <x v="12"/>
    <x v="5"/>
    <x v="3"/>
    <x v="4"/>
    <s v="GNR_SH_SUN"/>
    <x v="2"/>
    <x v="9"/>
    <n v="0.85619833608267004"/>
    <n v="208.34159511345001"/>
    <n v="750.029742408419"/>
  </r>
  <r>
    <x v="0"/>
    <x v="0"/>
    <x v="0"/>
    <x v="0"/>
    <x v="1"/>
    <x v="12"/>
    <x v="5"/>
    <x v="3"/>
    <x v="4"/>
    <s v="GNR_SH_SUN"/>
    <x v="1"/>
    <x v="7"/>
    <n v="6.6524278929204304"/>
    <n v="1618.7574539439699"/>
    <n v="5827.5268341982901"/>
  </r>
  <r>
    <x v="0"/>
    <x v="0"/>
    <x v="0"/>
    <x v="0"/>
    <x v="1"/>
    <x v="12"/>
    <x v="5"/>
    <x v="3"/>
    <x v="4"/>
    <s v="GNR_SH_SUN"/>
    <x v="1"/>
    <x v="0"/>
    <n v="1.4911042182397001"/>
    <n v="362.83535977166002"/>
    <n v="1306.2072951779801"/>
  </r>
  <r>
    <x v="0"/>
    <x v="0"/>
    <x v="0"/>
    <x v="0"/>
    <x v="1"/>
    <x v="12"/>
    <x v="5"/>
    <x v="3"/>
    <x v="4"/>
    <s v="GNR_SH_SUN"/>
    <x v="1"/>
    <x v="9"/>
    <n v="10.1542800905869"/>
    <n v="2470.8748220428201"/>
    <n v="8895.1493593541509"/>
  </r>
  <r>
    <x v="0"/>
    <x v="0"/>
    <x v="0"/>
    <x v="0"/>
    <x v="1"/>
    <x v="12"/>
    <x v="5"/>
    <x v="3"/>
    <x v="4"/>
    <s v="GNR_SH_SUN"/>
    <x v="1"/>
    <x v="11"/>
    <n v="2.86922237351195"/>
    <n v="698.17744422123997"/>
    <n v="2513.43879919646"/>
  </r>
  <r>
    <x v="0"/>
    <x v="0"/>
    <x v="0"/>
    <x v="0"/>
    <x v="1"/>
    <x v="12"/>
    <x v="6"/>
    <x v="2"/>
    <x v="3"/>
    <s v="GNR_EH_HEAT"/>
    <x v="0"/>
    <x v="5"/>
    <n v="14"/>
    <n v="3406.6666666666702"/>
    <n v="12264"/>
  </r>
  <r>
    <x v="0"/>
    <x v="0"/>
    <x v="0"/>
    <x v="0"/>
    <x v="1"/>
    <x v="12"/>
    <x v="6"/>
    <x v="2"/>
    <x v="3"/>
    <s v="GNR_EH_HEAT"/>
    <x v="0"/>
    <x v="3"/>
    <n v="14"/>
    <n v="3406.6666666666702"/>
    <n v="12264"/>
  </r>
  <r>
    <x v="0"/>
    <x v="0"/>
    <x v="0"/>
    <x v="0"/>
    <x v="1"/>
    <x v="12"/>
    <x v="6"/>
    <x v="2"/>
    <x v="3"/>
    <s v="GNR_EH_HEAT"/>
    <x v="0"/>
    <x v="6"/>
    <n v="14"/>
    <n v="3406.6666666666702"/>
    <n v="12264"/>
  </r>
  <r>
    <x v="0"/>
    <x v="0"/>
    <x v="0"/>
    <x v="0"/>
    <x v="1"/>
    <x v="12"/>
    <x v="6"/>
    <x v="2"/>
    <x v="3"/>
    <s v="GNR_EH_HEAT"/>
    <x v="0"/>
    <x v="4"/>
    <n v="14"/>
    <n v="3406.6666666666702"/>
    <n v="12264"/>
  </r>
  <r>
    <x v="0"/>
    <x v="0"/>
    <x v="0"/>
    <x v="0"/>
    <x v="1"/>
    <x v="12"/>
    <x v="6"/>
    <x v="2"/>
    <x v="3"/>
    <s v="GNR_EH_HEAT"/>
    <x v="0"/>
    <x v="7"/>
    <n v="14"/>
    <n v="3406.6666666666702"/>
    <n v="12264"/>
  </r>
  <r>
    <x v="0"/>
    <x v="0"/>
    <x v="0"/>
    <x v="0"/>
    <x v="1"/>
    <x v="12"/>
    <x v="6"/>
    <x v="2"/>
    <x v="3"/>
    <s v="GNR_EH_HEAT"/>
    <x v="0"/>
    <x v="8"/>
    <n v="14"/>
    <n v="3406.6666666666702"/>
    <n v="12264"/>
  </r>
  <r>
    <x v="0"/>
    <x v="0"/>
    <x v="0"/>
    <x v="0"/>
    <x v="1"/>
    <x v="12"/>
    <x v="6"/>
    <x v="2"/>
    <x v="3"/>
    <s v="GNR_EH_HEAT"/>
    <x v="0"/>
    <x v="0"/>
    <n v="14"/>
    <n v="3406.6666666666702"/>
    <n v="12264"/>
  </r>
  <r>
    <x v="0"/>
    <x v="0"/>
    <x v="0"/>
    <x v="0"/>
    <x v="1"/>
    <x v="12"/>
    <x v="6"/>
    <x v="2"/>
    <x v="3"/>
    <s v="GNR_EH_HEAT"/>
    <x v="0"/>
    <x v="1"/>
    <n v="14"/>
    <n v="3406.6666666666702"/>
    <n v="12264"/>
  </r>
  <r>
    <x v="0"/>
    <x v="0"/>
    <x v="0"/>
    <x v="0"/>
    <x v="1"/>
    <x v="12"/>
    <x v="6"/>
    <x v="2"/>
    <x v="3"/>
    <s v="GNR_EH_HEAT"/>
    <x v="0"/>
    <x v="2"/>
    <n v="14"/>
    <n v="3406.6666666666702"/>
    <n v="12264"/>
  </r>
  <r>
    <x v="0"/>
    <x v="0"/>
    <x v="0"/>
    <x v="0"/>
    <x v="1"/>
    <x v="12"/>
    <x v="6"/>
    <x v="2"/>
    <x v="3"/>
    <s v="GNR_EH_HEAT"/>
    <x v="0"/>
    <x v="9"/>
    <n v="14"/>
    <n v="3406.6666666666702"/>
    <n v="12264"/>
  </r>
  <r>
    <x v="0"/>
    <x v="0"/>
    <x v="0"/>
    <x v="0"/>
    <x v="1"/>
    <x v="12"/>
    <x v="6"/>
    <x v="2"/>
    <x v="3"/>
    <s v="GNR_EH_HEAT"/>
    <x v="0"/>
    <x v="10"/>
    <n v="14"/>
    <n v="3406.6666666666702"/>
    <n v="12264"/>
  </r>
  <r>
    <x v="0"/>
    <x v="0"/>
    <x v="0"/>
    <x v="0"/>
    <x v="1"/>
    <x v="12"/>
    <x v="6"/>
    <x v="2"/>
    <x v="3"/>
    <s v="GNR_EH_HEAT"/>
    <x v="0"/>
    <x v="11"/>
    <n v="14"/>
    <n v="3406.6666666666702"/>
    <n v="12264"/>
  </r>
  <r>
    <x v="0"/>
    <x v="0"/>
    <x v="0"/>
    <x v="0"/>
    <x v="1"/>
    <x v="12"/>
    <x v="6"/>
    <x v="2"/>
    <x v="3"/>
    <s v="GNR_EH_HEAT"/>
    <x v="2"/>
    <x v="5"/>
    <n v="14"/>
    <n v="3406.6666666666702"/>
    <n v="12264"/>
  </r>
  <r>
    <x v="0"/>
    <x v="0"/>
    <x v="0"/>
    <x v="0"/>
    <x v="1"/>
    <x v="12"/>
    <x v="6"/>
    <x v="2"/>
    <x v="3"/>
    <s v="GNR_EH_HEAT"/>
    <x v="2"/>
    <x v="3"/>
    <n v="14"/>
    <n v="3406.6666666666702"/>
    <n v="12264"/>
  </r>
  <r>
    <x v="0"/>
    <x v="0"/>
    <x v="0"/>
    <x v="0"/>
    <x v="1"/>
    <x v="12"/>
    <x v="6"/>
    <x v="2"/>
    <x v="3"/>
    <s v="GNR_EH_HEAT"/>
    <x v="2"/>
    <x v="6"/>
    <n v="14"/>
    <n v="3406.6666666666702"/>
    <n v="12264"/>
  </r>
  <r>
    <x v="0"/>
    <x v="0"/>
    <x v="0"/>
    <x v="0"/>
    <x v="1"/>
    <x v="12"/>
    <x v="6"/>
    <x v="2"/>
    <x v="3"/>
    <s v="GNR_EH_HEAT"/>
    <x v="2"/>
    <x v="4"/>
    <n v="14"/>
    <n v="3406.6666666666702"/>
    <n v="12264"/>
  </r>
  <r>
    <x v="0"/>
    <x v="0"/>
    <x v="0"/>
    <x v="0"/>
    <x v="1"/>
    <x v="12"/>
    <x v="6"/>
    <x v="2"/>
    <x v="3"/>
    <s v="GNR_EH_HEAT"/>
    <x v="2"/>
    <x v="7"/>
    <n v="14"/>
    <n v="3406.6666666666702"/>
    <n v="12264"/>
  </r>
  <r>
    <x v="0"/>
    <x v="0"/>
    <x v="0"/>
    <x v="0"/>
    <x v="1"/>
    <x v="12"/>
    <x v="6"/>
    <x v="2"/>
    <x v="3"/>
    <s v="GNR_EH_HEAT"/>
    <x v="2"/>
    <x v="8"/>
    <n v="14"/>
    <n v="3406.6666666666702"/>
    <n v="12264"/>
  </r>
  <r>
    <x v="0"/>
    <x v="0"/>
    <x v="0"/>
    <x v="0"/>
    <x v="1"/>
    <x v="12"/>
    <x v="6"/>
    <x v="2"/>
    <x v="3"/>
    <s v="GNR_EH_HEAT"/>
    <x v="2"/>
    <x v="0"/>
    <n v="14"/>
    <n v="3406.6666666666702"/>
    <n v="12264"/>
  </r>
  <r>
    <x v="0"/>
    <x v="0"/>
    <x v="0"/>
    <x v="0"/>
    <x v="1"/>
    <x v="12"/>
    <x v="6"/>
    <x v="2"/>
    <x v="3"/>
    <s v="GNR_EH_HEAT"/>
    <x v="2"/>
    <x v="1"/>
    <n v="14"/>
    <n v="3406.6666666666702"/>
    <n v="12264"/>
  </r>
  <r>
    <x v="0"/>
    <x v="0"/>
    <x v="0"/>
    <x v="0"/>
    <x v="1"/>
    <x v="12"/>
    <x v="6"/>
    <x v="2"/>
    <x v="3"/>
    <s v="GNR_EH_HEAT"/>
    <x v="2"/>
    <x v="2"/>
    <n v="14"/>
    <n v="3406.6666666666702"/>
    <n v="12264"/>
  </r>
  <r>
    <x v="0"/>
    <x v="0"/>
    <x v="0"/>
    <x v="0"/>
    <x v="1"/>
    <x v="12"/>
    <x v="6"/>
    <x v="2"/>
    <x v="3"/>
    <s v="GNR_EH_HEAT"/>
    <x v="2"/>
    <x v="9"/>
    <n v="14"/>
    <n v="3406.6666666666702"/>
    <n v="12264"/>
  </r>
  <r>
    <x v="0"/>
    <x v="0"/>
    <x v="0"/>
    <x v="0"/>
    <x v="1"/>
    <x v="12"/>
    <x v="6"/>
    <x v="2"/>
    <x v="3"/>
    <s v="GNR_EH_HEAT"/>
    <x v="2"/>
    <x v="10"/>
    <n v="14"/>
    <n v="3406.6666666666702"/>
    <n v="12264"/>
  </r>
  <r>
    <x v="0"/>
    <x v="0"/>
    <x v="0"/>
    <x v="0"/>
    <x v="1"/>
    <x v="12"/>
    <x v="6"/>
    <x v="2"/>
    <x v="3"/>
    <s v="GNR_EH_HEAT"/>
    <x v="2"/>
    <x v="11"/>
    <n v="14"/>
    <n v="3406.6666666666702"/>
    <n v="12264"/>
  </r>
  <r>
    <x v="0"/>
    <x v="0"/>
    <x v="0"/>
    <x v="0"/>
    <x v="1"/>
    <x v="12"/>
    <x v="6"/>
    <x v="2"/>
    <x v="3"/>
    <s v="GNR_EH_HEAT"/>
    <x v="1"/>
    <x v="5"/>
    <n v="14"/>
    <n v="3406.6666666666702"/>
    <n v="12264"/>
  </r>
  <r>
    <x v="0"/>
    <x v="0"/>
    <x v="0"/>
    <x v="0"/>
    <x v="1"/>
    <x v="12"/>
    <x v="6"/>
    <x v="2"/>
    <x v="3"/>
    <s v="GNR_EH_HEAT"/>
    <x v="1"/>
    <x v="3"/>
    <n v="14"/>
    <n v="3406.6666666666702"/>
    <n v="12264"/>
  </r>
  <r>
    <x v="0"/>
    <x v="0"/>
    <x v="0"/>
    <x v="0"/>
    <x v="1"/>
    <x v="12"/>
    <x v="6"/>
    <x v="2"/>
    <x v="3"/>
    <s v="GNR_EH_HEAT"/>
    <x v="1"/>
    <x v="6"/>
    <n v="14"/>
    <n v="3406.6666666666702"/>
    <n v="12264"/>
  </r>
  <r>
    <x v="0"/>
    <x v="0"/>
    <x v="0"/>
    <x v="0"/>
    <x v="1"/>
    <x v="12"/>
    <x v="6"/>
    <x v="2"/>
    <x v="3"/>
    <s v="GNR_EH_HEAT"/>
    <x v="1"/>
    <x v="4"/>
    <n v="14"/>
    <n v="3406.6666666666702"/>
    <n v="12264"/>
  </r>
  <r>
    <x v="0"/>
    <x v="0"/>
    <x v="0"/>
    <x v="0"/>
    <x v="1"/>
    <x v="12"/>
    <x v="6"/>
    <x v="2"/>
    <x v="3"/>
    <s v="GNR_EH_HEAT"/>
    <x v="1"/>
    <x v="7"/>
    <n v="14"/>
    <n v="3406.6666666666702"/>
    <n v="12264"/>
  </r>
  <r>
    <x v="0"/>
    <x v="0"/>
    <x v="0"/>
    <x v="0"/>
    <x v="1"/>
    <x v="12"/>
    <x v="6"/>
    <x v="2"/>
    <x v="3"/>
    <s v="GNR_EH_HEAT"/>
    <x v="1"/>
    <x v="8"/>
    <n v="14"/>
    <n v="3406.6666666666702"/>
    <n v="12264"/>
  </r>
  <r>
    <x v="0"/>
    <x v="0"/>
    <x v="0"/>
    <x v="0"/>
    <x v="1"/>
    <x v="12"/>
    <x v="6"/>
    <x v="2"/>
    <x v="3"/>
    <s v="GNR_EH_HEAT"/>
    <x v="1"/>
    <x v="0"/>
    <n v="14"/>
    <n v="3406.6666666666702"/>
    <n v="12264"/>
  </r>
  <r>
    <x v="0"/>
    <x v="0"/>
    <x v="0"/>
    <x v="0"/>
    <x v="1"/>
    <x v="12"/>
    <x v="6"/>
    <x v="2"/>
    <x v="3"/>
    <s v="GNR_EH_HEAT"/>
    <x v="1"/>
    <x v="1"/>
    <n v="14"/>
    <n v="3406.6666666666702"/>
    <n v="12264"/>
  </r>
  <r>
    <x v="0"/>
    <x v="0"/>
    <x v="0"/>
    <x v="0"/>
    <x v="1"/>
    <x v="12"/>
    <x v="6"/>
    <x v="2"/>
    <x v="3"/>
    <s v="GNR_EH_HEAT"/>
    <x v="1"/>
    <x v="2"/>
    <n v="14"/>
    <n v="3406.6666666666702"/>
    <n v="12264"/>
  </r>
  <r>
    <x v="0"/>
    <x v="0"/>
    <x v="0"/>
    <x v="0"/>
    <x v="1"/>
    <x v="12"/>
    <x v="6"/>
    <x v="2"/>
    <x v="3"/>
    <s v="GNR_EH_HEAT"/>
    <x v="1"/>
    <x v="9"/>
    <n v="14"/>
    <n v="3406.6666666666702"/>
    <n v="12264"/>
  </r>
  <r>
    <x v="0"/>
    <x v="0"/>
    <x v="0"/>
    <x v="0"/>
    <x v="1"/>
    <x v="12"/>
    <x v="6"/>
    <x v="2"/>
    <x v="3"/>
    <s v="GNR_EH_HEAT"/>
    <x v="1"/>
    <x v="10"/>
    <n v="14"/>
    <n v="3406.6666666666702"/>
    <n v="12264"/>
  </r>
  <r>
    <x v="0"/>
    <x v="0"/>
    <x v="0"/>
    <x v="0"/>
    <x v="1"/>
    <x v="12"/>
    <x v="6"/>
    <x v="2"/>
    <x v="3"/>
    <s v="GNR_EH_HEAT"/>
    <x v="1"/>
    <x v="11"/>
    <n v="14"/>
    <n v="3406.6666666666702"/>
    <n v="12264"/>
  </r>
  <r>
    <x v="0"/>
    <x v="0"/>
    <x v="0"/>
    <x v="0"/>
    <x v="1"/>
    <x v="12"/>
    <x v="7"/>
    <x v="2"/>
    <x v="3"/>
    <s v="GNR_BO_WOODCHI_E-118"/>
    <x v="0"/>
    <x v="6"/>
    <n v="0.52872790243083001"/>
    <n v="128.65712292483499"/>
    <n v="463.16564252940799"/>
  </r>
  <r>
    <x v="0"/>
    <x v="0"/>
    <x v="0"/>
    <x v="0"/>
    <x v="1"/>
    <x v="13"/>
    <x v="1"/>
    <x v="1"/>
    <x v="1"/>
    <s v="GNR_HS_HEAT_PIT_L-DEC_E-91_Y-2030"/>
    <x v="0"/>
    <x v="5"/>
    <n v="144.624654260113"/>
    <n v="35191.999203294101"/>
    <n v="126691.19713185899"/>
  </r>
  <r>
    <x v="0"/>
    <x v="0"/>
    <x v="0"/>
    <x v="0"/>
    <x v="1"/>
    <x v="13"/>
    <x v="1"/>
    <x v="1"/>
    <x v="1"/>
    <s v="GNR_HS_HEAT_PIT_L-DEC_E-91_Y-2030"/>
    <x v="0"/>
    <x v="3"/>
    <n v="144.624654260113"/>
    <n v="35191.999203294101"/>
    <n v="126691.19713185899"/>
  </r>
  <r>
    <x v="0"/>
    <x v="0"/>
    <x v="0"/>
    <x v="0"/>
    <x v="1"/>
    <x v="13"/>
    <x v="1"/>
    <x v="1"/>
    <x v="1"/>
    <s v="GNR_HS_HEAT_PIT_L-DEC_E-91_Y-2030"/>
    <x v="0"/>
    <x v="6"/>
    <n v="144.624654260113"/>
    <n v="35191.999203294101"/>
    <n v="126691.19713185899"/>
  </r>
  <r>
    <x v="0"/>
    <x v="0"/>
    <x v="0"/>
    <x v="0"/>
    <x v="1"/>
    <x v="13"/>
    <x v="1"/>
    <x v="1"/>
    <x v="1"/>
    <s v="GNR_HS_HEAT_PIT_L-DEC_E-91_Y-2030"/>
    <x v="0"/>
    <x v="4"/>
    <n v="144.624654260113"/>
    <n v="35191.999203294101"/>
    <n v="126691.19713185899"/>
  </r>
  <r>
    <x v="0"/>
    <x v="0"/>
    <x v="0"/>
    <x v="0"/>
    <x v="1"/>
    <x v="13"/>
    <x v="1"/>
    <x v="1"/>
    <x v="1"/>
    <s v="GNR_HS_HEAT_PIT_L-DEC_E-91_Y-2030"/>
    <x v="0"/>
    <x v="7"/>
    <n v="144.624654260113"/>
    <n v="35191.999203294101"/>
    <n v="126691.19713185899"/>
  </r>
  <r>
    <x v="0"/>
    <x v="0"/>
    <x v="0"/>
    <x v="0"/>
    <x v="1"/>
    <x v="13"/>
    <x v="1"/>
    <x v="1"/>
    <x v="1"/>
    <s v="GNR_HS_HEAT_PIT_L-DEC_E-91_Y-2030"/>
    <x v="0"/>
    <x v="1"/>
    <n v="142.59179333305599"/>
    <n v="34697.3363777103"/>
    <n v="124910.41095975701"/>
  </r>
  <r>
    <x v="0"/>
    <x v="0"/>
    <x v="0"/>
    <x v="0"/>
    <x v="1"/>
    <x v="13"/>
    <x v="1"/>
    <x v="1"/>
    <x v="1"/>
    <s v="GNR_HS_HEAT_PIT_L-DEC_E-91_Y-2030"/>
    <x v="0"/>
    <x v="11"/>
    <n v="130.71275874048601"/>
    <n v="31806.771293518199"/>
    <n v="114504.37665666601"/>
  </r>
  <r>
    <x v="0"/>
    <x v="0"/>
    <x v="0"/>
    <x v="0"/>
    <x v="1"/>
    <x v="13"/>
    <x v="1"/>
    <x v="1"/>
    <x v="1"/>
    <s v="GNR_HS_HEAT_PIT_L-DEC_E-91_Y-2030"/>
    <x v="2"/>
    <x v="5"/>
    <n v="66.242944071724494"/>
    <n v="16119.116390786299"/>
    <n v="58028.819006830701"/>
  </r>
  <r>
    <x v="0"/>
    <x v="0"/>
    <x v="0"/>
    <x v="0"/>
    <x v="1"/>
    <x v="13"/>
    <x v="1"/>
    <x v="1"/>
    <x v="1"/>
    <s v="GNR_HS_HEAT_PIT_L-DEC_E-91_Y-2030"/>
    <x v="2"/>
    <x v="6"/>
    <n v="68.570354464350601"/>
    <n v="16685.452919658601"/>
    <n v="60067.630510771101"/>
  </r>
  <r>
    <x v="0"/>
    <x v="0"/>
    <x v="0"/>
    <x v="0"/>
    <x v="1"/>
    <x v="13"/>
    <x v="1"/>
    <x v="1"/>
    <x v="1"/>
    <s v="GNR_HS_HEAT_PIT_L-DEC_E-91_Y-2030"/>
    <x v="2"/>
    <x v="7"/>
    <n v="135.69400293862699"/>
    <n v="33018.874048399201"/>
    <n v="118867.94657423699"/>
  </r>
  <r>
    <x v="0"/>
    <x v="0"/>
    <x v="0"/>
    <x v="0"/>
    <x v="1"/>
    <x v="13"/>
    <x v="1"/>
    <x v="1"/>
    <x v="2"/>
    <s v="GNR_HS_HEAT_WTR-TANK_LS_E-95_Y-2010"/>
    <x v="0"/>
    <x v="5"/>
    <n v="128.43010574465299"/>
    <n v="31251.3257311989"/>
    <n v="112504.772632316"/>
  </r>
  <r>
    <x v="0"/>
    <x v="0"/>
    <x v="0"/>
    <x v="0"/>
    <x v="1"/>
    <x v="13"/>
    <x v="1"/>
    <x v="1"/>
    <x v="2"/>
    <s v="GNR_HS_HEAT_WTR-TANK_LS_E-95_Y-2010"/>
    <x v="0"/>
    <x v="3"/>
    <n v="17.3980367386363"/>
    <n v="4233.5222730681498"/>
    <n v="15240.680183045401"/>
  </r>
  <r>
    <x v="0"/>
    <x v="0"/>
    <x v="0"/>
    <x v="0"/>
    <x v="1"/>
    <x v="13"/>
    <x v="1"/>
    <x v="1"/>
    <x v="2"/>
    <s v="GNR_HS_HEAT_WTR-TANK_LS_E-95_Y-2010"/>
    <x v="0"/>
    <x v="6"/>
    <n v="163.09513805465201"/>
    <n v="39686.483593298697"/>
    <n v="142871.34093587499"/>
  </r>
  <r>
    <x v="0"/>
    <x v="0"/>
    <x v="0"/>
    <x v="0"/>
    <x v="1"/>
    <x v="13"/>
    <x v="1"/>
    <x v="1"/>
    <x v="2"/>
    <s v="GNR_HS_HEAT_WTR-TANK_LS_E-95_Y-2010"/>
    <x v="0"/>
    <x v="4"/>
    <n v="69.870347651404302"/>
    <n v="17001.784595174999"/>
    <n v="61206.424542630099"/>
  </r>
  <r>
    <x v="0"/>
    <x v="0"/>
    <x v="0"/>
    <x v="0"/>
    <x v="1"/>
    <x v="13"/>
    <x v="1"/>
    <x v="1"/>
    <x v="2"/>
    <s v="GNR_HS_HEAT_WTR-TANK_LS_E-95_Y-2010"/>
    <x v="0"/>
    <x v="7"/>
    <n v="114.17270255312"/>
    <n v="27782.024287925899"/>
    <n v="100015.28743653301"/>
  </r>
  <r>
    <x v="0"/>
    <x v="0"/>
    <x v="0"/>
    <x v="0"/>
    <x v="1"/>
    <x v="13"/>
    <x v="1"/>
    <x v="1"/>
    <x v="2"/>
    <s v="GNR_HS_HEAT_WTR-TANK_LS_E-95_Y-2010"/>
    <x v="2"/>
    <x v="6"/>
    <n v="113.296574341927"/>
    <n v="27568.833089869"/>
    <n v="99247.799123528297"/>
  </r>
  <r>
    <x v="0"/>
    <x v="0"/>
    <x v="0"/>
    <x v="0"/>
    <x v="1"/>
    <x v="13"/>
    <x v="1"/>
    <x v="1"/>
    <x v="2"/>
    <s v="GNR_HS_HEAT_WTR-TANK_LS_E-95_Y-2010"/>
    <x v="2"/>
    <x v="8"/>
    <n v="39.918807791424399"/>
    <n v="9713.5765625799395"/>
    <n v="34968.875625287801"/>
  </r>
  <r>
    <x v="0"/>
    <x v="0"/>
    <x v="0"/>
    <x v="0"/>
    <x v="1"/>
    <x v="13"/>
    <x v="1"/>
    <x v="1"/>
    <x v="2"/>
    <s v="GNR_HS_HEAT_WTR-TANK_LS_E-95_Y-2010"/>
    <x v="2"/>
    <x v="0"/>
    <n v="30.777198908519399"/>
    <n v="7489.1184010730603"/>
    <n v="26960.826243863001"/>
  </r>
  <r>
    <x v="0"/>
    <x v="0"/>
    <x v="0"/>
    <x v="0"/>
    <x v="1"/>
    <x v="13"/>
    <x v="1"/>
    <x v="1"/>
    <x v="2"/>
    <s v="GNR_HS_HEAT_WTR-TANK_LS_E-95_Y-2010"/>
    <x v="2"/>
    <x v="9"/>
    <n v="56.869476509662299"/>
    <n v="13838.2392840178"/>
    <n v="49817.661422464203"/>
  </r>
  <r>
    <x v="0"/>
    <x v="0"/>
    <x v="0"/>
    <x v="0"/>
    <x v="1"/>
    <x v="13"/>
    <x v="1"/>
    <x v="1"/>
    <x v="2"/>
    <s v="GNR_HS_HEAT_WTR-TANK_LS_E-95_Y-2010"/>
    <x v="2"/>
    <x v="11"/>
    <n v="99.498447552755493"/>
    <n v="24211.288904503799"/>
    <n v="87160.640056213801"/>
  </r>
  <r>
    <x v="0"/>
    <x v="0"/>
    <x v="0"/>
    <x v="0"/>
    <x v="1"/>
    <x v="13"/>
    <x v="1"/>
    <x v="1"/>
    <x v="2"/>
    <s v="GNR_HS_HEAT_WTR-TANK_LS_E-95_Y-2010"/>
    <x v="1"/>
    <x v="5"/>
    <n v="69.435417151946893"/>
    <n v="16895.951506973801"/>
    <n v="60825.425425105503"/>
  </r>
  <r>
    <x v="0"/>
    <x v="0"/>
    <x v="0"/>
    <x v="0"/>
    <x v="1"/>
    <x v="13"/>
    <x v="1"/>
    <x v="1"/>
    <x v="2"/>
    <s v="GNR_HS_HEAT_WTR-TANK_LS_E-95_Y-2010"/>
    <x v="1"/>
    <x v="6"/>
    <n v="163.09513805465201"/>
    <n v="39686.483593298697"/>
    <n v="142871.34093587499"/>
  </r>
  <r>
    <x v="0"/>
    <x v="0"/>
    <x v="0"/>
    <x v="0"/>
    <x v="1"/>
    <x v="13"/>
    <x v="1"/>
    <x v="1"/>
    <x v="2"/>
    <s v="GNR_HS_HEAT_WTR-TANK_LS_E-95_Y-2010"/>
    <x v="1"/>
    <x v="8"/>
    <n v="65.209846443413795"/>
    <n v="15867.7293012307"/>
    <n v="57123.825484430497"/>
  </r>
  <r>
    <x v="0"/>
    <x v="0"/>
    <x v="0"/>
    <x v="0"/>
    <x v="1"/>
    <x v="13"/>
    <x v="1"/>
    <x v="1"/>
    <x v="2"/>
    <s v="GNR_HS_HEAT_WTR-TANK_LS_E-95_Y-2010"/>
    <x v="1"/>
    <x v="9"/>
    <n v="89.329878002957003"/>
    <n v="21736.9369807195"/>
    <n v="78252.973130590399"/>
  </r>
  <r>
    <x v="0"/>
    <x v="0"/>
    <x v="0"/>
    <x v="0"/>
    <x v="1"/>
    <x v="13"/>
    <x v="1"/>
    <x v="1"/>
    <x v="2"/>
    <s v="GNR_HS_HEAT_WTR-TANK_LS_E-95_Y-2010"/>
    <x v="1"/>
    <x v="10"/>
    <n v="105.211830066852"/>
    <n v="25601.545316267198"/>
    <n v="92165.563138562095"/>
  </r>
  <r>
    <x v="0"/>
    <x v="0"/>
    <x v="0"/>
    <x v="0"/>
    <x v="1"/>
    <x v="13"/>
    <x v="1"/>
    <x v="1"/>
    <x v="2"/>
    <s v="GNR_HS_HEAT_WTR-TANK_LS_E-95_Y-2010"/>
    <x v="1"/>
    <x v="11"/>
    <n v="87.159529302003506"/>
    <n v="21208.8187968208"/>
    <n v="76351.747668555094"/>
  </r>
  <r>
    <x v="0"/>
    <x v="0"/>
    <x v="0"/>
    <x v="0"/>
    <x v="1"/>
    <x v="13"/>
    <x v="2"/>
    <x v="0"/>
    <x v="0"/>
    <s v="GNR_ST_MSW_BP_E-23"/>
    <x v="0"/>
    <x v="5"/>
    <n v="27.0488938195444"/>
    <n v="6581.8974960891301"/>
    <n v="23694.8309859209"/>
  </r>
  <r>
    <x v="0"/>
    <x v="0"/>
    <x v="0"/>
    <x v="0"/>
    <x v="1"/>
    <x v="13"/>
    <x v="2"/>
    <x v="0"/>
    <x v="0"/>
    <s v="GNR_ST_MSW_BP_E-23"/>
    <x v="0"/>
    <x v="3"/>
    <n v="27.0488938195444"/>
    <n v="6581.8974960891301"/>
    <n v="23694.8309859209"/>
  </r>
  <r>
    <x v="0"/>
    <x v="0"/>
    <x v="0"/>
    <x v="0"/>
    <x v="1"/>
    <x v="13"/>
    <x v="2"/>
    <x v="0"/>
    <x v="0"/>
    <s v="GNR_ST_MSW_BP_E-23"/>
    <x v="0"/>
    <x v="6"/>
    <n v="27.0488938195444"/>
    <n v="6581.8974960891301"/>
    <n v="23694.8309859209"/>
  </r>
  <r>
    <x v="0"/>
    <x v="0"/>
    <x v="0"/>
    <x v="0"/>
    <x v="1"/>
    <x v="13"/>
    <x v="2"/>
    <x v="0"/>
    <x v="0"/>
    <s v="GNR_ST_MSW_BP_E-23"/>
    <x v="0"/>
    <x v="4"/>
    <n v="27.0488938195444"/>
    <n v="6581.8974960891301"/>
    <n v="23694.8309859209"/>
  </r>
  <r>
    <x v="0"/>
    <x v="0"/>
    <x v="0"/>
    <x v="0"/>
    <x v="1"/>
    <x v="13"/>
    <x v="2"/>
    <x v="0"/>
    <x v="0"/>
    <s v="GNR_ST_MSW_BP_E-23"/>
    <x v="0"/>
    <x v="7"/>
    <n v="27.0488938195444"/>
    <n v="6581.8974960891301"/>
    <n v="23694.8309859209"/>
  </r>
  <r>
    <x v="0"/>
    <x v="0"/>
    <x v="0"/>
    <x v="0"/>
    <x v="1"/>
    <x v="13"/>
    <x v="2"/>
    <x v="0"/>
    <x v="0"/>
    <s v="GNR_ST_MSW_BP_E-23"/>
    <x v="0"/>
    <x v="8"/>
    <n v="27.0488938195444"/>
    <n v="6581.8974960891301"/>
    <n v="23694.8309859209"/>
  </r>
  <r>
    <x v="0"/>
    <x v="0"/>
    <x v="0"/>
    <x v="0"/>
    <x v="1"/>
    <x v="13"/>
    <x v="2"/>
    <x v="0"/>
    <x v="0"/>
    <s v="GNR_ST_MSW_BP_E-23"/>
    <x v="0"/>
    <x v="0"/>
    <n v="27.0488938195444"/>
    <n v="6581.8974960891301"/>
    <n v="23694.8309859209"/>
  </r>
  <r>
    <x v="0"/>
    <x v="0"/>
    <x v="0"/>
    <x v="0"/>
    <x v="1"/>
    <x v="13"/>
    <x v="2"/>
    <x v="0"/>
    <x v="0"/>
    <s v="GNR_ST_MSW_BP_E-23"/>
    <x v="0"/>
    <x v="1"/>
    <n v="27.0488938195444"/>
    <n v="6581.8974960891301"/>
    <n v="23694.8309859209"/>
  </r>
  <r>
    <x v="0"/>
    <x v="0"/>
    <x v="0"/>
    <x v="0"/>
    <x v="1"/>
    <x v="13"/>
    <x v="2"/>
    <x v="0"/>
    <x v="0"/>
    <s v="GNR_ST_MSW_BP_E-23"/>
    <x v="0"/>
    <x v="2"/>
    <n v="27.0488938195444"/>
    <n v="6581.8974960891301"/>
    <n v="23694.8309859209"/>
  </r>
  <r>
    <x v="0"/>
    <x v="0"/>
    <x v="0"/>
    <x v="0"/>
    <x v="1"/>
    <x v="13"/>
    <x v="2"/>
    <x v="0"/>
    <x v="0"/>
    <s v="GNR_ST_MSW_BP_E-23"/>
    <x v="0"/>
    <x v="9"/>
    <n v="27.0488938195444"/>
    <n v="6581.8974960891301"/>
    <n v="23694.8309859209"/>
  </r>
  <r>
    <x v="0"/>
    <x v="0"/>
    <x v="0"/>
    <x v="0"/>
    <x v="1"/>
    <x v="13"/>
    <x v="2"/>
    <x v="0"/>
    <x v="0"/>
    <s v="GNR_ST_MSW_BP_E-23"/>
    <x v="0"/>
    <x v="10"/>
    <n v="27.0488938195444"/>
    <n v="6581.8974960891301"/>
    <n v="23694.8309859209"/>
  </r>
  <r>
    <x v="0"/>
    <x v="0"/>
    <x v="0"/>
    <x v="0"/>
    <x v="1"/>
    <x v="13"/>
    <x v="2"/>
    <x v="0"/>
    <x v="0"/>
    <s v="GNR_ST_MSW_BP_E-23"/>
    <x v="0"/>
    <x v="11"/>
    <n v="27.0488938195444"/>
    <n v="6581.8974960891301"/>
    <n v="23694.8309859209"/>
  </r>
  <r>
    <x v="0"/>
    <x v="0"/>
    <x v="0"/>
    <x v="0"/>
    <x v="1"/>
    <x v="13"/>
    <x v="2"/>
    <x v="0"/>
    <x v="0"/>
    <s v="GNR_ST_MSW_BP_E-23"/>
    <x v="2"/>
    <x v="5"/>
    <n v="27.0488938195444"/>
    <n v="6581.8974960891301"/>
    <n v="23694.8309859209"/>
  </r>
  <r>
    <x v="0"/>
    <x v="0"/>
    <x v="0"/>
    <x v="0"/>
    <x v="1"/>
    <x v="13"/>
    <x v="2"/>
    <x v="0"/>
    <x v="0"/>
    <s v="GNR_ST_MSW_BP_E-23"/>
    <x v="2"/>
    <x v="3"/>
    <n v="27.0488938195444"/>
    <n v="6581.8974960891301"/>
    <n v="23694.8309859209"/>
  </r>
  <r>
    <x v="0"/>
    <x v="0"/>
    <x v="0"/>
    <x v="0"/>
    <x v="1"/>
    <x v="13"/>
    <x v="2"/>
    <x v="0"/>
    <x v="0"/>
    <s v="GNR_ST_MSW_BP_E-23"/>
    <x v="2"/>
    <x v="6"/>
    <n v="27.0488938195444"/>
    <n v="6581.8974960891301"/>
    <n v="23694.8309859209"/>
  </r>
  <r>
    <x v="0"/>
    <x v="0"/>
    <x v="0"/>
    <x v="0"/>
    <x v="1"/>
    <x v="13"/>
    <x v="2"/>
    <x v="0"/>
    <x v="0"/>
    <s v="GNR_ST_MSW_BP_E-23"/>
    <x v="2"/>
    <x v="4"/>
    <n v="27.0488938195444"/>
    <n v="6581.8974960891301"/>
    <n v="23694.8309859209"/>
  </r>
  <r>
    <x v="0"/>
    <x v="0"/>
    <x v="0"/>
    <x v="0"/>
    <x v="1"/>
    <x v="13"/>
    <x v="2"/>
    <x v="0"/>
    <x v="0"/>
    <s v="GNR_ST_MSW_BP_E-23"/>
    <x v="2"/>
    <x v="7"/>
    <n v="27.0488938195444"/>
    <n v="6581.8974960891301"/>
    <n v="23694.8309859209"/>
  </r>
  <r>
    <x v="0"/>
    <x v="0"/>
    <x v="0"/>
    <x v="0"/>
    <x v="1"/>
    <x v="13"/>
    <x v="2"/>
    <x v="0"/>
    <x v="0"/>
    <s v="GNR_ST_MSW_BP_E-23"/>
    <x v="2"/>
    <x v="8"/>
    <n v="27.0488938195444"/>
    <n v="6581.8974960891301"/>
    <n v="23694.8309859209"/>
  </r>
  <r>
    <x v="0"/>
    <x v="0"/>
    <x v="0"/>
    <x v="0"/>
    <x v="1"/>
    <x v="13"/>
    <x v="2"/>
    <x v="0"/>
    <x v="0"/>
    <s v="GNR_ST_MSW_BP_E-23"/>
    <x v="2"/>
    <x v="0"/>
    <n v="27.0488938195444"/>
    <n v="6581.8974960891301"/>
    <n v="23694.8309859209"/>
  </r>
  <r>
    <x v="0"/>
    <x v="0"/>
    <x v="0"/>
    <x v="0"/>
    <x v="1"/>
    <x v="13"/>
    <x v="2"/>
    <x v="0"/>
    <x v="0"/>
    <s v="GNR_ST_MSW_BP_E-23"/>
    <x v="2"/>
    <x v="1"/>
    <n v="27.0488938195444"/>
    <n v="6581.8974960891301"/>
    <n v="23694.8309859209"/>
  </r>
  <r>
    <x v="0"/>
    <x v="0"/>
    <x v="0"/>
    <x v="0"/>
    <x v="1"/>
    <x v="13"/>
    <x v="2"/>
    <x v="0"/>
    <x v="0"/>
    <s v="GNR_ST_MSW_BP_E-23"/>
    <x v="2"/>
    <x v="2"/>
    <n v="27.0488938195444"/>
    <n v="6581.8974960891301"/>
    <n v="23694.8309859209"/>
  </r>
  <r>
    <x v="0"/>
    <x v="0"/>
    <x v="0"/>
    <x v="0"/>
    <x v="1"/>
    <x v="13"/>
    <x v="2"/>
    <x v="0"/>
    <x v="0"/>
    <s v="GNR_ST_MSW_BP_E-23"/>
    <x v="2"/>
    <x v="9"/>
    <n v="27.0488938195444"/>
    <n v="6581.8974960891301"/>
    <n v="23694.8309859209"/>
  </r>
  <r>
    <x v="0"/>
    <x v="0"/>
    <x v="0"/>
    <x v="0"/>
    <x v="1"/>
    <x v="13"/>
    <x v="2"/>
    <x v="0"/>
    <x v="0"/>
    <s v="GNR_ST_MSW_BP_E-23"/>
    <x v="2"/>
    <x v="10"/>
    <n v="27.0488938195444"/>
    <n v="6581.8974960891301"/>
    <n v="23694.8309859209"/>
  </r>
  <r>
    <x v="0"/>
    <x v="0"/>
    <x v="0"/>
    <x v="0"/>
    <x v="1"/>
    <x v="13"/>
    <x v="2"/>
    <x v="0"/>
    <x v="0"/>
    <s v="GNR_ST_MSW_BP_E-23"/>
    <x v="2"/>
    <x v="11"/>
    <n v="27.0488938195444"/>
    <n v="6581.8974960891301"/>
    <n v="23694.8309859209"/>
  </r>
  <r>
    <x v="0"/>
    <x v="0"/>
    <x v="0"/>
    <x v="0"/>
    <x v="1"/>
    <x v="13"/>
    <x v="2"/>
    <x v="0"/>
    <x v="0"/>
    <s v="GNR_ST_MSW_BP_E-23"/>
    <x v="1"/>
    <x v="5"/>
    <n v="27.0488938195444"/>
    <n v="6581.8974960891301"/>
    <n v="23694.8309859209"/>
  </r>
  <r>
    <x v="0"/>
    <x v="0"/>
    <x v="0"/>
    <x v="0"/>
    <x v="1"/>
    <x v="13"/>
    <x v="2"/>
    <x v="0"/>
    <x v="0"/>
    <s v="GNR_ST_MSW_BP_E-23"/>
    <x v="1"/>
    <x v="3"/>
    <n v="27.0488938195444"/>
    <n v="6581.8974960891301"/>
    <n v="23694.8309859209"/>
  </r>
  <r>
    <x v="0"/>
    <x v="0"/>
    <x v="0"/>
    <x v="0"/>
    <x v="1"/>
    <x v="13"/>
    <x v="2"/>
    <x v="0"/>
    <x v="0"/>
    <s v="GNR_ST_MSW_BP_E-23"/>
    <x v="1"/>
    <x v="6"/>
    <n v="27.0488938195444"/>
    <n v="6581.8974960891301"/>
    <n v="23694.8309859209"/>
  </r>
  <r>
    <x v="0"/>
    <x v="0"/>
    <x v="0"/>
    <x v="0"/>
    <x v="1"/>
    <x v="13"/>
    <x v="2"/>
    <x v="0"/>
    <x v="0"/>
    <s v="GNR_ST_MSW_BP_E-23"/>
    <x v="1"/>
    <x v="4"/>
    <n v="27.0488938195444"/>
    <n v="6581.8974960891301"/>
    <n v="23694.8309859209"/>
  </r>
  <r>
    <x v="0"/>
    <x v="0"/>
    <x v="0"/>
    <x v="0"/>
    <x v="1"/>
    <x v="13"/>
    <x v="2"/>
    <x v="0"/>
    <x v="0"/>
    <s v="GNR_ST_MSW_BP_E-23"/>
    <x v="1"/>
    <x v="7"/>
    <n v="27.0488938195444"/>
    <n v="6581.8974960891301"/>
    <n v="23694.8309859209"/>
  </r>
  <r>
    <x v="0"/>
    <x v="0"/>
    <x v="0"/>
    <x v="0"/>
    <x v="1"/>
    <x v="13"/>
    <x v="2"/>
    <x v="0"/>
    <x v="0"/>
    <s v="GNR_ST_MSW_BP_E-23"/>
    <x v="1"/>
    <x v="8"/>
    <n v="27.0488938195444"/>
    <n v="6581.8974960891301"/>
    <n v="23694.8309859209"/>
  </r>
  <r>
    <x v="0"/>
    <x v="0"/>
    <x v="0"/>
    <x v="0"/>
    <x v="1"/>
    <x v="13"/>
    <x v="2"/>
    <x v="0"/>
    <x v="0"/>
    <s v="GNR_ST_MSW_BP_E-23"/>
    <x v="1"/>
    <x v="0"/>
    <n v="27.0488938195444"/>
    <n v="6581.8974960891301"/>
    <n v="23694.8309859209"/>
  </r>
  <r>
    <x v="0"/>
    <x v="0"/>
    <x v="0"/>
    <x v="0"/>
    <x v="1"/>
    <x v="13"/>
    <x v="2"/>
    <x v="0"/>
    <x v="0"/>
    <s v="GNR_ST_MSW_BP_E-23"/>
    <x v="1"/>
    <x v="1"/>
    <n v="27.0488938195444"/>
    <n v="6581.8974960891301"/>
    <n v="23694.8309859209"/>
  </r>
  <r>
    <x v="0"/>
    <x v="0"/>
    <x v="0"/>
    <x v="0"/>
    <x v="1"/>
    <x v="13"/>
    <x v="2"/>
    <x v="0"/>
    <x v="0"/>
    <s v="GNR_ST_MSW_BP_E-23"/>
    <x v="1"/>
    <x v="2"/>
    <n v="27.0488938195444"/>
    <n v="6581.8974960891301"/>
    <n v="23694.8309859209"/>
  </r>
  <r>
    <x v="0"/>
    <x v="0"/>
    <x v="0"/>
    <x v="0"/>
    <x v="1"/>
    <x v="13"/>
    <x v="2"/>
    <x v="0"/>
    <x v="0"/>
    <s v="GNR_ST_MSW_BP_E-23"/>
    <x v="1"/>
    <x v="9"/>
    <n v="27.0488938195444"/>
    <n v="6581.8974960891301"/>
    <n v="23694.8309859209"/>
  </r>
  <r>
    <x v="0"/>
    <x v="0"/>
    <x v="0"/>
    <x v="0"/>
    <x v="1"/>
    <x v="13"/>
    <x v="2"/>
    <x v="0"/>
    <x v="0"/>
    <s v="GNR_ST_MSW_BP_E-23"/>
    <x v="1"/>
    <x v="10"/>
    <n v="27.0488938195444"/>
    <n v="6581.8974960891301"/>
    <n v="23694.8309859209"/>
  </r>
  <r>
    <x v="0"/>
    <x v="0"/>
    <x v="0"/>
    <x v="0"/>
    <x v="1"/>
    <x v="13"/>
    <x v="2"/>
    <x v="0"/>
    <x v="0"/>
    <s v="GNR_ST_MSW_BP_E-23"/>
    <x v="1"/>
    <x v="11"/>
    <n v="27.0488938195444"/>
    <n v="6581.8974960891301"/>
    <n v="23694.8309859209"/>
  </r>
  <r>
    <x v="0"/>
    <x v="0"/>
    <x v="0"/>
    <x v="0"/>
    <x v="1"/>
    <x v="13"/>
    <x v="3"/>
    <x v="0"/>
    <x v="0"/>
    <s v="GNR_ENG_NGAS_BP_E-35"/>
    <x v="0"/>
    <x v="0"/>
    <n v="1.0777777777777799"/>
    <n v="262.25925925925901"/>
    <n v="944.13333333333298"/>
  </r>
  <r>
    <x v="0"/>
    <x v="0"/>
    <x v="0"/>
    <x v="0"/>
    <x v="1"/>
    <x v="13"/>
    <x v="3"/>
    <x v="0"/>
    <x v="0"/>
    <s v="GNR_ENG_NGAS_BP_E-35"/>
    <x v="0"/>
    <x v="1"/>
    <n v="1.0777777777777799"/>
    <n v="262.25925925925901"/>
    <n v="944.13333333333298"/>
  </r>
  <r>
    <x v="0"/>
    <x v="0"/>
    <x v="0"/>
    <x v="0"/>
    <x v="1"/>
    <x v="13"/>
    <x v="3"/>
    <x v="0"/>
    <x v="0"/>
    <s v="GNR_ENG_NGAS_BP_E-35"/>
    <x v="0"/>
    <x v="2"/>
    <n v="1.0777777777777799"/>
    <n v="262.25925925925901"/>
    <n v="944.13333333333298"/>
  </r>
  <r>
    <x v="0"/>
    <x v="0"/>
    <x v="0"/>
    <x v="0"/>
    <x v="1"/>
    <x v="13"/>
    <x v="3"/>
    <x v="0"/>
    <x v="0"/>
    <s v="GNR_ENG_NGAS_BP_E-35"/>
    <x v="1"/>
    <x v="3"/>
    <n v="1.0777777777777799"/>
    <n v="262.25925925925901"/>
    <n v="944.13333333333298"/>
  </r>
  <r>
    <x v="0"/>
    <x v="0"/>
    <x v="0"/>
    <x v="0"/>
    <x v="1"/>
    <x v="13"/>
    <x v="3"/>
    <x v="0"/>
    <x v="0"/>
    <s v="GNR_ENG_NGAS_BP_E-35"/>
    <x v="1"/>
    <x v="0"/>
    <n v="1.0777777777777799"/>
    <n v="262.25925925925901"/>
    <n v="944.13333333333298"/>
  </r>
  <r>
    <x v="0"/>
    <x v="0"/>
    <x v="0"/>
    <x v="0"/>
    <x v="1"/>
    <x v="13"/>
    <x v="3"/>
    <x v="0"/>
    <x v="0"/>
    <s v="GNR_ENG_NGAS_BP_E-35"/>
    <x v="1"/>
    <x v="2"/>
    <n v="1.0777777777777799"/>
    <n v="262.25925925925901"/>
    <n v="944.13333333333298"/>
  </r>
  <r>
    <x v="0"/>
    <x v="0"/>
    <x v="0"/>
    <x v="0"/>
    <x v="1"/>
    <x v="13"/>
    <x v="3"/>
    <x v="0"/>
    <x v="0"/>
    <s v="GNR_ENG_NGAS_BP_E-42"/>
    <x v="0"/>
    <x v="0"/>
    <n v="2.2222222222222201"/>
    <n v="540.74074074074099"/>
    <n v="1946.6666666666699"/>
  </r>
  <r>
    <x v="0"/>
    <x v="0"/>
    <x v="0"/>
    <x v="0"/>
    <x v="1"/>
    <x v="13"/>
    <x v="3"/>
    <x v="0"/>
    <x v="0"/>
    <s v="GNR_ENG_NGAS_BP_E-42"/>
    <x v="0"/>
    <x v="1"/>
    <n v="2.2222222222222201"/>
    <n v="540.74074074074099"/>
    <n v="1946.6666666666699"/>
  </r>
  <r>
    <x v="0"/>
    <x v="0"/>
    <x v="0"/>
    <x v="0"/>
    <x v="1"/>
    <x v="13"/>
    <x v="3"/>
    <x v="0"/>
    <x v="0"/>
    <s v="GNR_ENG_NGAS_BP_E-42"/>
    <x v="0"/>
    <x v="2"/>
    <n v="2.2222222222222201"/>
    <n v="540.74074074074099"/>
    <n v="1946.6666666666699"/>
  </r>
  <r>
    <x v="0"/>
    <x v="0"/>
    <x v="0"/>
    <x v="0"/>
    <x v="1"/>
    <x v="13"/>
    <x v="3"/>
    <x v="0"/>
    <x v="0"/>
    <s v="GNR_ENG_NGAS_BP_E-42"/>
    <x v="1"/>
    <x v="3"/>
    <n v="2.2222222222222201"/>
    <n v="540.74074074074099"/>
    <n v="1946.6666666666699"/>
  </r>
  <r>
    <x v="0"/>
    <x v="0"/>
    <x v="0"/>
    <x v="0"/>
    <x v="1"/>
    <x v="13"/>
    <x v="3"/>
    <x v="0"/>
    <x v="0"/>
    <s v="GNR_ENG_NGAS_BP_E-42"/>
    <x v="1"/>
    <x v="4"/>
    <n v="2.2222222222222201"/>
    <n v="540.74074074074099"/>
    <n v="1946.6666666666699"/>
  </r>
  <r>
    <x v="0"/>
    <x v="0"/>
    <x v="0"/>
    <x v="0"/>
    <x v="1"/>
    <x v="13"/>
    <x v="3"/>
    <x v="0"/>
    <x v="0"/>
    <s v="GNR_ENG_NGAS_BP_E-42"/>
    <x v="1"/>
    <x v="0"/>
    <n v="2.2222222222222201"/>
    <n v="540.74074074074099"/>
    <n v="1946.6666666666699"/>
  </r>
  <r>
    <x v="0"/>
    <x v="0"/>
    <x v="0"/>
    <x v="0"/>
    <x v="1"/>
    <x v="13"/>
    <x v="3"/>
    <x v="0"/>
    <x v="0"/>
    <s v="GNR_ENG_NGAS_BP_E-42"/>
    <x v="1"/>
    <x v="2"/>
    <n v="2.2222222222222201"/>
    <n v="540.74074074074099"/>
    <n v="1946.6666666666699"/>
  </r>
  <r>
    <x v="0"/>
    <x v="0"/>
    <x v="0"/>
    <x v="0"/>
    <x v="1"/>
    <x v="13"/>
    <x v="3"/>
    <x v="0"/>
    <x v="0"/>
    <s v="GNR_ENG_NGAS_BP_E-48_Y-2030"/>
    <x v="0"/>
    <x v="3"/>
    <n v="132.05647332039399"/>
    <n v="32133.741841295901"/>
    <n v="115681.470628665"/>
  </r>
  <r>
    <x v="0"/>
    <x v="0"/>
    <x v="0"/>
    <x v="0"/>
    <x v="1"/>
    <x v="13"/>
    <x v="3"/>
    <x v="0"/>
    <x v="0"/>
    <s v="GNR_ENG_NGAS_BP_E-48_Y-2030"/>
    <x v="0"/>
    <x v="4"/>
    <n v="27.176401066390099"/>
    <n v="6612.9242594882598"/>
    <n v="23806.527334157701"/>
  </r>
  <r>
    <x v="0"/>
    <x v="0"/>
    <x v="0"/>
    <x v="0"/>
    <x v="1"/>
    <x v="13"/>
    <x v="3"/>
    <x v="0"/>
    <x v="0"/>
    <s v="GNR_ENG_NGAS_BP_E-48_Y-2030"/>
    <x v="0"/>
    <x v="8"/>
    <n v="286.42969244469202"/>
    <n v="69697.891828208405"/>
    <n v="250912.41058155001"/>
  </r>
  <r>
    <x v="0"/>
    <x v="0"/>
    <x v="0"/>
    <x v="0"/>
    <x v="1"/>
    <x v="13"/>
    <x v="3"/>
    <x v="0"/>
    <x v="0"/>
    <s v="GNR_ENG_NGAS_BP_E-48_Y-2030"/>
    <x v="0"/>
    <x v="0"/>
    <n v="286.42969244469202"/>
    <n v="69697.891828208405"/>
    <n v="250912.41058155001"/>
  </r>
  <r>
    <x v="0"/>
    <x v="0"/>
    <x v="0"/>
    <x v="0"/>
    <x v="1"/>
    <x v="13"/>
    <x v="3"/>
    <x v="0"/>
    <x v="0"/>
    <s v="GNR_ENG_NGAS_BP_E-48_Y-2030"/>
    <x v="0"/>
    <x v="1"/>
    <n v="286.42969244469202"/>
    <n v="69697.891828208405"/>
    <n v="250912.41058155001"/>
  </r>
  <r>
    <x v="0"/>
    <x v="0"/>
    <x v="0"/>
    <x v="0"/>
    <x v="1"/>
    <x v="13"/>
    <x v="3"/>
    <x v="0"/>
    <x v="0"/>
    <s v="GNR_ENG_NGAS_BP_E-48_Y-2030"/>
    <x v="0"/>
    <x v="2"/>
    <n v="286.42969244469202"/>
    <n v="69697.891828208405"/>
    <n v="250912.41058155001"/>
  </r>
  <r>
    <x v="0"/>
    <x v="0"/>
    <x v="0"/>
    <x v="0"/>
    <x v="1"/>
    <x v="13"/>
    <x v="3"/>
    <x v="0"/>
    <x v="0"/>
    <s v="GNR_ENG_NGAS_BP_E-48_Y-2030"/>
    <x v="0"/>
    <x v="9"/>
    <n v="286.42969244469202"/>
    <n v="69697.891828208405"/>
    <n v="250912.41058155001"/>
  </r>
  <r>
    <x v="0"/>
    <x v="0"/>
    <x v="0"/>
    <x v="0"/>
    <x v="1"/>
    <x v="13"/>
    <x v="3"/>
    <x v="0"/>
    <x v="0"/>
    <s v="GNR_ENG_NGAS_BP_E-48_Y-2030"/>
    <x v="0"/>
    <x v="10"/>
    <n v="286.42969244469202"/>
    <n v="69697.891828208405"/>
    <n v="250912.41058155001"/>
  </r>
  <r>
    <x v="0"/>
    <x v="0"/>
    <x v="0"/>
    <x v="0"/>
    <x v="1"/>
    <x v="13"/>
    <x v="3"/>
    <x v="0"/>
    <x v="0"/>
    <s v="GNR_ENG_NGAS_BP_E-48_Y-2030"/>
    <x v="0"/>
    <x v="11"/>
    <n v="286.42969244469202"/>
    <n v="69697.891828208405"/>
    <n v="250912.41058155001"/>
  </r>
  <r>
    <x v="0"/>
    <x v="0"/>
    <x v="0"/>
    <x v="0"/>
    <x v="1"/>
    <x v="13"/>
    <x v="3"/>
    <x v="0"/>
    <x v="0"/>
    <s v="GNR_ENG_NGAS_BP_E-48_Y-2030"/>
    <x v="2"/>
    <x v="3"/>
    <n v="286.42969244469202"/>
    <n v="69697.891828208405"/>
    <n v="250912.41058155001"/>
  </r>
  <r>
    <x v="0"/>
    <x v="0"/>
    <x v="0"/>
    <x v="0"/>
    <x v="1"/>
    <x v="13"/>
    <x v="3"/>
    <x v="0"/>
    <x v="0"/>
    <s v="GNR_ENG_NGAS_BP_E-48_Y-2030"/>
    <x v="2"/>
    <x v="4"/>
    <n v="286.42969244469202"/>
    <n v="69697.891828208405"/>
    <n v="250912.41058155001"/>
  </r>
  <r>
    <x v="0"/>
    <x v="0"/>
    <x v="0"/>
    <x v="0"/>
    <x v="1"/>
    <x v="13"/>
    <x v="3"/>
    <x v="0"/>
    <x v="0"/>
    <s v="GNR_ENG_NGAS_BP_E-48_Y-2030"/>
    <x v="2"/>
    <x v="1"/>
    <n v="80.559505560828597"/>
    <n v="19602.813019801601"/>
    <n v="70570.1268712858"/>
  </r>
  <r>
    <x v="0"/>
    <x v="0"/>
    <x v="0"/>
    <x v="0"/>
    <x v="1"/>
    <x v="13"/>
    <x v="3"/>
    <x v="0"/>
    <x v="0"/>
    <s v="GNR_ENG_NGAS_BP_E-48_Y-2030"/>
    <x v="2"/>
    <x v="2"/>
    <n v="56.023684051671502"/>
    <n v="13632.429785906699"/>
    <n v="49076.747229264198"/>
  </r>
  <r>
    <x v="0"/>
    <x v="0"/>
    <x v="0"/>
    <x v="0"/>
    <x v="1"/>
    <x v="13"/>
    <x v="3"/>
    <x v="0"/>
    <x v="0"/>
    <s v="GNR_ENG_NGAS_BP_E-48_Y-2030"/>
    <x v="2"/>
    <x v="10"/>
    <n v="97.321437121212995"/>
    <n v="23681.549699495201"/>
    <n v="85253.578918182597"/>
  </r>
  <r>
    <x v="0"/>
    <x v="0"/>
    <x v="0"/>
    <x v="0"/>
    <x v="1"/>
    <x v="13"/>
    <x v="3"/>
    <x v="0"/>
    <x v="0"/>
    <s v="GNR_ENG_NGAS_BP_E-48_Y-2030"/>
    <x v="1"/>
    <x v="3"/>
    <n v="286.42969244469202"/>
    <n v="69697.891828208405"/>
    <n v="250912.41058155001"/>
  </r>
  <r>
    <x v="0"/>
    <x v="0"/>
    <x v="0"/>
    <x v="0"/>
    <x v="1"/>
    <x v="13"/>
    <x v="3"/>
    <x v="0"/>
    <x v="0"/>
    <s v="GNR_ENG_NGAS_BP_E-48_Y-2030"/>
    <x v="1"/>
    <x v="6"/>
    <n v="9.2531507586855408"/>
    <n v="2251.6000179468101"/>
    <n v="8105.7600646085302"/>
  </r>
  <r>
    <x v="0"/>
    <x v="0"/>
    <x v="0"/>
    <x v="0"/>
    <x v="1"/>
    <x v="13"/>
    <x v="3"/>
    <x v="0"/>
    <x v="0"/>
    <s v="GNR_ENG_NGAS_BP_E-48_Y-2030"/>
    <x v="1"/>
    <x v="4"/>
    <n v="286.42969244469202"/>
    <n v="69697.891828208405"/>
    <n v="250912.41058155001"/>
  </r>
  <r>
    <x v="0"/>
    <x v="0"/>
    <x v="0"/>
    <x v="0"/>
    <x v="1"/>
    <x v="13"/>
    <x v="3"/>
    <x v="0"/>
    <x v="0"/>
    <s v="GNR_ENG_NGAS_BP_E-48_Y-2030"/>
    <x v="1"/>
    <x v="7"/>
    <n v="286.42969244469202"/>
    <n v="69697.891828208405"/>
    <n v="250912.41058155001"/>
  </r>
  <r>
    <x v="0"/>
    <x v="0"/>
    <x v="0"/>
    <x v="0"/>
    <x v="1"/>
    <x v="13"/>
    <x v="3"/>
    <x v="0"/>
    <x v="0"/>
    <s v="GNR_ENG_NGAS_BP_E-48_Y-2030"/>
    <x v="1"/>
    <x v="0"/>
    <n v="286.42969244469202"/>
    <n v="69697.891828208405"/>
    <n v="250912.41058155001"/>
  </r>
  <r>
    <x v="0"/>
    <x v="0"/>
    <x v="0"/>
    <x v="0"/>
    <x v="1"/>
    <x v="13"/>
    <x v="3"/>
    <x v="0"/>
    <x v="0"/>
    <s v="GNR_ENG_NGAS_BP_E-48_Y-2030"/>
    <x v="1"/>
    <x v="1"/>
    <n v="286.42969244469202"/>
    <n v="69697.891828208405"/>
    <n v="250912.41058155001"/>
  </r>
  <r>
    <x v="0"/>
    <x v="0"/>
    <x v="0"/>
    <x v="0"/>
    <x v="1"/>
    <x v="13"/>
    <x v="3"/>
    <x v="0"/>
    <x v="0"/>
    <s v="GNR_ENG_NGAS_BP_E-48_Y-2030"/>
    <x v="1"/>
    <x v="2"/>
    <n v="286.42969244469202"/>
    <n v="69697.891828208405"/>
    <n v="250912.41058155001"/>
  </r>
  <r>
    <x v="0"/>
    <x v="0"/>
    <x v="0"/>
    <x v="0"/>
    <x v="1"/>
    <x v="13"/>
    <x v="5"/>
    <x v="3"/>
    <x v="4"/>
    <s v="GNR_SH_SUN"/>
    <x v="0"/>
    <x v="7"/>
    <n v="12.770181066626501"/>
    <n v="3107.4107262124398"/>
    <n v="11186.678614364801"/>
  </r>
  <r>
    <x v="0"/>
    <x v="0"/>
    <x v="0"/>
    <x v="0"/>
    <x v="1"/>
    <x v="13"/>
    <x v="5"/>
    <x v="3"/>
    <x v="4"/>
    <s v="GNR_SH_SUN"/>
    <x v="0"/>
    <x v="0"/>
    <n v="3.1103109349218898"/>
    <n v="756.84232749766102"/>
    <n v="2724.63237899158"/>
  </r>
  <r>
    <x v="0"/>
    <x v="0"/>
    <x v="0"/>
    <x v="0"/>
    <x v="1"/>
    <x v="13"/>
    <x v="5"/>
    <x v="3"/>
    <x v="4"/>
    <s v="GNR_SH_SUN"/>
    <x v="0"/>
    <x v="9"/>
    <n v="6.7921616010791404"/>
    <n v="1652.75932292926"/>
    <n v="5949.9335625453296"/>
  </r>
  <r>
    <x v="0"/>
    <x v="0"/>
    <x v="0"/>
    <x v="0"/>
    <x v="1"/>
    <x v="13"/>
    <x v="5"/>
    <x v="3"/>
    <x v="4"/>
    <s v="GNR_SH_SUN"/>
    <x v="0"/>
    <x v="11"/>
    <n v="0.54190685882754097"/>
    <n v="131.86400231470199"/>
    <n v="474.71040833292602"/>
  </r>
  <r>
    <x v="0"/>
    <x v="0"/>
    <x v="0"/>
    <x v="0"/>
    <x v="1"/>
    <x v="13"/>
    <x v="5"/>
    <x v="3"/>
    <x v="4"/>
    <s v="GNR_SH_SUN"/>
    <x v="2"/>
    <x v="6"/>
    <n v="2.7865474415026301"/>
    <n v="678.05987743230696"/>
    <n v="2441.0155587562999"/>
  </r>
  <r>
    <x v="0"/>
    <x v="0"/>
    <x v="0"/>
    <x v="0"/>
    <x v="1"/>
    <x v="13"/>
    <x v="5"/>
    <x v="3"/>
    <x v="4"/>
    <s v="GNR_SH_SUN"/>
    <x v="2"/>
    <x v="9"/>
    <n v="1.0445619700208599"/>
    <n v="254.17674603840899"/>
    <n v="915.036285738272"/>
  </r>
  <r>
    <x v="0"/>
    <x v="0"/>
    <x v="0"/>
    <x v="0"/>
    <x v="1"/>
    <x v="13"/>
    <x v="5"/>
    <x v="3"/>
    <x v="4"/>
    <s v="GNR_SH_SUN"/>
    <x v="1"/>
    <x v="7"/>
    <n v="8.1159620293629207"/>
    <n v="1974.88409381164"/>
    <n v="7109.5827377219202"/>
  </r>
  <r>
    <x v="0"/>
    <x v="0"/>
    <x v="0"/>
    <x v="0"/>
    <x v="1"/>
    <x v="13"/>
    <x v="5"/>
    <x v="3"/>
    <x v="4"/>
    <s v="GNR_SH_SUN"/>
    <x v="1"/>
    <x v="0"/>
    <n v="1.81914714625243"/>
    <n v="442.65913892142498"/>
    <n v="1593.5729001171301"/>
  </r>
  <r>
    <x v="0"/>
    <x v="0"/>
    <x v="0"/>
    <x v="0"/>
    <x v="1"/>
    <x v="13"/>
    <x v="5"/>
    <x v="3"/>
    <x v="4"/>
    <s v="GNR_SH_SUN"/>
    <x v="1"/>
    <x v="9"/>
    <n v="12.388221710516"/>
    <n v="3014.4672828922398"/>
    <n v="10852.082218412101"/>
  </r>
  <r>
    <x v="0"/>
    <x v="0"/>
    <x v="0"/>
    <x v="0"/>
    <x v="1"/>
    <x v="13"/>
    <x v="5"/>
    <x v="3"/>
    <x v="4"/>
    <s v="GNR_SH_SUN"/>
    <x v="1"/>
    <x v="11"/>
    <n v="3.5004512956845701"/>
    <n v="851.77648194991298"/>
    <n v="3066.3953350196898"/>
  </r>
  <r>
    <x v="0"/>
    <x v="0"/>
    <x v="0"/>
    <x v="0"/>
    <x v="1"/>
    <x v="13"/>
    <x v="6"/>
    <x v="2"/>
    <x v="3"/>
    <s v="GNR_EH_HEAT"/>
    <x v="0"/>
    <x v="5"/>
    <n v="34"/>
    <n v="8273.3333333333303"/>
    <n v="29784"/>
  </r>
  <r>
    <x v="0"/>
    <x v="0"/>
    <x v="0"/>
    <x v="0"/>
    <x v="1"/>
    <x v="13"/>
    <x v="6"/>
    <x v="2"/>
    <x v="3"/>
    <s v="GNR_EH_HEAT"/>
    <x v="0"/>
    <x v="3"/>
    <n v="34"/>
    <n v="8273.3333333333303"/>
    <n v="29784"/>
  </r>
  <r>
    <x v="0"/>
    <x v="0"/>
    <x v="0"/>
    <x v="0"/>
    <x v="1"/>
    <x v="13"/>
    <x v="6"/>
    <x v="2"/>
    <x v="3"/>
    <s v="GNR_EH_HEAT"/>
    <x v="0"/>
    <x v="6"/>
    <n v="34"/>
    <n v="8273.3333333333303"/>
    <n v="29784"/>
  </r>
  <r>
    <x v="0"/>
    <x v="0"/>
    <x v="0"/>
    <x v="0"/>
    <x v="1"/>
    <x v="13"/>
    <x v="6"/>
    <x v="2"/>
    <x v="3"/>
    <s v="GNR_EH_HEAT"/>
    <x v="0"/>
    <x v="4"/>
    <n v="34"/>
    <n v="8273.3333333333303"/>
    <n v="29784"/>
  </r>
  <r>
    <x v="0"/>
    <x v="0"/>
    <x v="0"/>
    <x v="0"/>
    <x v="1"/>
    <x v="13"/>
    <x v="6"/>
    <x v="2"/>
    <x v="3"/>
    <s v="GNR_EH_HEAT"/>
    <x v="0"/>
    <x v="7"/>
    <n v="34"/>
    <n v="8273.3333333333303"/>
    <n v="29784"/>
  </r>
  <r>
    <x v="0"/>
    <x v="0"/>
    <x v="0"/>
    <x v="0"/>
    <x v="1"/>
    <x v="13"/>
    <x v="6"/>
    <x v="2"/>
    <x v="3"/>
    <s v="GNR_EH_HEAT"/>
    <x v="0"/>
    <x v="8"/>
    <n v="34"/>
    <n v="8273.3333333333303"/>
    <n v="29784"/>
  </r>
  <r>
    <x v="0"/>
    <x v="0"/>
    <x v="0"/>
    <x v="0"/>
    <x v="1"/>
    <x v="13"/>
    <x v="6"/>
    <x v="2"/>
    <x v="3"/>
    <s v="GNR_EH_HEAT"/>
    <x v="0"/>
    <x v="0"/>
    <n v="34"/>
    <n v="8273.3333333333303"/>
    <n v="29784"/>
  </r>
  <r>
    <x v="0"/>
    <x v="0"/>
    <x v="0"/>
    <x v="0"/>
    <x v="1"/>
    <x v="13"/>
    <x v="6"/>
    <x v="2"/>
    <x v="3"/>
    <s v="GNR_EH_HEAT"/>
    <x v="0"/>
    <x v="1"/>
    <n v="34"/>
    <n v="8273.3333333333303"/>
    <n v="29784"/>
  </r>
  <r>
    <x v="0"/>
    <x v="0"/>
    <x v="0"/>
    <x v="0"/>
    <x v="1"/>
    <x v="13"/>
    <x v="6"/>
    <x v="2"/>
    <x v="3"/>
    <s v="GNR_EH_HEAT"/>
    <x v="0"/>
    <x v="2"/>
    <n v="34"/>
    <n v="8273.3333333333303"/>
    <n v="29784"/>
  </r>
  <r>
    <x v="0"/>
    <x v="0"/>
    <x v="0"/>
    <x v="0"/>
    <x v="1"/>
    <x v="13"/>
    <x v="6"/>
    <x v="2"/>
    <x v="3"/>
    <s v="GNR_EH_HEAT"/>
    <x v="0"/>
    <x v="9"/>
    <n v="34"/>
    <n v="8273.3333333333303"/>
    <n v="29784"/>
  </r>
  <r>
    <x v="0"/>
    <x v="0"/>
    <x v="0"/>
    <x v="0"/>
    <x v="1"/>
    <x v="13"/>
    <x v="6"/>
    <x v="2"/>
    <x v="3"/>
    <s v="GNR_EH_HEAT"/>
    <x v="0"/>
    <x v="10"/>
    <n v="34"/>
    <n v="8273.3333333333303"/>
    <n v="29784"/>
  </r>
  <r>
    <x v="0"/>
    <x v="0"/>
    <x v="0"/>
    <x v="0"/>
    <x v="1"/>
    <x v="13"/>
    <x v="6"/>
    <x v="2"/>
    <x v="3"/>
    <s v="GNR_EH_HEAT"/>
    <x v="0"/>
    <x v="11"/>
    <n v="34"/>
    <n v="8273.3333333333303"/>
    <n v="29784"/>
  </r>
  <r>
    <x v="0"/>
    <x v="0"/>
    <x v="0"/>
    <x v="0"/>
    <x v="1"/>
    <x v="13"/>
    <x v="6"/>
    <x v="2"/>
    <x v="3"/>
    <s v="GNR_EH_HEAT"/>
    <x v="2"/>
    <x v="5"/>
    <n v="34"/>
    <n v="8273.3333333333303"/>
    <n v="29784"/>
  </r>
  <r>
    <x v="0"/>
    <x v="0"/>
    <x v="0"/>
    <x v="0"/>
    <x v="1"/>
    <x v="13"/>
    <x v="6"/>
    <x v="2"/>
    <x v="3"/>
    <s v="GNR_EH_HEAT"/>
    <x v="2"/>
    <x v="3"/>
    <n v="34"/>
    <n v="8273.3333333333303"/>
    <n v="29784"/>
  </r>
  <r>
    <x v="0"/>
    <x v="0"/>
    <x v="0"/>
    <x v="0"/>
    <x v="1"/>
    <x v="13"/>
    <x v="6"/>
    <x v="2"/>
    <x v="3"/>
    <s v="GNR_EH_HEAT"/>
    <x v="2"/>
    <x v="6"/>
    <n v="34"/>
    <n v="8273.3333333333303"/>
    <n v="29784"/>
  </r>
  <r>
    <x v="0"/>
    <x v="0"/>
    <x v="0"/>
    <x v="0"/>
    <x v="1"/>
    <x v="13"/>
    <x v="6"/>
    <x v="2"/>
    <x v="3"/>
    <s v="GNR_EH_HEAT"/>
    <x v="2"/>
    <x v="4"/>
    <n v="34"/>
    <n v="8273.3333333333303"/>
    <n v="29784"/>
  </r>
  <r>
    <x v="0"/>
    <x v="0"/>
    <x v="0"/>
    <x v="0"/>
    <x v="1"/>
    <x v="13"/>
    <x v="6"/>
    <x v="2"/>
    <x v="3"/>
    <s v="GNR_EH_HEAT"/>
    <x v="2"/>
    <x v="7"/>
    <n v="34"/>
    <n v="8273.3333333333303"/>
    <n v="29784"/>
  </r>
  <r>
    <x v="0"/>
    <x v="0"/>
    <x v="0"/>
    <x v="0"/>
    <x v="1"/>
    <x v="13"/>
    <x v="6"/>
    <x v="2"/>
    <x v="3"/>
    <s v="GNR_EH_HEAT"/>
    <x v="2"/>
    <x v="8"/>
    <n v="34"/>
    <n v="8273.3333333333303"/>
    <n v="29784"/>
  </r>
  <r>
    <x v="0"/>
    <x v="0"/>
    <x v="0"/>
    <x v="0"/>
    <x v="1"/>
    <x v="13"/>
    <x v="6"/>
    <x v="2"/>
    <x v="3"/>
    <s v="GNR_EH_HEAT"/>
    <x v="2"/>
    <x v="0"/>
    <n v="34"/>
    <n v="8273.3333333333303"/>
    <n v="29784"/>
  </r>
  <r>
    <x v="0"/>
    <x v="0"/>
    <x v="0"/>
    <x v="0"/>
    <x v="1"/>
    <x v="13"/>
    <x v="6"/>
    <x v="2"/>
    <x v="3"/>
    <s v="GNR_EH_HEAT"/>
    <x v="2"/>
    <x v="1"/>
    <n v="34"/>
    <n v="8273.3333333333303"/>
    <n v="29784"/>
  </r>
  <r>
    <x v="0"/>
    <x v="0"/>
    <x v="0"/>
    <x v="0"/>
    <x v="1"/>
    <x v="13"/>
    <x v="6"/>
    <x v="2"/>
    <x v="3"/>
    <s v="GNR_EH_HEAT"/>
    <x v="2"/>
    <x v="2"/>
    <n v="34"/>
    <n v="8273.3333333333303"/>
    <n v="29784"/>
  </r>
  <r>
    <x v="0"/>
    <x v="0"/>
    <x v="0"/>
    <x v="0"/>
    <x v="1"/>
    <x v="13"/>
    <x v="6"/>
    <x v="2"/>
    <x v="3"/>
    <s v="GNR_EH_HEAT"/>
    <x v="2"/>
    <x v="9"/>
    <n v="34"/>
    <n v="8273.3333333333303"/>
    <n v="29784"/>
  </r>
  <r>
    <x v="0"/>
    <x v="0"/>
    <x v="0"/>
    <x v="0"/>
    <x v="1"/>
    <x v="13"/>
    <x v="6"/>
    <x v="2"/>
    <x v="3"/>
    <s v="GNR_EH_HEAT"/>
    <x v="2"/>
    <x v="10"/>
    <n v="34"/>
    <n v="8273.3333333333303"/>
    <n v="29784"/>
  </r>
  <r>
    <x v="0"/>
    <x v="0"/>
    <x v="0"/>
    <x v="0"/>
    <x v="1"/>
    <x v="13"/>
    <x v="6"/>
    <x v="2"/>
    <x v="3"/>
    <s v="GNR_EH_HEAT"/>
    <x v="2"/>
    <x v="11"/>
    <n v="34"/>
    <n v="8273.3333333333303"/>
    <n v="29784"/>
  </r>
  <r>
    <x v="0"/>
    <x v="0"/>
    <x v="0"/>
    <x v="0"/>
    <x v="1"/>
    <x v="13"/>
    <x v="6"/>
    <x v="2"/>
    <x v="3"/>
    <s v="GNR_EH_HEAT"/>
    <x v="1"/>
    <x v="5"/>
    <n v="34"/>
    <n v="8273.3333333333303"/>
    <n v="29784"/>
  </r>
  <r>
    <x v="0"/>
    <x v="0"/>
    <x v="0"/>
    <x v="0"/>
    <x v="1"/>
    <x v="13"/>
    <x v="6"/>
    <x v="2"/>
    <x v="3"/>
    <s v="GNR_EH_HEAT"/>
    <x v="1"/>
    <x v="3"/>
    <n v="34"/>
    <n v="8273.3333333333303"/>
    <n v="29784"/>
  </r>
  <r>
    <x v="0"/>
    <x v="0"/>
    <x v="0"/>
    <x v="0"/>
    <x v="1"/>
    <x v="13"/>
    <x v="6"/>
    <x v="2"/>
    <x v="3"/>
    <s v="GNR_EH_HEAT"/>
    <x v="1"/>
    <x v="6"/>
    <n v="34"/>
    <n v="8273.3333333333303"/>
    <n v="29784"/>
  </r>
  <r>
    <x v="0"/>
    <x v="0"/>
    <x v="0"/>
    <x v="0"/>
    <x v="1"/>
    <x v="13"/>
    <x v="6"/>
    <x v="2"/>
    <x v="3"/>
    <s v="GNR_EH_HEAT"/>
    <x v="1"/>
    <x v="4"/>
    <n v="34"/>
    <n v="8273.3333333333303"/>
    <n v="29784"/>
  </r>
  <r>
    <x v="0"/>
    <x v="0"/>
    <x v="0"/>
    <x v="0"/>
    <x v="1"/>
    <x v="13"/>
    <x v="6"/>
    <x v="2"/>
    <x v="3"/>
    <s v="GNR_EH_HEAT"/>
    <x v="1"/>
    <x v="7"/>
    <n v="34"/>
    <n v="8273.3333333333303"/>
    <n v="29784"/>
  </r>
  <r>
    <x v="0"/>
    <x v="0"/>
    <x v="0"/>
    <x v="0"/>
    <x v="1"/>
    <x v="13"/>
    <x v="6"/>
    <x v="2"/>
    <x v="3"/>
    <s v="GNR_EH_HEAT"/>
    <x v="1"/>
    <x v="8"/>
    <n v="34"/>
    <n v="8273.3333333333303"/>
    <n v="29784"/>
  </r>
  <r>
    <x v="0"/>
    <x v="0"/>
    <x v="0"/>
    <x v="0"/>
    <x v="1"/>
    <x v="13"/>
    <x v="6"/>
    <x v="2"/>
    <x v="3"/>
    <s v="GNR_EH_HEAT"/>
    <x v="1"/>
    <x v="0"/>
    <n v="34"/>
    <n v="8273.3333333333303"/>
    <n v="29784"/>
  </r>
  <r>
    <x v="0"/>
    <x v="0"/>
    <x v="0"/>
    <x v="0"/>
    <x v="1"/>
    <x v="13"/>
    <x v="6"/>
    <x v="2"/>
    <x v="3"/>
    <s v="GNR_EH_HEAT"/>
    <x v="1"/>
    <x v="1"/>
    <n v="34"/>
    <n v="8273.3333333333303"/>
    <n v="29784"/>
  </r>
  <r>
    <x v="0"/>
    <x v="0"/>
    <x v="0"/>
    <x v="0"/>
    <x v="1"/>
    <x v="13"/>
    <x v="6"/>
    <x v="2"/>
    <x v="3"/>
    <s v="GNR_EH_HEAT"/>
    <x v="1"/>
    <x v="2"/>
    <n v="34"/>
    <n v="8273.3333333333303"/>
    <n v="29784"/>
  </r>
  <r>
    <x v="0"/>
    <x v="0"/>
    <x v="0"/>
    <x v="0"/>
    <x v="1"/>
    <x v="13"/>
    <x v="6"/>
    <x v="2"/>
    <x v="3"/>
    <s v="GNR_EH_HEAT"/>
    <x v="1"/>
    <x v="9"/>
    <n v="34"/>
    <n v="8273.3333333333303"/>
    <n v="29784"/>
  </r>
  <r>
    <x v="0"/>
    <x v="0"/>
    <x v="0"/>
    <x v="0"/>
    <x v="1"/>
    <x v="13"/>
    <x v="6"/>
    <x v="2"/>
    <x v="3"/>
    <s v="GNR_EH_HEAT"/>
    <x v="1"/>
    <x v="10"/>
    <n v="34"/>
    <n v="8273.3333333333303"/>
    <n v="29784"/>
  </r>
  <r>
    <x v="0"/>
    <x v="0"/>
    <x v="0"/>
    <x v="0"/>
    <x v="1"/>
    <x v="13"/>
    <x v="6"/>
    <x v="2"/>
    <x v="3"/>
    <s v="GNR_EH_HEAT"/>
    <x v="1"/>
    <x v="11"/>
    <n v="34"/>
    <n v="8273.3333333333303"/>
    <n v="29784"/>
  </r>
  <r>
    <x v="0"/>
    <x v="0"/>
    <x v="0"/>
    <x v="0"/>
    <x v="1"/>
    <x v="13"/>
    <x v="7"/>
    <x v="0"/>
    <x v="0"/>
    <s v="GNR_ST_WOODCHI_BP_E-27"/>
    <x v="0"/>
    <x v="3"/>
    <n v="0.97058823529411797"/>
    <n v="236.17647058823499"/>
    <n v="850.23529411764696"/>
  </r>
  <r>
    <x v="0"/>
    <x v="0"/>
    <x v="0"/>
    <x v="0"/>
    <x v="1"/>
    <x v="13"/>
    <x v="7"/>
    <x v="0"/>
    <x v="0"/>
    <s v="GNR_ST_WOODCHI_BP_E-27"/>
    <x v="0"/>
    <x v="4"/>
    <n v="0.97058823529411797"/>
    <n v="236.17647058823499"/>
    <n v="850.23529411764696"/>
  </r>
  <r>
    <x v="0"/>
    <x v="0"/>
    <x v="0"/>
    <x v="0"/>
    <x v="1"/>
    <x v="13"/>
    <x v="7"/>
    <x v="0"/>
    <x v="0"/>
    <s v="GNR_ST_WOODCHI_BP_E-27"/>
    <x v="0"/>
    <x v="7"/>
    <n v="0.97058823529411797"/>
    <n v="236.17647058823499"/>
    <n v="850.23529411764696"/>
  </r>
  <r>
    <x v="0"/>
    <x v="0"/>
    <x v="0"/>
    <x v="0"/>
    <x v="1"/>
    <x v="13"/>
    <x v="7"/>
    <x v="0"/>
    <x v="0"/>
    <s v="GNR_ST_WOODCHI_BP_E-27"/>
    <x v="0"/>
    <x v="8"/>
    <n v="0.97058823529411797"/>
    <n v="236.17647058823499"/>
    <n v="850.23529411764696"/>
  </r>
  <r>
    <x v="0"/>
    <x v="0"/>
    <x v="0"/>
    <x v="0"/>
    <x v="1"/>
    <x v="13"/>
    <x v="7"/>
    <x v="0"/>
    <x v="0"/>
    <s v="GNR_ST_WOODCHI_BP_E-27"/>
    <x v="0"/>
    <x v="0"/>
    <n v="0.97058823529411797"/>
    <n v="236.17647058823499"/>
    <n v="850.23529411764696"/>
  </r>
  <r>
    <x v="0"/>
    <x v="0"/>
    <x v="0"/>
    <x v="0"/>
    <x v="1"/>
    <x v="13"/>
    <x v="7"/>
    <x v="0"/>
    <x v="0"/>
    <s v="GNR_ST_WOODCHI_BP_E-27"/>
    <x v="0"/>
    <x v="1"/>
    <n v="0.97058823529411797"/>
    <n v="236.17647058823499"/>
    <n v="850.23529411764696"/>
  </r>
  <r>
    <x v="0"/>
    <x v="0"/>
    <x v="0"/>
    <x v="0"/>
    <x v="1"/>
    <x v="13"/>
    <x v="7"/>
    <x v="0"/>
    <x v="0"/>
    <s v="GNR_ST_WOODCHI_BP_E-27"/>
    <x v="0"/>
    <x v="2"/>
    <n v="0.97058823529411797"/>
    <n v="236.17647058823499"/>
    <n v="850.23529411764696"/>
  </r>
  <r>
    <x v="0"/>
    <x v="0"/>
    <x v="0"/>
    <x v="0"/>
    <x v="1"/>
    <x v="13"/>
    <x v="7"/>
    <x v="0"/>
    <x v="0"/>
    <s v="GNR_ST_WOODCHI_BP_E-27"/>
    <x v="0"/>
    <x v="9"/>
    <n v="0.97058823529411797"/>
    <n v="236.17647058823499"/>
    <n v="850.23529411764696"/>
  </r>
  <r>
    <x v="0"/>
    <x v="0"/>
    <x v="0"/>
    <x v="0"/>
    <x v="1"/>
    <x v="13"/>
    <x v="7"/>
    <x v="0"/>
    <x v="0"/>
    <s v="GNR_ST_WOODCHI_BP_E-27"/>
    <x v="0"/>
    <x v="10"/>
    <n v="0.97058823529411797"/>
    <n v="236.17647058823499"/>
    <n v="850.23529411764696"/>
  </r>
  <r>
    <x v="0"/>
    <x v="0"/>
    <x v="0"/>
    <x v="0"/>
    <x v="1"/>
    <x v="13"/>
    <x v="7"/>
    <x v="0"/>
    <x v="0"/>
    <s v="GNR_ST_WOODCHI_BP_E-27"/>
    <x v="0"/>
    <x v="11"/>
    <n v="0.97058823529411797"/>
    <n v="236.17647058823499"/>
    <n v="850.23529411764696"/>
  </r>
  <r>
    <x v="0"/>
    <x v="0"/>
    <x v="0"/>
    <x v="0"/>
    <x v="1"/>
    <x v="13"/>
    <x v="7"/>
    <x v="0"/>
    <x v="0"/>
    <s v="GNR_ST_WOODCHI_BP_E-27"/>
    <x v="2"/>
    <x v="3"/>
    <n v="0.97058823529411797"/>
    <n v="236.17647058823499"/>
    <n v="850.23529411764696"/>
  </r>
  <r>
    <x v="0"/>
    <x v="0"/>
    <x v="0"/>
    <x v="0"/>
    <x v="1"/>
    <x v="13"/>
    <x v="7"/>
    <x v="0"/>
    <x v="0"/>
    <s v="GNR_ST_WOODCHI_BP_E-27"/>
    <x v="2"/>
    <x v="6"/>
    <n v="0.97058823529411797"/>
    <n v="236.17647058823499"/>
    <n v="850.23529411764696"/>
  </r>
  <r>
    <x v="0"/>
    <x v="0"/>
    <x v="0"/>
    <x v="0"/>
    <x v="1"/>
    <x v="13"/>
    <x v="7"/>
    <x v="0"/>
    <x v="0"/>
    <s v="GNR_ST_WOODCHI_BP_E-27"/>
    <x v="2"/>
    <x v="4"/>
    <n v="0.97058823529411797"/>
    <n v="236.17647058823499"/>
    <n v="850.23529411764696"/>
  </r>
  <r>
    <x v="0"/>
    <x v="0"/>
    <x v="0"/>
    <x v="0"/>
    <x v="1"/>
    <x v="13"/>
    <x v="7"/>
    <x v="0"/>
    <x v="0"/>
    <s v="GNR_ST_WOODCHI_BP_E-27"/>
    <x v="2"/>
    <x v="1"/>
    <n v="0.97058823529411797"/>
    <n v="236.17647058823499"/>
    <n v="850.23529411764696"/>
  </r>
  <r>
    <x v="0"/>
    <x v="0"/>
    <x v="0"/>
    <x v="0"/>
    <x v="1"/>
    <x v="13"/>
    <x v="7"/>
    <x v="0"/>
    <x v="0"/>
    <s v="GNR_ST_WOODCHI_BP_E-27"/>
    <x v="2"/>
    <x v="2"/>
    <n v="0.97058823529411797"/>
    <n v="236.17647058823499"/>
    <n v="850.23529411764696"/>
  </r>
  <r>
    <x v="0"/>
    <x v="0"/>
    <x v="0"/>
    <x v="0"/>
    <x v="1"/>
    <x v="13"/>
    <x v="7"/>
    <x v="0"/>
    <x v="0"/>
    <s v="GNR_ST_WOODCHI_BP_E-27"/>
    <x v="2"/>
    <x v="9"/>
    <n v="0.97058823529411797"/>
    <n v="236.17647058823499"/>
    <n v="850.23529411764696"/>
  </r>
  <r>
    <x v="0"/>
    <x v="0"/>
    <x v="0"/>
    <x v="0"/>
    <x v="1"/>
    <x v="13"/>
    <x v="7"/>
    <x v="0"/>
    <x v="0"/>
    <s v="GNR_ST_WOODCHI_BP_E-27"/>
    <x v="2"/>
    <x v="10"/>
    <n v="0.97058823529411797"/>
    <n v="236.17647058823499"/>
    <n v="850.23529411764696"/>
  </r>
  <r>
    <x v="0"/>
    <x v="0"/>
    <x v="0"/>
    <x v="0"/>
    <x v="1"/>
    <x v="13"/>
    <x v="7"/>
    <x v="0"/>
    <x v="0"/>
    <s v="GNR_ST_WOODCHI_BP_E-27"/>
    <x v="2"/>
    <x v="11"/>
    <n v="0.97058823529411797"/>
    <n v="236.17647058823499"/>
    <n v="850.23529411764696"/>
  </r>
  <r>
    <x v="0"/>
    <x v="0"/>
    <x v="0"/>
    <x v="0"/>
    <x v="1"/>
    <x v="13"/>
    <x v="7"/>
    <x v="0"/>
    <x v="0"/>
    <s v="GNR_ST_WOODCHI_BP_E-27"/>
    <x v="1"/>
    <x v="3"/>
    <n v="0.97058823529411797"/>
    <n v="236.17647058823499"/>
    <n v="850.23529411764696"/>
  </r>
  <r>
    <x v="0"/>
    <x v="0"/>
    <x v="0"/>
    <x v="0"/>
    <x v="1"/>
    <x v="13"/>
    <x v="7"/>
    <x v="0"/>
    <x v="0"/>
    <s v="GNR_ST_WOODCHI_BP_E-27"/>
    <x v="1"/>
    <x v="6"/>
    <n v="0.97058823529411797"/>
    <n v="236.17647058823499"/>
    <n v="850.23529411764696"/>
  </r>
  <r>
    <x v="0"/>
    <x v="0"/>
    <x v="0"/>
    <x v="0"/>
    <x v="1"/>
    <x v="13"/>
    <x v="7"/>
    <x v="0"/>
    <x v="0"/>
    <s v="GNR_ST_WOODCHI_BP_E-27"/>
    <x v="1"/>
    <x v="4"/>
    <n v="0.97058823529411797"/>
    <n v="236.17647058823499"/>
    <n v="850.23529411764696"/>
  </r>
  <r>
    <x v="0"/>
    <x v="0"/>
    <x v="0"/>
    <x v="0"/>
    <x v="1"/>
    <x v="13"/>
    <x v="7"/>
    <x v="0"/>
    <x v="0"/>
    <s v="GNR_ST_WOODCHI_BP_E-27"/>
    <x v="1"/>
    <x v="7"/>
    <n v="0.97058823529411797"/>
    <n v="236.17647058823499"/>
    <n v="850.23529411764696"/>
  </r>
  <r>
    <x v="0"/>
    <x v="0"/>
    <x v="0"/>
    <x v="0"/>
    <x v="1"/>
    <x v="13"/>
    <x v="7"/>
    <x v="0"/>
    <x v="0"/>
    <s v="GNR_ST_WOODCHI_BP_E-27"/>
    <x v="1"/>
    <x v="8"/>
    <n v="0.97058823529411797"/>
    <n v="236.17647058823499"/>
    <n v="850.23529411764696"/>
  </r>
  <r>
    <x v="0"/>
    <x v="0"/>
    <x v="0"/>
    <x v="0"/>
    <x v="1"/>
    <x v="13"/>
    <x v="7"/>
    <x v="0"/>
    <x v="0"/>
    <s v="GNR_ST_WOODCHI_BP_E-27"/>
    <x v="1"/>
    <x v="0"/>
    <n v="0.97058823529411797"/>
    <n v="236.17647058823499"/>
    <n v="850.23529411764696"/>
  </r>
  <r>
    <x v="0"/>
    <x v="0"/>
    <x v="0"/>
    <x v="0"/>
    <x v="1"/>
    <x v="13"/>
    <x v="7"/>
    <x v="0"/>
    <x v="0"/>
    <s v="GNR_ST_WOODCHI_BP_E-27"/>
    <x v="1"/>
    <x v="1"/>
    <n v="0.97058823529411797"/>
    <n v="236.17647058823499"/>
    <n v="850.23529411764696"/>
  </r>
  <r>
    <x v="0"/>
    <x v="0"/>
    <x v="0"/>
    <x v="0"/>
    <x v="1"/>
    <x v="13"/>
    <x v="7"/>
    <x v="0"/>
    <x v="0"/>
    <s v="GNR_ST_WOODCHI_BP_E-27"/>
    <x v="1"/>
    <x v="2"/>
    <n v="0.97058823529411797"/>
    <n v="236.17647058823499"/>
    <n v="850.23529411764696"/>
  </r>
  <r>
    <x v="0"/>
    <x v="0"/>
    <x v="0"/>
    <x v="0"/>
    <x v="1"/>
    <x v="13"/>
    <x v="7"/>
    <x v="0"/>
    <x v="0"/>
    <s v="GNR_ST_WOODCHI_BP_E-27"/>
    <x v="1"/>
    <x v="9"/>
    <n v="0.97058823529411797"/>
    <n v="236.17647058823499"/>
    <n v="850.23529411764696"/>
  </r>
  <r>
    <x v="0"/>
    <x v="0"/>
    <x v="0"/>
    <x v="0"/>
    <x v="1"/>
    <x v="13"/>
    <x v="7"/>
    <x v="0"/>
    <x v="0"/>
    <s v="GNR_ST_WOODCHI_BP_E-27"/>
    <x v="1"/>
    <x v="10"/>
    <n v="0.97058823529411797"/>
    <n v="236.17647058823499"/>
    <n v="850.23529411764696"/>
  </r>
  <r>
    <x v="0"/>
    <x v="0"/>
    <x v="0"/>
    <x v="0"/>
    <x v="1"/>
    <x v="14"/>
    <x v="8"/>
    <x v="4"/>
    <x v="5"/>
    <s v="GNR_BO_ELEC_E-99_LS-10-MW-FEED_PHH_Y-2030"/>
    <x v="2"/>
    <x v="7"/>
    <n v="28.100049769127299"/>
    <n v="6837.6787771543104"/>
    <n v="24615.643597755501"/>
  </r>
  <r>
    <x v="0"/>
    <x v="0"/>
    <x v="0"/>
    <x v="0"/>
    <x v="1"/>
    <x v="14"/>
    <x v="8"/>
    <x v="4"/>
    <x v="5"/>
    <s v="GNR_BO_ELEC_E-99_LS-10-MW-FEED_PHH_Y-2030"/>
    <x v="2"/>
    <x v="8"/>
    <n v="28.100049769127299"/>
    <n v="6837.6787771543104"/>
    <n v="24615.643597755501"/>
  </r>
  <r>
    <x v="0"/>
    <x v="0"/>
    <x v="0"/>
    <x v="0"/>
    <x v="1"/>
    <x v="14"/>
    <x v="8"/>
    <x v="4"/>
    <x v="5"/>
    <s v="GNR_BO_ELEC_E-99_LS-10-MW-FEED_PHH_Y-2030"/>
    <x v="2"/>
    <x v="0"/>
    <n v="28.100049769127299"/>
    <n v="6837.6787771543104"/>
    <n v="24615.643597755501"/>
  </r>
  <r>
    <x v="0"/>
    <x v="0"/>
    <x v="0"/>
    <x v="0"/>
    <x v="1"/>
    <x v="14"/>
    <x v="3"/>
    <x v="2"/>
    <x v="3"/>
    <s v="GNR_BO_NGAS_E-70_PHH"/>
    <x v="0"/>
    <x v="8"/>
    <n v="12.8333636986301"/>
    <n v="3122.7851666666702"/>
    <n v="11242.026599999999"/>
  </r>
  <r>
    <x v="0"/>
    <x v="0"/>
    <x v="0"/>
    <x v="0"/>
    <x v="1"/>
    <x v="15"/>
    <x v="3"/>
    <x v="2"/>
    <x v="3"/>
    <s v="GNR_BO_NGAS_E-82_PHL"/>
    <x v="0"/>
    <x v="5"/>
    <n v="534.37796696517103"/>
    <n v="130031.97196152501"/>
    <n v="468115.09906148998"/>
  </r>
  <r>
    <x v="0"/>
    <x v="0"/>
    <x v="0"/>
    <x v="0"/>
    <x v="1"/>
    <x v="15"/>
    <x v="3"/>
    <x v="2"/>
    <x v="3"/>
    <s v="GNR_BO_NGAS_E-82_PHL"/>
    <x v="0"/>
    <x v="3"/>
    <n v="449.71565419554599"/>
    <n v="109430.809187583"/>
    <n v="393950.91307529801"/>
  </r>
  <r>
    <x v="0"/>
    <x v="0"/>
    <x v="0"/>
    <x v="0"/>
    <x v="1"/>
    <x v="15"/>
    <x v="3"/>
    <x v="2"/>
    <x v="3"/>
    <s v="GNR_BO_NGAS_E-82_PHL"/>
    <x v="0"/>
    <x v="6"/>
    <n v="527.35328533642098"/>
    <n v="128322.632765196"/>
    <n v="461961.47795470501"/>
  </r>
  <r>
    <x v="0"/>
    <x v="0"/>
    <x v="0"/>
    <x v="0"/>
    <x v="1"/>
    <x v="15"/>
    <x v="3"/>
    <x v="2"/>
    <x v="3"/>
    <s v="GNR_BO_NGAS_E-82_PHL"/>
    <x v="0"/>
    <x v="4"/>
    <n v="452.65743927639602"/>
    <n v="110146.643557256"/>
    <n v="396527.91680612299"/>
  </r>
  <r>
    <x v="0"/>
    <x v="0"/>
    <x v="0"/>
    <x v="0"/>
    <x v="1"/>
    <x v="15"/>
    <x v="3"/>
    <x v="2"/>
    <x v="3"/>
    <s v="GNR_BO_NGAS_E-82_PHL"/>
    <x v="0"/>
    <x v="7"/>
    <n v="435.77365933530501"/>
    <n v="106038.25710492401"/>
    <n v="381737.72557772801"/>
  </r>
  <r>
    <x v="0"/>
    <x v="0"/>
    <x v="0"/>
    <x v="0"/>
    <x v="1"/>
    <x v="15"/>
    <x v="3"/>
    <x v="2"/>
    <x v="3"/>
    <s v="GNR_BO_NGAS_E-82_PHL"/>
    <x v="0"/>
    <x v="8"/>
    <n v="566.15470214929701"/>
    <n v="137764.31085632899"/>
    <n v="495951.51908278401"/>
  </r>
  <r>
    <x v="0"/>
    <x v="0"/>
    <x v="0"/>
    <x v="0"/>
    <x v="1"/>
    <x v="15"/>
    <x v="3"/>
    <x v="2"/>
    <x v="3"/>
    <s v="GNR_BO_NGAS_E-82_PHL"/>
    <x v="0"/>
    <x v="0"/>
    <n v="434.959170129722"/>
    <n v="105840.064731566"/>
    <n v="381024.233033636"/>
  </r>
  <r>
    <x v="0"/>
    <x v="0"/>
    <x v="0"/>
    <x v="0"/>
    <x v="1"/>
    <x v="15"/>
    <x v="3"/>
    <x v="2"/>
    <x v="3"/>
    <s v="GNR_BO_NGAS_E-82_PHL"/>
    <x v="0"/>
    <x v="1"/>
    <n v="556.43992180739997"/>
    <n v="135400.38097313399"/>
    <n v="487441.37150328199"/>
  </r>
  <r>
    <x v="0"/>
    <x v="0"/>
    <x v="0"/>
    <x v="0"/>
    <x v="1"/>
    <x v="15"/>
    <x v="3"/>
    <x v="2"/>
    <x v="3"/>
    <s v="GNR_BO_NGAS_E-82_PHL"/>
    <x v="0"/>
    <x v="2"/>
    <n v="486.30178211140498"/>
    <n v="118333.43364710901"/>
    <n v="426000.36112959101"/>
  </r>
  <r>
    <x v="0"/>
    <x v="0"/>
    <x v="0"/>
    <x v="0"/>
    <x v="1"/>
    <x v="15"/>
    <x v="3"/>
    <x v="2"/>
    <x v="3"/>
    <s v="GNR_BO_NGAS_E-82_PHL"/>
    <x v="0"/>
    <x v="9"/>
    <n v="381.41014536332699"/>
    <n v="92809.802038409704"/>
    <n v="334115.287338275"/>
  </r>
  <r>
    <x v="0"/>
    <x v="0"/>
    <x v="0"/>
    <x v="0"/>
    <x v="1"/>
    <x v="15"/>
    <x v="3"/>
    <x v="2"/>
    <x v="3"/>
    <s v="GNR_BO_NGAS_E-82_PHL"/>
    <x v="0"/>
    <x v="10"/>
    <n v="389.04018996541902"/>
    <n v="94666.446224918705"/>
    <n v="340799.20640970703"/>
  </r>
  <r>
    <x v="0"/>
    <x v="0"/>
    <x v="0"/>
    <x v="0"/>
    <x v="1"/>
    <x v="15"/>
    <x v="3"/>
    <x v="2"/>
    <x v="3"/>
    <s v="GNR_BO_NGAS_E-82_PHL"/>
    <x v="0"/>
    <x v="11"/>
    <n v="381.51795930740599"/>
    <n v="92836.036764802193"/>
    <n v="334209.73235328798"/>
  </r>
  <r>
    <x v="0"/>
    <x v="0"/>
    <x v="0"/>
    <x v="0"/>
    <x v="1"/>
    <x v="15"/>
    <x v="3"/>
    <x v="2"/>
    <x v="3"/>
    <s v="GNR_BO_NGAS_E-82_PHL"/>
    <x v="2"/>
    <x v="5"/>
    <n v="349.88729731369102"/>
    <n v="85139.242346331404"/>
    <n v="306501.27244679298"/>
  </r>
  <r>
    <x v="0"/>
    <x v="0"/>
    <x v="0"/>
    <x v="0"/>
    <x v="1"/>
    <x v="15"/>
    <x v="3"/>
    <x v="2"/>
    <x v="3"/>
    <s v="GNR_BO_NGAS_E-82_PHL"/>
    <x v="2"/>
    <x v="3"/>
    <n v="263.86234112391099"/>
    <n v="64206.503006818399"/>
    <n v="231143.41082454601"/>
  </r>
  <r>
    <x v="0"/>
    <x v="0"/>
    <x v="0"/>
    <x v="0"/>
    <x v="1"/>
    <x v="15"/>
    <x v="3"/>
    <x v="2"/>
    <x v="3"/>
    <s v="GNR_BO_NGAS_E-82_PHL"/>
    <x v="2"/>
    <x v="6"/>
    <n v="292.20475080754898"/>
    <n v="71103.156029837002"/>
    <n v="255971.36170741299"/>
  </r>
  <r>
    <x v="0"/>
    <x v="0"/>
    <x v="0"/>
    <x v="0"/>
    <x v="1"/>
    <x v="15"/>
    <x v="3"/>
    <x v="2"/>
    <x v="3"/>
    <s v="GNR_BO_NGAS_E-82_PHL"/>
    <x v="2"/>
    <x v="4"/>
    <n v="261.59184696670798"/>
    <n v="63654.016095232197"/>
    <n v="229154.45794283599"/>
  </r>
  <r>
    <x v="0"/>
    <x v="0"/>
    <x v="0"/>
    <x v="0"/>
    <x v="1"/>
    <x v="15"/>
    <x v="3"/>
    <x v="2"/>
    <x v="3"/>
    <s v="GNR_BO_NGAS_E-82_PHL"/>
    <x v="2"/>
    <x v="7"/>
    <n v="156.47830963734901"/>
    <n v="38076.388678421601"/>
    <n v="137074.99924231801"/>
  </r>
  <r>
    <x v="0"/>
    <x v="0"/>
    <x v="0"/>
    <x v="0"/>
    <x v="1"/>
    <x v="15"/>
    <x v="3"/>
    <x v="2"/>
    <x v="3"/>
    <s v="GNR_BO_NGAS_E-82_PHL"/>
    <x v="2"/>
    <x v="8"/>
    <n v="227.493297747376"/>
    <n v="55356.7024518615"/>
    <n v="199284.12882670099"/>
  </r>
  <r>
    <x v="0"/>
    <x v="0"/>
    <x v="0"/>
    <x v="0"/>
    <x v="1"/>
    <x v="15"/>
    <x v="3"/>
    <x v="2"/>
    <x v="3"/>
    <s v="GNR_BO_NGAS_E-82_PHL"/>
    <x v="2"/>
    <x v="0"/>
    <n v="106.894482955417"/>
    <n v="26010.990852484902"/>
    <n v="93639.5670689455"/>
  </r>
  <r>
    <x v="0"/>
    <x v="0"/>
    <x v="0"/>
    <x v="0"/>
    <x v="1"/>
    <x v="15"/>
    <x v="3"/>
    <x v="2"/>
    <x v="3"/>
    <s v="GNR_BO_NGAS_E-82_PHL"/>
    <x v="2"/>
    <x v="1"/>
    <n v="199.52639809253699"/>
    <n v="48551.423535850699"/>
    <n v="174785.12472906301"/>
  </r>
  <r>
    <x v="0"/>
    <x v="0"/>
    <x v="0"/>
    <x v="0"/>
    <x v="1"/>
    <x v="15"/>
    <x v="3"/>
    <x v="2"/>
    <x v="3"/>
    <s v="GNR_BO_NGAS_E-82_PHL"/>
    <x v="2"/>
    <x v="2"/>
    <n v="185.54077181216701"/>
    <n v="45148.254474293899"/>
    <n v="162533.71610745799"/>
  </r>
  <r>
    <x v="0"/>
    <x v="0"/>
    <x v="0"/>
    <x v="0"/>
    <x v="1"/>
    <x v="15"/>
    <x v="3"/>
    <x v="2"/>
    <x v="3"/>
    <s v="GNR_BO_NGAS_E-82_PHL"/>
    <x v="2"/>
    <x v="9"/>
    <n v="135.39405912766699"/>
    <n v="32945.887721065599"/>
    <n v="118605.195795836"/>
  </r>
  <r>
    <x v="0"/>
    <x v="0"/>
    <x v="0"/>
    <x v="0"/>
    <x v="1"/>
    <x v="15"/>
    <x v="3"/>
    <x v="2"/>
    <x v="3"/>
    <s v="GNR_BO_NGAS_E-82_PHL"/>
    <x v="2"/>
    <x v="10"/>
    <n v="158.14207271391399"/>
    <n v="38481.237693718998"/>
    <n v="138532.45569738801"/>
  </r>
  <r>
    <x v="0"/>
    <x v="0"/>
    <x v="0"/>
    <x v="0"/>
    <x v="1"/>
    <x v="15"/>
    <x v="3"/>
    <x v="2"/>
    <x v="3"/>
    <s v="GNR_BO_NGAS_E-82_PHL"/>
    <x v="2"/>
    <x v="11"/>
    <n v="79.9653287835513"/>
    <n v="19458.230003997502"/>
    <n v="70049.628014390895"/>
  </r>
  <r>
    <x v="0"/>
    <x v="0"/>
    <x v="0"/>
    <x v="0"/>
    <x v="1"/>
    <x v="15"/>
    <x v="3"/>
    <x v="2"/>
    <x v="3"/>
    <s v="GNR_BO_NGAS_E-82_PHL"/>
    <x v="1"/>
    <x v="5"/>
    <n v="105.27130038003099"/>
    <n v="25616.0164258076"/>
    <n v="92217.659132907502"/>
  </r>
  <r>
    <x v="0"/>
    <x v="0"/>
    <x v="0"/>
    <x v="0"/>
    <x v="1"/>
    <x v="15"/>
    <x v="3"/>
    <x v="2"/>
    <x v="3"/>
    <s v="GNR_BO_NGAS_E-82_PHL"/>
    <x v="1"/>
    <x v="3"/>
    <n v="96.509106425944594"/>
    <n v="23483.882563646501"/>
    <n v="84541.9772291275"/>
  </r>
  <r>
    <x v="0"/>
    <x v="0"/>
    <x v="0"/>
    <x v="0"/>
    <x v="1"/>
    <x v="15"/>
    <x v="3"/>
    <x v="2"/>
    <x v="3"/>
    <s v="GNR_BO_NGAS_E-82_PHL"/>
    <x v="1"/>
    <x v="6"/>
    <n v="96.575763319743601"/>
    <n v="23500.102407804301"/>
    <n v="84600.368668095398"/>
  </r>
  <r>
    <x v="0"/>
    <x v="0"/>
    <x v="0"/>
    <x v="0"/>
    <x v="1"/>
    <x v="15"/>
    <x v="3"/>
    <x v="2"/>
    <x v="3"/>
    <s v="GNR_BO_NGAS_E-82_PHL"/>
    <x v="1"/>
    <x v="4"/>
    <n v="79.415454674641197"/>
    <n v="19324.427304162698"/>
    <n v="69567.938294985695"/>
  </r>
  <r>
    <x v="0"/>
    <x v="0"/>
    <x v="0"/>
    <x v="0"/>
    <x v="1"/>
    <x v="15"/>
    <x v="3"/>
    <x v="2"/>
    <x v="3"/>
    <s v="GNR_BO_NGAS_E-82_PHL"/>
    <x v="1"/>
    <x v="7"/>
    <n v="67.481262242672599"/>
    <n v="16420.440479050299"/>
    <n v="59113.5857245812"/>
  </r>
  <r>
    <x v="0"/>
    <x v="0"/>
    <x v="0"/>
    <x v="0"/>
    <x v="1"/>
    <x v="15"/>
    <x v="3"/>
    <x v="2"/>
    <x v="3"/>
    <s v="GNR_BO_NGAS_E-82_PHL"/>
    <x v="1"/>
    <x v="8"/>
    <n v="93.659938040984201"/>
    <n v="22790.5849233062"/>
    <n v="82046.105723902103"/>
  </r>
  <r>
    <x v="0"/>
    <x v="0"/>
    <x v="0"/>
    <x v="0"/>
    <x v="1"/>
    <x v="15"/>
    <x v="3"/>
    <x v="2"/>
    <x v="3"/>
    <s v="GNR_BO_NGAS_E-82_PHL"/>
    <x v="1"/>
    <x v="0"/>
    <n v="75.520050393724205"/>
    <n v="18376.545595806201"/>
    <n v="66155.564144902397"/>
  </r>
  <r>
    <x v="0"/>
    <x v="0"/>
    <x v="0"/>
    <x v="0"/>
    <x v="1"/>
    <x v="15"/>
    <x v="3"/>
    <x v="2"/>
    <x v="3"/>
    <s v="GNR_BO_NGAS_E-82_PHL"/>
    <x v="1"/>
    <x v="1"/>
    <n v="108.02898796535899"/>
    <n v="26287.0537382373"/>
    <n v="94633.393457654194"/>
  </r>
  <r>
    <x v="0"/>
    <x v="0"/>
    <x v="0"/>
    <x v="0"/>
    <x v="1"/>
    <x v="15"/>
    <x v="3"/>
    <x v="2"/>
    <x v="3"/>
    <s v="GNR_BO_NGAS_E-82_PHL"/>
    <x v="1"/>
    <x v="2"/>
    <n v="89.0747371026754"/>
    <n v="21674.8526949843"/>
    <n v="78029.469701943599"/>
  </r>
  <r>
    <x v="0"/>
    <x v="0"/>
    <x v="0"/>
    <x v="0"/>
    <x v="1"/>
    <x v="15"/>
    <x v="3"/>
    <x v="2"/>
    <x v="3"/>
    <s v="GNR_BO_NGAS_E-82_PHL"/>
    <x v="1"/>
    <x v="9"/>
    <n v="66.507566447167605"/>
    <n v="16183.5078354775"/>
    <n v="58260.628207718801"/>
  </r>
  <r>
    <x v="0"/>
    <x v="0"/>
    <x v="0"/>
    <x v="0"/>
    <x v="1"/>
    <x v="15"/>
    <x v="3"/>
    <x v="2"/>
    <x v="3"/>
    <s v="GNR_BO_NGAS_E-82_PHL"/>
    <x v="1"/>
    <x v="10"/>
    <n v="88.848474726628297"/>
    <n v="21619.795516812901"/>
    <n v="77831.263860526306"/>
  </r>
  <r>
    <x v="0"/>
    <x v="0"/>
    <x v="0"/>
    <x v="0"/>
    <x v="1"/>
    <x v="15"/>
    <x v="3"/>
    <x v="2"/>
    <x v="3"/>
    <s v="GNR_BO_NGAS_E-82_PHL"/>
    <x v="1"/>
    <x v="11"/>
    <n v="102.14619421408899"/>
    <n v="24855.5739254283"/>
    <n v="89480.066131541898"/>
  </r>
  <r>
    <x v="0"/>
    <x v="0"/>
    <x v="0"/>
    <x v="0"/>
    <x v="1"/>
    <x v="16"/>
    <x v="0"/>
    <x v="0"/>
    <x v="0"/>
    <s v="GNR_ENG_BGAS_BP_E-40"/>
    <x v="0"/>
    <x v="0"/>
    <n v="0.64634146341463405"/>
    <n v="157.27642276422799"/>
    <n v="566.19512195122002"/>
  </r>
  <r>
    <x v="0"/>
    <x v="0"/>
    <x v="0"/>
    <x v="0"/>
    <x v="1"/>
    <x v="16"/>
    <x v="0"/>
    <x v="0"/>
    <x v="0"/>
    <s v="GNR_ENG_BGAS_BP_E-40"/>
    <x v="0"/>
    <x v="1"/>
    <n v="0.64634146341463405"/>
    <n v="157.27642276422799"/>
    <n v="566.19512195122002"/>
  </r>
  <r>
    <x v="0"/>
    <x v="0"/>
    <x v="0"/>
    <x v="0"/>
    <x v="1"/>
    <x v="16"/>
    <x v="0"/>
    <x v="0"/>
    <x v="0"/>
    <s v="GNR_ENG_BGAS_BP_E-40"/>
    <x v="0"/>
    <x v="2"/>
    <n v="0.64634146341463405"/>
    <n v="157.27642276422799"/>
    <n v="566.19512195122002"/>
  </r>
  <r>
    <x v="0"/>
    <x v="0"/>
    <x v="0"/>
    <x v="0"/>
    <x v="1"/>
    <x v="16"/>
    <x v="0"/>
    <x v="0"/>
    <x v="0"/>
    <s v="GNR_ENG_BGAS_BP_E-40"/>
    <x v="1"/>
    <x v="3"/>
    <n v="0.64634146341463405"/>
    <n v="157.27642276422799"/>
    <n v="566.19512195122002"/>
  </r>
  <r>
    <x v="0"/>
    <x v="0"/>
    <x v="0"/>
    <x v="0"/>
    <x v="1"/>
    <x v="16"/>
    <x v="0"/>
    <x v="0"/>
    <x v="0"/>
    <s v="GNR_ENG_BGAS_BP_E-40"/>
    <x v="1"/>
    <x v="4"/>
    <n v="0.64634146341463405"/>
    <n v="157.27642276422799"/>
    <n v="566.19512195122002"/>
  </r>
  <r>
    <x v="0"/>
    <x v="0"/>
    <x v="0"/>
    <x v="0"/>
    <x v="1"/>
    <x v="16"/>
    <x v="0"/>
    <x v="0"/>
    <x v="0"/>
    <s v="GNR_ENG_BGAS_BP_E-40"/>
    <x v="1"/>
    <x v="0"/>
    <n v="0.64634146341463405"/>
    <n v="157.27642276422799"/>
    <n v="566.19512195122002"/>
  </r>
  <r>
    <x v="0"/>
    <x v="0"/>
    <x v="0"/>
    <x v="0"/>
    <x v="1"/>
    <x v="16"/>
    <x v="0"/>
    <x v="0"/>
    <x v="0"/>
    <s v="GNR_ENG_BGAS_BP_E-40"/>
    <x v="1"/>
    <x v="2"/>
    <n v="0.64634146341463405"/>
    <n v="157.27642276422799"/>
    <n v="566.19512195122002"/>
  </r>
  <r>
    <x v="0"/>
    <x v="0"/>
    <x v="0"/>
    <x v="0"/>
    <x v="1"/>
    <x v="16"/>
    <x v="0"/>
    <x v="0"/>
    <x v="0"/>
    <s v="GNR_ENG_BGAS_BP_E-41"/>
    <x v="0"/>
    <x v="0"/>
    <n v="2.4390243902439002"/>
    <n v="593.49593495935005"/>
    <n v="2136.5853658536598"/>
  </r>
  <r>
    <x v="0"/>
    <x v="0"/>
    <x v="0"/>
    <x v="0"/>
    <x v="1"/>
    <x v="16"/>
    <x v="0"/>
    <x v="0"/>
    <x v="0"/>
    <s v="GNR_ENG_BGAS_BP_E-41"/>
    <x v="0"/>
    <x v="1"/>
    <n v="2.4390243902439002"/>
    <n v="593.49593495935005"/>
    <n v="2136.5853658536598"/>
  </r>
  <r>
    <x v="0"/>
    <x v="0"/>
    <x v="0"/>
    <x v="0"/>
    <x v="1"/>
    <x v="16"/>
    <x v="0"/>
    <x v="0"/>
    <x v="0"/>
    <s v="GNR_ENG_BGAS_BP_E-41"/>
    <x v="0"/>
    <x v="2"/>
    <n v="2.4390243902439002"/>
    <n v="593.49593495935005"/>
    <n v="2136.5853658536598"/>
  </r>
  <r>
    <x v="0"/>
    <x v="0"/>
    <x v="0"/>
    <x v="0"/>
    <x v="1"/>
    <x v="16"/>
    <x v="0"/>
    <x v="0"/>
    <x v="0"/>
    <s v="GNR_ENG_BGAS_BP_E-41"/>
    <x v="1"/>
    <x v="3"/>
    <n v="2.4390243902439002"/>
    <n v="593.49593495935005"/>
    <n v="2136.5853658536598"/>
  </r>
  <r>
    <x v="0"/>
    <x v="0"/>
    <x v="0"/>
    <x v="0"/>
    <x v="1"/>
    <x v="16"/>
    <x v="0"/>
    <x v="0"/>
    <x v="0"/>
    <s v="GNR_ENG_BGAS_BP_E-41"/>
    <x v="1"/>
    <x v="4"/>
    <n v="2.4390243902439002"/>
    <n v="593.49593495935005"/>
    <n v="2136.5853658536598"/>
  </r>
  <r>
    <x v="0"/>
    <x v="0"/>
    <x v="0"/>
    <x v="0"/>
    <x v="1"/>
    <x v="16"/>
    <x v="0"/>
    <x v="0"/>
    <x v="0"/>
    <s v="GNR_ENG_BGAS_BP_E-41"/>
    <x v="1"/>
    <x v="0"/>
    <n v="2.4390243902439002"/>
    <n v="593.49593495935005"/>
    <n v="2136.5853658536598"/>
  </r>
  <r>
    <x v="0"/>
    <x v="0"/>
    <x v="0"/>
    <x v="0"/>
    <x v="1"/>
    <x v="16"/>
    <x v="0"/>
    <x v="0"/>
    <x v="0"/>
    <s v="GNR_ENG_BGAS_BP_E-41"/>
    <x v="1"/>
    <x v="2"/>
    <n v="2.4390243902439002"/>
    <n v="593.49593495935005"/>
    <n v="2136.5853658536598"/>
  </r>
  <r>
    <x v="0"/>
    <x v="0"/>
    <x v="0"/>
    <x v="0"/>
    <x v="1"/>
    <x v="16"/>
    <x v="0"/>
    <x v="0"/>
    <x v="0"/>
    <s v="GNR_ENG_BGAS_BP_E-42"/>
    <x v="0"/>
    <x v="0"/>
    <n v="6.9926829268292696"/>
    <n v="1701.55284552846"/>
    <n v="6125.5902439024403"/>
  </r>
  <r>
    <x v="0"/>
    <x v="0"/>
    <x v="0"/>
    <x v="0"/>
    <x v="1"/>
    <x v="16"/>
    <x v="0"/>
    <x v="0"/>
    <x v="0"/>
    <s v="GNR_ENG_BGAS_BP_E-42"/>
    <x v="0"/>
    <x v="1"/>
    <n v="6.9926829268292696"/>
    <n v="1701.55284552846"/>
    <n v="6125.5902439024403"/>
  </r>
  <r>
    <x v="0"/>
    <x v="0"/>
    <x v="0"/>
    <x v="0"/>
    <x v="1"/>
    <x v="16"/>
    <x v="0"/>
    <x v="0"/>
    <x v="0"/>
    <s v="GNR_ENG_BGAS_BP_E-42"/>
    <x v="0"/>
    <x v="2"/>
    <n v="6.9926829268292696"/>
    <n v="1701.55284552846"/>
    <n v="6125.5902439024403"/>
  </r>
  <r>
    <x v="0"/>
    <x v="0"/>
    <x v="0"/>
    <x v="0"/>
    <x v="1"/>
    <x v="16"/>
    <x v="0"/>
    <x v="0"/>
    <x v="0"/>
    <s v="GNR_ENG_BGAS_BP_E-42"/>
    <x v="1"/>
    <x v="3"/>
    <n v="6.9926829268292696"/>
    <n v="1701.55284552846"/>
    <n v="6125.5902439024403"/>
  </r>
  <r>
    <x v="0"/>
    <x v="0"/>
    <x v="0"/>
    <x v="0"/>
    <x v="1"/>
    <x v="16"/>
    <x v="0"/>
    <x v="0"/>
    <x v="0"/>
    <s v="GNR_ENG_BGAS_BP_E-42"/>
    <x v="1"/>
    <x v="4"/>
    <n v="6.9926829268292696"/>
    <n v="1701.55284552846"/>
    <n v="6125.5902439024403"/>
  </r>
  <r>
    <x v="0"/>
    <x v="0"/>
    <x v="0"/>
    <x v="0"/>
    <x v="1"/>
    <x v="16"/>
    <x v="0"/>
    <x v="0"/>
    <x v="0"/>
    <s v="GNR_ENG_BGAS_BP_E-42"/>
    <x v="1"/>
    <x v="0"/>
    <n v="6.9926829268292696"/>
    <n v="1701.55284552846"/>
    <n v="6125.5902439024403"/>
  </r>
  <r>
    <x v="0"/>
    <x v="0"/>
    <x v="0"/>
    <x v="0"/>
    <x v="1"/>
    <x v="16"/>
    <x v="0"/>
    <x v="0"/>
    <x v="0"/>
    <s v="GNR_ENG_BGAS_BP_E-42"/>
    <x v="1"/>
    <x v="2"/>
    <n v="6.9926829268292696"/>
    <n v="1701.55284552846"/>
    <n v="6125.5902439024403"/>
  </r>
  <r>
    <x v="0"/>
    <x v="0"/>
    <x v="0"/>
    <x v="0"/>
    <x v="1"/>
    <x v="16"/>
    <x v="10"/>
    <x v="0"/>
    <x v="0"/>
    <s v="GNR_ST_COAL_BP_E-35"/>
    <x v="0"/>
    <x v="3"/>
    <n v="49.3333333333333"/>
    <n v="12004.4444444444"/>
    <n v="43216"/>
  </r>
  <r>
    <x v="0"/>
    <x v="0"/>
    <x v="0"/>
    <x v="0"/>
    <x v="1"/>
    <x v="16"/>
    <x v="10"/>
    <x v="0"/>
    <x v="0"/>
    <s v="GNR_ST_COAL_BP_E-35"/>
    <x v="0"/>
    <x v="6"/>
    <n v="29.1317978560058"/>
    <n v="7088.73747829474"/>
    <n v="25519.454921861099"/>
  </r>
  <r>
    <x v="0"/>
    <x v="0"/>
    <x v="0"/>
    <x v="0"/>
    <x v="1"/>
    <x v="16"/>
    <x v="10"/>
    <x v="0"/>
    <x v="0"/>
    <s v="GNR_ST_COAL_BP_E-35"/>
    <x v="0"/>
    <x v="4"/>
    <n v="49.3333333333333"/>
    <n v="12004.4444444444"/>
    <n v="43216"/>
  </r>
  <r>
    <x v="0"/>
    <x v="0"/>
    <x v="0"/>
    <x v="0"/>
    <x v="1"/>
    <x v="16"/>
    <x v="10"/>
    <x v="0"/>
    <x v="0"/>
    <s v="GNR_ST_COAL_BP_E-35"/>
    <x v="0"/>
    <x v="7"/>
    <n v="49.3333333333333"/>
    <n v="12004.4444444444"/>
    <n v="43216"/>
  </r>
  <r>
    <x v="0"/>
    <x v="0"/>
    <x v="0"/>
    <x v="0"/>
    <x v="1"/>
    <x v="16"/>
    <x v="10"/>
    <x v="0"/>
    <x v="0"/>
    <s v="GNR_ST_COAL_BP_E-35"/>
    <x v="0"/>
    <x v="8"/>
    <n v="49.3333333333333"/>
    <n v="12004.4444444444"/>
    <n v="43216"/>
  </r>
  <r>
    <x v="0"/>
    <x v="0"/>
    <x v="0"/>
    <x v="0"/>
    <x v="1"/>
    <x v="16"/>
    <x v="10"/>
    <x v="0"/>
    <x v="0"/>
    <s v="GNR_ST_COAL_BP_E-35"/>
    <x v="0"/>
    <x v="0"/>
    <n v="49.3333333333333"/>
    <n v="12004.4444444444"/>
    <n v="43216"/>
  </r>
  <r>
    <x v="0"/>
    <x v="0"/>
    <x v="0"/>
    <x v="0"/>
    <x v="1"/>
    <x v="16"/>
    <x v="10"/>
    <x v="0"/>
    <x v="0"/>
    <s v="GNR_ST_COAL_BP_E-35"/>
    <x v="0"/>
    <x v="1"/>
    <n v="49.3333333333333"/>
    <n v="12004.4444444444"/>
    <n v="43216"/>
  </r>
  <r>
    <x v="0"/>
    <x v="0"/>
    <x v="0"/>
    <x v="0"/>
    <x v="1"/>
    <x v="16"/>
    <x v="10"/>
    <x v="0"/>
    <x v="0"/>
    <s v="GNR_ST_COAL_BP_E-35"/>
    <x v="0"/>
    <x v="2"/>
    <n v="49.3333333333333"/>
    <n v="12004.4444444444"/>
    <n v="43216"/>
  </r>
  <r>
    <x v="0"/>
    <x v="0"/>
    <x v="0"/>
    <x v="0"/>
    <x v="1"/>
    <x v="16"/>
    <x v="10"/>
    <x v="0"/>
    <x v="0"/>
    <s v="GNR_ST_COAL_BP_E-35"/>
    <x v="0"/>
    <x v="9"/>
    <n v="49.3333333333333"/>
    <n v="12004.4444444444"/>
    <n v="43216"/>
  </r>
  <r>
    <x v="0"/>
    <x v="0"/>
    <x v="0"/>
    <x v="0"/>
    <x v="1"/>
    <x v="16"/>
    <x v="10"/>
    <x v="0"/>
    <x v="0"/>
    <s v="GNR_ST_COAL_BP_E-35"/>
    <x v="0"/>
    <x v="10"/>
    <n v="49.3333333333333"/>
    <n v="12004.4444444444"/>
    <n v="43216"/>
  </r>
  <r>
    <x v="0"/>
    <x v="0"/>
    <x v="0"/>
    <x v="0"/>
    <x v="1"/>
    <x v="16"/>
    <x v="10"/>
    <x v="0"/>
    <x v="0"/>
    <s v="GNR_ST_COAL_BP_E-35"/>
    <x v="0"/>
    <x v="11"/>
    <n v="49.3333333333333"/>
    <n v="12004.4444444444"/>
    <n v="43216"/>
  </r>
  <r>
    <x v="0"/>
    <x v="0"/>
    <x v="0"/>
    <x v="0"/>
    <x v="1"/>
    <x v="16"/>
    <x v="10"/>
    <x v="0"/>
    <x v="0"/>
    <s v="GNR_ST_COAL_BP_E-35"/>
    <x v="2"/>
    <x v="3"/>
    <n v="49.3333333333333"/>
    <n v="12004.4444444444"/>
    <n v="43216"/>
  </r>
  <r>
    <x v="0"/>
    <x v="0"/>
    <x v="0"/>
    <x v="0"/>
    <x v="1"/>
    <x v="16"/>
    <x v="10"/>
    <x v="0"/>
    <x v="0"/>
    <s v="GNR_ST_COAL_BP_E-35"/>
    <x v="2"/>
    <x v="6"/>
    <n v="49.3333333333333"/>
    <n v="12004.4444444444"/>
    <n v="43216"/>
  </r>
  <r>
    <x v="0"/>
    <x v="0"/>
    <x v="0"/>
    <x v="0"/>
    <x v="1"/>
    <x v="16"/>
    <x v="10"/>
    <x v="0"/>
    <x v="0"/>
    <s v="GNR_ST_COAL_BP_E-35"/>
    <x v="2"/>
    <x v="4"/>
    <n v="49.3333333333333"/>
    <n v="12004.4444444444"/>
    <n v="43216"/>
  </r>
  <r>
    <x v="0"/>
    <x v="0"/>
    <x v="0"/>
    <x v="0"/>
    <x v="1"/>
    <x v="16"/>
    <x v="10"/>
    <x v="0"/>
    <x v="0"/>
    <s v="GNR_ST_COAL_BP_E-35"/>
    <x v="2"/>
    <x v="1"/>
    <n v="49.3333333333333"/>
    <n v="12004.4444444444"/>
    <n v="43216"/>
  </r>
  <r>
    <x v="0"/>
    <x v="0"/>
    <x v="0"/>
    <x v="0"/>
    <x v="1"/>
    <x v="16"/>
    <x v="10"/>
    <x v="0"/>
    <x v="0"/>
    <s v="GNR_ST_COAL_BP_E-35"/>
    <x v="2"/>
    <x v="2"/>
    <n v="49.3333333333333"/>
    <n v="12004.4444444444"/>
    <n v="43216"/>
  </r>
  <r>
    <x v="0"/>
    <x v="0"/>
    <x v="0"/>
    <x v="0"/>
    <x v="1"/>
    <x v="16"/>
    <x v="10"/>
    <x v="0"/>
    <x v="0"/>
    <s v="GNR_ST_COAL_BP_E-35"/>
    <x v="2"/>
    <x v="9"/>
    <n v="49.3333333333333"/>
    <n v="12004.4444444444"/>
    <n v="43216"/>
  </r>
  <r>
    <x v="0"/>
    <x v="0"/>
    <x v="0"/>
    <x v="0"/>
    <x v="1"/>
    <x v="16"/>
    <x v="10"/>
    <x v="0"/>
    <x v="0"/>
    <s v="GNR_ST_COAL_BP_E-35"/>
    <x v="2"/>
    <x v="10"/>
    <n v="49.3333333333333"/>
    <n v="12004.4444444444"/>
    <n v="43216"/>
  </r>
  <r>
    <x v="0"/>
    <x v="0"/>
    <x v="0"/>
    <x v="0"/>
    <x v="1"/>
    <x v="16"/>
    <x v="10"/>
    <x v="0"/>
    <x v="0"/>
    <s v="GNR_ST_COAL_BP_E-35"/>
    <x v="2"/>
    <x v="11"/>
    <n v="49.3333333333333"/>
    <n v="12004.4444444444"/>
    <n v="43216"/>
  </r>
  <r>
    <x v="0"/>
    <x v="0"/>
    <x v="0"/>
    <x v="0"/>
    <x v="1"/>
    <x v="16"/>
    <x v="10"/>
    <x v="0"/>
    <x v="0"/>
    <s v="GNR_ST_COAL_BP_E-35"/>
    <x v="1"/>
    <x v="3"/>
    <n v="49.3333333333333"/>
    <n v="12004.4444444444"/>
    <n v="43216"/>
  </r>
  <r>
    <x v="0"/>
    <x v="0"/>
    <x v="0"/>
    <x v="0"/>
    <x v="1"/>
    <x v="16"/>
    <x v="10"/>
    <x v="0"/>
    <x v="0"/>
    <s v="GNR_ST_COAL_BP_E-35"/>
    <x v="1"/>
    <x v="6"/>
    <n v="49.3333333333333"/>
    <n v="12004.4444444444"/>
    <n v="43216"/>
  </r>
  <r>
    <x v="0"/>
    <x v="0"/>
    <x v="0"/>
    <x v="0"/>
    <x v="1"/>
    <x v="16"/>
    <x v="10"/>
    <x v="0"/>
    <x v="0"/>
    <s v="GNR_ST_COAL_BP_E-35"/>
    <x v="1"/>
    <x v="4"/>
    <n v="49.3333333333333"/>
    <n v="12004.4444444444"/>
    <n v="43216"/>
  </r>
  <r>
    <x v="0"/>
    <x v="0"/>
    <x v="0"/>
    <x v="0"/>
    <x v="1"/>
    <x v="16"/>
    <x v="10"/>
    <x v="0"/>
    <x v="0"/>
    <s v="GNR_ST_COAL_BP_E-35"/>
    <x v="1"/>
    <x v="7"/>
    <n v="49.3333333333333"/>
    <n v="12004.4444444444"/>
    <n v="43216"/>
  </r>
  <r>
    <x v="0"/>
    <x v="0"/>
    <x v="0"/>
    <x v="0"/>
    <x v="1"/>
    <x v="16"/>
    <x v="10"/>
    <x v="0"/>
    <x v="0"/>
    <s v="GNR_ST_COAL_BP_E-35"/>
    <x v="1"/>
    <x v="8"/>
    <n v="49.3333333333333"/>
    <n v="12004.4444444444"/>
    <n v="43216"/>
  </r>
  <r>
    <x v="0"/>
    <x v="0"/>
    <x v="0"/>
    <x v="0"/>
    <x v="1"/>
    <x v="16"/>
    <x v="10"/>
    <x v="0"/>
    <x v="0"/>
    <s v="GNR_ST_COAL_BP_E-35"/>
    <x v="1"/>
    <x v="0"/>
    <n v="49.3333333333333"/>
    <n v="12004.4444444444"/>
    <n v="43216"/>
  </r>
  <r>
    <x v="0"/>
    <x v="0"/>
    <x v="0"/>
    <x v="0"/>
    <x v="1"/>
    <x v="16"/>
    <x v="10"/>
    <x v="0"/>
    <x v="0"/>
    <s v="GNR_ST_COAL_BP_E-35"/>
    <x v="1"/>
    <x v="1"/>
    <n v="49.3333333333333"/>
    <n v="12004.4444444444"/>
    <n v="43216"/>
  </r>
  <r>
    <x v="0"/>
    <x v="0"/>
    <x v="0"/>
    <x v="0"/>
    <x v="1"/>
    <x v="16"/>
    <x v="10"/>
    <x v="0"/>
    <x v="0"/>
    <s v="GNR_ST_COAL_BP_E-35"/>
    <x v="1"/>
    <x v="2"/>
    <n v="49.3333333333333"/>
    <n v="12004.4444444444"/>
    <n v="43216"/>
  </r>
  <r>
    <x v="0"/>
    <x v="0"/>
    <x v="0"/>
    <x v="0"/>
    <x v="1"/>
    <x v="16"/>
    <x v="10"/>
    <x v="0"/>
    <x v="0"/>
    <s v="GNR_ST_COAL_BP_E-35"/>
    <x v="1"/>
    <x v="9"/>
    <n v="49.3333333333333"/>
    <n v="12004.4444444444"/>
    <n v="43216"/>
  </r>
  <r>
    <x v="0"/>
    <x v="0"/>
    <x v="0"/>
    <x v="0"/>
    <x v="1"/>
    <x v="16"/>
    <x v="10"/>
    <x v="0"/>
    <x v="0"/>
    <s v="GNR_ST_COAL_BP_E-35"/>
    <x v="1"/>
    <x v="10"/>
    <n v="49.3333333333333"/>
    <n v="12004.4444444444"/>
    <n v="43216"/>
  </r>
  <r>
    <x v="0"/>
    <x v="0"/>
    <x v="0"/>
    <x v="0"/>
    <x v="1"/>
    <x v="16"/>
    <x v="8"/>
    <x v="4"/>
    <x v="5"/>
    <s v="GNR_HP_ELEC_COP-400"/>
    <x v="0"/>
    <x v="5"/>
    <n v="0.8"/>
    <n v="194.666666666667"/>
    <n v="700.8"/>
  </r>
  <r>
    <x v="0"/>
    <x v="0"/>
    <x v="0"/>
    <x v="0"/>
    <x v="1"/>
    <x v="16"/>
    <x v="8"/>
    <x v="4"/>
    <x v="5"/>
    <s v="GNR_HP_ELEC_COP-400"/>
    <x v="0"/>
    <x v="3"/>
    <n v="0.8"/>
    <n v="194.666666666667"/>
    <n v="700.8"/>
  </r>
  <r>
    <x v="0"/>
    <x v="0"/>
    <x v="0"/>
    <x v="0"/>
    <x v="1"/>
    <x v="16"/>
    <x v="8"/>
    <x v="4"/>
    <x v="5"/>
    <s v="GNR_HP_ELEC_COP-400"/>
    <x v="0"/>
    <x v="6"/>
    <n v="0.8"/>
    <n v="194.666666666667"/>
    <n v="700.8"/>
  </r>
  <r>
    <x v="0"/>
    <x v="0"/>
    <x v="0"/>
    <x v="0"/>
    <x v="1"/>
    <x v="16"/>
    <x v="8"/>
    <x v="4"/>
    <x v="5"/>
    <s v="GNR_HP_ELEC_COP-400"/>
    <x v="0"/>
    <x v="4"/>
    <n v="0.8"/>
    <n v="194.666666666667"/>
    <n v="700.8"/>
  </r>
  <r>
    <x v="0"/>
    <x v="0"/>
    <x v="0"/>
    <x v="0"/>
    <x v="1"/>
    <x v="16"/>
    <x v="8"/>
    <x v="4"/>
    <x v="5"/>
    <s v="GNR_HP_ELEC_COP-400"/>
    <x v="0"/>
    <x v="7"/>
    <n v="0.8"/>
    <n v="194.666666666667"/>
    <n v="700.8"/>
  </r>
  <r>
    <x v="0"/>
    <x v="0"/>
    <x v="0"/>
    <x v="0"/>
    <x v="1"/>
    <x v="16"/>
    <x v="8"/>
    <x v="4"/>
    <x v="5"/>
    <s v="GNR_HP_ELEC_COP-400"/>
    <x v="0"/>
    <x v="8"/>
    <n v="0.8"/>
    <n v="194.666666666667"/>
    <n v="700.8"/>
  </r>
  <r>
    <x v="0"/>
    <x v="0"/>
    <x v="0"/>
    <x v="0"/>
    <x v="1"/>
    <x v="16"/>
    <x v="8"/>
    <x v="4"/>
    <x v="5"/>
    <s v="GNR_HP_ELEC_COP-400"/>
    <x v="0"/>
    <x v="9"/>
    <n v="0.8"/>
    <n v="194.666666666667"/>
    <n v="700.8"/>
  </r>
  <r>
    <x v="0"/>
    <x v="0"/>
    <x v="0"/>
    <x v="0"/>
    <x v="1"/>
    <x v="16"/>
    <x v="8"/>
    <x v="4"/>
    <x v="5"/>
    <s v="GNR_HP_ELEC_COP-400"/>
    <x v="0"/>
    <x v="10"/>
    <n v="0.8"/>
    <n v="194.666666666667"/>
    <n v="700.8"/>
  </r>
  <r>
    <x v="0"/>
    <x v="0"/>
    <x v="0"/>
    <x v="0"/>
    <x v="1"/>
    <x v="16"/>
    <x v="8"/>
    <x v="4"/>
    <x v="5"/>
    <s v="GNR_HP_ELEC_COP-400"/>
    <x v="0"/>
    <x v="11"/>
    <n v="0.8"/>
    <n v="194.666666666667"/>
    <n v="700.8"/>
  </r>
  <r>
    <x v="0"/>
    <x v="0"/>
    <x v="0"/>
    <x v="0"/>
    <x v="1"/>
    <x v="16"/>
    <x v="8"/>
    <x v="4"/>
    <x v="5"/>
    <s v="GNR_HP_ELEC_COP-400"/>
    <x v="2"/>
    <x v="5"/>
    <n v="0.8"/>
    <n v="194.666666666667"/>
    <n v="700.8"/>
  </r>
  <r>
    <x v="0"/>
    <x v="0"/>
    <x v="0"/>
    <x v="0"/>
    <x v="1"/>
    <x v="16"/>
    <x v="8"/>
    <x v="4"/>
    <x v="5"/>
    <s v="GNR_HP_ELEC_COP-400"/>
    <x v="2"/>
    <x v="3"/>
    <n v="0.8"/>
    <n v="194.666666666667"/>
    <n v="700.8"/>
  </r>
  <r>
    <x v="0"/>
    <x v="0"/>
    <x v="0"/>
    <x v="0"/>
    <x v="1"/>
    <x v="16"/>
    <x v="8"/>
    <x v="4"/>
    <x v="5"/>
    <s v="GNR_HP_ELEC_COP-400"/>
    <x v="2"/>
    <x v="6"/>
    <n v="0.8"/>
    <n v="194.666666666667"/>
    <n v="700.8"/>
  </r>
  <r>
    <x v="0"/>
    <x v="0"/>
    <x v="0"/>
    <x v="0"/>
    <x v="1"/>
    <x v="16"/>
    <x v="8"/>
    <x v="4"/>
    <x v="5"/>
    <s v="GNR_HP_ELEC_COP-400"/>
    <x v="2"/>
    <x v="4"/>
    <n v="0.8"/>
    <n v="194.666666666667"/>
    <n v="700.8"/>
  </r>
  <r>
    <x v="0"/>
    <x v="0"/>
    <x v="0"/>
    <x v="0"/>
    <x v="1"/>
    <x v="16"/>
    <x v="8"/>
    <x v="4"/>
    <x v="5"/>
    <s v="GNR_HP_ELEC_COP-400"/>
    <x v="2"/>
    <x v="7"/>
    <n v="0.8"/>
    <n v="194.666666666667"/>
    <n v="700.8"/>
  </r>
  <r>
    <x v="0"/>
    <x v="0"/>
    <x v="0"/>
    <x v="0"/>
    <x v="1"/>
    <x v="16"/>
    <x v="8"/>
    <x v="4"/>
    <x v="5"/>
    <s v="GNR_HP_ELEC_COP-400"/>
    <x v="2"/>
    <x v="8"/>
    <n v="0.8"/>
    <n v="194.666666666667"/>
    <n v="700.8"/>
  </r>
  <r>
    <x v="0"/>
    <x v="0"/>
    <x v="0"/>
    <x v="0"/>
    <x v="1"/>
    <x v="16"/>
    <x v="8"/>
    <x v="4"/>
    <x v="5"/>
    <s v="GNR_HP_ELEC_COP-400"/>
    <x v="2"/>
    <x v="0"/>
    <n v="0.8"/>
    <n v="194.666666666667"/>
    <n v="700.8"/>
  </r>
  <r>
    <x v="0"/>
    <x v="0"/>
    <x v="0"/>
    <x v="0"/>
    <x v="1"/>
    <x v="16"/>
    <x v="8"/>
    <x v="4"/>
    <x v="5"/>
    <s v="GNR_HP_ELEC_COP-400"/>
    <x v="2"/>
    <x v="1"/>
    <n v="0.8"/>
    <n v="194.666666666667"/>
    <n v="700.8"/>
  </r>
  <r>
    <x v="0"/>
    <x v="0"/>
    <x v="0"/>
    <x v="0"/>
    <x v="1"/>
    <x v="16"/>
    <x v="8"/>
    <x v="4"/>
    <x v="5"/>
    <s v="GNR_HP_ELEC_COP-400"/>
    <x v="2"/>
    <x v="2"/>
    <n v="0.8"/>
    <n v="194.666666666667"/>
    <n v="700.8"/>
  </r>
  <r>
    <x v="0"/>
    <x v="0"/>
    <x v="0"/>
    <x v="0"/>
    <x v="1"/>
    <x v="16"/>
    <x v="8"/>
    <x v="4"/>
    <x v="5"/>
    <s v="GNR_HP_ELEC_COP-400"/>
    <x v="2"/>
    <x v="9"/>
    <n v="0.8"/>
    <n v="194.666666666667"/>
    <n v="700.8"/>
  </r>
  <r>
    <x v="0"/>
    <x v="0"/>
    <x v="0"/>
    <x v="0"/>
    <x v="1"/>
    <x v="16"/>
    <x v="8"/>
    <x v="4"/>
    <x v="5"/>
    <s v="GNR_HP_ELEC_COP-400"/>
    <x v="2"/>
    <x v="10"/>
    <n v="0.8"/>
    <n v="194.666666666667"/>
    <n v="700.8"/>
  </r>
  <r>
    <x v="0"/>
    <x v="0"/>
    <x v="0"/>
    <x v="0"/>
    <x v="1"/>
    <x v="16"/>
    <x v="8"/>
    <x v="4"/>
    <x v="5"/>
    <s v="GNR_HP_ELEC_COP-400"/>
    <x v="2"/>
    <x v="11"/>
    <n v="0.8"/>
    <n v="194.666666666667"/>
    <n v="700.8"/>
  </r>
  <r>
    <x v="0"/>
    <x v="0"/>
    <x v="0"/>
    <x v="0"/>
    <x v="1"/>
    <x v="16"/>
    <x v="8"/>
    <x v="4"/>
    <x v="5"/>
    <s v="GNR_HP_ELEC_COP-400"/>
    <x v="1"/>
    <x v="5"/>
    <n v="0.8"/>
    <n v="194.666666666667"/>
    <n v="700.8"/>
  </r>
  <r>
    <x v="0"/>
    <x v="0"/>
    <x v="0"/>
    <x v="0"/>
    <x v="1"/>
    <x v="16"/>
    <x v="8"/>
    <x v="4"/>
    <x v="5"/>
    <s v="GNR_HP_ELEC_COP-400"/>
    <x v="1"/>
    <x v="6"/>
    <n v="0.8"/>
    <n v="194.666666666667"/>
    <n v="700.8"/>
  </r>
  <r>
    <x v="0"/>
    <x v="0"/>
    <x v="0"/>
    <x v="0"/>
    <x v="1"/>
    <x v="16"/>
    <x v="8"/>
    <x v="4"/>
    <x v="5"/>
    <s v="GNR_HP_ELEC_COP-400"/>
    <x v="1"/>
    <x v="7"/>
    <n v="0.8"/>
    <n v="194.666666666667"/>
    <n v="700.8"/>
  </r>
  <r>
    <x v="0"/>
    <x v="0"/>
    <x v="0"/>
    <x v="0"/>
    <x v="1"/>
    <x v="16"/>
    <x v="8"/>
    <x v="4"/>
    <x v="5"/>
    <s v="GNR_HP_ELEC_COP-400"/>
    <x v="1"/>
    <x v="8"/>
    <n v="0.8"/>
    <n v="194.666666666667"/>
    <n v="700.8"/>
  </r>
  <r>
    <x v="0"/>
    <x v="0"/>
    <x v="0"/>
    <x v="0"/>
    <x v="1"/>
    <x v="16"/>
    <x v="8"/>
    <x v="4"/>
    <x v="5"/>
    <s v="GNR_HP_ELEC_COP-400"/>
    <x v="1"/>
    <x v="1"/>
    <n v="0.8"/>
    <n v="194.666666666667"/>
    <n v="700.8"/>
  </r>
  <r>
    <x v="0"/>
    <x v="0"/>
    <x v="0"/>
    <x v="0"/>
    <x v="1"/>
    <x v="16"/>
    <x v="8"/>
    <x v="4"/>
    <x v="5"/>
    <s v="GNR_HP_ELEC_COP-400"/>
    <x v="1"/>
    <x v="9"/>
    <n v="0.8"/>
    <n v="194.666666666667"/>
    <n v="700.8"/>
  </r>
  <r>
    <x v="0"/>
    <x v="0"/>
    <x v="0"/>
    <x v="0"/>
    <x v="1"/>
    <x v="16"/>
    <x v="8"/>
    <x v="4"/>
    <x v="5"/>
    <s v="GNR_HP_ELEC_COP-400"/>
    <x v="1"/>
    <x v="10"/>
    <n v="0.8"/>
    <n v="194.666666666667"/>
    <n v="700.8"/>
  </r>
  <r>
    <x v="0"/>
    <x v="0"/>
    <x v="0"/>
    <x v="0"/>
    <x v="1"/>
    <x v="16"/>
    <x v="8"/>
    <x v="4"/>
    <x v="5"/>
    <s v="GNR_HP_ELEC_COP-400"/>
    <x v="1"/>
    <x v="11"/>
    <n v="0.8"/>
    <n v="194.666666666667"/>
    <n v="700.8"/>
  </r>
  <r>
    <x v="0"/>
    <x v="0"/>
    <x v="0"/>
    <x v="0"/>
    <x v="1"/>
    <x v="16"/>
    <x v="1"/>
    <x v="1"/>
    <x v="1"/>
    <s v="GNR_HS_HEAT_PIT_L-DEC_E-91_Y-2030"/>
    <x v="0"/>
    <x v="5"/>
    <n v="83.920001010944503"/>
    <n v="20420.5335793298"/>
    <n v="73513.920885587402"/>
  </r>
  <r>
    <x v="0"/>
    <x v="0"/>
    <x v="0"/>
    <x v="0"/>
    <x v="1"/>
    <x v="16"/>
    <x v="1"/>
    <x v="1"/>
    <x v="1"/>
    <s v="GNR_HS_HEAT_PIT_L-DEC_E-91_Y-2030"/>
    <x v="0"/>
    <x v="3"/>
    <n v="83.920001010944503"/>
    <n v="20420.5335793298"/>
    <n v="73513.920885587402"/>
  </r>
  <r>
    <x v="0"/>
    <x v="0"/>
    <x v="0"/>
    <x v="0"/>
    <x v="1"/>
    <x v="16"/>
    <x v="1"/>
    <x v="1"/>
    <x v="1"/>
    <s v="GNR_HS_HEAT_PIT_L-DEC_E-91_Y-2030"/>
    <x v="0"/>
    <x v="6"/>
    <n v="83.920001010944503"/>
    <n v="20420.5335793298"/>
    <n v="73513.920885587402"/>
  </r>
  <r>
    <x v="0"/>
    <x v="0"/>
    <x v="0"/>
    <x v="0"/>
    <x v="1"/>
    <x v="16"/>
    <x v="1"/>
    <x v="1"/>
    <x v="1"/>
    <s v="GNR_HS_HEAT_PIT_L-DEC_E-91_Y-2030"/>
    <x v="0"/>
    <x v="4"/>
    <n v="83.920001010944503"/>
    <n v="20420.5335793298"/>
    <n v="73513.920885587402"/>
  </r>
  <r>
    <x v="0"/>
    <x v="0"/>
    <x v="0"/>
    <x v="0"/>
    <x v="1"/>
    <x v="16"/>
    <x v="1"/>
    <x v="1"/>
    <x v="1"/>
    <s v="GNR_HS_HEAT_PIT_L-DEC_E-91_Y-2030"/>
    <x v="0"/>
    <x v="7"/>
    <n v="83.920001010944503"/>
    <n v="20420.5335793298"/>
    <n v="73513.920885587402"/>
  </r>
  <r>
    <x v="0"/>
    <x v="0"/>
    <x v="0"/>
    <x v="0"/>
    <x v="1"/>
    <x v="16"/>
    <x v="1"/>
    <x v="1"/>
    <x v="1"/>
    <s v="GNR_HS_HEAT_PIT_L-DEC_E-91_Y-2030"/>
    <x v="0"/>
    <x v="8"/>
    <n v="83.920001010944503"/>
    <n v="20420.5335793298"/>
    <n v="73513.920885587402"/>
  </r>
  <r>
    <x v="0"/>
    <x v="0"/>
    <x v="0"/>
    <x v="0"/>
    <x v="1"/>
    <x v="16"/>
    <x v="1"/>
    <x v="1"/>
    <x v="1"/>
    <s v="GNR_HS_HEAT_PIT_L-DEC_E-91_Y-2030"/>
    <x v="0"/>
    <x v="0"/>
    <n v="83.920001010944503"/>
    <n v="20420.5335793298"/>
    <n v="73513.920885587402"/>
  </r>
  <r>
    <x v="0"/>
    <x v="0"/>
    <x v="0"/>
    <x v="0"/>
    <x v="1"/>
    <x v="16"/>
    <x v="1"/>
    <x v="1"/>
    <x v="1"/>
    <s v="GNR_HS_HEAT_PIT_L-DEC_E-91_Y-2030"/>
    <x v="0"/>
    <x v="1"/>
    <n v="83.920001010944503"/>
    <n v="20420.5335793298"/>
    <n v="73513.920885587402"/>
  </r>
  <r>
    <x v="0"/>
    <x v="0"/>
    <x v="0"/>
    <x v="0"/>
    <x v="1"/>
    <x v="16"/>
    <x v="1"/>
    <x v="1"/>
    <x v="1"/>
    <s v="GNR_HS_HEAT_PIT_L-DEC_E-91_Y-2030"/>
    <x v="0"/>
    <x v="2"/>
    <n v="83.920001010944503"/>
    <n v="20420.5335793298"/>
    <n v="73513.920885587402"/>
  </r>
  <r>
    <x v="0"/>
    <x v="0"/>
    <x v="0"/>
    <x v="0"/>
    <x v="1"/>
    <x v="16"/>
    <x v="1"/>
    <x v="1"/>
    <x v="1"/>
    <s v="GNR_HS_HEAT_PIT_L-DEC_E-91_Y-2030"/>
    <x v="0"/>
    <x v="9"/>
    <n v="83.920001010944503"/>
    <n v="20420.5335793298"/>
    <n v="73513.920885587402"/>
  </r>
  <r>
    <x v="0"/>
    <x v="0"/>
    <x v="0"/>
    <x v="0"/>
    <x v="1"/>
    <x v="16"/>
    <x v="1"/>
    <x v="1"/>
    <x v="1"/>
    <s v="GNR_HS_HEAT_PIT_L-DEC_E-91_Y-2030"/>
    <x v="0"/>
    <x v="10"/>
    <n v="83.920001010944503"/>
    <n v="20420.5335793298"/>
    <n v="73513.920885587402"/>
  </r>
  <r>
    <x v="0"/>
    <x v="0"/>
    <x v="0"/>
    <x v="0"/>
    <x v="1"/>
    <x v="16"/>
    <x v="1"/>
    <x v="1"/>
    <x v="1"/>
    <s v="GNR_HS_HEAT_PIT_L-DEC_E-91_Y-2030"/>
    <x v="0"/>
    <x v="11"/>
    <n v="83.920001010944503"/>
    <n v="20420.5335793298"/>
    <n v="73513.920885587402"/>
  </r>
  <r>
    <x v="0"/>
    <x v="0"/>
    <x v="0"/>
    <x v="0"/>
    <x v="1"/>
    <x v="16"/>
    <x v="1"/>
    <x v="1"/>
    <x v="2"/>
    <s v="GNR_HS_HEAT_WTR-TANK_LS_E-95_Y-2010"/>
    <x v="0"/>
    <x v="5"/>
    <n v="105.305578505407"/>
    <n v="25624.3574363156"/>
    <n v="92247.686770736298"/>
  </r>
  <r>
    <x v="0"/>
    <x v="0"/>
    <x v="0"/>
    <x v="0"/>
    <x v="1"/>
    <x v="16"/>
    <x v="1"/>
    <x v="1"/>
    <x v="2"/>
    <s v="GNR_HS_HEAT_WTR-TANK_LS_E-95_Y-2010"/>
    <x v="0"/>
    <x v="3"/>
    <n v="24.631127210226101"/>
    <n v="5993.5742878216797"/>
    <n v="21576.8674361581"/>
  </r>
  <r>
    <x v="0"/>
    <x v="0"/>
    <x v="0"/>
    <x v="0"/>
    <x v="1"/>
    <x v="16"/>
    <x v="1"/>
    <x v="1"/>
    <x v="2"/>
    <s v="GNR_HS_HEAT_WTR-TANK_LS_E-95_Y-2010"/>
    <x v="0"/>
    <x v="6"/>
    <n v="105.305578505407"/>
    <n v="25624.3574363156"/>
    <n v="92247.686770736298"/>
  </r>
  <r>
    <x v="0"/>
    <x v="0"/>
    <x v="0"/>
    <x v="0"/>
    <x v="1"/>
    <x v="16"/>
    <x v="1"/>
    <x v="1"/>
    <x v="2"/>
    <s v="GNR_HS_HEAT_WTR-TANK_LS_E-95_Y-2010"/>
    <x v="0"/>
    <x v="1"/>
    <n v="13.605839548381001"/>
    <n v="3310.7542901060301"/>
    <n v="11918.7154443817"/>
  </r>
  <r>
    <x v="0"/>
    <x v="0"/>
    <x v="0"/>
    <x v="0"/>
    <x v="1"/>
    <x v="16"/>
    <x v="1"/>
    <x v="1"/>
    <x v="2"/>
    <s v="GNR_HS_HEAT_WTR-TANK_LS_E-95_Y-2010"/>
    <x v="0"/>
    <x v="2"/>
    <n v="26.112302064730301"/>
    <n v="6353.9935024177103"/>
    <n v="22874.376608703798"/>
  </r>
  <r>
    <x v="0"/>
    <x v="0"/>
    <x v="0"/>
    <x v="0"/>
    <x v="1"/>
    <x v="16"/>
    <x v="1"/>
    <x v="1"/>
    <x v="2"/>
    <s v="GNR_HS_HEAT_WTR-TANK_LS_E-95_Y-2010"/>
    <x v="2"/>
    <x v="6"/>
    <n v="58.852320610810601"/>
    <n v="14320.731348630599"/>
    <n v="51554.6328550701"/>
  </r>
  <r>
    <x v="0"/>
    <x v="0"/>
    <x v="0"/>
    <x v="0"/>
    <x v="1"/>
    <x v="16"/>
    <x v="1"/>
    <x v="1"/>
    <x v="2"/>
    <s v="GNR_HS_HEAT_WTR-TANK_LS_E-95_Y-2010"/>
    <x v="2"/>
    <x v="7"/>
    <n v="105.305578505407"/>
    <n v="25624.3574363156"/>
    <n v="92247.686770736298"/>
  </r>
  <r>
    <x v="0"/>
    <x v="0"/>
    <x v="0"/>
    <x v="0"/>
    <x v="1"/>
    <x v="16"/>
    <x v="1"/>
    <x v="1"/>
    <x v="2"/>
    <s v="GNR_HS_HEAT_WTR-TANK_LS_E-95_Y-2010"/>
    <x v="2"/>
    <x v="0"/>
    <n v="6.9319703779159898"/>
    <n v="1686.77945862622"/>
    <n v="6072.4060510544005"/>
  </r>
  <r>
    <x v="0"/>
    <x v="0"/>
    <x v="0"/>
    <x v="0"/>
    <x v="1"/>
    <x v="16"/>
    <x v="1"/>
    <x v="1"/>
    <x v="2"/>
    <s v="GNR_HS_HEAT_WTR-TANK_LS_E-95_Y-2010"/>
    <x v="1"/>
    <x v="11"/>
    <n v="26.333334653108"/>
    <n v="6407.7780989229404"/>
    <n v="23068.001156122598"/>
  </r>
  <r>
    <x v="0"/>
    <x v="0"/>
    <x v="0"/>
    <x v="0"/>
    <x v="1"/>
    <x v="16"/>
    <x v="3"/>
    <x v="2"/>
    <x v="3"/>
    <s v="GNR_BO_NGAS_E-100"/>
    <x v="0"/>
    <x v="6"/>
    <n v="3.25"/>
    <n v="790.83333333333303"/>
    <n v="2847"/>
  </r>
  <r>
    <x v="0"/>
    <x v="0"/>
    <x v="0"/>
    <x v="0"/>
    <x v="1"/>
    <x v="16"/>
    <x v="3"/>
    <x v="2"/>
    <x v="3"/>
    <s v="GNR_BO_NGAS_E-101"/>
    <x v="0"/>
    <x v="6"/>
    <n v="2.6"/>
    <n v="632.66666666666697"/>
    <n v="2277.6"/>
  </r>
  <r>
    <x v="0"/>
    <x v="0"/>
    <x v="0"/>
    <x v="0"/>
    <x v="1"/>
    <x v="16"/>
    <x v="3"/>
    <x v="0"/>
    <x v="0"/>
    <s v="GNR_CC_NGAS_BP_E-53_SS-10-MW_Y-2030"/>
    <x v="0"/>
    <x v="3"/>
    <n v="42.889606902263402"/>
    <n v="10436.4710128841"/>
    <n v="37571.295646382801"/>
  </r>
  <r>
    <x v="0"/>
    <x v="0"/>
    <x v="0"/>
    <x v="0"/>
    <x v="1"/>
    <x v="16"/>
    <x v="3"/>
    <x v="0"/>
    <x v="0"/>
    <s v="GNR_CC_NGAS_BP_E-53_SS-10-MW_Y-2030"/>
    <x v="0"/>
    <x v="4"/>
    <n v="42.889606902263402"/>
    <n v="10436.4710128841"/>
    <n v="37571.295646382801"/>
  </r>
  <r>
    <x v="0"/>
    <x v="0"/>
    <x v="0"/>
    <x v="0"/>
    <x v="1"/>
    <x v="16"/>
    <x v="3"/>
    <x v="0"/>
    <x v="0"/>
    <s v="GNR_CC_NGAS_BP_E-53_SS-10-MW_Y-2030"/>
    <x v="0"/>
    <x v="7"/>
    <n v="12.5456319056998"/>
    <n v="3052.77043038695"/>
    <n v="10989.973549393"/>
  </r>
  <r>
    <x v="0"/>
    <x v="0"/>
    <x v="0"/>
    <x v="0"/>
    <x v="1"/>
    <x v="16"/>
    <x v="3"/>
    <x v="0"/>
    <x v="0"/>
    <s v="GNR_CC_NGAS_BP_E-53_SS-10-MW_Y-2030"/>
    <x v="0"/>
    <x v="8"/>
    <n v="42.889606902263402"/>
    <n v="10436.4710128841"/>
    <n v="37571.295646382801"/>
  </r>
  <r>
    <x v="0"/>
    <x v="0"/>
    <x v="0"/>
    <x v="0"/>
    <x v="1"/>
    <x v="16"/>
    <x v="3"/>
    <x v="0"/>
    <x v="0"/>
    <s v="GNR_CC_NGAS_BP_E-53_SS-10-MW_Y-2030"/>
    <x v="0"/>
    <x v="0"/>
    <n v="42.889606902263402"/>
    <n v="10436.4710128841"/>
    <n v="37571.295646382801"/>
  </r>
  <r>
    <x v="0"/>
    <x v="0"/>
    <x v="0"/>
    <x v="0"/>
    <x v="1"/>
    <x v="16"/>
    <x v="3"/>
    <x v="0"/>
    <x v="0"/>
    <s v="GNR_CC_NGAS_BP_E-53_SS-10-MW_Y-2030"/>
    <x v="0"/>
    <x v="1"/>
    <n v="42.889606902263402"/>
    <n v="10436.4710128841"/>
    <n v="37571.295646382801"/>
  </r>
  <r>
    <x v="0"/>
    <x v="0"/>
    <x v="0"/>
    <x v="0"/>
    <x v="1"/>
    <x v="16"/>
    <x v="3"/>
    <x v="0"/>
    <x v="0"/>
    <s v="GNR_CC_NGAS_BP_E-53_SS-10-MW_Y-2030"/>
    <x v="0"/>
    <x v="2"/>
    <n v="42.889606902263402"/>
    <n v="10436.4710128841"/>
    <n v="37571.295646382801"/>
  </r>
  <r>
    <x v="0"/>
    <x v="0"/>
    <x v="0"/>
    <x v="0"/>
    <x v="1"/>
    <x v="16"/>
    <x v="3"/>
    <x v="0"/>
    <x v="0"/>
    <s v="GNR_CC_NGAS_BP_E-53_SS-10-MW_Y-2030"/>
    <x v="0"/>
    <x v="9"/>
    <n v="42.889606902263402"/>
    <n v="10436.4710128841"/>
    <n v="37571.295646382801"/>
  </r>
  <r>
    <x v="0"/>
    <x v="0"/>
    <x v="0"/>
    <x v="0"/>
    <x v="1"/>
    <x v="16"/>
    <x v="3"/>
    <x v="0"/>
    <x v="0"/>
    <s v="GNR_CC_NGAS_BP_E-53_SS-10-MW_Y-2030"/>
    <x v="0"/>
    <x v="10"/>
    <n v="42.889606902263402"/>
    <n v="10436.4710128841"/>
    <n v="37571.295646382801"/>
  </r>
  <r>
    <x v="0"/>
    <x v="0"/>
    <x v="0"/>
    <x v="0"/>
    <x v="1"/>
    <x v="16"/>
    <x v="3"/>
    <x v="0"/>
    <x v="0"/>
    <s v="GNR_CC_NGAS_BP_E-53_SS-10-MW_Y-2030"/>
    <x v="0"/>
    <x v="11"/>
    <n v="42.889606902263402"/>
    <n v="10436.4710128841"/>
    <n v="37571.295646382801"/>
  </r>
  <r>
    <x v="0"/>
    <x v="0"/>
    <x v="0"/>
    <x v="0"/>
    <x v="1"/>
    <x v="16"/>
    <x v="3"/>
    <x v="0"/>
    <x v="0"/>
    <s v="GNR_CC_NGAS_BP_E-53_SS-10-MW_Y-2030"/>
    <x v="2"/>
    <x v="3"/>
    <n v="42.889606902263402"/>
    <n v="10436.4710128841"/>
    <n v="37571.295646382801"/>
  </r>
  <r>
    <x v="0"/>
    <x v="0"/>
    <x v="0"/>
    <x v="0"/>
    <x v="1"/>
    <x v="16"/>
    <x v="3"/>
    <x v="0"/>
    <x v="0"/>
    <s v="GNR_CC_NGAS_BP_E-53_SS-10-MW_Y-2030"/>
    <x v="2"/>
    <x v="6"/>
    <n v="42.889606902263402"/>
    <n v="10436.4710128841"/>
    <n v="37571.295646382801"/>
  </r>
  <r>
    <x v="0"/>
    <x v="0"/>
    <x v="0"/>
    <x v="0"/>
    <x v="1"/>
    <x v="16"/>
    <x v="3"/>
    <x v="0"/>
    <x v="0"/>
    <s v="GNR_CC_NGAS_BP_E-53_SS-10-MW_Y-2030"/>
    <x v="2"/>
    <x v="4"/>
    <n v="42.889606902263402"/>
    <n v="10436.4710128841"/>
    <n v="37571.295646382801"/>
  </r>
  <r>
    <x v="0"/>
    <x v="0"/>
    <x v="0"/>
    <x v="0"/>
    <x v="1"/>
    <x v="16"/>
    <x v="3"/>
    <x v="0"/>
    <x v="0"/>
    <s v="GNR_CC_NGAS_BP_E-53_SS-10-MW_Y-2030"/>
    <x v="2"/>
    <x v="1"/>
    <n v="42.889606902263402"/>
    <n v="10436.4710128841"/>
    <n v="37571.295646382801"/>
  </r>
  <r>
    <x v="0"/>
    <x v="0"/>
    <x v="0"/>
    <x v="0"/>
    <x v="1"/>
    <x v="16"/>
    <x v="3"/>
    <x v="0"/>
    <x v="0"/>
    <s v="GNR_CC_NGAS_BP_E-53_SS-10-MW_Y-2030"/>
    <x v="2"/>
    <x v="2"/>
    <n v="42.889606902263402"/>
    <n v="10436.4710128841"/>
    <n v="37571.295646382801"/>
  </r>
  <r>
    <x v="0"/>
    <x v="0"/>
    <x v="0"/>
    <x v="0"/>
    <x v="1"/>
    <x v="16"/>
    <x v="3"/>
    <x v="0"/>
    <x v="0"/>
    <s v="GNR_CC_NGAS_BP_E-53_SS-10-MW_Y-2030"/>
    <x v="2"/>
    <x v="10"/>
    <n v="42.889606902263402"/>
    <n v="10436.4710128841"/>
    <n v="37571.295646382801"/>
  </r>
  <r>
    <x v="0"/>
    <x v="0"/>
    <x v="0"/>
    <x v="0"/>
    <x v="1"/>
    <x v="16"/>
    <x v="3"/>
    <x v="0"/>
    <x v="0"/>
    <s v="GNR_CC_NGAS_BP_E-53_SS-10-MW_Y-2030"/>
    <x v="1"/>
    <x v="3"/>
    <n v="42.889606902263402"/>
    <n v="10436.4710128841"/>
    <n v="37571.295646382801"/>
  </r>
  <r>
    <x v="0"/>
    <x v="0"/>
    <x v="0"/>
    <x v="0"/>
    <x v="1"/>
    <x v="16"/>
    <x v="3"/>
    <x v="0"/>
    <x v="0"/>
    <s v="GNR_CC_NGAS_BP_E-53_SS-10-MW_Y-2030"/>
    <x v="1"/>
    <x v="6"/>
    <n v="42.889606902263402"/>
    <n v="10436.4710128841"/>
    <n v="37571.295646382801"/>
  </r>
  <r>
    <x v="0"/>
    <x v="0"/>
    <x v="0"/>
    <x v="0"/>
    <x v="1"/>
    <x v="16"/>
    <x v="3"/>
    <x v="0"/>
    <x v="0"/>
    <s v="GNR_CC_NGAS_BP_E-53_SS-10-MW_Y-2030"/>
    <x v="1"/>
    <x v="4"/>
    <n v="42.889606902263402"/>
    <n v="10436.4710128841"/>
    <n v="37571.295646382801"/>
  </r>
  <r>
    <x v="0"/>
    <x v="0"/>
    <x v="0"/>
    <x v="0"/>
    <x v="1"/>
    <x v="16"/>
    <x v="3"/>
    <x v="0"/>
    <x v="0"/>
    <s v="GNR_CC_NGAS_BP_E-53_SS-10-MW_Y-2030"/>
    <x v="1"/>
    <x v="7"/>
    <n v="42.889606902263402"/>
    <n v="10436.4710128841"/>
    <n v="37571.295646382801"/>
  </r>
  <r>
    <x v="0"/>
    <x v="0"/>
    <x v="0"/>
    <x v="0"/>
    <x v="1"/>
    <x v="16"/>
    <x v="3"/>
    <x v="0"/>
    <x v="0"/>
    <s v="GNR_CC_NGAS_BP_E-53_SS-10-MW_Y-2030"/>
    <x v="1"/>
    <x v="8"/>
    <n v="42.889606902263402"/>
    <n v="10436.4710128841"/>
    <n v="37571.295646382801"/>
  </r>
  <r>
    <x v="0"/>
    <x v="0"/>
    <x v="0"/>
    <x v="0"/>
    <x v="1"/>
    <x v="16"/>
    <x v="3"/>
    <x v="0"/>
    <x v="0"/>
    <s v="GNR_CC_NGAS_BP_E-53_SS-10-MW_Y-2030"/>
    <x v="1"/>
    <x v="0"/>
    <n v="42.889606902263402"/>
    <n v="10436.4710128841"/>
    <n v="37571.295646382801"/>
  </r>
  <r>
    <x v="0"/>
    <x v="0"/>
    <x v="0"/>
    <x v="0"/>
    <x v="1"/>
    <x v="16"/>
    <x v="3"/>
    <x v="0"/>
    <x v="0"/>
    <s v="GNR_CC_NGAS_BP_E-53_SS-10-MW_Y-2030"/>
    <x v="1"/>
    <x v="1"/>
    <n v="42.889606902263402"/>
    <n v="10436.4710128841"/>
    <n v="37571.295646382801"/>
  </r>
  <r>
    <x v="0"/>
    <x v="0"/>
    <x v="0"/>
    <x v="0"/>
    <x v="1"/>
    <x v="16"/>
    <x v="3"/>
    <x v="0"/>
    <x v="0"/>
    <s v="GNR_CC_NGAS_BP_E-53_SS-10-MW_Y-2030"/>
    <x v="1"/>
    <x v="2"/>
    <n v="42.889606902263402"/>
    <n v="10436.4710128841"/>
    <n v="37571.295646382801"/>
  </r>
  <r>
    <x v="0"/>
    <x v="0"/>
    <x v="0"/>
    <x v="0"/>
    <x v="1"/>
    <x v="16"/>
    <x v="3"/>
    <x v="0"/>
    <x v="0"/>
    <s v="GNR_CC_NGAS_BP_E-53_SS-10-MW_Y-2030"/>
    <x v="1"/>
    <x v="9"/>
    <n v="42.889606902263402"/>
    <n v="10436.4710128841"/>
    <n v="37571.295646382801"/>
  </r>
  <r>
    <x v="0"/>
    <x v="0"/>
    <x v="0"/>
    <x v="0"/>
    <x v="1"/>
    <x v="16"/>
    <x v="3"/>
    <x v="0"/>
    <x v="0"/>
    <s v="GNR_CC_NGAS_BP_E-53_SS-10-MW_Y-2030"/>
    <x v="1"/>
    <x v="10"/>
    <n v="42.889606902263402"/>
    <n v="10436.4710128841"/>
    <n v="37571.295646382801"/>
  </r>
  <r>
    <x v="0"/>
    <x v="0"/>
    <x v="0"/>
    <x v="0"/>
    <x v="1"/>
    <x v="16"/>
    <x v="3"/>
    <x v="0"/>
    <x v="0"/>
    <s v="GNR_ENG_NGAS_BP_E-36"/>
    <x v="0"/>
    <x v="0"/>
    <n v="0.31666666666666698"/>
    <n v="77.0555555555556"/>
    <n v="277.39999999999998"/>
  </r>
  <r>
    <x v="0"/>
    <x v="0"/>
    <x v="0"/>
    <x v="0"/>
    <x v="1"/>
    <x v="16"/>
    <x v="3"/>
    <x v="0"/>
    <x v="0"/>
    <s v="GNR_ENG_NGAS_BP_E-36"/>
    <x v="0"/>
    <x v="1"/>
    <n v="0.31666666666666698"/>
    <n v="77.0555555555556"/>
    <n v="277.39999999999998"/>
  </r>
  <r>
    <x v="0"/>
    <x v="0"/>
    <x v="0"/>
    <x v="0"/>
    <x v="1"/>
    <x v="16"/>
    <x v="3"/>
    <x v="0"/>
    <x v="0"/>
    <s v="GNR_ENG_NGAS_BP_E-36"/>
    <x v="0"/>
    <x v="2"/>
    <n v="0.31666666666666698"/>
    <n v="77.0555555555556"/>
    <n v="277.39999999999998"/>
  </r>
  <r>
    <x v="0"/>
    <x v="0"/>
    <x v="0"/>
    <x v="0"/>
    <x v="1"/>
    <x v="16"/>
    <x v="3"/>
    <x v="0"/>
    <x v="0"/>
    <s v="GNR_ENG_NGAS_BP_E-36"/>
    <x v="1"/>
    <x v="3"/>
    <n v="0.31666666666666698"/>
    <n v="77.0555555555556"/>
    <n v="277.39999999999998"/>
  </r>
  <r>
    <x v="0"/>
    <x v="0"/>
    <x v="0"/>
    <x v="0"/>
    <x v="1"/>
    <x v="16"/>
    <x v="3"/>
    <x v="0"/>
    <x v="0"/>
    <s v="GNR_ENG_NGAS_BP_E-36"/>
    <x v="1"/>
    <x v="4"/>
    <n v="0.31666666666666698"/>
    <n v="77.0555555555556"/>
    <n v="277.39999999999998"/>
  </r>
  <r>
    <x v="0"/>
    <x v="0"/>
    <x v="0"/>
    <x v="0"/>
    <x v="1"/>
    <x v="16"/>
    <x v="3"/>
    <x v="0"/>
    <x v="0"/>
    <s v="GNR_ENG_NGAS_BP_E-36"/>
    <x v="1"/>
    <x v="0"/>
    <n v="0.31666666666666698"/>
    <n v="77.0555555555556"/>
    <n v="277.39999999999998"/>
  </r>
  <r>
    <x v="0"/>
    <x v="0"/>
    <x v="0"/>
    <x v="0"/>
    <x v="1"/>
    <x v="16"/>
    <x v="3"/>
    <x v="0"/>
    <x v="0"/>
    <s v="GNR_ENG_NGAS_BP_E-36"/>
    <x v="1"/>
    <x v="2"/>
    <n v="0.31666666666666698"/>
    <n v="77.0555555555556"/>
    <n v="277.39999999999998"/>
  </r>
  <r>
    <x v="0"/>
    <x v="0"/>
    <x v="0"/>
    <x v="0"/>
    <x v="1"/>
    <x v="16"/>
    <x v="3"/>
    <x v="0"/>
    <x v="0"/>
    <s v="GNR_ENG_NGAS_BP_E-38"/>
    <x v="0"/>
    <x v="0"/>
    <n v="0.42777777777777798"/>
    <n v="104.09259259259299"/>
    <n v="374.73333333333301"/>
  </r>
  <r>
    <x v="0"/>
    <x v="0"/>
    <x v="0"/>
    <x v="0"/>
    <x v="1"/>
    <x v="16"/>
    <x v="3"/>
    <x v="0"/>
    <x v="0"/>
    <s v="GNR_ENG_NGAS_BP_E-38"/>
    <x v="0"/>
    <x v="1"/>
    <n v="0.42777777777777798"/>
    <n v="104.09259259259299"/>
    <n v="374.73333333333301"/>
  </r>
  <r>
    <x v="0"/>
    <x v="0"/>
    <x v="0"/>
    <x v="0"/>
    <x v="1"/>
    <x v="16"/>
    <x v="3"/>
    <x v="0"/>
    <x v="0"/>
    <s v="GNR_ENG_NGAS_BP_E-38"/>
    <x v="0"/>
    <x v="2"/>
    <n v="0.42777777777777798"/>
    <n v="104.09259259259299"/>
    <n v="374.73333333333301"/>
  </r>
  <r>
    <x v="0"/>
    <x v="0"/>
    <x v="0"/>
    <x v="0"/>
    <x v="1"/>
    <x v="16"/>
    <x v="3"/>
    <x v="0"/>
    <x v="0"/>
    <s v="GNR_ENG_NGAS_BP_E-38"/>
    <x v="1"/>
    <x v="3"/>
    <n v="0.42777777777777798"/>
    <n v="104.09259259259299"/>
    <n v="374.73333333333301"/>
  </r>
  <r>
    <x v="0"/>
    <x v="0"/>
    <x v="0"/>
    <x v="0"/>
    <x v="1"/>
    <x v="16"/>
    <x v="3"/>
    <x v="0"/>
    <x v="0"/>
    <s v="GNR_ENG_NGAS_BP_E-38"/>
    <x v="1"/>
    <x v="4"/>
    <n v="0.42777777777777798"/>
    <n v="104.09259259259299"/>
    <n v="374.73333333333301"/>
  </r>
  <r>
    <x v="0"/>
    <x v="0"/>
    <x v="0"/>
    <x v="0"/>
    <x v="1"/>
    <x v="16"/>
    <x v="3"/>
    <x v="0"/>
    <x v="0"/>
    <s v="GNR_ENG_NGAS_BP_E-38"/>
    <x v="1"/>
    <x v="7"/>
    <n v="0.42777777777777798"/>
    <n v="104.09259259259299"/>
    <n v="374.73333333333301"/>
  </r>
  <r>
    <x v="0"/>
    <x v="0"/>
    <x v="0"/>
    <x v="0"/>
    <x v="1"/>
    <x v="16"/>
    <x v="3"/>
    <x v="0"/>
    <x v="0"/>
    <s v="GNR_ENG_NGAS_BP_E-38"/>
    <x v="1"/>
    <x v="0"/>
    <n v="0.42777777777777798"/>
    <n v="104.09259259259299"/>
    <n v="374.73333333333301"/>
  </r>
  <r>
    <x v="0"/>
    <x v="0"/>
    <x v="0"/>
    <x v="0"/>
    <x v="1"/>
    <x v="16"/>
    <x v="3"/>
    <x v="0"/>
    <x v="0"/>
    <s v="GNR_ENG_NGAS_BP_E-38"/>
    <x v="1"/>
    <x v="1"/>
    <n v="0.42777777777777798"/>
    <n v="104.09259259259299"/>
    <n v="374.73333333333301"/>
  </r>
  <r>
    <x v="0"/>
    <x v="0"/>
    <x v="0"/>
    <x v="0"/>
    <x v="1"/>
    <x v="16"/>
    <x v="3"/>
    <x v="0"/>
    <x v="0"/>
    <s v="GNR_ENG_NGAS_BP_E-38"/>
    <x v="1"/>
    <x v="2"/>
    <n v="0.42777777777777798"/>
    <n v="104.09259259259299"/>
    <n v="374.73333333333301"/>
  </r>
  <r>
    <x v="0"/>
    <x v="0"/>
    <x v="0"/>
    <x v="0"/>
    <x v="1"/>
    <x v="16"/>
    <x v="3"/>
    <x v="0"/>
    <x v="0"/>
    <s v="GNR_ENG_NGAS_BP_E-40"/>
    <x v="0"/>
    <x v="8"/>
    <n v="9.4444444444444393"/>
    <n v="2298.1481481481501"/>
    <n v="8273.3333333333303"/>
  </r>
  <r>
    <x v="0"/>
    <x v="0"/>
    <x v="0"/>
    <x v="0"/>
    <x v="1"/>
    <x v="16"/>
    <x v="3"/>
    <x v="0"/>
    <x v="0"/>
    <s v="GNR_ENG_NGAS_BP_E-40"/>
    <x v="0"/>
    <x v="0"/>
    <n v="9.4444444444444393"/>
    <n v="2298.1481481481501"/>
    <n v="8273.3333333333303"/>
  </r>
  <r>
    <x v="0"/>
    <x v="0"/>
    <x v="0"/>
    <x v="0"/>
    <x v="1"/>
    <x v="16"/>
    <x v="3"/>
    <x v="0"/>
    <x v="0"/>
    <s v="GNR_ENG_NGAS_BP_E-40"/>
    <x v="0"/>
    <x v="1"/>
    <n v="9.4444444444444393"/>
    <n v="2298.1481481481501"/>
    <n v="8273.3333333333303"/>
  </r>
  <r>
    <x v="0"/>
    <x v="0"/>
    <x v="0"/>
    <x v="0"/>
    <x v="1"/>
    <x v="16"/>
    <x v="3"/>
    <x v="0"/>
    <x v="0"/>
    <s v="GNR_ENG_NGAS_BP_E-40"/>
    <x v="0"/>
    <x v="2"/>
    <n v="9.4444444444444393"/>
    <n v="2298.1481481481501"/>
    <n v="8273.3333333333303"/>
  </r>
  <r>
    <x v="0"/>
    <x v="0"/>
    <x v="0"/>
    <x v="0"/>
    <x v="1"/>
    <x v="16"/>
    <x v="3"/>
    <x v="0"/>
    <x v="0"/>
    <s v="GNR_ENG_NGAS_BP_E-40"/>
    <x v="0"/>
    <x v="9"/>
    <n v="9.4444444444444393"/>
    <n v="2298.1481481481501"/>
    <n v="8273.3333333333303"/>
  </r>
  <r>
    <x v="0"/>
    <x v="0"/>
    <x v="0"/>
    <x v="0"/>
    <x v="1"/>
    <x v="16"/>
    <x v="3"/>
    <x v="0"/>
    <x v="0"/>
    <s v="GNR_ENG_NGAS_BP_E-40"/>
    <x v="0"/>
    <x v="11"/>
    <n v="9.4444444444444393"/>
    <n v="2298.1481481481501"/>
    <n v="8273.3333333333303"/>
  </r>
  <r>
    <x v="0"/>
    <x v="0"/>
    <x v="0"/>
    <x v="0"/>
    <x v="1"/>
    <x v="16"/>
    <x v="3"/>
    <x v="0"/>
    <x v="0"/>
    <s v="GNR_ENG_NGAS_BP_E-40"/>
    <x v="1"/>
    <x v="3"/>
    <n v="9.4444444444444393"/>
    <n v="2298.1481481481501"/>
    <n v="8273.3333333333303"/>
  </r>
  <r>
    <x v="0"/>
    <x v="0"/>
    <x v="0"/>
    <x v="0"/>
    <x v="1"/>
    <x v="16"/>
    <x v="3"/>
    <x v="0"/>
    <x v="0"/>
    <s v="GNR_ENG_NGAS_BP_E-40"/>
    <x v="1"/>
    <x v="4"/>
    <n v="9.4444444444444393"/>
    <n v="2298.1481481481501"/>
    <n v="8273.3333333333303"/>
  </r>
  <r>
    <x v="0"/>
    <x v="0"/>
    <x v="0"/>
    <x v="0"/>
    <x v="1"/>
    <x v="16"/>
    <x v="3"/>
    <x v="0"/>
    <x v="0"/>
    <s v="GNR_ENG_NGAS_BP_E-40"/>
    <x v="1"/>
    <x v="7"/>
    <n v="9.4444444444444393"/>
    <n v="2298.1481481481501"/>
    <n v="8273.3333333333303"/>
  </r>
  <r>
    <x v="0"/>
    <x v="0"/>
    <x v="0"/>
    <x v="0"/>
    <x v="1"/>
    <x v="16"/>
    <x v="3"/>
    <x v="0"/>
    <x v="0"/>
    <s v="GNR_ENG_NGAS_BP_E-40"/>
    <x v="1"/>
    <x v="0"/>
    <n v="9.4444444444444393"/>
    <n v="2298.1481481481501"/>
    <n v="8273.3333333333303"/>
  </r>
  <r>
    <x v="0"/>
    <x v="0"/>
    <x v="0"/>
    <x v="0"/>
    <x v="1"/>
    <x v="16"/>
    <x v="3"/>
    <x v="0"/>
    <x v="0"/>
    <s v="GNR_ENG_NGAS_BP_E-40"/>
    <x v="1"/>
    <x v="1"/>
    <n v="9.4444444444444393"/>
    <n v="2298.1481481481501"/>
    <n v="8273.3333333333303"/>
  </r>
  <r>
    <x v="0"/>
    <x v="0"/>
    <x v="0"/>
    <x v="0"/>
    <x v="1"/>
    <x v="16"/>
    <x v="3"/>
    <x v="0"/>
    <x v="0"/>
    <s v="GNR_ENG_NGAS_BP_E-40"/>
    <x v="1"/>
    <x v="2"/>
    <n v="9.4444444444444393"/>
    <n v="2298.1481481481501"/>
    <n v="8273.3333333333303"/>
  </r>
  <r>
    <x v="0"/>
    <x v="0"/>
    <x v="0"/>
    <x v="0"/>
    <x v="1"/>
    <x v="16"/>
    <x v="3"/>
    <x v="0"/>
    <x v="0"/>
    <s v="GNR_ENG_NGAS_BP_E-45"/>
    <x v="0"/>
    <x v="3"/>
    <n v="0.55555555555555602"/>
    <n v="135.18518518518499"/>
    <n v="486.66666666666703"/>
  </r>
  <r>
    <x v="0"/>
    <x v="0"/>
    <x v="0"/>
    <x v="0"/>
    <x v="1"/>
    <x v="16"/>
    <x v="3"/>
    <x v="0"/>
    <x v="0"/>
    <s v="GNR_ENG_NGAS_BP_E-45"/>
    <x v="0"/>
    <x v="4"/>
    <n v="0.55555555555555602"/>
    <n v="135.18518518518499"/>
    <n v="486.66666666666703"/>
  </r>
  <r>
    <x v="0"/>
    <x v="0"/>
    <x v="0"/>
    <x v="0"/>
    <x v="1"/>
    <x v="16"/>
    <x v="3"/>
    <x v="0"/>
    <x v="0"/>
    <s v="GNR_ENG_NGAS_BP_E-45"/>
    <x v="0"/>
    <x v="8"/>
    <n v="0.55555555555555602"/>
    <n v="135.18518518518499"/>
    <n v="486.66666666666703"/>
  </r>
  <r>
    <x v="0"/>
    <x v="0"/>
    <x v="0"/>
    <x v="0"/>
    <x v="1"/>
    <x v="16"/>
    <x v="3"/>
    <x v="0"/>
    <x v="0"/>
    <s v="GNR_ENG_NGAS_BP_E-45"/>
    <x v="0"/>
    <x v="0"/>
    <n v="0.55555555555555602"/>
    <n v="135.18518518518499"/>
    <n v="486.66666666666703"/>
  </r>
  <r>
    <x v="0"/>
    <x v="0"/>
    <x v="0"/>
    <x v="0"/>
    <x v="1"/>
    <x v="16"/>
    <x v="3"/>
    <x v="0"/>
    <x v="0"/>
    <s v="GNR_ENG_NGAS_BP_E-45"/>
    <x v="0"/>
    <x v="1"/>
    <n v="0.55555555555555602"/>
    <n v="135.18518518518499"/>
    <n v="486.66666666666703"/>
  </r>
  <r>
    <x v="0"/>
    <x v="0"/>
    <x v="0"/>
    <x v="0"/>
    <x v="1"/>
    <x v="16"/>
    <x v="3"/>
    <x v="0"/>
    <x v="0"/>
    <s v="GNR_ENG_NGAS_BP_E-45"/>
    <x v="0"/>
    <x v="2"/>
    <n v="0.55555555555555602"/>
    <n v="135.18518518518499"/>
    <n v="486.66666666666703"/>
  </r>
  <r>
    <x v="0"/>
    <x v="0"/>
    <x v="0"/>
    <x v="0"/>
    <x v="1"/>
    <x v="16"/>
    <x v="3"/>
    <x v="0"/>
    <x v="0"/>
    <s v="GNR_ENG_NGAS_BP_E-45"/>
    <x v="0"/>
    <x v="9"/>
    <n v="0.55555555555555602"/>
    <n v="135.18518518518499"/>
    <n v="486.66666666666703"/>
  </r>
  <r>
    <x v="0"/>
    <x v="0"/>
    <x v="0"/>
    <x v="0"/>
    <x v="1"/>
    <x v="16"/>
    <x v="3"/>
    <x v="0"/>
    <x v="0"/>
    <s v="GNR_ENG_NGAS_BP_E-45"/>
    <x v="0"/>
    <x v="10"/>
    <n v="0.55555555555555602"/>
    <n v="135.18518518518499"/>
    <n v="486.66666666666703"/>
  </r>
  <r>
    <x v="0"/>
    <x v="0"/>
    <x v="0"/>
    <x v="0"/>
    <x v="1"/>
    <x v="16"/>
    <x v="3"/>
    <x v="0"/>
    <x v="0"/>
    <s v="GNR_ENG_NGAS_BP_E-45"/>
    <x v="0"/>
    <x v="11"/>
    <n v="0.55555555555555602"/>
    <n v="135.18518518518499"/>
    <n v="486.66666666666703"/>
  </r>
  <r>
    <x v="0"/>
    <x v="0"/>
    <x v="0"/>
    <x v="0"/>
    <x v="1"/>
    <x v="16"/>
    <x v="3"/>
    <x v="0"/>
    <x v="0"/>
    <s v="GNR_ENG_NGAS_BP_E-45"/>
    <x v="2"/>
    <x v="3"/>
    <n v="0.55555555555555602"/>
    <n v="135.18518518518499"/>
    <n v="486.66666666666703"/>
  </r>
  <r>
    <x v="0"/>
    <x v="0"/>
    <x v="0"/>
    <x v="0"/>
    <x v="1"/>
    <x v="16"/>
    <x v="3"/>
    <x v="0"/>
    <x v="0"/>
    <s v="GNR_ENG_NGAS_BP_E-45"/>
    <x v="2"/>
    <x v="6"/>
    <n v="0.55555555555555602"/>
    <n v="135.18518518518499"/>
    <n v="486.66666666666703"/>
  </r>
  <r>
    <x v="0"/>
    <x v="0"/>
    <x v="0"/>
    <x v="0"/>
    <x v="1"/>
    <x v="16"/>
    <x v="3"/>
    <x v="0"/>
    <x v="0"/>
    <s v="GNR_ENG_NGAS_BP_E-45"/>
    <x v="2"/>
    <x v="4"/>
    <n v="0.55555555555555602"/>
    <n v="135.18518518518499"/>
    <n v="486.66666666666703"/>
  </r>
  <r>
    <x v="0"/>
    <x v="0"/>
    <x v="0"/>
    <x v="0"/>
    <x v="1"/>
    <x v="16"/>
    <x v="3"/>
    <x v="0"/>
    <x v="0"/>
    <s v="GNR_ENG_NGAS_BP_E-45"/>
    <x v="2"/>
    <x v="1"/>
    <n v="0.55555555555555602"/>
    <n v="135.18518518518499"/>
    <n v="486.66666666666703"/>
  </r>
  <r>
    <x v="0"/>
    <x v="0"/>
    <x v="0"/>
    <x v="0"/>
    <x v="1"/>
    <x v="16"/>
    <x v="3"/>
    <x v="0"/>
    <x v="0"/>
    <s v="GNR_ENG_NGAS_BP_E-45"/>
    <x v="2"/>
    <x v="2"/>
    <n v="0.55555555555555602"/>
    <n v="135.18518518518499"/>
    <n v="486.66666666666703"/>
  </r>
  <r>
    <x v="0"/>
    <x v="0"/>
    <x v="0"/>
    <x v="0"/>
    <x v="1"/>
    <x v="16"/>
    <x v="3"/>
    <x v="0"/>
    <x v="0"/>
    <s v="GNR_ENG_NGAS_BP_E-45"/>
    <x v="2"/>
    <x v="10"/>
    <n v="0.55555555555555602"/>
    <n v="135.18518518518499"/>
    <n v="486.66666666666703"/>
  </r>
  <r>
    <x v="0"/>
    <x v="0"/>
    <x v="0"/>
    <x v="0"/>
    <x v="1"/>
    <x v="16"/>
    <x v="3"/>
    <x v="0"/>
    <x v="0"/>
    <s v="GNR_ENG_NGAS_BP_E-45"/>
    <x v="1"/>
    <x v="3"/>
    <n v="0.55555555555555602"/>
    <n v="135.18518518518499"/>
    <n v="486.66666666666703"/>
  </r>
  <r>
    <x v="0"/>
    <x v="0"/>
    <x v="0"/>
    <x v="0"/>
    <x v="1"/>
    <x v="16"/>
    <x v="3"/>
    <x v="0"/>
    <x v="0"/>
    <s v="GNR_ENG_NGAS_BP_E-45"/>
    <x v="1"/>
    <x v="6"/>
    <n v="0.55555555555555602"/>
    <n v="135.18518518518499"/>
    <n v="486.66666666666703"/>
  </r>
  <r>
    <x v="0"/>
    <x v="0"/>
    <x v="0"/>
    <x v="0"/>
    <x v="1"/>
    <x v="16"/>
    <x v="3"/>
    <x v="0"/>
    <x v="0"/>
    <s v="GNR_ENG_NGAS_BP_E-45"/>
    <x v="1"/>
    <x v="4"/>
    <n v="0.55555555555555602"/>
    <n v="135.18518518518499"/>
    <n v="486.66666666666703"/>
  </r>
  <r>
    <x v="0"/>
    <x v="0"/>
    <x v="0"/>
    <x v="0"/>
    <x v="1"/>
    <x v="16"/>
    <x v="3"/>
    <x v="0"/>
    <x v="0"/>
    <s v="GNR_ENG_NGAS_BP_E-45"/>
    <x v="1"/>
    <x v="7"/>
    <n v="0.55555555555555602"/>
    <n v="135.18518518518499"/>
    <n v="486.66666666666703"/>
  </r>
  <r>
    <x v="0"/>
    <x v="0"/>
    <x v="0"/>
    <x v="0"/>
    <x v="1"/>
    <x v="16"/>
    <x v="3"/>
    <x v="0"/>
    <x v="0"/>
    <s v="GNR_ENG_NGAS_BP_E-45"/>
    <x v="1"/>
    <x v="8"/>
    <n v="0.55555555555555602"/>
    <n v="135.18518518518499"/>
    <n v="486.66666666666703"/>
  </r>
  <r>
    <x v="0"/>
    <x v="0"/>
    <x v="0"/>
    <x v="0"/>
    <x v="1"/>
    <x v="16"/>
    <x v="3"/>
    <x v="0"/>
    <x v="0"/>
    <s v="GNR_ENG_NGAS_BP_E-45"/>
    <x v="1"/>
    <x v="0"/>
    <n v="0.55555555555555602"/>
    <n v="135.18518518518499"/>
    <n v="486.66666666666703"/>
  </r>
  <r>
    <x v="0"/>
    <x v="0"/>
    <x v="0"/>
    <x v="0"/>
    <x v="1"/>
    <x v="16"/>
    <x v="3"/>
    <x v="0"/>
    <x v="0"/>
    <s v="GNR_ENG_NGAS_BP_E-45"/>
    <x v="1"/>
    <x v="1"/>
    <n v="0.55555555555555602"/>
    <n v="135.18518518518499"/>
    <n v="486.66666666666703"/>
  </r>
  <r>
    <x v="0"/>
    <x v="0"/>
    <x v="0"/>
    <x v="0"/>
    <x v="1"/>
    <x v="16"/>
    <x v="3"/>
    <x v="0"/>
    <x v="0"/>
    <s v="GNR_ENG_NGAS_BP_E-45"/>
    <x v="1"/>
    <x v="2"/>
    <n v="0.55555555555555602"/>
    <n v="135.18518518518499"/>
    <n v="486.66666666666703"/>
  </r>
  <r>
    <x v="0"/>
    <x v="0"/>
    <x v="0"/>
    <x v="0"/>
    <x v="1"/>
    <x v="16"/>
    <x v="4"/>
    <x v="2"/>
    <x v="3"/>
    <s v="GNR_BO_STRW_E-100"/>
    <x v="0"/>
    <x v="5"/>
    <n v="55.35"/>
    <n v="13468.5"/>
    <n v="48486.6"/>
  </r>
  <r>
    <x v="0"/>
    <x v="0"/>
    <x v="0"/>
    <x v="0"/>
    <x v="1"/>
    <x v="16"/>
    <x v="4"/>
    <x v="2"/>
    <x v="3"/>
    <s v="GNR_BO_STRW_E-100"/>
    <x v="0"/>
    <x v="3"/>
    <n v="55.35"/>
    <n v="13468.5"/>
    <n v="48486.6"/>
  </r>
  <r>
    <x v="0"/>
    <x v="0"/>
    <x v="0"/>
    <x v="0"/>
    <x v="1"/>
    <x v="16"/>
    <x v="4"/>
    <x v="2"/>
    <x v="3"/>
    <s v="GNR_BO_STRW_E-100"/>
    <x v="0"/>
    <x v="6"/>
    <n v="55.35"/>
    <n v="13468.5"/>
    <n v="48486.6"/>
  </r>
  <r>
    <x v="0"/>
    <x v="0"/>
    <x v="0"/>
    <x v="0"/>
    <x v="1"/>
    <x v="16"/>
    <x v="4"/>
    <x v="2"/>
    <x v="3"/>
    <s v="GNR_BO_STRW_E-100"/>
    <x v="0"/>
    <x v="4"/>
    <n v="55.35"/>
    <n v="13468.5"/>
    <n v="48486.6"/>
  </r>
  <r>
    <x v="0"/>
    <x v="0"/>
    <x v="0"/>
    <x v="0"/>
    <x v="1"/>
    <x v="16"/>
    <x v="4"/>
    <x v="2"/>
    <x v="3"/>
    <s v="GNR_BO_STRW_E-100"/>
    <x v="0"/>
    <x v="7"/>
    <n v="55.35"/>
    <n v="13468.5"/>
    <n v="48486.6"/>
  </r>
  <r>
    <x v="0"/>
    <x v="0"/>
    <x v="0"/>
    <x v="0"/>
    <x v="1"/>
    <x v="16"/>
    <x v="4"/>
    <x v="2"/>
    <x v="3"/>
    <s v="GNR_BO_STRW_E-100"/>
    <x v="0"/>
    <x v="8"/>
    <n v="55.35"/>
    <n v="13468.5"/>
    <n v="48486.6"/>
  </r>
  <r>
    <x v="0"/>
    <x v="0"/>
    <x v="0"/>
    <x v="0"/>
    <x v="1"/>
    <x v="16"/>
    <x v="4"/>
    <x v="2"/>
    <x v="3"/>
    <s v="GNR_BO_STRW_E-100"/>
    <x v="0"/>
    <x v="0"/>
    <n v="55.35"/>
    <n v="13468.5"/>
    <n v="48486.6"/>
  </r>
  <r>
    <x v="0"/>
    <x v="0"/>
    <x v="0"/>
    <x v="0"/>
    <x v="1"/>
    <x v="16"/>
    <x v="4"/>
    <x v="2"/>
    <x v="3"/>
    <s v="GNR_BO_STRW_E-100"/>
    <x v="0"/>
    <x v="1"/>
    <n v="55.35"/>
    <n v="13468.5"/>
    <n v="48486.6"/>
  </r>
  <r>
    <x v="0"/>
    <x v="0"/>
    <x v="0"/>
    <x v="0"/>
    <x v="1"/>
    <x v="16"/>
    <x v="4"/>
    <x v="2"/>
    <x v="3"/>
    <s v="GNR_BO_STRW_E-100"/>
    <x v="0"/>
    <x v="2"/>
    <n v="55.35"/>
    <n v="13468.5"/>
    <n v="48486.6"/>
  </r>
  <r>
    <x v="0"/>
    <x v="0"/>
    <x v="0"/>
    <x v="0"/>
    <x v="1"/>
    <x v="16"/>
    <x v="4"/>
    <x v="2"/>
    <x v="3"/>
    <s v="GNR_BO_STRW_E-100"/>
    <x v="0"/>
    <x v="9"/>
    <n v="55.35"/>
    <n v="13468.5"/>
    <n v="48486.6"/>
  </r>
  <r>
    <x v="0"/>
    <x v="0"/>
    <x v="0"/>
    <x v="0"/>
    <x v="1"/>
    <x v="16"/>
    <x v="4"/>
    <x v="2"/>
    <x v="3"/>
    <s v="GNR_BO_STRW_E-100"/>
    <x v="0"/>
    <x v="10"/>
    <n v="55.35"/>
    <n v="13468.5"/>
    <n v="48486.6"/>
  </r>
  <r>
    <x v="0"/>
    <x v="0"/>
    <x v="0"/>
    <x v="0"/>
    <x v="1"/>
    <x v="16"/>
    <x v="4"/>
    <x v="2"/>
    <x v="3"/>
    <s v="GNR_BO_STRW_E-100"/>
    <x v="0"/>
    <x v="11"/>
    <n v="55.35"/>
    <n v="13468.5"/>
    <n v="48486.6"/>
  </r>
  <r>
    <x v="0"/>
    <x v="0"/>
    <x v="0"/>
    <x v="0"/>
    <x v="1"/>
    <x v="16"/>
    <x v="4"/>
    <x v="2"/>
    <x v="3"/>
    <s v="GNR_BO_STRW_E-100"/>
    <x v="2"/>
    <x v="5"/>
    <n v="45.876919898089703"/>
    <n v="11163.383841868501"/>
    <n v="40188.1818307266"/>
  </r>
  <r>
    <x v="0"/>
    <x v="0"/>
    <x v="0"/>
    <x v="0"/>
    <x v="1"/>
    <x v="16"/>
    <x v="4"/>
    <x v="2"/>
    <x v="3"/>
    <s v="GNR_BO_STRW_E-100"/>
    <x v="2"/>
    <x v="3"/>
    <n v="55.35"/>
    <n v="13468.5"/>
    <n v="48486.6"/>
  </r>
  <r>
    <x v="0"/>
    <x v="0"/>
    <x v="0"/>
    <x v="0"/>
    <x v="1"/>
    <x v="16"/>
    <x v="4"/>
    <x v="2"/>
    <x v="3"/>
    <s v="GNR_BO_STRW_E-100"/>
    <x v="2"/>
    <x v="6"/>
    <n v="55.35"/>
    <n v="13468.5"/>
    <n v="48486.6"/>
  </r>
  <r>
    <x v="0"/>
    <x v="0"/>
    <x v="0"/>
    <x v="0"/>
    <x v="1"/>
    <x v="16"/>
    <x v="4"/>
    <x v="2"/>
    <x v="3"/>
    <s v="GNR_BO_STRW_E-100"/>
    <x v="2"/>
    <x v="4"/>
    <n v="55.35"/>
    <n v="13468.5"/>
    <n v="48486.6"/>
  </r>
  <r>
    <x v="0"/>
    <x v="0"/>
    <x v="0"/>
    <x v="0"/>
    <x v="1"/>
    <x v="16"/>
    <x v="4"/>
    <x v="2"/>
    <x v="3"/>
    <s v="GNR_BO_STRW_E-100"/>
    <x v="2"/>
    <x v="7"/>
    <n v="55.35"/>
    <n v="13468.5"/>
    <n v="48486.6"/>
  </r>
  <r>
    <x v="0"/>
    <x v="0"/>
    <x v="0"/>
    <x v="0"/>
    <x v="1"/>
    <x v="16"/>
    <x v="4"/>
    <x v="2"/>
    <x v="3"/>
    <s v="GNR_BO_STRW_E-100"/>
    <x v="2"/>
    <x v="8"/>
    <n v="55.35"/>
    <n v="13468.5"/>
    <n v="48486.6"/>
  </r>
  <r>
    <x v="0"/>
    <x v="0"/>
    <x v="0"/>
    <x v="0"/>
    <x v="1"/>
    <x v="16"/>
    <x v="4"/>
    <x v="2"/>
    <x v="3"/>
    <s v="GNR_BO_STRW_E-100"/>
    <x v="2"/>
    <x v="0"/>
    <n v="55.35"/>
    <n v="13468.5"/>
    <n v="48486.6"/>
  </r>
  <r>
    <x v="0"/>
    <x v="0"/>
    <x v="0"/>
    <x v="0"/>
    <x v="1"/>
    <x v="16"/>
    <x v="4"/>
    <x v="2"/>
    <x v="3"/>
    <s v="GNR_BO_STRW_E-100"/>
    <x v="2"/>
    <x v="1"/>
    <n v="4.0035915866913401"/>
    <n v="974.20728609489402"/>
    <n v="3507.1462299416198"/>
  </r>
  <r>
    <x v="0"/>
    <x v="0"/>
    <x v="0"/>
    <x v="0"/>
    <x v="1"/>
    <x v="16"/>
    <x v="4"/>
    <x v="2"/>
    <x v="3"/>
    <s v="GNR_BO_STRW_E-100"/>
    <x v="2"/>
    <x v="9"/>
    <n v="39.341646642746603"/>
    <n v="9573.1340164016692"/>
    <n v="34463.282459046"/>
  </r>
  <r>
    <x v="0"/>
    <x v="0"/>
    <x v="0"/>
    <x v="0"/>
    <x v="1"/>
    <x v="16"/>
    <x v="4"/>
    <x v="2"/>
    <x v="3"/>
    <s v="GNR_BO_STRW_E-100"/>
    <x v="2"/>
    <x v="10"/>
    <n v="24.644525982595798"/>
    <n v="5996.8346557649702"/>
    <n v="21588.6047607539"/>
  </r>
  <r>
    <x v="0"/>
    <x v="0"/>
    <x v="0"/>
    <x v="0"/>
    <x v="1"/>
    <x v="16"/>
    <x v="4"/>
    <x v="2"/>
    <x v="3"/>
    <s v="GNR_BO_STRW_E-100"/>
    <x v="2"/>
    <x v="11"/>
    <n v="30.4534261372552"/>
    <n v="7410.3336933987603"/>
    <n v="26677.2012962355"/>
  </r>
  <r>
    <x v="0"/>
    <x v="0"/>
    <x v="0"/>
    <x v="0"/>
    <x v="1"/>
    <x v="16"/>
    <x v="4"/>
    <x v="2"/>
    <x v="3"/>
    <s v="GNR_BO_STRW_E-100"/>
    <x v="1"/>
    <x v="5"/>
    <n v="47.758115020003402"/>
    <n v="11621.1413215342"/>
    <n v="41836.108757522998"/>
  </r>
  <r>
    <x v="0"/>
    <x v="0"/>
    <x v="0"/>
    <x v="0"/>
    <x v="1"/>
    <x v="16"/>
    <x v="4"/>
    <x v="2"/>
    <x v="3"/>
    <s v="GNR_BO_STRW_E-100"/>
    <x v="1"/>
    <x v="6"/>
    <n v="34.670280387938803"/>
    <n v="8436.4348943984405"/>
    <n v="30371.165619834399"/>
  </r>
  <r>
    <x v="0"/>
    <x v="0"/>
    <x v="0"/>
    <x v="0"/>
    <x v="1"/>
    <x v="16"/>
    <x v="4"/>
    <x v="2"/>
    <x v="3"/>
    <s v="GNR_BO_STRW_E-100"/>
    <x v="1"/>
    <x v="7"/>
    <n v="17.299884678317799"/>
    <n v="4209.6386050573401"/>
    <n v="15154.698978206399"/>
  </r>
  <r>
    <x v="0"/>
    <x v="0"/>
    <x v="0"/>
    <x v="0"/>
    <x v="1"/>
    <x v="16"/>
    <x v="4"/>
    <x v="2"/>
    <x v="3"/>
    <s v="GNR_BO_STRW_E-100"/>
    <x v="1"/>
    <x v="0"/>
    <n v="2.54720759688397"/>
    <n v="619.82051524176495"/>
    <n v="2231.35385487035"/>
  </r>
  <r>
    <x v="0"/>
    <x v="0"/>
    <x v="0"/>
    <x v="0"/>
    <x v="1"/>
    <x v="16"/>
    <x v="4"/>
    <x v="2"/>
    <x v="3"/>
    <s v="GNR_BO_STRW_E-100"/>
    <x v="1"/>
    <x v="11"/>
    <n v="55.35"/>
    <n v="13468.5"/>
    <n v="48486.6"/>
  </r>
  <r>
    <x v="0"/>
    <x v="0"/>
    <x v="0"/>
    <x v="0"/>
    <x v="1"/>
    <x v="16"/>
    <x v="4"/>
    <x v="2"/>
    <x v="3"/>
    <s v="GNR_BO_STRW_E-102"/>
    <x v="0"/>
    <x v="5"/>
    <n v="42.95"/>
    <n v="10451.166666666701"/>
    <n v="37624.199999999997"/>
  </r>
  <r>
    <x v="0"/>
    <x v="0"/>
    <x v="0"/>
    <x v="0"/>
    <x v="1"/>
    <x v="16"/>
    <x v="4"/>
    <x v="2"/>
    <x v="3"/>
    <s v="GNR_BO_STRW_E-102"/>
    <x v="0"/>
    <x v="3"/>
    <n v="42.95"/>
    <n v="10451.166666666701"/>
    <n v="37624.199999999997"/>
  </r>
  <r>
    <x v="0"/>
    <x v="0"/>
    <x v="0"/>
    <x v="0"/>
    <x v="1"/>
    <x v="16"/>
    <x v="4"/>
    <x v="2"/>
    <x v="3"/>
    <s v="GNR_BO_STRW_E-102"/>
    <x v="0"/>
    <x v="6"/>
    <n v="42.95"/>
    <n v="10451.166666666701"/>
    <n v="37624.199999999997"/>
  </r>
  <r>
    <x v="0"/>
    <x v="0"/>
    <x v="0"/>
    <x v="0"/>
    <x v="1"/>
    <x v="16"/>
    <x v="4"/>
    <x v="2"/>
    <x v="3"/>
    <s v="GNR_BO_STRW_E-102"/>
    <x v="0"/>
    <x v="4"/>
    <n v="42.95"/>
    <n v="10451.166666666701"/>
    <n v="37624.199999999997"/>
  </r>
  <r>
    <x v="0"/>
    <x v="0"/>
    <x v="0"/>
    <x v="0"/>
    <x v="1"/>
    <x v="16"/>
    <x v="4"/>
    <x v="2"/>
    <x v="3"/>
    <s v="GNR_BO_STRW_E-102"/>
    <x v="0"/>
    <x v="7"/>
    <n v="42.95"/>
    <n v="10451.166666666701"/>
    <n v="37624.199999999997"/>
  </r>
  <r>
    <x v="0"/>
    <x v="0"/>
    <x v="0"/>
    <x v="0"/>
    <x v="1"/>
    <x v="16"/>
    <x v="4"/>
    <x v="2"/>
    <x v="3"/>
    <s v="GNR_BO_STRW_E-102"/>
    <x v="0"/>
    <x v="8"/>
    <n v="42.95"/>
    <n v="10451.166666666701"/>
    <n v="37624.199999999997"/>
  </r>
  <r>
    <x v="0"/>
    <x v="0"/>
    <x v="0"/>
    <x v="0"/>
    <x v="1"/>
    <x v="16"/>
    <x v="4"/>
    <x v="2"/>
    <x v="3"/>
    <s v="GNR_BO_STRW_E-102"/>
    <x v="0"/>
    <x v="0"/>
    <n v="42.95"/>
    <n v="10451.166666666701"/>
    <n v="37624.199999999997"/>
  </r>
  <r>
    <x v="0"/>
    <x v="0"/>
    <x v="0"/>
    <x v="0"/>
    <x v="1"/>
    <x v="16"/>
    <x v="4"/>
    <x v="2"/>
    <x v="3"/>
    <s v="GNR_BO_STRW_E-102"/>
    <x v="0"/>
    <x v="1"/>
    <n v="42.95"/>
    <n v="10451.166666666701"/>
    <n v="37624.199999999997"/>
  </r>
  <r>
    <x v="0"/>
    <x v="0"/>
    <x v="0"/>
    <x v="0"/>
    <x v="1"/>
    <x v="16"/>
    <x v="4"/>
    <x v="2"/>
    <x v="3"/>
    <s v="GNR_BO_STRW_E-102"/>
    <x v="0"/>
    <x v="2"/>
    <n v="42.95"/>
    <n v="10451.166666666701"/>
    <n v="37624.199999999997"/>
  </r>
  <r>
    <x v="0"/>
    <x v="0"/>
    <x v="0"/>
    <x v="0"/>
    <x v="1"/>
    <x v="16"/>
    <x v="4"/>
    <x v="2"/>
    <x v="3"/>
    <s v="GNR_BO_STRW_E-102"/>
    <x v="0"/>
    <x v="9"/>
    <n v="42.95"/>
    <n v="10451.166666666701"/>
    <n v="37624.199999999997"/>
  </r>
  <r>
    <x v="0"/>
    <x v="0"/>
    <x v="0"/>
    <x v="0"/>
    <x v="1"/>
    <x v="16"/>
    <x v="4"/>
    <x v="2"/>
    <x v="3"/>
    <s v="GNR_BO_STRW_E-102"/>
    <x v="0"/>
    <x v="10"/>
    <n v="42.95"/>
    <n v="10451.166666666701"/>
    <n v="37624.199999999997"/>
  </r>
  <r>
    <x v="0"/>
    <x v="0"/>
    <x v="0"/>
    <x v="0"/>
    <x v="1"/>
    <x v="16"/>
    <x v="4"/>
    <x v="2"/>
    <x v="3"/>
    <s v="GNR_BO_STRW_E-102"/>
    <x v="0"/>
    <x v="11"/>
    <n v="42.95"/>
    <n v="10451.166666666701"/>
    <n v="37624.199999999997"/>
  </r>
  <r>
    <x v="0"/>
    <x v="0"/>
    <x v="0"/>
    <x v="0"/>
    <x v="1"/>
    <x v="16"/>
    <x v="4"/>
    <x v="2"/>
    <x v="3"/>
    <s v="GNR_BO_STRW_E-102"/>
    <x v="2"/>
    <x v="5"/>
    <n v="42.95"/>
    <n v="10451.166666666701"/>
    <n v="37624.199999999997"/>
  </r>
  <r>
    <x v="0"/>
    <x v="0"/>
    <x v="0"/>
    <x v="0"/>
    <x v="1"/>
    <x v="16"/>
    <x v="4"/>
    <x v="2"/>
    <x v="3"/>
    <s v="GNR_BO_STRW_E-102"/>
    <x v="2"/>
    <x v="3"/>
    <n v="42.95"/>
    <n v="10451.166666666701"/>
    <n v="37624.199999999997"/>
  </r>
  <r>
    <x v="0"/>
    <x v="0"/>
    <x v="0"/>
    <x v="0"/>
    <x v="1"/>
    <x v="16"/>
    <x v="4"/>
    <x v="2"/>
    <x v="3"/>
    <s v="GNR_BO_STRW_E-102"/>
    <x v="2"/>
    <x v="6"/>
    <n v="42.95"/>
    <n v="10451.166666666701"/>
    <n v="37624.199999999997"/>
  </r>
  <r>
    <x v="0"/>
    <x v="0"/>
    <x v="0"/>
    <x v="0"/>
    <x v="1"/>
    <x v="16"/>
    <x v="4"/>
    <x v="2"/>
    <x v="3"/>
    <s v="GNR_BO_STRW_E-102"/>
    <x v="2"/>
    <x v="4"/>
    <n v="42.95"/>
    <n v="10451.166666666701"/>
    <n v="37624.199999999997"/>
  </r>
  <r>
    <x v="0"/>
    <x v="0"/>
    <x v="0"/>
    <x v="0"/>
    <x v="1"/>
    <x v="16"/>
    <x v="4"/>
    <x v="2"/>
    <x v="3"/>
    <s v="GNR_BO_STRW_E-102"/>
    <x v="2"/>
    <x v="7"/>
    <n v="42.95"/>
    <n v="10451.166666666701"/>
    <n v="37624.199999999997"/>
  </r>
  <r>
    <x v="0"/>
    <x v="0"/>
    <x v="0"/>
    <x v="0"/>
    <x v="1"/>
    <x v="16"/>
    <x v="4"/>
    <x v="2"/>
    <x v="3"/>
    <s v="GNR_BO_STRW_E-102"/>
    <x v="2"/>
    <x v="8"/>
    <n v="42.95"/>
    <n v="10451.166666666701"/>
    <n v="37624.199999999997"/>
  </r>
  <r>
    <x v="0"/>
    <x v="0"/>
    <x v="0"/>
    <x v="0"/>
    <x v="1"/>
    <x v="16"/>
    <x v="4"/>
    <x v="2"/>
    <x v="3"/>
    <s v="GNR_BO_STRW_E-102"/>
    <x v="2"/>
    <x v="0"/>
    <n v="42.95"/>
    <n v="10451.166666666701"/>
    <n v="37624.199999999997"/>
  </r>
  <r>
    <x v="0"/>
    <x v="0"/>
    <x v="0"/>
    <x v="0"/>
    <x v="1"/>
    <x v="16"/>
    <x v="4"/>
    <x v="2"/>
    <x v="3"/>
    <s v="GNR_BO_STRW_E-102"/>
    <x v="2"/>
    <x v="1"/>
    <n v="42.95"/>
    <n v="10451.166666666701"/>
    <n v="37624.199999999997"/>
  </r>
  <r>
    <x v="0"/>
    <x v="0"/>
    <x v="0"/>
    <x v="0"/>
    <x v="1"/>
    <x v="16"/>
    <x v="4"/>
    <x v="2"/>
    <x v="3"/>
    <s v="GNR_BO_STRW_E-102"/>
    <x v="2"/>
    <x v="2"/>
    <n v="42.95"/>
    <n v="10451.166666666701"/>
    <n v="37624.199999999997"/>
  </r>
  <r>
    <x v="0"/>
    <x v="0"/>
    <x v="0"/>
    <x v="0"/>
    <x v="1"/>
    <x v="16"/>
    <x v="4"/>
    <x v="2"/>
    <x v="3"/>
    <s v="GNR_BO_STRW_E-102"/>
    <x v="2"/>
    <x v="9"/>
    <n v="42.95"/>
    <n v="10451.166666666701"/>
    <n v="37624.199999999997"/>
  </r>
  <r>
    <x v="0"/>
    <x v="0"/>
    <x v="0"/>
    <x v="0"/>
    <x v="1"/>
    <x v="16"/>
    <x v="4"/>
    <x v="2"/>
    <x v="3"/>
    <s v="GNR_BO_STRW_E-102"/>
    <x v="2"/>
    <x v="10"/>
    <n v="42.95"/>
    <n v="10451.166666666701"/>
    <n v="37624.199999999997"/>
  </r>
  <r>
    <x v="0"/>
    <x v="0"/>
    <x v="0"/>
    <x v="0"/>
    <x v="1"/>
    <x v="16"/>
    <x v="4"/>
    <x v="2"/>
    <x v="3"/>
    <s v="GNR_BO_STRW_E-102"/>
    <x v="2"/>
    <x v="11"/>
    <n v="42.95"/>
    <n v="10451.166666666701"/>
    <n v="37624.199999999997"/>
  </r>
  <r>
    <x v="0"/>
    <x v="0"/>
    <x v="0"/>
    <x v="0"/>
    <x v="1"/>
    <x v="16"/>
    <x v="4"/>
    <x v="2"/>
    <x v="3"/>
    <s v="GNR_BO_STRW_E-102"/>
    <x v="1"/>
    <x v="5"/>
    <n v="42.95"/>
    <n v="10451.166666666701"/>
    <n v="37624.199999999997"/>
  </r>
  <r>
    <x v="0"/>
    <x v="0"/>
    <x v="0"/>
    <x v="0"/>
    <x v="1"/>
    <x v="16"/>
    <x v="4"/>
    <x v="2"/>
    <x v="3"/>
    <s v="GNR_BO_STRW_E-102"/>
    <x v="1"/>
    <x v="3"/>
    <n v="28.658680424778399"/>
    <n v="6973.6122366960699"/>
    <n v="25105.0040521058"/>
  </r>
  <r>
    <x v="0"/>
    <x v="0"/>
    <x v="0"/>
    <x v="0"/>
    <x v="1"/>
    <x v="16"/>
    <x v="4"/>
    <x v="2"/>
    <x v="3"/>
    <s v="GNR_BO_STRW_E-102"/>
    <x v="1"/>
    <x v="6"/>
    <n v="42.95"/>
    <n v="10451.166666666701"/>
    <n v="37624.199999999997"/>
  </r>
  <r>
    <x v="0"/>
    <x v="0"/>
    <x v="0"/>
    <x v="0"/>
    <x v="1"/>
    <x v="16"/>
    <x v="4"/>
    <x v="2"/>
    <x v="3"/>
    <s v="GNR_BO_STRW_E-102"/>
    <x v="1"/>
    <x v="4"/>
    <n v="2.4076767292397698"/>
    <n v="585.86800411500997"/>
    <n v="2109.1248148140398"/>
  </r>
  <r>
    <x v="0"/>
    <x v="0"/>
    <x v="0"/>
    <x v="0"/>
    <x v="1"/>
    <x v="16"/>
    <x v="4"/>
    <x v="2"/>
    <x v="3"/>
    <s v="GNR_BO_STRW_E-102"/>
    <x v="1"/>
    <x v="7"/>
    <n v="42.95"/>
    <n v="10451.166666666701"/>
    <n v="37624.199999999997"/>
  </r>
  <r>
    <x v="0"/>
    <x v="0"/>
    <x v="0"/>
    <x v="0"/>
    <x v="1"/>
    <x v="16"/>
    <x v="4"/>
    <x v="2"/>
    <x v="3"/>
    <s v="GNR_BO_STRW_E-102"/>
    <x v="1"/>
    <x v="8"/>
    <n v="29.952254857180801"/>
    <n v="7288.3820152473299"/>
    <n v="26238.175254890401"/>
  </r>
  <r>
    <x v="0"/>
    <x v="0"/>
    <x v="0"/>
    <x v="0"/>
    <x v="1"/>
    <x v="16"/>
    <x v="4"/>
    <x v="2"/>
    <x v="3"/>
    <s v="GNR_BO_STRW_E-102"/>
    <x v="1"/>
    <x v="0"/>
    <n v="42.95"/>
    <n v="10451.166666666701"/>
    <n v="37624.199999999997"/>
  </r>
  <r>
    <x v="0"/>
    <x v="0"/>
    <x v="0"/>
    <x v="0"/>
    <x v="1"/>
    <x v="16"/>
    <x v="4"/>
    <x v="2"/>
    <x v="3"/>
    <s v="GNR_BO_STRW_E-102"/>
    <x v="1"/>
    <x v="1"/>
    <n v="42.95"/>
    <n v="10451.166666666701"/>
    <n v="37624.199999999997"/>
  </r>
  <r>
    <x v="0"/>
    <x v="0"/>
    <x v="0"/>
    <x v="0"/>
    <x v="1"/>
    <x v="16"/>
    <x v="4"/>
    <x v="2"/>
    <x v="3"/>
    <s v="GNR_BO_STRW_E-102"/>
    <x v="1"/>
    <x v="2"/>
    <n v="42.95"/>
    <n v="10451.166666666701"/>
    <n v="37624.199999999997"/>
  </r>
  <r>
    <x v="0"/>
    <x v="0"/>
    <x v="0"/>
    <x v="0"/>
    <x v="1"/>
    <x v="16"/>
    <x v="4"/>
    <x v="2"/>
    <x v="3"/>
    <s v="GNR_BO_STRW_E-102"/>
    <x v="1"/>
    <x v="10"/>
    <n v="30.392283529130601"/>
    <n v="7395.4556587551197"/>
    <n v="26623.640371518399"/>
  </r>
  <r>
    <x v="0"/>
    <x v="0"/>
    <x v="0"/>
    <x v="0"/>
    <x v="1"/>
    <x v="16"/>
    <x v="4"/>
    <x v="2"/>
    <x v="3"/>
    <s v="GNR_BO_STRW_E-102"/>
    <x v="1"/>
    <x v="11"/>
    <n v="42.95"/>
    <n v="10451.166666666701"/>
    <n v="37624.199999999997"/>
  </r>
  <r>
    <x v="0"/>
    <x v="0"/>
    <x v="0"/>
    <x v="0"/>
    <x v="1"/>
    <x v="16"/>
    <x v="5"/>
    <x v="3"/>
    <x v="4"/>
    <s v="GNR_SH_SUN"/>
    <x v="0"/>
    <x v="7"/>
    <n v="56.488861057017097"/>
    <n v="13745.6228572075"/>
    <n v="49484.242285947003"/>
  </r>
  <r>
    <x v="0"/>
    <x v="0"/>
    <x v="0"/>
    <x v="0"/>
    <x v="1"/>
    <x v="16"/>
    <x v="5"/>
    <x v="3"/>
    <x v="4"/>
    <s v="GNR_SH_SUN"/>
    <x v="0"/>
    <x v="0"/>
    <n v="13.7584519225097"/>
    <n v="3347.88996781069"/>
    <n v="12052.403884118499"/>
  </r>
  <r>
    <x v="0"/>
    <x v="0"/>
    <x v="0"/>
    <x v="0"/>
    <x v="1"/>
    <x v="16"/>
    <x v="5"/>
    <x v="3"/>
    <x v="4"/>
    <s v="GNR_SH_SUN"/>
    <x v="0"/>
    <x v="9"/>
    <n v="30.045108284554999"/>
    <n v="7310.9763492417196"/>
    <n v="26319.514857270198"/>
  </r>
  <r>
    <x v="0"/>
    <x v="0"/>
    <x v="0"/>
    <x v="0"/>
    <x v="1"/>
    <x v="16"/>
    <x v="5"/>
    <x v="3"/>
    <x v="4"/>
    <s v="GNR_SH_SUN"/>
    <x v="0"/>
    <x v="11"/>
    <n v="2.3971235094037899"/>
    <n v="583.30005395492299"/>
    <n v="2099.8801942377199"/>
  </r>
  <r>
    <x v="0"/>
    <x v="0"/>
    <x v="0"/>
    <x v="0"/>
    <x v="1"/>
    <x v="16"/>
    <x v="5"/>
    <x v="3"/>
    <x v="4"/>
    <s v="GNR_SH_SUN"/>
    <x v="2"/>
    <x v="6"/>
    <n v="12.326284993969301"/>
    <n v="2999.3960151991901"/>
    <n v="10797.8256547171"/>
  </r>
  <r>
    <x v="0"/>
    <x v="0"/>
    <x v="0"/>
    <x v="0"/>
    <x v="1"/>
    <x v="16"/>
    <x v="5"/>
    <x v="3"/>
    <x v="4"/>
    <s v="GNR_SH_SUN"/>
    <x v="2"/>
    <x v="9"/>
    <n v="4.6206170203928103"/>
    <n v="1124.35014162892"/>
    <n v="4047.6605098640998"/>
  </r>
  <r>
    <x v="0"/>
    <x v="0"/>
    <x v="0"/>
    <x v="0"/>
    <x v="1"/>
    <x v="16"/>
    <x v="5"/>
    <x v="3"/>
    <x v="4"/>
    <s v="GNR_SH_SUN"/>
    <x v="1"/>
    <x v="7"/>
    <n v="35.900935862127199"/>
    <n v="8735.8943931176309"/>
    <n v="31449.2198152235"/>
  </r>
  <r>
    <x v="0"/>
    <x v="0"/>
    <x v="0"/>
    <x v="0"/>
    <x v="1"/>
    <x v="16"/>
    <x v="5"/>
    <x v="3"/>
    <x v="4"/>
    <s v="GNR_SH_SUN"/>
    <x v="1"/>
    <x v="0"/>
    <n v="8.0469924311002394"/>
    <n v="1958.1014915677299"/>
    <n v="7049.1653696438098"/>
  </r>
  <r>
    <x v="0"/>
    <x v="0"/>
    <x v="0"/>
    <x v="0"/>
    <x v="1"/>
    <x v="16"/>
    <x v="5"/>
    <x v="3"/>
    <x v="4"/>
    <s v="GNR_SH_SUN"/>
    <x v="1"/>
    <x v="9"/>
    <n v="54.799264888867398"/>
    <n v="13334.4877896244"/>
    <n v="48004.156042647897"/>
  </r>
  <r>
    <x v="0"/>
    <x v="0"/>
    <x v="0"/>
    <x v="0"/>
    <x v="1"/>
    <x v="16"/>
    <x v="5"/>
    <x v="3"/>
    <x v="4"/>
    <s v="GNR_SH_SUN"/>
    <x v="1"/>
    <x v="11"/>
    <n v="15.4842367423861"/>
    <n v="3767.8309406472899"/>
    <n v="13564.1913863303"/>
  </r>
  <r>
    <x v="0"/>
    <x v="0"/>
    <x v="0"/>
    <x v="0"/>
    <x v="1"/>
    <x v="16"/>
    <x v="6"/>
    <x v="2"/>
    <x v="3"/>
    <s v="GNR_EH_HEAT"/>
    <x v="0"/>
    <x v="5"/>
    <n v="40"/>
    <n v="9733.3333333333303"/>
    <n v="35040"/>
  </r>
  <r>
    <x v="0"/>
    <x v="0"/>
    <x v="0"/>
    <x v="0"/>
    <x v="1"/>
    <x v="16"/>
    <x v="6"/>
    <x v="2"/>
    <x v="3"/>
    <s v="GNR_EH_HEAT"/>
    <x v="0"/>
    <x v="3"/>
    <n v="40"/>
    <n v="9733.3333333333303"/>
    <n v="35040"/>
  </r>
  <r>
    <x v="0"/>
    <x v="0"/>
    <x v="0"/>
    <x v="0"/>
    <x v="1"/>
    <x v="16"/>
    <x v="6"/>
    <x v="2"/>
    <x v="3"/>
    <s v="GNR_EH_HEAT"/>
    <x v="0"/>
    <x v="6"/>
    <n v="40"/>
    <n v="9733.3333333333303"/>
    <n v="35040"/>
  </r>
  <r>
    <x v="0"/>
    <x v="0"/>
    <x v="0"/>
    <x v="0"/>
    <x v="1"/>
    <x v="16"/>
    <x v="6"/>
    <x v="2"/>
    <x v="3"/>
    <s v="GNR_EH_HEAT"/>
    <x v="0"/>
    <x v="4"/>
    <n v="40"/>
    <n v="9733.3333333333303"/>
    <n v="35040"/>
  </r>
  <r>
    <x v="0"/>
    <x v="0"/>
    <x v="0"/>
    <x v="0"/>
    <x v="1"/>
    <x v="16"/>
    <x v="6"/>
    <x v="2"/>
    <x v="3"/>
    <s v="GNR_EH_HEAT"/>
    <x v="0"/>
    <x v="7"/>
    <n v="40"/>
    <n v="9733.3333333333303"/>
    <n v="35040"/>
  </r>
  <r>
    <x v="0"/>
    <x v="0"/>
    <x v="0"/>
    <x v="0"/>
    <x v="1"/>
    <x v="16"/>
    <x v="6"/>
    <x v="2"/>
    <x v="3"/>
    <s v="GNR_EH_HEAT"/>
    <x v="0"/>
    <x v="8"/>
    <n v="40"/>
    <n v="9733.3333333333303"/>
    <n v="35040"/>
  </r>
  <r>
    <x v="0"/>
    <x v="0"/>
    <x v="0"/>
    <x v="0"/>
    <x v="1"/>
    <x v="16"/>
    <x v="6"/>
    <x v="2"/>
    <x v="3"/>
    <s v="GNR_EH_HEAT"/>
    <x v="0"/>
    <x v="0"/>
    <n v="40"/>
    <n v="9733.3333333333303"/>
    <n v="35040"/>
  </r>
  <r>
    <x v="0"/>
    <x v="0"/>
    <x v="0"/>
    <x v="0"/>
    <x v="1"/>
    <x v="16"/>
    <x v="6"/>
    <x v="2"/>
    <x v="3"/>
    <s v="GNR_EH_HEAT"/>
    <x v="0"/>
    <x v="1"/>
    <n v="40"/>
    <n v="9733.3333333333303"/>
    <n v="35040"/>
  </r>
  <r>
    <x v="0"/>
    <x v="0"/>
    <x v="0"/>
    <x v="0"/>
    <x v="1"/>
    <x v="16"/>
    <x v="6"/>
    <x v="2"/>
    <x v="3"/>
    <s v="GNR_EH_HEAT"/>
    <x v="0"/>
    <x v="2"/>
    <n v="40"/>
    <n v="9733.3333333333303"/>
    <n v="35040"/>
  </r>
  <r>
    <x v="0"/>
    <x v="0"/>
    <x v="0"/>
    <x v="0"/>
    <x v="1"/>
    <x v="16"/>
    <x v="6"/>
    <x v="2"/>
    <x v="3"/>
    <s v="GNR_EH_HEAT"/>
    <x v="0"/>
    <x v="9"/>
    <n v="40"/>
    <n v="9733.3333333333303"/>
    <n v="35040"/>
  </r>
  <r>
    <x v="0"/>
    <x v="0"/>
    <x v="0"/>
    <x v="0"/>
    <x v="1"/>
    <x v="16"/>
    <x v="6"/>
    <x v="2"/>
    <x v="3"/>
    <s v="GNR_EH_HEAT"/>
    <x v="0"/>
    <x v="10"/>
    <n v="40"/>
    <n v="9733.3333333333303"/>
    <n v="35040"/>
  </r>
  <r>
    <x v="0"/>
    <x v="0"/>
    <x v="0"/>
    <x v="0"/>
    <x v="1"/>
    <x v="16"/>
    <x v="6"/>
    <x v="2"/>
    <x v="3"/>
    <s v="GNR_EH_HEAT"/>
    <x v="0"/>
    <x v="11"/>
    <n v="40"/>
    <n v="9733.3333333333303"/>
    <n v="35040"/>
  </r>
  <r>
    <x v="0"/>
    <x v="0"/>
    <x v="0"/>
    <x v="0"/>
    <x v="1"/>
    <x v="16"/>
    <x v="6"/>
    <x v="2"/>
    <x v="3"/>
    <s v="GNR_EH_HEAT"/>
    <x v="2"/>
    <x v="5"/>
    <n v="40"/>
    <n v="9733.3333333333303"/>
    <n v="35040"/>
  </r>
  <r>
    <x v="0"/>
    <x v="0"/>
    <x v="0"/>
    <x v="0"/>
    <x v="1"/>
    <x v="16"/>
    <x v="6"/>
    <x v="2"/>
    <x v="3"/>
    <s v="GNR_EH_HEAT"/>
    <x v="2"/>
    <x v="3"/>
    <n v="40"/>
    <n v="9733.3333333333303"/>
    <n v="35040"/>
  </r>
  <r>
    <x v="0"/>
    <x v="0"/>
    <x v="0"/>
    <x v="0"/>
    <x v="1"/>
    <x v="16"/>
    <x v="6"/>
    <x v="2"/>
    <x v="3"/>
    <s v="GNR_EH_HEAT"/>
    <x v="2"/>
    <x v="6"/>
    <n v="40"/>
    <n v="9733.3333333333303"/>
    <n v="35040"/>
  </r>
  <r>
    <x v="0"/>
    <x v="0"/>
    <x v="0"/>
    <x v="0"/>
    <x v="1"/>
    <x v="16"/>
    <x v="6"/>
    <x v="2"/>
    <x v="3"/>
    <s v="GNR_EH_HEAT"/>
    <x v="2"/>
    <x v="4"/>
    <n v="40"/>
    <n v="9733.3333333333303"/>
    <n v="35040"/>
  </r>
  <r>
    <x v="0"/>
    <x v="0"/>
    <x v="0"/>
    <x v="0"/>
    <x v="1"/>
    <x v="16"/>
    <x v="6"/>
    <x v="2"/>
    <x v="3"/>
    <s v="GNR_EH_HEAT"/>
    <x v="2"/>
    <x v="7"/>
    <n v="40"/>
    <n v="9733.3333333333303"/>
    <n v="35040"/>
  </r>
  <r>
    <x v="0"/>
    <x v="0"/>
    <x v="0"/>
    <x v="0"/>
    <x v="1"/>
    <x v="16"/>
    <x v="6"/>
    <x v="2"/>
    <x v="3"/>
    <s v="GNR_EH_HEAT"/>
    <x v="2"/>
    <x v="8"/>
    <n v="40"/>
    <n v="9733.3333333333303"/>
    <n v="35040"/>
  </r>
  <r>
    <x v="0"/>
    <x v="0"/>
    <x v="0"/>
    <x v="0"/>
    <x v="1"/>
    <x v="16"/>
    <x v="6"/>
    <x v="2"/>
    <x v="3"/>
    <s v="GNR_EH_HEAT"/>
    <x v="2"/>
    <x v="0"/>
    <n v="40"/>
    <n v="9733.3333333333303"/>
    <n v="35040"/>
  </r>
  <r>
    <x v="0"/>
    <x v="0"/>
    <x v="0"/>
    <x v="0"/>
    <x v="1"/>
    <x v="16"/>
    <x v="6"/>
    <x v="2"/>
    <x v="3"/>
    <s v="GNR_EH_HEAT"/>
    <x v="2"/>
    <x v="1"/>
    <n v="40"/>
    <n v="9733.3333333333303"/>
    <n v="35040"/>
  </r>
  <r>
    <x v="0"/>
    <x v="0"/>
    <x v="0"/>
    <x v="0"/>
    <x v="1"/>
    <x v="16"/>
    <x v="6"/>
    <x v="2"/>
    <x v="3"/>
    <s v="GNR_EH_HEAT"/>
    <x v="2"/>
    <x v="2"/>
    <n v="40"/>
    <n v="9733.3333333333303"/>
    <n v="35040"/>
  </r>
  <r>
    <x v="0"/>
    <x v="0"/>
    <x v="0"/>
    <x v="0"/>
    <x v="1"/>
    <x v="16"/>
    <x v="6"/>
    <x v="2"/>
    <x v="3"/>
    <s v="GNR_EH_HEAT"/>
    <x v="2"/>
    <x v="9"/>
    <n v="40"/>
    <n v="9733.3333333333303"/>
    <n v="35040"/>
  </r>
  <r>
    <x v="0"/>
    <x v="0"/>
    <x v="0"/>
    <x v="0"/>
    <x v="1"/>
    <x v="16"/>
    <x v="6"/>
    <x v="2"/>
    <x v="3"/>
    <s v="GNR_EH_HEAT"/>
    <x v="2"/>
    <x v="10"/>
    <n v="40"/>
    <n v="9733.3333333333303"/>
    <n v="35040"/>
  </r>
  <r>
    <x v="0"/>
    <x v="0"/>
    <x v="0"/>
    <x v="0"/>
    <x v="1"/>
    <x v="16"/>
    <x v="6"/>
    <x v="2"/>
    <x v="3"/>
    <s v="GNR_EH_HEAT"/>
    <x v="2"/>
    <x v="11"/>
    <n v="40"/>
    <n v="9733.3333333333303"/>
    <n v="35040"/>
  </r>
  <r>
    <x v="0"/>
    <x v="0"/>
    <x v="0"/>
    <x v="0"/>
    <x v="1"/>
    <x v="16"/>
    <x v="6"/>
    <x v="2"/>
    <x v="3"/>
    <s v="GNR_EH_HEAT"/>
    <x v="1"/>
    <x v="5"/>
    <n v="40"/>
    <n v="9733.3333333333303"/>
    <n v="35040"/>
  </r>
  <r>
    <x v="0"/>
    <x v="0"/>
    <x v="0"/>
    <x v="0"/>
    <x v="1"/>
    <x v="16"/>
    <x v="6"/>
    <x v="2"/>
    <x v="3"/>
    <s v="GNR_EH_HEAT"/>
    <x v="1"/>
    <x v="3"/>
    <n v="40"/>
    <n v="9733.3333333333303"/>
    <n v="35040"/>
  </r>
  <r>
    <x v="0"/>
    <x v="0"/>
    <x v="0"/>
    <x v="0"/>
    <x v="1"/>
    <x v="16"/>
    <x v="6"/>
    <x v="2"/>
    <x v="3"/>
    <s v="GNR_EH_HEAT"/>
    <x v="1"/>
    <x v="6"/>
    <n v="40"/>
    <n v="9733.3333333333303"/>
    <n v="35040"/>
  </r>
  <r>
    <x v="0"/>
    <x v="0"/>
    <x v="0"/>
    <x v="0"/>
    <x v="1"/>
    <x v="16"/>
    <x v="6"/>
    <x v="2"/>
    <x v="3"/>
    <s v="GNR_EH_HEAT"/>
    <x v="1"/>
    <x v="4"/>
    <n v="40"/>
    <n v="9733.3333333333303"/>
    <n v="35040"/>
  </r>
  <r>
    <x v="0"/>
    <x v="0"/>
    <x v="0"/>
    <x v="0"/>
    <x v="1"/>
    <x v="16"/>
    <x v="6"/>
    <x v="2"/>
    <x v="3"/>
    <s v="GNR_EH_HEAT"/>
    <x v="1"/>
    <x v="7"/>
    <n v="40"/>
    <n v="9733.3333333333303"/>
    <n v="35040"/>
  </r>
  <r>
    <x v="0"/>
    <x v="0"/>
    <x v="0"/>
    <x v="0"/>
    <x v="1"/>
    <x v="16"/>
    <x v="6"/>
    <x v="2"/>
    <x v="3"/>
    <s v="GNR_EH_HEAT"/>
    <x v="1"/>
    <x v="8"/>
    <n v="40"/>
    <n v="9733.3333333333303"/>
    <n v="35040"/>
  </r>
  <r>
    <x v="0"/>
    <x v="0"/>
    <x v="0"/>
    <x v="0"/>
    <x v="1"/>
    <x v="16"/>
    <x v="6"/>
    <x v="2"/>
    <x v="3"/>
    <s v="GNR_EH_HEAT"/>
    <x v="1"/>
    <x v="0"/>
    <n v="40"/>
    <n v="9733.3333333333303"/>
    <n v="35040"/>
  </r>
  <r>
    <x v="0"/>
    <x v="0"/>
    <x v="0"/>
    <x v="0"/>
    <x v="1"/>
    <x v="16"/>
    <x v="6"/>
    <x v="2"/>
    <x v="3"/>
    <s v="GNR_EH_HEAT"/>
    <x v="1"/>
    <x v="1"/>
    <n v="40"/>
    <n v="9733.3333333333303"/>
    <n v="35040"/>
  </r>
  <r>
    <x v="0"/>
    <x v="0"/>
    <x v="0"/>
    <x v="0"/>
    <x v="1"/>
    <x v="16"/>
    <x v="6"/>
    <x v="2"/>
    <x v="3"/>
    <s v="GNR_EH_HEAT"/>
    <x v="1"/>
    <x v="2"/>
    <n v="40"/>
    <n v="9733.3333333333303"/>
    <n v="35040"/>
  </r>
  <r>
    <x v="0"/>
    <x v="0"/>
    <x v="0"/>
    <x v="0"/>
    <x v="1"/>
    <x v="16"/>
    <x v="6"/>
    <x v="2"/>
    <x v="3"/>
    <s v="GNR_EH_HEAT"/>
    <x v="1"/>
    <x v="9"/>
    <n v="40"/>
    <n v="9733.3333333333303"/>
    <n v="35040"/>
  </r>
  <r>
    <x v="0"/>
    <x v="0"/>
    <x v="0"/>
    <x v="0"/>
    <x v="1"/>
    <x v="16"/>
    <x v="6"/>
    <x v="2"/>
    <x v="3"/>
    <s v="GNR_EH_HEAT"/>
    <x v="1"/>
    <x v="10"/>
    <n v="40"/>
    <n v="9733.3333333333303"/>
    <n v="35040"/>
  </r>
  <r>
    <x v="0"/>
    <x v="0"/>
    <x v="0"/>
    <x v="0"/>
    <x v="1"/>
    <x v="16"/>
    <x v="6"/>
    <x v="2"/>
    <x v="3"/>
    <s v="GNR_EH_HEAT"/>
    <x v="1"/>
    <x v="11"/>
    <n v="40"/>
    <n v="9733.3333333333303"/>
    <n v="35040"/>
  </r>
  <r>
    <x v="0"/>
    <x v="0"/>
    <x v="0"/>
    <x v="0"/>
    <x v="1"/>
    <x v="16"/>
    <x v="7"/>
    <x v="2"/>
    <x v="3"/>
    <s v="GNR_BO_WOODCHI_E-100"/>
    <x v="0"/>
    <x v="5"/>
    <n v="18.899999999999999"/>
    <n v="4599"/>
    <n v="16556.400000000001"/>
  </r>
  <r>
    <x v="0"/>
    <x v="0"/>
    <x v="0"/>
    <x v="0"/>
    <x v="1"/>
    <x v="16"/>
    <x v="7"/>
    <x v="2"/>
    <x v="3"/>
    <s v="GNR_BO_WOODCHI_E-100"/>
    <x v="0"/>
    <x v="3"/>
    <n v="18.899999999999999"/>
    <n v="4599"/>
    <n v="16556.400000000001"/>
  </r>
  <r>
    <x v="0"/>
    <x v="0"/>
    <x v="0"/>
    <x v="0"/>
    <x v="1"/>
    <x v="16"/>
    <x v="7"/>
    <x v="2"/>
    <x v="3"/>
    <s v="GNR_BO_WOODCHI_E-100"/>
    <x v="0"/>
    <x v="6"/>
    <n v="18.899999999999999"/>
    <n v="4599"/>
    <n v="16556.400000000001"/>
  </r>
  <r>
    <x v="0"/>
    <x v="0"/>
    <x v="0"/>
    <x v="0"/>
    <x v="1"/>
    <x v="16"/>
    <x v="7"/>
    <x v="2"/>
    <x v="3"/>
    <s v="GNR_BO_WOODCHI_E-100"/>
    <x v="0"/>
    <x v="4"/>
    <n v="18.899999999999999"/>
    <n v="4599"/>
    <n v="16556.400000000001"/>
  </r>
  <r>
    <x v="0"/>
    <x v="0"/>
    <x v="0"/>
    <x v="0"/>
    <x v="1"/>
    <x v="16"/>
    <x v="7"/>
    <x v="2"/>
    <x v="3"/>
    <s v="GNR_BO_WOODCHI_E-100"/>
    <x v="0"/>
    <x v="7"/>
    <n v="18.899999999999999"/>
    <n v="4599"/>
    <n v="16556.400000000001"/>
  </r>
  <r>
    <x v="0"/>
    <x v="0"/>
    <x v="0"/>
    <x v="0"/>
    <x v="1"/>
    <x v="16"/>
    <x v="7"/>
    <x v="2"/>
    <x v="3"/>
    <s v="GNR_BO_WOODCHI_E-100"/>
    <x v="0"/>
    <x v="8"/>
    <n v="18.899999999999999"/>
    <n v="4599"/>
    <n v="16556.400000000001"/>
  </r>
  <r>
    <x v="0"/>
    <x v="0"/>
    <x v="0"/>
    <x v="0"/>
    <x v="1"/>
    <x v="16"/>
    <x v="7"/>
    <x v="2"/>
    <x v="3"/>
    <s v="GNR_BO_WOODCHI_E-100"/>
    <x v="0"/>
    <x v="0"/>
    <n v="18.899999999999999"/>
    <n v="4599"/>
    <n v="16556.400000000001"/>
  </r>
  <r>
    <x v="0"/>
    <x v="0"/>
    <x v="0"/>
    <x v="0"/>
    <x v="1"/>
    <x v="16"/>
    <x v="7"/>
    <x v="2"/>
    <x v="3"/>
    <s v="GNR_BO_WOODCHI_E-100"/>
    <x v="0"/>
    <x v="1"/>
    <n v="18.899999999999999"/>
    <n v="4599"/>
    <n v="16556.400000000001"/>
  </r>
  <r>
    <x v="0"/>
    <x v="0"/>
    <x v="0"/>
    <x v="0"/>
    <x v="1"/>
    <x v="16"/>
    <x v="7"/>
    <x v="2"/>
    <x v="3"/>
    <s v="GNR_BO_WOODCHI_E-100"/>
    <x v="0"/>
    <x v="2"/>
    <n v="18.899999999999999"/>
    <n v="4599"/>
    <n v="16556.400000000001"/>
  </r>
  <r>
    <x v="0"/>
    <x v="0"/>
    <x v="0"/>
    <x v="0"/>
    <x v="1"/>
    <x v="16"/>
    <x v="7"/>
    <x v="2"/>
    <x v="3"/>
    <s v="GNR_BO_WOODCHI_E-100"/>
    <x v="0"/>
    <x v="9"/>
    <n v="18.899999999999999"/>
    <n v="4599"/>
    <n v="16556.400000000001"/>
  </r>
  <r>
    <x v="0"/>
    <x v="0"/>
    <x v="0"/>
    <x v="0"/>
    <x v="1"/>
    <x v="16"/>
    <x v="7"/>
    <x v="2"/>
    <x v="3"/>
    <s v="GNR_BO_WOODCHI_E-100"/>
    <x v="0"/>
    <x v="10"/>
    <n v="18.899999999999999"/>
    <n v="4599"/>
    <n v="16556.400000000001"/>
  </r>
  <r>
    <x v="0"/>
    <x v="0"/>
    <x v="0"/>
    <x v="0"/>
    <x v="1"/>
    <x v="16"/>
    <x v="7"/>
    <x v="2"/>
    <x v="3"/>
    <s v="GNR_BO_WOODCHI_E-100"/>
    <x v="0"/>
    <x v="11"/>
    <n v="18.899999999999999"/>
    <n v="4599"/>
    <n v="16556.400000000001"/>
  </r>
  <r>
    <x v="0"/>
    <x v="0"/>
    <x v="0"/>
    <x v="0"/>
    <x v="1"/>
    <x v="16"/>
    <x v="7"/>
    <x v="2"/>
    <x v="3"/>
    <s v="GNR_BO_WOODCHI_E-100"/>
    <x v="2"/>
    <x v="7"/>
    <n v="14.119449830287"/>
    <n v="3435.7327920365101"/>
    <n v="12368.6380513314"/>
  </r>
  <r>
    <x v="0"/>
    <x v="0"/>
    <x v="0"/>
    <x v="0"/>
    <x v="1"/>
    <x v="16"/>
    <x v="7"/>
    <x v="2"/>
    <x v="3"/>
    <s v="GNR_BO_WOODCHI_E-110"/>
    <x v="0"/>
    <x v="5"/>
    <n v="31.8"/>
    <n v="7738"/>
    <n v="27856.799999999999"/>
  </r>
  <r>
    <x v="0"/>
    <x v="0"/>
    <x v="0"/>
    <x v="0"/>
    <x v="1"/>
    <x v="16"/>
    <x v="7"/>
    <x v="2"/>
    <x v="3"/>
    <s v="GNR_BO_WOODCHI_E-110"/>
    <x v="0"/>
    <x v="3"/>
    <n v="31.8"/>
    <n v="7738"/>
    <n v="27856.799999999999"/>
  </r>
  <r>
    <x v="0"/>
    <x v="0"/>
    <x v="0"/>
    <x v="0"/>
    <x v="1"/>
    <x v="16"/>
    <x v="7"/>
    <x v="2"/>
    <x v="3"/>
    <s v="GNR_BO_WOODCHI_E-110"/>
    <x v="0"/>
    <x v="6"/>
    <n v="31.8"/>
    <n v="7738"/>
    <n v="27856.799999999999"/>
  </r>
  <r>
    <x v="0"/>
    <x v="0"/>
    <x v="0"/>
    <x v="0"/>
    <x v="1"/>
    <x v="16"/>
    <x v="7"/>
    <x v="2"/>
    <x v="3"/>
    <s v="GNR_BO_WOODCHI_E-110"/>
    <x v="0"/>
    <x v="4"/>
    <n v="31.8"/>
    <n v="7738"/>
    <n v="27856.799999999999"/>
  </r>
  <r>
    <x v="0"/>
    <x v="0"/>
    <x v="0"/>
    <x v="0"/>
    <x v="1"/>
    <x v="16"/>
    <x v="7"/>
    <x v="2"/>
    <x v="3"/>
    <s v="GNR_BO_WOODCHI_E-110"/>
    <x v="0"/>
    <x v="7"/>
    <n v="31.8"/>
    <n v="7738"/>
    <n v="27856.799999999999"/>
  </r>
  <r>
    <x v="0"/>
    <x v="0"/>
    <x v="0"/>
    <x v="0"/>
    <x v="1"/>
    <x v="16"/>
    <x v="7"/>
    <x v="2"/>
    <x v="3"/>
    <s v="GNR_BO_WOODCHI_E-110"/>
    <x v="0"/>
    <x v="8"/>
    <n v="31.8"/>
    <n v="7738"/>
    <n v="27856.799999999999"/>
  </r>
  <r>
    <x v="0"/>
    <x v="0"/>
    <x v="0"/>
    <x v="0"/>
    <x v="1"/>
    <x v="16"/>
    <x v="7"/>
    <x v="2"/>
    <x v="3"/>
    <s v="GNR_BO_WOODCHI_E-110"/>
    <x v="0"/>
    <x v="0"/>
    <n v="31.8"/>
    <n v="7738"/>
    <n v="27856.799999999999"/>
  </r>
  <r>
    <x v="0"/>
    <x v="0"/>
    <x v="0"/>
    <x v="0"/>
    <x v="1"/>
    <x v="16"/>
    <x v="7"/>
    <x v="2"/>
    <x v="3"/>
    <s v="GNR_BO_WOODCHI_E-110"/>
    <x v="0"/>
    <x v="1"/>
    <n v="31.8"/>
    <n v="7738"/>
    <n v="27856.799999999999"/>
  </r>
  <r>
    <x v="0"/>
    <x v="0"/>
    <x v="0"/>
    <x v="0"/>
    <x v="1"/>
    <x v="16"/>
    <x v="7"/>
    <x v="2"/>
    <x v="3"/>
    <s v="GNR_BO_WOODCHI_E-110"/>
    <x v="0"/>
    <x v="2"/>
    <n v="31.8"/>
    <n v="7738"/>
    <n v="27856.799999999999"/>
  </r>
  <r>
    <x v="0"/>
    <x v="0"/>
    <x v="0"/>
    <x v="0"/>
    <x v="1"/>
    <x v="16"/>
    <x v="7"/>
    <x v="2"/>
    <x v="3"/>
    <s v="GNR_BO_WOODCHI_E-110"/>
    <x v="0"/>
    <x v="9"/>
    <n v="31.8"/>
    <n v="7738"/>
    <n v="27856.799999999999"/>
  </r>
  <r>
    <x v="0"/>
    <x v="0"/>
    <x v="0"/>
    <x v="0"/>
    <x v="1"/>
    <x v="16"/>
    <x v="7"/>
    <x v="2"/>
    <x v="3"/>
    <s v="GNR_BO_WOODCHI_E-110"/>
    <x v="0"/>
    <x v="10"/>
    <n v="31.8"/>
    <n v="7738"/>
    <n v="27856.799999999999"/>
  </r>
  <r>
    <x v="0"/>
    <x v="0"/>
    <x v="0"/>
    <x v="0"/>
    <x v="1"/>
    <x v="16"/>
    <x v="7"/>
    <x v="2"/>
    <x v="3"/>
    <s v="GNR_BO_WOODCHI_E-110"/>
    <x v="0"/>
    <x v="11"/>
    <n v="31.8"/>
    <n v="7738"/>
    <n v="27856.799999999999"/>
  </r>
  <r>
    <x v="0"/>
    <x v="0"/>
    <x v="0"/>
    <x v="0"/>
    <x v="1"/>
    <x v="16"/>
    <x v="7"/>
    <x v="2"/>
    <x v="3"/>
    <s v="GNR_BO_WOODCHI_E-110"/>
    <x v="2"/>
    <x v="5"/>
    <n v="31.8"/>
    <n v="7738"/>
    <n v="27856.799999999999"/>
  </r>
  <r>
    <x v="0"/>
    <x v="0"/>
    <x v="0"/>
    <x v="0"/>
    <x v="1"/>
    <x v="16"/>
    <x v="7"/>
    <x v="2"/>
    <x v="3"/>
    <s v="GNR_BO_WOODCHI_E-110"/>
    <x v="2"/>
    <x v="3"/>
    <n v="9.24384759113914"/>
    <n v="2249.3362471771902"/>
    <n v="8097.6104898378899"/>
  </r>
  <r>
    <x v="0"/>
    <x v="0"/>
    <x v="0"/>
    <x v="0"/>
    <x v="1"/>
    <x v="16"/>
    <x v="7"/>
    <x v="2"/>
    <x v="3"/>
    <s v="GNR_BO_WOODCHI_E-110"/>
    <x v="2"/>
    <x v="6"/>
    <n v="31.8"/>
    <n v="7738"/>
    <n v="27856.799999999999"/>
  </r>
  <r>
    <x v="0"/>
    <x v="0"/>
    <x v="0"/>
    <x v="0"/>
    <x v="1"/>
    <x v="16"/>
    <x v="7"/>
    <x v="2"/>
    <x v="3"/>
    <s v="GNR_BO_WOODCHI_E-110"/>
    <x v="2"/>
    <x v="4"/>
    <n v="3.6206749280855601"/>
    <n v="881.03089916748695"/>
    <n v="3171.7112370029499"/>
  </r>
  <r>
    <x v="0"/>
    <x v="0"/>
    <x v="0"/>
    <x v="0"/>
    <x v="1"/>
    <x v="16"/>
    <x v="7"/>
    <x v="2"/>
    <x v="3"/>
    <s v="GNR_BO_WOODCHI_E-110"/>
    <x v="2"/>
    <x v="7"/>
    <n v="31.8"/>
    <n v="7738"/>
    <n v="27856.799999999999"/>
  </r>
  <r>
    <x v="0"/>
    <x v="0"/>
    <x v="0"/>
    <x v="0"/>
    <x v="1"/>
    <x v="16"/>
    <x v="7"/>
    <x v="2"/>
    <x v="3"/>
    <s v="GNR_BO_WOODCHI_E-110"/>
    <x v="2"/>
    <x v="8"/>
    <n v="14.442296696809899"/>
    <n v="3514.2921962237401"/>
    <n v="12651.4519064055"/>
  </r>
  <r>
    <x v="0"/>
    <x v="0"/>
    <x v="0"/>
    <x v="0"/>
    <x v="1"/>
    <x v="16"/>
    <x v="7"/>
    <x v="2"/>
    <x v="3"/>
    <s v="GNR_BO_WOODCHI_E-110"/>
    <x v="2"/>
    <x v="0"/>
    <n v="31.8"/>
    <n v="7738"/>
    <n v="27856.799999999999"/>
  </r>
  <r>
    <x v="0"/>
    <x v="0"/>
    <x v="0"/>
    <x v="0"/>
    <x v="1"/>
    <x v="16"/>
    <x v="7"/>
    <x v="2"/>
    <x v="3"/>
    <s v="GNR_BO_WOODCHI_E-110"/>
    <x v="2"/>
    <x v="2"/>
    <n v="25.504503971413399"/>
    <n v="6206.0959663772501"/>
    <n v="22341.9454789581"/>
  </r>
  <r>
    <x v="0"/>
    <x v="0"/>
    <x v="0"/>
    <x v="0"/>
    <x v="1"/>
    <x v="16"/>
    <x v="7"/>
    <x v="2"/>
    <x v="3"/>
    <s v="GNR_BO_WOODCHI_E-110"/>
    <x v="2"/>
    <x v="9"/>
    <n v="31.8"/>
    <n v="7738"/>
    <n v="27856.799999999999"/>
  </r>
  <r>
    <x v="0"/>
    <x v="0"/>
    <x v="0"/>
    <x v="0"/>
    <x v="1"/>
    <x v="16"/>
    <x v="7"/>
    <x v="2"/>
    <x v="3"/>
    <s v="GNR_BO_WOODCHI_E-110"/>
    <x v="1"/>
    <x v="5"/>
    <n v="31.8"/>
    <n v="7738"/>
    <n v="27856.799999999999"/>
  </r>
  <r>
    <x v="0"/>
    <x v="0"/>
    <x v="0"/>
    <x v="0"/>
    <x v="1"/>
    <x v="16"/>
    <x v="7"/>
    <x v="2"/>
    <x v="3"/>
    <s v="GNR_BO_WOODCHI_E-110"/>
    <x v="1"/>
    <x v="6"/>
    <n v="31.8"/>
    <n v="7738"/>
    <n v="27856.799999999999"/>
  </r>
  <r>
    <x v="0"/>
    <x v="0"/>
    <x v="0"/>
    <x v="0"/>
    <x v="1"/>
    <x v="16"/>
    <x v="7"/>
    <x v="2"/>
    <x v="3"/>
    <s v="GNR_BO_WOODCHI_E-110"/>
    <x v="1"/>
    <x v="7"/>
    <n v="31.8"/>
    <n v="7738"/>
    <n v="27856.799999999999"/>
  </r>
  <r>
    <x v="0"/>
    <x v="0"/>
    <x v="0"/>
    <x v="0"/>
    <x v="1"/>
    <x v="16"/>
    <x v="7"/>
    <x v="2"/>
    <x v="3"/>
    <s v="GNR_BO_WOODCHI_E-110"/>
    <x v="1"/>
    <x v="1"/>
    <n v="17.663358928566499"/>
    <n v="4298.0840059511902"/>
    <n v="15473.102421424301"/>
  </r>
  <r>
    <x v="0"/>
    <x v="0"/>
    <x v="0"/>
    <x v="0"/>
    <x v="1"/>
    <x v="16"/>
    <x v="7"/>
    <x v="2"/>
    <x v="3"/>
    <s v="GNR_BO_WOODCHI_E-110"/>
    <x v="1"/>
    <x v="11"/>
    <n v="1.74144559542926"/>
    <n v="423.75176155445303"/>
    <n v="1525.5063415960301"/>
  </r>
  <r>
    <x v="0"/>
    <x v="0"/>
    <x v="0"/>
    <x v="0"/>
    <x v="1"/>
    <x v="17"/>
    <x v="1"/>
    <x v="1"/>
    <x v="1"/>
    <s v="GNR_HS_HEAT_PIT_L-DEC_E-91_Y-2030"/>
    <x v="0"/>
    <x v="5"/>
    <n v="7.7069054933953396"/>
    <n v="1875.34700339287"/>
    <n v="6751.2492122143203"/>
  </r>
  <r>
    <x v="0"/>
    <x v="0"/>
    <x v="0"/>
    <x v="0"/>
    <x v="1"/>
    <x v="17"/>
    <x v="1"/>
    <x v="1"/>
    <x v="1"/>
    <s v="GNR_HS_HEAT_PIT_L-DEC_E-91_Y-2030"/>
    <x v="0"/>
    <x v="3"/>
    <n v="7.7069054933953502"/>
    <n v="1875.34700339287"/>
    <n v="6751.2492122143303"/>
  </r>
  <r>
    <x v="0"/>
    <x v="0"/>
    <x v="0"/>
    <x v="0"/>
    <x v="1"/>
    <x v="17"/>
    <x v="1"/>
    <x v="1"/>
    <x v="1"/>
    <s v="GNR_HS_HEAT_PIT_L-DEC_E-91_Y-2030"/>
    <x v="0"/>
    <x v="6"/>
    <n v="7.7069054933953502"/>
    <n v="1875.34700339287"/>
    <n v="6751.2492122143303"/>
  </r>
  <r>
    <x v="0"/>
    <x v="0"/>
    <x v="0"/>
    <x v="0"/>
    <x v="1"/>
    <x v="17"/>
    <x v="1"/>
    <x v="1"/>
    <x v="1"/>
    <s v="GNR_HS_HEAT_PIT_L-DEC_E-91_Y-2030"/>
    <x v="0"/>
    <x v="4"/>
    <n v="7.7069054933953502"/>
    <n v="1875.34700339287"/>
    <n v="6751.2492122143303"/>
  </r>
  <r>
    <x v="0"/>
    <x v="0"/>
    <x v="0"/>
    <x v="0"/>
    <x v="1"/>
    <x v="17"/>
    <x v="1"/>
    <x v="1"/>
    <x v="1"/>
    <s v="GNR_HS_HEAT_PIT_L-DEC_E-91_Y-2030"/>
    <x v="0"/>
    <x v="7"/>
    <n v="7.7069054933953502"/>
    <n v="1875.34700339287"/>
    <n v="6751.2492122143303"/>
  </r>
  <r>
    <x v="0"/>
    <x v="0"/>
    <x v="0"/>
    <x v="0"/>
    <x v="1"/>
    <x v="17"/>
    <x v="1"/>
    <x v="1"/>
    <x v="1"/>
    <s v="GNR_HS_HEAT_PIT_L-DEC_E-91_Y-2030"/>
    <x v="0"/>
    <x v="8"/>
    <n v="7.7069054933953502"/>
    <n v="1875.34700339287"/>
    <n v="6751.2492122143303"/>
  </r>
  <r>
    <x v="0"/>
    <x v="0"/>
    <x v="0"/>
    <x v="0"/>
    <x v="1"/>
    <x v="17"/>
    <x v="1"/>
    <x v="1"/>
    <x v="1"/>
    <s v="GNR_HS_HEAT_PIT_L-DEC_E-91_Y-2030"/>
    <x v="0"/>
    <x v="0"/>
    <n v="7.7069054933953502"/>
    <n v="1875.34700339287"/>
    <n v="6751.2492122143303"/>
  </r>
  <r>
    <x v="0"/>
    <x v="0"/>
    <x v="0"/>
    <x v="0"/>
    <x v="1"/>
    <x v="17"/>
    <x v="1"/>
    <x v="1"/>
    <x v="1"/>
    <s v="GNR_HS_HEAT_PIT_L-DEC_E-91_Y-2030"/>
    <x v="0"/>
    <x v="1"/>
    <n v="7.7069054933953502"/>
    <n v="1875.34700339287"/>
    <n v="6751.2492122143303"/>
  </r>
  <r>
    <x v="0"/>
    <x v="0"/>
    <x v="0"/>
    <x v="0"/>
    <x v="1"/>
    <x v="17"/>
    <x v="1"/>
    <x v="1"/>
    <x v="1"/>
    <s v="GNR_HS_HEAT_PIT_L-DEC_E-91_Y-2030"/>
    <x v="0"/>
    <x v="2"/>
    <n v="7.7069054933953502"/>
    <n v="1875.34700339287"/>
    <n v="6751.2492122143303"/>
  </r>
  <r>
    <x v="0"/>
    <x v="0"/>
    <x v="0"/>
    <x v="0"/>
    <x v="1"/>
    <x v="17"/>
    <x v="1"/>
    <x v="1"/>
    <x v="1"/>
    <s v="GNR_HS_HEAT_PIT_L-DEC_E-91_Y-2030"/>
    <x v="0"/>
    <x v="9"/>
    <n v="7.7069054933953502"/>
    <n v="1875.34700339287"/>
    <n v="6751.2492122143303"/>
  </r>
  <r>
    <x v="0"/>
    <x v="0"/>
    <x v="0"/>
    <x v="0"/>
    <x v="1"/>
    <x v="17"/>
    <x v="1"/>
    <x v="1"/>
    <x v="1"/>
    <s v="GNR_HS_HEAT_PIT_L-DEC_E-91_Y-2030"/>
    <x v="0"/>
    <x v="10"/>
    <n v="7.7069054933953502"/>
    <n v="1875.34700339287"/>
    <n v="6751.2492122143303"/>
  </r>
  <r>
    <x v="0"/>
    <x v="0"/>
    <x v="0"/>
    <x v="0"/>
    <x v="1"/>
    <x v="17"/>
    <x v="1"/>
    <x v="1"/>
    <x v="1"/>
    <s v="GNR_HS_HEAT_PIT_L-DEC_E-91_Y-2030"/>
    <x v="0"/>
    <x v="11"/>
    <n v="7.7069054933953502"/>
    <n v="1875.34700339287"/>
    <n v="6751.2492122143303"/>
  </r>
  <r>
    <x v="0"/>
    <x v="0"/>
    <x v="0"/>
    <x v="0"/>
    <x v="1"/>
    <x v="17"/>
    <x v="1"/>
    <x v="1"/>
    <x v="1"/>
    <s v="GNR_HS_HEAT_PIT_L-DEC_E-91_Y-2030"/>
    <x v="2"/>
    <x v="7"/>
    <n v="5.4174854626536897"/>
    <n v="1318.2547959123999"/>
    <n v="4745.7172652846302"/>
  </r>
  <r>
    <x v="0"/>
    <x v="0"/>
    <x v="0"/>
    <x v="0"/>
    <x v="1"/>
    <x v="17"/>
    <x v="1"/>
    <x v="1"/>
    <x v="2"/>
    <s v="GNR_HS_HEAT_WTR-TANK_LS_E-95_Y-2010"/>
    <x v="0"/>
    <x v="5"/>
    <n v="10.371863425672901"/>
    <n v="2523.8201002470701"/>
    <n v="9085.7523608894498"/>
  </r>
  <r>
    <x v="0"/>
    <x v="0"/>
    <x v="0"/>
    <x v="0"/>
    <x v="1"/>
    <x v="17"/>
    <x v="1"/>
    <x v="1"/>
    <x v="2"/>
    <s v="GNR_HS_HEAT_WTR-TANK_LS_E-95_Y-2010"/>
    <x v="0"/>
    <x v="3"/>
    <n v="1.13692450075464"/>
    <n v="276.651628516963"/>
    <n v="995.94586266106796"/>
  </r>
  <r>
    <x v="0"/>
    <x v="0"/>
    <x v="0"/>
    <x v="0"/>
    <x v="1"/>
    <x v="17"/>
    <x v="1"/>
    <x v="1"/>
    <x v="2"/>
    <s v="GNR_HS_HEAT_WTR-TANK_LS_E-95_Y-2010"/>
    <x v="0"/>
    <x v="6"/>
    <n v="10.371863425672901"/>
    <n v="2523.8201002470701"/>
    <n v="9085.7523608894498"/>
  </r>
  <r>
    <x v="0"/>
    <x v="0"/>
    <x v="0"/>
    <x v="0"/>
    <x v="1"/>
    <x v="17"/>
    <x v="1"/>
    <x v="1"/>
    <x v="2"/>
    <s v="GNR_HS_HEAT_WTR-TANK_LS_E-95_Y-2010"/>
    <x v="0"/>
    <x v="0"/>
    <n v="0.761034478877603"/>
    <n v="185.18505652688299"/>
    <n v="666.66620349677999"/>
  </r>
  <r>
    <x v="0"/>
    <x v="0"/>
    <x v="0"/>
    <x v="0"/>
    <x v="1"/>
    <x v="17"/>
    <x v="1"/>
    <x v="1"/>
    <x v="2"/>
    <s v="GNR_HS_HEAT_WTR-TANK_LS_E-95_Y-2010"/>
    <x v="0"/>
    <x v="1"/>
    <n v="0.118460033366778"/>
    <n v="28.8252747859161"/>
    <n v="103.770989229298"/>
  </r>
  <r>
    <x v="0"/>
    <x v="0"/>
    <x v="0"/>
    <x v="0"/>
    <x v="1"/>
    <x v="17"/>
    <x v="1"/>
    <x v="1"/>
    <x v="2"/>
    <s v="GNR_HS_HEAT_WTR-TANK_LS_E-95_Y-2010"/>
    <x v="0"/>
    <x v="2"/>
    <n v="2.3968554267476101"/>
    <n v="583.23482050858502"/>
    <n v="2099.6453538309001"/>
  </r>
  <r>
    <x v="0"/>
    <x v="0"/>
    <x v="0"/>
    <x v="0"/>
    <x v="1"/>
    <x v="17"/>
    <x v="1"/>
    <x v="1"/>
    <x v="2"/>
    <s v="GNR_HS_HEAT_WTR-TANK_LS_E-95_Y-2010"/>
    <x v="2"/>
    <x v="5"/>
    <n v="1.50090093203273"/>
    <n v="365.21922679463103"/>
    <n v="1314.7892164606701"/>
  </r>
  <r>
    <x v="0"/>
    <x v="0"/>
    <x v="0"/>
    <x v="0"/>
    <x v="1"/>
    <x v="17"/>
    <x v="1"/>
    <x v="1"/>
    <x v="2"/>
    <s v="GNR_HS_HEAT_WTR-TANK_LS_E-95_Y-2010"/>
    <x v="2"/>
    <x v="6"/>
    <n v="4.8100617489609396"/>
    <n v="1170.4483589138299"/>
    <n v="4213.6140920897897"/>
  </r>
  <r>
    <x v="0"/>
    <x v="0"/>
    <x v="0"/>
    <x v="0"/>
    <x v="1"/>
    <x v="17"/>
    <x v="1"/>
    <x v="1"/>
    <x v="2"/>
    <s v="GNR_HS_HEAT_WTR-TANK_LS_E-95_Y-2010"/>
    <x v="2"/>
    <x v="7"/>
    <n v="10.371863425672901"/>
    <n v="2523.8201002470701"/>
    <n v="9085.7523608894498"/>
  </r>
  <r>
    <x v="0"/>
    <x v="0"/>
    <x v="0"/>
    <x v="0"/>
    <x v="1"/>
    <x v="17"/>
    <x v="1"/>
    <x v="1"/>
    <x v="2"/>
    <s v="GNR_HS_HEAT_WTR-TANK_LS_E-95_Y-2010"/>
    <x v="2"/>
    <x v="8"/>
    <n v="0.41895397797178902"/>
    <n v="101.945467973135"/>
    <n v="367.00368470328698"/>
  </r>
  <r>
    <x v="0"/>
    <x v="0"/>
    <x v="0"/>
    <x v="0"/>
    <x v="1"/>
    <x v="17"/>
    <x v="1"/>
    <x v="1"/>
    <x v="2"/>
    <s v="GNR_HS_HEAT_WTR-TANK_LS_E-95_Y-2010"/>
    <x v="2"/>
    <x v="0"/>
    <n v="5.7807561673540198"/>
    <n v="1406.6506673894801"/>
    <n v="5063.9424026021197"/>
  </r>
  <r>
    <x v="0"/>
    <x v="0"/>
    <x v="0"/>
    <x v="0"/>
    <x v="1"/>
    <x v="17"/>
    <x v="1"/>
    <x v="1"/>
    <x v="2"/>
    <s v="GNR_HS_HEAT_WTR-TANK_LS_E-95_Y-2010"/>
    <x v="2"/>
    <x v="9"/>
    <n v="0.83464986365086702"/>
    <n v="203.09813348837801"/>
    <n v="731.15328055815996"/>
  </r>
  <r>
    <x v="0"/>
    <x v="0"/>
    <x v="0"/>
    <x v="0"/>
    <x v="1"/>
    <x v="17"/>
    <x v="1"/>
    <x v="1"/>
    <x v="2"/>
    <s v="GNR_HS_HEAT_WTR-TANK_LS_E-95_Y-2010"/>
    <x v="2"/>
    <x v="11"/>
    <n v="5.0132883007145796"/>
    <n v="1219.90015317388"/>
    <n v="4391.6405514259704"/>
  </r>
  <r>
    <x v="0"/>
    <x v="0"/>
    <x v="0"/>
    <x v="0"/>
    <x v="1"/>
    <x v="17"/>
    <x v="1"/>
    <x v="1"/>
    <x v="2"/>
    <s v="GNR_HS_HEAT_WTR-TANK_LS_E-95_Y-2010"/>
    <x v="1"/>
    <x v="6"/>
    <n v="3.0642709831330399"/>
    <n v="745.639272562374"/>
    <n v="2684.3013812245499"/>
  </r>
  <r>
    <x v="0"/>
    <x v="0"/>
    <x v="0"/>
    <x v="0"/>
    <x v="1"/>
    <x v="17"/>
    <x v="1"/>
    <x v="1"/>
    <x v="2"/>
    <s v="GNR_HS_HEAT_WTR-TANK_LS_E-95_Y-2010"/>
    <x v="1"/>
    <x v="7"/>
    <n v="1.4723576788902699"/>
    <n v="358.27370186329802"/>
    <n v="1289.7853267078699"/>
  </r>
  <r>
    <x v="0"/>
    <x v="0"/>
    <x v="0"/>
    <x v="0"/>
    <x v="1"/>
    <x v="17"/>
    <x v="1"/>
    <x v="1"/>
    <x v="2"/>
    <s v="GNR_HS_HEAT_WTR-TANK_LS_E-95_Y-2010"/>
    <x v="1"/>
    <x v="11"/>
    <n v="6.31042552689114"/>
    <n v="1535.53687821018"/>
    <n v="5527.9327615566399"/>
  </r>
  <r>
    <x v="0"/>
    <x v="0"/>
    <x v="0"/>
    <x v="0"/>
    <x v="1"/>
    <x v="17"/>
    <x v="3"/>
    <x v="2"/>
    <x v="3"/>
    <s v="GNR_BO_NGAS_E-104"/>
    <x v="0"/>
    <x v="5"/>
    <n v="0.12602338712157701"/>
    <n v="30.6656908662505"/>
    <n v="110.39648711850199"/>
  </r>
  <r>
    <x v="0"/>
    <x v="0"/>
    <x v="0"/>
    <x v="0"/>
    <x v="1"/>
    <x v="17"/>
    <x v="3"/>
    <x v="2"/>
    <x v="3"/>
    <s v="GNR_BO_NGAS_E-104"/>
    <x v="0"/>
    <x v="6"/>
    <n v="4.7"/>
    <n v="1143.6666666666699"/>
    <n v="4117.2"/>
  </r>
  <r>
    <x v="0"/>
    <x v="0"/>
    <x v="0"/>
    <x v="0"/>
    <x v="1"/>
    <x v="17"/>
    <x v="3"/>
    <x v="0"/>
    <x v="0"/>
    <s v="GNR_CC_NGAS_BP_E-53_SS-10-MW_Y-2030"/>
    <x v="0"/>
    <x v="3"/>
    <n v="13.604380778755401"/>
    <n v="3310.3993228304798"/>
    <n v="11917.4375621897"/>
  </r>
  <r>
    <x v="0"/>
    <x v="0"/>
    <x v="0"/>
    <x v="0"/>
    <x v="1"/>
    <x v="17"/>
    <x v="3"/>
    <x v="0"/>
    <x v="0"/>
    <s v="GNR_CC_NGAS_BP_E-53_SS-10-MW_Y-2030"/>
    <x v="0"/>
    <x v="4"/>
    <n v="13.604380778755401"/>
    <n v="3310.3993228304798"/>
    <n v="11917.4375621897"/>
  </r>
  <r>
    <x v="0"/>
    <x v="0"/>
    <x v="0"/>
    <x v="0"/>
    <x v="1"/>
    <x v="17"/>
    <x v="3"/>
    <x v="0"/>
    <x v="0"/>
    <s v="GNR_CC_NGAS_BP_E-53_SS-10-MW_Y-2030"/>
    <x v="0"/>
    <x v="7"/>
    <n v="12.6422480427366"/>
    <n v="3076.2803570658898"/>
    <n v="11074.6092854372"/>
  </r>
  <r>
    <x v="0"/>
    <x v="0"/>
    <x v="0"/>
    <x v="0"/>
    <x v="1"/>
    <x v="17"/>
    <x v="3"/>
    <x v="0"/>
    <x v="0"/>
    <s v="GNR_CC_NGAS_BP_E-53_SS-10-MW_Y-2030"/>
    <x v="0"/>
    <x v="8"/>
    <n v="13.604380778755401"/>
    <n v="3310.3993228304798"/>
    <n v="11917.4375621897"/>
  </r>
  <r>
    <x v="0"/>
    <x v="0"/>
    <x v="0"/>
    <x v="0"/>
    <x v="1"/>
    <x v="17"/>
    <x v="3"/>
    <x v="0"/>
    <x v="0"/>
    <s v="GNR_CC_NGAS_BP_E-53_SS-10-MW_Y-2030"/>
    <x v="0"/>
    <x v="0"/>
    <n v="13.604380778755401"/>
    <n v="3310.3993228304798"/>
    <n v="11917.4375621897"/>
  </r>
  <r>
    <x v="0"/>
    <x v="0"/>
    <x v="0"/>
    <x v="0"/>
    <x v="1"/>
    <x v="17"/>
    <x v="3"/>
    <x v="0"/>
    <x v="0"/>
    <s v="GNR_CC_NGAS_BP_E-53_SS-10-MW_Y-2030"/>
    <x v="0"/>
    <x v="1"/>
    <n v="13.604380778755401"/>
    <n v="3310.3993228304798"/>
    <n v="11917.4375621897"/>
  </r>
  <r>
    <x v="0"/>
    <x v="0"/>
    <x v="0"/>
    <x v="0"/>
    <x v="1"/>
    <x v="17"/>
    <x v="3"/>
    <x v="0"/>
    <x v="0"/>
    <s v="GNR_CC_NGAS_BP_E-53_SS-10-MW_Y-2030"/>
    <x v="0"/>
    <x v="2"/>
    <n v="13.604380778755401"/>
    <n v="3310.3993228304798"/>
    <n v="11917.4375621897"/>
  </r>
  <r>
    <x v="0"/>
    <x v="0"/>
    <x v="0"/>
    <x v="0"/>
    <x v="1"/>
    <x v="17"/>
    <x v="3"/>
    <x v="0"/>
    <x v="0"/>
    <s v="GNR_CC_NGAS_BP_E-53_SS-10-MW_Y-2030"/>
    <x v="0"/>
    <x v="9"/>
    <n v="13.604380778755401"/>
    <n v="3310.3993228304798"/>
    <n v="11917.4375621897"/>
  </r>
  <r>
    <x v="0"/>
    <x v="0"/>
    <x v="0"/>
    <x v="0"/>
    <x v="1"/>
    <x v="17"/>
    <x v="3"/>
    <x v="0"/>
    <x v="0"/>
    <s v="GNR_CC_NGAS_BP_E-53_SS-10-MW_Y-2030"/>
    <x v="0"/>
    <x v="10"/>
    <n v="13.604380778755401"/>
    <n v="3310.3993228304798"/>
    <n v="11917.4375621897"/>
  </r>
  <r>
    <x v="0"/>
    <x v="0"/>
    <x v="0"/>
    <x v="0"/>
    <x v="1"/>
    <x v="17"/>
    <x v="3"/>
    <x v="0"/>
    <x v="0"/>
    <s v="GNR_CC_NGAS_BP_E-53_SS-10-MW_Y-2030"/>
    <x v="0"/>
    <x v="11"/>
    <n v="13.604380778755401"/>
    <n v="3310.3993228304798"/>
    <n v="11917.4375621897"/>
  </r>
  <r>
    <x v="0"/>
    <x v="0"/>
    <x v="0"/>
    <x v="0"/>
    <x v="1"/>
    <x v="17"/>
    <x v="3"/>
    <x v="0"/>
    <x v="0"/>
    <s v="GNR_CC_NGAS_BP_E-53_SS-10-MW_Y-2030"/>
    <x v="2"/>
    <x v="3"/>
    <n v="13.604380778755401"/>
    <n v="3310.3993228304798"/>
    <n v="11917.4375621897"/>
  </r>
  <r>
    <x v="0"/>
    <x v="0"/>
    <x v="0"/>
    <x v="0"/>
    <x v="1"/>
    <x v="17"/>
    <x v="3"/>
    <x v="0"/>
    <x v="0"/>
    <s v="GNR_CC_NGAS_BP_E-53_SS-10-MW_Y-2030"/>
    <x v="2"/>
    <x v="6"/>
    <n v="13.604380778755401"/>
    <n v="3310.3993228304798"/>
    <n v="11917.4375621897"/>
  </r>
  <r>
    <x v="0"/>
    <x v="0"/>
    <x v="0"/>
    <x v="0"/>
    <x v="1"/>
    <x v="17"/>
    <x v="3"/>
    <x v="0"/>
    <x v="0"/>
    <s v="GNR_CC_NGAS_BP_E-53_SS-10-MW_Y-2030"/>
    <x v="2"/>
    <x v="4"/>
    <n v="13.604380778755401"/>
    <n v="3310.3993228304798"/>
    <n v="11917.4375621897"/>
  </r>
  <r>
    <x v="0"/>
    <x v="0"/>
    <x v="0"/>
    <x v="0"/>
    <x v="1"/>
    <x v="17"/>
    <x v="3"/>
    <x v="0"/>
    <x v="0"/>
    <s v="GNR_CC_NGAS_BP_E-53_SS-10-MW_Y-2030"/>
    <x v="2"/>
    <x v="1"/>
    <n v="13.604380778755401"/>
    <n v="3310.3993228304798"/>
    <n v="11917.4375621897"/>
  </r>
  <r>
    <x v="0"/>
    <x v="0"/>
    <x v="0"/>
    <x v="0"/>
    <x v="1"/>
    <x v="17"/>
    <x v="3"/>
    <x v="0"/>
    <x v="0"/>
    <s v="GNR_CC_NGAS_BP_E-53_SS-10-MW_Y-2030"/>
    <x v="2"/>
    <x v="2"/>
    <n v="13.604380778755401"/>
    <n v="3310.3993228304798"/>
    <n v="11917.4375621897"/>
  </r>
  <r>
    <x v="0"/>
    <x v="0"/>
    <x v="0"/>
    <x v="0"/>
    <x v="1"/>
    <x v="17"/>
    <x v="3"/>
    <x v="0"/>
    <x v="0"/>
    <s v="GNR_CC_NGAS_BP_E-53_SS-10-MW_Y-2030"/>
    <x v="2"/>
    <x v="10"/>
    <n v="13.604380778755401"/>
    <n v="3310.3993228304798"/>
    <n v="11917.4375621897"/>
  </r>
  <r>
    <x v="0"/>
    <x v="0"/>
    <x v="0"/>
    <x v="0"/>
    <x v="1"/>
    <x v="17"/>
    <x v="3"/>
    <x v="0"/>
    <x v="0"/>
    <s v="GNR_CC_NGAS_BP_E-53_SS-10-MW_Y-2030"/>
    <x v="1"/>
    <x v="3"/>
    <n v="13.604380778755401"/>
    <n v="3310.3993228304798"/>
    <n v="11917.4375621897"/>
  </r>
  <r>
    <x v="0"/>
    <x v="0"/>
    <x v="0"/>
    <x v="0"/>
    <x v="1"/>
    <x v="17"/>
    <x v="3"/>
    <x v="0"/>
    <x v="0"/>
    <s v="GNR_CC_NGAS_BP_E-53_SS-10-MW_Y-2030"/>
    <x v="1"/>
    <x v="6"/>
    <n v="13.604380778755401"/>
    <n v="3310.3993228304798"/>
    <n v="11917.4375621897"/>
  </r>
  <r>
    <x v="0"/>
    <x v="0"/>
    <x v="0"/>
    <x v="0"/>
    <x v="1"/>
    <x v="17"/>
    <x v="3"/>
    <x v="0"/>
    <x v="0"/>
    <s v="GNR_CC_NGAS_BP_E-53_SS-10-MW_Y-2030"/>
    <x v="1"/>
    <x v="4"/>
    <n v="13.604380778755401"/>
    <n v="3310.3993228304798"/>
    <n v="11917.4375621897"/>
  </r>
  <r>
    <x v="0"/>
    <x v="0"/>
    <x v="0"/>
    <x v="0"/>
    <x v="1"/>
    <x v="17"/>
    <x v="3"/>
    <x v="0"/>
    <x v="0"/>
    <s v="GNR_CC_NGAS_BP_E-53_SS-10-MW_Y-2030"/>
    <x v="1"/>
    <x v="7"/>
    <n v="13.604380778755401"/>
    <n v="3310.3993228304798"/>
    <n v="11917.4375621897"/>
  </r>
  <r>
    <x v="0"/>
    <x v="0"/>
    <x v="0"/>
    <x v="0"/>
    <x v="1"/>
    <x v="17"/>
    <x v="3"/>
    <x v="0"/>
    <x v="0"/>
    <s v="GNR_CC_NGAS_BP_E-53_SS-10-MW_Y-2030"/>
    <x v="1"/>
    <x v="8"/>
    <n v="13.604380778755401"/>
    <n v="3310.3993228304798"/>
    <n v="11917.4375621897"/>
  </r>
  <r>
    <x v="0"/>
    <x v="0"/>
    <x v="0"/>
    <x v="0"/>
    <x v="1"/>
    <x v="17"/>
    <x v="3"/>
    <x v="0"/>
    <x v="0"/>
    <s v="GNR_CC_NGAS_BP_E-53_SS-10-MW_Y-2030"/>
    <x v="1"/>
    <x v="0"/>
    <n v="13.604380778755401"/>
    <n v="3310.3993228304798"/>
    <n v="11917.4375621897"/>
  </r>
  <r>
    <x v="0"/>
    <x v="0"/>
    <x v="0"/>
    <x v="0"/>
    <x v="1"/>
    <x v="17"/>
    <x v="3"/>
    <x v="0"/>
    <x v="0"/>
    <s v="GNR_CC_NGAS_BP_E-53_SS-10-MW_Y-2030"/>
    <x v="1"/>
    <x v="1"/>
    <n v="13.604380778755401"/>
    <n v="3310.3993228304798"/>
    <n v="11917.4375621897"/>
  </r>
  <r>
    <x v="0"/>
    <x v="0"/>
    <x v="0"/>
    <x v="0"/>
    <x v="1"/>
    <x v="17"/>
    <x v="3"/>
    <x v="0"/>
    <x v="0"/>
    <s v="GNR_CC_NGAS_BP_E-53_SS-10-MW_Y-2030"/>
    <x v="1"/>
    <x v="2"/>
    <n v="13.604380778755401"/>
    <n v="3310.3993228304798"/>
    <n v="11917.4375621897"/>
  </r>
  <r>
    <x v="0"/>
    <x v="0"/>
    <x v="0"/>
    <x v="0"/>
    <x v="1"/>
    <x v="17"/>
    <x v="3"/>
    <x v="0"/>
    <x v="0"/>
    <s v="GNR_CC_NGAS_BP_E-53_SS-10-MW_Y-2030"/>
    <x v="1"/>
    <x v="9"/>
    <n v="13.604380778755401"/>
    <n v="3310.3993228304798"/>
    <n v="11917.4375621897"/>
  </r>
  <r>
    <x v="0"/>
    <x v="0"/>
    <x v="0"/>
    <x v="0"/>
    <x v="1"/>
    <x v="17"/>
    <x v="3"/>
    <x v="0"/>
    <x v="0"/>
    <s v="GNR_CC_NGAS_BP_E-53_SS-10-MW_Y-2030"/>
    <x v="1"/>
    <x v="10"/>
    <n v="13.604380778755401"/>
    <n v="3310.3993228304798"/>
    <n v="11917.4375621897"/>
  </r>
  <r>
    <x v="0"/>
    <x v="0"/>
    <x v="0"/>
    <x v="0"/>
    <x v="1"/>
    <x v="17"/>
    <x v="4"/>
    <x v="2"/>
    <x v="3"/>
    <s v="GNR_BO_STRW_E-100"/>
    <x v="0"/>
    <x v="5"/>
    <n v="6.5"/>
    <n v="1581.6666666666699"/>
    <n v="5694"/>
  </r>
  <r>
    <x v="0"/>
    <x v="0"/>
    <x v="0"/>
    <x v="0"/>
    <x v="1"/>
    <x v="17"/>
    <x v="4"/>
    <x v="2"/>
    <x v="3"/>
    <s v="GNR_BO_STRW_E-100"/>
    <x v="0"/>
    <x v="3"/>
    <n v="6.5"/>
    <n v="1581.6666666666699"/>
    <n v="5694"/>
  </r>
  <r>
    <x v="0"/>
    <x v="0"/>
    <x v="0"/>
    <x v="0"/>
    <x v="1"/>
    <x v="17"/>
    <x v="4"/>
    <x v="2"/>
    <x v="3"/>
    <s v="GNR_BO_STRW_E-100"/>
    <x v="0"/>
    <x v="6"/>
    <n v="6.5"/>
    <n v="1581.6666666666699"/>
    <n v="5694"/>
  </r>
  <r>
    <x v="0"/>
    <x v="0"/>
    <x v="0"/>
    <x v="0"/>
    <x v="1"/>
    <x v="17"/>
    <x v="4"/>
    <x v="2"/>
    <x v="3"/>
    <s v="GNR_BO_STRW_E-100"/>
    <x v="0"/>
    <x v="4"/>
    <n v="6.5"/>
    <n v="1581.6666666666699"/>
    <n v="5694"/>
  </r>
  <r>
    <x v="0"/>
    <x v="0"/>
    <x v="0"/>
    <x v="0"/>
    <x v="1"/>
    <x v="17"/>
    <x v="4"/>
    <x v="2"/>
    <x v="3"/>
    <s v="GNR_BO_STRW_E-100"/>
    <x v="0"/>
    <x v="7"/>
    <n v="6.5"/>
    <n v="1581.6666666666699"/>
    <n v="5694"/>
  </r>
  <r>
    <x v="0"/>
    <x v="0"/>
    <x v="0"/>
    <x v="0"/>
    <x v="1"/>
    <x v="17"/>
    <x v="4"/>
    <x v="2"/>
    <x v="3"/>
    <s v="GNR_BO_STRW_E-100"/>
    <x v="0"/>
    <x v="8"/>
    <n v="6.5"/>
    <n v="1581.6666666666699"/>
    <n v="5694"/>
  </r>
  <r>
    <x v="0"/>
    <x v="0"/>
    <x v="0"/>
    <x v="0"/>
    <x v="1"/>
    <x v="17"/>
    <x v="4"/>
    <x v="2"/>
    <x v="3"/>
    <s v="GNR_BO_STRW_E-100"/>
    <x v="0"/>
    <x v="0"/>
    <n v="6.5"/>
    <n v="1581.6666666666699"/>
    <n v="5694"/>
  </r>
  <r>
    <x v="0"/>
    <x v="0"/>
    <x v="0"/>
    <x v="0"/>
    <x v="1"/>
    <x v="17"/>
    <x v="4"/>
    <x v="2"/>
    <x v="3"/>
    <s v="GNR_BO_STRW_E-100"/>
    <x v="0"/>
    <x v="1"/>
    <n v="6.5"/>
    <n v="1581.6666666666699"/>
    <n v="5694"/>
  </r>
  <r>
    <x v="0"/>
    <x v="0"/>
    <x v="0"/>
    <x v="0"/>
    <x v="1"/>
    <x v="17"/>
    <x v="4"/>
    <x v="2"/>
    <x v="3"/>
    <s v="GNR_BO_STRW_E-100"/>
    <x v="0"/>
    <x v="2"/>
    <n v="6.5"/>
    <n v="1581.6666666666699"/>
    <n v="5694"/>
  </r>
  <r>
    <x v="0"/>
    <x v="0"/>
    <x v="0"/>
    <x v="0"/>
    <x v="1"/>
    <x v="17"/>
    <x v="4"/>
    <x v="2"/>
    <x v="3"/>
    <s v="GNR_BO_STRW_E-100"/>
    <x v="0"/>
    <x v="9"/>
    <n v="6.5"/>
    <n v="1581.6666666666699"/>
    <n v="5694"/>
  </r>
  <r>
    <x v="0"/>
    <x v="0"/>
    <x v="0"/>
    <x v="0"/>
    <x v="1"/>
    <x v="17"/>
    <x v="4"/>
    <x v="2"/>
    <x v="3"/>
    <s v="GNR_BO_STRW_E-100"/>
    <x v="0"/>
    <x v="10"/>
    <n v="6.5"/>
    <n v="1581.6666666666699"/>
    <n v="5694"/>
  </r>
  <r>
    <x v="0"/>
    <x v="0"/>
    <x v="0"/>
    <x v="0"/>
    <x v="1"/>
    <x v="17"/>
    <x v="4"/>
    <x v="2"/>
    <x v="3"/>
    <s v="GNR_BO_STRW_E-100"/>
    <x v="0"/>
    <x v="11"/>
    <n v="6.5"/>
    <n v="1581.6666666666699"/>
    <n v="5694"/>
  </r>
  <r>
    <x v="0"/>
    <x v="0"/>
    <x v="0"/>
    <x v="0"/>
    <x v="1"/>
    <x v="17"/>
    <x v="4"/>
    <x v="2"/>
    <x v="3"/>
    <s v="GNR_BO_STRW_E-100"/>
    <x v="2"/>
    <x v="5"/>
    <n v="6.5"/>
    <n v="1581.6666666666699"/>
    <n v="5694"/>
  </r>
  <r>
    <x v="0"/>
    <x v="0"/>
    <x v="0"/>
    <x v="0"/>
    <x v="1"/>
    <x v="17"/>
    <x v="4"/>
    <x v="2"/>
    <x v="3"/>
    <s v="GNR_BO_STRW_E-100"/>
    <x v="2"/>
    <x v="3"/>
    <n v="6.5"/>
    <n v="1581.6666666666699"/>
    <n v="5694"/>
  </r>
  <r>
    <x v="0"/>
    <x v="0"/>
    <x v="0"/>
    <x v="0"/>
    <x v="1"/>
    <x v="17"/>
    <x v="4"/>
    <x v="2"/>
    <x v="3"/>
    <s v="GNR_BO_STRW_E-100"/>
    <x v="2"/>
    <x v="6"/>
    <n v="6.5"/>
    <n v="1581.6666666666699"/>
    <n v="5694"/>
  </r>
  <r>
    <x v="0"/>
    <x v="0"/>
    <x v="0"/>
    <x v="0"/>
    <x v="1"/>
    <x v="17"/>
    <x v="4"/>
    <x v="2"/>
    <x v="3"/>
    <s v="GNR_BO_STRW_E-100"/>
    <x v="2"/>
    <x v="4"/>
    <n v="6.5"/>
    <n v="1581.6666666666699"/>
    <n v="5694"/>
  </r>
  <r>
    <x v="0"/>
    <x v="0"/>
    <x v="0"/>
    <x v="0"/>
    <x v="1"/>
    <x v="17"/>
    <x v="4"/>
    <x v="2"/>
    <x v="3"/>
    <s v="GNR_BO_STRW_E-100"/>
    <x v="2"/>
    <x v="7"/>
    <n v="6.5"/>
    <n v="1581.6666666666699"/>
    <n v="5694"/>
  </r>
  <r>
    <x v="0"/>
    <x v="0"/>
    <x v="0"/>
    <x v="0"/>
    <x v="1"/>
    <x v="17"/>
    <x v="4"/>
    <x v="2"/>
    <x v="3"/>
    <s v="GNR_BO_STRW_E-100"/>
    <x v="2"/>
    <x v="8"/>
    <n v="6.5"/>
    <n v="1581.6666666666699"/>
    <n v="5694"/>
  </r>
  <r>
    <x v="0"/>
    <x v="0"/>
    <x v="0"/>
    <x v="0"/>
    <x v="1"/>
    <x v="17"/>
    <x v="4"/>
    <x v="2"/>
    <x v="3"/>
    <s v="GNR_BO_STRW_E-100"/>
    <x v="2"/>
    <x v="0"/>
    <n v="6.5"/>
    <n v="1581.6666666666699"/>
    <n v="5694"/>
  </r>
  <r>
    <x v="0"/>
    <x v="0"/>
    <x v="0"/>
    <x v="0"/>
    <x v="1"/>
    <x v="17"/>
    <x v="4"/>
    <x v="2"/>
    <x v="3"/>
    <s v="GNR_BO_STRW_E-100"/>
    <x v="2"/>
    <x v="1"/>
    <n v="6.5"/>
    <n v="1581.6666666666699"/>
    <n v="5694"/>
  </r>
  <r>
    <x v="0"/>
    <x v="0"/>
    <x v="0"/>
    <x v="0"/>
    <x v="1"/>
    <x v="17"/>
    <x v="4"/>
    <x v="2"/>
    <x v="3"/>
    <s v="GNR_BO_STRW_E-100"/>
    <x v="2"/>
    <x v="2"/>
    <n v="6.5"/>
    <n v="1581.6666666666699"/>
    <n v="5694"/>
  </r>
  <r>
    <x v="0"/>
    <x v="0"/>
    <x v="0"/>
    <x v="0"/>
    <x v="1"/>
    <x v="17"/>
    <x v="4"/>
    <x v="2"/>
    <x v="3"/>
    <s v="GNR_BO_STRW_E-100"/>
    <x v="2"/>
    <x v="9"/>
    <n v="6.5"/>
    <n v="1581.6666666666699"/>
    <n v="5694"/>
  </r>
  <r>
    <x v="0"/>
    <x v="0"/>
    <x v="0"/>
    <x v="0"/>
    <x v="1"/>
    <x v="17"/>
    <x v="4"/>
    <x v="2"/>
    <x v="3"/>
    <s v="GNR_BO_STRW_E-100"/>
    <x v="2"/>
    <x v="10"/>
    <n v="6.5"/>
    <n v="1581.6666666666699"/>
    <n v="5694"/>
  </r>
  <r>
    <x v="0"/>
    <x v="0"/>
    <x v="0"/>
    <x v="0"/>
    <x v="1"/>
    <x v="17"/>
    <x v="4"/>
    <x v="2"/>
    <x v="3"/>
    <s v="GNR_BO_STRW_E-100"/>
    <x v="2"/>
    <x v="11"/>
    <n v="6.5"/>
    <n v="1581.6666666666699"/>
    <n v="5694"/>
  </r>
  <r>
    <x v="0"/>
    <x v="0"/>
    <x v="0"/>
    <x v="0"/>
    <x v="1"/>
    <x v="17"/>
    <x v="4"/>
    <x v="2"/>
    <x v="3"/>
    <s v="GNR_BO_STRW_E-100"/>
    <x v="1"/>
    <x v="5"/>
    <n v="6.5"/>
    <n v="1581.6666666666699"/>
    <n v="5694"/>
  </r>
  <r>
    <x v="0"/>
    <x v="0"/>
    <x v="0"/>
    <x v="0"/>
    <x v="1"/>
    <x v="17"/>
    <x v="4"/>
    <x v="2"/>
    <x v="3"/>
    <s v="GNR_BO_STRW_E-100"/>
    <x v="1"/>
    <x v="6"/>
    <n v="6.5"/>
    <n v="1581.6666666666699"/>
    <n v="5694"/>
  </r>
  <r>
    <x v="0"/>
    <x v="0"/>
    <x v="0"/>
    <x v="0"/>
    <x v="1"/>
    <x v="17"/>
    <x v="4"/>
    <x v="2"/>
    <x v="3"/>
    <s v="GNR_BO_STRW_E-100"/>
    <x v="1"/>
    <x v="7"/>
    <n v="6.5"/>
    <n v="1581.6666666666699"/>
    <n v="5694"/>
  </r>
  <r>
    <x v="0"/>
    <x v="0"/>
    <x v="0"/>
    <x v="0"/>
    <x v="1"/>
    <x v="17"/>
    <x v="4"/>
    <x v="2"/>
    <x v="3"/>
    <s v="GNR_BO_STRW_E-100"/>
    <x v="1"/>
    <x v="0"/>
    <n v="2.0149849581531001"/>
    <n v="490.31300648391999"/>
    <n v="1765.1268233421099"/>
  </r>
  <r>
    <x v="0"/>
    <x v="0"/>
    <x v="0"/>
    <x v="0"/>
    <x v="1"/>
    <x v="17"/>
    <x v="4"/>
    <x v="2"/>
    <x v="3"/>
    <s v="GNR_BO_STRW_E-100"/>
    <x v="1"/>
    <x v="1"/>
    <n v="1.0090953599158701"/>
    <n v="245.54653757952801"/>
    <n v="883.967535286302"/>
  </r>
  <r>
    <x v="0"/>
    <x v="0"/>
    <x v="0"/>
    <x v="0"/>
    <x v="1"/>
    <x v="17"/>
    <x v="4"/>
    <x v="2"/>
    <x v="3"/>
    <s v="GNR_BO_STRW_E-100"/>
    <x v="1"/>
    <x v="2"/>
    <n v="0.69451095373980598"/>
    <n v="168.99766541002001"/>
    <n v="608.39159547607096"/>
  </r>
  <r>
    <x v="0"/>
    <x v="0"/>
    <x v="0"/>
    <x v="0"/>
    <x v="1"/>
    <x v="17"/>
    <x v="4"/>
    <x v="2"/>
    <x v="3"/>
    <s v="GNR_BO_STRW_E-100"/>
    <x v="1"/>
    <x v="11"/>
    <n v="6.5"/>
    <n v="1581.6666666666699"/>
    <n v="5694"/>
  </r>
  <r>
    <x v="0"/>
    <x v="0"/>
    <x v="0"/>
    <x v="0"/>
    <x v="1"/>
    <x v="17"/>
    <x v="6"/>
    <x v="2"/>
    <x v="3"/>
    <s v="GNR_EH_HEAT"/>
    <x v="0"/>
    <x v="5"/>
    <n v="3"/>
    <n v="730"/>
    <n v="2628"/>
  </r>
  <r>
    <x v="0"/>
    <x v="0"/>
    <x v="0"/>
    <x v="0"/>
    <x v="1"/>
    <x v="17"/>
    <x v="6"/>
    <x v="2"/>
    <x v="3"/>
    <s v="GNR_EH_HEAT"/>
    <x v="0"/>
    <x v="3"/>
    <n v="3"/>
    <n v="730"/>
    <n v="2628"/>
  </r>
  <r>
    <x v="0"/>
    <x v="0"/>
    <x v="0"/>
    <x v="0"/>
    <x v="1"/>
    <x v="17"/>
    <x v="6"/>
    <x v="2"/>
    <x v="3"/>
    <s v="GNR_EH_HEAT"/>
    <x v="0"/>
    <x v="6"/>
    <n v="3"/>
    <n v="730"/>
    <n v="2628"/>
  </r>
  <r>
    <x v="0"/>
    <x v="0"/>
    <x v="0"/>
    <x v="0"/>
    <x v="1"/>
    <x v="17"/>
    <x v="6"/>
    <x v="2"/>
    <x v="3"/>
    <s v="GNR_EH_HEAT"/>
    <x v="0"/>
    <x v="4"/>
    <n v="3"/>
    <n v="730"/>
    <n v="2628"/>
  </r>
  <r>
    <x v="0"/>
    <x v="0"/>
    <x v="0"/>
    <x v="0"/>
    <x v="1"/>
    <x v="17"/>
    <x v="6"/>
    <x v="2"/>
    <x v="3"/>
    <s v="GNR_EH_HEAT"/>
    <x v="0"/>
    <x v="7"/>
    <n v="3"/>
    <n v="730"/>
    <n v="2628"/>
  </r>
  <r>
    <x v="0"/>
    <x v="0"/>
    <x v="0"/>
    <x v="0"/>
    <x v="1"/>
    <x v="17"/>
    <x v="6"/>
    <x v="2"/>
    <x v="3"/>
    <s v="GNR_EH_HEAT"/>
    <x v="0"/>
    <x v="8"/>
    <n v="3"/>
    <n v="730"/>
    <n v="2628"/>
  </r>
  <r>
    <x v="0"/>
    <x v="0"/>
    <x v="0"/>
    <x v="0"/>
    <x v="1"/>
    <x v="17"/>
    <x v="6"/>
    <x v="2"/>
    <x v="3"/>
    <s v="GNR_EH_HEAT"/>
    <x v="0"/>
    <x v="0"/>
    <n v="3"/>
    <n v="730"/>
    <n v="2628"/>
  </r>
  <r>
    <x v="0"/>
    <x v="0"/>
    <x v="0"/>
    <x v="0"/>
    <x v="1"/>
    <x v="17"/>
    <x v="6"/>
    <x v="2"/>
    <x v="3"/>
    <s v="GNR_EH_HEAT"/>
    <x v="0"/>
    <x v="1"/>
    <n v="3"/>
    <n v="730"/>
    <n v="2628"/>
  </r>
  <r>
    <x v="0"/>
    <x v="0"/>
    <x v="0"/>
    <x v="0"/>
    <x v="1"/>
    <x v="17"/>
    <x v="6"/>
    <x v="2"/>
    <x v="3"/>
    <s v="GNR_EH_HEAT"/>
    <x v="0"/>
    <x v="2"/>
    <n v="3"/>
    <n v="730"/>
    <n v="2628"/>
  </r>
  <r>
    <x v="0"/>
    <x v="0"/>
    <x v="0"/>
    <x v="0"/>
    <x v="1"/>
    <x v="17"/>
    <x v="6"/>
    <x v="2"/>
    <x v="3"/>
    <s v="GNR_EH_HEAT"/>
    <x v="0"/>
    <x v="9"/>
    <n v="3"/>
    <n v="730"/>
    <n v="2628"/>
  </r>
  <r>
    <x v="0"/>
    <x v="0"/>
    <x v="0"/>
    <x v="0"/>
    <x v="1"/>
    <x v="17"/>
    <x v="6"/>
    <x v="2"/>
    <x v="3"/>
    <s v="GNR_EH_HEAT"/>
    <x v="0"/>
    <x v="10"/>
    <n v="3"/>
    <n v="730"/>
    <n v="2628"/>
  </r>
  <r>
    <x v="0"/>
    <x v="0"/>
    <x v="0"/>
    <x v="0"/>
    <x v="1"/>
    <x v="17"/>
    <x v="6"/>
    <x v="2"/>
    <x v="3"/>
    <s v="GNR_EH_HEAT"/>
    <x v="0"/>
    <x v="11"/>
    <n v="3"/>
    <n v="730"/>
    <n v="2628"/>
  </r>
  <r>
    <x v="0"/>
    <x v="0"/>
    <x v="0"/>
    <x v="0"/>
    <x v="1"/>
    <x v="17"/>
    <x v="6"/>
    <x v="2"/>
    <x v="3"/>
    <s v="GNR_EH_HEAT"/>
    <x v="2"/>
    <x v="5"/>
    <n v="3"/>
    <n v="730"/>
    <n v="2628"/>
  </r>
  <r>
    <x v="0"/>
    <x v="0"/>
    <x v="0"/>
    <x v="0"/>
    <x v="1"/>
    <x v="17"/>
    <x v="6"/>
    <x v="2"/>
    <x v="3"/>
    <s v="GNR_EH_HEAT"/>
    <x v="2"/>
    <x v="3"/>
    <n v="3"/>
    <n v="730"/>
    <n v="2628"/>
  </r>
  <r>
    <x v="0"/>
    <x v="0"/>
    <x v="0"/>
    <x v="0"/>
    <x v="1"/>
    <x v="17"/>
    <x v="6"/>
    <x v="2"/>
    <x v="3"/>
    <s v="GNR_EH_HEAT"/>
    <x v="2"/>
    <x v="6"/>
    <n v="3"/>
    <n v="730"/>
    <n v="2628"/>
  </r>
  <r>
    <x v="0"/>
    <x v="0"/>
    <x v="0"/>
    <x v="0"/>
    <x v="1"/>
    <x v="17"/>
    <x v="6"/>
    <x v="2"/>
    <x v="3"/>
    <s v="GNR_EH_HEAT"/>
    <x v="2"/>
    <x v="4"/>
    <n v="3"/>
    <n v="730"/>
    <n v="2628"/>
  </r>
  <r>
    <x v="0"/>
    <x v="0"/>
    <x v="0"/>
    <x v="0"/>
    <x v="1"/>
    <x v="17"/>
    <x v="6"/>
    <x v="2"/>
    <x v="3"/>
    <s v="GNR_EH_HEAT"/>
    <x v="2"/>
    <x v="7"/>
    <n v="3"/>
    <n v="730"/>
    <n v="2628"/>
  </r>
  <r>
    <x v="0"/>
    <x v="0"/>
    <x v="0"/>
    <x v="0"/>
    <x v="1"/>
    <x v="17"/>
    <x v="6"/>
    <x v="2"/>
    <x v="3"/>
    <s v="GNR_EH_HEAT"/>
    <x v="2"/>
    <x v="8"/>
    <n v="3"/>
    <n v="730"/>
    <n v="2628"/>
  </r>
  <r>
    <x v="0"/>
    <x v="0"/>
    <x v="0"/>
    <x v="0"/>
    <x v="1"/>
    <x v="17"/>
    <x v="6"/>
    <x v="2"/>
    <x v="3"/>
    <s v="GNR_EH_HEAT"/>
    <x v="2"/>
    <x v="0"/>
    <n v="3"/>
    <n v="730"/>
    <n v="2628"/>
  </r>
  <r>
    <x v="0"/>
    <x v="0"/>
    <x v="0"/>
    <x v="0"/>
    <x v="1"/>
    <x v="17"/>
    <x v="6"/>
    <x v="2"/>
    <x v="3"/>
    <s v="GNR_EH_HEAT"/>
    <x v="2"/>
    <x v="1"/>
    <n v="3"/>
    <n v="730"/>
    <n v="2628"/>
  </r>
  <r>
    <x v="0"/>
    <x v="0"/>
    <x v="0"/>
    <x v="0"/>
    <x v="1"/>
    <x v="17"/>
    <x v="6"/>
    <x v="2"/>
    <x v="3"/>
    <s v="GNR_EH_HEAT"/>
    <x v="2"/>
    <x v="2"/>
    <n v="3"/>
    <n v="730"/>
    <n v="2628"/>
  </r>
  <r>
    <x v="0"/>
    <x v="0"/>
    <x v="0"/>
    <x v="0"/>
    <x v="1"/>
    <x v="17"/>
    <x v="6"/>
    <x v="2"/>
    <x v="3"/>
    <s v="GNR_EH_HEAT"/>
    <x v="2"/>
    <x v="9"/>
    <n v="3"/>
    <n v="730"/>
    <n v="2628"/>
  </r>
  <r>
    <x v="0"/>
    <x v="0"/>
    <x v="0"/>
    <x v="0"/>
    <x v="1"/>
    <x v="17"/>
    <x v="6"/>
    <x v="2"/>
    <x v="3"/>
    <s v="GNR_EH_HEAT"/>
    <x v="2"/>
    <x v="10"/>
    <n v="3"/>
    <n v="730"/>
    <n v="2628"/>
  </r>
  <r>
    <x v="0"/>
    <x v="0"/>
    <x v="0"/>
    <x v="0"/>
    <x v="1"/>
    <x v="17"/>
    <x v="6"/>
    <x v="2"/>
    <x v="3"/>
    <s v="GNR_EH_HEAT"/>
    <x v="2"/>
    <x v="11"/>
    <n v="3"/>
    <n v="730"/>
    <n v="2628"/>
  </r>
  <r>
    <x v="0"/>
    <x v="0"/>
    <x v="0"/>
    <x v="0"/>
    <x v="1"/>
    <x v="17"/>
    <x v="6"/>
    <x v="2"/>
    <x v="3"/>
    <s v="GNR_EH_HEAT"/>
    <x v="1"/>
    <x v="5"/>
    <n v="3"/>
    <n v="730"/>
    <n v="2628"/>
  </r>
  <r>
    <x v="0"/>
    <x v="0"/>
    <x v="0"/>
    <x v="0"/>
    <x v="1"/>
    <x v="17"/>
    <x v="6"/>
    <x v="2"/>
    <x v="3"/>
    <s v="GNR_EH_HEAT"/>
    <x v="1"/>
    <x v="3"/>
    <n v="3"/>
    <n v="730"/>
    <n v="2628"/>
  </r>
  <r>
    <x v="0"/>
    <x v="0"/>
    <x v="0"/>
    <x v="0"/>
    <x v="1"/>
    <x v="17"/>
    <x v="6"/>
    <x v="2"/>
    <x v="3"/>
    <s v="GNR_EH_HEAT"/>
    <x v="1"/>
    <x v="6"/>
    <n v="3"/>
    <n v="730"/>
    <n v="2628"/>
  </r>
  <r>
    <x v="0"/>
    <x v="0"/>
    <x v="0"/>
    <x v="0"/>
    <x v="1"/>
    <x v="17"/>
    <x v="6"/>
    <x v="2"/>
    <x v="3"/>
    <s v="GNR_EH_HEAT"/>
    <x v="1"/>
    <x v="4"/>
    <n v="3"/>
    <n v="730"/>
    <n v="2628"/>
  </r>
  <r>
    <x v="0"/>
    <x v="0"/>
    <x v="0"/>
    <x v="0"/>
    <x v="1"/>
    <x v="17"/>
    <x v="6"/>
    <x v="2"/>
    <x v="3"/>
    <s v="GNR_EH_HEAT"/>
    <x v="1"/>
    <x v="7"/>
    <n v="3"/>
    <n v="730"/>
    <n v="2628"/>
  </r>
  <r>
    <x v="0"/>
    <x v="0"/>
    <x v="0"/>
    <x v="0"/>
    <x v="1"/>
    <x v="17"/>
    <x v="6"/>
    <x v="2"/>
    <x v="3"/>
    <s v="GNR_EH_HEAT"/>
    <x v="1"/>
    <x v="8"/>
    <n v="3"/>
    <n v="730"/>
    <n v="2628"/>
  </r>
  <r>
    <x v="0"/>
    <x v="0"/>
    <x v="0"/>
    <x v="0"/>
    <x v="1"/>
    <x v="17"/>
    <x v="6"/>
    <x v="2"/>
    <x v="3"/>
    <s v="GNR_EH_HEAT"/>
    <x v="1"/>
    <x v="0"/>
    <n v="3"/>
    <n v="730"/>
    <n v="2628"/>
  </r>
  <r>
    <x v="0"/>
    <x v="0"/>
    <x v="0"/>
    <x v="0"/>
    <x v="1"/>
    <x v="17"/>
    <x v="6"/>
    <x v="2"/>
    <x v="3"/>
    <s v="GNR_EH_HEAT"/>
    <x v="1"/>
    <x v="1"/>
    <n v="3"/>
    <n v="730"/>
    <n v="2628"/>
  </r>
  <r>
    <x v="0"/>
    <x v="0"/>
    <x v="0"/>
    <x v="0"/>
    <x v="1"/>
    <x v="17"/>
    <x v="6"/>
    <x v="2"/>
    <x v="3"/>
    <s v="GNR_EH_HEAT"/>
    <x v="1"/>
    <x v="2"/>
    <n v="3"/>
    <n v="730"/>
    <n v="2628"/>
  </r>
  <r>
    <x v="0"/>
    <x v="0"/>
    <x v="0"/>
    <x v="0"/>
    <x v="1"/>
    <x v="17"/>
    <x v="6"/>
    <x v="2"/>
    <x v="3"/>
    <s v="GNR_EH_HEAT"/>
    <x v="1"/>
    <x v="9"/>
    <n v="3"/>
    <n v="730"/>
    <n v="2628"/>
  </r>
  <r>
    <x v="0"/>
    <x v="0"/>
    <x v="0"/>
    <x v="0"/>
    <x v="1"/>
    <x v="17"/>
    <x v="6"/>
    <x v="2"/>
    <x v="3"/>
    <s v="GNR_EH_HEAT"/>
    <x v="1"/>
    <x v="10"/>
    <n v="3"/>
    <n v="730"/>
    <n v="2628"/>
  </r>
  <r>
    <x v="0"/>
    <x v="0"/>
    <x v="0"/>
    <x v="0"/>
    <x v="1"/>
    <x v="17"/>
    <x v="6"/>
    <x v="2"/>
    <x v="3"/>
    <s v="GNR_EH_HEAT"/>
    <x v="1"/>
    <x v="11"/>
    <n v="3"/>
    <n v="730"/>
    <n v="2628"/>
  </r>
</pivotCacheRecords>
</file>

<file path=xl/pivotCache/pivotCacheRecords8.xml><?xml version="1.0" encoding="utf-8"?>
<pivotCacheRecords xmlns="http://schemas.openxmlformats.org/spreadsheetml/2006/main" xmlns:r="http://schemas.openxmlformats.org/officeDocument/2006/relationships" count="193">
  <r>
    <x v="0"/>
    <x v="0"/>
    <x v="0"/>
    <x v="0"/>
    <x v="0"/>
    <x v="0"/>
    <x v="0"/>
    <x v="0"/>
    <x v="0"/>
    <s v="GNR_ENG_BGAS_BP_E-36"/>
    <n v="1.6425000000000001E-3"/>
    <n v="5.9129999999999999E-3"/>
  </r>
  <r>
    <x v="0"/>
    <x v="0"/>
    <x v="0"/>
    <x v="0"/>
    <x v="0"/>
    <x v="0"/>
    <x v="0"/>
    <x v="0"/>
    <x v="0"/>
    <s v="GNR_ENG_BGAS_BP_E-37"/>
    <n v="9.8648648648648604E-4"/>
    <n v="3.5513513513513498E-3"/>
  </r>
  <r>
    <x v="0"/>
    <x v="0"/>
    <x v="0"/>
    <x v="0"/>
    <x v="0"/>
    <x v="0"/>
    <x v="0"/>
    <x v="0"/>
    <x v="0"/>
    <s v="GNR_ENG_BGAS_BP_E-39"/>
    <n v="6.3173076923076898E-3"/>
    <n v="2.2742307692307701E-2"/>
  </r>
  <r>
    <x v="0"/>
    <x v="0"/>
    <x v="0"/>
    <x v="0"/>
    <x v="0"/>
    <x v="0"/>
    <x v="0"/>
    <x v="0"/>
    <x v="0"/>
    <s v="GNR_ENG_BGAS_BP_E-40"/>
    <n v="2.2684749999999998E-3"/>
    <n v="8.1665099999999897E-3"/>
  </r>
  <r>
    <x v="0"/>
    <x v="0"/>
    <x v="0"/>
    <x v="0"/>
    <x v="0"/>
    <x v="0"/>
    <x v="0"/>
    <x v="0"/>
    <x v="0"/>
    <s v="GNR_ENG_BGAS_BP_E-41"/>
    <n v="4.7663658536585404E-3"/>
    <n v="1.7158917073170701E-2"/>
  </r>
  <r>
    <x v="0"/>
    <x v="0"/>
    <x v="0"/>
    <x v="0"/>
    <x v="0"/>
    <x v="0"/>
    <x v="0"/>
    <x v="0"/>
    <x v="0"/>
    <s v="GNR_ENG_BGAS_BP_E-42"/>
    <n v="4.3017857142857198E-3"/>
    <n v="1.5486428571428601E-2"/>
  </r>
  <r>
    <x v="0"/>
    <x v="0"/>
    <x v="0"/>
    <x v="0"/>
    <x v="0"/>
    <x v="0"/>
    <x v="0"/>
    <x v="0"/>
    <x v="0"/>
    <s v="GNR_ENG_BGAS_BP_E-43"/>
    <n v="1.20698992248062E-2"/>
    <n v="4.3451637209302299E-2"/>
  </r>
  <r>
    <x v="0"/>
    <x v="0"/>
    <x v="0"/>
    <x v="0"/>
    <x v="0"/>
    <x v="0"/>
    <x v="1"/>
    <x v="1"/>
    <x v="1"/>
    <s v="GNR_HS_HEAT_WTR-TANK_LS_E-95_Y-2010"/>
    <n v="0.54394586384666399"/>
    <n v="1.95820510984799"/>
  </r>
  <r>
    <x v="0"/>
    <x v="0"/>
    <x v="0"/>
    <x v="0"/>
    <x v="0"/>
    <x v="0"/>
    <x v="1"/>
    <x v="1"/>
    <x v="2"/>
    <s v="GNR_HS_HEAT_PIT_L-CEN_E-90_Y-2030"/>
    <n v="2.93240546937382"/>
    <n v="10.5566596897457"/>
  </r>
  <r>
    <x v="0"/>
    <x v="0"/>
    <x v="0"/>
    <x v="0"/>
    <x v="0"/>
    <x v="0"/>
    <x v="2"/>
    <x v="0"/>
    <x v="0"/>
    <s v="GNR_ST_MSW_BP_E-24_LS-220-MW-FEED_Y-2030"/>
    <n v="7.84592814404657"/>
    <n v="28.245341318567601"/>
  </r>
  <r>
    <x v="0"/>
    <x v="0"/>
    <x v="0"/>
    <x v="0"/>
    <x v="0"/>
    <x v="0"/>
    <x v="2"/>
    <x v="0"/>
    <x v="0"/>
    <s v="GNR_ST_MSW_BP_E-27"/>
    <n v="0.58075555555555702"/>
    <n v="2.0907200000000001"/>
  </r>
  <r>
    <x v="0"/>
    <x v="0"/>
    <x v="0"/>
    <x v="0"/>
    <x v="0"/>
    <x v="0"/>
    <x v="2"/>
    <x v="2"/>
    <x v="3"/>
    <s v="GNR_BO_MSW_E-105"/>
    <n v="0.2336"/>
    <n v="0.84096000000000104"/>
  </r>
  <r>
    <x v="0"/>
    <x v="0"/>
    <x v="0"/>
    <x v="0"/>
    <x v="0"/>
    <x v="0"/>
    <x v="3"/>
    <x v="0"/>
    <x v="0"/>
    <s v="GNR_ENG_NGAS_BP_E-39"/>
    <n v="1.6159829059829101E-2"/>
    <n v="5.8175384615384601E-2"/>
  </r>
  <r>
    <x v="0"/>
    <x v="0"/>
    <x v="0"/>
    <x v="0"/>
    <x v="0"/>
    <x v="0"/>
    <x v="3"/>
    <x v="0"/>
    <x v="0"/>
    <s v="GNR_ENG_NGAS_BP_E-42"/>
    <n v="1.17842857142857E-2"/>
    <n v="4.2423428571428598E-2"/>
  </r>
  <r>
    <x v="0"/>
    <x v="0"/>
    <x v="0"/>
    <x v="0"/>
    <x v="0"/>
    <x v="0"/>
    <x v="3"/>
    <x v="0"/>
    <x v="0"/>
    <s v="GNR_ENG_NGAS_BP_E-43"/>
    <n v="1.72031007751938E-2"/>
    <n v="6.19311627906977E-2"/>
  </r>
  <r>
    <x v="0"/>
    <x v="0"/>
    <x v="0"/>
    <x v="0"/>
    <x v="0"/>
    <x v="0"/>
    <x v="3"/>
    <x v="0"/>
    <x v="0"/>
    <s v="GNR_ENG_NGAS_BP_E-46"/>
    <n v="4.63391304347826E-3"/>
    <n v="1.6682086956521701E-2"/>
  </r>
  <r>
    <x v="0"/>
    <x v="0"/>
    <x v="0"/>
    <x v="0"/>
    <x v="0"/>
    <x v="0"/>
    <x v="3"/>
    <x v="0"/>
    <x v="0"/>
    <s v="GNR_GT_NGAS_BP_E-43_LS-40-MW_Y-2030"/>
    <n v="0.48716503089117502"/>
    <n v="1.75379411120823"/>
  </r>
  <r>
    <x v="0"/>
    <x v="0"/>
    <x v="0"/>
    <x v="0"/>
    <x v="0"/>
    <x v="0"/>
    <x v="4"/>
    <x v="0"/>
    <x v="0"/>
    <s v="GNR_ST_STRW_BP_E-26"/>
    <n v="0.47713236723355301"/>
    <n v="1.7176765220407899"/>
  </r>
  <r>
    <x v="0"/>
    <x v="0"/>
    <x v="0"/>
    <x v="0"/>
    <x v="0"/>
    <x v="0"/>
    <x v="4"/>
    <x v="2"/>
    <x v="3"/>
    <s v="GNR_BO_STRW_E-100"/>
    <n v="1.25316666666667E-3"/>
    <n v="4.5113999999999996E-3"/>
  </r>
  <r>
    <x v="0"/>
    <x v="0"/>
    <x v="0"/>
    <x v="0"/>
    <x v="0"/>
    <x v="0"/>
    <x v="4"/>
    <x v="2"/>
    <x v="3"/>
    <s v="GNR_BO_STRW_E-102"/>
    <n v="1.5029411764705899E-3"/>
    <n v="5.4105882352941202E-3"/>
  </r>
  <r>
    <x v="0"/>
    <x v="0"/>
    <x v="0"/>
    <x v="0"/>
    <x v="0"/>
    <x v="0"/>
    <x v="5"/>
    <x v="3"/>
    <x v="4"/>
    <s v="GNR_SH_SUN"/>
    <n v="1.9543400000000002E-3"/>
    <n v="7.0356239999999999E-3"/>
  </r>
  <r>
    <x v="0"/>
    <x v="0"/>
    <x v="0"/>
    <x v="0"/>
    <x v="0"/>
    <x v="0"/>
    <x v="6"/>
    <x v="2"/>
    <x v="3"/>
    <s v="GNR_EH_HEAT"/>
    <n v="1.59432"/>
    <n v="5.7395519999999998"/>
  </r>
  <r>
    <x v="0"/>
    <x v="0"/>
    <x v="0"/>
    <x v="0"/>
    <x v="0"/>
    <x v="0"/>
    <x v="7"/>
    <x v="0"/>
    <x v="0"/>
    <s v="GNR_ST_WOODCHI_BP_E-23"/>
    <n v="7.1413043478260899E-2"/>
    <n v="0.25708695652173902"/>
  </r>
  <r>
    <x v="0"/>
    <x v="0"/>
    <x v="0"/>
    <x v="0"/>
    <x v="0"/>
    <x v="0"/>
    <x v="7"/>
    <x v="2"/>
    <x v="3"/>
    <s v="GNR_BO_WOODCHI_E-100"/>
    <n v="4.8666666666666702E-3"/>
    <n v="1.7520000000000001E-2"/>
  </r>
  <r>
    <x v="0"/>
    <x v="0"/>
    <x v="0"/>
    <x v="0"/>
    <x v="0"/>
    <x v="1"/>
    <x v="8"/>
    <x v="4"/>
    <x v="5"/>
    <s v="GNR_BO_ELEC_E-99_LS-10-MW-FEED_PHH_Y-2030"/>
    <n v="0.108049555890482"/>
    <n v="0.38897840120573401"/>
  </r>
  <r>
    <x v="0"/>
    <x v="0"/>
    <x v="0"/>
    <x v="0"/>
    <x v="0"/>
    <x v="1"/>
    <x v="3"/>
    <x v="2"/>
    <x v="3"/>
    <s v="GNR_BO_NGAS_E-70_PHH"/>
    <n v="0.93305705903579705"/>
    <n v="3.35900541252887"/>
  </r>
  <r>
    <x v="0"/>
    <x v="0"/>
    <x v="0"/>
    <x v="0"/>
    <x v="0"/>
    <x v="2"/>
    <x v="3"/>
    <x v="2"/>
    <x v="3"/>
    <s v="GNR_BO_NGAS_E-82_PHL"/>
    <n v="2.0829480189134499"/>
    <n v="7.4986128680884097"/>
  </r>
  <r>
    <x v="0"/>
    <x v="0"/>
    <x v="0"/>
    <x v="0"/>
    <x v="0"/>
    <x v="3"/>
    <x v="8"/>
    <x v="4"/>
    <x v="5"/>
    <s v="GNR_HP_ELEC_GROUND-WTR_COP-380_LS-4-MW_Y-2030"/>
    <n v="0.34383173589918398"/>
    <n v="1.2377942492370599"/>
  </r>
  <r>
    <x v="0"/>
    <x v="0"/>
    <x v="0"/>
    <x v="0"/>
    <x v="0"/>
    <x v="3"/>
    <x v="1"/>
    <x v="1"/>
    <x v="1"/>
    <s v="GNR_HS_HEAT_WTR-TANK_LS_E-95_Y-2010"/>
    <n v="0.18433432589571599"/>
    <n v="0.66360357322457597"/>
  </r>
  <r>
    <x v="0"/>
    <x v="0"/>
    <x v="0"/>
    <x v="0"/>
    <x v="0"/>
    <x v="3"/>
    <x v="1"/>
    <x v="1"/>
    <x v="2"/>
    <s v="GNR_HS_HEAT_PIT_L-DEC_E-91_Y-2030"/>
    <n v="0.40786711211465598"/>
    <n v="1.46832160361276"/>
  </r>
  <r>
    <x v="0"/>
    <x v="0"/>
    <x v="0"/>
    <x v="0"/>
    <x v="0"/>
    <x v="3"/>
    <x v="3"/>
    <x v="0"/>
    <x v="0"/>
    <s v="GNR_ENG_NGAS_BP_E-41"/>
    <n v="2.33006504065041E-2"/>
    <n v="8.3882341463414695E-2"/>
  </r>
  <r>
    <x v="0"/>
    <x v="0"/>
    <x v="0"/>
    <x v="0"/>
    <x v="0"/>
    <x v="3"/>
    <x v="3"/>
    <x v="2"/>
    <x v="3"/>
    <s v="GNR_BO_NGAS_E-100"/>
    <n v="1.05240345806938E-2"/>
    <n v="3.7886524490497599E-2"/>
  </r>
  <r>
    <x v="0"/>
    <x v="0"/>
    <x v="0"/>
    <x v="0"/>
    <x v="0"/>
    <x v="3"/>
    <x v="3"/>
    <x v="2"/>
    <x v="3"/>
    <s v="GNR_BO_NGAS_E-101"/>
    <n v="2.38514851485148E-2"/>
    <n v="8.5865346534653497E-2"/>
  </r>
  <r>
    <x v="0"/>
    <x v="0"/>
    <x v="0"/>
    <x v="0"/>
    <x v="0"/>
    <x v="3"/>
    <x v="3"/>
    <x v="2"/>
    <x v="3"/>
    <s v="GNR_BO_NGAS_E-102"/>
    <n v="3.65E-3"/>
    <n v="1.3140000000000001E-2"/>
  </r>
  <r>
    <x v="0"/>
    <x v="0"/>
    <x v="0"/>
    <x v="0"/>
    <x v="0"/>
    <x v="3"/>
    <x v="4"/>
    <x v="2"/>
    <x v="3"/>
    <s v="GNR_BO_STRW_E-102"/>
    <n v="9.2151764705882405E-2"/>
    <n v="0.33174635294117599"/>
  </r>
  <r>
    <x v="0"/>
    <x v="0"/>
    <x v="0"/>
    <x v="0"/>
    <x v="0"/>
    <x v="3"/>
    <x v="5"/>
    <x v="3"/>
    <x v="4"/>
    <s v="GNR_SH_SUN"/>
    <n v="5.9052000000000002E-3"/>
    <n v="2.1258719999999998E-2"/>
  </r>
  <r>
    <x v="0"/>
    <x v="0"/>
    <x v="0"/>
    <x v="0"/>
    <x v="0"/>
    <x v="3"/>
    <x v="6"/>
    <x v="2"/>
    <x v="3"/>
    <s v="GNR_EH_HEAT"/>
    <n v="0.33288000000000001"/>
    <n v="1.1983680000000001"/>
  </r>
  <r>
    <x v="0"/>
    <x v="0"/>
    <x v="0"/>
    <x v="0"/>
    <x v="0"/>
    <x v="3"/>
    <x v="7"/>
    <x v="2"/>
    <x v="3"/>
    <s v="GNR_BO_WOODCHI_E-110"/>
    <n v="0.120679440587973"/>
    <n v="0.43444598611670299"/>
  </r>
  <r>
    <x v="0"/>
    <x v="0"/>
    <x v="0"/>
    <x v="0"/>
    <x v="0"/>
    <x v="4"/>
    <x v="0"/>
    <x v="0"/>
    <x v="0"/>
    <s v="GNR_ENG_BGAS_BP_E-39"/>
    <n v="1.1792307692307701E-3"/>
    <n v="4.2452307692307702E-3"/>
  </r>
  <r>
    <x v="0"/>
    <x v="0"/>
    <x v="0"/>
    <x v="0"/>
    <x v="0"/>
    <x v="4"/>
    <x v="0"/>
    <x v="0"/>
    <x v="0"/>
    <s v="GNR_ENG_BGAS_BP_E-41"/>
    <n v="5.9058780487804899E-3"/>
    <n v="2.1261160975609799E-2"/>
  </r>
  <r>
    <x v="0"/>
    <x v="0"/>
    <x v="0"/>
    <x v="0"/>
    <x v="0"/>
    <x v="4"/>
    <x v="0"/>
    <x v="0"/>
    <x v="0"/>
    <s v="GNR_ENG_BGAS_BP_E-42"/>
    <n v="5.7357142857142904E-4"/>
    <n v="2.06485714285714E-3"/>
  </r>
  <r>
    <x v="0"/>
    <x v="0"/>
    <x v="0"/>
    <x v="0"/>
    <x v="0"/>
    <x v="4"/>
    <x v="1"/>
    <x v="1"/>
    <x v="1"/>
    <s v="GNR_HS_HEAT_WTR-TANK_LS_E-95_Y-2010"/>
    <n v="0.80138353807840601"/>
    <n v="2.8849807370822602"/>
  </r>
  <r>
    <x v="0"/>
    <x v="0"/>
    <x v="0"/>
    <x v="0"/>
    <x v="0"/>
    <x v="4"/>
    <x v="1"/>
    <x v="1"/>
    <x v="2"/>
    <s v="GNR_HS_HEAT_PIT_L-DEC_E-91_Y-2030"/>
    <n v="0.85444050461828802"/>
    <n v="3.07598581662584"/>
  </r>
  <r>
    <x v="0"/>
    <x v="0"/>
    <x v="0"/>
    <x v="0"/>
    <x v="0"/>
    <x v="4"/>
    <x v="3"/>
    <x v="0"/>
    <x v="0"/>
    <s v="GNR_ENG_NGAS_BP_E-41"/>
    <n v="1.7864227642276399E-2"/>
    <n v="6.4311219512195206E-2"/>
  </r>
  <r>
    <x v="0"/>
    <x v="0"/>
    <x v="0"/>
    <x v="0"/>
    <x v="0"/>
    <x v="4"/>
    <x v="3"/>
    <x v="0"/>
    <x v="0"/>
    <s v="GNR_ENG_NGAS_BP_E-42"/>
    <n v="3.2328571428571401E-2"/>
    <n v="0.116382857142857"/>
  </r>
  <r>
    <x v="0"/>
    <x v="0"/>
    <x v="0"/>
    <x v="0"/>
    <x v="0"/>
    <x v="4"/>
    <x v="3"/>
    <x v="0"/>
    <x v="0"/>
    <s v="GNR_ENG_NGAS_BP_E-43"/>
    <n v="8.0356589147286793E-3"/>
    <n v="2.8928372093023201E-2"/>
  </r>
  <r>
    <x v="0"/>
    <x v="0"/>
    <x v="0"/>
    <x v="0"/>
    <x v="0"/>
    <x v="4"/>
    <x v="3"/>
    <x v="0"/>
    <x v="0"/>
    <s v="GNR_ENG_NGAS_BP_E-44"/>
    <n v="2.8469999999999999E-2"/>
    <n v="0.102492"/>
  </r>
  <r>
    <x v="0"/>
    <x v="0"/>
    <x v="0"/>
    <x v="0"/>
    <x v="0"/>
    <x v="4"/>
    <x v="3"/>
    <x v="0"/>
    <x v="0"/>
    <s v="GNR_ENG_NGAS_BP_E-48_Y-2030"/>
    <n v="6.6322307735916901"/>
    <n v="23.876030784930101"/>
  </r>
  <r>
    <x v="0"/>
    <x v="0"/>
    <x v="0"/>
    <x v="0"/>
    <x v="0"/>
    <x v="4"/>
    <x v="4"/>
    <x v="2"/>
    <x v="3"/>
    <s v="GNR_BO_STRW_E-102"/>
    <n v="5.7732026143790896E-4"/>
    <n v="2.07835294117647E-3"/>
  </r>
  <r>
    <x v="0"/>
    <x v="0"/>
    <x v="0"/>
    <x v="0"/>
    <x v="0"/>
    <x v="4"/>
    <x v="5"/>
    <x v="3"/>
    <x v="4"/>
    <s v="GNR_SH_SUN"/>
    <n v="1.27946E-2"/>
    <n v="4.606056E-2"/>
  </r>
  <r>
    <x v="0"/>
    <x v="0"/>
    <x v="0"/>
    <x v="0"/>
    <x v="0"/>
    <x v="4"/>
    <x v="6"/>
    <x v="2"/>
    <x v="3"/>
    <s v="GNR_EH_HEAT"/>
    <n v="0.70955999999999997"/>
    <n v="2.5544159999999998"/>
  </r>
  <r>
    <x v="0"/>
    <x v="0"/>
    <x v="0"/>
    <x v="0"/>
    <x v="0"/>
    <x v="4"/>
    <x v="6"/>
    <x v="2"/>
    <x v="3"/>
    <s v="GNR_GEO_HEAT_HO"/>
    <n v="8.7599999999999997E-2"/>
    <n v="0.31535999999999997"/>
  </r>
  <r>
    <x v="0"/>
    <x v="0"/>
    <x v="0"/>
    <x v="0"/>
    <x v="0"/>
    <x v="5"/>
    <x v="8"/>
    <x v="1"/>
    <x v="6"/>
    <s v="GNR_ES_ELEC_BAT-LITHIO_E-97_Y-30-50"/>
    <n v="2.3390957015902001"/>
    <n v="8.4207445257247304"/>
  </r>
  <r>
    <x v="0"/>
    <x v="0"/>
    <x v="0"/>
    <x v="0"/>
    <x v="0"/>
    <x v="5"/>
    <x v="3"/>
    <x v="5"/>
    <x v="7"/>
    <s v="GNR_ENG_NGAS_CND_E-41"/>
    <n v="7.2643902439024396E-2"/>
    <n v="0.26151804878048801"/>
  </r>
  <r>
    <x v="0"/>
    <x v="0"/>
    <x v="0"/>
    <x v="0"/>
    <x v="0"/>
    <x v="5"/>
    <x v="3"/>
    <x v="5"/>
    <x v="7"/>
    <s v="GNR_ENG_NGAS_CND_E-46"/>
    <n v="2.3698550724637699E-3"/>
    <n v="8.5314782608695693E-3"/>
  </r>
  <r>
    <x v="0"/>
    <x v="0"/>
    <x v="0"/>
    <x v="0"/>
    <x v="0"/>
    <x v="5"/>
    <x v="5"/>
    <x v="3"/>
    <x v="8"/>
    <s v="GNR_PV_SUN"/>
    <n v="0.56969215361430103"/>
    <n v="2.0508917530114799"/>
  </r>
  <r>
    <x v="0"/>
    <x v="0"/>
    <x v="0"/>
    <x v="0"/>
    <x v="0"/>
    <x v="5"/>
    <x v="5"/>
    <x v="3"/>
    <x v="8"/>
    <s v="GNR_PV_SUN_LS-4-MW_Y-2030"/>
    <n v="2.8102651509237799"/>
    <n v="10.116954543325599"/>
  </r>
  <r>
    <x v="0"/>
    <x v="0"/>
    <x v="0"/>
    <x v="0"/>
    <x v="0"/>
    <x v="5"/>
    <x v="9"/>
    <x v="6"/>
    <x v="9"/>
    <s v="GNR_ROR_WTR"/>
    <n v="4.8198606407017599E-5"/>
    <n v="1.73514983065263E-4"/>
  </r>
  <r>
    <x v="0"/>
    <x v="0"/>
    <x v="0"/>
    <x v="0"/>
    <x v="0"/>
    <x v="5"/>
    <x v="10"/>
    <x v="3"/>
    <x v="10"/>
    <s v="GNR_WT_WIND_ONS"/>
    <n v="4.7053835079999997"/>
    <n v="16.939380628799999"/>
  </r>
  <r>
    <x v="0"/>
    <x v="0"/>
    <x v="0"/>
    <x v="0"/>
    <x v="0"/>
    <x v="5"/>
    <x v="10"/>
    <x v="3"/>
    <x v="10"/>
    <s v="GNR_WT_WIND_ON_LS_Y-2030"/>
    <n v="1.5677862281711199"/>
    <n v="5.64403042141603"/>
  </r>
  <r>
    <x v="0"/>
    <x v="0"/>
    <x v="0"/>
    <x v="0"/>
    <x v="0"/>
    <x v="5"/>
    <x v="7"/>
    <x v="0"/>
    <x v="11"/>
    <s v="GNR_ST_WOODCHI_EXT_E-30"/>
    <n v="0.22386666666666699"/>
    <n v="0.80591999999999997"/>
  </r>
  <r>
    <x v="0"/>
    <x v="0"/>
    <x v="0"/>
    <x v="0"/>
    <x v="0"/>
    <x v="6"/>
    <x v="8"/>
    <x v="4"/>
    <x v="5"/>
    <s v="GNR_BO_ELEC_E-99_LS-10-MW-FEED_PHH_Y-2030"/>
    <n v="0.21516243638959101"/>
    <n v="0.77458477100252698"/>
  </r>
  <r>
    <x v="0"/>
    <x v="0"/>
    <x v="0"/>
    <x v="0"/>
    <x v="0"/>
    <x v="6"/>
    <x v="3"/>
    <x v="2"/>
    <x v="3"/>
    <s v="GNR_BO_NGAS_E-70_PHH"/>
    <n v="2.0512493055555601E-2"/>
    <n v="7.3844974999999993E-2"/>
  </r>
  <r>
    <x v="0"/>
    <x v="0"/>
    <x v="0"/>
    <x v="0"/>
    <x v="0"/>
    <x v="7"/>
    <x v="3"/>
    <x v="2"/>
    <x v="3"/>
    <s v="GNR_BO_NGAS_E-82_PHL"/>
    <n v="10.836924958151799"/>
    <n v="39.012929849346399"/>
  </r>
  <r>
    <x v="0"/>
    <x v="0"/>
    <x v="0"/>
    <x v="0"/>
    <x v="0"/>
    <x v="8"/>
    <x v="10"/>
    <x v="3"/>
    <x v="10"/>
    <s v="GNR_WT_WIND_OFF"/>
    <n v="5.71283096523534"/>
    <n v="20.566191474847201"/>
  </r>
  <r>
    <x v="0"/>
    <x v="0"/>
    <x v="0"/>
    <x v="0"/>
    <x v="0"/>
    <x v="9"/>
    <x v="0"/>
    <x v="0"/>
    <x v="0"/>
    <s v="GNR_ENG_BGAS_BP_E-30"/>
    <n v="1.46E-2"/>
    <n v="5.2560000000000003E-2"/>
  </r>
  <r>
    <x v="0"/>
    <x v="0"/>
    <x v="0"/>
    <x v="0"/>
    <x v="0"/>
    <x v="9"/>
    <x v="0"/>
    <x v="0"/>
    <x v="0"/>
    <s v="GNR_ENG_BGAS_BP_E-37"/>
    <n v="3.4625675675675699E-3"/>
    <n v="1.2465243243243201E-2"/>
  </r>
  <r>
    <x v="0"/>
    <x v="0"/>
    <x v="0"/>
    <x v="0"/>
    <x v="0"/>
    <x v="9"/>
    <x v="0"/>
    <x v="0"/>
    <x v="0"/>
    <s v="GNR_ENG_BGAS_BP_E-38"/>
    <n v="1.53684210526316E-3"/>
    <n v="5.5326315789473602E-3"/>
  </r>
  <r>
    <x v="0"/>
    <x v="0"/>
    <x v="0"/>
    <x v="0"/>
    <x v="0"/>
    <x v="9"/>
    <x v="0"/>
    <x v="0"/>
    <x v="0"/>
    <s v="GNR_ENG_BGAS_BP_E-39"/>
    <n v="2.7078632478632499E-3"/>
    <n v="9.7483076923076898E-3"/>
  </r>
  <r>
    <x v="0"/>
    <x v="0"/>
    <x v="0"/>
    <x v="0"/>
    <x v="0"/>
    <x v="9"/>
    <x v="0"/>
    <x v="0"/>
    <x v="0"/>
    <s v="GNR_ENG_BGAS_BP_E-40"/>
    <n v="2.6997833333333301E-2"/>
    <n v="9.7192200000000006E-2"/>
  </r>
  <r>
    <x v="0"/>
    <x v="0"/>
    <x v="0"/>
    <x v="0"/>
    <x v="0"/>
    <x v="9"/>
    <x v="0"/>
    <x v="0"/>
    <x v="0"/>
    <s v="GNR_ENG_BGAS_BP_E-41"/>
    <n v="4.9022764227642304E-3"/>
    <n v="1.7648195121951201E-2"/>
  </r>
  <r>
    <x v="0"/>
    <x v="0"/>
    <x v="0"/>
    <x v="0"/>
    <x v="0"/>
    <x v="9"/>
    <x v="0"/>
    <x v="0"/>
    <x v="0"/>
    <s v="GNR_ENG_BGAS_BP_E-42"/>
    <n v="2.7091111111111101E-2"/>
    <n v="9.7528000000000004E-2"/>
  </r>
  <r>
    <x v="0"/>
    <x v="0"/>
    <x v="0"/>
    <x v="0"/>
    <x v="0"/>
    <x v="9"/>
    <x v="0"/>
    <x v="0"/>
    <x v="0"/>
    <s v="GNR_ENG_BGAS_BP_E-43"/>
    <n v="2.0360775193798499E-2"/>
    <n v="7.3298790697674407E-2"/>
  </r>
  <r>
    <x v="0"/>
    <x v="0"/>
    <x v="0"/>
    <x v="0"/>
    <x v="0"/>
    <x v="9"/>
    <x v="8"/>
    <x v="4"/>
    <x v="5"/>
    <s v="GNR_HP_ELEC_COP-300"/>
    <n v="1.58166666666667E-3"/>
    <n v="5.6940000000000003E-3"/>
  </r>
  <r>
    <x v="0"/>
    <x v="0"/>
    <x v="0"/>
    <x v="0"/>
    <x v="0"/>
    <x v="9"/>
    <x v="8"/>
    <x v="4"/>
    <x v="5"/>
    <s v="GNR_HP_ELEC_COP-350"/>
    <n v="3.8046904761904702E-3"/>
    <n v="1.3696885714285701E-2"/>
  </r>
  <r>
    <x v="0"/>
    <x v="0"/>
    <x v="0"/>
    <x v="0"/>
    <x v="0"/>
    <x v="9"/>
    <x v="8"/>
    <x v="4"/>
    <x v="5"/>
    <s v="GNR_HP_ELEC_COP-400"/>
    <n v="3.48842666666667E-3"/>
    <n v="1.2558336E-2"/>
  </r>
  <r>
    <x v="0"/>
    <x v="0"/>
    <x v="0"/>
    <x v="0"/>
    <x v="0"/>
    <x v="9"/>
    <x v="8"/>
    <x v="4"/>
    <x v="5"/>
    <s v="GNR_HP_ELEC_COP-430"/>
    <n v="2.1334108527131801E-3"/>
    <n v="7.68027906976744E-3"/>
  </r>
  <r>
    <x v="0"/>
    <x v="0"/>
    <x v="0"/>
    <x v="0"/>
    <x v="0"/>
    <x v="9"/>
    <x v="8"/>
    <x v="4"/>
    <x v="5"/>
    <s v="GNR_HP_ELEC_COP-450"/>
    <n v="8.4679999999999901E-4"/>
    <n v="3.0484800000000001E-3"/>
  </r>
  <r>
    <x v="0"/>
    <x v="0"/>
    <x v="0"/>
    <x v="0"/>
    <x v="0"/>
    <x v="9"/>
    <x v="8"/>
    <x v="4"/>
    <x v="5"/>
    <s v="GNR_HP_ELEC_COP-460"/>
    <n v="5.5226086956521696E-3"/>
    <n v="1.9881391304347799E-2"/>
  </r>
  <r>
    <x v="0"/>
    <x v="0"/>
    <x v="0"/>
    <x v="0"/>
    <x v="0"/>
    <x v="9"/>
    <x v="8"/>
    <x v="4"/>
    <x v="5"/>
    <s v="GNR_HP_ELEC_COP-470"/>
    <n v="1.4263475177305001E-3"/>
    <n v="5.1348510638297802E-3"/>
  </r>
  <r>
    <x v="0"/>
    <x v="0"/>
    <x v="0"/>
    <x v="0"/>
    <x v="0"/>
    <x v="9"/>
    <x v="8"/>
    <x v="4"/>
    <x v="5"/>
    <s v="GNR_HP_ELEC_COP-500"/>
    <n v="8.5166666666666702E-4"/>
    <n v="3.0660000000000001E-3"/>
  </r>
  <r>
    <x v="0"/>
    <x v="0"/>
    <x v="0"/>
    <x v="0"/>
    <x v="0"/>
    <x v="9"/>
    <x v="8"/>
    <x v="4"/>
    <x v="5"/>
    <s v="GNR_HP_ELEC_COP-530"/>
    <n v="2.2313207547169801E-3"/>
    <n v="8.0327547169811407E-3"/>
  </r>
  <r>
    <x v="0"/>
    <x v="0"/>
    <x v="0"/>
    <x v="0"/>
    <x v="0"/>
    <x v="9"/>
    <x v="8"/>
    <x v="4"/>
    <x v="5"/>
    <s v="GNR_HP_ELEC_COP-600"/>
    <n v="4.3800000000000002E-4"/>
    <n v="1.5767999999999999E-3"/>
  </r>
  <r>
    <x v="0"/>
    <x v="0"/>
    <x v="0"/>
    <x v="0"/>
    <x v="0"/>
    <x v="9"/>
    <x v="8"/>
    <x v="4"/>
    <x v="5"/>
    <s v="GNR_HP_ELEC_GROUND-WTR_COP-380_LS-4-MW_Y-2030"/>
    <n v="0.132732714879538"/>
    <n v="0.477837773566338"/>
  </r>
  <r>
    <x v="0"/>
    <x v="0"/>
    <x v="0"/>
    <x v="0"/>
    <x v="0"/>
    <x v="9"/>
    <x v="1"/>
    <x v="1"/>
    <x v="1"/>
    <s v="GNR_HS_HEAT_WTR-TANK_LS_E-95_Y-2010"/>
    <n v="0.26201719810353202"/>
    <n v="0.94326191317271402"/>
  </r>
  <r>
    <x v="0"/>
    <x v="0"/>
    <x v="0"/>
    <x v="0"/>
    <x v="0"/>
    <x v="9"/>
    <x v="1"/>
    <x v="1"/>
    <x v="2"/>
    <s v="GNR_HS_HEAT_PIT_L-DEC_E-91_Y-2030"/>
    <n v="0.75504426943621405"/>
    <n v="2.7181593699703699"/>
  </r>
  <r>
    <x v="0"/>
    <x v="0"/>
    <x v="0"/>
    <x v="0"/>
    <x v="0"/>
    <x v="9"/>
    <x v="3"/>
    <x v="0"/>
    <x v="0"/>
    <s v="GNR_ENG_NGAS_BP_E-37"/>
    <n v="3.7723243243243297E-2"/>
    <n v="0.135803675675676"/>
  </r>
  <r>
    <x v="0"/>
    <x v="0"/>
    <x v="0"/>
    <x v="0"/>
    <x v="0"/>
    <x v="9"/>
    <x v="3"/>
    <x v="0"/>
    <x v="0"/>
    <s v="GNR_ENG_NGAS_BP_E-38"/>
    <n v="1.72894736842105E-2"/>
    <n v="6.2242105263157897E-2"/>
  </r>
  <r>
    <x v="0"/>
    <x v="0"/>
    <x v="0"/>
    <x v="0"/>
    <x v="0"/>
    <x v="9"/>
    <x v="3"/>
    <x v="0"/>
    <x v="0"/>
    <s v="GNR_ENG_NGAS_BP_E-39"/>
    <n v="1.37264957264957E-2"/>
    <n v="4.9415384615384597E-2"/>
  </r>
  <r>
    <x v="0"/>
    <x v="0"/>
    <x v="0"/>
    <x v="0"/>
    <x v="0"/>
    <x v="9"/>
    <x v="3"/>
    <x v="0"/>
    <x v="0"/>
    <s v="GNR_ENG_NGAS_BP_E-40"/>
    <n v="3.3725999999999999E-2"/>
    <n v="0.1214136"/>
  </r>
  <r>
    <x v="0"/>
    <x v="0"/>
    <x v="0"/>
    <x v="0"/>
    <x v="0"/>
    <x v="9"/>
    <x v="3"/>
    <x v="0"/>
    <x v="0"/>
    <s v="GNR_ENG_NGAS_BP_E-41"/>
    <n v="0.11267074114869501"/>
    <n v="0.405614668135304"/>
  </r>
  <r>
    <x v="0"/>
    <x v="0"/>
    <x v="0"/>
    <x v="0"/>
    <x v="0"/>
    <x v="9"/>
    <x v="3"/>
    <x v="0"/>
    <x v="0"/>
    <s v="GNR_ENG_NGAS_BP_E-42"/>
    <n v="0.31426615873015901"/>
    <n v="1.1313581714285701"/>
  </r>
  <r>
    <x v="0"/>
    <x v="0"/>
    <x v="0"/>
    <x v="0"/>
    <x v="0"/>
    <x v="9"/>
    <x v="3"/>
    <x v="0"/>
    <x v="0"/>
    <s v="GNR_ENG_NGAS_BP_E-43"/>
    <n v="0.18814306976744199"/>
    <n v="0.677315051162791"/>
  </r>
  <r>
    <x v="0"/>
    <x v="0"/>
    <x v="0"/>
    <x v="0"/>
    <x v="0"/>
    <x v="9"/>
    <x v="3"/>
    <x v="0"/>
    <x v="0"/>
    <s v="GNR_ENG_NGAS_BP_E-44"/>
    <n v="0.167391212121212"/>
    <n v="0.60260836363636405"/>
  </r>
  <r>
    <x v="0"/>
    <x v="0"/>
    <x v="0"/>
    <x v="0"/>
    <x v="0"/>
    <x v="9"/>
    <x v="3"/>
    <x v="0"/>
    <x v="0"/>
    <s v="GNR_ENG_NGAS_BP_E-45"/>
    <n v="6.6186666666666602E-2"/>
    <n v="0.23827200000000001"/>
  </r>
  <r>
    <x v="0"/>
    <x v="0"/>
    <x v="0"/>
    <x v="0"/>
    <x v="0"/>
    <x v="9"/>
    <x v="3"/>
    <x v="0"/>
    <x v="0"/>
    <s v="GNR_ENG_NGAS_BP_E-46"/>
    <n v="2.31060869565217E-2"/>
    <n v="8.3181913043478301E-2"/>
  </r>
  <r>
    <x v="0"/>
    <x v="0"/>
    <x v="0"/>
    <x v="0"/>
    <x v="0"/>
    <x v="9"/>
    <x v="3"/>
    <x v="2"/>
    <x v="3"/>
    <s v="GNR_BO_NGAS_E-101"/>
    <n v="9.7266267055992305E-3"/>
    <n v="3.5015856140157203E-2"/>
  </r>
  <r>
    <x v="0"/>
    <x v="0"/>
    <x v="0"/>
    <x v="0"/>
    <x v="0"/>
    <x v="9"/>
    <x v="3"/>
    <x v="2"/>
    <x v="3"/>
    <s v="GNR_BO_NGAS_E-102"/>
    <n v="3.24683006535948E-3"/>
    <n v="1.16885882352941E-2"/>
  </r>
  <r>
    <x v="0"/>
    <x v="0"/>
    <x v="0"/>
    <x v="0"/>
    <x v="0"/>
    <x v="9"/>
    <x v="3"/>
    <x v="2"/>
    <x v="3"/>
    <s v="GNR_BO_NGAS_E-104"/>
    <n v="9.8737179487179503E-4"/>
    <n v="3.5545384615384601E-3"/>
  </r>
  <r>
    <x v="0"/>
    <x v="0"/>
    <x v="0"/>
    <x v="0"/>
    <x v="0"/>
    <x v="9"/>
    <x v="3"/>
    <x v="2"/>
    <x v="3"/>
    <s v="GNR_BO_NGAS_E-105"/>
    <n v="1.5981511270984301E-2"/>
    <n v="5.7533440575543701E-2"/>
  </r>
  <r>
    <x v="0"/>
    <x v="0"/>
    <x v="0"/>
    <x v="0"/>
    <x v="0"/>
    <x v="9"/>
    <x v="4"/>
    <x v="2"/>
    <x v="3"/>
    <s v="GNR_BO_STRW_E-100"/>
    <n v="0.69339807535130504"/>
    <n v="2.4962330712647001"/>
  </r>
  <r>
    <x v="0"/>
    <x v="0"/>
    <x v="0"/>
    <x v="0"/>
    <x v="0"/>
    <x v="9"/>
    <x v="4"/>
    <x v="2"/>
    <x v="3"/>
    <s v="GNR_BO_STRW_E-102"/>
    <n v="0.220932352941176"/>
    <n v="0.795356470588236"/>
  </r>
  <r>
    <x v="0"/>
    <x v="0"/>
    <x v="0"/>
    <x v="0"/>
    <x v="0"/>
    <x v="9"/>
    <x v="5"/>
    <x v="3"/>
    <x v="4"/>
    <s v="GNR_SH_SUN"/>
    <n v="0.35606247000000002"/>
    <n v="1.2818248919999999"/>
  </r>
  <r>
    <x v="0"/>
    <x v="0"/>
    <x v="0"/>
    <x v="0"/>
    <x v="0"/>
    <x v="9"/>
    <x v="6"/>
    <x v="2"/>
    <x v="3"/>
    <s v="GNR_EH_HEAT"/>
    <n v="0.95484000000000002"/>
    <n v="3.437424"/>
  </r>
  <r>
    <x v="0"/>
    <x v="0"/>
    <x v="0"/>
    <x v="0"/>
    <x v="0"/>
    <x v="9"/>
    <x v="7"/>
    <x v="0"/>
    <x v="0"/>
    <s v="GNR_ST_WOODCHI_BP_E-17"/>
    <n v="6.4411764705882297E-3"/>
    <n v="2.31882352941176E-2"/>
  </r>
  <r>
    <x v="0"/>
    <x v="0"/>
    <x v="0"/>
    <x v="0"/>
    <x v="0"/>
    <x v="9"/>
    <x v="7"/>
    <x v="2"/>
    <x v="3"/>
    <s v="GNR_BO_WOODCHI_E-100"/>
    <n v="0.50823702330505105"/>
    <n v="1.82965328389818"/>
  </r>
  <r>
    <x v="0"/>
    <x v="0"/>
    <x v="0"/>
    <x v="0"/>
    <x v="0"/>
    <x v="9"/>
    <x v="7"/>
    <x v="2"/>
    <x v="3"/>
    <s v="GNR_BO_WOODCHI_E-105"/>
    <n v="1.5642857142857101E-2"/>
    <n v="5.6314285714285699E-2"/>
  </r>
  <r>
    <x v="0"/>
    <x v="0"/>
    <x v="0"/>
    <x v="0"/>
    <x v="0"/>
    <x v="9"/>
    <x v="7"/>
    <x v="2"/>
    <x v="3"/>
    <s v="GNR_BO_WOODCHI_E-106"/>
    <n v="1.0082163967418701E-2"/>
    <n v="3.6295790282707303E-2"/>
  </r>
  <r>
    <x v="0"/>
    <x v="0"/>
    <x v="0"/>
    <x v="0"/>
    <x v="0"/>
    <x v="9"/>
    <x v="7"/>
    <x v="2"/>
    <x v="3"/>
    <s v="GNR_BO_WOODCHI_E-107"/>
    <n v="4.5410093457943897E-2"/>
    <n v="0.16347633644859799"/>
  </r>
  <r>
    <x v="0"/>
    <x v="0"/>
    <x v="0"/>
    <x v="0"/>
    <x v="0"/>
    <x v="9"/>
    <x v="7"/>
    <x v="2"/>
    <x v="3"/>
    <s v="GNR_BO_WOODCHI_E-110"/>
    <n v="0.69862333325980996"/>
    <n v="2.5150439997353198"/>
  </r>
  <r>
    <x v="0"/>
    <x v="0"/>
    <x v="0"/>
    <x v="0"/>
    <x v="0"/>
    <x v="9"/>
    <x v="7"/>
    <x v="2"/>
    <x v="3"/>
    <s v="GNR_BO_WOODCHI_E-112"/>
    <n v="0.14447916666666699"/>
    <n v="0.52012499999999995"/>
  </r>
  <r>
    <x v="0"/>
    <x v="0"/>
    <x v="0"/>
    <x v="0"/>
    <x v="0"/>
    <x v="9"/>
    <x v="7"/>
    <x v="2"/>
    <x v="3"/>
    <s v="GNR_BO_WOODCHI_E-117"/>
    <n v="9.7333333333333397E-2"/>
    <n v="0.35039999999999999"/>
  </r>
  <r>
    <x v="0"/>
    <x v="0"/>
    <x v="0"/>
    <x v="0"/>
    <x v="0"/>
    <x v="9"/>
    <x v="7"/>
    <x v="2"/>
    <x v="3"/>
    <s v="GNR_BO_WOODCHI_E-120"/>
    <n v="0.13139999999999999"/>
    <n v="0.47304000000000002"/>
  </r>
  <r>
    <x v="0"/>
    <x v="0"/>
    <x v="0"/>
    <x v="0"/>
    <x v="0"/>
    <x v="9"/>
    <x v="11"/>
    <x v="2"/>
    <x v="3"/>
    <s v="GNR_BO_WOODWST_E-100"/>
    <n v="0.19053"/>
    <n v="0.68590799999999996"/>
  </r>
  <r>
    <x v="0"/>
    <x v="0"/>
    <x v="0"/>
    <x v="0"/>
    <x v="0"/>
    <x v="9"/>
    <x v="11"/>
    <x v="2"/>
    <x v="3"/>
    <s v="GNR_BO_WOODWST_E-113"/>
    <n v="3.0736842105263201E-2"/>
    <n v="0.110652631578947"/>
  </r>
  <r>
    <x v="0"/>
    <x v="0"/>
    <x v="0"/>
    <x v="0"/>
    <x v="0"/>
    <x v="9"/>
    <x v="11"/>
    <x v="2"/>
    <x v="3"/>
    <s v="GNR_BO_WOODWST_E-86"/>
    <n v="1.18837209302326E-2"/>
    <n v="4.2781395348837202E-2"/>
  </r>
  <r>
    <x v="0"/>
    <x v="0"/>
    <x v="0"/>
    <x v="0"/>
    <x v="0"/>
    <x v="9"/>
    <x v="11"/>
    <x v="2"/>
    <x v="3"/>
    <s v="GNR_BO_WOODWST_E-89"/>
    <n v="8.2022471910112409E-3"/>
    <n v="2.95280898876405E-2"/>
  </r>
  <r>
    <x v="0"/>
    <x v="0"/>
    <x v="0"/>
    <x v="0"/>
    <x v="0"/>
    <x v="9"/>
    <x v="11"/>
    <x v="2"/>
    <x v="3"/>
    <s v="GNR_BO_WOODWST_E-90"/>
    <n v="7.3000000000000001E-3"/>
    <n v="2.6280000000000001E-2"/>
  </r>
  <r>
    <x v="0"/>
    <x v="0"/>
    <x v="0"/>
    <x v="0"/>
    <x v="0"/>
    <x v="9"/>
    <x v="11"/>
    <x v="2"/>
    <x v="3"/>
    <s v="GNR_BO_WOODWST_E-94"/>
    <n v="7.6374148039295396E-3"/>
    <n v="2.7494693294146302E-2"/>
  </r>
  <r>
    <x v="0"/>
    <x v="0"/>
    <x v="0"/>
    <x v="0"/>
    <x v="0"/>
    <x v="10"/>
    <x v="1"/>
    <x v="1"/>
    <x v="1"/>
    <s v="GNR_HS_HEAT_WTR-TANK_LS_E-95_Y-2010"/>
    <n v="4.9994006507188497E-3"/>
    <n v="1.7997842342587899E-2"/>
  </r>
  <r>
    <x v="0"/>
    <x v="0"/>
    <x v="0"/>
    <x v="0"/>
    <x v="0"/>
    <x v="10"/>
    <x v="3"/>
    <x v="0"/>
    <x v="0"/>
    <s v="GNR_ENG_NGAS_BP_E-38"/>
    <n v="6.5123684210526304E-3"/>
    <n v="2.3444526315789499E-2"/>
  </r>
  <r>
    <x v="0"/>
    <x v="0"/>
    <x v="0"/>
    <x v="0"/>
    <x v="0"/>
    <x v="10"/>
    <x v="3"/>
    <x v="2"/>
    <x v="3"/>
    <s v="GNR_BO_NGAS_E-101"/>
    <n v="1.97326194301557E-4"/>
    <n v="7.1037429948560401E-4"/>
  </r>
  <r>
    <x v="0"/>
    <x v="0"/>
    <x v="0"/>
    <x v="0"/>
    <x v="0"/>
    <x v="10"/>
    <x v="4"/>
    <x v="2"/>
    <x v="3"/>
    <s v="GNR_BO_STRW_E-100"/>
    <n v="0.23322973565743799"/>
    <n v="0.83962704836677704"/>
  </r>
  <r>
    <x v="0"/>
    <x v="0"/>
    <x v="0"/>
    <x v="0"/>
    <x v="0"/>
    <x v="10"/>
    <x v="6"/>
    <x v="2"/>
    <x v="3"/>
    <s v="GNR_EH_HEAT"/>
    <n v="7.8839999999999993E-2"/>
    <n v="0.28382400000000002"/>
  </r>
  <r>
    <x v="0"/>
    <x v="0"/>
    <x v="0"/>
    <x v="0"/>
    <x v="0"/>
    <x v="10"/>
    <x v="7"/>
    <x v="2"/>
    <x v="3"/>
    <s v="GNR_BO_WOODCHI_E-100"/>
    <n v="7.2892103422987201E-2"/>
    <n v="0.26241157232275403"/>
  </r>
  <r>
    <x v="0"/>
    <x v="0"/>
    <x v="0"/>
    <x v="0"/>
    <x v="0"/>
    <x v="10"/>
    <x v="7"/>
    <x v="2"/>
    <x v="3"/>
    <s v="GNR_BO_WOODCHI_E-110"/>
    <n v="6.1240101359878299E-2"/>
    <n v="0.22046436489556201"/>
  </r>
  <r>
    <x v="0"/>
    <x v="0"/>
    <x v="0"/>
    <x v="0"/>
    <x v="0"/>
    <x v="10"/>
    <x v="11"/>
    <x v="2"/>
    <x v="3"/>
    <s v="GNR_BO_WOODWST_E-89"/>
    <n v="6.8056779026217304E-3"/>
    <n v="2.45004404494382E-2"/>
  </r>
  <r>
    <x v="0"/>
    <x v="0"/>
    <x v="0"/>
    <x v="0"/>
    <x v="1"/>
    <x v="11"/>
    <x v="0"/>
    <x v="0"/>
    <x v="0"/>
    <s v="GNR_ENG_BGAS_BP_E-42"/>
    <n v="5.2959761904761904E-3"/>
    <n v="1.9065514285714302E-2"/>
  </r>
  <r>
    <x v="0"/>
    <x v="0"/>
    <x v="0"/>
    <x v="0"/>
    <x v="1"/>
    <x v="11"/>
    <x v="12"/>
    <x v="0"/>
    <x v="11"/>
    <s v="GNR_ST_COAL_EXT_E-42"/>
    <n v="2.5423056070691801"/>
    <n v="9.1523001854490396"/>
  </r>
  <r>
    <x v="0"/>
    <x v="0"/>
    <x v="0"/>
    <x v="0"/>
    <x v="1"/>
    <x v="11"/>
    <x v="8"/>
    <x v="4"/>
    <x v="5"/>
    <s v="GNR_HP_ELEC_COP-300"/>
    <n v="2.20622222222222E-4"/>
    <n v="7.9423999999999999E-4"/>
  </r>
  <r>
    <x v="0"/>
    <x v="0"/>
    <x v="0"/>
    <x v="0"/>
    <x v="1"/>
    <x v="11"/>
    <x v="1"/>
    <x v="1"/>
    <x v="1"/>
    <s v="GNR_HS_HEAT_WTR-TANK_LS_E-95_Y-2010"/>
    <n v="0.84152954681641201"/>
    <n v="3.0295063685390802"/>
  </r>
  <r>
    <x v="0"/>
    <x v="0"/>
    <x v="0"/>
    <x v="0"/>
    <x v="1"/>
    <x v="11"/>
    <x v="1"/>
    <x v="1"/>
    <x v="2"/>
    <s v="GNR_HS_HEAT_PIT_L-CEN_E-90_Y-2030"/>
    <n v="2.6622158909663698"/>
    <n v="9.5839772074789398"/>
  </r>
  <r>
    <x v="0"/>
    <x v="0"/>
    <x v="0"/>
    <x v="0"/>
    <x v="1"/>
    <x v="11"/>
    <x v="2"/>
    <x v="0"/>
    <x v="0"/>
    <s v="GNR_ST_MSW_BP_E-24_LS-220-MW-FEED_Y-2030"/>
    <n v="4.7094272506349002"/>
    <n v="16.953938102285701"/>
  </r>
  <r>
    <x v="0"/>
    <x v="0"/>
    <x v="0"/>
    <x v="0"/>
    <x v="1"/>
    <x v="11"/>
    <x v="2"/>
    <x v="0"/>
    <x v="0"/>
    <s v="GNR_ST_MSW_BP_E-27"/>
    <n v="0.62942222222222399"/>
    <n v="2.2659200000000101"/>
  </r>
  <r>
    <x v="0"/>
    <x v="0"/>
    <x v="0"/>
    <x v="0"/>
    <x v="1"/>
    <x v="11"/>
    <x v="3"/>
    <x v="0"/>
    <x v="0"/>
    <s v="GNR_GT_NGAS_BP_E-43_LS-40-MW_Y-2030"/>
    <n v="1.6975895197256901"/>
    <n v="6.1113222710124804"/>
  </r>
  <r>
    <x v="0"/>
    <x v="0"/>
    <x v="0"/>
    <x v="0"/>
    <x v="1"/>
    <x v="11"/>
    <x v="4"/>
    <x v="0"/>
    <x v="11"/>
    <s v="GNR_ST_COAL_EXT_E-42-Straw"/>
    <n v="1.825"/>
    <n v="6.57"/>
  </r>
  <r>
    <x v="0"/>
    <x v="0"/>
    <x v="0"/>
    <x v="0"/>
    <x v="1"/>
    <x v="11"/>
    <x v="6"/>
    <x v="2"/>
    <x v="3"/>
    <s v="GNR_EH_HEAT"/>
    <n v="1.5154799999999999"/>
    <n v="5.4557279999999997"/>
  </r>
  <r>
    <x v="0"/>
    <x v="0"/>
    <x v="0"/>
    <x v="0"/>
    <x v="1"/>
    <x v="11"/>
    <x v="6"/>
    <x v="2"/>
    <x v="3"/>
    <s v="GNR_GEO_HEAT_HO"/>
    <n v="0.12264"/>
    <n v="0.44150400000000001"/>
  </r>
  <r>
    <x v="0"/>
    <x v="0"/>
    <x v="0"/>
    <x v="0"/>
    <x v="1"/>
    <x v="11"/>
    <x v="11"/>
    <x v="2"/>
    <x v="3"/>
    <s v="GNR_BO_WOODWST_E-90"/>
    <n v="1.80066666666667E-3"/>
    <n v="6.4824000000000001E-3"/>
  </r>
  <r>
    <x v="0"/>
    <x v="0"/>
    <x v="0"/>
    <x v="0"/>
    <x v="1"/>
    <x v="12"/>
    <x v="8"/>
    <x v="4"/>
    <x v="5"/>
    <s v="GNR_BO_ELEC_E-99_LS-10-MW-FEED_PHH_Y-2030"/>
    <n v="2.7015579633668501E-2"/>
    <n v="9.7256086681206402E-2"/>
  </r>
  <r>
    <x v="0"/>
    <x v="0"/>
    <x v="0"/>
    <x v="0"/>
    <x v="1"/>
    <x v="12"/>
    <x v="3"/>
    <x v="2"/>
    <x v="3"/>
    <s v="GNR_BO_NGAS_E-70_PHH"/>
    <n v="0.38803999739471401"/>
    <n v="1.39694399062097"/>
  </r>
  <r>
    <x v="0"/>
    <x v="0"/>
    <x v="0"/>
    <x v="0"/>
    <x v="1"/>
    <x v="13"/>
    <x v="3"/>
    <x v="2"/>
    <x v="3"/>
    <s v="GNR_BO_NGAS_E-82_PHL"/>
    <n v="1.9994378392533301"/>
    <n v="7.1979762213120004"/>
  </r>
  <r>
    <x v="0"/>
    <x v="0"/>
    <x v="0"/>
    <x v="0"/>
    <x v="1"/>
    <x v="14"/>
    <x v="0"/>
    <x v="0"/>
    <x v="0"/>
    <s v="GNR_ENG_BGAS_BP_E-38"/>
    <n v="4.8026315789473698E-4"/>
    <n v="1.72894736842105E-3"/>
  </r>
  <r>
    <x v="0"/>
    <x v="0"/>
    <x v="0"/>
    <x v="0"/>
    <x v="1"/>
    <x v="14"/>
    <x v="1"/>
    <x v="1"/>
    <x v="1"/>
    <s v="GNR_HS_HEAT_WTR-TANK_LS_E-95_Y-2010"/>
    <n v="0.12072937312264"/>
    <n v="0.43462574324150499"/>
  </r>
  <r>
    <x v="0"/>
    <x v="0"/>
    <x v="0"/>
    <x v="0"/>
    <x v="1"/>
    <x v="14"/>
    <x v="1"/>
    <x v="1"/>
    <x v="2"/>
    <s v="GNR_HS_HEAT_PIT_L-DEC_E-91_Y-2030"/>
    <n v="0.18218307999518901"/>
    <n v="0.655859087982679"/>
  </r>
  <r>
    <x v="0"/>
    <x v="0"/>
    <x v="0"/>
    <x v="0"/>
    <x v="1"/>
    <x v="14"/>
    <x v="3"/>
    <x v="0"/>
    <x v="0"/>
    <s v="GNR_ENG_NGAS_BP_E-48_Y-2030"/>
    <n v="1.1341640634991501"/>
    <n v="4.0829906285969502"/>
  </r>
  <r>
    <x v="0"/>
    <x v="0"/>
    <x v="0"/>
    <x v="0"/>
    <x v="1"/>
    <x v="14"/>
    <x v="5"/>
    <x v="3"/>
    <x v="4"/>
    <s v="GNR_SH_SUN"/>
    <n v="1.0545000000000001E-2"/>
    <n v="3.7962000000000003E-2"/>
  </r>
  <r>
    <x v="0"/>
    <x v="0"/>
    <x v="0"/>
    <x v="0"/>
    <x v="1"/>
    <x v="14"/>
    <x v="6"/>
    <x v="2"/>
    <x v="3"/>
    <s v="GNR_EH_HEAT"/>
    <n v="0.12264"/>
    <n v="0.44150400000000001"/>
  </r>
  <r>
    <x v="0"/>
    <x v="0"/>
    <x v="0"/>
    <x v="0"/>
    <x v="1"/>
    <x v="14"/>
    <x v="7"/>
    <x v="2"/>
    <x v="3"/>
    <s v="GNR_BO_WOODCHI_E-118"/>
    <n v="1.09031460105793E-4"/>
    <n v="3.9251325638085398E-4"/>
  </r>
  <r>
    <x v="0"/>
    <x v="0"/>
    <x v="0"/>
    <x v="0"/>
    <x v="1"/>
    <x v="15"/>
    <x v="1"/>
    <x v="1"/>
    <x v="1"/>
    <s v="GNR_HS_HEAT_WTR-TANK_LS_E-95_Y-2010"/>
    <n v="0.36186701286107498"/>
    <n v="1.3027212462998701"/>
  </r>
  <r>
    <x v="0"/>
    <x v="0"/>
    <x v="0"/>
    <x v="0"/>
    <x v="1"/>
    <x v="15"/>
    <x v="1"/>
    <x v="1"/>
    <x v="2"/>
    <s v="GNR_HS_HEAT_PIT_L-DEC_E-91_Y-2030"/>
    <n v="0.33877752422697099"/>
    <n v="1.2195990872170901"/>
  </r>
  <r>
    <x v="0"/>
    <x v="0"/>
    <x v="0"/>
    <x v="0"/>
    <x v="1"/>
    <x v="15"/>
    <x v="2"/>
    <x v="0"/>
    <x v="0"/>
    <s v="GNR_ST_MSW_BP_E-23"/>
    <n v="0.30469565217391298"/>
    <n v="1.09690434782609"/>
  </r>
  <r>
    <x v="0"/>
    <x v="0"/>
    <x v="0"/>
    <x v="0"/>
    <x v="1"/>
    <x v="15"/>
    <x v="3"/>
    <x v="0"/>
    <x v="0"/>
    <s v="GNR_ENG_NGAS_BP_E-35"/>
    <n v="4.0462857142857097E-3"/>
    <n v="1.45666285714286E-2"/>
  </r>
  <r>
    <x v="0"/>
    <x v="0"/>
    <x v="0"/>
    <x v="0"/>
    <x v="1"/>
    <x v="15"/>
    <x v="3"/>
    <x v="0"/>
    <x v="0"/>
    <s v="GNR_ENG_NGAS_BP_E-42"/>
    <n v="8.1111111111111106E-3"/>
    <n v="2.92E-2"/>
  </r>
  <r>
    <x v="0"/>
    <x v="0"/>
    <x v="0"/>
    <x v="0"/>
    <x v="1"/>
    <x v="15"/>
    <x v="3"/>
    <x v="0"/>
    <x v="0"/>
    <s v="GNR_ENG_NGAS_BP_E-48_Y-2030"/>
    <n v="2.35822833684706"/>
    <n v="8.4896220126494306"/>
  </r>
  <r>
    <x v="0"/>
    <x v="0"/>
    <x v="0"/>
    <x v="0"/>
    <x v="1"/>
    <x v="15"/>
    <x v="5"/>
    <x v="3"/>
    <x v="4"/>
    <s v="GNR_SH_SUN"/>
    <n v="1.28649E-2"/>
    <n v="4.6313640000000003E-2"/>
  </r>
  <r>
    <x v="0"/>
    <x v="0"/>
    <x v="0"/>
    <x v="0"/>
    <x v="1"/>
    <x v="15"/>
    <x v="6"/>
    <x v="2"/>
    <x v="3"/>
    <s v="GNR_EH_HEAT"/>
    <n v="0.29783999999999999"/>
    <n v="1.0722240000000001"/>
  </r>
  <r>
    <x v="0"/>
    <x v="0"/>
    <x v="0"/>
    <x v="0"/>
    <x v="1"/>
    <x v="15"/>
    <x v="7"/>
    <x v="0"/>
    <x v="0"/>
    <s v="GNR_ST_WOODCHI_BP_E-27"/>
    <n v="8.3274074074074396E-3"/>
    <n v="2.9978666666666799E-2"/>
  </r>
  <r>
    <x v="0"/>
    <x v="0"/>
    <x v="0"/>
    <x v="0"/>
    <x v="1"/>
    <x v="16"/>
    <x v="8"/>
    <x v="1"/>
    <x v="6"/>
    <s v="GNR_ES_ELEC_BAT-LITHIO_E-97_Y-30-50"/>
    <n v="0.53665801390406498"/>
    <n v="1.9319688500546399"/>
  </r>
  <r>
    <x v="0"/>
    <x v="0"/>
    <x v="0"/>
    <x v="0"/>
    <x v="1"/>
    <x v="16"/>
    <x v="5"/>
    <x v="3"/>
    <x v="8"/>
    <s v="GNR_PV_SUN"/>
    <n v="0.29045654620983502"/>
    <n v="1.04564356635541"/>
  </r>
  <r>
    <x v="0"/>
    <x v="0"/>
    <x v="0"/>
    <x v="0"/>
    <x v="1"/>
    <x v="16"/>
    <x v="5"/>
    <x v="3"/>
    <x v="8"/>
    <s v="GNR_PV_SUN_LS-4-MW_Y-2030"/>
    <n v="2.2423886377361302"/>
    <n v="8.0725990958500802"/>
  </r>
  <r>
    <x v="0"/>
    <x v="0"/>
    <x v="0"/>
    <x v="0"/>
    <x v="1"/>
    <x v="16"/>
    <x v="9"/>
    <x v="6"/>
    <x v="9"/>
    <s v="GNR_ROR_WTR"/>
    <n v="7.2297909610526497E-5"/>
    <n v="2.6027247459789498E-4"/>
  </r>
  <r>
    <x v="0"/>
    <x v="0"/>
    <x v="0"/>
    <x v="0"/>
    <x v="1"/>
    <x v="16"/>
    <x v="10"/>
    <x v="3"/>
    <x v="10"/>
    <s v="GNR_WT_WIND_ONS"/>
    <n v="0.83062384899999697"/>
    <n v="2.9902458563999899"/>
  </r>
  <r>
    <x v="0"/>
    <x v="0"/>
    <x v="0"/>
    <x v="0"/>
    <x v="1"/>
    <x v="17"/>
    <x v="8"/>
    <x v="4"/>
    <x v="5"/>
    <s v="GNR_BO_ELEC_E-99_LS-10-MW-FEED_PHH_Y-2030"/>
    <n v="2.0720238718649399E-2"/>
    <n v="7.4592859387137903E-2"/>
  </r>
  <r>
    <x v="0"/>
    <x v="0"/>
    <x v="0"/>
    <x v="0"/>
    <x v="1"/>
    <x v="17"/>
    <x v="3"/>
    <x v="2"/>
    <x v="3"/>
    <s v="GNR_BO_NGAS_E-70_PHH"/>
    <n v="4.46112166666667E-3"/>
    <n v="1.6060037999999999E-2"/>
  </r>
  <r>
    <x v="0"/>
    <x v="0"/>
    <x v="0"/>
    <x v="0"/>
    <x v="1"/>
    <x v="18"/>
    <x v="3"/>
    <x v="2"/>
    <x v="3"/>
    <s v="GNR_BO_NGAS_E-82_PHL"/>
    <n v="2.6949824464795"/>
    <n v="9.7019368073262005"/>
  </r>
  <r>
    <x v="0"/>
    <x v="0"/>
    <x v="0"/>
    <x v="0"/>
    <x v="1"/>
    <x v="19"/>
    <x v="10"/>
    <x v="3"/>
    <x v="10"/>
    <s v="GNR_WT_WIND_OFF"/>
    <n v="3.6703436490038199"/>
    <n v="13.213237136413801"/>
  </r>
  <r>
    <x v="0"/>
    <x v="0"/>
    <x v="0"/>
    <x v="0"/>
    <x v="1"/>
    <x v="20"/>
    <x v="0"/>
    <x v="0"/>
    <x v="0"/>
    <s v="GNR_ENG_BGAS_BP_E-40"/>
    <n v="2.2569166666666701E-3"/>
    <n v="8.1248999999999991E-3"/>
  </r>
  <r>
    <x v="0"/>
    <x v="0"/>
    <x v="0"/>
    <x v="0"/>
    <x v="1"/>
    <x v="20"/>
    <x v="0"/>
    <x v="0"/>
    <x v="0"/>
    <s v="GNR_ENG_BGAS_BP_E-41"/>
    <n v="8.3089430894308907E-3"/>
    <n v="2.9912195121951202E-2"/>
  </r>
  <r>
    <x v="0"/>
    <x v="0"/>
    <x v="0"/>
    <x v="0"/>
    <x v="1"/>
    <x v="20"/>
    <x v="0"/>
    <x v="0"/>
    <x v="0"/>
    <s v="GNR_ENG_BGAS_BP_E-42"/>
    <n v="2.3254555555555601E-2"/>
    <n v="8.3716399999999996E-2"/>
  </r>
  <r>
    <x v="0"/>
    <x v="0"/>
    <x v="0"/>
    <x v="0"/>
    <x v="1"/>
    <x v="20"/>
    <x v="12"/>
    <x v="0"/>
    <x v="0"/>
    <s v="GNR_ST_COAL_BP_E-35"/>
    <n v="0.73545681840586896"/>
    <n v="2.6476445462611302"/>
  </r>
  <r>
    <x v="0"/>
    <x v="0"/>
    <x v="0"/>
    <x v="0"/>
    <x v="1"/>
    <x v="20"/>
    <x v="8"/>
    <x v="4"/>
    <x v="5"/>
    <s v="GNR_HP_ELEC_COP-400"/>
    <n v="1.41133333333333E-3"/>
    <n v="5.0807999999999999E-3"/>
  </r>
  <r>
    <x v="0"/>
    <x v="0"/>
    <x v="0"/>
    <x v="0"/>
    <x v="1"/>
    <x v="20"/>
    <x v="1"/>
    <x v="1"/>
    <x v="1"/>
    <s v="GNR_HS_HEAT_WTR-TANK_LS_E-95_Y-2010"/>
    <n v="0.120996508732076"/>
    <n v="0.43558743143547302"/>
  </r>
  <r>
    <x v="0"/>
    <x v="0"/>
    <x v="0"/>
    <x v="0"/>
    <x v="1"/>
    <x v="20"/>
    <x v="1"/>
    <x v="1"/>
    <x v="2"/>
    <s v="GNR_HS_HEAT_PIT_L-DEC_E-91_Y-2030"/>
    <n v="0.26928176148566801"/>
    <n v="0.96941434134840498"/>
  </r>
  <r>
    <x v="0"/>
    <x v="0"/>
    <x v="0"/>
    <x v="0"/>
    <x v="1"/>
    <x v="20"/>
    <x v="3"/>
    <x v="0"/>
    <x v="0"/>
    <s v="GNR_CC_NGAS_BP_E-53_SS-10-MW_Y-2030"/>
    <n v="0.69726483783676396"/>
    <n v="2.5101534162123502"/>
  </r>
  <r>
    <x v="0"/>
    <x v="0"/>
    <x v="0"/>
    <x v="0"/>
    <x v="1"/>
    <x v="20"/>
    <x v="3"/>
    <x v="0"/>
    <x v="0"/>
    <s v="GNR_ENG_NGAS_BP_E-36"/>
    <n v="1.3484722222222201E-3"/>
    <n v="4.8545000000000003E-3"/>
  </r>
  <r>
    <x v="0"/>
    <x v="0"/>
    <x v="0"/>
    <x v="0"/>
    <x v="1"/>
    <x v="20"/>
    <x v="3"/>
    <x v="0"/>
    <x v="0"/>
    <s v="GNR_ENG_NGAS_BP_E-38"/>
    <n v="2.2188157894736898E-3"/>
    <n v="7.9877368421052697E-3"/>
  </r>
  <r>
    <x v="0"/>
    <x v="0"/>
    <x v="0"/>
    <x v="0"/>
    <x v="1"/>
    <x v="20"/>
    <x v="3"/>
    <x v="0"/>
    <x v="0"/>
    <s v="GNR_ENG_NGAS_BP_E-40"/>
    <n v="6.2050000000000001E-2"/>
    <n v="0.22338"/>
  </r>
  <r>
    <x v="0"/>
    <x v="0"/>
    <x v="0"/>
    <x v="0"/>
    <x v="1"/>
    <x v="20"/>
    <x v="3"/>
    <x v="0"/>
    <x v="0"/>
    <s v="GNR_ENG_NGAS_BP_E-45"/>
    <n v="6.2185185185185199E-3"/>
    <n v="2.2386666666666701E-2"/>
  </r>
  <r>
    <x v="0"/>
    <x v="0"/>
    <x v="0"/>
    <x v="0"/>
    <x v="1"/>
    <x v="20"/>
    <x v="3"/>
    <x v="2"/>
    <x v="3"/>
    <s v="GNR_BO_NGAS_E-100"/>
    <n v="7.9083333333333295E-4"/>
    <n v="2.8470000000000001E-3"/>
  </r>
  <r>
    <x v="0"/>
    <x v="0"/>
    <x v="0"/>
    <x v="0"/>
    <x v="1"/>
    <x v="20"/>
    <x v="3"/>
    <x v="2"/>
    <x v="3"/>
    <s v="GNR_BO_NGAS_E-101"/>
    <n v="6.2640264026402601E-4"/>
    <n v="2.2550495049505001E-3"/>
  </r>
  <r>
    <x v="0"/>
    <x v="0"/>
    <x v="0"/>
    <x v="0"/>
    <x v="1"/>
    <x v="20"/>
    <x v="4"/>
    <x v="2"/>
    <x v="3"/>
    <s v="GNR_BO_STRW_E-100"/>
    <n v="0.31590642882976"/>
    <n v="1.1372631437871401"/>
  </r>
  <r>
    <x v="0"/>
    <x v="0"/>
    <x v="0"/>
    <x v="0"/>
    <x v="1"/>
    <x v="20"/>
    <x v="4"/>
    <x v="2"/>
    <x v="3"/>
    <s v="GNR_BO_STRW_E-102"/>
    <n v="0.339440671158314"/>
    <n v="1.2219864161699301"/>
  </r>
  <r>
    <x v="0"/>
    <x v="0"/>
    <x v="0"/>
    <x v="0"/>
    <x v="1"/>
    <x v="20"/>
    <x v="5"/>
    <x v="3"/>
    <x v="4"/>
    <s v="GNR_SH_SUN"/>
    <n v="5.6907850000000003E-2"/>
    <n v="0.20486826"/>
  </r>
  <r>
    <x v="0"/>
    <x v="0"/>
    <x v="0"/>
    <x v="0"/>
    <x v="1"/>
    <x v="20"/>
    <x v="6"/>
    <x v="2"/>
    <x v="3"/>
    <s v="GNR_EH_HEAT"/>
    <n v="0.35039999999999999"/>
    <n v="1.2614399999999999"/>
  </r>
  <r>
    <x v="0"/>
    <x v="0"/>
    <x v="0"/>
    <x v="0"/>
    <x v="1"/>
    <x v="20"/>
    <x v="7"/>
    <x v="2"/>
    <x v="3"/>
    <s v="GNR_BO_WOODCHI_E-100"/>
    <n v="5.8623732792036497E-2"/>
    <n v="0.211045438051331"/>
  </r>
  <r>
    <x v="0"/>
    <x v="0"/>
    <x v="0"/>
    <x v="0"/>
    <x v="1"/>
    <x v="20"/>
    <x v="7"/>
    <x v="2"/>
    <x v="3"/>
    <s v="GNR_BO_WOODCHI_E-110"/>
    <n v="0.15666599188768299"/>
    <n v="0.56399757079565904"/>
  </r>
  <r>
    <x v="0"/>
    <x v="0"/>
    <x v="0"/>
    <x v="0"/>
    <x v="1"/>
    <x v="21"/>
    <x v="1"/>
    <x v="1"/>
    <x v="1"/>
    <s v="GNR_HS_HEAT_WTR-TANK_LS_E-95_Y-2010"/>
    <n v="1.6581125201525E-2"/>
    <n v="5.9692050725489901E-2"/>
  </r>
  <r>
    <x v="0"/>
    <x v="0"/>
    <x v="0"/>
    <x v="0"/>
    <x v="1"/>
    <x v="21"/>
    <x v="1"/>
    <x v="1"/>
    <x v="2"/>
    <s v="GNR_HS_HEAT_PIT_L-DEC_E-91_Y-2030"/>
    <n v="2.6178482238051401E-2"/>
    <n v="9.4242536056985196E-2"/>
  </r>
  <r>
    <x v="0"/>
    <x v="0"/>
    <x v="0"/>
    <x v="0"/>
    <x v="1"/>
    <x v="21"/>
    <x v="3"/>
    <x v="0"/>
    <x v="0"/>
    <s v="GNR_CC_NGAS_BP_E-53_SS-10-MW_Y-2030"/>
    <n v="0.22673729962067701"/>
    <n v="0.816254278634438"/>
  </r>
  <r>
    <x v="0"/>
    <x v="0"/>
    <x v="0"/>
    <x v="0"/>
    <x v="1"/>
    <x v="21"/>
    <x v="3"/>
    <x v="2"/>
    <x v="3"/>
    <s v="GNR_BO_NGAS_E-104"/>
    <n v="1.1291657283970401E-3"/>
    <n v="4.0649966222293301E-3"/>
  </r>
  <r>
    <x v="0"/>
    <x v="0"/>
    <x v="0"/>
    <x v="0"/>
    <x v="1"/>
    <x v="21"/>
    <x v="4"/>
    <x v="2"/>
    <x v="3"/>
    <s v="GNR_BO_STRW_E-100"/>
    <n v="4.5191523876140102E-2"/>
    <n v="0.16268948595410501"/>
  </r>
  <r>
    <x v="0"/>
    <x v="0"/>
    <x v="0"/>
    <x v="0"/>
    <x v="1"/>
    <x v="21"/>
    <x v="6"/>
    <x v="2"/>
    <x v="3"/>
    <s v="GNR_EH_HEAT"/>
    <n v="2.6280000000000001E-2"/>
    <n v="9.4607999999999998E-2"/>
  </r>
</pivotCacheRecords>
</file>

<file path=xl/pivotCache/pivotCacheRecords9.xml><?xml version="1.0" encoding="utf-8"?>
<pivotCacheRecords xmlns="http://schemas.openxmlformats.org/spreadsheetml/2006/main" xmlns:r="http://schemas.openxmlformats.org/officeDocument/2006/relationships" count="193">
  <r>
    <x v="0"/>
    <x v="0"/>
    <x v="0"/>
    <x v="0"/>
    <x v="0"/>
    <x v="0"/>
    <x v="0"/>
    <x v="0"/>
    <x v="0"/>
    <s v="GNR_ENG_BGAS_BP_E-36"/>
    <m/>
    <m/>
    <n v="0.14782500000000001"/>
    <n v="1.47825E-4"/>
    <n v="2.3651999999999999E-2"/>
    <n v="2.3652E-5"/>
  </r>
  <r>
    <x v="0"/>
    <x v="0"/>
    <x v="0"/>
    <x v="0"/>
    <x v="0"/>
    <x v="0"/>
    <x v="0"/>
    <x v="0"/>
    <x v="0"/>
    <s v="GNR_ENG_BGAS_BP_E-37"/>
    <m/>
    <m/>
    <n v="8.8783783783783807E-2"/>
    <n v="8.87837837837838E-5"/>
    <n v="1.4205405405405399E-2"/>
    <n v="1.42054054054054E-5"/>
  </r>
  <r>
    <x v="0"/>
    <x v="0"/>
    <x v="0"/>
    <x v="0"/>
    <x v="0"/>
    <x v="0"/>
    <x v="0"/>
    <x v="0"/>
    <x v="0"/>
    <s v="GNR_ENG_BGAS_BP_E-39"/>
    <m/>
    <m/>
    <n v="0.56855769230769204"/>
    <n v="5.6855769230769199E-4"/>
    <n v="9.0969230769230802E-2"/>
    <n v="9.0969230769230794E-5"/>
  </r>
  <r>
    <x v="0"/>
    <x v="0"/>
    <x v="0"/>
    <x v="0"/>
    <x v="0"/>
    <x v="0"/>
    <x v="0"/>
    <x v="0"/>
    <x v="0"/>
    <s v="GNR_ENG_BGAS_BP_E-40"/>
    <m/>
    <m/>
    <n v="0.20416275"/>
    <n v="2.0416275000000001E-4"/>
    <n v="3.266604E-2"/>
    <n v="3.2666039999999998E-5"/>
  </r>
  <r>
    <x v="0"/>
    <x v="0"/>
    <x v="0"/>
    <x v="0"/>
    <x v="0"/>
    <x v="0"/>
    <x v="0"/>
    <x v="0"/>
    <x v="0"/>
    <s v="GNR_ENG_BGAS_BP_E-41"/>
    <m/>
    <m/>
    <n v="0.42897292682926802"/>
    <n v="4.2897292682926802E-4"/>
    <n v="6.8635668292682903E-2"/>
    <n v="6.8635668292682894E-5"/>
  </r>
  <r>
    <x v="0"/>
    <x v="0"/>
    <x v="0"/>
    <x v="0"/>
    <x v="0"/>
    <x v="0"/>
    <x v="0"/>
    <x v="0"/>
    <x v="0"/>
    <s v="GNR_ENG_BGAS_BP_E-42"/>
    <m/>
    <m/>
    <n v="0.38716071428571502"/>
    <n v="3.8716071428571499E-4"/>
    <n v="6.1945714285714298E-2"/>
    <n v="6.1945714285714293E-5"/>
  </r>
  <r>
    <x v="0"/>
    <x v="0"/>
    <x v="0"/>
    <x v="0"/>
    <x v="0"/>
    <x v="0"/>
    <x v="0"/>
    <x v="0"/>
    <x v="0"/>
    <s v="GNR_ENG_BGAS_BP_E-43"/>
    <m/>
    <m/>
    <n v="1.0862909302325601"/>
    <n v="1.08629093023256E-3"/>
    <n v="0.173806548837209"/>
    <n v="1.7380654883720901E-4"/>
  </r>
  <r>
    <x v="0"/>
    <x v="0"/>
    <x v="0"/>
    <x v="0"/>
    <x v="0"/>
    <x v="0"/>
    <x v="1"/>
    <x v="1"/>
    <x v="1"/>
    <s v="GNR_HS_HEAT_WTR-TANK_LS_E-95_Y-2010"/>
    <m/>
    <m/>
    <m/>
    <m/>
    <m/>
    <m/>
  </r>
  <r>
    <x v="0"/>
    <x v="0"/>
    <x v="0"/>
    <x v="0"/>
    <x v="0"/>
    <x v="0"/>
    <x v="1"/>
    <x v="1"/>
    <x v="2"/>
    <s v="GNR_HS_HEAT_PIT_L-CEN_E-90_Y-2030"/>
    <m/>
    <m/>
    <m/>
    <m/>
    <m/>
    <m/>
  </r>
  <r>
    <x v="0"/>
    <x v="0"/>
    <x v="0"/>
    <x v="0"/>
    <x v="0"/>
    <x v="0"/>
    <x v="2"/>
    <x v="0"/>
    <x v="0"/>
    <s v="GNR_ST_MSW_BP_E-24_LS-220-MW-FEED_Y-2030"/>
    <m/>
    <m/>
    <n v="8.8125464913931104"/>
    <n v="8.8125464913931095E-3"/>
    <n v="112.981365274271"/>
    <n v="0.112981365274271"/>
  </r>
  <r>
    <x v="0"/>
    <x v="0"/>
    <x v="0"/>
    <x v="0"/>
    <x v="0"/>
    <x v="0"/>
    <x v="2"/>
    <x v="0"/>
    <x v="0"/>
    <s v="GNR_ST_MSW_BP_E-27"/>
    <m/>
    <m/>
    <n v="0.60398577777782503"/>
    <n v="6.0398577777782503E-4"/>
    <n v="8.3628800000000201"/>
    <n v="8.3628800000000204E-3"/>
  </r>
  <r>
    <x v="0"/>
    <x v="0"/>
    <x v="0"/>
    <x v="0"/>
    <x v="0"/>
    <x v="0"/>
    <x v="2"/>
    <x v="2"/>
    <x v="3"/>
    <s v="GNR_BO_MSW_E-105"/>
    <m/>
    <m/>
    <n v="0.24294400000001901"/>
    <n v="2.4294400000001901E-4"/>
    <n v="3.3638400000000002"/>
    <n v="3.3638399999999999E-3"/>
  </r>
  <r>
    <x v="0"/>
    <x v="0"/>
    <x v="0"/>
    <x v="0"/>
    <x v="0"/>
    <x v="0"/>
    <x v="3"/>
    <x v="0"/>
    <x v="0"/>
    <s v="GNR_ENG_NGAS_BP_E-39"/>
    <n v="3.2636390769230799"/>
    <n v="3.2636390769230799E-3"/>
    <m/>
    <m/>
    <n v="5.8175384615384601E-2"/>
    <n v="5.8175384615384603E-5"/>
  </r>
  <r>
    <x v="0"/>
    <x v="0"/>
    <x v="0"/>
    <x v="0"/>
    <x v="0"/>
    <x v="0"/>
    <x v="3"/>
    <x v="0"/>
    <x v="0"/>
    <s v="GNR_ENG_NGAS_BP_E-42"/>
    <n v="2.3799543428571401"/>
    <n v="2.3799543428571399E-3"/>
    <m/>
    <m/>
    <n v="4.2423428571428598E-2"/>
    <n v="4.24234285714286E-5"/>
  </r>
  <r>
    <x v="0"/>
    <x v="0"/>
    <x v="0"/>
    <x v="0"/>
    <x v="0"/>
    <x v="0"/>
    <x v="3"/>
    <x v="0"/>
    <x v="0"/>
    <s v="GNR_ENG_NGAS_BP_E-43"/>
    <n v="3.4743382325581398"/>
    <n v="3.4743382325581398E-3"/>
    <m/>
    <m/>
    <n v="6.19311627906977E-2"/>
    <n v="6.1931162790697698E-5"/>
  </r>
  <r>
    <x v="0"/>
    <x v="0"/>
    <x v="0"/>
    <x v="0"/>
    <x v="0"/>
    <x v="0"/>
    <x v="3"/>
    <x v="0"/>
    <x v="0"/>
    <s v="GNR_ENG_NGAS_BP_E-46"/>
    <n v="0.93586507826086995"/>
    <n v="9.3586507826087003E-4"/>
    <m/>
    <m/>
    <n v="1.6682086956521701E-2"/>
    <n v="1.6682086956521699E-5"/>
  </r>
  <r>
    <x v="0"/>
    <x v="0"/>
    <x v="0"/>
    <x v="0"/>
    <x v="0"/>
    <x v="0"/>
    <x v="3"/>
    <x v="0"/>
    <x v="0"/>
    <s v="GNR_GT_NGAS_BP_E-43_LS-40-MW_Y-2030"/>
    <n v="98.387849638781802"/>
    <n v="9.8387849638781805E-2"/>
    <m/>
    <m/>
    <n v="1.75379411120823"/>
    <n v="1.7537941112082301E-3"/>
  </r>
  <r>
    <x v="0"/>
    <x v="0"/>
    <x v="0"/>
    <x v="0"/>
    <x v="0"/>
    <x v="0"/>
    <x v="4"/>
    <x v="0"/>
    <x v="0"/>
    <s v="GNR_ST_STRW_BP_E-26"/>
    <m/>
    <m/>
    <n v="1.93238608729589"/>
    <n v="1.93238608729589E-3"/>
    <n v="6.8707060881631596"/>
    <n v="6.8707060881631598E-3"/>
  </r>
  <r>
    <x v="0"/>
    <x v="0"/>
    <x v="0"/>
    <x v="0"/>
    <x v="0"/>
    <x v="0"/>
    <x v="4"/>
    <x v="2"/>
    <x v="3"/>
    <s v="GNR_BO_STRW_E-100"/>
    <m/>
    <m/>
    <n v="5.0753250000000003E-3"/>
    <n v="5.0753250000000004E-6"/>
    <n v="1.8045599999999998E-2"/>
    <n v="1.8045599999999999E-5"/>
  </r>
  <r>
    <x v="0"/>
    <x v="0"/>
    <x v="0"/>
    <x v="0"/>
    <x v="0"/>
    <x v="0"/>
    <x v="4"/>
    <x v="2"/>
    <x v="3"/>
    <s v="GNR_BO_STRW_E-102"/>
    <m/>
    <m/>
    <n v="6.0869117647058902E-3"/>
    <n v="6.0869117647058902E-6"/>
    <n v="2.1642352941176501E-2"/>
    <n v="2.1642352941176499E-5"/>
  </r>
  <r>
    <x v="0"/>
    <x v="0"/>
    <x v="0"/>
    <x v="0"/>
    <x v="0"/>
    <x v="0"/>
    <x v="5"/>
    <x v="3"/>
    <x v="4"/>
    <s v="GNR_SH_SUN"/>
    <m/>
    <m/>
    <m/>
    <m/>
    <m/>
    <m/>
  </r>
  <r>
    <x v="0"/>
    <x v="0"/>
    <x v="0"/>
    <x v="0"/>
    <x v="0"/>
    <x v="0"/>
    <x v="6"/>
    <x v="2"/>
    <x v="3"/>
    <s v="GNR_EH_HEAT"/>
    <m/>
    <m/>
    <m/>
    <m/>
    <m/>
    <m/>
  </r>
  <r>
    <x v="0"/>
    <x v="0"/>
    <x v="0"/>
    <x v="0"/>
    <x v="0"/>
    <x v="0"/>
    <x v="7"/>
    <x v="0"/>
    <x v="0"/>
    <s v="GNR_ST_WOODCHI_BP_E-23"/>
    <m/>
    <m/>
    <m/>
    <m/>
    <m/>
    <m/>
  </r>
  <r>
    <x v="0"/>
    <x v="0"/>
    <x v="0"/>
    <x v="0"/>
    <x v="0"/>
    <x v="0"/>
    <x v="7"/>
    <x v="2"/>
    <x v="3"/>
    <s v="GNR_BO_WOODCHI_E-100"/>
    <m/>
    <m/>
    <m/>
    <m/>
    <m/>
    <m/>
  </r>
  <r>
    <x v="0"/>
    <x v="0"/>
    <x v="0"/>
    <x v="0"/>
    <x v="0"/>
    <x v="1"/>
    <x v="8"/>
    <x v="4"/>
    <x v="5"/>
    <s v="GNR_BO_ELEC_E-99_LS-10-MW-FEED_PHH_Y-2030"/>
    <m/>
    <m/>
    <m/>
    <m/>
    <m/>
    <m/>
  </r>
  <r>
    <x v="0"/>
    <x v="0"/>
    <x v="0"/>
    <x v="0"/>
    <x v="0"/>
    <x v="1"/>
    <x v="3"/>
    <x v="2"/>
    <x v="3"/>
    <s v="GNR_BO_NGAS_E-70_PHH"/>
    <n v="188.44020364286999"/>
    <n v="0.18844020364287001"/>
    <m/>
    <m/>
    <n v="3.35900541252887"/>
    <n v="3.35900541252887E-3"/>
  </r>
  <r>
    <x v="0"/>
    <x v="0"/>
    <x v="0"/>
    <x v="0"/>
    <x v="0"/>
    <x v="2"/>
    <x v="3"/>
    <x v="2"/>
    <x v="3"/>
    <s v="GNR_BO_NGAS_E-82_PHL"/>
    <n v="420.67218189976001"/>
    <n v="0.42067218189976002"/>
    <m/>
    <m/>
    <n v="7.4986128680884097"/>
    <n v="7.4986128680884102E-3"/>
  </r>
  <r>
    <x v="0"/>
    <x v="0"/>
    <x v="0"/>
    <x v="0"/>
    <x v="0"/>
    <x v="3"/>
    <x v="8"/>
    <x v="4"/>
    <x v="5"/>
    <s v="GNR_HP_ELEC_GROUND-WTR_COP-380_LS-4-MW_Y-2030"/>
    <m/>
    <m/>
    <m/>
    <m/>
    <m/>
    <m/>
  </r>
  <r>
    <x v="0"/>
    <x v="0"/>
    <x v="0"/>
    <x v="0"/>
    <x v="0"/>
    <x v="3"/>
    <x v="1"/>
    <x v="1"/>
    <x v="1"/>
    <s v="GNR_HS_HEAT_WTR-TANK_LS_E-95_Y-2010"/>
    <m/>
    <m/>
    <m/>
    <m/>
    <m/>
    <m/>
  </r>
  <r>
    <x v="0"/>
    <x v="0"/>
    <x v="0"/>
    <x v="0"/>
    <x v="0"/>
    <x v="3"/>
    <x v="1"/>
    <x v="1"/>
    <x v="2"/>
    <s v="GNR_HS_HEAT_PIT_L-DEC_E-91_Y-2030"/>
    <m/>
    <m/>
    <m/>
    <m/>
    <m/>
    <m/>
  </r>
  <r>
    <x v="0"/>
    <x v="0"/>
    <x v="0"/>
    <x v="0"/>
    <x v="0"/>
    <x v="3"/>
    <x v="3"/>
    <x v="0"/>
    <x v="0"/>
    <s v="GNR_ENG_NGAS_BP_E-41"/>
    <n v="4.7057993560975699"/>
    <n v="4.7057993560975699E-3"/>
    <m/>
    <m/>
    <n v="8.3882341463414695E-2"/>
    <n v="8.3882341463414694E-5"/>
  </r>
  <r>
    <x v="0"/>
    <x v="0"/>
    <x v="0"/>
    <x v="0"/>
    <x v="0"/>
    <x v="3"/>
    <x v="3"/>
    <x v="2"/>
    <x v="3"/>
    <s v="GNR_BO_NGAS_E-100"/>
    <n v="2.1254340239169198"/>
    <n v="2.1254340239169199E-3"/>
    <m/>
    <m/>
    <n v="3.7886524490497599E-2"/>
    <n v="3.7886524490497599E-5"/>
  </r>
  <r>
    <x v="0"/>
    <x v="0"/>
    <x v="0"/>
    <x v="0"/>
    <x v="0"/>
    <x v="3"/>
    <x v="3"/>
    <x v="2"/>
    <x v="3"/>
    <s v="GNR_BO_NGAS_E-101"/>
    <n v="4.8170459405940598"/>
    <n v="4.8170459405940599E-3"/>
    <m/>
    <m/>
    <n v="8.5865346534653497E-2"/>
    <n v="8.5865346534653503E-5"/>
  </r>
  <r>
    <x v="0"/>
    <x v="0"/>
    <x v="0"/>
    <x v="0"/>
    <x v="0"/>
    <x v="3"/>
    <x v="3"/>
    <x v="2"/>
    <x v="3"/>
    <s v="GNR_BO_NGAS_E-102"/>
    <n v="0.73715399999999998"/>
    <n v="7.3715399999999996E-4"/>
    <m/>
    <m/>
    <n v="1.3140000000000001E-2"/>
    <n v="1.314E-5"/>
  </r>
  <r>
    <x v="0"/>
    <x v="0"/>
    <x v="0"/>
    <x v="0"/>
    <x v="0"/>
    <x v="3"/>
    <x v="4"/>
    <x v="2"/>
    <x v="3"/>
    <s v="GNR_BO_STRW_E-102"/>
    <m/>
    <m/>
    <n v="0.37321464705882401"/>
    <n v="3.7321464705882402E-4"/>
    <n v="1.32698541176471"/>
    <n v="1.3269854117647099E-3"/>
  </r>
  <r>
    <x v="0"/>
    <x v="0"/>
    <x v="0"/>
    <x v="0"/>
    <x v="0"/>
    <x v="3"/>
    <x v="5"/>
    <x v="3"/>
    <x v="4"/>
    <s v="GNR_SH_SUN"/>
    <m/>
    <m/>
    <m/>
    <m/>
    <m/>
    <m/>
  </r>
  <r>
    <x v="0"/>
    <x v="0"/>
    <x v="0"/>
    <x v="0"/>
    <x v="0"/>
    <x v="3"/>
    <x v="6"/>
    <x v="2"/>
    <x v="3"/>
    <s v="GNR_EH_HEAT"/>
    <m/>
    <m/>
    <m/>
    <m/>
    <m/>
    <m/>
  </r>
  <r>
    <x v="0"/>
    <x v="0"/>
    <x v="0"/>
    <x v="0"/>
    <x v="0"/>
    <x v="3"/>
    <x v="7"/>
    <x v="2"/>
    <x v="3"/>
    <s v="GNR_BO_WOODCHI_E-110"/>
    <m/>
    <m/>
    <m/>
    <m/>
    <m/>
    <m/>
  </r>
  <r>
    <x v="0"/>
    <x v="0"/>
    <x v="0"/>
    <x v="0"/>
    <x v="0"/>
    <x v="4"/>
    <x v="0"/>
    <x v="0"/>
    <x v="0"/>
    <s v="GNR_ENG_BGAS_BP_E-39"/>
    <m/>
    <m/>
    <n v="0.106130769230769"/>
    <n v="1.06130769230769E-4"/>
    <n v="1.6980923076923098E-2"/>
    <n v="1.6980923076923099E-5"/>
  </r>
  <r>
    <x v="0"/>
    <x v="0"/>
    <x v="0"/>
    <x v="0"/>
    <x v="0"/>
    <x v="4"/>
    <x v="0"/>
    <x v="0"/>
    <x v="0"/>
    <s v="GNR_ENG_BGAS_BP_E-41"/>
    <m/>
    <m/>
    <n v="0.53152902439024396"/>
    <n v="5.3152902439024404E-4"/>
    <n v="8.5044643902439002E-2"/>
    <n v="8.5044643902438998E-5"/>
  </r>
  <r>
    <x v="0"/>
    <x v="0"/>
    <x v="0"/>
    <x v="0"/>
    <x v="0"/>
    <x v="4"/>
    <x v="0"/>
    <x v="0"/>
    <x v="0"/>
    <s v="GNR_ENG_BGAS_BP_E-42"/>
    <m/>
    <m/>
    <n v="5.1621428571428603E-2"/>
    <n v="5.1621428571428603E-5"/>
    <n v="8.2594285714285808E-3"/>
    <n v="8.2594285714285797E-6"/>
  </r>
  <r>
    <x v="0"/>
    <x v="0"/>
    <x v="0"/>
    <x v="0"/>
    <x v="0"/>
    <x v="4"/>
    <x v="1"/>
    <x v="1"/>
    <x v="1"/>
    <s v="GNR_HS_HEAT_WTR-TANK_LS_E-95_Y-2010"/>
    <m/>
    <m/>
    <m/>
    <m/>
    <m/>
    <m/>
  </r>
  <r>
    <x v="0"/>
    <x v="0"/>
    <x v="0"/>
    <x v="0"/>
    <x v="0"/>
    <x v="4"/>
    <x v="1"/>
    <x v="1"/>
    <x v="2"/>
    <s v="GNR_HS_HEAT_PIT_L-DEC_E-91_Y-2030"/>
    <m/>
    <m/>
    <m/>
    <m/>
    <m/>
    <m/>
  </r>
  <r>
    <x v="0"/>
    <x v="0"/>
    <x v="0"/>
    <x v="0"/>
    <x v="0"/>
    <x v="4"/>
    <x v="3"/>
    <x v="0"/>
    <x v="0"/>
    <s v="GNR_ENG_NGAS_BP_E-41"/>
    <n v="3.6078594146341501"/>
    <n v="3.6078594146341501E-3"/>
    <m/>
    <m/>
    <n v="6.4311219512195206E-2"/>
    <n v="6.4311219512195206E-5"/>
  </r>
  <r>
    <x v="0"/>
    <x v="0"/>
    <x v="0"/>
    <x v="0"/>
    <x v="0"/>
    <x v="4"/>
    <x v="3"/>
    <x v="0"/>
    <x v="0"/>
    <s v="GNR_ENG_NGAS_BP_E-42"/>
    <n v="6.52907828571428"/>
    <n v="6.5290782857142802E-3"/>
    <m/>
    <m/>
    <n v="0.116382857142857"/>
    <n v="1.16382857142857E-4"/>
  </r>
  <r>
    <x v="0"/>
    <x v="0"/>
    <x v="0"/>
    <x v="0"/>
    <x v="0"/>
    <x v="4"/>
    <x v="3"/>
    <x v="0"/>
    <x v="0"/>
    <s v="GNR_ENG_NGAS_BP_E-43"/>
    <n v="1.6228816744186001"/>
    <n v="1.6228816744186E-3"/>
    <m/>
    <m/>
    <n v="2.8928372093023201E-2"/>
    <n v="2.8928372093023299E-5"/>
  </r>
  <r>
    <x v="0"/>
    <x v="0"/>
    <x v="0"/>
    <x v="0"/>
    <x v="0"/>
    <x v="4"/>
    <x v="3"/>
    <x v="0"/>
    <x v="0"/>
    <s v="GNR_ENG_NGAS_BP_E-44"/>
    <n v="5.7498012000000003"/>
    <n v="5.7498011999999998E-3"/>
    <m/>
    <m/>
    <n v="0.102492"/>
    <n v="1.0249199999999999E-4"/>
  </r>
  <r>
    <x v="0"/>
    <x v="0"/>
    <x v="0"/>
    <x v="0"/>
    <x v="0"/>
    <x v="4"/>
    <x v="3"/>
    <x v="0"/>
    <x v="0"/>
    <s v="GNR_ENG_NGAS_BP_E-48_Y-2030"/>
    <n v="1339.44532703458"/>
    <n v="1.3394453270345801"/>
    <m/>
    <m/>
    <n v="23.876030784930101"/>
    <n v="2.38760307849301E-2"/>
  </r>
  <r>
    <x v="0"/>
    <x v="0"/>
    <x v="0"/>
    <x v="0"/>
    <x v="0"/>
    <x v="4"/>
    <x v="4"/>
    <x v="2"/>
    <x v="3"/>
    <s v="GNR_BO_STRW_E-102"/>
    <m/>
    <m/>
    <n v="2.3381470588235299E-3"/>
    <n v="2.3381470588235298E-6"/>
    <n v="8.3134117647058799E-3"/>
    <n v="8.3134117647058806E-6"/>
  </r>
  <r>
    <x v="0"/>
    <x v="0"/>
    <x v="0"/>
    <x v="0"/>
    <x v="0"/>
    <x v="4"/>
    <x v="5"/>
    <x v="3"/>
    <x v="4"/>
    <s v="GNR_SH_SUN"/>
    <m/>
    <m/>
    <m/>
    <m/>
    <m/>
    <m/>
  </r>
  <r>
    <x v="0"/>
    <x v="0"/>
    <x v="0"/>
    <x v="0"/>
    <x v="0"/>
    <x v="4"/>
    <x v="6"/>
    <x v="2"/>
    <x v="3"/>
    <s v="GNR_EH_HEAT"/>
    <m/>
    <m/>
    <m/>
    <m/>
    <m/>
    <m/>
  </r>
  <r>
    <x v="0"/>
    <x v="0"/>
    <x v="0"/>
    <x v="0"/>
    <x v="0"/>
    <x v="4"/>
    <x v="6"/>
    <x v="2"/>
    <x v="3"/>
    <s v="GNR_GEO_HEAT_HO"/>
    <m/>
    <m/>
    <m/>
    <m/>
    <m/>
    <m/>
  </r>
  <r>
    <x v="0"/>
    <x v="0"/>
    <x v="0"/>
    <x v="0"/>
    <x v="0"/>
    <x v="5"/>
    <x v="8"/>
    <x v="1"/>
    <x v="6"/>
    <s v="GNR_ES_ELEC_BAT-LITHIO_E-97_Y-30-50"/>
    <m/>
    <m/>
    <m/>
    <m/>
    <m/>
    <m/>
  </r>
  <r>
    <x v="0"/>
    <x v="0"/>
    <x v="0"/>
    <x v="0"/>
    <x v="0"/>
    <x v="5"/>
    <x v="3"/>
    <x v="5"/>
    <x v="7"/>
    <s v="GNR_ENG_NGAS_CND_E-41"/>
    <n v="14.671162536585401"/>
    <n v="1.4671162536585401E-2"/>
    <m/>
    <m/>
    <n v="0.26151804878048801"/>
    <n v="2.6151804878048798E-4"/>
  </r>
  <r>
    <x v="0"/>
    <x v="0"/>
    <x v="0"/>
    <x v="0"/>
    <x v="0"/>
    <x v="5"/>
    <x v="3"/>
    <x v="5"/>
    <x v="7"/>
    <s v="GNR_ENG_NGAS_CND_E-46"/>
    <n v="0.47861593043478301"/>
    <n v="4.7861593043478298E-4"/>
    <m/>
    <m/>
    <n v="8.5314782608695693E-3"/>
    <n v="8.5314782608695707E-6"/>
  </r>
  <r>
    <x v="0"/>
    <x v="0"/>
    <x v="0"/>
    <x v="0"/>
    <x v="0"/>
    <x v="5"/>
    <x v="5"/>
    <x v="3"/>
    <x v="8"/>
    <s v="GNR_PV_SUN"/>
    <m/>
    <m/>
    <m/>
    <m/>
    <m/>
    <m/>
  </r>
  <r>
    <x v="0"/>
    <x v="0"/>
    <x v="0"/>
    <x v="0"/>
    <x v="0"/>
    <x v="5"/>
    <x v="5"/>
    <x v="3"/>
    <x v="8"/>
    <s v="GNR_PV_SUN_LS-4-MW_Y-2030"/>
    <m/>
    <m/>
    <m/>
    <m/>
    <m/>
    <m/>
  </r>
  <r>
    <x v="0"/>
    <x v="0"/>
    <x v="0"/>
    <x v="0"/>
    <x v="0"/>
    <x v="5"/>
    <x v="9"/>
    <x v="6"/>
    <x v="9"/>
    <s v="GNR_ROR_WTR"/>
    <m/>
    <m/>
    <m/>
    <m/>
    <m/>
    <m/>
  </r>
  <r>
    <x v="0"/>
    <x v="0"/>
    <x v="0"/>
    <x v="0"/>
    <x v="0"/>
    <x v="5"/>
    <x v="10"/>
    <x v="3"/>
    <x v="10"/>
    <s v="GNR_WT_WIND_ONS"/>
    <m/>
    <m/>
    <m/>
    <m/>
    <m/>
    <m/>
  </r>
  <r>
    <x v="0"/>
    <x v="0"/>
    <x v="0"/>
    <x v="0"/>
    <x v="0"/>
    <x v="5"/>
    <x v="10"/>
    <x v="3"/>
    <x v="10"/>
    <s v="GNR_WT_WIND_ON_LS_Y-2030"/>
    <m/>
    <m/>
    <m/>
    <m/>
    <m/>
    <m/>
  </r>
  <r>
    <x v="0"/>
    <x v="0"/>
    <x v="0"/>
    <x v="0"/>
    <x v="0"/>
    <x v="5"/>
    <x v="7"/>
    <x v="0"/>
    <x v="11"/>
    <s v="GNR_ST_WOODCHI_EXT_E-30"/>
    <m/>
    <m/>
    <m/>
    <m/>
    <m/>
    <m/>
  </r>
  <r>
    <x v="0"/>
    <x v="0"/>
    <x v="0"/>
    <x v="0"/>
    <x v="0"/>
    <x v="6"/>
    <x v="8"/>
    <x v="4"/>
    <x v="5"/>
    <s v="GNR_BO_ELEC_E-99_LS-10-MW-FEED_PHH_Y-2030"/>
    <m/>
    <m/>
    <m/>
    <m/>
    <m/>
    <m/>
  </r>
  <r>
    <x v="0"/>
    <x v="0"/>
    <x v="0"/>
    <x v="0"/>
    <x v="0"/>
    <x v="6"/>
    <x v="3"/>
    <x v="2"/>
    <x v="3"/>
    <s v="GNR_BO_NGAS_E-70_PHH"/>
    <n v="4.1427030975000001"/>
    <n v="4.1427030974999996E-3"/>
    <m/>
    <m/>
    <n v="7.3844974999999993E-2"/>
    <n v="7.3844975E-5"/>
  </r>
  <r>
    <x v="0"/>
    <x v="0"/>
    <x v="0"/>
    <x v="0"/>
    <x v="0"/>
    <x v="7"/>
    <x v="3"/>
    <x v="2"/>
    <x v="3"/>
    <s v="GNR_BO_NGAS_E-82_PHL"/>
    <n v="2188.6253645483398"/>
    <n v="2.18862536454834"/>
    <m/>
    <m/>
    <n v="39.012929849346399"/>
    <n v="3.9012929849346401E-2"/>
  </r>
  <r>
    <x v="0"/>
    <x v="0"/>
    <x v="0"/>
    <x v="0"/>
    <x v="0"/>
    <x v="8"/>
    <x v="10"/>
    <x v="3"/>
    <x v="10"/>
    <s v="GNR_WT_WIND_OFF"/>
    <m/>
    <m/>
    <m/>
    <m/>
    <m/>
    <m/>
  </r>
  <r>
    <x v="0"/>
    <x v="0"/>
    <x v="0"/>
    <x v="0"/>
    <x v="0"/>
    <x v="9"/>
    <x v="0"/>
    <x v="0"/>
    <x v="0"/>
    <s v="GNR_ENG_BGAS_BP_E-30"/>
    <m/>
    <m/>
    <n v="1.3140000000000001"/>
    <n v="1.3140000000000001E-3"/>
    <n v="0.21024000000000001"/>
    <n v="2.1023999999999999E-4"/>
  </r>
  <r>
    <x v="0"/>
    <x v="0"/>
    <x v="0"/>
    <x v="0"/>
    <x v="0"/>
    <x v="9"/>
    <x v="0"/>
    <x v="0"/>
    <x v="0"/>
    <s v="GNR_ENG_BGAS_BP_E-37"/>
    <m/>
    <m/>
    <n v="0.31163108108108101"/>
    <n v="3.1163108108108102E-4"/>
    <n v="4.9860972972972997E-2"/>
    <n v="4.9860972972972997E-5"/>
  </r>
  <r>
    <x v="0"/>
    <x v="0"/>
    <x v="0"/>
    <x v="0"/>
    <x v="0"/>
    <x v="9"/>
    <x v="0"/>
    <x v="0"/>
    <x v="0"/>
    <s v="GNR_ENG_BGAS_BP_E-38"/>
    <m/>
    <m/>
    <n v="0.138315789473684"/>
    <n v="1.3831578947368401E-4"/>
    <n v="2.21305263157895E-2"/>
    <n v="2.2130526315789501E-5"/>
  </r>
  <r>
    <x v="0"/>
    <x v="0"/>
    <x v="0"/>
    <x v="0"/>
    <x v="0"/>
    <x v="9"/>
    <x v="0"/>
    <x v="0"/>
    <x v="0"/>
    <s v="GNR_ENG_BGAS_BP_E-39"/>
    <m/>
    <m/>
    <n v="0.24370769230769199"/>
    <n v="2.4370769230769201E-4"/>
    <n v="3.8993230769230801E-2"/>
    <n v="3.8993230769230803E-5"/>
  </r>
  <r>
    <x v="0"/>
    <x v="0"/>
    <x v="0"/>
    <x v="0"/>
    <x v="0"/>
    <x v="9"/>
    <x v="0"/>
    <x v="0"/>
    <x v="0"/>
    <s v="GNR_ENG_BGAS_BP_E-40"/>
    <m/>
    <m/>
    <n v="2.429805"/>
    <n v="2.4298050000000002E-3"/>
    <n v="0.38876880000000003"/>
    <n v="3.887688E-4"/>
  </r>
  <r>
    <x v="0"/>
    <x v="0"/>
    <x v="0"/>
    <x v="0"/>
    <x v="0"/>
    <x v="9"/>
    <x v="0"/>
    <x v="0"/>
    <x v="0"/>
    <s v="GNR_ENG_BGAS_BP_E-41"/>
    <m/>
    <m/>
    <n v="0.441204878048781"/>
    <n v="4.4120487804878098E-4"/>
    <n v="7.0592780487804901E-2"/>
    <n v="7.0592780487804897E-5"/>
  </r>
  <r>
    <x v="0"/>
    <x v="0"/>
    <x v="0"/>
    <x v="0"/>
    <x v="0"/>
    <x v="9"/>
    <x v="0"/>
    <x v="0"/>
    <x v="0"/>
    <s v="GNR_ENG_BGAS_BP_E-42"/>
    <m/>
    <m/>
    <n v="2.4382000000000001"/>
    <n v="2.4382000000000002E-3"/>
    <n v="0.39011200000000001"/>
    <n v="3.9011200000000002E-4"/>
  </r>
  <r>
    <x v="0"/>
    <x v="0"/>
    <x v="0"/>
    <x v="0"/>
    <x v="0"/>
    <x v="9"/>
    <x v="0"/>
    <x v="0"/>
    <x v="0"/>
    <s v="GNR_ENG_BGAS_BP_E-43"/>
    <m/>
    <m/>
    <n v="1.83246976744186"/>
    <n v="1.83246976744186E-3"/>
    <n v="0.29319516279069802"/>
    <n v="2.9319516279069802E-4"/>
  </r>
  <r>
    <x v="0"/>
    <x v="0"/>
    <x v="0"/>
    <x v="0"/>
    <x v="0"/>
    <x v="9"/>
    <x v="8"/>
    <x v="4"/>
    <x v="5"/>
    <s v="GNR_HP_ELEC_COP-300"/>
    <m/>
    <m/>
    <m/>
    <m/>
    <m/>
    <m/>
  </r>
  <r>
    <x v="0"/>
    <x v="0"/>
    <x v="0"/>
    <x v="0"/>
    <x v="0"/>
    <x v="9"/>
    <x v="8"/>
    <x v="4"/>
    <x v="5"/>
    <s v="GNR_HP_ELEC_COP-350"/>
    <m/>
    <m/>
    <m/>
    <m/>
    <m/>
    <m/>
  </r>
  <r>
    <x v="0"/>
    <x v="0"/>
    <x v="0"/>
    <x v="0"/>
    <x v="0"/>
    <x v="9"/>
    <x v="8"/>
    <x v="4"/>
    <x v="5"/>
    <s v="GNR_HP_ELEC_COP-400"/>
    <m/>
    <m/>
    <m/>
    <m/>
    <m/>
    <m/>
  </r>
  <r>
    <x v="0"/>
    <x v="0"/>
    <x v="0"/>
    <x v="0"/>
    <x v="0"/>
    <x v="9"/>
    <x v="8"/>
    <x v="4"/>
    <x v="5"/>
    <s v="GNR_HP_ELEC_COP-430"/>
    <m/>
    <m/>
    <m/>
    <m/>
    <m/>
    <m/>
  </r>
  <r>
    <x v="0"/>
    <x v="0"/>
    <x v="0"/>
    <x v="0"/>
    <x v="0"/>
    <x v="9"/>
    <x v="8"/>
    <x v="4"/>
    <x v="5"/>
    <s v="GNR_HP_ELEC_COP-450"/>
    <m/>
    <m/>
    <m/>
    <m/>
    <m/>
    <m/>
  </r>
  <r>
    <x v="0"/>
    <x v="0"/>
    <x v="0"/>
    <x v="0"/>
    <x v="0"/>
    <x v="9"/>
    <x v="8"/>
    <x v="4"/>
    <x v="5"/>
    <s v="GNR_HP_ELEC_COP-460"/>
    <m/>
    <m/>
    <m/>
    <m/>
    <m/>
    <m/>
  </r>
  <r>
    <x v="0"/>
    <x v="0"/>
    <x v="0"/>
    <x v="0"/>
    <x v="0"/>
    <x v="9"/>
    <x v="8"/>
    <x v="4"/>
    <x v="5"/>
    <s v="GNR_HP_ELEC_COP-470"/>
    <m/>
    <m/>
    <m/>
    <m/>
    <m/>
    <m/>
  </r>
  <r>
    <x v="0"/>
    <x v="0"/>
    <x v="0"/>
    <x v="0"/>
    <x v="0"/>
    <x v="9"/>
    <x v="8"/>
    <x v="4"/>
    <x v="5"/>
    <s v="GNR_HP_ELEC_COP-500"/>
    <m/>
    <m/>
    <m/>
    <m/>
    <m/>
    <m/>
  </r>
  <r>
    <x v="0"/>
    <x v="0"/>
    <x v="0"/>
    <x v="0"/>
    <x v="0"/>
    <x v="9"/>
    <x v="8"/>
    <x v="4"/>
    <x v="5"/>
    <s v="GNR_HP_ELEC_COP-530"/>
    <m/>
    <m/>
    <m/>
    <m/>
    <m/>
    <m/>
  </r>
  <r>
    <x v="0"/>
    <x v="0"/>
    <x v="0"/>
    <x v="0"/>
    <x v="0"/>
    <x v="9"/>
    <x v="8"/>
    <x v="4"/>
    <x v="5"/>
    <s v="GNR_HP_ELEC_COP-600"/>
    <m/>
    <m/>
    <m/>
    <m/>
    <m/>
    <m/>
  </r>
  <r>
    <x v="0"/>
    <x v="0"/>
    <x v="0"/>
    <x v="0"/>
    <x v="0"/>
    <x v="9"/>
    <x v="8"/>
    <x v="4"/>
    <x v="5"/>
    <s v="GNR_HP_ELEC_GROUND-WTR_COP-380_LS-4-MW_Y-2030"/>
    <m/>
    <m/>
    <m/>
    <m/>
    <m/>
    <m/>
  </r>
  <r>
    <x v="0"/>
    <x v="0"/>
    <x v="0"/>
    <x v="0"/>
    <x v="0"/>
    <x v="9"/>
    <x v="1"/>
    <x v="1"/>
    <x v="1"/>
    <s v="GNR_HS_HEAT_WTR-TANK_LS_E-95_Y-2010"/>
    <m/>
    <m/>
    <m/>
    <m/>
    <m/>
    <m/>
  </r>
  <r>
    <x v="0"/>
    <x v="0"/>
    <x v="0"/>
    <x v="0"/>
    <x v="0"/>
    <x v="9"/>
    <x v="1"/>
    <x v="1"/>
    <x v="2"/>
    <s v="GNR_HS_HEAT_PIT_L-DEC_E-91_Y-2030"/>
    <m/>
    <m/>
    <m/>
    <m/>
    <m/>
    <m/>
  </r>
  <r>
    <x v="0"/>
    <x v="0"/>
    <x v="0"/>
    <x v="0"/>
    <x v="0"/>
    <x v="9"/>
    <x v="3"/>
    <x v="0"/>
    <x v="0"/>
    <s v="GNR_ENG_NGAS_BP_E-37"/>
    <n v="7.6185862054054097"/>
    <n v="7.6185862054054098E-3"/>
    <m/>
    <m/>
    <n v="0.135803675675676"/>
    <n v="1.3580367567567599E-4"/>
  </r>
  <r>
    <x v="0"/>
    <x v="0"/>
    <x v="0"/>
    <x v="0"/>
    <x v="0"/>
    <x v="9"/>
    <x v="3"/>
    <x v="0"/>
    <x v="0"/>
    <s v="GNR_ENG_NGAS_BP_E-38"/>
    <n v="3.4917821052631601"/>
    <n v="3.4917821052631599E-3"/>
    <m/>
    <m/>
    <n v="6.2242105263157897E-2"/>
    <n v="6.2242105263157895E-5"/>
  </r>
  <r>
    <x v="0"/>
    <x v="0"/>
    <x v="0"/>
    <x v="0"/>
    <x v="0"/>
    <x v="9"/>
    <x v="3"/>
    <x v="0"/>
    <x v="0"/>
    <s v="GNR_ENG_NGAS_BP_E-39"/>
    <n v="2.7722030769230801"/>
    <n v="2.7722030769230799E-3"/>
    <m/>
    <m/>
    <n v="4.9415384615384597E-2"/>
    <n v="4.9415384615384599E-5"/>
  </r>
  <r>
    <x v="0"/>
    <x v="0"/>
    <x v="0"/>
    <x v="0"/>
    <x v="0"/>
    <x v="9"/>
    <x v="3"/>
    <x v="0"/>
    <x v="0"/>
    <s v="GNR_ENG_NGAS_BP_E-40"/>
    <n v="6.8113029599999999"/>
    <n v="6.8113029599999996E-3"/>
    <m/>
    <m/>
    <n v="0.1214136"/>
    <n v="1.214136E-4"/>
  </r>
  <r>
    <x v="0"/>
    <x v="0"/>
    <x v="0"/>
    <x v="0"/>
    <x v="0"/>
    <x v="9"/>
    <x v="3"/>
    <x v="0"/>
    <x v="0"/>
    <s v="GNR_ENG_NGAS_BP_E-41"/>
    <n v="22.7549828823905"/>
    <n v="2.2754982882390501E-2"/>
    <m/>
    <m/>
    <n v="0.405614668135304"/>
    <n v="4.0561466813530402E-4"/>
  </r>
  <r>
    <x v="0"/>
    <x v="0"/>
    <x v="0"/>
    <x v="0"/>
    <x v="0"/>
    <x v="9"/>
    <x v="3"/>
    <x v="0"/>
    <x v="0"/>
    <s v="GNR_ENG_NGAS_BP_E-42"/>
    <n v="63.469193417142797"/>
    <n v="6.34691934171428E-2"/>
    <m/>
    <m/>
    <n v="1.1313581714285701"/>
    <n v="1.13135817142857E-3"/>
  </r>
  <r>
    <x v="0"/>
    <x v="0"/>
    <x v="0"/>
    <x v="0"/>
    <x v="0"/>
    <x v="9"/>
    <x v="3"/>
    <x v="0"/>
    <x v="0"/>
    <s v="GNR_ENG_NGAS_BP_E-43"/>
    <n v="37.997374370232599"/>
    <n v="3.7997374370232602E-2"/>
    <m/>
    <m/>
    <n v="0.677315051162791"/>
    <n v="6.7731505116279097E-4"/>
  </r>
  <r>
    <x v="0"/>
    <x v="0"/>
    <x v="0"/>
    <x v="0"/>
    <x v="0"/>
    <x v="9"/>
    <x v="3"/>
    <x v="0"/>
    <x v="0"/>
    <s v="GNR_ENG_NGAS_BP_E-44"/>
    <n v="33.8063292"/>
    <n v="3.3806329199999999E-2"/>
    <m/>
    <m/>
    <n v="0.60260836363636405"/>
    <n v="6.02608363636364E-4"/>
  </r>
  <r>
    <x v="0"/>
    <x v="0"/>
    <x v="0"/>
    <x v="0"/>
    <x v="0"/>
    <x v="9"/>
    <x v="3"/>
    <x v="0"/>
    <x v="0"/>
    <s v="GNR_ENG_NGAS_BP_E-45"/>
    <n v="13.3670592"/>
    <n v="1.33670592E-2"/>
    <m/>
    <m/>
    <n v="0.23827200000000001"/>
    <n v="2.3827200000000001E-4"/>
  </r>
  <r>
    <x v="0"/>
    <x v="0"/>
    <x v="0"/>
    <x v="0"/>
    <x v="0"/>
    <x v="9"/>
    <x v="3"/>
    <x v="0"/>
    <x v="0"/>
    <s v="GNR_ENG_NGAS_BP_E-46"/>
    <n v="4.6665053217391304"/>
    <n v="4.6665053217391297E-3"/>
    <m/>
    <m/>
    <n v="8.3181913043478301E-2"/>
    <n v="8.3181913043478296E-5"/>
  </r>
  <r>
    <x v="0"/>
    <x v="0"/>
    <x v="0"/>
    <x v="0"/>
    <x v="0"/>
    <x v="9"/>
    <x v="3"/>
    <x v="2"/>
    <x v="3"/>
    <s v="GNR_BO_NGAS_E-101"/>
    <n v="1.96438952946282"/>
    <n v="1.9643895294628199E-3"/>
    <m/>
    <m/>
    <n v="3.5015856140157203E-2"/>
    <n v="3.5015856140157198E-5"/>
  </r>
  <r>
    <x v="0"/>
    <x v="0"/>
    <x v="0"/>
    <x v="0"/>
    <x v="0"/>
    <x v="9"/>
    <x v="3"/>
    <x v="2"/>
    <x v="3"/>
    <s v="GNR_BO_NGAS_E-102"/>
    <n v="0.65572980000000003"/>
    <n v="6.5572980000000002E-4"/>
    <m/>
    <m/>
    <n v="1.16885882352941E-2"/>
    <n v="1.16885882352941E-5"/>
  </r>
  <r>
    <x v="0"/>
    <x v="0"/>
    <x v="0"/>
    <x v="0"/>
    <x v="0"/>
    <x v="9"/>
    <x v="3"/>
    <x v="2"/>
    <x v="3"/>
    <s v="GNR_BO_NGAS_E-104"/>
    <n v="0.19940960769230801"/>
    <n v="1.9940960769230799E-4"/>
    <m/>
    <m/>
    <n v="3.5545384615384601E-3"/>
    <n v="3.5545384615384602E-6"/>
  </r>
  <r>
    <x v="0"/>
    <x v="0"/>
    <x v="0"/>
    <x v="0"/>
    <x v="0"/>
    <x v="9"/>
    <x v="3"/>
    <x v="2"/>
    <x v="3"/>
    <s v="GNR_BO_NGAS_E-105"/>
    <n v="3.2276260162880002"/>
    <n v="3.227626016288E-3"/>
    <m/>
    <m/>
    <n v="5.7533440575543701E-2"/>
    <n v="5.7533440575543699E-5"/>
  </r>
  <r>
    <x v="0"/>
    <x v="0"/>
    <x v="0"/>
    <x v="0"/>
    <x v="0"/>
    <x v="9"/>
    <x v="4"/>
    <x v="2"/>
    <x v="3"/>
    <s v="GNR_BO_STRW_E-100"/>
    <m/>
    <m/>
    <n v="2.8082622051727899"/>
    <n v="2.80826220517279E-3"/>
    <n v="9.9849322850587896"/>
    <n v="9.9849322850587893E-3"/>
  </r>
  <r>
    <x v="0"/>
    <x v="0"/>
    <x v="0"/>
    <x v="0"/>
    <x v="0"/>
    <x v="9"/>
    <x v="4"/>
    <x v="2"/>
    <x v="3"/>
    <s v="GNR_BO_STRW_E-102"/>
    <m/>
    <m/>
    <n v="0.89477602941176604"/>
    <n v="8.94776029411766E-4"/>
    <n v="3.18142588235294"/>
    <n v="3.1814258823529402E-3"/>
  </r>
  <r>
    <x v="0"/>
    <x v="0"/>
    <x v="0"/>
    <x v="0"/>
    <x v="0"/>
    <x v="9"/>
    <x v="5"/>
    <x v="3"/>
    <x v="4"/>
    <s v="GNR_SH_SUN"/>
    <m/>
    <m/>
    <m/>
    <m/>
    <m/>
    <m/>
  </r>
  <r>
    <x v="0"/>
    <x v="0"/>
    <x v="0"/>
    <x v="0"/>
    <x v="0"/>
    <x v="9"/>
    <x v="6"/>
    <x v="2"/>
    <x v="3"/>
    <s v="GNR_EH_HEAT"/>
    <m/>
    <m/>
    <m/>
    <m/>
    <m/>
    <m/>
  </r>
  <r>
    <x v="0"/>
    <x v="0"/>
    <x v="0"/>
    <x v="0"/>
    <x v="0"/>
    <x v="9"/>
    <x v="7"/>
    <x v="0"/>
    <x v="0"/>
    <s v="GNR_ST_WOODCHI_BP_E-17"/>
    <m/>
    <m/>
    <m/>
    <m/>
    <m/>
    <m/>
  </r>
  <r>
    <x v="0"/>
    <x v="0"/>
    <x v="0"/>
    <x v="0"/>
    <x v="0"/>
    <x v="9"/>
    <x v="7"/>
    <x v="2"/>
    <x v="3"/>
    <s v="GNR_BO_WOODCHI_E-100"/>
    <m/>
    <m/>
    <m/>
    <m/>
    <m/>
    <m/>
  </r>
  <r>
    <x v="0"/>
    <x v="0"/>
    <x v="0"/>
    <x v="0"/>
    <x v="0"/>
    <x v="9"/>
    <x v="7"/>
    <x v="2"/>
    <x v="3"/>
    <s v="GNR_BO_WOODCHI_E-105"/>
    <m/>
    <m/>
    <m/>
    <m/>
    <m/>
    <m/>
  </r>
  <r>
    <x v="0"/>
    <x v="0"/>
    <x v="0"/>
    <x v="0"/>
    <x v="0"/>
    <x v="9"/>
    <x v="7"/>
    <x v="2"/>
    <x v="3"/>
    <s v="GNR_BO_WOODCHI_E-106"/>
    <m/>
    <m/>
    <m/>
    <m/>
    <m/>
    <m/>
  </r>
  <r>
    <x v="0"/>
    <x v="0"/>
    <x v="0"/>
    <x v="0"/>
    <x v="0"/>
    <x v="9"/>
    <x v="7"/>
    <x v="2"/>
    <x v="3"/>
    <s v="GNR_BO_WOODCHI_E-107"/>
    <m/>
    <m/>
    <m/>
    <m/>
    <m/>
    <m/>
  </r>
  <r>
    <x v="0"/>
    <x v="0"/>
    <x v="0"/>
    <x v="0"/>
    <x v="0"/>
    <x v="9"/>
    <x v="7"/>
    <x v="2"/>
    <x v="3"/>
    <s v="GNR_BO_WOODCHI_E-110"/>
    <m/>
    <m/>
    <m/>
    <m/>
    <m/>
    <m/>
  </r>
  <r>
    <x v="0"/>
    <x v="0"/>
    <x v="0"/>
    <x v="0"/>
    <x v="0"/>
    <x v="9"/>
    <x v="7"/>
    <x v="2"/>
    <x v="3"/>
    <s v="GNR_BO_WOODCHI_E-112"/>
    <m/>
    <m/>
    <m/>
    <m/>
    <m/>
    <m/>
  </r>
  <r>
    <x v="0"/>
    <x v="0"/>
    <x v="0"/>
    <x v="0"/>
    <x v="0"/>
    <x v="9"/>
    <x v="7"/>
    <x v="2"/>
    <x v="3"/>
    <s v="GNR_BO_WOODCHI_E-117"/>
    <m/>
    <m/>
    <m/>
    <m/>
    <m/>
    <m/>
  </r>
  <r>
    <x v="0"/>
    <x v="0"/>
    <x v="0"/>
    <x v="0"/>
    <x v="0"/>
    <x v="9"/>
    <x v="7"/>
    <x v="2"/>
    <x v="3"/>
    <s v="GNR_BO_WOODCHI_E-120"/>
    <m/>
    <m/>
    <m/>
    <m/>
    <m/>
    <m/>
  </r>
  <r>
    <x v="0"/>
    <x v="0"/>
    <x v="0"/>
    <x v="0"/>
    <x v="0"/>
    <x v="9"/>
    <x v="11"/>
    <x v="2"/>
    <x v="3"/>
    <s v="GNR_BO_WOODWST_E-100"/>
    <m/>
    <m/>
    <n v="0.42869249999999998"/>
    <n v="4.286925E-4"/>
    <n v="2.7436319999999998"/>
    <n v="2.7436320000000002E-3"/>
  </r>
  <r>
    <x v="0"/>
    <x v="0"/>
    <x v="0"/>
    <x v="0"/>
    <x v="0"/>
    <x v="9"/>
    <x v="11"/>
    <x v="2"/>
    <x v="3"/>
    <s v="GNR_BO_WOODWST_E-113"/>
    <m/>
    <m/>
    <n v="6.9157894736842099E-2"/>
    <n v="6.91578947368421E-5"/>
    <n v="0.44261052631578901"/>
    <n v="4.4261052631578899E-4"/>
  </r>
  <r>
    <x v="0"/>
    <x v="0"/>
    <x v="0"/>
    <x v="0"/>
    <x v="0"/>
    <x v="9"/>
    <x v="11"/>
    <x v="2"/>
    <x v="3"/>
    <s v="GNR_BO_WOODWST_E-86"/>
    <m/>
    <m/>
    <n v="2.6738372093023301E-2"/>
    <n v="2.6738372093023301E-5"/>
    <n v="0.171125581395349"/>
    <n v="1.7112558139534899E-4"/>
  </r>
  <r>
    <x v="0"/>
    <x v="0"/>
    <x v="0"/>
    <x v="0"/>
    <x v="0"/>
    <x v="9"/>
    <x v="11"/>
    <x v="2"/>
    <x v="3"/>
    <s v="GNR_BO_WOODWST_E-89"/>
    <m/>
    <m/>
    <n v="1.84550561797753E-2"/>
    <n v="1.8455056179775301E-5"/>
    <n v="0.118112359550562"/>
    <n v="1.18112359550562E-4"/>
  </r>
  <r>
    <x v="0"/>
    <x v="0"/>
    <x v="0"/>
    <x v="0"/>
    <x v="0"/>
    <x v="9"/>
    <x v="11"/>
    <x v="2"/>
    <x v="3"/>
    <s v="GNR_BO_WOODWST_E-90"/>
    <m/>
    <m/>
    <n v="1.6424999999999999E-2"/>
    <n v="1.6424999999999999E-5"/>
    <n v="0.10512000000000001"/>
    <n v="1.0512E-4"/>
  </r>
  <r>
    <x v="0"/>
    <x v="0"/>
    <x v="0"/>
    <x v="0"/>
    <x v="0"/>
    <x v="9"/>
    <x v="11"/>
    <x v="2"/>
    <x v="3"/>
    <s v="GNR_BO_WOODWST_E-94"/>
    <m/>
    <m/>
    <n v="1.71841833088415E-2"/>
    <n v="1.7184183308841502E-5"/>
    <n v="0.109978773176585"/>
    <n v="1.0997877317658499E-4"/>
  </r>
  <r>
    <x v="0"/>
    <x v="0"/>
    <x v="0"/>
    <x v="0"/>
    <x v="0"/>
    <x v="10"/>
    <x v="1"/>
    <x v="1"/>
    <x v="1"/>
    <s v="GNR_HS_HEAT_WTR-TANK_LS_E-95_Y-2010"/>
    <m/>
    <m/>
    <m/>
    <m/>
    <m/>
    <m/>
  </r>
  <r>
    <x v="0"/>
    <x v="0"/>
    <x v="0"/>
    <x v="0"/>
    <x v="0"/>
    <x v="10"/>
    <x v="3"/>
    <x v="0"/>
    <x v="0"/>
    <s v="GNR_ENG_NGAS_BP_E-38"/>
    <n v="1.3152379263157901"/>
    <n v="1.31523792631579E-3"/>
    <m/>
    <m/>
    <n v="2.3444526315789499E-2"/>
    <n v="2.3444526315789499E-5"/>
  </r>
  <r>
    <x v="0"/>
    <x v="0"/>
    <x v="0"/>
    <x v="0"/>
    <x v="0"/>
    <x v="10"/>
    <x v="3"/>
    <x v="2"/>
    <x v="3"/>
    <s v="GNR_BO_NGAS_E-101"/>
    <n v="3.9851998201142401E-2"/>
    <n v="3.9851998201142398E-5"/>
    <m/>
    <m/>
    <n v="7.1037429948560401E-4"/>
    <n v="7.1037429948560405E-7"/>
  </r>
  <r>
    <x v="0"/>
    <x v="0"/>
    <x v="0"/>
    <x v="0"/>
    <x v="0"/>
    <x v="10"/>
    <x v="4"/>
    <x v="2"/>
    <x v="3"/>
    <s v="GNR_BO_STRW_E-100"/>
    <m/>
    <m/>
    <n v="0.94458042941262499"/>
    <n v="9.4458042941262502E-4"/>
    <n v="3.3585081934671099"/>
    <n v="3.35850819346711E-3"/>
  </r>
  <r>
    <x v="0"/>
    <x v="0"/>
    <x v="0"/>
    <x v="0"/>
    <x v="0"/>
    <x v="10"/>
    <x v="6"/>
    <x v="2"/>
    <x v="3"/>
    <s v="GNR_EH_HEAT"/>
    <m/>
    <m/>
    <m/>
    <m/>
    <m/>
    <m/>
  </r>
  <r>
    <x v="0"/>
    <x v="0"/>
    <x v="0"/>
    <x v="0"/>
    <x v="0"/>
    <x v="10"/>
    <x v="7"/>
    <x v="2"/>
    <x v="3"/>
    <s v="GNR_BO_WOODCHI_E-100"/>
    <m/>
    <m/>
    <m/>
    <m/>
    <m/>
    <m/>
  </r>
  <r>
    <x v="0"/>
    <x v="0"/>
    <x v="0"/>
    <x v="0"/>
    <x v="0"/>
    <x v="10"/>
    <x v="7"/>
    <x v="2"/>
    <x v="3"/>
    <s v="GNR_BO_WOODCHI_E-110"/>
    <m/>
    <m/>
    <m/>
    <m/>
    <m/>
    <m/>
  </r>
  <r>
    <x v="0"/>
    <x v="0"/>
    <x v="0"/>
    <x v="0"/>
    <x v="0"/>
    <x v="10"/>
    <x v="11"/>
    <x v="2"/>
    <x v="3"/>
    <s v="GNR_BO_WOODWST_E-89"/>
    <m/>
    <m/>
    <n v="1.53127752808989E-2"/>
    <n v="1.5312775280898899E-5"/>
    <n v="9.8001761797752801E-2"/>
    <n v="9.8001761797752795E-5"/>
  </r>
  <r>
    <x v="0"/>
    <x v="0"/>
    <x v="0"/>
    <x v="0"/>
    <x v="1"/>
    <x v="11"/>
    <x v="0"/>
    <x v="0"/>
    <x v="0"/>
    <s v="GNR_ENG_BGAS_BP_E-42"/>
    <m/>
    <m/>
    <n v="0.476637857142858"/>
    <n v="4.7663785714285699E-4"/>
    <n v="7.6262057142857206E-2"/>
    <n v="7.6262057142857201E-5"/>
  </r>
  <r>
    <x v="0"/>
    <x v="0"/>
    <x v="0"/>
    <x v="0"/>
    <x v="1"/>
    <x v="11"/>
    <x v="12"/>
    <x v="0"/>
    <x v="11"/>
    <s v="GNR_ST_COAL_EXT_E-42"/>
    <n v="865.80759754347901"/>
    <n v="0.86580759754347902"/>
    <n v="196.04226997231899"/>
    <n v="0.19604226997231899"/>
    <n v="27.456900556347101"/>
    <n v="2.74569005563471E-2"/>
  </r>
  <r>
    <x v="0"/>
    <x v="0"/>
    <x v="0"/>
    <x v="0"/>
    <x v="1"/>
    <x v="11"/>
    <x v="8"/>
    <x v="4"/>
    <x v="5"/>
    <s v="GNR_HP_ELEC_COP-300"/>
    <m/>
    <m/>
    <m/>
    <m/>
    <m/>
    <m/>
  </r>
  <r>
    <x v="0"/>
    <x v="0"/>
    <x v="0"/>
    <x v="0"/>
    <x v="1"/>
    <x v="11"/>
    <x v="1"/>
    <x v="1"/>
    <x v="1"/>
    <s v="GNR_HS_HEAT_WTR-TANK_LS_E-95_Y-2010"/>
    <m/>
    <m/>
    <m/>
    <m/>
    <m/>
    <m/>
  </r>
  <r>
    <x v="0"/>
    <x v="0"/>
    <x v="0"/>
    <x v="0"/>
    <x v="1"/>
    <x v="11"/>
    <x v="1"/>
    <x v="1"/>
    <x v="2"/>
    <s v="GNR_HS_HEAT_PIT_L-CEN_E-90_Y-2030"/>
    <m/>
    <m/>
    <m/>
    <m/>
    <m/>
    <m/>
  </r>
  <r>
    <x v="0"/>
    <x v="0"/>
    <x v="0"/>
    <x v="0"/>
    <x v="1"/>
    <x v="11"/>
    <x v="2"/>
    <x v="0"/>
    <x v="0"/>
    <s v="GNR_ST_MSW_BP_E-24_LS-220-MW-FEED_Y-2030"/>
    <m/>
    <m/>
    <n v="5.2896286879131296"/>
    <n v="5.2896286879131303E-3"/>
    <n v="67.815752409142704"/>
    <n v="6.7815752409142699E-2"/>
  </r>
  <r>
    <x v="0"/>
    <x v="0"/>
    <x v="0"/>
    <x v="0"/>
    <x v="1"/>
    <x v="11"/>
    <x v="2"/>
    <x v="0"/>
    <x v="0"/>
    <s v="GNR_ST_MSW_BP_E-27"/>
    <m/>
    <m/>
    <n v="0.65459911111116298"/>
    <n v="6.5459911111116298E-4"/>
    <n v="9.0636800000000299"/>
    <n v="9.0636800000000305E-3"/>
  </r>
  <r>
    <x v="0"/>
    <x v="0"/>
    <x v="0"/>
    <x v="0"/>
    <x v="1"/>
    <x v="11"/>
    <x v="3"/>
    <x v="0"/>
    <x v="0"/>
    <s v="GNR_GT_NGAS_BP_E-43_LS-40-MW_Y-2030"/>
    <n v="342.84517940379999"/>
    <n v="0.34284517940379999"/>
    <m/>
    <m/>
    <n v="6.1113222710124804"/>
    <n v="6.1113222710124796E-3"/>
  </r>
  <r>
    <x v="0"/>
    <x v="0"/>
    <x v="0"/>
    <x v="0"/>
    <x v="1"/>
    <x v="11"/>
    <x v="4"/>
    <x v="0"/>
    <x v="11"/>
    <s v="GNR_ST_COAL_EXT_E-42-Straw"/>
    <m/>
    <m/>
    <n v="4.92750000000001"/>
    <n v="4.92750000000001E-3"/>
    <n v="26.28"/>
    <n v="2.6280000000000001E-2"/>
  </r>
  <r>
    <x v="0"/>
    <x v="0"/>
    <x v="0"/>
    <x v="0"/>
    <x v="1"/>
    <x v="11"/>
    <x v="6"/>
    <x v="2"/>
    <x v="3"/>
    <s v="GNR_EH_HEAT"/>
    <m/>
    <m/>
    <m/>
    <m/>
    <m/>
    <m/>
  </r>
  <r>
    <x v="0"/>
    <x v="0"/>
    <x v="0"/>
    <x v="0"/>
    <x v="1"/>
    <x v="11"/>
    <x v="6"/>
    <x v="2"/>
    <x v="3"/>
    <s v="GNR_GEO_HEAT_HO"/>
    <m/>
    <m/>
    <m/>
    <m/>
    <m/>
    <m/>
  </r>
  <r>
    <x v="0"/>
    <x v="0"/>
    <x v="0"/>
    <x v="0"/>
    <x v="1"/>
    <x v="11"/>
    <x v="11"/>
    <x v="2"/>
    <x v="3"/>
    <s v="GNR_BO_WOODWST_E-90"/>
    <m/>
    <m/>
    <n v="4.0515000000000004E-3"/>
    <n v="4.0515000000000001E-6"/>
    <n v="2.5929600000000001E-2"/>
    <n v="2.59296E-5"/>
  </r>
  <r>
    <x v="0"/>
    <x v="0"/>
    <x v="0"/>
    <x v="0"/>
    <x v="1"/>
    <x v="12"/>
    <x v="8"/>
    <x v="4"/>
    <x v="5"/>
    <s v="GNR_BO_ELEC_E-99_LS-10-MW-FEED_PHH_Y-2030"/>
    <m/>
    <m/>
    <m/>
    <m/>
    <m/>
    <m/>
  </r>
  <r>
    <x v="0"/>
    <x v="0"/>
    <x v="0"/>
    <x v="0"/>
    <x v="1"/>
    <x v="12"/>
    <x v="3"/>
    <x v="2"/>
    <x v="3"/>
    <s v="GNR_BO_NGAS_E-70_PHH"/>
    <n v="78.368557873836394"/>
    <n v="7.8368557873836397E-2"/>
    <m/>
    <m/>
    <n v="1.39694399062097"/>
    <n v="1.3969439906209699E-3"/>
  </r>
  <r>
    <x v="0"/>
    <x v="0"/>
    <x v="0"/>
    <x v="0"/>
    <x v="1"/>
    <x v="13"/>
    <x v="3"/>
    <x v="2"/>
    <x v="3"/>
    <s v="GNR_BO_NGAS_E-82_PHL"/>
    <n v="403.80646601560301"/>
    <n v="0.40380646601560299"/>
    <m/>
    <m/>
    <n v="7.1979762213120004"/>
    <n v="7.197976221312E-3"/>
  </r>
  <r>
    <x v="0"/>
    <x v="0"/>
    <x v="0"/>
    <x v="0"/>
    <x v="1"/>
    <x v="14"/>
    <x v="0"/>
    <x v="0"/>
    <x v="0"/>
    <s v="GNR_ENG_BGAS_BP_E-38"/>
    <m/>
    <m/>
    <n v="4.3223684210526303E-2"/>
    <n v="4.3223684210526299E-5"/>
    <n v="6.9157894736842102E-3"/>
    <n v="6.9157894736842097E-6"/>
  </r>
  <r>
    <x v="0"/>
    <x v="0"/>
    <x v="0"/>
    <x v="0"/>
    <x v="1"/>
    <x v="14"/>
    <x v="1"/>
    <x v="1"/>
    <x v="1"/>
    <s v="GNR_HS_HEAT_WTR-TANK_LS_E-95_Y-2010"/>
    <m/>
    <m/>
    <m/>
    <m/>
    <m/>
    <m/>
  </r>
  <r>
    <x v="0"/>
    <x v="0"/>
    <x v="0"/>
    <x v="0"/>
    <x v="1"/>
    <x v="14"/>
    <x v="1"/>
    <x v="1"/>
    <x v="2"/>
    <s v="GNR_HS_HEAT_PIT_L-DEC_E-91_Y-2030"/>
    <m/>
    <m/>
    <m/>
    <m/>
    <m/>
    <m/>
  </r>
  <r>
    <x v="0"/>
    <x v="0"/>
    <x v="0"/>
    <x v="0"/>
    <x v="1"/>
    <x v="14"/>
    <x v="3"/>
    <x v="0"/>
    <x v="0"/>
    <s v="GNR_ENG_NGAS_BP_E-48_Y-2030"/>
    <n v="229.055774264289"/>
    <n v="0.229055774264289"/>
    <m/>
    <m/>
    <n v="4.0829906285969502"/>
    <n v="4.0829906285969504E-3"/>
  </r>
  <r>
    <x v="0"/>
    <x v="0"/>
    <x v="0"/>
    <x v="0"/>
    <x v="1"/>
    <x v="14"/>
    <x v="5"/>
    <x v="3"/>
    <x v="4"/>
    <s v="GNR_SH_SUN"/>
    <m/>
    <m/>
    <m/>
    <m/>
    <m/>
    <m/>
  </r>
  <r>
    <x v="0"/>
    <x v="0"/>
    <x v="0"/>
    <x v="0"/>
    <x v="1"/>
    <x v="14"/>
    <x v="6"/>
    <x v="2"/>
    <x v="3"/>
    <s v="GNR_EH_HEAT"/>
    <m/>
    <m/>
    <m/>
    <m/>
    <m/>
    <m/>
  </r>
  <r>
    <x v="0"/>
    <x v="0"/>
    <x v="0"/>
    <x v="0"/>
    <x v="1"/>
    <x v="14"/>
    <x v="7"/>
    <x v="2"/>
    <x v="3"/>
    <s v="GNR_BO_WOODCHI_E-118"/>
    <m/>
    <m/>
    <m/>
    <m/>
    <m/>
    <m/>
  </r>
  <r>
    <x v="0"/>
    <x v="0"/>
    <x v="0"/>
    <x v="0"/>
    <x v="1"/>
    <x v="15"/>
    <x v="1"/>
    <x v="1"/>
    <x v="1"/>
    <s v="GNR_HS_HEAT_WTR-TANK_LS_E-95_Y-2010"/>
    <m/>
    <m/>
    <m/>
    <m/>
    <m/>
    <m/>
  </r>
  <r>
    <x v="0"/>
    <x v="0"/>
    <x v="0"/>
    <x v="0"/>
    <x v="1"/>
    <x v="15"/>
    <x v="1"/>
    <x v="1"/>
    <x v="2"/>
    <s v="GNR_HS_HEAT_PIT_L-DEC_E-91_Y-2030"/>
    <m/>
    <m/>
    <m/>
    <m/>
    <m/>
    <m/>
  </r>
  <r>
    <x v="0"/>
    <x v="0"/>
    <x v="0"/>
    <x v="0"/>
    <x v="1"/>
    <x v="15"/>
    <x v="2"/>
    <x v="0"/>
    <x v="0"/>
    <s v="GNR_ST_MSW_BP_E-23"/>
    <m/>
    <m/>
    <n v="0.31688347826089402"/>
    <n v="3.16883478260894E-4"/>
    <n v="4.3876173913043504"/>
    <n v="4.3876173913043499E-3"/>
  </r>
  <r>
    <x v="0"/>
    <x v="0"/>
    <x v="0"/>
    <x v="0"/>
    <x v="1"/>
    <x v="15"/>
    <x v="3"/>
    <x v="0"/>
    <x v="0"/>
    <s v="GNR_ENG_NGAS_BP_E-35"/>
    <n v="0.81718786285714295"/>
    <n v="8.1718786285714298E-4"/>
    <m/>
    <m/>
    <n v="1.45666285714286E-2"/>
    <n v="1.45666285714286E-5"/>
  </r>
  <r>
    <x v="0"/>
    <x v="0"/>
    <x v="0"/>
    <x v="0"/>
    <x v="1"/>
    <x v="15"/>
    <x v="3"/>
    <x v="0"/>
    <x v="0"/>
    <s v="GNR_ENG_NGAS_BP_E-42"/>
    <n v="1.63812"/>
    <n v="1.6381200000000001E-3"/>
    <m/>
    <m/>
    <n v="2.92E-2"/>
    <n v="2.9200000000000002E-5"/>
  </r>
  <r>
    <x v="0"/>
    <x v="0"/>
    <x v="0"/>
    <x v="0"/>
    <x v="1"/>
    <x v="15"/>
    <x v="3"/>
    <x v="0"/>
    <x v="0"/>
    <s v="GNR_ENG_NGAS_BP_E-48_Y-2030"/>
    <n v="476.26779490963298"/>
    <n v="0.476267794909633"/>
    <m/>
    <m/>
    <n v="8.4896220126494306"/>
    <n v="8.4896220126494306E-3"/>
  </r>
  <r>
    <x v="0"/>
    <x v="0"/>
    <x v="0"/>
    <x v="0"/>
    <x v="1"/>
    <x v="15"/>
    <x v="5"/>
    <x v="3"/>
    <x v="4"/>
    <s v="GNR_SH_SUN"/>
    <m/>
    <m/>
    <m/>
    <m/>
    <m/>
    <m/>
  </r>
  <r>
    <x v="0"/>
    <x v="0"/>
    <x v="0"/>
    <x v="0"/>
    <x v="1"/>
    <x v="15"/>
    <x v="6"/>
    <x v="2"/>
    <x v="3"/>
    <s v="GNR_EH_HEAT"/>
    <m/>
    <m/>
    <m/>
    <m/>
    <m/>
    <m/>
  </r>
  <r>
    <x v="0"/>
    <x v="0"/>
    <x v="0"/>
    <x v="0"/>
    <x v="1"/>
    <x v="15"/>
    <x v="7"/>
    <x v="0"/>
    <x v="0"/>
    <s v="GNR_ST_WOODCHI_BP_E-27"/>
    <m/>
    <m/>
    <m/>
    <m/>
    <m/>
    <m/>
  </r>
  <r>
    <x v="0"/>
    <x v="0"/>
    <x v="0"/>
    <x v="0"/>
    <x v="1"/>
    <x v="16"/>
    <x v="8"/>
    <x v="1"/>
    <x v="6"/>
    <s v="GNR_ES_ELEC_BAT-LITHIO_E-97_Y-30-50"/>
    <m/>
    <m/>
    <m/>
    <m/>
    <m/>
    <m/>
  </r>
  <r>
    <x v="0"/>
    <x v="0"/>
    <x v="0"/>
    <x v="0"/>
    <x v="1"/>
    <x v="16"/>
    <x v="5"/>
    <x v="3"/>
    <x v="8"/>
    <s v="GNR_PV_SUN"/>
    <m/>
    <m/>
    <m/>
    <m/>
    <m/>
    <m/>
  </r>
  <r>
    <x v="0"/>
    <x v="0"/>
    <x v="0"/>
    <x v="0"/>
    <x v="1"/>
    <x v="16"/>
    <x v="5"/>
    <x v="3"/>
    <x v="8"/>
    <s v="GNR_PV_SUN_LS-4-MW_Y-2030"/>
    <m/>
    <m/>
    <m/>
    <m/>
    <m/>
    <m/>
  </r>
  <r>
    <x v="0"/>
    <x v="0"/>
    <x v="0"/>
    <x v="0"/>
    <x v="1"/>
    <x v="16"/>
    <x v="9"/>
    <x v="6"/>
    <x v="9"/>
    <s v="GNR_ROR_WTR"/>
    <m/>
    <m/>
    <m/>
    <m/>
    <m/>
    <m/>
  </r>
  <r>
    <x v="0"/>
    <x v="0"/>
    <x v="0"/>
    <x v="0"/>
    <x v="1"/>
    <x v="16"/>
    <x v="10"/>
    <x v="3"/>
    <x v="10"/>
    <s v="GNR_WT_WIND_ONS"/>
    <m/>
    <m/>
    <m/>
    <m/>
    <m/>
    <m/>
  </r>
  <r>
    <x v="0"/>
    <x v="0"/>
    <x v="0"/>
    <x v="0"/>
    <x v="1"/>
    <x v="17"/>
    <x v="8"/>
    <x v="4"/>
    <x v="5"/>
    <s v="GNR_BO_ELEC_E-99_LS-10-MW-FEED_PHH_Y-2030"/>
    <m/>
    <m/>
    <m/>
    <m/>
    <m/>
    <m/>
  </r>
  <r>
    <x v="0"/>
    <x v="0"/>
    <x v="0"/>
    <x v="0"/>
    <x v="1"/>
    <x v="17"/>
    <x v="3"/>
    <x v="2"/>
    <x v="3"/>
    <s v="GNR_BO_NGAS_E-70_PHH"/>
    <n v="0.90096813180000002"/>
    <n v="9.0096813179999999E-4"/>
    <m/>
    <m/>
    <n v="1.6060037999999999E-2"/>
    <n v="1.6060037999999999E-5"/>
  </r>
  <r>
    <x v="0"/>
    <x v="0"/>
    <x v="0"/>
    <x v="0"/>
    <x v="1"/>
    <x v="18"/>
    <x v="3"/>
    <x v="2"/>
    <x v="3"/>
    <s v="GNR_BO_NGAS_E-82_PHL"/>
    <n v="544.27865489099997"/>
    <n v="0.54427865489100002"/>
    <m/>
    <m/>
    <n v="9.7019368073262005"/>
    <n v="9.7019368073262002E-3"/>
  </r>
  <r>
    <x v="0"/>
    <x v="0"/>
    <x v="0"/>
    <x v="0"/>
    <x v="1"/>
    <x v="19"/>
    <x v="10"/>
    <x v="3"/>
    <x v="10"/>
    <s v="GNR_WT_WIND_OFF"/>
    <m/>
    <m/>
    <m/>
    <m/>
    <m/>
    <m/>
  </r>
  <r>
    <x v="0"/>
    <x v="0"/>
    <x v="0"/>
    <x v="0"/>
    <x v="1"/>
    <x v="20"/>
    <x v="0"/>
    <x v="0"/>
    <x v="0"/>
    <s v="GNR_ENG_BGAS_BP_E-40"/>
    <m/>
    <m/>
    <n v="0.20312250000000001"/>
    <n v="2.0312250000000001E-4"/>
    <n v="3.2499599999999997E-2"/>
    <n v="3.2499600000000003E-5"/>
  </r>
  <r>
    <x v="0"/>
    <x v="0"/>
    <x v="0"/>
    <x v="0"/>
    <x v="1"/>
    <x v="20"/>
    <x v="0"/>
    <x v="0"/>
    <x v="0"/>
    <s v="GNR_ENG_BGAS_BP_E-41"/>
    <m/>
    <m/>
    <n v="0.74780487804878004"/>
    <n v="7.4780487804877998E-4"/>
    <n v="0.119648780487805"/>
    <n v="1.19648780487805E-4"/>
  </r>
  <r>
    <x v="0"/>
    <x v="0"/>
    <x v="0"/>
    <x v="0"/>
    <x v="1"/>
    <x v="20"/>
    <x v="0"/>
    <x v="0"/>
    <x v="0"/>
    <s v="GNR_ENG_BGAS_BP_E-42"/>
    <m/>
    <m/>
    <n v="2.0929099999999998"/>
    <n v="2.0929099999999999E-3"/>
    <n v="0.33486559999999999"/>
    <n v="3.3486559999999999E-4"/>
  </r>
  <r>
    <x v="0"/>
    <x v="0"/>
    <x v="0"/>
    <x v="0"/>
    <x v="1"/>
    <x v="20"/>
    <x v="12"/>
    <x v="0"/>
    <x v="0"/>
    <s v="GNR_ST_COAL_BP_E-35"/>
    <n v="250.467174076303"/>
    <n v="0.25046717407630298"/>
    <n v="1890.4182060304499"/>
    <n v="1.89041820603045"/>
    <n v="7.9429336387833898"/>
    <n v="7.94293363878339E-3"/>
  </r>
  <r>
    <x v="0"/>
    <x v="0"/>
    <x v="0"/>
    <x v="0"/>
    <x v="1"/>
    <x v="20"/>
    <x v="8"/>
    <x v="4"/>
    <x v="5"/>
    <s v="GNR_HP_ELEC_COP-400"/>
    <m/>
    <m/>
    <m/>
    <m/>
    <m/>
    <m/>
  </r>
  <r>
    <x v="0"/>
    <x v="0"/>
    <x v="0"/>
    <x v="0"/>
    <x v="1"/>
    <x v="20"/>
    <x v="1"/>
    <x v="1"/>
    <x v="1"/>
    <s v="GNR_HS_HEAT_WTR-TANK_LS_E-95_Y-2010"/>
    <m/>
    <m/>
    <m/>
    <m/>
    <m/>
    <m/>
  </r>
  <r>
    <x v="0"/>
    <x v="0"/>
    <x v="0"/>
    <x v="0"/>
    <x v="1"/>
    <x v="20"/>
    <x v="1"/>
    <x v="1"/>
    <x v="2"/>
    <s v="GNR_HS_HEAT_PIT_L-DEC_E-91_Y-2030"/>
    <m/>
    <m/>
    <m/>
    <m/>
    <m/>
    <m/>
  </r>
  <r>
    <x v="0"/>
    <x v="0"/>
    <x v="0"/>
    <x v="0"/>
    <x v="1"/>
    <x v="20"/>
    <x v="3"/>
    <x v="0"/>
    <x v="0"/>
    <s v="GNR_CC_NGAS_BP_E-53_SS-10-MW_Y-2030"/>
    <n v="140.81960664951299"/>
    <n v="0.14081960664951301"/>
    <m/>
    <m/>
    <n v="2.5101534162123502"/>
    <n v="2.51015341621235E-3"/>
  </r>
  <r>
    <x v="0"/>
    <x v="0"/>
    <x v="0"/>
    <x v="0"/>
    <x v="1"/>
    <x v="20"/>
    <x v="3"/>
    <x v="0"/>
    <x v="0"/>
    <s v="GNR_ENG_NGAS_BP_E-36"/>
    <n v="0.27233744999999998"/>
    <n v="2.7233744999999998E-4"/>
    <m/>
    <m/>
    <n v="4.8545000000000003E-3"/>
    <n v="4.8544999999999999E-6"/>
  </r>
  <r>
    <x v="0"/>
    <x v="0"/>
    <x v="0"/>
    <x v="0"/>
    <x v="1"/>
    <x v="20"/>
    <x v="3"/>
    <x v="0"/>
    <x v="0"/>
    <s v="GNR_ENG_NGAS_BP_E-38"/>
    <n v="0.44811203684210599"/>
    <n v="4.4811203684210599E-4"/>
    <m/>
    <m/>
    <n v="7.9877368421052697E-3"/>
    <n v="7.9877368421052703E-6"/>
  </r>
  <r>
    <x v="0"/>
    <x v="0"/>
    <x v="0"/>
    <x v="0"/>
    <x v="1"/>
    <x v="20"/>
    <x v="3"/>
    <x v="0"/>
    <x v="0"/>
    <s v="GNR_ENG_NGAS_BP_E-40"/>
    <n v="12.531618"/>
    <n v="1.2531618E-2"/>
    <m/>
    <m/>
    <n v="0.22338"/>
    <n v="2.2337999999999999E-4"/>
  </r>
  <r>
    <x v="0"/>
    <x v="0"/>
    <x v="0"/>
    <x v="0"/>
    <x v="1"/>
    <x v="20"/>
    <x v="3"/>
    <x v="0"/>
    <x v="0"/>
    <s v="GNR_ENG_NGAS_BP_E-45"/>
    <n v="1.255892"/>
    <n v="1.255892E-3"/>
    <m/>
    <m/>
    <n v="2.2386666666666701E-2"/>
    <n v="2.2386666666666701E-5"/>
  </r>
  <r>
    <x v="0"/>
    <x v="0"/>
    <x v="0"/>
    <x v="0"/>
    <x v="1"/>
    <x v="20"/>
    <x v="3"/>
    <x v="2"/>
    <x v="3"/>
    <s v="GNR_BO_NGAS_E-100"/>
    <n v="0.15971669999999999"/>
    <n v="1.5971670000000001E-4"/>
    <m/>
    <m/>
    <n v="2.8470000000000001E-3"/>
    <n v="2.847E-6"/>
  </r>
  <r>
    <x v="0"/>
    <x v="0"/>
    <x v="0"/>
    <x v="0"/>
    <x v="1"/>
    <x v="20"/>
    <x v="3"/>
    <x v="2"/>
    <x v="3"/>
    <s v="GNR_BO_NGAS_E-101"/>
    <n v="0.12650827722772301"/>
    <n v="1.2650827722772301E-4"/>
    <m/>
    <m/>
    <n v="2.2550495049505001E-3"/>
    <n v="2.2550495049505002E-6"/>
  </r>
  <r>
    <x v="0"/>
    <x v="0"/>
    <x v="0"/>
    <x v="0"/>
    <x v="1"/>
    <x v="20"/>
    <x v="4"/>
    <x v="2"/>
    <x v="3"/>
    <s v="GNR_BO_STRW_E-100"/>
    <m/>
    <m/>
    <n v="1.2794210367605301"/>
    <n v="1.2794210367605299E-3"/>
    <n v="4.5490525751485498"/>
    <n v="4.5490525751485499E-3"/>
  </r>
  <r>
    <x v="0"/>
    <x v="0"/>
    <x v="0"/>
    <x v="0"/>
    <x v="1"/>
    <x v="20"/>
    <x v="4"/>
    <x v="2"/>
    <x v="3"/>
    <s v="GNR_BO_STRW_E-102"/>
    <m/>
    <m/>
    <n v="1.37473471819117"/>
    <n v="1.37473471819117E-3"/>
    <n v="4.8879456646797204"/>
    <n v="4.8879456646797204E-3"/>
  </r>
  <r>
    <x v="0"/>
    <x v="0"/>
    <x v="0"/>
    <x v="0"/>
    <x v="1"/>
    <x v="20"/>
    <x v="5"/>
    <x v="3"/>
    <x v="4"/>
    <s v="GNR_SH_SUN"/>
    <m/>
    <m/>
    <m/>
    <m/>
    <m/>
    <m/>
  </r>
  <r>
    <x v="0"/>
    <x v="0"/>
    <x v="0"/>
    <x v="0"/>
    <x v="1"/>
    <x v="20"/>
    <x v="6"/>
    <x v="2"/>
    <x v="3"/>
    <s v="GNR_EH_HEAT"/>
    <m/>
    <m/>
    <m/>
    <m/>
    <m/>
    <m/>
  </r>
  <r>
    <x v="0"/>
    <x v="0"/>
    <x v="0"/>
    <x v="0"/>
    <x v="1"/>
    <x v="20"/>
    <x v="7"/>
    <x v="2"/>
    <x v="3"/>
    <s v="GNR_BO_WOODCHI_E-100"/>
    <m/>
    <m/>
    <m/>
    <m/>
    <m/>
    <m/>
  </r>
  <r>
    <x v="0"/>
    <x v="0"/>
    <x v="0"/>
    <x v="0"/>
    <x v="1"/>
    <x v="20"/>
    <x v="7"/>
    <x v="2"/>
    <x v="3"/>
    <s v="GNR_BO_WOODCHI_E-110"/>
    <m/>
    <m/>
    <m/>
    <m/>
    <m/>
    <m/>
  </r>
  <r>
    <x v="0"/>
    <x v="0"/>
    <x v="0"/>
    <x v="0"/>
    <x v="1"/>
    <x v="21"/>
    <x v="1"/>
    <x v="1"/>
    <x v="1"/>
    <s v="GNR_HS_HEAT_WTR-TANK_LS_E-95_Y-2010"/>
    <m/>
    <m/>
    <m/>
    <m/>
    <m/>
    <m/>
  </r>
  <r>
    <x v="0"/>
    <x v="0"/>
    <x v="0"/>
    <x v="0"/>
    <x v="1"/>
    <x v="21"/>
    <x v="1"/>
    <x v="1"/>
    <x v="2"/>
    <s v="GNR_HS_HEAT_PIT_L-DEC_E-91_Y-2030"/>
    <m/>
    <m/>
    <m/>
    <m/>
    <m/>
    <m/>
  </r>
  <r>
    <x v="0"/>
    <x v="0"/>
    <x v="0"/>
    <x v="0"/>
    <x v="1"/>
    <x v="21"/>
    <x v="3"/>
    <x v="0"/>
    <x v="0"/>
    <s v="GNR_CC_NGAS_BP_E-53_SS-10-MW_Y-2030"/>
    <n v="45.7918650313919"/>
    <n v="4.5791865031392001E-2"/>
    <m/>
    <m/>
    <n v="0.816254278634438"/>
    <n v="8.1625427863443799E-4"/>
  </r>
  <r>
    <x v="0"/>
    <x v="0"/>
    <x v="0"/>
    <x v="0"/>
    <x v="1"/>
    <x v="21"/>
    <x v="3"/>
    <x v="2"/>
    <x v="3"/>
    <s v="GNR_BO_NGAS_E-104"/>
    <n v="0.228046310507065"/>
    <n v="2.28046310507065E-4"/>
    <m/>
    <m/>
    <n v="4.0649966222293301E-3"/>
    <n v="4.0649966222293298E-6"/>
  </r>
  <r>
    <x v="0"/>
    <x v="0"/>
    <x v="0"/>
    <x v="0"/>
    <x v="1"/>
    <x v="21"/>
    <x v="4"/>
    <x v="2"/>
    <x v="3"/>
    <s v="GNR_BO_STRW_E-100"/>
    <m/>
    <m/>
    <n v="0.183025671698368"/>
    <n v="1.83025671698368E-4"/>
    <n v="0.65075794381641805"/>
    <n v="6.5075794381641799E-4"/>
  </r>
  <r>
    <x v="0"/>
    <x v="0"/>
    <x v="0"/>
    <x v="0"/>
    <x v="1"/>
    <x v="21"/>
    <x v="6"/>
    <x v="2"/>
    <x v="3"/>
    <s v="GNR_EH_HEAT"/>
    <m/>
    <m/>
    <m/>
    <m/>
    <m/>
    <m/>
  </r>
</pivotCacheRecords>
</file>

<file path=xl/pivotCache/pivotCacheRecords10.xml><?xml version="1.0" encoding="utf-8"?>
<pivotCacheRecords xmlns="http://schemas.openxmlformats.org/spreadsheetml/2006/main" xmlns:r="http://schemas.openxmlformats.org/officeDocument/2006/relationships" count="360">
  <r>
    <x v="0"/>
    <x v="0"/>
    <x v="0"/>
    <x v="0"/>
    <x v="0"/>
    <x v="0"/>
    <x v="0"/>
    <x v="0"/>
    <x v="0"/>
    <n v="1325.4564702433599"/>
    <n v="4771.6432928760996"/>
  </r>
  <r>
    <x v="0"/>
    <x v="0"/>
    <x v="0"/>
    <x v="0"/>
    <x v="0"/>
    <x v="0"/>
    <x v="0"/>
    <x v="0"/>
    <x v="1"/>
    <n v="787.12404513811805"/>
    <n v="2833.6465624972202"/>
  </r>
  <r>
    <x v="0"/>
    <x v="0"/>
    <x v="0"/>
    <x v="0"/>
    <x v="0"/>
    <x v="0"/>
    <x v="0"/>
    <x v="0"/>
    <x v="2"/>
    <n v="490.687349682145"/>
    <n v="1766.4744588557201"/>
  </r>
  <r>
    <x v="0"/>
    <x v="0"/>
    <x v="0"/>
    <x v="0"/>
    <x v="0"/>
    <x v="0"/>
    <x v="0"/>
    <x v="0"/>
    <x v="3"/>
    <n v="0"/>
    <n v="0"/>
  </r>
  <r>
    <x v="0"/>
    <x v="0"/>
    <x v="0"/>
    <x v="0"/>
    <x v="0"/>
    <x v="0"/>
    <x v="0"/>
    <x v="0"/>
    <x v="4"/>
    <n v="53.342393336384099"/>
    <n v="192.03261601098299"/>
  </r>
  <r>
    <x v="0"/>
    <x v="0"/>
    <x v="0"/>
    <x v="0"/>
    <x v="0"/>
    <x v="0"/>
    <x v="0"/>
    <x v="0"/>
    <x v="5"/>
    <n v="200.59622859672601"/>
    <n v="722.14642294821294"/>
  </r>
  <r>
    <x v="0"/>
    <x v="0"/>
    <x v="0"/>
    <x v="0"/>
    <x v="0"/>
    <x v="0"/>
    <x v="0"/>
    <x v="0"/>
    <x v="6"/>
    <n v="407.47970811377598"/>
    <n v="1466.92694920959"/>
  </r>
  <r>
    <x v="0"/>
    <x v="0"/>
    <x v="0"/>
    <x v="0"/>
    <x v="0"/>
    <x v="0"/>
    <x v="0"/>
    <x v="0"/>
    <x v="7"/>
    <n v="688.84053234870805"/>
    <n v="2479.8259164553501"/>
  </r>
  <r>
    <x v="0"/>
    <x v="0"/>
    <x v="0"/>
    <x v="0"/>
    <x v="0"/>
    <x v="0"/>
    <x v="0"/>
    <x v="0"/>
    <x v="8"/>
    <n v="510.85621804836302"/>
    <n v="1839.08238497411"/>
  </r>
  <r>
    <x v="0"/>
    <x v="0"/>
    <x v="0"/>
    <x v="0"/>
    <x v="0"/>
    <x v="0"/>
    <x v="0"/>
    <x v="0"/>
    <x v="9"/>
    <n v="705.755173525548"/>
    <n v="2540.71862469197"/>
  </r>
  <r>
    <x v="0"/>
    <x v="0"/>
    <x v="0"/>
    <x v="0"/>
    <x v="0"/>
    <x v="0"/>
    <x v="0"/>
    <x v="0"/>
    <x v="10"/>
    <n v="810.51210469949399"/>
    <n v="2917.8435769181801"/>
  </r>
  <r>
    <x v="0"/>
    <x v="0"/>
    <x v="0"/>
    <x v="0"/>
    <x v="0"/>
    <x v="0"/>
    <x v="0"/>
    <x v="0"/>
    <x v="11"/>
    <n v="1103.24693290911"/>
    <n v="3971.6889584728101"/>
  </r>
  <r>
    <x v="0"/>
    <x v="0"/>
    <x v="0"/>
    <x v="0"/>
    <x v="0"/>
    <x v="0"/>
    <x v="0"/>
    <x v="1"/>
    <x v="0"/>
    <n v="0"/>
    <n v="0"/>
  </r>
  <r>
    <x v="0"/>
    <x v="0"/>
    <x v="0"/>
    <x v="0"/>
    <x v="0"/>
    <x v="0"/>
    <x v="0"/>
    <x v="1"/>
    <x v="1"/>
    <n v="0"/>
    <n v="0"/>
  </r>
  <r>
    <x v="0"/>
    <x v="0"/>
    <x v="0"/>
    <x v="0"/>
    <x v="0"/>
    <x v="0"/>
    <x v="0"/>
    <x v="1"/>
    <x v="2"/>
    <n v="0"/>
    <n v="0"/>
  </r>
  <r>
    <x v="0"/>
    <x v="0"/>
    <x v="0"/>
    <x v="0"/>
    <x v="0"/>
    <x v="0"/>
    <x v="0"/>
    <x v="1"/>
    <x v="3"/>
    <n v="0"/>
    <n v="0"/>
  </r>
  <r>
    <x v="0"/>
    <x v="0"/>
    <x v="0"/>
    <x v="0"/>
    <x v="0"/>
    <x v="0"/>
    <x v="0"/>
    <x v="1"/>
    <x v="4"/>
    <n v="0"/>
    <n v="0"/>
  </r>
  <r>
    <x v="0"/>
    <x v="0"/>
    <x v="0"/>
    <x v="0"/>
    <x v="0"/>
    <x v="0"/>
    <x v="0"/>
    <x v="1"/>
    <x v="5"/>
    <n v="0"/>
    <n v="0"/>
  </r>
  <r>
    <x v="0"/>
    <x v="0"/>
    <x v="0"/>
    <x v="0"/>
    <x v="0"/>
    <x v="0"/>
    <x v="0"/>
    <x v="1"/>
    <x v="6"/>
    <n v="0"/>
    <n v="0"/>
  </r>
  <r>
    <x v="0"/>
    <x v="0"/>
    <x v="0"/>
    <x v="0"/>
    <x v="0"/>
    <x v="0"/>
    <x v="0"/>
    <x v="1"/>
    <x v="7"/>
    <n v="0"/>
    <n v="0"/>
  </r>
  <r>
    <x v="0"/>
    <x v="0"/>
    <x v="0"/>
    <x v="0"/>
    <x v="0"/>
    <x v="0"/>
    <x v="0"/>
    <x v="1"/>
    <x v="8"/>
    <n v="0"/>
    <n v="0"/>
  </r>
  <r>
    <x v="0"/>
    <x v="0"/>
    <x v="0"/>
    <x v="0"/>
    <x v="0"/>
    <x v="0"/>
    <x v="0"/>
    <x v="1"/>
    <x v="9"/>
    <n v="0"/>
    <n v="0"/>
  </r>
  <r>
    <x v="0"/>
    <x v="0"/>
    <x v="0"/>
    <x v="0"/>
    <x v="0"/>
    <x v="0"/>
    <x v="0"/>
    <x v="1"/>
    <x v="10"/>
    <n v="0"/>
    <n v="0"/>
  </r>
  <r>
    <x v="0"/>
    <x v="0"/>
    <x v="0"/>
    <x v="0"/>
    <x v="0"/>
    <x v="0"/>
    <x v="0"/>
    <x v="1"/>
    <x v="11"/>
    <n v="0"/>
    <n v="0"/>
  </r>
  <r>
    <x v="0"/>
    <x v="0"/>
    <x v="0"/>
    <x v="0"/>
    <x v="0"/>
    <x v="0"/>
    <x v="0"/>
    <x v="2"/>
    <x v="0"/>
    <n v="183.303825247638"/>
    <n v="659.89377089149798"/>
  </r>
  <r>
    <x v="0"/>
    <x v="0"/>
    <x v="0"/>
    <x v="0"/>
    <x v="0"/>
    <x v="0"/>
    <x v="0"/>
    <x v="2"/>
    <x v="1"/>
    <n v="65.213688851230899"/>
    <n v="234.76927986443101"/>
  </r>
  <r>
    <x v="0"/>
    <x v="0"/>
    <x v="0"/>
    <x v="0"/>
    <x v="0"/>
    <x v="0"/>
    <x v="0"/>
    <x v="2"/>
    <x v="2"/>
    <n v="176.796396307485"/>
    <n v="636.46702670694594"/>
  </r>
  <r>
    <x v="0"/>
    <x v="0"/>
    <x v="0"/>
    <x v="0"/>
    <x v="0"/>
    <x v="0"/>
    <x v="0"/>
    <x v="2"/>
    <x v="3"/>
    <n v="0"/>
    <n v="0"/>
  </r>
  <r>
    <x v="0"/>
    <x v="0"/>
    <x v="0"/>
    <x v="0"/>
    <x v="0"/>
    <x v="0"/>
    <x v="0"/>
    <x v="2"/>
    <x v="4"/>
    <n v="148.94319654575099"/>
    <n v="536.19550756470301"/>
  </r>
  <r>
    <x v="0"/>
    <x v="0"/>
    <x v="0"/>
    <x v="0"/>
    <x v="0"/>
    <x v="0"/>
    <x v="0"/>
    <x v="2"/>
    <x v="5"/>
    <n v="299.86157180014999"/>
    <n v="1079.5016584805401"/>
  </r>
  <r>
    <x v="0"/>
    <x v="0"/>
    <x v="0"/>
    <x v="0"/>
    <x v="0"/>
    <x v="0"/>
    <x v="0"/>
    <x v="2"/>
    <x v="6"/>
    <n v="230.733994537276"/>
    <n v="830.64238033419201"/>
  </r>
  <r>
    <x v="0"/>
    <x v="0"/>
    <x v="0"/>
    <x v="0"/>
    <x v="0"/>
    <x v="0"/>
    <x v="0"/>
    <x v="2"/>
    <x v="7"/>
    <n v="409.84539576264802"/>
    <n v="1475.4434247455299"/>
  </r>
  <r>
    <x v="0"/>
    <x v="0"/>
    <x v="0"/>
    <x v="0"/>
    <x v="0"/>
    <x v="0"/>
    <x v="0"/>
    <x v="2"/>
    <x v="8"/>
    <n v="299.99972377290197"/>
    <n v="1079.9990055824501"/>
  </r>
  <r>
    <x v="0"/>
    <x v="0"/>
    <x v="0"/>
    <x v="0"/>
    <x v="0"/>
    <x v="0"/>
    <x v="0"/>
    <x v="2"/>
    <x v="9"/>
    <n v="441.39721976110701"/>
    <n v="1589.02999113998"/>
  </r>
  <r>
    <x v="0"/>
    <x v="0"/>
    <x v="0"/>
    <x v="0"/>
    <x v="0"/>
    <x v="0"/>
    <x v="0"/>
    <x v="2"/>
    <x v="10"/>
    <n v="374.12844292725799"/>
    <n v="1346.86239453813"/>
  </r>
  <r>
    <x v="0"/>
    <x v="0"/>
    <x v="0"/>
    <x v="0"/>
    <x v="0"/>
    <x v="0"/>
    <x v="0"/>
    <x v="2"/>
    <x v="11"/>
    <n v="291.43250718719202"/>
    <n v="1049.15702587389"/>
  </r>
  <r>
    <x v="0"/>
    <x v="0"/>
    <x v="0"/>
    <x v="0"/>
    <x v="0"/>
    <x v="1"/>
    <x v="0"/>
    <x v="0"/>
    <x v="0"/>
    <n v="240.80465233966399"/>
    <n v="866.89674842278998"/>
  </r>
  <r>
    <x v="0"/>
    <x v="0"/>
    <x v="0"/>
    <x v="0"/>
    <x v="0"/>
    <x v="1"/>
    <x v="0"/>
    <x v="0"/>
    <x v="1"/>
    <n v="286.05628708934103"/>
    <n v="1029.80263352163"/>
  </r>
  <r>
    <x v="0"/>
    <x v="0"/>
    <x v="0"/>
    <x v="0"/>
    <x v="0"/>
    <x v="1"/>
    <x v="0"/>
    <x v="0"/>
    <x v="2"/>
    <n v="284.77119320136097"/>
    <n v="1025.1762955249001"/>
  </r>
  <r>
    <x v="0"/>
    <x v="0"/>
    <x v="0"/>
    <x v="0"/>
    <x v="0"/>
    <x v="1"/>
    <x v="0"/>
    <x v="0"/>
    <x v="3"/>
    <n v="275.267227049452"/>
    <n v="990.96201737802801"/>
  </r>
  <r>
    <x v="0"/>
    <x v="0"/>
    <x v="0"/>
    <x v="0"/>
    <x v="0"/>
    <x v="1"/>
    <x v="0"/>
    <x v="0"/>
    <x v="4"/>
    <n v="313.15982733749098"/>
    <n v="1127.3753784149701"/>
  </r>
  <r>
    <x v="0"/>
    <x v="0"/>
    <x v="0"/>
    <x v="0"/>
    <x v="0"/>
    <x v="1"/>
    <x v="0"/>
    <x v="0"/>
    <x v="5"/>
    <n v="340.94878002858502"/>
    <n v="1227.41560810291"/>
  </r>
  <r>
    <x v="0"/>
    <x v="0"/>
    <x v="0"/>
    <x v="0"/>
    <x v="0"/>
    <x v="1"/>
    <x v="0"/>
    <x v="0"/>
    <x v="6"/>
    <n v="434.44537951122101"/>
    <n v="1564.0033662403901"/>
  </r>
  <r>
    <x v="0"/>
    <x v="0"/>
    <x v="0"/>
    <x v="0"/>
    <x v="0"/>
    <x v="1"/>
    <x v="0"/>
    <x v="0"/>
    <x v="7"/>
    <n v="289.63025300748097"/>
    <n v="1042.66891082693"/>
  </r>
  <r>
    <x v="0"/>
    <x v="0"/>
    <x v="0"/>
    <x v="0"/>
    <x v="0"/>
    <x v="1"/>
    <x v="0"/>
    <x v="0"/>
    <x v="8"/>
    <n v="144.81512650374"/>
    <n v="521.33445541346396"/>
  </r>
  <r>
    <x v="0"/>
    <x v="0"/>
    <x v="0"/>
    <x v="0"/>
    <x v="0"/>
    <x v="1"/>
    <x v="0"/>
    <x v="0"/>
    <x v="9"/>
    <n v="0"/>
    <n v="0"/>
  </r>
  <r>
    <x v="0"/>
    <x v="0"/>
    <x v="0"/>
    <x v="0"/>
    <x v="0"/>
    <x v="1"/>
    <x v="0"/>
    <x v="0"/>
    <x v="10"/>
    <n v="77.951205652429195"/>
    <n v="280.62434034874502"/>
  </r>
  <r>
    <x v="0"/>
    <x v="0"/>
    <x v="0"/>
    <x v="0"/>
    <x v="0"/>
    <x v="1"/>
    <x v="0"/>
    <x v="0"/>
    <x v="11"/>
    <n v="164.11440967880901"/>
    <n v="590.81187484371105"/>
  </r>
  <r>
    <x v="0"/>
    <x v="0"/>
    <x v="0"/>
    <x v="0"/>
    <x v="0"/>
    <x v="1"/>
    <x v="0"/>
    <x v="1"/>
    <x v="0"/>
    <n v="22.972748334372799"/>
    <n v="82.701894003742098"/>
  </r>
  <r>
    <x v="0"/>
    <x v="0"/>
    <x v="0"/>
    <x v="0"/>
    <x v="0"/>
    <x v="1"/>
    <x v="0"/>
    <x v="1"/>
    <x v="1"/>
    <n v="22.972748334372799"/>
    <n v="82.701894003742098"/>
  </r>
  <r>
    <x v="0"/>
    <x v="0"/>
    <x v="0"/>
    <x v="0"/>
    <x v="0"/>
    <x v="1"/>
    <x v="0"/>
    <x v="1"/>
    <x v="2"/>
    <n v="108.075728046528"/>
    <n v="389.072620967501"/>
  </r>
  <r>
    <x v="0"/>
    <x v="0"/>
    <x v="0"/>
    <x v="0"/>
    <x v="0"/>
    <x v="1"/>
    <x v="0"/>
    <x v="1"/>
    <x v="3"/>
    <n v="24.646994634734899"/>
    <n v="88.729180685045606"/>
  </r>
  <r>
    <x v="0"/>
    <x v="0"/>
    <x v="0"/>
    <x v="0"/>
    <x v="0"/>
    <x v="1"/>
    <x v="0"/>
    <x v="1"/>
    <x v="4"/>
    <n v="50.5349624687057"/>
    <n v="181.92586488734099"/>
  </r>
  <r>
    <x v="0"/>
    <x v="0"/>
    <x v="0"/>
    <x v="0"/>
    <x v="0"/>
    <x v="1"/>
    <x v="0"/>
    <x v="1"/>
    <x v="5"/>
    <n v="0"/>
    <n v="0"/>
  </r>
  <r>
    <x v="0"/>
    <x v="0"/>
    <x v="0"/>
    <x v="0"/>
    <x v="0"/>
    <x v="1"/>
    <x v="0"/>
    <x v="1"/>
    <x v="6"/>
    <n v="6.2119422624738698"/>
    <n v="22.362992144905899"/>
  </r>
  <r>
    <x v="0"/>
    <x v="0"/>
    <x v="0"/>
    <x v="0"/>
    <x v="0"/>
    <x v="1"/>
    <x v="0"/>
    <x v="1"/>
    <x v="7"/>
    <n v="6.2119422624738698"/>
    <n v="22.362992144905899"/>
  </r>
  <r>
    <x v="0"/>
    <x v="0"/>
    <x v="0"/>
    <x v="0"/>
    <x v="0"/>
    <x v="1"/>
    <x v="0"/>
    <x v="1"/>
    <x v="8"/>
    <n v="6.2119422624738698"/>
    <n v="22.362992144905899"/>
  </r>
  <r>
    <x v="0"/>
    <x v="0"/>
    <x v="0"/>
    <x v="0"/>
    <x v="0"/>
    <x v="1"/>
    <x v="0"/>
    <x v="1"/>
    <x v="9"/>
    <n v="6.2119422624738698"/>
    <n v="22.362992144905899"/>
  </r>
  <r>
    <x v="0"/>
    <x v="0"/>
    <x v="0"/>
    <x v="0"/>
    <x v="0"/>
    <x v="1"/>
    <x v="0"/>
    <x v="1"/>
    <x v="10"/>
    <n v="9.4841748298252107"/>
    <n v="34.143029387370703"/>
  </r>
  <r>
    <x v="0"/>
    <x v="0"/>
    <x v="0"/>
    <x v="0"/>
    <x v="0"/>
    <x v="1"/>
    <x v="0"/>
    <x v="1"/>
    <x v="11"/>
    <n v="22.972748334372799"/>
    <n v="82.701894003742098"/>
  </r>
  <r>
    <x v="0"/>
    <x v="0"/>
    <x v="0"/>
    <x v="0"/>
    <x v="0"/>
    <x v="1"/>
    <x v="0"/>
    <x v="2"/>
    <x v="0"/>
    <n v="88.713635424800501"/>
    <n v="319.36908752928201"/>
  </r>
  <r>
    <x v="0"/>
    <x v="0"/>
    <x v="0"/>
    <x v="0"/>
    <x v="0"/>
    <x v="1"/>
    <x v="0"/>
    <x v="2"/>
    <x v="1"/>
    <n v="125.31352841998201"/>
    <n v="451.12870231193398"/>
  </r>
  <r>
    <x v="0"/>
    <x v="0"/>
    <x v="0"/>
    <x v="0"/>
    <x v="0"/>
    <x v="1"/>
    <x v="0"/>
    <x v="2"/>
    <x v="2"/>
    <n v="93.904896942161599"/>
    <n v="338.057628991782"/>
  </r>
  <r>
    <x v="0"/>
    <x v="0"/>
    <x v="0"/>
    <x v="0"/>
    <x v="0"/>
    <x v="1"/>
    <x v="0"/>
    <x v="2"/>
    <x v="3"/>
    <n v="93.904896942161599"/>
    <n v="338.057628991782"/>
  </r>
  <r>
    <x v="0"/>
    <x v="0"/>
    <x v="0"/>
    <x v="0"/>
    <x v="0"/>
    <x v="1"/>
    <x v="0"/>
    <x v="2"/>
    <x v="4"/>
    <n v="92.001288089102204"/>
    <n v="331.20463712076798"/>
  </r>
  <r>
    <x v="0"/>
    <x v="0"/>
    <x v="0"/>
    <x v="0"/>
    <x v="0"/>
    <x v="1"/>
    <x v="0"/>
    <x v="2"/>
    <x v="5"/>
    <n v="58.930970327635301"/>
    <n v="212.15149317948701"/>
  </r>
  <r>
    <x v="0"/>
    <x v="0"/>
    <x v="0"/>
    <x v="0"/>
    <x v="0"/>
    <x v="1"/>
    <x v="0"/>
    <x v="2"/>
    <x v="6"/>
    <n v="111.957632074877"/>
    <n v="403.047475469559"/>
  </r>
  <r>
    <x v="0"/>
    <x v="0"/>
    <x v="0"/>
    <x v="0"/>
    <x v="0"/>
    <x v="1"/>
    <x v="0"/>
    <x v="2"/>
    <x v="7"/>
    <n v="48.387945256360702"/>
    <n v="174.19660292289899"/>
  </r>
  <r>
    <x v="0"/>
    <x v="0"/>
    <x v="0"/>
    <x v="0"/>
    <x v="0"/>
    <x v="1"/>
    <x v="0"/>
    <x v="2"/>
    <x v="8"/>
    <n v="48.387945256360702"/>
    <n v="174.19660292289899"/>
  </r>
  <r>
    <x v="0"/>
    <x v="0"/>
    <x v="0"/>
    <x v="0"/>
    <x v="0"/>
    <x v="1"/>
    <x v="0"/>
    <x v="2"/>
    <x v="9"/>
    <n v="0"/>
    <n v="0"/>
  </r>
  <r>
    <x v="0"/>
    <x v="0"/>
    <x v="0"/>
    <x v="0"/>
    <x v="0"/>
    <x v="1"/>
    <x v="0"/>
    <x v="2"/>
    <x v="10"/>
    <n v="39.187801542285001"/>
    <n v="141.076085552226"/>
  </r>
  <r>
    <x v="0"/>
    <x v="0"/>
    <x v="0"/>
    <x v="0"/>
    <x v="0"/>
    <x v="1"/>
    <x v="0"/>
    <x v="2"/>
    <x v="11"/>
    <n v="72.522205885152303"/>
    <n v="261.07994118654801"/>
  </r>
  <r>
    <x v="0"/>
    <x v="0"/>
    <x v="0"/>
    <x v="0"/>
    <x v="0"/>
    <x v="2"/>
    <x v="0"/>
    <x v="0"/>
    <x v="0"/>
    <n v="1244.2375939998601"/>
    <n v="4479.25533839951"/>
  </r>
  <r>
    <x v="0"/>
    <x v="0"/>
    <x v="0"/>
    <x v="0"/>
    <x v="0"/>
    <x v="2"/>
    <x v="0"/>
    <x v="0"/>
    <x v="1"/>
    <n v="988.05836536386198"/>
    <n v="3557.0101153098999"/>
  </r>
  <r>
    <x v="0"/>
    <x v="0"/>
    <x v="0"/>
    <x v="0"/>
    <x v="0"/>
    <x v="2"/>
    <x v="0"/>
    <x v="0"/>
    <x v="2"/>
    <n v="815.99531160018205"/>
    <n v="2937.5831217606601"/>
  </r>
  <r>
    <x v="0"/>
    <x v="0"/>
    <x v="0"/>
    <x v="0"/>
    <x v="0"/>
    <x v="2"/>
    <x v="0"/>
    <x v="0"/>
    <x v="3"/>
    <n v="473.46356336336402"/>
    <n v="1704.4688281081101"/>
  </r>
  <r>
    <x v="0"/>
    <x v="0"/>
    <x v="0"/>
    <x v="0"/>
    <x v="0"/>
    <x v="2"/>
    <x v="0"/>
    <x v="0"/>
    <x v="4"/>
    <n v="237.81137898512199"/>
    <n v="856.12096434643797"/>
  </r>
  <r>
    <x v="0"/>
    <x v="0"/>
    <x v="0"/>
    <x v="0"/>
    <x v="0"/>
    <x v="2"/>
    <x v="0"/>
    <x v="0"/>
    <x v="5"/>
    <n v="0"/>
    <n v="0"/>
  </r>
  <r>
    <x v="0"/>
    <x v="0"/>
    <x v="0"/>
    <x v="0"/>
    <x v="0"/>
    <x v="2"/>
    <x v="0"/>
    <x v="0"/>
    <x v="6"/>
    <n v="220.63613694678801"/>
    <n v="794.29009300843597"/>
  </r>
  <r>
    <x v="0"/>
    <x v="0"/>
    <x v="0"/>
    <x v="0"/>
    <x v="0"/>
    <x v="2"/>
    <x v="0"/>
    <x v="0"/>
    <x v="7"/>
    <n v="304.44310892280299"/>
    <n v="1095.99519212209"/>
  </r>
  <r>
    <x v="0"/>
    <x v="0"/>
    <x v="0"/>
    <x v="0"/>
    <x v="0"/>
    <x v="2"/>
    <x v="0"/>
    <x v="0"/>
    <x v="8"/>
    <n v="366.11138205677298"/>
    <n v="1318.0009754043799"/>
  </r>
  <r>
    <x v="0"/>
    <x v="0"/>
    <x v="0"/>
    <x v="0"/>
    <x v="0"/>
    <x v="2"/>
    <x v="0"/>
    <x v="0"/>
    <x v="9"/>
    <n v="398.20406723373497"/>
    <n v="1433.5346420414401"/>
  </r>
  <r>
    <x v="0"/>
    <x v="0"/>
    <x v="0"/>
    <x v="0"/>
    <x v="0"/>
    <x v="2"/>
    <x v="0"/>
    <x v="0"/>
    <x v="10"/>
    <n v="723.60922805871201"/>
    <n v="2604.9932210113602"/>
  </r>
  <r>
    <x v="0"/>
    <x v="0"/>
    <x v="0"/>
    <x v="0"/>
    <x v="0"/>
    <x v="2"/>
    <x v="0"/>
    <x v="0"/>
    <x v="11"/>
    <n v="1049.0143888836899"/>
    <n v="3776.4517999812801"/>
  </r>
  <r>
    <x v="0"/>
    <x v="0"/>
    <x v="0"/>
    <x v="0"/>
    <x v="0"/>
    <x v="2"/>
    <x v="0"/>
    <x v="1"/>
    <x v="0"/>
    <n v="0"/>
    <n v="0"/>
  </r>
  <r>
    <x v="0"/>
    <x v="0"/>
    <x v="0"/>
    <x v="0"/>
    <x v="0"/>
    <x v="2"/>
    <x v="0"/>
    <x v="1"/>
    <x v="1"/>
    <n v="0"/>
    <n v="0"/>
  </r>
  <r>
    <x v="0"/>
    <x v="0"/>
    <x v="0"/>
    <x v="0"/>
    <x v="0"/>
    <x v="2"/>
    <x v="0"/>
    <x v="1"/>
    <x v="2"/>
    <n v="325.40516082497697"/>
    <n v="1171.4585789699199"/>
  </r>
  <r>
    <x v="0"/>
    <x v="0"/>
    <x v="0"/>
    <x v="0"/>
    <x v="0"/>
    <x v="2"/>
    <x v="0"/>
    <x v="1"/>
    <x v="3"/>
    <n v="495.21122510964602"/>
    <n v="1782.7604103947201"/>
  </r>
  <r>
    <x v="0"/>
    <x v="0"/>
    <x v="0"/>
    <x v="0"/>
    <x v="0"/>
    <x v="2"/>
    <x v="0"/>
    <x v="1"/>
    <x v="4"/>
    <n v="820.61638593462305"/>
    <n v="2954.21898936464"/>
  </r>
  <r>
    <x v="0"/>
    <x v="0"/>
    <x v="0"/>
    <x v="0"/>
    <x v="0"/>
    <x v="2"/>
    <x v="0"/>
    <x v="1"/>
    <x v="5"/>
    <n v="478.08463769780502"/>
    <n v="1721.1046957121"/>
  </r>
  <r>
    <x v="0"/>
    <x v="0"/>
    <x v="0"/>
    <x v="0"/>
    <x v="0"/>
    <x v="2"/>
    <x v="0"/>
    <x v="1"/>
    <x v="6"/>
    <n v="437.29235609320398"/>
    <n v="1574.2524819355301"/>
  </r>
  <r>
    <x v="0"/>
    <x v="0"/>
    <x v="0"/>
    <x v="0"/>
    <x v="0"/>
    <x v="2"/>
    <x v="0"/>
    <x v="1"/>
    <x v="7"/>
    <n v="437.29235609320398"/>
    <n v="1574.2524819355301"/>
  </r>
  <r>
    <x v="0"/>
    <x v="0"/>
    <x v="0"/>
    <x v="0"/>
    <x v="0"/>
    <x v="2"/>
    <x v="0"/>
    <x v="1"/>
    <x v="8"/>
    <n v="437.29235609320398"/>
    <n v="1574.2524819355301"/>
  </r>
  <r>
    <x v="0"/>
    <x v="0"/>
    <x v="0"/>
    <x v="0"/>
    <x v="0"/>
    <x v="2"/>
    <x v="0"/>
    <x v="1"/>
    <x v="9"/>
    <n v="437.29235609320398"/>
    <n v="1574.2524819355301"/>
  </r>
  <r>
    <x v="0"/>
    <x v="0"/>
    <x v="0"/>
    <x v="0"/>
    <x v="0"/>
    <x v="2"/>
    <x v="0"/>
    <x v="1"/>
    <x v="10"/>
    <n v="263.16576261073101"/>
    <n v="947.39674539862995"/>
  </r>
  <r>
    <x v="0"/>
    <x v="0"/>
    <x v="0"/>
    <x v="0"/>
    <x v="0"/>
    <x v="2"/>
    <x v="0"/>
    <x v="1"/>
    <x v="11"/>
    <n v="263.16576261073101"/>
    <n v="947.39674539862995"/>
  </r>
  <r>
    <x v="0"/>
    <x v="0"/>
    <x v="0"/>
    <x v="0"/>
    <x v="0"/>
    <x v="2"/>
    <x v="0"/>
    <x v="2"/>
    <x v="0"/>
    <n v="260.94080218444799"/>
    <n v="939.38688786401303"/>
  </r>
  <r>
    <x v="0"/>
    <x v="0"/>
    <x v="0"/>
    <x v="0"/>
    <x v="0"/>
    <x v="2"/>
    <x v="0"/>
    <x v="2"/>
    <x v="1"/>
    <n v="92.388506947068507"/>
    <n v="332.59862500944701"/>
  </r>
  <r>
    <x v="0"/>
    <x v="0"/>
    <x v="0"/>
    <x v="0"/>
    <x v="0"/>
    <x v="2"/>
    <x v="0"/>
    <x v="2"/>
    <x v="2"/>
    <n v="342.53174823681798"/>
    <n v="1233.11429365255"/>
  </r>
  <r>
    <x v="0"/>
    <x v="0"/>
    <x v="0"/>
    <x v="0"/>
    <x v="0"/>
    <x v="2"/>
    <x v="0"/>
    <x v="2"/>
    <x v="3"/>
    <n v="0"/>
    <n v="0"/>
  </r>
  <r>
    <x v="0"/>
    <x v="0"/>
    <x v="0"/>
    <x v="0"/>
    <x v="0"/>
    <x v="2"/>
    <x v="0"/>
    <x v="2"/>
    <x v="4"/>
    <n v="305.05078273108802"/>
    <n v="1098.1828178319199"/>
  </r>
  <r>
    <x v="0"/>
    <x v="0"/>
    <x v="0"/>
    <x v="0"/>
    <x v="0"/>
    <x v="2"/>
    <x v="0"/>
    <x v="2"/>
    <x v="5"/>
    <n v="367.78222249400102"/>
    <n v="1324.0160009783999"/>
  </r>
  <r>
    <x v="0"/>
    <x v="0"/>
    <x v="0"/>
    <x v="0"/>
    <x v="0"/>
    <x v="2"/>
    <x v="0"/>
    <x v="2"/>
    <x v="6"/>
    <n v="199.12118188250699"/>
    <n v="716.83625477702606"/>
  </r>
  <r>
    <x v="0"/>
    <x v="0"/>
    <x v="0"/>
    <x v="0"/>
    <x v="0"/>
    <x v="2"/>
    <x v="0"/>
    <x v="2"/>
    <x v="7"/>
    <n v="396.79717482560199"/>
    <n v="1428.4698293721699"/>
  </r>
  <r>
    <x v="0"/>
    <x v="0"/>
    <x v="0"/>
    <x v="0"/>
    <x v="0"/>
    <x v="2"/>
    <x v="0"/>
    <x v="2"/>
    <x v="8"/>
    <n v="590.00087961848703"/>
    <n v="2124.00316662655"/>
  </r>
  <r>
    <x v="0"/>
    <x v="0"/>
    <x v="0"/>
    <x v="0"/>
    <x v="0"/>
    <x v="2"/>
    <x v="0"/>
    <x v="2"/>
    <x v="9"/>
    <n v="809.69874396594003"/>
    <n v="2914.9154782773899"/>
  </r>
  <r>
    <x v="0"/>
    <x v="0"/>
    <x v="0"/>
    <x v="0"/>
    <x v="0"/>
    <x v="2"/>
    <x v="0"/>
    <x v="2"/>
    <x v="10"/>
    <n v="643.86901566577899"/>
    <n v="2317.9284563968099"/>
  </r>
  <r>
    <x v="0"/>
    <x v="0"/>
    <x v="0"/>
    <x v="0"/>
    <x v="0"/>
    <x v="2"/>
    <x v="0"/>
    <x v="2"/>
    <x v="11"/>
    <n v="473.31503663138602"/>
    <n v="1703.9341318729901"/>
  </r>
  <r>
    <x v="0"/>
    <x v="0"/>
    <x v="0"/>
    <x v="0"/>
    <x v="0"/>
    <x v="3"/>
    <x v="0"/>
    <x v="0"/>
    <x v="0"/>
    <n v="395.87071456294598"/>
    <n v="1425.1345724266"/>
  </r>
  <r>
    <x v="0"/>
    <x v="0"/>
    <x v="0"/>
    <x v="0"/>
    <x v="0"/>
    <x v="3"/>
    <x v="0"/>
    <x v="0"/>
    <x v="1"/>
    <n v="272.964553915105"/>
    <n v="982.67239409437695"/>
  </r>
  <r>
    <x v="0"/>
    <x v="0"/>
    <x v="0"/>
    <x v="0"/>
    <x v="0"/>
    <x v="3"/>
    <x v="0"/>
    <x v="0"/>
    <x v="2"/>
    <n v="188.58723159357501"/>
    <n v="678.91403373686899"/>
  </r>
  <r>
    <x v="0"/>
    <x v="0"/>
    <x v="0"/>
    <x v="0"/>
    <x v="0"/>
    <x v="3"/>
    <x v="0"/>
    <x v="0"/>
    <x v="3"/>
    <n v="49.6180975239131"/>
    <n v="178.62515108608699"/>
  </r>
  <r>
    <x v="0"/>
    <x v="0"/>
    <x v="0"/>
    <x v="0"/>
    <x v="0"/>
    <x v="3"/>
    <x v="0"/>
    <x v="0"/>
    <x v="4"/>
    <n v="43.330156311384698"/>
    <n v="155.98856272098499"/>
  </r>
  <r>
    <x v="0"/>
    <x v="0"/>
    <x v="0"/>
    <x v="0"/>
    <x v="0"/>
    <x v="3"/>
    <x v="0"/>
    <x v="0"/>
    <x v="5"/>
    <n v="175.350833677563"/>
    <n v="631.26300123922795"/>
  </r>
  <r>
    <x v="0"/>
    <x v="0"/>
    <x v="0"/>
    <x v="0"/>
    <x v="0"/>
    <x v="3"/>
    <x v="0"/>
    <x v="0"/>
    <x v="6"/>
    <n v="292.52611704102998"/>
    <n v="1053.0940213477099"/>
  </r>
  <r>
    <x v="0"/>
    <x v="0"/>
    <x v="0"/>
    <x v="0"/>
    <x v="0"/>
    <x v="3"/>
    <x v="0"/>
    <x v="0"/>
    <x v="7"/>
    <n v="277.93826813932299"/>
    <n v="1000.57776530156"/>
  </r>
  <r>
    <x v="0"/>
    <x v="0"/>
    <x v="0"/>
    <x v="0"/>
    <x v="0"/>
    <x v="3"/>
    <x v="0"/>
    <x v="0"/>
    <x v="8"/>
    <n v="138.969134069662"/>
    <n v="500.288882650782"/>
  </r>
  <r>
    <x v="0"/>
    <x v="0"/>
    <x v="0"/>
    <x v="0"/>
    <x v="0"/>
    <x v="3"/>
    <x v="0"/>
    <x v="0"/>
    <x v="9"/>
    <n v="0"/>
    <n v="0"/>
  </r>
  <r>
    <x v="0"/>
    <x v="0"/>
    <x v="0"/>
    <x v="0"/>
    <x v="0"/>
    <x v="3"/>
    <x v="0"/>
    <x v="0"/>
    <x v="10"/>
    <n v="132.020677366179"/>
    <n v="475.27443851824302"/>
  </r>
  <r>
    <x v="0"/>
    <x v="0"/>
    <x v="0"/>
    <x v="0"/>
    <x v="0"/>
    <x v="3"/>
    <x v="0"/>
    <x v="0"/>
    <x v="11"/>
    <n v="263.850037196767"/>
    <n v="949.86013390836104"/>
  </r>
  <r>
    <x v="0"/>
    <x v="0"/>
    <x v="0"/>
    <x v="0"/>
    <x v="0"/>
    <x v="3"/>
    <x v="0"/>
    <x v="1"/>
    <x v="0"/>
    <n v="72.018733755054001"/>
    <n v="259.267441518194"/>
  </r>
  <r>
    <x v="0"/>
    <x v="0"/>
    <x v="0"/>
    <x v="0"/>
    <x v="0"/>
    <x v="3"/>
    <x v="0"/>
    <x v="1"/>
    <x v="1"/>
    <n v="111.568923543133"/>
    <n v="401.64812475527799"/>
  </r>
  <r>
    <x v="0"/>
    <x v="0"/>
    <x v="0"/>
    <x v="0"/>
    <x v="0"/>
    <x v="3"/>
    <x v="0"/>
    <x v="1"/>
    <x v="2"/>
    <n v="145.91759077314501"/>
    <n v="525.30332678332104"/>
  </r>
  <r>
    <x v="0"/>
    <x v="0"/>
    <x v="0"/>
    <x v="0"/>
    <x v="0"/>
    <x v="3"/>
    <x v="0"/>
    <x v="1"/>
    <x v="3"/>
    <n v="6.9484567034830897"/>
    <n v="25.014444132539101"/>
  </r>
  <r>
    <x v="0"/>
    <x v="0"/>
    <x v="0"/>
    <x v="0"/>
    <x v="0"/>
    <x v="3"/>
    <x v="0"/>
    <x v="1"/>
    <x v="4"/>
    <n v="138.969134069662"/>
    <n v="500.288882650782"/>
  </r>
  <r>
    <x v="0"/>
    <x v="0"/>
    <x v="0"/>
    <x v="0"/>
    <x v="0"/>
    <x v="3"/>
    <x v="0"/>
    <x v="1"/>
    <x v="5"/>
    <n v="0"/>
    <n v="0"/>
  </r>
  <r>
    <x v="0"/>
    <x v="0"/>
    <x v="0"/>
    <x v="0"/>
    <x v="0"/>
    <x v="3"/>
    <x v="0"/>
    <x v="1"/>
    <x v="6"/>
    <n v="20.417482430879499"/>
    <n v="73.502936751166203"/>
  </r>
  <r>
    <x v="0"/>
    <x v="0"/>
    <x v="0"/>
    <x v="0"/>
    <x v="0"/>
    <x v="3"/>
    <x v="0"/>
    <x v="1"/>
    <x v="7"/>
    <n v="20.417482430879499"/>
    <n v="73.502936751166203"/>
  </r>
  <r>
    <x v="0"/>
    <x v="0"/>
    <x v="0"/>
    <x v="0"/>
    <x v="0"/>
    <x v="3"/>
    <x v="0"/>
    <x v="1"/>
    <x v="8"/>
    <n v="23.3038984028851"/>
    <n v="83.894034250386298"/>
  </r>
  <r>
    <x v="0"/>
    <x v="0"/>
    <x v="0"/>
    <x v="0"/>
    <x v="0"/>
    <x v="3"/>
    <x v="0"/>
    <x v="1"/>
    <x v="9"/>
    <n v="0"/>
    <n v="0"/>
  </r>
  <r>
    <x v="0"/>
    <x v="0"/>
    <x v="0"/>
    <x v="0"/>
    <x v="0"/>
    <x v="3"/>
    <x v="0"/>
    <x v="1"/>
    <x v="10"/>
    <n v="0"/>
    <n v="0"/>
  </r>
  <r>
    <x v="0"/>
    <x v="0"/>
    <x v="0"/>
    <x v="0"/>
    <x v="0"/>
    <x v="3"/>
    <x v="0"/>
    <x v="1"/>
    <x v="11"/>
    <n v="72.018733755054001"/>
    <n v="259.267441518194"/>
  </r>
  <r>
    <x v="0"/>
    <x v="0"/>
    <x v="0"/>
    <x v="0"/>
    <x v="0"/>
    <x v="3"/>
    <x v="0"/>
    <x v="2"/>
    <x v="0"/>
    <n v="129.236724607383"/>
    <n v="465.25220858657798"/>
  </r>
  <r>
    <x v="0"/>
    <x v="0"/>
    <x v="0"/>
    <x v="0"/>
    <x v="0"/>
    <x v="3"/>
    <x v="0"/>
    <x v="2"/>
    <x v="1"/>
    <n v="129.236724607383"/>
    <n v="465.25220858657798"/>
  </r>
  <r>
    <x v="0"/>
    <x v="0"/>
    <x v="0"/>
    <x v="0"/>
    <x v="0"/>
    <x v="3"/>
    <x v="0"/>
    <x v="2"/>
    <x v="2"/>
    <n v="129.236724607383"/>
    <n v="465.25220858657798"/>
  </r>
  <r>
    <x v="0"/>
    <x v="0"/>
    <x v="0"/>
    <x v="0"/>
    <x v="0"/>
    <x v="3"/>
    <x v="0"/>
    <x v="2"/>
    <x v="3"/>
    <n v="0"/>
    <n v="0"/>
  </r>
  <r>
    <x v="0"/>
    <x v="0"/>
    <x v="0"/>
    <x v="0"/>
    <x v="0"/>
    <x v="3"/>
    <x v="0"/>
    <x v="2"/>
    <x v="4"/>
    <n v="0"/>
    <n v="0"/>
  </r>
  <r>
    <x v="0"/>
    <x v="0"/>
    <x v="0"/>
    <x v="0"/>
    <x v="0"/>
    <x v="3"/>
    <x v="0"/>
    <x v="2"/>
    <x v="5"/>
    <n v="0"/>
    <n v="0"/>
  </r>
  <r>
    <x v="0"/>
    <x v="0"/>
    <x v="0"/>
    <x v="0"/>
    <x v="0"/>
    <x v="3"/>
    <x v="0"/>
    <x v="2"/>
    <x v="6"/>
    <n v="0"/>
    <n v="0"/>
  </r>
  <r>
    <x v="0"/>
    <x v="0"/>
    <x v="0"/>
    <x v="0"/>
    <x v="0"/>
    <x v="3"/>
    <x v="0"/>
    <x v="2"/>
    <x v="7"/>
    <n v="0"/>
    <n v="0"/>
  </r>
  <r>
    <x v="0"/>
    <x v="0"/>
    <x v="0"/>
    <x v="0"/>
    <x v="0"/>
    <x v="3"/>
    <x v="0"/>
    <x v="2"/>
    <x v="8"/>
    <n v="0"/>
    <n v="0"/>
  </r>
  <r>
    <x v="0"/>
    <x v="0"/>
    <x v="0"/>
    <x v="0"/>
    <x v="0"/>
    <x v="3"/>
    <x v="0"/>
    <x v="2"/>
    <x v="9"/>
    <n v="0"/>
    <n v="0"/>
  </r>
  <r>
    <x v="0"/>
    <x v="0"/>
    <x v="0"/>
    <x v="0"/>
    <x v="0"/>
    <x v="3"/>
    <x v="0"/>
    <x v="2"/>
    <x v="10"/>
    <n v="130.474164070125"/>
    <n v="469.70699065244901"/>
  </r>
  <r>
    <x v="0"/>
    <x v="0"/>
    <x v="0"/>
    <x v="0"/>
    <x v="0"/>
    <x v="3"/>
    <x v="0"/>
    <x v="2"/>
    <x v="11"/>
    <n v="129.236724607383"/>
    <n v="465.25220858657798"/>
  </r>
  <r>
    <x v="0"/>
    <x v="0"/>
    <x v="0"/>
    <x v="0"/>
    <x v="0"/>
    <x v="4"/>
    <x v="0"/>
    <x v="0"/>
    <x v="0"/>
    <n v="34.923853194012899"/>
    <n v="125.725871498446"/>
  </r>
  <r>
    <x v="0"/>
    <x v="0"/>
    <x v="0"/>
    <x v="0"/>
    <x v="0"/>
    <x v="4"/>
    <x v="0"/>
    <x v="0"/>
    <x v="1"/>
    <n v="34.923853194012899"/>
    <n v="125.725871498446"/>
  </r>
  <r>
    <x v="0"/>
    <x v="0"/>
    <x v="0"/>
    <x v="0"/>
    <x v="0"/>
    <x v="4"/>
    <x v="0"/>
    <x v="0"/>
    <x v="2"/>
    <n v="34.133590568299901"/>
    <n v="122.88092604588"/>
  </r>
  <r>
    <x v="0"/>
    <x v="0"/>
    <x v="0"/>
    <x v="0"/>
    <x v="0"/>
    <x v="4"/>
    <x v="0"/>
    <x v="0"/>
    <x v="3"/>
    <n v="29.5383467269824"/>
    <n v="106.338048217137"/>
  </r>
  <r>
    <x v="0"/>
    <x v="0"/>
    <x v="0"/>
    <x v="0"/>
    <x v="0"/>
    <x v="4"/>
    <x v="0"/>
    <x v="0"/>
    <x v="4"/>
    <n v="30.5583715447613"/>
    <n v="110.01013756114099"/>
  </r>
  <r>
    <x v="0"/>
    <x v="0"/>
    <x v="0"/>
    <x v="0"/>
    <x v="0"/>
    <x v="4"/>
    <x v="0"/>
    <x v="0"/>
    <x v="5"/>
    <n v="30.5583715447613"/>
    <n v="110.01013756114099"/>
  </r>
  <r>
    <x v="0"/>
    <x v="0"/>
    <x v="0"/>
    <x v="0"/>
    <x v="0"/>
    <x v="4"/>
    <x v="0"/>
    <x v="0"/>
    <x v="6"/>
    <n v="34.923853194012899"/>
    <n v="125.725871498446"/>
  </r>
  <r>
    <x v="0"/>
    <x v="0"/>
    <x v="0"/>
    <x v="0"/>
    <x v="0"/>
    <x v="4"/>
    <x v="0"/>
    <x v="0"/>
    <x v="7"/>
    <n v="34.923853194012899"/>
    <n v="125.725871498446"/>
  </r>
  <r>
    <x v="0"/>
    <x v="0"/>
    <x v="0"/>
    <x v="0"/>
    <x v="0"/>
    <x v="4"/>
    <x v="0"/>
    <x v="0"/>
    <x v="8"/>
    <n v="33.549609058754001"/>
    <n v="120.77859261151499"/>
  </r>
  <r>
    <x v="0"/>
    <x v="0"/>
    <x v="0"/>
    <x v="0"/>
    <x v="0"/>
    <x v="4"/>
    <x v="0"/>
    <x v="0"/>
    <x v="9"/>
    <n v="28.9543652174366"/>
    <n v="104.23571478277201"/>
  </r>
  <r>
    <x v="0"/>
    <x v="0"/>
    <x v="0"/>
    <x v="0"/>
    <x v="0"/>
    <x v="4"/>
    <x v="0"/>
    <x v="0"/>
    <x v="10"/>
    <n v="33.319846866688202"/>
    <n v="119.951448720077"/>
  </r>
  <r>
    <x v="0"/>
    <x v="0"/>
    <x v="0"/>
    <x v="0"/>
    <x v="0"/>
    <x v="4"/>
    <x v="0"/>
    <x v="0"/>
    <x v="11"/>
    <n v="33.319846866688202"/>
    <n v="119.951448720077"/>
  </r>
  <r>
    <x v="0"/>
    <x v="0"/>
    <x v="0"/>
    <x v="0"/>
    <x v="0"/>
    <x v="4"/>
    <x v="0"/>
    <x v="1"/>
    <x v="0"/>
    <n v="0"/>
    <n v="0"/>
  </r>
  <r>
    <x v="0"/>
    <x v="0"/>
    <x v="0"/>
    <x v="0"/>
    <x v="0"/>
    <x v="4"/>
    <x v="0"/>
    <x v="1"/>
    <x v="1"/>
    <n v="4.3654816492516098"/>
    <n v="15.715733937305799"/>
  </r>
  <r>
    <x v="0"/>
    <x v="0"/>
    <x v="0"/>
    <x v="0"/>
    <x v="0"/>
    <x v="4"/>
    <x v="0"/>
    <x v="1"/>
    <x v="2"/>
    <n v="8.7309632985032195"/>
    <n v="31.431467874611599"/>
  </r>
  <r>
    <x v="0"/>
    <x v="0"/>
    <x v="0"/>
    <x v="0"/>
    <x v="0"/>
    <x v="4"/>
    <x v="0"/>
    <x v="1"/>
    <x v="3"/>
    <n v="4.1357194571857399"/>
    <n v="14.8885900458687"/>
  </r>
  <r>
    <x v="0"/>
    <x v="0"/>
    <x v="0"/>
    <x v="0"/>
    <x v="0"/>
    <x v="4"/>
    <x v="0"/>
    <x v="1"/>
    <x v="4"/>
    <n v="4.5952438413174903"/>
    <n v="16.542877828742999"/>
  </r>
  <r>
    <x v="0"/>
    <x v="0"/>
    <x v="0"/>
    <x v="0"/>
    <x v="0"/>
    <x v="4"/>
    <x v="0"/>
    <x v="1"/>
    <x v="5"/>
    <n v="0"/>
    <n v="0"/>
  </r>
  <r>
    <x v="0"/>
    <x v="0"/>
    <x v="0"/>
    <x v="0"/>
    <x v="0"/>
    <x v="4"/>
    <x v="0"/>
    <x v="1"/>
    <x v="6"/>
    <n v="0"/>
    <n v="0"/>
  </r>
  <r>
    <x v="0"/>
    <x v="0"/>
    <x v="0"/>
    <x v="0"/>
    <x v="0"/>
    <x v="4"/>
    <x v="0"/>
    <x v="1"/>
    <x v="7"/>
    <n v="0"/>
    <n v="0"/>
  </r>
  <r>
    <x v="0"/>
    <x v="0"/>
    <x v="0"/>
    <x v="0"/>
    <x v="0"/>
    <x v="4"/>
    <x v="0"/>
    <x v="1"/>
    <x v="8"/>
    <n v="0"/>
    <n v="0"/>
  </r>
  <r>
    <x v="0"/>
    <x v="0"/>
    <x v="0"/>
    <x v="0"/>
    <x v="0"/>
    <x v="4"/>
    <x v="0"/>
    <x v="1"/>
    <x v="9"/>
    <n v="0"/>
    <n v="0"/>
  </r>
  <r>
    <x v="0"/>
    <x v="0"/>
    <x v="0"/>
    <x v="0"/>
    <x v="0"/>
    <x v="4"/>
    <x v="0"/>
    <x v="1"/>
    <x v="10"/>
    <n v="0"/>
    <n v="0"/>
  </r>
  <r>
    <x v="0"/>
    <x v="0"/>
    <x v="0"/>
    <x v="0"/>
    <x v="0"/>
    <x v="4"/>
    <x v="0"/>
    <x v="1"/>
    <x v="11"/>
    <n v="0"/>
    <n v="0"/>
  </r>
  <r>
    <x v="0"/>
    <x v="0"/>
    <x v="0"/>
    <x v="0"/>
    <x v="0"/>
    <x v="4"/>
    <x v="0"/>
    <x v="2"/>
    <x v="0"/>
    <n v="0"/>
    <n v="0"/>
  </r>
  <r>
    <x v="0"/>
    <x v="0"/>
    <x v="0"/>
    <x v="0"/>
    <x v="0"/>
    <x v="4"/>
    <x v="0"/>
    <x v="2"/>
    <x v="1"/>
    <n v="0"/>
    <n v="0"/>
  </r>
  <r>
    <x v="0"/>
    <x v="0"/>
    <x v="0"/>
    <x v="0"/>
    <x v="0"/>
    <x v="4"/>
    <x v="0"/>
    <x v="2"/>
    <x v="2"/>
    <n v="0"/>
    <n v="0"/>
  </r>
  <r>
    <x v="0"/>
    <x v="0"/>
    <x v="0"/>
    <x v="0"/>
    <x v="0"/>
    <x v="4"/>
    <x v="0"/>
    <x v="2"/>
    <x v="3"/>
    <n v="0"/>
    <n v="0"/>
  </r>
  <r>
    <x v="0"/>
    <x v="0"/>
    <x v="0"/>
    <x v="0"/>
    <x v="0"/>
    <x v="4"/>
    <x v="0"/>
    <x v="2"/>
    <x v="4"/>
    <n v="0"/>
    <n v="0"/>
  </r>
  <r>
    <x v="0"/>
    <x v="0"/>
    <x v="0"/>
    <x v="0"/>
    <x v="0"/>
    <x v="4"/>
    <x v="0"/>
    <x v="2"/>
    <x v="5"/>
    <n v="0"/>
    <n v="0"/>
  </r>
  <r>
    <x v="0"/>
    <x v="0"/>
    <x v="0"/>
    <x v="0"/>
    <x v="0"/>
    <x v="4"/>
    <x v="0"/>
    <x v="2"/>
    <x v="6"/>
    <n v="0"/>
    <n v="0"/>
  </r>
  <r>
    <x v="0"/>
    <x v="0"/>
    <x v="0"/>
    <x v="0"/>
    <x v="0"/>
    <x v="4"/>
    <x v="0"/>
    <x v="2"/>
    <x v="7"/>
    <n v="0"/>
    <n v="0"/>
  </r>
  <r>
    <x v="0"/>
    <x v="0"/>
    <x v="0"/>
    <x v="0"/>
    <x v="0"/>
    <x v="4"/>
    <x v="0"/>
    <x v="2"/>
    <x v="8"/>
    <n v="0"/>
    <n v="0"/>
  </r>
  <r>
    <x v="0"/>
    <x v="0"/>
    <x v="0"/>
    <x v="0"/>
    <x v="0"/>
    <x v="4"/>
    <x v="0"/>
    <x v="2"/>
    <x v="9"/>
    <n v="0"/>
    <n v="0"/>
  </r>
  <r>
    <x v="0"/>
    <x v="0"/>
    <x v="0"/>
    <x v="0"/>
    <x v="0"/>
    <x v="4"/>
    <x v="0"/>
    <x v="2"/>
    <x v="10"/>
    <n v="0"/>
    <n v="0"/>
  </r>
  <r>
    <x v="0"/>
    <x v="0"/>
    <x v="0"/>
    <x v="0"/>
    <x v="0"/>
    <x v="4"/>
    <x v="0"/>
    <x v="2"/>
    <x v="11"/>
    <n v="0"/>
    <n v="0"/>
  </r>
  <r>
    <x v="0"/>
    <x v="0"/>
    <x v="0"/>
    <x v="0"/>
    <x v="1"/>
    <x v="5"/>
    <x v="0"/>
    <x v="0"/>
    <x v="0"/>
    <n v="1506.6710458468999"/>
    <n v="5424.01576504884"/>
  </r>
  <r>
    <x v="0"/>
    <x v="0"/>
    <x v="0"/>
    <x v="0"/>
    <x v="1"/>
    <x v="5"/>
    <x v="0"/>
    <x v="0"/>
    <x v="1"/>
    <n v="719.13769896198903"/>
    <n v="2588.89571626316"/>
  </r>
  <r>
    <x v="0"/>
    <x v="0"/>
    <x v="0"/>
    <x v="0"/>
    <x v="1"/>
    <x v="5"/>
    <x v="0"/>
    <x v="0"/>
    <x v="2"/>
    <n v="641.85655848640295"/>
    <n v="2310.6836105510502"/>
  </r>
  <r>
    <x v="0"/>
    <x v="0"/>
    <x v="0"/>
    <x v="0"/>
    <x v="1"/>
    <x v="5"/>
    <x v="0"/>
    <x v="0"/>
    <x v="3"/>
    <n v="0"/>
    <n v="0"/>
  </r>
  <r>
    <x v="0"/>
    <x v="0"/>
    <x v="0"/>
    <x v="0"/>
    <x v="1"/>
    <x v="5"/>
    <x v="0"/>
    <x v="0"/>
    <x v="4"/>
    <n v="0"/>
    <n v="0"/>
  </r>
  <r>
    <x v="0"/>
    <x v="0"/>
    <x v="0"/>
    <x v="0"/>
    <x v="1"/>
    <x v="5"/>
    <x v="0"/>
    <x v="0"/>
    <x v="5"/>
    <n v="0"/>
    <n v="0"/>
  </r>
  <r>
    <x v="0"/>
    <x v="0"/>
    <x v="0"/>
    <x v="0"/>
    <x v="1"/>
    <x v="5"/>
    <x v="0"/>
    <x v="0"/>
    <x v="6"/>
    <n v="0"/>
    <n v="0"/>
  </r>
  <r>
    <x v="0"/>
    <x v="0"/>
    <x v="0"/>
    <x v="0"/>
    <x v="1"/>
    <x v="5"/>
    <x v="0"/>
    <x v="0"/>
    <x v="7"/>
    <n v="0"/>
    <n v="0"/>
  </r>
  <r>
    <x v="0"/>
    <x v="0"/>
    <x v="0"/>
    <x v="0"/>
    <x v="1"/>
    <x v="5"/>
    <x v="0"/>
    <x v="0"/>
    <x v="8"/>
    <n v="0"/>
    <n v="0"/>
  </r>
  <r>
    <x v="0"/>
    <x v="0"/>
    <x v="0"/>
    <x v="0"/>
    <x v="1"/>
    <x v="5"/>
    <x v="0"/>
    <x v="0"/>
    <x v="9"/>
    <n v="479.78059605737002"/>
    <n v="1727.2101458065299"/>
  </r>
  <r>
    <x v="0"/>
    <x v="0"/>
    <x v="0"/>
    <x v="0"/>
    <x v="1"/>
    <x v="5"/>
    <x v="0"/>
    <x v="0"/>
    <x v="10"/>
    <n v="681.27268686368302"/>
    <n v="2452.5816727092601"/>
  </r>
  <r>
    <x v="0"/>
    <x v="0"/>
    <x v="0"/>
    <x v="0"/>
    <x v="1"/>
    <x v="5"/>
    <x v="0"/>
    <x v="0"/>
    <x v="11"/>
    <n v="1053.08714305135"/>
    <n v="3791.1137149848601"/>
  </r>
  <r>
    <x v="0"/>
    <x v="0"/>
    <x v="0"/>
    <x v="0"/>
    <x v="1"/>
    <x v="5"/>
    <x v="0"/>
    <x v="1"/>
    <x v="0"/>
    <n v="187.151993846332"/>
    <n v="673.74717784679603"/>
  </r>
  <r>
    <x v="0"/>
    <x v="0"/>
    <x v="0"/>
    <x v="0"/>
    <x v="1"/>
    <x v="5"/>
    <x v="0"/>
    <x v="1"/>
    <x v="1"/>
    <n v="0"/>
    <n v="0"/>
  </r>
  <r>
    <x v="0"/>
    <x v="0"/>
    <x v="0"/>
    <x v="0"/>
    <x v="1"/>
    <x v="5"/>
    <x v="0"/>
    <x v="1"/>
    <x v="2"/>
    <n v="0"/>
    <n v="0"/>
  </r>
  <r>
    <x v="0"/>
    <x v="0"/>
    <x v="0"/>
    <x v="0"/>
    <x v="1"/>
    <x v="5"/>
    <x v="0"/>
    <x v="1"/>
    <x v="3"/>
    <n v="120.242098669714"/>
    <n v="432.87155521096901"/>
  </r>
  <r>
    <x v="0"/>
    <x v="0"/>
    <x v="0"/>
    <x v="0"/>
    <x v="1"/>
    <x v="5"/>
    <x v="0"/>
    <x v="1"/>
    <x v="4"/>
    <n v="120.242098669714"/>
    <n v="432.87155521096901"/>
  </r>
  <r>
    <x v="0"/>
    <x v="0"/>
    <x v="0"/>
    <x v="0"/>
    <x v="1"/>
    <x v="5"/>
    <x v="0"/>
    <x v="1"/>
    <x v="5"/>
    <n v="120.242098669714"/>
    <n v="432.87155521096901"/>
  </r>
  <r>
    <x v="0"/>
    <x v="0"/>
    <x v="0"/>
    <x v="0"/>
    <x v="1"/>
    <x v="5"/>
    <x v="0"/>
    <x v="1"/>
    <x v="6"/>
    <n v="0"/>
    <n v="0"/>
  </r>
  <r>
    <x v="0"/>
    <x v="0"/>
    <x v="0"/>
    <x v="0"/>
    <x v="1"/>
    <x v="5"/>
    <x v="0"/>
    <x v="1"/>
    <x v="7"/>
    <n v="0"/>
    <n v="0"/>
  </r>
  <r>
    <x v="0"/>
    <x v="0"/>
    <x v="0"/>
    <x v="0"/>
    <x v="1"/>
    <x v="5"/>
    <x v="0"/>
    <x v="1"/>
    <x v="8"/>
    <n v="0"/>
    <n v="0"/>
  </r>
  <r>
    <x v="0"/>
    <x v="0"/>
    <x v="0"/>
    <x v="0"/>
    <x v="1"/>
    <x v="5"/>
    <x v="0"/>
    <x v="1"/>
    <x v="9"/>
    <n v="0"/>
    <n v="0"/>
  </r>
  <r>
    <x v="0"/>
    <x v="0"/>
    <x v="0"/>
    <x v="0"/>
    <x v="1"/>
    <x v="5"/>
    <x v="0"/>
    <x v="1"/>
    <x v="10"/>
    <n v="0"/>
    <n v="0"/>
  </r>
  <r>
    <x v="0"/>
    <x v="0"/>
    <x v="0"/>
    <x v="0"/>
    <x v="1"/>
    <x v="5"/>
    <x v="0"/>
    <x v="1"/>
    <x v="11"/>
    <n v="187.151993846332"/>
    <n v="673.74717784679603"/>
  </r>
  <r>
    <x v="0"/>
    <x v="0"/>
    <x v="0"/>
    <x v="0"/>
    <x v="1"/>
    <x v="5"/>
    <x v="0"/>
    <x v="2"/>
    <x v="0"/>
    <n v="430.91489405167198"/>
    <n v="1551.2936185860201"/>
  </r>
  <r>
    <x v="0"/>
    <x v="0"/>
    <x v="0"/>
    <x v="0"/>
    <x v="1"/>
    <x v="5"/>
    <x v="0"/>
    <x v="2"/>
    <x v="1"/>
    <n v="0"/>
    <n v="0"/>
  </r>
  <r>
    <x v="0"/>
    <x v="0"/>
    <x v="0"/>
    <x v="0"/>
    <x v="1"/>
    <x v="5"/>
    <x v="0"/>
    <x v="2"/>
    <x v="2"/>
    <n v="325.81055554057099"/>
    <n v="1172.91799994606"/>
  </r>
  <r>
    <x v="0"/>
    <x v="0"/>
    <x v="0"/>
    <x v="0"/>
    <x v="1"/>
    <x v="5"/>
    <x v="0"/>
    <x v="2"/>
    <x v="3"/>
    <n v="124.713980204093"/>
    <n v="448.97032873473597"/>
  </r>
  <r>
    <x v="0"/>
    <x v="0"/>
    <x v="0"/>
    <x v="0"/>
    <x v="1"/>
    <x v="5"/>
    <x v="0"/>
    <x v="2"/>
    <x v="4"/>
    <n v="485.025057375627"/>
    <n v="1746.09020655226"/>
  </r>
  <r>
    <x v="0"/>
    <x v="0"/>
    <x v="0"/>
    <x v="0"/>
    <x v="1"/>
    <x v="5"/>
    <x v="0"/>
    <x v="2"/>
    <x v="5"/>
    <n v="598.69033950017194"/>
    <n v="2155.28522220062"/>
  </r>
  <r>
    <x v="0"/>
    <x v="0"/>
    <x v="0"/>
    <x v="0"/>
    <x v="1"/>
    <x v="5"/>
    <x v="0"/>
    <x v="2"/>
    <x v="6"/>
    <n v="478.15054084915198"/>
    <n v="1721.3419470569499"/>
  </r>
  <r>
    <x v="0"/>
    <x v="0"/>
    <x v="0"/>
    <x v="0"/>
    <x v="1"/>
    <x v="5"/>
    <x v="0"/>
    <x v="2"/>
    <x v="7"/>
    <n v="877.45201851687796"/>
    <n v="3158.82726666076"/>
  </r>
  <r>
    <x v="0"/>
    <x v="0"/>
    <x v="0"/>
    <x v="0"/>
    <x v="1"/>
    <x v="5"/>
    <x v="0"/>
    <x v="2"/>
    <x v="8"/>
    <n v="971.61904466901206"/>
    <n v="3497.8285608084402"/>
  </r>
  <r>
    <x v="0"/>
    <x v="0"/>
    <x v="0"/>
    <x v="0"/>
    <x v="1"/>
    <x v="5"/>
    <x v="0"/>
    <x v="2"/>
    <x v="9"/>
    <n v="1322.63909100467"/>
    <n v="4761.5007276168299"/>
  </r>
  <r>
    <x v="0"/>
    <x v="0"/>
    <x v="0"/>
    <x v="0"/>
    <x v="1"/>
    <x v="5"/>
    <x v="0"/>
    <x v="2"/>
    <x v="10"/>
    <n v="1101.32151525935"/>
    <n v="3964.75745493365"/>
  </r>
  <r>
    <x v="0"/>
    <x v="0"/>
    <x v="0"/>
    <x v="0"/>
    <x v="1"/>
    <x v="5"/>
    <x v="0"/>
    <x v="2"/>
    <x v="11"/>
    <n v="842.70453758457404"/>
    <n v="3033.7363353044698"/>
  </r>
  <r>
    <x v="0"/>
    <x v="0"/>
    <x v="0"/>
    <x v="0"/>
    <x v="1"/>
    <x v="6"/>
    <x v="0"/>
    <x v="0"/>
    <x v="0"/>
    <n v="192.172123172955"/>
    <n v="691.81964342263905"/>
  </r>
  <r>
    <x v="0"/>
    <x v="0"/>
    <x v="0"/>
    <x v="0"/>
    <x v="1"/>
    <x v="6"/>
    <x v="0"/>
    <x v="0"/>
    <x v="1"/>
    <n v="138.78148461648499"/>
    <n v="499.61334461934598"/>
  </r>
  <r>
    <x v="0"/>
    <x v="0"/>
    <x v="0"/>
    <x v="0"/>
    <x v="1"/>
    <x v="6"/>
    <x v="0"/>
    <x v="0"/>
    <x v="2"/>
    <n v="103.29920106942301"/>
    <n v="371.87712384992301"/>
  </r>
  <r>
    <x v="0"/>
    <x v="0"/>
    <x v="0"/>
    <x v="0"/>
    <x v="1"/>
    <x v="6"/>
    <x v="0"/>
    <x v="0"/>
    <x v="3"/>
    <n v="49.908562512952599"/>
    <n v="179.67082504662901"/>
  </r>
  <r>
    <x v="0"/>
    <x v="0"/>
    <x v="0"/>
    <x v="0"/>
    <x v="1"/>
    <x v="6"/>
    <x v="0"/>
    <x v="0"/>
    <x v="4"/>
    <n v="16.808959254465101"/>
    <n v="60.5122533160743"/>
  </r>
  <r>
    <x v="0"/>
    <x v="0"/>
    <x v="0"/>
    <x v="0"/>
    <x v="1"/>
    <x v="6"/>
    <x v="0"/>
    <x v="0"/>
    <x v="5"/>
    <n v="0"/>
    <n v="0"/>
  </r>
  <r>
    <x v="0"/>
    <x v="0"/>
    <x v="0"/>
    <x v="0"/>
    <x v="1"/>
    <x v="6"/>
    <x v="0"/>
    <x v="0"/>
    <x v="6"/>
    <n v="25.092447995479201"/>
    <n v="90.332812783725103"/>
  </r>
  <r>
    <x v="0"/>
    <x v="0"/>
    <x v="0"/>
    <x v="0"/>
    <x v="1"/>
    <x v="6"/>
    <x v="0"/>
    <x v="0"/>
    <x v="7"/>
    <n v="49.223555479639998"/>
    <n v="177.20479972670401"/>
  </r>
  <r>
    <x v="0"/>
    <x v="0"/>
    <x v="0"/>
    <x v="0"/>
    <x v="1"/>
    <x v="6"/>
    <x v="0"/>
    <x v="0"/>
    <x v="8"/>
    <n v="56.4578813980985"/>
    <n v="203.24837303315499"/>
  </r>
  <r>
    <x v="0"/>
    <x v="0"/>
    <x v="0"/>
    <x v="0"/>
    <x v="1"/>
    <x v="6"/>
    <x v="0"/>
    <x v="0"/>
    <x v="9"/>
    <n v="67.579235319709596"/>
    <n v="243.28524715095401"/>
  </r>
  <r>
    <x v="0"/>
    <x v="0"/>
    <x v="0"/>
    <x v="0"/>
    <x v="1"/>
    <x v="6"/>
    <x v="0"/>
    <x v="0"/>
    <x v="10"/>
    <n v="113.831209755233"/>
    <n v="409.79235511883701"/>
  </r>
  <r>
    <x v="0"/>
    <x v="0"/>
    <x v="0"/>
    <x v="0"/>
    <x v="1"/>
    <x v="6"/>
    <x v="0"/>
    <x v="0"/>
    <x v="11"/>
    <n v="154.42972246312999"/>
    <n v="555.94700086726903"/>
  </r>
  <r>
    <x v="0"/>
    <x v="0"/>
    <x v="0"/>
    <x v="0"/>
    <x v="1"/>
    <x v="6"/>
    <x v="0"/>
    <x v="1"/>
    <x v="0"/>
    <n v="0"/>
    <n v="0"/>
  </r>
  <r>
    <x v="0"/>
    <x v="0"/>
    <x v="0"/>
    <x v="0"/>
    <x v="1"/>
    <x v="6"/>
    <x v="0"/>
    <x v="1"/>
    <x v="1"/>
    <n v="0"/>
    <n v="0"/>
  </r>
  <r>
    <x v="0"/>
    <x v="0"/>
    <x v="0"/>
    <x v="0"/>
    <x v="1"/>
    <x v="6"/>
    <x v="0"/>
    <x v="1"/>
    <x v="2"/>
    <n v="50.721106628646901"/>
    <n v="182.59598386312899"/>
  </r>
  <r>
    <x v="0"/>
    <x v="0"/>
    <x v="0"/>
    <x v="0"/>
    <x v="1"/>
    <x v="6"/>
    <x v="0"/>
    <x v="1"/>
    <x v="3"/>
    <n v="41.063073101557599"/>
    <n v="147.827063165607"/>
  </r>
  <r>
    <x v="0"/>
    <x v="0"/>
    <x v="0"/>
    <x v="0"/>
    <x v="1"/>
    <x v="6"/>
    <x v="0"/>
    <x v="1"/>
    <x v="4"/>
    <n v="91.784179730204499"/>
    <n v="330.42304702873599"/>
  </r>
  <r>
    <x v="0"/>
    <x v="0"/>
    <x v="0"/>
    <x v="0"/>
    <x v="1"/>
    <x v="6"/>
    <x v="0"/>
    <x v="1"/>
    <x v="5"/>
    <n v="91.784179730204499"/>
    <n v="330.42304702873599"/>
  </r>
  <r>
    <x v="0"/>
    <x v="0"/>
    <x v="0"/>
    <x v="0"/>
    <x v="1"/>
    <x v="6"/>
    <x v="0"/>
    <x v="1"/>
    <x v="6"/>
    <n v="42.516506190455402"/>
    <n v="153.05942228563899"/>
  </r>
  <r>
    <x v="0"/>
    <x v="0"/>
    <x v="0"/>
    <x v="0"/>
    <x v="1"/>
    <x v="6"/>
    <x v="0"/>
    <x v="1"/>
    <x v="7"/>
    <n v="0"/>
    <n v="0"/>
  </r>
  <r>
    <x v="0"/>
    <x v="0"/>
    <x v="0"/>
    <x v="0"/>
    <x v="1"/>
    <x v="6"/>
    <x v="0"/>
    <x v="1"/>
    <x v="8"/>
    <n v="0"/>
    <n v="0"/>
  </r>
  <r>
    <x v="0"/>
    <x v="0"/>
    <x v="0"/>
    <x v="0"/>
    <x v="1"/>
    <x v="6"/>
    <x v="0"/>
    <x v="1"/>
    <x v="9"/>
    <n v="0"/>
    <n v="0"/>
  </r>
  <r>
    <x v="0"/>
    <x v="0"/>
    <x v="0"/>
    <x v="0"/>
    <x v="1"/>
    <x v="6"/>
    <x v="0"/>
    <x v="1"/>
    <x v="10"/>
    <n v="0"/>
    <n v="0"/>
  </r>
  <r>
    <x v="0"/>
    <x v="0"/>
    <x v="0"/>
    <x v="0"/>
    <x v="1"/>
    <x v="6"/>
    <x v="0"/>
    <x v="1"/>
    <x v="11"/>
    <n v="0"/>
    <n v="0"/>
  </r>
  <r>
    <x v="0"/>
    <x v="0"/>
    <x v="0"/>
    <x v="0"/>
    <x v="1"/>
    <x v="6"/>
    <x v="0"/>
    <x v="2"/>
    <x v="0"/>
    <n v="46.385649091607696"/>
    <n v="166.98833672978799"/>
  </r>
  <r>
    <x v="0"/>
    <x v="0"/>
    <x v="0"/>
    <x v="0"/>
    <x v="1"/>
    <x v="6"/>
    <x v="0"/>
    <x v="2"/>
    <x v="1"/>
    <n v="15.940354284805"/>
    <n v="57.385275425298097"/>
  </r>
  <r>
    <x v="0"/>
    <x v="0"/>
    <x v="0"/>
    <x v="0"/>
    <x v="1"/>
    <x v="6"/>
    <x v="0"/>
    <x v="2"/>
    <x v="2"/>
    <n v="53.3906385564704"/>
    <n v="192.20629880329301"/>
  </r>
  <r>
    <x v="0"/>
    <x v="0"/>
    <x v="0"/>
    <x v="0"/>
    <x v="1"/>
    <x v="6"/>
    <x v="0"/>
    <x v="2"/>
    <x v="3"/>
    <n v="0"/>
    <n v="0"/>
  </r>
  <r>
    <x v="0"/>
    <x v="0"/>
    <x v="0"/>
    <x v="0"/>
    <x v="1"/>
    <x v="6"/>
    <x v="0"/>
    <x v="2"/>
    <x v="4"/>
    <n v="44.8903600933155"/>
    <n v="161.605296335936"/>
  </r>
  <r>
    <x v="0"/>
    <x v="0"/>
    <x v="0"/>
    <x v="0"/>
    <x v="1"/>
    <x v="6"/>
    <x v="0"/>
    <x v="2"/>
    <x v="5"/>
    <n v="67.432073542880104"/>
    <n v="242.75546475436801"/>
  </r>
  <r>
    <x v="0"/>
    <x v="0"/>
    <x v="0"/>
    <x v="0"/>
    <x v="1"/>
    <x v="6"/>
    <x v="0"/>
    <x v="2"/>
    <x v="6"/>
    <n v="37.250707318550901"/>
    <n v="134.10254634678299"/>
  </r>
  <r>
    <x v="0"/>
    <x v="0"/>
    <x v="0"/>
    <x v="0"/>
    <x v="1"/>
    <x v="6"/>
    <x v="0"/>
    <x v="2"/>
    <x v="7"/>
    <n v="72.028847718461293"/>
    <n v="259.303851786461"/>
  </r>
  <r>
    <x v="0"/>
    <x v="0"/>
    <x v="0"/>
    <x v="0"/>
    <x v="1"/>
    <x v="6"/>
    <x v="0"/>
    <x v="2"/>
    <x v="8"/>
    <n v="101.00911417365801"/>
    <n v="363.632811025168"/>
  </r>
  <r>
    <x v="0"/>
    <x v="0"/>
    <x v="0"/>
    <x v="0"/>
    <x v="1"/>
    <x v="6"/>
    <x v="0"/>
    <x v="2"/>
    <x v="9"/>
    <n v="134.902121796936"/>
    <n v="485.64763846896898"/>
  </r>
  <r>
    <x v="0"/>
    <x v="0"/>
    <x v="0"/>
    <x v="0"/>
    <x v="1"/>
    <x v="6"/>
    <x v="0"/>
    <x v="2"/>
    <x v="10"/>
    <n v="109.280046466945"/>
    <n v="393.40816728100202"/>
  </r>
  <r>
    <x v="0"/>
    <x v="0"/>
    <x v="0"/>
    <x v="0"/>
    <x v="1"/>
    <x v="6"/>
    <x v="0"/>
    <x v="2"/>
    <x v="11"/>
    <n v="80.740792285873795"/>
    <n v="290.666852229146"/>
  </r>
  <r>
    <x v="0"/>
    <x v="0"/>
    <x v="0"/>
    <x v="0"/>
    <x v="1"/>
    <x v="7"/>
    <x v="0"/>
    <x v="0"/>
    <x v="0"/>
    <n v="518.91192709733298"/>
    <n v="1868.0829375503999"/>
  </r>
  <r>
    <x v="0"/>
    <x v="0"/>
    <x v="0"/>
    <x v="0"/>
    <x v="1"/>
    <x v="7"/>
    <x v="0"/>
    <x v="0"/>
    <x v="1"/>
    <n v="383.72234210296102"/>
    <n v="1381.40043157066"/>
  </r>
  <r>
    <x v="0"/>
    <x v="0"/>
    <x v="0"/>
    <x v="0"/>
    <x v="1"/>
    <x v="7"/>
    <x v="0"/>
    <x v="0"/>
    <x v="2"/>
    <n v="365.40861922018598"/>
    <n v="1315.4710291926699"/>
  </r>
  <r>
    <x v="0"/>
    <x v="0"/>
    <x v="0"/>
    <x v="0"/>
    <x v="1"/>
    <x v="7"/>
    <x v="0"/>
    <x v="0"/>
    <x v="3"/>
    <n v="193.72952653107799"/>
    <n v="697.42629551188304"/>
  </r>
  <r>
    <x v="0"/>
    <x v="0"/>
    <x v="0"/>
    <x v="0"/>
    <x v="1"/>
    <x v="7"/>
    <x v="0"/>
    <x v="0"/>
    <x v="4"/>
    <n v="120.181792161179"/>
    <n v="432.65445178024498"/>
  </r>
  <r>
    <x v="0"/>
    <x v="0"/>
    <x v="0"/>
    <x v="0"/>
    <x v="1"/>
    <x v="7"/>
    <x v="0"/>
    <x v="0"/>
    <x v="5"/>
    <n v="0"/>
    <n v="0"/>
  </r>
  <r>
    <x v="0"/>
    <x v="0"/>
    <x v="0"/>
    <x v="0"/>
    <x v="1"/>
    <x v="7"/>
    <x v="0"/>
    <x v="0"/>
    <x v="6"/>
    <n v="40.113664690347299"/>
    <n v="144.40919288525001"/>
  </r>
  <r>
    <x v="0"/>
    <x v="0"/>
    <x v="0"/>
    <x v="0"/>
    <x v="1"/>
    <x v="7"/>
    <x v="0"/>
    <x v="0"/>
    <x v="7"/>
    <n v="68.626280400587703"/>
    <n v="247.054609442116"/>
  </r>
  <r>
    <x v="0"/>
    <x v="0"/>
    <x v="0"/>
    <x v="0"/>
    <x v="1"/>
    <x v="7"/>
    <x v="0"/>
    <x v="0"/>
    <x v="8"/>
    <n v="219.494037299155"/>
    <n v="790.17853427695695"/>
  </r>
  <r>
    <x v="0"/>
    <x v="0"/>
    <x v="0"/>
    <x v="0"/>
    <x v="1"/>
    <x v="7"/>
    <x v="0"/>
    <x v="0"/>
    <x v="9"/>
    <n v="241.50297049954199"/>
    <n v="869.41069379835096"/>
  </r>
  <r>
    <x v="0"/>
    <x v="0"/>
    <x v="0"/>
    <x v="0"/>
    <x v="1"/>
    <x v="7"/>
    <x v="0"/>
    <x v="0"/>
    <x v="10"/>
    <n v="285.76137622366201"/>
    <n v="1028.74095440518"/>
  </r>
  <r>
    <x v="0"/>
    <x v="0"/>
    <x v="0"/>
    <x v="0"/>
    <x v="1"/>
    <x v="7"/>
    <x v="0"/>
    <x v="0"/>
    <x v="11"/>
    <n v="355.81678904268102"/>
    <n v="1280.94044055365"/>
  </r>
  <r>
    <x v="0"/>
    <x v="0"/>
    <x v="0"/>
    <x v="0"/>
    <x v="1"/>
    <x v="7"/>
    <x v="0"/>
    <x v="1"/>
    <x v="0"/>
    <n v="0"/>
    <n v="0"/>
  </r>
  <r>
    <x v="0"/>
    <x v="0"/>
    <x v="0"/>
    <x v="0"/>
    <x v="1"/>
    <x v="7"/>
    <x v="0"/>
    <x v="1"/>
    <x v="1"/>
    <n v="0"/>
    <n v="0"/>
  </r>
  <r>
    <x v="0"/>
    <x v="0"/>
    <x v="0"/>
    <x v="0"/>
    <x v="1"/>
    <x v="7"/>
    <x v="0"/>
    <x v="1"/>
    <x v="2"/>
    <n v="163.09513805465201"/>
    <n v="587.14249699674895"/>
  </r>
  <r>
    <x v="0"/>
    <x v="0"/>
    <x v="0"/>
    <x v="0"/>
    <x v="1"/>
    <x v="7"/>
    <x v="0"/>
    <x v="1"/>
    <x v="3"/>
    <n v="43.835586115781602"/>
    <n v="157.808110016814"/>
  </r>
  <r>
    <x v="0"/>
    <x v="0"/>
    <x v="0"/>
    <x v="0"/>
    <x v="1"/>
    <x v="7"/>
    <x v="0"/>
    <x v="1"/>
    <x v="4"/>
    <n v="206.93072417043399"/>
    <n v="744.95060701356203"/>
  </r>
  <r>
    <x v="0"/>
    <x v="0"/>
    <x v="0"/>
    <x v="0"/>
    <x v="1"/>
    <x v="7"/>
    <x v="0"/>
    <x v="1"/>
    <x v="5"/>
    <n v="206.93072417043399"/>
    <n v="744.95060701356203"/>
  </r>
  <r>
    <x v="0"/>
    <x v="0"/>
    <x v="0"/>
    <x v="0"/>
    <x v="1"/>
    <x v="7"/>
    <x v="0"/>
    <x v="1"/>
    <x v="6"/>
    <n v="164.91092649525001"/>
    <n v="593.67933538290094"/>
  </r>
  <r>
    <x v="0"/>
    <x v="0"/>
    <x v="0"/>
    <x v="0"/>
    <x v="1"/>
    <x v="7"/>
    <x v="0"/>
    <x v="1"/>
    <x v="7"/>
    <n v="132.51387501259799"/>
    <n v="477.04995004535402"/>
  </r>
  <r>
    <x v="0"/>
    <x v="0"/>
    <x v="0"/>
    <x v="0"/>
    <x v="1"/>
    <x v="7"/>
    <x v="0"/>
    <x v="1"/>
    <x v="8"/>
    <n v="132.51387501259799"/>
    <n v="477.04995004535402"/>
  </r>
  <r>
    <x v="0"/>
    <x v="0"/>
    <x v="0"/>
    <x v="0"/>
    <x v="1"/>
    <x v="7"/>
    <x v="0"/>
    <x v="1"/>
    <x v="9"/>
    <n v="132.51387501259799"/>
    <n v="477.04995004535402"/>
  </r>
  <r>
    <x v="0"/>
    <x v="0"/>
    <x v="0"/>
    <x v="0"/>
    <x v="1"/>
    <x v="7"/>
    <x v="0"/>
    <x v="1"/>
    <x v="10"/>
    <n v="72.651268160322203"/>
    <n v="261.54456537715998"/>
  </r>
  <r>
    <x v="0"/>
    <x v="0"/>
    <x v="0"/>
    <x v="0"/>
    <x v="1"/>
    <x v="7"/>
    <x v="0"/>
    <x v="1"/>
    <x v="11"/>
    <n v="104.735207950269"/>
    <n v="377.046748620968"/>
  </r>
  <r>
    <x v="0"/>
    <x v="0"/>
    <x v="0"/>
    <x v="0"/>
    <x v="1"/>
    <x v="7"/>
    <x v="0"/>
    <x v="2"/>
    <x v="0"/>
    <n v="146.81640039475101"/>
    <n v="528.53904142110503"/>
  </r>
  <r>
    <x v="0"/>
    <x v="0"/>
    <x v="0"/>
    <x v="0"/>
    <x v="1"/>
    <x v="7"/>
    <x v="0"/>
    <x v="2"/>
    <x v="1"/>
    <n v="73.726487603228307"/>
    <n v="265.41535537162201"/>
  </r>
  <r>
    <x v="0"/>
    <x v="0"/>
    <x v="0"/>
    <x v="0"/>
    <x v="1"/>
    <x v="7"/>
    <x v="0"/>
    <x v="2"/>
    <x v="2"/>
    <n v="171.67909268910799"/>
    <n v="618.044733680788"/>
  </r>
  <r>
    <x v="0"/>
    <x v="0"/>
    <x v="0"/>
    <x v="0"/>
    <x v="1"/>
    <x v="7"/>
    <x v="0"/>
    <x v="2"/>
    <x v="3"/>
    <n v="0"/>
    <n v="0"/>
  </r>
  <r>
    <x v="0"/>
    <x v="0"/>
    <x v="0"/>
    <x v="0"/>
    <x v="1"/>
    <x v="7"/>
    <x v="0"/>
    <x v="2"/>
    <x v="4"/>
    <n v="141.68216533165401"/>
    <n v="510.05579519395502"/>
  </r>
  <r>
    <x v="0"/>
    <x v="0"/>
    <x v="0"/>
    <x v="0"/>
    <x v="1"/>
    <x v="7"/>
    <x v="0"/>
    <x v="2"/>
    <x v="5"/>
    <n v="194.450129707792"/>
    <n v="700.02046694804994"/>
  </r>
  <r>
    <x v="0"/>
    <x v="0"/>
    <x v="0"/>
    <x v="0"/>
    <x v="1"/>
    <x v="7"/>
    <x v="0"/>
    <x v="2"/>
    <x v="6"/>
    <n v="125.808186083146"/>
    <n v="452.90946989932399"/>
  </r>
  <r>
    <x v="0"/>
    <x v="0"/>
    <x v="0"/>
    <x v="0"/>
    <x v="1"/>
    <x v="7"/>
    <x v="0"/>
    <x v="2"/>
    <x v="7"/>
    <n v="211.88801494577399"/>
    <n v="762.796853804786"/>
  </r>
  <r>
    <x v="0"/>
    <x v="0"/>
    <x v="0"/>
    <x v="0"/>
    <x v="1"/>
    <x v="7"/>
    <x v="0"/>
    <x v="2"/>
    <x v="8"/>
    <n v="319.53401343153899"/>
    <n v="1150.32244835354"/>
  </r>
  <r>
    <x v="0"/>
    <x v="0"/>
    <x v="0"/>
    <x v="0"/>
    <x v="1"/>
    <x v="7"/>
    <x v="0"/>
    <x v="2"/>
    <x v="9"/>
    <n v="443.34401868087002"/>
    <n v="1596.03846725113"/>
  </r>
  <r>
    <x v="0"/>
    <x v="0"/>
    <x v="0"/>
    <x v="0"/>
    <x v="1"/>
    <x v="7"/>
    <x v="0"/>
    <x v="2"/>
    <x v="10"/>
    <n v="349.31256815144098"/>
    <n v="1257.5252453451899"/>
  </r>
  <r>
    <x v="0"/>
    <x v="0"/>
    <x v="0"/>
    <x v="0"/>
    <x v="1"/>
    <x v="7"/>
    <x v="0"/>
    <x v="2"/>
    <x v="11"/>
    <n v="238.563273344229"/>
    <n v="858.82778403922305"/>
  </r>
  <r>
    <x v="0"/>
    <x v="0"/>
    <x v="0"/>
    <x v="0"/>
    <x v="1"/>
    <x v="8"/>
    <x v="0"/>
    <x v="0"/>
    <x v="0"/>
    <n v="247.623457074778"/>
    <n v="891.44444546920295"/>
  </r>
  <r>
    <x v="0"/>
    <x v="0"/>
    <x v="0"/>
    <x v="0"/>
    <x v="1"/>
    <x v="8"/>
    <x v="0"/>
    <x v="0"/>
    <x v="1"/>
    <n v="136.77547970066601"/>
    <n v="492.39172692239799"/>
  </r>
  <r>
    <x v="0"/>
    <x v="0"/>
    <x v="0"/>
    <x v="0"/>
    <x v="1"/>
    <x v="8"/>
    <x v="0"/>
    <x v="0"/>
    <x v="2"/>
    <n v="110.84797737411201"/>
    <n v="399.05271854680399"/>
  </r>
  <r>
    <x v="0"/>
    <x v="0"/>
    <x v="0"/>
    <x v="0"/>
    <x v="1"/>
    <x v="8"/>
    <x v="0"/>
    <x v="0"/>
    <x v="3"/>
    <n v="0"/>
    <n v="0"/>
  </r>
  <r>
    <x v="0"/>
    <x v="0"/>
    <x v="0"/>
    <x v="0"/>
    <x v="1"/>
    <x v="8"/>
    <x v="0"/>
    <x v="0"/>
    <x v="4"/>
    <n v="4.6489872321707804"/>
    <n v="16.736354035814799"/>
  </r>
  <r>
    <x v="0"/>
    <x v="0"/>
    <x v="0"/>
    <x v="0"/>
    <x v="1"/>
    <x v="8"/>
    <x v="0"/>
    <x v="0"/>
    <x v="5"/>
    <n v="29.780848486743398"/>
    <n v="107.211054552276"/>
  </r>
  <r>
    <x v="0"/>
    <x v="0"/>
    <x v="0"/>
    <x v="0"/>
    <x v="1"/>
    <x v="8"/>
    <x v="0"/>
    <x v="0"/>
    <x v="6"/>
    <n v="80.602292817019006"/>
    <n v="290.16825414126902"/>
  </r>
  <r>
    <x v="0"/>
    <x v="0"/>
    <x v="0"/>
    <x v="0"/>
    <x v="1"/>
    <x v="8"/>
    <x v="0"/>
    <x v="0"/>
    <x v="7"/>
    <n v="92.700015480244105"/>
    <n v="333.720055728879"/>
  </r>
  <r>
    <x v="0"/>
    <x v="0"/>
    <x v="0"/>
    <x v="0"/>
    <x v="1"/>
    <x v="8"/>
    <x v="0"/>
    <x v="0"/>
    <x v="8"/>
    <n v="78.378079113527306"/>
    <n v="282.16108480869798"/>
  </r>
  <r>
    <x v="0"/>
    <x v="0"/>
    <x v="0"/>
    <x v="0"/>
    <x v="1"/>
    <x v="8"/>
    <x v="0"/>
    <x v="0"/>
    <x v="9"/>
    <n v="50.891445361179599"/>
    <n v="183.209203300247"/>
  </r>
  <r>
    <x v="0"/>
    <x v="0"/>
    <x v="0"/>
    <x v="0"/>
    <x v="1"/>
    <x v="8"/>
    <x v="0"/>
    <x v="0"/>
    <x v="10"/>
    <n v="136.871000002579"/>
    <n v="492.73560000928398"/>
  </r>
  <r>
    <x v="0"/>
    <x v="0"/>
    <x v="0"/>
    <x v="0"/>
    <x v="1"/>
    <x v="8"/>
    <x v="0"/>
    <x v="0"/>
    <x v="11"/>
    <n v="192.22080676588899"/>
    <n v="691.99490435719895"/>
  </r>
  <r>
    <x v="0"/>
    <x v="0"/>
    <x v="0"/>
    <x v="0"/>
    <x v="1"/>
    <x v="8"/>
    <x v="0"/>
    <x v="1"/>
    <x v="0"/>
    <n v="0"/>
    <n v="0"/>
  </r>
  <r>
    <x v="0"/>
    <x v="0"/>
    <x v="0"/>
    <x v="0"/>
    <x v="1"/>
    <x v="8"/>
    <x v="0"/>
    <x v="1"/>
    <x v="1"/>
    <n v="0"/>
    <n v="0"/>
  </r>
  <r>
    <x v="0"/>
    <x v="0"/>
    <x v="0"/>
    <x v="0"/>
    <x v="1"/>
    <x v="8"/>
    <x v="0"/>
    <x v="1"/>
    <x v="2"/>
    <n v="67.492210037979902"/>
    <n v="242.97195613672801"/>
  </r>
  <r>
    <x v="0"/>
    <x v="0"/>
    <x v="0"/>
    <x v="0"/>
    <x v="1"/>
    <x v="8"/>
    <x v="0"/>
    <x v="1"/>
    <x v="3"/>
    <n v="5.5423988687056198"/>
    <n v="19.9526359273402"/>
  </r>
  <r>
    <x v="0"/>
    <x v="0"/>
    <x v="0"/>
    <x v="0"/>
    <x v="1"/>
    <x v="8"/>
    <x v="0"/>
    <x v="1"/>
    <x v="4"/>
    <n v="110.84797737411201"/>
    <n v="399.05271854680399"/>
  </r>
  <r>
    <x v="0"/>
    <x v="0"/>
    <x v="0"/>
    <x v="0"/>
    <x v="1"/>
    <x v="8"/>
    <x v="0"/>
    <x v="1"/>
    <x v="5"/>
    <n v="0"/>
    <n v="0"/>
  </r>
  <r>
    <x v="0"/>
    <x v="0"/>
    <x v="0"/>
    <x v="0"/>
    <x v="1"/>
    <x v="8"/>
    <x v="0"/>
    <x v="1"/>
    <x v="6"/>
    <n v="7.2968109241220898"/>
    <n v="26.268519326839499"/>
  </r>
  <r>
    <x v="0"/>
    <x v="0"/>
    <x v="0"/>
    <x v="0"/>
    <x v="1"/>
    <x v="8"/>
    <x v="0"/>
    <x v="1"/>
    <x v="7"/>
    <n v="0"/>
    <n v="0"/>
  </r>
  <r>
    <x v="0"/>
    <x v="0"/>
    <x v="0"/>
    <x v="0"/>
    <x v="1"/>
    <x v="8"/>
    <x v="0"/>
    <x v="1"/>
    <x v="8"/>
    <n v="0"/>
    <n v="0"/>
  </r>
  <r>
    <x v="0"/>
    <x v="0"/>
    <x v="0"/>
    <x v="0"/>
    <x v="1"/>
    <x v="8"/>
    <x v="0"/>
    <x v="1"/>
    <x v="9"/>
    <n v="0"/>
    <n v="0"/>
  </r>
  <r>
    <x v="0"/>
    <x v="0"/>
    <x v="0"/>
    <x v="0"/>
    <x v="1"/>
    <x v="8"/>
    <x v="0"/>
    <x v="1"/>
    <x v="10"/>
    <n v="0"/>
    <n v="0"/>
  </r>
  <r>
    <x v="0"/>
    <x v="0"/>
    <x v="0"/>
    <x v="0"/>
    <x v="1"/>
    <x v="8"/>
    <x v="0"/>
    <x v="1"/>
    <x v="11"/>
    <n v="0"/>
    <n v="0"/>
  </r>
  <r>
    <x v="0"/>
    <x v="0"/>
    <x v="0"/>
    <x v="0"/>
    <x v="1"/>
    <x v="8"/>
    <x v="0"/>
    <x v="2"/>
    <x v="0"/>
    <n v="0"/>
    <n v="0"/>
  </r>
  <r>
    <x v="0"/>
    <x v="0"/>
    <x v="0"/>
    <x v="0"/>
    <x v="1"/>
    <x v="8"/>
    <x v="0"/>
    <x v="2"/>
    <x v="1"/>
    <n v="0"/>
    <n v="0"/>
  </r>
  <r>
    <x v="0"/>
    <x v="0"/>
    <x v="0"/>
    <x v="0"/>
    <x v="1"/>
    <x v="8"/>
    <x v="0"/>
    <x v="2"/>
    <x v="2"/>
    <n v="0"/>
    <n v="0"/>
  </r>
  <r>
    <x v="0"/>
    <x v="0"/>
    <x v="0"/>
    <x v="0"/>
    <x v="1"/>
    <x v="8"/>
    <x v="0"/>
    <x v="2"/>
    <x v="3"/>
    <n v="0"/>
    <n v="0"/>
  </r>
  <r>
    <x v="0"/>
    <x v="0"/>
    <x v="0"/>
    <x v="0"/>
    <x v="1"/>
    <x v="8"/>
    <x v="0"/>
    <x v="2"/>
    <x v="4"/>
    <n v="0"/>
    <n v="0"/>
  </r>
  <r>
    <x v="0"/>
    <x v="0"/>
    <x v="0"/>
    <x v="0"/>
    <x v="1"/>
    <x v="8"/>
    <x v="0"/>
    <x v="2"/>
    <x v="5"/>
    <n v="0"/>
    <n v="0"/>
  </r>
  <r>
    <x v="0"/>
    <x v="0"/>
    <x v="0"/>
    <x v="0"/>
    <x v="1"/>
    <x v="8"/>
    <x v="0"/>
    <x v="2"/>
    <x v="6"/>
    <n v="0"/>
    <n v="0"/>
  </r>
  <r>
    <x v="0"/>
    <x v="0"/>
    <x v="0"/>
    <x v="0"/>
    <x v="1"/>
    <x v="8"/>
    <x v="0"/>
    <x v="2"/>
    <x v="7"/>
    <n v="0"/>
    <n v="0"/>
  </r>
  <r>
    <x v="0"/>
    <x v="0"/>
    <x v="0"/>
    <x v="0"/>
    <x v="1"/>
    <x v="8"/>
    <x v="0"/>
    <x v="2"/>
    <x v="8"/>
    <n v="0"/>
    <n v="0"/>
  </r>
  <r>
    <x v="0"/>
    <x v="0"/>
    <x v="0"/>
    <x v="0"/>
    <x v="1"/>
    <x v="8"/>
    <x v="0"/>
    <x v="2"/>
    <x v="9"/>
    <n v="0"/>
    <n v="0"/>
  </r>
  <r>
    <x v="0"/>
    <x v="0"/>
    <x v="0"/>
    <x v="0"/>
    <x v="1"/>
    <x v="8"/>
    <x v="0"/>
    <x v="2"/>
    <x v="10"/>
    <n v="27.719299634850501"/>
    <n v="99.789478685461802"/>
  </r>
  <r>
    <x v="0"/>
    <x v="0"/>
    <x v="0"/>
    <x v="0"/>
    <x v="1"/>
    <x v="8"/>
    <x v="0"/>
    <x v="2"/>
    <x v="11"/>
    <n v="27.719299634850501"/>
    <n v="99.789478685461802"/>
  </r>
  <r>
    <x v="0"/>
    <x v="0"/>
    <x v="0"/>
    <x v="0"/>
    <x v="1"/>
    <x v="9"/>
    <x v="0"/>
    <x v="0"/>
    <x v="0"/>
    <n v="82.974907405383107"/>
    <n v="298.70966665937902"/>
  </r>
  <r>
    <x v="0"/>
    <x v="0"/>
    <x v="0"/>
    <x v="0"/>
    <x v="1"/>
    <x v="9"/>
    <x v="0"/>
    <x v="0"/>
    <x v="1"/>
    <n v="72.057156430990602"/>
    <n v="259.40576315156602"/>
  </r>
  <r>
    <x v="0"/>
    <x v="0"/>
    <x v="0"/>
    <x v="0"/>
    <x v="1"/>
    <x v="9"/>
    <x v="0"/>
    <x v="0"/>
    <x v="2"/>
    <n v="70.860393798617295"/>
    <n v="255.097417675022"/>
  </r>
  <r>
    <x v="0"/>
    <x v="0"/>
    <x v="0"/>
    <x v="0"/>
    <x v="1"/>
    <x v="9"/>
    <x v="0"/>
    <x v="0"/>
    <x v="3"/>
    <n v="59.942642824224798"/>
    <n v="215.793514167209"/>
  </r>
  <r>
    <x v="0"/>
    <x v="0"/>
    <x v="0"/>
    <x v="0"/>
    <x v="1"/>
    <x v="9"/>
    <x v="0"/>
    <x v="0"/>
    <x v="4"/>
    <n v="62.356710614471297"/>
    <n v="224.48415821209699"/>
  </r>
  <r>
    <x v="0"/>
    <x v="0"/>
    <x v="0"/>
    <x v="0"/>
    <x v="1"/>
    <x v="9"/>
    <x v="0"/>
    <x v="0"/>
    <x v="5"/>
    <n v="62.356710614471297"/>
    <n v="224.48415821209699"/>
  </r>
  <r>
    <x v="0"/>
    <x v="0"/>
    <x v="0"/>
    <x v="0"/>
    <x v="1"/>
    <x v="9"/>
    <x v="0"/>
    <x v="0"/>
    <x v="6"/>
    <n v="69.366289039582"/>
    <n v="249.718640542495"/>
  </r>
  <r>
    <x v="0"/>
    <x v="0"/>
    <x v="0"/>
    <x v="0"/>
    <x v="1"/>
    <x v="9"/>
    <x v="0"/>
    <x v="0"/>
    <x v="7"/>
    <n v="68.565200114447705"/>
    <n v="246.83472041201199"/>
  </r>
  <r>
    <x v="0"/>
    <x v="0"/>
    <x v="0"/>
    <x v="0"/>
    <x v="1"/>
    <x v="9"/>
    <x v="0"/>
    <x v="0"/>
    <x v="8"/>
    <n v="68.440505342482595"/>
    <n v="246.38581923293799"/>
  </r>
  <r>
    <x v="0"/>
    <x v="0"/>
    <x v="0"/>
    <x v="0"/>
    <x v="1"/>
    <x v="9"/>
    <x v="0"/>
    <x v="0"/>
    <x v="9"/>
    <n v="65.917499630116694"/>
    <n v="237.30299866842"/>
  </r>
  <r>
    <x v="0"/>
    <x v="0"/>
    <x v="0"/>
    <x v="0"/>
    <x v="1"/>
    <x v="9"/>
    <x v="0"/>
    <x v="0"/>
    <x v="10"/>
    <n v="71.161592912949303"/>
    <n v="256.18173448661702"/>
  </r>
  <r>
    <x v="0"/>
    <x v="0"/>
    <x v="0"/>
    <x v="0"/>
    <x v="1"/>
    <x v="9"/>
    <x v="0"/>
    <x v="0"/>
    <x v="11"/>
    <n v="77.600573050593695"/>
    <n v="279.36206298213699"/>
  </r>
  <r>
    <x v="0"/>
    <x v="0"/>
    <x v="0"/>
    <x v="0"/>
    <x v="1"/>
    <x v="9"/>
    <x v="0"/>
    <x v="1"/>
    <x v="0"/>
    <n v="8.4706433020876393"/>
    <n v="30.494315887515501"/>
  </r>
  <r>
    <x v="0"/>
    <x v="0"/>
    <x v="0"/>
    <x v="0"/>
    <x v="1"/>
    <x v="9"/>
    <x v="0"/>
    <x v="1"/>
    <x v="1"/>
    <n v="6.8907475841584498"/>
    <n v="24.8066913029704"/>
  </r>
  <r>
    <x v="0"/>
    <x v="0"/>
    <x v="0"/>
    <x v="0"/>
    <x v="1"/>
    <x v="9"/>
    <x v="0"/>
    <x v="1"/>
    <x v="2"/>
    <n v="12.1351211216531"/>
    <n v="43.686436037950998"/>
  </r>
  <r>
    <x v="0"/>
    <x v="0"/>
    <x v="0"/>
    <x v="0"/>
    <x v="1"/>
    <x v="9"/>
    <x v="0"/>
    <x v="1"/>
    <x v="3"/>
    <n v="7.0718982280099496"/>
    <n v="25.458833620835801"/>
  </r>
  <r>
    <x v="0"/>
    <x v="0"/>
    <x v="0"/>
    <x v="0"/>
    <x v="1"/>
    <x v="9"/>
    <x v="0"/>
    <x v="1"/>
    <x v="4"/>
    <n v="17.443761653682799"/>
    <n v="62.797541953258197"/>
  </r>
  <r>
    <x v="0"/>
    <x v="0"/>
    <x v="0"/>
    <x v="0"/>
    <x v="1"/>
    <x v="9"/>
    <x v="0"/>
    <x v="1"/>
    <x v="5"/>
    <n v="6.5260106792903301"/>
    <n v="23.4936384454452"/>
  </r>
  <r>
    <x v="0"/>
    <x v="0"/>
    <x v="0"/>
    <x v="0"/>
    <x v="1"/>
    <x v="9"/>
    <x v="0"/>
    <x v="1"/>
    <x v="6"/>
    <n v="6.0850064919516003"/>
    <n v="21.9060233710258"/>
  </r>
  <r>
    <x v="0"/>
    <x v="0"/>
    <x v="0"/>
    <x v="0"/>
    <x v="1"/>
    <x v="9"/>
    <x v="0"/>
    <x v="1"/>
    <x v="7"/>
    <n v="0"/>
    <n v="0"/>
  </r>
  <r>
    <x v="0"/>
    <x v="0"/>
    <x v="0"/>
    <x v="0"/>
    <x v="1"/>
    <x v="9"/>
    <x v="0"/>
    <x v="1"/>
    <x v="8"/>
    <n v="8.6461082314696203"/>
    <n v="31.125989633290601"/>
  </r>
  <r>
    <x v="0"/>
    <x v="0"/>
    <x v="0"/>
    <x v="0"/>
    <x v="1"/>
    <x v="9"/>
    <x v="0"/>
    <x v="1"/>
    <x v="9"/>
    <n v="8.6461082314696203"/>
    <n v="31.125989633290601"/>
  </r>
  <r>
    <x v="0"/>
    <x v="0"/>
    <x v="0"/>
    <x v="0"/>
    <x v="1"/>
    <x v="9"/>
    <x v="0"/>
    <x v="1"/>
    <x v="10"/>
    <n v="7.7675294276266103"/>
    <n v="27.963105939455801"/>
  </r>
  <r>
    <x v="0"/>
    <x v="0"/>
    <x v="0"/>
    <x v="0"/>
    <x v="1"/>
    <x v="9"/>
    <x v="0"/>
    <x v="1"/>
    <x v="11"/>
    <n v="13.7477888817872"/>
    <n v="49.492039974433901"/>
  </r>
  <r>
    <x v="0"/>
    <x v="0"/>
    <x v="0"/>
    <x v="0"/>
    <x v="1"/>
    <x v="9"/>
    <x v="0"/>
    <x v="2"/>
    <x v="0"/>
    <n v="2.56211304968779"/>
    <n v="9.22360697887604"/>
  </r>
  <r>
    <x v="0"/>
    <x v="0"/>
    <x v="0"/>
    <x v="0"/>
    <x v="1"/>
    <x v="9"/>
    <x v="0"/>
    <x v="2"/>
    <x v="1"/>
    <n v="2.56211304968779"/>
    <n v="9.22360697887604"/>
  </r>
  <r>
    <x v="0"/>
    <x v="0"/>
    <x v="0"/>
    <x v="0"/>
    <x v="1"/>
    <x v="9"/>
    <x v="0"/>
    <x v="2"/>
    <x v="2"/>
    <n v="3.2255484032979398"/>
    <n v="11.611974251872599"/>
  </r>
  <r>
    <x v="0"/>
    <x v="0"/>
    <x v="0"/>
    <x v="0"/>
    <x v="1"/>
    <x v="9"/>
    <x v="0"/>
    <x v="2"/>
    <x v="3"/>
    <n v="0"/>
    <n v="0"/>
  </r>
  <r>
    <x v="0"/>
    <x v="0"/>
    <x v="0"/>
    <x v="0"/>
    <x v="1"/>
    <x v="9"/>
    <x v="0"/>
    <x v="2"/>
    <x v="4"/>
    <n v="3.0103829600196299"/>
    <n v="10.837378656070699"/>
  </r>
  <r>
    <x v="0"/>
    <x v="0"/>
    <x v="0"/>
    <x v="0"/>
    <x v="1"/>
    <x v="9"/>
    <x v="0"/>
    <x v="2"/>
    <x v="5"/>
    <n v="1.4605327717140799"/>
    <n v="5.2579179781706902"/>
  </r>
  <r>
    <x v="0"/>
    <x v="0"/>
    <x v="0"/>
    <x v="0"/>
    <x v="1"/>
    <x v="9"/>
    <x v="0"/>
    <x v="2"/>
    <x v="6"/>
    <n v="4.18911350151369"/>
    <n v="15.080808605449301"/>
  </r>
  <r>
    <x v="0"/>
    <x v="0"/>
    <x v="0"/>
    <x v="0"/>
    <x v="1"/>
    <x v="9"/>
    <x v="0"/>
    <x v="2"/>
    <x v="7"/>
    <n v="4.18911350151369"/>
    <n v="15.080808605449301"/>
  </r>
  <r>
    <x v="0"/>
    <x v="0"/>
    <x v="0"/>
    <x v="0"/>
    <x v="1"/>
    <x v="9"/>
    <x v="0"/>
    <x v="2"/>
    <x v="8"/>
    <n v="4.18911350151369"/>
    <n v="15.080808605449301"/>
  </r>
  <r>
    <x v="0"/>
    <x v="0"/>
    <x v="0"/>
    <x v="0"/>
    <x v="1"/>
    <x v="9"/>
    <x v="0"/>
    <x v="2"/>
    <x v="9"/>
    <n v="4.18911350151369"/>
    <n v="15.080808605449301"/>
  </r>
  <r>
    <x v="0"/>
    <x v="0"/>
    <x v="0"/>
    <x v="0"/>
    <x v="1"/>
    <x v="9"/>
    <x v="0"/>
    <x v="2"/>
    <x v="10"/>
    <n v="6.7015010055525002"/>
    <n v="24.125403619989001"/>
  </r>
  <r>
    <x v="0"/>
    <x v="0"/>
    <x v="0"/>
    <x v="0"/>
    <x v="1"/>
    <x v="9"/>
    <x v="0"/>
    <x v="2"/>
    <x v="11"/>
    <n v="9.2046662358889897"/>
    <n v="33.136798449200398"/>
  </r>
</pivotCacheRecords>
</file>

<file path=xl/pivotCache/pivotCacheRecords11.xml><?xml version="1.0" encoding="utf-8"?>
<pivotCacheRecords xmlns="http://schemas.openxmlformats.org/spreadsheetml/2006/main" xmlns:r="http://schemas.openxmlformats.org/officeDocument/2006/relationships" count="0"/>
</file>

<file path=xl/pivotCache/pivotCacheRecords12.xml><?xml version="1.0" encoding="utf-8"?>
<pivotCacheRecords xmlns="http://schemas.openxmlformats.org/spreadsheetml/2006/main" xmlns:r="http://schemas.openxmlformats.org/officeDocument/2006/relationships" count="72">
  <r>
    <x v="0"/>
    <x v="0"/>
    <x v="0"/>
    <x v="0"/>
    <x v="0"/>
    <x v="0"/>
    <x v="0"/>
    <n v="0.28530072927442202"/>
  </r>
  <r>
    <x v="0"/>
    <x v="0"/>
    <x v="0"/>
    <x v="0"/>
    <x v="0"/>
    <x v="0"/>
    <x v="1"/>
    <n v="0"/>
  </r>
  <r>
    <x v="0"/>
    <x v="0"/>
    <x v="0"/>
    <x v="0"/>
    <x v="0"/>
    <x v="0"/>
    <x v="2"/>
    <n v="0.43655071222761299"/>
  </r>
  <r>
    <x v="0"/>
    <x v="0"/>
    <x v="0"/>
    <x v="0"/>
    <x v="0"/>
    <x v="0"/>
    <x v="3"/>
    <n v="2.1661500660383599E-2"/>
  </r>
  <r>
    <x v="0"/>
    <x v="0"/>
    <x v="0"/>
    <x v="0"/>
    <x v="0"/>
    <x v="0"/>
    <x v="4"/>
    <n v="7.1713245567414305E-2"/>
  </r>
  <r>
    <x v="0"/>
    <x v="0"/>
    <x v="0"/>
    <x v="0"/>
    <x v="0"/>
    <x v="0"/>
    <x v="5"/>
    <n v="-3.7761403867755901E-2"/>
  </r>
  <r>
    <x v="0"/>
    <x v="0"/>
    <x v="0"/>
    <x v="0"/>
    <x v="0"/>
    <x v="0"/>
    <x v="6"/>
    <n v="0.216539330916"/>
  </r>
  <r>
    <x v="0"/>
    <x v="0"/>
    <x v="0"/>
    <x v="0"/>
    <x v="0"/>
    <x v="0"/>
    <x v="7"/>
    <n v="7.0012616736057201E-2"/>
  </r>
  <r>
    <x v="0"/>
    <x v="0"/>
    <x v="0"/>
    <x v="0"/>
    <x v="0"/>
    <x v="0"/>
    <x v="8"/>
    <n v="0.116452977058219"/>
  </r>
  <r>
    <x v="0"/>
    <x v="0"/>
    <x v="0"/>
    <x v="0"/>
    <x v="0"/>
    <x v="0"/>
    <x v="9"/>
    <n v="-4.93132946161218E-2"/>
  </r>
  <r>
    <x v="0"/>
    <x v="0"/>
    <x v="0"/>
    <x v="0"/>
    <x v="0"/>
    <x v="0"/>
    <x v="10"/>
    <n v="9.3993915218762894E-2"/>
  </r>
  <r>
    <x v="0"/>
    <x v="0"/>
    <x v="0"/>
    <x v="0"/>
    <x v="0"/>
    <x v="0"/>
    <x v="11"/>
    <n v="1.37139234273782E-2"/>
  </r>
  <r>
    <x v="0"/>
    <x v="0"/>
    <x v="0"/>
    <x v="0"/>
    <x v="0"/>
    <x v="1"/>
    <x v="0"/>
    <n v="0.54"/>
  </r>
  <r>
    <x v="0"/>
    <x v="0"/>
    <x v="0"/>
    <x v="0"/>
    <x v="0"/>
    <x v="1"/>
    <x v="1"/>
    <n v="0.37007311391214298"/>
  </r>
  <r>
    <x v="0"/>
    <x v="0"/>
    <x v="0"/>
    <x v="0"/>
    <x v="0"/>
    <x v="1"/>
    <x v="2"/>
    <n v="-0.14810840218437801"/>
  </r>
  <r>
    <x v="0"/>
    <x v="0"/>
    <x v="0"/>
    <x v="0"/>
    <x v="0"/>
    <x v="1"/>
    <x v="3"/>
    <n v="0.53073610070473298"/>
  </r>
  <r>
    <x v="0"/>
    <x v="0"/>
    <x v="0"/>
    <x v="0"/>
    <x v="0"/>
    <x v="1"/>
    <x v="4"/>
    <n v="0"/>
  </r>
  <r>
    <x v="0"/>
    <x v="0"/>
    <x v="0"/>
    <x v="0"/>
    <x v="0"/>
    <x v="1"/>
    <x v="5"/>
    <n v="0"/>
  </r>
  <r>
    <x v="0"/>
    <x v="0"/>
    <x v="0"/>
    <x v="0"/>
    <x v="0"/>
    <x v="1"/>
    <x v="6"/>
    <n v="1.004455562362E-2"/>
  </r>
  <r>
    <x v="0"/>
    <x v="0"/>
    <x v="0"/>
    <x v="0"/>
    <x v="0"/>
    <x v="1"/>
    <x v="7"/>
    <n v="0.13060565147488301"/>
  </r>
  <r>
    <x v="0"/>
    <x v="0"/>
    <x v="0"/>
    <x v="0"/>
    <x v="0"/>
    <x v="1"/>
    <x v="8"/>
    <n v="0.15848977398686301"/>
  </r>
  <r>
    <x v="0"/>
    <x v="0"/>
    <x v="0"/>
    <x v="0"/>
    <x v="0"/>
    <x v="1"/>
    <x v="9"/>
    <n v="3.0291553737233901E-2"/>
  </r>
  <r>
    <x v="0"/>
    <x v="0"/>
    <x v="0"/>
    <x v="0"/>
    <x v="0"/>
    <x v="1"/>
    <x v="10"/>
    <n v="3.9525795665148203E-2"/>
  </r>
  <r>
    <x v="0"/>
    <x v="0"/>
    <x v="0"/>
    <x v="0"/>
    <x v="0"/>
    <x v="1"/>
    <x v="11"/>
    <n v="-0.18282491980006499"/>
  </r>
  <r>
    <x v="0"/>
    <x v="0"/>
    <x v="0"/>
    <x v="0"/>
    <x v="0"/>
    <x v="2"/>
    <x v="0"/>
    <n v="0"/>
  </r>
  <r>
    <x v="0"/>
    <x v="0"/>
    <x v="0"/>
    <x v="0"/>
    <x v="0"/>
    <x v="2"/>
    <x v="1"/>
    <n v="0"/>
  </r>
  <r>
    <x v="0"/>
    <x v="0"/>
    <x v="0"/>
    <x v="0"/>
    <x v="0"/>
    <x v="2"/>
    <x v="2"/>
    <n v="0"/>
  </r>
  <r>
    <x v="0"/>
    <x v="0"/>
    <x v="0"/>
    <x v="0"/>
    <x v="0"/>
    <x v="2"/>
    <x v="3"/>
    <n v="-1.9585878672128802E-2"/>
  </r>
  <r>
    <x v="0"/>
    <x v="0"/>
    <x v="0"/>
    <x v="0"/>
    <x v="0"/>
    <x v="2"/>
    <x v="4"/>
    <n v="0"/>
  </r>
  <r>
    <x v="0"/>
    <x v="0"/>
    <x v="0"/>
    <x v="0"/>
    <x v="0"/>
    <x v="2"/>
    <x v="5"/>
    <n v="0"/>
  </r>
  <r>
    <x v="0"/>
    <x v="0"/>
    <x v="0"/>
    <x v="0"/>
    <x v="0"/>
    <x v="2"/>
    <x v="6"/>
    <n v="0"/>
  </r>
  <r>
    <x v="0"/>
    <x v="0"/>
    <x v="0"/>
    <x v="0"/>
    <x v="0"/>
    <x v="2"/>
    <x v="7"/>
    <n v="0.15599997539864299"/>
  </r>
  <r>
    <x v="0"/>
    <x v="0"/>
    <x v="0"/>
    <x v="0"/>
    <x v="0"/>
    <x v="2"/>
    <x v="8"/>
    <n v="0"/>
  </r>
  <r>
    <x v="0"/>
    <x v="0"/>
    <x v="0"/>
    <x v="0"/>
    <x v="0"/>
    <x v="2"/>
    <x v="9"/>
    <n v="-2.8440792118137301E-2"/>
  </r>
  <r>
    <x v="0"/>
    <x v="0"/>
    <x v="0"/>
    <x v="0"/>
    <x v="0"/>
    <x v="2"/>
    <x v="10"/>
    <n v="0.54"/>
  </r>
  <r>
    <x v="0"/>
    <x v="0"/>
    <x v="0"/>
    <x v="0"/>
    <x v="0"/>
    <x v="2"/>
    <x v="11"/>
    <n v="0"/>
  </r>
  <r>
    <x v="0"/>
    <x v="0"/>
    <x v="0"/>
    <x v="1"/>
    <x v="1"/>
    <x v="0"/>
    <x v="0"/>
    <n v="-0.28530072927442202"/>
  </r>
  <r>
    <x v="0"/>
    <x v="0"/>
    <x v="0"/>
    <x v="1"/>
    <x v="1"/>
    <x v="0"/>
    <x v="1"/>
    <n v="0"/>
  </r>
  <r>
    <x v="0"/>
    <x v="0"/>
    <x v="0"/>
    <x v="1"/>
    <x v="1"/>
    <x v="0"/>
    <x v="2"/>
    <n v="-0.43655071222761299"/>
  </r>
  <r>
    <x v="0"/>
    <x v="0"/>
    <x v="0"/>
    <x v="1"/>
    <x v="1"/>
    <x v="0"/>
    <x v="3"/>
    <n v="-2.1661500660383599E-2"/>
  </r>
  <r>
    <x v="0"/>
    <x v="0"/>
    <x v="0"/>
    <x v="1"/>
    <x v="1"/>
    <x v="0"/>
    <x v="4"/>
    <n v="-7.1713245567414305E-2"/>
  </r>
  <r>
    <x v="0"/>
    <x v="0"/>
    <x v="0"/>
    <x v="1"/>
    <x v="1"/>
    <x v="0"/>
    <x v="5"/>
    <n v="3.7761403867755901E-2"/>
  </r>
  <r>
    <x v="0"/>
    <x v="0"/>
    <x v="0"/>
    <x v="1"/>
    <x v="1"/>
    <x v="0"/>
    <x v="6"/>
    <n v="-0.216539330916"/>
  </r>
  <r>
    <x v="0"/>
    <x v="0"/>
    <x v="0"/>
    <x v="1"/>
    <x v="1"/>
    <x v="0"/>
    <x v="7"/>
    <n v="-7.0012616736057201E-2"/>
  </r>
  <r>
    <x v="0"/>
    <x v="0"/>
    <x v="0"/>
    <x v="1"/>
    <x v="1"/>
    <x v="0"/>
    <x v="8"/>
    <n v="-0.116452977058219"/>
  </r>
  <r>
    <x v="0"/>
    <x v="0"/>
    <x v="0"/>
    <x v="1"/>
    <x v="1"/>
    <x v="0"/>
    <x v="9"/>
    <n v="4.93132946161218E-2"/>
  </r>
  <r>
    <x v="0"/>
    <x v="0"/>
    <x v="0"/>
    <x v="1"/>
    <x v="1"/>
    <x v="0"/>
    <x v="10"/>
    <n v="-9.3993915218762894E-2"/>
  </r>
  <r>
    <x v="0"/>
    <x v="0"/>
    <x v="0"/>
    <x v="1"/>
    <x v="1"/>
    <x v="0"/>
    <x v="11"/>
    <n v="-1.37139234273782E-2"/>
  </r>
  <r>
    <x v="0"/>
    <x v="0"/>
    <x v="0"/>
    <x v="1"/>
    <x v="1"/>
    <x v="1"/>
    <x v="0"/>
    <n v="-0.54"/>
  </r>
  <r>
    <x v="0"/>
    <x v="0"/>
    <x v="0"/>
    <x v="1"/>
    <x v="1"/>
    <x v="1"/>
    <x v="1"/>
    <n v="-0.37007311391214298"/>
  </r>
  <r>
    <x v="0"/>
    <x v="0"/>
    <x v="0"/>
    <x v="1"/>
    <x v="1"/>
    <x v="1"/>
    <x v="2"/>
    <n v="0.14810840218437801"/>
  </r>
  <r>
    <x v="0"/>
    <x v="0"/>
    <x v="0"/>
    <x v="1"/>
    <x v="1"/>
    <x v="1"/>
    <x v="3"/>
    <n v="-0.53073610070473298"/>
  </r>
  <r>
    <x v="0"/>
    <x v="0"/>
    <x v="0"/>
    <x v="1"/>
    <x v="1"/>
    <x v="1"/>
    <x v="4"/>
    <n v="0"/>
  </r>
  <r>
    <x v="0"/>
    <x v="0"/>
    <x v="0"/>
    <x v="1"/>
    <x v="1"/>
    <x v="1"/>
    <x v="5"/>
    <n v="0"/>
  </r>
  <r>
    <x v="0"/>
    <x v="0"/>
    <x v="0"/>
    <x v="1"/>
    <x v="1"/>
    <x v="1"/>
    <x v="6"/>
    <n v="-1.004455562362E-2"/>
  </r>
  <r>
    <x v="0"/>
    <x v="0"/>
    <x v="0"/>
    <x v="1"/>
    <x v="1"/>
    <x v="1"/>
    <x v="7"/>
    <n v="-0.13060565147488301"/>
  </r>
  <r>
    <x v="0"/>
    <x v="0"/>
    <x v="0"/>
    <x v="1"/>
    <x v="1"/>
    <x v="1"/>
    <x v="8"/>
    <n v="-0.15848977398686301"/>
  </r>
  <r>
    <x v="0"/>
    <x v="0"/>
    <x v="0"/>
    <x v="1"/>
    <x v="1"/>
    <x v="1"/>
    <x v="9"/>
    <n v="-3.0291553737233901E-2"/>
  </r>
  <r>
    <x v="0"/>
    <x v="0"/>
    <x v="0"/>
    <x v="1"/>
    <x v="1"/>
    <x v="1"/>
    <x v="10"/>
    <n v="-3.9525795665148203E-2"/>
  </r>
  <r>
    <x v="0"/>
    <x v="0"/>
    <x v="0"/>
    <x v="1"/>
    <x v="1"/>
    <x v="1"/>
    <x v="11"/>
    <n v="0.18282491980006499"/>
  </r>
  <r>
    <x v="0"/>
    <x v="0"/>
    <x v="0"/>
    <x v="1"/>
    <x v="1"/>
    <x v="2"/>
    <x v="0"/>
    <n v="0"/>
  </r>
  <r>
    <x v="0"/>
    <x v="0"/>
    <x v="0"/>
    <x v="1"/>
    <x v="1"/>
    <x v="2"/>
    <x v="1"/>
    <n v="0"/>
  </r>
  <r>
    <x v="0"/>
    <x v="0"/>
    <x v="0"/>
    <x v="1"/>
    <x v="1"/>
    <x v="2"/>
    <x v="2"/>
    <n v="0"/>
  </r>
  <r>
    <x v="0"/>
    <x v="0"/>
    <x v="0"/>
    <x v="1"/>
    <x v="1"/>
    <x v="2"/>
    <x v="3"/>
    <n v="1.9585878672128802E-2"/>
  </r>
  <r>
    <x v="0"/>
    <x v="0"/>
    <x v="0"/>
    <x v="1"/>
    <x v="1"/>
    <x v="2"/>
    <x v="4"/>
    <n v="0"/>
  </r>
  <r>
    <x v="0"/>
    <x v="0"/>
    <x v="0"/>
    <x v="1"/>
    <x v="1"/>
    <x v="2"/>
    <x v="5"/>
    <n v="0"/>
  </r>
  <r>
    <x v="0"/>
    <x v="0"/>
    <x v="0"/>
    <x v="1"/>
    <x v="1"/>
    <x v="2"/>
    <x v="6"/>
    <n v="0"/>
  </r>
  <r>
    <x v="0"/>
    <x v="0"/>
    <x v="0"/>
    <x v="1"/>
    <x v="1"/>
    <x v="2"/>
    <x v="7"/>
    <n v="-0.15599997539864299"/>
  </r>
  <r>
    <x v="0"/>
    <x v="0"/>
    <x v="0"/>
    <x v="1"/>
    <x v="1"/>
    <x v="2"/>
    <x v="8"/>
    <n v="0"/>
  </r>
  <r>
    <x v="0"/>
    <x v="0"/>
    <x v="0"/>
    <x v="1"/>
    <x v="1"/>
    <x v="2"/>
    <x v="9"/>
    <n v="2.8440792118137301E-2"/>
  </r>
  <r>
    <x v="0"/>
    <x v="0"/>
    <x v="0"/>
    <x v="1"/>
    <x v="1"/>
    <x v="2"/>
    <x v="10"/>
    <n v="-0.54"/>
  </r>
  <r>
    <x v="0"/>
    <x v="0"/>
    <x v="0"/>
    <x v="1"/>
    <x v="1"/>
    <x v="2"/>
    <x v="11"/>
    <n v="0"/>
  </r>
</pivotCacheRecords>
</file>

<file path=xl/pivotCache/pivotCacheRecords13.xml><?xml version="1.0" encoding="utf-8"?>
<pivotCacheRecords xmlns="http://schemas.openxmlformats.org/spreadsheetml/2006/main" xmlns:r="http://schemas.openxmlformats.org/officeDocument/2006/relationships" count="2">
  <r>
    <x v="0"/>
    <x v="0"/>
    <x v="0"/>
    <x v="0"/>
    <x v="0"/>
    <x v="0"/>
    <x v="0"/>
    <x v="0"/>
    <x v="0"/>
  </r>
  <r>
    <x v="0"/>
    <x v="0"/>
    <x v="0"/>
    <x v="0"/>
    <x v="1"/>
    <x v="0"/>
    <x v="1"/>
    <x v="1"/>
    <x v="1"/>
  </r>
</pivotCacheRecords>
</file>

<file path=xl/pivotCache/pivotCacheRecords14.xml><?xml version="1.0" encoding="utf-8"?>
<pivotCacheRecords xmlns="http://schemas.openxmlformats.org/spreadsheetml/2006/main" xmlns:r="http://schemas.openxmlformats.org/officeDocument/2006/relationships" count="0"/>
</file>

<file path=xl/pivotCache/pivotCacheRecords15.xml><?xml version="1.0" encoding="utf-8"?>
<pivotCacheRecords xmlns="http://schemas.openxmlformats.org/spreadsheetml/2006/main" xmlns:r="http://schemas.openxmlformats.org/officeDocument/2006/relationships" count="81">
  <r>
    <x v="0"/>
    <x v="0"/>
    <x v="0"/>
    <x v="0"/>
    <x v="0"/>
    <x v="0"/>
    <n v="3010"/>
  </r>
  <r>
    <x v="0"/>
    <x v="0"/>
    <x v="0"/>
    <x v="0"/>
    <x v="1"/>
    <x v="0"/>
    <n v="3010"/>
  </r>
  <r>
    <x v="0"/>
    <x v="0"/>
    <x v="0"/>
    <x v="0"/>
    <x v="2"/>
    <x v="0"/>
    <n v="6020"/>
  </r>
  <r>
    <x v="0"/>
    <x v="0"/>
    <x v="0"/>
    <x v="0"/>
    <x v="3"/>
    <x v="0"/>
    <n v="1000"/>
  </r>
  <r>
    <x v="0"/>
    <x v="0"/>
    <x v="0"/>
    <x v="0"/>
    <x v="4"/>
    <x v="0"/>
    <n v="2000"/>
  </r>
  <r>
    <x v="0"/>
    <x v="0"/>
    <x v="0"/>
    <x v="1"/>
    <x v="5"/>
    <x v="0"/>
    <n v="3010"/>
  </r>
  <r>
    <x v="0"/>
    <x v="0"/>
    <x v="0"/>
    <x v="1"/>
    <x v="2"/>
    <x v="0"/>
    <n v="8634"/>
  </r>
  <r>
    <x v="0"/>
    <x v="0"/>
    <x v="0"/>
    <x v="1"/>
    <x v="6"/>
    <x v="0"/>
    <n v="3000"/>
  </r>
  <r>
    <x v="0"/>
    <x v="0"/>
    <x v="0"/>
    <x v="1"/>
    <x v="7"/>
    <x v="0"/>
    <n v="1400"/>
  </r>
  <r>
    <x v="0"/>
    <x v="0"/>
    <x v="0"/>
    <x v="1"/>
    <x v="8"/>
    <x v="0"/>
    <n v="600"/>
  </r>
  <r>
    <x v="0"/>
    <x v="0"/>
    <x v="0"/>
    <x v="2"/>
    <x v="5"/>
    <x v="0"/>
    <n v="3010"/>
  </r>
  <r>
    <x v="0"/>
    <x v="0"/>
    <x v="0"/>
    <x v="2"/>
    <x v="2"/>
    <x v="0"/>
    <n v="14416"/>
  </r>
  <r>
    <x v="0"/>
    <x v="0"/>
    <x v="0"/>
    <x v="3"/>
    <x v="5"/>
    <x v="0"/>
    <n v="6020"/>
  </r>
  <r>
    <x v="0"/>
    <x v="0"/>
    <x v="0"/>
    <x v="3"/>
    <x v="0"/>
    <x v="0"/>
    <n v="8634"/>
  </r>
  <r>
    <x v="0"/>
    <x v="0"/>
    <x v="0"/>
    <x v="3"/>
    <x v="1"/>
    <x v="0"/>
    <n v="14416"/>
  </r>
  <r>
    <x v="0"/>
    <x v="0"/>
    <x v="0"/>
    <x v="3"/>
    <x v="9"/>
    <x v="0"/>
    <n v="5900"/>
  </r>
  <r>
    <x v="0"/>
    <x v="0"/>
    <x v="0"/>
    <x v="4"/>
    <x v="0"/>
    <x v="0"/>
    <n v="3000"/>
  </r>
  <r>
    <x v="0"/>
    <x v="0"/>
    <x v="0"/>
    <x v="4"/>
    <x v="3"/>
    <x v="1"/>
    <n v="0"/>
  </r>
  <r>
    <x v="0"/>
    <x v="0"/>
    <x v="0"/>
    <x v="4"/>
    <x v="3"/>
    <x v="0"/>
    <n v="600"/>
  </r>
  <r>
    <x v="0"/>
    <x v="0"/>
    <x v="0"/>
    <x v="4"/>
    <x v="9"/>
    <x v="0"/>
    <n v="700"/>
  </r>
  <r>
    <x v="0"/>
    <x v="0"/>
    <x v="0"/>
    <x v="4"/>
    <x v="7"/>
    <x v="0"/>
    <n v="1700"/>
  </r>
  <r>
    <x v="0"/>
    <x v="0"/>
    <x v="0"/>
    <x v="4"/>
    <x v="10"/>
    <x v="0"/>
    <n v="740"/>
  </r>
  <r>
    <x v="0"/>
    <x v="0"/>
    <x v="0"/>
    <x v="4"/>
    <x v="11"/>
    <x v="0"/>
    <n v="1400"/>
  </r>
  <r>
    <x v="0"/>
    <x v="0"/>
    <x v="0"/>
    <x v="5"/>
    <x v="5"/>
    <x v="0"/>
    <n v="985"/>
  </r>
  <r>
    <x v="0"/>
    <x v="0"/>
    <x v="0"/>
    <x v="5"/>
    <x v="6"/>
    <x v="1"/>
    <n v="0"/>
  </r>
  <r>
    <x v="0"/>
    <x v="0"/>
    <x v="0"/>
    <x v="5"/>
    <x v="6"/>
    <x v="0"/>
    <n v="600"/>
  </r>
  <r>
    <x v="0"/>
    <x v="0"/>
    <x v="0"/>
    <x v="5"/>
    <x v="8"/>
    <x v="0"/>
    <n v="1700"/>
  </r>
  <r>
    <x v="0"/>
    <x v="0"/>
    <x v="0"/>
    <x v="6"/>
    <x v="12"/>
    <x v="0"/>
    <n v="1000"/>
  </r>
  <r>
    <x v="0"/>
    <x v="0"/>
    <x v="0"/>
    <x v="6"/>
    <x v="13"/>
    <x v="0"/>
    <n v="800"/>
  </r>
  <r>
    <x v="0"/>
    <x v="0"/>
    <x v="0"/>
    <x v="7"/>
    <x v="14"/>
    <x v="0"/>
    <n v="1000"/>
  </r>
  <r>
    <x v="0"/>
    <x v="0"/>
    <x v="0"/>
    <x v="7"/>
    <x v="15"/>
    <x v="0"/>
    <n v="700"/>
  </r>
  <r>
    <x v="0"/>
    <x v="0"/>
    <x v="0"/>
    <x v="7"/>
    <x v="16"/>
    <x v="0"/>
    <n v="1300"/>
  </r>
  <r>
    <x v="0"/>
    <x v="0"/>
    <x v="0"/>
    <x v="7"/>
    <x v="10"/>
    <x v="0"/>
    <n v="1350"/>
  </r>
  <r>
    <x v="0"/>
    <x v="0"/>
    <x v="0"/>
    <x v="8"/>
    <x v="13"/>
    <x v="0"/>
    <n v="700"/>
  </r>
  <r>
    <x v="0"/>
    <x v="0"/>
    <x v="0"/>
    <x v="8"/>
    <x v="4"/>
    <x v="0"/>
    <n v="1000"/>
  </r>
  <r>
    <x v="0"/>
    <x v="0"/>
    <x v="0"/>
    <x v="8"/>
    <x v="8"/>
    <x v="0"/>
    <n v="700"/>
  </r>
  <r>
    <x v="0"/>
    <x v="0"/>
    <x v="0"/>
    <x v="9"/>
    <x v="14"/>
    <x v="0"/>
    <n v="800"/>
  </r>
  <r>
    <x v="0"/>
    <x v="0"/>
    <x v="0"/>
    <x v="9"/>
    <x v="17"/>
    <x v="0"/>
    <n v="1200"/>
  </r>
  <r>
    <x v="0"/>
    <x v="0"/>
    <x v="0"/>
    <x v="10"/>
    <x v="2"/>
    <x v="0"/>
    <n v="5100"/>
  </r>
  <r>
    <x v="0"/>
    <x v="0"/>
    <x v="0"/>
    <x v="10"/>
    <x v="6"/>
    <x v="0"/>
    <n v="700"/>
  </r>
  <r>
    <x v="0"/>
    <x v="0"/>
    <x v="0"/>
    <x v="10"/>
    <x v="7"/>
    <x v="0"/>
    <n v="1400"/>
  </r>
  <r>
    <x v="0"/>
    <x v="0"/>
    <x v="0"/>
    <x v="10"/>
    <x v="11"/>
    <x v="0"/>
    <n v="1000"/>
  </r>
  <r>
    <x v="0"/>
    <x v="0"/>
    <x v="0"/>
    <x v="11"/>
    <x v="7"/>
    <x v="0"/>
    <n v="1900"/>
  </r>
  <r>
    <x v="0"/>
    <x v="0"/>
    <x v="0"/>
    <x v="11"/>
    <x v="18"/>
    <x v="0"/>
    <n v="800"/>
  </r>
  <r>
    <x v="0"/>
    <x v="0"/>
    <x v="0"/>
    <x v="11"/>
    <x v="19"/>
    <x v="0"/>
    <n v="300"/>
  </r>
  <r>
    <x v="0"/>
    <x v="0"/>
    <x v="0"/>
    <x v="11"/>
    <x v="10"/>
    <x v="0"/>
    <n v="3345"/>
  </r>
  <r>
    <x v="0"/>
    <x v="0"/>
    <x v="0"/>
    <x v="12"/>
    <x v="0"/>
    <x v="0"/>
    <n v="1400"/>
  </r>
  <r>
    <x v="0"/>
    <x v="0"/>
    <x v="0"/>
    <x v="12"/>
    <x v="6"/>
    <x v="0"/>
    <n v="1700"/>
  </r>
  <r>
    <x v="0"/>
    <x v="0"/>
    <x v="0"/>
    <x v="12"/>
    <x v="9"/>
    <x v="0"/>
    <n v="1400"/>
  </r>
  <r>
    <x v="0"/>
    <x v="0"/>
    <x v="0"/>
    <x v="12"/>
    <x v="20"/>
    <x v="0"/>
    <n v="2600"/>
  </r>
  <r>
    <x v="0"/>
    <x v="0"/>
    <x v="0"/>
    <x v="12"/>
    <x v="19"/>
    <x v="0"/>
    <n v="500"/>
  </r>
  <r>
    <x v="0"/>
    <x v="0"/>
    <x v="0"/>
    <x v="12"/>
    <x v="11"/>
    <x v="0"/>
    <n v="1400"/>
  </r>
  <r>
    <x v="0"/>
    <x v="0"/>
    <x v="0"/>
    <x v="13"/>
    <x v="20"/>
    <x v="0"/>
    <n v="500"/>
  </r>
  <r>
    <x v="0"/>
    <x v="0"/>
    <x v="0"/>
    <x v="13"/>
    <x v="15"/>
    <x v="0"/>
    <n v="200"/>
  </r>
  <r>
    <x v="0"/>
    <x v="0"/>
    <x v="0"/>
    <x v="13"/>
    <x v="21"/>
    <x v="0"/>
    <n v="600"/>
  </r>
  <r>
    <x v="0"/>
    <x v="0"/>
    <x v="0"/>
    <x v="14"/>
    <x v="12"/>
    <x v="0"/>
    <n v="600"/>
  </r>
  <r>
    <x v="0"/>
    <x v="0"/>
    <x v="0"/>
    <x v="14"/>
    <x v="18"/>
    <x v="0"/>
    <n v="1000"/>
  </r>
  <r>
    <x v="0"/>
    <x v="0"/>
    <x v="0"/>
    <x v="14"/>
    <x v="21"/>
    <x v="0"/>
    <n v="250"/>
  </r>
  <r>
    <x v="0"/>
    <x v="0"/>
    <x v="0"/>
    <x v="15"/>
    <x v="20"/>
    <x v="0"/>
    <n v="3700"/>
  </r>
  <r>
    <x v="0"/>
    <x v="0"/>
    <x v="0"/>
    <x v="15"/>
    <x v="7"/>
    <x v="0"/>
    <n v="600"/>
  </r>
  <r>
    <x v="0"/>
    <x v="0"/>
    <x v="0"/>
    <x v="16"/>
    <x v="5"/>
    <x v="0"/>
    <n v="2000"/>
  </r>
  <r>
    <x v="0"/>
    <x v="0"/>
    <x v="0"/>
    <x v="16"/>
    <x v="17"/>
    <x v="0"/>
    <n v="1000"/>
  </r>
  <r>
    <x v="0"/>
    <x v="0"/>
    <x v="0"/>
    <x v="17"/>
    <x v="12"/>
    <x v="0"/>
    <n v="1300"/>
  </r>
  <r>
    <x v="0"/>
    <x v="0"/>
    <x v="0"/>
    <x v="17"/>
    <x v="15"/>
    <x v="0"/>
    <n v="600"/>
  </r>
  <r>
    <x v="0"/>
    <x v="0"/>
    <x v="0"/>
    <x v="17"/>
    <x v="21"/>
    <x v="0"/>
    <n v="3300"/>
  </r>
  <r>
    <x v="0"/>
    <x v="0"/>
    <x v="0"/>
    <x v="18"/>
    <x v="18"/>
    <x v="0"/>
    <n v="1000"/>
  </r>
  <r>
    <x v="0"/>
    <x v="0"/>
    <x v="0"/>
    <x v="18"/>
    <x v="15"/>
    <x v="0"/>
    <n v="300"/>
  </r>
  <r>
    <x v="0"/>
    <x v="0"/>
    <x v="0"/>
    <x v="18"/>
    <x v="16"/>
    <x v="0"/>
    <n v="3300"/>
  </r>
  <r>
    <x v="0"/>
    <x v="0"/>
    <x v="0"/>
    <x v="18"/>
    <x v="10"/>
    <x v="0"/>
    <n v="7300"/>
  </r>
  <r>
    <x v="0"/>
    <x v="0"/>
    <x v="0"/>
    <x v="19"/>
    <x v="6"/>
    <x v="0"/>
    <n v="680"/>
  </r>
  <r>
    <x v="0"/>
    <x v="0"/>
    <x v="0"/>
    <x v="19"/>
    <x v="12"/>
    <x v="0"/>
    <n v="1350"/>
  </r>
  <r>
    <x v="0"/>
    <x v="0"/>
    <x v="0"/>
    <x v="19"/>
    <x v="20"/>
    <x v="0"/>
    <n v="3295"/>
  </r>
  <r>
    <x v="0"/>
    <x v="0"/>
    <x v="0"/>
    <x v="19"/>
    <x v="21"/>
    <x v="0"/>
    <n v="7300"/>
  </r>
  <r>
    <x v="0"/>
    <x v="0"/>
    <x v="0"/>
    <x v="19"/>
    <x v="8"/>
    <x v="0"/>
    <n v="6500"/>
  </r>
  <r>
    <x v="0"/>
    <x v="0"/>
    <x v="0"/>
    <x v="20"/>
    <x v="0"/>
    <x v="0"/>
    <n v="610"/>
  </r>
  <r>
    <x v="0"/>
    <x v="0"/>
    <x v="0"/>
    <x v="20"/>
    <x v="3"/>
    <x v="0"/>
    <n v="1300"/>
  </r>
  <r>
    <x v="0"/>
    <x v="0"/>
    <x v="0"/>
    <x v="20"/>
    <x v="17"/>
    <x v="0"/>
    <n v="700"/>
  </r>
  <r>
    <x v="0"/>
    <x v="0"/>
    <x v="0"/>
    <x v="20"/>
    <x v="10"/>
    <x v="0"/>
    <n v="3200"/>
  </r>
  <r>
    <x v="0"/>
    <x v="0"/>
    <x v="0"/>
    <x v="21"/>
    <x v="6"/>
    <x v="0"/>
    <n v="1400"/>
  </r>
  <r>
    <x v="0"/>
    <x v="0"/>
    <x v="0"/>
    <x v="21"/>
    <x v="9"/>
    <x v="0"/>
    <n v="1000"/>
  </r>
  <r>
    <x v="0"/>
    <x v="0"/>
    <x v="0"/>
    <x v="21"/>
    <x v="7"/>
    <x v="0"/>
    <n v="1400"/>
  </r>
</pivotCacheRecords>
</file>

<file path=xl/pivotCache/pivotCacheRecords16.xml><?xml version="1.0" encoding="utf-8"?>
<pivotCacheRecords xmlns="http://schemas.openxmlformats.org/spreadsheetml/2006/main" xmlns:r="http://schemas.openxmlformats.org/officeDocument/2006/relationships" count="47">
  <r>
    <x v="0"/>
    <x v="0"/>
    <x v="0"/>
    <x v="0"/>
    <x v="0"/>
    <x v="0"/>
    <x v="0"/>
    <x v="0"/>
    <x v="0"/>
    <x v="0"/>
    <n v="511.41580384998201"/>
  </r>
  <r>
    <x v="0"/>
    <x v="0"/>
    <x v="0"/>
    <x v="0"/>
    <x v="0"/>
    <x v="0"/>
    <x v="0"/>
    <x v="0"/>
    <x v="1"/>
    <x v="1"/>
    <n v="9320.6809118581295"/>
  </r>
  <r>
    <x v="0"/>
    <x v="0"/>
    <x v="0"/>
    <x v="0"/>
    <x v="0"/>
    <x v="0"/>
    <x v="1"/>
    <x v="1"/>
    <x v="2"/>
    <x v="2"/>
    <n v="214.95693545333"/>
  </r>
  <r>
    <x v="0"/>
    <x v="0"/>
    <x v="0"/>
    <x v="0"/>
    <x v="0"/>
    <x v="0"/>
    <x v="2"/>
    <x v="1"/>
    <x v="2"/>
    <x v="3"/>
    <n v="86.088067102687106"/>
  </r>
  <r>
    <x v="0"/>
    <x v="0"/>
    <x v="0"/>
    <x v="0"/>
    <x v="0"/>
    <x v="1"/>
    <x v="3"/>
    <x v="2"/>
    <x v="3"/>
    <x v="4"/>
    <n v="87.919775614994705"/>
  </r>
  <r>
    <x v="0"/>
    <x v="0"/>
    <x v="0"/>
    <x v="0"/>
    <x v="0"/>
    <x v="1"/>
    <x v="2"/>
    <x v="3"/>
    <x v="4"/>
    <x v="5"/>
    <n v="194.294581114441"/>
  </r>
  <r>
    <x v="0"/>
    <x v="0"/>
    <x v="0"/>
    <x v="0"/>
    <x v="0"/>
    <x v="2"/>
    <x v="2"/>
    <x v="3"/>
    <x v="4"/>
    <x v="6"/>
    <n v="450.86650370535301"/>
  </r>
  <r>
    <x v="0"/>
    <x v="0"/>
    <x v="0"/>
    <x v="0"/>
    <x v="0"/>
    <x v="3"/>
    <x v="3"/>
    <x v="2"/>
    <x v="3"/>
    <x v="7"/>
    <n v="188.729005217897"/>
  </r>
  <r>
    <x v="0"/>
    <x v="0"/>
    <x v="0"/>
    <x v="0"/>
    <x v="0"/>
    <x v="3"/>
    <x v="0"/>
    <x v="0"/>
    <x v="0"/>
    <x v="0"/>
    <n v="137.57437017855301"/>
  </r>
  <r>
    <x v="0"/>
    <x v="0"/>
    <x v="0"/>
    <x v="0"/>
    <x v="0"/>
    <x v="3"/>
    <x v="0"/>
    <x v="0"/>
    <x v="1"/>
    <x v="8"/>
    <n v="3060.0380113625001"/>
  </r>
  <r>
    <x v="0"/>
    <x v="0"/>
    <x v="0"/>
    <x v="0"/>
    <x v="0"/>
    <x v="4"/>
    <x v="0"/>
    <x v="0"/>
    <x v="0"/>
    <x v="0"/>
    <n v="325.40516082497697"/>
  </r>
  <r>
    <x v="0"/>
    <x v="0"/>
    <x v="0"/>
    <x v="0"/>
    <x v="0"/>
    <x v="4"/>
    <x v="0"/>
    <x v="0"/>
    <x v="1"/>
    <x v="8"/>
    <n v="10145.311074842901"/>
  </r>
  <r>
    <x v="0"/>
    <x v="0"/>
    <x v="0"/>
    <x v="0"/>
    <x v="0"/>
    <x v="4"/>
    <x v="2"/>
    <x v="1"/>
    <x v="2"/>
    <x v="9"/>
    <n v="756.327128458939"/>
  </r>
  <r>
    <x v="0"/>
    <x v="0"/>
    <x v="0"/>
    <x v="0"/>
    <x v="0"/>
    <x v="5"/>
    <x v="3"/>
    <x v="0"/>
    <x v="5"/>
    <x v="10"/>
    <n v="237.26463300425499"/>
  </r>
  <r>
    <x v="0"/>
    <x v="0"/>
    <x v="0"/>
    <x v="0"/>
    <x v="0"/>
    <x v="5"/>
    <x v="4"/>
    <x v="4"/>
    <x v="6"/>
    <x v="11"/>
    <n v="2556.8136596272702"/>
  </r>
  <r>
    <x v="0"/>
    <x v="0"/>
    <x v="0"/>
    <x v="0"/>
    <x v="0"/>
    <x v="5"/>
    <x v="5"/>
    <x v="4"/>
    <x v="7"/>
    <x v="12"/>
    <n v="490.08634828731402"/>
  </r>
  <r>
    <x v="0"/>
    <x v="0"/>
    <x v="0"/>
    <x v="0"/>
    <x v="0"/>
    <x v="6"/>
    <x v="3"/>
    <x v="2"/>
    <x v="3"/>
    <x v="4"/>
    <n v="190.65122102028701"/>
  </r>
  <r>
    <x v="0"/>
    <x v="0"/>
    <x v="0"/>
    <x v="0"/>
    <x v="0"/>
    <x v="6"/>
    <x v="2"/>
    <x v="3"/>
    <x v="4"/>
    <x v="5"/>
    <n v="59.008541666666702"/>
  </r>
  <r>
    <x v="0"/>
    <x v="0"/>
    <x v="0"/>
    <x v="0"/>
    <x v="0"/>
    <x v="7"/>
    <x v="2"/>
    <x v="3"/>
    <x v="4"/>
    <x v="6"/>
    <n v="2305.8572677678299"/>
  </r>
  <r>
    <x v="0"/>
    <x v="0"/>
    <x v="0"/>
    <x v="0"/>
    <x v="0"/>
    <x v="8"/>
    <x v="3"/>
    <x v="2"/>
    <x v="3"/>
    <x v="7"/>
    <n v="74.029009277237705"/>
  </r>
  <r>
    <x v="0"/>
    <x v="0"/>
    <x v="0"/>
    <x v="0"/>
    <x v="0"/>
    <x v="8"/>
    <x v="0"/>
    <x v="0"/>
    <x v="0"/>
    <x v="0"/>
    <n v="132.020677366179"/>
  </r>
  <r>
    <x v="0"/>
    <x v="0"/>
    <x v="0"/>
    <x v="0"/>
    <x v="0"/>
    <x v="8"/>
    <x v="0"/>
    <x v="0"/>
    <x v="1"/>
    <x v="8"/>
    <n v="6236.5963129801403"/>
  </r>
  <r>
    <x v="0"/>
    <x v="0"/>
    <x v="0"/>
    <x v="0"/>
    <x v="0"/>
    <x v="9"/>
    <x v="0"/>
    <x v="0"/>
    <x v="0"/>
    <x v="0"/>
    <n v="4.3654816492516098"/>
  </r>
  <r>
    <x v="0"/>
    <x v="0"/>
    <x v="0"/>
    <x v="0"/>
    <x v="1"/>
    <x v="10"/>
    <x v="0"/>
    <x v="0"/>
    <x v="0"/>
    <x v="0"/>
    <n v="748.15667954066396"/>
  </r>
  <r>
    <x v="0"/>
    <x v="0"/>
    <x v="0"/>
    <x v="0"/>
    <x v="1"/>
    <x v="10"/>
    <x v="0"/>
    <x v="0"/>
    <x v="1"/>
    <x v="1"/>
    <n v="9672.3857261060693"/>
  </r>
  <r>
    <x v="0"/>
    <x v="0"/>
    <x v="0"/>
    <x v="0"/>
    <x v="1"/>
    <x v="10"/>
    <x v="1"/>
    <x v="1"/>
    <x v="2"/>
    <x v="2"/>
    <n v="129.025404126984"/>
  </r>
  <r>
    <x v="0"/>
    <x v="0"/>
    <x v="0"/>
    <x v="0"/>
    <x v="1"/>
    <x v="10"/>
    <x v="2"/>
    <x v="1"/>
    <x v="2"/>
    <x v="3"/>
    <n v="357.19310656728902"/>
  </r>
  <r>
    <x v="0"/>
    <x v="0"/>
    <x v="0"/>
    <x v="0"/>
    <x v="1"/>
    <x v="11"/>
    <x v="3"/>
    <x v="2"/>
    <x v="3"/>
    <x v="4"/>
    <n v="25.0740278366615"/>
  </r>
  <r>
    <x v="0"/>
    <x v="0"/>
    <x v="0"/>
    <x v="0"/>
    <x v="1"/>
    <x v="11"/>
    <x v="2"/>
    <x v="3"/>
    <x v="4"/>
    <x v="5"/>
    <n v="76.5128280829462"/>
  </r>
  <r>
    <x v="0"/>
    <x v="0"/>
    <x v="0"/>
    <x v="0"/>
    <x v="1"/>
    <x v="12"/>
    <x v="2"/>
    <x v="3"/>
    <x v="4"/>
    <x v="6"/>
    <n v="422.97111378897699"/>
  </r>
  <r>
    <x v="0"/>
    <x v="0"/>
    <x v="0"/>
    <x v="0"/>
    <x v="1"/>
    <x v="13"/>
    <x v="0"/>
    <x v="0"/>
    <x v="0"/>
    <x v="0"/>
    <n v="50.721106628646901"/>
  </r>
  <r>
    <x v="0"/>
    <x v="0"/>
    <x v="0"/>
    <x v="0"/>
    <x v="1"/>
    <x v="13"/>
    <x v="0"/>
    <x v="0"/>
    <x v="1"/>
    <x v="8"/>
    <n v="1986.32904564911"/>
  </r>
  <r>
    <x v="0"/>
    <x v="0"/>
    <x v="0"/>
    <x v="0"/>
    <x v="1"/>
    <x v="13"/>
    <x v="2"/>
    <x v="1"/>
    <x v="2"/>
    <x v="9"/>
    <n v="135.56091266022801"/>
  </r>
  <r>
    <x v="0"/>
    <x v="0"/>
    <x v="0"/>
    <x v="0"/>
    <x v="1"/>
    <x v="14"/>
    <x v="0"/>
    <x v="0"/>
    <x v="0"/>
    <x v="0"/>
    <n v="163.09513805465201"/>
  </r>
  <r>
    <x v="0"/>
    <x v="0"/>
    <x v="0"/>
    <x v="0"/>
    <x v="1"/>
    <x v="14"/>
    <x v="0"/>
    <x v="0"/>
    <x v="1"/>
    <x v="8"/>
    <n v="3481.7046395953198"/>
  </r>
  <r>
    <x v="0"/>
    <x v="0"/>
    <x v="0"/>
    <x v="0"/>
    <x v="1"/>
    <x v="14"/>
    <x v="2"/>
    <x v="1"/>
    <x v="2"/>
    <x v="9"/>
    <n v="283.56539552024498"/>
  </r>
  <r>
    <x v="0"/>
    <x v="0"/>
    <x v="0"/>
    <x v="0"/>
    <x v="1"/>
    <x v="15"/>
    <x v="3"/>
    <x v="0"/>
    <x v="5"/>
    <x v="10"/>
    <n v="45.306449056688201"/>
  </r>
  <r>
    <x v="0"/>
    <x v="0"/>
    <x v="0"/>
    <x v="0"/>
    <x v="1"/>
    <x v="15"/>
    <x v="4"/>
    <x v="4"/>
    <x v="6"/>
    <x v="11"/>
    <n v="2042.47128247201"/>
  </r>
  <r>
    <x v="0"/>
    <x v="0"/>
    <x v="0"/>
    <x v="0"/>
    <x v="1"/>
    <x v="16"/>
    <x v="3"/>
    <x v="2"/>
    <x v="3"/>
    <x v="4"/>
    <n v="28.100049769127299"/>
  </r>
  <r>
    <x v="0"/>
    <x v="0"/>
    <x v="0"/>
    <x v="0"/>
    <x v="1"/>
    <x v="16"/>
    <x v="2"/>
    <x v="3"/>
    <x v="4"/>
    <x v="5"/>
    <n v="12.8333636986301"/>
  </r>
  <r>
    <x v="0"/>
    <x v="0"/>
    <x v="0"/>
    <x v="0"/>
    <x v="1"/>
    <x v="17"/>
    <x v="2"/>
    <x v="3"/>
    <x v="4"/>
    <x v="6"/>
    <n v="566.15470214929701"/>
  </r>
  <r>
    <x v="0"/>
    <x v="0"/>
    <x v="0"/>
    <x v="0"/>
    <x v="1"/>
    <x v="18"/>
    <x v="0"/>
    <x v="0"/>
    <x v="0"/>
    <x v="0"/>
    <n v="105.305578505407"/>
  </r>
  <r>
    <x v="0"/>
    <x v="0"/>
    <x v="0"/>
    <x v="0"/>
    <x v="1"/>
    <x v="18"/>
    <x v="0"/>
    <x v="0"/>
    <x v="1"/>
    <x v="8"/>
    <n v="2020.29632063385"/>
  </r>
  <r>
    <x v="0"/>
    <x v="0"/>
    <x v="0"/>
    <x v="0"/>
    <x v="1"/>
    <x v="18"/>
    <x v="2"/>
    <x v="1"/>
    <x v="2"/>
    <x v="13"/>
    <n v="60.045449663168803"/>
  </r>
  <r>
    <x v="0"/>
    <x v="0"/>
    <x v="0"/>
    <x v="0"/>
    <x v="1"/>
    <x v="19"/>
    <x v="0"/>
    <x v="0"/>
    <x v="0"/>
    <x v="0"/>
    <n v="10.371863425672901"/>
  </r>
  <r>
    <x v="0"/>
    <x v="0"/>
    <x v="0"/>
    <x v="0"/>
    <x v="1"/>
    <x v="19"/>
    <x v="0"/>
    <x v="0"/>
    <x v="1"/>
    <x v="8"/>
    <n v="185.53661372988799"/>
  </r>
  <r>
    <x v="0"/>
    <x v="0"/>
    <x v="0"/>
    <x v="0"/>
    <x v="1"/>
    <x v="19"/>
    <x v="2"/>
    <x v="1"/>
    <x v="2"/>
    <x v="13"/>
    <n v="19.046133090257499"/>
  </r>
</pivotCacheRecords>
</file>

<file path=xl/pivotCache/pivotCacheRecords17.xml><?xml version="1.0" encoding="utf-8"?>
<pivotCacheRecords xmlns="http://schemas.openxmlformats.org/spreadsheetml/2006/main" xmlns:r="http://schemas.openxmlformats.org/officeDocument/2006/relationships" count="563">
  <r>
    <x v="0"/>
    <x v="0"/>
    <x v="0"/>
    <x v="0"/>
    <x v="0"/>
    <s v="DK1_Large"/>
    <x v="0"/>
    <x v="0"/>
    <x v="0"/>
    <x v="0"/>
    <s v="GNR_ENG_BGAS_BP_E-36"/>
    <n v="0.81"/>
    <n v="8.0999999999999996E-4"/>
  </r>
  <r>
    <x v="0"/>
    <x v="0"/>
    <x v="0"/>
    <x v="0"/>
    <x v="0"/>
    <s v="DK1_Large"/>
    <x v="0"/>
    <x v="0"/>
    <x v="0"/>
    <x v="0"/>
    <s v="GNR_ENG_BGAS_BP_E-37"/>
    <n v="0.5"/>
    <n v="5.0000000000000001E-4"/>
  </r>
  <r>
    <x v="0"/>
    <x v="0"/>
    <x v="0"/>
    <x v="0"/>
    <x v="0"/>
    <s v="DK1_Large"/>
    <x v="0"/>
    <x v="0"/>
    <x v="0"/>
    <x v="0"/>
    <s v="GNR_ENG_BGAS_BP_E-39"/>
    <n v="3.375"/>
    <n v="3.375E-3"/>
  </r>
  <r>
    <x v="0"/>
    <x v="0"/>
    <x v="0"/>
    <x v="0"/>
    <x v="0"/>
    <s v="DK1_Large"/>
    <x v="0"/>
    <x v="0"/>
    <x v="0"/>
    <x v="0"/>
    <s v="GNR_ENG_BGAS_BP_E-40"/>
    <n v="1.2430000000000001"/>
    <n v="1.243E-3"/>
  </r>
  <r>
    <x v="0"/>
    <x v="0"/>
    <x v="0"/>
    <x v="0"/>
    <x v="0"/>
    <s v="DK1_Large"/>
    <x v="0"/>
    <x v="0"/>
    <x v="0"/>
    <x v="0"/>
    <s v="GNR_ENG_BGAS_BP_E-41"/>
    <n v="2.677"/>
    <n v="2.6770000000000001E-3"/>
  </r>
  <r>
    <x v="0"/>
    <x v="0"/>
    <x v="0"/>
    <x v="0"/>
    <x v="0"/>
    <s v="DK1_Large"/>
    <x v="0"/>
    <x v="0"/>
    <x v="0"/>
    <x v="0"/>
    <s v="GNR_ENG_BGAS_BP_E-42"/>
    <n v="2.4750000000000001"/>
    <n v="2.4750000000000002E-3"/>
  </r>
  <r>
    <x v="0"/>
    <x v="0"/>
    <x v="0"/>
    <x v="0"/>
    <x v="0"/>
    <s v="DK1_Large"/>
    <x v="0"/>
    <x v="0"/>
    <x v="0"/>
    <x v="0"/>
    <s v="GNR_ENG_BGAS_BP_E-43"/>
    <n v="3.0470000000000002"/>
    <n v="3.0469999999999998E-3"/>
  </r>
  <r>
    <x v="0"/>
    <x v="0"/>
    <x v="0"/>
    <x v="0"/>
    <x v="0"/>
    <s v="DK1_Large"/>
    <x v="1"/>
    <x v="0"/>
    <x v="0"/>
    <x v="0"/>
    <s v="GNR_ENG_LIGHTOIL_BP_E-37"/>
    <n v="32"/>
    <n v="3.2000000000000001E-2"/>
  </r>
  <r>
    <x v="0"/>
    <x v="0"/>
    <x v="0"/>
    <x v="0"/>
    <x v="0"/>
    <s v="DK1_Large"/>
    <x v="2"/>
    <x v="0"/>
    <x v="0"/>
    <x v="1"/>
    <s v="GNR_ST_MSW_BP_E-24_LS-220-MW-FEED_Y-2030"/>
    <n v="214.95693545333"/>
    <n v="0.21495693545333"/>
  </r>
  <r>
    <x v="0"/>
    <x v="0"/>
    <x v="0"/>
    <x v="0"/>
    <x v="0"/>
    <s v="DK1_Large"/>
    <x v="2"/>
    <x v="0"/>
    <x v="0"/>
    <x v="0"/>
    <s v="GNR_ST_MSW_BP_E-27"/>
    <n v="17.899999999999999"/>
    <n v="1.7899999999999999E-2"/>
  </r>
  <r>
    <x v="0"/>
    <x v="0"/>
    <x v="0"/>
    <x v="0"/>
    <x v="0"/>
    <s v="DK1_Large"/>
    <x v="3"/>
    <x v="0"/>
    <x v="0"/>
    <x v="1"/>
    <s v="GNR_GT_NGAS_BP_E-43_LS-40-MW_Y-2030"/>
    <n v="86.088067102687106"/>
    <n v="8.6088067102687099E-2"/>
  </r>
  <r>
    <x v="0"/>
    <x v="0"/>
    <x v="0"/>
    <x v="0"/>
    <x v="0"/>
    <s v="DK1_Large"/>
    <x v="3"/>
    <x v="0"/>
    <x v="0"/>
    <x v="0"/>
    <s v="GNR_ENG_NGAS_BP_E-39"/>
    <n v="3.7"/>
    <n v="3.7000000000000002E-3"/>
  </r>
  <r>
    <x v="0"/>
    <x v="0"/>
    <x v="0"/>
    <x v="0"/>
    <x v="0"/>
    <s v="DK1_Large"/>
    <x v="3"/>
    <x v="0"/>
    <x v="0"/>
    <x v="0"/>
    <s v="GNR_ENG_NGAS_BP_E-42"/>
    <n v="2.2599999999999998"/>
    <n v="2.2599999999999999E-3"/>
  </r>
  <r>
    <x v="0"/>
    <x v="0"/>
    <x v="0"/>
    <x v="0"/>
    <x v="0"/>
    <s v="DK1_Large"/>
    <x v="3"/>
    <x v="0"/>
    <x v="0"/>
    <x v="0"/>
    <s v="GNR_ENG_NGAS_BP_E-43"/>
    <n v="3.04"/>
    <n v="3.0400000000000002E-3"/>
  </r>
  <r>
    <x v="0"/>
    <x v="0"/>
    <x v="0"/>
    <x v="0"/>
    <x v="0"/>
    <s v="DK1_Large"/>
    <x v="3"/>
    <x v="0"/>
    <x v="0"/>
    <x v="0"/>
    <s v="GNR_ENG_NGAS_BP_E-46"/>
    <n v="0.73"/>
    <n v="7.2999999999999996E-4"/>
  </r>
  <r>
    <x v="0"/>
    <x v="0"/>
    <x v="0"/>
    <x v="0"/>
    <x v="0"/>
    <s v="DK1_Large"/>
    <x v="4"/>
    <x v="0"/>
    <x v="0"/>
    <x v="0"/>
    <s v="GNR_ST_STRW_BP_E-26"/>
    <n v="31"/>
    <n v="3.1E-2"/>
  </r>
  <r>
    <x v="0"/>
    <x v="0"/>
    <x v="0"/>
    <x v="0"/>
    <x v="0"/>
    <s v="DK1_Large"/>
    <x v="5"/>
    <x v="0"/>
    <x v="0"/>
    <x v="0"/>
    <s v="GNR_ST_WOODCHI_BP_E-23"/>
    <n v="7.5"/>
    <n v="7.4999999999999997E-3"/>
  </r>
  <r>
    <x v="0"/>
    <x v="0"/>
    <x v="0"/>
    <x v="0"/>
    <x v="0"/>
    <s v="DK1_MedSmall"/>
    <x v="3"/>
    <x v="0"/>
    <x v="0"/>
    <x v="0"/>
    <s v="GNR_ENG_NGAS_BP_E-41"/>
    <n v="3.02"/>
    <n v="3.0200000000000001E-3"/>
  </r>
  <r>
    <x v="0"/>
    <x v="0"/>
    <x v="0"/>
    <x v="0"/>
    <x v="0"/>
    <s v="DK1_Medium"/>
    <x v="0"/>
    <x v="0"/>
    <x v="0"/>
    <x v="0"/>
    <s v="GNR_ENG_BGAS_BP_E-39"/>
    <n v="0.63"/>
    <n v="6.3000000000000003E-4"/>
  </r>
  <r>
    <x v="0"/>
    <x v="0"/>
    <x v="0"/>
    <x v="0"/>
    <x v="0"/>
    <s v="DK1_Medium"/>
    <x v="0"/>
    <x v="0"/>
    <x v="0"/>
    <x v="0"/>
    <s v="GNR_ENG_BGAS_BP_E-41"/>
    <n v="3.3170000000000002"/>
    <n v="3.3170000000000001E-3"/>
  </r>
  <r>
    <x v="0"/>
    <x v="0"/>
    <x v="0"/>
    <x v="0"/>
    <x v="0"/>
    <s v="DK1_Medium"/>
    <x v="0"/>
    <x v="0"/>
    <x v="0"/>
    <x v="0"/>
    <s v="GNR_ENG_BGAS_BP_E-42"/>
    <n v="0.33"/>
    <n v="3.3E-4"/>
  </r>
  <r>
    <x v="0"/>
    <x v="0"/>
    <x v="0"/>
    <x v="0"/>
    <x v="0"/>
    <s v="DK1_Medium"/>
    <x v="1"/>
    <x v="1"/>
    <x v="1"/>
    <x v="0"/>
    <s v="GNR_ENG_LIGHTOIL_CND_E-39"/>
    <n v="0.7"/>
    <n v="6.9999999999999999E-4"/>
  </r>
  <r>
    <x v="0"/>
    <x v="0"/>
    <x v="0"/>
    <x v="0"/>
    <x v="0"/>
    <s v="DK1_Medium"/>
    <x v="3"/>
    <x v="0"/>
    <x v="0"/>
    <x v="1"/>
    <s v="GNR_ENG_NGAS_BP_E-48_Y-2030"/>
    <n v="756.327128458939"/>
    <n v="0.75632712845893901"/>
  </r>
  <r>
    <x v="0"/>
    <x v="0"/>
    <x v="0"/>
    <x v="0"/>
    <x v="0"/>
    <s v="DK1_Medium"/>
    <x v="3"/>
    <x v="0"/>
    <x v="0"/>
    <x v="0"/>
    <s v="GNR_ENG_NGAS_BP_E-41"/>
    <n v="4.3"/>
    <n v="4.3E-3"/>
  </r>
  <r>
    <x v="0"/>
    <x v="0"/>
    <x v="0"/>
    <x v="0"/>
    <x v="0"/>
    <s v="DK1_Medium"/>
    <x v="3"/>
    <x v="0"/>
    <x v="0"/>
    <x v="0"/>
    <s v="GNR_ENG_NGAS_BP_E-42"/>
    <n v="6.2"/>
    <n v="6.1999999999999998E-3"/>
  </r>
  <r>
    <x v="0"/>
    <x v="0"/>
    <x v="0"/>
    <x v="0"/>
    <x v="0"/>
    <s v="DK1_Medium"/>
    <x v="3"/>
    <x v="0"/>
    <x v="0"/>
    <x v="0"/>
    <s v="GNR_ENG_NGAS_BP_E-43"/>
    <n v="1.42"/>
    <n v="1.42E-3"/>
  </r>
  <r>
    <x v="0"/>
    <x v="0"/>
    <x v="0"/>
    <x v="0"/>
    <x v="0"/>
    <s v="DK1_Medium"/>
    <x v="3"/>
    <x v="0"/>
    <x v="0"/>
    <x v="0"/>
    <s v="GNR_ENG_NGAS_BP_E-44"/>
    <n v="4.68"/>
    <n v="4.6800000000000001E-3"/>
  </r>
  <r>
    <x v="0"/>
    <x v="0"/>
    <x v="0"/>
    <x v="0"/>
    <x v="0"/>
    <s v="DK1_NoDH"/>
    <x v="0"/>
    <x v="0"/>
    <x v="0"/>
    <x v="0"/>
    <s v="GNR_ENG_BGAS_BP_E-33"/>
    <n v="0.13"/>
    <n v="1.2999999999999999E-4"/>
  </r>
  <r>
    <x v="0"/>
    <x v="0"/>
    <x v="0"/>
    <x v="0"/>
    <x v="0"/>
    <s v="DK1_NoDH"/>
    <x v="0"/>
    <x v="0"/>
    <x v="0"/>
    <x v="0"/>
    <s v="GNR_ENG_BGAS_BP_E-34"/>
    <n v="0.3"/>
    <n v="2.9999999999999997E-4"/>
  </r>
  <r>
    <x v="0"/>
    <x v="0"/>
    <x v="0"/>
    <x v="0"/>
    <x v="0"/>
    <s v="DK1_NoDH"/>
    <x v="0"/>
    <x v="0"/>
    <x v="0"/>
    <x v="0"/>
    <s v="GNR_ENG_BGAS_BP_E-35"/>
    <n v="1.4"/>
    <n v="1.4E-3"/>
  </r>
  <r>
    <x v="0"/>
    <x v="0"/>
    <x v="0"/>
    <x v="0"/>
    <x v="0"/>
    <s v="DK1_NoDH"/>
    <x v="0"/>
    <x v="0"/>
    <x v="0"/>
    <x v="0"/>
    <s v="GNR_ENG_BGAS_BP_E-37"/>
    <n v="1.651"/>
    <n v="1.6509999999999999E-3"/>
  </r>
  <r>
    <x v="0"/>
    <x v="0"/>
    <x v="0"/>
    <x v="0"/>
    <x v="0"/>
    <s v="DK1_NoDH"/>
    <x v="0"/>
    <x v="0"/>
    <x v="0"/>
    <x v="0"/>
    <s v="GNR_ENG_BGAS_BP_E-38"/>
    <n v="0.19"/>
    <n v="1.9000000000000001E-4"/>
  </r>
  <r>
    <x v="0"/>
    <x v="0"/>
    <x v="0"/>
    <x v="0"/>
    <x v="0"/>
    <s v="DK1_NoDH"/>
    <x v="0"/>
    <x v="0"/>
    <x v="0"/>
    <x v="0"/>
    <s v="GNR_ENG_BGAS_BP_E-39"/>
    <n v="1.1599999999999999"/>
    <n v="1.16E-3"/>
  </r>
  <r>
    <x v="0"/>
    <x v="0"/>
    <x v="0"/>
    <x v="0"/>
    <x v="0"/>
    <s v="DK1_NoDH"/>
    <x v="0"/>
    <x v="0"/>
    <x v="0"/>
    <x v="0"/>
    <s v="GNR_ENG_BGAS_BP_E-40"/>
    <n v="2.6"/>
    <n v="2.5999999999999999E-3"/>
  </r>
  <r>
    <x v="0"/>
    <x v="0"/>
    <x v="0"/>
    <x v="0"/>
    <x v="0"/>
    <s v="DK1_NoDH"/>
    <x v="0"/>
    <x v="0"/>
    <x v="0"/>
    <x v="0"/>
    <s v="GNR_ENG_BGAS_BP_E-42"/>
    <n v="0.59"/>
    <n v="5.9000000000000003E-4"/>
  </r>
  <r>
    <x v="0"/>
    <x v="0"/>
    <x v="0"/>
    <x v="0"/>
    <x v="0"/>
    <s v="DK1_NoDH"/>
    <x v="0"/>
    <x v="0"/>
    <x v="0"/>
    <x v="0"/>
    <s v="GNR_ENG_BGAS_BP_E-43"/>
    <n v="6"/>
    <n v="6.0000000000000001E-3"/>
  </r>
  <r>
    <x v="0"/>
    <x v="0"/>
    <x v="0"/>
    <x v="0"/>
    <x v="0"/>
    <s v="DK1_NoDH"/>
    <x v="0"/>
    <x v="1"/>
    <x v="1"/>
    <x v="0"/>
    <s v="GNR_ENG_BGAS_CND_E-36"/>
    <n v="1.4"/>
    <n v="1.4E-3"/>
  </r>
  <r>
    <x v="0"/>
    <x v="0"/>
    <x v="0"/>
    <x v="0"/>
    <x v="0"/>
    <s v="DK1_NoDH"/>
    <x v="6"/>
    <x v="2"/>
    <x v="2"/>
    <x v="1"/>
    <s v="GNR_ES_ELEC_BAT-LITHIO_E-97_Y-30-50"/>
    <n v="3796.2341280680898"/>
    <n v="1.8981170640340399"/>
  </r>
  <r>
    <x v="0"/>
    <x v="0"/>
    <x v="0"/>
    <x v="0"/>
    <x v="0"/>
    <s v="DK1_NoDH"/>
    <x v="1"/>
    <x v="1"/>
    <x v="1"/>
    <x v="0"/>
    <s v="GNR_ENG_LIGHTOIL_CND_E-34"/>
    <n v="0.5"/>
    <n v="5.0000000000000001E-4"/>
  </r>
  <r>
    <x v="0"/>
    <x v="0"/>
    <x v="0"/>
    <x v="0"/>
    <x v="0"/>
    <s v="DK1_NoDH"/>
    <x v="1"/>
    <x v="1"/>
    <x v="1"/>
    <x v="0"/>
    <s v="GNR_ENG_LIGHTOIL_CND_E-36"/>
    <n v="0.72"/>
    <n v="7.2000000000000005E-4"/>
  </r>
  <r>
    <x v="0"/>
    <x v="0"/>
    <x v="0"/>
    <x v="0"/>
    <x v="0"/>
    <s v="DK1_NoDH"/>
    <x v="1"/>
    <x v="1"/>
    <x v="1"/>
    <x v="0"/>
    <s v="GNR_ENG_LIGHTOIL_CND_E-41"/>
    <n v="40.799999999999997"/>
    <n v="4.0800000000000003E-2"/>
  </r>
  <r>
    <x v="0"/>
    <x v="0"/>
    <x v="0"/>
    <x v="0"/>
    <x v="0"/>
    <s v="DK1_NoDH"/>
    <x v="1"/>
    <x v="1"/>
    <x v="1"/>
    <x v="0"/>
    <s v="GNR_ENG_LIGHTOIL_CND_E-43"/>
    <n v="0.02"/>
    <n v="2.0000000000000002E-5"/>
  </r>
  <r>
    <x v="0"/>
    <x v="0"/>
    <x v="0"/>
    <x v="0"/>
    <x v="0"/>
    <s v="DK1_NoDH"/>
    <x v="3"/>
    <x v="0"/>
    <x v="0"/>
    <x v="0"/>
    <s v="GNR_ENG_NGAS_BP_E-33"/>
    <n v="1.4999999999999999E-2"/>
    <n v="1.5E-5"/>
  </r>
  <r>
    <x v="0"/>
    <x v="0"/>
    <x v="0"/>
    <x v="0"/>
    <x v="0"/>
    <s v="DK1_NoDH"/>
    <x v="3"/>
    <x v="0"/>
    <x v="0"/>
    <x v="0"/>
    <s v="GNR_ENG_NGAS_BP_E-38"/>
    <n v="1"/>
    <n v="1E-3"/>
  </r>
  <r>
    <x v="0"/>
    <x v="0"/>
    <x v="0"/>
    <x v="0"/>
    <x v="0"/>
    <s v="DK1_NoDH"/>
    <x v="3"/>
    <x v="0"/>
    <x v="0"/>
    <x v="0"/>
    <s v="GNR_ENG_NGAS_BP_E-39"/>
    <n v="1"/>
    <n v="1E-3"/>
  </r>
  <r>
    <x v="0"/>
    <x v="0"/>
    <x v="0"/>
    <x v="0"/>
    <x v="0"/>
    <s v="DK1_NoDH"/>
    <x v="3"/>
    <x v="0"/>
    <x v="0"/>
    <x v="0"/>
    <s v="GNR_ENG_NGAS_BP_E-40"/>
    <n v="0.8"/>
    <n v="8.0000000000000004E-4"/>
  </r>
  <r>
    <x v="0"/>
    <x v="0"/>
    <x v="0"/>
    <x v="0"/>
    <x v="0"/>
    <s v="DK1_NoDH"/>
    <x v="3"/>
    <x v="0"/>
    <x v="0"/>
    <x v="0"/>
    <s v="GNR_ENG_NGAS_BP_E-41"/>
    <n v="2.87"/>
    <n v="2.8700000000000002E-3"/>
  </r>
  <r>
    <x v="0"/>
    <x v="0"/>
    <x v="0"/>
    <x v="0"/>
    <x v="0"/>
    <s v="DK1_NoDH"/>
    <x v="3"/>
    <x v="0"/>
    <x v="0"/>
    <x v="0"/>
    <s v="GNR_ENG_NGAS_BP_E-42"/>
    <n v="0.91"/>
    <n v="9.1E-4"/>
  </r>
  <r>
    <x v="0"/>
    <x v="0"/>
    <x v="0"/>
    <x v="0"/>
    <x v="0"/>
    <s v="DK1_NoDH"/>
    <x v="3"/>
    <x v="0"/>
    <x v="0"/>
    <x v="0"/>
    <s v="GNR_ENG_NGAS_BP_E-43"/>
    <n v="9.141"/>
    <n v="9.1409999999999998E-3"/>
  </r>
  <r>
    <x v="0"/>
    <x v="0"/>
    <x v="0"/>
    <x v="0"/>
    <x v="0"/>
    <s v="DK1_NoDH"/>
    <x v="3"/>
    <x v="0"/>
    <x v="0"/>
    <x v="0"/>
    <s v="GNR_ENG_NGAS_BP_E-46"/>
    <n v="1.4999999999999999E-2"/>
    <n v="1.5E-5"/>
  </r>
  <r>
    <x v="0"/>
    <x v="0"/>
    <x v="0"/>
    <x v="0"/>
    <x v="0"/>
    <s v="DK1_NoDH"/>
    <x v="3"/>
    <x v="0"/>
    <x v="0"/>
    <x v="0"/>
    <s v="GNR_GT_NGAS_BP_E-28"/>
    <n v="19.600000000000001"/>
    <n v="1.9599999999999999E-2"/>
  </r>
  <r>
    <x v="0"/>
    <x v="0"/>
    <x v="0"/>
    <x v="0"/>
    <x v="0"/>
    <s v="DK1_NoDH"/>
    <x v="3"/>
    <x v="0"/>
    <x v="0"/>
    <x v="0"/>
    <s v="GNR_GT_NGAS_BP_E-36"/>
    <n v="4"/>
    <n v="4.0000000000000001E-3"/>
  </r>
  <r>
    <x v="0"/>
    <x v="0"/>
    <x v="0"/>
    <x v="0"/>
    <x v="0"/>
    <s v="DK1_NoDH"/>
    <x v="3"/>
    <x v="1"/>
    <x v="1"/>
    <x v="0"/>
    <s v="GNR_ENG_NGAS_CND_E-41"/>
    <n v="40.799999999999997"/>
    <n v="4.0800000000000003E-2"/>
  </r>
  <r>
    <x v="0"/>
    <x v="0"/>
    <x v="0"/>
    <x v="0"/>
    <x v="0"/>
    <s v="DK1_NoDH"/>
    <x v="3"/>
    <x v="1"/>
    <x v="1"/>
    <x v="0"/>
    <s v="GNR_ENG_NGAS_CND_E-46"/>
    <n v="0.64"/>
    <n v="6.4000000000000005E-4"/>
  </r>
  <r>
    <x v="0"/>
    <x v="0"/>
    <x v="0"/>
    <x v="0"/>
    <x v="0"/>
    <s v="DK1_NoDH"/>
    <x v="7"/>
    <x v="3"/>
    <x v="3"/>
    <x v="1"/>
    <s v="GNR_PV_SUN_LS-4-MW_Y-2030"/>
    <n v="2556.8136596272702"/>
    <n v="2.5568136596272701"/>
  </r>
  <r>
    <x v="0"/>
    <x v="0"/>
    <x v="0"/>
    <x v="0"/>
    <x v="0"/>
    <s v="DK1_NoDH"/>
    <x v="7"/>
    <x v="3"/>
    <x v="3"/>
    <x v="0"/>
    <s v="GNR_PV_SUN"/>
    <n v="518.31289999974297"/>
    <n v="0.51831289999974295"/>
  </r>
  <r>
    <x v="0"/>
    <x v="0"/>
    <x v="0"/>
    <x v="0"/>
    <x v="0"/>
    <s v="DK1_NoDH"/>
    <x v="8"/>
    <x v="4"/>
    <x v="4"/>
    <x v="0"/>
    <s v="GNR_ROR_WTR"/>
    <n v="0.01"/>
    <n v="1.0000000000000001E-5"/>
  </r>
  <r>
    <x v="0"/>
    <x v="0"/>
    <x v="0"/>
    <x v="0"/>
    <x v="0"/>
    <s v="DK1_NoDH"/>
    <x v="9"/>
    <x v="3"/>
    <x v="5"/>
    <x v="1"/>
    <s v="GNR_WT_WIND_ON_LS_Y-2030"/>
    <n v="490.08634828731402"/>
    <n v="0.49008634828731401"/>
  </r>
  <r>
    <x v="0"/>
    <x v="0"/>
    <x v="0"/>
    <x v="0"/>
    <x v="0"/>
    <s v="DK1_NoDH"/>
    <x v="9"/>
    <x v="3"/>
    <x v="5"/>
    <x v="0"/>
    <s v="GNR_WT_WIND_ONS"/>
    <n v="1470.8920000000001"/>
    <n v="1.4708920000000001"/>
  </r>
  <r>
    <x v="0"/>
    <x v="0"/>
    <x v="0"/>
    <x v="0"/>
    <x v="0"/>
    <s v="DK1_NoDH"/>
    <x v="5"/>
    <x v="0"/>
    <x v="6"/>
    <x v="0"/>
    <s v="GNR_ST_WOODCHI_EXT_E-30"/>
    <n v="92"/>
    <n v="9.1999999999999998E-2"/>
  </r>
  <r>
    <x v="0"/>
    <x v="0"/>
    <x v="0"/>
    <x v="0"/>
    <x v="0"/>
    <s v="DK1_Offshore"/>
    <x v="9"/>
    <x v="3"/>
    <x v="5"/>
    <x v="0"/>
    <s v="GNR_WT_WIND_OFF"/>
    <n v="1393.9"/>
    <n v="1.3938999999999999"/>
  </r>
  <r>
    <x v="0"/>
    <x v="0"/>
    <x v="0"/>
    <x v="0"/>
    <x v="0"/>
    <s v="DK1_Rural"/>
    <x v="0"/>
    <x v="0"/>
    <x v="0"/>
    <x v="0"/>
    <s v="GNR_ENG_BGAS_BP_E-30"/>
    <n v="6"/>
    <n v="6.0000000000000001E-3"/>
  </r>
  <r>
    <x v="0"/>
    <x v="0"/>
    <x v="0"/>
    <x v="0"/>
    <x v="0"/>
    <s v="DK1_Rural"/>
    <x v="0"/>
    <x v="0"/>
    <x v="0"/>
    <x v="0"/>
    <s v="GNR_ENG_BGAS_BP_E-37"/>
    <n v="1.7549999999999999"/>
    <n v="1.755E-3"/>
  </r>
  <r>
    <x v="0"/>
    <x v="0"/>
    <x v="0"/>
    <x v="0"/>
    <x v="0"/>
    <s v="DK1_Rural"/>
    <x v="0"/>
    <x v="0"/>
    <x v="0"/>
    <x v="0"/>
    <s v="GNR_ENG_BGAS_BP_E-38"/>
    <n v="0.8"/>
    <n v="8.0000000000000004E-4"/>
  </r>
  <r>
    <x v="0"/>
    <x v="0"/>
    <x v="0"/>
    <x v="0"/>
    <x v="0"/>
    <s v="DK1_Rural"/>
    <x v="0"/>
    <x v="0"/>
    <x v="0"/>
    <x v="0"/>
    <s v="GNR_ENG_BGAS_BP_E-39"/>
    <n v="0.62"/>
    <n v="6.2E-4"/>
  </r>
  <r>
    <x v="0"/>
    <x v="0"/>
    <x v="0"/>
    <x v="0"/>
    <x v="0"/>
    <s v="DK1_Rural"/>
    <x v="0"/>
    <x v="0"/>
    <x v="0"/>
    <x v="0"/>
    <s v="GNR_ENG_BGAS_BP_E-40"/>
    <n v="6.34"/>
    <n v="6.3400000000000001E-3"/>
  </r>
  <r>
    <x v="0"/>
    <x v="0"/>
    <x v="0"/>
    <x v="0"/>
    <x v="0"/>
    <s v="DK1_Rural"/>
    <x v="0"/>
    <x v="0"/>
    <x v="0"/>
    <x v="0"/>
    <s v="GNR_ENG_BGAS_BP_E-41"/>
    <n v="1.18"/>
    <n v="1.1800000000000001E-3"/>
  </r>
  <r>
    <x v="0"/>
    <x v="0"/>
    <x v="0"/>
    <x v="0"/>
    <x v="0"/>
    <s v="DK1_Rural"/>
    <x v="0"/>
    <x v="0"/>
    <x v="0"/>
    <x v="0"/>
    <s v="GNR_ENG_BGAS_BP_E-42"/>
    <n v="6.68"/>
    <n v="6.6800000000000002E-3"/>
  </r>
  <r>
    <x v="0"/>
    <x v="0"/>
    <x v="0"/>
    <x v="0"/>
    <x v="0"/>
    <s v="DK1_Rural"/>
    <x v="0"/>
    <x v="0"/>
    <x v="0"/>
    <x v="0"/>
    <s v="GNR_ENG_BGAS_BP_E-43"/>
    <n v="5.14"/>
    <n v="5.1399999999999996E-3"/>
  </r>
  <r>
    <x v="0"/>
    <x v="0"/>
    <x v="0"/>
    <x v="0"/>
    <x v="0"/>
    <s v="DK1_Rural"/>
    <x v="1"/>
    <x v="0"/>
    <x v="0"/>
    <x v="0"/>
    <s v="GNR_ENG_LIGHTOIL_BP_E-37"/>
    <n v="16"/>
    <n v="1.6E-2"/>
  </r>
  <r>
    <x v="0"/>
    <x v="0"/>
    <x v="0"/>
    <x v="0"/>
    <x v="0"/>
    <s v="DK1_Rural"/>
    <x v="1"/>
    <x v="1"/>
    <x v="1"/>
    <x v="0"/>
    <s v="GNR_ENG_LIGHTOIL_CND_E-33"/>
    <n v="0.45"/>
    <n v="4.4999999999999999E-4"/>
  </r>
  <r>
    <x v="0"/>
    <x v="0"/>
    <x v="0"/>
    <x v="0"/>
    <x v="0"/>
    <s v="DK1_Rural"/>
    <x v="1"/>
    <x v="1"/>
    <x v="1"/>
    <x v="0"/>
    <s v="GNR_ENG_LIGHTOIL_CND_E-42"/>
    <n v="0.19"/>
    <n v="1.9000000000000001E-4"/>
  </r>
  <r>
    <x v="0"/>
    <x v="0"/>
    <x v="0"/>
    <x v="0"/>
    <x v="0"/>
    <s v="DK1_Rural"/>
    <x v="1"/>
    <x v="1"/>
    <x v="1"/>
    <x v="0"/>
    <s v="GNR_ENG_LIGHTOIL_CND_E-43"/>
    <n v="0.76"/>
    <n v="7.6000000000000004E-4"/>
  </r>
  <r>
    <x v="0"/>
    <x v="0"/>
    <x v="0"/>
    <x v="0"/>
    <x v="0"/>
    <s v="DK1_Rural"/>
    <x v="3"/>
    <x v="0"/>
    <x v="0"/>
    <x v="0"/>
    <s v="GNR_ENG_NGAS_BP_E-37"/>
    <n v="7.17"/>
    <n v="7.1700000000000002E-3"/>
  </r>
  <r>
    <x v="0"/>
    <x v="0"/>
    <x v="0"/>
    <x v="0"/>
    <x v="0"/>
    <s v="DK1_Rural"/>
    <x v="3"/>
    <x v="0"/>
    <x v="0"/>
    <x v="0"/>
    <s v="GNR_ENG_NGAS_BP_E-38"/>
    <n v="3"/>
    <n v="3.0000000000000001E-3"/>
  </r>
  <r>
    <x v="0"/>
    <x v="0"/>
    <x v="0"/>
    <x v="0"/>
    <x v="0"/>
    <s v="DK1_Rural"/>
    <x v="3"/>
    <x v="0"/>
    <x v="0"/>
    <x v="0"/>
    <s v="GNR_ENG_NGAS_BP_E-39"/>
    <n v="2"/>
    <n v="2E-3"/>
  </r>
  <r>
    <x v="0"/>
    <x v="0"/>
    <x v="0"/>
    <x v="0"/>
    <x v="0"/>
    <s v="DK1_Rural"/>
    <x v="3"/>
    <x v="0"/>
    <x v="0"/>
    <x v="0"/>
    <s v="GNR_ENG_NGAS_BP_E-40"/>
    <n v="4.62"/>
    <n v="4.62E-3"/>
  </r>
  <r>
    <x v="0"/>
    <x v="0"/>
    <x v="0"/>
    <x v="0"/>
    <x v="0"/>
    <s v="DK1_Rural"/>
    <x v="3"/>
    <x v="0"/>
    <x v="0"/>
    <x v="0"/>
    <s v="GNR_ENG_NGAS_BP_E-41"/>
    <n v="14.65"/>
    <n v="1.465E-2"/>
  </r>
  <r>
    <x v="0"/>
    <x v="0"/>
    <x v="0"/>
    <x v="0"/>
    <x v="0"/>
    <s v="DK1_Rural"/>
    <x v="3"/>
    <x v="0"/>
    <x v="0"/>
    <x v="0"/>
    <s v="GNR_ENG_NGAS_BP_E-42"/>
    <n v="33.902000000000001"/>
    <n v="3.3902000000000002E-2"/>
  </r>
  <r>
    <x v="0"/>
    <x v="0"/>
    <x v="0"/>
    <x v="0"/>
    <x v="0"/>
    <s v="DK1_Rural"/>
    <x v="3"/>
    <x v="0"/>
    <x v="0"/>
    <x v="0"/>
    <s v="GNR_ENG_NGAS_BP_E-43"/>
    <n v="15.832000000000001"/>
    <n v="1.5831999999999999E-2"/>
  </r>
  <r>
    <x v="0"/>
    <x v="0"/>
    <x v="0"/>
    <x v="0"/>
    <x v="0"/>
    <s v="DK1_Rural"/>
    <x v="3"/>
    <x v="0"/>
    <x v="0"/>
    <x v="0"/>
    <s v="GNR_ENG_NGAS_BP_E-44"/>
    <n v="13.16"/>
    <n v="1.316E-2"/>
  </r>
  <r>
    <x v="0"/>
    <x v="0"/>
    <x v="0"/>
    <x v="0"/>
    <x v="0"/>
    <s v="DK1_Rural"/>
    <x v="3"/>
    <x v="0"/>
    <x v="0"/>
    <x v="0"/>
    <s v="GNR_ENG_NGAS_BP_E-45"/>
    <n v="5.0999999999999996"/>
    <n v="5.1000000000000004E-3"/>
  </r>
  <r>
    <x v="0"/>
    <x v="0"/>
    <x v="0"/>
    <x v="0"/>
    <x v="0"/>
    <s v="DK1_Rural"/>
    <x v="3"/>
    <x v="0"/>
    <x v="0"/>
    <x v="0"/>
    <s v="GNR_ENG_NGAS_BP_E-46"/>
    <n v="1.82"/>
    <n v="1.82E-3"/>
  </r>
  <r>
    <x v="0"/>
    <x v="0"/>
    <x v="0"/>
    <x v="0"/>
    <x v="0"/>
    <s v="DK1_Rural"/>
    <x v="5"/>
    <x v="0"/>
    <x v="0"/>
    <x v="0"/>
    <s v="GNR_ST_WOODCHI_BP_E-17"/>
    <n v="0.75"/>
    <n v="7.5000000000000002E-4"/>
  </r>
  <r>
    <x v="0"/>
    <x v="0"/>
    <x v="0"/>
    <x v="0"/>
    <x v="0"/>
    <s v="DK1_Small"/>
    <x v="3"/>
    <x v="0"/>
    <x v="0"/>
    <x v="0"/>
    <s v="GNR_ENG_NGAS_BP_E-38"/>
    <n v="1.1299999999999999"/>
    <n v="1.1299999999999999E-3"/>
  </r>
  <r>
    <x v="0"/>
    <x v="0"/>
    <x v="0"/>
    <x v="0"/>
    <x v="1"/>
    <s v="DK2_Large"/>
    <x v="0"/>
    <x v="0"/>
    <x v="0"/>
    <x v="0"/>
    <s v="GNR_ENG_BGAS_BP_E-42"/>
    <n v="3.0470000000000002"/>
    <n v="3.0469999999999998E-3"/>
  </r>
  <r>
    <x v="0"/>
    <x v="0"/>
    <x v="0"/>
    <x v="0"/>
    <x v="1"/>
    <s v="DK2_Large"/>
    <x v="10"/>
    <x v="0"/>
    <x v="6"/>
    <x v="0"/>
    <s v="GNR_ST_COAL_EXT_E-42"/>
    <n v="250"/>
    <n v="0.25"/>
  </r>
  <r>
    <x v="0"/>
    <x v="0"/>
    <x v="0"/>
    <x v="0"/>
    <x v="1"/>
    <s v="DK2_Large"/>
    <x v="1"/>
    <x v="1"/>
    <x v="1"/>
    <x v="0"/>
    <s v="GNR_ENG_LIGHTOIL_CND_E-40"/>
    <n v="1.25"/>
    <n v="1.25E-3"/>
  </r>
  <r>
    <x v="0"/>
    <x v="0"/>
    <x v="0"/>
    <x v="0"/>
    <x v="1"/>
    <s v="DK2_Large"/>
    <x v="1"/>
    <x v="1"/>
    <x v="1"/>
    <x v="0"/>
    <s v="GNR_ENG_LIGHTOIL_CND_E-43"/>
    <n v="1.3"/>
    <n v="1.2999999999999999E-3"/>
  </r>
  <r>
    <x v="0"/>
    <x v="0"/>
    <x v="0"/>
    <x v="0"/>
    <x v="1"/>
    <s v="DK2_Large"/>
    <x v="2"/>
    <x v="0"/>
    <x v="0"/>
    <x v="1"/>
    <s v="GNR_ST_MSW_BP_E-24_LS-220-MW-FEED_Y-2030"/>
    <n v="129.025404126984"/>
    <n v="0.12902540412698399"/>
  </r>
  <r>
    <x v="0"/>
    <x v="0"/>
    <x v="0"/>
    <x v="0"/>
    <x v="1"/>
    <s v="DK2_Large"/>
    <x v="2"/>
    <x v="0"/>
    <x v="0"/>
    <x v="0"/>
    <s v="GNR_ST_MSW_BP_E-27"/>
    <n v="19.399999999999999"/>
    <n v="1.9400000000000001E-2"/>
  </r>
  <r>
    <x v="0"/>
    <x v="0"/>
    <x v="0"/>
    <x v="0"/>
    <x v="1"/>
    <s v="DK2_Large"/>
    <x v="3"/>
    <x v="0"/>
    <x v="0"/>
    <x v="1"/>
    <s v="GNR_GT_NGAS_BP_E-43_LS-40-MW_Y-2030"/>
    <n v="357.19310656728902"/>
    <n v="0.35719310656728898"/>
  </r>
  <r>
    <x v="0"/>
    <x v="0"/>
    <x v="0"/>
    <x v="0"/>
    <x v="1"/>
    <s v="DK2_MedSmall"/>
    <x v="0"/>
    <x v="0"/>
    <x v="0"/>
    <x v="0"/>
    <s v="GNR_ENG_BGAS_BP_E-38"/>
    <n v="0.25"/>
    <n v="2.5000000000000001E-4"/>
  </r>
  <r>
    <x v="0"/>
    <x v="0"/>
    <x v="0"/>
    <x v="0"/>
    <x v="1"/>
    <s v="DK2_MedSmall"/>
    <x v="3"/>
    <x v="0"/>
    <x v="0"/>
    <x v="1"/>
    <s v="GNR_ENG_NGAS_BP_E-48_Y-2030"/>
    <n v="135.56091266022801"/>
    <n v="0.13556091266022799"/>
  </r>
  <r>
    <x v="0"/>
    <x v="0"/>
    <x v="0"/>
    <x v="0"/>
    <x v="1"/>
    <s v="DK2_Medium"/>
    <x v="2"/>
    <x v="0"/>
    <x v="0"/>
    <x v="0"/>
    <s v="GNR_ST_MSW_BP_E-23"/>
    <n v="8"/>
    <n v="8.0000000000000002E-3"/>
  </r>
  <r>
    <x v="0"/>
    <x v="0"/>
    <x v="0"/>
    <x v="0"/>
    <x v="1"/>
    <s v="DK2_Medium"/>
    <x v="3"/>
    <x v="0"/>
    <x v="0"/>
    <x v="1"/>
    <s v="GNR_ENG_NGAS_BP_E-48_Y-2030"/>
    <n v="283.56539552024498"/>
    <n v="0.28356539552024501"/>
  </r>
  <r>
    <x v="0"/>
    <x v="0"/>
    <x v="0"/>
    <x v="0"/>
    <x v="1"/>
    <s v="DK2_Medium"/>
    <x v="3"/>
    <x v="0"/>
    <x v="0"/>
    <x v="0"/>
    <s v="GNR_ENG_NGAS_BP_E-35"/>
    <n v="0.97"/>
    <n v="9.7000000000000005E-4"/>
  </r>
  <r>
    <x v="0"/>
    <x v="0"/>
    <x v="0"/>
    <x v="0"/>
    <x v="1"/>
    <s v="DK2_Medium"/>
    <x v="3"/>
    <x v="0"/>
    <x v="0"/>
    <x v="0"/>
    <s v="GNR_ENG_NGAS_BP_E-42"/>
    <n v="2"/>
    <n v="2E-3"/>
  </r>
  <r>
    <x v="0"/>
    <x v="0"/>
    <x v="0"/>
    <x v="0"/>
    <x v="1"/>
    <s v="DK2_Medium"/>
    <x v="5"/>
    <x v="0"/>
    <x v="0"/>
    <x v="0"/>
    <s v="GNR_ST_WOODCHI_BP_E-27"/>
    <n v="0.33"/>
    <n v="3.3E-4"/>
  </r>
  <r>
    <x v="0"/>
    <x v="0"/>
    <x v="0"/>
    <x v="0"/>
    <x v="1"/>
    <s v="DK2_NoDH"/>
    <x v="0"/>
    <x v="0"/>
    <x v="0"/>
    <x v="0"/>
    <s v="GNR_ENG_BGAS_BP_E-33"/>
    <n v="0.23"/>
    <n v="2.3000000000000001E-4"/>
  </r>
  <r>
    <x v="0"/>
    <x v="0"/>
    <x v="0"/>
    <x v="0"/>
    <x v="1"/>
    <s v="DK2_NoDH"/>
    <x v="0"/>
    <x v="0"/>
    <x v="0"/>
    <x v="0"/>
    <s v="GNR_ENG_BGAS_BP_E-34"/>
    <n v="0.1"/>
    <n v="1E-4"/>
  </r>
  <r>
    <x v="0"/>
    <x v="0"/>
    <x v="0"/>
    <x v="0"/>
    <x v="1"/>
    <s v="DK2_NoDH"/>
    <x v="0"/>
    <x v="0"/>
    <x v="0"/>
    <x v="0"/>
    <s v="GNR_ENG_BGAS_BP_E-35"/>
    <n v="0.22"/>
    <n v="2.2000000000000001E-4"/>
  </r>
  <r>
    <x v="0"/>
    <x v="0"/>
    <x v="0"/>
    <x v="0"/>
    <x v="1"/>
    <s v="DK2_NoDH"/>
    <x v="0"/>
    <x v="0"/>
    <x v="0"/>
    <x v="0"/>
    <s v="GNR_ENG_BGAS_BP_E-36"/>
    <n v="6.3E-2"/>
    <n v="6.3E-5"/>
  </r>
  <r>
    <x v="0"/>
    <x v="0"/>
    <x v="0"/>
    <x v="0"/>
    <x v="1"/>
    <s v="DK2_NoDH"/>
    <x v="0"/>
    <x v="0"/>
    <x v="0"/>
    <x v="0"/>
    <s v="GNR_ENG_BGAS_BP_E-37"/>
    <n v="0.1"/>
    <n v="1E-4"/>
  </r>
  <r>
    <x v="0"/>
    <x v="0"/>
    <x v="0"/>
    <x v="0"/>
    <x v="1"/>
    <s v="DK2_NoDH"/>
    <x v="0"/>
    <x v="0"/>
    <x v="0"/>
    <x v="0"/>
    <s v="GNR_ENG_BGAS_BP_E-38"/>
    <n v="0.36299999999999999"/>
    <n v="3.6299999999999999E-4"/>
  </r>
  <r>
    <x v="0"/>
    <x v="0"/>
    <x v="0"/>
    <x v="0"/>
    <x v="1"/>
    <s v="DK2_NoDH"/>
    <x v="0"/>
    <x v="0"/>
    <x v="0"/>
    <x v="0"/>
    <s v="GNR_ENG_BGAS_BP_E-39"/>
    <n v="0.19"/>
    <n v="1.9000000000000001E-4"/>
  </r>
  <r>
    <x v="0"/>
    <x v="0"/>
    <x v="0"/>
    <x v="0"/>
    <x v="1"/>
    <s v="DK2_NoDH"/>
    <x v="0"/>
    <x v="0"/>
    <x v="0"/>
    <x v="0"/>
    <s v="GNR_ENG_BGAS_BP_E-40"/>
    <n v="0.04"/>
    <n v="4.0000000000000003E-5"/>
  </r>
  <r>
    <x v="0"/>
    <x v="0"/>
    <x v="0"/>
    <x v="0"/>
    <x v="1"/>
    <s v="DK2_NoDH"/>
    <x v="0"/>
    <x v="0"/>
    <x v="0"/>
    <x v="0"/>
    <s v="GNR_ENG_BGAS_BP_E-42"/>
    <n v="4.4000000000000004"/>
    <n v="4.4000000000000003E-3"/>
  </r>
  <r>
    <x v="0"/>
    <x v="0"/>
    <x v="0"/>
    <x v="0"/>
    <x v="1"/>
    <s v="DK2_NoDH"/>
    <x v="0"/>
    <x v="1"/>
    <x v="1"/>
    <x v="0"/>
    <s v="GNR_ENG_BGAS_CND_E-32"/>
    <n v="0.13"/>
    <n v="1.2999999999999999E-4"/>
  </r>
  <r>
    <x v="0"/>
    <x v="0"/>
    <x v="0"/>
    <x v="0"/>
    <x v="1"/>
    <s v="DK2_NoDH"/>
    <x v="6"/>
    <x v="2"/>
    <x v="2"/>
    <x v="1"/>
    <s v="GNR_ES_ELEC_BAT-LITHIO_E-97_Y-30-50"/>
    <n v="724.903184907011"/>
    <n v="0.362451592453506"/>
  </r>
  <r>
    <x v="0"/>
    <x v="0"/>
    <x v="0"/>
    <x v="0"/>
    <x v="1"/>
    <s v="DK2_NoDH"/>
    <x v="1"/>
    <x v="0"/>
    <x v="0"/>
    <x v="0"/>
    <s v="GNR_ENG_LIGHTOIL_BP_E-37"/>
    <n v="16"/>
    <n v="1.6E-2"/>
  </r>
  <r>
    <x v="0"/>
    <x v="0"/>
    <x v="0"/>
    <x v="0"/>
    <x v="1"/>
    <s v="DK2_NoDH"/>
    <x v="1"/>
    <x v="0"/>
    <x v="0"/>
    <x v="0"/>
    <s v="GNR_ENG_LIGHTOIL_BP_E-39"/>
    <n v="7.8E-2"/>
    <n v="7.7999999999999999E-5"/>
  </r>
  <r>
    <x v="0"/>
    <x v="0"/>
    <x v="0"/>
    <x v="0"/>
    <x v="1"/>
    <s v="DK2_NoDH"/>
    <x v="1"/>
    <x v="1"/>
    <x v="1"/>
    <x v="0"/>
    <s v="GNR_ENG_LIGHTOIL_CND_E-37"/>
    <n v="20"/>
    <n v="0.02"/>
  </r>
  <r>
    <x v="0"/>
    <x v="0"/>
    <x v="0"/>
    <x v="0"/>
    <x v="1"/>
    <s v="DK2_NoDH"/>
    <x v="3"/>
    <x v="0"/>
    <x v="0"/>
    <x v="0"/>
    <s v="GNR_ENG_NGAS_BP_E-36"/>
    <n v="0.1"/>
    <n v="1E-4"/>
  </r>
  <r>
    <x v="0"/>
    <x v="0"/>
    <x v="0"/>
    <x v="0"/>
    <x v="1"/>
    <s v="DK2_NoDH"/>
    <x v="3"/>
    <x v="0"/>
    <x v="0"/>
    <x v="0"/>
    <s v="GNR_ENG_NGAS_BP_E-39"/>
    <n v="6.06"/>
    <n v="6.0600000000000003E-3"/>
  </r>
  <r>
    <x v="0"/>
    <x v="0"/>
    <x v="0"/>
    <x v="0"/>
    <x v="1"/>
    <s v="DK2_NoDH"/>
    <x v="3"/>
    <x v="0"/>
    <x v="0"/>
    <x v="0"/>
    <s v="GNR_ENG_NGAS_BP_E-41"/>
    <n v="1.1000000000000001"/>
    <n v="1.1000000000000001E-3"/>
  </r>
  <r>
    <x v="0"/>
    <x v="0"/>
    <x v="0"/>
    <x v="0"/>
    <x v="1"/>
    <s v="DK2_NoDH"/>
    <x v="3"/>
    <x v="0"/>
    <x v="0"/>
    <x v="0"/>
    <s v="GNR_ENG_NGAS_BP_E-46"/>
    <n v="1.3"/>
    <n v="1.2999999999999999E-3"/>
  </r>
  <r>
    <x v="0"/>
    <x v="0"/>
    <x v="0"/>
    <x v="0"/>
    <x v="1"/>
    <s v="DK2_NoDH"/>
    <x v="7"/>
    <x v="3"/>
    <x v="3"/>
    <x v="1"/>
    <s v="GNR_PV_SUN_LS-4-MW_Y-2030"/>
    <n v="2042.47128247201"/>
    <n v="2.0424712824720102"/>
  </r>
  <r>
    <x v="0"/>
    <x v="0"/>
    <x v="0"/>
    <x v="0"/>
    <x v="1"/>
    <s v="DK2_NoDH"/>
    <x v="7"/>
    <x v="3"/>
    <x v="3"/>
    <x v="0"/>
    <s v="GNR_PV_SUN"/>
    <n v="264.56125599999598"/>
    <n v="0.26456125599999603"/>
  </r>
  <r>
    <x v="0"/>
    <x v="0"/>
    <x v="0"/>
    <x v="0"/>
    <x v="1"/>
    <s v="DK2_NoDH"/>
    <x v="8"/>
    <x v="4"/>
    <x v="4"/>
    <x v="0"/>
    <s v="GNR_ROR_WTR"/>
    <n v="1.4999999999999999E-2"/>
    <n v="1.5E-5"/>
  </r>
  <r>
    <x v="0"/>
    <x v="0"/>
    <x v="0"/>
    <x v="0"/>
    <x v="1"/>
    <s v="DK2_NoDH"/>
    <x v="9"/>
    <x v="3"/>
    <x v="5"/>
    <x v="0"/>
    <s v="GNR_WT_WIND_ONS"/>
    <n v="280.71099999999899"/>
    <n v="0.28071099999999899"/>
  </r>
  <r>
    <x v="0"/>
    <x v="0"/>
    <x v="0"/>
    <x v="0"/>
    <x v="1"/>
    <s v="DK2_Offshore"/>
    <x v="9"/>
    <x v="3"/>
    <x v="5"/>
    <x v="0"/>
    <s v="GNR_WT_WIND_OFF"/>
    <n v="838.8"/>
    <n v="0.83879999999999999"/>
  </r>
  <r>
    <x v="0"/>
    <x v="0"/>
    <x v="0"/>
    <x v="0"/>
    <x v="1"/>
    <s v="DK2_Rural"/>
    <x v="0"/>
    <x v="0"/>
    <x v="0"/>
    <x v="0"/>
    <s v="GNR_ENG_BGAS_BP_E-40"/>
    <n v="0.53"/>
    <n v="5.2999999999999998E-4"/>
  </r>
  <r>
    <x v="0"/>
    <x v="0"/>
    <x v="0"/>
    <x v="0"/>
    <x v="1"/>
    <s v="DK2_Rural"/>
    <x v="0"/>
    <x v="0"/>
    <x v="0"/>
    <x v="0"/>
    <s v="GNR_ENG_BGAS_BP_E-41"/>
    <n v="2"/>
    <n v="2E-3"/>
  </r>
  <r>
    <x v="0"/>
    <x v="0"/>
    <x v="0"/>
    <x v="0"/>
    <x v="1"/>
    <s v="DK2_Rural"/>
    <x v="0"/>
    <x v="0"/>
    <x v="0"/>
    <x v="0"/>
    <s v="GNR_ENG_BGAS_BP_E-42"/>
    <n v="5.734"/>
    <n v="5.7340000000000004E-3"/>
  </r>
  <r>
    <x v="0"/>
    <x v="0"/>
    <x v="0"/>
    <x v="0"/>
    <x v="1"/>
    <s v="DK2_Rural"/>
    <x v="10"/>
    <x v="0"/>
    <x v="0"/>
    <x v="0"/>
    <s v="GNR_ST_COAL_BP_E-35"/>
    <n v="37"/>
    <n v="3.6999999999999998E-2"/>
  </r>
  <r>
    <x v="0"/>
    <x v="0"/>
    <x v="0"/>
    <x v="0"/>
    <x v="1"/>
    <s v="DK2_Rural"/>
    <x v="11"/>
    <x v="1"/>
    <x v="1"/>
    <x v="0"/>
    <s v="GNR_ENG_FUELOIL_CND_E-42"/>
    <n v="0.2"/>
    <n v="2.0000000000000001E-4"/>
  </r>
  <r>
    <x v="0"/>
    <x v="0"/>
    <x v="0"/>
    <x v="0"/>
    <x v="1"/>
    <s v="DK2_Rural"/>
    <x v="1"/>
    <x v="0"/>
    <x v="0"/>
    <x v="0"/>
    <s v="GNR_ENG_LIGHTOIL_BP_E-43"/>
    <n v="0.13900000000000001"/>
    <n v="1.3899999999999999E-4"/>
  </r>
  <r>
    <x v="0"/>
    <x v="0"/>
    <x v="0"/>
    <x v="0"/>
    <x v="1"/>
    <s v="DK2_Rural"/>
    <x v="1"/>
    <x v="1"/>
    <x v="1"/>
    <x v="0"/>
    <s v="GNR_ENG_LIGHTOIL_CND_E-37"/>
    <n v="15"/>
    <n v="1.4999999999999999E-2"/>
  </r>
  <r>
    <x v="0"/>
    <x v="0"/>
    <x v="0"/>
    <x v="0"/>
    <x v="1"/>
    <s v="DK2_Rural"/>
    <x v="1"/>
    <x v="1"/>
    <x v="1"/>
    <x v="0"/>
    <s v="GNR_ENG_LIGHTOIL_CND_E-41"/>
    <n v="0.28000000000000003"/>
    <n v="2.7999999999999998E-4"/>
  </r>
  <r>
    <x v="0"/>
    <x v="0"/>
    <x v="0"/>
    <x v="0"/>
    <x v="1"/>
    <s v="DK2_Rural"/>
    <x v="3"/>
    <x v="0"/>
    <x v="0"/>
    <x v="1"/>
    <s v="GNR_CC_NGAS_BP_E-53_SS-10-MW_Y-2030"/>
    <n v="60.045449663168803"/>
    <n v="6.0045449663168798E-2"/>
  </r>
  <r>
    <x v="0"/>
    <x v="0"/>
    <x v="0"/>
    <x v="0"/>
    <x v="1"/>
    <s v="DK2_Rural"/>
    <x v="3"/>
    <x v="0"/>
    <x v="0"/>
    <x v="0"/>
    <s v="GNR_ENG_NGAS_BP_E-36"/>
    <n v="0.28499999999999998"/>
    <n v="2.8499999999999999E-4"/>
  </r>
  <r>
    <x v="0"/>
    <x v="0"/>
    <x v="0"/>
    <x v="0"/>
    <x v="1"/>
    <s v="DK2_Rural"/>
    <x v="3"/>
    <x v="0"/>
    <x v="0"/>
    <x v="0"/>
    <s v="GNR_ENG_NGAS_BP_E-38"/>
    <n v="0.38500000000000001"/>
    <n v="3.8499999999999998E-4"/>
  </r>
  <r>
    <x v="0"/>
    <x v="0"/>
    <x v="0"/>
    <x v="0"/>
    <x v="1"/>
    <s v="DK2_Rural"/>
    <x v="3"/>
    <x v="0"/>
    <x v="0"/>
    <x v="0"/>
    <s v="GNR_ENG_NGAS_BP_E-40"/>
    <n v="8.5"/>
    <n v="8.5000000000000006E-3"/>
  </r>
  <r>
    <x v="0"/>
    <x v="0"/>
    <x v="0"/>
    <x v="0"/>
    <x v="1"/>
    <s v="DK2_Rural"/>
    <x v="3"/>
    <x v="0"/>
    <x v="0"/>
    <x v="0"/>
    <s v="GNR_ENG_NGAS_BP_E-45"/>
    <n v="0.5"/>
    <n v="5.0000000000000001E-4"/>
  </r>
  <r>
    <x v="0"/>
    <x v="0"/>
    <x v="0"/>
    <x v="0"/>
    <x v="1"/>
    <s v="DK2_Small"/>
    <x v="3"/>
    <x v="0"/>
    <x v="0"/>
    <x v="1"/>
    <s v="GNR_CC_NGAS_BP_E-53_SS-10-MW_Y-2030"/>
    <n v="19.046133090257499"/>
    <n v="1.9046133090257499E-2"/>
  </r>
  <r>
    <x v="0"/>
    <x v="0"/>
    <x v="0"/>
    <x v="1"/>
    <x v="2"/>
    <s v="EE_Enefit"/>
    <x v="12"/>
    <x v="1"/>
    <x v="1"/>
    <x v="0"/>
    <s v="ENEFIT_ST_RETORT-GAS_CND"/>
    <n v="35"/>
    <n v="3.5000000000000003E-2"/>
  </r>
  <r>
    <x v="0"/>
    <x v="0"/>
    <x v="0"/>
    <x v="1"/>
    <x v="2"/>
    <s v="EE_Industry"/>
    <x v="0"/>
    <x v="0"/>
    <x v="6"/>
    <x v="0"/>
    <s v="GNR_ST_BGAS_EXT_E-38"/>
    <n v="0.1"/>
    <n v="1E-4"/>
  </r>
  <r>
    <x v="0"/>
    <x v="0"/>
    <x v="0"/>
    <x v="1"/>
    <x v="2"/>
    <s v="EE_Industry"/>
    <x v="12"/>
    <x v="0"/>
    <x v="6"/>
    <x v="0"/>
    <s v="GNR_ENG_RETORT-GAS_E-44"/>
    <n v="95"/>
    <n v="9.5000000000000001E-2"/>
  </r>
  <r>
    <x v="0"/>
    <x v="0"/>
    <x v="0"/>
    <x v="1"/>
    <x v="2"/>
    <s v="EE_Industry"/>
    <x v="13"/>
    <x v="0"/>
    <x v="0"/>
    <x v="0"/>
    <s v="IMAVERE_ST_WOOD_BP"/>
    <n v="10"/>
    <n v="0.01"/>
  </r>
  <r>
    <x v="0"/>
    <x v="0"/>
    <x v="0"/>
    <x v="1"/>
    <x v="2"/>
    <s v="EE_Industry"/>
    <x v="13"/>
    <x v="0"/>
    <x v="0"/>
    <x v="0"/>
    <s v="OSULA_ST_WOOD_BP"/>
    <n v="10"/>
    <n v="0.01"/>
  </r>
  <r>
    <x v="0"/>
    <x v="0"/>
    <x v="0"/>
    <x v="1"/>
    <x v="2"/>
    <s v="EE_Industry"/>
    <x v="14"/>
    <x v="0"/>
    <x v="0"/>
    <x v="0"/>
    <s v="GNR_ST_WOODWST_BP_E-53"/>
    <n v="13"/>
    <n v="1.2999999999999999E-2"/>
  </r>
  <r>
    <x v="0"/>
    <x v="0"/>
    <x v="0"/>
    <x v="1"/>
    <x v="2"/>
    <s v="EE_Kohtla_Jarve"/>
    <x v="3"/>
    <x v="0"/>
    <x v="6"/>
    <x v="0"/>
    <s v="GNR_ENG_NGAS_EXT_E-44"/>
    <n v="16"/>
    <n v="1.6E-2"/>
  </r>
  <r>
    <x v="0"/>
    <x v="0"/>
    <x v="0"/>
    <x v="1"/>
    <x v="2"/>
    <s v="EE_Narva"/>
    <x v="15"/>
    <x v="0"/>
    <x v="6"/>
    <x v="0"/>
    <s v="NARVA-11_ST_SHALE_EXT"/>
    <n v="192"/>
    <n v="0.192"/>
  </r>
  <r>
    <x v="0"/>
    <x v="0"/>
    <x v="0"/>
    <x v="1"/>
    <x v="2"/>
    <s v="EE_Narva"/>
    <x v="15"/>
    <x v="1"/>
    <x v="1"/>
    <x v="0"/>
    <s v="AUVERE_ST_SHALE_CND"/>
    <n v="274"/>
    <n v="0.27400000000000002"/>
  </r>
  <r>
    <x v="0"/>
    <x v="0"/>
    <x v="0"/>
    <x v="1"/>
    <x v="2"/>
    <s v="EE_Narva"/>
    <x v="15"/>
    <x v="1"/>
    <x v="1"/>
    <x v="0"/>
    <s v="NARVA-3_ST_SHALE_CND"/>
    <n v="164"/>
    <n v="0.16400000000000001"/>
  </r>
  <r>
    <x v="0"/>
    <x v="0"/>
    <x v="0"/>
    <x v="1"/>
    <x v="2"/>
    <s v="EE_Narva"/>
    <x v="15"/>
    <x v="1"/>
    <x v="1"/>
    <x v="0"/>
    <s v="NARVA-4_ST_SHALE_CND"/>
    <n v="164"/>
    <n v="0.16400000000000001"/>
  </r>
  <r>
    <x v="0"/>
    <x v="0"/>
    <x v="0"/>
    <x v="1"/>
    <x v="2"/>
    <s v="EE_Narva"/>
    <x v="15"/>
    <x v="1"/>
    <x v="1"/>
    <x v="0"/>
    <s v="NARVA-5_ST_SHALE_CND"/>
    <n v="173"/>
    <n v="0.17299999999999999"/>
  </r>
  <r>
    <x v="0"/>
    <x v="0"/>
    <x v="0"/>
    <x v="1"/>
    <x v="2"/>
    <s v="EE_Narva"/>
    <x v="15"/>
    <x v="1"/>
    <x v="1"/>
    <x v="0"/>
    <s v="NARVA-6_ST_SHALE_CND"/>
    <n v="173"/>
    <n v="0.17299999999999999"/>
  </r>
  <r>
    <x v="0"/>
    <x v="0"/>
    <x v="0"/>
    <x v="1"/>
    <x v="2"/>
    <s v="EE_Narva"/>
    <x v="15"/>
    <x v="1"/>
    <x v="1"/>
    <x v="0"/>
    <s v="NARVA-8_ST_SHALE_CND"/>
    <n v="194"/>
    <n v="0.19400000000000001"/>
  </r>
  <r>
    <x v="0"/>
    <x v="0"/>
    <x v="0"/>
    <x v="1"/>
    <x v="2"/>
    <s v="EE_Parnu"/>
    <x v="0"/>
    <x v="0"/>
    <x v="6"/>
    <x v="0"/>
    <s v="GNR_ST_BGAS_EXT_E-38"/>
    <n v="0.1"/>
    <n v="1E-4"/>
  </r>
  <r>
    <x v="0"/>
    <x v="0"/>
    <x v="0"/>
    <x v="1"/>
    <x v="2"/>
    <s v="EE_Parnu"/>
    <x v="13"/>
    <x v="0"/>
    <x v="0"/>
    <x v="0"/>
    <s v="PARNU-1_ST_WOOD_BP"/>
    <n v="22"/>
    <n v="2.1999999999999999E-2"/>
  </r>
  <r>
    <x v="0"/>
    <x v="0"/>
    <x v="0"/>
    <x v="1"/>
    <x v="2"/>
    <s v="EE_Rural"/>
    <x v="0"/>
    <x v="0"/>
    <x v="6"/>
    <x v="0"/>
    <s v="GNR_ST_BGAS_EXT_E-38"/>
    <n v="3.3"/>
    <n v="3.3E-3"/>
  </r>
  <r>
    <x v="0"/>
    <x v="0"/>
    <x v="0"/>
    <x v="1"/>
    <x v="2"/>
    <s v="EE_Rural"/>
    <x v="3"/>
    <x v="0"/>
    <x v="6"/>
    <x v="0"/>
    <s v="GNR_ENG_NGAS_EXT_E-44"/>
    <n v="1.2"/>
    <n v="1.1999999999999999E-3"/>
  </r>
  <r>
    <x v="0"/>
    <x v="0"/>
    <x v="0"/>
    <x v="1"/>
    <x v="2"/>
    <s v="EE_Rural"/>
    <x v="8"/>
    <x v="4"/>
    <x v="4"/>
    <x v="0"/>
    <s v="GNR_ROR_WTR"/>
    <n v="4"/>
    <n v="4.0000000000000001E-3"/>
  </r>
  <r>
    <x v="0"/>
    <x v="0"/>
    <x v="0"/>
    <x v="1"/>
    <x v="2"/>
    <s v="EE_Rural"/>
    <x v="9"/>
    <x v="3"/>
    <x v="5"/>
    <x v="0"/>
    <s v="GNR_WT_WIND_ONS"/>
    <n v="261"/>
    <n v="0.26100000000000001"/>
  </r>
  <r>
    <x v="0"/>
    <x v="0"/>
    <x v="0"/>
    <x v="1"/>
    <x v="2"/>
    <s v="EE_Rural"/>
    <x v="14"/>
    <x v="0"/>
    <x v="0"/>
    <x v="0"/>
    <s v="EBAVERE_ST_WOODWST_BP"/>
    <n v="10"/>
    <n v="0.01"/>
  </r>
  <r>
    <x v="0"/>
    <x v="0"/>
    <x v="0"/>
    <x v="1"/>
    <x v="2"/>
    <s v="EE_Sillamae"/>
    <x v="3"/>
    <x v="0"/>
    <x v="6"/>
    <x v="0"/>
    <s v="GNR_ENG_NGAS_EXT_E-44"/>
    <n v="10"/>
    <n v="0.01"/>
  </r>
  <r>
    <x v="0"/>
    <x v="0"/>
    <x v="0"/>
    <x v="1"/>
    <x v="2"/>
    <s v="EE_Sillamae"/>
    <x v="13"/>
    <x v="0"/>
    <x v="0"/>
    <x v="0"/>
    <s v="SILLAMAE_ST_WOOD_BP"/>
    <n v="5.8"/>
    <n v="5.7999999999999996E-3"/>
  </r>
  <r>
    <x v="0"/>
    <x v="0"/>
    <x v="0"/>
    <x v="1"/>
    <x v="2"/>
    <s v="EE_Tallinn"/>
    <x v="2"/>
    <x v="0"/>
    <x v="0"/>
    <x v="0"/>
    <s v="IRU_ST_MSW_BP"/>
    <n v="17"/>
    <n v="1.7000000000000001E-2"/>
  </r>
  <r>
    <x v="0"/>
    <x v="0"/>
    <x v="0"/>
    <x v="1"/>
    <x v="2"/>
    <s v="EE_Tallinn"/>
    <x v="3"/>
    <x v="0"/>
    <x v="6"/>
    <x v="0"/>
    <s v="GNR_ENG_NGAS_EXT_E-44"/>
    <n v="1.5"/>
    <n v="1.5E-3"/>
  </r>
  <r>
    <x v="0"/>
    <x v="0"/>
    <x v="0"/>
    <x v="1"/>
    <x v="2"/>
    <s v="EE_Tallinn"/>
    <x v="13"/>
    <x v="0"/>
    <x v="0"/>
    <x v="0"/>
    <s v="MUSTAMAE_ST_WOOD_BP"/>
    <n v="10"/>
    <n v="0.01"/>
  </r>
  <r>
    <x v="0"/>
    <x v="0"/>
    <x v="0"/>
    <x v="1"/>
    <x v="2"/>
    <s v="EE_Tallinn"/>
    <x v="13"/>
    <x v="0"/>
    <x v="0"/>
    <x v="0"/>
    <s v="VAO-1_ST_WOOD_BP"/>
    <n v="25"/>
    <n v="2.5000000000000001E-2"/>
  </r>
  <r>
    <x v="0"/>
    <x v="0"/>
    <x v="0"/>
    <x v="1"/>
    <x v="2"/>
    <s v="EE_Tallinn"/>
    <x v="13"/>
    <x v="0"/>
    <x v="0"/>
    <x v="0"/>
    <s v="VAO-2_ST_WOOD_BP"/>
    <n v="21"/>
    <n v="2.1000000000000001E-2"/>
  </r>
  <r>
    <x v="0"/>
    <x v="0"/>
    <x v="0"/>
    <x v="1"/>
    <x v="2"/>
    <s v="EE_Tartu"/>
    <x v="13"/>
    <x v="0"/>
    <x v="0"/>
    <x v="0"/>
    <s v="TARTU-1_ST_WOOD_BP"/>
    <n v="22"/>
    <n v="2.1999999999999999E-2"/>
  </r>
  <r>
    <x v="0"/>
    <x v="0"/>
    <x v="0"/>
    <x v="1"/>
    <x v="2"/>
    <s v="EE_Urban"/>
    <x v="0"/>
    <x v="0"/>
    <x v="6"/>
    <x v="0"/>
    <s v="GNR_ST_BGAS_EXT_E-38"/>
    <n v="0.1"/>
    <n v="1E-4"/>
  </r>
  <r>
    <x v="0"/>
    <x v="0"/>
    <x v="0"/>
    <x v="1"/>
    <x v="2"/>
    <s v="EE_Urban"/>
    <x v="3"/>
    <x v="0"/>
    <x v="6"/>
    <x v="0"/>
    <s v="GNR_ENG_NGAS_EXT_E-44"/>
    <n v="0.9"/>
    <n v="8.9999999999999998E-4"/>
  </r>
  <r>
    <x v="0"/>
    <x v="0"/>
    <x v="0"/>
    <x v="1"/>
    <x v="2"/>
    <s v="EE_Urban"/>
    <x v="13"/>
    <x v="0"/>
    <x v="0"/>
    <x v="0"/>
    <s v="GNR_ST_WOOD_BP_E-53"/>
    <n v="12"/>
    <n v="1.2E-2"/>
  </r>
  <r>
    <x v="0"/>
    <x v="0"/>
    <x v="0"/>
    <x v="2"/>
    <x v="3"/>
    <s v="FI_IND"/>
    <x v="0"/>
    <x v="0"/>
    <x v="0"/>
    <x v="0"/>
    <s v="GNR_IND-ST_BGAS_BP_CB-30"/>
    <n v="2.2000000000000002"/>
    <n v="2.2000000000000001E-3"/>
  </r>
  <r>
    <x v="0"/>
    <x v="0"/>
    <x v="0"/>
    <x v="2"/>
    <x v="3"/>
    <s v="FI_IND"/>
    <x v="11"/>
    <x v="0"/>
    <x v="0"/>
    <x v="0"/>
    <s v="GNR_IND-ST_FUELOIL_BP_CB-30"/>
    <n v="30.8"/>
    <n v="3.0800000000000001E-2"/>
  </r>
  <r>
    <x v="0"/>
    <x v="0"/>
    <x v="0"/>
    <x v="2"/>
    <x v="3"/>
    <s v="FI_IND"/>
    <x v="1"/>
    <x v="0"/>
    <x v="0"/>
    <x v="0"/>
    <s v="GNR_IND-ST_LIGHTOIL_BP_CB-30"/>
    <n v="1.6"/>
    <n v="1.6000000000000001E-3"/>
  </r>
  <r>
    <x v="0"/>
    <x v="0"/>
    <x v="0"/>
    <x v="2"/>
    <x v="3"/>
    <s v="FI_IND"/>
    <x v="2"/>
    <x v="0"/>
    <x v="0"/>
    <x v="0"/>
    <s v="GNR_IND-ST_MSW_BP_CB-30"/>
    <n v="53"/>
    <n v="5.2999999999999999E-2"/>
  </r>
  <r>
    <x v="0"/>
    <x v="0"/>
    <x v="0"/>
    <x v="2"/>
    <x v="3"/>
    <s v="FI_IND"/>
    <x v="3"/>
    <x v="0"/>
    <x v="0"/>
    <x v="0"/>
    <s v="GNR_IND-ST_NGAS_BP_CB-30"/>
    <n v="192.5"/>
    <n v="0.1925"/>
  </r>
  <r>
    <x v="0"/>
    <x v="0"/>
    <x v="0"/>
    <x v="2"/>
    <x v="3"/>
    <s v="FI_IND"/>
    <x v="16"/>
    <x v="0"/>
    <x v="0"/>
    <x v="0"/>
    <s v="GNR_IND-ST_PEAT_BP_CB-20"/>
    <n v="19"/>
    <n v="1.9E-2"/>
  </r>
  <r>
    <x v="0"/>
    <x v="0"/>
    <x v="0"/>
    <x v="2"/>
    <x v="3"/>
    <s v="FI_IND"/>
    <x v="16"/>
    <x v="0"/>
    <x v="0"/>
    <x v="0"/>
    <s v="GNR_IND-ST_PEAT_BP_CB-30"/>
    <n v="175.2"/>
    <n v="0.17519999999999999"/>
  </r>
  <r>
    <x v="0"/>
    <x v="0"/>
    <x v="0"/>
    <x v="2"/>
    <x v="3"/>
    <s v="FI_IND"/>
    <x v="16"/>
    <x v="0"/>
    <x v="6"/>
    <x v="0"/>
    <s v="ALHOLMEN2_IND-ST_PEAT_EXT"/>
    <n v="240"/>
    <n v="0.24"/>
  </r>
  <r>
    <x v="0"/>
    <x v="0"/>
    <x v="0"/>
    <x v="2"/>
    <x v="3"/>
    <s v="FI_IND"/>
    <x v="5"/>
    <x v="0"/>
    <x v="0"/>
    <x v="0"/>
    <s v="GNR_IND-ST_WOODCHI_BP_CB-20"/>
    <n v="43"/>
    <n v="4.2999999999999997E-2"/>
  </r>
  <r>
    <x v="0"/>
    <x v="0"/>
    <x v="0"/>
    <x v="2"/>
    <x v="3"/>
    <s v="FI_IND"/>
    <x v="5"/>
    <x v="0"/>
    <x v="0"/>
    <x v="0"/>
    <s v="GNR_IND-ST_WOODCHI_BP_CB-30"/>
    <n v="81.400000000000006"/>
    <n v="8.14E-2"/>
  </r>
  <r>
    <x v="0"/>
    <x v="0"/>
    <x v="0"/>
    <x v="2"/>
    <x v="3"/>
    <s v="FI_IND"/>
    <x v="5"/>
    <x v="0"/>
    <x v="0"/>
    <x v="0"/>
    <s v="GNR_IND-ST_WOODCHI_BP_CB-70"/>
    <n v="27"/>
    <n v="2.7E-2"/>
  </r>
  <r>
    <x v="0"/>
    <x v="0"/>
    <x v="0"/>
    <x v="2"/>
    <x v="3"/>
    <s v="FI_IND"/>
    <x v="14"/>
    <x v="0"/>
    <x v="0"/>
    <x v="0"/>
    <s v="GNR_IND-ST_BLACKLIC_BP_CB-20"/>
    <n v="45"/>
    <n v="4.4999999999999998E-2"/>
  </r>
  <r>
    <x v="0"/>
    <x v="0"/>
    <x v="0"/>
    <x v="2"/>
    <x v="3"/>
    <s v="FI_IND"/>
    <x v="14"/>
    <x v="0"/>
    <x v="0"/>
    <x v="0"/>
    <s v="GNR_IND-ST_BLACKLIC_BP_CB-30"/>
    <n v="899"/>
    <n v="0.89900000000000002"/>
  </r>
  <r>
    <x v="0"/>
    <x v="0"/>
    <x v="0"/>
    <x v="2"/>
    <x v="3"/>
    <s v="FI_IND"/>
    <x v="14"/>
    <x v="0"/>
    <x v="0"/>
    <x v="0"/>
    <s v="GNR_IND-ST_WOODWST_BP_CB-30"/>
    <n v="148.1"/>
    <n v="0.14810000000000001"/>
  </r>
  <r>
    <x v="0"/>
    <x v="0"/>
    <x v="0"/>
    <x v="2"/>
    <x v="3"/>
    <s v="FI_large"/>
    <x v="16"/>
    <x v="0"/>
    <x v="6"/>
    <x v="0"/>
    <s v="KELJONLAHTI_ST_PEAT_EXT"/>
    <n v="189.7"/>
    <n v="0.18970000000000001"/>
  </r>
  <r>
    <x v="0"/>
    <x v="0"/>
    <x v="0"/>
    <x v="2"/>
    <x v="3"/>
    <s v="FI_large"/>
    <x v="16"/>
    <x v="0"/>
    <x v="6"/>
    <x v="0"/>
    <s v="TOPPILA2_ST_PEAT_EXT"/>
    <n v="135"/>
    <n v="0.13500000000000001"/>
  </r>
  <r>
    <x v="0"/>
    <x v="0"/>
    <x v="0"/>
    <x v="2"/>
    <x v="3"/>
    <s v="FI_large"/>
    <x v="5"/>
    <x v="0"/>
    <x v="0"/>
    <x v="0"/>
    <s v="GNR_IND-ST_WOODCHI_BP_CB-50"/>
    <n v="140"/>
    <n v="0.14000000000000001"/>
  </r>
  <r>
    <x v="0"/>
    <x v="0"/>
    <x v="0"/>
    <x v="2"/>
    <x v="3"/>
    <s v="FI_large"/>
    <x v="5"/>
    <x v="0"/>
    <x v="0"/>
    <x v="0"/>
    <s v="GNR_ST_WOODCHI_BP_CB-40"/>
    <n v="70"/>
    <n v="7.0000000000000007E-2"/>
  </r>
  <r>
    <x v="0"/>
    <x v="0"/>
    <x v="0"/>
    <x v="2"/>
    <x v="3"/>
    <s v="FI_large_gas"/>
    <x v="0"/>
    <x v="0"/>
    <x v="0"/>
    <x v="0"/>
    <s v="GNR_ST_BGAS_BP_CB-40"/>
    <n v="40"/>
    <n v="0.04"/>
  </r>
  <r>
    <x v="0"/>
    <x v="0"/>
    <x v="0"/>
    <x v="2"/>
    <x v="3"/>
    <s v="FI_large_gas"/>
    <x v="2"/>
    <x v="0"/>
    <x v="0"/>
    <x v="0"/>
    <s v="GNR_ST_MSW_BP_CB-30"/>
    <n v="41.5"/>
    <n v="4.1500000000000002E-2"/>
  </r>
  <r>
    <x v="0"/>
    <x v="0"/>
    <x v="0"/>
    <x v="2"/>
    <x v="3"/>
    <s v="FI_large_gas"/>
    <x v="3"/>
    <x v="0"/>
    <x v="0"/>
    <x v="0"/>
    <s v="GNR_CC_NGAS_BP_CB-110"/>
    <n v="234"/>
    <n v="0.23400000000000001"/>
  </r>
  <r>
    <x v="0"/>
    <x v="0"/>
    <x v="0"/>
    <x v="2"/>
    <x v="3"/>
    <s v="FI_large_gas"/>
    <x v="3"/>
    <x v="0"/>
    <x v="0"/>
    <x v="0"/>
    <s v="GNR_GT_NGAS_BP_CB-150"/>
    <n v="46"/>
    <n v="4.5999999999999999E-2"/>
  </r>
  <r>
    <x v="0"/>
    <x v="0"/>
    <x v="0"/>
    <x v="2"/>
    <x v="3"/>
    <s v="FI_large_gas"/>
    <x v="3"/>
    <x v="0"/>
    <x v="0"/>
    <x v="0"/>
    <s v="GNR_ST_NGAS_BP_CB-130"/>
    <n v="102"/>
    <n v="0.10199999999999999"/>
  </r>
  <r>
    <x v="0"/>
    <x v="0"/>
    <x v="0"/>
    <x v="2"/>
    <x v="3"/>
    <s v="FI_large_gas"/>
    <x v="17"/>
    <x v="0"/>
    <x v="0"/>
    <x v="0"/>
    <s v="GNR_ST_HYDROGEN_BP_CB-30"/>
    <n v="1.6"/>
    <n v="1.6000000000000001E-3"/>
  </r>
  <r>
    <x v="0"/>
    <x v="0"/>
    <x v="0"/>
    <x v="2"/>
    <x v="3"/>
    <s v="FI_large_gas"/>
    <x v="14"/>
    <x v="0"/>
    <x v="0"/>
    <x v="0"/>
    <s v="GNR_IND-ST_WOODWST_BP_CB-50"/>
    <n v="119"/>
    <n v="0.11899999999999999"/>
  </r>
  <r>
    <x v="0"/>
    <x v="0"/>
    <x v="0"/>
    <x v="2"/>
    <x v="3"/>
    <s v="FI_medium"/>
    <x v="0"/>
    <x v="0"/>
    <x v="0"/>
    <x v="0"/>
    <s v="GNR_ENG_BGAS_BP_CB-100"/>
    <n v="1.6"/>
    <n v="1.6000000000000001E-3"/>
  </r>
  <r>
    <x v="0"/>
    <x v="0"/>
    <x v="0"/>
    <x v="2"/>
    <x v="3"/>
    <s v="FI_medium"/>
    <x v="0"/>
    <x v="0"/>
    <x v="0"/>
    <x v="0"/>
    <s v="GNR_GT_BGAS_BP_CB-30"/>
    <n v="0.1"/>
    <n v="1E-4"/>
  </r>
  <r>
    <x v="0"/>
    <x v="0"/>
    <x v="0"/>
    <x v="2"/>
    <x v="3"/>
    <s v="FI_medium"/>
    <x v="2"/>
    <x v="0"/>
    <x v="0"/>
    <x v="0"/>
    <s v="GNR_ST_MSW_BP_CB-30"/>
    <n v="23"/>
    <n v="2.3E-2"/>
  </r>
  <r>
    <x v="0"/>
    <x v="0"/>
    <x v="0"/>
    <x v="2"/>
    <x v="3"/>
    <s v="FI_medium"/>
    <x v="17"/>
    <x v="0"/>
    <x v="0"/>
    <x v="0"/>
    <s v="GNR_ST_BFG_BP_CB-280"/>
    <n v="110"/>
    <n v="0.11"/>
  </r>
  <r>
    <x v="0"/>
    <x v="0"/>
    <x v="0"/>
    <x v="2"/>
    <x v="3"/>
    <s v="FI_medium"/>
    <x v="16"/>
    <x v="0"/>
    <x v="0"/>
    <x v="0"/>
    <s v="GNR_ST_PEAT_BP_CB-120"/>
    <n v="125"/>
    <n v="0.125"/>
  </r>
  <r>
    <x v="0"/>
    <x v="0"/>
    <x v="0"/>
    <x v="2"/>
    <x v="3"/>
    <s v="FI_medium"/>
    <x v="16"/>
    <x v="0"/>
    <x v="0"/>
    <x v="0"/>
    <s v="GNR_ST_PEAT_BP_CB-30"/>
    <n v="13.5"/>
    <n v="1.35E-2"/>
  </r>
  <r>
    <x v="0"/>
    <x v="0"/>
    <x v="0"/>
    <x v="2"/>
    <x v="3"/>
    <s v="FI_medium"/>
    <x v="16"/>
    <x v="0"/>
    <x v="0"/>
    <x v="0"/>
    <s v="GNR_ST_PEAT_BP_CB-40"/>
    <n v="15.6"/>
    <n v="1.5599999999999999E-2"/>
  </r>
  <r>
    <x v="0"/>
    <x v="0"/>
    <x v="0"/>
    <x v="2"/>
    <x v="3"/>
    <s v="FI_medium"/>
    <x v="16"/>
    <x v="0"/>
    <x v="0"/>
    <x v="0"/>
    <s v="GNR_ST_PEAT_BP_CB-50"/>
    <n v="14.7"/>
    <n v="1.47E-2"/>
  </r>
  <r>
    <x v="0"/>
    <x v="0"/>
    <x v="0"/>
    <x v="2"/>
    <x v="3"/>
    <s v="FI_medium"/>
    <x v="5"/>
    <x v="0"/>
    <x v="0"/>
    <x v="0"/>
    <s v="GNR_ST_WOODCHI_BP_CB-20"/>
    <n v="5.8"/>
    <n v="5.7999999999999996E-3"/>
  </r>
  <r>
    <x v="0"/>
    <x v="0"/>
    <x v="0"/>
    <x v="2"/>
    <x v="3"/>
    <s v="FI_medium"/>
    <x v="5"/>
    <x v="0"/>
    <x v="0"/>
    <x v="0"/>
    <s v="GNR_ST_WOODCHI_BP_CB-50"/>
    <n v="81"/>
    <n v="8.1000000000000003E-2"/>
  </r>
  <r>
    <x v="0"/>
    <x v="0"/>
    <x v="0"/>
    <x v="2"/>
    <x v="3"/>
    <s v="FI_medium_gas"/>
    <x v="0"/>
    <x v="0"/>
    <x v="0"/>
    <x v="0"/>
    <s v="GNR_GT_BGAS_BP_CB-100"/>
    <n v="1.1000000000000001"/>
    <n v="1.1000000000000001E-3"/>
  </r>
  <r>
    <x v="0"/>
    <x v="0"/>
    <x v="0"/>
    <x v="2"/>
    <x v="3"/>
    <s v="FI_medium_gas"/>
    <x v="2"/>
    <x v="0"/>
    <x v="0"/>
    <x v="0"/>
    <s v="GNR_ST_MSW_BP_CB-30"/>
    <n v="7"/>
    <n v="7.0000000000000001E-3"/>
  </r>
  <r>
    <x v="0"/>
    <x v="0"/>
    <x v="0"/>
    <x v="2"/>
    <x v="3"/>
    <s v="FI_medium_gas"/>
    <x v="5"/>
    <x v="0"/>
    <x v="0"/>
    <x v="0"/>
    <s v="GNR_ST_WOODCHI_BP_CB-30"/>
    <n v="9.5"/>
    <n v="9.4999999999999998E-3"/>
  </r>
  <r>
    <x v="0"/>
    <x v="0"/>
    <x v="0"/>
    <x v="2"/>
    <x v="3"/>
    <s v="FI_medium_gas"/>
    <x v="5"/>
    <x v="0"/>
    <x v="0"/>
    <x v="0"/>
    <s v="GNR_ST_WOODCHI_BP_CB-40"/>
    <n v="20"/>
    <n v="0.02"/>
  </r>
  <r>
    <x v="0"/>
    <x v="0"/>
    <x v="0"/>
    <x v="2"/>
    <x v="3"/>
    <s v="FI_medium_gas"/>
    <x v="5"/>
    <x v="0"/>
    <x v="0"/>
    <x v="0"/>
    <s v="GNR_ST_WOODCHI_BP_CB-50"/>
    <n v="22"/>
    <n v="2.1999999999999999E-2"/>
  </r>
  <r>
    <x v="0"/>
    <x v="0"/>
    <x v="0"/>
    <x v="2"/>
    <x v="3"/>
    <s v="FI_small"/>
    <x v="16"/>
    <x v="0"/>
    <x v="0"/>
    <x v="0"/>
    <s v="GNR_ST_PEAT_BP_CB-10"/>
    <n v="2.8"/>
    <n v="2.8E-3"/>
  </r>
  <r>
    <x v="0"/>
    <x v="0"/>
    <x v="0"/>
    <x v="2"/>
    <x v="3"/>
    <s v="FI_small"/>
    <x v="16"/>
    <x v="0"/>
    <x v="0"/>
    <x v="0"/>
    <s v="GNR_ST_PEAT_BP_CB-20"/>
    <n v="4"/>
    <n v="4.0000000000000001E-3"/>
  </r>
  <r>
    <x v="0"/>
    <x v="0"/>
    <x v="0"/>
    <x v="2"/>
    <x v="3"/>
    <s v="FI_small"/>
    <x v="16"/>
    <x v="0"/>
    <x v="0"/>
    <x v="0"/>
    <s v="GNR_ST_PEAT_BP_CB-30"/>
    <n v="13.8"/>
    <n v="1.38E-2"/>
  </r>
  <r>
    <x v="0"/>
    <x v="0"/>
    <x v="0"/>
    <x v="2"/>
    <x v="3"/>
    <s v="FI_small"/>
    <x v="5"/>
    <x v="0"/>
    <x v="0"/>
    <x v="0"/>
    <s v="GNR_ST_WOODCHI_BP_CB-10"/>
    <n v="4.5"/>
    <n v="4.4999999999999997E-3"/>
  </r>
  <r>
    <x v="0"/>
    <x v="0"/>
    <x v="0"/>
    <x v="2"/>
    <x v="3"/>
    <s v="FI_small"/>
    <x v="5"/>
    <x v="0"/>
    <x v="0"/>
    <x v="0"/>
    <s v="GNR_ST_WOODCHI_BP_CB-30"/>
    <n v="4.5"/>
    <n v="4.4999999999999997E-3"/>
  </r>
  <r>
    <x v="0"/>
    <x v="0"/>
    <x v="0"/>
    <x v="2"/>
    <x v="3"/>
    <s v="FI_small"/>
    <x v="5"/>
    <x v="0"/>
    <x v="0"/>
    <x v="0"/>
    <s v="GNR_ST_WOODCHI_BP_CB-70"/>
    <n v="14.9"/>
    <n v="1.49E-2"/>
  </r>
  <r>
    <x v="0"/>
    <x v="0"/>
    <x v="0"/>
    <x v="2"/>
    <x v="3"/>
    <s v="FI_small"/>
    <x v="14"/>
    <x v="0"/>
    <x v="0"/>
    <x v="0"/>
    <s v="GNR_ST_WOODWST_BP_CB-30"/>
    <n v="1.4"/>
    <n v="1.4E-3"/>
  </r>
  <r>
    <x v="0"/>
    <x v="0"/>
    <x v="0"/>
    <x v="2"/>
    <x v="3"/>
    <s v="FinA"/>
    <x v="11"/>
    <x v="1"/>
    <x v="1"/>
    <x v="0"/>
    <s v="GNR_GT_FUELOIL_CND_E-31"/>
    <n v="2"/>
    <n v="2E-3"/>
  </r>
  <r>
    <x v="0"/>
    <x v="0"/>
    <x v="0"/>
    <x v="2"/>
    <x v="3"/>
    <s v="FinA"/>
    <x v="1"/>
    <x v="1"/>
    <x v="1"/>
    <x v="0"/>
    <s v="GNR_GT_LIGHTOIL_CND_E-26"/>
    <n v="420.7"/>
    <n v="0.42070000000000002"/>
  </r>
  <r>
    <x v="0"/>
    <x v="0"/>
    <x v="0"/>
    <x v="2"/>
    <x v="3"/>
    <s v="FinA"/>
    <x v="18"/>
    <x v="1"/>
    <x v="1"/>
    <x v="0"/>
    <s v="GNR_ST_NUCL_CND_E-33"/>
    <n v="5062"/>
    <n v="5.0620000000000003"/>
  </r>
  <r>
    <x v="0"/>
    <x v="0"/>
    <x v="0"/>
    <x v="2"/>
    <x v="3"/>
    <s v="FinA"/>
    <x v="8"/>
    <x v="4"/>
    <x v="4"/>
    <x v="0"/>
    <s v="GNR_ROR_WTR"/>
    <n v="1856.7"/>
    <n v="1.8567"/>
  </r>
  <r>
    <x v="0"/>
    <x v="0"/>
    <x v="0"/>
    <x v="2"/>
    <x v="3"/>
    <s v="FinA"/>
    <x v="8"/>
    <x v="4"/>
    <x v="7"/>
    <x v="0"/>
    <s v="GNR_RES_WTR_NOPMP_MC-01"/>
    <n v="156.94999999999999"/>
    <n v="0.15695000000000001"/>
  </r>
  <r>
    <x v="0"/>
    <x v="0"/>
    <x v="0"/>
    <x v="2"/>
    <x v="3"/>
    <s v="FinA"/>
    <x v="8"/>
    <x v="4"/>
    <x v="7"/>
    <x v="0"/>
    <s v="GNR_RES_WTR_NOPMP_MC-02"/>
    <n v="156.94999999999999"/>
    <n v="0.15695000000000001"/>
  </r>
  <r>
    <x v="0"/>
    <x v="0"/>
    <x v="0"/>
    <x v="2"/>
    <x v="3"/>
    <s v="FinA"/>
    <x v="8"/>
    <x v="4"/>
    <x v="7"/>
    <x v="0"/>
    <s v="GNR_RES_WTR_NOPMP_MC-03"/>
    <n v="156.94999999999999"/>
    <n v="0.15695000000000001"/>
  </r>
  <r>
    <x v="0"/>
    <x v="0"/>
    <x v="0"/>
    <x v="2"/>
    <x v="3"/>
    <s v="FinA"/>
    <x v="8"/>
    <x v="4"/>
    <x v="7"/>
    <x v="0"/>
    <s v="GNR_RES_WTR_NOPMP_MC-04"/>
    <n v="156.94999999999999"/>
    <n v="0.15695000000000001"/>
  </r>
  <r>
    <x v="0"/>
    <x v="0"/>
    <x v="0"/>
    <x v="2"/>
    <x v="3"/>
    <s v="FinA"/>
    <x v="8"/>
    <x v="4"/>
    <x v="7"/>
    <x v="0"/>
    <s v="GNR_RES_WTR_NOPMP_MC-05"/>
    <n v="156.94999999999999"/>
    <n v="0.15695000000000001"/>
  </r>
  <r>
    <x v="0"/>
    <x v="0"/>
    <x v="0"/>
    <x v="2"/>
    <x v="3"/>
    <s v="FinA"/>
    <x v="8"/>
    <x v="4"/>
    <x v="7"/>
    <x v="0"/>
    <s v="GNR_RES_WTR_NOPMP_MC-06"/>
    <n v="156.94999999999999"/>
    <n v="0.15695000000000001"/>
  </r>
  <r>
    <x v="0"/>
    <x v="0"/>
    <x v="0"/>
    <x v="2"/>
    <x v="3"/>
    <s v="FinA"/>
    <x v="8"/>
    <x v="4"/>
    <x v="7"/>
    <x v="0"/>
    <s v="GNR_RES_WTR_NOPMP_MC-07"/>
    <n v="156.94999999999999"/>
    <n v="0.15695000000000001"/>
  </r>
  <r>
    <x v="0"/>
    <x v="0"/>
    <x v="0"/>
    <x v="2"/>
    <x v="3"/>
    <s v="FinA"/>
    <x v="8"/>
    <x v="4"/>
    <x v="7"/>
    <x v="0"/>
    <s v="GNR_RES_WTR_NOPMP_MC-08"/>
    <n v="156.94999999999999"/>
    <n v="0.15695000000000001"/>
  </r>
  <r>
    <x v="0"/>
    <x v="0"/>
    <x v="0"/>
    <x v="2"/>
    <x v="3"/>
    <s v="FinA"/>
    <x v="8"/>
    <x v="4"/>
    <x v="7"/>
    <x v="0"/>
    <s v="GNR_RES_WTR_NOPMP_MC-09"/>
    <n v="156.94999999999999"/>
    <n v="0.15695000000000001"/>
  </r>
  <r>
    <x v="0"/>
    <x v="0"/>
    <x v="0"/>
    <x v="2"/>
    <x v="3"/>
    <s v="FinA"/>
    <x v="8"/>
    <x v="4"/>
    <x v="7"/>
    <x v="0"/>
    <s v="GNR_RES_WTR_NOPMP_MC-10"/>
    <n v="156.94999999999999"/>
    <n v="0.15695000000000001"/>
  </r>
  <r>
    <x v="0"/>
    <x v="0"/>
    <x v="0"/>
    <x v="2"/>
    <x v="3"/>
    <s v="FinA"/>
    <x v="9"/>
    <x v="3"/>
    <x v="5"/>
    <x v="0"/>
    <s v="GNR_WT_WIND_ONS"/>
    <n v="3153.55"/>
    <n v="3.1535500000000001"/>
  </r>
  <r>
    <x v="0"/>
    <x v="0"/>
    <x v="0"/>
    <x v="3"/>
    <x v="4"/>
    <s v="DE4-E_A"/>
    <x v="0"/>
    <x v="0"/>
    <x v="0"/>
    <x v="0"/>
    <s v="GNR_ENG_BGAS_BP_E-45"/>
    <n v="4.51"/>
    <n v="4.5100000000000001E-3"/>
  </r>
  <r>
    <x v="0"/>
    <x v="0"/>
    <x v="0"/>
    <x v="3"/>
    <x v="4"/>
    <s v="DE4-E_A"/>
    <x v="0"/>
    <x v="0"/>
    <x v="0"/>
    <x v="0"/>
    <s v="GNR_ST_BGAS_BP_E-38"/>
    <n v="65.7"/>
    <n v="6.5699999999999995E-2"/>
  </r>
  <r>
    <x v="0"/>
    <x v="0"/>
    <x v="0"/>
    <x v="3"/>
    <x v="4"/>
    <s v="DE4-E_A"/>
    <x v="0"/>
    <x v="1"/>
    <x v="1"/>
    <x v="0"/>
    <s v="GNR_ENG_BGAS_CND_E-44"/>
    <n v="1305.97"/>
    <n v="1.3059700000000001"/>
  </r>
  <r>
    <x v="0"/>
    <x v="0"/>
    <x v="0"/>
    <x v="3"/>
    <x v="4"/>
    <s v="DE4-E_A"/>
    <x v="0"/>
    <x v="1"/>
    <x v="1"/>
    <x v="0"/>
    <s v="GNR_ST_BGAS_CND_E-38"/>
    <n v="18.100000000000001"/>
    <n v="1.8100000000000002E-2"/>
  </r>
  <r>
    <x v="0"/>
    <x v="0"/>
    <x v="0"/>
    <x v="3"/>
    <x v="4"/>
    <s v="DE4-E_A"/>
    <x v="10"/>
    <x v="0"/>
    <x v="0"/>
    <x v="0"/>
    <s v="GNR_ST_COAL_BP_E-40"/>
    <n v="603"/>
    <n v="0.60299999999999998"/>
  </r>
  <r>
    <x v="0"/>
    <x v="0"/>
    <x v="0"/>
    <x v="3"/>
    <x v="4"/>
    <s v="DE4-E_A"/>
    <x v="6"/>
    <x v="2"/>
    <x v="2"/>
    <x v="0"/>
    <s v="AGG-DE4-E_ES_ELEC"/>
    <n v="2.16"/>
    <n v="1.08E-3"/>
  </r>
  <r>
    <x v="0"/>
    <x v="0"/>
    <x v="0"/>
    <x v="3"/>
    <x v="4"/>
    <s v="DE4-E_A"/>
    <x v="6"/>
    <x v="2"/>
    <x v="8"/>
    <x v="0"/>
    <s v="AGG-DE4-E_RES_WTR_PMP"/>
    <n v="38640"/>
    <n v="19.32"/>
  </r>
  <r>
    <x v="0"/>
    <x v="0"/>
    <x v="0"/>
    <x v="3"/>
    <x v="4"/>
    <s v="DE4-E_A"/>
    <x v="11"/>
    <x v="1"/>
    <x v="1"/>
    <x v="0"/>
    <s v="GNR_ST_FUELOIL_CND_E-39"/>
    <n v="59"/>
    <n v="5.8999999999999997E-2"/>
  </r>
  <r>
    <x v="0"/>
    <x v="0"/>
    <x v="0"/>
    <x v="3"/>
    <x v="4"/>
    <s v="DE4-E_A"/>
    <x v="19"/>
    <x v="0"/>
    <x v="0"/>
    <x v="0"/>
    <s v="GNR_ST_LIGN_BP_E-39"/>
    <n v="5335.6"/>
    <n v="5.3356000000000003"/>
  </r>
  <r>
    <x v="0"/>
    <x v="0"/>
    <x v="0"/>
    <x v="3"/>
    <x v="4"/>
    <s v="DE4-E_A"/>
    <x v="19"/>
    <x v="1"/>
    <x v="1"/>
    <x v="0"/>
    <s v="GNR_ST_LIGN_CND_E-43"/>
    <n v="640"/>
    <n v="0.64"/>
  </r>
  <r>
    <x v="0"/>
    <x v="0"/>
    <x v="0"/>
    <x v="3"/>
    <x v="4"/>
    <s v="DE4-E_A"/>
    <x v="2"/>
    <x v="0"/>
    <x v="0"/>
    <x v="0"/>
    <s v="GNR_ST_MSW_BP_E-33"/>
    <n v="267.2"/>
    <n v="0.26719999999999999"/>
  </r>
  <r>
    <x v="0"/>
    <x v="0"/>
    <x v="0"/>
    <x v="3"/>
    <x v="4"/>
    <s v="DE4-E_A"/>
    <x v="2"/>
    <x v="1"/>
    <x v="1"/>
    <x v="0"/>
    <s v="GNR_ST_MSW_CND_E-33"/>
    <n v="62.6"/>
    <n v="6.2600000000000003E-2"/>
  </r>
  <r>
    <x v="0"/>
    <x v="0"/>
    <x v="0"/>
    <x v="3"/>
    <x v="4"/>
    <s v="DE4-E_A"/>
    <x v="3"/>
    <x v="0"/>
    <x v="0"/>
    <x v="0"/>
    <s v="GNR_CC_NGAS_BP_E-53"/>
    <n v="86.6"/>
    <n v="8.6599999999999996E-2"/>
  </r>
  <r>
    <x v="0"/>
    <x v="0"/>
    <x v="0"/>
    <x v="3"/>
    <x v="4"/>
    <s v="DE4-E_A"/>
    <x v="3"/>
    <x v="0"/>
    <x v="0"/>
    <x v="0"/>
    <s v="GNR_ST_NGAS_BP_E-38"/>
    <n v="179.4"/>
    <n v="0.1794"/>
  </r>
  <r>
    <x v="0"/>
    <x v="0"/>
    <x v="0"/>
    <x v="3"/>
    <x v="4"/>
    <s v="DE4-E_A"/>
    <x v="3"/>
    <x v="1"/>
    <x v="1"/>
    <x v="0"/>
    <s v="GNR_CC_NGAS_CND_E-57"/>
    <n v="50"/>
    <n v="0.05"/>
  </r>
  <r>
    <x v="0"/>
    <x v="0"/>
    <x v="0"/>
    <x v="3"/>
    <x v="4"/>
    <s v="DE4-E_A"/>
    <x v="7"/>
    <x v="3"/>
    <x v="3"/>
    <x v="0"/>
    <s v="GNR_PV_SUN"/>
    <n v="10867.66"/>
    <n v="10.867660000000001"/>
  </r>
  <r>
    <x v="0"/>
    <x v="0"/>
    <x v="0"/>
    <x v="3"/>
    <x v="4"/>
    <s v="DE4-E_A"/>
    <x v="8"/>
    <x v="4"/>
    <x v="4"/>
    <x v="0"/>
    <s v="GNR_ROR_WTR"/>
    <n v="550.44000000000005"/>
    <n v="0.55044000000000004"/>
  </r>
  <r>
    <x v="0"/>
    <x v="0"/>
    <x v="0"/>
    <x v="3"/>
    <x v="4"/>
    <s v="DE4-E_A"/>
    <x v="9"/>
    <x v="3"/>
    <x v="5"/>
    <x v="0"/>
    <s v="GNR_WT_WIND_ONS"/>
    <n v="12956.17"/>
    <n v="12.95617"/>
  </r>
  <r>
    <x v="0"/>
    <x v="0"/>
    <x v="0"/>
    <x v="3"/>
    <x v="4"/>
    <s v="DE4-E_Offshore_A"/>
    <x v="9"/>
    <x v="3"/>
    <x v="5"/>
    <x v="0"/>
    <s v="GNR_WT_WIND_OFF"/>
    <n v="2086.3000000000002"/>
    <n v="2.0863"/>
  </r>
  <r>
    <x v="0"/>
    <x v="0"/>
    <x v="0"/>
    <x v="3"/>
    <x v="5"/>
    <s v="DE4-N_A"/>
    <x v="0"/>
    <x v="0"/>
    <x v="0"/>
    <x v="0"/>
    <s v="GNR_ENG_BGAS_BP_E-45"/>
    <n v="0.75"/>
    <n v="7.5000000000000002E-4"/>
  </r>
  <r>
    <x v="0"/>
    <x v="0"/>
    <x v="0"/>
    <x v="3"/>
    <x v="5"/>
    <s v="DE4-N_A"/>
    <x v="0"/>
    <x v="0"/>
    <x v="0"/>
    <x v="0"/>
    <s v="GNR_ST_BGAS_BP_E-38"/>
    <n v="20"/>
    <n v="0.02"/>
  </r>
  <r>
    <x v="0"/>
    <x v="0"/>
    <x v="0"/>
    <x v="3"/>
    <x v="5"/>
    <s v="DE4-N_A"/>
    <x v="0"/>
    <x v="1"/>
    <x v="1"/>
    <x v="0"/>
    <s v="GNR_ENG_BGAS_CND_E-44"/>
    <n v="461.21"/>
    <n v="0.46121000000000001"/>
  </r>
  <r>
    <x v="0"/>
    <x v="0"/>
    <x v="0"/>
    <x v="3"/>
    <x v="5"/>
    <s v="DE4-N_A"/>
    <x v="10"/>
    <x v="0"/>
    <x v="0"/>
    <x v="0"/>
    <s v="GNR_ST_COAL_BP_E-40"/>
    <n v="221"/>
    <n v="0.221"/>
  </r>
  <r>
    <x v="0"/>
    <x v="0"/>
    <x v="0"/>
    <x v="3"/>
    <x v="5"/>
    <s v="DE4-N_A"/>
    <x v="10"/>
    <x v="1"/>
    <x v="1"/>
    <x v="0"/>
    <s v="GNR_ST_COAL_CND_E-46"/>
    <n v="1600"/>
    <n v="1.6"/>
  </r>
  <r>
    <x v="0"/>
    <x v="0"/>
    <x v="0"/>
    <x v="3"/>
    <x v="5"/>
    <s v="DE4-N_A"/>
    <x v="6"/>
    <x v="2"/>
    <x v="2"/>
    <x v="0"/>
    <s v="AGG-DE4-N_ES_ELEC"/>
    <n v="0.82"/>
    <n v="4.0999999999999999E-4"/>
  </r>
  <r>
    <x v="0"/>
    <x v="0"/>
    <x v="0"/>
    <x v="3"/>
    <x v="5"/>
    <s v="DE4-N_A"/>
    <x v="6"/>
    <x v="2"/>
    <x v="8"/>
    <x v="0"/>
    <s v="AGG-DE4-N_RES_WTR_PMP"/>
    <n v="1905.6"/>
    <n v="0.95279999999999998"/>
  </r>
  <r>
    <x v="0"/>
    <x v="0"/>
    <x v="0"/>
    <x v="3"/>
    <x v="5"/>
    <s v="DE4-N_A"/>
    <x v="2"/>
    <x v="0"/>
    <x v="0"/>
    <x v="0"/>
    <s v="GNR_ST_MSW_BP_E-33"/>
    <n v="17"/>
    <n v="1.7000000000000001E-2"/>
  </r>
  <r>
    <x v="0"/>
    <x v="0"/>
    <x v="0"/>
    <x v="3"/>
    <x v="5"/>
    <s v="DE4-N_A"/>
    <x v="3"/>
    <x v="0"/>
    <x v="0"/>
    <x v="0"/>
    <s v="GNR_CC_NGAS_BP_E-57"/>
    <n v="127"/>
    <n v="0.127"/>
  </r>
  <r>
    <x v="0"/>
    <x v="0"/>
    <x v="0"/>
    <x v="3"/>
    <x v="5"/>
    <s v="DE4-N_A"/>
    <x v="3"/>
    <x v="0"/>
    <x v="0"/>
    <x v="0"/>
    <s v="GNR_ST_NGAS_BP_E-39"/>
    <n v="75"/>
    <n v="7.4999999999999997E-2"/>
  </r>
  <r>
    <x v="0"/>
    <x v="0"/>
    <x v="0"/>
    <x v="3"/>
    <x v="5"/>
    <s v="DE4-N_A"/>
    <x v="7"/>
    <x v="3"/>
    <x v="3"/>
    <x v="0"/>
    <s v="GNR_PV_SUN"/>
    <n v="1613.08"/>
    <n v="1.6130800000000001"/>
  </r>
  <r>
    <x v="0"/>
    <x v="0"/>
    <x v="0"/>
    <x v="3"/>
    <x v="5"/>
    <s v="DE4-N_A"/>
    <x v="20"/>
    <x v="1"/>
    <x v="1"/>
    <x v="0"/>
    <s v="GNR_GEO_HEAT_EO"/>
    <n v="0.01"/>
    <n v="1.0000000000000001E-5"/>
  </r>
  <r>
    <x v="0"/>
    <x v="0"/>
    <x v="0"/>
    <x v="3"/>
    <x v="5"/>
    <s v="DE4-N_A"/>
    <x v="8"/>
    <x v="4"/>
    <x v="4"/>
    <x v="0"/>
    <s v="GNR_ROR_WTR"/>
    <n v="4.8499999999999996"/>
    <n v="4.8500000000000001E-3"/>
  </r>
  <r>
    <x v="0"/>
    <x v="0"/>
    <x v="0"/>
    <x v="3"/>
    <x v="5"/>
    <s v="DE4-N_A"/>
    <x v="9"/>
    <x v="3"/>
    <x v="5"/>
    <x v="0"/>
    <s v="GNR_WT_WIND_ONS"/>
    <n v="6037.26"/>
    <n v="6.0372599999999998"/>
  </r>
  <r>
    <x v="0"/>
    <x v="0"/>
    <x v="0"/>
    <x v="3"/>
    <x v="5"/>
    <s v="DE4-N_Offshore_A"/>
    <x v="9"/>
    <x v="3"/>
    <x v="5"/>
    <x v="0"/>
    <s v="GNR_WT_WIND_OFF"/>
    <n v="1800"/>
    <n v="1.8"/>
  </r>
  <r>
    <x v="0"/>
    <x v="0"/>
    <x v="0"/>
    <x v="3"/>
    <x v="6"/>
    <s v="DE4-S_A"/>
    <x v="0"/>
    <x v="0"/>
    <x v="0"/>
    <x v="0"/>
    <s v="GNR_ENG_BGAS_BP_E-45"/>
    <n v="9.24"/>
    <n v="9.2399999999999999E-3"/>
  </r>
  <r>
    <x v="0"/>
    <x v="0"/>
    <x v="0"/>
    <x v="3"/>
    <x v="6"/>
    <s v="DE4-S_A"/>
    <x v="0"/>
    <x v="0"/>
    <x v="0"/>
    <x v="0"/>
    <s v="GNR_ST_BGAS_BP_E-38"/>
    <n v="106.2"/>
    <n v="0.1062"/>
  </r>
  <r>
    <x v="0"/>
    <x v="0"/>
    <x v="0"/>
    <x v="3"/>
    <x v="6"/>
    <s v="DE4-S_A"/>
    <x v="0"/>
    <x v="1"/>
    <x v="1"/>
    <x v="0"/>
    <s v="GNR_ENG_BGAS_CND_E-44"/>
    <n v="1871.04"/>
    <n v="1.87104"/>
  </r>
  <r>
    <x v="0"/>
    <x v="0"/>
    <x v="0"/>
    <x v="3"/>
    <x v="6"/>
    <s v="DE4-S_A"/>
    <x v="10"/>
    <x v="0"/>
    <x v="0"/>
    <x v="0"/>
    <s v="GNR_ST_COAL_BP_E-43"/>
    <n v="3188.6"/>
    <n v="3.1886000000000001"/>
  </r>
  <r>
    <x v="0"/>
    <x v="0"/>
    <x v="0"/>
    <x v="3"/>
    <x v="6"/>
    <s v="DE4-S_A"/>
    <x v="10"/>
    <x v="1"/>
    <x v="1"/>
    <x v="0"/>
    <s v="GNR_ST_COAL_CND_E-44"/>
    <n v="283"/>
    <n v="0.28299999999999997"/>
  </r>
  <r>
    <x v="0"/>
    <x v="0"/>
    <x v="0"/>
    <x v="3"/>
    <x v="6"/>
    <s v="DE4-S_A"/>
    <x v="6"/>
    <x v="2"/>
    <x v="2"/>
    <x v="0"/>
    <s v="AGG-DE4-S_ES_ELEC"/>
    <n v="4.9400000000000004"/>
    <n v="2.47E-3"/>
  </r>
  <r>
    <x v="0"/>
    <x v="0"/>
    <x v="0"/>
    <x v="3"/>
    <x v="6"/>
    <s v="DE4-S_A"/>
    <x v="6"/>
    <x v="2"/>
    <x v="8"/>
    <x v="0"/>
    <s v="AGG-DE4-S_RES_WTR_PMP"/>
    <n v="34608"/>
    <n v="17.303999999999998"/>
  </r>
  <r>
    <x v="0"/>
    <x v="0"/>
    <x v="0"/>
    <x v="3"/>
    <x v="6"/>
    <s v="DE4-S_A"/>
    <x v="2"/>
    <x v="0"/>
    <x v="0"/>
    <x v="0"/>
    <s v="GNR_ST_MSW_BP_E-33"/>
    <n v="106.2"/>
    <n v="0.1062"/>
  </r>
  <r>
    <x v="0"/>
    <x v="0"/>
    <x v="0"/>
    <x v="3"/>
    <x v="6"/>
    <s v="DE4-S_A"/>
    <x v="2"/>
    <x v="1"/>
    <x v="1"/>
    <x v="0"/>
    <s v="GNR_ST_MSW_CND_E-33"/>
    <n v="8.6999999999999993"/>
    <n v="8.6999999999999994E-3"/>
  </r>
  <r>
    <x v="0"/>
    <x v="0"/>
    <x v="0"/>
    <x v="3"/>
    <x v="6"/>
    <s v="DE4-S_A"/>
    <x v="3"/>
    <x v="0"/>
    <x v="0"/>
    <x v="0"/>
    <s v="GNR_CC_NGAS_BP_E-53"/>
    <n v="979.4"/>
    <n v="0.97940000000000005"/>
  </r>
  <r>
    <x v="0"/>
    <x v="0"/>
    <x v="0"/>
    <x v="3"/>
    <x v="6"/>
    <s v="DE4-S_A"/>
    <x v="3"/>
    <x v="0"/>
    <x v="0"/>
    <x v="0"/>
    <s v="GNR_ENG_NGAS_BP_E-46"/>
    <n v="33.1"/>
    <n v="3.3099999999999997E-2"/>
  </r>
  <r>
    <x v="0"/>
    <x v="0"/>
    <x v="0"/>
    <x v="3"/>
    <x v="6"/>
    <s v="DE4-S_A"/>
    <x v="3"/>
    <x v="0"/>
    <x v="0"/>
    <x v="0"/>
    <s v="GNR_ST_NGAS_BP_E-38"/>
    <n v="610.1"/>
    <n v="0.61009999999999998"/>
  </r>
  <r>
    <x v="0"/>
    <x v="0"/>
    <x v="0"/>
    <x v="3"/>
    <x v="6"/>
    <s v="DE4-S_A"/>
    <x v="3"/>
    <x v="1"/>
    <x v="1"/>
    <x v="0"/>
    <s v="GNR_CC_NGAS_CND_E-57"/>
    <n v="1485.6"/>
    <n v="1.4856"/>
  </r>
  <r>
    <x v="0"/>
    <x v="0"/>
    <x v="0"/>
    <x v="3"/>
    <x v="6"/>
    <s v="DE4-S_A"/>
    <x v="7"/>
    <x v="3"/>
    <x v="3"/>
    <x v="0"/>
    <s v="GNR_PV_SUN"/>
    <n v="19821.54"/>
    <n v="19.821539999999999"/>
  </r>
  <r>
    <x v="0"/>
    <x v="0"/>
    <x v="0"/>
    <x v="3"/>
    <x v="6"/>
    <s v="DE4-S_A"/>
    <x v="20"/>
    <x v="1"/>
    <x v="1"/>
    <x v="0"/>
    <s v="GNR_GEO_HEAT_EO"/>
    <n v="44.76"/>
    <n v="4.4760000000000001E-2"/>
  </r>
  <r>
    <x v="0"/>
    <x v="0"/>
    <x v="0"/>
    <x v="3"/>
    <x v="6"/>
    <s v="DE4-S_A"/>
    <x v="8"/>
    <x v="4"/>
    <x v="4"/>
    <x v="0"/>
    <s v="GNR_ROR_WTR"/>
    <n v="7926.79"/>
    <n v="7.9267899999999996"/>
  </r>
  <r>
    <x v="0"/>
    <x v="0"/>
    <x v="0"/>
    <x v="3"/>
    <x v="6"/>
    <s v="DE4-S_A"/>
    <x v="8"/>
    <x v="4"/>
    <x v="7"/>
    <x v="0"/>
    <s v="GNR_RES_WTR_NOPMP"/>
    <n v="124"/>
    <n v="0.124"/>
  </r>
  <r>
    <x v="0"/>
    <x v="0"/>
    <x v="0"/>
    <x v="3"/>
    <x v="6"/>
    <s v="DE4-S_A"/>
    <x v="9"/>
    <x v="3"/>
    <x v="5"/>
    <x v="0"/>
    <s v="GNR_WT_WIND_ONS"/>
    <n v="7317.88"/>
    <n v="7.3178799999999997"/>
  </r>
  <r>
    <x v="0"/>
    <x v="0"/>
    <x v="0"/>
    <x v="3"/>
    <x v="7"/>
    <s v="DE4-W_A"/>
    <x v="0"/>
    <x v="0"/>
    <x v="0"/>
    <x v="0"/>
    <s v="GNR_ENG_BGAS_BP_E-45"/>
    <n v="20.8"/>
    <n v="2.0799999999999999E-2"/>
  </r>
  <r>
    <x v="0"/>
    <x v="0"/>
    <x v="0"/>
    <x v="3"/>
    <x v="7"/>
    <s v="DE4-W_A"/>
    <x v="0"/>
    <x v="0"/>
    <x v="0"/>
    <x v="0"/>
    <s v="GNR_ST_BGAS_BP_E-38"/>
    <n v="40"/>
    <n v="0.04"/>
  </r>
  <r>
    <x v="0"/>
    <x v="0"/>
    <x v="0"/>
    <x v="3"/>
    <x v="7"/>
    <s v="DE4-W_A"/>
    <x v="0"/>
    <x v="1"/>
    <x v="1"/>
    <x v="0"/>
    <s v="GNR_ENG_BGAS_CND_E-44"/>
    <n v="1922.45"/>
    <n v="1.92245"/>
  </r>
  <r>
    <x v="0"/>
    <x v="0"/>
    <x v="0"/>
    <x v="3"/>
    <x v="7"/>
    <s v="DE4-W_A"/>
    <x v="0"/>
    <x v="1"/>
    <x v="1"/>
    <x v="0"/>
    <s v="GNR_ST_BGAS_CND_E-38"/>
    <n v="57.7"/>
    <n v="5.7700000000000001E-2"/>
  </r>
  <r>
    <x v="0"/>
    <x v="0"/>
    <x v="0"/>
    <x v="3"/>
    <x v="7"/>
    <s v="DE4-W_A"/>
    <x v="10"/>
    <x v="0"/>
    <x v="0"/>
    <x v="0"/>
    <s v="GNR_ST_COAL_BP_E-41"/>
    <n v="2144"/>
    <n v="2.1440000000000001"/>
  </r>
  <r>
    <x v="0"/>
    <x v="0"/>
    <x v="0"/>
    <x v="3"/>
    <x v="7"/>
    <s v="DE4-W_A"/>
    <x v="10"/>
    <x v="1"/>
    <x v="1"/>
    <x v="0"/>
    <s v="GNR_ST_COAL_CND_E-45"/>
    <n v="2260"/>
    <n v="2.2599999999999998"/>
  </r>
  <r>
    <x v="0"/>
    <x v="0"/>
    <x v="0"/>
    <x v="3"/>
    <x v="7"/>
    <s v="DE4-W_A"/>
    <x v="6"/>
    <x v="2"/>
    <x v="2"/>
    <x v="0"/>
    <s v="AGG-DE4-W_ES_ELEC"/>
    <n v="6.32"/>
    <n v="3.16E-3"/>
  </r>
  <r>
    <x v="0"/>
    <x v="0"/>
    <x v="0"/>
    <x v="3"/>
    <x v="7"/>
    <s v="DE4-W_A"/>
    <x v="6"/>
    <x v="2"/>
    <x v="8"/>
    <x v="0"/>
    <s v="AGG-DE4-W_RES_WTR_PMP"/>
    <n v="18336"/>
    <n v="9.1679999999999993"/>
  </r>
  <r>
    <x v="0"/>
    <x v="0"/>
    <x v="0"/>
    <x v="3"/>
    <x v="7"/>
    <s v="DE4-W_A"/>
    <x v="11"/>
    <x v="1"/>
    <x v="1"/>
    <x v="0"/>
    <s v="GNR_ST_FUELOIL_CND_E-39"/>
    <n v="24.8"/>
    <n v="2.4799999999999999E-2"/>
  </r>
  <r>
    <x v="0"/>
    <x v="0"/>
    <x v="0"/>
    <x v="3"/>
    <x v="7"/>
    <s v="DE4-W_A"/>
    <x v="19"/>
    <x v="0"/>
    <x v="0"/>
    <x v="0"/>
    <s v="GNR_ST_LIGN_BP_E-37"/>
    <n v="340.4"/>
    <n v="0.34039999999999998"/>
  </r>
  <r>
    <x v="0"/>
    <x v="0"/>
    <x v="0"/>
    <x v="3"/>
    <x v="7"/>
    <s v="DE4-W_A"/>
    <x v="19"/>
    <x v="1"/>
    <x v="1"/>
    <x v="0"/>
    <s v="GNR_ST_LIGN_CND_E-41"/>
    <n v="2752"/>
    <n v="2.7519999999999998"/>
  </r>
  <r>
    <x v="0"/>
    <x v="0"/>
    <x v="0"/>
    <x v="3"/>
    <x v="7"/>
    <s v="DE4-W_A"/>
    <x v="2"/>
    <x v="0"/>
    <x v="0"/>
    <x v="0"/>
    <s v="GNR_ST_MSW_BP_E-33"/>
    <n v="157.5"/>
    <n v="0.1575"/>
  </r>
  <r>
    <x v="0"/>
    <x v="0"/>
    <x v="0"/>
    <x v="3"/>
    <x v="7"/>
    <s v="DE4-W_A"/>
    <x v="2"/>
    <x v="1"/>
    <x v="1"/>
    <x v="0"/>
    <s v="GNR_ST_MSW_CND_E-33"/>
    <n v="72.599999999999994"/>
    <n v="7.2599999999999998E-2"/>
  </r>
  <r>
    <x v="0"/>
    <x v="0"/>
    <x v="0"/>
    <x v="3"/>
    <x v="7"/>
    <s v="DE4-W_A"/>
    <x v="3"/>
    <x v="0"/>
    <x v="0"/>
    <x v="0"/>
    <s v="GNR_CC_NGAS_BP_E-55"/>
    <n v="3205.7"/>
    <n v="3.2057000000000002"/>
  </r>
  <r>
    <x v="0"/>
    <x v="0"/>
    <x v="0"/>
    <x v="3"/>
    <x v="7"/>
    <s v="DE4-W_A"/>
    <x v="3"/>
    <x v="0"/>
    <x v="0"/>
    <x v="0"/>
    <s v="GNR_GT_NGAS_BP_E-39"/>
    <n v="127.2"/>
    <n v="0.12720000000000001"/>
  </r>
  <r>
    <x v="0"/>
    <x v="0"/>
    <x v="0"/>
    <x v="3"/>
    <x v="7"/>
    <s v="DE4-W_A"/>
    <x v="3"/>
    <x v="0"/>
    <x v="0"/>
    <x v="0"/>
    <s v="GNR_ST_NGAS_BP_E-38"/>
    <n v="862.5"/>
    <n v="0.86250000000000004"/>
  </r>
  <r>
    <x v="0"/>
    <x v="0"/>
    <x v="0"/>
    <x v="3"/>
    <x v="7"/>
    <s v="DE4-W_A"/>
    <x v="3"/>
    <x v="1"/>
    <x v="1"/>
    <x v="0"/>
    <s v="GNR_CC_NGAS_CND_E-57"/>
    <n v="2929.5"/>
    <n v="2.9295"/>
  </r>
  <r>
    <x v="0"/>
    <x v="0"/>
    <x v="0"/>
    <x v="3"/>
    <x v="7"/>
    <s v="DE4-W_A"/>
    <x v="3"/>
    <x v="1"/>
    <x v="1"/>
    <x v="0"/>
    <s v="GNR_GT_NGAS_CND_E-40"/>
    <n v="544"/>
    <n v="0.54400000000000004"/>
  </r>
  <r>
    <x v="0"/>
    <x v="0"/>
    <x v="0"/>
    <x v="3"/>
    <x v="7"/>
    <s v="DE4-W_A"/>
    <x v="3"/>
    <x v="1"/>
    <x v="1"/>
    <x v="0"/>
    <s v="GNR_ST_NGAS_CND_E-39"/>
    <n v="39.799999999999997"/>
    <n v="3.9800000000000002E-2"/>
  </r>
  <r>
    <x v="0"/>
    <x v="0"/>
    <x v="0"/>
    <x v="3"/>
    <x v="7"/>
    <s v="DE4-W_A"/>
    <x v="7"/>
    <x v="3"/>
    <x v="3"/>
    <x v="0"/>
    <s v="GNR_PV_SUN"/>
    <n v="9976.25"/>
    <n v="9.9762500000000003"/>
  </r>
  <r>
    <x v="0"/>
    <x v="0"/>
    <x v="0"/>
    <x v="3"/>
    <x v="7"/>
    <s v="DE4-W_A"/>
    <x v="8"/>
    <x v="4"/>
    <x v="4"/>
    <x v="0"/>
    <s v="GNR_ROR_WTR"/>
    <n v="361.5"/>
    <n v="0.36149999999999999"/>
  </r>
  <r>
    <x v="0"/>
    <x v="0"/>
    <x v="0"/>
    <x v="3"/>
    <x v="7"/>
    <s v="DE4-W_A"/>
    <x v="9"/>
    <x v="3"/>
    <x v="5"/>
    <x v="0"/>
    <s v="GNR_WT_WIND_ONS"/>
    <n v="13129.26"/>
    <n v="13.12926"/>
  </r>
  <r>
    <x v="0"/>
    <x v="0"/>
    <x v="0"/>
    <x v="3"/>
    <x v="7"/>
    <s v="DE4-W_Offshore_A"/>
    <x v="9"/>
    <x v="3"/>
    <x v="5"/>
    <x v="0"/>
    <s v="GNR_WT_WIND_OFF"/>
    <n v="5511"/>
    <n v="5.5110000000000001"/>
  </r>
  <r>
    <x v="0"/>
    <x v="0"/>
    <x v="0"/>
    <x v="4"/>
    <x v="8"/>
    <s v="LV_Other_DH"/>
    <x v="0"/>
    <x v="0"/>
    <x v="0"/>
    <x v="0"/>
    <s v="GNR_GT_BGAS_BP_E-30"/>
    <n v="55"/>
    <n v="5.5E-2"/>
  </r>
  <r>
    <x v="0"/>
    <x v="0"/>
    <x v="0"/>
    <x v="4"/>
    <x v="8"/>
    <s v="LV_Other_DH"/>
    <x v="3"/>
    <x v="0"/>
    <x v="0"/>
    <x v="0"/>
    <s v="GNR_ST_NGAS_BP_E-28"/>
    <n v="120.09"/>
    <n v="0.12009"/>
  </r>
  <r>
    <x v="0"/>
    <x v="0"/>
    <x v="0"/>
    <x v="4"/>
    <x v="8"/>
    <s v="LV_Other_DH"/>
    <x v="8"/>
    <x v="4"/>
    <x v="7"/>
    <x v="0"/>
    <s v="GNR_RES_WTR_NOPMP"/>
    <n v="1214"/>
    <n v="1.214"/>
  </r>
  <r>
    <x v="0"/>
    <x v="0"/>
    <x v="0"/>
    <x v="4"/>
    <x v="8"/>
    <s v="LV_Other_DH"/>
    <x v="13"/>
    <x v="0"/>
    <x v="0"/>
    <x v="0"/>
    <s v="GNR_ST_WOOD_BP_E-30"/>
    <n v="54"/>
    <n v="5.3999999999999999E-2"/>
  </r>
  <r>
    <x v="0"/>
    <x v="0"/>
    <x v="0"/>
    <x v="4"/>
    <x v="8"/>
    <s v="LV_RigaR"/>
    <x v="3"/>
    <x v="0"/>
    <x v="0"/>
    <x v="0"/>
    <s v="GNR_ST_NGAS_BP_E-42"/>
    <n v="47.9"/>
    <n v="4.7899999999999998E-2"/>
  </r>
  <r>
    <x v="0"/>
    <x v="0"/>
    <x v="0"/>
    <x v="4"/>
    <x v="8"/>
    <s v="LV_RigaR"/>
    <x v="3"/>
    <x v="0"/>
    <x v="0"/>
    <x v="0"/>
    <s v="RIGA-TEC2_CC_NGAS_BP"/>
    <n v="144"/>
    <n v="0.14399999999999999"/>
  </r>
  <r>
    <x v="0"/>
    <x v="0"/>
    <x v="0"/>
    <x v="4"/>
    <x v="8"/>
    <s v="LV_RigaR"/>
    <x v="3"/>
    <x v="0"/>
    <x v="6"/>
    <x v="0"/>
    <s v="RIGA-TEC2_CC_NGAS_EXT"/>
    <n v="881"/>
    <n v="0.88100000000000001"/>
  </r>
  <r>
    <x v="0"/>
    <x v="0"/>
    <x v="0"/>
    <x v="4"/>
    <x v="8"/>
    <s v="LV_RigaR"/>
    <x v="8"/>
    <x v="4"/>
    <x v="7"/>
    <x v="0"/>
    <s v="GNR_RES_WTR_NOPMP"/>
    <n v="402"/>
    <n v="0.40200000000000002"/>
  </r>
  <r>
    <x v="0"/>
    <x v="0"/>
    <x v="0"/>
    <x v="4"/>
    <x v="8"/>
    <s v="LV_Rural"/>
    <x v="9"/>
    <x v="3"/>
    <x v="5"/>
    <x v="0"/>
    <s v="GNR_WT_WIND_ONS"/>
    <n v="34"/>
    <n v="3.4000000000000002E-2"/>
  </r>
  <r>
    <x v="0"/>
    <x v="0"/>
    <x v="0"/>
    <x v="5"/>
    <x v="9"/>
    <s v="LT_KauU"/>
    <x v="2"/>
    <x v="0"/>
    <x v="0"/>
    <x v="0"/>
    <s v="KAUNAS_ST_MSW_BP"/>
    <n v="24"/>
    <n v="2.4E-2"/>
  </r>
  <r>
    <x v="0"/>
    <x v="0"/>
    <x v="0"/>
    <x v="5"/>
    <x v="9"/>
    <s v="LT_KauU"/>
    <x v="8"/>
    <x v="4"/>
    <x v="4"/>
    <x v="0"/>
    <s v="GNR_ROR_WTR"/>
    <n v="127.8"/>
    <n v="0.1278"/>
  </r>
  <r>
    <x v="0"/>
    <x v="0"/>
    <x v="0"/>
    <x v="5"/>
    <x v="9"/>
    <s v="LT_KlaU"/>
    <x v="7"/>
    <x v="3"/>
    <x v="3"/>
    <x v="0"/>
    <s v="GNR_PV_SUN"/>
    <n v="80"/>
    <n v="0.08"/>
  </r>
  <r>
    <x v="0"/>
    <x v="0"/>
    <x v="0"/>
    <x v="5"/>
    <x v="9"/>
    <s v="LT_KlaU"/>
    <x v="13"/>
    <x v="0"/>
    <x v="0"/>
    <x v="0"/>
    <s v="KLAIPEDA_ST_WOOD_BP"/>
    <n v="20"/>
    <n v="0.02"/>
  </r>
  <r>
    <x v="0"/>
    <x v="0"/>
    <x v="0"/>
    <x v="5"/>
    <x v="9"/>
    <s v="LT_Other_DH"/>
    <x v="0"/>
    <x v="0"/>
    <x v="6"/>
    <x v="0"/>
    <s v="GNR_ENG_BGAS_EXT_E-33"/>
    <n v="39"/>
    <n v="3.9E-2"/>
  </r>
  <r>
    <x v="0"/>
    <x v="0"/>
    <x v="0"/>
    <x v="5"/>
    <x v="9"/>
    <s v="LT_Other_DH"/>
    <x v="11"/>
    <x v="0"/>
    <x v="6"/>
    <x v="0"/>
    <s v="GNR_ST_FUELOIL_EXT_E-22"/>
    <n v="160"/>
    <n v="0.16"/>
  </r>
  <r>
    <x v="0"/>
    <x v="0"/>
    <x v="0"/>
    <x v="5"/>
    <x v="9"/>
    <s v="LT_Other_DH"/>
    <x v="21"/>
    <x v="0"/>
    <x v="0"/>
    <x v="0"/>
    <s v="LIFOSA_ST_HEAT_BP"/>
    <n v="37"/>
    <n v="3.6999999999999998E-2"/>
  </r>
  <r>
    <x v="0"/>
    <x v="0"/>
    <x v="0"/>
    <x v="5"/>
    <x v="9"/>
    <s v="LT_Other_DH"/>
    <x v="3"/>
    <x v="0"/>
    <x v="0"/>
    <x v="0"/>
    <s v="ALYTUS_ENG_NGAS_BP"/>
    <n v="9.1999999999999993"/>
    <n v="9.1999999999999998E-3"/>
  </r>
  <r>
    <x v="0"/>
    <x v="0"/>
    <x v="0"/>
    <x v="5"/>
    <x v="9"/>
    <s v="LT_Other_DH"/>
    <x v="3"/>
    <x v="0"/>
    <x v="0"/>
    <x v="0"/>
    <s v="GNR_ST_GAS_BP-E15"/>
    <n v="20"/>
    <n v="0.02"/>
  </r>
  <r>
    <x v="0"/>
    <x v="0"/>
    <x v="0"/>
    <x v="5"/>
    <x v="9"/>
    <s v="LT_Other_DH"/>
    <x v="3"/>
    <x v="0"/>
    <x v="6"/>
    <x v="0"/>
    <s v="ACHEMA1_ST_NGAS_EXT"/>
    <n v="22"/>
    <n v="2.1999999999999999E-2"/>
  </r>
  <r>
    <x v="0"/>
    <x v="0"/>
    <x v="0"/>
    <x v="5"/>
    <x v="9"/>
    <s v="LT_Other_DH"/>
    <x v="3"/>
    <x v="0"/>
    <x v="6"/>
    <x v="0"/>
    <s v="ACHEMA2_ST_NGAS_EXT"/>
    <n v="47"/>
    <n v="4.7E-2"/>
  </r>
  <r>
    <x v="0"/>
    <x v="0"/>
    <x v="0"/>
    <x v="5"/>
    <x v="9"/>
    <s v="LT_Other_DH"/>
    <x v="14"/>
    <x v="0"/>
    <x v="0"/>
    <x v="0"/>
    <s v="EBAVERE_ST_WOODWST_BP"/>
    <n v="5.4"/>
    <n v="5.4000000000000003E-3"/>
  </r>
  <r>
    <x v="0"/>
    <x v="0"/>
    <x v="0"/>
    <x v="5"/>
    <x v="9"/>
    <s v="LT_Panevezys"/>
    <x v="3"/>
    <x v="0"/>
    <x v="0"/>
    <x v="0"/>
    <s v="GNR_CC_NGAS_BP_E-42"/>
    <n v="35"/>
    <n v="3.5000000000000003E-2"/>
  </r>
  <r>
    <x v="0"/>
    <x v="0"/>
    <x v="0"/>
    <x v="5"/>
    <x v="9"/>
    <s v="LT_Rural"/>
    <x v="9"/>
    <x v="3"/>
    <x v="5"/>
    <x v="0"/>
    <s v="GNR_WT_WIND_ONS"/>
    <n v="236"/>
    <n v="0.23599999999999999"/>
  </r>
  <r>
    <x v="0"/>
    <x v="0"/>
    <x v="0"/>
    <x v="5"/>
    <x v="9"/>
    <s v="LT_SiaU"/>
    <x v="13"/>
    <x v="0"/>
    <x v="0"/>
    <x v="0"/>
    <s v="SIAULIAI_ST_WOOD_BP"/>
    <n v="10.8"/>
    <n v="1.0800000000000001E-2"/>
  </r>
  <r>
    <x v="0"/>
    <x v="0"/>
    <x v="0"/>
    <x v="5"/>
    <x v="9"/>
    <s v="LT_VilU"/>
    <x v="6"/>
    <x v="2"/>
    <x v="8"/>
    <x v="0"/>
    <s v="GNR_ES_WTR_PMP"/>
    <n v="18000"/>
    <n v="9"/>
  </r>
  <r>
    <x v="0"/>
    <x v="0"/>
    <x v="0"/>
    <x v="5"/>
    <x v="9"/>
    <s v="LT_VilU"/>
    <x v="2"/>
    <x v="0"/>
    <x v="0"/>
    <x v="0"/>
    <s v="VILNIUS_ST_MSW_BP"/>
    <n v="92"/>
    <n v="9.1999999999999998E-2"/>
  </r>
  <r>
    <x v="0"/>
    <x v="0"/>
    <x v="0"/>
    <x v="5"/>
    <x v="9"/>
    <s v="LT_VilU"/>
    <x v="3"/>
    <x v="1"/>
    <x v="1"/>
    <x v="0"/>
    <s v="GNR_CC_NGAS_CND_E-58"/>
    <n v="455"/>
    <n v="0.45500000000000002"/>
  </r>
  <r>
    <x v="0"/>
    <x v="0"/>
    <x v="0"/>
    <x v="5"/>
    <x v="9"/>
    <s v="LT_VilU"/>
    <x v="3"/>
    <x v="1"/>
    <x v="1"/>
    <x v="0"/>
    <s v="GNR_ST_NGAS_CON_E-38"/>
    <n v="600"/>
    <n v="0.6"/>
  </r>
  <r>
    <x v="0"/>
    <x v="0"/>
    <x v="0"/>
    <x v="5"/>
    <x v="9"/>
    <s v="LT_VilU"/>
    <x v="13"/>
    <x v="0"/>
    <x v="0"/>
    <x v="0"/>
    <s v="VILNIUS_ST_WOOD_BP"/>
    <n v="15"/>
    <n v="1.4999999999999999E-2"/>
  </r>
  <r>
    <x v="0"/>
    <x v="0"/>
    <x v="0"/>
    <x v="6"/>
    <x v="10"/>
    <s v="NL_A"/>
    <x v="10"/>
    <x v="1"/>
    <x v="1"/>
    <x v="0"/>
    <s v="GNR_ST_COAL_CND_E-40"/>
    <n v="1950"/>
    <n v="1.95"/>
  </r>
  <r>
    <x v="0"/>
    <x v="0"/>
    <x v="0"/>
    <x v="6"/>
    <x v="10"/>
    <s v="NL_A"/>
    <x v="2"/>
    <x v="1"/>
    <x v="1"/>
    <x v="0"/>
    <s v="GNR_ST_MSW_CND_E-40"/>
    <n v="273.60000000000002"/>
    <n v="0.27360000000000001"/>
  </r>
  <r>
    <x v="0"/>
    <x v="0"/>
    <x v="0"/>
    <x v="6"/>
    <x v="10"/>
    <s v="NL_A"/>
    <x v="3"/>
    <x v="1"/>
    <x v="1"/>
    <x v="0"/>
    <s v="GNR_CC_NGAS_CND_E-38"/>
    <n v="8387.6000000000095"/>
    <n v="8.3876000000000097"/>
  </r>
  <r>
    <x v="0"/>
    <x v="0"/>
    <x v="0"/>
    <x v="6"/>
    <x v="10"/>
    <s v="NL_A"/>
    <x v="18"/>
    <x v="1"/>
    <x v="1"/>
    <x v="0"/>
    <s v="GNR_ST_NUCL_CND_E-33"/>
    <n v="515"/>
    <n v="0.51500000000000001"/>
  </r>
  <r>
    <x v="0"/>
    <x v="0"/>
    <x v="0"/>
    <x v="6"/>
    <x v="10"/>
    <s v="NL_A"/>
    <x v="7"/>
    <x v="3"/>
    <x v="3"/>
    <x v="0"/>
    <s v="GNR_PV_SUN"/>
    <n v="714.4"/>
    <n v="0.71440000000000003"/>
  </r>
  <r>
    <x v="0"/>
    <x v="0"/>
    <x v="0"/>
    <x v="6"/>
    <x v="10"/>
    <s v="NL_A"/>
    <x v="8"/>
    <x v="4"/>
    <x v="4"/>
    <x v="0"/>
    <s v="GNR_ROR_WTR"/>
    <n v="38"/>
    <n v="3.7999999999999999E-2"/>
  </r>
  <r>
    <x v="0"/>
    <x v="0"/>
    <x v="0"/>
    <x v="6"/>
    <x v="10"/>
    <s v="NL_A"/>
    <x v="9"/>
    <x v="3"/>
    <x v="5"/>
    <x v="0"/>
    <s v="GNR_WT_WIND_OFF"/>
    <n v="796.18"/>
    <n v="0.79618"/>
  </r>
  <r>
    <x v="0"/>
    <x v="0"/>
    <x v="0"/>
    <x v="6"/>
    <x v="10"/>
    <s v="NL_A"/>
    <x v="9"/>
    <x v="3"/>
    <x v="5"/>
    <x v="0"/>
    <s v="GNR_WT_WIND_ONS"/>
    <n v="2318.04"/>
    <n v="2.3180399999999999"/>
  </r>
  <r>
    <x v="0"/>
    <x v="0"/>
    <x v="0"/>
    <x v="6"/>
    <x v="10"/>
    <s v="NL_A"/>
    <x v="13"/>
    <x v="1"/>
    <x v="1"/>
    <x v="0"/>
    <s v="GNR_ST_WOOD_CND_E-50"/>
    <n v="160"/>
    <n v="0.16"/>
  </r>
  <r>
    <x v="0"/>
    <x v="0"/>
    <x v="0"/>
    <x v="7"/>
    <x v="11"/>
    <s v="NO1_A1"/>
    <x v="8"/>
    <x v="4"/>
    <x v="4"/>
    <x v="0"/>
    <s v="GNR_ROR_WTR"/>
    <n v="2104.1304"/>
    <n v="2.1041303999999998"/>
  </r>
  <r>
    <x v="0"/>
    <x v="0"/>
    <x v="0"/>
    <x v="7"/>
    <x v="11"/>
    <s v="NO1_A1"/>
    <x v="8"/>
    <x v="4"/>
    <x v="7"/>
    <x v="0"/>
    <s v="GNR_RES_WTR_NOPMP_MC-01"/>
    <n v="160"/>
    <n v="0.16"/>
  </r>
  <r>
    <x v="0"/>
    <x v="0"/>
    <x v="0"/>
    <x v="7"/>
    <x v="11"/>
    <s v="NO1_A1"/>
    <x v="8"/>
    <x v="4"/>
    <x v="7"/>
    <x v="0"/>
    <s v="GNR_RES_WTR_NOPMP_MC-02"/>
    <n v="160"/>
    <n v="0.16"/>
  </r>
  <r>
    <x v="0"/>
    <x v="0"/>
    <x v="0"/>
    <x v="7"/>
    <x v="11"/>
    <s v="NO1_A1"/>
    <x v="8"/>
    <x v="4"/>
    <x v="7"/>
    <x v="0"/>
    <s v="GNR_RES_WTR_NOPMP_MC-03"/>
    <n v="160"/>
    <n v="0.16"/>
  </r>
  <r>
    <x v="0"/>
    <x v="0"/>
    <x v="0"/>
    <x v="7"/>
    <x v="11"/>
    <s v="NO1_A1"/>
    <x v="8"/>
    <x v="4"/>
    <x v="7"/>
    <x v="0"/>
    <s v="GNR_RES_WTR_NOPMP_MC-04"/>
    <n v="160"/>
    <n v="0.16"/>
  </r>
  <r>
    <x v="0"/>
    <x v="0"/>
    <x v="0"/>
    <x v="7"/>
    <x v="11"/>
    <s v="NO1_A1"/>
    <x v="8"/>
    <x v="4"/>
    <x v="7"/>
    <x v="0"/>
    <s v="GNR_RES_WTR_NOPMP_MC-05"/>
    <n v="160"/>
    <n v="0.16"/>
  </r>
  <r>
    <x v="0"/>
    <x v="0"/>
    <x v="0"/>
    <x v="7"/>
    <x v="11"/>
    <s v="NO1_A1"/>
    <x v="8"/>
    <x v="4"/>
    <x v="7"/>
    <x v="0"/>
    <s v="GNR_RES_WTR_NOPMP_MC-06"/>
    <n v="160"/>
    <n v="0.16"/>
  </r>
  <r>
    <x v="0"/>
    <x v="0"/>
    <x v="0"/>
    <x v="7"/>
    <x v="11"/>
    <s v="NO1_A1"/>
    <x v="8"/>
    <x v="4"/>
    <x v="7"/>
    <x v="0"/>
    <s v="GNR_RES_WTR_NOPMP_MC-07"/>
    <n v="160"/>
    <n v="0.16"/>
  </r>
  <r>
    <x v="0"/>
    <x v="0"/>
    <x v="0"/>
    <x v="7"/>
    <x v="11"/>
    <s v="NO1_A1"/>
    <x v="8"/>
    <x v="4"/>
    <x v="7"/>
    <x v="0"/>
    <s v="GNR_RES_WTR_NOPMP_MC-08"/>
    <n v="160"/>
    <n v="0.16"/>
  </r>
  <r>
    <x v="0"/>
    <x v="0"/>
    <x v="0"/>
    <x v="7"/>
    <x v="11"/>
    <s v="NO1_A1"/>
    <x v="8"/>
    <x v="4"/>
    <x v="7"/>
    <x v="0"/>
    <s v="GNR_RES_WTR_NOPMP_MC-09"/>
    <n v="160"/>
    <n v="0.16"/>
  </r>
  <r>
    <x v="0"/>
    <x v="0"/>
    <x v="0"/>
    <x v="7"/>
    <x v="11"/>
    <s v="NO1_A1"/>
    <x v="8"/>
    <x v="4"/>
    <x v="7"/>
    <x v="0"/>
    <s v="GNR_RES_WTR_NOPMP_MC-10"/>
    <n v="160"/>
    <n v="0.16"/>
  </r>
  <r>
    <x v="0"/>
    <x v="0"/>
    <x v="0"/>
    <x v="7"/>
    <x v="11"/>
    <s v="NO1_A1"/>
    <x v="9"/>
    <x v="3"/>
    <x v="5"/>
    <x v="0"/>
    <s v="GNR_WT_WIND_ONS"/>
    <n v="262"/>
    <n v="0.26200000000000001"/>
  </r>
  <r>
    <x v="0"/>
    <x v="0"/>
    <x v="0"/>
    <x v="7"/>
    <x v="11"/>
    <s v="NO1_A2"/>
    <x v="2"/>
    <x v="0"/>
    <x v="0"/>
    <x v="0"/>
    <s v="GNR_ST_MSW_BP_CB-20"/>
    <n v="3.4"/>
    <n v="3.3999999999999998E-3"/>
  </r>
  <r>
    <x v="0"/>
    <x v="0"/>
    <x v="0"/>
    <x v="7"/>
    <x v="11"/>
    <s v="NO1_A3"/>
    <x v="2"/>
    <x v="0"/>
    <x v="0"/>
    <x v="0"/>
    <s v="GNR_ST_MSW_BP_CB-20"/>
    <n v="7.7083333333333304"/>
    <n v="7.7083333333333301E-3"/>
  </r>
  <r>
    <x v="0"/>
    <x v="0"/>
    <x v="0"/>
    <x v="7"/>
    <x v="12"/>
    <s v="NO2_A1"/>
    <x v="8"/>
    <x v="4"/>
    <x v="4"/>
    <x v="0"/>
    <s v="GNR_ROR_WTR"/>
    <n v="2274.1580424563399"/>
    <n v="2.2741580424563401"/>
  </r>
  <r>
    <x v="0"/>
    <x v="0"/>
    <x v="0"/>
    <x v="7"/>
    <x v="12"/>
    <s v="NO2_A1"/>
    <x v="8"/>
    <x v="4"/>
    <x v="7"/>
    <x v="0"/>
    <s v="GNR_RES_WTR_NOPMP_MC-01"/>
    <n v="367.19205575436598"/>
    <n v="0.36719205575436598"/>
  </r>
  <r>
    <x v="0"/>
    <x v="0"/>
    <x v="0"/>
    <x v="7"/>
    <x v="12"/>
    <s v="NO2_A1"/>
    <x v="8"/>
    <x v="4"/>
    <x v="7"/>
    <x v="0"/>
    <s v="GNR_RES_WTR_NOPMP_MC-02"/>
    <n v="887.19205575436604"/>
    <n v="0.88719205575436599"/>
  </r>
  <r>
    <x v="0"/>
    <x v="0"/>
    <x v="0"/>
    <x v="7"/>
    <x v="12"/>
    <s v="NO2_A1"/>
    <x v="8"/>
    <x v="4"/>
    <x v="7"/>
    <x v="0"/>
    <s v="GNR_RES_WTR_NOPMP_MC-03"/>
    <n v="887.19205575436604"/>
    <n v="0.88719205575436599"/>
  </r>
  <r>
    <x v="0"/>
    <x v="0"/>
    <x v="0"/>
    <x v="7"/>
    <x v="12"/>
    <s v="NO2_A1"/>
    <x v="8"/>
    <x v="4"/>
    <x v="7"/>
    <x v="0"/>
    <s v="GNR_RES_WTR_NOPMP_MC-04"/>
    <n v="887.19205575436604"/>
    <n v="0.88719205575436599"/>
  </r>
  <r>
    <x v="0"/>
    <x v="0"/>
    <x v="0"/>
    <x v="7"/>
    <x v="12"/>
    <s v="NO2_A1"/>
    <x v="8"/>
    <x v="4"/>
    <x v="7"/>
    <x v="0"/>
    <s v="GNR_RES_WTR_NOPMP_MC-05"/>
    <n v="887.19205575436604"/>
    <n v="0.88719205575436599"/>
  </r>
  <r>
    <x v="0"/>
    <x v="0"/>
    <x v="0"/>
    <x v="7"/>
    <x v="12"/>
    <s v="NO2_A1"/>
    <x v="8"/>
    <x v="4"/>
    <x v="7"/>
    <x v="0"/>
    <s v="GNR_RES_WTR_NOPMP_MC-06"/>
    <n v="887.19205575436604"/>
    <n v="0.88719205575436599"/>
  </r>
  <r>
    <x v="0"/>
    <x v="0"/>
    <x v="0"/>
    <x v="7"/>
    <x v="12"/>
    <s v="NO2_A1"/>
    <x v="8"/>
    <x v="4"/>
    <x v="7"/>
    <x v="0"/>
    <s v="GNR_RES_WTR_NOPMP_MC-07"/>
    <n v="887.19205575436604"/>
    <n v="0.88719205575436599"/>
  </r>
  <r>
    <x v="0"/>
    <x v="0"/>
    <x v="0"/>
    <x v="7"/>
    <x v="12"/>
    <s v="NO2_A1"/>
    <x v="8"/>
    <x v="4"/>
    <x v="7"/>
    <x v="0"/>
    <s v="GNR_RES_WTR_NOPMP_MC-08"/>
    <n v="887.19205575436604"/>
    <n v="0.88719205575436599"/>
  </r>
  <r>
    <x v="0"/>
    <x v="0"/>
    <x v="0"/>
    <x v="7"/>
    <x v="12"/>
    <s v="NO2_A1"/>
    <x v="8"/>
    <x v="4"/>
    <x v="7"/>
    <x v="0"/>
    <s v="GNR_RES_WTR_NOPMP_MC-09"/>
    <n v="887.19205575436604"/>
    <n v="0.88719205575436599"/>
  </r>
  <r>
    <x v="0"/>
    <x v="0"/>
    <x v="0"/>
    <x v="7"/>
    <x v="12"/>
    <s v="NO2_A1"/>
    <x v="8"/>
    <x v="4"/>
    <x v="7"/>
    <x v="0"/>
    <s v="GNR_RES_WTR_NOPMP_MC-10"/>
    <n v="887.19205575436604"/>
    <n v="0.88719205575436599"/>
  </r>
  <r>
    <x v="0"/>
    <x v="0"/>
    <x v="0"/>
    <x v="7"/>
    <x v="12"/>
    <s v="NO2_A1"/>
    <x v="8"/>
    <x v="4"/>
    <x v="7"/>
    <x v="0"/>
    <s v="GNR_RES_WTR_PMP_MC-01"/>
    <n v="520"/>
    <n v="0.52"/>
  </r>
  <r>
    <x v="0"/>
    <x v="0"/>
    <x v="0"/>
    <x v="7"/>
    <x v="12"/>
    <s v="NO2_A1"/>
    <x v="9"/>
    <x v="3"/>
    <x v="5"/>
    <x v="0"/>
    <s v="GNR_WT_WIND_ONS"/>
    <n v="1097.4000000000001"/>
    <n v="1.0973999999999999"/>
  </r>
  <r>
    <x v="0"/>
    <x v="0"/>
    <x v="0"/>
    <x v="7"/>
    <x v="12"/>
    <s v="NO2_A2"/>
    <x v="2"/>
    <x v="0"/>
    <x v="0"/>
    <x v="0"/>
    <s v="GNR_ST_MSW_BP_CB-30"/>
    <n v="4.5"/>
    <n v="4.4999999999999997E-3"/>
  </r>
  <r>
    <x v="0"/>
    <x v="0"/>
    <x v="0"/>
    <x v="7"/>
    <x v="13"/>
    <s v="NO3_A1"/>
    <x v="8"/>
    <x v="4"/>
    <x v="4"/>
    <x v="0"/>
    <s v="GNR_ROR_WTR"/>
    <n v="1831.91056339651"/>
    <n v="1.83191056339651"/>
  </r>
  <r>
    <x v="0"/>
    <x v="0"/>
    <x v="0"/>
    <x v="7"/>
    <x v="13"/>
    <s v="NO3_A1"/>
    <x v="8"/>
    <x v="4"/>
    <x v="7"/>
    <x v="0"/>
    <s v="GNR_RES_WTR_NOPMP_MC-01"/>
    <n v="221.84651366034899"/>
    <n v="0.22184651366034899"/>
  </r>
  <r>
    <x v="0"/>
    <x v="0"/>
    <x v="0"/>
    <x v="7"/>
    <x v="13"/>
    <s v="NO3_A1"/>
    <x v="8"/>
    <x v="4"/>
    <x v="7"/>
    <x v="0"/>
    <s v="GNR_RES_WTR_NOPMP_MC-02"/>
    <n v="282.146513660349"/>
    <n v="0.28214651366034899"/>
  </r>
  <r>
    <x v="0"/>
    <x v="0"/>
    <x v="0"/>
    <x v="7"/>
    <x v="13"/>
    <s v="NO3_A1"/>
    <x v="8"/>
    <x v="4"/>
    <x v="7"/>
    <x v="0"/>
    <s v="GNR_RES_WTR_NOPMP_MC-03"/>
    <n v="282.146513660349"/>
    <n v="0.28214651366034899"/>
  </r>
  <r>
    <x v="0"/>
    <x v="0"/>
    <x v="0"/>
    <x v="7"/>
    <x v="13"/>
    <s v="NO3_A1"/>
    <x v="8"/>
    <x v="4"/>
    <x v="7"/>
    <x v="0"/>
    <s v="GNR_RES_WTR_NOPMP_MC-04"/>
    <n v="282.146513660349"/>
    <n v="0.28214651366034899"/>
  </r>
  <r>
    <x v="0"/>
    <x v="0"/>
    <x v="0"/>
    <x v="7"/>
    <x v="13"/>
    <s v="NO3_A1"/>
    <x v="8"/>
    <x v="4"/>
    <x v="7"/>
    <x v="0"/>
    <s v="GNR_RES_WTR_NOPMP_MC-05"/>
    <n v="282.146513660349"/>
    <n v="0.28214651366034899"/>
  </r>
  <r>
    <x v="0"/>
    <x v="0"/>
    <x v="0"/>
    <x v="7"/>
    <x v="13"/>
    <s v="NO3_A1"/>
    <x v="8"/>
    <x v="4"/>
    <x v="7"/>
    <x v="0"/>
    <s v="GNR_RES_WTR_NOPMP_MC-06"/>
    <n v="282.146513660349"/>
    <n v="0.28214651366034899"/>
  </r>
  <r>
    <x v="0"/>
    <x v="0"/>
    <x v="0"/>
    <x v="7"/>
    <x v="13"/>
    <s v="NO3_A1"/>
    <x v="8"/>
    <x v="4"/>
    <x v="7"/>
    <x v="0"/>
    <s v="GNR_RES_WTR_NOPMP_MC-07"/>
    <n v="282.146513660349"/>
    <n v="0.28214651366034899"/>
  </r>
  <r>
    <x v="0"/>
    <x v="0"/>
    <x v="0"/>
    <x v="7"/>
    <x v="13"/>
    <s v="NO3_A1"/>
    <x v="8"/>
    <x v="4"/>
    <x v="7"/>
    <x v="0"/>
    <s v="GNR_RES_WTR_NOPMP_MC-08"/>
    <n v="282.146513660349"/>
    <n v="0.28214651366034899"/>
  </r>
  <r>
    <x v="0"/>
    <x v="0"/>
    <x v="0"/>
    <x v="7"/>
    <x v="13"/>
    <s v="NO3_A1"/>
    <x v="8"/>
    <x v="4"/>
    <x v="7"/>
    <x v="0"/>
    <s v="GNR_RES_WTR_NOPMP_MC-09"/>
    <n v="282.146513660349"/>
    <n v="0.28214651366034899"/>
  </r>
  <r>
    <x v="0"/>
    <x v="0"/>
    <x v="0"/>
    <x v="7"/>
    <x v="13"/>
    <s v="NO3_A1"/>
    <x v="8"/>
    <x v="4"/>
    <x v="7"/>
    <x v="0"/>
    <s v="GNR_RES_WTR_NOPMP_MC-10"/>
    <n v="282.146513660349"/>
    <n v="0.28214651366034899"/>
  </r>
  <r>
    <x v="0"/>
    <x v="0"/>
    <x v="0"/>
    <x v="7"/>
    <x v="13"/>
    <s v="NO3_A1"/>
    <x v="8"/>
    <x v="4"/>
    <x v="7"/>
    <x v="0"/>
    <s v="GNR_RES_WTR_PMP_MC-01"/>
    <n v="60.3"/>
    <n v="6.0299999999999999E-2"/>
  </r>
  <r>
    <x v="0"/>
    <x v="0"/>
    <x v="0"/>
    <x v="7"/>
    <x v="13"/>
    <s v="NO3_A1"/>
    <x v="9"/>
    <x v="3"/>
    <x v="5"/>
    <x v="0"/>
    <s v="GNR_WT_WIND_ONS"/>
    <n v="765.1"/>
    <n v="0.7651"/>
  </r>
  <r>
    <x v="0"/>
    <x v="0"/>
    <x v="0"/>
    <x v="7"/>
    <x v="13"/>
    <s v="NO3_A2"/>
    <x v="2"/>
    <x v="0"/>
    <x v="0"/>
    <x v="0"/>
    <s v="GNR_ST_MSW_BP_CB-20"/>
    <n v="1.8"/>
    <n v="1.8E-3"/>
  </r>
  <r>
    <x v="0"/>
    <x v="0"/>
    <x v="0"/>
    <x v="7"/>
    <x v="14"/>
    <s v="NO4_A1"/>
    <x v="3"/>
    <x v="0"/>
    <x v="0"/>
    <x v="0"/>
    <s v="GNR_GT_NGAS_BP_E-39"/>
    <n v="215"/>
    <n v="0.215"/>
  </r>
  <r>
    <x v="0"/>
    <x v="0"/>
    <x v="0"/>
    <x v="7"/>
    <x v="14"/>
    <s v="NO4_A1"/>
    <x v="8"/>
    <x v="4"/>
    <x v="4"/>
    <x v="0"/>
    <s v="GNR_ROR_WTR"/>
    <n v="1076.49023219992"/>
    <n v="1.0764902321999199"/>
  </r>
  <r>
    <x v="0"/>
    <x v="0"/>
    <x v="0"/>
    <x v="7"/>
    <x v="14"/>
    <s v="NO4_A1"/>
    <x v="8"/>
    <x v="4"/>
    <x v="7"/>
    <x v="0"/>
    <s v="GNR_RES_WTR_NOPMP_MC-01"/>
    <n v="419.56363678000798"/>
    <n v="0.41956363678000802"/>
  </r>
  <r>
    <x v="0"/>
    <x v="0"/>
    <x v="0"/>
    <x v="7"/>
    <x v="14"/>
    <s v="NO4_A1"/>
    <x v="8"/>
    <x v="4"/>
    <x v="7"/>
    <x v="0"/>
    <s v="GNR_RES_WTR_NOPMP_MC-02"/>
    <n v="419.56363678000798"/>
    <n v="0.41956363678000802"/>
  </r>
  <r>
    <x v="0"/>
    <x v="0"/>
    <x v="0"/>
    <x v="7"/>
    <x v="14"/>
    <s v="NO4_A1"/>
    <x v="8"/>
    <x v="4"/>
    <x v="7"/>
    <x v="0"/>
    <s v="GNR_RES_WTR_NOPMP_MC-03"/>
    <n v="419.56363678000798"/>
    <n v="0.41956363678000802"/>
  </r>
  <r>
    <x v="0"/>
    <x v="0"/>
    <x v="0"/>
    <x v="7"/>
    <x v="14"/>
    <s v="NO4_A1"/>
    <x v="8"/>
    <x v="4"/>
    <x v="7"/>
    <x v="0"/>
    <s v="GNR_RES_WTR_NOPMP_MC-04"/>
    <n v="419.56363678000798"/>
    <n v="0.41956363678000802"/>
  </r>
  <r>
    <x v="0"/>
    <x v="0"/>
    <x v="0"/>
    <x v="7"/>
    <x v="14"/>
    <s v="NO4_A1"/>
    <x v="8"/>
    <x v="4"/>
    <x v="7"/>
    <x v="0"/>
    <s v="GNR_RES_WTR_NOPMP_MC-05"/>
    <n v="419.56363678000798"/>
    <n v="0.41956363678000802"/>
  </r>
  <r>
    <x v="0"/>
    <x v="0"/>
    <x v="0"/>
    <x v="7"/>
    <x v="14"/>
    <s v="NO4_A1"/>
    <x v="8"/>
    <x v="4"/>
    <x v="7"/>
    <x v="0"/>
    <s v="GNR_RES_WTR_NOPMP_MC-06"/>
    <n v="419.56363678000798"/>
    <n v="0.41956363678000802"/>
  </r>
  <r>
    <x v="0"/>
    <x v="0"/>
    <x v="0"/>
    <x v="7"/>
    <x v="14"/>
    <s v="NO4_A1"/>
    <x v="8"/>
    <x v="4"/>
    <x v="7"/>
    <x v="0"/>
    <s v="GNR_RES_WTR_NOPMP_MC-07"/>
    <n v="419.56363678000798"/>
    <n v="0.41956363678000802"/>
  </r>
  <r>
    <x v="0"/>
    <x v="0"/>
    <x v="0"/>
    <x v="7"/>
    <x v="14"/>
    <s v="NO4_A1"/>
    <x v="8"/>
    <x v="4"/>
    <x v="7"/>
    <x v="0"/>
    <s v="GNR_RES_WTR_NOPMP_MC-08"/>
    <n v="419.56363678000798"/>
    <n v="0.41956363678000802"/>
  </r>
  <r>
    <x v="0"/>
    <x v="0"/>
    <x v="0"/>
    <x v="7"/>
    <x v="14"/>
    <s v="NO4_A1"/>
    <x v="8"/>
    <x v="4"/>
    <x v="7"/>
    <x v="0"/>
    <s v="GNR_RES_WTR_NOPMP_MC-09"/>
    <n v="419.56363678000798"/>
    <n v="0.41956363678000802"/>
  </r>
  <r>
    <x v="0"/>
    <x v="0"/>
    <x v="0"/>
    <x v="7"/>
    <x v="14"/>
    <s v="NO4_A1"/>
    <x v="8"/>
    <x v="4"/>
    <x v="7"/>
    <x v="0"/>
    <s v="GNR_RES_WTR_NOPMP_MC-10"/>
    <n v="419.56363678000798"/>
    <n v="0.41956363678000802"/>
  </r>
  <r>
    <x v="0"/>
    <x v="0"/>
    <x v="0"/>
    <x v="7"/>
    <x v="14"/>
    <s v="NO4_A1"/>
    <x v="9"/>
    <x v="3"/>
    <x v="5"/>
    <x v="0"/>
    <s v="GNR_WT_WIND_ONS"/>
    <n v="682.5"/>
    <n v="0.6825"/>
  </r>
  <r>
    <x v="0"/>
    <x v="0"/>
    <x v="0"/>
    <x v="7"/>
    <x v="14"/>
    <s v="NO4_A2"/>
    <x v="2"/>
    <x v="0"/>
    <x v="0"/>
    <x v="0"/>
    <s v="GNR_ST_MSW_BP_CB-20"/>
    <n v="0.1"/>
    <n v="1E-4"/>
  </r>
  <r>
    <x v="0"/>
    <x v="0"/>
    <x v="0"/>
    <x v="7"/>
    <x v="15"/>
    <s v="NO5_A1"/>
    <x v="8"/>
    <x v="4"/>
    <x v="4"/>
    <x v="0"/>
    <s v="GNR_ROR_WTR"/>
    <n v="1878.9904811408401"/>
    <n v="1.87899048114084"/>
  </r>
  <r>
    <x v="0"/>
    <x v="0"/>
    <x v="0"/>
    <x v="7"/>
    <x v="15"/>
    <s v="NO5_A1"/>
    <x v="8"/>
    <x v="4"/>
    <x v="7"/>
    <x v="0"/>
    <s v="GNR_RES_WTR_NOPMP_MC-01"/>
    <n v="154.193241885916"/>
    <n v="0.15419324188591599"/>
  </r>
  <r>
    <x v="0"/>
    <x v="0"/>
    <x v="0"/>
    <x v="7"/>
    <x v="15"/>
    <s v="NO5_A1"/>
    <x v="8"/>
    <x v="4"/>
    <x v="7"/>
    <x v="0"/>
    <s v="GNR_RES_WTR_NOPMP_MC-02"/>
    <n v="598.193241885916"/>
    <n v="0.59819324188591605"/>
  </r>
  <r>
    <x v="0"/>
    <x v="0"/>
    <x v="0"/>
    <x v="7"/>
    <x v="15"/>
    <s v="NO5_A1"/>
    <x v="8"/>
    <x v="4"/>
    <x v="7"/>
    <x v="0"/>
    <s v="GNR_RES_WTR_NOPMP_MC-03"/>
    <n v="598.193241885916"/>
    <n v="0.59819324188591605"/>
  </r>
  <r>
    <x v="0"/>
    <x v="0"/>
    <x v="0"/>
    <x v="7"/>
    <x v="15"/>
    <s v="NO5_A1"/>
    <x v="8"/>
    <x v="4"/>
    <x v="7"/>
    <x v="0"/>
    <s v="GNR_RES_WTR_NOPMP_MC-04"/>
    <n v="598.193241885916"/>
    <n v="0.59819324188591605"/>
  </r>
  <r>
    <x v="0"/>
    <x v="0"/>
    <x v="0"/>
    <x v="7"/>
    <x v="15"/>
    <s v="NO5_A1"/>
    <x v="8"/>
    <x v="4"/>
    <x v="7"/>
    <x v="0"/>
    <s v="GNR_RES_WTR_NOPMP_MC-05"/>
    <n v="598.193241885916"/>
    <n v="0.59819324188591605"/>
  </r>
  <r>
    <x v="0"/>
    <x v="0"/>
    <x v="0"/>
    <x v="7"/>
    <x v="15"/>
    <s v="NO5_A1"/>
    <x v="8"/>
    <x v="4"/>
    <x v="7"/>
    <x v="0"/>
    <s v="GNR_RES_WTR_NOPMP_MC-06"/>
    <n v="598.193241885916"/>
    <n v="0.59819324188591605"/>
  </r>
  <r>
    <x v="0"/>
    <x v="0"/>
    <x v="0"/>
    <x v="7"/>
    <x v="15"/>
    <s v="NO5_A1"/>
    <x v="8"/>
    <x v="4"/>
    <x v="7"/>
    <x v="0"/>
    <s v="GNR_RES_WTR_NOPMP_MC-07"/>
    <n v="598.193241885916"/>
    <n v="0.59819324188591605"/>
  </r>
  <r>
    <x v="0"/>
    <x v="0"/>
    <x v="0"/>
    <x v="7"/>
    <x v="15"/>
    <s v="NO5_A1"/>
    <x v="8"/>
    <x v="4"/>
    <x v="7"/>
    <x v="0"/>
    <s v="GNR_RES_WTR_NOPMP_MC-08"/>
    <n v="598.193241885916"/>
    <n v="0.59819324188591605"/>
  </r>
  <r>
    <x v="0"/>
    <x v="0"/>
    <x v="0"/>
    <x v="7"/>
    <x v="15"/>
    <s v="NO5_A1"/>
    <x v="8"/>
    <x v="4"/>
    <x v="7"/>
    <x v="0"/>
    <s v="GNR_RES_WTR_NOPMP_MC-09"/>
    <n v="598.193241885916"/>
    <n v="0.59819324188591605"/>
  </r>
  <r>
    <x v="0"/>
    <x v="0"/>
    <x v="0"/>
    <x v="7"/>
    <x v="15"/>
    <s v="NO5_A1"/>
    <x v="8"/>
    <x v="4"/>
    <x v="7"/>
    <x v="0"/>
    <s v="GNR_RES_WTR_NOPMP_MC-10"/>
    <n v="598.193241885916"/>
    <n v="0.59819324188591605"/>
  </r>
  <r>
    <x v="0"/>
    <x v="0"/>
    <x v="0"/>
    <x v="7"/>
    <x v="15"/>
    <s v="NO5_A1"/>
    <x v="8"/>
    <x v="4"/>
    <x v="7"/>
    <x v="0"/>
    <s v="GNR_RES_WTR_PMP_MC-01"/>
    <n v="444"/>
    <n v="0.44400000000000001"/>
  </r>
  <r>
    <x v="0"/>
    <x v="0"/>
    <x v="0"/>
    <x v="7"/>
    <x v="15"/>
    <s v="NO5_A2"/>
    <x v="2"/>
    <x v="0"/>
    <x v="0"/>
    <x v="0"/>
    <s v="GNR_ST_MSW_BP_CB-20"/>
    <n v="4.5833333333333304"/>
    <n v="4.5833333333333299E-3"/>
  </r>
  <r>
    <x v="0"/>
    <x v="0"/>
    <x v="0"/>
    <x v="8"/>
    <x v="16"/>
    <s v="PL_A"/>
    <x v="0"/>
    <x v="1"/>
    <x v="1"/>
    <x v="0"/>
    <s v="GNR_ST_BGAS_CND_E-37"/>
    <n v="145.6"/>
    <n v="0.14560000000000001"/>
  </r>
  <r>
    <x v="0"/>
    <x v="0"/>
    <x v="0"/>
    <x v="8"/>
    <x v="16"/>
    <s v="PL_A"/>
    <x v="10"/>
    <x v="0"/>
    <x v="0"/>
    <x v="0"/>
    <s v="BIEL-4_ST_COAL_BP"/>
    <n v="48"/>
    <n v="4.8000000000000001E-2"/>
  </r>
  <r>
    <x v="0"/>
    <x v="0"/>
    <x v="0"/>
    <x v="8"/>
    <x v="16"/>
    <s v="PL_A"/>
    <x v="10"/>
    <x v="0"/>
    <x v="0"/>
    <x v="0"/>
    <s v="CHOR2-1_ST_COAL_BP"/>
    <n v="272"/>
    <n v="0.27200000000000002"/>
  </r>
  <r>
    <x v="0"/>
    <x v="0"/>
    <x v="0"/>
    <x v="8"/>
    <x v="16"/>
    <s v="PL_A"/>
    <x v="10"/>
    <x v="0"/>
    <x v="0"/>
    <x v="0"/>
    <s v="GNR_ST_COAL_BP_E-15"/>
    <n v="272"/>
    <n v="0.27200000000000002"/>
  </r>
  <r>
    <x v="0"/>
    <x v="0"/>
    <x v="0"/>
    <x v="8"/>
    <x v="16"/>
    <s v="PL_A"/>
    <x v="10"/>
    <x v="0"/>
    <x v="0"/>
    <x v="0"/>
    <s v="KARO-2_ST_COAL_BP"/>
    <n v="88"/>
    <n v="8.7999999999999995E-2"/>
  </r>
  <r>
    <x v="0"/>
    <x v="0"/>
    <x v="0"/>
    <x v="8"/>
    <x v="16"/>
    <s v="PL_A"/>
    <x v="10"/>
    <x v="0"/>
    <x v="0"/>
    <x v="0"/>
    <s v="KATO_ST_COAL_BP"/>
    <n v="123"/>
    <n v="0.123"/>
  </r>
  <r>
    <x v="0"/>
    <x v="0"/>
    <x v="0"/>
    <x v="8"/>
    <x v="16"/>
    <s v="PL_A"/>
    <x v="10"/>
    <x v="0"/>
    <x v="0"/>
    <x v="0"/>
    <s v="SIER-1_ST_COAL_BP"/>
    <n v="141"/>
    <n v="0.14099999999999999"/>
  </r>
  <r>
    <x v="0"/>
    <x v="0"/>
    <x v="0"/>
    <x v="8"/>
    <x v="16"/>
    <s v="PL_A"/>
    <x v="10"/>
    <x v="0"/>
    <x v="0"/>
    <x v="0"/>
    <s v="SKAW-1_ST_COAL_BP"/>
    <n v="97"/>
    <n v="9.7000000000000003E-2"/>
  </r>
  <r>
    <x v="0"/>
    <x v="0"/>
    <x v="0"/>
    <x v="8"/>
    <x v="16"/>
    <s v="PL_A"/>
    <x v="10"/>
    <x v="0"/>
    <x v="0"/>
    <x v="0"/>
    <s v="TYCH_ST_COAL_BP"/>
    <n v="36"/>
    <n v="3.5999999999999997E-2"/>
  </r>
  <r>
    <x v="0"/>
    <x v="0"/>
    <x v="0"/>
    <x v="8"/>
    <x v="16"/>
    <s v="PL_A"/>
    <x v="10"/>
    <x v="0"/>
    <x v="0"/>
    <x v="0"/>
    <s v="ZIEL-2_ST_COAL_BP"/>
    <n v="11"/>
    <n v="1.0999999999999999E-2"/>
  </r>
  <r>
    <x v="0"/>
    <x v="0"/>
    <x v="0"/>
    <x v="8"/>
    <x v="16"/>
    <s v="PL_A"/>
    <x v="10"/>
    <x v="0"/>
    <x v="0"/>
    <x v="0"/>
    <s v="ZIEL-4_ST_COAL_BP"/>
    <n v="60"/>
    <n v="0.06"/>
  </r>
  <r>
    <x v="0"/>
    <x v="0"/>
    <x v="0"/>
    <x v="8"/>
    <x v="16"/>
    <s v="PL_A"/>
    <x v="10"/>
    <x v="0"/>
    <x v="6"/>
    <x v="0"/>
    <s v="SIEK-8_ST_COAL_EXT"/>
    <n v="191"/>
    <n v="0.191"/>
  </r>
  <r>
    <x v="0"/>
    <x v="0"/>
    <x v="0"/>
    <x v="8"/>
    <x v="16"/>
    <s v="PL_A"/>
    <x v="10"/>
    <x v="0"/>
    <x v="6"/>
    <x v="0"/>
    <s v="ZABR-2_ST_COAL_EXT"/>
    <n v="30"/>
    <n v="0.03"/>
  </r>
  <r>
    <x v="0"/>
    <x v="0"/>
    <x v="0"/>
    <x v="8"/>
    <x v="16"/>
    <s v="PL_A"/>
    <x v="10"/>
    <x v="0"/>
    <x v="6"/>
    <x v="0"/>
    <s v="ZERA-7_ST_COAL_EXT"/>
    <n v="84"/>
    <n v="8.4000000000000005E-2"/>
  </r>
  <r>
    <x v="0"/>
    <x v="0"/>
    <x v="0"/>
    <x v="8"/>
    <x v="16"/>
    <s v="PL_A"/>
    <x v="10"/>
    <x v="0"/>
    <x v="6"/>
    <x v="0"/>
    <s v="ZERA-8_ST_COAL_EXT"/>
    <n v="84"/>
    <n v="8.4000000000000005E-2"/>
  </r>
  <r>
    <x v="0"/>
    <x v="0"/>
    <x v="0"/>
    <x v="8"/>
    <x v="16"/>
    <s v="PL_A"/>
    <x v="10"/>
    <x v="1"/>
    <x v="1"/>
    <x v="0"/>
    <s v="BIAL-4_ST_COAL_CND"/>
    <n v="21"/>
    <n v="2.1000000000000001E-2"/>
  </r>
  <r>
    <x v="0"/>
    <x v="0"/>
    <x v="0"/>
    <x v="8"/>
    <x v="16"/>
    <s v="PL_A"/>
    <x v="6"/>
    <x v="2"/>
    <x v="8"/>
    <x v="0"/>
    <s v="GNR_ES_WTR_PMP"/>
    <n v="332"/>
    <n v="0.16600000000000001"/>
  </r>
  <r>
    <x v="0"/>
    <x v="0"/>
    <x v="0"/>
    <x v="8"/>
    <x v="16"/>
    <s v="PL_A"/>
    <x v="11"/>
    <x v="0"/>
    <x v="0"/>
    <x v="0"/>
    <s v="GNR_ST_FUELOIL_BP_E-15"/>
    <n v="88.000000000000099"/>
    <n v="8.8000000000000106E-2"/>
  </r>
  <r>
    <x v="0"/>
    <x v="0"/>
    <x v="0"/>
    <x v="8"/>
    <x v="16"/>
    <s v="PL_A"/>
    <x v="2"/>
    <x v="0"/>
    <x v="6"/>
    <x v="0"/>
    <s v="GNR_ST_MSW_BP_E-15"/>
    <n v="13.6"/>
    <n v="1.3599999999999999E-2"/>
  </r>
  <r>
    <x v="0"/>
    <x v="0"/>
    <x v="0"/>
    <x v="8"/>
    <x v="16"/>
    <s v="PL_A"/>
    <x v="3"/>
    <x v="0"/>
    <x v="0"/>
    <x v="0"/>
    <s v="GORZ-4_ST_NGAS_BP"/>
    <n v="52"/>
    <n v="5.1999999999999998E-2"/>
  </r>
  <r>
    <x v="0"/>
    <x v="0"/>
    <x v="0"/>
    <x v="8"/>
    <x v="16"/>
    <s v="PL_A"/>
    <x v="3"/>
    <x v="0"/>
    <x v="0"/>
    <x v="0"/>
    <s v="NOWA-1_ST_NGAS_BP"/>
    <n v="127"/>
    <n v="0.127"/>
  </r>
  <r>
    <x v="0"/>
    <x v="0"/>
    <x v="0"/>
    <x v="8"/>
    <x v="16"/>
    <s v="PL_A"/>
    <x v="3"/>
    <x v="0"/>
    <x v="0"/>
    <x v="0"/>
    <s v="RZES-2_ST_NGAS_BP"/>
    <n v="32"/>
    <n v="3.2000000000000001E-2"/>
  </r>
  <r>
    <x v="0"/>
    <x v="0"/>
    <x v="0"/>
    <x v="8"/>
    <x v="16"/>
    <s v="PL_A"/>
    <x v="3"/>
    <x v="0"/>
    <x v="0"/>
    <x v="0"/>
    <s v="ZIEL-3_ST_NGAS_BP"/>
    <n v="120"/>
    <n v="0.12"/>
  </r>
  <r>
    <x v="0"/>
    <x v="0"/>
    <x v="0"/>
    <x v="8"/>
    <x v="16"/>
    <s v="PL_A"/>
    <x v="3"/>
    <x v="0"/>
    <x v="6"/>
    <x v="0"/>
    <s v="GNR_ST_NGAS_BP_E-15"/>
    <n v="56.8"/>
    <n v="5.6800000000000003E-2"/>
  </r>
  <r>
    <x v="0"/>
    <x v="0"/>
    <x v="0"/>
    <x v="8"/>
    <x v="16"/>
    <s v="PL_A"/>
    <x v="4"/>
    <x v="0"/>
    <x v="0"/>
    <x v="0"/>
    <s v="GNR_ST_STRAW_BP_E-15"/>
    <n v="32.799999999999997"/>
    <n v="3.2800000000000003E-2"/>
  </r>
  <r>
    <x v="0"/>
    <x v="0"/>
    <x v="0"/>
    <x v="8"/>
    <x v="16"/>
    <s v="PL_A"/>
    <x v="4"/>
    <x v="0"/>
    <x v="6"/>
    <x v="0"/>
    <s v="LODZ-3_ST_STRAW_EXT"/>
    <n v="88"/>
    <n v="8.7999999999999995E-2"/>
  </r>
  <r>
    <x v="0"/>
    <x v="0"/>
    <x v="0"/>
    <x v="8"/>
    <x v="16"/>
    <s v="PL_A"/>
    <x v="7"/>
    <x v="3"/>
    <x v="3"/>
    <x v="0"/>
    <s v="GNR_PV_SUN"/>
    <n v="1"/>
    <n v="1E-3"/>
  </r>
  <r>
    <x v="0"/>
    <x v="0"/>
    <x v="0"/>
    <x v="8"/>
    <x v="16"/>
    <s v="PL_A"/>
    <x v="9"/>
    <x v="3"/>
    <x v="5"/>
    <x v="0"/>
    <s v="GNR_WT_WIND_ONS"/>
    <n v="6251"/>
    <n v="6.2510000000000003"/>
  </r>
  <r>
    <x v="0"/>
    <x v="0"/>
    <x v="0"/>
    <x v="8"/>
    <x v="16"/>
    <s v="PL_Rural"/>
    <x v="10"/>
    <x v="0"/>
    <x v="0"/>
    <x v="0"/>
    <s v="SZCZ-1_ST_COAL_BP"/>
    <n v="55"/>
    <n v="5.5E-2"/>
  </r>
  <r>
    <x v="0"/>
    <x v="0"/>
    <x v="0"/>
    <x v="8"/>
    <x v="16"/>
    <s v="PL_Rural"/>
    <x v="10"/>
    <x v="0"/>
    <x v="0"/>
    <x v="0"/>
    <s v="TURO-1_ST_COAL_BP"/>
    <n v="1362"/>
    <n v="1.3620000000000001"/>
  </r>
  <r>
    <x v="0"/>
    <x v="0"/>
    <x v="0"/>
    <x v="8"/>
    <x v="16"/>
    <s v="PL_Rural"/>
    <x v="10"/>
    <x v="1"/>
    <x v="1"/>
    <x v="0"/>
    <s v="LAZI-6_ST_COAL_CND"/>
    <n v="427"/>
    <n v="0.42699999999999999"/>
  </r>
  <r>
    <x v="0"/>
    <x v="0"/>
    <x v="0"/>
    <x v="8"/>
    <x v="16"/>
    <s v="PL_Rural"/>
    <x v="10"/>
    <x v="1"/>
    <x v="1"/>
    <x v="0"/>
    <s v="OPOL-1_ST_COAL_CND"/>
    <n v="358"/>
    <n v="0.35799999999999998"/>
  </r>
  <r>
    <x v="0"/>
    <x v="0"/>
    <x v="0"/>
    <x v="8"/>
    <x v="16"/>
    <s v="PL_Rural"/>
    <x v="19"/>
    <x v="1"/>
    <x v="1"/>
    <x v="0"/>
    <s v="PATN2-1_ST_LIGNITE_CON"/>
    <n v="441"/>
    <n v="0.441"/>
  </r>
  <r>
    <x v="0"/>
    <x v="0"/>
    <x v="0"/>
    <x v="8"/>
    <x v="16"/>
    <s v="PL_Rural"/>
    <x v="18"/>
    <x v="1"/>
    <x v="1"/>
    <x v="0"/>
    <s v="GNR_ST_NUCL_CND_E-33"/>
    <n v="2776"/>
    <n v="2.7759999999999998"/>
  </r>
  <r>
    <x v="0"/>
    <x v="0"/>
    <x v="0"/>
    <x v="8"/>
    <x v="16"/>
    <s v="PL_Rural"/>
    <x v="8"/>
    <x v="4"/>
    <x v="4"/>
    <x v="0"/>
    <s v="GNR_ROR_WTR"/>
    <n v="462"/>
    <n v="0.46200000000000002"/>
  </r>
  <r>
    <x v="0"/>
    <x v="0"/>
    <x v="0"/>
    <x v="9"/>
    <x v="17"/>
    <s v="SE1A"/>
    <x v="8"/>
    <x v="4"/>
    <x v="4"/>
    <x v="0"/>
    <s v="GNR_ROR_WTR"/>
    <n v="1228.2"/>
    <n v="1.2282"/>
  </r>
  <r>
    <x v="0"/>
    <x v="0"/>
    <x v="0"/>
    <x v="9"/>
    <x v="17"/>
    <s v="SE1A"/>
    <x v="8"/>
    <x v="4"/>
    <x v="7"/>
    <x v="0"/>
    <s v="GNR_RES_WTR_NOPMP_MC-01"/>
    <n v="405.5"/>
    <n v="0.40550000000000003"/>
  </r>
  <r>
    <x v="0"/>
    <x v="0"/>
    <x v="0"/>
    <x v="9"/>
    <x v="17"/>
    <s v="SE1A"/>
    <x v="8"/>
    <x v="4"/>
    <x v="7"/>
    <x v="0"/>
    <s v="GNR_RES_WTR_NOPMP_MC-02"/>
    <n v="405.5"/>
    <n v="0.40550000000000003"/>
  </r>
  <r>
    <x v="0"/>
    <x v="0"/>
    <x v="0"/>
    <x v="9"/>
    <x v="17"/>
    <s v="SE1A"/>
    <x v="8"/>
    <x v="4"/>
    <x v="7"/>
    <x v="0"/>
    <s v="GNR_RES_WTR_NOPMP_MC-03"/>
    <n v="405.5"/>
    <n v="0.40550000000000003"/>
  </r>
  <r>
    <x v="0"/>
    <x v="0"/>
    <x v="0"/>
    <x v="9"/>
    <x v="17"/>
    <s v="SE1A"/>
    <x v="8"/>
    <x v="4"/>
    <x v="7"/>
    <x v="0"/>
    <s v="GNR_RES_WTR_NOPMP_MC-04"/>
    <n v="405.5"/>
    <n v="0.40550000000000003"/>
  </r>
  <r>
    <x v="0"/>
    <x v="0"/>
    <x v="0"/>
    <x v="9"/>
    <x v="17"/>
    <s v="SE1A"/>
    <x v="8"/>
    <x v="4"/>
    <x v="7"/>
    <x v="0"/>
    <s v="GNR_RES_WTR_NOPMP_MC-05"/>
    <n v="405.5"/>
    <n v="0.40550000000000003"/>
  </r>
  <r>
    <x v="0"/>
    <x v="0"/>
    <x v="0"/>
    <x v="9"/>
    <x v="17"/>
    <s v="SE1A"/>
    <x v="8"/>
    <x v="4"/>
    <x v="7"/>
    <x v="0"/>
    <s v="GNR_RES_WTR_NOPMP_MC-06"/>
    <n v="405.5"/>
    <n v="0.40550000000000003"/>
  </r>
  <r>
    <x v="0"/>
    <x v="0"/>
    <x v="0"/>
    <x v="9"/>
    <x v="17"/>
    <s v="SE1A"/>
    <x v="8"/>
    <x v="4"/>
    <x v="7"/>
    <x v="0"/>
    <s v="GNR_RES_WTR_NOPMP_MC-07"/>
    <n v="405.5"/>
    <n v="0.40550000000000003"/>
  </r>
  <r>
    <x v="0"/>
    <x v="0"/>
    <x v="0"/>
    <x v="9"/>
    <x v="17"/>
    <s v="SE1A"/>
    <x v="8"/>
    <x v="4"/>
    <x v="7"/>
    <x v="0"/>
    <s v="GNR_RES_WTR_NOPMP_MC-08"/>
    <n v="405.5"/>
    <n v="0.40550000000000003"/>
  </r>
  <r>
    <x v="0"/>
    <x v="0"/>
    <x v="0"/>
    <x v="9"/>
    <x v="17"/>
    <s v="SE1A"/>
    <x v="8"/>
    <x v="4"/>
    <x v="7"/>
    <x v="0"/>
    <s v="GNR_RES_WTR_NOPMP_MC-09"/>
    <n v="405.5"/>
    <n v="0.40550000000000003"/>
  </r>
  <r>
    <x v="0"/>
    <x v="0"/>
    <x v="0"/>
    <x v="9"/>
    <x v="17"/>
    <s v="SE1A"/>
    <x v="8"/>
    <x v="4"/>
    <x v="7"/>
    <x v="0"/>
    <s v="GNR_RES_WTR_NOPMP_MC-10"/>
    <n v="405.5"/>
    <n v="0.40550000000000003"/>
  </r>
  <r>
    <x v="0"/>
    <x v="0"/>
    <x v="0"/>
    <x v="9"/>
    <x v="17"/>
    <s v="SE1A"/>
    <x v="9"/>
    <x v="3"/>
    <x v="5"/>
    <x v="0"/>
    <s v="GNR_WT_WIND_ONS"/>
    <n v="1968.5039999999999"/>
    <n v="1.968504"/>
  </r>
  <r>
    <x v="0"/>
    <x v="0"/>
    <x v="0"/>
    <x v="9"/>
    <x v="17"/>
    <s v="SE1_IND"/>
    <x v="5"/>
    <x v="0"/>
    <x v="0"/>
    <x v="0"/>
    <s v="GNR_IND-ST_WOODCHI_BP_E-71"/>
    <n v="104"/>
    <n v="0.104"/>
  </r>
  <r>
    <x v="0"/>
    <x v="0"/>
    <x v="0"/>
    <x v="9"/>
    <x v="17"/>
    <s v="SE1_medium"/>
    <x v="2"/>
    <x v="0"/>
    <x v="0"/>
    <x v="0"/>
    <s v="GNR_ST_MSW_BP_CB-20"/>
    <n v="14.04"/>
    <n v="1.404E-2"/>
  </r>
  <r>
    <x v="0"/>
    <x v="0"/>
    <x v="0"/>
    <x v="9"/>
    <x v="17"/>
    <s v="SE1_medium"/>
    <x v="16"/>
    <x v="0"/>
    <x v="0"/>
    <x v="0"/>
    <s v="GNR_ST_PEAT_BP_CB-30"/>
    <n v="8.3000000000000007"/>
    <n v="8.3000000000000001E-3"/>
  </r>
  <r>
    <x v="0"/>
    <x v="0"/>
    <x v="0"/>
    <x v="9"/>
    <x v="17"/>
    <s v="SE1_small"/>
    <x v="0"/>
    <x v="1"/>
    <x v="1"/>
    <x v="0"/>
    <s v="GNR_ENG_BGAS_CND_E-35"/>
    <n v="5.1479999999999997"/>
    <n v="5.1479999999999998E-3"/>
  </r>
  <r>
    <x v="0"/>
    <x v="0"/>
    <x v="0"/>
    <x v="9"/>
    <x v="17"/>
    <s v="SE1_small"/>
    <x v="5"/>
    <x v="0"/>
    <x v="0"/>
    <x v="0"/>
    <s v="GNR_ST_WOODCHI_BP_CB-20"/>
    <n v="5.71"/>
    <n v="5.7099999999999998E-3"/>
  </r>
  <r>
    <x v="0"/>
    <x v="0"/>
    <x v="0"/>
    <x v="9"/>
    <x v="18"/>
    <s v="SE2A"/>
    <x v="8"/>
    <x v="4"/>
    <x v="4"/>
    <x v="0"/>
    <s v="GNR_ROR_WTR"/>
    <n v="2920.9877816421299"/>
    <n v="2.9209877816421299"/>
  </r>
  <r>
    <x v="0"/>
    <x v="0"/>
    <x v="0"/>
    <x v="9"/>
    <x v="18"/>
    <s v="SE2A"/>
    <x v="8"/>
    <x v="4"/>
    <x v="7"/>
    <x v="0"/>
    <s v="GNR_RES_WTR_NOPMP_MC-01"/>
    <n v="407.485221835787"/>
    <n v="0.407485221835787"/>
  </r>
  <r>
    <x v="0"/>
    <x v="0"/>
    <x v="0"/>
    <x v="9"/>
    <x v="18"/>
    <s v="SE2A"/>
    <x v="8"/>
    <x v="4"/>
    <x v="7"/>
    <x v="0"/>
    <s v="GNR_RES_WTR_NOPMP_MC-02"/>
    <n v="515.485221835787"/>
    <n v="0.51548522183578704"/>
  </r>
  <r>
    <x v="0"/>
    <x v="0"/>
    <x v="0"/>
    <x v="9"/>
    <x v="18"/>
    <s v="SE2A"/>
    <x v="8"/>
    <x v="4"/>
    <x v="7"/>
    <x v="0"/>
    <s v="GNR_RES_WTR_NOPMP_MC-03"/>
    <n v="515.485221835787"/>
    <n v="0.51548522183578704"/>
  </r>
  <r>
    <x v="0"/>
    <x v="0"/>
    <x v="0"/>
    <x v="9"/>
    <x v="18"/>
    <s v="SE2A"/>
    <x v="8"/>
    <x v="4"/>
    <x v="7"/>
    <x v="0"/>
    <s v="GNR_RES_WTR_NOPMP_MC-04"/>
    <n v="515.485221835787"/>
    <n v="0.51548522183578704"/>
  </r>
  <r>
    <x v="0"/>
    <x v="0"/>
    <x v="0"/>
    <x v="9"/>
    <x v="18"/>
    <s v="SE2A"/>
    <x v="8"/>
    <x v="4"/>
    <x v="7"/>
    <x v="0"/>
    <s v="GNR_RES_WTR_NOPMP_MC-05"/>
    <n v="515.485221835787"/>
    <n v="0.51548522183578704"/>
  </r>
  <r>
    <x v="0"/>
    <x v="0"/>
    <x v="0"/>
    <x v="9"/>
    <x v="18"/>
    <s v="SE2A"/>
    <x v="8"/>
    <x v="4"/>
    <x v="7"/>
    <x v="0"/>
    <s v="GNR_RES_WTR_NOPMP_MC-06"/>
    <n v="515.485221835787"/>
    <n v="0.51548522183578704"/>
  </r>
  <r>
    <x v="0"/>
    <x v="0"/>
    <x v="0"/>
    <x v="9"/>
    <x v="18"/>
    <s v="SE2A"/>
    <x v="8"/>
    <x v="4"/>
    <x v="7"/>
    <x v="0"/>
    <s v="GNR_RES_WTR_NOPMP_MC-07"/>
    <n v="515.485221835787"/>
    <n v="0.51548522183578704"/>
  </r>
  <r>
    <x v="0"/>
    <x v="0"/>
    <x v="0"/>
    <x v="9"/>
    <x v="18"/>
    <s v="SE2A"/>
    <x v="8"/>
    <x v="4"/>
    <x v="7"/>
    <x v="0"/>
    <s v="GNR_RES_WTR_NOPMP_MC-08"/>
    <n v="515.485221835787"/>
    <n v="0.51548522183578704"/>
  </r>
  <r>
    <x v="0"/>
    <x v="0"/>
    <x v="0"/>
    <x v="9"/>
    <x v="18"/>
    <s v="SE2A"/>
    <x v="8"/>
    <x v="4"/>
    <x v="7"/>
    <x v="0"/>
    <s v="GNR_RES_WTR_NOPMP_MC-09"/>
    <n v="515.485221835787"/>
    <n v="0.51548522183578704"/>
  </r>
  <r>
    <x v="0"/>
    <x v="0"/>
    <x v="0"/>
    <x v="9"/>
    <x v="18"/>
    <s v="SE2A"/>
    <x v="8"/>
    <x v="4"/>
    <x v="7"/>
    <x v="0"/>
    <s v="GNR_RES_WTR_NOPMP_MC-10"/>
    <n v="515.485221835787"/>
    <n v="0.51548522183578704"/>
  </r>
  <r>
    <x v="0"/>
    <x v="0"/>
    <x v="0"/>
    <x v="9"/>
    <x v="18"/>
    <s v="SE2A"/>
    <x v="8"/>
    <x v="4"/>
    <x v="7"/>
    <x v="0"/>
    <s v="GNR_RES_WTR_PMP_MC-01"/>
    <n v="108"/>
    <n v="0.108"/>
  </r>
  <r>
    <x v="0"/>
    <x v="0"/>
    <x v="0"/>
    <x v="9"/>
    <x v="18"/>
    <s v="SE2A"/>
    <x v="9"/>
    <x v="3"/>
    <x v="5"/>
    <x v="0"/>
    <s v="GNR_WT_WIND_ONS"/>
    <n v="3742.6660000000002"/>
    <n v="3.7426659999999998"/>
  </r>
  <r>
    <x v="0"/>
    <x v="0"/>
    <x v="0"/>
    <x v="9"/>
    <x v="18"/>
    <s v="SE2_IND"/>
    <x v="5"/>
    <x v="0"/>
    <x v="0"/>
    <x v="0"/>
    <s v="GNR_IND-ST_WOODCHI_BP_E-71"/>
    <n v="218.17"/>
    <n v="0.21817"/>
  </r>
  <r>
    <x v="0"/>
    <x v="0"/>
    <x v="0"/>
    <x v="9"/>
    <x v="18"/>
    <s v="SE2_medium"/>
    <x v="2"/>
    <x v="0"/>
    <x v="0"/>
    <x v="0"/>
    <s v="GNR_ST_MSW_BP_CB-20"/>
    <n v="6.2495911729999998"/>
    <n v="6.2495911730000003E-3"/>
  </r>
  <r>
    <x v="0"/>
    <x v="0"/>
    <x v="0"/>
    <x v="9"/>
    <x v="18"/>
    <s v="SE2_medium"/>
    <x v="2"/>
    <x v="0"/>
    <x v="0"/>
    <x v="0"/>
    <s v="GNR_ST_MSW_BP_CB-40"/>
    <n v="19.32"/>
    <n v="1.932E-2"/>
  </r>
  <r>
    <x v="0"/>
    <x v="0"/>
    <x v="0"/>
    <x v="9"/>
    <x v="18"/>
    <s v="SE2_medium"/>
    <x v="5"/>
    <x v="0"/>
    <x v="0"/>
    <x v="0"/>
    <s v="GNR_ST_WOODCHI_BP_CB-30"/>
    <n v="8.4600000000000009"/>
    <n v="8.4600000000000005E-3"/>
  </r>
  <r>
    <x v="0"/>
    <x v="0"/>
    <x v="0"/>
    <x v="9"/>
    <x v="18"/>
    <s v="SE2_medium"/>
    <x v="5"/>
    <x v="0"/>
    <x v="0"/>
    <x v="0"/>
    <s v="GNR_ST_WOODCHI_BP_CB-40"/>
    <n v="70"/>
    <n v="7.0000000000000007E-2"/>
  </r>
  <r>
    <x v="0"/>
    <x v="0"/>
    <x v="0"/>
    <x v="9"/>
    <x v="18"/>
    <s v="SE2_medium"/>
    <x v="5"/>
    <x v="0"/>
    <x v="0"/>
    <x v="0"/>
    <s v="GNR_ST_WOODCHI_BP_CB-50"/>
    <n v="10.8"/>
    <n v="1.0800000000000001E-2"/>
  </r>
  <r>
    <x v="0"/>
    <x v="0"/>
    <x v="0"/>
    <x v="9"/>
    <x v="18"/>
    <s v="SE2_medium"/>
    <x v="22"/>
    <x v="0"/>
    <x v="0"/>
    <x v="0"/>
    <s v="GNR_ST_WOODPEL_BP_CB-30"/>
    <n v="8"/>
    <n v="8.0000000000000002E-3"/>
  </r>
  <r>
    <x v="0"/>
    <x v="0"/>
    <x v="0"/>
    <x v="9"/>
    <x v="19"/>
    <s v="SE3A"/>
    <x v="11"/>
    <x v="1"/>
    <x v="1"/>
    <x v="0"/>
    <s v="GNR_ST_FUELOIL_CND_E-33"/>
    <n v="500"/>
    <n v="0.5"/>
  </r>
  <r>
    <x v="0"/>
    <x v="0"/>
    <x v="0"/>
    <x v="9"/>
    <x v="19"/>
    <s v="SE3A"/>
    <x v="1"/>
    <x v="1"/>
    <x v="1"/>
    <x v="0"/>
    <s v="GNR_GT_LIGHTOIL_CND_E-24"/>
    <n v="38"/>
    <n v="3.7999999999999999E-2"/>
  </r>
  <r>
    <x v="0"/>
    <x v="0"/>
    <x v="0"/>
    <x v="9"/>
    <x v="19"/>
    <s v="SE3A"/>
    <x v="18"/>
    <x v="1"/>
    <x v="1"/>
    <x v="0"/>
    <s v="GNR_ST_NUCL_CND_E-33"/>
    <n v="6691"/>
    <n v="6.6909999999999998"/>
  </r>
  <r>
    <x v="0"/>
    <x v="0"/>
    <x v="0"/>
    <x v="9"/>
    <x v="19"/>
    <s v="SE3A"/>
    <x v="8"/>
    <x v="4"/>
    <x v="4"/>
    <x v="0"/>
    <s v="GNR_ROR_WTR"/>
    <n v="1298.5899999999999"/>
    <n v="1.2985899999999999"/>
  </r>
  <r>
    <x v="0"/>
    <x v="0"/>
    <x v="0"/>
    <x v="9"/>
    <x v="19"/>
    <s v="SE3A"/>
    <x v="8"/>
    <x v="4"/>
    <x v="7"/>
    <x v="0"/>
    <s v="GNR_RES_WTR_NOPMP_MC-01"/>
    <n v="131.6"/>
    <n v="0.13159999999999999"/>
  </r>
  <r>
    <x v="0"/>
    <x v="0"/>
    <x v="0"/>
    <x v="9"/>
    <x v="19"/>
    <s v="SE3A"/>
    <x v="8"/>
    <x v="4"/>
    <x v="7"/>
    <x v="0"/>
    <s v="GNR_RES_WTR_NOPMP_MC-02"/>
    <n v="131.6"/>
    <n v="0.13159999999999999"/>
  </r>
  <r>
    <x v="0"/>
    <x v="0"/>
    <x v="0"/>
    <x v="9"/>
    <x v="19"/>
    <s v="SE3A"/>
    <x v="8"/>
    <x v="4"/>
    <x v="7"/>
    <x v="0"/>
    <s v="GNR_RES_WTR_NOPMP_MC-03"/>
    <n v="131.6"/>
    <n v="0.13159999999999999"/>
  </r>
  <r>
    <x v="0"/>
    <x v="0"/>
    <x v="0"/>
    <x v="9"/>
    <x v="19"/>
    <s v="SE3A"/>
    <x v="8"/>
    <x v="4"/>
    <x v="7"/>
    <x v="0"/>
    <s v="GNR_RES_WTR_NOPMP_MC-04"/>
    <n v="131.6"/>
    <n v="0.13159999999999999"/>
  </r>
  <r>
    <x v="0"/>
    <x v="0"/>
    <x v="0"/>
    <x v="9"/>
    <x v="19"/>
    <s v="SE3A"/>
    <x v="8"/>
    <x v="4"/>
    <x v="7"/>
    <x v="0"/>
    <s v="GNR_RES_WTR_NOPMP_MC-05"/>
    <n v="131.6"/>
    <n v="0.13159999999999999"/>
  </r>
  <r>
    <x v="0"/>
    <x v="0"/>
    <x v="0"/>
    <x v="9"/>
    <x v="19"/>
    <s v="SE3A"/>
    <x v="8"/>
    <x v="4"/>
    <x v="7"/>
    <x v="0"/>
    <s v="GNR_RES_WTR_NOPMP_MC-06"/>
    <n v="131.6"/>
    <n v="0.13159999999999999"/>
  </r>
  <r>
    <x v="0"/>
    <x v="0"/>
    <x v="0"/>
    <x v="9"/>
    <x v="19"/>
    <s v="SE3A"/>
    <x v="8"/>
    <x v="4"/>
    <x v="7"/>
    <x v="0"/>
    <s v="GNR_RES_WTR_NOPMP_MC-07"/>
    <n v="131.6"/>
    <n v="0.13159999999999999"/>
  </r>
  <r>
    <x v="0"/>
    <x v="0"/>
    <x v="0"/>
    <x v="9"/>
    <x v="19"/>
    <s v="SE3A"/>
    <x v="8"/>
    <x v="4"/>
    <x v="7"/>
    <x v="0"/>
    <s v="GNR_RES_WTR_NOPMP_MC-08"/>
    <n v="131.6"/>
    <n v="0.13159999999999999"/>
  </r>
  <r>
    <x v="0"/>
    <x v="0"/>
    <x v="0"/>
    <x v="9"/>
    <x v="19"/>
    <s v="SE3A"/>
    <x v="8"/>
    <x v="4"/>
    <x v="7"/>
    <x v="0"/>
    <s v="GNR_RES_WTR_NOPMP_MC-09"/>
    <n v="131.6"/>
    <n v="0.13159999999999999"/>
  </r>
  <r>
    <x v="0"/>
    <x v="0"/>
    <x v="0"/>
    <x v="9"/>
    <x v="19"/>
    <s v="SE3A"/>
    <x v="8"/>
    <x v="4"/>
    <x v="7"/>
    <x v="0"/>
    <s v="GNR_RES_WTR_NOPMP_MC-10"/>
    <n v="131.6"/>
    <n v="0.13159999999999999"/>
  </r>
  <r>
    <x v="0"/>
    <x v="0"/>
    <x v="0"/>
    <x v="9"/>
    <x v="19"/>
    <s v="SE3A"/>
    <x v="9"/>
    <x v="3"/>
    <x v="5"/>
    <x v="0"/>
    <s v="GNR_WT_WIND_ONS"/>
    <n v="2779.11"/>
    <n v="2.7791100000000002"/>
  </r>
  <r>
    <x v="0"/>
    <x v="0"/>
    <x v="0"/>
    <x v="9"/>
    <x v="19"/>
    <s v="SE3_IND"/>
    <x v="5"/>
    <x v="0"/>
    <x v="0"/>
    <x v="0"/>
    <s v="GNR_IND-ST_WOODCHI_BP_E-71"/>
    <n v="366.67500000000001"/>
    <n v="0.36667499999999997"/>
  </r>
  <r>
    <x v="0"/>
    <x v="0"/>
    <x v="0"/>
    <x v="9"/>
    <x v="19"/>
    <s v="SE3_large"/>
    <x v="10"/>
    <x v="0"/>
    <x v="6"/>
    <x v="0"/>
    <s v="VARTAN6_ST_COAL_EXT"/>
    <n v="130"/>
    <n v="0.13"/>
  </r>
  <r>
    <x v="0"/>
    <x v="0"/>
    <x v="0"/>
    <x v="9"/>
    <x v="19"/>
    <s v="SE3_large"/>
    <x v="2"/>
    <x v="0"/>
    <x v="0"/>
    <x v="0"/>
    <s v="GNR_ST_MSW_BP_CB-30"/>
    <n v="61.670804330000003"/>
    <n v="6.1670804330000002E-2"/>
  </r>
  <r>
    <x v="0"/>
    <x v="0"/>
    <x v="0"/>
    <x v="9"/>
    <x v="19"/>
    <s v="SE3_large"/>
    <x v="2"/>
    <x v="0"/>
    <x v="6"/>
    <x v="0"/>
    <s v="AROS6_ST_MSW_EXT"/>
    <n v="51"/>
    <n v="5.0999999999999997E-2"/>
  </r>
  <r>
    <x v="0"/>
    <x v="0"/>
    <x v="0"/>
    <x v="9"/>
    <x v="19"/>
    <s v="SE3_large"/>
    <x v="3"/>
    <x v="0"/>
    <x v="0"/>
    <x v="0"/>
    <s v="GNR_CC_NGAS_BP_CB-90"/>
    <n v="261"/>
    <n v="0.26100000000000001"/>
  </r>
  <r>
    <x v="0"/>
    <x v="0"/>
    <x v="0"/>
    <x v="9"/>
    <x v="19"/>
    <s v="SE3_large"/>
    <x v="5"/>
    <x v="0"/>
    <x v="0"/>
    <x v="0"/>
    <s v="GNR_ST_WOODCHI_BP_CB-10"/>
    <n v="13"/>
    <n v="1.2999999999999999E-2"/>
  </r>
  <r>
    <x v="0"/>
    <x v="0"/>
    <x v="0"/>
    <x v="9"/>
    <x v="19"/>
    <s v="SE3_large"/>
    <x v="5"/>
    <x v="0"/>
    <x v="0"/>
    <x v="0"/>
    <s v="GNR_ST_WOODCHI_BP_CB-30"/>
    <n v="20.674617919999999"/>
    <n v="2.0674617919999999E-2"/>
  </r>
  <r>
    <x v="0"/>
    <x v="0"/>
    <x v="0"/>
    <x v="9"/>
    <x v="19"/>
    <s v="SE3_large"/>
    <x v="5"/>
    <x v="0"/>
    <x v="0"/>
    <x v="0"/>
    <s v="GNR_ST_WOODCHI_BP_CB-40"/>
    <n v="137.53065179999999"/>
    <n v="0.13753065179999999"/>
  </r>
  <r>
    <x v="0"/>
    <x v="0"/>
    <x v="0"/>
    <x v="9"/>
    <x v="19"/>
    <s v="SE3_large"/>
    <x v="5"/>
    <x v="0"/>
    <x v="0"/>
    <x v="0"/>
    <s v="GNR_ST_WOODCHI_BP_CB-80"/>
    <n v="82.698471690000005"/>
    <n v="8.2698471689999997E-2"/>
  </r>
  <r>
    <x v="0"/>
    <x v="0"/>
    <x v="0"/>
    <x v="9"/>
    <x v="19"/>
    <s v="SE3_large"/>
    <x v="14"/>
    <x v="0"/>
    <x v="6"/>
    <x v="0"/>
    <s v="AROS7_ST_WOODWST_EXT"/>
    <n v="51"/>
    <n v="5.0999999999999997E-2"/>
  </r>
  <r>
    <x v="0"/>
    <x v="0"/>
    <x v="0"/>
    <x v="9"/>
    <x v="19"/>
    <s v="SE3_medium"/>
    <x v="2"/>
    <x v="0"/>
    <x v="0"/>
    <x v="0"/>
    <s v="GNR_ST_MSW_BP_CB-10"/>
    <n v="10.247999999999999"/>
    <n v="1.0248E-2"/>
  </r>
  <r>
    <x v="0"/>
    <x v="0"/>
    <x v="0"/>
    <x v="9"/>
    <x v="19"/>
    <s v="SE3_medium"/>
    <x v="2"/>
    <x v="0"/>
    <x v="0"/>
    <x v="0"/>
    <s v="GNR_ST_MSW_BP_CB-20"/>
    <n v="6"/>
    <n v="6.0000000000000001E-3"/>
  </r>
  <r>
    <x v="0"/>
    <x v="0"/>
    <x v="0"/>
    <x v="9"/>
    <x v="19"/>
    <s v="SE3_medium"/>
    <x v="2"/>
    <x v="0"/>
    <x v="0"/>
    <x v="0"/>
    <s v="GNR_ST_MSW_BP_CB-30"/>
    <n v="18.3"/>
    <n v="1.83E-2"/>
  </r>
  <r>
    <x v="0"/>
    <x v="0"/>
    <x v="0"/>
    <x v="9"/>
    <x v="19"/>
    <s v="SE3_medium"/>
    <x v="16"/>
    <x v="0"/>
    <x v="0"/>
    <x v="0"/>
    <s v="GNR_ST_PEAT_BP_CB-10"/>
    <n v="5.2"/>
    <n v="5.1999999999999998E-3"/>
  </r>
  <r>
    <x v="0"/>
    <x v="0"/>
    <x v="0"/>
    <x v="9"/>
    <x v="19"/>
    <s v="SE3_medium"/>
    <x v="5"/>
    <x v="0"/>
    <x v="0"/>
    <x v="0"/>
    <s v="GNR_ST_WOODCHI_BP_CB-10"/>
    <n v="1.6"/>
    <n v="1.6000000000000001E-3"/>
  </r>
  <r>
    <x v="0"/>
    <x v="0"/>
    <x v="0"/>
    <x v="9"/>
    <x v="19"/>
    <s v="SE3_medium"/>
    <x v="5"/>
    <x v="0"/>
    <x v="0"/>
    <x v="0"/>
    <s v="GNR_ST_WOODCHI_BP_CB-20"/>
    <n v="9.6471999999999998"/>
    <n v="9.6471999999999999E-3"/>
  </r>
  <r>
    <x v="0"/>
    <x v="0"/>
    <x v="0"/>
    <x v="9"/>
    <x v="19"/>
    <s v="SE3_medium"/>
    <x v="5"/>
    <x v="0"/>
    <x v="0"/>
    <x v="0"/>
    <s v="GNR_ST_WOODCHI_BP_CB-30"/>
    <n v="88.804000000000002"/>
    <n v="8.8803999999999994E-2"/>
  </r>
  <r>
    <x v="0"/>
    <x v="0"/>
    <x v="0"/>
    <x v="9"/>
    <x v="19"/>
    <s v="SE3_medium"/>
    <x v="5"/>
    <x v="0"/>
    <x v="0"/>
    <x v="0"/>
    <s v="GNR_ST_WOODCHI_BP_CB-40"/>
    <n v="110.147497"/>
    <n v="0.110147497"/>
  </r>
  <r>
    <x v="0"/>
    <x v="0"/>
    <x v="0"/>
    <x v="9"/>
    <x v="19"/>
    <s v="SE3_medium"/>
    <x v="14"/>
    <x v="0"/>
    <x v="0"/>
    <x v="0"/>
    <s v="GNR_ST_WOODWST_BP_CB-20"/>
    <n v="5.2210620289999996"/>
    <n v="5.2210620289999997E-3"/>
  </r>
  <r>
    <x v="0"/>
    <x v="0"/>
    <x v="0"/>
    <x v="9"/>
    <x v="19"/>
    <s v="SE3_medium"/>
    <x v="14"/>
    <x v="0"/>
    <x v="0"/>
    <x v="0"/>
    <s v="GNR_ST_WOODWST_BP_CB-30"/>
    <n v="15.31"/>
    <n v="1.5310000000000001E-2"/>
  </r>
  <r>
    <x v="0"/>
    <x v="0"/>
    <x v="0"/>
    <x v="9"/>
    <x v="19"/>
    <s v="SE3_medium"/>
    <x v="14"/>
    <x v="0"/>
    <x v="0"/>
    <x v="0"/>
    <s v="GNR_ST_WOODWST_BP_CB-40"/>
    <n v="94"/>
    <n v="9.4E-2"/>
  </r>
  <r>
    <x v="0"/>
    <x v="0"/>
    <x v="0"/>
    <x v="9"/>
    <x v="19"/>
    <s v="SE3_small"/>
    <x v="2"/>
    <x v="0"/>
    <x v="0"/>
    <x v="0"/>
    <s v="GNR_ST_MSW_BP_CB-20"/>
    <n v="2"/>
    <n v="2E-3"/>
  </r>
  <r>
    <x v="0"/>
    <x v="0"/>
    <x v="0"/>
    <x v="9"/>
    <x v="19"/>
    <s v="SE3_small"/>
    <x v="5"/>
    <x v="0"/>
    <x v="0"/>
    <x v="0"/>
    <s v="GNR_ST_WOODCHI_BP_CB-10"/>
    <n v="2.6"/>
    <n v="2.5999999999999999E-3"/>
  </r>
  <r>
    <x v="0"/>
    <x v="0"/>
    <x v="0"/>
    <x v="9"/>
    <x v="19"/>
    <s v="SE3_small"/>
    <x v="5"/>
    <x v="0"/>
    <x v="0"/>
    <x v="0"/>
    <s v="GNR_ST_WOODCHI_BP_CB-20"/>
    <n v="3.29"/>
    <n v="3.29E-3"/>
  </r>
  <r>
    <x v="0"/>
    <x v="0"/>
    <x v="0"/>
    <x v="9"/>
    <x v="19"/>
    <s v="SE3_small"/>
    <x v="5"/>
    <x v="0"/>
    <x v="0"/>
    <x v="0"/>
    <s v="GNR_ST_WOODCHI_BP_CB-30"/>
    <n v="3.99"/>
    <n v="3.9899999999999996E-3"/>
  </r>
  <r>
    <x v="0"/>
    <x v="0"/>
    <x v="0"/>
    <x v="9"/>
    <x v="19"/>
    <s v="SE3_small"/>
    <x v="14"/>
    <x v="0"/>
    <x v="0"/>
    <x v="0"/>
    <s v="GNR_ST_WOODWST_BP_CB-20"/>
    <n v="2"/>
    <n v="2E-3"/>
  </r>
  <r>
    <x v="0"/>
    <x v="0"/>
    <x v="0"/>
    <x v="9"/>
    <x v="20"/>
    <s v="SE4A"/>
    <x v="8"/>
    <x v="4"/>
    <x v="4"/>
    <x v="0"/>
    <s v="GNR_ROR_WTR"/>
    <n v="189.33699336621899"/>
    <n v="0.18933699336621901"/>
  </r>
  <r>
    <x v="0"/>
    <x v="0"/>
    <x v="0"/>
    <x v="9"/>
    <x v="20"/>
    <s v="SE4A"/>
    <x v="8"/>
    <x v="4"/>
    <x v="7"/>
    <x v="0"/>
    <s v="GNR_RES_WTR_NOPMP_MC-01"/>
    <n v="15.287300663378099"/>
    <n v="1.5287300663378099E-2"/>
  </r>
  <r>
    <x v="0"/>
    <x v="0"/>
    <x v="0"/>
    <x v="9"/>
    <x v="20"/>
    <s v="SE4A"/>
    <x v="8"/>
    <x v="4"/>
    <x v="7"/>
    <x v="0"/>
    <s v="GNR_RES_WTR_NOPMP_MC-02"/>
    <n v="15.287300663378099"/>
    <n v="1.5287300663378099E-2"/>
  </r>
  <r>
    <x v="0"/>
    <x v="0"/>
    <x v="0"/>
    <x v="9"/>
    <x v="20"/>
    <s v="SE4A"/>
    <x v="8"/>
    <x v="4"/>
    <x v="7"/>
    <x v="0"/>
    <s v="GNR_RES_WTR_NOPMP_MC-03"/>
    <n v="15.287300663378099"/>
    <n v="1.5287300663378099E-2"/>
  </r>
  <r>
    <x v="0"/>
    <x v="0"/>
    <x v="0"/>
    <x v="9"/>
    <x v="20"/>
    <s v="SE4A"/>
    <x v="8"/>
    <x v="4"/>
    <x v="7"/>
    <x v="0"/>
    <s v="GNR_RES_WTR_NOPMP_MC-04"/>
    <n v="15.287300663378099"/>
    <n v="1.5287300663378099E-2"/>
  </r>
  <r>
    <x v="0"/>
    <x v="0"/>
    <x v="0"/>
    <x v="9"/>
    <x v="20"/>
    <s v="SE4A"/>
    <x v="8"/>
    <x v="4"/>
    <x v="7"/>
    <x v="0"/>
    <s v="GNR_RES_WTR_NOPMP_MC-05"/>
    <n v="15.287300663378099"/>
    <n v="1.5287300663378099E-2"/>
  </r>
  <r>
    <x v="0"/>
    <x v="0"/>
    <x v="0"/>
    <x v="9"/>
    <x v="20"/>
    <s v="SE4A"/>
    <x v="8"/>
    <x v="4"/>
    <x v="7"/>
    <x v="0"/>
    <s v="GNR_RES_WTR_NOPMP_MC-06"/>
    <n v="15.287300663378099"/>
    <n v="1.5287300663378099E-2"/>
  </r>
  <r>
    <x v="0"/>
    <x v="0"/>
    <x v="0"/>
    <x v="9"/>
    <x v="20"/>
    <s v="SE4A"/>
    <x v="8"/>
    <x v="4"/>
    <x v="7"/>
    <x v="0"/>
    <s v="GNR_RES_WTR_NOPMP_MC-07"/>
    <n v="15.287300663378099"/>
    <n v="1.5287300663378099E-2"/>
  </r>
  <r>
    <x v="0"/>
    <x v="0"/>
    <x v="0"/>
    <x v="9"/>
    <x v="20"/>
    <s v="SE4A"/>
    <x v="8"/>
    <x v="4"/>
    <x v="7"/>
    <x v="0"/>
    <s v="GNR_RES_WTR_NOPMP_MC-08"/>
    <n v="15.287300663378099"/>
    <n v="1.5287300663378099E-2"/>
  </r>
  <r>
    <x v="0"/>
    <x v="0"/>
    <x v="0"/>
    <x v="9"/>
    <x v="20"/>
    <s v="SE4A"/>
    <x v="8"/>
    <x v="4"/>
    <x v="7"/>
    <x v="0"/>
    <s v="GNR_RES_WTR_NOPMP_MC-09"/>
    <n v="15.287300663378099"/>
    <n v="1.5287300663378099E-2"/>
  </r>
  <r>
    <x v="0"/>
    <x v="0"/>
    <x v="0"/>
    <x v="9"/>
    <x v="20"/>
    <s v="SE4A"/>
    <x v="8"/>
    <x v="4"/>
    <x v="7"/>
    <x v="0"/>
    <s v="GNR_RES_WTR_NOPMP_MC-10"/>
    <n v="15.287300663378099"/>
    <n v="1.5287300663378099E-2"/>
  </r>
  <r>
    <x v="0"/>
    <x v="0"/>
    <x v="0"/>
    <x v="9"/>
    <x v="20"/>
    <s v="SE4A"/>
    <x v="9"/>
    <x v="3"/>
    <x v="5"/>
    <x v="0"/>
    <s v="GNR_WT_WIND_ONS"/>
    <n v="1481.2149999999999"/>
    <n v="1.4812149999999999"/>
  </r>
  <r>
    <x v="0"/>
    <x v="0"/>
    <x v="0"/>
    <x v="9"/>
    <x v="20"/>
    <s v="SE4_IND"/>
    <x v="5"/>
    <x v="0"/>
    <x v="0"/>
    <x v="0"/>
    <s v="GNR_IND-ST_WOODCHI_BP_E-71"/>
    <n v="252.7"/>
    <n v="0.25269999999999998"/>
  </r>
  <r>
    <x v="0"/>
    <x v="0"/>
    <x v="0"/>
    <x v="9"/>
    <x v="20"/>
    <s v="SE4_large"/>
    <x v="2"/>
    <x v="0"/>
    <x v="0"/>
    <x v="0"/>
    <s v="GNR_ST_MSW_BP_CB-30"/>
    <n v="19.853541740000001"/>
    <n v="1.9853541740000001E-2"/>
  </r>
  <r>
    <x v="0"/>
    <x v="0"/>
    <x v="0"/>
    <x v="9"/>
    <x v="20"/>
    <s v="SE4_large"/>
    <x v="3"/>
    <x v="0"/>
    <x v="6"/>
    <x v="0"/>
    <s v="ORESUND_CC_NGAS_EXT"/>
    <n v="444"/>
    <n v="0.44400000000000001"/>
  </r>
  <r>
    <x v="0"/>
    <x v="0"/>
    <x v="0"/>
    <x v="9"/>
    <x v="20"/>
    <s v="SE4_medium"/>
    <x v="2"/>
    <x v="0"/>
    <x v="0"/>
    <x v="0"/>
    <s v="GNR_ST_MSW_BP_CB-30"/>
    <n v="31.53148358"/>
    <n v="3.1531483579999998E-2"/>
  </r>
  <r>
    <x v="0"/>
    <x v="0"/>
    <x v="0"/>
    <x v="9"/>
    <x v="20"/>
    <s v="SE4_medium"/>
    <x v="5"/>
    <x v="0"/>
    <x v="0"/>
    <x v="0"/>
    <s v="GNR_ST_WOODCHI_BP_CB-10"/>
    <n v="2.8665630919999998"/>
    <n v="2.866563092E-3"/>
  </r>
  <r>
    <x v="0"/>
    <x v="0"/>
    <x v="0"/>
    <x v="9"/>
    <x v="20"/>
    <s v="SE4_medium"/>
    <x v="5"/>
    <x v="0"/>
    <x v="0"/>
    <x v="0"/>
    <s v="GNR_ST_WOODCHI_BP_CB-20"/>
    <n v="6.1"/>
    <n v="6.1000000000000004E-3"/>
  </r>
  <r>
    <x v="0"/>
    <x v="0"/>
    <x v="0"/>
    <x v="9"/>
    <x v="20"/>
    <s v="SE4_medium"/>
    <x v="5"/>
    <x v="0"/>
    <x v="0"/>
    <x v="0"/>
    <s v="GNR_ST_WOODCHI_BP_CB-30"/>
    <n v="41.0102555"/>
    <n v="4.1010255500000002E-2"/>
  </r>
  <r>
    <x v="0"/>
    <x v="0"/>
    <x v="0"/>
    <x v="9"/>
    <x v="20"/>
    <s v="SE4_medium"/>
    <x v="5"/>
    <x v="0"/>
    <x v="0"/>
    <x v="0"/>
    <s v="GNR_ST_WOODCHI_BP_CB-40"/>
    <n v="46.072481240000002"/>
    <n v="4.6072481239999998E-2"/>
  </r>
  <r>
    <x v="0"/>
    <x v="0"/>
    <x v="0"/>
    <x v="9"/>
    <x v="20"/>
    <s v="SE4_medium"/>
    <x v="5"/>
    <x v="0"/>
    <x v="0"/>
    <x v="0"/>
    <s v="GNR_ST_WOODCHI_BP_CB-60"/>
    <n v="37"/>
    <n v="3.6999999999999998E-2"/>
  </r>
  <r>
    <x v="0"/>
    <x v="0"/>
    <x v="0"/>
    <x v="10"/>
    <x v="21"/>
    <s v="UK_A"/>
    <x v="0"/>
    <x v="1"/>
    <x v="1"/>
    <x v="0"/>
    <s v="GNR_ST_BGAS_CND_E-40"/>
    <n v="491.6"/>
    <n v="0.49159999999999998"/>
  </r>
  <r>
    <x v="0"/>
    <x v="0"/>
    <x v="0"/>
    <x v="10"/>
    <x v="21"/>
    <s v="UK_A"/>
    <x v="0"/>
    <x v="1"/>
    <x v="1"/>
    <x v="0"/>
    <s v="GNR_ST_BGAS_CND_E-45"/>
    <n v="960.400000000001"/>
    <n v="0.96040000000000103"/>
  </r>
  <r>
    <x v="0"/>
    <x v="0"/>
    <x v="0"/>
    <x v="10"/>
    <x v="21"/>
    <s v="UK_A"/>
    <x v="10"/>
    <x v="1"/>
    <x v="1"/>
    <x v="0"/>
    <s v="GNR_ST_COAL_CND_E-35"/>
    <n v="4649.2"/>
    <n v="4.6492000000000004"/>
  </r>
  <r>
    <x v="0"/>
    <x v="0"/>
    <x v="0"/>
    <x v="10"/>
    <x v="21"/>
    <s v="UK_A"/>
    <x v="6"/>
    <x v="2"/>
    <x v="8"/>
    <x v="0"/>
    <s v="GNR_ES_WTR_PMP"/>
    <n v="506"/>
    <n v="0.253"/>
  </r>
  <r>
    <x v="0"/>
    <x v="0"/>
    <x v="0"/>
    <x v="10"/>
    <x v="21"/>
    <s v="UK_A"/>
    <x v="2"/>
    <x v="1"/>
    <x v="1"/>
    <x v="0"/>
    <s v="GNR_ST_MSW_CND_E-40"/>
    <n v="322.39999999999998"/>
    <n v="0.32240000000000002"/>
  </r>
  <r>
    <x v="0"/>
    <x v="0"/>
    <x v="0"/>
    <x v="10"/>
    <x v="21"/>
    <s v="UK_A"/>
    <x v="3"/>
    <x v="1"/>
    <x v="1"/>
    <x v="0"/>
    <s v="GNR_CC_NGAS_CND_E-47"/>
    <n v="5811.2"/>
    <n v="5.8112000000000004"/>
  </r>
  <r>
    <x v="0"/>
    <x v="0"/>
    <x v="0"/>
    <x v="10"/>
    <x v="21"/>
    <s v="UK_A"/>
    <x v="3"/>
    <x v="1"/>
    <x v="1"/>
    <x v="0"/>
    <s v="GNR_CC_NGAS_CND_E-52"/>
    <n v="2780"/>
    <n v="2.78"/>
  </r>
  <r>
    <x v="0"/>
    <x v="0"/>
    <x v="0"/>
    <x v="10"/>
    <x v="21"/>
    <s v="UK_A"/>
    <x v="3"/>
    <x v="1"/>
    <x v="1"/>
    <x v="0"/>
    <s v="GNR_CC_NGAS_CND_E-56"/>
    <n v="3624"/>
    <n v="3.6240000000000001"/>
  </r>
  <r>
    <x v="0"/>
    <x v="0"/>
    <x v="0"/>
    <x v="10"/>
    <x v="21"/>
    <s v="UK_A"/>
    <x v="3"/>
    <x v="1"/>
    <x v="1"/>
    <x v="0"/>
    <s v="GNR_GT_NGAS_CND_E-33"/>
    <n v="597.6"/>
    <n v="0.59760000000000002"/>
  </r>
  <r>
    <x v="0"/>
    <x v="0"/>
    <x v="0"/>
    <x v="10"/>
    <x v="21"/>
    <s v="UK_A"/>
    <x v="3"/>
    <x v="1"/>
    <x v="1"/>
    <x v="0"/>
    <s v="GNR_GT_NGAS_CND_E-35"/>
    <n v="430"/>
    <n v="0.43"/>
  </r>
  <r>
    <x v="0"/>
    <x v="0"/>
    <x v="0"/>
    <x v="10"/>
    <x v="21"/>
    <s v="UK_A"/>
    <x v="3"/>
    <x v="1"/>
    <x v="1"/>
    <x v="0"/>
    <s v="GNR_GT_NGAS_CND_E-38"/>
    <n v="776.4"/>
    <n v="0.77639999999999998"/>
  </r>
  <r>
    <x v="0"/>
    <x v="0"/>
    <x v="0"/>
    <x v="10"/>
    <x v="21"/>
    <s v="UK_A"/>
    <x v="3"/>
    <x v="1"/>
    <x v="1"/>
    <x v="0"/>
    <s v="GNR_GT_NGAS_CND_E-41"/>
    <n v="236"/>
    <n v="0.23599999999999999"/>
  </r>
  <r>
    <x v="0"/>
    <x v="0"/>
    <x v="0"/>
    <x v="10"/>
    <x v="21"/>
    <s v="UK_A"/>
    <x v="18"/>
    <x v="1"/>
    <x v="1"/>
    <x v="0"/>
    <s v="GNR_ST_NUCL_CND_E-33"/>
    <n v="10216"/>
    <n v="10.215999999999999"/>
  </r>
  <r>
    <x v="0"/>
    <x v="0"/>
    <x v="0"/>
    <x v="10"/>
    <x v="21"/>
    <s v="UK_A"/>
    <x v="7"/>
    <x v="3"/>
    <x v="3"/>
    <x v="0"/>
    <s v="GNR_PV_SUN"/>
    <n v="4933.12"/>
    <n v="4.9331199999999997"/>
  </r>
  <r>
    <x v="0"/>
    <x v="0"/>
    <x v="0"/>
    <x v="10"/>
    <x v="21"/>
    <s v="UK_A"/>
    <x v="8"/>
    <x v="4"/>
    <x v="4"/>
    <x v="0"/>
    <s v="GNR_ROR_WTR"/>
    <n v="1742"/>
    <n v="1.742"/>
  </r>
  <r>
    <x v="0"/>
    <x v="0"/>
    <x v="0"/>
    <x v="10"/>
    <x v="21"/>
    <s v="UK_A"/>
    <x v="9"/>
    <x v="3"/>
    <x v="5"/>
    <x v="0"/>
    <s v="GNR_WT_WIND_ONS"/>
    <n v="7786.02"/>
    <n v="7.7860199999999997"/>
  </r>
  <r>
    <x v="0"/>
    <x v="0"/>
    <x v="0"/>
    <x v="10"/>
    <x v="21"/>
    <s v="UK_Offshore"/>
    <x v="9"/>
    <x v="3"/>
    <x v="5"/>
    <x v="0"/>
    <s v="GNR_WT_WIND_OFF"/>
    <n v="4129.42"/>
    <n v="4.1294199999999996"/>
  </r>
</pivotCacheRecords>
</file>

<file path=xl/pivotCache/pivotCacheRecords18.xml><?xml version="1.0" encoding="utf-8"?>
<pivotCacheRecords xmlns="http://schemas.openxmlformats.org/spreadsheetml/2006/main" xmlns:r="http://schemas.openxmlformats.org/officeDocument/2006/relationships" count="781">
  <r>
    <x v="0"/>
    <x v="0"/>
    <x v="0"/>
    <x v="0"/>
    <x v="0"/>
    <s v="DK1_Large"/>
    <x v="0"/>
    <x v="0"/>
    <x v="0"/>
    <x v="0"/>
    <s v="GNR_ENG_BGAS_BP_E-36"/>
    <n v="1.0384615384615401"/>
    <n v="1.03846153846154E-3"/>
  </r>
  <r>
    <x v="0"/>
    <x v="0"/>
    <x v="0"/>
    <x v="0"/>
    <x v="0"/>
    <s v="DK1_Large"/>
    <x v="0"/>
    <x v="0"/>
    <x v="0"/>
    <x v="0"/>
    <s v="GNR_ENG_BGAS_BP_E-37"/>
    <n v="0.64102564102564097"/>
    <n v="6.4102564102564103E-4"/>
  </r>
  <r>
    <x v="0"/>
    <x v="0"/>
    <x v="0"/>
    <x v="0"/>
    <x v="0"/>
    <s v="DK1_Large"/>
    <x v="0"/>
    <x v="0"/>
    <x v="0"/>
    <x v="0"/>
    <s v="GNR_ENG_BGAS_BP_E-39"/>
    <n v="4.3269230769230802"/>
    <n v="4.3269230769230798E-3"/>
  </r>
  <r>
    <x v="0"/>
    <x v="0"/>
    <x v="0"/>
    <x v="0"/>
    <x v="0"/>
    <s v="DK1_Large"/>
    <x v="0"/>
    <x v="0"/>
    <x v="0"/>
    <x v="0"/>
    <s v="GNR_ENG_BGAS_BP_E-40"/>
    <n v="1.5935897435897399"/>
    <n v="1.59358974358974E-3"/>
  </r>
  <r>
    <x v="0"/>
    <x v="0"/>
    <x v="0"/>
    <x v="0"/>
    <x v="0"/>
    <s v="DK1_Large"/>
    <x v="0"/>
    <x v="0"/>
    <x v="0"/>
    <x v="0"/>
    <s v="GNR_ENG_BGAS_BP_E-41"/>
    <n v="3.4320512820512801"/>
    <n v="3.4320512820512801E-3"/>
  </r>
  <r>
    <x v="0"/>
    <x v="0"/>
    <x v="0"/>
    <x v="0"/>
    <x v="0"/>
    <s v="DK1_Large"/>
    <x v="0"/>
    <x v="0"/>
    <x v="0"/>
    <x v="0"/>
    <s v="GNR_ENG_BGAS_BP_E-42"/>
    <n v="3.1730769230769198"/>
    <n v="3.17307692307692E-3"/>
  </r>
  <r>
    <x v="0"/>
    <x v="0"/>
    <x v="0"/>
    <x v="0"/>
    <x v="0"/>
    <s v="DK1_Large"/>
    <x v="0"/>
    <x v="0"/>
    <x v="0"/>
    <x v="0"/>
    <s v="GNR_ENG_BGAS_BP_E-43"/>
    <n v="3.9064102564102599"/>
    <n v="3.9064102564102601E-3"/>
  </r>
  <r>
    <x v="0"/>
    <x v="0"/>
    <x v="0"/>
    <x v="0"/>
    <x v="0"/>
    <s v="DK1_Large"/>
    <x v="1"/>
    <x v="1"/>
    <x v="1"/>
    <x v="0"/>
    <s v="GNR_BO_BIOIL_E-94"/>
    <n v="100"/>
    <n v="0.1"/>
  </r>
  <r>
    <x v="0"/>
    <x v="0"/>
    <x v="0"/>
    <x v="0"/>
    <x v="0"/>
    <s v="DK1_Large"/>
    <x v="2"/>
    <x v="2"/>
    <x v="2"/>
    <x v="0"/>
    <s v="GNR_BO_ELEC_E-100"/>
    <n v="82.95"/>
    <n v="8.2949999999999996E-2"/>
  </r>
  <r>
    <x v="0"/>
    <x v="0"/>
    <x v="0"/>
    <x v="0"/>
    <x v="0"/>
    <s v="DK1_Large"/>
    <x v="3"/>
    <x v="3"/>
    <x v="3"/>
    <x v="1"/>
    <s v="GNR_HS_HEAT_WTR-TANK_LS_E-95_Y-2010"/>
    <n v="511.41580384998201"/>
    <n v="4.0913264307998496"/>
  </r>
  <r>
    <x v="0"/>
    <x v="0"/>
    <x v="0"/>
    <x v="0"/>
    <x v="0"/>
    <s v="DK1_Large"/>
    <x v="3"/>
    <x v="3"/>
    <x v="4"/>
    <x v="1"/>
    <s v="GNR_HS_HEAT_PIT_L-CEN_E-90_Y-2030"/>
    <n v="9320.6809118581295"/>
    <n v="74.565447294865095"/>
  </r>
  <r>
    <x v="0"/>
    <x v="0"/>
    <x v="0"/>
    <x v="0"/>
    <x v="0"/>
    <s v="DK1_Large"/>
    <x v="4"/>
    <x v="0"/>
    <x v="0"/>
    <x v="0"/>
    <s v="GNR_ENG_LIGHTOIL_BP_E-37"/>
    <n v="41.025641025641001"/>
    <n v="4.1025641025640998E-2"/>
  </r>
  <r>
    <x v="0"/>
    <x v="0"/>
    <x v="0"/>
    <x v="0"/>
    <x v="0"/>
    <s v="DK1_Large"/>
    <x v="4"/>
    <x v="1"/>
    <x v="1"/>
    <x v="0"/>
    <s v="GNR_BO_LIGHTOIL_E-100"/>
    <n v="72.2"/>
    <n v="7.22E-2"/>
  </r>
  <r>
    <x v="0"/>
    <x v="0"/>
    <x v="0"/>
    <x v="0"/>
    <x v="0"/>
    <s v="DK1_Large"/>
    <x v="4"/>
    <x v="1"/>
    <x v="1"/>
    <x v="0"/>
    <s v="GNR_BO_LIGHTOIL_E-88"/>
    <n v="0.23"/>
    <n v="2.3000000000000001E-4"/>
  </r>
  <r>
    <x v="0"/>
    <x v="0"/>
    <x v="0"/>
    <x v="0"/>
    <x v="0"/>
    <s v="DK1_Large"/>
    <x v="4"/>
    <x v="1"/>
    <x v="1"/>
    <x v="0"/>
    <s v="GNR_BO_LIGHTOIL_E-89"/>
    <n v="5"/>
    <n v="5.0000000000000001E-3"/>
  </r>
  <r>
    <x v="0"/>
    <x v="0"/>
    <x v="0"/>
    <x v="0"/>
    <x v="0"/>
    <s v="DK1_Large"/>
    <x v="4"/>
    <x v="1"/>
    <x v="1"/>
    <x v="0"/>
    <s v="GNR_BO_LIGHTOIL_E-90"/>
    <n v="156.4"/>
    <n v="0.15640000000000001"/>
  </r>
  <r>
    <x v="0"/>
    <x v="0"/>
    <x v="0"/>
    <x v="0"/>
    <x v="0"/>
    <s v="DK1_Large"/>
    <x v="4"/>
    <x v="1"/>
    <x v="1"/>
    <x v="0"/>
    <s v="GNR_BO_LIGHTOIL_E-92"/>
    <n v="10.88"/>
    <n v="1.0880000000000001E-2"/>
  </r>
  <r>
    <x v="0"/>
    <x v="0"/>
    <x v="0"/>
    <x v="0"/>
    <x v="0"/>
    <s v="DK1_Large"/>
    <x v="4"/>
    <x v="1"/>
    <x v="1"/>
    <x v="0"/>
    <s v="GNR_BO_LIGHTOIL_E-94"/>
    <n v="15"/>
    <n v="1.4999999999999999E-2"/>
  </r>
  <r>
    <x v="0"/>
    <x v="0"/>
    <x v="0"/>
    <x v="0"/>
    <x v="0"/>
    <s v="DK1_Large"/>
    <x v="5"/>
    <x v="0"/>
    <x v="0"/>
    <x v="1"/>
    <s v="GNR_ST_MSW_BP_E-24_LS-220-MW-FEED_Y-2030"/>
    <n v="275.58581468375701"/>
    <n v="0.27558581468375698"/>
  </r>
  <r>
    <x v="0"/>
    <x v="0"/>
    <x v="0"/>
    <x v="0"/>
    <x v="0"/>
    <s v="DK1_Large"/>
    <x v="5"/>
    <x v="0"/>
    <x v="0"/>
    <x v="0"/>
    <s v="GNR_ST_MSW_BP_E-27"/>
    <n v="22.948717948717899"/>
    <n v="2.29487179487179E-2"/>
  </r>
  <r>
    <x v="0"/>
    <x v="0"/>
    <x v="0"/>
    <x v="0"/>
    <x v="0"/>
    <s v="DK1_Large"/>
    <x v="5"/>
    <x v="1"/>
    <x v="1"/>
    <x v="0"/>
    <s v="GNR_BO_MSW_E-105"/>
    <n v="28"/>
    <n v="2.8000000000000001E-2"/>
  </r>
  <r>
    <x v="0"/>
    <x v="0"/>
    <x v="0"/>
    <x v="0"/>
    <x v="0"/>
    <s v="DK1_Large"/>
    <x v="6"/>
    <x v="0"/>
    <x v="0"/>
    <x v="1"/>
    <s v="GNR_GT_NGAS_BP_E-43_LS-40-MW_Y-2030"/>
    <n v="110.369316798317"/>
    <n v="0.110369316798317"/>
  </r>
  <r>
    <x v="0"/>
    <x v="0"/>
    <x v="0"/>
    <x v="0"/>
    <x v="0"/>
    <s v="DK1_Large"/>
    <x v="6"/>
    <x v="0"/>
    <x v="0"/>
    <x v="0"/>
    <s v="GNR_ENG_NGAS_BP_E-39"/>
    <n v="4.7435897435897401"/>
    <n v="4.7435897435897396E-3"/>
  </r>
  <r>
    <x v="0"/>
    <x v="0"/>
    <x v="0"/>
    <x v="0"/>
    <x v="0"/>
    <s v="DK1_Large"/>
    <x v="6"/>
    <x v="0"/>
    <x v="0"/>
    <x v="0"/>
    <s v="GNR_ENG_NGAS_BP_E-42"/>
    <n v="2.8974358974359"/>
    <n v="2.8974358974359002E-3"/>
  </r>
  <r>
    <x v="0"/>
    <x v="0"/>
    <x v="0"/>
    <x v="0"/>
    <x v="0"/>
    <s v="DK1_Large"/>
    <x v="6"/>
    <x v="0"/>
    <x v="0"/>
    <x v="0"/>
    <s v="GNR_ENG_NGAS_BP_E-43"/>
    <n v="3.8974358974359"/>
    <n v="3.8974358974359002E-3"/>
  </r>
  <r>
    <x v="0"/>
    <x v="0"/>
    <x v="0"/>
    <x v="0"/>
    <x v="0"/>
    <s v="DK1_Large"/>
    <x v="6"/>
    <x v="0"/>
    <x v="0"/>
    <x v="0"/>
    <s v="GNR_ENG_NGAS_BP_E-46"/>
    <n v="0.93589743589743601"/>
    <n v="9.3589743589743597E-4"/>
  </r>
  <r>
    <x v="0"/>
    <x v="0"/>
    <x v="0"/>
    <x v="0"/>
    <x v="0"/>
    <s v="DK1_Large"/>
    <x v="6"/>
    <x v="1"/>
    <x v="1"/>
    <x v="0"/>
    <s v="GNR_BO_NGAS_E-100"/>
    <n v="87.9"/>
    <n v="8.7900000000000006E-2"/>
  </r>
  <r>
    <x v="0"/>
    <x v="0"/>
    <x v="0"/>
    <x v="0"/>
    <x v="0"/>
    <s v="DK1_Large"/>
    <x v="6"/>
    <x v="1"/>
    <x v="1"/>
    <x v="0"/>
    <s v="GNR_BO_NGAS_E-101"/>
    <n v="18.78"/>
    <n v="1.8780000000000002E-2"/>
  </r>
  <r>
    <x v="0"/>
    <x v="0"/>
    <x v="0"/>
    <x v="0"/>
    <x v="0"/>
    <s v="DK1_Large"/>
    <x v="6"/>
    <x v="1"/>
    <x v="1"/>
    <x v="0"/>
    <s v="GNR_BO_NGAS_E-98"/>
    <n v="5.22"/>
    <n v="5.2199999999999998E-3"/>
  </r>
  <r>
    <x v="0"/>
    <x v="0"/>
    <x v="0"/>
    <x v="0"/>
    <x v="0"/>
    <s v="DK1_Large"/>
    <x v="7"/>
    <x v="0"/>
    <x v="0"/>
    <x v="0"/>
    <s v="GNR_ST_STRW_BP_E-26"/>
    <n v="39.743589743589702"/>
    <n v="3.97435897435897E-2"/>
  </r>
  <r>
    <x v="0"/>
    <x v="0"/>
    <x v="0"/>
    <x v="0"/>
    <x v="0"/>
    <s v="DK1_Large"/>
    <x v="7"/>
    <x v="1"/>
    <x v="1"/>
    <x v="0"/>
    <s v="GNR_BO_STRW_E-100"/>
    <n v="5.15"/>
    <n v="5.1500000000000001E-3"/>
  </r>
  <r>
    <x v="0"/>
    <x v="0"/>
    <x v="0"/>
    <x v="0"/>
    <x v="0"/>
    <s v="DK1_Large"/>
    <x v="7"/>
    <x v="1"/>
    <x v="1"/>
    <x v="0"/>
    <s v="GNR_BO_STRW_E-102"/>
    <n v="6.3"/>
    <n v="6.3E-3"/>
  </r>
  <r>
    <x v="0"/>
    <x v="0"/>
    <x v="0"/>
    <x v="0"/>
    <x v="0"/>
    <s v="DK1_Large"/>
    <x v="8"/>
    <x v="4"/>
    <x v="5"/>
    <x v="0"/>
    <s v="GNR_SH_SUN"/>
    <n v="2.78"/>
    <n v="2.7799999999999999E-3"/>
  </r>
  <r>
    <x v="0"/>
    <x v="0"/>
    <x v="0"/>
    <x v="0"/>
    <x v="0"/>
    <s v="DK1_Large"/>
    <x v="9"/>
    <x v="1"/>
    <x v="1"/>
    <x v="0"/>
    <s v="GNR_EH_HEAT"/>
    <n v="182"/>
    <n v="0.182"/>
  </r>
  <r>
    <x v="0"/>
    <x v="0"/>
    <x v="0"/>
    <x v="0"/>
    <x v="0"/>
    <s v="DK1_Large"/>
    <x v="10"/>
    <x v="0"/>
    <x v="0"/>
    <x v="0"/>
    <s v="GNR_ST_WOODCHI_BP_E-23"/>
    <n v="9.6153846153846096"/>
    <n v="9.6153846153846107E-3"/>
  </r>
  <r>
    <x v="0"/>
    <x v="0"/>
    <x v="0"/>
    <x v="0"/>
    <x v="0"/>
    <s v="DK1_Large"/>
    <x v="10"/>
    <x v="1"/>
    <x v="1"/>
    <x v="0"/>
    <s v="GNR_BO_WOODCHI_E-100"/>
    <n v="20"/>
    <n v="0.02"/>
  </r>
  <r>
    <x v="0"/>
    <x v="0"/>
    <x v="0"/>
    <x v="0"/>
    <x v="0"/>
    <s v="DK1_Large"/>
    <x v="11"/>
    <x v="1"/>
    <x v="1"/>
    <x v="0"/>
    <s v="GNR_BO_WOODPEL_E-100"/>
    <n v="12.999000000000001"/>
    <n v="1.2999E-2"/>
  </r>
  <r>
    <x v="0"/>
    <x v="0"/>
    <x v="0"/>
    <x v="0"/>
    <x v="0"/>
    <s v="DK1_Large"/>
    <x v="11"/>
    <x v="1"/>
    <x v="1"/>
    <x v="0"/>
    <s v="GNR_BO_WOODPEL_E-102"/>
    <n v="0.9"/>
    <n v="8.9999999999999998E-4"/>
  </r>
  <r>
    <x v="0"/>
    <x v="0"/>
    <x v="0"/>
    <x v="0"/>
    <x v="0"/>
    <s v="DK1_Large_PHH"/>
    <x v="2"/>
    <x v="2"/>
    <x v="2"/>
    <x v="1"/>
    <s v="GNR_BO_ELEC_E-99_LS-10-MW-FEED_PHH_Y-2030"/>
    <n v="87.919775614994705"/>
    <n v="8.79197756149947E-2"/>
  </r>
  <r>
    <x v="0"/>
    <x v="0"/>
    <x v="0"/>
    <x v="0"/>
    <x v="0"/>
    <s v="DK1_Large_PHH"/>
    <x v="6"/>
    <x v="1"/>
    <x v="1"/>
    <x v="1"/>
    <s v="GNR_BO_NGAS_E-70_PHH"/>
    <n v="194.294581114441"/>
    <n v="0.19429458111444101"/>
  </r>
  <r>
    <x v="0"/>
    <x v="0"/>
    <x v="0"/>
    <x v="0"/>
    <x v="0"/>
    <s v="DK1_Large_PHL"/>
    <x v="6"/>
    <x v="1"/>
    <x v="1"/>
    <x v="1"/>
    <s v="GNR_BO_NGAS_E-82_PHL"/>
    <n v="450.86650370535301"/>
    <n v="0.45086650370535297"/>
  </r>
  <r>
    <x v="0"/>
    <x v="0"/>
    <x v="0"/>
    <x v="0"/>
    <x v="0"/>
    <s v="DK1_MedSmall"/>
    <x v="2"/>
    <x v="2"/>
    <x v="2"/>
    <x v="1"/>
    <s v="GNR_HP_ELEC_GROUND-WTR_COP-380_LS-4-MW_Y-2030"/>
    <n v="188.729005217897"/>
    <n v="0.18872900521789701"/>
  </r>
  <r>
    <x v="0"/>
    <x v="0"/>
    <x v="0"/>
    <x v="0"/>
    <x v="0"/>
    <s v="DK1_MedSmall"/>
    <x v="2"/>
    <x v="2"/>
    <x v="2"/>
    <x v="0"/>
    <s v="GNR_BO_ELEC_E-100"/>
    <n v="1"/>
    <n v="1E-3"/>
  </r>
  <r>
    <x v="0"/>
    <x v="0"/>
    <x v="0"/>
    <x v="0"/>
    <x v="0"/>
    <s v="DK1_MedSmall"/>
    <x v="3"/>
    <x v="3"/>
    <x v="3"/>
    <x v="1"/>
    <s v="GNR_HS_HEAT_WTR-TANK_LS_E-95_Y-2010"/>
    <n v="137.57437017855301"/>
    <n v="1.1005949614284201"/>
  </r>
  <r>
    <x v="0"/>
    <x v="0"/>
    <x v="0"/>
    <x v="0"/>
    <x v="0"/>
    <s v="DK1_MedSmall"/>
    <x v="3"/>
    <x v="3"/>
    <x v="4"/>
    <x v="1"/>
    <s v="GNR_HS_HEAT_PIT_L-DEC_E-91_Y-2030"/>
    <n v="3060.0380113625001"/>
    <n v="24.480304090899999"/>
  </r>
  <r>
    <x v="0"/>
    <x v="0"/>
    <x v="0"/>
    <x v="0"/>
    <x v="0"/>
    <s v="DK1_MedSmall"/>
    <x v="4"/>
    <x v="1"/>
    <x v="1"/>
    <x v="0"/>
    <s v="GNR_BO_LIGHTOIL_E-100"/>
    <n v="37.9"/>
    <n v="3.7900000000000003E-2"/>
  </r>
  <r>
    <x v="0"/>
    <x v="0"/>
    <x v="0"/>
    <x v="0"/>
    <x v="0"/>
    <s v="DK1_MedSmall"/>
    <x v="4"/>
    <x v="1"/>
    <x v="1"/>
    <x v="0"/>
    <s v="GNR_BO_LIGHTOIL_E-115"/>
    <n v="30"/>
    <n v="0.03"/>
  </r>
  <r>
    <x v="0"/>
    <x v="0"/>
    <x v="0"/>
    <x v="0"/>
    <x v="0"/>
    <s v="DK1_MedSmall"/>
    <x v="6"/>
    <x v="0"/>
    <x v="0"/>
    <x v="0"/>
    <s v="GNR_ENG_NGAS_BP_E-41"/>
    <n v="3.87179487179487"/>
    <n v="3.8717948717948698E-3"/>
  </r>
  <r>
    <x v="0"/>
    <x v="0"/>
    <x v="0"/>
    <x v="0"/>
    <x v="0"/>
    <s v="DK1_MedSmall"/>
    <x v="6"/>
    <x v="1"/>
    <x v="1"/>
    <x v="0"/>
    <s v="GNR_BO_NGAS_E-100"/>
    <n v="30"/>
    <n v="0.03"/>
  </r>
  <r>
    <x v="0"/>
    <x v="0"/>
    <x v="0"/>
    <x v="0"/>
    <x v="0"/>
    <s v="DK1_MedSmall"/>
    <x v="6"/>
    <x v="1"/>
    <x v="1"/>
    <x v="0"/>
    <s v="GNR_BO_NGAS_E-101"/>
    <n v="33"/>
    <n v="3.3000000000000002E-2"/>
  </r>
  <r>
    <x v="0"/>
    <x v="0"/>
    <x v="0"/>
    <x v="0"/>
    <x v="0"/>
    <s v="DK1_MedSmall"/>
    <x v="6"/>
    <x v="1"/>
    <x v="1"/>
    <x v="0"/>
    <s v="GNR_BO_NGAS_E-102"/>
    <n v="5.0999999999999996"/>
    <n v="5.1000000000000004E-3"/>
  </r>
  <r>
    <x v="0"/>
    <x v="0"/>
    <x v="0"/>
    <x v="0"/>
    <x v="0"/>
    <s v="DK1_MedSmall"/>
    <x v="6"/>
    <x v="1"/>
    <x v="1"/>
    <x v="0"/>
    <s v="GNR_BO_NGAS_E-97"/>
    <n v="9"/>
    <n v="8.9999999999999993E-3"/>
  </r>
  <r>
    <x v="0"/>
    <x v="0"/>
    <x v="0"/>
    <x v="0"/>
    <x v="0"/>
    <s v="DK1_MedSmall"/>
    <x v="7"/>
    <x v="1"/>
    <x v="1"/>
    <x v="0"/>
    <s v="GNR_BO_STRW_E-102"/>
    <n v="10.73"/>
    <n v="1.073E-2"/>
  </r>
  <r>
    <x v="0"/>
    <x v="0"/>
    <x v="0"/>
    <x v="0"/>
    <x v="0"/>
    <s v="DK1_MedSmall"/>
    <x v="8"/>
    <x v="4"/>
    <x v="5"/>
    <x v="0"/>
    <s v="GNR_SH_SUN"/>
    <n v="8.4"/>
    <n v="8.3999999999999995E-3"/>
  </r>
  <r>
    <x v="0"/>
    <x v="0"/>
    <x v="0"/>
    <x v="0"/>
    <x v="0"/>
    <s v="DK1_MedSmall"/>
    <x v="9"/>
    <x v="1"/>
    <x v="1"/>
    <x v="0"/>
    <s v="GNR_EH_HEAT"/>
    <n v="38"/>
    <n v="3.7999999999999999E-2"/>
  </r>
  <r>
    <x v="0"/>
    <x v="0"/>
    <x v="0"/>
    <x v="0"/>
    <x v="0"/>
    <s v="DK1_MedSmall"/>
    <x v="10"/>
    <x v="1"/>
    <x v="1"/>
    <x v="0"/>
    <s v="GNR_BO_WOODCHI_E-110"/>
    <n v="17"/>
    <n v="1.7000000000000001E-2"/>
  </r>
  <r>
    <x v="0"/>
    <x v="0"/>
    <x v="0"/>
    <x v="0"/>
    <x v="0"/>
    <s v="DK1_Medium"/>
    <x v="0"/>
    <x v="0"/>
    <x v="0"/>
    <x v="0"/>
    <s v="GNR_ENG_BGAS_BP_E-39"/>
    <n v="0.80769230769230804"/>
    <n v="8.0769230769230798E-4"/>
  </r>
  <r>
    <x v="0"/>
    <x v="0"/>
    <x v="0"/>
    <x v="0"/>
    <x v="0"/>
    <s v="DK1_Medium"/>
    <x v="0"/>
    <x v="0"/>
    <x v="0"/>
    <x v="0"/>
    <s v="GNR_ENG_BGAS_BP_E-41"/>
    <n v="4.2525641025640999"/>
    <n v="4.2525641025640999E-3"/>
  </r>
  <r>
    <x v="0"/>
    <x v="0"/>
    <x v="0"/>
    <x v="0"/>
    <x v="0"/>
    <s v="DK1_Medium"/>
    <x v="0"/>
    <x v="0"/>
    <x v="0"/>
    <x v="0"/>
    <s v="GNR_ENG_BGAS_BP_E-42"/>
    <n v="0.42307692307692302"/>
    <n v="4.2307692307692299E-4"/>
  </r>
  <r>
    <x v="0"/>
    <x v="0"/>
    <x v="0"/>
    <x v="0"/>
    <x v="0"/>
    <s v="DK1_Medium"/>
    <x v="0"/>
    <x v="1"/>
    <x v="1"/>
    <x v="0"/>
    <s v="GNR_BO_BGAS_E-100"/>
    <n v="0.5"/>
    <n v="5.0000000000000001E-4"/>
  </r>
  <r>
    <x v="0"/>
    <x v="0"/>
    <x v="0"/>
    <x v="0"/>
    <x v="0"/>
    <s v="DK1_Medium"/>
    <x v="1"/>
    <x v="1"/>
    <x v="1"/>
    <x v="0"/>
    <s v="GNR_BO_BIOIL_E-93"/>
    <n v="5"/>
    <n v="5.0000000000000001E-3"/>
  </r>
  <r>
    <x v="0"/>
    <x v="0"/>
    <x v="0"/>
    <x v="0"/>
    <x v="0"/>
    <s v="DK1_Medium"/>
    <x v="2"/>
    <x v="2"/>
    <x v="2"/>
    <x v="0"/>
    <s v="GNR_BO_ELEC_E-100"/>
    <n v="30"/>
    <n v="0.03"/>
  </r>
  <r>
    <x v="0"/>
    <x v="0"/>
    <x v="0"/>
    <x v="0"/>
    <x v="0"/>
    <s v="DK1_Medium"/>
    <x v="3"/>
    <x v="3"/>
    <x v="3"/>
    <x v="1"/>
    <s v="GNR_HS_HEAT_WTR-TANK_LS_E-95_Y-2010"/>
    <n v="325.40516082497697"/>
    <n v="2.60324128659982"/>
  </r>
  <r>
    <x v="0"/>
    <x v="0"/>
    <x v="0"/>
    <x v="0"/>
    <x v="0"/>
    <s v="DK1_Medium"/>
    <x v="3"/>
    <x v="3"/>
    <x v="4"/>
    <x v="1"/>
    <s v="GNR_HS_HEAT_PIT_L-DEC_E-91_Y-2030"/>
    <n v="10145.311074842901"/>
    <n v="81.162488598742897"/>
  </r>
  <r>
    <x v="0"/>
    <x v="0"/>
    <x v="0"/>
    <x v="0"/>
    <x v="0"/>
    <s v="DK1_Medium"/>
    <x v="4"/>
    <x v="1"/>
    <x v="1"/>
    <x v="0"/>
    <s v="GNR_BO_LIGHTOIL_E-100"/>
    <n v="6"/>
    <n v="6.0000000000000001E-3"/>
  </r>
  <r>
    <x v="0"/>
    <x v="0"/>
    <x v="0"/>
    <x v="0"/>
    <x v="0"/>
    <s v="DK1_Medium"/>
    <x v="4"/>
    <x v="1"/>
    <x v="1"/>
    <x v="0"/>
    <s v="GNR_BO_LIGHTOIL_E-92"/>
    <n v="2.2000000000000002"/>
    <n v="2.2000000000000001E-3"/>
  </r>
  <r>
    <x v="0"/>
    <x v="0"/>
    <x v="0"/>
    <x v="0"/>
    <x v="0"/>
    <s v="DK1_Medium"/>
    <x v="6"/>
    <x v="0"/>
    <x v="0"/>
    <x v="1"/>
    <s v="GNR_ENG_NGAS_BP_E-48_Y-2030"/>
    <n v="969.65016469094701"/>
    <n v="0.969650164690947"/>
  </r>
  <r>
    <x v="0"/>
    <x v="0"/>
    <x v="0"/>
    <x v="0"/>
    <x v="0"/>
    <s v="DK1_Medium"/>
    <x v="6"/>
    <x v="0"/>
    <x v="0"/>
    <x v="0"/>
    <s v="GNR_ENG_NGAS_BP_E-41"/>
    <n v="5.5128205128205101"/>
    <n v="5.5128205128205099E-3"/>
  </r>
  <r>
    <x v="0"/>
    <x v="0"/>
    <x v="0"/>
    <x v="0"/>
    <x v="0"/>
    <s v="DK1_Medium"/>
    <x v="6"/>
    <x v="0"/>
    <x v="0"/>
    <x v="0"/>
    <s v="GNR_ENG_NGAS_BP_E-42"/>
    <n v="7.9487179487179498"/>
    <n v="7.9487179487179507E-3"/>
  </r>
  <r>
    <x v="0"/>
    <x v="0"/>
    <x v="0"/>
    <x v="0"/>
    <x v="0"/>
    <s v="DK1_Medium"/>
    <x v="6"/>
    <x v="0"/>
    <x v="0"/>
    <x v="0"/>
    <s v="GNR_ENG_NGAS_BP_E-43"/>
    <n v="1.82051282051282"/>
    <n v="1.8205128205128201E-3"/>
  </r>
  <r>
    <x v="0"/>
    <x v="0"/>
    <x v="0"/>
    <x v="0"/>
    <x v="0"/>
    <s v="DK1_Medium"/>
    <x v="6"/>
    <x v="0"/>
    <x v="0"/>
    <x v="0"/>
    <s v="GNR_ENG_NGAS_BP_E-44"/>
    <n v="6"/>
    <n v="6.0000000000000001E-3"/>
  </r>
  <r>
    <x v="0"/>
    <x v="0"/>
    <x v="0"/>
    <x v="0"/>
    <x v="0"/>
    <s v="DK1_Medium"/>
    <x v="6"/>
    <x v="1"/>
    <x v="1"/>
    <x v="0"/>
    <s v="GNR_BO_NGAS_E-100"/>
    <n v="169.8"/>
    <n v="0.16980000000000001"/>
  </r>
  <r>
    <x v="0"/>
    <x v="0"/>
    <x v="0"/>
    <x v="0"/>
    <x v="0"/>
    <s v="DK1_Medium"/>
    <x v="6"/>
    <x v="1"/>
    <x v="1"/>
    <x v="0"/>
    <s v="GNR_BO_NGAS_E-101"/>
    <n v="38.6"/>
    <n v="3.8600000000000002E-2"/>
  </r>
  <r>
    <x v="0"/>
    <x v="0"/>
    <x v="0"/>
    <x v="0"/>
    <x v="0"/>
    <s v="DK1_Medium"/>
    <x v="6"/>
    <x v="1"/>
    <x v="1"/>
    <x v="0"/>
    <s v="GNR_BO_NGAS_E-103"/>
    <n v="2.8130000000000002"/>
    <n v="2.813E-3"/>
  </r>
  <r>
    <x v="0"/>
    <x v="0"/>
    <x v="0"/>
    <x v="0"/>
    <x v="0"/>
    <s v="DK1_Medium"/>
    <x v="7"/>
    <x v="1"/>
    <x v="1"/>
    <x v="0"/>
    <s v="GNR_BO_STRW_E-102"/>
    <n v="2.42"/>
    <n v="2.4199999999999998E-3"/>
  </r>
  <r>
    <x v="0"/>
    <x v="0"/>
    <x v="0"/>
    <x v="0"/>
    <x v="0"/>
    <s v="DK1_Medium"/>
    <x v="8"/>
    <x v="4"/>
    <x v="5"/>
    <x v="0"/>
    <s v="GNR_SH_SUN"/>
    <n v="18.2"/>
    <n v="1.8200000000000001E-2"/>
  </r>
  <r>
    <x v="0"/>
    <x v="0"/>
    <x v="0"/>
    <x v="0"/>
    <x v="0"/>
    <s v="DK1_Medium"/>
    <x v="9"/>
    <x v="1"/>
    <x v="1"/>
    <x v="0"/>
    <s v="GNR_EH_HEAT"/>
    <n v="81"/>
    <n v="8.1000000000000003E-2"/>
  </r>
  <r>
    <x v="0"/>
    <x v="0"/>
    <x v="0"/>
    <x v="0"/>
    <x v="0"/>
    <s v="DK1_Medium"/>
    <x v="9"/>
    <x v="1"/>
    <x v="1"/>
    <x v="0"/>
    <s v="GNR_GEO_HEAT_HO"/>
    <n v="10"/>
    <n v="0.01"/>
  </r>
  <r>
    <x v="0"/>
    <x v="0"/>
    <x v="0"/>
    <x v="0"/>
    <x v="0"/>
    <s v="DK1_Medium"/>
    <x v="10"/>
    <x v="1"/>
    <x v="1"/>
    <x v="0"/>
    <s v="GNR_BO_WOODCHI_E-100"/>
    <n v="55.95"/>
    <n v="5.595E-2"/>
  </r>
  <r>
    <x v="0"/>
    <x v="0"/>
    <x v="0"/>
    <x v="0"/>
    <x v="0"/>
    <s v="DK1_Medium"/>
    <x v="11"/>
    <x v="1"/>
    <x v="1"/>
    <x v="0"/>
    <s v="GNR_BO_WOODPEL_E-100"/>
    <n v="6.8"/>
    <n v="6.7999999999999996E-3"/>
  </r>
  <r>
    <x v="0"/>
    <x v="0"/>
    <x v="0"/>
    <x v="0"/>
    <x v="0"/>
    <s v="DK1_Medium"/>
    <x v="11"/>
    <x v="1"/>
    <x v="1"/>
    <x v="0"/>
    <s v="GNR_BO_WOODPEL_E-102"/>
    <n v="1.6"/>
    <n v="1.6000000000000001E-3"/>
  </r>
  <r>
    <x v="0"/>
    <x v="0"/>
    <x v="0"/>
    <x v="0"/>
    <x v="0"/>
    <s v="DK1_NoDH"/>
    <x v="0"/>
    <x v="0"/>
    <x v="0"/>
    <x v="0"/>
    <s v="GNR_ENG_BGAS_BP_E-33"/>
    <n v="0.16666666666666699"/>
    <n v="1.6666666666666701E-4"/>
  </r>
  <r>
    <x v="0"/>
    <x v="0"/>
    <x v="0"/>
    <x v="0"/>
    <x v="0"/>
    <s v="DK1_NoDH"/>
    <x v="0"/>
    <x v="0"/>
    <x v="0"/>
    <x v="0"/>
    <s v="GNR_ENG_BGAS_BP_E-34"/>
    <n v="0.38461538461538503"/>
    <n v="3.8461538461538499E-4"/>
  </r>
  <r>
    <x v="0"/>
    <x v="0"/>
    <x v="0"/>
    <x v="0"/>
    <x v="0"/>
    <s v="DK1_NoDH"/>
    <x v="0"/>
    <x v="0"/>
    <x v="0"/>
    <x v="0"/>
    <s v="GNR_ENG_BGAS_BP_E-35"/>
    <n v="1.79487179487179"/>
    <n v="1.7948717948717901E-3"/>
  </r>
  <r>
    <x v="0"/>
    <x v="0"/>
    <x v="0"/>
    <x v="0"/>
    <x v="0"/>
    <s v="DK1_NoDH"/>
    <x v="0"/>
    <x v="0"/>
    <x v="0"/>
    <x v="0"/>
    <s v="GNR_ENG_BGAS_BP_E-37"/>
    <n v="2.1166666666666698"/>
    <n v="2.1166666666666699E-3"/>
  </r>
  <r>
    <x v="0"/>
    <x v="0"/>
    <x v="0"/>
    <x v="0"/>
    <x v="0"/>
    <s v="DK1_NoDH"/>
    <x v="0"/>
    <x v="0"/>
    <x v="0"/>
    <x v="0"/>
    <s v="GNR_ENG_BGAS_BP_E-38"/>
    <n v="0.243589743589744"/>
    <n v="2.4358974358974401E-4"/>
  </r>
  <r>
    <x v="0"/>
    <x v="0"/>
    <x v="0"/>
    <x v="0"/>
    <x v="0"/>
    <s v="DK1_NoDH"/>
    <x v="0"/>
    <x v="0"/>
    <x v="0"/>
    <x v="0"/>
    <s v="GNR_ENG_BGAS_BP_E-39"/>
    <n v="1.4871794871794899"/>
    <n v="1.48717948717949E-3"/>
  </r>
  <r>
    <x v="0"/>
    <x v="0"/>
    <x v="0"/>
    <x v="0"/>
    <x v="0"/>
    <s v="DK1_NoDH"/>
    <x v="0"/>
    <x v="0"/>
    <x v="0"/>
    <x v="0"/>
    <s v="GNR_ENG_BGAS_BP_E-40"/>
    <n v="3.3333333333333299"/>
    <n v="3.3333333333333301E-3"/>
  </r>
  <r>
    <x v="0"/>
    <x v="0"/>
    <x v="0"/>
    <x v="0"/>
    <x v="0"/>
    <s v="DK1_NoDH"/>
    <x v="0"/>
    <x v="0"/>
    <x v="0"/>
    <x v="0"/>
    <s v="GNR_ENG_BGAS_BP_E-42"/>
    <n v="0.75641025641025605"/>
    <n v="7.5641025641025599E-4"/>
  </r>
  <r>
    <x v="0"/>
    <x v="0"/>
    <x v="0"/>
    <x v="0"/>
    <x v="0"/>
    <s v="DK1_NoDH"/>
    <x v="0"/>
    <x v="0"/>
    <x v="0"/>
    <x v="0"/>
    <s v="GNR_ENG_BGAS_BP_E-43"/>
    <n v="7.6923076923076898"/>
    <n v="7.6923076923076901E-3"/>
  </r>
  <r>
    <x v="0"/>
    <x v="0"/>
    <x v="0"/>
    <x v="0"/>
    <x v="0"/>
    <s v="DK1_NoDH"/>
    <x v="0"/>
    <x v="1"/>
    <x v="1"/>
    <x v="0"/>
    <s v="GNR_BO_BGAS_E-95"/>
    <n v="0.44"/>
    <n v="4.4000000000000002E-4"/>
  </r>
  <r>
    <x v="0"/>
    <x v="0"/>
    <x v="0"/>
    <x v="0"/>
    <x v="0"/>
    <s v="DK1_NoDH"/>
    <x v="6"/>
    <x v="0"/>
    <x v="0"/>
    <x v="0"/>
    <s v="GNR_ENG_NGAS_BP_E-33"/>
    <n v="1.9230769230769201E-2"/>
    <n v="1.9230769230769201E-5"/>
  </r>
  <r>
    <x v="0"/>
    <x v="0"/>
    <x v="0"/>
    <x v="0"/>
    <x v="0"/>
    <s v="DK1_NoDH"/>
    <x v="6"/>
    <x v="0"/>
    <x v="0"/>
    <x v="0"/>
    <s v="GNR_ENG_NGAS_BP_E-38"/>
    <n v="1.2820512820512799"/>
    <n v="1.2820512820512801E-3"/>
  </r>
  <r>
    <x v="0"/>
    <x v="0"/>
    <x v="0"/>
    <x v="0"/>
    <x v="0"/>
    <s v="DK1_NoDH"/>
    <x v="6"/>
    <x v="0"/>
    <x v="0"/>
    <x v="0"/>
    <s v="GNR_ENG_NGAS_BP_E-39"/>
    <n v="1.2820512820512799"/>
    <n v="1.2820512820512801E-3"/>
  </r>
  <r>
    <x v="0"/>
    <x v="0"/>
    <x v="0"/>
    <x v="0"/>
    <x v="0"/>
    <s v="DK1_NoDH"/>
    <x v="6"/>
    <x v="0"/>
    <x v="0"/>
    <x v="0"/>
    <s v="GNR_ENG_NGAS_BP_E-40"/>
    <n v="1.02564102564103"/>
    <n v="1.02564102564103E-3"/>
  </r>
  <r>
    <x v="0"/>
    <x v="0"/>
    <x v="0"/>
    <x v="0"/>
    <x v="0"/>
    <s v="DK1_NoDH"/>
    <x v="6"/>
    <x v="0"/>
    <x v="0"/>
    <x v="0"/>
    <s v="GNR_ENG_NGAS_BP_E-41"/>
    <n v="3.6794871794871802"/>
    <n v="3.6794871794871798E-3"/>
  </r>
  <r>
    <x v="0"/>
    <x v="0"/>
    <x v="0"/>
    <x v="0"/>
    <x v="0"/>
    <s v="DK1_NoDH"/>
    <x v="6"/>
    <x v="0"/>
    <x v="0"/>
    <x v="0"/>
    <s v="GNR_ENG_NGAS_BP_E-42"/>
    <n v="1.1666666666666701"/>
    <n v="1.16666666666667E-3"/>
  </r>
  <r>
    <x v="0"/>
    <x v="0"/>
    <x v="0"/>
    <x v="0"/>
    <x v="0"/>
    <s v="DK1_NoDH"/>
    <x v="6"/>
    <x v="0"/>
    <x v="0"/>
    <x v="0"/>
    <s v="GNR_ENG_NGAS_BP_E-43"/>
    <n v="11.7192307692308"/>
    <n v="1.1719230769230799E-2"/>
  </r>
  <r>
    <x v="0"/>
    <x v="0"/>
    <x v="0"/>
    <x v="0"/>
    <x v="0"/>
    <s v="DK1_NoDH"/>
    <x v="6"/>
    <x v="0"/>
    <x v="0"/>
    <x v="0"/>
    <s v="GNR_ENG_NGAS_BP_E-46"/>
    <n v="1.9230769230769201E-2"/>
    <n v="1.9230769230769201E-5"/>
  </r>
  <r>
    <x v="0"/>
    <x v="0"/>
    <x v="0"/>
    <x v="0"/>
    <x v="0"/>
    <s v="DK1_NoDH"/>
    <x v="6"/>
    <x v="0"/>
    <x v="0"/>
    <x v="0"/>
    <s v="GNR_GT_NGAS_BP_E-28"/>
    <n v="25.128205128205099"/>
    <n v="2.51282051282051E-2"/>
  </r>
  <r>
    <x v="0"/>
    <x v="0"/>
    <x v="0"/>
    <x v="0"/>
    <x v="0"/>
    <s v="DK1_NoDH"/>
    <x v="6"/>
    <x v="0"/>
    <x v="0"/>
    <x v="0"/>
    <s v="GNR_GT_NGAS_BP_E-36"/>
    <n v="5.1282051282051304"/>
    <n v="5.1282051282051299E-3"/>
  </r>
  <r>
    <x v="0"/>
    <x v="0"/>
    <x v="0"/>
    <x v="0"/>
    <x v="0"/>
    <s v="DK1_NoDH"/>
    <x v="6"/>
    <x v="1"/>
    <x v="1"/>
    <x v="0"/>
    <s v="GNR_BO_NGAS_E-100"/>
    <n v="10"/>
    <n v="0.01"/>
  </r>
  <r>
    <x v="0"/>
    <x v="0"/>
    <x v="0"/>
    <x v="0"/>
    <x v="0"/>
    <s v="DK1_NoDH"/>
    <x v="10"/>
    <x v="0"/>
    <x v="6"/>
    <x v="0"/>
    <s v="GNR_ST_WOODCHI_EXT_E-30"/>
    <n v="104.545454545455"/>
    <n v="0.104545454545455"/>
  </r>
  <r>
    <x v="0"/>
    <x v="0"/>
    <x v="0"/>
    <x v="0"/>
    <x v="0"/>
    <s v="DK1_NoDH_PHH"/>
    <x v="2"/>
    <x v="2"/>
    <x v="2"/>
    <x v="1"/>
    <s v="GNR_BO_ELEC_E-99_LS-10-MW-FEED_PHH_Y-2030"/>
    <n v="190.65122102028701"/>
    <n v="0.190651221020287"/>
  </r>
  <r>
    <x v="0"/>
    <x v="0"/>
    <x v="0"/>
    <x v="0"/>
    <x v="0"/>
    <s v="DK1_NoDH_PHH"/>
    <x v="6"/>
    <x v="1"/>
    <x v="1"/>
    <x v="1"/>
    <s v="GNR_BO_NGAS_E-70_PHH"/>
    <n v="59.008541666666702"/>
    <n v="5.9008541666666699E-2"/>
  </r>
  <r>
    <x v="0"/>
    <x v="0"/>
    <x v="0"/>
    <x v="0"/>
    <x v="0"/>
    <s v="DK1_NoDH_PHL"/>
    <x v="6"/>
    <x v="1"/>
    <x v="1"/>
    <x v="1"/>
    <s v="GNR_BO_NGAS_E-82_PHL"/>
    <n v="2305.8572677678299"/>
    <n v="2.3058572677678302"/>
  </r>
  <r>
    <x v="0"/>
    <x v="0"/>
    <x v="0"/>
    <x v="0"/>
    <x v="0"/>
    <s v="DK1_Rural"/>
    <x v="0"/>
    <x v="0"/>
    <x v="0"/>
    <x v="0"/>
    <s v="GNR_ENG_BGAS_BP_E-30"/>
    <n v="7.6923076923076898"/>
    <n v="7.6923076923076901E-3"/>
  </r>
  <r>
    <x v="0"/>
    <x v="0"/>
    <x v="0"/>
    <x v="0"/>
    <x v="0"/>
    <s v="DK1_Rural"/>
    <x v="0"/>
    <x v="0"/>
    <x v="0"/>
    <x v="0"/>
    <s v="GNR_ENG_BGAS_BP_E-37"/>
    <n v="2.25"/>
    <n v="2.2499999999999998E-3"/>
  </r>
  <r>
    <x v="0"/>
    <x v="0"/>
    <x v="0"/>
    <x v="0"/>
    <x v="0"/>
    <s v="DK1_Rural"/>
    <x v="0"/>
    <x v="0"/>
    <x v="0"/>
    <x v="0"/>
    <s v="GNR_ENG_BGAS_BP_E-38"/>
    <n v="1.02564102564103"/>
    <n v="1.02564102564103E-3"/>
  </r>
  <r>
    <x v="0"/>
    <x v="0"/>
    <x v="0"/>
    <x v="0"/>
    <x v="0"/>
    <s v="DK1_Rural"/>
    <x v="0"/>
    <x v="0"/>
    <x v="0"/>
    <x v="0"/>
    <s v="GNR_ENG_BGAS_BP_E-39"/>
    <n v="0.79487179487179505"/>
    <n v="7.9487179487179496E-4"/>
  </r>
  <r>
    <x v="0"/>
    <x v="0"/>
    <x v="0"/>
    <x v="0"/>
    <x v="0"/>
    <s v="DK1_Rural"/>
    <x v="0"/>
    <x v="0"/>
    <x v="0"/>
    <x v="0"/>
    <s v="GNR_ENG_BGAS_BP_E-40"/>
    <n v="8.1282051282051295"/>
    <n v="8.12820512820513E-3"/>
  </r>
  <r>
    <x v="0"/>
    <x v="0"/>
    <x v="0"/>
    <x v="0"/>
    <x v="0"/>
    <s v="DK1_Rural"/>
    <x v="0"/>
    <x v="0"/>
    <x v="0"/>
    <x v="0"/>
    <s v="GNR_ENG_BGAS_BP_E-41"/>
    <n v="1.5128205128205101"/>
    <n v="1.51282051282051E-3"/>
  </r>
  <r>
    <x v="0"/>
    <x v="0"/>
    <x v="0"/>
    <x v="0"/>
    <x v="0"/>
    <s v="DK1_Rural"/>
    <x v="0"/>
    <x v="0"/>
    <x v="0"/>
    <x v="0"/>
    <s v="GNR_ENG_BGAS_BP_E-42"/>
    <n v="8.5641025641025603"/>
    <n v="8.5641025641025603E-3"/>
  </r>
  <r>
    <x v="0"/>
    <x v="0"/>
    <x v="0"/>
    <x v="0"/>
    <x v="0"/>
    <s v="DK1_Rural"/>
    <x v="0"/>
    <x v="0"/>
    <x v="0"/>
    <x v="0"/>
    <s v="GNR_ENG_BGAS_BP_E-43"/>
    <n v="6.5897435897435903"/>
    <n v="6.5897435897435902E-3"/>
  </r>
  <r>
    <x v="0"/>
    <x v="0"/>
    <x v="0"/>
    <x v="0"/>
    <x v="0"/>
    <s v="DK1_Rural"/>
    <x v="0"/>
    <x v="1"/>
    <x v="1"/>
    <x v="0"/>
    <s v="GNR_BO_BGAS_E-100"/>
    <n v="0.4"/>
    <n v="4.0000000000000002E-4"/>
  </r>
  <r>
    <x v="0"/>
    <x v="0"/>
    <x v="0"/>
    <x v="0"/>
    <x v="0"/>
    <s v="DK1_Rural"/>
    <x v="1"/>
    <x v="1"/>
    <x v="1"/>
    <x v="0"/>
    <s v="GNR_BO_BIOIL_E-100"/>
    <n v="4.5999999999999996"/>
    <n v="4.5999999999999999E-3"/>
  </r>
  <r>
    <x v="0"/>
    <x v="0"/>
    <x v="0"/>
    <x v="0"/>
    <x v="0"/>
    <s v="DK1_Rural"/>
    <x v="2"/>
    <x v="2"/>
    <x v="2"/>
    <x v="1"/>
    <s v="GNR_HP_ELEC_GROUND-WTR_COP-380_LS-4-MW_Y-2030"/>
    <n v="74.029009277237705"/>
    <n v="7.4029009277237698E-2"/>
  </r>
  <r>
    <x v="0"/>
    <x v="0"/>
    <x v="0"/>
    <x v="0"/>
    <x v="0"/>
    <s v="DK1_Rural"/>
    <x v="2"/>
    <x v="2"/>
    <x v="2"/>
    <x v="0"/>
    <s v="GNR_BO_ELEC_E-100"/>
    <n v="191.41"/>
    <n v="0.19141"/>
  </r>
  <r>
    <x v="0"/>
    <x v="0"/>
    <x v="0"/>
    <x v="0"/>
    <x v="0"/>
    <s v="DK1_Rural"/>
    <x v="2"/>
    <x v="2"/>
    <x v="2"/>
    <x v="0"/>
    <s v="GNR_BO_ELEC_E-99"/>
    <n v="19.850000000000001"/>
    <n v="1.985E-2"/>
  </r>
  <r>
    <x v="0"/>
    <x v="0"/>
    <x v="0"/>
    <x v="0"/>
    <x v="0"/>
    <s v="DK1_Rural"/>
    <x v="2"/>
    <x v="2"/>
    <x v="2"/>
    <x v="0"/>
    <s v="GNR_HP_ELEC_COP-300"/>
    <n v="1.5"/>
    <n v="1.5E-3"/>
  </r>
  <r>
    <x v="0"/>
    <x v="0"/>
    <x v="0"/>
    <x v="0"/>
    <x v="0"/>
    <s v="DK1_Rural"/>
    <x v="2"/>
    <x v="2"/>
    <x v="2"/>
    <x v="0"/>
    <s v="GNR_HP_ELEC_COP-350"/>
    <n v="2.1890000000000001"/>
    <n v="2.189E-3"/>
  </r>
  <r>
    <x v="0"/>
    <x v="0"/>
    <x v="0"/>
    <x v="0"/>
    <x v="0"/>
    <s v="DK1_Rural"/>
    <x v="2"/>
    <x v="2"/>
    <x v="2"/>
    <x v="0"/>
    <s v="GNR_HP_ELEC_COP-400"/>
    <n v="2.048"/>
    <n v="2.0479999999999999E-3"/>
  </r>
  <r>
    <x v="0"/>
    <x v="0"/>
    <x v="0"/>
    <x v="0"/>
    <x v="0"/>
    <s v="DK1_Rural"/>
    <x v="2"/>
    <x v="2"/>
    <x v="2"/>
    <x v="0"/>
    <s v="GNR_HP_ELEC_COP-430"/>
    <n v="1.3"/>
    <n v="1.2999999999999999E-3"/>
  </r>
  <r>
    <x v="0"/>
    <x v="0"/>
    <x v="0"/>
    <x v="0"/>
    <x v="0"/>
    <s v="DK1_Rural"/>
    <x v="2"/>
    <x v="2"/>
    <x v="2"/>
    <x v="0"/>
    <s v="GNR_HP_ELEC_COP-450"/>
    <n v="0.54"/>
    <n v="5.4000000000000001E-4"/>
  </r>
  <r>
    <x v="0"/>
    <x v="0"/>
    <x v="0"/>
    <x v="0"/>
    <x v="0"/>
    <s v="DK1_Rural"/>
    <x v="2"/>
    <x v="2"/>
    <x v="2"/>
    <x v="0"/>
    <s v="GNR_HP_ELEC_COP-460"/>
    <n v="3.6"/>
    <n v="3.5999999999999999E-3"/>
  </r>
  <r>
    <x v="0"/>
    <x v="0"/>
    <x v="0"/>
    <x v="0"/>
    <x v="0"/>
    <s v="DK1_Rural"/>
    <x v="2"/>
    <x v="2"/>
    <x v="2"/>
    <x v="0"/>
    <s v="GNR_HP_ELEC_COP-470"/>
    <n v="0.95"/>
    <n v="9.5E-4"/>
  </r>
  <r>
    <x v="0"/>
    <x v="0"/>
    <x v="0"/>
    <x v="0"/>
    <x v="0"/>
    <s v="DK1_Rural"/>
    <x v="2"/>
    <x v="2"/>
    <x v="2"/>
    <x v="0"/>
    <s v="GNR_HP_ELEC_COP-500"/>
    <n v="0.5"/>
    <n v="5.0000000000000001E-4"/>
  </r>
  <r>
    <x v="0"/>
    <x v="0"/>
    <x v="0"/>
    <x v="0"/>
    <x v="0"/>
    <s v="DK1_Rural"/>
    <x v="2"/>
    <x v="2"/>
    <x v="2"/>
    <x v="0"/>
    <s v="GNR_HP_ELEC_COP-530"/>
    <n v="1.35"/>
    <n v="1.3500000000000001E-3"/>
  </r>
  <r>
    <x v="0"/>
    <x v="0"/>
    <x v="0"/>
    <x v="0"/>
    <x v="0"/>
    <s v="DK1_Rural"/>
    <x v="2"/>
    <x v="2"/>
    <x v="2"/>
    <x v="0"/>
    <s v="GNR_HP_ELEC_COP-600"/>
    <n v="0.3"/>
    <n v="2.9999999999999997E-4"/>
  </r>
  <r>
    <x v="0"/>
    <x v="0"/>
    <x v="0"/>
    <x v="0"/>
    <x v="0"/>
    <s v="DK1_Rural"/>
    <x v="12"/>
    <x v="1"/>
    <x v="1"/>
    <x v="0"/>
    <s v="GNR_BO_FUELOIL_E-100"/>
    <n v="10"/>
    <n v="0.01"/>
  </r>
  <r>
    <x v="0"/>
    <x v="0"/>
    <x v="0"/>
    <x v="0"/>
    <x v="0"/>
    <s v="DK1_Rural"/>
    <x v="12"/>
    <x v="1"/>
    <x v="1"/>
    <x v="0"/>
    <s v="GNR_BO_FUELOIL_E-91"/>
    <n v="8"/>
    <n v="8.0000000000000002E-3"/>
  </r>
  <r>
    <x v="0"/>
    <x v="0"/>
    <x v="0"/>
    <x v="0"/>
    <x v="0"/>
    <s v="DK1_Rural"/>
    <x v="3"/>
    <x v="3"/>
    <x v="3"/>
    <x v="1"/>
    <s v="GNR_HS_HEAT_WTR-TANK_LS_E-95_Y-2010"/>
    <n v="132.020677366179"/>
    <n v="1.0561654189294301"/>
  </r>
  <r>
    <x v="0"/>
    <x v="0"/>
    <x v="0"/>
    <x v="0"/>
    <x v="0"/>
    <s v="DK1_Rural"/>
    <x v="3"/>
    <x v="3"/>
    <x v="4"/>
    <x v="1"/>
    <s v="GNR_HS_HEAT_PIT_L-DEC_E-91_Y-2030"/>
    <n v="6236.5963129801403"/>
    <n v="49.892770503841199"/>
  </r>
  <r>
    <x v="0"/>
    <x v="0"/>
    <x v="0"/>
    <x v="0"/>
    <x v="0"/>
    <s v="DK1_Rural"/>
    <x v="4"/>
    <x v="0"/>
    <x v="0"/>
    <x v="0"/>
    <s v="GNR_ENG_LIGHTOIL_BP_E-37"/>
    <n v="20.5128205128205"/>
    <n v="2.0512820512820499E-2"/>
  </r>
  <r>
    <x v="0"/>
    <x v="0"/>
    <x v="0"/>
    <x v="0"/>
    <x v="0"/>
    <s v="DK1_Rural"/>
    <x v="4"/>
    <x v="1"/>
    <x v="1"/>
    <x v="0"/>
    <s v="GNR_BO_LIGHTOIL_E-100"/>
    <n v="52.4"/>
    <n v="5.2400000000000002E-2"/>
  </r>
  <r>
    <x v="0"/>
    <x v="0"/>
    <x v="0"/>
    <x v="0"/>
    <x v="0"/>
    <s v="DK1_Rural"/>
    <x v="4"/>
    <x v="1"/>
    <x v="1"/>
    <x v="0"/>
    <s v="GNR_BO_LIGHTOIL_E-109"/>
    <n v="7.5"/>
    <n v="7.4999999999999997E-3"/>
  </r>
  <r>
    <x v="0"/>
    <x v="0"/>
    <x v="0"/>
    <x v="0"/>
    <x v="0"/>
    <s v="DK1_Rural"/>
    <x v="4"/>
    <x v="1"/>
    <x v="1"/>
    <x v="0"/>
    <s v="GNR_BO_LIGHTOIL_E-67"/>
    <n v="0.02"/>
    <n v="2.0000000000000002E-5"/>
  </r>
  <r>
    <x v="0"/>
    <x v="0"/>
    <x v="0"/>
    <x v="0"/>
    <x v="0"/>
    <s v="DK1_Rural"/>
    <x v="4"/>
    <x v="1"/>
    <x v="1"/>
    <x v="0"/>
    <s v="GNR_BO_LIGHTOIL_E-85"/>
    <n v="7.5"/>
    <n v="7.4999999999999997E-3"/>
  </r>
  <r>
    <x v="0"/>
    <x v="0"/>
    <x v="0"/>
    <x v="0"/>
    <x v="0"/>
    <s v="DK1_Rural"/>
    <x v="4"/>
    <x v="1"/>
    <x v="1"/>
    <x v="0"/>
    <s v="GNR_BO_LIGHTOIL_E-90"/>
    <n v="39.46"/>
    <n v="3.9460000000000002E-2"/>
  </r>
  <r>
    <x v="0"/>
    <x v="0"/>
    <x v="0"/>
    <x v="0"/>
    <x v="0"/>
    <s v="DK1_Rural"/>
    <x v="4"/>
    <x v="1"/>
    <x v="1"/>
    <x v="0"/>
    <s v="GNR_BO_LIGHTOIL_E-91"/>
    <n v="5.8"/>
    <n v="5.7999999999999996E-3"/>
  </r>
  <r>
    <x v="0"/>
    <x v="0"/>
    <x v="0"/>
    <x v="0"/>
    <x v="0"/>
    <s v="DK1_Rural"/>
    <x v="4"/>
    <x v="1"/>
    <x v="1"/>
    <x v="0"/>
    <s v="GNR_BO_LIGHTOIL_E-92"/>
    <n v="12"/>
    <n v="1.2E-2"/>
  </r>
  <r>
    <x v="0"/>
    <x v="0"/>
    <x v="0"/>
    <x v="0"/>
    <x v="0"/>
    <s v="DK1_Rural"/>
    <x v="4"/>
    <x v="1"/>
    <x v="1"/>
    <x v="0"/>
    <s v="GNR_BO_LIGHTOIL_E-93"/>
    <n v="6"/>
    <n v="6.0000000000000001E-3"/>
  </r>
  <r>
    <x v="0"/>
    <x v="0"/>
    <x v="0"/>
    <x v="0"/>
    <x v="0"/>
    <s v="DK1_Rural"/>
    <x v="4"/>
    <x v="1"/>
    <x v="1"/>
    <x v="0"/>
    <s v="GNR_BO_LIGHTOIL_E-94"/>
    <n v="7.9"/>
    <n v="7.9000000000000008E-3"/>
  </r>
  <r>
    <x v="0"/>
    <x v="0"/>
    <x v="0"/>
    <x v="0"/>
    <x v="0"/>
    <s v="DK1_Rural"/>
    <x v="6"/>
    <x v="0"/>
    <x v="0"/>
    <x v="0"/>
    <s v="GNR_ENG_NGAS_BP_E-37"/>
    <n v="9.1923076923076898"/>
    <n v="9.1923076923076906E-3"/>
  </r>
  <r>
    <x v="0"/>
    <x v="0"/>
    <x v="0"/>
    <x v="0"/>
    <x v="0"/>
    <s v="DK1_Rural"/>
    <x v="6"/>
    <x v="0"/>
    <x v="0"/>
    <x v="0"/>
    <s v="GNR_ENG_NGAS_BP_E-38"/>
    <n v="3.8461538461538498"/>
    <n v="3.8461538461538498E-3"/>
  </r>
  <r>
    <x v="0"/>
    <x v="0"/>
    <x v="0"/>
    <x v="0"/>
    <x v="0"/>
    <s v="DK1_Rural"/>
    <x v="6"/>
    <x v="0"/>
    <x v="0"/>
    <x v="0"/>
    <s v="GNR_ENG_NGAS_BP_E-39"/>
    <n v="2.5641025641025599"/>
    <n v="2.5641025641025602E-3"/>
  </r>
  <r>
    <x v="0"/>
    <x v="0"/>
    <x v="0"/>
    <x v="0"/>
    <x v="0"/>
    <s v="DK1_Rural"/>
    <x v="6"/>
    <x v="0"/>
    <x v="0"/>
    <x v="0"/>
    <s v="GNR_ENG_NGAS_BP_E-40"/>
    <n v="5.9230769230769198"/>
    <n v="5.9230769230769198E-3"/>
  </r>
  <r>
    <x v="0"/>
    <x v="0"/>
    <x v="0"/>
    <x v="0"/>
    <x v="0"/>
    <s v="DK1_Rural"/>
    <x v="6"/>
    <x v="0"/>
    <x v="0"/>
    <x v="0"/>
    <s v="GNR_ENG_NGAS_BP_E-41"/>
    <n v="18.782051282051299"/>
    <n v="1.87820512820513E-2"/>
  </r>
  <r>
    <x v="0"/>
    <x v="0"/>
    <x v="0"/>
    <x v="0"/>
    <x v="0"/>
    <s v="DK1_Rural"/>
    <x v="6"/>
    <x v="0"/>
    <x v="0"/>
    <x v="0"/>
    <s v="GNR_ENG_NGAS_BP_E-42"/>
    <n v="43.464102564102603"/>
    <n v="4.3464102564102602E-2"/>
  </r>
  <r>
    <x v="0"/>
    <x v="0"/>
    <x v="0"/>
    <x v="0"/>
    <x v="0"/>
    <s v="DK1_Rural"/>
    <x v="6"/>
    <x v="0"/>
    <x v="0"/>
    <x v="0"/>
    <s v="GNR_ENG_NGAS_BP_E-43"/>
    <n v="20.2974358974359"/>
    <n v="2.0297435897435899E-2"/>
  </r>
  <r>
    <x v="0"/>
    <x v="0"/>
    <x v="0"/>
    <x v="0"/>
    <x v="0"/>
    <s v="DK1_Rural"/>
    <x v="6"/>
    <x v="0"/>
    <x v="0"/>
    <x v="0"/>
    <s v="GNR_ENG_NGAS_BP_E-44"/>
    <n v="16.871794871794901"/>
    <n v="1.6871794871794899E-2"/>
  </r>
  <r>
    <x v="0"/>
    <x v="0"/>
    <x v="0"/>
    <x v="0"/>
    <x v="0"/>
    <s v="DK1_Rural"/>
    <x v="6"/>
    <x v="0"/>
    <x v="0"/>
    <x v="0"/>
    <s v="GNR_ENG_NGAS_BP_E-45"/>
    <n v="6.5384615384615401"/>
    <n v="6.5384615384615399E-3"/>
  </r>
  <r>
    <x v="0"/>
    <x v="0"/>
    <x v="0"/>
    <x v="0"/>
    <x v="0"/>
    <s v="DK1_Rural"/>
    <x v="6"/>
    <x v="0"/>
    <x v="0"/>
    <x v="0"/>
    <s v="GNR_ENG_NGAS_BP_E-46"/>
    <n v="2.3333333333333299"/>
    <n v="2.3333333333333301E-3"/>
  </r>
  <r>
    <x v="0"/>
    <x v="0"/>
    <x v="0"/>
    <x v="0"/>
    <x v="0"/>
    <s v="DK1_Rural"/>
    <x v="6"/>
    <x v="1"/>
    <x v="1"/>
    <x v="0"/>
    <s v="GNR_BO_NGAS_E-100"/>
    <n v="116.66"/>
    <n v="0.11666"/>
  </r>
  <r>
    <x v="0"/>
    <x v="0"/>
    <x v="0"/>
    <x v="0"/>
    <x v="0"/>
    <s v="DK1_Rural"/>
    <x v="6"/>
    <x v="1"/>
    <x v="1"/>
    <x v="0"/>
    <s v="GNR_BO_NGAS_E-101"/>
    <n v="169.26"/>
    <n v="0.16925999999999999"/>
  </r>
  <r>
    <x v="0"/>
    <x v="0"/>
    <x v="0"/>
    <x v="0"/>
    <x v="0"/>
    <s v="DK1_Rural"/>
    <x v="6"/>
    <x v="1"/>
    <x v="1"/>
    <x v="0"/>
    <s v="GNR_BO_NGAS_E-102"/>
    <n v="13.61"/>
    <n v="1.3610000000000001E-2"/>
  </r>
  <r>
    <x v="0"/>
    <x v="0"/>
    <x v="0"/>
    <x v="0"/>
    <x v="0"/>
    <s v="DK1_Rural"/>
    <x v="6"/>
    <x v="1"/>
    <x v="1"/>
    <x v="0"/>
    <s v="GNR_BO_NGAS_E-104"/>
    <n v="4.22"/>
    <n v="4.2199999999999998E-3"/>
  </r>
  <r>
    <x v="0"/>
    <x v="0"/>
    <x v="0"/>
    <x v="0"/>
    <x v="0"/>
    <s v="DK1_Rural"/>
    <x v="6"/>
    <x v="1"/>
    <x v="1"/>
    <x v="0"/>
    <s v="GNR_BO_NGAS_E-105"/>
    <n v="34.6"/>
    <n v="3.4599999999999999E-2"/>
  </r>
  <r>
    <x v="0"/>
    <x v="0"/>
    <x v="0"/>
    <x v="0"/>
    <x v="0"/>
    <s v="DK1_Rural"/>
    <x v="6"/>
    <x v="1"/>
    <x v="1"/>
    <x v="0"/>
    <s v="GNR_BO_NGAS_E-98"/>
    <n v="8.4"/>
    <n v="8.3999999999999995E-3"/>
  </r>
  <r>
    <x v="0"/>
    <x v="0"/>
    <x v="0"/>
    <x v="0"/>
    <x v="0"/>
    <s v="DK1_Rural"/>
    <x v="7"/>
    <x v="1"/>
    <x v="1"/>
    <x v="0"/>
    <s v="GNR_BO_STRW_E-100"/>
    <n v="84.42"/>
    <n v="8.4419999999999995E-2"/>
  </r>
  <r>
    <x v="0"/>
    <x v="0"/>
    <x v="0"/>
    <x v="0"/>
    <x v="0"/>
    <s v="DK1_Rural"/>
    <x v="7"/>
    <x v="1"/>
    <x v="1"/>
    <x v="0"/>
    <s v="GNR_BO_STRW_E-102"/>
    <n v="26.46"/>
    <n v="2.6460000000000001E-2"/>
  </r>
  <r>
    <x v="0"/>
    <x v="0"/>
    <x v="0"/>
    <x v="0"/>
    <x v="0"/>
    <s v="DK1_Rural"/>
    <x v="8"/>
    <x v="4"/>
    <x v="5"/>
    <x v="0"/>
    <s v="GNR_SH_SUN"/>
    <n v="506.49"/>
    <n v="0.50649"/>
  </r>
  <r>
    <x v="0"/>
    <x v="0"/>
    <x v="0"/>
    <x v="0"/>
    <x v="0"/>
    <s v="DK1_Rural"/>
    <x v="9"/>
    <x v="1"/>
    <x v="1"/>
    <x v="0"/>
    <s v="GNR_EH_HEAT"/>
    <n v="109"/>
    <n v="0.109"/>
  </r>
  <r>
    <x v="0"/>
    <x v="0"/>
    <x v="0"/>
    <x v="0"/>
    <x v="0"/>
    <s v="DK1_Rural"/>
    <x v="10"/>
    <x v="0"/>
    <x v="0"/>
    <x v="0"/>
    <s v="GNR_ST_WOODCHI_BP_E-17"/>
    <n v="0.96153846153846101"/>
    <n v="9.6153846153846105E-4"/>
  </r>
  <r>
    <x v="0"/>
    <x v="0"/>
    <x v="0"/>
    <x v="0"/>
    <x v="0"/>
    <s v="DK1_Rural"/>
    <x v="10"/>
    <x v="1"/>
    <x v="1"/>
    <x v="0"/>
    <s v="GNR_BO_WOODCHI_E-100"/>
    <n v="150.27500000000001"/>
    <n v="0.15027499999999999"/>
  </r>
  <r>
    <x v="0"/>
    <x v="0"/>
    <x v="0"/>
    <x v="0"/>
    <x v="0"/>
    <s v="DK1_Rural"/>
    <x v="10"/>
    <x v="1"/>
    <x v="1"/>
    <x v="0"/>
    <s v="GNR_BO_WOODCHI_E-105"/>
    <n v="4.5"/>
    <n v="4.4999999999999997E-3"/>
  </r>
  <r>
    <x v="0"/>
    <x v="0"/>
    <x v="0"/>
    <x v="0"/>
    <x v="0"/>
    <s v="DK1_Rural"/>
    <x v="10"/>
    <x v="1"/>
    <x v="1"/>
    <x v="0"/>
    <s v="GNR_BO_WOODCHI_E-106"/>
    <n v="2.75"/>
    <n v="2.7499999999999998E-3"/>
  </r>
  <r>
    <x v="0"/>
    <x v="0"/>
    <x v="0"/>
    <x v="0"/>
    <x v="0"/>
    <s v="DK1_Rural"/>
    <x v="10"/>
    <x v="1"/>
    <x v="1"/>
    <x v="0"/>
    <s v="GNR_BO_WOODCHI_E-107"/>
    <n v="12.48"/>
    <n v="1.248E-2"/>
  </r>
  <r>
    <x v="0"/>
    <x v="0"/>
    <x v="0"/>
    <x v="0"/>
    <x v="0"/>
    <s v="DK1_Rural"/>
    <x v="10"/>
    <x v="1"/>
    <x v="1"/>
    <x v="0"/>
    <s v="GNR_BO_WOODCHI_E-110"/>
    <n v="91.43"/>
    <n v="9.1429999999999997E-2"/>
  </r>
  <r>
    <x v="0"/>
    <x v="0"/>
    <x v="0"/>
    <x v="0"/>
    <x v="0"/>
    <s v="DK1_Rural"/>
    <x v="10"/>
    <x v="1"/>
    <x v="1"/>
    <x v="0"/>
    <s v="GNR_BO_WOODCHI_E-112"/>
    <n v="19"/>
    <n v="1.9E-2"/>
  </r>
  <r>
    <x v="0"/>
    <x v="0"/>
    <x v="0"/>
    <x v="0"/>
    <x v="0"/>
    <s v="DK1_Rural"/>
    <x v="10"/>
    <x v="1"/>
    <x v="1"/>
    <x v="0"/>
    <s v="GNR_BO_WOODCHI_E-117"/>
    <n v="13"/>
    <n v="1.2999999999999999E-2"/>
  </r>
  <r>
    <x v="0"/>
    <x v="0"/>
    <x v="0"/>
    <x v="0"/>
    <x v="0"/>
    <s v="DK1_Rural"/>
    <x v="10"/>
    <x v="1"/>
    <x v="1"/>
    <x v="0"/>
    <s v="GNR_BO_WOODCHI_E-120"/>
    <n v="18"/>
    <n v="1.7999999999999999E-2"/>
  </r>
  <r>
    <x v="0"/>
    <x v="0"/>
    <x v="0"/>
    <x v="0"/>
    <x v="0"/>
    <s v="DK1_Rural"/>
    <x v="11"/>
    <x v="1"/>
    <x v="1"/>
    <x v="0"/>
    <s v="GNR_BO_WOODPEL_E-100"/>
    <n v="20.190000000000001"/>
    <n v="2.019E-2"/>
  </r>
  <r>
    <x v="0"/>
    <x v="0"/>
    <x v="0"/>
    <x v="0"/>
    <x v="0"/>
    <s v="DK1_Rural"/>
    <x v="11"/>
    <x v="1"/>
    <x v="1"/>
    <x v="0"/>
    <s v="GNR_BO_WOODPEL_E-102"/>
    <n v="15.055"/>
    <n v="1.5055000000000001E-2"/>
  </r>
  <r>
    <x v="0"/>
    <x v="0"/>
    <x v="0"/>
    <x v="0"/>
    <x v="0"/>
    <s v="DK1_Rural"/>
    <x v="13"/>
    <x v="1"/>
    <x v="1"/>
    <x v="0"/>
    <s v="GNR_BO_WOODWST_E-100"/>
    <n v="21.75"/>
    <n v="2.1749999999999999E-2"/>
  </r>
  <r>
    <x v="0"/>
    <x v="0"/>
    <x v="0"/>
    <x v="0"/>
    <x v="0"/>
    <s v="DK1_Rural"/>
    <x v="13"/>
    <x v="1"/>
    <x v="1"/>
    <x v="0"/>
    <s v="GNR_BO_WOODWST_E-113"/>
    <n v="4"/>
    <n v="4.0000000000000001E-3"/>
  </r>
  <r>
    <x v="0"/>
    <x v="0"/>
    <x v="0"/>
    <x v="0"/>
    <x v="0"/>
    <s v="DK1_Rural"/>
    <x v="13"/>
    <x v="1"/>
    <x v="1"/>
    <x v="0"/>
    <s v="GNR_BO_WOODWST_E-86"/>
    <n v="3"/>
    <n v="3.0000000000000001E-3"/>
  </r>
  <r>
    <x v="0"/>
    <x v="0"/>
    <x v="0"/>
    <x v="0"/>
    <x v="0"/>
    <s v="DK1_Rural"/>
    <x v="13"/>
    <x v="1"/>
    <x v="1"/>
    <x v="0"/>
    <s v="GNR_BO_WOODWST_E-89"/>
    <n v="2"/>
    <n v="2E-3"/>
  </r>
  <r>
    <x v="0"/>
    <x v="0"/>
    <x v="0"/>
    <x v="0"/>
    <x v="0"/>
    <s v="DK1_Rural"/>
    <x v="13"/>
    <x v="1"/>
    <x v="1"/>
    <x v="0"/>
    <s v="GNR_BO_WOODWST_E-90"/>
    <n v="1.8"/>
    <n v="1.8E-3"/>
  </r>
  <r>
    <x v="0"/>
    <x v="0"/>
    <x v="0"/>
    <x v="0"/>
    <x v="0"/>
    <s v="DK1_Rural"/>
    <x v="13"/>
    <x v="1"/>
    <x v="1"/>
    <x v="0"/>
    <s v="GNR_BO_WOODWST_E-94"/>
    <n v="0.93"/>
    <n v="9.3000000000000005E-4"/>
  </r>
  <r>
    <x v="0"/>
    <x v="0"/>
    <x v="0"/>
    <x v="0"/>
    <x v="0"/>
    <s v="DK1_Small"/>
    <x v="1"/>
    <x v="1"/>
    <x v="1"/>
    <x v="0"/>
    <s v="GNR_BO_BIOIL_E-90"/>
    <n v="14.4"/>
    <n v="1.44E-2"/>
  </r>
  <r>
    <x v="0"/>
    <x v="0"/>
    <x v="0"/>
    <x v="0"/>
    <x v="0"/>
    <s v="DK1_Small"/>
    <x v="1"/>
    <x v="1"/>
    <x v="1"/>
    <x v="0"/>
    <s v="GNR_BO_BIOIL_E-91"/>
    <n v="6"/>
    <n v="6.0000000000000001E-3"/>
  </r>
  <r>
    <x v="0"/>
    <x v="0"/>
    <x v="0"/>
    <x v="0"/>
    <x v="0"/>
    <s v="DK1_Small"/>
    <x v="3"/>
    <x v="3"/>
    <x v="3"/>
    <x v="1"/>
    <s v="GNR_HS_HEAT_WTR-TANK_LS_E-95_Y-2010"/>
    <n v="4.3654816492516098"/>
    <n v="3.4923853194012901E-2"/>
  </r>
  <r>
    <x v="0"/>
    <x v="0"/>
    <x v="0"/>
    <x v="0"/>
    <x v="0"/>
    <s v="DK1_Small"/>
    <x v="4"/>
    <x v="1"/>
    <x v="1"/>
    <x v="0"/>
    <s v="GNR_BO_LIGHTOIL_E-100"/>
    <n v="15"/>
    <n v="1.4999999999999999E-2"/>
  </r>
  <r>
    <x v="0"/>
    <x v="0"/>
    <x v="0"/>
    <x v="0"/>
    <x v="0"/>
    <s v="DK1_Small"/>
    <x v="4"/>
    <x v="1"/>
    <x v="1"/>
    <x v="0"/>
    <s v="GNR_BO_LIGHTOIL_E-96"/>
    <n v="5.9"/>
    <n v="5.8999999999999999E-3"/>
  </r>
  <r>
    <x v="0"/>
    <x v="0"/>
    <x v="0"/>
    <x v="0"/>
    <x v="0"/>
    <s v="DK1_Small"/>
    <x v="6"/>
    <x v="0"/>
    <x v="0"/>
    <x v="0"/>
    <s v="GNR_ENG_NGAS_BP_E-38"/>
    <n v="1.44871794871795"/>
    <n v="1.4487179487179501E-3"/>
  </r>
  <r>
    <x v="0"/>
    <x v="0"/>
    <x v="0"/>
    <x v="0"/>
    <x v="0"/>
    <s v="DK1_Small"/>
    <x v="6"/>
    <x v="1"/>
    <x v="1"/>
    <x v="0"/>
    <s v="GNR_BO_NGAS_E-101"/>
    <n v="22"/>
    <n v="2.1999999999999999E-2"/>
  </r>
  <r>
    <x v="0"/>
    <x v="0"/>
    <x v="0"/>
    <x v="0"/>
    <x v="0"/>
    <s v="DK1_Small"/>
    <x v="7"/>
    <x v="1"/>
    <x v="1"/>
    <x v="0"/>
    <s v="GNR_BO_STRW_E-100"/>
    <n v="41.5"/>
    <n v="4.1500000000000002E-2"/>
  </r>
  <r>
    <x v="0"/>
    <x v="0"/>
    <x v="0"/>
    <x v="0"/>
    <x v="0"/>
    <s v="DK1_Small"/>
    <x v="9"/>
    <x v="1"/>
    <x v="1"/>
    <x v="0"/>
    <s v="GNR_EH_HEAT"/>
    <n v="9"/>
    <n v="8.9999999999999993E-3"/>
  </r>
  <r>
    <x v="0"/>
    <x v="0"/>
    <x v="0"/>
    <x v="0"/>
    <x v="0"/>
    <s v="DK1_Small"/>
    <x v="10"/>
    <x v="1"/>
    <x v="1"/>
    <x v="0"/>
    <s v="GNR_BO_WOODCHI_E-100"/>
    <n v="30"/>
    <n v="0.03"/>
  </r>
  <r>
    <x v="0"/>
    <x v="0"/>
    <x v="0"/>
    <x v="0"/>
    <x v="0"/>
    <s v="DK1_Small"/>
    <x v="10"/>
    <x v="1"/>
    <x v="1"/>
    <x v="0"/>
    <s v="GNR_BO_WOODCHI_E-110"/>
    <n v="10.8"/>
    <n v="1.0800000000000001E-2"/>
  </r>
  <r>
    <x v="0"/>
    <x v="0"/>
    <x v="0"/>
    <x v="0"/>
    <x v="0"/>
    <s v="DK1_Small"/>
    <x v="11"/>
    <x v="1"/>
    <x v="1"/>
    <x v="0"/>
    <s v="GNR_BO_WOODPEL_E-100"/>
    <n v="13"/>
    <n v="1.2999999999999999E-2"/>
  </r>
  <r>
    <x v="0"/>
    <x v="0"/>
    <x v="0"/>
    <x v="0"/>
    <x v="0"/>
    <s v="DK1_Small"/>
    <x v="11"/>
    <x v="1"/>
    <x v="1"/>
    <x v="0"/>
    <s v="GNR_BO_WOODPEL_E-102"/>
    <n v="1.75"/>
    <n v="1.75E-3"/>
  </r>
  <r>
    <x v="0"/>
    <x v="0"/>
    <x v="0"/>
    <x v="0"/>
    <x v="0"/>
    <s v="DK1_Small"/>
    <x v="13"/>
    <x v="1"/>
    <x v="1"/>
    <x v="0"/>
    <s v="GNR_BO_WOODWST_E-89"/>
    <n v="1.778"/>
    <n v="1.7780000000000001E-3"/>
  </r>
  <r>
    <x v="0"/>
    <x v="0"/>
    <x v="0"/>
    <x v="0"/>
    <x v="1"/>
    <s v="DK2_Large"/>
    <x v="0"/>
    <x v="0"/>
    <x v="0"/>
    <x v="0"/>
    <s v="GNR_ENG_BGAS_BP_E-42"/>
    <n v="3.9064102564102599"/>
    <n v="3.9064102564102601E-3"/>
  </r>
  <r>
    <x v="0"/>
    <x v="0"/>
    <x v="0"/>
    <x v="0"/>
    <x v="1"/>
    <s v="DK2_Large"/>
    <x v="0"/>
    <x v="1"/>
    <x v="1"/>
    <x v="0"/>
    <s v="GNR_BO_BGAS_E-95"/>
    <n v="0.76"/>
    <n v="7.6000000000000004E-4"/>
  </r>
  <r>
    <x v="0"/>
    <x v="0"/>
    <x v="0"/>
    <x v="0"/>
    <x v="1"/>
    <s v="DK2_Large"/>
    <x v="14"/>
    <x v="0"/>
    <x v="6"/>
    <x v="0"/>
    <s v="GNR_ST_COAL_EXT_E-42"/>
    <n v="284.09090909090901"/>
    <n v="0.28409090909090901"/>
  </r>
  <r>
    <x v="0"/>
    <x v="0"/>
    <x v="0"/>
    <x v="0"/>
    <x v="1"/>
    <s v="DK2_Large"/>
    <x v="2"/>
    <x v="2"/>
    <x v="2"/>
    <x v="0"/>
    <s v="GNR_BO_ELEC_E-100"/>
    <n v="10"/>
    <n v="0.01"/>
  </r>
  <r>
    <x v="0"/>
    <x v="0"/>
    <x v="0"/>
    <x v="0"/>
    <x v="1"/>
    <s v="DK2_Large"/>
    <x v="2"/>
    <x v="2"/>
    <x v="2"/>
    <x v="0"/>
    <s v="GNR_HP_ELEC_COP-300"/>
    <n v="0.34"/>
    <n v="3.4000000000000002E-4"/>
  </r>
  <r>
    <x v="0"/>
    <x v="0"/>
    <x v="0"/>
    <x v="0"/>
    <x v="1"/>
    <s v="DK2_Large"/>
    <x v="3"/>
    <x v="3"/>
    <x v="3"/>
    <x v="1"/>
    <s v="GNR_HS_HEAT_WTR-TANK_LS_E-95_Y-2010"/>
    <n v="748.15667954066396"/>
    <n v="5.9852534363253103"/>
  </r>
  <r>
    <x v="0"/>
    <x v="0"/>
    <x v="0"/>
    <x v="0"/>
    <x v="1"/>
    <s v="DK2_Large"/>
    <x v="3"/>
    <x v="3"/>
    <x v="4"/>
    <x v="1"/>
    <s v="GNR_HS_HEAT_PIT_L-CEN_E-90_Y-2030"/>
    <n v="9672.3857261060693"/>
    <n v="77.3790858088486"/>
  </r>
  <r>
    <x v="0"/>
    <x v="0"/>
    <x v="0"/>
    <x v="0"/>
    <x v="1"/>
    <s v="DK2_Large"/>
    <x v="4"/>
    <x v="1"/>
    <x v="1"/>
    <x v="0"/>
    <s v="GNR_BO_LIGHTOIL_E-100"/>
    <n v="6"/>
    <n v="6.0000000000000001E-3"/>
  </r>
  <r>
    <x v="0"/>
    <x v="0"/>
    <x v="0"/>
    <x v="0"/>
    <x v="1"/>
    <s v="DK2_Large"/>
    <x v="4"/>
    <x v="1"/>
    <x v="1"/>
    <x v="0"/>
    <s v="GNR_BO_LIGHTOIL_E-88"/>
    <n v="6.5"/>
    <n v="6.4999999999999997E-3"/>
  </r>
  <r>
    <x v="0"/>
    <x v="0"/>
    <x v="0"/>
    <x v="0"/>
    <x v="1"/>
    <s v="DK2_Large"/>
    <x v="4"/>
    <x v="1"/>
    <x v="1"/>
    <x v="0"/>
    <s v="GNR_BO_LIGHTOIL_E-92"/>
    <n v="72.8"/>
    <n v="7.2800000000000004E-2"/>
  </r>
  <r>
    <x v="0"/>
    <x v="0"/>
    <x v="0"/>
    <x v="0"/>
    <x v="1"/>
    <s v="DK2_Large"/>
    <x v="4"/>
    <x v="1"/>
    <x v="1"/>
    <x v="0"/>
    <s v="GNR_BO_LIGHTOIL_E-93"/>
    <n v="60"/>
    <n v="0.06"/>
  </r>
  <r>
    <x v="0"/>
    <x v="0"/>
    <x v="0"/>
    <x v="0"/>
    <x v="1"/>
    <s v="DK2_Large"/>
    <x v="4"/>
    <x v="1"/>
    <x v="1"/>
    <x v="0"/>
    <s v="GNR_BO_LIGHTOIL_E-95"/>
    <n v="8.6999999999999993"/>
    <n v="8.6999999999999994E-3"/>
  </r>
  <r>
    <x v="0"/>
    <x v="0"/>
    <x v="0"/>
    <x v="0"/>
    <x v="1"/>
    <s v="DK2_Large"/>
    <x v="5"/>
    <x v="0"/>
    <x v="0"/>
    <x v="1"/>
    <s v="GNR_ST_MSW_BP_E-24_LS-220-MW-FEED_Y-2030"/>
    <n v="165.41718477818401"/>
    <n v="0.16541718477818401"/>
  </r>
  <r>
    <x v="0"/>
    <x v="0"/>
    <x v="0"/>
    <x v="0"/>
    <x v="1"/>
    <s v="DK2_Large"/>
    <x v="5"/>
    <x v="0"/>
    <x v="0"/>
    <x v="0"/>
    <s v="GNR_ST_MSW_BP_E-27"/>
    <n v="24.871794871794901"/>
    <n v="2.4871794871794899E-2"/>
  </r>
  <r>
    <x v="0"/>
    <x v="0"/>
    <x v="0"/>
    <x v="0"/>
    <x v="1"/>
    <s v="DK2_Large"/>
    <x v="6"/>
    <x v="0"/>
    <x v="0"/>
    <x v="1"/>
    <s v="GNR_GT_NGAS_BP_E-43_LS-40-MW_Y-2030"/>
    <n v="457.93988021447302"/>
    <n v="0.45793988021447302"/>
  </r>
  <r>
    <x v="0"/>
    <x v="0"/>
    <x v="0"/>
    <x v="0"/>
    <x v="1"/>
    <s v="DK2_Large"/>
    <x v="6"/>
    <x v="1"/>
    <x v="1"/>
    <x v="0"/>
    <s v="GNR_BO_NGAS_E-100"/>
    <n v="50.7"/>
    <n v="5.0700000000000002E-2"/>
  </r>
  <r>
    <x v="0"/>
    <x v="0"/>
    <x v="0"/>
    <x v="0"/>
    <x v="1"/>
    <s v="DK2_Large"/>
    <x v="6"/>
    <x v="1"/>
    <x v="1"/>
    <x v="0"/>
    <s v="GNR_BO_NGAS_E-101"/>
    <n v="297.3"/>
    <n v="0.29730000000000001"/>
  </r>
  <r>
    <x v="0"/>
    <x v="0"/>
    <x v="0"/>
    <x v="0"/>
    <x v="1"/>
    <s v="DK2_Large"/>
    <x v="6"/>
    <x v="1"/>
    <x v="1"/>
    <x v="0"/>
    <s v="GNR_BO_NGAS_E-98"/>
    <n v="19.399999999999999"/>
    <n v="1.9400000000000001E-2"/>
  </r>
  <r>
    <x v="0"/>
    <x v="0"/>
    <x v="0"/>
    <x v="0"/>
    <x v="1"/>
    <s v="DK2_Large"/>
    <x v="9"/>
    <x v="1"/>
    <x v="1"/>
    <x v="0"/>
    <s v="GNR_EH_HEAT"/>
    <n v="173"/>
    <n v="0.17299999999999999"/>
  </r>
  <r>
    <x v="0"/>
    <x v="0"/>
    <x v="0"/>
    <x v="0"/>
    <x v="1"/>
    <s v="DK2_Large"/>
    <x v="9"/>
    <x v="1"/>
    <x v="1"/>
    <x v="0"/>
    <s v="GNR_GEO_HEAT_HO"/>
    <n v="14"/>
    <n v="1.4E-2"/>
  </r>
  <r>
    <x v="0"/>
    <x v="0"/>
    <x v="0"/>
    <x v="0"/>
    <x v="1"/>
    <s v="DK2_Large"/>
    <x v="13"/>
    <x v="1"/>
    <x v="1"/>
    <x v="0"/>
    <s v="GNR_BO_WOODWST_E-90"/>
    <n v="6.66"/>
    <n v="6.6600000000000001E-3"/>
  </r>
  <r>
    <x v="0"/>
    <x v="0"/>
    <x v="0"/>
    <x v="0"/>
    <x v="1"/>
    <s v="DK2_Large_PHH"/>
    <x v="2"/>
    <x v="2"/>
    <x v="2"/>
    <x v="1"/>
    <s v="GNR_BO_ELEC_E-99_LS-10-MW-FEED_PHH_Y-2030"/>
    <n v="25.0740278366615"/>
    <n v="2.5074027836661499E-2"/>
  </r>
  <r>
    <x v="0"/>
    <x v="0"/>
    <x v="0"/>
    <x v="0"/>
    <x v="1"/>
    <s v="DK2_Large_PHH"/>
    <x v="6"/>
    <x v="1"/>
    <x v="1"/>
    <x v="1"/>
    <s v="GNR_BO_NGAS_E-70_PHH"/>
    <n v="76.5128280829462"/>
    <n v="7.6512828082946197E-2"/>
  </r>
  <r>
    <x v="0"/>
    <x v="0"/>
    <x v="0"/>
    <x v="0"/>
    <x v="1"/>
    <s v="DK2_Large_PHL"/>
    <x v="6"/>
    <x v="1"/>
    <x v="1"/>
    <x v="1"/>
    <s v="GNR_BO_NGAS_E-82_PHL"/>
    <n v="422.97111378897699"/>
    <n v="0.422971113788977"/>
  </r>
  <r>
    <x v="0"/>
    <x v="0"/>
    <x v="0"/>
    <x v="0"/>
    <x v="1"/>
    <s v="DK2_MedSmall"/>
    <x v="0"/>
    <x v="0"/>
    <x v="0"/>
    <x v="0"/>
    <s v="GNR_ENG_BGAS_BP_E-38"/>
    <n v="0.32051282051281998"/>
    <n v="3.20512820512821E-4"/>
  </r>
  <r>
    <x v="0"/>
    <x v="0"/>
    <x v="0"/>
    <x v="0"/>
    <x v="1"/>
    <s v="DK2_MedSmall"/>
    <x v="3"/>
    <x v="3"/>
    <x v="3"/>
    <x v="1"/>
    <s v="GNR_HS_HEAT_WTR-TANK_LS_E-95_Y-2010"/>
    <n v="50.721106628646901"/>
    <n v="0.40576885302917498"/>
  </r>
  <r>
    <x v="0"/>
    <x v="0"/>
    <x v="0"/>
    <x v="0"/>
    <x v="1"/>
    <s v="DK2_MedSmall"/>
    <x v="3"/>
    <x v="3"/>
    <x v="4"/>
    <x v="1"/>
    <s v="GNR_HS_HEAT_PIT_L-DEC_E-91_Y-2030"/>
    <n v="1986.32904564911"/>
    <n v="15.8906323651929"/>
  </r>
  <r>
    <x v="0"/>
    <x v="0"/>
    <x v="0"/>
    <x v="0"/>
    <x v="1"/>
    <s v="DK2_MedSmall"/>
    <x v="6"/>
    <x v="0"/>
    <x v="0"/>
    <x v="1"/>
    <s v="GNR_ENG_NGAS_BP_E-48_Y-2030"/>
    <n v="173.79604187208801"/>
    <n v="0.173796041872088"/>
  </r>
  <r>
    <x v="0"/>
    <x v="0"/>
    <x v="0"/>
    <x v="0"/>
    <x v="1"/>
    <s v="DK2_MedSmall"/>
    <x v="6"/>
    <x v="1"/>
    <x v="1"/>
    <x v="0"/>
    <s v="GNR_BO_NGAS_E-101"/>
    <n v="110.9"/>
    <n v="0.1109"/>
  </r>
  <r>
    <x v="0"/>
    <x v="0"/>
    <x v="0"/>
    <x v="0"/>
    <x v="1"/>
    <s v="DK2_MedSmall"/>
    <x v="7"/>
    <x v="1"/>
    <x v="1"/>
    <x v="0"/>
    <s v="GNR_BO_STRW_E-100"/>
    <n v="13.8"/>
    <n v="1.38E-2"/>
  </r>
  <r>
    <x v="0"/>
    <x v="0"/>
    <x v="0"/>
    <x v="0"/>
    <x v="1"/>
    <s v="DK2_MedSmall"/>
    <x v="7"/>
    <x v="1"/>
    <x v="1"/>
    <x v="0"/>
    <s v="GNR_BO_STRW_E-102"/>
    <n v="10"/>
    <n v="0.01"/>
  </r>
  <r>
    <x v="0"/>
    <x v="0"/>
    <x v="0"/>
    <x v="0"/>
    <x v="1"/>
    <s v="DK2_MedSmall"/>
    <x v="8"/>
    <x v="4"/>
    <x v="5"/>
    <x v="0"/>
    <s v="GNR_SH_SUN"/>
    <n v="15"/>
    <n v="1.4999999999999999E-2"/>
  </r>
  <r>
    <x v="0"/>
    <x v="0"/>
    <x v="0"/>
    <x v="0"/>
    <x v="1"/>
    <s v="DK2_MedSmall"/>
    <x v="9"/>
    <x v="1"/>
    <x v="1"/>
    <x v="0"/>
    <s v="GNR_EH_HEAT"/>
    <n v="14"/>
    <n v="1.4E-2"/>
  </r>
  <r>
    <x v="0"/>
    <x v="0"/>
    <x v="0"/>
    <x v="0"/>
    <x v="1"/>
    <s v="DK2_MedSmall"/>
    <x v="10"/>
    <x v="1"/>
    <x v="1"/>
    <x v="0"/>
    <s v="GNR_BO_WOODCHI_E-112"/>
    <n v="14"/>
    <n v="1.4E-2"/>
  </r>
  <r>
    <x v="0"/>
    <x v="0"/>
    <x v="0"/>
    <x v="0"/>
    <x v="1"/>
    <s v="DK2_MedSmall"/>
    <x v="10"/>
    <x v="1"/>
    <x v="1"/>
    <x v="0"/>
    <s v="GNR_BO_WOODCHI_E-118"/>
    <n v="10.6"/>
    <n v="1.06E-2"/>
  </r>
  <r>
    <x v="0"/>
    <x v="0"/>
    <x v="0"/>
    <x v="0"/>
    <x v="1"/>
    <s v="DK2_Medium"/>
    <x v="0"/>
    <x v="1"/>
    <x v="1"/>
    <x v="0"/>
    <s v="GNR_BO_BGAS_E-100"/>
    <n v="0.4"/>
    <n v="4.0000000000000002E-4"/>
  </r>
  <r>
    <x v="0"/>
    <x v="0"/>
    <x v="0"/>
    <x v="0"/>
    <x v="1"/>
    <s v="DK2_Medium"/>
    <x v="3"/>
    <x v="3"/>
    <x v="3"/>
    <x v="1"/>
    <s v="GNR_HS_HEAT_WTR-TANK_LS_E-95_Y-2010"/>
    <n v="163.09513805465201"/>
    <n v="1.30476110443722"/>
  </r>
  <r>
    <x v="0"/>
    <x v="0"/>
    <x v="0"/>
    <x v="0"/>
    <x v="1"/>
    <s v="DK2_Medium"/>
    <x v="3"/>
    <x v="3"/>
    <x v="4"/>
    <x v="1"/>
    <s v="GNR_HS_HEAT_PIT_L-DEC_E-91_Y-2030"/>
    <n v="3481.7046395953198"/>
    <n v="27.853637116762499"/>
  </r>
  <r>
    <x v="0"/>
    <x v="0"/>
    <x v="0"/>
    <x v="0"/>
    <x v="1"/>
    <s v="DK2_Medium"/>
    <x v="5"/>
    <x v="0"/>
    <x v="0"/>
    <x v="0"/>
    <s v="GNR_ST_MSW_BP_E-23"/>
    <n v="10.2564102564103"/>
    <n v="1.02564102564103E-2"/>
  </r>
  <r>
    <x v="0"/>
    <x v="0"/>
    <x v="0"/>
    <x v="0"/>
    <x v="1"/>
    <s v="DK2_Medium"/>
    <x v="6"/>
    <x v="0"/>
    <x v="0"/>
    <x v="1"/>
    <s v="GNR_ENG_NGAS_BP_E-48_Y-2030"/>
    <n v="363.54537887210898"/>
    <n v="0.36354537887210903"/>
  </r>
  <r>
    <x v="0"/>
    <x v="0"/>
    <x v="0"/>
    <x v="0"/>
    <x v="1"/>
    <s v="DK2_Medium"/>
    <x v="6"/>
    <x v="0"/>
    <x v="0"/>
    <x v="0"/>
    <s v="GNR_ENG_NGAS_BP_E-35"/>
    <n v="1.2435897435897401"/>
    <n v="1.2435897435897399E-3"/>
  </r>
  <r>
    <x v="0"/>
    <x v="0"/>
    <x v="0"/>
    <x v="0"/>
    <x v="1"/>
    <s v="DK2_Medium"/>
    <x v="6"/>
    <x v="0"/>
    <x v="0"/>
    <x v="0"/>
    <s v="GNR_ENG_NGAS_BP_E-42"/>
    <n v="2.5641025641025599"/>
    <n v="2.5641025641025602E-3"/>
  </r>
  <r>
    <x v="0"/>
    <x v="0"/>
    <x v="0"/>
    <x v="0"/>
    <x v="1"/>
    <s v="DK2_Medium"/>
    <x v="6"/>
    <x v="1"/>
    <x v="1"/>
    <x v="0"/>
    <s v="GNR_BO_NGAS_E-100"/>
    <n v="40.5"/>
    <n v="4.0500000000000001E-2"/>
  </r>
  <r>
    <x v="0"/>
    <x v="0"/>
    <x v="0"/>
    <x v="0"/>
    <x v="1"/>
    <s v="DK2_Medium"/>
    <x v="6"/>
    <x v="1"/>
    <x v="1"/>
    <x v="0"/>
    <s v="GNR_BO_NGAS_E-101"/>
    <n v="24"/>
    <n v="2.4E-2"/>
  </r>
  <r>
    <x v="0"/>
    <x v="0"/>
    <x v="0"/>
    <x v="0"/>
    <x v="1"/>
    <s v="DK2_Medium"/>
    <x v="6"/>
    <x v="1"/>
    <x v="1"/>
    <x v="0"/>
    <s v="GNR_BO_NGAS_E-103"/>
    <n v="17"/>
    <n v="1.7000000000000001E-2"/>
  </r>
  <r>
    <x v="0"/>
    <x v="0"/>
    <x v="0"/>
    <x v="0"/>
    <x v="1"/>
    <s v="DK2_Medium"/>
    <x v="8"/>
    <x v="4"/>
    <x v="5"/>
    <x v="0"/>
    <s v="GNR_SH_SUN"/>
    <n v="18.3"/>
    <n v="1.83E-2"/>
  </r>
  <r>
    <x v="0"/>
    <x v="0"/>
    <x v="0"/>
    <x v="0"/>
    <x v="1"/>
    <s v="DK2_Medium"/>
    <x v="9"/>
    <x v="1"/>
    <x v="1"/>
    <x v="0"/>
    <s v="GNR_EH_HEAT"/>
    <n v="34"/>
    <n v="3.4000000000000002E-2"/>
  </r>
  <r>
    <x v="0"/>
    <x v="0"/>
    <x v="0"/>
    <x v="0"/>
    <x v="1"/>
    <s v="DK2_Medium"/>
    <x v="10"/>
    <x v="0"/>
    <x v="0"/>
    <x v="0"/>
    <s v="GNR_ST_WOODCHI_BP_E-27"/>
    <n v="0.42307692307692302"/>
    <n v="4.2307692307692299E-4"/>
  </r>
  <r>
    <x v="0"/>
    <x v="0"/>
    <x v="0"/>
    <x v="0"/>
    <x v="1"/>
    <s v="DK2_Medium"/>
    <x v="10"/>
    <x v="1"/>
    <x v="1"/>
    <x v="0"/>
    <s v="GNR_BO_WOODCHI_E-100"/>
    <n v="3.4"/>
    <n v="3.3999999999999998E-3"/>
  </r>
  <r>
    <x v="0"/>
    <x v="0"/>
    <x v="0"/>
    <x v="0"/>
    <x v="1"/>
    <s v="DK2_Medium"/>
    <x v="10"/>
    <x v="1"/>
    <x v="1"/>
    <x v="0"/>
    <s v="GNR_BO_WOODCHI_E-110"/>
    <n v="14.64"/>
    <n v="1.464E-2"/>
  </r>
  <r>
    <x v="0"/>
    <x v="0"/>
    <x v="0"/>
    <x v="0"/>
    <x v="1"/>
    <s v="DK2_Medium"/>
    <x v="11"/>
    <x v="1"/>
    <x v="1"/>
    <x v="0"/>
    <s v="GNR_BO_WOODPEL_E-100"/>
    <n v="1"/>
    <n v="1E-3"/>
  </r>
  <r>
    <x v="0"/>
    <x v="0"/>
    <x v="0"/>
    <x v="0"/>
    <x v="1"/>
    <s v="DK2_Medium"/>
    <x v="11"/>
    <x v="1"/>
    <x v="1"/>
    <x v="0"/>
    <s v="GNR_BO_WOODPEL_E-102"/>
    <n v="9.5"/>
    <n v="9.4999999999999998E-3"/>
  </r>
  <r>
    <x v="0"/>
    <x v="0"/>
    <x v="0"/>
    <x v="0"/>
    <x v="1"/>
    <s v="DK2_NoDH"/>
    <x v="0"/>
    <x v="0"/>
    <x v="0"/>
    <x v="0"/>
    <s v="GNR_ENG_BGAS_BP_E-33"/>
    <n v="0.29487179487179499"/>
    <n v="2.94871794871795E-4"/>
  </r>
  <r>
    <x v="0"/>
    <x v="0"/>
    <x v="0"/>
    <x v="0"/>
    <x v="1"/>
    <s v="DK2_NoDH"/>
    <x v="0"/>
    <x v="0"/>
    <x v="0"/>
    <x v="0"/>
    <s v="GNR_ENG_BGAS_BP_E-34"/>
    <n v="0.128205128205128"/>
    <n v="1.2820512820512799E-4"/>
  </r>
  <r>
    <x v="0"/>
    <x v="0"/>
    <x v="0"/>
    <x v="0"/>
    <x v="1"/>
    <s v="DK2_NoDH"/>
    <x v="0"/>
    <x v="0"/>
    <x v="0"/>
    <x v="0"/>
    <s v="GNR_ENG_BGAS_BP_E-35"/>
    <n v="0.28205128205128199"/>
    <n v="2.8205128205128198E-4"/>
  </r>
  <r>
    <x v="0"/>
    <x v="0"/>
    <x v="0"/>
    <x v="0"/>
    <x v="1"/>
    <s v="DK2_NoDH"/>
    <x v="0"/>
    <x v="0"/>
    <x v="0"/>
    <x v="0"/>
    <s v="GNR_ENG_BGAS_BP_E-36"/>
    <n v="8.0769230769230801E-2"/>
    <n v="8.0769230769230804E-5"/>
  </r>
  <r>
    <x v="0"/>
    <x v="0"/>
    <x v="0"/>
    <x v="0"/>
    <x v="1"/>
    <s v="DK2_NoDH"/>
    <x v="0"/>
    <x v="0"/>
    <x v="0"/>
    <x v="0"/>
    <s v="GNR_ENG_BGAS_BP_E-37"/>
    <n v="0.128205128205128"/>
    <n v="1.2820512820512799E-4"/>
  </r>
  <r>
    <x v="0"/>
    <x v="0"/>
    <x v="0"/>
    <x v="0"/>
    <x v="1"/>
    <s v="DK2_NoDH"/>
    <x v="0"/>
    <x v="0"/>
    <x v="0"/>
    <x v="0"/>
    <s v="GNR_ENG_BGAS_BP_E-38"/>
    <n v="0.46538461538461501"/>
    <n v="4.6538461538461501E-4"/>
  </r>
  <r>
    <x v="0"/>
    <x v="0"/>
    <x v="0"/>
    <x v="0"/>
    <x v="1"/>
    <s v="DK2_NoDH"/>
    <x v="0"/>
    <x v="0"/>
    <x v="0"/>
    <x v="0"/>
    <s v="GNR_ENG_BGAS_BP_E-39"/>
    <n v="0.243589743589744"/>
    <n v="2.4358974358974401E-4"/>
  </r>
  <r>
    <x v="0"/>
    <x v="0"/>
    <x v="0"/>
    <x v="0"/>
    <x v="1"/>
    <s v="DK2_NoDH"/>
    <x v="0"/>
    <x v="0"/>
    <x v="0"/>
    <x v="0"/>
    <s v="GNR_ENG_BGAS_BP_E-40"/>
    <n v="5.1282051282051301E-2"/>
    <n v="5.12820512820513E-5"/>
  </r>
  <r>
    <x v="0"/>
    <x v="0"/>
    <x v="0"/>
    <x v="0"/>
    <x v="1"/>
    <s v="DK2_NoDH"/>
    <x v="0"/>
    <x v="0"/>
    <x v="0"/>
    <x v="0"/>
    <s v="GNR_ENG_BGAS_BP_E-42"/>
    <n v="5.6410256410256396"/>
    <n v="5.6410256410256397E-3"/>
  </r>
  <r>
    <x v="0"/>
    <x v="0"/>
    <x v="0"/>
    <x v="0"/>
    <x v="1"/>
    <s v="DK2_NoDH"/>
    <x v="2"/>
    <x v="2"/>
    <x v="2"/>
    <x v="0"/>
    <s v="GNR_BO_ELEC_E-100"/>
    <n v="10"/>
    <n v="0.01"/>
  </r>
  <r>
    <x v="0"/>
    <x v="0"/>
    <x v="0"/>
    <x v="0"/>
    <x v="1"/>
    <s v="DK2_NoDH"/>
    <x v="4"/>
    <x v="0"/>
    <x v="0"/>
    <x v="0"/>
    <s v="GNR_ENG_LIGHTOIL_BP_E-37"/>
    <n v="20.5128205128205"/>
    <n v="2.0512820512820499E-2"/>
  </r>
  <r>
    <x v="0"/>
    <x v="0"/>
    <x v="0"/>
    <x v="0"/>
    <x v="1"/>
    <s v="DK2_NoDH"/>
    <x v="4"/>
    <x v="0"/>
    <x v="0"/>
    <x v="0"/>
    <s v="GNR_ENG_LIGHTOIL_BP_E-39"/>
    <n v="0.1"/>
    <n v="1E-4"/>
  </r>
  <r>
    <x v="0"/>
    <x v="0"/>
    <x v="0"/>
    <x v="0"/>
    <x v="1"/>
    <s v="DK2_NoDH"/>
    <x v="6"/>
    <x v="0"/>
    <x v="0"/>
    <x v="0"/>
    <s v="GNR_ENG_NGAS_BP_E-36"/>
    <n v="0.128205128205128"/>
    <n v="1.2820512820512799E-4"/>
  </r>
  <r>
    <x v="0"/>
    <x v="0"/>
    <x v="0"/>
    <x v="0"/>
    <x v="1"/>
    <s v="DK2_NoDH"/>
    <x v="6"/>
    <x v="0"/>
    <x v="0"/>
    <x v="0"/>
    <s v="GNR_ENG_NGAS_BP_E-39"/>
    <n v="7.7692307692307701"/>
    <n v="7.7692307692307696E-3"/>
  </r>
  <r>
    <x v="0"/>
    <x v="0"/>
    <x v="0"/>
    <x v="0"/>
    <x v="1"/>
    <s v="DK2_NoDH"/>
    <x v="6"/>
    <x v="0"/>
    <x v="0"/>
    <x v="0"/>
    <s v="GNR_ENG_NGAS_BP_E-41"/>
    <n v="1.4102564102564099"/>
    <n v="1.4102564102564099E-3"/>
  </r>
  <r>
    <x v="0"/>
    <x v="0"/>
    <x v="0"/>
    <x v="0"/>
    <x v="1"/>
    <s v="DK2_NoDH"/>
    <x v="6"/>
    <x v="0"/>
    <x v="0"/>
    <x v="0"/>
    <s v="GNR_ENG_NGAS_BP_E-46"/>
    <n v="1.6666666666666701"/>
    <n v="1.66666666666667E-3"/>
  </r>
  <r>
    <x v="0"/>
    <x v="0"/>
    <x v="0"/>
    <x v="0"/>
    <x v="1"/>
    <s v="DK2_NoDH"/>
    <x v="6"/>
    <x v="1"/>
    <x v="1"/>
    <x v="0"/>
    <s v="GNR_BO_NGAS_E-100"/>
    <n v="13.5"/>
    <n v="1.35E-2"/>
  </r>
  <r>
    <x v="0"/>
    <x v="0"/>
    <x v="0"/>
    <x v="0"/>
    <x v="1"/>
    <s v="DK2_NoDH"/>
    <x v="8"/>
    <x v="4"/>
    <x v="5"/>
    <x v="0"/>
    <s v="GNR_SH_SUN"/>
    <n v="10"/>
    <n v="0.01"/>
  </r>
  <r>
    <x v="0"/>
    <x v="0"/>
    <x v="0"/>
    <x v="0"/>
    <x v="1"/>
    <s v="DK2_NoDH_PHH"/>
    <x v="2"/>
    <x v="2"/>
    <x v="2"/>
    <x v="1"/>
    <s v="GNR_BO_ELEC_E-99_LS-10-MW-FEED_PHH_Y-2030"/>
    <n v="28.100049769127299"/>
    <n v="2.8100049769127299E-2"/>
  </r>
  <r>
    <x v="0"/>
    <x v="0"/>
    <x v="0"/>
    <x v="0"/>
    <x v="1"/>
    <s v="DK2_NoDH_PHH"/>
    <x v="6"/>
    <x v="1"/>
    <x v="1"/>
    <x v="1"/>
    <s v="GNR_BO_NGAS_E-70_PHH"/>
    <n v="12.8333636986301"/>
    <n v="1.28333636986301E-2"/>
  </r>
  <r>
    <x v="0"/>
    <x v="0"/>
    <x v="0"/>
    <x v="0"/>
    <x v="1"/>
    <s v="DK2_NoDH_PHL"/>
    <x v="6"/>
    <x v="1"/>
    <x v="1"/>
    <x v="1"/>
    <s v="GNR_BO_NGAS_E-82_PHL"/>
    <n v="566.15470214929701"/>
    <n v="0.56615470214929697"/>
  </r>
  <r>
    <x v="0"/>
    <x v="0"/>
    <x v="0"/>
    <x v="0"/>
    <x v="1"/>
    <s v="DK2_Rural"/>
    <x v="0"/>
    <x v="0"/>
    <x v="0"/>
    <x v="0"/>
    <s v="GNR_ENG_BGAS_BP_E-40"/>
    <n v="0.67948717948717996"/>
    <n v="6.7948717948717902E-4"/>
  </r>
  <r>
    <x v="0"/>
    <x v="0"/>
    <x v="0"/>
    <x v="0"/>
    <x v="1"/>
    <s v="DK2_Rural"/>
    <x v="0"/>
    <x v="0"/>
    <x v="0"/>
    <x v="0"/>
    <s v="GNR_ENG_BGAS_BP_E-41"/>
    <n v="2.5641025641025599"/>
    <n v="2.5641025641025602E-3"/>
  </r>
  <r>
    <x v="0"/>
    <x v="0"/>
    <x v="0"/>
    <x v="0"/>
    <x v="1"/>
    <s v="DK2_Rural"/>
    <x v="0"/>
    <x v="0"/>
    <x v="0"/>
    <x v="0"/>
    <s v="GNR_ENG_BGAS_BP_E-42"/>
    <n v="7.35128205128205"/>
    <n v="7.3512820512820496E-3"/>
  </r>
  <r>
    <x v="0"/>
    <x v="0"/>
    <x v="0"/>
    <x v="0"/>
    <x v="1"/>
    <s v="DK2_Rural"/>
    <x v="1"/>
    <x v="1"/>
    <x v="1"/>
    <x v="0"/>
    <s v="GNR_BO_BIOIL_E-100"/>
    <n v="10"/>
    <n v="0.01"/>
  </r>
  <r>
    <x v="0"/>
    <x v="0"/>
    <x v="0"/>
    <x v="0"/>
    <x v="1"/>
    <s v="DK2_Rural"/>
    <x v="14"/>
    <x v="0"/>
    <x v="0"/>
    <x v="0"/>
    <s v="GNR_ST_COAL_BP_E-35"/>
    <n v="47.435897435897402"/>
    <n v="4.7435897435897399E-2"/>
  </r>
  <r>
    <x v="0"/>
    <x v="0"/>
    <x v="0"/>
    <x v="0"/>
    <x v="1"/>
    <s v="DK2_Rural"/>
    <x v="2"/>
    <x v="2"/>
    <x v="2"/>
    <x v="0"/>
    <s v="GNR_BO_ELEC_E-100"/>
    <n v="10"/>
    <n v="0.01"/>
  </r>
  <r>
    <x v="0"/>
    <x v="0"/>
    <x v="0"/>
    <x v="0"/>
    <x v="1"/>
    <s v="DK2_Rural"/>
    <x v="2"/>
    <x v="2"/>
    <x v="2"/>
    <x v="0"/>
    <s v="GNR_BO_ELEC_E-98"/>
    <n v="13.6"/>
    <n v="1.3599999999999999E-2"/>
  </r>
  <r>
    <x v="0"/>
    <x v="0"/>
    <x v="0"/>
    <x v="0"/>
    <x v="1"/>
    <s v="DK2_Rural"/>
    <x v="2"/>
    <x v="2"/>
    <x v="2"/>
    <x v="0"/>
    <s v="GNR_HP_ELEC_COP-400"/>
    <n v="0.8"/>
    <n v="8.0000000000000004E-4"/>
  </r>
  <r>
    <x v="0"/>
    <x v="0"/>
    <x v="0"/>
    <x v="0"/>
    <x v="1"/>
    <s v="DK2_Rural"/>
    <x v="12"/>
    <x v="1"/>
    <x v="1"/>
    <x v="0"/>
    <s v="GNR_BO_FUELOIL_E-100"/>
    <n v="6"/>
    <n v="6.0000000000000001E-3"/>
  </r>
  <r>
    <x v="0"/>
    <x v="0"/>
    <x v="0"/>
    <x v="0"/>
    <x v="1"/>
    <s v="DK2_Rural"/>
    <x v="3"/>
    <x v="3"/>
    <x v="3"/>
    <x v="1"/>
    <s v="GNR_HS_HEAT_WTR-TANK_LS_E-95_Y-2010"/>
    <n v="105.305578505407"/>
    <n v="0.84244462804325404"/>
  </r>
  <r>
    <x v="0"/>
    <x v="0"/>
    <x v="0"/>
    <x v="0"/>
    <x v="1"/>
    <s v="DK2_Rural"/>
    <x v="3"/>
    <x v="3"/>
    <x v="4"/>
    <x v="1"/>
    <s v="GNR_HS_HEAT_PIT_L-DEC_E-91_Y-2030"/>
    <n v="2020.29632063385"/>
    <n v="16.162370565070798"/>
  </r>
  <r>
    <x v="0"/>
    <x v="0"/>
    <x v="0"/>
    <x v="0"/>
    <x v="1"/>
    <s v="DK2_Rural"/>
    <x v="4"/>
    <x v="0"/>
    <x v="0"/>
    <x v="0"/>
    <s v="GNR_ENG_LIGHTOIL_BP_E-43"/>
    <n v="0.17820512820512799"/>
    <n v="1.7820512820512801E-4"/>
  </r>
  <r>
    <x v="0"/>
    <x v="0"/>
    <x v="0"/>
    <x v="0"/>
    <x v="1"/>
    <s v="DK2_Rural"/>
    <x v="4"/>
    <x v="1"/>
    <x v="1"/>
    <x v="0"/>
    <s v="GNR_BO_LIGHTOIL_E-100"/>
    <n v="5.6"/>
    <n v="5.5999999999999999E-3"/>
  </r>
  <r>
    <x v="0"/>
    <x v="0"/>
    <x v="0"/>
    <x v="0"/>
    <x v="1"/>
    <s v="DK2_Rural"/>
    <x v="4"/>
    <x v="1"/>
    <x v="1"/>
    <x v="0"/>
    <s v="GNR_BO_LIGHTOIL_E-110"/>
    <n v="6.5"/>
    <n v="6.4999999999999997E-3"/>
  </r>
  <r>
    <x v="0"/>
    <x v="0"/>
    <x v="0"/>
    <x v="0"/>
    <x v="1"/>
    <s v="DK2_Rural"/>
    <x v="4"/>
    <x v="1"/>
    <x v="1"/>
    <x v="0"/>
    <s v="GNR_BO_LIGHTOIL_E-72"/>
    <n v="5"/>
    <n v="5.0000000000000001E-3"/>
  </r>
  <r>
    <x v="0"/>
    <x v="0"/>
    <x v="0"/>
    <x v="0"/>
    <x v="1"/>
    <s v="DK2_Rural"/>
    <x v="4"/>
    <x v="1"/>
    <x v="1"/>
    <x v="0"/>
    <s v="GNR_BO_LIGHTOIL_E-84"/>
    <n v="3.8"/>
    <n v="3.8E-3"/>
  </r>
  <r>
    <x v="0"/>
    <x v="0"/>
    <x v="0"/>
    <x v="0"/>
    <x v="1"/>
    <s v="DK2_Rural"/>
    <x v="4"/>
    <x v="1"/>
    <x v="1"/>
    <x v="0"/>
    <s v="GNR_BO_LIGHTOIL_E-86"/>
    <n v="4.3"/>
    <n v="4.3E-3"/>
  </r>
  <r>
    <x v="0"/>
    <x v="0"/>
    <x v="0"/>
    <x v="0"/>
    <x v="1"/>
    <s v="DK2_Rural"/>
    <x v="4"/>
    <x v="1"/>
    <x v="1"/>
    <x v="0"/>
    <s v="GNR_BO_LIGHTOIL_E-91"/>
    <n v="18.7"/>
    <n v="1.8700000000000001E-2"/>
  </r>
  <r>
    <x v="0"/>
    <x v="0"/>
    <x v="0"/>
    <x v="0"/>
    <x v="1"/>
    <s v="DK2_Rural"/>
    <x v="6"/>
    <x v="0"/>
    <x v="0"/>
    <x v="1"/>
    <s v="GNR_CC_NGAS_BP_E-53_SS-10-MW_Y-2030"/>
    <n v="76.981345722011298"/>
    <n v="7.6981345722011305E-2"/>
  </r>
  <r>
    <x v="0"/>
    <x v="0"/>
    <x v="0"/>
    <x v="0"/>
    <x v="1"/>
    <s v="DK2_Rural"/>
    <x v="6"/>
    <x v="0"/>
    <x v="0"/>
    <x v="0"/>
    <s v="GNR_ENG_NGAS_BP_E-36"/>
    <n v="0.36538461538461497"/>
    <n v="3.6538461538461502E-4"/>
  </r>
  <r>
    <x v="0"/>
    <x v="0"/>
    <x v="0"/>
    <x v="0"/>
    <x v="1"/>
    <s v="DK2_Rural"/>
    <x v="6"/>
    <x v="0"/>
    <x v="0"/>
    <x v="0"/>
    <s v="GNR_ENG_NGAS_BP_E-38"/>
    <n v="0.493589743589744"/>
    <n v="4.9358974358974404E-4"/>
  </r>
  <r>
    <x v="0"/>
    <x v="0"/>
    <x v="0"/>
    <x v="0"/>
    <x v="1"/>
    <s v="DK2_Rural"/>
    <x v="6"/>
    <x v="0"/>
    <x v="0"/>
    <x v="0"/>
    <s v="GNR_ENG_NGAS_BP_E-40"/>
    <n v="10.8974358974359"/>
    <n v="1.08974358974359E-2"/>
  </r>
  <r>
    <x v="0"/>
    <x v="0"/>
    <x v="0"/>
    <x v="0"/>
    <x v="1"/>
    <s v="DK2_Rural"/>
    <x v="6"/>
    <x v="0"/>
    <x v="0"/>
    <x v="0"/>
    <s v="GNR_ENG_NGAS_BP_E-45"/>
    <n v="0.64102564102564097"/>
    <n v="6.4102564102564103E-4"/>
  </r>
  <r>
    <x v="0"/>
    <x v="0"/>
    <x v="0"/>
    <x v="0"/>
    <x v="1"/>
    <s v="DK2_Rural"/>
    <x v="6"/>
    <x v="1"/>
    <x v="1"/>
    <x v="0"/>
    <s v="GNR_BO_NGAS_E-100"/>
    <n v="3.25"/>
    <n v="3.2499999999999999E-3"/>
  </r>
  <r>
    <x v="0"/>
    <x v="0"/>
    <x v="0"/>
    <x v="0"/>
    <x v="1"/>
    <s v="DK2_Rural"/>
    <x v="6"/>
    <x v="1"/>
    <x v="1"/>
    <x v="0"/>
    <s v="GNR_BO_NGAS_E-101"/>
    <n v="2.6"/>
    <n v="2.5999999999999999E-3"/>
  </r>
  <r>
    <x v="0"/>
    <x v="0"/>
    <x v="0"/>
    <x v="0"/>
    <x v="1"/>
    <s v="DK2_Rural"/>
    <x v="7"/>
    <x v="1"/>
    <x v="1"/>
    <x v="0"/>
    <s v="GNR_BO_STRW_E-100"/>
    <n v="55.35"/>
    <n v="5.5350000000000003E-2"/>
  </r>
  <r>
    <x v="0"/>
    <x v="0"/>
    <x v="0"/>
    <x v="0"/>
    <x v="1"/>
    <s v="DK2_Rural"/>
    <x v="7"/>
    <x v="1"/>
    <x v="1"/>
    <x v="0"/>
    <s v="GNR_BO_STRW_E-102"/>
    <n v="42.95"/>
    <n v="4.2950000000000002E-2"/>
  </r>
  <r>
    <x v="0"/>
    <x v="0"/>
    <x v="0"/>
    <x v="0"/>
    <x v="1"/>
    <s v="DK2_Rural"/>
    <x v="8"/>
    <x v="4"/>
    <x v="5"/>
    <x v="0"/>
    <s v="GNR_SH_SUN"/>
    <n v="80.95"/>
    <n v="8.0949999999999994E-2"/>
  </r>
  <r>
    <x v="0"/>
    <x v="0"/>
    <x v="0"/>
    <x v="0"/>
    <x v="1"/>
    <s v="DK2_Rural"/>
    <x v="9"/>
    <x v="1"/>
    <x v="1"/>
    <x v="0"/>
    <s v="GNR_EH_HEAT"/>
    <n v="40"/>
    <n v="0.04"/>
  </r>
  <r>
    <x v="0"/>
    <x v="0"/>
    <x v="0"/>
    <x v="0"/>
    <x v="1"/>
    <s v="DK2_Rural"/>
    <x v="10"/>
    <x v="1"/>
    <x v="1"/>
    <x v="0"/>
    <s v="GNR_BO_WOODCHI_E-100"/>
    <n v="18.899999999999999"/>
    <n v="1.89E-2"/>
  </r>
  <r>
    <x v="0"/>
    <x v="0"/>
    <x v="0"/>
    <x v="0"/>
    <x v="1"/>
    <s v="DK2_Rural"/>
    <x v="10"/>
    <x v="1"/>
    <x v="1"/>
    <x v="0"/>
    <s v="GNR_BO_WOODCHI_E-110"/>
    <n v="31.8"/>
    <n v="3.1800000000000002E-2"/>
  </r>
  <r>
    <x v="0"/>
    <x v="0"/>
    <x v="0"/>
    <x v="0"/>
    <x v="1"/>
    <s v="DK2_Rural"/>
    <x v="11"/>
    <x v="1"/>
    <x v="1"/>
    <x v="0"/>
    <s v="GNR_BO_WOODPEL_E-100"/>
    <n v="17.600000000000001"/>
    <n v="1.7600000000000001E-2"/>
  </r>
  <r>
    <x v="0"/>
    <x v="0"/>
    <x v="0"/>
    <x v="0"/>
    <x v="1"/>
    <s v="DK2_Rural"/>
    <x v="11"/>
    <x v="1"/>
    <x v="1"/>
    <x v="0"/>
    <s v="GNR_BO_WOODPEL_E-102"/>
    <n v="2.74"/>
    <n v="2.7399999999999998E-3"/>
  </r>
  <r>
    <x v="0"/>
    <x v="0"/>
    <x v="0"/>
    <x v="0"/>
    <x v="1"/>
    <s v="DK2_Small"/>
    <x v="3"/>
    <x v="3"/>
    <x v="3"/>
    <x v="1"/>
    <s v="GNR_HS_HEAT_WTR-TANK_LS_E-95_Y-2010"/>
    <n v="10.371863425672901"/>
    <n v="8.2974907405383103E-2"/>
  </r>
  <r>
    <x v="0"/>
    <x v="0"/>
    <x v="0"/>
    <x v="0"/>
    <x v="1"/>
    <s v="DK2_Small"/>
    <x v="3"/>
    <x v="3"/>
    <x v="4"/>
    <x v="1"/>
    <s v="GNR_HS_HEAT_PIT_L-DEC_E-91_Y-2030"/>
    <n v="185.53661372988799"/>
    <n v="1.48429290983911"/>
  </r>
  <r>
    <x v="0"/>
    <x v="0"/>
    <x v="0"/>
    <x v="0"/>
    <x v="1"/>
    <s v="DK2_Small"/>
    <x v="6"/>
    <x v="0"/>
    <x v="0"/>
    <x v="1"/>
    <s v="GNR_CC_NGAS_BP_E-53_SS-10-MW_Y-2030"/>
    <n v="24.418119346484001"/>
    <n v="2.4418119346484E-2"/>
  </r>
  <r>
    <x v="0"/>
    <x v="0"/>
    <x v="0"/>
    <x v="0"/>
    <x v="1"/>
    <s v="DK2_Small"/>
    <x v="6"/>
    <x v="1"/>
    <x v="1"/>
    <x v="0"/>
    <s v="GNR_BO_NGAS_E-104"/>
    <n v="4.7"/>
    <n v="4.7000000000000002E-3"/>
  </r>
  <r>
    <x v="0"/>
    <x v="0"/>
    <x v="0"/>
    <x v="0"/>
    <x v="1"/>
    <s v="DK2_Small"/>
    <x v="7"/>
    <x v="1"/>
    <x v="1"/>
    <x v="0"/>
    <s v="GNR_BO_STRW_E-100"/>
    <n v="6.5"/>
    <n v="6.4999999999999997E-3"/>
  </r>
  <r>
    <x v="0"/>
    <x v="0"/>
    <x v="0"/>
    <x v="0"/>
    <x v="1"/>
    <s v="DK2_Small"/>
    <x v="9"/>
    <x v="1"/>
    <x v="1"/>
    <x v="0"/>
    <s v="GNR_EH_HEAT"/>
    <n v="3"/>
    <n v="3.0000000000000001E-3"/>
  </r>
  <r>
    <x v="0"/>
    <x v="0"/>
    <x v="0"/>
    <x v="1"/>
    <x v="2"/>
    <s v="EE_Industry"/>
    <x v="0"/>
    <x v="0"/>
    <x v="6"/>
    <x v="0"/>
    <s v="GNR_ST_BGAS_EXT_E-38"/>
    <n v="0.11363636363636399"/>
    <n v="1.13636363636364E-4"/>
  </r>
  <r>
    <x v="0"/>
    <x v="0"/>
    <x v="0"/>
    <x v="1"/>
    <x v="2"/>
    <s v="EE_Industry"/>
    <x v="12"/>
    <x v="1"/>
    <x v="1"/>
    <x v="0"/>
    <s v="GNR_BO_FUELOIL_E-85"/>
    <n v="191.78"/>
    <n v="0.19178000000000001"/>
  </r>
  <r>
    <x v="0"/>
    <x v="0"/>
    <x v="0"/>
    <x v="1"/>
    <x v="2"/>
    <s v="EE_Industry"/>
    <x v="15"/>
    <x v="0"/>
    <x v="6"/>
    <x v="0"/>
    <s v="GNR_ENG_RETORT-GAS_E-44"/>
    <n v="107.954545454545"/>
    <n v="0.107954545454545"/>
  </r>
  <r>
    <x v="0"/>
    <x v="0"/>
    <x v="0"/>
    <x v="1"/>
    <x v="2"/>
    <s v="EE_Industry"/>
    <x v="16"/>
    <x v="0"/>
    <x v="0"/>
    <x v="0"/>
    <s v="IMAVERE_ST_WOOD_BP"/>
    <n v="12.8205128205128"/>
    <n v="1.2820512820512799E-2"/>
  </r>
  <r>
    <x v="0"/>
    <x v="0"/>
    <x v="0"/>
    <x v="1"/>
    <x v="2"/>
    <s v="EE_Industry"/>
    <x v="16"/>
    <x v="0"/>
    <x v="0"/>
    <x v="0"/>
    <s v="OSULA_ST_WOOD_BP"/>
    <n v="12.8205128205128"/>
    <n v="1.2820512820512799E-2"/>
  </r>
  <r>
    <x v="0"/>
    <x v="0"/>
    <x v="0"/>
    <x v="1"/>
    <x v="2"/>
    <s v="EE_Industry"/>
    <x v="13"/>
    <x v="0"/>
    <x v="0"/>
    <x v="0"/>
    <s v="GNR_ST_WOODWST_BP_E-53"/>
    <n v="16.6666666666667"/>
    <n v="1.6666666666666701E-2"/>
  </r>
  <r>
    <x v="0"/>
    <x v="0"/>
    <x v="0"/>
    <x v="1"/>
    <x v="2"/>
    <s v="EE_Kohtla_Jarve"/>
    <x v="6"/>
    <x v="0"/>
    <x v="6"/>
    <x v="0"/>
    <s v="GNR_ENG_NGAS_EXT_E-44"/>
    <n v="18.181818181818201"/>
    <n v="1.8181818181818198E-2"/>
  </r>
  <r>
    <x v="0"/>
    <x v="0"/>
    <x v="0"/>
    <x v="1"/>
    <x v="2"/>
    <s v="EE_Kohtla_Jarve"/>
    <x v="6"/>
    <x v="1"/>
    <x v="1"/>
    <x v="0"/>
    <s v="GNR_BO_NGAS_E-85"/>
    <n v="490"/>
    <n v="0.49"/>
  </r>
  <r>
    <x v="0"/>
    <x v="0"/>
    <x v="0"/>
    <x v="1"/>
    <x v="2"/>
    <s v="EE_Kohtla_Jarve"/>
    <x v="17"/>
    <x v="1"/>
    <x v="1"/>
    <x v="0"/>
    <s v="GNR_BO_SHALE_E-34"/>
    <n v="50"/>
    <n v="0.05"/>
  </r>
  <r>
    <x v="0"/>
    <x v="0"/>
    <x v="0"/>
    <x v="1"/>
    <x v="2"/>
    <s v="EE_Narva"/>
    <x v="12"/>
    <x v="1"/>
    <x v="1"/>
    <x v="0"/>
    <s v="GNR_BO_FUELOIL_E-85"/>
    <n v="34.6"/>
    <n v="3.4599999999999999E-2"/>
  </r>
  <r>
    <x v="0"/>
    <x v="0"/>
    <x v="0"/>
    <x v="1"/>
    <x v="2"/>
    <s v="EE_Narva"/>
    <x v="17"/>
    <x v="0"/>
    <x v="6"/>
    <x v="0"/>
    <s v="NARVA-11_ST_SHALE_EXT"/>
    <n v="218.18181818181799"/>
    <n v="0.218181818181818"/>
  </r>
  <r>
    <x v="0"/>
    <x v="0"/>
    <x v="0"/>
    <x v="1"/>
    <x v="2"/>
    <s v="EE_Parnu"/>
    <x v="0"/>
    <x v="0"/>
    <x v="6"/>
    <x v="0"/>
    <s v="GNR_ST_BGAS_EXT_E-38"/>
    <n v="0.11363636363636399"/>
    <n v="1.13636363636364E-4"/>
  </r>
  <r>
    <x v="0"/>
    <x v="0"/>
    <x v="0"/>
    <x v="1"/>
    <x v="2"/>
    <s v="EE_Parnu"/>
    <x v="12"/>
    <x v="1"/>
    <x v="1"/>
    <x v="0"/>
    <s v="GNR_BO_FUELOIL_E-85"/>
    <n v="184.26"/>
    <n v="0.18426000000000001"/>
  </r>
  <r>
    <x v="0"/>
    <x v="0"/>
    <x v="0"/>
    <x v="1"/>
    <x v="2"/>
    <s v="EE_Parnu"/>
    <x v="16"/>
    <x v="0"/>
    <x v="0"/>
    <x v="0"/>
    <s v="PARNU-1_ST_WOOD_BP"/>
    <n v="28.205128205128201"/>
    <n v="2.8205128205128199E-2"/>
  </r>
  <r>
    <x v="0"/>
    <x v="0"/>
    <x v="0"/>
    <x v="1"/>
    <x v="2"/>
    <s v="EE_Rural"/>
    <x v="0"/>
    <x v="0"/>
    <x v="6"/>
    <x v="0"/>
    <s v="GNR_ST_BGAS_EXT_E-38"/>
    <n v="3.75"/>
    <n v="3.7499999999999999E-3"/>
  </r>
  <r>
    <x v="0"/>
    <x v="0"/>
    <x v="0"/>
    <x v="1"/>
    <x v="2"/>
    <s v="EE_Rural"/>
    <x v="12"/>
    <x v="1"/>
    <x v="1"/>
    <x v="0"/>
    <s v="GNR_BO_FUELOIL_E-85"/>
    <n v="56.78"/>
    <n v="5.6779999999999997E-2"/>
  </r>
  <r>
    <x v="0"/>
    <x v="0"/>
    <x v="0"/>
    <x v="1"/>
    <x v="2"/>
    <s v="EE_Rural"/>
    <x v="6"/>
    <x v="0"/>
    <x v="6"/>
    <x v="0"/>
    <s v="GNR_ENG_NGAS_EXT_E-44"/>
    <n v="1.36363636363636"/>
    <n v="1.3636363636363601E-3"/>
  </r>
  <r>
    <x v="0"/>
    <x v="0"/>
    <x v="0"/>
    <x v="1"/>
    <x v="2"/>
    <s v="EE_Rural"/>
    <x v="6"/>
    <x v="1"/>
    <x v="1"/>
    <x v="0"/>
    <s v="GNR_BO_NGAS_E-85"/>
    <n v="340"/>
    <n v="0.34"/>
  </r>
  <r>
    <x v="0"/>
    <x v="0"/>
    <x v="0"/>
    <x v="1"/>
    <x v="2"/>
    <s v="EE_Rural"/>
    <x v="16"/>
    <x v="1"/>
    <x v="1"/>
    <x v="0"/>
    <s v="GNR_BO_WOOD_E-67"/>
    <n v="300"/>
    <n v="0.3"/>
  </r>
  <r>
    <x v="0"/>
    <x v="0"/>
    <x v="0"/>
    <x v="1"/>
    <x v="2"/>
    <s v="EE_Rural"/>
    <x v="13"/>
    <x v="0"/>
    <x v="0"/>
    <x v="0"/>
    <s v="EBAVERE_ST_WOODWST_BP"/>
    <n v="12.8205128205128"/>
    <n v="1.2820512820512799E-2"/>
  </r>
  <r>
    <x v="0"/>
    <x v="0"/>
    <x v="0"/>
    <x v="1"/>
    <x v="2"/>
    <s v="EE_Sillamae"/>
    <x v="6"/>
    <x v="0"/>
    <x v="6"/>
    <x v="0"/>
    <s v="GNR_ENG_NGAS_EXT_E-44"/>
    <n v="11.363636363636401"/>
    <n v="1.13636363636364E-2"/>
  </r>
  <r>
    <x v="0"/>
    <x v="0"/>
    <x v="0"/>
    <x v="1"/>
    <x v="2"/>
    <s v="EE_Sillamae"/>
    <x v="6"/>
    <x v="1"/>
    <x v="1"/>
    <x v="0"/>
    <s v="GNR_BO_NGAS_E-85"/>
    <n v="490"/>
    <n v="0.49"/>
  </r>
  <r>
    <x v="0"/>
    <x v="0"/>
    <x v="0"/>
    <x v="1"/>
    <x v="2"/>
    <s v="EE_Sillamae"/>
    <x v="16"/>
    <x v="0"/>
    <x v="0"/>
    <x v="0"/>
    <s v="SILLAMAE_ST_WOOD_BP"/>
    <n v="7.4358974358974397"/>
    <n v="7.4358974358974296E-3"/>
  </r>
  <r>
    <x v="0"/>
    <x v="0"/>
    <x v="0"/>
    <x v="1"/>
    <x v="2"/>
    <s v="EE_Tallinn"/>
    <x v="12"/>
    <x v="1"/>
    <x v="1"/>
    <x v="0"/>
    <s v="GNR_BO_FUELOIL_E-92"/>
    <n v="55.28"/>
    <n v="5.5280000000000003E-2"/>
  </r>
  <r>
    <x v="0"/>
    <x v="0"/>
    <x v="0"/>
    <x v="1"/>
    <x v="2"/>
    <s v="EE_Tallinn"/>
    <x v="5"/>
    <x v="0"/>
    <x v="0"/>
    <x v="0"/>
    <s v="IRU_ST_MSW_BP"/>
    <n v="21.794871794871799"/>
    <n v="2.1794871794871801E-2"/>
  </r>
  <r>
    <x v="0"/>
    <x v="0"/>
    <x v="0"/>
    <x v="1"/>
    <x v="2"/>
    <s v="EE_Tallinn"/>
    <x v="6"/>
    <x v="0"/>
    <x v="6"/>
    <x v="0"/>
    <s v="GNR_ENG_NGAS_EXT_E-44"/>
    <n v="1.7045454545454499"/>
    <n v="1.7045454545454499E-3"/>
  </r>
  <r>
    <x v="0"/>
    <x v="0"/>
    <x v="0"/>
    <x v="1"/>
    <x v="2"/>
    <s v="EE_Tallinn"/>
    <x v="6"/>
    <x v="1"/>
    <x v="1"/>
    <x v="0"/>
    <s v="GNR_BO_NGAS_E-85"/>
    <n v="328.86"/>
    <n v="0.32885999999999999"/>
  </r>
  <r>
    <x v="0"/>
    <x v="0"/>
    <x v="0"/>
    <x v="1"/>
    <x v="2"/>
    <s v="EE_Tallinn"/>
    <x v="16"/>
    <x v="0"/>
    <x v="0"/>
    <x v="0"/>
    <s v="MUSTAMAE_ST_WOOD_BP"/>
    <n v="12.8205128205128"/>
    <n v="1.2820512820512799E-2"/>
  </r>
  <r>
    <x v="0"/>
    <x v="0"/>
    <x v="0"/>
    <x v="1"/>
    <x v="2"/>
    <s v="EE_Tallinn"/>
    <x v="16"/>
    <x v="0"/>
    <x v="0"/>
    <x v="0"/>
    <s v="VAO-1_ST_WOOD_BP"/>
    <n v="32.051282051282101"/>
    <n v="3.2051282051282097E-2"/>
  </r>
  <r>
    <x v="0"/>
    <x v="0"/>
    <x v="0"/>
    <x v="1"/>
    <x v="2"/>
    <s v="EE_Tallinn"/>
    <x v="16"/>
    <x v="0"/>
    <x v="0"/>
    <x v="0"/>
    <s v="VAO-2_ST_WOOD_BP"/>
    <n v="26.923076923076898"/>
    <n v="2.69230769230769E-2"/>
  </r>
  <r>
    <x v="0"/>
    <x v="0"/>
    <x v="0"/>
    <x v="1"/>
    <x v="2"/>
    <s v="EE_Tartu"/>
    <x v="6"/>
    <x v="1"/>
    <x v="1"/>
    <x v="0"/>
    <s v="GNR_BO_NGAS_E-85"/>
    <n v="269.23"/>
    <n v="0.26923000000000002"/>
  </r>
  <r>
    <x v="0"/>
    <x v="0"/>
    <x v="0"/>
    <x v="1"/>
    <x v="2"/>
    <s v="EE_Tartu"/>
    <x v="16"/>
    <x v="0"/>
    <x v="0"/>
    <x v="0"/>
    <s v="TARTU-1_ST_WOOD_BP"/>
    <n v="28.205128205128201"/>
    <n v="2.8205128205128199E-2"/>
  </r>
  <r>
    <x v="0"/>
    <x v="0"/>
    <x v="0"/>
    <x v="1"/>
    <x v="2"/>
    <s v="EE_Urban"/>
    <x v="0"/>
    <x v="0"/>
    <x v="6"/>
    <x v="0"/>
    <s v="GNR_ST_BGAS_EXT_E-38"/>
    <n v="0.11363636363636399"/>
    <n v="1.13636363636364E-4"/>
  </r>
  <r>
    <x v="0"/>
    <x v="0"/>
    <x v="0"/>
    <x v="1"/>
    <x v="2"/>
    <s v="EE_Urban"/>
    <x v="12"/>
    <x v="1"/>
    <x v="1"/>
    <x v="0"/>
    <s v="GNR_BO_FUELOIL_E-85"/>
    <n v="84.99"/>
    <n v="8.4989999999999996E-2"/>
  </r>
  <r>
    <x v="0"/>
    <x v="0"/>
    <x v="0"/>
    <x v="1"/>
    <x v="2"/>
    <s v="EE_Urban"/>
    <x v="6"/>
    <x v="0"/>
    <x v="6"/>
    <x v="0"/>
    <s v="GNR_ENG_NGAS_EXT_E-44"/>
    <n v="1.02272727272727"/>
    <n v="1.02272727272727E-3"/>
  </r>
  <r>
    <x v="0"/>
    <x v="0"/>
    <x v="0"/>
    <x v="1"/>
    <x v="2"/>
    <s v="EE_Urban"/>
    <x v="6"/>
    <x v="1"/>
    <x v="1"/>
    <x v="0"/>
    <s v="GNR_BO_NGAS_E-85"/>
    <n v="510"/>
    <n v="0.51"/>
  </r>
  <r>
    <x v="0"/>
    <x v="0"/>
    <x v="0"/>
    <x v="1"/>
    <x v="2"/>
    <s v="EE_Urban"/>
    <x v="16"/>
    <x v="0"/>
    <x v="0"/>
    <x v="0"/>
    <s v="GNR_ST_WOOD_BP_E-53"/>
    <n v="15.384615384615399"/>
    <n v="1.5384615384615399E-2"/>
  </r>
  <r>
    <x v="0"/>
    <x v="0"/>
    <x v="0"/>
    <x v="1"/>
    <x v="2"/>
    <s v="EE_Urban"/>
    <x v="16"/>
    <x v="1"/>
    <x v="1"/>
    <x v="0"/>
    <s v="GNR_BO_WOOD_E-67"/>
    <n v="950"/>
    <n v="0.95"/>
  </r>
  <r>
    <x v="0"/>
    <x v="0"/>
    <x v="0"/>
    <x v="2"/>
    <x v="3"/>
    <s v="FI_IND"/>
    <x v="0"/>
    <x v="0"/>
    <x v="0"/>
    <x v="0"/>
    <s v="GNR_IND-ST_BGAS_BP_CB-30"/>
    <n v="2.8205128205128198"/>
    <n v="2.8205128205128199E-3"/>
  </r>
  <r>
    <x v="0"/>
    <x v="0"/>
    <x v="0"/>
    <x v="2"/>
    <x v="3"/>
    <s v="FI_IND"/>
    <x v="12"/>
    <x v="0"/>
    <x v="0"/>
    <x v="0"/>
    <s v="GNR_IND-ST_FUELOIL_BP_CB-30"/>
    <n v="39.487179487179503"/>
    <n v="3.9487179487179502E-2"/>
  </r>
  <r>
    <x v="0"/>
    <x v="0"/>
    <x v="0"/>
    <x v="2"/>
    <x v="3"/>
    <s v="FI_IND"/>
    <x v="12"/>
    <x v="1"/>
    <x v="1"/>
    <x v="0"/>
    <s v="GNR_BO_FUELOIL_E-90"/>
    <n v="182"/>
    <n v="0.182"/>
  </r>
  <r>
    <x v="0"/>
    <x v="0"/>
    <x v="0"/>
    <x v="2"/>
    <x v="3"/>
    <s v="FI_IND"/>
    <x v="4"/>
    <x v="0"/>
    <x v="0"/>
    <x v="0"/>
    <s v="GNR_IND-ST_LIGHTOIL_BP_CB-30"/>
    <n v="2.0512820512820502"/>
    <n v="2.05128205128205E-3"/>
  </r>
  <r>
    <x v="0"/>
    <x v="0"/>
    <x v="0"/>
    <x v="2"/>
    <x v="3"/>
    <s v="FI_IND"/>
    <x v="4"/>
    <x v="1"/>
    <x v="1"/>
    <x v="0"/>
    <s v="GNR_BO_LIGHTOIL_E-90"/>
    <n v="43"/>
    <n v="4.2999999999999997E-2"/>
  </r>
  <r>
    <x v="0"/>
    <x v="0"/>
    <x v="0"/>
    <x v="2"/>
    <x v="3"/>
    <s v="FI_IND"/>
    <x v="5"/>
    <x v="0"/>
    <x v="0"/>
    <x v="0"/>
    <s v="GNR_IND-ST_MSW_BP_CB-30"/>
    <n v="67.948717948717899"/>
    <n v="6.7948717948717902E-2"/>
  </r>
  <r>
    <x v="0"/>
    <x v="0"/>
    <x v="0"/>
    <x v="2"/>
    <x v="3"/>
    <s v="FI_IND"/>
    <x v="6"/>
    <x v="0"/>
    <x v="0"/>
    <x v="0"/>
    <s v="GNR_IND-ST_NGAS_BP_CB-30"/>
    <n v="246.79487179487199"/>
    <n v="0.246794871794872"/>
  </r>
  <r>
    <x v="0"/>
    <x v="0"/>
    <x v="0"/>
    <x v="2"/>
    <x v="3"/>
    <s v="FI_IND"/>
    <x v="6"/>
    <x v="1"/>
    <x v="1"/>
    <x v="0"/>
    <s v="GNR_BO_NGAS_E-90"/>
    <n v="309"/>
    <n v="0.309"/>
  </r>
  <r>
    <x v="0"/>
    <x v="0"/>
    <x v="0"/>
    <x v="2"/>
    <x v="3"/>
    <s v="FI_IND"/>
    <x v="18"/>
    <x v="0"/>
    <x v="0"/>
    <x v="0"/>
    <s v="GNR_IND-ST_PEAT_BP_CB-20"/>
    <n v="24.3589743589744"/>
    <n v="2.4358974358974401E-2"/>
  </r>
  <r>
    <x v="0"/>
    <x v="0"/>
    <x v="0"/>
    <x v="2"/>
    <x v="3"/>
    <s v="FI_IND"/>
    <x v="18"/>
    <x v="0"/>
    <x v="0"/>
    <x v="0"/>
    <s v="GNR_IND-ST_PEAT_BP_CB-30"/>
    <n v="224.61538461538501"/>
    <n v="0.22461538461538499"/>
  </r>
  <r>
    <x v="0"/>
    <x v="0"/>
    <x v="0"/>
    <x v="2"/>
    <x v="3"/>
    <s v="FI_IND"/>
    <x v="18"/>
    <x v="0"/>
    <x v="6"/>
    <x v="0"/>
    <s v="ALHOLMEN2_IND-ST_PEAT_EXT"/>
    <n v="272.72727272727298"/>
    <n v="0.27272727272727298"/>
  </r>
  <r>
    <x v="0"/>
    <x v="0"/>
    <x v="0"/>
    <x v="2"/>
    <x v="3"/>
    <s v="FI_IND"/>
    <x v="18"/>
    <x v="1"/>
    <x v="1"/>
    <x v="0"/>
    <s v="GNR_BO_PEAT_E-90"/>
    <n v="23.3"/>
    <n v="2.3300000000000001E-2"/>
  </r>
  <r>
    <x v="0"/>
    <x v="0"/>
    <x v="0"/>
    <x v="2"/>
    <x v="3"/>
    <s v="FI_IND"/>
    <x v="9"/>
    <x v="1"/>
    <x v="1"/>
    <x v="0"/>
    <s v="GNR_EH_HEAT"/>
    <n v="29.8"/>
    <n v="2.98E-2"/>
  </r>
  <r>
    <x v="0"/>
    <x v="0"/>
    <x v="0"/>
    <x v="2"/>
    <x v="3"/>
    <s v="FI_IND"/>
    <x v="10"/>
    <x v="0"/>
    <x v="0"/>
    <x v="0"/>
    <s v="GNR_IND-ST_WOODCHI_BP_CB-20"/>
    <n v="55.128205128205103"/>
    <n v="5.5128205128205099E-2"/>
  </r>
  <r>
    <x v="0"/>
    <x v="0"/>
    <x v="0"/>
    <x v="2"/>
    <x v="3"/>
    <s v="FI_IND"/>
    <x v="10"/>
    <x v="0"/>
    <x v="0"/>
    <x v="0"/>
    <s v="GNR_IND-ST_WOODCHI_BP_CB-30"/>
    <n v="104.358974358974"/>
    <n v="0.104358974358974"/>
  </r>
  <r>
    <x v="0"/>
    <x v="0"/>
    <x v="0"/>
    <x v="2"/>
    <x v="3"/>
    <s v="FI_IND"/>
    <x v="10"/>
    <x v="0"/>
    <x v="0"/>
    <x v="0"/>
    <s v="GNR_IND-ST_WOODCHI_BP_CB-70"/>
    <n v="34.615384615384599"/>
    <n v="3.4615384615384603E-2"/>
  </r>
  <r>
    <x v="0"/>
    <x v="0"/>
    <x v="0"/>
    <x v="2"/>
    <x v="3"/>
    <s v="FI_IND"/>
    <x v="10"/>
    <x v="1"/>
    <x v="1"/>
    <x v="0"/>
    <s v="GNR_BO_WOODCHI_E-90"/>
    <n v="4.5"/>
    <n v="4.4999999999999997E-3"/>
  </r>
  <r>
    <x v="0"/>
    <x v="0"/>
    <x v="0"/>
    <x v="2"/>
    <x v="3"/>
    <s v="FI_IND"/>
    <x v="11"/>
    <x v="1"/>
    <x v="1"/>
    <x v="0"/>
    <s v="GNR_BO_WOODPEL_E-90"/>
    <n v="7.6325000000000003"/>
    <n v="7.6325000000000004E-3"/>
  </r>
  <r>
    <x v="0"/>
    <x v="0"/>
    <x v="0"/>
    <x v="2"/>
    <x v="3"/>
    <s v="FI_IND"/>
    <x v="13"/>
    <x v="0"/>
    <x v="0"/>
    <x v="0"/>
    <s v="GNR_IND-ST_BLACKLIC_BP_CB-20"/>
    <n v="57.692307692307701"/>
    <n v="5.7692307692307702E-2"/>
  </r>
  <r>
    <x v="0"/>
    <x v="0"/>
    <x v="0"/>
    <x v="2"/>
    <x v="3"/>
    <s v="FI_IND"/>
    <x v="13"/>
    <x v="0"/>
    <x v="0"/>
    <x v="0"/>
    <s v="GNR_IND-ST_BLACKLIC_BP_CB-30"/>
    <n v="1152.5641025641"/>
    <n v="1.1525641025641"/>
  </r>
  <r>
    <x v="0"/>
    <x v="0"/>
    <x v="0"/>
    <x v="2"/>
    <x v="3"/>
    <s v="FI_IND"/>
    <x v="13"/>
    <x v="0"/>
    <x v="0"/>
    <x v="0"/>
    <s v="GNR_IND-ST_WOODWST_BP_CB-30"/>
    <n v="189.871794871795"/>
    <n v="0.18987179487179501"/>
  </r>
  <r>
    <x v="0"/>
    <x v="0"/>
    <x v="0"/>
    <x v="2"/>
    <x v="3"/>
    <s v="FI_IND"/>
    <x v="13"/>
    <x v="1"/>
    <x v="1"/>
    <x v="0"/>
    <s v="GNR_BO_WOODWST_E-90"/>
    <n v="0.78749999999999998"/>
    <n v="7.8750000000000001E-4"/>
  </r>
  <r>
    <x v="0"/>
    <x v="0"/>
    <x v="0"/>
    <x v="2"/>
    <x v="3"/>
    <s v="FI_large"/>
    <x v="0"/>
    <x v="1"/>
    <x v="1"/>
    <x v="0"/>
    <s v="GNR_BO_BGAS_E-90"/>
    <n v="4"/>
    <n v="4.0000000000000001E-3"/>
  </r>
  <r>
    <x v="0"/>
    <x v="0"/>
    <x v="0"/>
    <x v="2"/>
    <x v="3"/>
    <s v="FI_large"/>
    <x v="12"/>
    <x v="1"/>
    <x v="1"/>
    <x v="0"/>
    <s v="GNR_BO_FUELOIL_E-90"/>
    <n v="372.5"/>
    <n v="0.3725"/>
  </r>
  <r>
    <x v="0"/>
    <x v="0"/>
    <x v="0"/>
    <x v="2"/>
    <x v="3"/>
    <s v="FI_large"/>
    <x v="3"/>
    <x v="3"/>
    <x v="3"/>
    <x v="0"/>
    <s v="GNR_HS_HEAT_WTR-TANK_LS_E-95_Y-2010"/>
    <n v="123.75"/>
    <n v="0.99"/>
  </r>
  <r>
    <x v="0"/>
    <x v="0"/>
    <x v="0"/>
    <x v="2"/>
    <x v="3"/>
    <s v="FI_large"/>
    <x v="3"/>
    <x v="3"/>
    <x v="4"/>
    <x v="0"/>
    <s v="GNR_HS_HEAT_PIT_L-CEN_E-90"/>
    <n v="1250"/>
    <n v="10"/>
  </r>
  <r>
    <x v="0"/>
    <x v="0"/>
    <x v="0"/>
    <x v="2"/>
    <x v="3"/>
    <s v="FI_large"/>
    <x v="4"/>
    <x v="1"/>
    <x v="1"/>
    <x v="0"/>
    <s v="GNR_BO_LIGHTOIL_E-90"/>
    <n v="88.6"/>
    <n v="8.8599999999999998E-2"/>
  </r>
  <r>
    <x v="0"/>
    <x v="0"/>
    <x v="0"/>
    <x v="2"/>
    <x v="3"/>
    <s v="FI_large"/>
    <x v="18"/>
    <x v="0"/>
    <x v="6"/>
    <x v="0"/>
    <s v="KELJONLAHTI_ST_PEAT_EXT"/>
    <n v="215.56818181818201"/>
    <n v="0.21556818181818199"/>
  </r>
  <r>
    <x v="0"/>
    <x v="0"/>
    <x v="0"/>
    <x v="2"/>
    <x v="3"/>
    <s v="FI_large"/>
    <x v="18"/>
    <x v="0"/>
    <x v="6"/>
    <x v="0"/>
    <s v="TOPPILA2_ST_PEAT_EXT"/>
    <n v="153.40909090909099"/>
    <n v="0.15340909090909099"/>
  </r>
  <r>
    <x v="0"/>
    <x v="0"/>
    <x v="0"/>
    <x v="2"/>
    <x v="3"/>
    <s v="FI_large"/>
    <x v="18"/>
    <x v="1"/>
    <x v="1"/>
    <x v="0"/>
    <s v="GNR_BO_PEAT_E-90"/>
    <n v="8"/>
    <n v="8.0000000000000002E-3"/>
  </r>
  <r>
    <x v="0"/>
    <x v="0"/>
    <x v="0"/>
    <x v="2"/>
    <x v="3"/>
    <s v="FI_large"/>
    <x v="9"/>
    <x v="1"/>
    <x v="1"/>
    <x v="0"/>
    <s v="GNR_EH_HEAT"/>
    <n v="319.39999999999998"/>
    <n v="0.31940000000000002"/>
  </r>
  <r>
    <x v="0"/>
    <x v="0"/>
    <x v="0"/>
    <x v="2"/>
    <x v="3"/>
    <s v="FI_large"/>
    <x v="10"/>
    <x v="0"/>
    <x v="0"/>
    <x v="0"/>
    <s v="GNR_IND-ST_WOODCHI_BP_CB-50"/>
    <n v="179.48717948717899"/>
    <n v="0.17948717948717899"/>
  </r>
  <r>
    <x v="0"/>
    <x v="0"/>
    <x v="0"/>
    <x v="2"/>
    <x v="3"/>
    <s v="FI_large"/>
    <x v="10"/>
    <x v="0"/>
    <x v="0"/>
    <x v="0"/>
    <s v="GNR_ST_WOODCHI_BP_CB-40"/>
    <n v="89.743589743589695"/>
    <n v="8.9743589743589702E-2"/>
  </r>
  <r>
    <x v="0"/>
    <x v="0"/>
    <x v="0"/>
    <x v="2"/>
    <x v="3"/>
    <s v="FI_large"/>
    <x v="10"/>
    <x v="1"/>
    <x v="1"/>
    <x v="0"/>
    <s v="GNR_BO_WOODCHI_E-90"/>
    <n v="63.8"/>
    <n v="6.3799999999999996E-2"/>
  </r>
  <r>
    <x v="0"/>
    <x v="0"/>
    <x v="0"/>
    <x v="2"/>
    <x v="3"/>
    <s v="FI_large"/>
    <x v="11"/>
    <x v="1"/>
    <x v="1"/>
    <x v="0"/>
    <s v="GNR_BO_WOODPEL_E-90"/>
    <n v="4.2"/>
    <n v="4.1999999999999997E-3"/>
  </r>
  <r>
    <x v="0"/>
    <x v="0"/>
    <x v="0"/>
    <x v="2"/>
    <x v="3"/>
    <s v="FI_large"/>
    <x v="13"/>
    <x v="1"/>
    <x v="1"/>
    <x v="0"/>
    <s v="GNR_BO_WOODWST_E-90"/>
    <n v="4"/>
    <n v="4.0000000000000001E-3"/>
  </r>
  <r>
    <x v="0"/>
    <x v="0"/>
    <x v="0"/>
    <x v="2"/>
    <x v="3"/>
    <s v="FI_large_gas"/>
    <x v="0"/>
    <x v="0"/>
    <x v="0"/>
    <x v="0"/>
    <s v="GNR_ST_BGAS_BP_CB-40"/>
    <n v="51.282051282051299"/>
    <n v="5.1282051282051301E-2"/>
  </r>
  <r>
    <x v="0"/>
    <x v="0"/>
    <x v="0"/>
    <x v="2"/>
    <x v="3"/>
    <s v="FI_large_gas"/>
    <x v="2"/>
    <x v="2"/>
    <x v="2"/>
    <x v="0"/>
    <s v="GNR_HP_ELEC_COP-270"/>
    <n v="40"/>
    <n v="0.04"/>
  </r>
  <r>
    <x v="0"/>
    <x v="0"/>
    <x v="0"/>
    <x v="2"/>
    <x v="3"/>
    <s v="FI_large_gas"/>
    <x v="12"/>
    <x v="1"/>
    <x v="1"/>
    <x v="0"/>
    <s v="GNR_BO_FUELOIL_E-90"/>
    <n v="402"/>
    <n v="0.40200000000000002"/>
  </r>
  <r>
    <x v="0"/>
    <x v="0"/>
    <x v="0"/>
    <x v="2"/>
    <x v="3"/>
    <s v="FI_large_gas"/>
    <x v="3"/>
    <x v="3"/>
    <x v="3"/>
    <x v="0"/>
    <s v="GNR_HS_HEAT_WTR-TANK_LS_E-95_Y-2010"/>
    <n v="387.5"/>
    <n v="3.1"/>
  </r>
  <r>
    <x v="0"/>
    <x v="0"/>
    <x v="0"/>
    <x v="2"/>
    <x v="3"/>
    <s v="FI_large_gas"/>
    <x v="3"/>
    <x v="3"/>
    <x v="4"/>
    <x v="0"/>
    <s v="GNR_HS_HEAT_PIT_L-CEN_E-90"/>
    <n v="1450"/>
    <n v="11.6"/>
  </r>
  <r>
    <x v="0"/>
    <x v="0"/>
    <x v="0"/>
    <x v="2"/>
    <x v="3"/>
    <s v="FI_large_gas"/>
    <x v="4"/>
    <x v="1"/>
    <x v="1"/>
    <x v="0"/>
    <s v="GNR_BO_LIGHTOIL_E-90"/>
    <n v="247"/>
    <n v="0.247"/>
  </r>
  <r>
    <x v="0"/>
    <x v="0"/>
    <x v="0"/>
    <x v="2"/>
    <x v="3"/>
    <s v="FI_large_gas"/>
    <x v="5"/>
    <x v="0"/>
    <x v="0"/>
    <x v="0"/>
    <s v="GNR_ST_MSW_BP_CB-30"/>
    <n v="53.205128205128197"/>
    <n v="5.3205128205128203E-2"/>
  </r>
  <r>
    <x v="0"/>
    <x v="0"/>
    <x v="0"/>
    <x v="2"/>
    <x v="3"/>
    <s v="FI_large_gas"/>
    <x v="6"/>
    <x v="0"/>
    <x v="0"/>
    <x v="0"/>
    <s v="GNR_CC_NGAS_BP_CB-110"/>
    <n v="300"/>
    <n v="0.3"/>
  </r>
  <r>
    <x v="0"/>
    <x v="0"/>
    <x v="0"/>
    <x v="2"/>
    <x v="3"/>
    <s v="FI_large_gas"/>
    <x v="6"/>
    <x v="0"/>
    <x v="0"/>
    <x v="0"/>
    <s v="GNR_GT_NGAS_BP_CB-150"/>
    <n v="58.974358974358999"/>
    <n v="5.8974358974359001E-2"/>
  </r>
  <r>
    <x v="0"/>
    <x v="0"/>
    <x v="0"/>
    <x v="2"/>
    <x v="3"/>
    <s v="FI_large_gas"/>
    <x v="6"/>
    <x v="0"/>
    <x v="0"/>
    <x v="0"/>
    <s v="GNR_ST_NGAS_BP_CB-130"/>
    <n v="130.769230769231"/>
    <n v="0.130769230769231"/>
  </r>
  <r>
    <x v="0"/>
    <x v="0"/>
    <x v="0"/>
    <x v="2"/>
    <x v="3"/>
    <s v="FI_large_gas"/>
    <x v="6"/>
    <x v="1"/>
    <x v="1"/>
    <x v="0"/>
    <s v="GNR_BO_NGAS_E-90"/>
    <n v="1009.5"/>
    <n v="1.0095000000000001"/>
  </r>
  <r>
    <x v="0"/>
    <x v="0"/>
    <x v="0"/>
    <x v="2"/>
    <x v="3"/>
    <s v="FI_large_gas"/>
    <x v="19"/>
    <x v="0"/>
    <x v="0"/>
    <x v="0"/>
    <s v="GNR_ST_HYDROGEN_BP_CB-30"/>
    <n v="2.0512820512820502"/>
    <n v="2.05128205128205E-3"/>
  </r>
  <r>
    <x v="0"/>
    <x v="0"/>
    <x v="0"/>
    <x v="2"/>
    <x v="3"/>
    <s v="FI_large_gas"/>
    <x v="19"/>
    <x v="1"/>
    <x v="1"/>
    <x v="0"/>
    <s v="GNR_BO_HYDROGEN_E-90"/>
    <n v="5"/>
    <n v="5.0000000000000001E-3"/>
  </r>
  <r>
    <x v="0"/>
    <x v="0"/>
    <x v="0"/>
    <x v="2"/>
    <x v="3"/>
    <s v="FI_large_gas"/>
    <x v="9"/>
    <x v="1"/>
    <x v="1"/>
    <x v="0"/>
    <s v="GNR_EH_HEAT"/>
    <n v="15"/>
    <n v="1.4999999999999999E-2"/>
  </r>
  <r>
    <x v="0"/>
    <x v="0"/>
    <x v="0"/>
    <x v="2"/>
    <x v="3"/>
    <s v="FI_large_gas"/>
    <x v="11"/>
    <x v="1"/>
    <x v="1"/>
    <x v="0"/>
    <s v="GNR_BO_WOODPEL_E-90"/>
    <n v="100"/>
    <n v="0.1"/>
  </r>
  <r>
    <x v="0"/>
    <x v="0"/>
    <x v="0"/>
    <x v="2"/>
    <x v="3"/>
    <s v="FI_large_gas"/>
    <x v="13"/>
    <x v="0"/>
    <x v="0"/>
    <x v="0"/>
    <s v="GNR_IND-ST_WOODWST_BP_CB-50"/>
    <n v="152.564102564103"/>
    <n v="0.15256410256410299"/>
  </r>
  <r>
    <x v="0"/>
    <x v="0"/>
    <x v="0"/>
    <x v="2"/>
    <x v="3"/>
    <s v="FI_medium"/>
    <x v="0"/>
    <x v="0"/>
    <x v="0"/>
    <x v="0"/>
    <s v="GNR_ENG_BGAS_BP_CB-100"/>
    <n v="2.0512820512820502"/>
    <n v="2.05128205128205E-3"/>
  </r>
  <r>
    <x v="0"/>
    <x v="0"/>
    <x v="0"/>
    <x v="2"/>
    <x v="3"/>
    <s v="FI_medium"/>
    <x v="0"/>
    <x v="0"/>
    <x v="0"/>
    <x v="0"/>
    <s v="GNR_GT_BGAS_BP_CB-30"/>
    <n v="0.128205128205128"/>
    <n v="1.2820512820512799E-4"/>
  </r>
  <r>
    <x v="0"/>
    <x v="0"/>
    <x v="0"/>
    <x v="2"/>
    <x v="3"/>
    <s v="FI_medium"/>
    <x v="0"/>
    <x v="1"/>
    <x v="1"/>
    <x v="0"/>
    <s v="GNR_BO_BGAS_E-90"/>
    <n v="0.4"/>
    <n v="4.0000000000000002E-4"/>
  </r>
  <r>
    <x v="0"/>
    <x v="0"/>
    <x v="0"/>
    <x v="2"/>
    <x v="3"/>
    <s v="FI_medium"/>
    <x v="12"/>
    <x v="1"/>
    <x v="1"/>
    <x v="0"/>
    <s v="GNR_BO_FUELOIL_E-90"/>
    <n v="395.4"/>
    <n v="0.39539999999999997"/>
  </r>
  <r>
    <x v="0"/>
    <x v="0"/>
    <x v="0"/>
    <x v="2"/>
    <x v="3"/>
    <s v="FI_medium"/>
    <x v="3"/>
    <x v="3"/>
    <x v="3"/>
    <x v="0"/>
    <s v="GNR_HS_HEAT_WTR-TANK_LS_E-95_Y-2010"/>
    <n v="79.375"/>
    <n v="0.63500000000000001"/>
  </r>
  <r>
    <x v="0"/>
    <x v="0"/>
    <x v="0"/>
    <x v="2"/>
    <x v="3"/>
    <s v="FI_medium"/>
    <x v="4"/>
    <x v="1"/>
    <x v="1"/>
    <x v="0"/>
    <s v="GNR_BO_LIGHTOIL_E-90"/>
    <n v="516.9"/>
    <n v="0.51690000000000003"/>
  </r>
  <r>
    <x v="0"/>
    <x v="0"/>
    <x v="0"/>
    <x v="2"/>
    <x v="3"/>
    <s v="FI_medium"/>
    <x v="5"/>
    <x v="0"/>
    <x v="0"/>
    <x v="0"/>
    <s v="GNR_ST_MSW_BP_CB-30"/>
    <n v="29.4871794871795"/>
    <n v="2.94871794871795E-2"/>
  </r>
  <r>
    <x v="0"/>
    <x v="0"/>
    <x v="0"/>
    <x v="2"/>
    <x v="3"/>
    <s v="FI_medium"/>
    <x v="5"/>
    <x v="1"/>
    <x v="1"/>
    <x v="0"/>
    <s v="GNR_BO_MSW_E-90"/>
    <n v="64"/>
    <n v="6.4000000000000001E-2"/>
  </r>
  <r>
    <x v="0"/>
    <x v="0"/>
    <x v="0"/>
    <x v="2"/>
    <x v="3"/>
    <s v="FI_medium"/>
    <x v="19"/>
    <x v="0"/>
    <x v="0"/>
    <x v="0"/>
    <s v="GNR_ST_BFG_BP_CB-280"/>
    <n v="141.02564102564099"/>
    <n v="0.141025641025641"/>
  </r>
  <r>
    <x v="0"/>
    <x v="0"/>
    <x v="0"/>
    <x v="2"/>
    <x v="3"/>
    <s v="FI_medium"/>
    <x v="18"/>
    <x v="0"/>
    <x v="0"/>
    <x v="0"/>
    <s v="GNR_ST_PEAT_BP_CB-120"/>
    <n v="160.25641025640999"/>
    <n v="0.16025641025640999"/>
  </r>
  <r>
    <x v="0"/>
    <x v="0"/>
    <x v="0"/>
    <x v="2"/>
    <x v="3"/>
    <s v="FI_medium"/>
    <x v="18"/>
    <x v="0"/>
    <x v="0"/>
    <x v="0"/>
    <s v="GNR_ST_PEAT_BP_CB-30"/>
    <n v="17.307692307692299"/>
    <n v="1.7307692307692302E-2"/>
  </r>
  <r>
    <x v="0"/>
    <x v="0"/>
    <x v="0"/>
    <x v="2"/>
    <x v="3"/>
    <s v="FI_medium"/>
    <x v="18"/>
    <x v="0"/>
    <x v="0"/>
    <x v="0"/>
    <s v="GNR_ST_PEAT_BP_CB-40"/>
    <n v="20"/>
    <n v="0.02"/>
  </r>
  <r>
    <x v="0"/>
    <x v="0"/>
    <x v="0"/>
    <x v="2"/>
    <x v="3"/>
    <s v="FI_medium"/>
    <x v="18"/>
    <x v="0"/>
    <x v="0"/>
    <x v="0"/>
    <s v="GNR_ST_PEAT_BP_CB-50"/>
    <n v="18.846153846153801"/>
    <n v="1.8846153846153801E-2"/>
  </r>
  <r>
    <x v="0"/>
    <x v="0"/>
    <x v="0"/>
    <x v="2"/>
    <x v="3"/>
    <s v="FI_medium"/>
    <x v="18"/>
    <x v="1"/>
    <x v="1"/>
    <x v="0"/>
    <s v="GNR_BO_PEAT_E-90"/>
    <n v="180"/>
    <n v="0.18"/>
  </r>
  <r>
    <x v="0"/>
    <x v="0"/>
    <x v="0"/>
    <x v="2"/>
    <x v="3"/>
    <s v="FI_medium"/>
    <x v="9"/>
    <x v="1"/>
    <x v="1"/>
    <x v="0"/>
    <s v="GNR_EH_HEAT"/>
    <n v="170.4"/>
    <n v="0.1704"/>
  </r>
  <r>
    <x v="0"/>
    <x v="0"/>
    <x v="0"/>
    <x v="2"/>
    <x v="3"/>
    <s v="FI_medium"/>
    <x v="10"/>
    <x v="0"/>
    <x v="0"/>
    <x v="0"/>
    <s v="GNR_ST_WOODCHI_BP_CB-20"/>
    <n v="7.4358974358974397"/>
    <n v="7.4358974358974296E-3"/>
  </r>
  <r>
    <x v="0"/>
    <x v="0"/>
    <x v="0"/>
    <x v="2"/>
    <x v="3"/>
    <s v="FI_medium"/>
    <x v="10"/>
    <x v="0"/>
    <x v="0"/>
    <x v="0"/>
    <s v="GNR_ST_WOODCHI_BP_CB-50"/>
    <n v="103.846153846154"/>
    <n v="0.103846153846154"/>
  </r>
  <r>
    <x v="0"/>
    <x v="0"/>
    <x v="0"/>
    <x v="2"/>
    <x v="3"/>
    <s v="FI_medium"/>
    <x v="10"/>
    <x v="1"/>
    <x v="1"/>
    <x v="0"/>
    <s v="GNR_BO_WOODCHI_E-90"/>
    <n v="148.69999999999999"/>
    <n v="0.1487"/>
  </r>
  <r>
    <x v="0"/>
    <x v="0"/>
    <x v="0"/>
    <x v="2"/>
    <x v="3"/>
    <s v="FI_medium"/>
    <x v="11"/>
    <x v="1"/>
    <x v="1"/>
    <x v="0"/>
    <s v="GNR_BO_WOODPEL_E-90"/>
    <n v="168.7"/>
    <n v="0.16869999999999999"/>
  </r>
  <r>
    <x v="0"/>
    <x v="0"/>
    <x v="0"/>
    <x v="2"/>
    <x v="3"/>
    <s v="FI_medium"/>
    <x v="13"/>
    <x v="1"/>
    <x v="1"/>
    <x v="0"/>
    <s v="GNR_BO_WOODWST_E-90"/>
    <n v="37.5"/>
    <n v="3.7499999999999999E-2"/>
  </r>
  <r>
    <x v="0"/>
    <x v="0"/>
    <x v="0"/>
    <x v="2"/>
    <x v="3"/>
    <s v="FI_medium_gas"/>
    <x v="0"/>
    <x v="0"/>
    <x v="0"/>
    <x v="0"/>
    <s v="GNR_GT_BGAS_BP_CB-100"/>
    <n v="1.4102564102564099"/>
    <n v="1.4102564102564099E-3"/>
  </r>
  <r>
    <x v="0"/>
    <x v="0"/>
    <x v="0"/>
    <x v="2"/>
    <x v="3"/>
    <s v="FI_medium_gas"/>
    <x v="0"/>
    <x v="1"/>
    <x v="1"/>
    <x v="0"/>
    <s v="GNR_BO_BGAS_E-90"/>
    <n v="4"/>
    <n v="4.0000000000000001E-3"/>
  </r>
  <r>
    <x v="0"/>
    <x v="0"/>
    <x v="0"/>
    <x v="2"/>
    <x v="3"/>
    <s v="FI_medium_gas"/>
    <x v="12"/>
    <x v="1"/>
    <x v="1"/>
    <x v="0"/>
    <s v="GNR_BO_FUELOIL_E-90"/>
    <n v="69"/>
    <n v="6.9000000000000006E-2"/>
  </r>
  <r>
    <x v="0"/>
    <x v="0"/>
    <x v="0"/>
    <x v="2"/>
    <x v="3"/>
    <s v="FI_medium_gas"/>
    <x v="4"/>
    <x v="1"/>
    <x v="1"/>
    <x v="0"/>
    <s v="GNR_BO_LIGHTOIL_E-90"/>
    <n v="26.4"/>
    <n v="2.64E-2"/>
  </r>
  <r>
    <x v="0"/>
    <x v="0"/>
    <x v="0"/>
    <x v="2"/>
    <x v="3"/>
    <s v="FI_medium_gas"/>
    <x v="5"/>
    <x v="0"/>
    <x v="0"/>
    <x v="0"/>
    <s v="GNR_ST_MSW_BP_CB-30"/>
    <n v="8.9743589743589691"/>
    <n v="8.9743589743589702E-3"/>
  </r>
  <r>
    <x v="0"/>
    <x v="0"/>
    <x v="0"/>
    <x v="2"/>
    <x v="3"/>
    <s v="FI_medium_gas"/>
    <x v="6"/>
    <x v="1"/>
    <x v="1"/>
    <x v="0"/>
    <s v="GNR_BO_NGAS_E-90"/>
    <n v="332.9"/>
    <n v="0.33289999999999997"/>
  </r>
  <r>
    <x v="0"/>
    <x v="0"/>
    <x v="0"/>
    <x v="2"/>
    <x v="3"/>
    <s v="FI_medium_gas"/>
    <x v="9"/>
    <x v="1"/>
    <x v="1"/>
    <x v="0"/>
    <s v="GNR_EH_HEAT"/>
    <n v="23.6"/>
    <n v="2.3599999999999999E-2"/>
  </r>
  <r>
    <x v="0"/>
    <x v="0"/>
    <x v="0"/>
    <x v="2"/>
    <x v="3"/>
    <s v="FI_medium_gas"/>
    <x v="10"/>
    <x v="0"/>
    <x v="0"/>
    <x v="0"/>
    <s v="GNR_ST_WOODCHI_BP_CB-30"/>
    <n v="12.1794871794872"/>
    <n v="1.21794871794872E-2"/>
  </r>
  <r>
    <x v="0"/>
    <x v="0"/>
    <x v="0"/>
    <x v="2"/>
    <x v="3"/>
    <s v="FI_medium_gas"/>
    <x v="10"/>
    <x v="0"/>
    <x v="0"/>
    <x v="0"/>
    <s v="GNR_ST_WOODCHI_BP_CB-40"/>
    <n v="25.6410256410256"/>
    <n v="2.5641025641025599E-2"/>
  </r>
  <r>
    <x v="0"/>
    <x v="0"/>
    <x v="0"/>
    <x v="2"/>
    <x v="3"/>
    <s v="FI_medium_gas"/>
    <x v="10"/>
    <x v="0"/>
    <x v="0"/>
    <x v="0"/>
    <s v="GNR_ST_WOODCHI_BP_CB-50"/>
    <n v="28.205128205128201"/>
    <n v="2.8205128205128199E-2"/>
  </r>
  <r>
    <x v="0"/>
    <x v="0"/>
    <x v="0"/>
    <x v="2"/>
    <x v="3"/>
    <s v="FI_medium_gas"/>
    <x v="10"/>
    <x v="1"/>
    <x v="1"/>
    <x v="0"/>
    <s v="GNR_BO_WOODCHI_E-90"/>
    <n v="59.4"/>
    <n v="5.9400000000000001E-2"/>
  </r>
  <r>
    <x v="0"/>
    <x v="0"/>
    <x v="0"/>
    <x v="2"/>
    <x v="3"/>
    <s v="FI_medium_gas"/>
    <x v="11"/>
    <x v="1"/>
    <x v="1"/>
    <x v="0"/>
    <s v="GNR_BO_WOODPEL_E-90"/>
    <n v="15.5"/>
    <n v="1.55E-2"/>
  </r>
  <r>
    <x v="0"/>
    <x v="0"/>
    <x v="0"/>
    <x v="2"/>
    <x v="3"/>
    <s v="FI_medium_gas"/>
    <x v="13"/>
    <x v="1"/>
    <x v="1"/>
    <x v="0"/>
    <s v="GNR_BO_WOODWST_E-90"/>
    <n v="59.9"/>
    <n v="5.9900000000000002E-2"/>
  </r>
  <r>
    <x v="0"/>
    <x v="0"/>
    <x v="0"/>
    <x v="2"/>
    <x v="3"/>
    <s v="FI_small"/>
    <x v="2"/>
    <x v="2"/>
    <x v="2"/>
    <x v="0"/>
    <s v="GNR_HP_ELEC_COP-270"/>
    <n v="0.6"/>
    <n v="5.9999999999999995E-4"/>
  </r>
  <r>
    <x v="0"/>
    <x v="0"/>
    <x v="0"/>
    <x v="2"/>
    <x v="3"/>
    <s v="FI_small"/>
    <x v="12"/>
    <x v="1"/>
    <x v="1"/>
    <x v="0"/>
    <s v="GNR_BO_FUELOIL_E-90"/>
    <n v="286.5"/>
    <n v="0.28649999999999998"/>
  </r>
  <r>
    <x v="0"/>
    <x v="0"/>
    <x v="0"/>
    <x v="2"/>
    <x v="3"/>
    <s v="FI_small"/>
    <x v="4"/>
    <x v="1"/>
    <x v="1"/>
    <x v="0"/>
    <s v="GNR_BO_LIGHTOIL_E-90"/>
    <n v="173.1"/>
    <n v="0.1731"/>
  </r>
  <r>
    <x v="0"/>
    <x v="0"/>
    <x v="0"/>
    <x v="2"/>
    <x v="3"/>
    <s v="FI_small"/>
    <x v="6"/>
    <x v="1"/>
    <x v="1"/>
    <x v="0"/>
    <s v="GNR_BO_NGAS_E-90"/>
    <n v="40"/>
    <n v="0.04"/>
  </r>
  <r>
    <x v="0"/>
    <x v="0"/>
    <x v="0"/>
    <x v="2"/>
    <x v="3"/>
    <s v="FI_small"/>
    <x v="19"/>
    <x v="1"/>
    <x v="1"/>
    <x v="0"/>
    <s v="GNR_BO_HYDROGEN_E-90"/>
    <n v="10"/>
    <n v="0.01"/>
  </r>
  <r>
    <x v="0"/>
    <x v="0"/>
    <x v="0"/>
    <x v="2"/>
    <x v="3"/>
    <s v="FI_small"/>
    <x v="18"/>
    <x v="0"/>
    <x v="0"/>
    <x v="0"/>
    <s v="GNR_ST_PEAT_BP_CB-10"/>
    <n v="3.5897435897435899"/>
    <n v="3.5897435897435902E-3"/>
  </r>
  <r>
    <x v="0"/>
    <x v="0"/>
    <x v="0"/>
    <x v="2"/>
    <x v="3"/>
    <s v="FI_small"/>
    <x v="18"/>
    <x v="0"/>
    <x v="0"/>
    <x v="0"/>
    <s v="GNR_ST_PEAT_BP_CB-20"/>
    <n v="5.1282051282051304"/>
    <n v="5.1282051282051299E-3"/>
  </r>
  <r>
    <x v="0"/>
    <x v="0"/>
    <x v="0"/>
    <x v="2"/>
    <x v="3"/>
    <s v="FI_small"/>
    <x v="18"/>
    <x v="0"/>
    <x v="0"/>
    <x v="0"/>
    <s v="GNR_ST_PEAT_BP_CB-30"/>
    <n v="17.692307692307701"/>
    <n v="1.7692307692307702E-2"/>
  </r>
  <r>
    <x v="0"/>
    <x v="0"/>
    <x v="0"/>
    <x v="2"/>
    <x v="3"/>
    <s v="FI_small"/>
    <x v="18"/>
    <x v="1"/>
    <x v="1"/>
    <x v="0"/>
    <s v="GNR_BO_PEAT_E-90"/>
    <n v="131.80000000000001"/>
    <n v="0.1318"/>
  </r>
  <r>
    <x v="0"/>
    <x v="0"/>
    <x v="0"/>
    <x v="2"/>
    <x v="3"/>
    <s v="FI_small"/>
    <x v="9"/>
    <x v="1"/>
    <x v="1"/>
    <x v="0"/>
    <s v="GNR_EH_HEAT"/>
    <n v="11.9"/>
    <n v="1.1900000000000001E-2"/>
  </r>
  <r>
    <x v="0"/>
    <x v="0"/>
    <x v="0"/>
    <x v="2"/>
    <x v="3"/>
    <s v="FI_small"/>
    <x v="10"/>
    <x v="0"/>
    <x v="0"/>
    <x v="0"/>
    <s v="GNR_ST_WOODCHI_BP_CB-10"/>
    <n v="5.7692307692307701"/>
    <n v="5.7692307692307704E-3"/>
  </r>
  <r>
    <x v="0"/>
    <x v="0"/>
    <x v="0"/>
    <x v="2"/>
    <x v="3"/>
    <s v="FI_small"/>
    <x v="10"/>
    <x v="0"/>
    <x v="0"/>
    <x v="0"/>
    <s v="GNR_ST_WOODCHI_BP_CB-30"/>
    <n v="5.7692307692307701"/>
    <n v="5.7692307692307704E-3"/>
  </r>
  <r>
    <x v="0"/>
    <x v="0"/>
    <x v="0"/>
    <x v="2"/>
    <x v="3"/>
    <s v="FI_small"/>
    <x v="10"/>
    <x v="0"/>
    <x v="0"/>
    <x v="0"/>
    <s v="GNR_ST_WOODCHI_BP_CB-70"/>
    <n v="19.102564102564099"/>
    <n v="1.9102564102564099E-2"/>
  </r>
  <r>
    <x v="0"/>
    <x v="0"/>
    <x v="0"/>
    <x v="2"/>
    <x v="3"/>
    <s v="FI_small"/>
    <x v="10"/>
    <x v="1"/>
    <x v="1"/>
    <x v="0"/>
    <s v="GNR_BO_WOODCHI_E-90"/>
    <n v="414.7"/>
    <n v="0.41470000000000001"/>
  </r>
  <r>
    <x v="0"/>
    <x v="0"/>
    <x v="0"/>
    <x v="2"/>
    <x v="3"/>
    <s v="FI_small"/>
    <x v="11"/>
    <x v="1"/>
    <x v="1"/>
    <x v="0"/>
    <s v="GNR_BO_WOODPEL_E-90"/>
    <n v="48.6"/>
    <n v="4.8599999999999997E-2"/>
  </r>
  <r>
    <x v="0"/>
    <x v="0"/>
    <x v="0"/>
    <x v="2"/>
    <x v="3"/>
    <s v="FI_small"/>
    <x v="13"/>
    <x v="0"/>
    <x v="0"/>
    <x v="0"/>
    <s v="GNR_ST_WOODWST_BP_CB-30"/>
    <n v="1.79487179487179"/>
    <n v="1.7948717948717901E-3"/>
  </r>
  <r>
    <x v="0"/>
    <x v="0"/>
    <x v="0"/>
    <x v="2"/>
    <x v="3"/>
    <s v="FI_small"/>
    <x v="13"/>
    <x v="1"/>
    <x v="1"/>
    <x v="0"/>
    <s v="GNR_BO_WOODWST_E-90"/>
    <n v="198.4"/>
    <n v="0.19839999999999999"/>
  </r>
  <r>
    <x v="0"/>
    <x v="0"/>
    <x v="0"/>
    <x v="2"/>
    <x v="3"/>
    <s v="FI_small_gas"/>
    <x v="2"/>
    <x v="2"/>
    <x v="2"/>
    <x v="0"/>
    <s v="GNR_HP_ELEC_COP-270"/>
    <n v="3.8"/>
    <n v="3.8E-3"/>
  </r>
  <r>
    <x v="0"/>
    <x v="0"/>
    <x v="0"/>
    <x v="2"/>
    <x v="3"/>
    <s v="FI_small_gas"/>
    <x v="12"/>
    <x v="1"/>
    <x v="1"/>
    <x v="0"/>
    <s v="GNR_BO_FUELOIL_E-90"/>
    <n v="4"/>
    <n v="4.0000000000000001E-3"/>
  </r>
  <r>
    <x v="0"/>
    <x v="0"/>
    <x v="0"/>
    <x v="2"/>
    <x v="3"/>
    <s v="FI_small_gas"/>
    <x v="4"/>
    <x v="1"/>
    <x v="1"/>
    <x v="0"/>
    <s v="GNR_BO_LIGHTOIL_E-90"/>
    <n v="14.5"/>
    <n v="1.4500000000000001E-2"/>
  </r>
  <r>
    <x v="0"/>
    <x v="0"/>
    <x v="0"/>
    <x v="2"/>
    <x v="3"/>
    <s v="FI_small_gas"/>
    <x v="6"/>
    <x v="1"/>
    <x v="1"/>
    <x v="0"/>
    <s v="GNR_BO_NGAS_E-90"/>
    <n v="208.8"/>
    <n v="0.20880000000000001"/>
  </r>
  <r>
    <x v="0"/>
    <x v="0"/>
    <x v="0"/>
    <x v="2"/>
    <x v="3"/>
    <s v="FI_small_gas"/>
    <x v="10"/>
    <x v="1"/>
    <x v="1"/>
    <x v="0"/>
    <s v="GNR_BO_WOODCHI_E-90"/>
    <n v="56.4"/>
    <n v="5.6399999999999999E-2"/>
  </r>
  <r>
    <x v="0"/>
    <x v="0"/>
    <x v="0"/>
    <x v="2"/>
    <x v="3"/>
    <s v="FI_small_gas"/>
    <x v="11"/>
    <x v="1"/>
    <x v="1"/>
    <x v="0"/>
    <s v="GNR_BO_WOODPEL_E-90"/>
    <n v="7.2"/>
    <n v="7.1999999999999998E-3"/>
  </r>
  <r>
    <x v="0"/>
    <x v="0"/>
    <x v="0"/>
    <x v="2"/>
    <x v="3"/>
    <s v="FI_small_gas"/>
    <x v="13"/>
    <x v="1"/>
    <x v="1"/>
    <x v="0"/>
    <s v="GNR_BO_WOODWST_E-90"/>
    <n v="4"/>
    <n v="4.0000000000000001E-3"/>
  </r>
  <r>
    <x v="0"/>
    <x v="0"/>
    <x v="0"/>
    <x v="3"/>
    <x v="4"/>
    <s v="DE4-E_A"/>
    <x v="0"/>
    <x v="0"/>
    <x v="0"/>
    <x v="0"/>
    <s v="GNR_ENG_BGAS_BP_E-45"/>
    <n v="5.7820512820512802"/>
    <n v="5.7820512820512798E-3"/>
  </r>
  <r>
    <x v="0"/>
    <x v="0"/>
    <x v="0"/>
    <x v="3"/>
    <x v="4"/>
    <s v="DE4-E_A"/>
    <x v="0"/>
    <x v="0"/>
    <x v="0"/>
    <x v="0"/>
    <s v="GNR_ST_BGAS_BP_E-38"/>
    <n v="84.230769230769198"/>
    <n v="8.4230769230769206E-2"/>
  </r>
  <r>
    <x v="0"/>
    <x v="0"/>
    <x v="0"/>
    <x v="3"/>
    <x v="4"/>
    <s v="DE4-E_A"/>
    <x v="0"/>
    <x v="1"/>
    <x v="1"/>
    <x v="0"/>
    <s v="GNR_BO_BGAS_E-80"/>
    <n v="146.83000000000001"/>
    <n v="0.14682999999999999"/>
  </r>
  <r>
    <x v="0"/>
    <x v="0"/>
    <x v="0"/>
    <x v="3"/>
    <x v="4"/>
    <s v="DE4-E_A"/>
    <x v="14"/>
    <x v="0"/>
    <x v="0"/>
    <x v="0"/>
    <s v="GNR_ST_COAL_BP_E-40"/>
    <n v="773.07692307692298"/>
    <n v="0.77307692307692299"/>
  </r>
  <r>
    <x v="0"/>
    <x v="0"/>
    <x v="0"/>
    <x v="3"/>
    <x v="4"/>
    <s v="DE4-E_A"/>
    <x v="14"/>
    <x v="1"/>
    <x v="1"/>
    <x v="0"/>
    <s v="GNR_BO_COAL_E-80"/>
    <n v="148.12"/>
    <n v="0.14812"/>
  </r>
  <r>
    <x v="0"/>
    <x v="0"/>
    <x v="0"/>
    <x v="3"/>
    <x v="4"/>
    <s v="DE4-E_A"/>
    <x v="2"/>
    <x v="2"/>
    <x v="2"/>
    <x v="0"/>
    <s v="GNR_BO_ELEC_E-80"/>
    <n v="8538.58"/>
    <n v="8.5385799999999996"/>
  </r>
  <r>
    <x v="0"/>
    <x v="0"/>
    <x v="0"/>
    <x v="3"/>
    <x v="4"/>
    <s v="DE4-E_A"/>
    <x v="12"/>
    <x v="1"/>
    <x v="1"/>
    <x v="0"/>
    <s v="GNR_BO_FUELOIL_E-80"/>
    <n v="380.33"/>
    <n v="0.38033"/>
  </r>
  <r>
    <x v="0"/>
    <x v="0"/>
    <x v="0"/>
    <x v="3"/>
    <x v="4"/>
    <s v="DE4-E_A"/>
    <x v="20"/>
    <x v="0"/>
    <x v="0"/>
    <x v="0"/>
    <s v="GNR_ST_LIGN_BP_E-39"/>
    <n v="6840.5128205128203"/>
    <n v="6.8405128205128198"/>
  </r>
  <r>
    <x v="0"/>
    <x v="0"/>
    <x v="0"/>
    <x v="3"/>
    <x v="4"/>
    <s v="DE4-E_A"/>
    <x v="5"/>
    <x v="0"/>
    <x v="0"/>
    <x v="0"/>
    <s v="GNR_ST_MSW_BP_E-33"/>
    <n v="342.564102564103"/>
    <n v="0.34256410256410302"/>
  </r>
  <r>
    <x v="0"/>
    <x v="0"/>
    <x v="0"/>
    <x v="3"/>
    <x v="4"/>
    <s v="DE4-E_A"/>
    <x v="5"/>
    <x v="1"/>
    <x v="1"/>
    <x v="0"/>
    <s v="GNR_BO_MSW_E-80"/>
    <n v="200.19"/>
    <n v="0.20019000000000001"/>
  </r>
  <r>
    <x v="0"/>
    <x v="0"/>
    <x v="0"/>
    <x v="3"/>
    <x v="4"/>
    <s v="DE4-E_A"/>
    <x v="6"/>
    <x v="0"/>
    <x v="0"/>
    <x v="0"/>
    <s v="GNR_CC_NGAS_BP_E-53"/>
    <n v="111.02564102564099"/>
    <n v="0.111025641025641"/>
  </r>
  <r>
    <x v="0"/>
    <x v="0"/>
    <x v="0"/>
    <x v="3"/>
    <x v="4"/>
    <s v="DE4-E_A"/>
    <x v="6"/>
    <x v="0"/>
    <x v="0"/>
    <x v="0"/>
    <s v="GNR_ST_NGAS_BP_E-38"/>
    <n v="230"/>
    <n v="0.23"/>
  </r>
  <r>
    <x v="0"/>
    <x v="0"/>
    <x v="0"/>
    <x v="3"/>
    <x v="4"/>
    <s v="DE4-E_A"/>
    <x v="6"/>
    <x v="1"/>
    <x v="1"/>
    <x v="0"/>
    <s v="GNR_BO_NGAS_E-80"/>
    <n v="11.76"/>
    <n v="1.176E-2"/>
  </r>
  <r>
    <x v="0"/>
    <x v="0"/>
    <x v="0"/>
    <x v="3"/>
    <x v="5"/>
    <s v="DE4-N_A"/>
    <x v="0"/>
    <x v="0"/>
    <x v="0"/>
    <x v="0"/>
    <s v="GNR_ENG_BGAS_BP_E-45"/>
    <n v="0.96153846153846101"/>
    <n v="9.6153846153846105E-4"/>
  </r>
  <r>
    <x v="0"/>
    <x v="0"/>
    <x v="0"/>
    <x v="3"/>
    <x v="5"/>
    <s v="DE4-N_A"/>
    <x v="0"/>
    <x v="0"/>
    <x v="0"/>
    <x v="0"/>
    <s v="GNR_ST_BGAS_BP_E-38"/>
    <n v="25.6410256410256"/>
    <n v="2.5641025641025599E-2"/>
  </r>
  <r>
    <x v="0"/>
    <x v="0"/>
    <x v="0"/>
    <x v="3"/>
    <x v="5"/>
    <s v="DE4-N_A"/>
    <x v="0"/>
    <x v="1"/>
    <x v="1"/>
    <x v="0"/>
    <s v="GNR_BO_BGAS_E-80"/>
    <n v="1110.73"/>
    <n v="1.11073"/>
  </r>
  <r>
    <x v="0"/>
    <x v="0"/>
    <x v="0"/>
    <x v="3"/>
    <x v="5"/>
    <s v="DE4-N_A"/>
    <x v="14"/>
    <x v="0"/>
    <x v="0"/>
    <x v="0"/>
    <s v="GNR_ST_COAL_BP_E-40"/>
    <n v="283.33333333333297"/>
    <n v="0.28333333333333299"/>
  </r>
  <r>
    <x v="0"/>
    <x v="0"/>
    <x v="0"/>
    <x v="3"/>
    <x v="5"/>
    <s v="DE4-N_A"/>
    <x v="14"/>
    <x v="1"/>
    <x v="1"/>
    <x v="0"/>
    <s v="GNR_BO_COAL_E-80"/>
    <n v="0.03"/>
    <n v="3.0000000000000001E-5"/>
  </r>
  <r>
    <x v="0"/>
    <x v="0"/>
    <x v="0"/>
    <x v="3"/>
    <x v="5"/>
    <s v="DE4-N_A"/>
    <x v="2"/>
    <x v="2"/>
    <x v="2"/>
    <x v="0"/>
    <s v="GNR_BO_ELEC_E-80"/>
    <n v="1545.19"/>
    <n v="1.5451900000000001"/>
  </r>
  <r>
    <x v="0"/>
    <x v="0"/>
    <x v="0"/>
    <x v="3"/>
    <x v="5"/>
    <s v="DE4-N_A"/>
    <x v="12"/>
    <x v="1"/>
    <x v="1"/>
    <x v="0"/>
    <s v="GNR_BO_FUELOIL_E-80"/>
    <n v="356.1"/>
    <n v="0.35610000000000003"/>
  </r>
  <r>
    <x v="0"/>
    <x v="0"/>
    <x v="0"/>
    <x v="3"/>
    <x v="5"/>
    <s v="DE4-N_A"/>
    <x v="5"/>
    <x v="0"/>
    <x v="0"/>
    <x v="0"/>
    <s v="GNR_ST_MSW_BP_E-33"/>
    <n v="21.794871794871799"/>
    <n v="2.1794871794871801E-2"/>
  </r>
  <r>
    <x v="0"/>
    <x v="0"/>
    <x v="0"/>
    <x v="3"/>
    <x v="5"/>
    <s v="DE4-N_A"/>
    <x v="5"/>
    <x v="1"/>
    <x v="1"/>
    <x v="0"/>
    <s v="GNR_BO_MSW_E-80"/>
    <n v="84.74"/>
    <n v="8.4739999999999996E-2"/>
  </r>
  <r>
    <x v="0"/>
    <x v="0"/>
    <x v="0"/>
    <x v="3"/>
    <x v="5"/>
    <s v="DE4-N_A"/>
    <x v="6"/>
    <x v="0"/>
    <x v="0"/>
    <x v="0"/>
    <s v="GNR_CC_NGAS_BP_E-57"/>
    <n v="162.82051282051299"/>
    <n v="0.16282051282051299"/>
  </r>
  <r>
    <x v="0"/>
    <x v="0"/>
    <x v="0"/>
    <x v="3"/>
    <x v="5"/>
    <s v="DE4-N_A"/>
    <x v="6"/>
    <x v="0"/>
    <x v="0"/>
    <x v="0"/>
    <s v="GNR_ST_NGAS_BP_E-39"/>
    <n v="96.153846153846104"/>
    <n v="9.6153846153846104E-2"/>
  </r>
  <r>
    <x v="0"/>
    <x v="0"/>
    <x v="0"/>
    <x v="3"/>
    <x v="5"/>
    <s v="DE4-N_A"/>
    <x v="6"/>
    <x v="1"/>
    <x v="1"/>
    <x v="0"/>
    <s v="GNR_BO_NGAS_E-80"/>
    <n v="0.06"/>
    <n v="6.0000000000000002E-5"/>
  </r>
  <r>
    <x v="0"/>
    <x v="0"/>
    <x v="0"/>
    <x v="3"/>
    <x v="6"/>
    <s v="DE4-S_A"/>
    <x v="0"/>
    <x v="0"/>
    <x v="0"/>
    <x v="0"/>
    <s v="GNR_ENG_BGAS_BP_E-45"/>
    <n v="11.846153846153801"/>
    <n v="1.18461538461538E-2"/>
  </r>
  <r>
    <x v="0"/>
    <x v="0"/>
    <x v="0"/>
    <x v="3"/>
    <x v="6"/>
    <s v="DE4-S_A"/>
    <x v="0"/>
    <x v="0"/>
    <x v="0"/>
    <x v="0"/>
    <s v="GNR_ST_BGAS_BP_E-38"/>
    <n v="136.15384615384599"/>
    <n v="0.13615384615384599"/>
  </r>
  <r>
    <x v="0"/>
    <x v="0"/>
    <x v="0"/>
    <x v="3"/>
    <x v="6"/>
    <s v="DE4-S_A"/>
    <x v="0"/>
    <x v="1"/>
    <x v="1"/>
    <x v="0"/>
    <s v="GNR_BO_BGAS_E-80"/>
    <n v="1194.83"/>
    <n v="1.1948300000000001"/>
  </r>
  <r>
    <x v="0"/>
    <x v="0"/>
    <x v="0"/>
    <x v="3"/>
    <x v="6"/>
    <s v="DE4-S_A"/>
    <x v="14"/>
    <x v="0"/>
    <x v="0"/>
    <x v="0"/>
    <s v="GNR_ST_COAL_BP_E-43"/>
    <n v="4087.9487179487201"/>
    <n v="4.0879487179487199"/>
  </r>
  <r>
    <x v="0"/>
    <x v="0"/>
    <x v="0"/>
    <x v="3"/>
    <x v="6"/>
    <s v="DE4-S_A"/>
    <x v="14"/>
    <x v="1"/>
    <x v="1"/>
    <x v="0"/>
    <s v="GNR_BO_COAL_E-80"/>
    <n v="294.06"/>
    <n v="0.29405999999999999"/>
  </r>
  <r>
    <x v="0"/>
    <x v="0"/>
    <x v="0"/>
    <x v="3"/>
    <x v="6"/>
    <s v="DE4-S_A"/>
    <x v="2"/>
    <x v="2"/>
    <x v="2"/>
    <x v="0"/>
    <s v="GNR_BO_ELEC_E-80"/>
    <n v="3831.86"/>
    <n v="3.8318599999999998"/>
  </r>
  <r>
    <x v="0"/>
    <x v="0"/>
    <x v="0"/>
    <x v="3"/>
    <x v="6"/>
    <s v="DE4-S_A"/>
    <x v="12"/>
    <x v="1"/>
    <x v="1"/>
    <x v="0"/>
    <s v="GNR_BO_FUELOIL_E-80"/>
    <n v="509.84"/>
    <n v="0.50983999999999996"/>
  </r>
  <r>
    <x v="0"/>
    <x v="0"/>
    <x v="0"/>
    <x v="3"/>
    <x v="6"/>
    <s v="DE4-S_A"/>
    <x v="5"/>
    <x v="0"/>
    <x v="0"/>
    <x v="0"/>
    <s v="GNR_ST_MSW_BP_E-33"/>
    <n v="136.15384615384599"/>
    <n v="0.13615384615384599"/>
  </r>
  <r>
    <x v="0"/>
    <x v="0"/>
    <x v="0"/>
    <x v="3"/>
    <x v="6"/>
    <s v="DE4-S_A"/>
    <x v="5"/>
    <x v="1"/>
    <x v="1"/>
    <x v="0"/>
    <s v="GNR_BO_MSW_E-80"/>
    <n v="243.93"/>
    <n v="0.24393000000000001"/>
  </r>
  <r>
    <x v="0"/>
    <x v="0"/>
    <x v="0"/>
    <x v="3"/>
    <x v="6"/>
    <s v="DE4-S_A"/>
    <x v="6"/>
    <x v="0"/>
    <x v="0"/>
    <x v="0"/>
    <s v="GNR_CC_NGAS_BP_E-53"/>
    <n v="1255.64102564103"/>
    <n v="1.25564102564103"/>
  </r>
  <r>
    <x v="0"/>
    <x v="0"/>
    <x v="0"/>
    <x v="3"/>
    <x v="6"/>
    <s v="DE4-S_A"/>
    <x v="6"/>
    <x v="0"/>
    <x v="0"/>
    <x v="0"/>
    <s v="GNR_ENG_NGAS_BP_E-46"/>
    <n v="42.435897435897402"/>
    <n v="4.2435897435897402E-2"/>
  </r>
  <r>
    <x v="0"/>
    <x v="0"/>
    <x v="0"/>
    <x v="3"/>
    <x v="6"/>
    <s v="DE4-S_A"/>
    <x v="6"/>
    <x v="0"/>
    <x v="0"/>
    <x v="0"/>
    <s v="GNR_ST_NGAS_BP_E-38"/>
    <n v="782.17948717948696"/>
    <n v="0.78217948717948704"/>
  </r>
  <r>
    <x v="0"/>
    <x v="0"/>
    <x v="0"/>
    <x v="3"/>
    <x v="6"/>
    <s v="DE4-S_A"/>
    <x v="6"/>
    <x v="1"/>
    <x v="1"/>
    <x v="0"/>
    <s v="GNR_BO_NGAS_E-80"/>
    <n v="708.18"/>
    <n v="0.70818000000000003"/>
  </r>
  <r>
    <x v="0"/>
    <x v="0"/>
    <x v="0"/>
    <x v="3"/>
    <x v="7"/>
    <s v="DE4-W_A"/>
    <x v="0"/>
    <x v="0"/>
    <x v="0"/>
    <x v="0"/>
    <s v="GNR_ENG_BGAS_BP_E-45"/>
    <n v="26.6666666666667"/>
    <n v="2.66666666666667E-2"/>
  </r>
  <r>
    <x v="0"/>
    <x v="0"/>
    <x v="0"/>
    <x v="3"/>
    <x v="7"/>
    <s v="DE4-W_A"/>
    <x v="0"/>
    <x v="0"/>
    <x v="0"/>
    <x v="0"/>
    <s v="GNR_ST_BGAS_BP_E-38"/>
    <n v="51.282051282051299"/>
    <n v="5.1282051282051301E-2"/>
  </r>
  <r>
    <x v="0"/>
    <x v="0"/>
    <x v="0"/>
    <x v="3"/>
    <x v="7"/>
    <s v="DE4-W_A"/>
    <x v="0"/>
    <x v="1"/>
    <x v="1"/>
    <x v="0"/>
    <s v="GNR_BO_BGAS_E-80"/>
    <n v="345.22"/>
    <n v="0.34522000000000003"/>
  </r>
  <r>
    <x v="0"/>
    <x v="0"/>
    <x v="0"/>
    <x v="3"/>
    <x v="7"/>
    <s v="DE4-W_A"/>
    <x v="14"/>
    <x v="0"/>
    <x v="0"/>
    <x v="0"/>
    <s v="GNR_ST_COAL_BP_E-41"/>
    <n v="2748.7179487179501"/>
    <n v="2.7487179487179501"/>
  </r>
  <r>
    <x v="0"/>
    <x v="0"/>
    <x v="0"/>
    <x v="3"/>
    <x v="7"/>
    <s v="DE4-W_A"/>
    <x v="14"/>
    <x v="1"/>
    <x v="1"/>
    <x v="0"/>
    <s v="GNR_BO_COAL_E-80"/>
    <n v="179.74"/>
    <n v="0.17974000000000001"/>
  </r>
  <r>
    <x v="0"/>
    <x v="0"/>
    <x v="0"/>
    <x v="3"/>
    <x v="7"/>
    <s v="DE4-W_A"/>
    <x v="2"/>
    <x v="2"/>
    <x v="2"/>
    <x v="0"/>
    <s v="GNR_BO_ELEC_E-80"/>
    <n v="8070.32"/>
    <n v="8.0703200000000006"/>
  </r>
  <r>
    <x v="0"/>
    <x v="0"/>
    <x v="0"/>
    <x v="3"/>
    <x v="7"/>
    <s v="DE4-W_A"/>
    <x v="12"/>
    <x v="1"/>
    <x v="1"/>
    <x v="0"/>
    <s v="GNR_BO_FUELOIL_E-80"/>
    <n v="316.10000000000002"/>
    <n v="0.31609999999999999"/>
  </r>
  <r>
    <x v="0"/>
    <x v="0"/>
    <x v="0"/>
    <x v="3"/>
    <x v="7"/>
    <s v="DE4-W_A"/>
    <x v="20"/>
    <x v="0"/>
    <x v="0"/>
    <x v="0"/>
    <s v="GNR_ST_LIGN_BP_E-37"/>
    <n v="436.41025641025601"/>
    <n v="0.43641025641025599"/>
  </r>
  <r>
    <x v="0"/>
    <x v="0"/>
    <x v="0"/>
    <x v="3"/>
    <x v="7"/>
    <s v="DE4-W_A"/>
    <x v="5"/>
    <x v="0"/>
    <x v="0"/>
    <x v="0"/>
    <s v="GNR_ST_MSW_BP_E-33"/>
    <n v="201.92307692307699"/>
    <n v="0.20192307692307701"/>
  </r>
  <r>
    <x v="0"/>
    <x v="0"/>
    <x v="0"/>
    <x v="3"/>
    <x v="7"/>
    <s v="DE4-W_A"/>
    <x v="5"/>
    <x v="1"/>
    <x v="1"/>
    <x v="0"/>
    <s v="GNR_BO_MSW_E-80"/>
    <n v="949.46"/>
    <n v="0.94945999999999997"/>
  </r>
  <r>
    <x v="0"/>
    <x v="0"/>
    <x v="0"/>
    <x v="3"/>
    <x v="7"/>
    <s v="DE4-W_A"/>
    <x v="6"/>
    <x v="0"/>
    <x v="0"/>
    <x v="0"/>
    <s v="GNR_CC_NGAS_BP_E-55"/>
    <n v="4109.8717948717904"/>
    <n v="4.1098717948717898"/>
  </r>
  <r>
    <x v="0"/>
    <x v="0"/>
    <x v="0"/>
    <x v="3"/>
    <x v="7"/>
    <s v="DE4-W_A"/>
    <x v="6"/>
    <x v="0"/>
    <x v="0"/>
    <x v="0"/>
    <s v="GNR_GT_NGAS_BP_E-39"/>
    <n v="163.07692307692301"/>
    <n v="0.16307692307692301"/>
  </r>
  <r>
    <x v="0"/>
    <x v="0"/>
    <x v="0"/>
    <x v="3"/>
    <x v="7"/>
    <s v="DE4-W_A"/>
    <x v="6"/>
    <x v="0"/>
    <x v="0"/>
    <x v="0"/>
    <s v="GNR_ST_NGAS_BP_E-38"/>
    <n v="1105.76923076923"/>
    <n v="1.1057692307692299"/>
  </r>
  <r>
    <x v="0"/>
    <x v="0"/>
    <x v="0"/>
    <x v="3"/>
    <x v="7"/>
    <s v="DE4-W_A"/>
    <x v="6"/>
    <x v="1"/>
    <x v="1"/>
    <x v="0"/>
    <s v="GNR_BO_NGAS_E-80"/>
    <n v="258.02999999999997"/>
    <n v="0.25802999999999998"/>
  </r>
  <r>
    <x v="0"/>
    <x v="0"/>
    <x v="0"/>
    <x v="4"/>
    <x v="8"/>
    <s v="LV_Other_DH"/>
    <x v="0"/>
    <x v="0"/>
    <x v="0"/>
    <x v="0"/>
    <s v="GNR_GT_BGAS_BP_E-30"/>
    <n v="70.512820512820497"/>
    <n v="7.0512820512820498E-2"/>
  </r>
  <r>
    <x v="0"/>
    <x v="0"/>
    <x v="0"/>
    <x v="4"/>
    <x v="8"/>
    <s v="LV_Other_DH"/>
    <x v="14"/>
    <x v="1"/>
    <x v="1"/>
    <x v="0"/>
    <s v="GNR_BO_COAL_E-76"/>
    <n v="47.5"/>
    <n v="4.7500000000000001E-2"/>
  </r>
  <r>
    <x v="0"/>
    <x v="0"/>
    <x v="0"/>
    <x v="4"/>
    <x v="8"/>
    <s v="LV_Other_DH"/>
    <x v="12"/>
    <x v="1"/>
    <x v="1"/>
    <x v="0"/>
    <s v="GNR_BO_FUELOIL_E-95"/>
    <n v="16.3"/>
    <n v="1.6299999999999999E-2"/>
  </r>
  <r>
    <x v="0"/>
    <x v="0"/>
    <x v="0"/>
    <x v="4"/>
    <x v="8"/>
    <s v="LV_Other_DH"/>
    <x v="6"/>
    <x v="0"/>
    <x v="0"/>
    <x v="0"/>
    <s v="GNR_ST_NGAS_BP_E-28"/>
    <n v="153.961538461538"/>
    <n v="0.15396153846153801"/>
  </r>
  <r>
    <x v="0"/>
    <x v="0"/>
    <x v="0"/>
    <x v="4"/>
    <x v="8"/>
    <s v="LV_Other_DH"/>
    <x v="6"/>
    <x v="1"/>
    <x v="1"/>
    <x v="0"/>
    <s v="GNR_BO_NGAS_E-101"/>
    <n v="759"/>
    <n v="0.75900000000000001"/>
  </r>
  <r>
    <x v="0"/>
    <x v="0"/>
    <x v="0"/>
    <x v="4"/>
    <x v="8"/>
    <s v="LV_Other_DH"/>
    <x v="16"/>
    <x v="0"/>
    <x v="0"/>
    <x v="0"/>
    <s v="GNR_ST_WOOD_BP_E-30"/>
    <n v="69.230769230769198"/>
    <n v="6.9230769230769207E-2"/>
  </r>
  <r>
    <x v="0"/>
    <x v="0"/>
    <x v="0"/>
    <x v="4"/>
    <x v="8"/>
    <s v="LV_Other_DH"/>
    <x v="16"/>
    <x v="1"/>
    <x v="1"/>
    <x v="0"/>
    <s v="GNR_BO_WOOD_E-108"/>
    <n v="907.86"/>
    <n v="0.90786"/>
  </r>
  <r>
    <x v="0"/>
    <x v="0"/>
    <x v="0"/>
    <x v="4"/>
    <x v="8"/>
    <s v="LV_RigaR"/>
    <x v="6"/>
    <x v="0"/>
    <x v="0"/>
    <x v="0"/>
    <s v="GNR_ST_NGAS_BP_E-42"/>
    <n v="61.410256410256402"/>
    <n v="6.1410256410256402E-2"/>
  </r>
  <r>
    <x v="0"/>
    <x v="0"/>
    <x v="0"/>
    <x v="4"/>
    <x v="8"/>
    <s v="LV_RigaR"/>
    <x v="6"/>
    <x v="0"/>
    <x v="0"/>
    <x v="0"/>
    <s v="RIGA-TEC2_CC_NGAS_BP"/>
    <n v="184.61538461538501"/>
    <n v="0.18461538461538499"/>
  </r>
  <r>
    <x v="0"/>
    <x v="0"/>
    <x v="0"/>
    <x v="4"/>
    <x v="8"/>
    <s v="LV_RigaR"/>
    <x v="6"/>
    <x v="0"/>
    <x v="6"/>
    <x v="0"/>
    <s v="RIGA-TEC2_CC_NGAS_EXT"/>
    <n v="1001.13636363636"/>
    <n v="1.0011363636363599"/>
  </r>
  <r>
    <x v="0"/>
    <x v="0"/>
    <x v="0"/>
    <x v="4"/>
    <x v="8"/>
    <s v="LV_RigaR"/>
    <x v="6"/>
    <x v="1"/>
    <x v="1"/>
    <x v="0"/>
    <s v="GNR_BO_NGAS_E-101"/>
    <n v="1144.4000000000001"/>
    <n v="1.1444000000000001"/>
  </r>
  <r>
    <x v="0"/>
    <x v="0"/>
    <x v="0"/>
    <x v="4"/>
    <x v="8"/>
    <s v="LV_RigaR"/>
    <x v="6"/>
    <x v="1"/>
    <x v="1"/>
    <x v="0"/>
    <s v="RIGA-TEC1_BO_NGAS_HO"/>
    <n v="348"/>
    <n v="0.34799999999999998"/>
  </r>
  <r>
    <x v="0"/>
    <x v="0"/>
    <x v="0"/>
    <x v="4"/>
    <x v="8"/>
    <s v="LV_RigaR"/>
    <x v="6"/>
    <x v="1"/>
    <x v="1"/>
    <x v="0"/>
    <s v="RIGA-TEC2_BO_NGAS_HO"/>
    <n v="348"/>
    <n v="0.34799999999999998"/>
  </r>
  <r>
    <x v="0"/>
    <x v="0"/>
    <x v="0"/>
    <x v="4"/>
    <x v="8"/>
    <s v="LV_RigaR"/>
    <x v="16"/>
    <x v="1"/>
    <x v="1"/>
    <x v="0"/>
    <s v="GNR_BO_WOOD_E-108"/>
    <n v="940.26"/>
    <n v="0.94025999999999998"/>
  </r>
  <r>
    <x v="0"/>
    <x v="0"/>
    <x v="0"/>
    <x v="5"/>
    <x v="9"/>
    <s v="LT_KauU"/>
    <x v="5"/>
    <x v="0"/>
    <x v="0"/>
    <x v="0"/>
    <s v="KAUNAS_ST_MSW_BP"/>
    <n v="30.769230769230798"/>
    <n v="3.0769230769230799E-2"/>
  </r>
  <r>
    <x v="0"/>
    <x v="0"/>
    <x v="0"/>
    <x v="5"/>
    <x v="9"/>
    <s v="LT_KauU"/>
    <x v="6"/>
    <x v="1"/>
    <x v="1"/>
    <x v="0"/>
    <s v="GNR_BO_NGAS_E-101"/>
    <n v="429.15"/>
    <n v="0.42914999999999998"/>
  </r>
  <r>
    <x v="0"/>
    <x v="0"/>
    <x v="0"/>
    <x v="5"/>
    <x v="9"/>
    <s v="LT_KauU"/>
    <x v="16"/>
    <x v="1"/>
    <x v="1"/>
    <x v="0"/>
    <s v="GNR_BO_WOOD_E-108"/>
    <n v="63"/>
    <n v="6.3E-2"/>
  </r>
  <r>
    <x v="0"/>
    <x v="0"/>
    <x v="0"/>
    <x v="5"/>
    <x v="9"/>
    <s v="LT_KlaU"/>
    <x v="6"/>
    <x v="1"/>
    <x v="1"/>
    <x v="0"/>
    <s v="GNR_BO_NGAS_E-101"/>
    <n v="206.3"/>
    <n v="0.20630000000000001"/>
  </r>
  <r>
    <x v="0"/>
    <x v="0"/>
    <x v="0"/>
    <x v="5"/>
    <x v="9"/>
    <s v="LT_KlaU"/>
    <x v="16"/>
    <x v="0"/>
    <x v="0"/>
    <x v="0"/>
    <s v="KLAIPEDA_ST_WOOD_BP"/>
    <n v="25.6410256410256"/>
    <n v="2.5641025641025599E-2"/>
  </r>
  <r>
    <x v="0"/>
    <x v="0"/>
    <x v="0"/>
    <x v="5"/>
    <x v="9"/>
    <s v="LT_KlaU"/>
    <x v="16"/>
    <x v="1"/>
    <x v="1"/>
    <x v="0"/>
    <s v="GNR_BO_WOOD_E-108"/>
    <n v="3.5"/>
    <n v="3.5000000000000001E-3"/>
  </r>
  <r>
    <x v="0"/>
    <x v="0"/>
    <x v="0"/>
    <x v="5"/>
    <x v="9"/>
    <s v="LT_Other_DH"/>
    <x v="0"/>
    <x v="0"/>
    <x v="6"/>
    <x v="0"/>
    <s v="GNR_ENG_BGAS_EXT_E-33"/>
    <n v="44.318181818181799"/>
    <n v="4.4318181818181798E-2"/>
  </r>
  <r>
    <x v="0"/>
    <x v="0"/>
    <x v="0"/>
    <x v="5"/>
    <x v="9"/>
    <s v="LT_Other_DH"/>
    <x v="12"/>
    <x v="0"/>
    <x v="6"/>
    <x v="0"/>
    <s v="GNR_ST_FUELOIL_EXT_E-22"/>
    <n v="181.81818181818201"/>
    <n v="0.18181818181818199"/>
  </r>
  <r>
    <x v="0"/>
    <x v="0"/>
    <x v="0"/>
    <x v="5"/>
    <x v="9"/>
    <s v="LT_Other_DH"/>
    <x v="3"/>
    <x v="0"/>
    <x v="0"/>
    <x v="0"/>
    <s v="LIFOSA_ST_HEAT_BP"/>
    <n v="47.435897435897402"/>
    <n v="4.7435897435897399E-2"/>
  </r>
  <r>
    <x v="0"/>
    <x v="0"/>
    <x v="0"/>
    <x v="5"/>
    <x v="9"/>
    <s v="LT_Other_DH"/>
    <x v="6"/>
    <x v="0"/>
    <x v="0"/>
    <x v="0"/>
    <s v="ALYTUS_ENG_NGAS_BP"/>
    <n v="11.794871794871799"/>
    <n v="1.17948717948718E-2"/>
  </r>
  <r>
    <x v="0"/>
    <x v="0"/>
    <x v="0"/>
    <x v="5"/>
    <x v="9"/>
    <s v="LT_Other_DH"/>
    <x v="6"/>
    <x v="0"/>
    <x v="0"/>
    <x v="0"/>
    <s v="GNR_ST_GAS_BP-E15"/>
    <n v="25.6410256410256"/>
    <n v="2.5641025641025599E-2"/>
  </r>
  <r>
    <x v="0"/>
    <x v="0"/>
    <x v="0"/>
    <x v="5"/>
    <x v="9"/>
    <s v="LT_Other_DH"/>
    <x v="6"/>
    <x v="0"/>
    <x v="6"/>
    <x v="0"/>
    <s v="ACHEMA1_ST_NGAS_EXT"/>
    <n v="25"/>
    <n v="2.5000000000000001E-2"/>
  </r>
  <r>
    <x v="0"/>
    <x v="0"/>
    <x v="0"/>
    <x v="5"/>
    <x v="9"/>
    <s v="LT_Other_DH"/>
    <x v="6"/>
    <x v="0"/>
    <x v="6"/>
    <x v="0"/>
    <s v="ACHEMA2_ST_NGAS_EXT"/>
    <n v="53.409090909090899"/>
    <n v="5.3409090909090899E-2"/>
  </r>
  <r>
    <x v="0"/>
    <x v="0"/>
    <x v="0"/>
    <x v="5"/>
    <x v="9"/>
    <s v="LT_Other_DH"/>
    <x v="6"/>
    <x v="1"/>
    <x v="1"/>
    <x v="0"/>
    <s v="GNR_BO_NGAS_E-101"/>
    <n v="699.9"/>
    <n v="0.69989999999999997"/>
  </r>
  <r>
    <x v="0"/>
    <x v="0"/>
    <x v="0"/>
    <x v="5"/>
    <x v="9"/>
    <s v="LT_Other_DH"/>
    <x v="13"/>
    <x v="0"/>
    <x v="0"/>
    <x v="0"/>
    <s v="EBAVERE_ST_WOODWST_BP"/>
    <n v="6.9230769230769198"/>
    <n v="6.9230769230769198E-3"/>
  </r>
  <r>
    <x v="0"/>
    <x v="0"/>
    <x v="0"/>
    <x v="5"/>
    <x v="9"/>
    <s v="LT_Panevezys"/>
    <x v="6"/>
    <x v="0"/>
    <x v="0"/>
    <x v="0"/>
    <s v="GNR_CC_NGAS_BP_E-42"/>
    <n v="44.871794871794897"/>
    <n v="4.48717948717949E-2"/>
  </r>
  <r>
    <x v="0"/>
    <x v="0"/>
    <x v="0"/>
    <x v="5"/>
    <x v="9"/>
    <s v="LT_Panevezys"/>
    <x v="6"/>
    <x v="1"/>
    <x v="1"/>
    <x v="0"/>
    <s v="GNR_BO_NGAS_E-101"/>
    <n v="25.94"/>
    <n v="2.5940000000000001E-2"/>
  </r>
  <r>
    <x v="0"/>
    <x v="0"/>
    <x v="0"/>
    <x v="5"/>
    <x v="9"/>
    <s v="LT_Panevezys"/>
    <x v="16"/>
    <x v="1"/>
    <x v="1"/>
    <x v="0"/>
    <s v="GNR_BO_WOOD_E-108"/>
    <n v="60.5"/>
    <n v="6.0499999999999998E-2"/>
  </r>
  <r>
    <x v="0"/>
    <x v="0"/>
    <x v="0"/>
    <x v="5"/>
    <x v="9"/>
    <s v="LT_SiaU"/>
    <x v="6"/>
    <x v="1"/>
    <x v="1"/>
    <x v="0"/>
    <s v="GNR_BO_NGAS_E-101"/>
    <n v="60.97"/>
    <n v="6.0970000000000003E-2"/>
  </r>
  <r>
    <x v="0"/>
    <x v="0"/>
    <x v="0"/>
    <x v="5"/>
    <x v="9"/>
    <s v="LT_SiaU"/>
    <x v="16"/>
    <x v="0"/>
    <x v="0"/>
    <x v="0"/>
    <s v="SIAULIAI_ST_WOOD_BP"/>
    <n v="13.846153846153801"/>
    <n v="1.38461538461538E-2"/>
  </r>
  <r>
    <x v="0"/>
    <x v="0"/>
    <x v="0"/>
    <x v="5"/>
    <x v="9"/>
    <s v="LT_SiaU"/>
    <x v="16"/>
    <x v="1"/>
    <x v="1"/>
    <x v="0"/>
    <s v="GNR_BO_WOOD_E-108"/>
    <n v="25"/>
    <n v="2.5000000000000001E-2"/>
  </r>
  <r>
    <x v="0"/>
    <x v="0"/>
    <x v="0"/>
    <x v="5"/>
    <x v="9"/>
    <s v="LT_VilU"/>
    <x v="5"/>
    <x v="0"/>
    <x v="0"/>
    <x v="0"/>
    <s v="VILNIUS_ST_MSW_BP"/>
    <n v="117.948717948718"/>
    <n v="0.117948717948718"/>
  </r>
  <r>
    <x v="0"/>
    <x v="0"/>
    <x v="0"/>
    <x v="5"/>
    <x v="9"/>
    <s v="LT_VilU"/>
    <x v="6"/>
    <x v="1"/>
    <x v="1"/>
    <x v="0"/>
    <s v="GNR_BO_NGAS_E-101"/>
    <n v="122.58"/>
    <n v="0.12257999999999999"/>
  </r>
  <r>
    <x v="0"/>
    <x v="0"/>
    <x v="0"/>
    <x v="5"/>
    <x v="9"/>
    <s v="LT_VilU"/>
    <x v="16"/>
    <x v="0"/>
    <x v="0"/>
    <x v="0"/>
    <s v="VILNIUS_ST_WOOD_BP"/>
    <n v="19.230769230769202"/>
    <n v="1.9230769230769201E-2"/>
  </r>
  <r>
    <x v="0"/>
    <x v="0"/>
    <x v="0"/>
    <x v="6"/>
    <x v="10"/>
    <s v="NO1_A2"/>
    <x v="0"/>
    <x v="1"/>
    <x v="1"/>
    <x v="0"/>
    <s v="GNR_BO_BGAS_E-90"/>
    <n v="2.7"/>
    <n v="2.7000000000000001E-3"/>
  </r>
  <r>
    <x v="0"/>
    <x v="0"/>
    <x v="0"/>
    <x v="6"/>
    <x v="10"/>
    <s v="NO1_A2"/>
    <x v="14"/>
    <x v="1"/>
    <x v="1"/>
    <x v="0"/>
    <s v="GNR_BO_COAL_E-90"/>
    <n v="14.2"/>
    <n v="1.4200000000000001E-2"/>
  </r>
  <r>
    <x v="0"/>
    <x v="0"/>
    <x v="0"/>
    <x v="6"/>
    <x v="10"/>
    <s v="NO1_A2"/>
    <x v="2"/>
    <x v="2"/>
    <x v="2"/>
    <x v="0"/>
    <s v="GNR_BO_ELEC_E-99"/>
    <n v="38.6"/>
    <n v="3.8600000000000002E-2"/>
  </r>
  <r>
    <x v="0"/>
    <x v="0"/>
    <x v="0"/>
    <x v="6"/>
    <x v="10"/>
    <s v="NO1_A2"/>
    <x v="2"/>
    <x v="2"/>
    <x v="2"/>
    <x v="0"/>
    <s v="GNR_HP_ELEC_COP-270"/>
    <n v="71.900000000000006"/>
    <n v="7.1900000000000006E-2"/>
  </r>
  <r>
    <x v="0"/>
    <x v="0"/>
    <x v="0"/>
    <x v="6"/>
    <x v="10"/>
    <s v="NO1_A2"/>
    <x v="12"/>
    <x v="1"/>
    <x v="1"/>
    <x v="0"/>
    <s v="GNR_BO_FUELOIL_E-90"/>
    <n v="118.4"/>
    <n v="0.11840000000000001"/>
  </r>
  <r>
    <x v="0"/>
    <x v="0"/>
    <x v="0"/>
    <x v="6"/>
    <x v="10"/>
    <s v="NO1_A2"/>
    <x v="21"/>
    <x v="1"/>
    <x v="1"/>
    <x v="0"/>
    <s v="GNR_BO_LNG_E-90"/>
    <n v="26.9"/>
    <n v="2.69E-2"/>
  </r>
  <r>
    <x v="0"/>
    <x v="0"/>
    <x v="0"/>
    <x v="6"/>
    <x v="10"/>
    <s v="NO1_A2"/>
    <x v="5"/>
    <x v="0"/>
    <x v="0"/>
    <x v="0"/>
    <s v="GNR_ST_MSW_BP_CB-20"/>
    <n v="4.3589743589743604"/>
    <n v="4.3589743589743596E-3"/>
  </r>
  <r>
    <x v="0"/>
    <x v="0"/>
    <x v="0"/>
    <x v="6"/>
    <x v="10"/>
    <s v="NO1_A2"/>
    <x v="5"/>
    <x v="1"/>
    <x v="1"/>
    <x v="0"/>
    <s v="GNR_BO_MSW_E-90"/>
    <n v="3.1"/>
    <n v="3.0999999999999999E-3"/>
  </r>
  <r>
    <x v="0"/>
    <x v="0"/>
    <x v="0"/>
    <x v="6"/>
    <x v="10"/>
    <s v="NO1_A2"/>
    <x v="9"/>
    <x v="1"/>
    <x v="1"/>
    <x v="0"/>
    <s v="GNR_EH_HEAT"/>
    <n v="10.8"/>
    <n v="1.0800000000000001E-2"/>
  </r>
  <r>
    <x v="0"/>
    <x v="0"/>
    <x v="0"/>
    <x v="6"/>
    <x v="10"/>
    <s v="NO1_A2"/>
    <x v="10"/>
    <x v="1"/>
    <x v="1"/>
    <x v="0"/>
    <s v="GNR_BO_WOODCHI_E-90"/>
    <n v="36.4"/>
    <n v="3.6400000000000002E-2"/>
  </r>
  <r>
    <x v="0"/>
    <x v="0"/>
    <x v="0"/>
    <x v="6"/>
    <x v="10"/>
    <s v="NO1_A2"/>
    <x v="11"/>
    <x v="1"/>
    <x v="1"/>
    <x v="0"/>
    <s v="GNR_BO_WOODPEL_E-90"/>
    <n v="10"/>
    <n v="0.01"/>
  </r>
  <r>
    <x v="0"/>
    <x v="0"/>
    <x v="0"/>
    <x v="6"/>
    <x v="10"/>
    <s v="NO1_A2"/>
    <x v="13"/>
    <x v="1"/>
    <x v="1"/>
    <x v="0"/>
    <s v="GNR_BO_WOODWST_E-90"/>
    <n v="22.1"/>
    <n v="2.2100000000000002E-2"/>
  </r>
  <r>
    <x v="0"/>
    <x v="0"/>
    <x v="0"/>
    <x v="6"/>
    <x v="10"/>
    <s v="NO1_A3"/>
    <x v="1"/>
    <x v="1"/>
    <x v="1"/>
    <x v="0"/>
    <s v="GNR_BO_BIOIL_E-90"/>
    <n v="57.9"/>
    <n v="5.79E-2"/>
  </r>
  <r>
    <x v="0"/>
    <x v="0"/>
    <x v="0"/>
    <x v="6"/>
    <x v="10"/>
    <s v="NO1_A3"/>
    <x v="2"/>
    <x v="2"/>
    <x v="2"/>
    <x v="0"/>
    <s v="GNR_BO_ELEC_E-99"/>
    <n v="102.5"/>
    <n v="0.10249999999999999"/>
  </r>
  <r>
    <x v="0"/>
    <x v="0"/>
    <x v="0"/>
    <x v="6"/>
    <x v="10"/>
    <s v="NO1_A3"/>
    <x v="2"/>
    <x v="2"/>
    <x v="2"/>
    <x v="0"/>
    <s v="GNR_HP_ELEC_COP-270"/>
    <n v="12.5"/>
    <n v="1.2500000000000001E-2"/>
  </r>
  <r>
    <x v="0"/>
    <x v="0"/>
    <x v="0"/>
    <x v="6"/>
    <x v="10"/>
    <s v="NO1_A3"/>
    <x v="12"/>
    <x v="1"/>
    <x v="1"/>
    <x v="0"/>
    <s v="GNR_BO_FUELOIL_E-90"/>
    <n v="134.80000000000001"/>
    <n v="0.1348"/>
  </r>
  <r>
    <x v="0"/>
    <x v="0"/>
    <x v="0"/>
    <x v="6"/>
    <x v="10"/>
    <s v="NO1_A3"/>
    <x v="21"/>
    <x v="1"/>
    <x v="1"/>
    <x v="0"/>
    <s v="GNR_BO_LNG_E-90"/>
    <n v="41.7"/>
    <n v="4.1700000000000001E-2"/>
  </r>
  <r>
    <x v="0"/>
    <x v="0"/>
    <x v="0"/>
    <x v="6"/>
    <x v="10"/>
    <s v="NO1_A3"/>
    <x v="5"/>
    <x v="0"/>
    <x v="0"/>
    <x v="0"/>
    <s v="GNR_ST_MSW_BP_CB-20"/>
    <n v="9.8824786324786302"/>
    <n v="9.8824786324786303E-3"/>
  </r>
  <r>
    <x v="0"/>
    <x v="0"/>
    <x v="0"/>
    <x v="6"/>
    <x v="10"/>
    <s v="NO1_A3"/>
    <x v="5"/>
    <x v="1"/>
    <x v="1"/>
    <x v="0"/>
    <s v="GNR_BO_MSW_E-90"/>
    <n v="13.3"/>
    <n v="1.3299999999999999E-2"/>
  </r>
  <r>
    <x v="0"/>
    <x v="0"/>
    <x v="0"/>
    <x v="6"/>
    <x v="10"/>
    <s v="NO1_A3"/>
    <x v="11"/>
    <x v="1"/>
    <x v="1"/>
    <x v="0"/>
    <s v="GNR_BO_WOODPEL_E-90"/>
    <n v="23.3"/>
    <n v="2.3300000000000001E-2"/>
  </r>
  <r>
    <x v="0"/>
    <x v="0"/>
    <x v="0"/>
    <x v="6"/>
    <x v="10"/>
    <s v="NO1_A3"/>
    <x v="13"/>
    <x v="1"/>
    <x v="1"/>
    <x v="0"/>
    <s v="GNR_BO_WOODWST_E-90"/>
    <n v="6.7"/>
    <n v="6.7000000000000002E-3"/>
  </r>
  <r>
    <x v="0"/>
    <x v="0"/>
    <x v="0"/>
    <x v="6"/>
    <x v="11"/>
    <s v="NO2_A2"/>
    <x v="0"/>
    <x v="1"/>
    <x v="1"/>
    <x v="0"/>
    <s v="GNR_BO_BGAS_E-90"/>
    <n v="0.5"/>
    <n v="5.0000000000000001E-4"/>
  </r>
  <r>
    <x v="0"/>
    <x v="0"/>
    <x v="0"/>
    <x v="6"/>
    <x v="11"/>
    <s v="NO2_A2"/>
    <x v="14"/>
    <x v="1"/>
    <x v="1"/>
    <x v="0"/>
    <s v="GNR_BO_COAL_E-90"/>
    <n v="2.1"/>
    <n v="2.0999999999999999E-3"/>
  </r>
  <r>
    <x v="0"/>
    <x v="0"/>
    <x v="0"/>
    <x v="6"/>
    <x v="11"/>
    <s v="NO2_A2"/>
    <x v="2"/>
    <x v="2"/>
    <x v="2"/>
    <x v="0"/>
    <s v="GNR_BO_ELEC_E-99"/>
    <n v="18"/>
    <n v="1.7999999999999999E-2"/>
  </r>
  <r>
    <x v="0"/>
    <x v="0"/>
    <x v="0"/>
    <x v="6"/>
    <x v="11"/>
    <s v="NO2_A2"/>
    <x v="2"/>
    <x v="2"/>
    <x v="2"/>
    <x v="0"/>
    <s v="GNR_HP_ELEC_COP-270"/>
    <n v="0.8"/>
    <n v="8.0000000000000004E-4"/>
  </r>
  <r>
    <x v="0"/>
    <x v="0"/>
    <x v="0"/>
    <x v="6"/>
    <x v="11"/>
    <s v="NO2_A2"/>
    <x v="12"/>
    <x v="1"/>
    <x v="1"/>
    <x v="0"/>
    <s v="GNR_BO_FUELOIL_E-90"/>
    <n v="16.899999999999999"/>
    <n v="1.6899999999999998E-2"/>
  </r>
  <r>
    <x v="0"/>
    <x v="0"/>
    <x v="0"/>
    <x v="6"/>
    <x v="11"/>
    <s v="NO2_A2"/>
    <x v="21"/>
    <x v="1"/>
    <x v="1"/>
    <x v="0"/>
    <s v="GNR_BO_LNG_E-90"/>
    <n v="8.4"/>
    <n v="8.3999999999999995E-3"/>
  </r>
  <r>
    <x v="0"/>
    <x v="0"/>
    <x v="0"/>
    <x v="6"/>
    <x v="11"/>
    <s v="NO2_A2"/>
    <x v="5"/>
    <x v="0"/>
    <x v="0"/>
    <x v="0"/>
    <s v="GNR_ST_MSW_BP_CB-30"/>
    <n v="5.7692307692307701"/>
    <n v="5.7692307692307704E-3"/>
  </r>
  <r>
    <x v="0"/>
    <x v="0"/>
    <x v="0"/>
    <x v="6"/>
    <x v="11"/>
    <s v="NO2_A2"/>
    <x v="6"/>
    <x v="1"/>
    <x v="1"/>
    <x v="0"/>
    <s v="GNR_BO_NGAS_E-90"/>
    <n v="31.3"/>
    <n v="3.1300000000000001E-2"/>
  </r>
  <r>
    <x v="0"/>
    <x v="0"/>
    <x v="0"/>
    <x v="6"/>
    <x v="11"/>
    <s v="NO2_A2"/>
    <x v="9"/>
    <x v="1"/>
    <x v="1"/>
    <x v="0"/>
    <s v="GNR_EH_HEAT"/>
    <n v="21.4"/>
    <n v="2.1399999999999999E-2"/>
  </r>
  <r>
    <x v="0"/>
    <x v="0"/>
    <x v="0"/>
    <x v="6"/>
    <x v="11"/>
    <s v="NO2_A2"/>
    <x v="10"/>
    <x v="1"/>
    <x v="1"/>
    <x v="0"/>
    <s v="GNR_BO_WOODCHI_E-90"/>
    <n v="1.6"/>
    <n v="1.6000000000000001E-3"/>
  </r>
  <r>
    <x v="0"/>
    <x v="0"/>
    <x v="0"/>
    <x v="6"/>
    <x v="11"/>
    <s v="NO2_A2"/>
    <x v="11"/>
    <x v="1"/>
    <x v="1"/>
    <x v="0"/>
    <s v="GNR_BO_WOODPEL_E-90"/>
    <n v="9.1999999999999993"/>
    <n v="9.1999999999999998E-3"/>
  </r>
  <r>
    <x v="0"/>
    <x v="0"/>
    <x v="0"/>
    <x v="6"/>
    <x v="11"/>
    <s v="NO2_A2"/>
    <x v="13"/>
    <x v="1"/>
    <x v="1"/>
    <x v="0"/>
    <s v="GNR_BO_WOODWST_E-90"/>
    <n v="26.6"/>
    <n v="2.6599999999999999E-2"/>
  </r>
  <r>
    <x v="0"/>
    <x v="0"/>
    <x v="0"/>
    <x v="6"/>
    <x v="12"/>
    <s v="NO3_A2"/>
    <x v="14"/>
    <x v="1"/>
    <x v="1"/>
    <x v="0"/>
    <s v="GNR_BO_COAL_E-90"/>
    <n v="1.6"/>
    <n v="1.6000000000000001E-3"/>
  </r>
  <r>
    <x v="0"/>
    <x v="0"/>
    <x v="0"/>
    <x v="6"/>
    <x v="12"/>
    <s v="NO3_A2"/>
    <x v="2"/>
    <x v="2"/>
    <x v="2"/>
    <x v="0"/>
    <s v="GNR_BO_ELEC_E-99"/>
    <n v="10.8"/>
    <n v="1.0800000000000001E-2"/>
  </r>
  <r>
    <x v="0"/>
    <x v="0"/>
    <x v="0"/>
    <x v="6"/>
    <x v="12"/>
    <s v="NO3_A2"/>
    <x v="2"/>
    <x v="2"/>
    <x v="2"/>
    <x v="0"/>
    <s v="GNR_HP_ELEC_COP-270"/>
    <n v="4.8"/>
    <n v="4.7999999999999996E-3"/>
  </r>
  <r>
    <x v="0"/>
    <x v="0"/>
    <x v="0"/>
    <x v="6"/>
    <x v="12"/>
    <s v="NO3_A2"/>
    <x v="12"/>
    <x v="1"/>
    <x v="1"/>
    <x v="0"/>
    <s v="GNR_BO_FUELOIL_E-90"/>
    <n v="12.3"/>
    <n v="1.23E-2"/>
  </r>
  <r>
    <x v="0"/>
    <x v="0"/>
    <x v="0"/>
    <x v="6"/>
    <x v="12"/>
    <s v="NO3_A2"/>
    <x v="21"/>
    <x v="1"/>
    <x v="1"/>
    <x v="0"/>
    <s v="GNR_BO_LNG_E-90"/>
    <n v="11.6"/>
    <n v="1.1599999999999999E-2"/>
  </r>
  <r>
    <x v="0"/>
    <x v="0"/>
    <x v="0"/>
    <x v="6"/>
    <x v="12"/>
    <s v="NO3_A2"/>
    <x v="5"/>
    <x v="0"/>
    <x v="0"/>
    <x v="0"/>
    <s v="GNR_ST_MSW_BP_CB-20"/>
    <n v="2.3076923076923102"/>
    <n v="2.3076923076923101E-3"/>
  </r>
  <r>
    <x v="0"/>
    <x v="0"/>
    <x v="0"/>
    <x v="6"/>
    <x v="12"/>
    <s v="NO3_A2"/>
    <x v="9"/>
    <x v="1"/>
    <x v="1"/>
    <x v="0"/>
    <s v="GNR_EH_HEAT"/>
    <n v="15.7"/>
    <n v="1.5699999999999999E-2"/>
  </r>
  <r>
    <x v="0"/>
    <x v="0"/>
    <x v="0"/>
    <x v="6"/>
    <x v="12"/>
    <s v="NO3_A2"/>
    <x v="10"/>
    <x v="1"/>
    <x v="1"/>
    <x v="0"/>
    <s v="GNR_BO_WOODCHI_E-90"/>
    <n v="4.4000000000000004"/>
    <n v="4.4000000000000003E-3"/>
  </r>
  <r>
    <x v="0"/>
    <x v="0"/>
    <x v="0"/>
    <x v="6"/>
    <x v="12"/>
    <s v="NO3_A2"/>
    <x v="11"/>
    <x v="1"/>
    <x v="1"/>
    <x v="0"/>
    <s v="GNR_BO_WOODPEL_E-90"/>
    <n v="7.2"/>
    <n v="7.1999999999999998E-3"/>
  </r>
  <r>
    <x v="0"/>
    <x v="0"/>
    <x v="0"/>
    <x v="6"/>
    <x v="12"/>
    <s v="NO3_A3"/>
    <x v="0"/>
    <x v="1"/>
    <x v="1"/>
    <x v="0"/>
    <s v="GNR_BO_BGAS_E-90"/>
    <n v="1.7"/>
    <n v="1.6999999999999999E-3"/>
  </r>
  <r>
    <x v="0"/>
    <x v="0"/>
    <x v="0"/>
    <x v="6"/>
    <x v="12"/>
    <s v="NO3_A3"/>
    <x v="2"/>
    <x v="2"/>
    <x v="2"/>
    <x v="0"/>
    <s v="GNR_BO_ELEC_E-99"/>
    <n v="36.9"/>
    <n v="3.6900000000000002E-2"/>
  </r>
  <r>
    <x v="0"/>
    <x v="0"/>
    <x v="0"/>
    <x v="6"/>
    <x v="12"/>
    <s v="NO3_A3"/>
    <x v="2"/>
    <x v="2"/>
    <x v="2"/>
    <x v="0"/>
    <s v="GNR_HP_ELEC_COP-270"/>
    <n v="0.4"/>
    <n v="4.0000000000000002E-4"/>
  </r>
  <r>
    <x v="0"/>
    <x v="0"/>
    <x v="0"/>
    <x v="6"/>
    <x v="12"/>
    <s v="NO3_A3"/>
    <x v="12"/>
    <x v="1"/>
    <x v="1"/>
    <x v="0"/>
    <s v="GNR_BO_FUELOIL_E-90"/>
    <n v="22.3"/>
    <n v="2.23E-2"/>
  </r>
  <r>
    <x v="0"/>
    <x v="0"/>
    <x v="0"/>
    <x v="6"/>
    <x v="12"/>
    <s v="NO3_A3"/>
    <x v="21"/>
    <x v="1"/>
    <x v="1"/>
    <x v="0"/>
    <s v="GNR_BO_LNG_E-90"/>
    <n v="42.6"/>
    <n v="4.2599999999999999E-2"/>
  </r>
  <r>
    <x v="0"/>
    <x v="0"/>
    <x v="0"/>
    <x v="6"/>
    <x v="12"/>
    <s v="NO3_A3"/>
    <x v="5"/>
    <x v="1"/>
    <x v="1"/>
    <x v="0"/>
    <s v="GNR_BO_MSW_E-90"/>
    <n v="29.2"/>
    <n v="2.92E-2"/>
  </r>
  <r>
    <x v="0"/>
    <x v="0"/>
    <x v="0"/>
    <x v="6"/>
    <x v="12"/>
    <s v="NO3_A3"/>
    <x v="10"/>
    <x v="1"/>
    <x v="1"/>
    <x v="0"/>
    <s v="GNR_BO_WOODCHI_E-90"/>
    <n v="5.4"/>
    <n v="5.4000000000000003E-3"/>
  </r>
  <r>
    <x v="0"/>
    <x v="0"/>
    <x v="0"/>
    <x v="6"/>
    <x v="13"/>
    <s v="NO4_A1"/>
    <x v="6"/>
    <x v="0"/>
    <x v="0"/>
    <x v="0"/>
    <s v="GNR_GT_NGAS_BP_E-39"/>
    <n v="275.64102564102598"/>
    <n v="0.27564102564102599"/>
  </r>
  <r>
    <x v="0"/>
    <x v="0"/>
    <x v="0"/>
    <x v="6"/>
    <x v="13"/>
    <s v="NO4_A2"/>
    <x v="14"/>
    <x v="1"/>
    <x v="1"/>
    <x v="0"/>
    <s v="GNR_BO_COAL_E-90"/>
    <n v="1.3"/>
    <n v="1.2999999999999999E-3"/>
  </r>
  <r>
    <x v="0"/>
    <x v="0"/>
    <x v="0"/>
    <x v="6"/>
    <x v="13"/>
    <s v="NO4_A2"/>
    <x v="2"/>
    <x v="2"/>
    <x v="2"/>
    <x v="0"/>
    <s v="GNR_BO_ELEC_E-99"/>
    <n v="16.8"/>
    <n v="1.6799999999999999E-2"/>
  </r>
  <r>
    <x v="0"/>
    <x v="0"/>
    <x v="0"/>
    <x v="6"/>
    <x v="13"/>
    <s v="NO4_A2"/>
    <x v="2"/>
    <x v="2"/>
    <x v="2"/>
    <x v="0"/>
    <s v="GNR_HP_ELEC_COP-270"/>
    <n v="2.7"/>
    <n v="2.7000000000000001E-3"/>
  </r>
  <r>
    <x v="0"/>
    <x v="0"/>
    <x v="0"/>
    <x v="6"/>
    <x v="13"/>
    <s v="NO4_A2"/>
    <x v="12"/>
    <x v="1"/>
    <x v="1"/>
    <x v="0"/>
    <s v="GNR_BO_FUELOIL_E-90"/>
    <n v="15.9"/>
    <n v="1.5900000000000001E-2"/>
  </r>
  <r>
    <x v="0"/>
    <x v="0"/>
    <x v="0"/>
    <x v="6"/>
    <x v="13"/>
    <s v="NO4_A2"/>
    <x v="21"/>
    <x v="1"/>
    <x v="1"/>
    <x v="0"/>
    <s v="GNR_BO_LNG_E-90"/>
    <n v="7.7"/>
    <n v="7.7000000000000002E-3"/>
  </r>
  <r>
    <x v="0"/>
    <x v="0"/>
    <x v="0"/>
    <x v="6"/>
    <x v="13"/>
    <s v="NO4_A2"/>
    <x v="5"/>
    <x v="0"/>
    <x v="0"/>
    <x v="0"/>
    <s v="GNR_ST_MSW_BP_CB-20"/>
    <n v="0.128205128205128"/>
    <n v="1.2820512820512799E-4"/>
  </r>
  <r>
    <x v="0"/>
    <x v="0"/>
    <x v="0"/>
    <x v="6"/>
    <x v="13"/>
    <s v="NO4_A2"/>
    <x v="5"/>
    <x v="1"/>
    <x v="1"/>
    <x v="0"/>
    <s v="GNR_BO_MSW_E-90"/>
    <n v="6.7"/>
    <n v="6.7000000000000002E-3"/>
  </r>
  <r>
    <x v="0"/>
    <x v="0"/>
    <x v="0"/>
    <x v="6"/>
    <x v="13"/>
    <s v="NO4_A2"/>
    <x v="19"/>
    <x v="1"/>
    <x v="1"/>
    <x v="0"/>
    <s v="GNR_BO_BFG_E-90"/>
    <n v="8.3000000000000007"/>
    <n v="8.3000000000000001E-3"/>
  </r>
  <r>
    <x v="0"/>
    <x v="0"/>
    <x v="0"/>
    <x v="6"/>
    <x v="13"/>
    <s v="NO4_A2"/>
    <x v="9"/>
    <x v="1"/>
    <x v="1"/>
    <x v="0"/>
    <s v="GNR_EH_HEAT"/>
    <n v="36.6"/>
    <n v="3.6600000000000001E-2"/>
  </r>
  <r>
    <x v="0"/>
    <x v="0"/>
    <x v="0"/>
    <x v="6"/>
    <x v="13"/>
    <s v="NO4_A2"/>
    <x v="10"/>
    <x v="1"/>
    <x v="1"/>
    <x v="0"/>
    <s v="GNR_BO_WOODCHI_E-90"/>
    <n v="8.5"/>
    <n v="8.5000000000000006E-3"/>
  </r>
  <r>
    <x v="0"/>
    <x v="0"/>
    <x v="0"/>
    <x v="6"/>
    <x v="14"/>
    <s v="NO5_A1"/>
    <x v="6"/>
    <x v="1"/>
    <x v="1"/>
    <x v="0"/>
    <s v="GNR_BO_NGAS_E-97"/>
    <n v="600"/>
    <n v="0.6"/>
  </r>
  <r>
    <x v="0"/>
    <x v="0"/>
    <x v="0"/>
    <x v="6"/>
    <x v="14"/>
    <s v="NO5_A2"/>
    <x v="2"/>
    <x v="2"/>
    <x v="2"/>
    <x v="0"/>
    <s v="GNR_BO_ELEC_E-99"/>
    <n v="17.7083333333333"/>
    <n v="1.7708333333333302E-2"/>
  </r>
  <r>
    <x v="0"/>
    <x v="0"/>
    <x v="0"/>
    <x v="6"/>
    <x v="14"/>
    <s v="NO5_A2"/>
    <x v="12"/>
    <x v="1"/>
    <x v="1"/>
    <x v="0"/>
    <s v="GNR_BO_FUELOIL_E-90"/>
    <n v="23.3333333333333"/>
    <n v="2.33333333333333E-2"/>
  </r>
  <r>
    <x v="0"/>
    <x v="0"/>
    <x v="0"/>
    <x v="6"/>
    <x v="14"/>
    <s v="NO5_A2"/>
    <x v="21"/>
    <x v="1"/>
    <x v="1"/>
    <x v="0"/>
    <s v="GNR_BO_LNG_E-90"/>
    <n v="14.1666666666667"/>
    <n v="1.4166666666666701E-2"/>
  </r>
  <r>
    <x v="0"/>
    <x v="0"/>
    <x v="0"/>
    <x v="6"/>
    <x v="14"/>
    <s v="NO5_A2"/>
    <x v="5"/>
    <x v="0"/>
    <x v="0"/>
    <x v="0"/>
    <s v="GNR_ST_MSW_BP_CB-20"/>
    <n v="5.8760683760683703"/>
    <n v="5.8760683760683699E-3"/>
  </r>
  <r>
    <x v="0"/>
    <x v="0"/>
    <x v="0"/>
    <x v="7"/>
    <x v="15"/>
    <s v="PL_A"/>
    <x v="14"/>
    <x v="0"/>
    <x v="0"/>
    <x v="0"/>
    <s v="BIEL-4_ST_COAL_BP"/>
    <n v="61.538461538461497"/>
    <n v="6.15384615384615E-2"/>
  </r>
  <r>
    <x v="0"/>
    <x v="0"/>
    <x v="0"/>
    <x v="7"/>
    <x v="15"/>
    <s v="PL_A"/>
    <x v="14"/>
    <x v="0"/>
    <x v="0"/>
    <x v="0"/>
    <s v="CHOR2-1_ST_COAL_BP"/>
    <n v="348.71794871794901"/>
    <n v="0.34871794871794898"/>
  </r>
  <r>
    <x v="0"/>
    <x v="0"/>
    <x v="0"/>
    <x v="7"/>
    <x v="15"/>
    <s v="PL_A"/>
    <x v="14"/>
    <x v="0"/>
    <x v="0"/>
    <x v="0"/>
    <s v="GNR_ST_COAL_BP_E-15"/>
    <n v="348.71794871794901"/>
    <n v="0.34871794871794898"/>
  </r>
  <r>
    <x v="0"/>
    <x v="0"/>
    <x v="0"/>
    <x v="7"/>
    <x v="15"/>
    <s v="PL_A"/>
    <x v="14"/>
    <x v="0"/>
    <x v="0"/>
    <x v="0"/>
    <s v="KARO-2_ST_COAL_BP"/>
    <n v="112.820512820513"/>
    <n v="0.112820512820513"/>
  </r>
  <r>
    <x v="0"/>
    <x v="0"/>
    <x v="0"/>
    <x v="7"/>
    <x v="15"/>
    <s v="PL_A"/>
    <x v="14"/>
    <x v="0"/>
    <x v="0"/>
    <x v="0"/>
    <s v="KATO_ST_COAL_BP"/>
    <n v="157.69230769230799"/>
    <n v="0.15769230769230799"/>
  </r>
  <r>
    <x v="0"/>
    <x v="0"/>
    <x v="0"/>
    <x v="7"/>
    <x v="15"/>
    <s v="PL_A"/>
    <x v="14"/>
    <x v="0"/>
    <x v="0"/>
    <x v="0"/>
    <s v="SIER-1_ST_COAL_BP"/>
    <n v="180.769230769231"/>
    <n v="0.18076923076923099"/>
  </r>
  <r>
    <x v="0"/>
    <x v="0"/>
    <x v="0"/>
    <x v="7"/>
    <x v="15"/>
    <s v="PL_A"/>
    <x v="14"/>
    <x v="0"/>
    <x v="0"/>
    <x v="0"/>
    <s v="SKAW-1_ST_COAL_BP"/>
    <n v="124.358974358974"/>
    <n v="0.124358974358974"/>
  </r>
  <r>
    <x v="0"/>
    <x v="0"/>
    <x v="0"/>
    <x v="7"/>
    <x v="15"/>
    <s v="PL_A"/>
    <x v="14"/>
    <x v="0"/>
    <x v="0"/>
    <x v="0"/>
    <s v="TYCH_ST_COAL_BP"/>
    <n v="46.153846153846203"/>
    <n v="4.6153846153846101E-2"/>
  </r>
  <r>
    <x v="0"/>
    <x v="0"/>
    <x v="0"/>
    <x v="7"/>
    <x v="15"/>
    <s v="PL_A"/>
    <x v="14"/>
    <x v="0"/>
    <x v="0"/>
    <x v="0"/>
    <s v="ZIEL-2_ST_COAL_BP"/>
    <n v="14.1025641025641"/>
    <n v="1.4102564102564099E-2"/>
  </r>
  <r>
    <x v="0"/>
    <x v="0"/>
    <x v="0"/>
    <x v="7"/>
    <x v="15"/>
    <s v="PL_A"/>
    <x v="14"/>
    <x v="0"/>
    <x v="0"/>
    <x v="0"/>
    <s v="ZIEL-4_ST_COAL_BP"/>
    <n v="76.923076923076906"/>
    <n v="7.69230769230769E-2"/>
  </r>
  <r>
    <x v="0"/>
    <x v="0"/>
    <x v="0"/>
    <x v="7"/>
    <x v="15"/>
    <s v="PL_A"/>
    <x v="14"/>
    <x v="0"/>
    <x v="6"/>
    <x v="0"/>
    <s v="SIEK-8_ST_COAL_EXT"/>
    <n v="217.04545454545499"/>
    <n v="0.21704545454545501"/>
  </r>
  <r>
    <x v="0"/>
    <x v="0"/>
    <x v="0"/>
    <x v="7"/>
    <x v="15"/>
    <s v="PL_A"/>
    <x v="14"/>
    <x v="0"/>
    <x v="6"/>
    <x v="0"/>
    <s v="ZABR-2_ST_COAL_EXT"/>
    <n v="34.090909090909101"/>
    <n v="3.4090909090909102E-2"/>
  </r>
  <r>
    <x v="0"/>
    <x v="0"/>
    <x v="0"/>
    <x v="7"/>
    <x v="15"/>
    <s v="PL_A"/>
    <x v="14"/>
    <x v="0"/>
    <x v="6"/>
    <x v="0"/>
    <s v="ZERA-7_ST_COAL_EXT"/>
    <n v="95.454545454545496"/>
    <n v="9.54545454545455E-2"/>
  </r>
  <r>
    <x v="0"/>
    <x v="0"/>
    <x v="0"/>
    <x v="7"/>
    <x v="15"/>
    <s v="PL_A"/>
    <x v="14"/>
    <x v="0"/>
    <x v="6"/>
    <x v="0"/>
    <s v="ZERA-8_ST_COAL_EXT"/>
    <n v="95.454545454545496"/>
    <n v="9.54545454545455E-2"/>
  </r>
  <r>
    <x v="0"/>
    <x v="0"/>
    <x v="0"/>
    <x v="7"/>
    <x v="15"/>
    <s v="PL_A"/>
    <x v="14"/>
    <x v="1"/>
    <x v="1"/>
    <x v="0"/>
    <s v="GNR_BO_COAL_E-100"/>
    <n v="44500"/>
    <n v="44.5"/>
  </r>
  <r>
    <x v="0"/>
    <x v="0"/>
    <x v="0"/>
    <x v="7"/>
    <x v="15"/>
    <s v="PL_A"/>
    <x v="12"/>
    <x v="0"/>
    <x v="0"/>
    <x v="0"/>
    <s v="GNR_ST_FUELOIL_BP_E-15"/>
    <n v="112.820512820513"/>
    <n v="0.112820512820513"/>
  </r>
  <r>
    <x v="0"/>
    <x v="0"/>
    <x v="0"/>
    <x v="7"/>
    <x v="15"/>
    <s v="PL_A"/>
    <x v="12"/>
    <x v="1"/>
    <x v="1"/>
    <x v="0"/>
    <s v="GNR_BO_FUELOIL_E-100"/>
    <n v="1400"/>
    <n v="1.4"/>
  </r>
  <r>
    <x v="0"/>
    <x v="0"/>
    <x v="0"/>
    <x v="7"/>
    <x v="15"/>
    <s v="PL_A"/>
    <x v="5"/>
    <x v="0"/>
    <x v="6"/>
    <x v="0"/>
    <s v="GNR_ST_MSW_BP_E-15"/>
    <n v="15.454545454545499"/>
    <n v="1.54545454545455E-2"/>
  </r>
  <r>
    <x v="0"/>
    <x v="0"/>
    <x v="0"/>
    <x v="7"/>
    <x v="15"/>
    <s v="PL_A"/>
    <x v="5"/>
    <x v="1"/>
    <x v="1"/>
    <x v="0"/>
    <s v="GNR_BO_MSW_E-100"/>
    <n v="1000"/>
    <n v="1"/>
  </r>
  <r>
    <x v="0"/>
    <x v="0"/>
    <x v="0"/>
    <x v="7"/>
    <x v="15"/>
    <s v="PL_A"/>
    <x v="6"/>
    <x v="0"/>
    <x v="0"/>
    <x v="0"/>
    <s v="GORZ-4_ST_NGAS_BP"/>
    <n v="66.6666666666667"/>
    <n v="6.6666666666666693E-2"/>
  </r>
  <r>
    <x v="0"/>
    <x v="0"/>
    <x v="0"/>
    <x v="7"/>
    <x v="15"/>
    <s v="PL_A"/>
    <x v="6"/>
    <x v="0"/>
    <x v="0"/>
    <x v="0"/>
    <s v="NOWA-1_ST_NGAS_BP"/>
    <n v="162.82051282051299"/>
    <n v="0.16282051282051299"/>
  </r>
  <r>
    <x v="0"/>
    <x v="0"/>
    <x v="0"/>
    <x v="7"/>
    <x v="15"/>
    <s v="PL_A"/>
    <x v="6"/>
    <x v="0"/>
    <x v="0"/>
    <x v="0"/>
    <s v="RZES-2_ST_NGAS_BP"/>
    <n v="41.025641025641001"/>
    <n v="4.1025641025640998E-2"/>
  </r>
  <r>
    <x v="0"/>
    <x v="0"/>
    <x v="0"/>
    <x v="7"/>
    <x v="15"/>
    <s v="PL_A"/>
    <x v="6"/>
    <x v="0"/>
    <x v="0"/>
    <x v="0"/>
    <s v="ZIEL-3_ST_NGAS_BP"/>
    <n v="153.84615384615401"/>
    <n v="0.15384615384615399"/>
  </r>
  <r>
    <x v="0"/>
    <x v="0"/>
    <x v="0"/>
    <x v="7"/>
    <x v="15"/>
    <s v="PL_A"/>
    <x v="6"/>
    <x v="0"/>
    <x v="6"/>
    <x v="0"/>
    <s v="GNR_ST_NGAS_BP_E-15"/>
    <n v="64.545454545454504"/>
    <n v="6.4545454545454503E-2"/>
  </r>
  <r>
    <x v="0"/>
    <x v="0"/>
    <x v="0"/>
    <x v="7"/>
    <x v="15"/>
    <s v="PL_A"/>
    <x v="6"/>
    <x v="1"/>
    <x v="1"/>
    <x v="0"/>
    <s v="GNR_BO_NGAS_E-100"/>
    <n v="7400"/>
    <n v="7.4"/>
  </r>
  <r>
    <x v="0"/>
    <x v="0"/>
    <x v="0"/>
    <x v="7"/>
    <x v="15"/>
    <s v="PL_A"/>
    <x v="7"/>
    <x v="0"/>
    <x v="0"/>
    <x v="0"/>
    <s v="GNR_ST_STRAW_BP_E-15"/>
    <n v="42.051282051282001"/>
    <n v="4.2051282051282002E-2"/>
  </r>
  <r>
    <x v="0"/>
    <x v="0"/>
    <x v="0"/>
    <x v="7"/>
    <x v="15"/>
    <s v="PL_A"/>
    <x v="7"/>
    <x v="0"/>
    <x v="6"/>
    <x v="0"/>
    <s v="LODZ-3_ST_STRAW_EXT"/>
    <n v="100"/>
    <n v="0.1"/>
  </r>
  <r>
    <x v="0"/>
    <x v="0"/>
    <x v="0"/>
    <x v="7"/>
    <x v="15"/>
    <s v="PL_A"/>
    <x v="7"/>
    <x v="1"/>
    <x v="1"/>
    <x v="0"/>
    <s v="GNR_BO_STRW_E-100"/>
    <n v="2600"/>
    <n v="2.6"/>
  </r>
  <r>
    <x v="0"/>
    <x v="0"/>
    <x v="0"/>
    <x v="7"/>
    <x v="15"/>
    <s v="PL_A"/>
    <x v="16"/>
    <x v="1"/>
    <x v="1"/>
    <x v="0"/>
    <s v="GNR_BO_WOOD_E-100"/>
    <n v="2400"/>
    <n v="2.4"/>
  </r>
  <r>
    <x v="0"/>
    <x v="0"/>
    <x v="0"/>
    <x v="7"/>
    <x v="15"/>
    <s v="PL_Rural"/>
    <x v="14"/>
    <x v="0"/>
    <x v="0"/>
    <x v="0"/>
    <s v="SZCZ-1_ST_COAL_BP"/>
    <n v="70.512820512820497"/>
    <n v="7.0512820512820498E-2"/>
  </r>
  <r>
    <x v="0"/>
    <x v="0"/>
    <x v="0"/>
    <x v="7"/>
    <x v="15"/>
    <s v="PL_Rural"/>
    <x v="14"/>
    <x v="0"/>
    <x v="0"/>
    <x v="0"/>
    <s v="TURO-1_ST_COAL_BP"/>
    <n v="1746.1538461538501"/>
    <n v="1.7461538461538499"/>
  </r>
  <r>
    <x v="0"/>
    <x v="0"/>
    <x v="0"/>
    <x v="8"/>
    <x v="16"/>
    <s v="SE1_IND"/>
    <x v="4"/>
    <x v="1"/>
    <x v="1"/>
    <x v="0"/>
    <s v="GNR_BO_LIGHTOIL_E-85"/>
    <n v="208"/>
    <n v="0.20799999999999999"/>
  </r>
  <r>
    <x v="0"/>
    <x v="0"/>
    <x v="0"/>
    <x v="8"/>
    <x v="16"/>
    <s v="SE1_IND"/>
    <x v="10"/>
    <x v="0"/>
    <x v="0"/>
    <x v="0"/>
    <s v="GNR_IND-ST_WOODCHI_BP_E-71"/>
    <n v="133.333333333333"/>
    <n v="0.133333333333333"/>
  </r>
  <r>
    <x v="0"/>
    <x v="0"/>
    <x v="0"/>
    <x v="8"/>
    <x v="16"/>
    <s v="SE1_medium"/>
    <x v="12"/>
    <x v="1"/>
    <x v="1"/>
    <x v="0"/>
    <s v="GNR_BO_FUELOIL_E-90"/>
    <n v="454.3"/>
    <n v="0.45429999999999998"/>
  </r>
  <r>
    <x v="0"/>
    <x v="0"/>
    <x v="0"/>
    <x v="8"/>
    <x v="16"/>
    <s v="SE1_medium"/>
    <x v="3"/>
    <x v="3"/>
    <x v="3"/>
    <x v="0"/>
    <s v="GNR_HS_HEAT_WTR-TANK_LS_E-95_Y-2010"/>
    <n v="125"/>
    <n v="1"/>
  </r>
  <r>
    <x v="0"/>
    <x v="0"/>
    <x v="0"/>
    <x v="8"/>
    <x v="16"/>
    <s v="SE1_medium"/>
    <x v="4"/>
    <x v="1"/>
    <x v="1"/>
    <x v="0"/>
    <s v="GNR_BO_LIGHTOIL_E-90"/>
    <n v="20"/>
    <n v="0.02"/>
  </r>
  <r>
    <x v="0"/>
    <x v="0"/>
    <x v="0"/>
    <x v="8"/>
    <x v="16"/>
    <s v="SE1_medium"/>
    <x v="5"/>
    <x v="0"/>
    <x v="0"/>
    <x v="0"/>
    <s v="GNR_ST_MSW_BP_CB-20"/>
    <n v="18"/>
    <n v="1.7999999999999999E-2"/>
  </r>
  <r>
    <x v="0"/>
    <x v="0"/>
    <x v="0"/>
    <x v="8"/>
    <x v="16"/>
    <s v="SE1_medium"/>
    <x v="5"/>
    <x v="1"/>
    <x v="1"/>
    <x v="0"/>
    <s v="GNR_BO_MSW_E-90"/>
    <n v="30"/>
    <n v="0.03"/>
  </r>
  <r>
    <x v="0"/>
    <x v="0"/>
    <x v="0"/>
    <x v="8"/>
    <x v="16"/>
    <s v="SE1_medium"/>
    <x v="19"/>
    <x v="1"/>
    <x v="1"/>
    <x v="0"/>
    <s v="GNR_BO_BFG_E-90"/>
    <n v="80"/>
    <n v="0.08"/>
  </r>
  <r>
    <x v="0"/>
    <x v="0"/>
    <x v="0"/>
    <x v="8"/>
    <x v="16"/>
    <s v="SE1_medium"/>
    <x v="18"/>
    <x v="0"/>
    <x v="0"/>
    <x v="0"/>
    <s v="GNR_ST_PEAT_BP_CB-30"/>
    <n v="10.6410256410256"/>
    <n v="1.0641025641025601E-2"/>
  </r>
  <r>
    <x v="0"/>
    <x v="0"/>
    <x v="0"/>
    <x v="8"/>
    <x v="16"/>
    <s v="SE1_medium"/>
    <x v="9"/>
    <x v="1"/>
    <x v="1"/>
    <x v="0"/>
    <s v="GNR_EH_HEAT"/>
    <n v="110"/>
    <n v="0.11"/>
  </r>
  <r>
    <x v="0"/>
    <x v="0"/>
    <x v="0"/>
    <x v="8"/>
    <x v="16"/>
    <s v="SE1_medium"/>
    <x v="10"/>
    <x v="1"/>
    <x v="1"/>
    <x v="0"/>
    <s v="GNR_BO_WOODCHI_E-90"/>
    <n v="24"/>
    <n v="2.4E-2"/>
  </r>
  <r>
    <x v="0"/>
    <x v="0"/>
    <x v="0"/>
    <x v="8"/>
    <x v="16"/>
    <s v="SE1_medium"/>
    <x v="11"/>
    <x v="1"/>
    <x v="1"/>
    <x v="0"/>
    <s v="GNR_BO_WOODPEL_E-90"/>
    <n v="33"/>
    <n v="3.3000000000000002E-2"/>
  </r>
  <r>
    <x v="0"/>
    <x v="0"/>
    <x v="0"/>
    <x v="8"/>
    <x v="16"/>
    <s v="SE1_medium"/>
    <x v="13"/>
    <x v="1"/>
    <x v="1"/>
    <x v="0"/>
    <s v="GNR_BO_WOODWST_E-90"/>
    <n v="12"/>
    <n v="1.2E-2"/>
  </r>
  <r>
    <x v="0"/>
    <x v="0"/>
    <x v="0"/>
    <x v="8"/>
    <x v="16"/>
    <s v="SE1_small"/>
    <x v="12"/>
    <x v="1"/>
    <x v="1"/>
    <x v="0"/>
    <s v="GNR_BO_FUELOIL_E-90"/>
    <n v="24"/>
    <n v="2.4E-2"/>
  </r>
  <r>
    <x v="0"/>
    <x v="0"/>
    <x v="0"/>
    <x v="8"/>
    <x v="16"/>
    <s v="SE1_small"/>
    <x v="3"/>
    <x v="3"/>
    <x v="3"/>
    <x v="0"/>
    <s v="GNR_HS_HEAT_WTR-TANK_LS_E-95_Y-2010"/>
    <n v="21.875"/>
    <n v="0.17499999999999999"/>
  </r>
  <r>
    <x v="0"/>
    <x v="0"/>
    <x v="0"/>
    <x v="8"/>
    <x v="16"/>
    <s v="SE1_small"/>
    <x v="4"/>
    <x v="1"/>
    <x v="1"/>
    <x v="0"/>
    <s v="GNR_BO_LIGHTOIL_E-90"/>
    <n v="35.1"/>
    <n v="3.5099999999999999E-2"/>
  </r>
  <r>
    <x v="0"/>
    <x v="0"/>
    <x v="0"/>
    <x v="8"/>
    <x v="16"/>
    <s v="SE1_small"/>
    <x v="9"/>
    <x v="1"/>
    <x v="1"/>
    <x v="0"/>
    <s v="GNR_EH_HEAT"/>
    <n v="6.2679670329670296"/>
    <n v="6.2679670329670303E-3"/>
  </r>
  <r>
    <x v="0"/>
    <x v="0"/>
    <x v="0"/>
    <x v="8"/>
    <x v="16"/>
    <s v="SE1_small"/>
    <x v="10"/>
    <x v="0"/>
    <x v="0"/>
    <x v="0"/>
    <s v="GNR_ST_WOODCHI_BP_CB-20"/>
    <n v="7.3205128205128203"/>
    <n v="7.3205128205128204E-3"/>
  </r>
  <r>
    <x v="0"/>
    <x v="0"/>
    <x v="0"/>
    <x v="8"/>
    <x v="16"/>
    <s v="SE1_small"/>
    <x v="10"/>
    <x v="1"/>
    <x v="1"/>
    <x v="0"/>
    <s v="GNR_BO_WOODCHI_E-90"/>
    <n v="36.888750000000002"/>
    <n v="3.6888749999999998E-2"/>
  </r>
  <r>
    <x v="0"/>
    <x v="0"/>
    <x v="0"/>
    <x v="8"/>
    <x v="17"/>
    <s v="SE2_IND"/>
    <x v="4"/>
    <x v="1"/>
    <x v="1"/>
    <x v="0"/>
    <s v="GNR_BO_LIGHTOIL_E-85"/>
    <n v="436.34"/>
    <n v="0.43634000000000001"/>
  </r>
  <r>
    <x v="0"/>
    <x v="0"/>
    <x v="0"/>
    <x v="8"/>
    <x v="17"/>
    <s v="SE2_IND"/>
    <x v="10"/>
    <x v="0"/>
    <x v="0"/>
    <x v="0"/>
    <s v="GNR_IND-ST_WOODCHI_BP_E-71"/>
    <n v="279.70512820512801"/>
    <n v="0.279705128205128"/>
  </r>
  <r>
    <x v="0"/>
    <x v="0"/>
    <x v="0"/>
    <x v="8"/>
    <x v="17"/>
    <s v="SE2_medium"/>
    <x v="0"/>
    <x v="1"/>
    <x v="1"/>
    <x v="0"/>
    <s v="GNR_BO_BGAS_E-90"/>
    <n v="21.5"/>
    <n v="2.1499999999999998E-2"/>
  </r>
  <r>
    <x v="0"/>
    <x v="0"/>
    <x v="0"/>
    <x v="8"/>
    <x v="17"/>
    <s v="SE2_medium"/>
    <x v="1"/>
    <x v="1"/>
    <x v="1"/>
    <x v="0"/>
    <s v="GNR_BO_BIOIL_E-90"/>
    <n v="27"/>
    <n v="2.7E-2"/>
  </r>
  <r>
    <x v="0"/>
    <x v="0"/>
    <x v="0"/>
    <x v="8"/>
    <x v="17"/>
    <s v="SE2_medium"/>
    <x v="2"/>
    <x v="2"/>
    <x v="2"/>
    <x v="0"/>
    <s v="GNR_BO_ELEC_E-99"/>
    <n v="57"/>
    <n v="5.7000000000000002E-2"/>
  </r>
  <r>
    <x v="0"/>
    <x v="0"/>
    <x v="0"/>
    <x v="8"/>
    <x v="17"/>
    <s v="SE2_medium"/>
    <x v="12"/>
    <x v="1"/>
    <x v="1"/>
    <x v="0"/>
    <s v="GNR_BO_FUELOIL_E-90"/>
    <n v="145"/>
    <n v="0.14499999999999999"/>
  </r>
  <r>
    <x v="0"/>
    <x v="0"/>
    <x v="0"/>
    <x v="8"/>
    <x v="17"/>
    <s v="SE2_medium"/>
    <x v="3"/>
    <x v="3"/>
    <x v="3"/>
    <x v="0"/>
    <s v="GNR_HS_HEAT_WTR-TANK_LS_E-95_Y-2010"/>
    <n v="270.625"/>
    <n v="2.165"/>
  </r>
  <r>
    <x v="0"/>
    <x v="0"/>
    <x v="0"/>
    <x v="8"/>
    <x v="17"/>
    <s v="SE2_medium"/>
    <x v="4"/>
    <x v="1"/>
    <x v="1"/>
    <x v="0"/>
    <s v="GNR_BO_LIGHTOIL_E-90"/>
    <n v="204"/>
    <n v="0.20399999999999999"/>
  </r>
  <r>
    <x v="0"/>
    <x v="0"/>
    <x v="0"/>
    <x v="8"/>
    <x v="17"/>
    <s v="SE2_medium"/>
    <x v="5"/>
    <x v="0"/>
    <x v="0"/>
    <x v="0"/>
    <s v="GNR_ST_MSW_BP_CB-20"/>
    <n v="8.0122963756410304"/>
    <n v="8.0122963756410204E-3"/>
  </r>
  <r>
    <x v="0"/>
    <x v="0"/>
    <x v="0"/>
    <x v="8"/>
    <x v="17"/>
    <s v="SE2_medium"/>
    <x v="5"/>
    <x v="0"/>
    <x v="0"/>
    <x v="0"/>
    <s v="GNR_ST_MSW_BP_CB-40"/>
    <n v="24.769230769230798"/>
    <n v="2.47692307692308E-2"/>
  </r>
  <r>
    <x v="0"/>
    <x v="0"/>
    <x v="0"/>
    <x v="8"/>
    <x v="17"/>
    <s v="SE2_medium"/>
    <x v="9"/>
    <x v="1"/>
    <x v="1"/>
    <x v="0"/>
    <s v="GNR_EH_HEAT"/>
    <n v="44.80769231"/>
    <n v="4.4807692310000001E-2"/>
  </r>
  <r>
    <x v="0"/>
    <x v="0"/>
    <x v="0"/>
    <x v="8"/>
    <x v="17"/>
    <s v="SE2_medium"/>
    <x v="10"/>
    <x v="0"/>
    <x v="0"/>
    <x v="0"/>
    <s v="GNR_ST_WOODCHI_BP_CB-30"/>
    <n v="10.846153846153801"/>
    <n v="1.0846153846153801E-2"/>
  </r>
  <r>
    <x v="0"/>
    <x v="0"/>
    <x v="0"/>
    <x v="8"/>
    <x v="17"/>
    <s v="SE2_medium"/>
    <x v="10"/>
    <x v="0"/>
    <x v="0"/>
    <x v="0"/>
    <s v="GNR_ST_WOODCHI_BP_CB-40"/>
    <n v="89.743589743589695"/>
    <n v="8.9743589743589702E-2"/>
  </r>
  <r>
    <x v="0"/>
    <x v="0"/>
    <x v="0"/>
    <x v="8"/>
    <x v="17"/>
    <s v="SE2_medium"/>
    <x v="10"/>
    <x v="0"/>
    <x v="0"/>
    <x v="0"/>
    <s v="GNR_ST_WOODCHI_BP_CB-50"/>
    <n v="13.846153846153801"/>
    <n v="1.38461538461538E-2"/>
  </r>
  <r>
    <x v="0"/>
    <x v="0"/>
    <x v="0"/>
    <x v="8"/>
    <x v="17"/>
    <s v="SE2_medium"/>
    <x v="10"/>
    <x v="1"/>
    <x v="1"/>
    <x v="0"/>
    <s v="GNR_BO_WOODCHI_E-90"/>
    <n v="152"/>
    <n v="0.152"/>
  </r>
  <r>
    <x v="0"/>
    <x v="0"/>
    <x v="0"/>
    <x v="8"/>
    <x v="17"/>
    <s v="SE2_medium"/>
    <x v="11"/>
    <x v="0"/>
    <x v="0"/>
    <x v="0"/>
    <s v="GNR_ST_WOODPEL_BP_CB-30"/>
    <n v="10.2564102564103"/>
    <n v="1.02564102564103E-2"/>
  </r>
  <r>
    <x v="0"/>
    <x v="0"/>
    <x v="0"/>
    <x v="8"/>
    <x v="17"/>
    <s v="SE2_medium"/>
    <x v="11"/>
    <x v="1"/>
    <x v="1"/>
    <x v="0"/>
    <s v="GNR_BO_WOODPEL_E-90"/>
    <n v="33"/>
    <n v="3.3000000000000002E-2"/>
  </r>
  <r>
    <x v="0"/>
    <x v="0"/>
    <x v="0"/>
    <x v="8"/>
    <x v="17"/>
    <s v="SE2_small"/>
    <x v="1"/>
    <x v="1"/>
    <x v="1"/>
    <x v="0"/>
    <s v="GNR_BO_BIOIL_E-90"/>
    <n v="7.0919999999999996"/>
    <n v="7.0920000000000002E-3"/>
  </r>
  <r>
    <x v="0"/>
    <x v="0"/>
    <x v="0"/>
    <x v="8"/>
    <x v="17"/>
    <s v="SE2_small"/>
    <x v="2"/>
    <x v="2"/>
    <x v="2"/>
    <x v="0"/>
    <s v="GNR_BO_ELEC_E-99"/>
    <n v="5.0489999999999897"/>
    <n v="5.0489999999999901E-3"/>
  </r>
  <r>
    <x v="0"/>
    <x v="0"/>
    <x v="0"/>
    <x v="8"/>
    <x v="17"/>
    <s v="SE2_small"/>
    <x v="12"/>
    <x v="1"/>
    <x v="1"/>
    <x v="0"/>
    <s v="GNR_BO_FUELOIL_E-90"/>
    <n v="37.26"/>
    <n v="3.7260000000000001E-2"/>
  </r>
  <r>
    <x v="0"/>
    <x v="0"/>
    <x v="0"/>
    <x v="8"/>
    <x v="17"/>
    <s v="SE2_small"/>
    <x v="3"/>
    <x v="3"/>
    <x v="3"/>
    <x v="0"/>
    <s v="GNR_HS_HEAT_WTR-TANK_LS_E-95_Y-2010"/>
    <n v="21.875"/>
    <n v="0.17499999999999999"/>
  </r>
  <r>
    <x v="0"/>
    <x v="0"/>
    <x v="0"/>
    <x v="8"/>
    <x v="17"/>
    <s v="SE2_small"/>
    <x v="4"/>
    <x v="1"/>
    <x v="1"/>
    <x v="0"/>
    <s v="GNR_BO_LIGHTOIL_E-90"/>
    <n v="160.82999999999899"/>
    <n v="0.160829999999999"/>
  </r>
  <r>
    <x v="0"/>
    <x v="0"/>
    <x v="0"/>
    <x v="8"/>
    <x v="17"/>
    <s v="SE2_small"/>
    <x v="19"/>
    <x v="1"/>
    <x v="1"/>
    <x v="0"/>
    <s v="GNR_BO_OTHER_E-90"/>
    <n v="3.3660000000000001"/>
    <n v="3.3660000000000001E-3"/>
  </r>
  <r>
    <x v="0"/>
    <x v="0"/>
    <x v="0"/>
    <x v="8"/>
    <x v="17"/>
    <s v="SE2_small"/>
    <x v="9"/>
    <x v="1"/>
    <x v="1"/>
    <x v="0"/>
    <s v="GNR_EH_HEAT"/>
    <n v="9.2725000000000009"/>
    <n v="9.2724999999999995E-3"/>
  </r>
  <r>
    <x v="0"/>
    <x v="0"/>
    <x v="0"/>
    <x v="8"/>
    <x v="17"/>
    <s v="SE2_small"/>
    <x v="10"/>
    <x v="1"/>
    <x v="1"/>
    <x v="0"/>
    <s v="GNR_BO_WOODCHI_E-90"/>
    <n v="128.16575"/>
    <n v="0.12816574999999999"/>
  </r>
  <r>
    <x v="0"/>
    <x v="0"/>
    <x v="0"/>
    <x v="8"/>
    <x v="17"/>
    <s v="SE2_small"/>
    <x v="11"/>
    <x v="1"/>
    <x v="1"/>
    <x v="0"/>
    <s v="GNR_BO_WOODPEL_E-90"/>
    <n v="33.455249999999999"/>
    <n v="3.3455249999999999E-2"/>
  </r>
  <r>
    <x v="0"/>
    <x v="0"/>
    <x v="0"/>
    <x v="8"/>
    <x v="18"/>
    <s v="SE3_IND"/>
    <x v="4"/>
    <x v="1"/>
    <x v="1"/>
    <x v="0"/>
    <s v="GNR_BO_LIGHTOIL_E-85"/>
    <n v="733.35"/>
    <n v="0.73334999999999995"/>
  </r>
  <r>
    <x v="0"/>
    <x v="0"/>
    <x v="0"/>
    <x v="8"/>
    <x v="18"/>
    <s v="SE3_IND"/>
    <x v="10"/>
    <x v="0"/>
    <x v="0"/>
    <x v="0"/>
    <s v="GNR_IND-ST_WOODCHI_BP_E-71"/>
    <n v="470.09615384615398"/>
    <n v="0.470096153846154"/>
  </r>
  <r>
    <x v="0"/>
    <x v="0"/>
    <x v="0"/>
    <x v="8"/>
    <x v="18"/>
    <s v="SE3_large"/>
    <x v="1"/>
    <x v="1"/>
    <x v="1"/>
    <x v="0"/>
    <s v="GNR_BO_BIOIL_E-90"/>
    <n v="1049"/>
    <n v="1.0489999999999999"/>
  </r>
  <r>
    <x v="0"/>
    <x v="0"/>
    <x v="0"/>
    <x v="8"/>
    <x v="18"/>
    <s v="SE3_large"/>
    <x v="14"/>
    <x v="0"/>
    <x v="6"/>
    <x v="0"/>
    <s v="VARTAN6_ST_COAL_EXT"/>
    <n v="147.727272727273"/>
    <n v="0.14772727272727301"/>
  </r>
  <r>
    <x v="0"/>
    <x v="0"/>
    <x v="0"/>
    <x v="8"/>
    <x v="18"/>
    <s v="SE3_large"/>
    <x v="2"/>
    <x v="2"/>
    <x v="2"/>
    <x v="0"/>
    <s v="GNR_BO_ELEC_E-99"/>
    <n v="225"/>
    <n v="0.22500000000000001"/>
  </r>
  <r>
    <x v="0"/>
    <x v="0"/>
    <x v="0"/>
    <x v="8"/>
    <x v="18"/>
    <s v="SE3_large"/>
    <x v="2"/>
    <x v="2"/>
    <x v="2"/>
    <x v="0"/>
    <s v="GNR_HP_ELEC_COP-270"/>
    <n v="126"/>
    <n v="0.126"/>
  </r>
  <r>
    <x v="0"/>
    <x v="0"/>
    <x v="0"/>
    <x v="8"/>
    <x v="18"/>
    <s v="SE3_large"/>
    <x v="12"/>
    <x v="1"/>
    <x v="1"/>
    <x v="0"/>
    <s v="GNR_BO_FUELOIL_E-90"/>
    <n v="768.2"/>
    <n v="0.76819999999999999"/>
  </r>
  <r>
    <x v="0"/>
    <x v="0"/>
    <x v="0"/>
    <x v="8"/>
    <x v="18"/>
    <s v="SE3_large"/>
    <x v="3"/>
    <x v="3"/>
    <x v="3"/>
    <x v="0"/>
    <s v="GNR_HS_HEAT_WTR-TANK_LS_E-95_Y-2010"/>
    <n v="638.75"/>
    <n v="5.1100000000000003"/>
  </r>
  <r>
    <x v="0"/>
    <x v="0"/>
    <x v="0"/>
    <x v="8"/>
    <x v="18"/>
    <s v="SE3_large"/>
    <x v="4"/>
    <x v="1"/>
    <x v="1"/>
    <x v="0"/>
    <s v="GNR_BO_LIGHTOIL_E-90"/>
    <n v="287"/>
    <n v="0.28699999999999998"/>
  </r>
  <r>
    <x v="0"/>
    <x v="0"/>
    <x v="0"/>
    <x v="8"/>
    <x v="18"/>
    <s v="SE3_large"/>
    <x v="5"/>
    <x v="0"/>
    <x v="0"/>
    <x v="0"/>
    <s v="GNR_ST_MSW_BP_CB-30"/>
    <n v="79.065133756410304"/>
    <n v="7.9065133756410194E-2"/>
  </r>
  <r>
    <x v="0"/>
    <x v="0"/>
    <x v="0"/>
    <x v="8"/>
    <x v="18"/>
    <s v="SE3_large"/>
    <x v="5"/>
    <x v="0"/>
    <x v="6"/>
    <x v="0"/>
    <s v="AROS6_ST_MSW_EXT"/>
    <n v="57.954545454545503"/>
    <n v="5.7954545454545502E-2"/>
  </r>
  <r>
    <x v="0"/>
    <x v="0"/>
    <x v="0"/>
    <x v="8"/>
    <x v="18"/>
    <s v="SE3_large"/>
    <x v="6"/>
    <x v="0"/>
    <x v="0"/>
    <x v="0"/>
    <s v="GNR_CC_NGAS_BP_CB-90"/>
    <n v="334.61538461538498"/>
    <n v="0.33461538461538498"/>
  </r>
  <r>
    <x v="0"/>
    <x v="0"/>
    <x v="0"/>
    <x v="8"/>
    <x v="18"/>
    <s v="SE3_large"/>
    <x v="6"/>
    <x v="1"/>
    <x v="1"/>
    <x v="0"/>
    <s v="GNR_BO_NGAS_E-90"/>
    <n v="8"/>
    <n v="8.0000000000000002E-3"/>
  </r>
  <r>
    <x v="0"/>
    <x v="0"/>
    <x v="0"/>
    <x v="8"/>
    <x v="18"/>
    <s v="SE3_large"/>
    <x v="9"/>
    <x v="1"/>
    <x v="1"/>
    <x v="0"/>
    <s v="GNR_EH_HEAT"/>
    <n v="153"/>
    <n v="0.153"/>
  </r>
  <r>
    <x v="0"/>
    <x v="0"/>
    <x v="0"/>
    <x v="8"/>
    <x v="18"/>
    <s v="SE3_large"/>
    <x v="10"/>
    <x v="0"/>
    <x v="0"/>
    <x v="0"/>
    <s v="GNR_ST_WOODCHI_BP_CB-10"/>
    <n v="16.6666666666667"/>
    <n v="1.6666666666666701E-2"/>
  </r>
  <r>
    <x v="0"/>
    <x v="0"/>
    <x v="0"/>
    <x v="8"/>
    <x v="18"/>
    <s v="SE3_large"/>
    <x v="10"/>
    <x v="0"/>
    <x v="0"/>
    <x v="0"/>
    <s v="GNR_ST_WOODCHI_BP_CB-30"/>
    <n v="26.505920410256401"/>
    <n v="2.6505920410256401E-2"/>
  </r>
  <r>
    <x v="0"/>
    <x v="0"/>
    <x v="0"/>
    <x v="8"/>
    <x v="18"/>
    <s v="SE3_large"/>
    <x v="10"/>
    <x v="0"/>
    <x v="0"/>
    <x v="0"/>
    <s v="GNR_ST_WOODCHI_BP_CB-40"/>
    <n v="176.32134846153801"/>
    <n v="0.17632134846153799"/>
  </r>
  <r>
    <x v="0"/>
    <x v="0"/>
    <x v="0"/>
    <x v="8"/>
    <x v="18"/>
    <s v="SE3_large"/>
    <x v="10"/>
    <x v="0"/>
    <x v="0"/>
    <x v="0"/>
    <s v="GNR_ST_WOODCHI_BP_CB-80"/>
    <n v="106.023681653846"/>
    <n v="0.106023681653846"/>
  </r>
  <r>
    <x v="0"/>
    <x v="0"/>
    <x v="0"/>
    <x v="8"/>
    <x v="18"/>
    <s v="SE3_large"/>
    <x v="10"/>
    <x v="1"/>
    <x v="1"/>
    <x v="0"/>
    <s v="GNR_BO_WOODCHI_E-90"/>
    <n v="285"/>
    <n v="0.28499999999999998"/>
  </r>
  <r>
    <x v="0"/>
    <x v="0"/>
    <x v="0"/>
    <x v="8"/>
    <x v="18"/>
    <s v="SE3_large"/>
    <x v="11"/>
    <x v="1"/>
    <x v="1"/>
    <x v="0"/>
    <s v="GNR_BO_WOODPEL_E-90"/>
    <n v="242"/>
    <n v="0.24199999999999999"/>
  </r>
  <r>
    <x v="0"/>
    <x v="0"/>
    <x v="0"/>
    <x v="8"/>
    <x v="18"/>
    <s v="SE3_large"/>
    <x v="13"/>
    <x v="0"/>
    <x v="6"/>
    <x v="0"/>
    <s v="AROS7_ST_WOODWST_EXT"/>
    <n v="57.954545454545503"/>
    <n v="5.7954545454545502E-2"/>
  </r>
  <r>
    <x v="0"/>
    <x v="0"/>
    <x v="0"/>
    <x v="8"/>
    <x v="18"/>
    <s v="SE3_medium"/>
    <x v="0"/>
    <x v="1"/>
    <x v="1"/>
    <x v="0"/>
    <s v="GNR_BO_BGAS_E-90"/>
    <n v="25.064250000000001"/>
    <n v="2.506425E-2"/>
  </r>
  <r>
    <x v="0"/>
    <x v="0"/>
    <x v="0"/>
    <x v="8"/>
    <x v="18"/>
    <s v="SE3_medium"/>
    <x v="1"/>
    <x v="1"/>
    <x v="1"/>
    <x v="0"/>
    <s v="GNR_BO_BIOIL_E-90"/>
    <n v="745.72400000000005"/>
    <n v="0.74572400000000005"/>
  </r>
  <r>
    <x v="0"/>
    <x v="0"/>
    <x v="0"/>
    <x v="8"/>
    <x v="18"/>
    <s v="SE3_medium"/>
    <x v="2"/>
    <x v="2"/>
    <x v="2"/>
    <x v="0"/>
    <s v="GNR_BO_ELEC_E-99"/>
    <n v="160"/>
    <n v="0.16"/>
  </r>
  <r>
    <x v="0"/>
    <x v="0"/>
    <x v="0"/>
    <x v="8"/>
    <x v="18"/>
    <s v="SE3_medium"/>
    <x v="2"/>
    <x v="2"/>
    <x v="2"/>
    <x v="0"/>
    <s v="GNR_HP_ELEC_COP-270"/>
    <n v="40.53"/>
    <n v="4.0529999999999997E-2"/>
  </r>
  <r>
    <x v="0"/>
    <x v="0"/>
    <x v="0"/>
    <x v="8"/>
    <x v="18"/>
    <s v="SE3_medium"/>
    <x v="12"/>
    <x v="1"/>
    <x v="1"/>
    <x v="0"/>
    <s v="GNR_BO_FUELOIL_E-90"/>
    <n v="1502"/>
    <n v="1.502"/>
  </r>
  <r>
    <x v="0"/>
    <x v="0"/>
    <x v="0"/>
    <x v="8"/>
    <x v="18"/>
    <s v="SE3_medium"/>
    <x v="3"/>
    <x v="3"/>
    <x v="3"/>
    <x v="0"/>
    <s v="GNR_HS_HEAT_WTR-TANK_LS_E-95_Y-2010"/>
    <n v="1174.375"/>
    <n v="9.3949999999999996"/>
  </r>
  <r>
    <x v="0"/>
    <x v="0"/>
    <x v="0"/>
    <x v="8"/>
    <x v="18"/>
    <s v="SE3_medium"/>
    <x v="4"/>
    <x v="1"/>
    <x v="1"/>
    <x v="0"/>
    <s v="GNR_BO_LIGHTOIL_E-90"/>
    <n v="675.16"/>
    <n v="0.67515999999999998"/>
  </r>
  <r>
    <x v="0"/>
    <x v="0"/>
    <x v="0"/>
    <x v="8"/>
    <x v="18"/>
    <s v="SE3_medium"/>
    <x v="5"/>
    <x v="0"/>
    <x v="0"/>
    <x v="0"/>
    <s v="GNR_ST_MSW_BP_CB-10"/>
    <n v="13.138461538461501"/>
    <n v="1.31384615384615E-2"/>
  </r>
  <r>
    <x v="0"/>
    <x v="0"/>
    <x v="0"/>
    <x v="8"/>
    <x v="18"/>
    <s v="SE3_medium"/>
    <x v="5"/>
    <x v="0"/>
    <x v="0"/>
    <x v="0"/>
    <s v="GNR_ST_MSW_BP_CB-20"/>
    <n v="7.6923076923076898"/>
    <n v="7.6923076923076901E-3"/>
  </r>
  <r>
    <x v="0"/>
    <x v="0"/>
    <x v="0"/>
    <x v="8"/>
    <x v="18"/>
    <s v="SE3_medium"/>
    <x v="5"/>
    <x v="0"/>
    <x v="0"/>
    <x v="0"/>
    <s v="GNR_ST_MSW_BP_CB-30"/>
    <n v="23.461538461538499"/>
    <n v="2.3461538461538499E-2"/>
  </r>
  <r>
    <x v="0"/>
    <x v="0"/>
    <x v="0"/>
    <x v="8"/>
    <x v="18"/>
    <s v="SE3_medium"/>
    <x v="5"/>
    <x v="1"/>
    <x v="1"/>
    <x v="0"/>
    <s v="GNR_BO_MSW_E-90"/>
    <n v="88.891343283582003"/>
    <n v="8.8891343283582003E-2"/>
  </r>
  <r>
    <x v="0"/>
    <x v="0"/>
    <x v="0"/>
    <x v="8"/>
    <x v="18"/>
    <s v="SE3_medium"/>
    <x v="6"/>
    <x v="1"/>
    <x v="1"/>
    <x v="0"/>
    <s v="GNR_BO_NGAS_E-90"/>
    <n v="42"/>
    <n v="4.2000000000000003E-2"/>
  </r>
  <r>
    <x v="0"/>
    <x v="0"/>
    <x v="0"/>
    <x v="8"/>
    <x v="18"/>
    <s v="SE3_medium"/>
    <x v="18"/>
    <x v="0"/>
    <x v="0"/>
    <x v="0"/>
    <s v="GNR_ST_PEAT_BP_CB-10"/>
    <n v="6.6666666666666696"/>
    <n v="6.6666666666666697E-3"/>
  </r>
  <r>
    <x v="0"/>
    <x v="0"/>
    <x v="0"/>
    <x v="8"/>
    <x v="18"/>
    <s v="SE3_medium"/>
    <x v="18"/>
    <x v="1"/>
    <x v="1"/>
    <x v="0"/>
    <s v="GNR_BO_PEAT_E-90"/>
    <n v="10"/>
    <n v="0.01"/>
  </r>
  <r>
    <x v="0"/>
    <x v="0"/>
    <x v="0"/>
    <x v="8"/>
    <x v="18"/>
    <s v="SE3_medium"/>
    <x v="9"/>
    <x v="1"/>
    <x v="1"/>
    <x v="0"/>
    <s v="GNR_EH_HEAT"/>
    <n v="141.67391025641001"/>
    <n v="0.14167391025640999"/>
  </r>
  <r>
    <x v="0"/>
    <x v="0"/>
    <x v="0"/>
    <x v="8"/>
    <x v="18"/>
    <s v="SE3_medium"/>
    <x v="10"/>
    <x v="0"/>
    <x v="0"/>
    <x v="0"/>
    <s v="GNR_ST_WOODCHI_BP_CB-10"/>
    <n v="2.0512820512820502"/>
    <n v="2.05128205128205E-3"/>
  </r>
  <r>
    <x v="0"/>
    <x v="0"/>
    <x v="0"/>
    <x v="8"/>
    <x v="18"/>
    <s v="SE3_medium"/>
    <x v="10"/>
    <x v="0"/>
    <x v="0"/>
    <x v="0"/>
    <s v="GNR_ST_WOODCHI_BP_CB-20"/>
    <n v="12.3682051282051"/>
    <n v="1.2368205128205099E-2"/>
  </r>
  <r>
    <x v="0"/>
    <x v="0"/>
    <x v="0"/>
    <x v="8"/>
    <x v="18"/>
    <s v="SE3_medium"/>
    <x v="10"/>
    <x v="0"/>
    <x v="0"/>
    <x v="0"/>
    <s v="GNR_ST_WOODCHI_BP_CB-30"/>
    <n v="113.851282051282"/>
    <n v="0.113851282051282"/>
  </r>
  <r>
    <x v="0"/>
    <x v="0"/>
    <x v="0"/>
    <x v="8"/>
    <x v="18"/>
    <s v="SE3_medium"/>
    <x v="10"/>
    <x v="0"/>
    <x v="0"/>
    <x v="0"/>
    <s v="GNR_ST_WOODCHI_BP_CB-40"/>
    <n v="141.21473974359"/>
    <n v="0.14121473974359"/>
  </r>
  <r>
    <x v="0"/>
    <x v="0"/>
    <x v="0"/>
    <x v="8"/>
    <x v="18"/>
    <s v="SE3_medium"/>
    <x v="10"/>
    <x v="1"/>
    <x v="1"/>
    <x v="0"/>
    <s v="GNR_BO_WOODCHI_E-90"/>
    <n v="475.30249999999899"/>
    <n v="0.47530249999999902"/>
  </r>
  <r>
    <x v="0"/>
    <x v="0"/>
    <x v="0"/>
    <x v="8"/>
    <x v="18"/>
    <s v="SE3_medium"/>
    <x v="11"/>
    <x v="1"/>
    <x v="1"/>
    <x v="0"/>
    <s v="GNR_BO_WOODPEL_E-90"/>
    <n v="357.85449999999997"/>
    <n v="0.35785450000000002"/>
  </r>
  <r>
    <x v="0"/>
    <x v="0"/>
    <x v="0"/>
    <x v="8"/>
    <x v="18"/>
    <s v="SE3_medium"/>
    <x v="13"/>
    <x v="0"/>
    <x v="0"/>
    <x v="0"/>
    <s v="GNR_ST_WOODWST_BP_CB-20"/>
    <n v="6.69366926794872"/>
    <n v="6.6936692679487198E-3"/>
  </r>
  <r>
    <x v="0"/>
    <x v="0"/>
    <x v="0"/>
    <x v="8"/>
    <x v="18"/>
    <s v="SE3_medium"/>
    <x v="13"/>
    <x v="0"/>
    <x v="0"/>
    <x v="0"/>
    <s v="GNR_ST_WOODWST_BP_CB-30"/>
    <n v="19.628205128205099"/>
    <n v="1.9628205128205099E-2"/>
  </r>
  <r>
    <x v="0"/>
    <x v="0"/>
    <x v="0"/>
    <x v="8"/>
    <x v="18"/>
    <s v="SE3_medium"/>
    <x v="13"/>
    <x v="0"/>
    <x v="0"/>
    <x v="0"/>
    <s v="GNR_ST_WOODWST_BP_CB-40"/>
    <n v="120.51282051282099"/>
    <n v="0.120512820512821"/>
  </r>
  <r>
    <x v="0"/>
    <x v="0"/>
    <x v="0"/>
    <x v="8"/>
    <x v="18"/>
    <s v="SE3_medium"/>
    <x v="13"/>
    <x v="1"/>
    <x v="1"/>
    <x v="0"/>
    <s v="GNR_BO_WOODWST_E-90"/>
    <n v="172.8125"/>
    <n v="0.17281250000000001"/>
  </r>
  <r>
    <x v="0"/>
    <x v="0"/>
    <x v="0"/>
    <x v="8"/>
    <x v="18"/>
    <s v="SE3_small"/>
    <x v="0"/>
    <x v="1"/>
    <x v="1"/>
    <x v="0"/>
    <s v="GNR_BO_BGAS_E-90"/>
    <n v="3.359"/>
    <n v="3.359E-3"/>
  </r>
  <r>
    <x v="0"/>
    <x v="0"/>
    <x v="0"/>
    <x v="8"/>
    <x v="18"/>
    <s v="SE3_small"/>
    <x v="1"/>
    <x v="1"/>
    <x v="1"/>
    <x v="0"/>
    <s v="GNR_BO_BIOIL_E-90"/>
    <n v="271.05399999999997"/>
    <n v="0.27105400000000002"/>
  </r>
  <r>
    <x v="0"/>
    <x v="0"/>
    <x v="0"/>
    <x v="8"/>
    <x v="18"/>
    <s v="SE3_small"/>
    <x v="2"/>
    <x v="2"/>
    <x v="2"/>
    <x v="0"/>
    <s v="GNR_BO_ELEC_E-99"/>
    <n v="20"/>
    <n v="0.02"/>
  </r>
  <r>
    <x v="0"/>
    <x v="0"/>
    <x v="0"/>
    <x v="8"/>
    <x v="18"/>
    <s v="SE3_small"/>
    <x v="2"/>
    <x v="2"/>
    <x v="2"/>
    <x v="0"/>
    <s v="GNR_HP_ELEC_COP-270"/>
    <n v="4.0500000000000001E-2"/>
    <n v="4.0500000000000002E-5"/>
  </r>
  <r>
    <x v="0"/>
    <x v="0"/>
    <x v="0"/>
    <x v="8"/>
    <x v="18"/>
    <s v="SE3_small"/>
    <x v="12"/>
    <x v="1"/>
    <x v="1"/>
    <x v="0"/>
    <s v="GNR_BO_FUELOIL_E-90"/>
    <n v="103.66"/>
    <n v="0.10366"/>
  </r>
  <r>
    <x v="0"/>
    <x v="0"/>
    <x v="0"/>
    <x v="8"/>
    <x v="18"/>
    <s v="SE3_small"/>
    <x v="3"/>
    <x v="3"/>
    <x v="3"/>
    <x v="0"/>
    <s v="GNR_HS_HEAT_WTR-TANK_LS_E-95_Y-2010"/>
    <n v="95"/>
    <n v="0.76"/>
  </r>
  <r>
    <x v="0"/>
    <x v="0"/>
    <x v="0"/>
    <x v="8"/>
    <x v="18"/>
    <s v="SE3_small"/>
    <x v="4"/>
    <x v="1"/>
    <x v="1"/>
    <x v="0"/>
    <s v="GNR_BO_LIGHTOIL_E-90"/>
    <n v="275.52"/>
    <n v="0.27551999999999999"/>
  </r>
  <r>
    <x v="0"/>
    <x v="0"/>
    <x v="0"/>
    <x v="8"/>
    <x v="18"/>
    <s v="SE3_small"/>
    <x v="5"/>
    <x v="0"/>
    <x v="0"/>
    <x v="0"/>
    <s v="GNR_ST_MSW_BP_CB-20"/>
    <n v="2.5641025641025599"/>
    <n v="2.5641025641025602E-3"/>
  </r>
  <r>
    <x v="0"/>
    <x v="0"/>
    <x v="0"/>
    <x v="8"/>
    <x v="18"/>
    <s v="SE3_small"/>
    <x v="6"/>
    <x v="1"/>
    <x v="1"/>
    <x v="0"/>
    <s v="GNR_BO_NGAS_E-90"/>
    <n v="15.804"/>
    <n v="1.5803999999999999E-2"/>
  </r>
  <r>
    <x v="0"/>
    <x v="0"/>
    <x v="0"/>
    <x v="8"/>
    <x v="18"/>
    <s v="SE3_small"/>
    <x v="7"/>
    <x v="1"/>
    <x v="1"/>
    <x v="0"/>
    <s v="GNR_BO_STRW_E-100"/>
    <n v="9.3352500000000003"/>
    <n v="9.3352499999999998E-3"/>
  </r>
  <r>
    <x v="0"/>
    <x v="0"/>
    <x v="0"/>
    <x v="8"/>
    <x v="18"/>
    <s v="SE3_small"/>
    <x v="9"/>
    <x v="1"/>
    <x v="1"/>
    <x v="0"/>
    <s v="GNR_EH_HEAT"/>
    <n v="116.949725274725"/>
    <n v="0.116949725274725"/>
  </r>
  <r>
    <x v="0"/>
    <x v="0"/>
    <x v="0"/>
    <x v="8"/>
    <x v="18"/>
    <s v="SE3_small"/>
    <x v="10"/>
    <x v="0"/>
    <x v="0"/>
    <x v="0"/>
    <s v="GNR_ST_WOODCHI_BP_CB-10"/>
    <n v="3.3333333333333299"/>
    <n v="3.3333333333333301E-3"/>
  </r>
  <r>
    <x v="0"/>
    <x v="0"/>
    <x v="0"/>
    <x v="8"/>
    <x v="18"/>
    <s v="SE3_small"/>
    <x v="10"/>
    <x v="0"/>
    <x v="0"/>
    <x v="0"/>
    <s v="GNR_ST_WOODCHI_BP_CB-20"/>
    <n v="4.2179487179487198"/>
    <n v="4.2179487179487196E-3"/>
  </r>
  <r>
    <x v="0"/>
    <x v="0"/>
    <x v="0"/>
    <x v="8"/>
    <x v="18"/>
    <s v="SE3_small"/>
    <x v="10"/>
    <x v="0"/>
    <x v="0"/>
    <x v="0"/>
    <s v="GNR_ST_WOODCHI_BP_CB-30"/>
    <n v="5.1153846153846203"/>
    <n v="5.1153846153846197E-3"/>
  </r>
  <r>
    <x v="0"/>
    <x v="0"/>
    <x v="0"/>
    <x v="8"/>
    <x v="18"/>
    <s v="SE3_small"/>
    <x v="10"/>
    <x v="1"/>
    <x v="1"/>
    <x v="0"/>
    <s v="GNR_BO_WOODCHI_E-90"/>
    <n v="478.65174999999903"/>
    <n v="0.47865174999999899"/>
  </r>
  <r>
    <x v="0"/>
    <x v="0"/>
    <x v="0"/>
    <x v="8"/>
    <x v="18"/>
    <s v="SE3_small"/>
    <x v="11"/>
    <x v="1"/>
    <x v="1"/>
    <x v="0"/>
    <s v="GNR_BO_WOODPEL_E-90"/>
    <n v="150.38024999999999"/>
    <n v="0.15038024999999999"/>
  </r>
  <r>
    <x v="0"/>
    <x v="0"/>
    <x v="0"/>
    <x v="8"/>
    <x v="18"/>
    <s v="SE3_small"/>
    <x v="13"/>
    <x v="0"/>
    <x v="0"/>
    <x v="0"/>
    <s v="GNR_ST_WOODWST_BP_CB-20"/>
    <n v="2.5641025641025599"/>
    <n v="2.5641025641025602E-3"/>
  </r>
  <r>
    <x v="0"/>
    <x v="0"/>
    <x v="0"/>
    <x v="8"/>
    <x v="19"/>
    <s v="SE4_IND"/>
    <x v="4"/>
    <x v="1"/>
    <x v="1"/>
    <x v="0"/>
    <s v="GNR_BO_LIGHTOIL_E-85"/>
    <n v="505.4"/>
    <n v="0.50539999999999996"/>
  </r>
  <r>
    <x v="0"/>
    <x v="0"/>
    <x v="0"/>
    <x v="8"/>
    <x v="19"/>
    <s v="SE4_IND"/>
    <x v="10"/>
    <x v="0"/>
    <x v="0"/>
    <x v="0"/>
    <s v="GNR_IND-ST_WOODCHI_BP_E-71"/>
    <n v="323.97435897435901"/>
    <n v="0.323974358974359"/>
  </r>
  <r>
    <x v="0"/>
    <x v="0"/>
    <x v="0"/>
    <x v="8"/>
    <x v="19"/>
    <s v="SE4_large"/>
    <x v="12"/>
    <x v="1"/>
    <x v="1"/>
    <x v="0"/>
    <s v="GNR_BO_FUELOIL_E-90"/>
    <n v="120"/>
    <n v="0.12"/>
  </r>
  <r>
    <x v="0"/>
    <x v="0"/>
    <x v="0"/>
    <x v="8"/>
    <x v="19"/>
    <s v="SE4_large"/>
    <x v="3"/>
    <x v="3"/>
    <x v="3"/>
    <x v="0"/>
    <s v="GNR_HS_HEAT_WTR-TANK_LS_E-95_Y-2010"/>
    <n v="75"/>
    <n v="0.6"/>
  </r>
  <r>
    <x v="0"/>
    <x v="0"/>
    <x v="0"/>
    <x v="8"/>
    <x v="19"/>
    <s v="SE4_large"/>
    <x v="5"/>
    <x v="0"/>
    <x v="0"/>
    <x v="0"/>
    <s v="GNR_ST_MSW_BP_CB-30"/>
    <n v="25.453258641025599"/>
    <n v="2.54532586410256E-2"/>
  </r>
  <r>
    <x v="0"/>
    <x v="0"/>
    <x v="0"/>
    <x v="8"/>
    <x v="19"/>
    <s v="SE4_large"/>
    <x v="6"/>
    <x v="0"/>
    <x v="6"/>
    <x v="0"/>
    <s v="ORESUND_CC_NGAS_EXT"/>
    <n v="504.54545454545502"/>
    <n v="0.50454545454545496"/>
  </r>
  <r>
    <x v="0"/>
    <x v="0"/>
    <x v="0"/>
    <x v="8"/>
    <x v="19"/>
    <s v="SE4_large"/>
    <x v="9"/>
    <x v="1"/>
    <x v="1"/>
    <x v="0"/>
    <s v="GNR_EH_HEAT"/>
    <n v="20"/>
    <n v="0.02"/>
  </r>
  <r>
    <x v="0"/>
    <x v="0"/>
    <x v="0"/>
    <x v="8"/>
    <x v="19"/>
    <s v="SE4_medium"/>
    <x v="0"/>
    <x v="1"/>
    <x v="1"/>
    <x v="0"/>
    <s v="GNR_BO_BGAS_E-90"/>
    <n v="2.5"/>
    <n v="2.5000000000000001E-3"/>
  </r>
  <r>
    <x v="0"/>
    <x v="0"/>
    <x v="0"/>
    <x v="8"/>
    <x v="19"/>
    <s v="SE4_medium"/>
    <x v="1"/>
    <x v="1"/>
    <x v="1"/>
    <x v="0"/>
    <s v="GNR_BO_BIOIL_E-90"/>
    <n v="229.8"/>
    <n v="0.2298"/>
  </r>
  <r>
    <x v="0"/>
    <x v="0"/>
    <x v="0"/>
    <x v="8"/>
    <x v="19"/>
    <s v="SE4_medium"/>
    <x v="12"/>
    <x v="1"/>
    <x v="1"/>
    <x v="0"/>
    <s v="GNR_BO_FUELOIL_E-90"/>
    <n v="40.700000000000003"/>
    <n v="4.07E-2"/>
  </r>
  <r>
    <x v="0"/>
    <x v="0"/>
    <x v="0"/>
    <x v="8"/>
    <x v="19"/>
    <s v="SE4_medium"/>
    <x v="3"/>
    <x v="3"/>
    <x v="3"/>
    <x v="0"/>
    <s v="GNR_HS_HEAT_WTR-TANK_LS_E-95_Y-2010"/>
    <n v="800.9375"/>
    <n v="6.4074999999999998"/>
  </r>
  <r>
    <x v="0"/>
    <x v="0"/>
    <x v="0"/>
    <x v="8"/>
    <x v="19"/>
    <s v="SE4_medium"/>
    <x v="4"/>
    <x v="1"/>
    <x v="1"/>
    <x v="0"/>
    <s v="GNR_BO_LIGHTOIL_E-90"/>
    <n v="214.22"/>
    <n v="0.21421999999999999"/>
  </r>
  <r>
    <x v="0"/>
    <x v="0"/>
    <x v="0"/>
    <x v="8"/>
    <x v="19"/>
    <s v="SE4_medium"/>
    <x v="5"/>
    <x v="0"/>
    <x v="0"/>
    <x v="0"/>
    <s v="GNR_ST_MSW_BP_CB-30"/>
    <n v="40.4249789487179"/>
    <n v="4.0424978948717903E-2"/>
  </r>
  <r>
    <x v="0"/>
    <x v="0"/>
    <x v="0"/>
    <x v="8"/>
    <x v="19"/>
    <s v="SE4_medium"/>
    <x v="6"/>
    <x v="1"/>
    <x v="1"/>
    <x v="0"/>
    <s v="GNR_BO_NGAS_E-90"/>
    <n v="433"/>
    <n v="0.433"/>
  </r>
  <r>
    <x v="0"/>
    <x v="0"/>
    <x v="0"/>
    <x v="8"/>
    <x v="19"/>
    <s v="SE4_medium"/>
    <x v="7"/>
    <x v="1"/>
    <x v="1"/>
    <x v="0"/>
    <s v="GNR_BO_STRW_E-100"/>
    <n v="1.13625"/>
    <n v="1.1362500000000001E-3"/>
  </r>
  <r>
    <x v="0"/>
    <x v="0"/>
    <x v="0"/>
    <x v="8"/>
    <x v="19"/>
    <s v="SE4_medium"/>
    <x v="9"/>
    <x v="1"/>
    <x v="1"/>
    <x v="0"/>
    <s v="GNR_EH_HEAT"/>
    <n v="42"/>
    <n v="4.2000000000000003E-2"/>
  </r>
  <r>
    <x v="0"/>
    <x v="0"/>
    <x v="0"/>
    <x v="8"/>
    <x v="19"/>
    <s v="SE4_medium"/>
    <x v="10"/>
    <x v="0"/>
    <x v="0"/>
    <x v="0"/>
    <s v="GNR_ST_WOODCHI_BP_CB-10"/>
    <n v="3.6750808871794902"/>
    <n v="3.6750808871794899E-3"/>
  </r>
  <r>
    <x v="0"/>
    <x v="0"/>
    <x v="0"/>
    <x v="8"/>
    <x v="19"/>
    <s v="SE4_medium"/>
    <x v="10"/>
    <x v="0"/>
    <x v="0"/>
    <x v="0"/>
    <s v="GNR_ST_WOODCHI_BP_CB-20"/>
    <n v="7.8205128205128203"/>
    <n v="7.8205128205128208E-3"/>
  </r>
  <r>
    <x v="0"/>
    <x v="0"/>
    <x v="0"/>
    <x v="8"/>
    <x v="19"/>
    <s v="SE4_medium"/>
    <x v="10"/>
    <x v="0"/>
    <x v="0"/>
    <x v="0"/>
    <s v="GNR_ST_WOODCHI_BP_CB-30"/>
    <n v="52.5772506410256"/>
    <n v="5.25772506410256E-2"/>
  </r>
  <r>
    <x v="0"/>
    <x v="0"/>
    <x v="0"/>
    <x v="8"/>
    <x v="19"/>
    <s v="SE4_medium"/>
    <x v="10"/>
    <x v="0"/>
    <x v="0"/>
    <x v="0"/>
    <s v="GNR_ST_WOODCHI_BP_CB-40"/>
    <n v="59.067283641025597"/>
    <n v="5.9067283641025599E-2"/>
  </r>
  <r>
    <x v="0"/>
    <x v="0"/>
    <x v="0"/>
    <x v="8"/>
    <x v="19"/>
    <s v="SE4_medium"/>
    <x v="10"/>
    <x v="0"/>
    <x v="0"/>
    <x v="0"/>
    <s v="GNR_ST_WOODCHI_BP_CB-60"/>
    <n v="47.435897435897402"/>
    <n v="4.7435897435897399E-2"/>
  </r>
  <r>
    <x v="0"/>
    <x v="0"/>
    <x v="0"/>
    <x v="8"/>
    <x v="19"/>
    <s v="SE4_medium"/>
    <x v="10"/>
    <x v="1"/>
    <x v="1"/>
    <x v="0"/>
    <s v="GNR_BO_WOODCHI_E-90"/>
    <n v="147.1"/>
    <n v="0.14710000000000001"/>
  </r>
  <r>
    <x v="0"/>
    <x v="0"/>
    <x v="0"/>
    <x v="8"/>
    <x v="19"/>
    <s v="SE4_medium"/>
    <x v="11"/>
    <x v="1"/>
    <x v="1"/>
    <x v="0"/>
    <s v="GNR_BO_WOODPEL_E-90"/>
    <n v="53.837000000000003"/>
    <n v="5.3837000000000003E-2"/>
  </r>
  <r>
    <x v="0"/>
    <x v="0"/>
    <x v="0"/>
    <x v="8"/>
    <x v="19"/>
    <s v="SE4_small"/>
    <x v="0"/>
    <x v="1"/>
    <x v="1"/>
    <x v="0"/>
    <s v="GNR_BO_BGAS_E-90"/>
    <n v="2.2499999999999999E-2"/>
    <n v="2.2500000000000001E-5"/>
  </r>
  <r>
    <x v="0"/>
    <x v="0"/>
    <x v="0"/>
    <x v="8"/>
    <x v="19"/>
    <s v="SE4_small"/>
    <x v="1"/>
    <x v="1"/>
    <x v="1"/>
    <x v="0"/>
    <s v="GNR_BO_BIOIL_E-90"/>
    <n v="48.745999999999903"/>
    <n v="4.8745999999999901E-2"/>
  </r>
  <r>
    <x v="0"/>
    <x v="0"/>
    <x v="0"/>
    <x v="8"/>
    <x v="19"/>
    <s v="SE4_small"/>
    <x v="2"/>
    <x v="2"/>
    <x v="2"/>
    <x v="0"/>
    <s v="GNR_BO_ELEC_E-99"/>
    <n v="5.9399999999999897E-2"/>
    <n v="5.9399999999999899E-5"/>
  </r>
  <r>
    <x v="0"/>
    <x v="0"/>
    <x v="0"/>
    <x v="8"/>
    <x v="19"/>
    <s v="SE4_small"/>
    <x v="3"/>
    <x v="3"/>
    <x v="3"/>
    <x v="0"/>
    <s v="GNR_HS_HEAT_WTR-TANK_LS_E-95_Y-2010"/>
    <n v="28.75"/>
    <n v="0.23"/>
  </r>
  <r>
    <x v="0"/>
    <x v="0"/>
    <x v="0"/>
    <x v="8"/>
    <x v="19"/>
    <s v="SE4_small"/>
    <x v="4"/>
    <x v="1"/>
    <x v="1"/>
    <x v="0"/>
    <s v="GNR_BO_LIGHTOIL_E-90"/>
    <n v="25.2"/>
    <n v="2.52E-2"/>
  </r>
  <r>
    <x v="0"/>
    <x v="0"/>
    <x v="0"/>
    <x v="8"/>
    <x v="19"/>
    <s v="SE4_small"/>
    <x v="6"/>
    <x v="1"/>
    <x v="1"/>
    <x v="0"/>
    <s v="GNR_BO_NGAS_E-90"/>
    <n v="5.5439999999999996"/>
    <n v="5.5440000000000003E-3"/>
  </r>
  <r>
    <x v="0"/>
    <x v="0"/>
    <x v="0"/>
    <x v="8"/>
    <x v="19"/>
    <s v="SE4_small"/>
    <x v="19"/>
    <x v="1"/>
    <x v="1"/>
    <x v="0"/>
    <s v="GNR_BO_OTHER_E-90"/>
    <n v="4.9499999999999904"/>
    <n v="4.94999999999999E-3"/>
  </r>
  <r>
    <x v="0"/>
    <x v="0"/>
    <x v="0"/>
    <x v="8"/>
    <x v="19"/>
    <s v="SE4_small"/>
    <x v="7"/>
    <x v="1"/>
    <x v="1"/>
    <x v="0"/>
    <s v="GNR_BO_STRW_E-100"/>
    <n v="6.0795000000000003"/>
    <n v="6.0794999999999998E-3"/>
  </r>
  <r>
    <x v="0"/>
    <x v="0"/>
    <x v="0"/>
    <x v="8"/>
    <x v="19"/>
    <s v="SE4_small"/>
    <x v="9"/>
    <x v="1"/>
    <x v="1"/>
    <x v="0"/>
    <s v="GNR_EH_HEAT"/>
    <n v="13.465"/>
    <n v="1.3465E-2"/>
  </r>
  <r>
    <x v="0"/>
    <x v="0"/>
    <x v="0"/>
    <x v="8"/>
    <x v="19"/>
    <s v="SE4_small"/>
    <x v="10"/>
    <x v="1"/>
    <x v="1"/>
    <x v="0"/>
    <s v="GNR_BO_WOODCHI_E-90"/>
    <n v="141.86075"/>
    <n v="0.14186075000000001"/>
  </r>
  <r>
    <x v="0"/>
    <x v="0"/>
    <x v="0"/>
    <x v="8"/>
    <x v="19"/>
    <s v="SE4_small"/>
    <x v="11"/>
    <x v="1"/>
    <x v="1"/>
    <x v="0"/>
    <s v="GNR_BO_WOODPEL_E-90"/>
    <n v="32.604999999999997"/>
    <n v="3.2605000000000002E-2"/>
  </r>
</pivotCacheRecords>
</file>

<file path=xl/pivotCache/pivotCacheRecords19.xml><?xml version="1.0" encoding="utf-8"?>
<pivotCacheRecords xmlns="http://schemas.openxmlformats.org/spreadsheetml/2006/main" xmlns:r="http://schemas.openxmlformats.org/officeDocument/2006/relationships" count="47">
  <r>
    <x v="0"/>
    <x v="0"/>
    <x v="0"/>
    <x v="0"/>
    <x v="0"/>
    <s v="DK1_Large"/>
    <x v="0"/>
    <x v="0"/>
    <x v="0"/>
    <x v="0"/>
    <n v="4091.3264307998502"/>
    <n v="4.0913264307998496"/>
  </r>
  <r>
    <x v="0"/>
    <x v="0"/>
    <x v="0"/>
    <x v="0"/>
    <x v="0"/>
    <s v="DK1_Large"/>
    <x v="0"/>
    <x v="1"/>
    <x v="0"/>
    <x v="1"/>
    <n v="74565.447294865095"/>
    <n v="74.565447294865095"/>
  </r>
  <r>
    <x v="0"/>
    <x v="0"/>
    <x v="0"/>
    <x v="0"/>
    <x v="0"/>
    <s v="DK1_MedSmall"/>
    <x v="0"/>
    <x v="0"/>
    <x v="0"/>
    <x v="0"/>
    <n v="1100.59496142842"/>
    <n v="1.1005949614284201"/>
  </r>
  <r>
    <x v="0"/>
    <x v="0"/>
    <x v="0"/>
    <x v="0"/>
    <x v="0"/>
    <s v="DK1_MedSmall"/>
    <x v="0"/>
    <x v="1"/>
    <x v="0"/>
    <x v="2"/>
    <n v="24480.304090900001"/>
    <n v="24.480304090899999"/>
  </r>
  <r>
    <x v="0"/>
    <x v="0"/>
    <x v="0"/>
    <x v="0"/>
    <x v="0"/>
    <s v="DK1_Medium"/>
    <x v="0"/>
    <x v="0"/>
    <x v="0"/>
    <x v="0"/>
    <n v="2603.2412865998199"/>
    <n v="2.60324128659982"/>
  </r>
  <r>
    <x v="0"/>
    <x v="0"/>
    <x v="0"/>
    <x v="0"/>
    <x v="0"/>
    <s v="DK1_Medium"/>
    <x v="0"/>
    <x v="1"/>
    <x v="0"/>
    <x v="2"/>
    <n v="81162.488598742901"/>
    <n v="81.162488598742897"/>
  </r>
  <r>
    <x v="0"/>
    <x v="0"/>
    <x v="0"/>
    <x v="0"/>
    <x v="0"/>
    <s v="DK1_NoDH"/>
    <x v="1"/>
    <x v="2"/>
    <x v="0"/>
    <x v="3"/>
    <n v="1898.1170640340399"/>
    <n v="1.8981170640340399"/>
  </r>
  <r>
    <x v="0"/>
    <x v="0"/>
    <x v="0"/>
    <x v="0"/>
    <x v="0"/>
    <s v="DK1_Rural"/>
    <x v="0"/>
    <x v="0"/>
    <x v="0"/>
    <x v="0"/>
    <n v="1056.16541892943"/>
    <n v="1.0561654189294301"/>
  </r>
  <r>
    <x v="0"/>
    <x v="0"/>
    <x v="0"/>
    <x v="0"/>
    <x v="0"/>
    <s v="DK1_Rural"/>
    <x v="0"/>
    <x v="1"/>
    <x v="0"/>
    <x v="2"/>
    <n v="49892.770503841202"/>
    <n v="49.892770503841199"/>
  </r>
  <r>
    <x v="0"/>
    <x v="0"/>
    <x v="0"/>
    <x v="0"/>
    <x v="0"/>
    <s v="DK1_Small"/>
    <x v="0"/>
    <x v="0"/>
    <x v="0"/>
    <x v="0"/>
    <n v="34.923853194012899"/>
    <n v="3.4923853194012901E-2"/>
  </r>
  <r>
    <x v="0"/>
    <x v="0"/>
    <x v="0"/>
    <x v="0"/>
    <x v="1"/>
    <s v="DK2_Large"/>
    <x v="0"/>
    <x v="0"/>
    <x v="0"/>
    <x v="0"/>
    <n v="5985.2534363253098"/>
    <n v="5.9852534363253103"/>
  </r>
  <r>
    <x v="0"/>
    <x v="0"/>
    <x v="0"/>
    <x v="0"/>
    <x v="1"/>
    <s v="DK2_Large"/>
    <x v="0"/>
    <x v="1"/>
    <x v="0"/>
    <x v="1"/>
    <n v="77379.085808848598"/>
    <n v="77.3790858088486"/>
  </r>
  <r>
    <x v="0"/>
    <x v="0"/>
    <x v="0"/>
    <x v="0"/>
    <x v="1"/>
    <s v="DK2_MedSmall"/>
    <x v="0"/>
    <x v="0"/>
    <x v="0"/>
    <x v="0"/>
    <n v="405.76885302917498"/>
    <n v="0.40576885302917498"/>
  </r>
  <r>
    <x v="0"/>
    <x v="0"/>
    <x v="0"/>
    <x v="0"/>
    <x v="1"/>
    <s v="DK2_MedSmall"/>
    <x v="0"/>
    <x v="1"/>
    <x v="0"/>
    <x v="2"/>
    <n v="15890.6323651929"/>
    <n v="15.8906323651929"/>
  </r>
  <r>
    <x v="0"/>
    <x v="0"/>
    <x v="0"/>
    <x v="0"/>
    <x v="1"/>
    <s v="DK2_Medium"/>
    <x v="0"/>
    <x v="0"/>
    <x v="0"/>
    <x v="0"/>
    <n v="1304.76110443722"/>
    <n v="1.30476110443722"/>
  </r>
  <r>
    <x v="0"/>
    <x v="0"/>
    <x v="0"/>
    <x v="0"/>
    <x v="1"/>
    <s v="DK2_Medium"/>
    <x v="0"/>
    <x v="1"/>
    <x v="0"/>
    <x v="2"/>
    <n v="27853.6371167625"/>
    <n v="27.853637116762499"/>
  </r>
  <r>
    <x v="0"/>
    <x v="0"/>
    <x v="0"/>
    <x v="0"/>
    <x v="1"/>
    <s v="DK2_NoDH"/>
    <x v="1"/>
    <x v="2"/>
    <x v="0"/>
    <x v="3"/>
    <n v="362.45159245350601"/>
    <n v="0.362451592453506"/>
  </r>
  <r>
    <x v="0"/>
    <x v="0"/>
    <x v="0"/>
    <x v="0"/>
    <x v="1"/>
    <s v="DK2_Rural"/>
    <x v="0"/>
    <x v="0"/>
    <x v="0"/>
    <x v="0"/>
    <n v="842.44462804325406"/>
    <n v="0.84244462804325404"/>
  </r>
  <r>
    <x v="0"/>
    <x v="0"/>
    <x v="0"/>
    <x v="0"/>
    <x v="1"/>
    <s v="DK2_Rural"/>
    <x v="0"/>
    <x v="1"/>
    <x v="0"/>
    <x v="2"/>
    <n v="16162.3705650708"/>
    <n v="16.162370565070798"/>
  </r>
  <r>
    <x v="0"/>
    <x v="0"/>
    <x v="0"/>
    <x v="0"/>
    <x v="1"/>
    <s v="DK2_Small"/>
    <x v="0"/>
    <x v="0"/>
    <x v="0"/>
    <x v="0"/>
    <n v="82.974907405383107"/>
    <n v="8.2974907405383103E-2"/>
  </r>
  <r>
    <x v="0"/>
    <x v="0"/>
    <x v="0"/>
    <x v="0"/>
    <x v="1"/>
    <s v="DK2_Small"/>
    <x v="0"/>
    <x v="1"/>
    <x v="0"/>
    <x v="2"/>
    <n v="1484.2929098391101"/>
    <n v="1.48429290983911"/>
  </r>
  <r>
    <x v="0"/>
    <x v="0"/>
    <x v="0"/>
    <x v="1"/>
    <x v="2"/>
    <s v="FI_large"/>
    <x v="0"/>
    <x v="0"/>
    <x v="1"/>
    <x v="0"/>
    <n v="990"/>
    <n v="0.99"/>
  </r>
  <r>
    <x v="0"/>
    <x v="0"/>
    <x v="0"/>
    <x v="1"/>
    <x v="2"/>
    <s v="FI_large"/>
    <x v="0"/>
    <x v="1"/>
    <x v="1"/>
    <x v="4"/>
    <n v="10000"/>
    <n v="10"/>
  </r>
  <r>
    <x v="0"/>
    <x v="0"/>
    <x v="0"/>
    <x v="1"/>
    <x v="2"/>
    <s v="FI_large_gas"/>
    <x v="0"/>
    <x v="0"/>
    <x v="1"/>
    <x v="0"/>
    <n v="3100"/>
    <n v="3.1"/>
  </r>
  <r>
    <x v="0"/>
    <x v="0"/>
    <x v="0"/>
    <x v="1"/>
    <x v="2"/>
    <s v="FI_large_gas"/>
    <x v="0"/>
    <x v="1"/>
    <x v="1"/>
    <x v="4"/>
    <n v="11600"/>
    <n v="11.6"/>
  </r>
  <r>
    <x v="0"/>
    <x v="0"/>
    <x v="0"/>
    <x v="1"/>
    <x v="2"/>
    <s v="FI_medium"/>
    <x v="0"/>
    <x v="0"/>
    <x v="1"/>
    <x v="0"/>
    <n v="635"/>
    <n v="0.63500000000000001"/>
  </r>
  <r>
    <x v="0"/>
    <x v="0"/>
    <x v="0"/>
    <x v="2"/>
    <x v="3"/>
    <s v="DE4-E_A"/>
    <x v="1"/>
    <x v="2"/>
    <x v="1"/>
    <x v="5"/>
    <n v="1.08"/>
    <n v="1.08E-3"/>
  </r>
  <r>
    <x v="0"/>
    <x v="0"/>
    <x v="0"/>
    <x v="2"/>
    <x v="3"/>
    <s v="DE4-E_A"/>
    <x v="1"/>
    <x v="3"/>
    <x v="1"/>
    <x v="6"/>
    <n v="19320"/>
    <n v="19.32"/>
  </r>
  <r>
    <x v="0"/>
    <x v="0"/>
    <x v="0"/>
    <x v="2"/>
    <x v="4"/>
    <s v="DE4-N_A"/>
    <x v="1"/>
    <x v="2"/>
    <x v="1"/>
    <x v="7"/>
    <n v="0.41"/>
    <n v="4.0999999999999999E-4"/>
  </r>
  <r>
    <x v="0"/>
    <x v="0"/>
    <x v="0"/>
    <x v="2"/>
    <x v="4"/>
    <s v="DE4-N_A"/>
    <x v="1"/>
    <x v="3"/>
    <x v="1"/>
    <x v="8"/>
    <n v="952.8"/>
    <n v="0.95279999999999998"/>
  </r>
  <r>
    <x v="0"/>
    <x v="0"/>
    <x v="0"/>
    <x v="2"/>
    <x v="5"/>
    <s v="DE4-S_A"/>
    <x v="1"/>
    <x v="2"/>
    <x v="1"/>
    <x v="9"/>
    <n v="2.4700000000000002"/>
    <n v="2.47E-3"/>
  </r>
  <r>
    <x v="0"/>
    <x v="0"/>
    <x v="0"/>
    <x v="2"/>
    <x v="5"/>
    <s v="DE4-S_A"/>
    <x v="1"/>
    <x v="3"/>
    <x v="1"/>
    <x v="10"/>
    <n v="17304"/>
    <n v="17.303999999999998"/>
  </r>
  <r>
    <x v="0"/>
    <x v="0"/>
    <x v="0"/>
    <x v="2"/>
    <x v="6"/>
    <s v="DE4-W_A"/>
    <x v="1"/>
    <x v="2"/>
    <x v="1"/>
    <x v="11"/>
    <n v="3.16"/>
    <n v="3.16E-3"/>
  </r>
  <r>
    <x v="0"/>
    <x v="0"/>
    <x v="0"/>
    <x v="2"/>
    <x v="6"/>
    <s v="DE4-W_A"/>
    <x v="1"/>
    <x v="3"/>
    <x v="1"/>
    <x v="12"/>
    <n v="9168"/>
    <n v="9.1679999999999993"/>
  </r>
  <r>
    <x v="0"/>
    <x v="0"/>
    <x v="0"/>
    <x v="3"/>
    <x v="7"/>
    <s v="LT_VilU"/>
    <x v="1"/>
    <x v="3"/>
    <x v="1"/>
    <x v="13"/>
    <n v="9000"/>
    <n v="9"/>
  </r>
  <r>
    <x v="0"/>
    <x v="0"/>
    <x v="0"/>
    <x v="4"/>
    <x v="8"/>
    <s v="PL_A"/>
    <x v="1"/>
    <x v="3"/>
    <x v="1"/>
    <x v="13"/>
    <n v="166"/>
    <n v="0.16600000000000001"/>
  </r>
  <r>
    <x v="0"/>
    <x v="0"/>
    <x v="0"/>
    <x v="5"/>
    <x v="9"/>
    <s v="SE1_medium"/>
    <x v="0"/>
    <x v="0"/>
    <x v="1"/>
    <x v="0"/>
    <n v="1000"/>
    <n v="1"/>
  </r>
  <r>
    <x v="0"/>
    <x v="0"/>
    <x v="0"/>
    <x v="5"/>
    <x v="9"/>
    <s v="SE1_small"/>
    <x v="0"/>
    <x v="0"/>
    <x v="1"/>
    <x v="0"/>
    <n v="175"/>
    <n v="0.17499999999999999"/>
  </r>
  <r>
    <x v="0"/>
    <x v="0"/>
    <x v="0"/>
    <x v="5"/>
    <x v="10"/>
    <s v="SE2_medium"/>
    <x v="0"/>
    <x v="0"/>
    <x v="1"/>
    <x v="0"/>
    <n v="2165"/>
    <n v="2.165"/>
  </r>
  <r>
    <x v="0"/>
    <x v="0"/>
    <x v="0"/>
    <x v="5"/>
    <x v="10"/>
    <s v="SE2_small"/>
    <x v="0"/>
    <x v="0"/>
    <x v="1"/>
    <x v="0"/>
    <n v="175"/>
    <n v="0.17499999999999999"/>
  </r>
  <r>
    <x v="0"/>
    <x v="0"/>
    <x v="0"/>
    <x v="5"/>
    <x v="11"/>
    <s v="SE3_large"/>
    <x v="0"/>
    <x v="0"/>
    <x v="1"/>
    <x v="0"/>
    <n v="5110"/>
    <n v="5.1100000000000003"/>
  </r>
  <r>
    <x v="0"/>
    <x v="0"/>
    <x v="0"/>
    <x v="5"/>
    <x v="11"/>
    <s v="SE3_medium"/>
    <x v="0"/>
    <x v="0"/>
    <x v="1"/>
    <x v="0"/>
    <n v="9395"/>
    <n v="9.3949999999999996"/>
  </r>
  <r>
    <x v="0"/>
    <x v="0"/>
    <x v="0"/>
    <x v="5"/>
    <x v="11"/>
    <s v="SE3_small"/>
    <x v="0"/>
    <x v="0"/>
    <x v="1"/>
    <x v="0"/>
    <n v="760"/>
    <n v="0.76"/>
  </r>
  <r>
    <x v="0"/>
    <x v="0"/>
    <x v="0"/>
    <x v="5"/>
    <x v="12"/>
    <s v="SE4_large"/>
    <x v="0"/>
    <x v="0"/>
    <x v="1"/>
    <x v="0"/>
    <n v="600"/>
    <n v="0.6"/>
  </r>
  <r>
    <x v="0"/>
    <x v="0"/>
    <x v="0"/>
    <x v="5"/>
    <x v="12"/>
    <s v="SE4_medium"/>
    <x v="0"/>
    <x v="0"/>
    <x v="1"/>
    <x v="0"/>
    <n v="6407.5"/>
    <n v="6.4074999999999998"/>
  </r>
  <r>
    <x v="0"/>
    <x v="0"/>
    <x v="0"/>
    <x v="5"/>
    <x v="12"/>
    <s v="SE4_small"/>
    <x v="0"/>
    <x v="0"/>
    <x v="1"/>
    <x v="0"/>
    <n v="230"/>
    <n v="0.23"/>
  </r>
  <r>
    <x v="0"/>
    <x v="0"/>
    <x v="0"/>
    <x v="6"/>
    <x v="13"/>
    <s v="UK_A"/>
    <x v="1"/>
    <x v="3"/>
    <x v="1"/>
    <x v="13"/>
    <n v="253"/>
    <n v="0.253"/>
  </r>
</pivotCacheRecords>
</file>

<file path=xl/pivotCache/pivotCacheRecords20.xml><?xml version="1.0" encoding="utf-8"?>
<pivotCacheRecords xmlns="http://schemas.openxmlformats.org/spreadsheetml/2006/main" xmlns:r="http://schemas.openxmlformats.org/officeDocument/2006/relationships" count="1804">
  <r>
    <x v="0"/>
    <x v="0"/>
    <x v="0"/>
    <x v="0"/>
    <x v="0"/>
    <m/>
    <x v="0"/>
    <x v="0"/>
    <x v="0"/>
    <m/>
    <x v="0"/>
    <n v="1440.58152554399"/>
  </r>
  <r>
    <x v="0"/>
    <x v="0"/>
    <x v="0"/>
    <x v="0"/>
    <x v="1"/>
    <m/>
    <x v="0"/>
    <x v="0"/>
    <x v="0"/>
    <m/>
    <x v="0"/>
    <n v="1039.42522854154"/>
  </r>
  <r>
    <x v="0"/>
    <x v="0"/>
    <x v="0"/>
    <x v="0"/>
    <x v="0"/>
    <m/>
    <x v="0"/>
    <x v="0"/>
    <x v="0"/>
    <m/>
    <x v="1"/>
    <n v="943.50625418987795"/>
  </r>
  <r>
    <x v="0"/>
    <x v="0"/>
    <x v="0"/>
    <x v="0"/>
    <x v="1"/>
    <m/>
    <x v="0"/>
    <x v="0"/>
    <x v="0"/>
    <m/>
    <x v="1"/>
    <n v="669.85157076360395"/>
  </r>
  <r>
    <x v="0"/>
    <x v="0"/>
    <x v="0"/>
    <x v="0"/>
    <x v="0"/>
    <s v="DK1_Large"/>
    <x v="1"/>
    <x v="1"/>
    <x v="1"/>
    <s v="GNR_ENG_BGAS_BP_E-36"/>
    <x v="2"/>
    <n v="107.718113198059"/>
  </r>
  <r>
    <x v="0"/>
    <x v="0"/>
    <x v="0"/>
    <x v="0"/>
    <x v="0"/>
    <s v="DK1_Large"/>
    <x v="1"/>
    <x v="1"/>
    <x v="1"/>
    <s v="GNR_ENG_BGAS_BP_E-37"/>
    <x v="2"/>
    <n v="107.718113198059"/>
  </r>
  <r>
    <x v="0"/>
    <x v="0"/>
    <x v="0"/>
    <x v="0"/>
    <x v="0"/>
    <s v="DK1_Large"/>
    <x v="1"/>
    <x v="1"/>
    <x v="1"/>
    <s v="GNR_ENG_BGAS_BP_E-39"/>
    <x v="2"/>
    <n v="107.718113198059"/>
  </r>
  <r>
    <x v="0"/>
    <x v="0"/>
    <x v="0"/>
    <x v="0"/>
    <x v="0"/>
    <s v="DK1_Large"/>
    <x v="1"/>
    <x v="1"/>
    <x v="1"/>
    <s v="GNR_ENG_BGAS_BP_E-40"/>
    <x v="2"/>
    <n v="107.718113198059"/>
  </r>
  <r>
    <x v="0"/>
    <x v="0"/>
    <x v="0"/>
    <x v="0"/>
    <x v="0"/>
    <s v="DK1_Large"/>
    <x v="1"/>
    <x v="1"/>
    <x v="1"/>
    <s v="GNR_ENG_BGAS_BP_E-41"/>
    <x v="2"/>
    <n v="107.718113198059"/>
  </r>
  <r>
    <x v="0"/>
    <x v="0"/>
    <x v="0"/>
    <x v="0"/>
    <x v="0"/>
    <s v="DK1_Large"/>
    <x v="1"/>
    <x v="1"/>
    <x v="1"/>
    <s v="GNR_ENG_BGAS_BP_E-42"/>
    <x v="2"/>
    <n v="107.718113198059"/>
  </r>
  <r>
    <x v="0"/>
    <x v="0"/>
    <x v="0"/>
    <x v="0"/>
    <x v="0"/>
    <s v="DK1_Large"/>
    <x v="1"/>
    <x v="1"/>
    <x v="1"/>
    <s v="GNR_ENG_BGAS_BP_E-43"/>
    <x v="2"/>
    <n v="90.535044293896703"/>
  </r>
  <r>
    <x v="0"/>
    <x v="0"/>
    <x v="0"/>
    <x v="0"/>
    <x v="0"/>
    <s v="DK1_Large"/>
    <x v="2"/>
    <x v="1"/>
    <x v="1"/>
    <s v="GNR_ST_MSW_BP_E-24_LS-220-MW-FEED_Y-2030"/>
    <x v="2"/>
    <n v="48.014278511882203"/>
  </r>
  <r>
    <x v="0"/>
    <x v="0"/>
    <x v="0"/>
    <x v="0"/>
    <x v="0"/>
    <s v="DK1_Large"/>
    <x v="2"/>
    <x v="1"/>
    <x v="1"/>
    <s v="GNR_ST_MSW_BP_E-27"/>
    <x v="2"/>
    <n v="48.014278511882203"/>
  </r>
  <r>
    <x v="0"/>
    <x v="0"/>
    <x v="0"/>
    <x v="0"/>
    <x v="0"/>
    <s v="DK1_Large"/>
    <x v="3"/>
    <x v="1"/>
    <x v="1"/>
    <s v="GNR_ENG_NGAS_BP_E-39"/>
    <x v="2"/>
    <n v="90.535044293896703"/>
  </r>
  <r>
    <x v="0"/>
    <x v="0"/>
    <x v="0"/>
    <x v="0"/>
    <x v="0"/>
    <s v="DK1_Large"/>
    <x v="3"/>
    <x v="1"/>
    <x v="1"/>
    <s v="GNR_ENG_NGAS_BP_E-42"/>
    <x v="2"/>
    <n v="83.363950444171905"/>
  </r>
  <r>
    <x v="0"/>
    <x v="0"/>
    <x v="0"/>
    <x v="0"/>
    <x v="0"/>
    <s v="DK1_Large"/>
    <x v="3"/>
    <x v="1"/>
    <x v="1"/>
    <s v="GNR_ENG_NGAS_BP_E-43"/>
    <x v="2"/>
    <n v="80.328109413572506"/>
  </r>
  <r>
    <x v="0"/>
    <x v="0"/>
    <x v="0"/>
    <x v="0"/>
    <x v="0"/>
    <s v="DK1_Large"/>
    <x v="3"/>
    <x v="1"/>
    <x v="1"/>
    <s v="GNR_ENG_NGAS_BP_E-46"/>
    <x v="2"/>
    <n v="75.920676031530803"/>
  </r>
  <r>
    <x v="0"/>
    <x v="0"/>
    <x v="0"/>
    <x v="0"/>
    <x v="0"/>
    <s v="DK1_Large"/>
    <x v="3"/>
    <x v="1"/>
    <x v="1"/>
    <s v="GNR_GT_NGAS_BP_E-43_LS-40-MW_Y-2030"/>
    <x v="2"/>
    <n v="80.328109413572506"/>
  </r>
  <r>
    <x v="0"/>
    <x v="0"/>
    <x v="0"/>
    <x v="0"/>
    <x v="0"/>
    <s v="DK1_Large"/>
    <x v="4"/>
    <x v="1"/>
    <x v="1"/>
    <s v="GNR_ST_STRW_BP_E-26"/>
    <x v="2"/>
    <n v="68.148949807570403"/>
  </r>
  <r>
    <x v="0"/>
    <x v="0"/>
    <x v="0"/>
    <x v="0"/>
    <x v="0"/>
    <s v="DK1_Large"/>
    <x v="5"/>
    <x v="1"/>
    <x v="1"/>
    <s v="GNR_ST_WOODCHI_BP_E-23"/>
    <x v="2"/>
    <n v="82.488990395073898"/>
  </r>
  <r>
    <x v="0"/>
    <x v="0"/>
    <x v="0"/>
    <x v="0"/>
    <x v="0"/>
    <s v="DK1_Large_PHH"/>
    <x v="6"/>
    <x v="2"/>
    <x v="2"/>
    <s v="GNR_BO_ELEC_E-99_LS-10-MW-FEED_PHH_Y-2030"/>
    <x v="2"/>
    <n v="6.6173491227085597"/>
  </r>
  <r>
    <x v="0"/>
    <x v="0"/>
    <x v="0"/>
    <x v="0"/>
    <x v="0"/>
    <s v="DK1_MedSmall"/>
    <x v="6"/>
    <x v="2"/>
    <x v="2"/>
    <s v="GNR_HP_ELEC_GROUND-WTR_COP-380_LS-4-MW_Y-2030"/>
    <x v="2"/>
    <n v="37.313170439115403"/>
  </r>
  <r>
    <x v="0"/>
    <x v="0"/>
    <x v="0"/>
    <x v="0"/>
    <x v="0"/>
    <s v="DK1_MedSmall"/>
    <x v="3"/>
    <x v="1"/>
    <x v="1"/>
    <s v="GNR_ENG_NGAS_BP_E-41"/>
    <x v="2"/>
    <n v="73.631408948563703"/>
  </r>
  <r>
    <x v="0"/>
    <x v="0"/>
    <x v="0"/>
    <x v="0"/>
    <x v="0"/>
    <s v="DK1_Medium"/>
    <x v="1"/>
    <x v="1"/>
    <x v="1"/>
    <s v="GNR_ENG_BGAS_BP_E-39"/>
    <x v="2"/>
    <n v="107.718113198059"/>
  </r>
  <r>
    <x v="0"/>
    <x v="0"/>
    <x v="0"/>
    <x v="0"/>
    <x v="0"/>
    <s v="DK1_Medium"/>
    <x v="1"/>
    <x v="1"/>
    <x v="1"/>
    <s v="GNR_ENG_BGAS_BP_E-41"/>
    <x v="2"/>
    <n v="107.718113198059"/>
  </r>
  <r>
    <x v="0"/>
    <x v="0"/>
    <x v="0"/>
    <x v="0"/>
    <x v="0"/>
    <s v="DK1_Medium"/>
    <x v="1"/>
    <x v="1"/>
    <x v="1"/>
    <s v="GNR_ENG_BGAS_BP_E-42"/>
    <x v="2"/>
    <n v="107.718113198059"/>
  </r>
  <r>
    <x v="0"/>
    <x v="0"/>
    <x v="0"/>
    <x v="0"/>
    <x v="0"/>
    <s v="DK1_Medium"/>
    <x v="3"/>
    <x v="1"/>
    <x v="1"/>
    <s v="GNR_ENG_NGAS_BP_E-41"/>
    <x v="2"/>
    <n v="90.535044293896703"/>
  </r>
  <r>
    <x v="0"/>
    <x v="0"/>
    <x v="0"/>
    <x v="0"/>
    <x v="0"/>
    <s v="DK1_Medium"/>
    <x v="3"/>
    <x v="1"/>
    <x v="1"/>
    <s v="GNR_ENG_NGAS_BP_E-42"/>
    <x v="2"/>
    <n v="83.363950444172005"/>
  </r>
  <r>
    <x v="0"/>
    <x v="0"/>
    <x v="0"/>
    <x v="0"/>
    <x v="0"/>
    <s v="DK1_Medium"/>
    <x v="3"/>
    <x v="1"/>
    <x v="1"/>
    <s v="GNR_ENG_NGAS_BP_E-43"/>
    <x v="2"/>
    <n v="80.328109413572506"/>
  </r>
  <r>
    <x v="0"/>
    <x v="0"/>
    <x v="0"/>
    <x v="0"/>
    <x v="0"/>
    <s v="DK1_Medium"/>
    <x v="3"/>
    <x v="1"/>
    <x v="1"/>
    <s v="GNR_ENG_NGAS_BP_E-44"/>
    <x v="2"/>
    <n v="78.179517467146894"/>
  </r>
  <r>
    <x v="0"/>
    <x v="0"/>
    <x v="0"/>
    <x v="0"/>
    <x v="0"/>
    <s v="DK1_Medium"/>
    <x v="3"/>
    <x v="1"/>
    <x v="1"/>
    <s v="GNR_ENG_NGAS_BP_E-48_Y-2030"/>
    <x v="2"/>
    <n v="67.450916029899304"/>
  </r>
  <r>
    <x v="0"/>
    <x v="0"/>
    <x v="0"/>
    <x v="0"/>
    <x v="0"/>
    <s v="DK1_NoDH"/>
    <x v="6"/>
    <x v="3"/>
    <x v="3"/>
    <s v="GNR_ES_ELEC_BAT-LITHIO_E-97_Y-30-50"/>
    <x v="2"/>
    <n v="68.927318022791198"/>
  </r>
  <r>
    <x v="0"/>
    <x v="0"/>
    <x v="0"/>
    <x v="0"/>
    <x v="0"/>
    <s v="DK1_NoDH"/>
    <x v="3"/>
    <x v="4"/>
    <x v="4"/>
    <s v="GNR_ENG_NGAS_CND_E-41"/>
    <x v="2"/>
    <n v="107.718113198059"/>
  </r>
  <r>
    <x v="0"/>
    <x v="0"/>
    <x v="0"/>
    <x v="0"/>
    <x v="0"/>
    <s v="DK1_NoDH"/>
    <x v="3"/>
    <x v="4"/>
    <x v="4"/>
    <s v="GNR_ENG_NGAS_CND_E-46"/>
    <x v="2"/>
    <n v="90.535044293896703"/>
  </r>
  <r>
    <x v="0"/>
    <x v="0"/>
    <x v="0"/>
    <x v="0"/>
    <x v="0"/>
    <s v="DK1_NoDH"/>
    <x v="7"/>
    <x v="5"/>
    <x v="5"/>
    <s v="GNR_PV_SUN"/>
    <x v="2"/>
    <n v="41.019203782194502"/>
  </r>
  <r>
    <x v="0"/>
    <x v="0"/>
    <x v="0"/>
    <x v="0"/>
    <x v="0"/>
    <s v="DK1_NoDH"/>
    <x v="7"/>
    <x v="5"/>
    <x v="5"/>
    <s v="GNR_PV_SUN_LS-4-MW_Y-2030"/>
    <x v="2"/>
    <n v="41.019203782194502"/>
  </r>
  <r>
    <x v="0"/>
    <x v="0"/>
    <x v="0"/>
    <x v="0"/>
    <x v="0"/>
    <s v="DK1_NoDH"/>
    <x v="8"/>
    <x v="6"/>
    <x v="6"/>
    <s v="GNR_ROR_WTR"/>
    <x v="2"/>
    <n v="47.864275659275599"/>
  </r>
  <r>
    <x v="0"/>
    <x v="0"/>
    <x v="0"/>
    <x v="0"/>
    <x v="0"/>
    <s v="DK1_NoDH"/>
    <x v="9"/>
    <x v="5"/>
    <x v="7"/>
    <s v="GNR_WT_WIND_ONS"/>
    <x v="2"/>
    <n v="30.832345454227902"/>
  </r>
  <r>
    <x v="0"/>
    <x v="0"/>
    <x v="0"/>
    <x v="0"/>
    <x v="0"/>
    <s v="DK1_NoDH"/>
    <x v="9"/>
    <x v="5"/>
    <x v="7"/>
    <s v="GNR_WT_WIND_ON_LS_Y-2030"/>
    <x v="2"/>
    <n v="30.832345454227902"/>
  </r>
  <r>
    <x v="0"/>
    <x v="0"/>
    <x v="0"/>
    <x v="0"/>
    <x v="0"/>
    <s v="DK1_NoDH"/>
    <x v="5"/>
    <x v="1"/>
    <x v="8"/>
    <s v="GNR_ST_WOODCHI_EXT_E-30"/>
    <x v="2"/>
    <n v="107.718113198059"/>
  </r>
  <r>
    <x v="0"/>
    <x v="0"/>
    <x v="0"/>
    <x v="0"/>
    <x v="0"/>
    <s v="DK1_NoDH_PHH"/>
    <x v="6"/>
    <x v="2"/>
    <x v="2"/>
    <s v="GNR_BO_ELEC_E-99_LS-10-MW-FEED_PHH_Y-2030"/>
    <x v="2"/>
    <n v="5.9832110476268001"/>
  </r>
  <r>
    <x v="0"/>
    <x v="0"/>
    <x v="0"/>
    <x v="0"/>
    <x v="0"/>
    <s v="DK1_Offshore"/>
    <x v="9"/>
    <x v="5"/>
    <x v="7"/>
    <s v="GNR_WT_WIND_OFF"/>
    <x v="2"/>
    <n v="34.002747012296801"/>
  </r>
  <r>
    <x v="0"/>
    <x v="0"/>
    <x v="0"/>
    <x v="0"/>
    <x v="0"/>
    <s v="DK1_Rural"/>
    <x v="1"/>
    <x v="1"/>
    <x v="1"/>
    <s v="GNR_ENG_BGAS_BP_E-30"/>
    <x v="2"/>
    <n v="107.718113198059"/>
  </r>
  <r>
    <x v="0"/>
    <x v="0"/>
    <x v="0"/>
    <x v="0"/>
    <x v="0"/>
    <s v="DK1_Rural"/>
    <x v="1"/>
    <x v="1"/>
    <x v="1"/>
    <s v="GNR_ENG_BGAS_BP_E-37"/>
    <x v="2"/>
    <n v="107.718113198059"/>
  </r>
  <r>
    <x v="0"/>
    <x v="0"/>
    <x v="0"/>
    <x v="0"/>
    <x v="0"/>
    <s v="DK1_Rural"/>
    <x v="1"/>
    <x v="1"/>
    <x v="1"/>
    <s v="GNR_ENG_BGAS_BP_E-38"/>
    <x v="2"/>
    <n v="107.718113198059"/>
  </r>
  <r>
    <x v="0"/>
    <x v="0"/>
    <x v="0"/>
    <x v="0"/>
    <x v="0"/>
    <s v="DK1_Rural"/>
    <x v="1"/>
    <x v="1"/>
    <x v="1"/>
    <s v="GNR_ENG_BGAS_BP_E-39"/>
    <x v="2"/>
    <n v="90.535044293896703"/>
  </r>
  <r>
    <x v="0"/>
    <x v="0"/>
    <x v="0"/>
    <x v="0"/>
    <x v="0"/>
    <s v="DK1_Rural"/>
    <x v="1"/>
    <x v="1"/>
    <x v="1"/>
    <s v="GNR_ENG_BGAS_BP_E-40"/>
    <x v="2"/>
    <n v="90.535044293896703"/>
  </r>
  <r>
    <x v="0"/>
    <x v="0"/>
    <x v="0"/>
    <x v="0"/>
    <x v="0"/>
    <s v="DK1_Rural"/>
    <x v="1"/>
    <x v="1"/>
    <x v="1"/>
    <s v="GNR_ENG_BGAS_BP_E-41"/>
    <x v="2"/>
    <n v="90.535044293896703"/>
  </r>
  <r>
    <x v="0"/>
    <x v="0"/>
    <x v="0"/>
    <x v="0"/>
    <x v="0"/>
    <s v="DK1_Rural"/>
    <x v="1"/>
    <x v="1"/>
    <x v="1"/>
    <s v="GNR_ENG_BGAS_BP_E-42"/>
    <x v="2"/>
    <n v="90.535044293896703"/>
  </r>
  <r>
    <x v="0"/>
    <x v="0"/>
    <x v="0"/>
    <x v="0"/>
    <x v="0"/>
    <s v="DK1_Rural"/>
    <x v="1"/>
    <x v="1"/>
    <x v="1"/>
    <s v="GNR_ENG_BGAS_BP_E-43"/>
    <x v="2"/>
    <n v="90.535044293896703"/>
  </r>
  <r>
    <x v="0"/>
    <x v="0"/>
    <x v="0"/>
    <x v="0"/>
    <x v="0"/>
    <s v="DK1_Rural"/>
    <x v="6"/>
    <x v="2"/>
    <x v="2"/>
    <s v="GNR_HP_ELEC_COP-300"/>
    <x v="2"/>
    <n v="23.090877615362199"/>
  </r>
  <r>
    <x v="0"/>
    <x v="0"/>
    <x v="0"/>
    <x v="0"/>
    <x v="0"/>
    <s v="DK1_Rural"/>
    <x v="6"/>
    <x v="2"/>
    <x v="2"/>
    <s v="GNR_HP_ELEC_COP-350"/>
    <x v="2"/>
    <n v="35.233445662693804"/>
  </r>
  <r>
    <x v="0"/>
    <x v="0"/>
    <x v="0"/>
    <x v="0"/>
    <x v="0"/>
    <s v="DK1_Rural"/>
    <x v="6"/>
    <x v="2"/>
    <x v="2"/>
    <s v="GNR_HP_ELEC_COP-400"/>
    <x v="2"/>
    <n v="36.924590563943703"/>
  </r>
  <r>
    <x v="0"/>
    <x v="0"/>
    <x v="0"/>
    <x v="0"/>
    <x v="0"/>
    <s v="DK1_Rural"/>
    <x v="6"/>
    <x v="2"/>
    <x v="2"/>
    <s v="GNR_HP_ELEC_COP-430"/>
    <x v="2"/>
    <n v="37.750645392085602"/>
  </r>
  <r>
    <x v="0"/>
    <x v="0"/>
    <x v="0"/>
    <x v="0"/>
    <x v="0"/>
    <s v="DK1_Rural"/>
    <x v="6"/>
    <x v="2"/>
    <x v="2"/>
    <s v="GNR_HP_ELEC_COP-450"/>
    <x v="2"/>
    <n v="37.750645392085602"/>
  </r>
  <r>
    <x v="0"/>
    <x v="0"/>
    <x v="0"/>
    <x v="0"/>
    <x v="0"/>
    <s v="DK1_Rural"/>
    <x v="6"/>
    <x v="2"/>
    <x v="2"/>
    <s v="GNR_HP_ELEC_COP-460"/>
    <x v="2"/>
    <n v="37.750645392085602"/>
  </r>
  <r>
    <x v="0"/>
    <x v="0"/>
    <x v="0"/>
    <x v="0"/>
    <x v="0"/>
    <s v="DK1_Rural"/>
    <x v="6"/>
    <x v="2"/>
    <x v="2"/>
    <s v="GNR_HP_ELEC_COP-470"/>
    <x v="2"/>
    <n v="37.750645392085602"/>
  </r>
  <r>
    <x v="0"/>
    <x v="0"/>
    <x v="0"/>
    <x v="0"/>
    <x v="0"/>
    <s v="DK1_Rural"/>
    <x v="6"/>
    <x v="2"/>
    <x v="2"/>
    <s v="GNR_HP_ELEC_COP-500"/>
    <x v="2"/>
    <n v="46.308454663705703"/>
  </r>
  <r>
    <x v="0"/>
    <x v="0"/>
    <x v="0"/>
    <x v="0"/>
    <x v="0"/>
    <s v="DK1_Rural"/>
    <x v="6"/>
    <x v="2"/>
    <x v="2"/>
    <s v="GNR_HP_ELEC_COP-530"/>
    <x v="2"/>
    <n v="48.014278511882203"/>
  </r>
  <r>
    <x v="0"/>
    <x v="0"/>
    <x v="0"/>
    <x v="0"/>
    <x v="0"/>
    <s v="DK1_Rural"/>
    <x v="6"/>
    <x v="2"/>
    <x v="2"/>
    <s v="GNR_HP_ELEC_COP-600"/>
    <x v="2"/>
    <n v="48.014278511882203"/>
  </r>
  <r>
    <x v="0"/>
    <x v="0"/>
    <x v="0"/>
    <x v="0"/>
    <x v="0"/>
    <s v="DK1_Rural"/>
    <x v="6"/>
    <x v="2"/>
    <x v="2"/>
    <s v="GNR_HP_ELEC_GROUND-WTR_COP-380_LS-4-MW_Y-2030"/>
    <x v="2"/>
    <n v="36.924590563943603"/>
  </r>
  <r>
    <x v="0"/>
    <x v="0"/>
    <x v="0"/>
    <x v="0"/>
    <x v="0"/>
    <s v="DK1_Rural"/>
    <x v="3"/>
    <x v="1"/>
    <x v="1"/>
    <s v="GNR_ENG_NGAS_BP_E-37"/>
    <x v="2"/>
    <n v="86.828186329667105"/>
  </r>
  <r>
    <x v="0"/>
    <x v="0"/>
    <x v="0"/>
    <x v="0"/>
    <x v="0"/>
    <s v="DK1_Rural"/>
    <x v="3"/>
    <x v="1"/>
    <x v="1"/>
    <s v="GNR_ENG_NGAS_BP_E-38"/>
    <x v="2"/>
    <n v="83.363950444172005"/>
  </r>
  <r>
    <x v="0"/>
    <x v="0"/>
    <x v="0"/>
    <x v="0"/>
    <x v="0"/>
    <s v="DK1_Rural"/>
    <x v="3"/>
    <x v="1"/>
    <x v="1"/>
    <s v="GNR_ENG_NGAS_BP_E-39"/>
    <x v="2"/>
    <n v="78.179517467146894"/>
  </r>
  <r>
    <x v="0"/>
    <x v="0"/>
    <x v="0"/>
    <x v="0"/>
    <x v="0"/>
    <s v="DK1_Rural"/>
    <x v="3"/>
    <x v="1"/>
    <x v="1"/>
    <s v="GNR_ENG_NGAS_BP_E-40"/>
    <x v="2"/>
    <n v="75.920676031530803"/>
  </r>
  <r>
    <x v="0"/>
    <x v="0"/>
    <x v="0"/>
    <x v="0"/>
    <x v="0"/>
    <s v="DK1_Rural"/>
    <x v="3"/>
    <x v="1"/>
    <x v="1"/>
    <s v="GNR_ENG_NGAS_BP_E-41"/>
    <x v="2"/>
    <n v="73.719320045539703"/>
  </r>
  <r>
    <x v="0"/>
    <x v="0"/>
    <x v="0"/>
    <x v="0"/>
    <x v="0"/>
    <s v="DK1_Rural"/>
    <x v="3"/>
    <x v="1"/>
    <x v="1"/>
    <s v="GNR_ENG_NGAS_BP_E-42"/>
    <x v="2"/>
    <n v="68.682286827797896"/>
  </r>
  <r>
    <x v="0"/>
    <x v="0"/>
    <x v="0"/>
    <x v="0"/>
    <x v="0"/>
    <s v="DK1_Rural"/>
    <x v="3"/>
    <x v="1"/>
    <x v="1"/>
    <s v="GNR_ENG_NGAS_BP_E-43"/>
    <x v="2"/>
    <n v="63.9162107045154"/>
  </r>
  <r>
    <x v="0"/>
    <x v="0"/>
    <x v="0"/>
    <x v="0"/>
    <x v="0"/>
    <s v="DK1_Rural"/>
    <x v="3"/>
    <x v="1"/>
    <x v="1"/>
    <s v="GNR_ENG_NGAS_BP_E-44"/>
    <x v="2"/>
    <n v="62.474329895501199"/>
  </r>
  <r>
    <x v="0"/>
    <x v="0"/>
    <x v="0"/>
    <x v="0"/>
    <x v="0"/>
    <s v="DK1_Rural"/>
    <x v="3"/>
    <x v="1"/>
    <x v="1"/>
    <s v="GNR_ENG_NGAS_BP_E-45"/>
    <x v="2"/>
    <n v="61.844627928308903"/>
  </r>
  <r>
    <x v="0"/>
    <x v="0"/>
    <x v="0"/>
    <x v="0"/>
    <x v="0"/>
    <s v="DK1_Rural"/>
    <x v="3"/>
    <x v="1"/>
    <x v="1"/>
    <s v="GNR_ENG_NGAS_BP_E-46"/>
    <x v="2"/>
    <n v="61.844627928308803"/>
  </r>
  <r>
    <x v="0"/>
    <x v="0"/>
    <x v="0"/>
    <x v="0"/>
    <x v="0"/>
    <s v="DK1_Rural"/>
    <x v="5"/>
    <x v="1"/>
    <x v="1"/>
    <s v="GNR_ST_WOODCHI_BP_E-17"/>
    <x v="2"/>
    <n v="92.682927906917001"/>
  </r>
  <r>
    <x v="0"/>
    <x v="0"/>
    <x v="0"/>
    <x v="0"/>
    <x v="0"/>
    <s v="DK1_Small"/>
    <x v="3"/>
    <x v="1"/>
    <x v="1"/>
    <s v="GNR_ENG_NGAS_BP_E-38"/>
    <x v="2"/>
    <n v="83.363950444171905"/>
  </r>
  <r>
    <x v="0"/>
    <x v="0"/>
    <x v="0"/>
    <x v="0"/>
    <x v="1"/>
    <s v="DK2_Large"/>
    <x v="1"/>
    <x v="1"/>
    <x v="1"/>
    <s v="GNR_ENG_BGAS_BP_E-42"/>
    <x v="2"/>
    <n v="112.440728232212"/>
  </r>
  <r>
    <x v="0"/>
    <x v="0"/>
    <x v="0"/>
    <x v="0"/>
    <x v="1"/>
    <s v="DK2_Large"/>
    <x v="10"/>
    <x v="1"/>
    <x v="8"/>
    <s v="GNR_ST_COAL_EXT_E-42"/>
    <x v="2"/>
    <n v="59.601606648511797"/>
  </r>
  <r>
    <x v="0"/>
    <x v="0"/>
    <x v="0"/>
    <x v="0"/>
    <x v="1"/>
    <s v="DK2_Large"/>
    <x v="6"/>
    <x v="2"/>
    <x v="2"/>
    <s v="GNR_HP_ELEC_COP-300"/>
    <x v="2"/>
    <n v="11.877699527918899"/>
  </r>
  <r>
    <x v="0"/>
    <x v="0"/>
    <x v="0"/>
    <x v="0"/>
    <x v="1"/>
    <s v="DK2_Large"/>
    <x v="2"/>
    <x v="1"/>
    <x v="1"/>
    <s v="GNR_ST_MSW_BP_E-24_LS-220-MW-FEED_Y-2030"/>
    <x v="2"/>
    <n v="49.334780497325198"/>
  </r>
  <r>
    <x v="0"/>
    <x v="0"/>
    <x v="0"/>
    <x v="0"/>
    <x v="1"/>
    <s v="DK2_Large"/>
    <x v="2"/>
    <x v="1"/>
    <x v="1"/>
    <s v="GNR_ST_MSW_BP_E-27"/>
    <x v="2"/>
    <n v="49.334780497325198"/>
  </r>
  <r>
    <x v="0"/>
    <x v="0"/>
    <x v="0"/>
    <x v="0"/>
    <x v="1"/>
    <s v="DK2_Large"/>
    <x v="3"/>
    <x v="1"/>
    <x v="1"/>
    <s v="GNR_GT_NGAS_BP_E-43_LS-40-MW_Y-2030"/>
    <x v="2"/>
    <n v="86.691509937752997"/>
  </r>
  <r>
    <x v="0"/>
    <x v="0"/>
    <x v="0"/>
    <x v="0"/>
    <x v="1"/>
    <s v="DK2_Large"/>
    <x v="4"/>
    <x v="1"/>
    <x v="8"/>
    <s v="GNR_ST_COAL_EXT_E-42-Straw"/>
    <x v="2"/>
    <n v="65.0346991478186"/>
  </r>
  <r>
    <x v="0"/>
    <x v="0"/>
    <x v="0"/>
    <x v="0"/>
    <x v="1"/>
    <s v="DK2_Large_PHH"/>
    <x v="6"/>
    <x v="2"/>
    <x v="2"/>
    <s v="GNR_BO_ELEC_E-99_LS-10-MW-FEED_PHH_Y-2030"/>
    <x v="2"/>
    <n v="7.7107723675711801"/>
  </r>
  <r>
    <x v="0"/>
    <x v="0"/>
    <x v="0"/>
    <x v="0"/>
    <x v="1"/>
    <s v="DK2_MedSmall"/>
    <x v="1"/>
    <x v="1"/>
    <x v="1"/>
    <s v="GNR_ENG_BGAS_BP_E-38"/>
    <x v="2"/>
    <n v="112.440728232212"/>
  </r>
  <r>
    <x v="0"/>
    <x v="0"/>
    <x v="0"/>
    <x v="0"/>
    <x v="1"/>
    <s v="DK2_MedSmall"/>
    <x v="3"/>
    <x v="1"/>
    <x v="1"/>
    <s v="GNR_ENG_NGAS_BP_E-48_Y-2030"/>
    <x v="2"/>
    <n v="69.700183179021593"/>
  </r>
  <r>
    <x v="0"/>
    <x v="0"/>
    <x v="0"/>
    <x v="0"/>
    <x v="1"/>
    <s v="DK2_Medium"/>
    <x v="2"/>
    <x v="1"/>
    <x v="1"/>
    <s v="GNR_ST_MSW_BP_E-23"/>
    <x v="2"/>
    <n v="49.334780497325298"/>
  </r>
  <r>
    <x v="0"/>
    <x v="0"/>
    <x v="0"/>
    <x v="0"/>
    <x v="1"/>
    <s v="DK2_Medium"/>
    <x v="3"/>
    <x v="1"/>
    <x v="1"/>
    <s v="GNR_ENG_NGAS_BP_E-35"/>
    <x v="2"/>
    <n v="95.640763413985894"/>
  </r>
  <r>
    <x v="0"/>
    <x v="0"/>
    <x v="0"/>
    <x v="0"/>
    <x v="1"/>
    <s v="DK2_Medium"/>
    <x v="3"/>
    <x v="1"/>
    <x v="1"/>
    <s v="GNR_ENG_NGAS_BP_E-42"/>
    <x v="2"/>
    <n v="92.604430494489705"/>
  </r>
  <r>
    <x v="0"/>
    <x v="0"/>
    <x v="0"/>
    <x v="0"/>
    <x v="1"/>
    <s v="DK2_Medium"/>
    <x v="3"/>
    <x v="1"/>
    <x v="1"/>
    <s v="GNR_ENG_NGAS_BP_E-48_Y-2030"/>
    <x v="2"/>
    <n v="69.731641177664798"/>
  </r>
  <r>
    <x v="0"/>
    <x v="0"/>
    <x v="0"/>
    <x v="0"/>
    <x v="1"/>
    <s v="DK2_Medium"/>
    <x v="5"/>
    <x v="1"/>
    <x v="1"/>
    <s v="GNR_ST_WOODCHI_BP_E-27"/>
    <x v="2"/>
    <n v="60.036803631441401"/>
  </r>
  <r>
    <x v="0"/>
    <x v="0"/>
    <x v="0"/>
    <x v="0"/>
    <x v="1"/>
    <s v="DK2_NoDH"/>
    <x v="6"/>
    <x v="3"/>
    <x v="3"/>
    <s v="GNR_ES_ELEC_BAT-LITHIO_E-97_Y-30-50"/>
    <x v="2"/>
    <n v="69.544655330436001"/>
  </r>
  <r>
    <x v="0"/>
    <x v="0"/>
    <x v="0"/>
    <x v="0"/>
    <x v="1"/>
    <s v="DK2_NoDH"/>
    <x v="7"/>
    <x v="5"/>
    <x v="5"/>
    <s v="GNR_PV_SUN"/>
    <x v="2"/>
    <n v="41.065822056114001"/>
  </r>
  <r>
    <x v="0"/>
    <x v="0"/>
    <x v="0"/>
    <x v="0"/>
    <x v="1"/>
    <s v="DK2_NoDH"/>
    <x v="7"/>
    <x v="5"/>
    <x v="5"/>
    <s v="GNR_PV_SUN_LS-4-MW_Y-2030"/>
    <x v="2"/>
    <n v="41.065822056114001"/>
  </r>
  <r>
    <x v="0"/>
    <x v="0"/>
    <x v="0"/>
    <x v="0"/>
    <x v="1"/>
    <s v="DK2_NoDH"/>
    <x v="8"/>
    <x v="6"/>
    <x v="6"/>
    <s v="GNR_ROR_WTR"/>
    <x v="2"/>
    <n v="49.164973706677301"/>
  </r>
  <r>
    <x v="0"/>
    <x v="0"/>
    <x v="0"/>
    <x v="0"/>
    <x v="1"/>
    <s v="DK2_NoDH"/>
    <x v="9"/>
    <x v="5"/>
    <x v="7"/>
    <s v="GNR_WT_WIND_ONS"/>
    <x v="2"/>
    <n v="31.454906259535299"/>
  </r>
  <r>
    <x v="0"/>
    <x v="0"/>
    <x v="0"/>
    <x v="0"/>
    <x v="1"/>
    <s v="DK2_NoDH_PHH"/>
    <x v="6"/>
    <x v="2"/>
    <x v="2"/>
    <s v="GNR_BO_ELEC_E-99_LS-10-MW-FEED_PHH_Y-2030"/>
    <x v="2"/>
    <n v="4.46581381628949"/>
  </r>
  <r>
    <x v="0"/>
    <x v="0"/>
    <x v="0"/>
    <x v="0"/>
    <x v="1"/>
    <s v="DK2_Offshore"/>
    <x v="9"/>
    <x v="5"/>
    <x v="7"/>
    <s v="GNR_WT_WIND_OFF"/>
    <x v="2"/>
    <n v="31.515780230764499"/>
  </r>
  <r>
    <x v="0"/>
    <x v="0"/>
    <x v="0"/>
    <x v="0"/>
    <x v="1"/>
    <s v="DK2_Rural"/>
    <x v="1"/>
    <x v="1"/>
    <x v="1"/>
    <s v="GNR_ENG_BGAS_BP_E-40"/>
    <x v="2"/>
    <n v="92.604430494489705"/>
  </r>
  <r>
    <x v="0"/>
    <x v="0"/>
    <x v="0"/>
    <x v="0"/>
    <x v="1"/>
    <s v="DK2_Rural"/>
    <x v="1"/>
    <x v="1"/>
    <x v="1"/>
    <s v="GNR_ENG_BGAS_BP_E-41"/>
    <x v="2"/>
    <n v="92.604430494489705"/>
  </r>
  <r>
    <x v="0"/>
    <x v="0"/>
    <x v="0"/>
    <x v="0"/>
    <x v="1"/>
    <s v="DK2_Rural"/>
    <x v="1"/>
    <x v="1"/>
    <x v="1"/>
    <s v="GNR_ENG_BGAS_BP_E-42"/>
    <x v="2"/>
    <n v="92.604430494489606"/>
  </r>
  <r>
    <x v="0"/>
    <x v="0"/>
    <x v="0"/>
    <x v="0"/>
    <x v="1"/>
    <s v="DK2_Rural"/>
    <x v="10"/>
    <x v="1"/>
    <x v="1"/>
    <s v="GNR_ST_COAL_BP_E-35"/>
    <x v="2"/>
    <n v="59.194671905587001"/>
  </r>
  <r>
    <x v="0"/>
    <x v="0"/>
    <x v="0"/>
    <x v="0"/>
    <x v="1"/>
    <s v="DK2_Rural"/>
    <x v="6"/>
    <x v="2"/>
    <x v="2"/>
    <s v="GNR_HP_ELEC_COP-400"/>
    <x v="2"/>
    <n v="38.8903822221477"/>
  </r>
  <r>
    <x v="0"/>
    <x v="0"/>
    <x v="0"/>
    <x v="0"/>
    <x v="1"/>
    <s v="DK2_Rural"/>
    <x v="3"/>
    <x v="1"/>
    <x v="1"/>
    <s v="GNR_CC_NGAS_BP_E-53_SS-10-MW_Y-2030"/>
    <x v="2"/>
    <n v="62.029816848023003"/>
  </r>
  <r>
    <x v="0"/>
    <x v="0"/>
    <x v="0"/>
    <x v="0"/>
    <x v="1"/>
    <s v="DK2_Rural"/>
    <x v="3"/>
    <x v="1"/>
    <x v="1"/>
    <s v="GNR_ENG_NGAS_BP_E-36"/>
    <x v="2"/>
    <n v="92.604430494489705"/>
  </r>
  <r>
    <x v="0"/>
    <x v="0"/>
    <x v="0"/>
    <x v="0"/>
    <x v="1"/>
    <s v="DK2_Rural"/>
    <x v="3"/>
    <x v="1"/>
    <x v="1"/>
    <s v="GNR_ENG_NGAS_BP_E-38"/>
    <x v="2"/>
    <n v="85.176608188196397"/>
  </r>
  <r>
    <x v="0"/>
    <x v="0"/>
    <x v="0"/>
    <x v="0"/>
    <x v="1"/>
    <s v="DK2_Rural"/>
    <x v="3"/>
    <x v="1"/>
    <x v="1"/>
    <s v="GNR_ENG_NGAS_BP_E-40"/>
    <x v="2"/>
    <n v="76.999499099925501"/>
  </r>
  <r>
    <x v="0"/>
    <x v="0"/>
    <x v="0"/>
    <x v="0"/>
    <x v="1"/>
    <s v="DK2_Rural"/>
    <x v="3"/>
    <x v="1"/>
    <x v="1"/>
    <s v="GNR_ENG_NGAS_BP_E-45"/>
    <x v="2"/>
    <n v="63.7407755556506"/>
  </r>
  <r>
    <x v="0"/>
    <x v="0"/>
    <x v="0"/>
    <x v="0"/>
    <x v="1"/>
    <s v="DK2_Small"/>
    <x v="3"/>
    <x v="1"/>
    <x v="1"/>
    <s v="GNR_CC_NGAS_BP_E-53_SS-10-MW_Y-2030"/>
    <x v="2"/>
    <n v="61.522992278346997"/>
  </r>
  <r>
    <x v="0"/>
    <x v="0"/>
    <x v="0"/>
    <x v="0"/>
    <x v="0"/>
    <s v="DK1_Large"/>
    <x v="1"/>
    <x v="1"/>
    <x v="1"/>
    <s v="GNR_ENG_BGAS_BP_E-36"/>
    <x v="3"/>
    <n v="6.2322622636020002E-2"/>
  </r>
  <r>
    <x v="0"/>
    <x v="0"/>
    <x v="0"/>
    <x v="0"/>
    <x v="0"/>
    <s v="DK1_Large"/>
    <x v="1"/>
    <x v="1"/>
    <x v="1"/>
    <s v="GNR_ENG_BGAS_BP_E-37"/>
    <x v="3"/>
    <n v="3.8470754713592598E-2"/>
  </r>
  <r>
    <x v="0"/>
    <x v="0"/>
    <x v="0"/>
    <x v="0"/>
    <x v="0"/>
    <s v="DK1_Large"/>
    <x v="1"/>
    <x v="1"/>
    <x v="1"/>
    <s v="GNR_ENG_BGAS_BP_E-39"/>
    <x v="3"/>
    <n v="0.25967759431675003"/>
  </r>
  <r>
    <x v="0"/>
    <x v="0"/>
    <x v="0"/>
    <x v="0"/>
    <x v="0"/>
    <s v="DK1_Large"/>
    <x v="1"/>
    <x v="1"/>
    <x v="1"/>
    <s v="GNR_ENG_BGAS_BP_E-40"/>
    <x v="3"/>
    <n v="9.5638296217991206E-2"/>
  </r>
  <r>
    <x v="0"/>
    <x v="0"/>
    <x v="0"/>
    <x v="0"/>
    <x v="0"/>
    <s v="DK1_Large"/>
    <x v="1"/>
    <x v="1"/>
    <x v="1"/>
    <s v="GNR_ENG_BGAS_BP_E-41"/>
    <x v="3"/>
    <n v="0.20597242073657501"/>
  </r>
  <r>
    <x v="0"/>
    <x v="0"/>
    <x v="0"/>
    <x v="0"/>
    <x v="0"/>
    <s v="DK1_Large"/>
    <x v="1"/>
    <x v="1"/>
    <x v="1"/>
    <s v="GNR_ENG_BGAS_BP_E-42"/>
    <x v="3"/>
    <n v="0.190430235832283"/>
  </r>
  <r>
    <x v="0"/>
    <x v="0"/>
    <x v="0"/>
    <x v="0"/>
    <x v="0"/>
    <s v="DK1_Large"/>
    <x v="1"/>
    <x v="1"/>
    <x v="1"/>
    <s v="GNR_ENG_BGAS_BP_E-43"/>
    <x v="3"/>
    <n v="0.45976713327250601"/>
  </r>
  <r>
    <x v="0"/>
    <x v="0"/>
    <x v="0"/>
    <x v="0"/>
    <x v="0"/>
    <s v="DK1_Large"/>
    <x v="2"/>
    <x v="1"/>
    <x v="1"/>
    <s v="GNR_ST_MSW_BP_E-24_LS-220-MW-FEED_Y-2030"/>
    <x v="3"/>
    <n v="88.465732859287698"/>
  </r>
  <r>
    <x v="0"/>
    <x v="0"/>
    <x v="0"/>
    <x v="0"/>
    <x v="0"/>
    <s v="DK1_Large"/>
    <x v="2"/>
    <x v="1"/>
    <x v="1"/>
    <s v="GNR_ST_MSW_BP_E-27"/>
    <x v="3"/>
    <n v="7.36676216025164"/>
  </r>
  <r>
    <x v="0"/>
    <x v="0"/>
    <x v="0"/>
    <x v="0"/>
    <x v="0"/>
    <s v="DK1_Large"/>
    <x v="3"/>
    <x v="1"/>
    <x v="1"/>
    <s v="GNR_ENG_NGAS_BP_E-39"/>
    <x v="3"/>
    <n v="0.55829943981236296"/>
  </r>
  <r>
    <x v="0"/>
    <x v="0"/>
    <x v="0"/>
    <x v="0"/>
    <x v="0"/>
    <s v="DK1_Large"/>
    <x v="3"/>
    <x v="1"/>
    <x v="1"/>
    <s v="GNR_ENG_NGAS_BP_E-42"/>
    <x v="3"/>
    <n v="0.40371970286534697"/>
  </r>
  <r>
    <x v="0"/>
    <x v="0"/>
    <x v="0"/>
    <x v="0"/>
    <x v="0"/>
    <s v="DK1_Large"/>
    <x v="3"/>
    <x v="1"/>
    <x v="1"/>
    <s v="GNR_ENG_NGAS_BP_E-43"/>
    <x v="3"/>
    <n v="0.58142250623157299"/>
  </r>
  <r>
    <x v="0"/>
    <x v="0"/>
    <x v="0"/>
    <x v="0"/>
    <x v="0"/>
    <s v="DK1_Large"/>
    <x v="3"/>
    <x v="1"/>
    <x v="1"/>
    <s v="GNR_ENG_NGAS_BP_E-46"/>
    <x v="3"/>
    <n v="0.15834883858005"/>
  </r>
  <r>
    <x v="0"/>
    <x v="0"/>
    <x v="0"/>
    <x v="0"/>
    <x v="0"/>
    <s v="DK1_Large"/>
    <x v="3"/>
    <x v="1"/>
    <x v="1"/>
    <s v="GNR_GT_NGAS_BP_E-43_LS-40-MW_Y-2030"/>
    <x v="3"/>
    <n v="16.464980174827701"/>
  </r>
  <r>
    <x v="0"/>
    <x v="0"/>
    <x v="0"/>
    <x v="0"/>
    <x v="0"/>
    <s v="DK1_Large"/>
    <x v="4"/>
    <x v="1"/>
    <x v="1"/>
    <s v="GNR_ST_STRW_BP_E-26"/>
    <x v="3"/>
    <n v="8.2721899549934808"/>
  </r>
  <r>
    <x v="0"/>
    <x v="0"/>
    <x v="0"/>
    <x v="0"/>
    <x v="0"/>
    <s v="DK1_Large"/>
    <x v="5"/>
    <x v="1"/>
    <x v="1"/>
    <s v="GNR_ST_WOODCHI_BP_E-23"/>
    <x v="3"/>
    <n v="1.3257159170636901"/>
  </r>
  <r>
    <x v="0"/>
    <x v="0"/>
    <x v="0"/>
    <x v="0"/>
    <x v="0"/>
    <s v="DK1_Large_PHH"/>
    <x v="6"/>
    <x v="2"/>
    <x v="2"/>
    <s v="GNR_BO_ELEC_E-99_LS-10-MW-FEED_PHH_Y-2030"/>
    <x v="3"/>
    <n v="-0.69961020927683804"/>
  </r>
  <r>
    <x v="0"/>
    <x v="0"/>
    <x v="0"/>
    <x v="0"/>
    <x v="0"/>
    <s v="DK1_MedSmall"/>
    <x v="6"/>
    <x v="2"/>
    <x v="2"/>
    <s v="GNR_HP_ELEC_GROUND-WTR_COP-380_LS-4-MW_Y-2030"/>
    <x v="3"/>
    <n v="-12.5532800038975"/>
  </r>
  <r>
    <x v="0"/>
    <x v="0"/>
    <x v="0"/>
    <x v="0"/>
    <x v="0"/>
    <s v="DK1_MedSmall"/>
    <x v="3"/>
    <x v="1"/>
    <x v="1"/>
    <s v="GNR_ENG_NGAS_BP_E-41"/>
    <x v="3"/>
    <n v="0.68827836079062199"/>
  </r>
  <r>
    <x v="0"/>
    <x v="0"/>
    <x v="0"/>
    <x v="0"/>
    <x v="0"/>
    <s v="DK1_Medium"/>
    <x v="1"/>
    <x v="1"/>
    <x v="1"/>
    <s v="GNR_ENG_BGAS_BP_E-39"/>
    <x v="3"/>
    <n v="4.84731509391267E-2"/>
  </r>
  <r>
    <x v="0"/>
    <x v="0"/>
    <x v="0"/>
    <x v="0"/>
    <x v="0"/>
    <s v="DK1_Medium"/>
    <x v="1"/>
    <x v="1"/>
    <x v="1"/>
    <s v="GNR_ENG_BGAS_BP_E-41"/>
    <x v="3"/>
    <n v="0.25521498676997301"/>
  </r>
  <r>
    <x v="0"/>
    <x v="0"/>
    <x v="0"/>
    <x v="0"/>
    <x v="0"/>
    <s v="DK1_Medium"/>
    <x v="1"/>
    <x v="1"/>
    <x v="1"/>
    <s v="GNR_ENG_BGAS_BP_E-42"/>
    <x v="3"/>
    <n v="2.53906981109711E-2"/>
  </r>
  <r>
    <x v="0"/>
    <x v="0"/>
    <x v="0"/>
    <x v="0"/>
    <x v="0"/>
    <s v="DK1_Medium"/>
    <x v="3"/>
    <x v="1"/>
    <x v="1"/>
    <s v="GNR_ENG_NGAS_BP_E-41"/>
    <x v="3"/>
    <n v="0.64883448410625999"/>
  </r>
  <r>
    <x v="0"/>
    <x v="0"/>
    <x v="0"/>
    <x v="0"/>
    <x v="0"/>
    <s v="DK1_Medium"/>
    <x v="3"/>
    <x v="1"/>
    <x v="1"/>
    <s v="GNR_ENG_NGAS_BP_E-42"/>
    <x v="3"/>
    <n v="1.1075496273297101"/>
  </r>
  <r>
    <x v="0"/>
    <x v="0"/>
    <x v="0"/>
    <x v="0"/>
    <x v="0"/>
    <s v="DK1_Medium"/>
    <x v="3"/>
    <x v="1"/>
    <x v="1"/>
    <s v="GNR_ENG_NGAS_BP_E-43"/>
    <x v="3"/>
    <n v="0.27158551277922099"/>
  </r>
  <r>
    <x v="0"/>
    <x v="0"/>
    <x v="0"/>
    <x v="0"/>
    <x v="0"/>
    <s v="DK1_Medium"/>
    <x v="3"/>
    <x v="1"/>
    <x v="1"/>
    <s v="GNR_ENG_NGAS_BP_E-44"/>
    <x v="3"/>
    <n v="0.95825751409731497"/>
  </r>
  <r>
    <x v="0"/>
    <x v="0"/>
    <x v="0"/>
    <x v="0"/>
    <x v="0"/>
    <s v="DK1_Medium"/>
    <x v="3"/>
    <x v="1"/>
    <x v="1"/>
    <s v="GNR_ENG_NGAS_BP_E-48_Y-2030"/>
    <x v="3"/>
    <n v="210.105694403341"/>
  </r>
  <r>
    <x v="0"/>
    <x v="0"/>
    <x v="0"/>
    <x v="0"/>
    <x v="0"/>
    <s v="DK1_NoDH"/>
    <x v="6"/>
    <x v="3"/>
    <x v="3"/>
    <s v="GNR_ES_ELEC_BAT-LITHIO_E-97_Y-30-50"/>
    <x v="3"/>
    <n v="153.02423239723501"/>
  </r>
  <r>
    <x v="0"/>
    <x v="0"/>
    <x v="0"/>
    <x v="0"/>
    <x v="0"/>
    <s v="DK1_NoDH"/>
    <x v="3"/>
    <x v="4"/>
    <x v="4"/>
    <s v="GNR_ENG_NGAS_CND_E-41"/>
    <x v="3"/>
    <n v="3.13921358462916"/>
  </r>
  <r>
    <x v="0"/>
    <x v="0"/>
    <x v="0"/>
    <x v="0"/>
    <x v="0"/>
    <s v="DK1_NoDH"/>
    <x v="3"/>
    <x v="4"/>
    <x v="4"/>
    <s v="GNR_ENG_NGAS_CND_E-46"/>
    <x v="3"/>
    <n v="9.6570713913489897E-2"/>
  </r>
  <r>
    <x v="0"/>
    <x v="0"/>
    <x v="0"/>
    <x v="0"/>
    <x v="0"/>
    <s v="DK1_NoDH"/>
    <x v="7"/>
    <x v="5"/>
    <x v="5"/>
    <s v="GNR_PV_SUN"/>
    <x v="3"/>
    <n v="22.8652823309416"/>
  </r>
  <r>
    <x v="0"/>
    <x v="0"/>
    <x v="0"/>
    <x v="0"/>
    <x v="0"/>
    <s v="DK1_NoDH"/>
    <x v="7"/>
    <x v="5"/>
    <x v="5"/>
    <s v="GNR_PV_SUN_LS-4-MW_Y-2030"/>
    <x v="3"/>
    <n v="112.793384449846"/>
  </r>
  <r>
    <x v="0"/>
    <x v="0"/>
    <x v="0"/>
    <x v="0"/>
    <x v="0"/>
    <s v="DK1_NoDH"/>
    <x v="8"/>
    <x v="6"/>
    <x v="6"/>
    <s v="GNR_ROR_WTR"/>
    <x v="3"/>
    <n v="2.2573301208008E-3"/>
  </r>
  <r>
    <x v="0"/>
    <x v="0"/>
    <x v="0"/>
    <x v="0"/>
    <x v="0"/>
    <s v="DK1_NoDH"/>
    <x v="9"/>
    <x v="5"/>
    <x v="7"/>
    <s v="GNR_WT_WIND_ONS"/>
    <x v="3"/>
    <n v="141.954999817302"/>
  </r>
  <r>
    <x v="0"/>
    <x v="0"/>
    <x v="0"/>
    <x v="0"/>
    <x v="0"/>
    <s v="DK1_NoDH"/>
    <x v="9"/>
    <x v="5"/>
    <x v="7"/>
    <s v="GNR_WT_WIND_ON_LS_Y-2030"/>
    <x v="3"/>
    <n v="47.297971218545001"/>
  </r>
  <r>
    <x v="0"/>
    <x v="0"/>
    <x v="0"/>
    <x v="0"/>
    <x v="0"/>
    <s v="DK1_NoDH"/>
    <x v="5"/>
    <x v="1"/>
    <x v="8"/>
    <s v="GNR_ST_WOODCHI_EXT_E-30"/>
    <x v="3"/>
    <n v="7.0786188673010404"/>
  </r>
  <r>
    <x v="0"/>
    <x v="0"/>
    <x v="0"/>
    <x v="0"/>
    <x v="0"/>
    <s v="DK1_NoDH_PHH"/>
    <x v="6"/>
    <x v="2"/>
    <x v="2"/>
    <s v="GNR_BO_ELEC_E-99_LS-10-MW-FEED_PHH_Y-2030"/>
    <x v="3"/>
    <n v="-1.25964996716292"/>
  </r>
  <r>
    <x v="0"/>
    <x v="0"/>
    <x v="0"/>
    <x v="0"/>
    <x v="0"/>
    <s v="DK1_Offshore"/>
    <x v="9"/>
    <x v="5"/>
    <x v="7"/>
    <s v="GNR_WT_WIND_OFF"/>
    <x v="3"/>
    <n v="190.070397294435"/>
  </r>
  <r>
    <x v="0"/>
    <x v="0"/>
    <x v="0"/>
    <x v="0"/>
    <x v="0"/>
    <s v="DK1_Rural"/>
    <x v="1"/>
    <x v="1"/>
    <x v="1"/>
    <s v="GNR_ENG_BGAS_BP_E-30"/>
    <x v="3"/>
    <n v="0.461649056563111"/>
  </r>
  <r>
    <x v="0"/>
    <x v="0"/>
    <x v="0"/>
    <x v="0"/>
    <x v="0"/>
    <s v="DK1_Rural"/>
    <x v="1"/>
    <x v="1"/>
    <x v="1"/>
    <s v="GNR_ENG_BGAS_BP_E-37"/>
    <x v="3"/>
    <n v="0.13503234904471001"/>
  </r>
  <r>
    <x v="0"/>
    <x v="0"/>
    <x v="0"/>
    <x v="0"/>
    <x v="0"/>
    <s v="DK1_Rural"/>
    <x v="1"/>
    <x v="1"/>
    <x v="1"/>
    <s v="GNR_ENG_BGAS_BP_E-38"/>
    <x v="3"/>
    <n v="6.1553207541748201E-2"/>
  </r>
  <r>
    <x v="0"/>
    <x v="0"/>
    <x v="0"/>
    <x v="0"/>
    <x v="0"/>
    <s v="DK1_Rural"/>
    <x v="1"/>
    <x v="1"/>
    <x v="1"/>
    <s v="GNR_ENG_BGAS_BP_E-39"/>
    <x v="3"/>
    <n v="9.3552879103693296E-2"/>
  </r>
  <r>
    <x v="0"/>
    <x v="0"/>
    <x v="0"/>
    <x v="0"/>
    <x v="0"/>
    <s v="DK1_Rural"/>
    <x v="1"/>
    <x v="1"/>
    <x v="1"/>
    <s v="GNR_ENG_BGAS_BP_E-40"/>
    <x v="3"/>
    <n v="0.95665363470550902"/>
  </r>
  <r>
    <x v="0"/>
    <x v="0"/>
    <x v="0"/>
    <x v="0"/>
    <x v="0"/>
    <s v="DK1_Rural"/>
    <x v="1"/>
    <x v="1"/>
    <x v="1"/>
    <s v="GNR_ENG_BGAS_BP_E-41"/>
    <x v="3"/>
    <n v="0.17805225377799699"/>
  </r>
  <r>
    <x v="0"/>
    <x v="0"/>
    <x v="0"/>
    <x v="0"/>
    <x v="0"/>
    <s v="DK1_Rural"/>
    <x v="1"/>
    <x v="1"/>
    <x v="1"/>
    <s v="GNR_ENG_BGAS_BP_E-42"/>
    <x v="3"/>
    <n v="1.00795682647205"/>
  </r>
  <r>
    <x v="0"/>
    <x v="0"/>
    <x v="0"/>
    <x v="0"/>
    <x v="0"/>
    <s v="DK1_Rural"/>
    <x v="1"/>
    <x v="1"/>
    <x v="1"/>
    <s v="GNR_ENG_BGAS_BP_E-43"/>
    <x v="3"/>
    <n v="0.77558354611771496"/>
  </r>
  <r>
    <x v="0"/>
    <x v="0"/>
    <x v="0"/>
    <x v="0"/>
    <x v="0"/>
    <s v="DK1_Rural"/>
    <x v="6"/>
    <x v="2"/>
    <x v="2"/>
    <s v="GNR_HP_ELEC_COP-300"/>
    <x v="3"/>
    <n v="-3.5735882023774798E-2"/>
  </r>
  <r>
    <x v="0"/>
    <x v="0"/>
    <x v="0"/>
    <x v="0"/>
    <x v="0"/>
    <s v="DK1_Rural"/>
    <x v="6"/>
    <x v="2"/>
    <x v="2"/>
    <s v="GNR_HP_ELEC_COP-350"/>
    <x v="3"/>
    <n v="-0.13116668801979001"/>
  </r>
  <r>
    <x v="0"/>
    <x v="0"/>
    <x v="0"/>
    <x v="0"/>
    <x v="0"/>
    <s v="DK1_Rural"/>
    <x v="6"/>
    <x v="2"/>
    <x v="2"/>
    <s v="GNR_HP_ELEC_COP-400"/>
    <x v="3"/>
    <n v="-0.126035935791594"/>
  </r>
  <r>
    <x v="0"/>
    <x v="0"/>
    <x v="0"/>
    <x v="0"/>
    <x v="0"/>
    <s v="DK1_Rural"/>
    <x v="6"/>
    <x v="2"/>
    <x v="2"/>
    <s v="GNR_HP_ELEC_COP-430"/>
    <x v="3"/>
    <n v="-7.8803949683367999E-2"/>
  </r>
  <r>
    <x v="0"/>
    <x v="0"/>
    <x v="0"/>
    <x v="0"/>
    <x v="0"/>
    <s v="DK1_Rural"/>
    <x v="6"/>
    <x v="2"/>
    <x v="2"/>
    <s v="GNR_HP_ELEC_COP-450"/>
    <x v="3"/>
    <n v="-3.1279106182013801E-2"/>
  </r>
  <r>
    <x v="0"/>
    <x v="0"/>
    <x v="0"/>
    <x v="0"/>
    <x v="0"/>
    <s v="DK1_Rural"/>
    <x v="6"/>
    <x v="2"/>
    <x v="2"/>
    <s v="GNR_HP_ELEC_COP-460"/>
    <x v="3"/>
    <n v="-0.203994170752264"/>
  </r>
  <r>
    <x v="0"/>
    <x v="0"/>
    <x v="0"/>
    <x v="0"/>
    <x v="0"/>
    <s v="DK1_Rural"/>
    <x v="6"/>
    <x v="2"/>
    <x v="2"/>
    <s v="GNR_HP_ELEC_COP-470"/>
    <x v="3"/>
    <n v="-5.2686437717931002E-2"/>
  </r>
  <r>
    <x v="0"/>
    <x v="0"/>
    <x v="0"/>
    <x v="0"/>
    <x v="0"/>
    <s v="DK1_Rural"/>
    <x v="6"/>
    <x v="2"/>
    <x v="2"/>
    <s v="GNR_HP_ELEC_COP-500"/>
    <x v="3"/>
    <n v="-3.85903788864215E-2"/>
  </r>
  <r>
    <x v="0"/>
    <x v="0"/>
    <x v="0"/>
    <x v="0"/>
    <x v="0"/>
    <s v="DK1_Rural"/>
    <x v="6"/>
    <x v="2"/>
    <x v="2"/>
    <s v="GNR_HP_ELEC_COP-530"/>
    <x v="3"/>
    <n v="-0.104829017775268"/>
  </r>
  <r>
    <x v="0"/>
    <x v="0"/>
    <x v="0"/>
    <x v="0"/>
    <x v="0"/>
    <s v="DK1_Rural"/>
    <x v="6"/>
    <x v="2"/>
    <x v="2"/>
    <s v="GNR_HP_ELEC_COP-600"/>
    <x v="3"/>
    <n v="-2.0577547933663801E-2"/>
  </r>
  <r>
    <x v="0"/>
    <x v="0"/>
    <x v="0"/>
    <x v="0"/>
    <x v="0"/>
    <s v="DK1_Rural"/>
    <x v="6"/>
    <x v="2"/>
    <x v="2"/>
    <s v="GNR_HP_ELEC_GROUND-WTR_COP-380_LS-4-MW_Y-2030"/>
    <x v="3"/>
    <n v="-4.7955979954673502"/>
  </r>
  <r>
    <x v="0"/>
    <x v="0"/>
    <x v="0"/>
    <x v="0"/>
    <x v="0"/>
    <s v="DK1_Rural"/>
    <x v="3"/>
    <x v="1"/>
    <x v="1"/>
    <s v="GNR_ENG_NGAS_BP_E-37"/>
    <x v="3"/>
    <n v="1.18582494473088"/>
  </r>
  <r>
    <x v="0"/>
    <x v="0"/>
    <x v="0"/>
    <x v="0"/>
    <x v="0"/>
    <s v="DK1_Rural"/>
    <x v="3"/>
    <x v="1"/>
    <x v="1"/>
    <s v="GNR_ENG_NGAS_BP_E-38"/>
    <x v="3"/>
    <n v="0.53591110999824798"/>
  </r>
  <r>
    <x v="0"/>
    <x v="0"/>
    <x v="0"/>
    <x v="0"/>
    <x v="0"/>
    <s v="DK1_Rural"/>
    <x v="3"/>
    <x v="1"/>
    <x v="1"/>
    <s v="GNR_ENG_NGAS_BP_E-39"/>
    <x v="3"/>
    <n v="0.40951175816124602"/>
  </r>
  <r>
    <x v="0"/>
    <x v="0"/>
    <x v="0"/>
    <x v="0"/>
    <x v="0"/>
    <s v="DK1_Rural"/>
    <x v="3"/>
    <x v="1"/>
    <x v="1"/>
    <s v="GNR_ENG_NGAS_BP_E-40"/>
    <x v="3"/>
    <n v="1.0021529236162099"/>
  </r>
  <r>
    <x v="0"/>
    <x v="0"/>
    <x v="0"/>
    <x v="0"/>
    <x v="0"/>
    <s v="DK1_Rural"/>
    <x v="3"/>
    <x v="1"/>
    <x v="1"/>
    <s v="GNR_ENG_NGAS_BP_E-41"/>
    <x v="3"/>
    <n v="3.33215682472468"/>
  </r>
  <r>
    <x v="0"/>
    <x v="0"/>
    <x v="0"/>
    <x v="0"/>
    <x v="0"/>
    <s v="DK1_Rural"/>
    <x v="3"/>
    <x v="1"/>
    <x v="1"/>
    <s v="GNR_ENG_NGAS_BP_E-42"/>
    <x v="3"/>
    <n v="8.8703500496609706"/>
  </r>
  <r>
    <x v="0"/>
    <x v="0"/>
    <x v="0"/>
    <x v="0"/>
    <x v="0"/>
    <s v="DK1_Rural"/>
    <x v="3"/>
    <x v="1"/>
    <x v="1"/>
    <s v="GNR_ENG_NGAS_BP_E-43"/>
    <x v="3"/>
    <n v="5.0596072393694396"/>
  </r>
  <r>
    <x v="0"/>
    <x v="0"/>
    <x v="0"/>
    <x v="0"/>
    <x v="0"/>
    <s v="DK1_Rural"/>
    <x v="3"/>
    <x v="1"/>
    <x v="1"/>
    <s v="GNR_ENG_NGAS_BP_E-44"/>
    <x v="3"/>
    <n v="4.50231670780245"/>
  </r>
  <r>
    <x v="0"/>
    <x v="0"/>
    <x v="0"/>
    <x v="0"/>
    <x v="0"/>
    <s v="DK1_Rural"/>
    <x v="3"/>
    <x v="1"/>
    <x v="1"/>
    <s v="GNR_ENG_NGAS_BP_E-45"/>
    <x v="3"/>
    <n v="1.8023291567678601"/>
  </r>
  <r>
    <x v="0"/>
    <x v="0"/>
    <x v="0"/>
    <x v="0"/>
    <x v="0"/>
    <s v="DK1_Rural"/>
    <x v="3"/>
    <x v="1"/>
    <x v="1"/>
    <s v="GNR_ENG_NGAS_BP_E-46"/>
    <x v="3"/>
    <n v="0.64318413045441203"/>
  </r>
  <r>
    <x v="0"/>
    <x v="0"/>
    <x v="0"/>
    <x v="0"/>
    <x v="0"/>
    <s v="DK1_Rural"/>
    <x v="5"/>
    <x v="1"/>
    <x v="1"/>
    <s v="GNR_ST_WOODCHI_BP_E-17"/>
    <x v="3"/>
    <n v="9.9303137043125406E-2"/>
  </r>
  <r>
    <x v="0"/>
    <x v="0"/>
    <x v="0"/>
    <x v="0"/>
    <x v="0"/>
    <s v="DK1_Small"/>
    <x v="3"/>
    <x v="1"/>
    <x v="1"/>
    <s v="GNR_ENG_NGAS_BP_E-38"/>
    <x v="3"/>
    <n v="0.20185985143267399"/>
  </r>
  <r>
    <x v="0"/>
    <x v="0"/>
    <x v="0"/>
    <x v="0"/>
    <x v="1"/>
    <s v="DK2_Large"/>
    <x v="1"/>
    <x v="1"/>
    <x v="1"/>
    <s v="GNR_ENG_BGAS_BP_E-42"/>
    <x v="3"/>
    <n v="0.24471921351682199"/>
  </r>
  <r>
    <x v="0"/>
    <x v="0"/>
    <x v="0"/>
    <x v="0"/>
    <x v="1"/>
    <s v="DK2_Large"/>
    <x v="10"/>
    <x v="1"/>
    <x v="8"/>
    <s v="GNR_ST_COAL_EXT_E-42"/>
    <x v="3"/>
    <n v="51.892294100288701"/>
  </r>
  <r>
    <x v="0"/>
    <x v="0"/>
    <x v="0"/>
    <x v="0"/>
    <x v="1"/>
    <s v="DK2_Large"/>
    <x v="6"/>
    <x v="2"/>
    <x v="2"/>
    <s v="GNR_HP_ELEC_COP-300"/>
    <x v="3"/>
    <n v="-2.5640748187253401E-3"/>
  </r>
  <r>
    <x v="0"/>
    <x v="0"/>
    <x v="0"/>
    <x v="0"/>
    <x v="1"/>
    <s v="DK2_Large"/>
    <x v="2"/>
    <x v="1"/>
    <x v="1"/>
    <s v="GNR_ST_MSW_BP_E-24_LS-220-MW-FEED_Y-2030"/>
    <x v="3"/>
    <n v="54.560914210143601"/>
  </r>
  <r>
    <x v="0"/>
    <x v="0"/>
    <x v="0"/>
    <x v="0"/>
    <x v="1"/>
    <s v="DK2_Large"/>
    <x v="2"/>
    <x v="1"/>
    <x v="1"/>
    <s v="GNR_ST_MSW_BP_E-27"/>
    <x v="3"/>
    <n v="8.2036692141266592"/>
  </r>
  <r>
    <x v="0"/>
    <x v="0"/>
    <x v="0"/>
    <x v="0"/>
    <x v="1"/>
    <s v="DK2_Large"/>
    <x v="3"/>
    <x v="1"/>
    <x v="1"/>
    <s v="GNR_GT_NGAS_BP_E-43_LS-40-MW_Y-2030"/>
    <x v="3"/>
    <n v="61.919410420152403"/>
  </r>
  <r>
    <x v="0"/>
    <x v="0"/>
    <x v="0"/>
    <x v="0"/>
    <x v="1"/>
    <s v="DK2_Large"/>
    <x v="4"/>
    <x v="1"/>
    <x v="8"/>
    <s v="GNR_ST_COAL_EXT_E-42-Straw"/>
    <x v="3"/>
    <n v="40.6466869673866"/>
  </r>
  <r>
    <x v="0"/>
    <x v="0"/>
    <x v="0"/>
    <x v="0"/>
    <x v="1"/>
    <s v="DK2_Large_PHH"/>
    <x v="6"/>
    <x v="2"/>
    <x v="2"/>
    <s v="GNR_BO_ELEC_E-99_LS-10-MW-FEED_PHH_Y-2030"/>
    <x v="3"/>
    <n v="-0.20382679543366899"/>
  </r>
  <r>
    <x v="0"/>
    <x v="0"/>
    <x v="0"/>
    <x v="0"/>
    <x v="1"/>
    <s v="DK2_MedSmall"/>
    <x v="1"/>
    <x v="1"/>
    <x v="1"/>
    <s v="GNR_ENG_BGAS_BP_E-38"/>
    <x v="3"/>
    <n v="2.0078701470037898E-2"/>
  </r>
  <r>
    <x v="0"/>
    <x v="0"/>
    <x v="0"/>
    <x v="0"/>
    <x v="1"/>
    <s v="DK2_MedSmall"/>
    <x v="3"/>
    <x v="1"/>
    <x v="1"/>
    <s v="GNR_ENG_NGAS_BP_E-48_Y-2030"/>
    <x v="3"/>
    <n v="37.127879286553899"/>
  </r>
  <r>
    <x v="0"/>
    <x v="0"/>
    <x v="0"/>
    <x v="0"/>
    <x v="1"/>
    <s v="DK2_Medium"/>
    <x v="2"/>
    <x v="1"/>
    <x v="1"/>
    <s v="GNR_ST_MSW_BP_E-23"/>
    <x v="3"/>
    <n v="3.38295637695945"/>
  </r>
  <r>
    <x v="0"/>
    <x v="0"/>
    <x v="0"/>
    <x v="0"/>
    <x v="1"/>
    <s v="DK2_Medium"/>
    <x v="3"/>
    <x v="1"/>
    <x v="1"/>
    <s v="GNR_ENG_NGAS_BP_E-35"/>
    <x v="3"/>
    <n v="0.13253077215938"/>
  </r>
  <r>
    <x v="0"/>
    <x v="0"/>
    <x v="0"/>
    <x v="0"/>
    <x v="1"/>
    <s v="DK2_Medium"/>
    <x v="3"/>
    <x v="1"/>
    <x v="1"/>
    <s v="GNR_ENG_NGAS_BP_E-42"/>
    <x v="3"/>
    <n v="0.30868143498163197"/>
  </r>
  <r>
    <x v="0"/>
    <x v="0"/>
    <x v="0"/>
    <x v="0"/>
    <x v="1"/>
    <s v="DK2_Medium"/>
    <x v="3"/>
    <x v="1"/>
    <x v="1"/>
    <s v="GNR_ENG_NGAS_BP_E-48_Y-2030"/>
    <x v="3"/>
    <n v="77.233565025450105"/>
  </r>
  <r>
    <x v="0"/>
    <x v="0"/>
    <x v="0"/>
    <x v="0"/>
    <x v="1"/>
    <s v="DK2_Medium"/>
    <x v="5"/>
    <x v="1"/>
    <x v="1"/>
    <s v="GNR_ST_WOODCHI_BP_E-27"/>
    <x v="3"/>
    <n v="0.13208096798917099"/>
  </r>
  <r>
    <x v="0"/>
    <x v="0"/>
    <x v="0"/>
    <x v="0"/>
    <x v="1"/>
    <s v="DK2_NoDH"/>
    <x v="6"/>
    <x v="3"/>
    <x v="3"/>
    <s v="GNR_ES_ELEC_BAT-LITHIO_E-97_Y-30-50"/>
    <x v="3"/>
    <n v="35.422745312188198"/>
  </r>
  <r>
    <x v="0"/>
    <x v="0"/>
    <x v="0"/>
    <x v="0"/>
    <x v="1"/>
    <s v="DK2_NoDH"/>
    <x v="7"/>
    <x v="5"/>
    <x v="5"/>
    <s v="GNR_PV_SUN"/>
    <x v="3"/>
    <n v="11.671073230613001"/>
  </r>
  <r>
    <x v="0"/>
    <x v="0"/>
    <x v="0"/>
    <x v="0"/>
    <x v="1"/>
    <s v="DK2_NoDH"/>
    <x v="7"/>
    <x v="5"/>
    <x v="5"/>
    <s v="GNR_PV_SUN_LS-4-MW_Y-2030"/>
    <x v="3"/>
    <n v="90.103261035150496"/>
  </r>
  <r>
    <x v="0"/>
    <x v="0"/>
    <x v="0"/>
    <x v="0"/>
    <x v="1"/>
    <s v="DK2_NoDH"/>
    <x v="8"/>
    <x v="6"/>
    <x v="6"/>
    <s v="GNR_ROR_WTR"/>
    <x v="3"/>
    <n v="3.4780086350775599E-3"/>
  </r>
  <r>
    <x v="0"/>
    <x v="0"/>
    <x v="0"/>
    <x v="0"/>
    <x v="1"/>
    <s v="DK2_NoDH"/>
    <x v="9"/>
    <x v="5"/>
    <x v="7"/>
    <s v="GNR_WT_WIND_ONS"/>
    <x v="3"/>
    <n v="25.5647703593242"/>
  </r>
  <r>
    <x v="0"/>
    <x v="0"/>
    <x v="0"/>
    <x v="0"/>
    <x v="1"/>
    <s v="DK2_NoDH_PHH"/>
    <x v="6"/>
    <x v="2"/>
    <x v="2"/>
    <s v="GNR_BO_ELEC_E-99_LS-10-MW-FEED_PHH_Y-2030"/>
    <x v="3"/>
    <n v="-9.0540830084697696E-2"/>
  </r>
  <r>
    <x v="0"/>
    <x v="0"/>
    <x v="0"/>
    <x v="0"/>
    <x v="1"/>
    <s v="DK2_Offshore"/>
    <x v="9"/>
    <x v="5"/>
    <x v="7"/>
    <s v="GNR_WT_WIND_OFF"/>
    <x v="3"/>
    <n v="113.183702361435"/>
  </r>
  <r>
    <x v="0"/>
    <x v="0"/>
    <x v="0"/>
    <x v="0"/>
    <x v="1"/>
    <s v="DK2_Rural"/>
    <x v="1"/>
    <x v="1"/>
    <x v="1"/>
    <s v="GNR_ENG_BGAS_BP_E-40"/>
    <x v="3"/>
    <n v="8.1800580270132497E-2"/>
  </r>
  <r>
    <x v="0"/>
    <x v="0"/>
    <x v="0"/>
    <x v="0"/>
    <x v="1"/>
    <s v="DK2_Rural"/>
    <x v="1"/>
    <x v="1"/>
    <x v="1"/>
    <s v="GNR_ENG_BGAS_BP_E-41"/>
    <x v="3"/>
    <n v="0.30868143498163197"/>
  </r>
  <r>
    <x v="0"/>
    <x v="0"/>
    <x v="0"/>
    <x v="0"/>
    <x v="1"/>
    <s v="DK2_Rural"/>
    <x v="1"/>
    <x v="1"/>
    <x v="1"/>
    <s v="GNR_ENG_BGAS_BP_E-42"/>
    <x v="3"/>
    <n v="0.88498967409233997"/>
  </r>
  <r>
    <x v="0"/>
    <x v="0"/>
    <x v="0"/>
    <x v="0"/>
    <x v="1"/>
    <s v="DK2_Rural"/>
    <x v="10"/>
    <x v="1"/>
    <x v="1"/>
    <s v="GNR_ST_COAL_BP_E-35"/>
    <x v="3"/>
    <n v="14.909289406254199"/>
  </r>
  <r>
    <x v="0"/>
    <x v="0"/>
    <x v="0"/>
    <x v="0"/>
    <x v="1"/>
    <s v="DK2_Rural"/>
    <x v="6"/>
    <x v="2"/>
    <x v="2"/>
    <s v="GNR_HP_ELEC_COP-400"/>
    <x v="3"/>
    <n v="-5.37057659258229E-2"/>
  </r>
  <r>
    <x v="0"/>
    <x v="0"/>
    <x v="0"/>
    <x v="0"/>
    <x v="1"/>
    <s v="DK2_Rural"/>
    <x v="3"/>
    <x v="1"/>
    <x v="1"/>
    <s v="GNR_CC_NGAS_BP_E-53_SS-10-MW_Y-2030"/>
    <x v="3"/>
    <n v="22.4296882567103"/>
  </r>
  <r>
    <x v="0"/>
    <x v="0"/>
    <x v="0"/>
    <x v="0"/>
    <x v="1"/>
    <s v="DK2_Rural"/>
    <x v="3"/>
    <x v="1"/>
    <x v="1"/>
    <s v="GNR_ENG_NGAS_BP_E-36"/>
    <x v="3"/>
    <n v="4.3987104484882598E-2"/>
  </r>
  <r>
    <x v="0"/>
    <x v="0"/>
    <x v="0"/>
    <x v="0"/>
    <x v="1"/>
    <s v="DK2_Rural"/>
    <x v="3"/>
    <x v="1"/>
    <x v="1"/>
    <s v="GNR_ENG_NGAS_BP_E-38"/>
    <x v="3"/>
    <n v="7.0270701755262094E-2"/>
  </r>
  <r>
    <x v="0"/>
    <x v="0"/>
    <x v="0"/>
    <x v="0"/>
    <x v="1"/>
    <s v="DK2_Rural"/>
    <x v="3"/>
    <x v="1"/>
    <x v="1"/>
    <s v="GNR_ENG_NGAS_BP_E-40"/>
    <x v="3"/>
    <n v="1.8699878352839101"/>
  </r>
  <r>
    <x v="0"/>
    <x v="0"/>
    <x v="0"/>
    <x v="0"/>
    <x v="1"/>
    <s v="DK2_Rural"/>
    <x v="3"/>
    <x v="1"/>
    <x v="1"/>
    <s v="GNR_ENG_NGAS_BP_E-45"/>
    <x v="3"/>
    <n v="0.17452831402142399"/>
  </r>
  <r>
    <x v="0"/>
    <x v="0"/>
    <x v="0"/>
    <x v="0"/>
    <x v="1"/>
    <s v="DK2_Small"/>
    <x v="3"/>
    <x v="1"/>
    <x v="1"/>
    <s v="GNR_CC_NGAS_BP_E-53_SS-10-MW_Y-2030"/>
    <x v="3"/>
    <n v="7.2341147562635699"/>
  </r>
  <r>
    <x v="0"/>
    <x v="0"/>
    <x v="0"/>
    <x v="0"/>
    <x v="0"/>
    <s v="DK1_Large"/>
    <x v="1"/>
    <x v="1"/>
    <x v="1"/>
    <s v="GNR_ENG_BGAS_BP_E-36"/>
    <x v="4"/>
    <n v="730"/>
  </r>
  <r>
    <x v="0"/>
    <x v="0"/>
    <x v="0"/>
    <x v="0"/>
    <x v="0"/>
    <s v="DK1_Large"/>
    <x v="1"/>
    <x v="1"/>
    <x v="1"/>
    <s v="GNR_ENG_BGAS_BP_E-37"/>
    <x v="4"/>
    <n v="730"/>
  </r>
  <r>
    <x v="0"/>
    <x v="0"/>
    <x v="0"/>
    <x v="0"/>
    <x v="0"/>
    <s v="DK1_Large"/>
    <x v="1"/>
    <x v="1"/>
    <x v="1"/>
    <s v="GNR_ENG_BGAS_BP_E-39"/>
    <x v="4"/>
    <n v="730"/>
  </r>
  <r>
    <x v="0"/>
    <x v="0"/>
    <x v="0"/>
    <x v="0"/>
    <x v="0"/>
    <s v="DK1_Large"/>
    <x v="1"/>
    <x v="1"/>
    <x v="1"/>
    <s v="GNR_ENG_BGAS_BP_E-40"/>
    <x v="4"/>
    <n v="730"/>
  </r>
  <r>
    <x v="0"/>
    <x v="0"/>
    <x v="0"/>
    <x v="0"/>
    <x v="0"/>
    <s v="DK1_Large"/>
    <x v="1"/>
    <x v="1"/>
    <x v="1"/>
    <s v="GNR_ENG_BGAS_BP_E-41"/>
    <x v="4"/>
    <n v="730"/>
  </r>
  <r>
    <x v="0"/>
    <x v="0"/>
    <x v="0"/>
    <x v="0"/>
    <x v="0"/>
    <s v="DK1_Large"/>
    <x v="1"/>
    <x v="1"/>
    <x v="1"/>
    <s v="GNR_ENG_BGAS_BP_E-42"/>
    <x v="4"/>
    <n v="730"/>
  </r>
  <r>
    <x v="0"/>
    <x v="0"/>
    <x v="0"/>
    <x v="0"/>
    <x v="0"/>
    <s v="DK1_Large"/>
    <x v="1"/>
    <x v="1"/>
    <x v="1"/>
    <s v="GNR_ENG_BGAS_BP_E-43"/>
    <x v="4"/>
    <n v="1703.3333333333301"/>
  </r>
  <r>
    <x v="0"/>
    <x v="0"/>
    <x v="0"/>
    <x v="0"/>
    <x v="0"/>
    <s v="DK1_Large"/>
    <x v="2"/>
    <x v="1"/>
    <x v="1"/>
    <s v="GNR_ST_MSW_BP_E-24_LS-220-MW-FEED_Y-2030"/>
    <x v="4"/>
    <n v="8760"/>
  </r>
  <r>
    <x v="0"/>
    <x v="0"/>
    <x v="0"/>
    <x v="0"/>
    <x v="0"/>
    <s v="DK1_Large"/>
    <x v="2"/>
    <x v="1"/>
    <x v="1"/>
    <s v="GNR_ST_MSW_BP_E-27"/>
    <x v="4"/>
    <n v="8760"/>
  </r>
  <r>
    <x v="0"/>
    <x v="0"/>
    <x v="0"/>
    <x v="0"/>
    <x v="0"/>
    <s v="DK1_Large"/>
    <x v="3"/>
    <x v="1"/>
    <x v="1"/>
    <s v="GNR_ENG_NGAS_BP_E-39"/>
    <x v="4"/>
    <n v="1703.3333333333301"/>
  </r>
  <r>
    <x v="0"/>
    <x v="0"/>
    <x v="0"/>
    <x v="0"/>
    <x v="0"/>
    <s v="DK1_Large"/>
    <x v="3"/>
    <x v="1"/>
    <x v="1"/>
    <s v="GNR_ENG_NGAS_BP_E-42"/>
    <x v="4"/>
    <n v="2190"/>
  </r>
  <r>
    <x v="0"/>
    <x v="0"/>
    <x v="0"/>
    <x v="0"/>
    <x v="0"/>
    <s v="DK1_Large"/>
    <x v="3"/>
    <x v="1"/>
    <x v="1"/>
    <s v="GNR_ENG_NGAS_BP_E-43"/>
    <x v="4"/>
    <n v="2433.3333333333298"/>
  </r>
  <r>
    <x v="0"/>
    <x v="0"/>
    <x v="0"/>
    <x v="0"/>
    <x v="0"/>
    <s v="DK1_Large"/>
    <x v="3"/>
    <x v="1"/>
    <x v="1"/>
    <s v="GNR_ENG_NGAS_BP_E-46"/>
    <x v="4"/>
    <n v="2920"/>
  </r>
  <r>
    <x v="0"/>
    <x v="0"/>
    <x v="0"/>
    <x v="0"/>
    <x v="0"/>
    <s v="DK1_Large"/>
    <x v="3"/>
    <x v="1"/>
    <x v="1"/>
    <s v="GNR_GT_NGAS_BP_E-43_LS-40-MW_Y-2030"/>
    <x v="4"/>
    <n v="2433.3333333333298"/>
  </r>
  <r>
    <x v="0"/>
    <x v="0"/>
    <x v="0"/>
    <x v="0"/>
    <x v="0"/>
    <s v="DK1_Large"/>
    <x v="4"/>
    <x v="1"/>
    <x v="1"/>
    <s v="GNR_ST_STRW_BP_E-26"/>
    <x v="4"/>
    <n v="4001.7553380878699"/>
  </r>
  <r>
    <x v="0"/>
    <x v="0"/>
    <x v="0"/>
    <x v="0"/>
    <x v="0"/>
    <s v="DK1_Large"/>
    <x v="5"/>
    <x v="1"/>
    <x v="1"/>
    <s v="GNR_ST_WOODCHI_BP_E-23"/>
    <x v="4"/>
    <n v="2190"/>
  </r>
  <r>
    <x v="0"/>
    <x v="0"/>
    <x v="0"/>
    <x v="0"/>
    <x v="0"/>
    <s v="DK1_MedSmall"/>
    <x v="3"/>
    <x v="1"/>
    <x v="1"/>
    <s v="GNR_ENG_NGAS_BP_E-41"/>
    <x v="4"/>
    <n v="3163.3333333333298"/>
  </r>
  <r>
    <x v="0"/>
    <x v="0"/>
    <x v="0"/>
    <x v="0"/>
    <x v="0"/>
    <s v="DK1_Medium"/>
    <x v="1"/>
    <x v="1"/>
    <x v="1"/>
    <s v="GNR_ENG_BGAS_BP_E-39"/>
    <x v="4"/>
    <n v="730"/>
  </r>
  <r>
    <x v="0"/>
    <x v="0"/>
    <x v="0"/>
    <x v="0"/>
    <x v="0"/>
    <s v="DK1_Medium"/>
    <x v="1"/>
    <x v="1"/>
    <x v="1"/>
    <s v="GNR_ENG_BGAS_BP_E-41"/>
    <x v="4"/>
    <n v="730"/>
  </r>
  <r>
    <x v="0"/>
    <x v="0"/>
    <x v="0"/>
    <x v="0"/>
    <x v="0"/>
    <s v="DK1_Medium"/>
    <x v="1"/>
    <x v="1"/>
    <x v="1"/>
    <s v="GNR_ENG_BGAS_BP_E-42"/>
    <x v="4"/>
    <n v="730"/>
  </r>
  <r>
    <x v="0"/>
    <x v="0"/>
    <x v="0"/>
    <x v="0"/>
    <x v="0"/>
    <s v="DK1_Medium"/>
    <x v="3"/>
    <x v="1"/>
    <x v="1"/>
    <s v="GNR_ENG_NGAS_BP_E-41"/>
    <x v="4"/>
    <n v="1703.3333333333301"/>
  </r>
  <r>
    <x v="0"/>
    <x v="0"/>
    <x v="0"/>
    <x v="0"/>
    <x v="0"/>
    <s v="DK1_Medium"/>
    <x v="3"/>
    <x v="1"/>
    <x v="1"/>
    <s v="GNR_ENG_NGAS_BP_E-42"/>
    <x v="4"/>
    <n v="2190"/>
  </r>
  <r>
    <x v="0"/>
    <x v="0"/>
    <x v="0"/>
    <x v="0"/>
    <x v="0"/>
    <s v="DK1_Medium"/>
    <x v="3"/>
    <x v="1"/>
    <x v="1"/>
    <s v="GNR_ENG_NGAS_BP_E-43"/>
    <x v="4"/>
    <n v="2433.3333333333298"/>
  </r>
  <r>
    <x v="0"/>
    <x v="0"/>
    <x v="0"/>
    <x v="0"/>
    <x v="0"/>
    <s v="DK1_Medium"/>
    <x v="3"/>
    <x v="1"/>
    <x v="1"/>
    <s v="GNR_ENG_NGAS_BP_E-44"/>
    <x v="4"/>
    <n v="2676.6666666666702"/>
  </r>
  <r>
    <x v="0"/>
    <x v="0"/>
    <x v="0"/>
    <x v="0"/>
    <x v="0"/>
    <s v="DK1_Medium"/>
    <x v="3"/>
    <x v="1"/>
    <x v="1"/>
    <s v="GNR_ENG_NGAS_BP_E-48_Y-2030"/>
    <x v="4"/>
    <n v="4209.1188475686704"/>
  </r>
  <r>
    <x v="0"/>
    <x v="0"/>
    <x v="0"/>
    <x v="0"/>
    <x v="0"/>
    <s v="DK1_NoDH"/>
    <x v="6"/>
    <x v="3"/>
    <x v="3"/>
    <s v="GNR_ES_ELEC_BAT-LITHIO_E-97_Y-30-50"/>
    <x v="4"/>
    <n v="597.67726488912695"/>
  </r>
  <r>
    <x v="0"/>
    <x v="0"/>
    <x v="0"/>
    <x v="0"/>
    <x v="0"/>
    <s v="DK1_NoDH"/>
    <x v="3"/>
    <x v="4"/>
    <x v="4"/>
    <s v="GNR_ENG_NGAS_CND_E-41"/>
    <x v="4"/>
    <n v="730"/>
  </r>
  <r>
    <x v="0"/>
    <x v="0"/>
    <x v="0"/>
    <x v="0"/>
    <x v="0"/>
    <s v="DK1_NoDH"/>
    <x v="3"/>
    <x v="4"/>
    <x v="4"/>
    <s v="GNR_ENG_NGAS_CND_E-46"/>
    <x v="4"/>
    <n v="1703.3333333333301"/>
  </r>
  <r>
    <x v="0"/>
    <x v="0"/>
    <x v="0"/>
    <x v="0"/>
    <x v="0"/>
    <s v="DK1_NoDH"/>
    <x v="7"/>
    <x v="5"/>
    <x v="5"/>
    <s v="GNR_PV_SUN"/>
    <x v="4"/>
    <n v="1099.1278696991401"/>
  </r>
  <r>
    <x v="0"/>
    <x v="0"/>
    <x v="0"/>
    <x v="0"/>
    <x v="0"/>
    <s v="DK1_NoDH"/>
    <x v="7"/>
    <x v="5"/>
    <x v="5"/>
    <s v="GNR_PV_SUN_LS-4-MW_Y-2030"/>
    <x v="4"/>
    <n v="1099.1278696991401"/>
  </r>
  <r>
    <x v="0"/>
    <x v="0"/>
    <x v="0"/>
    <x v="0"/>
    <x v="0"/>
    <s v="DK1_NoDH"/>
    <x v="8"/>
    <x v="6"/>
    <x v="6"/>
    <s v="GNR_ROR_WTR"/>
    <x v="4"/>
    <n v="4819.8606407017596"/>
  </r>
  <r>
    <x v="0"/>
    <x v="0"/>
    <x v="0"/>
    <x v="0"/>
    <x v="0"/>
    <s v="DK1_NoDH"/>
    <x v="9"/>
    <x v="5"/>
    <x v="7"/>
    <s v="GNR_WT_WIND_ONS"/>
    <x v="4"/>
    <n v="3199"/>
  </r>
  <r>
    <x v="0"/>
    <x v="0"/>
    <x v="0"/>
    <x v="0"/>
    <x v="0"/>
    <s v="DK1_NoDH"/>
    <x v="9"/>
    <x v="5"/>
    <x v="7"/>
    <s v="GNR_WT_WIND_ON_LS_Y-2030"/>
    <x v="4"/>
    <n v="3199"/>
  </r>
  <r>
    <x v="0"/>
    <x v="0"/>
    <x v="0"/>
    <x v="0"/>
    <x v="0"/>
    <s v="DK1_NoDH"/>
    <x v="5"/>
    <x v="1"/>
    <x v="8"/>
    <s v="GNR_ST_WOODCHI_EXT_E-30"/>
    <x v="4"/>
    <n v="730"/>
  </r>
  <r>
    <x v="0"/>
    <x v="0"/>
    <x v="0"/>
    <x v="0"/>
    <x v="0"/>
    <s v="DK1_Offshore"/>
    <x v="9"/>
    <x v="5"/>
    <x v="7"/>
    <s v="GNR_WT_WIND_OFF"/>
    <x v="4"/>
    <n v="4098.4510834603198"/>
  </r>
  <r>
    <x v="0"/>
    <x v="0"/>
    <x v="0"/>
    <x v="0"/>
    <x v="0"/>
    <s v="DK1_Rural"/>
    <x v="1"/>
    <x v="1"/>
    <x v="1"/>
    <s v="GNR_ENG_BGAS_BP_E-30"/>
    <x v="4"/>
    <n v="730"/>
  </r>
  <r>
    <x v="0"/>
    <x v="0"/>
    <x v="0"/>
    <x v="0"/>
    <x v="0"/>
    <s v="DK1_Rural"/>
    <x v="1"/>
    <x v="1"/>
    <x v="1"/>
    <s v="GNR_ENG_BGAS_BP_E-37"/>
    <x v="4"/>
    <n v="730"/>
  </r>
  <r>
    <x v="0"/>
    <x v="0"/>
    <x v="0"/>
    <x v="0"/>
    <x v="0"/>
    <s v="DK1_Rural"/>
    <x v="1"/>
    <x v="1"/>
    <x v="1"/>
    <s v="GNR_ENG_BGAS_BP_E-38"/>
    <x v="4"/>
    <n v="730"/>
  </r>
  <r>
    <x v="0"/>
    <x v="0"/>
    <x v="0"/>
    <x v="0"/>
    <x v="0"/>
    <s v="DK1_Rural"/>
    <x v="1"/>
    <x v="1"/>
    <x v="1"/>
    <s v="GNR_ENG_BGAS_BP_E-39"/>
    <x v="4"/>
    <n v="1703.3333333333301"/>
  </r>
  <r>
    <x v="0"/>
    <x v="0"/>
    <x v="0"/>
    <x v="0"/>
    <x v="0"/>
    <s v="DK1_Rural"/>
    <x v="1"/>
    <x v="1"/>
    <x v="1"/>
    <s v="GNR_ENG_BGAS_BP_E-40"/>
    <x v="4"/>
    <n v="1703.3333333333301"/>
  </r>
  <r>
    <x v="0"/>
    <x v="0"/>
    <x v="0"/>
    <x v="0"/>
    <x v="0"/>
    <s v="DK1_Rural"/>
    <x v="1"/>
    <x v="1"/>
    <x v="1"/>
    <s v="GNR_ENG_BGAS_BP_E-41"/>
    <x v="4"/>
    <n v="1703.3333333333301"/>
  </r>
  <r>
    <x v="0"/>
    <x v="0"/>
    <x v="0"/>
    <x v="0"/>
    <x v="0"/>
    <s v="DK1_Rural"/>
    <x v="1"/>
    <x v="1"/>
    <x v="1"/>
    <s v="GNR_ENG_BGAS_BP_E-42"/>
    <x v="4"/>
    <n v="1703.3333333333301"/>
  </r>
  <r>
    <x v="0"/>
    <x v="0"/>
    <x v="0"/>
    <x v="0"/>
    <x v="0"/>
    <s v="DK1_Rural"/>
    <x v="1"/>
    <x v="1"/>
    <x v="1"/>
    <s v="GNR_ENG_BGAS_BP_E-43"/>
    <x v="4"/>
    <n v="1703.3333333333301"/>
  </r>
  <r>
    <x v="0"/>
    <x v="0"/>
    <x v="0"/>
    <x v="0"/>
    <x v="0"/>
    <s v="DK1_Rural"/>
    <x v="3"/>
    <x v="1"/>
    <x v="1"/>
    <s v="GNR_ENG_NGAS_BP_E-37"/>
    <x v="4"/>
    <n v="1946.6666666666699"/>
  </r>
  <r>
    <x v="0"/>
    <x v="0"/>
    <x v="0"/>
    <x v="0"/>
    <x v="0"/>
    <s v="DK1_Rural"/>
    <x v="3"/>
    <x v="1"/>
    <x v="1"/>
    <s v="GNR_ENG_NGAS_BP_E-38"/>
    <x v="4"/>
    <n v="2190"/>
  </r>
  <r>
    <x v="0"/>
    <x v="0"/>
    <x v="0"/>
    <x v="0"/>
    <x v="0"/>
    <s v="DK1_Rural"/>
    <x v="3"/>
    <x v="1"/>
    <x v="1"/>
    <s v="GNR_ENG_NGAS_BP_E-39"/>
    <x v="4"/>
    <n v="2676.6666666666702"/>
  </r>
  <r>
    <x v="0"/>
    <x v="0"/>
    <x v="0"/>
    <x v="0"/>
    <x v="0"/>
    <s v="DK1_Rural"/>
    <x v="3"/>
    <x v="1"/>
    <x v="1"/>
    <s v="GNR_ENG_NGAS_BP_E-40"/>
    <x v="4"/>
    <n v="2920"/>
  </r>
  <r>
    <x v="0"/>
    <x v="0"/>
    <x v="0"/>
    <x v="0"/>
    <x v="0"/>
    <s v="DK1_Rural"/>
    <x v="3"/>
    <x v="1"/>
    <x v="1"/>
    <s v="GNR_ENG_NGAS_BP_E-41"/>
    <x v="4"/>
    <n v="3153.2425850488098"/>
  </r>
  <r>
    <x v="0"/>
    <x v="0"/>
    <x v="0"/>
    <x v="0"/>
    <x v="0"/>
    <s v="DK1_Rural"/>
    <x v="3"/>
    <x v="1"/>
    <x v="1"/>
    <s v="GNR_ENG_NGAS_BP_E-42"/>
    <x v="4"/>
    <n v="3893.3333333333298"/>
  </r>
  <r>
    <x v="0"/>
    <x v="0"/>
    <x v="0"/>
    <x v="0"/>
    <x v="0"/>
    <s v="DK1_Rural"/>
    <x v="3"/>
    <x v="1"/>
    <x v="1"/>
    <s v="GNR_ENG_NGAS_BP_E-43"/>
    <x v="4"/>
    <n v="5110"/>
  </r>
  <r>
    <x v="0"/>
    <x v="0"/>
    <x v="0"/>
    <x v="0"/>
    <x v="0"/>
    <s v="DK1_Rural"/>
    <x v="3"/>
    <x v="1"/>
    <x v="1"/>
    <s v="GNR_ENG_NGAS_BP_E-44"/>
    <x v="4"/>
    <n v="5596.6666666666697"/>
  </r>
  <r>
    <x v="0"/>
    <x v="0"/>
    <x v="0"/>
    <x v="0"/>
    <x v="0"/>
    <s v="DK1_Rural"/>
    <x v="3"/>
    <x v="1"/>
    <x v="1"/>
    <s v="GNR_ENG_NGAS_BP_E-45"/>
    <x v="4"/>
    <n v="5840"/>
  </r>
  <r>
    <x v="0"/>
    <x v="0"/>
    <x v="0"/>
    <x v="0"/>
    <x v="0"/>
    <s v="DK1_Rural"/>
    <x v="3"/>
    <x v="1"/>
    <x v="1"/>
    <s v="GNR_ENG_NGAS_BP_E-46"/>
    <x v="4"/>
    <n v="5840"/>
  </r>
  <r>
    <x v="0"/>
    <x v="0"/>
    <x v="0"/>
    <x v="0"/>
    <x v="0"/>
    <s v="DK1_Rural"/>
    <x v="5"/>
    <x v="1"/>
    <x v="1"/>
    <s v="GNR_ST_WOODCHI_BP_E-17"/>
    <x v="4"/>
    <n v="1460"/>
  </r>
  <r>
    <x v="0"/>
    <x v="0"/>
    <x v="0"/>
    <x v="0"/>
    <x v="0"/>
    <s v="DK1_Small"/>
    <x v="3"/>
    <x v="1"/>
    <x v="1"/>
    <s v="GNR_ENG_NGAS_BP_E-38"/>
    <x v="4"/>
    <n v="2190"/>
  </r>
  <r>
    <x v="0"/>
    <x v="0"/>
    <x v="0"/>
    <x v="0"/>
    <x v="1"/>
    <s v="DK2_Large"/>
    <x v="1"/>
    <x v="1"/>
    <x v="1"/>
    <s v="GNR_ENG_BGAS_BP_E-42"/>
    <x v="4"/>
    <n v="730"/>
  </r>
  <r>
    <x v="0"/>
    <x v="0"/>
    <x v="0"/>
    <x v="0"/>
    <x v="1"/>
    <s v="DK2_Large"/>
    <x v="10"/>
    <x v="1"/>
    <x v="8"/>
    <s v="GNR_ST_COAL_EXT_E-42"/>
    <x v="4"/>
    <n v="3559.2278498968499"/>
  </r>
  <r>
    <x v="0"/>
    <x v="0"/>
    <x v="0"/>
    <x v="0"/>
    <x v="1"/>
    <s v="DK2_Large"/>
    <x v="2"/>
    <x v="1"/>
    <x v="1"/>
    <s v="GNR_ST_MSW_BP_E-24_LS-220-MW-FEED_Y-2030"/>
    <x v="4"/>
    <n v="8760.0000000000091"/>
  </r>
  <r>
    <x v="0"/>
    <x v="0"/>
    <x v="0"/>
    <x v="0"/>
    <x v="1"/>
    <s v="DK2_Large"/>
    <x v="2"/>
    <x v="1"/>
    <x v="1"/>
    <s v="GNR_ST_MSW_BP_E-27"/>
    <x v="4"/>
    <n v="8760"/>
  </r>
  <r>
    <x v="0"/>
    <x v="0"/>
    <x v="0"/>
    <x v="0"/>
    <x v="1"/>
    <s v="DK2_Large"/>
    <x v="3"/>
    <x v="1"/>
    <x v="1"/>
    <s v="GNR_GT_NGAS_BP_E-43_LS-40-MW_Y-2030"/>
    <x v="4"/>
    <n v="2043.61024908115"/>
  </r>
  <r>
    <x v="0"/>
    <x v="0"/>
    <x v="0"/>
    <x v="0"/>
    <x v="1"/>
    <s v="DK2_MedSmall"/>
    <x v="1"/>
    <x v="1"/>
    <x v="1"/>
    <s v="GNR_ENG_BGAS_BP_E-38"/>
    <x v="4"/>
    <n v="730"/>
  </r>
  <r>
    <x v="0"/>
    <x v="0"/>
    <x v="0"/>
    <x v="0"/>
    <x v="1"/>
    <s v="DK2_MedSmall"/>
    <x v="3"/>
    <x v="1"/>
    <x v="1"/>
    <s v="GNR_ENG_NGAS_BP_E-48_Y-2030"/>
    <x v="4"/>
    <n v="4015.89764922932"/>
  </r>
  <r>
    <x v="0"/>
    <x v="0"/>
    <x v="0"/>
    <x v="0"/>
    <x v="1"/>
    <s v="DK2_Medium"/>
    <x v="2"/>
    <x v="1"/>
    <x v="1"/>
    <s v="GNR_ST_MSW_BP_E-23"/>
    <x v="4"/>
    <n v="8760"/>
  </r>
  <r>
    <x v="0"/>
    <x v="0"/>
    <x v="0"/>
    <x v="0"/>
    <x v="1"/>
    <s v="DK2_Medium"/>
    <x v="3"/>
    <x v="1"/>
    <x v="1"/>
    <s v="GNR_ENG_NGAS_BP_E-35"/>
    <x v="4"/>
    <n v="1460"/>
  </r>
  <r>
    <x v="0"/>
    <x v="0"/>
    <x v="0"/>
    <x v="0"/>
    <x v="1"/>
    <s v="DK2_Medium"/>
    <x v="3"/>
    <x v="1"/>
    <x v="1"/>
    <s v="GNR_ENG_NGAS_BP_E-42"/>
    <x v="4"/>
    <n v="1703.3333333333301"/>
  </r>
  <r>
    <x v="0"/>
    <x v="0"/>
    <x v="0"/>
    <x v="0"/>
    <x v="1"/>
    <s v="DK2_Medium"/>
    <x v="3"/>
    <x v="1"/>
    <x v="1"/>
    <s v="GNR_ENG_NGAS_BP_E-48_Y-2030"/>
    <x v="4"/>
    <n v="3991.8467470611199"/>
  </r>
  <r>
    <x v="0"/>
    <x v="0"/>
    <x v="0"/>
    <x v="0"/>
    <x v="1"/>
    <s v="DK2_Medium"/>
    <x v="5"/>
    <x v="1"/>
    <x v="1"/>
    <s v="GNR_ST_WOODCHI_BP_E-27"/>
    <x v="4"/>
    <n v="6813.3333333333303"/>
  </r>
  <r>
    <x v="0"/>
    <x v="0"/>
    <x v="0"/>
    <x v="0"/>
    <x v="1"/>
    <s v="DK2_NoDH"/>
    <x v="6"/>
    <x v="3"/>
    <x v="3"/>
    <s v="GNR_ES_ELEC_BAT-LITHIO_E-97_Y-30-50"/>
    <x v="4"/>
    <n v="718.10730636218602"/>
  </r>
  <r>
    <x v="0"/>
    <x v="0"/>
    <x v="0"/>
    <x v="0"/>
    <x v="1"/>
    <s v="DK2_NoDH"/>
    <x v="7"/>
    <x v="5"/>
    <x v="5"/>
    <s v="GNR_PV_SUN"/>
    <x v="4"/>
    <n v="1097.8801303008599"/>
  </r>
  <r>
    <x v="0"/>
    <x v="0"/>
    <x v="0"/>
    <x v="0"/>
    <x v="1"/>
    <s v="DK2_NoDH"/>
    <x v="7"/>
    <x v="5"/>
    <x v="5"/>
    <s v="GNR_PV_SUN_LS-4-MW_Y-2030"/>
    <x v="4"/>
    <n v="1097.8801303008599"/>
  </r>
  <r>
    <x v="0"/>
    <x v="0"/>
    <x v="0"/>
    <x v="0"/>
    <x v="1"/>
    <s v="DK2_NoDH"/>
    <x v="8"/>
    <x v="6"/>
    <x v="6"/>
    <s v="GNR_ROR_WTR"/>
    <x v="4"/>
    <n v="4819.8606407017596"/>
  </r>
  <r>
    <x v="0"/>
    <x v="0"/>
    <x v="0"/>
    <x v="0"/>
    <x v="1"/>
    <s v="DK2_NoDH"/>
    <x v="9"/>
    <x v="5"/>
    <x v="7"/>
    <s v="GNR_WT_WIND_ONS"/>
    <x v="4"/>
    <n v="2959"/>
  </r>
  <r>
    <x v="0"/>
    <x v="0"/>
    <x v="0"/>
    <x v="0"/>
    <x v="1"/>
    <s v="DK2_Offshore"/>
    <x v="9"/>
    <x v="5"/>
    <x v="7"/>
    <s v="GNR_WT_WIND_OFF"/>
    <x v="4"/>
    <n v="4375.7077360560597"/>
  </r>
  <r>
    <x v="0"/>
    <x v="0"/>
    <x v="0"/>
    <x v="0"/>
    <x v="1"/>
    <s v="DK2_Rural"/>
    <x v="1"/>
    <x v="1"/>
    <x v="1"/>
    <s v="GNR_ENG_BGAS_BP_E-40"/>
    <x v="4"/>
    <n v="1703.3333333333301"/>
  </r>
  <r>
    <x v="0"/>
    <x v="0"/>
    <x v="0"/>
    <x v="0"/>
    <x v="1"/>
    <s v="DK2_Rural"/>
    <x v="1"/>
    <x v="1"/>
    <x v="1"/>
    <s v="GNR_ENG_BGAS_BP_E-41"/>
    <x v="4"/>
    <n v="1703.3333333333301"/>
  </r>
  <r>
    <x v="0"/>
    <x v="0"/>
    <x v="0"/>
    <x v="0"/>
    <x v="1"/>
    <s v="DK2_Rural"/>
    <x v="1"/>
    <x v="1"/>
    <x v="1"/>
    <s v="GNR_ENG_BGAS_BP_E-42"/>
    <x v="4"/>
    <n v="1703.3333333333301"/>
  </r>
  <r>
    <x v="0"/>
    <x v="0"/>
    <x v="0"/>
    <x v="0"/>
    <x v="1"/>
    <s v="DK2_Rural"/>
    <x v="10"/>
    <x v="1"/>
    <x v="1"/>
    <s v="GNR_ST_COAL_BP_E-35"/>
    <x v="4"/>
    <n v="6957.0239578933597"/>
  </r>
  <r>
    <x v="0"/>
    <x v="0"/>
    <x v="0"/>
    <x v="0"/>
    <x v="1"/>
    <s v="DK2_Rural"/>
    <x v="3"/>
    <x v="1"/>
    <x v="1"/>
    <s v="GNR_CC_NGAS_BP_E-53_SS-10-MW_Y-2030"/>
    <x v="4"/>
    <n v="6154.5107268996499"/>
  </r>
  <r>
    <x v="0"/>
    <x v="0"/>
    <x v="0"/>
    <x v="0"/>
    <x v="1"/>
    <s v="DK2_Rural"/>
    <x v="3"/>
    <x v="1"/>
    <x v="1"/>
    <s v="GNR_ENG_NGAS_BP_E-36"/>
    <x v="4"/>
    <n v="1703.3333333333301"/>
  </r>
  <r>
    <x v="0"/>
    <x v="0"/>
    <x v="0"/>
    <x v="0"/>
    <x v="1"/>
    <s v="DK2_Rural"/>
    <x v="3"/>
    <x v="1"/>
    <x v="1"/>
    <s v="GNR_ENG_NGAS_BP_E-38"/>
    <x v="4"/>
    <n v="2190"/>
  </r>
  <r>
    <x v="0"/>
    <x v="0"/>
    <x v="0"/>
    <x v="0"/>
    <x v="1"/>
    <s v="DK2_Rural"/>
    <x v="3"/>
    <x v="1"/>
    <x v="1"/>
    <s v="GNR_ENG_NGAS_BP_E-40"/>
    <x v="4"/>
    <n v="2920"/>
  </r>
  <r>
    <x v="0"/>
    <x v="0"/>
    <x v="0"/>
    <x v="0"/>
    <x v="1"/>
    <s v="DK2_Rural"/>
    <x v="3"/>
    <x v="1"/>
    <x v="1"/>
    <s v="GNR_ENG_NGAS_BP_E-45"/>
    <x v="4"/>
    <n v="5596.6666666666697"/>
  </r>
  <r>
    <x v="0"/>
    <x v="0"/>
    <x v="0"/>
    <x v="0"/>
    <x v="1"/>
    <s v="DK2_Small"/>
    <x v="3"/>
    <x v="1"/>
    <x v="1"/>
    <s v="GNR_CC_NGAS_BP_E-53_SS-10-MW_Y-2030"/>
    <x v="4"/>
    <n v="6309.4575801546098"/>
  </r>
  <r>
    <x v="0"/>
    <x v="0"/>
    <x v="0"/>
    <x v="0"/>
    <x v="0"/>
    <s v="DK1_NoDH"/>
    <x v="7"/>
    <x v="5"/>
    <x v="5"/>
    <s v="GNR_PV_SUN"/>
    <x v="5"/>
    <n v="-1.13686837721616E-13"/>
  </r>
  <r>
    <x v="0"/>
    <x v="0"/>
    <x v="0"/>
    <x v="0"/>
    <x v="0"/>
    <s v="DK1_NoDH"/>
    <x v="7"/>
    <x v="5"/>
    <x v="5"/>
    <s v="GNR_PV_SUN_LS-4-MW_Y-2030"/>
    <x v="5"/>
    <n v="4.5474735088646402E-13"/>
  </r>
  <r>
    <x v="0"/>
    <x v="0"/>
    <x v="0"/>
    <x v="0"/>
    <x v="0"/>
    <s v="DK1_NoDH"/>
    <x v="9"/>
    <x v="5"/>
    <x v="7"/>
    <s v="GNR_WT_WIND_ONS"/>
    <x v="5"/>
    <n v="-1.8189894035458601E-12"/>
  </r>
  <r>
    <x v="0"/>
    <x v="0"/>
    <x v="0"/>
    <x v="0"/>
    <x v="0"/>
    <s v="DK1_NoDH"/>
    <x v="9"/>
    <x v="5"/>
    <x v="7"/>
    <s v="GNR_WT_WIND_ON_LS_Y-2030"/>
    <x v="5"/>
    <n v="-6.8212102632969598E-13"/>
  </r>
  <r>
    <x v="0"/>
    <x v="0"/>
    <x v="0"/>
    <x v="0"/>
    <x v="0"/>
    <s v="DK1_Offshore"/>
    <x v="9"/>
    <x v="5"/>
    <x v="7"/>
    <s v="GNR_WT_WIND_OFF"/>
    <x v="5"/>
    <n v="685.25760111035095"/>
  </r>
  <r>
    <x v="0"/>
    <x v="0"/>
    <x v="0"/>
    <x v="0"/>
    <x v="1"/>
    <s v="DK2_NoDH"/>
    <x v="7"/>
    <x v="5"/>
    <x v="5"/>
    <s v="GNR_PV_SUN"/>
    <x v="5"/>
    <n v="0"/>
  </r>
  <r>
    <x v="0"/>
    <x v="0"/>
    <x v="0"/>
    <x v="0"/>
    <x v="1"/>
    <s v="DK2_NoDH"/>
    <x v="7"/>
    <x v="5"/>
    <x v="5"/>
    <s v="GNR_PV_SUN_LS-4-MW_Y-2030"/>
    <x v="5"/>
    <n v="-4.5474735088646402E-13"/>
  </r>
  <r>
    <x v="0"/>
    <x v="0"/>
    <x v="0"/>
    <x v="0"/>
    <x v="1"/>
    <s v="DK2_NoDH"/>
    <x v="9"/>
    <x v="5"/>
    <x v="7"/>
    <s v="GNR_WT_WIND_ONS"/>
    <x v="5"/>
    <n v="-1.13686837721616E-13"/>
  </r>
  <r>
    <x v="0"/>
    <x v="0"/>
    <x v="0"/>
    <x v="0"/>
    <x v="1"/>
    <s v="DK2_Offshore"/>
    <x v="9"/>
    <x v="5"/>
    <x v="7"/>
    <s v="GNR_WT_WIND_OFF"/>
    <x v="5"/>
    <n v="8.2587761651666405"/>
  </r>
  <r>
    <x v="0"/>
    <x v="0"/>
    <x v="0"/>
    <x v="0"/>
    <x v="0"/>
    <s v="DK1_Large"/>
    <x v="3"/>
    <x v="1"/>
    <x v="1"/>
    <s v="GNR_GT_NGAS_BP_E-43_LS-40-MW_Y-2030"/>
    <x v="6"/>
    <n v="3.55285979801396"/>
  </r>
  <r>
    <x v="0"/>
    <x v="0"/>
    <x v="0"/>
    <x v="0"/>
    <x v="0"/>
    <s v="DK1_Large"/>
    <x v="11"/>
    <x v="3"/>
    <x v="9"/>
    <s v="GNR_HS_HEAT_PIT_L-CEN_E-90_Y-2030"/>
    <x v="6"/>
    <n v="7.7075070994670796"/>
  </r>
  <r>
    <x v="0"/>
    <x v="0"/>
    <x v="0"/>
    <x v="0"/>
    <x v="0"/>
    <s v="DK1_Large"/>
    <x v="11"/>
    <x v="3"/>
    <x v="10"/>
    <s v="GNR_HS_HEAT_WTR-TANK_LS_E-95_Y-2010"/>
    <x v="6"/>
    <n v="0.904549779604643"/>
  </r>
  <r>
    <x v="0"/>
    <x v="0"/>
    <x v="0"/>
    <x v="0"/>
    <x v="0"/>
    <s v="DK1_Large"/>
    <x v="2"/>
    <x v="1"/>
    <x v="1"/>
    <s v="GNR_ST_MSW_BP_E-24_LS-220-MW-FEED_Y-2030"/>
    <x v="6"/>
    <n v="117.802274968799"/>
  </r>
  <r>
    <x v="0"/>
    <x v="0"/>
    <x v="0"/>
    <x v="0"/>
    <x v="0"/>
    <s v="DK1_Large_PHH"/>
    <x v="6"/>
    <x v="2"/>
    <x v="2"/>
    <s v="GNR_BO_ELEC_E-99_LS-10-MW-FEED_PHH_Y-2030"/>
    <x v="6"/>
    <n v="0.38876298433066098"/>
  </r>
  <r>
    <x v="0"/>
    <x v="0"/>
    <x v="0"/>
    <x v="0"/>
    <x v="0"/>
    <s v="DK1_MedSmall"/>
    <x v="6"/>
    <x v="2"/>
    <x v="2"/>
    <s v="GNR_HP_ELEC_GROUND-WTR_COP-380_LS-4-MW_Y-2030"/>
    <x v="6"/>
    <n v="8.2367169075257003"/>
  </r>
  <r>
    <x v="0"/>
    <x v="0"/>
    <x v="0"/>
    <x v="0"/>
    <x v="0"/>
    <s v="DK1_MedSmall"/>
    <x v="11"/>
    <x v="3"/>
    <x v="9"/>
    <s v="GNR_HS_HEAT_PIT_L-DEC_E-91_Y-2030"/>
    <x v="6"/>
    <n v="0.78061925306767299"/>
  </r>
  <r>
    <x v="0"/>
    <x v="0"/>
    <x v="0"/>
    <x v="0"/>
    <x v="0"/>
    <s v="DK1_MedSmall"/>
    <x v="11"/>
    <x v="3"/>
    <x v="10"/>
    <s v="GNR_HS_HEAT_WTR-TANK_LS_E-95_Y-2010"/>
    <x v="6"/>
    <n v="0.24333011472747099"/>
  </r>
  <r>
    <x v="0"/>
    <x v="0"/>
    <x v="0"/>
    <x v="0"/>
    <x v="0"/>
    <s v="DK1_Medium"/>
    <x v="3"/>
    <x v="1"/>
    <x v="1"/>
    <s v="GNR_ENG_NGAS_BP_E-48_Y-2030"/>
    <x v="6"/>
    <n v="50.164821770732999"/>
  </r>
  <r>
    <x v="0"/>
    <x v="0"/>
    <x v="0"/>
    <x v="0"/>
    <x v="0"/>
    <s v="DK1_Medium"/>
    <x v="11"/>
    <x v="3"/>
    <x v="9"/>
    <s v="GNR_HS_HEAT_PIT_L-DEC_E-91_Y-2030"/>
    <x v="6"/>
    <n v="2.5880806460494798"/>
  </r>
  <r>
    <x v="0"/>
    <x v="0"/>
    <x v="0"/>
    <x v="0"/>
    <x v="0"/>
    <s v="DK1_Medium"/>
    <x v="11"/>
    <x v="3"/>
    <x v="10"/>
    <s v="GNR_HS_HEAT_WTR-TANK_LS_E-95_Y-2010"/>
    <x v="6"/>
    <n v="0.57554961010315098"/>
  </r>
  <r>
    <x v="0"/>
    <x v="0"/>
    <x v="0"/>
    <x v="0"/>
    <x v="0"/>
    <s v="DK1_NoDH"/>
    <x v="6"/>
    <x v="3"/>
    <x v="3"/>
    <s v="GNR_ES_ELEC_BAT-LITHIO_E-97_Y-30-50"/>
    <x v="6"/>
    <n v="16.4808875098194"/>
  </r>
  <r>
    <x v="0"/>
    <x v="0"/>
    <x v="0"/>
    <x v="0"/>
    <x v="0"/>
    <s v="DK1_NoDH"/>
    <x v="7"/>
    <x v="5"/>
    <x v="5"/>
    <s v="GNR_PV_SUN_LS-4-MW_Y-2030"/>
    <x v="6"/>
    <n v="96.1490138922141"/>
  </r>
  <r>
    <x v="0"/>
    <x v="0"/>
    <x v="0"/>
    <x v="0"/>
    <x v="0"/>
    <s v="DK1_NoDH"/>
    <x v="9"/>
    <x v="5"/>
    <x v="7"/>
    <s v="GNR_WT_WIND_ON_LS_Y-2030"/>
    <x v="6"/>
    <n v="32.740462986073403"/>
  </r>
  <r>
    <x v="0"/>
    <x v="0"/>
    <x v="0"/>
    <x v="0"/>
    <x v="0"/>
    <s v="DK1_NoDH_PHH"/>
    <x v="6"/>
    <x v="2"/>
    <x v="2"/>
    <s v="GNR_BO_ELEC_E-99_LS-10-MW-FEED_PHH_Y-2030"/>
    <x v="6"/>
    <n v="0.843020095668787"/>
  </r>
  <r>
    <x v="0"/>
    <x v="0"/>
    <x v="0"/>
    <x v="0"/>
    <x v="0"/>
    <s v="DK1_Rural"/>
    <x v="6"/>
    <x v="2"/>
    <x v="2"/>
    <s v="GNR_HP_ELEC_GROUND-WTR_COP-380_LS-4-MW_Y-2030"/>
    <x v="6"/>
    <n v="3.2308546937827902"/>
  </r>
  <r>
    <x v="0"/>
    <x v="0"/>
    <x v="0"/>
    <x v="0"/>
    <x v="0"/>
    <s v="DK1_Rural"/>
    <x v="11"/>
    <x v="3"/>
    <x v="9"/>
    <s v="GNR_HS_HEAT_PIT_L-DEC_E-91_Y-2030"/>
    <x v="6"/>
    <n v="1.59096296759905"/>
  </r>
  <r>
    <x v="0"/>
    <x v="0"/>
    <x v="0"/>
    <x v="0"/>
    <x v="0"/>
    <s v="DK1_Rural"/>
    <x v="11"/>
    <x v="3"/>
    <x v="10"/>
    <s v="GNR_HS_HEAT_WTR-TANK_LS_E-95_Y-2010"/>
    <x v="6"/>
    <n v="0.23350720434494601"/>
  </r>
  <r>
    <x v="0"/>
    <x v="0"/>
    <x v="0"/>
    <x v="0"/>
    <x v="0"/>
    <s v="DK1_Small"/>
    <x v="11"/>
    <x v="3"/>
    <x v="10"/>
    <s v="GNR_HS_HEAT_WTR-TANK_LS_E-95_Y-2010"/>
    <x v="6"/>
    <n v="7.7213012072990103E-3"/>
  </r>
  <r>
    <x v="0"/>
    <x v="0"/>
    <x v="0"/>
    <x v="0"/>
    <x v="1"/>
    <s v="DK2_Large"/>
    <x v="3"/>
    <x v="1"/>
    <x v="1"/>
    <s v="GNR_GT_NGAS_BP_E-43_LS-40-MW_Y-2030"/>
    <x v="6"/>
    <n v="14.7413813686499"/>
  </r>
  <r>
    <x v="0"/>
    <x v="0"/>
    <x v="0"/>
    <x v="0"/>
    <x v="1"/>
    <s v="DK2_Large"/>
    <x v="11"/>
    <x v="3"/>
    <x v="9"/>
    <s v="GNR_HS_HEAT_PIT_L-CEN_E-90_Y-2030"/>
    <x v="6"/>
    <n v="7.9983407175650898"/>
  </r>
  <r>
    <x v="0"/>
    <x v="0"/>
    <x v="0"/>
    <x v="0"/>
    <x v="1"/>
    <s v="DK2_Large"/>
    <x v="11"/>
    <x v="3"/>
    <x v="10"/>
    <s v="GNR_HS_HEAT_WTR-TANK_LS_E-95_Y-2010"/>
    <x v="6"/>
    <n v="1.3232773694001201"/>
  </r>
  <r>
    <x v="0"/>
    <x v="0"/>
    <x v="0"/>
    <x v="0"/>
    <x v="1"/>
    <s v="DK2_Large"/>
    <x v="2"/>
    <x v="1"/>
    <x v="1"/>
    <s v="GNR_ST_MSW_BP_E-24_LS-220-MW-FEED_Y-2030"/>
    <x v="6"/>
    <n v="70.709447466175305"/>
  </r>
  <r>
    <x v="0"/>
    <x v="0"/>
    <x v="0"/>
    <x v="0"/>
    <x v="1"/>
    <s v="DK2_Large_PHH"/>
    <x v="6"/>
    <x v="2"/>
    <x v="2"/>
    <s v="GNR_BO_ELEC_E-99_LS-10-MW-FEED_PHH_Y-2030"/>
    <x v="6"/>
    <n v="0.11087214250474101"/>
  </r>
  <r>
    <x v="0"/>
    <x v="0"/>
    <x v="0"/>
    <x v="0"/>
    <x v="1"/>
    <s v="DK2_MedSmall"/>
    <x v="3"/>
    <x v="1"/>
    <x v="1"/>
    <s v="GNR_ENG_NGAS_BP_E-48_Y-2030"/>
    <x v="6"/>
    <n v="8.9913329388758694"/>
  </r>
  <r>
    <x v="0"/>
    <x v="0"/>
    <x v="0"/>
    <x v="0"/>
    <x v="1"/>
    <s v="DK2_MedSmall"/>
    <x v="11"/>
    <x v="3"/>
    <x v="9"/>
    <s v="GNR_HS_HEAT_PIT_L-DEC_E-91_Y-2030"/>
    <x v="6"/>
    <n v="0.50671484805211198"/>
  </r>
  <r>
    <x v="0"/>
    <x v="0"/>
    <x v="0"/>
    <x v="0"/>
    <x v="1"/>
    <s v="DK2_MedSmall"/>
    <x v="11"/>
    <x v="3"/>
    <x v="10"/>
    <s v="GNR_HS_HEAT_WTR-TANK_LS_E-95_Y-2010"/>
    <x v="6"/>
    <n v="8.9711278917975104E-2"/>
  </r>
  <r>
    <x v="0"/>
    <x v="0"/>
    <x v="0"/>
    <x v="0"/>
    <x v="1"/>
    <s v="DK2_Medium"/>
    <x v="3"/>
    <x v="1"/>
    <x v="1"/>
    <s v="GNR_ENG_NGAS_BP_E-48_Y-2030"/>
    <x v="6"/>
    <n v="18.808009115850201"/>
  </r>
  <r>
    <x v="0"/>
    <x v="0"/>
    <x v="0"/>
    <x v="0"/>
    <x v="1"/>
    <s v="DK2_Medium"/>
    <x v="11"/>
    <x v="3"/>
    <x v="9"/>
    <s v="GNR_HS_HEAT_PIT_L-DEC_E-91_Y-2030"/>
    <x v="6"/>
    <n v="0.88818689998984501"/>
  </r>
  <r>
    <x v="0"/>
    <x v="0"/>
    <x v="0"/>
    <x v="0"/>
    <x v="1"/>
    <s v="DK2_Medium"/>
    <x v="11"/>
    <x v="3"/>
    <x v="10"/>
    <s v="GNR_HS_HEAT_WTR-TANK_LS_E-95_Y-2010"/>
    <x v="6"/>
    <n v="0.28846912839087802"/>
  </r>
  <r>
    <x v="0"/>
    <x v="0"/>
    <x v="0"/>
    <x v="0"/>
    <x v="1"/>
    <s v="DK2_NoDH"/>
    <x v="6"/>
    <x v="3"/>
    <x v="3"/>
    <s v="GNR_ES_ELEC_BAT-LITHIO_E-97_Y-30-50"/>
    <x v="6"/>
    <n v="3.1470787741013599"/>
  </r>
  <r>
    <x v="0"/>
    <x v="0"/>
    <x v="0"/>
    <x v="0"/>
    <x v="1"/>
    <s v="DK2_NoDH"/>
    <x v="7"/>
    <x v="5"/>
    <x v="5"/>
    <s v="GNR_PV_SUN_LS-4-MW_Y-2030"/>
    <x v="6"/>
    <n v="76.807161512692304"/>
  </r>
  <r>
    <x v="0"/>
    <x v="0"/>
    <x v="0"/>
    <x v="0"/>
    <x v="1"/>
    <s v="DK2_NoDH_PHH"/>
    <x v="6"/>
    <x v="2"/>
    <x v="2"/>
    <s v="GNR_BO_ELEC_E-99_LS-10-MW-FEED_PHH_Y-2030"/>
    <x v="6"/>
    <n v="0.124252582899255"/>
  </r>
  <r>
    <x v="0"/>
    <x v="0"/>
    <x v="0"/>
    <x v="0"/>
    <x v="1"/>
    <s v="DK2_Rural"/>
    <x v="3"/>
    <x v="1"/>
    <x v="1"/>
    <s v="GNR_CC_NGAS_BP_E-53_SS-10-MW_Y-2030"/>
    <x v="6"/>
    <n v="5.3101701052450698"/>
  </r>
  <r>
    <x v="0"/>
    <x v="0"/>
    <x v="0"/>
    <x v="0"/>
    <x v="1"/>
    <s v="DK2_Rural"/>
    <x v="11"/>
    <x v="3"/>
    <x v="9"/>
    <s v="GNR_HS_HEAT_PIT_L-DEC_E-91_Y-2030"/>
    <x v="6"/>
    <n v="0.515379939377407"/>
  </r>
  <r>
    <x v="0"/>
    <x v="0"/>
    <x v="0"/>
    <x v="0"/>
    <x v="1"/>
    <s v="DK2_Rural"/>
    <x v="11"/>
    <x v="3"/>
    <x v="10"/>
    <s v="GNR_HS_HEAT_WTR-TANK_LS_E-95_Y-2010"/>
    <x v="6"/>
    <n v="0.18625575727446"/>
  </r>
  <r>
    <x v="0"/>
    <x v="0"/>
    <x v="0"/>
    <x v="0"/>
    <x v="1"/>
    <s v="DK2_Small"/>
    <x v="3"/>
    <x v="1"/>
    <x v="1"/>
    <s v="GNR_CC_NGAS_BP_E-53_SS-10-MW_Y-2030"/>
    <x v="6"/>
    <n v="1.6843608820277001"/>
  </r>
  <r>
    <x v="0"/>
    <x v="0"/>
    <x v="0"/>
    <x v="0"/>
    <x v="1"/>
    <s v="DK2_Small"/>
    <x v="11"/>
    <x v="3"/>
    <x v="9"/>
    <s v="GNR_HS_HEAT_PIT_L-DEC_E-91_Y-2030"/>
    <x v="6"/>
    <n v="4.7330605792717903E-2"/>
  </r>
  <r>
    <x v="0"/>
    <x v="0"/>
    <x v="0"/>
    <x v="0"/>
    <x v="1"/>
    <s v="DK2_Small"/>
    <x v="11"/>
    <x v="3"/>
    <x v="10"/>
    <s v="GNR_HS_HEAT_WTR-TANK_LS_E-95_Y-2010"/>
    <x v="6"/>
    <n v="1.8344890214878701E-2"/>
  </r>
  <r>
    <x v="0"/>
    <x v="0"/>
    <x v="0"/>
    <x v="0"/>
    <x v="0"/>
    <s v="DK1_Large"/>
    <x v="1"/>
    <x v="1"/>
    <x v="1"/>
    <s v="GNR_ENG_BGAS_BP_E-36"/>
    <x v="7"/>
    <n v="6.0412730742000001E-2"/>
  </r>
  <r>
    <x v="0"/>
    <x v="0"/>
    <x v="0"/>
    <x v="0"/>
    <x v="0"/>
    <s v="DK1_Large"/>
    <x v="1"/>
    <x v="1"/>
    <x v="1"/>
    <s v="GNR_ENG_BGAS_BP_E-37"/>
    <x v="7"/>
    <n v="3.6283922367567598E-2"/>
  </r>
  <r>
    <x v="0"/>
    <x v="0"/>
    <x v="0"/>
    <x v="0"/>
    <x v="0"/>
    <s v="DK1_Large"/>
    <x v="1"/>
    <x v="1"/>
    <x v="1"/>
    <s v="GNR_ENG_BGAS_BP_E-39"/>
    <x v="7"/>
    <n v="0.2323566567"/>
  </r>
  <r>
    <x v="0"/>
    <x v="0"/>
    <x v="0"/>
    <x v="0"/>
    <x v="0"/>
    <s v="DK1_Large"/>
    <x v="1"/>
    <x v="1"/>
    <x v="1"/>
    <s v="GNR_ENG_BGAS_BP_E-40"/>
    <x v="7"/>
    <n v="8.3436693680339902E-2"/>
  </r>
  <r>
    <x v="0"/>
    <x v="0"/>
    <x v="0"/>
    <x v="0"/>
    <x v="0"/>
    <s v="DK1_Large"/>
    <x v="1"/>
    <x v="1"/>
    <x v="1"/>
    <s v="GNR_ENG_BGAS_BP_E-41"/>
    <x v="7"/>
    <n v="0.17531152324805899"/>
  </r>
  <r>
    <x v="0"/>
    <x v="0"/>
    <x v="0"/>
    <x v="0"/>
    <x v="0"/>
    <s v="DK1_Large"/>
    <x v="1"/>
    <x v="1"/>
    <x v="1"/>
    <s v="GNR_ENG_BGAS_BP_E-42"/>
    <x v="7"/>
    <n v="0.15822381861000001"/>
  </r>
  <r>
    <x v="0"/>
    <x v="0"/>
    <x v="0"/>
    <x v="0"/>
    <x v="0"/>
    <s v="DK1_Large"/>
    <x v="1"/>
    <x v="1"/>
    <x v="1"/>
    <s v="GNR_ENG_BGAS_BP_E-43"/>
    <x v="7"/>
    <n v="0.44394250955938602"/>
  </r>
  <r>
    <x v="0"/>
    <x v="0"/>
    <x v="0"/>
    <x v="0"/>
    <x v="0"/>
    <s v="DK1_Large"/>
    <x v="2"/>
    <x v="7"/>
    <x v="11"/>
    <s v="GNR_BO_MSW_E-105"/>
    <x v="7"/>
    <n v="2.3395254826843501E-2"/>
  </r>
  <r>
    <x v="0"/>
    <x v="0"/>
    <x v="0"/>
    <x v="0"/>
    <x v="0"/>
    <s v="DK1_Large"/>
    <x v="2"/>
    <x v="1"/>
    <x v="1"/>
    <s v="GNR_ST_MSW_BP_E-24_LS-220-MW-FEED_Y-2030"/>
    <x v="7"/>
    <n v="0.78577691902000102"/>
  </r>
  <r>
    <x v="0"/>
    <x v="0"/>
    <x v="0"/>
    <x v="0"/>
    <x v="0"/>
    <s v="DK1_Large"/>
    <x v="2"/>
    <x v="1"/>
    <x v="1"/>
    <s v="GNR_ST_MSW_BP_E-27"/>
    <x v="7"/>
    <n v="5.8163202972291397E-2"/>
  </r>
  <r>
    <x v="0"/>
    <x v="0"/>
    <x v="0"/>
    <x v="0"/>
    <x v="0"/>
    <s v="DK1_Large"/>
    <x v="3"/>
    <x v="1"/>
    <x v="1"/>
    <s v="GNR_ENG_NGAS_BP_E-39"/>
    <x v="7"/>
    <n v="0.40201596058703698"/>
  </r>
  <r>
    <x v="0"/>
    <x v="0"/>
    <x v="0"/>
    <x v="0"/>
    <x v="0"/>
    <s v="DK1_Large"/>
    <x v="3"/>
    <x v="1"/>
    <x v="1"/>
    <s v="GNR_ENG_NGAS_BP_E-42"/>
    <x v="7"/>
    <n v="0.293163431600729"/>
  </r>
  <r>
    <x v="0"/>
    <x v="0"/>
    <x v="0"/>
    <x v="0"/>
    <x v="0"/>
    <s v="DK1_Large"/>
    <x v="3"/>
    <x v="1"/>
    <x v="1"/>
    <s v="GNR_ENG_NGAS_BP_E-43"/>
    <x v="7"/>
    <n v="0.42796994062313998"/>
  </r>
  <r>
    <x v="0"/>
    <x v="0"/>
    <x v="0"/>
    <x v="0"/>
    <x v="0"/>
    <s v="DK1_Large"/>
    <x v="3"/>
    <x v="1"/>
    <x v="1"/>
    <s v="GNR_ENG_NGAS_BP_E-46"/>
    <x v="7"/>
    <n v="0.115280118159271"/>
  </r>
  <r>
    <x v="0"/>
    <x v="0"/>
    <x v="0"/>
    <x v="0"/>
    <x v="0"/>
    <s v="DK1_Large"/>
    <x v="3"/>
    <x v="1"/>
    <x v="1"/>
    <s v="GNR_GT_NGAS_BP_E-43_LS-40-MW_Y-2030"/>
    <x v="7"/>
    <n v="12.119442423124299"/>
  </r>
  <r>
    <x v="0"/>
    <x v="0"/>
    <x v="0"/>
    <x v="0"/>
    <x v="0"/>
    <s v="DK1_Large"/>
    <x v="4"/>
    <x v="7"/>
    <x v="11"/>
    <s v="GNR_BO_STRW_E-100"/>
    <x v="7"/>
    <n v="2.7447967708534401E-2"/>
  </r>
  <r>
    <x v="0"/>
    <x v="0"/>
    <x v="0"/>
    <x v="0"/>
    <x v="0"/>
    <s v="DK1_Large"/>
    <x v="4"/>
    <x v="7"/>
    <x v="11"/>
    <s v="GNR_BO_STRW_E-102"/>
    <x v="7"/>
    <n v="3.2918750535649501E-2"/>
  </r>
  <r>
    <x v="0"/>
    <x v="0"/>
    <x v="0"/>
    <x v="0"/>
    <x v="0"/>
    <s v="DK1_Large"/>
    <x v="4"/>
    <x v="1"/>
    <x v="1"/>
    <s v="GNR_ST_STRW_BP_E-26"/>
    <x v="7"/>
    <n v="10.4505762536426"/>
  </r>
  <r>
    <x v="0"/>
    <x v="0"/>
    <x v="0"/>
    <x v="0"/>
    <x v="0"/>
    <s v="DK1_Large"/>
    <x v="12"/>
    <x v="7"/>
    <x v="11"/>
    <s v="GNR_EH_HEAT"/>
    <x v="7"/>
    <n v="0.513518448198794"/>
  </r>
  <r>
    <x v="0"/>
    <x v="0"/>
    <x v="0"/>
    <x v="0"/>
    <x v="0"/>
    <s v="DK1_Large_PHH"/>
    <x v="3"/>
    <x v="7"/>
    <x v="11"/>
    <s v="GNR_BO_NGAS_E-70_PHH"/>
    <x v="7"/>
    <n v="23.212116197642501"/>
  </r>
  <r>
    <x v="0"/>
    <x v="0"/>
    <x v="0"/>
    <x v="0"/>
    <x v="0"/>
    <s v="DK1_Large_PHL"/>
    <x v="3"/>
    <x v="7"/>
    <x v="11"/>
    <s v="GNR_BO_NGAS_E-82_PHL"/>
    <x v="7"/>
    <n v="51.818515256325"/>
  </r>
  <r>
    <x v="0"/>
    <x v="0"/>
    <x v="0"/>
    <x v="0"/>
    <x v="0"/>
    <s v="DK1_MedSmall"/>
    <x v="3"/>
    <x v="7"/>
    <x v="11"/>
    <s v="GNR_BO_NGAS_E-100"/>
    <x v="7"/>
    <n v="0.26181154859651501"/>
  </r>
  <r>
    <x v="0"/>
    <x v="0"/>
    <x v="0"/>
    <x v="0"/>
    <x v="0"/>
    <s v="DK1_MedSmall"/>
    <x v="3"/>
    <x v="7"/>
    <x v="11"/>
    <s v="GNR_BO_NGAS_E-101"/>
    <x v="7"/>
    <n v="0.59336504599814599"/>
  </r>
  <r>
    <x v="0"/>
    <x v="0"/>
    <x v="0"/>
    <x v="0"/>
    <x v="0"/>
    <s v="DK1_MedSmall"/>
    <x v="3"/>
    <x v="7"/>
    <x v="11"/>
    <s v="GNR_BO_NGAS_E-102"/>
    <x v="7"/>
    <n v="9.0802832796685995E-2"/>
  </r>
  <r>
    <x v="0"/>
    <x v="0"/>
    <x v="0"/>
    <x v="0"/>
    <x v="0"/>
    <s v="DK1_MedSmall"/>
    <x v="3"/>
    <x v="1"/>
    <x v="1"/>
    <s v="GNR_ENG_NGAS_BP_E-41"/>
    <x v="7"/>
    <n v="0.57966166107282902"/>
  </r>
  <r>
    <x v="0"/>
    <x v="0"/>
    <x v="0"/>
    <x v="0"/>
    <x v="0"/>
    <s v="DK1_MedSmall"/>
    <x v="4"/>
    <x v="7"/>
    <x v="11"/>
    <s v="GNR_BO_STRW_E-102"/>
    <x v="7"/>
    <n v="2.0183896757001101"/>
  </r>
  <r>
    <x v="0"/>
    <x v="0"/>
    <x v="0"/>
    <x v="0"/>
    <x v="0"/>
    <s v="DK1_MedSmall"/>
    <x v="12"/>
    <x v="7"/>
    <x v="11"/>
    <s v="GNR_EH_HEAT"/>
    <x v="7"/>
    <n v="0.107218137536012"/>
  </r>
  <r>
    <x v="0"/>
    <x v="0"/>
    <x v="0"/>
    <x v="0"/>
    <x v="0"/>
    <s v="DK1_Medium"/>
    <x v="1"/>
    <x v="1"/>
    <x v="1"/>
    <s v="GNR_ENG_BGAS_BP_E-39"/>
    <x v="7"/>
    <n v="4.3373242584E-2"/>
  </r>
  <r>
    <x v="0"/>
    <x v="0"/>
    <x v="0"/>
    <x v="0"/>
    <x v="0"/>
    <s v="DK1_Medium"/>
    <x v="1"/>
    <x v="1"/>
    <x v="1"/>
    <s v="GNR_ENG_BGAS_BP_E-41"/>
    <x v="7"/>
    <n v="0.21722387845117999"/>
  </r>
  <r>
    <x v="0"/>
    <x v="0"/>
    <x v="0"/>
    <x v="0"/>
    <x v="0"/>
    <s v="DK1_Medium"/>
    <x v="1"/>
    <x v="1"/>
    <x v="1"/>
    <s v="GNR_ENG_BGAS_BP_E-42"/>
    <x v="7"/>
    <n v="2.1096509148000001E-2"/>
  </r>
  <r>
    <x v="0"/>
    <x v="0"/>
    <x v="0"/>
    <x v="0"/>
    <x v="0"/>
    <s v="DK1_Medium"/>
    <x v="3"/>
    <x v="1"/>
    <x v="1"/>
    <s v="GNR_ENG_NGAS_BP_E-41"/>
    <x v="7"/>
    <n v="0.44441711661467498"/>
  </r>
  <r>
    <x v="0"/>
    <x v="0"/>
    <x v="0"/>
    <x v="0"/>
    <x v="0"/>
    <s v="DK1_Medium"/>
    <x v="3"/>
    <x v="1"/>
    <x v="1"/>
    <s v="GNR_ENG_NGAS_BP_E-42"/>
    <x v="7"/>
    <n v="0.804253661913504"/>
  </r>
  <r>
    <x v="0"/>
    <x v="0"/>
    <x v="0"/>
    <x v="0"/>
    <x v="0"/>
    <s v="DK1_Medium"/>
    <x v="3"/>
    <x v="1"/>
    <x v="1"/>
    <s v="GNR_ENG_NGAS_BP_E-43"/>
    <x v="7"/>
    <n v="0.19990701173844"/>
  </r>
  <r>
    <x v="0"/>
    <x v="0"/>
    <x v="0"/>
    <x v="0"/>
    <x v="0"/>
    <s v="DK1_Medium"/>
    <x v="3"/>
    <x v="1"/>
    <x v="1"/>
    <s v="GNR_ENG_NGAS_BP_E-44"/>
    <x v="7"/>
    <n v="0.708262095814151"/>
  </r>
  <r>
    <x v="0"/>
    <x v="0"/>
    <x v="0"/>
    <x v="0"/>
    <x v="0"/>
    <s v="DK1_Medium"/>
    <x v="3"/>
    <x v="1"/>
    <x v="1"/>
    <s v="GNR_ENG_NGAS_BP_E-48_Y-2030"/>
    <x v="7"/>
    <n v="164.993244384516"/>
  </r>
  <r>
    <x v="0"/>
    <x v="0"/>
    <x v="0"/>
    <x v="0"/>
    <x v="0"/>
    <s v="DK1_Medium"/>
    <x v="4"/>
    <x v="7"/>
    <x v="11"/>
    <s v="GNR_BO_STRW_E-102"/>
    <x v="7"/>
    <n v="1.26449803644876E-2"/>
  </r>
  <r>
    <x v="0"/>
    <x v="0"/>
    <x v="0"/>
    <x v="0"/>
    <x v="0"/>
    <s v="DK1_Medium"/>
    <x v="12"/>
    <x v="7"/>
    <x v="11"/>
    <s v="GNR_EH_HEAT"/>
    <x v="7"/>
    <n v="0.22854392474781501"/>
  </r>
  <r>
    <x v="0"/>
    <x v="0"/>
    <x v="0"/>
    <x v="0"/>
    <x v="0"/>
    <s v="DK1_Medium"/>
    <x v="12"/>
    <x v="7"/>
    <x v="11"/>
    <s v="GNR_GEO_HEAT_HO"/>
    <x v="7"/>
    <n v="2.8215299351582099E-2"/>
  </r>
  <r>
    <x v="0"/>
    <x v="0"/>
    <x v="0"/>
    <x v="0"/>
    <x v="0"/>
    <s v="DK1_NoDH"/>
    <x v="3"/>
    <x v="4"/>
    <x v="4"/>
    <s v="GNR_ENG_NGAS_CND_E-41"/>
    <x v="7"/>
    <n v="1.8071978429779501"/>
  </r>
  <r>
    <x v="0"/>
    <x v="0"/>
    <x v="0"/>
    <x v="0"/>
    <x v="0"/>
    <s v="DK1_NoDH"/>
    <x v="3"/>
    <x v="4"/>
    <x v="4"/>
    <s v="GNR_ENG_NGAS_CND_E-46"/>
    <x v="7"/>
    <n v="5.8956042163645403E-2"/>
  </r>
  <r>
    <x v="0"/>
    <x v="0"/>
    <x v="0"/>
    <x v="0"/>
    <x v="0"/>
    <s v="DK1_NoDH_PHH"/>
    <x v="3"/>
    <x v="7"/>
    <x v="11"/>
    <s v="GNR_BO_NGAS_E-70_PHH"/>
    <x v="7"/>
    <n v="0.51029930881282004"/>
  </r>
  <r>
    <x v="0"/>
    <x v="0"/>
    <x v="0"/>
    <x v="0"/>
    <x v="0"/>
    <s v="DK1_NoDH_PHL"/>
    <x v="3"/>
    <x v="7"/>
    <x v="11"/>
    <s v="GNR_BO_NGAS_E-82_PHL"/>
    <x v="7"/>
    <n v="269.59547534391498"/>
  </r>
  <r>
    <x v="0"/>
    <x v="0"/>
    <x v="0"/>
    <x v="0"/>
    <x v="0"/>
    <s v="DK1_Rural"/>
    <x v="1"/>
    <x v="1"/>
    <x v="1"/>
    <s v="GNR_ENG_BGAS_BP_E-30"/>
    <x v="7"/>
    <n v="0.53700205103999998"/>
  </r>
  <r>
    <x v="0"/>
    <x v="0"/>
    <x v="0"/>
    <x v="0"/>
    <x v="0"/>
    <s v="DK1_Rural"/>
    <x v="1"/>
    <x v="1"/>
    <x v="1"/>
    <s v="GNR_ENG_BGAS_BP_E-37"/>
    <x v="7"/>
    <n v="0.127356567510162"/>
  </r>
  <r>
    <x v="0"/>
    <x v="0"/>
    <x v="0"/>
    <x v="0"/>
    <x v="0"/>
    <s v="DK1_Rural"/>
    <x v="1"/>
    <x v="1"/>
    <x v="1"/>
    <s v="GNR_ENG_BGAS_BP_E-38"/>
    <x v="7"/>
    <n v="5.6526531688420999E-2"/>
  </r>
  <r>
    <x v="0"/>
    <x v="0"/>
    <x v="0"/>
    <x v="0"/>
    <x v="0"/>
    <s v="DK1_Rural"/>
    <x v="1"/>
    <x v="1"/>
    <x v="1"/>
    <s v="GNR_ENG_BGAS_BP_E-39"/>
    <x v="7"/>
    <n v="9.9597816303999998E-2"/>
  </r>
  <r>
    <x v="0"/>
    <x v="0"/>
    <x v="0"/>
    <x v="0"/>
    <x v="0"/>
    <s v="DK1_Rural"/>
    <x v="1"/>
    <x v="1"/>
    <x v="1"/>
    <s v="GNR_ENG_BGAS_BP_E-40"/>
    <x v="7"/>
    <n v="0.99300629271480001"/>
  </r>
  <r>
    <x v="0"/>
    <x v="0"/>
    <x v="0"/>
    <x v="0"/>
    <x v="0"/>
    <s v="DK1_Rural"/>
    <x v="1"/>
    <x v="1"/>
    <x v="1"/>
    <s v="GNR_ENG_BGAS_BP_E-41"/>
    <x v="7"/>
    <n v="0.180310444780098"/>
  </r>
  <r>
    <x v="0"/>
    <x v="0"/>
    <x v="0"/>
    <x v="0"/>
    <x v="0"/>
    <s v="DK1_Rural"/>
    <x v="1"/>
    <x v="1"/>
    <x v="1"/>
    <s v="GNR_ENG_BGAS_BP_E-42"/>
    <x v="7"/>
    <n v="0.99643713915200005"/>
  </r>
  <r>
    <x v="0"/>
    <x v="0"/>
    <x v="0"/>
    <x v="0"/>
    <x v="0"/>
    <s v="DK1_Rural"/>
    <x v="1"/>
    <x v="1"/>
    <x v="1"/>
    <s v="GNR_ENG_BGAS_BP_E-43"/>
    <x v="7"/>
    <n v="0.74888890683795395"/>
  </r>
  <r>
    <x v="0"/>
    <x v="0"/>
    <x v="0"/>
    <x v="0"/>
    <x v="0"/>
    <s v="DK1_Rural"/>
    <x v="3"/>
    <x v="7"/>
    <x v="11"/>
    <s v="GNR_BO_NGAS_E-101"/>
    <x v="7"/>
    <n v="0.24197404340392001"/>
  </r>
  <r>
    <x v="0"/>
    <x v="0"/>
    <x v="0"/>
    <x v="0"/>
    <x v="0"/>
    <s v="DK1_Rural"/>
    <x v="3"/>
    <x v="7"/>
    <x v="11"/>
    <s v="GNR_BO_NGAS_E-102"/>
    <x v="7"/>
    <n v="8.07729774093396E-2"/>
  </r>
  <r>
    <x v="0"/>
    <x v="0"/>
    <x v="0"/>
    <x v="0"/>
    <x v="0"/>
    <s v="DK1_Rural"/>
    <x v="3"/>
    <x v="7"/>
    <x v="11"/>
    <s v="GNR_BO_NGAS_E-104"/>
    <x v="7"/>
    <n v="2.4563330410385598E-2"/>
  </r>
  <r>
    <x v="0"/>
    <x v="0"/>
    <x v="0"/>
    <x v="0"/>
    <x v="0"/>
    <s v="DK1_Rural"/>
    <x v="3"/>
    <x v="7"/>
    <x v="11"/>
    <s v="GNR_BO_NGAS_E-105"/>
    <x v="7"/>
    <n v="0.397579861856862"/>
  </r>
  <r>
    <x v="0"/>
    <x v="0"/>
    <x v="0"/>
    <x v="0"/>
    <x v="0"/>
    <s v="DK1_Rural"/>
    <x v="3"/>
    <x v="1"/>
    <x v="1"/>
    <s v="GNR_ENG_NGAS_BP_E-37"/>
    <x v="7"/>
    <n v="0.93845954760683103"/>
  </r>
  <r>
    <x v="0"/>
    <x v="0"/>
    <x v="0"/>
    <x v="0"/>
    <x v="0"/>
    <s v="DK1_Rural"/>
    <x v="3"/>
    <x v="1"/>
    <x v="1"/>
    <s v="GNR_ENG_NGAS_BP_E-38"/>
    <x v="7"/>
    <n v="0.43011868166851303"/>
  </r>
  <r>
    <x v="0"/>
    <x v="0"/>
    <x v="0"/>
    <x v="0"/>
    <x v="0"/>
    <s v="DK1_Rural"/>
    <x v="3"/>
    <x v="1"/>
    <x v="1"/>
    <s v="GNR_ENG_NGAS_BP_E-39"/>
    <x v="7"/>
    <n v="0.34148073872258"/>
  </r>
  <r>
    <x v="0"/>
    <x v="0"/>
    <x v="0"/>
    <x v="0"/>
    <x v="0"/>
    <s v="DK1_Rural"/>
    <x v="3"/>
    <x v="1"/>
    <x v="1"/>
    <s v="GNR_ENG_NGAS_BP_E-40"/>
    <x v="7"/>
    <n v="0.83901817504137799"/>
  </r>
  <r>
    <x v="0"/>
    <x v="0"/>
    <x v="0"/>
    <x v="0"/>
    <x v="0"/>
    <s v="DK1_Rural"/>
    <x v="3"/>
    <x v="1"/>
    <x v="1"/>
    <s v="GNR_ENG_NGAS_BP_E-41"/>
    <x v="7"/>
    <n v="2.8029650601653899"/>
  </r>
  <r>
    <x v="0"/>
    <x v="0"/>
    <x v="0"/>
    <x v="0"/>
    <x v="0"/>
    <s v="DK1_Rural"/>
    <x v="3"/>
    <x v="1"/>
    <x v="1"/>
    <s v="GNR_ENG_NGAS_BP_E-42"/>
    <x v="7"/>
    <n v="7.81815273009079"/>
  </r>
  <r>
    <x v="0"/>
    <x v="0"/>
    <x v="0"/>
    <x v="0"/>
    <x v="0"/>
    <s v="DK1_Rural"/>
    <x v="3"/>
    <x v="1"/>
    <x v="1"/>
    <s v="GNR_ENG_NGAS_BP_E-43"/>
    <x v="7"/>
    <n v="4.6805270427255499"/>
  </r>
  <r>
    <x v="0"/>
    <x v="0"/>
    <x v="0"/>
    <x v="0"/>
    <x v="0"/>
    <s v="DK1_Rural"/>
    <x v="3"/>
    <x v="1"/>
    <x v="1"/>
    <s v="GNR_ENG_NGAS_BP_E-44"/>
    <x v="7"/>
    <n v="4.1642729440758997"/>
  </r>
  <r>
    <x v="0"/>
    <x v="0"/>
    <x v="0"/>
    <x v="0"/>
    <x v="0"/>
    <s v="DK1_Rural"/>
    <x v="3"/>
    <x v="1"/>
    <x v="1"/>
    <s v="GNR_ENG_NGAS_BP_E-45"/>
    <x v="7"/>
    <n v="1.64655803471324"/>
  </r>
  <r>
    <x v="0"/>
    <x v="0"/>
    <x v="0"/>
    <x v="0"/>
    <x v="0"/>
    <s v="DK1_Rural"/>
    <x v="3"/>
    <x v="1"/>
    <x v="1"/>
    <s v="GNR_ENG_NGAS_BP_E-46"/>
    <x v="7"/>
    <n v="0.57482141109554297"/>
  </r>
  <r>
    <x v="0"/>
    <x v="0"/>
    <x v="0"/>
    <x v="0"/>
    <x v="0"/>
    <s v="DK1_Rural"/>
    <x v="4"/>
    <x v="7"/>
    <x v="11"/>
    <s v="GNR_BO_STRW_E-100"/>
    <x v="7"/>
    <n v="15.1874195888303"/>
  </r>
  <r>
    <x v="0"/>
    <x v="0"/>
    <x v="0"/>
    <x v="0"/>
    <x v="0"/>
    <s v="DK1_Rural"/>
    <x v="4"/>
    <x v="7"/>
    <x v="11"/>
    <s v="GNR_BO_STRW_E-102"/>
    <x v="7"/>
    <n v="4.8390563287404804"/>
  </r>
  <r>
    <x v="0"/>
    <x v="0"/>
    <x v="0"/>
    <x v="0"/>
    <x v="0"/>
    <s v="DK1_Rural"/>
    <x v="12"/>
    <x v="7"/>
    <x v="11"/>
    <s v="GNR_EH_HEAT"/>
    <x v="7"/>
    <n v="0.30754676293224498"/>
  </r>
  <r>
    <x v="0"/>
    <x v="0"/>
    <x v="0"/>
    <x v="0"/>
    <x v="0"/>
    <s v="DK1_Rural"/>
    <x v="13"/>
    <x v="7"/>
    <x v="11"/>
    <s v="GNR_BO_WOODWST_E-100"/>
    <x v="7"/>
    <n v="3.92636667761237"/>
  </r>
  <r>
    <x v="0"/>
    <x v="0"/>
    <x v="0"/>
    <x v="0"/>
    <x v="0"/>
    <s v="DK1_Rural"/>
    <x v="13"/>
    <x v="7"/>
    <x v="11"/>
    <s v="GNR_BO_WOODWST_E-113"/>
    <x v="7"/>
    <n v="0.63341265216573905"/>
  </r>
  <r>
    <x v="0"/>
    <x v="0"/>
    <x v="0"/>
    <x v="0"/>
    <x v="0"/>
    <s v="DK1_Rural"/>
    <x v="13"/>
    <x v="7"/>
    <x v="11"/>
    <s v="GNR_BO_WOODWST_E-86"/>
    <x v="7"/>
    <n v="0.24489500795942801"/>
  </r>
  <r>
    <x v="0"/>
    <x v="0"/>
    <x v="0"/>
    <x v="0"/>
    <x v="0"/>
    <s v="DK1_Rural"/>
    <x v="13"/>
    <x v="7"/>
    <x v="11"/>
    <s v="GNR_BO_WOODWST_E-89"/>
    <x v="7"/>
    <n v="0.16902865717905999"/>
  </r>
  <r>
    <x v="0"/>
    <x v="0"/>
    <x v="0"/>
    <x v="0"/>
    <x v="0"/>
    <s v="DK1_Rural"/>
    <x v="13"/>
    <x v="7"/>
    <x v="11"/>
    <s v="GNR_BO_WOODWST_E-90"/>
    <x v="7"/>
    <n v="0.150435504889363"/>
  </r>
  <r>
    <x v="0"/>
    <x v="0"/>
    <x v="0"/>
    <x v="0"/>
    <x v="0"/>
    <s v="DK1_Rural"/>
    <x v="13"/>
    <x v="7"/>
    <x v="11"/>
    <s v="GNR_BO_WOODWST_E-94"/>
    <x v="7"/>
    <n v="0.15738881535323801"/>
  </r>
  <r>
    <x v="0"/>
    <x v="0"/>
    <x v="0"/>
    <x v="0"/>
    <x v="0"/>
    <s v="DK1_Small"/>
    <x v="3"/>
    <x v="7"/>
    <x v="11"/>
    <s v="GNR_BO_NGAS_E-101"/>
    <x v="7"/>
    <n v="4.9089801171426396E-3"/>
  </r>
  <r>
    <x v="0"/>
    <x v="0"/>
    <x v="0"/>
    <x v="0"/>
    <x v="0"/>
    <s v="DK1_Small"/>
    <x v="3"/>
    <x v="1"/>
    <x v="1"/>
    <s v="GNR_ENG_NGAS_BP_E-38"/>
    <x v="7"/>
    <n v="0.16201137009513999"/>
  </r>
  <r>
    <x v="0"/>
    <x v="0"/>
    <x v="0"/>
    <x v="0"/>
    <x v="0"/>
    <s v="DK1_Small"/>
    <x v="4"/>
    <x v="7"/>
    <x v="11"/>
    <s v="GNR_BO_STRW_E-100"/>
    <x v="7"/>
    <n v="5.1084045109685201"/>
  </r>
  <r>
    <x v="0"/>
    <x v="0"/>
    <x v="0"/>
    <x v="0"/>
    <x v="0"/>
    <s v="DK1_Small"/>
    <x v="12"/>
    <x v="7"/>
    <x v="11"/>
    <s v="GNR_EH_HEAT"/>
    <x v="7"/>
    <n v="2.5393769416423899E-2"/>
  </r>
  <r>
    <x v="0"/>
    <x v="0"/>
    <x v="0"/>
    <x v="0"/>
    <x v="0"/>
    <s v="DK1_Small"/>
    <x v="13"/>
    <x v="7"/>
    <x v="11"/>
    <s v="GNR_BO_WOODWST_E-89"/>
    <x v="7"/>
    <n v="0.14024871115003801"/>
  </r>
  <r>
    <x v="0"/>
    <x v="0"/>
    <x v="0"/>
    <x v="0"/>
    <x v="1"/>
    <s v="DK2_Large"/>
    <x v="1"/>
    <x v="1"/>
    <x v="1"/>
    <s v="GNR_ENG_BGAS_BP_E-42"/>
    <x v="7"/>
    <n v="0.1947911011332"/>
  </r>
  <r>
    <x v="0"/>
    <x v="0"/>
    <x v="0"/>
    <x v="0"/>
    <x v="1"/>
    <s v="DK2_Large"/>
    <x v="10"/>
    <x v="1"/>
    <x v="8"/>
    <s v="GNR_ST_COAL_EXT_E-42"/>
    <x v="7"/>
    <n v="39.414285055157897"/>
  </r>
  <r>
    <x v="0"/>
    <x v="0"/>
    <x v="0"/>
    <x v="0"/>
    <x v="1"/>
    <s v="DK2_Large"/>
    <x v="2"/>
    <x v="1"/>
    <x v="1"/>
    <s v="GNR_ST_MSW_BP_E-24_LS-220-MW-FEED_Y-2030"/>
    <x v="7"/>
    <n v="0.47165347010738201"/>
  </r>
  <r>
    <x v="0"/>
    <x v="0"/>
    <x v="0"/>
    <x v="0"/>
    <x v="1"/>
    <s v="DK2_Large"/>
    <x v="2"/>
    <x v="1"/>
    <x v="1"/>
    <s v="GNR_ST_MSW_BP_E-27"/>
    <x v="7"/>
    <n v="6.3037214394550595E-2"/>
  </r>
  <r>
    <x v="0"/>
    <x v="0"/>
    <x v="0"/>
    <x v="0"/>
    <x v="1"/>
    <s v="DK2_Large"/>
    <x v="3"/>
    <x v="1"/>
    <x v="1"/>
    <s v="GNR_GT_NGAS_BP_E-43_LS-40-MW_Y-2030"/>
    <x v="7"/>
    <n v="42.231763648509101"/>
  </r>
  <r>
    <x v="0"/>
    <x v="0"/>
    <x v="0"/>
    <x v="0"/>
    <x v="1"/>
    <s v="DK2_Large"/>
    <x v="4"/>
    <x v="1"/>
    <x v="8"/>
    <s v="GNR_ST_COAL_EXT_E-42-Straw"/>
    <x v="7"/>
    <n v="39.972768507574401"/>
  </r>
  <r>
    <x v="0"/>
    <x v="0"/>
    <x v="0"/>
    <x v="0"/>
    <x v="1"/>
    <s v="DK2_Large"/>
    <x v="12"/>
    <x v="7"/>
    <x v="11"/>
    <s v="GNR_EH_HEAT"/>
    <x v="7"/>
    <n v="0.48812467878237098"/>
  </r>
  <r>
    <x v="0"/>
    <x v="0"/>
    <x v="0"/>
    <x v="0"/>
    <x v="1"/>
    <s v="DK2_Large"/>
    <x v="12"/>
    <x v="7"/>
    <x v="11"/>
    <s v="GNR_GEO_HEAT_HO"/>
    <x v="7"/>
    <n v="3.9501419092215002E-2"/>
  </r>
  <r>
    <x v="0"/>
    <x v="0"/>
    <x v="0"/>
    <x v="0"/>
    <x v="1"/>
    <s v="DK2_Large"/>
    <x v="13"/>
    <x v="7"/>
    <x v="11"/>
    <s v="GNR_BO_WOODWST_E-90"/>
    <x v="7"/>
    <n v="3.7107424539376203E-2"/>
  </r>
  <r>
    <x v="0"/>
    <x v="0"/>
    <x v="0"/>
    <x v="0"/>
    <x v="1"/>
    <s v="DK2_Large_PHH"/>
    <x v="3"/>
    <x v="7"/>
    <x v="11"/>
    <s v="GNR_BO_NGAS_E-70_PHH"/>
    <x v="7"/>
    <n v="9.6534605484544294"/>
  </r>
  <r>
    <x v="0"/>
    <x v="0"/>
    <x v="0"/>
    <x v="0"/>
    <x v="1"/>
    <s v="DK2_Large_PHL"/>
    <x v="3"/>
    <x v="7"/>
    <x v="11"/>
    <s v="GNR_BO_NGAS_E-82_PHL"/>
    <x v="7"/>
    <n v="49.740991727421203"/>
  </r>
  <r>
    <x v="0"/>
    <x v="0"/>
    <x v="0"/>
    <x v="0"/>
    <x v="1"/>
    <s v="DK2_MedSmall"/>
    <x v="1"/>
    <x v="1"/>
    <x v="1"/>
    <s v="GNR_ENG_BGAS_BP_E-38"/>
    <x v="7"/>
    <n v="1.7664541152631601E-2"/>
  </r>
  <r>
    <x v="0"/>
    <x v="0"/>
    <x v="0"/>
    <x v="0"/>
    <x v="1"/>
    <s v="DK2_MedSmall"/>
    <x v="3"/>
    <x v="1"/>
    <x v="1"/>
    <s v="GNR_ENG_NGAS_BP_E-48_Y-2030"/>
    <x v="7"/>
    <n v="28.215153375869399"/>
  </r>
  <r>
    <x v="0"/>
    <x v="0"/>
    <x v="0"/>
    <x v="0"/>
    <x v="1"/>
    <s v="DK2_MedSmall"/>
    <x v="12"/>
    <x v="7"/>
    <x v="11"/>
    <s v="GNR_EH_HEAT"/>
    <x v="7"/>
    <n v="3.9501419092215002E-2"/>
  </r>
  <r>
    <x v="0"/>
    <x v="0"/>
    <x v="0"/>
    <x v="0"/>
    <x v="1"/>
    <s v="DK2_Medium"/>
    <x v="2"/>
    <x v="1"/>
    <x v="1"/>
    <s v="GNR_ST_MSW_BP_E-23"/>
    <x v="7"/>
    <n v="3.0515549774143599E-2"/>
  </r>
  <r>
    <x v="0"/>
    <x v="0"/>
    <x v="0"/>
    <x v="0"/>
    <x v="1"/>
    <s v="DK2_Medium"/>
    <x v="3"/>
    <x v="1"/>
    <x v="1"/>
    <s v="GNR_ENG_NGAS_BP_E-35"/>
    <x v="7"/>
    <n v="0.100661426071755"/>
  </r>
  <r>
    <x v="0"/>
    <x v="0"/>
    <x v="0"/>
    <x v="0"/>
    <x v="1"/>
    <s v="DK2_Medium"/>
    <x v="3"/>
    <x v="1"/>
    <x v="1"/>
    <s v="GNR_ENG_NGAS_BP_E-42"/>
    <x v="7"/>
    <n v="0.201784072881524"/>
  </r>
  <r>
    <x v="0"/>
    <x v="0"/>
    <x v="0"/>
    <x v="0"/>
    <x v="1"/>
    <s v="DK2_Medium"/>
    <x v="3"/>
    <x v="1"/>
    <x v="1"/>
    <s v="GNR_ENG_NGAS_BP_E-48_Y-2030"/>
    <x v="7"/>
    <n v="58.666798182775601"/>
  </r>
  <r>
    <x v="0"/>
    <x v="0"/>
    <x v="0"/>
    <x v="0"/>
    <x v="1"/>
    <s v="DK2_Medium"/>
    <x v="12"/>
    <x v="7"/>
    <x v="11"/>
    <s v="GNR_EH_HEAT"/>
    <x v="7"/>
    <n v="9.5932017795379299E-2"/>
  </r>
  <r>
    <x v="0"/>
    <x v="0"/>
    <x v="0"/>
    <x v="0"/>
    <x v="1"/>
    <s v="DK2_NoDH_PHH"/>
    <x v="3"/>
    <x v="7"/>
    <x v="11"/>
    <s v="GNR_BO_NGAS_E-70_PHH"/>
    <x v="7"/>
    <n v="0.11098150268055"/>
  </r>
  <r>
    <x v="0"/>
    <x v="0"/>
    <x v="0"/>
    <x v="0"/>
    <x v="1"/>
    <s v="DK2_NoDH_PHL"/>
    <x v="3"/>
    <x v="7"/>
    <x v="11"/>
    <s v="GNR_BO_NGAS_E-82_PHL"/>
    <x v="7"/>
    <n v="67.044394651419694"/>
  </r>
  <r>
    <x v="0"/>
    <x v="0"/>
    <x v="0"/>
    <x v="0"/>
    <x v="1"/>
    <s v="DK2_Rural"/>
    <x v="1"/>
    <x v="1"/>
    <x v="1"/>
    <s v="GNR_ENG_BGAS_BP_E-40"/>
    <x v="7"/>
    <n v="8.3011567056599997E-2"/>
  </r>
  <r>
    <x v="0"/>
    <x v="0"/>
    <x v="0"/>
    <x v="0"/>
    <x v="1"/>
    <s v="DK2_Rural"/>
    <x v="1"/>
    <x v="1"/>
    <x v="1"/>
    <s v="GNR_ENG_BGAS_BP_E-41"/>
    <x v="7"/>
    <n v="0.30561092335609702"/>
  </r>
  <r>
    <x v="0"/>
    <x v="0"/>
    <x v="0"/>
    <x v="0"/>
    <x v="1"/>
    <s v="DK2_Rural"/>
    <x v="1"/>
    <x v="1"/>
    <x v="1"/>
    <s v="GNR_ENG_BGAS_BP_E-42"/>
    <x v="7"/>
    <n v="0.85532493351759997"/>
  </r>
  <r>
    <x v="0"/>
    <x v="0"/>
    <x v="0"/>
    <x v="0"/>
    <x v="1"/>
    <s v="DK2_Rural"/>
    <x v="10"/>
    <x v="1"/>
    <x v="1"/>
    <s v="GNR_ST_COAL_BP_E-35"/>
    <x v="7"/>
    <n v="11.4020535555621"/>
  </r>
  <r>
    <x v="0"/>
    <x v="0"/>
    <x v="0"/>
    <x v="0"/>
    <x v="1"/>
    <s v="DK2_Rural"/>
    <x v="3"/>
    <x v="7"/>
    <x v="11"/>
    <s v="GNR_BO_NGAS_E-100"/>
    <x v="7"/>
    <n v="1.9673947105948601E-2"/>
  </r>
  <r>
    <x v="0"/>
    <x v="0"/>
    <x v="0"/>
    <x v="0"/>
    <x v="1"/>
    <s v="DK2_Rural"/>
    <x v="3"/>
    <x v="7"/>
    <x v="11"/>
    <s v="GNR_BO_NGAS_E-101"/>
    <x v="7"/>
    <n v="1.5583324440355401E-2"/>
  </r>
  <r>
    <x v="0"/>
    <x v="0"/>
    <x v="0"/>
    <x v="0"/>
    <x v="1"/>
    <s v="DK2_Rural"/>
    <x v="3"/>
    <x v="1"/>
    <x v="1"/>
    <s v="GNR_CC_NGAS_BP_E-53_SS-10-MW_Y-2030"/>
    <x v="7"/>
    <n v="17.3461979411233"/>
  </r>
  <r>
    <x v="0"/>
    <x v="0"/>
    <x v="0"/>
    <x v="0"/>
    <x v="1"/>
    <s v="DK2_Rural"/>
    <x v="3"/>
    <x v="1"/>
    <x v="1"/>
    <s v="GNR_ENG_NGAS_BP_E-36"/>
    <x v="7"/>
    <n v="3.3546602116553401E-2"/>
  </r>
  <r>
    <x v="0"/>
    <x v="0"/>
    <x v="0"/>
    <x v="0"/>
    <x v="1"/>
    <s v="DK2_Rural"/>
    <x v="3"/>
    <x v="1"/>
    <x v="1"/>
    <s v="GNR_ENG_NGAS_BP_E-38"/>
    <x v="7"/>
    <n v="5.5198564147459203E-2"/>
  </r>
  <r>
    <x v="0"/>
    <x v="0"/>
    <x v="0"/>
    <x v="0"/>
    <x v="1"/>
    <s v="DK2_Rural"/>
    <x v="3"/>
    <x v="1"/>
    <x v="1"/>
    <s v="GNR_ENG_NGAS_BP_E-40"/>
    <x v="7"/>
    <n v="1.54364815754366"/>
  </r>
  <r>
    <x v="0"/>
    <x v="0"/>
    <x v="0"/>
    <x v="0"/>
    <x v="1"/>
    <s v="DK2_Rural"/>
    <x v="3"/>
    <x v="1"/>
    <x v="1"/>
    <s v="GNR_ENG_NGAS_BP_E-45"/>
    <x v="7"/>
    <n v="0.15470112254250201"/>
  </r>
  <r>
    <x v="0"/>
    <x v="0"/>
    <x v="0"/>
    <x v="0"/>
    <x v="1"/>
    <s v="DK2_Rural"/>
    <x v="4"/>
    <x v="7"/>
    <x v="11"/>
    <s v="GNR_BO_STRW_E-100"/>
    <x v="7"/>
    <n v="6.9192627669405802"/>
  </r>
  <r>
    <x v="0"/>
    <x v="0"/>
    <x v="0"/>
    <x v="0"/>
    <x v="1"/>
    <s v="DK2_Rural"/>
    <x v="4"/>
    <x v="7"/>
    <x v="11"/>
    <s v="GNR_BO_STRW_E-102"/>
    <x v="7"/>
    <n v="7.4347306138449198"/>
  </r>
  <r>
    <x v="0"/>
    <x v="0"/>
    <x v="0"/>
    <x v="0"/>
    <x v="1"/>
    <s v="DK2_Rural"/>
    <x v="12"/>
    <x v="7"/>
    <x v="11"/>
    <s v="GNR_EH_HEAT"/>
    <x v="7"/>
    <n v="0.112861197406328"/>
  </r>
  <r>
    <x v="0"/>
    <x v="0"/>
    <x v="0"/>
    <x v="0"/>
    <x v="1"/>
    <s v="DK2_Small"/>
    <x v="3"/>
    <x v="7"/>
    <x v="11"/>
    <s v="GNR_BO_NGAS_E-104"/>
    <x v="7"/>
    <n v="2.8090807352160099E-2"/>
  </r>
  <r>
    <x v="0"/>
    <x v="0"/>
    <x v="0"/>
    <x v="0"/>
    <x v="1"/>
    <s v="DK2_Small"/>
    <x v="3"/>
    <x v="1"/>
    <x v="1"/>
    <s v="GNR_CC_NGAS_BP_E-53_SS-10-MW_Y-2030"/>
    <x v="7"/>
    <n v="5.6406545496516296"/>
  </r>
  <r>
    <x v="0"/>
    <x v="0"/>
    <x v="0"/>
    <x v="0"/>
    <x v="1"/>
    <s v="DK2_Small"/>
    <x v="4"/>
    <x v="7"/>
    <x v="11"/>
    <s v="GNR_BO_STRW_E-100"/>
    <x v="7"/>
    <n v="0.98982483419477996"/>
  </r>
  <r>
    <x v="0"/>
    <x v="0"/>
    <x v="0"/>
    <x v="0"/>
    <x v="1"/>
    <s v="DK2_Small"/>
    <x v="12"/>
    <x v="7"/>
    <x v="11"/>
    <s v="GNR_EH_HEAT"/>
    <x v="7"/>
    <n v="8.4645898054746399E-3"/>
  </r>
  <r>
    <x v="0"/>
    <x v="0"/>
    <x v="0"/>
    <x v="0"/>
    <x v="0"/>
    <s v="DK1_Large"/>
    <x v="1"/>
    <x v="1"/>
    <x v="1"/>
    <s v="GNR_ENG_BGAS_BP_E-36"/>
    <x v="8"/>
    <n v="8.1126359999999995E-3"/>
  </r>
  <r>
    <x v="0"/>
    <x v="0"/>
    <x v="0"/>
    <x v="0"/>
    <x v="0"/>
    <s v="DK1_Large"/>
    <x v="1"/>
    <x v="1"/>
    <x v="1"/>
    <s v="GNR_ENG_BGAS_BP_E-37"/>
    <x v="8"/>
    <n v="5.0077999999999998E-3"/>
  </r>
  <r>
    <x v="0"/>
    <x v="0"/>
    <x v="0"/>
    <x v="0"/>
    <x v="0"/>
    <s v="DK1_Large"/>
    <x v="1"/>
    <x v="1"/>
    <x v="1"/>
    <s v="GNR_ENG_BGAS_BP_E-39"/>
    <x v="8"/>
    <n v="3.3802649999999997E-2"/>
  </r>
  <r>
    <x v="0"/>
    <x v="0"/>
    <x v="0"/>
    <x v="0"/>
    <x v="0"/>
    <s v="DK1_Large"/>
    <x v="1"/>
    <x v="1"/>
    <x v="1"/>
    <s v="GNR_ENG_BGAS_BP_E-40"/>
    <x v="8"/>
    <n v="1.24493908E-2"/>
  </r>
  <r>
    <x v="0"/>
    <x v="0"/>
    <x v="0"/>
    <x v="0"/>
    <x v="0"/>
    <s v="DK1_Large"/>
    <x v="1"/>
    <x v="1"/>
    <x v="1"/>
    <s v="GNR_ENG_BGAS_BP_E-41"/>
    <x v="8"/>
    <n v="2.6811761199999999E-2"/>
  </r>
  <r>
    <x v="0"/>
    <x v="0"/>
    <x v="0"/>
    <x v="0"/>
    <x v="0"/>
    <s v="DK1_Large"/>
    <x v="1"/>
    <x v="1"/>
    <x v="1"/>
    <s v="GNR_ENG_BGAS_BP_E-42"/>
    <x v="8"/>
    <n v="2.4788609999999999E-2"/>
  </r>
  <r>
    <x v="0"/>
    <x v="0"/>
    <x v="0"/>
    <x v="0"/>
    <x v="0"/>
    <s v="DK1_Large"/>
    <x v="1"/>
    <x v="1"/>
    <x v="1"/>
    <s v="GNR_ENG_BGAS_BP_E-43"/>
    <x v="8"/>
    <n v="3.0517533199999999E-2"/>
  </r>
  <r>
    <x v="0"/>
    <x v="0"/>
    <x v="0"/>
    <x v="0"/>
    <x v="0"/>
    <s v="DK1_Large"/>
    <x v="14"/>
    <x v="7"/>
    <x v="11"/>
    <s v="GNR_BO_BIOIL_E-94"/>
    <x v="8"/>
    <n v="0.20031199999999999"/>
  </r>
  <r>
    <x v="0"/>
    <x v="0"/>
    <x v="0"/>
    <x v="0"/>
    <x v="0"/>
    <s v="DK1_Large"/>
    <x v="6"/>
    <x v="2"/>
    <x v="2"/>
    <s v="GNR_BO_ELEC_E-100"/>
    <x v="8"/>
    <n v="9.1387342199999999E-2"/>
  </r>
  <r>
    <x v="0"/>
    <x v="0"/>
    <x v="0"/>
    <x v="0"/>
    <x v="0"/>
    <s v="DK1_Large"/>
    <x v="15"/>
    <x v="7"/>
    <x v="11"/>
    <s v="GNR_BO_LIGHTOIL_E-100"/>
    <x v="8"/>
    <n v="0.144625264"/>
  </r>
  <r>
    <x v="0"/>
    <x v="0"/>
    <x v="0"/>
    <x v="0"/>
    <x v="0"/>
    <s v="DK1_Large"/>
    <x v="15"/>
    <x v="7"/>
    <x v="11"/>
    <s v="GNR_BO_LIGHTOIL_E-88"/>
    <x v="8"/>
    <n v="4.6071760000000002E-4"/>
  </r>
  <r>
    <x v="0"/>
    <x v="0"/>
    <x v="0"/>
    <x v="0"/>
    <x v="0"/>
    <s v="DK1_Large"/>
    <x v="15"/>
    <x v="7"/>
    <x v="11"/>
    <s v="GNR_BO_LIGHTOIL_E-89"/>
    <x v="8"/>
    <n v="1.00156E-2"/>
  </r>
  <r>
    <x v="0"/>
    <x v="0"/>
    <x v="0"/>
    <x v="0"/>
    <x v="0"/>
    <s v="DK1_Large"/>
    <x v="15"/>
    <x v="7"/>
    <x v="11"/>
    <s v="GNR_BO_LIGHTOIL_E-90"/>
    <x v="8"/>
    <n v="0.31328796799999997"/>
  </r>
  <r>
    <x v="0"/>
    <x v="0"/>
    <x v="0"/>
    <x v="0"/>
    <x v="0"/>
    <s v="DK1_Large"/>
    <x v="15"/>
    <x v="7"/>
    <x v="11"/>
    <s v="GNR_BO_LIGHTOIL_E-92"/>
    <x v="8"/>
    <n v="2.17939456E-2"/>
  </r>
  <r>
    <x v="0"/>
    <x v="0"/>
    <x v="0"/>
    <x v="0"/>
    <x v="0"/>
    <s v="DK1_Large"/>
    <x v="15"/>
    <x v="7"/>
    <x v="11"/>
    <s v="GNR_BO_LIGHTOIL_E-94"/>
    <x v="8"/>
    <n v="3.0046799999999999E-2"/>
  </r>
  <r>
    <x v="0"/>
    <x v="0"/>
    <x v="0"/>
    <x v="0"/>
    <x v="0"/>
    <s v="DK1_Large"/>
    <x v="15"/>
    <x v="1"/>
    <x v="1"/>
    <s v="GNR_ENG_LIGHTOIL_BP_E-37"/>
    <x v="8"/>
    <n v="0.32049919999999998"/>
  </r>
  <r>
    <x v="0"/>
    <x v="0"/>
    <x v="0"/>
    <x v="0"/>
    <x v="0"/>
    <s v="DK1_Large"/>
    <x v="2"/>
    <x v="7"/>
    <x v="11"/>
    <s v="GNR_BO_MSW_E-105"/>
    <x v="8"/>
    <n v="2.3715002824098899"/>
  </r>
  <r>
    <x v="0"/>
    <x v="0"/>
    <x v="0"/>
    <x v="0"/>
    <x v="0"/>
    <s v="DK1_Large"/>
    <x v="2"/>
    <x v="1"/>
    <x v="1"/>
    <s v="GNR_ST_MSW_BP_E-24_LS-220-MW-FEED_Y-2030"/>
    <x v="8"/>
    <n v="32.293840240895598"/>
  </r>
  <r>
    <x v="0"/>
    <x v="0"/>
    <x v="0"/>
    <x v="0"/>
    <x v="0"/>
    <s v="DK1_Large"/>
    <x v="2"/>
    <x v="1"/>
    <x v="1"/>
    <s v="GNR_ST_MSW_BP_E-27"/>
    <x v="8"/>
    <n v="3.5855847999999999"/>
  </r>
  <r>
    <x v="0"/>
    <x v="0"/>
    <x v="0"/>
    <x v="0"/>
    <x v="0"/>
    <s v="DK1_Large"/>
    <x v="3"/>
    <x v="7"/>
    <x v="11"/>
    <s v="GNR_BO_NGAS_E-100"/>
    <x v="8"/>
    <n v="0.17607424799999999"/>
  </r>
  <r>
    <x v="0"/>
    <x v="0"/>
    <x v="0"/>
    <x v="0"/>
    <x v="0"/>
    <s v="DK1_Large"/>
    <x v="3"/>
    <x v="7"/>
    <x v="11"/>
    <s v="GNR_BO_NGAS_E-101"/>
    <x v="8"/>
    <n v="3.76185936E-2"/>
  </r>
  <r>
    <x v="0"/>
    <x v="0"/>
    <x v="0"/>
    <x v="0"/>
    <x v="0"/>
    <s v="DK1_Large"/>
    <x v="3"/>
    <x v="7"/>
    <x v="11"/>
    <s v="GNR_BO_NGAS_E-98"/>
    <x v="8"/>
    <n v="1.0456286400000001E-2"/>
  </r>
  <r>
    <x v="0"/>
    <x v="0"/>
    <x v="0"/>
    <x v="0"/>
    <x v="0"/>
    <s v="DK1_Large"/>
    <x v="3"/>
    <x v="1"/>
    <x v="1"/>
    <s v="GNR_ENG_NGAS_BP_E-39"/>
    <x v="8"/>
    <n v="3.7057720000000002E-2"/>
  </r>
  <r>
    <x v="0"/>
    <x v="0"/>
    <x v="0"/>
    <x v="0"/>
    <x v="0"/>
    <s v="DK1_Large"/>
    <x v="3"/>
    <x v="1"/>
    <x v="1"/>
    <s v="GNR_ENG_NGAS_BP_E-42"/>
    <x v="8"/>
    <n v="2.2635255999999999E-2"/>
  </r>
  <r>
    <x v="0"/>
    <x v="0"/>
    <x v="0"/>
    <x v="0"/>
    <x v="0"/>
    <s v="DK1_Large"/>
    <x v="3"/>
    <x v="1"/>
    <x v="1"/>
    <s v="GNR_ENG_NGAS_BP_E-43"/>
    <x v="8"/>
    <n v="3.0447424000000001E-2"/>
  </r>
  <r>
    <x v="0"/>
    <x v="0"/>
    <x v="0"/>
    <x v="0"/>
    <x v="0"/>
    <s v="DK1_Large"/>
    <x v="3"/>
    <x v="1"/>
    <x v="1"/>
    <s v="GNR_ENG_NGAS_BP_E-46"/>
    <x v="8"/>
    <n v="7.3113880000000003E-3"/>
  </r>
  <r>
    <x v="0"/>
    <x v="0"/>
    <x v="0"/>
    <x v="0"/>
    <x v="0"/>
    <s v="DK1_Large"/>
    <x v="3"/>
    <x v="1"/>
    <x v="1"/>
    <s v="GNR_GT_NGAS_BP_E-43_LS-40-MW_Y-2030"/>
    <x v="8"/>
    <n v="1.6037359794650301"/>
  </r>
  <r>
    <x v="0"/>
    <x v="0"/>
    <x v="0"/>
    <x v="0"/>
    <x v="0"/>
    <s v="DK1_Large"/>
    <x v="4"/>
    <x v="7"/>
    <x v="11"/>
    <s v="GNR_BO_STRW_E-100"/>
    <x v="8"/>
    <n v="0.21536917200819999"/>
  </r>
  <r>
    <x v="0"/>
    <x v="0"/>
    <x v="0"/>
    <x v="0"/>
    <x v="0"/>
    <s v="DK1_Large"/>
    <x v="4"/>
    <x v="7"/>
    <x v="11"/>
    <s v="GNR_BO_STRW_E-102"/>
    <x v="8"/>
    <n v="0.26346131721391403"/>
  </r>
  <r>
    <x v="0"/>
    <x v="0"/>
    <x v="0"/>
    <x v="0"/>
    <x v="0"/>
    <s v="DK1_Large"/>
    <x v="4"/>
    <x v="1"/>
    <x v="1"/>
    <s v="GNR_ST_STRW_BP_E-26"/>
    <x v="8"/>
    <n v="1.1798376800000001"/>
  </r>
  <r>
    <x v="0"/>
    <x v="0"/>
    <x v="0"/>
    <x v="0"/>
    <x v="0"/>
    <s v="DK1_Large"/>
    <x v="5"/>
    <x v="7"/>
    <x v="11"/>
    <s v="GNR_BO_WOODCHI_E-100"/>
    <x v="8"/>
    <n v="0.799076990965502"/>
  </r>
  <r>
    <x v="0"/>
    <x v="0"/>
    <x v="0"/>
    <x v="0"/>
    <x v="0"/>
    <s v="DK1_Large"/>
    <x v="5"/>
    <x v="1"/>
    <x v="1"/>
    <s v="GNR_ST_WOODCHI_BP_E-23"/>
    <x v="8"/>
    <n v="0.45070199999999999"/>
  </r>
  <r>
    <x v="0"/>
    <x v="0"/>
    <x v="0"/>
    <x v="0"/>
    <x v="0"/>
    <s v="DK1_Large"/>
    <x v="16"/>
    <x v="7"/>
    <x v="11"/>
    <s v="GNR_BO_WOODPEL_E-100"/>
    <x v="8"/>
    <n v="0.45334426653649901"/>
  </r>
  <r>
    <x v="0"/>
    <x v="0"/>
    <x v="0"/>
    <x v="0"/>
    <x v="0"/>
    <s v="DK1_Large"/>
    <x v="16"/>
    <x v="7"/>
    <x v="11"/>
    <s v="GNR_BO_WOODPEL_E-102"/>
    <x v="8"/>
    <n v="3.1387786743814802E-2"/>
  </r>
  <r>
    <x v="0"/>
    <x v="0"/>
    <x v="0"/>
    <x v="0"/>
    <x v="0"/>
    <s v="DK1_Large_PHH"/>
    <x v="6"/>
    <x v="2"/>
    <x v="2"/>
    <s v="GNR_BO_ELEC_E-99_LS-10-MW-FEED_PHH_Y-2030"/>
    <x v="8"/>
    <n v="8.9818069074253201E-2"/>
  </r>
  <r>
    <x v="0"/>
    <x v="0"/>
    <x v="0"/>
    <x v="0"/>
    <x v="0"/>
    <s v="DK1_Large_PHH"/>
    <x v="3"/>
    <x v="7"/>
    <x v="11"/>
    <s v="GNR_BO_NGAS_E-70_PHH"/>
    <x v="8"/>
    <n v="0.38919536132195898"/>
  </r>
  <r>
    <x v="0"/>
    <x v="0"/>
    <x v="0"/>
    <x v="0"/>
    <x v="0"/>
    <s v="DK1_Large_PHL"/>
    <x v="3"/>
    <x v="7"/>
    <x v="11"/>
    <s v="GNR_BO_NGAS_E-82_PHL"/>
    <x v="8"/>
    <n v="0.90313971090226797"/>
  </r>
  <r>
    <x v="0"/>
    <x v="0"/>
    <x v="0"/>
    <x v="0"/>
    <x v="0"/>
    <s v="DK1_MedSmall"/>
    <x v="6"/>
    <x v="2"/>
    <x v="2"/>
    <s v="GNR_BO_ELEC_E-100"/>
    <x v="8"/>
    <n v="1.101716E-3"/>
  </r>
  <r>
    <x v="0"/>
    <x v="0"/>
    <x v="0"/>
    <x v="0"/>
    <x v="0"/>
    <s v="DK1_MedSmall"/>
    <x v="6"/>
    <x v="2"/>
    <x v="2"/>
    <s v="GNR_HP_ELEC_GROUND-WTR_COP-380_LS-4-MW_Y-2030"/>
    <x v="8"/>
    <n v="0.37804684493207502"/>
  </r>
  <r>
    <x v="0"/>
    <x v="0"/>
    <x v="0"/>
    <x v="0"/>
    <x v="0"/>
    <s v="DK1_MedSmall"/>
    <x v="15"/>
    <x v="7"/>
    <x v="11"/>
    <s v="GNR_BO_LIGHTOIL_E-100"/>
    <x v="8"/>
    <n v="7.5918247999999994E-2"/>
  </r>
  <r>
    <x v="0"/>
    <x v="0"/>
    <x v="0"/>
    <x v="0"/>
    <x v="0"/>
    <s v="DK1_MedSmall"/>
    <x v="15"/>
    <x v="7"/>
    <x v="11"/>
    <s v="GNR_BO_LIGHTOIL_E-115"/>
    <x v="8"/>
    <n v="6.0093599999999997E-2"/>
  </r>
  <r>
    <x v="0"/>
    <x v="0"/>
    <x v="0"/>
    <x v="0"/>
    <x v="0"/>
    <s v="DK1_MedSmall"/>
    <x v="3"/>
    <x v="7"/>
    <x v="11"/>
    <s v="GNR_BO_NGAS_E-100"/>
    <x v="8"/>
    <n v="6.0093599999999997E-2"/>
  </r>
  <r>
    <x v="0"/>
    <x v="0"/>
    <x v="0"/>
    <x v="0"/>
    <x v="0"/>
    <s v="DK1_MedSmall"/>
    <x v="3"/>
    <x v="7"/>
    <x v="11"/>
    <s v="GNR_BO_NGAS_E-101"/>
    <x v="8"/>
    <n v="6.6102960000000002E-2"/>
  </r>
  <r>
    <x v="0"/>
    <x v="0"/>
    <x v="0"/>
    <x v="0"/>
    <x v="0"/>
    <s v="DK1_MedSmall"/>
    <x v="3"/>
    <x v="7"/>
    <x v="11"/>
    <s v="GNR_BO_NGAS_E-102"/>
    <x v="8"/>
    <n v="1.0215912000000001E-2"/>
  </r>
  <r>
    <x v="0"/>
    <x v="0"/>
    <x v="0"/>
    <x v="0"/>
    <x v="0"/>
    <s v="DK1_MedSmall"/>
    <x v="3"/>
    <x v="7"/>
    <x v="11"/>
    <s v="GNR_BO_NGAS_E-97"/>
    <x v="8"/>
    <n v="1.8028079999999998E-2"/>
  </r>
  <r>
    <x v="0"/>
    <x v="0"/>
    <x v="0"/>
    <x v="0"/>
    <x v="0"/>
    <s v="DK1_MedSmall"/>
    <x v="3"/>
    <x v="1"/>
    <x v="1"/>
    <s v="GNR_ENG_NGAS_BP_E-41"/>
    <x v="8"/>
    <n v="3.0247112E-2"/>
  </r>
  <r>
    <x v="0"/>
    <x v="0"/>
    <x v="0"/>
    <x v="0"/>
    <x v="0"/>
    <s v="DK1_MedSmall"/>
    <x v="4"/>
    <x v="7"/>
    <x v="11"/>
    <s v="GNR_BO_STRW_E-102"/>
    <x v="8"/>
    <n v="0.44872062439766602"/>
  </r>
  <r>
    <x v="0"/>
    <x v="0"/>
    <x v="0"/>
    <x v="0"/>
    <x v="0"/>
    <s v="DK1_MedSmall"/>
    <x v="5"/>
    <x v="7"/>
    <x v="11"/>
    <s v="GNR_BO_WOODCHI_E-110"/>
    <x v="8"/>
    <n v="0.67921544232067699"/>
  </r>
  <r>
    <x v="0"/>
    <x v="0"/>
    <x v="0"/>
    <x v="0"/>
    <x v="0"/>
    <s v="DK1_Medium"/>
    <x v="1"/>
    <x v="7"/>
    <x v="11"/>
    <s v="GNR_BO_BGAS_E-100"/>
    <x v="8"/>
    <n v="1.0015600000000001E-3"/>
  </r>
  <r>
    <x v="0"/>
    <x v="0"/>
    <x v="0"/>
    <x v="0"/>
    <x v="0"/>
    <s v="DK1_Medium"/>
    <x v="1"/>
    <x v="1"/>
    <x v="1"/>
    <s v="GNR_ENG_BGAS_BP_E-39"/>
    <x v="8"/>
    <n v="6.309828E-3"/>
  </r>
  <r>
    <x v="0"/>
    <x v="0"/>
    <x v="0"/>
    <x v="0"/>
    <x v="0"/>
    <s v="DK1_Medium"/>
    <x v="1"/>
    <x v="1"/>
    <x v="1"/>
    <s v="GNR_ENG_BGAS_BP_E-41"/>
    <x v="8"/>
    <n v="3.32217452E-2"/>
  </r>
  <r>
    <x v="0"/>
    <x v="0"/>
    <x v="0"/>
    <x v="0"/>
    <x v="0"/>
    <s v="DK1_Medium"/>
    <x v="1"/>
    <x v="1"/>
    <x v="1"/>
    <s v="GNR_ENG_BGAS_BP_E-42"/>
    <x v="8"/>
    <n v="3.3051479999999999E-3"/>
  </r>
  <r>
    <x v="0"/>
    <x v="0"/>
    <x v="0"/>
    <x v="0"/>
    <x v="0"/>
    <s v="DK1_Medium"/>
    <x v="14"/>
    <x v="7"/>
    <x v="11"/>
    <s v="GNR_BO_BIOIL_E-93"/>
    <x v="8"/>
    <n v="1.00156E-2"/>
  </r>
  <r>
    <x v="0"/>
    <x v="0"/>
    <x v="0"/>
    <x v="0"/>
    <x v="0"/>
    <s v="DK1_Medium"/>
    <x v="6"/>
    <x v="2"/>
    <x v="2"/>
    <s v="GNR_BO_ELEC_E-100"/>
    <x v="8"/>
    <n v="3.3051480000000001E-2"/>
  </r>
  <r>
    <x v="0"/>
    <x v="0"/>
    <x v="0"/>
    <x v="0"/>
    <x v="0"/>
    <s v="DK1_Medium"/>
    <x v="15"/>
    <x v="7"/>
    <x v="11"/>
    <s v="GNR_BO_LIGHTOIL_E-100"/>
    <x v="8"/>
    <n v="1.201872E-2"/>
  </r>
  <r>
    <x v="0"/>
    <x v="0"/>
    <x v="0"/>
    <x v="0"/>
    <x v="0"/>
    <s v="DK1_Medium"/>
    <x v="15"/>
    <x v="7"/>
    <x v="11"/>
    <s v="GNR_BO_LIGHTOIL_E-92"/>
    <x v="8"/>
    <n v="4.4068639999999999E-3"/>
  </r>
  <r>
    <x v="0"/>
    <x v="0"/>
    <x v="0"/>
    <x v="0"/>
    <x v="0"/>
    <s v="DK1_Medium"/>
    <x v="15"/>
    <x v="4"/>
    <x v="4"/>
    <s v="GNR_ENG_LIGHTOIL_CND_E-39"/>
    <x v="8"/>
    <n v="7.0109200000000003E-3"/>
  </r>
  <r>
    <x v="0"/>
    <x v="0"/>
    <x v="0"/>
    <x v="0"/>
    <x v="0"/>
    <s v="DK1_Medium"/>
    <x v="3"/>
    <x v="7"/>
    <x v="11"/>
    <s v="GNR_BO_NGAS_E-100"/>
    <x v="8"/>
    <n v="0.34012977599999999"/>
  </r>
  <r>
    <x v="0"/>
    <x v="0"/>
    <x v="0"/>
    <x v="0"/>
    <x v="0"/>
    <s v="DK1_Medium"/>
    <x v="3"/>
    <x v="7"/>
    <x v="11"/>
    <s v="GNR_BO_NGAS_E-101"/>
    <x v="8"/>
    <n v="7.7320431999999994E-2"/>
  </r>
  <r>
    <x v="0"/>
    <x v="0"/>
    <x v="0"/>
    <x v="0"/>
    <x v="0"/>
    <s v="DK1_Medium"/>
    <x v="3"/>
    <x v="7"/>
    <x v="11"/>
    <s v="GNR_BO_NGAS_E-103"/>
    <x v="8"/>
    <n v="5.6347765599999997E-3"/>
  </r>
  <r>
    <x v="0"/>
    <x v="0"/>
    <x v="0"/>
    <x v="0"/>
    <x v="0"/>
    <s v="DK1_Medium"/>
    <x v="3"/>
    <x v="1"/>
    <x v="1"/>
    <s v="GNR_ENG_NGAS_BP_E-41"/>
    <x v="8"/>
    <n v="4.3067080000000001E-2"/>
  </r>
  <r>
    <x v="0"/>
    <x v="0"/>
    <x v="0"/>
    <x v="0"/>
    <x v="0"/>
    <s v="DK1_Medium"/>
    <x v="3"/>
    <x v="1"/>
    <x v="1"/>
    <s v="GNR_ENG_NGAS_BP_E-42"/>
    <x v="8"/>
    <n v="6.2096720000000001E-2"/>
  </r>
  <r>
    <x v="0"/>
    <x v="0"/>
    <x v="0"/>
    <x v="0"/>
    <x v="0"/>
    <s v="DK1_Medium"/>
    <x v="3"/>
    <x v="1"/>
    <x v="1"/>
    <s v="GNR_ENG_NGAS_BP_E-43"/>
    <x v="8"/>
    <n v="1.4222152E-2"/>
  </r>
  <r>
    <x v="0"/>
    <x v="0"/>
    <x v="0"/>
    <x v="0"/>
    <x v="0"/>
    <s v="DK1_Medium"/>
    <x v="3"/>
    <x v="1"/>
    <x v="1"/>
    <s v="GNR_ENG_NGAS_BP_E-44"/>
    <x v="8"/>
    <n v="4.6873008000000001E-2"/>
  </r>
  <r>
    <x v="0"/>
    <x v="0"/>
    <x v="0"/>
    <x v="0"/>
    <x v="0"/>
    <s v="DK1_Medium"/>
    <x v="3"/>
    <x v="1"/>
    <x v="1"/>
    <s v="GNR_ENG_NGAS_BP_E-48_Y-2030"/>
    <x v="8"/>
    <n v="7.0448150886478098"/>
  </r>
  <r>
    <x v="0"/>
    <x v="0"/>
    <x v="0"/>
    <x v="0"/>
    <x v="0"/>
    <s v="DK1_Medium"/>
    <x v="4"/>
    <x v="7"/>
    <x v="11"/>
    <s v="GNR_BO_STRW_E-102"/>
    <x v="8"/>
    <n v="0.10120260121550299"/>
  </r>
  <r>
    <x v="0"/>
    <x v="0"/>
    <x v="0"/>
    <x v="0"/>
    <x v="0"/>
    <s v="DK1_Medium"/>
    <x v="5"/>
    <x v="7"/>
    <x v="11"/>
    <s v="GNR_BO_WOODCHI_E-100"/>
    <x v="8"/>
    <n v="2.23541788222599"/>
  </r>
  <r>
    <x v="0"/>
    <x v="0"/>
    <x v="0"/>
    <x v="0"/>
    <x v="0"/>
    <s v="DK1_Medium"/>
    <x v="16"/>
    <x v="7"/>
    <x v="11"/>
    <s v="GNR_BO_WOODPEL_E-100"/>
    <x v="8"/>
    <n v="0.23715216650882301"/>
  </r>
  <r>
    <x v="0"/>
    <x v="0"/>
    <x v="0"/>
    <x v="0"/>
    <x v="0"/>
    <s v="DK1_Medium"/>
    <x v="16"/>
    <x v="7"/>
    <x v="11"/>
    <s v="GNR_BO_WOODPEL_E-102"/>
    <x v="8"/>
    <n v="5.58005097667819E-2"/>
  </r>
  <r>
    <x v="0"/>
    <x v="0"/>
    <x v="0"/>
    <x v="0"/>
    <x v="0"/>
    <s v="DK1_NoDH"/>
    <x v="1"/>
    <x v="7"/>
    <x v="11"/>
    <s v="GNR_BO_BGAS_E-95"/>
    <x v="8"/>
    <n v="8.8137280000000001E-4"/>
  </r>
  <r>
    <x v="0"/>
    <x v="0"/>
    <x v="0"/>
    <x v="0"/>
    <x v="0"/>
    <s v="DK1_NoDH"/>
    <x v="1"/>
    <x v="1"/>
    <x v="1"/>
    <s v="GNR_ENG_BGAS_BP_E-33"/>
    <x v="8"/>
    <n v="1.302028E-3"/>
  </r>
  <r>
    <x v="0"/>
    <x v="0"/>
    <x v="0"/>
    <x v="0"/>
    <x v="0"/>
    <s v="DK1_NoDH"/>
    <x v="1"/>
    <x v="1"/>
    <x v="1"/>
    <s v="GNR_ENG_BGAS_BP_E-34"/>
    <x v="8"/>
    <n v="3.00468E-3"/>
  </r>
  <r>
    <x v="0"/>
    <x v="0"/>
    <x v="0"/>
    <x v="0"/>
    <x v="0"/>
    <s v="DK1_NoDH"/>
    <x v="1"/>
    <x v="1"/>
    <x v="1"/>
    <s v="GNR_ENG_BGAS_BP_E-35"/>
    <x v="8"/>
    <n v="1.4021840000000001E-2"/>
  </r>
  <r>
    <x v="0"/>
    <x v="0"/>
    <x v="0"/>
    <x v="0"/>
    <x v="0"/>
    <s v="DK1_NoDH"/>
    <x v="1"/>
    <x v="1"/>
    <x v="1"/>
    <s v="GNR_ENG_BGAS_BP_E-37"/>
    <x v="8"/>
    <n v="1.65357556E-2"/>
  </r>
  <r>
    <x v="0"/>
    <x v="0"/>
    <x v="0"/>
    <x v="0"/>
    <x v="0"/>
    <s v="DK1_NoDH"/>
    <x v="1"/>
    <x v="1"/>
    <x v="1"/>
    <s v="GNR_ENG_BGAS_BP_E-38"/>
    <x v="8"/>
    <n v="1.902964E-3"/>
  </r>
  <r>
    <x v="0"/>
    <x v="0"/>
    <x v="0"/>
    <x v="0"/>
    <x v="0"/>
    <s v="DK1_NoDH"/>
    <x v="1"/>
    <x v="1"/>
    <x v="1"/>
    <s v="GNR_ENG_BGAS_BP_E-39"/>
    <x v="8"/>
    <n v="1.1618096E-2"/>
  </r>
  <r>
    <x v="0"/>
    <x v="0"/>
    <x v="0"/>
    <x v="0"/>
    <x v="0"/>
    <s v="DK1_NoDH"/>
    <x v="1"/>
    <x v="1"/>
    <x v="1"/>
    <s v="GNR_ENG_BGAS_BP_E-40"/>
    <x v="8"/>
    <n v="2.6040560000000001E-2"/>
  </r>
  <r>
    <x v="0"/>
    <x v="0"/>
    <x v="0"/>
    <x v="0"/>
    <x v="0"/>
    <s v="DK1_NoDH"/>
    <x v="1"/>
    <x v="1"/>
    <x v="1"/>
    <s v="GNR_ENG_BGAS_BP_E-42"/>
    <x v="8"/>
    <n v="5.9092040000000004E-3"/>
  </r>
  <r>
    <x v="0"/>
    <x v="0"/>
    <x v="0"/>
    <x v="0"/>
    <x v="0"/>
    <s v="DK1_NoDH"/>
    <x v="1"/>
    <x v="1"/>
    <x v="1"/>
    <s v="GNR_ENG_BGAS_BP_E-43"/>
    <x v="8"/>
    <n v="6.0093599999999997E-2"/>
  </r>
  <r>
    <x v="0"/>
    <x v="0"/>
    <x v="0"/>
    <x v="0"/>
    <x v="0"/>
    <s v="DK1_NoDH"/>
    <x v="1"/>
    <x v="4"/>
    <x v="4"/>
    <s v="GNR_ENG_BGAS_CND_E-36"/>
    <x v="8"/>
    <n v="1.4021840000000001E-2"/>
  </r>
  <r>
    <x v="0"/>
    <x v="0"/>
    <x v="0"/>
    <x v="0"/>
    <x v="0"/>
    <s v="DK1_NoDH"/>
    <x v="6"/>
    <x v="3"/>
    <x v="3"/>
    <s v="GNR_ES_ELEC_BAT-LITHIO_E-97_Y-30-50"/>
    <x v="8"/>
    <n v="42.834197727618502"/>
  </r>
  <r>
    <x v="0"/>
    <x v="0"/>
    <x v="0"/>
    <x v="0"/>
    <x v="0"/>
    <s v="DK1_NoDH"/>
    <x v="15"/>
    <x v="4"/>
    <x v="4"/>
    <s v="GNR_ENG_LIGHTOIL_CND_E-34"/>
    <x v="8"/>
    <n v="5.0077999999999998E-3"/>
  </r>
  <r>
    <x v="0"/>
    <x v="0"/>
    <x v="0"/>
    <x v="0"/>
    <x v="0"/>
    <s v="DK1_NoDH"/>
    <x v="15"/>
    <x v="4"/>
    <x v="4"/>
    <s v="GNR_ENG_LIGHTOIL_CND_E-36"/>
    <x v="8"/>
    <n v="7.2112319999999997E-3"/>
  </r>
  <r>
    <x v="0"/>
    <x v="0"/>
    <x v="0"/>
    <x v="0"/>
    <x v="0"/>
    <s v="DK1_NoDH"/>
    <x v="15"/>
    <x v="4"/>
    <x v="4"/>
    <s v="GNR_ENG_LIGHTOIL_CND_E-41"/>
    <x v="8"/>
    <n v="0.40863648000000002"/>
  </r>
  <r>
    <x v="0"/>
    <x v="0"/>
    <x v="0"/>
    <x v="0"/>
    <x v="0"/>
    <s v="DK1_NoDH"/>
    <x v="15"/>
    <x v="4"/>
    <x v="4"/>
    <s v="GNR_ENG_LIGHTOIL_CND_E-43"/>
    <x v="8"/>
    <n v="2.0031199999999999E-4"/>
  </r>
  <r>
    <x v="0"/>
    <x v="0"/>
    <x v="0"/>
    <x v="0"/>
    <x v="0"/>
    <s v="DK1_NoDH"/>
    <x v="3"/>
    <x v="7"/>
    <x v="11"/>
    <s v="GNR_BO_NGAS_E-100"/>
    <x v="8"/>
    <n v="2.0031199999999999E-2"/>
  </r>
  <r>
    <x v="0"/>
    <x v="0"/>
    <x v="0"/>
    <x v="0"/>
    <x v="0"/>
    <s v="DK1_NoDH"/>
    <x v="3"/>
    <x v="1"/>
    <x v="1"/>
    <s v="GNR_ENG_NGAS_BP_E-33"/>
    <x v="8"/>
    <n v="1.5023400000000001E-4"/>
  </r>
  <r>
    <x v="0"/>
    <x v="0"/>
    <x v="0"/>
    <x v="0"/>
    <x v="0"/>
    <s v="DK1_NoDH"/>
    <x v="3"/>
    <x v="1"/>
    <x v="1"/>
    <s v="GNR_ENG_NGAS_BP_E-38"/>
    <x v="8"/>
    <n v="1.00156E-2"/>
  </r>
  <r>
    <x v="0"/>
    <x v="0"/>
    <x v="0"/>
    <x v="0"/>
    <x v="0"/>
    <s v="DK1_NoDH"/>
    <x v="3"/>
    <x v="1"/>
    <x v="1"/>
    <s v="GNR_ENG_NGAS_BP_E-39"/>
    <x v="8"/>
    <n v="1.00156E-2"/>
  </r>
  <r>
    <x v="0"/>
    <x v="0"/>
    <x v="0"/>
    <x v="0"/>
    <x v="0"/>
    <s v="DK1_NoDH"/>
    <x v="3"/>
    <x v="1"/>
    <x v="1"/>
    <s v="GNR_ENG_NGAS_BP_E-40"/>
    <x v="8"/>
    <n v="8.0124800000000006E-3"/>
  </r>
  <r>
    <x v="0"/>
    <x v="0"/>
    <x v="0"/>
    <x v="0"/>
    <x v="0"/>
    <s v="DK1_NoDH"/>
    <x v="3"/>
    <x v="1"/>
    <x v="1"/>
    <s v="GNR_ENG_NGAS_BP_E-41"/>
    <x v="8"/>
    <n v="2.8744771999999998E-2"/>
  </r>
  <r>
    <x v="0"/>
    <x v="0"/>
    <x v="0"/>
    <x v="0"/>
    <x v="0"/>
    <s v="DK1_NoDH"/>
    <x v="3"/>
    <x v="1"/>
    <x v="1"/>
    <s v="GNR_ENG_NGAS_BP_E-42"/>
    <x v="8"/>
    <n v="9.1141959999999998E-3"/>
  </r>
  <r>
    <x v="0"/>
    <x v="0"/>
    <x v="0"/>
    <x v="0"/>
    <x v="0"/>
    <s v="DK1_NoDH"/>
    <x v="3"/>
    <x v="1"/>
    <x v="1"/>
    <s v="GNR_ENG_NGAS_BP_E-43"/>
    <x v="8"/>
    <n v="9.1552599600000006E-2"/>
  </r>
  <r>
    <x v="0"/>
    <x v="0"/>
    <x v="0"/>
    <x v="0"/>
    <x v="0"/>
    <s v="DK1_NoDH"/>
    <x v="3"/>
    <x v="1"/>
    <x v="1"/>
    <s v="GNR_ENG_NGAS_BP_E-46"/>
    <x v="8"/>
    <n v="1.5023400000000001E-4"/>
  </r>
  <r>
    <x v="0"/>
    <x v="0"/>
    <x v="0"/>
    <x v="0"/>
    <x v="0"/>
    <s v="DK1_NoDH"/>
    <x v="3"/>
    <x v="4"/>
    <x v="4"/>
    <s v="GNR_ENG_NGAS_CND_E-41"/>
    <x v="8"/>
    <n v="0.40863648000000002"/>
  </r>
  <r>
    <x v="0"/>
    <x v="0"/>
    <x v="0"/>
    <x v="0"/>
    <x v="0"/>
    <s v="DK1_NoDH"/>
    <x v="3"/>
    <x v="4"/>
    <x v="4"/>
    <s v="GNR_ENG_NGAS_CND_E-46"/>
    <x v="8"/>
    <n v="6.4099839999999996E-3"/>
  </r>
  <r>
    <x v="0"/>
    <x v="0"/>
    <x v="0"/>
    <x v="0"/>
    <x v="0"/>
    <s v="DK1_NoDH"/>
    <x v="3"/>
    <x v="1"/>
    <x v="1"/>
    <s v="GNR_GT_NGAS_BP_E-28"/>
    <x v="8"/>
    <n v="0.39261151999999999"/>
  </r>
  <r>
    <x v="0"/>
    <x v="0"/>
    <x v="0"/>
    <x v="0"/>
    <x v="0"/>
    <s v="DK1_NoDH"/>
    <x v="3"/>
    <x v="1"/>
    <x v="1"/>
    <s v="GNR_GT_NGAS_BP_E-36"/>
    <x v="8"/>
    <n v="8.0124799999999996E-2"/>
  </r>
  <r>
    <x v="0"/>
    <x v="0"/>
    <x v="0"/>
    <x v="0"/>
    <x v="0"/>
    <s v="DK1_NoDH"/>
    <x v="7"/>
    <x v="5"/>
    <x v="5"/>
    <s v="GNR_PV_SUN"/>
    <x v="8"/>
    <n v="5.9770694474404804"/>
  </r>
  <r>
    <x v="0"/>
    <x v="0"/>
    <x v="0"/>
    <x v="0"/>
    <x v="0"/>
    <s v="DK1_NoDH"/>
    <x v="7"/>
    <x v="5"/>
    <x v="5"/>
    <s v="GNR_PV_SUN_LS-4-MW_Y-2030"/>
    <x v="8"/>
    <n v="16.644370557631401"/>
  </r>
  <r>
    <x v="0"/>
    <x v="0"/>
    <x v="0"/>
    <x v="0"/>
    <x v="0"/>
    <s v="DK1_NoDH"/>
    <x v="8"/>
    <x v="6"/>
    <x v="6"/>
    <s v="GNR_ROR_WTR"/>
    <x v="8"/>
    <n v="2.25544827586207E-4"/>
  </r>
  <r>
    <x v="0"/>
    <x v="0"/>
    <x v="0"/>
    <x v="0"/>
    <x v="0"/>
    <s v="DK1_NoDH"/>
    <x v="9"/>
    <x v="5"/>
    <x v="7"/>
    <s v="GNR_WT_WIND_ONS"/>
    <x v="8"/>
    <n v="37.713576742911997"/>
  </r>
  <r>
    <x v="0"/>
    <x v="0"/>
    <x v="0"/>
    <x v="0"/>
    <x v="0"/>
    <s v="DK1_NoDH"/>
    <x v="9"/>
    <x v="5"/>
    <x v="7"/>
    <s v="GNR_WT_WIND_ON_LS_Y-2030"/>
    <x v="8"/>
    <n v="10.945974690691299"/>
  </r>
  <r>
    <x v="0"/>
    <x v="0"/>
    <x v="0"/>
    <x v="0"/>
    <x v="0"/>
    <s v="DK1_NoDH"/>
    <x v="5"/>
    <x v="1"/>
    <x v="8"/>
    <s v="GNR_ST_WOODCHI_EXT_E-30"/>
    <x v="8"/>
    <n v="5.5286112000000003"/>
  </r>
  <r>
    <x v="0"/>
    <x v="0"/>
    <x v="0"/>
    <x v="0"/>
    <x v="0"/>
    <s v="DK1_NoDH_PHH"/>
    <x v="6"/>
    <x v="2"/>
    <x v="2"/>
    <s v="GNR_BO_ELEC_E-99_LS-10-MW-FEED_PHH_Y-2030"/>
    <x v="8"/>
    <n v="0.19476760966358"/>
  </r>
  <r>
    <x v="0"/>
    <x v="0"/>
    <x v="0"/>
    <x v="0"/>
    <x v="0"/>
    <s v="DK1_NoDH_PHH"/>
    <x v="3"/>
    <x v="7"/>
    <x v="11"/>
    <s v="GNR_BO_NGAS_E-70_PHH"/>
    <x v="8"/>
    <n v="0.118201189983333"/>
  </r>
  <r>
    <x v="0"/>
    <x v="0"/>
    <x v="0"/>
    <x v="0"/>
    <x v="0"/>
    <s v="DK1_NoDH_PHL"/>
    <x v="3"/>
    <x v="7"/>
    <x v="11"/>
    <s v="GNR_BO_NGAS_E-82_PHL"/>
    <x v="8"/>
    <n v="4.6189088102110896"/>
  </r>
  <r>
    <x v="0"/>
    <x v="0"/>
    <x v="0"/>
    <x v="0"/>
    <x v="0"/>
    <s v="DK1_Offshore"/>
    <x v="9"/>
    <x v="5"/>
    <x v="7"/>
    <s v="GNR_WT_WIND_OFF"/>
    <x v="8"/>
    <n v="79.995067933200005"/>
  </r>
  <r>
    <x v="0"/>
    <x v="0"/>
    <x v="0"/>
    <x v="0"/>
    <x v="0"/>
    <s v="DK1_Rural"/>
    <x v="1"/>
    <x v="7"/>
    <x v="11"/>
    <s v="GNR_BO_BGAS_E-100"/>
    <x v="8"/>
    <n v="8.0124799999999996E-4"/>
  </r>
  <r>
    <x v="0"/>
    <x v="0"/>
    <x v="0"/>
    <x v="0"/>
    <x v="0"/>
    <s v="DK1_Rural"/>
    <x v="1"/>
    <x v="1"/>
    <x v="1"/>
    <s v="GNR_ENG_BGAS_BP_E-30"/>
    <x v="8"/>
    <n v="6.0093599999999997E-2"/>
  </r>
  <r>
    <x v="0"/>
    <x v="0"/>
    <x v="0"/>
    <x v="0"/>
    <x v="0"/>
    <s v="DK1_Rural"/>
    <x v="1"/>
    <x v="1"/>
    <x v="1"/>
    <s v="GNR_ENG_BGAS_BP_E-37"/>
    <x v="8"/>
    <n v="1.7577378000000001E-2"/>
  </r>
  <r>
    <x v="0"/>
    <x v="0"/>
    <x v="0"/>
    <x v="0"/>
    <x v="0"/>
    <s v="DK1_Rural"/>
    <x v="1"/>
    <x v="1"/>
    <x v="1"/>
    <s v="GNR_ENG_BGAS_BP_E-38"/>
    <x v="8"/>
    <n v="8.0124800000000006E-3"/>
  </r>
  <r>
    <x v="0"/>
    <x v="0"/>
    <x v="0"/>
    <x v="0"/>
    <x v="0"/>
    <s v="DK1_Rural"/>
    <x v="1"/>
    <x v="1"/>
    <x v="1"/>
    <s v="GNR_ENG_BGAS_BP_E-39"/>
    <x v="8"/>
    <n v="6.2096720000000003E-3"/>
  </r>
  <r>
    <x v="0"/>
    <x v="0"/>
    <x v="0"/>
    <x v="0"/>
    <x v="0"/>
    <s v="DK1_Rural"/>
    <x v="1"/>
    <x v="1"/>
    <x v="1"/>
    <s v="GNR_ENG_BGAS_BP_E-40"/>
    <x v="8"/>
    <n v="6.3498903999999995E-2"/>
  </r>
  <r>
    <x v="0"/>
    <x v="0"/>
    <x v="0"/>
    <x v="0"/>
    <x v="0"/>
    <s v="DK1_Rural"/>
    <x v="1"/>
    <x v="1"/>
    <x v="1"/>
    <s v="GNR_ENG_BGAS_BP_E-41"/>
    <x v="8"/>
    <n v="1.1818408000000001E-2"/>
  </r>
  <r>
    <x v="0"/>
    <x v="0"/>
    <x v="0"/>
    <x v="0"/>
    <x v="0"/>
    <s v="DK1_Rural"/>
    <x v="1"/>
    <x v="1"/>
    <x v="1"/>
    <s v="GNR_ENG_BGAS_BP_E-42"/>
    <x v="8"/>
    <n v="6.6904208000000007E-2"/>
  </r>
  <r>
    <x v="0"/>
    <x v="0"/>
    <x v="0"/>
    <x v="0"/>
    <x v="0"/>
    <s v="DK1_Rural"/>
    <x v="1"/>
    <x v="1"/>
    <x v="1"/>
    <s v="GNR_ENG_BGAS_BP_E-43"/>
    <x v="8"/>
    <n v="5.1480183999999998E-2"/>
  </r>
  <r>
    <x v="0"/>
    <x v="0"/>
    <x v="0"/>
    <x v="0"/>
    <x v="0"/>
    <s v="DK1_Rural"/>
    <x v="14"/>
    <x v="7"/>
    <x v="11"/>
    <s v="GNR_BO_BIOIL_E-100"/>
    <x v="8"/>
    <n v="9.2143520000000003E-3"/>
  </r>
  <r>
    <x v="0"/>
    <x v="0"/>
    <x v="0"/>
    <x v="0"/>
    <x v="0"/>
    <s v="DK1_Rural"/>
    <x v="6"/>
    <x v="2"/>
    <x v="2"/>
    <s v="GNR_BO_ELEC_E-100"/>
    <x v="8"/>
    <n v="0.21087945956000001"/>
  </r>
  <r>
    <x v="0"/>
    <x v="0"/>
    <x v="0"/>
    <x v="0"/>
    <x v="0"/>
    <s v="DK1_Rural"/>
    <x v="6"/>
    <x v="2"/>
    <x v="2"/>
    <s v="GNR_BO_ELEC_E-99"/>
    <x v="8"/>
    <n v="2.1869062599999999E-2"/>
  </r>
  <r>
    <x v="0"/>
    <x v="0"/>
    <x v="0"/>
    <x v="0"/>
    <x v="0"/>
    <s v="DK1_Rural"/>
    <x v="6"/>
    <x v="2"/>
    <x v="2"/>
    <s v="GNR_HP_ELEC_COP-300"/>
    <x v="8"/>
    <n v="3.00468E-3"/>
  </r>
  <r>
    <x v="0"/>
    <x v="0"/>
    <x v="0"/>
    <x v="0"/>
    <x v="0"/>
    <s v="DK1_Rural"/>
    <x v="6"/>
    <x v="2"/>
    <x v="2"/>
    <s v="GNR_HP_ELEC_COP-350"/>
    <x v="8"/>
    <n v="4.3848296799999997E-3"/>
  </r>
  <r>
    <x v="0"/>
    <x v="0"/>
    <x v="0"/>
    <x v="0"/>
    <x v="0"/>
    <s v="DK1_Rural"/>
    <x v="6"/>
    <x v="2"/>
    <x v="2"/>
    <s v="GNR_HP_ELEC_COP-400"/>
    <x v="8"/>
    <n v="4.1023897600000001E-3"/>
  </r>
  <r>
    <x v="0"/>
    <x v="0"/>
    <x v="0"/>
    <x v="0"/>
    <x v="0"/>
    <s v="DK1_Rural"/>
    <x v="6"/>
    <x v="2"/>
    <x v="2"/>
    <s v="GNR_HP_ELEC_COP-430"/>
    <x v="8"/>
    <n v="2.604056E-3"/>
  </r>
  <r>
    <x v="0"/>
    <x v="0"/>
    <x v="0"/>
    <x v="0"/>
    <x v="0"/>
    <s v="DK1_Rural"/>
    <x v="6"/>
    <x v="2"/>
    <x v="2"/>
    <s v="GNR_HP_ELEC_COP-450"/>
    <x v="8"/>
    <n v="1.0816847999999999E-3"/>
  </r>
  <r>
    <x v="0"/>
    <x v="0"/>
    <x v="0"/>
    <x v="0"/>
    <x v="0"/>
    <s v="DK1_Rural"/>
    <x v="6"/>
    <x v="2"/>
    <x v="2"/>
    <s v="GNR_HP_ELEC_COP-460"/>
    <x v="8"/>
    <n v="7.2112319999999997E-3"/>
  </r>
  <r>
    <x v="0"/>
    <x v="0"/>
    <x v="0"/>
    <x v="0"/>
    <x v="0"/>
    <s v="DK1_Rural"/>
    <x v="6"/>
    <x v="2"/>
    <x v="2"/>
    <s v="GNR_HP_ELEC_COP-470"/>
    <x v="8"/>
    <n v="1.902964E-3"/>
  </r>
  <r>
    <x v="0"/>
    <x v="0"/>
    <x v="0"/>
    <x v="0"/>
    <x v="0"/>
    <s v="DK1_Rural"/>
    <x v="6"/>
    <x v="2"/>
    <x v="2"/>
    <s v="GNR_HP_ELEC_COP-500"/>
    <x v="8"/>
    <n v="1.0015600000000001E-3"/>
  </r>
  <r>
    <x v="0"/>
    <x v="0"/>
    <x v="0"/>
    <x v="0"/>
    <x v="0"/>
    <s v="DK1_Rural"/>
    <x v="6"/>
    <x v="2"/>
    <x v="2"/>
    <s v="GNR_HP_ELEC_COP-530"/>
    <x v="8"/>
    <n v="2.7042120000000001E-3"/>
  </r>
  <r>
    <x v="0"/>
    <x v="0"/>
    <x v="0"/>
    <x v="0"/>
    <x v="0"/>
    <s v="DK1_Rural"/>
    <x v="6"/>
    <x v="2"/>
    <x v="2"/>
    <s v="GNR_HP_ELEC_COP-600"/>
    <x v="8"/>
    <n v="6.0093600000000005E-4"/>
  </r>
  <r>
    <x v="0"/>
    <x v="0"/>
    <x v="0"/>
    <x v="0"/>
    <x v="0"/>
    <s v="DK1_Rural"/>
    <x v="6"/>
    <x v="2"/>
    <x v="2"/>
    <s v="GNR_HP_ELEC_GROUND-WTR_COP-380_LS-4-MW_Y-2030"/>
    <x v="8"/>
    <n v="0.14828898906342"/>
  </r>
  <r>
    <x v="0"/>
    <x v="0"/>
    <x v="0"/>
    <x v="0"/>
    <x v="0"/>
    <s v="DK1_Rural"/>
    <x v="17"/>
    <x v="7"/>
    <x v="11"/>
    <s v="GNR_BO_FUELOIL_E-100"/>
    <x v="8"/>
    <n v="2.0031199999999999E-2"/>
  </r>
  <r>
    <x v="0"/>
    <x v="0"/>
    <x v="0"/>
    <x v="0"/>
    <x v="0"/>
    <s v="DK1_Rural"/>
    <x v="17"/>
    <x v="7"/>
    <x v="11"/>
    <s v="GNR_BO_FUELOIL_E-91"/>
    <x v="8"/>
    <n v="1.6024960000000001E-2"/>
  </r>
  <r>
    <x v="0"/>
    <x v="0"/>
    <x v="0"/>
    <x v="0"/>
    <x v="0"/>
    <s v="DK1_Rural"/>
    <x v="15"/>
    <x v="7"/>
    <x v="11"/>
    <s v="GNR_BO_LIGHTOIL_E-100"/>
    <x v="8"/>
    <n v="0.10496348799999999"/>
  </r>
  <r>
    <x v="0"/>
    <x v="0"/>
    <x v="0"/>
    <x v="0"/>
    <x v="0"/>
    <s v="DK1_Rural"/>
    <x v="15"/>
    <x v="7"/>
    <x v="11"/>
    <s v="GNR_BO_LIGHTOIL_E-109"/>
    <x v="8"/>
    <n v="1.5023399999999999E-2"/>
  </r>
  <r>
    <x v="0"/>
    <x v="0"/>
    <x v="0"/>
    <x v="0"/>
    <x v="0"/>
    <s v="DK1_Rural"/>
    <x v="15"/>
    <x v="7"/>
    <x v="11"/>
    <s v="GNR_BO_LIGHTOIL_E-67"/>
    <x v="8"/>
    <n v="4.0062399999999998E-5"/>
  </r>
  <r>
    <x v="0"/>
    <x v="0"/>
    <x v="0"/>
    <x v="0"/>
    <x v="0"/>
    <s v="DK1_Rural"/>
    <x v="15"/>
    <x v="7"/>
    <x v="11"/>
    <s v="GNR_BO_LIGHTOIL_E-85"/>
    <x v="8"/>
    <n v="1.5023399999999999E-2"/>
  </r>
  <r>
    <x v="0"/>
    <x v="0"/>
    <x v="0"/>
    <x v="0"/>
    <x v="0"/>
    <s v="DK1_Rural"/>
    <x v="15"/>
    <x v="7"/>
    <x v="11"/>
    <s v="GNR_BO_LIGHTOIL_E-90"/>
    <x v="8"/>
    <n v="7.90431152E-2"/>
  </r>
  <r>
    <x v="0"/>
    <x v="0"/>
    <x v="0"/>
    <x v="0"/>
    <x v="0"/>
    <s v="DK1_Rural"/>
    <x v="15"/>
    <x v="7"/>
    <x v="11"/>
    <s v="GNR_BO_LIGHTOIL_E-91"/>
    <x v="8"/>
    <n v="1.1618096E-2"/>
  </r>
  <r>
    <x v="0"/>
    <x v="0"/>
    <x v="0"/>
    <x v="0"/>
    <x v="0"/>
    <s v="DK1_Rural"/>
    <x v="15"/>
    <x v="7"/>
    <x v="11"/>
    <s v="GNR_BO_LIGHTOIL_E-92"/>
    <x v="8"/>
    <n v="2.403744E-2"/>
  </r>
  <r>
    <x v="0"/>
    <x v="0"/>
    <x v="0"/>
    <x v="0"/>
    <x v="0"/>
    <s v="DK1_Rural"/>
    <x v="15"/>
    <x v="7"/>
    <x v="11"/>
    <s v="GNR_BO_LIGHTOIL_E-93"/>
    <x v="8"/>
    <n v="1.201872E-2"/>
  </r>
  <r>
    <x v="0"/>
    <x v="0"/>
    <x v="0"/>
    <x v="0"/>
    <x v="0"/>
    <s v="DK1_Rural"/>
    <x v="15"/>
    <x v="7"/>
    <x v="11"/>
    <s v="GNR_BO_LIGHTOIL_E-94"/>
    <x v="8"/>
    <n v="1.5824648E-2"/>
  </r>
  <r>
    <x v="0"/>
    <x v="0"/>
    <x v="0"/>
    <x v="0"/>
    <x v="0"/>
    <s v="DK1_Rural"/>
    <x v="15"/>
    <x v="1"/>
    <x v="1"/>
    <s v="GNR_ENG_LIGHTOIL_BP_E-37"/>
    <x v="8"/>
    <n v="0.16024959999999999"/>
  </r>
  <r>
    <x v="0"/>
    <x v="0"/>
    <x v="0"/>
    <x v="0"/>
    <x v="0"/>
    <s v="DK1_Rural"/>
    <x v="15"/>
    <x v="4"/>
    <x v="4"/>
    <s v="GNR_ENG_LIGHTOIL_CND_E-33"/>
    <x v="8"/>
    <n v="4.5070199999999996E-3"/>
  </r>
  <r>
    <x v="0"/>
    <x v="0"/>
    <x v="0"/>
    <x v="0"/>
    <x v="0"/>
    <s v="DK1_Rural"/>
    <x v="15"/>
    <x v="4"/>
    <x v="4"/>
    <s v="GNR_ENG_LIGHTOIL_CND_E-42"/>
    <x v="8"/>
    <n v="1.902964E-3"/>
  </r>
  <r>
    <x v="0"/>
    <x v="0"/>
    <x v="0"/>
    <x v="0"/>
    <x v="0"/>
    <s v="DK1_Rural"/>
    <x v="15"/>
    <x v="4"/>
    <x v="4"/>
    <s v="GNR_ENG_LIGHTOIL_CND_E-43"/>
    <x v="8"/>
    <n v="7.6118560000000002E-3"/>
  </r>
  <r>
    <x v="0"/>
    <x v="0"/>
    <x v="0"/>
    <x v="0"/>
    <x v="0"/>
    <s v="DK1_Rural"/>
    <x v="3"/>
    <x v="7"/>
    <x v="11"/>
    <s v="GNR_BO_NGAS_E-100"/>
    <x v="8"/>
    <n v="0.2336839792"/>
  </r>
  <r>
    <x v="0"/>
    <x v="0"/>
    <x v="0"/>
    <x v="0"/>
    <x v="0"/>
    <s v="DK1_Rural"/>
    <x v="3"/>
    <x v="7"/>
    <x v="11"/>
    <s v="GNR_BO_NGAS_E-101"/>
    <x v="8"/>
    <n v="0.33904809120000001"/>
  </r>
  <r>
    <x v="0"/>
    <x v="0"/>
    <x v="0"/>
    <x v="0"/>
    <x v="0"/>
    <s v="DK1_Rural"/>
    <x v="3"/>
    <x v="7"/>
    <x v="11"/>
    <s v="GNR_BO_NGAS_E-102"/>
    <x v="8"/>
    <n v="2.72624632E-2"/>
  </r>
  <r>
    <x v="0"/>
    <x v="0"/>
    <x v="0"/>
    <x v="0"/>
    <x v="0"/>
    <s v="DK1_Rural"/>
    <x v="3"/>
    <x v="7"/>
    <x v="11"/>
    <s v="GNR_BO_NGAS_E-104"/>
    <x v="8"/>
    <n v="8.4531663999999999E-3"/>
  </r>
  <r>
    <x v="0"/>
    <x v="0"/>
    <x v="0"/>
    <x v="0"/>
    <x v="0"/>
    <s v="DK1_Rural"/>
    <x v="3"/>
    <x v="7"/>
    <x v="11"/>
    <s v="GNR_BO_NGAS_E-105"/>
    <x v="8"/>
    <n v="6.9307952000000006E-2"/>
  </r>
  <r>
    <x v="0"/>
    <x v="0"/>
    <x v="0"/>
    <x v="0"/>
    <x v="0"/>
    <s v="DK1_Rural"/>
    <x v="3"/>
    <x v="7"/>
    <x v="11"/>
    <s v="GNR_BO_NGAS_E-98"/>
    <x v="8"/>
    <n v="1.6826207999999999E-2"/>
  </r>
  <r>
    <x v="0"/>
    <x v="0"/>
    <x v="0"/>
    <x v="0"/>
    <x v="0"/>
    <s v="DK1_Rural"/>
    <x v="3"/>
    <x v="1"/>
    <x v="1"/>
    <s v="GNR_ENG_NGAS_BP_E-37"/>
    <x v="8"/>
    <n v="7.1811851999999995E-2"/>
  </r>
  <r>
    <x v="0"/>
    <x v="0"/>
    <x v="0"/>
    <x v="0"/>
    <x v="0"/>
    <s v="DK1_Rural"/>
    <x v="3"/>
    <x v="1"/>
    <x v="1"/>
    <s v="GNR_ENG_NGAS_BP_E-38"/>
    <x v="8"/>
    <n v="3.0046799999999999E-2"/>
  </r>
  <r>
    <x v="0"/>
    <x v="0"/>
    <x v="0"/>
    <x v="0"/>
    <x v="0"/>
    <s v="DK1_Rural"/>
    <x v="3"/>
    <x v="1"/>
    <x v="1"/>
    <s v="GNR_ENG_NGAS_BP_E-39"/>
    <x v="8"/>
    <n v="2.0031199999999999E-2"/>
  </r>
  <r>
    <x v="0"/>
    <x v="0"/>
    <x v="0"/>
    <x v="0"/>
    <x v="0"/>
    <s v="DK1_Rural"/>
    <x v="3"/>
    <x v="1"/>
    <x v="1"/>
    <s v="GNR_ENG_NGAS_BP_E-40"/>
    <x v="8"/>
    <n v="4.6272071999999997E-2"/>
  </r>
  <r>
    <x v="0"/>
    <x v="0"/>
    <x v="0"/>
    <x v="0"/>
    <x v="0"/>
    <s v="DK1_Rural"/>
    <x v="3"/>
    <x v="1"/>
    <x v="1"/>
    <s v="GNR_ENG_NGAS_BP_E-41"/>
    <x v="8"/>
    <n v="0.14672853999999999"/>
  </r>
  <r>
    <x v="0"/>
    <x v="0"/>
    <x v="0"/>
    <x v="0"/>
    <x v="0"/>
    <s v="DK1_Rural"/>
    <x v="3"/>
    <x v="1"/>
    <x v="1"/>
    <s v="GNR_ENG_NGAS_BP_E-42"/>
    <x v="8"/>
    <n v="0.33954887119999999"/>
  </r>
  <r>
    <x v="0"/>
    <x v="0"/>
    <x v="0"/>
    <x v="0"/>
    <x v="0"/>
    <s v="DK1_Rural"/>
    <x v="3"/>
    <x v="1"/>
    <x v="1"/>
    <s v="GNR_ENG_NGAS_BP_E-43"/>
    <x v="8"/>
    <n v="0.15856697920000001"/>
  </r>
  <r>
    <x v="0"/>
    <x v="0"/>
    <x v="0"/>
    <x v="0"/>
    <x v="0"/>
    <s v="DK1_Rural"/>
    <x v="3"/>
    <x v="1"/>
    <x v="1"/>
    <s v="GNR_ENG_NGAS_BP_E-44"/>
    <x v="8"/>
    <n v="0.13180529599999999"/>
  </r>
  <r>
    <x v="0"/>
    <x v="0"/>
    <x v="0"/>
    <x v="0"/>
    <x v="0"/>
    <s v="DK1_Rural"/>
    <x v="3"/>
    <x v="1"/>
    <x v="1"/>
    <s v="GNR_ENG_NGAS_BP_E-45"/>
    <x v="8"/>
    <n v="5.1079560000000003E-2"/>
  </r>
  <r>
    <x v="0"/>
    <x v="0"/>
    <x v="0"/>
    <x v="0"/>
    <x v="0"/>
    <s v="DK1_Rural"/>
    <x v="3"/>
    <x v="1"/>
    <x v="1"/>
    <s v="GNR_ENG_NGAS_BP_E-46"/>
    <x v="8"/>
    <n v="1.8228392E-2"/>
  </r>
  <r>
    <x v="0"/>
    <x v="0"/>
    <x v="0"/>
    <x v="0"/>
    <x v="0"/>
    <s v="DK1_Rural"/>
    <x v="4"/>
    <x v="7"/>
    <x v="11"/>
    <s v="GNR_BO_STRW_E-100"/>
    <x v="8"/>
    <n v="3.5303816506664498"/>
  </r>
  <r>
    <x v="0"/>
    <x v="0"/>
    <x v="0"/>
    <x v="0"/>
    <x v="0"/>
    <s v="DK1_Rural"/>
    <x v="4"/>
    <x v="7"/>
    <x v="11"/>
    <s v="GNR_BO_STRW_E-102"/>
    <x v="8"/>
    <n v="1.1065375322984401"/>
  </r>
  <r>
    <x v="0"/>
    <x v="0"/>
    <x v="0"/>
    <x v="0"/>
    <x v="0"/>
    <s v="DK1_Rural"/>
    <x v="5"/>
    <x v="7"/>
    <x v="11"/>
    <s v="GNR_BO_WOODCHI_E-100"/>
    <x v="8"/>
    <n v="6.0040647408670402"/>
  </r>
  <r>
    <x v="0"/>
    <x v="0"/>
    <x v="0"/>
    <x v="0"/>
    <x v="0"/>
    <s v="DK1_Rural"/>
    <x v="5"/>
    <x v="7"/>
    <x v="11"/>
    <s v="GNR_BO_WOODCHI_E-105"/>
    <x v="8"/>
    <n v="0.17979232296723799"/>
  </r>
  <r>
    <x v="0"/>
    <x v="0"/>
    <x v="0"/>
    <x v="0"/>
    <x v="0"/>
    <s v="DK1_Rural"/>
    <x v="5"/>
    <x v="7"/>
    <x v="11"/>
    <s v="GNR_BO_WOODCHI_E-106"/>
    <x v="8"/>
    <n v="0.10987308625775601"/>
  </r>
  <r>
    <x v="0"/>
    <x v="0"/>
    <x v="0"/>
    <x v="0"/>
    <x v="0"/>
    <s v="DK1_Rural"/>
    <x v="5"/>
    <x v="7"/>
    <x v="11"/>
    <s v="GNR_BO_WOODCHI_E-107"/>
    <x v="8"/>
    <n v="0.49862404236247299"/>
  </r>
  <r>
    <x v="0"/>
    <x v="0"/>
    <x v="0"/>
    <x v="0"/>
    <x v="0"/>
    <s v="DK1_Rural"/>
    <x v="5"/>
    <x v="7"/>
    <x v="11"/>
    <s v="GNR_BO_WOODCHI_E-110"/>
    <x v="8"/>
    <n v="3.65298046419879"/>
  </r>
  <r>
    <x v="0"/>
    <x v="0"/>
    <x v="0"/>
    <x v="0"/>
    <x v="0"/>
    <s v="DK1_Rural"/>
    <x v="5"/>
    <x v="7"/>
    <x v="11"/>
    <s v="GNR_BO_WOODCHI_E-112"/>
    <x v="8"/>
    <n v="0.75912314141722703"/>
  </r>
  <r>
    <x v="0"/>
    <x v="0"/>
    <x v="0"/>
    <x v="0"/>
    <x v="0"/>
    <s v="DK1_Rural"/>
    <x v="5"/>
    <x v="7"/>
    <x v="11"/>
    <s v="GNR_BO_WOODCHI_E-117"/>
    <x v="8"/>
    <n v="0.51940004412757601"/>
  </r>
  <r>
    <x v="0"/>
    <x v="0"/>
    <x v="0"/>
    <x v="0"/>
    <x v="0"/>
    <s v="DK1_Rural"/>
    <x v="5"/>
    <x v="7"/>
    <x v="11"/>
    <s v="GNR_BO_WOODCHI_E-120"/>
    <x v="8"/>
    <n v="0.71916929186895195"/>
  </r>
  <r>
    <x v="0"/>
    <x v="0"/>
    <x v="0"/>
    <x v="0"/>
    <x v="0"/>
    <s v="DK1_Rural"/>
    <x v="5"/>
    <x v="1"/>
    <x v="1"/>
    <s v="GNR_ST_WOODCHI_BP_E-17"/>
    <x v="8"/>
    <n v="4.5070199999999998E-2"/>
  </r>
  <r>
    <x v="0"/>
    <x v="0"/>
    <x v="0"/>
    <x v="0"/>
    <x v="0"/>
    <s v="DK1_Rural"/>
    <x v="16"/>
    <x v="7"/>
    <x v="11"/>
    <s v="GNR_BO_WOODPEL_E-100"/>
    <x v="8"/>
    <n v="0.70413268261957895"/>
  </r>
  <r>
    <x v="0"/>
    <x v="0"/>
    <x v="0"/>
    <x v="0"/>
    <x v="0"/>
    <s v="DK1_Rural"/>
    <x v="16"/>
    <x v="7"/>
    <x v="11"/>
    <s v="GNR_BO_WOODPEL_E-102"/>
    <x v="8"/>
    <n v="0.52504792158681302"/>
  </r>
  <r>
    <x v="0"/>
    <x v="0"/>
    <x v="0"/>
    <x v="0"/>
    <x v="0"/>
    <s v="DK1_Rural"/>
    <x v="13"/>
    <x v="7"/>
    <x v="11"/>
    <s v="GNR_BO_WOODWST_E-100"/>
    <x v="8"/>
    <n v="0.75853817964219095"/>
  </r>
  <r>
    <x v="0"/>
    <x v="0"/>
    <x v="0"/>
    <x v="0"/>
    <x v="0"/>
    <s v="DK1_Rural"/>
    <x v="13"/>
    <x v="7"/>
    <x v="11"/>
    <s v="GNR_BO_WOODWST_E-113"/>
    <x v="8"/>
    <n v="0.13950127441695501"/>
  </r>
  <r>
    <x v="0"/>
    <x v="0"/>
    <x v="0"/>
    <x v="0"/>
    <x v="0"/>
    <s v="DK1_Rural"/>
    <x v="13"/>
    <x v="7"/>
    <x v="11"/>
    <s v="GNR_BO_WOODWST_E-86"/>
    <x v="8"/>
    <n v="0.104625955812716"/>
  </r>
  <r>
    <x v="0"/>
    <x v="0"/>
    <x v="0"/>
    <x v="0"/>
    <x v="0"/>
    <s v="DK1_Rural"/>
    <x v="13"/>
    <x v="7"/>
    <x v="11"/>
    <s v="GNR_BO_WOODWST_E-89"/>
    <x v="8"/>
    <n v="6.9750637208477406E-2"/>
  </r>
  <r>
    <x v="0"/>
    <x v="0"/>
    <x v="0"/>
    <x v="0"/>
    <x v="0"/>
    <s v="DK1_Rural"/>
    <x v="13"/>
    <x v="7"/>
    <x v="11"/>
    <s v="GNR_BO_WOODWST_E-90"/>
    <x v="8"/>
    <n v="6.2775573487629605E-2"/>
  </r>
  <r>
    <x v="0"/>
    <x v="0"/>
    <x v="0"/>
    <x v="0"/>
    <x v="0"/>
    <s v="DK1_Rural"/>
    <x v="13"/>
    <x v="7"/>
    <x v="11"/>
    <s v="GNR_BO_WOODWST_E-94"/>
    <x v="8"/>
    <n v="3.2434046301942E-2"/>
  </r>
  <r>
    <x v="0"/>
    <x v="0"/>
    <x v="0"/>
    <x v="0"/>
    <x v="0"/>
    <s v="DK1_Small"/>
    <x v="14"/>
    <x v="7"/>
    <x v="11"/>
    <s v="GNR_BO_BIOIL_E-90"/>
    <x v="8"/>
    <n v="2.8844927999999999E-2"/>
  </r>
  <r>
    <x v="0"/>
    <x v="0"/>
    <x v="0"/>
    <x v="0"/>
    <x v="0"/>
    <s v="DK1_Small"/>
    <x v="14"/>
    <x v="7"/>
    <x v="11"/>
    <s v="GNR_BO_BIOIL_E-91"/>
    <x v="8"/>
    <n v="1.201872E-2"/>
  </r>
  <r>
    <x v="0"/>
    <x v="0"/>
    <x v="0"/>
    <x v="0"/>
    <x v="0"/>
    <s v="DK1_Small"/>
    <x v="15"/>
    <x v="7"/>
    <x v="11"/>
    <s v="GNR_BO_LIGHTOIL_E-100"/>
    <x v="8"/>
    <n v="3.0046799999999999E-2"/>
  </r>
  <r>
    <x v="0"/>
    <x v="0"/>
    <x v="0"/>
    <x v="0"/>
    <x v="0"/>
    <s v="DK1_Small"/>
    <x v="15"/>
    <x v="7"/>
    <x v="11"/>
    <s v="GNR_BO_LIGHTOIL_E-96"/>
    <x v="8"/>
    <n v="1.1818408000000001E-2"/>
  </r>
  <r>
    <x v="0"/>
    <x v="0"/>
    <x v="0"/>
    <x v="0"/>
    <x v="0"/>
    <s v="DK1_Small"/>
    <x v="3"/>
    <x v="7"/>
    <x v="11"/>
    <s v="GNR_BO_NGAS_E-101"/>
    <x v="8"/>
    <n v="4.4068639999999999E-2"/>
  </r>
  <r>
    <x v="0"/>
    <x v="0"/>
    <x v="0"/>
    <x v="0"/>
    <x v="0"/>
    <s v="DK1_Small"/>
    <x v="3"/>
    <x v="1"/>
    <x v="1"/>
    <s v="GNR_ENG_NGAS_BP_E-38"/>
    <x v="8"/>
    <n v="1.1317628E-2"/>
  </r>
  <r>
    <x v="0"/>
    <x v="0"/>
    <x v="0"/>
    <x v="0"/>
    <x v="0"/>
    <s v="DK1_Small"/>
    <x v="4"/>
    <x v="7"/>
    <x v="11"/>
    <s v="GNR_BO_STRW_E-100"/>
    <x v="8"/>
    <n v="1.73549915307578"/>
  </r>
  <r>
    <x v="0"/>
    <x v="0"/>
    <x v="0"/>
    <x v="0"/>
    <x v="0"/>
    <s v="DK1_Small"/>
    <x v="5"/>
    <x v="7"/>
    <x v="11"/>
    <s v="GNR_BO_WOODCHI_E-100"/>
    <x v="8"/>
    <n v="1.1986154864482499"/>
  </r>
  <r>
    <x v="0"/>
    <x v="0"/>
    <x v="0"/>
    <x v="0"/>
    <x v="0"/>
    <s v="DK1_Small"/>
    <x v="5"/>
    <x v="7"/>
    <x v="11"/>
    <s v="GNR_BO_WOODCHI_E-110"/>
    <x v="8"/>
    <n v="0.43150157512137099"/>
  </r>
  <r>
    <x v="0"/>
    <x v="0"/>
    <x v="0"/>
    <x v="0"/>
    <x v="0"/>
    <s v="DK1_Small"/>
    <x v="16"/>
    <x v="7"/>
    <x v="11"/>
    <s v="GNR_BO_WOODPEL_E-100"/>
    <x v="8"/>
    <n v="0.45337914185510297"/>
  </r>
  <r>
    <x v="0"/>
    <x v="0"/>
    <x v="0"/>
    <x v="0"/>
    <x v="0"/>
    <s v="DK1_Small"/>
    <x v="16"/>
    <x v="7"/>
    <x v="11"/>
    <s v="GNR_BO_WOODPEL_E-102"/>
    <x v="8"/>
    <n v="6.1031807557417703E-2"/>
  </r>
  <r>
    <x v="0"/>
    <x v="0"/>
    <x v="0"/>
    <x v="0"/>
    <x v="0"/>
    <s v="DK1_Small"/>
    <x v="13"/>
    <x v="7"/>
    <x v="11"/>
    <s v="GNR_BO_WOODWST_E-89"/>
    <x v="8"/>
    <n v="6.2008316478336399E-2"/>
  </r>
  <r>
    <x v="0"/>
    <x v="0"/>
    <x v="0"/>
    <x v="0"/>
    <x v="1"/>
    <s v="DK2_Large"/>
    <x v="1"/>
    <x v="7"/>
    <x v="11"/>
    <s v="GNR_BO_BGAS_E-95"/>
    <x v="8"/>
    <n v="1.5223712000000001E-3"/>
  </r>
  <r>
    <x v="0"/>
    <x v="0"/>
    <x v="0"/>
    <x v="0"/>
    <x v="1"/>
    <s v="DK2_Large"/>
    <x v="1"/>
    <x v="1"/>
    <x v="1"/>
    <s v="GNR_ENG_BGAS_BP_E-42"/>
    <x v="8"/>
    <n v="3.0517533199999999E-2"/>
  </r>
  <r>
    <x v="0"/>
    <x v="0"/>
    <x v="0"/>
    <x v="0"/>
    <x v="1"/>
    <s v="DK2_Large"/>
    <x v="10"/>
    <x v="1"/>
    <x v="8"/>
    <s v="GNR_ST_COAL_EXT_E-42"/>
    <x v="8"/>
    <n v="14.322308"/>
  </r>
  <r>
    <x v="0"/>
    <x v="0"/>
    <x v="0"/>
    <x v="0"/>
    <x v="1"/>
    <s v="DK2_Large"/>
    <x v="6"/>
    <x v="2"/>
    <x v="2"/>
    <s v="GNR_BO_ELEC_E-100"/>
    <x v="8"/>
    <n v="1.101716E-2"/>
  </r>
  <r>
    <x v="0"/>
    <x v="0"/>
    <x v="0"/>
    <x v="0"/>
    <x v="1"/>
    <s v="DK2_Large"/>
    <x v="6"/>
    <x v="2"/>
    <x v="2"/>
    <s v="GNR_HP_ELEC_COP-300"/>
    <x v="8"/>
    <n v="6.8106079999999999E-4"/>
  </r>
  <r>
    <x v="0"/>
    <x v="0"/>
    <x v="0"/>
    <x v="0"/>
    <x v="1"/>
    <s v="DK2_Large"/>
    <x v="15"/>
    <x v="7"/>
    <x v="11"/>
    <s v="GNR_BO_LIGHTOIL_E-100"/>
    <x v="8"/>
    <n v="1.201872E-2"/>
  </r>
  <r>
    <x v="0"/>
    <x v="0"/>
    <x v="0"/>
    <x v="0"/>
    <x v="1"/>
    <s v="DK2_Large"/>
    <x v="15"/>
    <x v="7"/>
    <x v="11"/>
    <s v="GNR_BO_LIGHTOIL_E-88"/>
    <x v="8"/>
    <n v="1.302028E-2"/>
  </r>
  <r>
    <x v="0"/>
    <x v="0"/>
    <x v="0"/>
    <x v="0"/>
    <x v="1"/>
    <s v="DK2_Large"/>
    <x v="15"/>
    <x v="7"/>
    <x v="11"/>
    <s v="GNR_BO_LIGHTOIL_E-92"/>
    <x v="8"/>
    <n v="0.145827136"/>
  </r>
  <r>
    <x v="0"/>
    <x v="0"/>
    <x v="0"/>
    <x v="0"/>
    <x v="1"/>
    <s v="DK2_Large"/>
    <x v="15"/>
    <x v="7"/>
    <x v="11"/>
    <s v="GNR_BO_LIGHTOIL_E-93"/>
    <x v="8"/>
    <n v="0.12018719999999999"/>
  </r>
  <r>
    <x v="0"/>
    <x v="0"/>
    <x v="0"/>
    <x v="0"/>
    <x v="1"/>
    <s v="DK2_Large"/>
    <x v="15"/>
    <x v="7"/>
    <x v="11"/>
    <s v="GNR_BO_LIGHTOIL_E-95"/>
    <x v="8"/>
    <n v="1.7427143999999999E-2"/>
  </r>
  <r>
    <x v="0"/>
    <x v="0"/>
    <x v="0"/>
    <x v="0"/>
    <x v="1"/>
    <s v="DK2_Large"/>
    <x v="15"/>
    <x v="4"/>
    <x v="4"/>
    <s v="GNR_ENG_LIGHTOIL_CND_E-40"/>
    <x v="8"/>
    <n v="1.2519499999999999E-2"/>
  </r>
  <r>
    <x v="0"/>
    <x v="0"/>
    <x v="0"/>
    <x v="0"/>
    <x v="1"/>
    <s v="DK2_Large"/>
    <x v="15"/>
    <x v="4"/>
    <x v="4"/>
    <s v="GNR_ENG_LIGHTOIL_CND_E-43"/>
    <x v="8"/>
    <n v="1.302028E-2"/>
  </r>
  <r>
    <x v="0"/>
    <x v="0"/>
    <x v="0"/>
    <x v="0"/>
    <x v="1"/>
    <s v="DK2_Large"/>
    <x v="2"/>
    <x v="1"/>
    <x v="1"/>
    <s v="GNR_ST_MSW_BP_E-24_LS-220-MW-FEED_Y-2030"/>
    <x v="8"/>
    <n v="19.384002563613301"/>
  </r>
  <r>
    <x v="0"/>
    <x v="0"/>
    <x v="0"/>
    <x v="0"/>
    <x v="1"/>
    <s v="DK2_Large"/>
    <x v="2"/>
    <x v="1"/>
    <x v="1"/>
    <s v="GNR_ST_MSW_BP_E-27"/>
    <x v="8"/>
    <n v="3.8860527999999999"/>
  </r>
  <r>
    <x v="0"/>
    <x v="0"/>
    <x v="0"/>
    <x v="0"/>
    <x v="1"/>
    <s v="DK2_Large"/>
    <x v="3"/>
    <x v="7"/>
    <x v="11"/>
    <s v="GNR_BO_NGAS_E-100"/>
    <x v="8"/>
    <n v="0.101558184"/>
  </r>
  <r>
    <x v="0"/>
    <x v="0"/>
    <x v="0"/>
    <x v="0"/>
    <x v="1"/>
    <s v="DK2_Large"/>
    <x v="3"/>
    <x v="7"/>
    <x v="11"/>
    <s v="GNR_BO_NGAS_E-101"/>
    <x v="8"/>
    <n v="0.59552757599999995"/>
  </r>
  <r>
    <x v="0"/>
    <x v="0"/>
    <x v="0"/>
    <x v="0"/>
    <x v="1"/>
    <s v="DK2_Large"/>
    <x v="3"/>
    <x v="7"/>
    <x v="11"/>
    <s v="GNR_BO_NGAS_E-98"/>
    <x v="8"/>
    <n v="3.8860527999999998E-2"/>
  </r>
  <r>
    <x v="0"/>
    <x v="0"/>
    <x v="0"/>
    <x v="0"/>
    <x v="1"/>
    <s v="DK2_Large"/>
    <x v="3"/>
    <x v="1"/>
    <x v="1"/>
    <s v="GNR_GT_NGAS_BP_E-43_LS-40-MW_Y-2030"/>
    <x v="8"/>
    <n v="6.6541560973317297"/>
  </r>
  <r>
    <x v="0"/>
    <x v="0"/>
    <x v="0"/>
    <x v="0"/>
    <x v="1"/>
    <s v="DK2_Large"/>
    <x v="13"/>
    <x v="7"/>
    <x v="11"/>
    <s v="GNR_BO_WOODWST_E-90"/>
    <x v="8"/>
    <n v="0.23226962190423001"/>
  </r>
  <r>
    <x v="0"/>
    <x v="0"/>
    <x v="0"/>
    <x v="0"/>
    <x v="1"/>
    <s v="DK2_Large_PHH"/>
    <x v="6"/>
    <x v="2"/>
    <x v="2"/>
    <s v="GNR_BO_ELEC_E-99_LS-10-MW-FEED_PHH_Y-2030"/>
    <x v="8"/>
    <n v="2.5615406186488401E-2"/>
  </r>
  <r>
    <x v="0"/>
    <x v="0"/>
    <x v="0"/>
    <x v="0"/>
    <x v="1"/>
    <s v="DK2_Large_PHH"/>
    <x v="3"/>
    <x v="7"/>
    <x v="11"/>
    <s v="GNR_BO_NGAS_E-70_PHH"/>
    <x v="8"/>
    <n v="0.153264376189511"/>
  </r>
  <r>
    <x v="0"/>
    <x v="0"/>
    <x v="0"/>
    <x v="0"/>
    <x v="1"/>
    <s v="DK2_Large_PHL"/>
    <x v="3"/>
    <x v="7"/>
    <x v="11"/>
    <s v="GNR_BO_NGAS_E-82_PHL"/>
    <x v="8"/>
    <n v="0.84726189745297498"/>
  </r>
  <r>
    <x v="0"/>
    <x v="0"/>
    <x v="0"/>
    <x v="0"/>
    <x v="1"/>
    <s v="DK2_MedSmall"/>
    <x v="1"/>
    <x v="1"/>
    <x v="1"/>
    <s v="GNR_ENG_BGAS_BP_E-38"/>
    <x v="8"/>
    <n v="2.5038999999999999E-3"/>
  </r>
  <r>
    <x v="0"/>
    <x v="0"/>
    <x v="0"/>
    <x v="0"/>
    <x v="1"/>
    <s v="DK2_MedSmall"/>
    <x v="3"/>
    <x v="7"/>
    <x v="11"/>
    <s v="GNR_BO_NGAS_E-101"/>
    <x v="8"/>
    <n v="0.22214600800000001"/>
  </r>
  <r>
    <x v="0"/>
    <x v="0"/>
    <x v="0"/>
    <x v="0"/>
    <x v="1"/>
    <s v="DK2_MedSmall"/>
    <x v="3"/>
    <x v="1"/>
    <x v="1"/>
    <s v="GNR_ENG_NGAS_BP_E-48_Y-2030"/>
    <x v="8"/>
    <n v="1.262683205461"/>
  </r>
  <r>
    <x v="0"/>
    <x v="0"/>
    <x v="0"/>
    <x v="0"/>
    <x v="1"/>
    <s v="DK2_MedSmall"/>
    <x v="4"/>
    <x v="7"/>
    <x v="11"/>
    <s v="GNR_BO_STRW_E-100"/>
    <x v="8"/>
    <n v="0.57710574246857405"/>
  </r>
  <r>
    <x v="0"/>
    <x v="0"/>
    <x v="0"/>
    <x v="0"/>
    <x v="1"/>
    <s v="DK2_MedSmall"/>
    <x v="4"/>
    <x v="7"/>
    <x v="11"/>
    <s v="GNR_BO_STRW_E-102"/>
    <x v="8"/>
    <n v="0.41819256700621299"/>
  </r>
  <r>
    <x v="0"/>
    <x v="0"/>
    <x v="0"/>
    <x v="0"/>
    <x v="1"/>
    <s v="DK2_MedSmall"/>
    <x v="5"/>
    <x v="7"/>
    <x v="11"/>
    <s v="GNR_BO_WOODCHI_E-112"/>
    <x v="8"/>
    <n v="0.55935389367585098"/>
  </r>
  <r>
    <x v="0"/>
    <x v="0"/>
    <x v="0"/>
    <x v="0"/>
    <x v="1"/>
    <s v="DK2_MedSmall"/>
    <x v="5"/>
    <x v="7"/>
    <x v="11"/>
    <s v="GNR_BO_WOODCHI_E-118"/>
    <x v="8"/>
    <n v="0.42351080521171602"/>
  </r>
  <r>
    <x v="0"/>
    <x v="0"/>
    <x v="0"/>
    <x v="0"/>
    <x v="1"/>
    <s v="DK2_Medium"/>
    <x v="1"/>
    <x v="7"/>
    <x v="11"/>
    <s v="GNR_BO_BGAS_E-100"/>
    <x v="8"/>
    <n v="8.0124799999999996E-4"/>
  </r>
  <r>
    <x v="0"/>
    <x v="0"/>
    <x v="0"/>
    <x v="0"/>
    <x v="1"/>
    <s v="DK2_Medium"/>
    <x v="2"/>
    <x v="1"/>
    <x v="1"/>
    <s v="GNR_ST_MSW_BP_E-23"/>
    <x v="8"/>
    <n v="1.6024959999999999"/>
  </r>
  <r>
    <x v="0"/>
    <x v="0"/>
    <x v="0"/>
    <x v="0"/>
    <x v="1"/>
    <s v="DK2_Medium"/>
    <x v="3"/>
    <x v="7"/>
    <x v="11"/>
    <s v="GNR_BO_NGAS_E-100"/>
    <x v="8"/>
    <n v="8.1126359999999995E-2"/>
  </r>
  <r>
    <x v="0"/>
    <x v="0"/>
    <x v="0"/>
    <x v="0"/>
    <x v="1"/>
    <s v="DK2_Medium"/>
    <x v="3"/>
    <x v="7"/>
    <x v="11"/>
    <s v="GNR_BO_NGAS_E-101"/>
    <x v="8"/>
    <n v="4.807488E-2"/>
  </r>
  <r>
    <x v="0"/>
    <x v="0"/>
    <x v="0"/>
    <x v="0"/>
    <x v="1"/>
    <s v="DK2_Medium"/>
    <x v="3"/>
    <x v="7"/>
    <x v="11"/>
    <s v="GNR_BO_NGAS_E-103"/>
    <x v="8"/>
    <n v="3.405304E-2"/>
  </r>
  <r>
    <x v="0"/>
    <x v="0"/>
    <x v="0"/>
    <x v="0"/>
    <x v="1"/>
    <s v="DK2_Medium"/>
    <x v="3"/>
    <x v="1"/>
    <x v="1"/>
    <s v="GNR_ENG_NGAS_BP_E-35"/>
    <x v="8"/>
    <n v="9.7151319999999996E-3"/>
  </r>
  <r>
    <x v="0"/>
    <x v="0"/>
    <x v="0"/>
    <x v="0"/>
    <x v="1"/>
    <s v="DK2_Medium"/>
    <x v="3"/>
    <x v="1"/>
    <x v="1"/>
    <s v="GNR_ENG_NGAS_BP_E-42"/>
    <x v="8"/>
    <n v="2.0031199999999999E-2"/>
  </r>
  <r>
    <x v="0"/>
    <x v="0"/>
    <x v="0"/>
    <x v="0"/>
    <x v="1"/>
    <s v="DK2_Medium"/>
    <x v="3"/>
    <x v="1"/>
    <x v="1"/>
    <s v="GNR_ENG_NGAS_BP_E-48_Y-2030"/>
    <x v="8"/>
    <n v="2.6412721450964902"/>
  </r>
  <r>
    <x v="0"/>
    <x v="0"/>
    <x v="0"/>
    <x v="0"/>
    <x v="1"/>
    <s v="DK2_Medium"/>
    <x v="5"/>
    <x v="7"/>
    <x v="11"/>
    <s v="GNR_BO_WOODCHI_E-100"/>
    <x v="8"/>
    <n v="0.13584308846413501"/>
  </r>
  <r>
    <x v="0"/>
    <x v="0"/>
    <x v="0"/>
    <x v="0"/>
    <x v="1"/>
    <s v="DK2_Medium"/>
    <x v="5"/>
    <x v="7"/>
    <x v="11"/>
    <s v="GNR_BO_WOODCHI_E-110"/>
    <x v="8"/>
    <n v="0.58492435738674697"/>
  </r>
  <r>
    <x v="0"/>
    <x v="0"/>
    <x v="0"/>
    <x v="0"/>
    <x v="1"/>
    <s v="DK2_Medium"/>
    <x v="5"/>
    <x v="1"/>
    <x v="1"/>
    <s v="GNR_ST_WOODCHI_BP_E-27"/>
    <x v="8"/>
    <n v="1.9830888000000001E-2"/>
  </r>
  <r>
    <x v="0"/>
    <x v="0"/>
    <x v="0"/>
    <x v="0"/>
    <x v="1"/>
    <s v="DK2_Medium"/>
    <x v="16"/>
    <x v="7"/>
    <x v="11"/>
    <s v="GNR_BO_WOODPEL_E-100"/>
    <x v="8"/>
    <n v="3.4875318604238703E-2"/>
  </r>
  <r>
    <x v="0"/>
    <x v="0"/>
    <x v="0"/>
    <x v="0"/>
    <x v="1"/>
    <s v="DK2_Medium"/>
    <x v="16"/>
    <x v="7"/>
    <x v="11"/>
    <s v="GNR_BO_WOODPEL_E-102"/>
    <x v="8"/>
    <n v="0.33131552674026699"/>
  </r>
  <r>
    <x v="0"/>
    <x v="0"/>
    <x v="0"/>
    <x v="0"/>
    <x v="1"/>
    <s v="DK2_NoDH"/>
    <x v="1"/>
    <x v="1"/>
    <x v="1"/>
    <s v="GNR_ENG_BGAS_BP_E-33"/>
    <x v="8"/>
    <n v="2.3035880000000001E-3"/>
  </r>
  <r>
    <x v="0"/>
    <x v="0"/>
    <x v="0"/>
    <x v="0"/>
    <x v="1"/>
    <s v="DK2_NoDH"/>
    <x v="1"/>
    <x v="1"/>
    <x v="1"/>
    <s v="GNR_ENG_BGAS_BP_E-34"/>
    <x v="8"/>
    <n v="1.0015600000000001E-3"/>
  </r>
  <r>
    <x v="0"/>
    <x v="0"/>
    <x v="0"/>
    <x v="0"/>
    <x v="1"/>
    <s v="DK2_NoDH"/>
    <x v="1"/>
    <x v="1"/>
    <x v="1"/>
    <s v="GNR_ENG_BGAS_BP_E-35"/>
    <x v="8"/>
    <n v="2.203432E-3"/>
  </r>
  <r>
    <x v="0"/>
    <x v="0"/>
    <x v="0"/>
    <x v="0"/>
    <x v="1"/>
    <s v="DK2_NoDH"/>
    <x v="1"/>
    <x v="1"/>
    <x v="1"/>
    <s v="GNR_ENG_BGAS_BP_E-36"/>
    <x v="8"/>
    <n v="6.3098280000000004E-4"/>
  </r>
  <r>
    <x v="0"/>
    <x v="0"/>
    <x v="0"/>
    <x v="0"/>
    <x v="1"/>
    <s v="DK2_NoDH"/>
    <x v="1"/>
    <x v="1"/>
    <x v="1"/>
    <s v="GNR_ENG_BGAS_BP_E-37"/>
    <x v="8"/>
    <n v="1.0015600000000001E-3"/>
  </r>
  <r>
    <x v="0"/>
    <x v="0"/>
    <x v="0"/>
    <x v="0"/>
    <x v="1"/>
    <s v="DK2_NoDH"/>
    <x v="1"/>
    <x v="1"/>
    <x v="1"/>
    <s v="GNR_ENG_BGAS_BP_E-38"/>
    <x v="8"/>
    <n v="3.6356627999999998E-3"/>
  </r>
  <r>
    <x v="0"/>
    <x v="0"/>
    <x v="0"/>
    <x v="0"/>
    <x v="1"/>
    <s v="DK2_NoDH"/>
    <x v="1"/>
    <x v="1"/>
    <x v="1"/>
    <s v="GNR_ENG_BGAS_BP_E-39"/>
    <x v="8"/>
    <n v="1.902964E-3"/>
  </r>
  <r>
    <x v="0"/>
    <x v="0"/>
    <x v="0"/>
    <x v="0"/>
    <x v="1"/>
    <s v="DK2_NoDH"/>
    <x v="1"/>
    <x v="1"/>
    <x v="1"/>
    <s v="GNR_ENG_BGAS_BP_E-40"/>
    <x v="8"/>
    <n v="4.0062399999999998E-4"/>
  </r>
  <r>
    <x v="0"/>
    <x v="0"/>
    <x v="0"/>
    <x v="0"/>
    <x v="1"/>
    <s v="DK2_NoDH"/>
    <x v="1"/>
    <x v="1"/>
    <x v="1"/>
    <s v="GNR_ENG_BGAS_BP_E-42"/>
    <x v="8"/>
    <n v="4.4068639999999999E-2"/>
  </r>
  <r>
    <x v="0"/>
    <x v="0"/>
    <x v="0"/>
    <x v="0"/>
    <x v="1"/>
    <s v="DK2_NoDH"/>
    <x v="1"/>
    <x v="4"/>
    <x v="4"/>
    <s v="GNR_ENG_BGAS_CND_E-32"/>
    <x v="8"/>
    <n v="1.302028E-3"/>
  </r>
  <r>
    <x v="0"/>
    <x v="0"/>
    <x v="0"/>
    <x v="0"/>
    <x v="1"/>
    <s v="DK2_NoDH"/>
    <x v="6"/>
    <x v="2"/>
    <x v="2"/>
    <s v="GNR_BO_ELEC_E-100"/>
    <x v="8"/>
    <n v="1.101716E-2"/>
  </r>
  <r>
    <x v="0"/>
    <x v="0"/>
    <x v="0"/>
    <x v="0"/>
    <x v="1"/>
    <s v="DK2_NoDH"/>
    <x v="6"/>
    <x v="3"/>
    <x v="3"/>
    <s v="GNR_ES_ELEC_BAT-LITHIO_E-97_Y-30-50"/>
    <x v="8"/>
    <n v="8.1793285946483607"/>
  </r>
  <r>
    <x v="0"/>
    <x v="0"/>
    <x v="0"/>
    <x v="0"/>
    <x v="1"/>
    <s v="DK2_NoDH"/>
    <x v="15"/>
    <x v="1"/>
    <x v="1"/>
    <s v="GNR_ENG_LIGHTOIL_BP_E-37"/>
    <x v="8"/>
    <n v="0.16024959999999999"/>
  </r>
  <r>
    <x v="0"/>
    <x v="0"/>
    <x v="0"/>
    <x v="0"/>
    <x v="1"/>
    <s v="DK2_NoDH"/>
    <x v="15"/>
    <x v="1"/>
    <x v="1"/>
    <s v="GNR_ENG_LIGHTOIL_BP_E-39"/>
    <x v="8"/>
    <n v="7.812168E-4"/>
  </r>
  <r>
    <x v="0"/>
    <x v="0"/>
    <x v="0"/>
    <x v="0"/>
    <x v="1"/>
    <s v="DK2_NoDH"/>
    <x v="15"/>
    <x v="4"/>
    <x v="4"/>
    <s v="GNR_ENG_LIGHTOIL_CND_E-37"/>
    <x v="8"/>
    <n v="0.20031199999999999"/>
  </r>
  <r>
    <x v="0"/>
    <x v="0"/>
    <x v="0"/>
    <x v="0"/>
    <x v="1"/>
    <s v="DK2_NoDH"/>
    <x v="3"/>
    <x v="7"/>
    <x v="11"/>
    <s v="GNR_BO_NGAS_E-100"/>
    <x v="8"/>
    <n v="2.7042119999999999E-2"/>
  </r>
  <r>
    <x v="0"/>
    <x v="0"/>
    <x v="0"/>
    <x v="0"/>
    <x v="1"/>
    <s v="DK2_NoDH"/>
    <x v="3"/>
    <x v="1"/>
    <x v="1"/>
    <s v="GNR_ENG_NGAS_BP_E-36"/>
    <x v="8"/>
    <n v="1.0015600000000001E-3"/>
  </r>
  <r>
    <x v="0"/>
    <x v="0"/>
    <x v="0"/>
    <x v="0"/>
    <x v="1"/>
    <s v="DK2_NoDH"/>
    <x v="3"/>
    <x v="1"/>
    <x v="1"/>
    <s v="GNR_ENG_NGAS_BP_E-39"/>
    <x v="8"/>
    <n v="6.0694536E-2"/>
  </r>
  <r>
    <x v="0"/>
    <x v="0"/>
    <x v="0"/>
    <x v="0"/>
    <x v="1"/>
    <s v="DK2_NoDH"/>
    <x v="3"/>
    <x v="1"/>
    <x v="1"/>
    <s v="GNR_ENG_NGAS_BP_E-41"/>
    <x v="8"/>
    <n v="1.101716E-2"/>
  </r>
  <r>
    <x v="0"/>
    <x v="0"/>
    <x v="0"/>
    <x v="0"/>
    <x v="1"/>
    <s v="DK2_NoDH"/>
    <x v="3"/>
    <x v="1"/>
    <x v="1"/>
    <s v="GNR_ENG_NGAS_BP_E-46"/>
    <x v="8"/>
    <n v="1.302028E-2"/>
  </r>
  <r>
    <x v="0"/>
    <x v="0"/>
    <x v="0"/>
    <x v="0"/>
    <x v="1"/>
    <s v="DK2_NoDH"/>
    <x v="7"/>
    <x v="5"/>
    <x v="5"/>
    <s v="GNR_PV_SUN"/>
    <x v="8"/>
    <n v="3.0508617482120099"/>
  </r>
  <r>
    <x v="0"/>
    <x v="0"/>
    <x v="0"/>
    <x v="0"/>
    <x v="1"/>
    <s v="DK2_NoDH"/>
    <x v="7"/>
    <x v="5"/>
    <x v="5"/>
    <s v="GNR_PV_SUN_LS-4-MW_Y-2030"/>
    <x v="8"/>
    <n v="13.296099522458301"/>
  </r>
  <r>
    <x v="0"/>
    <x v="0"/>
    <x v="0"/>
    <x v="0"/>
    <x v="1"/>
    <s v="DK2_NoDH"/>
    <x v="8"/>
    <x v="6"/>
    <x v="6"/>
    <s v="GNR_ROR_WTR"/>
    <x v="8"/>
    <n v="3.38317241379311E-4"/>
  </r>
  <r>
    <x v="0"/>
    <x v="0"/>
    <x v="0"/>
    <x v="0"/>
    <x v="1"/>
    <s v="DK2_NoDH"/>
    <x v="9"/>
    <x v="5"/>
    <x v="7"/>
    <s v="GNR_WT_WIND_ONS"/>
    <x v="8"/>
    <n v="7.1974120744959702"/>
  </r>
  <r>
    <x v="0"/>
    <x v="0"/>
    <x v="0"/>
    <x v="0"/>
    <x v="1"/>
    <s v="DK2_NoDH_PHH"/>
    <x v="6"/>
    <x v="2"/>
    <x v="2"/>
    <s v="GNR_BO_ELEC_E-99_LS-10-MW-FEED_PHH_Y-2030"/>
    <x v="8"/>
    <n v="2.8706763563702501E-2"/>
  </r>
  <r>
    <x v="0"/>
    <x v="0"/>
    <x v="0"/>
    <x v="0"/>
    <x v="1"/>
    <s v="DK2_NoDH_PHH"/>
    <x v="3"/>
    <x v="7"/>
    <x v="11"/>
    <s v="GNR_BO_NGAS_E-70_PHH"/>
    <x v="8"/>
    <n v="2.5706767492000002E-2"/>
  </r>
  <r>
    <x v="0"/>
    <x v="0"/>
    <x v="0"/>
    <x v="0"/>
    <x v="1"/>
    <s v="DK2_NoDH_PHL"/>
    <x v="3"/>
    <x v="7"/>
    <x v="11"/>
    <s v="GNR_BO_NGAS_E-82_PHL"/>
    <x v="8"/>
    <n v="1.1340758069693"/>
  </r>
  <r>
    <x v="0"/>
    <x v="0"/>
    <x v="0"/>
    <x v="0"/>
    <x v="1"/>
    <s v="DK2_Offshore"/>
    <x v="9"/>
    <x v="5"/>
    <x v="7"/>
    <s v="GNR_WT_WIND_OFF"/>
    <x v="8"/>
    <n v="48.138218654399999"/>
  </r>
  <r>
    <x v="0"/>
    <x v="0"/>
    <x v="0"/>
    <x v="0"/>
    <x v="1"/>
    <s v="DK2_Rural"/>
    <x v="1"/>
    <x v="1"/>
    <x v="1"/>
    <s v="GNR_ENG_BGAS_BP_E-40"/>
    <x v="8"/>
    <n v="5.3082679999999997E-3"/>
  </r>
  <r>
    <x v="0"/>
    <x v="0"/>
    <x v="0"/>
    <x v="0"/>
    <x v="1"/>
    <s v="DK2_Rural"/>
    <x v="1"/>
    <x v="1"/>
    <x v="1"/>
    <s v="GNR_ENG_BGAS_BP_E-41"/>
    <x v="8"/>
    <n v="2.0031199999999999E-2"/>
  </r>
  <r>
    <x v="0"/>
    <x v="0"/>
    <x v="0"/>
    <x v="0"/>
    <x v="1"/>
    <s v="DK2_Rural"/>
    <x v="1"/>
    <x v="1"/>
    <x v="1"/>
    <s v="GNR_ENG_BGAS_BP_E-42"/>
    <x v="8"/>
    <n v="5.7429450399999998E-2"/>
  </r>
  <r>
    <x v="0"/>
    <x v="0"/>
    <x v="0"/>
    <x v="0"/>
    <x v="1"/>
    <s v="DK2_Rural"/>
    <x v="14"/>
    <x v="7"/>
    <x v="11"/>
    <s v="GNR_BO_BIOIL_E-100"/>
    <x v="8"/>
    <n v="2.0031199999999999E-2"/>
  </r>
  <r>
    <x v="0"/>
    <x v="0"/>
    <x v="0"/>
    <x v="0"/>
    <x v="1"/>
    <s v="DK2_Rural"/>
    <x v="10"/>
    <x v="1"/>
    <x v="1"/>
    <s v="GNR_ST_COAL_BP_E-35"/>
    <x v="8"/>
    <n v="2.119701584"/>
  </r>
  <r>
    <x v="0"/>
    <x v="0"/>
    <x v="0"/>
    <x v="0"/>
    <x v="1"/>
    <s v="DK2_Rural"/>
    <x v="6"/>
    <x v="2"/>
    <x v="2"/>
    <s v="GNR_BO_ELEC_E-100"/>
    <x v="8"/>
    <n v="1.101716E-2"/>
  </r>
  <r>
    <x v="0"/>
    <x v="0"/>
    <x v="0"/>
    <x v="0"/>
    <x v="1"/>
    <s v="DK2_Rural"/>
    <x v="6"/>
    <x v="2"/>
    <x v="2"/>
    <s v="GNR_BO_ELEC_E-98"/>
    <x v="8"/>
    <n v="1.49833376E-2"/>
  </r>
  <r>
    <x v="0"/>
    <x v="0"/>
    <x v="0"/>
    <x v="0"/>
    <x v="1"/>
    <s v="DK2_Rural"/>
    <x v="6"/>
    <x v="2"/>
    <x v="2"/>
    <s v="GNR_HP_ELEC_COP-400"/>
    <x v="8"/>
    <n v="1.6024959999999999E-3"/>
  </r>
  <r>
    <x v="0"/>
    <x v="0"/>
    <x v="0"/>
    <x v="0"/>
    <x v="1"/>
    <s v="DK2_Rural"/>
    <x v="17"/>
    <x v="7"/>
    <x v="11"/>
    <s v="GNR_BO_FUELOIL_E-100"/>
    <x v="8"/>
    <n v="1.201872E-2"/>
  </r>
  <r>
    <x v="0"/>
    <x v="0"/>
    <x v="0"/>
    <x v="0"/>
    <x v="1"/>
    <s v="DK2_Rural"/>
    <x v="17"/>
    <x v="4"/>
    <x v="4"/>
    <s v="GNR_ENG_FUELOIL_CND_E-42"/>
    <x v="8"/>
    <n v="2.0031200000000002E-3"/>
  </r>
  <r>
    <x v="0"/>
    <x v="0"/>
    <x v="0"/>
    <x v="0"/>
    <x v="1"/>
    <s v="DK2_Rural"/>
    <x v="15"/>
    <x v="7"/>
    <x v="11"/>
    <s v="GNR_BO_LIGHTOIL_E-100"/>
    <x v="8"/>
    <n v="1.1217471999999999E-2"/>
  </r>
  <r>
    <x v="0"/>
    <x v="0"/>
    <x v="0"/>
    <x v="0"/>
    <x v="1"/>
    <s v="DK2_Rural"/>
    <x v="15"/>
    <x v="7"/>
    <x v="11"/>
    <s v="GNR_BO_LIGHTOIL_E-110"/>
    <x v="8"/>
    <n v="1.302028E-2"/>
  </r>
  <r>
    <x v="0"/>
    <x v="0"/>
    <x v="0"/>
    <x v="0"/>
    <x v="1"/>
    <s v="DK2_Rural"/>
    <x v="15"/>
    <x v="7"/>
    <x v="11"/>
    <s v="GNR_BO_LIGHTOIL_E-72"/>
    <x v="8"/>
    <n v="1.00156E-2"/>
  </r>
  <r>
    <x v="0"/>
    <x v="0"/>
    <x v="0"/>
    <x v="0"/>
    <x v="1"/>
    <s v="DK2_Rural"/>
    <x v="15"/>
    <x v="7"/>
    <x v="11"/>
    <s v="GNR_BO_LIGHTOIL_E-84"/>
    <x v="8"/>
    <n v="7.6118560000000002E-3"/>
  </r>
  <r>
    <x v="0"/>
    <x v="0"/>
    <x v="0"/>
    <x v="0"/>
    <x v="1"/>
    <s v="DK2_Rural"/>
    <x v="15"/>
    <x v="7"/>
    <x v="11"/>
    <s v="GNR_BO_LIGHTOIL_E-86"/>
    <x v="8"/>
    <n v="8.6134160000000005E-3"/>
  </r>
  <r>
    <x v="0"/>
    <x v="0"/>
    <x v="0"/>
    <x v="0"/>
    <x v="1"/>
    <s v="DK2_Rural"/>
    <x v="15"/>
    <x v="7"/>
    <x v="11"/>
    <s v="GNR_BO_LIGHTOIL_E-91"/>
    <x v="8"/>
    <n v="3.7458343999999998E-2"/>
  </r>
  <r>
    <x v="0"/>
    <x v="0"/>
    <x v="0"/>
    <x v="0"/>
    <x v="1"/>
    <s v="DK2_Rural"/>
    <x v="15"/>
    <x v="1"/>
    <x v="1"/>
    <s v="GNR_ENG_LIGHTOIL_BP_E-43"/>
    <x v="8"/>
    <n v="1.3921684E-3"/>
  </r>
  <r>
    <x v="0"/>
    <x v="0"/>
    <x v="0"/>
    <x v="0"/>
    <x v="1"/>
    <s v="DK2_Rural"/>
    <x v="15"/>
    <x v="4"/>
    <x v="4"/>
    <s v="GNR_ENG_LIGHTOIL_CND_E-37"/>
    <x v="8"/>
    <n v="0.15023400000000001"/>
  </r>
  <r>
    <x v="0"/>
    <x v="0"/>
    <x v="0"/>
    <x v="0"/>
    <x v="1"/>
    <s v="DK2_Rural"/>
    <x v="15"/>
    <x v="4"/>
    <x v="4"/>
    <s v="GNR_ENG_LIGHTOIL_CND_E-41"/>
    <x v="8"/>
    <n v="2.8043679999999998E-3"/>
  </r>
  <r>
    <x v="0"/>
    <x v="0"/>
    <x v="0"/>
    <x v="0"/>
    <x v="1"/>
    <s v="DK2_Rural"/>
    <x v="3"/>
    <x v="7"/>
    <x v="11"/>
    <s v="GNR_BO_NGAS_E-100"/>
    <x v="8"/>
    <n v="6.5101400000000002E-3"/>
  </r>
  <r>
    <x v="0"/>
    <x v="0"/>
    <x v="0"/>
    <x v="0"/>
    <x v="1"/>
    <s v="DK2_Rural"/>
    <x v="3"/>
    <x v="7"/>
    <x v="11"/>
    <s v="GNR_BO_NGAS_E-101"/>
    <x v="8"/>
    <n v="5.208112E-3"/>
  </r>
  <r>
    <x v="0"/>
    <x v="0"/>
    <x v="0"/>
    <x v="0"/>
    <x v="1"/>
    <s v="DK2_Rural"/>
    <x v="3"/>
    <x v="1"/>
    <x v="1"/>
    <s v="GNR_CC_NGAS_BP_E-53_SS-10-MW_Y-2030"/>
    <x v="8"/>
    <n v="1.67186755169709"/>
  </r>
  <r>
    <x v="0"/>
    <x v="0"/>
    <x v="0"/>
    <x v="0"/>
    <x v="1"/>
    <s v="DK2_Rural"/>
    <x v="3"/>
    <x v="1"/>
    <x v="1"/>
    <s v="GNR_ENG_NGAS_BP_E-36"/>
    <x v="8"/>
    <n v="2.8544460000000001E-3"/>
  </r>
  <r>
    <x v="0"/>
    <x v="0"/>
    <x v="0"/>
    <x v="0"/>
    <x v="1"/>
    <s v="DK2_Rural"/>
    <x v="3"/>
    <x v="1"/>
    <x v="1"/>
    <s v="GNR_ENG_NGAS_BP_E-38"/>
    <x v="8"/>
    <n v="3.8560059999999999E-3"/>
  </r>
  <r>
    <x v="0"/>
    <x v="0"/>
    <x v="0"/>
    <x v="0"/>
    <x v="1"/>
    <s v="DK2_Rural"/>
    <x v="3"/>
    <x v="1"/>
    <x v="1"/>
    <s v="GNR_ENG_NGAS_BP_E-40"/>
    <x v="8"/>
    <n v="8.5132600000000003E-2"/>
  </r>
  <r>
    <x v="0"/>
    <x v="0"/>
    <x v="0"/>
    <x v="0"/>
    <x v="1"/>
    <s v="DK2_Rural"/>
    <x v="3"/>
    <x v="1"/>
    <x v="1"/>
    <s v="GNR_ENG_NGAS_BP_E-45"/>
    <x v="8"/>
    <n v="5.0077999999999998E-3"/>
  </r>
  <r>
    <x v="0"/>
    <x v="0"/>
    <x v="0"/>
    <x v="0"/>
    <x v="1"/>
    <s v="DK2_Rural"/>
    <x v="4"/>
    <x v="7"/>
    <x v="11"/>
    <s v="GNR_BO_STRW_E-100"/>
    <x v="8"/>
    <n v="2.3146958583793902"/>
  </r>
  <r>
    <x v="0"/>
    <x v="0"/>
    <x v="0"/>
    <x v="0"/>
    <x v="1"/>
    <s v="DK2_Rural"/>
    <x v="4"/>
    <x v="7"/>
    <x v="11"/>
    <s v="GNR_BO_STRW_E-102"/>
    <x v="8"/>
    <n v="1.7961370752916801"/>
  </r>
  <r>
    <x v="0"/>
    <x v="0"/>
    <x v="0"/>
    <x v="0"/>
    <x v="1"/>
    <s v="DK2_Rural"/>
    <x v="5"/>
    <x v="7"/>
    <x v="11"/>
    <s v="GNR_BO_WOODCHI_E-100"/>
    <x v="8"/>
    <n v="0.75512775646239905"/>
  </r>
  <r>
    <x v="0"/>
    <x v="0"/>
    <x v="0"/>
    <x v="0"/>
    <x v="1"/>
    <s v="DK2_Rural"/>
    <x v="5"/>
    <x v="7"/>
    <x v="11"/>
    <s v="GNR_BO_WOODCHI_E-110"/>
    <x v="8"/>
    <n v="1.2705324156351501"/>
  </r>
  <r>
    <x v="0"/>
    <x v="0"/>
    <x v="0"/>
    <x v="0"/>
    <x v="1"/>
    <s v="DK2_Rural"/>
    <x v="16"/>
    <x v="7"/>
    <x v="11"/>
    <s v="GNR_BO_WOODPEL_E-100"/>
    <x v="8"/>
    <n v="0.613805607434601"/>
  </r>
  <r>
    <x v="0"/>
    <x v="0"/>
    <x v="0"/>
    <x v="0"/>
    <x v="1"/>
    <s v="DK2_Rural"/>
    <x v="16"/>
    <x v="7"/>
    <x v="11"/>
    <s v="GNR_BO_WOODPEL_E-102"/>
    <x v="8"/>
    <n v="9.5558372975613995E-2"/>
  </r>
  <r>
    <x v="0"/>
    <x v="0"/>
    <x v="0"/>
    <x v="0"/>
    <x v="1"/>
    <s v="DK2_Small"/>
    <x v="3"/>
    <x v="7"/>
    <x v="11"/>
    <s v="GNR_BO_NGAS_E-104"/>
    <x v="8"/>
    <n v="9.4146639999999997E-3"/>
  </r>
  <r>
    <x v="0"/>
    <x v="0"/>
    <x v="0"/>
    <x v="0"/>
    <x v="1"/>
    <s v="DK2_Small"/>
    <x v="3"/>
    <x v="1"/>
    <x v="1"/>
    <s v="GNR_CC_NGAS_BP_E-53_SS-10-MW_Y-2030"/>
    <x v="8"/>
    <n v="0.53030849260901802"/>
  </r>
  <r>
    <x v="0"/>
    <x v="0"/>
    <x v="0"/>
    <x v="0"/>
    <x v="1"/>
    <s v="DK2_Small"/>
    <x v="4"/>
    <x v="7"/>
    <x v="11"/>
    <s v="GNR_BO_STRW_E-100"/>
    <x v="8"/>
    <n v="0.27182516855403799"/>
  </r>
  <r>
    <x v="0"/>
    <x v="0"/>
    <x v="0"/>
    <x v="1"/>
    <x v="2"/>
    <s v="EE_Industry"/>
    <x v="1"/>
    <x v="1"/>
    <x v="8"/>
    <s v="GNR_ST_BGAS_EXT_E-38"/>
    <x v="8"/>
    <n v="1.1773440000000001E-3"/>
  </r>
  <r>
    <x v="0"/>
    <x v="0"/>
    <x v="0"/>
    <x v="1"/>
    <x v="2"/>
    <s v="EE_Industry"/>
    <x v="17"/>
    <x v="7"/>
    <x v="11"/>
    <s v="GNR_BO_FUELOIL_E-85"/>
    <x v="8"/>
    <n v="1.9599915999999999"/>
  </r>
  <r>
    <x v="0"/>
    <x v="0"/>
    <x v="0"/>
    <x v="1"/>
    <x v="2"/>
    <s v="EE_Industry"/>
    <x v="18"/>
    <x v="1"/>
    <x v="8"/>
    <s v="GNR_ENG_RETORT-GAS_E-44"/>
    <x v="8"/>
    <n v="1.1699993561199999"/>
  </r>
  <r>
    <x v="0"/>
    <x v="0"/>
    <x v="0"/>
    <x v="1"/>
    <x v="2"/>
    <s v="EE_Industry"/>
    <x v="19"/>
    <x v="1"/>
    <x v="1"/>
    <s v="IMAVERE_ST_WOOD_BP"/>
    <x v="8"/>
    <n v="0.49263131805999999"/>
  </r>
  <r>
    <x v="0"/>
    <x v="0"/>
    <x v="0"/>
    <x v="1"/>
    <x v="2"/>
    <s v="EE_Industry"/>
    <x v="19"/>
    <x v="1"/>
    <x v="1"/>
    <s v="OSULA_ST_WOOD_BP"/>
    <x v="8"/>
    <n v="0.49263131805999999"/>
  </r>
  <r>
    <x v="0"/>
    <x v="0"/>
    <x v="0"/>
    <x v="1"/>
    <x v="2"/>
    <s v="EE_Industry"/>
    <x v="13"/>
    <x v="1"/>
    <x v="1"/>
    <s v="GNR_ST_WOODWST_BP_E-53"/>
    <x v="8"/>
    <n v="0.640420713478"/>
  </r>
  <r>
    <x v="0"/>
    <x v="0"/>
    <x v="0"/>
    <x v="1"/>
    <x v="2"/>
    <s v="EE_Kohtla_Jarve"/>
    <x v="3"/>
    <x v="7"/>
    <x v="11"/>
    <s v="GNR_BO_NGAS_E-85"/>
    <x v="8"/>
    <n v="4.7724333999999997"/>
  </r>
  <r>
    <x v="0"/>
    <x v="0"/>
    <x v="0"/>
    <x v="1"/>
    <x v="2"/>
    <s v="EE_Kohtla_Jarve"/>
    <x v="3"/>
    <x v="1"/>
    <x v="8"/>
    <s v="GNR_ENG_NGAS_EXT_E-44"/>
    <x v="8"/>
    <n v="0.197052523136"/>
  </r>
  <r>
    <x v="0"/>
    <x v="0"/>
    <x v="0"/>
    <x v="1"/>
    <x v="2"/>
    <s v="EE_Kohtla_Jarve"/>
    <x v="20"/>
    <x v="7"/>
    <x v="11"/>
    <s v="GNR_BO_SHALE_E-34"/>
    <x v="8"/>
    <n v="0.51100000000000001"/>
  </r>
  <r>
    <x v="0"/>
    <x v="0"/>
    <x v="0"/>
    <x v="1"/>
    <x v="2"/>
    <s v="EE_Narva"/>
    <x v="17"/>
    <x v="7"/>
    <x v="11"/>
    <s v="GNR_BO_FUELOIL_E-85"/>
    <x v="8"/>
    <n v="0.35361199999999998"/>
  </r>
  <r>
    <x v="0"/>
    <x v="0"/>
    <x v="0"/>
    <x v="1"/>
    <x v="2"/>
    <s v="EE_Narva"/>
    <x v="20"/>
    <x v="4"/>
    <x v="4"/>
    <s v="AUVERE_ST_SHALE_CND"/>
    <x v="8"/>
    <n v="8.4008400000000005"/>
  </r>
  <r>
    <x v="0"/>
    <x v="0"/>
    <x v="0"/>
    <x v="1"/>
    <x v="2"/>
    <s v="EE_Narva"/>
    <x v="20"/>
    <x v="1"/>
    <x v="8"/>
    <s v="NARVA-11_ST_SHALE_EXT"/>
    <x v="8"/>
    <n v="6.5407345919999997"/>
  </r>
  <r>
    <x v="0"/>
    <x v="0"/>
    <x v="0"/>
    <x v="1"/>
    <x v="2"/>
    <s v="EE_Narva"/>
    <x v="20"/>
    <x v="4"/>
    <x v="4"/>
    <s v="NARVA-3_ST_SHALE_CND"/>
    <x v="8"/>
    <n v="5.5863746399999998"/>
  </r>
  <r>
    <x v="0"/>
    <x v="0"/>
    <x v="0"/>
    <x v="1"/>
    <x v="2"/>
    <s v="EE_Narva"/>
    <x v="20"/>
    <x v="4"/>
    <x v="4"/>
    <s v="NARVA-4_ST_SHALE_CND"/>
    <x v="8"/>
    <n v="5.5863746399999998"/>
  </r>
  <r>
    <x v="0"/>
    <x v="0"/>
    <x v="0"/>
    <x v="1"/>
    <x v="2"/>
    <s v="EE_Narva"/>
    <x v="20"/>
    <x v="4"/>
    <x v="4"/>
    <s v="NARVA-5_ST_SHALE_CND"/>
    <x v="8"/>
    <n v="5.8929439800000001"/>
  </r>
  <r>
    <x v="0"/>
    <x v="0"/>
    <x v="0"/>
    <x v="1"/>
    <x v="2"/>
    <s v="EE_Narva"/>
    <x v="20"/>
    <x v="4"/>
    <x v="4"/>
    <s v="NARVA-6_ST_SHALE_CND"/>
    <x v="8"/>
    <n v="5.8929439800000001"/>
  </r>
  <r>
    <x v="0"/>
    <x v="0"/>
    <x v="0"/>
    <x v="1"/>
    <x v="2"/>
    <s v="EE_Narva"/>
    <x v="20"/>
    <x v="4"/>
    <x v="4"/>
    <s v="NARVA-8_ST_SHALE_CND"/>
    <x v="8"/>
    <n v="5.9480399999999998"/>
  </r>
  <r>
    <x v="0"/>
    <x v="0"/>
    <x v="0"/>
    <x v="1"/>
    <x v="2"/>
    <s v="EE_Parnu"/>
    <x v="1"/>
    <x v="1"/>
    <x v="8"/>
    <s v="GNR_ST_BGAS_EXT_E-38"/>
    <x v="8"/>
    <n v="1.1773440000000001E-3"/>
  </r>
  <r>
    <x v="0"/>
    <x v="0"/>
    <x v="0"/>
    <x v="1"/>
    <x v="2"/>
    <s v="EE_Parnu"/>
    <x v="17"/>
    <x v="7"/>
    <x v="11"/>
    <s v="GNR_BO_FUELOIL_E-85"/>
    <x v="8"/>
    <n v="1.8831372"/>
  </r>
  <r>
    <x v="0"/>
    <x v="0"/>
    <x v="0"/>
    <x v="1"/>
    <x v="2"/>
    <s v="EE_Parnu"/>
    <x v="19"/>
    <x v="1"/>
    <x v="1"/>
    <s v="PARNU-1_ST_WOOD_BP"/>
    <x v="8"/>
    <n v="1.083788899732"/>
  </r>
  <r>
    <x v="0"/>
    <x v="0"/>
    <x v="0"/>
    <x v="1"/>
    <x v="2"/>
    <s v="EE_Rural"/>
    <x v="1"/>
    <x v="1"/>
    <x v="8"/>
    <s v="GNR_ST_BGAS_EXT_E-38"/>
    <x v="8"/>
    <n v="3.8852352E-2"/>
  </r>
  <r>
    <x v="0"/>
    <x v="0"/>
    <x v="0"/>
    <x v="1"/>
    <x v="2"/>
    <s v="EE_Rural"/>
    <x v="17"/>
    <x v="7"/>
    <x v="11"/>
    <s v="GNR_BO_FUELOIL_E-85"/>
    <x v="8"/>
    <n v="0.58029160000000002"/>
  </r>
  <r>
    <x v="0"/>
    <x v="0"/>
    <x v="0"/>
    <x v="1"/>
    <x v="2"/>
    <s v="EE_Rural"/>
    <x v="3"/>
    <x v="7"/>
    <x v="11"/>
    <s v="GNR_BO_NGAS_E-85"/>
    <x v="8"/>
    <n v="3.3114843999999999"/>
  </r>
  <r>
    <x v="0"/>
    <x v="0"/>
    <x v="0"/>
    <x v="1"/>
    <x v="2"/>
    <s v="EE_Rural"/>
    <x v="3"/>
    <x v="1"/>
    <x v="8"/>
    <s v="GNR_ENG_NGAS_EXT_E-44"/>
    <x v="8"/>
    <n v="1.47789392352E-2"/>
  </r>
  <r>
    <x v="0"/>
    <x v="0"/>
    <x v="0"/>
    <x v="1"/>
    <x v="2"/>
    <s v="EE_Rural"/>
    <x v="8"/>
    <x v="6"/>
    <x v="6"/>
    <s v="GNR_ROR_WTR"/>
    <x v="8"/>
    <n v="9.0217931034482807E-2"/>
  </r>
  <r>
    <x v="0"/>
    <x v="0"/>
    <x v="0"/>
    <x v="1"/>
    <x v="2"/>
    <s v="EE_Rural"/>
    <x v="9"/>
    <x v="5"/>
    <x v="7"/>
    <s v="GNR_WT_WIND_ONS"/>
    <x v="8"/>
    <n v="6.6920232960000003"/>
  </r>
  <r>
    <x v="0"/>
    <x v="0"/>
    <x v="0"/>
    <x v="1"/>
    <x v="2"/>
    <s v="EE_Rural"/>
    <x v="19"/>
    <x v="7"/>
    <x v="11"/>
    <s v="GNR_BO_WOOD_E-67"/>
    <x v="8"/>
    <n v="4.2923999999999998"/>
  </r>
  <r>
    <x v="0"/>
    <x v="0"/>
    <x v="0"/>
    <x v="1"/>
    <x v="2"/>
    <s v="EE_Rural"/>
    <x v="13"/>
    <x v="1"/>
    <x v="1"/>
    <s v="EBAVERE_ST_WOODWST_BP"/>
    <x v="8"/>
    <n v="0.49263131805999999"/>
  </r>
  <r>
    <x v="0"/>
    <x v="0"/>
    <x v="0"/>
    <x v="1"/>
    <x v="2"/>
    <s v="EE_Sillamae"/>
    <x v="3"/>
    <x v="7"/>
    <x v="11"/>
    <s v="GNR_BO_NGAS_E-85"/>
    <x v="8"/>
    <n v="4.7724333999999997"/>
  </r>
  <r>
    <x v="0"/>
    <x v="0"/>
    <x v="0"/>
    <x v="1"/>
    <x v="2"/>
    <s v="EE_Sillamae"/>
    <x v="3"/>
    <x v="1"/>
    <x v="8"/>
    <s v="GNR_ENG_NGAS_EXT_E-44"/>
    <x v="8"/>
    <n v="0.12315782695999999"/>
  </r>
  <r>
    <x v="0"/>
    <x v="0"/>
    <x v="0"/>
    <x v="1"/>
    <x v="2"/>
    <s v="EE_Sillamae"/>
    <x v="19"/>
    <x v="1"/>
    <x v="1"/>
    <s v="SILLAMAE_ST_WOOD_BP"/>
    <x v="8"/>
    <n v="0.28572616447479998"/>
  </r>
  <r>
    <x v="0"/>
    <x v="0"/>
    <x v="0"/>
    <x v="1"/>
    <x v="2"/>
    <s v="EE_Tallinn"/>
    <x v="17"/>
    <x v="7"/>
    <x v="11"/>
    <s v="GNR_BO_FUELOIL_E-92"/>
    <x v="8"/>
    <n v="0.11073247360000001"/>
  </r>
  <r>
    <x v="0"/>
    <x v="0"/>
    <x v="0"/>
    <x v="1"/>
    <x v="2"/>
    <s v="EE_Tallinn"/>
    <x v="2"/>
    <x v="1"/>
    <x v="1"/>
    <s v="IRU_ST_MSW_BP"/>
    <x v="8"/>
    <n v="0.37063954199999999"/>
  </r>
  <r>
    <x v="0"/>
    <x v="0"/>
    <x v="0"/>
    <x v="1"/>
    <x v="2"/>
    <s v="EE_Tallinn"/>
    <x v="3"/>
    <x v="7"/>
    <x v="11"/>
    <s v="GNR_BO_NGAS_E-85"/>
    <x v="8"/>
    <n v="3.2029845876"/>
  </r>
  <r>
    <x v="0"/>
    <x v="0"/>
    <x v="0"/>
    <x v="1"/>
    <x v="2"/>
    <s v="EE_Tallinn"/>
    <x v="3"/>
    <x v="1"/>
    <x v="8"/>
    <s v="GNR_ENG_NGAS_EXT_E-44"/>
    <x v="8"/>
    <n v="1.8473674044000001E-2"/>
  </r>
  <r>
    <x v="0"/>
    <x v="0"/>
    <x v="0"/>
    <x v="1"/>
    <x v="2"/>
    <s v="EE_Tallinn"/>
    <x v="19"/>
    <x v="1"/>
    <x v="1"/>
    <s v="MUSTAMAE_ST_WOOD_BP"/>
    <x v="8"/>
    <n v="0.49263131805999999"/>
  </r>
  <r>
    <x v="0"/>
    <x v="0"/>
    <x v="0"/>
    <x v="1"/>
    <x v="2"/>
    <s v="EE_Tallinn"/>
    <x v="19"/>
    <x v="1"/>
    <x v="1"/>
    <s v="VAO-1_ST_WOOD_BP"/>
    <x v="8"/>
    <n v="1.2315782951500001"/>
  </r>
  <r>
    <x v="0"/>
    <x v="0"/>
    <x v="0"/>
    <x v="1"/>
    <x v="2"/>
    <s v="EE_Tallinn"/>
    <x v="19"/>
    <x v="1"/>
    <x v="1"/>
    <s v="VAO-2_ST_WOOD_BP"/>
    <x v="8"/>
    <n v="1.034525767926"/>
  </r>
  <r>
    <x v="0"/>
    <x v="0"/>
    <x v="0"/>
    <x v="1"/>
    <x v="2"/>
    <s v="EE_Tartu"/>
    <x v="3"/>
    <x v="7"/>
    <x v="11"/>
    <s v="GNR_BO_NGAS_E-85"/>
    <x v="8"/>
    <n v="2.6222086617999998"/>
  </r>
  <r>
    <x v="0"/>
    <x v="0"/>
    <x v="0"/>
    <x v="1"/>
    <x v="2"/>
    <s v="EE_Tartu"/>
    <x v="19"/>
    <x v="1"/>
    <x v="1"/>
    <s v="TARTU-1_ST_WOOD_BP"/>
    <x v="8"/>
    <n v="1.083788899732"/>
  </r>
  <r>
    <x v="0"/>
    <x v="0"/>
    <x v="0"/>
    <x v="1"/>
    <x v="2"/>
    <s v="EE_Urban"/>
    <x v="1"/>
    <x v="1"/>
    <x v="8"/>
    <s v="GNR_ST_BGAS_EXT_E-38"/>
    <x v="8"/>
    <n v="1.1773440000000001E-3"/>
  </r>
  <r>
    <x v="0"/>
    <x v="0"/>
    <x v="0"/>
    <x v="1"/>
    <x v="2"/>
    <s v="EE_Urban"/>
    <x v="17"/>
    <x v="7"/>
    <x v="11"/>
    <s v="GNR_BO_FUELOIL_E-85"/>
    <x v="8"/>
    <n v="0.86859779999999998"/>
  </r>
  <r>
    <x v="0"/>
    <x v="0"/>
    <x v="0"/>
    <x v="1"/>
    <x v="2"/>
    <s v="EE_Urban"/>
    <x v="3"/>
    <x v="7"/>
    <x v="11"/>
    <s v="GNR_BO_NGAS_E-85"/>
    <x v="8"/>
    <n v="4.9672266"/>
  </r>
  <r>
    <x v="0"/>
    <x v="0"/>
    <x v="0"/>
    <x v="1"/>
    <x v="2"/>
    <s v="EE_Urban"/>
    <x v="3"/>
    <x v="1"/>
    <x v="8"/>
    <s v="GNR_ENG_NGAS_EXT_E-44"/>
    <x v="8"/>
    <n v="1.1084204426400001E-2"/>
  </r>
  <r>
    <x v="0"/>
    <x v="0"/>
    <x v="0"/>
    <x v="1"/>
    <x v="2"/>
    <s v="EE_Urban"/>
    <x v="19"/>
    <x v="7"/>
    <x v="11"/>
    <s v="GNR_BO_WOOD_E-67"/>
    <x v="8"/>
    <n v="13.592599999999999"/>
  </r>
  <r>
    <x v="0"/>
    <x v="0"/>
    <x v="0"/>
    <x v="1"/>
    <x v="2"/>
    <s v="EE_Urban"/>
    <x v="19"/>
    <x v="1"/>
    <x v="1"/>
    <s v="GNR_ST_WOOD_BP_E-53"/>
    <x v="8"/>
    <n v="0.59115758167200005"/>
  </r>
  <r>
    <x v="0"/>
    <x v="0"/>
    <x v="0"/>
    <x v="2"/>
    <x v="3"/>
    <s v="FI_IND"/>
    <x v="1"/>
    <x v="1"/>
    <x v="1"/>
    <s v="GNR_IND-ST_BGAS_BP_CB-30"/>
    <x v="8"/>
    <n v="2.7094721931200001E-2"/>
  </r>
  <r>
    <x v="0"/>
    <x v="0"/>
    <x v="0"/>
    <x v="2"/>
    <x v="3"/>
    <s v="FI_IND"/>
    <x v="17"/>
    <x v="7"/>
    <x v="11"/>
    <s v="GNR_BO_FUELOIL_E-90"/>
    <x v="8"/>
    <n v="0.36456783999999998"/>
  </r>
  <r>
    <x v="0"/>
    <x v="0"/>
    <x v="0"/>
    <x v="2"/>
    <x v="3"/>
    <s v="FI_IND"/>
    <x v="17"/>
    <x v="1"/>
    <x v="1"/>
    <s v="GNR_IND-ST_FUELOIL_BP_CB-30"/>
    <x v="8"/>
    <n v="1.1722258240000001"/>
  </r>
  <r>
    <x v="0"/>
    <x v="0"/>
    <x v="0"/>
    <x v="2"/>
    <x v="3"/>
    <s v="FI_IND"/>
    <x v="15"/>
    <x v="7"/>
    <x v="11"/>
    <s v="GNR_BO_LIGHTOIL_E-90"/>
    <x v="8"/>
    <n v="8.6134160000000001E-2"/>
  </r>
  <r>
    <x v="0"/>
    <x v="0"/>
    <x v="0"/>
    <x v="2"/>
    <x v="3"/>
    <s v="FI_IND"/>
    <x v="15"/>
    <x v="1"/>
    <x v="1"/>
    <s v="GNR_IND-ST_LIGHTOIL_BP_CB-30"/>
    <x v="8"/>
    <n v="6.0894848000000001E-2"/>
  </r>
  <r>
    <x v="0"/>
    <x v="0"/>
    <x v="0"/>
    <x v="2"/>
    <x v="3"/>
    <s v="FI_IND"/>
    <x v="2"/>
    <x v="1"/>
    <x v="1"/>
    <s v="GNR_IND-ST_MSW_BP_CB-30"/>
    <x v="8"/>
    <n v="10.616536"/>
  </r>
  <r>
    <x v="0"/>
    <x v="0"/>
    <x v="0"/>
    <x v="2"/>
    <x v="3"/>
    <s v="FI_IND"/>
    <x v="3"/>
    <x v="7"/>
    <x v="11"/>
    <s v="GNR_BO_NGAS_E-90"/>
    <x v="8"/>
    <n v="3.0095549400000001"/>
  </r>
  <r>
    <x v="0"/>
    <x v="0"/>
    <x v="0"/>
    <x v="2"/>
    <x v="3"/>
    <s v="FI_IND"/>
    <x v="3"/>
    <x v="1"/>
    <x v="1"/>
    <s v="GNR_IND-ST_NGAS_BP_CB-30"/>
    <x v="8"/>
    <n v="2.3707881689799999"/>
  </r>
  <r>
    <x v="0"/>
    <x v="0"/>
    <x v="0"/>
    <x v="2"/>
    <x v="3"/>
    <s v="FI_IND"/>
    <x v="21"/>
    <x v="1"/>
    <x v="8"/>
    <s v="ALHOLMEN2_IND-ST_PEAT_EXT"/>
    <x v="8"/>
    <n v="9.6149760000000004"/>
  </r>
  <r>
    <x v="0"/>
    <x v="0"/>
    <x v="0"/>
    <x v="2"/>
    <x v="3"/>
    <s v="FI_IND"/>
    <x v="21"/>
    <x v="7"/>
    <x v="11"/>
    <s v="GNR_BO_PEAT_E-90"/>
    <x v="8"/>
    <n v="7.1437799999999996E-2"/>
  </r>
  <r>
    <x v="0"/>
    <x v="0"/>
    <x v="0"/>
    <x v="2"/>
    <x v="3"/>
    <s v="FI_IND"/>
    <x v="21"/>
    <x v="1"/>
    <x v="1"/>
    <s v="GNR_IND-ST_PEAT_BP_CB-20"/>
    <x v="8"/>
    <n v="0.76118560000000002"/>
  </r>
  <r>
    <x v="0"/>
    <x v="0"/>
    <x v="0"/>
    <x v="2"/>
    <x v="3"/>
    <s v="FI_IND"/>
    <x v="21"/>
    <x v="1"/>
    <x v="1"/>
    <s v="GNR_IND-ST_PEAT_BP_CB-30"/>
    <x v="8"/>
    <n v="7.0189324800000001"/>
  </r>
  <r>
    <x v="0"/>
    <x v="0"/>
    <x v="0"/>
    <x v="2"/>
    <x v="3"/>
    <s v="FI_IND"/>
    <x v="5"/>
    <x v="7"/>
    <x v="11"/>
    <s v="GNR_BO_WOODCHI_E-90"/>
    <x v="8"/>
    <n v="0.17979232296723799"/>
  </r>
  <r>
    <x v="0"/>
    <x v="0"/>
    <x v="0"/>
    <x v="2"/>
    <x v="3"/>
    <s v="FI_IND"/>
    <x v="5"/>
    <x v="1"/>
    <x v="1"/>
    <s v="GNR_IND-ST_WOODCHI_BP_CB-20"/>
    <x v="8"/>
    <n v="2.5840247999999999"/>
  </r>
  <r>
    <x v="0"/>
    <x v="0"/>
    <x v="0"/>
    <x v="2"/>
    <x v="3"/>
    <s v="FI_IND"/>
    <x v="5"/>
    <x v="1"/>
    <x v="1"/>
    <s v="GNR_IND-ST_WOODCHI_BP_CB-30"/>
    <x v="8"/>
    <n v="4.8916190400000001"/>
  </r>
  <r>
    <x v="0"/>
    <x v="0"/>
    <x v="0"/>
    <x v="2"/>
    <x v="3"/>
    <s v="FI_IND"/>
    <x v="5"/>
    <x v="1"/>
    <x v="1"/>
    <s v="GNR_IND-ST_WOODCHI_BP_CB-70"/>
    <x v="8"/>
    <n v="1.6225271999999999"/>
  </r>
  <r>
    <x v="0"/>
    <x v="0"/>
    <x v="0"/>
    <x v="2"/>
    <x v="3"/>
    <s v="FI_IND"/>
    <x v="16"/>
    <x v="7"/>
    <x v="11"/>
    <s v="GNR_BO_WOODPEL_E-90"/>
    <x v="8"/>
    <n v="2.3401245000000001E-2"/>
  </r>
  <r>
    <x v="0"/>
    <x v="0"/>
    <x v="0"/>
    <x v="2"/>
    <x v="3"/>
    <s v="FI_IND"/>
    <x v="13"/>
    <x v="7"/>
    <x v="11"/>
    <s v="GNR_BO_WOODWST_E-90"/>
    <x v="8"/>
    <n v="2.7464313400837999E-2"/>
  </r>
  <r>
    <x v="0"/>
    <x v="0"/>
    <x v="0"/>
    <x v="2"/>
    <x v="3"/>
    <s v="FI_IND"/>
    <x v="13"/>
    <x v="1"/>
    <x v="1"/>
    <s v="GNR_IND-ST_BLACKLIC_BP_CB-20"/>
    <x v="8"/>
    <n v="1.7126676000000001"/>
  </r>
  <r>
    <x v="0"/>
    <x v="0"/>
    <x v="0"/>
    <x v="2"/>
    <x v="3"/>
    <s v="FI_IND"/>
    <x v="13"/>
    <x v="1"/>
    <x v="1"/>
    <s v="GNR_IND-ST_BLACKLIC_BP_CB-30"/>
    <x v="8"/>
    <n v="34.215292720000001"/>
  </r>
  <r>
    <x v="0"/>
    <x v="0"/>
    <x v="0"/>
    <x v="2"/>
    <x v="3"/>
    <s v="FI_IND"/>
    <x v="13"/>
    <x v="1"/>
    <x v="1"/>
    <s v="GNR_IND-ST_WOODWST_BP_CB-30"/>
    <x v="8"/>
    <n v="8.8998621599999996"/>
  </r>
  <r>
    <x v="0"/>
    <x v="0"/>
    <x v="0"/>
    <x v="2"/>
    <x v="3"/>
    <s v="FI_large"/>
    <x v="1"/>
    <x v="7"/>
    <x v="11"/>
    <s v="GNR_BO_BGAS_E-90"/>
    <x v="8"/>
    <n v="8.0124800000000006E-3"/>
  </r>
  <r>
    <x v="0"/>
    <x v="0"/>
    <x v="0"/>
    <x v="2"/>
    <x v="3"/>
    <s v="FI_large"/>
    <x v="17"/>
    <x v="7"/>
    <x v="11"/>
    <s v="GNR_BO_FUELOIL_E-90"/>
    <x v="8"/>
    <n v="0.7461622"/>
  </r>
  <r>
    <x v="0"/>
    <x v="0"/>
    <x v="0"/>
    <x v="2"/>
    <x v="3"/>
    <s v="FI_large"/>
    <x v="15"/>
    <x v="7"/>
    <x v="11"/>
    <s v="GNR_BO_LIGHTOIL_E-90"/>
    <x v="8"/>
    <n v="0.17747643199999999"/>
  </r>
  <r>
    <x v="0"/>
    <x v="0"/>
    <x v="0"/>
    <x v="2"/>
    <x v="3"/>
    <s v="FI_large"/>
    <x v="21"/>
    <x v="7"/>
    <x v="11"/>
    <s v="GNR_BO_PEAT_E-90"/>
    <x v="8"/>
    <n v="2.4528000000000001E-2"/>
  </r>
  <r>
    <x v="0"/>
    <x v="0"/>
    <x v="0"/>
    <x v="2"/>
    <x v="3"/>
    <s v="FI_large"/>
    <x v="21"/>
    <x v="1"/>
    <x v="8"/>
    <s v="KELJONLAHTI_ST_PEAT_EXT"/>
    <x v="8"/>
    <n v="7.59983728"/>
  </r>
  <r>
    <x v="0"/>
    <x v="0"/>
    <x v="0"/>
    <x v="2"/>
    <x v="3"/>
    <s v="FI_large"/>
    <x v="21"/>
    <x v="1"/>
    <x v="8"/>
    <s v="TOPPILA2_ST_PEAT_EXT"/>
    <x v="8"/>
    <n v="5.4084240000000001"/>
  </r>
  <r>
    <x v="0"/>
    <x v="0"/>
    <x v="0"/>
    <x v="2"/>
    <x v="3"/>
    <s v="FI_large"/>
    <x v="5"/>
    <x v="7"/>
    <x v="11"/>
    <s v="GNR_BO_WOODCHI_E-90"/>
    <x v="8"/>
    <n v="2.5490556011799499"/>
  </r>
  <r>
    <x v="0"/>
    <x v="0"/>
    <x v="0"/>
    <x v="2"/>
    <x v="3"/>
    <s v="FI_large"/>
    <x v="5"/>
    <x v="1"/>
    <x v="1"/>
    <s v="GNR_IND-ST_WOODCHI_BP_CB-50"/>
    <x v="8"/>
    <n v="8.4131040000000006"/>
  </r>
  <r>
    <x v="0"/>
    <x v="0"/>
    <x v="0"/>
    <x v="2"/>
    <x v="3"/>
    <s v="FI_large"/>
    <x v="5"/>
    <x v="1"/>
    <x v="1"/>
    <s v="GNR_ST_WOODCHI_BP_CB-40"/>
    <x v="8"/>
    <n v="4.2065520000000003"/>
  </r>
  <r>
    <x v="0"/>
    <x v="0"/>
    <x v="0"/>
    <x v="2"/>
    <x v="3"/>
    <s v="FI_large"/>
    <x v="16"/>
    <x v="7"/>
    <x v="11"/>
    <s v="GNR_BO_WOODPEL_E-90"/>
    <x v="8"/>
    <n v="1.28772E-2"/>
  </r>
  <r>
    <x v="0"/>
    <x v="0"/>
    <x v="0"/>
    <x v="2"/>
    <x v="3"/>
    <s v="FI_large"/>
    <x v="13"/>
    <x v="7"/>
    <x v="11"/>
    <s v="GNR_BO_WOODWST_E-90"/>
    <x v="8"/>
    <n v="0.13950127441695501"/>
  </r>
  <r>
    <x v="0"/>
    <x v="0"/>
    <x v="0"/>
    <x v="2"/>
    <x v="3"/>
    <s v="FI_large_gas"/>
    <x v="1"/>
    <x v="1"/>
    <x v="1"/>
    <s v="GNR_ST_BGAS_BP_CB-40"/>
    <x v="8"/>
    <n v="0.49263130783999998"/>
  </r>
  <r>
    <x v="0"/>
    <x v="0"/>
    <x v="0"/>
    <x v="2"/>
    <x v="3"/>
    <s v="FI_large_gas"/>
    <x v="6"/>
    <x v="2"/>
    <x v="2"/>
    <s v="GNR_HP_ELEC_COP-270"/>
    <x v="8"/>
    <n v="8.0124799999999996E-2"/>
  </r>
  <r>
    <x v="0"/>
    <x v="0"/>
    <x v="0"/>
    <x v="2"/>
    <x v="3"/>
    <s v="FI_large_gas"/>
    <x v="17"/>
    <x v="7"/>
    <x v="11"/>
    <s v="GNR_BO_FUELOIL_E-90"/>
    <x v="8"/>
    <n v="0.80525424000000001"/>
  </r>
  <r>
    <x v="0"/>
    <x v="0"/>
    <x v="0"/>
    <x v="2"/>
    <x v="3"/>
    <s v="FI_large_gas"/>
    <x v="15"/>
    <x v="7"/>
    <x v="11"/>
    <s v="GNR_BO_LIGHTOIL_E-90"/>
    <x v="8"/>
    <n v="0.49477063999999998"/>
  </r>
  <r>
    <x v="0"/>
    <x v="0"/>
    <x v="0"/>
    <x v="2"/>
    <x v="3"/>
    <s v="FI_large_gas"/>
    <x v="2"/>
    <x v="1"/>
    <x v="1"/>
    <s v="GNR_ST_MSW_BP_CB-30"/>
    <x v="8"/>
    <n v="8.3129480000000004"/>
  </r>
  <r>
    <x v="0"/>
    <x v="0"/>
    <x v="0"/>
    <x v="2"/>
    <x v="3"/>
    <s v="FI_large_gas"/>
    <x v="3"/>
    <x v="7"/>
    <x v="11"/>
    <s v="GNR_BO_NGAS_E-90"/>
    <x v="8"/>
    <n v="9.8321867699999999"/>
  </r>
  <r>
    <x v="0"/>
    <x v="0"/>
    <x v="0"/>
    <x v="2"/>
    <x v="3"/>
    <s v="FI_large_gas"/>
    <x v="3"/>
    <x v="1"/>
    <x v="1"/>
    <s v="GNR_CC_NGAS_BP_CB-110"/>
    <x v="8"/>
    <n v="7.0309511999999996"/>
  </r>
  <r>
    <x v="0"/>
    <x v="0"/>
    <x v="0"/>
    <x v="2"/>
    <x v="3"/>
    <s v="FI_large_gas"/>
    <x v="3"/>
    <x v="1"/>
    <x v="1"/>
    <s v="GNR_GT_NGAS_BP_CB-150"/>
    <x v="8"/>
    <n v="0.92143520000000001"/>
  </r>
  <r>
    <x v="0"/>
    <x v="0"/>
    <x v="0"/>
    <x v="2"/>
    <x v="3"/>
    <s v="FI_large_gas"/>
    <x v="3"/>
    <x v="1"/>
    <x v="1"/>
    <s v="GNR_ST_NGAS_BP_CB-130"/>
    <x v="8"/>
    <n v="1.2562098349919999"/>
  </r>
  <r>
    <x v="0"/>
    <x v="0"/>
    <x v="0"/>
    <x v="2"/>
    <x v="3"/>
    <s v="FI_large_gas"/>
    <x v="16"/>
    <x v="7"/>
    <x v="11"/>
    <s v="GNR_BO_WOODPEL_E-90"/>
    <x v="8"/>
    <n v="0.30659999999999998"/>
  </r>
  <r>
    <x v="0"/>
    <x v="0"/>
    <x v="0"/>
    <x v="2"/>
    <x v="3"/>
    <s v="FI_large_gas"/>
    <x v="13"/>
    <x v="1"/>
    <x v="1"/>
    <s v="GNR_IND-ST_WOODWST_BP_CB-50"/>
    <x v="8"/>
    <n v="7.1511383999999998"/>
  </r>
  <r>
    <x v="0"/>
    <x v="0"/>
    <x v="0"/>
    <x v="2"/>
    <x v="3"/>
    <s v="FI_medium"/>
    <x v="1"/>
    <x v="7"/>
    <x v="11"/>
    <s v="GNR_BO_BGAS_E-90"/>
    <x v="8"/>
    <n v="8.0124799999999996E-4"/>
  </r>
  <r>
    <x v="0"/>
    <x v="0"/>
    <x v="0"/>
    <x v="2"/>
    <x v="3"/>
    <s v="FI_medium"/>
    <x v="1"/>
    <x v="1"/>
    <x v="1"/>
    <s v="GNR_ENG_BGAS_BP_CB-100"/>
    <x v="8"/>
    <n v="1.6024960000000001E-2"/>
  </r>
  <r>
    <x v="0"/>
    <x v="0"/>
    <x v="0"/>
    <x v="2"/>
    <x v="3"/>
    <s v="FI_medium"/>
    <x v="1"/>
    <x v="1"/>
    <x v="1"/>
    <s v="GNR_GT_BGAS_BP_CB-30"/>
    <x v="8"/>
    <n v="2.6674200000000002E-3"/>
  </r>
  <r>
    <x v="0"/>
    <x v="0"/>
    <x v="0"/>
    <x v="2"/>
    <x v="3"/>
    <s v="FI_medium"/>
    <x v="17"/>
    <x v="7"/>
    <x v="11"/>
    <s v="GNR_BO_FUELOIL_E-90"/>
    <x v="8"/>
    <n v="0.79203364799999998"/>
  </r>
  <r>
    <x v="0"/>
    <x v="0"/>
    <x v="0"/>
    <x v="2"/>
    <x v="3"/>
    <s v="FI_medium"/>
    <x v="15"/>
    <x v="7"/>
    <x v="11"/>
    <s v="GNR_BO_LIGHTOIL_E-90"/>
    <x v="8"/>
    <n v="1.0354127280000001"/>
  </r>
  <r>
    <x v="0"/>
    <x v="0"/>
    <x v="0"/>
    <x v="2"/>
    <x v="3"/>
    <s v="FI_medium"/>
    <x v="2"/>
    <x v="7"/>
    <x v="11"/>
    <s v="GNR_BO_MSW_E-90"/>
    <x v="8"/>
    <n v="5.4205720740797396"/>
  </r>
  <r>
    <x v="0"/>
    <x v="0"/>
    <x v="0"/>
    <x v="2"/>
    <x v="3"/>
    <s v="FI_medium"/>
    <x v="2"/>
    <x v="1"/>
    <x v="1"/>
    <s v="GNR_ST_MSW_BP_CB-30"/>
    <x v="8"/>
    <n v="4.6071759999999999"/>
  </r>
  <r>
    <x v="0"/>
    <x v="0"/>
    <x v="0"/>
    <x v="2"/>
    <x v="3"/>
    <s v="FI_medium"/>
    <x v="22"/>
    <x v="1"/>
    <x v="1"/>
    <s v="GNR_ST_BFG_BP_CB-280"/>
    <x v="8"/>
    <n v="1.3547360965599999"/>
  </r>
  <r>
    <x v="0"/>
    <x v="0"/>
    <x v="0"/>
    <x v="2"/>
    <x v="3"/>
    <s v="FI_medium"/>
    <x v="21"/>
    <x v="7"/>
    <x v="11"/>
    <s v="GNR_BO_PEAT_E-90"/>
    <x v="8"/>
    <n v="0.55188000000000004"/>
  </r>
  <r>
    <x v="0"/>
    <x v="0"/>
    <x v="0"/>
    <x v="2"/>
    <x v="3"/>
    <s v="FI_medium"/>
    <x v="21"/>
    <x v="1"/>
    <x v="1"/>
    <s v="GNR_ST_PEAT_BP_CB-120"/>
    <x v="8"/>
    <n v="5.0077999999999996"/>
  </r>
  <r>
    <x v="0"/>
    <x v="0"/>
    <x v="0"/>
    <x v="2"/>
    <x v="3"/>
    <s v="FI_medium"/>
    <x v="21"/>
    <x v="1"/>
    <x v="1"/>
    <s v="GNR_ST_PEAT_BP_CB-30"/>
    <x v="8"/>
    <n v="0.54084239999999995"/>
  </r>
  <r>
    <x v="0"/>
    <x v="0"/>
    <x v="0"/>
    <x v="2"/>
    <x v="3"/>
    <s v="FI_medium"/>
    <x v="21"/>
    <x v="1"/>
    <x v="1"/>
    <s v="GNR_ST_PEAT_BP_CB-40"/>
    <x v="8"/>
    <n v="0.62497343999999999"/>
  </r>
  <r>
    <x v="0"/>
    <x v="0"/>
    <x v="0"/>
    <x v="2"/>
    <x v="3"/>
    <s v="FI_medium"/>
    <x v="21"/>
    <x v="1"/>
    <x v="1"/>
    <s v="GNR_ST_PEAT_BP_CB-50"/>
    <x v="8"/>
    <n v="0.58891727999999999"/>
  </r>
  <r>
    <x v="0"/>
    <x v="0"/>
    <x v="0"/>
    <x v="2"/>
    <x v="3"/>
    <s v="FI_medium"/>
    <x v="5"/>
    <x v="7"/>
    <x v="11"/>
    <s v="GNR_BO_WOODCHI_E-90"/>
    <x v="8"/>
    <n v="5.9411374278285001"/>
  </r>
  <r>
    <x v="0"/>
    <x v="0"/>
    <x v="0"/>
    <x v="2"/>
    <x v="3"/>
    <s v="FI_medium"/>
    <x v="5"/>
    <x v="1"/>
    <x v="1"/>
    <s v="GNR_ST_WOODCHI_BP_CB-20"/>
    <x v="8"/>
    <n v="0.34854288"/>
  </r>
  <r>
    <x v="0"/>
    <x v="0"/>
    <x v="0"/>
    <x v="2"/>
    <x v="3"/>
    <s v="FI_medium"/>
    <x v="5"/>
    <x v="1"/>
    <x v="1"/>
    <s v="GNR_ST_WOODCHI_BP_CB-50"/>
    <x v="8"/>
    <n v="4.8675816000000003"/>
  </r>
  <r>
    <x v="0"/>
    <x v="0"/>
    <x v="0"/>
    <x v="2"/>
    <x v="3"/>
    <s v="FI_medium"/>
    <x v="16"/>
    <x v="7"/>
    <x v="11"/>
    <s v="GNR_BO_WOODPEL_E-90"/>
    <x v="8"/>
    <n v="0.51723419999999998"/>
  </r>
  <r>
    <x v="0"/>
    <x v="0"/>
    <x v="0"/>
    <x v="2"/>
    <x v="3"/>
    <s v="FI_medium"/>
    <x v="13"/>
    <x v="7"/>
    <x v="11"/>
    <s v="GNR_BO_WOODWST_E-90"/>
    <x v="8"/>
    <n v="1.30782444765895"/>
  </r>
  <r>
    <x v="0"/>
    <x v="0"/>
    <x v="0"/>
    <x v="2"/>
    <x v="3"/>
    <s v="FI_medium_gas"/>
    <x v="1"/>
    <x v="7"/>
    <x v="11"/>
    <s v="GNR_BO_BGAS_E-90"/>
    <x v="8"/>
    <n v="8.0124800000000006E-3"/>
  </r>
  <r>
    <x v="0"/>
    <x v="0"/>
    <x v="0"/>
    <x v="2"/>
    <x v="3"/>
    <s v="FI_medium_gas"/>
    <x v="1"/>
    <x v="1"/>
    <x v="1"/>
    <s v="GNR_GT_BGAS_BP_CB-100"/>
    <x v="8"/>
    <n v="2.9341619999999999E-2"/>
  </r>
  <r>
    <x v="0"/>
    <x v="0"/>
    <x v="0"/>
    <x v="2"/>
    <x v="3"/>
    <s v="FI_medium_gas"/>
    <x v="17"/>
    <x v="7"/>
    <x v="11"/>
    <s v="GNR_BO_FUELOIL_E-90"/>
    <x v="8"/>
    <n v="0.13821528"/>
  </r>
  <r>
    <x v="0"/>
    <x v="0"/>
    <x v="0"/>
    <x v="2"/>
    <x v="3"/>
    <s v="FI_medium_gas"/>
    <x v="15"/>
    <x v="7"/>
    <x v="11"/>
    <s v="GNR_BO_LIGHTOIL_E-90"/>
    <x v="8"/>
    <n v="5.2882367999999999E-2"/>
  </r>
  <r>
    <x v="0"/>
    <x v="0"/>
    <x v="0"/>
    <x v="2"/>
    <x v="3"/>
    <s v="FI_medium_gas"/>
    <x v="2"/>
    <x v="1"/>
    <x v="1"/>
    <s v="GNR_ST_MSW_BP_CB-30"/>
    <x v="8"/>
    <n v="1.4021840000000001"/>
  </r>
  <r>
    <x v="0"/>
    <x v="0"/>
    <x v="0"/>
    <x v="2"/>
    <x v="3"/>
    <s v="FI_medium_gas"/>
    <x v="3"/>
    <x v="7"/>
    <x v="11"/>
    <s v="GNR_BO_NGAS_E-90"/>
    <x v="8"/>
    <n v="3.2423328140000001"/>
  </r>
  <r>
    <x v="0"/>
    <x v="0"/>
    <x v="0"/>
    <x v="2"/>
    <x v="3"/>
    <s v="FI_medium_gas"/>
    <x v="5"/>
    <x v="7"/>
    <x v="11"/>
    <s v="GNR_BO_WOODCHI_E-90"/>
    <x v="8"/>
    <n v="2.3732586631675399"/>
  </r>
  <r>
    <x v="0"/>
    <x v="0"/>
    <x v="0"/>
    <x v="2"/>
    <x v="3"/>
    <s v="FI_medium_gas"/>
    <x v="5"/>
    <x v="1"/>
    <x v="1"/>
    <s v="GNR_ST_WOODCHI_BP_CB-30"/>
    <x v="8"/>
    <n v="0.57088919999999999"/>
  </r>
  <r>
    <x v="0"/>
    <x v="0"/>
    <x v="0"/>
    <x v="2"/>
    <x v="3"/>
    <s v="FI_medium_gas"/>
    <x v="5"/>
    <x v="1"/>
    <x v="1"/>
    <s v="GNR_ST_WOODCHI_BP_CB-40"/>
    <x v="8"/>
    <n v="1.2018720000000001"/>
  </r>
  <r>
    <x v="0"/>
    <x v="0"/>
    <x v="0"/>
    <x v="2"/>
    <x v="3"/>
    <s v="FI_medium_gas"/>
    <x v="5"/>
    <x v="1"/>
    <x v="1"/>
    <s v="GNR_ST_WOODCHI_BP_CB-50"/>
    <x v="8"/>
    <n v="1.3220592"/>
  </r>
  <r>
    <x v="0"/>
    <x v="0"/>
    <x v="0"/>
    <x v="2"/>
    <x v="3"/>
    <s v="FI_medium_gas"/>
    <x v="16"/>
    <x v="7"/>
    <x v="11"/>
    <s v="GNR_BO_WOODPEL_E-90"/>
    <x v="8"/>
    <n v="4.7523000000000003E-2"/>
  </r>
  <r>
    <x v="0"/>
    <x v="0"/>
    <x v="0"/>
    <x v="2"/>
    <x v="3"/>
    <s v="FI_medium_gas"/>
    <x v="13"/>
    <x v="7"/>
    <x v="11"/>
    <s v="GNR_BO_WOODWST_E-90"/>
    <x v="8"/>
    <n v="2.0890315843938998"/>
  </r>
  <r>
    <x v="0"/>
    <x v="0"/>
    <x v="0"/>
    <x v="2"/>
    <x v="3"/>
    <s v="FI_small"/>
    <x v="6"/>
    <x v="2"/>
    <x v="2"/>
    <s v="GNR_HP_ELEC_COP-270"/>
    <x v="8"/>
    <n v="1.2018720000000001E-3"/>
  </r>
  <r>
    <x v="0"/>
    <x v="0"/>
    <x v="0"/>
    <x v="2"/>
    <x v="3"/>
    <s v="FI_small"/>
    <x v="17"/>
    <x v="7"/>
    <x v="11"/>
    <s v="GNR_BO_FUELOIL_E-90"/>
    <x v="8"/>
    <n v="0.57389387999999997"/>
  </r>
  <r>
    <x v="0"/>
    <x v="0"/>
    <x v="0"/>
    <x v="2"/>
    <x v="3"/>
    <s v="FI_small"/>
    <x v="15"/>
    <x v="7"/>
    <x v="11"/>
    <s v="GNR_BO_LIGHTOIL_E-90"/>
    <x v="8"/>
    <n v="0.34674007200000001"/>
  </r>
  <r>
    <x v="0"/>
    <x v="0"/>
    <x v="0"/>
    <x v="2"/>
    <x v="3"/>
    <s v="FI_small"/>
    <x v="3"/>
    <x v="7"/>
    <x v="11"/>
    <s v="GNR_BO_NGAS_E-90"/>
    <x v="8"/>
    <n v="0.3895864"/>
  </r>
  <r>
    <x v="0"/>
    <x v="0"/>
    <x v="0"/>
    <x v="2"/>
    <x v="3"/>
    <s v="FI_small"/>
    <x v="21"/>
    <x v="7"/>
    <x v="11"/>
    <s v="GNR_BO_PEAT_E-90"/>
    <x v="8"/>
    <n v="0.40409879999999998"/>
  </r>
  <r>
    <x v="0"/>
    <x v="0"/>
    <x v="0"/>
    <x v="2"/>
    <x v="3"/>
    <s v="FI_small"/>
    <x v="21"/>
    <x v="1"/>
    <x v="1"/>
    <s v="GNR_ST_PEAT_BP_CB-10"/>
    <x v="8"/>
    <n v="0.11217472000000001"/>
  </r>
  <r>
    <x v="0"/>
    <x v="0"/>
    <x v="0"/>
    <x v="2"/>
    <x v="3"/>
    <s v="FI_small"/>
    <x v="21"/>
    <x v="1"/>
    <x v="1"/>
    <s v="GNR_ST_PEAT_BP_CB-20"/>
    <x v="8"/>
    <n v="0.16024959999999999"/>
  </r>
  <r>
    <x v="0"/>
    <x v="0"/>
    <x v="0"/>
    <x v="2"/>
    <x v="3"/>
    <s v="FI_small"/>
    <x v="21"/>
    <x v="1"/>
    <x v="1"/>
    <s v="GNR_ST_PEAT_BP_CB-30"/>
    <x v="8"/>
    <n v="0.55286111999999998"/>
  </r>
  <r>
    <x v="0"/>
    <x v="0"/>
    <x v="0"/>
    <x v="2"/>
    <x v="3"/>
    <s v="FI_small"/>
    <x v="5"/>
    <x v="7"/>
    <x v="11"/>
    <s v="GNR_BO_WOODCHI_E-90"/>
    <x v="8"/>
    <n v="16.568861407669701"/>
  </r>
  <r>
    <x v="0"/>
    <x v="0"/>
    <x v="0"/>
    <x v="2"/>
    <x v="3"/>
    <s v="FI_small"/>
    <x v="5"/>
    <x v="1"/>
    <x v="1"/>
    <s v="GNR_ST_WOODCHI_BP_CB-10"/>
    <x v="8"/>
    <n v="0.27042119999999997"/>
  </r>
  <r>
    <x v="0"/>
    <x v="0"/>
    <x v="0"/>
    <x v="2"/>
    <x v="3"/>
    <s v="FI_small"/>
    <x v="5"/>
    <x v="1"/>
    <x v="1"/>
    <s v="GNR_ST_WOODCHI_BP_CB-30"/>
    <x v="8"/>
    <n v="0.27042119999999997"/>
  </r>
  <r>
    <x v="0"/>
    <x v="0"/>
    <x v="0"/>
    <x v="2"/>
    <x v="3"/>
    <s v="FI_small"/>
    <x v="5"/>
    <x v="1"/>
    <x v="1"/>
    <s v="GNR_ST_WOODCHI_BP_CB-70"/>
    <x v="8"/>
    <n v="0.89539464000000002"/>
  </r>
  <r>
    <x v="0"/>
    <x v="0"/>
    <x v="0"/>
    <x v="2"/>
    <x v="3"/>
    <s v="FI_small"/>
    <x v="16"/>
    <x v="7"/>
    <x v="11"/>
    <s v="GNR_BO_WOODPEL_E-90"/>
    <x v="8"/>
    <n v="0.14900759999999999"/>
  </r>
  <r>
    <x v="0"/>
    <x v="0"/>
    <x v="0"/>
    <x v="2"/>
    <x v="3"/>
    <s v="FI_small"/>
    <x v="13"/>
    <x v="7"/>
    <x v="11"/>
    <s v="GNR_BO_WOODWST_E-90"/>
    <x v="8"/>
    <n v="6.9192632110809598"/>
  </r>
  <r>
    <x v="0"/>
    <x v="0"/>
    <x v="0"/>
    <x v="2"/>
    <x v="3"/>
    <s v="FI_small"/>
    <x v="13"/>
    <x v="1"/>
    <x v="1"/>
    <s v="GNR_ST_WOODWST_BP_CB-30"/>
    <x v="8"/>
    <n v="8.4131040000000004E-2"/>
  </r>
  <r>
    <x v="0"/>
    <x v="0"/>
    <x v="0"/>
    <x v="2"/>
    <x v="3"/>
    <s v="FI_small_gas"/>
    <x v="6"/>
    <x v="2"/>
    <x v="2"/>
    <s v="GNR_HP_ELEC_COP-270"/>
    <x v="8"/>
    <n v="7.6118560000000002E-3"/>
  </r>
  <r>
    <x v="0"/>
    <x v="0"/>
    <x v="0"/>
    <x v="2"/>
    <x v="3"/>
    <s v="FI_small_gas"/>
    <x v="17"/>
    <x v="7"/>
    <x v="11"/>
    <s v="GNR_BO_FUELOIL_E-90"/>
    <x v="8"/>
    <n v="8.0124800000000006E-3"/>
  </r>
  <r>
    <x v="0"/>
    <x v="0"/>
    <x v="0"/>
    <x v="2"/>
    <x v="3"/>
    <s v="FI_small_gas"/>
    <x v="15"/>
    <x v="7"/>
    <x v="11"/>
    <s v="GNR_BO_LIGHTOIL_E-90"/>
    <x v="8"/>
    <n v="2.904524E-2"/>
  </r>
  <r>
    <x v="0"/>
    <x v="0"/>
    <x v="0"/>
    <x v="2"/>
    <x v="3"/>
    <s v="FI_small_gas"/>
    <x v="3"/>
    <x v="7"/>
    <x v="11"/>
    <s v="GNR_BO_NGAS_E-90"/>
    <x v="8"/>
    <n v="2.033641008"/>
  </r>
  <r>
    <x v="0"/>
    <x v="0"/>
    <x v="0"/>
    <x v="2"/>
    <x v="3"/>
    <s v="FI_small_gas"/>
    <x v="5"/>
    <x v="7"/>
    <x v="11"/>
    <s v="GNR_BO_WOODCHI_E-90"/>
    <x v="8"/>
    <n v="2.2533971145227101"/>
  </r>
  <r>
    <x v="0"/>
    <x v="0"/>
    <x v="0"/>
    <x v="2"/>
    <x v="3"/>
    <s v="FI_small_gas"/>
    <x v="16"/>
    <x v="7"/>
    <x v="11"/>
    <s v="GNR_BO_WOODPEL_E-90"/>
    <x v="8"/>
    <n v="2.20752E-2"/>
  </r>
  <r>
    <x v="0"/>
    <x v="0"/>
    <x v="0"/>
    <x v="2"/>
    <x v="3"/>
    <s v="FI_small_gas"/>
    <x v="13"/>
    <x v="7"/>
    <x v="11"/>
    <s v="GNR_BO_WOODWST_E-90"/>
    <x v="8"/>
    <n v="0.13950127441695501"/>
  </r>
  <r>
    <x v="0"/>
    <x v="0"/>
    <x v="0"/>
    <x v="2"/>
    <x v="3"/>
    <s v="FinA"/>
    <x v="17"/>
    <x v="4"/>
    <x v="4"/>
    <s v="GNR_GT_FUELOIL_CND_E-31"/>
    <x v="8"/>
    <n v="4.0062399999999998E-2"/>
  </r>
  <r>
    <x v="0"/>
    <x v="0"/>
    <x v="0"/>
    <x v="2"/>
    <x v="3"/>
    <s v="FinA"/>
    <x v="15"/>
    <x v="4"/>
    <x v="4"/>
    <s v="GNR_GT_LIGHTOIL_CND_E-26"/>
    <x v="8"/>
    <n v="8.4271258400000004"/>
  </r>
  <r>
    <x v="0"/>
    <x v="0"/>
    <x v="0"/>
    <x v="2"/>
    <x v="3"/>
    <s v="FinA"/>
    <x v="23"/>
    <x v="4"/>
    <x v="4"/>
    <s v="GNR_ST_NUCL_CND_E-33"/>
    <x v="8"/>
    <n v="638.80698672000005"/>
  </r>
  <r>
    <x v="0"/>
    <x v="0"/>
    <x v="0"/>
    <x v="2"/>
    <x v="3"/>
    <s v="FinA"/>
    <x v="8"/>
    <x v="6"/>
    <x v="12"/>
    <s v="GNR_RES_WTR_NOPMP_MC-01"/>
    <x v="8"/>
    <n v="3.5399260689655199"/>
  </r>
  <r>
    <x v="0"/>
    <x v="0"/>
    <x v="0"/>
    <x v="2"/>
    <x v="3"/>
    <s v="FinA"/>
    <x v="8"/>
    <x v="6"/>
    <x v="12"/>
    <s v="GNR_RES_WTR_NOPMP_MC-02"/>
    <x v="8"/>
    <n v="3.5399260689655199"/>
  </r>
  <r>
    <x v="0"/>
    <x v="0"/>
    <x v="0"/>
    <x v="2"/>
    <x v="3"/>
    <s v="FinA"/>
    <x v="8"/>
    <x v="6"/>
    <x v="12"/>
    <s v="GNR_RES_WTR_NOPMP_MC-03"/>
    <x v="8"/>
    <n v="3.5399260689655199"/>
  </r>
  <r>
    <x v="0"/>
    <x v="0"/>
    <x v="0"/>
    <x v="2"/>
    <x v="3"/>
    <s v="FinA"/>
    <x v="8"/>
    <x v="6"/>
    <x v="12"/>
    <s v="GNR_RES_WTR_NOPMP_MC-04"/>
    <x v="8"/>
    <n v="3.5399260689655199"/>
  </r>
  <r>
    <x v="0"/>
    <x v="0"/>
    <x v="0"/>
    <x v="2"/>
    <x v="3"/>
    <s v="FinA"/>
    <x v="8"/>
    <x v="6"/>
    <x v="12"/>
    <s v="GNR_RES_WTR_NOPMP_MC-05"/>
    <x v="8"/>
    <n v="3.5399260689655199"/>
  </r>
  <r>
    <x v="0"/>
    <x v="0"/>
    <x v="0"/>
    <x v="2"/>
    <x v="3"/>
    <s v="FinA"/>
    <x v="8"/>
    <x v="6"/>
    <x v="12"/>
    <s v="GNR_RES_WTR_NOPMP_MC-06"/>
    <x v="8"/>
    <n v="3.5399260689655199"/>
  </r>
  <r>
    <x v="0"/>
    <x v="0"/>
    <x v="0"/>
    <x v="2"/>
    <x v="3"/>
    <s v="FinA"/>
    <x v="8"/>
    <x v="6"/>
    <x v="12"/>
    <s v="GNR_RES_WTR_NOPMP_MC-07"/>
    <x v="8"/>
    <n v="3.5399260689655199"/>
  </r>
  <r>
    <x v="0"/>
    <x v="0"/>
    <x v="0"/>
    <x v="2"/>
    <x v="3"/>
    <s v="FinA"/>
    <x v="8"/>
    <x v="6"/>
    <x v="12"/>
    <s v="GNR_RES_WTR_NOPMP_MC-08"/>
    <x v="8"/>
    <n v="3.5399260689655199"/>
  </r>
  <r>
    <x v="0"/>
    <x v="0"/>
    <x v="0"/>
    <x v="2"/>
    <x v="3"/>
    <s v="FinA"/>
    <x v="8"/>
    <x v="6"/>
    <x v="12"/>
    <s v="GNR_RES_WTR_NOPMP_MC-09"/>
    <x v="8"/>
    <n v="3.5399260689655199"/>
  </r>
  <r>
    <x v="0"/>
    <x v="0"/>
    <x v="0"/>
    <x v="2"/>
    <x v="3"/>
    <s v="FinA"/>
    <x v="8"/>
    <x v="6"/>
    <x v="12"/>
    <s v="GNR_RES_WTR_NOPMP_MC-10"/>
    <x v="8"/>
    <n v="3.5399260689655199"/>
  </r>
  <r>
    <x v="0"/>
    <x v="0"/>
    <x v="0"/>
    <x v="2"/>
    <x v="3"/>
    <s v="FinA"/>
    <x v="8"/>
    <x v="6"/>
    <x v="6"/>
    <s v="GNR_ROR_WTR"/>
    <x v="8"/>
    <n v="41.876908137931103"/>
  </r>
  <r>
    <x v="0"/>
    <x v="0"/>
    <x v="0"/>
    <x v="2"/>
    <x v="3"/>
    <s v="FinA"/>
    <x v="9"/>
    <x v="5"/>
    <x v="7"/>
    <s v="GNR_WT_WIND_ONS"/>
    <x v="8"/>
    <n v="80.856820172799999"/>
  </r>
  <r>
    <x v="0"/>
    <x v="0"/>
    <x v="0"/>
    <x v="3"/>
    <x v="4"/>
    <s v="DE4-E_A"/>
    <x v="1"/>
    <x v="7"/>
    <x v="11"/>
    <s v="GNR_BO_BGAS_E-80"/>
    <x v="8"/>
    <n v="0.29411810960000001"/>
  </r>
  <r>
    <x v="0"/>
    <x v="0"/>
    <x v="0"/>
    <x v="3"/>
    <x v="4"/>
    <s v="DE4-E_A"/>
    <x v="1"/>
    <x v="1"/>
    <x v="1"/>
    <s v="GNR_ENG_BGAS_BP_E-45"/>
    <x v="8"/>
    <n v="4.5170356000000002E-2"/>
  </r>
  <r>
    <x v="0"/>
    <x v="0"/>
    <x v="0"/>
    <x v="3"/>
    <x v="4"/>
    <s v="DE4-E_A"/>
    <x v="1"/>
    <x v="4"/>
    <x v="4"/>
    <s v="GNR_ENG_BGAS_CND_E-44"/>
    <x v="8"/>
    <n v="13.080073132000001"/>
  </r>
  <r>
    <x v="0"/>
    <x v="0"/>
    <x v="0"/>
    <x v="3"/>
    <x v="4"/>
    <s v="DE4-E_A"/>
    <x v="1"/>
    <x v="1"/>
    <x v="1"/>
    <s v="GNR_ST_BGAS_BP_E-38"/>
    <x v="8"/>
    <n v="2.5004946960000001"/>
  </r>
  <r>
    <x v="0"/>
    <x v="0"/>
    <x v="0"/>
    <x v="3"/>
    <x v="4"/>
    <s v="DE4-E_A"/>
    <x v="1"/>
    <x v="4"/>
    <x v="4"/>
    <s v="GNR_ST_BGAS_CND_E-38"/>
    <x v="8"/>
    <n v="0.68887296799999997"/>
  </r>
  <r>
    <x v="0"/>
    <x v="0"/>
    <x v="0"/>
    <x v="3"/>
    <x v="4"/>
    <s v="DE4-E_A"/>
    <x v="10"/>
    <x v="7"/>
    <x v="11"/>
    <s v="GNR_BO_COAL_E-80"/>
    <x v="8"/>
    <n v="0.29670213439999998"/>
  </r>
  <r>
    <x v="0"/>
    <x v="0"/>
    <x v="0"/>
    <x v="3"/>
    <x v="4"/>
    <s v="DE4-E_A"/>
    <x v="10"/>
    <x v="1"/>
    <x v="1"/>
    <s v="GNR_ST_COAL_BP_E-40"/>
    <x v="8"/>
    <n v="34.545406896000003"/>
  </r>
  <r>
    <x v="0"/>
    <x v="0"/>
    <x v="0"/>
    <x v="3"/>
    <x v="4"/>
    <s v="DE4-E_A"/>
    <x v="6"/>
    <x v="3"/>
    <x v="13"/>
    <s v="AGG-DE4-E_RES_WTR_PMP"/>
    <x v="8"/>
    <n v="311.25186206896598"/>
  </r>
  <r>
    <x v="0"/>
    <x v="0"/>
    <x v="0"/>
    <x v="3"/>
    <x v="4"/>
    <s v="DE4-E_A"/>
    <x v="6"/>
    <x v="2"/>
    <x v="2"/>
    <s v="GNR_BO_ELEC_E-80"/>
    <x v="8"/>
    <n v="9.4070902032799992"/>
  </r>
  <r>
    <x v="0"/>
    <x v="0"/>
    <x v="0"/>
    <x v="3"/>
    <x v="4"/>
    <s v="DE4-E_A"/>
    <x v="17"/>
    <x v="7"/>
    <x v="11"/>
    <s v="GNR_BO_FUELOIL_E-80"/>
    <x v="8"/>
    <n v="0.76184662960000005"/>
  </r>
  <r>
    <x v="0"/>
    <x v="0"/>
    <x v="0"/>
    <x v="3"/>
    <x v="4"/>
    <s v="DE4-E_A"/>
    <x v="17"/>
    <x v="4"/>
    <x v="4"/>
    <s v="GNR_ST_FUELOIL_CND_E-39"/>
    <x v="8"/>
    <n v="2.2454975199999998"/>
  </r>
  <r>
    <x v="0"/>
    <x v="0"/>
    <x v="0"/>
    <x v="3"/>
    <x v="4"/>
    <s v="DE4-E_A"/>
    <x v="24"/>
    <x v="1"/>
    <x v="1"/>
    <s v="GNR_ST_LIGN_BP_E-39"/>
    <x v="8"/>
    <n v="305.67242625919999"/>
  </r>
  <r>
    <x v="0"/>
    <x v="0"/>
    <x v="0"/>
    <x v="3"/>
    <x v="4"/>
    <s v="DE4-E_A"/>
    <x v="24"/>
    <x v="4"/>
    <x v="4"/>
    <s v="GNR_ST_LIGN_CND_E-43"/>
    <x v="8"/>
    <n v="36.665108480000001"/>
  </r>
  <r>
    <x v="0"/>
    <x v="0"/>
    <x v="0"/>
    <x v="3"/>
    <x v="4"/>
    <s v="DE4-E_A"/>
    <x v="2"/>
    <x v="7"/>
    <x v="11"/>
    <s v="GNR_BO_MSW_E-80"/>
    <x v="8"/>
    <n v="16.955380054844099"/>
  </r>
  <r>
    <x v="0"/>
    <x v="0"/>
    <x v="0"/>
    <x v="3"/>
    <x v="4"/>
    <s v="DE4-E_A"/>
    <x v="2"/>
    <x v="1"/>
    <x v="1"/>
    <s v="GNR_ST_MSW_BP_E-33"/>
    <x v="8"/>
    <n v="53.5233664"/>
  </r>
  <r>
    <x v="0"/>
    <x v="0"/>
    <x v="0"/>
    <x v="3"/>
    <x v="4"/>
    <s v="DE4-E_A"/>
    <x v="2"/>
    <x v="4"/>
    <x v="4"/>
    <s v="GNR_ST_MSW_CND_E-33"/>
    <x v="8"/>
    <n v="12.539531200000001"/>
  </r>
  <r>
    <x v="0"/>
    <x v="0"/>
    <x v="0"/>
    <x v="3"/>
    <x v="4"/>
    <s v="DE4-E_A"/>
    <x v="3"/>
    <x v="7"/>
    <x v="11"/>
    <s v="GNR_BO_NGAS_E-80"/>
    <x v="8"/>
    <n v="2.35566912E-2"/>
  </r>
  <r>
    <x v="0"/>
    <x v="0"/>
    <x v="0"/>
    <x v="3"/>
    <x v="4"/>
    <s v="DE4-E_A"/>
    <x v="3"/>
    <x v="1"/>
    <x v="1"/>
    <s v="GNR_CC_NGAS_BP_E-53"/>
    <x v="8"/>
    <n v="2.60205288"/>
  </r>
  <r>
    <x v="0"/>
    <x v="0"/>
    <x v="0"/>
    <x v="3"/>
    <x v="4"/>
    <s v="DE4-E_A"/>
    <x v="3"/>
    <x v="4"/>
    <x v="4"/>
    <s v="GNR_CC_NGAS_CND_E-57"/>
    <x v="8"/>
    <n v="1.50234"/>
  </r>
  <r>
    <x v="0"/>
    <x v="0"/>
    <x v="0"/>
    <x v="3"/>
    <x v="4"/>
    <s v="DE4-E_A"/>
    <x v="3"/>
    <x v="1"/>
    <x v="1"/>
    <s v="GNR_ST_NGAS_BP_E-38"/>
    <x v="8"/>
    <n v="6.8278348319999997"/>
  </r>
  <r>
    <x v="0"/>
    <x v="0"/>
    <x v="0"/>
    <x v="3"/>
    <x v="4"/>
    <s v="DE4-E_A"/>
    <x v="7"/>
    <x v="5"/>
    <x v="5"/>
    <s v="GNR_PV_SUN"/>
    <x v="8"/>
    <n v="125.323445646835"/>
  </r>
  <r>
    <x v="0"/>
    <x v="0"/>
    <x v="0"/>
    <x v="3"/>
    <x v="4"/>
    <s v="DE4-E_A"/>
    <x v="8"/>
    <x v="6"/>
    <x v="6"/>
    <s v="GNR_ROR_WTR"/>
    <x v="8"/>
    <n v="12.4148894896552"/>
  </r>
  <r>
    <x v="0"/>
    <x v="0"/>
    <x v="0"/>
    <x v="3"/>
    <x v="4"/>
    <s v="DE4-E_A"/>
    <x v="9"/>
    <x v="5"/>
    <x v="7"/>
    <s v="GNR_WT_WIND_ONS"/>
    <x v="8"/>
    <n v="332.19536960511999"/>
  </r>
  <r>
    <x v="0"/>
    <x v="0"/>
    <x v="0"/>
    <x v="3"/>
    <x v="4"/>
    <s v="DE4-E_Offshore_A"/>
    <x v="9"/>
    <x v="5"/>
    <x v="7"/>
    <s v="GNR_WT_WIND_OFF"/>
    <x v="8"/>
    <n v="119.7314801844"/>
  </r>
  <r>
    <x v="0"/>
    <x v="0"/>
    <x v="0"/>
    <x v="3"/>
    <x v="5"/>
    <s v="DE4-N_A"/>
    <x v="1"/>
    <x v="7"/>
    <x v="11"/>
    <s v="GNR_BO_BGAS_E-80"/>
    <x v="8"/>
    <n v="2.2249254775999998"/>
  </r>
  <r>
    <x v="0"/>
    <x v="0"/>
    <x v="0"/>
    <x v="3"/>
    <x v="5"/>
    <s v="DE4-N_A"/>
    <x v="1"/>
    <x v="1"/>
    <x v="1"/>
    <s v="GNR_ENG_BGAS_BP_E-45"/>
    <x v="8"/>
    <n v="7.5116999999999996E-3"/>
  </r>
  <r>
    <x v="0"/>
    <x v="0"/>
    <x v="0"/>
    <x v="3"/>
    <x v="5"/>
    <s v="DE4-N_A"/>
    <x v="1"/>
    <x v="4"/>
    <x v="4"/>
    <s v="GNR_ENG_BGAS_CND_E-44"/>
    <x v="8"/>
    <n v="4.6192948759999997"/>
  </r>
  <r>
    <x v="0"/>
    <x v="0"/>
    <x v="0"/>
    <x v="3"/>
    <x v="5"/>
    <s v="DE4-N_A"/>
    <x v="1"/>
    <x v="1"/>
    <x v="1"/>
    <s v="GNR_ST_BGAS_BP_E-38"/>
    <x v="8"/>
    <n v="0.76118560000000002"/>
  </r>
  <r>
    <x v="0"/>
    <x v="0"/>
    <x v="0"/>
    <x v="3"/>
    <x v="5"/>
    <s v="DE4-N_A"/>
    <x v="10"/>
    <x v="7"/>
    <x v="11"/>
    <s v="GNR_BO_COAL_E-80"/>
    <x v="8"/>
    <n v="6.0093599999999997E-5"/>
  </r>
  <r>
    <x v="0"/>
    <x v="0"/>
    <x v="0"/>
    <x v="3"/>
    <x v="5"/>
    <s v="DE4-N_A"/>
    <x v="10"/>
    <x v="1"/>
    <x v="1"/>
    <s v="GNR_ST_COAL_BP_E-40"/>
    <x v="8"/>
    <n v="12.660920272"/>
  </r>
  <r>
    <x v="0"/>
    <x v="0"/>
    <x v="0"/>
    <x v="3"/>
    <x v="5"/>
    <s v="DE4-N_A"/>
    <x v="10"/>
    <x v="4"/>
    <x v="4"/>
    <s v="GNR_ST_COAL_CND_E-46"/>
    <x v="8"/>
    <n v="91.662771199999995"/>
  </r>
  <r>
    <x v="0"/>
    <x v="0"/>
    <x v="0"/>
    <x v="3"/>
    <x v="5"/>
    <s v="DE4-N_A"/>
    <x v="6"/>
    <x v="3"/>
    <x v="13"/>
    <s v="AGG-DE4-N_RES_WTR_PMP"/>
    <x v="8"/>
    <n v="15.3499365517242"/>
  </r>
  <r>
    <x v="0"/>
    <x v="0"/>
    <x v="0"/>
    <x v="3"/>
    <x v="5"/>
    <s v="DE4-N_A"/>
    <x v="6"/>
    <x v="2"/>
    <x v="2"/>
    <s v="GNR_BO_ELEC_E-80"/>
    <x v="8"/>
    <n v="1.70236054604"/>
  </r>
  <r>
    <x v="0"/>
    <x v="0"/>
    <x v="0"/>
    <x v="3"/>
    <x v="5"/>
    <s v="DE4-N_A"/>
    <x v="17"/>
    <x v="7"/>
    <x v="11"/>
    <s v="GNR_BO_FUELOIL_E-80"/>
    <x v="8"/>
    <n v="0.71331103200000001"/>
  </r>
  <r>
    <x v="0"/>
    <x v="0"/>
    <x v="0"/>
    <x v="3"/>
    <x v="5"/>
    <s v="DE4-N_A"/>
    <x v="2"/>
    <x v="7"/>
    <x v="11"/>
    <s v="GNR_BO_MSW_E-80"/>
    <x v="8"/>
    <n v="7.1771762118362101"/>
  </r>
  <r>
    <x v="0"/>
    <x v="0"/>
    <x v="0"/>
    <x v="3"/>
    <x v="5"/>
    <s v="DE4-N_A"/>
    <x v="2"/>
    <x v="1"/>
    <x v="1"/>
    <s v="GNR_ST_MSW_BP_E-33"/>
    <x v="8"/>
    <n v="3.4053040000000001"/>
  </r>
  <r>
    <x v="0"/>
    <x v="0"/>
    <x v="0"/>
    <x v="3"/>
    <x v="5"/>
    <s v="DE4-N_A"/>
    <x v="3"/>
    <x v="7"/>
    <x v="11"/>
    <s v="GNR_BO_NGAS_E-80"/>
    <x v="8"/>
    <n v="1.2018719999999999E-4"/>
  </r>
  <r>
    <x v="0"/>
    <x v="0"/>
    <x v="0"/>
    <x v="3"/>
    <x v="5"/>
    <s v="DE4-N_A"/>
    <x v="3"/>
    <x v="1"/>
    <x v="1"/>
    <s v="GNR_CC_NGAS_BP_E-57"/>
    <x v="8"/>
    <n v="3.8159436000000002"/>
  </r>
  <r>
    <x v="0"/>
    <x v="0"/>
    <x v="0"/>
    <x v="3"/>
    <x v="5"/>
    <s v="DE4-N_A"/>
    <x v="3"/>
    <x v="1"/>
    <x v="1"/>
    <s v="GNR_ST_NGAS_BP_E-39"/>
    <x v="8"/>
    <n v="2.8544459999999998"/>
  </r>
  <r>
    <x v="0"/>
    <x v="0"/>
    <x v="0"/>
    <x v="3"/>
    <x v="5"/>
    <s v="DE4-N_A"/>
    <x v="7"/>
    <x v="5"/>
    <x v="5"/>
    <s v="GNR_PV_SUN"/>
    <x v="8"/>
    <n v="18.601680923399901"/>
  </r>
  <r>
    <x v="0"/>
    <x v="0"/>
    <x v="0"/>
    <x v="3"/>
    <x v="5"/>
    <s v="DE4-N_A"/>
    <x v="8"/>
    <x v="6"/>
    <x v="6"/>
    <s v="GNR_ROR_WTR"/>
    <x v="8"/>
    <n v="0.10938924137931"/>
  </r>
  <r>
    <x v="0"/>
    <x v="0"/>
    <x v="0"/>
    <x v="3"/>
    <x v="5"/>
    <s v="DE4-N_A"/>
    <x v="9"/>
    <x v="5"/>
    <x v="7"/>
    <s v="GNR_WT_WIND_ONS"/>
    <x v="8"/>
    <n v="154.79496001536"/>
  </r>
  <r>
    <x v="0"/>
    <x v="0"/>
    <x v="0"/>
    <x v="3"/>
    <x v="5"/>
    <s v="DE4-N_Offshore_A"/>
    <x v="9"/>
    <x v="5"/>
    <x v="7"/>
    <s v="GNR_WT_WIND_OFF"/>
    <x v="8"/>
    <n v="103.30089839999999"/>
  </r>
  <r>
    <x v="0"/>
    <x v="0"/>
    <x v="0"/>
    <x v="3"/>
    <x v="6"/>
    <s v="DE4-S_A"/>
    <x v="1"/>
    <x v="7"/>
    <x v="11"/>
    <s v="GNR_BO_BGAS_E-80"/>
    <x v="8"/>
    <n v="2.3933878696000002"/>
  </r>
  <r>
    <x v="0"/>
    <x v="0"/>
    <x v="0"/>
    <x v="3"/>
    <x v="6"/>
    <s v="DE4-S_A"/>
    <x v="1"/>
    <x v="1"/>
    <x v="1"/>
    <s v="GNR_ENG_BGAS_BP_E-45"/>
    <x v="8"/>
    <n v="9.2544143999999995E-2"/>
  </r>
  <r>
    <x v="0"/>
    <x v="0"/>
    <x v="0"/>
    <x v="3"/>
    <x v="6"/>
    <s v="DE4-S_A"/>
    <x v="1"/>
    <x v="4"/>
    <x v="4"/>
    <s v="GNR_ENG_BGAS_CND_E-44"/>
    <x v="8"/>
    <n v="18.739588223999998"/>
  </r>
  <r>
    <x v="0"/>
    <x v="0"/>
    <x v="0"/>
    <x v="3"/>
    <x v="6"/>
    <s v="DE4-S_A"/>
    <x v="1"/>
    <x v="1"/>
    <x v="1"/>
    <s v="GNR_ST_BGAS_BP_E-38"/>
    <x v="8"/>
    <n v="4.0418955360000002"/>
  </r>
  <r>
    <x v="0"/>
    <x v="0"/>
    <x v="0"/>
    <x v="3"/>
    <x v="6"/>
    <s v="DE4-S_A"/>
    <x v="10"/>
    <x v="7"/>
    <x v="11"/>
    <s v="GNR_BO_COAL_E-80"/>
    <x v="8"/>
    <n v="0.58903746720000005"/>
  </r>
  <r>
    <x v="0"/>
    <x v="0"/>
    <x v="0"/>
    <x v="3"/>
    <x v="6"/>
    <s v="DE4-S_A"/>
    <x v="10"/>
    <x v="1"/>
    <x v="1"/>
    <s v="GNR_ST_COAL_BP_E-43"/>
    <x v="8"/>
    <n v="182.67244515519999"/>
  </r>
  <r>
    <x v="0"/>
    <x v="0"/>
    <x v="0"/>
    <x v="3"/>
    <x v="6"/>
    <s v="DE4-S_A"/>
    <x v="10"/>
    <x v="4"/>
    <x v="4"/>
    <s v="GNR_ST_COAL_CND_E-44"/>
    <x v="8"/>
    <n v="16.212852655999999"/>
  </r>
  <r>
    <x v="0"/>
    <x v="0"/>
    <x v="0"/>
    <x v="3"/>
    <x v="6"/>
    <s v="DE4-S_A"/>
    <x v="6"/>
    <x v="3"/>
    <x v="13"/>
    <s v="AGG-DE4-S_RES_WTR_PMP"/>
    <x v="8"/>
    <n v="278.77340689655301"/>
  </r>
  <r>
    <x v="0"/>
    <x v="0"/>
    <x v="0"/>
    <x v="3"/>
    <x v="6"/>
    <s v="DE4-S_A"/>
    <x v="6"/>
    <x v="2"/>
    <x v="2"/>
    <s v="GNR_BO_ELEC_E-80"/>
    <x v="8"/>
    <n v="4.2216214717599998"/>
  </r>
  <r>
    <x v="0"/>
    <x v="0"/>
    <x v="0"/>
    <x v="3"/>
    <x v="6"/>
    <s v="DE4-S_A"/>
    <x v="17"/>
    <x v="7"/>
    <x v="11"/>
    <s v="GNR_BO_FUELOIL_E-80"/>
    <x v="8"/>
    <n v="1.0212707007999999"/>
  </r>
  <r>
    <x v="0"/>
    <x v="0"/>
    <x v="0"/>
    <x v="3"/>
    <x v="6"/>
    <s v="DE4-S_A"/>
    <x v="2"/>
    <x v="7"/>
    <x v="11"/>
    <s v="GNR_BO_MSW_E-80"/>
    <x v="8"/>
    <n v="20.660002281722999"/>
  </r>
  <r>
    <x v="0"/>
    <x v="0"/>
    <x v="0"/>
    <x v="3"/>
    <x v="6"/>
    <s v="DE4-S_A"/>
    <x v="2"/>
    <x v="1"/>
    <x v="1"/>
    <s v="GNR_ST_MSW_BP_E-33"/>
    <x v="8"/>
    <n v="21.2731344"/>
  </r>
  <r>
    <x v="0"/>
    <x v="0"/>
    <x v="0"/>
    <x v="3"/>
    <x v="6"/>
    <s v="DE4-S_A"/>
    <x v="2"/>
    <x v="4"/>
    <x v="4"/>
    <s v="GNR_ST_MSW_CND_E-33"/>
    <x v="8"/>
    <n v="1.7427144000000001"/>
  </r>
  <r>
    <x v="0"/>
    <x v="0"/>
    <x v="0"/>
    <x v="3"/>
    <x v="6"/>
    <s v="DE4-S_A"/>
    <x v="3"/>
    <x v="7"/>
    <x v="11"/>
    <s v="GNR_BO_NGAS_E-80"/>
    <x v="8"/>
    <n v="1.4185695216"/>
  </r>
  <r>
    <x v="0"/>
    <x v="0"/>
    <x v="0"/>
    <x v="3"/>
    <x v="6"/>
    <s v="DE4-S_A"/>
    <x v="3"/>
    <x v="1"/>
    <x v="1"/>
    <s v="GNR_CC_NGAS_BP_E-53"/>
    <x v="8"/>
    <n v="29.42783592"/>
  </r>
  <r>
    <x v="0"/>
    <x v="0"/>
    <x v="0"/>
    <x v="3"/>
    <x v="6"/>
    <s v="DE4-S_A"/>
    <x v="3"/>
    <x v="4"/>
    <x v="4"/>
    <s v="GNR_CC_NGAS_CND_E-57"/>
    <x v="8"/>
    <n v="44.637526080000001"/>
  </r>
  <r>
    <x v="0"/>
    <x v="0"/>
    <x v="0"/>
    <x v="3"/>
    <x v="6"/>
    <s v="DE4-S_A"/>
    <x v="3"/>
    <x v="1"/>
    <x v="1"/>
    <s v="GNR_ENG_NGAS_BP_E-46"/>
    <x v="8"/>
    <n v="0.33151636000000001"/>
  </r>
  <r>
    <x v="0"/>
    <x v="0"/>
    <x v="0"/>
    <x v="3"/>
    <x v="6"/>
    <s v="DE4-S_A"/>
    <x v="3"/>
    <x v="1"/>
    <x v="1"/>
    <s v="GNR_ST_NGAS_BP_E-38"/>
    <x v="8"/>
    <n v="23.219966727999999"/>
  </r>
  <r>
    <x v="0"/>
    <x v="0"/>
    <x v="0"/>
    <x v="3"/>
    <x v="6"/>
    <s v="DE4-S_A"/>
    <x v="7"/>
    <x v="5"/>
    <x v="5"/>
    <s v="GNR_PV_SUN"/>
    <x v="8"/>
    <n v="228.57760463858401"/>
  </r>
  <r>
    <x v="0"/>
    <x v="0"/>
    <x v="0"/>
    <x v="3"/>
    <x v="6"/>
    <s v="DE4-S_A"/>
    <x v="8"/>
    <x v="6"/>
    <x v="12"/>
    <s v="GNR_RES_WTR_NOPMP"/>
    <x v="8"/>
    <n v="2.7967558620689701"/>
  </r>
  <r>
    <x v="0"/>
    <x v="0"/>
    <x v="0"/>
    <x v="3"/>
    <x v="6"/>
    <s v="DE4-S_A"/>
    <x v="8"/>
    <x v="6"/>
    <x v="6"/>
    <s v="GNR_ROR_WTR"/>
    <x v="8"/>
    <n v="178.78464838620701"/>
  </r>
  <r>
    <x v="0"/>
    <x v="0"/>
    <x v="0"/>
    <x v="3"/>
    <x v="6"/>
    <s v="DE4-S_A"/>
    <x v="9"/>
    <x v="5"/>
    <x v="7"/>
    <s v="GNR_WT_WIND_ONS"/>
    <x v="8"/>
    <n v="187.62997485567999"/>
  </r>
  <r>
    <x v="0"/>
    <x v="0"/>
    <x v="0"/>
    <x v="3"/>
    <x v="7"/>
    <s v="DE4-W_A"/>
    <x v="1"/>
    <x v="7"/>
    <x v="11"/>
    <s v="GNR_BO_BGAS_E-80"/>
    <x v="8"/>
    <n v="0.69151708639999998"/>
  </r>
  <r>
    <x v="0"/>
    <x v="0"/>
    <x v="0"/>
    <x v="3"/>
    <x v="7"/>
    <s v="DE4-W_A"/>
    <x v="1"/>
    <x v="1"/>
    <x v="1"/>
    <s v="GNR_ENG_BGAS_BP_E-45"/>
    <x v="8"/>
    <n v="0.20832448000000001"/>
  </r>
  <r>
    <x v="0"/>
    <x v="0"/>
    <x v="0"/>
    <x v="3"/>
    <x v="7"/>
    <s v="DE4-W_A"/>
    <x v="1"/>
    <x v="4"/>
    <x v="4"/>
    <s v="GNR_ENG_BGAS_CND_E-44"/>
    <x v="8"/>
    <n v="19.254490220000001"/>
  </r>
  <r>
    <x v="0"/>
    <x v="0"/>
    <x v="0"/>
    <x v="3"/>
    <x v="7"/>
    <s v="DE4-W_A"/>
    <x v="1"/>
    <x v="1"/>
    <x v="1"/>
    <s v="GNR_ST_BGAS_BP_E-38"/>
    <x v="8"/>
    <n v="1.5223712"/>
  </r>
  <r>
    <x v="0"/>
    <x v="0"/>
    <x v="0"/>
    <x v="3"/>
    <x v="7"/>
    <s v="DE4-W_A"/>
    <x v="1"/>
    <x v="4"/>
    <x v="4"/>
    <s v="GNR_ST_BGAS_CND_E-38"/>
    <x v="8"/>
    <n v="2.1960204559999998"/>
  </r>
  <r>
    <x v="0"/>
    <x v="0"/>
    <x v="0"/>
    <x v="3"/>
    <x v="7"/>
    <s v="DE4-W_A"/>
    <x v="10"/>
    <x v="7"/>
    <x v="11"/>
    <s v="GNR_BO_COAL_E-80"/>
    <x v="8"/>
    <n v="0.36004078880000001"/>
  </r>
  <r>
    <x v="0"/>
    <x v="0"/>
    <x v="0"/>
    <x v="3"/>
    <x v="7"/>
    <s v="DE4-W_A"/>
    <x v="10"/>
    <x v="1"/>
    <x v="1"/>
    <s v="GNR_ST_COAL_BP_E-41"/>
    <x v="8"/>
    <n v="122.82811340799999"/>
  </r>
  <r>
    <x v="0"/>
    <x v="0"/>
    <x v="0"/>
    <x v="3"/>
    <x v="7"/>
    <s v="DE4-W_A"/>
    <x v="10"/>
    <x v="4"/>
    <x v="4"/>
    <s v="GNR_ST_COAL_CND_E-45"/>
    <x v="8"/>
    <n v="129.47366432000001"/>
  </r>
  <r>
    <x v="0"/>
    <x v="0"/>
    <x v="0"/>
    <x v="3"/>
    <x v="7"/>
    <s v="DE4-W_A"/>
    <x v="6"/>
    <x v="3"/>
    <x v="13"/>
    <s v="AGG-DE4-W_RES_WTR_PMP"/>
    <x v="8"/>
    <n v="147.699641379311"/>
  </r>
  <r>
    <x v="0"/>
    <x v="0"/>
    <x v="0"/>
    <x v="3"/>
    <x v="7"/>
    <s v="DE4-W_A"/>
    <x v="6"/>
    <x v="2"/>
    <x v="2"/>
    <s v="GNR_BO_ELEC_E-80"/>
    <x v="8"/>
    <n v="8.8912006691199998"/>
  </r>
  <r>
    <x v="0"/>
    <x v="0"/>
    <x v="0"/>
    <x v="3"/>
    <x v="7"/>
    <s v="DE4-W_A"/>
    <x v="17"/>
    <x v="7"/>
    <x v="11"/>
    <s v="GNR_BO_FUELOIL_E-80"/>
    <x v="8"/>
    <n v="0.63318623200000002"/>
  </r>
  <r>
    <x v="0"/>
    <x v="0"/>
    <x v="0"/>
    <x v="3"/>
    <x v="7"/>
    <s v="DE4-W_A"/>
    <x v="17"/>
    <x v="4"/>
    <x v="4"/>
    <s v="GNR_ST_FUELOIL_CND_E-39"/>
    <x v="8"/>
    <n v="0.94387014400000002"/>
  </r>
  <r>
    <x v="0"/>
    <x v="0"/>
    <x v="0"/>
    <x v="3"/>
    <x v="7"/>
    <s v="DE4-W_A"/>
    <x v="24"/>
    <x v="1"/>
    <x v="1"/>
    <s v="GNR_ST_LIGN_BP_E-37"/>
    <x v="8"/>
    <n v="19.501254572800001"/>
  </r>
  <r>
    <x v="0"/>
    <x v="0"/>
    <x v="0"/>
    <x v="3"/>
    <x v="7"/>
    <s v="DE4-W_A"/>
    <x v="24"/>
    <x v="4"/>
    <x v="4"/>
    <s v="GNR_ST_LIGN_CND_E-41"/>
    <x v="8"/>
    <n v="157.65996646400001"/>
  </r>
  <r>
    <x v="0"/>
    <x v="0"/>
    <x v="0"/>
    <x v="3"/>
    <x v="7"/>
    <s v="DE4-W_A"/>
    <x v="2"/>
    <x v="7"/>
    <x v="11"/>
    <s v="GNR_BO_MSW_E-80"/>
    <x v="8"/>
    <n v="80.415880647746206"/>
  </r>
  <r>
    <x v="0"/>
    <x v="0"/>
    <x v="0"/>
    <x v="3"/>
    <x v="7"/>
    <s v="DE4-W_A"/>
    <x v="2"/>
    <x v="1"/>
    <x v="1"/>
    <s v="GNR_ST_MSW_BP_E-33"/>
    <x v="8"/>
    <n v="31.549140000000001"/>
  </r>
  <r>
    <x v="0"/>
    <x v="0"/>
    <x v="0"/>
    <x v="3"/>
    <x v="7"/>
    <s v="DE4-W_A"/>
    <x v="2"/>
    <x v="4"/>
    <x v="4"/>
    <s v="GNR_ST_MSW_CND_E-33"/>
    <x v="8"/>
    <n v="14.5426512"/>
  </r>
  <r>
    <x v="0"/>
    <x v="0"/>
    <x v="0"/>
    <x v="3"/>
    <x v="7"/>
    <s v="DE4-W_A"/>
    <x v="3"/>
    <x v="7"/>
    <x v="11"/>
    <s v="GNR_BO_NGAS_E-80"/>
    <x v="8"/>
    <n v="0.51686505360000001"/>
  </r>
  <r>
    <x v="0"/>
    <x v="0"/>
    <x v="0"/>
    <x v="3"/>
    <x v="7"/>
    <s v="DE4-W_A"/>
    <x v="3"/>
    <x v="1"/>
    <x v="1"/>
    <s v="GNR_CC_NGAS_BP_E-55"/>
    <x v="8"/>
    <n v="96.321026759999995"/>
  </r>
  <r>
    <x v="0"/>
    <x v="0"/>
    <x v="0"/>
    <x v="3"/>
    <x v="7"/>
    <s v="DE4-W_A"/>
    <x v="3"/>
    <x v="4"/>
    <x v="4"/>
    <s v="GNR_CC_NGAS_CND_E-57"/>
    <x v="8"/>
    <n v="88.022100600000002"/>
  </r>
  <r>
    <x v="0"/>
    <x v="0"/>
    <x v="0"/>
    <x v="3"/>
    <x v="7"/>
    <s v="DE4-W_A"/>
    <x v="3"/>
    <x v="1"/>
    <x v="1"/>
    <s v="GNR_GT_NGAS_BP_E-39"/>
    <x v="8"/>
    <n v="2.5479686400000001"/>
  </r>
  <r>
    <x v="0"/>
    <x v="0"/>
    <x v="0"/>
    <x v="3"/>
    <x v="7"/>
    <s v="DE4-W_A"/>
    <x v="3"/>
    <x v="4"/>
    <x v="4"/>
    <s v="GNR_GT_NGAS_CND_E-40"/>
    <x v="8"/>
    <n v="10.8969728"/>
  </r>
  <r>
    <x v="0"/>
    <x v="0"/>
    <x v="0"/>
    <x v="3"/>
    <x v="7"/>
    <s v="DE4-W_A"/>
    <x v="3"/>
    <x v="1"/>
    <x v="1"/>
    <s v="GNR_ST_NGAS_BP_E-38"/>
    <x v="8"/>
    <n v="32.826129000000002"/>
  </r>
  <r>
    <x v="0"/>
    <x v="0"/>
    <x v="0"/>
    <x v="3"/>
    <x v="7"/>
    <s v="DE4-W_A"/>
    <x v="3"/>
    <x v="4"/>
    <x v="4"/>
    <s v="GNR_ST_NGAS_CND_E-39"/>
    <x v="8"/>
    <n v="1.514759344"/>
  </r>
  <r>
    <x v="0"/>
    <x v="0"/>
    <x v="0"/>
    <x v="3"/>
    <x v="7"/>
    <s v="DE4-W_A"/>
    <x v="7"/>
    <x v="5"/>
    <x v="5"/>
    <s v="GNR_PV_SUN"/>
    <x v="8"/>
    <n v="115.04390316169599"/>
  </r>
  <r>
    <x v="0"/>
    <x v="0"/>
    <x v="0"/>
    <x v="3"/>
    <x v="7"/>
    <s v="DE4-W_A"/>
    <x v="8"/>
    <x v="6"/>
    <x v="6"/>
    <s v="GNR_ROR_WTR"/>
    <x v="8"/>
    <n v="8.1534455172413907"/>
  </r>
  <r>
    <x v="0"/>
    <x v="0"/>
    <x v="0"/>
    <x v="3"/>
    <x v="7"/>
    <s v="DE4-W_A"/>
    <x v="9"/>
    <x v="5"/>
    <x v="7"/>
    <s v="GNR_WT_WIND_ONS"/>
    <x v="8"/>
    <n v="336.63338612735998"/>
  </r>
  <r>
    <x v="0"/>
    <x v="0"/>
    <x v="0"/>
    <x v="3"/>
    <x v="7"/>
    <s v="DE4-W_Offshore_A"/>
    <x v="9"/>
    <x v="5"/>
    <x v="7"/>
    <s v="GNR_WT_WIND_OFF"/>
    <x v="8"/>
    <n v="316.27291726800001"/>
  </r>
  <r>
    <x v="0"/>
    <x v="0"/>
    <x v="0"/>
    <x v="4"/>
    <x v="8"/>
    <s v="LV_Other_DH"/>
    <x v="1"/>
    <x v="1"/>
    <x v="1"/>
    <s v="GNR_GT_BGAS_BP_E-30"/>
    <x v="8"/>
    <n v="1.4670810000000001"/>
  </r>
  <r>
    <x v="0"/>
    <x v="0"/>
    <x v="0"/>
    <x v="4"/>
    <x v="8"/>
    <s v="LV_Other_DH"/>
    <x v="10"/>
    <x v="7"/>
    <x v="11"/>
    <s v="GNR_BO_COAL_E-76"/>
    <x v="8"/>
    <n v="0.174762"/>
  </r>
  <r>
    <x v="0"/>
    <x v="0"/>
    <x v="0"/>
    <x v="4"/>
    <x v="8"/>
    <s v="LV_Other_DH"/>
    <x v="17"/>
    <x v="7"/>
    <x v="11"/>
    <s v="GNR_BO_FUELOIL_E-95"/>
    <x v="8"/>
    <n v="3.2650855999999999E-2"/>
  </r>
  <r>
    <x v="0"/>
    <x v="0"/>
    <x v="0"/>
    <x v="4"/>
    <x v="8"/>
    <s v="LV_Other_DH"/>
    <x v="3"/>
    <x v="7"/>
    <x v="11"/>
    <s v="GNR_BO_NGAS_E-101"/>
    <x v="8"/>
    <n v="1.5203680799999999"/>
  </r>
  <r>
    <x v="0"/>
    <x v="0"/>
    <x v="0"/>
    <x v="4"/>
    <x v="8"/>
    <s v="LV_Other_DH"/>
    <x v="3"/>
    <x v="1"/>
    <x v="1"/>
    <s v="GNR_ST_NGAS_BP_E-28"/>
    <x v="8"/>
    <n v="1.4790023439626401"/>
  </r>
  <r>
    <x v="0"/>
    <x v="0"/>
    <x v="0"/>
    <x v="4"/>
    <x v="8"/>
    <s v="LV_Other_DH"/>
    <x v="8"/>
    <x v="6"/>
    <x v="12"/>
    <s v="GNR_RES_WTR_NOPMP"/>
    <x v="8"/>
    <n v="27.381142068965499"/>
  </r>
  <r>
    <x v="0"/>
    <x v="0"/>
    <x v="0"/>
    <x v="4"/>
    <x v="8"/>
    <s v="LV_Other_DH"/>
    <x v="19"/>
    <x v="7"/>
    <x v="11"/>
    <s v="GNR_BO_WOOD_E-108"/>
    <x v="8"/>
    <n v="4.9160670566447999"/>
  </r>
  <r>
    <x v="0"/>
    <x v="0"/>
    <x v="0"/>
    <x v="4"/>
    <x v="8"/>
    <s v="LV_Other_DH"/>
    <x v="19"/>
    <x v="1"/>
    <x v="1"/>
    <s v="GNR_ST_WOOD_BP_E-30"/>
    <x v="8"/>
    <n v="2.6602091175239999"/>
  </r>
  <r>
    <x v="0"/>
    <x v="0"/>
    <x v="0"/>
    <x v="4"/>
    <x v="8"/>
    <s v="LV_RigaR"/>
    <x v="3"/>
    <x v="7"/>
    <x v="11"/>
    <s v="GNR_BO_NGAS_E-101"/>
    <x v="8"/>
    <n v="2.2923705280000002"/>
  </r>
  <r>
    <x v="0"/>
    <x v="0"/>
    <x v="0"/>
    <x v="4"/>
    <x v="8"/>
    <s v="LV_RigaR"/>
    <x v="3"/>
    <x v="1"/>
    <x v="1"/>
    <s v="GNR_ST_NGAS_BP_E-42"/>
    <x v="8"/>
    <n v="0.58992599113840005"/>
  </r>
  <r>
    <x v="0"/>
    <x v="0"/>
    <x v="0"/>
    <x v="4"/>
    <x v="8"/>
    <s v="LV_RigaR"/>
    <x v="3"/>
    <x v="7"/>
    <x v="11"/>
    <s v="RIGA-TEC1_BO_NGAS_HO"/>
    <x v="8"/>
    <n v="0.43039284052799998"/>
  </r>
  <r>
    <x v="0"/>
    <x v="0"/>
    <x v="0"/>
    <x v="4"/>
    <x v="8"/>
    <s v="LV_RigaR"/>
    <x v="3"/>
    <x v="7"/>
    <x v="11"/>
    <s v="RIGA-TEC2_BO_NGAS_HO"/>
    <x v="8"/>
    <n v="0.43039284052799998"/>
  </r>
  <r>
    <x v="0"/>
    <x v="0"/>
    <x v="0"/>
    <x v="4"/>
    <x v="8"/>
    <s v="LV_RigaR"/>
    <x v="3"/>
    <x v="1"/>
    <x v="1"/>
    <s v="RIGA-TEC2_CC_NGAS_BP"/>
    <x v="8"/>
    <n v="1.773472708224"/>
  </r>
  <r>
    <x v="0"/>
    <x v="0"/>
    <x v="0"/>
    <x v="4"/>
    <x v="8"/>
    <s v="LV_RigaR"/>
    <x v="3"/>
    <x v="1"/>
    <x v="8"/>
    <s v="RIGA-TEC2_CC_NGAS_EXT"/>
    <x v="8"/>
    <n v="10.850204555175999"/>
  </r>
  <r>
    <x v="0"/>
    <x v="0"/>
    <x v="0"/>
    <x v="4"/>
    <x v="8"/>
    <s v="LV_RigaR"/>
    <x v="8"/>
    <x v="6"/>
    <x v="12"/>
    <s v="GNR_RES_WTR_NOPMP"/>
    <x v="8"/>
    <n v="9.0669020689655309"/>
  </r>
  <r>
    <x v="0"/>
    <x v="0"/>
    <x v="0"/>
    <x v="4"/>
    <x v="8"/>
    <s v="LV_RigaR"/>
    <x v="19"/>
    <x v="7"/>
    <x v="11"/>
    <s v="GNR_BO_WOOD_E-108"/>
    <x v="8"/>
    <n v="5.0915132406768002"/>
  </r>
  <r>
    <x v="0"/>
    <x v="0"/>
    <x v="0"/>
    <x v="4"/>
    <x v="8"/>
    <s v="LV_Rural"/>
    <x v="9"/>
    <x v="5"/>
    <x v="7"/>
    <s v="GNR_WT_WIND_ONS"/>
    <x v="8"/>
    <n v="0.87175782400000001"/>
  </r>
  <r>
    <x v="0"/>
    <x v="0"/>
    <x v="0"/>
    <x v="5"/>
    <x v="9"/>
    <s v="LT_KauU"/>
    <x v="2"/>
    <x v="1"/>
    <x v="1"/>
    <s v="KAUNAS_ST_MSW_BP"/>
    <x v="8"/>
    <n v="0.52325582400000004"/>
  </r>
  <r>
    <x v="0"/>
    <x v="0"/>
    <x v="0"/>
    <x v="5"/>
    <x v="9"/>
    <s v="LT_KauU"/>
    <x v="3"/>
    <x v="7"/>
    <x v="11"/>
    <s v="GNR_BO_NGAS_E-101"/>
    <x v="8"/>
    <n v="0.85963894799999996"/>
  </r>
  <r>
    <x v="0"/>
    <x v="0"/>
    <x v="0"/>
    <x v="5"/>
    <x v="9"/>
    <s v="LT_KauU"/>
    <x v="8"/>
    <x v="6"/>
    <x v="6"/>
    <s v="GNR_ROR_WTR"/>
    <x v="8"/>
    <n v="2.88246289655173"/>
  </r>
  <r>
    <x v="0"/>
    <x v="0"/>
    <x v="0"/>
    <x v="5"/>
    <x v="9"/>
    <s v="LT_KauU"/>
    <x v="19"/>
    <x v="7"/>
    <x v="11"/>
    <s v="GNR_BO_WOOD_E-108"/>
    <x v="8"/>
    <n v="0.34114535784"/>
  </r>
  <r>
    <x v="0"/>
    <x v="0"/>
    <x v="0"/>
    <x v="5"/>
    <x v="9"/>
    <s v="LT_KlaU"/>
    <x v="3"/>
    <x v="7"/>
    <x v="11"/>
    <s v="GNR_BO_NGAS_E-101"/>
    <x v="8"/>
    <n v="0.41324365600000001"/>
  </r>
  <r>
    <x v="0"/>
    <x v="0"/>
    <x v="0"/>
    <x v="5"/>
    <x v="9"/>
    <s v="LT_KlaU"/>
    <x v="7"/>
    <x v="5"/>
    <x v="5"/>
    <s v="GNR_PV_SUN"/>
    <x v="8"/>
    <n v="0.92254226316859"/>
  </r>
  <r>
    <x v="0"/>
    <x v="0"/>
    <x v="0"/>
    <x v="5"/>
    <x v="9"/>
    <s v="LT_KlaU"/>
    <x v="19"/>
    <x v="7"/>
    <x v="11"/>
    <s v="GNR_BO_WOOD_E-108"/>
    <x v="8"/>
    <n v="1.8952519880000001E-2"/>
  </r>
  <r>
    <x v="0"/>
    <x v="0"/>
    <x v="0"/>
    <x v="5"/>
    <x v="9"/>
    <s v="LT_KlaU"/>
    <x v="19"/>
    <x v="1"/>
    <x v="1"/>
    <s v="KLAIPEDA_ST_WOOD_BP"/>
    <x v="8"/>
    <n v="0.98526263611999998"/>
  </r>
  <r>
    <x v="0"/>
    <x v="0"/>
    <x v="0"/>
    <x v="5"/>
    <x v="9"/>
    <s v="LT_Other_DH"/>
    <x v="1"/>
    <x v="1"/>
    <x v="8"/>
    <s v="GNR_ENG_BGAS_EXT_E-33"/>
    <x v="8"/>
    <n v="1.5823626"/>
  </r>
  <r>
    <x v="0"/>
    <x v="0"/>
    <x v="0"/>
    <x v="5"/>
    <x v="9"/>
    <s v="LT_Other_DH"/>
    <x v="17"/>
    <x v="1"/>
    <x v="8"/>
    <s v="GNR_ST_FUELOIL_EXT_E-22"/>
    <x v="8"/>
    <n v="1.4778939235199999"/>
  </r>
  <r>
    <x v="0"/>
    <x v="0"/>
    <x v="0"/>
    <x v="5"/>
    <x v="9"/>
    <s v="LT_Other_DH"/>
    <x v="11"/>
    <x v="1"/>
    <x v="1"/>
    <s v="LIFOSA_ST_HEAT_BP"/>
    <x v="8"/>
    <n v="1.8227358768219999"/>
  </r>
  <r>
    <x v="0"/>
    <x v="0"/>
    <x v="0"/>
    <x v="5"/>
    <x v="9"/>
    <s v="LT_Other_DH"/>
    <x v="3"/>
    <x v="1"/>
    <x v="8"/>
    <s v="ACHEMA1_ST_NGAS_EXT"/>
    <x v="8"/>
    <n v="0.270947219312"/>
  </r>
  <r>
    <x v="0"/>
    <x v="0"/>
    <x v="0"/>
    <x v="5"/>
    <x v="9"/>
    <s v="LT_Other_DH"/>
    <x v="3"/>
    <x v="1"/>
    <x v="8"/>
    <s v="ACHEMA2_ST_NGAS_EXT"/>
    <x v="8"/>
    <n v="0.57884178671200004"/>
  </r>
  <r>
    <x v="0"/>
    <x v="0"/>
    <x v="0"/>
    <x v="5"/>
    <x v="9"/>
    <s v="LT_Other_DH"/>
    <x v="3"/>
    <x v="1"/>
    <x v="1"/>
    <s v="ALYTUS_ENG_NGAS_BP"/>
    <x v="8"/>
    <n v="0.1133052008032"/>
  </r>
  <r>
    <x v="0"/>
    <x v="0"/>
    <x v="0"/>
    <x v="5"/>
    <x v="9"/>
    <s v="LT_Other_DH"/>
    <x v="3"/>
    <x v="7"/>
    <x v="11"/>
    <s v="GNR_BO_NGAS_E-101"/>
    <x v="8"/>
    <n v="1.4019836880000001"/>
  </r>
  <r>
    <x v="0"/>
    <x v="0"/>
    <x v="0"/>
    <x v="5"/>
    <x v="9"/>
    <s v="LT_Other_DH"/>
    <x v="3"/>
    <x v="1"/>
    <x v="1"/>
    <s v="GNR_ST_GAS_BP-E15"/>
    <x v="8"/>
    <n v="0.24631565391999999"/>
  </r>
  <r>
    <x v="0"/>
    <x v="0"/>
    <x v="0"/>
    <x v="5"/>
    <x v="9"/>
    <s v="LT_Other_DH"/>
    <x v="13"/>
    <x v="1"/>
    <x v="1"/>
    <s v="EBAVERE_ST_WOODWST_BP"/>
    <x v="8"/>
    <n v="0.2660209117524"/>
  </r>
  <r>
    <x v="0"/>
    <x v="0"/>
    <x v="0"/>
    <x v="5"/>
    <x v="9"/>
    <s v="LT_Panevezys"/>
    <x v="3"/>
    <x v="7"/>
    <x v="11"/>
    <s v="GNR_BO_NGAS_E-101"/>
    <x v="8"/>
    <n v="5.1960932799999998E-2"/>
  </r>
  <r>
    <x v="0"/>
    <x v="0"/>
    <x v="0"/>
    <x v="5"/>
    <x v="9"/>
    <s v="LT_Panevezys"/>
    <x v="3"/>
    <x v="1"/>
    <x v="1"/>
    <s v="GNR_CC_NGAS_BP_E-42"/>
    <x v="8"/>
    <n v="1.0516380000000001"/>
  </r>
  <r>
    <x v="0"/>
    <x v="0"/>
    <x v="0"/>
    <x v="5"/>
    <x v="9"/>
    <s v="LT_Panevezys"/>
    <x v="19"/>
    <x v="7"/>
    <x v="11"/>
    <s v="GNR_BO_WOOD_E-108"/>
    <x v="8"/>
    <n v="0.32760784364000001"/>
  </r>
  <r>
    <x v="0"/>
    <x v="0"/>
    <x v="0"/>
    <x v="5"/>
    <x v="9"/>
    <s v="LT_Rural"/>
    <x v="9"/>
    <x v="5"/>
    <x v="7"/>
    <s v="GNR_WT_WIND_ONS"/>
    <x v="8"/>
    <n v="6.0510248960000004"/>
  </r>
  <r>
    <x v="0"/>
    <x v="0"/>
    <x v="0"/>
    <x v="5"/>
    <x v="9"/>
    <s v="LT_SiaU"/>
    <x v="3"/>
    <x v="7"/>
    <x v="11"/>
    <s v="GNR_BO_NGAS_E-101"/>
    <x v="8"/>
    <n v="0.1221302264"/>
  </r>
  <r>
    <x v="0"/>
    <x v="0"/>
    <x v="0"/>
    <x v="5"/>
    <x v="9"/>
    <s v="LT_SiaU"/>
    <x v="19"/>
    <x v="7"/>
    <x v="11"/>
    <s v="GNR_BO_WOOD_E-108"/>
    <x v="8"/>
    <n v="0.135375142"/>
  </r>
  <r>
    <x v="0"/>
    <x v="0"/>
    <x v="0"/>
    <x v="5"/>
    <x v="9"/>
    <s v="LT_SiaU"/>
    <x v="19"/>
    <x v="1"/>
    <x v="1"/>
    <s v="SIAULIAI_ST_WOOD_BP"/>
    <x v="8"/>
    <n v="0.5320418235048"/>
  </r>
  <r>
    <x v="0"/>
    <x v="0"/>
    <x v="0"/>
    <x v="5"/>
    <x v="9"/>
    <s v="LT_VilU"/>
    <x v="6"/>
    <x v="3"/>
    <x v="13"/>
    <s v="GNR_ES_WTR_PMP"/>
    <x v="8"/>
    <n v="1.28772"/>
  </r>
  <r>
    <x v="0"/>
    <x v="0"/>
    <x v="0"/>
    <x v="5"/>
    <x v="9"/>
    <s v="LT_VilU"/>
    <x v="2"/>
    <x v="1"/>
    <x v="1"/>
    <s v="VILNIUS_ST_MSW_BP"/>
    <x v="8"/>
    <n v="2.0058139920000002"/>
  </r>
  <r>
    <x v="0"/>
    <x v="0"/>
    <x v="0"/>
    <x v="5"/>
    <x v="9"/>
    <s v="LT_VilU"/>
    <x v="3"/>
    <x v="7"/>
    <x v="11"/>
    <s v="GNR_BO_NGAS_E-101"/>
    <x v="8"/>
    <n v="0.24554244959999999"/>
  </r>
  <r>
    <x v="0"/>
    <x v="0"/>
    <x v="0"/>
    <x v="5"/>
    <x v="9"/>
    <s v="LT_VilU"/>
    <x v="3"/>
    <x v="4"/>
    <x v="4"/>
    <s v="GNR_CC_NGAS_CND_E-58"/>
    <x v="8"/>
    <n v="4.4829451803499998"/>
  </r>
  <r>
    <x v="0"/>
    <x v="0"/>
    <x v="0"/>
    <x v="5"/>
    <x v="9"/>
    <s v="LT_VilU"/>
    <x v="3"/>
    <x v="4"/>
    <x v="4"/>
    <s v="GNR_ST_NGAS_CON_E-38"/>
    <x v="8"/>
    <n v="5.911576062"/>
  </r>
  <r>
    <x v="0"/>
    <x v="0"/>
    <x v="0"/>
    <x v="5"/>
    <x v="9"/>
    <s v="LT_VilU"/>
    <x v="19"/>
    <x v="1"/>
    <x v="1"/>
    <s v="VILNIUS_ST_WOOD_BP"/>
    <x v="8"/>
    <n v="0.73894697709000001"/>
  </r>
  <r>
    <x v="0"/>
    <x v="0"/>
    <x v="0"/>
    <x v="6"/>
    <x v="10"/>
    <s v="NL_A"/>
    <x v="23"/>
    <x v="4"/>
    <x v="4"/>
    <s v="GNR_ST_NUCL_CND_E-33"/>
    <x v="8"/>
    <n v="64.991228399999997"/>
  </r>
  <r>
    <x v="0"/>
    <x v="0"/>
    <x v="0"/>
    <x v="6"/>
    <x v="10"/>
    <s v="NL_A"/>
    <x v="7"/>
    <x v="5"/>
    <x v="5"/>
    <s v="GNR_PV_SUN"/>
    <x v="8"/>
    <n v="8.2383024100955105"/>
  </r>
  <r>
    <x v="0"/>
    <x v="0"/>
    <x v="0"/>
    <x v="6"/>
    <x v="10"/>
    <s v="NL_A"/>
    <x v="8"/>
    <x v="6"/>
    <x v="6"/>
    <s v="GNR_ROR_WTR"/>
    <x v="8"/>
    <n v="0.85707034482758704"/>
  </r>
  <r>
    <x v="0"/>
    <x v="0"/>
    <x v="0"/>
    <x v="6"/>
    <x v="10"/>
    <s v="NL_A"/>
    <x v="9"/>
    <x v="5"/>
    <x v="7"/>
    <s v="GNR_WT_WIND_OFF"/>
    <x v="8"/>
    <n v="45.692282937839998"/>
  </r>
  <r>
    <x v="0"/>
    <x v="0"/>
    <x v="0"/>
    <x v="6"/>
    <x v="10"/>
    <s v="NL_A"/>
    <x v="9"/>
    <x v="5"/>
    <x v="7"/>
    <s v="GNR_WT_WIND_ONS"/>
    <x v="8"/>
    <n v="59.434397245440003"/>
  </r>
  <r>
    <x v="0"/>
    <x v="0"/>
    <x v="0"/>
    <x v="7"/>
    <x v="11"/>
    <s v="NO1_A1"/>
    <x v="8"/>
    <x v="6"/>
    <x v="12"/>
    <s v="GNR_RES_WTR_NOPMP_MC-01"/>
    <x v="8"/>
    <n v="3.6087172413793098"/>
  </r>
  <r>
    <x v="0"/>
    <x v="0"/>
    <x v="0"/>
    <x v="7"/>
    <x v="11"/>
    <s v="NO1_A1"/>
    <x v="8"/>
    <x v="6"/>
    <x v="12"/>
    <s v="GNR_RES_WTR_NOPMP_MC-02"/>
    <x v="8"/>
    <n v="3.6087172413793098"/>
  </r>
  <r>
    <x v="0"/>
    <x v="0"/>
    <x v="0"/>
    <x v="7"/>
    <x v="11"/>
    <s v="NO1_A1"/>
    <x v="8"/>
    <x v="6"/>
    <x v="12"/>
    <s v="GNR_RES_WTR_NOPMP_MC-03"/>
    <x v="8"/>
    <n v="3.6087172413793098"/>
  </r>
  <r>
    <x v="0"/>
    <x v="0"/>
    <x v="0"/>
    <x v="7"/>
    <x v="11"/>
    <s v="NO1_A1"/>
    <x v="8"/>
    <x v="6"/>
    <x v="12"/>
    <s v="GNR_RES_WTR_NOPMP_MC-04"/>
    <x v="8"/>
    <n v="3.6087172413793098"/>
  </r>
  <r>
    <x v="0"/>
    <x v="0"/>
    <x v="0"/>
    <x v="7"/>
    <x v="11"/>
    <s v="NO1_A1"/>
    <x v="8"/>
    <x v="6"/>
    <x v="12"/>
    <s v="GNR_RES_WTR_NOPMP_MC-05"/>
    <x v="8"/>
    <n v="3.6087172413793098"/>
  </r>
  <r>
    <x v="0"/>
    <x v="0"/>
    <x v="0"/>
    <x v="7"/>
    <x v="11"/>
    <s v="NO1_A1"/>
    <x v="8"/>
    <x v="6"/>
    <x v="12"/>
    <s v="GNR_RES_WTR_NOPMP_MC-06"/>
    <x v="8"/>
    <n v="3.6087172413793098"/>
  </r>
  <r>
    <x v="0"/>
    <x v="0"/>
    <x v="0"/>
    <x v="7"/>
    <x v="11"/>
    <s v="NO1_A1"/>
    <x v="8"/>
    <x v="6"/>
    <x v="12"/>
    <s v="GNR_RES_WTR_NOPMP_MC-07"/>
    <x v="8"/>
    <n v="3.6087172413793098"/>
  </r>
  <r>
    <x v="0"/>
    <x v="0"/>
    <x v="0"/>
    <x v="7"/>
    <x v="11"/>
    <s v="NO1_A1"/>
    <x v="8"/>
    <x v="6"/>
    <x v="12"/>
    <s v="GNR_RES_WTR_NOPMP_MC-08"/>
    <x v="8"/>
    <n v="3.6087172413793098"/>
  </r>
  <r>
    <x v="0"/>
    <x v="0"/>
    <x v="0"/>
    <x v="7"/>
    <x v="11"/>
    <s v="NO1_A1"/>
    <x v="8"/>
    <x v="6"/>
    <x v="12"/>
    <s v="GNR_RES_WTR_NOPMP_MC-09"/>
    <x v="8"/>
    <n v="3.6087172413793098"/>
  </r>
  <r>
    <x v="0"/>
    <x v="0"/>
    <x v="0"/>
    <x v="7"/>
    <x v="11"/>
    <s v="NO1_A1"/>
    <x v="8"/>
    <x v="6"/>
    <x v="12"/>
    <s v="GNR_RES_WTR_NOPMP_MC-10"/>
    <x v="8"/>
    <n v="3.6087172413793098"/>
  </r>
  <r>
    <x v="0"/>
    <x v="0"/>
    <x v="0"/>
    <x v="7"/>
    <x v="11"/>
    <s v="NO1_A1"/>
    <x v="8"/>
    <x v="6"/>
    <x v="6"/>
    <s v="GNR_ROR_WTR"/>
    <x v="8"/>
    <n v="47.457572828689699"/>
  </r>
  <r>
    <x v="0"/>
    <x v="0"/>
    <x v="0"/>
    <x v="7"/>
    <x v="11"/>
    <s v="NO1_A1"/>
    <x v="9"/>
    <x v="5"/>
    <x v="7"/>
    <s v="GNR_WT_WIND_ONS"/>
    <x v="8"/>
    <n v="6.7176632319999996"/>
  </r>
  <r>
    <x v="0"/>
    <x v="0"/>
    <x v="0"/>
    <x v="7"/>
    <x v="11"/>
    <s v="NO1_A2"/>
    <x v="1"/>
    <x v="7"/>
    <x v="11"/>
    <s v="GNR_BO_BGAS_E-90"/>
    <x v="8"/>
    <n v="5.4084240000000002E-3"/>
  </r>
  <r>
    <x v="0"/>
    <x v="0"/>
    <x v="0"/>
    <x v="7"/>
    <x v="11"/>
    <s v="NO1_A2"/>
    <x v="10"/>
    <x v="7"/>
    <x v="11"/>
    <s v="GNR_BO_COAL_E-90"/>
    <x v="8"/>
    <n v="5.2244640000000002E-2"/>
  </r>
  <r>
    <x v="0"/>
    <x v="0"/>
    <x v="0"/>
    <x v="7"/>
    <x v="11"/>
    <s v="NO1_A2"/>
    <x v="6"/>
    <x v="2"/>
    <x v="2"/>
    <s v="GNR_BO_ELEC_E-99"/>
    <x v="8"/>
    <n v="4.2526237600000003E-2"/>
  </r>
  <r>
    <x v="0"/>
    <x v="0"/>
    <x v="0"/>
    <x v="7"/>
    <x v="11"/>
    <s v="NO1_A2"/>
    <x v="6"/>
    <x v="2"/>
    <x v="2"/>
    <s v="GNR_HP_ELEC_COP-270"/>
    <x v="8"/>
    <n v="0.14402432800000001"/>
  </r>
  <r>
    <x v="0"/>
    <x v="0"/>
    <x v="0"/>
    <x v="7"/>
    <x v="11"/>
    <s v="NO1_A2"/>
    <x v="17"/>
    <x v="7"/>
    <x v="11"/>
    <s v="GNR_BO_FUELOIL_E-90"/>
    <x v="8"/>
    <n v="0.237169408"/>
  </r>
  <r>
    <x v="0"/>
    <x v="0"/>
    <x v="0"/>
    <x v="7"/>
    <x v="11"/>
    <s v="NO1_A2"/>
    <x v="25"/>
    <x v="7"/>
    <x v="11"/>
    <s v="GNR_BO_LNG_E-90"/>
    <x v="8"/>
    <n v="0.261996854"/>
  </r>
  <r>
    <x v="0"/>
    <x v="0"/>
    <x v="0"/>
    <x v="7"/>
    <x v="11"/>
    <s v="NO1_A2"/>
    <x v="2"/>
    <x v="7"/>
    <x v="11"/>
    <s v="GNR_BO_MSW_E-90"/>
    <x v="8"/>
    <n v="0.26255895983823802"/>
  </r>
  <r>
    <x v="0"/>
    <x v="0"/>
    <x v="0"/>
    <x v="7"/>
    <x v="11"/>
    <s v="NO1_A2"/>
    <x v="2"/>
    <x v="1"/>
    <x v="1"/>
    <s v="GNR_ST_MSW_BP_CB-20"/>
    <x v="8"/>
    <n v="0.68106080000000002"/>
  </r>
  <r>
    <x v="0"/>
    <x v="0"/>
    <x v="0"/>
    <x v="7"/>
    <x v="11"/>
    <s v="NO1_A2"/>
    <x v="5"/>
    <x v="7"/>
    <x v="11"/>
    <s v="GNR_BO_WOODCHI_E-90"/>
    <x v="8"/>
    <n v="1.4543201235572101"/>
  </r>
  <r>
    <x v="0"/>
    <x v="0"/>
    <x v="0"/>
    <x v="7"/>
    <x v="11"/>
    <s v="NO1_A2"/>
    <x v="16"/>
    <x v="7"/>
    <x v="11"/>
    <s v="GNR_BO_WOODPEL_E-90"/>
    <x v="8"/>
    <n v="3.066E-2"/>
  </r>
  <r>
    <x v="0"/>
    <x v="0"/>
    <x v="0"/>
    <x v="7"/>
    <x v="11"/>
    <s v="NO1_A2"/>
    <x v="13"/>
    <x v="7"/>
    <x v="11"/>
    <s v="GNR_BO_WOODWST_E-90"/>
    <x v="8"/>
    <n v="0.77074454115367497"/>
  </r>
  <r>
    <x v="0"/>
    <x v="0"/>
    <x v="0"/>
    <x v="7"/>
    <x v="11"/>
    <s v="NO1_A3"/>
    <x v="14"/>
    <x v="7"/>
    <x v="11"/>
    <s v="GNR_BO_BIOIL_E-90"/>
    <x v="8"/>
    <n v="0.11598064800000001"/>
  </r>
  <r>
    <x v="0"/>
    <x v="0"/>
    <x v="0"/>
    <x v="7"/>
    <x v="11"/>
    <s v="NO1_A3"/>
    <x v="6"/>
    <x v="2"/>
    <x v="2"/>
    <s v="GNR_BO_ELEC_E-99"/>
    <x v="8"/>
    <n v="0.11292589"/>
  </r>
  <r>
    <x v="0"/>
    <x v="0"/>
    <x v="0"/>
    <x v="7"/>
    <x v="11"/>
    <s v="NO1_A3"/>
    <x v="6"/>
    <x v="2"/>
    <x v="2"/>
    <s v="GNR_HP_ELEC_COP-270"/>
    <x v="8"/>
    <n v="2.5038999999999999E-2"/>
  </r>
  <r>
    <x v="0"/>
    <x v="0"/>
    <x v="0"/>
    <x v="7"/>
    <x v="11"/>
    <s v="NO1_A3"/>
    <x v="17"/>
    <x v="7"/>
    <x v="11"/>
    <s v="GNR_BO_FUELOIL_E-90"/>
    <x v="8"/>
    <n v="0.27002057600000001"/>
  </r>
  <r>
    <x v="0"/>
    <x v="0"/>
    <x v="0"/>
    <x v="7"/>
    <x v="11"/>
    <s v="NO1_A3"/>
    <x v="25"/>
    <x v="7"/>
    <x v="11"/>
    <s v="GNR_BO_LNG_E-90"/>
    <x v="8"/>
    <n v="0.40614382199999999"/>
  </r>
  <r>
    <x v="0"/>
    <x v="0"/>
    <x v="0"/>
    <x v="7"/>
    <x v="11"/>
    <s v="NO1_A3"/>
    <x v="2"/>
    <x v="7"/>
    <x v="11"/>
    <s v="GNR_BO_MSW_E-90"/>
    <x v="8"/>
    <n v="1.1264626341446999"/>
  </r>
  <r>
    <x v="0"/>
    <x v="0"/>
    <x v="0"/>
    <x v="7"/>
    <x v="11"/>
    <s v="NO1_A3"/>
    <x v="2"/>
    <x v="1"/>
    <x v="1"/>
    <s v="GNR_ST_MSW_BP_CB-20"/>
    <x v="8"/>
    <n v="1.5440716666666701"/>
  </r>
  <r>
    <x v="0"/>
    <x v="0"/>
    <x v="0"/>
    <x v="7"/>
    <x v="11"/>
    <s v="NO1_A3"/>
    <x v="16"/>
    <x v="7"/>
    <x v="11"/>
    <s v="GNR_BO_WOODPEL_E-90"/>
    <x v="8"/>
    <n v="7.1437799999999996E-2"/>
  </r>
  <r>
    <x v="0"/>
    <x v="0"/>
    <x v="0"/>
    <x v="7"/>
    <x v="11"/>
    <s v="NO1_A3"/>
    <x v="13"/>
    <x v="7"/>
    <x v="11"/>
    <s v="GNR_BO_WOODWST_E-90"/>
    <x v="8"/>
    <n v="0.23366463464839901"/>
  </r>
  <r>
    <x v="0"/>
    <x v="0"/>
    <x v="0"/>
    <x v="7"/>
    <x v="12"/>
    <s v="NO2_A1"/>
    <x v="8"/>
    <x v="6"/>
    <x v="12"/>
    <s v="GNR_RES_WTR_NOPMP_MC-01"/>
    <x v="8"/>
    <n v="8.2818268906143402"/>
  </r>
  <r>
    <x v="0"/>
    <x v="0"/>
    <x v="0"/>
    <x v="7"/>
    <x v="12"/>
    <s v="NO2_A1"/>
    <x v="8"/>
    <x v="6"/>
    <x v="12"/>
    <s v="GNR_RES_WTR_NOPMP_MC-02"/>
    <x v="8"/>
    <n v="20.010157925097101"/>
  </r>
  <r>
    <x v="0"/>
    <x v="0"/>
    <x v="0"/>
    <x v="7"/>
    <x v="12"/>
    <s v="NO2_A1"/>
    <x v="8"/>
    <x v="6"/>
    <x v="12"/>
    <s v="GNR_RES_WTR_NOPMP_MC-03"/>
    <x v="8"/>
    <n v="20.010157925097101"/>
  </r>
  <r>
    <x v="0"/>
    <x v="0"/>
    <x v="0"/>
    <x v="7"/>
    <x v="12"/>
    <s v="NO2_A1"/>
    <x v="8"/>
    <x v="6"/>
    <x v="12"/>
    <s v="GNR_RES_WTR_NOPMP_MC-04"/>
    <x v="8"/>
    <n v="20.010157925097101"/>
  </r>
  <r>
    <x v="0"/>
    <x v="0"/>
    <x v="0"/>
    <x v="7"/>
    <x v="12"/>
    <s v="NO2_A1"/>
    <x v="8"/>
    <x v="6"/>
    <x v="12"/>
    <s v="GNR_RES_WTR_NOPMP_MC-05"/>
    <x v="8"/>
    <n v="20.010157925097101"/>
  </r>
  <r>
    <x v="0"/>
    <x v="0"/>
    <x v="0"/>
    <x v="7"/>
    <x v="12"/>
    <s v="NO2_A1"/>
    <x v="8"/>
    <x v="6"/>
    <x v="12"/>
    <s v="GNR_RES_WTR_NOPMP_MC-06"/>
    <x v="8"/>
    <n v="20.010157925097101"/>
  </r>
  <r>
    <x v="0"/>
    <x v="0"/>
    <x v="0"/>
    <x v="7"/>
    <x v="12"/>
    <s v="NO2_A1"/>
    <x v="8"/>
    <x v="6"/>
    <x v="12"/>
    <s v="GNR_RES_WTR_NOPMP_MC-07"/>
    <x v="8"/>
    <n v="20.010157925097101"/>
  </r>
  <r>
    <x v="0"/>
    <x v="0"/>
    <x v="0"/>
    <x v="7"/>
    <x v="12"/>
    <s v="NO2_A1"/>
    <x v="8"/>
    <x v="6"/>
    <x v="12"/>
    <s v="GNR_RES_WTR_NOPMP_MC-08"/>
    <x v="8"/>
    <n v="20.010157925097101"/>
  </r>
  <r>
    <x v="0"/>
    <x v="0"/>
    <x v="0"/>
    <x v="7"/>
    <x v="12"/>
    <s v="NO2_A1"/>
    <x v="8"/>
    <x v="6"/>
    <x v="12"/>
    <s v="GNR_RES_WTR_NOPMP_MC-09"/>
    <x v="8"/>
    <n v="20.010157925097101"/>
  </r>
  <r>
    <x v="0"/>
    <x v="0"/>
    <x v="0"/>
    <x v="7"/>
    <x v="12"/>
    <s v="NO2_A1"/>
    <x v="8"/>
    <x v="6"/>
    <x v="12"/>
    <s v="GNR_RES_WTR_NOPMP_MC-10"/>
    <x v="8"/>
    <n v="20.010157925097101"/>
  </r>
  <r>
    <x v="0"/>
    <x v="0"/>
    <x v="0"/>
    <x v="7"/>
    <x v="12"/>
    <s v="NO2_A1"/>
    <x v="8"/>
    <x v="6"/>
    <x v="12"/>
    <s v="GNR_RES_WTR_PMP_MC-01"/>
    <x v="8"/>
    <n v="11.7283310344828"/>
  </r>
  <r>
    <x v="0"/>
    <x v="0"/>
    <x v="0"/>
    <x v="7"/>
    <x v="12"/>
    <s v="NO2_A1"/>
    <x v="8"/>
    <x v="6"/>
    <x v="6"/>
    <s v="GNR_ROR_WTR"/>
    <x v="8"/>
    <n v="51.292458358960097"/>
  </r>
  <r>
    <x v="0"/>
    <x v="0"/>
    <x v="0"/>
    <x v="7"/>
    <x v="12"/>
    <s v="NO2_A1"/>
    <x v="9"/>
    <x v="5"/>
    <x v="7"/>
    <s v="GNR_WT_WIND_ONS"/>
    <x v="8"/>
    <n v="28.137265766399999"/>
  </r>
  <r>
    <x v="0"/>
    <x v="0"/>
    <x v="0"/>
    <x v="7"/>
    <x v="12"/>
    <s v="NO2_A2"/>
    <x v="1"/>
    <x v="7"/>
    <x v="11"/>
    <s v="GNR_BO_BGAS_E-90"/>
    <x v="8"/>
    <n v="1.0015600000000001E-3"/>
  </r>
  <r>
    <x v="0"/>
    <x v="0"/>
    <x v="0"/>
    <x v="7"/>
    <x v="12"/>
    <s v="NO2_A2"/>
    <x v="10"/>
    <x v="7"/>
    <x v="11"/>
    <s v="GNR_BO_COAL_E-90"/>
    <x v="8"/>
    <n v="7.7263200000000001E-3"/>
  </r>
  <r>
    <x v="0"/>
    <x v="0"/>
    <x v="0"/>
    <x v="7"/>
    <x v="12"/>
    <s v="NO2_A2"/>
    <x v="6"/>
    <x v="2"/>
    <x v="2"/>
    <s v="GNR_BO_ELEC_E-99"/>
    <x v="8"/>
    <n v="1.9830888000000001E-2"/>
  </r>
  <r>
    <x v="0"/>
    <x v="0"/>
    <x v="0"/>
    <x v="7"/>
    <x v="12"/>
    <s v="NO2_A2"/>
    <x v="6"/>
    <x v="2"/>
    <x v="2"/>
    <s v="GNR_HP_ELEC_COP-270"/>
    <x v="8"/>
    <n v="1.6024959999999999E-3"/>
  </r>
  <r>
    <x v="0"/>
    <x v="0"/>
    <x v="0"/>
    <x v="7"/>
    <x v="12"/>
    <s v="NO2_A2"/>
    <x v="17"/>
    <x v="7"/>
    <x v="11"/>
    <s v="GNR_BO_FUELOIL_E-90"/>
    <x v="8"/>
    <n v="3.3852727999999999E-2"/>
  </r>
  <r>
    <x v="0"/>
    <x v="0"/>
    <x v="0"/>
    <x v="7"/>
    <x v="12"/>
    <s v="NO2_A2"/>
    <x v="25"/>
    <x v="7"/>
    <x v="11"/>
    <s v="GNR_BO_LNG_E-90"/>
    <x v="8"/>
    <n v="8.1813144000000004E-2"/>
  </r>
  <r>
    <x v="0"/>
    <x v="0"/>
    <x v="0"/>
    <x v="7"/>
    <x v="12"/>
    <s v="NO2_A2"/>
    <x v="2"/>
    <x v="1"/>
    <x v="1"/>
    <s v="GNR_ST_MSW_BP_CB-30"/>
    <x v="8"/>
    <n v="0.90140399999999998"/>
  </r>
  <r>
    <x v="0"/>
    <x v="0"/>
    <x v="0"/>
    <x v="7"/>
    <x v="12"/>
    <s v="NO2_A2"/>
    <x v="3"/>
    <x v="7"/>
    <x v="11"/>
    <s v="GNR_BO_NGAS_E-90"/>
    <x v="8"/>
    <n v="0.30485135800000002"/>
  </r>
  <r>
    <x v="0"/>
    <x v="0"/>
    <x v="0"/>
    <x v="7"/>
    <x v="12"/>
    <s v="NO2_A2"/>
    <x v="5"/>
    <x v="7"/>
    <x v="11"/>
    <s v="GNR_BO_WOODCHI_E-90"/>
    <x v="8"/>
    <n v="6.3926159277240102E-2"/>
  </r>
  <r>
    <x v="0"/>
    <x v="0"/>
    <x v="0"/>
    <x v="7"/>
    <x v="12"/>
    <s v="NO2_A2"/>
    <x v="16"/>
    <x v="7"/>
    <x v="11"/>
    <s v="GNR_BO_WOODPEL_E-90"/>
    <x v="8"/>
    <n v="2.8207200000000002E-2"/>
  </r>
  <r>
    <x v="0"/>
    <x v="0"/>
    <x v="0"/>
    <x v="7"/>
    <x v="12"/>
    <s v="NO2_A2"/>
    <x v="13"/>
    <x v="7"/>
    <x v="11"/>
    <s v="GNR_BO_WOODWST_E-90"/>
    <x v="8"/>
    <n v="0.92768347487274905"/>
  </r>
  <r>
    <x v="0"/>
    <x v="0"/>
    <x v="0"/>
    <x v="7"/>
    <x v="13"/>
    <s v="NO3_A1"/>
    <x v="8"/>
    <x v="6"/>
    <x v="12"/>
    <s v="GNR_RES_WTR_NOPMP_MC-01"/>
    <x v="8"/>
    <n v="5.0036333674124602"/>
  </r>
  <r>
    <x v="0"/>
    <x v="0"/>
    <x v="0"/>
    <x v="7"/>
    <x v="13"/>
    <s v="NO3_A1"/>
    <x v="8"/>
    <x v="6"/>
    <x v="12"/>
    <s v="GNR_RES_WTR_NOPMP_MC-02"/>
    <x v="8"/>
    <n v="6.3636686777572899"/>
  </r>
  <r>
    <x v="0"/>
    <x v="0"/>
    <x v="0"/>
    <x v="7"/>
    <x v="13"/>
    <s v="NO3_A1"/>
    <x v="8"/>
    <x v="6"/>
    <x v="12"/>
    <s v="GNR_RES_WTR_NOPMP_MC-03"/>
    <x v="8"/>
    <n v="6.3636686777572899"/>
  </r>
  <r>
    <x v="0"/>
    <x v="0"/>
    <x v="0"/>
    <x v="7"/>
    <x v="13"/>
    <s v="NO3_A1"/>
    <x v="8"/>
    <x v="6"/>
    <x v="12"/>
    <s v="GNR_RES_WTR_NOPMP_MC-04"/>
    <x v="8"/>
    <n v="6.3636686777572899"/>
  </r>
  <r>
    <x v="0"/>
    <x v="0"/>
    <x v="0"/>
    <x v="7"/>
    <x v="13"/>
    <s v="NO3_A1"/>
    <x v="8"/>
    <x v="6"/>
    <x v="12"/>
    <s v="GNR_RES_WTR_NOPMP_MC-05"/>
    <x v="8"/>
    <n v="6.3636686777572899"/>
  </r>
  <r>
    <x v="0"/>
    <x v="0"/>
    <x v="0"/>
    <x v="7"/>
    <x v="13"/>
    <s v="NO3_A1"/>
    <x v="8"/>
    <x v="6"/>
    <x v="12"/>
    <s v="GNR_RES_WTR_NOPMP_MC-06"/>
    <x v="8"/>
    <n v="6.3636686777572899"/>
  </r>
  <r>
    <x v="0"/>
    <x v="0"/>
    <x v="0"/>
    <x v="7"/>
    <x v="13"/>
    <s v="NO3_A1"/>
    <x v="8"/>
    <x v="6"/>
    <x v="12"/>
    <s v="GNR_RES_WTR_NOPMP_MC-07"/>
    <x v="8"/>
    <n v="6.3636686777572899"/>
  </r>
  <r>
    <x v="0"/>
    <x v="0"/>
    <x v="0"/>
    <x v="7"/>
    <x v="13"/>
    <s v="NO3_A1"/>
    <x v="8"/>
    <x v="6"/>
    <x v="12"/>
    <s v="GNR_RES_WTR_NOPMP_MC-08"/>
    <x v="8"/>
    <n v="6.3636686777572899"/>
  </r>
  <r>
    <x v="0"/>
    <x v="0"/>
    <x v="0"/>
    <x v="7"/>
    <x v="13"/>
    <s v="NO3_A1"/>
    <x v="8"/>
    <x v="6"/>
    <x v="12"/>
    <s v="GNR_RES_WTR_NOPMP_MC-09"/>
    <x v="8"/>
    <n v="6.3636686777572899"/>
  </r>
  <r>
    <x v="0"/>
    <x v="0"/>
    <x v="0"/>
    <x v="7"/>
    <x v="13"/>
    <s v="NO3_A1"/>
    <x v="8"/>
    <x v="6"/>
    <x v="12"/>
    <s v="GNR_RES_WTR_NOPMP_MC-10"/>
    <x v="8"/>
    <n v="6.3636686777572899"/>
  </r>
  <r>
    <x v="0"/>
    <x v="0"/>
    <x v="0"/>
    <x v="7"/>
    <x v="13"/>
    <s v="NO3_A1"/>
    <x v="8"/>
    <x v="6"/>
    <x v="12"/>
    <s v="GNR_RES_WTR_PMP_MC-01"/>
    <x v="8"/>
    <n v="1.3600353103448299"/>
  </r>
  <r>
    <x v="0"/>
    <x v="0"/>
    <x v="0"/>
    <x v="7"/>
    <x v="13"/>
    <s v="NO3_A1"/>
    <x v="8"/>
    <x v="6"/>
    <x v="6"/>
    <s v="GNR_ROR_WTR"/>
    <x v="8"/>
    <n v="41.3177952174617"/>
  </r>
  <r>
    <x v="0"/>
    <x v="0"/>
    <x v="0"/>
    <x v="7"/>
    <x v="13"/>
    <s v="NO3_A1"/>
    <x v="9"/>
    <x v="5"/>
    <x v="7"/>
    <s v="GNR_WT_WIND_ONS"/>
    <x v="8"/>
    <n v="19.617115033600001"/>
  </r>
  <r>
    <x v="0"/>
    <x v="0"/>
    <x v="0"/>
    <x v="7"/>
    <x v="13"/>
    <s v="NO3_A2"/>
    <x v="10"/>
    <x v="7"/>
    <x v="11"/>
    <s v="GNR_BO_COAL_E-90"/>
    <x v="8"/>
    <n v="5.8867199999999998E-3"/>
  </r>
  <r>
    <x v="0"/>
    <x v="0"/>
    <x v="0"/>
    <x v="7"/>
    <x v="13"/>
    <s v="NO3_A2"/>
    <x v="6"/>
    <x v="2"/>
    <x v="2"/>
    <s v="GNR_BO_ELEC_E-99"/>
    <x v="8"/>
    <n v="1.18985328E-2"/>
  </r>
  <r>
    <x v="0"/>
    <x v="0"/>
    <x v="0"/>
    <x v="7"/>
    <x v="13"/>
    <s v="NO3_A2"/>
    <x v="6"/>
    <x v="2"/>
    <x v="2"/>
    <s v="GNR_HP_ELEC_COP-270"/>
    <x v="8"/>
    <n v="9.6149760000000008E-3"/>
  </r>
  <r>
    <x v="0"/>
    <x v="0"/>
    <x v="0"/>
    <x v="7"/>
    <x v="13"/>
    <s v="NO3_A2"/>
    <x v="17"/>
    <x v="7"/>
    <x v="11"/>
    <s v="GNR_BO_FUELOIL_E-90"/>
    <x v="8"/>
    <n v="2.4638376E-2"/>
  </r>
  <r>
    <x v="0"/>
    <x v="0"/>
    <x v="0"/>
    <x v="7"/>
    <x v="13"/>
    <s v="NO3_A2"/>
    <x v="25"/>
    <x v="7"/>
    <x v="11"/>
    <s v="GNR_BO_LNG_E-90"/>
    <x v="8"/>
    <n v="0.112980056"/>
  </r>
  <r>
    <x v="0"/>
    <x v="0"/>
    <x v="0"/>
    <x v="7"/>
    <x v="13"/>
    <s v="NO3_A2"/>
    <x v="2"/>
    <x v="1"/>
    <x v="1"/>
    <s v="GNR_ST_MSW_BP_CB-20"/>
    <x v="8"/>
    <n v="0.36056159999999998"/>
  </r>
  <r>
    <x v="0"/>
    <x v="0"/>
    <x v="0"/>
    <x v="7"/>
    <x v="13"/>
    <s v="NO3_A2"/>
    <x v="5"/>
    <x v="7"/>
    <x v="11"/>
    <s v="GNR_BO_WOODCHI_E-90"/>
    <x v="8"/>
    <n v="0.17579693801241"/>
  </r>
  <r>
    <x v="0"/>
    <x v="0"/>
    <x v="0"/>
    <x v="7"/>
    <x v="13"/>
    <s v="NO3_A2"/>
    <x v="16"/>
    <x v="7"/>
    <x v="11"/>
    <s v="GNR_BO_WOODPEL_E-90"/>
    <x v="8"/>
    <n v="2.20752E-2"/>
  </r>
  <r>
    <x v="0"/>
    <x v="0"/>
    <x v="0"/>
    <x v="7"/>
    <x v="13"/>
    <s v="NO3_A3"/>
    <x v="1"/>
    <x v="7"/>
    <x v="11"/>
    <s v="GNR_BO_BGAS_E-90"/>
    <x v="8"/>
    <n v="3.4053040000000001E-3"/>
  </r>
  <r>
    <x v="0"/>
    <x v="0"/>
    <x v="0"/>
    <x v="7"/>
    <x v="13"/>
    <s v="NO3_A3"/>
    <x v="6"/>
    <x v="2"/>
    <x v="2"/>
    <s v="GNR_BO_ELEC_E-99"/>
    <x v="8"/>
    <n v="4.0653320399999998E-2"/>
  </r>
  <r>
    <x v="0"/>
    <x v="0"/>
    <x v="0"/>
    <x v="7"/>
    <x v="13"/>
    <s v="NO3_A3"/>
    <x v="6"/>
    <x v="2"/>
    <x v="2"/>
    <s v="GNR_HP_ELEC_COP-270"/>
    <x v="8"/>
    <n v="8.0124799999999996E-4"/>
  </r>
  <r>
    <x v="0"/>
    <x v="0"/>
    <x v="0"/>
    <x v="7"/>
    <x v="13"/>
    <s v="NO3_A3"/>
    <x v="17"/>
    <x v="7"/>
    <x v="11"/>
    <s v="GNR_BO_FUELOIL_E-90"/>
    <x v="8"/>
    <n v="4.4669576000000003E-2"/>
  </r>
  <r>
    <x v="0"/>
    <x v="0"/>
    <x v="0"/>
    <x v="7"/>
    <x v="13"/>
    <s v="NO3_A3"/>
    <x v="25"/>
    <x v="7"/>
    <x v="11"/>
    <s v="GNR_BO_LNG_E-90"/>
    <x v="8"/>
    <n v="0.41490951599999998"/>
  </r>
  <r>
    <x v="0"/>
    <x v="0"/>
    <x v="0"/>
    <x v="7"/>
    <x v="13"/>
    <s v="NO3_A3"/>
    <x v="2"/>
    <x v="7"/>
    <x v="11"/>
    <s v="GNR_BO_MSW_E-90"/>
    <x v="8"/>
    <n v="2.4731360087988801"/>
  </r>
  <r>
    <x v="0"/>
    <x v="0"/>
    <x v="0"/>
    <x v="7"/>
    <x v="13"/>
    <s v="NO3_A3"/>
    <x v="5"/>
    <x v="7"/>
    <x v="11"/>
    <s v="GNR_BO_WOODCHI_E-90"/>
    <x v="8"/>
    <n v="0.215750787560685"/>
  </r>
  <r>
    <x v="0"/>
    <x v="0"/>
    <x v="0"/>
    <x v="7"/>
    <x v="14"/>
    <s v="NO4_A1"/>
    <x v="3"/>
    <x v="1"/>
    <x v="1"/>
    <s v="GNR_GT_NGAS_BP_E-39"/>
    <x v="8"/>
    <n v="4.3067080000000004"/>
  </r>
  <r>
    <x v="0"/>
    <x v="0"/>
    <x v="0"/>
    <x v="7"/>
    <x v="14"/>
    <s v="NO4_A1"/>
    <x v="8"/>
    <x v="6"/>
    <x v="12"/>
    <s v="GNR_RES_WTR_NOPMP_MC-01"/>
    <x v="8"/>
    <n v="9.4630408118988907"/>
  </r>
  <r>
    <x v="0"/>
    <x v="0"/>
    <x v="0"/>
    <x v="7"/>
    <x v="14"/>
    <s v="NO4_A1"/>
    <x v="8"/>
    <x v="6"/>
    <x v="12"/>
    <s v="GNR_RES_WTR_NOPMP_MC-02"/>
    <x v="8"/>
    <n v="9.4630408118988907"/>
  </r>
  <r>
    <x v="0"/>
    <x v="0"/>
    <x v="0"/>
    <x v="7"/>
    <x v="14"/>
    <s v="NO4_A1"/>
    <x v="8"/>
    <x v="6"/>
    <x v="12"/>
    <s v="GNR_RES_WTR_NOPMP_MC-03"/>
    <x v="8"/>
    <n v="9.4630408118988907"/>
  </r>
  <r>
    <x v="0"/>
    <x v="0"/>
    <x v="0"/>
    <x v="7"/>
    <x v="14"/>
    <s v="NO4_A1"/>
    <x v="8"/>
    <x v="6"/>
    <x v="12"/>
    <s v="GNR_RES_WTR_NOPMP_MC-04"/>
    <x v="8"/>
    <n v="9.4630408118988907"/>
  </r>
  <r>
    <x v="0"/>
    <x v="0"/>
    <x v="0"/>
    <x v="7"/>
    <x v="14"/>
    <s v="NO4_A1"/>
    <x v="8"/>
    <x v="6"/>
    <x v="12"/>
    <s v="GNR_RES_WTR_NOPMP_MC-05"/>
    <x v="8"/>
    <n v="9.4630408118988907"/>
  </r>
  <r>
    <x v="0"/>
    <x v="0"/>
    <x v="0"/>
    <x v="7"/>
    <x v="14"/>
    <s v="NO4_A1"/>
    <x v="8"/>
    <x v="6"/>
    <x v="12"/>
    <s v="GNR_RES_WTR_NOPMP_MC-06"/>
    <x v="8"/>
    <n v="9.4630408118988907"/>
  </r>
  <r>
    <x v="0"/>
    <x v="0"/>
    <x v="0"/>
    <x v="7"/>
    <x v="14"/>
    <s v="NO4_A1"/>
    <x v="8"/>
    <x v="6"/>
    <x v="12"/>
    <s v="GNR_RES_WTR_NOPMP_MC-07"/>
    <x v="8"/>
    <n v="9.4630408118988907"/>
  </r>
  <r>
    <x v="0"/>
    <x v="0"/>
    <x v="0"/>
    <x v="7"/>
    <x v="14"/>
    <s v="NO4_A1"/>
    <x v="8"/>
    <x v="6"/>
    <x v="12"/>
    <s v="GNR_RES_WTR_NOPMP_MC-08"/>
    <x v="8"/>
    <n v="9.4630408118988907"/>
  </r>
  <r>
    <x v="0"/>
    <x v="0"/>
    <x v="0"/>
    <x v="7"/>
    <x v="14"/>
    <s v="NO4_A1"/>
    <x v="8"/>
    <x v="6"/>
    <x v="12"/>
    <s v="GNR_RES_WTR_NOPMP_MC-09"/>
    <x v="8"/>
    <n v="9.4630408118988907"/>
  </r>
  <r>
    <x v="0"/>
    <x v="0"/>
    <x v="0"/>
    <x v="7"/>
    <x v="14"/>
    <s v="NO4_A1"/>
    <x v="8"/>
    <x v="6"/>
    <x v="12"/>
    <s v="GNR_RES_WTR_NOPMP_MC-10"/>
    <x v="8"/>
    <n v="9.4630408118988907"/>
  </r>
  <r>
    <x v="0"/>
    <x v="0"/>
    <x v="0"/>
    <x v="7"/>
    <x v="14"/>
    <s v="NO4_A1"/>
    <x v="8"/>
    <x v="6"/>
    <x v="6"/>
    <s v="GNR_ROR_WTR"/>
    <x v="8"/>
    <n v="24.2796803819767"/>
  </r>
  <r>
    <x v="0"/>
    <x v="0"/>
    <x v="0"/>
    <x v="7"/>
    <x v="14"/>
    <s v="NO4_A1"/>
    <x v="9"/>
    <x v="5"/>
    <x v="7"/>
    <s v="GNR_WT_WIND_ONS"/>
    <x v="8"/>
    <n v="17.499256320000001"/>
  </r>
  <r>
    <x v="0"/>
    <x v="0"/>
    <x v="0"/>
    <x v="7"/>
    <x v="14"/>
    <s v="NO4_A2"/>
    <x v="10"/>
    <x v="7"/>
    <x v="11"/>
    <s v="GNR_BO_COAL_E-90"/>
    <x v="8"/>
    <n v="4.7829600000000002E-3"/>
  </r>
  <r>
    <x v="0"/>
    <x v="0"/>
    <x v="0"/>
    <x v="7"/>
    <x v="14"/>
    <s v="NO4_A2"/>
    <x v="6"/>
    <x v="2"/>
    <x v="2"/>
    <s v="GNR_BO_ELEC_E-99"/>
    <x v="8"/>
    <n v="1.8508828799999998E-2"/>
  </r>
  <r>
    <x v="0"/>
    <x v="0"/>
    <x v="0"/>
    <x v="7"/>
    <x v="14"/>
    <s v="NO4_A2"/>
    <x v="6"/>
    <x v="2"/>
    <x v="2"/>
    <s v="GNR_HP_ELEC_COP-270"/>
    <x v="8"/>
    <n v="5.4084240000000002E-3"/>
  </r>
  <r>
    <x v="0"/>
    <x v="0"/>
    <x v="0"/>
    <x v="7"/>
    <x v="14"/>
    <s v="NO4_A2"/>
    <x v="17"/>
    <x v="7"/>
    <x v="11"/>
    <s v="GNR_BO_FUELOIL_E-90"/>
    <x v="8"/>
    <n v="3.1849608000000001E-2"/>
  </r>
  <r>
    <x v="0"/>
    <x v="0"/>
    <x v="0"/>
    <x v="7"/>
    <x v="14"/>
    <s v="NO4_A2"/>
    <x v="25"/>
    <x v="7"/>
    <x v="11"/>
    <s v="GNR_BO_LNG_E-90"/>
    <x v="8"/>
    <n v="7.4995381999999999E-2"/>
  </r>
  <r>
    <x v="0"/>
    <x v="0"/>
    <x v="0"/>
    <x v="7"/>
    <x v="14"/>
    <s v="NO4_A2"/>
    <x v="2"/>
    <x v="7"/>
    <x v="11"/>
    <s v="GNR_BO_MSW_E-90"/>
    <x v="8"/>
    <n v="0.56746613900522302"/>
  </r>
  <r>
    <x v="0"/>
    <x v="0"/>
    <x v="0"/>
    <x v="7"/>
    <x v="14"/>
    <s v="NO4_A2"/>
    <x v="2"/>
    <x v="1"/>
    <x v="1"/>
    <s v="GNR_ST_MSW_BP_CB-20"/>
    <x v="8"/>
    <n v="2.0031199999999999E-2"/>
  </r>
  <r>
    <x v="0"/>
    <x v="0"/>
    <x v="0"/>
    <x v="7"/>
    <x v="14"/>
    <s v="NO4_A2"/>
    <x v="22"/>
    <x v="7"/>
    <x v="11"/>
    <s v="GNR_BO_BFG_E-90"/>
    <x v="8"/>
    <n v="8.0839177999999998E-2"/>
  </r>
  <r>
    <x v="0"/>
    <x v="0"/>
    <x v="0"/>
    <x v="7"/>
    <x v="14"/>
    <s v="NO4_A2"/>
    <x v="5"/>
    <x v="7"/>
    <x v="11"/>
    <s v="GNR_BO_WOODCHI_E-90"/>
    <x v="8"/>
    <n v="0.33960772116033799"/>
  </r>
  <r>
    <x v="0"/>
    <x v="0"/>
    <x v="0"/>
    <x v="7"/>
    <x v="15"/>
    <s v="NO5_A1"/>
    <x v="3"/>
    <x v="7"/>
    <x v="11"/>
    <s v="GNR_BO_NGAS_E-97"/>
    <x v="8"/>
    <n v="1.2018720000000001"/>
  </r>
  <r>
    <x v="0"/>
    <x v="0"/>
    <x v="0"/>
    <x v="7"/>
    <x v="15"/>
    <s v="NO5_A1"/>
    <x v="8"/>
    <x v="6"/>
    <x v="12"/>
    <s v="GNR_RES_WTR_NOPMP_MC-01"/>
    <x v="8"/>
    <n v="3.4777488156117302"/>
  </r>
  <r>
    <x v="0"/>
    <x v="0"/>
    <x v="0"/>
    <x v="7"/>
    <x v="15"/>
    <s v="NO5_A1"/>
    <x v="8"/>
    <x v="6"/>
    <x v="12"/>
    <s v="GNR_RES_WTR_NOPMP_MC-02"/>
    <x v="8"/>
    <n v="13.4919391604393"/>
  </r>
  <r>
    <x v="0"/>
    <x v="0"/>
    <x v="0"/>
    <x v="7"/>
    <x v="15"/>
    <s v="NO5_A1"/>
    <x v="8"/>
    <x v="6"/>
    <x v="12"/>
    <s v="GNR_RES_WTR_NOPMP_MC-03"/>
    <x v="8"/>
    <n v="13.4919391604393"/>
  </r>
  <r>
    <x v="0"/>
    <x v="0"/>
    <x v="0"/>
    <x v="7"/>
    <x v="15"/>
    <s v="NO5_A1"/>
    <x v="8"/>
    <x v="6"/>
    <x v="12"/>
    <s v="GNR_RES_WTR_NOPMP_MC-04"/>
    <x v="8"/>
    <n v="13.4919391604393"/>
  </r>
  <r>
    <x v="0"/>
    <x v="0"/>
    <x v="0"/>
    <x v="7"/>
    <x v="15"/>
    <s v="NO5_A1"/>
    <x v="8"/>
    <x v="6"/>
    <x v="12"/>
    <s v="GNR_RES_WTR_NOPMP_MC-05"/>
    <x v="8"/>
    <n v="13.4919391604393"/>
  </r>
  <r>
    <x v="0"/>
    <x v="0"/>
    <x v="0"/>
    <x v="7"/>
    <x v="15"/>
    <s v="NO5_A1"/>
    <x v="8"/>
    <x v="6"/>
    <x v="12"/>
    <s v="GNR_RES_WTR_NOPMP_MC-06"/>
    <x v="8"/>
    <n v="13.4919391604393"/>
  </r>
  <r>
    <x v="0"/>
    <x v="0"/>
    <x v="0"/>
    <x v="7"/>
    <x v="15"/>
    <s v="NO5_A1"/>
    <x v="8"/>
    <x v="6"/>
    <x v="12"/>
    <s v="GNR_RES_WTR_NOPMP_MC-07"/>
    <x v="8"/>
    <n v="13.4919391604393"/>
  </r>
  <r>
    <x v="0"/>
    <x v="0"/>
    <x v="0"/>
    <x v="7"/>
    <x v="15"/>
    <s v="NO5_A1"/>
    <x v="8"/>
    <x v="6"/>
    <x v="12"/>
    <s v="GNR_RES_WTR_NOPMP_MC-08"/>
    <x v="8"/>
    <n v="13.4919391604393"/>
  </r>
  <r>
    <x v="0"/>
    <x v="0"/>
    <x v="0"/>
    <x v="7"/>
    <x v="15"/>
    <s v="NO5_A1"/>
    <x v="8"/>
    <x v="6"/>
    <x v="12"/>
    <s v="GNR_RES_WTR_NOPMP_MC-09"/>
    <x v="8"/>
    <n v="13.4919391604393"/>
  </r>
  <r>
    <x v="0"/>
    <x v="0"/>
    <x v="0"/>
    <x v="7"/>
    <x v="15"/>
    <s v="NO5_A1"/>
    <x v="8"/>
    <x v="6"/>
    <x v="12"/>
    <s v="GNR_RES_WTR_NOPMP_MC-10"/>
    <x v="8"/>
    <n v="13.4919391604393"/>
  </r>
  <r>
    <x v="0"/>
    <x v="0"/>
    <x v="0"/>
    <x v="7"/>
    <x v="15"/>
    <s v="NO5_A1"/>
    <x v="8"/>
    <x v="6"/>
    <x v="12"/>
    <s v="GNR_RES_WTR_PMP_MC-01"/>
    <x v="8"/>
    <n v="10.0141903448276"/>
  </r>
  <r>
    <x v="0"/>
    <x v="0"/>
    <x v="0"/>
    <x v="7"/>
    <x v="15"/>
    <s v="NO5_A1"/>
    <x v="8"/>
    <x v="6"/>
    <x v="6"/>
    <s v="GNR_ROR_WTR"/>
    <x v="8"/>
    <n v="42.379658410503502"/>
  </r>
  <r>
    <x v="0"/>
    <x v="0"/>
    <x v="0"/>
    <x v="7"/>
    <x v="15"/>
    <s v="NO5_A2"/>
    <x v="6"/>
    <x v="2"/>
    <x v="2"/>
    <s v="GNR_BO_ELEC_E-99"/>
    <x v="8"/>
    <n v="1.9509554166666599E-2"/>
  </r>
  <r>
    <x v="0"/>
    <x v="0"/>
    <x v="0"/>
    <x v="7"/>
    <x v="15"/>
    <s v="NO5_A2"/>
    <x v="17"/>
    <x v="7"/>
    <x v="11"/>
    <s v="GNR_BO_FUELOIL_E-90"/>
    <x v="8"/>
    <n v="4.6739466666666597E-2"/>
  </r>
  <r>
    <x v="0"/>
    <x v="0"/>
    <x v="0"/>
    <x v="7"/>
    <x v="15"/>
    <s v="NO5_A2"/>
    <x v="25"/>
    <x v="7"/>
    <x v="11"/>
    <s v="GNR_BO_LNG_E-90"/>
    <x v="8"/>
    <n v="0.13797851666666699"/>
  </r>
  <r>
    <x v="0"/>
    <x v="0"/>
    <x v="0"/>
    <x v="7"/>
    <x v="15"/>
    <s v="NO5_A2"/>
    <x v="2"/>
    <x v="1"/>
    <x v="1"/>
    <s v="GNR_ST_MSW_BP_CB-20"/>
    <x v="8"/>
    <n v="0.91809666666666601"/>
  </r>
  <r>
    <x v="0"/>
    <x v="0"/>
    <x v="0"/>
    <x v="8"/>
    <x v="16"/>
    <s v="PL_A"/>
    <x v="6"/>
    <x v="3"/>
    <x v="13"/>
    <s v="GNR_ES_WTR_PMP"/>
    <x v="8"/>
    <n v="2.375128E-2"/>
  </r>
  <r>
    <x v="0"/>
    <x v="0"/>
    <x v="0"/>
    <x v="8"/>
    <x v="16"/>
    <s v="PL_A"/>
    <x v="17"/>
    <x v="7"/>
    <x v="11"/>
    <s v="GNR_BO_FUELOIL_E-100"/>
    <x v="8"/>
    <n v="2.8043680000000002"/>
  </r>
  <r>
    <x v="0"/>
    <x v="0"/>
    <x v="0"/>
    <x v="8"/>
    <x v="16"/>
    <s v="PL_A"/>
    <x v="2"/>
    <x v="7"/>
    <x v="11"/>
    <s v="GNR_BO_MSW_E-100"/>
    <x v="8"/>
    <n v="84.696438657496003"/>
  </r>
  <r>
    <x v="0"/>
    <x v="0"/>
    <x v="0"/>
    <x v="8"/>
    <x v="16"/>
    <s v="PL_A"/>
    <x v="3"/>
    <x v="7"/>
    <x v="11"/>
    <s v="GNR_BO_NGAS_E-100"/>
    <x v="8"/>
    <n v="14.823088"/>
  </r>
  <r>
    <x v="0"/>
    <x v="0"/>
    <x v="0"/>
    <x v="8"/>
    <x v="16"/>
    <s v="PL_A"/>
    <x v="4"/>
    <x v="7"/>
    <x v="11"/>
    <s v="GNR_BO_STRW_E-100"/>
    <x v="8"/>
    <n v="108.730067421615"/>
  </r>
  <r>
    <x v="0"/>
    <x v="0"/>
    <x v="0"/>
    <x v="8"/>
    <x v="16"/>
    <s v="PL_A"/>
    <x v="7"/>
    <x v="5"/>
    <x v="5"/>
    <s v="GNR_PV_SUN"/>
    <x v="8"/>
    <n v="1.15317782896074E-2"/>
  </r>
  <r>
    <x v="0"/>
    <x v="0"/>
    <x v="0"/>
    <x v="8"/>
    <x v="16"/>
    <s v="PL_A"/>
    <x v="9"/>
    <x v="5"/>
    <x v="7"/>
    <s v="GNR_WT_WIND_ONS"/>
    <x v="8"/>
    <n v="160.27523993599999"/>
  </r>
  <r>
    <x v="0"/>
    <x v="0"/>
    <x v="0"/>
    <x v="8"/>
    <x v="16"/>
    <s v="PL_Rural"/>
    <x v="23"/>
    <x v="4"/>
    <x v="4"/>
    <s v="GNR_ST_NUCL_CND_E-33"/>
    <x v="8"/>
    <n v="350.32165056000002"/>
  </r>
  <r>
    <x v="0"/>
    <x v="0"/>
    <x v="0"/>
    <x v="8"/>
    <x v="16"/>
    <s v="PL_Rural"/>
    <x v="8"/>
    <x v="6"/>
    <x v="6"/>
    <s v="GNR_ROR_WTR"/>
    <x v="8"/>
    <n v="10.4201710344828"/>
  </r>
  <r>
    <x v="0"/>
    <x v="0"/>
    <x v="0"/>
    <x v="9"/>
    <x v="17"/>
    <s v="SE1A"/>
    <x v="8"/>
    <x v="6"/>
    <x v="12"/>
    <s v="GNR_RES_WTR_NOPMP_MC-01"/>
    <x v="8"/>
    <n v="9.1458427586207005"/>
  </r>
  <r>
    <x v="0"/>
    <x v="0"/>
    <x v="0"/>
    <x v="9"/>
    <x v="17"/>
    <s v="SE1A"/>
    <x v="8"/>
    <x v="6"/>
    <x v="12"/>
    <s v="GNR_RES_WTR_NOPMP_MC-02"/>
    <x v="8"/>
    <n v="9.1458427586207005"/>
  </r>
  <r>
    <x v="0"/>
    <x v="0"/>
    <x v="0"/>
    <x v="9"/>
    <x v="17"/>
    <s v="SE1A"/>
    <x v="8"/>
    <x v="6"/>
    <x v="12"/>
    <s v="GNR_RES_WTR_NOPMP_MC-03"/>
    <x v="8"/>
    <n v="9.1458427586207005"/>
  </r>
  <r>
    <x v="0"/>
    <x v="0"/>
    <x v="0"/>
    <x v="9"/>
    <x v="17"/>
    <s v="SE1A"/>
    <x v="8"/>
    <x v="6"/>
    <x v="12"/>
    <s v="GNR_RES_WTR_NOPMP_MC-04"/>
    <x v="8"/>
    <n v="9.1458427586207005"/>
  </r>
  <r>
    <x v="0"/>
    <x v="0"/>
    <x v="0"/>
    <x v="9"/>
    <x v="17"/>
    <s v="SE1A"/>
    <x v="8"/>
    <x v="6"/>
    <x v="12"/>
    <s v="GNR_RES_WTR_NOPMP_MC-05"/>
    <x v="8"/>
    <n v="9.1458427586207005"/>
  </r>
  <r>
    <x v="0"/>
    <x v="0"/>
    <x v="0"/>
    <x v="9"/>
    <x v="17"/>
    <s v="SE1A"/>
    <x v="8"/>
    <x v="6"/>
    <x v="12"/>
    <s v="GNR_RES_WTR_NOPMP_MC-06"/>
    <x v="8"/>
    <n v="9.1458427586207005"/>
  </r>
  <r>
    <x v="0"/>
    <x v="0"/>
    <x v="0"/>
    <x v="9"/>
    <x v="17"/>
    <s v="SE1A"/>
    <x v="8"/>
    <x v="6"/>
    <x v="12"/>
    <s v="GNR_RES_WTR_NOPMP_MC-07"/>
    <x v="8"/>
    <n v="9.1458427586207005"/>
  </r>
  <r>
    <x v="0"/>
    <x v="0"/>
    <x v="0"/>
    <x v="9"/>
    <x v="17"/>
    <s v="SE1A"/>
    <x v="8"/>
    <x v="6"/>
    <x v="12"/>
    <s v="GNR_RES_WTR_NOPMP_MC-08"/>
    <x v="8"/>
    <n v="9.1458427586207005"/>
  </r>
  <r>
    <x v="0"/>
    <x v="0"/>
    <x v="0"/>
    <x v="9"/>
    <x v="17"/>
    <s v="SE1A"/>
    <x v="8"/>
    <x v="6"/>
    <x v="12"/>
    <s v="GNR_RES_WTR_NOPMP_MC-09"/>
    <x v="8"/>
    <n v="9.1458427586207005"/>
  </r>
  <r>
    <x v="0"/>
    <x v="0"/>
    <x v="0"/>
    <x v="9"/>
    <x v="17"/>
    <s v="SE1A"/>
    <x v="8"/>
    <x v="6"/>
    <x v="12"/>
    <s v="GNR_RES_WTR_NOPMP_MC-10"/>
    <x v="8"/>
    <n v="9.1458427586207005"/>
  </r>
  <r>
    <x v="0"/>
    <x v="0"/>
    <x v="0"/>
    <x v="9"/>
    <x v="17"/>
    <s v="SE1A"/>
    <x v="8"/>
    <x v="6"/>
    <x v="6"/>
    <s v="GNR_ROR_WTR"/>
    <x v="8"/>
    <n v="27.701415724137998"/>
  </r>
  <r>
    <x v="0"/>
    <x v="0"/>
    <x v="0"/>
    <x v="9"/>
    <x v="17"/>
    <s v="SE1A"/>
    <x v="9"/>
    <x v="5"/>
    <x v="7"/>
    <s v="GNR_WT_WIND_ONS"/>
    <x v="8"/>
    <n v="50.472316575744003"/>
  </r>
  <r>
    <x v="0"/>
    <x v="0"/>
    <x v="0"/>
    <x v="9"/>
    <x v="17"/>
    <s v="SE1_IND"/>
    <x v="15"/>
    <x v="7"/>
    <x v="11"/>
    <s v="GNR_BO_LIGHTOIL_E-85"/>
    <x v="8"/>
    <n v="0.41664896000000001"/>
  </r>
  <r>
    <x v="0"/>
    <x v="0"/>
    <x v="0"/>
    <x v="9"/>
    <x v="17"/>
    <s v="SE1_IND"/>
    <x v="5"/>
    <x v="1"/>
    <x v="1"/>
    <s v="GNR_IND-ST_WOODCHI_BP_E-71"/>
    <x v="8"/>
    <n v="6.2497344000000004"/>
  </r>
  <r>
    <x v="0"/>
    <x v="0"/>
    <x v="0"/>
    <x v="9"/>
    <x v="17"/>
    <s v="SE1_medium"/>
    <x v="17"/>
    <x v="7"/>
    <x v="11"/>
    <s v="GNR_BO_FUELOIL_E-90"/>
    <x v="8"/>
    <n v="0.91001741599999997"/>
  </r>
  <r>
    <x v="0"/>
    <x v="0"/>
    <x v="0"/>
    <x v="9"/>
    <x v="17"/>
    <s v="SE1_medium"/>
    <x v="15"/>
    <x v="7"/>
    <x v="11"/>
    <s v="GNR_BO_LIGHTOIL_E-90"/>
    <x v="8"/>
    <n v="4.0062399999999998E-2"/>
  </r>
  <r>
    <x v="0"/>
    <x v="0"/>
    <x v="0"/>
    <x v="9"/>
    <x v="17"/>
    <s v="SE1_medium"/>
    <x v="2"/>
    <x v="7"/>
    <x v="11"/>
    <s v="GNR_BO_MSW_E-90"/>
    <x v="8"/>
    <n v="2.5408931597248801"/>
  </r>
  <r>
    <x v="0"/>
    <x v="0"/>
    <x v="0"/>
    <x v="9"/>
    <x v="17"/>
    <s v="SE1_medium"/>
    <x v="2"/>
    <x v="1"/>
    <x v="1"/>
    <s v="GNR_ST_MSW_BP_CB-20"/>
    <x v="8"/>
    <n v="2.8123804799999998"/>
  </r>
  <r>
    <x v="0"/>
    <x v="0"/>
    <x v="0"/>
    <x v="9"/>
    <x v="17"/>
    <s v="SE1_medium"/>
    <x v="22"/>
    <x v="7"/>
    <x v="11"/>
    <s v="GNR_BO_BFG_E-90"/>
    <x v="8"/>
    <n v="0.7791728"/>
  </r>
  <r>
    <x v="0"/>
    <x v="0"/>
    <x v="0"/>
    <x v="9"/>
    <x v="17"/>
    <s v="SE1_medium"/>
    <x v="21"/>
    <x v="1"/>
    <x v="1"/>
    <s v="GNR_ST_PEAT_BP_CB-30"/>
    <x v="8"/>
    <n v="0.33251792000000002"/>
  </r>
  <r>
    <x v="0"/>
    <x v="0"/>
    <x v="0"/>
    <x v="9"/>
    <x v="17"/>
    <s v="SE1_medium"/>
    <x v="5"/>
    <x v="7"/>
    <x v="11"/>
    <s v="GNR_BO_WOODCHI_E-90"/>
    <x v="8"/>
    <n v="0.95889238915860198"/>
  </r>
  <r>
    <x v="0"/>
    <x v="0"/>
    <x v="0"/>
    <x v="9"/>
    <x v="17"/>
    <s v="SE1_medium"/>
    <x v="16"/>
    <x v="7"/>
    <x v="11"/>
    <s v="GNR_BO_WOODPEL_E-90"/>
    <x v="8"/>
    <n v="0.101178"/>
  </r>
  <r>
    <x v="0"/>
    <x v="0"/>
    <x v="0"/>
    <x v="9"/>
    <x v="17"/>
    <s v="SE1_medium"/>
    <x v="13"/>
    <x v="7"/>
    <x v="11"/>
    <s v="GNR_BO_WOODWST_E-90"/>
    <x v="8"/>
    <n v="0.41850382325086399"/>
  </r>
  <r>
    <x v="0"/>
    <x v="0"/>
    <x v="0"/>
    <x v="9"/>
    <x v="17"/>
    <s v="SE1_small"/>
    <x v="1"/>
    <x v="4"/>
    <x v="4"/>
    <s v="GNR_ENG_BGAS_CND_E-35"/>
    <x v="8"/>
    <n v="5.1560308800000003E-2"/>
  </r>
  <r>
    <x v="0"/>
    <x v="0"/>
    <x v="0"/>
    <x v="9"/>
    <x v="17"/>
    <s v="SE1_small"/>
    <x v="17"/>
    <x v="7"/>
    <x v="11"/>
    <s v="GNR_BO_FUELOIL_E-90"/>
    <x v="8"/>
    <n v="4.807488E-2"/>
  </r>
  <r>
    <x v="0"/>
    <x v="0"/>
    <x v="0"/>
    <x v="9"/>
    <x v="17"/>
    <s v="SE1_small"/>
    <x v="15"/>
    <x v="7"/>
    <x v="11"/>
    <s v="GNR_BO_LIGHTOIL_E-90"/>
    <x v="8"/>
    <n v="7.0309512000000005E-2"/>
  </r>
  <r>
    <x v="0"/>
    <x v="0"/>
    <x v="0"/>
    <x v="9"/>
    <x v="17"/>
    <s v="SE1_small"/>
    <x v="5"/>
    <x v="7"/>
    <x v="11"/>
    <s v="GNR_BO_WOODCHI_E-90"/>
    <x v="8"/>
    <n v="1.47384756752393"/>
  </r>
  <r>
    <x v="0"/>
    <x v="0"/>
    <x v="0"/>
    <x v="9"/>
    <x v="17"/>
    <s v="SE1_small"/>
    <x v="5"/>
    <x v="1"/>
    <x v="1"/>
    <s v="GNR_ST_WOODCHI_BP_CB-20"/>
    <x v="8"/>
    <n v="0.34313445599999998"/>
  </r>
  <r>
    <x v="0"/>
    <x v="0"/>
    <x v="0"/>
    <x v="9"/>
    <x v="18"/>
    <s v="SE2A"/>
    <x v="8"/>
    <x v="6"/>
    <x v="12"/>
    <s v="GNR_RES_WTR_NOPMP_MC-01"/>
    <x v="8"/>
    <n v="9.1906184102879909"/>
  </r>
  <r>
    <x v="0"/>
    <x v="0"/>
    <x v="0"/>
    <x v="9"/>
    <x v="18"/>
    <s v="SE2A"/>
    <x v="8"/>
    <x v="6"/>
    <x v="12"/>
    <s v="GNR_RES_WTR_NOPMP_MC-02"/>
    <x v="8"/>
    <n v="11.626502548218999"/>
  </r>
  <r>
    <x v="0"/>
    <x v="0"/>
    <x v="0"/>
    <x v="9"/>
    <x v="18"/>
    <s v="SE2A"/>
    <x v="8"/>
    <x v="6"/>
    <x v="12"/>
    <s v="GNR_RES_WTR_NOPMP_MC-03"/>
    <x v="8"/>
    <n v="11.626502548218999"/>
  </r>
  <r>
    <x v="0"/>
    <x v="0"/>
    <x v="0"/>
    <x v="9"/>
    <x v="18"/>
    <s v="SE2A"/>
    <x v="8"/>
    <x v="6"/>
    <x v="12"/>
    <s v="GNR_RES_WTR_NOPMP_MC-04"/>
    <x v="8"/>
    <n v="11.626502548218999"/>
  </r>
  <r>
    <x v="0"/>
    <x v="0"/>
    <x v="0"/>
    <x v="9"/>
    <x v="18"/>
    <s v="SE2A"/>
    <x v="8"/>
    <x v="6"/>
    <x v="12"/>
    <s v="GNR_RES_WTR_NOPMP_MC-05"/>
    <x v="8"/>
    <n v="11.626502548218999"/>
  </r>
  <r>
    <x v="0"/>
    <x v="0"/>
    <x v="0"/>
    <x v="9"/>
    <x v="18"/>
    <s v="SE2A"/>
    <x v="8"/>
    <x v="6"/>
    <x v="12"/>
    <s v="GNR_RES_WTR_NOPMP_MC-06"/>
    <x v="8"/>
    <n v="11.626502548218999"/>
  </r>
  <r>
    <x v="0"/>
    <x v="0"/>
    <x v="0"/>
    <x v="9"/>
    <x v="18"/>
    <s v="SE2A"/>
    <x v="8"/>
    <x v="6"/>
    <x v="12"/>
    <s v="GNR_RES_WTR_NOPMP_MC-07"/>
    <x v="8"/>
    <n v="11.626502548218999"/>
  </r>
  <r>
    <x v="0"/>
    <x v="0"/>
    <x v="0"/>
    <x v="9"/>
    <x v="18"/>
    <s v="SE2A"/>
    <x v="8"/>
    <x v="6"/>
    <x v="12"/>
    <s v="GNR_RES_WTR_NOPMP_MC-08"/>
    <x v="8"/>
    <n v="11.626502548218999"/>
  </r>
  <r>
    <x v="0"/>
    <x v="0"/>
    <x v="0"/>
    <x v="9"/>
    <x v="18"/>
    <s v="SE2A"/>
    <x v="8"/>
    <x v="6"/>
    <x v="12"/>
    <s v="GNR_RES_WTR_NOPMP_MC-09"/>
    <x v="8"/>
    <n v="11.626502548218999"/>
  </r>
  <r>
    <x v="0"/>
    <x v="0"/>
    <x v="0"/>
    <x v="9"/>
    <x v="18"/>
    <s v="SE2A"/>
    <x v="8"/>
    <x v="6"/>
    <x v="12"/>
    <s v="GNR_RES_WTR_NOPMP_MC-10"/>
    <x v="8"/>
    <n v="11.626502548218999"/>
  </r>
  <r>
    <x v="0"/>
    <x v="0"/>
    <x v="0"/>
    <x v="9"/>
    <x v="18"/>
    <s v="SE2A"/>
    <x v="8"/>
    <x v="6"/>
    <x v="12"/>
    <s v="GNR_RES_WTR_PMP_MC-01"/>
    <x v="8"/>
    <n v="2.4358841379310401"/>
  </r>
  <r>
    <x v="0"/>
    <x v="0"/>
    <x v="0"/>
    <x v="9"/>
    <x v="18"/>
    <s v="SE2A"/>
    <x v="8"/>
    <x v="6"/>
    <x v="6"/>
    <s v="GNR_ROR_WTR"/>
    <x v="8"/>
    <n v="65.881368559189198"/>
  </r>
  <r>
    <x v="0"/>
    <x v="0"/>
    <x v="0"/>
    <x v="9"/>
    <x v="18"/>
    <s v="SE2A"/>
    <x v="9"/>
    <x v="5"/>
    <x v="7"/>
    <s v="GNR_WT_WIND_ONS"/>
    <x v="8"/>
    <n v="95.961716709376006"/>
  </r>
  <r>
    <x v="0"/>
    <x v="0"/>
    <x v="0"/>
    <x v="9"/>
    <x v="18"/>
    <s v="SE2_IND"/>
    <x v="15"/>
    <x v="7"/>
    <x v="11"/>
    <s v="GNR_BO_LIGHTOIL_E-85"/>
    <x v="8"/>
    <n v="0.87404138080000005"/>
  </r>
  <r>
    <x v="0"/>
    <x v="0"/>
    <x v="0"/>
    <x v="9"/>
    <x v="18"/>
    <s v="SE2_IND"/>
    <x v="5"/>
    <x v="1"/>
    <x v="1"/>
    <s v="GNR_IND-ST_WOODCHI_BP_E-71"/>
    <x v="8"/>
    <n v="13.110620711999999"/>
  </r>
  <r>
    <x v="0"/>
    <x v="0"/>
    <x v="0"/>
    <x v="9"/>
    <x v="18"/>
    <s v="SE2_medium"/>
    <x v="1"/>
    <x v="7"/>
    <x v="11"/>
    <s v="GNR_BO_BGAS_E-90"/>
    <x v="8"/>
    <n v="4.3067080000000001E-2"/>
  </r>
  <r>
    <x v="0"/>
    <x v="0"/>
    <x v="0"/>
    <x v="9"/>
    <x v="18"/>
    <s v="SE2_medium"/>
    <x v="14"/>
    <x v="7"/>
    <x v="11"/>
    <s v="GNR_BO_BIOIL_E-90"/>
    <x v="8"/>
    <n v="5.4084239999999999E-2"/>
  </r>
  <r>
    <x v="0"/>
    <x v="0"/>
    <x v="0"/>
    <x v="9"/>
    <x v="18"/>
    <s v="SE2_medium"/>
    <x v="6"/>
    <x v="2"/>
    <x v="2"/>
    <s v="GNR_BO_ELEC_E-99"/>
    <x v="8"/>
    <n v="6.2797811999999995E-2"/>
  </r>
  <r>
    <x v="0"/>
    <x v="0"/>
    <x v="0"/>
    <x v="9"/>
    <x v="18"/>
    <s v="SE2_medium"/>
    <x v="17"/>
    <x v="7"/>
    <x v="11"/>
    <s v="GNR_BO_FUELOIL_E-90"/>
    <x v="8"/>
    <n v="0.2904524"/>
  </r>
  <r>
    <x v="0"/>
    <x v="0"/>
    <x v="0"/>
    <x v="9"/>
    <x v="18"/>
    <s v="SE2_medium"/>
    <x v="15"/>
    <x v="7"/>
    <x v="11"/>
    <s v="GNR_BO_LIGHTOIL_E-90"/>
    <x v="8"/>
    <n v="0.40863648000000002"/>
  </r>
  <r>
    <x v="0"/>
    <x v="0"/>
    <x v="0"/>
    <x v="9"/>
    <x v="18"/>
    <s v="SE2_medium"/>
    <x v="2"/>
    <x v="1"/>
    <x v="1"/>
    <s v="GNR_ST_MSW_BP_CB-20"/>
    <x v="8"/>
    <n v="1.2518681070459801"/>
  </r>
  <r>
    <x v="0"/>
    <x v="0"/>
    <x v="0"/>
    <x v="9"/>
    <x v="18"/>
    <s v="SE2_medium"/>
    <x v="2"/>
    <x v="1"/>
    <x v="1"/>
    <s v="GNR_ST_MSW_BP_CB-40"/>
    <x v="8"/>
    <n v="3.8700278400000001"/>
  </r>
  <r>
    <x v="0"/>
    <x v="0"/>
    <x v="0"/>
    <x v="9"/>
    <x v="18"/>
    <s v="SE2_medium"/>
    <x v="5"/>
    <x v="7"/>
    <x v="11"/>
    <s v="GNR_BO_WOODCHI_E-90"/>
    <x v="8"/>
    <n v="6.07298513133781"/>
  </r>
  <r>
    <x v="0"/>
    <x v="0"/>
    <x v="0"/>
    <x v="9"/>
    <x v="18"/>
    <s v="SE2_medium"/>
    <x v="5"/>
    <x v="1"/>
    <x v="1"/>
    <s v="GNR_ST_WOODCHI_BP_CB-30"/>
    <x v="8"/>
    <n v="0.50839185600000003"/>
  </r>
  <r>
    <x v="0"/>
    <x v="0"/>
    <x v="0"/>
    <x v="9"/>
    <x v="18"/>
    <s v="SE2_medium"/>
    <x v="5"/>
    <x v="1"/>
    <x v="1"/>
    <s v="GNR_ST_WOODCHI_BP_CB-40"/>
    <x v="8"/>
    <n v="4.2065520000000003"/>
  </r>
  <r>
    <x v="0"/>
    <x v="0"/>
    <x v="0"/>
    <x v="9"/>
    <x v="18"/>
    <s v="SE2_medium"/>
    <x v="5"/>
    <x v="1"/>
    <x v="1"/>
    <s v="GNR_ST_WOODCHI_BP_CB-50"/>
    <x v="8"/>
    <n v="0.64901087999999996"/>
  </r>
  <r>
    <x v="0"/>
    <x v="0"/>
    <x v="0"/>
    <x v="9"/>
    <x v="18"/>
    <s v="SE2_medium"/>
    <x v="16"/>
    <x v="7"/>
    <x v="11"/>
    <s v="GNR_BO_WOODPEL_E-90"/>
    <x v="8"/>
    <n v="0.101178"/>
  </r>
  <r>
    <x v="0"/>
    <x v="0"/>
    <x v="0"/>
    <x v="9"/>
    <x v="18"/>
    <s v="SE2_medium"/>
    <x v="16"/>
    <x v="1"/>
    <x v="1"/>
    <s v="GNR_ST_WOODPEL_BP_CB-30"/>
    <x v="8"/>
    <n v="0.32049919999999998"/>
  </r>
  <r>
    <x v="0"/>
    <x v="0"/>
    <x v="0"/>
    <x v="9"/>
    <x v="18"/>
    <s v="SE2_small"/>
    <x v="14"/>
    <x v="7"/>
    <x v="11"/>
    <s v="GNR_BO_BIOIL_E-90"/>
    <x v="8"/>
    <n v="1.4206127040000001E-2"/>
  </r>
  <r>
    <x v="0"/>
    <x v="0"/>
    <x v="0"/>
    <x v="9"/>
    <x v="18"/>
    <s v="SE2_small"/>
    <x v="6"/>
    <x v="2"/>
    <x v="2"/>
    <s v="GNR_BO_ELEC_E-99"/>
    <x v="8"/>
    <n v="5.56256408399999E-3"/>
  </r>
  <r>
    <x v="0"/>
    <x v="0"/>
    <x v="0"/>
    <x v="9"/>
    <x v="18"/>
    <s v="SE2_small"/>
    <x v="17"/>
    <x v="7"/>
    <x v="11"/>
    <s v="GNR_BO_FUELOIL_E-90"/>
    <x v="8"/>
    <n v="7.4636251200000003E-2"/>
  </r>
  <r>
    <x v="0"/>
    <x v="0"/>
    <x v="0"/>
    <x v="9"/>
    <x v="18"/>
    <s v="SE2_small"/>
    <x v="15"/>
    <x v="7"/>
    <x v="11"/>
    <s v="GNR_BO_LIGHTOIL_E-90"/>
    <x v="8"/>
    <n v="0.32216178959999803"/>
  </r>
  <r>
    <x v="0"/>
    <x v="0"/>
    <x v="0"/>
    <x v="9"/>
    <x v="18"/>
    <s v="SE2_small"/>
    <x v="22"/>
    <x v="7"/>
    <x v="11"/>
    <s v="GNR_BO_OTHER_E-90"/>
    <x v="8"/>
    <n v="3.2783695559999999E-2"/>
  </r>
  <r>
    <x v="0"/>
    <x v="0"/>
    <x v="0"/>
    <x v="9"/>
    <x v="18"/>
    <s v="SE2_small"/>
    <x v="5"/>
    <x v="7"/>
    <x v="11"/>
    <s v="GNR_BO_WOODCHI_E-90"/>
    <x v="8"/>
    <n v="5.1207150927418397"/>
  </r>
  <r>
    <x v="0"/>
    <x v="0"/>
    <x v="0"/>
    <x v="9"/>
    <x v="18"/>
    <s v="SE2_small"/>
    <x v="16"/>
    <x v="7"/>
    <x v="11"/>
    <s v="GNR_BO_WOODPEL_E-90"/>
    <x v="8"/>
    <n v="0.10257379649999999"/>
  </r>
  <r>
    <x v="0"/>
    <x v="0"/>
    <x v="0"/>
    <x v="9"/>
    <x v="19"/>
    <s v="SE3A"/>
    <x v="17"/>
    <x v="4"/>
    <x v="4"/>
    <s v="GNR_ST_FUELOIL_CND_E-33"/>
    <x v="8"/>
    <n v="19.029640000000001"/>
  </r>
  <r>
    <x v="0"/>
    <x v="0"/>
    <x v="0"/>
    <x v="9"/>
    <x v="19"/>
    <s v="SE3A"/>
    <x v="15"/>
    <x v="4"/>
    <x v="4"/>
    <s v="GNR_GT_LIGHTOIL_CND_E-24"/>
    <x v="8"/>
    <n v="0.76118560000000002"/>
  </r>
  <r>
    <x v="0"/>
    <x v="0"/>
    <x v="0"/>
    <x v="9"/>
    <x v="19"/>
    <s v="SE3A"/>
    <x v="23"/>
    <x v="4"/>
    <x v="4"/>
    <s v="GNR_ST_NUCL_CND_E-33"/>
    <x v="8"/>
    <n v="844.38118296000005"/>
  </r>
  <r>
    <x v="0"/>
    <x v="0"/>
    <x v="0"/>
    <x v="9"/>
    <x v="19"/>
    <s v="SE3A"/>
    <x v="8"/>
    <x v="6"/>
    <x v="12"/>
    <s v="GNR_RES_WTR_NOPMP_MC-01"/>
    <x v="8"/>
    <n v="2.96816993103449"/>
  </r>
  <r>
    <x v="0"/>
    <x v="0"/>
    <x v="0"/>
    <x v="9"/>
    <x v="19"/>
    <s v="SE3A"/>
    <x v="8"/>
    <x v="6"/>
    <x v="12"/>
    <s v="GNR_RES_WTR_NOPMP_MC-02"/>
    <x v="8"/>
    <n v="2.96816993103449"/>
  </r>
  <r>
    <x v="0"/>
    <x v="0"/>
    <x v="0"/>
    <x v="9"/>
    <x v="19"/>
    <s v="SE3A"/>
    <x v="8"/>
    <x v="6"/>
    <x v="12"/>
    <s v="GNR_RES_WTR_NOPMP_MC-03"/>
    <x v="8"/>
    <n v="2.96816993103449"/>
  </r>
  <r>
    <x v="0"/>
    <x v="0"/>
    <x v="0"/>
    <x v="9"/>
    <x v="19"/>
    <s v="SE3A"/>
    <x v="8"/>
    <x v="6"/>
    <x v="12"/>
    <s v="GNR_RES_WTR_NOPMP_MC-04"/>
    <x v="8"/>
    <n v="2.96816993103449"/>
  </r>
  <r>
    <x v="0"/>
    <x v="0"/>
    <x v="0"/>
    <x v="9"/>
    <x v="19"/>
    <s v="SE3A"/>
    <x v="8"/>
    <x v="6"/>
    <x v="12"/>
    <s v="GNR_RES_WTR_NOPMP_MC-05"/>
    <x v="8"/>
    <n v="2.96816993103449"/>
  </r>
  <r>
    <x v="0"/>
    <x v="0"/>
    <x v="0"/>
    <x v="9"/>
    <x v="19"/>
    <s v="SE3A"/>
    <x v="8"/>
    <x v="6"/>
    <x v="12"/>
    <s v="GNR_RES_WTR_NOPMP_MC-06"/>
    <x v="8"/>
    <n v="2.96816993103449"/>
  </r>
  <r>
    <x v="0"/>
    <x v="0"/>
    <x v="0"/>
    <x v="9"/>
    <x v="19"/>
    <s v="SE3A"/>
    <x v="8"/>
    <x v="6"/>
    <x v="12"/>
    <s v="GNR_RES_WTR_NOPMP_MC-07"/>
    <x v="8"/>
    <n v="2.96816993103449"/>
  </r>
  <r>
    <x v="0"/>
    <x v="0"/>
    <x v="0"/>
    <x v="9"/>
    <x v="19"/>
    <s v="SE3A"/>
    <x v="8"/>
    <x v="6"/>
    <x v="12"/>
    <s v="GNR_RES_WTR_NOPMP_MC-08"/>
    <x v="8"/>
    <n v="2.96816993103449"/>
  </r>
  <r>
    <x v="0"/>
    <x v="0"/>
    <x v="0"/>
    <x v="9"/>
    <x v="19"/>
    <s v="SE3A"/>
    <x v="8"/>
    <x v="6"/>
    <x v="12"/>
    <s v="GNR_RES_WTR_NOPMP_MC-09"/>
    <x v="8"/>
    <n v="2.96816993103449"/>
  </r>
  <r>
    <x v="0"/>
    <x v="0"/>
    <x v="0"/>
    <x v="9"/>
    <x v="19"/>
    <s v="SE3A"/>
    <x v="8"/>
    <x v="6"/>
    <x v="12"/>
    <s v="GNR_RES_WTR_NOPMP_MC-10"/>
    <x v="8"/>
    <n v="2.96816993103449"/>
  </r>
  <r>
    <x v="0"/>
    <x v="0"/>
    <x v="0"/>
    <x v="9"/>
    <x v="19"/>
    <s v="SE3A"/>
    <x v="8"/>
    <x v="6"/>
    <x v="6"/>
    <s v="GNR_ROR_WTR"/>
    <x v="8"/>
    <n v="29.289025765517302"/>
  </r>
  <r>
    <x v="0"/>
    <x v="0"/>
    <x v="0"/>
    <x v="9"/>
    <x v="19"/>
    <s v="SE3A"/>
    <x v="9"/>
    <x v="5"/>
    <x v="7"/>
    <s v="GNR_WT_WIND_ONS"/>
    <x v="8"/>
    <n v="71.256202536960004"/>
  </r>
  <r>
    <x v="0"/>
    <x v="0"/>
    <x v="0"/>
    <x v="9"/>
    <x v="19"/>
    <s v="SE3_IND"/>
    <x v="15"/>
    <x v="7"/>
    <x v="11"/>
    <s v="GNR_BO_LIGHTOIL_E-85"/>
    <x v="8"/>
    <n v="1.468988052"/>
  </r>
  <r>
    <x v="0"/>
    <x v="0"/>
    <x v="0"/>
    <x v="9"/>
    <x v="19"/>
    <s v="SE3_IND"/>
    <x v="5"/>
    <x v="1"/>
    <x v="1"/>
    <s v="GNR_IND-ST_WOODCHI_BP_E-71"/>
    <x v="8"/>
    <n v="22.03482078"/>
  </r>
  <r>
    <x v="0"/>
    <x v="0"/>
    <x v="0"/>
    <x v="9"/>
    <x v="19"/>
    <s v="SE3_large"/>
    <x v="14"/>
    <x v="7"/>
    <x v="11"/>
    <s v="GNR_BO_BIOIL_E-90"/>
    <x v="8"/>
    <n v="2.1012728799999998"/>
  </r>
  <r>
    <x v="0"/>
    <x v="0"/>
    <x v="0"/>
    <x v="9"/>
    <x v="19"/>
    <s v="SE3_large"/>
    <x v="10"/>
    <x v="1"/>
    <x v="8"/>
    <s v="VARTAN6_ST_COAL_EXT"/>
    <x v="8"/>
    <n v="7.4476001600000004"/>
  </r>
  <r>
    <x v="0"/>
    <x v="0"/>
    <x v="0"/>
    <x v="9"/>
    <x v="19"/>
    <s v="SE3_large"/>
    <x v="6"/>
    <x v="2"/>
    <x v="2"/>
    <s v="GNR_BO_ELEC_E-99"/>
    <x v="8"/>
    <n v="0.2478861"/>
  </r>
  <r>
    <x v="0"/>
    <x v="0"/>
    <x v="0"/>
    <x v="9"/>
    <x v="19"/>
    <s v="SE3_large"/>
    <x v="6"/>
    <x v="2"/>
    <x v="2"/>
    <s v="GNR_HP_ELEC_COP-270"/>
    <x v="8"/>
    <n v="0.25239312000000003"/>
  </r>
  <r>
    <x v="0"/>
    <x v="0"/>
    <x v="0"/>
    <x v="9"/>
    <x v="19"/>
    <s v="SE3_large"/>
    <x v="17"/>
    <x v="7"/>
    <x v="11"/>
    <s v="GNR_BO_FUELOIL_E-90"/>
    <x v="8"/>
    <n v="1.5387967840000001"/>
  </r>
  <r>
    <x v="0"/>
    <x v="0"/>
    <x v="0"/>
    <x v="9"/>
    <x v="19"/>
    <s v="SE3_large"/>
    <x v="15"/>
    <x v="7"/>
    <x v="11"/>
    <s v="GNR_BO_LIGHTOIL_E-90"/>
    <x v="8"/>
    <n v="0.57489544000000004"/>
  </r>
  <r>
    <x v="0"/>
    <x v="0"/>
    <x v="0"/>
    <x v="9"/>
    <x v="19"/>
    <s v="SE3_large"/>
    <x v="2"/>
    <x v="1"/>
    <x v="8"/>
    <s v="AROS6_ST_MSW_EXT"/>
    <x v="8"/>
    <n v="10.215911999999999"/>
  </r>
  <r>
    <x v="0"/>
    <x v="0"/>
    <x v="0"/>
    <x v="9"/>
    <x v="19"/>
    <s v="SE3_large"/>
    <x v="2"/>
    <x v="1"/>
    <x v="1"/>
    <s v="GNR_ST_MSW_BP_CB-30"/>
    <x v="8"/>
    <n v="12.353402156951001"/>
  </r>
  <r>
    <x v="0"/>
    <x v="0"/>
    <x v="0"/>
    <x v="9"/>
    <x v="19"/>
    <s v="SE3_large"/>
    <x v="3"/>
    <x v="7"/>
    <x v="11"/>
    <s v="GNR_BO_NGAS_E-90"/>
    <x v="8"/>
    <n v="7.7917280000000005E-2"/>
  </r>
  <r>
    <x v="0"/>
    <x v="0"/>
    <x v="0"/>
    <x v="9"/>
    <x v="19"/>
    <s v="SE3_large"/>
    <x v="3"/>
    <x v="1"/>
    <x v="1"/>
    <s v="GNR_CC_NGAS_BP_CB-90"/>
    <x v="8"/>
    <n v="7.8422147999999998"/>
  </r>
  <r>
    <x v="0"/>
    <x v="0"/>
    <x v="0"/>
    <x v="9"/>
    <x v="19"/>
    <s v="SE3_large"/>
    <x v="5"/>
    <x v="7"/>
    <x v="11"/>
    <s v="GNR_BO_WOODCHI_E-90"/>
    <x v="8"/>
    <n v="11.3868471212584"/>
  </r>
  <r>
    <x v="0"/>
    <x v="0"/>
    <x v="0"/>
    <x v="9"/>
    <x v="19"/>
    <s v="SE3_large"/>
    <x v="5"/>
    <x v="1"/>
    <x v="1"/>
    <s v="GNR_ST_WOODCHI_BP_CB-10"/>
    <x v="8"/>
    <n v="0.78121680000000004"/>
  </r>
  <r>
    <x v="0"/>
    <x v="0"/>
    <x v="0"/>
    <x v="9"/>
    <x v="19"/>
    <s v="SE3_large"/>
    <x v="5"/>
    <x v="1"/>
    <x v="1"/>
    <s v="GNR_ST_WOODCHI_BP_CB-30"/>
    <x v="8"/>
    <n v="1.24241221943731"/>
  </r>
  <r>
    <x v="0"/>
    <x v="0"/>
    <x v="0"/>
    <x v="9"/>
    <x v="19"/>
    <s v="SE3_large"/>
    <x v="5"/>
    <x v="1"/>
    <x v="1"/>
    <s v="GNR_ST_WOODCHI_BP_CB-40"/>
    <x v="8"/>
    <n v="8.2647119770084796"/>
  </r>
  <r>
    <x v="0"/>
    <x v="0"/>
    <x v="0"/>
    <x v="9"/>
    <x v="19"/>
    <s v="SE3_large"/>
    <x v="5"/>
    <x v="1"/>
    <x v="1"/>
    <s v="GNR_ST_WOODCHI_BP_CB-80"/>
    <x v="8"/>
    <n v="4.9696488783501804"/>
  </r>
  <r>
    <x v="0"/>
    <x v="0"/>
    <x v="0"/>
    <x v="9"/>
    <x v="19"/>
    <s v="SE3_large"/>
    <x v="16"/>
    <x v="7"/>
    <x v="11"/>
    <s v="GNR_BO_WOODPEL_E-90"/>
    <x v="8"/>
    <n v="0.74197199999999996"/>
  </r>
  <r>
    <x v="0"/>
    <x v="0"/>
    <x v="0"/>
    <x v="9"/>
    <x v="19"/>
    <s v="SE3_large"/>
    <x v="13"/>
    <x v="1"/>
    <x v="8"/>
    <s v="AROS7_ST_WOODWST_EXT"/>
    <x v="8"/>
    <n v="3.0647736000000001"/>
  </r>
  <r>
    <x v="0"/>
    <x v="0"/>
    <x v="0"/>
    <x v="9"/>
    <x v="19"/>
    <s v="SE3_medium"/>
    <x v="1"/>
    <x v="7"/>
    <x v="11"/>
    <s v="GNR_BO_BGAS_E-90"/>
    <x v="8"/>
    <n v="5.0206700460000003E-2"/>
  </r>
  <r>
    <x v="0"/>
    <x v="0"/>
    <x v="0"/>
    <x v="9"/>
    <x v="19"/>
    <s v="SE3_medium"/>
    <x v="14"/>
    <x v="7"/>
    <x v="11"/>
    <s v="GNR_BO_BIOIL_E-90"/>
    <x v="8"/>
    <n v="1.4937746588800001"/>
  </r>
  <r>
    <x v="0"/>
    <x v="0"/>
    <x v="0"/>
    <x v="9"/>
    <x v="19"/>
    <s v="SE3_medium"/>
    <x v="6"/>
    <x v="2"/>
    <x v="2"/>
    <s v="GNR_BO_ELEC_E-99"/>
    <x v="8"/>
    <n v="0.17627456"/>
  </r>
  <r>
    <x v="0"/>
    <x v="0"/>
    <x v="0"/>
    <x v="9"/>
    <x v="19"/>
    <s v="SE3_medium"/>
    <x v="6"/>
    <x v="2"/>
    <x v="2"/>
    <s v="GNR_HP_ELEC_COP-270"/>
    <x v="8"/>
    <n v="8.11864536E-2"/>
  </r>
  <r>
    <x v="0"/>
    <x v="0"/>
    <x v="0"/>
    <x v="9"/>
    <x v="19"/>
    <s v="SE3_medium"/>
    <x v="17"/>
    <x v="7"/>
    <x v="11"/>
    <s v="GNR_BO_FUELOIL_E-90"/>
    <x v="8"/>
    <n v="3.0086862399999998"/>
  </r>
  <r>
    <x v="0"/>
    <x v="0"/>
    <x v="0"/>
    <x v="9"/>
    <x v="19"/>
    <s v="SE3_medium"/>
    <x v="15"/>
    <x v="7"/>
    <x v="11"/>
    <s v="GNR_BO_LIGHTOIL_E-90"/>
    <x v="8"/>
    <n v="1.3524264991999999"/>
  </r>
  <r>
    <x v="0"/>
    <x v="0"/>
    <x v="0"/>
    <x v="9"/>
    <x v="19"/>
    <s v="SE3_medium"/>
    <x v="2"/>
    <x v="7"/>
    <x v="11"/>
    <s v="GNR_BO_MSW_E-90"/>
    <x v="8"/>
    <n v="7.52878020360032"/>
  </r>
  <r>
    <x v="0"/>
    <x v="0"/>
    <x v="0"/>
    <x v="9"/>
    <x v="19"/>
    <s v="SE3_medium"/>
    <x v="2"/>
    <x v="1"/>
    <x v="1"/>
    <s v="GNR_ST_MSW_BP_CB-10"/>
    <x v="8"/>
    <n v="2.052797376"/>
  </r>
  <r>
    <x v="0"/>
    <x v="0"/>
    <x v="0"/>
    <x v="9"/>
    <x v="19"/>
    <s v="SE3_medium"/>
    <x v="2"/>
    <x v="1"/>
    <x v="1"/>
    <s v="GNR_ST_MSW_BP_CB-20"/>
    <x v="8"/>
    <n v="1.2018720000000001"/>
  </r>
  <r>
    <x v="0"/>
    <x v="0"/>
    <x v="0"/>
    <x v="9"/>
    <x v="19"/>
    <s v="SE3_medium"/>
    <x v="2"/>
    <x v="1"/>
    <x v="1"/>
    <s v="GNR_ST_MSW_BP_CB-30"/>
    <x v="8"/>
    <n v="3.6657096"/>
  </r>
  <r>
    <x v="0"/>
    <x v="0"/>
    <x v="0"/>
    <x v="9"/>
    <x v="19"/>
    <s v="SE3_medium"/>
    <x v="3"/>
    <x v="7"/>
    <x v="11"/>
    <s v="GNR_BO_NGAS_E-90"/>
    <x v="8"/>
    <n v="0.40906572000000002"/>
  </r>
  <r>
    <x v="0"/>
    <x v="0"/>
    <x v="0"/>
    <x v="9"/>
    <x v="19"/>
    <s v="SE3_medium"/>
    <x v="21"/>
    <x v="7"/>
    <x v="11"/>
    <s v="GNR_BO_PEAT_E-90"/>
    <x v="8"/>
    <n v="3.066E-2"/>
  </r>
  <r>
    <x v="0"/>
    <x v="0"/>
    <x v="0"/>
    <x v="9"/>
    <x v="19"/>
    <s v="SE3_medium"/>
    <x v="21"/>
    <x v="1"/>
    <x v="1"/>
    <s v="GNR_ST_PEAT_BP_CB-10"/>
    <x v="8"/>
    <n v="0.20832448000000001"/>
  </r>
  <r>
    <x v="0"/>
    <x v="0"/>
    <x v="0"/>
    <x v="9"/>
    <x v="19"/>
    <s v="SE3_medium"/>
    <x v="5"/>
    <x v="7"/>
    <x v="11"/>
    <s v="GNR_BO_WOODCHI_E-90"/>
    <x v="8"/>
    <n v="18.990164574919"/>
  </r>
  <r>
    <x v="0"/>
    <x v="0"/>
    <x v="0"/>
    <x v="9"/>
    <x v="19"/>
    <s v="SE3_medium"/>
    <x v="5"/>
    <x v="1"/>
    <x v="1"/>
    <s v="GNR_ST_WOODCHI_BP_CB-10"/>
    <x v="8"/>
    <n v="9.6149760000000001E-2"/>
  </r>
  <r>
    <x v="0"/>
    <x v="0"/>
    <x v="0"/>
    <x v="9"/>
    <x v="19"/>
    <s v="SE3_medium"/>
    <x v="5"/>
    <x v="1"/>
    <x v="1"/>
    <s v="GNR_ST_WOODCHI_BP_CB-20"/>
    <x v="8"/>
    <n v="0.57973497791999995"/>
  </r>
  <r>
    <x v="0"/>
    <x v="0"/>
    <x v="0"/>
    <x v="9"/>
    <x v="19"/>
    <s v="SE3_medium"/>
    <x v="5"/>
    <x v="1"/>
    <x v="1"/>
    <s v="GNR_ST_WOODCHI_BP_CB-30"/>
    <x v="8"/>
    <n v="5.3365520544000002"/>
  </r>
  <r>
    <x v="0"/>
    <x v="0"/>
    <x v="0"/>
    <x v="9"/>
    <x v="19"/>
    <s v="SE3_medium"/>
    <x v="5"/>
    <x v="1"/>
    <x v="1"/>
    <s v="GNR_ST_WOODCHI_BP_CB-40"/>
    <x v="8"/>
    <n v="6.6191596257191998"/>
  </r>
  <r>
    <x v="0"/>
    <x v="0"/>
    <x v="0"/>
    <x v="9"/>
    <x v="19"/>
    <s v="SE3_medium"/>
    <x v="16"/>
    <x v="7"/>
    <x v="11"/>
    <s v="GNR_BO_WOODPEL_E-90"/>
    <x v="8"/>
    <n v="1.097181897"/>
  </r>
  <r>
    <x v="0"/>
    <x v="0"/>
    <x v="0"/>
    <x v="9"/>
    <x v="19"/>
    <s v="SE3_medium"/>
    <x v="13"/>
    <x v="7"/>
    <x v="11"/>
    <s v="GNR_BO_WOODWST_E-90"/>
    <x v="8"/>
    <n v="6.0268909962950001"/>
  </r>
  <r>
    <x v="0"/>
    <x v="0"/>
    <x v="0"/>
    <x v="9"/>
    <x v="19"/>
    <s v="SE3_medium"/>
    <x v="13"/>
    <x v="1"/>
    <x v="1"/>
    <s v="GNR_ST_WOODWST_BP_CB-20"/>
    <x v="8"/>
    <n v="0.31375241314591401"/>
  </r>
  <r>
    <x v="0"/>
    <x v="0"/>
    <x v="0"/>
    <x v="9"/>
    <x v="19"/>
    <s v="SE3_medium"/>
    <x v="13"/>
    <x v="1"/>
    <x v="1"/>
    <s v="GNR_ST_WOODWST_BP_CB-30"/>
    <x v="8"/>
    <n v="0.92003301599999998"/>
  </r>
  <r>
    <x v="0"/>
    <x v="0"/>
    <x v="0"/>
    <x v="9"/>
    <x v="19"/>
    <s v="SE3_medium"/>
    <x v="13"/>
    <x v="1"/>
    <x v="1"/>
    <s v="GNR_ST_WOODWST_BP_CB-40"/>
    <x v="8"/>
    <n v="5.6487984000000004"/>
  </r>
  <r>
    <x v="0"/>
    <x v="0"/>
    <x v="0"/>
    <x v="9"/>
    <x v="19"/>
    <s v="SE3_small"/>
    <x v="1"/>
    <x v="7"/>
    <x v="11"/>
    <s v="GNR_BO_BGAS_E-90"/>
    <x v="8"/>
    <n v="6.7284800799999999E-3"/>
  </r>
  <r>
    <x v="0"/>
    <x v="0"/>
    <x v="0"/>
    <x v="9"/>
    <x v="19"/>
    <s v="SE3_small"/>
    <x v="14"/>
    <x v="7"/>
    <x v="11"/>
    <s v="GNR_BO_BIOIL_E-90"/>
    <x v="8"/>
    <n v="0.54295368848000003"/>
  </r>
  <r>
    <x v="0"/>
    <x v="0"/>
    <x v="0"/>
    <x v="9"/>
    <x v="19"/>
    <s v="SE3_small"/>
    <x v="6"/>
    <x v="2"/>
    <x v="2"/>
    <s v="GNR_BO_ELEC_E-99"/>
    <x v="8"/>
    <n v="2.203432E-2"/>
  </r>
  <r>
    <x v="0"/>
    <x v="0"/>
    <x v="0"/>
    <x v="9"/>
    <x v="19"/>
    <s v="SE3_small"/>
    <x v="6"/>
    <x v="2"/>
    <x v="2"/>
    <s v="GNR_HP_ELEC_COP-270"/>
    <x v="8"/>
    <n v="8.1126359999999994E-5"/>
  </r>
  <r>
    <x v="0"/>
    <x v="0"/>
    <x v="0"/>
    <x v="9"/>
    <x v="19"/>
    <s v="SE3_small"/>
    <x v="17"/>
    <x v="7"/>
    <x v="11"/>
    <s v="GNR_BO_FUELOIL_E-90"/>
    <x v="8"/>
    <n v="0.20764341920000001"/>
  </r>
  <r>
    <x v="0"/>
    <x v="0"/>
    <x v="0"/>
    <x v="9"/>
    <x v="19"/>
    <s v="SE3_small"/>
    <x v="15"/>
    <x v="7"/>
    <x v="11"/>
    <s v="GNR_BO_LIGHTOIL_E-90"/>
    <x v="8"/>
    <n v="0.55189962240000001"/>
  </r>
  <r>
    <x v="0"/>
    <x v="0"/>
    <x v="0"/>
    <x v="9"/>
    <x v="19"/>
    <s v="SE3_small"/>
    <x v="2"/>
    <x v="1"/>
    <x v="1"/>
    <s v="GNR_ST_MSW_BP_CB-20"/>
    <x v="8"/>
    <n v="0.40062399999999998"/>
  </r>
  <r>
    <x v="0"/>
    <x v="0"/>
    <x v="0"/>
    <x v="9"/>
    <x v="19"/>
    <s v="SE3_small"/>
    <x v="3"/>
    <x v="7"/>
    <x v="11"/>
    <s v="GNR_BO_NGAS_E-90"/>
    <x v="8"/>
    <n v="0.15392558664"/>
  </r>
  <r>
    <x v="0"/>
    <x v="0"/>
    <x v="0"/>
    <x v="9"/>
    <x v="19"/>
    <s v="SE3_small"/>
    <x v="4"/>
    <x v="7"/>
    <x v="11"/>
    <s v="GNR_BO_STRW_E-100"/>
    <x v="8"/>
    <n v="0.39039321611447497"/>
  </r>
  <r>
    <x v="0"/>
    <x v="0"/>
    <x v="0"/>
    <x v="9"/>
    <x v="19"/>
    <s v="SE3_small"/>
    <x v="5"/>
    <x v="7"/>
    <x v="11"/>
    <s v="GNR_BO_WOODCHI_E-90"/>
    <x v="8"/>
    <n v="19.123980005518501"/>
  </r>
  <r>
    <x v="0"/>
    <x v="0"/>
    <x v="0"/>
    <x v="9"/>
    <x v="19"/>
    <s v="SE3_small"/>
    <x v="5"/>
    <x v="1"/>
    <x v="1"/>
    <s v="GNR_ST_WOODCHI_BP_CB-10"/>
    <x v="8"/>
    <n v="0.15624336"/>
  </r>
  <r>
    <x v="0"/>
    <x v="0"/>
    <x v="0"/>
    <x v="9"/>
    <x v="19"/>
    <s v="SE3_small"/>
    <x v="5"/>
    <x v="1"/>
    <x v="1"/>
    <s v="GNR_ST_WOODCHI_BP_CB-20"/>
    <x v="8"/>
    <n v="0.197707944"/>
  </r>
  <r>
    <x v="0"/>
    <x v="0"/>
    <x v="0"/>
    <x v="9"/>
    <x v="19"/>
    <s v="SE3_small"/>
    <x v="5"/>
    <x v="1"/>
    <x v="1"/>
    <s v="GNR_ST_WOODCHI_BP_CB-30"/>
    <x v="8"/>
    <n v="0.23977346399999999"/>
  </r>
  <r>
    <x v="0"/>
    <x v="0"/>
    <x v="0"/>
    <x v="9"/>
    <x v="19"/>
    <s v="SE3_small"/>
    <x v="16"/>
    <x v="7"/>
    <x v="11"/>
    <s v="GNR_BO_WOODPEL_E-90"/>
    <x v="8"/>
    <n v="0.46106584649999999"/>
  </r>
  <r>
    <x v="0"/>
    <x v="0"/>
    <x v="0"/>
    <x v="9"/>
    <x v="19"/>
    <s v="SE3_small"/>
    <x v="13"/>
    <x v="1"/>
    <x v="1"/>
    <s v="GNR_ST_WOODWST_BP_CB-20"/>
    <x v="8"/>
    <n v="0.12018719999999999"/>
  </r>
  <r>
    <x v="0"/>
    <x v="0"/>
    <x v="0"/>
    <x v="9"/>
    <x v="20"/>
    <s v="SE4A"/>
    <x v="8"/>
    <x v="6"/>
    <x v="12"/>
    <s v="GNR_RES_WTR_NOPMP_MC-01"/>
    <x v="8"/>
    <n v="0.34479715923801202"/>
  </r>
  <r>
    <x v="0"/>
    <x v="0"/>
    <x v="0"/>
    <x v="9"/>
    <x v="20"/>
    <s v="SE4A"/>
    <x v="8"/>
    <x v="6"/>
    <x v="12"/>
    <s v="GNR_RES_WTR_NOPMP_MC-02"/>
    <x v="8"/>
    <n v="0.34479715923801202"/>
  </r>
  <r>
    <x v="0"/>
    <x v="0"/>
    <x v="0"/>
    <x v="9"/>
    <x v="20"/>
    <s v="SE4A"/>
    <x v="8"/>
    <x v="6"/>
    <x v="12"/>
    <s v="GNR_RES_WTR_NOPMP_MC-03"/>
    <x v="8"/>
    <n v="0.34479715923801202"/>
  </r>
  <r>
    <x v="0"/>
    <x v="0"/>
    <x v="0"/>
    <x v="9"/>
    <x v="20"/>
    <s v="SE4A"/>
    <x v="8"/>
    <x v="6"/>
    <x v="12"/>
    <s v="GNR_RES_WTR_NOPMP_MC-04"/>
    <x v="8"/>
    <n v="0.34479715923801202"/>
  </r>
  <r>
    <x v="0"/>
    <x v="0"/>
    <x v="0"/>
    <x v="9"/>
    <x v="20"/>
    <s v="SE4A"/>
    <x v="8"/>
    <x v="6"/>
    <x v="12"/>
    <s v="GNR_RES_WTR_NOPMP_MC-05"/>
    <x v="8"/>
    <n v="0.34479715923801202"/>
  </r>
  <r>
    <x v="0"/>
    <x v="0"/>
    <x v="0"/>
    <x v="9"/>
    <x v="20"/>
    <s v="SE4A"/>
    <x v="8"/>
    <x v="6"/>
    <x v="12"/>
    <s v="GNR_RES_WTR_NOPMP_MC-06"/>
    <x v="8"/>
    <n v="0.34479715923801202"/>
  </r>
  <r>
    <x v="0"/>
    <x v="0"/>
    <x v="0"/>
    <x v="9"/>
    <x v="20"/>
    <s v="SE4A"/>
    <x v="8"/>
    <x v="6"/>
    <x v="12"/>
    <s v="GNR_RES_WTR_NOPMP_MC-07"/>
    <x v="8"/>
    <n v="0.34479715923801202"/>
  </r>
  <r>
    <x v="0"/>
    <x v="0"/>
    <x v="0"/>
    <x v="9"/>
    <x v="20"/>
    <s v="SE4A"/>
    <x v="8"/>
    <x v="6"/>
    <x v="12"/>
    <s v="GNR_RES_WTR_NOPMP_MC-08"/>
    <x v="8"/>
    <n v="0.34479715923801202"/>
  </r>
  <r>
    <x v="0"/>
    <x v="0"/>
    <x v="0"/>
    <x v="9"/>
    <x v="20"/>
    <s v="SE4A"/>
    <x v="8"/>
    <x v="6"/>
    <x v="12"/>
    <s v="GNR_RES_WTR_NOPMP_MC-09"/>
    <x v="8"/>
    <n v="0.34479715923801202"/>
  </r>
  <r>
    <x v="0"/>
    <x v="0"/>
    <x v="0"/>
    <x v="9"/>
    <x v="20"/>
    <s v="SE4A"/>
    <x v="8"/>
    <x v="6"/>
    <x v="12"/>
    <s v="GNR_RES_WTR_NOPMP_MC-10"/>
    <x v="8"/>
    <n v="0.34479715923801202"/>
  </r>
  <r>
    <x v="0"/>
    <x v="0"/>
    <x v="0"/>
    <x v="9"/>
    <x v="20"/>
    <s v="SE4A"/>
    <x v="8"/>
    <x v="6"/>
    <x v="6"/>
    <s v="GNR_ROR_WTR"/>
    <x v="8"/>
    <n v="4.2703979524474702"/>
  </r>
  <r>
    <x v="0"/>
    <x v="0"/>
    <x v="0"/>
    <x v="9"/>
    <x v="20"/>
    <s v="SE4A"/>
    <x v="9"/>
    <x v="5"/>
    <x v="7"/>
    <s v="GNR_WT_WIND_ONS"/>
    <x v="8"/>
    <n v="37.978257802240002"/>
  </r>
  <r>
    <x v="0"/>
    <x v="0"/>
    <x v="0"/>
    <x v="9"/>
    <x v="20"/>
    <s v="SE4_IND"/>
    <x v="15"/>
    <x v="7"/>
    <x v="11"/>
    <s v="GNR_BO_LIGHTOIL_E-85"/>
    <x v="8"/>
    <n v="1.0123768479999999"/>
  </r>
  <r>
    <x v="0"/>
    <x v="0"/>
    <x v="0"/>
    <x v="9"/>
    <x v="20"/>
    <s v="SE4_IND"/>
    <x v="5"/>
    <x v="1"/>
    <x v="1"/>
    <s v="GNR_IND-ST_WOODCHI_BP_E-71"/>
    <x v="8"/>
    <n v="15.18565272"/>
  </r>
  <r>
    <x v="0"/>
    <x v="0"/>
    <x v="0"/>
    <x v="9"/>
    <x v="20"/>
    <s v="SE4_large"/>
    <x v="17"/>
    <x v="7"/>
    <x v="11"/>
    <s v="GNR_BO_FUELOIL_E-90"/>
    <x v="8"/>
    <n v="0.24037439999999999"/>
  </r>
  <r>
    <x v="0"/>
    <x v="0"/>
    <x v="0"/>
    <x v="9"/>
    <x v="20"/>
    <s v="SE4_large"/>
    <x v="2"/>
    <x v="1"/>
    <x v="1"/>
    <s v="GNR_ST_MSW_BP_CB-30"/>
    <x v="8"/>
    <n v="3.9769026530228802"/>
  </r>
  <r>
    <x v="0"/>
    <x v="0"/>
    <x v="0"/>
    <x v="9"/>
    <x v="20"/>
    <s v="SE4_large"/>
    <x v="3"/>
    <x v="1"/>
    <x v="8"/>
    <s v="ORESUND_CC_NGAS_EXT"/>
    <x v="8"/>
    <n v="5.4682075170240001"/>
  </r>
  <r>
    <x v="0"/>
    <x v="0"/>
    <x v="0"/>
    <x v="9"/>
    <x v="20"/>
    <s v="SE4_medium"/>
    <x v="1"/>
    <x v="7"/>
    <x v="11"/>
    <s v="GNR_BO_BGAS_E-90"/>
    <x v="8"/>
    <n v="5.0077999999999998E-3"/>
  </r>
  <r>
    <x v="0"/>
    <x v="0"/>
    <x v="0"/>
    <x v="9"/>
    <x v="20"/>
    <s v="SE4_medium"/>
    <x v="14"/>
    <x v="7"/>
    <x v="11"/>
    <s v="GNR_BO_BIOIL_E-90"/>
    <x v="8"/>
    <n v="0.46031697599999999"/>
  </r>
  <r>
    <x v="0"/>
    <x v="0"/>
    <x v="0"/>
    <x v="9"/>
    <x v="20"/>
    <s v="SE4_medium"/>
    <x v="17"/>
    <x v="7"/>
    <x v="11"/>
    <s v="GNR_BO_FUELOIL_E-90"/>
    <x v="8"/>
    <n v="8.1526983999999997E-2"/>
  </r>
  <r>
    <x v="0"/>
    <x v="0"/>
    <x v="0"/>
    <x v="9"/>
    <x v="20"/>
    <s v="SE4_medium"/>
    <x v="15"/>
    <x v="7"/>
    <x v="11"/>
    <s v="GNR_BO_LIGHTOIL_E-90"/>
    <x v="8"/>
    <n v="0.4291083664"/>
  </r>
  <r>
    <x v="0"/>
    <x v="0"/>
    <x v="0"/>
    <x v="9"/>
    <x v="20"/>
    <s v="SE4_medium"/>
    <x v="2"/>
    <x v="1"/>
    <x v="1"/>
    <s v="GNR_ST_MSW_BP_CB-30"/>
    <x v="8"/>
    <n v="6.3161345388769599"/>
  </r>
  <r>
    <x v="0"/>
    <x v="0"/>
    <x v="0"/>
    <x v="9"/>
    <x v="20"/>
    <s v="SE4_medium"/>
    <x v="3"/>
    <x v="7"/>
    <x v="11"/>
    <s v="GNR_BO_NGAS_E-90"/>
    <x v="8"/>
    <n v="4.2172727800000001"/>
  </r>
  <r>
    <x v="0"/>
    <x v="0"/>
    <x v="0"/>
    <x v="9"/>
    <x v="20"/>
    <s v="SE4_medium"/>
    <x v="4"/>
    <x v="7"/>
    <x v="11"/>
    <s v="GNR_BO_STRW_E-100"/>
    <x v="8"/>
    <n v="4.7517130426080897E-2"/>
  </r>
  <r>
    <x v="0"/>
    <x v="0"/>
    <x v="0"/>
    <x v="9"/>
    <x v="20"/>
    <s v="SE4_medium"/>
    <x v="5"/>
    <x v="7"/>
    <x v="11"/>
    <s v="GNR_BO_WOODCHI_E-90"/>
    <x v="8"/>
    <n v="5.8772112685512603"/>
  </r>
  <r>
    <x v="0"/>
    <x v="0"/>
    <x v="0"/>
    <x v="9"/>
    <x v="20"/>
    <s v="SE4_medium"/>
    <x v="5"/>
    <x v="1"/>
    <x v="1"/>
    <s v="GNR_ST_WOODCHI_BP_CB-10"/>
    <x v="8"/>
    <n v="0.17226209582541099"/>
  </r>
  <r>
    <x v="0"/>
    <x v="0"/>
    <x v="0"/>
    <x v="9"/>
    <x v="20"/>
    <s v="SE4_medium"/>
    <x v="5"/>
    <x v="1"/>
    <x v="1"/>
    <s v="GNR_ST_WOODCHI_BP_CB-20"/>
    <x v="8"/>
    <n v="0.36657096"/>
  </r>
  <r>
    <x v="0"/>
    <x v="0"/>
    <x v="0"/>
    <x v="9"/>
    <x v="20"/>
    <s v="SE4_medium"/>
    <x v="5"/>
    <x v="1"/>
    <x v="1"/>
    <s v="GNR_ST_WOODCHI_BP_CB-30"/>
    <x v="8"/>
    <n v="2.4644538899147999"/>
  </r>
  <r>
    <x v="0"/>
    <x v="0"/>
    <x v="0"/>
    <x v="9"/>
    <x v="20"/>
    <s v="SE4_medium"/>
    <x v="5"/>
    <x v="1"/>
    <x v="1"/>
    <s v="GNR_ST_WOODCHI_BP_CB-40"/>
    <x v="8"/>
    <n v="2.7686612586440602"/>
  </r>
  <r>
    <x v="0"/>
    <x v="0"/>
    <x v="0"/>
    <x v="9"/>
    <x v="20"/>
    <s v="SE4_medium"/>
    <x v="5"/>
    <x v="1"/>
    <x v="1"/>
    <s v="GNR_ST_WOODCHI_BP_CB-60"/>
    <x v="8"/>
    <n v="2.2234631999999999"/>
  </r>
  <r>
    <x v="0"/>
    <x v="0"/>
    <x v="0"/>
    <x v="9"/>
    <x v="20"/>
    <s v="SE4_medium"/>
    <x v="16"/>
    <x v="7"/>
    <x v="11"/>
    <s v="GNR_BO_WOODPEL_E-90"/>
    <x v="8"/>
    <n v="0.165064242"/>
  </r>
  <r>
    <x v="0"/>
    <x v="0"/>
    <x v="0"/>
    <x v="9"/>
    <x v="20"/>
    <s v="SE4_small"/>
    <x v="1"/>
    <x v="7"/>
    <x v="11"/>
    <s v="GNR_BO_BGAS_E-90"/>
    <x v="8"/>
    <n v="4.5070200000000001E-5"/>
  </r>
  <r>
    <x v="0"/>
    <x v="0"/>
    <x v="0"/>
    <x v="9"/>
    <x v="20"/>
    <s v="SE4_small"/>
    <x v="14"/>
    <x v="7"/>
    <x v="11"/>
    <s v="GNR_BO_BIOIL_E-90"/>
    <x v="8"/>
    <n v="9.7644087519999798E-2"/>
  </r>
  <r>
    <x v="0"/>
    <x v="0"/>
    <x v="0"/>
    <x v="9"/>
    <x v="20"/>
    <s v="SE4_small"/>
    <x v="6"/>
    <x v="2"/>
    <x v="2"/>
    <s v="GNR_BO_ELEC_E-99"/>
    <x v="8"/>
    <n v="6.5441930399999894E-5"/>
  </r>
  <r>
    <x v="0"/>
    <x v="0"/>
    <x v="0"/>
    <x v="9"/>
    <x v="20"/>
    <s v="SE4_small"/>
    <x v="15"/>
    <x v="7"/>
    <x v="11"/>
    <s v="GNR_BO_LIGHTOIL_E-90"/>
    <x v="8"/>
    <n v="5.0478624E-2"/>
  </r>
  <r>
    <x v="0"/>
    <x v="0"/>
    <x v="0"/>
    <x v="9"/>
    <x v="20"/>
    <s v="SE4_small"/>
    <x v="3"/>
    <x v="7"/>
    <x v="11"/>
    <s v="GNR_BO_NGAS_E-90"/>
    <x v="8"/>
    <n v="5.3996675039999997E-2"/>
  </r>
  <r>
    <x v="0"/>
    <x v="0"/>
    <x v="0"/>
    <x v="9"/>
    <x v="20"/>
    <s v="SE4_small"/>
    <x v="22"/>
    <x v="7"/>
    <x v="11"/>
    <s v="GNR_BO_OTHER_E-90"/>
    <x v="8"/>
    <n v="4.8211316999999899E-2"/>
  </r>
  <r>
    <x v="0"/>
    <x v="0"/>
    <x v="0"/>
    <x v="9"/>
    <x v="20"/>
    <s v="SE4_small"/>
    <x v="4"/>
    <x v="7"/>
    <x v="11"/>
    <s v="GNR_BO_STRW_E-100"/>
    <x v="8"/>
    <n v="0.25424017111142699"/>
  </r>
  <r>
    <x v="0"/>
    <x v="0"/>
    <x v="0"/>
    <x v="9"/>
    <x v="20"/>
    <s v="SE4_small"/>
    <x v="5"/>
    <x v="7"/>
    <x v="11"/>
    <s v="GNR_BO_WOODCHI_E-90"/>
    <x v="8"/>
    <n v="5.6678830623054601"/>
  </r>
  <r>
    <x v="0"/>
    <x v="0"/>
    <x v="0"/>
    <x v="9"/>
    <x v="20"/>
    <s v="SE4_small"/>
    <x v="16"/>
    <x v="7"/>
    <x v="11"/>
    <s v="GNR_BO_WOODPEL_E-90"/>
    <x v="8"/>
    <n v="9.9966929999999996E-2"/>
  </r>
  <r>
    <x v="0"/>
    <x v="0"/>
    <x v="0"/>
    <x v="10"/>
    <x v="21"/>
    <s v="UK_A"/>
    <x v="6"/>
    <x v="3"/>
    <x v="13"/>
    <s v="GNR_ES_WTR_PMP"/>
    <x v="8"/>
    <n v="3.6199240000000001E-2"/>
  </r>
  <r>
    <x v="0"/>
    <x v="0"/>
    <x v="0"/>
    <x v="10"/>
    <x v="21"/>
    <s v="UK_A"/>
    <x v="3"/>
    <x v="4"/>
    <x v="4"/>
    <s v="GNR_GT_NGAS_CND_E-35"/>
    <x v="8"/>
    <n v="8.6134160000000008"/>
  </r>
  <r>
    <x v="0"/>
    <x v="0"/>
    <x v="0"/>
    <x v="10"/>
    <x v="21"/>
    <s v="UK_A"/>
    <x v="23"/>
    <x v="4"/>
    <x v="4"/>
    <s v="GNR_ST_NUCL_CND_E-33"/>
    <x v="8"/>
    <n v="1289.2240569600001"/>
  </r>
  <r>
    <x v="0"/>
    <x v="0"/>
    <x v="0"/>
    <x v="10"/>
    <x v="21"/>
    <s v="UK_A"/>
    <x v="7"/>
    <x v="5"/>
    <x v="5"/>
    <s v="GNR_PV_SUN"/>
    <x v="8"/>
    <n v="56.887646116028002"/>
  </r>
  <r>
    <x v="0"/>
    <x v="0"/>
    <x v="0"/>
    <x v="10"/>
    <x v="21"/>
    <s v="UK_A"/>
    <x v="8"/>
    <x v="6"/>
    <x v="6"/>
    <s v="GNR_ROR_WTR"/>
    <x v="8"/>
    <n v="39.289908965517299"/>
  </r>
  <r>
    <x v="0"/>
    <x v="0"/>
    <x v="0"/>
    <x v="10"/>
    <x v="21"/>
    <s v="UK_A"/>
    <x v="9"/>
    <x v="5"/>
    <x v="7"/>
    <s v="GNR_WT_WIND_ONS"/>
    <x v="8"/>
    <n v="199.63305449472"/>
  </r>
  <r>
    <x v="0"/>
    <x v="0"/>
    <x v="0"/>
    <x v="10"/>
    <x v="21"/>
    <s v="UK_Offshore"/>
    <x v="9"/>
    <x v="5"/>
    <x v="7"/>
    <s v="GNR_WT_WIND_OFF"/>
    <x v="8"/>
    <n v="236.98488659495999"/>
  </r>
  <r>
    <x v="0"/>
    <x v="0"/>
    <x v="0"/>
    <x v="0"/>
    <x v="0"/>
    <s v="DK1_Large"/>
    <x v="1"/>
    <x v="1"/>
    <x v="1"/>
    <s v="GNR_ENG_BGAS_BP_E-36"/>
    <x v="9"/>
    <n v="4.7377794240000002E-3"/>
  </r>
  <r>
    <x v="0"/>
    <x v="0"/>
    <x v="0"/>
    <x v="0"/>
    <x v="0"/>
    <s v="DK1_Large"/>
    <x v="1"/>
    <x v="1"/>
    <x v="1"/>
    <s v="GNR_ENG_BGAS_BP_E-36"/>
    <x v="9"/>
    <n v="5.7777797853658499E-3"/>
  </r>
  <r>
    <x v="0"/>
    <x v="0"/>
    <x v="0"/>
    <x v="0"/>
    <x v="0"/>
    <s v="DK1_Large"/>
    <x v="1"/>
    <x v="1"/>
    <x v="1"/>
    <s v="GNR_ENG_BGAS_BP_E-37"/>
    <x v="9"/>
    <n v="2.9245552000000002E-3"/>
  </r>
  <r>
    <x v="0"/>
    <x v="0"/>
    <x v="0"/>
    <x v="0"/>
    <x v="0"/>
    <s v="DK1_Large"/>
    <x v="1"/>
    <x v="1"/>
    <x v="1"/>
    <s v="GNR_ENG_BGAS_BP_E-37"/>
    <x v="9"/>
    <n v="3.5665307317073202E-3"/>
  </r>
  <r>
    <x v="0"/>
    <x v="0"/>
    <x v="0"/>
    <x v="0"/>
    <x v="0"/>
    <s v="DK1_Large"/>
    <x v="1"/>
    <x v="1"/>
    <x v="1"/>
    <s v="GNR_ENG_BGAS_BP_E-39"/>
    <x v="9"/>
    <n v="1.9740747600000001E-2"/>
  </r>
  <r>
    <x v="0"/>
    <x v="0"/>
    <x v="0"/>
    <x v="0"/>
    <x v="0"/>
    <s v="DK1_Large"/>
    <x v="1"/>
    <x v="1"/>
    <x v="1"/>
    <s v="GNR_ENG_BGAS_BP_E-39"/>
    <x v="9"/>
    <n v="2.40740824390244E-2"/>
  </r>
  <r>
    <x v="0"/>
    <x v="0"/>
    <x v="0"/>
    <x v="0"/>
    <x v="0"/>
    <s v="DK1_Large"/>
    <x v="1"/>
    <x v="1"/>
    <x v="1"/>
    <s v="GNR_ENG_BGAS_BP_E-40"/>
    <x v="9"/>
    <n v="7.2704442272000002E-3"/>
  </r>
  <r>
    <x v="0"/>
    <x v="0"/>
    <x v="0"/>
    <x v="0"/>
    <x v="0"/>
    <s v="DK1_Large"/>
    <x v="1"/>
    <x v="1"/>
    <x v="1"/>
    <s v="GNR_ENG_BGAS_BP_E-40"/>
    <x v="9"/>
    <n v="8.8663953990243908E-3"/>
  </r>
  <r>
    <x v="0"/>
    <x v="0"/>
    <x v="0"/>
    <x v="0"/>
    <x v="0"/>
    <s v="DK1_Large"/>
    <x v="1"/>
    <x v="1"/>
    <x v="1"/>
    <s v="GNR_ENG_BGAS_BP_E-41"/>
    <x v="9"/>
    <n v="1.5658068540799999E-2"/>
  </r>
  <r>
    <x v="0"/>
    <x v="0"/>
    <x v="0"/>
    <x v="0"/>
    <x v="0"/>
    <s v="DK1_Large"/>
    <x v="1"/>
    <x v="1"/>
    <x v="1"/>
    <s v="GNR_ENG_BGAS_BP_E-41"/>
    <x v="9"/>
    <n v="1.9095205537561E-2"/>
  </r>
  <r>
    <x v="0"/>
    <x v="0"/>
    <x v="0"/>
    <x v="0"/>
    <x v="0"/>
    <s v="DK1_Large"/>
    <x v="1"/>
    <x v="1"/>
    <x v="1"/>
    <s v="GNR_ENG_BGAS_BP_E-42"/>
    <x v="9"/>
    <n v="1.447654824E-2"/>
  </r>
  <r>
    <x v="0"/>
    <x v="0"/>
    <x v="0"/>
    <x v="0"/>
    <x v="0"/>
    <s v="DK1_Large"/>
    <x v="1"/>
    <x v="1"/>
    <x v="1"/>
    <s v="GNR_ENG_BGAS_BP_E-42"/>
    <x v="9"/>
    <n v="1.76543271219512E-2"/>
  </r>
  <r>
    <x v="0"/>
    <x v="0"/>
    <x v="0"/>
    <x v="0"/>
    <x v="0"/>
    <s v="DK1_Large"/>
    <x v="1"/>
    <x v="1"/>
    <x v="1"/>
    <s v="GNR_ENG_BGAS_BP_E-43"/>
    <x v="9"/>
    <n v="4.1585225240533298E-2"/>
  </r>
  <r>
    <x v="0"/>
    <x v="0"/>
    <x v="0"/>
    <x v="0"/>
    <x v="0"/>
    <s v="DK1_Large"/>
    <x v="1"/>
    <x v="1"/>
    <x v="1"/>
    <s v="GNR_ENG_BGAS_BP_E-43"/>
    <x v="9"/>
    <n v="5.0713689317723597E-2"/>
  </r>
  <r>
    <x v="0"/>
    <x v="0"/>
    <x v="0"/>
    <x v="0"/>
    <x v="0"/>
    <s v="DK1_Large"/>
    <x v="11"/>
    <x v="3"/>
    <x v="10"/>
    <s v="GNR_HS_HEAT_WTR-TANK_LS_E-95_Y-2010"/>
    <x v="9"/>
    <n v="8.8776474290986902E-5"/>
  </r>
  <r>
    <x v="0"/>
    <x v="0"/>
    <x v="0"/>
    <x v="0"/>
    <x v="0"/>
    <s v="DK1_Large"/>
    <x v="11"/>
    <x v="3"/>
    <x v="9"/>
    <s v="GNR_HS_HEAT_PIT_L-CEN_E-90_Y-2030"/>
    <x v="9"/>
    <n v="4.5340378317771898E-4"/>
  </r>
  <r>
    <x v="0"/>
    <x v="0"/>
    <x v="0"/>
    <x v="0"/>
    <x v="0"/>
    <s v="DK1_Large"/>
    <x v="2"/>
    <x v="1"/>
    <x v="1"/>
    <s v="GNR_ST_MSW_BP_E-24_LS-220-MW-FEED_Y-2030"/>
    <x v="9"/>
    <n v="45.553510899185802"/>
  </r>
  <r>
    <x v="0"/>
    <x v="0"/>
    <x v="0"/>
    <x v="0"/>
    <x v="0"/>
    <s v="DK1_Large"/>
    <x v="2"/>
    <x v="1"/>
    <x v="1"/>
    <s v="GNR_ST_MSW_BP_E-24_LS-220-MW-FEED_Y-2030"/>
    <x v="9"/>
    <n v="151.845036330619"/>
  </r>
  <r>
    <x v="0"/>
    <x v="0"/>
    <x v="0"/>
    <x v="0"/>
    <x v="0"/>
    <s v="DK1_Large"/>
    <x v="2"/>
    <x v="1"/>
    <x v="1"/>
    <s v="GNR_ST_MSW_BP_E-27"/>
    <x v="9"/>
    <n v="3.894805633152"/>
  </r>
  <r>
    <x v="0"/>
    <x v="0"/>
    <x v="0"/>
    <x v="0"/>
    <x v="0"/>
    <s v="DK1_Large"/>
    <x v="2"/>
    <x v="1"/>
    <x v="1"/>
    <s v="GNR_ST_MSW_BP_E-27"/>
    <x v="9"/>
    <n v="13.168773002361499"/>
  </r>
  <r>
    <x v="0"/>
    <x v="0"/>
    <x v="0"/>
    <x v="0"/>
    <x v="0"/>
    <s v="DK1_Large"/>
    <x v="2"/>
    <x v="7"/>
    <x v="11"/>
    <s v="GNR_BO_MSW_E-105"/>
    <x v="9"/>
    <n v="1.5580756855433"/>
  </r>
  <r>
    <x v="0"/>
    <x v="0"/>
    <x v="0"/>
    <x v="0"/>
    <x v="0"/>
    <s v="DK1_Large"/>
    <x v="3"/>
    <x v="1"/>
    <x v="1"/>
    <s v="GNR_ENG_NGAS_BP_E-39"/>
    <x v="9"/>
    <n v="3.4085690856000002E-2"/>
  </r>
  <r>
    <x v="0"/>
    <x v="0"/>
    <x v="0"/>
    <x v="0"/>
    <x v="0"/>
    <s v="DK1_Large"/>
    <x v="3"/>
    <x v="1"/>
    <x v="1"/>
    <s v="GNR_ENG_NGAS_BP_E-39"/>
    <x v="9"/>
    <n v="3.7872989840000003E-2"/>
  </r>
  <r>
    <x v="0"/>
    <x v="0"/>
    <x v="0"/>
    <x v="0"/>
    <x v="0"/>
    <s v="DK1_Large"/>
    <x v="3"/>
    <x v="1"/>
    <x v="1"/>
    <s v="GNR_ENG_NGAS_BP_E-42"/>
    <x v="9"/>
    <n v="2.6768453745599999E-2"/>
  </r>
  <r>
    <x v="0"/>
    <x v="0"/>
    <x v="0"/>
    <x v="0"/>
    <x v="0"/>
    <s v="DK1_Large"/>
    <x v="3"/>
    <x v="1"/>
    <x v="1"/>
    <s v="GNR_ENG_NGAS_BP_E-42"/>
    <x v="9"/>
    <n v="2.9742726383999999E-2"/>
  </r>
  <r>
    <x v="0"/>
    <x v="0"/>
    <x v="0"/>
    <x v="0"/>
    <x v="0"/>
    <s v="DK1_Large"/>
    <x v="3"/>
    <x v="1"/>
    <x v="1"/>
    <s v="GNR_ENG_NGAS_BP_E-43"/>
    <x v="9"/>
    <n v="4.0007915136000001E-2"/>
  </r>
  <r>
    <x v="0"/>
    <x v="0"/>
    <x v="0"/>
    <x v="0"/>
    <x v="0"/>
    <s v="DK1_Large"/>
    <x v="3"/>
    <x v="1"/>
    <x v="1"/>
    <s v="GNR_ENG_NGAS_BP_E-43"/>
    <x v="9"/>
    <n v="4.4453239040000002E-2"/>
  </r>
  <r>
    <x v="0"/>
    <x v="0"/>
    <x v="0"/>
    <x v="0"/>
    <x v="0"/>
    <s v="DK1_Large"/>
    <x v="3"/>
    <x v="1"/>
    <x v="1"/>
    <s v="GNR_ENG_NGAS_BP_E-46"/>
    <x v="9"/>
    <n v="1.15285965984E-2"/>
  </r>
  <r>
    <x v="0"/>
    <x v="0"/>
    <x v="0"/>
    <x v="0"/>
    <x v="0"/>
    <s v="DK1_Large"/>
    <x v="3"/>
    <x v="1"/>
    <x v="1"/>
    <s v="GNR_ENG_NGAS_BP_E-46"/>
    <x v="9"/>
    <n v="1.2809551775999999E-2"/>
  </r>
  <r>
    <x v="0"/>
    <x v="0"/>
    <x v="0"/>
    <x v="0"/>
    <x v="0"/>
    <s v="DK1_Large"/>
    <x v="3"/>
    <x v="1"/>
    <x v="1"/>
    <s v="GNR_GT_NGAS_BP_E-43_LS-40-MW_Y-2030"/>
    <x v="9"/>
    <n v="0.88119256506089405"/>
  </r>
  <r>
    <x v="0"/>
    <x v="0"/>
    <x v="0"/>
    <x v="0"/>
    <x v="0"/>
    <s v="DK1_Large"/>
    <x v="3"/>
    <x v="1"/>
    <x v="1"/>
    <s v="GNR_GT_NGAS_BP_E-43_LS-40-MW_Y-2030"/>
    <x v="9"/>
    <n v="0.92757112111673001"/>
  </r>
  <r>
    <x v="0"/>
    <x v="0"/>
    <x v="0"/>
    <x v="0"/>
    <x v="0"/>
    <s v="DK1_Large"/>
    <x v="4"/>
    <x v="1"/>
    <x v="1"/>
    <s v="GNR_ST_STRW_BP_E-26"/>
    <x v="9"/>
    <n v="0.124247940368874"/>
  </r>
  <r>
    <x v="0"/>
    <x v="0"/>
    <x v="0"/>
    <x v="0"/>
    <x v="0"/>
    <s v="DK1_Large"/>
    <x v="4"/>
    <x v="1"/>
    <x v="1"/>
    <s v="GNR_ST_STRW_BP_E-26"/>
    <x v="9"/>
    <n v="0.27942456147995098"/>
  </r>
  <r>
    <x v="0"/>
    <x v="0"/>
    <x v="0"/>
    <x v="0"/>
    <x v="0"/>
    <s v="DK1_Large"/>
    <x v="4"/>
    <x v="7"/>
    <x v="11"/>
    <s v="GNR_BO_STRW_E-100"/>
    <x v="9"/>
    <n v="1.31016246304988E-3"/>
  </r>
  <r>
    <x v="0"/>
    <x v="0"/>
    <x v="0"/>
    <x v="0"/>
    <x v="0"/>
    <s v="DK1_Large"/>
    <x v="4"/>
    <x v="7"/>
    <x v="11"/>
    <s v="GNR_BO_STRW_E-102"/>
    <x v="9"/>
    <n v="1.6027230130513099E-3"/>
  </r>
  <r>
    <x v="0"/>
    <x v="0"/>
    <x v="0"/>
    <x v="0"/>
    <x v="0"/>
    <s v="DK1_Large"/>
    <x v="7"/>
    <x v="5"/>
    <x v="14"/>
    <s v="GNR_SH_SUN"/>
    <x v="9"/>
    <n v="1.1157115991279999E-3"/>
  </r>
  <r>
    <x v="0"/>
    <x v="0"/>
    <x v="0"/>
    <x v="0"/>
    <x v="0"/>
    <s v="DK1_Large"/>
    <x v="5"/>
    <x v="1"/>
    <x v="1"/>
    <s v="GNR_ST_WOODCHI_BP_E-23"/>
    <x v="9"/>
    <n v="6.2512367400000005E-2"/>
  </r>
  <r>
    <x v="0"/>
    <x v="0"/>
    <x v="0"/>
    <x v="0"/>
    <x v="0"/>
    <s v="DK1_Large"/>
    <x v="5"/>
    <x v="1"/>
    <x v="1"/>
    <s v="GNR_ST_WOODCHI_BP_E-23"/>
    <x v="9"/>
    <n v="0.18385990411764699"/>
  </r>
  <r>
    <x v="0"/>
    <x v="0"/>
    <x v="0"/>
    <x v="0"/>
    <x v="0"/>
    <s v="DK1_Large"/>
    <x v="5"/>
    <x v="7"/>
    <x v="11"/>
    <s v="GNR_BO_WOODCHI_E-100"/>
    <x v="9"/>
    <n v="6.2907727818166401E-3"/>
  </r>
  <r>
    <x v="0"/>
    <x v="0"/>
    <x v="0"/>
    <x v="0"/>
    <x v="0"/>
    <s v="DK1_Large_PHH"/>
    <x v="6"/>
    <x v="2"/>
    <x v="2"/>
    <s v="GNR_BO_ELEC_E-99_LS-10-MW-FEED_PHH_Y-2030"/>
    <x v="9"/>
    <n v="-0.108218113197671"/>
  </r>
  <r>
    <x v="0"/>
    <x v="0"/>
    <x v="0"/>
    <x v="0"/>
    <x v="0"/>
    <s v="DK1_Large_PHH"/>
    <x v="6"/>
    <x v="2"/>
    <x v="2"/>
    <s v="GNR_BO_ELEC_E-99_LS-10-MW-FEED_PHH_Y-2030"/>
    <x v="9"/>
    <n v="0.107135932065694"/>
  </r>
  <r>
    <x v="0"/>
    <x v="0"/>
    <x v="0"/>
    <x v="0"/>
    <x v="0"/>
    <s v="DK1_Large_PHH"/>
    <x v="3"/>
    <x v="7"/>
    <x v="11"/>
    <s v="GNR_BO_NGAS_E-70_PHH"/>
    <x v="9"/>
    <n v="0.71957472359687702"/>
  </r>
  <r>
    <x v="0"/>
    <x v="0"/>
    <x v="0"/>
    <x v="0"/>
    <x v="0"/>
    <s v="DK1_Large_PHL"/>
    <x v="3"/>
    <x v="7"/>
    <x v="11"/>
    <s v="GNR_BO_NGAS_E-82_PHL"/>
    <x v="9"/>
    <n v="1.8817500708763"/>
  </r>
  <r>
    <x v="0"/>
    <x v="0"/>
    <x v="0"/>
    <x v="0"/>
    <x v="0"/>
    <s v="DK1_MedSmall"/>
    <x v="6"/>
    <x v="2"/>
    <x v="2"/>
    <s v="GNR_HP_ELEC_GROUND-WTR_COP-380_LS-4-MW_Y-2030"/>
    <x v="9"/>
    <n v="-0.58542579279221796"/>
  </r>
  <r>
    <x v="0"/>
    <x v="0"/>
    <x v="0"/>
    <x v="0"/>
    <x v="0"/>
    <s v="DK1_MedSmall"/>
    <x v="6"/>
    <x v="2"/>
    <x v="2"/>
    <s v="GNR_HP_ELEC_GROUND-WTR_COP-380_LS-4-MW_Y-2030"/>
    <x v="9"/>
    <n v="2.22461801261043"/>
  </r>
  <r>
    <x v="0"/>
    <x v="0"/>
    <x v="0"/>
    <x v="0"/>
    <x v="0"/>
    <s v="DK1_MedSmall"/>
    <x v="11"/>
    <x v="3"/>
    <x v="10"/>
    <s v="GNR_HS_HEAT_WTR-TANK_LS_E-95_Y-2010"/>
    <x v="9"/>
    <n v="3.0084890117742401E-5"/>
  </r>
  <r>
    <x v="0"/>
    <x v="0"/>
    <x v="0"/>
    <x v="0"/>
    <x v="0"/>
    <s v="DK1_MedSmall"/>
    <x v="11"/>
    <x v="3"/>
    <x v="9"/>
    <s v="GNR_HS_HEAT_PIT_L-DEC_E-91_Y-2030"/>
    <x v="9"/>
    <n v="6.3764460487451496E-5"/>
  </r>
  <r>
    <x v="0"/>
    <x v="0"/>
    <x v="0"/>
    <x v="0"/>
    <x v="0"/>
    <s v="DK1_MedSmall"/>
    <x v="3"/>
    <x v="1"/>
    <x v="1"/>
    <s v="GNR_ENG_NGAS_BP_E-41"/>
    <x v="9"/>
    <n v="5.1668116718399999E-2"/>
  </r>
  <r>
    <x v="0"/>
    <x v="0"/>
    <x v="0"/>
    <x v="0"/>
    <x v="0"/>
    <s v="DK1_MedSmall"/>
    <x v="3"/>
    <x v="1"/>
    <x v="1"/>
    <s v="GNR_ENG_NGAS_BP_E-41"/>
    <x v="9"/>
    <n v="5.7409018575999997E-2"/>
  </r>
  <r>
    <x v="0"/>
    <x v="0"/>
    <x v="0"/>
    <x v="0"/>
    <x v="0"/>
    <s v="DK1_MedSmall"/>
    <x v="3"/>
    <x v="7"/>
    <x v="11"/>
    <s v="GNR_BO_NGAS_E-100"/>
    <x v="9"/>
    <n v="1.15944972821036E-2"/>
  </r>
  <r>
    <x v="0"/>
    <x v="0"/>
    <x v="0"/>
    <x v="0"/>
    <x v="0"/>
    <s v="DK1_MedSmall"/>
    <x v="3"/>
    <x v="7"/>
    <x v="11"/>
    <s v="GNR_BO_NGAS_E-101"/>
    <x v="9"/>
    <n v="2.6540338439999998E-2"/>
  </r>
  <r>
    <x v="0"/>
    <x v="0"/>
    <x v="0"/>
    <x v="0"/>
    <x v="0"/>
    <s v="DK1_MedSmall"/>
    <x v="3"/>
    <x v="7"/>
    <x v="11"/>
    <s v="GNR_BO_NGAS_E-102"/>
    <x v="9"/>
    <n v="4.101688668E-3"/>
  </r>
  <r>
    <x v="0"/>
    <x v="0"/>
    <x v="0"/>
    <x v="0"/>
    <x v="0"/>
    <s v="DK1_MedSmall"/>
    <x v="4"/>
    <x v="7"/>
    <x v="11"/>
    <s v="GNR_BO_STRW_E-102"/>
    <x v="9"/>
    <n v="9.8269816743089197E-2"/>
  </r>
  <r>
    <x v="0"/>
    <x v="0"/>
    <x v="0"/>
    <x v="0"/>
    <x v="0"/>
    <s v="DK1_MedSmall"/>
    <x v="7"/>
    <x v="5"/>
    <x v="14"/>
    <s v="GNR_SH_SUN"/>
    <x v="9"/>
    <n v="3.3712149038399998E-3"/>
  </r>
  <r>
    <x v="0"/>
    <x v="0"/>
    <x v="0"/>
    <x v="0"/>
    <x v="0"/>
    <s v="DK1_MedSmall"/>
    <x v="5"/>
    <x v="7"/>
    <x v="11"/>
    <s v="GNR_BO_WOODCHI_E-110"/>
    <x v="9"/>
    <n v="0.17159252757395499"/>
  </r>
  <r>
    <x v="0"/>
    <x v="0"/>
    <x v="0"/>
    <x v="0"/>
    <x v="0"/>
    <s v="DK1_Medium"/>
    <x v="1"/>
    <x v="1"/>
    <x v="1"/>
    <s v="GNR_ENG_BGAS_BP_E-39"/>
    <x v="9"/>
    <n v="3.6849395519999999E-3"/>
  </r>
  <r>
    <x v="0"/>
    <x v="0"/>
    <x v="0"/>
    <x v="0"/>
    <x v="0"/>
    <s v="DK1_Medium"/>
    <x v="1"/>
    <x v="1"/>
    <x v="1"/>
    <s v="GNR_ENG_BGAS_BP_E-39"/>
    <x v="9"/>
    <n v="4.4938287219512202E-3"/>
  </r>
  <r>
    <x v="0"/>
    <x v="0"/>
    <x v="0"/>
    <x v="0"/>
    <x v="0"/>
    <s v="DK1_Medium"/>
    <x v="1"/>
    <x v="1"/>
    <x v="1"/>
    <s v="GNR_ENG_BGAS_BP_E-41"/>
    <x v="9"/>
    <n v="1.9401499196799999E-2"/>
  </r>
  <r>
    <x v="0"/>
    <x v="0"/>
    <x v="0"/>
    <x v="0"/>
    <x v="0"/>
    <s v="DK1_Medium"/>
    <x v="1"/>
    <x v="1"/>
    <x v="1"/>
    <s v="GNR_ENG_BGAS_BP_E-41"/>
    <x v="9"/>
    <n v="2.36603648741463E-2"/>
  </r>
  <r>
    <x v="0"/>
    <x v="0"/>
    <x v="0"/>
    <x v="0"/>
    <x v="0"/>
    <s v="DK1_Medium"/>
    <x v="1"/>
    <x v="1"/>
    <x v="1"/>
    <s v="GNR_ENG_BGAS_BP_E-42"/>
    <x v="9"/>
    <n v="1.9302064320000001E-3"/>
  </r>
  <r>
    <x v="0"/>
    <x v="0"/>
    <x v="0"/>
    <x v="0"/>
    <x v="0"/>
    <s v="DK1_Medium"/>
    <x v="1"/>
    <x v="1"/>
    <x v="1"/>
    <s v="GNR_ENG_BGAS_BP_E-42"/>
    <x v="9"/>
    <n v="2.3539102829268298E-3"/>
  </r>
  <r>
    <x v="0"/>
    <x v="0"/>
    <x v="0"/>
    <x v="0"/>
    <x v="0"/>
    <s v="DK1_Medium"/>
    <x v="11"/>
    <x v="3"/>
    <x v="10"/>
    <s v="GNR_HS_HEAT_WTR-TANK_LS_E-95_Y-2010"/>
    <x v="9"/>
    <n v="1.30792436883927E-4"/>
  </r>
  <r>
    <x v="0"/>
    <x v="0"/>
    <x v="0"/>
    <x v="0"/>
    <x v="0"/>
    <s v="DK1_Medium"/>
    <x v="11"/>
    <x v="3"/>
    <x v="9"/>
    <s v="GNR_HS_HEAT_PIT_L-DEC_E-91_Y-2030"/>
    <x v="9"/>
    <n v="1.33580120037467E-4"/>
  </r>
  <r>
    <x v="0"/>
    <x v="0"/>
    <x v="0"/>
    <x v="0"/>
    <x v="0"/>
    <s v="DK1_Medium"/>
    <x v="3"/>
    <x v="1"/>
    <x v="1"/>
    <s v="GNR_ENG_NGAS_BP_E-41"/>
    <x v="9"/>
    <n v="3.9613100184000001E-2"/>
  </r>
  <r>
    <x v="0"/>
    <x v="0"/>
    <x v="0"/>
    <x v="0"/>
    <x v="0"/>
    <s v="DK1_Medium"/>
    <x v="3"/>
    <x v="1"/>
    <x v="1"/>
    <s v="GNR_ENG_NGAS_BP_E-41"/>
    <x v="9"/>
    <n v="4.4014555759999997E-2"/>
  </r>
  <r>
    <x v="0"/>
    <x v="0"/>
    <x v="0"/>
    <x v="0"/>
    <x v="0"/>
    <s v="DK1_Medium"/>
    <x v="3"/>
    <x v="1"/>
    <x v="1"/>
    <s v="GNR_ENG_NGAS_BP_E-42"/>
    <x v="9"/>
    <n v="7.3435581072000003E-2"/>
  </r>
  <r>
    <x v="0"/>
    <x v="0"/>
    <x v="0"/>
    <x v="0"/>
    <x v="0"/>
    <s v="DK1_Medium"/>
    <x v="3"/>
    <x v="1"/>
    <x v="1"/>
    <s v="GNR_ENG_NGAS_BP_E-42"/>
    <x v="9"/>
    <n v="8.1595090080000002E-2"/>
  </r>
  <r>
    <x v="0"/>
    <x v="0"/>
    <x v="0"/>
    <x v="0"/>
    <x v="0"/>
    <s v="DK1_Medium"/>
    <x v="3"/>
    <x v="1"/>
    <x v="1"/>
    <s v="GNR_ENG_NGAS_BP_E-43"/>
    <x v="9"/>
    <n v="1.8687907728000001E-2"/>
  </r>
  <r>
    <x v="0"/>
    <x v="0"/>
    <x v="0"/>
    <x v="0"/>
    <x v="0"/>
    <s v="DK1_Medium"/>
    <x v="3"/>
    <x v="1"/>
    <x v="1"/>
    <s v="GNR_ENG_NGAS_BP_E-43"/>
    <x v="9"/>
    <n v="2.0764341919999998E-2"/>
  </r>
  <r>
    <x v="0"/>
    <x v="0"/>
    <x v="0"/>
    <x v="0"/>
    <x v="0"/>
    <s v="DK1_Medium"/>
    <x v="3"/>
    <x v="1"/>
    <x v="1"/>
    <s v="GNR_ENG_NGAS_BP_E-44"/>
    <x v="9"/>
    <n v="6.7750245763200004E-2"/>
  </r>
  <r>
    <x v="0"/>
    <x v="0"/>
    <x v="0"/>
    <x v="0"/>
    <x v="0"/>
    <s v="DK1_Medium"/>
    <x v="3"/>
    <x v="1"/>
    <x v="1"/>
    <s v="GNR_ENG_NGAS_BP_E-44"/>
    <x v="9"/>
    <n v="7.5278050848000003E-2"/>
  </r>
  <r>
    <x v="0"/>
    <x v="0"/>
    <x v="0"/>
    <x v="0"/>
    <x v="0"/>
    <s v="DK1_Medium"/>
    <x v="3"/>
    <x v="1"/>
    <x v="1"/>
    <s v="GNR_ENG_NGAS_BP_E-48_Y-2030"/>
    <x v="9"/>
    <n v="16.2610286272091"/>
  </r>
  <r>
    <x v="0"/>
    <x v="0"/>
    <x v="0"/>
    <x v="0"/>
    <x v="0"/>
    <s v="DK1_Medium"/>
    <x v="3"/>
    <x v="1"/>
    <x v="1"/>
    <s v="GNR_ENG_NGAS_BP_E-48_Y-2030"/>
    <x v="9"/>
    <n v="16.425281441625401"/>
  </r>
  <r>
    <x v="0"/>
    <x v="0"/>
    <x v="0"/>
    <x v="0"/>
    <x v="0"/>
    <s v="DK1_Medium"/>
    <x v="4"/>
    <x v="7"/>
    <x v="11"/>
    <s v="GNR_BO_STRW_E-102"/>
    <x v="9"/>
    <n v="6.1564915739431504E-4"/>
  </r>
  <r>
    <x v="0"/>
    <x v="0"/>
    <x v="0"/>
    <x v="0"/>
    <x v="0"/>
    <s v="DK1_Medium"/>
    <x v="7"/>
    <x v="5"/>
    <x v="14"/>
    <s v="GNR_SH_SUN"/>
    <x v="9"/>
    <n v="7.3042989583199996E-3"/>
  </r>
  <r>
    <x v="0"/>
    <x v="0"/>
    <x v="0"/>
    <x v="0"/>
    <x v="0"/>
    <s v="DK1_NoDH"/>
    <x v="3"/>
    <x v="4"/>
    <x v="4"/>
    <s v="GNR_ENG_NGAS_CND_E-41"/>
    <x v="9"/>
    <n v="0.161084500416"/>
  </r>
  <r>
    <x v="0"/>
    <x v="0"/>
    <x v="0"/>
    <x v="0"/>
    <x v="0"/>
    <s v="DK1_NoDH"/>
    <x v="3"/>
    <x v="4"/>
    <x v="4"/>
    <s v="GNR_ENG_NGAS_CND_E-46"/>
    <x v="9"/>
    <n v="5.8959032832E-3"/>
  </r>
  <r>
    <x v="0"/>
    <x v="0"/>
    <x v="0"/>
    <x v="0"/>
    <x v="0"/>
    <s v="DK1_NoDH"/>
    <x v="9"/>
    <x v="5"/>
    <x v="7"/>
    <s v="GNR_WT_WIND_ONS"/>
    <x v="9"/>
    <n v="13.195626937563"/>
  </r>
  <r>
    <x v="0"/>
    <x v="0"/>
    <x v="0"/>
    <x v="0"/>
    <x v="0"/>
    <s v="DK1_NoDH"/>
    <x v="9"/>
    <x v="5"/>
    <x v="7"/>
    <s v="GNR_WT_WIND_ON_LS_Y-2030"/>
    <x v="9"/>
    <n v="3.6115335417802501"/>
  </r>
  <r>
    <x v="0"/>
    <x v="0"/>
    <x v="0"/>
    <x v="0"/>
    <x v="0"/>
    <s v="DK1_NoDH"/>
    <x v="5"/>
    <x v="1"/>
    <x v="8"/>
    <s v="GNR_ST_WOODCHI_EXT_E-30"/>
    <x v="9"/>
    <n v="0.25560612447999997"/>
  </r>
  <r>
    <x v="0"/>
    <x v="0"/>
    <x v="0"/>
    <x v="0"/>
    <x v="0"/>
    <s v="DK1_NoDH_PHH"/>
    <x v="6"/>
    <x v="2"/>
    <x v="2"/>
    <s v="GNR_BO_ELEC_E-99_LS-10-MW-FEED_PHH_Y-2030"/>
    <x v="9"/>
    <n v="-0.215498089790359"/>
  </r>
  <r>
    <x v="0"/>
    <x v="0"/>
    <x v="0"/>
    <x v="0"/>
    <x v="0"/>
    <s v="DK1_NoDH_PHH"/>
    <x v="6"/>
    <x v="2"/>
    <x v="2"/>
    <s v="GNR_BO_ELEC_E-99_LS-10-MW-FEED_PHH_Y-2030"/>
    <x v="9"/>
    <n v="0.213343108892455"/>
  </r>
  <r>
    <x v="0"/>
    <x v="0"/>
    <x v="0"/>
    <x v="0"/>
    <x v="0"/>
    <s v="DK1_NoDH_PHH"/>
    <x v="3"/>
    <x v="7"/>
    <x v="11"/>
    <s v="GNR_BO_NGAS_E-70_PHH"/>
    <x v="9"/>
    <n v="1.58192592594361E-2"/>
  </r>
  <r>
    <x v="0"/>
    <x v="0"/>
    <x v="0"/>
    <x v="0"/>
    <x v="0"/>
    <s v="DK1_NoDH_PHL"/>
    <x v="3"/>
    <x v="7"/>
    <x v="11"/>
    <s v="GNR_BO_NGAS_E-82_PHL"/>
    <x v="9"/>
    <n v="9.7901551661000301"/>
  </r>
  <r>
    <x v="0"/>
    <x v="0"/>
    <x v="0"/>
    <x v="0"/>
    <x v="0"/>
    <s v="DK1_Offshore"/>
    <x v="9"/>
    <x v="5"/>
    <x v="7"/>
    <s v="GNR_WT_WIND_OFF"/>
    <x v="9"/>
    <n v="24.6034948206268"/>
  </r>
  <r>
    <x v="0"/>
    <x v="0"/>
    <x v="0"/>
    <x v="0"/>
    <x v="0"/>
    <s v="DK1_Rural"/>
    <x v="1"/>
    <x v="1"/>
    <x v="1"/>
    <s v="GNR_ENG_BGAS_BP_E-30"/>
    <x v="9"/>
    <n v="3.5094662399999997E-2"/>
  </r>
  <r>
    <x v="0"/>
    <x v="0"/>
    <x v="0"/>
    <x v="0"/>
    <x v="0"/>
    <s v="DK1_Rural"/>
    <x v="1"/>
    <x v="1"/>
    <x v="1"/>
    <s v="GNR_ENG_BGAS_BP_E-30"/>
    <x v="9"/>
    <n v="4.2798368780487803E-2"/>
  </r>
  <r>
    <x v="0"/>
    <x v="0"/>
    <x v="0"/>
    <x v="0"/>
    <x v="0"/>
    <s v="DK1_Rural"/>
    <x v="1"/>
    <x v="1"/>
    <x v="1"/>
    <s v="GNR_ENG_BGAS_BP_E-37"/>
    <x v="9"/>
    <n v="1.0265188752E-2"/>
  </r>
  <r>
    <x v="0"/>
    <x v="0"/>
    <x v="0"/>
    <x v="0"/>
    <x v="0"/>
    <s v="DK1_Rural"/>
    <x v="1"/>
    <x v="1"/>
    <x v="1"/>
    <s v="GNR_ENG_BGAS_BP_E-37"/>
    <x v="9"/>
    <n v="1.2518522868292701E-2"/>
  </r>
  <r>
    <x v="0"/>
    <x v="0"/>
    <x v="0"/>
    <x v="0"/>
    <x v="0"/>
    <s v="DK1_Rural"/>
    <x v="1"/>
    <x v="1"/>
    <x v="1"/>
    <s v="GNR_ENG_BGAS_BP_E-38"/>
    <x v="9"/>
    <n v="4.6792883199999998E-3"/>
  </r>
  <r>
    <x v="0"/>
    <x v="0"/>
    <x v="0"/>
    <x v="0"/>
    <x v="0"/>
    <s v="DK1_Rural"/>
    <x v="1"/>
    <x v="1"/>
    <x v="1"/>
    <s v="GNR_ENG_BGAS_BP_E-38"/>
    <x v="9"/>
    <n v="5.7064491707317097E-3"/>
  </r>
  <r>
    <x v="0"/>
    <x v="0"/>
    <x v="0"/>
    <x v="0"/>
    <x v="0"/>
    <s v="DK1_Rural"/>
    <x v="1"/>
    <x v="1"/>
    <x v="1"/>
    <s v="GNR_ENG_BGAS_BP_E-39"/>
    <x v="9"/>
    <n v="8.46171304533333E-3"/>
  </r>
  <r>
    <x v="0"/>
    <x v="0"/>
    <x v="0"/>
    <x v="0"/>
    <x v="0"/>
    <s v="DK1_Rural"/>
    <x v="1"/>
    <x v="1"/>
    <x v="1"/>
    <s v="GNR_ENG_BGAS_BP_E-39"/>
    <x v="9"/>
    <n v="1.0319162250406499E-2"/>
  </r>
  <r>
    <x v="0"/>
    <x v="0"/>
    <x v="0"/>
    <x v="0"/>
    <x v="0"/>
    <s v="DK1_Rural"/>
    <x v="1"/>
    <x v="1"/>
    <x v="1"/>
    <s v="GNR_ENG_BGAS_BP_E-40"/>
    <x v="9"/>
    <n v="8.6527839850666699E-2"/>
  </r>
  <r>
    <x v="0"/>
    <x v="0"/>
    <x v="0"/>
    <x v="0"/>
    <x v="0"/>
    <s v="DK1_Rural"/>
    <x v="1"/>
    <x v="1"/>
    <x v="1"/>
    <s v="GNR_ENG_BGAS_BP_E-40"/>
    <x v="9"/>
    <n v="0.105521755915447"/>
  </r>
  <r>
    <x v="0"/>
    <x v="0"/>
    <x v="0"/>
    <x v="0"/>
    <x v="0"/>
    <s v="DK1_Rural"/>
    <x v="1"/>
    <x v="1"/>
    <x v="1"/>
    <s v="GNR_ENG_BGAS_BP_E-41"/>
    <x v="9"/>
    <n v="1.61045506346667E-2"/>
  </r>
  <r>
    <x v="0"/>
    <x v="0"/>
    <x v="0"/>
    <x v="0"/>
    <x v="0"/>
    <s v="DK1_Rural"/>
    <x v="1"/>
    <x v="1"/>
    <x v="1"/>
    <s v="GNR_ENG_BGAS_BP_E-41"/>
    <x v="9"/>
    <n v="1.9639695895934998E-2"/>
  </r>
  <r>
    <x v="0"/>
    <x v="0"/>
    <x v="0"/>
    <x v="0"/>
    <x v="0"/>
    <s v="DK1_Rural"/>
    <x v="1"/>
    <x v="1"/>
    <x v="1"/>
    <s v="GNR_ENG_BGAS_BP_E-42"/>
    <x v="9"/>
    <n v="9.1168134101333301E-2"/>
  </r>
  <r>
    <x v="0"/>
    <x v="0"/>
    <x v="0"/>
    <x v="0"/>
    <x v="0"/>
    <s v="DK1_Rural"/>
    <x v="1"/>
    <x v="1"/>
    <x v="1"/>
    <s v="GNR_ENG_BGAS_BP_E-42"/>
    <x v="9"/>
    <n v="0.11118065134308899"/>
  </r>
  <r>
    <x v="0"/>
    <x v="0"/>
    <x v="0"/>
    <x v="0"/>
    <x v="0"/>
    <s v="DK1_Rural"/>
    <x v="1"/>
    <x v="1"/>
    <x v="1"/>
    <s v="GNR_ENG_BGAS_BP_E-43"/>
    <x v="9"/>
    <n v="7.0150330730666705E-2"/>
  </r>
  <r>
    <x v="0"/>
    <x v="0"/>
    <x v="0"/>
    <x v="0"/>
    <x v="0"/>
    <s v="DK1_Rural"/>
    <x v="1"/>
    <x v="1"/>
    <x v="1"/>
    <s v="GNR_ENG_BGAS_BP_E-43"/>
    <x v="9"/>
    <n v="8.5549183817886204E-2"/>
  </r>
  <r>
    <x v="0"/>
    <x v="0"/>
    <x v="0"/>
    <x v="0"/>
    <x v="0"/>
    <s v="DK1_Rural"/>
    <x v="6"/>
    <x v="2"/>
    <x v="2"/>
    <s v="GNR_HP_ELEC_COP-300"/>
    <x v="9"/>
    <n v="-3.1682681333333302E-3"/>
  </r>
  <r>
    <x v="0"/>
    <x v="0"/>
    <x v="0"/>
    <x v="0"/>
    <x v="0"/>
    <s v="DK1_Rural"/>
    <x v="6"/>
    <x v="2"/>
    <x v="2"/>
    <s v="GNR_HP_ELEC_COP-300"/>
    <x v="9"/>
    <n v="9.5048044000000005E-3"/>
  </r>
  <r>
    <x v="0"/>
    <x v="0"/>
    <x v="0"/>
    <x v="0"/>
    <x v="0"/>
    <s v="DK1_Rural"/>
    <x v="6"/>
    <x v="2"/>
    <x v="2"/>
    <s v="GNR_HP_ELEC_COP-350"/>
    <x v="9"/>
    <n v="-7.6212515866666596E-3"/>
  </r>
  <r>
    <x v="0"/>
    <x v="0"/>
    <x v="0"/>
    <x v="0"/>
    <x v="0"/>
    <s v="DK1_Rural"/>
    <x v="6"/>
    <x v="2"/>
    <x v="2"/>
    <s v="GNR_HP_ELEC_COP-350"/>
    <x v="9"/>
    <n v="2.66743805533333E-2"/>
  </r>
  <r>
    <x v="0"/>
    <x v="0"/>
    <x v="0"/>
    <x v="0"/>
    <x v="0"/>
    <s v="DK1_Rural"/>
    <x v="6"/>
    <x v="2"/>
    <x v="2"/>
    <s v="GNR_HP_ELEC_COP-400"/>
    <x v="9"/>
    <n v="-6.9877372245333302E-3"/>
  </r>
  <r>
    <x v="0"/>
    <x v="0"/>
    <x v="0"/>
    <x v="0"/>
    <x v="0"/>
    <s v="DK1_Rural"/>
    <x v="6"/>
    <x v="2"/>
    <x v="2"/>
    <s v="GNR_HP_ELEC_COP-400"/>
    <x v="9"/>
    <n v="2.79509488981333E-2"/>
  </r>
  <r>
    <x v="0"/>
    <x v="0"/>
    <x v="0"/>
    <x v="0"/>
    <x v="0"/>
    <s v="DK1_Rural"/>
    <x v="6"/>
    <x v="2"/>
    <x v="2"/>
    <s v="GNR_HP_ELEC_COP-430"/>
    <x v="9"/>
    <n v="-4.2734779472868197E-3"/>
  </r>
  <r>
    <x v="0"/>
    <x v="0"/>
    <x v="0"/>
    <x v="0"/>
    <x v="0"/>
    <s v="DK1_Rural"/>
    <x v="6"/>
    <x v="2"/>
    <x v="2"/>
    <s v="GNR_HP_ELEC_COP-430"/>
    <x v="9"/>
    <n v="1.8375955173333298E-2"/>
  </r>
  <r>
    <x v="0"/>
    <x v="0"/>
    <x v="0"/>
    <x v="0"/>
    <x v="0"/>
    <s v="DK1_Rural"/>
    <x v="6"/>
    <x v="2"/>
    <x v="2"/>
    <s v="GNR_HP_ELEC_COP-450"/>
    <x v="9"/>
    <n v="-1.6962420160000001E-3"/>
  </r>
  <r>
    <x v="0"/>
    <x v="0"/>
    <x v="0"/>
    <x v="0"/>
    <x v="0"/>
    <s v="DK1_Rural"/>
    <x v="6"/>
    <x v="2"/>
    <x v="2"/>
    <s v="GNR_HP_ELEC_COP-450"/>
    <x v="9"/>
    <n v="7.6330890719999997E-3"/>
  </r>
  <r>
    <x v="0"/>
    <x v="0"/>
    <x v="0"/>
    <x v="0"/>
    <x v="0"/>
    <s v="DK1_Rural"/>
    <x v="6"/>
    <x v="2"/>
    <x v="2"/>
    <s v="GNR_HP_ELEC_COP-460"/>
    <x v="9"/>
    <n v="-1.10624479304348E-2"/>
  </r>
  <r>
    <x v="0"/>
    <x v="0"/>
    <x v="0"/>
    <x v="0"/>
    <x v="0"/>
    <s v="DK1_Rural"/>
    <x v="6"/>
    <x v="2"/>
    <x v="2"/>
    <s v="GNR_HP_ELEC_COP-460"/>
    <x v="9"/>
    <n v="5.0887260480000002E-2"/>
  </r>
  <r>
    <x v="0"/>
    <x v="0"/>
    <x v="0"/>
    <x v="0"/>
    <x v="0"/>
    <s v="DK1_Rural"/>
    <x v="6"/>
    <x v="2"/>
    <x v="2"/>
    <s v="GNR_HP_ELEC_COP-470"/>
    <x v="9"/>
    <n v="-2.8571452397163099E-3"/>
  </r>
  <r>
    <x v="0"/>
    <x v="0"/>
    <x v="0"/>
    <x v="0"/>
    <x v="0"/>
    <s v="DK1_Rural"/>
    <x v="6"/>
    <x v="2"/>
    <x v="2"/>
    <s v="GNR_HP_ELEC_COP-470"/>
    <x v="9"/>
    <n v="1.3428582626666701E-2"/>
  </r>
  <r>
    <x v="0"/>
    <x v="0"/>
    <x v="0"/>
    <x v="0"/>
    <x v="0"/>
    <s v="DK1_Rural"/>
    <x v="6"/>
    <x v="2"/>
    <x v="2"/>
    <s v="GNR_HP_ELEC_COP-500"/>
    <x v="9"/>
    <n v="-1.7059905333333301E-3"/>
  </r>
  <r>
    <x v="0"/>
    <x v="0"/>
    <x v="0"/>
    <x v="0"/>
    <x v="0"/>
    <s v="DK1_Rural"/>
    <x v="6"/>
    <x v="2"/>
    <x v="2"/>
    <s v="GNR_HP_ELEC_COP-500"/>
    <x v="9"/>
    <n v="8.5299526666666597E-3"/>
  </r>
  <r>
    <x v="0"/>
    <x v="0"/>
    <x v="0"/>
    <x v="0"/>
    <x v="0"/>
    <s v="DK1_Rural"/>
    <x v="6"/>
    <x v="2"/>
    <x v="2"/>
    <s v="GNR_HP_ELEC_COP-530"/>
    <x v="9"/>
    <n v="-4.4696032301886797E-3"/>
  </r>
  <r>
    <x v="0"/>
    <x v="0"/>
    <x v="0"/>
    <x v="0"/>
    <x v="0"/>
    <s v="DK1_Rural"/>
    <x v="6"/>
    <x v="2"/>
    <x v="2"/>
    <s v="GNR_HP_ELEC_COP-530"/>
    <x v="9"/>
    <n v="2.368889712E-2"/>
  </r>
  <r>
    <x v="0"/>
    <x v="0"/>
    <x v="0"/>
    <x v="0"/>
    <x v="0"/>
    <s v="DK1_Rural"/>
    <x v="6"/>
    <x v="2"/>
    <x v="2"/>
    <s v="GNR_HP_ELEC_COP-600"/>
    <x v="9"/>
    <n v="-8.7736656000000001E-4"/>
  </r>
  <r>
    <x v="0"/>
    <x v="0"/>
    <x v="0"/>
    <x v="0"/>
    <x v="0"/>
    <s v="DK1_Rural"/>
    <x v="6"/>
    <x v="2"/>
    <x v="2"/>
    <s v="GNR_HP_ELEC_COP-600"/>
    <x v="9"/>
    <n v="5.2641993600000001E-3"/>
  </r>
  <r>
    <x v="0"/>
    <x v="0"/>
    <x v="0"/>
    <x v="0"/>
    <x v="0"/>
    <s v="DK1_Rural"/>
    <x v="6"/>
    <x v="2"/>
    <x v="2"/>
    <s v="GNR_HP_ELEC_GROUND-WTR_COP-380_LS-4-MW_Y-2030"/>
    <x v="9"/>
    <n v="-0.22599762245507601"/>
  </r>
  <r>
    <x v="0"/>
    <x v="0"/>
    <x v="0"/>
    <x v="0"/>
    <x v="0"/>
    <s v="DK1_Rural"/>
    <x v="6"/>
    <x v="2"/>
    <x v="2"/>
    <s v="GNR_HP_ELEC_GROUND-WTR_COP-380_LS-4-MW_Y-2030"/>
    <x v="9"/>
    <n v="0.858790965329288"/>
  </r>
  <r>
    <x v="0"/>
    <x v="0"/>
    <x v="0"/>
    <x v="0"/>
    <x v="0"/>
    <s v="DK1_Rural"/>
    <x v="11"/>
    <x v="3"/>
    <x v="10"/>
    <s v="GNR_HS_HEAT_WTR-TANK_LS_E-95_Y-2010"/>
    <x v="9"/>
    <n v="4.2763378853068597E-5"/>
  </r>
  <r>
    <x v="0"/>
    <x v="0"/>
    <x v="0"/>
    <x v="0"/>
    <x v="0"/>
    <s v="DK1_Rural"/>
    <x v="11"/>
    <x v="3"/>
    <x v="9"/>
    <s v="GNR_HS_HEAT_PIT_L-DEC_E-91_Y-2030"/>
    <x v="9"/>
    <n v="1.18040874232606E-4"/>
  </r>
  <r>
    <x v="0"/>
    <x v="0"/>
    <x v="0"/>
    <x v="0"/>
    <x v="0"/>
    <s v="DK1_Rural"/>
    <x v="3"/>
    <x v="1"/>
    <x v="1"/>
    <s v="GNR_ENG_NGAS_BP_E-37"/>
    <x v="9"/>
    <n v="7.5488618822400003E-2"/>
  </r>
  <r>
    <x v="0"/>
    <x v="0"/>
    <x v="0"/>
    <x v="0"/>
    <x v="0"/>
    <s v="DK1_Rural"/>
    <x v="3"/>
    <x v="1"/>
    <x v="1"/>
    <s v="GNR_ENG_NGAS_BP_E-37"/>
    <x v="9"/>
    <n v="8.3876243136000006E-2"/>
  </r>
  <r>
    <x v="0"/>
    <x v="0"/>
    <x v="0"/>
    <x v="0"/>
    <x v="0"/>
    <s v="DK1_Rural"/>
    <x v="3"/>
    <x v="1"/>
    <x v="1"/>
    <s v="GNR_ENG_NGAS_BP_E-38"/>
    <x v="9"/>
    <n v="3.5533345680000002E-2"/>
  </r>
  <r>
    <x v="0"/>
    <x v="0"/>
    <x v="0"/>
    <x v="0"/>
    <x v="0"/>
    <s v="DK1_Rural"/>
    <x v="3"/>
    <x v="1"/>
    <x v="1"/>
    <s v="GNR_ENG_NGAS_BP_E-38"/>
    <x v="9"/>
    <n v="3.9481495200000001E-2"/>
  </r>
  <r>
    <x v="0"/>
    <x v="0"/>
    <x v="0"/>
    <x v="0"/>
    <x v="0"/>
    <s v="DK1_Rural"/>
    <x v="3"/>
    <x v="1"/>
    <x v="1"/>
    <s v="GNR_ENG_NGAS_BP_E-39"/>
    <x v="9"/>
    <n v="2.8953096479999999E-2"/>
  </r>
  <r>
    <x v="0"/>
    <x v="0"/>
    <x v="0"/>
    <x v="0"/>
    <x v="0"/>
    <s v="DK1_Rural"/>
    <x v="3"/>
    <x v="1"/>
    <x v="1"/>
    <s v="GNR_ENG_NGAS_BP_E-39"/>
    <x v="9"/>
    <n v="3.2170107199999999E-2"/>
  </r>
  <r>
    <x v="0"/>
    <x v="0"/>
    <x v="0"/>
    <x v="0"/>
    <x v="0"/>
    <s v="DK1_Rural"/>
    <x v="3"/>
    <x v="1"/>
    <x v="1"/>
    <s v="GNR_ENG_NGAS_BP_E-40"/>
    <x v="9"/>
    <n v="7.2961803129600003E-2"/>
  </r>
  <r>
    <x v="0"/>
    <x v="0"/>
    <x v="0"/>
    <x v="0"/>
    <x v="0"/>
    <s v="DK1_Rural"/>
    <x v="3"/>
    <x v="1"/>
    <x v="1"/>
    <s v="GNR_ENG_NGAS_BP_E-40"/>
    <x v="9"/>
    <n v="8.1068670144000002E-2"/>
  </r>
  <r>
    <x v="0"/>
    <x v="0"/>
    <x v="0"/>
    <x v="0"/>
    <x v="0"/>
    <s v="DK1_Rural"/>
    <x v="3"/>
    <x v="1"/>
    <x v="1"/>
    <s v="GNR_ENG_NGAS_BP_E-41"/>
    <x v="9"/>
    <n v="0.24984216761582101"/>
  </r>
  <r>
    <x v="0"/>
    <x v="0"/>
    <x v="0"/>
    <x v="0"/>
    <x v="0"/>
    <s v="DK1_Rural"/>
    <x v="3"/>
    <x v="1"/>
    <x v="1"/>
    <s v="GNR_ENG_NGAS_BP_E-41"/>
    <x v="9"/>
    <n v="0.277602408462023"/>
  </r>
  <r>
    <x v="0"/>
    <x v="0"/>
    <x v="0"/>
    <x v="0"/>
    <x v="0"/>
    <s v="DK1_Rural"/>
    <x v="3"/>
    <x v="1"/>
    <x v="1"/>
    <s v="GNR_ENG_NGAS_BP_E-42"/>
    <x v="9"/>
    <n v="0.71386754681088005"/>
  </r>
  <r>
    <x v="0"/>
    <x v="0"/>
    <x v="0"/>
    <x v="0"/>
    <x v="0"/>
    <s v="DK1_Rural"/>
    <x v="3"/>
    <x v="1"/>
    <x v="1"/>
    <s v="GNR_ENG_NGAS_BP_E-42"/>
    <x v="9"/>
    <n v="0.793186163123201"/>
  </r>
  <r>
    <x v="0"/>
    <x v="0"/>
    <x v="0"/>
    <x v="0"/>
    <x v="0"/>
    <s v="DK1_Rural"/>
    <x v="3"/>
    <x v="1"/>
    <x v="1"/>
    <s v="GNR_ENG_NGAS_BP_E-43"/>
    <x v="9"/>
    <n v="0.43754972240447998"/>
  </r>
  <r>
    <x v="0"/>
    <x v="0"/>
    <x v="0"/>
    <x v="0"/>
    <x v="0"/>
    <s v="DK1_Rural"/>
    <x v="3"/>
    <x v="1"/>
    <x v="1"/>
    <s v="GNR_ENG_NGAS_BP_E-43"/>
    <x v="9"/>
    <n v="0.4861663582272"/>
  </r>
  <r>
    <x v="0"/>
    <x v="0"/>
    <x v="0"/>
    <x v="0"/>
    <x v="0"/>
    <s v="DK1_Rural"/>
    <x v="3"/>
    <x v="1"/>
    <x v="1"/>
    <s v="GNR_ENG_NGAS_BP_E-44"/>
    <x v="9"/>
    <n v="0.3983419655712"/>
  </r>
  <r>
    <x v="0"/>
    <x v="0"/>
    <x v="0"/>
    <x v="0"/>
    <x v="0"/>
    <s v="DK1_Rural"/>
    <x v="3"/>
    <x v="1"/>
    <x v="1"/>
    <s v="GNR_ENG_NGAS_BP_E-44"/>
    <x v="9"/>
    <n v="0.442602183968"/>
  </r>
  <r>
    <x v="0"/>
    <x v="0"/>
    <x v="0"/>
    <x v="0"/>
    <x v="0"/>
    <s v="DK1_Rural"/>
    <x v="3"/>
    <x v="1"/>
    <x v="1"/>
    <s v="GNR_ENG_NGAS_BP_E-45"/>
    <x v="9"/>
    <n v="0.161084500416"/>
  </r>
  <r>
    <x v="0"/>
    <x v="0"/>
    <x v="0"/>
    <x v="0"/>
    <x v="0"/>
    <s v="DK1_Rural"/>
    <x v="3"/>
    <x v="1"/>
    <x v="1"/>
    <s v="GNR_ENG_NGAS_BP_E-45"/>
    <x v="9"/>
    <n v="0.17898277824"/>
  </r>
  <r>
    <x v="0"/>
    <x v="0"/>
    <x v="0"/>
    <x v="0"/>
    <x v="0"/>
    <s v="DK1_Rural"/>
    <x v="3"/>
    <x v="1"/>
    <x v="1"/>
    <s v="GNR_ENG_NGAS_BP_E-46"/>
    <x v="9"/>
    <n v="5.7485057011199998E-2"/>
  </r>
  <r>
    <x v="0"/>
    <x v="0"/>
    <x v="0"/>
    <x v="0"/>
    <x v="0"/>
    <s v="DK1_Rural"/>
    <x v="3"/>
    <x v="1"/>
    <x v="1"/>
    <s v="GNR_ENG_NGAS_BP_E-46"/>
    <x v="9"/>
    <n v="6.3872285567999995E-2"/>
  </r>
  <r>
    <x v="0"/>
    <x v="0"/>
    <x v="0"/>
    <x v="0"/>
    <x v="0"/>
    <s v="DK1_Rural"/>
    <x v="3"/>
    <x v="7"/>
    <x v="11"/>
    <s v="GNR_BO_NGAS_E-101"/>
    <x v="9"/>
    <n v="1.08231400702618E-2"/>
  </r>
  <r>
    <x v="0"/>
    <x v="0"/>
    <x v="0"/>
    <x v="0"/>
    <x v="0"/>
    <s v="DK1_Rural"/>
    <x v="3"/>
    <x v="7"/>
    <x v="11"/>
    <s v="GNR_BO_NGAS_E-102"/>
    <x v="9"/>
    <n v="3.6486263249333301E-3"/>
  </r>
  <r>
    <x v="0"/>
    <x v="0"/>
    <x v="0"/>
    <x v="0"/>
    <x v="0"/>
    <s v="DK1_Rural"/>
    <x v="3"/>
    <x v="7"/>
    <x v="11"/>
    <s v="GNR_BO_NGAS_E-104"/>
    <x v="9"/>
    <n v="1.13131543653333E-3"/>
  </r>
  <r>
    <x v="0"/>
    <x v="0"/>
    <x v="0"/>
    <x v="0"/>
    <x v="0"/>
    <s v="DK1_Rural"/>
    <x v="3"/>
    <x v="7"/>
    <x v="11"/>
    <s v="GNR_BO_NGAS_E-105"/>
    <x v="9"/>
    <n v="1.8487441004995001E-2"/>
  </r>
  <r>
    <x v="0"/>
    <x v="0"/>
    <x v="0"/>
    <x v="0"/>
    <x v="0"/>
    <s v="DK1_Rural"/>
    <x v="4"/>
    <x v="7"/>
    <x v="11"/>
    <s v="GNR_BO_STRW_E-100"/>
    <x v="9"/>
    <n v="0.724934802720826"/>
  </r>
  <r>
    <x v="0"/>
    <x v="0"/>
    <x v="0"/>
    <x v="0"/>
    <x v="0"/>
    <s v="DK1_Rural"/>
    <x v="4"/>
    <x v="7"/>
    <x v="11"/>
    <s v="GNR_BO_STRW_E-102"/>
    <x v="9"/>
    <n v="0.23560028291854301"/>
  </r>
  <r>
    <x v="0"/>
    <x v="0"/>
    <x v="0"/>
    <x v="0"/>
    <x v="0"/>
    <s v="DK1_Rural"/>
    <x v="7"/>
    <x v="5"/>
    <x v="14"/>
    <s v="GNR_SH_SUN"/>
    <x v="9"/>
    <n v="0.20327221864832401"/>
  </r>
  <r>
    <x v="0"/>
    <x v="0"/>
    <x v="0"/>
    <x v="0"/>
    <x v="0"/>
    <s v="DK1_Rural"/>
    <x v="5"/>
    <x v="1"/>
    <x v="1"/>
    <s v="GNR_ST_WOODCHI_BP_E-17"/>
    <x v="9"/>
    <n v="4.16749116E-3"/>
  </r>
  <r>
    <x v="0"/>
    <x v="0"/>
    <x v="0"/>
    <x v="0"/>
    <x v="0"/>
    <s v="DK1_Rural"/>
    <x v="5"/>
    <x v="1"/>
    <x v="1"/>
    <s v="GNR_ST_WOODCHI_BP_E-17"/>
    <x v="9"/>
    <n v="1.22573269411765E-2"/>
  </r>
  <r>
    <x v="0"/>
    <x v="0"/>
    <x v="0"/>
    <x v="0"/>
    <x v="0"/>
    <s v="DK1_Rural"/>
    <x v="5"/>
    <x v="7"/>
    <x v="11"/>
    <s v="GNR_BO_WOODCHI_E-100"/>
    <x v="9"/>
    <n v="0.65695965059977901"/>
  </r>
  <r>
    <x v="0"/>
    <x v="0"/>
    <x v="0"/>
    <x v="0"/>
    <x v="0"/>
    <s v="DK1_Rural"/>
    <x v="5"/>
    <x v="7"/>
    <x v="11"/>
    <s v="GNR_BO_WOODCHI_E-105"/>
    <x v="9"/>
    <n v="2.1231358138631199E-2"/>
  </r>
  <r>
    <x v="0"/>
    <x v="0"/>
    <x v="0"/>
    <x v="0"/>
    <x v="0"/>
    <s v="DK1_Rural"/>
    <x v="5"/>
    <x v="7"/>
    <x v="11"/>
    <s v="GNR_BO_WOODCHI_E-106"/>
    <x v="9"/>
    <n v="1.38143997592054E-2"/>
  </r>
  <r>
    <x v="0"/>
    <x v="0"/>
    <x v="0"/>
    <x v="0"/>
    <x v="0"/>
    <s v="DK1_Rural"/>
    <x v="5"/>
    <x v="7"/>
    <x v="11"/>
    <s v="GNR_BO_WOODCHI_E-107"/>
    <x v="9"/>
    <n v="6.2807075453657296E-2"/>
  </r>
  <r>
    <x v="0"/>
    <x v="0"/>
    <x v="0"/>
    <x v="0"/>
    <x v="0"/>
    <s v="DK1_Rural"/>
    <x v="5"/>
    <x v="7"/>
    <x v="11"/>
    <s v="GNR_BO_WOODCHI_E-110"/>
    <x v="9"/>
    <n v="0.99336343450152897"/>
  </r>
  <r>
    <x v="0"/>
    <x v="0"/>
    <x v="0"/>
    <x v="0"/>
    <x v="0"/>
    <s v="DK1_Rural"/>
    <x v="5"/>
    <x v="7"/>
    <x v="11"/>
    <s v="GNR_BO_WOODCHI_E-112"/>
    <x v="9"/>
    <n v="0.20916819499540301"/>
  </r>
  <r>
    <x v="0"/>
    <x v="0"/>
    <x v="0"/>
    <x v="0"/>
    <x v="0"/>
    <s v="DK1_Rural"/>
    <x v="5"/>
    <x v="7"/>
    <x v="11"/>
    <s v="GNR_BO_WOODCHI_E-117"/>
    <x v="9"/>
    <n v="0.147204083094509"/>
  </r>
  <r>
    <x v="0"/>
    <x v="0"/>
    <x v="0"/>
    <x v="0"/>
    <x v="0"/>
    <s v="DK1_Rural"/>
    <x v="5"/>
    <x v="7"/>
    <x v="11"/>
    <s v="GNR_BO_WOODCHI_E-120"/>
    <x v="9"/>
    <n v="0.203821038130859"/>
  </r>
  <r>
    <x v="0"/>
    <x v="0"/>
    <x v="0"/>
    <x v="0"/>
    <x v="0"/>
    <s v="DK1_Rural"/>
    <x v="13"/>
    <x v="7"/>
    <x v="11"/>
    <s v="GNR_BO_WOODWST_E-100"/>
    <x v="9"/>
    <n v="0.19543513099016399"/>
  </r>
  <r>
    <x v="0"/>
    <x v="0"/>
    <x v="0"/>
    <x v="0"/>
    <x v="0"/>
    <s v="DK1_Rural"/>
    <x v="13"/>
    <x v="7"/>
    <x v="11"/>
    <s v="GNR_BO_WOODWST_E-113"/>
    <x v="9"/>
    <n v="3.59420930556624E-2"/>
  </r>
  <r>
    <x v="0"/>
    <x v="0"/>
    <x v="0"/>
    <x v="0"/>
    <x v="0"/>
    <s v="DK1_Rural"/>
    <x v="13"/>
    <x v="7"/>
    <x v="11"/>
    <s v="GNR_BO_WOODWST_E-86"/>
    <x v="9"/>
    <n v="1.0483110474568199E-2"/>
  </r>
  <r>
    <x v="0"/>
    <x v="0"/>
    <x v="0"/>
    <x v="0"/>
    <x v="0"/>
    <s v="DK1_Rural"/>
    <x v="13"/>
    <x v="7"/>
    <x v="11"/>
    <s v="GNR_BO_WOODWST_E-89"/>
    <x v="9"/>
    <n v="7.4879360532629996E-3"/>
  </r>
  <r>
    <x v="0"/>
    <x v="0"/>
    <x v="0"/>
    <x v="0"/>
    <x v="0"/>
    <s v="DK1_Rural"/>
    <x v="13"/>
    <x v="7"/>
    <x v="11"/>
    <s v="GNR_BO_WOODWST_E-90"/>
    <x v="9"/>
    <n v="6.7391424479366999E-3"/>
  </r>
  <r>
    <x v="0"/>
    <x v="0"/>
    <x v="0"/>
    <x v="0"/>
    <x v="0"/>
    <s v="DK1_Rural"/>
    <x v="13"/>
    <x v="7"/>
    <x v="11"/>
    <s v="GNR_BO_WOODWST_E-94"/>
    <x v="9"/>
    <n v="7.3639952389348597E-3"/>
  </r>
  <r>
    <x v="0"/>
    <x v="0"/>
    <x v="0"/>
    <x v="0"/>
    <x v="0"/>
    <s v="DK1_Small"/>
    <x v="11"/>
    <x v="3"/>
    <x v="10"/>
    <s v="GNR_HS_HEAT_WTR-TANK_LS_E-95_Y-2010"/>
    <x v="9"/>
    <n v="8.1594363122871105E-7"/>
  </r>
  <r>
    <x v="0"/>
    <x v="0"/>
    <x v="0"/>
    <x v="0"/>
    <x v="0"/>
    <s v="DK1_Small"/>
    <x v="3"/>
    <x v="1"/>
    <x v="1"/>
    <s v="GNR_ENG_NGAS_BP_E-38"/>
    <x v="9"/>
    <n v="1.33842268728E-2"/>
  </r>
  <r>
    <x v="0"/>
    <x v="0"/>
    <x v="0"/>
    <x v="0"/>
    <x v="0"/>
    <s v="DK1_Small"/>
    <x v="3"/>
    <x v="1"/>
    <x v="1"/>
    <s v="GNR_ENG_NGAS_BP_E-38"/>
    <x v="9"/>
    <n v="1.4871363192E-2"/>
  </r>
  <r>
    <x v="0"/>
    <x v="0"/>
    <x v="0"/>
    <x v="0"/>
    <x v="0"/>
    <s v="DK1_Small"/>
    <x v="3"/>
    <x v="7"/>
    <x v="11"/>
    <s v="GNR_BO_NGAS_E-101"/>
    <x v="9"/>
    <n v="2.19571399735945E-4"/>
  </r>
  <r>
    <x v="0"/>
    <x v="0"/>
    <x v="0"/>
    <x v="0"/>
    <x v="0"/>
    <s v="DK1_Small"/>
    <x v="4"/>
    <x v="7"/>
    <x v="11"/>
    <s v="GNR_BO_STRW_E-100"/>
    <x v="9"/>
    <n v="0.243837354641912"/>
  </r>
  <r>
    <x v="0"/>
    <x v="0"/>
    <x v="0"/>
    <x v="0"/>
    <x v="0"/>
    <s v="DK1_Small"/>
    <x v="5"/>
    <x v="7"/>
    <x v="11"/>
    <s v="GNR_BO_WOODCHI_E-100"/>
    <x v="9"/>
    <n v="9.4222121963566802E-2"/>
  </r>
  <r>
    <x v="0"/>
    <x v="0"/>
    <x v="0"/>
    <x v="0"/>
    <x v="0"/>
    <s v="DK1_Small"/>
    <x v="5"/>
    <x v="7"/>
    <x v="11"/>
    <s v="GNR_BO_WOODCHI_E-110"/>
    <x v="9"/>
    <n v="8.7076503918381301E-2"/>
  </r>
  <r>
    <x v="0"/>
    <x v="0"/>
    <x v="0"/>
    <x v="0"/>
    <x v="0"/>
    <s v="DK1_Small"/>
    <x v="13"/>
    <x v="7"/>
    <x v="11"/>
    <s v="GNR_BO_WOODWST_E-89"/>
    <x v="9"/>
    <n v="6.2129901412607599E-3"/>
  </r>
  <r>
    <x v="0"/>
    <x v="0"/>
    <x v="0"/>
    <x v="0"/>
    <x v="1"/>
    <s v="DK2_Large"/>
    <x v="1"/>
    <x v="1"/>
    <x v="1"/>
    <s v="GNR_ENG_BGAS_BP_E-42"/>
    <x v="9"/>
    <n v="1.7822239388799999E-2"/>
  </r>
  <r>
    <x v="0"/>
    <x v="0"/>
    <x v="0"/>
    <x v="0"/>
    <x v="1"/>
    <s v="DK2_Large"/>
    <x v="1"/>
    <x v="1"/>
    <x v="1"/>
    <s v="GNR_ENG_BGAS_BP_E-42"/>
    <x v="9"/>
    <n v="2.1734438279024399E-2"/>
  </r>
  <r>
    <x v="0"/>
    <x v="0"/>
    <x v="0"/>
    <x v="0"/>
    <x v="1"/>
    <s v="DK2_Large"/>
    <x v="10"/>
    <x v="1"/>
    <x v="8"/>
    <s v="GNR_ST_COAL_EXT_E-42"/>
    <x v="9"/>
    <n v="0.35647802453426902"/>
  </r>
  <r>
    <x v="0"/>
    <x v="0"/>
    <x v="0"/>
    <x v="0"/>
    <x v="1"/>
    <s v="DK2_Large"/>
    <x v="10"/>
    <x v="1"/>
    <x v="8"/>
    <s v="GNR_ST_COAL_EXT_E-42"/>
    <x v="9"/>
    <n v="1.7823901226713399"/>
  </r>
  <r>
    <x v="0"/>
    <x v="0"/>
    <x v="0"/>
    <x v="0"/>
    <x v="1"/>
    <s v="DK2_Large"/>
    <x v="6"/>
    <x v="2"/>
    <x v="2"/>
    <s v="GNR_HP_ELEC_COP-300"/>
    <x v="9"/>
    <n v="-4.4193278577777799E-4"/>
  </r>
  <r>
    <x v="0"/>
    <x v="0"/>
    <x v="0"/>
    <x v="0"/>
    <x v="1"/>
    <s v="DK2_Large"/>
    <x v="6"/>
    <x v="2"/>
    <x v="2"/>
    <s v="GNR_HP_ELEC_COP-300"/>
    <x v="9"/>
    <n v="1.32579835733333E-3"/>
  </r>
  <r>
    <x v="0"/>
    <x v="0"/>
    <x v="0"/>
    <x v="0"/>
    <x v="1"/>
    <s v="DK2_Large"/>
    <x v="11"/>
    <x v="3"/>
    <x v="10"/>
    <s v="GNR_HS_HEAT_WTR-TANK_LS_E-95_Y-2010"/>
    <x v="9"/>
    <n v="1.37344598320382E-4"/>
  </r>
  <r>
    <x v="0"/>
    <x v="0"/>
    <x v="0"/>
    <x v="0"/>
    <x v="1"/>
    <s v="DK2_Large"/>
    <x v="11"/>
    <x v="3"/>
    <x v="9"/>
    <s v="GNR_HS_HEAT_PIT_L-CEN_E-90_Y-2030"/>
    <x v="9"/>
    <n v="4.1162750827147701E-4"/>
  </r>
  <r>
    <x v="0"/>
    <x v="0"/>
    <x v="0"/>
    <x v="0"/>
    <x v="1"/>
    <s v="DK2_Large"/>
    <x v="2"/>
    <x v="1"/>
    <x v="1"/>
    <s v="GNR_ST_MSW_BP_E-24_LS-220-MW-FEED_Y-2030"/>
    <x v="9"/>
    <n v="27.342965886515898"/>
  </r>
  <r>
    <x v="0"/>
    <x v="0"/>
    <x v="0"/>
    <x v="0"/>
    <x v="1"/>
    <s v="DK2_Large"/>
    <x v="2"/>
    <x v="1"/>
    <x v="1"/>
    <s v="GNR_ST_MSW_BP_E-24_LS-220-MW-FEED_Y-2030"/>
    <x v="9"/>
    <n v="91.143219621719595"/>
  </r>
  <r>
    <x v="0"/>
    <x v="0"/>
    <x v="0"/>
    <x v="0"/>
    <x v="1"/>
    <s v="DK2_Large"/>
    <x v="2"/>
    <x v="1"/>
    <x v="1"/>
    <s v="GNR_ST_MSW_BP_E-27"/>
    <x v="9"/>
    <n v="4.221185993472"/>
  </r>
  <r>
    <x v="0"/>
    <x v="0"/>
    <x v="0"/>
    <x v="0"/>
    <x v="1"/>
    <s v="DK2_Large"/>
    <x v="2"/>
    <x v="1"/>
    <x v="1"/>
    <s v="GNR_ST_MSW_BP_E-27"/>
    <x v="9"/>
    <n v="14.2723014662465"/>
  </r>
  <r>
    <x v="0"/>
    <x v="0"/>
    <x v="0"/>
    <x v="0"/>
    <x v="1"/>
    <s v="DK2_Large"/>
    <x v="3"/>
    <x v="1"/>
    <x v="1"/>
    <s v="GNR_GT_NGAS_BP_E-43_LS-40-MW_Y-2030"/>
    <x v="9"/>
    <n v="3.0706293934338902"/>
  </r>
  <r>
    <x v="0"/>
    <x v="0"/>
    <x v="0"/>
    <x v="0"/>
    <x v="1"/>
    <s v="DK2_Large"/>
    <x v="3"/>
    <x v="1"/>
    <x v="1"/>
    <s v="GNR_GT_NGAS_BP_E-43_LS-40-MW_Y-2030"/>
    <x v="9"/>
    <n v="3.2322414667725101"/>
  </r>
  <r>
    <x v="0"/>
    <x v="0"/>
    <x v="0"/>
    <x v="0"/>
    <x v="1"/>
    <s v="DK2_Large"/>
    <x v="4"/>
    <x v="1"/>
    <x v="8"/>
    <s v="GNR_ST_COAL_EXT_E-42-Straw"/>
    <x v="9"/>
    <n v="0.25589857999999999"/>
  </r>
  <r>
    <x v="0"/>
    <x v="0"/>
    <x v="0"/>
    <x v="0"/>
    <x v="1"/>
    <s v="DK2_Large"/>
    <x v="4"/>
    <x v="1"/>
    <x v="8"/>
    <s v="GNR_ST_COAL_EXT_E-42-Straw"/>
    <x v="9"/>
    <n v="1.2794928999999999"/>
  </r>
  <r>
    <x v="0"/>
    <x v="0"/>
    <x v="0"/>
    <x v="0"/>
    <x v="1"/>
    <s v="DK2_Large"/>
    <x v="13"/>
    <x v="7"/>
    <x v="11"/>
    <s v="GNR_BO_WOODWST_E-90"/>
    <x v="9"/>
    <n v="1.6623218038243901E-3"/>
  </r>
  <r>
    <x v="0"/>
    <x v="0"/>
    <x v="0"/>
    <x v="0"/>
    <x v="1"/>
    <s v="DK2_Large_PHH"/>
    <x v="6"/>
    <x v="2"/>
    <x v="2"/>
    <s v="GNR_BO_ELEC_E-99_LS-10-MW-FEED_PHH_Y-2030"/>
    <x v="9"/>
    <n v="-2.7057723937896998E-2"/>
  </r>
  <r>
    <x v="0"/>
    <x v="0"/>
    <x v="0"/>
    <x v="0"/>
    <x v="1"/>
    <s v="DK2_Large_PHH"/>
    <x v="6"/>
    <x v="2"/>
    <x v="2"/>
    <s v="GNR_BO_ELEC_E-99_LS-10-MW-FEED_PHH_Y-2030"/>
    <x v="9"/>
    <n v="2.6787146698518002E-2"/>
  </r>
  <r>
    <x v="0"/>
    <x v="0"/>
    <x v="0"/>
    <x v="0"/>
    <x v="1"/>
    <s v="DK2_Large_PHH"/>
    <x v="3"/>
    <x v="7"/>
    <x v="11"/>
    <s v="GNR_BO_NGAS_E-70_PHH"/>
    <x v="9"/>
    <n v="0.29925691163880003"/>
  </r>
  <r>
    <x v="0"/>
    <x v="0"/>
    <x v="0"/>
    <x v="0"/>
    <x v="1"/>
    <s v="DK2_Large_PHL"/>
    <x v="3"/>
    <x v="7"/>
    <x v="11"/>
    <s v="GNR_BO_NGAS_E-82_PHL"/>
    <x v="9"/>
    <n v="1.8063063799788801"/>
  </r>
  <r>
    <x v="0"/>
    <x v="0"/>
    <x v="0"/>
    <x v="0"/>
    <x v="1"/>
    <s v="DK2_MedSmall"/>
    <x v="1"/>
    <x v="1"/>
    <x v="1"/>
    <s v="GNR_ENG_BGAS_BP_E-38"/>
    <x v="9"/>
    <n v="1.4622776000000001E-3"/>
  </r>
  <r>
    <x v="0"/>
    <x v="0"/>
    <x v="0"/>
    <x v="0"/>
    <x v="1"/>
    <s v="DK2_MedSmall"/>
    <x v="1"/>
    <x v="1"/>
    <x v="1"/>
    <s v="GNR_ENG_BGAS_BP_E-38"/>
    <x v="9"/>
    <n v="1.7832653658536601E-3"/>
  </r>
  <r>
    <x v="0"/>
    <x v="0"/>
    <x v="0"/>
    <x v="0"/>
    <x v="1"/>
    <s v="DK2_MedSmall"/>
    <x v="11"/>
    <x v="3"/>
    <x v="10"/>
    <s v="GNR_HS_HEAT_WTR-TANK_LS_E-95_Y-2010"/>
    <x v="9"/>
    <n v="1.97040345401181E-5"/>
  </r>
  <r>
    <x v="0"/>
    <x v="0"/>
    <x v="0"/>
    <x v="0"/>
    <x v="1"/>
    <s v="DK2_MedSmall"/>
    <x v="11"/>
    <x v="3"/>
    <x v="9"/>
    <s v="GNR_HS_HEAT_PIT_L-DEC_E-91_Y-2030"/>
    <x v="9"/>
    <n v="2.8481839944402799E-5"/>
  </r>
  <r>
    <x v="0"/>
    <x v="0"/>
    <x v="0"/>
    <x v="0"/>
    <x v="1"/>
    <s v="DK2_MedSmall"/>
    <x v="3"/>
    <x v="1"/>
    <x v="1"/>
    <s v="GNR_ENG_NGAS_BP_E-48_Y-2030"/>
    <x v="9"/>
    <n v="2.7807648639047402"/>
  </r>
  <r>
    <x v="0"/>
    <x v="0"/>
    <x v="0"/>
    <x v="0"/>
    <x v="1"/>
    <s v="DK2_MedSmall"/>
    <x v="3"/>
    <x v="1"/>
    <x v="1"/>
    <s v="GNR_ENG_NGAS_BP_E-48_Y-2030"/>
    <x v="9"/>
    <n v="2.8088533978835701"/>
  </r>
  <r>
    <x v="0"/>
    <x v="0"/>
    <x v="0"/>
    <x v="0"/>
    <x v="1"/>
    <s v="DK2_MedSmall"/>
    <x v="7"/>
    <x v="5"/>
    <x v="14"/>
    <s v="GNR_SH_SUN"/>
    <x v="9"/>
    <n v="6.0200266139999997E-3"/>
  </r>
  <r>
    <x v="0"/>
    <x v="0"/>
    <x v="0"/>
    <x v="0"/>
    <x v="1"/>
    <s v="DK2_MedSmall"/>
    <x v="5"/>
    <x v="7"/>
    <x v="11"/>
    <s v="GNR_BO_WOODCHI_E-118"/>
    <x v="9"/>
    <n v="1.6630535487994401E-4"/>
  </r>
  <r>
    <x v="0"/>
    <x v="0"/>
    <x v="0"/>
    <x v="0"/>
    <x v="1"/>
    <s v="DK2_Medium"/>
    <x v="11"/>
    <x v="3"/>
    <x v="10"/>
    <s v="GNR_HS_HEAT_WTR-TANK_LS_E-95_Y-2010"/>
    <x v="9"/>
    <n v="5.90596963764641E-5"/>
  </r>
  <r>
    <x v="0"/>
    <x v="0"/>
    <x v="0"/>
    <x v="0"/>
    <x v="1"/>
    <s v="DK2_Medium"/>
    <x v="11"/>
    <x v="3"/>
    <x v="9"/>
    <s v="GNR_HS_HEAT_PIT_L-DEC_E-91_Y-2030"/>
    <x v="9"/>
    <n v="5.2963245665011501E-5"/>
  </r>
  <r>
    <x v="0"/>
    <x v="0"/>
    <x v="0"/>
    <x v="0"/>
    <x v="1"/>
    <s v="DK2_Medium"/>
    <x v="2"/>
    <x v="1"/>
    <x v="1"/>
    <s v="GNR_ST_MSW_BP_E-23"/>
    <x v="9"/>
    <n v="1.7406952550399999"/>
  </r>
  <r>
    <x v="0"/>
    <x v="0"/>
    <x v="0"/>
    <x v="0"/>
    <x v="1"/>
    <s v="DK2_Medium"/>
    <x v="2"/>
    <x v="1"/>
    <x v="1"/>
    <s v="GNR_ST_MSW_BP_E-23"/>
    <x v="9"/>
    <n v="5.8854851407202"/>
  </r>
  <r>
    <x v="0"/>
    <x v="0"/>
    <x v="0"/>
    <x v="0"/>
    <x v="1"/>
    <s v="DK2_Medium"/>
    <x v="3"/>
    <x v="1"/>
    <x v="1"/>
    <s v="GNR_ENG_NGAS_BP_E-35"/>
    <x v="9"/>
    <n v="7.6594100687999997E-3"/>
  </r>
  <r>
    <x v="0"/>
    <x v="0"/>
    <x v="0"/>
    <x v="0"/>
    <x v="1"/>
    <s v="DK2_Medium"/>
    <x v="3"/>
    <x v="1"/>
    <x v="1"/>
    <s v="GNR_ENG_NGAS_BP_E-35"/>
    <x v="9"/>
    <n v="8.5104556319999993E-3"/>
  </r>
  <r>
    <x v="0"/>
    <x v="0"/>
    <x v="0"/>
    <x v="0"/>
    <x v="1"/>
    <s v="DK2_Medium"/>
    <x v="3"/>
    <x v="1"/>
    <x v="1"/>
    <s v="GNR_ENG_NGAS_BP_E-42"/>
    <x v="9"/>
    <n v="1.8424697760000001E-2"/>
  </r>
  <r>
    <x v="0"/>
    <x v="0"/>
    <x v="0"/>
    <x v="0"/>
    <x v="1"/>
    <s v="DK2_Medium"/>
    <x v="3"/>
    <x v="1"/>
    <x v="1"/>
    <s v="GNR_ENG_NGAS_BP_E-42"/>
    <x v="9"/>
    <n v="2.04718864E-2"/>
  </r>
  <r>
    <x v="0"/>
    <x v="0"/>
    <x v="0"/>
    <x v="0"/>
    <x v="1"/>
    <s v="DK2_Medium"/>
    <x v="3"/>
    <x v="1"/>
    <x v="1"/>
    <s v="GNR_ENG_NGAS_BP_E-48_Y-2030"/>
    <x v="9"/>
    <n v="5.7819487596326304"/>
  </r>
  <r>
    <x v="0"/>
    <x v="0"/>
    <x v="0"/>
    <x v="0"/>
    <x v="1"/>
    <s v="DK2_Medium"/>
    <x v="3"/>
    <x v="1"/>
    <x v="1"/>
    <s v="GNR_ENG_NGAS_BP_E-48_Y-2030"/>
    <x v="9"/>
    <n v="5.8403522824572001"/>
  </r>
  <r>
    <x v="0"/>
    <x v="0"/>
    <x v="0"/>
    <x v="0"/>
    <x v="1"/>
    <s v="DK2_Medium"/>
    <x v="7"/>
    <x v="5"/>
    <x v="14"/>
    <s v="GNR_SH_SUN"/>
    <x v="9"/>
    <n v="7.3444324690800002E-3"/>
  </r>
  <r>
    <x v="0"/>
    <x v="0"/>
    <x v="0"/>
    <x v="0"/>
    <x v="1"/>
    <s v="DK2_Medium"/>
    <x v="5"/>
    <x v="1"/>
    <x v="1"/>
    <s v="GNR_ST_WOODCHI_BP_E-27"/>
    <x v="9"/>
    <n v="8.5572485152000007E-3"/>
  </r>
  <r>
    <x v="0"/>
    <x v="0"/>
    <x v="0"/>
    <x v="0"/>
    <x v="1"/>
    <s v="DK2_Medium"/>
    <x v="5"/>
    <x v="1"/>
    <x v="1"/>
    <s v="GNR_ST_WOODCHI_BP_E-27"/>
    <x v="9"/>
    <n v="2.5168377985882399E-2"/>
  </r>
  <r>
    <x v="0"/>
    <x v="0"/>
    <x v="0"/>
    <x v="0"/>
    <x v="1"/>
    <s v="DK2_NoDH"/>
    <x v="9"/>
    <x v="5"/>
    <x v="7"/>
    <s v="GNR_WT_WIND_ONS"/>
    <x v="9"/>
    <n v="2.3293749421724201"/>
  </r>
  <r>
    <x v="0"/>
    <x v="0"/>
    <x v="0"/>
    <x v="0"/>
    <x v="1"/>
    <s v="DK2_NoDH_PHH"/>
    <x v="6"/>
    <x v="2"/>
    <x v="2"/>
    <s v="GNR_BO_ELEC_E-99_LS-10-MW-FEED_PHH_Y-2030"/>
    <x v="9"/>
    <n v="-2.0752562291050498E-2"/>
  </r>
  <r>
    <x v="0"/>
    <x v="0"/>
    <x v="0"/>
    <x v="0"/>
    <x v="1"/>
    <s v="DK2_NoDH_PHH"/>
    <x v="6"/>
    <x v="2"/>
    <x v="2"/>
    <s v="GNR_BO_ELEC_E-99_LS-10-MW-FEED_PHH_Y-2030"/>
    <x v="9"/>
    <n v="2.0545036668140001E-2"/>
  </r>
  <r>
    <x v="0"/>
    <x v="0"/>
    <x v="0"/>
    <x v="0"/>
    <x v="1"/>
    <s v="DK2_NoDH_PHH"/>
    <x v="3"/>
    <x v="7"/>
    <x v="11"/>
    <s v="GNR_BO_NGAS_E-70_PHH"/>
    <x v="9"/>
    <n v="3.4404223826793299E-3"/>
  </r>
  <r>
    <x v="0"/>
    <x v="0"/>
    <x v="0"/>
    <x v="0"/>
    <x v="1"/>
    <s v="DK2_NoDH_PHL"/>
    <x v="3"/>
    <x v="7"/>
    <x v="11"/>
    <s v="GNR_BO_NGAS_E-82_PHL"/>
    <x v="9"/>
    <n v="2.4346663304246001"/>
  </r>
  <r>
    <x v="0"/>
    <x v="0"/>
    <x v="0"/>
    <x v="0"/>
    <x v="1"/>
    <s v="DK2_Offshore"/>
    <x v="9"/>
    <x v="5"/>
    <x v="7"/>
    <s v="GNR_WT_WIND_OFF"/>
    <x v="9"/>
    <n v="15.807098355914"/>
  </r>
  <r>
    <x v="0"/>
    <x v="0"/>
    <x v="0"/>
    <x v="0"/>
    <x v="1"/>
    <s v="DK2_Rural"/>
    <x v="1"/>
    <x v="1"/>
    <x v="1"/>
    <s v="GNR_ENG_BGAS_BP_E-40"/>
    <x v="9"/>
    <n v="7.2333998613333299E-3"/>
  </r>
  <r>
    <x v="0"/>
    <x v="0"/>
    <x v="0"/>
    <x v="0"/>
    <x v="1"/>
    <s v="DK2_Rural"/>
    <x v="1"/>
    <x v="1"/>
    <x v="1"/>
    <s v="GNR_ENG_BGAS_BP_E-40"/>
    <x v="9"/>
    <n v="8.8212193430894301E-3"/>
  </r>
  <r>
    <x v="0"/>
    <x v="0"/>
    <x v="0"/>
    <x v="0"/>
    <x v="1"/>
    <s v="DK2_Rural"/>
    <x v="1"/>
    <x v="1"/>
    <x v="1"/>
    <s v="GNR_ENG_BGAS_BP_E-41"/>
    <x v="9"/>
    <n v="2.7295848533333299E-2"/>
  </r>
  <r>
    <x v="0"/>
    <x v="0"/>
    <x v="0"/>
    <x v="0"/>
    <x v="1"/>
    <s v="DK2_Rural"/>
    <x v="1"/>
    <x v="1"/>
    <x v="1"/>
    <s v="GNR_ENG_BGAS_BP_E-41"/>
    <x v="9"/>
    <n v="3.3287620162601603E-2"/>
  </r>
  <r>
    <x v="0"/>
    <x v="0"/>
    <x v="0"/>
    <x v="0"/>
    <x v="1"/>
    <s v="DK2_Rural"/>
    <x v="1"/>
    <x v="1"/>
    <x v="1"/>
    <s v="GNR_ENG_BGAS_BP_E-42"/>
    <x v="9"/>
    <n v="7.8257197745066703E-2"/>
  </r>
  <r>
    <x v="0"/>
    <x v="0"/>
    <x v="0"/>
    <x v="0"/>
    <x v="1"/>
    <s v="DK2_Rural"/>
    <x v="1"/>
    <x v="1"/>
    <x v="1"/>
    <s v="GNR_ENG_BGAS_BP_E-42"/>
    <x v="9"/>
    <n v="9.5435607006178896E-2"/>
  </r>
  <r>
    <x v="0"/>
    <x v="0"/>
    <x v="0"/>
    <x v="0"/>
    <x v="1"/>
    <s v="DK2_Rural"/>
    <x v="10"/>
    <x v="1"/>
    <x v="1"/>
    <s v="GNR_ST_COAL_BP_E-35"/>
    <x v="9"/>
    <n v="0.51562289172980802"/>
  </r>
  <r>
    <x v="0"/>
    <x v="0"/>
    <x v="0"/>
    <x v="0"/>
    <x v="1"/>
    <s v="DK2_Rural"/>
    <x v="10"/>
    <x v="1"/>
    <x v="1"/>
    <s v="GNR_ST_COAL_BP_E-35"/>
    <x v="9"/>
    <n v="0.68749718897307699"/>
  </r>
  <r>
    <x v="0"/>
    <x v="0"/>
    <x v="0"/>
    <x v="0"/>
    <x v="1"/>
    <s v="DK2_Rural"/>
    <x v="6"/>
    <x v="2"/>
    <x v="2"/>
    <s v="GNR_HP_ELEC_COP-400"/>
    <x v="9"/>
    <n v="-2.8270700266666698E-3"/>
  </r>
  <r>
    <x v="0"/>
    <x v="0"/>
    <x v="0"/>
    <x v="0"/>
    <x v="1"/>
    <s v="DK2_Rural"/>
    <x v="6"/>
    <x v="2"/>
    <x v="2"/>
    <s v="GNR_HP_ELEC_COP-400"/>
    <x v="9"/>
    <n v="1.13082801066667E-2"/>
  </r>
  <r>
    <x v="0"/>
    <x v="0"/>
    <x v="0"/>
    <x v="0"/>
    <x v="1"/>
    <s v="DK2_Rural"/>
    <x v="11"/>
    <x v="3"/>
    <x v="10"/>
    <s v="GNR_HS_HEAT_WTR-TANK_LS_E-95_Y-2010"/>
    <x v="9"/>
    <n v="1.9747633286132199E-5"/>
  </r>
  <r>
    <x v="0"/>
    <x v="0"/>
    <x v="0"/>
    <x v="0"/>
    <x v="1"/>
    <s v="DK2_Rural"/>
    <x v="11"/>
    <x v="3"/>
    <x v="9"/>
    <s v="GNR_HS_HEAT_PIT_L-DEC_E-91_Y-2030"/>
    <x v="9"/>
    <n v="4.2098530943621001E-5"/>
  </r>
  <r>
    <x v="0"/>
    <x v="0"/>
    <x v="0"/>
    <x v="0"/>
    <x v="1"/>
    <s v="DK2_Rural"/>
    <x v="3"/>
    <x v="1"/>
    <x v="1"/>
    <s v="GNR_CC_NGAS_BP_E-53_SS-10-MW_Y-2030"/>
    <x v="9"/>
    <n v="1.1103805878642301"/>
  </r>
  <r>
    <x v="0"/>
    <x v="0"/>
    <x v="0"/>
    <x v="0"/>
    <x v="1"/>
    <s v="DK2_Rural"/>
    <x v="3"/>
    <x v="1"/>
    <x v="1"/>
    <s v="GNR_CC_NGAS_BP_E-53_SS-10-MW_Y-2030"/>
    <x v="9"/>
    <n v="1.55453282300992"/>
  </r>
  <r>
    <x v="0"/>
    <x v="0"/>
    <x v="0"/>
    <x v="0"/>
    <x v="1"/>
    <s v="DK2_Rural"/>
    <x v="3"/>
    <x v="1"/>
    <x v="1"/>
    <s v="GNR_ENG_NGAS_BP_E-36"/>
    <x v="9"/>
    <n v="2.6255194308E-3"/>
  </r>
  <r>
    <x v="0"/>
    <x v="0"/>
    <x v="0"/>
    <x v="0"/>
    <x v="1"/>
    <s v="DK2_Rural"/>
    <x v="3"/>
    <x v="1"/>
    <x v="1"/>
    <s v="GNR_ENG_NGAS_BP_E-36"/>
    <x v="9"/>
    <n v="2.9172438120000001E-3"/>
  </r>
  <r>
    <x v="0"/>
    <x v="0"/>
    <x v="0"/>
    <x v="0"/>
    <x v="1"/>
    <s v="DK2_Rural"/>
    <x v="3"/>
    <x v="1"/>
    <x v="1"/>
    <s v="GNR_ENG_NGAS_BP_E-38"/>
    <x v="9"/>
    <n v="4.5601126956000002E-3"/>
  </r>
  <r>
    <x v="0"/>
    <x v="0"/>
    <x v="0"/>
    <x v="0"/>
    <x v="1"/>
    <s v="DK2_Rural"/>
    <x v="3"/>
    <x v="1"/>
    <x v="1"/>
    <s v="GNR_ENG_NGAS_BP_E-38"/>
    <x v="9"/>
    <n v="5.0667918840000001E-3"/>
  </r>
  <r>
    <x v="0"/>
    <x v="0"/>
    <x v="0"/>
    <x v="0"/>
    <x v="1"/>
    <s v="DK2_Rural"/>
    <x v="3"/>
    <x v="1"/>
    <x v="1"/>
    <s v="GNR_ENG_NGAS_BP_E-40"/>
    <x v="9"/>
    <n v="0.13423708368000001"/>
  </r>
  <r>
    <x v="0"/>
    <x v="0"/>
    <x v="0"/>
    <x v="0"/>
    <x v="1"/>
    <s v="DK2_Rural"/>
    <x v="3"/>
    <x v="1"/>
    <x v="1"/>
    <s v="GNR_ENG_NGAS_BP_E-40"/>
    <x v="9"/>
    <n v="0.1491523152"/>
  </r>
  <r>
    <x v="0"/>
    <x v="0"/>
    <x v="0"/>
    <x v="0"/>
    <x v="1"/>
    <s v="DK2_Rural"/>
    <x v="3"/>
    <x v="1"/>
    <x v="1"/>
    <s v="GNR_ENG_NGAS_BP_E-45"/>
    <x v="9"/>
    <n v="1.5134573159999999E-2"/>
  </r>
  <r>
    <x v="0"/>
    <x v="0"/>
    <x v="0"/>
    <x v="0"/>
    <x v="1"/>
    <s v="DK2_Rural"/>
    <x v="3"/>
    <x v="1"/>
    <x v="1"/>
    <s v="GNR_ENG_NGAS_BP_E-45"/>
    <x v="9"/>
    <n v="1.6816192399999999E-2"/>
  </r>
  <r>
    <x v="0"/>
    <x v="0"/>
    <x v="0"/>
    <x v="0"/>
    <x v="1"/>
    <s v="DK2_Rural"/>
    <x v="3"/>
    <x v="7"/>
    <x v="11"/>
    <s v="GNR_BO_NGAS_E-100"/>
    <x v="9"/>
    <n v="8.71273736666667E-4"/>
  </r>
  <r>
    <x v="0"/>
    <x v="0"/>
    <x v="0"/>
    <x v="0"/>
    <x v="1"/>
    <s v="DK2_Rural"/>
    <x v="3"/>
    <x v="7"/>
    <x v="11"/>
    <s v="GNR_BO_NGAS_E-101"/>
    <x v="9"/>
    <n v="6.9701898933333399E-4"/>
  </r>
  <r>
    <x v="0"/>
    <x v="0"/>
    <x v="0"/>
    <x v="0"/>
    <x v="1"/>
    <s v="DK2_Rural"/>
    <x v="4"/>
    <x v="7"/>
    <x v="11"/>
    <s v="GNR_BO_STRW_E-100"/>
    <x v="9"/>
    <n v="0.33027430101520799"/>
  </r>
  <r>
    <x v="0"/>
    <x v="0"/>
    <x v="0"/>
    <x v="0"/>
    <x v="1"/>
    <s v="DK2_Rural"/>
    <x v="4"/>
    <x v="7"/>
    <x v="11"/>
    <s v="GNR_BO_STRW_E-102"/>
    <x v="9"/>
    <n v="0.361976492325919"/>
  </r>
  <r>
    <x v="0"/>
    <x v="0"/>
    <x v="0"/>
    <x v="0"/>
    <x v="1"/>
    <s v="DK2_Rural"/>
    <x v="7"/>
    <x v="5"/>
    <x v="14"/>
    <s v="GNR_SH_SUN"/>
    <x v="9"/>
    <n v="3.2488076960219998E-2"/>
  </r>
  <r>
    <x v="0"/>
    <x v="0"/>
    <x v="0"/>
    <x v="0"/>
    <x v="1"/>
    <s v="DK2_Rural"/>
    <x v="5"/>
    <x v="7"/>
    <x v="11"/>
    <s v="GNR_BO_WOODCHI_E-100"/>
    <x v="9"/>
    <n v="7.5778475880130494E-2"/>
  </r>
  <r>
    <x v="0"/>
    <x v="0"/>
    <x v="0"/>
    <x v="0"/>
    <x v="1"/>
    <s v="DK2_Rural"/>
    <x v="5"/>
    <x v="7"/>
    <x v="11"/>
    <s v="GNR_BO_WOODCHI_E-110"/>
    <x v="9"/>
    <n v="0.222761336992536"/>
  </r>
  <r>
    <x v="0"/>
    <x v="0"/>
    <x v="0"/>
    <x v="0"/>
    <x v="1"/>
    <s v="DK2_Small"/>
    <x v="11"/>
    <x v="3"/>
    <x v="10"/>
    <s v="GNR_HS_HEAT_WTR-TANK_LS_E-95_Y-2010"/>
    <x v="9"/>
    <n v="2.7061770904168001E-6"/>
  </r>
  <r>
    <x v="0"/>
    <x v="0"/>
    <x v="0"/>
    <x v="0"/>
    <x v="1"/>
    <s v="DK2_Small"/>
    <x v="11"/>
    <x v="3"/>
    <x v="9"/>
    <s v="GNR_HS_HEAT_PIT_L-DEC_E-91_Y-2030"/>
    <x v="9"/>
    <n v="4.09264867577858E-6"/>
  </r>
  <r>
    <x v="0"/>
    <x v="0"/>
    <x v="0"/>
    <x v="0"/>
    <x v="1"/>
    <s v="DK2_Small"/>
    <x v="3"/>
    <x v="1"/>
    <x v="1"/>
    <s v="GNR_CC_NGAS_BP_E-53_SS-10-MW_Y-2030"/>
    <x v="9"/>
    <n v="0.36107470559485599"/>
  </r>
  <r>
    <x v="0"/>
    <x v="0"/>
    <x v="0"/>
    <x v="0"/>
    <x v="1"/>
    <s v="DK2_Small"/>
    <x v="3"/>
    <x v="1"/>
    <x v="1"/>
    <s v="GNR_CC_NGAS_BP_E-53_SS-10-MW_Y-2030"/>
    <x v="9"/>
    <n v="0.50550458783279795"/>
  </r>
  <r>
    <x v="0"/>
    <x v="0"/>
    <x v="0"/>
    <x v="0"/>
    <x v="1"/>
    <s v="DK2_Small"/>
    <x v="3"/>
    <x v="7"/>
    <x v="11"/>
    <s v="GNR_BO_NGAS_E-104"/>
    <x v="9"/>
    <n v="1.2937807476117399E-3"/>
  </r>
  <r>
    <x v="0"/>
    <x v="0"/>
    <x v="0"/>
    <x v="0"/>
    <x v="1"/>
    <s v="DK2_Small"/>
    <x v="4"/>
    <x v="7"/>
    <x v="11"/>
    <s v="GNR_BO_STRW_E-100"/>
    <x v="9"/>
    <n v="4.7246898441714098E-2"/>
  </r>
  <r>
    <x v="0"/>
    <x v="0"/>
    <x v="0"/>
    <x v="0"/>
    <x v="0"/>
    <m/>
    <x v="0"/>
    <x v="0"/>
    <x v="0"/>
    <m/>
    <x v="10"/>
    <n v="5.7948306960063497E-6"/>
  </r>
  <r>
    <x v="0"/>
    <x v="0"/>
    <x v="0"/>
    <x v="0"/>
    <x v="0"/>
    <m/>
    <x v="0"/>
    <x v="0"/>
    <x v="0"/>
    <m/>
    <x v="10"/>
    <n v="4.7644703068901302E-5"/>
  </r>
  <r>
    <x v="0"/>
    <x v="0"/>
    <x v="0"/>
    <x v="0"/>
    <x v="1"/>
    <m/>
    <x v="0"/>
    <x v="0"/>
    <x v="0"/>
    <m/>
    <x v="10"/>
    <n v="5.7948306960063497E-6"/>
  </r>
  <r>
    <x v="0"/>
    <x v="0"/>
    <x v="0"/>
    <x v="0"/>
    <x v="1"/>
    <m/>
    <x v="0"/>
    <x v="0"/>
    <x v="0"/>
    <m/>
    <x v="10"/>
    <n v="4.7644703068901302E-5"/>
  </r>
  <r>
    <x v="0"/>
    <x v="0"/>
    <x v="0"/>
    <x v="0"/>
    <x v="0"/>
    <s v="DK1_Large"/>
    <x v="1"/>
    <x v="1"/>
    <x v="1"/>
    <s v="GNR_ENG_BGAS_BP_E-36"/>
    <x v="11"/>
    <n v="2.6640989010989001E-3"/>
  </r>
  <r>
    <x v="0"/>
    <x v="0"/>
    <x v="0"/>
    <x v="0"/>
    <x v="0"/>
    <s v="DK1_Large"/>
    <x v="1"/>
    <x v="1"/>
    <x v="1"/>
    <s v="GNR_ENG_BGAS_BP_E-36"/>
    <x v="12"/>
    <n v="3.2489010989011002E-3"/>
  </r>
  <r>
    <x v="0"/>
    <x v="0"/>
    <x v="0"/>
    <x v="0"/>
    <x v="0"/>
    <s v="DK1_Large"/>
    <x v="1"/>
    <x v="1"/>
    <x v="1"/>
    <s v="GNR_ENG_BGAS_BP_E-37"/>
    <x v="11"/>
    <n v="1.6000594000593999E-3"/>
  </r>
  <r>
    <x v="0"/>
    <x v="0"/>
    <x v="0"/>
    <x v="0"/>
    <x v="0"/>
    <s v="DK1_Large"/>
    <x v="1"/>
    <x v="1"/>
    <x v="1"/>
    <s v="GNR_ENG_BGAS_BP_E-37"/>
    <x v="12"/>
    <n v="1.9512919512919499E-3"/>
  </r>
  <r>
    <x v="0"/>
    <x v="0"/>
    <x v="0"/>
    <x v="0"/>
    <x v="0"/>
    <s v="DK1_Large"/>
    <x v="1"/>
    <x v="1"/>
    <x v="1"/>
    <s v="GNR_ENG_BGAS_BP_E-39"/>
    <x v="11"/>
    <n v="1.02465342349958E-2"/>
  </r>
  <r>
    <x v="0"/>
    <x v="0"/>
    <x v="0"/>
    <x v="0"/>
    <x v="0"/>
    <s v="DK1_Large"/>
    <x v="1"/>
    <x v="1"/>
    <x v="1"/>
    <s v="GNR_ENG_BGAS_BP_E-39"/>
    <x v="12"/>
    <n v="1.24957734573119E-2"/>
  </r>
  <r>
    <x v="0"/>
    <x v="0"/>
    <x v="0"/>
    <x v="0"/>
    <x v="0"/>
    <s v="DK1_Large"/>
    <x v="1"/>
    <x v="1"/>
    <x v="1"/>
    <s v="GNR_ENG_BGAS_BP_E-40"/>
    <x v="11"/>
    <n v="3.6794165934065899E-3"/>
  </r>
  <r>
    <x v="0"/>
    <x v="0"/>
    <x v="0"/>
    <x v="0"/>
    <x v="0"/>
    <s v="DK1_Large"/>
    <x v="1"/>
    <x v="1"/>
    <x v="1"/>
    <s v="GNR_ENG_BGAS_BP_E-40"/>
    <x v="12"/>
    <n v="4.4870934065933997E-3"/>
  </r>
  <r>
    <x v="0"/>
    <x v="0"/>
    <x v="0"/>
    <x v="0"/>
    <x v="0"/>
    <s v="DK1_Large"/>
    <x v="1"/>
    <x v="1"/>
    <x v="1"/>
    <s v="GNR_ENG_BGAS_BP_E-41"/>
    <x v="11"/>
    <n v="7.7309406593406597E-3"/>
  </r>
  <r>
    <x v="0"/>
    <x v="0"/>
    <x v="0"/>
    <x v="0"/>
    <x v="0"/>
    <s v="DK1_Large"/>
    <x v="1"/>
    <x v="1"/>
    <x v="1"/>
    <s v="GNR_ENG_BGAS_BP_E-41"/>
    <x v="12"/>
    <n v="9.4279764138300703E-3"/>
  </r>
  <r>
    <x v="0"/>
    <x v="0"/>
    <x v="0"/>
    <x v="0"/>
    <x v="0"/>
    <s v="DK1_Large"/>
    <x v="1"/>
    <x v="1"/>
    <x v="1"/>
    <s v="GNR_ENG_BGAS_BP_E-42"/>
    <x v="11"/>
    <n v="6.9774018838304596E-3"/>
  </r>
  <r>
    <x v="0"/>
    <x v="0"/>
    <x v="0"/>
    <x v="0"/>
    <x v="0"/>
    <s v="DK1_Large"/>
    <x v="1"/>
    <x v="1"/>
    <x v="1"/>
    <s v="GNR_ENG_BGAS_BP_E-42"/>
    <x v="12"/>
    <n v="8.5090266875981202E-3"/>
  </r>
  <r>
    <x v="0"/>
    <x v="0"/>
    <x v="0"/>
    <x v="0"/>
    <x v="0"/>
    <s v="DK1_Large"/>
    <x v="1"/>
    <x v="1"/>
    <x v="1"/>
    <s v="GNR_ENG_BGAS_BP_E-43"/>
    <x v="11"/>
    <n v="1.9577111270125201E-2"/>
  </r>
  <r>
    <x v="0"/>
    <x v="0"/>
    <x v="0"/>
    <x v="0"/>
    <x v="0"/>
    <s v="DK1_Large"/>
    <x v="1"/>
    <x v="1"/>
    <x v="1"/>
    <s v="GNR_ENG_BGAS_BP_E-43"/>
    <x v="12"/>
    <n v="2.3874525939177101E-2"/>
  </r>
  <r>
    <x v="0"/>
    <x v="0"/>
    <x v="0"/>
    <x v="0"/>
    <x v="0"/>
    <s v="DK1_Large"/>
    <x v="2"/>
    <x v="1"/>
    <x v="1"/>
    <s v="GNR_ST_MSW_BP_E-24_LS-220-MW-FEED_Y-2030"/>
    <x v="11"/>
    <n v="6.5181556889002197"/>
  </r>
  <r>
    <x v="0"/>
    <x v="0"/>
    <x v="0"/>
    <x v="0"/>
    <x v="0"/>
    <s v="DK1_Large"/>
    <x v="2"/>
    <x v="1"/>
    <x v="1"/>
    <s v="GNR_ST_MSW_BP_E-24_LS-220-MW-FEED_Y-2030"/>
    <x v="12"/>
    <n v="21.7271856296674"/>
  </r>
  <r>
    <x v="0"/>
    <x v="0"/>
    <x v="0"/>
    <x v="0"/>
    <x v="0"/>
    <s v="DK1_Large"/>
    <x v="2"/>
    <x v="1"/>
    <x v="1"/>
    <s v="GNR_ST_MSW_BP_E-27"/>
    <x v="11"/>
    <n v="0.47721220778366502"/>
  </r>
  <r>
    <x v="0"/>
    <x v="0"/>
    <x v="0"/>
    <x v="0"/>
    <x v="0"/>
    <s v="DK1_Large"/>
    <x v="2"/>
    <x v="1"/>
    <x v="1"/>
    <s v="GNR_ST_MSW_BP_E-27"/>
    <x v="12"/>
    <n v="1.6135077922163401"/>
  </r>
  <r>
    <x v="0"/>
    <x v="0"/>
    <x v="0"/>
    <x v="0"/>
    <x v="0"/>
    <s v="DK1_Large"/>
    <x v="3"/>
    <x v="1"/>
    <x v="1"/>
    <s v="GNR_ENG_NGAS_BP_E-39"/>
    <x v="11"/>
    <n v="2.75567611336032E-2"/>
  </r>
  <r>
    <x v="0"/>
    <x v="0"/>
    <x v="0"/>
    <x v="0"/>
    <x v="0"/>
    <s v="DK1_Large"/>
    <x v="3"/>
    <x v="1"/>
    <x v="1"/>
    <s v="GNR_ENG_NGAS_BP_E-39"/>
    <x v="12"/>
    <n v="3.0618623481781401E-2"/>
  </r>
  <r>
    <x v="0"/>
    <x v="0"/>
    <x v="0"/>
    <x v="0"/>
    <x v="0"/>
    <s v="DK1_Large"/>
    <x v="3"/>
    <x v="1"/>
    <x v="1"/>
    <s v="GNR_ENG_NGAS_BP_E-42"/>
    <x v="11"/>
    <n v="2.0095308270676699E-2"/>
  </r>
  <r>
    <x v="0"/>
    <x v="0"/>
    <x v="0"/>
    <x v="0"/>
    <x v="0"/>
    <s v="DK1_Large"/>
    <x v="3"/>
    <x v="1"/>
    <x v="1"/>
    <s v="GNR_ENG_NGAS_BP_E-42"/>
    <x v="12"/>
    <n v="2.2328120300751899E-2"/>
  </r>
  <r>
    <x v="0"/>
    <x v="0"/>
    <x v="0"/>
    <x v="0"/>
    <x v="0"/>
    <s v="DK1_Large"/>
    <x v="3"/>
    <x v="1"/>
    <x v="1"/>
    <s v="GNR_ENG_NGAS_BP_E-43"/>
    <x v="11"/>
    <n v="2.9335813953488402E-2"/>
  </r>
  <r>
    <x v="0"/>
    <x v="0"/>
    <x v="0"/>
    <x v="0"/>
    <x v="0"/>
    <s v="DK1_Large"/>
    <x v="3"/>
    <x v="1"/>
    <x v="1"/>
    <s v="GNR_ENG_NGAS_BP_E-43"/>
    <x v="12"/>
    <n v="3.2595348837209298E-2"/>
  </r>
  <r>
    <x v="0"/>
    <x v="0"/>
    <x v="0"/>
    <x v="0"/>
    <x v="0"/>
    <s v="DK1_Large"/>
    <x v="3"/>
    <x v="1"/>
    <x v="1"/>
    <s v="GNR_ENG_NGAS_BP_E-46"/>
    <x v="11"/>
    <n v="7.9020411899313504E-3"/>
  </r>
  <r>
    <x v="0"/>
    <x v="0"/>
    <x v="0"/>
    <x v="0"/>
    <x v="0"/>
    <s v="DK1_Large"/>
    <x v="3"/>
    <x v="1"/>
    <x v="1"/>
    <s v="GNR_ENG_NGAS_BP_E-46"/>
    <x v="12"/>
    <n v="8.7800457665903903E-3"/>
  </r>
  <r>
    <x v="0"/>
    <x v="0"/>
    <x v="0"/>
    <x v="0"/>
    <x v="0"/>
    <s v="DK1_Large"/>
    <x v="3"/>
    <x v="1"/>
    <x v="1"/>
    <s v="GNR_GT_NGAS_BP_E-43_LS-40-MW_Y-2030"/>
    <x v="11"/>
    <n v="0.85441251571683097"/>
  </r>
  <r>
    <x v="0"/>
    <x v="0"/>
    <x v="0"/>
    <x v="0"/>
    <x v="0"/>
    <s v="DK1_Large"/>
    <x v="3"/>
    <x v="1"/>
    <x v="1"/>
    <s v="GNR_GT_NGAS_BP_E-43_LS-40-MW_Y-2030"/>
    <x v="12"/>
    <n v="0.89938159549139995"/>
  </r>
  <r>
    <x v="0"/>
    <x v="0"/>
    <x v="0"/>
    <x v="0"/>
    <x v="0"/>
    <s v="DK1_Large"/>
    <x v="4"/>
    <x v="1"/>
    <x v="1"/>
    <s v="GNR_ST_STRW_BP_E-26"/>
    <x v="11"/>
    <n v="0.52869038417549596"/>
  </r>
  <r>
    <x v="0"/>
    <x v="0"/>
    <x v="0"/>
    <x v="0"/>
    <x v="0"/>
    <s v="DK1_Large"/>
    <x v="4"/>
    <x v="1"/>
    <x v="1"/>
    <s v="GNR_ST_STRW_BP_E-26"/>
    <x v="12"/>
    <n v="1.1889861378652899"/>
  </r>
  <r>
    <x v="0"/>
    <x v="0"/>
    <x v="0"/>
    <x v="0"/>
    <x v="0"/>
    <s v="DK1_Large"/>
    <x v="5"/>
    <x v="1"/>
    <x v="1"/>
    <s v="GNR_ST_WOODCHI_BP_E-23"/>
    <x v="11"/>
    <n v="6.5231018818948799E-2"/>
  </r>
  <r>
    <x v="0"/>
    <x v="0"/>
    <x v="0"/>
    <x v="0"/>
    <x v="0"/>
    <s v="DK1_Large"/>
    <x v="5"/>
    <x v="1"/>
    <x v="1"/>
    <s v="GNR_ST_WOODCHI_BP_E-23"/>
    <x v="12"/>
    <n v="0.19185593770279"/>
  </r>
  <r>
    <x v="0"/>
    <x v="0"/>
    <x v="0"/>
    <x v="0"/>
    <x v="0"/>
    <s v="DK1_Large_PHH"/>
    <x v="6"/>
    <x v="2"/>
    <x v="2"/>
    <s v="GNR_BO_ELEC_E-99_LS-10-MW-FEED_PHH_Y-2030"/>
    <x v="11"/>
    <n v="38.897840120572702"/>
  </r>
  <r>
    <x v="0"/>
    <x v="0"/>
    <x v="0"/>
    <x v="0"/>
    <x v="0"/>
    <s v="DK1_Large_PHH"/>
    <x v="6"/>
    <x v="2"/>
    <x v="2"/>
    <s v="GNR_BO_ELEC_E-99_LS-10-MW-FEED_PHH_Y-2030"/>
    <x v="12"/>
    <n v="-38.508861719366998"/>
  </r>
  <r>
    <x v="0"/>
    <x v="0"/>
    <x v="0"/>
    <x v="0"/>
    <x v="0"/>
    <s v="DK1_MedSmall"/>
    <x v="6"/>
    <x v="2"/>
    <x v="2"/>
    <s v="GNR_HP_ELEC_GROUND-WTR_COP-380_LS-4-MW_Y-2030"/>
    <x v="11"/>
    <n v="-0.442069374727522"/>
  </r>
  <r>
    <x v="0"/>
    <x v="0"/>
    <x v="0"/>
    <x v="0"/>
    <x v="0"/>
    <s v="DK1_MedSmall"/>
    <x v="6"/>
    <x v="2"/>
    <x v="2"/>
    <s v="GNR_HP_ELEC_GROUND-WTR_COP-380_LS-4-MW_Y-2030"/>
    <x v="12"/>
    <n v="1.6798636239645901"/>
  </r>
  <r>
    <x v="0"/>
    <x v="0"/>
    <x v="0"/>
    <x v="0"/>
    <x v="0"/>
    <s v="DK1_MedSmall"/>
    <x v="3"/>
    <x v="1"/>
    <x v="1"/>
    <s v="GNR_ENG_NGAS_BP_E-41"/>
    <x v="11"/>
    <n v="3.97337406931964E-2"/>
  </r>
  <r>
    <x v="0"/>
    <x v="0"/>
    <x v="0"/>
    <x v="0"/>
    <x v="0"/>
    <s v="DK1_MedSmall"/>
    <x v="3"/>
    <x v="1"/>
    <x v="1"/>
    <s v="GNR_ENG_NGAS_BP_E-41"/>
    <x v="12"/>
    <n v="4.4148600770218302E-2"/>
  </r>
  <r>
    <x v="0"/>
    <x v="0"/>
    <x v="0"/>
    <x v="0"/>
    <x v="0"/>
    <s v="DK1_Medium"/>
    <x v="1"/>
    <x v="1"/>
    <x v="1"/>
    <s v="GNR_ENG_BGAS_BP_E-39"/>
    <x v="11"/>
    <n v="1.9126863905325399E-3"/>
  </r>
  <r>
    <x v="0"/>
    <x v="0"/>
    <x v="0"/>
    <x v="0"/>
    <x v="0"/>
    <s v="DK1_Medium"/>
    <x v="1"/>
    <x v="1"/>
    <x v="1"/>
    <s v="GNR_ENG_BGAS_BP_E-39"/>
    <x v="12"/>
    <n v="2.3325443786982201E-3"/>
  </r>
  <r>
    <x v="0"/>
    <x v="0"/>
    <x v="0"/>
    <x v="0"/>
    <x v="0"/>
    <s v="DK1_Medium"/>
    <x v="1"/>
    <x v="1"/>
    <x v="1"/>
    <s v="GNR_ENG_BGAS_BP_E-41"/>
    <x v="11"/>
    <n v="9.5792043956044008E-3"/>
  </r>
  <r>
    <x v="0"/>
    <x v="0"/>
    <x v="0"/>
    <x v="0"/>
    <x v="0"/>
    <s v="DK1_Medium"/>
    <x v="1"/>
    <x v="1"/>
    <x v="1"/>
    <s v="GNR_ENG_BGAS_BP_E-41"/>
    <x v="12"/>
    <n v="1.16819565800054E-2"/>
  </r>
  <r>
    <x v="0"/>
    <x v="0"/>
    <x v="0"/>
    <x v="0"/>
    <x v="0"/>
    <s v="DK1_Medium"/>
    <x v="1"/>
    <x v="1"/>
    <x v="1"/>
    <s v="GNR_ENG_BGAS_BP_E-42"/>
    <x v="11"/>
    <n v="9.3032025117739496E-4"/>
  </r>
  <r>
    <x v="0"/>
    <x v="0"/>
    <x v="0"/>
    <x v="0"/>
    <x v="0"/>
    <s v="DK1_Medium"/>
    <x v="1"/>
    <x v="1"/>
    <x v="1"/>
    <s v="GNR_ENG_BGAS_BP_E-42"/>
    <x v="12"/>
    <n v="1.13453689167975E-3"/>
  </r>
  <r>
    <x v="0"/>
    <x v="0"/>
    <x v="0"/>
    <x v="0"/>
    <x v="0"/>
    <s v="DK1_Medium"/>
    <x v="3"/>
    <x v="1"/>
    <x v="1"/>
    <s v="GNR_ENG_NGAS_BP_E-41"/>
    <x v="11"/>
    <n v="3.0463209242618802E-2"/>
  </r>
  <r>
    <x v="0"/>
    <x v="0"/>
    <x v="0"/>
    <x v="0"/>
    <x v="0"/>
    <s v="DK1_Medium"/>
    <x v="3"/>
    <x v="1"/>
    <x v="1"/>
    <s v="GNR_ENG_NGAS_BP_E-41"/>
    <x v="12"/>
    <n v="3.3848010269576401E-2"/>
  </r>
  <r>
    <x v="0"/>
    <x v="0"/>
    <x v="0"/>
    <x v="0"/>
    <x v="0"/>
    <s v="DK1_Medium"/>
    <x v="3"/>
    <x v="1"/>
    <x v="1"/>
    <s v="GNR_ENG_NGAS_BP_E-42"/>
    <x v="11"/>
    <n v="5.5128721804511303E-2"/>
  </r>
  <r>
    <x v="0"/>
    <x v="0"/>
    <x v="0"/>
    <x v="0"/>
    <x v="0"/>
    <s v="DK1_Medium"/>
    <x v="3"/>
    <x v="1"/>
    <x v="1"/>
    <s v="GNR_ENG_NGAS_BP_E-42"/>
    <x v="12"/>
    <n v="6.1254135338345901E-2"/>
  </r>
  <r>
    <x v="0"/>
    <x v="0"/>
    <x v="0"/>
    <x v="0"/>
    <x v="0"/>
    <s v="DK1_Medium"/>
    <x v="3"/>
    <x v="1"/>
    <x v="1"/>
    <s v="GNR_ENG_NGAS_BP_E-43"/>
    <x v="11"/>
    <n v="1.3702913096695199E-2"/>
  </r>
  <r>
    <x v="0"/>
    <x v="0"/>
    <x v="0"/>
    <x v="0"/>
    <x v="0"/>
    <s v="DK1_Medium"/>
    <x v="3"/>
    <x v="1"/>
    <x v="1"/>
    <s v="GNR_ENG_NGAS_BP_E-43"/>
    <x v="12"/>
    <n v="1.5225458996328E-2"/>
  </r>
  <r>
    <x v="0"/>
    <x v="0"/>
    <x v="0"/>
    <x v="0"/>
    <x v="0"/>
    <s v="DK1_Medium"/>
    <x v="3"/>
    <x v="1"/>
    <x v="1"/>
    <s v="GNR_ENG_NGAS_BP_E-44"/>
    <x v="11"/>
    <n v="4.8548842105263203E-2"/>
  </r>
  <r>
    <x v="0"/>
    <x v="0"/>
    <x v="0"/>
    <x v="0"/>
    <x v="0"/>
    <s v="DK1_Medium"/>
    <x v="3"/>
    <x v="1"/>
    <x v="1"/>
    <s v="GNR_ENG_NGAS_BP_E-44"/>
    <x v="12"/>
    <n v="5.3943157894736797E-2"/>
  </r>
  <r>
    <x v="0"/>
    <x v="0"/>
    <x v="0"/>
    <x v="0"/>
    <x v="0"/>
    <s v="DK1_Medium"/>
    <x v="3"/>
    <x v="1"/>
    <x v="1"/>
    <s v="GNR_ENG_NGAS_BP_E-48_Y-2030"/>
    <x v="11"/>
    <n v="11.878025365367201"/>
  </r>
  <r>
    <x v="0"/>
    <x v="0"/>
    <x v="0"/>
    <x v="0"/>
    <x v="0"/>
    <s v="DK1_Medium"/>
    <x v="3"/>
    <x v="1"/>
    <x v="1"/>
    <s v="GNR_ENG_NGAS_BP_E-48_Y-2030"/>
    <x v="12"/>
    <n v="11.998005419562899"/>
  </r>
  <r>
    <x v="0"/>
    <x v="0"/>
    <x v="0"/>
    <x v="0"/>
    <x v="0"/>
    <s v="DK1_NoDH_PHH"/>
    <x v="6"/>
    <x v="2"/>
    <x v="2"/>
    <s v="GNR_BO_ELEC_E-99_LS-10-MW-FEED_PHH_Y-2030"/>
    <x v="11"/>
    <n v="77.458477100252594"/>
  </r>
  <r>
    <x v="0"/>
    <x v="0"/>
    <x v="0"/>
    <x v="0"/>
    <x v="0"/>
    <s v="DK1_NoDH_PHH"/>
    <x v="6"/>
    <x v="2"/>
    <x v="2"/>
    <s v="GNR_BO_ELEC_E-99_LS-10-MW-FEED_PHH_Y-2030"/>
    <x v="12"/>
    <n v="-76.683892329250099"/>
  </r>
  <r>
    <x v="0"/>
    <x v="0"/>
    <x v="0"/>
    <x v="0"/>
    <x v="0"/>
    <s v="DK1_Rural"/>
    <x v="1"/>
    <x v="1"/>
    <x v="1"/>
    <s v="GNR_ENG_BGAS_BP_E-30"/>
    <x v="11"/>
    <n v="2.36808791208791E-2"/>
  </r>
  <r>
    <x v="0"/>
    <x v="0"/>
    <x v="0"/>
    <x v="0"/>
    <x v="0"/>
    <s v="DK1_Rural"/>
    <x v="1"/>
    <x v="1"/>
    <x v="1"/>
    <s v="GNR_ENG_BGAS_BP_E-30"/>
    <x v="12"/>
    <n v="2.8879120879120899E-2"/>
  </r>
  <r>
    <x v="0"/>
    <x v="0"/>
    <x v="0"/>
    <x v="0"/>
    <x v="0"/>
    <s v="DK1_Rural"/>
    <x v="1"/>
    <x v="1"/>
    <x v="1"/>
    <s v="GNR_ENG_BGAS_BP_E-37"/>
    <x v="11"/>
    <n v="5.6162084942084902E-3"/>
  </r>
  <r>
    <x v="0"/>
    <x v="0"/>
    <x v="0"/>
    <x v="0"/>
    <x v="0"/>
    <s v="DK1_Rural"/>
    <x v="1"/>
    <x v="1"/>
    <x v="1"/>
    <s v="GNR_ENG_BGAS_BP_E-37"/>
    <x v="12"/>
    <n v="6.8490347490347504E-3"/>
  </r>
  <r>
    <x v="0"/>
    <x v="0"/>
    <x v="0"/>
    <x v="0"/>
    <x v="0"/>
    <s v="DK1_Rural"/>
    <x v="1"/>
    <x v="1"/>
    <x v="1"/>
    <s v="GNR_ENG_BGAS_BP_E-38"/>
    <x v="11"/>
    <n v="2.4927241179872701E-3"/>
  </r>
  <r>
    <x v="0"/>
    <x v="0"/>
    <x v="0"/>
    <x v="0"/>
    <x v="0"/>
    <s v="DK1_Rural"/>
    <x v="1"/>
    <x v="1"/>
    <x v="1"/>
    <s v="GNR_ENG_BGAS_BP_E-38"/>
    <x v="12"/>
    <n v="3.0399074609600901E-3"/>
  </r>
  <r>
    <x v="0"/>
    <x v="0"/>
    <x v="0"/>
    <x v="0"/>
    <x v="0"/>
    <s v="DK1_Rural"/>
    <x v="1"/>
    <x v="1"/>
    <x v="1"/>
    <s v="GNR_ENG_BGAS_BP_E-39"/>
    <x v="11"/>
    <n v="4.3920946745562104E-3"/>
  </r>
  <r>
    <x v="0"/>
    <x v="0"/>
    <x v="0"/>
    <x v="0"/>
    <x v="0"/>
    <s v="DK1_Rural"/>
    <x v="1"/>
    <x v="1"/>
    <x v="1"/>
    <s v="GNR_ENG_BGAS_BP_E-39"/>
    <x v="12"/>
    <n v="5.3562130177514803E-3"/>
  </r>
  <r>
    <x v="0"/>
    <x v="0"/>
    <x v="0"/>
    <x v="0"/>
    <x v="0"/>
    <s v="DK1_Rural"/>
    <x v="1"/>
    <x v="1"/>
    <x v="1"/>
    <s v="GNR_ENG_BGAS_BP_E-40"/>
    <x v="11"/>
    <n v="4.3789892307692299E-2"/>
  </r>
  <r>
    <x v="0"/>
    <x v="0"/>
    <x v="0"/>
    <x v="0"/>
    <x v="0"/>
    <s v="DK1_Rural"/>
    <x v="1"/>
    <x v="1"/>
    <x v="1"/>
    <s v="GNR_ENG_BGAS_BP_E-40"/>
    <x v="12"/>
    <n v="5.34023076923077E-2"/>
  </r>
  <r>
    <x v="0"/>
    <x v="0"/>
    <x v="0"/>
    <x v="0"/>
    <x v="0"/>
    <s v="DK1_Rural"/>
    <x v="1"/>
    <x v="1"/>
    <x v="1"/>
    <s v="GNR_ENG_BGAS_BP_E-41"/>
    <x v="11"/>
    <n v="7.9513846153846206E-3"/>
  </r>
  <r>
    <x v="0"/>
    <x v="0"/>
    <x v="0"/>
    <x v="0"/>
    <x v="0"/>
    <s v="DK1_Rural"/>
    <x v="1"/>
    <x v="1"/>
    <x v="1"/>
    <s v="GNR_ENG_BGAS_BP_E-41"/>
    <x v="12"/>
    <n v="9.6968105065665996E-3"/>
  </r>
  <r>
    <x v="0"/>
    <x v="0"/>
    <x v="0"/>
    <x v="0"/>
    <x v="0"/>
    <s v="DK1_Rural"/>
    <x v="1"/>
    <x v="1"/>
    <x v="1"/>
    <s v="GNR_ENG_BGAS_BP_E-42"/>
    <x v="11"/>
    <n v="4.3941186813186803E-2"/>
  </r>
  <r>
    <x v="0"/>
    <x v="0"/>
    <x v="0"/>
    <x v="0"/>
    <x v="0"/>
    <s v="DK1_Rural"/>
    <x v="1"/>
    <x v="1"/>
    <x v="1"/>
    <s v="GNR_ENG_BGAS_BP_E-42"/>
    <x v="12"/>
    <n v="5.3586813186813201E-2"/>
  </r>
  <r>
    <x v="0"/>
    <x v="0"/>
    <x v="0"/>
    <x v="0"/>
    <x v="0"/>
    <s v="DK1_Rural"/>
    <x v="1"/>
    <x v="1"/>
    <x v="1"/>
    <s v="GNR_ENG_BGAS_BP_E-43"/>
    <x v="11"/>
    <n v="3.30247298747764E-2"/>
  </r>
  <r>
    <x v="0"/>
    <x v="0"/>
    <x v="0"/>
    <x v="0"/>
    <x v="0"/>
    <s v="DK1_Rural"/>
    <x v="1"/>
    <x v="1"/>
    <x v="1"/>
    <s v="GNR_ENG_BGAS_BP_E-43"/>
    <x v="12"/>
    <n v="4.0274060822898E-2"/>
  </r>
  <r>
    <x v="0"/>
    <x v="0"/>
    <x v="0"/>
    <x v="0"/>
    <x v="0"/>
    <s v="DK1_Rural"/>
    <x v="6"/>
    <x v="2"/>
    <x v="2"/>
    <s v="GNR_HP_ELEC_COP-300"/>
    <x v="11"/>
    <n v="-2.8470000000000001E-3"/>
  </r>
  <r>
    <x v="0"/>
    <x v="0"/>
    <x v="0"/>
    <x v="0"/>
    <x v="0"/>
    <s v="DK1_Rural"/>
    <x v="6"/>
    <x v="2"/>
    <x v="2"/>
    <s v="GNR_HP_ELEC_COP-300"/>
    <x v="12"/>
    <n v="8.541E-3"/>
  </r>
  <r>
    <x v="0"/>
    <x v="0"/>
    <x v="0"/>
    <x v="0"/>
    <x v="0"/>
    <s v="DK1_Rural"/>
    <x v="6"/>
    <x v="2"/>
    <x v="2"/>
    <s v="GNR_HP_ELEC_COP-350"/>
    <x v="11"/>
    <n v="-5.4787542857142801E-3"/>
  </r>
  <r>
    <x v="0"/>
    <x v="0"/>
    <x v="0"/>
    <x v="0"/>
    <x v="0"/>
    <s v="DK1_Rural"/>
    <x v="6"/>
    <x v="2"/>
    <x v="2"/>
    <s v="GNR_HP_ELEC_COP-350"/>
    <x v="12"/>
    <n v="1.9175640000000001E-2"/>
  </r>
  <r>
    <x v="0"/>
    <x v="0"/>
    <x v="0"/>
    <x v="0"/>
    <x v="0"/>
    <s v="DK1_Rural"/>
    <x v="6"/>
    <x v="2"/>
    <x v="2"/>
    <s v="GNR_HP_ELEC_COP-400"/>
    <x v="11"/>
    <n v="-4.1861119999999996E-3"/>
  </r>
  <r>
    <x v="0"/>
    <x v="0"/>
    <x v="0"/>
    <x v="0"/>
    <x v="0"/>
    <s v="DK1_Rural"/>
    <x v="6"/>
    <x v="2"/>
    <x v="2"/>
    <s v="GNR_HP_ELEC_COP-400"/>
    <x v="12"/>
    <n v="1.6744447999999999E-2"/>
  </r>
  <r>
    <x v="0"/>
    <x v="0"/>
    <x v="0"/>
    <x v="0"/>
    <x v="0"/>
    <s v="DK1_Rural"/>
    <x v="6"/>
    <x v="2"/>
    <x v="2"/>
    <s v="GNR_HP_ELEC_COP-430"/>
    <x v="11"/>
    <n v="-2.32735729386892E-3"/>
  </r>
  <r>
    <x v="0"/>
    <x v="0"/>
    <x v="0"/>
    <x v="0"/>
    <x v="0"/>
    <s v="DK1_Rural"/>
    <x v="6"/>
    <x v="2"/>
    <x v="2"/>
    <s v="GNR_HP_ELEC_COP-430"/>
    <x v="12"/>
    <n v="1.0007636363636401E-2"/>
  </r>
  <r>
    <x v="0"/>
    <x v="0"/>
    <x v="0"/>
    <x v="0"/>
    <x v="0"/>
    <s v="DK1_Rural"/>
    <x v="6"/>
    <x v="2"/>
    <x v="2"/>
    <s v="GNR_HP_ELEC_COP-450"/>
    <x v="11"/>
    <n v="-8.7099428571428799E-4"/>
  </r>
  <r>
    <x v="0"/>
    <x v="0"/>
    <x v="0"/>
    <x v="0"/>
    <x v="0"/>
    <s v="DK1_Rural"/>
    <x v="6"/>
    <x v="2"/>
    <x v="2"/>
    <s v="GNR_HP_ELEC_COP-450"/>
    <x v="12"/>
    <n v="3.9194742857142899E-3"/>
  </r>
  <r>
    <x v="0"/>
    <x v="0"/>
    <x v="0"/>
    <x v="0"/>
    <x v="0"/>
    <s v="DK1_Rural"/>
    <x v="6"/>
    <x v="2"/>
    <x v="2"/>
    <s v="GNR_HP_ELEC_COP-460"/>
    <x v="11"/>
    <n v="-5.5226086956521696E-3"/>
  </r>
  <r>
    <x v="0"/>
    <x v="0"/>
    <x v="0"/>
    <x v="0"/>
    <x v="0"/>
    <s v="DK1_Rural"/>
    <x v="6"/>
    <x v="2"/>
    <x v="2"/>
    <s v="GNR_HP_ELEC_COP-460"/>
    <x v="12"/>
    <n v="2.5403999999999999E-2"/>
  </r>
  <r>
    <x v="0"/>
    <x v="0"/>
    <x v="0"/>
    <x v="0"/>
    <x v="0"/>
    <s v="DK1_Rural"/>
    <x v="6"/>
    <x v="2"/>
    <x v="2"/>
    <s v="GNR_HP_ELEC_COP-470"/>
    <x v="11"/>
    <n v="-1.3877975848188601E-3"/>
  </r>
  <r>
    <x v="0"/>
    <x v="0"/>
    <x v="0"/>
    <x v="0"/>
    <x v="0"/>
    <s v="DK1_Rural"/>
    <x v="6"/>
    <x v="2"/>
    <x v="2"/>
    <s v="GNR_HP_ELEC_COP-470"/>
    <x v="12"/>
    <n v="6.5226486486486502E-3"/>
  </r>
  <r>
    <x v="0"/>
    <x v="0"/>
    <x v="0"/>
    <x v="0"/>
    <x v="0"/>
    <s v="DK1_Rural"/>
    <x v="6"/>
    <x v="2"/>
    <x v="2"/>
    <s v="GNR_HP_ELEC_COP-500"/>
    <x v="11"/>
    <n v="-7.6650000000000004E-4"/>
  </r>
  <r>
    <x v="0"/>
    <x v="0"/>
    <x v="0"/>
    <x v="0"/>
    <x v="0"/>
    <s v="DK1_Rural"/>
    <x v="6"/>
    <x v="2"/>
    <x v="2"/>
    <s v="GNR_HP_ELEC_COP-500"/>
    <x v="12"/>
    <n v="3.8325E-3"/>
  </r>
  <r>
    <x v="0"/>
    <x v="0"/>
    <x v="0"/>
    <x v="0"/>
    <x v="0"/>
    <s v="DK1_Rural"/>
    <x v="6"/>
    <x v="2"/>
    <x v="2"/>
    <s v="GNR_HP_ELEC_COP-530"/>
    <x v="11"/>
    <n v="-1.8680824923211999E-3"/>
  </r>
  <r>
    <x v="0"/>
    <x v="0"/>
    <x v="0"/>
    <x v="0"/>
    <x v="0"/>
    <s v="DK1_Rural"/>
    <x v="6"/>
    <x v="2"/>
    <x v="2"/>
    <s v="GNR_HP_ELEC_COP-530"/>
    <x v="12"/>
    <n v="9.9008372093023402E-3"/>
  </r>
  <r>
    <x v="0"/>
    <x v="0"/>
    <x v="0"/>
    <x v="0"/>
    <x v="0"/>
    <s v="DK1_Rural"/>
    <x v="6"/>
    <x v="2"/>
    <x v="2"/>
    <s v="GNR_HP_ELEC_COP-600"/>
    <x v="11"/>
    <n v="-3.1535999999999999E-4"/>
  </r>
  <r>
    <x v="0"/>
    <x v="0"/>
    <x v="0"/>
    <x v="0"/>
    <x v="0"/>
    <s v="DK1_Rural"/>
    <x v="6"/>
    <x v="2"/>
    <x v="2"/>
    <s v="GNR_HP_ELEC_COP-600"/>
    <x v="12"/>
    <n v="1.8921599999999999E-3"/>
  </r>
  <r>
    <x v="0"/>
    <x v="0"/>
    <x v="0"/>
    <x v="0"/>
    <x v="0"/>
    <s v="DK1_Rural"/>
    <x v="6"/>
    <x v="2"/>
    <x v="2"/>
    <s v="GNR_HP_ELEC_GROUND-WTR_COP-380_LS-4-MW_Y-2030"/>
    <x v="11"/>
    <n v="-0.17065634770226401"/>
  </r>
  <r>
    <x v="0"/>
    <x v="0"/>
    <x v="0"/>
    <x v="0"/>
    <x v="0"/>
    <s v="DK1_Rural"/>
    <x v="6"/>
    <x v="2"/>
    <x v="2"/>
    <s v="GNR_HP_ELEC_GROUND-WTR_COP-380_LS-4-MW_Y-2030"/>
    <x v="12"/>
    <n v="0.64849412126860195"/>
  </r>
  <r>
    <x v="0"/>
    <x v="0"/>
    <x v="0"/>
    <x v="0"/>
    <x v="0"/>
    <s v="DK1_Rural"/>
    <x v="3"/>
    <x v="1"/>
    <x v="1"/>
    <s v="GNR_ENG_NGAS_BP_E-37"/>
    <x v="11"/>
    <n v="6.4328056899004296E-2"/>
  </r>
  <r>
    <x v="0"/>
    <x v="0"/>
    <x v="0"/>
    <x v="0"/>
    <x v="0"/>
    <s v="DK1_Rural"/>
    <x v="3"/>
    <x v="1"/>
    <x v="1"/>
    <s v="GNR_ENG_NGAS_BP_E-37"/>
    <x v="12"/>
    <n v="7.1475618776671399E-2"/>
  </r>
  <r>
    <x v="0"/>
    <x v="0"/>
    <x v="0"/>
    <x v="0"/>
    <x v="0"/>
    <s v="DK1_Rural"/>
    <x v="3"/>
    <x v="1"/>
    <x v="1"/>
    <s v="GNR_ENG_NGAS_BP_E-38"/>
    <x v="11"/>
    <n v="2.94831024930748E-2"/>
  </r>
  <r>
    <x v="0"/>
    <x v="0"/>
    <x v="0"/>
    <x v="0"/>
    <x v="0"/>
    <s v="DK1_Rural"/>
    <x v="3"/>
    <x v="1"/>
    <x v="1"/>
    <s v="GNR_ENG_NGAS_BP_E-38"/>
    <x v="12"/>
    <n v="3.2759002770083097E-2"/>
  </r>
  <r>
    <x v="0"/>
    <x v="0"/>
    <x v="0"/>
    <x v="0"/>
    <x v="0"/>
    <s v="DK1_Rural"/>
    <x v="3"/>
    <x v="1"/>
    <x v="1"/>
    <s v="GNR_ENG_NGAS_BP_E-39"/>
    <x v="11"/>
    <n v="2.3407287449392699E-2"/>
  </r>
  <r>
    <x v="0"/>
    <x v="0"/>
    <x v="0"/>
    <x v="0"/>
    <x v="0"/>
    <s v="DK1_Rural"/>
    <x v="3"/>
    <x v="1"/>
    <x v="1"/>
    <s v="GNR_ENG_NGAS_BP_E-39"/>
    <x v="12"/>
    <n v="2.6008097165991902E-2"/>
  </r>
  <r>
    <x v="0"/>
    <x v="0"/>
    <x v="0"/>
    <x v="0"/>
    <x v="0"/>
    <s v="DK1_Rural"/>
    <x v="3"/>
    <x v="1"/>
    <x v="1"/>
    <s v="GNR_ENG_NGAS_BP_E-40"/>
    <x v="11"/>
    <n v="5.7511705263157901E-2"/>
  </r>
  <r>
    <x v="0"/>
    <x v="0"/>
    <x v="0"/>
    <x v="0"/>
    <x v="0"/>
    <s v="DK1_Rural"/>
    <x v="3"/>
    <x v="1"/>
    <x v="1"/>
    <s v="GNR_ENG_NGAS_BP_E-40"/>
    <x v="12"/>
    <n v="6.3901894736842102E-2"/>
  </r>
  <r>
    <x v="0"/>
    <x v="0"/>
    <x v="0"/>
    <x v="0"/>
    <x v="0"/>
    <s v="DK1_Rural"/>
    <x v="3"/>
    <x v="1"/>
    <x v="1"/>
    <s v="GNR_ENG_NGAS_BP_E-41"/>
    <x v="11"/>
    <n v="0.192133263853565"/>
  </r>
  <r>
    <x v="0"/>
    <x v="0"/>
    <x v="0"/>
    <x v="0"/>
    <x v="0"/>
    <s v="DK1_Rural"/>
    <x v="3"/>
    <x v="1"/>
    <x v="1"/>
    <s v="GNR_ENG_NGAS_BP_E-41"/>
    <x v="12"/>
    <n v="0.21348140428173901"/>
  </r>
  <r>
    <x v="0"/>
    <x v="0"/>
    <x v="0"/>
    <x v="0"/>
    <x v="0"/>
    <s v="DK1_Rural"/>
    <x v="3"/>
    <x v="1"/>
    <x v="1"/>
    <s v="GNR_ENG_NGAS_BP_E-42"/>
    <x v="11"/>
    <n v="0.53590650225563896"/>
  </r>
  <r>
    <x v="0"/>
    <x v="0"/>
    <x v="0"/>
    <x v="0"/>
    <x v="0"/>
    <s v="DK1_Rural"/>
    <x v="3"/>
    <x v="1"/>
    <x v="1"/>
    <s v="GNR_ENG_NGAS_BP_E-42"/>
    <x v="12"/>
    <n v="0.59545166917293202"/>
  </r>
  <r>
    <x v="0"/>
    <x v="0"/>
    <x v="0"/>
    <x v="0"/>
    <x v="0"/>
    <s v="DK1_Rural"/>
    <x v="3"/>
    <x v="1"/>
    <x v="1"/>
    <s v="GNR_ENG_NGAS_BP_E-43"/>
    <x v="11"/>
    <n v="0.32083344528763802"/>
  </r>
  <r>
    <x v="0"/>
    <x v="0"/>
    <x v="0"/>
    <x v="0"/>
    <x v="0"/>
    <s v="DK1_Rural"/>
    <x v="3"/>
    <x v="1"/>
    <x v="1"/>
    <s v="GNR_ENG_NGAS_BP_E-43"/>
    <x v="12"/>
    <n v="0.35648160587515298"/>
  </r>
  <r>
    <x v="0"/>
    <x v="0"/>
    <x v="0"/>
    <x v="0"/>
    <x v="0"/>
    <s v="DK1_Rural"/>
    <x v="3"/>
    <x v="1"/>
    <x v="1"/>
    <s v="GNR_ENG_NGAS_BP_E-44"/>
    <x v="11"/>
    <n v="0.28544606698564601"/>
  </r>
  <r>
    <x v="0"/>
    <x v="0"/>
    <x v="0"/>
    <x v="0"/>
    <x v="0"/>
    <s v="DK1_Rural"/>
    <x v="3"/>
    <x v="1"/>
    <x v="1"/>
    <s v="GNR_ENG_NGAS_BP_E-44"/>
    <x v="12"/>
    <n v="0.31716229665071799"/>
  </r>
  <r>
    <x v="0"/>
    <x v="0"/>
    <x v="0"/>
    <x v="0"/>
    <x v="0"/>
    <s v="DK1_Rural"/>
    <x v="3"/>
    <x v="1"/>
    <x v="1"/>
    <s v="GNR_ENG_NGAS_BP_E-45"/>
    <x v="11"/>
    <n v="0.11286568421052599"/>
  </r>
  <r>
    <x v="0"/>
    <x v="0"/>
    <x v="0"/>
    <x v="0"/>
    <x v="0"/>
    <s v="DK1_Rural"/>
    <x v="3"/>
    <x v="1"/>
    <x v="1"/>
    <s v="GNR_ENG_NGAS_BP_E-45"/>
    <x v="12"/>
    <n v="0.125406315789474"/>
  </r>
  <r>
    <x v="0"/>
    <x v="0"/>
    <x v="0"/>
    <x v="0"/>
    <x v="0"/>
    <s v="DK1_Rural"/>
    <x v="3"/>
    <x v="1"/>
    <x v="1"/>
    <s v="GNR_ENG_NGAS_BP_E-46"/>
    <x v="11"/>
    <n v="3.94019588100687E-2"/>
  </r>
  <r>
    <x v="0"/>
    <x v="0"/>
    <x v="0"/>
    <x v="0"/>
    <x v="0"/>
    <s v="DK1_Rural"/>
    <x v="3"/>
    <x v="1"/>
    <x v="1"/>
    <s v="GNR_ENG_NGAS_BP_E-46"/>
    <x v="12"/>
    <n v="4.37799542334096E-2"/>
  </r>
  <r>
    <x v="0"/>
    <x v="0"/>
    <x v="0"/>
    <x v="0"/>
    <x v="0"/>
    <s v="DK1_Rural"/>
    <x v="5"/>
    <x v="1"/>
    <x v="1"/>
    <s v="GNR_ST_WOODCHI_BP_E-17"/>
    <x v="11"/>
    <n v="5.8835820895522398E-3"/>
  </r>
  <r>
    <x v="0"/>
    <x v="0"/>
    <x v="0"/>
    <x v="0"/>
    <x v="0"/>
    <s v="DK1_Rural"/>
    <x v="5"/>
    <x v="1"/>
    <x v="1"/>
    <s v="GNR_ST_WOODCHI_BP_E-17"/>
    <x v="12"/>
    <n v="1.7304653204565399E-2"/>
  </r>
  <r>
    <x v="0"/>
    <x v="0"/>
    <x v="0"/>
    <x v="0"/>
    <x v="0"/>
    <s v="DK1_Small"/>
    <x v="3"/>
    <x v="1"/>
    <x v="1"/>
    <s v="GNR_ENG_NGAS_BP_E-38"/>
    <x v="11"/>
    <n v="1.1105301939058201E-2"/>
  </r>
  <r>
    <x v="0"/>
    <x v="0"/>
    <x v="0"/>
    <x v="0"/>
    <x v="0"/>
    <s v="DK1_Small"/>
    <x v="3"/>
    <x v="1"/>
    <x v="1"/>
    <s v="GNR_ENG_NGAS_BP_E-38"/>
    <x v="12"/>
    <n v="1.23392243767313E-2"/>
  </r>
  <r>
    <x v="0"/>
    <x v="0"/>
    <x v="0"/>
    <x v="0"/>
    <x v="1"/>
    <s v="DK2_Large"/>
    <x v="1"/>
    <x v="1"/>
    <x v="1"/>
    <s v="GNR_ENG_BGAS_BP_E-42"/>
    <x v="11"/>
    <n v="8.5899569858712797E-3"/>
  </r>
  <r>
    <x v="0"/>
    <x v="0"/>
    <x v="0"/>
    <x v="0"/>
    <x v="1"/>
    <s v="DK2_Large"/>
    <x v="1"/>
    <x v="1"/>
    <x v="1"/>
    <s v="GNR_ENG_BGAS_BP_E-42"/>
    <x v="12"/>
    <n v="1.0475557299842999E-2"/>
  </r>
  <r>
    <x v="0"/>
    <x v="0"/>
    <x v="0"/>
    <x v="0"/>
    <x v="1"/>
    <s v="DK2_Large"/>
    <x v="10"/>
    <x v="1"/>
    <x v="8"/>
    <s v="GNR_ST_COAL_EXT_E-42"/>
    <x v="11"/>
    <n v="3.9224143651924499"/>
  </r>
  <r>
    <x v="0"/>
    <x v="0"/>
    <x v="0"/>
    <x v="0"/>
    <x v="1"/>
    <s v="DK2_Large"/>
    <x v="10"/>
    <x v="1"/>
    <x v="8"/>
    <s v="GNR_ST_COAL_EXT_E-42"/>
    <x v="12"/>
    <n v="5.2298858202565901"/>
  </r>
  <r>
    <x v="0"/>
    <x v="0"/>
    <x v="0"/>
    <x v="0"/>
    <x v="1"/>
    <s v="DK2_Large"/>
    <x v="6"/>
    <x v="2"/>
    <x v="2"/>
    <s v="GNR_HP_ELEC_COP-300"/>
    <x v="11"/>
    <n v="-3.9711999999999999E-4"/>
  </r>
  <r>
    <x v="0"/>
    <x v="0"/>
    <x v="0"/>
    <x v="0"/>
    <x v="1"/>
    <s v="DK2_Large"/>
    <x v="6"/>
    <x v="2"/>
    <x v="2"/>
    <s v="GNR_HP_ELEC_COP-300"/>
    <x v="12"/>
    <n v="1.19136E-3"/>
  </r>
  <r>
    <x v="0"/>
    <x v="0"/>
    <x v="0"/>
    <x v="0"/>
    <x v="1"/>
    <s v="DK2_Large"/>
    <x v="2"/>
    <x v="1"/>
    <x v="1"/>
    <s v="GNR_ST_MSW_BP_E-24_LS-220-MW-FEED_Y-2030"/>
    <x v="11"/>
    <n v="3.9124472543736202"/>
  </r>
  <r>
    <x v="0"/>
    <x v="0"/>
    <x v="0"/>
    <x v="0"/>
    <x v="1"/>
    <s v="DK2_Large"/>
    <x v="2"/>
    <x v="1"/>
    <x v="1"/>
    <s v="GNR_ST_MSW_BP_E-24_LS-220-MW-FEED_Y-2030"/>
    <x v="12"/>
    <n v="13.041490847912"/>
  </r>
  <r>
    <x v="0"/>
    <x v="0"/>
    <x v="0"/>
    <x v="0"/>
    <x v="1"/>
    <s v="DK2_Large"/>
    <x v="2"/>
    <x v="1"/>
    <x v="1"/>
    <s v="GNR_ST_MSW_BP_E-27"/>
    <x v="11"/>
    <n v="0.51720205759794002"/>
  </r>
  <r>
    <x v="0"/>
    <x v="0"/>
    <x v="0"/>
    <x v="0"/>
    <x v="1"/>
    <s v="DK2_Large"/>
    <x v="2"/>
    <x v="1"/>
    <x v="1"/>
    <s v="GNR_ST_MSW_BP_E-27"/>
    <x v="12"/>
    <n v="1.74871794240207"/>
  </r>
  <r>
    <x v="0"/>
    <x v="0"/>
    <x v="0"/>
    <x v="0"/>
    <x v="1"/>
    <s v="DK2_Large"/>
    <x v="3"/>
    <x v="1"/>
    <x v="1"/>
    <s v="GNR_GT_NGAS_BP_E-43_LS-40-MW_Y-2030"/>
    <x v="11"/>
    <n v="2.9773108499804399"/>
  </r>
  <r>
    <x v="0"/>
    <x v="0"/>
    <x v="0"/>
    <x v="0"/>
    <x v="1"/>
    <s v="DK2_Large"/>
    <x v="3"/>
    <x v="1"/>
    <x v="1"/>
    <s v="GNR_GT_NGAS_BP_E-43_LS-40-MW_Y-2030"/>
    <x v="12"/>
    <n v="3.13401142103204"/>
  </r>
  <r>
    <x v="0"/>
    <x v="0"/>
    <x v="0"/>
    <x v="0"/>
    <x v="1"/>
    <s v="DK2_Large"/>
    <x v="4"/>
    <x v="1"/>
    <x v="8"/>
    <s v="GNR_ST_COAL_EXT_E-42-Straw"/>
    <x v="11"/>
    <n v="2.8157142857142898"/>
  </r>
  <r>
    <x v="0"/>
    <x v="0"/>
    <x v="0"/>
    <x v="0"/>
    <x v="1"/>
    <s v="DK2_Large"/>
    <x v="4"/>
    <x v="1"/>
    <x v="8"/>
    <s v="GNR_ST_COAL_EXT_E-42-Straw"/>
    <x v="12"/>
    <n v="3.75428571428571"/>
  </r>
  <r>
    <x v="0"/>
    <x v="0"/>
    <x v="0"/>
    <x v="0"/>
    <x v="1"/>
    <s v="DK2_Large_PHH"/>
    <x v="6"/>
    <x v="2"/>
    <x v="2"/>
    <s v="GNR_BO_ELEC_E-99_LS-10-MW-FEED_PHH_Y-2030"/>
    <x v="11"/>
    <n v="9.7256086681206497"/>
  </r>
  <r>
    <x v="0"/>
    <x v="0"/>
    <x v="0"/>
    <x v="0"/>
    <x v="1"/>
    <s v="DK2_Large_PHH"/>
    <x v="6"/>
    <x v="2"/>
    <x v="2"/>
    <s v="GNR_BO_ELEC_E-99_LS-10-MW-FEED_PHH_Y-2030"/>
    <x v="12"/>
    <n v="-9.6283525814394402"/>
  </r>
  <r>
    <x v="0"/>
    <x v="0"/>
    <x v="0"/>
    <x v="0"/>
    <x v="1"/>
    <s v="DK2_MedSmall"/>
    <x v="1"/>
    <x v="1"/>
    <x v="1"/>
    <s v="GNR_ENG_BGAS_BP_E-38"/>
    <x v="11"/>
    <n v="7.7897628687102305E-4"/>
  </r>
  <r>
    <x v="0"/>
    <x v="0"/>
    <x v="0"/>
    <x v="0"/>
    <x v="1"/>
    <s v="DK2_MedSmall"/>
    <x v="1"/>
    <x v="1"/>
    <x v="1"/>
    <s v="GNR_ENG_BGAS_BP_E-38"/>
    <x v="12"/>
    <n v="9.4997108155002799E-4"/>
  </r>
  <r>
    <x v="0"/>
    <x v="0"/>
    <x v="0"/>
    <x v="0"/>
    <x v="1"/>
    <s v="DK2_MedSmall"/>
    <x v="3"/>
    <x v="1"/>
    <x v="1"/>
    <s v="GNR_ENG_NGAS_BP_E-48_Y-2030"/>
    <x v="11"/>
    <n v="2.0312365438748601"/>
  </r>
  <r>
    <x v="0"/>
    <x v="0"/>
    <x v="0"/>
    <x v="0"/>
    <x v="1"/>
    <s v="DK2_MedSmall"/>
    <x v="3"/>
    <x v="1"/>
    <x v="1"/>
    <s v="GNR_ENG_NGAS_BP_E-48_Y-2030"/>
    <x v="12"/>
    <n v="2.0517540847220799"/>
  </r>
  <r>
    <x v="0"/>
    <x v="0"/>
    <x v="0"/>
    <x v="0"/>
    <x v="1"/>
    <s v="DK2_Medium"/>
    <x v="2"/>
    <x v="1"/>
    <x v="1"/>
    <s v="GNR_ST_MSW_BP_E-23"/>
    <x v="11"/>
    <n v="0.25037123361980002"/>
  </r>
  <r>
    <x v="0"/>
    <x v="0"/>
    <x v="0"/>
    <x v="0"/>
    <x v="1"/>
    <s v="DK2_Medium"/>
    <x v="2"/>
    <x v="1"/>
    <x v="1"/>
    <s v="GNR_ST_MSW_BP_E-23"/>
    <x v="12"/>
    <n v="0.84653311420628696"/>
  </r>
  <r>
    <x v="0"/>
    <x v="0"/>
    <x v="0"/>
    <x v="0"/>
    <x v="1"/>
    <s v="DK2_Medium"/>
    <x v="3"/>
    <x v="1"/>
    <x v="1"/>
    <s v="GNR_ENG_NGAS_BP_E-35"/>
    <x v="11"/>
    <n v="6.89998195488722E-3"/>
  </r>
  <r>
    <x v="0"/>
    <x v="0"/>
    <x v="0"/>
    <x v="0"/>
    <x v="1"/>
    <s v="DK2_Medium"/>
    <x v="3"/>
    <x v="1"/>
    <x v="1"/>
    <s v="GNR_ENG_NGAS_BP_E-35"/>
    <x v="12"/>
    <n v="7.6666466165413501E-3"/>
  </r>
  <r>
    <x v="0"/>
    <x v="0"/>
    <x v="0"/>
    <x v="0"/>
    <x v="1"/>
    <s v="DK2_Medium"/>
    <x v="3"/>
    <x v="1"/>
    <x v="1"/>
    <s v="GNR_ENG_NGAS_BP_E-42"/>
    <x v="11"/>
    <n v="1.38315789473684E-2"/>
  </r>
  <r>
    <x v="0"/>
    <x v="0"/>
    <x v="0"/>
    <x v="0"/>
    <x v="1"/>
    <s v="DK2_Medium"/>
    <x v="3"/>
    <x v="1"/>
    <x v="1"/>
    <s v="GNR_ENG_NGAS_BP_E-42"/>
    <x v="12"/>
    <n v="1.5368421052631601E-2"/>
  </r>
  <r>
    <x v="0"/>
    <x v="0"/>
    <x v="0"/>
    <x v="0"/>
    <x v="1"/>
    <s v="DK2_Medium"/>
    <x v="3"/>
    <x v="1"/>
    <x v="1"/>
    <s v="GNR_ENG_NGAS_BP_E-48_Y-2030"/>
    <x v="11"/>
    <n v="4.2234802977502204"/>
  </r>
  <r>
    <x v="0"/>
    <x v="0"/>
    <x v="0"/>
    <x v="0"/>
    <x v="1"/>
    <s v="DK2_Medium"/>
    <x v="3"/>
    <x v="1"/>
    <x v="1"/>
    <s v="GNR_ENG_NGAS_BP_E-48_Y-2030"/>
    <x v="12"/>
    <n v="4.2661417148992102"/>
  </r>
  <r>
    <x v="0"/>
    <x v="0"/>
    <x v="0"/>
    <x v="0"/>
    <x v="1"/>
    <s v="DK2_Medium"/>
    <x v="5"/>
    <x v="1"/>
    <x v="1"/>
    <s v="GNR_ST_WOODCHI_BP_E-27"/>
    <x v="11"/>
    <n v="7.6065273631841096E-3"/>
  </r>
  <r>
    <x v="0"/>
    <x v="0"/>
    <x v="0"/>
    <x v="0"/>
    <x v="1"/>
    <s v="DK2_Medium"/>
    <x v="5"/>
    <x v="1"/>
    <x v="1"/>
    <s v="GNR_ST_WOODCHI_BP_E-27"/>
    <x v="12"/>
    <n v="2.23721393034827E-2"/>
  </r>
  <r>
    <x v="0"/>
    <x v="0"/>
    <x v="0"/>
    <x v="0"/>
    <x v="1"/>
    <s v="DK2_NoDH_PHH"/>
    <x v="6"/>
    <x v="2"/>
    <x v="2"/>
    <s v="GNR_BO_ELEC_E-99_LS-10-MW-FEED_PHH_Y-2030"/>
    <x v="11"/>
    <n v="7.4592859387136903"/>
  </r>
  <r>
    <x v="0"/>
    <x v="0"/>
    <x v="0"/>
    <x v="0"/>
    <x v="1"/>
    <s v="DK2_NoDH_PHH"/>
    <x v="6"/>
    <x v="2"/>
    <x v="2"/>
    <s v="GNR_BO_ELEC_E-99_LS-10-MW-FEED_PHH_Y-2030"/>
    <x v="12"/>
    <n v="-7.3846930793265502"/>
  </r>
  <r>
    <x v="0"/>
    <x v="0"/>
    <x v="0"/>
    <x v="0"/>
    <x v="1"/>
    <s v="DK2_Rural"/>
    <x v="1"/>
    <x v="1"/>
    <x v="1"/>
    <s v="GNR_ENG_BGAS_BP_E-40"/>
    <x v="11"/>
    <n v="3.6606692307692302E-3"/>
  </r>
  <r>
    <x v="0"/>
    <x v="0"/>
    <x v="0"/>
    <x v="0"/>
    <x v="1"/>
    <s v="DK2_Rural"/>
    <x v="1"/>
    <x v="1"/>
    <x v="1"/>
    <s v="GNR_ENG_BGAS_BP_E-40"/>
    <x v="12"/>
    <n v="4.4642307692307698E-3"/>
  </r>
  <r>
    <x v="0"/>
    <x v="0"/>
    <x v="0"/>
    <x v="0"/>
    <x v="1"/>
    <s v="DK2_Rural"/>
    <x v="1"/>
    <x v="1"/>
    <x v="1"/>
    <s v="GNR_ENG_BGAS_BP_E-41"/>
    <x v="11"/>
    <n v="1.34769230769231E-2"/>
  </r>
  <r>
    <x v="0"/>
    <x v="0"/>
    <x v="0"/>
    <x v="0"/>
    <x v="1"/>
    <s v="DK2_Rural"/>
    <x v="1"/>
    <x v="1"/>
    <x v="1"/>
    <s v="GNR_ENG_BGAS_BP_E-41"/>
    <x v="12"/>
    <n v="1.64352720450281E-2"/>
  </r>
  <r>
    <x v="0"/>
    <x v="0"/>
    <x v="0"/>
    <x v="0"/>
    <x v="1"/>
    <s v="DK2_Rural"/>
    <x v="1"/>
    <x v="1"/>
    <x v="1"/>
    <s v="GNR_ENG_BGAS_BP_E-42"/>
    <x v="11"/>
    <n v="3.7718378021978E-2"/>
  </r>
  <r>
    <x v="0"/>
    <x v="0"/>
    <x v="0"/>
    <x v="0"/>
    <x v="1"/>
    <s v="DK2_Rural"/>
    <x v="1"/>
    <x v="1"/>
    <x v="1"/>
    <s v="GNR_ENG_BGAS_BP_E-42"/>
    <x v="12"/>
    <n v="4.5998021978021997E-2"/>
  </r>
  <r>
    <x v="0"/>
    <x v="0"/>
    <x v="0"/>
    <x v="0"/>
    <x v="1"/>
    <s v="DK2_Rural"/>
    <x v="10"/>
    <x v="1"/>
    <x v="1"/>
    <s v="GNR_ST_COAL_BP_E-35"/>
    <x v="11"/>
    <n v="1.13470480554048"/>
  </r>
  <r>
    <x v="0"/>
    <x v="0"/>
    <x v="0"/>
    <x v="0"/>
    <x v="1"/>
    <s v="DK2_Rural"/>
    <x v="10"/>
    <x v="1"/>
    <x v="1"/>
    <s v="GNR_ST_COAL_BP_E-35"/>
    <x v="12"/>
    <n v="1.51293974072065"/>
  </r>
  <r>
    <x v="0"/>
    <x v="0"/>
    <x v="0"/>
    <x v="0"/>
    <x v="1"/>
    <s v="DK2_Rural"/>
    <x v="6"/>
    <x v="2"/>
    <x v="2"/>
    <s v="GNR_HP_ELEC_COP-400"/>
    <x v="11"/>
    <n v="-1.6936E-3"/>
  </r>
  <r>
    <x v="0"/>
    <x v="0"/>
    <x v="0"/>
    <x v="0"/>
    <x v="1"/>
    <s v="DK2_Rural"/>
    <x v="6"/>
    <x v="2"/>
    <x v="2"/>
    <s v="GNR_HP_ELEC_COP-400"/>
    <x v="12"/>
    <n v="6.7743999999999999E-3"/>
  </r>
  <r>
    <x v="0"/>
    <x v="0"/>
    <x v="0"/>
    <x v="0"/>
    <x v="1"/>
    <s v="DK2_Rural"/>
    <x v="3"/>
    <x v="1"/>
    <x v="1"/>
    <s v="GNR_CC_NGAS_BP_E-53_SS-10-MW_Y-2030"/>
    <x v="11"/>
    <n v="1.4642561594571999"/>
  </r>
  <r>
    <x v="0"/>
    <x v="0"/>
    <x v="0"/>
    <x v="0"/>
    <x v="1"/>
    <s v="DK2_Rural"/>
    <x v="3"/>
    <x v="1"/>
    <x v="1"/>
    <s v="GNR_CC_NGAS_BP_E-53_SS-10-MW_Y-2030"/>
    <x v="12"/>
    <n v="1.0458972567551501"/>
  </r>
  <r>
    <x v="0"/>
    <x v="0"/>
    <x v="0"/>
    <x v="0"/>
    <x v="1"/>
    <s v="DK2_Rural"/>
    <x v="3"/>
    <x v="1"/>
    <x v="1"/>
    <s v="GNR_ENG_NGAS_BP_E-36"/>
    <x v="11"/>
    <n v="2.2994999999999999E-3"/>
  </r>
  <r>
    <x v="0"/>
    <x v="0"/>
    <x v="0"/>
    <x v="0"/>
    <x v="1"/>
    <s v="DK2_Rural"/>
    <x v="3"/>
    <x v="1"/>
    <x v="1"/>
    <s v="GNR_ENG_NGAS_BP_E-36"/>
    <x v="12"/>
    <n v="2.555E-3"/>
  </r>
  <r>
    <x v="0"/>
    <x v="0"/>
    <x v="0"/>
    <x v="0"/>
    <x v="1"/>
    <s v="DK2_Rural"/>
    <x v="3"/>
    <x v="1"/>
    <x v="1"/>
    <s v="GNR_ENG_NGAS_BP_E-38"/>
    <x v="11"/>
    <n v="3.7836648199446E-3"/>
  </r>
  <r>
    <x v="0"/>
    <x v="0"/>
    <x v="0"/>
    <x v="0"/>
    <x v="1"/>
    <s v="DK2_Rural"/>
    <x v="3"/>
    <x v="1"/>
    <x v="1"/>
    <s v="GNR_ENG_NGAS_BP_E-38"/>
    <x v="12"/>
    <n v="4.2040720221606697E-3"/>
  </r>
  <r>
    <x v="0"/>
    <x v="0"/>
    <x v="0"/>
    <x v="0"/>
    <x v="1"/>
    <s v="DK2_Rural"/>
    <x v="3"/>
    <x v="1"/>
    <x v="1"/>
    <s v="GNR_ENG_NGAS_BP_E-40"/>
    <x v="11"/>
    <n v="0.10581157894736801"/>
  </r>
  <r>
    <x v="0"/>
    <x v="0"/>
    <x v="0"/>
    <x v="0"/>
    <x v="1"/>
    <s v="DK2_Rural"/>
    <x v="3"/>
    <x v="1"/>
    <x v="1"/>
    <s v="GNR_ENG_NGAS_BP_E-40"/>
    <x v="12"/>
    <n v="0.117568421052631"/>
  </r>
  <r>
    <x v="0"/>
    <x v="0"/>
    <x v="0"/>
    <x v="0"/>
    <x v="1"/>
    <s v="DK2_Rural"/>
    <x v="3"/>
    <x v="1"/>
    <x v="1"/>
    <s v="GNR_ENG_NGAS_BP_E-45"/>
    <x v="11"/>
    <n v="1.0604210526315799E-2"/>
  </r>
  <r>
    <x v="0"/>
    <x v="0"/>
    <x v="0"/>
    <x v="0"/>
    <x v="1"/>
    <s v="DK2_Rural"/>
    <x v="3"/>
    <x v="1"/>
    <x v="1"/>
    <s v="GNR_ENG_NGAS_BP_E-45"/>
    <x v="12"/>
    <n v="1.1782456140350899E-2"/>
  </r>
  <r>
    <x v="0"/>
    <x v="0"/>
    <x v="0"/>
    <x v="0"/>
    <x v="1"/>
    <s v="DK2_Small"/>
    <x v="3"/>
    <x v="1"/>
    <x v="1"/>
    <s v="GNR_CC_NGAS_BP_E-53_SS-10-MW_Y-2030"/>
    <x v="11"/>
    <n v="0.47614832920342198"/>
  </r>
  <r>
    <x v="0"/>
    <x v="0"/>
    <x v="0"/>
    <x v="0"/>
    <x v="1"/>
    <s v="DK2_Small"/>
    <x v="3"/>
    <x v="1"/>
    <x v="1"/>
    <s v="GNR_CC_NGAS_BP_E-53_SS-10-MW_Y-2030"/>
    <x v="12"/>
    <n v="0.34010594943101602"/>
  </r>
</pivotCacheRecords>
</file>

<file path=xl/pivotCache/pivotCacheRecords21.xml><?xml version="1.0" encoding="utf-8"?>
<pivotCacheRecords xmlns="http://schemas.openxmlformats.org/spreadsheetml/2006/main" xmlns:r="http://schemas.openxmlformats.org/officeDocument/2006/relationships" count="1804">
  <r>
    <x v="0"/>
    <x v="0"/>
    <x v="0"/>
    <x v="0"/>
    <x v="0"/>
    <m/>
    <x v="0"/>
    <x v="0"/>
    <x v="0"/>
    <m/>
    <x v="0"/>
    <n v="1440.58152554399"/>
  </r>
  <r>
    <x v="0"/>
    <x v="0"/>
    <x v="0"/>
    <x v="0"/>
    <x v="1"/>
    <m/>
    <x v="0"/>
    <x v="0"/>
    <x v="0"/>
    <m/>
    <x v="0"/>
    <n v="1039.42522854154"/>
  </r>
  <r>
    <x v="0"/>
    <x v="0"/>
    <x v="0"/>
    <x v="0"/>
    <x v="0"/>
    <m/>
    <x v="0"/>
    <x v="0"/>
    <x v="0"/>
    <m/>
    <x v="1"/>
    <n v="943.50625418987795"/>
  </r>
  <r>
    <x v="0"/>
    <x v="0"/>
    <x v="0"/>
    <x v="0"/>
    <x v="1"/>
    <m/>
    <x v="0"/>
    <x v="0"/>
    <x v="0"/>
    <m/>
    <x v="1"/>
    <n v="669.85157076360395"/>
  </r>
  <r>
    <x v="0"/>
    <x v="0"/>
    <x v="0"/>
    <x v="0"/>
    <x v="0"/>
    <s v="DK1_Large"/>
    <x v="1"/>
    <x v="1"/>
    <x v="1"/>
    <s v="GNR_ENG_BGAS_BP_E-36"/>
    <x v="2"/>
    <n v="107.718113198059"/>
  </r>
  <r>
    <x v="0"/>
    <x v="0"/>
    <x v="0"/>
    <x v="0"/>
    <x v="0"/>
    <s v="DK1_Large"/>
    <x v="1"/>
    <x v="1"/>
    <x v="1"/>
    <s v="GNR_ENG_BGAS_BP_E-37"/>
    <x v="2"/>
    <n v="107.718113198059"/>
  </r>
  <r>
    <x v="0"/>
    <x v="0"/>
    <x v="0"/>
    <x v="0"/>
    <x v="0"/>
    <s v="DK1_Large"/>
    <x v="1"/>
    <x v="1"/>
    <x v="1"/>
    <s v="GNR_ENG_BGAS_BP_E-39"/>
    <x v="2"/>
    <n v="107.718113198059"/>
  </r>
  <r>
    <x v="0"/>
    <x v="0"/>
    <x v="0"/>
    <x v="0"/>
    <x v="0"/>
    <s v="DK1_Large"/>
    <x v="1"/>
    <x v="1"/>
    <x v="1"/>
    <s v="GNR_ENG_BGAS_BP_E-40"/>
    <x v="2"/>
    <n v="107.718113198059"/>
  </r>
  <r>
    <x v="0"/>
    <x v="0"/>
    <x v="0"/>
    <x v="0"/>
    <x v="0"/>
    <s v="DK1_Large"/>
    <x v="1"/>
    <x v="1"/>
    <x v="1"/>
    <s v="GNR_ENG_BGAS_BP_E-41"/>
    <x v="2"/>
    <n v="107.718113198059"/>
  </r>
  <r>
    <x v="0"/>
    <x v="0"/>
    <x v="0"/>
    <x v="0"/>
    <x v="0"/>
    <s v="DK1_Large"/>
    <x v="1"/>
    <x v="1"/>
    <x v="1"/>
    <s v="GNR_ENG_BGAS_BP_E-42"/>
    <x v="2"/>
    <n v="107.718113198059"/>
  </r>
  <r>
    <x v="0"/>
    <x v="0"/>
    <x v="0"/>
    <x v="0"/>
    <x v="0"/>
    <s v="DK1_Large"/>
    <x v="1"/>
    <x v="1"/>
    <x v="1"/>
    <s v="GNR_ENG_BGAS_BP_E-43"/>
    <x v="2"/>
    <n v="90.535044293896703"/>
  </r>
  <r>
    <x v="0"/>
    <x v="0"/>
    <x v="0"/>
    <x v="0"/>
    <x v="0"/>
    <s v="DK1_Large"/>
    <x v="2"/>
    <x v="1"/>
    <x v="1"/>
    <s v="GNR_ST_MSW_BP_E-24_LS-220-MW-FEED_Y-2030"/>
    <x v="2"/>
    <n v="48.014278511882203"/>
  </r>
  <r>
    <x v="0"/>
    <x v="0"/>
    <x v="0"/>
    <x v="0"/>
    <x v="0"/>
    <s v="DK1_Large"/>
    <x v="2"/>
    <x v="1"/>
    <x v="1"/>
    <s v="GNR_ST_MSW_BP_E-27"/>
    <x v="2"/>
    <n v="48.014278511882203"/>
  </r>
  <r>
    <x v="0"/>
    <x v="0"/>
    <x v="0"/>
    <x v="0"/>
    <x v="0"/>
    <s v="DK1_Large"/>
    <x v="3"/>
    <x v="1"/>
    <x v="1"/>
    <s v="GNR_ENG_NGAS_BP_E-39"/>
    <x v="2"/>
    <n v="90.535044293896703"/>
  </r>
  <r>
    <x v="0"/>
    <x v="0"/>
    <x v="0"/>
    <x v="0"/>
    <x v="0"/>
    <s v="DK1_Large"/>
    <x v="3"/>
    <x v="1"/>
    <x v="1"/>
    <s v="GNR_ENG_NGAS_BP_E-42"/>
    <x v="2"/>
    <n v="83.363950444171905"/>
  </r>
  <r>
    <x v="0"/>
    <x v="0"/>
    <x v="0"/>
    <x v="0"/>
    <x v="0"/>
    <s v="DK1_Large"/>
    <x v="3"/>
    <x v="1"/>
    <x v="1"/>
    <s v="GNR_ENG_NGAS_BP_E-43"/>
    <x v="2"/>
    <n v="80.328109413572506"/>
  </r>
  <r>
    <x v="0"/>
    <x v="0"/>
    <x v="0"/>
    <x v="0"/>
    <x v="0"/>
    <s v="DK1_Large"/>
    <x v="3"/>
    <x v="1"/>
    <x v="1"/>
    <s v="GNR_ENG_NGAS_BP_E-46"/>
    <x v="2"/>
    <n v="75.920676031530803"/>
  </r>
  <r>
    <x v="0"/>
    <x v="0"/>
    <x v="0"/>
    <x v="0"/>
    <x v="0"/>
    <s v="DK1_Large"/>
    <x v="3"/>
    <x v="1"/>
    <x v="1"/>
    <s v="GNR_GT_NGAS_BP_E-43_LS-40-MW_Y-2030"/>
    <x v="2"/>
    <n v="80.328109413572506"/>
  </r>
  <r>
    <x v="0"/>
    <x v="0"/>
    <x v="0"/>
    <x v="0"/>
    <x v="0"/>
    <s v="DK1_Large"/>
    <x v="4"/>
    <x v="1"/>
    <x v="1"/>
    <s v="GNR_ST_STRW_BP_E-26"/>
    <x v="2"/>
    <n v="68.148949807570403"/>
  </r>
  <r>
    <x v="0"/>
    <x v="0"/>
    <x v="0"/>
    <x v="0"/>
    <x v="0"/>
    <s v="DK1_Large"/>
    <x v="5"/>
    <x v="1"/>
    <x v="1"/>
    <s v="GNR_ST_WOODCHI_BP_E-23"/>
    <x v="2"/>
    <n v="82.488990395073898"/>
  </r>
  <r>
    <x v="0"/>
    <x v="0"/>
    <x v="0"/>
    <x v="0"/>
    <x v="0"/>
    <s v="DK1_Large_PHH"/>
    <x v="6"/>
    <x v="2"/>
    <x v="2"/>
    <s v="GNR_BO_ELEC_E-99_LS-10-MW-FEED_PHH_Y-2030"/>
    <x v="2"/>
    <n v="6.6173491227085597"/>
  </r>
  <r>
    <x v="0"/>
    <x v="0"/>
    <x v="0"/>
    <x v="0"/>
    <x v="0"/>
    <s v="DK1_MedSmall"/>
    <x v="6"/>
    <x v="2"/>
    <x v="2"/>
    <s v="GNR_HP_ELEC_GROUND-WTR_COP-380_LS-4-MW_Y-2030"/>
    <x v="2"/>
    <n v="37.313170439115403"/>
  </r>
  <r>
    <x v="0"/>
    <x v="0"/>
    <x v="0"/>
    <x v="0"/>
    <x v="0"/>
    <s v="DK1_MedSmall"/>
    <x v="3"/>
    <x v="1"/>
    <x v="1"/>
    <s v="GNR_ENG_NGAS_BP_E-41"/>
    <x v="2"/>
    <n v="73.631408948563703"/>
  </r>
  <r>
    <x v="0"/>
    <x v="0"/>
    <x v="0"/>
    <x v="0"/>
    <x v="0"/>
    <s v="DK1_Medium"/>
    <x v="1"/>
    <x v="1"/>
    <x v="1"/>
    <s v="GNR_ENG_BGAS_BP_E-39"/>
    <x v="2"/>
    <n v="107.718113198059"/>
  </r>
  <r>
    <x v="0"/>
    <x v="0"/>
    <x v="0"/>
    <x v="0"/>
    <x v="0"/>
    <s v="DK1_Medium"/>
    <x v="1"/>
    <x v="1"/>
    <x v="1"/>
    <s v="GNR_ENG_BGAS_BP_E-41"/>
    <x v="2"/>
    <n v="107.718113198059"/>
  </r>
  <r>
    <x v="0"/>
    <x v="0"/>
    <x v="0"/>
    <x v="0"/>
    <x v="0"/>
    <s v="DK1_Medium"/>
    <x v="1"/>
    <x v="1"/>
    <x v="1"/>
    <s v="GNR_ENG_BGAS_BP_E-42"/>
    <x v="2"/>
    <n v="107.718113198059"/>
  </r>
  <r>
    <x v="0"/>
    <x v="0"/>
    <x v="0"/>
    <x v="0"/>
    <x v="0"/>
    <s v="DK1_Medium"/>
    <x v="3"/>
    <x v="1"/>
    <x v="1"/>
    <s v="GNR_ENG_NGAS_BP_E-41"/>
    <x v="2"/>
    <n v="90.535044293896703"/>
  </r>
  <r>
    <x v="0"/>
    <x v="0"/>
    <x v="0"/>
    <x v="0"/>
    <x v="0"/>
    <s v="DK1_Medium"/>
    <x v="3"/>
    <x v="1"/>
    <x v="1"/>
    <s v="GNR_ENG_NGAS_BP_E-42"/>
    <x v="2"/>
    <n v="83.363950444172005"/>
  </r>
  <r>
    <x v="0"/>
    <x v="0"/>
    <x v="0"/>
    <x v="0"/>
    <x v="0"/>
    <s v="DK1_Medium"/>
    <x v="3"/>
    <x v="1"/>
    <x v="1"/>
    <s v="GNR_ENG_NGAS_BP_E-43"/>
    <x v="2"/>
    <n v="80.328109413572506"/>
  </r>
  <r>
    <x v="0"/>
    <x v="0"/>
    <x v="0"/>
    <x v="0"/>
    <x v="0"/>
    <s v="DK1_Medium"/>
    <x v="3"/>
    <x v="1"/>
    <x v="1"/>
    <s v="GNR_ENG_NGAS_BP_E-44"/>
    <x v="2"/>
    <n v="78.179517467146894"/>
  </r>
  <r>
    <x v="0"/>
    <x v="0"/>
    <x v="0"/>
    <x v="0"/>
    <x v="0"/>
    <s v="DK1_Medium"/>
    <x v="3"/>
    <x v="1"/>
    <x v="1"/>
    <s v="GNR_ENG_NGAS_BP_E-48_Y-2030"/>
    <x v="2"/>
    <n v="67.450916029899304"/>
  </r>
  <r>
    <x v="0"/>
    <x v="0"/>
    <x v="0"/>
    <x v="0"/>
    <x v="0"/>
    <s v="DK1_NoDH"/>
    <x v="6"/>
    <x v="3"/>
    <x v="3"/>
    <s v="GNR_ES_ELEC_BAT-LITHIO_E-97_Y-30-50"/>
    <x v="2"/>
    <n v="68.927318022791198"/>
  </r>
  <r>
    <x v="0"/>
    <x v="0"/>
    <x v="0"/>
    <x v="0"/>
    <x v="0"/>
    <s v="DK1_NoDH"/>
    <x v="3"/>
    <x v="4"/>
    <x v="4"/>
    <s v="GNR_ENG_NGAS_CND_E-41"/>
    <x v="2"/>
    <n v="107.718113198059"/>
  </r>
  <r>
    <x v="0"/>
    <x v="0"/>
    <x v="0"/>
    <x v="0"/>
    <x v="0"/>
    <s v="DK1_NoDH"/>
    <x v="3"/>
    <x v="4"/>
    <x v="4"/>
    <s v="GNR_ENG_NGAS_CND_E-46"/>
    <x v="2"/>
    <n v="90.535044293896703"/>
  </r>
  <r>
    <x v="0"/>
    <x v="0"/>
    <x v="0"/>
    <x v="0"/>
    <x v="0"/>
    <s v="DK1_NoDH"/>
    <x v="7"/>
    <x v="5"/>
    <x v="5"/>
    <s v="GNR_PV_SUN"/>
    <x v="2"/>
    <n v="41.019203782194502"/>
  </r>
  <r>
    <x v="0"/>
    <x v="0"/>
    <x v="0"/>
    <x v="0"/>
    <x v="0"/>
    <s v="DK1_NoDH"/>
    <x v="7"/>
    <x v="5"/>
    <x v="5"/>
    <s v="GNR_PV_SUN_LS-4-MW_Y-2030"/>
    <x v="2"/>
    <n v="41.019203782194502"/>
  </r>
  <r>
    <x v="0"/>
    <x v="0"/>
    <x v="0"/>
    <x v="0"/>
    <x v="0"/>
    <s v="DK1_NoDH"/>
    <x v="8"/>
    <x v="6"/>
    <x v="6"/>
    <s v="GNR_ROR_WTR"/>
    <x v="2"/>
    <n v="47.864275659275599"/>
  </r>
  <r>
    <x v="0"/>
    <x v="0"/>
    <x v="0"/>
    <x v="0"/>
    <x v="0"/>
    <s v="DK1_NoDH"/>
    <x v="9"/>
    <x v="5"/>
    <x v="7"/>
    <s v="GNR_WT_WIND_ONS"/>
    <x v="2"/>
    <n v="30.832345454227902"/>
  </r>
  <r>
    <x v="0"/>
    <x v="0"/>
    <x v="0"/>
    <x v="0"/>
    <x v="0"/>
    <s v="DK1_NoDH"/>
    <x v="9"/>
    <x v="5"/>
    <x v="7"/>
    <s v="GNR_WT_WIND_ON_LS_Y-2030"/>
    <x v="2"/>
    <n v="30.832345454227902"/>
  </r>
  <r>
    <x v="0"/>
    <x v="0"/>
    <x v="0"/>
    <x v="0"/>
    <x v="0"/>
    <s v="DK1_NoDH"/>
    <x v="5"/>
    <x v="1"/>
    <x v="8"/>
    <s v="GNR_ST_WOODCHI_EXT_E-30"/>
    <x v="2"/>
    <n v="107.718113198059"/>
  </r>
  <r>
    <x v="0"/>
    <x v="0"/>
    <x v="0"/>
    <x v="0"/>
    <x v="0"/>
    <s v="DK1_NoDH_PHH"/>
    <x v="6"/>
    <x v="2"/>
    <x v="2"/>
    <s v="GNR_BO_ELEC_E-99_LS-10-MW-FEED_PHH_Y-2030"/>
    <x v="2"/>
    <n v="5.9832110476268001"/>
  </r>
  <r>
    <x v="0"/>
    <x v="0"/>
    <x v="0"/>
    <x v="0"/>
    <x v="0"/>
    <s v="DK1_Offshore"/>
    <x v="9"/>
    <x v="5"/>
    <x v="7"/>
    <s v="GNR_WT_WIND_OFF"/>
    <x v="2"/>
    <n v="34.002747012296801"/>
  </r>
  <r>
    <x v="0"/>
    <x v="0"/>
    <x v="0"/>
    <x v="0"/>
    <x v="0"/>
    <s v="DK1_Rural"/>
    <x v="1"/>
    <x v="1"/>
    <x v="1"/>
    <s v="GNR_ENG_BGAS_BP_E-30"/>
    <x v="2"/>
    <n v="107.718113198059"/>
  </r>
  <r>
    <x v="0"/>
    <x v="0"/>
    <x v="0"/>
    <x v="0"/>
    <x v="0"/>
    <s v="DK1_Rural"/>
    <x v="1"/>
    <x v="1"/>
    <x v="1"/>
    <s v="GNR_ENG_BGAS_BP_E-37"/>
    <x v="2"/>
    <n v="107.718113198059"/>
  </r>
  <r>
    <x v="0"/>
    <x v="0"/>
    <x v="0"/>
    <x v="0"/>
    <x v="0"/>
    <s v="DK1_Rural"/>
    <x v="1"/>
    <x v="1"/>
    <x v="1"/>
    <s v="GNR_ENG_BGAS_BP_E-38"/>
    <x v="2"/>
    <n v="107.718113198059"/>
  </r>
  <r>
    <x v="0"/>
    <x v="0"/>
    <x v="0"/>
    <x v="0"/>
    <x v="0"/>
    <s v="DK1_Rural"/>
    <x v="1"/>
    <x v="1"/>
    <x v="1"/>
    <s v="GNR_ENG_BGAS_BP_E-39"/>
    <x v="2"/>
    <n v="90.535044293896703"/>
  </r>
  <r>
    <x v="0"/>
    <x v="0"/>
    <x v="0"/>
    <x v="0"/>
    <x v="0"/>
    <s v="DK1_Rural"/>
    <x v="1"/>
    <x v="1"/>
    <x v="1"/>
    <s v="GNR_ENG_BGAS_BP_E-40"/>
    <x v="2"/>
    <n v="90.535044293896703"/>
  </r>
  <r>
    <x v="0"/>
    <x v="0"/>
    <x v="0"/>
    <x v="0"/>
    <x v="0"/>
    <s v="DK1_Rural"/>
    <x v="1"/>
    <x v="1"/>
    <x v="1"/>
    <s v="GNR_ENG_BGAS_BP_E-41"/>
    <x v="2"/>
    <n v="90.535044293896703"/>
  </r>
  <r>
    <x v="0"/>
    <x v="0"/>
    <x v="0"/>
    <x v="0"/>
    <x v="0"/>
    <s v="DK1_Rural"/>
    <x v="1"/>
    <x v="1"/>
    <x v="1"/>
    <s v="GNR_ENG_BGAS_BP_E-42"/>
    <x v="2"/>
    <n v="90.535044293896703"/>
  </r>
  <r>
    <x v="0"/>
    <x v="0"/>
    <x v="0"/>
    <x v="0"/>
    <x v="0"/>
    <s v="DK1_Rural"/>
    <x v="1"/>
    <x v="1"/>
    <x v="1"/>
    <s v="GNR_ENG_BGAS_BP_E-43"/>
    <x v="2"/>
    <n v="90.535044293896703"/>
  </r>
  <r>
    <x v="0"/>
    <x v="0"/>
    <x v="0"/>
    <x v="0"/>
    <x v="0"/>
    <s v="DK1_Rural"/>
    <x v="6"/>
    <x v="2"/>
    <x v="2"/>
    <s v="GNR_HP_ELEC_COP-300"/>
    <x v="2"/>
    <n v="23.090877615362199"/>
  </r>
  <r>
    <x v="0"/>
    <x v="0"/>
    <x v="0"/>
    <x v="0"/>
    <x v="0"/>
    <s v="DK1_Rural"/>
    <x v="6"/>
    <x v="2"/>
    <x v="2"/>
    <s v="GNR_HP_ELEC_COP-350"/>
    <x v="2"/>
    <n v="35.233445662693804"/>
  </r>
  <r>
    <x v="0"/>
    <x v="0"/>
    <x v="0"/>
    <x v="0"/>
    <x v="0"/>
    <s v="DK1_Rural"/>
    <x v="6"/>
    <x v="2"/>
    <x v="2"/>
    <s v="GNR_HP_ELEC_COP-400"/>
    <x v="2"/>
    <n v="36.924590563943703"/>
  </r>
  <r>
    <x v="0"/>
    <x v="0"/>
    <x v="0"/>
    <x v="0"/>
    <x v="0"/>
    <s v="DK1_Rural"/>
    <x v="6"/>
    <x v="2"/>
    <x v="2"/>
    <s v="GNR_HP_ELEC_COP-430"/>
    <x v="2"/>
    <n v="37.750645392085602"/>
  </r>
  <r>
    <x v="0"/>
    <x v="0"/>
    <x v="0"/>
    <x v="0"/>
    <x v="0"/>
    <s v="DK1_Rural"/>
    <x v="6"/>
    <x v="2"/>
    <x v="2"/>
    <s v="GNR_HP_ELEC_COP-450"/>
    <x v="2"/>
    <n v="37.750645392085602"/>
  </r>
  <r>
    <x v="0"/>
    <x v="0"/>
    <x v="0"/>
    <x v="0"/>
    <x v="0"/>
    <s v="DK1_Rural"/>
    <x v="6"/>
    <x v="2"/>
    <x v="2"/>
    <s v="GNR_HP_ELEC_COP-460"/>
    <x v="2"/>
    <n v="37.750645392085602"/>
  </r>
  <r>
    <x v="0"/>
    <x v="0"/>
    <x v="0"/>
    <x v="0"/>
    <x v="0"/>
    <s v="DK1_Rural"/>
    <x v="6"/>
    <x v="2"/>
    <x v="2"/>
    <s v="GNR_HP_ELEC_COP-470"/>
    <x v="2"/>
    <n v="37.750645392085602"/>
  </r>
  <r>
    <x v="0"/>
    <x v="0"/>
    <x v="0"/>
    <x v="0"/>
    <x v="0"/>
    <s v="DK1_Rural"/>
    <x v="6"/>
    <x v="2"/>
    <x v="2"/>
    <s v="GNR_HP_ELEC_COP-500"/>
    <x v="2"/>
    <n v="46.308454663705703"/>
  </r>
  <r>
    <x v="0"/>
    <x v="0"/>
    <x v="0"/>
    <x v="0"/>
    <x v="0"/>
    <s v="DK1_Rural"/>
    <x v="6"/>
    <x v="2"/>
    <x v="2"/>
    <s v="GNR_HP_ELEC_COP-530"/>
    <x v="2"/>
    <n v="48.014278511882203"/>
  </r>
  <r>
    <x v="0"/>
    <x v="0"/>
    <x v="0"/>
    <x v="0"/>
    <x v="0"/>
    <s v="DK1_Rural"/>
    <x v="6"/>
    <x v="2"/>
    <x v="2"/>
    <s v="GNR_HP_ELEC_COP-600"/>
    <x v="2"/>
    <n v="48.014278511882203"/>
  </r>
  <r>
    <x v="0"/>
    <x v="0"/>
    <x v="0"/>
    <x v="0"/>
    <x v="0"/>
    <s v="DK1_Rural"/>
    <x v="6"/>
    <x v="2"/>
    <x v="2"/>
    <s v="GNR_HP_ELEC_GROUND-WTR_COP-380_LS-4-MW_Y-2030"/>
    <x v="2"/>
    <n v="36.924590563943603"/>
  </r>
  <r>
    <x v="0"/>
    <x v="0"/>
    <x v="0"/>
    <x v="0"/>
    <x v="0"/>
    <s v="DK1_Rural"/>
    <x v="3"/>
    <x v="1"/>
    <x v="1"/>
    <s v="GNR_ENG_NGAS_BP_E-37"/>
    <x v="2"/>
    <n v="86.828186329667105"/>
  </r>
  <r>
    <x v="0"/>
    <x v="0"/>
    <x v="0"/>
    <x v="0"/>
    <x v="0"/>
    <s v="DK1_Rural"/>
    <x v="3"/>
    <x v="1"/>
    <x v="1"/>
    <s v="GNR_ENG_NGAS_BP_E-38"/>
    <x v="2"/>
    <n v="83.363950444172005"/>
  </r>
  <r>
    <x v="0"/>
    <x v="0"/>
    <x v="0"/>
    <x v="0"/>
    <x v="0"/>
    <s v="DK1_Rural"/>
    <x v="3"/>
    <x v="1"/>
    <x v="1"/>
    <s v="GNR_ENG_NGAS_BP_E-39"/>
    <x v="2"/>
    <n v="78.179517467146894"/>
  </r>
  <r>
    <x v="0"/>
    <x v="0"/>
    <x v="0"/>
    <x v="0"/>
    <x v="0"/>
    <s v="DK1_Rural"/>
    <x v="3"/>
    <x v="1"/>
    <x v="1"/>
    <s v="GNR_ENG_NGAS_BP_E-40"/>
    <x v="2"/>
    <n v="75.920676031530803"/>
  </r>
  <r>
    <x v="0"/>
    <x v="0"/>
    <x v="0"/>
    <x v="0"/>
    <x v="0"/>
    <s v="DK1_Rural"/>
    <x v="3"/>
    <x v="1"/>
    <x v="1"/>
    <s v="GNR_ENG_NGAS_BP_E-41"/>
    <x v="2"/>
    <n v="73.719320045539703"/>
  </r>
  <r>
    <x v="0"/>
    <x v="0"/>
    <x v="0"/>
    <x v="0"/>
    <x v="0"/>
    <s v="DK1_Rural"/>
    <x v="3"/>
    <x v="1"/>
    <x v="1"/>
    <s v="GNR_ENG_NGAS_BP_E-42"/>
    <x v="2"/>
    <n v="68.682286827797896"/>
  </r>
  <r>
    <x v="0"/>
    <x v="0"/>
    <x v="0"/>
    <x v="0"/>
    <x v="0"/>
    <s v="DK1_Rural"/>
    <x v="3"/>
    <x v="1"/>
    <x v="1"/>
    <s v="GNR_ENG_NGAS_BP_E-43"/>
    <x v="2"/>
    <n v="63.9162107045154"/>
  </r>
  <r>
    <x v="0"/>
    <x v="0"/>
    <x v="0"/>
    <x v="0"/>
    <x v="0"/>
    <s v="DK1_Rural"/>
    <x v="3"/>
    <x v="1"/>
    <x v="1"/>
    <s v="GNR_ENG_NGAS_BP_E-44"/>
    <x v="2"/>
    <n v="62.474329895501199"/>
  </r>
  <r>
    <x v="0"/>
    <x v="0"/>
    <x v="0"/>
    <x v="0"/>
    <x v="0"/>
    <s v="DK1_Rural"/>
    <x v="3"/>
    <x v="1"/>
    <x v="1"/>
    <s v="GNR_ENG_NGAS_BP_E-45"/>
    <x v="2"/>
    <n v="61.844627928308903"/>
  </r>
  <r>
    <x v="0"/>
    <x v="0"/>
    <x v="0"/>
    <x v="0"/>
    <x v="0"/>
    <s v="DK1_Rural"/>
    <x v="3"/>
    <x v="1"/>
    <x v="1"/>
    <s v="GNR_ENG_NGAS_BP_E-46"/>
    <x v="2"/>
    <n v="61.844627928308803"/>
  </r>
  <r>
    <x v="0"/>
    <x v="0"/>
    <x v="0"/>
    <x v="0"/>
    <x v="0"/>
    <s v="DK1_Rural"/>
    <x v="5"/>
    <x v="1"/>
    <x v="1"/>
    <s v="GNR_ST_WOODCHI_BP_E-17"/>
    <x v="2"/>
    <n v="92.682927906917001"/>
  </r>
  <r>
    <x v="0"/>
    <x v="0"/>
    <x v="0"/>
    <x v="0"/>
    <x v="0"/>
    <s v="DK1_Small"/>
    <x v="3"/>
    <x v="1"/>
    <x v="1"/>
    <s v="GNR_ENG_NGAS_BP_E-38"/>
    <x v="2"/>
    <n v="83.363950444171905"/>
  </r>
  <r>
    <x v="0"/>
    <x v="0"/>
    <x v="0"/>
    <x v="0"/>
    <x v="1"/>
    <s v="DK2_Large"/>
    <x v="1"/>
    <x v="1"/>
    <x v="1"/>
    <s v="GNR_ENG_BGAS_BP_E-42"/>
    <x v="2"/>
    <n v="112.440728232212"/>
  </r>
  <r>
    <x v="0"/>
    <x v="0"/>
    <x v="0"/>
    <x v="0"/>
    <x v="1"/>
    <s v="DK2_Large"/>
    <x v="10"/>
    <x v="1"/>
    <x v="8"/>
    <s v="GNR_ST_COAL_EXT_E-42"/>
    <x v="2"/>
    <n v="59.601606648511797"/>
  </r>
  <r>
    <x v="0"/>
    <x v="0"/>
    <x v="0"/>
    <x v="0"/>
    <x v="1"/>
    <s v="DK2_Large"/>
    <x v="6"/>
    <x v="2"/>
    <x v="2"/>
    <s v="GNR_HP_ELEC_COP-300"/>
    <x v="2"/>
    <n v="11.877699527918899"/>
  </r>
  <r>
    <x v="0"/>
    <x v="0"/>
    <x v="0"/>
    <x v="0"/>
    <x v="1"/>
    <s v="DK2_Large"/>
    <x v="2"/>
    <x v="1"/>
    <x v="1"/>
    <s v="GNR_ST_MSW_BP_E-24_LS-220-MW-FEED_Y-2030"/>
    <x v="2"/>
    <n v="49.334780497325198"/>
  </r>
  <r>
    <x v="0"/>
    <x v="0"/>
    <x v="0"/>
    <x v="0"/>
    <x v="1"/>
    <s v="DK2_Large"/>
    <x v="2"/>
    <x v="1"/>
    <x v="1"/>
    <s v="GNR_ST_MSW_BP_E-27"/>
    <x v="2"/>
    <n v="49.334780497325198"/>
  </r>
  <r>
    <x v="0"/>
    <x v="0"/>
    <x v="0"/>
    <x v="0"/>
    <x v="1"/>
    <s v="DK2_Large"/>
    <x v="3"/>
    <x v="1"/>
    <x v="1"/>
    <s v="GNR_GT_NGAS_BP_E-43_LS-40-MW_Y-2030"/>
    <x v="2"/>
    <n v="86.691509937752997"/>
  </r>
  <r>
    <x v="0"/>
    <x v="0"/>
    <x v="0"/>
    <x v="0"/>
    <x v="1"/>
    <s v="DK2_Large"/>
    <x v="4"/>
    <x v="1"/>
    <x v="8"/>
    <s v="GNR_ST_COAL_EXT_E-42-Straw"/>
    <x v="2"/>
    <n v="65.0346991478186"/>
  </r>
  <r>
    <x v="0"/>
    <x v="0"/>
    <x v="0"/>
    <x v="0"/>
    <x v="1"/>
    <s v="DK2_Large_PHH"/>
    <x v="6"/>
    <x v="2"/>
    <x v="2"/>
    <s v="GNR_BO_ELEC_E-99_LS-10-MW-FEED_PHH_Y-2030"/>
    <x v="2"/>
    <n v="7.7107723675711801"/>
  </r>
  <r>
    <x v="0"/>
    <x v="0"/>
    <x v="0"/>
    <x v="0"/>
    <x v="1"/>
    <s v="DK2_MedSmall"/>
    <x v="1"/>
    <x v="1"/>
    <x v="1"/>
    <s v="GNR_ENG_BGAS_BP_E-38"/>
    <x v="2"/>
    <n v="112.440728232212"/>
  </r>
  <r>
    <x v="0"/>
    <x v="0"/>
    <x v="0"/>
    <x v="0"/>
    <x v="1"/>
    <s v="DK2_MedSmall"/>
    <x v="3"/>
    <x v="1"/>
    <x v="1"/>
    <s v="GNR_ENG_NGAS_BP_E-48_Y-2030"/>
    <x v="2"/>
    <n v="69.700183179021593"/>
  </r>
  <r>
    <x v="0"/>
    <x v="0"/>
    <x v="0"/>
    <x v="0"/>
    <x v="1"/>
    <s v="DK2_Medium"/>
    <x v="2"/>
    <x v="1"/>
    <x v="1"/>
    <s v="GNR_ST_MSW_BP_E-23"/>
    <x v="2"/>
    <n v="49.334780497325298"/>
  </r>
  <r>
    <x v="0"/>
    <x v="0"/>
    <x v="0"/>
    <x v="0"/>
    <x v="1"/>
    <s v="DK2_Medium"/>
    <x v="3"/>
    <x v="1"/>
    <x v="1"/>
    <s v="GNR_ENG_NGAS_BP_E-35"/>
    <x v="2"/>
    <n v="95.640763413985894"/>
  </r>
  <r>
    <x v="0"/>
    <x v="0"/>
    <x v="0"/>
    <x v="0"/>
    <x v="1"/>
    <s v="DK2_Medium"/>
    <x v="3"/>
    <x v="1"/>
    <x v="1"/>
    <s v="GNR_ENG_NGAS_BP_E-42"/>
    <x v="2"/>
    <n v="92.604430494489705"/>
  </r>
  <r>
    <x v="0"/>
    <x v="0"/>
    <x v="0"/>
    <x v="0"/>
    <x v="1"/>
    <s v="DK2_Medium"/>
    <x v="3"/>
    <x v="1"/>
    <x v="1"/>
    <s v="GNR_ENG_NGAS_BP_E-48_Y-2030"/>
    <x v="2"/>
    <n v="69.731641177664798"/>
  </r>
  <r>
    <x v="0"/>
    <x v="0"/>
    <x v="0"/>
    <x v="0"/>
    <x v="1"/>
    <s v="DK2_Medium"/>
    <x v="5"/>
    <x v="1"/>
    <x v="1"/>
    <s v="GNR_ST_WOODCHI_BP_E-27"/>
    <x v="2"/>
    <n v="60.036803631441401"/>
  </r>
  <r>
    <x v="0"/>
    <x v="0"/>
    <x v="0"/>
    <x v="0"/>
    <x v="1"/>
    <s v="DK2_NoDH"/>
    <x v="6"/>
    <x v="3"/>
    <x v="3"/>
    <s v="GNR_ES_ELEC_BAT-LITHIO_E-97_Y-30-50"/>
    <x v="2"/>
    <n v="69.544655330436001"/>
  </r>
  <r>
    <x v="0"/>
    <x v="0"/>
    <x v="0"/>
    <x v="0"/>
    <x v="1"/>
    <s v="DK2_NoDH"/>
    <x v="7"/>
    <x v="5"/>
    <x v="5"/>
    <s v="GNR_PV_SUN"/>
    <x v="2"/>
    <n v="41.065822056114001"/>
  </r>
  <r>
    <x v="0"/>
    <x v="0"/>
    <x v="0"/>
    <x v="0"/>
    <x v="1"/>
    <s v="DK2_NoDH"/>
    <x v="7"/>
    <x v="5"/>
    <x v="5"/>
    <s v="GNR_PV_SUN_LS-4-MW_Y-2030"/>
    <x v="2"/>
    <n v="41.065822056114001"/>
  </r>
  <r>
    <x v="0"/>
    <x v="0"/>
    <x v="0"/>
    <x v="0"/>
    <x v="1"/>
    <s v="DK2_NoDH"/>
    <x v="8"/>
    <x v="6"/>
    <x v="6"/>
    <s v="GNR_ROR_WTR"/>
    <x v="2"/>
    <n v="49.164973706677301"/>
  </r>
  <r>
    <x v="0"/>
    <x v="0"/>
    <x v="0"/>
    <x v="0"/>
    <x v="1"/>
    <s v="DK2_NoDH"/>
    <x v="9"/>
    <x v="5"/>
    <x v="7"/>
    <s v="GNR_WT_WIND_ONS"/>
    <x v="2"/>
    <n v="31.454906259535299"/>
  </r>
  <r>
    <x v="0"/>
    <x v="0"/>
    <x v="0"/>
    <x v="0"/>
    <x v="1"/>
    <s v="DK2_NoDH_PHH"/>
    <x v="6"/>
    <x v="2"/>
    <x v="2"/>
    <s v="GNR_BO_ELEC_E-99_LS-10-MW-FEED_PHH_Y-2030"/>
    <x v="2"/>
    <n v="4.46581381628949"/>
  </r>
  <r>
    <x v="0"/>
    <x v="0"/>
    <x v="0"/>
    <x v="0"/>
    <x v="1"/>
    <s v="DK2_Offshore"/>
    <x v="9"/>
    <x v="5"/>
    <x v="7"/>
    <s v="GNR_WT_WIND_OFF"/>
    <x v="2"/>
    <n v="31.515780230764499"/>
  </r>
  <r>
    <x v="0"/>
    <x v="0"/>
    <x v="0"/>
    <x v="0"/>
    <x v="1"/>
    <s v="DK2_Rural"/>
    <x v="1"/>
    <x v="1"/>
    <x v="1"/>
    <s v="GNR_ENG_BGAS_BP_E-40"/>
    <x v="2"/>
    <n v="92.604430494489705"/>
  </r>
  <r>
    <x v="0"/>
    <x v="0"/>
    <x v="0"/>
    <x v="0"/>
    <x v="1"/>
    <s v="DK2_Rural"/>
    <x v="1"/>
    <x v="1"/>
    <x v="1"/>
    <s v="GNR_ENG_BGAS_BP_E-41"/>
    <x v="2"/>
    <n v="92.604430494489705"/>
  </r>
  <r>
    <x v="0"/>
    <x v="0"/>
    <x v="0"/>
    <x v="0"/>
    <x v="1"/>
    <s v="DK2_Rural"/>
    <x v="1"/>
    <x v="1"/>
    <x v="1"/>
    <s v="GNR_ENG_BGAS_BP_E-42"/>
    <x v="2"/>
    <n v="92.604430494489606"/>
  </r>
  <r>
    <x v="0"/>
    <x v="0"/>
    <x v="0"/>
    <x v="0"/>
    <x v="1"/>
    <s v="DK2_Rural"/>
    <x v="10"/>
    <x v="1"/>
    <x v="1"/>
    <s v="GNR_ST_COAL_BP_E-35"/>
    <x v="2"/>
    <n v="59.194671905587001"/>
  </r>
  <r>
    <x v="0"/>
    <x v="0"/>
    <x v="0"/>
    <x v="0"/>
    <x v="1"/>
    <s v="DK2_Rural"/>
    <x v="6"/>
    <x v="2"/>
    <x v="2"/>
    <s v="GNR_HP_ELEC_COP-400"/>
    <x v="2"/>
    <n v="38.8903822221477"/>
  </r>
  <r>
    <x v="0"/>
    <x v="0"/>
    <x v="0"/>
    <x v="0"/>
    <x v="1"/>
    <s v="DK2_Rural"/>
    <x v="3"/>
    <x v="1"/>
    <x v="1"/>
    <s v="GNR_CC_NGAS_BP_E-53_SS-10-MW_Y-2030"/>
    <x v="2"/>
    <n v="62.029816848023003"/>
  </r>
  <r>
    <x v="0"/>
    <x v="0"/>
    <x v="0"/>
    <x v="0"/>
    <x v="1"/>
    <s v="DK2_Rural"/>
    <x v="3"/>
    <x v="1"/>
    <x v="1"/>
    <s v="GNR_ENG_NGAS_BP_E-36"/>
    <x v="2"/>
    <n v="92.604430494489705"/>
  </r>
  <r>
    <x v="0"/>
    <x v="0"/>
    <x v="0"/>
    <x v="0"/>
    <x v="1"/>
    <s v="DK2_Rural"/>
    <x v="3"/>
    <x v="1"/>
    <x v="1"/>
    <s v="GNR_ENG_NGAS_BP_E-38"/>
    <x v="2"/>
    <n v="85.176608188196397"/>
  </r>
  <r>
    <x v="0"/>
    <x v="0"/>
    <x v="0"/>
    <x v="0"/>
    <x v="1"/>
    <s v="DK2_Rural"/>
    <x v="3"/>
    <x v="1"/>
    <x v="1"/>
    <s v="GNR_ENG_NGAS_BP_E-40"/>
    <x v="2"/>
    <n v="76.999499099925501"/>
  </r>
  <r>
    <x v="0"/>
    <x v="0"/>
    <x v="0"/>
    <x v="0"/>
    <x v="1"/>
    <s v="DK2_Rural"/>
    <x v="3"/>
    <x v="1"/>
    <x v="1"/>
    <s v="GNR_ENG_NGAS_BP_E-45"/>
    <x v="2"/>
    <n v="63.7407755556506"/>
  </r>
  <r>
    <x v="0"/>
    <x v="0"/>
    <x v="0"/>
    <x v="0"/>
    <x v="1"/>
    <s v="DK2_Small"/>
    <x v="3"/>
    <x v="1"/>
    <x v="1"/>
    <s v="GNR_CC_NGAS_BP_E-53_SS-10-MW_Y-2030"/>
    <x v="2"/>
    <n v="61.522992278346997"/>
  </r>
  <r>
    <x v="0"/>
    <x v="0"/>
    <x v="0"/>
    <x v="0"/>
    <x v="0"/>
    <s v="DK1_Large"/>
    <x v="1"/>
    <x v="1"/>
    <x v="1"/>
    <s v="GNR_ENG_BGAS_BP_E-36"/>
    <x v="3"/>
    <n v="6.2322622636020002E-2"/>
  </r>
  <r>
    <x v="0"/>
    <x v="0"/>
    <x v="0"/>
    <x v="0"/>
    <x v="0"/>
    <s v="DK1_Large"/>
    <x v="1"/>
    <x v="1"/>
    <x v="1"/>
    <s v="GNR_ENG_BGAS_BP_E-37"/>
    <x v="3"/>
    <n v="3.8470754713592598E-2"/>
  </r>
  <r>
    <x v="0"/>
    <x v="0"/>
    <x v="0"/>
    <x v="0"/>
    <x v="0"/>
    <s v="DK1_Large"/>
    <x v="1"/>
    <x v="1"/>
    <x v="1"/>
    <s v="GNR_ENG_BGAS_BP_E-39"/>
    <x v="3"/>
    <n v="0.25967759431675003"/>
  </r>
  <r>
    <x v="0"/>
    <x v="0"/>
    <x v="0"/>
    <x v="0"/>
    <x v="0"/>
    <s v="DK1_Large"/>
    <x v="1"/>
    <x v="1"/>
    <x v="1"/>
    <s v="GNR_ENG_BGAS_BP_E-40"/>
    <x v="3"/>
    <n v="9.5638296217991206E-2"/>
  </r>
  <r>
    <x v="0"/>
    <x v="0"/>
    <x v="0"/>
    <x v="0"/>
    <x v="0"/>
    <s v="DK1_Large"/>
    <x v="1"/>
    <x v="1"/>
    <x v="1"/>
    <s v="GNR_ENG_BGAS_BP_E-41"/>
    <x v="3"/>
    <n v="0.20597242073657501"/>
  </r>
  <r>
    <x v="0"/>
    <x v="0"/>
    <x v="0"/>
    <x v="0"/>
    <x v="0"/>
    <s v="DK1_Large"/>
    <x v="1"/>
    <x v="1"/>
    <x v="1"/>
    <s v="GNR_ENG_BGAS_BP_E-42"/>
    <x v="3"/>
    <n v="0.190430235832283"/>
  </r>
  <r>
    <x v="0"/>
    <x v="0"/>
    <x v="0"/>
    <x v="0"/>
    <x v="0"/>
    <s v="DK1_Large"/>
    <x v="1"/>
    <x v="1"/>
    <x v="1"/>
    <s v="GNR_ENG_BGAS_BP_E-43"/>
    <x v="3"/>
    <n v="0.45976713327250601"/>
  </r>
  <r>
    <x v="0"/>
    <x v="0"/>
    <x v="0"/>
    <x v="0"/>
    <x v="0"/>
    <s v="DK1_Large"/>
    <x v="2"/>
    <x v="1"/>
    <x v="1"/>
    <s v="GNR_ST_MSW_BP_E-24_LS-220-MW-FEED_Y-2030"/>
    <x v="3"/>
    <n v="88.465732859287698"/>
  </r>
  <r>
    <x v="0"/>
    <x v="0"/>
    <x v="0"/>
    <x v="0"/>
    <x v="0"/>
    <s v="DK1_Large"/>
    <x v="2"/>
    <x v="1"/>
    <x v="1"/>
    <s v="GNR_ST_MSW_BP_E-27"/>
    <x v="3"/>
    <n v="7.36676216025164"/>
  </r>
  <r>
    <x v="0"/>
    <x v="0"/>
    <x v="0"/>
    <x v="0"/>
    <x v="0"/>
    <s v="DK1_Large"/>
    <x v="3"/>
    <x v="1"/>
    <x v="1"/>
    <s v="GNR_ENG_NGAS_BP_E-39"/>
    <x v="3"/>
    <n v="0.55829943981236296"/>
  </r>
  <r>
    <x v="0"/>
    <x v="0"/>
    <x v="0"/>
    <x v="0"/>
    <x v="0"/>
    <s v="DK1_Large"/>
    <x v="3"/>
    <x v="1"/>
    <x v="1"/>
    <s v="GNR_ENG_NGAS_BP_E-42"/>
    <x v="3"/>
    <n v="0.40371970286534697"/>
  </r>
  <r>
    <x v="0"/>
    <x v="0"/>
    <x v="0"/>
    <x v="0"/>
    <x v="0"/>
    <s v="DK1_Large"/>
    <x v="3"/>
    <x v="1"/>
    <x v="1"/>
    <s v="GNR_ENG_NGAS_BP_E-43"/>
    <x v="3"/>
    <n v="0.58142250623157299"/>
  </r>
  <r>
    <x v="0"/>
    <x v="0"/>
    <x v="0"/>
    <x v="0"/>
    <x v="0"/>
    <s v="DK1_Large"/>
    <x v="3"/>
    <x v="1"/>
    <x v="1"/>
    <s v="GNR_ENG_NGAS_BP_E-46"/>
    <x v="3"/>
    <n v="0.15834883858005"/>
  </r>
  <r>
    <x v="0"/>
    <x v="0"/>
    <x v="0"/>
    <x v="0"/>
    <x v="0"/>
    <s v="DK1_Large"/>
    <x v="3"/>
    <x v="1"/>
    <x v="1"/>
    <s v="GNR_GT_NGAS_BP_E-43_LS-40-MW_Y-2030"/>
    <x v="3"/>
    <n v="16.464980174827701"/>
  </r>
  <r>
    <x v="0"/>
    <x v="0"/>
    <x v="0"/>
    <x v="0"/>
    <x v="0"/>
    <s v="DK1_Large"/>
    <x v="4"/>
    <x v="1"/>
    <x v="1"/>
    <s v="GNR_ST_STRW_BP_E-26"/>
    <x v="3"/>
    <n v="8.2721899549934808"/>
  </r>
  <r>
    <x v="0"/>
    <x v="0"/>
    <x v="0"/>
    <x v="0"/>
    <x v="0"/>
    <s v="DK1_Large"/>
    <x v="5"/>
    <x v="1"/>
    <x v="1"/>
    <s v="GNR_ST_WOODCHI_BP_E-23"/>
    <x v="3"/>
    <n v="1.3257159170636901"/>
  </r>
  <r>
    <x v="0"/>
    <x v="0"/>
    <x v="0"/>
    <x v="0"/>
    <x v="0"/>
    <s v="DK1_Large_PHH"/>
    <x v="6"/>
    <x v="2"/>
    <x v="2"/>
    <s v="GNR_BO_ELEC_E-99_LS-10-MW-FEED_PHH_Y-2030"/>
    <x v="3"/>
    <n v="-0.69961020927683804"/>
  </r>
  <r>
    <x v="0"/>
    <x v="0"/>
    <x v="0"/>
    <x v="0"/>
    <x v="0"/>
    <s v="DK1_MedSmall"/>
    <x v="6"/>
    <x v="2"/>
    <x v="2"/>
    <s v="GNR_HP_ELEC_GROUND-WTR_COP-380_LS-4-MW_Y-2030"/>
    <x v="3"/>
    <n v="-12.5532800038975"/>
  </r>
  <r>
    <x v="0"/>
    <x v="0"/>
    <x v="0"/>
    <x v="0"/>
    <x v="0"/>
    <s v="DK1_MedSmall"/>
    <x v="3"/>
    <x v="1"/>
    <x v="1"/>
    <s v="GNR_ENG_NGAS_BP_E-41"/>
    <x v="3"/>
    <n v="0.68827836079062199"/>
  </r>
  <r>
    <x v="0"/>
    <x v="0"/>
    <x v="0"/>
    <x v="0"/>
    <x v="0"/>
    <s v="DK1_Medium"/>
    <x v="1"/>
    <x v="1"/>
    <x v="1"/>
    <s v="GNR_ENG_BGAS_BP_E-39"/>
    <x v="3"/>
    <n v="4.84731509391267E-2"/>
  </r>
  <r>
    <x v="0"/>
    <x v="0"/>
    <x v="0"/>
    <x v="0"/>
    <x v="0"/>
    <s v="DK1_Medium"/>
    <x v="1"/>
    <x v="1"/>
    <x v="1"/>
    <s v="GNR_ENG_BGAS_BP_E-41"/>
    <x v="3"/>
    <n v="0.25521498676997301"/>
  </r>
  <r>
    <x v="0"/>
    <x v="0"/>
    <x v="0"/>
    <x v="0"/>
    <x v="0"/>
    <s v="DK1_Medium"/>
    <x v="1"/>
    <x v="1"/>
    <x v="1"/>
    <s v="GNR_ENG_BGAS_BP_E-42"/>
    <x v="3"/>
    <n v="2.53906981109711E-2"/>
  </r>
  <r>
    <x v="0"/>
    <x v="0"/>
    <x v="0"/>
    <x v="0"/>
    <x v="0"/>
    <s v="DK1_Medium"/>
    <x v="3"/>
    <x v="1"/>
    <x v="1"/>
    <s v="GNR_ENG_NGAS_BP_E-41"/>
    <x v="3"/>
    <n v="0.64883448410625999"/>
  </r>
  <r>
    <x v="0"/>
    <x v="0"/>
    <x v="0"/>
    <x v="0"/>
    <x v="0"/>
    <s v="DK1_Medium"/>
    <x v="3"/>
    <x v="1"/>
    <x v="1"/>
    <s v="GNR_ENG_NGAS_BP_E-42"/>
    <x v="3"/>
    <n v="1.1075496273297101"/>
  </r>
  <r>
    <x v="0"/>
    <x v="0"/>
    <x v="0"/>
    <x v="0"/>
    <x v="0"/>
    <s v="DK1_Medium"/>
    <x v="3"/>
    <x v="1"/>
    <x v="1"/>
    <s v="GNR_ENG_NGAS_BP_E-43"/>
    <x v="3"/>
    <n v="0.27158551277922099"/>
  </r>
  <r>
    <x v="0"/>
    <x v="0"/>
    <x v="0"/>
    <x v="0"/>
    <x v="0"/>
    <s v="DK1_Medium"/>
    <x v="3"/>
    <x v="1"/>
    <x v="1"/>
    <s v="GNR_ENG_NGAS_BP_E-44"/>
    <x v="3"/>
    <n v="0.95825751409731497"/>
  </r>
  <r>
    <x v="0"/>
    <x v="0"/>
    <x v="0"/>
    <x v="0"/>
    <x v="0"/>
    <s v="DK1_Medium"/>
    <x v="3"/>
    <x v="1"/>
    <x v="1"/>
    <s v="GNR_ENG_NGAS_BP_E-48_Y-2030"/>
    <x v="3"/>
    <n v="210.105694403341"/>
  </r>
  <r>
    <x v="0"/>
    <x v="0"/>
    <x v="0"/>
    <x v="0"/>
    <x v="0"/>
    <s v="DK1_NoDH"/>
    <x v="6"/>
    <x v="3"/>
    <x v="3"/>
    <s v="GNR_ES_ELEC_BAT-LITHIO_E-97_Y-30-50"/>
    <x v="3"/>
    <n v="153.02423239723501"/>
  </r>
  <r>
    <x v="0"/>
    <x v="0"/>
    <x v="0"/>
    <x v="0"/>
    <x v="0"/>
    <s v="DK1_NoDH"/>
    <x v="3"/>
    <x v="4"/>
    <x v="4"/>
    <s v="GNR_ENG_NGAS_CND_E-41"/>
    <x v="3"/>
    <n v="3.13921358462916"/>
  </r>
  <r>
    <x v="0"/>
    <x v="0"/>
    <x v="0"/>
    <x v="0"/>
    <x v="0"/>
    <s v="DK1_NoDH"/>
    <x v="3"/>
    <x v="4"/>
    <x v="4"/>
    <s v="GNR_ENG_NGAS_CND_E-46"/>
    <x v="3"/>
    <n v="9.6570713913489897E-2"/>
  </r>
  <r>
    <x v="0"/>
    <x v="0"/>
    <x v="0"/>
    <x v="0"/>
    <x v="0"/>
    <s v="DK1_NoDH"/>
    <x v="7"/>
    <x v="5"/>
    <x v="5"/>
    <s v="GNR_PV_SUN"/>
    <x v="3"/>
    <n v="22.8652823309416"/>
  </r>
  <r>
    <x v="0"/>
    <x v="0"/>
    <x v="0"/>
    <x v="0"/>
    <x v="0"/>
    <s v="DK1_NoDH"/>
    <x v="7"/>
    <x v="5"/>
    <x v="5"/>
    <s v="GNR_PV_SUN_LS-4-MW_Y-2030"/>
    <x v="3"/>
    <n v="112.793384449846"/>
  </r>
  <r>
    <x v="0"/>
    <x v="0"/>
    <x v="0"/>
    <x v="0"/>
    <x v="0"/>
    <s v="DK1_NoDH"/>
    <x v="8"/>
    <x v="6"/>
    <x v="6"/>
    <s v="GNR_ROR_WTR"/>
    <x v="3"/>
    <n v="2.2573301208008E-3"/>
  </r>
  <r>
    <x v="0"/>
    <x v="0"/>
    <x v="0"/>
    <x v="0"/>
    <x v="0"/>
    <s v="DK1_NoDH"/>
    <x v="9"/>
    <x v="5"/>
    <x v="7"/>
    <s v="GNR_WT_WIND_ONS"/>
    <x v="3"/>
    <n v="141.954999817302"/>
  </r>
  <r>
    <x v="0"/>
    <x v="0"/>
    <x v="0"/>
    <x v="0"/>
    <x v="0"/>
    <s v="DK1_NoDH"/>
    <x v="9"/>
    <x v="5"/>
    <x v="7"/>
    <s v="GNR_WT_WIND_ON_LS_Y-2030"/>
    <x v="3"/>
    <n v="47.297971218545001"/>
  </r>
  <r>
    <x v="0"/>
    <x v="0"/>
    <x v="0"/>
    <x v="0"/>
    <x v="0"/>
    <s v="DK1_NoDH"/>
    <x v="5"/>
    <x v="1"/>
    <x v="8"/>
    <s v="GNR_ST_WOODCHI_EXT_E-30"/>
    <x v="3"/>
    <n v="7.0786188673010404"/>
  </r>
  <r>
    <x v="0"/>
    <x v="0"/>
    <x v="0"/>
    <x v="0"/>
    <x v="0"/>
    <s v="DK1_NoDH_PHH"/>
    <x v="6"/>
    <x v="2"/>
    <x v="2"/>
    <s v="GNR_BO_ELEC_E-99_LS-10-MW-FEED_PHH_Y-2030"/>
    <x v="3"/>
    <n v="-1.25964996716292"/>
  </r>
  <r>
    <x v="0"/>
    <x v="0"/>
    <x v="0"/>
    <x v="0"/>
    <x v="0"/>
    <s v="DK1_Offshore"/>
    <x v="9"/>
    <x v="5"/>
    <x v="7"/>
    <s v="GNR_WT_WIND_OFF"/>
    <x v="3"/>
    <n v="190.070397294435"/>
  </r>
  <r>
    <x v="0"/>
    <x v="0"/>
    <x v="0"/>
    <x v="0"/>
    <x v="0"/>
    <s v="DK1_Rural"/>
    <x v="1"/>
    <x v="1"/>
    <x v="1"/>
    <s v="GNR_ENG_BGAS_BP_E-30"/>
    <x v="3"/>
    <n v="0.461649056563111"/>
  </r>
  <r>
    <x v="0"/>
    <x v="0"/>
    <x v="0"/>
    <x v="0"/>
    <x v="0"/>
    <s v="DK1_Rural"/>
    <x v="1"/>
    <x v="1"/>
    <x v="1"/>
    <s v="GNR_ENG_BGAS_BP_E-37"/>
    <x v="3"/>
    <n v="0.13503234904471001"/>
  </r>
  <r>
    <x v="0"/>
    <x v="0"/>
    <x v="0"/>
    <x v="0"/>
    <x v="0"/>
    <s v="DK1_Rural"/>
    <x v="1"/>
    <x v="1"/>
    <x v="1"/>
    <s v="GNR_ENG_BGAS_BP_E-38"/>
    <x v="3"/>
    <n v="6.1553207541748201E-2"/>
  </r>
  <r>
    <x v="0"/>
    <x v="0"/>
    <x v="0"/>
    <x v="0"/>
    <x v="0"/>
    <s v="DK1_Rural"/>
    <x v="1"/>
    <x v="1"/>
    <x v="1"/>
    <s v="GNR_ENG_BGAS_BP_E-39"/>
    <x v="3"/>
    <n v="9.3552879103693296E-2"/>
  </r>
  <r>
    <x v="0"/>
    <x v="0"/>
    <x v="0"/>
    <x v="0"/>
    <x v="0"/>
    <s v="DK1_Rural"/>
    <x v="1"/>
    <x v="1"/>
    <x v="1"/>
    <s v="GNR_ENG_BGAS_BP_E-40"/>
    <x v="3"/>
    <n v="0.95665363470550902"/>
  </r>
  <r>
    <x v="0"/>
    <x v="0"/>
    <x v="0"/>
    <x v="0"/>
    <x v="0"/>
    <s v="DK1_Rural"/>
    <x v="1"/>
    <x v="1"/>
    <x v="1"/>
    <s v="GNR_ENG_BGAS_BP_E-41"/>
    <x v="3"/>
    <n v="0.17805225377799699"/>
  </r>
  <r>
    <x v="0"/>
    <x v="0"/>
    <x v="0"/>
    <x v="0"/>
    <x v="0"/>
    <s v="DK1_Rural"/>
    <x v="1"/>
    <x v="1"/>
    <x v="1"/>
    <s v="GNR_ENG_BGAS_BP_E-42"/>
    <x v="3"/>
    <n v="1.00795682647205"/>
  </r>
  <r>
    <x v="0"/>
    <x v="0"/>
    <x v="0"/>
    <x v="0"/>
    <x v="0"/>
    <s v="DK1_Rural"/>
    <x v="1"/>
    <x v="1"/>
    <x v="1"/>
    <s v="GNR_ENG_BGAS_BP_E-43"/>
    <x v="3"/>
    <n v="0.77558354611771496"/>
  </r>
  <r>
    <x v="0"/>
    <x v="0"/>
    <x v="0"/>
    <x v="0"/>
    <x v="0"/>
    <s v="DK1_Rural"/>
    <x v="6"/>
    <x v="2"/>
    <x v="2"/>
    <s v="GNR_HP_ELEC_COP-300"/>
    <x v="3"/>
    <n v="-3.5735882023774798E-2"/>
  </r>
  <r>
    <x v="0"/>
    <x v="0"/>
    <x v="0"/>
    <x v="0"/>
    <x v="0"/>
    <s v="DK1_Rural"/>
    <x v="6"/>
    <x v="2"/>
    <x v="2"/>
    <s v="GNR_HP_ELEC_COP-350"/>
    <x v="3"/>
    <n v="-0.13116668801979001"/>
  </r>
  <r>
    <x v="0"/>
    <x v="0"/>
    <x v="0"/>
    <x v="0"/>
    <x v="0"/>
    <s v="DK1_Rural"/>
    <x v="6"/>
    <x v="2"/>
    <x v="2"/>
    <s v="GNR_HP_ELEC_COP-400"/>
    <x v="3"/>
    <n v="-0.126035935791594"/>
  </r>
  <r>
    <x v="0"/>
    <x v="0"/>
    <x v="0"/>
    <x v="0"/>
    <x v="0"/>
    <s v="DK1_Rural"/>
    <x v="6"/>
    <x v="2"/>
    <x v="2"/>
    <s v="GNR_HP_ELEC_COP-430"/>
    <x v="3"/>
    <n v="-7.8803949683367999E-2"/>
  </r>
  <r>
    <x v="0"/>
    <x v="0"/>
    <x v="0"/>
    <x v="0"/>
    <x v="0"/>
    <s v="DK1_Rural"/>
    <x v="6"/>
    <x v="2"/>
    <x v="2"/>
    <s v="GNR_HP_ELEC_COP-450"/>
    <x v="3"/>
    <n v="-3.1279106182013801E-2"/>
  </r>
  <r>
    <x v="0"/>
    <x v="0"/>
    <x v="0"/>
    <x v="0"/>
    <x v="0"/>
    <s v="DK1_Rural"/>
    <x v="6"/>
    <x v="2"/>
    <x v="2"/>
    <s v="GNR_HP_ELEC_COP-460"/>
    <x v="3"/>
    <n v="-0.203994170752264"/>
  </r>
  <r>
    <x v="0"/>
    <x v="0"/>
    <x v="0"/>
    <x v="0"/>
    <x v="0"/>
    <s v="DK1_Rural"/>
    <x v="6"/>
    <x v="2"/>
    <x v="2"/>
    <s v="GNR_HP_ELEC_COP-470"/>
    <x v="3"/>
    <n v="-5.2686437717931002E-2"/>
  </r>
  <r>
    <x v="0"/>
    <x v="0"/>
    <x v="0"/>
    <x v="0"/>
    <x v="0"/>
    <s v="DK1_Rural"/>
    <x v="6"/>
    <x v="2"/>
    <x v="2"/>
    <s v="GNR_HP_ELEC_COP-500"/>
    <x v="3"/>
    <n v="-3.85903788864215E-2"/>
  </r>
  <r>
    <x v="0"/>
    <x v="0"/>
    <x v="0"/>
    <x v="0"/>
    <x v="0"/>
    <s v="DK1_Rural"/>
    <x v="6"/>
    <x v="2"/>
    <x v="2"/>
    <s v="GNR_HP_ELEC_COP-530"/>
    <x v="3"/>
    <n v="-0.104829017775268"/>
  </r>
  <r>
    <x v="0"/>
    <x v="0"/>
    <x v="0"/>
    <x v="0"/>
    <x v="0"/>
    <s v="DK1_Rural"/>
    <x v="6"/>
    <x v="2"/>
    <x v="2"/>
    <s v="GNR_HP_ELEC_COP-600"/>
    <x v="3"/>
    <n v="-2.0577547933663801E-2"/>
  </r>
  <r>
    <x v="0"/>
    <x v="0"/>
    <x v="0"/>
    <x v="0"/>
    <x v="0"/>
    <s v="DK1_Rural"/>
    <x v="6"/>
    <x v="2"/>
    <x v="2"/>
    <s v="GNR_HP_ELEC_GROUND-WTR_COP-380_LS-4-MW_Y-2030"/>
    <x v="3"/>
    <n v="-4.7955979954673502"/>
  </r>
  <r>
    <x v="0"/>
    <x v="0"/>
    <x v="0"/>
    <x v="0"/>
    <x v="0"/>
    <s v="DK1_Rural"/>
    <x v="3"/>
    <x v="1"/>
    <x v="1"/>
    <s v="GNR_ENG_NGAS_BP_E-37"/>
    <x v="3"/>
    <n v="1.18582494473088"/>
  </r>
  <r>
    <x v="0"/>
    <x v="0"/>
    <x v="0"/>
    <x v="0"/>
    <x v="0"/>
    <s v="DK1_Rural"/>
    <x v="3"/>
    <x v="1"/>
    <x v="1"/>
    <s v="GNR_ENG_NGAS_BP_E-38"/>
    <x v="3"/>
    <n v="0.53591110999824798"/>
  </r>
  <r>
    <x v="0"/>
    <x v="0"/>
    <x v="0"/>
    <x v="0"/>
    <x v="0"/>
    <s v="DK1_Rural"/>
    <x v="3"/>
    <x v="1"/>
    <x v="1"/>
    <s v="GNR_ENG_NGAS_BP_E-39"/>
    <x v="3"/>
    <n v="0.40951175816124602"/>
  </r>
  <r>
    <x v="0"/>
    <x v="0"/>
    <x v="0"/>
    <x v="0"/>
    <x v="0"/>
    <s v="DK1_Rural"/>
    <x v="3"/>
    <x v="1"/>
    <x v="1"/>
    <s v="GNR_ENG_NGAS_BP_E-40"/>
    <x v="3"/>
    <n v="1.0021529236162099"/>
  </r>
  <r>
    <x v="0"/>
    <x v="0"/>
    <x v="0"/>
    <x v="0"/>
    <x v="0"/>
    <s v="DK1_Rural"/>
    <x v="3"/>
    <x v="1"/>
    <x v="1"/>
    <s v="GNR_ENG_NGAS_BP_E-41"/>
    <x v="3"/>
    <n v="3.33215682472468"/>
  </r>
  <r>
    <x v="0"/>
    <x v="0"/>
    <x v="0"/>
    <x v="0"/>
    <x v="0"/>
    <s v="DK1_Rural"/>
    <x v="3"/>
    <x v="1"/>
    <x v="1"/>
    <s v="GNR_ENG_NGAS_BP_E-42"/>
    <x v="3"/>
    <n v="8.8703500496609706"/>
  </r>
  <r>
    <x v="0"/>
    <x v="0"/>
    <x v="0"/>
    <x v="0"/>
    <x v="0"/>
    <s v="DK1_Rural"/>
    <x v="3"/>
    <x v="1"/>
    <x v="1"/>
    <s v="GNR_ENG_NGAS_BP_E-43"/>
    <x v="3"/>
    <n v="5.0596072393694396"/>
  </r>
  <r>
    <x v="0"/>
    <x v="0"/>
    <x v="0"/>
    <x v="0"/>
    <x v="0"/>
    <s v="DK1_Rural"/>
    <x v="3"/>
    <x v="1"/>
    <x v="1"/>
    <s v="GNR_ENG_NGAS_BP_E-44"/>
    <x v="3"/>
    <n v="4.50231670780245"/>
  </r>
  <r>
    <x v="0"/>
    <x v="0"/>
    <x v="0"/>
    <x v="0"/>
    <x v="0"/>
    <s v="DK1_Rural"/>
    <x v="3"/>
    <x v="1"/>
    <x v="1"/>
    <s v="GNR_ENG_NGAS_BP_E-45"/>
    <x v="3"/>
    <n v="1.8023291567678601"/>
  </r>
  <r>
    <x v="0"/>
    <x v="0"/>
    <x v="0"/>
    <x v="0"/>
    <x v="0"/>
    <s v="DK1_Rural"/>
    <x v="3"/>
    <x v="1"/>
    <x v="1"/>
    <s v="GNR_ENG_NGAS_BP_E-46"/>
    <x v="3"/>
    <n v="0.64318413045441203"/>
  </r>
  <r>
    <x v="0"/>
    <x v="0"/>
    <x v="0"/>
    <x v="0"/>
    <x v="0"/>
    <s v="DK1_Rural"/>
    <x v="5"/>
    <x v="1"/>
    <x v="1"/>
    <s v="GNR_ST_WOODCHI_BP_E-17"/>
    <x v="3"/>
    <n v="9.9303137043125406E-2"/>
  </r>
  <r>
    <x v="0"/>
    <x v="0"/>
    <x v="0"/>
    <x v="0"/>
    <x v="0"/>
    <s v="DK1_Small"/>
    <x v="3"/>
    <x v="1"/>
    <x v="1"/>
    <s v="GNR_ENG_NGAS_BP_E-38"/>
    <x v="3"/>
    <n v="0.20185985143267399"/>
  </r>
  <r>
    <x v="0"/>
    <x v="0"/>
    <x v="0"/>
    <x v="0"/>
    <x v="1"/>
    <s v="DK2_Large"/>
    <x v="1"/>
    <x v="1"/>
    <x v="1"/>
    <s v="GNR_ENG_BGAS_BP_E-42"/>
    <x v="3"/>
    <n v="0.24471921351682199"/>
  </r>
  <r>
    <x v="0"/>
    <x v="0"/>
    <x v="0"/>
    <x v="0"/>
    <x v="1"/>
    <s v="DK2_Large"/>
    <x v="10"/>
    <x v="1"/>
    <x v="8"/>
    <s v="GNR_ST_COAL_EXT_E-42"/>
    <x v="3"/>
    <n v="51.892294100288701"/>
  </r>
  <r>
    <x v="0"/>
    <x v="0"/>
    <x v="0"/>
    <x v="0"/>
    <x v="1"/>
    <s v="DK2_Large"/>
    <x v="6"/>
    <x v="2"/>
    <x v="2"/>
    <s v="GNR_HP_ELEC_COP-300"/>
    <x v="3"/>
    <n v="-2.5640748187253401E-3"/>
  </r>
  <r>
    <x v="0"/>
    <x v="0"/>
    <x v="0"/>
    <x v="0"/>
    <x v="1"/>
    <s v="DK2_Large"/>
    <x v="2"/>
    <x v="1"/>
    <x v="1"/>
    <s v="GNR_ST_MSW_BP_E-24_LS-220-MW-FEED_Y-2030"/>
    <x v="3"/>
    <n v="54.560914210143601"/>
  </r>
  <r>
    <x v="0"/>
    <x v="0"/>
    <x v="0"/>
    <x v="0"/>
    <x v="1"/>
    <s v="DK2_Large"/>
    <x v="2"/>
    <x v="1"/>
    <x v="1"/>
    <s v="GNR_ST_MSW_BP_E-27"/>
    <x v="3"/>
    <n v="8.2036692141266592"/>
  </r>
  <r>
    <x v="0"/>
    <x v="0"/>
    <x v="0"/>
    <x v="0"/>
    <x v="1"/>
    <s v="DK2_Large"/>
    <x v="3"/>
    <x v="1"/>
    <x v="1"/>
    <s v="GNR_GT_NGAS_BP_E-43_LS-40-MW_Y-2030"/>
    <x v="3"/>
    <n v="61.919410420152403"/>
  </r>
  <r>
    <x v="0"/>
    <x v="0"/>
    <x v="0"/>
    <x v="0"/>
    <x v="1"/>
    <s v="DK2_Large"/>
    <x v="4"/>
    <x v="1"/>
    <x v="8"/>
    <s v="GNR_ST_COAL_EXT_E-42-Straw"/>
    <x v="3"/>
    <n v="40.6466869673866"/>
  </r>
  <r>
    <x v="0"/>
    <x v="0"/>
    <x v="0"/>
    <x v="0"/>
    <x v="1"/>
    <s v="DK2_Large_PHH"/>
    <x v="6"/>
    <x v="2"/>
    <x v="2"/>
    <s v="GNR_BO_ELEC_E-99_LS-10-MW-FEED_PHH_Y-2030"/>
    <x v="3"/>
    <n v="-0.20382679543366899"/>
  </r>
  <r>
    <x v="0"/>
    <x v="0"/>
    <x v="0"/>
    <x v="0"/>
    <x v="1"/>
    <s v="DK2_MedSmall"/>
    <x v="1"/>
    <x v="1"/>
    <x v="1"/>
    <s v="GNR_ENG_BGAS_BP_E-38"/>
    <x v="3"/>
    <n v="2.0078701470037898E-2"/>
  </r>
  <r>
    <x v="0"/>
    <x v="0"/>
    <x v="0"/>
    <x v="0"/>
    <x v="1"/>
    <s v="DK2_MedSmall"/>
    <x v="3"/>
    <x v="1"/>
    <x v="1"/>
    <s v="GNR_ENG_NGAS_BP_E-48_Y-2030"/>
    <x v="3"/>
    <n v="37.127879286553899"/>
  </r>
  <r>
    <x v="0"/>
    <x v="0"/>
    <x v="0"/>
    <x v="0"/>
    <x v="1"/>
    <s v="DK2_Medium"/>
    <x v="2"/>
    <x v="1"/>
    <x v="1"/>
    <s v="GNR_ST_MSW_BP_E-23"/>
    <x v="3"/>
    <n v="3.38295637695945"/>
  </r>
  <r>
    <x v="0"/>
    <x v="0"/>
    <x v="0"/>
    <x v="0"/>
    <x v="1"/>
    <s v="DK2_Medium"/>
    <x v="3"/>
    <x v="1"/>
    <x v="1"/>
    <s v="GNR_ENG_NGAS_BP_E-35"/>
    <x v="3"/>
    <n v="0.13253077215938"/>
  </r>
  <r>
    <x v="0"/>
    <x v="0"/>
    <x v="0"/>
    <x v="0"/>
    <x v="1"/>
    <s v="DK2_Medium"/>
    <x v="3"/>
    <x v="1"/>
    <x v="1"/>
    <s v="GNR_ENG_NGAS_BP_E-42"/>
    <x v="3"/>
    <n v="0.30868143498163197"/>
  </r>
  <r>
    <x v="0"/>
    <x v="0"/>
    <x v="0"/>
    <x v="0"/>
    <x v="1"/>
    <s v="DK2_Medium"/>
    <x v="3"/>
    <x v="1"/>
    <x v="1"/>
    <s v="GNR_ENG_NGAS_BP_E-48_Y-2030"/>
    <x v="3"/>
    <n v="77.233565025450105"/>
  </r>
  <r>
    <x v="0"/>
    <x v="0"/>
    <x v="0"/>
    <x v="0"/>
    <x v="1"/>
    <s v="DK2_Medium"/>
    <x v="5"/>
    <x v="1"/>
    <x v="1"/>
    <s v="GNR_ST_WOODCHI_BP_E-27"/>
    <x v="3"/>
    <n v="0.13208096798917099"/>
  </r>
  <r>
    <x v="0"/>
    <x v="0"/>
    <x v="0"/>
    <x v="0"/>
    <x v="1"/>
    <s v="DK2_NoDH"/>
    <x v="6"/>
    <x v="3"/>
    <x v="3"/>
    <s v="GNR_ES_ELEC_BAT-LITHIO_E-97_Y-30-50"/>
    <x v="3"/>
    <n v="35.422745312188198"/>
  </r>
  <r>
    <x v="0"/>
    <x v="0"/>
    <x v="0"/>
    <x v="0"/>
    <x v="1"/>
    <s v="DK2_NoDH"/>
    <x v="7"/>
    <x v="5"/>
    <x v="5"/>
    <s v="GNR_PV_SUN"/>
    <x v="3"/>
    <n v="11.671073230613001"/>
  </r>
  <r>
    <x v="0"/>
    <x v="0"/>
    <x v="0"/>
    <x v="0"/>
    <x v="1"/>
    <s v="DK2_NoDH"/>
    <x v="7"/>
    <x v="5"/>
    <x v="5"/>
    <s v="GNR_PV_SUN_LS-4-MW_Y-2030"/>
    <x v="3"/>
    <n v="90.103261035150496"/>
  </r>
  <r>
    <x v="0"/>
    <x v="0"/>
    <x v="0"/>
    <x v="0"/>
    <x v="1"/>
    <s v="DK2_NoDH"/>
    <x v="8"/>
    <x v="6"/>
    <x v="6"/>
    <s v="GNR_ROR_WTR"/>
    <x v="3"/>
    <n v="3.4780086350775599E-3"/>
  </r>
  <r>
    <x v="0"/>
    <x v="0"/>
    <x v="0"/>
    <x v="0"/>
    <x v="1"/>
    <s v="DK2_NoDH"/>
    <x v="9"/>
    <x v="5"/>
    <x v="7"/>
    <s v="GNR_WT_WIND_ONS"/>
    <x v="3"/>
    <n v="25.5647703593242"/>
  </r>
  <r>
    <x v="0"/>
    <x v="0"/>
    <x v="0"/>
    <x v="0"/>
    <x v="1"/>
    <s v="DK2_NoDH_PHH"/>
    <x v="6"/>
    <x v="2"/>
    <x v="2"/>
    <s v="GNR_BO_ELEC_E-99_LS-10-MW-FEED_PHH_Y-2030"/>
    <x v="3"/>
    <n v="-9.0540830084697696E-2"/>
  </r>
  <r>
    <x v="0"/>
    <x v="0"/>
    <x v="0"/>
    <x v="0"/>
    <x v="1"/>
    <s v="DK2_Offshore"/>
    <x v="9"/>
    <x v="5"/>
    <x v="7"/>
    <s v="GNR_WT_WIND_OFF"/>
    <x v="3"/>
    <n v="113.183702361435"/>
  </r>
  <r>
    <x v="0"/>
    <x v="0"/>
    <x v="0"/>
    <x v="0"/>
    <x v="1"/>
    <s v="DK2_Rural"/>
    <x v="1"/>
    <x v="1"/>
    <x v="1"/>
    <s v="GNR_ENG_BGAS_BP_E-40"/>
    <x v="3"/>
    <n v="8.1800580270132497E-2"/>
  </r>
  <r>
    <x v="0"/>
    <x v="0"/>
    <x v="0"/>
    <x v="0"/>
    <x v="1"/>
    <s v="DK2_Rural"/>
    <x v="1"/>
    <x v="1"/>
    <x v="1"/>
    <s v="GNR_ENG_BGAS_BP_E-41"/>
    <x v="3"/>
    <n v="0.30868143498163197"/>
  </r>
  <r>
    <x v="0"/>
    <x v="0"/>
    <x v="0"/>
    <x v="0"/>
    <x v="1"/>
    <s v="DK2_Rural"/>
    <x v="1"/>
    <x v="1"/>
    <x v="1"/>
    <s v="GNR_ENG_BGAS_BP_E-42"/>
    <x v="3"/>
    <n v="0.88498967409233997"/>
  </r>
  <r>
    <x v="0"/>
    <x v="0"/>
    <x v="0"/>
    <x v="0"/>
    <x v="1"/>
    <s v="DK2_Rural"/>
    <x v="10"/>
    <x v="1"/>
    <x v="1"/>
    <s v="GNR_ST_COAL_BP_E-35"/>
    <x v="3"/>
    <n v="14.909289406254199"/>
  </r>
  <r>
    <x v="0"/>
    <x v="0"/>
    <x v="0"/>
    <x v="0"/>
    <x v="1"/>
    <s v="DK2_Rural"/>
    <x v="6"/>
    <x v="2"/>
    <x v="2"/>
    <s v="GNR_HP_ELEC_COP-400"/>
    <x v="3"/>
    <n v="-5.37057659258229E-2"/>
  </r>
  <r>
    <x v="0"/>
    <x v="0"/>
    <x v="0"/>
    <x v="0"/>
    <x v="1"/>
    <s v="DK2_Rural"/>
    <x v="3"/>
    <x v="1"/>
    <x v="1"/>
    <s v="GNR_CC_NGAS_BP_E-53_SS-10-MW_Y-2030"/>
    <x v="3"/>
    <n v="22.4296882567103"/>
  </r>
  <r>
    <x v="0"/>
    <x v="0"/>
    <x v="0"/>
    <x v="0"/>
    <x v="1"/>
    <s v="DK2_Rural"/>
    <x v="3"/>
    <x v="1"/>
    <x v="1"/>
    <s v="GNR_ENG_NGAS_BP_E-36"/>
    <x v="3"/>
    <n v="4.3987104484882598E-2"/>
  </r>
  <r>
    <x v="0"/>
    <x v="0"/>
    <x v="0"/>
    <x v="0"/>
    <x v="1"/>
    <s v="DK2_Rural"/>
    <x v="3"/>
    <x v="1"/>
    <x v="1"/>
    <s v="GNR_ENG_NGAS_BP_E-38"/>
    <x v="3"/>
    <n v="7.0270701755262094E-2"/>
  </r>
  <r>
    <x v="0"/>
    <x v="0"/>
    <x v="0"/>
    <x v="0"/>
    <x v="1"/>
    <s v="DK2_Rural"/>
    <x v="3"/>
    <x v="1"/>
    <x v="1"/>
    <s v="GNR_ENG_NGAS_BP_E-40"/>
    <x v="3"/>
    <n v="1.8699878352839101"/>
  </r>
  <r>
    <x v="0"/>
    <x v="0"/>
    <x v="0"/>
    <x v="0"/>
    <x v="1"/>
    <s v="DK2_Rural"/>
    <x v="3"/>
    <x v="1"/>
    <x v="1"/>
    <s v="GNR_ENG_NGAS_BP_E-45"/>
    <x v="3"/>
    <n v="0.17452831402142399"/>
  </r>
  <r>
    <x v="0"/>
    <x v="0"/>
    <x v="0"/>
    <x v="0"/>
    <x v="1"/>
    <s v="DK2_Small"/>
    <x v="3"/>
    <x v="1"/>
    <x v="1"/>
    <s v="GNR_CC_NGAS_BP_E-53_SS-10-MW_Y-2030"/>
    <x v="3"/>
    <n v="7.2341147562635699"/>
  </r>
  <r>
    <x v="0"/>
    <x v="0"/>
    <x v="0"/>
    <x v="0"/>
    <x v="0"/>
    <s v="DK1_Large"/>
    <x v="1"/>
    <x v="1"/>
    <x v="1"/>
    <s v="GNR_ENG_BGAS_BP_E-36"/>
    <x v="4"/>
    <n v="730"/>
  </r>
  <r>
    <x v="0"/>
    <x v="0"/>
    <x v="0"/>
    <x v="0"/>
    <x v="0"/>
    <s v="DK1_Large"/>
    <x v="1"/>
    <x v="1"/>
    <x v="1"/>
    <s v="GNR_ENG_BGAS_BP_E-37"/>
    <x v="4"/>
    <n v="730"/>
  </r>
  <r>
    <x v="0"/>
    <x v="0"/>
    <x v="0"/>
    <x v="0"/>
    <x v="0"/>
    <s v="DK1_Large"/>
    <x v="1"/>
    <x v="1"/>
    <x v="1"/>
    <s v="GNR_ENG_BGAS_BP_E-39"/>
    <x v="4"/>
    <n v="730"/>
  </r>
  <r>
    <x v="0"/>
    <x v="0"/>
    <x v="0"/>
    <x v="0"/>
    <x v="0"/>
    <s v="DK1_Large"/>
    <x v="1"/>
    <x v="1"/>
    <x v="1"/>
    <s v="GNR_ENG_BGAS_BP_E-40"/>
    <x v="4"/>
    <n v="730"/>
  </r>
  <r>
    <x v="0"/>
    <x v="0"/>
    <x v="0"/>
    <x v="0"/>
    <x v="0"/>
    <s v="DK1_Large"/>
    <x v="1"/>
    <x v="1"/>
    <x v="1"/>
    <s v="GNR_ENG_BGAS_BP_E-41"/>
    <x v="4"/>
    <n v="730"/>
  </r>
  <r>
    <x v="0"/>
    <x v="0"/>
    <x v="0"/>
    <x v="0"/>
    <x v="0"/>
    <s v="DK1_Large"/>
    <x v="1"/>
    <x v="1"/>
    <x v="1"/>
    <s v="GNR_ENG_BGAS_BP_E-42"/>
    <x v="4"/>
    <n v="730"/>
  </r>
  <r>
    <x v="0"/>
    <x v="0"/>
    <x v="0"/>
    <x v="0"/>
    <x v="0"/>
    <s v="DK1_Large"/>
    <x v="1"/>
    <x v="1"/>
    <x v="1"/>
    <s v="GNR_ENG_BGAS_BP_E-43"/>
    <x v="4"/>
    <n v="1703.3333333333301"/>
  </r>
  <r>
    <x v="0"/>
    <x v="0"/>
    <x v="0"/>
    <x v="0"/>
    <x v="0"/>
    <s v="DK1_Large"/>
    <x v="2"/>
    <x v="1"/>
    <x v="1"/>
    <s v="GNR_ST_MSW_BP_E-24_LS-220-MW-FEED_Y-2030"/>
    <x v="4"/>
    <n v="8760"/>
  </r>
  <r>
    <x v="0"/>
    <x v="0"/>
    <x v="0"/>
    <x v="0"/>
    <x v="0"/>
    <s v="DK1_Large"/>
    <x v="2"/>
    <x v="1"/>
    <x v="1"/>
    <s v="GNR_ST_MSW_BP_E-27"/>
    <x v="4"/>
    <n v="8760"/>
  </r>
  <r>
    <x v="0"/>
    <x v="0"/>
    <x v="0"/>
    <x v="0"/>
    <x v="0"/>
    <s v="DK1_Large"/>
    <x v="3"/>
    <x v="1"/>
    <x v="1"/>
    <s v="GNR_ENG_NGAS_BP_E-39"/>
    <x v="4"/>
    <n v="1703.3333333333301"/>
  </r>
  <r>
    <x v="0"/>
    <x v="0"/>
    <x v="0"/>
    <x v="0"/>
    <x v="0"/>
    <s v="DK1_Large"/>
    <x v="3"/>
    <x v="1"/>
    <x v="1"/>
    <s v="GNR_ENG_NGAS_BP_E-42"/>
    <x v="4"/>
    <n v="2190"/>
  </r>
  <r>
    <x v="0"/>
    <x v="0"/>
    <x v="0"/>
    <x v="0"/>
    <x v="0"/>
    <s v="DK1_Large"/>
    <x v="3"/>
    <x v="1"/>
    <x v="1"/>
    <s v="GNR_ENG_NGAS_BP_E-43"/>
    <x v="4"/>
    <n v="2433.3333333333298"/>
  </r>
  <r>
    <x v="0"/>
    <x v="0"/>
    <x v="0"/>
    <x v="0"/>
    <x v="0"/>
    <s v="DK1_Large"/>
    <x v="3"/>
    <x v="1"/>
    <x v="1"/>
    <s v="GNR_ENG_NGAS_BP_E-46"/>
    <x v="4"/>
    <n v="2920"/>
  </r>
  <r>
    <x v="0"/>
    <x v="0"/>
    <x v="0"/>
    <x v="0"/>
    <x v="0"/>
    <s v="DK1_Large"/>
    <x v="3"/>
    <x v="1"/>
    <x v="1"/>
    <s v="GNR_GT_NGAS_BP_E-43_LS-40-MW_Y-2030"/>
    <x v="4"/>
    <n v="2433.3333333333298"/>
  </r>
  <r>
    <x v="0"/>
    <x v="0"/>
    <x v="0"/>
    <x v="0"/>
    <x v="0"/>
    <s v="DK1_Large"/>
    <x v="4"/>
    <x v="1"/>
    <x v="1"/>
    <s v="GNR_ST_STRW_BP_E-26"/>
    <x v="4"/>
    <n v="4001.7553380878699"/>
  </r>
  <r>
    <x v="0"/>
    <x v="0"/>
    <x v="0"/>
    <x v="0"/>
    <x v="0"/>
    <s v="DK1_Large"/>
    <x v="5"/>
    <x v="1"/>
    <x v="1"/>
    <s v="GNR_ST_WOODCHI_BP_E-23"/>
    <x v="4"/>
    <n v="2190"/>
  </r>
  <r>
    <x v="0"/>
    <x v="0"/>
    <x v="0"/>
    <x v="0"/>
    <x v="0"/>
    <s v="DK1_MedSmall"/>
    <x v="3"/>
    <x v="1"/>
    <x v="1"/>
    <s v="GNR_ENG_NGAS_BP_E-41"/>
    <x v="4"/>
    <n v="3163.3333333333298"/>
  </r>
  <r>
    <x v="0"/>
    <x v="0"/>
    <x v="0"/>
    <x v="0"/>
    <x v="0"/>
    <s v="DK1_Medium"/>
    <x v="1"/>
    <x v="1"/>
    <x v="1"/>
    <s v="GNR_ENG_BGAS_BP_E-39"/>
    <x v="4"/>
    <n v="730"/>
  </r>
  <r>
    <x v="0"/>
    <x v="0"/>
    <x v="0"/>
    <x v="0"/>
    <x v="0"/>
    <s v="DK1_Medium"/>
    <x v="1"/>
    <x v="1"/>
    <x v="1"/>
    <s v="GNR_ENG_BGAS_BP_E-41"/>
    <x v="4"/>
    <n v="730"/>
  </r>
  <r>
    <x v="0"/>
    <x v="0"/>
    <x v="0"/>
    <x v="0"/>
    <x v="0"/>
    <s v="DK1_Medium"/>
    <x v="1"/>
    <x v="1"/>
    <x v="1"/>
    <s v="GNR_ENG_BGAS_BP_E-42"/>
    <x v="4"/>
    <n v="730"/>
  </r>
  <r>
    <x v="0"/>
    <x v="0"/>
    <x v="0"/>
    <x v="0"/>
    <x v="0"/>
    <s v="DK1_Medium"/>
    <x v="3"/>
    <x v="1"/>
    <x v="1"/>
    <s v="GNR_ENG_NGAS_BP_E-41"/>
    <x v="4"/>
    <n v="1703.3333333333301"/>
  </r>
  <r>
    <x v="0"/>
    <x v="0"/>
    <x v="0"/>
    <x v="0"/>
    <x v="0"/>
    <s v="DK1_Medium"/>
    <x v="3"/>
    <x v="1"/>
    <x v="1"/>
    <s v="GNR_ENG_NGAS_BP_E-42"/>
    <x v="4"/>
    <n v="2190"/>
  </r>
  <r>
    <x v="0"/>
    <x v="0"/>
    <x v="0"/>
    <x v="0"/>
    <x v="0"/>
    <s v="DK1_Medium"/>
    <x v="3"/>
    <x v="1"/>
    <x v="1"/>
    <s v="GNR_ENG_NGAS_BP_E-43"/>
    <x v="4"/>
    <n v="2433.3333333333298"/>
  </r>
  <r>
    <x v="0"/>
    <x v="0"/>
    <x v="0"/>
    <x v="0"/>
    <x v="0"/>
    <s v="DK1_Medium"/>
    <x v="3"/>
    <x v="1"/>
    <x v="1"/>
    <s v="GNR_ENG_NGAS_BP_E-44"/>
    <x v="4"/>
    <n v="2676.6666666666702"/>
  </r>
  <r>
    <x v="0"/>
    <x v="0"/>
    <x v="0"/>
    <x v="0"/>
    <x v="0"/>
    <s v="DK1_Medium"/>
    <x v="3"/>
    <x v="1"/>
    <x v="1"/>
    <s v="GNR_ENG_NGAS_BP_E-48_Y-2030"/>
    <x v="4"/>
    <n v="4209.1188475686704"/>
  </r>
  <r>
    <x v="0"/>
    <x v="0"/>
    <x v="0"/>
    <x v="0"/>
    <x v="0"/>
    <s v="DK1_NoDH"/>
    <x v="6"/>
    <x v="3"/>
    <x v="3"/>
    <s v="GNR_ES_ELEC_BAT-LITHIO_E-97_Y-30-50"/>
    <x v="4"/>
    <n v="597.67726488912695"/>
  </r>
  <r>
    <x v="0"/>
    <x v="0"/>
    <x v="0"/>
    <x v="0"/>
    <x v="0"/>
    <s v="DK1_NoDH"/>
    <x v="3"/>
    <x v="4"/>
    <x v="4"/>
    <s v="GNR_ENG_NGAS_CND_E-41"/>
    <x v="4"/>
    <n v="730"/>
  </r>
  <r>
    <x v="0"/>
    <x v="0"/>
    <x v="0"/>
    <x v="0"/>
    <x v="0"/>
    <s v="DK1_NoDH"/>
    <x v="3"/>
    <x v="4"/>
    <x v="4"/>
    <s v="GNR_ENG_NGAS_CND_E-46"/>
    <x v="4"/>
    <n v="1703.3333333333301"/>
  </r>
  <r>
    <x v="0"/>
    <x v="0"/>
    <x v="0"/>
    <x v="0"/>
    <x v="0"/>
    <s v="DK1_NoDH"/>
    <x v="7"/>
    <x v="5"/>
    <x v="5"/>
    <s v="GNR_PV_SUN"/>
    <x v="4"/>
    <n v="1099.1278696991401"/>
  </r>
  <r>
    <x v="0"/>
    <x v="0"/>
    <x v="0"/>
    <x v="0"/>
    <x v="0"/>
    <s v="DK1_NoDH"/>
    <x v="7"/>
    <x v="5"/>
    <x v="5"/>
    <s v="GNR_PV_SUN_LS-4-MW_Y-2030"/>
    <x v="4"/>
    <n v="1099.1278696991401"/>
  </r>
  <r>
    <x v="0"/>
    <x v="0"/>
    <x v="0"/>
    <x v="0"/>
    <x v="0"/>
    <s v="DK1_NoDH"/>
    <x v="8"/>
    <x v="6"/>
    <x v="6"/>
    <s v="GNR_ROR_WTR"/>
    <x v="4"/>
    <n v="4819.8606407017596"/>
  </r>
  <r>
    <x v="0"/>
    <x v="0"/>
    <x v="0"/>
    <x v="0"/>
    <x v="0"/>
    <s v="DK1_NoDH"/>
    <x v="9"/>
    <x v="5"/>
    <x v="7"/>
    <s v="GNR_WT_WIND_ONS"/>
    <x v="4"/>
    <n v="3199"/>
  </r>
  <r>
    <x v="0"/>
    <x v="0"/>
    <x v="0"/>
    <x v="0"/>
    <x v="0"/>
    <s v="DK1_NoDH"/>
    <x v="9"/>
    <x v="5"/>
    <x v="7"/>
    <s v="GNR_WT_WIND_ON_LS_Y-2030"/>
    <x v="4"/>
    <n v="3199"/>
  </r>
  <r>
    <x v="0"/>
    <x v="0"/>
    <x v="0"/>
    <x v="0"/>
    <x v="0"/>
    <s v="DK1_NoDH"/>
    <x v="5"/>
    <x v="1"/>
    <x v="8"/>
    <s v="GNR_ST_WOODCHI_EXT_E-30"/>
    <x v="4"/>
    <n v="730"/>
  </r>
  <r>
    <x v="0"/>
    <x v="0"/>
    <x v="0"/>
    <x v="0"/>
    <x v="0"/>
    <s v="DK1_Offshore"/>
    <x v="9"/>
    <x v="5"/>
    <x v="7"/>
    <s v="GNR_WT_WIND_OFF"/>
    <x v="4"/>
    <n v="4098.4510834603198"/>
  </r>
  <r>
    <x v="0"/>
    <x v="0"/>
    <x v="0"/>
    <x v="0"/>
    <x v="0"/>
    <s v="DK1_Rural"/>
    <x v="1"/>
    <x v="1"/>
    <x v="1"/>
    <s v="GNR_ENG_BGAS_BP_E-30"/>
    <x v="4"/>
    <n v="730"/>
  </r>
  <r>
    <x v="0"/>
    <x v="0"/>
    <x v="0"/>
    <x v="0"/>
    <x v="0"/>
    <s v="DK1_Rural"/>
    <x v="1"/>
    <x v="1"/>
    <x v="1"/>
    <s v="GNR_ENG_BGAS_BP_E-37"/>
    <x v="4"/>
    <n v="730"/>
  </r>
  <r>
    <x v="0"/>
    <x v="0"/>
    <x v="0"/>
    <x v="0"/>
    <x v="0"/>
    <s v="DK1_Rural"/>
    <x v="1"/>
    <x v="1"/>
    <x v="1"/>
    <s v="GNR_ENG_BGAS_BP_E-38"/>
    <x v="4"/>
    <n v="730"/>
  </r>
  <r>
    <x v="0"/>
    <x v="0"/>
    <x v="0"/>
    <x v="0"/>
    <x v="0"/>
    <s v="DK1_Rural"/>
    <x v="1"/>
    <x v="1"/>
    <x v="1"/>
    <s v="GNR_ENG_BGAS_BP_E-39"/>
    <x v="4"/>
    <n v="1703.3333333333301"/>
  </r>
  <r>
    <x v="0"/>
    <x v="0"/>
    <x v="0"/>
    <x v="0"/>
    <x v="0"/>
    <s v="DK1_Rural"/>
    <x v="1"/>
    <x v="1"/>
    <x v="1"/>
    <s v="GNR_ENG_BGAS_BP_E-40"/>
    <x v="4"/>
    <n v="1703.3333333333301"/>
  </r>
  <r>
    <x v="0"/>
    <x v="0"/>
    <x v="0"/>
    <x v="0"/>
    <x v="0"/>
    <s v="DK1_Rural"/>
    <x v="1"/>
    <x v="1"/>
    <x v="1"/>
    <s v="GNR_ENG_BGAS_BP_E-41"/>
    <x v="4"/>
    <n v="1703.3333333333301"/>
  </r>
  <r>
    <x v="0"/>
    <x v="0"/>
    <x v="0"/>
    <x v="0"/>
    <x v="0"/>
    <s v="DK1_Rural"/>
    <x v="1"/>
    <x v="1"/>
    <x v="1"/>
    <s v="GNR_ENG_BGAS_BP_E-42"/>
    <x v="4"/>
    <n v="1703.3333333333301"/>
  </r>
  <r>
    <x v="0"/>
    <x v="0"/>
    <x v="0"/>
    <x v="0"/>
    <x v="0"/>
    <s v="DK1_Rural"/>
    <x v="1"/>
    <x v="1"/>
    <x v="1"/>
    <s v="GNR_ENG_BGAS_BP_E-43"/>
    <x v="4"/>
    <n v="1703.3333333333301"/>
  </r>
  <r>
    <x v="0"/>
    <x v="0"/>
    <x v="0"/>
    <x v="0"/>
    <x v="0"/>
    <s v="DK1_Rural"/>
    <x v="3"/>
    <x v="1"/>
    <x v="1"/>
    <s v="GNR_ENG_NGAS_BP_E-37"/>
    <x v="4"/>
    <n v="1946.6666666666699"/>
  </r>
  <r>
    <x v="0"/>
    <x v="0"/>
    <x v="0"/>
    <x v="0"/>
    <x v="0"/>
    <s v="DK1_Rural"/>
    <x v="3"/>
    <x v="1"/>
    <x v="1"/>
    <s v="GNR_ENG_NGAS_BP_E-38"/>
    <x v="4"/>
    <n v="2190"/>
  </r>
  <r>
    <x v="0"/>
    <x v="0"/>
    <x v="0"/>
    <x v="0"/>
    <x v="0"/>
    <s v="DK1_Rural"/>
    <x v="3"/>
    <x v="1"/>
    <x v="1"/>
    <s v="GNR_ENG_NGAS_BP_E-39"/>
    <x v="4"/>
    <n v="2676.6666666666702"/>
  </r>
  <r>
    <x v="0"/>
    <x v="0"/>
    <x v="0"/>
    <x v="0"/>
    <x v="0"/>
    <s v="DK1_Rural"/>
    <x v="3"/>
    <x v="1"/>
    <x v="1"/>
    <s v="GNR_ENG_NGAS_BP_E-40"/>
    <x v="4"/>
    <n v="2920"/>
  </r>
  <r>
    <x v="0"/>
    <x v="0"/>
    <x v="0"/>
    <x v="0"/>
    <x v="0"/>
    <s v="DK1_Rural"/>
    <x v="3"/>
    <x v="1"/>
    <x v="1"/>
    <s v="GNR_ENG_NGAS_BP_E-41"/>
    <x v="4"/>
    <n v="3153.2425850488098"/>
  </r>
  <r>
    <x v="0"/>
    <x v="0"/>
    <x v="0"/>
    <x v="0"/>
    <x v="0"/>
    <s v="DK1_Rural"/>
    <x v="3"/>
    <x v="1"/>
    <x v="1"/>
    <s v="GNR_ENG_NGAS_BP_E-42"/>
    <x v="4"/>
    <n v="3893.3333333333298"/>
  </r>
  <r>
    <x v="0"/>
    <x v="0"/>
    <x v="0"/>
    <x v="0"/>
    <x v="0"/>
    <s v="DK1_Rural"/>
    <x v="3"/>
    <x v="1"/>
    <x v="1"/>
    <s v="GNR_ENG_NGAS_BP_E-43"/>
    <x v="4"/>
    <n v="5110"/>
  </r>
  <r>
    <x v="0"/>
    <x v="0"/>
    <x v="0"/>
    <x v="0"/>
    <x v="0"/>
    <s v="DK1_Rural"/>
    <x v="3"/>
    <x v="1"/>
    <x v="1"/>
    <s v="GNR_ENG_NGAS_BP_E-44"/>
    <x v="4"/>
    <n v="5596.6666666666697"/>
  </r>
  <r>
    <x v="0"/>
    <x v="0"/>
    <x v="0"/>
    <x v="0"/>
    <x v="0"/>
    <s v="DK1_Rural"/>
    <x v="3"/>
    <x v="1"/>
    <x v="1"/>
    <s v="GNR_ENG_NGAS_BP_E-45"/>
    <x v="4"/>
    <n v="5840"/>
  </r>
  <r>
    <x v="0"/>
    <x v="0"/>
    <x v="0"/>
    <x v="0"/>
    <x v="0"/>
    <s v="DK1_Rural"/>
    <x v="3"/>
    <x v="1"/>
    <x v="1"/>
    <s v="GNR_ENG_NGAS_BP_E-46"/>
    <x v="4"/>
    <n v="5840"/>
  </r>
  <r>
    <x v="0"/>
    <x v="0"/>
    <x v="0"/>
    <x v="0"/>
    <x v="0"/>
    <s v="DK1_Rural"/>
    <x v="5"/>
    <x v="1"/>
    <x v="1"/>
    <s v="GNR_ST_WOODCHI_BP_E-17"/>
    <x v="4"/>
    <n v="1460"/>
  </r>
  <r>
    <x v="0"/>
    <x v="0"/>
    <x v="0"/>
    <x v="0"/>
    <x v="0"/>
    <s v="DK1_Small"/>
    <x v="3"/>
    <x v="1"/>
    <x v="1"/>
    <s v="GNR_ENG_NGAS_BP_E-38"/>
    <x v="4"/>
    <n v="2190"/>
  </r>
  <r>
    <x v="0"/>
    <x v="0"/>
    <x v="0"/>
    <x v="0"/>
    <x v="1"/>
    <s v="DK2_Large"/>
    <x v="1"/>
    <x v="1"/>
    <x v="1"/>
    <s v="GNR_ENG_BGAS_BP_E-42"/>
    <x v="4"/>
    <n v="730"/>
  </r>
  <r>
    <x v="0"/>
    <x v="0"/>
    <x v="0"/>
    <x v="0"/>
    <x v="1"/>
    <s v="DK2_Large"/>
    <x v="10"/>
    <x v="1"/>
    <x v="8"/>
    <s v="GNR_ST_COAL_EXT_E-42"/>
    <x v="4"/>
    <n v="3559.2278498968499"/>
  </r>
  <r>
    <x v="0"/>
    <x v="0"/>
    <x v="0"/>
    <x v="0"/>
    <x v="1"/>
    <s v="DK2_Large"/>
    <x v="2"/>
    <x v="1"/>
    <x v="1"/>
    <s v="GNR_ST_MSW_BP_E-24_LS-220-MW-FEED_Y-2030"/>
    <x v="4"/>
    <n v="8760.0000000000091"/>
  </r>
  <r>
    <x v="0"/>
    <x v="0"/>
    <x v="0"/>
    <x v="0"/>
    <x v="1"/>
    <s v="DK2_Large"/>
    <x v="2"/>
    <x v="1"/>
    <x v="1"/>
    <s v="GNR_ST_MSW_BP_E-27"/>
    <x v="4"/>
    <n v="8760"/>
  </r>
  <r>
    <x v="0"/>
    <x v="0"/>
    <x v="0"/>
    <x v="0"/>
    <x v="1"/>
    <s v="DK2_Large"/>
    <x v="3"/>
    <x v="1"/>
    <x v="1"/>
    <s v="GNR_GT_NGAS_BP_E-43_LS-40-MW_Y-2030"/>
    <x v="4"/>
    <n v="2043.61024908115"/>
  </r>
  <r>
    <x v="0"/>
    <x v="0"/>
    <x v="0"/>
    <x v="0"/>
    <x v="1"/>
    <s v="DK2_MedSmall"/>
    <x v="1"/>
    <x v="1"/>
    <x v="1"/>
    <s v="GNR_ENG_BGAS_BP_E-38"/>
    <x v="4"/>
    <n v="730"/>
  </r>
  <r>
    <x v="0"/>
    <x v="0"/>
    <x v="0"/>
    <x v="0"/>
    <x v="1"/>
    <s v="DK2_MedSmall"/>
    <x v="3"/>
    <x v="1"/>
    <x v="1"/>
    <s v="GNR_ENG_NGAS_BP_E-48_Y-2030"/>
    <x v="4"/>
    <n v="4015.89764922932"/>
  </r>
  <r>
    <x v="0"/>
    <x v="0"/>
    <x v="0"/>
    <x v="0"/>
    <x v="1"/>
    <s v="DK2_Medium"/>
    <x v="2"/>
    <x v="1"/>
    <x v="1"/>
    <s v="GNR_ST_MSW_BP_E-23"/>
    <x v="4"/>
    <n v="8760"/>
  </r>
  <r>
    <x v="0"/>
    <x v="0"/>
    <x v="0"/>
    <x v="0"/>
    <x v="1"/>
    <s v="DK2_Medium"/>
    <x v="3"/>
    <x v="1"/>
    <x v="1"/>
    <s v="GNR_ENG_NGAS_BP_E-35"/>
    <x v="4"/>
    <n v="1460"/>
  </r>
  <r>
    <x v="0"/>
    <x v="0"/>
    <x v="0"/>
    <x v="0"/>
    <x v="1"/>
    <s v="DK2_Medium"/>
    <x v="3"/>
    <x v="1"/>
    <x v="1"/>
    <s v="GNR_ENG_NGAS_BP_E-42"/>
    <x v="4"/>
    <n v="1703.3333333333301"/>
  </r>
  <r>
    <x v="0"/>
    <x v="0"/>
    <x v="0"/>
    <x v="0"/>
    <x v="1"/>
    <s v="DK2_Medium"/>
    <x v="3"/>
    <x v="1"/>
    <x v="1"/>
    <s v="GNR_ENG_NGAS_BP_E-48_Y-2030"/>
    <x v="4"/>
    <n v="3991.8467470611199"/>
  </r>
  <r>
    <x v="0"/>
    <x v="0"/>
    <x v="0"/>
    <x v="0"/>
    <x v="1"/>
    <s v="DK2_Medium"/>
    <x v="5"/>
    <x v="1"/>
    <x v="1"/>
    <s v="GNR_ST_WOODCHI_BP_E-27"/>
    <x v="4"/>
    <n v="6813.3333333333303"/>
  </r>
  <r>
    <x v="0"/>
    <x v="0"/>
    <x v="0"/>
    <x v="0"/>
    <x v="1"/>
    <s v="DK2_NoDH"/>
    <x v="6"/>
    <x v="3"/>
    <x v="3"/>
    <s v="GNR_ES_ELEC_BAT-LITHIO_E-97_Y-30-50"/>
    <x v="4"/>
    <n v="718.10730636218602"/>
  </r>
  <r>
    <x v="0"/>
    <x v="0"/>
    <x v="0"/>
    <x v="0"/>
    <x v="1"/>
    <s v="DK2_NoDH"/>
    <x v="7"/>
    <x v="5"/>
    <x v="5"/>
    <s v="GNR_PV_SUN"/>
    <x v="4"/>
    <n v="1097.8801303008599"/>
  </r>
  <r>
    <x v="0"/>
    <x v="0"/>
    <x v="0"/>
    <x v="0"/>
    <x v="1"/>
    <s v="DK2_NoDH"/>
    <x v="7"/>
    <x v="5"/>
    <x v="5"/>
    <s v="GNR_PV_SUN_LS-4-MW_Y-2030"/>
    <x v="4"/>
    <n v="1097.8801303008599"/>
  </r>
  <r>
    <x v="0"/>
    <x v="0"/>
    <x v="0"/>
    <x v="0"/>
    <x v="1"/>
    <s v="DK2_NoDH"/>
    <x v="8"/>
    <x v="6"/>
    <x v="6"/>
    <s v="GNR_ROR_WTR"/>
    <x v="4"/>
    <n v="4819.8606407017596"/>
  </r>
  <r>
    <x v="0"/>
    <x v="0"/>
    <x v="0"/>
    <x v="0"/>
    <x v="1"/>
    <s v="DK2_NoDH"/>
    <x v="9"/>
    <x v="5"/>
    <x v="7"/>
    <s v="GNR_WT_WIND_ONS"/>
    <x v="4"/>
    <n v="2959"/>
  </r>
  <r>
    <x v="0"/>
    <x v="0"/>
    <x v="0"/>
    <x v="0"/>
    <x v="1"/>
    <s v="DK2_Offshore"/>
    <x v="9"/>
    <x v="5"/>
    <x v="7"/>
    <s v="GNR_WT_WIND_OFF"/>
    <x v="4"/>
    <n v="4375.7077360560597"/>
  </r>
  <r>
    <x v="0"/>
    <x v="0"/>
    <x v="0"/>
    <x v="0"/>
    <x v="1"/>
    <s v="DK2_Rural"/>
    <x v="1"/>
    <x v="1"/>
    <x v="1"/>
    <s v="GNR_ENG_BGAS_BP_E-40"/>
    <x v="4"/>
    <n v="1703.3333333333301"/>
  </r>
  <r>
    <x v="0"/>
    <x v="0"/>
    <x v="0"/>
    <x v="0"/>
    <x v="1"/>
    <s v="DK2_Rural"/>
    <x v="1"/>
    <x v="1"/>
    <x v="1"/>
    <s v="GNR_ENG_BGAS_BP_E-41"/>
    <x v="4"/>
    <n v="1703.3333333333301"/>
  </r>
  <r>
    <x v="0"/>
    <x v="0"/>
    <x v="0"/>
    <x v="0"/>
    <x v="1"/>
    <s v="DK2_Rural"/>
    <x v="1"/>
    <x v="1"/>
    <x v="1"/>
    <s v="GNR_ENG_BGAS_BP_E-42"/>
    <x v="4"/>
    <n v="1703.3333333333301"/>
  </r>
  <r>
    <x v="0"/>
    <x v="0"/>
    <x v="0"/>
    <x v="0"/>
    <x v="1"/>
    <s v="DK2_Rural"/>
    <x v="10"/>
    <x v="1"/>
    <x v="1"/>
    <s v="GNR_ST_COAL_BP_E-35"/>
    <x v="4"/>
    <n v="6957.0239578933597"/>
  </r>
  <r>
    <x v="0"/>
    <x v="0"/>
    <x v="0"/>
    <x v="0"/>
    <x v="1"/>
    <s v="DK2_Rural"/>
    <x v="3"/>
    <x v="1"/>
    <x v="1"/>
    <s v="GNR_CC_NGAS_BP_E-53_SS-10-MW_Y-2030"/>
    <x v="4"/>
    <n v="6154.5107268996499"/>
  </r>
  <r>
    <x v="0"/>
    <x v="0"/>
    <x v="0"/>
    <x v="0"/>
    <x v="1"/>
    <s v="DK2_Rural"/>
    <x v="3"/>
    <x v="1"/>
    <x v="1"/>
    <s v="GNR_ENG_NGAS_BP_E-36"/>
    <x v="4"/>
    <n v="1703.3333333333301"/>
  </r>
  <r>
    <x v="0"/>
    <x v="0"/>
    <x v="0"/>
    <x v="0"/>
    <x v="1"/>
    <s v="DK2_Rural"/>
    <x v="3"/>
    <x v="1"/>
    <x v="1"/>
    <s v="GNR_ENG_NGAS_BP_E-38"/>
    <x v="4"/>
    <n v="2190"/>
  </r>
  <r>
    <x v="0"/>
    <x v="0"/>
    <x v="0"/>
    <x v="0"/>
    <x v="1"/>
    <s v="DK2_Rural"/>
    <x v="3"/>
    <x v="1"/>
    <x v="1"/>
    <s v="GNR_ENG_NGAS_BP_E-40"/>
    <x v="4"/>
    <n v="2920"/>
  </r>
  <r>
    <x v="0"/>
    <x v="0"/>
    <x v="0"/>
    <x v="0"/>
    <x v="1"/>
    <s v="DK2_Rural"/>
    <x v="3"/>
    <x v="1"/>
    <x v="1"/>
    <s v="GNR_ENG_NGAS_BP_E-45"/>
    <x v="4"/>
    <n v="5596.6666666666697"/>
  </r>
  <r>
    <x v="0"/>
    <x v="0"/>
    <x v="0"/>
    <x v="0"/>
    <x v="1"/>
    <s v="DK2_Small"/>
    <x v="3"/>
    <x v="1"/>
    <x v="1"/>
    <s v="GNR_CC_NGAS_BP_E-53_SS-10-MW_Y-2030"/>
    <x v="4"/>
    <n v="6309.4575801546098"/>
  </r>
  <r>
    <x v="0"/>
    <x v="0"/>
    <x v="0"/>
    <x v="0"/>
    <x v="0"/>
    <s v="DK1_NoDH"/>
    <x v="7"/>
    <x v="5"/>
    <x v="5"/>
    <s v="GNR_PV_SUN"/>
    <x v="5"/>
    <n v="-1.13686837721616E-13"/>
  </r>
  <r>
    <x v="0"/>
    <x v="0"/>
    <x v="0"/>
    <x v="0"/>
    <x v="0"/>
    <s v="DK1_NoDH"/>
    <x v="7"/>
    <x v="5"/>
    <x v="5"/>
    <s v="GNR_PV_SUN_LS-4-MW_Y-2030"/>
    <x v="5"/>
    <n v="4.5474735088646402E-13"/>
  </r>
  <r>
    <x v="0"/>
    <x v="0"/>
    <x v="0"/>
    <x v="0"/>
    <x v="0"/>
    <s v="DK1_NoDH"/>
    <x v="9"/>
    <x v="5"/>
    <x v="7"/>
    <s v="GNR_WT_WIND_ONS"/>
    <x v="5"/>
    <n v="-1.8189894035458601E-12"/>
  </r>
  <r>
    <x v="0"/>
    <x v="0"/>
    <x v="0"/>
    <x v="0"/>
    <x v="0"/>
    <s v="DK1_NoDH"/>
    <x v="9"/>
    <x v="5"/>
    <x v="7"/>
    <s v="GNR_WT_WIND_ON_LS_Y-2030"/>
    <x v="5"/>
    <n v="-6.8212102632969598E-13"/>
  </r>
  <r>
    <x v="0"/>
    <x v="0"/>
    <x v="0"/>
    <x v="0"/>
    <x v="0"/>
    <s v="DK1_Offshore"/>
    <x v="9"/>
    <x v="5"/>
    <x v="7"/>
    <s v="GNR_WT_WIND_OFF"/>
    <x v="5"/>
    <n v="685.25760111035095"/>
  </r>
  <r>
    <x v="0"/>
    <x v="0"/>
    <x v="0"/>
    <x v="0"/>
    <x v="1"/>
    <s v="DK2_NoDH"/>
    <x v="7"/>
    <x v="5"/>
    <x v="5"/>
    <s v="GNR_PV_SUN"/>
    <x v="5"/>
    <n v="0"/>
  </r>
  <r>
    <x v="0"/>
    <x v="0"/>
    <x v="0"/>
    <x v="0"/>
    <x v="1"/>
    <s v="DK2_NoDH"/>
    <x v="7"/>
    <x v="5"/>
    <x v="5"/>
    <s v="GNR_PV_SUN_LS-4-MW_Y-2030"/>
    <x v="5"/>
    <n v="-4.5474735088646402E-13"/>
  </r>
  <r>
    <x v="0"/>
    <x v="0"/>
    <x v="0"/>
    <x v="0"/>
    <x v="1"/>
    <s v="DK2_NoDH"/>
    <x v="9"/>
    <x v="5"/>
    <x v="7"/>
    <s v="GNR_WT_WIND_ONS"/>
    <x v="5"/>
    <n v="-1.13686837721616E-13"/>
  </r>
  <r>
    <x v="0"/>
    <x v="0"/>
    <x v="0"/>
    <x v="0"/>
    <x v="1"/>
    <s v="DK2_Offshore"/>
    <x v="9"/>
    <x v="5"/>
    <x v="7"/>
    <s v="GNR_WT_WIND_OFF"/>
    <x v="5"/>
    <n v="8.2587761651666405"/>
  </r>
  <r>
    <x v="0"/>
    <x v="0"/>
    <x v="0"/>
    <x v="0"/>
    <x v="0"/>
    <s v="DK1_Large"/>
    <x v="3"/>
    <x v="1"/>
    <x v="1"/>
    <s v="GNR_GT_NGAS_BP_E-43_LS-40-MW_Y-2030"/>
    <x v="6"/>
    <n v="3.55285979801396"/>
  </r>
  <r>
    <x v="0"/>
    <x v="0"/>
    <x v="0"/>
    <x v="0"/>
    <x v="0"/>
    <s v="DK1_Large"/>
    <x v="11"/>
    <x v="3"/>
    <x v="9"/>
    <s v="GNR_HS_HEAT_PIT_L-CEN_E-90_Y-2030"/>
    <x v="6"/>
    <n v="7.7075070994670796"/>
  </r>
  <r>
    <x v="0"/>
    <x v="0"/>
    <x v="0"/>
    <x v="0"/>
    <x v="0"/>
    <s v="DK1_Large"/>
    <x v="11"/>
    <x v="3"/>
    <x v="10"/>
    <s v="GNR_HS_HEAT_WTR-TANK_LS_E-95_Y-2010"/>
    <x v="6"/>
    <n v="0.904549779604643"/>
  </r>
  <r>
    <x v="0"/>
    <x v="0"/>
    <x v="0"/>
    <x v="0"/>
    <x v="0"/>
    <s v="DK1_Large"/>
    <x v="2"/>
    <x v="1"/>
    <x v="1"/>
    <s v="GNR_ST_MSW_BP_E-24_LS-220-MW-FEED_Y-2030"/>
    <x v="6"/>
    <n v="117.802274968799"/>
  </r>
  <r>
    <x v="0"/>
    <x v="0"/>
    <x v="0"/>
    <x v="0"/>
    <x v="0"/>
    <s v="DK1_Large_PHH"/>
    <x v="6"/>
    <x v="2"/>
    <x v="2"/>
    <s v="GNR_BO_ELEC_E-99_LS-10-MW-FEED_PHH_Y-2030"/>
    <x v="6"/>
    <n v="0.38876298433066098"/>
  </r>
  <r>
    <x v="0"/>
    <x v="0"/>
    <x v="0"/>
    <x v="0"/>
    <x v="0"/>
    <s v="DK1_MedSmall"/>
    <x v="6"/>
    <x v="2"/>
    <x v="2"/>
    <s v="GNR_HP_ELEC_GROUND-WTR_COP-380_LS-4-MW_Y-2030"/>
    <x v="6"/>
    <n v="8.2367169075257003"/>
  </r>
  <r>
    <x v="0"/>
    <x v="0"/>
    <x v="0"/>
    <x v="0"/>
    <x v="0"/>
    <s v="DK1_MedSmall"/>
    <x v="11"/>
    <x v="3"/>
    <x v="9"/>
    <s v="GNR_HS_HEAT_PIT_L-DEC_E-91_Y-2030"/>
    <x v="6"/>
    <n v="0.78061925306767299"/>
  </r>
  <r>
    <x v="0"/>
    <x v="0"/>
    <x v="0"/>
    <x v="0"/>
    <x v="0"/>
    <s v="DK1_MedSmall"/>
    <x v="11"/>
    <x v="3"/>
    <x v="10"/>
    <s v="GNR_HS_HEAT_WTR-TANK_LS_E-95_Y-2010"/>
    <x v="6"/>
    <n v="0.24333011472747099"/>
  </r>
  <r>
    <x v="0"/>
    <x v="0"/>
    <x v="0"/>
    <x v="0"/>
    <x v="0"/>
    <s v="DK1_Medium"/>
    <x v="3"/>
    <x v="1"/>
    <x v="1"/>
    <s v="GNR_ENG_NGAS_BP_E-48_Y-2030"/>
    <x v="6"/>
    <n v="50.164821770732999"/>
  </r>
  <r>
    <x v="0"/>
    <x v="0"/>
    <x v="0"/>
    <x v="0"/>
    <x v="0"/>
    <s v="DK1_Medium"/>
    <x v="11"/>
    <x v="3"/>
    <x v="9"/>
    <s v="GNR_HS_HEAT_PIT_L-DEC_E-91_Y-2030"/>
    <x v="6"/>
    <n v="2.5880806460494798"/>
  </r>
  <r>
    <x v="0"/>
    <x v="0"/>
    <x v="0"/>
    <x v="0"/>
    <x v="0"/>
    <s v="DK1_Medium"/>
    <x v="11"/>
    <x v="3"/>
    <x v="10"/>
    <s v="GNR_HS_HEAT_WTR-TANK_LS_E-95_Y-2010"/>
    <x v="6"/>
    <n v="0.57554961010315098"/>
  </r>
  <r>
    <x v="0"/>
    <x v="0"/>
    <x v="0"/>
    <x v="0"/>
    <x v="0"/>
    <s v="DK1_NoDH"/>
    <x v="6"/>
    <x v="3"/>
    <x v="3"/>
    <s v="GNR_ES_ELEC_BAT-LITHIO_E-97_Y-30-50"/>
    <x v="6"/>
    <n v="16.4808875098194"/>
  </r>
  <r>
    <x v="0"/>
    <x v="0"/>
    <x v="0"/>
    <x v="0"/>
    <x v="0"/>
    <s v="DK1_NoDH"/>
    <x v="7"/>
    <x v="5"/>
    <x v="5"/>
    <s v="GNR_PV_SUN_LS-4-MW_Y-2030"/>
    <x v="6"/>
    <n v="96.1490138922141"/>
  </r>
  <r>
    <x v="0"/>
    <x v="0"/>
    <x v="0"/>
    <x v="0"/>
    <x v="0"/>
    <s v="DK1_NoDH"/>
    <x v="9"/>
    <x v="5"/>
    <x v="7"/>
    <s v="GNR_WT_WIND_ON_LS_Y-2030"/>
    <x v="6"/>
    <n v="32.740462986073403"/>
  </r>
  <r>
    <x v="0"/>
    <x v="0"/>
    <x v="0"/>
    <x v="0"/>
    <x v="0"/>
    <s v="DK1_NoDH_PHH"/>
    <x v="6"/>
    <x v="2"/>
    <x v="2"/>
    <s v="GNR_BO_ELEC_E-99_LS-10-MW-FEED_PHH_Y-2030"/>
    <x v="6"/>
    <n v="0.843020095668787"/>
  </r>
  <r>
    <x v="0"/>
    <x v="0"/>
    <x v="0"/>
    <x v="0"/>
    <x v="0"/>
    <s v="DK1_Rural"/>
    <x v="6"/>
    <x v="2"/>
    <x v="2"/>
    <s v="GNR_HP_ELEC_GROUND-WTR_COP-380_LS-4-MW_Y-2030"/>
    <x v="6"/>
    <n v="3.2308546937827902"/>
  </r>
  <r>
    <x v="0"/>
    <x v="0"/>
    <x v="0"/>
    <x v="0"/>
    <x v="0"/>
    <s v="DK1_Rural"/>
    <x v="11"/>
    <x v="3"/>
    <x v="9"/>
    <s v="GNR_HS_HEAT_PIT_L-DEC_E-91_Y-2030"/>
    <x v="6"/>
    <n v="1.59096296759905"/>
  </r>
  <r>
    <x v="0"/>
    <x v="0"/>
    <x v="0"/>
    <x v="0"/>
    <x v="0"/>
    <s v="DK1_Rural"/>
    <x v="11"/>
    <x v="3"/>
    <x v="10"/>
    <s v="GNR_HS_HEAT_WTR-TANK_LS_E-95_Y-2010"/>
    <x v="6"/>
    <n v="0.23350720434494601"/>
  </r>
  <r>
    <x v="0"/>
    <x v="0"/>
    <x v="0"/>
    <x v="0"/>
    <x v="0"/>
    <s v="DK1_Small"/>
    <x v="11"/>
    <x v="3"/>
    <x v="10"/>
    <s v="GNR_HS_HEAT_WTR-TANK_LS_E-95_Y-2010"/>
    <x v="6"/>
    <n v="7.7213012072990103E-3"/>
  </r>
  <r>
    <x v="0"/>
    <x v="0"/>
    <x v="0"/>
    <x v="0"/>
    <x v="1"/>
    <s v="DK2_Large"/>
    <x v="3"/>
    <x v="1"/>
    <x v="1"/>
    <s v="GNR_GT_NGAS_BP_E-43_LS-40-MW_Y-2030"/>
    <x v="6"/>
    <n v="14.7413813686499"/>
  </r>
  <r>
    <x v="0"/>
    <x v="0"/>
    <x v="0"/>
    <x v="0"/>
    <x v="1"/>
    <s v="DK2_Large"/>
    <x v="11"/>
    <x v="3"/>
    <x v="9"/>
    <s v="GNR_HS_HEAT_PIT_L-CEN_E-90_Y-2030"/>
    <x v="6"/>
    <n v="7.9983407175650898"/>
  </r>
  <r>
    <x v="0"/>
    <x v="0"/>
    <x v="0"/>
    <x v="0"/>
    <x v="1"/>
    <s v="DK2_Large"/>
    <x v="11"/>
    <x v="3"/>
    <x v="10"/>
    <s v="GNR_HS_HEAT_WTR-TANK_LS_E-95_Y-2010"/>
    <x v="6"/>
    <n v="1.3232773694001201"/>
  </r>
  <r>
    <x v="0"/>
    <x v="0"/>
    <x v="0"/>
    <x v="0"/>
    <x v="1"/>
    <s v="DK2_Large"/>
    <x v="2"/>
    <x v="1"/>
    <x v="1"/>
    <s v="GNR_ST_MSW_BP_E-24_LS-220-MW-FEED_Y-2030"/>
    <x v="6"/>
    <n v="70.709447466175305"/>
  </r>
  <r>
    <x v="0"/>
    <x v="0"/>
    <x v="0"/>
    <x v="0"/>
    <x v="1"/>
    <s v="DK2_Large_PHH"/>
    <x v="6"/>
    <x v="2"/>
    <x v="2"/>
    <s v="GNR_BO_ELEC_E-99_LS-10-MW-FEED_PHH_Y-2030"/>
    <x v="6"/>
    <n v="0.11087214250474101"/>
  </r>
  <r>
    <x v="0"/>
    <x v="0"/>
    <x v="0"/>
    <x v="0"/>
    <x v="1"/>
    <s v="DK2_MedSmall"/>
    <x v="3"/>
    <x v="1"/>
    <x v="1"/>
    <s v="GNR_ENG_NGAS_BP_E-48_Y-2030"/>
    <x v="6"/>
    <n v="8.9913329388758694"/>
  </r>
  <r>
    <x v="0"/>
    <x v="0"/>
    <x v="0"/>
    <x v="0"/>
    <x v="1"/>
    <s v="DK2_MedSmall"/>
    <x v="11"/>
    <x v="3"/>
    <x v="9"/>
    <s v="GNR_HS_HEAT_PIT_L-DEC_E-91_Y-2030"/>
    <x v="6"/>
    <n v="0.50671484805211198"/>
  </r>
  <r>
    <x v="0"/>
    <x v="0"/>
    <x v="0"/>
    <x v="0"/>
    <x v="1"/>
    <s v="DK2_MedSmall"/>
    <x v="11"/>
    <x v="3"/>
    <x v="10"/>
    <s v="GNR_HS_HEAT_WTR-TANK_LS_E-95_Y-2010"/>
    <x v="6"/>
    <n v="8.9711278917975104E-2"/>
  </r>
  <r>
    <x v="0"/>
    <x v="0"/>
    <x v="0"/>
    <x v="0"/>
    <x v="1"/>
    <s v="DK2_Medium"/>
    <x v="3"/>
    <x v="1"/>
    <x v="1"/>
    <s v="GNR_ENG_NGAS_BP_E-48_Y-2030"/>
    <x v="6"/>
    <n v="18.808009115850201"/>
  </r>
  <r>
    <x v="0"/>
    <x v="0"/>
    <x v="0"/>
    <x v="0"/>
    <x v="1"/>
    <s v="DK2_Medium"/>
    <x v="11"/>
    <x v="3"/>
    <x v="9"/>
    <s v="GNR_HS_HEAT_PIT_L-DEC_E-91_Y-2030"/>
    <x v="6"/>
    <n v="0.88818689998984501"/>
  </r>
  <r>
    <x v="0"/>
    <x v="0"/>
    <x v="0"/>
    <x v="0"/>
    <x v="1"/>
    <s v="DK2_Medium"/>
    <x v="11"/>
    <x v="3"/>
    <x v="10"/>
    <s v="GNR_HS_HEAT_WTR-TANK_LS_E-95_Y-2010"/>
    <x v="6"/>
    <n v="0.28846912839087802"/>
  </r>
  <r>
    <x v="0"/>
    <x v="0"/>
    <x v="0"/>
    <x v="0"/>
    <x v="1"/>
    <s v="DK2_NoDH"/>
    <x v="6"/>
    <x v="3"/>
    <x v="3"/>
    <s v="GNR_ES_ELEC_BAT-LITHIO_E-97_Y-30-50"/>
    <x v="6"/>
    <n v="3.1470787741013599"/>
  </r>
  <r>
    <x v="0"/>
    <x v="0"/>
    <x v="0"/>
    <x v="0"/>
    <x v="1"/>
    <s v="DK2_NoDH"/>
    <x v="7"/>
    <x v="5"/>
    <x v="5"/>
    <s v="GNR_PV_SUN_LS-4-MW_Y-2030"/>
    <x v="6"/>
    <n v="76.807161512692304"/>
  </r>
  <r>
    <x v="0"/>
    <x v="0"/>
    <x v="0"/>
    <x v="0"/>
    <x v="1"/>
    <s v="DK2_NoDH_PHH"/>
    <x v="6"/>
    <x v="2"/>
    <x v="2"/>
    <s v="GNR_BO_ELEC_E-99_LS-10-MW-FEED_PHH_Y-2030"/>
    <x v="6"/>
    <n v="0.124252582899255"/>
  </r>
  <r>
    <x v="0"/>
    <x v="0"/>
    <x v="0"/>
    <x v="0"/>
    <x v="1"/>
    <s v="DK2_Rural"/>
    <x v="3"/>
    <x v="1"/>
    <x v="1"/>
    <s v="GNR_CC_NGAS_BP_E-53_SS-10-MW_Y-2030"/>
    <x v="6"/>
    <n v="5.3101701052450698"/>
  </r>
  <r>
    <x v="0"/>
    <x v="0"/>
    <x v="0"/>
    <x v="0"/>
    <x v="1"/>
    <s v="DK2_Rural"/>
    <x v="11"/>
    <x v="3"/>
    <x v="9"/>
    <s v="GNR_HS_HEAT_PIT_L-DEC_E-91_Y-2030"/>
    <x v="6"/>
    <n v="0.515379939377407"/>
  </r>
  <r>
    <x v="0"/>
    <x v="0"/>
    <x v="0"/>
    <x v="0"/>
    <x v="1"/>
    <s v="DK2_Rural"/>
    <x v="11"/>
    <x v="3"/>
    <x v="10"/>
    <s v="GNR_HS_HEAT_WTR-TANK_LS_E-95_Y-2010"/>
    <x v="6"/>
    <n v="0.18625575727446"/>
  </r>
  <r>
    <x v="0"/>
    <x v="0"/>
    <x v="0"/>
    <x v="0"/>
    <x v="1"/>
    <s v="DK2_Small"/>
    <x v="3"/>
    <x v="1"/>
    <x v="1"/>
    <s v="GNR_CC_NGAS_BP_E-53_SS-10-MW_Y-2030"/>
    <x v="6"/>
    <n v="1.6843608820277001"/>
  </r>
  <r>
    <x v="0"/>
    <x v="0"/>
    <x v="0"/>
    <x v="0"/>
    <x v="1"/>
    <s v="DK2_Small"/>
    <x v="11"/>
    <x v="3"/>
    <x v="9"/>
    <s v="GNR_HS_HEAT_PIT_L-DEC_E-91_Y-2030"/>
    <x v="6"/>
    <n v="4.7330605792717903E-2"/>
  </r>
  <r>
    <x v="0"/>
    <x v="0"/>
    <x v="0"/>
    <x v="0"/>
    <x v="1"/>
    <s v="DK2_Small"/>
    <x v="11"/>
    <x v="3"/>
    <x v="10"/>
    <s v="GNR_HS_HEAT_WTR-TANK_LS_E-95_Y-2010"/>
    <x v="6"/>
    <n v="1.8344890214878701E-2"/>
  </r>
  <r>
    <x v="0"/>
    <x v="0"/>
    <x v="0"/>
    <x v="0"/>
    <x v="0"/>
    <s v="DK1_Large"/>
    <x v="1"/>
    <x v="1"/>
    <x v="1"/>
    <s v="GNR_ENG_BGAS_BP_E-36"/>
    <x v="7"/>
    <n v="6.0412730742000001E-2"/>
  </r>
  <r>
    <x v="0"/>
    <x v="0"/>
    <x v="0"/>
    <x v="0"/>
    <x v="0"/>
    <s v="DK1_Large"/>
    <x v="1"/>
    <x v="1"/>
    <x v="1"/>
    <s v="GNR_ENG_BGAS_BP_E-37"/>
    <x v="7"/>
    <n v="3.6283922367567598E-2"/>
  </r>
  <r>
    <x v="0"/>
    <x v="0"/>
    <x v="0"/>
    <x v="0"/>
    <x v="0"/>
    <s v="DK1_Large"/>
    <x v="1"/>
    <x v="1"/>
    <x v="1"/>
    <s v="GNR_ENG_BGAS_BP_E-39"/>
    <x v="7"/>
    <n v="0.2323566567"/>
  </r>
  <r>
    <x v="0"/>
    <x v="0"/>
    <x v="0"/>
    <x v="0"/>
    <x v="0"/>
    <s v="DK1_Large"/>
    <x v="1"/>
    <x v="1"/>
    <x v="1"/>
    <s v="GNR_ENG_BGAS_BP_E-40"/>
    <x v="7"/>
    <n v="8.3436693680339902E-2"/>
  </r>
  <r>
    <x v="0"/>
    <x v="0"/>
    <x v="0"/>
    <x v="0"/>
    <x v="0"/>
    <s v="DK1_Large"/>
    <x v="1"/>
    <x v="1"/>
    <x v="1"/>
    <s v="GNR_ENG_BGAS_BP_E-41"/>
    <x v="7"/>
    <n v="0.17531152324805899"/>
  </r>
  <r>
    <x v="0"/>
    <x v="0"/>
    <x v="0"/>
    <x v="0"/>
    <x v="0"/>
    <s v="DK1_Large"/>
    <x v="1"/>
    <x v="1"/>
    <x v="1"/>
    <s v="GNR_ENG_BGAS_BP_E-42"/>
    <x v="7"/>
    <n v="0.15822381861000001"/>
  </r>
  <r>
    <x v="0"/>
    <x v="0"/>
    <x v="0"/>
    <x v="0"/>
    <x v="0"/>
    <s v="DK1_Large"/>
    <x v="1"/>
    <x v="1"/>
    <x v="1"/>
    <s v="GNR_ENG_BGAS_BP_E-43"/>
    <x v="7"/>
    <n v="0.44394250955938602"/>
  </r>
  <r>
    <x v="0"/>
    <x v="0"/>
    <x v="0"/>
    <x v="0"/>
    <x v="0"/>
    <s v="DK1_Large"/>
    <x v="2"/>
    <x v="7"/>
    <x v="11"/>
    <s v="GNR_BO_MSW_E-105"/>
    <x v="7"/>
    <n v="2.3395254826843501E-2"/>
  </r>
  <r>
    <x v="0"/>
    <x v="0"/>
    <x v="0"/>
    <x v="0"/>
    <x v="0"/>
    <s v="DK1_Large"/>
    <x v="2"/>
    <x v="1"/>
    <x v="1"/>
    <s v="GNR_ST_MSW_BP_E-24_LS-220-MW-FEED_Y-2030"/>
    <x v="7"/>
    <n v="0.78577691902000102"/>
  </r>
  <r>
    <x v="0"/>
    <x v="0"/>
    <x v="0"/>
    <x v="0"/>
    <x v="0"/>
    <s v="DK1_Large"/>
    <x v="2"/>
    <x v="1"/>
    <x v="1"/>
    <s v="GNR_ST_MSW_BP_E-27"/>
    <x v="7"/>
    <n v="5.8163202972291397E-2"/>
  </r>
  <r>
    <x v="0"/>
    <x v="0"/>
    <x v="0"/>
    <x v="0"/>
    <x v="0"/>
    <s v="DK1_Large"/>
    <x v="3"/>
    <x v="1"/>
    <x v="1"/>
    <s v="GNR_ENG_NGAS_BP_E-39"/>
    <x v="7"/>
    <n v="0.40201596058703698"/>
  </r>
  <r>
    <x v="0"/>
    <x v="0"/>
    <x v="0"/>
    <x v="0"/>
    <x v="0"/>
    <s v="DK1_Large"/>
    <x v="3"/>
    <x v="1"/>
    <x v="1"/>
    <s v="GNR_ENG_NGAS_BP_E-42"/>
    <x v="7"/>
    <n v="0.293163431600729"/>
  </r>
  <r>
    <x v="0"/>
    <x v="0"/>
    <x v="0"/>
    <x v="0"/>
    <x v="0"/>
    <s v="DK1_Large"/>
    <x v="3"/>
    <x v="1"/>
    <x v="1"/>
    <s v="GNR_ENG_NGAS_BP_E-43"/>
    <x v="7"/>
    <n v="0.42796994062313998"/>
  </r>
  <r>
    <x v="0"/>
    <x v="0"/>
    <x v="0"/>
    <x v="0"/>
    <x v="0"/>
    <s v="DK1_Large"/>
    <x v="3"/>
    <x v="1"/>
    <x v="1"/>
    <s v="GNR_ENG_NGAS_BP_E-46"/>
    <x v="7"/>
    <n v="0.115280118159271"/>
  </r>
  <r>
    <x v="0"/>
    <x v="0"/>
    <x v="0"/>
    <x v="0"/>
    <x v="0"/>
    <s v="DK1_Large"/>
    <x v="3"/>
    <x v="1"/>
    <x v="1"/>
    <s v="GNR_GT_NGAS_BP_E-43_LS-40-MW_Y-2030"/>
    <x v="7"/>
    <n v="12.119442423124299"/>
  </r>
  <r>
    <x v="0"/>
    <x v="0"/>
    <x v="0"/>
    <x v="0"/>
    <x v="0"/>
    <s v="DK1_Large"/>
    <x v="4"/>
    <x v="7"/>
    <x v="11"/>
    <s v="GNR_BO_STRW_E-100"/>
    <x v="7"/>
    <n v="2.7447967708534401E-2"/>
  </r>
  <r>
    <x v="0"/>
    <x v="0"/>
    <x v="0"/>
    <x v="0"/>
    <x v="0"/>
    <s v="DK1_Large"/>
    <x v="4"/>
    <x v="7"/>
    <x v="11"/>
    <s v="GNR_BO_STRW_E-102"/>
    <x v="7"/>
    <n v="3.2918750535649501E-2"/>
  </r>
  <r>
    <x v="0"/>
    <x v="0"/>
    <x v="0"/>
    <x v="0"/>
    <x v="0"/>
    <s v="DK1_Large"/>
    <x v="4"/>
    <x v="1"/>
    <x v="1"/>
    <s v="GNR_ST_STRW_BP_E-26"/>
    <x v="7"/>
    <n v="10.4505762536426"/>
  </r>
  <r>
    <x v="0"/>
    <x v="0"/>
    <x v="0"/>
    <x v="0"/>
    <x v="0"/>
    <s v="DK1_Large"/>
    <x v="12"/>
    <x v="7"/>
    <x v="11"/>
    <s v="GNR_EH_HEAT"/>
    <x v="7"/>
    <n v="0.513518448198794"/>
  </r>
  <r>
    <x v="0"/>
    <x v="0"/>
    <x v="0"/>
    <x v="0"/>
    <x v="0"/>
    <s v="DK1_Large_PHH"/>
    <x v="3"/>
    <x v="7"/>
    <x v="11"/>
    <s v="GNR_BO_NGAS_E-70_PHH"/>
    <x v="7"/>
    <n v="23.212116197642501"/>
  </r>
  <r>
    <x v="0"/>
    <x v="0"/>
    <x v="0"/>
    <x v="0"/>
    <x v="0"/>
    <s v="DK1_Large_PHL"/>
    <x v="3"/>
    <x v="7"/>
    <x v="11"/>
    <s v="GNR_BO_NGAS_E-82_PHL"/>
    <x v="7"/>
    <n v="51.818515256325"/>
  </r>
  <r>
    <x v="0"/>
    <x v="0"/>
    <x v="0"/>
    <x v="0"/>
    <x v="0"/>
    <s v="DK1_MedSmall"/>
    <x v="3"/>
    <x v="7"/>
    <x v="11"/>
    <s v="GNR_BO_NGAS_E-100"/>
    <x v="7"/>
    <n v="0.26181154859651501"/>
  </r>
  <r>
    <x v="0"/>
    <x v="0"/>
    <x v="0"/>
    <x v="0"/>
    <x v="0"/>
    <s v="DK1_MedSmall"/>
    <x v="3"/>
    <x v="7"/>
    <x v="11"/>
    <s v="GNR_BO_NGAS_E-101"/>
    <x v="7"/>
    <n v="0.59336504599814599"/>
  </r>
  <r>
    <x v="0"/>
    <x v="0"/>
    <x v="0"/>
    <x v="0"/>
    <x v="0"/>
    <s v="DK1_MedSmall"/>
    <x v="3"/>
    <x v="7"/>
    <x v="11"/>
    <s v="GNR_BO_NGAS_E-102"/>
    <x v="7"/>
    <n v="9.0802832796685995E-2"/>
  </r>
  <r>
    <x v="0"/>
    <x v="0"/>
    <x v="0"/>
    <x v="0"/>
    <x v="0"/>
    <s v="DK1_MedSmall"/>
    <x v="3"/>
    <x v="1"/>
    <x v="1"/>
    <s v="GNR_ENG_NGAS_BP_E-41"/>
    <x v="7"/>
    <n v="0.57966166107282902"/>
  </r>
  <r>
    <x v="0"/>
    <x v="0"/>
    <x v="0"/>
    <x v="0"/>
    <x v="0"/>
    <s v="DK1_MedSmall"/>
    <x v="4"/>
    <x v="7"/>
    <x v="11"/>
    <s v="GNR_BO_STRW_E-102"/>
    <x v="7"/>
    <n v="2.0183896757001101"/>
  </r>
  <r>
    <x v="0"/>
    <x v="0"/>
    <x v="0"/>
    <x v="0"/>
    <x v="0"/>
    <s v="DK1_MedSmall"/>
    <x v="12"/>
    <x v="7"/>
    <x v="11"/>
    <s v="GNR_EH_HEAT"/>
    <x v="7"/>
    <n v="0.107218137536012"/>
  </r>
  <r>
    <x v="0"/>
    <x v="0"/>
    <x v="0"/>
    <x v="0"/>
    <x v="0"/>
    <s v="DK1_Medium"/>
    <x v="1"/>
    <x v="1"/>
    <x v="1"/>
    <s v="GNR_ENG_BGAS_BP_E-39"/>
    <x v="7"/>
    <n v="4.3373242584E-2"/>
  </r>
  <r>
    <x v="0"/>
    <x v="0"/>
    <x v="0"/>
    <x v="0"/>
    <x v="0"/>
    <s v="DK1_Medium"/>
    <x v="1"/>
    <x v="1"/>
    <x v="1"/>
    <s v="GNR_ENG_BGAS_BP_E-41"/>
    <x v="7"/>
    <n v="0.21722387845117999"/>
  </r>
  <r>
    <x v="0"/>
    <x v="0"/>
    <x v="0"/>
    <x v="0"/>
    <x v="0"/>
    <s v="DK1_Medium"/>
    <x v="1"/>
    <x v="1"/>
    <x v="1"/>
    <s v="GNR_ENG_BGAS_BP_E-42"/>
    <x v="7"/>
    <n v="2.1096509148000001E-2"/>
  </r>
  <r>
    <x v="0"/>
    <x v="0"/>
    <x v="0"/>
    <x v="0"/>
    <x v="0"/>
    <s v="DK1_Medium"/>
    <x v="3"/>
    <x v="1"/>
    <x v="1"/>
    <s v="GNR_ENG_NGAS_BP_E-41"/>
    <x v="7"/>
    <n v="0.44441711661467498"/>
  </r>
  <r>
    <x v="0"/>
    <x v="0"/>
    <x v="0"/>
    <x v="0"/>
    <x v="0"/>
    <s v="DK1_Medium"/>
    <x v="3"/>
    <x v="1"/>
    <x v="1"/>
    <s v="GNR_ENG_NGAS_BP_E-42"/>
    <x v="7"/>
    <n v="0.804253661913504"/>
  </r>
  <r>
    <x v="0"/>
    <x v="0"/>
    <x v="0"/>
    <x v="0"/>
    <x v="0"/>
    <s v="DK1_Medium"/>
    <x v="3"/>
    <x v="1"/>
    <x v="1"/>
    <s v="GNR_ENG_NGAS_BP_E-43"/>
    <x v="7"/>
    <n v="0.19990701173844"/>
  </r>
  <r>
    <x v="0"/>
    <x v="0"/>
    <x v="0"/>
    <x v="0"/>
    <x v="0"/>
    <s v="DK1_Medium"/>
    <x v="3"/>
    <x v="1"/>
    <x v="1"/>
    <s v="GNR_ENG_NGAS_BP_E-44"/>
    <x v="7"/>
    <n v="0.708262095814151"/>
  </r>
  <r>
    <x v="0"/>
    <x v="0"/>
    <x v="0"/>
    <x v="0"/>
    <x v="0"/>
    <s v="DK1_Medium"/>
    <x v="3"/>
    <x v="1"/>
    <x v="1"/>
    <s v="GNR_ENG_NGAS_BP_E-48_Y-2030"/>
    <x v="7"/>
    <n v="164.993244384516"/>
  </r>
  <r>
    <x v="0"/>
    <x v="0"/>
    <x v="0"/>
    <x v="0"/>
    <x v="0"/>
    <s v="DK1_Medium"/>
    <x v="4"/>
    <x v="7"/>
    <x v="11"/>
    <s v="GNR_BO_STRW_E-102"/>
    <x v="7"/>
    <n v="1.26449803644876E-2"/>
  </r>
  <r>
    <x v="0"/>
    <x v="0"/>
    <x v="0"/>
    <x v="0"/>
    <x v="0"/>
    <s v="DK1_Medium"/>
    <x v="12"/>
    <x v="7"/>
    <x v="11"/>
    <s v="GNR_EH_HEAT"/>
    <x v="7"/>
    <n v="0.22854392474781501"/>
  </r>
  <r>
    <x v="0"/>
    <x v="0"/>
    <x v="0"/>
    <x v="0"/>
    <x v="0"/>
    <s v="DK1_Medium"/>
    <x v="12"/>
    <x v="7"/>
    <x v="11"/>
    <s v="GNR_GEO_HEAT_HO"/>
    <x v="7"/>
    <n v="2.8215299351582099E-2"/>
  </r>
  <r>
    <x v="0"/>
    <x v="0"/>
    <x v="0"/>
    <x v="0"/>
    <x v="0"/>
    <s v="DK1_NoDH"/>
    <x v="3"/>
    <x v="4"/>
    <x v="4"/>
    <s v="GNR_ENG_NGAS_CND_E-41"/>
    <x v="7"/>
    <n v="1.8071978429779501"/>
  </r>
  <r>
    <x v="0"/>
    <x v="0"/>
    <x v="0"/>
    <x v="0"/>
    <x v="0"/>
    <s v="DK1_NoDH"/>
    <x v="3"/>
    <x v="4"/>
    <x v="4"/>
    <s v="GNR_ENG_NGAS_CND_E-46"/>
    <x v="7"/>
    <n v="5.8956042163645403E-2"/>
  </r>
  <r>
    <x v="0"/>
    <x v="0"/>
    <x v="0"/>
    <x v="0"/>
    <x v="0"/>
    <s v="DK1_NoDH_PHH"/>
    <x v="3"/>
    <x v="7"/>
    <x v="11"/>
    <s v="GNR_BO_NGAS_E-70_PHH"/>
    <x v="7"/>
    <n v="0.51029930881282004"/>
  </r>
  <r>
    <x v="0"/>
    <x v="0"/>
    <x v="0"/>
    <x v="0"/>
    <x v="0"/>
    <s v="DK1_NoDH_PHL"/>
    <x v="3"/>
    <x v="7"/>
    <x v="11"/>
    <s v="GNR_BO_NGAS_E-82_PHL"/>
    <x v="7"/>
    <n v="269.59547534391498"/>
  </r>
  <r>
    <x v="0"/>
    <x v="0"/>
    <x v="0"/>
    <x v="0"/>
    <x v="0"/>
    <s v="DK1_Rural"/>
    <x v="1"/>
    <x v="1"/>
    <x v="1"/>
    <s v="GNR_ENG_BGAS_BP_E-30"/>
    <x v="7"/>
    <n v="0.53700205103999998"/>
  </r>
  <r>
    <x v="0"/>
    <x v="0"/>
    <x v="0"/>
    <x v="0"/>
    <x v="0"/>
    <s v="DK1_Rural"/>
    <x v="1"/>
    <x v="1"/>
    <x v="1"/>
    <s v="GNR_ENG_BGAS_BP_E-37"/>
    <x v="7"/>
    <n v="0.127356567510162"/>
  </r>
  <r>
    <x v="0"/>
    <x v="0"/>
    <x v="0"/>
    <x v="0"/>
    <x v="0"/>
    <s v="DK1_Rural"/>
    <x v="1"/>
    <x v="1"/>
    <x v="1"/>
    <s v="GNR_ENG_BGAS_BP_E-38"/>
    <x v="7"/>
    <n v="5.6526531688420999E-2"/>
  </r>
  <r>
    <x v="0"/>
    <x v="0"/>
    <x v="0"/>
    <x v="0"/>
    <x v="0"/>
    <s v="DK1_Rural"/>
    <x v="1"/>
    <x v="1"/>
    <x v="1"/>
    <s v="GNR_ENG_BGAS_BP_E-39"/>
    <x v="7"/>
    <n v="9.9597816303999998E-2"/>
  </r>
  <r>
    <x v="0"/>
    <x v="0"/>
    <x v="0"/>
    <x v="0"/>
    <x v="0"/>
    <s v="DK1_Rural"/>
    <x v="1"/>
    <x v="1"/>
    <x v="1"/>
    <s v="GNR_ENG_BGAS_BP_E-40"/>
    <x v="7"/>
    <n v="0.99300629271480001"/>
  </r>
  <r>
    <x v="0"/>
    <x v="0"/>
    <x v="0"/>
    <x v="0"/>
    <x v="0"/>
    <s v="DK1_Rural"/>
    <x v="1"/>
    <x v="1"/>
    <x v="1"/>
    <s v="GNR_ENG_BGAS_BP_E-41"/>
    <x v="7"/>
    <n v="0.180310444780098"/>
  </r>
  <r>
    <x v="0"/>
    <x v="0"/>
    <x v="0"/>
    <x v="0"/>
    <x v="0"/>
    <s v="DK1_Rural"/>
    <x v="1"/>
    <x v="1"/>
    <x v="1"/>
    <s v="GNR_ENG_BGAS_BP_E-42"/>
    <x v="7"/>
    <n v="0.99643713915200005"/>
  </r>
  <r>
    <x v="0"/>
    <x v="0"/>
    <x v="0"/>
    <x v="0"/>
    <x v="0"/>
    <s v="DK1_Rural"/>
    <x v="1"/>
    <x v="1"/>
    <x v="1"/>
    <s v="GNR_ENG_BGAS_BP_E-43"/>
    <x v="7"/>
    <n v="0.74888890683795395"/>
  </r>
  <r>
    <x v="0"/>
    <x v="0"/>
    <x v="0"/>
    <x v="0"/>
    <x v="0"/>
    <s v="DK1_Rural"/>
    <x v="3"/>
    <x v="7"/>
    <x v="11"/>
    <s v="GNR_BO_NGAS_E-101"/>
    <x v="7"/>
    <n v="0.24197404340392001"/>
  </r>
  <r>
    <x v="0"/>
    <x v="0"/>
    <x v="0"/>
    <x v="0"/>
    <x v="0"/>
    <s v="DK1_Rural"/>
    <x v="3"/>
    <x v="7"/>
    <x v="11"/>
    <s v="GNR_BO_NGAS_E-102"/>
    <x v="7"/>
    <n v="8.07729774093396E-2"/>
  </r>
  <r>
    <x v="0"/>
    <x v="0"/>
    <x v="0"/>
    <x v="0"/>
    <x v="0"/>
    <s v="DK1_Rural"/>
    <x v="3"/>
    <x v="7"/>
    <x v="11"/>
    <s v="GNR_BO_NGAS_E-104"/>
    <x v="7"/>
    <n v="2.4563330410385598E-2"/>
  </r>
  <r>
    <x v="0"/>
    <x v="0"/>
    <x v="0"/>
    <x v="0"/>
    <x v="0"/>
    <s v="DK1_Rural"/>
    <x v="3"/>
    <x v="7"/>
    <x v="11"/>
    <s v="GNR_BO_NGAS_E-105"/>
    <x v="7"/>
    <n v="0.397579861856862"/>
  </r>
  <r>
    <x v="0"/>
    <x v="0"/>
    <x v="0"/>
    <x v="0"/>
    <x v="0"/>
    <s v="DK1_Rural"/>
    <x v="3"/>
    <x v="1"/>
    <x v="1"/>
    <s v="GNR_ENG_NGAS_BP_E-37"/>
    <x v="7"/>
    <n v="0.93845954760683103"/>
  </r>
  <r>
    <x v="0"/>
    <x v="0"/>
    <x v="0"/>
    <x v="0"/>
    <x v="0"/>
    <s v="DK1_Rural"/>
    <x v="3"/>
    <x v="1"/>
    <x v="1"/>
    <s v="GNR_ENG_NGAS_BP_E-38"/>
    <x v="7"/>
    <n v="0.43011868166851303"/>
  </r>
  <r>
    <x v="0"/>
    <x v="0"/>
    <x v="0"/>
    <x v="0"/>
    <x v="0"/>
    <s v="DK1_Rural"/>
    <x v="3"/>
    <x v="1"/>
    <x v="1"/>
    <s v="GNR_ENG_NGAS_BP_E-39"/>
    <x v="7"/>
    <n v="0.34148073872258"/>
  </r>
  <r>
    <x v="0"/>
    <x v="0"/>
    <x v="0"/>
    <x v="0"/>
    <x v="0"/>
    <s v="DK1_Rural"/>
    <x v="3"/>
    <x v="1"/>
    <x v="1"/>
    <s v="GNR_ENG_NGAS_BP_E-40"/>
    <x v="7"/>
    <n v="0.83901817504137799"/>
  </r>
  <r>
    <x v="0"/>
    <x v="0"/>
    <x v="0"/>
    <x v="0"/>
    <x v="0"/>
    <s v="DK1_Rural"/>
    <x v="3"/>
    <x v="1"/>
    <x v="1"/>
    <s v="GNR_ENG_NGAS_BP_E-41"/>
    <x v="7"/>
    <n v="2.8029650601653899"/>
  </r>
  <r>
    <x v="0"/>
    <x v="0"/>
    <x v="0"/>
    <x v="0"/>
    <x v="0"/>
    <s v="DK1_Rural"/>
    <x v="3"/>
    <x v="1"/>
    <x v="1"/>
    <s v="GNR_ENG_NGAS_BP_E-42"/>
    <x v="7"/>
    <n v="7.81815273009079"/>
  </r>
  <r>
    <x v="0"/>
    <x v="0"/>
    <x v="0"/>
    <x v="0"/>
    <x v="0"/>
    <s v="DK1_Rural"/>
    <x v="3"/>
    <x v="1"/>
    <x v="1"/>
    <s v="GNR_ENG_NGAS_BP_E-43"/>
    <x v="7"/>
    <n v="4.6805270427255499"/>
  </r>
  <r>
    <x v="0"/>
    <x v="0"/>
    <x v="0"/>
    <x v="0"/>
    <x v="0"/>
    <s v="DK1_Rural"/>
    <x v="3"/>
    <x v="1"/>
    <x v="1"/>
    <s v="GNR_ENG_NGAS_BP_E-44"/>
    <x v="7"/>
    <n v="4.1642729440758997"/>
  </r>
  <r>
    <x v="0"/>
    <x v="0"/>
    <x v="0"/>
    <x v="0"/>
    <x v="0"/>
    <s v="DK1_Rural"/>
    <x v="3"/>
    <x v="1"/>
    <x v="1"/>
    <s v="GNR_ENG_NGAS_BP_E-45"/>
    <x v="7"/>
    <n v="1.64655803471324"/>
  </r>
  <r>
    <x v="0"/>
    <x v="0"/>
    <x v="0"/>
    <x v="0"/>
    <x v="0"/>
    <s v="DK1_Rural"/>
    <x v="3"/>
    <x v="1"/>
    <x v="1"/>
    <s v="GNR_ENG_NGAS_BP_E-46"/>
    <x v="7"/>
    <n v="0.57482141109554297"/>
  </r>
  <r>
    <x v="0"/>
    <x v="0"/>
    <x v="0"/>
    <x v="0"/>
    <x v="0"/>
    <s v="DK1_Rural"/>
    <x v="4"/>
    <x v="7"/>
    <x v="11"/>
    <s v="GNR_BO_STRW_E-100"/>
    <x v="7"/>
    <n v="15.1874195888303"/>
  </r>
  <r>
    <x v="0"/>
    <x v="0"/>
    <x v="0"/>
    <x v="0"/>
    <x v="0"/>
    <s v="DK1_Rural"/>
    <x v="4"/>
    <x v="7"/>
    <x v="11"/>
    <s v="GNR_BO_STRW_E-102"/>
    <x v="7"/>
    <n v="4.8390563287404804"/>
  </r>
  <r>
    <x v="0"/>
    <x v="0"/>
    <x v="0"/>
    <x v="0"/>
    <x v="0"/>
    <s v="DK1_Rural"/>
    <x v="12"/>
    <x v="7"/>
    <x v="11"/>
    <s v="GNR_EH_HEAT"/>
    <x v="7"/>
    <n v="0.30754676293224498"/>
  </r>
  <r>
    <x v="0"/>
    <x v="0"/>
    <x v="0"/>
    <x v="0"/>
    <x v="0"/>
    <s v="DK1_Rural"/>
    <x v="13"/>
    <x v="7"/>
    <x v="11"/>
    <s v="GNR_BO_WOODWST_E-100"/>
    <x v="7"/>
    <n v="3.92636667761237"/>
  </r>
  <r>
    <x v="0"/>
    <x v="0"/>
    <x v="0"/>
    <x v="0"/>
    <x v="0"/>
    <s v="DK1_Rural"/>
    <x v="13"/>
    <x v="7"/>
    <x v="11"/>
    <s v="GNR_BO_WOODWST_E-113"/>
    <x v="7"/>
    <n v="0.63341265216573905"/>
  </r>
  <r>
    <x v="0"/>
    <x v="0"/>
    <x v="0"/>
    <x v="0"/>
    <x v="0"/>
    <s v="DK1_Rural"/>
    <x v="13"/>
    <x v="7"/>
    <x v="11"/>
    <s v="GNR_BO_WOODWST_E-86"/>
    <x v="7"/>
    <n v="0.24489500795942801"/>
  </r>
  <r>
    <x v="0"/>
    <x v="0"/>
    <x v="0"/>
    <x v="0"/>
    <x v="0"/>
    <s v="DK1_Rural"/>
    <x v="13"/>
    <x v="7"/>
    <x v="11"/>
    <s v="GNR_BO_WOODWST_E-89"/>
    <x v="7"/>
    <n v="0.16902865717905999"/>
  </r>
  <r>
    <x v="0"/>
    <x v="0"/>
    <x v="0"/>
    <x v="0"/>
    <x v="0"/>
    <s v="DK1_Rural"/>
    <x v="13"/>
    <x v="7"/>
    <x v="11"/>
    <s v="GNR_BO_WOODWST_E-90"/>
    <x v="7"/>
    <n v="0.150435504889363"/>
  </r>
  <r>
    <x v="0"/>
    <x v="0"/>
    <x v="0"/>
    <x v="0"/>
    <x v="0"/>
    <s v="DK1_Rural"/>
    <x v="13"/>
    <x v="7"/>
    <x v="11"/>
    <s v="GNR_BO_WOODWST_E-94"/>
    <x v="7"/>
    <n v="0.15738881535323801"/>
  </r>
  <r>
    <x v="0"/>
    <x v="0"/>
    <x v="0"/>
    <x v="0"/>
    <x v="0"/>
    <s v="DK1_Small"/>
    <x v="3"/>
    <x v="7"/>
    <x v="11"/>
    <s v="GNR_BO_NGAS_E-101"/>
    <x v="7"/>
    <n v="4.9089801171426396E-3"/>
  </r>
  <r>
    <x v="0"/>
    <x v="0"/>
    <x v="0"/>
    <x v="0"/>
    <x v="0"/>
    <s v="DK1_Small"/>
    <x v="3"/>
    <x v="1"/>
    <x v="1"/>
    <s v="GNR_ENG_NGAS_BP_E-38"/>
    <x v="7"/>
    <n v="0.16201137009513999"/>
  </r>
  <r>
    <x v="0"/>
    <x v="0"/>
    <x v="0"/>
    <x v="0"/>
    <x v="0"/>
    <s v="DK1_Small"/>
    <x v="4"/>
    <x v="7"/>
    <x v="11"/>
    <s v="GNR_BO_STRW_E-100"/>
    <x v="7"/>
    <n v="5.1084045109685201"/>
  </r>
  <r>
    <x v="0"/>
    <x v="0"/>
    <x v="0"/>
    <x v="0"/>
    <x v="0"/>
    <s v="DK1_Small"/>
    <x v="12"/>
    <x v="7"/>
    <x v="11"/>
    <s v="GNR_EH_HEAT"/>
    <x v="7"/>
    <n v="2.5393769416423899E-2"/>
  </r>
  <r>
    <x v="0"/>
    <x v="0"/>
    <x v="0"/>
    <x v="0"/>
    <x v="0"/>
    <s v="DK1_Small"/>
    <x v="13"/>
    <x v="7"/>
    <x v="11"/>
    <s v="GNR_BO_WOODWST_E-89"/>
    <x v="7"/>
    <n v="0.14024871115003801"/>
  </r>
  <r>
    <x v="0"/>
    <x v="0"/>
    <x v="0"/>
    <x v="0"/>
    <x v="1"/>
    <s v="DK2_Large"/>
    <x v="1"/>
    <x v="1"/>
    <x v="1"/>
    <s v="GNR_ENG_BGAS_BP_E-42"/>
    <x v="7"/>
    <n v="0.1947911011332"/>
  </r>
  <r>
    <x v="0"/>
    <x v="0"/>
    <x v="0"/>
    <x v="0"/>
    <x v="1"/>
    <s v="DK2_Large"/>
    <x v="10"/>
    <x v="1"/>
    <x v="8"/>
    <s v="GNR_ST_COAL_EXT_E-42"/>
    <x v="7"/>
    <n v="39.414285055157897"/>
  </r>
  <r>
    <x v="0"/>
    <x v="0"/>
    <x v="0"/>
    <x v="0"/>
    <x v="1"/>
    <s v="DK2_Large"/>
    <x v="2"/>
    <x v="1"/>
    <x v="1"/>
    <s v="GNR_ST_MSW_BP_E-24_LS-220-MW-FEED_Y-2030"/>
    <x v="7"/>
    <n v="0.47165347010738201"/>
  </r>
  <r>
    <x v="0"/>
    <x v="0"/>
    <x v="0"/>
    <x v="0"/>
    <x v="1"/>
    <s v="DK2_Large"/>
    <x v="2"/>
    <x v="1"/>
    <x v="1"/>
    <s v="GNR_ST_MSW_BP_E-27"/>
    <x v="7"/>
    <n v="6.3037214394550595E-2"/>
  </r>
  <r>
    <x v="0"/>
    <x v="0"/>
    <x v="0"/>
    <x v="0"/>
    <x v="1"/>
    <s v="DK2_Large"/>
    <x v="3"/>
    <x v="1"/>
    <x v="1"/>
    <s v="GNR_GT_NGAS_BP_E-43_LS-40-MW_Y-2030"/>
    <x v="7"/>
    <n v="42.231763648509101"/>
  </r>
  <r>
    <x v="0"/>
    <x v="0"/>
    <x v="0"/>
    <x v="0"/>
    <x v="1"/>
    <s v="DK2_Large"/>
    <x v="4"/>
    <x v="1"/>
    <x v="8"/>
    <s v="GNR_ST_COAL_EXT_E-42-Straw"/>
    <x v="7"/>
    <n v="39.972768507574401"/>
  </r>
  <r>
    <x v="0"/>
    <x v="0"/>
    <x v="0"/>
    <x v="0"/>
    <x v="1"/>
    <s v="DK2_Large"/>
    <x v="12"/>
    <x v="7"/>
    <x v="11"/>
    <s v="GNR_EH_HEAT"/>
    <x v="7"/>
    <n v="0.48812467878237098"/>
  </r>
  <r>
    <x v="0"/>
    <x v="0"/>
    <x v="0"/>
    <x v="0"/>
    <x v="1"/>
    <s v="DK2_Large"/>
    <x v="12"/>
    <x v="7"/>
    <x v="11"/>
    <s v="GNR_GEO_HEAT_HO"/>
    <x v="7"/>
    <n v="3.9501419092215002E-2"/>
  </r>
  <r>
    <x v="0"/>
    <x v="0"/>
    <x v="0"/>
    <x v="0"/>
    <x v="1"/>
    <s v="DK2_Large"/>
    <x v="13"/>
    <x v="7"/>
    <x v="11"/>
    <s v="GNR_BO_WOODWST_E-90"/>
    <x v="7"/>
    <n v="3.7107424539376203E-2"/>
  </r>
  <r>
    <x v="0"/>
    <x v="0"/>
    <x v="0"/>
    <x v="0"/>
    <x v="1"/>
    <s v="DK2_Large_PHH"/>
    <x v="3"/>
    <x v="7"/>
    <x v="11"/>
    <s v="GNR_BO_NGAS_E-70_PHH"/>
    <x v="7"/>
    <n v="9.6534605484544294"/>
  </r>
  <r>
    <x v="0"/>
    <x v="0"/>
    <x v="0"/>
    <x v="0"/>
    <x v="1"/>
    <s v="DK2_Large_PHL"/>
    <x v="3"/>
    <x v="7"/>
    <x v="11"/>
    <s v="GNR_BO_NGAS_E-82_PHL"/>
    <x v="7"/>
    <n v="49.740991727421203"/>
  </r>
  <r>
    <x v="0"/>
    <x v="0"/>
    <x v="0"/>
    <x v="0"/>
    <x v="1"/>
    <s v="DK2_MedSmall"/>
    <x v="1"/>
    <x v="1"/>
    <x v="1"/>
    <s v="GNR_ENG_BGAS_BP_E-38"/>
    <x v="7"/>
    <n v="1.7664541152631601E-2"/>
  </r>
  <r>
    <x v="0"/>
    <x v="0"/>
    <x v="0"/>
    <x v="0"/>
    <x v="1"/>
    <s v="DK2_MedSmall"/>
    <x v="3"/>
    <x v="1"/>
    <x v="1"/>
    <s v="GNR_ENG_NGAS_BP_E-48_Y-2030"/>
    <x v="7"/>
    <n v="28.215153375869399"/>
  </r>
  <r>
    <x v="0"/>
    <x v="0"/>
    <x v="0"/>
    <x v="0"/>
    <x v="1"/>
    <s v="DK2_MedSmall"/>
    <x v="12"/>
    <x v="7"/>
    <x v="11"/>
    <s v="GNR_EH_HEAT"/>
    <x v="7"/>
    <n v="3.9501419092215002E-2"/>
  </r>
  <r>
    <x v="0"/>
    <x v="0"/>
    <x v="0"/>
    <x v="0"/>
    <x v="1"/>
    <s v="DK2_Medium"/>
    <x v="2"/>
    <x v="1"/>
    <x v="1"/>
    <s v="GNR_ST_MSW_BP_E-23"/>
    <x v="7"/>
    <n v="3.0515549774143599E-2"/>
  </r>
  <r>
    <x v="0"/>
    <x v="0"/>
    <x v="0"/>
    <x v="0"/>
    <x v="1"/>
    <s v="DK2_Medium"/>
    <x v="3"/>
    <x v="1"/>
    <x v="1"/>
    <s v="GNR_ENG_NGAS_BP_E-35"/>
    <x v="7"/>
    <n v="0.100661426071755"/>
  </r>
  <r>
    <x v="0"/>
    <x v="0"/>
    <x v="0"/>
    <x v="0"/>
    <x v="1"/>
    <s v="DK2_Medium"/>
    <x v="3"/>
    <x v="1"/>
    <x v="1"/>
    <s v="GNR_ENG_NGAS_BP_E-42"/>
    <x v="7"/>
    <n v="0.201784072881524"/>
  </r>
  <r>
    <x v="0"/>
    <x v="0"/>
    <x v="0"/>
    <x v="0"/>
    <x v="1"/>
    <s v="DK2_Medium"/>
    <x v="3"/>
    <x v="1"/>
    <x v="1"/>
    <s v="GNR_ENG_NGAS_BP_E-48_Y-2030"/>
    <x v="7"/>
    <n v="58.666798182775601"/>
  </r>
  <r>
    <x v="0"/>
    <x v="0"/>
    <x v="0"/>
    <x v="0"/>
    <x v="1"/>
    <s v="DK2_Medium"/>
    <x v="12"/>
    <x v="7"/>
    <x v="11"/>
    <s v="GNR_EH_HEAT"/>
    <x v="7"/>
    <n v="9.5932017795379299E-2"/>
  </r>
  <r>
    <x v="0"/>
    <x v="0"/>
    <x v="0"/>
    <x v="0"/>
    <x v="1"/>
    <s v="DK2_NoDH_PHH"/>
    <x v="3"/>
    <x v="7"/>
    <x v="11"/>
    <s v="GNR_BO_NGAS_E-70_PHH"/>
    <x v="7"/>
    <n v="0.11098150268055"/>
  </r>
  <r>
    <x v="0"/>
    <x v="0"/>
    <x v="0"/>
    <x v="0"/>
    <x v="1"/>
    <s v="DK2_NoDH_PHL"/>
    <x v="3"/>
    <x v="7"/>
    <x v="11"/>
    <s v="GNR_BO_NGAS_E-82_PHL"/>
    <x v="7"/>
    <n v="67.044394651419694"/>
  </r>
  <r>
    <x v="0"/>
    <x v="0"/>
    <x v="0"/>
    <x v="0"/>
    <x v="1"/>
    <s v="DK2_Rural"/>
    <x v="1"/>
    <x v="1"/>
    <x v="1"/>
    <s v="GNR_ENG_BGAS_BP_E-40"/>
    <x v="7"/>
    <n v="8.3011567056599997E-2"/>
  </r>
  <r>
    <x v="0"/>
    <x v="0"/>
    <x v="0"/>
    <x v="0"/>
    <x v="1"/>
    <s v="DK2_Rural"/>
    <x v="1"/>
    <x v="1"/>
    <x v="1"/>
    <s v="GNR_ENG_BGAS_BP_E-41"/>
    <x v="7"/>
    <n v="0.30561092335609702"/>
  </r>
  <r>
    <x v="0"/>
    <x v="0"/>
    <x v="0"/>
    <x v="0"/>
    <x v="1"/>
    <s v="DK2_Rural"/>
    <x v="1"/>
    <x v="1"/>
    <x v="1"/>
    <s v="GNR_ENG_BGAS_BP_E-42"/>
    <x v="7"/>
    <n v="0.85532493351759997"/>
  </r>
  <r>
    <x v="0"/>
    <x v="0"/>
    <x v="0"/>
    <x v="0"/>
    <x v="1"/>
    <s v="DK2_Rural"/>
    <x v="10"/>
    <x v="1"/>
    <x v="1"/>
    <s v="GNR_ST_COAL_BP_E-35"/>
    <x v="7"/>
    <n v="11.4020535555621"/>
  </r>
  <r>
    <x v="0"/>
    <x v="0"/>
    <x v="0"/>
    <x v="0"/>
    <x v="1"/>
    <s v="DK2_Rural"/>
    <x v="3"/>
    <x v="7"/>
    <x v="11"/>
    <s v="GNR_BO_NGAS_E-100"/>
    <x v="7"/>
    <n v="1.9673947105948601E-2"/>
  </r>
  <r>
    <x v="0"/>
    <x v="0"/>
    <x v="0"/>
    <x v="0"/>
    <x v="1"/>
    <s v="DK2_Rural"/>
    <x v="3"/>
    <x v="7"/>
    <x v="11"/>
    <s v="GNR_BO_NGAS_E-101"/>
    <x v="7"/>
    <n v="1.5583324440355401E-2"/>
  </r>
  <r>
    <x v="0"/>
    <x v="0"/>
    <x v="0"/>
    <x v="0"/>
    <x v="1"/>
    <s v="DK2_Rural"/>
    <x v="3"/>
    <x v="1"/>
    <x v="1"/>
    <s v="GNR_CC_NGAS_BP_E-53_SS-10-MW_Y-2030"/>
    <x v="7"/>
    <n v="17.3461979411233"/>
  </r>
  <r>
    <x v="0"/>
    <x v="0"/>
    <x v="0"/>
    <x v="0"/>
    <x v="1"/>
    <s v="DK2_Rural"/>
    <x v="3"/>
    <x v="1"/>
    <x v="1"/>
    <s v="GNR_ENG_NGAS_BP_E-36"/>
    <x v="7"/>
    <n v="3.3546602116553401E-2"/>
  </r>
  <r>
    <x v="0"/>
    <x v="0"/>
    <x v="0"/>
    <x v="0"/>
    <x v="1"/>
    <s v="DK2_Rural"/>
    <x v="3"/>
    <x v="1"/>
    <x v="1"/>
    <s v="GNR_ENG_NGAS_BP_E-38"/>
    <x v="7"/>
    <n v="5.5198564147459203E-2"/>
  </r>
  <r>
    <x v="0"/>
    <x v="0"/>
    <x v="0"/>
    <x v="0"/>
    <x v="1"/>
    <s v="DK2_Rural"/>
    <x v="3"/>
    <x v="1"/>
    <x v="1"/>
    <s v="GNR_ENG_NGAS_BP_E-40"/>
    <x v="7"/>
    <n v="1.54364815754366"/>
  </r>
  <r>
    <x v="0"/>
    <x v="0"/>
    <x v="0"/>
    <x v="0"/>
    <x v="1"/>
    <s v="DK2_Rural"/>
    <x v="3"/>
    <x v="1"/>
    <x v="1"/>
    <s v="GNR_ENG_NGAS_BP_E-45"/>
    <x v="7"/>
    <n v="0.15470112254250201"/>
  </r>
  <r>
    <x v="0"/>
    <x v="0"/>
    <x v="0"/>
    <x v="0"/>
    <x v="1"/>
    <s v="DK2_Rural"/>
    <x v="4"/>
    <x v="7"/>
    <x v="11"/>
    <s v="GNR_BO_STRW_E-100"/>
    <x v="7"/>
    <n v="6.9192627669405802"/>
  </r>
  <r>
    <x v="0"/>
    <x v="0"/>
    <x v="0"/>
    <x v="0"/>
    <x v="1"/>
    <s v="DK2_Rural"/>
    <x v="4"/>
    <x v="7"/>
    <x v="11"/>
    <s v="GNR_BO_STRW_E-102"/>
    <x v="7"/>
    <n v="7.4347306138449198"/>
  </r>
  <r>
    <x v="0"/>
    <x v="0"/>
    <x v="0"/>
    <x v="0"/>
    <x v="1"/>
    <s v="DK2_Rural"/>
    <x v="12"/>
    <x v="7"/>
    <x v="11"/>
    <s v="GNR_EH_HEAT"/>
    <x v="7"/>
    <n v="0.112861197406328"/>
  </r>
  <r>
    <x v="0"/>
    <x v="0"/>
    <x v="0"/>
    <x v="0"/>
    <x v="1"/>
    <s v="DK2_Small"/>
    <x v="3"/>
    <x v="7"/>
    <x v="11"/>
    <s v="GNR_BO_NGAS_E-104"/>
    <x v="7"/>
    <n v="2.8090807352160099E-2"/>
  </r>
  <r>
    <x v="0"/>
    <x v="0"/>
    <x v="0"/>
    <x v="0"/>
    <x v="1"/>
    <s v="DK2_Small"/>
    <x v="3"/>
    <x v="1"/>
    <x v="1"/>
    <s v="GNR_CC_NGAS_BP_E-53_SS-10-MW_Y-2030"/>
    <x v="7"/>
    <n v="5.6406545496516296"/>
  </r>
  <r>
    <x v="0"/>
    <x v="0"/>
    <x v="0"/>
    <x v="0"/>
    <x v="1"/>
    <s v="DK2_Small"/>
    <x v="4"/>
    <x v="7"/>
    <x v="11"/>
    <s v="GNR_BO_STRW_E-100"/>
    <x v="7"/>
    <n v="0.98982483419477996"/>
  </r>
  <r>
    <x v="0"/>
    <x v="0"/>
    <x v="0"/>
    <x v="0"/>
    <x v="1"/>
    <s v="DK2_Small"/>
    <x v="12"/>
    <x v="7"/>
    <x v="11"/>
    <s v="GNR_EH_HEAT"/>
    <x v="7"/>
    <n v="8.4645898054746399E-3"/>
  </r>
  <r>
    <x v="0"/>
    <x v="0"/>
    <x v="0"/>
    <x v="0"/>
    <x v="0"/>
    <s v="DK1_Large"/>
    <x v="1"/>
    <x v="1"/>
    <x v="1"/>
    <s v="GNR_ENG_BGAS_BP_E-36"/>
    <x v="8"/>
    <n v="8.1126359999999995E-3"/>
  </r>
  <r>
    <x v="0"/>
    <x v="0"/>
    <x v="0"/>
    <x v="0"/>
    <x v="0"/>
    <s v="DK1_Large"/>
    <x v="1"/>
    <x v="1"/>
    <x v="1"/>
    <s v="GNR_ENG_BGAS_BP_E-37"/>
    <x v="8"/>
    <n v="5.0077999999999998E-3"/>
  </r>
  <r>
    <x v="0"/>
    <x v="0"/>
    <x v="0"/>
    <x v="0"/>
    <x v="0"/>
    <s v="DK1_Large"/>
    <x v="1"/>
    <x v="1"/>
    <x v="1"/>
    <s v="GNR_ENG_BGAS_BP_E-39"/>
    <x v="8"/>
    <n v="3.3802649999999997E-2"/>
  </r>
  <r>
    <x v="0"/>
    <x v="0"/>
    <x v="0"/>
    <x v="0"/>
    <x v="0"/>
    <s v="DK1_Large"/>
    <x v="1"/>
    <x v="1"/>
    <x v="1"/>
    <s v="GNR_ENG_BGAS_BP_E-40"/>
    <x v="8"/>
    <n v="1.24493908E-2"/>
  </r>
  <r>
    <x v="0"/>
    <x v="0"/>
    <x v="0"/>
    <x v="0"/>
    <x v="0"/>
    <s v="DK1_Large"/>
    <x v="1"/>
    <x v="1"/>
    <x v="1"/>
    <s v="GNR_ENG_BGAS_BP_E-41"/>
    <x v="8"/>
    <n v="2.6811761199999999E-2"/>
  </r>
  <r>
    <x v="0"/>
    <x v="0"/>
    <x v="0"/>
    <x v="0"/>
    <x v="0"/>
    <s v="DK1_Large"/>
    <x v="1"/>
    <x v="1"/>
    <x v="1"/>
    <s v="GNR_ENG_BGAS_BP_E-42"/>
    <x v="8"/>
    <n v="2.4788609999999999E-2"/>
  </r>
  <r>
    <x v="0"/>
    <x v="0"/>
    <x v="0"/>
    <x v="0"/>
    <x v="0"/>
    <s v="DK1_Large"/>
    <x v="1"/>
    <x v="1"/>
    <x v="1"/>
    <s v="GNR_ENG_BGAS_BP_E-43"/>
    <x v="8"/>
    <n v="3.0517533199999999E-2"/>
  </r>
  <r>
    <x v="0"/>
    <x v="0"/>
    <x v="0"/>
    <x v="0"/>
    <x v="0"/>
    <s v="DK1_Large"/>
    <x v="14"/>
    <x v="7"/>
    <x v="11"/>
    <s v="GNR_BO_BIOIL_E-94"/>
    <x v="8"/>
    <n v="0.20031199999999999"/>
  </r>
  <r>
    <x v="0"/>
    <x v="0"/>
    <x v="0"/>
    <x v="0"/>
    <x v="0"/>
    <s v="DK1_Large"/>
    <x v="6"/>
    <x v="2"/>
    <x v="2"/>
    <s v="GNR_BO_ELEC_E-100"/>
    <x v="8"/>
    <n v="9.1387342199999999E-2"/>
  </r>
  <r>
    <x v="0"/>
    <x v="0"/>
    <x v="0"/>
    <x v="0"/>
    <x v="0"/>
    <s v="DK1_Large"/>
    <x v="15"/>
    <x v="7"/>
    <x v="11"/>
    <s v="GNR_BO_LIGHTOIL_E-100"/>
    <x v="8"/>
    <n v="0.144625264"/>
  </r>
  <r>
    <x v="0"/>
    <x v="0"/>
    <x v="0"/>
    <x v="0"/>
    <x v="0"/>
    <s v="DK1_Large"/>
    <x v="15"/>
    <x v="7"/>
    <x v="11"/>
    <s v="GNR_BO_LIGHTOIL_E-88"/>
    <x v="8"/>
    <n v="4.6071760000000002E-4"/>
  </r>
  <r>
    <x v="0"/>
    <x v="0"/>
    <x v="0"/>
    <x v="0"/>
    <x v="0"/>
    <s v="DK1_Large"/>
    <x v="15"/>
    <x v="7"/>
    <x v="11"/>
    <s v="GNR_BO_LIGHTOIL_E-89"/>
    <x v="8"/>
    <n v="1.00156E-2"/>
  </r>
  <r>
    <x v="0"/>
    <x v="0"/>
    <x v="0"/>
    <x v="0"/>
    <x v="0"/>
    <s v="DK1_Large"/>
    <x v="15"/>
    <x v="7"/>
    <x v="11"/>
    <s v="GNR_BO_LIGHTOIL_E-90"/>
    <x v="8"/>
    <n v="0.31328796799999997"/>
  </r>
  <r>
    <x v="0"/>
    <x v="0"/>
    <x v="0"/>
    <x v="0"/>
    <x v="0"/>
    <s v="DK1_Large"/>
    <x v="15"/>
    <x v="7"/>
    <x v="11"/>
    <s v="GNR_BO_LIGHTOIL_E-92"/>
    <x v="8"/>
    <n v="2.17939456E-2"/>
  </r>
  <r>
    <x v="0"/>
    <x v="0"/>
    <x v="0"/>
    <x v="0"/>
    <x v="0"/>
    <s v="DK1_Large"/>
    <x v="15"/>
    <x v="7"/>
    <x v="11"/>
    <s v="GNR_BO_LIGHTOIL_E-94"/>
    <x v="8"/>
    <n v="3.0046799999999999E-2"/>
  </r>
  <r>
    <x v="0"/>
    <x v="0"/>
    <x v="0"/>
    <x v="0"/>
    <x v="0"/>
    <s v="DK1_Large"/>
    <x v="15"/>
    <x v="1"/>
    <x v="1"/>
    <s v="GNR_ENG_LIGHTOIL_BP_E-37"/>
    <x v="8"/>
    <n v="0.32049919999999998"/>
  </r>
  <r>
    <x v="0"/>
    <x v="0"/>
    <x v="0"/>
    <x v="0"/>
    <x v="0"/>
    <s v="DK1_Large"/>
    <x v="2"/>
    <x v="7"/>
    <x v="11"/>
    <s v="GNR_BO_MSW_E-105"/>
    <x v="8"/>
    <n v="2.3715002824098899"/>
  </r>
  <r>
    <x v="0"/>
    <x v="0"/>
    <x v="0"/>
    <x v="0"/>
    <x v="0"/>
    <s v="DK1_Large"/>
    <x v="2"/>
    <x v="1"/>
    <x v="1"/>
    <s v="GNR_ST_MSW_BP_E-24_LS-220-MW-FEED_Y-2030"/>
    <x v="8"/>
    <n v="32.293840240895598"/>
  </r>
  <r>
    <x v="0"/>
    <x v="0"/>
    <x v="0"/>
    <x v="0"/>
    <x v="0"/>
    <s v="DK1_Large"/>
    <x v="2"/>
    <x v="1"/>
    <x v="1"/>
    <s v="GNR_ST_MSW_BP_E-27"/>
    <x v="8"/>
    <n v="3.5855847999999999"/>
  </r>
  <r>
    <x v="0"/>
    <x v="0"/>
    <x v="0"/>
    <x v="0"/>
    <x v="0"/>
    <s v="DK1_Large"/>
    <x v="3"/>
    <x v="7"/>
    <x v="11"/>
    <s v="GNR_BO_NGAS_E-100"/>
    <x v="8"/>
    <n v="0.17607424799999999"/>
  </r>
  <r>
    <x v="0"/>
    <x v="0"/>
    <x v="0"/>
    <x v="0"/>
    <x v="0"/>
    <s v="DK1_Large"/>
    <x v="3"/>
    <x v="7"/>
    <x v="11"/>
    <s v="GNR_BO_NGAS_E-101"/>
    <x v="8"/>
    <n v="3.76185936E-2"/>
  </r>
  <r>
    <x v="0"/>
    <x v="0"/>
    <x v="0"/>
    <x v="0"/>
    <x v="0"/>
    <s v="DK1_Large"/>
    <x v="3"/>
    <x v="7"/>
    <x v="11"/>
    <s v="GNR_BO_NGAS_E-98"/>
    <x v="8"/>
    <n v="1.0456286400000001E-2"/>
  </r>
  <r>
    <x v="0"/>
    <x v="0"/>
    <x v="0"/>
    <x v="0"/>
    <x v="0"/>
    <s v="DK1_Large"/>
    <x v="3"/>
    <x v="1"/>
    <x v="1"/>
    <s v="GNR_ENG_NGAS_BP_E-39"/>
    <x v="8"/>
    <n v="3.7057720000000002E-2"/>
  </r>
  <r>
    <x v="0"/>
    <x v="0"/>
    <x v="0"/>
    <x v="0"/>
    <x v="0"/>
    <s v="DK1_Large"/>
    <x v="3"/>
    <x v="1"/>
    <x v="1"/>
    <s v="GNR_ENG_NGAS_BP_E-42"/>
    <x v="8"/>
    <n v="2.2635255999999999E-2"/>
  </r>
  <r>
    <x v="0"/>
    <x v="0"/>
    <x v="0"/>
    <x v="0"/>
    <x v="0"/>
    <s v="DK1_Large"/>
    <x v="3"/>
    <x v="1"/>
    <x v="1"/>
    <s v="GNR_ENG_NGAS_BP_E-43"/>
    <x v="8"/>
    <n v="3.0447424000000001E-2"/>
  </r>
  <r>
    <x v="0"/>
    <x v="0"/>
    <x v="0"/>
    <x v="0"/>
    <x v="0"/>
    <s v="DK1_Large"/>
    <x v="3"/>
    <x v="1"/>
    <x v="1"/>
    <s v="GNR_ENG_NGAS_BP_E-46"/>
    <x v="8"/>
    <n v="7.3113880000000003E-3"/>
  </r>
  <r>
    <x v="0"/>
    <x v="0"/>
    <x v="0"/>
    <x v="0"/>
    <x v="0"/>
    <s v="DK1_Large"/>
    <x v="3"/>
    <x v="1"/>
    <x v="1"/>
    <s v="GNR_GT_NGAS_BP_E-43_LS-40-MW_Y-2030"/>
    <x v="8"/>
    <n v="1.6037359794650301"/>
  </r>
  <r>
    <x v="0"/>
    <x v="0"/>
    <x v="0"/>
    <x v="0"/>
    <x v="0"/>
    <s v="DK1_Large"/>
    <x v="4"/>
    <x v="7"/>
    <x v="11"/>
    <s v="GNR_BO_STRW_E-100"/>
    <x v="8"/>
    <n v="0.21536917200819999"/>
  </r>
  <r>
    <x v="0"/>
    <x v="0"/>
    <x v="0"/>
    <x v="0"/>
    <x v="0"/>
    <s v="DK1_Large"/>
    <x v="4"/>
    <x v="7"/>
    <x v="11"/>
    <s v="GNR_BO_STRW_E-102"/>
    <x v="8"/>
    <n v="0.26346131721391403"/>
  </r>
  <r>
    <x v="0"/>
    <x v="0"/>
    <x v="0"/>
    <x v="0"/>
    <x v="0"/>
    <s v="DK1_Large"/>
    <x v="4"/>
    <x v="1"/>
    <x v="1"/>
    <s v="GNR_ST_STRW_BP_E-26"/>
    <x v="8"/>
    <n v="1.1798376800000001"/>
  </r>
  <r>
    <x v="0"/>
    <x v="0"/>
    <x v="0"/>
    <x v="0"/>
    <x v="0"/>
    <s v="DK1_Large"/>
    <x v="5"/>
    <x v="7"/>
    <x v="11"/>
    <s v="GNR_BO_WOODCHI_E-100"/>
    <x v="8"/>
    <n v="0.799076990965502"/>
  </r>
  <r>
    <x v="0"/>
    <x v="0"/>
    <x v="0"/>
    <x v="0"/>
    <x v="0"/>
    <s v="DK1_Large"/>
    <x v="5"/>
    <x v="1"/>
    <x v="1"/>
    <s v="GNR_ST_WOODCHI_BP_E-23"/>
    <x v="8"/>
    <n v="0.45070199999999999"/>
  </r>
  <r>
    <x v="0"/>
    <x v="0"/>
    <x v="0"/>
    <x v="0"/>
    <x v="0"/>
    <s v="DK1_Large"/>
    <x v="16"/>
    <x v="7"/>
    <x v="11"/>
    <s v="GNR_BO_WOODPEL_E-100"/>
    <x v="8"/>
    <n v="0.45334426653649901"/>
  </r>
  <r>
    <x v="0"/>
    <x v="0"/>
    <x v="0"/>
    <x v="0"/>
    <x v="0"/>
    <s v="DK1_Large"/>
    <x v="16"/>
    <x v="7"/>
    <x v="11"/>
    <s v="GNR_BO_WOODPEL_E-102"/>
    <x v="8"/>
    <n v="3.1387786743814802E-2"/>
  </r>
  <r>
    <x v="0"/>
    <x v="0"/>
    <x v="0"/>
    <x v="0"/>
    <x v="0"/>
    <s v="DK1_Large_PHH"/>
    <x v="6"/>
    <x v="2"/>
    <x v="2"/>
    <s v="GNR_BO_ELEC_E-99_LS-10-MW-FEED_PHH_Y-2030"/>
    <x v="8"/>
    <n v="8.9818069074253201E-2"/>
  </r>
  <r>
    <x v="0"/>
    <x v="0"/>
    <x v="0"/>
    <x v="0"/>
    <x v="0"/>
    <s v="DK1_Large_PHH"/>
    <x v="3"/>
    <x v="7"/>
    <x v="11"/>
    <s v="GNR_BO_NGAS_E-70_PHH"/>
    <x v="8"/>
    <n v="0.38919536132195898"/>
  </r>
  <r>
    <x v="0"/>
    <x v="0"/>
    <x v="0"/>
    <x v="0"/>
    <x v="0"/>
    <s v="DK1_Large_PHL"/>
    <x v="3"/>
    <x v="7"/>
    <x v="11"/>
    <s v="GNR_BO_NGAS_E-82_PHL"/>
    <x v="8"/>
    <n v="0.90313971090226797"/>
  </r>
  <r>
    <x v="0"/>
    <x v="0"/>
    <x v="0"/>
    <x v="0"/>
    <x v="0"/>
    <s v="DK1_MedSmall"/>
    <x v="6"/>
    <x v="2"/>
    <x v="2"/>
    <s v="GNR_BO_ELEC_E-100"/>
    <x v="8"/>
    <n v="1.101716E-3"/>
  </r>
  <r>
    <x v="0"/>
    <x v="0"/>
    <x v="0"/>
    <x v="0"/>
    <x v="0"/>
    <s v="DK1_MedSmall"/>
    <x v="6"/>
    <x v="2"/>
    <x v="2"/>
    <s v="GNR_HP_ELEC_GROUND-WTR_COP-380_LS-4-MW_Y-2030"/>
    <x v="8"/>
    <n v="0.37804684493207502"/>
  </r>
  <r>
    <x v="0"/>
    <x v="0"/>
    <x v="0"/>
    <x v="0"/>
    <x v="0"/>
    <s v="DK1_MedSmall"/>
    <x v="15"/>
    <x v="7"/>
    <x v="11"/>
    <s v="GNR_BO_LIGHTOIL_E-100"/>
    <x v="8"/>
    <n v="7.5918247999999994E-2"/>
  </r>
  <r>
    <x v="0"/>
    <x v="0"/>
    <x v="0"/>
    <x v="0"/>
    <x v="0"/>
    <s v="DK1_MedSmall"/>
    <x v="15"/>
    <x v="7"/>
    <x v="11"/>
    <s v="GNR_BO_LIGHTOIL_E-115"/>
    <x v="8"/>
    <n v="6.0093599999999997E-2"/>
  </r>
  <r>
    <x v="0"/>
    <x v="0"/>
    <x v="0"/>
    <x v="0"/>
    <x v="0"/>
    <s v="DK1_MedSmall"/>
    <x v="3"/>
    <x v="7"/>
    <x v="11"/>
    <s v="GNR_BO_NGAS_E-100"/>
    <x v="8"/>
    <n v="6.0093599999999997E-2"/>
  </r>
  <r>
    <x v="0"/>
    <x v="0"/>
    <x v="0"/>
    <x v="0"/>
    <x v="0"/>
    <s v="DK1_MedSmall"/>
    <x v="3"/>
    <x v="7"/>
    <x v="11"/>
    <s v="GNR_BO_NGAS_E-101"/>
    <x v="8"/>
    <n v="6.6102960000000002E-2"/>
  </r>
  <r>
    <x v="0"/>
    <x v="0"/>
    <x v="0"/>
    <x v="0"/>
    <x v="0"/>
    <s v="DK1_MedSmall"/>
    <x v="3"/>
    <x v="7"/>
    <x v="11"/>
    <s v="GNR_BO_NGAS_E-102"/>
    <x v="8"/>
    <n v="1.0215912000000001E-2"/>
  </r>
  <r>
    <x v="0"/>
    <x v="0"/>
    <x v="0"/>
    <x v="0"/>
    <x v="0"/>
    <s v="DK1_MedSmall"/>
    <x v="3"/>
    <x v="7"/>
    <x v="11"/>
    <s v="GNR_BO_NGAS_E-97"/>
    <x v="8"/>
    <n v="1.8028079999999998E-2"/>
  </r>
  <r>
    <x v="0"/>
    <x v="0"/>
    <x v="0"/>
    <x v="0"/>
    <x v="0"/>
    <s v="DK1_MedSmall"/>
    <x v="3"/>
    <x v="1"/>
    <x v="1"/>
    <s v="GNR_ENG_NGAS_BP_E-41"/>
    <x v="8"/>
    <n v="3.0247112E-2"/>
  </r>
  <r>
    <x v="0"/>
    <x v="0"/>
    <x v="0"/>
    <x v="0"/>
    <x v="0"/>
    <s v="DK1_MedSmall"/>
    <x v="4"/>
    <x v="7"/>
    <x v="11"/>
    <s v="GNR_BO_STRW_E-102"/>
    <x v="8"/>
    <n v="0.44872062439766602"/>
  </r>
  <r>
    <x v="0"/>
    <x v="0"/>
    <x v="0"/>
    <x v="0"/>
    <x v="0"/>
    <s v="DK1_MedSmall"/>
    <x v="5"/>
    <x v="7"/>
    <x v="11"/>
    <s v="GNR_BO_WOODCHI_E-110"/>
    <x v="8"/>
    <n v="0.67921544232067699"/>
  </r>
  <r>
    <x v="0"/>
    <x v="0"/>
    <x v="0"/>
    <x v="0"/>
    <x v="0"/>
    <s v="DK1_Medium"/>
    <x v="1"/>
    <x v="7"/>
    <x v="11"/>
    <s v="GNR_BO_BGAS_E-100"/>
    <x v="8"/>
    <n v="1.0015600000000001E-3"/>
  </r>
  <r>
    <x v="0"/>
    <x v="0"/>
    <x v="0"/>
    <x v="0"/>
    <x v="0"/>
    <s v="DK1_Medium"/>
    <x v="1"/>
    <x v="1"/>
    <x v="1"/>
    <s v="GNR_ENG_BGAS_BP_E-39"/>
    <x v="8"/>
    <n v="6.309828E-3"/>
  </r>
  <r>
    <x v="0"/>
    <x v="0"/>
    <x v="0"/>
    <x v="0"/>
    <x v="0"/>
    <s v="DK1_Medium"/>
    <x v="1"/>
    <x v="1"/>
    <x v="1"/>
    <s v="GNR_ENG_BGAS_BP_E-41"/>
    <x v="8"/>
    <n v="3.32217452E-2"/>
  </r>
  <r>
    <x v="0"/>
    <x v="0"/>
    <x v="0"/>
    <x v="0"/>
    <x v="0"/>
    <s v="DK1_Medium"/>
    <x v="1"/>
    <x v="1"/>
    <x v="1"/>
    <s v="GNR_ENG_BGAS_BP_E-42"/>
    <x v="8"/>
    <n v="3.3051479999999999E-3"/>
  </r>
  <r>
    <x v="0"/>
    <x v="0"/>
    <x v="0"/>
    <x v="0"/>
    <x v="0"/>
    <s v="DK1_Medium"/>
    <x v="14"/>
    <x v="7"/>
    <x v="11"/>
    <s v="GNR_BO_BIOIL_E-93"/>
    <x v="8"/>
    <n v="1.00156E-2"/>
  </r>
  <r>
    <x v="0"/>
    <x v="0"/>
    <x v="0"/>
    <x v="0"/>
    <x v="0"/>
    <s v="DK1_Medium"/>
    <x v="6"/>
    <x v="2"/>
    <x v="2"/>
    <s v="GNR_BO_ELEC_E-100"/>
    <x v="8"/>
    <n v="3.3051480000000001E-2"/>
  </r>
  <r>
    <x v="0"/>
    <x v="0"/>
    <x v="0"/>
    <x v="0"/>
    <x v="0"/>
    <s v="DK1_Medium"/>
    <x v="15"/>
    <x v="7"/>
    <x v="11"/>
    <s v="GNR_BO_LIGHTOIL_E-100"/>
    <x v="8"/>
    <n v="1.201872E-2"/>
  </r>
  <r>
    <x v="0"/>
    <x v="0"/>
    <x v="0"/>
    <x v="0"/>
    <x v="0"/>
    <s v="DK1_Medium"/>
    <x v="15"/>
    <x v="7"/>
    <x v="11"/>
    <s v="GNR_BO_LIGHTOIL_E-92"/>
    <x v="8"/>
    <n v="4.4068639999999999E-3"/>
  </r>
  <r>
    <x v="0"/>
    <x v="0"/>
    <x v="0"/>
    <x v="0"/>
    <x v="0"/>
    <s v="DK1_Medium"/>
    <x v="15"/>
    <x v="4"/>
    <x v="4"/>
    <s v="GNR_ENG_LIGHTOIL_CND_E-39"/>
    <x v="8"/>
    <n v="7.0109200000000003E-3"/>
  </r>
  <r>
    <x v="0"/>
    <x v="0"/>
    <x v="0"/>
    <x v="0"/>
    <x v="0"/>
    <s v="DK1_Medium"/>
    <x v="3"/>
    <x v="7"/>
    <x v="11"/>
    <s v="GNR_BO_NGAS_E-100"/>
    <x v="8"/>
    <n v="0.34012977599999999"/>
  </r>
  <r>
    <x v="0"/>
    <x v="0"/>
    <x v="0"/>
    <x v="0"/>
    <x v="0"/>
    <s v="DK1_Medium"/>
    <x v="3"/>
    <x v="7"/>
    <x v="11"/>
    <s v="GNR_BO_NGAS_E-101"/>
    <x v="8"/>
    <n v="7.7320431999999994E-2"/>
  </r>
  <r>
    <x v="0"/>
    <x v="0"/>
    <x v="0"/>
    <x v="0"/>
    <x v="0"/>
    <s v="DK1_Medium"/>
    <x v="3"/>
    <x v="7"/>
    <x v="11"/>
    <s v="GNR_BO_NGAS_E-103"/>
    <x v="8"/>
    <n v="5.6347765599999997E-3"/>
  </r>
  <r>
    <x v="0"/>
    <x v="0"/>
    <x v="0"/>
    <x v="0"/>
    <x v="0"/>
    <s v="DK1_Medium"/>
    <x v="3"/>
    <x v="1"/>
    <x v="1"/>
    <s v="GNR_ENG_NGAS_BP_E-41"/>
    <x v="8"/>
    <n v="4.3067080000000001E-2"/>
  </r>
  <r>
    <x v="0"/>
    <x v="0"/>
    <x v="0"/>
    <x v="0"/>
    <x v="0"/>
    <s v="DK1_Medium"/>
    <x v="3"/>
    <x v="1"/>
    <x v="1"/>
    <s v="GNR_ENG_NGAS_BP_E-42"/>
    <x v="8"/>
    <n v="6.2096720000000001E-2"/>
  </r>
  <r>
    <x v="0"/>
    <x v="0"/>
    <x v="0"/>
    <x v="0"/>
    <x v="0"/>
    <s v="DK1_Medium"/>
    <x v="3"/>
    <x v="1"/>
    <x v="1"/>
    <s v="GNR_ENG_NGAS_BP_E-43"/>
    <x v="8"/>
    <n v="1.4222152E-2"/>
  </r>
  <r>
    <x v="0"/>
    <x v="0"/>
    <x v="0"/>
    <x v="0"/>
    <x v="0"/>
    <s v="DK1_Medium"/>
    <x v="3"/>
    <x v="1"/>
    <x v="1"/>
    <s v="GNR_ENG_NGAS_BP_E-44"/>
    <x v="8"/>
    <n v="4.6873008000000001E-2"/>
  </r>
  <r>
    <x v="0"/>
    <x v="0"/>
    <x v="0"/>
    <x v="0"/>
    <x v="0"/>
    <s v="DK1_Medium"/>
    <x v="3"/>
    <x v="1"/>
    <x v="1"/>
    <s v="GNR_ENG_NGAS_BP_E-48_Y-2030"/>
    <x v="8"/>
    <n v="7.0448150886478098"/>
  </r>
  <r>
    <x v="0"/>
    <x v="0"/>
    <x v="0"/>
    <x v="0"/>
    <x v="0"/>
    <s v="DK1_Medium"/>
    <x v="4"/>
    <x v="7"/>
    <x v="11"/>
    <s v="GNR_BO_STRW_E-102"/>
    <x v="8"/>
    <n v="0.10120260121550299"/>
  </r>
  <r>
    <x v="0"/>
    <x v="0"/>
    <x v="0"/>
    <x v="0"/>
    <x v="0"/>
    <s v="DK1_Medium"/>
    <x v="5"/>
    <x v="7"/>
    <x v="11"/>
    <s v="GNR_BO_WOODCHI_E-100"/>
    <x v="8"/>
    <n v="2.23541788222599"/>
  </r>
  <r>
    <x v="0"/>
    <x v="0"/>
    <x v="0"/>
    <x v="0"/>
    <x v="0"/>
    <s v="DK1_Medium"/>
    <x v="16"/>
    <x v="7"/>
    <x v="11"/>
    <s v="GNR_BO_WOODPEL_E-100"/>
    <x v="8"/>
    <n v="0.23715216650882301"/>
  </r>
  <r>
    <x v="0"/>
    <x v="0"/>
    <x v="0"/>
    <x v="0"/>
    <x v="0"/>
    <s v="DK1_Medium"/>
    <x v="16"/>
    <x v="7"/>
    <x v="11"/>
    <s v="GNR_BO_WOODPEL_E-102"/>
    <x v="8"/>
    <n v="5.58005097667819E-2"/>
  </r>
  <r>
    <x v="0"/>
    <x v="0"/>
    <x v="0"/>
    <x v="0"/>
    <x v="0"/>
    <s v="DK1_NoDH"/>
    <x v="1"/>
    <x v="7"/>
    <x v="11"/>
    <s v="GNR_BO_BGAS_E-95"/>
    <x v="8"/>
    <n v="8.8137280000000001E-4"/>
  </r>
  <r>
    <x v="0"/>
    <x v="0"/>
    <x v="0"/>
    <x v="0"/>
    <x v="0"/>
    <s v="DK1_NoDH"/>
    <x v="1"/>
    <x v="1"/>
    <x v="1"/>
    <s v="GNR_ENG_BGAS_BP_E-33"/>
    <x v="8"/>
    <n v="1.302028E-3"/>
  </r>
  <r>
    <x v="0"/>
    <x v="0"/>
    <x v="0"/>
    <x v="0"/>
    <x v="0"/>
    <s v="DK1_NoDH"/>
    <x v="1"/>
    <x v="1"/>
    <x v="1"/>
    <s v="GNR_ENG_BGAS_BP_E-34"/>
    <x v="8"/>
    <n v="3.00468E-3"/>
  </r>
  <r>
    <x v="0"/>
    <x v="0"/>
    <x v="0"/>
    <x v="0"/>
    <x v="0"/>
    <s v="DK1_NoDH"/>
    <x v="1"/>
    <x v="1"/>
    <x v="1"/>
    <s v="GNR_ENG_BGAS_BP_E-35"/>
    <x v="8"/>
    <n v="1.4021840000000001E-2"/>
  </r>
  <r>
    <x v="0"/>
    <x v="0"/>
    <x v="0"/>
    <x v="0"/>
    <x v="0"/>
    <s v="DK1_NoDH"/>
    <x v="1"/>
    <x v="1"/>
    <x v="1"/>
    <s v="GNR_ENG_BGAS_BP_E-37"/>
    <x v="8"/>
    <n v="1.65357556E-2"/>
  </r>
  <r>
    <x v="0"/>
    <x v="0"/>
    <x v="0"/>
    <x v="0"/>
    <x v="0"/>
    <s v="DK1_NoDH"/>
    <x v="1"/>
    <x v="1"/>
    <x v="1"/>
    <s v="GNR_ENG_BGAS_BP_E-38"/>
    <x v="8"/>
    <n v="1.902964E-3"/>
  </r>
  <r>
    <x v="0"/>
    <x v="0"/>
    <x v="0"/>
    <x v="0"/>
    <x v="0"/>
    <s v="DK1_NoDH"/>
    <x v="1"/>
    <x v="1"/>
    <x v="1"/>
    <s v="GNR_ENG_BGAS_BP_E-39"/>
    <x v="8"/>
    <n v="1.1618096E-2"/>
  </r>
  <r>
    <x v="0"/>
    <x v="0"/>
    <x v="0"/>
    <x v="0"/>
    <x v="0"/>
    <s v="DK1_NoDH"/>
    <x v="1"/>
    <x v="1"/>
    <x v="1"/>
    <s v="GNR_ENG_BGAS_BP_E-40"/>
    <x v="8"/>
    <n v="2.6040560000000001E-2"/>
  </r>
  <r>
    <x v="0"/>
    <x v="0"/>
    <x v="0"/>
    <x v="0"/>
    <x v="0"/>
    <s v="DK1_NoDH"/>
    <x v="1"/>
    <x v="1"/>
    <x v="1"/>
    <s v="GNR_ENG_BGAS_BP_E-42"/>
    <x v="8"/>
    <n v="5.9092040000000004E-3"/>
  </r>
  <r>
    <x v="0"/>
    <x v="0"/>
    <x v="0"/>
    <x v="0"/>
    <x v="0"/>
    <s v="DK1_NoDH"/>
    <x v="1"/>
    <x v="1"/>
    <x v="1"/>
    <s v="GNR_ENG_BGAS_BP_E-43"/>
    <x v="8"/>
    <n v="6.0093599999999997E-2"/>
  </r>
  <r>
    <x v="0"/>
    <x v="0"/>
    <x v="0"/>
    <x v="0"/>
    <x v="0"/>
    <s v="DK1_NoDH"/>
    <x v="1"/>
    <x v="4"/>
    <x v="4"/>
    <s v="GNR_ENG_BGAS_CND_E-36"/>
    <x v="8"/>
    <n v="1.4021840000000001E-2"/>
  </r>
  <r>
    <x v="0"/>
    <x v="0"/>
    <x v="0"/>
    <x v="0"/>
    <x v="0"/>
    <s v="DK1_NoDH"/>
    <x v="6"/>
    <x v="3"/>
    <x v="3"/>
    <s v="GNR_ES_ELEC_BAT-LITHIO_E-97_Y-30-50"/>
    <x v="8"/>
    <n v="42.834197727618502"/>
  </r>
  <r>
    <x v="0"/>
    <x v="0"/>
    <x v="0"/>
    <x v="0"/>
    <x v="0"/>
    <s v="DK1_NoDH"/>
    <x v="15"/>
    <x v="4"/>
    <x v="4"/>
    <s v="GNR_ENG_LIGHTOIL_CND_E-34"/>
    <x v="8"/>
    <n v="5.0077999999999998E-3"/>
  </r>
  <r>
    <x v="0"/>
    <x v="0"/>
    <x v="0"/>
    <x v="0"/>
    <x v="0"/>
    <s v="DK1_NoDH"/>
    <x v="15"/>
    <x v="4"/>
    <x v="4"/>
    <s v="GNR_ENG_LIGHTOIL_CND_E-36"/>
    <x v="8"/>
    <n v="7.2112319999999997E-3"/>
  </r>
  <r>
    <x v="0"/>
    <x v="0"/>
    <x v="0"/>
    <x v="0"/>
    <x v="0"/>
    <s v="DK1_NoDH"/>
    <x v="15"/>
    <x v="4"/>
    <x v="4"/>
    <s v="GNR_ENG_LIGHTOIL_CND_E-41"/>
    <x v="8"/>
    <n v="0.40863648000000002"/>
  </r>
  <r>
    <x v="0"/>
    <x v="0"/>
    <x v="0"/>
    <x v="0"/>
    <x v="0"/>
    <s v="DK1_NoDH"/>
    <x v="15"/>
    <x v="4"/>
    <x v="4"/>
    <s v="GNR_ENG_LIGHTOIL_CND_E-43"/>
    <x v="8"/>
    <n v="2.0031199999999999E-4"/>
  </r>
  <r>
    <x v="0"/>
    <x v="0"/>
    <x v="0"/>
    <x v="0"/>
    <x v="0"/>
    <s v="DK1_NoDH"/>
    <x v="3"/>
    <x v="7"/>
    <x v="11"/>
    <s v="GNR_BO_NGAS_E-100"/>
    <x v="8"/>
    <n v="2.0031199999999999E-2"/>
  </r>
  <r>
    <x v="0"/>
    <x v="0"/>
    <x v="0"/>
    <x v="0"/>
    <x v="0"/>
    <s v="DK1_NoDH"/>
    <x v="3"/>
    <x v="1"/>
    <x v="1"/>
    <s v="GNR_ENG_NGAS_BP_E-33"/>
    <x v="8"/>
    <n v="1.5023400000000001E-4"/>
  </r>
  <r>
    <x v="0"/>
    <x v="0"/>
    <x v="0"/>
    <x v="0"/>
    <x v="0"/>
    <s v="DK1_NoDH"/>
    <x v="3"/>
    <x v="1"/>
    <x v="1"/>
    <s v="GNR_ENG_NGAS_BP_E-38"/>
    <x v="8"/>
    <n v="1.00156E-2"/>
  </r>
  <r>
    <x v="0"/>
    <x v="0"/>
    <x v="0"/>
    <x v="0"/>
    <x v="0"/>
    <s v="DK1_NoDH"/>
    <x v="3"/>
    <x v="1"/>
    <x v="1"/>
    <s v="GNR_ENG_NGAS_BP_E-39"/>
    <x v="8"/>
    <n v="1.00156E-2"/>
  </r>
  <r>
    <x v="0"/>
    <x v="0"/>
    <x v="0"/>
    <x v="0"/>
    <x v="0"/>
    <s v="DK1_NoDH"/>
    <x v="3"/>
    <x v="1"/>
    <x v="1"/>
    <s v="GNR_ENG_NGAS_BP_E-40"/>
    <x v="8"/>
    <n v="8.0124800000000006E-3"/>
  </r>
  <r>
    <x v="0"/>
    <x v="0"/>
    <x v="0"/>
    <x v="0"/>
    <x v="0"/>
    <s v="DK1_NoDH"/>
    <x v="3"/>
    <x v="1"/>
    <x v="1"/>
    <s v="GNR_ENG_NGAS_BP_E-41"/>
    <x v="8"/>
    <n v="2.8744771999999998E-2"/>
  </r>
  <r>
    <x v="0"/>
    <x v="0"/>
    <x v="0"/>
    <x v="0"/>
    <x v="0"/>
    <s v="DK1_NoDH"/>
    <x v="3"/>
    <x v="1"/>
    <x v="1"/>
    <s v="GNR_ENG_NGAS_BP_E-42"/>
    <x v="8"/>
    <n v="9.1141959999999998E-3"/>
  </r>
  <r>
    <x v="0"/>
    <x v="0"/>
    <x v="0"/>
    <x v="0"/>
    <x v="0"/>
    <s v="DK1_NoDH"/>
    <x v="3"/>
    <x v="1"/>
    <x v="1"/>
    <s v="GNR_ENG_NGAS_BP_E-43"/>
    <x v="8"/>
    <n v="9.1552599600000006E-2"/>
  </r>
  <r>
    <x v="0"/>
    <x v="0"/>
    <x v="0"/>
    <x v="0"/>
    <x v="0"/>
    <s v="DK1_NoDH"/>
    <x v="3"/>
    <x v="1"/>
    <x v="1"/>
    <s v="GNR_ENG_NGAS_BP_E-46"/>
    <x v="8"/>
    <n v="1.5023400000000001E-4"/>
  </r>
  <r>
    <x v="0"/>
    <x v="0"/>
    <x v="0"/>
    <x v="0"/>
    <x v="0"/>
    <s v="DK1_NoDH"/>
    <x v="3"/>
    <x v="4"/>
    <x v="4"/>
    <s v="GNR_ENG_NGAS_CND_E-41"/>
    <x v="8"/>
    <n v="0.40863648000000002"/>
  </r>
  <r>
    <x v="0"/>
    <x v="0"/>
    <x v="0"/>
    <x v="0"/>
    <x v="0"/>
    <s v="DK1_NoDH"/>
    <x v="3"/>
    <x v="4"/>
    <x v="4"/>
    <s v="GNR_ENG_NGAS_CND_E-46"/>
    <x v="8"/>
    <n v="6.4099839999999996E-3"/>
  </r>
  <r>
    <x v="0"/>
    <x v="0"/>
    <x v="0"/>
    <x v="0"/>
    <x v="0"/>
    <s v="DK1_NoDH"/>
    <x v="3"/>
    <x v="1"/>
    <x v="1"/>
    <s v="GNR_GT_NGAS_BP_E-28"/>
    <x v="8"/>
    <n v="0.39261151999999999"/>
  </r>
  <r>
    <x v="0"/>
    <x v="0"/>
    <x v="0"/>
    <x v="0"/>
    <x v="0"/>
    <s v="DK1_NoDH"/>
    <x v="3"/>
    <x v="1"/>
    <x v="1"/>
    <s v="GNR_GT_NGAS_BP_E-36"/>
    <x v="8"/>
    <n v="8.0124799999999996E-2"/>
  </r>
  <r>
    <x v="0"/>
    <x v="0"/>
    <x v="0"/>
    <x v="0"/>
    <x v="0"/>
    <s v="DK1_NoDH"/>
    <x v="7"/>
    <x v="5"/>
    <x v="5"/>
    <s v="GNR_PV_SUN"/>
    <x v="8"/>
    <n v="5.9770694474404804"/>
  </r>
  <r>
    <x v="0"/>
    <x v="0"/>
    <x v="0"/>
    <x v="0"/>
    <x v="0"/>
    <s v="DK1_NoDH"/>
    <x v="7"/>
    <x v="5"/>
    <x v="5"/>
    <s v="GNR_PV_SUN_LS-4-MW_Y-2030"/>
    <x v="8"/>
    <n v="16.644370557631401"/>
  </r>
  <r>
    <x v="0"/>
    <x v="0"/>
    <x v="0"/>
    <x v="0"/>
    <x v="0"/>
    <s v="DK1_NoDH"/>
    <x v="8"/>
    <x v="6"/>
    <x v="6"/>
    <s v="GNR_ROR_WTR"/>
    <x v="8"/>
    <n v="2.25544827586207E-4"/>
  </r>
  <r>
    <x v="0"/>
    <x v="0"/>
    <x v="0"/>
    <x v="0"/>
    <x v="0"/>
    <s v="DK1_NoDH"/>
    <x v="9"/>
    <x v="5"/>
    <x v="7"/>
    <s v="GNR_WT_WIND_ONS"/>
    <x v="8"/>
    <n v="37.713576742911997"/>
  </r>
  <r>
    <x v="0"/>
    <x v="0"/>
    <x v="0"/>
    <x v="0"/>
    <x v="0"/>
    <s v="DK1_NoDH"/>
    <x v="9"/>
    <x v="5"/>
    <x v="7"/>
    <s v="GNR_WT_WIND_ON_LS_Y-2030"/>
    <x v="8"/>
    <n v="10.945974690691299"/>
  </r>
  <r>
    <x v="0"/>
    <x v="0"/>
    <x v="0"/>
    <x v="0"/>
    <x v="0"/>
    <s v="DK1_NoDH"/>
    <x v="5"/>
    <x v="1"/>
    <x v="8"/>
    <s v="GNR_ST_WOODCHI_EXT_E-30"/>
    <x v="8"/>
    <n v="5.5286112000000003"/>
  </r>
  <r>
    <x v="0"/>
    <x v="0"/>
    <x v="0"/>
    <x v="0"/>
    <x v="0"/>
    <s v="DK1_NoDH_PHH"/>
    <x v="6"/>
    <x v="2"/>
    <x v="2"/>
    <s v="GNR_BO_ELEC_E-99_LS-10-MW-FEED_PHH_Y-2030"/>
    <x v="8"/>
    <n v="0.19476760966358"/>
  </r>
  <r>
    <x v="0"/>
    <x v="0"/>
    <x v="0"/>
    <x v="0"/>
    <x v="0"/>
    <s v="DK1_NoDH_PHH"/>
    <x v="3"/>
    <x v="7"/>
    <x v="11"/>
    <s v="GNR_BO_NGAS_E-70_PHH"/>
    <x v="8"/>
    <n v="0.118201189983333"/>
  </r>
  <r>
    <x v="0"/>
    <x v="0"/>
    <x v="0"/>
    <x v="0"/>
    <x v="0"/>
    <s v="DK1_NoDH_PHL"/>
    <x v="3"/>
    <x v="7"/>
    <x v="11"/>
    <s v="GNR_BO_NGAS_E-82_PHL"/>
    <x v="8"/>
    <n v="4.6189088102110896"/>
  </r>
  <r>
    <x v="0"/>
    <x v="0"/>
    <x v="0"/>
    <x v="0"/>
    <x v="0"/>
    <s v="DK1_Offshore"/>
    <x v="9"/>
    <x v="5"/>
    <x v="7"/>
    <s v="GNR_WT_WIND_OFF"/>
    <x v="8"/>
    <n v="79.995067933200005"/>
  </r>
  <r>
    <x v="0"/>
    <x v="0"/>
    <x v="0"/>
    <x v="0"/>
    <x v="0"/>
    <s v="DK1_Rural"/>
    <x v="1"/>
    <x v="7"/>
    <x v="11"/>
    <s v="GNR_BO_BGAS_E-100"/>
    <x v="8"/>
    <n v="8.0124799999999996E-4"/>
  </r>
  <r>
    <x v="0"/>
    <x v="0"/>
    <x v="0"/>
    <x v="0"/>
    <x v="0"/>
    <s v="DK1_Rural"/>
    <x v="1"/>
    <x v="1"/>
    <x v="1"/>
    <s v="GNR_ENG_BGAS_BP_E-30"/>
    <x v="8"/>
    <n v="6.0093599999999997E-2"/>
  </r>
  <r>
    <x v="0"/>
    <x v="0"/>
    <x v="0"/>
    <x v="0"/>
    <x v="0"/>
    <s v="DK1_Rural"/>
    <x v="1"/>
    <x v="1"/>
    <x v="1"/>
    <s v="GNR_ENG_BGAS_BP_E-37"/>
    <x v="8"/>
    <n v="1.7577378000000001E-2"/>
  </r>
  <r>
    <x v="0"/>
    <x v="0"/>
    <x v="0"/>
    <x v="0"/>
    <x v="0"/>
    <s v="DK1_Rural"/>
    <x v="1"/>
    <x v="1"/>
    <x v="1"/>
    <s v="GNR_ENG_BGAS_BP_E-38"/>
    <x v="8"/>
    <n v="8.0124800000000006E-3"/>
  </r>
  <r>
    <x v="0"/>
    <x v="0"/>
    <x v="0"/>
    <x v="0"/>
    <x v="0"/>
    <s v="DK1_Rural"/>
    <x v="1"/>
    <x v="1"/>
    <x v="1"/>
    <s v="GNR_ENG_BGAS_BP_E-39"/>
    <x v="8"/>
    <n v="6.2096720000000003E-3"/>
  </r>
  <r>
    <x v="0"/>
    <x v="0"/>
    <x v="0"/>
    <x v="0"/>
    <x v="0"/>
    <s v="DK1_Rural"/>
    <x v="1"/>
    <x v="1"/>
    <x v="1"/>
    <s v="GNR_ENG_BGAS_BP_E-40"/>
    <x v="8"/>
    <n v="6.3498903999999995E-2"/>
  </r>
  <r>
    <x v="0"/>
    <x v="0"/>
    <x v="0"/>
    <x v="0"/>
    <x v="0"/>
    <s v="DK1_Rural"/>
    <x v="1"/>
    <x v="1"/>
    <x v="1"/>
    <s v="GNR_ENG_BGAS_BP_E-41"/>
    <x v="8"/>
    <n v="1.1818408000000001E-2"/>
  </r>
  <r>
    <x v="0"/>
    <x v="0"/>
    <x v="0"/>
    <x v="0"/>
    <x v="0"/>
    <s v="DK1_Rural"/>
    <x v="1"/>
    <x v="1"/>
    <x v="1"/>
    <s v="GNR_ENG_BGAS_BP_E-42"/>
    <x v="8"/>
    <n v="6.6904208000000007E-2"/>
  </r>
  <r>
    <x v="0"/>
    <x v="0"/>
    <x v="0"/>
    <x v="0"/>
    <x v="0"/>
    <s v="DK1_Rural"/>
    <x v="1"/>
    <x v="1"/>
    <x v="1"/>
    <s v="GNR_ENG_BGAS_BP_E-43"/>
    <x v="8"/>
    <n v="5.1480183999999998E-2"/>
  </r>
  <r>
    <x v="0"/>
    <x v="0"/>
    <x v="0"/>
    <x v="0"/>
    <x v="0"/>
    <s v="DK1_Rural"/>
    <x v="14"/>
    <x v="7"/>
    <x v="11"/>
    <s v="GNR_BO_BIOIL_E-100"/>
    <x v="8"/>
    <n v="9.2143520000000003E-3"/>
  </r>
  <r>
    <x v="0"/>
    <x v="0"/>
    <x v="0"/>
    <x v="0"/>
    <x v="0"/>
    <s v="DK1_Rural"/>
    <x v="6"/>
    <x v="2"/>
    <x v="2"/>
    <s v="GNR_BO_ELEC_E-100"/>
    <x v="8"/>
    <n v="0.21087945956000001"/>
  </r>
  <r>
    <x v="0"/>
    <x v="0"/>
    <x v="0"/>
    <x v="0"/>
    <x v="0"/>
    <s v="DK1_Rural"/>
    <x v="6"/>
    <x v="2"/>
    <x v="2"/>
    <s v="GNR_BO_ELEC_E-99"/>
    <x v="8"/>
    <n v="2.1869062599999999E-2"/>
  </r>
  <r>
    <x v="0"/>
    <x v="0"/>
    <x v="0"/>
    <x v="0"/>
    <x v="0"/>
    <s v="DK1_Rural"/>
    <x v="6"/>
    <x v="2"/>
    <x v="2"/>
    <s v="GNR_HP_ELEC_COP-300"/>
    <x v="8"/>
    <n v="3.00468E-3"/>
  </r>
  <r>
    <x v="0"/>
    <x v="0"/>
    <x v="0"/>
    <x v="0"/>
    <x v="0"/>
    <s v="DK1_Rural"/>
    <x v="6"/>
    <x v="2"/>
    <x v="2"/>
    <s v="GNR_HP_ELEC_COP-350"/>
    <x v="8"/>
    <n v="4.3848296799999997E-3"/>
  </r>
  <r>
    <x v="0"/>
    <x v="0"/>
    <x v="0"/>
    <x v="0"/>
    <x v="0"/>
    <s v="DK1_Rural"/>
    <x v="6"/>
    <x v="2"/>
    <x v="2"/>
    <s v="GNR_HP_ELEC_COP-400"/>
    <x v="8"/>
    <n v="4.1023897600000001E-3"/>
  </r>
  <r>
    <x v="0"/>
    <x v="0"/>
    <x v="0"/>
    <x v="0"/>
    <x v="0"/>
    <s v="DK1_Rural"/>
    <x v="6"/>
    <x v="2"/>
    <x v="2"/>
    <s v="GNR_HP_ELEC_COP-430"/>
    <x v="8"/>
    <n v="2.604056E-3"/>
  </r>
  <r>
    <x v="0"/>
    <x v="0"/>
    <x v="0"/>
    <x v="0"/>
    <x v="0"/>
    <s v="DK1_Rural"/>
    <x v="6"/>
    <x v="2"/>
    <x v="2"/>
    <s v="GNR_HP_ELEC_COP-450"/>
    <x v="8"/>
    <n v="1.0816847999999999E-3"/>
  </r>
  <r>
    <x v="0"/>
    <x v="0"/>
    <x v="0"/>
    <x v="0"/>
    <x v="0"/>
    <s v="DK1_Rural"/>
    <x v="6"/>
    <x v="2"/>
    <x v="2"/>
    <s v="GNR_HP_ELEC_COP-460"/>
    <x v="8"/>
    <n v="7.2112319999999997E-3"/>
  </r>
  <r>
    <x v="0"/>
    <x v="0"/>
    <x v="0"/>
    <x v="0"/>
    <x v="0"/>
    <s v="DK1_Rural"/>
    <x v="6"/>
    <x v="2"/>
    <x v="2"/>
    <s v="GNR_HP_ELEC_COP-470"/>
    <x v="8"/>
    <n v="1.902964E-3"/>
  </r>
  <r>
    <x v="0"/>
    <x v="0"/>
    <x v="0"/>
    <x v="0"/>
    <x v="0"/>
    <s v="DK1_Rural"/>
    <x v="6"/>
    <x v="2"/>
    <x v="2"/>
    <s v="GNR_HP_ELEC_COP-500"/>
    <x v="8"/>
    <n v="1.0015600000000001E-3"/>
  </r>
  <r>
    <x v="0"/>
    <x v="0"/>
    <x v="0"/>
    <x v="0"/>
    <x v="0"/>
    <s v="DK1_Rural"/>
    <x v="6"/>
    <x v="2"/>
    <x v="2"/>
    <s v="GNR_HP_ELEC_COP-530"/>
    <x v="8"/>
    <n v="2.7042120000000001E-3"/>
  </r>
  <r>
    <x v="0"/>
    <x v="0"/>
    <x v="0"/>
    <x v="0"/>
    <x v="0"/>
    <s v="DK1_Rural"/>
    <x v="6"/>
    <x v="2"/>
    <x v="2"/>
    <s v="GNR_HP_ELEC_COP-600"/>
    <x v="8"/>
    <n v="6.0093600000000005E-4"/>
  </r>
  <r>
    <x v="0"/>
    <x v="0"/>
    <x v="0"/>
    <x v="0"/>
    <x v="0"/>
    <s v="DK1_Rural"/>
    <x v="6"/>
    <x v="2"/>
    <x v="2"/>
    <s v="GNR_HP_ELEC_GROUND-WTR_COP-380_LS-4-MW_Y-2030"/>
    <x v="8"/>
    <n v="0.14828898906342"/>
  </r>
  <r>
    <x v="0"/>
    <x v="0"/>
    <x v="0"/>
    <x v="0"/>
    <x v="0"/>
    <s v="DK1_Rural"/>
    <x v="17"/>
    <x v="7"/>
    <x v="11"/>
    <s v="GNR_BO_FUELOIL_E-100"/>
    <x v="8"/>
    <n v="2.0031199999999999E-2"/>
  </r>
  <r>
    <x v="0"/>
    <x v="0"/>
    <x v="0"/>
    <x v="0"/>
    <x v="0"/>
    <s v="DK1_Rural"/>
    <x v="17"/>
    <x v="7"/>
    <x v="11"/>
    <s v="GNR_BO_FUELOIL_E-91"/>
    <x v="8"/>
    <n v="1.6024960000000001E-2"/>
  </r>
  <r>
    <x v="0"/>
    <x v="0"/>
    <x v="0"/>
    <x v="0"/>
    <x v="0"/>
    <s v="DK1_Rural"/>
    <x v="15"/>
    <x v="7"/>
    <x v="11"/>
    <s v="GNR_BO_LIGHTOIL_E-100"/>
    <x v="8"/>
    <n v="0.10496348799999999"/>
  </r>
  <r>
    <x v="0"/>
    <x v="0"/>
    <x v="0"/>
    <x v="0"/>
    <x v="0"/>
    <s v="DK1_Rural"/>
    <x v="15"/>
    <x v="7"/>
    <x v="11"/>
    <s v="GNR_BO_LIGHTOIL_E-109"/>
    <x v="8"/>
    <n v="1.5023399999999999E-2"/>
  </r>
  <r>
    <x v="0"/>
    <x v="0"/>
    <x v="0"/>
    <x v="0"/>
    <x v="0"/>
    <s v="DK1_Rural"/>
    <x v="15"/>
    <x v="7"/>
    <x v="11"/>
    <s v="GNR_BO_LIGHTOIL_E-67"/>
    <x v="8"/>
    <n v="4.0062399999999998E-5"/>
  </r>
  <r>
    <x v="0"/>
    <x v="0"/>
    <x v="0"/>
    <x v="0"/>
    <x v="0"/>
    <s v="DK1_Rural"/>
    <x v="15"/>
    <x v="7"/>
    <x v="11"/>
    <s v="GNR_BO_LIGHTOIL_E-85"/>
    <x v="8"/>
    <n v="1.5023399999999999E-2"/>
  </r>
  <r>
    <x v="0"/>
    <x v="0"/>
    <x v="0"/>
    <x v="0"/>
    <x v="0"/>
    <s v="DK1_Rural"/>
    <x v="15"/>
    <x v="7"/>
    <x v="11"/>
    <s v="GNR_BO_LIGHTOIL_E-90"/>
    <x v="8"/>
    <n v="7.90431152E-2"/>
  </r>
  <r>
    <x v="0"/>
    <x v="0"/>
    <x v="0"/>
    <x v="0"/>
    <x v="0"/>
    <s v="DK1_Rural"/>
    <x v="15"/>
    <x v="7"/>
    <x v="11"/>
    <s v="GNR_BO_LIGHTOIL_E-91"/>
    <x v="8"/>
    <n v="1.1618096E-2"/>
  </r>
  <r>
    <x v="0"/>
    <x v="0"/>
    <x v="0"/>
    <x v="0"/>
    <x v="0"/>
    <s v="DK1_Rural"/>
    <x v="15"/>
    <x v="7"/>
    <x v="11"/>
    <s v="GNR_BO_LIGHTOIL_E-92"/>
    <x v="8"/>
    <n v="2.403744E-2"/>
  </r>
  <r>
    <x v="0"/>
    <x v="0"/>
    <x v="0"/>
    <x v="0"/>
    <x v="0"/>
    <s v="DK1_Rural"/>
    <x v="15"/>
    <x v="7"/>
    <x v="11"/>
    <s v="GNR_BO_LIGHTOIL_E-93"/>
    <x v="8"/>
    <n v="1.201872E-2"/>
  </r>
  <r>
    <x v="0"/>
    <x v="0"/>
    <x v="0"/>
    <x v="0"/>
    <x v="0"/>
    <s v="DK1_Rural"/>
    <x v="15"/>
    <x v="7"/>
    <x v="11"/>
    <s v="GNR_BO_LIGHTOIL_E-94"/>
    <x v="8"/>
    <n v="1.5824648E-2"/>
  </r>
  <r>
    <x v="0"/>
    <x v="0"/>
    <x v="0"/>
    <x v="0"/>
    <x v="0"/>
    <s v="DK1_Rural"/>
    <x v="15"/>
    <x v="1"/>
    <x v="1"/>
    <s v="GNR_ENG_LIGHTOIL_BP_E-37"/>
    <x v="8"/>
    <n v="0.16024959999999999"/>
  </r>
  <r>
    <x v="0"/>
    <x v="0"/>
    <x v="0"/>
    <x v="0"/>
    <x v="0"/>
    <s v="DK1_Rural"/>
    <x v="15"/>
    <x v="4"/>
    <x v="4"/>
    <s v="GNR_ENG_LIGHTOIL_CND_E-33"/>
    <x v="8"/>
    <n v="4.5070199999999996E-3"/>
  </r>
  <r>
    <x v="0"/>
    <x v="0"/>
    <x v="0"/>
    <x v="0"/>
    <x v="0"/>
    <s v="DK1_Rural"/>
    <x v="15"/>
    <x v="4"/>
    <x v="4"/>
    <s v="GNR_ENG_LIGHTOIL_CND_E-42"/>
    <x v="8"/>
    <n v="1.902964E-3"/>
  </r>
  <r>
    <x v="0"/>
    <x v="0"/>
    <x v="0"/>
    <x v="0"/>
    <x v="0"/>
    <s v="DK1_Rural"/>
    <x v="15"/>
    <x v="4"/>
    <x v="4"/>
    <s v="GNR_ENG_LIGHTOIL_CND_E-43"/>
    <x v="8"/>
    <n v="7.6118560000000002E-3"/>
  </r>
  <r>
    <x v="0"/>
    <x v="0"/>
    <x v="0"/>
    <x v="0"/>
    <x v="0"/>
    <s v="DK1_Rural"/>
    <x v="3"/>
    <x v="7"/>
    <x v="11"/>
    <s v="GNR_BO_NGAS_E-100"/>
    <x v="8"/>
    <n v="0.2336839792"/>
  </r>
  <r>
    <x v="0"/>
    <x v="0"/>
    <x v="0"/>
    <x v="0"/>
    <x v="0"/>
    <s v="DK1_Rural"/>
    <x v="3"/>
    <x v="7"/>
    <x v="11"/>
    <s v="GNR_BO_NGAS_E-101"/>
    <x v="8"/>
    <n v="0.33904809120000001"/>
  </r>
  <r>
    <x v="0"/>
    <x v="0"/>
    <x v="0"/>
    <x v="0"/>
    <x v="0"/>
    <s v="DK1_Rural"/>
    <x v="3"/>
    <x v="7"/>
    <x v="11"/>
    <s v="GNR_BO_NGAS_E-102"/>
    <x v="8"/>
    <n v="2.72624632E-2"/>
  </r>
  <r>
    <x v="0"/>
    <x v="0"/>
    <x v="0"/>
    <x v="0"/>
    <x v="0"/>
    <s v="DK1_Rural"/>
    <x v="3"/>
    <x v="7"/>
    <x v="11"/>
    <s v="GNR_BO_NGAS_E-104"/>
    <x v="8"/>
    <n v="8.4531663999999999E-3"/>
  </r>
  <r>
    <x v="0"/>
    <x v="0"/>
    <x v="0"/>
    <x v="0"/>
    <x v="0"/>
    <s v="DK1_Rural"/>
    <x v="3"/>
    <x v="7"/>
    <x v="11"/>
    <s v="GNR_BO_NGAS_E-105"/>
    <x v="8"/>
    <n v="6.9307952000000006E-2"/>
  </r>
  <r>
    <x v="0"/>
    <x v="0"/>
    <x v="0"/>
    <x v="0"/>
    <x v="0"/>
    <s v="DK1_Rural"/>
    <x v="3"/>
    <x v="7"/>
    <x v="11"/>
    <s v="GNR_BO_NGAS_E-98"/>
    <x v="8"/>
    <n v="1.6826207999999999E-2"/>
  </r>
  <r>
    <x v="0"/>
    <x v="0"/>
    <x v="0"/>
    <x v="0"/>
    <x v="0"/>
    <s v="DK1_Rural"/>
    <x v="3"/>
    <x v="1"/>
    <x v="1"/>
    <s v="GNR_ENG_NGAS_BP_E-37"/>
    <x v="8"/>
    <n v="7.1811851999999995E-2"/>
  </r>
  <r>
    <x v="0"/>
    <x v="0"/>
    <x v="0"/>
    <x v="0"/>
    <x v="0"/>
    <s v="DK1_Rural"/>
    <x v="3"/>
    <x v="1"/>
    <x v="1"/>
    <s v="GNR_ENG_NGAS_BP_E-38"/>
    <x v="8"/>
    <n v="3.0046799999999999E-2"/>
  </r>
  <r>
    <x v="0"/>
    <x v="0"/>
    <x v="0"/>
    <x v="0"/>
    <x v="0"/>
    <s v="DK1_Rural"/>
    <x v="3"/>
    <x v="1"/>
    <x v="1"/>
    <s v="GNR_ENG_NGAS_BP_E-39"/>
    <x v="8"/>
    <n v="2.0031199999999999E-2"/>
  </r>
  <r>
    <x v="0"/>
    <x v="0"/>
    <x v="0"/>
    <x v="0"/>
    <x v="0"/>
    <s v="DK1_Rural"/>
    <x v="3"/>
    <x v="1"/>
    <x v="1"/>
    <s v="GNR_ENG_NGAS_BP_E-40"/>
    <x v="8"/>
    <n v="4.6272071999999997E-2"/>
  </r>
  <r>
    <x v="0"/>
    <x v="0"/>
    <x v="0"/>
    <x v="0"/>
    <x v="0"/>
    <s v="DK1_Rural"/>
    <x v="3"/>
    <x v="1"/>
    <x v="1"/>
    <s v="GNR_ENG_NGAS_BP_E-41"/>
    <x v="8"/>
    <n v="0.14672853999999999"/>
  </r>
  <r>
    <x v="0"/>
    <x v="0"/>
    <x v="0"/>
    <x v="0"/>
    <x v="0"/>
    <s v="DK1_Rural"/>
    <x v="3"/>
    <x v="1"/>
    <x v="1"/>
    <s v="GNR_ENG_NGAS_BP_E-42"/>
    <x v="8"/>
    <n v="0.33954887119999999"/>
  </r>
  <r>
    <x v="0"/>
    <x v="0"/>
    <x v="0"/>
    <x v="0"/>
    <x v="0"/>
    <s v="DK1_Rural"/>
    <x v="3"/>
    <x v="1"/>
    <x v="1"/>
    <s v="GNR_ENG_NGAS_BP_E-43"/>
    <x v="8"/>
    <n v="0.15856697920000001"/>
  </r>
  <r>
    <x v="0"/>
    <x v="0"/>
    <x v="0"/>
    <x v="0"/>
    <x v="0"/>
    <s v="DK1_Rural"/>
    <x v="3"/>
    <x v="1"/>
    <x v="1"/>
    <s v="GNR_ENG_NGAS_BP_E-44"/>
    <x v="8"/>
    <n v="0.13180529599999999"/>
  </r>
  <r>
    <x v="0"/>
    <x v="0"/>
    <x v="0"/>
    <x v="0"/>
    <x v="0"/>
    <s v="DK1_Rural"/>
    <x v="3"/>
    <x v="1"/>
    <x v="1"/>
    <s v="GNR_ENG_NGAS_BP_E-45"/>
    <x v="8"/>
    <n v="5.1079560000000003E-2"/>
  </r>
  <r>
    <x v="0"/>
    <x v="0"/>
    <x v="0"/>
    <x v="0"/>
    <x v="0"/>
    <s v="DK1_Rural"/>
    <x v="3"/>
    <x v="1"/>
    <x v="1"/>
    <s v="GNR_ENG_NGAS_BP_E-46"/>
    <x v="8"/>
    <n v="1.8228392E-2"/>
  </r>
  <r>
    <x v="0"/>
    <x v="0"/>
    <x v="0"/>
    <x v="0"/>
    <x v="0"/>
    <s v="DK1_Rural"/>
    <x v="4"/>
    <x v="7"/>
    <x v="11"/>
    <s v="GNR_BO_STRW_E-100"/>
    <x v="8"/>
    <n v="3.5303816506664498"/>
  </r>
  <r>
    <x v="0"/>
    <x v="0"/>
    <x v="0"/>
    <x v="0"/>
    <x v="0"/>
    <s v="DK1_Rural"/>
    <x v="4"/>
    <x v="7"/>
    <x v="11"/>
    <s v="GNR_BO_STRW_E-102"/>
    <x v="8"/>
    <n v="1.1065375322984401"/>
  </r>
  <r>
    <x v="0"/>
    <x v="0"/>
    <x v="0"/>
    <x v="0"/>
    <x v="0"/>
    <s v="DK1_Rural"/>
    <x v="5"/>
    <x v="7"/>
    <x v="11"/>
    <s v="GNR_BO_WOODCHI_E-100"/>
    <x v="8"/>
    <n v="6.0040647408670402"/>
  </r>
  <r>
    <x v="0"/>
    <x v="0"/>
    <x v="0"/>
    <x v="0"/>
    <x v="0"/>
    <s v="DK1_Rural"/>
    <x v="5"/>
    <x v="7"/>
    <x v="11"/>
    <s v="GNR_BO_WOODCHI_E-105"/>
    <x v="8"/>
    <n v="0.17979232296723799"/>
  </r>
  <r>
    <x v="0"/>
    <x v="0"/>
    <x v="0"/>
    <x v="0"/>
    <x v="0"/>
    <s v="DK1_Rural"/>
    <x v="5"/>
    <x v="7"/>
    <x v="11"/>
    <s v="GNR_BO_WOODCHI_E-106"/>
    <x v="8"/>
    <n v="0.10987308625775601"/>
  </r>
  <r>
    <x v="0"/>
    <x v="0"/>
    <x v="0"/>
    <x v="0"/>
    <x v="0"/>
    <s v="DK1_Rural"/>
    <x v="5"/>
    <x v="7"/>
    <x v="11"/>
    <s v="GNR_BO_WOODCHI_E-107"/>
    <x v="8"/>
    <n v="0.49862404236247299"/>
  </r>
  <r>
    <x v="0"/>
    <x v="0"/>
    <x v="0"/>
    <x v="0"/>
    <x v="0"/>
    <s v="DK1_Rural"/>
    <x v="5"/>
    <x v="7"/>
    <x v="11"/>
    <s v="GNR_BO_WOODCHI_E-110"/>
    <x v="8"/>
    <n v="3.65298046419879"/>
  </r>
  <r>
    <x v="0"/>
    <x v="0"/>
    <x v="0"/>
    <x v="0"/>
    <x v="0"/>
    <s v="DK1_Rural"/>
    <x v="5"/>
    <x v="7"/>
    <x v="11"/>
    <s v="GNR_BO_WOODCHI_E-112"/>
    <x v="8"/>
    <n v="0.75912314141722703"/>
  </r>
  <r>
    <x v="0"/>
    <x v="0"/>
    <x v="0"/>
    <x v="0"/>
    <x v="0"/>
    <s v="DK1_Rural"/>
    <x v="5"/>
    <x v="7"/>
    <x v="11"/>
    <s v="GNR_BO_WOODCHI_E-117"/>
    <x v="8"/>
    <n v="0.51940004412757601"/>
  </r>
  <r>
    <x v="0"/>
    <x v="0"/>
    <x v="0"/>
    <x v="0"/>
    <x v="0"/>
    <s v="DK1_Rural"/>
    <x v="5"/>
    <x v="7"/>
    <x v="11"/>
    <s v="GNR_BO_WOODCHI_E-120"/>
    <x v="8"/>
    <n v="0.71916929186895195"/>
  </r>
  <r>
    <x v="0"/>
    <x v="0"/>
    <x v="0"/>
    <x v="0"/>
    <x v="0"/>
    <s v="DK1_Rural"/>
    <x v="5"/>
    <x v="1"/>
    <x v="1"/>
    <s v="GNR_ST_WOODCHI_BP_E-17"/>
    <x v="8"/>
    <n v="4.5070199999999998E-2"/>
  </r>
  <r>
    <x v="0"/>
    <x v="0"/>
    <x v="0"/>
    <x v="0"/>
    <x v="0"/>
    <s v="DK1_Rural"/>
    <x v="16"/>
    <x v="7"/>
    <x v="11"/>
    <s v="GNR_BO_WOODPEL_E-100"/>
    <x v="8"/>
    <n v="0.70413268261957895"/>
  </r>
  <r>
    <x v="0"/>
    <x v="0"/>
    <x v="0"/>
    <x v="0"/>
    <x v="0"/>
    <s v="DK1_Rural"/>
    <x v="16"/>
    <x v="7"/>
    <x v="11"/>
    <s v="GNR_BO_WOODPEL_E-102"/>
    <x v="8"/>
    <n v="0.52504792158681302"/>
  </r>
  <r>
    <x v="0"/>
    <x v="0"/>
    <x v="0"/>
    <x v="0"/>
    <x v="0"/>
    <s v="DK1_Rural"/>
    <x v="13"/>
    <x v="7"/>
    <x v="11"/>
    <s v="GNR_BO_WOODWST_E-100"/>
    <x v="8"/>
    <n v="0.75853817964219095"/>
  </r>
  <r>
    <x v="0"/>
    <x v="0"/>
    <x v="0"/>
    <x v="0"/>
    <x v="0"/>
    <s v="DK1_Rural"/>
    <x v="13"/>
    <x v="7"/>
    <x v="11"/>
    <s v="GNR_BO_WOODWST_E-113"/>
    <x v="8"/>
    <n v="0.13950127441695501"/>
  </r>
  <r>
    <x v="0"/>
    <x v="0"/>
    <x v="0"/>
    <x v="0"/>
    <x v="0"/>
    <s v="DK1_Rural"/>
    <x v="13"/>
    <x v="7"/>
    <x v="11"/>
    <s v="GNR_BO_WOODWST_E-86"/>
    <x v="8"/>
    <n v="0.104625955812716"/>
  </r>
  <r>
    <x v="0"/>
    <x v="0"/>
    <x v="0"/>
    <x v="0"/>
    <x v="0"/>
    <s v="DK1_Rural"/>
    <x v="13"/>
    <x v="7"/>
    <x v="11"/>
    <s v="GNR_BO_WOODWST_E-89"/>
    <x v="8"/>
    <n v="6.9750637208477406E-2"/>
  </r>
  <r>
    <x v="0"/>
    <x v="0"/>
    <x v="0"/>
    <x v="0"/>
    <x v="0"/>
    <s v="DK1_Rural"/>
    <x v="13"/>
    <x v="7"/>
    <x v="11"/>
    <s v="GNR_BO_WOODWST_E-90"/>
    <x v="8"/>
    <n v="6.2775573487629605E-2"/>
  </r>
  <r>
    <x v="0"/>
    <x v="0"/>
    <x v="0"/>
    <x v="0"/>
    <x v="0"/>
    <s v="DK1_Rural"/>
    <x v="13"/>
    <x v="7"/>
    <x v="11"/>
    <s v="GNR_BO_WOODWST_E-94"/>
    <x v="8"/>
    <n v="3.2434046301942E-2"/>
  </r>
  <r>
    <x v="0"/>
    <x v="0"/>
    <x v="0"/>
    <x v="0"/>
    <x v="0"/>
    <s v="DK1_Small"/>
    <x v="14"/>
    <x v="7"/>
    <x v="11"/>
    <s v="GNR_BO_BIOIL_E-90"/>
    <x v="8"/>
    <n v="2.8844927999999999E-2"/>
  </r>
  <r>
    <x v="0"/>
    <x v="0"/>
    <x v="0"/>
    <x v="0"/>
    <x v="0"/>
    <s v="DK1_Small"/>
    <x v="14"/>
    <x v="7"/>
    <x v="11"/>
    <s v="GNR_BO_BIOIL_E-91"/>
    <x v="8"/>
    <n v="1.201872E-2"/>
  </r>
  <r>
    <x v="0"/>
    <x v="0"/>
    <x v="0"/>
    <x v="0"/>
    <x v="0"/>
    <s v="DK1_Small"/>
    <x v="15"/>
    <x v="7"/>
    <x v="11"/>
    <s v="GNR_BO_LIGHTOIL_E-100"/>
    <x v="8"/>
    <n v="3.0046799999999999E-2"/>
  </r>
  <r>
    <x v="0"/>
    <x v="0"/>
    <x v="0"/>
    <x v="0"/>
    <x v="0"/>
    <s v="DK1_Small"/>
    <x v="15"/>
    <x v="7"/>
    <x v="11"/>
    <s v="GNR_BO_LIGHTOIL_E-96"/>
    <x v="8"/>
    <n v="1.1818408000000001E-2"/>
  </r>
  <r>
    <x v="0"/>
    <x v="0"/>
    <x v="0"/>
    <x v="0"/>
    <x v="0"/>
    <s v="DK1_Small"/>
    <x v="3"/>
    <x v="7"/>
    <x v="11"/>
    <s v="GNR_BO_NGAS_E-101"/>
    <x v="8"/>
    <n v="4.4068639999999999E-2"/>
  </r>
  <r>
    <x v="0"/>
    <x v="0"/>
    <x v="0"/>
    <x v="0"/>
    <x v="0"/>
    <s v="DK1_Small"/>
    <x v="3"/>
    <x v="1"/>
    <x v="1"/>
    <s v="GNR_ENG_NGAS_BP_E-38"/>
    <x v="8"/>
    <n v="1.1317628E-2"/>
  </r>
  <r>
    <x v="0"/>
    <x v="0"/>
    <x v="0"/>
    <x v="0"/>
    <x v="0"/>
    <s v="DK1_Small"/>
    <x v="4"/>
    <x v="7"/>
    <x v="11"/>
    <s v="GNR_BO_STRW_E-100"/>
    <x v="8"/>
    <n v="1.73549915307578"/>
  </r>
  <r>
    <x v="0"/>
    <x v="0"/>
    <x v="0"/>
    <x v="0"/>
    <x v="0"/>
    <s v="DK1_Small"/>
    <x v="5"/>
    <x v="7"/>
    <x v="11"/>
    <s v="GNR_BO_WOODCHI_E-100"/>
    <x v="8"/>
    <n v="1.1986154864482499"/>
  </r>
  <r>
    <x v="0"/>
    <x v="0"/>
    <x v="0"/>
    <x v="0"/>
    <x v="0"/>
    <s v="DK1_Small"/>
    <x v="5"/>
    <x v="7"/>
    <x v="11"/>
    <s v="GNR_BO_WOODCHI_E-110"/>
    <x v="8"/>
    <n v="0.43150157512137099"/>
  </r>
  <r>
    <x v="0"/>
    <x v="0"/>
    <x v="0"/>
    <x v="0"/>
    <x v="0"/>
    <s v="DK1_Small"/>
    <x v="16"/>
    <x v="7"/>
    <x v="11"/>
    <s v="GNR_BO_WOODPEL_E-100"/>
    <x v="8"/>
    <n v="0.45337914185510297"/>
  </r>
  <r>
    <x v="0"/>
    <x v="0"/>
    <x v="0"/>
    <x v="0"/>
    <x v="0"/>
    <s v="DK1_Small"/>
    <x v="16"/>
    <x v="7"/>
    <x v="11"/>
    <s v="GNR_BO_WOODPEL_E-102"/>
    <x v="8"/>
    <n v="6.1031807557417703E-2"/>
  </r>
  <r>
    <x v="0"/>
    <x v="0"/>
    <x v="0"/>
    <x v="0"/>
    <x v="0"/>
    <s v="DK1_Small"/>
    <x v="13"/>
    <x v="7"/>
    <x v="11"/>
    <s v="GNR_BO_WOODWST_E-89"/>
    <x v="8"/>
    <n v="6.2008316478336399E-2"/>
  </r>
  <r>
    <x v="0"/>
    <x v="0"/>
    <x v="0"/>
    <x v="0"/>
    <x v="1"/>
    <s v="DK2_Large"/>
    <x v="1"/>
    <x v="7"/>
    <x v="11"/>
    <s v="GNR_BO_BGAS_E-95"/>
    <x v="8"/>
    <n v="1.5223712000000001E-3"/>
  </r>
  <r>
    <x v="0"/>
    <x v="0"/>
    <x v="0"/>
    <x v="0"/>
    <x v="1"/>
    <s v="DK2_Large"/>
    <x v="1"/>
    <x v="1"/>
    <x v="1"/>
    <s v="GNR_ENG_BGAS_BP_E-42"/>
    <x v="8"/>
    <n v="3.0517533199999999E-2"/>
  </r>
  <r>
    <x v="0"/>
    <x v="0"/>
    <x v="0"/>
    <x v="0"/>
    <x v="1"/>
    <s v="DK2_Large"/>
    <x v="10"/>
    <x v="1"/>
    <x v="8"/>
    <s v="GNR_ST_COAL_EXT_E-42"/>
    <x v="8"/>
    <n v="14.322308"/>
  </r>
  <r>
    <x v="0"/>
    <x v="0"/>
    <x v="0"/>
    <x v="0"/>
    <x v="1"/>
    <s v="DK2_Large"/>
    <x v="6"/>
    <x v="2"/>
    <x v="2"/>
    <s v="GNR_BO_ELEC_E-100"/>
    <x v="8"/>
    <n v="1.101716E-2"/>
  </r>
  <r>
    <x v="0"/>
    <x v="0"/>
    <x v="0"/>
    <x v="0"/>
    <x v="1"/>
    <s v="DK2_Large"/>
    <x v="6"/>
    <x v="2"/>
    <x v="2"/>
    <s v="GNR_HP_ELEC_COP-300"/>
    <x v="8"/>
    <n v="6.8106079999999999E-4"/>
  </r>
  <r>
    <x v="0"/>
    <x v="0"/>
    <x v="0"/>
    <x v="0"/>
    <x v="1"/>
    <s v="DK2_Large"/>
    <x v="15"/>
    <x v="7"/>
    <x v="11"/>
    <s v="GNR_BO_LIGHTOIL_E-100"/>
    <x v="8"/>
    <n v="1.201872E-2"/>
  </r>
  <r>
    <x v="0"/>
    <x v="0"/>
    <x v="0"/>
    <x v="0"/>
    <x v="1"/>
    <s v="DK2_Large"/>
    <x v="15"/>
    <x v="7"/>
    <x v="11"/>
    <s v="GNR_BO_LIGHTOIL_E-88"/>
    <x v="8"/>
    <n v="1.302028E-2"/>
  </r>
  <r>
    <x v="0"/>
    <x v="0"/>
    <x v="0"/>
    <x v="0"/>
    <x v="1"/>
    <s v="DK2_Large"/>
    <x v="15"/>
    <x v="7"/>
    <x v="11"/>
    <s v="GNR_BO_LIGHTOIL_E-92"/>
    <x v="8"/>
    <n v="0.145827136"/>
  </r>
  <r>
    <x v="0"/>
    <x v="0"/>
    <x v="0"/>
    <x v="0"/>
    <x v="1"/>
    <s v="DK2_Large"/>
    <x v="15"/>
    <x v="7"/>
    <x v="11"/>
    <s v="GNR_BO_LIGHTOIL_E-93"/>
    <x v="8"/>
    <n v="0.12018719999999999"/>
  </r>
  <r>
    <x v="0"/>
    <x v="0"/>
    <x v="0"/>
    <x v="0"/>
    <x v="1"/>
    <s v="DK2_Large"/>
    <x v="15"/>
    <x v="7"/>
    <x v="11"/>
    <s v="GNR_BO_LIGHTOIL_E-95"/>
    <x v="8"/>
    <n v="1.7427143999999999E-2"/>
  </r>
  <r>
    <x v="0"/>
    <x v="0"/>
    <x v="0"/>
    <x v="0"/>
    <x v="1"/>
    <s v="DK2_Large"/>
    <x v="15"/>
    <x v="4"/>
    <x v="4"/>
    <s v="GNR_ENG_LIGHTOIL_CND_E-40"/>
    <x v="8"/>
    <n v="1.2519499999999999E-2"/>
  </r>
  <r>
    <x v="0"/>
    <x v="0"/>
    <x v="0"/>
    <x v="0"/>
    <x v="1"/>
    <s v="DK2_Large"/>
    <x v="15"/>
    <x v="4"/>
    <x v="4"/>
    <s v="GNR_ENG_LIGHTOIL_CND_E-43"/>
    <x v="8"/>
    <n v="1.302028E-2"/>
  </r>
  <r>
    <x v="0"/>
    <x v="0"/>
    <x v="0"/>
    <x v="0"/>
    <x v="1"/>
    <s v="DK2_Large"/>
    <x v="2"/>
    <x v="1"/>
    <x v="1"/>
    <s v="GNR_ST_MSW_BP_E-24_LS-220-MW-FEED_Y-2030"/>
    <x v="8"/>
    <n v="19.384002563613301"/>
  </r>
  <r>
    <x v="0"/>
    <x v="0"/>
    <x v="0"/>
    <x v="0"/>
    <x v="1"/>
    <s v="DK2_Large"/>
    <x v="2"/>
    <x v="1"/>
    <x v="1"/>
    <s v="GNR_ST_MSW_BP_E-27"/>
    <x v="8"/>
    <n v="3.8860527999999999"/>
  </r>
  <r>
    <x v="0"/>
    <x v="0"/>
    <x v="0"/>
    <x v="0"/>
    <x v="1"/>
    <s v="DK2_Large"/>
    <x v="3"/>
    <x v="7"/>
    <x v="11"/>
    <s v="GNR_BO_NGAS_E-100"/>
    <x v="8"/>
    <n v="0.101558184"/>
  </r>
  <r>
    <x v="0"/>
    <x v="0"/>
    <x v="0"/>
    <x v="0"/>
    <x v="1"/>
    <s v="DK2_Large"/>
    <x v="3"/>
    <x v="7"/>
    <x v="11"/>
    <s v="GNR_BO_NGAS_E-101"/>
    <x v="8"/>
    <n v="0.59552757599999995"/>
  </r>
  <r>
    <x v="0"/>
    <x v="0"/>
    <x v="0"/>
    <x v="0"/>
    <x v="1"/>
    <s v="DK2_Large"/>
    <x v="3"/>
    <x v="7"/>
    <x v="11"/>
    <s v="GNR_BO_NGAS_E-98"/>
    <x v="8"/>
    <n v="3.8860527999999998E-2"/>
  </r>
  <r>
    <x v="0"/>
    <x v="0"/>
    <x v="0"/>
    <x v="0"/>
    <x v="1"/>
    <s v="DK2_Large"/>
    <x v="3"/>
    <x v="1"/>
    <x v="1"/>
    <s v="GNR_GT_NGAS_BP_E-43_LS-40-MW_Y-2030"/>
    <x v="8"/>
    <n v="6.6541560973317297"/>
  </r>
  <r>
    <x v="0"/>
    <x v="0"/>
    <x v="0"/>
    <x v="0"/>
    <x v="1"/>
    <s v="DK2_Large"/>
    <x v="13"/>
    <x v="7"/>
    <x v="11"/>
    <s v="GNR_BO_WOODWST_E-90"/>
    <x v="8"/>
    <n v="0.23226962190423001"/>
  </r>
  <r>
    <x v="0"/>
    <x v="0"/>
    <x v="0"/>
    <x v="0"/>
    <x v="1"/>
    <s v="DK2_Large_PHH"/>
    <x v="6"/>
    <x v="2"/>
    <x v="2"/>
    <s v="GNR_BO_ELEC_E-99_LS-10-MW-FEED_PHH_Y-2030"/>
    <x v="8"/>
    <n v="2.5615406186488401E-2"/>
  </r>
  <r>
    <x v="0"/>
    <x v="0"/>
    <x v="0"/>
    <x v="0"/>
    <x v="1"/>
    <s v="DK2_Large_PHH"/>
    <x v="3"/>
    <x v="7"/>
    <x v="11"/>
    <s v="GNR_BO_NGAS_E-70_PHH"/>
    <x v="8"/>
    <n v="0.153264376189511"/>
  </r>
  <r>
    <x v="0"/>
    <x v="0"/>
    <x v="0"/>
    <x v="0"/>
    <x v="1"/>
    <s v="DK2_Large_PHL"/>
    <x v="3"/>
    <x v="7"/>
    <x v="11"/>
    <s v="GNR_BO_NGAS_E-82_PHL"/>
    <x v="8"/>
    <n v="0.84726189745297498"/>
  </r>
  <r>
    <x v="0"/>
    <x v="0"/>
    <x v="0"/>
    <x v="0"/>
    <x v="1"/>
    <s v="DK2_MedSmall"/>
    <x v="1"/>
    <x v="1"/>
    <x v="1"/>
    <s v="GNR_ENG_BGAS_BP_E-38"/>
    <x v="8"/>
    <n v="2.5038999999999999E-3"/>
  </r>
  <r>
    <x v="0"/>
    <x v="0"/>
    <x v="0"/>
    <x v="0"/>
    <x v="1"/>
    <s v="DK2_MedSmall"/>
    <x v="3"/>
    <x v="7"/>
    <x v="11"/>
    <s v="GNR_BO_NGAS_E-101"/>
    <x v="8"/>
    <n v="0.22214600800000001"/>
  </r>
  <r>
    <x v="0"/>
    <x v="0"/>
    <x v="0"/>
    <x v="0"/>
    <x v="1"/>
    <s v="DK2_MedSmall"/>
    <x v="3"/>
    <x v="1"/>
    <x v="1"/>
    <s v="GNR_ENG_NGAS_BP_E-48_Y-2030"/>
    <x v="8"/>
    <n v="1.262683205461"/>
  </r>
  <r>
    <x v="0"/>
    <x v="0"/>
    <x v="0"/>
    <x v="0"/>
    <x v="1"/>
    <s v="DK2_MedSmall"/>
    <x v="4"/>
    <x v="7"/>
    <x v="11"/>
    <s v="GNR_BO_STRW_E-100"/>
    <x v="8"/>
    <n v="0.57710574246857405"/>
  </r>
  <r>
    <x v="0"/>
    <x v="0"/>
    <x v="0"/>
    <x v="0"/>
    <x v="1"/>
    <s v="DK2_MedSmall"/>
    <x v="4"/>
    <x v="7"/>
    <x v="11"/>
    <s v="GNR_BO_STRW_E-102"/>
    <x v="8"/>
    <n v="0.41819256700621299"/>
  </r>
  <r>
    <x v="0"/>
    <x v="0"/>
    <x v="0"/>
    <x v="0"/>
    <x v="1"/>
    <s v="DK2_MedSmall"/>
    <x v="5"/>
    <x v="7"/>
    <x v="11"/>
    <s v="GNR_BO_WOODCHI_E-112"/>
    <x v="8"/>
    <n v="0.55935389367585098"/>
  </r>
  <r>
    <x v="0"/>
    <x v="0"/>
    <x v="0"/>
    <x v="0"/>
    <x v="1"/>
    <s v="DK2_MedSmall"/>
    <x v="5"/>
    <x v="7"/>
    <x v="11"/>
    <s v="GNR_BO_WOODCHI_E-118"/>
    <x v="8"/>
    <n v="0.42351080521171602"/>
  </r>
  <r>
    <x v="0"/>
    <x v="0"/>
    <x v="0"/>
    <x v="0"/>
    <x v="1"/>
    <s v="DK2_Medium"/>
    <x v="1"/>
    <x v="7"/>
    <x v="11"/>
    <s v="GNR_BO_BGAS_E-100"/>
    <x v="8"/>
    <n v="8.0124799999999996E-4"/>
  </r>
  <r>
    <x v="0"/>
    <x v="0"/>
    <x v="0"/>
    <x v="0"/>
    <x v="1"/>
    <s v="DK2_Medium"/>
    <x v="2"/>
    <x v="1"/>
    <x v="1"/>
    <s v="GNR_ST_MSW_BP_E-23"/>
    <x v="8"/>
    <n v="1.6024959999999999"/>
  </r>
  <r>
    <x v="0"/>
    <x v="0"/>
    <x v="0"/>
    <x v="0"/>
    <x v="1"/>
    <s v="DK2_Medium"/>
    <x v="3"/>
    <x v="7"/>
    <x v="11"/>
    <s v="GNR_BO_NGAS_E-100"/>
    <x v="8"/>
    <n v="8.1126359999999995E-2"/>
  </r>
  <r>
    <x v="0"/>
    <x v="0"/>
    <x v="0"/>
    <x v="0"/>
    <x v="1"/>
    <s v="DK2_Medium"/>
    <x v="3"/>
    <x v="7"/>
    <x v="11"/>
    <s v="GNR_BO_NGAS_E-101"/>
    <x v="8"/>
    <n v="4.807488E-2"/>
  </r>
  <r>
    <x v="0"/>
    <x v="0"/>
    <x v="0"/>
    <x v="0"/>
    <x v="1"/>
    <s v="DK2_Medium"/>
    <x v="3"/>
    <x v="7"/>
    <x v="11"/>
    <s v="GNR_BO_NGAS_E-103"/>
    <x v="8"/>
    <n v="3.405304E-2"/>
  </r>
  <r>
    <x v="0"/>
    <x v="0"/>
    <x v="0"/>
    <x v="0"/>
    <x v="1"/>
    <s v="DK2_Medium"/>
    <x v="3"/>
    <x v="1"/>
    <x v="1"/>
    <s v="GNR_ENG_NGAS_BP_E-35"/>
    <x v="8"/>
    <n v="9.7151319999999996E-3"/>
  </r>
  <r>
    <x v="0"/>
    <x v="0"/>
    <x v="0"/>
    <x v="0"/>
    <x v="1"/>
    <s v="DK2_Medium"/>
    <x v="3"/>
    <x v="1"/>
    <x v="1"/>
    <s v="GNR_ENG_NGAS_BP_E-42"/>
    <x v="8"/>
    <n v="2.0031199999999999E-2"/>
  </r>
  <r>
    <x v="0"/>
    <x v="0"/>
    <x v="0"/>
    <x v="0"/>
    <x v="1"/>
    <s v="DK2_Medium"/>
    <x v="3"/>
    <x v="1"/>
    <x v="1"/>
    <s v="GNR_ENG_NGAS_BP_E-48_Y-2030"/>
    <x v="8"/>
    <n v="2.6412721450964902"/>
  </r>
  <r>
    <x v="0"/>
    <x v="0"/>
    <x v="0"/>
    <x v="0"/>
    <x v="1"/>
    <s v="DK2_Medium"/>
    <x v="5"/>
    <x v="7"/>
    <x v="11"/>
    <s v="GNR_BO_WOODCHI_E-100"/>
    <x v="8"/>
    <n v="0.13584308846413501"/>
  </r>
  <r>
    <x v="0"/>
    <x v="0"/>
    <x v="0"/>
    <x v="0"/>
    <x v="1"/>
    <s v="DK2_Medium"/>
    <x v="5"/>
    <x v="7"/>
    <x v="11"/>
    <s v="GNR_BO_WOODCHI_E-110"/>
    <x v="8"/>
    <n v="0.58492435738674697"/>
  </r>
  <r>
    <x v="0"/>
    <x v="0"/>
    <x v="0"/>
    <x v="0"/>
    <x v="1"/>
    <s v="DK2_Medium"/>
    <x v="5"/>
    <x v="1"/>
    <x v="1"/>
    <s v="GNR_ST_WOODCHI_BP_E-27"/>
    <x v="8"/>
    <n v="1.9830888000000001E-2"/>
  </r>
  <r>
    <x v="0"/>
    <x v="0"/>
    <x v="0"/>
    <x v="0"/>
    <x v="1"/>
    <s v="DK2_Medium"/>
    <x v="16"/>
    <x v="7"/>
    <x v="11"/>
    <s v="GNR_BO_WOODPEL_E-100"/>
    <x v="8"/>
    <n v="3.4875318604238703E-2"/>
  </r>
  <r>
    <x v="0"/>
    <x v="0"/>
    <x v="0"/>
    <x v="0"/>
    <x v="1"/>
    <s v="DK2_Medium"/>
    <x v="16"/>
    <x v="7"/>
    <x v="11"/>
    <s v="GNR_BO_WOODPEL_E-102"/>
    <x v="8"/>
    <n v="0.33131552674026699"/>
  </r>
  <r>
    <x v="0"/>
    <x v="0"/>
    <x v="0"/>
    <x v="0"/>
    <x v="1"/>
    <s v="DK2_NoDH"/>
    <x v="1"/>
    <x v="1"/>
    <x v="1"/>
    <s v="GNR_ENG_BGAS_BP_E-33"/>
    <x v="8"/>
    <n v="2.3035880000000001E-3"/>
  </r>
  <r>
    <x v="0"/>
    <x v="0"/>
    <x v="0"/>
    <x v="0"/>
    <x v="1"/>
    <s v="DK2_NoDH"/>
    <x v="1"/>
    <x v="1"/>
    <x v="1"/>
    <s v="GNR_ENG_BGAS_BP_E-34"/>
    <x v="8"/>
    <n v="1.0015600000000001E-3"/>
  </r>
  <r>
    <x v="0"/>
    <x v="0"/>
    <x v="0"/>
    <x v="0"/>
    <x v="1"/>
    <s v="DK2_NoDH"/>
    <x v="1"/>
    <x v="1"/>
    <x v="1"/>
    <s v="GNR_ENG_BGAS_BP_E-35"/>
    <x v="8"/>
    <n v="2.203432E-3"/>
  </r>
  <r>
    <x v="0"/>
    <x v="0"/>
    <x v="0"/>
    <x v="0"/>
    <x v="1"/>
    <s v="DK2_NoDH"/>
    <x v="1"/>
    <x v="1"/>
    <x v="1"/>
    <s v="GNR_ENG_BGAS_BP_E-36"/>
    <x v="8"/>
    <n v="6.3098280000000004E-4"/>
  </r>
  <r>
    <x v="0"/>
    <x v="0"/>
    <x v="0"/>
    <x v="0"/>
    <x v="1"/>
    <s v="DK2_NoDH"/>
    <x v="1"/>
    <x v="1"/>
    <x v="1"/>
    <s v="GNR_ENG_BGAS_BP_E-37"/>
    <x v="8"/>
    <n v="1.0015600000000001E-3"/>
  </r>
  <r>
    <x v="0"/>
    <x v="0"/>
    <x v="0"/>
    <x v="0"/>
    <x v="1"/>
    <s v="DK2_NoDH"/>
    <x v="1"/>
    <x v="1"/>
    <x v="1"/>
    <s v="GNR_ENG_BGAS_BP_E-38"/>
    <x v="8"/>
    <n v="3.6356627999999998E-3"/>
  </r>
  <r>
    <x v="0"/>
    <x v="0"/>
    <x v="0"/>
    <x v="0"/>
    <x v="1"/>
    <s v="DK2_NoDH"/>
    <x v="1"/>
    <x v="1"/>
    <x v="1"/>
    <s v="GNR_ENG_BGAS_BP_E-39"/>
    <x v="8"/>
    <n v="1.902964E-3"/>
  </r>
  <r>
    <x v="0"/>
    <x v="0"/>
    <x v="0"/>
    <x v="0"/>
    <x v="1"/>
    <s v="DK2_NoDH"/>
    <x v="1"/>
    <x v="1"/>
    <x v="1"/>
    <s v="GNR_ENG_BGAS_BP_E-40"/>
    <x v="8"/>
    <n v="4.0062399999999998E-4"/>
  </r>
  <r>
    <x v="0"/>
    <x v="0"/>
    <x v="0"/>
    <x v="0"/>
    <x v="1"/>
    <s v="DK2_NoDH"/>
    <x v="1"/>
    <x v="1"/>
    <x v="1"/>
    <s v="GNR_ENG_BGAS_BP_E-42"/>
    <x v="8"/>
    <n v="4.4068639999999999E-2"/>
  </r>
  <r>
    <x v="0"/>
    <x v="0"/>
    <x v="0"/>
    <x v="0"/>
    <x v="1"/>
    <s v="DK2_NoDH"/>
    <x v="1"/>
    <x v="4"/>
    <x v="4"/>
    <s v="GNR_ENG_BGAS_CND_E-32"/>
    <x v="8"/>
    <n v="1.302028E-3"/>
  </r>
  <r>
    <x v="0"/>
    <x v="0"/>
    <x v="0"/>
    <x v="0"/>
    <x v="1"/>
    <s v="DK2_NoDH"/>
    <x v="6"/>
    <x v="2"/>
    <x v="2"/>
    <s v="GNR_BO_ELEC_E-100"/>
    <x v="8"/>
    <n v="1.101716E-2"/>
  </r>
  <r>
    <x v="0"/>
    <x v="0"/>
    <x v="0"/>
    <x v="0"/>
    <x v="1"/>
    <s v="DK2_NoDH"/>
    <x v="6"/>
    <x v="3"/>
    <x v="3"/>
    <s v="GNR_ES_ELEC_BAT-LITHIO_E-97_Y-30-50"/>
    <x v="8"/>
    <n v="8.1793285946483607"/>
  </r>
  <r>
    <x v="0"/>
    <x v="0"/>
    <x v="0"/>
    <x v="0"/>
    <x v="1"/>
    <s v="DK2_NoDH"/>
    <x v="15"/>
    <x v="1"/>
    <x v="1"/>
    <s v="GNR_ENG_LIGHTOIL_BP_E-37"/>
    <x v="8"/>
    <n v="0.16024959999999999"/>
  </r>
  <r>
    <x v="0"/>
    <x v="0"/>
    <x v="0"/>
    <x v="0"/>
    <x v="1"/>
    <s v="DK2_NoDH"/>
    <x v="15"/>
    <x v="1"/>
    <x v="1"/>
    <s v="GNR_ENG_LIGHTOIL_BP_E-39"/>
    <x v="8"/>
    <n v="7.812168E-4"/>
  </r>
  <r>
    <x v="0"/>
    <x v="0"/>
    <x v="0"/>
    <x v="0"/>
    <x v="1"/>
    <s v="DK2_NoDH"/>
    <x v="15"/>
    <x v="4"/>
    <x v="4"/>
    <s v="GNR_ENG_LIGHTOIL_CND_E-37"/>
    <x v="8"/>
    <n v="0.20031199999999999"/>
  </r>
  <r>
    <x v="0"/>
    <x v="0"/>
    <x v="0"/>
    <x v="0"/>
    <x v="1"/>
    <s v="DK2_NoDH"/>
    <x v="3"/>
    <x v="7"/>
    <x v="11"/>
    <s v="GNR_BO_NGAS_E-100"/>
    <x v="8"/>
    <n v="2.7042119999999999E-2"/>
  </r>
  <r>
    <x v="0"/>
    <x v="0"/>
    <x v="0"/>
    <x v="0"/>
    <x v="1"/>
    <s v="DK2_NoDH"/>
    <x v="3"/>
    <x v="1"/>
    <x v="1"/>
    <s v="GNR_ENG_NGAS_BP_E-36"/>
    <x v="8"/>
    <n v="1.0015600000000001E-3"/>
  </r>
  <r>
    <x v="0"/>
    <x v="0"/>
    <x v="0"/>
    <x v="0"/>
    <x v="1"/>
    <s v="DK2_NoDH"/>
    <x v="3"/>
    <x v="1"/>
    <x v="1"/>
    <s v="GNR_ENG_NGAS_BP_E-39"/>
    <x v="8"/>
    <n v="6.0694536E-2"/>
  </r>
  <r>
    <x v="0"/>
    <x v="0"/>
    <x v="0"/>
    <x v="0"/>
    <x v="1"/>
    <s v="DK2_NoDH"/>
    <x v="3"/>
    <x v="1"/>
    <x v="1"/>
    <s v="GNR_ENG_NGAS_BP_E-41"/>
    <x v="8"/>
    <n v="1.101716E-2"/>
  </r>
  <r>
    <x v="0"/>
    <x v="0"/>
    <x v="0"/>
    <x v="0"/>
    <x v="1"/>
    <s v="DK2_NoDH"/>
    <x v="3"/>
    <x v="1"/>
    <x v="1"/>
    <s v="GNR_ENG_NGAS_BP_E-46"/>
    <x v="8"/>
    <n v="1.302028E-2"/>
  </r>
  <r>
    <x v="0"/>
    <x v="0"/>
    <x v="0"/>
    <x v="0"/>
    <x v="1"/>
    <s v="DK2_NoDH"/>
    <x v="7"/>
    <x v="5"/>
    <x v="5"/>
    <s v="GNR_PV_SUN"/>
    <x v="8"/>
    <n v="3.0508617482120099"/>
  </r>
  <r>
    <x v="0"/>
    <x v="0"/>
    <x v="0"/>
    <x v="0"/>
    <x v="1"/>
    <s v="DK2_NoDH"/>
    <x v="7"/>
    <x v="5"/>
    <x v="5"/>
    <s v="GNR_PV_SUN_LS-4-MW_Y-2030"/>
    <x v="8"/>
    <n v="13.296099522458301"/>
  </r>
  <r>
    <x v="0"/>
    <x v="0"/>
    <x v="0"/>
    <x v="0"/>
    <x v="1"/>
    <s v="DK2_NoDH"/>
    <x v="8"/>
    <x v="6"/>
    <x v="6"/>
    <s v="GNR_ROR_WTR"/>
    <x v="8"/>
    <n v="3.38317241379311E-4"/>
  </r>
  <r>
    <x v="0"/>
    <x v="0"/>
    <x v="0"/>
    <x v="0"/>
    <x v="1"/>
    <s v="DK2_NoDH"/>
    <x v="9"/>
    <x v="5"/>
    <x v="7"/>
    <s v="GNR_WT_WIND_ONS"/>
    <x v="8"/>
    <n v="7.1974120744959702"/>
  </r>
  <r>
    <x v="0"/>
    <x v="0"/>
    <x v="0"/>
    <x v="0"/>
    <x v="1"/>
    <s v="DK2_NoDH_PHH"/>
    <x v="6"/>
    <x v="2"/>
    <x v="2"/>
    <s v="GNR_BO_ELEC_E-99_LS-10-MW-FEED_PHH_Y-2030"/>
    <x v="8"/>
    <n v="2.8706763563702501E-2"/>
  </r>
  <r>
    <x v="0"/>
    <x v="0"/>
    <x v="0"/>
    <x v="0"/>
    <x v="1"/>
    <s v="DK2_NoDH_PHH"/>
    <x v="3"/>
    <x v="7"/>
    <x v="11"/>
    <s v="GNR_BO_NGAS_E-70_PHH"/>
    <x v="8"/>
    <n v="2.5706767492000002E-2"/>
  </r>
  <r>
    <x v="0"/>
    <x v="0"/>
    <x v="0"/>
    <x v="0"/>
    <x v="1"/>
    <s v="DK2_NoDH_PHL"/>
    <x v="3"/>
    <x v="7"/>
    <x v="11"/>
    <s v="GNR_BO_NGAS_E-82_PHL"/>
    <x v="8"/>
    <n v="1.1340758069693"/>
  </r>
  <r>
    <x v="0"/>
    <x v="0"/>
    <x v="0"/>
    <x v="0"/>
    <x v="1"/>
    <s v="DK2_Offshore"/>
    <x v="9"/>
    <x v="5"/>
    <x v="7"/>
    <s v="GNR_WT_WIND_OFF"/>
    <x v="8"/>
    <n v="48.138218654399999"/>
  </r>
  <r>
    <x v="0"/>
    <x v="0"/>
    <x v="0"/>
    <x v="0"/>
    <x v="1"/>
    <s v="DK2_Rural"/>
    <x v="1"/>
    <x v="1"/>
    <x v="1"/>
    <s v="GNR_ENG_BGAS_BP_E-40"/>
    <x v="8"/>
    <n v="5.3082679999999997E-3"/>
  </r>
  <r>
    <x v="0"/>
    <x v="0"/>
    <x v="0"/>
    <x v="0"/>
    <x v="1"/>
    <s v="DK2_Rural"/>
    <x v="1"/>
    <x v="1"/>
    <x v="1"/>
    <s v="GNR_ENG_BGAS_BP_E-41"/>
    <x v="8"/>
    <n v="2.0031199999999999E-2"/>
  </r>
  <r>
    <x v="0"/>
    <x v="0"/>
    <x v="0"/>
    <x v="0"/>
    <x v="1"/>
    <s v="DK2_Rural"/>
    <x v="1"/>
    <x v="1"/>
    <x v="1"/>
    <s v="GNR_ENG_BGAS_BP_E-42"/>
    <x v="8"/>
    <n v="5.7429450399999998E-2"/>
  </r>
  <r>
    <x v="0"/>
    <x v="0"/>
    <x v="0"/>
    <x v="0"/>
    <x v="1"/>
    <s v="DK2_Rural"/>
    <x v="14"/>
    <x v="7"/>
    <x v="11"/>
    <s v="GNR_BO_BIOIL_E-100"/>
    <x v="8"/>
    <n v="2.0031199999999999E-2"/>
  </r>
  <r>
    <x v="0"/>
    <x v="0"/>
    <x v="0"/>
    <x v="0"/>
    <x v="1"/>
    <s v="DK2_Rural"/>
    <x v="10"/>
    <x v="1"/>
    <x v="1"/>
    <s v="GNR_ST_COAL_BP_E-35"/>
    <x v="8"/>
    <n v="2.119701584"/>
  </r>
  <r>
    <x v="0"/>
    <x v="0"/>
    <x v="0"/>
    <x v="0"/>
    <x v="1"/>
    <s v="DK2_Rural"/>
    <x v="6"/>
    <x v="2"/>
    <x v="2"/>
    <s v="GNR_BO_ELEC_E-100"/>
    <x v="8"/>
    <n v="1.101716E-2"/>
  </r>
  <r>
    <x v="0"/>
    <x v="0"/>
    <x v="0"/>
    <x v="0"/>
    <x v="1"/>
    <s v="DK2_Rural"/>
    <x v="6"/>
    <x v="2"/>
    <x v="2"/>
    <s v="GNR_BO_ELEC_E-98"/>
    <x v="8"/>
    <n v="1.49833376E-2"/>
  </r>
  <r>
    <x v="0"/>
    <x v="0"/>
    <x v="0"/>
    <x v="0"/>
    <x v="1"/>
    <s v="DK2_Rural"/>
    <x v="6"/>
    <x v="2"/>
    <x v="2"/>
    <s v="GNR_HP_ELEC_COP-400"/>
    <x v="8"/>
    <n v="1.6024959999999999E-3"/>
  </r>
  <r>
    <x v="0"/>
    <x v="0"/>
    <x v="0"/>
    <x v="0"/>
    <x v="1"/>
    <s v="DK2_Rural"/>
    <x v="17"/>
    <x v="7"/>
    <x v="11"/>
    <s v="GNR_BO_FUELOIL_E-100"/>
    <x v="8"/>
    <n v="1.201872E-2"/>
  </r>
  <r>
    <x v="0"/>
    <x v="0"/>
    <x v="0"/>
    <x v="0"/>
    <x v="1"/>
    <s v="DK2_Rural"/>
    <x v="17"/>
    <x v="4"/>
    <x v="4"/>
    <s v="GNR_ENG_FUELOIL_CND_E-42"/>
    <x v="8"/>
    <n v="2.0031200000000002E-3"/>
  </r>
  <r>
    <x v="0"/>
    <x v="0"/>
    <x v="0"/>
    <x v="0"/>
    <x v="1"/>
    <s v="DK2_Rural"/>
    <x v="15"/>
    <x v="7"/>
    <x v="11"/>
    <s v="GNR_BO_LIGHTOIL_E-100"/>
    <x v="8"/>
    <n v="1.1217471999999999E-2"/>
  </r>
  <r>
    <x v="0"/>
    <x v="0"/>
    <x v="0"/>
    <x v="0"/>
    <x v="1"/>
    <s v="DK2_Rural"/>
    <x v="15"/>
    <x v="7"/>
    <x v="11"/>
    <s v="GNR_BO_LIGHTOIL_E-110"/>
    <x v="8"/>
    <n v="1.302028E-2"/>
  </r>
  <r>
    <x v="0"/>
    <x v="0"/>
    <x v="0"/>
    <x v="0"/>
    <x v="1"/>
    <s v="DK2_Rural"/>
    <x v="15"/>
    <x v="7"/>
    <x v="11"/>
    <s v="GNR_BO_LIGHTOIL_E-72"/>
    <x v="8"/>
    <n v="1.00156E-2"/>
  </r>
  <r>
    <x v="0"/>
    <x v="0"/>
    <x v="0"/>
    <x v="0"/>
    <x v="1"/>
    <s v="DK2_Rural"/>
    <x v="15"/>
    <x v="7"/>
    <x v="11"/>
    <s v="GNR_BO_LIGHTOIL_E-84"/>
    <x v="8"/>
    <n v="7.6118560000000002E-3"/>
  </r>
  <r>
    <x v="0"/>
    <x v="0"/>
    <x v="0"/>
    <x v="0"/>
    <x v="1"/>
    <s v="DK2_Rural"/>
    <x v="15"/>
    <x v="7"/>
    <x v="11"/>
    <s v="GNR_BO_LIGHTOIL_E-86"/>
    <x v="8"/>
    <n v="8.6134160000000005E-3"/>
  </r>
  <r>
    <x v="0"/>
    <x v="0"/>
    <x v="0"/>
    <x v="0"/>
    <x v="1"/>
    <s v="DK2_Rural"/>
    <x v="15"/>
    <x v="7"/>
    <x v="11"/>
    <s v="GNR_BO_LIGHTOIL_E-91"/>
    <x v="8"/>
    <n v="3.7458343999999998E-2"/>
  </r>
  <r>
    <x v="0"/>
    <x v="0"/>
    <x v="0"/>
    <x v="0"/>
    <x v="1"/>
    <s v="DK2_Rural"/>
    <x v="15"/>
    <x v="1"/>
    <x v="1"/>
    <s v="GNR_ENG_LIGHTOIL_BP_E-43"/>
    <x v="8"/>
    <n v="1.3921684E-3"/>
  </r>
  <r>
    <x v="0"/>
    <x v="0"/>
    <x v="0"/>
    <x v="0"/>
    <x v="1"/>
    <s v="DK2_Rural"/>
    <x v="15"/>
    <x v="4"/>
    <x v="4"/>
    <s v="GNR_ENG_LIGHTOIL_CND_E-37"/>
    <x v="8"/>
    <n v="0.15023400000000001"/>
  </r>
  <r>
    <x v="0"/>
    <x v="0"/>
    <x v="0"/>
    <x v="0"/>
    <x v="1"/>
    <s v="DK2_Rural"/>
    <x v="15"/>
    <x v="4"/>
    <x v="4"/>
    <s v="GNR_ENG_LIGHTOIL_CND_E-41"/>
    <x v="8"/>
    <n v="2.8043679999999998E-3"/>
  </r>
  <r>
    <x v="0"/>
    <x v="0"/>
    <x v="0"/>
    <x v="0"/>
    <x v="1"/>
    <s v="DK2_Rural"/>
    <x v="3"/>
    <x v="7"/>
    <x v="11"/>
    <s v="GNR_BO_NGAS_E-100"/>
    <x v="8"/>
    <n v="6.5101400000000002E-3"/>
  </r>
  <r>
    <x v="0"/>
    <x v="0"/>
    <x v="0"/>
    <x v="0"/>
    <x v="1"/>
    <s v="DK2_Rural"/>
    <x v="3"/>
    <x v="7"/>
    <x v="11"/>
    <s v="GNR_BO_NGAS_E-101"/>
    <x v="8"/>
    <n v="5.208112E-3"/>
  </r>
  <r>
    <x v="0"/>
    <x v="0"/>
    <x v="0"/>
    <x v="0"/>
    <x v="1"/>
    <s v="DK2_Rural"/>
    <x v="3"/>
    <x v="1"/>
    <x v="1"/>
    <s v="GNR_CC_NGAS_BP_E-53_SS-10-MW_Y-2030"/>
    <x v="8"/>
    <n v="1.67186755169709"/>
  </r>
  <r>
    <x v="0"/>
    <x v="0"/>
    <x v="0"/>
    <x v="0"/>
    <x v="1"/>
    <s v="DK2_Rural"/>
    <x v="3"/>
    <x v="1"/>
    <x v="1"/>
    <s v="GNR_ENG_NGAS_BP_E-36"/>
    <x v="8"/>
    <n v="2.8544460000000001E-3"/>
  </r>
  <r>
    <x v="0"/>
    <x v="0"/>
    <x v="0"/>
    <x v="0"/>
    <x v="1"/>
    <s v="DK2_Rural"/>
    <x v="3"/>
    <x v="1"/>
    <x v="1"/>
    <s v="GNR_ENG_NGAS_BP_E-38"/>
    <x v="8"/>
    <n v="3.8560059999999999E-3"/>
  </r>
  <r>
    <x v="0"/>
    <x v="0"/>
    <x v="0"/>
    <x v="0"/>
    <x v="1"/>
    <s v="DK2_Rural"/>
    <x v="3"/>
    <x v="1"/>
    <x v="1"/>
    <s v="GNR_ENG_NGAS_BP_E-40"/>
    <x v="8"/>
    <n v="8.5132600000000003E-2"/>
  </r>
  <r>
    <x v="0"/>
    <x v="0"/>
    <x v="0"/>
    <x v="0"/>
    <x v="1"/>
    <s v="DK2_Rural"/>
    <x v="3"/>
    <x v="1"/>
    <x v="1"/>
    <s v="GNR_ENG_NGAS_BP_E-45"/>
    <x v="8"/>
    <n v="5.0077999999999998E-3"/>
  </r>
  <r>
    <x v="0"/>
    <x v="0"/>
    <x v="0"/>
    <x v="0"/>
    <x v="1"/>
    <s v="DK2_Rural"/>
    <x v="4"/>
    <x v="7"/>
    <x v="11"/>
    <s v="GNR_BO_STRW_E-100"/>
    <x v="8"/>
    <n v="2.3146958583793902"/>
  </r>
  <r>
    <x v="0"/>
    <x v="0"/>
    <x v="0"/>
    <x v="0"/>
    <x v="1"/>
    <s v="DK2_Rural"/>
    <x v="4"/>
    <x v="7"/>
    <x v="11"/>
    <s v="GNR_BO_STRW_E-102"/>
    <x v="8"/>
    <n v="1.7961370752916801"/>
  </r>
  <r>
    <x v="0"/>
    <x v="0"/>
    <x v="0"/>
    <x v="0"/>
    <x v="1"/>
    <s v="DK2_Rural"/>
    <x v="5"/>
    <x v="7"/>
    <x v="11"/>
    <s v="GNR_BO_WOODCHI_E-100"/>
    <x v="8"/>
    <n v="0.75512775646239905"/>
  </r>
  <r>
    <x v="0"/>
    <x v="0"/>
    <x v="0"/>
    <x v="0"/>
    <x v="1"/>
    <s v="DK2_Rural"/>
    <x v="5"/>
    <x v="7"/>
    <x v="11"/>
    <s v="GNR_BO_WOODCHI_E-110"/>
    <x v="8"/>
    <n v="1.2705324156351501"/>
  </r>
  <r>
    <x v="0"/>
    <x v="0"/>
    <x v="0"/>
    <x v="0"/>
    <x v="1"/>
    <s v="DK2_Rural"/>
    <x v="16"/>
    <x v="7"/>
    <x v="11"/>
    <s v="GNR_BO_WOODPEL_E-100"/>
    <x v="8"/>
    <n v="0.613805607434601"/>
  </r>
  <r>
    <x v="0"/>
    <x v="0"/>
    <x v="0"/>
    <x v="0"/>
    <x v="1"/>
    <s v="DK2_Rural"/>
    <x v="16"/>
    <x v="7"/>
    <x v="11"/>
    <s v="GNR_BO_WOODPEL_E-102"/>
    <x v="8"/>
    <n v="9.5558372975613995E-2"/>
  </r>
  <r>
    <x v="0"/>
    <x v="0"/>
    <x v="0"/>
    <x v="0"/>
    <x v="1"/>
    <s v="DK2_Small"/>
    <x v="3"/>
    <x v="7"/>
    <x v="11"/>
    <s v="GNR_BO_NGAS_E-104"/>
    <x v="8"/>
    <n v="9.4146639999999997E-3"/>
  </r>
  <r>
    <x v="0"/>
    <x v="0"/>
    <x v="0"/>
    <x v="0"/>
    <x v="1"/>
    <s v="DK2_Small"/>
    <x v="3"/>
    <x v="1"/>
    <x v="1"/>
    <s v="GNR_CC_NGAS_BP_E-53_SS-10-MW_Y-2030"/>
    <x v="8"/>
    <n v="0.53030849260901802"/>
  </r>
  <r>
    <x v="0"/>
    <x v="0"/>
    <x v="0"/>
    <x v="0"/>
    <x v="1"/>
    <s v="DK2_Small"/>
    <x v="4"/>
    <x v="7"/>
    <x v="11"/>
    <s v="GNR_BO_STRW_E-100"/>
    <x v="8"/>
    <n v="0.27182516855403799"/>
  </r>
  <r>
    <x v="0"/>
    <x v="0"/>
    <x v="0"/>
    <x v="1"/>
    <x v="2"/>
    <s v="EE_Industry"/>
    <x v="1"/>
    <x v="1"/>
    <x v="8"/>
    <s v="GNR_ST_BGAS_EXT_E-38"/>
    <x v="8"/>
    <n v="1.1773440000000001E-3"/>
  </r>
  <r>
    <x v="0"/>
    <x v="0"/>
    <x v="0"/>
    <x v="1"/>
    <x v="2"/>
    <s v="EE_Industry"/>
    <x v="17"/>
    <x v="7"/>
    <x v="11"/>
    <s v="GNR_BO_FUELOIL_E-85"/>
    <x v="8"/>
    <n v="1.9599915999999999"/>
  </r>
  <r>
    <x v="0"/>
    <x v="0"/>
    <x v="0"/>
    <x v="1"/>
    <x v="2"/>
    <s v="EE_Industry"/>
    <x v="18"/>
    <x v="1"/>
    <x v="8"/>
    <s v="GNR_ENG_RETORT-GAS_E-44"/>
    <x v="8"/>
    <n v="1.1699993561199999"/>
  </r>
  <r>
    <x v="0"/>
    <x v="0"/>
    <x v="0"/>
    <x v="1"/>
    <x v="2"/>
    <s v="EE_Industry"/>
    <x v="19"/>
    <x v="1"/>
    <x v="1"/>
    <s v="IMAVERE_ST_WOOD_BP"/>
    <x v="8"/>
    <n v="0.49263131805999999"/>
  </r>
  <r>
    <x v="0"/>
    <x v="0"/>
    <x v="0"/>
    <x v="1"/>
    <x v="2"/>
    <s v="EE_Industry"/>
    <x v="19"/>
    <x v="1"/>
    <x v="1"/>
    <s v="OSULA_ST_WOOD_BP"/>
    <x v="8"/>
    <n v="0.49263131805999999"/>
  </r>
  <r>
    <x v="0"/>
    <x v="0"/>
    <x v="0"/>
    <x v="1"/>
    <x v="2"/>
    <s v="EE_Industry"/>
    <x v="13"/>
    <x v="1"/>
    <x v="1"/>
    <s v="GNR_ST_WOODWST_BP_E-53"/>
    <x v="8"/>
    <n v="0.640420713478"/>
  </r>
  <r>
    <x v="0"/>
    <x v="0"/>
    <x v="0"/>
    <x v="1"/>
    <x v="2"/>
    <s v="EE_Kohtla_Jarve"/>
    <x v="3"/>
    <x v="7"/>
    <x v="11"/>
    <s v="GNR_BO_NGAS_E-85"/>
    <x v="8"/>
    <n v="4.7724333999999997"/>
  </r>
  <r>
    <x v="0"/>
    <x v="0"/>
    <x v="0"/>
    <x v="1"/>
    <x v="2"/>
    <s v="EE_Kohtla_Jarve"/>
    <x v="3"/>
    <x v="1"/>
    <x v="8"/>
    <s v="GNR_ENG_NGAS_EXT_E-44"/>
    <x v="8"/>
    <n v="0.197052523136"/>
  </r>
  <r>
    <x v="0"/>
    <x v="0"/>
    <x v="0"/>
    <x v="1"/>
    <x v="2"/>
    <s v="EE_Kohtla_Jarve"/>
    <x v="20"/>
    <x v="7"/>
    <x v="11"/>
    <s v="GNR_BO_SHALE_E-34"/>
    <x v="8"/>
    <n v="0.51100000000000001"/>
  </r>
  <r>
    <x v="0"/>
    <x v="0"/>
    <x v="0"/>
    <x v="1"/>
    <x v="2"/>
    <s v="EE_Narva"/>
    <x v="17"/>
    <x v="7"/>
    <x v="11"/>
    <s v="GNR_BO_FUELOIL_E-85"/>
    <x v="8"/>
    <n v="0.35361199999999998"/>
  </r>
  <r>
    <x v="0"/>
    <x v="0"/>
    <x v="0"/>
    <x v="1"/>
    <x v="2"/>
    <s v="EE_Narva"/>
    <x v="20"/>
    <x v="4"/>
    <x v="4"/>
    <s v="AUVERE_ST_SHALE_CND"/>
    <x v="8"/>
    <n v="8.4008400000000005"/>
  </r>
  <r>
    <x v="0"/>
    <x v="0"/>
    <x v="0"/>
    <x v="1"/>
    <x v="2"/>
    <s v="EE_Narva"/>
    <x v="20"/>
    <x v="1"/>
    <x v="8"/>
    <s v="NARVA-11_ST_SHALE_EXT"/>
    <x v="8"/>
    <n v="6.5407345919999997"/>
  </r>
  <r>
    <x v="0"/>
    <x v="0"/>
    <x v="0"/>
    <x v="1"/>
    <x v="2"/>
    <s v="EE_Narva"/>
    <x v="20"/>
    <x v="4"/>
    <x v="4"/>
    <s v="NARVA-3_ST_SHALE_CND"/>
    <x v="8"/>
    <n v="5.5863746399999998"/>
  </r>
  <r>
    <x v="0"/>
    <x v="0"/>
    <x v="0"/>
    <x v="1"/>
    <x v="2"/>
    <s v="EE_Narva"/>
    <x v="20"/>
    <x v="4"/>
    <x v="4"/>
    <s v="NARVA-4_ST_SHALE_CND"/>
    <x v="8"/>
    <n v="5.5863746399999998"/>
  </r>
  <r>
    <x v="0"/>
    <x v="0"/>
    <x v="0"/>
    <x v="1"/>
    <x v="2"/>
    <s v="EE_Narva"/>
    <x v="20"/>
    <x v="4"/>
    <x v="4"/>
    <s v="NARVA-5_ST_SHALE_CND"/>
    <x v="8"/>
    <n v="5.8929439800000001"/>
  </r>
  <r>
    <x v="0"/>
    <x v="0"/>
    <x v="0"/>
    <x v="1"/>
    <x v="2"/>
    <s v="EE_Narva"/>
    <x v="20"/>
    <x v="4"/>
    <x v="4"/>
    <s v="NARVA-6_ST_SHALE_CND"/>
    <x v="8"/>
    <n v="5.8929439800000001"/>
  </r>
  <r>
    <x v="0"/>
    <x v="0"/>
    <x v="0"/>
    <x v="1"/>
    <x v="2"/>
    <s v="EE_Narva"/>
    <x v="20"/>
    <x v="4"/>
    <x v="4"/>
    <s v="NARVA-8_ST_SHALE_CND"/>
    <x v="8"/>
    <n v="5.9480399999999998"/>
  </r>
  <r>
    <x v="0"/>
    <x v="0"/>
    <x v="0"/>
    <x v="1"/>
    <x v="2"/>
    <s v="EE_Parnu"/>
    <x v="1"/>
    <x v="1"/>
    <x v="8"/>
    <s v="GNR_ST_BGAS_EXT_E-38"/>
    <x v="8"/>
    <n v="1.1773440000000001E-3"/>
  </r>
  <r>
    <x v="0"/>
    <x v="0"/>
    <x v="0"/>
    <x v="1"/>
    <x v="2"/>
    <s v="EE_Parnu"/>
    <x v="17"/>
    <x v="7"/>
    <x v="11"/>
    <s v="GNR_BO_FUELOIL_E-85"/>
    <x v="8"/>
    <n v="1.8831372"/>
  </r>
  <r>
    <x v="0"/>
    <x v="0"/>
    <x v="0"/>
    <x v="1"/>
    <x v="2"/>
    <s v="EE_Parnu"/>
    <x v="19"/>
    <x v="1"/>
    <x v="1"/>
    <s v="PARNU-1_ST_WOOD_BP"/>
    <x v="8"/>
    <n v="1.083788899732"/>
  </r>
  <r>
    <x v="0"/>
    <x v="0"/>
    <x v="0"/>
    <x v="1"/>
    <x v="2"/>
    <s v="EE_Rural"/>
    <x v="1"/>
    <x v="1"/>
    <x v="8"/>
    <s v="GNR_ST_BGAS_EXT_E-38"/>
    <x v="8"/>
    <n v="3.8852352E-2"/>
  </r>
  <r>
    <x v="0"/>
    <x v="0"/>
    <x v="0"/>
    <x v="1"/>
    <x v="2"/>
    <s v="EE_Rural"/>
    <x v="17"/>
    <x v="7"/>
    <x v="11"/>
    <s v="GNR_BO_FUELOIL_E-85"/>
    <x v="8"/>
    <n v="0.58029160000000002"/>
  </r>
  <r>
    <x v="0"/>
    <x v="0"/>
    <x v="0"/>
    <x v="1"/>
    <x v="2"/>
    <s v="EE_Rural"/>
    <x v="3"/>
    <x v="7"/>
    <x v="11"/>
    <s v="GNR_BO_NGAS_E-85"/>
    <x v="8"/>
    <n v="3.3114843999999999"/>
  </r>
  <r>
    <x v="0"/>
    <x v="0"/>
    <x v="0"/>
    <x v="1"/>
    <x v="2"/>
    <s v="EE_Rural"/>
    <x v="3"/>
    <x v="1"/>
    <x v="8"/>
    <s v="GNR_ENG_NGAS_EXT_E-44"/>
    <x v="8"/>
    <n v="1.47789392352E-2"/>
  </r>
  <r>
    <x v="0"/>
    <x v="0"/>
    <x v="0"/>
    <x v="1"/>
    <x v="2"/>
    <s v="EE_Rural"/>
    <x v="8"/>
    <x v="6"/>
    <x v="6"/>
    <s v="GNR_ROR_WTR"/>
    <x v="8"/>
    <n v="9.0217931034482807E-2"/>
  </r>
  <r>
    <x v="0"/>
    <x v="0"/>
    <x v="0"/>
    <x v="1"/>
    <x v="2"/>
    <s v="EE_Rural"/>
    <x v="9"/>
    <x v="5"/>
    <x v="7"/>
    <s v="GNR_WT_WIND_ONS"/>
    <x v="8"/>
    <n v="6.6920232960000003"/>
  </r>
  <r>
    <x v="0"/>
    <x v="0"/>
    <x v="0"/>
    <x v="1"/>
    <x v="2"/>
    <s v="EE_Rural"/>
    <x v="19"/>
    <x v="7"/>
    <x v="11"/>
    <s v="GNR_BO_WOOD_E-67"/>
    <x v="8"/>
    <n v="4.2923999999999998"/>
  </r>
  <r>
    <x v="0"/>
    <x v="0"/>
    <x v="0"/>
    <x v="1"/>
    <x v="2"/>
    <s v="EE_Rural"/>
    <x v="13"/>
    <x v="1"/>
    <x v="1"/>
    <s v="EBAVERE_ST_WOODWST_BP"/>
    <x v="8"/>
    <n v="0.49263131805999999"/>
  </r>
  <r>
    <x v="0"/>
    <x v="0"/>
    <x v="0"/>
    <x v="1"/>
    <x v="2"/>
    <s v="EE_Sillamae"/>
    <x v="3"/>
    <x v="7"/>
    <x v="11"/>
    <s v="GNR_BO_NGAS_E-85"/>
    <x v="8"/>
    <n v="4.7724333999999997"/>
  </r>
  <r>
    <x v="0"/>
    <x v="0"/>
    <x v="0"/>
    <x v="1"/>
    <x v="2"/>
    <s v="EE_Sillamae"/>
    <x v="3"/>
    <x v="1"/>
    <x v="8"/>
    <s v="GNR_ENG_NGAS_EXT_E-44"/>
    <x v="8"/>
    <n v="0.12315782695999999"/>
  </r>
  <r>
    <x v="0"/>
    <x v="0"/>
    <x v="0"/>
    <x v="1"/>
    <x v="2"/>
    <s v="EE_Sillamae"/>
    <x v="19"/>
    <x v="1"/>
    <x v="1"/>
    <s v="SILLAMAE_ST_WOOD_BP"/>
    <x v="8"/>
    <n v="0.28572616447479998"/>
  </r>
  <r>
    <x v="0"/>
    <x v="0"/>
    <x v="0"/>
    <x v="1"/>
    <x v="2"/>
    <s v="EE_Tallinn"/>
    <x v="17"/>
    <x v="7"/>
    <x v="11"/>
    <s v="GNR_BO_FUELOIL_E-92"/>
    <x v="8"/>
    <n v="0.11073247360000001"/>
  </r>
  <r>
    <x v="0"/>
    <x v="0"/>
    <x v="0"/>
    <x v="1"/>
    <x v="2"/>
    <s v="EE_Tallinn"/>
    <x v="2"/>
    <x v="1"/>
    <x v="1"/>
    <s v="IRU_ST_MSW_BP"/>
    <x v="8"/>
    <n v="0.37063954199999999"/>
  </r>
  <r>
    <x v="0"/>
    <x v="0"/>
    <x v="0"/>
    <x v="1"/>
    <x v="2"/>
    <s v="EE_Tallinn"/>
    <x v="3"/>
    <x v="7"/>
    <x v="11"/>
    <s v="GNR_BO_NGAS_E-85"/>
    <x v="8"/>
    <n v="3.2029845876"/>
  </r>
  <r>
    <x v="0"/>
    <x v="0"/>
    <x v="0"/>
    <x v="1"/>
    <x v="2"/>
    <s v="EE_Tallinn"/>
    <x v="3"/>
    <x v="1"/>
    <x v="8"/>
    <s v="GNR_ENG_NGAS_EXT_E-44"/>
    <x v="8"/>
    <n v="1.8473674044000001E-2"/>
  </r>
  <r>
    <x v="0"/>
    <x v="0"/>
    <x v="0"/>
    <x v="1"/>
    <x v="2"/>
    <s v="EE_Tallinn"/>
    <x v="19"/>
    <x v="1"/>
    <x v="1"/>
    <s v="MUSTAMAE_ST_WOOD_BP"/>
    <x v="8"/>
    <n v="0.49263131805999999"/>
  </r>
  <r>
    <x v="0"/>
    <x v="0"/>
    <x v="0"/>
    <x v="1"/>
    <x v="2"/>
    <s v="EE_Tallinn"/>
    <x v="19"/>
    <x v="1"/>
    <x v="1"/>
    <s v="VAO-1_ST_WOOD_BP"/>
    <x v="8"/>
    <n v="1.2315782951500001"/>
  </r>
  <r>
    <x v="0"/>
    <x v="0"/>
    <x v="0"/>
    <x v="1"/>
    <x v="2"/>
    <s v="EE_Tallinn"/>
    <x v="19"/>
    <x v="1"/>
    <x v="1"/>
    <s v="VAO-2_ST_WOOD_BP"/>
    <x v="8"/>
    <n v="1.034525767926"/>
  </r>
  <r>
    <x v="0"/>
    <x v="0"/>
    <x v="0"/>
    <x v="1"/>
    <x v="2"/>
    <s v="EE_Tartu"/>
    <x v="3"/>
    <x v="7"/>
    <x v="11"/>
    <s v="GNR_BO_NGAS_E-85"/>
    <x v="8"/>
    <n v="2.6222086617999998"/>
  </r>
  <r>
    <x v="0"/>
    <x v="0"/>
    <x v="0"/>
    <x v="1"/>
    <x v="2"/>
    <s v="EE_Tartu"/>
    <x v="19"/>
    <x v="1"/>
    <x v="1"/>
    <s v="TARTU-1_ST_WOOD_BP"/>
    <x v="8"/>
    <n v="1.083788899732"/>
  </r>
  <r>
    <x v="0"/>
    <x v="0"/>
    <x v="0"/>
    <x v="1"/>
    <x v="2"/>
    <s v="EE_Urban"/>
    <x v="1"/>
    <x v="1"/>
    <x v="8"/>
    <s v="GNR_ST_BGAS_EXT_E-38"/>
    <x v="8"/>
    <n v="1.1773440000000001E-3"/>
  </r>
  <r>
    <x v="0"/>
    <x v="0"/>
    <x v="0"/>
    <x v="1"/>
    <x v="2"/>
    <s v="EE_Urban"/>
    <x v="17"/>
    <x v="7"/>
    <x v="11"/>
    <s v="GNR_BO_FUELOIL_E-85"/>
    <x v="8"/>
    <n v="0.86859779999999998"/>
  </r>
  <r>
    <x v="0"/>
    <x v="0"/>
    <x v="0"/>
    <x v="1"/>
    <x v="2"/>
    <s v="EE_Urban"/>
    <x v="3"/>
    <x v="7"/>
    <x v="11"/>
    <s v="GNR_BO_NGAS_E-85"/>
    <x v="8"/>
    <n v="4.9672266"/>
  </r>
  <r>
    <x v="0"/>
    <x v="0"/>
    <x v="0"/>
    <x v="1"/>
    <x v="2"/>
    <s v="EE_Urban"/>
    <x v="3"/>
    <x v="1"/>
    <x v="8"/>
    <s v="GNR_ENG_NGAS_EXT_E-44"/>
    <x v="8"/>
    <n v="1.1084204426400001E-2"/>
  </r>
  <r>
    <x v="0"/>
    <x v="0"/>
    <x v="0"/>
    <x v="1"/>
    <x v="2"/>
    <s v="EE_Urban"/>
    <x v="19"/>
    <x v="7"/>
    <x v="11"/>
    <s v="GNR_BO_WOOD_E-67"/>
    <x v="8"/>
    <n v="13.592599999999999"/>
  </r>
  <r>
    <x v="0"/>
    <x v="0"/>
    <x v="0"/>
    <x v="1"/>
    <x v="2"/>
    <s v="EE_Urban"/>
    <x v="19"/>
    <x v="1"/>
    <x v="1"/>
    <s v="GNR_ST_WOOD_BP_E-53"/>
    <x v="8"/>
    <n v="0.59115758167200005"/>
  </r>
  <r>
    <x v="0"/>
    <x v="0"/>
    <x v="0"/>
    <x v="2"/>
    <x v="3"/>
    <s v="FI_IND"/>
    <x v="1"/>
    <x v="1"/>
    <x v="1"/>
    <s v="GNR_IND-ST_BGAS_BP_CB-30"/>
    <x v="8"/>
    <n v="2.7094721931200001E-2"/>
  </r>
  <r>
    <x v="0"/>
    <x v="0"/>
    <x v="0"/>
    <x v="2"/>
    <x v="3"/>
    <s v="FI_IND"/>
    <x v="17"/>
    <x v="7"/>
    <x v="11"/>
    <s v="GNR_BO_FUELOIL_E-90"/>
    <x v="8"/>
    <n v="0.36456783999999998"/>
  </r>
  <r>
    <x v="0"/>
    <x v="0"/>
    <x v="0"/>
    <x v="2"/>
    <x v="3"/>
    <s v="FI_IND"/>
    <x v="17"/>
    <x v="1"/>
    <x v="1"/>
    <s v="GNR_IND-ST_FUELOIL_BP_CB-30"/>
    <x v="8"/>
    <n v="1.1722258240000001"/>
  </r>
  <r>
    <x v="0"/>
    <x v="0"/>
    <x v="0"/>
    <x v="2"/>
    <x v="3"/>
    <s v="FI_IND"/>
    <x v="15"/>
    <x v="7"/>
    <x v="11"/>
    <s v="GNR_BO_LIGHTOIL_E-90"/>
    <x v="8"/>
    <n v="8.6134160000000001E-2"/>
  </r>
  <r>
    <x v="0"/>
    <x v="0"/>
    <x v="0"/>
    <x v="2"/>
    <x v="3"/>
    <s v="FI_IND"/>
    <x v="15"/>
    <x v="1"/>
    <x v="1"/>
    <s v="GNR_IND-ST_LIGHTOIL_BP_CB-30"/>
    <x v="8"/>
    <n v="6.0894848000000001E-2"/>
  </r>
  <r>
    <x v="0"/>
    <x v="0"/>
    <x v="0"/>
    <x v="2"/>
    <x v="3"/>
    <s v="FI_IND"/>
    <x v="2"/>
    <x v="1"/>
    <x v="1"/>
    <s v="GNR_IND-ST_MSW_BP_CB-30"/>
    <x v="8"/>
    <n v="10.616536"/>
  </r>
  <r>
    <x v="0"/>
    <x v="0"/>
    <x v="0"/>
    <x v="2"/>
    <x v="3"/>
    <s v="FI_IND"/>
    <x v="3"/>
    <x v="7"/>
    <x v="11"/>
    <s v="GNR_BO_NGAS_E-90"/>
    <x v="8"/>
    <n v="3.0095549400000001"/>
  </r>
  <r>
    <x v="0"/>
    <x v="0"/>
    <x v="0"/>
    <x v="2"/>
    <x v="3"/>
    <s v="FI_IND"/>
    <x v="3"/>
    <x v="1"/>
    <x v="1"/>
    <s v="GNR_IND-ST_NGAS_BP_CB-30"/>
    <x v="8"/>
    <n v="2.3707881689799999"/>
  </r>
  <r>
    <x v="0"/>
    <x v="0"/>
    <x v="0"/>
    <x v="2"/>
    <x v="3"/>
    <s v="FI_IND"/>
    <x v="21"/>
    <x v="1"/>
    <x v="8"/>
    <s v="ALHOLMEN2_IND-ST_PEAT_EXT"/>
    <x v="8"/>
    <n v="9.6149760000000004"/>
  </r>
  <r>
    <x v="0"/>
    <x v="0"/>
    <x v="0"/>
    <x v="2"/>
    <x v="3"/>
    <s v="FI_IND"/>
    <x v="21"/>
    <x v="7"/>
    <x v="11"/>
    <s v="GNR_BO_PEAT_E-90"/>
    <x v="8"/>
    <n v="7.1437799999999996E-2"/>
  </r>
  <r>
    <x v="0"/>
    <x v="0"/>
    <x v="0"/>
    <x v="2"/>
    <x v="3"/>
    <s v="FI_IND"/>
    <x v="21"/>
    <x v="1"/>
    <x v="1"/>
    <s v="GNR_IND-ST_PEAT_BP_CB-20"/>
    <x v="8"/>
    <n v="0.76118560000000002"/>
  </r>
  <r>
    <x v="0"/>
    <x v="0"/>
    <x v="0"/>
    <x v="2"/>
    <x v="3"/>
    <s v="FI_IND"/>
    <x v="21"/>
    <x v="1"/>
    <x v="1"/>
    <s v="GNR_IND-ST_PEAT_BP_CB-30"/>
    <x v="8"/>
    <n v="7.0189324800000001"/>
  </r>
  <r>
    <x v="0"/>
    <x v="0"/>
    <x v="0"/>
    <x v="2"/>
    <x v="3"/>
    <s v="FI_IND"/>
    <x v="5"/>
    <x v="7"/>
    <x v="11"/>
    <s v="GNR_BO_WOODCHI_E-90"/>
    <x v="8"/>
    <n v="0.17979232296723799"/>
  </r>
  <r>
    <x v="0"/>
    <x v="0"/>
    <x v="0"/>
    <x v="2"/>
    <x v="3"/>
    <s v="FI_IND"/>
    <x v="5"/>
    <x v="1"/>
    <x v="1"/>
    <s v="GNR_IND-ST_WOODCHI_BP_CB-20"/>
    <x v="8"/>
    <n v="2.5840247999999999"/>
  </r>
  <r>
    <x v="0"/>
    <x v="0"/>
    <x v="0"/>
    <x v="2"/>
    <x v="3"/>
    <s v="FI_IND"/>
    <x v="5"/>
    <x v="1"/>
    <x v="1"/>
    <s v="GNR_IND-ST_WOODCHI_BP_CB-30"/>
    <x v="8"/>
    <n v="4.8916190400000001"/>
  </r>
  <r>
    <x v="0"/>
    <x v="0"/>
    <x v="0"/>
    <x v="2"/>
    <x v="3"/>
    <s v="FI_IND"/>
    <x v="5"/>
    <x v="1"/>
    <x v="1"/>
    <s v="GNR_IND-ST_WOODCHI_BP_CB-70"/>
    <x v="8"/>
    <n v="1.6225271999999999"/>
  </r>
  <r>
    <x v="0"/>
    <x v="0"/>
    <x v="0"/>
    <x v="2"/>
    <x v="3"/>
    <s v="FI_IND"/>
    <x v="16"/>
    <x v="7"/>
    <x v="11"/>
    <s v="GNR_BO_WOODPEL_E-90"/>
    <x v="8"/>
    <n v="2.3401245000000001E-2"/>
  </r>
  <r>
    <x v="0"/>
    <x v="0"/>
    <x v="0"/>
    <x v="2"/>
    <x v="3"/>
    <s v="FI_IND"/>
    <x v="13"/>
    <x v="7"/>
    <x v="11"/>
    <s v="GNR_BO_WOODWST_E-90"/>
    <x v="8"/>
    <n v="2.7464313400837999E-2"/>
  </r>
  <r>
    <x v="0"/>
    <x v="0"/>
    <x v="0"/>
    <x v="2"/>
    <x v="3"/>
    <s v="FI_IND"/>
    <x v="13"/>
    <x v="1"/>
    <x v="1"/>
    <s v="GNR_IND-ST_BLACKLIC_BP_CB-20"/>
    <x v="8"/>
    <n v="1.7126676000000001"/>
  </r>
  <r>
    <x v="0"/>
    <x v="0"/>
    <x v="0"/>
    <x v="2"/>
    <x v="3"/>
    <s v="FI_IND"/>
    <x v="13"/>
    <x v="1"/>
    <x v="1"/>
    <s v="GNR_IND-ST_BLACKLIC_BP_CB-30"/>
    <x v="8"/>
    <n v="34.215292720000001"/>
  </r>
  <r>
    <x v="0"/>
    <x v="0"/>
    <x v="0"/>
    <x v="2"/>
    <x v="3"/>
    <s v="FI_IND"/>
    <x v="13"/>
    <x v="1"/>
    <x v="1"/>
    <s v="GNR_IND-ST_WOODWST_BP_CB-30"/>
    <x v="8"/>
    <n v="8.8998621599999996"/>
  </r>
  <r>
    <x v="0"/>
    <x v="0"/>
    <x v="0"/>
    <x v="2"/>
    <x v="3"/>
    <s v="FI_large"/>
    <x v="1"/>
    <x v="7"/>
    <x v="11"/>
    <s v="GNR_BO_BGAS_E-90"/>
    <x v="8"/>
    <n v="8.0124800000000006E-3"/>
  </r>
  <r>
    <x v="0"/>
    <x v="0"/>
    <x v="0"/>
    <x v="2"/>
    <x v="3"/>
    <s v="FI_large"/>
    <x v="17"/>
    <x v="7"/>
    <x v="11"/>
    <s v="GNR_BO_FUELOIL_E-90"/>
    <x v="8"/>
    <n v="0.7461622"/>
  </r>
  <r>
    <x v="0"/>
    <x v="0"/>
    <x v="0"/>
    <x v="2"/>
    <x v="3"/>
    <s v="FI_large"/>
    <x v="15"/>
    <x v="7"/>
    <x v="11"/>
    <s v="GNR_BO_LIGHTOIL_E-90"/>
    <x v="8"/>
    <n v="0.17747643199999999"/>
  </r>
  <r>
    <x v="0"/>
    <x v="0"/>
    <x v="0"/>
    <x v="2"/>
    <x v="3"/>
    <s v="FI_large"/>
    <x v="21"/>
    <x v="7"/>
    <x v="11"/>
    <s v="GNR_BO_PEAT_E-90"/>
    <x v="8"/>
    <n v="2.4528000000000001E-2"/>
  </r>
  <r>
    <x v="0"/>
    <x v="0"/>
    <x v="0"/>
    <x v="2"/>
    <x v="3"/>
    <s v="FI_large"/>
    <x v="21"/>
    <x v="1"/>
    <x v="8"/>
    <s v="KELJONLAHTI_ST_PEAT_EXT"/>
    <x v="8"/>
    <n v="7.59983728"/>
  </r>
  <r>
    <x v="0"/>
    <x v="0"/>
    <x v="0"/>
    <x v="2"/>
    <x v="3"/>
    <s v="FI_large"/>
    <x v="21"/>
    <x v="1"/>
    <x v="8"/>
    <s v="TOPPILA2_ST_PEAT_EXT"/>
    <x v="8"/>
    <n v="5.4084240000000001"/>
  </r>
  <r>
    <x v="0"/>
    <x v="0"/>
    <x v="0"/>
    <x v="2"/>
    <x v="3"/>
    <s v="FI_large"/>
    <x v="5"/>
    <x v="7"/>
    <x v="11"/>
    <s v="GNR_BO_WOODCHI_E-90"/>
    <x v="8"/>
    <n v="2.5490556011799499"/>
  </r>
  <r>
    <x v="0"/>
    <x v="0"/>
    <x v="0"/>
    <x v="2"/>
    <x v="3"/>
    <s v="FI_large"/>
    <x v="5"/>
    <x v="1"/>
    <x v="1"/>
    <s v="GNR_IND-ST_WOODCHI_BP_CB-50"/>
    <x v="8"/>
    <n v="8.4131040000000006"/>
  </r>
  <r>
    <x v="0"/>
    <x v="0"/>
    <x v="0"/>
    <x v="2"/>
    <x v="3"/>
    <s v="FI_large"/>
    <x v="5"/>
    <x v="1"/>
    <x v="1"/>
    <s v="GNR_ST_WOODCHI_BP_CB-40"/>
    <x v="8"/>
    <n v="4.2065520000000003"/>
  </r>
  <r>
    <x v="0"/>
    <x v="0"/>
    <x v="0"/>
    <x v="2"/>
    <x v="3"/>
    <s v="FI_large"/>
    <x v="16"/>
    <x v="7"/>
    <x v="11"/>
    <s v="GNR_BO_WOODPEL_E-90"/>
    <x v="8"/>
    <n v="1.28772E-2"/>
  </r>
  <r>
    <x v="0"/>
    <x v="0"/>
    <x v="0"/>
    <x v="2"/>
    <x v="3"/>
    <s v="FI_large"/>
    <x v="13"/>
    <x v="7"/>
    <x v="11"/>
    <s v="GNR_BO_WOODWST_E-90"/>
    <x v="8"/>
    <n v="0.13950127441695501"/>
  </r>
  <r>
    <x v="0"/>
    <x v="0"/>
    <x v="0"/>
    <x v="2"/>
    <x v="3"/>
    <s v="FI_large_gas"/>
    <x v="1"/>
    <x v="1"/>
    <x v="1"/>
    <s v="GNR_ST_BGAS_BP_CB-40"/>
    <x v="8"/>
    <n v="0.49263130783999998"/>
  </r>
  <r>
    <x v="0"/>
    <x v="0"/>
    <x v="0"/>
    <x v="2"/>
    <x v="3"/>
    <s v="FI_large_gas"/>
    <x v="6"/>
    <x v="2"/>
    <x v="2"/>
    <s v="GNR_HP_ELEC_COP-270"/>
    <x v="8"/>
    <n v="8.0124799999999996E-2"/>
  </r>
  <r>
    <x v="0"/>
    <x v="0"/>
    <x v="0"/>
    <x v="2"/>
    <x v="3"/>
    <s v="FI_large_gas"/>
    <x v="17"/>
    <x v="7"/>
    <x v="11"/>
    <s v="GNR_BO_FUELOIL_E-90"/>
    <x v="8"/>
    <n v="0.80525424000000001"/>
  </r>
  <r>
    <x v="0"/>
    <x v="0"/>
    <x v="0"/>
    <x v="2"/>
    <x v="3"/>
    <s v="FI_large_gas"/>
    <x v="15"/>
    <x v="7"/>
    <x v="11"/>
    <s v="GNR_BO_LIGHTOIL_E-90"/>
    <x v="8"/>
    <n v="0.49477063999999998"/>
  </r>
  <r>
    <x v="0"/>
    <x v="0"/>
    <x v="0"/>
    <x v="2"/>
    <x v="3"/>
    <s v="FI_large_gas"/>
    <x v="2"/>
    <x v="1"/>
    <x v="1"/>
    <s v="GNR_ST_MSW_BP_CB-30"/>
    <x v="8"/>
    <n v="8.3129480000000004"/>
  </r>
  <r>
    <x v="0"/>
    <x v="0"/>
    <x v="0"/>
    <x v="2"/>
    <x v="3"/>
    <s v="FI_large_gas"/>
    <x v="3"/>
    <x v="7"/>
    <x v="11"/>
    <s v="GNR_BO_NGAS_E-90"/>
    <x v="8"/>
    <n v="9.8321867699999999"/>
  </r>
  <r>
    <x v="0"/>
    <x v="0"/>
    <x v="0"/>
    <x v="2"/>
    <x v="3"/>
    <s v="FI_large_gas"/>
    <x v="3"/>
    <x v="1"/>
    <x v="1"/>
    <s v="GNR_CC_NGAS_BP_CB-110"/>
    <x v="8"/>
    <n v="7.0309511999999996"/>
  </r>
  <r>
    <x v="0"/>
    <x v="0"/>
    <x v="0"/>
    <x v="2"/>
    <x v="3"/>
    <s v="FI_large_gas"/>
    <x v="3"/>
    <x v="1"/>
    <x v="1"/>
    <s v="GNR_GT_NGAS_BP_CB-150"/>
    <x v="8"/>
    <n v="0.92143520000000001"/>
  </r>
  <r>
    <x v="0"/>
    <x v="0"/>
    <x v="0"/>
    <x v="2"/>
    <x v="3"/>
    <s v="FI_large_gas"/>
    <x v="3"/>
    <x v="1"/>
    <x v="1"/>
    <s v="GNR_ST_NGAS_BP_CB-130"/>
    <x v="8"/>
    <n v="1.2562098349919999"/>
  </r>
  <r>
    <x v="0"/>
    <x v="0"/>
    <x v="0"/>
    <x v="2"/>
    <x v="3"/>
    <s v="FI_large_gas"/>
    <x v="16"/>
    <x v="7"/>
    <x v="11"/>
    <s v="GNR_BO_WOODPEL_E-90"/>
    <x v="8"/>
    <n v="0.30659999999999998"/>
  </r>
  <r>
    <x v="0"/>
    <x v="0"/>
    <x v="0"/>
    <x v="2"/>
    <x v="3"/>
    <s v="FI_large_gas"/>
    <x v="13"/>
    <x v="1"/>
    <x v="1"/>
    <s v="GNR_IND-ST_WOODWST_BP_CB-50"/>
    <x v="8"/>
    <n v="7.1511383999999998"/>
  </r>
  <r>
    <x v="0"/>
    <x v="0"/>
    <x v="0"/>
    <x v="2"/>
    <x v="3"/>
    <s v="FI_medium"/>
    <x v="1"/>
    <x v="7"/>
    <x v="11"/>
    <s v="GNR_BO_BGAS_E-90"/>
    <x v="8"/>
    <n v="8.0124799999999996E-4"/>
  </r>
  <r>
    <x v="0"/>
    <x v="0"/>
    <x v="0"/>
    <x v="2"/>
    <x v="3"/>
    <s v="FI_medium"/>
    <x v="1"/>
    <x v="1"/>
    <x v="1"/>
    <s v="GNR_ENG_BGAS_BP_CB-100"/>
    <x v="8"/>
    <n v="1.6024960000000001E-2"/>
  </r>
  <r>
    <x v="0"/>
    <x v="0"/>
    <x v="0"/>
    <x v="2"/>
    <x v="3"/>
    <s v="FI_medium"/>
    <x v="1"/>
    <x v="1"/>
    <x v="1"/>
    <s v="GNR_GT_BGAS_BP_CB-30"/>
    <x v="8"/>
    <n v="2.6674200000000002E-3"/>
  </r>
  <r>
    <x v="0"/>
    <x v="0"/>
    <x v="0"/>
    <x v="2"/>
    <x v="3"/>
    <s v="FI_medium"/>
    <x v="17"/>
    <x v="7"/>
    <x v="11"/>
    <s v="GNR_BO_FUELOIL_E-90"/>
    <x v="8"/>
    <n v="0.79203364799999998"/>
  </r>
  <r>
    <x v="0"/>
    <x v="0"/>
    <x v="0"/>
    <x v="2"/>
    <x v="3"/>
    <s v="FI_medium"/>
    <x v="15"/>
    <x v="7"/>
    <x v="11"/>
    <s v="GNR_BO_LIGHTOIL_E-90"/>
    <x v="8"/>
    <n v="1.0354127280000001"/>
  </r>
  <r>
    <x v="0"/>
    <x v="0"/>
    <x v="0"/>
    <x v="2"/>
    <x v="3"/>
    <s v="FI_medium"/>
    <x v="2"/>
    <x v="7"/>
    <x v="11"/>
    <s v="GNR_BO_MSW_E-90"/>
    <x v="8"/>
    <n v="5.4205720740797396"/>
  </r>
  <r>
    <x v="0"/>
    <x v="0"/>
    <x v="0"/>
    <x v="2"/>
    <x v="3"/>
    <s v="FI_medium"/>
    <x v="2"/>
    <x v="1"/>
    <x v="1"/>
    <s v="GNR_ST_MSW_BP_CB-30"/>
    <x v="8"/>
    <n v="4.6071759999999999"/>
  </r>
  <r>
    <x v="0"/>
    <x v="0"/>
    <x v="0"/>
    <x v="2"/>
    <x v="3"/>
    <s v="FI_medium"/>
    <x v="22"/>
    <x v="1"/>
    <x v="1"/>
    <s v="GNR_ST_BFG_BP_CB-280"/>
    <x v="8"/>
    <n v="1.3547360965599999"/>
  </r>
  <r>
    <x v="0"/>
    <x v="0"/>
    <x v="0"/>
    <x v="2"/>
    <x v="3"/>
    <s v="FI_medium"/>
    <x v="21"/>
    <x v="7"/>
    <x v="11"/>
    <s v="GNR_BO_PEAT_E-90"/>
    <x v="8"/>
    <n v="0.55188000000000004"/>
  </r>
  <r>
    <x v="0"/>
    <x v="0"/>
    <x v="0"/>
    <x v="2"/>
    <x v="3"/>
    <s v="FI_medium"/>
    <x v="21"/>
    <x v="1"/>
    <x v="1"/>
    <s v="GNR_ST_PEAT_BP_CB-120"/>
    <x v="8"/>
    <n v="5.0077999999999996"/>
  </r>
  <r>
    <x v="0"/>
    <x v="0"/>
    <x v="0"/>
    <x v="2"/>
    <x v="3"/>
    <s v="FI_medium"/>
    <x v="21"/>
    <x v="1"/>
    <x v="1"/>
    <s v="GNR_ST_PEAT_BP_CB-30"/>
    <x v="8"/>
    <n v="0.54084239999999995"/>
  </r>
  <r>
    <x v="0"/>
    <x v="0"/>
    <x v="0"/>
    <x v="2"/>
    <x v="3"/>
    <s v="FI_medium"/>
    <x v="21"/>
    <x v="1"/>
    <x v="1"/>
    <s v="GNR_ST_PEAT_BP_CB-40"/>
    <x v="8"/>
    <n v="0.62497343999999999"/>
  </r>
  <r>
    <x v="0"/>
    <x v="0"/>
    <x v="0"/>
    <x v="2"/>
    <x v="3"/>
    <s v="FI_medium"/>
    <x v="21"/>
    <x v="1"/>
    <x v="1"/>
    <s v="GNR_ST_PEAT_BP_CB-50"/>
    <x v="8"/>
    <n v="0.58891727999999999"/>
  </r>
  <r>
    <x v="0"/>
    <x v="0"/>
    <x v="0"/>
    <x v="2"/>
    <x v="3"/>
    <s v="FI_medium"/>
    <x v="5"/>
    <x v="7"/>
    <x v="11"/>
    <s v="GNR_BO_WOODCHI_E-90"/>
    <x v="8"/>
    <n v="5.9411374278285001"/>
  </r>
  <r>
    <x v="0"/>
    <x v="0"/>
    <x v="0"/>
    <x v="2"/>
    <x v="3"/>
    <s v="FI_medium"/>
    <x v="5"/>
    <x v="1"/>
    <x v="1"/>
    <s v="GNR_ST_WOODCHI_BP_CB-20"/>
    <x v="8"/>
    <n v="0.34854288"/>
  </r>
  <r>
    <x v="0"/>
    <x v="0"/>
    <x v="0"/>
    <x v="2"/>
    <x v="3"/>
    <s v="FI_medium"/>
    <x v="5"/>
    <x v="1"/>
    <x v="1"/>
    <s v="GNR_ST_WOODCHI_BP_CB-50"/>
    <x v="8"/>
    <n v="4.8675816000000003"/>
  </r>
  <r>
    <x v="0"/>
    <x v="0"/>
    <x v="0"/>
    <x v="2"/>
    <x v="3"/>
    <s v="FI_medium"/>
    <x v="16"/>
    <x v="7"/>
    <x v="11"/>
    <s v="GNR_BO_WOODPEL_E-90"/>
    <x v="8"/>
    <n v="0.51723419999999998"/>
  </r>
  <r>
    <x v="0"/>
    <x v="0"/>
    <x v="0"/>
    <x v="2"/>
    <x v="3"/>
    <s v="FI_medium"/>
    <x v="13"/>
    <x v="7"/>
    <x v="11"/>
    <s v="GNR_BO_WOODWST_E-90"/>
    <x v="8"/>
    <n v="1.30782444765895"/>
  </r>
  <r>
    <x v="0"/>
    <x v="0"/>
    <x v="0"/>
    <x v="2"/>
    <x v="3"/>
    <s v="FI_medium_gas"/>
    <x v="1"/>
    <x v="7"/>
    <x v="11"/>
    <s v="GNR_BO_BGAS_E-90"/>
    <x v="8"/>
    <n v="8.0124800000000006E-3"/>
  </r>
  <r>
    <x v="0"/>
    <x v="0"/>
    <x v="0"/>
    <x v="2"/>
    <x v="3"/>
    <s v="FI_medium_gas"/>
    <x v="1"/>
    <x v="1"/>
    <x v="1"/>
    <s v="GNR_GT_BGAS_BP_CB-100"/>
    <x v="8"/>
    <n v="2.9341619999999999E-2"/>
  </r>
  <r>
    <x v="0"/>
    <x v="0"/>
    <x v="0"/>
    <x v="2"/>
    <x v="3"/>
    <s v="FI_medium_gas"/>
    <x v="17"/>
    <x v="7"/>
    <x v="11"/>
    <s v="GNR_BO_FUELOIL_E-90"/>
    <x v="8"/>
    <n v="0.13821528"/>
  </r>
  <r>
    <x v="0"/>
    <x v="0"/>
    <x v="0"/>
    <x v="2"/>
    <x v="3"/>
    <s v="FI_medium_gas"/>
    <x v="15"/>
    <x v="7"/>
    <x v="11"/>
    <s v="GNR_BO_LIGHTOIL_E-90"/>
    <x v="8"/>
    <n v="5.2882367999999999E-2"/>
  </r>
  <r>
    <x v="0"/>
    <x v="0"/>
    <x v="0"/>
    <x v="2"/>
    <x v="3"/>
    <s v="FI_medium_gas"/>
    <x v="2"/>
    <x v="1"/>
    <x v="1"/>
    <s v="GNR_ST_MSW_BP_CB-30"/>
    <x v="8"/>
    <n v="1.4021840000000001"/>
  </r>
  <r>
    <x v="0"/>
    <x v="0"/>
    <x v="0"/>
    <x v="2"/>
    <x v="3"/>
    <s v="FI_medium_gas"/>
    <x v="3"/>
    <x v="7"/>
    <x v="11"/>
    <s v="GNR_BO_NGAS_E-90"/>
    <x v="8"/>
    <n v="3.2423328140000001"/>
  </r>
  <r>
    <x v="0"/>
    <x v="0"/>
    <x v="0"/>
    <x v="2"/>
    <x v="3"/>
    <s v="FI_medium_gas"/>
    <x v="5"/>
    <x v="7"/>
    <x v="11"/>
    <s v="GNR_BO_WOODCHI_E-90"/>
    <x v="8"/>
    <n v="2.3732586631675399"/>
  </r>
  <r>
    <x v="0"/>
    <x v="0"/>
    <x v="0"/>
    <x v="2"/>
    <x v="3"/>
    <s v="FI_medium_gas"/>
    <x v="5"/>
    <x v="1"/>
    <x v="1"/>
    <s v="GNR_ST_WOODCHI_BP_CB-30"/>
    <x v="8"/>
    <n v="0.57088919999999999"/>
  </r>
  <r>
    <x v="0"/>
    <x v="0"/>
    <x v="0"/>
    <x v="2"/>
    <x v="3"/>
    <s v="FI_medium_gas"/>
    <x v="5"/>
    <x v="1"/>
    <x v="1"/>
    <s v="GNR_ST_WOODCHI_BP_CB-40"/>
    <x v="8"/>
    <n v="1.2018720000000001"/>
  </r>
  <r>
    <x v="0"/>
    <x v="0"/>
    <x v="0"/>
    <x v="2"/>
    <x v="3"/>
    <s v="FI_medium_gas"/>
    <x v="5"/>
    <x v="1"/>
    <x v="1"/>
    <s v="GNR_ST_WOODCHI_BP_CB-50"/>
    <x v="8"/>
    <n v="1.3220592"/>
  </r>
  <r>
    <x v="0"/>
    <x v="0"/>
    <x v="0"/>
    <x v="2"/>
    <x v="3"/>
    <s v="FI_medium_gas"/>
    <x v="16"/>
    <x v="7"/>
    <x v="11"/>
    <s v="GNR_BO_WOODPEL_E-90"/>
    <x v="8"/>
    <n v="4.7523000000000003E-2"/>
  </r>
  <r>
    <x v="0"/>
    <x v="0"/>
    <x v="0"/>
    <x v="2"/>
    <x v="3"/>
    <s v="FI_medium_gas"/>
    <x v="13"/>
    <x v="7"/>
    <x v="11"/>
    <s v="GNR_BO_WOODWST_E-90"/>
    <x v="8"/>
    <n v="2.0890315843938998"/>
  </r>
  <r>
    <x v="0"/>
    <x v="0"/>
    <x v="0"/>
    <x v="2"/>
    <x v="3"/>
    <s v="FI_small"/>
    <x v="6"/>
    <x v="2"/>
    <x v="2"/>
    <s v="GNR_HP_ELEC_COP-270"/>
    <x v="8"/>
    <n v="1.2018720000000001E-3"/>
  </r>
  <r>
    <x v="0"/>
    <x v="0"/>
    <x v="0"/>
    <x v="2"/>
    <x v="3"/>
    <s v="FI_small"/>
    <x v="17"/>
    <x v="7"/>
    <x v="11"/>
    <s v="GNR_BO_FUELOIL_E-90"/>
    <x v="8"/>
    <n v="0.57389387999999997"/>
  </r>
  <r>
    <x v="0"/>
    <x v="0"/>
    <x v="0"/>
    <x v="2"/>
    <x v="3"/>
    <s v="FI_small"/>
    <x v="15"/>
    <x v="7"/>
    <x v="11"/>
    <s v="GNR_BO_LIGHTOIL_E-90"/>
    <x v="8"/>
    <n v="0.34674007200000001"/>
  </r>
  <r>
    <x v="0"/>
    <x v="0"/>
    <x v="0"/>
    <x v="2"/>
    <x v="3"/>
    <s v="FI_small"/>
    <x v="3"/>
    <x v="7"/>
    <x v="11"/>
    <s v="GNR_BO_NGAS_E-90"/>
    <x v="8"/>
    <n v="0.3895864"/>
  </r>
  <r>
    <x v="0"/>
    <x v="0"/>
    <x v="0"/>
    <x v="2"/>
    <x v="3"/>
    <s v="FI_small"/>
    <x v="21"/>
    <x v="7"/>
    <x v="11"/>
    <s v="GNR_BO_PEAT_E-90"/>
    <x v="8"/>
    <n v="0.40409879999999998"/>
  </r>
  <r>
    <x v="0"/>
    <x v="0"/>
    <x v="0"/>
    <x v="2"/>
    <x v="3"/>
    <s v="FI_small"/>
    <x v="21"/>
    <x v="1"/>
    <x v="1"/>
    <s v="GNR_ST_PEAT_BP_CB-10"/>
    <x v="8"/>
    <n v="0.11217472000000001"/>
  </r>
  <r>
    <x v="0"/>
    <x v="0"/>
    <x v="0"/>
    <x v="2"/>
    <x v="3"/>
    <s v="FI_small"/>
    <x v="21"/>
    <x v="1"/>
    <x v="1"/>
    <s v="GNR_ST_PEAT_BP_CB-20"/>
    <x v="8"/>
    <n v="0.16024959999999999"/>
  </r>
  <r>
    <x v="0"/>
    <x v="0"/>
    <x v="0"/>
    <x v="2"/>
    <x v="3"/>
    <s v="FI_small"/>
    <x v="21"/>
    <x v="1"/>
    <x v="1"/>
    <s v="GNR_ST_PEAT_BP_CB-30"/>
    <x v="8"/>
    <n v="0.55286111999999998"/>
  </r>
  <r>
    <x v="0"/>
    <x v="0"/>
    <x v="0"/>
    <x v="2"/>
    <x v="3"/>
    <s v="FI_small"/>
    <x v="5"/>
    <x v="7"/>
    <x v="11"/>
    <s v="GNR_BO_WOODCHI_E-90"/>
    <x v="8"/>
    <n v="16.568861407669701"/>
  </r>
  <r>
    <x v="0"/>
    <x v="0"/>
    <x v="0"/>
    <x v="2"/>
    <x v="3"/>
    <s v="FI_small"/>
    <x v="5"/>
    <x v="1"/>
    <x v="1"/>
    <s v="GNR_ST_WOODCHI_BP_CB-10"/>
    <x v="8"/>
    <n v="0.27042119999999997"/>
  </r>
  <r>
    <x v="0"/>
    <x v="0"/>
    <x v="0"/>
    <x v="2"/>
    <x v="3"/>
    <s v="FI_small"/>
    <x v="5"/>
    <x v="1"/>
    <x v="1"/>
    <s v="GNR_ST_WOODCHI_BP_CB-30"/>
    <x v="8"/>
    <n v="0.27042119999999997"/>
  </r>
  <r>
    <x v="0"/>
    <x v="0"/>
    <x v="0"/>
    <x v="2"/>
    <x v="3"/>
    <s v="FI_small"/>
    <x v="5"/>
    <x v="1"/>
    <x v="1"/>
    <s v="GNR_ST_WOODCHI_BP_CB-70"/>
    <x v="8"/>
    <n v="0.89539464000000002"/>
  </r>
  <r>
    <x v="0"/>
    <x v="0"/>
    <x v="0"/>
    <x v="2"/>
    <x v="3"/>
    <s v="FI_small"/>
    <x v="16"/>
    <x v="7"/>
    <x v="11"/>
    <s v="GNR_BO_WOODPEL_E-90"/>
    <x v="8"/>
    <n v="0.14900759999999999"/>
  </r>
  <r>
    <x v="0"/>
    <x v="0"/>
    <x v="0"/>
    <x v="2"/>
    <x v="3"/>
    <s v="FI_small"/>
    <x v="13"/>
    <x v="7"/>
    <x v="11"/>
    <s v="GNR_BO_WOODWST_E-90"/>
    <x v="8"/>
    <n v="6.9192632110809598"/>
  </r>
  <r>
    <x v="0"/>
    <x v="0"/>
    <x v="0"/>
    <x v="2"/>
    <x v="3"/>
    <s v="FI_small"/>
    <x v="13"/>
    <x v="1"/>
    <x v="1"/>
    <s v="GNR_ST_WOODWST_BP_CB-30"/>
    <x v="8"/>
    <n v="8.4131040000000004E-2"/>
  </r>
  <r>
    <x v="0"/>
    <x v="0"/>
    <x v="0"/>
    <x v="2"/>
    <x v="3"/>
    <s v="FI_small_gas"/>
    <x v="6"/>
    <x v="2"/>
    <x v="2"/>
    <s v="GNR_HP_ELEC_COP-270"/>
    <x v="8"/>
    <n v="7.6118560000000002E-3"/>
  </r>
  <r>
    <x v="0"/>
    <x v="0"/>
    <x v="0"/>
    <x v="2"/>
    <x v="3"/>
    <s v="FI_small_gas"/>
    <x v="17"/>
    <x v="7"/>
    <x v="11"/>
    <s v="GNR_BO_FUELOIL_E-90"/>
    <x v="8"/>
    <n v="8.0124800000000006E-3"/>
  </r>
  <r>
    <x v="0"/>
    <x v="0"/>
    <x v="0"/>
    <x v="2"/>
    <x v="3"/>
    <s v="FI_small_gas"/>
    <x v="15"/>
    <x v="7"/>
    <x v="11"/>
    <s v="GNR_BO_LIGHTOIL_E-90"/>
    <x v="8"/>
    <n v="2.904524E-2"/>
  </r>
  <r>
    <x v="0"/>
    <x v="0"/>
    <x v="0"/>
    <x v="2"/>
    <x v="3"/>
    <s v="FI_small_gas"/>
    <x v="3"/>
    <x v="7"/>
    <x v="11"/>
    <s v="GNR_BO_NGAS_E-90"/>
    <x v="8"/>
    <n v="2.033641008"/>
  </r>
  <r>
    <x v="0"/>
    <x v="0"/>
    <x v="0"/>
    <x v="2"/>
    <x v="3"/>
    <s v="FI_small_gas"/>
    <x v="5"/>
    <x v="7"/>
    <x v="11"/>
    <s v="GNR_BO_WOODCHI_E-90"/>
    <x v="8"/>
    <n v="2.2533971145227101"/>
  </r>
  <r>
    <x v="0"/>
    <x v="0"/>
    <x v="0"/>
    <x v="2"/>
    <x v="3"/>
    <s v="FI_small_gas"/>
    <x v="16"/>
    <x v="7"/>
    <x v="11"/>
    <s v="GNR_BO_WOODPEL_E-90"/>
    <x v="8"/>
    <n v="2.20752E-2"/>
  </r>
  <r>
    <x v="0"/>
    <x v="0"/>
    <x v="0"/>
    <x v="2"/>
    <x v="3"/>
    <s v="FI_small_gas"/>
    <x v="13"/>
    <x v="7"/>
    <x v="11"/>
    <s v="GNR_BO_WOODWST_E-90"/>
    <x v="8"/>
    <n v="0.13950127441695501"/>
  </r>
  <r>
    <x v="0"/>
    <x v="0"/>
    <x v="0"/>
    <x v="2"/>
    <x v="3"/>
    <s v="FinA"/>
    <x v="17"/>
    <x v="4"/>
    <x v="4"/>
    <s v="GNR_GT_FUELOIL_CND_E-31"/>
    <x v="8"/>
    <n v="4.0062399999999998E-2"/>
  </r>
  <r>
    <x v="0"/>
    <x v="0"/>
    <x v="0"/>
    <x v="2"/>
    <x v="3"/>
    <s v="FinA"/>
    <x v="15"/>
    <x v="4"/>
    <x v="4"/>
    <s v="GNR_GT_LIGHTOIL_CND_E-26"/>
    <x v="8"/>
    <n v="8.4271258400000004"/>
  </r>
  <r>
    <x v="0"/>
    <x v="0"/>
    <x v="0"/>
    <x v="2"/>
    <x v="3"/>
    <s v="FinA"/>
    <x v="23"/>
    <x v="4"/>
    <x v="4"/>
    <s v="GNR_ST_NUCL_CND_E-33"/>
    <x v="8"/>
    <n v="638.80698672000005"/>
  </r>
  <r>
    <x v="0"/>
    <x v="0"/>
    <x v="0"/>
    <x v="2"/>
    <x v="3"/>
    <s v="FinA"/>
    <x v="8"/>
    <x v="6"/>
    <x v="12"/>
    <s v="GNR_RES_WTR_NOPMP_MC-01"/>
    <x v="8"/>
    <n v="3.5399260689655199"/>
  </r>
  <r>
    <x v="0"/>
    <x v="0"/>
    <x v="0"/>
    <x v="2"/>
    <x v="3"/>
    <s v="FinA"/>
    <x v="8"/>
    <x v="6"/>
    <x v="12"/>
    <s v="GNR_RES_WTR_NOPMP_MC-02"/>
    <x v="8"/>
    <n v="3.5399260689655199"/>
  </r>
  <r>
    <x v="0"/>
    <x v="0"/>
    <x v="0"/>
    <x v="2"/>
    <x v="3"/>
    <s v="FinA"/>
    <x v="8"/>
    <x v="6"/>
    <x v="12"/>
    <s v="GNR_RES_WTR_NOPMP_MC-03"/>
    <x v="8"/>
    <n v="3.5399260689655199"/>
  </r>
  <r>
    <x v="0"/>
    <x v="0"/>
    <x v="0"/>
    <x v="2"/>
    <x v="3"/>
    <s v="FinA"/>
    <x v="8"/>
    <x v="6"/>
    <x v="12"/>
    <s v="GNR_RES_WTR_NOPMP_MC-04"/>
    <x v="8"/>
    <n v="3.5399260689655199"/>
  </r>
  <r>
    <x v="0"/>
    <x v="0"/>
    <x v="0"/>
    <x v="2"/>
    <x v="3"/>
    <s v="FinA"/>
    <x v="8"/>
    <x v="6"/>
    <x v="12"/>
    <s v="GNR_RES_WTR_NOPMP_MC-05"/>
    <x v="8"/>
    <n v="3.5399260689655199"/>
  </r>
  <r>
    <x v="0"/>
    <x v="0"/>
    <x v="0"/>
    <x v="2"/>
    <x v="3"/>
    <s v="FinA"/>
    <x v="8"/>
    <x v="6"/>
    <x v="12"/>
    <s v="GNR_RES_WTR_NOPMP_MC-06"/>
    <x v="8"/>
    <n v="3.5399260689655199"/>
  </r>
  <r>
    <x v="0"/>
    <x v="0"/>
    <x v="0"/>
    <x v="2"/>
    <x v="3"/>
    <s v="FinA"/>
    <x v="8"/>
    <x v="6"/>
    <x v="12"/>
    <s v="GNR_RES_WTR_NOPMP_MC-07"/>
    <x v="8"/>
    <n v="3.5399260689655199"/>
  </r>
  <r>
    <x v="0"/>
    <x v="0"/>
    <x v="0"/>
    <x v="2"/>
    <x v="3"/>
    <s v="FinA"/>
    <x v="8"/>
    <x v="6"/>
    <x v="12"/>
    <s v="GNR_RES_WTR_NOPMP_MC-08"/>
    <x v="8"/>
    <n v="3.5399260689655199"/>
  </r>
  <r>
    <x v="0"/>
    <x v="0"/>
    <x v="0"/>
    <x v="2"/>
    <x v="3"/>
    <s v="FinA"/>
    <x v="8"/>
    <x v="6"/>
    <x v="12"/>
    <s v="GNR_RES_WTR_NOPMP_MC-09"/>
    <x v="8"/>
    <n v="3.5399260689655199"/>
  </r>
  <r>
    <x v="0"/>
    <x v="0"/>
    <x v="0"/>
    <x v="2"/>
    <x v="3"/>
    <s v="FinA"/>
    <x v="8"/>
    <x v="6"/>
    <x v="12"/>
    <s v="GNR_RES_WTR_NOPMP_MC-10"/>
    <x v="8"/>
    <n v="3.5399260689655199"/>
  </r>
  <r>
    <x v="0"/>
    <x v="0"/>
    <x v="0"/>
    <x v="2"/>
    <x v="3"/>
    <s v="FinA"/>
    <x v="8"/>
    <x v="6"/>
    <x v="6"/>
    <s v="GNR_ROR_WTR"/>
    <x v="8"/>
    <n v="41.876908137931103"/>
  </r>
  <r>
    <x v="0"/>
    <x v="0"/>
    <x v="0"/>
    <x v="2"/>
    <x v="3"/>
    <s v="FinA"/>
    <x v="9"/>
    <x v="5"/>
    <x v="7"/>
    <s v="GNR_WT_WIND_ONS"/>
    <x v="8"/>
    <n v="80.856820172799999"/>
  </r>
  <r>
    <x v="0"/>
    <x v="0"/>
    <x v="0"/>
    <x v="3"/>
    <x v="4"/>
    <s v="DE4-E_A"/>
    <x v="1"/>
    <x v="7"/>
    <x v="11"/>
    <s v="GNR_BO_BGAS_E-80"/>
    <x v="8"/>
    <n v="0.29411810960000001"/>
  </r>
  <r>
    <x v="0"/>
    <x v="0"/>
    <x v="0"/>
    <x v="3"/>
    <x v="4"/>
    <s v="DE4-E_A"/>
    <x v="1"/>
    <x v="1"/>
    <x v="1"/>
    <s v="GNR_ENG_BGAS_BP_E-45"/>
    <x v="8"/>
    <n v="4.5170356000000002E-2"/>
  </r>
  <r>
    <x v="0"/>
    <x v="0"/>
    <x v="0"/>
    <x v="3"/>
    <x v="4"/>
    <s v="DE4-E_A"/>
    <x v="1"/>
    <x v="4"/>
    <x v="4"/>
    <s v="GNR_ENG_BGAS_CND_E-44"/>
    <x v="8"/>
    <n v="13.080073132000001"/>
  </r>
  <r>
    <x v="0"/>
    <x v="0"/>
    <x v="0"/>
    <x v="3"/>
    <x v="4"/>
    <s v="DE4-E_A"/>
    <x v="1"/>
    <x v="1"/>
    <x v="1"/>
    <s v="GNR_ST_BGAS_BP_E-38"/>
    <x v="8"/>
    <n v="2.5004946960000001"/>
  </r>
  <r>
    <x v="0"/>
    <x v="0"/>
    <x v="0"/>
    <x v="3"/>
    <x v="4"/>
    <s v="DE4-E_A"/>
    <x v="1"/>
    <x v="4"/>
    <x v="4"/>
    <s v="GNR_ST_BGAS_CND_E-38"/>
    <x v="8"/>
    <n v="0.68887296799999997"/>
  </r>
  <r>
    <x v="0"/>
    <x v="0"/>
    <x v="0"/>
    <x v="3"/>
    <x v="4"/>
    <s v="DE4-E_A"/>
    <x v="10"/>
    <x v="7"/>
    <x v="11"/>
    <s v="GNR_BO_COAL_E-80"/>
    <x v="8"/>
    <n v="0.29670213439999998"/>
  </r>
  <r>
    <x v="0"/>
    <x v="0"/>
    <x v="0"/>
    <x v="3"/>
    <x v="4"/>
    <s v="DE4-E_A"/>
    <x v="10"/>
    <x v="1"/>
    <x v="1"/>
    <s v="GNR_ST_COAL_BP_E-40"/>
    <x v="8"/>
    <n v="34.545406896000003"/>
  </r>
  <r>
    <x v="0"/>
    <x v="0"/>
    <x v="0"/>
    <x v="3"/>
    <x v="4"/>
    <s v="DE4-E_A"/>
    <x v="6"/>
    <x v="3"/>
    <x v="13"/>
    <s v="AGG-DE4-E_RES_WTR_PMP"/>
    <x v="8"/>
    <n v="311.25186206896598"/>
  </r>
  <r>
    <x v="0"/>
    <x v="0"/>
    <x v="0"/>
    <x v="3"/>
    <x v="4"/>
    <s v="DE4-E_A"/>
    <x v="6"/>
    <x v="2"/>
    <x v="2"/>
    <s v="GNR_BO_ELEC_E-80"/>
    <x v="8"/>
    <n v="9.4070902032799992"/>
  </r>
  <r>
    <x v="0"/>
    <x v="0"/>
    <x v="0"/>
    <x v="3"/>
    <x v="4"/>
    <s v="DE4-E_A"/>
    <x v="17"/>
    <x v="7"/>
    <x v="11"/>
    <s v="GNR_BO_FUELOIL_E-80"/>
    <x v="8"/>
    <n v="0.76184662960000005"/>
  </r>
  <r>
    <x v="0"/>
    <x v="0"/>
    <x v="0"/>
    <x v="3"/>
    <x v="4"/>
    <s v="DE4-E_A"/>
    <x v="17"/>
    <x v="4"/>
    <x v="4"/>
    <s v="GNR_ST_FUELOIL_CND_E-39"/>
    <x v="8"/>
    <n v="2.2454975199999998"/>
  </r>
  <r>
    <x v="0"/>
    <x v="0"/>
    <x v="0"/>
    <x v="3"/>
    <x v="4"/>
    <s v="DE4-E_A"/>
    <x v="24"/>
    <x v="1"/>
    <x v="1"/>
    <s v="GNR_ST_LIGN_BP_E-39"/>
    <x v="8"/>
    <n v="305.67242625919999"/>
  </r>
  <r>
    <x v="0"/>
    <x v="0"/>
    <x v="0"/>
    <x v="3"/>
    <x v="4"/>
    <s v="DE4-E_A"/>
    <x v="24"/>
    <x v="4"/>
    <x v="4"/>
    <s v="GNR_ST_LIGN_CND_E-43"/>
    <x v="8"/>
    <n v="36.665108480000001"/>
  </r>
  <r>
    <x v="0"/>
    <x v="0"/>
    <x v="0"/>
    <x v="3"/>
    <x v="4"/>
    <s v="DE4-E_A"/>
    <x v="2"/>
    <x v="7"/>
    <x v="11"/>
    <s v="GNR_BO_MSW_E-80"/>
    <x v="8"/>
    <n v="16.955380054844099"/>
  </r>
  <r>
    <x v="0"/>
    <x v="0"/>
    <x v="0"/>
    <x v="3"/>
    <x v="4"/>
    <s v="DE4-E_A"/>
    <x v="2"/>
    <x v="1"/>
    <x v="1"/>
    <s v="GNR_ST_MSW_BP_E-33"/>
    <x v="8"/>
    <n v="53.5233664"/>
  </r>
  <r>
    <x v="0"/>
    <x v="0"/>
    <x v="0"/>
    <x v="3"/>
    <x v="4"/>
    <s v="DE4-E_A"/>
    <x v="2"/>
    <x v="4"/>
    <x v="4"/>
    <s v="GNR_ST_MSW_CND_E-33"/>
    <x v="8"/>
    <n v="12.539531200000001"/>
  </r>
  <r>
    <x v="0"/>
    <x v="0"/>
    <x v="0"/>
    <x v="3"/>
    <x v="4"/>
    <s v="DE4-E_A"/>
    <x v="3"/>
    <x v="7"/>
    <x v="11"/>
    <s v="GNR_BO_NGAS_E-80"/>
    <x v="8"/>
    <n v="2.35566912E-2"/>
  </r>
  <r>
    <x v="0"/>
    <x v="0"/>
    <x v="0"/>
    <x v="3"/>
    <x v="4"/>
    <s v="DE4-E_A"/>
    <x v="3"/>
    <x v="1"/>
    <x v="1"/>
    <s v="GNR_CC_NGAS_BP_E-53"/>
    <x v="8"/>
    <n v="2.60205288"/>
  </r>
  <r>
    <x v="0"/>
    <x v="0"/>
    <x v="0"/>
    <x v="3"/>
    <x v="4"/>
    <s v="DE4-E_A"/>
    <x v="3"/>
    <x v="4"/>
    <x v="4"/>
    <s v="GNR_CC_NGAS_CND_E-57"/>
    <x v="8"/>
    <n v="1.50234"/>
  </r>
  <r>
    <x v="0"/>
    <x v="0"/>
    <x v="0"/>
    <x v="3"/>
    <x v="4"/>
    <s v="DE4-E_A"/>
    <x v="3"/>
    <x v="1"/>
    <x v="1"/>
    <s v="GNR_ST_NGAS_BP_E-38"/>
    <x v="8"/>
    <n v="6.8278348319999997"/>
  </r>
  <r>
    <x v="0"/>
    <x v="0"/>
    <x v="0"/>
    <x v="3"/>
    <x v="4"/>
    <s v="DE4-E_A"/>
    <x v="7"/>
    <x v="5"/>
    <x v="5"/>
    <s v="GNR_PV_SUN"/>
    <x v="8"/>
    <n v="125.323445646835"/>
  </r>
  <r>
    <x v="0"/>
    <x v="0"/>
    <x v="0"/>
    <x v="3"/>
    <x v="4"/>
    <s v="DE4-E_A"/>
    <x v="8"/>
    <x v="6"/>
    <x v="6"/>
    <s v="GNR_ROR_WTR"/>
    <x v="8"/>
    <n v="12.4148894896552"/>
  </r>
  <r>
    <x v="0"/>
    <x v="0"/>
    <x v="0"/>
    <x v="3"/>
    <x v="4"/>
    <s v="DE4-E_A"/>
    <x v="9"/>
    <x v="5"/>
    <x v="7"/>
    <s v="GNR_WT_WIND_ONS"/>
    <x v="8"/>
    <n v="332.19536960511999"/>
  </r>
  <r>
    <x v="0"/>
    <x v="0"/>
    <x v="0"/>
    <x v="3"/>
    <x v="4"/>
    <s v="DE4-E_Offshore_A"/>
    <x v="9"/>
    <x v="5"/>
    <x v="7"/>
    <s v="GNR_WT_WIND_OFF"/>
    <x v="8"/>
    <n v="119.7314801844"/>
  </r>
  <r>
    <x v="0"/>
    <x v="0"/>
    <x v="0"/>
    <x v="3"/>
    <x v="5"/>
    <s v="DE4-N_A"/>
    <x v="1"/>
    <x v="7"/>
    <x v="11"/>
    <s v="GNR_BO_BGAS_E-80"/>
    <x v="8"/>
    <n v="2.2249254775999998"/>
  </r>
  <r>
    <x v="0"/>
    <x v="0"/>
    <x v="0"/>
    <x v="3"/>
    <x v="5"/>
    <s v="DE4-N_A"/>
    <x v="1"/>
    <x v="1"/>
    <x v="1"/>
    <s v="GNR_ENG_BGAS_BP_E-45"/>
    <x v="8"/>
    <n v="7.5116999999999996E-3"/>
  </r>
  <r>
    <x v="0"/>
    <x v="0"/>
    <x v="0"/>
    <x v="3"/>
    <x v="5"/>
    <s v="DE4-N_A"/>
    <x v="1"/>
    <x v="4"/>
    <x v="4"/>
    <s v="GNR_ENG_BGAS_CND_E-44"/>
    <x v="8"/>
    <n v="4.6192948759999997"/>
  </r>
  <r>
    <x v="0"/>
    <x v="0"/>
    <x v="0"/>
    <x v="3"/>
    <x v="5"/>
    <s v="DE4-N_A"/>
    <x v="1"/>
    <x v="1"/>
    <x v="1"/>
    <s v="GNR_ST_BGAS_BP_E-38"/>
    <x v="8"/>
    <n v="0.76118560000000002"/>
  </r>
  <r>
    <x v="0"/>
    <x v="0"/>
    <x v="0"/>
    <x v="3"/>
    <x v="5"/>
    <s v="DE4-N_A"/>
    <x v="10"/>
    <x v="7"/>
    <x v="11"/>
    <s v="GNR_BO_COAL_E-80"/>
    <x v="8"/>
    <n v="6.0093599999999997E-5"/>
  </r>
  <r>
    <x v="0"/>
    <x v="0"/>
    <x v="0"/>
    <x v="3"/>
    <x v="5"/>
    <s v="DE4-N_A"/>
    <x v="10"/>
    <x v="1"/>
    <x v="1"/>
    <s v="GNR_ST_COAL_BP_E-40"/>
    <x v="8"/>
    <n v="12.660920272"/>
  </r>
  <r>
    <x v="0"/>
    <x v="0"/>
    <x v="0"/>
    <x v="3"/>
    <x v="5"/>
    <s v="DE4-N_A"/>
    <x v="10"/>
    <x v="4"/>
    <x v="4"/>
    <s v="GNR_ST_COAL_CND_E-46"/>
    <x v="8"/>
    <n v="91.662771199999995"/>
  </r>
  <r>
    <x v="0"/>
    <x v="0"/>
    <x v="0"/>
    <x v="3"/>
    <x v="5"/>
    <s v="DE4-N_A"/>
    <x v="6"/>
    <x v="3"/>
    <x v="13"/>
    <s v="AGG-DE4-N_RES_WTR_PMP"/>
    <x v="8"/>
    <n v="15.3499365517242"/>
  </r>
  <r>
    <x v="0"/>
    <x v="0"/>
    <x v="0"/>
    <x v="3"/>
    <x v="5"/>
    <s v="DE4-N_A"/>
    <x v="6"/>
    <x v="2"/>
    <x v="2"/>
    <s v="GNR_BO_ELEC_E-80"/>
    <x v="8"/>
    <n v="1.70236054604"/>
  </r>
  <r>
    <x v="0"/>
    <x v="0"/>
    <x v="0"/>
    <x v="3"/>
    <x v="5"/>
    <s v="DE4-N_A"/>
    <x v="17"/>
    <x v="7"/>
    <x v="11"/>
    <s v="GNR_BO_FUELOIL_E-80"/>
    <x v="8"/>
    <n v="0.71331103200000001"/>
  </r>
  <r>
    <x v="0"/>
    <x v="0"/>
    <x v="0"/>
    <x v="3"/>
    <x v="5"/>
    <s v="DE4-N_A"/>
    <x v="2"/>
    <x v="7"/>
    <x v="11"/>
    <s v="GNR_BO_MSW_E-80"/>
    <x v="8"/>
    <n v="7.1771762118362101"/>
  </r>
  <r>
    <x v="0"/>
    <x v="0"/>
    <x v="0"/>
    <x v="3"/>
    <x v="5"/>
    <s v="DE4-N_A"/>
    <x v="2"/>
    <x v="1"/>
    <x v="1"/>
    <s v="GNR_ST_MSW_BP_E-33"/>
    <x v="8"/>
    <n v="3.4053040000000001"/>
  </r>
  <r>
    <x v="0"/>
    <x v="0"/>
    <x v="0"/>
    <x v="3"/>
    <x v="5"/>
    <s v="DE4-N_A"/>
    <x v="3"/>
    <x v="7"/>
    <x v="11"/>
    <s v="GNR_BO_NGAS_E-80"/>
    <x v="8"/>
    <n v="1.2018719999999999E-4"/>
  </r>
  <r>
    <x v="0"/>
    <x v="0"/>
    <x v="0"/>
    <x v="3"/>
    <x v="5"/>
    <s v="DE4-N_A"/>
    <x v="3"/>
    <x v="1"/>
    <x v="1"/>
    <s v="GNR_CC_NGAS_BP_E-57"/>
    <x v="8"/>
    <n v="3.8159436000000002"/>
  </r>
  <r>
    <x v="0"/>
    <x v="0"/>
    <x v="0"/>
    <x v="3"/>
    <x v="5"/>
    <s v="DE4-N_A"/>
    <x v="3"/>
    <x v="1"/>
    <x v="1"/>
    <s v="GNR_ST_NGAS_BP_E-39"/>
    <x v="8"/>
    <n v="2.8544459999999998"/>
  </r>
  <r>
    <x v="0"/>
    <x v="0"/>
    <x v="0"/>
    <x v="3"/>
    <x v="5"/>
    <s v="DE4-N_A"/>
    <x v="7"/>
    <x v="5"/>
    <x v="5"/>
    <s v="GNR_PV_SUN"/>
    <x v="8"/>
    <n v="18.601680923399901"/>
  </r>
  <r>
    <x v="0"/>
    <x v="0"/>
    <x v="0"/>
    <x v="3"/>
    <x v="5"/>
    <s v="DE4-N_A"/>
    <x v="8"/>
    <x v="6"/>
    <x v="6"/>
    <s v="GNR_ROR_WTR"/>
    <x v="8"/>
    <n v="0.10938924137931"/>
  </r>
  <r>
    <x v="0"/>
    <x v="0"/>
    <x v="0"/>
    <x v="3"/>
    <x v="5"/>
    <s v="DE4-N_A"/>
    <x v="9"/>
    <x v="5"/>
    <x v="7"/>
    <s v="GNR_WT_WIND_ONS"/>
    <x v="8"/>
    <n v="154.79496001536"/>
  </r>
  <r>
    <x v="0"/>
    <x v="0"/>
    <x v="0"/>
    <x v="3"/>
    <x v="5"/>
    <s v="DE4-N_Offshore_A"/>
    <x v="9"/>
    <x v="5"/>
    <x v="7"/>
    <s v="GNR_WT_WIND_OFF"/>
    <x v="8"/>
    <n v="103.30089839999999"/>
  </r>
  <r>
    <x v="0"/>
    <x v="0"/>
    <x v="0"/>
    <x v="3"/>
    <x v="6"/>
    <s v="DE4-S_A"/>
    <x v="1"/>
    <x v="7"/>
    <x v="11"/>
    <s v="GNR_BO_BGAS_E-80"/>
    <x v="8"/>
    <n v="2.3933878696000002"/>
  </r>
  <r>
    <x v="0"/>
    <x v="0"/>
    <x v="0"/>
    <x v="3"/>
    <x v="6"/>
    <s v="DE4-S_A"/>
    <x v="1"/>
    <x v="1"/>
    <x v="1"/>
    <s v="GNR_ENG_BGAS_BP_E-45"/>
    <x v="8"/>
    <n v="9.2544143999999995E-2"/>
  </r>
  <r>
    <x v="0"/>
    <x v="0"/>
    <x v="0"/>
    <x v="3"/>
    <x v="6"/>
    <s v="DE4-S_A"/>
    <x v="1"/>
    <x v="4"/>
    <x v="4"/>
    <s v="GNR_ENG_BGAS_CND_E-44"/>
    <x v="8"/>
    <n v="18.739588223999998"/>
  </r>
  <r>
    <x v="0"/>
    <x v="0"/>
    <x v="0"/>
    <x v="3"/>
    <x v="6"/>
    <s v="DE4-S_A"/>
    <x v="1"/>
    <x v="1"/>
    <x v="1"/>
    <s v="GNR_ST_BGAS_BP_E-38"/>
    <x v="8"/>
    <n v="4.0418955360000002"/>
  </r>
  <r>
    <x v="0"/>
    <x v="0"/>
    <x v="0"/>
    <x v="3"/>
    <x v="6"/>
    <s v="DE4-S_A"/>
    <x v="10"/>
    <x v="7"/>
    <x v="11"/>
    <s v="GNR_BO_COAL_E-80"/>
    <x v="8"/>
    <n v="0.58903746720000005"/>
  </r>
  <r>
    <x v="0"/>
    <x v="0"/>
    <x v="0"/>
    <x v="3"/>
    <x v="6"/>
    <s v="DE4-S_A"/>
    <x v="10"/>
    <x v="1"/>
    <x v="1"/>
    <s v="GNR_ST_COAL_BP_E-43"/>
    <x v="8"/>
    <n v="182.67244515519999"/>
  </r>
  <r>
    <x v="0"/>
    <x v="0"/>
    <x v="0"/>
    <x v="3"/>
    <x v="6"/>
    <s v="DE4-S_A"/>
    <x v="10"/>
    <x v="4"/>
    <x v="4"/>
    <s v="GNR_ST_COAL_CND_E-44"/>
    <x v="8"/>
    <n v="16.212852655999999"/>
  </r>
  <r>
    <x v="0"/>
    <x v="0"/>
    <x v="0"/>
    <x v="3"/>
    <x v="6"/>
    <s v="DE4-S_A"/>
    <x v="6"/>
    <x v="3"/>
    <x v="13"/>
    <s v="AGG-DE4-S_RES_WTR_PMP"/>
    <x v="8"/>
    <n v="278.77340689655301"/>
  </r>
  <r>
    <x v="0"/>
    <x v="0"/>
    <x v="0"/>
    <x v="3"/>
    <x v="6"/>
    <s v="DE4-S_A"/>
    <x v="6"/>
    <x v="2"/>
    <x v="2"/>
    <s v="GNR_BO_ELEC_E-80"/>
    <x v="8"/>
    <n v="4.2216214717599998"/>
  </r>
  <r>
    <x v="0"/>
    <x v="0"/>
    <x v="0"/>
    <x v="3"/>
    <x v="6"/>
    <s v="DE4-S_A"/>
    <x v="17"/>
    <x v="7"/>
    <x v="11"/>
    <s v="GNR_BO_FUELOIL_E-80"/>
    <x v="8"/>
    <n v="1.0212707007999999"/>
  </r>
  <r>
    <x v="0"/>
    <x v="0"/>
    <x v="0"/>
    <x v="3"/>
    <x v="6"/>
    <s v="DE4-S_A"/>
    <x v="2"/>
    <x v="7"/>
    <x v="11"/>
    <s v="GNR_BO_MSW_E-80"/>
    <x v="8"/>
    <n v="20.660002281722999"/>
  </r>
  <r>
    <x v="0"/>
    <x v="0"/>
    <x v="0"/>
    <x v="3"/>
    <x v="6"/>
    <s v="DE4-S_A"/>
    <x v="2"/>
    <x v="1"/>
    <x v="1"/>
    <s v="GNR_ST_MSW_BP_E-33"/>
    <x v="8"/>
    <n v="21.2731344"/>
  </r>
  <r>
    <x v="0"/>
    <x v="0"/>
    <x v="0"/>
    <x v="3"/>
    <x v="6"/>
    <s v="DE4-S_A"/>
    <x v="2"/>
    <x v="4"/>
    <x v="4"/>
    <s v="GNR_ST_MSW_CND_E-33"/>
    <x v="8"/>
    <n v="1.7427144000000001"/>
  </r>
  <r>
    <x v="0"/>
    <x v="0"/>
    <x v="0"/>
    <x v="3"/>
    <x v="6"/>
    <s v="DE4-S_A"/>
    <x v="3"/>
    <x v="7"/>
    <x v="11"/>
    <s v="GNR_BO_NGAS_E-80"/>
    <x v="8"/>
    <n v="1.4185695216"/>
  </r>
  <r>
    <x v="0"/>
    <x v="0"/>
    <x v="0"/>
    <x v="3"/>
    <x v="6"/>
    <s v="DE4-S_A"/>
    <x v="3"/>
    <x v="1"/>
    <x v="1"/>
    <s v="GNR_CC_NGAS_BP_E-53"/>
    <x v="8"/>
    <n v="29.42783592"/>
  </r>
  <r>
    <x v="0"/>
    <x v="0"/>
    <x v="0"/>
    <x v="3"/>
    <x v="6"/>
    <s v="DE4-S_A"/>
    <x v="3"/>
    <x v="4"/>
    <x v="4"/>
    <s v="GNR_CC_NGAS_CND_E-57"/>
    <x v="8"/>
    <n v="44.637526080000001"/>
  </r>
  <r>
    <x v="0"/>
    <x v="0"/>
    <x v="0"/>
    <x v="3"/>
    <x v="6"/>
    <s v="DE4-S_A"/>
    <x v="3"/>
    <x v="1"/>
    <x v="1"/>
    <s v="GNR_ENG_NGAS_BP_E-46"/>
    <x v="8"/>
    <n v="0.33151636000000001"/>
  </r>
  <r>
    <x v="0"/>
    <x v="0"/>
    <x v="0"/>
    <x v="3"/>
    <x v="6"/>
    <s v="DE4-S_A"/>
    <x v="3"/>
    <x v="1"/>
    <x v="1"/>
    <s v="GNR_ST_NGAS_BP_E-38"/>
    <x v="8"/>
    <n v="23.219966727999999"/>
  </r>
  <r>
    <x v="0"/>
    <x v="0"/>
    <x v="0"/>
    <x v="3"/>
    <x v="6"/>
    <s v="DE4-S_A"/>
    <x v="7"/>
    <x v="5"/>
    <x v="5"/>
    <s v="GNR_PV_SUN"/>
    <x v="8"/>
    <n v="228.57760463858401"/>
  </r>
  <r>
    <x v="0"/>
    <x v="0"/>
    <x v="0"/>
    <x v="3"/>
    <x v="6"/>
    <s v="DE4-S_A"/>
    <x v="8"/>
    <x v="6"/>
    <x v="12"/>
    <s v="GNR_RES_WTR_NOPMP"/>
    <x v="8"/>
    <n v="2.7967558620689701"/>
  </r>
  <r>
    <x v="0"/>
    <x v="0"/>
    <x v="0"/>
    <x v="3"/>
    <x v="6"/>
    <s v="DE4-S_A"/>
    <x v="8"/>
    <x v="6"/>
    <x v="6"/>
    <s v="GNR_ROR_WTR"/>
    <x v="8"/>
    <n v="178.78464838620701"/>
  </r>
  <r>
    <x v="0"/>
    <x v="0"/>
    <x v="0"/>
    <x v="3"/>
    <x v="6"/>
    <s v="DE4-S_A"/>
    <x v="9"/>
    <x v="5"/>
    <x v="7"/>
    <s v="GNR_WT_WIND_ONS"/>
    <x v="8"/>
    <n v="187.62997485567999"/>
  </r>
  <r>
    <x v="0"/>
    <x v="0"/>
    <x v="0"/>
    <x v="3"/>
    <x v="7"/>
    <s v="DE4-W_A"/>
    <x v="1"/>
    <x v="7"/>
    <x v="11"/>
    <s v="GNR_BO_BGAS_E-80"/>
    <x v="8"/>
    <n v="0.69151708639999998"/>
  </r>
  <r>
    <x v="0"/>
    <x v="0"/>
    <x v="0"/>
    <x v="3"/>
    <x v="7"/>
    <s v="DE4-W_A"/>
    <x v="1"/>
    <x v="1"/>
    <x v="1"/>
    <s v="GNR_ENG_BGAS_BP_E-45"/>
    <x v="8"/>
    <n v="0.20832448000000001"/>
  </r>
  <r>
    <x v="0"/>
    <x v="0"/>
    <x v="0"/>
    <x v="3"/>
    <x v="7"/>
    <s v="DE4-W_A"/>
    <x v="1"/>
    <x v="4"/>
    <x v="4"/>
    <s v="GNR_ENG_BGAS_CND_E-44"/>
    <x v="8"/>
    <n v="19.254490220000001"/>
  </r>
  <r>
    <x v="0"/>
    <x v="0"/>
    <x v="0"/>
    <x v="3"/>
    <x v="7"/>
    <s v="DE4-W_A"/>
    <x v="1"/>
    <x v="1"/>
    <x v="1"/>
    <s v="GNR_ST_BGAS_BP_E-38"/>
    <x v="8"/>
    <n v="1.5223712"/>
  </r>
  <r>
    <x v="0"/>
    <x v="0"/>
    <x v="0"/>
    <x v="3"/>
    <x v="7"/>
    <s v="DE4-W_A"/>
    <x v="1"/>
    <x v="4"/>
    <x v="4"/>
    <s v="GNR_ST_BGAS_CND_E-38"/>
    <x v="8"/>
    <n v="2.1960204559999998"/>
  </r>
  <r>
    <x v="0"/>
    <x v="0"/>
    <x v="0"/>
    <x v="3"/>
    <x v="7"/>
    <s v="DE4-W_A"/>
    <x v="10"/>
    <x v="7"/>
    <x v="11"/>
    <s v="GNR_BO_COAL_E-80"/>
    <x v="8"/>
    <n v="0.36004078880000001"/>
  </r>
  <r>
    <x v="0"/>
    <x v="0"/>
    <x v="0"/>
    <x v="3"/>
    <x v="7"/>
    <s v="DE4-W_A"/>
    <x v="10"/>
    <x v="1"/>
    <x v="1"/>
    <s v="GNR_ST_COAL_BP_E-41"/>
    <x v="8"/>
    <n v="122.82811340799999"/>
  </r>
  <r>
    <x v="0"/>
    <x v="0"/>
    <x v="0"/>
    <x v="3"/>
    <x v="7"/>
    <s v="DE4-W_A"/>
    <x v="10"/>
    <x v="4"/>
    <x v="4"/>
    <s v="GNR_ST_COAL_CND_E-45"/>
    <x v="8"/>
    <n v="129.47366432000001"/>
  </r>
  <r>
    <x v="0"/>
    <x v="0"/>
    <x v="0"/>
    <x v="3"/>
    <x v="7"/>
    <s v="DE4-W_A"/>
    <x v="6"/>
    <x v="3"/>
    <x v="13"/>
    <s v="AGG-DE4-W_RES_WTR_PMP"/>
    <x v="8"/>
    <n v="147.699641379311"/>
  </r>
  <r>
    <x v="0"/>
    <x v="0"/>
    <x v="0"/>
    <x v="3"/>
    <x v="7"/>
    <s v="DE4-W_A"/>
    <x v="6"/>
    <x v="2"/>
    <x v="2"/>
    <s v="GNR_BO_ELEC_E-80"/>
    <x v="8"/>
    <n v="8.8912006691199998"/>
  </r>
  <r>
    <x v="0"/>
    <x v="0"/>
    <x v="0"/>
    <x v="3"/>
    <x v="7"/>
    <s v="DE4-W_A"/>
    <x v="17"/>
    <x v="7"/>
    <x v="11"/>
    <s v="GNR_BO_FUELOIL_E-80"/>
    <x v="8"/>
    <n v="0.63318623200000002"/>
  </r>
  <r>
    <x v="0"/>
    <x v="0"/>
    <x v="0"/>
    <x v="3"/>
    <x v="7"/>
    <s v="DE4-W_A"/>
    <x v="17"/>
    <x v="4"/>
    <x v="4"/>
    <s v="GNR_ST_FUELOIL_CND_E-39"/>
    <x v="8"/>
    <n v="0.94387014400000002"/>
  </r>
  <r>
    <x v="0"/>
    <x v="0"/>
    <x v="0"/>
    <x v="3"/>
    <x v="7"/>
    <s v="DE4-W_A"/>
    <x v="24"/>
    <x v="1"/>
    <x v="1"/>
    <s v="GNR_ST_LIGN_BP_E-37"/>
    <x v="8"/>
    <n v="19.501254572800001"/>
  </r>
  <r>
    <x v="0"/>
    <x v="0"/>
    <x v="0"/>
    <x v="3"/>
    <x v="7"/>
    <s v="DE4-W_A"/>
    <x v="24"/>
    <x v="4"/>
    <x v="4"/>
    <s v="GNR_ST_LIGN_CND_E-41"/>
    <x v="8"/>
    <n v="157.65996646400001"/>
  </r>
  <r>
    <x v="0"/>
    <x v="0"/>
    <x v="0"/>
    <x v="3"/>
    <x v="7"/>
    <s v="DE4-W_A"/>
    <x v="2"/>
    <x v="7"/>
    <x v="11"/>
    <s v="GNR_BO_MSW_E-80"/>
    <x v="8"/>
    <n v="80.415880647746206"/>
  </r>
  <r>
    <x v="0"/>
    <x v="0"/>
    <x v="0"/>
    <x v="3"/>
    <x v="7"/>
    <s v="DE4-W_A"/>
    <x v="2"/>
    <x v="1"/>
    <x v="1"/>
    <s v="GNR_ST_MSW_BP_E-33"/>
    <x v="8"/>
    <n v="31.549140000000001"/>
  </r>
  <r>
    <x v="0"/>
    <x v="0"/>
    <x v="0"/>
    <x v="3"/>
    <x v="7"/>
    <s v="DE4-W_A"/>
    <x v="2"/>
    <x v="4"/>
    <x v="4"/>
    <s v="GNR_ST_MSW_CND_E-33"/>
    <x v="8"/>
    <n v="14.5426512"/>
  </r>
  <r>
    <x v="0"/>
    <x v="0"/>
    <x v="0"/>
    <x v="3"/>
    <x v="7"/>
    <s v="DE4-W_A"/>
    <x v="3"/>
    <x v="7"/>
    <x v="11"/>
    <s v="GNR_BO_NGAS_E-80"/>
    <x v="8"/>
    <n v="0.51686505360000001"/>
  </r>
  <r>
    <x v="0"/>
    <x v="0"/>
    <x v="0"/>
    <x v="3"/>
    <x v="7"/>
    <s v="DE4-W_A"/>
    <x v="3"/>
    <x v="1"/>
    <x v="1"/>
    <s v="GNR_CC_NGAS_BP_E-55"/>
    <x v="8"/>
    <n v="96.321026759999995"/>
  </r>
  <r>
    <x v="0"/>
    <x v="0"/>
    <x v="0"/>
    <x v="3"/>
    <x v="7"/>
    <s v="DE4-W_A"/>
    <x v="3"/>
    <x v="4"/>
    <x v="4"/>
    <s v="GNR_CC_NGAS_CND_E-57"/>
    <x v="8"/>
    <n v="88.022100600000002"/>
  </r>
  <r>
    <x v="0"/>
    <x v="0"/>
    <x v="0"/>
    <x v="3"/>
    <x v="7"/>
    <s v="DE4-W_A"/>
    <x v="3"/>
    <x v="1"/>
    <x v="1"/>
    <s v="GNR_GT_NGAS_BP_E-39"/>
    <x v="8"/>
    <n v="2.5479686400000001"/>
  </r>
  <r>
    <x v="0"/>
    <x v="0"/>
    <x v="0"/>
    <x v="3"/>
    <x v="7"/>
    <s v="DE4-W_A"/>
    <x v="3"/>
    <x v="4"/>
    <x v="4"/>
    <s v="GNR_GT_NGAS_CND_E-40"/>
    <x v="8"/>
    <n v="10.8969728"/>
  </r>
  <r>
    <x v="0"/>
    <x v="0"/>
    <x v="0"/>
    <x v="3"/>
    <x v="7"/>
    <s v="DE4-W_A"/>
    <x v="3"/>
    <x v="1"/>
    <x v="1"/>
    <s v="GNR_ST_NGAS_BP_E-38"/>
    <x v="8"/>
    <n v="32.826129000000002"/>
  </r>
  <r>
    <x v="0"/>
    <x v="0"/>
    <x v="0"/>
    <x v="3"/>
    <x v="7"/>
    <s v="DE4-W_A"/>
    <x v="3"/>
    <x v="4"/>
    <x v="4"/>
    <s v="GNR_ST_NGAS_CND_E-39"/>
    <x v="8"/>
    <n v="1.514759344"/>
  </r>
  <r>
    <x v="0"/>
    <x v="0"/>
    <x v="0"/>
    <x v="3"/>
    <x v="7"/>
    <s v="DE4-W_A"/>
    <x v="7"/>
    <x v="5"/>
    <x v="5"/>
    <s v="GNR_PV_SUN"/>
    <x v="8"/>
    <n v="115.04390316169599"/>
  </r>
  <r>
    <x v="0"/>
    <x v="0"/>
    <x v="0"/>
    <x v="3"/>
    <x v="7"/>
    <s v="DE4-W_A"/>
    <x v="8"/>
    <x v="6"/>
    <x v="6"/>
    <s v="GNR_ROR_WTR"/>
    <x v="8"/>
    <n v="8.1534455172413907"/>
  </r>
  <r>
    <x v="0"/>
    <x v="0"/>
    <x v="0"/>
    <x v="3"/>
    <x v="7"/>
    <s v="DE4-W_A"/>
    <x v="9"/>
    <x v="5"/>
    <x v="7"/>
    <s v="GNR_WT_WIND_ONS"/>
    <x v="8"/>
    <n v="336.63338612735998"/>
  </r>
  <r>
    <x v="0"/>
    <x v="0"/>
    <x v="0"/>
    <x v="3"/>
    <x v="7"/>
    <s v="DE4-W_Offshore_A"/>
    <x v="9"/>
    <x v="5"/>
    <x v="7"/>
    <s v="GNR_WT_WIND_OFF"/>
    <x v="8"/>
    <n v="316.27291726800001"/>
  </r>
  <r>
    <x v="0"/>
    <x v="0"/>
    <x v="0"/>
    <x v="4"/>
    <x v="8"/>
    <s v="LV_Other_DH"/>
    <x v="1"/>
    <x v="1"/>
    <x v="1"/>
    <s v="GNR_GT_BGAS_BP_E-30"/>
    <x v="8"/>
    <n v="1.4670810000000001"/>
  </r>
  <r>
    <x v="0"/>
    <x v="0"/>
    <x v="0"/>
    <x v="4"/>
    <x v="8"/>
    <s v="LV_Other_DH"/>
    <x v="10"/>
    <x v="7"/>
    <x v="11"/>
    <s v="GNR_BO_COAL_E-76"/>
    <x v="8"/>
    <n v="0.174762"/>
  </r>
  <r>
    <x v="0"/>
    <x v="0"/>
    <x v="0"/>
    <x v="4"/>
    <x v="8"/>
    <s v="LV_Other_DH"/>
    <x v="17"/>
    <x v="7"/>
    <x v="11"/>
    <s v="GNR_BO_FUELOIL_E-95"/>
    <x v="8"/>
    <n v="3.2650855999999999E-2"/>
  </r>
  <r>
    <x v="0"/>
    <x v="0"/>
    <x v="0"/>
    <x v="4"/>
    <x v="8"/>
    <s v="LV_Other_DH"/>
    <x v="3"/>
    <x v="7"/>
    <x v="11"/>
    <s v="GNR_BO_NGAS_E-101"/>
    <x v="8"/>
    <n v="1.5203680799999999"/>
  </r>
  <r>
    <x v="0"/>
    <x v="0"/>
    <x v="0"/>
    <x v="4"/>
    <x v="8"/>
    <s v="LV_Other_DH"/>
    <x v="3"/>
    <x v="1"/>
    <x v="1"/>
    <s v="GNR_ST_NGAS_BP_E-28"/>
    <x v="8"/>
    <n v="1.4790023439626401"/>
  </r>
  <r>
    <x v="0"/>
    <x v="0"/>
    <x v="0"/>
    <x v="4"/>
    <x v="8"/>
    <s v="LV_Other_DH"/>
    <x v="8"/>
    <x v="6"/>
    <x v="12"/>
    <s v="GNR_RES_WTR_NOPMP"/>
    <x v="8"/>
    <n v="27.381142068965499"/>
  </r>
  <r>
    <x v="0"/>
    <x v="0"/>
    <x v="0"/>
    <x v="4"/>
    <x v="8"/>
    <s v="LV_Other_DH"/>
    <x v="19"/>
    <x v="7"/>
    <x v="11"/>
    <s v="GNR_BO_WOOD_E-108"/>
    <x v="8"/>
    <n v="4.9160670566447999"/>
  </r>
  <r>
    <x v="0"/>
    <x v="0"/>
    <x v="0"/>
    <x v="4"/>
    <x v="8"/>
    <s v="LV_Other_DH"/>
    <x v="19"/>
    <x v="1"/>
    <x v="1"/>
    <s v="GNR_ST_WOOD_BP_E-30"/>
    <x v="8"/>
    <n v="2.6602091175239999"/>
  </r>
  <r>
    <x v="0"/>
    <x v="0"/>
    <x v="0"/>
    <x v="4"/>
    <x v="8"/>
    <s v="LV_RigaR"/>
    <x v="3"/>
    <x v="7"/>
    <x v="11"/>
    <s v="GNR_BO_NGAS_E-101"/>
    <x v="8"/>
    <n v="2.2923705280000002"/>
  </r>
  <r>
    <x v="0"/>
    <x v="0"/>
    <x v="0"/>
    <x v="4"/>
    <x v="8"/>
    <s v="LV_RigaR"/>
    <x v="3"/>
    <x v="1"/>
    <x v="1"/>
    <s v="GNR_ST_NGAS_BP_E-42"/>
    <x v="8"/>
    <n v="0.58992599113840005"/>
  </r>
  <r>
    <x v="0"/>
    <x v="0"/>
    <x v="0"/>
    <x v="4"/>
    <x v="8"/>
    <s v="LV_RigaR"/>
    <x v="3"/>
    <x v="7"/>
    <x v="11"/>
    <s v="RIGA-TEC1_BO_NGAS_HO"/>
    <x v="8"/>
    <n v="0.43039284052799998"/>
  </r>
  <r>
    <x v="0"/>
    <x v="0"/>
    <x v="0"/>
    <x v="4"/>
    <x v="8"/>
    <s v="LV_RigaR"/>
    <x v="3"/>
    <x v="7"/>
    <x v="11"/>
    <s v="RIGA-TEC2_BO_NGAS_HO"/>
    <x v="8"/>
    <n v="0.43039284052799998"/>
  </r>
  <r>
    <x v="0"/>
    <x v="0"/>
    <x v="0"/>
    <x v="4"/>
    <x v="8"/>
    <s v="LV_RigaR"/>
    <x v="3"/>
    <x v="1"/>
    <x v="1"/>
    <s v="RIGA-TEC2_CC_NGAS_BP"/>
    <x v="8"/>
    <n v="1.773472708224"/>
  </r>
  <r>
    <x v="0"/>
    <x v="0"/>
    <x v="0"/>
    <x v="4"/>
    <x v="8"/>
    <s v="LV_RigaR"/>
    <x v="3"/>
    <x v="1"/>
    <x v="8"/>
    <s v="RIGA-TEC2_CC_NGAS_EXT"/>
    <x v="8"/>
    <n v="10.850204555175999"/>
  </r>
  <r>
    <x v="0"/>
    <x v="0"/>
    <x v="0"/>
    <x v="4"/>
    <x v="8"/>
    <s v="LV_RigaR"/>
    <x v="8"/>
    <x v="6"/>
    <x v="12"/>
    <s v="GNR_RES_WTR_NOPMP"/>
    <x v="8"/>
    <n v="9.0669020689655309"/>
  </r>
  <r>
    <x v="0"/>
    <x v="0"/>
    <x v="0"/>
    <x v="4"/>
    <x v="8"/>
    <s v="LV_RigaR"/>
    <x v="19"/>
    <x v="7"/>
    <x v="11"/>
    <s v="GNR_BO_WOOD_E-108"/>
    <x v="8"/>
    <n v="5.0915132406768002"/>
  </r>
  <r>
    <x v="0"/>
    <x v="0"/>
    <x v="0"/>
    <x v="4"/>
    <x v="8"/>
    <s v="LV_Rural"/>
    <x v="9"/>
    <x v="5"/>
    <x v="7"/>
    <s v="GNR_WT_WIND_ONS"/>
    <x v="8"/>
    <n v="0.87175782400000001"/>
  </r>
  <r>
    <x v="0"/>
    <x v="0"/>
    <x v="0"/>
    <x v="5"/>
    <x v="9"/>
    <s v="LT_KauU"/>
    <x v="2"/>
    <x v="1"/>
    <x v="1"/>
    <s v="KAUNAS_ST_MSW_BP"/>
    <x v="8"/>
    <n v="0.52325582400000004"/>
  </r>
  <r>
    <x v="0"/>
    <x v="0"/>
    <x v="0"/>
    <x v="5"/>
    <x v="9"/>
    <s v="LT_KauU"/>
    <x v="3"/>
    <x v="7"/>
    <x v="11"/>
    <s v="GNR_BO_NGAS_E-101"/>
    <x v="8"/>
    <n v="0.85963894799999996"/>
  </r>
  <r>
    <x v="0"/>
    <x v="0"/>
    <x v="0"/>
    <x v="5"/>
    <x v="9"/>
    <s v="LT_KauU"/>
    <x v="8"/>
    <x v="6"/>
    <x v="6"/>
    <s v="GNR_ROR_WTR"/>
    <x v="8"/>
    <n v="2.88246289655173"/>
  </r>
  <r>
    <x v="0"/>
    <x v="0"/>
    <x v="0"/>
    <x v="5"/>
    <x v="9"/>
    <s v="LT_KauU"/>
    <x v="19"/>
    <x v="7"/>
    <x v="11"/>
    <s v="GNR_BO_WOOD_E-108"/>
    <x v="8"/>
    <n v="0.34114535784"/>
  </r>
  <r>
    <x v="0"/>
    <x v="0"/>
    <x v="0"/>
    <x v="5"/>
    <x v="9"/>
    <s v="LT_KlaU"/>
    <x v="3"/>
    <x v="7"/>
    <x v="11"/>
    <s v="GNR_BO_NGAS_E-101"/>
    <x v="8"/>
    <n v="0.41324365600000001"/>
  </r>
  <r>
    <x v="0"/>
    <x v="0"/>
    <x v="0"/>
    <x v="5"/>
    <x v="9"/>
    <s v="LT_KlaU"/>
    <x v="7"/>
    <x v="5"/>
    <x v="5"/>
    <s v="GNR_PV_SUN"/>
    <x v="8"/>
    <n v="0.92254226316859"/>
  </r>
  <r>
    <x v="0"/>
    <x v="0"/>
    <x v="0"/>
    <x v="5"/>
    <x v="9"/>
    <s v="LT_KlaU"/>
    <x v="19"/>
    <x v="7"/>
    <x v="11"/>
    <s v="GNR_BO_WOOD_E-108"/>
    <x v="8"/>
    <n v="1.8952519880000001E-2"/>
  </r>
  <r>
    <x v="0"/>
    <x v="0"/>
    <x v="0"/>
    <x v="5"/>
    <x v="9"/>
    <s v="LT_KlaU"/>
    <x v="19"/>
    <x v="1"/>
    <x v="1"/>
    <s v="KLAIPEDA_ST_WOOD_BP"/>
    <x v="8"/>
    <n v="0.98526263611999998"/>
  </r>
  <r>
    <x v="0"/>
    <x v="0"/>
    <x v="0"/>
    <x v="5"/>
    <x v="9"/>
    <s v="LT_Other_DH"/>
    <x v="1"/>
    <x v="1"/>
    <x v="8"/>
    <s v="GNR_ENG_BGAS_EXT_E-33"/>
    <x v="8"/>
    <n v="1.5823626"/>
  </r>
  <r>
    <x v="0"/>
    <x v="0"/>
    <x v="0"/>
    <x v="5"/>
    <x v="9"/>
    <s v="LT_Other_DH"/>
    <x v="17"/>
    <x v="1"/>
    <x v="8"/>
    <s v="GNR_ST_FUELOIL_EXT_E-22"/>
    <x v="8"/>
    <n v="1.4778939235199999"/>
  </r>
  <r>
    <x v="0"/>
    <x v="0"/>
    <x v="0"/>
    <x v="5"/>
    <x v="9"/>
    <s v="LT_Other_DH"/>
    <x v="11"/>
    <x v="1"/>
    <x v="1"/>
    <s v="LIFOSA_ST_HEAT_BP"/>
    <x v="8"/>
    <n v="1.8227358768219999"/>
  </r>
  <r>
    <x v="0"/>
    <x v="0"/>
    <x v="0"/>
    <x v="5"/>
    <x v="9"/>
    <s v="LT_Other_DH"/>
    <x v="3"/>
    <x v="1"/>
    <x v="8"/>
    <s v="ACHEMA1_ST_NGAS_EXT"/>
    <x v="8"/>
    <n v="0.270947219312"/>
  </r>
  <r>
    <x v="0"/>
    <x v="0"/>
    <x v="0"/>
    <x v="5"/>
    <x v="9"/>
    <s v="LT_Other_DH"/>
    <x v="3"/>
    <x v="1"/>
    <x v="8"/>
    <s v="ACHEMA2_ST_NGAS_EXT"/>
    <x v="8"/>
    <n v="0.57884178671200004"/>
  </r>
  <r>
    <x v="0"/>
    <x v="0"/>
    <x v="0"/>
    <x v="5"/>
    <x v="9"/>
    <s v="LT_Other_DH"/>
    <x v="3"/>
    <x v="1"/>
    <x v="1"/>
    <s v="ALYTUS_ENG_NGAS_BP"/>
    <x v="8"/>
    <n v="0.1133052008032"/>
  </r>
  <r>
    <x v="0"/>
    <x v="0"/>
    <x v="0"/>
    <x v="5"/>
    <x v="9"/>
    <s v="LT_Other_DH"/>
    <x v="3"/>
    <x v="7"/>
    <x v="11"/>
    <s v="GNR_BO_NGAS_E-101"/>
    <x v="8"/>
    <n v="1.4019836880000001"/>
  </r>
  <r>
    <x v="0"/>
    <x v="0"/>
    <x v="0"/>
    <x v="5"/>
    <x v="9"/>
    <s v="LT_Other_DH"/>
    <x v="3"/>
    <x v="1"/>
    <x v="1"/>
    <s v="GNR_ST_GAS_BP-E15"/>
    <x v="8"/>
    <n v="0.24631565391999999"/>
  </r>
  <r>
    <x v="0"/>
    <x v="0"/>
    <x v="0"/>
    <x v="5"/>
    <x v="9"/>
    <s v="LT_Other_DH"/>
    <x v="13"/>
    <x v="1"/>
    <x v="1"/>
    <s v="EBAVERE_ST_WOODWST_BP"/>
    <x v="8"/>
    <n v="0.2660209117524"/>
  </r>
  <r>
    <x v="0"/>
    <x v="0"/>
    <x v="0"/>
    <x v="5"/>
    <x v="9"/>
    <s v="LT_Panevezys"/>
    <x v="3"/>
    <x v="7"/>
    <x v="11"/>
    <s v="GNR_BO_NGAS_E-101"/>
    <x v="8"/>
    <n v="5.1960932799999998E-2"/>
  </r>
  <r>
    <x v="0"/>
    <x v="0"/>
    <x v="0"/>
    <x v="5"/>
    <x v="9"/>
    <s v="LT_Panevezys"/>
    <x v="3"/>
    <x v="1"/>
    <x v="1"/>
    <s v="GNR_CC_NGAS_BP_E-42"/>
    <x v="8"/>
    <n v="1.0516380000000001"/>
  </r>
  <r>
    <x v="0"/>
    <x v="0"/>
    <x v="0"/>
    <x v="5"/>
    <x v="9"/>
    <s v="LT_Panevezys"/>
    <x v="19"/>
    <x v="7"/>
    <x v="11"/>
    <s v="GNR_BO_WOOD_E-108"/>
    <x v="8"/>
    <n v="0.32760784364000001"/>
  </r>
  <r>
    <x v="0"/>
    <x v="0"/>
    <x v="0"/>
    <x v="5"/>
    <x v="9"/>
    <s v="LT_Rural"/>
    <x v="9"/>
    <x v="5"/>
    <x v="7"/>
    <s v="GNR_WT_WIND_ONS"/>
    <x v="8"/>
    <n v="6.0510248960000004"/>
  </r>
  <r>
    <x v="0"/>
    <x v="0"/>
    <x v="0"/>
    <x v="5"/>
    <x v="9"/>
    <s v="LT_SiaU"/>
    <x v="3"/>
    <x v="7"/>
    <x v="11"/>
    <s v="GNR_BO_NGAS_E-101"/>
    <x v="8"/>
    <n v="0.1221302264"/>
  </r>
  <r>
    <x v="0"/>
    <x v="0"/>
    <x v="0"/>
    <x v="5"/>
    <x v="9"/>
    <s v="LT_SiaU"/>
    <x v="19"/>
    <x v="7"/>
    <x v="11"/>
    <s v="GNR_BO_WOOD_E-108"/>
    <x v="8"/>
    <n v="0.135375142"/>
  </r>
  <r>
    <x v="0"/>
    <x v="0"/>
    <x v="0"/>
    <x v="5"/>
    <x v="9"/>
    <s v="LT_SiaU"/>
    <x v="19"/>
    <x v="1"/>
    <x v="1"/>
    <s v="SIAULIAI_ST_WOOD_BP"/>
    <x v="8"/>
    <n v="0.5320418235048"/>
  </r>
  <r>
    <x v="0"/>
    <x v="0"/>
    <x v="0"/>
    <x v="5"/>
    <x v="9"/>
    <s v="LT_VilU"/>
    <x v="6"/>
    <x v="3"/>
    <x v="13"/>
    <s v="GNR_ES_WTR_PMP"/>
    <x v="8"/>
    <n v="1.28772"/>
  </r>
  <r>
    <x v="0"/>
    <x v="0"/>
    <x v="0"/>
    <x v="5"/>
    <x v="9"/>
    <s v="LT_VilU"/>
    <x v="2"/>
    <x v="1"/>
    <x v="1"/>
    <s v="VILNIUS_ST_MSW_BP"/>
    <x v="8"/>
    <n v="2.0058139920000002"/>
  </r>
  <r>
    <x v="0"/>
    <x v="0"/>
    <x v="0"/>
    <x v="5"/>
    <x v="9"/>
    <s v="LT_VilU"/>
    <x v="3"/>
    <x v="7"/>
    <x v="11"/>
    <s v="GNR_BO_NGAS_E-101"/>
    <x v="8"/>
    <n v="0.24554244959999999"/>
  </r>
  <r>
    <x v="0"/>
    <x v="0"/>
    <x v="0"/>
    <x v="5"/>
    <x v="9"/>
    <s v="LT_VilU"/>
    <x v="3"/>
    <x v="4"/>
    <x v="4"/>
    <s v="GNR_CC_NGAS_CND_E-58"/>
    <x v="8"/>
    <n v="4.4829451803499998"/>
  </r>
  <r>
    <x v="0"/>
    <x v="0"/>
    <x v="0"/>
    <x v="5"/>
    <x v="9"/>
    <s v="LT_VilU"/>
    <x v="3"/>
    <x v="4"/>
    <x v="4"/>
    <s v="GNR_ST_NGAS_CON_E-38"/>
    <x v="8"/>
    <n v="5.911576062"/>
  </r>
  <r>
    <x v="0"/>
    <x v="0"/>
    <x v="0"/>
    <x v="5"/>
    <x v="9"/>
    <s v="LT_VilU"/>
    <x v="19"/>
    <x v="1"/>
    <x v="1"/>
    <s v="VILNIUS_ST_WOOD_BP"/>
    <x v="8"/>
    <n v="0.73894697709000001"/>
  </r>
  <r>
    <x v="0"/>
    <x v="0"/>
    <x v="0"/>
    <x v="6"/>
    <x v="10"/>
    <s v="NL_A"/>
    <x v="23"/>
    <x v="4"/>
    <x v="4"/>
    <s v="GNR_ST_NUCL_CND_E-33"/>
    <x v="8"/>
    <n v="64.991228399999997"/>
  </r>
  <r>
    <x v="0"/>
    <x v="0"/>
    <x v="0"/>
    <x v="6"/>
    <x v="10"/>
    <s v="NL_A"/>
    <x v="7"/>
    <x v="5"/>
    <x v="5"/>
    <s v="GNR_PV_SUN"/>
    <x v="8"/>
    <n v="8.2383024100955105"/>
  </r>
  <r>
    <x v="0"/>
    <x v="0"/>
    <x v="0"/>
    <x v="6"/>
    <x v="10"/>
    <s v="NL_A"/>
    <x v="8"/>
    <x v="6"/>
    <x v="6"/>
    <s v="GNR_ROR_WTR"/>
    <x v="8"/>
    <n v="0.85707034482758704"/>
  </r>
  <r>
    <x v="0"/>
    <x v="0"/>
    <x v="0"/>
    <x v="6"/>
    <x v="10"/>
    <s v="NL_A"/>
    <x v="9"/>
    <x v="5"/>
    <x v="7"/>
    <s v="GNR_WT_WIND_OFF"/>
    <x v="8"/>
    <n v="45.692282937839998"/>
  </r>
  <r>
    <x v="0"/>
    <x v="0"/>
    <x v="0"/>
    <x v="6"/>
    <x v="10"/>
    <s v="NL_A"/>
    <x v="9"/>
    <x v="5"/>
    <x v="7"/>
    <s v="GNR_WT_WIND_ONS"/>
    <x v="8"/>
    <n v="59.434397245440003"/>
  </r>
  <r>
    <x v="0"/>
    <x v="0"/>
    <x v="0"/>
    <x v="7"/>
    <x v="11"/>
    <s v="NO1_A1"/>
    <x v="8"/>
    <x v="6"/>
    <x v="12"/>
    <s v="GNR_RES_WTR_NOPMP_MC-01"/>
    <x v="8"/>
    <n v="3.6087172413793098"/>
  </r>
  <r>
    <x v="0"/>
    <x v="0"/>
    <x v="0"/>
    <x v="7"/>
    <x v="11"/>
    <s v="NO1_A1"/>
    <x v="8"/>
    <x v="6"/>
    <x v="12"/>
    <s v="GNR_RES_WTR_NOPMP_MC-02"/>
    <x v="8"/>
    <n v="3.6087172413793098"/>
  </r>
  <r>
    <x v="0"/>
    <x v="0"/>
    <x v="0"/>
    <x v="7"/>
    <x v="11"/>
    <s v="NO1_A1"/>
    <x v="8"/>
    <x v="6"/>
    <x v="12"/>
    <s v="GNR_RES_WTR_NOPMP_MC-03"/>
    <x v="8"/>
    <n v="3.6087172413793098"/>
  </r>
  <r>
    <x v="0"/>
    <x v="0"/>
    <x v="0"/>
    <x v="7"/>
    <x v="11"/>
    <s v="NO1_A1"/>
    <x v="8"/>
    <x v="6"/>
    <x v="12"/>
    <s v="GNR_RES_WTR_NOPMP_MC-04"/>
    <x v="8"/>
    <n v="3.6087172413793098"/>
  </r>
  <r>
    <x v="0"/>
    <x v="0"/>
    <x v="0"/>
    <x v="7"/>
    <x v="11"/>
    <s v="NO1_A1"/>
    <x v="8"/>
    <x v="6"/>
    <x v="12"/>
    <s v="GNR_RES_WTR_NOPMP_MC-05"/>
    <x v="8"/>
    <n v="3.6087172413793098"/>
  </r>
  <r>
    <x v="0"/>
    <x v="0"/>
    <x v="0"/>
    <x v="7"/>
    <x v="11"/>
    <s v="NO1_A1"/>
    <x v="8"/>
    <x v="6"/>
    <x v="12"/>
    <s v="GNR_RES_WTR_NOPMP_MC-06"/>
    <x v="8"/>
    <n v="3.6087172413793098"/>
  </r>
  <r>
    <x v="0"/>
    <x v="0"/>
    <x v="0"/>
    <x v="7"/>
    <x v="11"/>
    <s v="NO1_A1"/>
    <x v="8"/>
    <x v="6"/>
    <x v="12"/>
    <s v="GNR_RES_WTR_NOPMP_MC-07"/>
    <x v="8"/>
    <n v="3.6087172413793098"/>
  </r>
  <r>
    <x v="0"/>
    <x v="0"/>
    <x v="0"/>
    <x v="7"/>
    <x v="11"/>
    <s v="NO1_A1"/>
    <x v="8"/>
    <x v="6"/>
    <x v="12"/>
    <s v="GNR_RES_WTR_NOPMP_MC-08"/>
    <x v="8"/>
    <n v="3.6087172413793098"/>
  </r>
  <r>
    <x v="0"/>
    <x v="0"/>
    <x v="0"/>
    <x v="7"/>
    <x v="11"/>
    <s v="NO1_A1"/>
    <x v="8"/>
    <x v="6"/>
    <x v="12"/>
    <s v="GNR_RES_WTR_NOPMP_MC-09"/>
    <x v="8"/>
    <n v="3.6087172413793098"/>
  </r>
  <r>
    <x v="0"/>
    <x v="0"/>
    <x v="0"/>
    <x v="7"/>
    <x v="11"/>
    <s v="NO1_A1"/>
    <x v="8"/>
    <x v="6"/>
    <x v="12"/>
    <s v="GNR_RES_WTR_NOPMP_MC-10"/>
    <x v="8"/>
    <n v="3.6087172413793098"/>
  </r>
  <r>
    <x v="0"/>
    <x v="0"/>
    <x v="0"/>
    <x v="7"/>
    <x v="11"/>
    <s v="NO1_A1"/>
    <x v="8"/>
    <x v="6"/>
    <x v="6"/>
    <s v="GNR_ROR_WTR"/>
    <x v="8"/>
    <n v="47.457572828689699"/>
  </r>
  <r>
    <x v="0"/>
    <x v="0"/>
    <x v="0"/>
    <x v="7"/>
    <x v="11"/>
    <s v="NO1_A1"/>
    <x v="9"/>
    <x v="5"/>
    <x v="7"/>
    <s v="GNR_WT_WIND_ONS"/>
    <x v="8"/>
    <n v="6.7176632319999996"/>
  </r>
  <r>
    <x v="0"/>
    <x v="0"/>
    <x v="0"/>
    <x v="7"/>
    <x v="11"/>
    <s v="NO1_A2"/>
    <x v="1"/>
    <x v="7"/>
    <x v="11"/>
    <s v="GNR_BO_BGAS_E-90"/>
    <x v="8"/>
    <n v="5.4084240000000002E-3"/>
  </r>
  <r>
    <x v="0"/>
    <x v="0"/>
    <x v="0"/>
    <x v="7"/>
    <x v="11"/>
    <s v="NO1_A2"/>
    <x v="10"/>
    <x v="7"/>
    <x v="11"/>
    <s v="GNR_BO_COAL_E-90"/>
    <x v="8"/>
    <n v="5.2244640000000002E-2"/>
  </r>
  <r>
    <x v="0"/>
    <x v="0"/>
    <x v="0"/>
    <x v="7"/>
    <x v="11"/>
    <s v="NO1_A2"/>
    <x v="6"/>
    <x v="2"/>
    <x v="2"/>
    <s v="GNR_BO_ELEC_E-99"/>
    <x v="8"/>
    <n v="4.2526237600000003E-2"/>
  </r>
  <r>
    <x v="0"/>
    <x v="0"/>
    <x v="0"/>
    <x v="7"/>
    <x v="11"/>
    <s v="NO1_A2"/>
    <x v="6"/>
    <x v="2"/>
    <x v="2"/>
    <s v="GNR_HP_ELEC_COP-270"/>
    <x v="8"/>
    <n v="0.14402432800000001"/>
  </r>
  <r>
    <x v="0"/>
    <x v="0"/>
    <x v="0"/>
    <x v="7"/>
    <x v="11"/>
    <s v="NO1_A2"/>
    <x v="17"/>
    <x v="7"/>
    <x v="11"/>
    <s v="GNR_BO_FUELOIL_E-90"/>
    <x v="8"/>
    <n v="0.237169408"/>
  </r>
  <r>
    <x v="0"/>
    <x v="0"/>
    <x v="0"/>
    <x v="7"/>
    <x v="11"/>
    <s v="NO1_A2"/>
    <x v="25"/>
    <x v="7"/>
    <x v="11"/>
    <s v="GNR_BO_LNG_E-90"/>
    <x v="8"/>
    <n v="0.261996854"/>
  </r>
  <r>
    <x v="0"/>
    <x v="0"/>
    <x v="0"/>
    <x v="7"/>
    <x v="11"/>
    <s v="NO1_A2"/>
    <x v="2"/>
    <x v="7"/>
    <x v="11"/>
    <s v="GNR_BO_MSW_E-90"/>
    <x v="8"/>
    <n v="0.26255895983823802"/>
  </r>
  <r>
    <x v="0"/>
    <x v="0"/>
    <x v="0"/>
    <x v="7"/>
    <x v="11"/>
    <s v="NO1_A2"/>
    <x v="2"/>
    <x v="1"/>
    <x v="1"/>
    <s v="GNR_ST_MSW_BP_CB-20"/>
    <x v="8"/>
    <n v="0.68106080000000002"/>
  </r>
  <r>
    <x v="0"/>
    <x v="0"/>
    <x v="0"/>
    <x v="7"/>
    <x v="11"/>
    <s v="NO1_A2"/>
    <x v="5"/>
    <x v="7"/>
    <x v="11"/>
    <s v="GNR_BO_WOODCHI_E-90"/>
    <x v="8"/>
    <n v="1.4543201235572101"/>
  </r>
  <r>
    <x v="0"/>
    <x v="0"/>
    <x v="0"/>
    <x v="7"/>
    <x v="11"/>
    <s v="NO1_A2"/>
    <x v="16"/>
    <x v="7"/>
    <x v="11"/>
    <s v="GNR_BO_WOODPEL_E-90"/>
    <x v="8"/>
    <n v="3.066E-2"/>
  </r>
  <r>
    <x v="0"/>
    <x v="0"/>
    <x v="0"/>
    <x v="7"/>
    <x v="11"/>
    <s v="NO1_A2"/>
    <x v="13"/>
    <x v="7"/>
    <x v="11"/>
    <s v="GNR_BO_WOODWST_E-90"/>
    <x v="8"/>
    <n v="0.77074454115367497"/>
  </r>
  <r>
    <x v="0"/>
    <x v="0"/>
    <x v="0"/>
    <x v="7"/>
    <x v="11"/>
    <s v="NO1_A3"/>
    <x v="14"/>
    <x v="7"/>
    <x v="11"/>
    <s v="GNR_BO_BIOIL_E-90"/>
    <x v="8"/>
    <n v="0.11598064800000001"/>
  </r>
  <r>
    <x v="0"/>
    <x v="0"/>
    <x v="0"/>
    <x v="7"/>
    <x v="11"/>
    <s v="NO1_A3"/>
    <x v="6"/>
    <x v="2"/>
    <x v="2"/>
    <s v="GNR_BO_ELEC_E-99"/>
    <x v="8"/>
    <n v="0.11292589"/>
  </r>
  <r>
    <x v="0"/>
    <x v="0"/>
    <x v="0"/>
    <x v="7"/>
    <x v="11"/>
    <s v="NO1_A3"/>
    <x v="6"/>
    <x v="2"/>
    <x v="2"/>
    <s v="GNR_HP_ELEC_COP-270"/>
    <x v="8"/>
    <n v="2.5038999999999999E-2"/>
  </r>
  <r>
    <x v="0"/>
    <x v="0"/>
    <x v="0"/>
    <x v="7"/>
    <x v="11"/>
    <s v="NO1_A3"/>
    <x v="17"/>
    <x v="7"/>
    <x v="11"/>
    <s v="GNR_BO_FUELOIL_E-90"/>
    <x v="8"/>
    <n v="0.27002057600000001"/>
  </r>
  <r>
    <x v="0"/>
    <x v="0"/>
    <x v="0"/>
    <x v="7"/>
    <x v="11"/>
    <s v="NO1_A3"/>
    <x v="25"/>
    <x v="7"/>
    <x v="11"/>
    <s v="GNR_BO_LNG_E-90"/>
    <x v="8"/>
    <n v="0.40614382199999999"/>
  </r>
  <r>
    <x v="0"/>
    <x v="0"/>
    <x v="0"/>
    <x v="7"/>
    <x v="11"/>
    <s v="NO1_A3"/>
    <x v="2"/>
    <x v="7"/>
    <x v="11"/>
    <s v="GNR_BO_MSW_E-90"/>
    <x v="8"/>
    <n v="1.1264626341446999"/>
  </r>
  <r>
    <x v="0"/>
    <x v="0"/>
    <x v="0"/>
    <x v="7"/>
    <x v="11"/>
    <s v="NO1_A3"/>
    <x v="2"/>
    <x v="1"/>
    <x v="1"/>
    <s v="GNR_ST_MSW_BP_CB-20"/>
    <x v="8"/>
    <n v="1.5440716666666701"/>
  </r>
  <r>
    <x v="0"/>
    <x v="0"/>
    <x v="0"/>
    <x v="7"/>
    <x v="11"/>
    <s v="NO1_A3"/>
    <x v="16"/>
    <x v="7"/>
    <x v="11"/>
    <s v="GNR_BO_WOODPEL_E-90"/>
    <x v="8"/>
    <n v="7.1437799999999996E-2"/>
  </r>
  <r>
    <x v="0"/>
    <x v="0"/>
    <x v="0"/>
    <x v="7"/>
    <x v="11"/>
    <s v="NO1_A3"/>
    <x v="13"/>
    <x v="7"/>
    <x v="11"/>
    <s v="GNR_BO_WOODWST_E-90"/>
    <x v="8"/>
    <n v="0.23366463464839901"/>
  </r>
  <r>
    <x v="0"/>
    <x v="0"/>
    <x v="0"/>
    <x v="7"/>
    <x v="12"/>
    <s v="NO2_A1"/>
    <x v="8"/>
    <x v="6"/>
    <x v="12"/>
    <s v="GNR_RES_WTR_NOPMP_MC-01"/>
    <x v="8"/>
    <n v="8.2818268906143402"/>
  </r>
  <r>
    <x v="0"/>
    <x v="0"/>
    <x v="0"/>
    <x v="7"/>
    <x v="12"/>
    <s v="NO2_A1"/>
    <x v="8"/>
    <x v="6"/>
    <x v="12"/>
    <s v="GNR_RES_WTR_NOPMP_MC-02"/>
    <x v="8"/>
    <n v="20.010157925097101"/>
  </r>
  <r>
    <x v="0"/>
    <x v="0"/>
    <x v="0"/>
    <x v="7"/>
    <x v="12"/>
    <s v="NO2_A1"/>
    <x v="8"/>
    <x v="6"/>
    <x v="12"/>
    <s v="GNR_RES_WTR_NOPMP_MC-03"/>
    <x v="8"/>
    <n v="20.010157925097101"/>
  </r>
  <r>
    <x v="0"/>
    <x v="0"/>
    <x v="0"/>
    <x v="7"/>
    <x v="12"/>
    <s v="NO2_A1"/>
    <x v="8"/>
    <x v="6"/>
    <x v="12"/>
    <s v="GNR_RES_WTR_NOPMP_MC-04"/>
    <x v="8"/>
    <n v="20.010157925097101"/>
  </r>
  <r>
    <x v="0"/>
    <x v="0"/>
    <x v="0"/>
    <x v="7"/>
    <x v="12"/>
    <s v="NO2_A1"/>
    <x v="8"/>
    <x v="6"/>
    <x v="12"/>
    <s v="GNR_RES_WTR_NOPMP_MC-05"/>
    <x v="8"/>
    <n v="20.010157925097101"/>
  </r>
  <r>
    <x v="0"/>
    <x v="0"/>
    <x v="0"/>
    <x v="7"/>
    <x v="12"/>
    <s v="NO2_A1"/>
    <x v="8"/>
    <x v="6"/>
    <x v="12"/>
    <s v="GNR_RES_WTR_NOPMP_MC-06"/>
    <x v="8"/>
    <n v="20.010157925097101"/>
  </r>
  <r>
    <x v="0"/>
    <x v="0"/>
    <x v="0"/>
    <x v="7"/>
    <x v="12"/>
    <s v="NO2_A1"/>
    <x v="8"/>
    <x v="6"/>
    <x v="12"/>
    <s v="GNR_RES_WTR_NOPMP_MC-07"/>
    <x v="8"/>
    <n v="20.010157925097101"/>
  </r>
  <r>
    <x v="0"/>
    <x v="0"/>
    <x v="0"/>
    <x v="7"/>
    <x v="12"/>
    <s v="NO2_A1"/>
    <x v="8"/>
    <x v="6"/>
    <x v="12"/>
    <s v="GNR_RES_WTR_NOPMP_MC-08"/>
    <x v="8"/>
    <n v="20.010157925097101"/>
  </r>
  <r>
    <x v="0"/>
    <x v="0"/>
    <x v="0"/>
    <x v="7"/>
    <x v="12"/>
    <s v="NO2_A1"/>
    <x v="8"/>
    <x v="6"/>
    <x v="12"/>
    <s v="GNR_RES_WTR_NOPMP_MC-09"/>
    <x v="8"/>
    <n v="20.010157925097101"/>
  </r>
  <r>
    <x v="0"/>
    <x v="0"/>
    <x v="0"/>
    <x v="7"/>
    <x v="12"/>
    <s v="NO2_A1"/>
    <x v="8"/>
    <x v="6"/>
    <x v="12"/>
    <s v="GNR_RES_WTR_NOPMP_MC-10"/>
    <x v="8"/>
    <n v="20.010157925097101"/>
  </r>
  <r>
    <x v="0"/>
    <x v="0"/>
    <x v="0"/>
    <x v="7"/>
    <x v="12"/>
    <s v="NO2_A1"/>
    <x v="8"/>
    <x v="6"/>
    <x v="12"/>
    <s v="GNR_RES_WTR_PMP_MC-01"/>
    <x v="8"/>
    <n v="11.7283310344828"/>
  </r>
  <r>
    <x v="0"/>
    <x v="0"/>
    <x v="0"/>
    <x v="7"/>
    <x v="12"/>
    <s v="NO2_A1"/>
    <x v="8"/>
    <x v="6"/>
    <x v="6"/>
    <s v="GNR_ROR_WTR"/>
    <x v="8"/>
    <n v="51.292458358960097"/>
  </r>
  <r>
    <x v="0"/>
    <x v="0"/>
    <x v="0"/>
    <x v="7"/>
    <x v="12"/>
    <s v="NO2_A1"/>
    <x v="9"/>
    <x v="5"/>
    <x v="7"/>
    <s v="GNR_WT_WIND_ONS"/>
    <x v="8"/>
    <n v="28.137265766399999"/>
  </r>
  <r>
    <x v="0"/>
    <x v="0"/>
    <x v="0"/>
    <x v="7"/>
    <x v="12"/>
    <s v="NO2_A2"/>
    <x v="1"/>
    <x v="7"/>
    <x v="11"/>
    <s v="GNR_BO_BGAS_E-90"/>
    <x v="8"/>
    <n v="1.0015600000000001E-3"/>
  </r>
  <r>
    <x v="0"/>
    <x v="0"/>
    <x v="0"/>
    <x v="7"/>
    <x v="12"/>
    <s v="NO2_A2"/>
    <x v="10"/>
    <x v="7"/>
    <x v="11"/>
    <s v="GNR_BO_COAL_E-90"/>
    <x v="8"/>
    <n v="7.7263200000000001E-3"/>
  </r>
  <r>
    <x v="0"/>
    <x v="0"/>
    <x v="0"/>
    <x v="7"/>
    <x v="12"/>
    <s v="NO2_A2"/>
    <x v="6"/>
    <x v="2"/>
    <x v="2"/>
    <s v="GNR_BO_ELEC_E-99"/>
    <x v="8"/>
    <n v="1.9830888000000001E-2"/>
  </r>
  <r>
    <x v="0"/>
    <x v="0"/>
    <x v="0"/>
    <x v="7"/>
    <x v="12"/>
    <s v="NO2_A2"/>
    <x v="6"/>
    <x v="2"/>
    <x v="2"/>
    <s v="GNR_HP_ELEC_COP-270"/>
    <x v="8"/>
    <n v="1.6024959999999999E-3"/>
  </r>
  <r>
    <x v="0"/>
    <x v="0"/>
    <x v="0"/>
    <x v="7"/>
    <x v="12"/>
    <s v="NO2_A2"/>
    <x v="17"/>
    <x v="7"/>
    <x v="11"/>
    <s v="GNR_BO_FUELOIL_E-90"/>
    <x v="8"/>
    <n v="3.3852727999999999E-2"/>
  </r>
  <r>
    <x v="0"/>
    <x v="0"/>
    <x v="0"/>
    <x v="7"/>
    <x v="12"/>
    <s v="NO2_A2"/>
    <x v="25"/>
    <x v="7"/>
    <x v="11"/>
    <s v="GNR_BO_LNG_E-90"/>
    <x v="8"/>
    <n v="8.1813144000000004E-2"/>
  </r>
  <r>
    <x v="0"/>
    <x v="0"/>
    <x v="0"/>
    <x v="7"/>
    <x v="12"/>
    <s v="NO2_A2"/>
    <x v="2"/>
    <x v="1"/>
    <x v="1"/>
    <s v="GNR_ST_MSW_BP_CB-30"/>
    <x v="8"/>
    <n v="0.90140399999999998"/>
  </r>
  <r>
    <x v="0"/>
    <x v="0"/>
    <x v="0"/>
    <x v="7"/>
    <x v="12"/>
    <s v="NO2_A2"/>
    <x v="3"/>
    <x v="7"/>
    <x v="11"/>
    <s v="GNR_BO_NGAS_E-90"/>
    <x v="8"/>
    <n v="0.30485135800000002"/>
  </r>
  <r>
    <x v="0"/>
    <x v="0"/>
    <x v="0"/>
    <x v="7"/>
    <x v="12"/>
    <s v="NO2_A2"/>
    <x v="5"/>
    <x v="7"/>
    <x v="11"/>
    <s v="GNR_BO_WOODCHI_E-90"/>
    <x v="8"/>
    <n v="6.3926159277240102E-2"/>
  </r>
  <r>
    <x v="0"/>
    <x v="0"/>
    <x v="0"/>
    <x v="7"/>
    <x v="12"/>
    <s v="NO2_A2"/>
    <x v="16"/>
    <x v="7"/>
    <x v="11"/>
    <s v="GNR_BO_WOODPEL_E-90"/>
    <x v="8"/>
    <n v="2.8207200000000002E-2"/>
  </r>
  <r>
    <x v="0"/>
    <x v="0"/>
    <x v="0"/>
    <x v="7"/>
    <x v="12"/>
    <s v="NO2_A2"/>
    <x v="13"/>
    <x v="7"/>
    <x v="11"/>
    <s v="GNR_BO_WOODWST_E-90"/>
    <x v="8"/>
    <n v="0.92768347487274905"/>
  </r>
  <r>
    <x v="0"/>
    <x v="0"/>
    <x v="0"/>
    <x v="7"/>
    <x v="13"/>
    <s v="NO3_A1"/>
    <x v="8"/>
    <x v="6"/>
    <x v="12"/>
    <s v="GNR_RES_WTR_NOPMP_MC-01"/>
    <x v="8"/>
    <n v="5.0036333674124602"/>
  </r>
  <r>
    <x v="0"/>
    <x v="0"/>
    <x v="0"/>
    <x v="7"/>
    <x v="13"/>
    <s v="NO3_A1"/>
    <x v="8"/>
    <x v="6"/>
    <x v="12"/>
    <s v="GNR_RES_WTR_NOPMP_MC-02"/>
    <x v="8"/>
    <n v="6.3636686777572899"/>
  </r>
  <r>
    <x v="0"/>
    <x v="0"/>
    <x v="0"/>
    <x v="7"/>
    <x v="13"/>
    <s v="NO3_A1"/>
    <x v="8"/>
    <x v="6"/>
    <x v="12"/>
    <s v="GNR_RES_WTR_NOPMP_MC-03"/>
    <x v="8"/>
    <n v="6.3636686777572899"/>
  </r>
  <r>
    <x v="0"/>
    <x v="0"/>
    <x v="0"/>
    <x v="7"/>
    <x v="13"/>
    <s v="NO3_A1"/>
    <x v="8"/>
    <x v="6"/>
    <x v="12"/>
    <s v="GNR_RES_WTR_NOPMP_MC-04"/>
    <x v="8"/>
    <n v="6.3636686777572899"/>
  </r>
  <r>
    <x v="0"/>
    <x v="0"/>
    <x v="0"/>
    <x v="7"/>
    <x v="13"/>
    <s v="NO3_A1"/>
    <x v="8"/>
    <x v="6"/>
    <x v="12"/>
    <s v="GNR_RES_WTR_NOPMP_MC-05"/>
    <x v="8"/>
    <n v="6.3636686777572899"/>
  </r>
  <r>
    <x v="0"/>
    <x v="0"/>
    <x v="0"/>
    <x v="7"/>
    <x v="13"/>
    <s v="NO3_A1"/>
    <x v="8"/>
    <x v="6"/>
    <x v="12"/>
    <s v="GNR_RES_WTR_NOPMP_MC-06"/>
    <x v="8"/>
    <n v="6.3636686777572899"/>
  </r>
  <r>
    <x v="0"/>
    <x v="0"/>
    <x v="0"/>
    <x v="7"/>
    <x v="13"/>
    <s v="NO3_A1"/>
    <x v="8"/>
    <x v="6"/>
    <x v="12"/>
    <s v="GNR_RES_WTR_NOPMP_MC-07"/>
    <x v="8"/>
    <n v="6.3636686777572899"/>
  </r>
  <r>
    <x v="0"/>
    <x v="0"/>
    <x v="0"/>
    <x v="7"/>
    <x v="13"/>
    <s v="NO3_A1"/>
    <x v="8"/>
    <x v="6"/>
    <x v="12"/>
    <s v="GNR_RES_WTR_NOPMP_MC-08"/>
    <x v="8"/>
    <n v="6.3636686777572899"/>
  </r>
  <r>
    <x v="0"/>
    <x v="0"/>
    <x v="0"/>
    <x v="7"/>
    <x v="13"/>
    <s v="NO3_A1"/>
    <x v="8"/>
    <x v="6"/>
    <x v="12"/>
    <s v="GNR_RES_WTR_NOPMP_MC-09"/>
    <x v="8"/>
    <n v="6.3636686777572899"/>
  </r>
  <r>
    <x v="0"/>
    <x v="0"/>
    <x v="0"/>
    <x v="7"/>
    <x v="13"/>
    <s v="NO3_A1"/>
    <x v="8"/>
    <x v="6"/>
    <x v="12"/>
    <s v="GNR_RES_WTR_NOPMP_MC-10"/>
    <x v="8"/>
    <n v="6.3636686777572899"/>
  </r>
  <r>
    <x v="0"/>
    <x v="0"/>
    <x v="0"/>
    <x v="7"/>
    <x v="13"/>
    <s v="NO3_A1"/>
    <x v="8"/>
    <x v="6"/>
    <x v="12"/>
    <s v="GNR_RES_WTR_PMP_MC-01"/>
    <x v="8"/>
    <n v="1.3600353103448299"/>
  </r>
  <r>
    <x v="0"/>
    <x v="0"/>
    <x v="0"/>
    <x v="7"/>
    <x v="13"/>
    <s v="NO3_A1"/>
    <x v="8"/>
    <x v="6"/>
    <x v="6"/>
    <s v="GNR_ROR_WTR"/>
    <x v="8"/>
    <n v="41.3177952174617"/>
  </r>
  <r>
    <x v="0"/>
    <x v="0"/>
    <x v="0"/>
    <x v="7"/>
    <x v="13"/>
    <s v="NO3_A1"/>
    <x v="9"/>
    <x v="5"/>
    <x v="7"/>
    <s v="GNR_WT_WIND_ONS"/>
    <x v="8"/>
    <n v="19.617115033600001"/>
  </r>
  <r>
    <x v="0"/>
    <x v="0"/>
    <x v="0"/>
    <x v="7"/>
    <x v="13"/>
    <s v="NO3_A2"/>
    <x v="10"/>
    <x v="7"/>
    <x v="11"/>
    <s v="GNR_BO_COAL_E-90"/>
    <x v="8"/>
    <n v="5.8867199999999998E-3"/>
  </r>
  <r>
    <x v="0"/>
    <x v="0"/>
    <x v="0"/>
    <x v="7"/>
    <x v="13"/>
    <s v="NO3_A2"/>
    <x v="6"/>
    <x v="2"/>
    <x v="2"/>
    <s v="GNR_BO_ELEC_E-99"/>
    <x v="8"/>
    <n v="1.18985328E-2"/>
  </r>
  <r>
    <x v="0"/>
    <x v="0"/>
    <x v="0"/>
    <x v="7"/>
    <x v="13"/>
    <s v="NO3_A2"/>
    <x v="6"/>
    <x v="2"/>
    <x v="2"/>
    <s v="GNR_HP_ELEC_COP-270"/>
    <x v="8"/>
    <n v="9.6149760000000008E-3"/>
  </r>
  <r>
    <x v="0"/>
    <x v="0"/>
    <x v="0"/>
    <x v="7"/>
    <x v="13"/>
    <s v="NO3_A2"/>
    <x v="17"/>
    <x v="7"/>
    <x v="11"/>
    <s v="GNR_BO_FUELOIL_E-90"/>
    <x v="8"/>
    <n v="2.4638376E-2"/>
  </r>
  <r>
    <x v="0"/>
    <x v="0"/>
    <x v="0"/>
    <x v="7"/>
    <x v="13"/>
    <s v="NO3_A2"/>
    <x v="25"/>
    <x v="7"/>
    <x v="11"/>
    <s v="GNR_BO_LNG_E-90"/>
    <x v="8"/>
    <n v="0.112980056"/>
  </r>
  <r>
    <x v="0"/>
    <x v="0"/>
    <x v="0"/>
    <x v="7"/>
    <x v="13"/>
    <s v="NO3_A2"/>
    <x v="2"/>
    <x v="1"/>
    <x v="1"/>
    <s v="GNR_ST_MSW_BP_CB-20"/>
    <x v="8"/>
    <n v="0.36056159999999998"/>
  </r>
  <r>
    <x v="0"/>
    <x v="0"/>
    <x v="0"/>
    <x v="7"/>
    <x v="13"/>
    <s v="NO3_A2"/>
    <x v="5"/>
    <x v="7"/>
    <x v="11"/>
    <s v="GNR_BO_WOODCHI_E-90"/>
    <x v="8"/>
    <n v="0.17579693801241"/>
  </r>
  <r>
    <x v="0"/>
    <x v="0"/>
    <x v="0"/>
    <x v="7"/>
    <x v="13"/>
    <s v="NO3_A2"/>
    <x v="16"/>
    <x v="7"/>
    <x v="11"/>
    <s v="GNR_BO_WOODPEL_E-90"/>
    <x v="8"/>
    <n v="2.20752E-2"/>
  </r>
  <r>
    <x v="0"/>
    <x v="0"/>
    <x v="0"/>
    <x v="7"/>
    <x v="13"/>
    <s v="NO3_A3"/>
    <x v="1"/>
    <x v="7"/>
    <x v="11"/>
    <s v="GNR_BO_BGAS_E-90"/>
    <x v="8"/>
    <n v="3.4053040000000001E-3"/>
  </r>
  <r>
    <x v="0"/>
    <x v="0"/>
    <x v="0"/>
    <x v="7"/>
    <x v="13"/>
    <s v="NO3_A3"/>
    <x v="6"/>
    <x v="2"/>
    <x v="2"/>
    <s v="GNR_BO_ELEC_E-99"/>
    <x v="8"/>
    <n v="4.0653320399999998E-2"/>
  </r>
  <r>
    <x v="0"/>
    <x v="0"/>
    <x v="0"/>
    <x v="7"/>
    <x v="13"/>
    <s v="NO3_A3"/>
    <x v="6"/>
    <x v="2"/>
    <x v="2"/>
    <s v="GNR_HP_ELEC_COP-270"/>
    <x v="8"/>
    <n v="8.0124799999999996E-4"/>
  </r>
  <r>
    <x v="0"/>
    <x v="0"/>
    <x v="0"/>
    <x v="7"/>
    <x v="13"/>
    <s v="NO3_A3"/>
    <x v="17"/>
    <x v="7"/>
    <x v="11"/>
    <s v="GNR_BO_FUELOIL_E-90"/>
    <x v="8"/>
    <n v="4.4669576000000003E-2"/>
  </r>
  <r>
    <x v="0"/>
    <x v="0"/>
    <x v="0"/>
    <x v="7"/>
    <x v="13"/>
    <s v="NO3_A3"/>
    <x v="25"/>
    <x v="7"/>
    <x v="11"/>
    <s v="GNR_BO_LNG_E-90"/>
    <x v="8"/>
    <n v="0.41490951599999998"/>
  </r>
  <r>
    <x v="0"/>
    <x v="0"/>
    <x v="0"/>
    <x v="7"/>
    <x v="13"/>
    <s v="NO3_A3"/>
    <x v="2"/>
    <x v="7"/>
    <x v="11"/>
    <s v="GNR_BO_MSW_E-90"/>
    <x v="8"/>
    <n v="2.4731360087988801"/>
  </r>
  <r>
    <x v="0"/>
    <x v="0"/>
    <x v="0"/>
    <x v="7"/>
    <x v="13"/>
    <s v="NO3_A3"/>
    <x v="5"/>
    <x v="7"/>
    <x v="11"/>
    <s v="GNR_BO_WOODCHI_E-90"/>
    <x v="8"/>
    <n v="0.215750787560685"/>
  </r>
  <r>
    <x v="0"/>
    <x v="0"/>
    <x v="0"/>
    <x v="7"/>
    <x v="14"/>
    <s v="NO4_A1"/>
    <x v="3"/>
    <x v="1"/>
    <x v="1"/>
    <s v="GNR_GT_NGAS_BP_E-39"/>
    <x v="8"/>
    <n v="4.3067080000000004"/>
  </r>
  <r>
    <x v="0"/>
    <x v="0"/>
    <x v="0"/>
    <x v="7"/>
    <x v="14"/>
    <s v="NO4_A1"/>
    <x v="8"/>
    <x v="6"/>
    <x v="12"/>
    <s v="GNR_RES_WTR_NOPMP_MC-01"/>
    <x v="8"/>
    <n v="9.4630408118988907"/>
  </r>
  <r>
    <x v="0"/>
    <x v="0"/>
    <x v="0"/>
    <x v="7"/>
    <x v="14"/>
    <s v="NO4_A1"/>
    <x v="8"/>
    <x v="6"/>
    <x v="12"/>
    <s v="GNR_RES_WTR_NOPMP_MC-02"/>
    <x v="8"/>
    <n v="9.4630408118988907"/>
  </r>
  <r>
    <x v="0"/>
    <x v="0"/>
    <x v="0"/>
    <x v="7"/>
    <x v="14"/>
    <s v="NO4_A1"/>
    <x v="8"/>
    <x v="6"/>
    <x v="12"/>
    <s v="GNR_RES_WTR_NOPMP_MC-03"/>
    <x v="8"/>
    <n v="9.4630408118988907"/>
  </r>
  <r>
    <x v="0"/>
    <x v="0"/>
    <x v="0"/>
    <x v="7"/>
    <x v="14"/>
    <s v="NO4_A1"/>
    <x v="8"/>
    <x v="6"/>
    <x v="12"/>
    <s v="GNR_RES_WTR_NOPMP_MC-04"/>
    <x v="8"/>
    <n v="9.4630408118988907"/>
  </r>
  <r>
    <x v="0"/>
    <x v="0"/>
    <x v="0"/>
    <x v="7"/>
    <x v="14"/>
    <s v="NO4_A1"/>
    <x v="8"/>
    <x v="6"/>
    <x v="12"/>
    <s v="GNR_RES_WTR_NOPMP_MC-05"/>
    <x v="8"/>
    <n v="9.4630408118988907"/>
  </r>
  <r>
    <x v="0"/>
    <x v="0"/>
    <x v="0"/>
    <x v="7"/>
    <x v="14"/>
    <s v="NO4_A1"/>
    <x v="8"/>
    <x v="6"/>
    <x v="12"/>
    <s v="GNR_RES_WTR_NOPMP_MC-06"/>
    <x v="8"/>
    <n v="9.4630408118988907"/>
  </r>
  <r>
    <x v="0"/>
    <x v="0"/>
    <x v="0"/>
    <x v="7"/>
    <x v="14"/>
    <s v="NO4_A1"/>
    <x v="8"/>
    <x v="6"/>
    <x v="12"/>
    <s v="GNR_RES_WTR_NOPMP_MC-07"/>
    <x v="8"/>
    <n v="9.4630408118988907"/>
  </r>
  <r>
    <x v="0"/>
    <x v="0"/>
    <x v="0"/>
    <x v="7"/>
    <x v="14"/>
    <s v="NO4_A1"/>
    <x v="8"/>
    <x v="6"/>
    <x v="12"/>
    <s v="GNR_RES_WTR_NOPMP_MC-08"/>
    <x v="8"/>
    <n v="9.4630408118988907"/>
  </r>
  <r>
    <x v="0"/>
    <x v="0"/>
    <x v="0"/>
    <x v="7"/>
    <x v="14"/>
    <s v="NO4_A1"/>
    <x v="8"/>
    <x v="6"/>
    <x v="12"/>
    <s v="GNR_RES_WTR_NOPMP_MC-09"/>
    <x v="8"/>
    <n v="9.4630408118988907"/>
  </r>
  <r>
    <x v="0"/>
    <x v="0"/>
    <x v="0"/>
    <x v="7"/>
    <x v="14"/>
    <s v="NO4_A1"/>
    <x v="8"/>
    <x v="6"/>
    <x v="12"/>
    <s v="GNR_RES_WTR_NOPMP_MC-10"/>
    <x v="8"/>
    <n v="9.4630408118988907"/>
  </r>
  <r>
    <x v="0"/>
    <x v="0"/>
    <x v="0"/>
    <x v="7"/>
    <x v="14"/>
    <s v="NO4_A1"/>
    <x v="8"/>
    <x v="6"/>
    <x v="6"/>
    <s v="GNR_ROR_WTR"/>
    <x v="8"/>
    <n v="24.2796803819767"/>
  </r>
  <r>
    <x v="0"/>
    <x v="0"/>
    <x v="0"/>
    <x v="7"/>
    <x v="14"/>
    <s v="NO4_A1"/>
    <x v="9"/>
    <x v="5"/>
    <x v="7"/>
    <s v="GNR_WT_WIND_ONS"/>
    <x v="8"/>
    <n v="17.499256320000001"/>
  </r>
  <r>
    <x v="0"/>
    <x v="0"/>
    <x v="0"/>
    <x v="7"/>
    <x v="14"/>
    <s v="NO4_A2"/>
    <x v="10"/>
    <x v="7"/>
    <x v="11"/>
    <s v="GNR_BO_COAL_E-90"/>
    <x v="8"/>
    <n v="4.7829600000000002E-3"/>
  </r>
  <r>
    <x v="0"/>
    <x v="0"/>
    <x v="0"/>
    <x v="7"/>
    <x v="14"/>
    <s v="NO4_A2"/>
    <x v="6"/>
    <x v="2"/>
    <x v="2"/>
    <s v="GNR_BO_ELEC_E-99"/>
    <x v="8"/>
    <n v="1.8508828799999998E-2"/>
  </r>
  <r>
    <x v="0"/>
    <x v="0"/>
    <x v="0"/>
    <x v="7"/>
    <x v="14"/>
    <s v="NO4_A2"/>
    <x v="6"/>
    <x v="2"/>
    <x v="2"/>
    <s v="GNR_HP_ELEC_COP-270"/>
    <x v="8"/>
    <n v="5.4084240000000002E-3"/>
  </r>
  <r>
    <x v="0"/>
    <x v="0"/>
    <x v="0"/>
    <x v="7"/>
    <x v="14"/>
    <s v="NO4_A2"/>
    <x v="17"/>
    <x v="7"/>
    <x v="11"/>
    <s v="GNR_BO_FUELOIL_E-90"/>
    <x v="8"/>
    <n v="3.1849608000000001E-2"/>
  </r>
  <r>
    <x v="0"/>
    <x v="0"/>
    <x v="0"/>
    <x v="7"/>
    <x v="14"/>
    <s v="NO4_A2"/>
    <x v="25"/>
    <x v="7"/>
    <x v="11"/>
    <s v="GNR_BO_LNG_E-90"/>
    <x v="8"/>
    <n v="7.4995381999999999E-2"/>
  </r>
  <r>
    <x v="0"/>
    <x v="0"/>
    <x v="0"/>
    <x v="7"/>
    <x v="14"/>
    <s v="NO4_A2"/>
    <x v="2"/>
    <x v="7"/>
    <x v="11"/>
    <s v="GNR_BO_MSW_E-90"/>
    <x v="8"/>
    <n v="0.56746613900522302"/>
  </r>
  <r>
    <x v="0"/>
    <x v="0"/>
    <x v="0"/>
    <x v="7"/>
    <x v="14"/>
    <s v="NO4_A2"/>
    <x v="2"/>
    <x v="1"/>
    <x v="1"/>
    <s v="GNR_ST_MSW_BP_CB-20"/>
    <x v="8"/>
    <n v="2.0031199999999999E-2"/>
  </r>
  <r>
    <x v="0"/>
    <x v="0"/>
    <x v="0"/>
    <x v="7"/>
    <x v="14"/>
    <s v="NO4_A2"/>
    <x v="22"/>
    <x v="7"/>
    <x v="11"/>
    <s v="GNR_BO_BFG_E-90"/>
    <x v="8"/>
    <n v="8.0839177999999998E-2"/>
  </r>
  <r>
    <x v="0"/>
    <x v="0"/>
    <x v="0"/>
    <x v="7"/>
    <x v="14"/>
    <s v="NO4_A2"/>
    <x v="5"/>
    <x v="7"/>
    <x v="11"/>
    <s v="GNR_BO_WOODCHI_E-90"/>
    <x v="8"/>
    <n v="0.33960772116033799"/>
  </r>
  <r>
    <x v="0"/>
    <x v="0"/>
    <x v="0"/>
    <x v="7"/>
    <x v="15"/>
    <s v="NO5_A1"/>
    <x v="3"/>
    <x v="7"/>
    <x v="11"/>
    <s v="GNR_BO_NGAS_E-97"/>
    <x v="8"/>
    <n v="1.2018720000000001"/>
  </r>
  <r>
    <x v="0"/>
    <x v="0"/>
    <x v="0"/>
    <x v="7"/>
    <x v="15"/>
    <s v="NO5_A1"/>
    <x v="8"/>
    <x v="6"/>
    <x v="12"/>
    <s v="GNR_RES_WTR_NOPMP_MC-01"/>
    <x v="8"/>
    <n v="3.4777488156117302"/>
  </r>
  <r>
    <x v="0"/>
    <x v="0"/>
    <x v="0"/>
    <x v="7"/>
    <x v="15"/>
    <s v="NO5_A1"/>
    <x v="8"/>
    <x v="6"/>
    <x v="12"/>
    <s v="GNR_RES_WTR_NOPMP_MC-02"/>
    <x v="8"/>
    <n v="13.4919391604393"/>
  </r>
  <r>
    <x v="0"/>
    <x v="0"/>
    <x v="0"/>
    <x v="7"/>
    <x v="15"/>
    <s v="NO5_A1"/>
    <x v="8"/>
    <x v="6"/>
    <x v="12"/>
    <s v="GNR_RES_WTR_NOPMP_MC-03"/>
    <x v="8"/>
    <n v="13.4919391604393"/>
  </r>
  <r>
    <x v="0"/>
    <x v="0"/>
    <x v="0"/>
    <x v="7"/>
    <x v="15"/>
    <s v="NO5_A1"/>
    <x v="8"/>
    <x v="6"/>
    <x v="12"/>
    <s v="GNR_RES_WTR_NOPMP_MC-04"/>
    <x v="8"/>
    <n v="13.4919391604393"/>
  </r>
  <r>
    <x v="0"/>
    <x v="0"/>
    <x v="0"/>
    <x v="7"/>
    <x v="15"/>
    <s v="NO5_A1"/>
    <x v="8"/>
    <x v="6"/>
    <x v="12"/>
    <s v="GNR_RES_WTR_NOPMP_MC-05"/>
    <x v="8"/>
    <n v="13.4919391604393"/>
  </r>
  <r>
    <x v="0"/>
    <x v="0"/>
    <x v="0"/>
    <x v="7"/>
    <x v="15"/>
    <s v="NO5_A1"/>
    <x v="8"/>
    <x v="6"/>
    <x v="12"/>
    <s v="GNR_RES_WTR_NOPMP_MC-06"/>
    <x v="8"/>
    <n v="13.4919391604393"/>
  </r>
  <r>
    <x v="0"/>
    <x v="0"/>
    <x v="0"/>
    <x v="7"/>
    <x v="15"/>
    <s v="NO5_A1"/>
    <x v="8"/>
    <x v="6"/>
    <x v="12"/>
    <s v="GNR_RES_WTR_NOPMP_MC-07"/>
    <x v="8"/>
    <n v="13.4919391604393"/>
  </r>
  <r>
    <x v="0"/>
    <x v="0"/>
    <x v="0"/>
    <x v="7"/>
    <x v="15"/>
    <s v="NO5_A1"/>
    <x v="8"/>
    <x v="6"/>
    <x v="12"/>
    <s v="GNR_RES_WTR_NOPMP_MC-08"/>
    <x v="8"/>
    <n v="13.4919391604393"/>
  </r>
  <r>
    <x v="0"/>
    <x v="0"/>
    <x v="0"/>
    <x v="7"/>
    <x v="15"/>
    <s v="NO5_A1"/>
    <x v="8"/>
    <x v="6"/>
    <x v="12"/>
    <s v="GNR_RES_WTR_NOPMP_MC-09"/>
    <x v="8"/>
    <n v="13.4919391604393"/>
  </r>
  <r>
    <x v="0"/>
    <x v="0"/>
    <x v="0"/>
    <x v="7"/>
    <x v="15"/>
    <s v="NO5_A1"/>
    <x v="8"/>
    <x v="6"/>
    <x v="12"/>
    <s v="GNR_RES_WTR_NOPMP_MC-10"/>
    <x v="8"/>
    <n v="13.4919391604393"/>
  </r>
  <r>
    <x v="0"/>
    <x v="0"/>
    <x v="0"/>
    <x v="7"/>
    <x v="15"/>
    <s v="NO5_A1"/>
    <x v="8"/>
    <x v="6"/>
    <x v="12"/>
    <s v="GNR_RES_WTR_PMP_MC-01"/>
    <x v="8"/>
    <n v="10.0141903448276"/>
  </r>
  <r>
    <x v="0"/>
    <x v="0"/>
    <x v="0"/>
    <x v="7"/>
    <x v="15"/>
    <s v="NO5_A1"/>
    <x v="8"/>
    <x v="6"/>
    <x v="6"/>
    <s v="GNR_ROR_WTR"/>
    <x v="8"/>
    <n v="42.379658410503502"/>
  </r>
  <r>
    <x v="0"/>
    <x v="0"/>
    <x v="0"/>
    <x v="7"/>
    <x v="15"/>
    <s v="NO5_A2"/>
    <x v="6"/>
    <x v="2"/>
    <x v="2"/>
    <s v="GNR_BO_ELEC_E-99"/>
    <x v="8"/>
    <n v="1.9509554166666599E-2"/>
  </r>
  <r>
    <x v="0"/>
    <x v="0"/>
    <x v="0"/>
    <x v="7"/>
    <x v="15"/>
    <s v="NO5_A2"/>
    <x v="17"/>
    <x v="7"/>
    <x v="11"/>
    <s v="GNR_BO_FUELOIL_E-90"/>
    <x v="8"/>
    <n v="4.6739466666666597E-2"/>
  </r>
  <r>
    <x v="0"/>
    <x v="0"/>
    <x v="0"/>
    <x v="7"/>
    <x v="15"/>
    <s v="NO5_A2"/>
    <x v="25"/>
    <x v="7"/>
    <x v="11"/>
    <s v="GNR_BO_LNG_E-90"/>
    <x v="8"/>
    <n v="0.13797851666666699"/>
  </r>
  <r>
    <x v="0"/>
    <x v="0"/>
    <x v="0"/>
    <x v="7"/>
    <x v="15"/>
    <s v="NO5_A2"/>
    <x v="2"/>
    <x v="1"/>
    <x v="1"/>
    <s v="GNR_ST_MSW_BP_CB-20"/>
    <x v="8"/>
    <n v="0.91809666666666601"/>
  </r>
  <r>
    <x v="0"/>
    <x v="0"/>
    <x v="0"/>
    <x v="8"/>
    <x v="16"/>
    <s v="PL_A"/>
    <x v="6"/>
    <x v="3"/>
    <x v="13"/>
    <s v="GNR_ES_WTR_PMP"/>
    <x v="8"/>
    <n v="2.375128E-2"/>
  </r>
  <r>
    <x v="0"/>
    <x v="0"/>
    <x v="0"/>
    <x v="8"/>
    <x v="16"/>
    <s v="PL_A"/>
    <x v="17"/>
    <x v="7"/>
    <x v="11"/>
    <s v="GNR_BO_FUELOIL_E-100"/>
    <x v="8"/>
    <n v="2.8043680000000002"/>
  </r>
  <r>
    <x v="0"/>
    <x v="0"/>
    <x v="0"/>
    <x v="8"/>
    <x v="16"/>
    <s v="PL_A"/>
    <x v="2"/>
    <x v="7"/>
    <x v="11"/>
    <s v="GNR_BO_MSW_E-100"/>
    <x v="8"/>
    <n v="84.696438657496003"/>
  </r>
  <r>
    <x v="0"/>
    <x v="0"/>
    <x v="0"/>
    <x v="8"/>
    <x v="16"/>
    <s v="PL_A"/>
    <x v="3"/>
    <x v="7"/>
    <x v="11"/>
    <s v="GNR_BO_NGAS_E-100"/>
    <x v="8"/>
    <n v="14.823088"/>
  </r>
  <r>
    <x v="0"/>
    <x v="0"/>
    <x v="0"/>
    <x v="8"/>
    <x v="16"/>
    <s v="PL_A"/>
    <x v="4"/>
    <x v="7"/>
    <x v="11"/>
    <s v="GNR_BO_STRW_E-100"/>
    <x v="8"/>
    <n v="108.730067421615"/>
  </r>
  <r>
    <x v="0"/>
    <x v="0"/>
    <x v="0"/>
    <x v="8"/>
    <x v="16"/>
    <s v="PL_A"/>
    <x v="7"/>
    <x v="5"/>
    <x v="5"/>
    <s v="GNR_PV_SUN"/>
    <x v="8"/>
    <n v="1.15317782896074E-2"/>
  </r>
  <r>
    <x v="0"/>
    <x v="0"/>
    <x v="0"/>
    <x v="8"/>
    <x v="16"/>
    <s v="PL_A"/>
    <x v="9"/>
    <x v="5"/>
    <x v="7"/>
    <s v="GNR_WT_WIND_ONS"/>
    <x v="8"/>
    <n v="160.27523993599999"/>
  </r>
  <r>
    <x v="0"/>
    <x v="0"/>
    <x v="0"/>
    <x v="8"/>
    <x v="16"/>
    <s v="PL_Rural"/>
    <x v="23"/>
    <x v="4"/>
    <x v="4"/>
    <s v="GNR_ST_NUCL_CND_E-33"/>
    <x v="8"/>
    <n v="350.32165056000002"/>
  </r>
  <r>
    <x v="0"/>
    <x v="0"/>
    <x v="0"/>
    <x v="8"/>
    <x v="16"/>
    <s v="PL_Rural"/>
    <x v="8"/>
    <x v="6"/>
    <x v="6"/>
    <s v="GNR_ROR_WTR"/>
    <x v="8"/>
    <n v="10.4201710344828"/>
  </r>
  <r>
    <x v="0"/>
    <x v="0"/>
    <x v="0"/>
    <x v="9"/>
    <x v="17"/>
    <s v="SE1A"/>
    <x v="8"/>
    <x v="6"/>
    <x v="12"/>
    <s v="GNR_RES_WTR_NOPMP_MC-01"/>
    <x v="8"/>
    <n v="9.1458427586207005"/>
  </r>
  <r>
    <x v="0"/>
    <x v="0"/>
    <x v="0"/>
    <x v="9"/>
    <x v="17"/>
    <s v="SE1A"/>
    <x v="8"/>
    <x v="6"/>
    <x v="12"/>
    <s v="GNR_RES_WTR_NOPMP_MC-02"/>
    <x v="8"/>
    <n v="9.1458427586207005"/>
  </r>
  <r>
    <x v="0"/>
    <x v="0"/>
    <x v="0"/>
    <x v="9"/>
    <x v="17"/>
    <s v="SE1A"/>
    <x v="8"/>
    <x v="6"/>
    <x v="12"/>
    <s v="GNR_RES_WTR_NOPMP_MC-03"/>
    <x v="8"/>
    <n v="9.1458427586207005"/>
  </r>
  <r>
    <x v="0"/>
    <x v="0"/>
    <x v="0"/>
    <x v="9"/>
    <x v="17"/>
    <s v="SE1A"/>
    <x v="8"/>
    <x v="6"/>
    <x v="12"/>
    <s v="GNR_RES_WTR_NOPMP_MC-04"/>
    <x v="8"/>
    <n v="9.1458427586207005"/>
  </r>
  <r>
    <x v="0"/>
    <x v="0"/>
    <x v="0"/>
    <x v="9"/>
    <x v="17"/>
    <s v="SE1A"/>
    <x v="8"/>
    <x v="6"/>
    <x v="12"/>
    <s v="GNR_RES_WTR_NOPMP_MC-05"/>
    <x v="8"/>
    <n v="9.1458427586207005"/>
  </r>
  <r>
    <x v="0"/>
    <x v="0"/>
    <x v="0"/>
    <x v="9"/>
    <x v="17"/>
    <s v="SE1A"/>
    <x v="8"/>
    <x v="6"/>
    <x v="12"/>
    <s v="GNR_RES_WTR_NOPMP_MC-06"/>
    <x v="8"/>
    <n v="9.1458427586207005"/>
  </r>
  <r>
    <x v="0"/>
    <x v="0"/>
    <x v="0"/>
    <x v="9"/>
    <x v="17"/>
    <s v="SE1A"/>
    <x v="8"/>
    <x v="6"/>
    <x v="12"/>
    <s v="GNR_RES_WTR_NOPMP_MC-07"/>
    <x v="8"/>
    <n v="9.1458427586207005"/>
  </r>
  <r>
    <x v="0"/>
    <x v="0"/>
    <x v="0"/>
    <x v="9"/>
    <x v="17"/>
    <s v="SE1A"/>
    <x v="8"/>
    <x v="6"/>
    <x v="12"/>
    <s v="GNR_RES_WTR_NOPMP_MC-08"/>
    <x v="8"/>
    <n v="9.1458427586207005"/>
  </r>
  <r>
    <x v="0"/>
    <x v="0"/>
    <x v="0"/>
    <x v="9"/>
    <x v="17"/>
    <s v="SE1A"/>
    <x v="8"/>
    <x v="6"/>
    <x v="12"/>
    <s v="GNR_RES_WTR_NOPMP_MC-09"/>
    <x v="8"/>
    <n v="9.1458427586207005"/>
  </r>
  <r>
    <x v="0"/>
    <x v="0"/>
    <x v="0"/>
    <x v="9"/>
    <x v="17"/>
    <s v="SE1A"/>
    <x v="8"/>
    <x v="6"/>
    <x v="12"/>
    <s v="GNR_RES_WTR_NOPMP_MC-10"/>
    <x v="8"/>
    <n v="9.1458427586207005"/>
  </r>
  <r>
    <x v="0"/>
    <x v="0"/>
    <x v="0"/>
    <x v="9"/>
    <x v="17"/>
    <s v="SE1A"/>
    <x v="8"/>
    <x v="6"/>
    <x v="6"/>
    <s v="GNR_ROR_WTR"/>
    <x v="8"/>
    <n v="27.701415724137998"/>
  </r>
  <r>
    <x v="0"/>
    <x v="0"/>
    <x v="0"/>
    <x v="9"/>
    <x v="17"/>
    <s v="SE1A"/>
    <x v="9"/>
    <x v="5"/>
    <x v="7"/>
    <s v="GNR_WT_WIND_ONS"/>
    <x v="8"/>
    <n v="50.472316575744003"/>
  </r>
  <r>
    <x v="0"/>
    <x v="0"/>
    <x v="0"/>
    <x v="9"/>
    <x v="17"/>
    <s v="SE1_IND"/>
    <x v="15"/>
    <x v="7"/>
    <x v="11"/>
    <s v="GNR_BO_LIGHTOIL_E-85"/>
    <x v="8"/>
    <n v="0.41664896000000001"/>
  </r>
  <r>
    <x v="0"/>
    <x v="0"/>
    <x v="0"/>
    <x v="9"/>
    <x v="17"/>
    <s v="SE1_IND"/>
    <x v="5"/>
    <x v="1"/>
    <x v="1"/>
    <s v="GNR_IND-ST_WOODCHI_BP_E-71"/>
    <x v="8"/>
    <n v="6.2497344000000004"/>
  </r>
  <r>
    <x v="0"/>
    <x v="0"/>
    <x v="0"/>
    <x v="9"/>
    <x v="17"/>
    <s v="SE1_medium"/>
    <x v="17"/>
    <x v="7"/>
    <x v="11"/>
    <s v="GNR_BO_FUELOIL_E-90"/>
    <x v="8"/>
    <n v="0.91001741599999997"/>
  </r>
  <r>
    <x v="0"/>
    <x v="0"/>
    <x v="0"/>
    <x v="9"/>
    <x v="17"/>
    <s v="SE1_medium"/>
    <x v="15"/>
    <x v="7"/>
    <x v="11"/>
    <s v="GNR_BO_LIGHTOIL_E-90"/>
    <x v="8"/>
    <n v="4.0062399999999998E-2"/>
  </r>
  <r>
    <x v="0"/>
    <x v="0"/>
    <x v="0"/>
    <x v="9"/>
    <x v="17"/>
    <s v="SE1_medium"/>
    <x v="2"/>
    <x v="7"/>
    <x v="11"/>
    <s v="GNR_BO_MSW_E-90"/>
    <x v="8"/>
    <n v="2.5408931597248801"/>
  </r>
  <r>
    <x v="0"/>
    <x v="0"/>
    <x v="0"/>
    <x v="9"/>
    <x v="17"/>
    <s v="SE1_medium"/>
    <x v="2"/>
    <x v="1"/>
    <x v="1"/>
    <s v="GNR_ST_MSW_BP_CB-20"/>
    <x v="8"/>
    <n v="2.8123804799999998"/>
  </r>
  <r>
    <x v="0"/>
    <x v="0"/>
    <x v="0"/>
    <x v="9"/>
    <x v="17"/>
    <s v="SE1_medium"/>
    <x v="22"/>
    <x v="7"/>
    <x v="11"/>
    <s v="GNR_BO_BFG_E-90"/>
    <x v="8"/>
    <n v="0.7791728"/>
  </r>
  <r>
    <x v="0"/>
    <x v="0"/>
    <x v="0"/>
    <x v="9"/>
    <x v="17"/>
    <s v="SE1_medium"/>
    <x v="21"/>
    <x v="1"/>
    <x v="1"/>
    <s v="GNR_ST_PEAT_BP_CB-30"/>
    <x v="8"/>
    <n v="0.33251792000000002"/>
  </r>
  <r>
    <x v="0"/>
    <x v="0"/>
    <x v="0"/>
    <x v="9"/>
    <x v="17"/>
    <s v="SE1_medium"/>
    <x v="5"/>
    <x v="7"/>
    <x v="11"/>
    <s v="GNR_BO_WOODCHI_E-90"/>
    <x v="8"/>
    <n v="0.95889238915860198"/>
  </r>
  <r>
    <x v="0"/>
    <x v="0"/>
    <x v="0"/>
    <x v="9"/>
    <x v="17"/>
    <s v="SE1_medium"/>
    <x v="16"/>
    <x v="7"/>
    <x v="11"/>
    <s v="GNR_BO_WOODPEL_E-90"/>
    <x v="8"/>
    <n v="0.101178"/>
  </r>
  <r>
    <x v="0"/>
    <x v="0"/>
    <x v="0"/>
    <x v="9"/>
    <x v="17"/>
    <s v="SE1_medium"/>
    <x v="13"/>
    <x v="7"/>
    <x v="11"/>
    <s v="GNR_BO_WOODWST_E-90"/>
    <x v="8"/>
    <n v="0.41850382325086399"/>
  </r>
  <r>
    <x v="0"/>
    <x v="0"/>
    <x v="0"/>
    <x v="9"/>
    <x v="17"/>
    <s v="SE1_small"/>
    <x v="1"/>
    <x v="4"/>
    <x v="4"/>
    <s v="GNR_ENG_BGAS_CND_E-35"/>
    <x v="8"/>
    <n v="5.1560308800000003E-2"/>
  </r>
  <r>
    <x v="0"/>
    <x v="0"/>
    <x v="0"/>
    <x v="9"/>
    <x v="17"/>
    <s v="SE1_small"/>
    <x v="17"/>
    <x v="7"/>
    <x v="11"/>
    <s v="GNR_BO_FUELOIL_E-90"/>
    <x v="8"/>
    <n v="4.807488E-2"/>
  </r>
  <r>
    <x v="0"/>
    <x v="0"/>
    <x v="0"/>
    <x v="9"/>
    <x v="17"/>
    <s v="SE1_small"/>
    <x v="15"/>
    <x v="7"/>
    <x v="11"/>
    <s v="GNR_BO_LIGHTOIL_E-90"/>
    <x v="8"/>
    <n v="7.0309512000000005E-2"/>
  </r>
  <r>
    <x v="0"/>
    <x v="0"/>
    <x v="0"/>
    <x v="9"/>
    <x v="17"/>
    <s v="SE1_small"/>
    <x v="5"/>
    <x v="7"/>
    <x v="11"/>
    <s v="GNR_BO_WOODCHI_E-90"/>
    <x v="8"/>
    <n v="1.47384756752393"/>
  </r>
  <r>
    <x v="0"/>
    <x v="0"/>
    <x v="0"/>
    <x v="9"/>
    <x v="17"/>
    <s v="SE1_small"/>
    <x v="5"/>
    <x v="1"/>
    <x v="1"/>
    <s v="GNR_ST_WOODCHI_BP_CB-20"/>
    <x v="8"/>
    <n v="0.34313445599999998"/>
  </r>
  <r>
    <x v="0"/>
    <x v="0"/>
    <x v="0"/>
    <x v="9"/>
    <x v="18"/>
    <s v="SE2A"/>
    <x v="8"/>
    <x v="6"/>
    <x v="12"/>
    <s v="GNR_RES_WTR_NOPMP_MC-01"/>
    <x v="8"/>
    <n v="9.1906184102879909"/>
  </r>
  <r>
    <x v="0"/>
    <x v="0"/>
    <x v="0"/>
    <x v="9"/>
    <x v="18"/>
    <s v="SE2A"/>
    <x v="8"/>
    <x v="6"/>
    <x v="12"/>
    <s v="GNR_RES_WTR_NOPMP_MC-02"/>
    <x v="8"/>
    <n v="11.626502548218999"/>
  </r>
  <r>
    <x v="0"/>
    <x v="0"/>
    <x v="0"/>
    <x v="9"/>
    <x v="18"/>
    <s v="SE2A"/>
    <x v="8"/>
    <x v="6"/>
    <x v="12"/>
    <s v="GNR_RES_WTR_NOPMP_MC-03"/>
    <x v="8"/>
    <n v="11.626502548218999"/>
  </r>
  <r>
    <x v="0"/>
    <x v="0"/>
    <x v="0"/>
    <x v="9"/>
    <x v="18"/>
    <s v="SE2A"/>
    <x v="8"/>
    <x v="6"/>
    <x v="12"/>
    <s v="GNR_RES_WTR_NOPMP_MC-04"/>
    <x v="8"/>
    <n v="11.626502548218999"/>
  </r>
  <r>
    <x v="0"/>
    <x v="0"/>
    <x v="0"/>
    <x v="9"/>
    <x v="18"/>
    <s v="SE2A"/>
    <x v="8"/>
    <x v="6"/>
    <x v="12"/>
    <s v="GNR_RES_WTR_NOPMP_MC-05"/>
    <x v="8"/>
    <n v="11.626502548218999"/>
  </r>
  <r>
    <x v="0"/>
    <x v="0"/>
    <x v="0"/>
    <x v="9"/>
    <x v="18"/>
    <s v="SE2A"/>
    <x v="8"/>
    <x v="6"/>
    <x v="12"/>
    <s v="GNR_RES_WTR_NOPMP_MC-06"/>
    <x v="8"/>
    <n v="11.626502548218999"/>
  </r>
  <r>
    <x v="0"/>
    <x v="0"/>
    <x v="0"/>
    <x v="9"/>
    <x v="18"/>
    <s v="SE2A"/>
    <x v="8"/>
    <x v="6"/>
    <x v="12"/>
    <s v="GNR_RES_WTR_NOPMP_MC-07"/>
    <x v="8"/>
    <n v="11.626502548218999"/>
  </r>
  <r>
    <x v="0"/>
    <x v="0"/>
    <x v="0"/>
    <x v="9"/>
    <x v="18"/>
    <s v="SE2A"/>
    <x v="8"/>
    <x v="6"/>
    <x v="12"/>
    <s v="GNR_RES_WTR_NOPMP_MC-08"/>
    <x v="8"/>
    <n v="11.626502548218999"/>
  </r>
  <r>
    <x v="0"/>
    <x v="0"/>
    <x v="0"/>
    <x v="9"/>
    <x v="18"/>
    <s v="SE2A"/>
    <x v="8"/>
    <x v="6"/>
    <x v="12"/>
    <s v="GNR_RES_WTR_NOPMP_MC-09"/>
    <x v="8"/>
    <n v="11.626502548218999"/>
  </r>
  <r>
    <x v="0"/>
    <x v="0"/>
    <x v="0"/>
    <x v="9"/>
    <x v="18"/>
    <s v="SE2A"/>
    <x v="8"/>
    <x v="6"/>
    <x v="12"/>
    <s v="GNR_RES_WTR_NOPMP_MC-10"/>
    <x v="8"/>
    <n v="11.626502548218999"/>
  </r>
  <r>
    <x v="0"/>
    <x v="0"/>
    <x v="0"/>
    <x v="9"/>
    <x v="18"/>
    <s v="SE2A"/>
    <x v="8"/>
    <x v="6"/>
    <x v="12"/>
    <s v="GNR_RES_WTR_PMP_MC-01"/>
    <x v="8"/>
    <n v="2.4358841379310401"/>
  </r>
  <r>
    <x v="0"/>
    <x v="0"/>
    <x v="0"/>
    <x v="9"/>
    <x v="18"/>
    <s v="SE2A"/>
    <x v="8"/>
    <x v="6"/>
    <x v="6"/>
    <s v="GNR_ROR_WTR"/>
    <x v="8"/>
    <n v="65.881368559189198"/>
  </r>
  <r>
    <x v="0"/>
    <x v="0"/>
    <x v="0"/>
    <x v="9"/>
    <x v="18"/>
    <s v="SE2A"/>
    <x v="9"/>
    <x v="5"/>
    <x v="7"/>
    <s v="GNR_WT_WIND_ONS"/>
    <x v="8"/>
    <n v="95.961716709376006"/>
  </r>
  <r>
    <x v="0"/>
    <x v="0"/>
    <x v="0"/>
    <x v="9"/>
    <x v="18"/>
    <s v="SE2_IND"/>
    <x v="15"/>
    <x v="7"/>
    <x v="11"/>
    <s v="GNR_BO_LIGHTOIL_E-85"/>
    <x v="8"/>
    <n v="0.87404138080000005"/>
  </r>
  <r>
    <x v="0"/>
    <x v="0"/>
    <x v="0"/>
    <x v="9"/>
    <x v="18"/>
    <s v="SE2_IND"/>
    <x v="5"/>
    <x v="1"/>
    <x v="1"/>
    <s v="GNR_IND-ST_WOODCHI_BP_E-71"/>
    <x v="8"/>
    <n v="13.110620711999999"/>
  </r>
  <r>
    <x v="0"/>
    <x v="0"/>
    <x v="0"/>
    <x v="9"/>
    <x v="18"/>
    <s v="SE2_medium"/>
    <x v="1"/>
    <x v="7"/>
    <x v="11"/>
    <s v="GNR_BO_BGAS_E-90"/>
    <x v="8"/>
    <n v="4.3067080000000001E-2"/>
  </r>
  <r>
    <x v="0"/>
    <x v="0"/>
    <x v="0"/>
    <x v="9"/>
    <x v="18"/>
    <s v="SE2_medium"/>
    <x v="14"/>
    <x v="7"/>
    <x v="11"/>
    <s v="GNR_BO_BIOIL_E-90"/>
    <x v="8"/>
    <n v="5.4084239999999999E-2"/>
  </r>
  <r>
    <x v="0"/>
    <x v="0"/>
    <x v="0"/>
    <x v="9"/>
    <x v="18"/>
    <s v="SE2_medium"/>
    <x v="6"/>
    <x v="2"/>
    <x v="2"/>
    <s v="GNR_BO_ELEC_E-99"/>
    <x v="8"/>
    <n v="6.2797811999999995E-2"/>
  </r>
  <r>
    <x v="0"/>
    <x v="0"/>
    <x v="0"/>
    <x v="9"/>
    <x v="18"/>
    <s v="SE2_medium"/>
    <x v="17"/>
    <x v="7"/>
    <x v="11"/>
    <s v="GNR_BO_FUELOIL_E-90"/>
    <x v="8"/>
    <n v="0.2904524"/>
  </r>
  <r>
    <x v="0"/>
    <x v="0"/>
    <x v="0"/>
    <x v="9"/>
    <x v="18"/>
    <s v="SE2_medium"/>
    <x v="15"/>
    <x v="7"/>
    <x v="11"/>
    <s v="GNR_BO_LIGHTOIL_E-90"/>
    <x v="8"/>
    <n v="0.40863648000000002"/>
  </r>
  <r>
    <x v="0"/>
    <x v="0"/>
    <x v="0"/>
    <x v="9"/>
    <x v="18"/>
    <s v="SE2_medium"/>
    <x v="2"/>
    <x v="1"/>
    <x v="1"/>
    <s v="GNR_ST_MSW_BP_CB-20"/>
    <x v="8"/>
    <n v="1.2518681070459801"/>
  </r>
  <r>
    <x v="0"/>
    <x v="0"/>
    <x v="0"/>
    <x v="9"/>
    <x v="18"/>
    <s v="SE2_medium"/>
    <x v="2"/>
    <x v="1"/>
    <x v="1"/>
    <s v="GNR_ST_MSW_BP_CB-40"/>
    <x v="8"/>
    <n v="3.8700278400000001"/>
  </r>
  <r>
    <x v="0"/>
    <x v="0"/>
    <x v="0"/>
    <x v="9"/>
    <x v="18"/>
    <s v="SE2_medium"/>
    <x v="5"/>
    <x v="7"/>
    <x v="11"/>
    <s v="GNR_BO_WOODCHI_E-90"/>
    <x v="8"/>
    <n v="6.07298513133781"/>
  </r>
  <r>
    <x v="0"/>
    <x v="0"/>
    <x v="0"/>
    <x v="9"/>
    <x v="18"/>
    <s v="SE2_medium"/>
    <x v="5"/>
    <x v="1"/>
    <x v="1"/>
    <s v="GNR_ST_WOODCHI_BP_CB-30"/>
    <x v="8"/>
    <n v="0.50839185600000003"/>
  </r>
  <r>
    <x v="0"/>
    <x v="0"/>
    <x v="0"/>
    <x v="9"/>
    <x v="18"/>
    <s v="SE2_medium"/>
    <x v="5"/>
    <x v="1"/>
    <x v="1"/>
    <s v="GNR_ST_WOODCHI_BP_CB-40"/>
    <x v="8"/>
    <n v="4.2065520000000003"/>
  </r>
  <r>
    <x v="0"/>
    <x v="0"/>
    <x v="0"/>
    <x v="9"/>
    <x v="18"/>
    <s v="SE2_medium"/>
    <x v="5"/>
    <x v="1"/>
    <x v="1"/>
    <s v="GNR_ST_WOODCHI_BP_CB-50"/>
    <x v="8"/>
    <n v="0.64901087999999996"/>
  </r>
  <r>
    <x v="0"/>
    <x v="0"/>
    <x v="0"/>
    <x v="9"/>
    <x v="18"/>
    <s v="SE2_medium"/>
    <x v="16"/>
    <x v="7"/>
    <x v="11"/>
    <s v="GNR_BO_WOODPEL_E-90"/>
    <x v="8"/>
    <n v="0.101178"/>
  </r>
  <r>
    <x v="0"/>
    <x v="0"/>
    <x v="0"/>
    <x v="9"/>
    <x v="18"/>
    <s v="SE2_medium"/>
    <x v="16"/>
    <x v="1"/>
    <x v="1"/>
    <s v="GNR_ST_WOODPEL_BP_CB-30"/>
    <x v="8"/>
    <n v="0.32049919999999998"/>
  </r>
  <r>
    <x v="0"/>
    <x v="0"/>
    <x v="0"/>
    <x v="9"/>
    <x v="18"/>
    <s v="SE2_small"/>
    <x v="14"/>
    <x v="7"/>
    <x v="11"/>
    <s v="GNR_BO_BIOIL_E-90"/>
    <x v="8"/>
    <n v="1.4206127040000001E-2"/>
  </r>
  <r>
    <x v="0"/>
    <x v="0"/>
    <x v="0"/>
    <x v="9"/>
    <x v="18"/>
    <s v="SE2_small"/>
    <x v="6"/>
    <x v="2"/>
    <x v="2"/>
    <s v="GNR_BO_ELEC_E-99"/>
    <x v="8"/>
    <n v="5.56256408399999E-3"/>
  </r>
  <r>
    <x v="0"/>
    <x v="0"/>
    <x v="0"/>
    <x v="9"/>
    <x v="18"/>
    <s v="SE2_small"/>
    <x v="17"/>
    <x v="7"/>
    <x v="11"/>
    <s v="GNR_BO_FUELOIL_E-90"/>
    <x v="8"/>
    <n v="7.4636251200000003E-2"/>
  </r>
  <r>
    <x v="0"/>
    <x v="0"/>
    <x v="0"/>
    <x v="9"/>
    <x v="18"/>
    <s v="SE2_small"/>
    <x v="15"/>
    <x v="7"/>
    <x v="11"/>
    <s v="GNR_BO_LIGHTOIL_E-90"/>
    <x v="8"/>
    <n v="0.32216178959999803"/>
  </r>
  <r>
    <x v="0"/>
    <x v="0"/>
    <x v="0"/>
    <x v="9"/>
    <x v="18"/>
    <s v="SE2_small"/>
    <x v="22"/>
    <x v="7"/>
    <x v="11"/>
    <s v="GNR_BO_OTHER_E-90"/>
    <x v="8"/>
    <n v="3.2783695559999999E-2"/>
  </r>
  <r>
    <x v="0"/>
    <x v="0"/>
    <x v="0"/>
    <x v="9"/>
    <x v="18"/>
    <s v="SE2_small"/>
    <x v="5"/>
    <x v="7"/>
    <x v="11"/>
    <s v="GNR_BO_WOODCHI_E-90"/>
    <x v="8"/>
    <n v="5.1207150927418397"/>
  </r>
  <r>
    <x v="0"/>
    <x v="0"/>
    <x v="0"/>
    <x v="9"/>
    <x v="18"/>
    <s v="SE2_small"/>
    <x v="16"/>
    <x v="7"/>
    <x v="11"/>
    <s v="GNR_BO_WOODPEL_E-90"/>
    <x v="8"/>
    <n v="0.10257379649999999"/>
  </r>
  <r>
    <x v="0"/>
    <x v="0"/>
    <x v="0"/>
    <x v="9"/>
    <x v="19"/>
    <s v="SE3A"/>
    <x v="17"/>
    <x v="4"/>
    <x v="4"/>
    <s v="GNR_ST_FUELOIL_CND_E-33"/>
    <x v="8"/>
    <n v="19.029640000000001"/>
  </r>
  <r>
    <x v="0"/>
    <x v="0"/>
    <x v="0"/>
    <x v="9"/>
    <x v="19"/>
    <s v="SE3A"/>
    <x v="15"/>
    <x v="4"/>
    <x v="4"/>
    <s v="GNR_GT_LIGHTOIL_CND_E-24"/>
    <x v="8"/>
    <n v="0.76118560000000002"/>
  </r>
  <r>
    <x v="0"/>
    <x v="0"/>
    <x v="0"/>
    <x v="9"/>
    <x v="19"/>
    <s v="SE3A"/>
    <x v="23"/>
    <x v="4"/>
    <x v="4"/>
    <s v="GNR_ST_NUCL_CND_E-33"/>
    <x v="8"/>
    <n v="844.38118296000005"/>
  </r>
  <r>
    <x v="0"/>
    <x v="0"/>
    <x v="0"/>
    <x v="9"/>
    <x v="19"/>
    <s v="SE3A"/>
    <x v="8"/>
    <x v="6"/>
    <x v="12"/>
    <s v="GNR_RES_WTR_NOPMP_MC-01"/>
    <x v="8"/>
    <n v="2.96816993103449"/>
  </r>
  <r>
    <x v="0"/>
    <x v="0"/>
    <x v="0"/>
    <x v="9"/>
    <x v="19"/>
    <s v="SE3A"/>
    <x v="8"/>
    <x v="6"/>
    <x v="12"/>
    <s v="GNR_RES_WTR_NOPMP_MC-02"/>
    <x v="8"/>
    <n v="2.96816993103449"/>
  </r>
  <r>
    <x v="0"/>
    <x v="0"/>
    <x v="0"/>
    <x v="9"/>
    <x v="19"/>
    <s v="SE3A"/>
    <x v="8"/>
    <x v="6"/>
    <x v="12"/>
    <s v="GNR_RES_WTR_NOPMP_MC-03"/>
    <x v="8"/>
    <n v="2.96816993103449"/>
  </r>
  <r>
    <x v="0"/>
    <x v="0"/>
    <x v="0"/>
    <x v="9"/>
    <x v="19"/>
    <s v="SE3A"/>
    <x v="8"/>
    <x v="6"/>
    <x v="12"/>
    <s v="GNR_RES_WTR_NOPMP_MC-04"/>
    <x v="8"/>
    <n v="2.96816993103449"/>
  </r>
  <r>
    <x v="0"/>
    <x v="0"/>
    <x v="0"/>
    <x v="9"/>
    <x v="19"/>
    <s v="SE3A"/>
    <x v="8"/>
    <x v="6"/>
    <x v="12"/>
    <s v="GNR_RES_WTR_NOPMP_MC-05"/>
    <x v="8"/>
    <n v="2.96816993103449"/>
  </r>
  <r>
    <x v="0"/>
    <x v="0"/>
    <x v="0"/>
    <x v="9"/>
    <x v="19"/>
    <s v="SE3A"/>
    <x v="8"/>
    <x v="6"/>
    <x v="12"/>
    <s v="GNR_RES_WTR_NOPMP_MC-06"/>
    <x v="8"/>
    <n v="2.96816993103449"/>
  </r>
  <r>
    <x v="0"/>
    <x v="0"/>
    <x v="0"/>
    <x v="9"/>
    <x v="19"/>
    <s v="SE3A"/>
    <x v="8"/>
    <x v="6"/>
    <x v="12"/>
    <s v="GNR_RES_WTR_NOPMP_MC-07"/>
    <x v="8"/>
    <n v="2.96816993103449"/>
  </r>
  <r>
    <x v="0"/>
    <x v="0"/>
    <x v="0"/>
    <x v="9"/>
    <x v="19"/>
    <s v="SE3A"/>
    <x v="8"/>
    <x v="6"/>
    <x v="12"/>
    <s v="GNR_RES_WTR_NOPMP_MC-08"/>
    <x v="8"/>
    <n v="2.96816993103449"/>
  </r>
  <r>
    <x v="0"/>
    <x v="0"/>
    <x v="0"/>
    <x v="9"/>
    <x v="19"/>
    <s v="SE3A"/>
    <x v="8"/>
    <x v="6"/>
    <x v="12"/>
    <s v="GNR_RES_WTR_NOPMP_MC-09"/>
    <x v="8"/>
    <n v="2.96816993103449"/>
  </r>
  <r>
    <x v="0"/>
    <x v="0"/>
    <x v="0"/>
    <x v="9"/>
    <x v="19"/>
    <s v="SE3A"/>
    <x v="8"/>
    <x v="6"/>
    <x v="12"/>
    <s v="GNR_RES_WTR_NOPMP_MC-10"/>
    <x v="8"/>
    <n v="2.96816993103449"/>
  </r>
  <r>
    <x v="0"/>
    <x v="0"/>
    <x v="0"/>
    <x v="9"/>
    <x v="19"/>
    <s v="SE3A"/>
    <x v="8"/>
    <x v="6"/>
    <x v="6"/>
    <s v="GNR_ROR_WTR"/>
    <x v="8"/>
    <n v="29.289025765517302"/>
  </r>
  <r>
    <x v="0"/>
    <x v="0"/>
    <x v="0"/>
    <x v="9"/>
    <x v="19"/>
    <s v="SE3A"/>
    <x v="9"/>
    <x v="5"/>
    <x v="7"/>
    <s v="GNR_WT_WIND_ONS"/>
    <x v="8"/>
    <n v="71.256202536960004"/>
  </r>
  <r>
    <x v="0"/>
    <x v="0"/>
    <x v="0"/>
    <x v="9"/>
    <x v="19"/>
    <s v="SE3_IND"/>
    <x v="15"/>
    <x v="7"/>
    <x v="11"/>
    <s v="GNR_BO_LIGHTOIL_E-85"/>
    <x v="8"/>
    <n v="1.468988052"/>
  </r>
  <r>
    <x v="0"/>
    <x v="0"/>
    <x v="0"/>
    <x v="9"/>
    <x v="19"/>
    <s v="SE3_IND"/>
    <x v="5"/>
    <x v="1"/>
    <x v="1"/>
    <s v="GNR_IND-ST_WOODCHI_BP_E-71"/>
    <x v="8"/>
    <n v="22.03482078"/>
  </r>
  <r>
    <x v="0"/>
    <x v="0"/>
    <x v="0"/>
    <x v="9"/>
    <x v="19"/>
    <s v="SE3_large"/>
    <x v="14"/>
    <x v="7"/>
    <x v="11"/>
    <s v="GNR_BO_BIOIL_E-90"/>
    <x v="8"/>
    <n v="2.1012728799999998"/>
  </r>
  <r>
    <x v="0"/>
    <x v="0"/>
    <x v="0"/>
    <x v="9"/>
    <x v="19"/>
    <s v="SE3_large"/>
    <x v="10"/>
    <x v="1"/>
    <x v="8"/>
    <s v="VARTAN6_ST_COAL_EXT"/>
    <x v="8"/>
    <n v="7.4476001600000004"/>
  </r>
  <r>
    <x v="0"/>
    <x v="0"/>
    <x v="0"/>
    <x v="9"/>
    <x v="19"/>
    <s v="SE3_large"/>
    <x v="6"/>
    <x v="2"/>
    <x v="2"/>
    <s v="GNR_BO_ELEC_E-99"/>
    <x v="8"/>
    <n v="0.2478861"/>
  </r>
  <r>
    <x v="0"/>
    <x v="0"/>
    <x v="0"/>
    <x v="9"/>
    <x v="19"/>
    <s v="SE3_large"/>
    <x v="6"/>
    <x v="2"/>
    <x v="2"/>
    <s v="GNR_HP_ELEC_COP-270"/>
    <x v="8"/>
    <n v="0.25239312000000003"/>
  </r>
  <r>
    <x v="0"/>
    <x v="0"/>
    <x v="0"/>
    <x v="9"/>
    <x v="19"/>
    <s v="SE3_large"/>
    <x v="17"/>
    <x v="7"/>
    <x v="11"/>
    <s v="GNR_BO_FUELOIL_E-90"/>
    <x v="8"/>
    <n v="1.5387967840000001"/>
  </r>
  <r>
    <x v="0"/>
    <x v="0"/>
    <x v="0"/>
    <x v="9"/>
    <x v="19"/>
    <s v="SE3_large"/>
    <x v="15"/>
    <x v="7"/>
    <x v="11"/>
    <s v="GNR_BO_LIGHTOIL_E-90"/>
    <x v="8"/>
    <n v="0.57489544000000004"/>
  </r>
  <r>
    <x v="0"/>
    <x v="0"/>
    <x v="0"/>
    <x v="9"/>
    <x v="19"/>
    <s v="SE3_large"/>
    <x v="2"/>
    <x v="1"/>
    <x v="8"/>
    <s v="AROS6_ST_MSW_EXT"/>
    <x v="8"/>
    <n v="10.215911999999999"/>
  </r>
  <r>
    <x v="0"/>
    <x v="0"/>
    <x v="0"/>
    <x v="9"/>
    <x v="19"/>
    <s v="SE3_large"/>
    <x v="2"/>
    <x v="1"/>
    <x v="1"/>
    <s v="GNR_ST_MSW_BP_CB-30"/>
    <x v="8"/>
    <n v="12.353402156951001"/>
  </r>
  <r>
    <x v="0"/>
    <x v="0"/>
    <x v="0"/>
    <x v="9"/>
    <x v="19"/>
    <s v="SE3_large"/>
    <x v="3"/>
    <x v="7"/>
    <x v="11"/>
    <s v="GNR_BO_NGAS_E-90"/>
    <x v="8"/>
    <n v="7.7917280000000005E-2"/>
  </r>
  <r>
    <x v="0"/>
    <x v="0"/>
    <x v="0"/>
    <x v="9"/>
    <x v="19"/>
    <s v="SE3_large"/>
    <x v="3"/>
    <x v="1"/>
    <x v="1"/>
    <s v="GNR_CC_NGAS_BP_CB-90"/>
    <x v="8"/>
    <n v="7.8422147999999998"/>
  </r>
  <r>
    <x v="0"/>
    <x v="0"/>
    <x v="0"/>
    <x v="9"/>
    <x v="19"/>
    <s v="SE3_large"/>
    <x v="5"/>
    <x v="7"/>
    <x v="11"/>
    <s v="GNR_BO_WOODCHI_E-90"/>
    <x v="8"/>
    <n v="11.3868471212584"/>
  </r>
  <r>
    <x v="0"/>
    <x v="0"/>
    <x v="0"/>
    <x v="9"/>
    <x v="19"/>
    <s v="SE3_large"/>
    <x v="5"/>
    <x v="1"/>
    <x v="1"/>
    <s v="GNR_ST_WOODCHI_BP_CB-10"/>
    <x v="8"/>
    <n v="0.78121680000000004"/>
  </r>
  <r>
    <x v="0"/>
    <x v="0"/>
    <x v="0"/>
    <x v="9"/>
    <x v="19"/>
    <s v="SE3_large"/>
    <x v="5"/>
    <x v="1"/>
    <x v="1"/>
    <s v="GNR_ST_WOODCHI_BP_CB-30"/>
    <x v="8"/>
    <n v="1.24241221943731"/>
  </r>
  <r>
    <x v="0"/>
    <x v="0"/>
    <x v="0"/>
    <x v="9"/>
    <x v="19"/>
    <s v="SE3_large"/>
    <x v="5"/>
    <x v="1"/>
    <x v="1"/>
    <s v="GNR_ST_WOODCHI_BP_CB-40"/>
    <x v="8"/>
    <n v="8.2647119770084796"/>
  </r>
  <r>
    <x v="0"/>
    <x v="0"/>
    <x v="0"/>
    <x v="9"/>
    <x v="19"/>
    <s v="SE3_large"/>
    <x v="5"/>
    <x v="1"/>
    <x v="1"/>
    <s v="GNR_ST_WOODCHI_BP_CB-80"/>
    <x v="8"/>
    <n v="4.9696488783501804"/>
  </r>
  <r>
    <x v="0"/>
    <x v="0"/>
    <x v="0"/>
    <x v="9"/>
    <x v="19"/>
    <s v="SE3_large"/>
    <x v="16"/>
    <x v="7"/>
    <x v="11"/>
    <s v="GNR_BO_WOODPEL_E-90"/>
    <x v="8"/>
    <n v="0.74197199999999996"/>
  </r>
  <r>
    <x v="0"/>
    <x v="0"/>
    <x v="0"/>
    <x v="9"/>
    <x v="19"/>
    <s v="SE3_large"/>
    <x v="13"/>
    <x v="1"/>
    <x v="8"/>
    <s v="AROS7_ST_WOODWST_EXT"/>
    <x v="8"/>
    <n v="3.0647736000000001"/>
  </r>
  <r>
    <x v="0"/>
    <x v="0"/>
    <x v="0"/>
    <x v="9"/>
    <x v="19"/>
    <s v="SE3_medium"/>
    <x v="1"/>
    <x v="7"/>
    <x v="11"/>
    <s v="GNR_BO_BGAS_E-90"/>
    <x v="8"/>
    <n v="5.0206700460000003E-2"/>
  </r>
  <r>
    <x v="0"/>
    <x v="0"/>
    <x v="0"/>
    <x v="9"/>
    <x v="19"/>
    <s v="SE3_medium"/>
    <x v="14"/>
    <x v="7"/>
    <x v="11"/>
    <s v="GNR_BO_BIOIL_E-90"/>
    <x v="8"/>
    <n v="1.4937746588800001"/>
  </r>
  <r>
    <x v="0"/>
    <x v="0"/>
    <x v="0"/>
    <x v="9"/>
    <x v="19"/>
    <s v="SE3_medium"/>
    <x v="6"/>
    <x v="2"/>
    <x v="2"/>
    <s v="GNR_BO_ELEC_E-99"/>
    <x v="8"/>
    <n v="0.17627456"/>
  </r>
  <r>
    <x v="0"/>
    <x v="0"/>
    <x v="0"/>
    <x v="9"/>
    <x v="19"/>
    <s v="SE3_medium"/>
    <x v="6"/>
    <x v="2"/>
    <x v="2"/>
    <s v="GNR_HP_ELEC_COP-270"/>
    <x v="8"/>
    <n v="8.11864536E-2"/>
  </r>
  <r>
    <x v="0"/>
    <x v="0"/>
    <x v="0"/>
    <x v="9"/>
    <x v="19"/>
    <s v="SE3_medium"/>
    <x v="17"/>
    <x v="7"/>
    <x v="11"/>
    <s v="GNR_BO_FUELOIL_E-90"/>
    <x v="8"/>
    <n v="3.0086862399999998"/>
  </r>
  <r>
    <x v="0"/>
    <x v="0"/>
    <x v="0"/>
    <x v="9"/>
    <x v="19"/>
    <s v="SE3_medium"/>
    <x v="15"/>
    <x v="7"/>
    <x v="11"/>
    <s v="GNR_BO_LIGHTOIL_E-90"/>
    <x v="8"/>
    <n v="1.3524264991999999"/>
  </r>
  <r>
    <x v="0"/>
    <x v="0"/>
    <x v="0"/>
    <x v="9"/>
    <x v="19"/>
    <s v="SE3_medium"/>
    <x v="2"/>
    <x v="7"/>
    <x v="11"/>
    <s v="GNR_BO_MSW_E-90"/>
    <x v="8"/>
    <n v="7.52878020360032"/>
  </r>
  <r>
    <x v="0"/>
    <x v="0"/>
    <x v="0"/>
    <x v="9"/>
    <x v="19"/>
    <s v="SE3_medium"/>
    <x v="2"/>
    <x v="1"/>
    <x v="1"/>
    <s v="GNR_ST_MSW_BP_CB-10"/>
    <x v="8"/>
    <n v="2.052797376"/>
  </r>
  <r>
    <x v="0"/>
    <x v="0"/>
    <x v="0"/>
    <x v="9"/>
    <x v="19"/>
    <s v="SE3_medium"/>
    <x v="2"/>
    <x v="1"/>
    <x v="1"/>
    <s v="GNR_ST_MSW_BP_CB-20"/>
    <x v="8"/>
    <n v="1.2018720000000001"/>
  </r>
  <r>
    <x v="0"/>
    <x v="0"/>
    <x v="0"/>
    <x v="9"/>
    <x v="19"/>
    <s v="SE3_medium"/>
    <x v="2"/>
    <x v="1"/>
    <x v="1"/>
    <s v="GNR_ST_MSW_BP_CB-30"/>
    <x v="8"/>
    <n v="3.6657096"/>
  </r>
  <r>
    <x v="0"/>
    <x v="0"/>
    <x v="0"/>
    <x v="9"/>
    <x v="19"/>
    <s v="SE3_medium"/>
    <x v="3"/>
    <x v="7"/>
    <x v="11"/>
    <s v="GNR_BO_NGAS_E-90"/>
    <x v="8"/>
    <n v="0.40906572000000002"/>
  </r>
  <r>
    <x v="0"/>
    <x v="0"/>
    <x v="0"/>
    <x v="9"/>
    <x v="19"/>
    <s v="SE3_medium"/>
    <x v="21"/>
    <x v="7"/>
    <x v="11"/>
    <s v="GNR_BO_PEAT_E-90"/>
    <x v="8"/>
    <n v="3.066E-2"/>
  </r>
  <r>
    <x v="0"/>
    <x v="0"/>
    <x v="0"/>
    <x v="9"/>
    <x v="19"/>
    <s v="SE3_medium"/>
    <x v="21"/>
    <x v="1"/>
    <x v="1"/>
    <s v="GNR_ST_PEAT_BP_CB-10"/>
    <x v="8"/>
    <n v="0.20832448000000001"/>
  </r>
  <r>
    <x v="0"/>
    <x v="0"/>
    <x v="0"/>
    <x v="9"/>
    <x v="19"/>
    <s v="SE3_medium"/>
    <x v="5"/>
    <x v="7"/>
    <x v="11"/>
    <s v="GNR_BO_WOODCHI_E-90"/>
    <x v="8"/>
    <n v="18.990164574919"/>
  </r>
  <r>
    <x v="0"/>
    <x v="0"/>
    <x v="0"/>
    <x v="9"/>
    <x v="19"/>
    <s v="SE3_medium"/>
    <x v="5"/>
    <x v="1"/>
    <x v="1"/>
    <s v="GNR_ST_WOODCHI_BP_CB-10"/>
    <x v="8"/>
    <n v="9.6149760000000001E-2"/>
  </r>
  <r>
    <x v="0"/>
    <x v="0"/>
    <x v="0"/>
    <x v="9"/>
    <x v="19"/>
    <s v="SE3_medium"/>
    <x v="5"/>
    <x v="1"/>
    <x v="1"/>
    <s v="GNR_ST_WOODCHI_BP_CB-20"/>
    <x v="8"/>
    <n v="0.57973497791999995"/>
  </r>
  <r>
    <x v="0"/>
    <x v="0"/>
    <x v="0"/>
    <x v="9"/>
    <x v="19"/>
    <s v="SE3_medium"/>
    <x v="5"/>
    <x v="1"/>
    <x v="1"/>
    <s v="GNR_ST_WOODCHI_BP_CB-30"/>
    <x v="8"/>
    <n v="5.3365520544000002"/>
  </r>
  <r>
    <x v="0"/>
    <x v="0"/>
    <x v="0"/>
    <x v="9"/>
    <x v="19"/>
    <s v="SE3_medium"/>
    <x v="5"/>
    <x v="1"/>
    <x v="1"/>
    <s v="GNR_ST_WOODCHI_BP_CB-40"/>
    <x v="8"/>
    <n v="6.6191596257191998"/>
  </r>
  <r>
    <x v="0"/>
    <x v="0"/>
    <x v="0"/>
    <x v="9"/>
    <x v="19"/>
    <s v="SE3_medium"/>
    <x v="16"/>
    <x v="7"/>
    <x v="11"/>
    <s v="GNR_BO_WOODPEL_E-90"/>
    <x v="8"/>
    <n v="1.097181897"/>
  </r>
  <r>
    <x v="0"/>
    <x v="0"/>
    <x v="0"/>
    <x v="9"/>
    <x v="19"/>
    <s v="SE3_medium"/>
    <x v="13"/>
    <x v="7"/>
    <x v="11"/>
    <s v="GNR_BO_WOODWST_E-90"/>
    <x v="8"/>
    <n v="6.0268909962950001"/>
  </r>
  <r>
    <x v="0"/>
    <x v="0"/>
    <x v="0"/>
    <x v="9"/>
    <x v="19"/>
    <s v="SE3_medium"/>
    <x v="13"/>
    <x v="1"/>
    <x v="1"/>
    <s v="GNR_ST_WOODWST_BP_CB-20"/>
    <x v="8"/>
    <n v="0.31375241314591401"/>
  </r>
  <r>
    <x v="0"/>
    <x v="0"/>
    <x v="0"/>
    <x v="9"/>
    <x v="19"/>
    <s v="SE3_medium"/>
    <x v="13"/>
    <x v="1"/>
    <x v="1"/>
    <s v="GNR_ST_WOODWST_BP_CB-30"/>
    <x v="8"/>
    <n v="0.92003301599999998"/>
  </r>
  <r>
    <x v="0"/>
    <x v="0"/>
    <x v="0"/>
    <x v="9"/>
    <x v="19"/>
    <s v="SE3_medium"/>
    <x v="13"/>
    <x v="1"/>
    <x v="1"/>
    <s v="GNR_ST_WOODWST_BP_CB-40"/>
    <x v="8"/>
    <n v="5.6487984000000004"/>
  </r>
  <r>
    <x v="0"/>
    <x v="0"/>
    <x v="0"/>
    <x v="9"/>
    <x v="19"/>
    <s v="SE3_small"/>
    <x v="1"/>
    <x v="7"/>
    <x v="11"/>
    <s v="GNR_BO_BGAS_E-90"/>
    <x v="8"/>
    <n v="6.7284800799999999E-3"/>
  </r>
  <r>
    <x v="0"/>
    <x v="0"/>
    <x v="0"/>
    <x v="9"/>
    <x v="19"/>
    <s v="SE3_small"/>
    <x v="14"/>
    <x v="7"/>
    <x v="11"/>
    <s v="GNR_BO_BIOIL_E-90"/>
    <x v="8"/>
    <n v="0.54295368848000003"/>
  </r>
  <r>
    <x v="0"/>
    <x v="0"/>
    <x v="0"/>
    <x v="9"/>
    <x v="19"/>
    <s v="SE3_small"/>
    <x v="6"/>
    <x v="2"/>
    <x v="2"/>
    <s v="GNR_BO_ELEC_E-99"/>
    <x v="8"/>
    <n v="2.203432E-2"/>
  </r>
  <r>
    <x v="0"/>
    <x v="0"/>
    <x v="0"/>
    <x v="9"/>
    <x v="19"/>
    <s v="SE3_small"/>
    <x v="6"/>
    <x v="2"/>
    <x v="2"/>
    <s v="GNR_HP_ELEC_COP-270"/>
    <x v="8"/>
    <n v="8.1126359999999994E-5"/>
  </r>
  <r>
    <x v="0"/>
    <x v="0"/>
    <x v="0"/>
    <x v="9"/>
    <x v="19"/>
    <s v="SE3_small"/>
    <x v="17"/>
    <x v="7"/>
    <x v="11"/>
    <s v="GNR_BO_FUELOIL_E-90"/>
    <x v="8"/>
    <n v="0.20764341920000001"/>
  </r>
  <r>
    <x v="0"/>
    <x v="0"/>
    <x v="0"/>
    <x v="9"/>
    <x v="19"/>
    <s v="SE3_small"/>
    <x v="15"/>
    <x v="7"/>
    <x v="11"/>
    <s v="GNR_BO_LIGHTOIL_E-90"/>
    <x v="8"/>
    <n v="0.55189962240000001"/>
  </r>
  <r>
    <x v="0"/>
    <x v="0"/>
    <x v="0"/>
    <x v="9"/>
    <x v="19"/>
    <s v="SE3_small"/>
    <x v="2"/>
    <x v="1"/>
    <x v="1"/>
    <s v="GNR_ST_MSW_BP_CB-20"/>
    <x v="8"/>
    <n v="0.40062399999999998"/>
  </r>
  <r>
    <x v="0"/>
    <x v="0"/>
    <x v="0"/>
    <x v="9"/>
    <x v="19"/>
    <s v="SE3_small"/>
    <x v="3"/>
    <x v="7"/>
    <x v="11"/>
    <s v="GNR_BO_NGAS_E-90"/>
    <x v="8"/>
    <n v="0.15392558664"/>
  </r>
  <r>
    <x v="0"/>
    <x v="0"/>
    <x v="0"/>
    <x v="9"/>
    <x v="19"/>
    <s v="SE3_small"/>
    <x v="4"/>
    <x v="7"/>
    <x v="11"/>
    <s v="GNR_BO_STRW_E-100"/>
    <x v="8"/>
    <n v="0.39039321611447497"/>
  </r>
  <r>
    <x v="0"/>
    <x v="0"/>
    <x v="0"/>
    <x v="9"/>
    <x v="19"/>
    <s v="SE3_small"/>
    <x v="5"/>
    <x v="7"/>
    <x v="11"/>
    <s v="GNR_BO_WOODCHI_E-90"/>
    <x v="8"/>
    <n v="19.123980005518501"/>
  </r>
  <r>
    <x v="0"/>
    <x v="0"/>
    <x v="0"/>
    <x v="9"/>
    <x v="19"/>
    <s v="SE3_small"/>
    <x v="5"/>
    <x v="1"/>
    <x v="1"/>
    <s v="GNR_ST_WOODCHI_BP_CB-10"/>
    <x v="8"/>
    <n v="0.15624336"/>
  </r>
  <r>
    <x v="0"/>
    <x v="0"/>
    <x v="0"/>
    <x v="9"/>
    <x v="19"/>
    <s v="SE3_small"/>
    <x v="5"/>
    <x v="1"/>
    <x v="1"/>
    <s v="GNR_ST_WOODCHI_BP_CB-20"/>
    <x v="8"/>
    <n v="0.197707944"/>
  </r>
  <r>
    <x v="0"/>
    <x v="0"/>
    <x v="0"/>
    <x v="9"/>
    <x v="19"/>
    <s v="SE3_small"/>
    <x v="5"/>
    <x v="1"/>
    <x v="1"/>
    <s v="GNR_ST_WOODCHI_BP_CB-30"/>
    <x v="8"/>
    <n v="0.23977346399999999"/>
  </r>
  <r>
    <x v="0"/>
    <x v="0"/>
    <x v="0"/>
    <x v="9"/>
    <x v="19"/>
    <s v="SE3_small"/>
    <x v="16"/>
    <x v="7"/>
    <x v="11"/>
    <s v="GNR_BO_WOODPEL_E-90"/>
    <x v="8"/>
    <n v="0.46106584649999999"/>
  </r>
  <r>
    <x v="0"/>
    <x v="0"/>
    <x v="0"/>
    <x v="9"/>
    <x v="19"/>
    <s v="SE3_small"/>
    <x v="13"/>
    <x v="1"/>
    <x v="1"/>
    <s v="GNR_ST_WOODWST_BP_CB-20"/>
    <x v="8"/>
    <n v="0.12018719999999999"/>
  </r>
  <r>
    <x v="0"/>
    <x v="0"/>
    <x v="0"/>
    <x v="9"/>
    <x v="20"/>
    <s v="SE4A"/>
    <x v="8"/>
    <x v="6"/>
    <x v="12"/>
    <s v="GNR_RES_WTR_NOPMP_MC-01"/>
    <x v="8"/>
    <n v="0.34479715923801202"/>
  </r>
  <r>
    <x v="0"/>
    <x v="0"/>
    <x v="0"/>
    <x v="9"/>
    <x v="20"/>
    <s v="SE4A"/>
    <x v="8"/>
    <x v="6"/>
    <x v="12"/>
    <s v="GNR_RES_WTR_NOPMP_MC-02"/>
    <x v="8"/>
    <n v="0.34479715923801202"/>
  </r>
  <r>
    <x v="0"/>
    <x v="0"/>
    <x v="0"/>
    <x v="9"/>
    <x v="20"/>
    <s v="SE4A"/>
    <x v="8"/>
    <x v="6"/>
    <x v="12"/>
    <s v="GNR_RES_WTR_NOPMP_MC-03"/>
    <x v="8"/>
    <n v="0.34479715923801202"/>
  </r>
  <r>
    <x v="0"/>
    <x v="0"/>
    <x v="0"/>
    <x v="9"/>
    <x v="20"/>
    <s v="SE4A"/>
    <x v="8"/>
    <x v="6"/>
    <x v="12"/>
    <s v="GNR_RES_WTR_NOPMP_MC-04"/>
    <x v="8"/>
    <n v="0.34479715923801202"/>
  </r>
  <r>
    <x v="0"/>
    <x v="0"/>
    <x v="0"/>
    <x v="9"/>
    <x v="20"/>
    <s v="SE4A"/>
    <x v="8"/>
    <x v="6"/>
    <x v="12"/>
    <s v="GNR_RES_WTR_NOPMP_MC-05"/>
    <x v="8"/>
    <n v="0.34479715923801202"/>
  </r>
  <r>
    <x v="0"/>
    <x v="0"/>
    <x v="0"/>
    <x v="9"/>
    <x v="20"/>
    <s v="SE4A"/>
    <x v="8"/>
    <x v="6"/>
    <x v="12"/>
    <s v="GNR_RES_WTR_NOPMP_MC-06"/>
    <x v="8"/>
    <n v="0.34479715923801202"/>
  </r>
  <r>
    <x v="0"/>
    <x v="0"/>
    <x v="0"/>
    <x v="9"/>
    <x v="20"/>
    <s v="SE4A"/>
    <x v="8"/>
    <x v="6"/>
    <x v="12"/>
    <s v="GNR_RES_WTR_NOPMP_MC-07"/>
    <x v="8"/>
    <n v="0.34479715923801202"/>
  </r>
  <r>
    <x v="0"/>
    <x v="0"/>
    <x v="0"/>
    <x v="9"/>
    <x v="20"/>
    <s v="SE4A"/>
    <x v="8"/>
    <x v="6"/>
    <x v="12"/>
    <s v="GNR_RES_WTR_NOPMP_MC-08"/>
    <x v="8"/>
    <n v="0.34479715923801202"/>
  </r>
  <r>
    <x v="0"/>
    <x v="0"/>
    <x v="0"/>
    <x v="9"/>
    <x v="20"/>
    <s v="SE4A"/>
    <x v="8"/>
    <x v="6"/>
    <x v="12"/>
    <s v="GNR_RES_WTR_NOPMP_MC-09"/>
    <x v="8"/>
    <n v="0.34479715923801202"/>
  </r>
  <r>
    <x v="0"/>
    <x v="0"/>
    <x v="0"/>
    <x v="9"/>
    <x v="20"/>
    <s v="SE4A"/>
    <x v="8"/>
    <x v="6"/>
    <x v="12"/>
    <s v="GNR_RES_WTR_NOPMP_MC-10"/>
    <x v="8"/>
    <n v="0.34479715923801202"/>
  </r>
  <r>
    <x v="0"/>
    <x v="0"/>
    <x v="0"/>
    <x v="9"/>
    <x v="20"/>
    <s v="SE4A"/>
    <x v="8"/>
    <x v="6"/>
    <x v="6"/>
    <s v="GNR_ROR_WTR"/>
    <x v="8"/>
    <n v="4.2703979524474702"/>
  </r>
  <r>
    <x v="0"/>
    <x v="0"/>
    <x v="0"/>
    <x v="9"/>
    <x v="20"/>
    <s v="SE4A"/>
    <x v="9"/>
    <x v="5"/>
    <x v="7"/>
    <s v="GNR_WT_WIND_ONS"/>
    <x v="8"/>
    <n v="37.978257802240002"/>
  </r>
  <r>
    <x v="0"/>
    <x v="0"/>
    <x v="0"/>
    <x v="9"/>
    <x v="20"/>
    <s v="SE4_IND"/>
    <x v="15"/>
    <x v="7"/>
    <x v="11"/>
    <s v="GNR_BO_LIGHTOIL_E-85"/>
    <x v="8"/>
    <n v="1.0123768479999999"/>
  </r>
  <r>
    <x v="0"/>
    <x v="0"/>
    <x v="0"/>
    <x v="9"/>
    <x v="20"/>
    <s v="SE4_IND"/>
    <x v="5"/>
    <x v="1"/>
    <x v="1"/>
    <s v="GNR_IND-ST_WOODCHI_BP_E-71"/>
    <x v="8"/>
    <n v="15.18565272"/>
  </r>
  <r>
    <x v="0"/>
    <x v="0"/>
    <x v="0"/>
    <x v="9"/>
    <x v="20"/>
    <s v="SE4_large"/>
    <x v="17"/>
    <x v="7"/>
    <x v="11"/>
    <s v="GNR_BO_FUELOIL_E-90"/>
    <x v="8"/>
    <n v="0.24037439999999999"/>
  </r>
  <r>
    <x v="0"/>
    <x v="0"/>
    <x v="0"/>
    <x v="9"/>
    <x v="20"/>
    <s v="SE4_large"/>
    <x v="2"/>
    <x v="1"/>
    <x v="1"/>
    <s v="GNR_ST_MSW_BP_CB-30"/>
    <x v="8"/>
    <n v="3.9769026530228802"/>
  </r>
  <r>
    <x v="0"/>
    <x v="0"/>
    <x v="0"/>
    <x v="9"/>
    <x v="20"/>
    <s v="SE4_large"/>
    <x v="3"/>
    <x v="1"/>
    <x v="8"/>
    <s v="ORESUND_CC_NGAS_EXT"/>
    <x v="8"/>
    <n v="5.4682075170240001"/>
  </r>
  <r>
    <x v="0"/>
    <x v="0"/>
    <x v="0"/>
    <x v="9"/>
    <x v="20"/>
    <s v="SE4_medium"/>
    <x v="1"/>
    <x v="7"/>
    <x v="11"/>
    <s v="GNR_BO_BGAS_E-90"/>
    <x v="8"/>
    <n v="5.0077999999999998E-3"/>
  </r>
  <r>
    <x v="0"/>
    <x v="0"/>
    <x v="0"/>
    <x v="9"/>
    <x v="20"/>
    <s v="SE4_medium"/>
    <x v="14"/>
    <x v="7"/>
    <x v="11"/>
    <s v="GNR_BO_BIOIL_E-90"/>
    <x v="8"/>
    <n v="0.46031697599999999"/>
  </r>
  <r>
    <x v="0"/>
    <x v="0"/>
    <x v="0"/>
    <x v="9"/>
    <x v="20"/>
    <s v="SE4_medium"/>
    <x v="17"/>
    <x v="7"/>
    <x v="11"/>
    <s v="GNR_BO_FUELOIL_E-90"/>
    <x v="8"/>
    <n v="8.1526983999999997E-2"/>
  </r>
  <r>
    <x v="0"/>
    <x v="0"/>
    <x v="0"/>
    <x v="9"/>
    <x v="20"/>
    <s v="SE4_medium"/>
    <x v="15"/>
    <x v="7"/>
    <x v="11"/>
    <s v="GNR_BO_LIGHTOIL_E-90"/>
    <x v="8"/>
    <n v="0.4291083664"/>
  </r>
  <r>
    <x v="0"/>
    <x v="0"/>
    <x v="0"/>
    <x v="9"/>
    <x v="20"/>
    <s v="SE4_medium"/>
    <x v="2"/>
    <x v="1"/>
    <x v="1"/>
    <s v="GNR_ST_MSW_BP_CB-30"/>
    <x v="8"/>
    <n v="6.3161345388769599"/>
  </r>
  <r>
    <x v="0"/>
    <x v="0"/>
    <x v="0"/>
    <x v="9"/>
    <x v="20"/>
    <s v="SE4_medium"/>
    <x v="3"/>
    <x v="7"/>
    <x v="11"/>
    <s v="GNR_BO_NGAS_E-90"/>
    <x v="8"/>
    <n v="4.2172727800000001"/>
  </r>
  <r>
    <x v="0"/>
    <x v="0"/>
    <x v="0"/>
    <x v="9"/>
    <x v="20"/>
    <s v="SE4_medium"/>
    <x v="4"/>
    <x v="7"/>
    <x v="11"/>
    <s v="GNR_BO_STRW_E-100"/>
    <x v="8"/>
    <n v="4.7517130426080897E-2"/>
  </r>
  <r>
    <x v="0"/>
    <x v="0"/>
    <x v="0"/>
    <x v="9"/>
    <x v="20"/>
    <s v="SE4_medium"/>
    <x v="5"/>
    <x v="7"/>
    <x v="11"/>
    <s v="GNR_BO_WOODCHI_E-90"/>
    <x v="8"/>
    <n v="5.8772112685512603"/>
  </r>
  <r>
    <x v="0"/>
    <x v="0"/>
    <x v="0"/>
    <x v="9"/>
    <x v="20"/>
    <s v="SE4_medium"/>
    <x v="5"/>
    <x v="1"/>
    <x v="1"/>
    <s v="GNR_ST_WOODCHI_BP_CB-10"/>
    <x v="8"/>
    <n v="0.17226209582541099"/>
  </r>
  <r>
    <x v="0"/>
    <x v="0"/>
    <x v="0"/>
    <x v="9"/>
    <x v="20"/>
    <s v="SE4_medium"/>
    <x v="5"/>
    <x v="1"/>
    <x v="1"/>
    <s v="GNR_ST_WOODCHI_BP_CB-20"/>
    <x v="8"/>
    <n v="0.36657096"/>
  </r>
  <r>
    <x v="0"/>
    <x v="0"/>
    <x v="0"/>
    <x v="9"/>
    <x v="20"/>
    <s v="SE4_medium"/>
    <x v="5"/>
    <x v="1"/>
    <x v="1"/>
    <s v="GNR_ST_WOODCHI_BP_CB-30"/>
    <x v="8"/>
    <n v="2.4644538899147999"/>
  </r>
  <r>
    <x v="0"/>
    <x v="0"/>
    <x v="0"/>
    <x v="9"/>
    <x v="20"/>
    <s v="SE4_medium"/>
    <x v="5"/>
    <x v="1"/>
    <x v="1"/>
    <s v="GNR_ST_WOODCHI_BP_CB-40"/>
    <x v="8"/>
    <n v="2.7686612586440602"/>
  </r>
  <r>
    <x v="0"/>
    <x v="0"/>
    <x v="0"/>
    <x v="9"/>
    <x v="20"/>
    <s v="SE4_medium"/>
    <x v="5"/>
    <x v="1"/>
    <x v="1"/>
    <s v="GNR_ST_WOODCHI_BP_CB-60"/>
    <x v="8"/>
    <n v="2.2234631999999999"/>
  </r>
  <r>
    <x v="0"/>
    <x v="0"/>
    <x v="0"/>
    <x v="9"/>
    <x v="20"/>
    <s v="SE4_medium"/>
    <x v="16"/>
    <x v="7"/>
    <x v="11"/>
    <s v="GNR_BO_WOODPEL_E-90"/>
    <x v="8"/>
    <n v="0.165064242"/>
  </r>
  <r>
    <x v="0"/>
    <x v="0"/>
    <x v="0"/>
    <x v="9"/>
    <x v="20"/>
    <s v="SE4_small"/>
    <x v="1"/>
    <x v="7"/>
    <x v="11"/>
    <s v="GNR_BO_BGAS_E-90"/>
    <x v="8"/>
    <n v="4.5070200000000001E-5"/>
  </r>
  <r>
    <x v="0"/>
    <x v="0"/>
    <x v="0"/>
    <x v="9"/>
    <x v="20"/>
    <s v="SE4_small"/>
    <x v="14"/>
    <x v="7"/>
    <x v="11"/>
    <s v="GNR_BO_BIOIL_E-90"/>
    <x v="8"/>
    <n v="9.7644087519999798E-2"/>
  </r>
  <r>
    <x v="0"/>
    <x v="0"/>
    <x v="0"/>
    <x v="9"/>
    <x v="20"/>
    <s v="SE4_small"/>
    <x v="6"/>
    <x v="2"/>
    <x v="2"/>
    <s v="GNR_BO_ELEC_E-99"/>
    <x v="8"/>
    <n v="6.5441930399999894E-5"/>
  </r>
  <r>
    <x v="0"/>
    <x v="0"/>
    <x v="0"/>
    <x v="9"/>
    <x v="20"/>
    <s v="SE4_small"/>
    <x v="15"/>
    <x v="7"/>
    <x v="11"/>
    <s v="GNR_BO_LIGHTOIL_E-90"/>
    <x v="8"/>
    <n v="5.0478624E-2"/>
  </r>
  <r>
    <x v="0"/>
    <x v="0"/>
    <x v="0"/>
    <x v="9"/>
    <x v="20"/>
    <s v="SE4_small"/>
    <x v="3"/>
    <x v="7"/>
    <x v="11"/>
    <s v="GNR_BO_NGAS_E-90"/>
    <x v="8"/>
    <n v="5.3996675039999997E-2"/>
  </r>
  <r>
    <x v="0"/>
    <x v="0"/>
    <x v="0"/>
    <x v="9"/>
    <x v="20"/>
    <s v="SE4_small"/>
    <x v="22"/>
    <x v="7"/>
    <x v="11"/>
    <s v="GNR_BO_OTHER_E-90"/>
    <x v="8"/>
    <n v="4.8211316999999899E-2"/>
  </r>
  <r>
    <x v="0"/>
    <x v="0"/>
    <x v="0"/>
    <x v="9"/>
    <x v="20"/>
    <s v="SE4_small"/>
    <x v="4"/>
    <x v="7"/>
    <x v="11"/>
    <s v="GNR_BO_STRW_E-100"/>
    <x v="8"/>
    <n v="0.25424017111142699"/>
  </r>
  <r>
    <x v="0"/>
    <x v="0"/>
    <x v="0"/>
    <x v="9"/>
    <x v="20"/>
    <s v="SE4_small"/>
    <x v="5"/>
    <x v="7"/>
    <x v="11"/>
    <s v="GNR_BO_WOODCHI_E-90"/>
    <x v="8"/>
    <n v="5.6678830623054601"/>
  </r>
  <r>
    <x v="0"/>
    <x v="0"/>
    <x v="0"/>
    <x v="9"/>
    <x v="20"/>
    <s v="SE4_small"/>
    <x v="16"/>
    <x v="7"/>
    <x v="11"/>
    <s v="GNR_BO_WOODPEL_E-90"/>
    <x v="8"/>
    <n v="9.9966929999999996E-2"/>
  </r>
  <r>
    <x v="0"/>
    <x v="0"/>
    <x v="0"/>
    <x v="10"/>
    <x v="21"/>
    <s v="UK_A"/>
    <x v="6"/>
    <x v="3"/>
    <x v="13"/>
    <s v="GNR_ES_WTR_PMP"/>
    <x v="8"/>
    <n v="3.6199240000000001E-2"/>
  </r>
  <r>
    <x v="0"/>
    <x v="0"/>
    <x v="0"/>
    <x v="10"/>
    <x v="21"/>
    <s v="UK_A"/>
    <x v="3"/>
    <x v="4"/>
    <x v="4"/>
    <s v="GNR_GT_NGAS_CND_E-35"/>
    <x v="8"/>
    <n v="8.6134160000000008"/>
  </r>
  <r>
    <x v="0"/>
    <x v="0"/>
    <x v="0"/>
    <x v="10"/>
    <x v="21"/>
    <s v="UK_A"/>
    <x v="23"/>
    <x v="4"/>
    <x v="4"/>
    <s v="GNR_ST_NUCL_CND_E-33"/>
    <x v="8"/>
    <n v="1289.2240569600001"/>
  </r>
  <r>
    <x v="0"/>
    <x v="0"/>
    <x v="0"/>
    <x v="10"/>
    <x v="21"/>
    <s v="UK_A"/>
    <x v="7"/>
    <x v="5"/>
    <x v="5"/>
    <s v="GNR_PV_SUN"/>
    <x v="8"/>
    <n v="56.887646116028002"/>
  </r>
  <r>
    <x v="0"/>
    <x v="0"/>
    <x v="0"/>
    <x v="10"/>
    <x v="21"/>
    <s v="UK_A"/>
    <x v="8"/>
    <x v="6"/>
    <x v="6"/>
    <s v="GNR_ROR_WTR"/>
    <x v="8"/>
    <n v="39.289908965517299"/>
  </r>
  <r>
    <x v="0"/>
    <x v="0"/>
    <x v="0"/>
    <x v="10"/>
    <x v="21"/>
    <s v="UK_A"/>
    <x v="9"/>
    <x v="5"/>
    <x v="7"/>
    <s v="GNR_WT_WIND_ONS"/>
    <x v="8"/>
    <n v="199.63305449472"/>
  </r>
  <r>
    <x v="0"/>
    <x v="0"/>
    <x v="0"/>
    <x v="10"/>
    <x v="21"/>
    <s v="UK_Offshore"/>
    <x v="9"/>
    <x v="5"/>
    <x v="7"/>
    <s v="GNR_WT_WIND_OFF"/>
    <x v="8"/>
    <n v="236.98488659495999"/>
  </r>
  <r>
    <x v="0"/>
    <x v="0"/>
    <x v="0"/>
    <x v="0"/>
    <x v="0"/>
    <s v="DK1_Large"/>
    <x v="1"/>
    <x v="1"/>
    <x v="1"/>
    <s v="GNR_ENG_BGAS_BP_E-36"/>
    <x v="9"/>
    <n v="4.7377794240000002E-3"/>
  </r>
  <r>
    <x v="0"/>
    <x v="0"/>
    <x v="0"/>
    <x v="0"/>
    <x v="0"/>
    <s v="DK1_Large"/>
    <x v="1"/>
    <x v="1"/>
    <x v="1"/>
    <s v="GNR_ENG_BGAS_BP_E-36"/>
    <x v="9"/>
    <n v="5.7777797853658499E-3"/>
  </r>
  <r>
    <x v="0"/>
    <x v="0"/>
    <x v="0"/>
    <x v="0"/>
    <x v="0"/>
    <s v="DK1_Large"/>
    <x v="1"/>
    <x v="1"/>
    <x v="1"/>
    <s v="GNR_ENG_BGAS_BP_E-37"/>
    <x v="9"/>
    <n v="2.9245552000000002E-3"/>
  </r>
  <r>
    <x v="0"/>
    <x v="0"/>
    <x v="0"/>
    <x v="0"/>
    <x v="0"/>
    <s v="DK1_Large"/>
    <x v="1"/>
    <x v="1"/>
    <x v="1"/>
    <s v="GNR_ENG_BGAS_BP_E-37"/>
    <x v="9"/>
    <n v="3.5665307317073202E-3"/>
  </r>
  <r>
    <x v="0"/>
    <x v="0"/>
    <x v="0"/>
    <x v="0"/>
    <x v="0"/>
    <s v="DK1_Large"/>
    <x v="1"/>
    <x v="1"/>
    <x v="1"/>
    <s v="GNR_ENG_BGAS_BP_E-39"/>
    <x v="9"/>
    <n v="1.9740747600000001E-2"/>
  </r>
  <r>
    <x v="0"/>
    <x v="0"/>
    <x v="0"/>
    <x v="0"/>
    <x v="0"/>
    <s v="DK1_Large"/>
    <x v="1"/>
    <x v="1"/>
    <x v="1"/>
    <s v="GNR_ENG_BGAS_BP_E-39"/>
    <x v="9"/>
    <n v="2.40740824390244E-2"/>
  </r>
  <r>
    <x v="0"/>
    <x v="0"/>
    <x v="0"/>
    <x v="0"/>
    <x v="0"/>
    <s v="DK1_Large"/>
    <x v="1"/>
    <x v="1"/>
    <x v="1"/>
    <s v="GNR_ENG_BGAS_BP_E-40"/>
    <x v="9"/>
    <n v="7.2704442272000002E-3"/>
  </r>
  <r>
    <x v="0"/>
    <x v="0"/>
    <x v="0"/>
    <x v="0"/>
    <x v="0"/>
    <s v="DK1_Large"/>
    <x v="1"/>
    <x v="1"/>
    <x v="1"/>
    <s v="GNR_ENG_BGAS_BP_E-40"/>
    <x v="9"/>
    <n v="8.8663953990243908E-3"/>
  </r>
  <r>
    <x v="0"/>
    <x v="0"/>
    <x v="0"/>
    <x v="0"/>
    <x v="0"/>
    <s v="DK1_Large"/>
    <x v="1"/>
    <x v="1"/>
    <x v="1"/>
    <s v="GNR_ENG_BGAS_BP_E-41"/>
    <x v="9"/>
    <n v="1.5658068540799999E-2"/>
  </r>
  <r>
    <x v="0"/>
    <x v="0"/>
    <x v="0"/>
    <x v="0"/>
    <x v="0"/>
    <s v="DK1_Large"/>
    <x v="1"/>
    <x v="1"/>
    <x v="1"/>
    <s v="GNR_ENG_BGAS_BP_E-41"/>
    <x v="9"/>
    <n v="1.9095205537561E-2"/>
  </r>
  <r>
    <x v="0"/>
    <x v="0"/>
    <x v="0"/>
    <x v="0"/>
    <x v="0"/>
    <s v="DK1_Large"/>
    <x v="1"/>
    <x v="1"/>
    <x v="1"/>
    <s v="GNR_ENG_BGAS_BP_E-42"/>
    <x v="9"/>
    <n v="1.447654824E-2"/>
  </r>
  <r>
    <x v="0"/>
    <x v="0"/>
    <x v="0"/>
    <x v="0"/>
    <x v="0"/>
    <s v="DK1_Large"/>
    <x v="1"/>
    <x v="1"/>
    <x v="1"/>
    <s v="GNR_ENG_BGAS_BP_E-42"/>
    <x v="9"/>
    <n v="1.76543271219512E-2"/>
  </r>
  <r>
    <x v="0"/>
    <x v="0"/>
    <x v="0"/>
    <x v="0"/>
    <x v="0"/>
    <s v="DK1_Large"/>
    <x v="1"/>
    <x v="1"/>
    <x v="1"/>
    <s v="GNR_ENG_BGAS_BP_E-43"/>
    <x v="9"/>
    <n v="4.1585225240533298E-2"/>
  </r>
  <r>
    <x v="0"/>
    <x v="0"/>
    <x v="0"/>
    <x v="0"/>
    <x v="0"/>
    <s v="DK1_Large"/>
    <x v="1"/>
    <x v="1"/>
    <x v="1"/>
    <s v="GNR_ENG_BGAS_BP_E-43"/>
    <x v="9"/>
    <n v="5.0713689317723597E-2"/>
  </r>
  <r>
    <x v="0"/>
    <x v="0"/>
    <x v="0"/>
    <x v="0"/>
    <x v="0"/>
    <s v="DK1_Large"/>
    <x v="11"/>
    <x v="3"/>
    <x v="10"/>
    <s v="GNR_HS_HEAT_WTR-TANK_LS_E-95_Y-2010"/>
    <x v="9"/>
    <n v="8.8776474290986902E-5"/>
  </r>
  <r>
    <x v="0"/>
    <x v="0"/>
    <x v="0"/>
    <x v="0"/>
    <x v="0"/>
    <s v="DK1_Large"/>
    <x v="11"/>
    <x v="3"/>
    <x v="9"/>
    <s v="GNR_HS_HEAT_PIT_L-CEN_E-90_Y-2030"/>
    <x v="9"/>
    <n v="4.5340378317771898E-4"/>
  </r>
  <r>
    <x v="0"/>
    <x v="0"/>
    <x v="0"/>
    <x v="0"/>
    <x v="0"/>
    <s v="DK1_Large"/>
    <x v="2"/>
    <x v="1"/>
    <x v="1"/>
    <s v="GNR_ST_MSW_BP_E-24_LS-220-MW-FEED_Y-2030"/>
    <x v="9"/>
    <n v="45.553510899185802"/>
  </r>
  <r>
    <x v="0"/>
    <x v="0"/>
    <x v="0"/>
    <x v="0"/>
    <x v="0"/>
    <s v="DK1_Large"/>
    <x v="2"/>
    <x v="1"/>
    <x v="1"/>
    <s v="GNR_ST_MSW_BP_E-24_LS-220-MW-FEED_Y-2030"/>
    <x v="9"/>
    <n v="151.845036330619"/>
  </r>
  <r>
    <x v="0"/>
    <x v="0"/>
    <x v="0"/>
    <x v="0"/>
    <x v="0"/>
    <s v="DK1_Large"/>
    <x v="2"/>
    <x v="1"/>
    <x v="1"/>
    <s v="GNR_ST_MSW_BP_E-27"/>
    <x v="9"/>
    <n v="3.894805633152"/>
  </r>
  <r>
    <x v="0"/>
    <x v="0"/>
    <x v="0"/>
    <x v="0"/>
    <x v="0"/>
    <s v="DK1_Large"/>
    <x v="2"/>
    <x v="1"/>
    <x v="1"/>
    <s v="GNR_ST_MSW_BP_E-27"/>
    <x v="9"/>
    <n v="13.168773002361499"/>
  </r>
  <r>
    <x v="0"/>
    <x v="0"/>
    <x v="0"/>
    <x v="0"/>
    <x v="0"/>
    <s v="DK1_Large"/>
    <x v="2"/>
    <x v="7"/>
    <x v="11"/>
    <s v="GNR_BO_MSW_E-105"/>
    <x v="9"/>
    <n v="1.5580756855433"/>
  </r>
  <r>
    <x v="0"/>
    <x v="0"/>
    <x v="0"/>
    <x v="0"/>
    <x v="0"/>
    <s v="DK1_Large"/>
    <x v="3"/>
    <x v="1"/>
    <x v="1"/>
    <s v="GNR_ENG_NGAS_BP_E-39"/>
    <x v="9"/>
    <n v="3.4085690856000002E-2"/>
  </r>
  <r>
    <x v="0"/>
    <x v="0"/>
    <x v="0"/>
    <x v="0"/>
    <x v="0"/>
    <s v="DK1_Large"/>
    <x v="3"/>
    <x v="1"/>
    <x v="1"/>
    <s v="GNR_ENG_NGAS_BP_E-39"/>
    <x v="9"/>
    <n v="3.7872989840000003E-2"/>
  </r>
  <r>
    <x v="0"/>
    <x v="0"/>
    <x v="0"/>
    <x v="0"/>
    <x v="0"/>
    <s v="DK1_Large"/>
    <x v="3"/>
    <x v="1"/>
    <x v="1"/>
    <s v="GNR_ENG_NGAS_BP_E-42"/>
    <x v="9"/>
    <n v="2.6768453745599999E-2"/>
  </r>
  <r>
    <x v="0"/>
    <x v="0"/>
    <x v="0"/>
    <x v="0"/>
    <x v="0"/>
    <s v="DK1_Large"/>
    <x v="3"/>
    <x v="1"/>
    <x v="1"/>
    <s v="GNR_ENG_NGAS_BP_E-42"/>
    <x v="9"/>
    <n v="2.9742726383999999E-2"/>
  </r>
  <r>
    <x v="0"/>
    <x v="0"/>
    <x v="0"/>
    <x v="0"/>
    <x v="0"/>
    <s v="DK1_Large"/>
    <x v="3"/>
    <x v="1"/>
    <x v="1"/>
    <s v="GNR_ENG_NGAS_BP_E-43"/>
    <x v="9"/>
    <n v="4.0007915136000001E-2"/>
  </r>
  <r>
    <x v="0"/>
    <x v="0"/>
    <x v="0"/>
    <x v="0"/>
    <x v="0"/>
    <s v="DK1_Large"/>
    <x v="3"/>
    <x v="1"/>
    <x v="1"/>
    <s v="GNR_ENG_NGAS_BP_E-43"/>
    <x v="9"/>
    <n v="4.4453239040000002E-2"/>
  </r>
  <r>
    <x v="0"/>
    <x v="0"/>
    <x v="0"/>
    <x v="0"/>
    <x v="0"/>
    <s v="DK1_Large"/>
    <x v="3"/>
    <x v="1"/>
    <x v="1"/>
    <s v="GNR_ENG_NGAS_BP_E-46"/>
    <x v="9"/>
    <n v="1.15285965984E-2"/>
  </r>
  <r>
    <x v="0"/>
    <x v="0"/>
    <x v="0"/>
    <x v="0"/>
    <x v="0"/>
    <s v="DK1_Large"/>
    <x v="3"/>
    <x v="1"/>
    <x v="1"/>
    <s v="GNR_ENG_NGAS_BP_E-46"/>
    <x v="9"/>
    <n v="1.2809551775999999E-2"/>
  </r>
  <r>
    <x v="0"/>
    <x v="0"/>
    <x v="0"/>
    <x v="0"/>
    <x v="0"/>
    <s v="DK1_Large"/>
    <x v="3"/>
    <x v="1"/>
    <x v="1"/>
    <s v="GNR_GT_NGAS_BP_E-43_LS-40-MW_Y-2030"/>
    <x v="9"/>
    <n v="0.88119256506089405"/>
  </r>
  <r>
    <x v="0"/>
    <x v="0"/>
    <x v="0"/>
    <x v="0"/>
    <x v="0"/>
    <s v="DK1_Large"/>
    <x v="3"/>
    <x v="1"/>
    <x v="1"/>
    <s v="GNR_GT_NGAS_BP_E-43_LS-40-MW_Y-2030"/>
    <x v="9"/>
    <n v="0.92757112111673001"/>
  </r>
  <r>
    <x v="0"/>
    <x v="0"/>
    <x v="0"/>
    <x v="0"/>
    <x v="0"/>
    <s v="DK1_Large"/>
    <x v="4"/>
    <x v="1"/>
    <x v="1"/>
    <s v="GNR_ST_STRW_BP_E-26"/>
    <x v="9"/>
    <n v="0.124247940368874"/>
  </r>
  <r>
    <x v="0"/>
    <x v="0"/>
    <x v="0"/>
    <x v="0"/>
    <x v="0"/>
    <s v="DK1_Large"/>
    <x v="4"/>
    <x v="1"/>
    <x v="1"/>
    <s v="GNR_ST_STRW_BP_E-26"/>
    <x v="9"/>
    <n v="0.27942456147995098"/>
  </r>
  <r>
    <x v="0"/>
    <x v="0"/>
    <x v="0"/>
    <x v="0"/>
    <x v="0"/>
    <s v="DK1_Large"/>
    <x v="4"/>
    <x v="7"/>
    <x v="11"/>
    <s v="GNR_BO_STRW_E-100"/>
    <x v="9"/>
    <n v="1.31016246304988E-3"/>
  </r>
  <r>
    <x v="0"/>
    <x v="0"/>
    <x v="0"/>
    <x v="0"/>
    <x v="0"/>
    <s v="DK1_Large"/>
    <x v="4"/>
    <x v="7"/>
    <x v="11"/>
    <s v="GNR_BO_STRW_E-102"/>
    <x v="9"/>
    <n v="1.6027230130513099E-3"/>
  </r>
  <r>
    <x v="0"/>
    <x v="0"/>
    <x v="0"/>
    <x v="0"/>
    <x v="0"/>
    <s v="DK1_Large"/>
    <x v="7"/>
    <x v="5"/>
    <x v="14"/>
    <s v="GNR_SH_SUN"/>
    <x v="9"/>
    <n v="1.1157115991279999E-3"/>
  </r>
  <r>
    <x v="0"/>
    <x v="0"/>
    <x v="0"/>
    <x v="0"/>
    <x v="0"/>
    <s v="DK1_Large"/>
    <x v="5"/>
    <x v="1"/>
    <x v="1"/>
    <s v="GNR_ST_WOODCHI_BP_E-23"/>
    <x v="9"/>
    <n v="6.2512367400000005E-2"/>
  </r>
  <r>
    <x v="0"/>
    <x v="0"/>
    <x v="0"/>
    <x v="0"/>
    <x v="0"/>
    <s v="DK1_Large"/>
    <x v="5"/>
    <x v="1"/>
    <x v="1"/>
    <s v="GNR_ST_WOODCHI_BP_E-23"/>
    <x v="9"/>
    <n v="0.18385990411764699"/>
  </r>
  <r>
    <x v="0"/>
    <x v="0"/>
    <x v="0"/>
    <x v="0"/>
    <x v="0"/>
    <s v="DK1_Large"/>
    <x v="5"/>
    <x v="7"/>
    <x v="11"/>
    <s v="GNR_BO_WOODCHI_E-100"/>
    <x v="9"/>
    <n v="6.2907727818166401E-3"/>
  </r>
  <r>
    <x v="0"/>
    <x v="0"/>
    <x v="0"/>
    <x v="0"/>
    <x v="0"/>
    <s v="DK1_Large_PHH"/>
    <x v="6"/>
    <x v="2"/>
    <x v="2"/>
    <s v="GNR_BO_ELEC_E-99_LS-10-MW-FEED_PHH_Y-2030"/>
    <x v="9"/>
    <n v="-0.108218113197671"/>
  </r>
  <r>
    <x v="0"/>
    <x v="0"/>
    <x v="0"/>
    <x v="0"/>
    <x v="0"/>
    <s v="DK1_Large_PHH"/>
    <x v="6"/>
    <x v="2"/>
    <x v="2"/>
    <s v="GNR_BO_ELEC_E-99_LS-10-MW-FEED_PHH_Y-2030"/>
    <x v="9"/>
    <n v="0.107135932065694"/>
  </r>
  <r>
    <x v="0"/>
    <x v="0"/>
    <x v="0"/>
    <x v="0"/>
    <x v="0"/>
    <s v="DK1_Large_PHH"/>
    <x v="3"/>
    <x v="7"/>
    <x v="11"/>
    <s v="GNR_BO_NGAS_E-70_PHH"/>
    <x v="9"/>
    <n v="0.71957472359687702"/>
  </r>
  <r>
    <x v="0"/>
    <x v="0"/>
    <x v="0"/>
    <x v="0"/>
    <x v="0"/>
    <s v="DK1_Large_PHL"/>
    <x v="3"/>
    <x v="7"/>
    <x v="11"/>
    <s v="GNR_BO_NGAS_E-82_PHL"/>
    <x v="9"/>
    <n v="1.8817500708763"/>
  </r>
  <r>
    <x v="0"/>
    <x v="0"/>
    <x v="0"/>
    <x v="0"/>
    <x v="0"/>
    <s v="DK1_MedSmall"/>
    <x v="6"/>
    <x v="2"/>
    <x v="2"/>
    <s v="GNR_HP_ELEC_GROUND-WTR_COP-380_LS-4-MW_Y-2030"/>
    <x v="9"/>
    <n v="-0.58542579279221796"/>
  </r>
  <r>
    <x v="0"/>
    <x v="0"/>
    <x v="0"/>
    <x v="0"/>
    <x v="0"/>
    <s v="DK1_MedSmall"/>
    <x v="6"/>
    <x v="2"/>
    <x v="2"/>
    <s v="GNR_HP_ELEC_GROUND-WTR_COP-380_LS-4-MW_Y-2030"/>
    <x v="9"/>
    <n v="2.22461801261043"/>
  </r>
  <r>
    <x v="0"/>
    <x v="0"/>
    <x v="0"/>
    <x v="0"/>
    <x v="0"/>
    <s v="DK1_MedSmall"/>
    <x v="11"/>
    <x v="3"/>
    <x v="10"/>
    <s v="GNR_HS_HEAT_WTR-TANK_LS_E-95_Y-2010"/>
    <x v="9"/>
    <n v="3.0084890117742401E-5"/>
  </r>
  <r>
    <x v="0"/>
    <x v="0"/>
    <x v="0"/>
    <x v="0"/>
    <x v="0"/>
    <s v="DK1_MedSmall"/>
    <x v="11"/>
    <x v="3"/>
    <x v="9"/>
    <s v="GNR_HS_HEAT_PIT_L-DEC_E-91_Y-2030"/>
    <x v="9"/>
    <n v="6.3764460487451496E-5"/>
  </r>
  <r>
    <x v="0"/>
    <x v="0"/>
    <x v="0"/>
    <x v="0"/>
    <x v="0"/>
    <s v="DK1_MedSmall"/>
    <x v="3"/>
    <x v="1"/>
    <x v="1"/>
    <s v="GNR_ENG_NGAS_BP_E-41"/>
    <x v="9"/>
    <n v="5.1668116718399999E-2"/>
  </r>
  <r>
    <x v="0"/>
    <x v="0"/>
    <x v="0"/>
    <x v="0"/>
    <x v="0"/>
    <s v="DK1_MedSmall"/>
    <x v="3"/>
    <x v="1"/>
    <x v="1"/>
    <s v="GNR_ENG_NGAS_BP_E-41"/>
    <x v="9"/>
    <n v="5.7409018575999997E-2"/>
  </r>
  <r>
    <x v="0"/>
    <x v="0"/>
    <x v="0"/>
    <x v="0"/>
    <x v="0"/>
    <s v="DK1_MedSmall"/>
    <x v="3"/>
    <x v="7"/>
    <x v="11"/>
    <s v="GNR_BO_NGAS_E-100"/>
    <x v="9"/>
    <n v="1.15944972821036E-2"/>
  </r>
  <r>
    <x v="0"/>
    <x v="0"/>
    <x v="0"/>
    <x v="0"/>
    <x v="0"/>
    <s v="DK1_MedSmall"/>
    <x v="3"/>
    <x v="7"/>
    <x v="11"/>
    <s v="GNR_BO_NGAS_E-101"/>
    <x v="9"/>
    <n v="2.6540338439999998E-2"/>
  </r>
  <r>
    <x v="0"/>
    <x v="0"/>
    <x v="0"/>
    <x v="0"/>
    <x v="0"/>
    <s v="DK1_MedSmall"/>
    <x v="3"/>
    <x v="7"/>
    <x v="11"/>
    <s v="GNR_BO_NGAS_E-102"/>
    <x v="9"/>
    <n v="4.101688668E-3"/>
  </r>
  <r>
    <x v="0"/>
    <x v="0"/>
    <x v="0"/>
    <x v="0"/>
    <x v="0"/>
    <s v="DK1_MedSmall"/>
    <x v="4"/>
    <x v="7"/>
    <x v="11"/>
    <s v="GNR_BO_STRW_E-102"/>
    <x v="9"/>
    <n v="9.8269816743089197E-2"/>
  </r>
  <r>
    <x v="0"/>
    <x v="0"/>
    <x v="0"/>
    <x v="0"/>
    <x v="0"/>
    <s v="DK1_MedSmall"/>
    <x v="7"/>
    <x v="5"/>
    <x v="14"/>
    <s v="GNR_SH_SUN"/>
    <x v="9"/>
    <n v="3.3712149038399998E-3"/>
  </r>
  <r>
    <x v="0"/>
    <x v="0"/>
    <x v="0"/>
    <x v="0"/>
    <x v="0"/>
    <s v="DK1_MedSmall"/>
    <x v="5"/>
    <x v="7"/>
    <x v="11"/>
    <s v="GNR_BO_WOODCHI_E-110"/>
    <x v="9"/>
    <n v="0.17159252757395499"/>
  </r>
  <r>
    <x v="0"/>
    <x v="0"/>
    <x v="0"/>
    <x v="0"/>
    <x v="0"/>
    <s v="DK1_Medium"/>
    <x v="1"/>
    <x v="1"/>
    <x v="1"/>
    <s v="GNR_ENG_BGAS_BP_E-39"/>
    <x v="9"/>
    <n v="3.6849395519999999E-3"/>
  </r>
  <r>
    <x v="0"/>
    <x v="0"/>
    <x v="0"/>
    <x v="0"/>
    <x v="0"/>
    <s v="DK1_Medium"/>
    <x v="1"/>
    <x v="1"/>
    <x v="1"/>
    <s v="GNR_ENG_BGAS_BP_E-39"/>
    <x v="9"/>
    <n v="4.4938287219512202E-3"/>
  </r>
  <r>
    <x v="0"/>
    <x v="0"/>
    <x v="0"/>
    <x v="0"/>
    <x v="0"/>
    <s v="DK1_Medium"/>
    <x v="1"/>
    <x v="1"/>
    <x v="1"/>
    <s v="GNR_ENG_BGAS_BP_E-41"/>
    <x v="9"/>
    <n v="1.9401499196799999E-2"/>
  </r>
  <r>
    <x v="0"/>
    <x v="0"/>
    <x v="0"/>
    <x v="0"/>
    <x v="0"/>
    <s v="DK1_Medium"/>
    <x v="1"/>
    <x v="1"/>
    <x v="1"/>
    <s v="GNR_ENG_BGAS_BP_E-41"/>
    <x v="9"/>
    <n v="2.36603648741463E-2"/>
  </r>
  <r>
    <x v="0"/>
    <x v="0"/>
    <x v="0"/>
    <x v="0"/>
    <x v="0"/>
    <s v="DK1_Medium"/>
    <x v="1"/>
    <x v="1"/>
    <x v="1"/>
    <s v="GNR_ENG_BGAS_BP_E-42"/>
    <x v="9"/>
    <n v="1.9302064320000001E-3"/>
  </r>
  <r>
    <x v="0"/>
    <x v="0"/>
    <x v="0"/>
    <x v="0"/>
    <x v="0"/>
    <s v="DK1_Medium"/>
    <x v="1"/>
    <x v="1"/>
    <x v="1"/>
    <s v="GNR_ENG_BGAS_BP_E-42"/>
    <x v="9"/>
    <n v="2.3539102829268298E-3"/>
  </r>
  <r>
    <x v="0"/>
    <x v="0"/>
    <x v="0"/>
    <x v="0"/>
    <x v="0"/>
    <s v="DK1_Medium"/>
    <x v="11"/>
    <x v="3"/>
    <x v="10"/>
    <s v="GNR_HS_HEAT_WTR-TANK_LS_E-95_Y-2010"/>
    <x v="9"/>
    <n v="1.30792436883927E-4"/>
  </r>
  <r>
    <x v="0"/>
    <x v="0"/>
    <x v="0"/>
    <x v="0"/>
    <x v="0"/>
    <s v="DK1_Medium"/>
    <x v="11"/>
    <x v="3"/>
    <x v="9"/>
    <s v="GNR_HS_HEAT_PIT_L-DEC_E-91_Y-2030"/>
    <x v="9"/>
    <n v="1.33580120037467E-4"/>
  </r>
  <r>
    <x v="0"/>
    <x v="0"/>
    <x v="0"/>
    <x v="0"/>
    <x v="0"/>
    <s v="DK1_Medium"/>
    <x v="3"/>
    <x v="1"/>
    <x v="1"/>
    <s v="GNR_ENG_NGAS_BP_E-41"/>
    <x v="9"/>
    <n v="3.9613100184000001E-2"/>
  </r>
  <r>
    <x v="0"/>
    <x v="0"/>
    <x v="0"/>
    <x v="0"/>
    <x v="0"/>
    <s v="DK1_Medium"/>
    <x v="3"/>
    <x v="1"/>
    <x v="1"/>
    <s v="GNR_ENG_NGAS_BP_E-41"/>
    <x v="9"/>
    <n v="4.4014555759999997E-2"/>
  </r>
  <r>
    <x v="0"/>
    <x v="0"/>
    <x v="0"/>
    <x v="0"/>
    <x v="0"/>
    <s v="DK1_Medium"/>
    <x v="3"/>
    <x v="1"/>
    <x v="1"/>
    <s v="GNR_ENG_NGAS_BP_E-42"/>
    <x v="9"/>
    <n v="7.3435581072000003E-2"/>
  </r>
  <r>
    <x v="0"/>
    <x v="0"/>
    <x v="0"/>
    <x v="0"/>
    <x v="0"/>
    <s v="DK1_Medium"/>
    <x v="3"/>
    <x v="1"/>
    <x v="1"/>
    <s v="GNR_ENG_NGAS_BP_E-42"/>
    <x v="9"/>
    <n v="8.1595090080000002E-2"/>
  </r>
  <r>
    <x v="0"/>
    <x v="0"/>
    <x v="0"/>
    <x v="0"/>
    <x v="0"/>
    <s v="DK1_Medium"/>
    <x v="3"/>
    <x v="1"/>
    <x v="1"/>
    <s v="GNR_ENG_NGAS_BP_E-43"/>
    <x v="9"/>
    <n v="1.8687907728000001E-2"/>
  </r>
  <r>
    <x v="0"/>
    <x v="0"/>
    <x v="0"/>
    <x v="0"/>
    <x v="0"/>
    <s v="DK1_Medium"/>
    <x v="3"/>
    <x v="1"/>
    <x v="1"/>
    <s v="GNR_ENG_NGAS_BP_E-43"/>
    <x v="9"/>
    <n v="2.0764341919999998E-2"/>
  </r>
  <r>
    <x v="0"/>
    <x v="0"/>
    <x v="0"/>
    <x v="0"/>
    <x v="0"/>
    <s v="DK1_Medium"/>
    <x v="3"/>
    <x v="1"/>
    <x v="1"/>
    <s v="GNR_ENG_NGAS_BP_E-44"/>
    <x v="9"/>
    <n v="6.7750245763200004E-2"/>
  </r>
  <r>
    <x v="0"/>
    <x v="0"/>
    <x v="0"/>
    <x v="0"/>
    <x v="0"/>
    <s v="DK1_Medium"/>
    <x v="3"/>
    <x v="1"/>
    <x v="1"/>
    <s v="GNR_ENG_NGAS_BP_E-44"/>
    <x v="9"/>
    <n v="7.5278050848000003E-2"/>
  </r>
  <r>
    <x v="0"/>
    <x v="0"/>
    <x v="0"/>
    <x v="0"/>
    <x v="0"/>
    <s v="DK1_Medium"/>
    <x v="3"/>
    <x v="1"/>
    <x v="1"/>
    <s v="GNR_ENG_NGAS_BP_E-48_Y-2030"/>
    <x v="9"/>
    <n v="16.2610286272091"/>
  </r>
  <r>
    <x v="0"/>
    <x v="0"/>
    <x v="0"/>
    <x v="0"/>
    <x v="0"/>
    <s v="DK1_Medium"/>
    <x v="3"/>
    <x v="1"/>
    <x v="1"/>
    <s v="GNR_ENG_NGAS_BP_E-48_Y-2030"/>
    <x v="9"/>
    <n v="16.425281441625401"/>
  </r>
  <r>
    <x v="0"/>
    <x v="0"/>
    <x v="0"/>
    <x v="0"/>
    <x v="0"/>
    <s v="DK1_Medium"/>
    <x v="4"/>
    <x v="7"/>
    <x v="11"/>
    <s v="GNR_BO_STRW_E-102"/>
    <x v="9"/>
    <n v="6.1564915739431504E-4"/>
  </r>
  <r>
    <x v="0"/>
    <x v="0"/>
    <x v="0"/>
    <x v="0"/>
    <x v="0"/>
    <s v="DK1_Medium"/>
    <x v="7"/>
    <x v="5"/>
    <x v="14"/>
    <s v="GNR_SH_SUN"/>
    <x v="9"/>
    <n v="7.3042989583199996E-3"/>
  </r>
  <r>
    <x v="0"/>
    <x v="0"/>
    <x v="0"/>
    <x v="0"/>
    <x v="0"/>
    <s v="DK1_NoDH"/>
    <x v="3"/>
    <x v="4"/>
    <x v="4"/>
    <s v="GNR_ENG_NGAS_CND_E-41"/>
    <x v="9"/>
    <n v="0.161084500416"/>
  </r>
  <r>
    <x v="0"/>
    <x v="0"/>
    <x v="0"/>
    <x v="0"/>
    <x v="0"/>
    <s v="DK1_NoDH"/>
    <x v="3"/>
    <x v="4"/>
    <x v="4"/>
    <s v="GNR_ENG_NGAS_CND_E-46"/>
    <x v="9"/>
    <n v="5.8959032832E-3"/>
  </r>
  <r>
    <x v="0"/>
    <x v="0"/>
    <x v="0"/>
    <x v="0"/>
    <x v="0"/>
    <s v="DK1_NoDH"/>
    <x v="9"/>
    <x v="5"/>
    <x v="7"/>
    <s v="GNR_WT_WIND_ONS"/>
    <x v="9"/>
    <n v="13.195626937563"/>
  </r>
  <r>
    <x v="0"/>
    <x v="0"/>
    <x v="0"/>
    <x v="0"/>
    <x v="0"/>
    <s v="DK1_NoDH"/>
    <x v="9"/>
    <x v="5"/>
    <x v="7"/>
    <s v="GNR_WT_WIND_ON_LS_Y-2030"/>
    <x v="9"/>
    <n v="3.6115335417802501"/>
  </r>
  <r>
    <x v="0"/>
    <x v="0"/>
    <x v="0"/>
    <x v="0"/>
    <x v="0"/>
    <s v="DK1_NoDH"/>
    <x v="5"/>
    <x v="1"/>
    <x v="8"/>
    <s v="GNR_ST_WOODCHI_EXT_E-30"/>
    <x v="9"/>
    <n v="0.25560612447999997"/>
  </r>
  <r>
    <x v="0"/>
    <x v="0"/>
    <x v="0"/>
    <x v="0"/>
    <x v="0"/>
    <s v="DK1_NoDH_PHH"/>
    <x v="6"/>
    <x v="2"/>
    <x v="2"/>
    <s v="GNR_BO_ELEC_E-99_LS-10-MW-FEED_PHH_Y-2030"/>
    <x v="9"/>
    <n v="-0.215498089790359"/>
  </r>
  <r>
    <x v="0"/>
    <x v="0"/>
    <x v="0"/>
    <x v="0"/>
    <x v="0"/>
    <s v="DK1_NoDH_PHH"/>
    <x v="6"/>
    <x v="2"/>
    <x v="2"/>
    <s v="GNR_BO_ELEC_E-99_LS-10-MW-FEED_PHH_Y-2030"/>
    <x v="9"/>
    <n v="0.213343108892455"/>
  </r>
  <r>
    <x v="0"/>
    <x v="0"/>
    <x v="0"/>
    <x v="0"/>
    <x v="0"/>
    <s v="DK1_NoDH_PHH"/>
    <x v="3"/>
    <x v="7"/>
    <x v="11"/>
    <s v="GNR_BO_NGAS_E-70_PHH"/>
    <x v="9"/>
    <n v="1.58192592594361E-2"/>
  </r>
  <r>
    <x v="0"/>
    <x v="0"/>
    <x v="0"/>
    <x v="0"/>
    <x v="0"/>
    <s v="DK1_NoDH_PHL"/>
    <x v="3"/>
    <x v="7"/>
    <x v="11"/>
    <s v="GNR_BO_NGAS_E-82_PHL"/>
    <x v="9"/>
    <n v="9.7901551661000301"/>
  </r>
  <r>
    <x v="0"/>
    <x v="0"/>
    <x v="0"/>
    <x v="0"/>
    <x v="0"/>
    <s v="DK1_Offshore"/>
    <x v="9"/>
    <x v="5"/>
    <x v="7"/>
    <s v="GNR_WT_WIND_OFF"/>
    <x v="9"/>
    <n v="24.6034948206268"/>
  </r>
  <r>
    <x v="0"/>
    <x v="0"/>
    <x v="0"/>
    <x v="0"/>
    <x v="0"/>
    <s v="DK1_Rural"/>
    <x v="1"/>
    <x v="1"/>
    <x v="1"/>
    <s v="GNR_ENG_BGAS_BP_E-30"/>
    <x v="9"/>
    <n v="3.5094662399999997E-2"/>
  </r>
  <r>
    <x v="0"/>
    <x v="0"/>
    <x v="0"/>
    <x v="0"/>
    <x v="0"/>
    <s v="DK1_Rural"/>
    <x v="1"/>
    <x v="1"/>
    <x v="1"/>
    <s v="GNR_ENG_BGAS_BP_E-30"/>
    <x v="9"/>
    <n v="4.2798368780487803E-2"/>
  </r>
  <r>
    <x v="0"/>
    <x v="0"/>
    <x v="0"/>
    <x v="0"/>
    <x v="0"/>
    <s v="DK1_Rural"/>
    <x v="1"/>
    <x v="1"/>
    <x v="1"/>
    <s v="GNR_ENG_BGAS_BP_E-37"/>
    <x v="9"/>
    <n v="1.0265188752E-2"/>
  </r>
  <r>
    <x v="0"/>
    <x v="0"/>
    <x v="0"/>
    <x v="0"/>
    <x v="0"/>
    <s v="DK1_Rural"/>
    <x v="1"/>
    <x v="1"/>
    <x v="1"/>
    <s v="GNR_ENG_BGAS_BP_E-37"/>
    <x v="9"/>
    <n v="1.2518522868292701E-2"/>
  </r>
  <r>
    <x v="0"/>
    <x v="0"/>
    <x v="0"/>
    <x v="0"/>
    <x v="0"/>
    <s v="DK1_Rural"/>
    <x v="1"/>
    <x v="1"/>
    <x v="1"/>
    <s v="GNR_ENG_BGAS_BP_E-38"/>
    <x v="9"/>
    <n v="4.6792883199999998E-3"/>
  </r>
  <r>
    <x v="0"/>
    <x v="0"/>
    <x v="0"/>
    <x v="0"/>
    <x v="0"/>
    <s v="DK1_Rural"/>
    <x v="1"/>
    <x v="1"/>
    <x v="1"/>
    <s v="GNR_ENG_BGAS_BP_E-38"/>
    <x v="9"/>
    <n v="5.7064491707317097E-3"/>
  </r>
  <r>
    <x v="0"/>
    <x v="0"/>
    <x v="0"/>
    <x v="0"/>
    <x v="0"/>
    <s v="DK1_Rural"/>
    <x v="1"/>
    <x v="1"/>
    <x v="1"/>
    <s v="GNR_ENG_BGAS_BP_E-39"/>
    <x v="9"/>
    <n v="8.46171304533333E-3"/>
  </r>
  <r>
    <x v="0"/>
    <x v="0"/>
    <x v="0"/>
    <x v="0"/>
    <x v="0"/>
    <s v="DK1_Rural"/>
    <x v="1"/>
    <x v="1"/>
    <x v="1"/>
    <s v="GNR_ENG_BGAS_BP_E-39"/>
    <x v="9"/>
    <n v="1.0319162250406499E-2"/>
  </r>
  <r>
    <x v="0"/>
    <x v="0"/>
    <x v="0"/>
    <x v="0"/>
    <x v="0"/>
    <s v="DK1_Rural"/>
    <x v="1"/>
    <x v="1"/>
    <x v="1"/>
    <s v="GNR_ENG_BGAS_BP_E-40"/>
    <x v="9"/>
    <n v="8.6527839850666699E-2"/>
  </r>
  <r>
    <x v="0"/>
    <x v="0"/>
    <x v="0"/>
    <x v="0"/>
    <x v="0"/>
    <s v="DK1_Rural"/>
    <x v="1"/>
    <x v="1"/>
    <x v="1"/>
    <s v="GNR_ENG_BGAS_BP_E-40"/>
    <x v="9"/>
    <n v="0.105521755915447"/>
  </r>
  <r>
    <x v="0"/>
    <x v="0"/>
    <x v="0"/>
    <x v="0"/>
    <x v="0"/>
    <s v="DK1_Rural"/>
    <x v="1"/>
    <x v="1"/>
    <x v="1"/>
    <s v="GNR_ENG_BGAS_BP_E-41"/>
    <x v="9"/>
    <n v="1.61045506346667E-2"/>
  </r>
  <r>
    <x v="0"/>
    <x v="0"/>
    <x v="0"/>
    <x v="0"/>
    <x v="0"/>
    <s v="DK1_Rural"/>
    <x v="1"/>
    <x v="1"/>
    <x v="1"/>
    <s v="GNR_ENG_BGAS_BP_E-41"/>
    <x v="9"/>
    <n v="1.9639695895934998E-2"/>
  </r>
  <r>
    <x v="0"/>
    <x v="0"/>
    <x v="0"/>
    <x v="0"/>
    <x v="0"/>
    <s v="DK1_Rural"/>
    <x v="1"/>
    <x v="1"/>
    <x v="1"/>
    <s v="GNR_ENG_BGAS_BP_E-42"/>
    <x v="9"/>
    <n v="9.1168134101333301E-2"/>
  </r>
  <r>
    <x v="0"/>
    <x v="0"/>
    <x v="0"/>
    <x v="0"/>
    <x v="0"/>
    <s v="DK1_Rural"/>
    <x v="1"/>
    <x v="1"/>
    <x v="1"/>
    <s v="GNR_ENG_BGAS_BP_E-42"/>
    <x v="9"/>
    <n v="0.11118065134308899"/>
  </r>
  <r>
    <x v="0"/>
    <x v="0"/>
    <x v="0"/>
    <x v="0"/>
    <x v="0"/>
    <s v="DK1_Rural"/>
    <x v="1"/>
    <x v="1"/>
    <x v="1"/>
    <s v="GNR_ENG_BGAS_BP_E-43"/>
    <x v="9"/>
    <n v="7.0150330730666705E-2"/>
  </r>
  <r>
    <x v="0"/>
    <x v="0"/>
    <x v="0"/>
    <x v="0"/>
    <x v="0"/>
    <s v="DK1_Rural"/>
    <x v="1"/>
    <x v="1"/>
    <x v="1"/>
    <s v="GNR_ENG_BGAS_BP_E-43"/>
    <x v="9"/>
    <n v="8.5549183817886204E-2"/>
  </r>
  <r>
    <x v="0"/>
    <x v="0"/>
    <x v="0"/>
    <x v="0"/>
    <x v="0"/>
    <s v="DK1_Rural"/>
    <x v="6"/>
    <x v="2"/>
    <x v="2"/>
    <s v="GNR_HP_ELEC_COP-300"/>
    <x v="9"/>
    <n v="-3.1682681333333302E-3"/>
  </r>
  <r>
    <x v="0"/>
    <x v="0"/>
    <x v="0"/>
    <x v="0"/>
    <x v="0"/>
    <s v="DK1_Rural"/>
    <x v="6"/>
    <x v="2"/>
    <x v="2"/>
    <s v="GNR_HP_ELEC_COP-300"/>
    <x v="9"/>
    <n v="9.5048044000000005E-3"/>
  </r>
  <r>
    <x v="0"/>
    <x v="0"/>
    <x v="0"/>
    <x v="0"/>
    <x v="0"/>
    <s v="DK1_Rural"/>
    <x v="6"/>
    <x v="2"/>
    <x v="2"/>
    <s v="GNR_HP_ELEC_COP-350"/>
    <x v="9"/>
    <n v="-7.6212515866666596E-3"/>
  </r>
  <r>
    <x v="0"/>
    <x v="0"/>
    <x v="0"/>
    <x v="0"/>
    <x v="0"/>
    <s v="DK1_Rural"/>
    <x v="6"/>
    <x v="2"/>
    <x v="2"/>
    <s v="GNR_HP_ELEC_COP-350"/>
    <x v="9"/>
    <n v="2.66743805533333E-2"/>
  </r>
  <r>
    <x v="0"/>
    <x v="0"/>
    <x v="0"/>
    <x v="0"/>
    <x v="0"/>
    <s v="DK1_Rural"/>
    <x v="6"/>
    <x v="2"/>
    <x v="2"/>
    <s v="GNR_HP_ELEC_COP-400"/>
    <x v="9"/>
    <n v="-6.9877372245333302E-3"/>
  </r>
  <r>
    <x v="0"/>
    <x v="0"/>
    <x v="0"/>
    <x v="0"/>
    <x v="0"/>
    <s v="DK1_Rural"/>
    <x v="6"/>
    <x v="2"/>
    <x v="2"/>
    <s v="GNR_HP_ELEC_COP-400"/>
    <x v="9"/>
    <n v="2.79509488981333E-2"/>
  </r>
  <r>
    <x v="0"/>
    <x v="0"/>
    <x v="0"/>
    <x v="0"/>
    <x v="0"/>
    <s v="DK1_Rural"/>
    <x v="6"/>
    <x v="2"/>
    <x v="2"/>
    <s v="GNR_HP_ELEC_COP-430"/>
    <x v="9"/>
    <n v="-4.2734779472868197E-3"/>
  </r>
  <r>
    <x v="0"/>
    <x v="0"/>
    <x v="0"/>
    <x v="0"/>
    <x v="0"/>
    <s v="DK1_Rural"/>
    <x v="6"/>
    <x v="2"/>
    <x v="2"/>
    <s v="GNR_HP_ELEC_COP-430"/>
    <x v="9"/>
    <n v="1.8375955173333298E-2"/>
  </r>
  <r>
    <x v="0"/>
    <x v="0"/>
    <x v="0"/>
    <x v="0"/>
    <x v="0"/>
    <s v="DK1_Rural"/>
    <x v="6"/>
    <x v="2"/>
    <x v="2"/>
    <s v="GNR_HP_ELEC_COP-450"/>
    <x v="9"/>
    <n v="-1.6962420160000001E-3"/>
  </r>
  <r>
    <x v="0"/>
    <x v="0"/>
    <x v="0"/>
    <x v="0"/>
    <x v="0"/>
    <s v="DK1_Rural"/>
    <x v="6"/>
    <x v="2"/>
    <x v="2"/>
    <s v="GNR_HP_ELEC_COP-450"/>
    <x v="9"/>
    <n v="7.6330890719999997E-3"/>
  </r>
  <r>
    <x v="0"/>
    <x v="0"/>
    <x v="0"/>
    <x v="0"/>
    <x v="0"/>
    <s v="DK1_Rural"/>
    <x v="6"/>
    <x v="2"/>
    <x v="2"/>
    <s v="GNR_HP_ELEC_COP-460"/>
    <x v="9"/>
    <n v="-1.10624479304348E-2"/>
  </r>
  <r>
    <x v="0"/>
    <x v="0"/>
    <x v="0"/>
    <x v="0"/>
    <x v="0"/>
    <s v="DK1_Rural"/>
    <x v="6"/>
    <x v="2"/>
    <x v="2"/>
    <s v="GNR_HP_ELEC_COP-460"/>
    <x v="9"/>
    <n v="5.0887260480000002E-2"/>
  </r>
  <r>
    <x v="0"/>
    <x v="0"/>
    <x v="0"/>
    <x v="0"/>
    <x v="0"/>
    <s v="DK1_Rural"/>
    <x v="6"/>
    <x v="2"/>
    <x v="2"/>
    <s v="GNR_HP_ELEC_COP-470"/>
    <x v="9"/>
    <n v="-2.8571452397163099E-3"/>
  </r>
  <r>
    <x v="0"/>
    <x v="0"/>
    <x v="0"/>
    <x v="0"/>
    <x v="0"/>
    <s v="DK1_Rural"/>
    <x v="6"/>
    <x v="2"/>
    <x v="2"/>
    <s v="GNR_HP_ELEC_COP-470"/>
    <x v="9"/>
    <n v="1.3428582626666701E-2"/>
  </r>
  <r>
    <x v="0"/>
    <x v="0"/>
    <x v="0"/>
    <x v="0"/>
    <x v="0"/>
    <s v="DK1_Rural"/>
    <x v="6"/>
    <x v="2"/>
    <x v="2"/>
    <s v="GNR_HP_ELEC_COP-500"/>
    <x v="9"/>
    <n v="-1.7059905333333301E-3"/>
  </r>
  <r>
    <x v="0"/>
    <x v="0"/>
    <x v="0"/>
    <x v="0"/>
    <x v="0"/>
    <s v="DK1_Rural"/>
    <x v="6"/>
    <x v="2"/>
    <x v="2"/>
    <s v="GNR_HP_ELEC_COP-500"/>
    <x v="9"/>
    <n v="8.5299526666666597E-3"/>
  </r>
  <r>
    <x v="0"/>
    <x v="0"/>
    <x v="0"/>
    <x v="0"/>
    <x v="0"/>
    <s v="DK1_Rural"/>
    <x v="6"/>
    <x v="2"/>
    <x v="2"/>
    <s v="GNR_HP_ELEC_COP-530"/>
    <x v="9"/>
    <n v="-4.4696032301886797E-3"/>
  </r>
  <r>
    <x v="0"/>
    <x v="0"/>
    <x v="0"/>
    <x v="0"/>
    <x v="0"/>
    <s v="DK1_Rural"/>
    <x v="6"/>
    <x v="2"/>
    <x v="2"/>
    <s v="GNR_HP_ELEC_COP-530"/>
    <x v="9"/>
    <n v="2.368889712E-2"/>
  </r>
  <r>
    <x v="0"/>
    <x v="0"/>
    <x v="0"/>
    <x v="0"/>
    <x v="0"/>
    <s v="DK1_Rural"/>
    <x v="6"/>
    <x v="2"/>
    <x v="2"/>
    <s v="GNR_HP_ELEC_COP-600"/>
    <x v="9"/>
    <n v="-8.7736656000000001E-4"/>
  </r>
  <r>
    <x v="0"/>
    <x v="0"/>
    <x v="0"/>
    <x v="0"/>
    <x v="0"/>
    <s v="DK1_Rural"/>
    <x v="6"/>
    <x v="2"/>
    <x v="2"/>
    <s v="GNR_HP_ELEC_COP-600"/>
    <x v="9"/>
    <n v="5.2641993600000001E-3"/>
  </r>
  <r>
    <x v="0"/>
    <x v="0"/>
    <x v="0"/>
    <x v="0"/>
    <x v="0"/>
    <s v="DK1_Rural"/>
    <x v="6"/>
    <x v="2"/>
    <x v="2"/>
    <s v="GNR_HP_ELEC_GROUND-WTR_COP-380_LS-4-MW_Y-2030"/>
    <x v="9"/>
    <n v="-0.22599762245507601"/>
  </r>
  <r>
    <x v="0"/>
    <x v="0"/>
    <x v="0"/>
    <x v="0"/>
    <x v="0"/>
    <s v="DK1_Rural"/>
    <x v="6"/>
    <x v="2"/>
    <x v="2"/>
    <s v="GNR_HP_ELEC_GROUND-WTR_COP-380_LS-4-MW_Y-2030"/>
    <x v="9"/>
    <n v="0.858790965329288"/>
  </r>
  <r>
    <x v="0"/>
    <x v="0"/>
    <x v="0"/>
    <x v="0"/>
    <x v="0"/>
    <s v="DK1_Rural"/>
    <x v="11"/>
    <x v="3"/>
    <x v="10"/>
    <s v="GNR_HS_HEAT_WTR-TANK_LS_E-95_Y-2010"/>
    <x v="9"/>
    <n v="4.2763378853068597E-5"/>
  </r>
  <r>
    <x v="0"/>
    <x v="0"/>
    <x v="0"/>
    <x v="0"/>
    <x v="0"/>
    <s v="DK1_Rural"/>
    <x v="11"/>
    <x v="3"/>
    <x v="9"/>
    <s v="GNR_HS_HEAT_PIT_L-DEC_E-91_Y-2030"/>
    <x v="9"/>
    <n v="1.18040874232606E-4"/>
  </r>
  <r>
    <x v="0"/>
    <x v="0"/>
    <x v="0"/>
    <x v="0"/>
    <x v="0"/>
    <s v="DK1_Rural"/>
    <x v="3"/>
    <x v="1"/>
    <x v="1"/>
    <s v="GNR_ENG_NGAS_BP_E-37"/>
    <x v="9"/>
    <n v="7.5488618822400003E-2"/>
  </r>
  <r>
    <x v="0"/>
    <x v="0"/>
    <x v="0"/>
    <x v="0"/>
    <x v="0"/>
    <s v="DK1_Rural"/>
    <x v="3"/>
    <x v="1"/>
    <x v="1"/>
    <s v="GNR_ENG_NGAS_BP_E-37"/>
    <x v="9"/>
    <n v="8.3876243136000006E-2"/>
  </r>
  <r>
    <x v="0"/>
    <x v="0"/>
    <x v="0"/>
    <x v="0"/>
    <x v="0"/>
    <s v="DK1_Rural"/>
    <x v="3"/>
    <x v="1"/>
    <x v="1"/>
    <s v="GNR_ENG_NGAS_BP_E-38"/>
    <x v="9"/>
    <n v="3.5533345680000002E-2"/>
  </r>
  <r>
    <x v="0"/>
    <x v="0"/>
    <x v="0"/>
    <x v="0"/>
    <x v="0"/>
    <s v="DK1_Rural"/>
    <x v="3"/>
    <x v="1"/>
    <x v="1"/>
    <s v="GNR_ENG_NGAS_BP_E-38"/>
    <x v="9"/>
    <n v="3.9481495200000001E-2"/>
  </r>
  <r>
    <x v="0"/>
    <x v="0"/>
    <x v="0"/>
    <x v="0"/>
    <x v="0"/>
    <s v="DK1_Rural"/>
    <x v="3"/>
    <x v="1"/>
    <x v="1"/>
    <s v="GNR_ENG_NGAS_BP_E-39"/>
    <x v="9"/>
    <n v="2.8953096479999999E-2"/>
  </r>
  <r>
    <x v="0"/>
    <x v="0"/>
    <x v="0"/>
    <x v="0"/>
    <x v="0"/>
    <s v="DK1_Rural"/>
    <x v="3"/>
    <x v="1"/>
    <x v="1"/>
    <s v="GNR_ENG_NGAS_BP_E-39"/>
    <x v="9"/>
    <n v="3.2170107199999999E-2"/>
  </r>
  <r>
    <x v="0"/>
    <x v="0"/>
    <x v="0"/>
    <x v="0"/>
    <x v="0"/>
    <s v="DK1_Rural"/>
    <x v="3"/>
    <x v="1"/>
    <x v="1"/>
    <s v="GNR_ENG_NGAS_BP_E-40"/>
    <x v="9"/>
    <n v="7.2961803129600003E-2"/>
  </r>
  <r>
    <x v="0"/>
    <x v="0"/>
    <x v="0"/>
    <x v="0"/>
    <x v="0"/>
    <s v="DK1_Rural"/>
    <x v="3"/>
    <x v="1"/>
    <x v="1"/>
    <s v="GNR_ENG_NGAS_BP_E-40"/>
    <x v="9"/>
    <n v="8.1068670144000002E-2"/>
  </r>
  <r>
    <x v="0"/>
    <x v="0"/>
    <x v="0"/>
    <x v="0"/>
    <x v="0"/>
    <s v="DK1_Rural"/>
    <x v="3"/>
    <x v="1"/>
    <x v="1"/>
    <s v="GNR_ENG_NGAS_BP_E-41"/>
    <x v="9"/>
    <n v="0.24984216761582101"/>
  </r>
  <r>
    <x v="0"/>
    <x v="0"/>
    <x v="0"/>
    <x v="0"/>
    <x v="0"/>
    <s v="DK1_Rural"/>
    <x v="3"/>
    <x v="1"/>
    <x v="1"/>
    <s v="GNR_ENG_NGAS_BP_E-41"/>
    <x v="9"/>
    <n v="0.277602408462023"/>
  </r>
  <r>
    <x v="0"/>
    <x v="0"/>
    <x v="0"/>
    <x v="0"/>
    <x v="0"/>
    <s v="DK1_Rural"/>
    <x v="3"/>
    <x v="1"/>
    <x v="1"/>
    <s v="GNR_ENG_NGAS_BP_E-42"/>
    <x v="9"/>
    <n v="0.71386754681088005"/>
  </r>
  <r>
    <x v="0"/>
    <x v="0"/>
    <x v="0"/>
    <x v="0"/>
    <x v="0"/>
    <s v="DK1_Rural"/>
    <x v="3"/>
    <x v="1"/>
    <x v="1"/>
    <s v="GNR_ENG_NGAS_BP_E-42"/>
    <x v="9"/>
    <n v="0.793186163123201"/>
  </r>
  <r>
    <x v="0"/>
    <x v="0"/>
    <x v="0"/>
    <x v="0"/>
    <x v="0"/>
    <s v="DK1_Rural"/>
    <x v="3"/>
    <x v="1"/>
    <x v="1"/>
    <s v="GNR_ENG_NGAS_BP_E-43"/>
    <x v="9"/>
    <n v="0.43754972240447998"/>
  </r>
  <r>
    <x v="0"/>
    <x v="0"/>
    <x v="0"/>
    <x v="0"/>
    <x v="0"/>
    <s v="DK1_Rural"/>
    <x v="3"/>
    <x v="1"/>
    <x v="1"/>
    <s v="GNR_ENG_NGAS_BP_E-43"/>
    <x v="9"/>
    <n v="0.4861663582272"/>
  </r>
  <r>
    <x v="0"/>
    <x v="0"/>
    <x v="0"/>
    <x v="0"/>
    <x v="0"/>
    <s v="DK1_Rural"/>
    <x v="3"/>
    <x v="1"/>
    <x v="1"/>
    <s v="GNR_ENG_NGAS_BP_E-44"/>
    <x v="9"/>
    <n v="0.3983419655712"/>
  </r>
  <r>
    <x v="0"/>
    <x v="0"/>
    <x v="0"/>
    <x v="0"/>
    <x v="0"/>
    <s v="DK1_Rural"/>
    <x v="3"/>
    <x v="1"/>
    <x v="1"/>
    <s v="GNR_ENG_NGAS_BP_E-44"/>
    <x v="9"/>
    <n v="0.442602183968"/>
  </r>
  <r>
    <x v="0"/>
    <x v="0"/>
    <x v="0"/>
    <x v="0"/>
    <x v="0"/>
    <s v="DK1_Rural"/>
    <x v="3"/>
    <x v="1"/>
    <x v="1"/>
    <s v="GNR_ENG_NGAS_BP_E-45"/>
    <x v="9"/>
    <n v="0.161084500416"/>
  </r>
  <r>
    <x v="0"/>
    <x v="0"/>
    <x v="0"/>
    <x v="0"/>
    <x v="0"/>
    <s v="DK1_Rural"/>
    <x v="3"/>
    <x v="1"/>
    <x v="1"/>
    <s v="GNR_ENG_NGAS_BP_E-45"/>
    <x v="9"/>
    <n v="0.17898277824"/>
  </r>
  <r>
    <x v="0"/>
    <x v="0"/>
    <x v="0"/>
    <x v="0"/>
    <x v="0"/>
    <s v="DK1_Rural"/>
    <x v="3"/>
    <x v="1"/>
    <x v="1"/>
    <s v="GNR_ENG_NGAS_BP_E-46"/>
    <x v="9"/>
    <n v="5.7485057011199998E-2"/>
  </r>
  <r>
    <x v="0"/>
    <x v="0"/>
    <x v="0"/>
    <x v="0"/>
    <x v="0"/>
    <s v="DK1_Rural"/>
    <x v="3"/>
    <x v="1"/>
    <x v="1"/>
    <s v="GNR_ENG_NGAS_BP_E-46"/>
    <x v="9"/>
    <n v="6.3872285567999995E-2"/>
  </r>
  <r>
    <x v="0"/>
    <x v="0"/>
    <x v="0"/>
    <x v="0"/>
    <x v="0"/>
    <s v="DK1_Rural"/>
    <x v="3"/>
    <x v="7"/>
    <x v="11"/>
    <s v="GNR_BO_NGAS_E-101"/>
    <x v="9"/>
    <n v="1.08231400702618E-2"/>
  </r>
  <r>
    <x v="0"/>
    <x v="0"/>
    <x v="0"/>
    <x v="0"/>
    <x v="0"/>
    <s v="DK1_Rural"/>
    <x v="3"/>
    <x v="7"/>
    <x v="11"/>
    <s v="GNR_BO_NGAS_E-102"/>
    <x v="9"/>
    <n v="3.6486263249333301E-3"/>
  </r>
  <r>
    <x v="0"/>
    <x v="0"/>
    <x v="0"/>
    <x v="0"/>
    <x v="0"/>
    <s v="DK1_Rural"/>
    <x v="3"/>
    <x v="7"/>
    <x v="11"/>
    <s v="GNR_BO_NGAS_E-104"/>
    <x v="9"/>
    <n v="1.13131543653333E-3"/>
  </r>
  <r>
    <x v="0"/>
    <x v="0"/>
    <x v="0"/>
    <x v="0"/>
    <x v="0"/>
    <s v="DK1_Rural"/>
    <x v="3"/>
    <x v="7"/>
    <x v="11"/>
    <s v="GNR_BO_NGAS_E-105"/>
    <x v="9"/>
    <n v="1.8487441004995001E-2"/>
  </r>
  <r>
    <x v="0"/>
    <x v="0"/>
    <x v="0"/>
    <x v="0"/>
    <x v="0"/>
    <s v="DK1_Rural"/>
    <x v="4"/>
    <x v="7"/>
    <x v="11"/>
    <s v="GNR_BO_STRW_E-100"/>
    <x v="9"/>
    <n v="0.724934802720826"/>
  </r>
  <r>
    <x v="0"/>
    <x v="0"/>
    <x v="0"/>
    <x v="0"/>
    <x v="0"/>
    <s v="DK1_Rural"/>
    <x v="4"/>
    <x v="7"/>
    <x v="11"/>
    <s v="GNR_BO_STRW_E-102"/>
    <x v="9"/>
    <n v="0.23560028291854301"/>
  </r>
  <r>
    <x v="0"/>
    <x v="0"/>
    <x v="0"/>
    <x v="0"/>
    <x v="0"/>
    <s v="DK1_Rural"/>
    <x v="7"/>
    <x v="5"/>
    <x v="14"/>
    <s v="GNR_SH_SUN"/>
    <x v="9"/>
    <n v="0.20327221864832401"/>
  </r>
  <r>
    <x v="0"/>
    <x v="0"/>
    <x v="0"/>
    <x v="0"/>
    <x v="0"/>
    <s v="DK1_Rural"/>
    <x v="5"/>
    <x v="1"/>
    <x v="1"/>
    <s v="GNR_ST_WOODCHI_BP_E-17"/>
    <x v="9"/>
    <n v="4.16749116E-3"/>
  </r>
  <r>
    <x v="0"/>
    <x v="0"/>
    <x v="0"/>
    <x v="0"/>
    <x v="0"/>
    <s v="DK1_Rural"/>
    <x v="5"/>
    <x v="1"/>
    <x v="1"/>
    <s v="GNR_ST_WOODCHI_BP_E-17"/>
    <x v="9"/>
    <n v="1.22573269411765E-2"/>
  </r>
  <r>
    <x v="0"/>
    <x v="0"/>
    <x v="0"/>
    <x v="0"/>
    <x v="0"/>
    <s v="DK1_Rural"/>
    <x v="5"/>
    <x v="7"/>
    <x v="11"/>
    <s v="GNR_BO_WOODCHI_E-100"/>
    <x v="9"/>
    <n v="0.65695965059977901"/>
  </r>
  <r>
    <x v="0"/>
    <x v="0"/>
    <x v="0"/>
    <x v="0"/>
    <x v="0"/>
    <s v="DK1_Rural"/>
    <x v="5"/>
    <x v="7"/>
    <x v="11"/>
    <s v="GNR_BO_WOODCHI_E-105"/>
    <x v="9"/>
    <n v="2.1231358138631199E-2"/>
  </r>
  <r>
    <x v="0"/>
    <x v="0"/>
    <x v="0"/>
    <x v="0"/>
    <x v="0"/>
    <s v="DK1_Rural"/>
    <x v="5"/>
    <x v="7"/>
    <x v="11"/>
    <s v="GNR_BO_WOODCHI_E-106"/>
    <x v="9"/>
    <n v="1.38143997592054E-2"/>
  </r>
  <r>
    <x v="0"/>
    <x v="0"/>
    <x v="0"/>
    <x v="0"/>
    <x v="0"/>
    <s v="DK1_Rural"/>
    <x v="5"/>
    <x v="7"/>
    <x v="11"/>
    <s v="GNR_BO_WOODCHI_E-107"/>
    <x v="9"/>
    <n v="6.2807075453657296E-2"/>
  </r>
  <r>
    <x v="0"/>
    <x v="0"/>
    <x v="0"/>
    <x v="0"/>
    <x v="0"/>
    <s v="DK1_Rural"/>
    <x v="5"/>
    <x v="7"/>
    <x v="11"/>
    <s v="GNR_BO_WOODCHI_E-110"/>
    <x v="9"/>
    <n v="0.99336343450152897"/>
  </r>
  <r>
    <x v="0"/>
    <x v="0"/>
    <x v="0"/>
    <x v="0"/>
    <x v="0"/>
    <s v="DK1_Rural"/>
    <x v="5"/>
    <x v="7"/>
    <x v="11"/>
    <s v="GNR_BO_WOODCHI_E-112"/>
    <x v="9"/>
    <n v="0.20916819499540301"/>
  </r>
  <r>
    <x v="0"/>
    <x v="0"/>
    <x v="0"/>
    <x v="0"/>
    <x v="0"/>
    <s v="DK1_Rural"/>
    <x v="5"/>
    <x v="7"/>
    <x v="11"/>
    <s v="GNR_BO_WOODCHI_E-117"/>
    <x v="9"/>
    <n v="0.147204083094509"/>
  </r>
  <r>
    <x v="0"/>
    <x v="0"/>
    <x v="0"/>
    <x v="0"/>
    <x v="0"/>
    <s v="DK1_Rural"/>
    <x v="5"/>
    <x v="7"/>
    <x v="11"/>
    <s v="GNR_BO_WOODCHI_E-120"/>
    <x v="9"/>
    <n v="0.203821038130859"/>
  </r>
  <r>
    <x v="0"/>
    <x v="0"/>
    <x v="0"/>
    <x v="0"/>
    <x v="0"/>
    <s v="DK1_Rural"/>
    <x v="13"/>
    <x v="7"/>
    <x v="11"/>
    <s v="GNR_BO_WOODWST_E-100"/>
    <x v="9"/>
    <n v="0.19543513099016399"/>
  </r>
  <r>
    <x v="0"/>
    <x v="0"/>
    <x v="0"/>
    <x v="0"/>
    <x v="0"/>
    <s v="DK1_Rural"/>
    <x v="13"/>
    <x v="7"/>
    <x v="11"/>
    <s v="GNR_BO_WOODWST_E-113"/>
    <x v="9"/>
    <n v="3.59420930556624E-2"/>
  </r>
  <r>
    <x v="0"/>
    <x v="0"/>
    <x v="0"/>
    <x v="0"/>
    <x v="0"/>
    <s v="DK1_Rural"/>
    <x v="13"/>
    <x v="7"/>
    <x v="11"/>
    <s v="GNR_BO_WOODWST_E-86"/>
    <x v="9"/>
    <n v="1.0483110474568199E-2"/>
  </r>
  <r>
    <x v="0"/>
    <x v="0"/>
    <x v="0"/>
    <x v="0"/>
    <x v="0"/>
    <s v="DK1_Rural"/>
    <x v="13"/>
    <x v="7"/>
    <x v="11"/>
    <s v="GNR_BO_WOODWST_E-89"/>
    <x v="9"/>
    <n v="7.4879360532629996E-3"/>
  </r>
  <r>
    <x v="0"/>
    <x v="0"/>
    <x v="0"/>
    <x v="0"/>
    <x v="0"/>
    <s v="DK1_Rural"/>
    <x v="13"/>
    <x v="7"/>
    <x v="11"/>
    <s v="GNR_BO_WOODWST_E-90"/>
    <x v="9"/>
    <n v="6.7391424479366999E-3"/>
  </r>
  <r>
    <x v="0"/>
    <x v="0"/>
    <x v="0"/>
    <x v="0"/>
    <x v="0"/>
    <s v="DK1_Rural"/>
    <x v="13"/>
    <x v="7"/>
    <x v="11"/>
    <s v="GNR_BO_WOODWST_E-94"/>
    <x v="9"/>
    <n v="7.3639952389348597E-3"/>
  </r>
  <r>
    <x v="0"/>
    <x v="0"/>
    <x v="0"/>
    <x v="0"/>
    <x v="0"/>
    <s v="DK1_Small"/>
    <x v="11"/>
    <x v="3"/>
    <x v="10"/>
    <s v="GNR_HS_HEAT_WTR-TANK_LS_E-95_Y-2010"/>
    <x v="9"/>
    <n v="8.1594363122871105E-7"/>
  </r>
  <r>
    <x v="0"/>
    <x v="0"/>
    <x v="0"/>
    <x v="0"/>
    <x v="0"/>
    <s v="DK1_Small"/>
    <x v="3"/>
    <x v="1"/>
    <x v="1"/>
    <s v="GNR_ENG_NGAS_BP_E-38"/>
    <x v="9"/>
    <n v="1.33842268728E-2"/>
  </r>
  <r>
    <x v="0"/>
    <x v="0"/>
    <x v="0"/>
    <x v="0"/>
    <x v="0"/>
    <s v="DK1_Small"/>
    <x v="3"/>
    <x v="1"/>
    <x v="1"/>
    <s v="GNR_ENG_NGAS_BP_E-38"/>
    <x v="9"/>
    <n v="1.4871363192E-2"/>
  </r>
  <r>
    <x v="0"/>
    <x v="0"/>
    <x v="0"/>
    <x v="0"/>
    <x v="0"/>
    <s v="DK1_Small"/>
    <x v="3"/>
    <x v="7"/>
    <x v="11"/>
    <s v="GNR_BO_NGAS_E-101"/>
    <x v="9"/>
    <n v="2.19571399735945E-4"/>
  </r>
  <r>
    <x v="0"/>
    <x v="0"/>
    <x v="0"/>
    <x v="0"/>
    <x v="0"/>
    <s v="DK1_Small"/>
    <x v="4"/>
    <x v="7"/>
    <x v="11"/>
    <s v="GNR_BO_STRW_E-100"/>
    <x v="9"/>
    <n v="0.243837354641912"/>
  </r>
  <r>
    <x v="0"/>
    <x v="0"/>
    <x v="0"/>
    <x v="0"/>
    <x v="0"/>
    <s v="DK1_Small"/>
    <x v="5"/>
    <x v="7"/>
    <x v="11"/>
    <s v="GNR_BO_WOODCHI_E-100"/>
    <x v="9"/>
    <n v="9.4222121963566802E-2"/>
  </r>
  <r>
    <x v="0"/>
    <x v="0"/>
    <x v="0"/>
    <x v="0"/>
    <x v="0"/>
    <s v="DK1_Small"/>
    <x v="5"/>
    <x v="7"/>
    <x v="11"/>
    <s v="GNR_BO_WOODCHI_E-110"/>
    <x v="9"/>
    <n v="8.7076503918381301E-2"/>
  </r>
  <r>
    <x v="0"/>
    <x v="0"/>
    <x v="0"/>
    <x v="0"/>
    <x v="0"/>
    <s v="DK1_Small"/>
    <x v="13"/>
    <x v="7"/>
    <x v="11"/>
    <s v="GNR_BO_WOODWST_E-89"/>
    <x v="9"/>
    <n v="6.2129901412607599E-3"/>
  </r>
  <r>
    <x v="0"/>
    <x v="0"/>
    <x v="0"/>
    <x v="0"/>
    <x v="1"/>
    <s v="DK2_Large"/>
    <x v="1"/>
    <x v="1"/>
    <x v="1"/>
    <s v="GNR_ENG_BGAS_BP_E-42"/>
    <x v="9"/>
    <n v="1.7822239388799999E-2"/>
  </r>
  <r>
    <x v="0"/>
    <x v="0"/>
    <x v="0"/>
    <x v="0"/>
    <x v="1"/>
    <s v="DK2_Large"/>
    <x v="1"/>
    <x v="1"/>
    <x v="1"/>
    <s v="GNR_ENG_BGAS_BP_E-42"/>
    <x v="9"/>
    <n v="2.1734438279024399E-2"/>
  </r>
  <r>
    <x v="0"/>
    <x v="0"/>
    <x v="0"/>
    <x v="0"/>
    <x v="1"/>
    <s v="DK2_Large"/>
    <x v="10"/>
    <x v="1"/>
    <x v="8"/>
    <s v="GNR_ST_COAL_EXT_E-42"/>
    <x v="9"/>
    <n v="0.35647802453426902"/>
  </r>
  <r>
    <x v="0"/>
    <x v="0"/>
    <x v="0"/>
    <x v="0"/>
    <x v="1"/>
    <s v="DK2_Large"/>
    <x v="10"/>
    <x v="1"/>
    <x v="8"/>
    <s v="GNR_ST_COAL_EXT_E-42"/>
    <x v="9"/>
    <n v="1.7823901226713399"/>
  </r>
  <r>
    <x v="0"/>
    <x v="0"/>
    <x v="0"/>
    <x v="0"/>
    <x v="1"/>
    <s v="DK2_Large"/>
    <x v="6"/>
    <x v="2"/>
    <x v="2"/>
    <s v="GNR_HP_ELEC_COP-300"/>
    <x v="9"/>
    <n v="-4.4193278577777799E-4"/>
  </r>
  <r>
    <x v="0"/>
    <x v="0"/>
    <x v="0"/>
    <x v="0"/>
    <x v="1"/>
    <s v="DK2_Large"/>
    <x v="6"/>
    <x v="2"/>
    <x v="2"/>
    <s v="GNR_HP_ELEC_COP-300"/>
    <x v="9"/>
    <n v="1.32579835733333E-3"/>
  </r>
  <r>
    <x v="0"/>
    <x v="0"/>
    <x v="0"/>
    <x v="0"/>
    <x v="1"/>
    <s v="DK2_Large"/>
    <x v="11"/>
    <x v="3"/>
    <x v="10"/>
    <s v="GNR_HS_HEAT_WTR-TANK_LS_E-95_Y-2010"/>
    <x v="9"/>
    <n v="1.37344598320382E-4"/>
  </r>
  <r>
    <x v="0"/>
    <x v="0"/>
    <x v="0"/>
    <x v="0"/>
    <x v="1"/>
    <s v="DK2_Large"/>
    <x v="11"/>
    <x v="3"/>
    <x v="9"/>
    <s v="GNR_HS_HEAT_PIT_L-CEN_E-90_Y-2030"/>
    <x v="9"/>
    <n v="4.1162750827147701E-4"/>
  </r>
  <r>
    <x v="0"/>
    <x v="0"/>
    <x v="0"/>
    <x v="0"/>
    <x v="1"/>
    <s v="DK2_Large"/>
    <x v="2"/>
    <x v="1"/>
    <x v="1"/>
    <s v="GNR_ST_MSW_BP_E-24_LS-220-MW-FEED_Y-2030"/>
    <x v="9"/>
    <n v="27.342965886515898"/>
  </r>
  <r>
    <x v="0"/>
    <x v="0"/>
    <x v="0"/>
    <x v="0"/>
    <x v="1"/>
    <s v="DK2_Large"/>
    <x v="2"/>
    <x v="1"/>
    <x v="1"/>
    <s v="GNR_ST_MSW_BP_E-24_LS-220-MW-FEED_Y-2030"/>
    <x v="9"/>
    <n v="91.143219621719595"/>
  </r>
  <r>
    <x v="0"/>
    <x v="0"/>
    <x v="0"/>
    <x v="0"/>
    <x v="1"/>
    <s v="DK2_Large"/>
    <x v="2"/>
    <x v="1"/>
    <x v="1"/>
    <s v="GNR_ST_MSW_BP_E-27"/>
    <x v="9"/>
    <n v="4.221185993472"/>
  </r>
  <r>
    <x v="0"/>
    <x v="0"/>
    <x v="0"/>
    <x v="0"/>
    <x v="1"/>
    <s v="DK2_Large"/>
    <x v="2"/>
    <x v="1"/>
    <x v="1"/>
    <s v="GNR_ST_MSW_BP_E-27"/>
    <x v="9"/>
    <n v="14.2723014662465"/>
  </r>
  <r>
    <x v="0"/>
    <x v="0"/>
    <x v="0"/>
    <x v="0"/>
    <x v="1"/>
    <s v="DK2_Large"/>
    <x v="3"/>
    <x v="1"/>
    <x v="1"/>
    <s v="GNR_GT_NGAS_BP_E-43_LS-40-MW_Y-2030"/>
    <x v="9"/>
    <n v="3.0706293934338902"/>
  </r>
  <r>
    <x v="0"/>
    <x v="0"/>
    <x v="0"/>
    <x v="0"/>
    <x v="1"/>
    <s v="DK2_Large"/>
    <x v="3"/>
    <x v="1"/>
    <x v="1"/>
    <s v="GNR_GT_NGAS_BP_E-43_LS-40-MW_Y-2030"/>
    <x v="9"/>
    <n v="3.2322414667725101"/>
  </r>
  <r>
    <x v="0"/>
    <x v="0"/>
    <x v="0"/>
    <x v="0"/>
    <x v="1"/>
    <s v="DK2_Large"/>
    <x v="4"/>
    <x v="1"/>
    <x v="8"/>
    <s v="GNR_ST_COAL_EXT_E-42-Straw"/>
    <x v="9"/>
    <n v="0.25589857999999999"/>
  </r>
  <r>
    <x v="0"/>
    <x v="0"/>
    <x v="0"/>
    <x v="0"/>
    <x v="1"/>
    <s v="DK2_Large"/>
    <x v="4"/>
    <x v="1"/>
    <x v="8"/>
    <s v="GNR_ST_COAL_EXT_E-42-Straw"/>
    <x v="9"/>
    <n v="1.2794928999999999"/>
  </r>
  <r>
    <x v="0"/>
    <x v="0"/>
    <x v="0"/>
    <x v="0"/>
    <x v="1"/>
    <s v="DK2_Large"/>
    <x v="13"/>
    <x v="7"/>
    <x v="11"/>
    <s v="GNR_BO_WOODWST_E-90"/>
    <x v="9"/>
    <n v="1.6623218038243901E-3"/>
  </r>
  <r>
    <x v="0"/>
    <x v="0"/>
    <x v="0"/>
    <x v="0"/>
    <x v="1"/>
    <s v="DK2_Large_PHH"/>
    <x v="6"/>
    <x v="2"/>
    <x v="2"/>
    <s v="GNR_BO_ELEC_E-99_LS-10-MW-FEED_PHH_Y-2030"/>
    <x v="9"/>
    <n v="-2.7057723937896998E-2"/>
  </r>
  <r>
    <x v="0"/>
    <x v="0"/>
    <x v="0"/>
    <x v="0"/>
    <x v="1"/>
    <s v="DK2_Large_PHH"/>
    <x v="6"/>
    <x v="2"/>
    <x v="2"/>
    <s v="GNR_BO_ELEC_E-99_LS-10-MW-FEED_PHH_Y-2030"/>
    <x v="9"/>
    <n v="2.6787146698518002E-2"/>
  </r>
  <r>
    <x v="0"/>
    <x v="0"/>
    <x v="0"/>
    <x v="0"/>
    <x v="1"/>
    <s v="DK2_Large_PHH"/>
    <x v="3"/>
    <x v="7"/>
    <x v="11"/>
    <s v="GNR_BO_NGAS_E-70_PHH"/>
    <x v="9"/>
    <n v="0.29925691163880003"/>
  </r>
  <r>
    <x v="0"/>
    <x v="0"/>
    <x v="0"/>
    <x v="0"/>
    <x v="1"/>
    <s v="DK2_Large_PHL"/>
    <x v="3"/>
    <x v="7"/>
    <x v="11"/>
    <s v="GNR_BO_NGAS_E-82_PHL"/>
    <x v="9"/>
    <n v="1.8063063799788801"/>
  </r>
  <r>
    <x v="0"/>
    <x v="0"/>
    <x v="0"/>
    <x v="0"/>
    <x v="1"/>
    <s v="DK2_MedSmall"/>
    <x v="1"/>
    <x v="1"/>
    <x v="1"/>
    <s v="GNR_ENG_BGAS_BP_E-38"/>
    <x v="9"/>
    <n v="1.4622776000000001E-3"/>
  </r>
  <r>
    <x v="0"/>
    <x v="0"/>
    <x v="0"/>
    <x v="0"/>
    <x v="1"/>
    <s v="DK2_MedSmall"/>
    <x v="1"/>
    <x v="1"/>
    <x v="1"/>
    <s v="GNR_ENG_BGAS_BP_E-38"/>
    <x v="9"/>
    <n v="1.7832653658536601E-3"/>
  </r>
  <r>
    <x v="0"/>
    <x v="0"/>
    <x v="0"/>
    <x v="0"/>
    <x v="1"/>
    <s v="DK2_MedSmall"/>
    <x v="11"/>
    <x v="3"/>
    <x v="10"/>
    <s v="GNR_HS_HEAT_WTR-TANK_LS_E-95_Y-2010"/>
    <x v="9"/>
    <n v="1.97040345401181E-5"/>
  </r>
  <r>
    <x v="0"/>
    <x v="0"/>
    <x v="0"/>
    <x v="0"/>
    <x v="1"/>
    <s v="DK2_MedSmall"/>
    <x v="11"/>
    <x v="3"/>
    <x v="9"/>
    <s v="GNR_HS_HEAT_PIT_L-DEC_E-91_Y-2030"/>
    <x v="9"/>
    <n v="2.8481839944402799E-5"/>
  </r>
  <r>
    <x v="0"/>
    <x v="0"/>
    <x v="0"/>
    <x v="0"/>
    <x v="1"/>
    <s v="DK2_MedSmall"/>
    <x v="3"/>
    <x v="1"/>
    <x v="1"/>
    <s v="GNR_ENG_NGAS_BP_E-48_Y-2030"/>
    <x v="9"/>
    <n v="2.7807648639047402"/>
  </r>
  <r>
    <x v="0"/>
    <x v="0"/>
    <x v="0"/>
    <x v="0"/>
    <x v="1"/>
    <s v="DK2_MedSmall"/>
    <x v="3"/>
    <x v="1"/>
    <x v="1"/>
    <s v="GNR_ENG_NGAS_BP_E-48_Y-2030"/>
    <x v="9"/>
    <n v="2.8088533978835701"/>
  </r>
  <r>
    <x v="0"/>
    <x v="0"/>
    <x v="0"/>
    <x v="0"/>
    <x v="1"/>
    <s v="DK2_MedSmall"/>
    <x v="7"/>
    <x v="5"/>
    <x v="14"/>
    <s v="GNR_SH_SUN"/>
    <x v="9"/>
    <n v="6.0200266139999997E-3"/>
  </r>
  <r>
    <x v="0"/>
    <x v="0"/>
    <x v="0"/>
    <x v="0"/>
    <x v="1"/>
    <s v="DK2_MedSmall"/>
    <x v="5"/>
    <x v="7"/>
    <x v="11"/>
    <s v="GNR_BO_WOODCHI_E-118"/>
    <x v="9"/>
    <n v="1.6630535487994401E-4"/>
  </r>
  <r>
    <x v="0"/>
    <x v="0"/>
    <x v="0"/>
    <x v="0"/>
    <x v="1"/>
    <s v="DK2_Medium"/>
    <x v="11"/>
    <x v="3"/>
    <x v="10"/>
    <s v="GNR_HS_HEAT_WTR-TANK_LS_E-95_Y-2010"/>
    <x v="9"/>
    <n v="5.90596963764641E-5"/>
  </r>
  <r>
    <x v="0"/>
    <x v="0"/>
    <x v="0"/>
    <x v="0"/>
    <x v="1"/>
    <s v="DK2_Medium"/>
    <x v="11"/>
    <x v="3"/>
    <x v="9"/>
    <s v="GNR_HS_HEAT_PIT_L-DEC_E-91_Y-2030"/>
    <x v="9"/>
    <n v="5.2963245665011501E-5"/>
  </r>
  <r>
    <x v="0"/>
    <x v="0"/>
    <x v="0"/>
    <x v="0"/>
    <x v="1"/>
    <s v="DK2_Medium"/>
    <x v="2"/>
    <x v="1"/>
    <x v="1"/>
    <s v="GNR_ST_MSW_BP_E-23"/>
    <x v="9"/>
    <n v="1.7406952550399999"/>
  </r>
  <r>
    <x v="0"/>
    <x v="0"/>
    <x v="0"/>
    <x v="0"/>
    <x v="1"/>
    <s v="DK2_Medium"/>
    <x v="2"/>
    <x v="1"/>
    <x v="1"/>
    <s v="GNR_ST_MSW_BP_E-23"/>
    <x v="9"/>
    <n v="5.8854851407202"/>
  </r>
  <r>
    <x v="0"/>
    <x v="0"/>
    <x v="0"/>
    <x v="0"/>
    <x v="1"/>
    <s v="DK2_Medium"/>
    <x v="3"/>
    <x v="1"/>
    <x v="1"/>
    <s v="GNR_ENG_NGAS_BP_E-35"/>
    <x v="9"/>
    <n v="7.6594100687999997E-3"/>
  </r>
  <r>
    <x v="0"/>
    <x v="0"/>
    <x v="0"/>
    <x v="0"/>
    <x v="1"/>
    <s v="DK2_Medium"/>
    <x v="3"/>
    <x v="1"/>
    <x v="1"/>
    <s v="GNR_ENG_NGAS_BP_E-35"/>
    <x v="9"/>
    <n v="8.5104556319999993E-3"/>
  </r>
  <r>
    <x v="0"/>
    <x v="0"/>
    <x v="0"/>
    <x v="0"/>
    <x v="1"/>
    <s v="DK2_Medium"/>
    <x v="3"/>
    <x v="1"/>
    <x v="1"/>
    <s v="GNR_ENG_NGAS_BP_E-42"/>
    <x v="9"/>
    <n v="1.8424697760000001E-2"/>
  </r>
  <r>
    <x v="0"/>
    <x v="0"/>
    <x v="0"/>
    <x v="0"/>
    <x v="1"/>
    <s v="DK2_Medium"/>
    <x v="3"/>
    <x v="1"/>
    <x v="1"/>
    <s v="GNR_ENG_NGAS_BP_E-42"/>
    <x v="9"/>
    <n v="2.04718864E-2"/>
  </r>
  <r>
    <x v="0"/>
    <x v="0"/>
    <x v="0"/>
    <x v="0"/>
    <x v="1"/>
    <s v="DK2_Medium"/>
    <x v="3"/>
    <x v="1"/>
    <x v="1"/>
    <s v="GNR_ENG_NGAS_BP_E-48_Y-2030"/>
    <x v="9"/>
    <n v="5.7819487596326304"/>
  </r>
  <r>
    <x v="0"/>
    <x v="0"/>
    <x v="0"/>
    <x v="0"/>
    <x v="1"/>
    <s v="DK2_Medium"/>
    <x v="3"/>
    <x v="1"/>
    <x v="1"/>
    <s v="GNR_ENG_NGAS_BP_E-48_Y-2030"/>
    <x v="9"/>
    <n v="5.8403522824572001"/>
  </r>
  <r>
    <x v="0"/>
    <x v="0"/>
    <x v="0"/>
    <x v="0"/>
    <x v="1"/>
    <s v="DK2_Medium"/>
    <x v="7"/>
    <x v="5"/>
    <x v="14"/>
    <s v="GNR_SH_SUN"/>
    <x v="9"/>
    <n v="7.3444324690800002E-3"/>
  </r>
  <r>
    <x v="0"/>
    <x v="0"/>
    <x v="0"/>
    <x v="0"/>
    <x v="1"/>
    <s v="DK2_Medium"/>
    <x v="5"/>
    <x v="1"/>
    <x v="1"/>
    <s v="GNR_ST_WOODCHI_BP_E-27"/>
    <x v="9"/>
    <n v="8.5572485152000007E-3"/>
  </r>
  <r>
    <x v="0"/>
    <x v="0"/>
    <x v="0"/>
    <x v="0"/>
    <x v="1"/>
    <s v="DK2_Medium"/>
    <x v="5"/>
    <x v="1"/>
    <x v="1"/>
    <s v="GNR_ST_WOODCHI_BP_E-27"/>
    <x v="9"/>
    <n v="2.5168377985882399E-2"/>
  </r>
  <r>
    <x v="0"/>
    <x v="0"/>
    <x v="0"/>
    <x v="0"/>
    <x v="1"/>
    <s v="DK2_NoDH"/>
    <x v="9"/>
    <x v="5"/>
    <x v="7"/>
    <s v="GNR_WT_WIND_ONS"/>
    <x v="9"/>
    <n v="2.3293749421724201"/>
  </r>
  <r>
    <x v="0"/>
    <x v="0"/>
    <x v="0"/>
    <x v="0"/>
    <x v="1"/>
    <s v="DK2_NoDH_PHH"/>
    <x v="6"/>
    <x v="2"/>
    <x v="2"/>
    <s v="GNR_BO_ELEC_E-99_LS-10-MW-FEED_PHH_Y-2030"/>
    <x v="9"/>
    <n v="-2.0752562291050498E-2"/>
  </r>
  <r>
    <x v="0"/>
    <x v="0"/>
    <x v="0"/>
    <x v="0"/>
    <x v="1"/>
    <s v="DK2_NoDH_PHH"/>
    <x v="6"/>
    <x v="2"/>
    <x v="2"/>
    <s v="GNR_BO_ELEC_E-99_LS-10-MW-FEED_PHH_Y-2030"/>
    <x v="9"/>
    <n v="2.0545036668140001E-2"/>
  </r>
  <r>
    <x v="0"/>
    <x v="0"/>
    <x v="0"/>
    <x v="0"/>
    <x v="1"/>
    <s v="DK2_NoDH_PHH"/>
    <x v="3"/>
    <x v="7"/>
    <x v="11"/>
    <s v="GNR_BO_NGAS_E-70_PHH"/>
    <x v="9"/>
    <n v="3.4404223826793299E-3"/>
  </r>
  <r>
    <x v="0"/>
    <x v="0"/>
    <x v="0"/>
    <x v="0"/>
    <x v="1"/>
    <s v="DK2_NoDH_PHL"/>
    <x v="3"/>
    <x v="7"/>
    <x v="11"/>
    <s v="GNR_BO_NGAS_E-82_PHL"/>
    <x v="9"/>
    <n v="2.4346663304246001"/>
  </r>
  <r>
    <x v="0"/>
    <x v="0"/>
    <x v="0"/>
    <x v="0"/>
    <x v="1"/>
    <s v="DK2_Offshore"/>
    <x v="9"/>
    <x v="5"/>
    <x v="7"/>
    <s v="GNR_WT_WIND_OFF"/>
    <x v="9"/>
    <n v="15.807098355914"/>
  </r>
  <r>
    <x v="0"/>
    <x v="0"/>
    <x v="0"/>
    <x v="0"/>
    <x v="1"/>
    <s v="DK2_Rural"/>
    <x v="1"/>
    <x v="1"/>
    <x v="1"/>
    <s v="GNR_ENG_BGAS_BP_E-40"/>
    <x v="9"/>
    <n v="7.2333998613333299E-3"/>
  </r>
  <r>
    <x v="0"/>
    <x v="0"/>
    <x v="0"/>
    <x v="0"/>
    <x v="1"/>
    <s v="DK2_Rural"/>
    <x v="1"/>
    <x v="1"/>
    <x v="1"/>
    <s v="GNR_ENG_BGAS_BP_E-40"/>
    <x v="9"/>
    <n v="8.8212193430894301E-3"/>
  </r>
  <r>
    <x v="0"/>
    <x v="0"/>
    <x v="0"/>
    <x v="0"/>
    <x v="1"/>
    <s v="DK2_Rural"/>
    <x v="1"/>
    <x v="1"/>
    <x v="1"/>
    <s v="GNR_ENG_BGAS_BP_E-41"/>
    <x v="9"/>
    <n v="2.7295848533333299E-2"/>
  </r>
  <r>
    <x v="0"/>
    <x v="0"/>
    <x v="0"/>
    <x v="0"/>
    <x v="1"/>
    <s v="DK2_Rural"/>
    <x v="1"/>
    <x v="1"/>
    <x v="1"/>
    <s v="GNR_ENG_BGAS_BP_E-41"/>
    <x v="9"/>
    <n v="3.3287620162601603E-2"/>
  </r>
  <r>
    <x v="0"/>
    <x v="0"/>
    <x v="0"/>
    <x v="0"/>
    <x v="1"/>
    <s v="DK2_Rural"/>
    <x v="1"/>
    <x v="1"/>
    <x v="1"/>
    <s v="GNR_ENG_BGAS_BP_E-42"/>
    <x v="9"/>
    <n v="7.8257197745066703E-2"/>
  </r>
  <r>
    <x v="0"/>
    <x v="0"/>
    <x v="0"/>
    <x v="0"/>
    <x v="1"/>
    <s v="DK2_Rural"/>
    <x v="1"/>
    <x v="1"/>
    <x v="1"/>
    <s v="GNR_ENG_BGAS_BP_E-42"/>
    <x v="9"/>
    <n v="9.5435607006178896E-2"/>
  </r>
  <r>
    <x v="0"/>
    <x v="0"/>
    <x v="0"/>
    <x v="0"/>
    <x v="1"/>
    <s v="DK2_Rural"/>
    <x v="10"/>
    <x v="1"/>
    <x v="1"/>
    <s v="GNR_ST_COAL_BP_E-35"/>
    <x v="9"/>
    <n v="0.51562289172980802"/>
  </r>
  <r>
    <x v="0"/>
    <x v="0"/>
    <x v="0"/>
    <x v="0"/>
    <x v="1"/>
    <s v="DK2_Rural"/>
    <x v="10"/>
    <x v="1"/>
    <x v="1"/>
    <s v="GNR_ST_COAL_BP_E-35"/>
    <x v="9"/>
    <n v="0.68749718897307699"/>
  </r>
  <r>
    <x v="0"/>
    <x v="0"/>
    <x v="0"/>
    <x v="0"/>
    <x v="1"/>
    <s v="DK2_Rural"/>
    <x v="6"/>
    <x v="2"/>
    <x v="2"/>
    <s v="GNR_HP_ELEC_COP-400"/>
    <x v="9"/>
    <n v="-2.8270700266666698E-3"/>
  </r>
  <r>
    <x v="0"/>
    <x v="0"/>
    <x v="0"/>
    <x v="0"/>
    <x v="1"/>
    <s v="DK2_Rural"/>
    <x v="6"/>
    <x v="2"/>
    <x v="2"/>
    <s v="GNR_HP_ELEC_COP-400"/>
    <x v="9"/>
    <n v="1.13082801066667E-2"/>
  </r>
  <r>
    <x v="0"/>
    <x v="0"/>
    <x v="0"/>
    <x v="0"/>
    <x v="1"/>
    <s v="DK2_Rural"/>
    <x v="11"/>
    <x v="3"/>
    <x v="10"/>
    <s v="GNR_HS_HEAT_WTR-TANK_LS_E-95_Y-2010"/>
    <x v="9"/>
    <n v="1.9747633286132199E-5"/>
  </r>
  <r>
    <x v="0"/>
    <x v="0"/>
    <x v="0"/>
    <x v="0"/>
    <x v="1"/>
    <s v="DK2_Rural"/>
    <x v="11"/>
    <x v="3"/>
    <x v="9"/>
    <s v="GNR_HS_HEAT_PIT_L-DEC_E-91_Y-2030"/>
    <x v="9"/>
    <n v="4.2098530943621001E-5"/>
  </r>
  <r>
    <x v="0"/>
    <x v="0"/>
    <x v="0"/>
    <x v="0"/>
    <x v="1"/>
    <s v="DK2_Rural"/>
    <x v="3"/>
    <x v="1"/>
    <x v="1"/>
    <s v="GNR_CC_NGAS_BP_E-53_SS-10-MW_Y-2030"/>
    <x v="9"/>
    <n v="1.1103805878642301"/>
  </r>
  <r>
    <x v="0"/>
    <x v="0"/>
    <x v="0"/>
    <x v="0"/>
    <x v="1"/>
    <s v="DK2_Rural"/>
    <x v="3"/>
    <x v="1"/>
    <x v="1"/>
    <s v="GNR_CC_NGAS_BP_E-53_SS-10-MW_Y-2030"/>
    <x v="9"/>
    <n v="1.55453282300992"/>
  </r>
  <r>
    <x v="0"/>
    <x v="0"/>
    <x v="0"/>
    <x v="0"/>
    <x v="1"/>
    <s v="DK2_Rural"/>
    <x v="3"/>
    <x v="1"/>
    <x v="1"/>
    <s v="GNR_ENG_NGAS_BP_E-36"/>
    <x v="9"/>
    <n v="2.6255194308E-3"/>
  </r>
  <r>
    <x v="0"/>
    <x v="0"/>
    <x v="0"/>
    <x v="0"/>
    <x v="1"/>
    <s v="DK2_Rural"/>
    <x v="3"/>
    <x v="1"/>
    <x v="1"/>
    <s v="GNR_ENG_NGAS_BP_E-36"/>
    <x v="9"/>
    <n v="2.9172438120000001E-3"/>
  </r>
  <r>
    <x v="0"/>
    <x v="0"/>
    <x v="0"/>
    <x v="0"/>
    <x v="1"/>
    <s v="DK2_Rural"/>
    <x v="3"/>
    <x v="1"/>
    <x v="1"/>
    <s v="GNR_ENG_NGAS_BP_E-38"/>
    <x v="9"/>
    <n v="4.5601126956000002E-3"/>
  </r>
  <r>
    <x v="0"/>
    <x v="0"/>
    <x v="0"/>
    <x v="0"/>
    <x v="1"/>
    <s v="DK2_Rural"/>
    <x v="3"/>
    <x v="1"/>
    <x v="1"/>
    <s v="GNR_ENG_NGAS_BP_E-38"/>
    <x v="9"/>
    <n v="5.0667918840000001E-3"/>
  </r>
  <r>
    <x v="0"/>
    <x v="0"/>
    <x v="0"/>
    <x v="0"/>
    <x v="1"/>
    <s v="DK2_Rural"/>
    <x v="3"/>
    <x v="1"/>
    <x v="1"/>
    <s v="GNR_ENG_NGAS_BP_E-40"/>
    <x v="9"/>
    <n v="0.13423708368000001"/>
  </r>
  <r>
    <x v="0"/>
    <x v="0"/>
    <x v="0"/>
    <x v="0"/>
    <x v="1"/>
    <s v="DK2_Rural"/>
    <x v="3"/>
    <x v="1"/>
    <x v="1"/>
    <s v="GNR_ENG_NGAS_BP_E-40"/>
    <x v="9"/>
    <n v="0.1491523152"/>
  </r>
  <r>
    <x v="0"/>
    <x v="0"/>
    <x v="0"/>
    <x v="0"/>
    <x v="1"/>
    <s v="DK2_Rural"/>
    <x v="3"/>
    <x v="1"/>
    <x v="1"/>
    <s v="GNR_ENG_NGAS_BP_E-45"/>
    <x v="9"/>
    <n v="1.5134573159999999E-2"/>
  </r>
  <r>
    <x v="0"/>
    <x v="0"/>
    <x v="0"/>
    <x v="0"/>
    <x v="1"/>
    <s v="DK2_Rural"/>
    <x v="3"/>
    <x v="1"/>
    <x v="1"/>
    <s v="GNR_ENG_NGAS_BP_E-45"/>
    <x v="9"/>
    <n v="1.6816192399999999E-2"/>
  </r>
  <r>
    <x v="0"/>
    <x v="0"/>
    <x v="0"/>
    <x v="0"/>
    <x v="1"/>
    <s v="DK2_Rural"/>
    <x v="3"/>
    <x v="7"/>
    <x v="11"/>
    <s v="GNR_BO_NGAS_E-100"/>
    <x v="9"/>
    <n v="8.71273736666667E-4"/>
  </r>
  <r>
    <x v="0"/>
    <x v="0"/>
    <x v="0"/>
    <x v="0"/>
    <x v="1"/>
    <s v="DK2_Rural"/>
    <x v="3"/>
    <x v="7"/>
    <x v="11"/>
    <s v="GNR_BO_NGAS_E-101"/>
    <x v="9"/>
    <n v="6.9701898933333399E-4"/>
  </r>
  <r>
    <x v="0"/>
    <x v="0"/>
    <x v="0"/>
    <x v="0"/>
    <x v="1"/>
    <s v="DK2_Rural"/>
    <x v="4"/>
    <x v="7"/>
    <x v="11"/>
    <s v="GNR_BO_STRW_E-100"/>
    <x v="9"/>
    <n v="0.33027430101520799"/>
  </r>
  <r>
    <x v="0"/>
    <x v="0"/>
    <x v="0"/>
    <x v="0"/>
    <x v="1"/>
    <s v="DK2_Rural"/>
    <x v="4"/>
    <x v="7"/>
    <x v="11"/>
    <s v="GNR_BO_STRW_E-102"/>
    <x v="9"/>
    <n v="0.361976492325919"/>
  </r>
  <r>
    <x v="0"/>
    <x v="0"/>
    <x v="0"/>
    <x v="0"/>
    <x v="1"/>
    <s v="DK2_Rural"/>
    <x v="7"/>
    <x v="5"/>
    <x v="14"/>
    <s v="GNR_SH_SUN"/>
    <x v="9"/>
    <n v="3.2488076960219998E-2"/>
  </r>
  <r>
    <x v="0"/>
    <x v="0"/>
    <x v="0"/>
    <x v="0"/>
    <x v="1"/>
    <s v="DK2_Rural"/>
    <x v="5"/>
    <x v="7"/>
    <x v="11"/>
    <s v="GNR_BO_WOODCHI_E-100"/>
    <x v="9"/>
    <n v="7.5778475880130494E-2"/>
  </r>
  <r>
    <x v="0"/>
    <x v="0"/>
    <x v="0"/>
    <x v="0"/>
    <x v="1"/>
    <s v="DK2_Rural"/>
    <x v="5"/>
    <x v="7"/>
    <x v="11"/>
    <s v="GNR_BO_WOODCHI_E-110"/>
    <x v="9"/>
    <n v="0.222761336992536"/>
  </r>
  <r>
    <x v="0"/>
    <x v="0"/>
    <x v="0"/>
    <x v="0"/>
    <x v="1"/>
    <s v="DK2_Small"/>
    <x v="11"/>
    <x v="3"/>
    <x v="10"/>
    <s v="GNR_HS_HEAT_WTR-TANK_LS_E-95_Y-2010"/>
    <x v="9"/>
    <n v="2.7061770904168001E-6"/>
  </r>
  <r>
    <x v="0"/>
    <x v="0"/>
    <x v="0"/>
    <x v="0"/>
    <x v="1"/>
    <s v="DK2_Small"/>
    <x v="11"/>
    <x v="3"/>
    <x v="9"/>
    <s v="GNR_HS_HEAT_PIT_L-DEC_E-91_Y-2030"/>
    <x v="9"/>
    <n v="4.09264867577858E-6"/>
  </r>
  <r>
    <x v="0"/>
    <x v="0"/>
    <x v="0"/>
    <x v="0"/>
    <x v="1"/>
    <s v="DK2_Small"/>
    <x v="3"/>
    <x v="1"/>
    <x v="1"/>
    <s v="GNR_CC_NGAS_BP_E-53_SS-10-MW_Y-2030"/>
    <x v="9"/>
    <n v="0.36107470559485599"/>
  </r>
  <r>
    <x v="0"/>
    <x v="0"/>
    <x v="0"/>
    <x v="0"/>
    <x v="1"/>
    <s v="DK2_Small"/>
    <x v="3"/>
    <x v="1"/>
    <x v="1"/>
    <s v="GNR_CC_NGAS_BP_E-53_SS-10-MW_Y-2030"/>
    <x v="9"/>
    <n v="0.50550458783279795"/>
  </r>
  <r>
    <x v="0"/>
    <x v="0"/>
    <x v="0"/>
    <x v="0"/>
    <x v="1"/>
    <s v="DK2_Small"/>
    <x v="3"/>
    <x v="7"/>
    <x v="11"/>
    <s v="GNR_BO_NGAS_E-104"/>
    <x v="9"/>
    <n v="1.2937807476117399E-3"/>
  </r>
  <r>
    <x v="0"/>
    <x v="0"/>
    <x v="0"/>
    <x v="0"/>
    <x v="1"/>
    <s v="DK2_Small"/>
    <x v="4"/>
    <x v="7"/>
    <x v="11"/>
    <s v="GNR_BO_STRW_E-100"/>
    <x v="9"/>
    <n v="4.7246898441714098E-2"/>
  </r>
  <r>
    <x v="0"/>
    <x v="0"/>
    <x v="0"/>
    <x v="0"/>
    <x v="0"/>
    <m/>
    <x v="0"/>
    <x v="0"/>
    <x v="0"/>
    <m/>
    <x v="10"/>
    <n v="5.7948306960063497E-6"/>
  </r>
  <r>
    <x v="0"/>
    <x v="0"/>
    <x v="0"/>
    <x v="0"/>
    <x v="0"/>
    <m/>
    <x v="0"/>
    <x v="0"/>
    <x v="0"/>
    <m/>
    <x v="10"/>
    <n v="4.7644703068901302E-5"/>
  </r>
  <r>
    <x v="0"/>
    <x v="0"/>
    <x v="0"/>
    <x v="0"/>
    <x v="1"/>
    <m/>
    <x v="0"/>
    <x v="0"/>
    <x v="0"/>
    <m/>
    <x v="10"/>
    <n v="5.7948306960063497E-6"/>
  </r>
  <r>
    <x v="0"/>
    <x v="0"/>
    <x v="0"/>
    <x v="0"/>
    <x v="1"/>
    <m/>
    <x v="0"/>
    <x v="0"/>
    <x v="0"/>
    <m/>
    <x v="10"/>
    <n v="4.7644703068901302E-5"/>
  </r>
  <r>
    <x v="0"/>
    <x v="0"/>
    <x v="0"/>
    <x v="0"/>
    <x v="0"/>
    <s v="DK1_Large"/>
    <x v="1"/>
    <x v="1"/>
    <x v="1"/>
    <s v="GNR_ENG_BGAS_BP_E-36"/>
    <x v="11"/>
    <n v="2.6640989010989001E-3"/>
  </r>
  <r>
    <x v="0"/>
    <x v="0"/>
    <x v="0"/>
    <x v="0"/>
    <x v="0"/>
    <s v="DK1_Large"/>
    <x v="1"/>
    <x v="1"/>
    <x v="1"/>
    <s v="GNR_ENG_BGAS_BP_E-36"/>
    <x v="12"/>
    <n v="3.2489010989011002E-3"/>
  </r>
  <r>
    <x v="0"/>
    <x v="0"/>
    <x v="0"/>
    <x v="0"/>
    <x v="0"/>
    <s v="DK1_Large"/>
    <x v="1"/>
    <x v="1"/>
    <x v="1"/>
    <s v="GNR_ENG_BGAS_BP_E-37"/>
    <x v="11"/>
    <n v="1.6000594000593999E-3"/>
  </r>
  <r>
    <x v="0"/>
    <x v="0"/>
    <x v="0"/>
    <x v="0"/>
    <x v="0"/>
    <s v="DK1_Large"/>
    <x v="1"/>
    <x v="1"/>
    <x v="1"/>
    <s v="GNR_ENG_BGAS_BP_E-37"/>
    <x v="12"/>
    <n v="1.9512919512919499E-3"/>
  </r>
  <r>
    <x v="0"/>
    <x v="0"/>
    <x v="0"/>
    <x v="0"/>
    <x v="0"/>
    <s v="DK1_Large"/>
    <x v="1"/>
    <x v="1"/>
    <x v="1"/>
    <s v="GNR_ENG_BGAS_BP_E-39"/>
    <x v="11"/>
    <n v="1.02465342349958E-2"/>
  </r>
  <r>
    <x v="0"/>
    <x v="0"/>
    <x v="0"/>
    <x v="0"/>
    <x v="0"/>
    <s v="DK1_Large"/>
    <x v="1"/>
    <x v="1"/>
    <x v="1"/>
    <s v="GNR_ENG_BGAS_BP_E-39"/>
    <x v="12"/>
    <n v="1.24957734573119E-2"/>
  </r>
  <r>
    <x v="0"/>
    <x v="0"/>
    <x v="0"/>
    <x v="0"/>
    <x v="0"/>
    <s v="DK1_Large"/>
    <x v="1"/>
    <x v="1"/>
    <x v="1"/>
    <s v="GNR_ENG_BGAS_BP_E-40"/>
    <x v="11"/>
    <n v="3.6794165934065899E-3"/>
  </r>
  <r>
    <x v="0"/>
    <x v="0"/>
    <x v="0"/>
    <x v="0"/>
    <x v="0"/>
    <s v="DK1_Large"/>
    <x v="1"/>
    <x v="1"/>
    <x v="1"/>
    <s v="GNR_ENG_BGAS_BP_E-40"/>
    <x v="12"/>
    <n v="4.4870934065933997E-3"/>
  </r>
  <r>
    <x v="0"/>
    <x v="0"/>
    <x v="0"/>
    <x v="0"/>
    <x v="0"/>
    <s v="DK1_Large"/>
    <x v="1"/>
    <x v="1"/>
    <x v="1"/>
    <s v="GNR_ENG_BGAS_BP_E-41"/>
    <x v="11"/>
    <n v="7.7309406593406597E-3"/>
  </r>
  <r>
    <x v="0"/>
    <x v="0"/>
    <x v="0"/>
    <x v="0"/>
    <x v="0"/>
    <s v="DK1_Large"/>
    <x v="1"/>
    <x v="1"/>
    <x v="1"/>
    <s v="GNR_ENG_BGAS_BP_E-41"/>
    <x v="12"/>
    <n v="9.4279764138300703E-3"/>
  </r>
  <r>
    <x v="0"/>
    <x v="0"/>
    <x v="0"/>
    <x v="0"/>
    <x v="0"/>
    <s v="DK1_Large"/>
    <x v="1"/>
    <x v="1"/>
    <x v="1"/>
    <s v="GNR_ENG_BGAS_BP_E-42"/>
    <x v="11"/>
    <n v="6.9774018838304596E-3"/>
  </r>
  <r>
    <x v="0"/>
    <x v="0"/>
    <x v="0"/>
    <x v="0"/>
    <x v="0"/>
    <s v="DK1_Large"/>
    <x v="1"/>
    <x v="1"/>
    <x v="1"/>
    <s v="GNR_ENG_BGAS_BP_E-42"/>
    <x v="12"/>
    <n v="8.5090266875981202E-3"/>
  </r>
  <r>
    <x v="0"/>
    <x v="0"/>
    <x v="0"/>
    <x v="0"/>
    <x v="0"/>
    <s v="DK1_Large"/>
    <x v="1"/>
    <x v="1"/>
    <x v="1"/>
    <s v="GNR_ENG_BGAS_BP_E-43"/>
    <x v="11"/>
    <n v="1.9577111270125201E-2"/>
  </r>
  <r>
    <x v="0"/>
    <x v="0"/>
    <x v="0"/>
    <x v="0"/>
    <x v="0"/>
    <s v="DK1_Large"/>
    <x v="1"/>
    <x v="1"/>
    <x v="1"/>
    <s v="GNR_ENG_BGAS_BP_E-43"/>
    <x v="12"/>
    <n v="2.3874525939177101E-2"/>
  </r>
  <r>
    <x v="0"/>
    <x v="0"/>
    <x v="0"/>
    <x v="0"/>
    <x v="0"/>
    <s v="DK1_Large"/>
    <x v="2"/>
    <x v="1"/>
    <x v="1"/>
    <s v="GNR_ST_MSW_BP_E-24_LS-220-MW-FEED_Y-2030"/>
    <x v="11"/>
    <n v="6.5181556889002197"/>
  </r>
  <r>
    <x v="0"/>
    <x v="0"/>
    <x v="0"/>
    <x v="0"/>
    <x v="0"/>
    <s v="DK1_Large"/>
    <x v="2"/>
    <x v="1"/>
    <x v="1"/>
    <s v="GNR_ST_MSW_BP_E-24_LS-220-MW-FEED_Y-2030"/>
    <x v="12"/>
    <n v="21.7271856296674"/>
  </r>
  <r>
    <x v="0"/>
    <x v="0"/>
    <x v="0"/>
    <x v="0"/>
    <x v="0"/>
    <s v="DK1_Large"/>
    <x v="2"/>
    <x v="1"/>
    <x v="1"/>
    <s v="GNR_ST_MSW_BP_E-27"/>
    <x v="11"/>
    <n v="0.47721220778366502"/>
  </r>
  <r>
    <x v="0"/>
    <x v="0"/>
    <x v="0"/>
    <x v="0"/>
    <x v="0"/>
    <s v="DK1_Large"/>
    <x v="2"/>
    <x v="1"/>
    <x v="1"/>
    <s v="GNR_ST_MSW_BP_E-27"/>
    <x v="12"/>
    <n v="1.6135077922163401"/>
  </r>
  <r>
    <x v="0"/>
    <x v="0"/>
    <x v="0"/>
    <x v="0"/>
    <x v="0"/>
    <s v="DK1_Large"/>
    <x v="3"/>
    <x v="1"/>
    <x v="1"/>
    <s v="GNR_ENG_NGAS_BP_E-39"/>
    <x v="11"/>
    <n v="2.75567611336032E-2"/>
  </r>
  <r>
    <x v="0"/>
    <x v="0"/>
    <x v="0"/>
    <x v="0"/>
    <x v="0"/>
    <s v="DK1_Large"/>
    <x v="3"/>
    <x v="1"/>
    <x v="1"/>
    <s v="GNR_ENG_NGAS_BP_E-39"/>
    <x v="12"/>
    <n v="3.0618623481781401E-2"/>
  </r>
  <r>
    <x v="0"/>
    <x v="0"/>
    <x v="0"/>
    <x v="0"/>
    <x v="0"/>
    <s v="DK1_Large"/>
    <x v="3"/>
    <x v="1"/>
    <x v="1"/>
    <s v="GNR_ENG_NGAS_BP_E-42"/>
    <x v="11"/>
    <n v="2.0095308270676699E-2"/>
  </r>
  <r>
    <x v="0"/>
    <x v="0"/>
    <x v="0"/>
    <x v="0"/>
    <x v="0"/>
    <s v="DK1_Large"/>
    <x v="3"/>
    <x v="1"/>
    <x v="1"/>
    <s v="GNR_ENG_NGAS_BP_E-42"/>
    <x v="12"/>
    <n v="2.2328120300751899E-2"/>
  </r>
  <r>
    <x v="0"/>
    <x v="0"/>
    <x v="0"/>
    <x v="0"/>
    <x v="0"/>
    <s v="DK1_Large"/>
    <x v="3"/>
    <x v="1"/>
    <x v="1"/>
    <s v="GNR_ENG_NGAS_BP_E-43"/>
    <x v="11"/>
    <n v="2.9335813953488402E-2"/>
  </r>
  <r>
    <x v="0"/>
    <x v="0"/>
    <x v="0"/>
    <x v="0"/>
    <x v="0"/>
    <s v="DK1_Large"/>
    <x v="3"/>
    <x v="1"/>
    <x v="1"/>
    <s v="GNR_ENG_NGAS_BP_E-43"/>
    <x v="12"/>
    <n v="3.2595348837209298E-2"/>
  </r>
  <r>
    <x v="0"/>
    <x v="0"/>
    <x v="0"/>
    <x v="0"/>
    <x v="0"/>
    <s v="DK1_Large"/>
    <x v="3"/>
    <x v="1"/>
    <x v="1"/>
    <s v="GNR_ENG_NGAS_BP_E-46"/>
    <x v="11"/>
    <n v="7.9020411899313504E-3"/>
  </r>
  <r>
    <x v="0"/>
    <x v="0"/>
    <x v="0"/>
    <x v="0"/>
    <x v="0"/>
    <s v="DK1_Large"/>
    <x v="3"/>
    <x v="1"/>
    <x v="1"/>
    <s v="GNR_ENG_NGAS_BP_E-46"/>
    <x v="12"/>
    <n v="8.7800457665903903E-3"/>
  </r>
  <r>
    <x v="0"/>
    <x v="0"/>
    <x v="0"/>
    <x v="0"/>
    <x v="0"/>
    <s v="DK1_Large"/>
    <x v="3"/>
    <x v="1"/>
    <x v="1"/>
    <s v="GNR_GT_NGAS_BP_E-43_LS-40-MW_Y-2030"/>
    <x v="11"/>
    <n v="0.85441251571683097"/>
  </r>
  <r>
    <x v="0"/>
    <x v="0"/>
    <x v="0"/>
    <x v="0"/>
    <x v="0"/>
    <s v="DK1_Large"/>
    <x v="3"/>
    <x v="1"/>
    <x v="1"/>
    <s v="GNR_GT_NGAS_BP_E-43_LS-40-MW_Y-2030"/>
    <x v="12"/>
    <n v="0.89938159549139995"/>
  </r>
  <r>
    <x v="0"/>
    <x v="0"/>
    <x v="0"/>
    <x v="0"/>
    <x v="0"/>
    <s v="DK1_Large"/>
    <x v="4"/>
    <x v="1"/>
    <x v="1"/>
    <s v="GNR_ST_STRW_BP_E-26"/>
    <x v="11"/>
    <n v="0.52869038417549596"/>
  </r>
  <r>
    <x v="0"/>
    <x v="0"/>
    <x v="0"/>
    <x v="0"/>
    <x v="0"/>
    <s v="DK1_Large"/>
    <x v="4"/>
    <x v="1"/>
    <x v="1"/>
    <s v="GNR_ST_STRW_BP_E-26"/>
    <x v="12"/>
    <n v="1.1889861378652899"/>
  </r>
  <r>
    <x v="0"/>
    <x v="0"/>
    <x v="0"/>
    <x v="0"/>
    <x v="0"/>
    <s v="DK1_Large"/>
    <x v="5"/>
    <x v="1"/>
    <x v="1"/>
    <s v="GNR_ST_WOODCHI_BP_E-23"/>
    <x v="11"/>
    <n v="6.5231018818948799E-2"/>
  </r>
  <r>
    <x v="0"/>
    <x v="0"/>
    <x v="0"/>
    <x v="0"/>
    <x v="0"/>
    <s v="DK1_Large"/>
    <x v="5"/>
    <x v="1"/>
    <x v="1"/>
    <s v="GNR_ST_WOODCHI_BP_E-23"/>
    <x v="12"/>
    <n v="0.19185593770279"/>
  </r>
  <r>
    <x v="0"/>
    <x v="0"/>
    <x v="0"/>
    <x v="0"/>
    <x v="0"/>
    <s v="DK1_Large_PHH"/>
    <x v="6"/>
    <x v="2"/>
    <x v="2"/>
    <s v="GNR_BO_ELEC_E-99_LS-10-MW-FEED_PHH_Y-2030"/>
    <x v="11"/>
    <n v="38.897840120572702"/>
  </r>
  <r>
    <x v="0"/>
    <x v="0"/>
    <x v="0"/>
    <x v="0"/>
    <x v="0"/>
    <s v="DK1_Large_PHH"/>
    <x v="6"/>
    <x v="2"/>
    <x v="2"/>
    <s v="GNR_BO_ELEC_E-99_LS-10-MW-FEED_PHH_Y-2030"/>
    <x v="12"/>
    <n v="-38.508861719366998"/>
  </r>
  <r>
    <x v="0"/>
    <x v="0"/>
    <x v="0"/>
    <x v="0"/>
    <x v="0"/>
    <s v="DK1_MedSmall"/>
    <x v="6"/>
    <x v="2"/>
    <x v="2"/>
    <s v="GNR_HP_ELEC_GROUND-WTR_COP-380_LS-4-MW_Y-2030"/>
    <x v="11"/>
    <n v="-0.442069374727522"/>
  </r>
  <r>
    <x v="0"/>
    <x v="0"/>
    <x v="0"/>
    <x v="0"/>
    <x v="0"/>
    <s v="DK1_MedSmall"/>
    <x v="6"/>
    <x v="2"/>
    <x v="2"/>
    <s v="GNR_HP_ELEC_GROUND-WTR_COP-380_LS-4-MW_Y-2030"/>
    <x v="12"/>
    <n v="1.6798636239645901"/>
  </r>
  <r>
    <x v="0"/>
    <x v="0"/>
    <x v="0"/>
    <x v="0"/>
    <x v="0"/>
    <s v="DK1_MedSmall"/>
    <x v="3"/>
    <x v="1"/>
    <x v="1"/>
    <s v="GNR_ENG_NGAS_BP_E-41"/>
    <x v="11"/>
    <n v="3.97337406931964E-2"/>
  </r>
  <r>
    <x v="0"/>
    <x v="0"/>
    <x v="0"/>
    <x v="0"/>
    <x v="0"/>
    <s v="DK1_MedSmall"/>
    <x v="3"/>
    <x v="1"/>
    <x v="1"/>
    <s v="GNR_ENG_NGAS_BP_E-41"/>
    <x v="12"/>
    <n v="4.4148600770218302E-2"/>
  </r>
  <r>
    <x v="0"/>
    <x v="0"/>
    <x v="0"/>
    <x v="0"/>
    <x v="0"/>
    <s v="DK1_Medium"/>
    <x v="1"/>
    <x v="1"/>
    <x v="1"/>
    <s v="GNR_ENG_BGAS_BP_E-39"/>
    <x v="11"/>
    <n v="1.9126863905325399E-3"/>
  </r>
  <r>
    <x v="0"/>
    <x v="0"/>
    <x v="0"/>
    <x v="0"/>
    <x v="0"/>
    <s v="DK1_Medium"/>
    <x v="1"/>
    <x v="1"/>
    <x v="1"/>
    <s v="GNR_ENG_BGAS_BP_E-39"/>
    <x v="12"/>
    <n v="2.3325443786982201E-3"/>
  </r>
  <r>
    <x v="0"/>
    <x v="0"/>
    <x v="0"/>
    <x v="0"/>
    <x v="0"/>
    <s v="DK1_Medium"/>
    <x v="1"/>
    <x v="1"/>
    <x v="1"/>
    <s v="GNR_ENG_BGAS_BP_E-41"/>
    <x v="11"/>
    <n v="9.5792043956044008E-3"/>
  </r>
  <r>
    <x v="0"/>
    <x v="0"/>
    <x v="0"/>
    <x v="0"/>
    <x v="0"/>
    <s v="DK1_Medium"/>
    <x v="1"/>
    <x v="1"/>
    <x v="1"/>
    <s v="GNR_ENG_BGAS_BP_E-41"/>
    <x v="12"/>
    <n v="1.16819565800054E-2"/>
  </r>
  <r>
    <x v="0"/>
    <x v="0"/>
    <x v="0"/>
    <x v="0"/>
    <x v="0"/>
    <s v="DK1_Medium"/>
    <x v="1"/>
    <x v="1"/>
    <x v="1"/>
    <s v="GNR_ENG_BGAS_BP_E-42"/>
    <x v="11"/>
    <n v="9.3032025117739496E-4"/>
  </r>
  <r>
    <x v="0"/>
    <x v="0"/>
    <x v="0"/>
    <x v="0"/>
    <x v="0"/>
    <s v="DK1_Medium"/>
    <x v="1"/>
    <x v="1"/>
    <x v="1"/>
    <s v="GNR_ENG_BGAS_BP_E-42"/>
    <x v="12"/>
    <n v="1.13453689167975E-3"/>
  </r>
  <r>
    <x v="0"/>
    <x v="0"/>
    <x v="0"/>
    <x v="0"/>
    <x v="0"/>
    <s v="DK1_Medium"/>
    <x v="3"/>
    <x v="1"/>
    <x v="1"/>
    <s v="GNR_ENG_NGAS_BP_E-41"/>
    <x v="11"/>
    <n v="3.0463209242618802E-2"/>
  </r>
  <r>
    <x v="0"/>
    <x v="0"/>
    <x v="0"/>
    <x v="0"/>
    <x v="0"/>
    <s v="DK1_Medium"/>
    <x v="3"/>
    <x v="1"/>
    <x v="1"/>
    <s v="GNR_ENG_NGAS_BP_E-41"/>
    <x v="12"/>
    <n v="3.3848010269576401E-2"/>
  </r>
  <r>
    <x v="0"/>
    <x v="0"/>
    <x v="0"/>
    <x v="0"/>
    <x v="0"/>
    <s v="DK1_Medium"/>
    <x v="3"/>
    <x v="1"/>
    <x v="1"/>
    <s v="GNR_ENG_NGAS_BP_E-42"/>
    <x v="11"/>
    <n v="5.5128721804511303E-2"/>
  </r>
  <r>
    <x v="0"/>
    <x v="0"/>
    <x v="0"/>
    <x v="0"/>
    <x v="0"/>
    <s v="DK1_Medium"/>
    <x v="3"/>
    <x v="1"/>
    <x v="1"/>
    <s v="GNR_ENG_NGAS_BP_E-42"/>
    <x v="12"/>
    <n v="6.1254135338345901E-2"/>
  </r>
  <r>
    <x v="0"/>
    <x v="0"/>
    <x v="0"/>
    <x v="0"/>
    <x v="0"/>
    <s v="DK1_Medium"/>
    <x v="3"/>
    <x v="1"/>
    <x v="1"/>
    <s v="GNR_ENG_NGAS_BP_E-43"/>
    <x v="11"/>
    <n v="1.3702913096695199E-2"/>
  </r>
  <r>
    <x v="0"/>
    <x v="0"/>
    <x v="0"/>
    <x v="0"/>
    <x v="0"/>
    <s v="DK1_Medium"/>
    <x v="3"/>
    <x v="1"/>
    <x v="1"/>
    <s v="GNR_ENG_NGAS_BP_E-43"/>
    <x v="12"/>
    <n v="1.5225458996328E-2"/>
  </r>
  <r>
    <x v="0"/>
    <x v="0"/>
    <x v="0"/>
    <x v="0"/>
    <x v="0"/>
    <s v="DK1_Medium"/>
    <x v="3"/>
    <x v="1"/>
    <x v="1"/>
    <s v="GNR_ENG_NGAS_BP_E-44"/>
    <x v="11"/>
    <n v="4.8548842105263203E-2"/>
  </r>
  <r>
    <x v="0"/>
    <x v="0"/>
    <x v="0"/>
    <x v="0"/>
    <x v="0"/>
    <s v="DK1_Medium"/>
    <x v="3"/>
    <x v="1"/>
    <x v="1"/>
    <s v="GNR_ENG_NGAS_BP_E-44"/>
    <x v="12"/>
    <n v="5.3943157894736797E-2"/>
  </r>
  <r>
    <x v="0"/>
    <x v="0"/>
    <x v="0"/>
    <x v="0"/>
    <x v="0"/>
    <s v="DK1_Medium"/>
    <x v="3"/>
    <x v="1"/>
    <x v="1"/>
    <s v="GNR_ENG_NGAS_BP_E-48_Y-2030"/>
    <x v="11"/>
    <n v="11.878025365367201"/>
  </r>
  <r>
    <x v="0"/>
    <x v="0"/>
    <x v="0"/>
    <x v="0"/>
    <x v="0"/>
    <s v="DK1_Medium"/>
    <x v="3"/>
    <x v="1"/>
    <x v="1"/>
    <s v="GNR_ENG_NGAS_BP_E-48_Y-2030"/>
    <x v="12"/>
    <n v="11.998005419562899"/>
  </r>
  <r>
    <x v="0"/>
    <x v="0"/>
    <x v="0"/>
    <x v="0"/>
    <x v="0"/>
    <s v="DK1_NoDH_PHH"/>
    <x v="6"/>
    <x v="2"/>
    <x v="2"/>
    <s v="GNR_BO_ELEC_E-99_LS-10-MW-FEED_PHH_Y-2030"/>
    <x v="11"/>
    <n v="77.458477100252594"/>
  </r>
  <r>
    <x v="0"/>
    <x v="0"/>
    <x v="0"/>
    <x v="0"/>
    <x v="0"/>
    <s v="DK1_NoDH_PHH"/>
    <x v="6"/>
    <x v="2"/>
    <x v="2"/>
    <s v="GNR_BO_ELEC_E-99_LS-10-MW-FEED_PHH_Y-2030"/>
    <x v="12"/>
    <n v="-76.683892329250099"/>
  </r>
  <r>
    <x v="0"/>
    <x v="0"/>
    <x v="0"/>
    <x v="0"/>
    <x v="0"/>
    <s v="DK1_Rural"/>
    <x v="1"/>
    <x v="1"/>
    <x v="1"/>
    <s v="GNR_ENG_BGAS_BP_E-30"/>
    <x v="11"/>
    <n v="2.36808791208791E-2"/>
  </r>
  <r>
    <x v="0"/>
    <x v="0"/>
    <x v="0"/>
    <x v="0"/>
    <x v="0"/>
    <s v="DK1_Rural"/>
    <x v="1"/>
    <x v="1"/>
    <x v="1"/>
    <s v="GNR_ENG_BGAS_BP_E-30"/>
    <x v="12"/>
    <n v="2.8879120879120899E-2"/>
  </r>
  <r>
    <x v="0"/>
    <x v="0"/>
    <x v="0"/>
    <x v="0"/>
    <x v="0"/>
    <s v="DK1_Rural"/>
    <x v="1"/>
    <x v="1"/>
    <x v="1"/>
    <s v="GNR_ENG_BGAS_BP_E-37"/>
    <x v="11"/>
    <n v="5.6162084942084902E-3"/>
  </r>
  <r>
    <x v="0"/>
    <x v="0"/>
    <x v="0"/>
    <x v="0"/>
    <x v="0"/>
    <s v="DK1_Rural"/>
    <x v="1"/>
    <x v="1"/>
    <x v="1"/>
    <s v="GNR_ENG_BGAS_BP_E-37"/>
    <x v="12"/>
    <n v="6.8490347490347504E-3"/>
  </r>
  <r>
    <x v="0"/>
    <x v="0"/>
    <x v="0"/>
    <x v="0"/>
    <x v="0"/>
    <s v="DK1_Rural"/>
    <x v="1"/>
    <x v="1"/>
    <x v="1"/>
    <s v="GNR_ENG_BGAS_BP_E-38"/>
    <x v="11"/>
    <n v="2.4927241179872701E-3"/>
  </r>
  <r>
    <x v="0"/>
    <x v="0"/>
    <x v="0"/>
    <x v="0"/>
    <x v="0"/>
    <s v="DK1_Rural"/>
    <x v="1"/>
    <x v="1"/>
    <x v="1"/>
    <s v="GNR_ENG_BGAS_BP_E-38"/>
    <x v="12"/>
    <n v="3.0399074609600901E-3"/>
  </r>
  <r>
    <x v="0"/>
    <x v="0"/>
    <x v="0"/>
    <x v="0"/>
    <x v="0"/>
    <s v="DK1_Rural"/>
    <x v="1"/>
    <x v="1"/>
    <x v="1"/>
    <s v="GNR_ENG_BGAS_BP_E-39"/>
    <x v="11"/>
    <n v="4.3920946745562104E-3"/>
  </r>
  <r>
    <x v="0"/>
    <x v="0"/>
    <x v="0"/>
    <x v="0"/>
    <x v="0"/>
    <s v="DK1_Rural"/>
    <x v="1"/>
    <x v="1"/>
    <x v="1"/>
    <s v="GNR_ENG_BGAS_BP_E-39"/>
    <x v="12"/>
    <n v="5.3562130177514803E-3"/>
  </r>
  <r>
    <x v="0"/>
    <x v="0"/>
    <x v="0"/>
    <x v="0"/>
    <x v="0"/>
    <s v="DK1_Rural"/>
    <x v="1"/>
    <x v="1"/>
    <x v="1"/>
    <s v="GNR_ENG_BGAS_BP_E-40"/>
    <x v="11"/>
    <n v="4.3789892307692299E-2"/>
  </r>
  <r>
    <x v="0"/>
    <x v="0"/>
    <x v="0"/>
    <x v="0"/>
    <x v="0"/>
    <s v="DK1_Rural"/>
    <x v="1"/>
    <x v="1"/>
    <x v="1"/>
    <s v="GNR_ENG_BGAS_BP_E-40"/>
    <x v="12"/>
    <n v="5.34023076923077E-2"/>
  </r>
  <r>
    <x v="0"/>
    <x v="0"/>
    <x v="0"/>
    <x v="0"/>
    <x v="0"/>
    <s v="DK1_Rural"/>
    <x v="1"/>
    <x v="1"/>
    <x v="1"/>
    <s v="GNR_ENG_BGAS_BP_E-41"/>
    <x v="11"/>
    <n v="7.9513846153846206E-3"/>
  </r>
  <r>
    <x v="0"/>
    <x v="0"/>
    <x v="0"/>
    <x v="0"/>
    <x v="0"/>
    <s v="DK1_Rural"/>
    <x v="1"/>
    <x v="1"/>
    <x v="1"/>
    <s v="GNR_ENG_BGAS_BP_E-41"/>
    <x v="12"/>
    <n v="9.6968105065665996E-3"/>
  </r>
  <r>
    <x v="0"/>
    <x v="0"/>
    <x v="0"/>
    <x v="0"/>
    <x v="0"/>
    <s v="DK1_Rural"/>
    <x v="1"/>
    <x v="1"/>
    <x v="1"/>
    <s v="GNR_ENG_BGAS_BP_E-42"/>
    <x v="11"/>
    <n v="4.3941186813186803E-2"/>
  </r>
  <r>
    <x v="0"/>
    <x v="0"/>
    <x v="0"/>
    <x v="0"/>
    <x v="0"/>
    <s v="DK1_Rural"/>
    <x v="1"/>
    <x v="1"/>
    <x v="1"/>
    <s v="GNR_ENG_BGAS_BP_E-42"/>
    <x v="12"/>
    <n v="5.3586813186813201E-2"/>
  </r>
  <r>
    <x v="0"/>
    <x v="0"/>
    <x v="0"/>
    <x v="0"/>
    <x v="0"/>
    <s v="DK1_Rural"/>
    <x v="1"/>
    <x v="1"/>
    <x v="1"/>
    <s v="GNR_ENG_BGAS_BP_E-43"/>
    <x v="11"/>
    <n v="3.30247298747764E-2"/>
  </r>
  <r>
    <x v="0"/>
    <x v="0"/>
    <x v="0"/>
    <x v="0"/>
    <x v="0"/>
    <s v="DK1_Rural"/>
    <x v="1"/>
    <x v="1"/>
    <x v="1"/>
    <s v="GNR_ENG_BGAS_BP_E-43"/>
    <x v="12"/>
    <n v="4.0274060822898E-2"/>
  </r>
  <r>
    <x v="0"/>
    <x v="0"/>
    <x v="0"/>
    <x v="0"/>
    <x v="0"/>
    <s v="DK1_Rural"/>
    <x v="6"/>
    <x v="2"/>
    <x v="2"/>
    <s v="GNR_HP_ELEC_COP-300"/>
    <x v="11"/>
    <n v="-2.8470000000000001E-3"/>
  </r>
  <r>
    <x v="0"/>
    <x v="0"/>
    <x v="0"/>
    <x v="0"/>
    <x v="0"/>
    <s v="DK1_Rural"/>
    <x v="6"/>
    <x v="2"/>
    <x v="2"/>
    <s v="GNR_HP_ELEC_COP-300"/>
    <x v="12"/>
    <n v="8.541E-3"/>
  </r>
  <r>
    <x v="0"/>
    <x v="0"/>
    <x v="0"/>
    <x v="0"/>
    <x v="0"/>
    <s v="DK1_Rural"/>
    <x v="6"/>
    <x v="2"/>
    <x v="2"/>
    <s v="GNR_HP_ELEC_COP-350"/>
    <x v="11"/>
    <n v="-5.4787542857142801E-3"/>
  </r>
  <r>
    <x v="0"/>
    <x v="0"/>
    <x v="0"/>
    <x v="0"/>
    <x v="0"/>
    <s v="DK1_Rural"/>
    <x v="6"/>
    <x v="2"/>
    <x v="2"/>
    <s v="GNR_HP_ELEC_COP-350"/>
    <x v="12"/>
    <n v="1.9175640000000001E-2"/>
  </r>
  <r>
    <x v="0"/>
    <x v="0"/>
    <x v="0"/>
    <x v="0"/>
    <x v="0"/>
    <s v="DK1_Rural"/>
    <x v="6"/>
    <x v="2"/>
    <x v="2"/>
    <s v="GNR_HP_ELEC_COP-400"/>
    <x v="11"/>
    <n v="-4.1861119999999996E-3"/>
  </r>
  <r>
    <x v="0"/>
    <x v="0"/>
    <x v="0"/>
    <x v="0"/>
    <x v="0"/>
    <s v="DK1_Rural"/>
    <x v="6"/>
    <x v="2"/>
    <x v="2"/>
    <s v="GNR_HP_ELEC_COP-400"/>
    <x v="12"/>
    <n v="1.6744447999999999E-2"/>
  </r>
  <r>
    <x v="0"/>
    <x v="0"/>
    <x v="0"/>
    <x v="0"/>
    <x v="0"/>
    <s v="DK1_Rural"/>
    <x v="6"/>
    <x v="2"/>
    <x v="2"/>
    <s v="GNR_HP_ELEC_COP-430"/>
    <x v="11"/>
    <n v="-2.32735729386892E-3"/>
  </r>
  <r>
    <x v="0"/>
    <x v="0"/>
    <x v="0"/>
    <x v="0"/>
    <x v="0"/>
    <s v="DK1_Rural"/>
    <x v="6"/>
    <x v="2"/>
    <x v="2"/>
    <s v="GNR_HP_ELEC_COP-430"/>
    <x v="12"/>
    <n v="1.0007636363636401E-2"/>
  </r>
  <r>
    <x v="0"/>
    <x v="0"/>
    <x v="0"/>
    <x v="0"/>
    <x v="0"/>
    <s v="DK1_Rural"/>
    <x v="6"/>
    <x v="2"/>
    <x v="2"/>
    <s v="GNR_HP_ELEC_COP-450"/>
    <x v="11"/>
    <n v="-8.7099428571428799E-4"/>
  </r>
  <r>
    <x v="0"/>
    <x v="0"/>
    <x v="0"/>
    <x v="0"/>
    <x v="0"/>
    <s v="DK1_Rural"/>
    <x v="6"/>
    <x v="2"/>
    <x v="2"/>
    <s v="GNR_HP_ELEC_COP-450"/>
    <x v="12"/>
    <n v="3.9194742857142899E-3"/>
  </r>
  <r>
    <x v="0"/>
    <x v="0"/>
    <x v="0"/>
    <x v="0"/>
    <x v="0"/>
    <s v="DK1_Rural"/>
    <x v="6"/>
    <x v="2"/>
    <x v="2"/>
    <s v="GNR_HP_ELEC_COP-460"/>
    <x v="11"/>
    <n v="-5.5226086956521696E-3"/>
  </r>
  <r>
    <x v="0"/>
    <x v="0"/>
    <x v="0"/>
    <x v="0"/>
    <x v="0"/>
    <s v="DK1_Rural"/>
    <x v="6"/>
    <x v="2"/>
    <x v="2"/>
    <s v="GNR_HP_ELEC_COP-460"/>
    <x v="12"/>
    <n v="2.5403999999999999E-2"/>
  </r>
  <r>
    <x v="0"/>
    <x v="0"/>
    <x v="0"/>
    <x v="0"/>
    <x v="0"/>
    <s v="DK1_Rural"/>
    <x v="6"/>
    <x v="2"/>
    <x v="2"/>
    <s v="GNR_HP_ELEC_COP-470"/>
    <x v="11"/>
    <n v="-1.3877975848188601E-3"/>
  </r>
  <r>
    <x v="0"/>
    <x v="0"/>
    <x v="0"/>
    <x v="0"/>
    <x v="0"/>
    <s v="DK1_Rural"/>
    <x v="6"/>
    <x v="2"/>
    <x v="2"/>
    <s v="GNR_HP_ELEC_COP-470"/>
    <x v="12"/>
    <n v="6.5226486486486502E-3"/>
  </r>
  <r>
    <x v="0"/>
    <x v="0"/>
    <x v="0"/>
    <x v="0"/>
    <x v="0"/>
    <s v="DK1_Rural"/>
    <x v="6"/>
    <x v="2"/>
    <x v="2"/>
    <s v="GNR_HP_ELEC_COP-500"/>
    <x v="11"/>
    <n v="-7.6650000000000004E-4"/>
  </r>
  <r>
    <x v="0"/>
    <x v="0"/>
    <x v="0"/>
    <x v="0"/>
    <x v="0"/>
    <s v="DK1_Rural"/>
    <x v="6"/>
    <x v="2"/>
    <x v="2"/>
    <s v="GNR_HP_ELEC_COP-500"/>
    <x v="12"/>
    <n v="3.8325E-3"/>
  </r>
  <r>
    <x v="0"/>
    <x v="0"/>
    <x v="0"/>
    <x v="0"/>
    <x v="0"/>
    <s v="DK1_Rural"/>
    <x v="6"/>
    <x v="2"/>
    <x v="2"/>
    <s v="GNR_HP_ELEC_COP-530"/>
    <x v="11"/>
    <n v="-1.8680824923211999E-3"/>
  </r>
  <r>
    <x v="0"/>
    <x v="0"/>
    <x v="0"/>
    <x v="0"/>
    <x v="0"/>
    <s v="DK1_Rural"/>
    <x v="6"/>
    <x v="2"/>
    <x v="2"/>
    <s v="GNR_HP_ELEC_COP-530"/>
    <x v="12"/>
    <n v="9.9008372093023402E-3"/>
  </r>
  <r>
    <x v="0"/>
    <x v="0"/>
    <x v="0"/>
    <x v="0"/>
    <x v="0"/>
    <s v="DK1_Rural"/>
    <x v="6"/>
    <x v="2"/>
    <x v="2"/>
    <s v="GNR_HP_ELEC_COP-600"/>
    <x v="11"/>
    <n v="-3.1535999999999999E-4"/>
  </r>
  <r>
    <x v="0"/>
    <x v="0"/>
    <x v="0"/>
    <x v="0"/>
    <x v="0"/>
    <s v="DK1_Rural"/>
    <x v="6"/>
    <x v="2"/>
    <x v="2"/>
    <s v="GNR_HP_ELEC_COP-600"/>
    <x v="12"/>
    <n v="1.8921599999999999E-3"/>
  </r>
  <r>
    <x v="0"/>
    <x v="0"/>
    <x v="0"/>
    <x v="0"/>
    <x v="0"/>
    <s v="DK1_Rural"/>
    <x v="6"/>
    <x v="2"/>
    <x v="2"/>
    <s v="GNR_HP_ELEC_GROUND-WTR_COP-380_LS-4-MW_Y-2030"/>
    <x v="11"/>
    <n v="-0.17065634770226401"/>
  </r>
  <r>
    <x v="0"/>
    <x v="0"/>
    <x v="0"/>
    <x v="0"/>
    <x v="0"/>
    <s v="DK1_Rural"/>
    <x v="6"/>
    <x v="2"/>
    <x v="2"/>
    <s v="GNR_HP_ELEC_GROUND-WTR_COP-380_LS-4-MW_Y-2030"/>
    <x v="12"/>
    <n v="0.64849412126860195"/>
  </r>
  <r>
    <x v="0"/>
    <x v="0"/>
    <x v="0"/>
    <x v="0"/>
    <x v="0"/>
    <s v="DK1_Rural"/>
    <x v="3"/>
    <x v="1"/>
    <x v="1"/>
    <s v="GNR_ENG_NGAS_BP_E-37"/>
    <x v="11"/>
    <n v="6.4328056899004296E-2"/>
  </r>
  <r>
    <x v="0"/>
    <x v="0"/>
    <x v="0"/>
    <x v="0"/>
    <x v="0"/>
    <s v="DK1_Rural"/>
    <x v="3"/>
    <x v="1"/>
    <x v="1"/>
    <s v="GNR_ENG_NGAS_BP_E-37"/>
    <x v="12"/>
    <n v="7.1475618776671399E-2"/>
  </r>
  <r>
    <x v="0"/>
    <x v="0"/>
    <x v="0"/>
    <x v="0"/>
    <x v="0"/>
    <s v="DK1_Rural"/>
    <x v="3"/>
    <x v="1"/>
    <x v="1"/>
    <s v="GNR_ENG_NGAS_BP_E-38"/>
    <x v="11"/>
    <n v="2.94831024930748E-2"/>
  </r>
  <r>
    <x v="0"/>
    <x v="0"/>
    <x v="0"/>
    <x v="0"/>
    <x v="0"/>
    <s v="DK1_Rural"/>
    <x v="3"/>
    <x v="1"/>
    <x v="1"/>
    <s v="GNR_ENG_NGAS_BP_E-38"/>
    <x v="12"/>
    <n v="3.2759002770083097E-2"/>
  </r>
  <r>
    <x v="0"/>
    <x v="0"/>
    <x v="0"/>
    <x v="0"/>
    <x v="0"/>
    <s v="DK1_Rural"/>
    <x v="3"/>
    <x v="1"/>
    <x v="1"/>
    <s v="GNR_ENG_NGAS_BP_E-39"/>
    <x v="11"/>
    <n v="2.3407287449392699E-2"/>
  </r>
  <r>
    <x v="0"/>
    <x v="0"/>
    <x v="0"/>
    <x v="0"/>
    <x v="0"/>
    <s v="DK1_Rural"/>
    <x v="3"/>
    <x v="1"/>
    <x v="1"/>
    <s v="GNR_ENG_NGAS_BP_E-39"/>
    <x v="12"/>
    <n v="2.6008097165991902E-2"/>
  </r>
  <r>
    <x v="0"/>
    <x v="0"/>
    <x v="0"/>
    <x v="0"/>
    <x v="0"/>
    <s v="DK1_Rural"/>
    <x v="3"/>
    <x v="1"/>
    <x v="1"/>
    <s v="GNR_ENG_NGAS_BP_E-40"/>
    <x v="11"/>
    <n v="5.7511705263157901E-2"/>
  </r>
  <r>
    <x v="0"/>
    <x v="0"/>
    <x v="0"/>
    <x v="0"/>
    <x v="0"/>
    <s v="DK1_Rural"/>
    <x v="3"/>
    <x v="1"/>
    <x v="1"/>
    <s v="GNR_ENG_NGAS_BP_E-40"/>
    <x v="12"/>
    <n v="6.3901894736842102E-2"/>
  </r>
  <r>
    <x v="0"/>
    <x v="0"/>
    <x v="0"/>
    <x v="0"/>
    <x v="0"/>
    <s v="DK1_Rural"/>
    <x v="3"/>
    <x v="1"/>
    <x v="1"/>
    <s v="GNR_ENG_NGAS_BP_E-41"/>
    <x v="11"/>
    <n v="0.192133263853565"/>
  </r>
  <r>
    <x v="0"/>
    <x v="0"/>
    <x v="0"/>
    <x v="0"/>
    <x v="0"/>
    <s v="DK1_Rural"/>
    <x v="3"/>
    <x v="1"/>
    <x v="1"/>
    <s v="GNR_ENG_NGAS_BP_E-41"/>
    <x v="12"/>
    <n v="0.21348140428173901"/>
  </r>
  <r>
    <x v="0"/>
    <x v="0"/>
    <x v="0"/>
    <x v="0"/>
    <x v="0"/>
    <s v="DK1_Rural"/>
    <x v="3"/>
    <x v="1"/>
    <x v="1"/>
    <s v="GNR_ENG_NGAS_BP_E-42"/>
    <x v="11"/>
    <n v="0.53590650225563896"/>
  </r>
  <r>
    <x v="0"/>
    <x v="0"/>
    <x v="0"/>
    <x v="0"/>
    <x v="0"/>
    <s v="DK1_Rural"/>
    <x v="3"/>
    <x v="1"/>
    <x v="1"/>
    <s v="GNR_ENG_NGAS_BP_E-42"/>
    <x v="12"/>
    <n v="0.59545166917293202"/>
  </r>
  <r>
    <x v="0"/>
    <x v="0"/>
    <x v="0"/>
    <x v="0"/>
    <x v="0"/>
    <s v="DK1_Rural"/>
    <x v="3"/>
    <x v="1"/>
    <x v="1"/>
    <s v="GNR_ENG_NGAS_BP_E-43"/>
    <x v="11"/>
    <n v="0.32083344528763802"/>
  </r>
  <r>
    <x v="0"/>
    <x v="0"/>
    <x v="0"/>
    <x v="0"/>
    <x v="0"/>
    <s v="DK1_Rural"/>
    <x v="3"/>
    <x v="1"/>
    <x v="1"/>
    <s v="GNR_ENG_NGAS_BP_E-43"/>
    <x v="12"/>
    <n v="0.35648160587515298"/>
  </r>
  <r>
    <x v="0"/>
    <x v="0"/>
    <x v="0"/>
    <x v="0"/>
    <x v="0"/>
    <s v="DK1_Rural"/>
    <x v="3"/>
    <x v="1"/>
    <x v="1"/>
    <s v="GNR_ENG_NGAS_BP_E-44"/>
    <x v="11"/>
    <n v="0.28544606698564601"/>
  </r>
  <r>
    <x v="0"/>
    <x v="0"/>
    <x v="0"/>
    <x v="0"/>
    <x v="0"/>
    <s v="DK1_Rural"/>
    <x v="3"/>
    <x v="1"/>
    <x v="1"/>
    <s v="GNR_ENG_NGAS_BP_E-44"/>
    <x v="12"/>
    <n v="0.31716229665071799"/>
  </r>
  <r>
    <x v="0"/>
    <x v="0"/>
    <x v="0"/>
    <x v="0"/>
    <x v="0"/>
    <s v="DK1_Rural"/>
    <x v="3"/>
    <x v="1"/>
    <x v="1"/>
    <s v="GNR_ENG_NGAS_BP_E-45"/>
    <x v="11"/>
    <n v="0.11286568421052599"/>
  </r>
  <r>
    <x v="0"/>
    <x v="0"/>
    <x v="0"/>
    <x v="0"/>
    <x v="0"/>
    <s v="DK1_Rural"/>
    <x v="3"/>
    <x v="1"/>
    <x v="1"/>
    <s v="GNR_ENG_NGAS_BP_E-45"/>
    <x v="12"/>
    <n v="0.125406315789474"/>
  </r>
  <r>
    <x v="0"/>
    <x v="0"/>
    <x v="0"/>
    <x v="0"/>
    <x v="0"/>
    <s v="DK1_Rural"/>
    <x v="3"/>
    <x v="1"/>
    <x v="1"/>
    <s v="GNR_ENG_NGAS_BP_E-46"/>
    <x v="11"/>
    <n v="3.94019588100687E-2"/>
  </r>
  <r>
    <x v="0"/>
    <x v="0"/>
    <x v="0"/>
    <x v="0"/>
    <x v="0"/>
    <s v="DK1_Rural"/>
    <x v="3"/>
    <x v="1"/>
    <x v="1"/>
    <s v="GNR_ENG_NGAS_BP_E-46"/>
    <x v="12"/>
    <n v="4.37799542334096E-2"/>
  </r>
  <r>
    <x v="0"/>
    <x v="0"/>
    <x v="0"/>
    <x v="0"/>
    <x v="0"/>
    <s v="DK1_Rural"/>
    <x v="5"/>
    <x v="1"/>
    <x v="1"/>
    <s v="GNR_ST_WOODCHI_BP_E-17"/>
    <x v="11"/>
    <n v="5.8835820895522398E-3"/>
  </r>
  <r>
    <x v="0"/>
    <x v="0"/>
    <x v="0"/>
    <x v="0"/>
    <x v="0"/>
    <s v="DK1_Rural"/>
    <x v="5"/>
    <x v="1"/>
    <x v="1"/>
    <s v="GNR_ST_WOODCHI_BP_E-17"/>
    <x v="12"/>
    <n v="1.7304653204565399E-2"/>
  </r>
  <r>
    <x v="0"/>
    <x v="0"/>
    <x v="0"/>
    <x v="0"/>
    <x v="0"/>
    <s v="DK1_Small"/>
    <x v="3"/>
    <x v="1"/>
    <x v="1"/>
    <s v="GNR_ENG_NGAS_BP_E-38"/>
    <x v="11"/>
    <n v="1.1105301939058201E-2"/>
  </r>
  <r>
    <x v="0"/>
    <x v="0"/>
    <x v="0"/>
    <x v="0"/>
    <x v="0"/>
    <s v="DK1_Small"/>
    <x v="3"/>
    <x v="1"/>
    <x v="1"/>
    <s v="GNR_ENG_NGAS_BP_E-38"/>
    <x v="12"/>
    <n v="1.23392243767313E-2"/>
  </r>
  <r>
    <x v="0"/>
    <x v="0"/>
    <x v="0"/>
    <x v="0"/>
    <x v="1"/>
    <s v="DK2_Large"/>
    <x v="1"/>
    <x v="1"/>
    <x v="1"/>
    <s v="GNR_ENG_BGAS_BP_E-42"/>
    <x v="11"/>
    <n v="8.5899569858712797E-3"/>
  </r>
  <r>
    <x v="0"/>
    <x v="0"/>
    <x v="0"/>
    <x v="0"/>
    <x v="1"/>
    <s v="DK2_Large"/>
    <x v="1"/>
    <x v="1"/>
    <x v="1"/>
    <s v="GNR_ENG_BGAS_BP_E-42"/>
    <x v="12"/>
    <n v="1.0475557299842999E-2"/>
  </r>
  <r>
    <x v="0"/>
    <x v="0"/>
    <x v="0"/>
    <x v="0"/>
    <x v="1"/>
    <s v="DK2_Large"/>
    <x v="10"/>
    <x v="1"/>
    <x v="8"/>
    <s v="GNR_ST_COAL_EXT_E-42"/>
    <x v="11"/>
    <n v="3.9224143651924499"/>
  </r>
  <r>
    <x v="0"/>
    <x v="0"/>
    <x v="0"/>
    <x v="0"/>
    <x v="1"/>
    <s v="DK2_Large"/>
    <x v="10"/>
    <x v="1"/>
    <x v="8"/>
    <s v="GNR_ST_COAL_EXT_E-42"/>
    <x v="12"/>
    <n v="5.2298858202565901"/>
  </r>
  <r>
    <x v="0"/>
    <x v="0"/>
    <x v="0"/>
    <x v="0"/>
    <x v="1"/>
    <s v="DK2_Large"/>
    <x v="6"/>
    <x v="2"/>
    <x v="2"/>
    <s v="GNR_HP_ELEC_COP-300"/>
    <x v="11"/>
    <n v="-3.9711999999999999E-4"/>
  </r>
  <r>
    <x v="0"/>
    <x v="0"/>
    <x v="0"/>
    <x v="0"/>
    <x v="1"/>
    <s v="DK2_Large"/>
    <x v="6"/>
    <x v="2"/>
    <x v="2"/>
    <s v="GNR_HP_ELEC_COP-300"/>
    <x v="12"/>
    <n v="1.19136E-3"/>
  </r>
  <r>
    <x v="0"/>
    <x v="0"/>
    <x v="0"/>
    <x v="0"/>
    <x v="1"/>
    <s v="DK2_Large"/>
    <x v="2"/>
    <x v="1"/>
    <x v="1"/>
    <s v="GNR_ST_MSW_BP_E-24_LS-220-MW-FEED_Y-2030"/>
    <x v="11"/>
    <n v="3.9124472543736202"/>
  </r>
  <r>
    <x v="0"/>
    <x v="0"/>
    <x v="0"/>
    <x v="0"/>
    <x v="1"/>
    <s v="DK2_Large"/>
    <x v="2"/>
    <x v="1"/>
    <x v="1"/>
    <s v="GNR_ST_MSW_BP_E-24_LS-220-MW-FEED_Y-2030"/>
    <x v="12"/>
    <n v="13.041490847912"/>
  </r>
  <r>
    <x v="0"/>
    <x v="0"/>
    <x v="0"/>
    <x v="0"/>
    <x v="1"/>
    <s v="DK2_Large"/>
    <x v="2"/>
    <x v="1"/>
    <x v="1"/>
    <s v="GNR_ST_MSW_BP_E-27"/>
    <x v="11"/>
    <n v="0.51720205759794002"/>
  </r>
  <r>
    <x v="0"/>
    <x v="0"/>
    <x v="0"/>
    <x v="0"/>
    <x v="1"/>
    <s v="DK2_Large"/>
    <x v="2"/>
    <x v="1"/>
    <x v="1"/>
    <s v="GNR_ST_MSW_BP_E-27"/>
    <x v="12"/>
    <n v="1.74871794240207"/>
  </r>
  <r>
    <x v="0"/>
    <x v="0"/>
    <x v="0"/>
    <x v="0"/>
    <x v="1"/>
    <s v="DK2_Large"/>
    <x v="3"/>
    <x v="1"/>
    <x v="1"/>
    <s v="GNR_GT_NGAS_BP_E-43_LS-40-MW_Y-2030"/>
    <x v="11"/>
    <n v="2.9773108499804399"/>
  </r>
  <r>
    <x v="0"/>
    <x v="0"/>
    <x v="0"/>
    <x v="0"/>
    <x v="1"/>
    <s v="DK2_Large"/>
    <x v="3"/>
    <x v="1"/>
    <x v="1"/>
    <s v="GNR_GT_NGAS_BP_E-43_LS-40-MW_Y-2030"/>
    <x v="12"/>
    <n v="3.13401142103204"/>
  </r>
  <r>
    <x v="0"/>
    <x v="0"/>
    <x v="0"/>
    <x v="0"/>
    <x v="1"/>
    <s v="DK2_Large"/>
    <x v="4"/>
    <x v="1"/>
    <x v="8"/>
    <s v="GNR_ST_COAL_EXT_E-42-Straw"/>
    <x v="11"/>
    <n v="2.8157142857142898"/>
  </r>
  <r>
    <x v="0"/>
    <x v="0"/>
    <x v="0"/>
    <x v="0"/>
    <x v="1"/>
    <s v="DK2_Large"/>
    <x v="4"/>
    <x v="1"/>
    <x v="8"/>
    <s v="GNR_ST_COAL_EXT_E-42-Straw"/>
    <x v="12"/>
    <n v="3.75428571428571"/>
  </r>
  <r>
    <x v="0"/>
    <x v="0"/>
    <x v="0"/>
    <x v="0"/>
    <x v="1"/>
    <s v="DK2_Large_PHH"/>
    <x v="6"/>
    <x v="2"/>
    <x v="2"/>
    <s v="GNR_BO_ELEC_E-99_LS-10-MW-FEED_PHH_Y-2030"/>
    <x v="11"/>
    <n v="9.7256086681206497"/>
  </r>
  <r>
    <x v="0"/>
    <x v="0"/>
    <x v="0"/>
    <x v="0"/>
    <x v="1"/>
    <s v="DK2_Large_PHH"/>
    <x v="6"/>
    <x v="2"/>
    <x v="2"/>
    <s v="GNR_BO_ELEC_E-99_LS-10-MW-FEED_PHH_Y-2030"/>
    <x v="12"/>
    <n v="-9.6283525814394402"/>
  </r>
  <r>
    <x v="0"/>
    <x v="0"/>
    <x v="0"/>
    <x v="0"/>
    <x v="1"/>
    <s v="DK2_MedSmall"/>
    <x v="1"/>
    <x v="1"/>
    <x v="1"/>
    <s v="GNR_ENG_BGAS_BP_E-38"/>
    <x v="11"/>
    <n v="7.7897628687102305E-4"/>
  </r>
  <r>
    <x v="0"/>
    <x v="0"/>
    <x v="0"/>
    <x v="0"/>
    <x v="1"/>
    <s v="DK2_MedSmall"/>
    <x v="1"/>
    <x v="1"/>
    <x v="1"/>
    <s v="GNR_ENG_BGAS_BP_E-38"/>
    <x v="12"/>
    <n v="9.4997108155002799E-4"/>
  </r>
  <r>
    <x v="0"/>
    <x v="0"/>
    <x v="0"/>
    <x v="0"/>
    <x v="1"/>
    <s v="DK2_MedSmall"/>
    <x v="3"/>
    <x v="1"/>
    <x v="1"/>
    <s v="GNR_ENG_NGAS_BP_E-48_Y-2030"/>
    <x v="11"/>
    <n v="2.0312365438748601"/>
  </r>
  <r>
    <x v="0"/>
    <x v="0"/>
    <x v="0"/>
    <x v="0"/>
    <x v="1"/>
    <s v="DK2_MedSmall"/>
    <x v="3"/>
    <x v="1"/>
    <x v="1"/>
    <s v="GNR_ENG_NGAS_BP_E-48_Y-2030"/>
    <x v="12"/>
    <n v="2.0517540847220799"/>
  </r>
  <r>
    <x v="0"/>
    <x v="0"/>
    <x v="0"/>
    <x v="0"/>
    <x v="1"/>
    <s v="DK2_Medium"/>
    <x v="2"/>
    <x v="1"/>
    <x v="1"/>
    <s v="GNR_ST_MSW_BP_E-23"/>
    <x v="11"/>
    <n v="0.25037123361980002"/>
  </r>
  <r>
    <x v="0"/>
    <x v="0"/>
    <x v="0"/>
    <x v="0"/>
    <x v="1"/>
    <s v="DK2_Medium"/>
    <x v="2"/>
    <x v="1"/>
    <x v="1"/>
    <s v="GNR_ST_MSW_BP_E-23"/>
    <x v="12"/>
    <n v="0.84653311420628696"/>
  </r>
  <r>
    <x v="0"/>
    <x v="0"/>
    <x v="0"/>
    <x v="0"/>
    <x v="1"/>
    <s v="DK2_Medium"/>
    <x v="3"/>
    <x v="1"/>
    <x v="1"/>
    <s v="GNR_ENG_NGAS_BP_E-35"/>
    <x v="11"/>
    <n v="6.89998195488722E-3"/>
  </r>
  <r>
    <x v="0"/>
    <x v="0"/>
    <x v="0"/>
    <x v="0"/>
    <x v="1"/>
    <s v="DK2_Medium"/>
    <x v="3"/>
    <x v="1"/>
    <x v="1"/>
    <s v="GNR_ENG_NGAS_BP_E-35"/>
    <x v="12"/>
    <n v="7.6666466165413501E-3"/>
  </r>
  <r>
    <x v="0"/>
    <x v="0"/>
    <x v="0"/>
    <x v="0"/>
    <x v="1"/>
    <s v="DK2_Medium"/>
    <x v="3"/>
    <x v="1"/>
    <x v="1"/>
    <s v="GNR_ENG_NGAS_BP_E-42"/>
    <x v="11"/>
    <n v="1.38315789473684E-2"/>
  </r>
  <r>
    <x v="0"/>
    <x v="0"/>
    <x v="0"/>
    <x v="0"/>
    <x v="1"/>
    <s v="DK2_Medium"/>
    <x v="3"/>
    <x v="1"/>
    <x v="1"/>
    <s v="GNR_ENG_NGAS_BP_E-42"/>
    <x v="12"/>
    <n v="1.5368421052631601E-2"/>
  </r>
  <r>
    <x v="0"/>
    <x v="0"/>
    <x v="0"/>
    <x v="0"/>
    <x v="1"/>
    <s v="DK2_Medium"/>
    <x v="3"/>
    <x v="1"/>
    <x v="1"/>
    <s v="GNR_ENG_NGAS_BP_E-48_Y-2030"/>
    <x v="11"/>
    <n v="4.2234802977502204"/>
  </r>
  <r>
    <x v="0"/>
    <x v="0"/>
    <x v="0"/>
    <x v="0"/>
    <x v="1"/>
    <s v="DK2_Medium"/>
    <x v="3"/>
    <x v="1"/>
    <x v="1"/>
    <s v="GNR_ENG_NGAS_BP_E-48_Y-2030"/>
    <x v="12"/>
    <n v="4.2661417148992102"/>
  </r>
  <r>
    <x v="0"/>
    <x v="0"/>
    <x v="0"/>
    <x v="0"/>
    <x v="1"/>
    <s v="DK2_Medium"/>
    <x v="5"/>
    <x v="1"/>
    <x v="1"/>
    <s v="GNR_ST_WOODCHI_BP_E-27"/>
    <x v="11"/>
    <n v="7.6065273631841096E-3"/>
  </r>
  <r>
    <x v="0"/>
    <x v="0"/>
    <x v="0"/>
    <x v="0"/>
    <x v="1"/>
    <s v="DK2_Medium"/>
    <x v="5"/>
    <x v="1"/>
    <x v="1"/>
    <s v="GNR_ST_WOODCHI_BP_E-27"/>
    <x v="12"/>
    <n v="2.23721393034827E-2"/>
  </r>
  <r>
    <x v="0"/>
    <x v="0"/>
    <x v="0"/>
    <x v="0"/>
    <x v="1"/>
    <s v="DK2_NoDH_PHH"/>
    <x v="6"/>
    <x v="2"/>
    <x v="2"/>
    <s v="GNR_BO_ELEC_E-99_LS-10-MW-FEED_PHH_Y-2030"/>
    <x v="11"/>
    <n v="7.4592859387136903"/>
  </r>
  <r>
    <x v="0"/>
    <x v="0"/>
    <x v="0"/>
    <x v="0"/>
    <x v="1"/>
    <s v="DK2_NoDH_PHH"/>
    <x v="6"/>
    <x v="2"/>
    <x v="2"/>
    <s v="GNR_BO_ELEC_E-99_LS-10-MW-FEED_PHH_Y-2030"/>
    <x v="12"/>
    <n v="-7.3846930793265502"/>
  </r>
  <r>
    <x v="0"/>
    <x v="0"/>
    <x v="0"/>
    <x v="0"/>
    <x v="1"/>
    <s v="DK2_Rural"/>
    <x v="1"/>
    <x v="1"/>
    <x v="1"/>
    <s v="GNR_ENG_BGAS_BP_E-40"/>
    <x v="11"/>
    <n v="3.6606692307692302E-3"/>
  </r>
  <r>
    <x v="0"/>
    <x v="0"/>
    <x v="0"/>
    <x v="0"/>
    <x v="1"/>
    <s v="DK2_Rural"/>
    <x v="1"/>
    <x v="1"/>
    <x v="1"/>
    <s v="GNR_ENG_BGAS_BP_E-40"/>
    <x v="12"/>
    <n v="4.4642307692307698E-3"/>
  </r>
  <r>
    <x v="0"/>
    <x v="0"/>
    <x v="0"/>
    <x v="0"/>
    <x v="1"/>
    <s v="DK2_Rural"/>
    <x v="1"/>
    <x v="1"/>
    <x v="1"/>
    <s v="GNR_ENG_BGAS_BP_E-41"/>
    <x v="11"/>
    <n v="1.34769230769231E-2"/>
  </r>
  <r>
    <x v="0"/>
    <x v="0"/>
    <x v="0"/>
    <x v="0"/>
    <x v="1"/>
    <s v="DK2_Rural"/>
    <x v="1"/>
    <x v="1"/>
    <x v="1"/>
    <s v="GNR_ENG_BGAS_BP_E-41"/>
    <x v="12"/>
    <n v="1.64352720450281E-2"/>
  </r>
  <r>
    <x v="0"/>
    <x v="0"/>
    <x v="0"/>
    <x v="0"/>
    <x v="1"/>
    <s v="DK2_Rural"/>
    <x v="1"/>
    <x v="1"/>
    <x v="1"/>
    <s v="GNR_ENG_BGAS_BP_E-42"/>
    <x v="11"/>
    <n v="3.7718378021978E-2"/>
  </r>
  <r>
    <x v="0"/>
    <x v="0"/>
    <x v="0"/>
    <x v="0"/>
    <x v="1"/>
    <s v="DK2_Rural"/>
    <x v="1"/>
    <x v="1"/>
    <x v="1"/>
    <s v="GNR_ENG_BGAS_BP_E-42"/>
    <x v="12"/>
    <n v="4.5998021978021997E-2"/>
  </r>
  <r>
    <x v="0"/>
    <x v="0"/>
    <x v="0"/>
    <x v="0"/>
    <x v="1"/>
    <s v="DK2_Rural"/>
    <x v="10"/>
    <x v="1"/>
    <x v="1"/>
    <s v="GNR_ST_COAL_BP_E-35"/>
    <x v="11"/>
    <n v="1.13470480554048"/>
  </r>
  <r>
    <x v="0"/>
    <x v="0"/>
    <x v="0"/>
    <x v="0"/>
    <x v="1"/>
    <s v="DK2_Rural"/>
    <x v="10"/>
    <x v="1"/>
    <x v="1"/>
    <s v="GNR_ST_COAL_BP_E-35"/>
    <x v="12"/>
    <n v="1.51293974072065"/>
  </r>
  <r>
    <x v="0"/>
    <x v="0"/>
    <x v="0"/>
    <x v="0"/>
    <x v="1"/>
    <s v="DK2_Rural"/>
    <x v="6"/>
    <x v="2"/>
    <x v="2"/>
    <s v="GNR_HP_ELEC_COP-400"/>
    <x v="11"/>
    <n v="-1.6936E-3"/>
  </r>
  <r>
    <x v="0"/>
    <x v="0"/>
    <x v="0"/>
    <x v="0"/>
    <x v="1"/>
    <s v="DK2_Rural"/>
    <x v="6"/>
    <x v="2"/>
    <x v="2"/>
    <s v="GNR_HP_ELEC_COP-400"/>
    <x v="12"/>
    <n v="6.7743999999999999E-3"/>
  </r>
  <r>
    <x v="0"/>
    <x v="0"/>
    <x v="0"/>
    <x v="0"/>
    <x v="1"/>
    <s v="DK2_Rural"/>
    <x v="3"/>
    <x v="1"/>
    <x v="1"/>
    <s v="GNR_CC_NGAS_BP_E-53_SS-10-MW_Y-2030"/>
    <x v="11"/>
    <n v="1.4642561594571999"/>
  </r>
  <r>
    <x v="0"/>
    <x v="0"/>
    <x v="0"/>
    <x v="0"/>
    <x v="1"/>
    <s v="DK2_Rural"/>
    <x v="3"/>
    <x v="1"/>
    <x v="1"/>
    <s v="GNR_CC_NGAS_BP_E-53_SS-10-MW_Y-2030"/>
    <x v="12"/>
    <n v="1.0458972567551501"/>
  </r>
  <r>
    <x v="0"/>
    <x v="0"/>
    <x v="0"/>
    <x v="0"/>
    <x v="1"/>
    <s v="DK2_Rural"/>
    <x v="3"/>
    <x v="1"/>
    <x v="1"/>
    <s v="GNR_ENG_NGAS_BP_E-36"/>
    <x v="11"/>
    <n v="2.2994999999999999E-3"/>
  </r>
  <r>
    <x v="0"/>
    <x v="0"/>
    <x v="0"/>
    <x v="0"/>
    <x v="1"/>
    <s v="DK2_Rural"/>
    <x v="3"/>
    <x v="1"/>
    <x v="1"/>
    <s v="GNR_ENG_NGAS_BP_E-36"/>
    <x v="12"/>
    <n v="2.555E-3"/>
  </r>
  <r>
    <x v="0"/>
    <x v="0"/>
    <x v="0"/>
    <x v="0"/>
    <x v="1"/>
    <s v="DK2_Rural"/>
    <x v="3"/>
    <x v="1"/>
    <x v="1"/>
    <s v="GNR_ENG_NGAS_BP_E-38"/>
    <x v="11"/>
    <n v="3.7836648199446E-3"/>
  </r>
  <r>
    <x v="0"/>
    <x v="0"/>
    <x v="0"/>
    <x v="0"/>
    <x v="1"/>
    <s v="DK2_Rural"/>
    <x v="3"/>
    <x v="1"/>
    <x v="1"/>
    <s v="GNR_ENG_NGAS_BP_E-38"/>
    <x v="12"/>
    <n v="4.2040720221606697E-3"/>
  </r>
  <r>
    <x v="0"/>
    <x v="0"/>
    <x v="0"/>
    <x v="0"/>
    <x v="1"/>
    <s v="DK2_Rural"/>
    <x v="3"/>
    <x v="1"/>
    <x v="1"/>
    <s v="GNR_ENG_NGAS_BP_E-40"/>
    <x v="11"/>
    <n v="0.10581157894736801"/>
  </r>
  <r>
    <x v="0"/>
    <x v="0"/>
    <x v="0"/>
    <x v="0"/>
    <x v="1"/>
    <s v="DK2_Rural"/>
    <x v="3"/>
    <x v="1"/>
    <x v="1"/>
    <s v="GNR_ENG_NGAS_BP_E-40"/>
    <x v="12"/>
    <n v="0.117568421052631"/>
  </r>
  <r>
    <x v="0"/>
    <x v="0"/>
    <x v="0"/>
    <x v="0"/>
    <x v="1"/>
    <s v="DK2_Rural"/>
    <x v="3"/>
    <x v="1"/>
    <x v="1"/>
    <s v="GNR_ENG_NGAS_BP_E-45"/>
    <x v="11"/>
    <n v="1.0604210526315799E-2"/>
  </r>
  <r>
    <x v="0"/>
    <x v="0"/>
    <x v="0"/>
    <x v="0"/>
    <x v="1"/>
    <s v="DK2_Rural"/>
    <x v="3"/>
    <x v="1"/>
    <x v="1"/>
    <s v="GNR_ENG_NGAS_BP_E-45"/>
    <x v="12"/>
    <n v="1.1782456140350899E-2"/>
  </r>
  <r>
    <x v="0"/>
    <x v="0"/>
    <x v="0"/>
    <x v="0"/>
    <x v="1"/>
    <s v="DK2_Small"/>
    <x v="3"/>
    <x v="1"/>
    <x v="1"/>
    <s v="GNR_CC_NGAS_BP_E-53_SS-10-MW_Y-2030"/>
    <x v="11"/>
    <n v="0.47614832920342198"/>
  </r>
  <r>
    <x v="0"/>
    <x v="0"/>
    <x v="0"/>
    <x v="0"/>
    <x v="1"/>
    <s v="DK2_Small"/>
    <x v="3"/>
    <x v="1"/>
    <x v="1"/>
    <s v="GNR_CC_NGAS_BP_E-53_SS-10-MW_Y-2030"/>
    <x v="12"/>
    <n v="0.34010594943101602"/>
  </r>
</pivotCacheRecords>
</file>

<file path=xl/pivotCache/pivotCacheRecords22.xml><?xml version="1.0" encoding="utf-8"?>
<pivotCacheRecords xmlns="http://schemas.openxmlformats.org/spreadsheetml/2006/main" xmlns:r="http://schemas.openxmlformats.org/officeDocument/2006/relationships" count="144">
  <r>
    <x v="0"/>
    <x v="0"/>
    <x v="0"/>
    <x v="0"/>
    <x v="0"/>
    <x v="0"/>
    <x v="0"/>
    <n v="1709.55161914922"/>
    <n v="415990.89399297797"/>
  </r>
  <r>
    <x v="0"/>
    <x v="0"/>
    <x v="0"/>
    <x v="0"/>
    <x v="0"/>
    <x v="0"/>
    <x v="1"/>
    <n v="2718.5147224464299"/>
    <n v="661505.24912863097"/>
  </r>
  <r>
    <x v="0"/>
    <x v="0"/>
    <x v="0"/>
    <x v="0"/>
    <x v="0"/>
    <x v="0"/>
    <x v="2"/>
    <n v="2844.7555691818002"/>
    <n v="692223.85516757099"/>
  </r>
  <r>
    <x v="0"/>
    <x v="0"/>
    <x v="0"/>
    <x v="0"/>
    <x v="0"/>
    <x v="0"/>
    <x v="3"/>
    <n v="2188.4959002750202"/>
    <n v="532534.00240025495"/>
  </r>
  <r>
    <x v="0"/>
    <x v="0"/>
    <x v="0"/>
    <x v="0"/>
    <x v="0"/>
    <x v="0"/>
    <x v="4"/>
    <n v="2735.86079299022"/>
    <n v="665726.12629428704"/>
  </r>
  <r>
    <x v="0"/>
    <x v="0"/>
    <x v="0"/>
    <x v="0"/>
    <x v="0"/>
    <x v="0"/>
    <x v="5"/>
    <n v="1697.0239015342599"/>
    <n v="412942.482706671"/>
  </r>
  <r>
    <x v="0"/>
    <x v="0"/>
    <x v="0"/>
    <x v="0"/>
    <x v="0"/>
    <x v="0"/>
    <x v="6"/>
    <n v="2453.50531136072"/>
    <n v="597019.62576444296"/>
  </r>
  <r>
    <x v="0"/>
    <x v="0"/>
    <x v="0"/>
    <x v="0"/>
    <x v="0"/>
    <x v="0"/>
    <x v="7"/>
    <n v="2257.8801824501902"/>
    <n v="549417.511062879"/>
  </r>
  <r>
    <x v="0"/>
    <x v="0"/>
    <x v="0"/>
    <x v="0"/>
    <x v="0"/>
    <x v="0"/>
    <x v="8"/>
    <n v="2296.4270058808402"/>
    <n v="558797.23809767002"/>
  </r>
  <r>
    <x v="0"/>
    <x v="0"/>
    <x v="0"/>
    <x v="0"/>
    <x v="0"/>
    <x v="0"/>
    <x v="9"/>
    <n v="2185.6048885177202"/>
    <n v="531830.52287264599"/>
  </r>
  <r>
    <x v="0"/>
    <x v="0"/>
    <x v="0"/>
    <x v="0"/>
    <x v="0"/>
    <x v="0"/>
    <x v="10"/>
    <n v="1547.6549607405"/>
    <n v="376596.040446856"/>
  </r>
  <r>
    <x v="0"/>
    <x v="0"/>
    <x v="0"/>
    <x v="0"/>
    <x v="0"/>
    <x v="0"/>
    <x v="11"/>
    <n v="1832.9014541273"/>
    <n v="446006.02050430898"/>
  </r>
  <r>
    <x v="0"/>
    <x v="0"/>
    <x v="0"/>
    <x v="0"/>
    <x v="0"/>
    <x v="1"/>
    <x v="0"/>
    <n v="1624.7486076017999"/>
    <n v="395355.49451643799"/>
  </r>
  <r>
    <x v="0"/>
    <x v="0"/>
    <x v="0"/>
    <x v="0"/>
    <x v="0"/>
    <x v="1"/>
    <x v="1"/>
    <n v="2511.3255465067"/>
    <n v="611089.21631662897"/>
  </r>
  <r>
    <x v="0"/>
    <x v="0"/>
    <x v="0"/>
    <x v="0"/>
    <x v="0"/>
    <x v="1"/>
    <x v="2"/>
    <n v="2717.5510518606602"/>
    <n v="661270.75595276104"/>
  </r>
  <r>
    <x v="0"/>
    <x v="0"/>
    <x v="0"/>
    <x v="0"/>
    <x v="0"/>
    <x v="1"/>
    <x v="3"/>
    <n v="2138.3850298151801"/>
    <n v="520340.35725502699"/>
  </r>
  <r>
    <x v="0"/>
    <x v="0"/>
    <x v="0"/>
    <x v="0"/>
    <x v="0"/>
    <x v="1"/>
    <x v="4"/>
    <n v="2765.7345811489699"/>
    <n v="672995.41474624898"/>
  </r>
  <r>
    <x v="0"/>
    <x v="0"/>
    <x v="0"/>
    <x v="0"/>
    <x v="0"/>
    <x v="1"/>
    <x v="5"/>
    <n v="1504.2897843810299"/>
    <n v="366043.847532716"/>
  </r>
  <r>
    <x v="0"/>
    <x v="0"/>
    <x v="0"/>
    <x v="0"/>
    <x v="0"/>
    <x v="1"/>
    <x v="6"/>
    <n v="1918.66813626049"/>
    <n v="466875.91315671901"/>
  </r>
  <r>
    <x v="0"/>
    <x v="0"/>
    <x v="0"/>
    <x v="0"/>
    <x v="0"/>
    <x v="1"/>
    <x v="7"/>
    <n v="1668.11378396128"/>
    <n v="405907.68743057799"/>
  </r>
  <r>
    <x v="0"/>
    <x v="0"/>
    <x v="0"/>
    <x v="0"/>
    <x v="0"/>
    <x v="1"/>
    <x v="8"/>
    <n v="1848.32018349956"/>
    <n v="449757.91131822497"/>
  </r>
  <r>
    <x v="0"/>
    <x v="0"/>
    <x v="0"/>
    <x v="0"/>
    <x v="0"/>
    <x v="1"/>
    <x v="9"/>
    <n v="1972.63368906339"/>
    <n v="480007.53100542602"/>
  </r>
  <r>
    <x v="0"/>
    <x v="0"/>
    <x v="0"/>
    <x v="0"/>
    <x v="0"/>
    <x v="1"/>
    <x v="10"/>
    <n v="1494.6530785233599"/>
    <n v="363698.91577401903"/>
  </r>
  <r>
    <x v="0"/>
    <x v="0"/>
    <x v="0"/>
    <x v="0"/>
    <x v="0"/>
    <x v="1"/>
    <x v="11"/>
    <n v="1666.1864427897499"/>
    <n v="405438.70107883803"/>
  </r>
  <r>
    <x v="0"/>
    <x v="0"/>
    <x v="0"/>
    <x v="0"/>
    <x v="0"/>
    <x v="2"/>
    <x v="0"/>
    <n v="1473.4523256365101"/>
    <n v="358540.06590488303"/>
  </r>
  <r>
    <x v="0"/>
    <x v="0"/>
    <x v="0"/>
    <x v="0"/>
    <x v="0"/>
    <x v="2"/>
    <x v="1"/>
    <n v="2497.83415830597"/>
    <n v="607806.31185445201"/>
  </r>
  <r>
    <x v="0"/>
    <x v="0"/>
    <x v="0"/>
    <x v="0"/>
    <x v="0"/>
    <x v="2"/>
    <x v="2"/>
    <n v="2689.6046048734402"/>
    <n v="654470.45385253697"/>
  </r>
  <r>
    <x v="0"/>
    <x v="0"/>
    <x v="0"/>
    <x v="0"/>
    <x v="0"/>
    <x v="2"/>
    <x v="3"/>
    <n v="2080.5647946692102"/>
    <n v="506270.76670284098"/>
  </r>
  <r>
    <x v="0"/>
    <x v="0"/>
    <x v="0"/>
    <x v="0"/>
    <x v="0"/>
    <x v="2"/>
    <x v="4"/>
    <n v="2613.4746285979099"/>
    <n v="635945.49295882497"/>
  </r>
  <r>
    <x v="0"/>
    <x v="0"/>
    <x v="0"/>
    <x v="0"/>
    <x v="0"/>
    <x v="2"/>
    <x v="5"/>
    <n v="1619.93025467297"/>
    <n v="394183.02863708901"/>
  </r>
  <r>
    <x v="0"/>
    <x v="0"/>
    <x v="0"/>
    <x v="0"/>
    <x v="0"/>
    <x v="2"/>
    <x v="6"/>
    <n v="2456.3963231180201"/>
    <n v="597723.10529205203"/>
  </r>
  <r>
    <x v="0"/>
    <x v="0"/>
    <x v="0"/>
    <x v="0"/>
    <x v="0"/>
    <x v="2"/>
    <x v="7"/>
    <n v="2100.8018769702999"/>
    <n v="511195.12339610601"/>
  </r>
  <r>
    <x v="0"/>
    <x v="0"/>
    <x v="0"/>
    <x v="0"/>
    <x v="0"/>
    <x v="2"/>
    <x v="8"/>
    <n v="2125.8573122002199"/>
    <n v="517291.94596872001"/>
  </r>
  <r>
    <x v="0"/>
    <x v="0"/>
    <x v="0"/>
    <x v="0"/>
    <x v="0"/>
    <x v="2"/>
    <x v="9"/>
    <n v="2060.32771236812"/>
    <n v="501346.41000957502"/>
  </r>
  <r>
    <x v="0"/>
    <x v="0"/>
    <x v="0"/>
    <x v="0"/>
    <x v="0"/>
    <x v="2"/>
    <x v="10"/>
    <n v="1509.10813730986"/>
    <n v="367216.31341206498"/>
  </r>
  <r>
    <x v="0"/>
    <x v="0"/>
    <x v="0"/>
    <x v="0"/>
    <x v="0"/>
    <x v="2"/>
    <x v="11"/>
    <n v="1953.36027734807"/>
    <n v="475317.66748803097"/>
  </r>
  <r>
    <x v="0"/>
    <x v="0"/>
    <x v="0"/>
    <x v="0"/>
    <x v="1"/>
    <x v="0"/>
    <x v="0"/>
    <n v="63.216170312493198"/>
    <n v="15382.6014427067"/>
  </r>
  <r>
    <x v="0"/>
    <x v="0"/>
    <x v="0"/>
    <x v="0"/>
    <x v="1"/>
    <x v="0"/>
    <x v="1"/>
    <n v="100.525826635594"/>
    <n v="24461.284481327799"/>
  </r>
  <r>
    <x v="0"/>
    <x v="0"/>
    <x v="0"/>
    <x v="0"/>
    <x v="1"/>
    <x v="0"/>
    <x v="2"/>
    <n v="105.193988028455"/>
    <n v="25597.203753590798"/>
  </r>
  <r>
    <x v="0"/>
    <x v="0"/>
    <x v="0"/>
    <x v="0"/>
    <x v="1"/>
    <x v="0"/>
    <x v="3"/>
    <n v="80.926675749533203"/>
    <n v="19692.157765719799"/>
  </r>
  <r>
    <x v="0"/>
    <x v="0"/>
    <x v="0"/>
    <x v="0"/>
    <x v="1"/>
    <x v="0"/>
    <x v="4"/>
    <n v="101.167253391865"/>
    <n v="24617.364992020401"/>
  </r>
  <r>
    <x v="0"/>
    <x v="0"/>
    <x v="0"/>
    <x v="0"/>
    <x v="1"/>
    <x v="0"/>
    <x v="5"/>
    <n v="62.752917655186302"/>
    <n v="15269.8766294287"/>
  </r>
  <r>
    <x v="0"/>
    <x v="0"/>
    <x v="0"/>
    <x v="0"/>
    <x v="1"/>
    <x v="0"/>
    <x v="6"/>
    <n v="90.726251192563495"/>
    <n v="22076.721123523799"/>
  </r>
  <r>
    <x v="0"/>
    <x v="0"/>
    <x v="0"/>
    <x v="0"/>
    <x v="1"/>
    <x v="0"/>
    <x v="7"/>
    <n v="83.492382774617496"/>
    <n v="20316.479808490301"/>
  </r>
  <r>
    <x v="0"/>
    <x v="0"/>
    <x v="0"/>
    <x v="0"/>
    <x v="1"/>
    <x v="0"/>
    <x v="8"/>
    <n v="84.917775566331002"/>
    <n v="20663.325387807199"/>
  </r>
  <r>
    <x v="0"/>
    <x v="0"/>
    <x v="0"/>
    <x v="0"/>
    <x v="1"/>
    <x v="0"/>
    <x v="9"/>
    <n v="80.819771290154705"/>
    <n v="19666.144347271002"/>
  </r>
  <r>
    <x v="0"/>
    <x v="0"/>
    <x v="0"/>
    <x v="0"/>
    <x v="1"/>
    <x v="0"/>
    <x v="10"/>
    <n v="57.229520587296498"/>
    <n v="13925.850009575501"/>
  </r>
  <r>
    <x v="0"/>
    <x v="0"/>
    <x v="0"/>
    <x v="0"/>
    <x v="1"/>
    <x v="0"/>
    <x v="11"/>
    <n v="67.777427245976298"/>
    <n v="16492.5072965209"/>
  </r>
  <r>
    <x v="0"/>
    <x v="0"/>
    <x v="0"/>
    <x v="0"/>
    <x v="1"/>
    <x v="1"/>
    <x v="0"/>
    <n v="60.080306170723503"/>
    <n v="14619.5411682094"/>
  </r>
  <r>
    <x v="0"/>
    <x v="0"/>
    <x v="0"/>
    <x v="0"/>
    <x v="1"/>
    <x v="1"/>
    <x v="1"/>
    <n v="92.864340380133697"/>
    <n v="22596.9894924992"/>
  </r>
  <r>
    <x v="0"/>
    <x v="0"/>
    <x v="0"/>
    <x v="0"/>
    <x v="1"/>
    <x v="1"/>
    <x v="2"/>
    <n v="100.490191815801"/>
    <n v="24452.613341844899"/>
  </r>
  <r>
    <x v="0"/>
    <x v="0"/>
    <x v="0"/>
    <x v="0"/>
    <x v="1"/>
    <x v="1"/>
    <x v="3"/>
    <n v="79.073665120305705"/>
    <n v="19241.258512607699"/>
  </r>
  <r>
    <x v="0"/>
    <x v="0"/>
    <x v="0"/>
    <x v="0"/>
    <x v="1"/>
    <x v="1"/>
    <x v="4"/>
    <n v="102.271932805443"/>
    <n v="24886.170315991101"/>
  </r>
  <r>
    <x v="0"/>
    <x v="0"/>
    <x v="0"/>
    <x v="0"/>
    <x v="1"/>
    <x v="1"/>
    <x v="5"/>
    <n v="55.625953696618801"/>
    <n v="13535.6487328439"/>
  </r>
  <r>
    <x v="0"/>
    <x v="0"/>
    <x v="0"/>
    <x v="0"/>
    <x v="1"/>
    <x v="1"/>
    <x v="6"/>
    <n v="70.948926207538804"/>
    <n v="17264.2387105011"/>
  </r>
  <r>
    <x v="0"/>
    <x v="0"/>
    <x v="0"/>
    <x v="0"/>
    <x v="1"/>
    <x v="1"/>
    <x v="7"/>
    <n v="61.683873061401201"/>
    <n v="15009.742444940901"/>
  </r>
  <r>
    <x v="0"/>
    <x v="0"/>
    <x v="0"/>
    <x v="0"/>
    <x v="1"/>
    <x v="1"/>
    <x v="8"/>
    <n v="68.347584362661706"/>
    <n v="16631.245528247699"/>
  </r>
  <r>
    <x v="0"/>
    <x v="0"/>
    <x v="0"/>
    <x v="0"/>
    <x v="1"/>
    <x v="1"/>
    <x v="9"/>
    <n v="72.944476115937704"/>
    <n v="17749.8225215448"/>
  </r>
  <r>
    <x v="0"/>
    <x v="0"/>
    <x v="0"/>
    <x v="0"/>
    <x v="1"/>
    <x v="1"/>
    <x v="10"/>
    <n v="55.269605498690503"/>
    <n v="13448.937338014701"/>
  </r>
  <r>
    <x v="0"/>
    <x v="0"/>
    <x v="0"/>
    <x v="0"/>
    <x v="1"/>
    <x v="1"/>
    <x v="11"/>
    <n v="61.6126034218155"/>
    <n v="14992.400165975099"/>
  </r>
  <r>
    <x v="0"/>
    <x v="0"/>
    <x v="0"/>
    <x v="0"/>
    <x v="1"/>
    <x v="2"/>
    <x v="0"/>
    <n v="54.485639463247999"/>
    <n v="13258.172269390399"/>
  </r>
  <r>
    <x v="0"/>
    <x v="0"/>
    <x v="0"/>
    <x v="0"/>
    <x v="1"/>
    <x v="2"/>
    <x v="1"/>
    <n v="92.365452903033997"/>
    <n v="22475.5935397383"/>
  </r>
  <r>
    <x v="0"/>
    <x v="0"/>
    <x v="0"/>
    <x v="0"/>
    <x v="1"/>
    <x v="2"/>
    <x v="2"/>
    <n v="99.456782041808594"/>
    <n v="24201.1502968401"/>
  </r>
  <r>
    <x v="0"/>
    <x v="0"/>
    <x v="0"/>
    <x v="0"/>
    <x v="1"/>
    <x v="2"/>
    <x v="3"/>
    <n v="76.935575932735503"/>
    <n v="18720.990143632302"/>
  </r>
  <r>
    <x v="0"/>
    <x v="0"/>
    <x v="0"/>
    <x v="0"/>
    <x v="1"/>
    <x v="2"/>
    <x v="4"/>
    <n v="96.641631278174401"/>
    <n v="23516.130277689099"/>
  </r>
  <r>
    <x v="0"/>
    <x v="0"/>
    <x v="0"/>
    <x v="0"/>
    <x v="1"/>
    <x v="2"/>
    <x v="5"/>
    <n v="59.902132071759297"/>
    <n v="14576.1854707948"/>
  </r>
  <r>
    <x v="0"/>
    <x v="0"/>
    <x v="0"/>
    <x v="0"/>
    <x v="1"/>
    <x v="2"/>
    <x v="6"/>
    <n v="90.833155651941993"/>
    <n v="22102.734541972499"/>
  </r>
  <r>
    <x v="0"/>
    <x v="0"/>
    <x v="0"/>
    <x v="0"/>
    <x v="1"/>
    <x v="2"/>
    <x v="7"/>
    <n v="77.683907148385103"/>
    <n v="18903.084072773701"/>
  </r>
  <r>
    <x v="0"/>
    <x v="0"/>
    <x v="0"/>
    <x v="0"/>
    <x v="1"/>
    <x v="2"/>
    <x v="8"/>
    <n v="78.610412462998795"/>
    <n v="19128.533699329699"/>
  </r>
  <r>
    <x v="0"/>
    <x v="0"/>
    <x v="0"/>
    <x v="0"/>
    <x v="1"/>
    <x v="2"/>
    <x v="9"/>
    <n v="76.187244717085903"/>
    <n v="18538.896214490898"/>
  </r>
  <r>
    <x v="0"/>
    <x v="0"/>
    <x v="0"/>
    <x v="0"/>
    <x v="1"/>
    <x v="2"/>
    <x v="10"/>
    <n v="55.804127795583"/>
    <n v="13579.004430258499"/>
  </r>
  <r>
    <x v="0"/>
    <x v="0"/>
    <x v="0"/>
    <x v="0"/>
    <x v="1"/>
    <x v="2"/>
    <x v="11"/>
    <n v="72.231779720080993"/>
    <n v="17576.399731886399"/>
  </r>
  <r>
    <x v="0"/>
    <x v="0"/>
    <x v="0"/>
    <x v="1"/>
    <x v="0"/>
    <x v="0"/>
    <x v="0"/>
    <n v="1260.88012103394"/>
    <n v="306814.16278492601"/>
  </r>
  <r>
    <x v="0"/>
    <x v="0"/>
    <x v="0"/>
    <x v="1"/>
    <x v="0"/>
    <x v="0"/>
    <x v="1"/>
    <n v="1977.8511702493199"/>
    <n v="481277.11809400201"/>
  </r>
  <r>
    <x v="0"/>
    <x v="0"/>
    <x v="0"/>
    <x v="1"/>
    <x v="0"/>
    <x v="0"/>
    <x v="2"/>
    <n v="1888.8478675880999"/>
    <n v="459619.647779772"/>
  </r>
  <r>
    <x v="0"/>
    <x v="0"/>
    <x v="0"/>
    <x v="1"/>
    <x v="0"/>
    <x v="0"/>
    <x v="3"/>
    <n v="1555.5799454010901"/>
    <n v="378524.45338093198"/>
  </r>
  <r>
    <x v="0"/>
    <x v="0"/>
    <x v="0"/>
    <x v="1"/>
    <x v="0"/>
    <x v="0"/>
    <x v="4"/>
    <n v="1827.53448131037"/>
    <n v="444700.05711885798"/>
  </r>
  <r>
    <x v="0"/>
    <x v="0"/>
    <x v="0"/>
    <x v="1"/>
    <x v="0"/>
    <x v="0"/>
    <x v="5"/>
    <n v="1113.5302088503699"/>
    <n v="270959.01748692302"/>
  </r>
  <r>
    <x v="0"/>
    <x v="0"/>
    <x v="0"/>
    <x v="1"/>
    <x v="0"/>
    <x v="0"/>
    <x v="6"/>
    <n v="1684.1402714673"/>
    <n v="409807.466057043"/>
  </r>
  <r>
    <x v="0"/>
    <x v="0"/>
    <x v="0"/>
    <x v="1"/>
    <x v="0"/>
    <x v="0"/>
    <x v="7"/>
    <n v="1455.6984613034999"/>
    <n v="354219.95891718502"/>
  </r>
  <r>
    <x v="0"/>
    <x v="0"/>
    <x v="0"/>
    <x v="1"/>
    <x v="0"/>
    <x v="0"/>
    <x v="8"/>
    <n v="1649.52787598793"/>
    <n v="401385.11649039801"/>
  </r>
  <r>
    <x v="0"/>
    <x v="0"/>
    <x v="0"/>
    <x v="1"/>
    <x v="0"/>
    <x v="0"/>
    <x v="9"/>
    <n v="1633.7050666259399"/>
    <n v="397534.89954564598"/>
  </r>
  <r>
    <x v="0"/>
    <x v="0"/>
    <x v="0"/>
    <x v="1"/>
    <x v="0"/>
    <x v="0"/>
    <x v="10"/>
    <n v="1220.33417204383"/>
    <n v="296947.98186399898"/>
  </r>
  <r>
    <x v="0"/>
    <x v="0"/>
    <x v="0"/>
    <x v="1"/>
    <x v="0"/>
    <x v="0"/>
    <x v="11"/>
    <n v="1470.5323450803701"/>
    <n v="357829.53730288998"/>
  </r>
  <r>
    <x v="0"/>
    <x v="0"/>
    <x v="0"/>
    <x v="1"/>
    <x v="0"/>
    <x v="1"/>
    <x v="0"/>
    <n v="1001.78161773128"/>
    <n v="243766.86031461199"/>
  </r>
  <r>
    <x v="0"/>
    <x v="0"/>
    <x v="0"/>
    <x v="1"/>
    <x v="0"/>
    <x v="1"/>
    <x v="1"/>
    <n v="1636.6718433813101"/>
    <n v="398256.81522278697"/>
  </r>
  <r>
    <x v="0"/>
    <x v="0"/>
    <x v="0"/>
    <x v="1"/>
    <x v="0"/>
    <x v="1"/>
    <x v="2"/>
    <n v="1642.6053968920601"/>
    <n v="399700.64657706901"/>
  </r>
  <r>
    <x v="0"/>
    <x v="0"/>
    <x v="0"/>
    <x v="1"/>
    <x v="0"/>
    <x v="1"/>
    <x v="3"/>
    <n v="1365.70623305716"/>
    <n v="332321.85004390799"/>
  </r>
  <r>
    <x v="0"/>
    <x v="0"/>
    <x v="0"/>
    <x v="1"/>
    <x v="0"/>
    <x v="1"/>
    <x v="4"/>
    <n v="1757.3207647665199"/>
    <n v="427614.71942652098"/>
  </r>
  <r>
    <x v="0"/>
    <x v="0"/>
    <x v="0"/>
    <x v="1"/>
    <x v="0"/>
    <x v="1"/>
    <x v="5"/>
    <n v="1162.9764881066001"/>
    <n v="282990.94543927303"/>
  </r>
  <r>
    <x v="0"/>
    <x v="0"/>
    <x v="0"/>
    <x v="1"/>
    <x v="0"/>
    <x v="1"/>
    <x v="6"/>
    <n v="1506.1336661448599"/>
    <n v="366492.52542858198"/>
  </r>
  <r>
    <x v="0"/>
    <x v="0"/>
    <x v="0"/>
    <x v="1"/>
    <x v="0"/>
    <x v="1"/>
    <x v="7"/>
    <n v="1148.1426043297299"/>
    <n v="279381.36705356801"/>
  </r>
  <r>
    <x v="0"/>
    <x v="0"/>
    <x v="0"/>
    <x v="1"/>
    <x v="0"/>
    <x v="1"/>
    <x v="8"/>
    <n v="1380.54011683403"/>
    <n v="335931.42842961301"/>
  </r>
  <r>
    <x v="0"/>
    <x v="0"/>
    <x v="0"/>
    <x v="1"/>
    <x v="0"/>
    <x v="1"/>
    <x v="9"/>
    <n v="1445.8092054522499"/>
    <n v="351813.57332671498"/>
  </r>
  <r>
    <x v="0"/>
    <x v="0"/>
    <x v="0"/>
    <x v="1"/>
    <x v="0"/>
    <x v="1"/>
    <x v="10"/>
    <n v="1116.4969856057401"/>
    <n v="271680.93316406402"/>
  </r>
  <r>
    <x v="0"/>
    <x v="0"/>
    <x v="0"/>
    <x v="1"/>
    <x v="0"/>
    <x v="1"/>
    <x v="11"/>
    <n v="1290.5478885876801"/>
    <n v="314033.31955633598"/>
  </r>
  <r>
    <x v="0"/>
    <x v="0"/>
    <x v="0"/>
    <x v="1"/>
    <x v="0"/>
    <x v="2"/>
    <x v="0"/>
    <n v="1022.5490550189"/>
    <n v="248820.27005459901"/>
  </r>
  <r>
    <x v="0"/>
    <x v="0"/>
    <x v="0"/>
    <x v="1"/>
    <x v="0"/>
    <x v="2"/>
    <x v="1"/>
    <n v="1610.95977816807"/>
    <n v="392000.21268756402"/>
  </r>
  <r>
    <x v="0"/>
    <x v="0"/>
    <x v="0"/>
    <x v="1"/>
    <x v="0"/>
    <x v="2"/>
    <x v="2"/>
    <n v="1567.4470524225901"/>
    <n v="381412.116089496"/>
  </r>
  <r>
    <x v="0"/>
    <x v="0"/>
    <x v="0"/>
    <x v="1"/>
    <x v="0"/>
    <x v="2"/>
    <x v="3"/>
    <n v="1321.20458172655"/>
    <n v="321493.11488679302"/>
  </r>
  <r>
    <x v="0"/>
    <x v="0"/>
    <x v="0"/>
    <x v="1"/>
    <x v="0"/>
    <x v="2"/>
    <x v="4"/>
    <n v="1708.8634110954099"/>
    <n v="415823.430033218"/>
  </r>
  <r>
    <x v="0"/>
    <x v="0"/>
    <x v="0"/>
    <x v="1"/>
    <x v="0"/>
    <x v="2"/>
    <x v="5"/>
    <n v="1040.34971555114"/>
    <n v="253151.76411744501"/>
  </r>
  <r>
    <x v="0"/>
    <x v="0"/>
    <x v="0"/>
    <x v="1"/>
    <x v="0"/>
    <x v="2"/>
    <x v="6"/>
    <n v="1659.41713183918"/>
    <n v="403791.50208086701"/>
  </r>
  <r>
    <x v="0"/>
    <x v="0"/>
    <x v="0"/>
    <x v="1"/>
    <x v="0"/>
    <x v="2"/>
    <x v="7"/>
    <n v="1294.5035909281801"/>
    <n v="314995.87379252398"/>
  </r>
  <r>
    <x v="0"/>
    <x v="0"/>
    <x v="0"/>
    <x v="1"/>
    <x v="0"/>
    <x v="2"/>
    <x v="8"/>
    <n v="1462.6209403993701"/>
    <n v="355904.42883051402"/>
  </r>
  <r>
    <x v="0"/>
    <x v="0"/>
    <x v="0"/>
    <x v="1"/>
    <x v="0"/>
    <x v="2"/>
    <x v="9"/>
    <n v="1455.6984613034999"/>
    <n v="354219.95891718502"/>
  </r>
  <r>
    <x v="0"/>
    <x v="0"/>
    <x v="0"/>
    <x v="1"/>
    <x v="0"/>
    <x v="2"/>
    <x v="10"/>
    <n v="1080.89566454125"/>
    <n v="263017.94503837201"/>
  </r>
  <r>
    <x v="0"/>
    <x v="0"/>
    <x v="0"/>
    <x v="1"/>
    <x v="0"/>
    <x v="2"/>
    <x v="11"/>
    <n v="1384.49581917453"/>
    <n v="336893.98266580101"/>
  </r>
  <r>
    <x v="0"/>
    <x v="0"/>
    <x v="0"/>
    <x v="1"/>
    <x v="1"/>
    <x v="0"/>
    <x v="0"/>
    <n v="67.936485946495296"/>
    <n v="16531.2115803138"/>
  </r>
  <r>
    <x v="0"/>
    <x v="0"/>
    <x v="0"/>
    <x v="1"/>
    <x v="1"/>
    <x v="0"/>
    <x v="1"/>
    <n v="106.567036778816"/>
    <n v="25931.312282845302"/>
  </r>
  <r>
    <x v="0"/>
    <x v="0"/>
    <x v="0"/>
    <x v="1"/>
    <x v="1"/>
    <x v="0"/>
    <x v="2"/>
    <n v="101.77152012376899"/>
    <n v="24764.403230117201"/>
  </r>
  <r>
    <x v="0"/>
    <x v="0"/>
    <x v="0"/>
    <x v="1"/>
    <x v="1"/>
    <x v="0"/>
    <x v="3"/>
    <n v="83.814974426538896"/>
    <n v="20394.977110457799"/>
  </r>
  <r>
    <x v="0"/>
    <x v="0"/>
    <x v="0"/>
    <x v="1"/>
    <x v="1"/>
    <x v="0"/>
    <x v="4"/>
    <n v="98.467941983626105"/>
    <n v="23960.532549349002"/>
  </r>
  <r>
    <x v="0"/>
    <x v="0"/>
    <x v="0"/>
    <x v="1"/>
    <x v="1"/>
    <x v="0"/>
    <x v="5"/>
    <n v="59.997241706473503"/>
    <n v="14599.328815241901"/>
  </r>
  <r>
    <x v="0"/>
    <x v="0"/>
    <x v="0"/>
    <x v="1"/>
    <x v="1"/>
    <x v="0"/>
    <x v="6"/>
    <n v="90.741831817161895"/>
    <n v="22080.5124088427"/>
  </r>
  <r>
    <x v="0"/>
    <x v="0"/>
    <x v="0"/>
    <x v="1"/>
    <x v="1"/>
    <x v="0"/>
    <x v="7"/>
    <n v="78.433339069208699"/>
    <n v="19085.445840174099"/>
  </r>
  <r>
    <x v="0"/>
    <x v="0"/>
    <x v="0"/>
    <x v="1"/>
    <x v="1"/>
    <x v="0"/>
    <x v="8"/>
    <n v="88.876908673532597"/>
    <n v="21626.714443892899"/>
  </r>
  <r>
    <x v="0"/>
    <x v="0"/>
    <x v="0"/>
    <x v="1"/>
    <x v="1"/>
    <x v="0"/>
    <x v="9"/>
    <n v="88.024372379302093"/>
    <n v="21419.263945630199"/>
  </r>
  <r>
    <x v="0"/>
    <x v="0"/>
    <x v="0"/>
    <x v="1"/>
    <x v="1"/>
    <x v="0"/>
    <x v="10"/>
    <n v="65.751861692529502"/>
    <n v="15999.619678515501"/>
  </r>
  <r>
    <x v="0"/>
    <x v="0"/>
    <x v="0"/>
    <x v="1"/>
    <x v="1"/>
    <x v="0"/>
    <x v="11"/>
    <n v="79.232591845049797"/>
    <n v="19279.930682295399"/>
  </r>
  <r>
    <x v="0"/>
    <x v="0"/>
    <x v="0"/>
    <x v="1"/>
    <x v="1"/>
    <x v="1"/>
    <x v="0"/>
    <n v="53.9762041284704"/>
    <n v="13134.2096712611"/>
  </r>
  <r>
    <x v="0"/>
    <x v="0"/>
    <x v="0"/>
    <x v="1"/>
    <x v="1"/>
    <x v="1"/>
    <x v="1"/>
    <n v="88.184222934470299"/>
    <n v="21458.160914054399"/>
  </r>
  <r>
    <x v="0"/>
    <x v="0"/>
    <x v="0"/>
    <x v="1"/>
    <x v="1"/>
    <x v="1"/>
    <x v="2"/>
    <n v="88.503924044806794"/>
    <n v="21535.954850902999"/>
  </r>
  <r>
    <x v="0"/>
    <x v="0"/>
    <x v="0"/>
    <x v="1"/>
    <x v="1"/>
    <x v="1"/>
    <x v="3"/>
    <n v="73.584538895772496"/>
    <n v="17905.571131304601"/>
  </r>
  <r>
    <x v="0"/>
    <x v="0"/>
    <x v="0"/>
    <x v="1"/>
    <x v="1"/>
    <x v="1"/>
    <x v="4"/>
    <n v="94.684812177978102"/>
    <n v="23039.970963307998"/>
  </r>
  <r>
    <x v="0"/>
    <x v="0"/>
    <x v="0"/>
    <x v="1"/>
    <x v="1"/>
    <x v="1"/>
    <x v="5"/>
    <n v="62.661417625943898"/>
    <n v="15247.611622312999"/>
  </r>
  <r>
    <x v="0"/>
    <x v="0"/>
    <x v="0"/>
    <x v="1"/>
    <x v="1"/>
    <x v="1"/>
    <x v="6"/>
    <n v="81.150798507068501"/>
    <n v="19746.694303386699"/>
  </r>
  <r>
    <x v="0"/>
    <x v="0"/>
    <x v="0"/>
    <x v="1"/>
    <x v="1"/>
    <x v="1"/>
    <x v="7"/>
    <n v="61.862164850102801"/>
    <n v="15053.1267801917"/>
  </r>
  <r>
    <x v="0"/>
    <x v="0"/>
    <x v="0"/>
    <x v="1"/>
    <x v="1"/>
    <x v="1"/>
    <x v="8"/>
    <n v="74.383791671613693"/>
    <n v="18100.055973425999"/>
  </r>
  <r>
    <x v="0"/>
    <x v="0"/>
    <x v="0"/>
    <x v="1"/>
    <x v="1"/>
    <x v="1"/>
    <x v="9"/>
    <n v="77.900503885314606"/>
    <n v="18955.789278759901"/>
  </r>
  <r>
    <x v="0"/>
    <x v="0"/>
    <x v="0"/>
    <x v="1"/>
    <x v="1"/>
    <x v="1"/>
    <x v="10"/>
    <n v="60.157092261641701"/>
    <n v="14638.225783666099"/>
  </r>
  <r>
    <x v="0"/>
    <x v="0"/>
    <x v="0"/>
    <x v="1"/>
    <x v="1"/>
    <x v="1"/>
    <x v="11"/>
    <n v="69.534991498177504"/>
    <n v="16920.181264556501"/>
  </r>
  <r>
    <x v="0"/>
    <x v="0"/>
    <x v="0"/>
    <x v="1"/>
    <x v="1"/>
    <x v="2"/>
    <x v="0"/>
    <n v="55.0951580146479"/>
    <n v="13406.488450231"/>
  </r>
  <r>
    <x v="0"/>
    <x v="0"/>
    <x v="0"/>
    <x v="1"/>
    <x v="1"/>
    <x v="2"/>
    <x v="1"/>
    <n v="86.798851456345702"/>
    <n v="21121.0538543775"/>
  </r>
  <r>
    <x v="0"/>
    <x v="0"/>
    <x v="0"/>
    <x v="1"/>
    <x v="1"/>
    <x v="2"/>
    <x v="2"/>
    <n v="84.454376647211802"/>
    <n v="20550.564984154898"/>
  </r>
  <r>
    <x v="0"/>
    <x v="0"/>
    <x v="0"/>
    <x v="1"/>
    <x v="1"/>
    <x v="2"/>
    <x v="3"/>
    <n v="71.186780568249205"/>
    <n v="17322.116604940598"/>
  </r>
  <r>
    <x v="0"/>
    <x v="0"/>
    <x v="0"/>
    <x v="1"/>
    <x v="1"/>
    <x v="2"/>
    <x v="4"/>
    <n v="92.0739197768971"/>
    <n v="22404.653812378299"/>
  </r>
  <r>
    <x v="0"/>
    <x v="0"/>
    <x v="0"/>
    <x v="1"/>
    <x v="1"/>
    <x v="2"/>
    <x v="5"/>
    <n v="56.054261345657302"/>
    <n v="13639.870260776601"/>
  </r>
  <r>
    <x v="0"/>
    <x v="0"/>
    <x v="0"/>
    <x v="1"/>
    <x v="1"/>
    <x v="2"/>
    <x v="6"/>
    <n v="89.409743857426704"/>
    <n v="21756.371005307199"/>
  </r>
  <r>
    <x v="0"/>
    <x v="0"/>
    <x v="0"/>
    <x v="1"/>
    <x v="1"/>
    <x v="2"/>
    <x v="7"/>
    <n v="69.748125571735102"/>
    <n v="16972.0438891222"/>
  </r>
  <r>
    <x v="0"/>
    <x v="0"/>
    <x v="0"/>
    <x v="1"/>
    <x v="1"/>
    <x v="2"/>
    <x v="8"/>
    <n v="78.806323697934502"/>
    <n v="19176.205433164101"/>
  </r>
  <r>
    <x v="0"/>
    <x v="0"/>
    <x v="0"/>
    <x v="1"/>
    <x v="1"/>
    <x v="2"/>
    <x v="9"/>
    <n v="78.433339069208699"/>
    <n v="19085.445840174099"/>
  </r>
  <r>
    <x v="0"/>
    <x v="0"/>
    <x v="0"/>
    <x v="1"/>
    <x v="1"/>
    <x v="2"/>
    <x v="10"/>
    <n v="58.238885599623003"/>
    <n v="14171.462162574901"/>
  </r>
  <r>
    <x v="0"/>
    <x v="0"/>
    <x v="0"/>
    <x v="1"/>
    <x v="1"/>
    <x v="2"/>
    <x v="11"/>
    <n v="74.596925745171305"/>
    <n v="18151.918597991698"/>
  </r>
</pivotCacheRecords>
</file>

<file path=xl/pivotCache/pivotCacheRecords23.xml><?xml version="1.0" encoding="utf-8"?>
<pivotCacheRecords xmlns="http://schemas.openxmlformats.org/spreadsheetml/2006/main" xmlns:r="http://schemas.openxmlformats.org/officeDocument/2006/relationships" count="4">
  <r>
    <x v="0"/>
    <x v="0"/>
    <x v="0"/>
    <x v="0"/>
    <x v="0"/>
    <x v="0"/>
    <x v="0"/>
  </r>
  <r>
    <x v="0"/>
    <x v="0"/>
    <x v="0"/>
    <x v="0"/>
    <x v="1"/>
    <x v="1"/>
    <x v="1"/>
  </r>
  <r>
    <x v="0"/>
    <x v="0"/>
    <x v="0"/>
    <x v="1"/>
    <x v="0"/>
    <x v="2"/>
    <x v="2"/>
  </r>
  <r>
    <x v="0"/>
    <x v="0"/>
    <x v="0"/>
    <x v="1"/>
    <x v="1"/>
    <x v="1"/>
    <x v="1"/>
  </r>
</pivotCacheRecords>
</file>

<file path=xl/pivotCache/pivotCacheRecords24.xml><?xml version="1.0" encoding="utf-8"?>
<pivotCacheRecords xmlns="http://schemas.openxmlformats.org/spreadsheetml/2006/main" xmlns:r="http://schemas.openxmlformats.org/officeDocument/2006/relationships" count="38">
  <r>
    <x v="0"/>
    <x v="0"/>
    <x v="0"/>
    <x v="0"/>
    <x v="0"/>
    <x v="0"/>
    <x v="0"/>
    <x v="0"/>
    <n v="894.51776712328694"/>
    <n v="217665.99"/>
    <n v="783597.56400000001"/>
  </r>
  <r>
    <x v="0"/>
    <x v="0"/>
    <x v="0"/>
    <x v="0"/>
    <x v="0"/>
    <x v="1"/>
    <x v="0"/>
    <x v="0"/>
    <n v="24668.425561643799"/>
    <n v="6002650.2199999997"/>
    <n v="21609540.791999999"/>
  </r>
  <r>
    <x v="0"/>
    <x v="0"/>
    <x v="0"/>
    <x v="0"/>
    <x v="0"/>
    <x v="2"/>
    <x v="0"/>
    <x v="0"/>
    <n v="11105.9785890411"/>
    <n v="2702454.79"/>
    <n v="9728837.2440000009"/>
  </r>
  <r>
    <x v="0"/>
    <x v="0"/>
    <x v="0"/>
    <x v="0"/>
    <x v="1"/>
    <x v="3"/>
    <x v="0"/>
    <x v="0"/>
    <n v="3052.4820410958901"/>
    <n v="742770.63"/>
    <n v="2673974.2680000002"/>
  </r>
  <r>
    <x v="0"/>
    <x v="0"/>
    <x v="0"/>
    <x v="0"/>
    <x v="2"/>
    <x v="0"/>
    <x v="0"/>
    <x v="0"/>
    <n v="7083.37771232876"/>
    <n v="1723621.91"/>
    <n v="6205038.8760000002"/>
  </r>
  <r>
    <x v="0"/>
    <x v="0"/>
    <x v="0"/>
    <x v="0"/>
    <x v="3"/>
    <x v="0"/>
    <x v="0"/>
    <x v="0"/>
    <n v="97.5819452054794"/>
    <n v="23744.94"/>
    <n v="85481.783999999898"/>
  </r>
  <r>
    <x v="0"/>
    <x v="0"/>
    <x v="0"/>
    <x v="0"/>
    <x v="3"/>
    <x v="1"/>
    <x v="0"/>
    <x v="0"/>
    <n v="6565.4888219178101"/>
    <n v="1597602.28"/>
    <n v="5751368.2079999996"/>
  </r>
  <r>
    <x v="0"/>
    <x v="0"/>
    <x v="0"/>
    <x v="0"/>
    <x v="3"/>
    <x v="2"/>
    <x v="0"/>
    <x v="0"/>
    <n v="1042.88128767123"/>
    <n v="253767.78"/>
    <n v="913564.00799999898"/>
  </r>
  <r>
    <x v="0"/>
    <x v="0"/>
    <x v="0"/>
    <x v="0"/>
    <x v="4"/>
    <x v="0"/>
    <x v="0"/>
    <x v="0"/>
    <n v="281.11023287671202"/>
    <n v="68403.490000000005"/>
    <n v="246252.56400000001"/>
  </r>
  <r>
    <x v="0"/>
    <x v="0"/>
    <x v="0"/>
    <x v="0"/>
    <x v="4"/>
    <x v="1"/>
    <x v="0"/>
    <x v="0"/>
    <n v="12474.5179315069"/>
    <n v="3035466.03"/>
    <n v="10927677.708000001"/>
  </r>
  <r>
    <x v="0"/>
    <x v="0"/>
    <x v="0"/>
    <x v="0"/>
    <x v="4"/>
    <x v="2"/>
    <x v="0"/>
    <x v="0"/>
    <n v="3493.6540273972601"/>
    <n v="850122.48"/>
    <n v="3060440.9279999998"/>
  </r>
  <r>
    <x v="0"/>
    <x v="0"/>
    <x v="0"/>
    <x v="0"/>
    <x v="5"/>
    <x v="3"/>
    <x v="0"/>
    <x v="0"/>
    <n v="9334.1081095890404"/>
    <n v="2271299.64"/>
    <n v="8176678.7039999999"/>
  </r>
  <r>
    <x v="0"/>
    <x v="0"/>
    <x v="0"/>
    <x v="0"/>
    <x v="6"/>
    <x v="0"/>
    <x v="0"/>
    <x v="0"/>
    <n v="27175.306273972601"/>
    <n v="6612657.8600000003"/>
    <n v="23805568.296"/>
  </r>
  <r>
    <x v="0"/>
    <x v="0"/>
    <x v="0"/>
    <x v="0"/>
    <x v="7"/>
    <x v="0"/>
    <x v="0"/>
    <x v="0"/>
    <n v="545.13883561643797"/>
    <n v="132650.45000000001"/>
    <n v="477541.62"/>
  </r>
  <r>
    <x v="0"/>
    <x v="0"/>
    <x v="0"/>
    <x v="0"/>
    <x v="7"/>
    <x v="1"/>
    <x v="0"/>
    <x v="0"/>
    <n v="16480.193876712299"/>
    <n v="4010180.51"/>
    <n v="14436649.835999999"/>
  </r>
  <r>
    <x v="0"/>
    <x v="0"/>
    <x v="0"/>
    <x v="0"/>
    <x v="7"/>
    <x v="2"/>
    <x v="0"/>
    <x v="0"/>
    <n v="4891.2782465753398"/>
    <n v="1190211.04"/>
    <n v="4284759.7439999999"/>
  </r>
  <r>
    <x v="0"/>
    <x v="0"/>
    <x v="0"/>
    <x v="0"/>
    <x v="8"/>
    <x v="0"/>
    <x v="0"/>
    <x v="0"/>
    <n v="32.927958904109602"/>
    <n v="8012.47"/>
    <n v="28844.892"/>
  </r>
  <r>
    <x v="0"/>
    <x v="0"/>
    <x v="0"/>
    <x v="0"/>
    <x v="8"/>
    <x v="1"/>
    <x v="0"/>
    <x v="0"/>
    <n v="1431.89252054794"/>
    <n v="348427.18"/>
    <n v="1254337.848"/>
  </r>
  <r>
    <x v="0"/>
    <x v="0"/>
    <x v="0"/>
    <x v="0"/>
    <x v="8"/>
    <x v="2"/>
    <x v="0"/>
    <x v="0"/>
    <n v="430.03705479451997"/>
    <n v="104642.35"/>
    <n v="376712.46"/>
  </r>
  <r>
    <x v="0"/>
    <x v="0"/>
    <x v="0"/>
    <x v="1"/>
    <x v="9"/>
    <x v="0"/>
    <x v="0"/>
    <x v="0"/>
    <n v="946.74115068493097"/>
    <n v="230373.68"/>
    <n v="829345.24800000002"/>
  </r>
  <r>
    <x v="0"/>
    <x v="0"/>
    <x v="0"/>
    <x v="1"/>
    <x v="9"/>
    <x v="1"/>
    <x v="0"/>
    <x v="0"/>
    <n v="19751.098849315102"/>
    <n v="4806100.72"/>
    <n v="17301962.592"/>
  </r>
  <r>
    <x v="0"/>
    <x v="0"/>
    <x v="0"/>
    <x v="1"/>
    <x v="9"/>
    <x v="2"/>
    <x v="0"/>
    <x v="0"/>
    <n v="14165.517534246599"/>
    <n v="3446942.6"/>
    <n v="12408993.359999999"/>
  </r>
  <r>
    <x v="0"/>
    <x v="0"/>
    <x v="0"/>
    <x v="1"/>
    <x v="10"/>
    <x v="3"/>
    <x v="0"/>
    <x v="0"/>
    <n v="1219.8621369862999"/>
    <n v="296833.12"/>
    <n v="1068599.2320000001"/>
  </r>
  <r>
    <x v="0"/>
    <x v="0"/>
    <x v="0"/>
    <x v="1"/>
    <x v="11"/>
    <x v="0"/>
    <x v="0"/>
    <x v="0"/>
    <n v="6743.5286301369897"/>
    <n v="1640925.3"/>
    <n v="5907331.0800000001"/>
  </r>
  <r>
    <x v="0"/>
    <x v="0"/>
    <x v="0"/>
    <x v="1"/>
    <x v="12"/>
    <x v="0"/>
    <x v="0"/>
    <x v="0"/>
    <n v="90.572630136986305"/>
    <n v="22039.34"/>
    <n v="79341.623999999996"/>
  </r>
  <r>
    <x v="0"/>
    <x v="0"/>
    <x v="0"/>
    <x v="1"/>
    <x v="12"/>
    <x v="1"/>
    <x v="0"/>
    <x v="0"/>
    <n v="1524.8688904109599"/>
    <n v="371051.43"/>
    <n v="1335785.148"/>
  </r>
  <r>
    <x v="0"/>
    <x v="0"/>
    <x v="0"/>
    <x v="1"/>
    <x v="12"/>
    <x v="2"/>
    <x v="0"/>
    <x v="0"/>
    <n v="1101.0009452054801"/>
    <n v="267910.23"/>
    <n v="964476.82799999998"/>
  </r>
  <r>
    <x v="0"/>
    <x v="0"/>
    <x v="0"/>
    <x v="1"/>
    <x v="13"/>
    <x v="0"/>
    <x v="0"/>
    <x v="0"/>
    <n v="241.26969863013699"/>
    <n v="58708.959999999999"/>
    <n v="211352.25599999999"/>
  </r>
  <r>
    <x v="0"/>
    <x v="0"/>
    <x v="0"/>
    <x v="1"/>
    <x v="13"/>
    <x v="1"/>
    <x v="0"/>
    <x v="0"/>
    <n v="5423.0865205479404"/>
    <n v="1319617.72"/>
    <n v="4750623.7920000004"/>
  </r>
  <r>
    <x v="0"/>
    <x v="0"/>
    <x v="0"/>
    <x v="1"/>
    <x v="13"/>
    <x v="2"/>
    <x v="0"/>
    <x v="0"/>
    <n v="1134.65063013699"/>
    <n v="276098.32"/>
    <n v="993953.95200000098"/>
  </r>
  <r>
    <x v="0"/>
    <x v="0"/>
    <x v="0"/>
    <x v="1"/>
    <x v="14"/>
    <x v="3"/>
    <x v="0"/>
    <x v="0"/>
    <n v="1869.64680821918"/>
    <n v="454947.39"/>
    <n v="1637810.6040000001"/>
  </r>
  <r>
    <x v="0"/>
    <x v="0"/>
    <x v="0"/>
    <x v="1"/>
    <x v="15"/>
    <x v="0"/>
    <x v="0"/>
    <x v="0"/>
    <n v="7112.2624520547897"/>
    <n v="1730650.53"/>
    <n v="6230341.9079999998"/>
  </r>
  <r>
    <x v="0"/>
    <x v="0"/>
    <x v="0"/>
    <x v="1"/>
    <x v="16"/>
    <x v="0"/>
    <x v="0"/>
    <x v="0"/>
    <n v="161.38705479452099"/>
    <n v="39270.85"/>
    <n v="141375.06"/>
  </r>
  <r>
    <x v="0"/>
    <x v="0"/>
    <x v="0"/>
    <x v="1"/>
    <x v="16"/>
    <x v="1"/>
    <x v="0"/>
    <x v="0"/>
    <n v="5917.7037945205502"/>
    <n v="1439974.59"/>
    <n v="5183908.5240000002"/>
  </r>
  <r>
    <x v="0"/>
    <x v="0"/>
    <x v="0"/>
    <x v="1"/>
    <x v="16"/>
    <x v="2"/>
    <x v="0"/>
    <x v="0"/>
    <n v="1867.5844931506799"/>
    <n v="454445.56"/>
    <n v="1636004.0160000001"/>
  </r>
  <r>
    <x v="0"/>
    <x v="0"/>
    <x v="0"/>
    <x v="1"/>
    <x v="17"/>
    <x v="0"/>
    <x v="0"/>
    <x v="0"/>
    <n v="5.0766986301369901"/>
    <n v="1235.33"/>
    <n v="4447.1880000000001"/>
  </r>
  <r>
    <x v="0"/>
    <x v="0"/>
    <x v="0"/>
    <x v="1"/>
    <x v="17"/>
    <x v="1"/>
    <x v="0"/>
    <x v="0"/>
    <n v="553.50090410958899"/>
    <n v="134685.22"/>
    <n v="484866.79200000002"/>
  </r>
  <r>
    <x v="0"/>
    <x v="0"/>
    <x v="0"/>
    <x v="1"/>
    <x v="17"/>
    <x v="2"/>
    <x v="0"/>
    <x v="0"/>
    <n v="79.629246575342506"/>
    <n v="19376.45"/>
    <n v="69755.22"/>
  </r>
</pivotCacheRecords>
</file>

<file path=xl/pivotCache/pivotCacheRecords25.xml><?xml version="1.0" encoding="utf-8"?>
<pivotCacheRecords xmlns="http://schemas.openxmlformats.org/spreadsheetml/2006/main" xmlns:r="http://schemas.openxmlformats.org/officeDocument/2006/relationships" count="34738">
  <r>
    <x v="0"/>
    <x v="0"/>
    <x v="0"/>
    <x v="0"/>
    <s v="DK1_Large"/>
    <x v="0"/>
    <n v="42.692399999999999"/>
    <n v="11.859"/>
  </r>
  <r>
    <x v="0"/>
    <x v="0"/>
    <x v="0"/>
    <x v="0"/>
    <s v="DK1_Large_PHH"/>
    <x v="0"/>
    <n v="42.692399999999999"/>
    <n v="11.859"/>
  </r>
  <r>
    <x v="0"/>
    <x v="0"/>
    <x v="0"/>
    <x v="0"/>
    <s v="DK1_Large_PHL"/>
    <x v="0"/>
    <n v="42.692399999999999"/>
    <n v="11.859"/>
  </r>
  <r>
    <x v="0"/>
    <x v="0"/>
    <x v="0"/>
    <x v="0"/>
    <s v="DK1_MedSmall"/>
    <x v="0"/>
    <n v="42.692399999999999"/>
    <n v="11.859"/>
  </r>
  <r>
    <x v="0"/>
    <x v="0"/>
    <x v="0"/>
    <x v="0"/>
    <s v="DK1_Medium"/>
    <x v="0"/>
    <n v="42.692399999999999"/>
    <n v="11.859"/>
  </r>
  <r>
    <x v="0"/>
    <x v="0"/>
    <x v="0"/>
    <x v="0"/>
    <s v="DK1_NoDH"/>
    <x v="0"/>
    <n v="42.692399999999999"/>
    <n v="11.859"/>
  </r>
  <r>
    <x v="0"/>
    <x v="0"/>
    <x v="0"/>
    <x v="0"/>
    <s v="DK1_NoDH_PHH"/>
    <x v="0"/>
    <n v="42.692399999999999"/>
    <n v="11.859"/>
  </r>
  <r>
    <x v="0"/>
    <x v="0"/>
    <x v="0"/>
    <x v="0"/>
    <s v="DK1_NoDH_PHL"/>
    <x v="0"/>
    <n v="42.692399999999999"/>
    <n v="11.859"/>
  </r>
  <r>
    <x v="0"/>
    <x v="0"/>
    <x v="0"/>
    <x v="0"/>
    <s v="DK1_Offshore"/>
    <x v="0"/>
    <n v="42.692399999999999"/>
    <n v="11.859"/>
  </r>
  <r>
    <x v="0"/>
    <x v="0"/>
    <x v="0"/>
    <x v="0"/>
    <s v="DK1_Rural"/>
    <x v="0"/>
    <n v="42.692399999999999"/>
    <n v="11.859"/>
  </r>
  <r>
    <x v="0"/>
    <x v="0"/>
    <x v="0"/>
    <x v="0"/>
    <s v="DK1_Small"/>
    <x v="0"/>
    <n v="42.692399999999999"/>
    <n v="11.859"/>
  </r>
  <r>
    <x v="0"/>
    <x v="0"/>
    <x v="0"/>
    <x v="1"/>
    <s v="DK2_Large"/>
    <x v="0"/>
    <n v="42.692399999999999"/>
    <n v="11.859"/>
  </r>
  <r>
    <x v="0"/>
    <x v="0"/>
    <x v="0"/>
    <x v="1"/>
    <s v="DK2_Large_PHH"/>
    <x v="0"/>
    <n v="42.692399999999999"/>
    <n v="11.859"/>
  </r>
  <r>
    <x v="0"/>
    <x v="0"/>
    <x v="0"/>
    <x v="1"/>
    <s v="DK2_Large_PHL"/>
    <x v="0"/>
    <n v="42.692399999999999"/>
    <n v="11.859"/>
  </r>
  <r>
    <x v="0"/>
    <x v="0"/>
    <x v="0"/>
    <x v="1"/>
    <s v="DK2_MedSmall"/>
    <x v="0"/>
    <n v="42.692399999999999"/>
    <n v="11.859"/>
  </r>
  <r>
    <x v="0"/>
    <x v="0"/>
    <x v="0"/>
    <x v="1"/>
    <s v="DK2_Medium"/>
    <x v="0"/>
    <n v="42.692399999999999"/>
    <n v="11.859"/>
  </r>
  <r>
    <x v="0"/>
    <x v="0"/>
    <x v="0"/>
    <x v="1"/>
    <s v="DK2_NoDH"/>
    <x v="0"/>
    <n v="42.692399999999999"/>
    <n v="11.859"/>
  </r>
  <r>
    <x v="0"/>
    <x v="0"/>
    <x v="0"/>
    <x v="1"/>
    <s v="DK2_NoDH_PHH"/>
    <x v="0"/>
    <n v="42.692399999999999"/>
    <n v="11.859"/>
  </r>
  <r>
    <x v="0"/>
    <x v="0"/>
    <x v="0"/>
    <x v="1"/>
    <s v="DK2_NoDH_PHL"/>
    <x v="0"/>
    <n v="42.692399999999999"/>
    <n v="11.859"/>
  </r>
  <r>
    <x v="0"/>
    <x v="0"/>
    <x v="0"/>
    <x v="1"/>
    <s v="DK2_Offshore"/>
    <x v="0"/>
    <n v="42.692399999999999"/>
    <n v="11.859"/>
  </r>
  <r>
    <x v="0"/>
    <x v="0"/>
    <x v="0"/>
    <x v="1"/>
    <s v="DK2_Rural"/>
    <x v="0"/>
    <n v="42.692399999999999"/>
    <n v="11.859"/>
  </r>
  <r>
    <x v="0"/>
    <x v="0"/>
    <x v="0"/>
    <x v="1"/>
    <s v="DK2_Small"/>
    <x v="0"/>
    <n v="42.692399999999999"/>
    <n v="11.859"/>
  </r>
  <r>
    <x v="0"/>
    <x v="0"/>
    <x v="1"/>
    <x v="2"/>
    <s v="EE_A"/>
    <x v="0"/>
    <n v="42.692399999999999"/>
    <n v="11.859"/>
  </r>
  <r>
    <x v="0"/>
    <x v="0"/>
    <x v="1"/>
    <x v="2"/>
    <s v="EE_Enefit"/>
    <x v="0"/>
    <n v="42.692399999999999"/>
    <n v="11.859"/>
  </r>
  <r>
    <x v="0"/>
    <x v="0"/>
    <x v="1"/>
    <x v="2"/>
    <s v="EE_Industry"/>
    <x v="0"/>
    <n v="42.692399999999999"/>
    <n v="11.859"/>
  </r>
  <r>
    <x v="0"/>
    <x v="0"/>
    <x v="1"/>
    <x v="2"/>
    <s v="EE_Kohtla_Jarve"/>
    <x v="0"/>
    <n v="42.692399999999999"/>
    <n v="11.859"/>
  </r>
  <r>
    <x v="0"/>
    <x v="0"/>
    <x v="1"/>
    <x v="2"/>
    <s v="EE_Narva"/>
    <x v="0"/>
    <n v="42.692399999999999"/>
    <n v="11.859"/>
  </r>
  <r>
    <x v="0"/>
    <x v="0"/>
    <x v="1"/>
    <x v="2"/>
    <s v="EE_OFFSHORE"/>
    <x v="0"/>
    <n v="42.692399999999999"/>
    <n v="11.859"/>
  </r>
  <r>
    <x v="0"/>
    <x v="0"/>
    <x v="1"/>
    <x v="2"/>
    <s v="EE_Parnu"/>
    <x v="0"/>
    <n v="42.692399999999999"/>
    <n v="11.859"/>
  </r>
  <r>
    <x v="0"/>
    <x v="0"/>
    <x v="1"/>
    <x v="2"/>
    <s v="EE_Rural"/>
    <x v="0"/>
    <n v="42.692399999999999"/>
    <n v="11.859"/>
  </r>
  <r>
    <x v="0"/>
    <x v="0"/>
    <x v="1"/>
    <x v="2"/>
    <s v="EE_Sillamae"/>
    <x v="0"/>
    <n v="42.692399999999999"/>
    <n v="11.859"/>
  </r>
  <r>
    <x v="0"/>
    <x v="0"/>
    <x v="1"/>
    <x v="2"/>
    <s v="EE_Tallinn"/>
    <x v="0"/>
    <n v="42.692399999999999"/>
    <n v="11.859"/>
  </r>
  <r>
    <x v="0"/>
    <x v="0"/>
    <x v="1"/>
    <x v="2"/>
    <s v="EE_Tartu"/>
    <x v="0"/>
    <n v="42.692399999999999"/>
    <n v="11.859"/>
  </r>
  <r>
    <x v="0"/>
    <x v="0"/>
    <x v="1"/>
    <x v="2"/>
    <s v="EE_Urban"/>
    <x v="0"/>
    <n v="42.692399999999999"/>
    <n v="11.859"/>
  </r>
  <r>
    <x v="0"/>
    <x v="0"/>
    <x v="2"/>
    <x v="3"/>
    <s v="FI_IND"/>
    <x v="0"/>
    <n v="42.692399999999999"/>
    <n v="11.859"/>
  </r>
  <r>
    <x v="0"/>
    <x v="0"/>
    <x v="2"/>
    <x v="3"/>
    <s v="FI_Offshore"/>
    <x v="0"/>
    <n v="42.692399999999999"/>
    <n v="11.859"/>
  </r>
  <r>
    <x v="0"/>
    <x v="0"/>
    <x v="2"/>
    <x v="3"/>
    <s v="FI_large"/>
    <x v="0"/>
    <n v="42.692399999999999"/>
    <n v="11.859"/>
  </r>
  <r>
    <x v="0"/>
    <x v="0"/>
    <x v="2"/>
    <x v="3"/>
    <s v="FI_large_gas"/>
    <x v="0"/>
    <n v="42.692399999999999"/>
    <n v="11.859"/>
  </r>
  <r>
    <x v="0"/>
    <x v="0"/>
    <x v="2"/>
    <x v="3"/>
    <s v="FI_medium"/>
    <x v="0"/>
    <n v="42.692399999999999"/>
    <n v="11.859"/>
  </r>
  <r>
    <x v="0"/>
    <x v="0"/>
    <x v="2"/>
    <x v="3"/>
    <s v="FI_medium_gas"/>
    <x v="0"/>
    <n v="42.692399999999999"/>
    <n v="11.859"/>
  </r>
  <r>
    <x v="0"/>
    <x v="0"/>
    <x v="2"/>
    <x v="3"/>
    <s v="FI_small"/>
    <x v="0"/>
    <n v="42.692399999999999"/>
    <n v="11.859"/>
  </r>
  <r>
    <x v="0"/>
    <x v="0"/>
    <x v="2"/>
    <x v="3"/>
    <s v="FI_small_gas"/>
    <x v="0"/>
    <n v="42.692399999999999"/>
    <n v="11.859"/>
  </r>
  <r>
    <x v="0"/>
    <x v="0"/>
    <x v="2"/>
    <x v="3"/>
    <s v="FinA"/>
    <x v="0"/>
    <n v="42.692399999999999"/>
    <n v="11.859"/>
  </r>
  <r>
    <x v="0"/>
    <x v="0"/>
    <x v="3"/>
    <x v="4"/>
    <s v="DE4-E_A"/>
    <x v="0"/>
    <n v="42.692399999999999"/>
    <n v="11.859"/>
  </r>
  <r>
    <x v="0"/>
    <x v="0"/>
    <x v="3"/>
    <x v="4"/>
    <s v="DE4-E_Offshore_A"/>
    <x v="0"/>
    <n v="42.692399999999999"/>
    <n v="11.859"/>
  </r>
  <r>
    <x v="0"/>
    <x v="0"/>
    <x v="3"/>
    <x v="5"/>
    <s v="DE4-N_A"/>
    <x v="0"/>
    <n v="42.692399999999999"/>
    <n v="11.859"/>
  </r>
  <r>
    <x v="0"/>
    <x v="0"/>
    <x v="3"/>
    <x v="5"/>
    <s v="DE4-N_Offshore_A"/>
    <x v="0"/>
    <n v="42.692399999999999"/>
    <n v="11.859"/>
  </r>
  <r>
    <x v="0"/>
    <x v="0"/>
    <x v="3"/>
    <x v="6"/>
    <s v="DE4-S_A"/>
    <x v="0"/>
    <n v="42.692399999999999"/>
    <n v="11.859"/>
  </r>
  <r>
    <x v="0"/>
    <x v="0"/>
    <x v="3"/>
    <x v="7"/>
    <s v="DE4-W_A"/>
    <x v="0"/>
    <n v="42.692399999999999"/>
    <n v="11.859"/>
  </r>
  <r>
    <x v="0"/>
    <x v="0"/>
    <x v="3"/>
    <x v="7"/>
    <s v="DE4-W_Offshore_A"/>
    <x v="0"/>
    <n v="42.692399999999999"/>
    <n v="11.859"/>
  </r>
  <r>
    <x v="0"/>
    <x v="0"/>
    <x v="4"/>
    <x v="8"/>
    <s v="LV_A"/>
    <x v="0"/>
    <n v="42.692399999999999"/>
    <n v="11.859"/>
  </r>
  <r>
    <x v="0"/>
    <x v="0"/>
    <x v="4"/>
    <x v="8"/>
    <s v="LV_OFFSHORE"/>
    <x v="0"/>
    <n v="42.692399999999999"/>
    <n v="11.859"/>
  </r>
  <r>
    <x v="0"/>
    <x v="0"/>
    <x v="4"/>
    <x v="8"/>
    <s v="LV_Other_DH"/>
    <x v="0"/>
    <n v="42.692399999999999"/>
    <n v="11.859"/>
  </r>
  <r>
    <x v="0"/>
    <x v="0"/>
    <x v="4"/>
    <x v="8"/>
    <s v="LV_RigaR"/>
    <x v="0"/>
    <n v="42.692399999999999"/>
    <n v="11.859"/>
  </r>
  <r>
    <x v="0"/>
    <x v="0"/>
    <x v="4"/>
    <x v="8"/>
    <s v="LV_Rural"/>
    <x v="0"/>
    <n v="42.692399999999999"/>
    <n v="11.859"/>
  </r>
  <r>
    <x v="0"/>
    <x v="0"/>
    <x v="5"/>
    <x v="9"/>
    <s v="LT_A"/>
    <x v="0"/>
    <n v="42.692399999999999"/>
    <n v="11.859"/>
  </r>
  <r>
    <x v="0"/>
    <x v="0"/>
    <x v="5"/>
    <x v="9"/>
    <s v="LT_KauU"/>
    <x v="0"/>
    <n v="42.692399999999999"/>
    <n v="11.859"/>
  </r>
  <r>
    <x v="0"/>
    <x v="0"/>
    <x v="5"/>
    <x v="9"/>
    <s v="LT_KlaU"/>
    <x v="0"/>
    <n v="42.692399999999999"/>
    <n v="11.859"/>
  </r>
  <r>
    <x v="0"/>
    <x v="0"/>
    <x v="5"/>
    <x v="9"/>
    <s v="LT_OFFSHORE"/>
    <x v="0"/>
    <n v="42.692399999999999"/>
    <n v="11.859"/>
  </r>
  <r>
    <x v="0"/>
    <x v="0"/>
    <x v="5"/>
    <x v="9"/>
    <s v="LT_Other_DH"/>
    <x v="0"/>
    <n v="42.692399999999999"/>
    <n v="11.859"/>
  </r>
  <r>
    <x v="0"/>
    <x v="0"/>
    <x v="5"/>
    <x v="9"/>
    <s v="LT_Panevezys"/>
    <x v="0"/>
    <n v="42.692399999999999"/>
    <n v="11.859"/>
  </r>
  <r>
    <x v="0"/>
    <x v="0"/>
    <x v="5"/>
    <x v="9"/>
    <s v="LT_Rural"/>
    <x v="0"/>
    <n v="42.692399999999999"/>
    <n v="11.859"/>
  </r>
  <r>
    <x v="0"/>
    <x v="0"/>
    <x v="5"/>
    <x v="9"/>
    <s v="LT_SiaU"/>
    <x v="0"/>
    <n v="42.692399999999999"/>
    <n v="11.859"/>
  </r>
  <r>
    <x v="0"/>
    <x v="0"/>
    <x v="5"/>
    <x v="9"/>
    <s v="LT_VilU"/>
    <x v="0"/>
    <n v="42.692399999999999"/>
    <n v="11.859"/>
  </r>
  <r>
    <x v="0"/>
    <x v="0"/>
    <x v="6"/>
    <x v="10"/>
    <s v="NL_A"/>
    <x v="0"/>
    <n v="42.692399999999999"/>
    <n v="11.859"/>
  </r>
  <r>
    <x v="0"/>
    <x v="0"/>
    <x v="6"/>
    <x v="10"/>
    <s v="NL_OFFSHORE"/>
    <x v="0"/>
    <n v="42.692399999999999"/>
    <n v="11.859"/>
  </r>
  <r>
    <x v="0"/>
    <x v="0"/>
    <x v="7"/>
    <x v="11"/>
    <s v="NO1_A1"/>
    <x v="0"/>
    <n v="42.692399999999999"/>
    <n v="11.859"/>
  </r>
  <r>
    <x v="0"/>
    <x v="0"/>
    <x v="7"/>
    <x v="11"/>
    <s v="NO1_A2"/>
    <x v="0"/>
    <n v="42.692399999999999"/>
    <n v="11.859"/>
  </r>
  <r>
    <x v="0"/>
    <x v="0"/>
    <x v="7"/>
    <x v="11"/>
    <s v="NO1_A3"/>
    <x v="0"/>
    <n v="42.692399999999999"/>
    <n v="11.859"/>
  </r>
  <r>
    <x v="0"/>
    <x v="0"/>
    <x v="7"/>
    <x v="11"/>
    <s v="NO1_Offshore"/>
    <x v="0"/>
    <n v="42.692399999999999"/>
    <n v="11.859"/>
  </r>
  <r>
    <x v="0"/>
    <x v="0"/>
    <x v="7"/>
    <x v="12"/>
    <s v="NO2_A1"/>
    <x v="0"/>
    <n v="42.692399999999999"/>
    <n v="11.859"/>
  </r>
  <r>
    <x v="0"/>
    <x v="0"/>
    <x v="7"/>
    <x v="12"/>
    <s v="NO2_A2"/>
    <x v="0"/>
    <n v="42.692399999999999"/>
    <n v="11.859"/>
  </r>
  <r>
    <x v="0"/>
    <x v="0"/>
    <x v="7"/>
    <x v="12"/>
    <s v="NO2_Offshore"/>
    <x v="0"/>
    <n v="42.692399999999999"/>
    <n v="11.859"/>
  </r>
  <r>
    <x v="0"/>
    <x v="0"/>
    <x v="7"/>
    <x v="13"/>
    <s v="NO3_A1"/>
    <x v="0"/>
    <n v="42.692399999999999"/>
    <n v="11.859"/>
  </r>
  <r>
    <x v="0"/>
    <x v="0"/>
    <x v="7"/>
    <x v="13"/>
    <s v="NO3_A2"/>
    <x v="0"/>
    <n v="42.692399999999999"/>
    <n v="11.859"/>
  </r>
  <r>
    <x v="0"/>
    <x v="0"/>
    <x v="7"/>
    <x v="13"/>
    <s v="NO3_A3"/>
    <x v="0"/>
    <n v="42.692399999999999"/>
    <n v="11.859"/>
  </r>
  <r>
    <x v="0"/>
    <x v="0"/>
    <x v="7"/>
    <x v="13"/>
    <s v="NO3_Offshore"/>
    <x v="0"/>
    <n v="42.692399999999999"/>
    <n v="11.859"/>
  </r>
  <r>
    <x v="0"/>
    <x v="0"/>
    <x v="7"/>
    <x v="14"/>
    <s v="NO4_A1"/>
    <x v="0"/>
    <n v="42.692399999999999"/>
    <n v="11.859"/>
  </r>
  <r>
    <x v="0"/>
    <x v="0"/>
    <x v="7"/>
    <x v="14"/>
    <s v="NO4_A2"/>
    <x v="0"/>
    <n v="42.692399999999999"/>
    <n v="11.859"/>
  </r>
  <r>
    <x v="0"/>
    <x v="0"/>
    <x v="7"/>
    <x v="14"/>
    <s v="NO4_Offshore"/>
    <x v="0"/>
    <n v="42.692399999999999"/>
    <n v="11.859"/>
  </r>
  <r>
    <x v="0"/>
    <x v="0"/>
    <x v="7"/>
    <x v="15"/>
    <s v="NO5_A1"/>
    <x v="0"/>
    <n v="42.692399999999999"/>
    <n v="11.859"/>
  </r>
  <r>
    <x v="0"/>
    <x v="0"/>
    <x v="7"/>
    <x v="15"/>
    <s v="NO5_A2"/>
    <x v="0"/>
    <n v="42.692399999999999"/>
    <n v="11.859"/>
  </r>
  <r>
    <x v="0"/>
    <x v="0"/>
    <x v="7"/>
    <x v="15"/>
    <s v="NO5_Offshore"/>
    <x v="0"/>
    <n v="42.692399999999999"/>
    <n v="11.859"/>
  </r>
  <r>
    <x v="0"/>
    <x v="0"/>
    <x v="8"/>
    <x v="16"/>
    <s v="PL_A"/>
    <x v="0"/>
    <n v="42.692399999999999"/>
    <n v="11.859"/>
  </r>
  <r>
    <x v="0"/>
    <x v="0"/>
    <x v="8"/>
    <x v="16"/>
    <s v="PL_OFFSHORE"/>
    <x v="0"/>
    <n v="42.692399999999999"/>
    <n v="11.859"/>
  </r>
  <r>
    <x v="0"/>
    <x v="0"/>
    <x v="8"/>
    <x v="16"/>
    <s v="PL_Rural"/>
    <x v="0"/>
    <n v="42.692399999999999"/>
    <n v="11.859"/>
  </r>
  <r>
    <x v="0"/>
    <x v="0"/>
    <x v="9"/>
    <x v="17"/>
    <s v="SE1A"/>
    <x v="0"/>
    <n v="42.692399999999999"/>
    <n v="11.859"/>
  </r>
  <r>
    <x v="0"/>
    <x v="0"/>
    <x v="9"/>
    <x v="17"/>
    <s v="SE1_IND"/>
    <x v="0"/>
    <n v="42.692399999999999"/>
    <n v="11.859"/>
  </r>
  <r>
    <x v="0"/>
    <x v="0"/>
    <x v="9"/>
    <x v="17"/>
    <s v="SE1_Offshore"/>
    <x v="0"/>
    <n v="42.692399999999999"/>
    <n v="11.859"/>
  </r>
  <r>
    <x v="0"/>
    <x v="0"/>
    <x v="9"/>
    <x v="17"/>
    <s v="SE1_medium"/>
    <x v="0"/>
    <n v="42.692399999999999"/>
    <n v="11.859"/>
  </r>
  <r>
    <x v="0"/>
    <x v="0"/>
    <x v="9"/>
    <x v="17"/>
    <s v="SE1_small"/>
    <x v="0"/>
    <n v="42.692399999999999"/>
    <n v="11.859"/>
  </r>
  <r>
    <x v="0"/>
    <x v="0"/>
    <x v="9"/>
    <x v="18"/>
    <s v="SE2A"/>
    <x v="0"/>
    <n v="42.692399999999999"/>
    <n v="11.859"/>
  </r>
  <r>
    <x v="0"/>
    <x v="0"/>
    <x v="9"/>
    <x v="18"/>
    <s v="SE2_IND"/>
    <x v="0"/>
    <n v="42.692399999999999"/>
    <n v="11.859"/>
  </r>
  <r>
    <x v="0"/>
    <x v="0"/>
    <x v="9"/>
    <x v="18"/>
    <s v="SE2_Offshore"/>
    <x v="0"/>
    <n v="42.692399999999999"/>
    <n v="11.859"/>
  </r>
  <r>
    <x v="0"/>
    <x v="0"/>
    <x v="9"/>
    <x v="18"/>
    <s v="SE2_medium"/>
    <x v="0"/>
    <n v="42.692399999999999"/>
    <n v="11.859"/>
  </r>
  <r>
    <x v="0"/>
    <x v="0"/>
    <x v="9"/>
    <x v="18"/>
    <s v="SE2_small"/>
    <x v="0"/>
    <n v="42.692399999999999"/>
    <n v="11.859"/>
  </r>
  <r>
    <x v="0"/>
    <x v="0"/>
    <x v="9"/>
    <x v="19"/>
    <s v="SE3A"/>
    <x v="0"/>
    <n v="42.692399999999999"/>
    <n v="11.859"/>
  </r>
  <r>
    <x v="0"/>
    <x v="0"/>
    <x v="9"/>
    <x v="19"/>
    <s v="SE3_IND"/>
    <x v="0"/>
    <n v="42.692399999999999"/>
    <n v="11.859"/>
  </r>
  <r>
    <x v="0"/>
    <x v="0"/>
    <x v="9"/>
    <x v="19"/>
    <s v="SE3_Offshore"/>
    <x v="0"/>
    <n v="42.692399999999999"/>
    <n v="11.859"/>
  </r>
  <r>
    <x v="0"/>
    <x v="0"/>
    <x v="9"/>
    <x v="19"/>
    <s v="SE3_large"/>
    <x v="0"/>
    <n v="42.692399999999999"/>
    <n v="11.859"/>
  </r>
  <r>
    <x v="0"/>
    <x v="0"/>
    <x v="9"/>
    <x v="19"/>
    <s v="SE3_medium"/>
    <x v="0"/>
    <n v="42.692399999999999"/>
    <n v="11.859"/>
  </r>
  <r>
    <x v="0"/>
    <x v="0"/>
    <x v="9"/>
    <x v="19"/>
    <s v="SE3_small"/>
    <x v="0"/>
    <n v="42.692399999999999"/>
    <n v="11.859"/>
  </r>
  <r>
    <x v="0"/>
    <x v="0"/>
    <x v="9"/>
    <x v="20"/>
    <s v="SE4A"/>
    <x v="0"/>
    <n v="42.692399999999999"/>
    <n v="11.859"/>
  </r>
  <r>
    <x v="0"/>
    <x v="0"/>
    <x v="9"/>
    <x v="20"/>
    <s v="SE4_IND"/>
    <x v="0"/>
    <n v="42.692399999999999"/>
    <n v="11.859"/>
  </r>
  <r>
    <x v="0"/>
    <x v="0"/>
    <x v="9"/>
    <x v="20"/>
    <s v="SE4_Offshore"/>
    <x v="0"/>
    <n v="42.692399999999999"/>
    <n v="11.859"/>
  </r>
  <r>
    <x v="0"/>
    <x v="0"/>
    <x v="9"/>
    <x v="20"/>
    <s v="SE4_large"/>
    <x v="0"/>
    <n v="42.692399999999999"/>
    <n v="11.859"/>
  </r>
  <r>
    <x v="0"/>
    <x v="0"/>
    <x v="9"/>
    <x v="20"/>
    <s v="SE4_medium"/>
    <x v="0"/>
    <n v="42.692399999999999"/>
    <n v="11.859"/>
  </r>
  <r>
    <x v="0"/>
    <x v="0"/>
    <x v="9"/>
    <x v="20"/>
    <s v="SE4_small"/>
    <x v="0"/>
    <n v="42.692399999999999"/>
    <n v="11.859"/>
  </r>
  <r>
    <x v="0"/>
    <x v="0"/>
    <x v="10"/>
    <x v="21"/>
    <s v="UK_A"/>
    <x v="0"/>
    <n v="42.692399999999999"/>
    <n v="11.859"/>
  </r>
  <r>
    <x v="0"/>
    <x v="0"/>
    <x v="10"/>
    <x v="21"/>
    <s v="UK_Offshore"/>
    <x v="0"/>
    <n v="42.692399999999999"/>
    <n v="11.859"/>
  </r>
  <r>
    <x v="0"/>
    <x v="1"/>
    <x v="0"/>
    <x v="0"/>
    <s v="DK1_Large"/>
    <x v="0"/>
    <n v="42.692399999999999"/>
    <n v="11.859"/>
  </r>
  <r>
    <x v="0"/>
    <x v="1"/>
    <x v="0"/>
    <x v="0"/>
    <s v="DK1_Large_PHH"/>
    <x v="0"/>
    <n v="42.692399999999999"/>
    <n v="11.859"/>
  </r>
  <r>
    <x v="0"/>
    <x v="1"/>
    <x v="0"/>
    <x v="0"/>
    <s v="DK1_Large_PHL"/>
    <x v="0"/>
    <n v="42.692399999999999"/>
    <n v="11.859"/>
  </r>
  <r>
    <x v="0"/>
    <x v="1"/>
    <x v="0"/>
    <x v="0"/>
    <s v="DK1_MedSmall"/>
    <x v="0"/>
    <n v="42.692399999999999"/>
    <n v="11.859"/>
  </r>
  <r>
    <x v="0"/>
    <x v="1"/>
    <x v="0"/>
    <x v="0"/>
    <s v="DK1_Medium"/>
    <x v="0"/>
    <n v="42.692399999999999"/>
    <n v="11.859"/>
  </r>
  <r>
    <x v="0"/>
    <x v="1"/>
    <x v="0"/>
    <x v="0"/>
    <s v="DK1_NoDH"/>
    <x v="0"/>
    <n v="42.692399999999999"/>
    <n v="11.859"/>
  </r>
  <r>
    <x v="0"/>
    <x v="1"/>
    <x v="0"/>
    <x v="0"/>
    <s v="DK1_NoDH_PHH"/>
    <x v="0"/>
    <n v="42.692399999999999"/>
    <n v="11.859"/>
  </r>
  <r>
    <x v="0"/>
    <x v="1"/>
    <x v="0"/>
    <x v="0"/>
    <s v="DK1_NoDH_PHL"/>
    <x v="0"/>
    <n v="42.692399999999999"/>
    <n v="11.859"/>
  </r>
  <r>
    <x v="0"/>
    <x v="1"/>
    <x v="0"/>
    <x v="0"/>
    <s v="DK1_Offshore"/>
    <x v="0"/>
    <n v="42.692399999999999"/>
    <n v="11.859"/>
  </r>
  <r>
    <x v="0"/>
    <x v="1"/>
    <x v="0"/>
    <x v="0"/>
    <s v="DK1_Rural"/>
    <x v="0"/>
    <n v="42.692399999999999"/>
    <n v="11.859"/>
  </r>
  <r>
    <x v="0"/>
    <x v="1"/>
    <x v="0"/>
    <x v="0"/>
    <s v="DK1_Small"/>
    <x v="0"/>
    <n v="42.692399999999999"/>
    <n v="11.859"/>
  </r>
  <r>
    <x v="0"/>
    <x v="1"/>
    <x v="0"/>
    <x v="1"/>
    <s v="DK2_Large"/>
    <x v="0"/>
    <n v="42.692399999999999"/>
    <n v="11.859"/>
  </r>
  <r>
    <x v="0"/>
    <x v="1"/>
    <x v="0"/>
    <x v="1"/>
    <s v="DK2_Large_PHH"/>
    <x v="0"/>
    <n v="42.692399999999999"/>
    <n v="11.859"/>
  </r>
  <r>
    <x v="0"/>
    <x v="1"/>
    <x v="0"/>
    <x v="1"/>
    <s v="DK2_Large_PHL"/>
    <x v="0"/>
    <n v="42.692399999999999"/>
    <n v="11.859"/>
  </r>
  <r>
    <x v="0"/>
    <x v="1"/>
    <x v="0"/>
    <x v="1"/>
    <s v="DK2_MedSmall"/>
    <x v="0"/>
    <n v="42.692399999999999"/>
    <n v="11.859"/>
  </r>
  <r>
    <x v="0"/>
    <x v="1"/>
    <x v="0"/>
    <x v="1"/>
    <s v="DK2_Medium"/>
    <x v="0"/>
    <n v="42.692399999999999"/>
    <n v="11.859"/>
  </r>
  <r>
    <x v="0"/>
    <x v="1"/>
    <x v="0"/>
    <x v="1"/>
    <s v="DK2_NoDH"/>
    <x v="0"/>
    <n v="42.692399999999999"/>
    <n v="11.859"/>
  </r>
  <r>
    <x v="0"/>
    <x v="1"/>
    <x v="0"/>
    <x v="1"/>
    <s v="DK2_NoDH_PHH"/>
    <x v="0"/>
    <n v="42.692399999999999"/>
    <n v="11.859"/>
  </r>
  <r>
    <x v="0"/>
    <x v="1"/>
    <x v="0"/>
    <x v="1"/>
    <s v="DK2_NoDH_PHL"/>
    <x v="0"/>
    <n v="42.692399999999999"/>
    <n v="11.859"/>
  </r>
  <r>
    <x v="0"/>
    <x v="1"/>
    <x v="0"/>
    <x v="1"/>
    <s v="DK2_Offshore"/>
    <x v="0"/>
    <n v="42.692399999999999"/>
    <n v="11.859"/>
  </r>
  <r>
    <x v="0"/>
    <x v="1"/>
    <x v="0"/>
    <x v="1"/>
    <s v="DK2_Rural"/>
    <x v="0"/>
    <n v="42.692399999999999"/>
    <n v="11.859"/>
  </r>
  <r>
    <x v="0"/>
    <x v="1"/>
    <x v="0"/>
    <x v="1"/>
    <s v="DK2_Small"/>
    <x v="0"/>
    <n v="42.692399999999999"/>
    <n v="11.859"/>
  </r>
  <r>
    <x v="0"/>
    <x v="1"/>
    <x v="1"/>
    <x v="2"/>
    <s v="EE_A"/>
    <x v="0"/>
    <n v="42.692399999999999"/>
    <n v="11.859"/>
  </r>
  <r>
    <x v="0"/>
    <x v="1"/>
    <x v="1"/>
    <x v="2"/>
    <s v="EE_Enefit"/>
    <x v="0"/>
    <n v="42.692399999999999"/>
    <n v="11.859"/>
  </r>
  <r>
    <x v="0"/>
    <x v="1"/>
    <x v="1"/>
    <x v="2"/>
    <s v="EE_Industry"/>
    <x v="0"/>
    <n v="42.692399999999999"/>
    <n v="11.859"/>
  </r>
  <r>
    <x v="0"/>
    <x v="1"/>
    <x v="1"/>
    <x v="2"/>
    <s v="EE_Kohtla_Jarve"/>
    <x v="0"/>
    <n v="42.692399999999999"/>
    <n v="11.859"/>
  </r>
  <r>
    <x v="0"/>
    <x v="1"/>
    <x v="1"/>
    <x v="2"/>
    <s v="EE_Narva"/>
    <x v="0"/>
    <n v="42.692399999999999"/>
    <n v="11.859"/>
  </r>
  <r>
    <x v="0"/>
    <x v="1"/>
    <x v="1"/>
    <x v="2"/>
    <s v="EE_OFFSHORE"/>
    <x v="0"/>
    <n v="42.692399999999999"/>
    <n v="11.859"/>
  </r>
  <r>
    <x v="0"/>
    <x v="1"/>
    <x v="1"/>
    <x v="2"/>
    <s v="EE_Parnu"/>
    <x v="0"/>
    <n v="42.692399999999999"/>
    <n v="11.859"/>
  </r>
  <r>
    <x v="0"/>
    <x v="1"/>
    <x v="1"/>
    <x v="2"/>
    <s v="EE_Rural"/>
    <x v="0"/>
    <n v="42.692399999999999"/>
    <n v="11.859"/>
  </r>
  <r>
    <x v="0"/>
    <x v="1"/>
    <x v="1"/>
    <x v="2"/>
    <s v="EE_Sillamae"/>
    <x v="0"/>
    <n v="42.692399999999999"/>
    <n v="11.859"/>
  </r>
  <r>
    <x v="0"/>
    <x v="1"/>
    <x v="1"/>
    <x v="2"/>
    <s v="EE_Tallinn"/>
    <x v="0"/>
    <n v="42.692399999999999"/>
    <n v="11.859"/>
  </r>
  <r>
    <x v="0"/>
    <x v="1"/>
    <x v="1"/>
    <x v="2"/>
    <s v="EE_Tartu"/>
    <x v="0"/>
    <n v="42.692399999999999"/>
    <n v="11.859"/>
  </r>
  <r>
    <x v="0"/>
    <x v="1"/>
    <x v="1"/>
    <x v="2"/>
    <s v="EE_Urban"/>
    <x v="0"/>
    <n v="42.692399999999999"/>
    <n v="11.859"/>
  </r>
  <r>
    <x v="0"/>
    <x v="1"/>
    <x v="2"/>
    <x v="3"/>
    <s v="FI_IND"/>
    <x v="0"/>
    <n v="42.692399999999999"/>
    <n v="11.859"/>
  </r>
  <r>
    <x v="0"/>
    <x v="1"/>
    <x v="2"/>
    <x v="3"/>
    <s v="FI_Offshore"/>
    <x v="0"/>
    <n v="42.692399999999999"/>
    <n v="11.859"/>
  </r>
  <r>
    <x v="0"/>
    <x v="1"/>
    <x v="2"/>
    <x v="3"/>
    <s v="FI_large"/>
    <x v="0"/>
    <n v="42.692399999999999"/>
    <n v="11.859"/>
  </r>
  <r>
    <x v="0"/>
    <x v="1"/>
    <x v="2"/>
    <x v="3"/>
    <s v="FI_large_gas"/>
    <x v="0"/>
    <n v="42.692399999999999"/>
    <n v="11.859"/>
  </r>
  <r>
    <x v="0"/>
    <x v="1"/>
    <x v="2"/>
    <x v="3"/>
    <s v="FI_medium"/>
    <x v="0"/>
    <n v="42.692399999999999"/>
    <n v="11.859"/>
  </r>
  <r>
    <x v="0"/>
    <x v="1"/>
    <x v="2"/>
    <x v="3"/>
    <s v="FI_medium_gas"/>
    <x v="0"/>
    <n v="42.692399999999999"/>
    <n v="11.859"/>
  </r>
  <r>
    <x v="0"/>
    <x v="1"/>
    <x v="2"/>
    <x v="3"/>
    <s v="FI_small"/>
    <x v="0"/>
    <n v="42.692399999999999"/>
    <n v="11.859"/>
  </r>
  <r>
    <x v="0"/>
    <x v="1"/>
    <x v="2"/>
    <x v="3"/>
    <s v="FI_small_gas"/>
    <x v="0"/>
    <n v="42.692399999999999"/>
    <n v="11.859"/>
  </r>
  <r>
    <x v="0"/>
    <x v="1"/>
    <x v="2"/>
    <x v="3"/>
    <s v="FinA"/>
    <x v="0"/>
    <n v="42.692399999999999"/>
    <n v="11.859"/>
  </r>
  <r>
    <x v="0"/>
    <x v="1"/>
    <x v="3"/>
    <x v="4"/>
    <s v="DE4-E_A"/>
    <x v="0"/>
    <n v="42.692399999999999"/>
    <n v="11.859"/>
  </r>
  <r>
    <x v="0"/>
    <x v="1"/>
    <x v="3"/>
    <x v="4"/>
    <s v="DE4-E_Offshore_A"/>
    <x v="0"/>
    <n v="42.692399999999999"/>
    <n v="11.859"/>
  </r>
  <r>
    <x v="0"/>
    <x v="1"/>
    <x v="3"/>
    <x v="5"/>
    <s v="DE4-N_A"/>
    <x v="0"/>
    <n v="42.692399999999999"/>
    <n v="11.859"/>
  </r>
  <r>
    <x v="0"/>
    <x v="1"/>
    <x v="3"/>
    <x v="5"/>
    <s v="DE4-N_Offshore_A"/>
    <x v="0"/>
    <n v="42.692399999999999"/>
    <n v="11.859"/>
  </r>
  <r>
    <x v="0"/>
    <x v="1"/>
    <x v="3"/>
    <x v="6"/>
    <s v="DE4-S_A"/>
    <x v="0"/>
    <n v="42.692399999999999"/>
    <n v="11.859"/>
  </r>
  <r>
    <x v="0"/>
    <x v="1"/>
    <x v="3"/>
    <x v="7"/>
    <s v="DE4-W_A"/>
    <x v="0"/>
    <n v="42.692399999999999"/>
    <n v="11.859"/>
  </r>
  <r>
    <x v="0"/>
    <x v="1"/>
    <x v="3"/>
    <x v="7"/>
    <s v="DE4-W_Offshore_A"/>
    <x v="0"/>
    <n v="42.692399999999999"/>
    <n v="11.859"/>
  </r>
  <r>
    <x v="0"/>
    <x v="1"/>
    <x v="4"/>
    <x v="8"/>
    <s v="LV_A"/>
    <x v="0"/>
    <n v="42.692399999999999"/>
    <n v="11.859"/>
  </r>
  <r>
    <x v="0"/>
    <x v="1"/>
    <x v="4"/>
    <x v="8"/>
    <s v="LV_OFFSHORE"/>
    <x v="0"/>
    <n v="42.692399999999999"/>
    <n v="11.859"/>
  </r>
  <r>
    <x v="0"/>
    <x v="1"/>
    <x v="4"/>
    <x v="8"/>
    <s v="LV_Other_DH"/>
    <x v="0"/>
    <n v="42.692399999999999"/>
    <n v="11.859"/>
  </r>
  <r>
    <x v="0"/>
    <x v="1"/>
    <x v="4"/>
    <x v="8"/>
    <s v="LV_RigaR"/>
    <x v="0"/>
    <n v="42.692399999999999"/>
    <n v="11.859"/>
  </r>
  <r>
    <x v="0"/>
    <x v="1"/>
    <x v="4"/>
    <x v="8"/>
    <s v="LV_Rural"/>
    <x v="0"/>
    <n v="42.692399999999999"/>
    <n v="11.859"/>
  </r>
  <r>
    <x v="0"/>
    <x v="1"/>
    <x v="5"/>
    <x v="9"/>
    <s v="LT_A"/>
    <x v="0"/>
    <n v="42.692399999999999"/>
    <n v="11.859"/>
  </r>
  <r>
    <x v="0"/>
    <x v="1"/>
    <x v="5"/>
    <x v="9"/>
    <s v="LT_KauU"/>
    <x v="0"/>
    <n v="42.692399999999999"/>
    <n v="11.859"/>
  </r>
  <r>
    <x v="0"/>
    <x v="1"/>
    <x v="5"/>
    <x v="9"/>
    <s v="LT_KlaU"/>
    <x v="0"/>
    <n v="42.692399999999999"/>
    <n v="11.859"/>
  </r>
  <r>
    <x v="0"/>
    <x v="1"/>
    <x v="5"/>
    <x v="9"/>
    <s v="LT_OFFSHORE"/>
    <x v="0"/>
    <n v="42.692399999999999"/>
    <n v="11.859"/>
  </r>
  <r>
    <x v="0"/>
    <x v="1"/>
    <x v="5"/>
    <x v="9"/>
    <s v="LT_Other_DH"/>
    <x v="0"/>
    <n v="42.692399999999999"/>
    <n v="11.859"/>
  </r>
  <r>
    <x v="0"/>
    <x v="1"/>
    <x v="5"/>
    <x v="9"/>
    <s v="LT_Panevezys"/>
    <x v="0"/>
    <n v="42.692399999999999"/>
    <n v="11.859"/>
  </r>
  <r>
    <x v="0"/>
    <x v="1"/>
    <x v="5"/>
    <x v="9"/>
    <s v="LT_Rural"/>
    <x v="0"/>
    <n v="42.692399999999999"/>
    <n v="11.859"/>
  </r>
  <r>
    <x v="0"/>
    <x v="1"/>
    <x v="5"/>
    <x v="9"/>
    <s v="LT_SiaU"/>
    <x v="0"/>
    <n v="42.692399999999999"/>
    <n v="11.859"/>
  </r>
  <r>
    <x v="0"/>
    <x v="1"/>
    <x v="5"/>
    <x v="9"/>
    <s v="LT_VilU"/>
    <x v="0"/>
    <n v="42.692399999999999"/>
    <n v="11.859"/>
  </r>
  <r>
    <x v="0"/>
    <x v="1"/>
    <x v="6"/>
    <x v="10"/>
    <s v="NL_A"/>
    <x v="0"/>
    <n v="42.692399999999999"/>
    <n v="11.859"/>
  </r>
  <r>
    <x v="0"/>
    <x v="1"/>
    <x v="6"/>
    <x v="10"/>
    <s v="NL_OFFSHORE"/>
    <x v="0"/>
    <n v="42.692399999999999"/>
    <n v="11.859"/>
  </r>
  <r>
    <x v="0"/>
    <x v="1"/>
    <x v="7"/>
    <x v="11"/>
    <s v="NO1_A1"/>
    <x v="0"/>
    <n v="42.692399999999999"/>
    <n v="11.859"/>
  </r>
  <r>
    <x v="0"/>
    <x v="1"/>
    <x v="7"/>
    <x v="11"/>
    <s v="NO1_A2"/>
    <x v="0"/>
    <n v="42.692399999999999"/>
    <n v="11.859"/>
  </r>
  <r>
    <x v="0"/>
    <x v="1"/>
    <x v="7"/>
    <x v="11"/>
    <s v="NO1_A3"/>
    <x v="0"/>
    <n v="42.692399999999999"/>
    <n v="11.859"/>
  </r>
  <r>
    <x v="0"/>
    <x v="1"/>
    <x v="7"/>
    <x v="11"/>
    <s v="NO1_Offshore"/>
    <x v="0"/>
    <n v="42.692399999999999"/>
    <n v="11.859"/>
  </r>
  <r>
    <x v="0"/>
    <x v="1"/>
    <x v="7"/>
    <x v="12"/>
    <s v="NO2_A1"/>
    <x v="0"/>
    <n v="42.692399999999999"/>
    <n v="11.859"/>
  </r>
  <r>
    <x v="0"/>
    <x v="1"/>
    <x v="7"/>
    <x v="12"/>
    <s v="NO2_A2"/>
    <x v="0"/>
    <n v="42.692399999999999"/>
    <n v="11.859"/>
  </r>
  <r>
    <x v="0"/>
    <x v="1"/>
    <x v="7"/>
    <x v="12"/>
    <s v="NO2_Offshore"/>
    <x v="0"/>
    <n v="42.692399999999999"/>
    <n v="11.859"/>
  </r>
  <r>
    <x v="0"/>
    <x v="1"/>
    <x v="7"/>
    <x v="13"/>
    <s v="NO3_A1"/>
    <x v="0"/>
    <n v="42.692399999999999"/>
    <n v="11.859"/>
  </r>
  <r>
    <x v="0"/>
    <x v="1"/>
    <x v="7"/>
    <x v="13"/>
    <s v="NO3_A2"/>
    <x v="0"/>
    <n v="42.692399999999999"/>
    <n v="11.859"/>
  </r>
  <r>
    <x v="0"/>
    <x v="1"/>
    <x v="7"/>
    <x v="13"/>
    <s v="NO3_A3"/>
    <x v="0"/>
    <n v="42.692399999999999"/>
    <n v="11.859"/>
  </r>
  <r>
    <x v="0"/>
    <x v="1"/>
    <x v="7"/>
    <x v="13"/>
    <s v="NO3_Offshore"/>
    <x v="0"/>
    <n v="42.692399999999999"/>
    <n v="11.859"/>
  </r>
  <r>
    <x v="0"/>
    <x v="1"/>
    <x v="7"/>
    <x v="14"/>
    <s v="NO4_A1"/>
    <x v="0"/>
    <n v="42.692399999999999"/>
    <n v="11.859"/>
  </r>
  <r>
    <x v="0"/>
    <x v="1"/>
    <x v="7"/>
    <x v="14"/>
    <s v="NO4_A2"/>
    <x v="0"/>
    <n v="42.692399999999999"/>
    <n v="11.859"/>
  </r>
  <r>
    <x v="0"/>
    <x v="1"/>
    <x v="7"/>
    <x v="14"/>
    <s v="NO4_Offshore"/>
    <x v="0"/>
    <n v="42.692399999999999"/>
    <n v="11.859"/>
  </r>
  <r>
    <x v="0"/>
    <x v="1"/>
    <x v="7"/>
    <x v="15"/>
    <s v="NO5_A1"/>
    <x v="0"/>
    <n v="42.692399999999999"/>
    <n v="11.859"/>
  </r>
  <r>
    <x v="0"/>
    <x v="1"/>
    <x v="7"/>
    <x v="15"/>
    <s v="NO5_A2"/>
    <x v="0"/>
    <n v="42.692399999999999"/>
    <n v="11.859"/>
  </r>
  <r>
    <x v="0"/>
    <x v="1"/>
    <x v="7"/>
    <x v="15"/>
    <s v="NO5_Offshore"/>
    <x v="0"/>
    <n v="42.692399999999999"/>
    <n v="11.859"/>
  </r>
  <r>
    <x v="0"/>
    <x v="1"/>
    <x v="8"/>
    <x v="16"/>
    <s v="PL_A"/>
    <x v="0"/>
    <n v="42.692399999999999"/>
    <n v="11.859"/>
  </r>
  <r>
    <x v="0"/>
    <x v="1"/>
    <x v="8"/>
    <x v="16"/>
    <s v="PL_OFFSHORE"/>
    <x v="0"/>
    <n v="42.692399999999999"/>
    <n v="11.859"/>
  </r>
  <r>
    <x v="0"/>
    <x v="1"/>
    <x v="8"/>
    <x v="16"/>
    <s v="PL_Rural"/>
    <x v="0"/>
    <n v="42.692399999999999"/>
    <n v="11.859"/>
  </r>
  <r>
    <x v="0"/>
    <x v="1"/>
    <x v="9"/>
    <x v="17"/>
    <s v="SE1A"/>
    <x v="0"/>
    <n v="42.692399999999999"/>
    <n v="11.859"/>
  </r>
  <r>
    <x v="0"/>
    <x v="1"/>
    <x v="9"/>
    <x v="17"/>
    <s v="SE1_IND"/>
    <x v="0"/>
    <n v="42.692399999999999"/>
    <n v="11.859"/>
  </r>
  <r>
    <x v="0"/>
    <x v="1"/>
    <x v="9"/>
    <x v="17"/>
    <s v="SE1_Offshore"/>
    <x v="0"/>
    <n v="42.692399999999999"/>
    <n v="11.859"/>
  </r>
  <r>
    <x v="0"/>
    <x v="1"/>
    <x v="9"/>
    <x v="17"/>
    <s v="SE1_medium"/>
    <x v="0"/>
    <n v="42.692399999999999"/>
    <n v="11.859"/>
  </r>
  <r>
    <x v="0"/>
    <x v="1"/>
    <x v="9"/>
    <x v="17"/>
    <s v="SE1_small"/>
    <x v="0"/>
    <n v="42.692399999999999"/>
    <n v="11.859"/>
  </r>
  <r>
    <x v="0"/>
    <x v="1"/>
    <x v="9"/>
    <x v="18"/>
    <s v="SE2A"/>
    <x v="0"/>
    <n v="42.692399999999999"/>
    <n v="11.859"/>
  </r>
  <r>
    <x v="0"/>
    <x v="1"/>
    <x v="9"/>
    <x v="18"/>
    <s v="SE2_IND"/>
    <x v="0"/>
    <n v="42.692399999999999"/>
    <n v="11.859"/>
  </r>
  <r>
    <x v="0"/>
    <x v="1"/>
    <x v="9"/>
    <x v="18"/>
    <s v="SE2_Offshore"/>
    <x v="0"/>
    <n v="42.692399999999999"/>
    <n v="11.859"/>
  </r>
  <r>
    <x v="0"/>
    <x v="1"/>
    <x v="9"/>
    <x v="18"/>
    <s v="SE2_medium"/>
    <x v="0"/>
    <n v="42.692399999999999"/>
    <n v="11.859"/>
  </r>
  <r>
    <x v="0"/>
    <x v="1"/>
    <x v="9"/>
    <x v="18"/>
    <s v="SE2_small"/>
    <x v="0"/>
    <n v="42.692399999999999"/>
    <n v="11.859"/>
  </r>
  <r>
    <x v="0"/>
    <x v="1"/>
    <x v="9"/>
    <x v="19"/>
    <s v="SE3A"/>
    <x v="0"/>
    <n v="42.692399999999999"/>
    <n v="11.859"/>
  </r>
  <r>
    <x v="0"/>
    <x v="1"/>
    <x v="9"/>
    <x v="19"/>
    <s v="SE3_IND"/>
    <x v="0"/>
    <n v="42.692399999999999"/>
    <n v="11.859"/>
  </r>
  <r>
    <x v="0"/>
    <x v="1"/>
    <x v="9"/>
    <x v="19"/>
    <s v="SE3_Offshore"/>
    <x v="0"/>
    <n v="42.692399999999999"/>
    <n v="11.859"/>
  </r>
  <r>
    <x v="0"/>
    <x v="1"/>
    <x v="9"/>
    <x v="19"/>
    <s v="SE3_large"/>
    <x v="0"/>
    <n v="42.692399999999999"/>
    <n v="11.859"/>
  </r>
  <r>
    <x v="0"/>
    <x v="1"/>
    <x v="9"/>
    <x v="19"/>
    <s v="SE3_medium"/>
    <x v="0"/>
    <n v="42.692399999999999"/>
    <n v="11.859"/>
  </r>
  <r>
    <x v="0"/>
    <x v="1"/>
    <x v="9"/>
    <x v="19"/>
    <s v="SE3_small"/>
    <x v="0"/>
    <n v="42.692399999999999"/>
    <n v="11.859"/>
  </r>
  <r>
    <x v="0"/>
    <x v="1"/>
    <x v="9"/>
    <x v="20"/>
    <s v="SE4A"/>
    <x v="0"/>
    <n v="42.692399999999999"/>
    <n v="11.859"/>
  </r>
  <r>
    <x v="0"/>
    <x v="1"/>
    <x v="9"/>
    <x v="20"/>
    <s v="SE4_IND"/>
    <x v="0"/>
    <n v="42.692399999999999"/>
    <n v="11.859"/>
  </r>
  <r>
    <x v="0"/>
    <x v="1"/>
    <x v="9"/>
    <x v="20"/>
    <s v="SE4_Offshore"/>
    <x v="0"/>
    <n v="42.692399999999999"/>
    <n v="11.859"/>
  </r>
  <r>
    <x v="0"/>
    <x v="1"/>
    <x v="9"/>
    <x v="20"/>
    <s v="SE4_large"/>
    <x v="0"/>
    <n v="42.692399999999999"/>
    <n v="11.859"/>
  </r>
  <r>
    <x v="0"/>
    <x v="1"/>
    <x v="9"/>
    <x v="20"/>
    <s v="SE4_medium"/>
    <x v="0"/>
    <n v="42.692399999999999"/>
    <n v="11.859"/>
  </r>
  <r>
    <x v="0"/>
    <x v="1"/>
    <x v="9"/>
    <x v="20"/>
    <s v="SE4_small"/>
    <x v="0"/>
    <n v="42.692399999999999"/>
    <n v="11.859"/>
  </r>
  <r>
    <x v="0"/>
    <x v="1"/>
    <x v="10"/>
    <x v="21"/>
    <s v="UK_A"/>
    <x v="0"/>
    <n v="42.692399999999999"/>
    <n v="11.859"/>
  </r>
  <r>
    <x v="0"/>
    <x v="1"/>
    <x v="10"/>
    <x v="21"/>
    <s v="UK_Offshore"/>
    <x v="0"/>
    <n v="42.692399999999999"/>
    <n v="11.859"/>
  </r>
  <r>
    <x v="0"/>
    <x v="2"/>
    <x v="0"/>
    <x v="0"/>
    <s v="DK1_Large"/>
    <x v="0"/>
    <n v="42.692399999999999"/>
    <n v="11.859"/>
  </r>
  <r>
    <x v="0"/>
    <x v="2"/>
    <x v="0"/>
    <x v="0"/>
    <s v="DK1_Large_PHH"/>
    <x v="0"/>
    <n v="42.692399999999999"/>
    <n v="11.859"/>
  </r>
  <r>
    <x v="0"/>
    <x v="2"/>
    <x v="0"/>
    <x v="0"/>
    <s v="DK1_Large_PHL"/>
    <x v="0"/>
    <n v="42.692399999999999"/>
    <n v="11.859"/>
  </r>
  <r>
    <x v="0"/>
    <x v="2"/>
    <x v="0"/>
    <x v="0"/>
    <s v="DK1_MedSmall"/>
    <x v="0"/>
    <n v="42.692399999999999"/>
    <n v="11.859"/>
  </r>
  <r>
    <x v="0"/>
    <x v="2"/>
    <x v="0"/>
    <x v="0"/>
    <s v="DK1_Medium"/>
    <x v="0"/>
    <n v="42.692399999999999"/>
    <n v="11.859"/>
  </r>
  <r>
    <x v="0"/>
    <x v="2"/>
    <x v="0"/>
    <x v="0"/>
    <s v="DK1_NoDH"/>
    <x v="0"/>
    <n v="42.692399999999999"/>
    <n v="11.859"/>
  </r>
  <r>
    <x v="0"/>
    <x v="2"/>
    <x v="0"/>
    <x v="0"/>
    <s v="DK1_NoDH_PHH"/>
    <x v="0"/>
    <n v="42.692399999999999"/>
    <n v="11.859"/>
  </r>
  <r>
    <x v="0"/>
    <x v="2"/>
    <x v="0"/>
    <x v="0"/>
    <s v="DK1_NoDH_PHL"/>
    <x v="0"/>
    <n v="42.692399999999999"/>
    <n v="11.859"/>
  </r>
  <r>
    <x v="0"/>
    <x v="2"/>
    <x v="0"/>
    <x v="0"/>
    <s v="DK1_Offshore"/>
    <x v="0"/>
    <n v="42.692399999999999"/>
    <n v="11.859"/>
  </r>
  <r>
    <x v="0"/>
    <x v="2"/>
    <x v="0"/>
    <x v="0"/>
    <s v="DK1_Rural"/>
    <x v="0"/>
    <n v="42.692399999999999"/>
    <n v="11.859"/>
  </r>
  <r>
    <x v="0"/>
    <x v="2"/>
    <x v="0"/>
    <x v="0"/>
    <s v="DK1_Small"/>
    <x v="0"/>
    <n v="42.692399999999999"/>
    <n v="11.859"/>
  </r>
  <r>
    <x v="0"/>
    <x v="2"/>
    <x v="0"/>
    <x v="1"/>
    <s v="DK2_Large"/>
    <x v="0"/>
    <n v="42.692399999999999"/>
    <n v="11.859"/>
  </r>
  <r>
    <x v="0"/>
    <x v="2"/>
    <x v="0"/>
    <x v="1"/>
    <s v="DK2_Large_PHH"/>
    <x v="0"/>
    <n v="42.692399999999999"/>
    <n v="11.859"/>
  </r>
  <r>
    <x v="0"/>
    <x v="2"/>
    <x v="0"/>
    <x v="1"/>
    <s v="DK2_Large_PHL"/>
    <x v="0"/>
    <n v="42.692399999999999"/>
    <n v="11.859"/>
  </r>
  <r>
    <x v="0"/>
    <x v="2"/>
    <x v="0"/>
    <x v="1"/>
    <s v="DK2_MedSmall"/>
    <x v="0"/>
    <n v="42.692399999999999"/>
    <n v="11.859"/>
  </r>
  <r>
    <x v="0"/>
    <x v="2"/>
    <x v="0"/>
    <x v="1"/>
    <s v="DK2_Medium"/>
    <x v="0"/>
    <n v="42.692399999999999"/>
    <n v="11.859"/>
  </r>
  <r>
    <x v="0"/>
    <x v="2"/>
    <x v="0"/>
    <x v="1"/>
    <s v="DK2_NoDH"/>
    <x v="0"/>
    <n v="42.692399999999999"/>
    <n v="11.859"/>
  </r>
  <r>
    <x v="0"/>
    <x v="2"/>
    <x v="0"/>
    <x v="1"/>
    <s v="DK2_NoDH_PHH"/>
    <x v="0"/>
    <n v="42.692399999999999"/>
    <n v="11.859"/>
  </r>
  <r>
    <x v="0"/>
    <x v="2"/>
    <x v="0"/>
    <x v="1"/>
    <s v="DK2_NoDH_PHL"/>
    <x v="0"/>
    <n v="42.692399999999999"/>
    <n v="11.859"/>
  </r>
  <r>
    <x v="0"/>
    <x v="2"/>
    <x v="0"/>
    <x v="1"/>
    <s v="DK2_Offshore"/>
    <x v="0"/>
    <n v="42.692399999999999"/>
    <n v="11.859"/>
  </r>
  <r>
    <x v="0"/>
    <x v="2"/>
    <x v="0"/>
    <x v="1"/>
    <s v="DK2_Rural"/>
    <x v="0"/>
    <n v="42.692399999999999"/>
    <n v="11.859"/>
  </r>
  <r>
    <x v="0"/>
    <x v="2"/>
    <x v="0"/>
    <x v="1"/>
    <s v="DK2_Small"/>
    <x v="0"/>
    <n v="42.692399999999999"/>
    <n v="11.859"/>
  </r>
  <r>
    <x v="0"/>
    <x v="2"/>
    <x v="1"/>
    <x v="2"/>
    <s v="EE_A"/>
    <x v="0"/>
    <n v="42.692399999999999"/>
    <n v="11.859"/>
  </r>
  <r>
    <x v="0"/>
    <x v="2"/>
    <x v="1"/>
    <x v="2"/>
    <s v="EE_Enefit"/>
    <x v="0"/>
    <n v="42.692399999999999"/>
    <n v="11.859"/>
  </r>
  <r>
    <x v="0"/>
    <x v="2"/>
    <x v="1"/>
    <x v="2"/>
    <s v="EE_Industry"/>
    <x v="0"/>
    <n v="42.692399999999999"/>
    <n v="11.859"/>
  </r>
  <r>
    <x v="0"/>
    <x v="2"/>
    <x v="1"/>
    <x v="2"/>
    <s v="EE_Kohtla_Jarve"/>
    <x v="0"/>
    <n v="42.692399999999999"/>
    <n v="11.859"/>
  </r>
  <r>
    <x v="0"/>
    <x v="2"/>
    <x v="1"/>
    <x v="2"/>
    <s v="EE_Narva"/>
    <x v="0"/>
    <n v="42.692399999999999"/>
    <n v="11.859"/>
  </r>
  <r>
    <x v="0"/>
    <x v="2"/>
    <x v="1"/>
    <x v="2"/>
    <s v="EE_OFFSHORE"/>
    <x v="0"/>
    <n v="42.692399999999999"/>
    <n v="11.859"/>
  </r>
  <r>
    <x v="0"/>
    <x v="2"/>
    <x v="1"/>
    <x v="2"/>
    <s v="EE_Parnu"/>
    <x v="0"/>
    <n v="42.692399999999999"/>
    <n v="11.859"/>
  </r>
  <r>
    <x v="0"/>
    <x v="2"/>
    <x v="1"/>
    <x v="2"/>
    <s v="EE_Rural"/>
    <x v="0"/>
    <n v="42.692399999999999"/>
    <n v="11.859"/>
  </r>
  <r>
    <x v="0"/>
    <x v="2"/>
    <x v="1"/>
    <x v="2"/>
    <s v="EE_Sillamae"/>
    <x v="0"/>
    <n v="42.692399999999999"/>
    <n v="11.859"/>
  </r>
  <r>
    <x v="0"/>
    <x v="2"/>
    <x v="1"/>
    <x v="2"/>
    <s v="EE_Tallinn"/>
    <x v="0"/>
    <n v="42.692399999999999"/>
    <n v="11.859"/>
  </r>
  <r>
    <x v="0"/>
    <x v="2"/>
    <x v="1"/>
    <x v="2"/>
    <s v="EE_Tartu"/>
    <x v="0"/>
    <n v="42.692399999999999"/>
    <n v="11.859"/>
  </r>
  <r>
    <x v="0"/>
    <x v="2"/>
    <x v="1"/>
    <x v="2"/>
    <s v="EE_Urban"/>
    <x v="0"/>
    <n v="42.692399999999999"/>
    <n v="11.859"/>
  </r>
  <r>
    <x v="0"/>
    <x v="2"/>
    <x v="2"/>
    <x v="3"/>
    <s v="FI_IND"/>
    <x v="0"/>
    <n v="42.692399999999999"/>
    <n v="11.859"/>
  </r>
  <r>
    <x v="0"/>
    <x v="2"/>
    <x v="2"/>
    <x v="3"/>
    <s v="FI_Offshore"/>
    <x v="0"/>
    <n v="42.692399999999999"/>
    <n v="11.859"/>
  </r>
  <r>
    <x v="0"/>
    <x v="2"/>
    <x v="2"/>
    <x v="3"/>
    <s v="FI_large"/>
    <x v="0"/>
    <n v="42.692399999999999"/>
    <n v="11.859"/>
  </r>
  <r>
    <x v="0"/>
    <x v="2"/>
    <x v="2"/>
    <x v="3"/>
    <s v="FI_large_gas"/>
    <x v="0"/>
    <n v="42.692399999999999"/>
    <n v="11.859"/>
  </r>
  <r>
    <x v="0"/>
    <x v="2"/>
    <x v="2"/>
    <x v="3"/>
    <s v="FI_medium"/>
    <x v="0"/>
    <n v="42.692399999999999"/>
    <n v="11.859"/>
  </r>
  <r>
    <x v="0"/>
    <x v="2"/>
    <x v="2"/>
    <x v="3"/>
    <s v="FI_medium_gas"/>
    <x v="0"/>
    <n v="42.692399999999999"/>
    <n v="11.859"/>
  </r>
  <r>
    <x v="0"/>
    <x v="2"/>
    <x v="2"/>
    <x v="3"/>
    <s v="FI_small"/>
    <x v="0"/>
    <n v="42.692399999999999"/>
    <n v="11.859"/>
  </r>
  <r>
    <x v="0"/>
    <x v="2"/>
    <x v="2"/>
    <x v="3"/>
    <s v="FI_small_gas"/>
    <x v="0"/>
    <n v="42.692399999999999"/>
    <n v="11.859"/>
  </r>
  <r>
    <x v="0"/>
    <x v="2"/>
    <x v="2"/>
    <x v="3"/>
    <s v="FinA"/>
    <x v="0"/>
    <n v="42.692399999999999"/>
    <n v="11.859"/>
  </r>
  <r>
    <x v="0"/>
    <x v="2"/>
    <x v="3"/>
    <x v="4"/>
    <s v="DE4-E_A"/>
    <x v="0"/>
    <n v="42.692399999999999"/>
    <n v="11.859"/>
  </r>
  <r>
    <x v="0"/>
    <x v="2"/>
    <x v="3"/>
    <x v="4"/>
    <s v="DE4-E_Offshore_A"/>
    <x v="0"/>
    <n v="42.692399999999999"/>
    <n v="11.859"/>
  </r>
  <r>
    <x v="0"/>
    <x v="2"/>
    <x v="3"/>
    <x v="5"/>
    <s v="DE4-N_A"/>
    <x v="0"/>
    <n v="42.692399999999999"/>
    <n v="11.859"/>
  </r>
  <r>
    <x v="0"/>
    <x v="2"/>
    <x v="3"/>
    <x v="5"/>
    <s v="DE4-N_Offshore_A"/>
    <x v="0"/>
    <n v="42.692399999999999"/>
    <n v="11.859"/>
  </r>
  <r>
    <x v="0"/>
    <x v="2"/>
    <x v="3"/>
    <x v="6"/>
    <s v="DE4-S_A"/>
    <x v="0"/>
    <n v="42.692399999999999"/>
    <n v="11.859"/>
  </r>
  <r>
    <x v="0"/>
    <x v="2"/>
    <x v="3"/>
    <x v="7"/>
    <s v="DE4-W_A"/>
    <x v="0"/>
    <n v="42.692399999999999"/>
    <n v="11.859"/>
  </r>
  <r>
    <x v="0"/>
    <x v="2"/>
    <x v="3"/>
    <x v="7"/>
    <s v="DE4-W_Offshore_A"/>
    <x v="0"/>
    <n v="42.692399999999999"/>
    <n v="11.859"/>
  </r>
  <r>
    <x v="0"/>
    <x v="2"/>
    <x v="4"/>
    <x v="8"/>
    <s v="LV_A"/>
    <x v="0"/>
    <n v="42.692399999999999"/>
    <n v="11.859"/>
  </r>
  <r>
    <x v="0"/>
    <x v="2"/>
    <x v="4"/>
    <x v="8"/>
    <s v="LV_OFFSHORE"/>
    <x v="0"/>
    <n v="42.692399999999999"/>
    <n v="11.859"/>
  </r>
  <r>
    <x v="0"/>
    <x v="2"/>
    <x v="4"/>
    <x v="8"/>
    <s v="LV_Other_DH"/>
    <x v="0"/>
    <n v="42.692399999999999"/>
    <n v="11.859"/>
  </r>
  <r>
    <x v="0"/>
    <x v="2"/>
    <x v="4"/>
    <x v="8"/>
    <s v="LV_RigaR"/>
    <x v="0"/>
    <n v="42.692399999999999"/>
    <n v="11.859"/>
  </r>
  <r>
    <x v="0"/>
    <x v="2"/>
    <x v="4"/>
    <x v="8"/>
    <s v="LV_Rural"/>
    <x v="0"/>
    <n v="42.692399999999999"/>
    <n v="11.859"/>
  </r>
  <r>
    <x v="0"/>
    <x v="2"/>
    <x v="5"/>
    <x v="9"/>
    <s v="LT_A"/>
    <x v="0"/>
    <n v="42.692399999999999"/>
    <n v="11.859"/>
  </r>
  <r>
    <x v="0"/>
    <x v="2"/>
    <x v="5"/>
    <x v="9"/>
    <s v="LT_KauU"/>
    <x v="0"/>
    <n v="42.692399999999999"/>
    <n v="11.859"/>
  </r>
  <r>
    <x v="0"/>
    <x v="2"/>
    <x v="5"/>
    <x v="9"/>
    <s v="LT_KlaU"/>
    <x v="0"/>
    <n v="42.692399999999999"/>
    <n v="11.859"/>
  </r>
  <r>
    <x v="0"/>
    <x v="2"/>
    <x v="5"/>
    <x v="9"/>
    <s v="LT_OFFSHORE"/>
    <x v="0"/>
    <n v="42.692399999999999"/>
    <n v="11.859"/>
  </r>
  <r>
    <x v="0"/>
    <x v="2"/>
    <x v="5"/>
    <x v="9"/>
    <s v="LT_Other_DH"/>
    <x v="0"/>
    <n v="42.692399999999999"/>
    <n v="11.859"/>
  </r>
  <r>
    <x v="0"/>
    <x v="2"/>
    <x v="5"/>
    <x v="9"/>
    <s v="LT_Panevezys"/>
    <x v="0"/>
    <n v="42.692399999999999"/>
    <n v="11.859"/>
  </r>
  <r>
    <x v="0"/>
    <x v="2"/>
    <x v="5"/>
    <x v="9"/>
    <s v="LT_Rural"/>
    <x v="0"/>
    <n v="42.692399999999999"/>
    <n v="11.859"/>
  </r>
  <r>
    <x v="0"/>
    <x v="2"/>
    <x v="5"/>
    <x v="9"/>
    <s v="LT_SiaU"/>
    <x v="0"/>
    <n v="42.692399999999999"/>
    <n v="11.859"/>
  </r>
  <r>
    <x v="0"/>
    <x v="2"/>
    <x v="5"/>
    <x v="9"/>
    <s v="LT_VilU"/>
    <x v="0"/>
    <n v="42.692399999999999"/>
    <n v="11.859"/>
  </r>
  <r>
    <x v="0"/>
    <x v="2"/>
    <x v="6"/>
    <x v="10"/>
    <s v="NL_A"/>
    <x v="0"/>
    <n v="42.692399999999999"/>
    <n v="11.859"/>
  </r>
  <r>
    <x v="0"/>
    <x v="2"/>
    <x v="6"/>
    <x v="10"/>
    <s v="NL_OFFSHORE"/>
    <x v="0"/>
    <n v="42.692399999999999"/>
    <n v="11.859"/>
  </r>
  <r>
    <x v="0"/>
    <x v="2"/>
    <x v="7"/>
    <x v="11"/>
    <s v="NO1_A1"/>
    <x v="0"/>
    <n v="42.692399999999999"/>
    <n v="11.859"/>
  </r>
  <r>
    <x v="0"/>
    <x v="2"/>
    <x v="7"/>
    <x v="11"/>
    <s v="NO1_A2"/>
    <x v="0"/>
    <n v="42.692399999999999"/>
    <n v="11.859"/>
  </r>
  <r>
    <x v="0"/>
    <x v="2"/>
    <x v="7"/>
    <x v="11"/>
    <s v="NO1_A3"/>
    <x v="0"/>
    <n v="42.692399999999999"/>
    <n v="11.859"/>
  </r>
  <r>
    <x v="0"/>
    <x v="2"/>
    <x v="7"/>
    <x v="11"/>
    <s v="NO1_Offshore"/>
    <x v="0"/>
    <n v="42.692399999999999"/>
    <n v="11.859"/>
  </r>
  <r>
    <x v="0"/>
    <x v="2"/>
    <x v="7"/>
    <x v="12"/>
    <s v="NO2_A1"/>
    <x v="0"/>
    <n v="42.692399999999999"/>
    <n v="11.859"/>
  </r>
  <r>
    <x v="0"/>
    <x v="2"/>
    <x v="7"/>
    <x v="12"/>
    <s v="NO2_A2"/>
    <x v="0"/>
    <n v="42.692399999999999"/>
    <n v="11.859"/>
  </r>
  <r>
    <x v="0"/>
    <x v="2"/>
    <x v="7"/>
    <x v="12"/>
    <s v="NO2_Offshore"/>
    <x v="0"/>
    <n v="42.692399999999999"/>
    <n v="11.859"/>
  </r>
  <r>
    <x v="0"/>
    <x v="2"/>
    <x v="7"/>
    <x v="13"/>
    <s v="NO3_A1"/>
    <x v="0"/>
    <n v="42.692399999999999"/>
    <n v="11.859"/>
  </r>
  <r>
    <x v="0"/>
    <x v="2"/>
    <x v="7"/>
    <x v="13"/>
    <s v="NO3_A2"/>
    <x v="0"/>
    <n v="42.692399999999999"/>
    <n v="11.859"/>
  </r>
  <r>
    <x v="0"/>
    <x v="2"/>
    <x v="7"/>
    <x v="13"/>
    <s v="NO3_A3"/>
    <x v="0"/>
    <n v="42.692399999999999"/>
    <n v="11.859"/>
  </r>
  <r>
    <x v="0"/>
    <x v="2"/>
    <x v="7"/>
    <x v="13"/>
    <s v="NO3_Offshore"/>
    <x v="0"/>
    <n v="42.692399999999999"/>
    <n v="11.859"/>
  </r>
  <r>
    <x v="0"/>
    <x v="2"/>
    <x v="7"/>
    <x v="14"/>
    <s v="NO4_A1"/>
    <x v="0"/>
    <n v="42.692399999999999"/>
    <n v="11.859"/>
  </r>
  <r>
    <x v="0"/>
    <x v="2"/>
    <x v="7"/>
    <x v="14"/>
    <s v="NO4_A2"/>
    <x v="0"/>
    <n v="42.692399999999999"/>
    <n v="11.859"/>
  </r>
  <r>
    <x v="0"/>
    <x v="2"/>
    <x v="7"/>
    <x v="14"/>
    <s v="NO4_Offshore"/>
    <x v="0"/>
    <n v="42.692399999999999"/>
    <n v="11.859"/>
  </r>
  <r>
    <x v="0"/>
    <x v="2"/>
    <x v="7"/>
    <x v="15"/>
    <s v="NO5_A1"/>
    <x v="0"/>
    <n v="42.692399999999999"/>
    <n v="11.859"/>
  </r>
  <r>
    <x v="0"/>
    <x v="2"/>
    <x v="7"/>
    <x v="15"/>
    <s v="NO5_A2"/>
    <x v="0"/>
    <n v="42.692399999999999"/>
    <n v="11.859"/>
  </r>
  <r>
    <x v="0"/>
    <x v="2"/>
    <x v="7"/>
    <x v="15"/>
    <s v="NO5_Offshore"/>
    <x v="0"/>
    <n v="42.692399999999999"/>
    <n v="11.859"/>
  </r>
  <r>
    <x v="0"/>
    <x v="2"/>
    <x v="8"/>
    <x v="16"/>
    <s v="PL_A"/>
    <x v="0"/>
    <n v="42.692399999999999"/>
    <n v="11.859"/>
  </r>
  <r>
    <x v="0"/>
    <x v="2"/>
    <x v="8"/>
    <x v="16"/>
    <s v="PL_OFFSHORE"/>
    <x v="0"/>
    <n v="42.692399999999999"/>
    <n v="11.859"/>
  </r>
  <r>
    <x v="0"/>
    <x v="2"/>
    <x v="8"/>
    <x v="16"/>
    <s v="PL_Rural"/>
    <x v="0"/>
    <n v="42.692399999999999"/>
    <n v="11.859"/>
  </r>
  <r>
    <x v="0"/>
    <x v="2"/>
    <x v="9"/>
    <x v="17"/>
    <s v="SE1A"/>
    <x v="0"/>
    <n v="42.692399999999999"/>
    <n v="11.859"/>
  </r>
  <r>
    <x v="0"/>
    <x v="2"/>
    <x v="9"/>
    <x v="17"/>
    <s v="SE1_IND"/>
    <x v="0"/>
    <n v="42.692399999999999"/>
    <n v="11.859"/>
  </r>
  <r>
    <x v="0"/>
    <x v="2"/>
    <x v="9"/>
    <x v="17"/>
    <s v="SE1_Offshore"/>
    <x v="0"/>
    <n v="42.692399999999999"/>
    <n v="11.859"/>
  </r>
  <r>
    <x v="0"/>
    <x v="2"/>
    <x v="9"/>
    <x v="17"/>
    <s v="SE1_medium"/>
    <x v="0"/>
    <n v="42.692399999999999"/>
    <n v="11.859"/>
  </r>
  <r>
    <x v="0"/>
    <x v="2"/>
    <x v="9"/>
    <x v="17"/>
    <s v="SE1_small"/>
    <x v="0"/>
    <n v="42.692399999999999"/>
    <n v="11.859"/>
  </r>
  <r>
    <x v="0"/>
    <x v="2"/>
    <x v="9"/>
    <x v="18"/>
    <s v="SE2A"/>
    <x v="0"/>
    <n v="42.692399999999999"/>
    <n v="11.859"/>
  </r>
  <r>
    <x v="0"/>
    <x v="2"/>
    <x v="9"/>
    <x v="18"/>
    <s v="SE2_IND"/>
    <x v="0"/>
    <n v="42.692399999999999"/>
    <n v="11.859"/>
  </r>
  <r>
    <x v="0"/>
    <x v="2"/>
    <x v="9"/>
    <x v="18"/>
    <s v="SE2_Offshore"/>
    <x v="0"/>
    <n v="42.692399999999999"/>
    <n v="11.859"/>
  </r>
  <r>
    <x v="0"/>
    <x v="2"/>
    <x v="9"/>
    <x v="18"/>
    <s v="SE2_medium"/>
    <x v="0"/>
    <n v="42.692399999999999"/>
    <n v="11.859"/>
  </r>
  <r>
    <x v="0"/>
    <x v="2"/>
    <x v="9"/>
    <x v="18"/>
    <s v="SE2_small"/>
    <x v="0"/>
    <n v="42.692399999999999"/>
    <n v="11.859"/>
  </r>
  <r>
    <x v="0"/>
    <x v="2"/>
    <x v="9"/>
    <x v="19"/>
    <s v="SE3A"/>
    <x v="0"/>
    <n v="42.692399999999999"/>
    <n v="11.859"/>
  </r>
  <r>
    <x v="0"/>
    <x v="2"/>
    <x v="9"/>
    <x v="19"/>
    <s v="SE3_IND"/>
    <x v="0"/>
    <n v="42.692399999999999"/>
    <n v="11.859"/>
  </r>
  <r>
    <x v="0"/>
    <x v="2"/>
    <x v="9"/>
    <x v="19"/>
    <s v="SE3_Offshore"/>
    <x v="0"/>
    <n v="42.692399999999999"/>
    <n v="11.859"/>
  </r>
  <r>
    <x v="0"/>
    <x v="2"/>
    <x v="9"/>
    <x v="19"/>
    <s v="SE3_large"/>
    <x v="0"/>
    <n v="42.692399999999999"/>
    <n v="11.859"/>
  </r>
  <r>
    <x v="0"/>
    <x v="2"/>
    <x v="9"/>
    <x v="19"/>
    <s v="SE3_medium"/>
    <x v="0"/>
    <n v="42.692399999999999"/>
    <n v="11.859"/>
  </r>
  <r>
    <x v="0"/>
    <x v="2"/>
    <x v="9"/>
    <x v="19"/>
    <s v="SE3_small"/>
    <x v="0"/>
    <n v="42.692399999999999"/>
    <n v="11.859"/>
  </r>
  <r>
    <x v="0"/>
    <x v="2"/>
    <x v="9"/>
    <x v="20"/>
    <s v="SE4A"/>
    <x v="0"/>
    <n v="42.692399999999999"/>
    <n v="11.859"/>
  </r>
  <r>
    <x v="0"/>
    <x v="2"/>
    <x v="9"/>
    <x v="20"/>
    <s v="SE4_IND"/>
    <x v="0"/>
    <n v="42.692399999999999"/>
    <n v="11.859"/>
  </r>
  <r>
    <x v="0"/>
    <x v="2"/>
    <x v="9"/>
    <x v="20"/>
    <s v="SE4_Offshore"/>
    <x v="0"/>
    <n v="42.692399999999999"/>
    <n v="11.859"/>
  </r>
  <r>
    <x v="0"/>
    <x v="2"/>
    <x v="9"/>
    <x v="20"/>
    <s v="SE4_large"/>
    <x v="0"/>
    <n v="42.692399999999999"/>
    <n v="11.859"/>
  </r>
  <r>
    <x v="0"/>
    <x v="2"/>
    <x v="9"/>
    <x v="20"/>
    <s v="SE4_medium"/>
    <x v="0"/>
    <n v="42.692399999999999"/>
    <n v="11.859"/>
  </r>
  <r>
    <x v="0"/>
    <x v="2"/>
    <x v="9"/>
    <x v="20"/>
    <s v="SE4_small"/>
    <x v="0"/>
    <n v="42.692399999999999"/>
    <n v="11.859"/>
  </r>
  <r>
    <x v="0"/>
    <x v="2"/>
    <x v="10"/>
    <x v="21"/>
    <s v="UK_A"/>
    <x v="0"/>
    <n v="42.692399999999999"/>
    <n v="11.859"/>
  </r>
  <r>
    <x v="0"/>
    <x v="2"/>
    <x v="10"/>
    <x v="21"/>
    <s v="UK_Offshore"/>
    <x v="0"/>
    <n v="42.692399999999999"/>
    <n v="11.859"/>
  </r>
  <r>
    <x v="0"/>
    <x v="3"/>
    <x v="0"/>
    <x v="0"/>
    <s v="DK1_Large"/>
    <x v="1"/>
    <n v="51.241600662800401"/>
    <n v="14.233777961889"/>
  </r>
  <r>
    <x v="0"/>
    <x v="3"/>
    <x v="0"/>
    <x v="0"/>
    <s v="DK1_Large"/>
    <x v="2"/>
    <n v="57.96"/>
    <n v="16.100000000000001"/>
  </r>
  <r>
    <x v="0"/>
    <x v="3"/>
    <x v="0"/>
    <x v="0"/>
    <s v="DK1_Large"/>
    <x v="0"/>
    <n v="42.692399999999999"/>
    <n v="11.859"/>
  </r>
  <r>
    <x v="0"/>
    <x v="3"/>
    <x v="0"/>
    <x v="0"/>
    <s v="DK1_Large"/>
    <x v="3"/>
    <n v="57.7974681027342"/>
    <n v="16.054852250759499"/>
  </r>
  <r>
    <x v="0"/>
    <x v="3"/>
    <x v="0"/>
    <x v="0"/>
    <s v="DK1_Large"/>
    <x v="4"/>
    <n v="8.1139884009941898"/>
    <n v="2.2538856669428302"/>
  </r>
  <r>
    <x v="0"/>
    <x v="3"/>
    <x v="0"/>
    <x v="0"/>
    <s v="DK1_Large"/>
    <x v="5"/>
    <n v="8.1139884009941898"/>
    <n v="2.2538856669428302"/>
  </r>
  <r>
    <x v="0"/>
    <x v="3"/>
    <x v="0"/>
    <x v="0"/>
    <s v="DK1_Large"/>
    <x v="6"/>
    <n v="30.770439105219602"/>
    <n v="8.5473441958943202"/>
  </r>
  <r>
    <x v="0"/>
    <x v="3"/>
    <x v="0"/>
    <x v="0"/>
    <s v="DK1_Large"/>
    <x v="7"/>
    <n v="71.350180613090302"/>
    <n v="19.819494614747299"/>
  </r>
  <r>
    <x v="0"/>
    <x v="3"/>
    <x v="0"/>
    <x v="0"/>
    <s v="DK1_Large"/>
    <x v="8"/>
    <n v="71.350180613090302"/>
    <n v="19.819494614747299"/>
  </r>
  <r>
    <x v="0"/>
    <x v="3"/>
    <x v="0"/>
    <x v="0"/>
    <s v="DK1_Large"/>
    <x v="9"/>
    <n v="44.803327257663497"/>
    <n v="12.4453686826843"/>
  </r>
  <r>
    <x v="0"/>
    <x v="3"/>
    <x v="0"/>
    <x v="0"/>
    <s v="DK1_Large"/>
    <x v="10"/>
    <n v="54.681226180612903"/>
    <n v="15.1892294946147"/>
  </r>
  <r>
    <x v="0"/>
    <x v="3"/>
    <x v="0"/>
    <x v="0"/>
    <s v="DK1_Large"/>
    <x v="11"/>
    <n v="3.8806031483015802"/>
    <n v="1.07794531897266"/>
  </r>
  <r>
    <x v="0"/>
    <x v="3"/>
    <x v="0"/>
    <x v="0"/>
    <s v="DK1_Large"/>
    <x v="12"/>
    <n v="9.7995028997514597E-2"/>
    <n v="2.72208413881985E-2"/>
  </r>
  <r>
    <x v="0"/>
    <x v="3"/>
    <x v="0"/>
    <x v="0"/>
    <s v="DK1_Large"/>
    <x v="13"/>
    <n v="21.5197083678542"/>
    <n v="5.9776967688483804"/>
  </r>
  <r>
    <x v="0"/>
    <x v="3"/>
    <x v="0"/>
    <x v="0"/>
    <s v="DK1_Large"/>
    <x v="14"/>
    <n v="21.5197083678542"/>
    <n v="5.9776967688483804"/>
  </r>
  <r>
    <x v="0"/>
    <x v="3"/>
    <x v="0"/>
    <x v="0"/>
    <s v="DK1_Large"/>
    <x v="15"/>
    <n v="1.65807589063794"/>
    <n v="0.46057663628831802"/>
  </r>
  <r>
    <x v="0"/>
    <x v="3"/>
    <x v="0"/>
    <x v="0"/>
    <s v="DK1_Large"/>
    <x v="16"/>
    <n v="8.3492014028755008"/>
    <n v="2.31922261190986"/>
  </r>
  <r>
    <x v="0"/>
    <x v="3"/>
    <x v="0"/>
    <x v="0"/>
    <s v="DK1_Large"/>
    <x v="17"/>
    <n v="9.5251168185584092"/>
    <n v="2.6458657829328902"/>
  </r>
  <r>
    <x v="0"/>
    <x v="3"/>
    <x v="0"/>
    <x v="0"/>
    <s v="DK1_Large"/>
    <x v="18"/>
    <n v="21.5197083678542"/>
    <n v="5.9776967688483804"/>
  </r>
  <r>
    <x v="0"/>
    <x v="3"/>
    <x v="0"/>
    <x v="0"/>
    <s v="DK1_Large"/>
    <x v="19"/>
    <n v="8.1139884009941898"/>
    <n v="2.2538856669428302"/>
  </r>
  <r>
    <x v="0"/>
    <x v="3"/>
    <x v="0"/>
    <x v="0"/>
    <s v="DK1_Large"/>
    <x v="20"/>
    <n v="19.336735244541"/>
    <n v="5.37131534570584"/>
  </r>
  <r>
    <x v="0"/>
    <x v="3"/>
    <x v="0"/>
    <x v="0"/>
    <s v="DK1_Large"/>
    <x v="21"/>
    <n v="53.225806451612797"/>
    <n v="14.784946236559099"/>
  </r>
  <r>
    <x v="0"/>
    <x v="3"/>
    <x v="0"/>
    <x v="0"/>
    <s v="DK1_Large"/>
    <x v="22"/>
    <n v="130.68"/>
    <n v="36.299999999999997"/>
  </r>
  <r>
    <x v="0"/>
    <x v="3"/>
    <x v="0"/>
    <x v="0"/>
    <s v="DK1_Large"/>
    <x v="23"/>
    <n v="0.35278210439105201"/>
    <n v="9.7995028997514499E-2"/>
  </r>
  <r>
    <x v="0"/>
    <x v="3"/>
    <x v="0"/>
    <x v="0"/>
    <s v="DK1_Large"/>
    <x v="24"/>
    <n v="20.0161025734538"/>
    <n v="5.5600284926260501"/>
  </r>
  <r>
    <x v="0"/>
    <x v="3"/>
    <x v="0"/>
    <x v="0"/>
    <s v="DK1_Large"/>
    <x v="25"/>
    <n v="22.356874337357301"/>
    <n v="6.2102428714881297"/>
  </r>
  <r>
    <x v="0"/>
    <x v="3"/>
    <x v="0"/>
    <x v="0"/>
    <s v="DK1_Large"/>
    <x v="26"/>
    <n v="29.6651032387655"/>
    <n v="8.2403064552126306"/>
  </r>
  <r>
    <x v="0"/>
    <x v="3"/>
    <x v="0"/>
    <x v="0"/>
    <s v="DK1_Large"/>
    <x v="27"/>
    <n v="21.049332228666099"/>
    <n v="5.8470367301850299"/>
  </r>
  <r>
    <x v="0"/>
    <x v="3"/>
    <x v="0"/>
    <x v="0"/>
    <s v="DK1_Large_PHH"/>
    <x v="1"/>
    <n v="51.241600662800401"/>
    <n v="14.233777961889"/>
  </r>
  <r>
    <x v="0"/>
    <x v="3"/>
    <x v="0"/>
    <x v="0"/>
    <s v="DK1_Large_PHH"/>
    <x v="2"/>
    <n v="57.96"/>
    <n v="16.100000000000001"/>
  </r>
  <r>
    <x v="0"/>
    <x v="3"/>
    <x v="0"/>
    <x v="0"/>
    <s v="DK1_Large_PHH"/>
    <x v="0"/>
    <n v="42.692399999999999"/>
    <n v="11.859"/>
  </r>
  <r>
    <x v="0"/>
    <x v="3"/>
    <x v="0"/>
    <x v="0"/>
    <s v="DK1_Large_PHH"/>
    <x v="3"/>
    <n v="57.7974681027342"/>
    <n v="16.054852250759499"/>
  </r>
  <r>
    <x v="0"/>
    <x v="3"/>
    <x v="0"/>
    <x v="0"/>
    <s v="DK1_Large_PHH"/>
    <x v="4"/>
    <n v="8.1139884009941898"/>
    <n v="2.2538856669428302"/>
  </r>
  <r>
    <x v="0"/>
    <x v="3"/>
    <x v="0"/>
    <x v="0"/>
    <s v="DK1_Large_PHH"/>
    <x v="5"/>
    <n v="8.1139884009941898"/>
    <n v="2.2538856669428302"/>
  </r>
  <r>
    <x v="0"/>
    <x v="3"/>
    <x v="0"/>
    <x v="0"/>
    <s v="DK1_Large_PHH"/>
    <x v="6"/>
    <n v="30.770439105219602"/>
    <n v="8.5473441958943202"/>
  </r>
  <r>
    <x v="0"/>
    <x v="3"/>
    <x v="0"/>
    <x v="0"/>
    <s v="DK1_Large_PHH"/>
    <x v="7"/>
    <n v="71.350180613090302"/>
    <n v="19.819494614747299"/>
  </r>
  <r>
    <x v="0"/>
    <x v="3"/>
    <x v="0"/>
    <x v="0"/>
    <s v="DK1_Large_PHH"/>
    <x v="8"/>
    <n v="71.350180613090302"/>
    <n v="19.819494614747299"/>
  </r>
  <r>
    <x v="0"/>
    <x v="3"/>
    <x v="0"/>
    <x v="0"/>
    <s v="DK1_Large_PHH"/>
    <x v="9"/>
    <n v="44.803327257663497"/>
    <n v="12.4453686826843"/>
  </r>
  <r>
    <x v="0"/>
    <x v="3"/>
    <x v="0"/>
    <x v="0"/>
    <s v="DK1_Large_PHH"/>
    <x v="10"/>
    <n v="54.681226180612903"/>
    <n v="15.1892294946147"/>
  </r>
  <r>
    <x v="0"/>
    <x v="3"/>
    <x v="0"/>
    <x v="0"/>
    <s v="DK1_Large_PHH"/>
    <x v="11"/>
    <n v="3.8806031483015802"/>
    <n v="1.07794531897266"/>
  </r>
  <r>
    <x v="0"/>
    <x v="3"/>
    <x v="0"/>
    <x v="0"/>
    <s v="DK1_Large_PHH"/>
    <x v="12"/>
    <n v="9.7995028997514597E-2"/>
    <n v="2.72208413881985E-2"/>
  </r>
  <r>
    <x v="0"/>
    <x v="3"/>
    <x v="0"/>
    <x v="0"/>
    <s v="DK1_Large_PHH"/>
    <x v="13"/>
    <n v="21.5197083678542"/>
    <n v="5.9776967688483804"/>
  </r>
  <r>
    <x v="0"/>
    <x v="3"/>
    <x v="0"/>
    <x v="0"/>
    <s v="DK1_Large_PHH"/>
    <x v="14"/>
    <n v="21.5197083678542"/>
    <n v="5.9776967688483804"/>
  </r>
  <r>
    <x v="0"/>
    <x v="3"/>
    <x v="0"/>
    <x v="0"/>
    <s v="DK1_Large_PHH"/>
    <x v="15"/>
    <n v="1.65807589063794"/>
    <n v="0.46057663628831802"/>
  </r>
  <r>
    <x v="0"/>
    <x v="3"/>
    <x v="0"/>
    <x v="0"/>
    <s v="DK1_Large_PHH"/>
    <x v="16"/>
    <n v="8.3492014028755008"/>
    <n v="2.31922261190986"/>
  </r>
  <r>
    <x v="0"/>
    <x v="3"/>
    <x v="0"/>
    <x v="0"/>
    <s v="DK1_Large_PHH"/>
    <x v="17"/>
    <n v="9.5251168185584092"/>
    <n v="2.6458657829328902"/>
  </r>
  <r>
    <x v="0"/>
    <x v="3"/>
    <x v="0"/>
    <x v="0"/>
    <s v="DK1_Large_PHH"/>
    <x v="18"/>
    <n v="21.5197083678542"/>
    <n v="5.9776967688483804"/>
  </r>
  <r>
    <x v="0"/>
    <x v="3"/>
    <x v="0"/>
    <x v="0"/>
    <s v="DK1_Large_PHH"/>
    <x v="19"/>
    <n v="8.1139884009941898"/>
    <n v="2.2538856669428302"/>
  </r>
  <r>
    <x v="0"/>
    <x v="3"/>
    <x v="0"/>
    <x v="0"/>
    <s v="DK1_Large_PHH"/>
    <x v="20"/>
    <n v="19.336735244541"/>
    <n v="5.37131534570584"/>
  </r>
  <r>
    <x v="0"/>
    <x v="3"/>
    <x v="0"/>
    <x v="0"/>
    <s v="DK1_Large_PHH"/>
    <x v="21"/>
    <n v="53.225806451612797"/>
    <n v="14.784946236559099"/>
  </r>
  <r>
    <x v="0"/>
    <x v="3"/>
    <x v="0"/>
    <x v="0"/>
    <s v="DK1_Large_PHH"/>
    <x v="22"/>
    <n v="130.68"/>
    <n v="36.299999999999997"/>
  </r>
  <r>
    <x v="0"/>
    <x v="3"/>
    <x v="0"/>
    <x v="0"/>
    <s v="DK1_Large_PHH"/>
    <x v="23"/>
    <n v="0.35278210439105201"/>
    <n v="9.7995028997514499E-2"/>
  </r>
  <r>
    <x v="0"/>
    <x v="3"/>
    <x v="0"/>
    <x v="0"/>
    <s v="DK1_Large_PHH"/>
    <x v="24"/>
    <n v="20.0161025734538"/>
    <n v="5.5600284926260501"/>
  </r>
  <r>
    <x v="0"/>
    <x v="3"/>
    <x v="0"/>
    <x v="0"/>
    <s v="DK1_Large_PHH"/>
    <x v="25"/>
    <n v="22.356874337357301"/>
    <n v="6.2102428714881297"/>
  </r>
  <r>
    <x v="0"/>
    <x v="3"/>
    <x v="0"/>
    <x v="0"/>
    <s v="DK1_Large_PHH"/>
    <x v="26"/>
    <n v="29.6651032387655"/>
    <n v="8.2403064552126306"/>
  </r>
  <r>
    <x v="0"/>
    <x v="3"/>
    <x v="0"/>
    <x v="0"/>
    <s v="DK1_Large_PHH"/>
    <x v="27"/>
    <n v="21.049332228666099"/>
    <n v="5.8470367301850299"/>
  </r>
  <r>
    <x v="0"/>
    <x v="3"/>
    <x v="0"/>
    <x v="0"/>
    <s v="DK1_Large_PHL"/>
    <x v="1"/>
    <n v="51.241600662800401"/>
    <n v="14.233777961889"/>
  </r>
  <r>
    <x v="0"/>
    <x v="3"/>
    <x v="0"/>
    <x v="0"/>
    <s v="DK1_Large_PHL"/>
    <x v="2"/>
    <n v="57.96"/>
    <n v="16.100000000000001"/>
  </r>
  <r>
    <x v="0"/>
    <x v="3"/>
    <x v="0"/>
    <x v="0"/>
    <s v="DK1_Large_PHL"/>
    <x v="0"/>
    <n v="42.692399999999999"/>
    <n v="11.859"/>
  </r>
  <r>
    <x v="0"/>
    <x v="3"/>
    <x v="0"/>
    <x v="0"/>
    <s v="DK1_Large_PHL"/>
    <x v="3"/>
    <n v="57.7974681027342"/>
    <n v="16.054852250759499"/>
  </r>
  <r>
    <x v="0"/>
    <x v="3"/>
    <x v="0"/>
    <x v="0"/>
    <s v="DK1_Large_PHL"/>
    <x v="4"/>
    <n v="8.1139884009941898"/>
    <n v="2.2538856669428302"/>
  </r>
  <r>
    <x v="0"/>
    <x v="3"/>
    <x v="0"/>
    <x v="0"/>
    <s v="DK1_Large_PHL"/>
    <x v="5"/>
    <n v="8.1139884009941898"/>
    <n v="2.2538856669428302"/>
  </r>
  <r>
    <x v="0"/>
    <x v="3"/>
    <x v="0"/>
    <x v="0"/>
    <s v="DK1_Large_PHL"/>
    <x v="6"/>
    <n v="30.770439105219602"/>
    <n v="8.5473441958943202"/>
  </r>
  <r>
    <x v="0"/>
    <x v="3"/>
    <x v="0"/>
    <x v="0"/>
    <s v="DK1_Large_PHL"/>
    <x v="7"/>
    <n v="71.350180613090302"/>
    <n v="19.819494614747299"/>
  </r>
  <r>
    <x v="0"/>
    <x v="3"/>
    <x v="0"/>
    <x v="0"/>
    <s v="DK1_Large_PHL"/>
    <x v="8"/>
    <n v="71.350180613090302"/>
    <n v="19.819494614747299"/>
  </r>
  <r>
    <x v="0"/>
    <x v="3"/>
    <x v="0"/>
    <x v="0"/>
    <s v="DK1_Large_PHL"/>
    <x v="9"/>
    <n v="44.803327257663497"/>
    <n v="12.4453686826843"/>
  </r>
  <r>
    <x v="0"/>
    <x v="3"/>
    <x v="0"/>
    <x v="0"/>
    <s v="DK1_Large_PHL"/>
    <x v="10"/>
    <n v="54.681226180612903"/>
    <n v="15.1892294946147"/>
  </r>
  <r>
    <x v="0"/>
    <x v="3"/>
    <x v="0"/>
    <x v="0"/>
    <s v="DK1_Large_PHL"/>
    <x v="11"/>
    <n v="3.8806031483015802"/>
    <n v="1.07794531897266"/>
  </r>
  <r>
    <x v="0"/>
    <x v="3"/>
    <x v="0"/>
    <x v="0"/>
    <s v="DK1_Large_PHL"/>
    <x v="12"/>
    <n v="9.7995028997514597E-2"/>
    <n v="2.72208413881985E-2"/>
  </r>
  <r>
    <x v="0"/>
    <x v="3"/>
    <x v="0"/>
    <x v="0"/>
    <s v="DK1_Large_PHL"/>
    <x v="13"/>
    <n v="21.5197083678542"/>
    <n v="5.9776967688483804"/>
  </r>
  <r>
    <x v="0"/>
    <x v="3"/>
    <x v="0"/>
    <x v="0"/>
    <s v="DK1_Large_PHL"/>
    <x v="14"/>
    <n v="21.5197083678542"/>
    <n v="5.9776967688483804"/>
  </r>
  <r>
    <x v="0"/>
    <x v="3"/>
    <x v="0"/>
    <x v="0"/>
    <s v="DK1_Large_PHL"/>
    <x v="15"/>
    <n v="1.65807589063794"/>
    <n v="0.46057663628831802"/>
  </r>
  <r>
    <x v="0"/>
    <x v="3"/>
    <x v="0"/>
    <x v="0"/>
    <s v="DK1_Large_PHL"/>
    <x v="16"/>
    <n v="8.3492014028755008"/>
    <n v="2.31922261190986"/>
  </r>
  <r>
    <x v="0"/>
    <x v="3"/>
    <x v="0"/>
    <x v="0"/>
    <s v="DK1_Large_PHL"/>
    <x v="17"/>
    <n v="9.5251168185584092"/>
    <n v="2.6458657829328902"/>
  </r>
  <r>
    <x v="0"/>
    <x v="3"/>
    <x v="0"/>
    <x v="0"/>
    <s v="DK1_Large_PHL"/>
    <x v="18"/>
    <n v="21.5197083678542"/>
    <n v="5.9776967688483804"/>
  </r>
  <r>
    <x v="0"/>
    <x v="3"/>
    <x v="0"/>
    <x v="0"/>
    <s v="DK1_Large_PHL"/>
    <x v="19"/>
    <n v="8.1139884009941898"/>
    <n v="2.2538856669428302"/>
  </r>
  <r>
    <x v="0"/>
    <x v="3"/>
    <x v="0"/>
    <x v="0"/>
    <s v="DK1_Large_PHL"/>
    <x v="20"/>
    <n v="19.336735244541"/>
    <n v="5.37131534570584"/>
  </r>
  <r>
    <x v="0"/>
    <x v="3"/>
    <x v="0"/>
    <x v="0"/>
    <s v="DK1_Large_PHL"/>
    <x v="21"/>
    <n v="53.225806451612797"/>
    <n v="14.784946236559099"/>
  </r>
  <r>
    <x v="0"/>
    <x v="3"/>
    <x v="0"/>
    <x v="0"/>
    <s v="DK1_Large_PHL"/>
    <x v="22"/>
    <n v="130.68"/>
    <n v="36.299999999999997"/>
  </r>
  <r>
    <x v="0"/>
    <x v="3"/>
    <x v="0"/>
    <x v="0"/>
    <s v="DK1_Large_PHL"/>
    <x v="23"/>
    <n v="0.35278210439105201"/>
    <n v="9.7995028997514499E-2"/>
  </r>
  <r>
    <x v="0"/>
    <x v="3"/>
    <x v="0"/>
    <x v="0"/>
    <s v="DK1_Large_PHL"/>
    <x v="24"/>
    <n v="20.0161025734538"/>
    <n v="5.5600284926260501"/>
  </r>
  <r>
    <x v="0"/>
    <x v="3"/>
    <x v="0"/>
    <x v="0"/>
    <s v="DK1_Large_PHL"/>
    <x v="25"/>
    <n v="22.356874337357301"/>
    <n v="6.2102428714881297"/>
  </r>
  <r>
    <x v="0"/>
    <x v="3"/>
    <x v="0"/>
    <x v="0"/>
    <s v="DK1_Large_PHL"/>
    <x v="26"/>
    <n v="29.6651032387655"/>
    <n v="8.2403064552126306"/>
  </r>
  <r>
    <x v="0"/>
    <x v="3"/>
    <x v="0"/>
    <x v="0"/>
    <s v="DK1_Large_PHL"/>
    <x v="27"/>
    <n v="21.049332228666099"/>
    <n v="5.8470367301850299"/>
  </r>
  <r>
    <x v="0"/>
    <x v="3"/>
    <x v="0"/>
    <x v="0"/>
    <s v="DK1_MedSmall"/>
    <x v="1"/>
    <n v="51.241600662800401"/>
    <n v="14.233777961889"/>
  </r>
  <r>
    <x v="0"/>
    <x v="3"/>
    <x v="0"/>
    <x v="0"/>
    <s v="DK1_MedSmall"/>
    <x v="2"/>
    <n v="57.96"/>
    <n v="16.100000000000001"/>
  </r>
  <r>
    <x v="0"/>
    <x v="3"/>
    <x v="0"/>
    <x v="0"/>
    <s v="DK1_MedSmall"/>
    <x v="0"/>
    <n v="42.692399999999999"/>
    <n v="11.859"/>
  </r>
  <r>
    <x v="0"/>
    <x v="3"/>
    <x v="0"/>
    <x v="0"/>
    <s v="DK1_MedSmall"/>
    <x v="3"/>
    <n v="57.7974681027342"/>
    <n v="16.054852250759499"/>
  </r>
  <r>
    <x v="0"/>
    <x v="3"/>
    <x v="0"/>
    <x v="0"/>
    <s v="DK1_MedSmall"/>
    <x v="4"/>
    <n v="8.1139884009941898"/>
    <n v="2.2538856669428302"/>
  </r>
  <r>
    <x v="0"/>
    <x v="3"/>
    <x v="0"/>
    <x v="0"/>
    <s v="DK1_MedSmall"/>
    <x v="5"/>
    <n v="8.1139884009941898"/>
    <n v="2.2538856669428302"/>
  </r>
  <r>
    <x v="0"/>
    <x v="3"/>
    <x v="0"/>
    <x v="0"/>
    <s v="DK1_MedSmall"/>
    <x v="6"/>
    <n v="30.770439105219602"/>
    <n v="8.5473441958943202"/>
  </r>
  <r>
    <x v="0"/>
    <x v="3"/>
    <x v="0"/>
    <x v="0"/>
    <s v="DK1_MedSmall"/>
    <x v="7"/>
    <n v="71.350180613090302"/>
    <n v="19.819494614747299"/>
  </r>
  <r>
    <x v="0"/>
    <x v="3"/>
    <x v="0"/>
    <x v="0"/>
    <s v="DK1_MedSmall"/>
    <x v="8"/>
    <n v="71.350180613090302"/>
    <n v="19.819494614747299"/>
  </r>
  <r>
    <x v="0"/>
    <x v="3"/>
    <x v="0"/>
    <x v="0"/>
    <s v="DK1_MedSmall"/>
    <x v="9"/>
    <n v="44.803327257663497"/>
    <n v="12.4453686826843"/>
  </r>
  <r>
    <x v="0"/>
    <x v="3"/>
    <x v="0"/>
    <x v="0"/>
    <s v="DK1_MedSmall"/>
    <x v="10"/>
    <n v="54.681226180612903"/>
    <n v="15.1892294946147"/>
  </r>
  <r>
    <x v="0"/>
    <x v="3"/>
    <x v="0"/>
    <x v="0"/>
    <s v="DK1_MedSmall"/>
    <x v="11"/>
    <n v="3.8806031483015802"/>
    <n v="1.07794531897266"/>
  </r>
  <r>
    <x v="0"/>
    <x v="3"/>
    <x v="0"/>
    <x v="0"/>
    <s v="DK1_MedSmall"/>
    <x v="12"/>
    <n v="9.7995028997514597E-2"/>
    <n v="2.72208413881985E-2"/>
  </r>
  <r>
    <x v="0"/>
    <x v="3"/>
    <x v="0"/>
    <x v="0"/>
    <s v="DK1_MedSmall"/>
    <x v="13"/>
    <n v="21.5197083678542"/>
    <n v="5.9776967688483804"/>
  </r>
  <r>
    <x v="0"/>
    <x v="3"/>
    <x v="0"/>
    <x v="0"/>
    <s v="DK1_MedSmall"/>
    <x v="14"/>
    <n v="21.5197083678542"/>
    <n v="5.9776967688483804"/>
  </r>
  <r>
    <x v="0"/>
    <x v="3"/>
    <x v="0"/>
    <x v="0"/>
    <s v="DK1_MedSmall"/>
    <x v="15"/>
    <n v="1.65807589063794"/>
    <n v="0.46057663628831802"/>
  </r>
  <r>
    <x v="0"/>
    <x v="3"/>
    <x v="0"/>
    <x v="0"/>
    <s v="DK1_MedSmall"/>
    <x v="16"/>
    <n v="8.3492014028755008"/>
    <n v="2.31922261190986"/>
  </r>
  <r>
    <x v="0"/>
    <x v="3"/>
    <x v="0"/>
    <x v="0"/>
    <s v="DK1_MedSmall"/>
    <x v="17"/>
    <n v="9.5251168185584092"/>
    <n v="2.6458657829328902"/>
  </r>
  <r>
    <x v="0"/>
    <x v="3"/>
    <x v="0"/>
    <x v="0"/>
    <s v="DK1_MedSmall"/>
    <x v="18"/>
    <n v="21.5197083678542"/>
    <n v="5.9776967688483804"/>
  </r>
  <r>
    <x v="0"/>
    <x v="3"/>
    <x v="0"/>
    <x v="0"/>
    <s v="DK1_MedSmall"/>
    <x v="19"/>
    <n v="8.1139884009941898"/>
    <n v="2.2538856669428302"/>
  </r>
  <r>
    <x v="0"/>
    <x v="3"/>
    <x v="0"/>
    <x v="0"/>
    <s v="DK1_MedSmall"/>
    <x v="20"/>
    <n v="19.336735244541"/>
    <n v="5.37131534570584"/>
  </r>
  <r>
    <x v="0"/>
    <x v="3"/>
    <x v="0"/>
    <x v="0"/>
    <s v="DK1_MedSmall"/>
    <x v="21"/>
    <n v="53.225806451612797"/>
    <n v="14.784946236559099"/>
  </r>
  <r>
    <x v="0"/>
    <x v="3"/>
    <x v="0"/>
    <x v="0"/>
    <s v="DK1_MedSmall"/>
    <x v="22"/>
    <n v="130.68"/>
    <n v="36.299999999999997"/>
  </r>
  <r>
    <x v="0"/>
    <x v="3"/>
    <x v="0"/>
    <x v="0"/>
    <s v="DK1_MedSmall"/>
    <x v="23"/>
    <n v="0.35278210439105201"/>
    <n v="9.7995028997514499E-2"/>
  </r>
  <r>
    <x v="0"/>
    <x v="3"/>
    <x v="0"/>
    <x v="0"/>
    <s v="DK1_MedSmall"/>
    <x v="24"/>
    <n v="20.0161025734538"/>
    <n v="5.5600284926260501"/>
  </r>
  <r>
    <x v="0"/>
    <x v="3"/>
    <x v="0"/>
    <x v="0"/>
    <s v="DK1_MedSmall"/>
    <x v="25"/>
    <n v="22.356874337357301"/>
    <n v="6.2102428714881297"/>
  </r>
  <r>
    <x v="0"/>
    <x v="3"/>
    <x v="0"/>
    <x v="0"/>
    <s v="DK1_MedSmall"/>
    <x v="26"/>
    <n v="29.6651032387655"/>
    <n v="8.2403064552126306"/>
  </r>
  <r>
    <x v="0"/>
    <x v="3"/>
    <x v="0"/>
    <x v="0"/>
    <s v="DK1_MedSmall"/>
    <x v="27"/>
    <n v="21.049332228666099"/>
    <n v="5.8470367301850299"/>
  </r>
  <r>
    <x v="0"/>
    <x v="3"/>
    <x v="0"/>
    <x v="0"/>
    <s v="DK1_Medium"/>
    <x v="1"/>
    <n v="51.241600662800401"/>
    <n v="14.233777961889"/>
  </r>
  <r>
    <x v="0"/>
    <x v="3"/>
    <x v="0"/>
    <x v="0"/>
    <s v="DK1_Medium"/>
    <x v="2"/>
    <n v="57.96"/>
    <n v="16.100000000000001"/>
  </r>
  <r>
    <x v="0"/>
    <x v="3"/>
    <x v="0"/>
    <x v="0"/>
    <s v="DK1_Medium"/>
    <x v="0"/>
    <n v="42.692399999999999"/>
    <n v="11.859"/>
  </r>
  <r>
    <x v="0"/>
    <x v="3"/>
    <x v="0"/>
    <x v="0"/>
    <s v="DK1_Medium"/>
    <x v="3"/>
    <n v="57.7974681027342"/>
    <n v="16.054852250759499"/>
  </r>
  <r>
    <x v="0"/>
    <x v="3"/>
    <x v="0"/>
    <x v="0"/>
    <s v="DK1_Medium"/>
    <x v="4"/>
    <n v="8.1139884009941898"/>
    <n v="2.2538856669428302"/>
  </r>
  <r>
    <x v="0"/>
    <x v="3"/>
    <x v="0"/>
    <x v="0"/>
    <s v="DK1_Medium"/>
    <x v="5"/>
    <n v="8.1139884009941898"/>
    <n v="2.2538856669428302"/>
  </r>
  <r>
    <x v="0"/>
    <x v="3"/>
    <x v="0"/>
    <x v="0"/>
    <s v="DK1_Medium"/>
    <x v="6"/>
    <n v="30.770439105219602"/>
    <n v="8.5473441958943202"/>
  </r>
  <r>
    <x v="0"/>
    <x v="3"/>
    <x v="0"/>
    <x v="0"/>
    <s v="DK1_Medium"/>
    <x v="7"/>
    <n v="71.350180613090302"/>
    <n v="19.819494614747299"/>
  </r>
  <r>
    <x v="0"/>
    <x v="3"/>
    <x v="0"/>
    <x v="0"/>
    <s v="DK1_Medium"/>
    <x v="8"/>
    <n v="71.350180613090302"/>
    <n v="19.819494614747299"/>
  </r>
  <r>
    <x v="0"/>
    <x v="3"/>
    <x v="0"/>
    <x v="0"/>
    <s v="DK1_Medium"/>
    <x v="9"/>
    <n v="44.803327257663497"/>
    <n v="12.4453686826843"/>
  </r>
  <r>
    <x v="0"/>
    <x v="3"/>
    <x v="0"/>
    <x v="0"/>
    <s v="DK1_Medium"/>
    <x v="10"/>
    <n v="54.681226180612903"/>
    <n v="15.1892294946147"/>
  </r>
  <r>
    <x v="0"/>
    <x v="3"/>
    <x v="0"/>
    <x v="0"/>
    <s v="DK1_Medium"/>
    <x v="11"/>
    <n v="3.8806031483015802"/>
    <n v="1.07794531897266"/>
  </r>
  <r>
    <x v="0"/>
    <x v="3"/>
    <x v="0"/>
    <x v="0"/>
    <s v="DK1_Medium"/>
    <x v="12"/>
    <n v="9.7995028997514597E-2"/>
    <n v="2.72208413881985E-2"/>
  </r>
  <r>
    <x v="0"/>
    <x v="3"/>
    <x v="0"/>
    <x v="0"/>
    <s v="DK1_Medium"/>
    <x v="13"/>
    <n v="21.5197083678542"/>
    <n v="5.9776967688483804"/>
  </r>
  <r>
    <x v="0"/>
    <x v="3"/>
    <x v="0"/>
    <x v="0"/>
    <s v="DK1_Medium"/>
    <x v="14"/>
    <n v="21.5197083678542"/>
    <n v="5.9776967688483804"/>
  </r>
  <r>
    <x v="0"/>
    <x v="3"/>
    <x v="0"/>
    <x v="0"/>
    <s v="DK1_Medium"/>
    <x v="15"/>
    <n v="1.65807589063794"/>
    <n v="0.46057663628831802"/>
  </r>
  <r>
    <x v="0"/>
    <x v="3"/>
    <x v="0"/>
    <x v="0"/>
    <s v="DK1_Medium"/>
    <x v="16"/>
    <n v="8.3492014028755008"/>
    <n v="2.31922261190986"/>
  </r>
  <r>
    <x v="0"/>
    <x v="3"/>
    <x v="0"/>
    <x v="0"/>
    <s v="DK1_Medium"/>
    <x v="17"/>
    <n v="9.5251168185584092"/>
    <n v="2.6458657829328902"/>
  </r>
  <r>
    <x v="0"/>
    <x v="3"/>
    <x v="0"/>
    <x v="0"/>
    <s v="DK1_Medium"/>
    <x v="18"/>
    <n v="21.5197083678542"/>
    <n v="5.9776967688483804"/>
  </r>
  <r>
    <x v="0"/>
    <x v="3"/>
    <x v="0"/>
    <x v="0"/>
    <s v="DK1_Medium"/>
    <x v="19"/>
    <n v="8.1139884009941898"/>
    <n v="2.2538856669428302"/>
  </r>
  <r>
    <x v="0"/>
    <x v="3"/>
    <x v="0"/>
    <x v="0"/>
    <s v="DK1_Medium"/>
    <x v="20"/>
    <n v="19.336735244541"/>
    <n v="5.37131534570584"/>
  </r>
  <r>
    <x v="0"/>
    <x v="3"/>
    <x v="0"/>
    <x v="0"/>
    <s v="DK1_Medium"/>
    <x v="21"/>
    <n v="53.225806451612797"/>
    <n v="14.784946236559099"/>
  </r>
  <r>
    <x v="0"/>
    <x v="3"/>
    <x v="0"/>
    <x v="0"/>
    <s v="DK1_Medium"/>
    <x v="22"/>
    <n v="130.68"/>
    <n v="36.299999999999997"/>
  </r>
  <r>
    <x v="0"/>
    <x v="3"/>
    <x v="0"/>
    <x v="0"/>
    <s v="DK1_Medium"/>
    <x v="23"/>
    <n v="0.35278210439105201"/>
    <n v="9.7995028997514499E-2"/>
  </r>
  <r>
    <x v="0"/>
    <x v="3"/>
    <x v="0"/>
    <x v="0"/>
    <s v="DK1_Medium"/>
    <x v="24"/>
    <n v="20.0161025734538"/>
    <n v="5.5600284926260501"/>
  </r>
  <r>
    <x v="0"/>
    <x v="3"/>
    <x v="0"/>
    <x v="0"/>
    <s v="DK1_Medium"/>
    <x v="25"/>
    <n v="22.356874337357301"/>
    <n v="6.2102428714881297"/>
  </r>
  <r>
    <x v="0"/>
    <x v="3"/>
    <x v="0"/>
    <x v="0"/>
    <s v="DK1_Medium"/>
    <x v="26"/>
    <n v="29.6651032387655"/>
    <n v="8.2403064552126306"/>
  </r>
  <r>
    <x v="0"/>
    <x v="3"/>
    <x v="0"/>
    <x v="0"/>
    <s v="DK1_Medium"/>
    <x v="27"/>
    <n v="21.049332228666099"/>
    <n v="5.8470367301850299"/>
  </r>
  <r>
    <x v="0"/>
    <x v="3"/>
    <x v="0"/>
    <x v="0"/>
    <s v="DK1_NoDH"/>
    <x v="1"/>
    <n v="51.241600662800401"/>
    <n v="14.233777961889"/>
  </r>
  <r>
    <x v="0"/>
    <x v="3"/>
    <x v="0"/>
    <x v="0"/>
    <s v="DK1_NoDH"/>
    <x v="2"/>
    <n v="57.96"/>
    <n v="16.100000000000001"/>
  </r>
  <r>
    <x v="0"/>
    <x v="3"/>
    <x v="0"/>
    <x v="0"/>
    <s v="DK1_NoDH"/>
    <x v="0"/>
    <n v="42.692399999999999"/>
    <n v="11.859"/>
  </r>
  <r>
    <x v="0"/>
    <x v="3"/>
    <x v="0"/>
    <x v="0"/>
    <s v="DK1_NoDH"/>
    <x v="3"/>
    <n v="57.7974681027342"/>
    <n v="16.054852250759499"/>
  </r>
  <r>
    <x v="0"/>
    <x v="3"/>
    <x v="0"/>
    <x v="0"/>
    <s v="DK1_NoDH"/>
    <x v="4"/>
    <n v="8.1139884009941898"/>
    <n v="2.2538856669428302"/>
  </r>
  <r>
    <x v="0"/>
    <x v="3"/>
    <x v="0"/>
    <x v="0"/>
    <s v="DK1_NoDH"/>
    <x v="5"/>
    <n v="8.1139884009941898"/>
    <n v="2.2538856669428302"/>
  </r>
  <r>
    <x v="0"/>
    <x v="3"/>
    <x v="0"/>
    <x v="0"/>
    <s v="DK1_NoDH"/>
    <x v="6"/>
    <n v="30.770439105219602"/>
    <n v="8.5473441958943202"/>
  </r>
  <r>
    <x v="0"/>
    <x v="3"/>
    <x v="0"/>
    <x v="0"/>
    <s v="DK1_NoDH"/>
    <x v="7"/>
    <n v="71.350180613090302"/>
    <n v="19.819494614747299"/>
  </r>
  <r>
    <x v="0"/>
    <x v="3"/>
    <x v="0"/>
    <x v="0"/>
    <s v="DK1_NoDH"/>
    <x v="8"/>
    <n v="71.350180613090302"/>
    <n v="19.819494614747299"/>
  </r>
  <r>
    <x v="0"/>
    <x v="3"/>
    <x v="0"/>
    <x v="0"/>
    <s v="DK1_NoDH"/>
    <x v="9"/>
    <n v="44.803327257663497"/>
    <n v="12.4453686826843"/>
  </r>
  <r>
    <x v="0"/>
    <x v="3"/>
    <x v="0"/>
    <x v="0"/>
    <s v="DK1_NoDH"/>
    <x v="10"/>
    <n v="54.681226180612903"/>
    <n v="15.1892294946147"/>
  </r>
  <r>
    <x v="0"/>
    <x v="3"/>
    <x v="0"/>
    <x v="0"/>
    <s v="DK1_NoDH"/>
    <x v="11"/>
    <n v="3.8806031483015802"/>
    <n v="1.07794531897266"/>
  </r>
  <r>
    <x v="0"/>
    <x v="3"/>
    <x v="0"/>
    <x v="0"/>
    <s v="DK1_NoDH"/>
    <x v="12"/>
    <n v="9.7995028997514597E-2"/>
    <n v="2.72208413881985E-2"/>
  </r>
  <r>
    <x v="0"/>
    <x v="3"/>
    <x v="0"/>
    <x v="0"/>
    <s v="DK1_NoDH"/>
    <x v="13"/>
    <n v="21.5197083678542"/>
    <n v="5.9776967688483804"/>
  </r>
  <r>
    <x v="0"/>
    <x v="3"/>
    <x v="0"/>
    <x v="0"/>
    <s v="DK1_NoDH"/>
    <x v="14"/>
    <n v="21.5197083678542"/>
    <n v="5.9776967688483804"/>
  </r>
  <r>
    <x v="0"/>
    <x v="3"/>
    <x v="0"/>
    <x v="0"/>
    <s v="DK1_NoDH"/>
    <x v="15"/>
    <n v="1.65807589063794"/>
    <n v="0.46057663628831802"/>
  </r>
  <r>
    <x v="0"/>
    <x v="3"/>
    <x v="0"/>
    <x v="0"/>
    <s v="DK1_NoDH"/>
    <x v="16"/>
    <n v="8.3492014028755008"/>
    <n v="2.31922261190986"/>
  </r>
  <r>
    <x v="0"/>
    <x v="3"/>
    <x v="0"/>
    <x v="0"/>
    <s v="DK1_NoDH"/>
    <x v="17"/>
    <n v="9.5251168185584092"/>
    <n v="2.6458657829328902"/>
  </r>
  <r>
    <x v="0"/>
    <x v="3"/>
    <x v="0"/>
    <x v="0"/>
    <s v="DK1_NoDH"/>
    <x v="18"/>
    <n v="21.5197083678542"/>
    <n v="5.9776967688483804"/>
  </r>
  <r>
    <x v="0"/>
    <x v="3"/>
    <x v="0"/>
    <x v="0"/>
    <s v="DK1_NoDH"/>
    <x v="19"/>
    <n v="8.1139884009941898"/>
    <n v="2.2538856669428302"/>
  </r>
  <r>
    <x v="0"/>
    <x v="3"/>
    <x v="0"/>
    <x v="0"/>
    <s v="DK1_NoDH"/>
    <x v="20"/>
    <n v="19.336735244541"/>
    <n v="5.37131534570584"/>
  </r>
  <r>
    <x v="0"/>
    <x v="3"/>
    <x v="0"/>
    <x v="0"/>
    <s v="DK1_NoDH"/>
    <x v="21"/>
    <n v="53.225806451612797"/>
    <n v="14.784946236559099"/>
  </r>
  <r>
    <x v="0"/>
    <x v="3"/>
    <x v="0"/>
    <x v="0"/>
    <s v="DK1_NoDH"/>
    <x v="22"/>
    <n v="130.68"/>
    <n v="36.299999999999997"/>
  </r>
  <r>
    <x v="0"/>
    <x v="3"/>
    <x v="0"/>
    <x v="0"/>
    <s v="DK1_NoDH"/>
    <x v="23"/>
    <n v="0.35278210439105201"/>
    <n v="9.7995028997514499E-2"/>
  </r>
  <r>
    <x v="0"/>
    <x v="3"/>
    <x v="0"/>
    <x v="0"/>
    <s v="DK1_NoDH"/>
    <x v="24"/>
    <n v="20.0161025734538"/>
    <n v="5.5600284926260501"/>
  </r>
  <r>
    <x v="0"/>
    <x v="3"/>
    <x v="0"/>
    <x v="0"/>
    <s v="DK1_NoDH"/>
    <x v="25"/>
    <n v="22.356874337357301"/>
    <n v="6.2102428714881297"/>
  </r>
  <r>
    <x v="0"/>
    <x v="3"/>
    <x v="0"/>
    <x v="0"/>
    <s v="DK1_NoDH"/>
    <x v="26"/>
    <n v="29.6651032387655"/>
    <n v="8.2403064552126306"/>
  </r>
  <r>
    <x v="0"/>
    <x v="3"/>
    <x v="0"/>
    <x v="0"/>
    <s v="DK1_NoDH"/>
    <x v="27"/>
    <n v="21.049332228666099"/>
    <n v="5.8470367301850299"/>
  </r>
  <r>
    <x v="0"/>
    <x v="3"/>
    <x v="0"/>
    <x v="0"/>
    <s v="DK1_NoDH_PHH"/>
    <x v="1"/>
    <n v="51.241600662800401"/>
    <n v="14.233777961889"/>
  </r>
  <r>
    <x v="0"/>
    <x v="3"/>
    <x v="0"/>
    <x v="0"/>
    <s v="DK1_NoDH_PHH"/>
    <x v="2"/>
    <n v="57.96"/>
    <n v="16.100000000000001"/>
  </r>
  <r>
    <x v="0"/>
    <x v="3"/>
    <x v="0"/>
    <x v="0"/>
    <s v="DK1_NoDH_PHH"/>
    <x v="0"/>
    <n v="42.692399999999999"/>
    <n v="11.859"/>
  </r>
  <r>
    <x v="0"/>
    <x v="3"/>
    <x v="0"/>
    <x v="0"/>
    <s v="DK1_NoDH_PHH"/>
    <x v="3"/>
    <n v="57.7974681027342"/>
    <n v="16.054852250759499"/>
  </r>
  <r>
    <x v="0"/>
    <x v="3"/>
    <x v="0"/>
    <x v="0"/>
    <s v="DK1_NoDH_PHH"/>
    <x v="4"/>
    <n v="8.1139884009941898"/>
    <n v="2.2538856669428302"/>
  </r>
  <r>
    <x v="0"/>
    <x v="3"/>
    <x v="0"/>
    <x v="0"/>
    <s v="DK1_NoDH_PHH"/>
    <x v="5"/>
    <n v="8.1139884009941898"/>
    <n v="2.2538856669428302"/>
  </r>
  <r>
    <x v="0"/>
    <x v="3"/>
    <x v="0"/>
    <x v="0"/>
    <s v="DK1_NoDH_PHH"/>
    <x v="6"/>
    <n v="30.770439105219602"/>
    <n v="8.5473441958943202"/>
  </r>
  <r>
    <x v="0"/>
    <x v="3"/>
    <x v="0"/>
    <x v="0"/>
    <s v="DK1_NoDH_PHH"/>
    <x v="7"/>
    <n v="71.350180613090302"/>
    <n v="19.819494614747299"/>
  </r>
  <r>
    <x v="0"/>
    <x v="3"/>
    <x v="0"/>
    <x v="0"/>
    <s v="DK1_NoDH_PHH"/>
    <x v="8"/>
    <n v="71.350180613090302"/>
    <n v="19.819494614747299"/>
  </r>
  <r>
    <x v="0"/>
    <x v="3"/>
    <x v="0"/>
    <x v="0"/>
    <s v="DK1_NoDH_PHH"/>
    <x v="9"/>
    <n v="44.803327257663497"/>
    <n v="12.4453686826843"/>
  </r>
  <r>
    <x v="0"/>
    <x v="3"/>
    <x v="0"/>
    <x v="0"/>
    <s v="DK1_NoDH_PHH"/>
    <x v="10"/>
    <n v="54.681226180612903"/>
    <n v="15.1892294946147"/>
  </r>
  <r>
    <x v="0"/>
    <x v="3"/>
    <x v="0"/>
    <x v="0"/>
    <s v="DK1_NoDH_PHH"/>
    <x v="11"/>
    <n v="3.8806031483015802"/>
    <n v="1.07794531897266"/>
  </r>
  <r>
    <x v="0"/>
    <x v="3"/>
    <x v="0"/>
    <x v="0"/>
    <s v="DK1_NoDH_PHH"/>
    <x v="12"/>
    <n v="9.7995028997514597E-2"/>
    <n v="2.72208413881985E-2"/>
  </r>
  <r>
    <x v="0"/>
    <x v="3"/>
    <x v="0"/>
    <x v="0"/>
    <s v="DK1_NoDH_PHH"/>
    <x v="13"/>
    <n v="21.5197083678542"/>
    <n v="5.9776967688483804"/>
  </r>
  <r>
    <x v="0"/>
    <x v="3"/>
    <x v="0"/>
    <x v="0"/>
    <s v="DK1_NoDH_PHH"/>
    <x v="14"/>
    <n v="21.5197083678542"/>
    <n v="5.9776967688483804"/>
  </r>
  <r>
    <x v="0"/>
    <x v="3"/>
    <x v="0"/>
    <x v="0"/>
    <s v="DK1_NoDH_PHH"/>
    <x v="15"/>
    <n v="1.65807589063794"/>
    <n v="0.46057663628831802"/>
  </r>
  <r>
    <x v="0"/>
    <x v="3"/>
    <x v="0"/>
    <x v="0"/>
    <s v="DK1_NoDH_PHH"/>
    <x v="16"/>
    <n v="8.3492014028755008"/>
    <n v="2.31922261190986"/>
  </r>
  <r>
    <x v="0"/>
    <x v="3"/>
    <x v="0"/>
    <x v="0"/>
    <s v="DK1_NoDH_PHH"/>
    <x v="17"/>
    <n v="9.5251168185584092"/>
    <n v="2.6458657829328902"/>
  </r>
  <r>
    <x v="0"/>
    <x v="3"/>
    <x v="0"/>
    <x v="0"/>
    <s v="DK1_NoDH_PHH"/>
    <x v="18"/>
    <n v="21.5197083678542"/>
    <n v="5.9776967688483804"/>
  </r>
  <r>
    <x v="0"/>
    <x v="3"/>
    <x v="0"/>
    <x v="0"/>
    <s v="DK1_NoDH_PHH"/>
    <x v="19"/>
    <n v="8.1139884009941898"/>
    <n v="2.2538856669428302"/>
  </r>
  <r>
    <x v="0"/>
    <x v="3"/>
    <x v="0"/>
    <x v="0"/>
    <s v="DK1_NoDH_PHH"/>
    <x v="20"/>
    <n v="19.336735244541"/>
    <n v="5.37131534570584"/>
  </r>
  <r>
    <x v="0"/>
    <x v="3"/>
    <x v="0"/>
    <x v="0"/>
    <s v="DK1_NoDH_PHH"/>
    <x v="21"/>
    <n v="53.225806451612797"/>
    <n v="14.784946236559099"/>
  </r>
  <r>
    <x v="0"/>
    <x v="3"/>
    <x v="0"/>
    <x v="0"/>
    <s v="DK1_NoDH_PHH"/>
    <x v="22"/>
    <n v="130.68"/>
    <n v="36.299999999999997"/>
  </r>
  <r>
    <x v="0"/>
    <x v="3"/>
    <x v="0"/>
    <x v="0"/>
    <s v="DK1_NoDH_PHH"/>
    <x v="23"/>
    <n v="0.35278210439105201"/>
    <n v="9.7995028997514499E-2"/>
  </r>
  <r>
    <x v="0"/>
    <x v="3"/>
    <x v="0"/>
    <x v="0"/>
    <s v="DK1_NoDH_PHH"/>
    <x v="24"/>
    <n v="20.0161025734538"/>
    <n v="5.5600284926260501"/>
  </r>
  <r>
    <x v="0"/>
    <x v="3"/>
    <x v="0"/>
    <x v="0"/>
    <s v="DK1_NoDH_PHH"/>
    <x v="25"/>
    <n v="22.356874337357301"/>
    <n v="6.2102428714881297"/>
  </r>
  <r>
    <x v="0"/>
    <x v="3"/>
    <x v="0"/>
    <x v="0"/>
    <s v="DK1_NoDH_PHH"/>
    <x v="26"/>
    <n v="29.6651032387655"/>
    <n v="8.2403064552126306"/>
  </r>
  <r>
    <x v="0"/>
    <x v="3"/>
    <x v="0"/>
    <x v="0"/>
    <s v="DK1_NoDH_PHH"/>
    <x v="27"/>
    <n v="21.049332228666099"/>
    <n v="5.8470367301850299"/>
  </r>
  <r>
    <x v="0"/>
    <x v="3"/>
    <x v="0"/>
    <x v="0"/>
    <s v="DK1_NoDH_PHL"/>
    <x v="1"/>
    <n v="51.241600662800401"/>
    <n v="14.233777961889"/>
  </r>
  <r>
    <x v="0"/>
    <x v="3"/>
    <x v="0"/>
    <x v="0"/>
    <s v="DK1_NoDH_PHL"/>
    <x v="2"/>
    <n v="57.96"/>
    <n v="16.100000000000001"/>
  </r>
  <r>
    <x v="0"/>
    <x v="3"/>
    <x v="0"/>
    <x v="0"/>
    <s v="DK1_NoDH_PHL"/>
    <x v="0"/>
    <n v="42.692399999999999"/>
    <n v="11.859"/>
  </r>
  <r>
    <x v="0"/>
    <x v="3"/>
    <x v="0"/>
    <x v="0"/>
    <s v="DK1_NoDH_PHL"/>
    <x v="3"/>
    <n v="57.7974681027342"/>
    <n v="16.054852250759499"/>
  </r>
  <r>
    <x v="0"/>
    <x v="3"/>
    <x v="0"/>
    <x v="0"/>
    <s v="DK1_NoDH_PHL"/>
    <x v="4"/>
    <n v="8.1139884009941898"/>
    <n v="2.2538856669428302"/>
  </r>
  <r>
    <x v="0"/>
    <x v="3"/>
    <x v="0"/>
    <x v="0"/>
    <s v="DK1_NoDH_PHL"/>
    <x v="5"/>
    <n v="8.1139884009941898"/>
    <n v="2.2538856669428302"/>
  </r>
  <r>
    <x v="0"/>
    <x v="3"/>
    <x v="0"/>
    <x v="0"/>
    <s v="DK1_NoDH_PHL"/>
    <x v="6"/>
    <n v="30.770439105219602"/>
    <n v="8.5473441958943202"/>
  </r>
  <r>
    <x v="0"/>
    <x v="3"/>
    <x v="0"/>
    <x v="0"/>
    <s v="DK1_NoDH_PHL"/>
    <x v="7"/>
    <n v="71.350180613090302"/>
    <n v="19.819494614747299"/>
  </r>
  <r>
    <x v="0"/>
    <x v="3"/>
    <x v="0"/>
    <x v="0"/>
    <s v="DK1_NoDH_PHL"/>
    <x v="8"/>
    <n v="71.350180613090302"/>
    <n v="19.819494614747299"/>
  </r>
  <r>
    <x v="0"/>
    <x v="3"/>
    <x v="0"/>
    <x v="0"/>
    <s v="DK1_NoDH_PHL"/>
    <x v="9"/>
    <n v="44.803327257663497"/>
    <n v="12.4453686826843"/>
  </r>
  <r>
    <x v="0"/>
    <x v="3"/>
    <x v="0"/>
    <x v="0"/>
    <s v="DK1_NoDH_PHL"/>
    <x v="10"/>
    <n v="54.681226180612903"/>
    <n v="15.1892294946147"/>
  </r>
  <r>
    <x v="0"/>
    <x v="3"/>
    <x v="0"/>
    <x v="0"/>
    <s v="DK1_NoDH_PHL"/>
    <x v="11"/>
    <n v="3.8806031483015802"/>
    <n v="1.07794531897266"/>
  </r>
  <r>
    <x v="0"/>
    <x v="3"/>
    <x v="0"/>
    <x v="0"/>
    <s v="DK1_NoDH_PHL"/>
    <x v="12"/>
    <n v="9.7995028997514597E-2"/>
    <n v="2.72208413881985E-2"/>
  </r>
  <r>
    <x v="0"/>
    <x v="3"/>
    <x v="0"/>
    <x v="0"/>
    <s v="DK1_NoDH_PHL"/>
    <x v="13"/>
    <n v="21.5197083678542"/>
    <n v="5.9776967688483804"/>
  </r>
  <r>
    <x v="0"/>
    <x v="3"/>
    <x v="0"/>
    <x v="0"/>
    <s v="DK1_NoDH_PHL"/>
    <x v="14"/>
    <n v="21.5197083678542"/>
    <n v="5.9776967688483804"/>
  </r>
  <r>
    <x v="0"/>
    <x v="3"/>
    <x v="0"/>
    <x v="0"/>
    <s v="DK1_NoDH_PHL"/>
    <x v="15"/>
    <n v="1.65807589063794"/>
    <n v="0.46057663628831802"/>
  </r>
  <r>
    <x v="0"/>
    <x v="3"/>
    <x v="0"/>
    <x v="0"/>
    <s v="DK1_NoDH_PHL"/>
    <x v="16"/>
    <n v="8.3492014028755008"/>
    <n v="2.31922261190986"/>
  </r>
  <r>
    <x v="0"/>
    <x v="3"/>
    <x v="0"/>
    <x v="0"/>
    <s v="DK1_NoDH_PHL"/>
    <x v="17"/>
    <n v="9.5251168185584092"/>
    <n v="2.6458657829328902"/>
  </r>
  <r>
    <x v="0"/>
    <x v="3"/>
    <x v="0"/>
    <x v="0"/>
    <s v="DK1_NoDH_PHL"/>
    <x v="18"/>
    <n v="21.5197083678542"/>
    <n v="5.9776967688483804"/>
  </r>
  <r>
    <x v="0"/>
    <x v="3"/>
    <x v="0"/>
    <x v="0"/>
    <s v="DK1_NoDH_PHL"/>
    <x v="19"/>
    <n v="8.1139884009941898"/>
    <n v="2.2538856669428302"/>
  </r>
  <r>
    <x v="0"/>
    <x v="3"/>
    <x v="0"/>
    <x v="0"/>
    <s v="DK1_NoDH_PHL"/>
    <x v="20"/>
    <n v="19.336735244541"/>
    <n v="5.37131534570584"/>
  </r>
  <r>
    <x v="0"/>
    <x v="3"/>
    <x v="0"/>
    <x v="0"/>
    <s v="DK1_NoDH_PHL"/>
    <x v="21"/>
    <n v="53.225806451612797"/>
    <n v="14.784946236559099"/>
  </r>
  <r>
    <x v="0"/>
    <x v="3"/>
    <x v="0"/>
    <x v="0"/>
    <s v="DK1_NoDH_PHL"/>
    <x v="22"/>
    <n v="130.68"/>
    <n v="36.299999999999997"/>
  </r>
  <r>
    <x v="0"/>
    <x v="3"/>
    <x v="0"/>
    <x v="0"/>
    <s v="DK1_NoDH_PHL"/>
    <x v="23"/>
    <n v="0.35278210439105201"/>
    <n v="9.7995028997514499E-2"/>
  </r>
  <r>
    <x v="0"/>
    <x v="3"/>
    <x v="0"/>
    <x v="0"/>
    <s v="DK1_NoDH_PHL"/>
    <x v="24"/>
    <n v="20.0161025734538"/>
    <n v="5.5600284926260501"/>
  </r>
  <r>
    <x v="0"/>
    <x v="3"/>
    <x v="0"/>
    <x v="0"/>
    <s v="DK1_NoDH_PHL"/>
    <x v="25"/>
    <n v="22.356874337357301"/>
    <n v="6.2102428714881297"/>
  </r>
  <r>
    <x v="0"/>
    <x v="3"/>
    <x v="0"/>
    <x v="0"/>
    <s v="DK1_NoDH_PHL"/>
    <x v="26"/>
    <n v="29.6651032387655"/>
    <n v="8.2403064552126306"/>
  </r>
  <r>
    <x v="0"/>
    <x v="3"/>
    <x v="0"/>
    <x v="0"/>
    <s v="DK1_NoDH_PHL"/>
    <x v="27"/>
    <n v="21.049332228666099"/>
    <n v="5.8470367301850299"/>
  </r>
  <r>
    <x v="0"/>
    <x v="3"/>
    <x v="0"/>
    <x v="0"/>
    <s v="DK1_Offshore"/>
    <x v="1"/>
    <n v="51.241600662800401"/>
    <n v="14.233777961889"/>
  </r>
  <r>
    <x v="0"/>
    <x v="3"/>
    <x v="0"/>
    <x v="0"/>
    <s v="DK1_Offshore"/>
    <x v="2"/>
    <n v="57.96"/>
    <n v="16.100000000000001"/>
  </r>
  <r>
    <x v="0"/>
    <x v="3"/>
    <x v="0"/>
    <x v="0"/>
    <s v="DK1_Offshore"/>
    <x v="0"/>
    <n v="42.692399999999999"/>
    <n v="11.859"/>
  </r>
  <r>
    <x v="0"/>
    <x v="3"/>
    <x v="0"/>
    <x v="0"/>
    <s v="DK1_Offshore"/>
    <x v="3"/>
    <n v="57.7974681027342"/>
    <n v="16.054852250759499"/>
  </r>
  <r>
    <x v="0"/>
    <x v="3"/>
    <x v="0"/>
    <x v="0"/>
    <s v="DK1_Offshore"/>
    <x v="4"/>
    <n v="8.1139884009941898"/>
    <n v="2.2538856669428302"/>
  </r>
  <r>
    <x v="0"/>
    <x v="3"/>
    <x v="0"/>
    <x v="0"/>
    <s v="DK1_Offshore"/>
    <x v="5"/>
    <n v="8.1139884009941898"/>
    <n v="2.2538856669428302"/>
  </r>
  <r>
    <x v="0"/>
    <x v="3"/>
    <x v="0"/>
    <x v="0"/>
    <s v="DK1_Offshore"/>
    <x v="6"/>
    <n v="30.770439105219602"/>
    <n v="8.5473441958943202"/>
  </r>
  <r>
    <x v="0"/>
    <x v="3"/>
    <x v="0"/>
    <x v="0"/>
    <s v="DK1_Offshore"/>
    <x v="7"/>
    <n v="71.350180613090302"/>
    <n v="19.819494614747299"/>
  </r>
  <r>
    <x v="0"/>
    <x v="3"/>
    <x v="0"/>
    <x v="0"/>
    <s v="DK1_Offshore"/>
    <x v="8"/>
    <n v="71.350180613090302"/>
    <n v="19.819494614747299"/>
  </r>
  <r>
    <x v="0"/>
    <x v="3"/>
    <x v="0"/>
    <x v="0"/>
    <s v="DK1_Offshore"/>
    <x v="9"/>
    <n v="44.803327257663497"/>
    <n v="12.4453686826843"/>
  </r>
  <r>
    <x v="0"/>
    <x v="3"/>
    <x v="0"/>
    <x v="0"/>
    <s v="DK1_Offshore"/>
    <x v="10"/>
    <n v="54.681226180612903"/>
    <n v="15.1892294946147"/>
  </r>
  <r>
    <x v="0"/>
    <x v="3"/>
    <x v="0"/>
    <x v="0"/>
    <s v="DK1_Offshore"/>
    <x v="11"/>
    <n v="3.8806031483015802"/>
    <n v="1.07794531897266"/>
  </r>
  <r>
    <x v="0"/>
    <x v="3"/>
    <x v="0"/>
    <x v="0"/>
    <s v="DK1_Offshore"/>
    <x v="12"/>
    <n v="9.7995028997514597E-2"/>
    <n v="2.72208413881985E-2"/>
  </r>
  <r>
    <x v="0"/>
    <x v="3"/>
    <x v="0"/>
    <x v="0"/>
    <s v="DK1_Offshore"/>
    <x v="13"/>
    <n v="21.5197083678542"/>
    <n v="5.9776967688483804"/>
  </r>
  <r>
    <x v="0"/>
    <x v="3"/>
    <x v="0"/>
    <x v="0"/>
    <s v="DK1_Offshore"/>
    <x v="14"/>
    <n v="21.5197083678542"/>
    <n v="5.9776967688483804"/>
  </r>
  <r>
    <x v="0"/>
    <x v="3"/>
    <x v="0"/>
    <x v="0"/>
    <s v="DK1_Offshore"/>
    <x v="15"/>
    <n v="1.65807589063794"/>
    <n v="0.46057663628831802"/>
  </r>
  <r>
    <x v="0"/>
    <x v="3"/>
    <x v="0"/>
    <x v="0"/>
    <s v="DK1_Offshore"/>
    <x v="16"/>
    <n v="8.3492014028755008"/>
    <n v="2.31922261190986"/>
  </r>
  <r>
    <x v="0"/>
    <x v="3"/>
    <x v="0"/>
    <x v="0"/>
    <s v="DK1_Offshore"/>
    <x v="17"/>
    <n v="9.5251168185584092"/>
    <n v="2.6458657829328902"/>
  </r>
  <r>
    <x v="0"/>
    <x v="3"/>
    <x v="0"/>
    <x v="0"/>
    <s v="DK1_Offshore"/>
    <x v="18"/>
    <n v="21.5197083678542"/>
    <n v="5.9776967688483804"/>
  </r>
  <r>
    <x v="0"/>
    <x v="3"/>
    <x v="0"/>
    <x v="0"/>
    <s v="DK1_Offshore"/>
    <x v="19"/>
    <n v="8.1139884009941898"/>
    <n v="2.2538856669428302"/>
  </r>
  <r>
    <x v="0"/>
    <x v="3"/>
    <x v="0"/>
    <x v="0"/>
    <s v="DK1_Offshore"/>
    <x v="20"/>
    <n v="19.336735244541"/>
    <n v="5.37131534570584"/>
  </r>
  <r>
    <x v="0"/>
    <x v="3"/>
    <x v="0"/>
    <x v="0"/>
    <s v="DK1_Offshore"/>
    <x v="21"/>
    <n v="53.225806451612797"/>
    <n v="14.784946236559099"/>
  </r>
  <r>
    <x v="0"/>
    <x v="3"/>
    <x v="0"/>
    <x v="0"/>
    <s v="DK1_Offshore"/>
    <x v="22"/>
    <n v="130.68"/>
    <n v="36.299999999999997"/>
  </r>
  <r>
    <x v="0"/>
    <x v="3"/>
    <x v="0"/>
    <x v="0"/>
    <s v="DK1_Offshore"/>
    <x v="23"/>
    <n v="0.35278210439105201"/>
    <n v="9.7995028997514499E-2"/>
  </r>
  <r>
    <x v="0"/>
    <x v="3"/>
    <x v="0"/>
    <x v="0"/>
    <s v="DK1_Offshore"/>
    <x v="24"/>
    <n v="20.0161025734538"/>
    <n v="5.5600284926260501"/>
  </r>
  <r>
    <x v="0"/>
    <x v="3"/>
    <x v="0"/>
    <x v="0"/>
    <s v="DK1_Offshore"/>
    <x v="25"/>
    <n v="22.356874337357301"/>
    <n v="6.2102428714881297"/>
  </r>
  <r>
    <x v="0"/>
    <x v="3"/>
    <x v="0"/>
    <x v="0"/>
    <s v="DK1_Offshore"/>
    <x v="26"/>
    <n v="29.6651032387655"/>
    <n v="8.2403064552126306"/>
  </r>
  <r>
    <x v="0"/>
    <x v="3"/>
    <x v="0"/>
    <x v="0"/>
    <s v="DK1_Offshore"/>
    <x v="27"/>
    <n v="21.049332228666099"/>
    <n v="5.8470367301850299"/>
  </r>
  <r>
    <x v="0"/>
    <x v="3"/>
    <x v="0"/>
    <x v="0"/>
    <s v="DK1_Rural"/>
    <x v="1"/>
    <n v="51.241600662800401"/>
    <n v="14.233777961889"/>
  </r>
  <r>
    <x v="0"/>
    <x v="3"/>
    <x v="0"/>
    <x v="0"/>
    <s v="DK1_Rural"/>
    <x v="2"/>
    <n v="57.96"/>
    <n v="16.100000000000001"/>
  </r>
  <r>
    <x v="0"/>
    <x v="3"/>
    <x v="0"/>
    <x v="0"/>
    <s v="DK1_Rural"/>
    <x v="0"/>
    <n v="42.692399999999999"/>
    <n v="11.859"/>
  </r>
  <r>
    <x v="0"/>
    <x v="3"/>
    <x v="0"/>
    <x v="0"/>
    <s v="DK1_Rural"/>
    <x v="3"/>
    <n v="57.7974681027342"/>
    <n v="16.054852250759499"/>
  </r>
  <r>
    <x v="0"/>
    <x v="3"/>
    <x v="0"/>
    <x v="0"/>
    <s v="DK1_Rural"/>
    <x v="4"/>
    <n v="8.1139884009941898"/>
    <n v="2.2538856669428302"/>
  </r>
  <r>
    <x v="0"/>
    <x v="3"/>
    <x v="0"/>
    <x v="0"/>
    <s v="DK1_Rural"/>
    <x v="5"/>
    <n v="8.1139884009941898"/>
    <n v="2.2538856669428302"/>
  </r>
  <r>
    <x v="0"/>
    <x v="3"/>
    <x v="0"/>
    <x v="0"/>
    <s v="DK1_Rural"/>
    <x v="6"/>
    <n v="30.770439105219602"/>
    <n v="8.5473441958943202"/>
  </r>
  <r>
    <x v="0"/>
    <x v="3"/>
    <x v="0"/>
    <x v="0"/>
    <s v="DK1_Rural"/>
    <x v="7"/>
    <n v="71.350180613090302"/>
    <n v="19.819494614747299"/>
  </r>
  <r>
    <x v="0"/>
    <x v="3"/>
    <x v="0"/>
    <x v="0"/>
    <s v="DK1_Rural"/>
    <x v="8"/>
    <n v="71.350180613090302"/>
    <n v="19.819494614747299"/>
  </r>
  <r>
    <x v="0"/>
    <x v="3"/>
    <x v="0"/>
    <x v="0"/>
    <s v="DK1_Rural"/>
    <x v="9"/>
    <n v="44.803327257663497"/>
    <n v="12.4453686826843"/>
  </r>
  <r>
    <x v="0"/>
    <x v="3"/>
    <x v="0"/>
    <x v="0"/>
    <s v="DK1_Rural"/>
    <x v="10"/>
    <n v="54.681226180612903"/>
    <n v="15.1892294946147"/>
  </r>
  <r>
    <x v="0"/>
    <x v="3"/>
    <x v="0"/>
    <x v="0"/>
    <s v="DK1_Rural"/>
    <x v="11"/>
    <n v="3.8806031483015802"/>
    <n v="1.07794531897266"/>
  </r>
  <r>
    <x v="0"/>
    <x v="3"/>
    <x v="0"/>
    <x v="0"/>
    <s v="DK1_Rural"/>
    <x v="12"/>
    <n v="9.7995028997514597E-2"/>
    <n v="2.72208413881985E-2"/>
  </r>
  <r>
    <x v="0"/>
    <x v="3"/>
    <x v="0"/>
    <x v="0"/>
    <s v="DK1_Rural"/>
    <x v="13"/>
    <n v="21.5197083678542"/>
    <n v="5.9776967688483804"/>
  </r>
  <r>
    <x v="0"/>
    <x v="3"/>
    <x v="0"/>
    <x v="0"/>
    <s v="DK1_Rural"/>
    <x v="14"/>
    <n v="21.5197083678542"/>
    <n v="5.9776967688483804"/>
  </r>
  <r>
    <x v="0"/>
    <x v="3"/>
    <x v="0"/>
    <x v="0"/>
    <s v="DK1_Rural"/>
    <x v="15"/>
    <n v="1.65807589063794"/>
    <n v="0.46057663628831802"/>
  </r>
  <r>
    <x v="0"/>
    <x v="3"/>
    <x v="0"/>
    <x v="0"/>
    <s v="DK1_Rural"/>
    <x v="16"/>
    <n v="8.3492014028755008"/>
    <n v="2.31922261190986"/>
  </r>
  <r>
    <x v="0"/>
    <x v="3"/>
    <x v="0"/>
    <x v="0"/>
    <s v="DK1_Rural"/>
    <x v="17"/>
    <n v="9.5251168185584092"/>
    <n v="2.6458657829328902"/>
  </r>
  <r>
    <x v="0"/>
    <x v="3"/>
    <x v="0"/>
    <x v="0"/>
    <s v="DK1_Rural"/>
    <x v="18"/>
    <n v="21.5197083678542"/>
    <n v="5.9776967688483804"/>
  </r>
  <r>
    <x v="0"/>
    <x v="3"/>
    <x v="0"/>
    <x v="0"/>
    <s v="DK1_Rural"/>
    <x v="19"/>
    <n v="8.1139884009941898"/>
    <n v="2.2538856669428302"/>
  </r>
  <r>
    <x v="0"/>
    <x v="3"/>
    <x v="0"/>
    <x v="0"/>
    <s v="DK1_Rural"/>
    <x v="20"/>
    <n v="19.336735244541"/>
    <n v="5.37131534570584"/>
  </r>
  <r>
    <x v="0"/>
    <x v="3"/>
    <x v="0"/>
    <x v="0"/>
    <s v="DK1_Rural"/>
    <x v="21"/>
    <n v="53.225806451612797"/>
    <n v="14.784946236559099"/>
  </r>
  <r>
    <x v="0"/>
    <x v="3"/>
    <x v="0"/>
    <x v="0"/>
    <s v="DK1_Rural"/>
    <x v="22"/>
    <n v="130.68"/>
    <n v="36.299999999999997"/>
  </r>
  <r>
    <x v="0"/>
    <x v="3"/>
    <x v="0"/>
    <x v="0"/>
    <s v="DK1_Rural"/>
    <x v="23"/>
    <n v="0.35278210439105201"/>
    <n v="9.7995028997514499E-2"/>
  </r>
  <r>
    <x v="0"/>
    <x v="3"/>
    <x v="0"/>
    <x v="0"/>
    <s v="DK1_Rural"/>
    <x v="24"/>
    <n v="20.0161025734538"/>
    <n v="5.5600284926260501"/>
  </r>
  <r>
    <x v="0"/>
    <x v="3"/>
    <x v="0"/>
    <x v="0"/>
    <s v="DK1_Rural"/>
    <x v="25"/>
    <n v="22.356874337357301"/>
    <n v="6.2102428714881297"/>
  </r>
  <r>
    <x v="0"/>
    <x v="3"/>
    <x v="0"/>
    <x v="0"/>
    <s v="DK1_Rural"/>
    <x v="26"/>
    <n v="29.6651032387655"/>
    <n v="8.2403064552126306"/>
  </r>
  <r>
    <x v="0"/>
    <x v="3"/>
    <x v="0"/>
    <x v="0"/>
    <s v="DK1_Rural"/>
    <x v="27"/>
    <n v="21.049332228666099"/>
    <n v="5.8470367301850299"/>
  </r>
  <r>
    <x v="0"/>
    <x v="3"/>
    <x v="0"/>
    <x v="0"/>
    <s v="DK1_Small"/>
    <x v="1"/>
    <n v="51.241600662800401"/>
    <n v="14.233777961889"/>
  </r>
  <r>
    <x v="0"/>
    <x v="3"/>
    <x v="0"/>
    <x v="0"/>
    <s v="DK1_Small"/>
    <x v="2"/>
    <n v="57.96"/>
    <n v="16.100000000000001"/>
  </r>
  <r>
    <x v="0"/>
    <x v="3"/>
    <x v="0"/>
    <x v="0"/>
    <s v="DK1_Small"/>
    <x v="0"/>
    <n v="42.692399999999999"/>
    <n v="11.859"/>
  </r>
  <r>
    <x v="0"/>
    <x v="3"/>
    <x v="0"/>
    <x v="0"/>
    <s v="DK1_Small"/>
    <x v="3"/>
    <n v="57.7974681027342"/>
    <n v="16.054852250759499"/>
  </r>
  <r>
    <x v="0"/>
    <x v="3"/>
    <x v="0"/>
    <x v="0"/>
    <s v="DK1_Small"/>
    <x v="4"/>
    <n v="8.1139884009941898"/>
    <n v="2.2538856669428302"/>
  </r>
  <r>
    <x v="0"/>
    <x v="3"/>
    <x v="0"/>
    <x v="0"/>
    <s v="DK1_Small"/>
    <x v="5"/>
    <n v="8.1139884009941898"/>
    <n v="2.2538856669428302"/>
  </r>
  <r>
    <x v="0"/>
    <x v="3"/>
    <x v="0"/>
    <x v="0"/>
    <s v="DK1_Small"/>
    <x v="6"/>
    <n v="30.770439105219602"/>
    <n v="8.5473441958943202"/>
  </r>
  <r>
    <x v="0"/>
    <x v="3"/>
    <x v="0"/>
    <x v="0"/>
    <s v="DK1_Small"/>
    <x v="7"/>
    <n v="71.350180613090302"/>
    <n v="19.819494614747299"/>
  </r>
  <r>
    <x v="0"/>
    <x v="3"/>
    <x v="0"/>
    <x v="0"/>
    <s v="DK1_Small"/>
    <x v="8"/>
    <n v="71.350180613090302"/>
    <n v="19.819494614747299"/>
  </r>
  <r>
    <x v="0"/>
    <x v="3"/>
    <x v="0"/>
    <x v="0"/>
    <s v="DK1_Small"/>
    <x v="9"/>
    <n v="44.803327257663497"/>
    <n v="12.4453686826843"/>
  </r>
  <r>
    <x v="0"/>
    <x v="3"/>
    <x v="0"/>
    <x v="0"/>
    <s v="DK1_Small"/>
    <x v="10"/>
    <n v="54.681226180612903"/>
    <n v="15.1892294946147"/>
  </r>
  <r>
    <x v="0"/>
    <x v="3"/>
    <x v="0"/>
    <x v="0"/>
    <s v="DK1_Small"/>
    <x v="11"/>
    <n v="3.8806031483015802"/>
    <n v="1.07794531897266"/>
  </r>
  <r>
    <x v="0"/>
    <x v="3"/>
    <x v="0"/>
    <x v="0"/>
    <s v="DK1_Small"/>
    <x v="12"/>
    <n v="9.7995028997514597E-2"/>
    <n v="2.72208413881985E-2"/>
  </r>
  <r>
    <x v="0"/>
    <x v="3"/>
    <x v="0"/>
    <x v="0"/>
    <s v="DK1_Small"/>
    <x v="13"/>
    <n v="21.5197083678542"/>
    <n v="5.9776967688483804"/>
  </r>
  <r>
    <x v="0"/>
    <x v="3"/>
    <x v="0"/>
    <x v="0"/>
    <s v="DK1_Small"/>
    <x v="14"/>
    <n v="21.5197083678542"/>
    <n v="5.9776967688483804"/>
  </r>
  <r>
    <x v="0"/>
    <x v="3"/>
    <x v="0"/>
    <x v="0"/>
    <s v="DK1_Small"/>
    <x v="15"/>
    <n v="1.65807589063794"/>
    <n v="0.46057663628831802"/>
  </r>
  <r>
    <x v="0"/>
    <x v="3"/>
    <x v="0"/>
    <x v="0"/>
    <s v="DK1_Small"/>
    <x v="16"/>
    <n v="8.3492014028755008"/>
    <n v="2.31922261190986"/>
  </r>
  <r>
    <x v="0"/>
    <x v="3"/>
    <x v="0"/>
    <x v="0"/>
    <s v="DK1_Small"/>
    <x v="17"/>
    <n v="9.5251168185584092"/>
    <n v="2.6458657829328902"/>
  </r>
  <r>
    <x v="0"/>
    <x v="3"/>
    <x v="0"/>
    <x v="0"/>
    <s v="DK1_Small"/>
    <x v="18"/>
    <n v="21.5197083678542"/>
    <n v="5.9776967688483804"/>
  </r>
  <r>
    <x v="0"/>
    <x v="3"/>
    <x v="0"/>
    <x v="0"/>
    <s v="DK1_Small"/>
    <x v="19"/>
    <n v="8.1139884009941898"/>
    <n v="2.2538856669428302"/>
  </r>
  <r>
    <x v="0"/>
    <x v="3"/>
    <x v="0"/>
    <x v="0"/>
    <s v="DK1_Small"/>
    <x v="20"/>
    <n v="19.336735244541"/>
    <n v="5.37131534570584"/>
  </r>
  <r>
    <x v="0"/>
    <x v="3"/>
    <x v="0"/>
    <x v="0"/>
    <s v="DK1_Small"/>
    <x v="21"/>
    <n v="53.225806451612797"/>
    <n v="14.784946236559099"/>
  </r>
  <r>
    <x v="0"/>
    <x v="3"/>
    <x v="0"/>
    <x v="0"/>
    <s v="DK1_Small"/>
    <x v="22"/>
    <n v="130.68"/>
    <n v="36.299999999999997"/>
  </r>
  <r>
    <x v="0"/>
    <x v="3"/>
    <x v="0"/>
    <x v="0"/>
    <s v="DK1_Small"/>
    <x v="23"/>
    <n v="0.35278210439105201"/>
    <n v="9.7995028997514499E-2"/>
  </r>
  <r>
    <x v="0"/>
    <x v="3"/>
    <x v="0"/>
    <x v="0"/>
    <s v="DK1_Small"/>
    <x v="24"/>
    <n v="20.0161025734538"/>
    <n v="5.5600284926260501"/>
  </r>
  <r>
    <x v="0"/>
    <x v="3"/>
    <x v="0"/>
    <x v="0"/>
    <s v="DK1_Small"/>
    <x v="25"/>
    <n v="22.356874337357301"/>
    <n v="6.2102428714881297"/>
  </r>
  <r>
    <x v="0"/>
    <x v="3"/>
    <x v="0"/>
    <x v="0"/>
    <s v="DK1_Small"/>
    <x v="26"/>
    <n v="29.6651032387655"/>
    <n v="8.2403064552126306"/>
  </r>
  <r>
    <x v="0"/>
    <x v="3"/>
    <x v="0"/>
    <x v="0"/>
    <s v="DK1_Small"/>
    <x v="27"/>
    <n v="21.049332228666099"/>
    <n v="5.8470367301850299"/>
  </r>
  <r>
    <x v="0"/>
    <x v="3"/>
    <x v="0"/>
    <x v="1"/>
    <s v="DK2_Large"/>
    <x v="1"/>
    <n v="51.241600662800401"/>
    <n v="14.233777961889"/>
  </r>
  <r>
    <x v="0"/>
    <x v="3"/>
    <x v="0"/>
    <x v="1"/>
    <s v="DK2_Large"/>
    <x v="2"/>
    <n v="57.96"/>
    <n v="16.100000000000001"/>
  </r>
  <r>
    <x v="0"/>
    <x v="3"/>
    <x v="0"/>
    <x v="1"/>
    <s v="DK2_Large"/>
    <x v="0"/>
    <n v="42.692399999999999"/>
    <n v="11.859"/>
  </r>
  <r>
    <x v="0"/>
    <x v="3"/>
    <x v="0"/>
    <x v="1"/>
    <s v="DK2_Large"/>
    <x v="3"/>
    <n v="57.7974681027342"/>
    <n v="16.054852250759499"/>
  </r>
  <r>
    <x v="0"/>
    <x v="3"/>
    <x v="0"/>
    <x v="1"/>
    <s v="DK2_Large"/>
    <x v="4"/>
    <n v="8.1139884009941898"/>
    <n v="2.2538856669428302"/>
  </r>
  <r>
    <x v="0"/>
    <x v="3"/>
    <x v="0"/>
    <x v="1"/>
    <s v="DK2_Large"/>
    <x v="5"/>
    <n v="8.1139884009941898"/>
    <n v="2.2538856669428302"/>
  </r>
  <r>
    <x v="0"/>
    <x v="3"/>
    <x v="0"/>
    <x v="1"/>
    <s v="DK2_Large"/>
    <x v="6"/>
    <n v="30.770439105219602"/>
    <n v="8.5473441958943202"/>
  </r>
  <r>
    <x v="0"/>
    <x v="3"/>
    <x v="0"/>
    <x v="1"/>
    <s v="DK2_Large"/>
    <x v="7"/>
    <n v="71.350180613090302"/>
    <n v="19.819494614747299"/>
  </r>
  <r>
    <x v="0"/>
    <x v="3"/>
    <x v="0"/>
    <x v="1"/>
    <s v="DK2_Large"/>
    <x v="8"/>
    <n v="71.350180613090302"/>
    <n v="19.819494614747299"/>
  </r>
  <r>
    <x v="0"/>
    <x v="3"/>
    <x v="0"/>
    <x v="1"/>
    <s v="DK2_Large"/>
    <x v="9"/>
    <n v="44.803327257663497"/>
    <n v="12.4453686826843"/>
  </r>
  <r>
    <x v="0"/>
    <x v="3"/>
    <x v="0"/>
    <x v="1"/>
    <s v="DK2_Large"/>
    <x v="10"/>
    <n v="54.681226180612903"/>
    <n v="15.1892294946147"/>
  </r>
  <r>
    <x v="0"/>
    <x v="3"/>
    <x v="0"/>
    <x v="1"/>
    <s v="DK2_Large"/>
    <x v="11"/>
    <n v="3.8806031483015802"/>
    <n v="1.07794531897266"/>
  </r>
  <r>
    <x v="0"/>
    <x v="3"/>
    <x v="0"/>
    <x v="1"/>
    <s v="DK2_Large"/>
    <x v="12"/>
    <n v="9.7995028997514597E-2"/>
    <n v="2.72208413881985E-2"/>
  </r>
  <r>
    <x v="0"/>
    <x v="3"/>
    <x v="0"/>
    <x v="1"/>
    <s v="DK2_Large"/>
    <x v="13"/>
    <n v="21.5197083678542"/>
    <n v="5.9776967688483804"/>
  </r>
  <r>
    <x v="0"/>
    <x v="3"/>
    <x v="0"/>
    <x v="1"/>
    <s v="DK2_Large"/>
    <x v="14"/>
    <n v="21.5197083678542"/>
    <n v="5.9776967688483804"/>
  </r>
  <r>
    <x v="0"/>
    <x v="3"/>
    <x v="0"/>
    <x v="1"/>
    <s v="DK2_Large"/>
    <x v="15"/>
    <n v="1.65807589063794"/>
    <n v="0.46057663628831802"/>
  </r>
  <r>
    <x v="0"/>
    <x v="3"/>
    <x v="0"/>
    <x v="1"/>
    <s v="DK2_Large"/>
    <x v="16"/>
    <n v="8.3492014028755008"/>
    <n v="2.31922261190986"/>
  </r>
  <r>
    <x v="0"/>
    <x v="3"/>
    <x v="0"/>
    <x v="1"/>
    <s v="DK2_Large"/>
    <x v="17"/>
    <n v="9.5251168185584092"/>
    <n v="2.6458657829328902"/>
  </r>
  <r>
    <x v="0"/>
    <x v="3"/>
    <x v="0"/>
    <x v="1"/>
    <s v="DK2_Large"/>
    <x v="18"/>
    <n v="21.5197083678542"/>
    <n v="5.9776967688483804"/>
  </r>
  <r>
    <x v="0"/>
    <x v="3"/>
    <x v="0"/>
    <x v="1"/>
    <s v="DK2_Large"/>
    <x v="19"/>
    <n v="8.1139884009941898"/>
    <n v="2.2538856669428302"/>
  </r>
  <r>
    <x v="0"/>
    <x v="3"/>
    <x v="0"/>
    <x v="1"/>
    <s v="DK2_Large"/>
    <x v="20"/>
    <n v="19.336735244541"/>
    <n v="5.37131534570584"/>
  </r>
  <r>
    <x v="0"/>
    <x v="3"/>
    <x v="0"/>
    <x v="1"/>
    <s v="DK2_Large"/>
    <x v="21"/>
    <n v="53.225806451612797"/>
    <n v="14.784946236559099"/>
  </r>
  <r>
    <x v="0"/>
    <x v="3"/>
    <x v="0"/>
    <x v="1"/>
    <s v="DK2_Large"/>
    <x v="22"/>
    <n v="130.68"/>
    <n v="36.299999999999997"/>
  </r>
  <r>
    <x v="0"/>
    <x v="3"/>
    <x v="0"/>
    <x v="1"/>
    <s v="DK2_Large"/>
    <x v="23"/>
    <n v="0.35278210439105201"/>
    <n v="9.7995028997514499E-2"/>
  </r>
  <r>
    <x v="0"/>
    <x v="3"/>
    <x v="0"/>
    <x v="1"/>
    <s v="DK2_Large"/>
    <x v="24"/>
    <n v="20.0161025734538"/>
    <n v="5.5600284926260501"/>
  </r>
  <r>
    <x v="0"/>
    <x v="3"/>
    <x v="0"/>
    <x v="1"/>
    <s v="DK2_Large"/>
    <x v="25"/>
    <n v="22.356874337357301"/>
    <n v="6.2102428714881297"/>
  </r>
  <r>
    <x v="0"/>
    <x v="3"/>
    <x v="0"/>
    <x v="1"/>
    <s v="DK2_Large"/>
    <x v="26"/>
    <n v="29.6651032387655"/>
    <n v="8.2403064552126306"/>
  </r>
  <r>
    <x v="0"/>
    <x v="3"/>
    <x v="0"/>
    <x v="1"/>
    <s v="DK2_Large"/>
    <x v="27"/>
    <n v="21.049332228666099"/>
    <n v="5.8470367301850299"/>
  </r>
  <r>
    <x v="0"/>
    <x v="3"/>
    <x v="0"/>
    <x v="1"/>
    <s v="DK2_Large_PHH"/>
    <x v="1"/>
    <n v="51.241600662800401"/>
    <n v="14.233777961889"/>
  </r>
  <r>
    <x v="0"/>
    <x v="3"/>
    <x v="0"/>
    <x v="1"/>
    <s v="DK2_Large_PHH"/>
    <x v="2"/>
    <n v="57.96"/>
    <n v="16.100000000000001"/>
  </r>
  <r>
    <x v="0"/>
    <x v="3"/>
    <x v="0"/>
    <x v="1"/>
    <s v="DK2_Large_PHH"/>
    <x v="0"/>
    <n v="42.692399999999999"/>
    <n v="11.859"/>
  </r>
  <r>
    <x v="0"/>
    <x v="3"/>
    <x v="0"/>
    <x v="1"/>
    <s v="DK2_Large_PHH"/>
    <x v="3"/>
    <n v="57.7974681027342"/>
    <n v="16.054852250759499"/>
  </r>
  <r>
    <x v="0"/>
    <x v="3"/>
    <x v="0"/>
    <x v="1"/>
    <s v="DK2_Large_PHH"/>
    <x v="4"/>
    <n v="8.1139884009941898"/>
    <n v="2.2538856669428302"/>
  </r>
  <r>
    <x v="0"/>
    <x v="3"/>
    <x v="0"/>
    <x v="1"/>
    <s v="DK2_Large_PHH"/>
    <x v="5"/>
    <n v="8.1139884009941898"/>
    <n v="2.2538856669428302"/>
  </r>
  <r>
    <x v="0"/>
    <x v="3"/>
    <x v="0"/>
    <x v="1"/>
    <s v="DK2_Large_PHH"/>
    <x v="6"/>
    <n v="30.770439105219602"/>
    <n v="8.5473441958943202"/>
  </r>
  <r>
    <x v="0"/>
    <x v="3"/>
    <x v="0"/>
    <x v="1"/>
    <s v="DK2_Large_PHH"/>
    <x v="7"/>
    <n v="71.350180613090302"/>
    <n v="19.819494614747299"/>
  </r>
  <r>
    <x v="0"/>
    <x v="3"/>
    <x v="0"/>
    <x v="1"/>
    <s v="DK2_Large_PHH"/>
    <x v="8"/>
    <n v="71.350180613090302"/>
    <n v="19.819494614747299"/>
  </r>
  <r>
    <x v="0"/>
    <x v="3"/>
    <x v="0"/>
    <x v="1"/>
    <s v="DK2_Large_PHH"/>
    <x v="9"/>
    <n v="44.803327257663497"/>
    <n v="12.4453686826843"/>
  </r>
  <r>
    <x v="0"/>
    <x v="3"/>
    <x v="0"/>
    <x v="1"/>
    <s v="DK2_Large_PHH"/>
    <x v="10"/>
    <n v="54.681226180612903"/>
    <n v="15.1892294946147"/>
  </r>
  <r>
    <x v="0"/>
    <x v="3"/>
    <x v="0"/>
    <x v="1"/>
    <s v="DK2_Large_PHH"/>
    <x v="11"/>
    <n v="3.8806031483015802"/>
    <n v="1.07794531897266"/>
  </r>
  <r>
    <x v="0"/>
    <x v="3"/>
    <x v="0"/>
    <x v="1"/>
    <s v="DK2_Large_PHH"/>
    <x v="12"/>
    <n v="9.7995028997514597E-2"/>
    <n v="2.72208413881985E-2"/>
  </r>
  <r>
    <x v="0"/>
    <x v="3"/>
    <x v="0"/>
    <x v="1"/>
    <s v="DK2_Large_PHH"/>
    <x v="13"/>
    <n v="21.5197083678542"/>
    <n v="5.9776967688483804"/>
  </r>
  <r>
    <x v="0"/>
    <x v="3"/>
    <x v="0"/>
    <x v="1"/>
    <s v="DK2_Large_PHH"/>
    <x v="14"/>
    <n v="21.5197083678542"/>
    <n v="5.9776967688483804"/>
  </r>
  <r>
    <x v="0"/>
    <x v="3"/>
    <x v="0"/>
    <x v="1"/>
    <s v="DK2_Large_PHH"/>
    <x v="15"/>
    <n v="1.65807589063794"/>
    <n v="0.46057663628831802"/>
  </r>
  <r>
    <x v="0"/>
    <x v="3"/>
    <x v="0"/>
    <x v="1"/>
    <s v="DK2_Large_PHH"/>
    <x v="16"/>
    <n v="8.3492014028755008"/>
    <n v="2.31922261190986"/>
  </r>
  <r>
    <x v="0"/>
    <x v="3"/>
    <x v="0"/>
    <x v="1"/>
    <s v="DK2_Large_PHH"/>
    <x v="17"/>
    <n v="9.5251168185584092"/>
    <n v="2.6458657829328902"/>
  </r>
  <r>
    <x v="0"/>
    <x v="3"/>
    <x v="0"/>
    <x v="1"/>
    <s v="DK2_Large_PHH"/>
    <x v="18"/>
    <n v="21.5197083678542"/>
    <n v="5.9776967688483804"/>
  </r>
  <r>
    <x v="0"/>
    <x v="3"/>
    <x v="0"/>
    <x v="1"/>
    <s v="DK2_Large_PHH"/>
    <x v="19"/>
    <n v="8.1139884009941898"/>
    <n v="2.2538856669428302"/>
  </r>
  <r>
    <x v="0"/>
    <x v="3"/>
    <x v="0"/>
    <x v="1"/>
    <s v="DK2_Large_PHH"/>
    <x v="20"/>
    <n v="19.336735244541"/>
    <n v="5.37131534570584"/>
  </r>
  <r>
    <x v="0"/>
    <x v="3"/>
    <x v="0"/>
    <x v="1"/>
    <s v="DK2_Large_PHH"/>
    <x v="21"/>
    <n v="53.225806451612797"/>
    <n v="14.784946236559099"/>
  </r>
  <r>
    <x v="0"/>
    <x v="3"/>
    <x v="0"/>
    <x v="1"/>
    <s v="DK2_Large_PHH"/>
    <x v="22"/>
    <n v="130.68"/>
    <n v="36.299999999999997"/>
  </r>
  <r>
    <x v="0"/>
    <x v="3"/>
    <x v="0"/>
    <x v="1"/>
    <s v="DK2_Large_PHH"/>
    <x v="23"/>
    <n v="0.35278210439105201"/>
    <n v="9.7995028997514499E-2"/>
  </r>
  <r>
    <x v="0"/>
    <x v="3"/>
    <x v="0"/>
    <x v="1"/>
    <s v="DK2_Large_PHH"/>
    <x v="24"/>
    <n v="20.0161025734538"/>
    <n v="5.5600284926260501"/>
  </r>
  <r>
    <x v="0"/>
    <x v="3"/>
    <x v="0"/>
    <x v="1"/>
    <s v="DK2_Large_PHH"/>
    <x v="25"/>
    <n v="22.356874337357301"/>
    <n v="6.2102428714881297"/>
  </r>
  <r>
    <x v="0"/>
    <x v="3"/>
    <x v="0"/>
    <x v="1"/>
    <s v="DK2_Large_PHH"/>
    <x v="26"/>
    <n v="29.6651032387655"/>
    <n v="8.2403064552126306"/>
  </r>
  <r>
    <x v="0"/>
    <x v="3"/>
    <x v="0"/>
    <x v="1"/>
    <s v="DK2_Large_PHH"/>
    <x v="27"/>
    <n v="21.049332228666099"/>
    <n v="5.8470367301850299"/>
  </r>
  <r>
    <x v="0"/>
    <x v="3"/>
    <x v="0"/>
    <x v="1"/>
    <s v="DK2_Large_PHL"/>
    <x v="1"/>
    <n v="51.241600662800401"/>
    <n v="14.233777961889"/>
  </r>
  <r>
    <x v="0"/>
    <x v="3"/>
    <x v="0"/>
    <x v="1"/>
    <s v="DK2_Large_PHL"/>
    <x v="2"/>
    <n v="57.96"/>
    <n v="16.100000000000001"/>
  </r>
  <r>
    <x v="0"/>
    <x v="3"/>
    <x v="0"/>
    <x v="1"/>
    <s v="DK2_Large_PHL"/>
    <x v="0"/>
    <n v="42.692399999999999"/>
    <n v="11.859"/>
  </r>
  <r>
    <x v="0"/>
    <x v="3"/>
    <x v="0"/>
    <x v="1"/>
    <s v="DK2_Large_PHL"/>
    <x v="3"/>
    <n v="57.7974681027342"/>
    <n v="16.054852250759499"/>
  </r>
  <r>
    <x v="0"/>
    <x v="3"/>
    <x v="0"/>
    <x v="1"/>
    <s v="DK2_Large_PHL"/>
    <x v="4"/>
    <n v="8.1139884009941898"/>
    <n v="2.2538856669428302"/>
  </r>
  <r>
    <x v="0"/>
    <x v="3"/>
    <x v="0"/>
    <x v="1"/>
    <s v="DK2_Large_PHL"/>
    <x v="5"/>
    <n v="8.1139884009941898"/>
    <n v="2.2538856669428302"/>
  </r>
  <r>
    <x v="0"/>
    <x v="3"/>
    <x v="0"/>
    <x v="1"/>
    <s v="DK2_Large_PHL"/>
    <x v="6"/>
    <n v="30.770439105219602"/>
    <n v="8.5473441958943202"/>
  </r>
  <r>
    <x v="0"/>
    <x v="3"/>
    <x v="0"/>
    <x v="1"/>
    <s v="DK2_Large_PHL"/>
    <x v="7"/>
    <n v="71.350180613090302"/>
    <n v="19.819494614747299"/>
  </r>
  <r>
    <x v="0"/>
    <x v="3"/>
    <x v="0"/>
    <x v="1"/>
    <s v="DK2_Large_PHL"/>
    <x v="8"/>
    <n v="71.350180613090302"/>
    <n v="19.819494614747299"/>
  </r>
  <r>
    <x v="0"/>
    <x v="3"/>
    <x v="0"/>
    <x v="1"/>
    <s v="DK2_Large_PHL"/>
    <x v="9"/>
    <n v="44.803327257663497"/>
    <n v="12.4453686826843"/>
  </r>
  <r>
    <x v="0"/>
    <x v="3"/>
    <x v="0"/>
    <x v="1"/>
    <s v="DK2_Large_PHL"/>
    <x v="10"/>
    <n v="54.681226180612903"/>
    <n v="15.1892294946147"/>
  </r>
  <r>
    <x v="0"/>
    <x v="3"/>
    <x v="0"/>
    <x v="1"/>
    <s v="DK2_Large_PHL"/>
    <x v="11"/>
    <n v="3.8806031483015802"/>
    <n v="1.07794531897266"/>
  </r>
  <r>
    <x v="0"/>
    <x v="3"/>
    <x v="0"/>
    <x v="1"/>
    <s v="DK2_Large_PHL"/>
    <x v="12"/>
    <n v="9.7995028997514597E-2"/>
    <n v="2.72208413881985E-2"/>
  </r>
  <r>
    <x v="0"/>
    <x v="3"/>
    <x v="0"/>
    <x v="1"/>
    <s v="DK2_Large_PHL"/>
    <x v="13"/>
    <n v="21.5197083678542"/>
    <n v="5.9776967688483804"/>
  </r>
  <r>
    <x v="0"/>
    <x v="3"/>
    <x v="0"/>
    <x v="1"/>
    <s v="DK2_Large_PHL"/>
    <x v="14"/>
    <n v="21.5197083678542"/>
    <n v="5.9776967688483804"/>
  </r>
  <r>
    <x v="0"/>
    <x v="3"/>
    <x v="0"/>
    <x v="1"/>
    <s v="DK2_Large_PHL"/>
    <x v="15"/>
    <n v="1.65807589063794"/>
    <n v="0.46057663628831802"/>
  </r>
  <r>
    <x v="0"/>
    <x v="3"/>
    <x v="0"/>
    <x v="1"/>
    <s v="DK2_Large_PHL"/>
    <x v="16"/>
    <n v="8.3492014028755008"/>
    <n v="2.31922261190986"/>
  </r>
  <r>
    <x v="0"/>
    <x v="3"/>
    <x v="0"/>
    <x v="1"/>
    <s v="DK2_Large_PHL"/>
    <x v="17"/>
    <n v="9.5251168185584092"/>
    <n v="2.6458657829328902"/>
  </r>
  <r>
    <x v="0"/>
    <x v="3"/>
    <x v="0"/>
    <x v="1"/>
    <s v="DK2_Large_PHL"/>
    <x v="18"/>
    <n v="21.5197083678542"/>
    <n v="5.9776967688483804"/>
  </r>
  <r>
    <x v="0"/>
    <x v="3"/>
    <x v="0"/>
    <x v="1"/>
    <s v="DK2_Large_PHL"/>
    <x v="19"/>
    <n v="8.1139884009941898"/>
    <n v="2.2538856669428302"/>
  </r>
  <r>
    <x v="0"/>
    <x v="3"/>
    <x v="0"/>
    <x v="1"/>
    <s v="DK2_Large_PHL"/>
    <x v="20"/>
    <n v="19.336735244541"/>
    <n v="5.37131534570584"/>
  </r>
  <r>
    <x v="0"/>
    <x v="3"/>
    <x v="0"/>
    <x v="1"/>
    <s v="DK2_Large_PHL"/>
    <x v="21"/>
    <n v="53.225806451612797"/>
    <n v="14.784946236559099"/>
  </r>
  <r>
    <x v="0"/>
    <x v="3"/>
    <x v="0"/>
    <x v="1"/>
    <s v="DK2_Large_PHL"/>
    <x v="22"/>
    <n v="130.68"/>
    <n v="36.299999999999997"/>
  </r>
  <r>
    <x v="0"/>
    <x v="3"/>
    <x v="0"/>
    <x v="1"/>
    <s v="DK2_Large_PHL"/>
    <x v="23"/>
    <n v="0.35278210439105201"/>
    <n v="9.7995028997514499E-2"/>
  </r>
  <r>
    <x v="0"/>
    <x v="3"/>
    <x v="0"/>
    <x v="1"/>
    <s v="DK2_Large_PHL"/>
    <x v="24"/>
    <n v="20.0161025734538"/>
    <n v="5.5600284926260501"/>
  </r>
  <r>
    <x v="0"/>
    <x v="3"/>
    <x v="0"/>
    <x v="1"/>
    <s v="DK2_Large_PHL"/>
    <x v="25"/>
    <n v="22.356874337357301"/>
    <n v="6.2102428714881297"/>
  </r>
  <r>
    <x v="0"/>
    <x v="3"/>
    <x v="0"/>
    <x v="1"/>
    <s v="DK2_Large_PHL"/>
    <x v="26"/>
    <n v="29.6651032387655"/>
    <n v="8.2403064552126306"/>
  </r>
  <r>
    <x v="0"/>
    <x v="3"/>
    <x v="0"/>
    <x v="1"/>
    <s v="DK2_Large_PHL"/>
    <x v="27"/>
    <n v="21.049332228666099"/>
    <n v="5.8470367301850299"/>
  </r>
  <r>
    <x v="0"/>
    <x v="3"/>
    <x v="0"/>
    <x v="1"/>
    <s v="DK2_MedSmall"/>
    <x v="1"/>
    <n v="51.241600662800401"/>
    <n v="14.233777961889"/>
  </r>
  <r>
    <x v="0"/>
    <x v="3"/>
    <x v="0"/>
    <x v="1"/>
    <s v="DK2_MedSmall"/>
    <x v="2"/>
    <n v="57.96"/>
    <n v="16.100000000000001"/>
  </r>
  <r>
    <x v="0"/>
    <x v="3"/>
    <x v="0"/>
    <x v="1"/>
    <s v="DK2_MedSmall"/>
    <x v="0"/>
    <n v="42.692399999999999"/>
    <n v="11.859"/>
  </r>
  <r>
    <x v="0"/>
    <x v="3"/>
    <x v="0"/>
    <x v="1"/>
    <s v="DK2_MedSmall"/>
    <x v="3"/>
    <n v="57.7974681027342"/>
    <n v="16.054852250759499"/>
  </r>
  <r>
    <x v="0"/>
    <x v="3"/>
    <x v="0"/>
    <x v="1"/>
    <s v="DK2_MedSmall"/>
    <x v="4"/>
    <n v="8.1139884009941898"/>
    <n v="2.2538856669428302"/>
  </r>
  <r>
    <x v="0"/>
    <x v="3"/>
    <x v="0"/>
    <x v="1"/>
    <s v="DK2_MedSmall"/>
    <x v="5"/>
    <n v="8.1139884009941898"/>
    <n v="2.2538856669428302"/>
  </r>
  <r>
    <x v="0"/>
    <x v="3"/>
    <x v="0"/>
    <x v="1"/>
    <s v="DK2_MedSmall"/>
    <x v="6"/>
    <n v="30.770439105219602"/>
    <n v="8.5473441958943202"/>
  </r>
  <r>
    <x v="0"/>
    <x v="3"/>
    <x v="0"/>
    <x v="1"/>
    <s v="DK2_MedSmall"/>
    <x v="7"/>
    <n v="71.350180613090302"/>
    <n v="19.819494614747299"/>
  </r>
  <r>
    <x v="0"/>
    <x v="3"/>
    <x v="0"/>
    <x v="1"/>
    <s v="DK2_MedSmall"/>
    <x v="8"/>
    <n v="71.350180613090302"/>
    <n v="19.819494614747299"/>
  </r>
  <r>
    <x v="0"/>
    <x v="3"/>
    <x v="0"/>
    <x v="1"/>
    <s v="DK2_MedSmall"/>
    <x v="9"/>
    <n v="44.803327257663497"/>
    <n v="12.4453686826843"/>
  </r>
  <r>
    <x v="0"/>
    <x v="3"/>
    <x v="0"/>
    <x v="1"/>
    <s v="DK2_MedSmall"/>
    <x v="10"/>
    <n v="54.681226180612903"/>
    <n v="15.1892294946147"/>
  </r>
  <r>
    <x v="0"/>
    <x v="3"/>
    <x v="0"/>
    <x v="1"/>
    <s v="DK2_MedSmall"/>
    <x v="11"/>
    <n v="3.8806031483015802"/>
    <n v="1.07794531897266"/>
  </r>
  <r>
    <x v="0"/>
    <x v="3"/>
    <x v="0"/>
    <x v="1"/>
    <s v="DK2_MedSmall"/>
    <x v="12"/>
    <n v="9.7995028997514597E-2"/>
    <n v="2.72208413881985E-2"/>
  </r>
  <r>
    <x v="0"/>
    <x v="3"/>
    <x v="0"/>
    <x v="1"/>
    <s v="DK2_MedSmall"/>
    <x v="13"/>
    <n v="21.5197083678542"/>
    <n v="5.9776967688483804"/>
  </r>
  <r>
    <x v="0"/>
    <x v="3"/>
    <x v="0"/>
    <x v="1"/>
    <s v="DK2_MedSmall"/>
    <x v="14"/>
    <n v="21.5197083678542"/>
    <n v="5.9776967688483804"/>
  </r>
  <r>
    <x v="0"/>
    <x v="3"/>
    <x v="0"/>
    <x v="1"/>
    <s v="DK2_MedSmall"/>
    <x v="15"/>
    <n v="1.65807589063794"/>
    <n v="0.46057663628831802"/>
  </r>
  <r>
    <x v="0"/>
    <x v="3"/>
    <x v="0"/>
    <x v="1"/>
    <s v="DK2_MedSmall"/>
    <x v="16"/>
    <n v="8.3492014028755008"/>
    <n v="2.31922261190986"/>
  </r>
  <r>
    <x v="0"/>
    <x v="3"/>
    <x v="0"/>
    <x v="1"/>
    <s v="DK2_MedSmall"/>
    <x v="17"/>
    <n v="9.5251168185584092"/>
    <n v="2.6458657829328902"/>
  </r>
  <r>
    <x v="0"/>
    <x v="3"/>
    <x v="0"/>
    <x v="1"/>
    <s v="DK2_MedSmall"/>
    <x v="18"/>
    <n v="21.5197083678542"/>
    <n v="5.9776967688483804"/>
  </r>
  <r>
    <x v="0"/>
    <x v="3"/>
    <x v="0"/>
    <x v="1"/>
    <s v="DK2_MedSmall"/>
    <x v="19"/>
    <n v="8.1139884009941898"/>
    <n v="2.2538856669428302"/>
  </r>
  <r>
    <x v="0"/>
    <x v="3"/>
    <x v="0"/>
    <x v="1"/>
    <s v="DK2_MedSmall"/>
    <x v="20"/>
    <n v="19.336735244541"/>
    <n v="5.37131534570584"/>
  </r>
  <r>
    <x v="0"/>
    <x v="3"/>
    <x v="0"/>
    <x v="1"/>
    <s v="DK2_MedSmall"/>
    <x v="21"/>
    <n v="53.225806451612797"/>
    <n v="14.784946236559099"/>
  </r>
  <r>
    <x v="0"/>
    <x v="3"/>
    <x v="0"/>
    <x v="1"/>
    <s v="DK2_MedSmall"/>
    <x v="22"/>
    <n v="130.68"/>
    <n v="36.299999999999997"/>
  </r>
  <r>
    <x v="0"/>
    <x v="3"/>
    <x v="0"/>
    <x v="1"/>
    <s v="DK2_MedSmall"/>
    <x v="23"/>
    <n v="0.35278210439105201"/>
    <n v="9.7995028997514499E-2"/>
  </r>
  <r>
    <x v="0"/>
    <x v="3"/>
    <x v="0"/>
    <x v="1"/>
    <s v="DK2_MedSmall"/>
    <x v="24"/>
    <n v="20.0161025734538"/>
    <n v="5.5600284926260501"/>
  </r>
  <r>
    <x v="0"/>
    <x v="3"/>
    <x v="0"/>
    <x v="1"/>
    <s v="DK2_MedSmall"/>
    <x v="25"/>
    <n v="22.356874337357301"/>
    <n v="6.2102428714881297"/>
  </r>
  <r>
    <x v="0"/>
    <x v="3"/>
    <x v="0"/>
    <x v="1"/>
    <s v="DK2_MedSmall"/>
    <x v="26"/>
    <n v="29.6651032387655"/>
    <n v="8.2403064552126306"/>
  </r>
  <r>
    <x v="0"/>
    <x v="3"/>
    <x v="0"/>
    <x v="1"/>
    <s v="DK2_MedSmall"/>
    <x v="27"/>
    <n v="21.049332228666099"/>
    <n v="5.8470367301850299"/>
  </r>
  <r>
    <x v="0"/>
    <x v="3"/>
    <x v="0"/>
    <x v="1"/>
    <s v="DK2_Medium"/>
    <x v="1"/>
    <n v="51.241600662800401"/>
    <n v="14.233777961889"/>
  </r>
  <r>
    <x v="0"/>
    <x v="3"/>
    <x v="0"/>
    <x v="1"/>
    <s v="DK2_Medium"/>
    <x v="2"/>
    <n v="57.96"/>
    <n v="16.100000000000001"/>
  </r>
  <r>
    <x v="0"/>
    <x v="3"/>
    <x v="0"/>
    <x v="1"/>
    <s v="DK2_Medium"/>
    <x v="0"/>
    <n v="42.692399999999999"/>
    <n v="11.859"/>
  </r>
  <r>
    <x v="0"/>
    <x v="3"/>
    <x v="0"/>
    <x v="1"/>
    <s v="DK2_Medium"/>
    <x v="3"/>
    <n v="57.7974681027342"/>
    <n v="16.054852250759499"/>
  </r>
  <r>
    <x v="0"/>
    <x v="3"/>
    <x v="0"/>
    <x v="1"/>
    <s v="DK2_Medium"/>
    <x v="4"/>
    <n v="8.1139884009941898"/>
    <n v="2.2538856669428302"/>
  </r>
  <r>
    <x v="0"/>
    <x v="3"/>
    <x v="0"/>
    <x v="1"/>
    <s v="DK2_Medium"/>
    <x v="5"/>
    <n v="8.1139884009941898"/>
    <n v="2.2538856669428302"/>
  </r>
  <r>
    <x v="0"/>
    <x v="3"/>
    <x v="0"/>
    <x v="1"/>
    <s v="DK2_Medium"/>
    <x v="6"/>
    <n v="30.770439105219602"/>
    <n v="8.5473441958943202"/>
  </r>
  <r>
    <x v="0"/>
    <x v="3"/>
    <x v="0"/>
    <x v="1"/>
    <s v="DK2_Medium"/>
    <x v="7"/>
    <n v="71.350180613090302"/>
    <n v="19.819494614747299"/>
  </r>
  <r>
    <x v="0"/>
    <x v="3"/>
    <x v="0"/>
    <x v="1"/>
    <s v="DK2_Medium"/>
    <x v="8"/>
    <n v="71.350180613090302"/>
    <n v="19.819494614747299"/>
  </r>
  <r>
    <x v="0"/>
    <x v="3"/>
    <x v="0"/>
    <x v="1"/>
    <s v="DK2_Medium"/>
    <x v="9"/>
    <n v="44.803327257663497"/>
    <n v="12.4453686826843"/>
  </r>
  <r>
    <x v="0"/>
    <x v="3"/>
    <x v="0"/>
    <x v="1"/>
    <s v="DK2_Medium"/>
    <x v="10"/>
    <n v="54.681226180612903"/>
    <n v="15.1892294946147"/>
  </r>
  <r>
    <x v="0"/>
    <x v="3"/>
    <x v="0"/>
    <x v="1"/>
    <s v="DK2_Medium"/>
    <x v="11"/>
    <n v="3.8806031483015802"/>
    <n v="1.07794531897266"/>
  </r>
  <r>
    <x v="0"/>
    <x v="3"/>
    <x v="0"/>
    <x v="1"/>
    <s v="DK2_Medium"/>
    <x v="12"/>
    <n v="9.7995028997514597E-2"/>
    <n v="2.72208413881985E-2"/>
  </r>
  <r>
    <x v="0"/>
    <x v="3"/>
    <x v="0"/>
    <x v="1"/>
    <s v="DK2_Medium"/>
    <x v="13"/>
    <n v="21.5197083678542"/>
    <n v="5.9776967688483804"/>
  </r>
  <r>
    <x v="0"/>
    <x v="3"/>
    <x v="0"/>
    <x v="1"/>
    <s v="DK2_Medium"/>
    <x v="14"/>
    <n v="21.5197083678542"/>
    <n v="5.9776967688483804"/>
  </r>
  <r>
    <x v="0"/>
    <x v="3"/>
    <x v="0"/>
    <x v="1"/>
    <s v="DK2_Medium"/>
    <x v="15"/>
    <n v="1.65807589063794"/>
    <n v="0.46057663628831802"/>
  </r>
  <r>
    <x v="0"/>
    <x v="3"/>
    <x v="0"/>
    <x v="1"/>
    <s v="DK2_Medium"/>
    <x v="16"/>
    <n v="8.3492014028755008"/>
    <n v="2.31922261190986"/>
  </r>
  <r>
    <x v="0"/>
    <x v="3"/>
    <x v="0"/>
    <x v="1"/>
    <s v="DK2_Medium"/>
    <x v="17"/>
    <n v="9.5251168185584092"/>
    <n v="2.6458657829328902"/>
  </r>
  <r>
    <x v="0"/>
    <x v="3"/>
    <x v="0"/>
    <x v="1"/>
    <s v="DK2_Medium"/>
    <x v="18"/>
    <n v="21.5197083678542"/>
    <n v="5.9776967688483804"/>
  </r>
  <r>
    <x v="0"/>
    <x v="3"/>
    <x v="0"/>
    <x v="1"/>
    <s v="DK2_Medium"/>
    <x v="19"/>
    <n v="8.1139884009941898"/>
    <n v="2.2538856669428302"/>
  </r>
  <r>
    <x v="0"/>
    <x v="3"/>
    <x v="0"/>
    <x v="1"/>
    <s v="DK2_Medium"/>
    <x v="20"/>
    <n v="19.336735244541"/>
    <n v="5.37131534570584"/>
  </r>
  <r>
    <x v="0"/>
    <x v="3"/>
    <x v="0"/>
    <x v="1"/>
    <s v="DK2_Medium"/>
    <x v="21"/>
    <n v="53.225806451612797"/>
    <n v="14.784946236559099"/>
  </r>
  <r>
    <x v="0"/>
    <x v="3"/>
    <x v="0"/>
    <x v="1"/>
    <s v="DK2_Medium"/>
    <x v="22"/>
    <n v="130.68"/>
    <n v="36.299999999999997"/>
  </r>
  <r>
    <x v="0"/>
    <x v="3"/>
    <x v="0"/>
    <x v="1"/>
    <s v="DK2_Medium"/>
    <x v="23"/>
    <n v="0.35278210439105201"/>
    <n v="9.7995028997514499E-2"/>
  </r>
  <r>
    <x v="0"/>
    <x v="3"/>
    <x v="0"/>
    <x v="1"/>
    <s v="DK2_Medium"/>
    <x v="24"/>
    <n v="20.0161025734538"/>
    <n v="5.5600284926260501"/>
  </r>
  <r>
    <x v="0"/>
    <x v="3"/>
    <x v="0"/>
    <x v="1"/>
    <s v="DK2_Medium"/>
    <x v="25"/>
    <n v="22.356874337357301"/>
    <n v="6.2102428714881297"/>
  </r>
  <r>
    <x v="0"/>
    <x v="3"/>
    <x v="0"/>
    <x v="1"/>
    <s v="DK2_Medium"/>
    <x v="26"/>
    <n v="29.6651032387655"/>
    <n v="8.2403064552126306"/>
  </r>
  <r>
    <x v="0"/>
    <x v="3"/>
    <x v="0"/>
    <x v="1"/>
    <s v="DK2_Medium"/>
    <x v="27"/>
    <n v="21.049332228666099"/>
    <n v="5.8470367301850299"/>
  </r>
  <r>
    <x v="0"/>
    <x v="3"/>
    <x v="0"/>
    <x v="1"/>
    <s v="DK2_NoDH"/>
    <x v="1"/>
    <n v="51.241600662800401"/>
    <n v="14.233777961889"/>
  </r>
  <r>
    <x v="0"/>
    <x v="3"/>
    <x v="0"/>
    <x v="1"/>
    <s v="DK2_NoDH"/>
    <x v="2"/>
    <n v="57.96"/>
    <n v="16.100000000000001"/>
  </r>
  <r>
    <x v="0"/>
    <x v="3"/>
    <x v="0"/>
    <x v="1"/>
    <s v="DK2_NoDH"/>
    <x v="0"/>
    <n v="42.692399999999999"/>
    <n v="11.859"/>
  </r>
  <r>
    <x v="0"/>
    <x v="3"/>
    <x v="0"/>
    <x v="1"/>
    <s v="DK2_NoDH"/>
    <x v="3"/>
    <n v="57.7974681027342"/>
    <n v="16.054852250759499"/>
  </r>
  <r>
    <x v="0"/>
    <x v="3"/>
    <x v="0"/>
    <x v="1"/>
    <s v="DK2_NoDH"/>
    <x v="4"/>
    <n v="8.1139884009941898"/>
    <n v="2.2538856669428302"/>
  </r>
  <r>
    <x v="0"/>
    <x v="3"/>
    <x v="0"/>
    <x v="1"/>
    <s v="DK2_NoDH"/>
    <x v="5"/>
    <n v="8.1139884009941898"/>
    <n v="2.2538856669428302"/>
  </r>
  <r>
    <x v="0"/>
    <x v="3"/>
    <x v="0"/>
    <x v="1"/>
    <s v="DK2_NoDH"/>
    <x v="6"/>
    <n v="30.770439105219602"/>
    <n v="8.5473441958943202"/>
  </r>
  <r>
    <x v="0"/>
    <x v="3"/>
    <x v="0"/>
    <x v="1"/>
    <s v="DK2_NoDH"/>
    <x v="7"/>
    <n v="71.350180613090302"/>
    <n v="19.819494614747299"/>
  </r>
  <r>
    <x v="0"/>
    <x v="3"/>
    <x v="0"/>
    <x v="1"/>
    <s v="DK2_NoDH"/>
    <x v="8"/>
    <n v="71.350180613090302"/>
    <n v="19.819494614747299"/>
  </r>
  <r>
    <x v="0"/>
    <x v="3"/>
    <x v="0"/>
    <x v="1"/>
    <s v="DK2_NoDH"/>
    <x v="9"/>
    <n v="44.803327257663497"/>
    <n v="12.4453686826843"/>
  </r>
  <r>
    <x v="0"/>
    <x v="3"/>
    <x v="0"/>
    <x v="1"/>
    <s v="DK2_NoDH"/>
    <x v="10"/>
    <n v="54.681226180612903"/>
    <n v="15.1892294946147"/>
  </r>
  <r>
    <x v="0"/>
    <x v="3"/>
    <x v="0"/>
    <x v="1"/>
    <s v="DK2_NoDH"/>
    <x v="11"/>
    <n v="3.8806031483015802"/>
    <n v="1.07794531897266"/>
  </r>
  <r>
    <x v="0"/>
    <x v="3"/>
    <x v="0"/>
    <x v="1"/>
    <s v="DK2_NoDH"/>
    <x v="12"/>
    <n v="9.7995028997514597E-2"/>
    <n v="2.72208413881985E-2"/>
  </r>
  <r>
    <x v="0"/>
    <x v="3"/>
    <x v="0"/>
    <x v="1"/>
    <s v="DK2_NoDH"/>
    <x v="13"/>
    <n v="21.5197083678542"/>
    <n v="5.9776967688483804"/>
  </r>
  <r>
    <x v="0"/>
    <x v="3"/>
    <x v="0"/>
    <x v="1"/>
    <s v="DK2_NoDH"/>
    <x v="14"/>
    <n v="21.5197083678542"/>
    <n v="5.9776967688483804"/>
  </r>
  <r>
    <x v="0"/>
    <x v="3"/>
    <x v="0"/>
    <x v="1"/>
    <s v="DK2_NoDH"/>
    <x v="15"/>
    <n v="1.65807589063794"/>
    <n v="0.46057663628831802"/>
  </r>
  <r>
    <x v="0"/>
    <x v="3"/>
    <x v="0"/>
    <x v="1"/>
    <s v="DK2_NoDH"/>
    <x v="16"/>
    <n v="8.3492014028755008"/>
    <n v="2.31922261190986"/>
  </r>
  <r>
    <x v="0"/>
    <x v="3"/>
    <x v="0"/>
    <x v="1"/>
    <s v="DK2_NoDH"/>
    <x v="17"/>
    <n v="9.5251168185584092"/>
    <n v="2.6458657829328902"/>
  </r>
  <r>
    <x v="0"/>
    <x v="3"/>
    <x v="0"/>
    <x v="1"/>
    <s v="DK2_NoDH"/>
    <x v="18"/>
    <n v="21.5197083678542"/>
    <n v="5.9776967688483804"/>
  </r>
  <r>
    <x v="0"/>
    <x v="3"/>
    <x v="0"/>
    <x v="1"/>
    <s v="DK2_NoDH"/>
    <x v="19"/>
    <n v="8.1139884009941898"/>
    <n v="2.2538856669428302"/>
  </r>
  <r>
    <x v="0"/>
    <x v="3"/>
    <x v="0"/>
    <x v="1"/>
    <s v="DK2_NoDH"/>
    <x v="20"/>
    <n v="19.336735244541"/>
    <n v="5.37131534570584"/>
  </r>
  <r>
    <x v="0"/>
    <x v="3"/>
    <x v="0"/>
    <x v="1"/>
    <s v="DK2_NoDH"/>
    <x v="21"/>
    <n v="53.225806451612797"/>
    <n v="14.784946236559099"/>
  </r>
  <r>
    <x v="0"/>
    <x v="3"/>
    <x v="0"/>
    <x v="1"/>
    <s v="DK2_NoDH"/>
    <x v="22"/>
    <n v="130.68"/>
    <n v="36.299999999999997"/>
  </r>
  <r>
    <x v="0"/>
    <x v="3"/>
    <x v="0"/>
    <x v="1"/>
    <s v="DK2_NoDH"/>
    <x v="23"/>
    <n v="0.35278210439105201"/>
    <n v="9.7995028997514499E-2"/>
  </r>
  <r>
    <x v="0"/>
    <x v="3"/>
    <x v="0"/>
    <x v="1"/>
    <s v="DK2_NoDH"/>
    <x v="24"/>
    <n v="20.0161025734538"/>
    <n v="5.5600284926260501"/>
  </r>
  <r>
    <x v="0"/>
    <x v="3"/>
    <x v="0"/>
    <x v="1"/>
    <s v="DK2_NoDH"/>
    <x v="25"/>
    <n v="22.356874337357301"/>
    <n v="6.2102428714881297"/>
  </r>
  <r>
    <x v="0"/>
    <x v="3"/>
    <x v="0"/>
    <x v="1"/>
    <s v="DK2_NoDH"/>
    <x v="26"/>
    <n v="29.6651032387655"/>
    <n v="8.2403064552126306"/>
  </r>
  <r>
    <x v="0"/>
    <x v="3"/>
    <x v="0"/>
    <x v="1"/>
    <s v="DK2_NoDH"/>
    <x v="27"/>
    <n v="21.049332228666099"/>
    <n v="5.8470367301850299"/>
  </r>
  <r>
    <x v="0"/>
    <x v="3"/>
    <x v="0"/>
    <x v="1"/>
    <s v="DK2_NoDH_PHH"/>
    <x v="1"/>
    <n v="51.241600662800401"/>
    <n v="14.233777961889"/>
  </r>
  <r>
    <x v="0"/>
    <x v="3"/>
    <x v="0"/>
    <x v="1"/>
    <s v="DK2_NoDH_PHH"/>
    <x v="2"/>
    <n v="57.96"/>
    <n v="16.100000000000001"/>
  </r>
  <r>
    <x v="0"/>
    <x v="3"/>
    <x v="0"/>
    <x v="1"/>
    <s v="DK2_NoDH_PHH"/>
    <x v="0"/>
    <n v="42.692399999999999"/>
    <n v="11.859"/>
  </r>
  <r>
    <x v="0"/>
    <x v="3"/>
    <x v="0"/>
    <x v="1"/>
    <s v="DK2_NoDH_PHH"/>
    <x v="3"/>
    <n v="57.7974681027342"/>
    <n v="16.054852250759499"/>
  </r>
  <r>
    <x v="0"/>
    <x v="3"/>
    <x v="0"/>
    <x v="1"/>
    <s v="DK2_NoDH_PHH"/>
    <x v="4"/>
    <n v="8.1139884009941898"/>
    <n v="2.2538856669428302"/>
  </r>
  <r>
    <x v="0"/>
    <x v="3"/>
    <x v="0"/>
    <x v="1"/>
    <s v="DK2_NoDH_PHH"/>
    <x v="5"/>
    <n v="8.1139884009941898"/>
    <n v="2.2538856669428302"/>
  </r>
  <r>
    <x v="0"/>
    <x v="3"/>
    <x v="0"/>
    <x v="1"/>
    <s v="DK2_NoDH_PHH"/>
    <x v="6"/>
    <n v="30.770439105219602"/>
    <n v="8.5473441958943202"/>
  </r>
  <r>
    <x v="0"/>
    <x v="3"/>
    <x v="0"/>
    <x v="1"/>
    <s v="DK2_NoDH_PHH"/>
    <x v="7"/>
    <n v="71.350180613090302"/>
    <n v="19.819494614747299"/>
  </r>
  <r>
    <x v="0"/>
    <x v="3"/>
    <x v="0"/>
    <x v="1"/>
    <s v="DK2_NoDH_PHH"/>
    <x v="8"/>
    <n v="71.350180613090302"/>
    <n v="19.819494614747299"/>
  </r>
  <r>
    <x v="0"/>
    <x v="3"/>
    <x v="0"/>
    <x v="1"/>
    <s v="DK2_NoDH_PHH"/>
    <x v="9"/>
    <n v="44.803327257663497"/>
    <n v="12.4453686826843"/>
  </r>
  <r>
    <x v="0"/>
    <x v="3"/>
    <x v="0"/>
    <x v="1"/>
    <s v="DK2_NoDH_PHH"/>
    <x v="10"/>
    <n v="54.681226180612903"/>
    <n v="15.1892294946147"/>
  </r>
  <r>
    <x v="0"/>
    <x v="3"/>
    <x v="0"/>
    <x v="1"/>
    <s v="DK2_NoDH_PHH"/>
    <x v="11"/>
    <n v="3.8806031483015802"/>
    <n v="1.07794531897266"/>
  </r>
  <r>
    <x v="0"/>
    <x v="3"/>
    <x v="0"/>
    <x v="1"/>
    <s v="DK2_NoDH_PHH"/>
    <x v="12"/>
    <n v="9.7995028997514597E-2"/>
    <n v="2.72208413881985E-2"/>
  </r>
  <r>
    <x v="0"/>
    <x v="3"/>
    <x v="0"/>
    <x v="1"/>
    <s v="DK2_NoDH_PHH"/>
    <x v="13"/>
    <n v="21.5197083678542"/>
    <n v="5.9776967688483804"/>
  </r>
  <r>
    <x v="0"/>
    <x v="3"/>
    <x v="0"/>
    <x v="1"/>
    <s v="DK2_NoDH_PHH"/>
    <x v="14"/>
    <n v="21.5197083678542"/>
    <n v="5.9776967688483804"/>
  </r>
  <r>
    <x v="0"/>
    <x v="3"/>
    <x v="0"/>
    <x v="1"/>
    <s v="DK2_NoDH_PHH"/>
    <x v="15"/>
    <n v="1.65807589063794"/>
    <n v="0.46057663628831802"/>
  </r>
  <r>
    <x v="0"/>
    <x v="3"/>
    <x v="0"/>
    <x v="1"/>
    <s v="DK2_NoDH_PHH"/>
    <x v="16"/>
    <n v="8.3492014028755008"/>
    <n v="2.31922261190986"/>
  </r>
  <r>
    <x v="0"/>
    <x v="3"/>
    <x v="0"/>
    <x v="1"/>
    <s v="DK2_NoDH_PHH"/>
    <x v="17"/>
    <n v="9.5251168185584092"/>
    <n v="2.6458657829328902"/>
  </r>
  <r>
    <x v="0"/>
    <x v="3"/>
    <x v="0"/>
    <x v="1"/>
    <s v="DK2_NoDH_PHH"/>
    <x v="18"/>
    <n v="21.5197083678542"/>
    <n v="5.9776967688483804"/>
  </r>
  <r>
    <x v="0"/>
    <x v="3"/>
    <x v="0"/>
    <x v="1"/>
    <s v="DK2_NoDH_PHH"/>
    <x v="19"/>
    <n v="8.1139884009941898"/>
    <n v="2.2538856669428302"/>
  </r>
  <r>
    <x v="0"/>
    <x v="3"/>
    <x v="0"/>
    <x v="1"/>
    <s v="DK2_NoDH_PHH"/>
    <x v="20"/>
    <n v="19.336735244541"/>
    <n v="5.37131534570584"/>
  </r>
  <r>
    <x v="0"/>
    <x v="3"/>
    <x v="0"/>
    <x v="1"/>
    <s v="DK2_NoDH_PHH"/>
    <x v="21"/>
    <n v="53.225806451612797"/>
    <n v="14.784946236559099"/>
  </r>
  <r>
    <x v="0"/>
    <x v="3"/>
    <x v="0"/>
    <x v="1"/>
    <s v="DK2_NoDH_PHH"/>
    <x v="22"/>
    <n v="130.68"/>
    <n v="36.299999999999997"/>
  </r>
  <r>
    <x v="0"/>
    <x v="3"/>
    <x v="0"/>
    <x v="1"/>
    <s v="DK2_NoDH_PHH"/>
    <x v="23"/>
    <n v="0.35278210439105201"/>
    <n v="9.7995028997514499E-2"/>
  </r>
  <r>
    <x v="0"/>
    <x v="3"/>
    <x v="0"/>
    <x v="1"/>
    <s v="DK2_NoDH_PHH"/>
    <x v="24"/>
    <n v="20.0161025734538"/>
    <n v="5.5600284926260501"/>
  </r>
  <r>
    <x v="0"/>
    <x v="3"/>
    <x v="0"/>
    <x v="1"/>
    <s v="DK2_NoDH_PHH"/>
    <x v="25"/>
    <n v="22.356874337357301"/>
    <n v="6.2102428714881297"/>
  </r>
  <r>
    <x v="0"/>
    <x v="3"/>
    <x v="0"/>
    <x v="1"/>
    <s v="DK2_NoDH_PHH"/>
    <x v="26"/>
    <n v="29.6651032387655"/>
    <n v="8.2403064552126306"/>
  </r>
  <r>
    <x v="0"/>
    <x v="3"/>
    <x v="0"/>
    <x v="1"/>
    <s v="DK2_NoDH_PHH"/>
    <x v="27"/>
    <n v="21.049332228666099"/>
    <n v="5.8470367301850299"/>
  </r>
  <r>
    <x v="0"/>
    <x v="3"/>
    <x v="0"/>
    <x v="1"/>
    <s v="DK2_NoDH_PHL"/>
    <x v="1"/>
    <n v="51.241600662800401"/>
    <n v="14.233777961889"/>
  </r>
  <r>
    <x v="0"/>
    <x v="3"/>
    <x v="0"/>
    <x v="1"/>
    <s v="DK2_NoDH_PHL"/>
    <x v="2"/>
    <n v="57.96"/>
    <n v="16.100000000000001"/>
  </r>
  <r>
    <x v="0"/>
    <x v="3"/>
    <x v="0"/>
    <x v="1"/>
    <s v="DK2_NoDH_PHL"/>
    <x v="0"/>
    <n v="42.692399999999999"/>
    <n v="11.859"/>
  </r>
  <r>
    <x v="0"/>
    <x v="3"/>
    <x v="0"/>
    <x v="1"/>
    <s v="DK2_NoDH_PHL"/>
    <x v="3"/>
    <n v="57.7974681027342"/>
    <n v="16.054852250759499"/>
  </r>
  <r>
    <x v="0"/>
    <x v="3"/>
    <x v="0"/>
    <x v="1"/>
    <s v="DK2_NoDH_PHL"/>
    <x v="4"/>
    <n v="8.1139884009941898"/>
    <n v="2.2538856669428302"/>
  </r>
  <r>
    <x v="0"/>
    <x v="3"/>
    <x v="0"/>
    <x v="1"/>
    <s v="DK2_NoDH_PHL"/>
    <x v="5"/>
    <n v="8.1139884009941898"/>
    <n v="2.2538856669428302"/>
  </r>
  <r>
    <x v="0"/>
    <x v="3"/>
    <x v="0"/>
    <x v="1"/>
    <s v="DK2_NoDH_PHL"/>
    <x v="6"/>
    <n v="30.770439105219602"/>
    <n v="8.5473441958943202"/>
  </r>
  <r>
    <x v="0"/>
    <x v="3"/>
    <x v="0"/>
    <x v="1"/>
    <s v="DK2_NoDH_PHL"/>
    <x v="7"/>
    <n v="71.350180613090302"/>
    <n v="19.819494614747299"/>
  </r>
  <r>
    <x v="0"/>
    <x v="3"/>
    <x v="0"/>
    <x v="1"/>
    <s v="DK2_NoDH_PHL"/>
    <x v="8"/>
    <n v="71.350180613090302"/>
    <n v="19.819494614747299"/>
  </r>
  <r>
    <x v="0"/>
    <x v="3"/>
    <x v="0"/>
    <x v="1"/>
    <s v="DK2_NoDH_PHL"/>
    <x v="9"/>
    <n v="44.803327257663497"/>
    <n v="12.4453686826843"/>
  </r>
  <r>
    <x v="0"/>
    <x v="3"/>
    <x v="0"/>
    <x v="1"/>
    <s v="DK2_NoDH_PHL"/>
    <x v="10"/>
    <n v="54.681226180612903"/>
    <n v="15.1892294946147"/>
  </r>
  <r>
    <x v="0"/>
    <x v="3"/>
    <x v="0"/>
    <x v="1"/>
    <s v="DK2_NoDH_PHL"/>
    <x v="11"/>
    <n v="3.8806031483015802"/>
    <n v="1.07794531897266"/>
  </r>
  <r>
    <x v="0"/>
    <x v="3"/>
    <x v="0"/>
    <x v="1"/>
    <s v="DK2_NoDH_PHL"/>
    <x v="12"/>
    <n v="9.7995028997514597E-2"/>
    <n v="2.72208413881985E-2"/>
  </r>
  <r>
    <x v="0"/>
    <x v="3"/>
    <x v="0"/>
    <x v="1"/>
    <s v="DK2_NoDH_PHL"/>
    <x v="13"/>
    <n v="21.5197083678542"/>
    <n v="5.9776967688483804"/>
  </r>
  <r>
    <x v="0"/>
    <x v="3"/>
    <x v="0"/>
    <x v="1"/>
    <s v="DK2_NoDH_PHL"/>
    <x v="14"/>
    <n v="21.5197083678542"/>
    <n v="5.9776967688483804"/>
  </r>
  <r>
    <x v="0"/>
    <x v="3"/>
    <x v="0"/>
    <x v="1"/>
    <s v="DK2_NoDH_PHL"/>
    <x v="15"/>
    <n v="1.65807589063794"/>
    <n v="0.46057663628831802"/>
  </r>
  <r>
    <x v="0"/>
    <x v="3"/>
    <x v="0"/>
    <x v="1"/>
    <s v="DK2_NoDH_PHL"/>
    <x v="16"/>
    <n v="8.3492014028755008"/>
    <n v="2.31922261190986"/>
  </r>
  <r>
    <x v="0"/>
    <x v="3"/>
    <x v="0"/>
    <x v="1"/>
    <s v="DK2_NoDH_PHL"/>
    <x v="17"/>
    <n v="9.5251168185584092"/>
    <n v="2.6458657829328902"/>
  </r>
  <r>
    <x v="0"/>
    <x v="3"/>
    <x v="0"/>
    <x v="1"/>
    <s v="DK2_NoDH_PHL"/>
    <x v="18"/>
    <n v="21.5197083678542"/>
    <n v="5.9776967688483804"/>
  </r>
  <r>
    <x v="0"/>
    <x v="3"/>
    <x v="0"/>
    <x v="1"/>
    <s v="DK2_NoDH_PHL"/>
    <x v="19"/>
    <n v="8.1139884009941898"/>
    <n v="2.2538856669428302"/>
  </r>
  <r>
    <x v="0"/>
    <x v="3"/>
    <x v="0"/>
    <x v="1"/>
    <s v="DK2_NoDH_PHL"/>
    <x v="20"/>
    <n v="19.336735244541"/>
    <n v="5.37131534570584"/>
  </r>
  <r>
    <x v="0"/>
    <x v="3"/>
    <x v="0"/>
    <x v="1"/>
    <s v="DK2_NoDH_PHL"/>
    <x v="21"/>
    <n v="53.225806451612797"/>
    <n v="14.784946236559099"/>
  </r>
  <r>
    <x v="0"/>
    <x v="3"/>
    <x v="0"/>
    <x v="1"/>
    <s v="DK2_NoDH_PHL"/>
    <x v="22"/>
    <n v="130.68"/>
    <n v="36.299999999999997"/>
  </r>
  <r>
    <x v="0"/>
    <x v="3"/>
    <x v="0"/>
    <x v="1"/>
    <s v="DK2_NoDH_PHL"/>
    <x v="23"/>
    <n v="0.35278210439105201"/>
    <n v="9.7995028997514499E-2"/>
  </r>
  <r>
    <x v="0"/>
    <x v="3"/>
    <x v="0"/>
    <x v="1"/>
    <s v="DK2_NoDH_PHL"/>
    <x v="24"/>
    <n v="20.0161025734538"/>
    <n v="5.5600284926260501"/>
  </r>
  <r>
    <x v="0"/>
    <x v="3"/>
    <x v="0"/>
    <x v="1"/>
    <s v="DK2_NoDH_PHL"/>
    <x v="25"/>
    <n v="22.356874337357301"/>
    <n v="6.2102428714881297"/>
  </r>
  <r>
    <x v="0"/>
    <x v="3"/>
    <x v="0"/>
    <x v="1"/>
    <s v="DK2_NoDH_PHL"/>
    <x v="26"/>
    <n v="29.6651032387655"/>
    <n v="8.2403064552126306"/>
  </r>
  <r>
    <x v="0"/>
    <x v="3"/>
    <x v="0"/>
    <x v="1"/>
    <s v="DK2_NoDH_PHL"/>
    <x v="27"/>
    <n v="21.049332228666099"/>
    <n v="5.8470367301850299"/>
  </r>
  <r>
    <x v="0"/>
    <x v="3"/>
    <x v="0"/>
    <x v="1"/>
    <s v="DK2_Offshore"/>
    <x v="1"/>
    <n v="51.241600662800401"/>
    <n v="14.233777961889"/>
  </r>
  <r>
    <x v="0"/>
    <x v="3"/>
    <x v="0"/>
    <x v="1"/>
    <s v="DK2_Offshore"/>
    <x v="2"/>
    <n v="57.96"/>
    <n v="16.100000000000001"/>
  </r>
  <r>
    <x v="0"/>
    <x v="3"/>
    <x v="0"/>
    <x v="1"/>
    <s v="DK2_Offshore"/>
    <x v="0"/>
    <n v="42.692399999999999"/>
    <n v="11.859"/>
  </r>
  <r>
    <x v="0"/>
    <x v="3"/>
    <x v="0"/>
    <x v="1"/>
    <s v="DK2_Offshore"/>
    <x v="3"/>
    <n v="57.7974681027342"/>
    <n v="16.054852250759499"/>
  </r>
  <r>
    <x v="0"/>
    <x v="3"/>
    <x v="0"/>
    <x v="1"/>
    <s v="DK2_Offshore"/>
    <x v="4"/>
    <n v="8.1139884009941898"/>
    <n v="2.2538856669428302"/>
  </r>
  <r>
    <x v="0"/>
    <x v="3"/>
    <x v="0"/>
    <x v="1"/>
    <s v="DK2_Offshore"/>
    <x v="5"/>
    <n v="8.1139884009941898"/>
    <n v="2.2538856669428302"/>
  </r>
  <r>
    <x v="0"/>
    <x v="3"/>
    <x v="0"/>
    <x v="1"/>
    <s v="DK2_Offshore"/>
    <x v="6"/>
    <n v="30.770439105219602"/>
    <n v="8.5473441958943202"/>
  </r>
  <r>
    <x v="0"/>
    <x v="3"/>
    <x v="0"/>
    <x v="1"/>
    <s v="DK2_Offshore"/>
    <x v="7"/>
    <n v="71.350180613090302"/>
    <n v="19.819494614747299"/>
  </r>
  <r>
    <x v="0"/>
    <x v="3"/>
    <x v="0"/>
    <x v="1"/>
    <s v="DK2_Offshore"/>
    <x v="8"/>
    <n v="71.350180613090302"/>
    <n v="19.819494614747299"/>
  </r>
  <r>
    <x v="0"/>
    <x v="3"/>
    <x v="0"/>
    <x v="1"/>
    <s v="DK2_Offshore"/>
    <x v="9"/>
    <n v="44.803327257663497"/>
    <n v="12.4453686826843"/>
  </r>
  <r>
    <x v="0"/>
    <x v="3"/>
    <x v="0"/>
    <x v="1"/>
    <s v="DK2_Offshore"/>
    <x v="10"/>
    <n v="54.681226180612903"/>
    <n v="15.1892294946147"/>
  </r>
  <r>
    <x v="0"/>
    <x v="3"/>
    <x v="0"/>
    <x v="1"/>
    <s v="DK2_Offshore"/>
    <x v="11"/>
    <n v="3.8806031483015802"/>
    <n v="1.07794531897266"/>
  </r>
  <r>
    <x v="0"/>
    <x v="3"/>
    <x v="0"/>
    <x v="1"/>
    <s v="DK2_Offshore"/>
    <x v="12"/>
    <n v="9.7995028997514597E-2"/>
    <n v="2.72208413881985E-2"/>
  </r>
  <r>
    <x v="0"/>
    <x v="3"/>
    <x v="0"/>
    <x v="1"/>
    <s v="DK2_Offshore"/>
    <x v="13"/>
    <n v="21.5197083678542"/>
    <n v="5.9776967688483804"/>
  </r>
  <r>
    <x v="0"/>
    <x v="3"/>
    <x v="0"/>
    <x v="1"/>
    <s v="DK2_Offshore"/>
    <x v="14"/>
    <n v="21.5197083678542"/>
    <n v="5.9776967688483804"/>
  </r>
  <r>
    <x v="0"/>
    <x v="3"/>
    <x v="0"/>
    <x v="1"/>
    <s v="DK2_Offshore"/>
    <x v="15"/>
    <n v="1.65807589063794"/>
    <n v="0.46057663628831802"/>
  </r>
  <r>
    <x v="0"/>
    <x v="3"/>
    <x v="0"/>
    <x v="1"/>
    <s v="DK2_Offshore"/>
    <x v="16"/>
    <n v="8.3492014028755008"/>
    <n v="2.31922261190986"/>
  </r>
  <r>
    <x v="0"/>
    <x v="3"/>
    <x v="0"/>
    <x v="1"/>
    <s v="DK2_Offshore"/>
    <x v="17"/>
    <n v="9.5251168185584092"/>
    <n v="2.6458657829328902"/>
  </r>
  <r>
    <x v="0"/>
    <x v="3"/>
    <x v="0"/>
    <x v="1"/>
    <s v="DK2_Offshore"/>
    <x v="18"/>
    <n v="21.5197083678542"/>
    <n v="5.9776967688483804"/>
  </r>
  <r>
    <x v="0"/>
    <x v="3"/>
    <x v="0"/>
    <x v="1"/>
    <s v="DK2_Offshore"/>
    <x v="19"/>
    <n v="8.1139884009941898"/>
    <n v="2.2538856669428302"/>
  </r>
  <r>
    <x v="0"/>
    <x v="3"/>
    <x v="0"/>
    <x v="1"/>
    <s v="DK2_Offshore"/>
    <x v="20"/>
    <n v="19.336735244541"/>
    <n v="5.37131534570584"/>
  </r>
  <r>
    <x v="0"/>
    <x v="3"/>
    <x v="0"/>
    <x v="1"/>
    <s v="DK2_Offshore"/>
    <x v="21"/>
    <n v="53.225806451612797"/>
    <n v="14.784946236559099"/>
  </r>
  <r>
    <x v="0"/>
    <x v="3"/>
    <x v="0"/>
    <x v="1"/>
    <s v="DK2_Offshore"/>
    <x v="22"/>
    <n v="130.68"/>
    <n v="36.299999999999997"/>
  </r>
  <r>
    <x v="0"/>
    <x v="3"/>
    <x v="0"/>
    <x v="1"/>
    <s v="DK2_Offshore"/>
    <x v="23"/>
    <n v="0.35278210439105201"/>
    <n v="9.7995028997514499E-2"/>
  </r>
  <r>
    <x v="0"/>
    <x v="3"/>
    <x v="0"/>
    <x v="1"/>
    <s v="DK2_Offshore"/>
    <x v="24"/>
    <n v="20.0161025734538"/>
    <n v="5.5600284926260501"/>
  </r>
  <r>
    <x v="0"/>
    <x v="3"/>
    <x v="0"/>
    <x v="1"/>
    <s v="DK2_Offshore"/>
    <x v="25"/>
    <n v="22.356874337357301"/>
    <n v="6.2102428714881297"/>
  </r>
  <r>
    <x v="0"/>
    <x v="3"/>
    <x v="0"/>
    <x v="1"/>
    <s v="DK2_Offshore"/>
    <x v="26"/>
    <n v="29.6651032387655"/>
    <n v="8.2403064552126306"/>
  </r>
  <r>
    <x v="0"/>
    <x v="3"/>
    <x v="0"/>
    <x v="1"/>
    <s v="DK2_Offshore"/>
    <x v="27"/>
    <n v="21.049332228666099"/>
    <n v="5.8470367301850299"/>
  </r>
  <r>
    <x v="0"/>
    <x v="3"/>
    <x v="0"/>
    <x v="1"/>
    <s v="DK2_Rural"/>
    <x v="1"/>
    <n v="51.241600662800401"/>
    <n v="14.233777961889"/>
  </r>
  <r>
    <x v="0"/>
    <x v="3"/>
    <x v="0"/>
    <x v="1"/>
    <s v="DK2_Rural"/>
    <x v="2"/>
    <n v="57.96"/>
    <n v="16.100000000000001"/>
  </r>
  <r>
    <x v="0"/>
    <x v="3"/>
    <x v="0"/>
    <x v="1"/>
    <s v="DK2_Rural"/>
    <x v="0"/>
    <n v="42.692399999999999"/>
    <n v="11.859"/>
  </r>
  <r>
    <x v="0"/>
    <x v="3"/>
    <x v="0"/>
    <x v="1"/>
    <s v="DK2_Rural"/>
    <x v="3"/>
    <n v="57.7974681027342"/>
    <n v="16.054852250759499"/>
  </r>
  <r>
    <x v="0"/>
    <x v="3"/>
    <x v="0"/>
    <x v="1"/>
    <s v="DK2_Rural"/>
    <x v="4"/>
    <n v="8.1139884009941898"/>
    <n v="2.2538856669428302"/>
  </r>
  <r>
    <x v="0"/>
    <x v="3"/>
    <x v="0"/>
    <x v="1"/>
    <s v="DK2_Rural"/>
    <x v="5"/>
    <n v="8.1139884009941898"/>
    <n v="2.2538856669428302"/>
  </r>
  <r>
    <x v="0"/>
    <x v="3"/>
    <x v="0"/>
    <x v="1"/>
    <s v="DK2_Rural"/>
    <x v="6"/>
    <n v="30.770439105219602"/>
    <n v="8.5473441958943202"/>
  </r>
  <r>
    <x v="0"/>
    <x v="3"/>
    <x v="0"/>
    <x v="1"/>
    <s v="DK2_Rural"/>
    <x v="7"/>
    <n v="71.350180613090302"/>
    <n v="19.819494614747299"/>
  </r>
  <r>
    <x v="0"/>
    <x v="3"/>
    <x v="0"/>
    <x v="1"/>
    <s v="DK2_Rural"/>
    <x v="8"/>
    <n v="71.350180613090302"/>
    <n v="19.819494614747299"/>
  </r>
  <r>
    <x v="0"/>
    <x v="3"/>
    <x v="0"/>
    <x v="1"/>
    <s v="DK2_Rural"/>
    <x v="9"/>
    <n v="44.803327257663497"/>
    <n v="12.4453686826843"/>
  </r>
  <r>
    <x v="0"/>
    <x v="3"/>
    <x v="0"/>
    <x v="1"/>
    <s v="DK2_Rural"/>
    <x v="10"/>
    <n v="54.681226180612903"/>
    <n v="15.1892294946147"/>
  </r>
  <r>
    <x v="0"/>
    <x v="3"/>
    <x v="0"/>
    <x v="1"/>
    <s v="DK2_Rural"/>
    <x v="11"/>
    <n v="3.8806031483015802"/>
    <n v="1.07794531897266"/>
  </r>
  <r>
    <x v="0"/>
    <x v="3"/>
    <x v="0"/>
    <x v="1"/>
    <s v="DK2_Rural"/>
    <x v="12"/>
    <n v="9.7995028997514597E-2"/>
    <n v="2.72208413881985E-2"/>
  </r>
  <r>
    <x v="0"/>
    <x v="3"/>
    <x v="0"/>
    <x v="1"/>
    <s v="DK2_Rural"/>
    <x v="13"/>
    <n v="21.5197083678542"/>
    <n v="5.9776967688483804"/>
  </r>
  <r>
    <x v="0"/>
    <x v="3"/>
    <x v="0"/>
    <x v="1"/>
    <s v="DK2_Rural"/>
    <x v="14"/>
    <n v="21.5197083678542"/>
    <n v="5.9776967688483804"/>
  </r>
  <r>
    <x v="0"/>
    <x v="3"/>
    <x v="0"/>
    <x v="1"/>
    <s v="DK2_Rural"/>
    <x v="15"/>
    <n v="1.65807589063794"/>
    <n v="0.46057663628831802"/>
  </r>
  <r>
    <x v="0"/>
    <x v="3"/>
    <x v="0"/>
    <x v="1"/>
    <s v="DK2_Rural"/>
    <x v="16"/>
    <n v="8.3492014028755008"/>
    <n v="2.31922261190986"/>
  </r>
  <r>
    <x v="0"/>
    <x v="3"/>
    <x v="0"/>
    <x v="1"/>
    <s v="DK2_Rural"/>
    <x v="17"/>
    <n v="9.5251168185584092"/>
    <n v="2.6458657829328902"/>
  </r>
  <r>
    <x v="0"/>
    <x v="3"/>
    <x v="0"/>
    <x v="1"/>
    <s v="DK2_Rural"/>
    <x v="18"/>
    <n v="21.5197083678542"/>
    <n v="5.9776967688483804"/>
  </r>
  <r>
    <x v="0"/>
    <x v="3"/>
    <x v="0"/>
    <x v="1"/>
    <s v="DK2_Rural"/>
    <x v="19"/>
    <n v="8.1139884009941898"/>
    <n v="2.2538856669428302"/>
  </r>
  <r>
    <x v="0"/>
    <x v="3"/>
    <x v="0"/>
    <x v="1"/>
    <s v="DK2_Rural"/>
    <x v="20"/>
    <n v="19.336735244541"/>
    <n v="5.37131534570584"/>
  </r>
  <r>
    <x v="0"/>
    <x v="3"/>
    <x v="0"/>
    <x v="1"/>
    <s v="DK2_Rural"/>
    <x v="21"/>
    <n v="53.225806451612797"/>
    <n v="14.784946236559099"/>
  </r>
  <r>
    <x v="0"/>
    <x v="3"/>
    <x v="0"/>
    <x v="1"/>
    <s v="DK2_Rural"/>
    <x v="22"/>
    <n v="130.68"/>
    <n v="36.299999999999997"/>
  </r>
  <r>
    <x v="0"/>
    <x v="3"/>
    <x v="0"/>
    <x v="1"/>
    <s v="DK2_Rural"/>
    <x v="23"/>
    <n v="0.35278210439105201"/>
    <n v="9.7995028997514499E-2"/>
  </r>
  <r>
    <x v="0"/>
    <x v="3"/>
    <x v="0"/>
    <x v="1"/>
    <s v="DK2_Rural"/>
    <x v="24"/>
    <n v="20.0161025734538"/>
    <n v="5.5600284926260501"/>
  </r>
  <r>
    <x v="0"/>
    <x v="3"/>
    <x v="0"/>
    <x v="1"/>
    <s v="DK2_Rural"/>
    <x v="25"/>
    <n v="22.356874337357301"/>
    <n v="6.2102428714881297"/>
  </r>
  <r>
    <x v="0"/>
    <x v="3"/>
    <x v="0"/>
    <x v="1"/>
    <s v="DK2_Rural"/>
    <x v="26"/>
    <n v="29.6651032387655"/>
    <n v="8.2403064552126306"/>
  </r>
  <r>
    <x v="0"/>
    <x v="3"/>
    <x v="0"/>
    <x v="1"/>
    <s v="DK2_Rural"/>
    <x v="27"/>
    <n v="21.049332228666099"/>
    <n v="5.8470367301850299"/>
  </r>
  <r>
    <x v="0"/>
    <x v="3"/>
    <x v="0"/>
    <x v="1"/>
    <s v="DK2_Small"/>
    <x v="1"/>
    <n v="51.241600662800401"/>
    <n v="14.233777961889"/>
  </r>
  <r>
    <x v="0"/>
    <x v="3"/>
    <x v="0"/>
    <x v="1"/>
    <s v="DK2_Small"/>
    <x v="2"/>
    <n v="57.96"/>
    <n v="16.100000000000001"/>
  </r>
  <r>
    <x v="0"/>
    <x v="3"/>
    <x v="0"/>
    <x v="1"/>
    <s v="DK2_Small"/>
    <x v="0"/>
    <n v="42.692399999999999"/>
    <n v="11.859"/>
  </r>
  <r>
    <x v="0"/>
    <x v="3"/>
    <x v="0"/>
    <x v="1"/>
    <s v="DK2_Small"/>
    <x v="3"/>
    <n v="57.7974681027342"/>
    <n v="16.054852250759499"/>
  </r>
  <r>
    <x v="0"/>
    <x v="3"/>
    <x v="0"/>
    <x v="1"/>
    <s v="DK2_Small"/>
    <x v="4"/>
    <n v="8.1139884009941898"/>
    <n v="2.2538856669428302"/>
  </r>
  <r>
    <x v="0"/>
    <x v="3"/>
    <x v="0"/>
    <x v="1"/>
    <s v="DK2_Small"/>
    <x v="5"/>
    <n v="8.1139884009941898"/>
    <n v="2.2538856669428302"/>
  </r>
  <r>
    <x v="0"/>
    <x v="3"/>
    <x v="0"/>
    <x v="1"/>
    <s v="DK2_Small"/>
    <x v="6"/>
    <n v="30.770439105219602"/>
    <n v="8.5473441958943202"/>
  </r>
  <r>
    <x v="0"/>
    <x v="3"/>
    <x v="0"/>
    <x v="1"/>
    <s v="DK2_Small"/>
    <x v="7"/>
    <n v="71.350180613090302"/>
    <n v="19.819494614747299"/>
  </r>
  <r>
    <x v="0"/>
    <x v="3"/>
    <x v="0"/>
    <x v="1"/>
    <s v="DK2_Small"/>
    <x v="8"/>
    <n v="71.350180613090302"/>
    <n v="19.819494614747299"/>
  </r>
  <r>
    <x v="0"/>
    <x v="3"/>
    <x v="0"/>
    <x v="1"/>
    <s v="DK2_Small"/>
    <x v="9"/>
    <n v="44.803327257663497"/>
    <n v="12.4453686826843"/>
  </r>
  <r>
    <x v="0"/>
    <x v="3"/>
    <x v="0"/>
    <x v="1"/>
    <s v="DK2_Small"/>
    <x v="10"/>
    <n v="54.681226180612903"/>
    <n v="15.1892294946147"/>
  </r>
  <r>
    <x v="0"/>
    <x v="3"/>
    <x v="0"/>
    <x v="1"/>
    <s v="DK2_Small"/>
    <x v="11"/>
    <n v="3.8806031483015802"/>
    <n v="1.07794531897266"/>
  </r>
  <r>
    <x v="0"/>
    <x v="3"/>
    <x v="0"/>
    <x v="1"/>
    <s v="DK2_Small"/>
    <x v="12"/>
    <n v="9.7995028997514597E-2"/>
    <n v="2.72208413881985E-2"/>
  </r>
  <r>
    <x v="0"/>
    <x v="3"/>
    <x v="0"/>
    <x v="1"/>
    <s v="DK2_Small"/>
    <x v="13"/>
    <n v="21.5197083678542"/>
    <n v="5.9776967688483804"/>
  </r>
  <r>
    <x v="0"/>
    <x v="3"/>
    <x v="0"/>
    <x v="1"/>
    <s v="DK2_Small"/>
    <x v="14"/>
    <n v="21.5197083678542"/>
    <n v="5.9776967688483804"/>
  </r>
  <r>
    <x v="0"/>
    <x v="3"/>
    <x v="0"/>
    <x v="1"/>
    <s v="DK2_Small"/>
    <x v="15"/>
    <n v="1.65807589063794"/>
    <n v="0.46057663628831802"/>
  </r>
  <r>
    <x v="0"/>
    <x v="3"/>
    <x v="0"/>
    <x v="1"/>
    <s v="DK2_Small"/>
    <x v="16"/>
    <n v="8.3492014028755008"/>
    <n v="2.31922261190986"/>
  </r>
  <r>
    <x v="0"/>
    <x v="3"/>
    <x v="0"/>
    <x v="1"/>
    <s v="DK2_Small"/>
    <x v="17"/>
    <n v="9.5251168185584092"/>
    <n v="2.6458657829328902"/>
  </r>
  <r>
    <x v="0"/>
    <x v="3"/>
    <x v="0"/>
    <x v="1"/>
    <s v="DK2_Small"/>
    <x v="18"/>
    <n v="21.5197083678542"/>
    <n v="5.9776967688483804"/>
  </r>
  <r>
    <x v="0"/>
    <x v="3"/>
    <x v="0"/>
    <x v="1"/>
    <s v="DK2_Small"/>
    <x v="19"/>
    <n v="8.1139884009941898"/>
    <n v="2.2538856669428302"/>
  </r>
  <r>
    <x v="0"/>
    <x v="3"/>
    <x v="0"/>
    <x v="1"/>
    <s v="DK2_Small"/>
    <x v="20"/>
    <n v="19.336735244541"/>
    <n v="5.37131534570584"/>
  </r>
  <r>
    <x v="0"/>
    <x v="3"/>
    <x v="0"/>
    <x v="1"/>
    <s v="DK2_Small"/>
    <x v="21"/>
    <n v="53.225806451612797"/>
    <n v="14.784946236559099"/>
  </r>
  <r>
    <x v="0"/>
    <x v="3"/>
    <x v="0"/>
    <x v="1"/>
    <s v="DK2_Small"/>
    <x v="22"/>
    <n v="130.68"/>
    <n v="36.299999999999997"/>
  </r>
  <r>
    <x v="0"/>
    <x v="3"/>
    <x v="0"/>
    <x v="1"/>
    <s v="DK2_Small"/>
    <x v="23"/>
    <n v="0.35278210439105201"/>
    <n v="9.7995028997514499E-2"/>
  </r>
  <r>
    <x v="0"/>
    <x v="3"/>
    <x v="0"/>
    <x v="1"/>
    <s v="DK2_Small"/>
    <x v="24"/>
    <n v="20.0161025734538"/>
    <n v="5.5600284926260501"/>
  </r>
  <r>
    <x v="0"/>
    <x v="3"/>
    <x v="0"/>
    <x v="1"/>
    <s v="DK2_Small"/>
    <x v="25"/>
    <n v="22.356874337357301"/>
    <n v="6.2102428714881297"/>
  </r>
  <r>
    <x v="0"/>
    <x v="3"/>
    <x v="0"/>
    <x v="1"/>
    <s v="DK2_Small"/>
    <x v="26"/>
    <n v="29.6651032387655"/>
    <n v="8.2403064552126306"/>
  </r>
  <r>
    <x v="0"/>
    <x v="3"/>
    <x v="0"/>
    <x v="1"/>
    <s v="DK2_Small"/>
    <x v="27"/>
    <n v="21.049332228666099"/>
    <n v="5.8470367301850299"/>
  </r>
  <r>
    <x v="0"/>
    <x v="3"/>
    <x v="1"/>
    <x v="2"/>
    <s v="EE_A"/>
    <x v="1"/>
    <n v="51.241600662800401"/>
    <n v="14.233777961889"/>
  </r>
  <r>
    <x v="0"/>
    <x v="3"/>
    <x v="1"/>
    <x v="2"/>
    <s v="EE_A"/>
    <x v="2"/>
    <n v="57.96"/>
    <n v="16.100000000000001"/>
  </r>
  <r>
    <x v="0"/>
    <x v="3"/>
    <x v="1"/>
    <x v="2"/>
    <s v="EE_A"/>
    <x v="0"/>
    <n v="42.692399999999999"/>
    <n v="11.859"/>
  </r>
  <r>
    <x v="0"/>
    <x v="3"/>
    <x v="1"/>
    <x v="2"/>
    <s v="EE_A"/>
    <x v="3"/>
    <n v="57.7974681027342"/>
    <n v="16.054852250759499"/>
  </r>
  <r>
    <x v="0"/>
    <x v="3"/>
    <x v="1"/>
    <x v="2"/>
    <s v="EE_A"/>
    <x v="4"/>
    <n v="8.1139884009941898"/>
    <n v="2.2538856669428302"/>
  </r>
  <r>
    <x v="0"/>
    <x v="3"/>
    <x v="1"/>
    <x v="2"/>
    <s v="EE_A"/>
    <x v="5"/>
    <n v="8.1139884009941898"/>
    <n v="2.2538856669428302"/>
  </r>
  <r>
    <x v="0"/>
    <x v="3"/>
    <x v="1"/>
    <x v="2"/>
    <s v="EE_A"/>
    <x v="6"/>
    <n v="30.770439105219602"/>
    <n v="8.5473441958943202"/>
  </r>
  <r>
    <x v="0"/>
    <x v="3"/>
    <x v="1"/>
    <x v="2"/>
    <s v="EE_A"/>
    <x v="7"/>
    <n v="71.350180613090302"/>
    <n v="19.819494614747299"/>
  </r>
  <r>
    <x v="0"/>
    <x v="3"/>
    <x v="1"/>
    <x v="2"/>
    <s v="EE_A"/>
    <x v="8"/>
    <n v="71.350180613090302"/>
    <n v="19.819494614747299"/>
  </r>
  <r>
    <x v="0"/>
    <x v="3"/>
    <x v="1"/>
    <x v="2"/>
    <s v="EE_A"/>
    <x v="9"/>
    <n v="44.803327257663497"/>
    <n v="12.4453686826843"/>
  </r>
  <r>
    <x v="0"/>
    <x v="3"/>
    <x v="1"/>
    <x v="2"/>
    <s v="EE_A"/>
    <x v="10"/>
    <n v="54.681226180612903"/>
    <n v="15.1892294946147"/>
  </r>
  <r>
    <x v="0"/>
    <x v="3"/>
    <x v="1"/>
    <x v="2"/>
    <s v="EE_A"/>
    <x v="11"/>
    <n v="3.8806031483015802"/>
    <n v="1.07794531897266"/>
  </r>
  <r>
    <x v="0"/>
    <x v="3"/>
    <x v="1"/>
    <x v="2"/>
    <s v="EE_A"/>
    <x v="12"/>
    <n v="9.7995028997514597E-2"/>
    <n v="2.72208413881985E-2"/>
  </r>
  <r>
    <x v="0"/>
    <x v="3"/>
    <x v="1"/>
    <x v="2"/>
    <s v="EE_A"/>
    <x v="13"/>
    <n v="21.5197083678542"/>
    <n v="5.9776967688483804"/>
  </r>
  <r>
    <x v="0"/>
    <x v="3"/>
    <x v="1"/>
    <x v="2"/>
    <s v="EE_A"/>
    <x v="14"/>
    <n v="21.5197083678542"/>
    <n v="5.9776967688483804"/>
  </r>
  <r>
    <x v="0"/>
    <x v="3"/>
    <x v="1"/>
    <x v="2"/>
    <s v="EE_A"/>
    <x v="15"/>
    <n v="1.65807589063794"/>
    <n v="0.46057663628831802"/>
  </r>
  <r>
    <x v="0"/>
    <x v="3"/>
    <x v="1"/>
    <x v="2"/>
    <s v="EE_A"/>
    <x v="16"/>
    <n v="8.3492014028755008"/>
    <n v="2.31922261190986"/>
  </r>
  <r>
    <x v="0"/>
    <x v="3"/>
    <x v="1"/>
    <x v="2"/>
    <s v="EE_A"/>
    <x v="17"/>
    <n v="9.5251168185584092"/>
    <n v="2.6458657829328902"/>
  </r>
  <r>
    <x v="0"/>
    <x v="3"/>
    <x v="1"/>
    <x v="2"/>
    <s v="EE_A"/>
    <x v="18"/>
    <n v="21.5197083678542"/>
    <n v="5.9776967688483804"/>
  </r>
  <r>
    <x v="0"/>
    <x v="3"/>
    <x v="1"/>
    <x v="2"/>
    <s v="EE_A"/>
    <x v="19"/>
    <n v="8.1139884009941898"/>
    <n v="2.2538856669428302"/>
  </r>
  <r>
    <x v="0"/>
    <x v="3"/>
    <x v="1"/>
    <x v="2"/>
    <s v="EE_A"/>
    <x v="20"/>
    <n v="19.336735244541"/>
    <n v="5.37131534570584"/>
  </r>
  <r>
    <x v="0"/>
    <x v="3"/>
    <x v="1"/>
    <x v="2"/>
    <s v="EE_A"/>
    <x v="21"/>
    <n v="53.225806451612797"/>
    <n v="14.784946236559099"/>
  </r>
  <r>
    <x v="0"/>
    <x v="3"/>
    <x v="1"/>
    <x v="2"/>
    <s v="EE_A"/>
    <x v="22"/>
    <n v="130.68"/>
    <n v="36.299999999999997"/>
  </r>
  <r>
    <x v="0"/>
    <x v="3"/>
    <x v="1"/>
    <x v="2"/>
    <s v="EE_A"/>
    <x v="23"/>
    <n v="0.35278210439105201"/>
    <n v="9.7995028997514499E-2"/>
  </r>
  <r>
    <x v="0"/>
    <x v="3"/>
    <x v="1"/>
    <x v="2"/>
    <s v="EE_A"/>
    <x v="24"/>
    <n v="20.0161025734538"/>
    <n v="5.5600284926260501"/>
  </r>
  <r>
    <x v="0"/>
    <x v="3"/>
    <x v="1"/>
    <x v="2"/>
    <s v="EE_A"/>
    <x v="25"/>
    <n v="22.356874337357301"/>
    <n v="6.2102428714881297"/>
  </r>
  <r>
    <x v="0"/>
    <x v="3"/>
    <x v="1"/>
    <x v="2"/>
    <s v="EE_A"/>
    <x v="26"/>
    <n v="29.6651032387655"/>
    <n v="8.2403064552126306"/>
  </r>
  <r>
    <x v="0"/>
    <x v="3"/>
    <x v="1"/>
    <x v="2"/>
    <s v="EE_A"/>
    <x v="27"/>
    <n v="21.049332228666099"/>
    <n v="5.8470367301850299"/>
  </r>
  <r>
    <x v="0"/>
    <x v="3"/>
    <x v="1"/>
    <x v="2"/>
    <s v="EE_Enefit"/>
    <x v="1"/>
    <n v="51.241600662800401"/>
    <n v="14.233777961889"/>
  </r>
  <r>
    <x v="0"/>
    <x v="3"/>
    <x v="1"/>
    <x v="2"/>
    <s v="EE_Enefit"/>
    <x v="2"/>
    <n v="57.96"/>
    <n v="16.100000000000001"/>
  </r>
  <r>
    <x v="0"/>
    <x v="3"/>
    <x v="1"/>
    <x v="2"/>
    <s v="EE_Enefit"/>
    <x v="0"/>
    <n v="42.692399999999999"/>
    <n v="11.859"/>
  </r>
  <r>
    <x v="0"/>
    <x v="3"/>
    <x v="1"/>
    <x v="2"/>
    <s v="EE_Enefit"/>
    <x v="3"/>
    <n v="57.7974681027342"/>
    <n v="16.054852250759499"/>
  </r>
  <r>
    <x v="0"/>
    <x v="3"/>
    <x v="1"/>
    <x v="2"/>
    <s v="EE_Enefit"/>
    <x v="4"/>
    <n v="8.1139884009941898"/>
    <n v="2.2538856669428302"/>
  </r>
  <r>
    <x v="0"/>
    <x v="3"/>
    <x v="1"/>
    <x v="2"/>
    <s v="EE_Enefit"/>
    <x v="5"/>
    <n v="8.1139884009941898"/>
    <n v="2.2538856669428302"/>
  </r>
  <r>
    <x v="0"/>
    <x v="3"/>
    <x v="1"/>
    <x v="2"/>
    <s v="EE_Enefit"/>
    <x v="6"/>
    <n v="30.770439105219602"/>
    <n v="8.5473441958943202"/>
  </r>
  <r>
    <x v="0"/>
    <x v="3"/>
    <x v="1"/>
    <x v="2"/>
    <s v="EE_Enefit"/>
    <x v="7"/>
    <n v="71.350180613090302"/>
    <n v="19.819494614747299"/>
  </r>
  <r>
    <x v="0"/>
    <x v="3"/>
    <x v="1"/>
    <x v="2"/>
    <s v="EE_Enefit"/>
    <x v="8"/>
    <n v="71.350180613090302"/>
    <n v="19.819494614747299"/>
  </r>
  <r>
    <x v="0"/>
    <x v="3"/>
    <x v="1"/>
    <x v="2"/>
    <s v="EE_Enefit"/>
    <x v="9"/>
    <n v="44.803327257663497"/>
    <n v="12.4453686826843"/>
  </r>
  <r>
    <x v="0"/>
    <x v="3"/>
    <x v="1"/>
    <x v="2"/>
    <s v="EE_Enefit"/>
    <x v="10"/>
    <n v="54.681226180612903"/>
    <n v="15.1892294946147"/>
  </r>
  <r>
    <x v="0"/>
    <x v="3"/>
    <x v="1"/>
    <x v="2"/>
    <s v="EE_Enefit"/>
    <x v="11"/>
    <n v="3.8806031483015802"/>
    <n v="1.07794531897266"/>
  </r>
  <r>
    <x v="0"/>
    <x v="3"/>
    <x v="1"/>
    <x v="2"/>
    <s v="EE_Enefit"/>
    <x v="12"/>
    <n v="9.7995028997514597E-2"/>
    <n v="2.72208413881985E-2"/>
  </r>
  <r>
    <x v="0"/>
    <x v="3"/>
    <x v="1"/>
    <x v="2"/>
    <s v="EE_Enefit"/>
    <x v="13"/>
    <n v="21.5197083678542"/>
    <n v="5.9776967688483804"/>
  </r>
  <r>
    <x v="0"/>
    <x v="3"/>
    <x v="1"/>
    <x v="2"/>
    <s v="EE_Enefit"/>
    <x v="14"/>
    <n v="21.5197083678542"/>
    <n v="5.9776967688483804"/>
  </r>
  <r>
    <x v="0"/>
    <x v="3"/>
    <x v="1"/>
    <x v="2"/>
    <s v="EE_Enefit"/>
    <x v="15"/>
    <n v="1.65807589063794"/>
    <n v="0.46057663628831802"/>
  </r>
  <r>
    <x v="0"/>
    <x v="3"/>
    <x v="1"/>
    <x v="2"/>
    <s v="EE_Enefit"/>
    <x v="16"/>
    <n v="8.3492014028755008"/>
    <n v="2.31922261190986"/>
  </r>
  <r>
    <x v="0"/>
    <x v="3"/>
    <x v="1"/>
    <x v="2"/>
    <s v="EE_Enefit"/>
    <x v="17"/>
    <n v="9.5251168185584092"/>
    <n v="2.6458657829328902"/>
  </r>
  <r>
    <x v="0"/>
    <x v="3"/>
    <x v="1"/>
    <x v="2"/>
    <s v="EE_Enefit"/>
    <x v="18"/>
    <n v="21.5197083678542"/>
    <n v="5.9776967688483804"/>
  </r>
  <r>
    <x v="0"/>
    <x v="3"/>
    <x v="1"/>
    <x v="2"/>
    <s v="EE_Enefit"/>
    <x v="19"/>
    <n v="8.1139884009941898"/>
    <n v="2.2538856669428302"/>
  </r>
  <r>
    <x v="0"/>
    <x v="3"/>
    <x v="1"/>
    <x v="2"/>
    <s v="EE_Enefit"/>
    <x v="20"/>
    <n v="19.336735244541"/>
    <n v="5.37131534570584"/>
  </r>
  <r>
    <x v="0"/>
    <x v="3"/>
    <x v="1"/>
    <x v="2"/>
    <s v="EE_Enefit"/>
    <x v="21"/>
    <n v="53.225806451612797"/>
    <n v="14.784946236559099"/>
  </r>
  <r>
    <x v="0"/>
    <x v="3"/>
    <x v="1"/>
    <x v="2"/>
    <s v="EE_Enefit"/>
    <x v="22"/>
    <n v="130.68"/>
    <n v="36.299999999999997"/>
  </r>
  <r>
    <x v="0"/>
    <x v="3"/>
    <x v="1"/>
    <x v="2"/>
    <s v="EE_Enefit"/>
    <x v="23"/>
    <n v="0.35278210439105201"/>
    <n v="9.7995028997514499E-2"/>
  </r>
  <r>
    <x v="0"/>
    <x v="3"/>
    <x v="1"/>
    <x v="2"/>
    <s v="EE_Enefit"/>
    <x v="24"/>
    <n v="20.0161025734538"/>
    <n v="5.5600284926260501"/>
  </r>
  <r>
    <x v="0"/>
    <x v="3"/>
    <x v="1"/>
    <x v="2"/>
    <s v="EE_Enefit"/>
    <x v="25"/>
    <n v="22.356874337357301"/>
    <n v="6.2102428714881297"/>
  </r>
  <r>
    <x v="0"/>
    <x v="3"/>
    <x v="1"/>
    <x v="2"/>
    <s v="EE_Enefit"/>
    <x v="26"/>
    <n v="29.6651032387655"/>
    <n v="8.2403064552126306"/>
  </r>
  <r>
    <x v="0"/>
    <x v="3"/>
    <x v="1"/>
    <x v="2"/>
    <s v="EE_Enefit"/>
    <x v="27"/>
    <n v="21.049332228666099"/>
    <n v="5.8470367301850299"/>
  </r>
  <r>
    <x v="0"/>
    <x v="3"/>
    <x v="1"/>
    <x v="2"/>
    <s v="EE_Industry"/>
    <x v="1"/>
    <n v="51.241600662800401"/>
    <n v="14.233777961889"/>
  </r>
  <r>
    <x v="0"/>
    <x v="3"/>
    <x v="1"/>
    <x v="2"/>
    <s v="EE_Industry"/>
    <x v="2"/>
    <n v="57.96"/>
    <n v="16.100000000000001"/>
  </r>
  <r>
    <x v="0"/>
    <x v="3"/>
    <x v="1"/>
    <x v="2"/>
    <s v="EE_Industry"/>
    <x v="0"/>
    <n v="42.692399999999999"/>
    <n v="11.859"/>
  </r>
  <r>
    <x v="0"/>
    <x v="3"/>
    <x v="1"/>
    <x v="2"/>
    <s v="EE_Industry"/>
    <x v="3"/>
    <n v="57.7974681027342"/>
    <n v="16.054852250759499"/>
  </r>
  <r>
    <x v="0"/>
    <x v="3"/>
    <x v="1"/>
    <x v="2"/>
    <s v="EE_Industry"/>
    <x v="4"/>
    <n v="8.1139884009941898"/>
    <n v="2.2538856669428302"/>
  </r>
  <r>
    <x v="0"/>
    <x v="3"/>
    <x v="1"/>
    <x v="2"/>
    <s v="EE_Industry"/>
    <x v="5"/>
    <n v="8.1139884009941898"/>
    <n v="2.2538856669428302"/>
  </r>
  <r>
    <x v="0"/>
    <x v="3"/>
    <x v="1"/>
    <x v="2"/>
    <s v="EE_Industry"/>
    <x v="6"/>
    <n v="30.770439105219602"/>
    <n v="8.5473441958943202"/>
  </r>
  <r>
    <x v="0"/>
    <x v="3"/>
    <x v="1"/>
    <x v="2"/>
    <s v="EE_Industry"/>
    <x v="7"/>
    <n v="71.350180613090302"/>
    <n v="19.819494614747299"/>
  </r>
  <r>
    <x v="0"/>
    <x v="3"/>
    <x v="1"/>
    <x v="2"/>
    <s v="EE_Industry"/>
    <x v="8"/>
    <n v="71.350180613090302"/>
    <n v="19.819494614747299"/>
  </r>
  <r>
    <x v="0"/>
    <x v="3"/>
    <x v="1"/>
    <x v="2"/>
    <s v="EE_Industry"/>
    <x v="9"/>
    <n v="44.803327257663497"/>
    <n v="12.4453686826843"/>
  </r>
  <r>
    <x v="0"/>
    <x v="3"/>
    <x v="1"/>
    <x v="2"/>
    <s v="EE_Industry"/>
    <x v="10"/>
    <n v="54.681226180612903"/>
    <n v="15.1892294946147"/>
  </r>
  <r>
    <x v="0"/>
    <x v="3"/>
    <x v="1"/>
    <x v="2"/>
    <s v="EE_Industry"/>
    <x v="11"/>
    <n v="3.8806031483015802"/>
    <n v="1.07794531897266"/>
  </r>
  <r>
    <x v="0"/>
    <x v="3"/>
    <x v="1"/>
    <x v="2"/>
    <s v="EE_Industry"/>
    <x v="12"/>
    <n v="9.7995028997514597E-2"/>
    <n v="2.72208413881985E-2"/>
  </r>
  <r>
    <x v="0"/>
    <x v="3"/>
    <x v="1"/>
    <x v="2"/>
    <s v="EE_Industry"/>
    <x v="13"/>
    <n v="21.5197083678542"/>
    <n v="5.9776967688483804"/>
  </r>
  <r>
    <x v="0"/>
    <x v="3"/>
    <x v="1"/>
    <x v="2"/>
    <s v="EE_Industry"/>
    <x v="14"/>
    <n v="21.5197083678542"/>
    <n v="5.9776967688483804"/>
  </r>
  <r>
    <x v="0"/>
    <x v="3"/>
    <x v="1"/>
    <x v="2"/>
    <s v="EE_Industry"/>
    <x v="15"/>
    <n v="1.65807589063794"/>
    <n v="0.46057663628831802"/>
  </r>
  <r>
    <x v="0"/>
    <x v="3"/>
    <x v="1"/>
    <x v="2"/>
    <s v="EE_Industry"/>
    <x v="16"/>
    <n v="8.3492014028755008"/>
    <n v="2.31922261190986"/>
  </r>
  <r>
    <x v="0"/>
    <x v="3"/>
    <x v="1"/>
    <x v="2"/>
    <s v="EE_Industry"/>
    <x v="17"/>
    <n v="9.5251168185584092"/>
    <n v="2.6458657829328902"/>
  </r>
  <r>
    <x v="0"/>
    <x v="3"/>
    <x v="1"/>
    <x v="2"/>
    <s v="EE_Industry"/>
    <x v="18"/>
    <n v="21.5197083678542"/>
    <n v="5.9776967688483804"/>
  </r>
  <r>
    <x v="0"/>
    <x v="3"/>
    <x v="1"/>
    <x v="2"/>
    <s v="EE_Industry"/>
    <x v="19"/>
    <n v="8.1139884009941898"/>
    <n v="2.2538856669428302"/>
  </r>
  <r>
    <x v="0"/>
    <x v="3"/>
    <x v="1"/>
    <x v="2"/>
    <s v="EE_Industry"/>
    <x v="20"/>
    <n v="19.336735244541"/>
    <n v="5.37131534570584"/>
  </r>
  <r>
    <x v="0"/>
    <x v="3"/>
    <x v="1"/>
    <x v="2"/>
    <s v="EE_Industry"/>
    <x v="21"/>
    <n v="53.225806451612797"/>
    <n v="14.784946236559099"/>
  </r>
  <r>
    <x v="0"/>
    <x v="3"/>
    <x v="1"/>
    <x v="2"/>
    <s v="EE_Industry"/>
    <x v="22"/>
    <n v="130.68"/>
    <n v="36.299999999999997"/>
  </r>
  <r>
    <x v="0"/>
    <x v="3"/>
    <x v="1"/>
    <x v="2"/>
    <s v="EE_Industry"/>
    <x v="23"/>
    <n v="0.35278210439105201"/>
    <n v="9.7995028997514499E-2"/>
  </r>
  <r>
    <x v="0"/>
    <x v="3"/>
    <x v="1"/>
    <x v="2"/>
    <s v="EE_Industry"/>
    <x v="24"/>
    <n v="20.0161025734538"/>
    <n v="5.5600284926260501"/>
  </r>
  <r>
    <x v="0"/>
    <x v="3"/>
    <x v="1"/>
    <x v="2"/>
    <s v="EE_Industry"/>
    <x v="25"/>
    <n v="22.356874337357301"/>
    <n v="6.2102428714881297"/>
  </r>
  <r>
    <x v="0"/>
    <x v="3"/>
    <x v="1"/>
    <x v="2"/>
    <s v="EE_Industry"/>
    <x v="26"/>
    <n v="29.6651032387655"/>
    <n v="8.2403064552126306"/>
  </r>
  <r>
    <x v="0"/>
    <x v="3"/>
    <x v="1"/>
    <x v="2"/>
    <s v="EE_Industry"/>
    <x v="27"/>
    <n v="21.049332228666099"/>
    <n v="5.8470367301850299"/>
  </r>
  <r>
    <x v="0"/>
    <x v="3"/>
    <x v="1"/>
    <x v="2"/>
    <s v="EE_Kohtla_Jarve"/>
    <x v="1"/>
    <n v="51.241600662800401"/>
    <n v="14.233777961889"/>
  </r>
  <r>
    <x v="0"/>
    <x v="3"/>
    <x v="1"/>
    <x v="2"/>
    <s v="EE_Kohtla_Jarve"/>
    <x v="2"/>
    <n v="57.96"/>
    <n v="16.100000000000001"/>
  </r>
  <r>
    <x v="0"/>
    <x v="3"/>
    <x v="1"/>
    <x v="2"/>
    <s v="EE_Kohtla_Jarve"/>
    <x v="0"/>
    <n v="42.692399999999999"/>
    <n v="11.859"/>
  </r>
  <r>
    <x v="0"/>
    <x v="3"/>
    <x v="1"/>
    <x v="2"/>
    <s v="EE_Kohtla_Jarve"/>
    <x v="3"/>
    <n v="57.7974681027342"/>
    <n v="16.054852250759499"/>
  </r>
  <r>
    <x v="0"/>
    <x v="3"/>
    <x v="1"/>
    <x v="2"/>
    <s v="EE_Kohtla_Jarve"/>
    <x v="4"/>
    <n v="8.1139884009941898"/>
    <n v="2.2538856669428302"/>
  </r>
  <r>
    <x v="0"/>
    <x v="3"/>
    <x v="1"/>
    <x v="2"/>
    <s v="EE_Kohtla_Jarve"/>
    <x v="5"/>
    <n v="8.1139884009941898"/>
    <n v="2.2538856669428302"/>
  </r>
  <r>
    <x v="0"/>
    <x v="3"/>
    <x v="1"/>
    <x v="2"/>
    <s v="EE_Kohtla_Jarve"/>
    <x v="6"/>
    <n v="30.770439105219602"/>
    <n v="8.5473441958943202"/>
  </r>
  <r>
    <x v="0"/>
    <x v="3"/>
    <x v="1"/>
    <x v="2"/>
    <s v="EE_Kohtla_Jarve"/>
    <x v="7"/>
    <n v="71.350180613090302"/>
    <n v="19.819494614747299"/>
  </r>
  <r>
    <x v="0"/>
    <x v="3"/>
    <x v="1"/>
    <x v="2"/>
    <s v="EE_Kohtla_Jarve"/>
    <x v="8"/>
    <n v="71.350180613090302"/>
    <n v="19.819494614747299"/>
  </r>
  <r>
    <x v="0"/>
    <x v="3"/>
    <x v="1"/>
    <x v="2"/>
    <s v="EE_Kohtla_Jarve"/>
    <x v="9"/>
    <n v="44.803327257663497"/>
    <n v="12.4453686826843"/>
  </r>
  <r>
    <x v="0"/>
    <x v="3"/>
    <x v="1"/>
    <x v="2"/>
    <s v="EE_Kohtla_Jarve"/>
    <x v="10"/>
    <n v="54.681226180612903"/>
    <n v="15.1892294946147"/>
  </r>
  <r>
    <x v="0"/>
    <x v="3"/>
    <x v="1"/>
    <x v="2"/>
    <s v="EE_Kohtla_Jarve"/>
    <x v="11"/>
    <n v="3.8806031483015802"/>
    <n v="1.07794531897266"/>
  </r>
  <r>
    <x v="0"/>
    <x v="3"/>
    <x v="1"/>
    <x v="2"/>
    <s v="EE_Kohtla_Jarve"/>
    <x v="12"/>
    <n v="9.7995028997514597E-2"/>
    <n v="2.72208413881985E-2"/>
  </r>
  <r>
    <x v="0"/>
    <x v="3"/>
    <x v="1"/>
    <x v="2"/>
    <s v="EE_Kohtla_Jarve"/>
    <x v="13"/>
    <n v="21.5197083678542"/>
    <n v="5.9776967688483804"/>
  </r>
  <r>
    <x v="0"/>
    <x v="3"/>
    <x v="1"/>
    <x v="2"/>
    <s v="EE_Kohtla_Jarve"/>
    <x v="14"/>
    <n v="21.5197083678542"/>
    <n v="5.9776967688483804"/>
  </r>
  <r>
    <x v="0"/>
    <x v="3"/>
    <x v="1"/>
    <x v="2"/>
    <s v="EE_Kohtla_Jarve"/>
    <x v="15"/>
    <n v="1.65807589063794"/>
    <n v="0.46057663628831802"/>
  </r>
  <r>
    <x v="0"/>
    <x v="3"/>
    <x v="1"/>
    <x v="2"/>
    <s v="EE_Kohtla_Jarve"/>
    <x v="16"/>
    <n v="8.3492014028755008"/>
    <n v="2.31922261190986"/>
  </r>
  <r>
    <x v="0"/>
    <x v="3"/>
    <x v="1"/>
    <x v="2"/>
    <s v="EE_Kohtla_Jarve"/>
    <x v="17"/>
    <n v="9.5251168185584092"/>
    <n v="2.6458657829328902"/>
  </r>
  <r>
    <x v="0"/>
    <x v="3"/>
    <x v="1"/>
    <x v="2"/>
    <s v="EE_Kohtla_Jarve"/>
    <x v="18"/>
    <n v="21.5197083678542"/>
    <n v="5.9776967688483804"/>
  </r>
  <r>
    <x v="0"/>
    <x v="3"/>
    <x v="1"/>
    <x v="2"/>
    <s v="EE_Kohtla_Jarve"/>
    <x v="19"/>
    <n v="8.1139884009941898"/>
    <n v="2.2538856669428302"/>
  </r>
  <r>
    <x v="0"/>
    <x v="3"/>
    <x v="1"/>
    <x v="2"/>
    <s v="EE_Kohtla_Jarve"/>
    <x v="20"/>
    <n v="19.336735244541"/>
    <n v="5.37131534570584"/>
  </r>
  <r>
    <x v="0"/>
    <x v="3"/>
    <x v="1"/>
    <x v="2"/>
    <s v="EE_Kohtla_Jarve"/>
    <x v="21"/>
    <n v="53.225806451612797"/>
    <n v="14.784946236559099"/>
  </r>
  <r>
    <x v="0"/>
    <x v="3"/>
    <x v="1"/>
    <x v="2"/>
    <s v="EE_Kohtla_Jarve"/>
    <x v="22"/>
    <n v="130.68"/>
    <n v="36.299999999999997"/>
  </r>
  <r>
    <x v="0"/>
    <x v="3"/>
    <x v="1"/>
    <x v="2"/>
    <s v="EE_Kohtla_Jarve"/>
    <x v="23"/>
    <n v="0.35278210439105201"/>
    <n v="9.7995028997514499E-2"/>
  </r>
  <r>
    <x v="0"/>
    <x v="3"/>
    <x v="1"/>
    <x v="2"/>
    <s v="EE_Kohtla_Jarve"/>
    <x v="24"/>
    <n v="20.0161025734538"/>
    <n v="5.5600284926260501"/>
  </r>
  <r>
    <x v="0"/>
    <x v="3"/>
    <x v="1"/>
    <x v="2"/>
    <s v="EE_Kohtla_Jarve"/>
    <x v="25"/>
    <n v="22.356874337357301"/>
    <n v="6.2102428714881297"/>
  </r>
  <r>
    <x v="0"/>
    <x v="3"/>
    <x v="1"/>
    <x v="2"/>
    <s v="EE_Kohtla_Jarve"/>
    <x v="26"/>
    <n v="29.6651032387655"/>
    <n v="8.2403064552126306"/>
  </r>
  <r>
    <x v="0"/>
    <x v="3"/>
    <x v="1"/>
    <x v="2"/>
    <s v="EE_Kohtla_Jarve"/>
    <x v="27"/>
    <n v="21.049332228666099"/>
    <n v="5.8470367301850299"/>
  </r>
  <r>
    <x v="0"/>
    <x v="3"/>
    <x v="1"/>
    <x v="2"/>
    <s v="EE_Narva"/>
    <x v="1"/>
    <n v="51.241600662800401"/>
    <n v="14.233777961889"/>
  </r>
  <r>
    <x v="0"/>
    <x v="3"/>
    <x v="1"/>
    <x v="2"/>
    <s v="EE_Narva"/>
    <x v="2"/>
    <n v="57.96"/>
    <n v="16.100000000000001"/>
  </r>
  <r>
    <x v="0"/>
    <x v="3"/>
    <x v="1"/>
    <x v="2"/>
    <s v="EE_Narva"/>
    <x v="0"/>
    <n v="42.692399999999999"/>
    <n v="11.859"/>
  </r>
  <r>
    <x v="0"/>
    <x v="3"/>
    <x v="1"/>
    <x v="2"/>
    <s v="EE_Narva"/>
    <x v="3"/>
    <n v="57.7974681027342"/>
    <n v="16.054852250759499"/>
  </r>
  <r>
    <x v="0"/>
    <x v="3"/>
    <x v="1"/>
    <x v="2"/>
    <s v="EE_Narva"/>
    <x v="4"/>
    <n v="8.1139884009941898"/>
    <n v="2.2538856669428302"/>
  </r>
  <r>
    <x v="0"/>
    <x v="3"/>
    <x v="1"/>
    <x v="2"/>
    <s v="EE_Narva"/>
    <x v="5"/>
    <n v="8.1139884009941898"/>
    <n v="2.2538856669428302"/>
  </r>
  <r>
    <x v="0"/>
    <x v="3"/>
    <x v="1"/>
    <x v="2"/>
    <s v="EE_Narva"/>
    <x v="6"/>
    <n v="30.770439105219602"/>
    <n v="8.5473441958943202"/>
  </r>
  <r>
    <x v="0"/>
    <x v="3"/>
    <x v="1"/>
    <x v="2"/>
    <s v="EE_Narva"/>
    <x v="7"/>
    <n v="71.350180613090302"/>
    <n v="19.819494614747299"/>
  </r>
  <r>
    <x v="0"/>
    <x v="3"/>
    <x v="1"/>
    <x v="2"/>
    <s v="EE_Narva"/>
    <x v="8"/>
    <n v="71.350180613090302"/>
    <n v="19.819494614747299"/>
  </r>
  <r>
    <x v="0"/>
    <x v="3"/>
    <x v="1"/>
    <x v="2"/>
    <s v="EE_Narva"/>
    <x v="9"/>
    <n v="44.803327257663497"/>
    <n v="12.4453686826843"/>
  </r>
  <r>
    <x v="0"/>
    <x v="3"/>
    <x v="1"/>
    <x v="2"/>
    <s v="EE_Narva"/>
    <x v="10"/>
    <n v="54.681226180612903"/>
    <n v="15.1892294946147"/>
  </r>
  <r>
    <x v="0"/>
    <x v="3"/>
    <x v="1"/>
    <x v="2"/>
    <s v="EE_Narva"/>
    <x v="11"/>
    <n v="3.8806031483015802"/>
    <n v="1.07794531897266"/>
  </r>
  <r>
    <x v="0"/>
    <x v="3"/>
    <x v="1"/>
    <x v="2"/>
    <s v="EE_Narva"/>
    <x v="12"/>
    <n v="9.7995028997514597E-2"/>
    <n v="2.72208413881985E-2"/>
  </r>
  <r>
    <x v="0"/>
    <x v="3"/>
    <x v="1"/>
    <x v="2"/>
    <s v="EE_Narva"/>
    <x v="13"/>
    <n v="21.5197083678542"/>
    <n v="5.9776967688483804"/>
  </r>
  <r>
    <x v="0"/>
    <x v="3"/>
    <x v="1"/>
    <x v="2"/>
    <s v="EE_Narva"/>
    <x v="14"/>
    <n v="21.5197083678542"/>
    <n v="5.9776967688483804"/>
  </r>
  <r>
    <x v="0"/>
    <x v="3"/>
    <x v="1"/>
    <x v="2"/>
    <s v="EE_Narva"/>
    <x v="15"/>
    <n v="1.65807589063794"/>
    <n v="0.46057663628831802"/>
  </r>
  <r>
    <x v="0"/>
    <x v="3"/>
    <x v="1"/>
    <x v="2"/>
    <s v="EE_Narva"/>
    <x v="16"/>
    <n v="8.3492014028755008"/>
    <n v="2.31922261190986"/>
  </r>
  <r>
    <x v="0"/>
    <x v="3"/>
    <x v="1"/>
    <x v="2"/>
    <s v="EE_Narva"/>
    <x v="17"/>
    <n v="9.5251168185584092"/>
    <n v="2.6458657829328902"/>
  </r>
  <r>
    <x v="0"/>
    <x v="3"/>
    <x v="1"/>
    <x v="2"/>
    <s v="EE_Narva"/>
    <x v="18"/>
    <n v="21.5197083678542"/>
    <n v="5.9776967688483804"/>
  </r>
  <r>
    <x v="0"/>
    <x v="3"/>
    <x v="1"/>
    <x v="2"/>
    <s v="EE_Narva"/>
    <x v="19"/>
    <n v="8.1139884009941898"/>
    <n v="2.2538856669428302"/>
  </r>
  <r>
    <x v="0"/>
    <x v="3"/>
    <x v="1"/>
    <x v="2"/>
    <s v="EE_Narva"/>
    <x v="20"/>
    <n v="19.336735244541"/>
    <n v="5.37131534570584"/>
  </r>
  <r>
    <x v="0"/>
    <x v="3"/>
    <x v="1"/>
    <x v="2"/>
    <s v="EE_Narva"/>
    <x v="21"/>
    <n v="53.225806451612797"/>
    <n v="14.784946236559099"/>
  </r>
  <r>
    <x v="0"/>
    <x v="3"/>
    <x v="1"/>
    <x v="2"/>
    <s v="EE_Narva"/>
    <x v="22"/>
    <n v="130.68"/>
    <n v="36.299999999999997"/>
  </r>
  <r>
    <x v="0"/>
    <x v="3"/>
    <x v="1"/>
    <x v="2"/>
    <s v="EE_Narva"/>
    <x v="23"/>
    <n v="0.35278210439105201"/>
    <n v="9.7995028997514499E-2"/>
  </r>
  <r>
    <x v="0"/>
    <x v="3"/>
    <x v="1"/>
    <x v="2"/>
    <s v="EE_Narva"/>
    <x v="24"/>
    <n v="20.0161025734538"/>
    <n v="5.5600284926260501"/>
  </r>
  <r>
    <x v="0"/>
    <x v="3"/>
    <x v="1"/>
    <x v="2"/>
    <s v="EE_Narva"/>
    <x v="25"/>
    <n v="22.356874337357301"/>
    <n v="6.2102428714881297"/>
  </r>
  <r>
    <x v="0"/>
    <x v="3"/>
    <x v="1"/>
    <x v="2"/>
    <s v="EE_Narva"/>
    <x v="26"/>
    <n v="29.6651032387655"/>
    <n v="8.2403064552126306"/>
  </r>
  <r>
    <x v="0"/>
    <x v="3"/>
    <x v="1"/>
    <x v="2"/>
    <s v="EE_Narva"/>
    <x v="27"/>
    <n v="21.049332228666099"/>
    <n v="5.8470367301850299"/>
  </r>
  <r>
    <x v="0"/>
    <x v="3"/>
    <x v="1"/>
    <x v="2"/>
    <s v="EE_OFFSHORE"/>
    <x v="1"/>
    <n v="51.241600662800401"/>
    <n v="14.233777961889"/>
  </r>
  <r>
    <x v="0"/>
    <x v="3"/>
    <x v="1"/>
    <x v="2"/>
    <s v="EE_OFFSHORE"/>
    <x v="2"/>
    <n v="57.96"/>
    <n v="16.100000000000001"/>
  </r>
  <r>
    <x v="0"/>
    <x v="3"/>
    <x v="1"/>
    <x v="2"/>
    <s v="EE_OFFSHORE"/>
    <x v="0"/>
    <n v="42.692399999999999"/>
    <n v="11.859"/>
  </r>
  <r>
    <x v="0"/>
    <x v="3"/>
    <x v="1"/>
    <x v="2"/>
    <s v="EE_OFFSHORE"/>
    <x v="3"/>
    <n v="57.7974681027342"/>
    <n v="16.054852250759499"/>
  </r>
  <r>
    <x v="0"/>
    <x v="3"/>
    <x v="1"/>
    <x v="2"/>
    <s v="EE_OFFSHORE"/>
    <x v="4"/>
    <n v="8.1139884009941898"/>
    <n v="2.2538856669428302"/>
  </r>
  <r>
    <x v="0"/>
    <x v="3"/>
    <x v="1"/>
    <x v="2"/>
    <s v="EE_OFFSHORE"/>
    <x v="5"/>
    <n v="8.1139884009941898"/>
    <n v="2.2538856669428302"/>
  </r>
  <r>
    <x v="0"/>
    <x v="3"/>
    <x v="1"/>
    <x v="2"/>
    <s v="EE_OFFSHORE"/>
    <x v="6"/>
    <n v="30.770439105219602"/>
    <n v="8.5473441958943202"/>
  </r>
  <r>
    <x v="0"/>
    <x v="3"/>
    <x v="1"/>
    <x v="2"/>
    <s v="EE_OFFSHORE"/>
    <x v="7"/>
    <n v="71.350180613090302"/>
    <n v="19.819494614747299"/>
  </r>
  <r>
    <x v="0"/>
    <x v="3"/>
    <x v="1"/>
    <x v="2"/>
    <s v="EE_OFFSHORE"/>
    <x v="8"/>
    <n v="71.350180613090302"/>
    <n v="19.819494614747299"/>
  </r>
  <r>
    <x v="0"/>
    <x v="3"/>
    <x v="1"/>
    <x v="2"/>
    <s v="EE_OFFSHORE"/>
    <x v="9"/>
    <n v="44.803327257663497"/>
    <n v="12.4453686826843"/>
  </r>
  <r>
    <x v="0"/>
    <x v="3"/>
    <x v="1"/>
    <x v="2"/>
    <s v="EE_OFFSHORE"/>
    <x v="10"/>
    <n v="54.681226180612903"/>
    <n v="15.1892294946147"/>
  </r>
  <r>
    <x v="0"/>
    <x v="3"/>
    <x v="1"/>
    <x v="2"/>
    <s v="EE_OFFSHORE"/>
    <x v="11"/>
    <n v="3.8806031483015802"/>
    <n v="1.07794531897266"/>
  </r>
  <r>
    <x v="0"/>
    <x v="3"/>
    <x v="1"/>
    <x v="2"/>
    <s v="EE_OFFSHORE"/>
    <x v="12"/>
    <n v="9.7995028997514597E-2"/>
    <n v="2.72208413881985E-2"/>
  </r>
  <r>
    <x v="0"/>
    <x v="3"/>
    <x v="1"/>
    <x v="2"/>
    <s v="EE_OFFSHORE"/>
    <x v="13"/>
    <n v="21.5197083678542"/>
    <n v="5.9776967688483804"/>
  </r>
  <r>
    <x v="0"/>
    <x v="3"/>
    <x v="1"/>
    <x v="2"/>
    <s v="EE_OFFSHORE"/>
    <x v="14"/>
    <n v="21.5197083678542"/>
    <n v="5.9776967688483804"/>
  </r>
  <r>
    <x v="0"/>
    <x v="3"/>
    <x v="1"/>
    <x v="2"/>
    <s v="EE_OFFSHORE"/>
    <x v="15"/>
    <n v="1.65807589063794"/>
    <n v="0.46057663628831802"/>
  </r>
  <r>
    <x v="0"/>
    <x v="3"/>
    <x v="1"/>
    <x v="2"/>
    <s v="EE_OFFSHORE"/>
    <x v="16"/>
    <n v="8.3492014028755008"/>
    <n v="2.31922261190986"/>
  </r>
  <r>
    <x v="0"/>
    <x v="3"/>
    <x v="1"/>
    <x v="2"/>
    <s v="EE_OFFSHORE"/>
    <x v="17"/>
    <n v="9.5251168185584092"/>
    <n v="2.6458657829328902"/>
  </r>
  <r>
    <x v="0"/>
    <x v="3"/>
    <x v="1"/>
    <x v="2"/>
    <s v="EE_OFFSHORE"/>
    <x v="18"/>
    <n v="21.5197083678542"/>
    <n v="5.9776967688483804"/>
  </r>
  <r>
    <x v="0"/>
    <x v="3"/>
    <x v="1"/>
    <x v="2"/>
    <s v="EE_OFFSHORE"/>
    <x v="19"/>
    <n v="8.1139884009941898"/>
    <n v="2.2538856669428302"/>
  </r>
  <r>
    <x v="0"/>
    <x v="3"/>
    <x v="1"/>
    <x v="2"/>
    <s v="EE_OFFSHORE"/>
    <x v="20"/>
    <n v="19.336735244541"/>
    <n v="5.37131534570584"/>
  </r>
  <r>
    <x v="0"/>
    <x v="3"/>
    <x v="1"/>
    <x v="2"/>
    <s v="EE_OFFSHORE"/>
    <x v="21"/>
    <n v="53.225806451612797"/>
    <n v="14.784946236559099"/>
  </r>
  <r>
    <x v="0"/>
    <x v="3"/>
    <x v="1"/>
    <x v="2"/>
    <s v="EE_OFFSHORE"/>
    <x v="22"/>
    <n v="130.68"/>
    <n v="36.299999999999997"/>
  </r>
  <r>
    <x v="0"/>
    <x v="3"/>
    <x v="1"/>
    <x v="2"/>
    <s v="EE_OFFSHORE"/>
    <x v="23"/>
    <n v="0.35278210439105201"/>
    <n v="9.7995028997514499E-2"/>
  </r>
  <r>
    <x v="0"/>
    <x v="3"/>
    <x v="1"/>
    <x v="2"/>
    <s v="EE_OFFSHORE"/>
    <x v="24"/>
    <n v="20.0161025734538"/>
    <n v="5.5600284926260501"/>
  </r>
  <r>
    <x v="0"/>
    <x v="3"/>
    <x v="1"/>
    <x v="2"/>
    <s v="EE_OFFSHORE"/>
    <x v="25"/>
    <n v="22.356874337357301"/>
    <n v="6.2102428714881297"/>
  </r>
  <r>
    <x v="0"/>
    <x v="3"/>
    <x v="1"/>
    <x v="2"/>
    <s v="EE_OFFSHORE"/>
    <x v="26"/>
    <n v="29.6651032387655"/>
    <n v="8.2403064552126306"/>
  </r>
  <r>
    <x v="0"/>
    <x v="3"/>
    <x v="1"/>
    <x v="2"/>
    <s v="EE_OFFSHORE"/>
    <x v="27"/>
    <n v="21.049332228666099"/>
    <n v="5.8470367301850299"/>
  </r>
  <r>
    <x v="0"/>
    <x v="3"/>
    <x v="1"/>
    <x v="2"/>
    <s v="EE_Parnu"/>
    <x v="1"/>
    <n v="51.241600662800401"/>
    <n v="14.233777961889"/>
  </r>
  <r>
    <x v="0"/>
    <x v="3"/>
    <x v="1"/>
    <x v="2"/>
    <s v="EE_Parnu"/>
    <x v="2"/>
    <n v="57.96"/>
    <n v="16.100000000000001"/>
  </r>
  <r>
    <x v="0"/>
    <x v="3"/>
    <x v="1"/>
    <x v="2"/>
    <s v="EE_Parnu"/>
    <x v="0"/>
    <n v="42.692399999999999"/>
    <n v="11.859"/>
  </r>
  <r>
    <x v="0"/>
    <x v="3"/>
    <x v="1"/>
    <x v="2"/>
    <s v="EE_Parnu"/>
    <x v="3"/>
    <n v="57.7974681027342"/>
    <n v="16.054852250759499"/>
  </r>
  <r>
    <x v="0"/>
    <x v="3"/>
    <x v="1"/>
    <x v="2"/>
    <s v="EE_Parnu"/>
    <x v="4"/>
    <n v="8.1139884009941898"/>
    <n v="2.2538856669428302"/>
  </r>
  <r>
    <x v="0"/>
    <x v="3"/>
    <x v="1"/>
    <x v="2"/>
    <s v="EE_Parnu"/>
    <x v="5"/>
    <n v="8.1139884009941898"/>
    <n v="2.2538856669428302"/>
  </r>
  <r>
    <x v="0"/>
    <x v="3"/>
    <x v="1"/>
    <x v="2"/>
    <s v="EE_Parnu"/>
    <x v="6"/>
    <n v="30.770439105219602"/>
    <n v="8.5473441958943202"/>
  </r>
  <r>
    <x v="0"/>
    <x v="3"/>
    <x v="1"/>
    <x v="2"/>
    <s v="EE_Parnu"/>
    <x v="7"/>
    <n v="71.350180613090302"/>
    <n v="19.819494614747299"/>
  </r>
  <r>
    <x v="0"/>
    <x v="3"/>
    <x v="1"/>
    <x v="2"/>
    <s v="EE_Parnu"/>
    <x v="8"/>
    <n v="71.350180613090302"/>
    <n v="19.819494614747299"/>
  </r>
  <r>
    <x v="0"/>
    <x v="3"/>
    <x v="1"/>
    <x v="2"/>
    <s v="EE_Parnu"/>
    <x v="9"/>
    <n v="44.803327257663497"/>
    <n v="12.4453686826843"/>
  </r>
  <r>
    <x v="0"/>
    <x v="3"/>
    <x v="1"/>
    <x v="2"/>
    <s v="EE_Parnu"/>
    <x v="10"/>
    <n v="54.681226180612903"/>
    <n v="15.1892294946147"/>
  </r>
  <r>
    <x v="0"/>
    <x v="3"/>
    <x v="1"/>
    <x v="2"/>
    <s v="EE_Parnu"/>
    <x v="11"/>
    <n v="3.8806031483015802"/>
    <n v="1.07794531897266"/>
  </r>
  <r>
    <x v="0"/>
    <x v="3"/>
    <x v="1"/>
    <x v="2"/>
    <s v="EE_Parnu"/>
    <x v="12"/>
    <n v="9.7995028997514597E-2"/>
    <n v="2.72208413881985E-2"/>
  </r>
  <r>
    <x v="0"/>
    <x v="3"/>
    <x v="1"/>
    <x v="2"/>
    <s v="EE_Parnu"/>
    <x v="13"/>
    <n v="21.5197083678542"/>
    <n v="5.9776967688483804"/>
  </r>
  <r>
    <x v="0"/>
    <x v="3"/>
    <x v="1"/>
    <x v="2"/>
    <s v="EE_Parnu"/>
    <x v="14"/>
    <n v="21.5197083678542"/>
    <n v="5.9776967688483804"/>
  </r>
  <r>
    <x v="0"/>
    <x v="3"/>
    <x v="1"/>
    <x v="2"/>
    <s v="EE_Parnu"/>
    <x v="15"/>
    <n v="1.65807589063794"/>
    <n v="0.46057663628831802"/>
  </r>
  <r>
    <x v="0"/>
    <x v="3"/>
    <x v="1"/>
    <x v="2"/>
    <s v="EE_Parnu"/>
    <x v="16"/>
    <n v="8.3492014028755008"/>
    <n v="2.31922261190986"/>
  </r>
  <r>
    <x v="0"/>
    <x v="3"/>
    <x v="1"/>
    <x v="2"/>
    <s v="EE_Parnu"/>
    <x v="17"/>
    <n v="9.5251168185584092"/>
    <n v="2.6458657829328902"/>
  </r>
  <r>
    <x v="0"/>
    <x v="3"/>
    <x v="1"/>
    <x v="2"/>
    <s v="EE_Parnu"/>
    <x v="18"/>
    <n v="21.5197083678542"/>
    <n v="5.9776967688483804"/>
  </r>
  <r>
    <x v="0"/>
    <x v="3"/>
    <x v="1"/>
    <x v="2"/>
    <s v="EE_Parnu"/>
    <x v="19"/>
    <n v="8.1139884009941898"/>
    <n v="2.2538856669428302"/>
  </r>
  <r>
    <x v="0"/>
    <x v="3"/>
    <x v="1"/>
    <x v="2"/>
    <s v="EE_Parnu"/>
    <x v="20"/>
    <n v="19.336735244541"/>
    <n v="5.37131534570584"/>
  </r>
  <r>
    <x v="0"/>
    <x v="3"/>
    <x v="1"/>
    <x v="2"/>
    <s v="EE_Parnu"/>
    <x v="21"/>
    <n v="53.225806451612797"/>
    <n v="14.784946236559099"/>
  </r>
  <r>
    <x v="0"/>
    <x v="3"/>
    <x v="1"/>
    <x v="2"/>
    <s v="EE_Parnu"/>
    <x v="22"/>
    <n v="130.68"/>
    <n v="36.299999999999997"/>
  </r>
  <r>
    <x v="0"/>
    <x v="3"/>
    <x v="1"/>
    <x v="2"/>
    <s v="EE_Parnu"/>
    <x v="23"/>
    <n v="0.35278210439105201"/>
    <n v="9.7995028997514499E-2"/>
  </r>
  <r>
    <x v="0"/>
    <x v="3"/>
    <x v="1"/>
    <x v="2"/>
    <s v="EE_Parnu"/>
    <x v="24"/>
    <n v="20.0161025734538"/>
    <n v="5.5600284926260501"/>
  </r>
  <r>
    <x v="0"/>
    <x v="3"/>
    <x v="1"/>
    <x v="2"/>
    <s v="EE_Parnu"/>
    <x v="25"/>
    <n v="22.356874337357301"/>
    <n v="6.2102428714881297"/>
  </r>
  <r>
    <x v="0"/>
    <x v="3"/>
    <x v="1"/>
    <x v="2"/>
    <s v="EE_Parnu"/>
    <x v="26"/>
    <n v="29.6651032387655"/>
    <n v="8.2403064552126306"/>
  </r>
  <r>
    <x v="0"/>
    <x v="3"/>
    <x v="1"/>
    <x v="2"/>
    <s v="EE_Parnu"/>
    <x v="27"/>
    <n v="21.049332228666099"/>
    <n v="5.8470367301850299"/>
  </r>
  <r>
    <x v="0"/>
    <x v="3"/>
    <x v="1"/>
    <x v="2"/>
    <s v="EE_Rural"/>
    <x v="1"/>
    <n v="51.241600662800401"/>
    <n v="14.233777961889"/>
  </r>
  <r>
    <x v="0"/>
    <x v="3"/>
    <x v="1"/>
    <x v="2"/>
    <s v="EE_Rural"/>
    <x v="2"/>
    <n v="57.96"/>
    <n v="16.100000000000001"/>
  </r>
  <r>
    <x v="0"/>
    <x v="3"/>
    <x v="1"/>
    <x v="2"/>
    <s v="EE_Rural"/>
    <x v="0"/>
    <n v="42.692399999999999"/>
    <n v="11.859"/>
  </r>
  <r>
    <x v="0"/>
    <x v="3"/>
    <x v="1"/>
    <x v="2"/>
    <s v="EE_Rural"/>
    <x v="3"/>
    <n v="57.7974681027342"/>
    <n v="16.054852250759499"/>
  </r>
  <r>
    <x v="0"/>
    <x v="3"/>
    <x v="1"/>
    <x v="2"/>
    <s v="EE_Rural"/>
    <x v="4"/>
    <n v="8.1139884009941898"/>
    <n v="2.2538856669428302"/>
  </r>
  <r>
    <x v="0"/>
    <x v="3"/>
    <x v="1"/>
    <x v="2"/>
    <s v="EE_Rural"/>
    <x v="5"/>
    <n v="8.1139884009941898"/>
    <n v="2.2538856669428302"/>
  </r>
  <r>
    <x v="0"/>
    <x v="3"/>
    <x v="1"/>
    <x v="2"/>
    <s v="EE_Rural"/>
    <x v="6"/>
    <n v="30.770439105219602"/>
    <n v="8.5473441958943202"/>
  </r>
  <r>
    <x v="0"/>
    <x v="3"/>
    <x v="1"/>
    <x v="2"/>
    <s v="EE_Rural"/>
    <x v="7"/>
    <n v="71.350180613090302"/>
    <n v="19.819494614747299"/>
  </r>
  <r>
    <x v="0"/>
    <x v="3"/>
    <x v="1"/>
    <x v="2"/>
    <s v="EE_Rural"/>
    <x v="8"/>
    <n v="71.350180613090302"/>
    <n v="19.819494614747299"/>
  </r>
  <r>
    <x v="0"/>
    <x v="3"/>
    <x v="1"/>
    <x v="2"/>
    <s v="EE_Rural"/>
    <x v="9"/>
    <n v="44.803327257663497"/>
    <n v="12.4453686826843"/>
  </r>
  <r>
    <x v="0"/>
    <x v="3"/>
    <x v="1"/>
    <x v="2"/>
    <s v="EE_Rural"/>
    <x v="10"/>
    <n v="54.681226180612903"/>
    <n v="15.1892294946147"/>
  </r>
  <r>
    <x v="0"/>
    <x v="3"/>
    <x v="1"/>
    <x v="2"/>
    <s v="EE_Rural"/>
    <x v="11"/>
    <n v="3.8806031483015802"/>
    <n v="1.07794531897266"/>
  </r>
  <r>
    <x v="0"/>
    <x v="3"/>
    <x v="1"/>
    <x v="2"/>
    <s v="EE_Rural"/>
    <x v="12"/>
    <n v="9.7995028997514597E-2"/>
    <n v="2.72208413881985E-2"/>
  </r>
  <r>
    <x v="0"/>
    <x v="3"/>
    <x v="1"/>
    <x v="2"/>
    <s v="EE_Rural"/>
    <x v="13"/>
    <n v="21.5197083678542"/>
    <n v="5.9776967688483804"/>
  </r>
  <r>
    <x v="0"/>
    <x v="3"/>
    <x v="1"/>
    <x v="2"/>
    <s v="EE_Rural"/>
    <x v="14"/>
    <n v="21.5197083678542"/>
    <n v="5.9776967688483804"/>
  </r>
  <r>
    <x v="0"/>
    <x v="3"/>
    <x v="1"/>
    <x v="2"/>
    <s v="EE_Rural"/>
    <x v="15"/>
    <n v="1.65807589063794"/>
    <n v="0.46057663628831802"/>
  </r>
  <r>
    <x v="0"/>
    <x v="3"/>
    <x v="1"/>
    <x v="2"/>
    <s v="EE_Rural"/>
    <x v="16"/>
    <n v="8.3492014028755008"/>
    <n v="2.31922261190986"/>
  </r>
  <r>
    <x v="0"/>
    <x v="3"/>
    <x v="1"/>
    <x v="2"/>
    <s v="EE_Rural"/>
    <x v="17"/>
    <n v="9.5251168185584092"/>
    <n v="2.6458657829328902"/>
  </r>
  <r>
    <x v="0"/>
    <x v="3"/>
    <x v="1"/>
    <x v="2"/>
    <s v="EE_Rural"/>
    <x v="18"/>
    <n v="21.5197083678542"/>
    <n v="5.9776967688483804"/>
  </r>
  <r>
    <x v="0"/>
    <x v="3"/>
    <x v="1"/>
    <x v="2"/>
    <s v="EE_Rural"/>
    <x v="19"/>
    <n v="8.1139884009941898"/>
    <n v="2.2538856669428302"/>
  </r>
  <r>
    <x v="0"/>
    <x v="3"/>
    <x v="1"/>
    <x v="2"/>
    <s v="EE_Rural"/>
    <x v="20"/>
    <n v="19.336735244541"/>
    <n v="5.37131534570584"/>
  </r>
  <r>
    <x v="0"/>
    <x v="3"/>
    <x v="1"/>
    <x v="2"/>
    <s v="EE_Rural"/>
    <x v="21"/>
    <n v="53.225806451612797"/>
    <n v="14.784946236559099"/>
  </r>
  <r>
    <x v="0"/>
    <x v="3"/>
    <x v="1"/>
    <x v="2"/>
    <s v="EE_Rural"/>
    <x v="22"/>
    <n v="130.68"/>
    <n v="36.299999999999997"/>
  </r>
  <r>
    <x v="0"/>
    <x v="3"/>
    <x v="1"/>
    <x v="2"/>
    <s v="EE_Rural"/>
    <x v="23"/>
    <n v="0.35278210439105201"/>
    <n v="9.7995028997514499E-2"/>
  </r>
  <r>
    <x v="0"/>
    <x v="3"/>
    <x v="1"/>
    <x v="2"/>
    <s v="EE_Rural"/>
    <x v="24"/>
    <n v="20.0161025734538"/>
    <n v="5.5600284926260501"/>
  </r>
  <r>
    <x v="0"/>
    <x v="3"/>
    <x v="1"/>
    <x v="2"/>
    <s v="EE_Rural"/>
    <x v="25"/>
    <n v="22.356874337357301"/>
    <n v="6.2102428714881297"/>
  </r>
  <r>
    <x v="0"/>
    <x v="3"/>
    <x v="1"/>
    <x v="2"/>
    <s v="EE_Rural"/>
    <x v="26"/>
    <n v="29.6651032387655"/>
    <n v="8.2403064552126306"/>
  </r>
  <r>
    <x v="0"/>
    <x v="3"/>
    <x v="1"/>
    <x v="2"/>
    <s v="EE_Rural"/>
    <x v="27"/>
    <n v="21.049332228666099"/>
    <n v="5.8470367301850299"/>
  </r>
  <r>
    <x v="0"/>
    <x v="3"/>
    <x v="1"/>
    <x v="2"/>
    <s v="EE_Sillamae"/>
    <x v="1"/>
    <n v="51.241600662800401"/>
    <n v="14.233777961889"/>
  </r>
  <r>
    <x v="0"/>
    <x v="3"/>
    <x v="1"/>
    <x v="2"/>
    <s v="EE_Sillamae"/>
    <x v="2"/>
    <n v="57.96"/>
    <n v="16.100000000000001"/>
  </r>
  <r>
    <x v="0"/>
    <x v="3"/>
    <x v="1"/>
    <x v="2"/>
    <s v="EE_Sillamae"/>
    <x v="0"/>
    <n v="42.692399999999999"/>
    <n v="11.859"/>
  </r>
  <r>
    <x v="0"/>
    <x v="3"/>
    <x v="1"/>
    <x v="2"/>
    <s v="EE_Sillamae"/>
    <x v="3"/>
    <n v="57.7974681027342"/>
    <n v="16.054852250759499"/>
  </r>
  <r>
    <x v="0"/>
    <x v="3"/>
    <x v="1"/>
    <x v="2"/>
    <s v="EE_Sillamae"/>
    <x v="4"/>
    <n v="8.1139884009941898"/>
    <n v="2.2538856669428302"/>
  </r>
  <r>
    <x v="0"/>
    <x v="3"/>
    <x v="1"/>
    <x v="2"/>
    <s v="EE_Sillamae"/>
    <x v="5"/>
    <n v="8.1139884009941898"/>
    <n v="2.2538856669428302"/>
  </r>
  <r>
    <x v="0"/>
    <x v="3"/>
    <x v="1"/>
    <x v="2"/>
    <s v="EE_Sillamae"/>
    <x v="6"/>
    <n v="30.770439105219602"/>
    <n v="8.5473441958943202"/>
  </r>
  <r>
    <x v="0"/>
    <x v="3"/>
    <x v="1"/>
    <x v="2"/>
    <s v="EE_Sillamae"/>
    <x v="7"/>
    <n v="71.350180613090302"/>
    <n v="19.819494614747299"/>
  </r>
  <r>
    <x v="0"/>
    <x v="3"/>
    <x v="1"/>
    <x v="2"/>
    <s v="EE_Sillamae"/>
    <x v="8"/>
    <n v="71.350180613090302"/>
    <n v="19.819494614747299"/>
  </r>
  <r>
    <x v="0"/>
    <x v="3"/>
    <x v="1"/>
    <x v="2"/>
    <s v="EE_Sillamae"/>
    <x v="9"/>
    <n v="44.803327257663497"/>
    <n v="12.4453686826843"/>
  </r>
  <r>
    <x v="0"/>
    <x v="3"/>
    <x v="1"/>
    <x v="2"/>
    <s v="EE_Sillamae"/>
    <x v="10"/>
    <n v="54.681226180612903"/>
    <n v="15.1892294946147"/>
  </r>
  <r>
    <x v="0"/>
    <x v="3"/>
    <x v="1"/>
    <x v="2"/>
    <s v="EE_Sillamae"/>
    <x v="11"/>
    <n v="3.8806031483015802"/>
    <n v="1.07794531897266"/>
  </r>
  <r>
    <x v="0"/>
    <x v="3"/>
    <x v="1"/>
    <x v="2"/>
    <s v="EE_Sillamae"/>
    <x v="12"/>
    <n v="9.7995028997514597E-2"/>
    <n v="2.72208413881985E-2"/>
  </r>
  <r>
    <x v="0"/>
    <x v="3"/>
    <x v="1"/>
    <x v="2"/>
    <s v="EE_Sillamae"/>
    <x v="13"/>
    <n v="21.5197083678542"/>
    <n v="5.9776967688483804"/>
  </r>
  <r>
    <x v="0"/>
    <x v="3"/>
    <x v="1"/>
    <x v="2"/>
    <s v="EE_Sillamae"/>
    <x v="14"/>
    <n v="21.5197083678542"/>
    <n v="5.9776967688483804"/>
  </r>
  <r>
    <x v="0"/>
    <x v="3"/>
    <x v="1"/>
    <x v="2"/>
    <s v="EE_Sillamae"/>
    <x v="15"/>
    <n v="1.65807589063794"/>
    <n v="0.46057663628831802"/>
  </r>
  <r>
    <x v="0"/>
    <x v="3"/>
    <x v="1"/>
    <x v="2"/>
    <s v="EE_Sillamae"/>
    <x v="16"/>
    <n v="8.3492014028755008"/>
    <n v="2.31922261190986"/>
  </r>
  <r>
    <x v="0"/>
    <x v="3"/>
    <x v="1"/>
    <x v="2"/>
    <s v="EE_Sillamae"/>
    <x v="17"/>
    <n v="9.5251168185584092"/>
    <n v="2.6458657829328902"/>
  </r>
  <r>
    <x v="0"/>
    <x v="3"/>
    <x v="1"/>
    <x v="2"/>
    <s v="EE_Sillamae"/>
    <x v="18"/>
    <n v="21.5197083678542"/>
    <n v="5.9776967688483804"/>
  </r>
  <r>
    <x v="0"/>
    <x v="3"/>
    <x v="1"/>
    <x v="2"/>
    <s v="EE_Sillamae"/>
    <x v="19"/>
    <n v="8.1139884009941898"/>
    <n v="2.2538856669428302"/>
  </r>
  <r>
    <x v="0"/>
    <x v="3"/>
    <x v="1"/>
    <x v="2"/>
    <s v="EE_Sillamae"/>
    <x v="20"/>
    <n v="19.336735244541"/>
    <n v="5.37131534570584"/>
  </r>
  <r>
    <x v="0"/>
    <x v="3"/>
    <x v="1"/>
    <x v="2"/>
    <s v="EE_Sillamae"/>
    <x v="21"/>
    <n v="53.225806451612797"/>
    <n v="14.784946236559099"/>
  </r>
  <r>
    <x v="0"/>
    <x v="3"/>
    <x v="1"/>
    <x v="2"/>
    <s v="EE_Sillamae"/>
    <x v="22"/>
    <n v="130.68"/>
    <n v="36.299999999999997"/>
  </r>
  <r>
    <x v="0"/>
    <x v="3"/>
    <x v="1"/>
    <x v="2"/>
    <s v="EE_Sillamae"/>
    <x v="23"/>
    <n v="0.35278210439105201"/>
    <n v="9.7995028997514499E-2"/>
  </r>
  <r>
    <x v="0"/>
    <x v="3"/>
    <x v="1"/>
    <x v="2"/>
    <s v="EE_Sillamae"/>
    <x v="24"/>
    <n v="20.0161025734538"/>
    <n v="5.5600284926260501"/>
  </r>
  <r>
    <x v="0"/>
    <x v="3"/>
    <x v="1"/>
    <x v="2"/>
    <s v="EE_Sillamae"/>
    <x v="25"/>
    <n v="22.356874337357301"/>
    <n v="6.2102428714881297"/>
  </r>
  <r>
    <x v="0"/>
    <x v="3"/>
    <x v="1"/>
    <x v="2"/>
    <s v="EE_Sillamae"/>
    <x v="26"/>
    <n v="29.6651032387655"/>
    <n v="8.2403064552126306"/>
  </r>
  <r>
    <x v="0"/>
    <x v="3"/>
    <x v="1"/>
    <x v="2"/>
    <s v="EE_Sillamae"/>
    <x v="27"/>
    <n v="21.049332228666099"/>
    <n v="5.8470367301850299"/>
  </r>
  <r>
    <x v="0"/>
    <x v="3"/>
    <x v="1"/>
    <x v="2"/>
    <s v="EE_Tallinn"/>
    <x v="1"/>
    <n v="51.241600662800401"/>
    <n v="14.233777961889"/>
  </r>
  <r>
    <x v="0"/>
    <x v="3"/>
    <x v="1"/>
    <x v="2"/>
    <s v="EE_Tallinn"/>
    <x v="2"/>
    <n v="57.96"/>
    <n v="16.100000000000001"/>
  </r>
  <r>
    <x v="0"/>
    <x v="3"/>
    <x v="1"/>
    <x v="2"/>
    <s v="EE_Tallinn"/>
    <x v="0"/>
    <n v="42.692399999999999"/>
    <n v="11.859"/>
  </r>
  <r>
    <x v="0"/>
    <x v="3"/>
    <x v="1"/>
    <x v="2"/>
    <s v="EE_Tallinn"/>
    <x v="3"/>
    <n v="57.7974681027342"/>
    <n v="16.054852250759499"/>
  </r>
  <r>
    <x v="0"/>
    <x v="3"/>
    <x v="1"/>
    <x v="2"/>
    <s v="EE_Tallinn"/>
    <x v="4"/>
    <n v="8.1139884009941898"/>
    <n v="2.2538856669428302"/>
  </r>
  <r>
    <x v="0"/>
    <x v="3"/>
    <x v="1"/>
    <x v="2"/>
    <s v="EE_Tallinn"/>
    <x v="5"/>
    <n v="8.1139884009941898"/>
    <n v="2.2538856669428302"/>
  </r>
  <r>
    <x v="0"/>
    <x v="3"/>
    <x v="1"/>
    <x v="2"/>
    <s v="EE_Tallinn"/>
    <x v="6"/>
    <n v="30.770439105219602"/>
    <n v="8.5473441958943202"/>
  </r>
  <r>
    <x v="0"/>
    <x v="3"/>
    <x v="1"/>
    <x v="2"/>
    <s v="EE_Tallinn"/>
    <x v="7"/>
    <n v="71.350180613090302"/>
    <n v="19.819494614747299"/>
  </r>
  <r>
    <x v="0"/>
    <x v="3"/>
    <x v="1"/>
    <x v="2"/>
    <s v="EE_Tallinn"/>
    <x v="8"/>
    <n v="71.350180613090302"/>
    <n v="19.819494614747299"/>
  </r>
  <r>
    <x v="0"/>
    <x v="3"/>
    <x v="1"/>
    <x v="2"/>
    <s v="EE_Tallinn"/>
    <x v="9"/>
    <n v="44.803327257663497"/>
    <n v="12.4453686826843"/>
  </r>
  <r>
    <x v="0"/>
    <x v="3"/>
    <x v="1"/>
    <x v="2"/>
    <s v="EE_Tallinn"/>
    <x v="10"/>
    <n v="54.681226180612903"/>
    <n v="15.1892294946147"/>
  </r>
  <r>
    <x v="0"/>
    <x v="3"/>
    <x v="1"/>
    <x v="2"/>
    <s v="EE_Tallinn"/>
    <x v="11"/>
    <n v="3.8806031483015802"/>
    <n v="1.07794531897266"/>
  </r>
  <r>
    <x v="0"/>
    <x v="3"/>
    <x v="1"/>
    <x v="2"/>
    <s v="EE_Tallinn"/>
    <x v="12"/>
    <n v="9.7995028997514597E-2"/>
    <n v="2.72208413881985E-2"/>
  </r>
  <r>
    <x v="0"/>
    <x v="3"/>
    <x v="1"/>
    <x v="2"/>
    <s v="EE_Tallinn"/>
    <x v="13"/>
    <n v="21.5197083678542"/>
    <n v="5.9776967688483804"/>
  </r>
  <r>
    <x v="0"/>
    <x v="3"/>
    <x v="1"/>
    <x v="2"/>
    <s v="EE_Tallinn"/>
    <x v="14"/>
    <n v="21.5197083678542"/>
    <n v="5.9776967688483804"/>
  </r>
  <r>
    <x v="0"/>
    <x v="3"/>
    <x v="1"/>
    <x v="2"/>
    <s v="EE_Tallinn"/>
    <x v="15"/>
    <n v="1.65807589063794"/>
    <n v="0.46057663628831802"/>
  </r>
  <r>
    <x v="0"/>
    <x v="3"/>
    <x v="1"/>
    <x v="2"/>
    <s v="EE_Tallinn"/>
    <x v="16"/>
    <n v="8.3492014028755008"/>
    <n v="2.31922261190986"/>
  </r>
  <r>
    <x v="0"/>
    <x v="3"/>
    <x v="1"/>
    <x v="2"/>
    <s v="EE_Tallinn"/>
    <x v="17"/>
    <n v="9.5251168185584092"/>
    <n v="2.6458657829328902"/>
  </r>
  <r>
    <x v="0"/>
    <x v="3"/>
    <x v="1"/>
    <x v="2"/>
    <s v="EE_Tallinn"/>
    <x v="18"/>
    <n v="21.5197083678542"/>
    <n v="5.9776967688483804"/>
  </r>
  <r>
    <x v="0"/>
    <x v="3"/>
    <x v="1"/>
    <x v="2"/>
    <s v="EE_Tallinn"/>
    <x v="19"/>
    <n v="8.1139884009941898"/>
    <n v="2.2538856669428302"/>
  </r>
  <r>
    <x v="0"/>
    <x v="3"/>
    <x v="1"/>
    <x v="2"/>
    <s v="EE_Tallinn"/>
    <x v="20"/>
    <n v="19.336735244541"/>
    <n v="5.37131534570584"/>
  </r>
  <r>
    <x v="0"/>
    <x v="3"/>
    <x v="1"/>
    <x v="2"/>
    <s v="EE_Tallinn"/>
    <x v="21"/>
    <n v="53.225806451612797"/>
    <n v="14.784946236559099"/>
  </r>
  <r>
    <x v="0"/>
    <x v="3"/>
    <x v="1"/>
    <x v="2"/>
    <s v="EE_Tallinn"/>
    <x v="22"/>
    <n v="130.68"/>
    <n v="36.299999999999997"/>
  </r>
  <r>
    <x v="0"/>
    <x v="3"/>
    <x v="1"/>
    <x v="2"/>
    <s v="EE_Tallinn"/>
    <x v="23"/>
    <n v="0.35278210439105201"/>
    <n v="9.7995028997514499E-2"/>
  </r>
  <r>
    <x v="0"/>
    <x v="3"/>
    <x v="1"/>
    <x v="2"/>
    <s v="EE_Tallinn"/>
    <x v="24"/>
    <n v="20.0161025734538"/>
    <n v="5.5600284926260501"/>
  </r>
  <r>
    <x v="0"/>
    <x v="3"/>
    <x v="1"/>
    <x v="2"/>
    <s v="EE_Tallinn"/>
    <x v="25"/>
    <n v="22.356874337357301"/>
    <n v="6.2102428714881297"/>
  </r>
  <r>
    <x v="0"/>
    <x v="3"/>
    <x v="1"/>
    <x v="2"/>
    <s v="EE_Tallinn"/>
    <x v="26"/>
    <n v="29.6651032387655"/>
    <n v="8.2403064552126306"/>
  </r>
  <r>
    <x v="0"/>
    <x v="3"/>
    <x v="1"/>
    <x v="2"/>
    <s v="EE_Tallinn"/>
    <x v="27"/>
    <n v="21.049332228666099"/>
    <n v="5.8470367301850299"/>
  </r>
  <r>
    <x v="0"/>
    <x v="3"/>
    <x v="1"/>
    <x v="2"/>
    <s v="EE_Tartu"/>
    <x v="1"/>
    <n v="51.241600662800401"/>
    <n v="14.233777961889"/>
  </r>
  <r>
    <x v="0"/>
    <x v="3"/>
    <x v="1"/>
    <x v="2"/>
    <s v="EE_Tartu"/>
    <x v="2"/>
    <n v="57.96"/>
    <n v="16.100000000000001"/>
  </r>
  <r>
    <x v="0"/>
    <x v="3"/>
    <x v="1"/>
    <x v="2"/>
    <s v="EE_Tartu"/>
    <x v="0"/>
    <n v="42.692399999999999"/>
    <n v="11.859"/>
  </r>
  <r>
    <x v="0"/>
    <x v="3"/>
    <x v="1"/>
    <x v="2"/>
    <s v="EE_Tartu"/>
    <x v="3"/>
    <n v="57.7974681027342"/>
    <n v="16.054852250759499"/>
  </r>
  <r>
    <x v="0"/>
    <x v="3"/>
    <x v="1"/>
    <x v="2"/>
    <s v="EE_Tartu"/>
    <x v="4"/>
    <n v="8.1139884009941898"/>
    <n v="2.2538856669428302"/>
  </r>
  <r>
    <x v="0"/>
    <x v="3"/>
    <x v="1"/>
    <x v="2"/>
    <s v="EE_Tartu"/>
    <x v="5"/>
    <n v="8.1139884009941898"/>
    <n v="2.2538856669428302"/>
  </r>
  <r>
    <x v="0"/>
    <x v="3"/>
    <x v="1"/>
    <x v="2"/>
    <s v="EE_Tartu"/>
    <x v="6"/>
    <n v="30.770439105219602"/>
    <n v="8.5473441958943202"/>
  </r>
  <r>
    <x v="0"/>
    <x v="3"/>
    <x v="1"/>
    <x v="2"/>
    <s v="EE_Tartu"/>
    <x v="7"/>
    <n v="71.350180613090302"/>
    <n v="19.819494614747299"/>
  </r>
  <r>
    <x v="0"/>
    <x v="3"/>
    <x v="1"/>
    <x v="2"/>
    <s v="EE_Tartu"/>
    <x v="8"/>
    <n v="71.350180613090302"/>
    <n v="19.819494614747299"/>
  </r>
  <r>
    <x v="0"/>
    <x v="3"/>
    <x v="1"/>
    <x v="2"/>
    <s v="EE_Tartu"/>
    <x v="9"/>
    <n v="44.803327257663497"/>
    <n v="12.4453686826843"/>
  </r>
  <r>
    <x v="0"/>
    <x v="3"/>
    <x v="1"/>
    <x v="2"/>
    <s v="EE_Tartu"/>
    <x v="10"/>
    <n v="54.681226180612903"/>
    <n v="15.1892294946147"/>
  </r>
  <r>
    <x v="0"/>
    <x v="3"/>
    <x v="1"/>
    <x v="2"/>
    <s v="EE_Tartu"/>
    <x v="11"/>
    <n v="3.8806031483015802"/>
    <n v="1.07794531897266"/>
  </r>
  <r>
    <x v="0"/>
    <x v="3"/>
    <x v="1"/>
    <x v="2"/>
    <s v="EE_Tartu"/>
    <x v="12"/>
    <n v="9.7995028997514597E-2"/>
    <n v="2.72208413881985E-2"/>
  </r>
  <r>
    <x v="0"/>
    <x v="3"/>
    <x v="1"/>
    <x v="2"/>
    <s v="EE_Tartu"/>
    <x v="13"/>
    <n v="21.5197083678542"/>
    <n v="5.9776967688483804"/>
  </r>
  <r>
    <x v="0"/>
    <x v="3"/>
    <x v="1"/>
    <x v="2"/>
    <s v="EE_Tartu"/>
    <x v="14"/>
    <n v="21.5197083678542"/>
    <n v="5.9776967688483804"/>
  </r>
  <r>
    <x v="0"/>
    <x v="3"/>
    <x v="1"/>
    <x v="2"/>
    <s v="EE_Tartu"/>
    <x v="15"/>
    <n v="1.65807589063794"/>
    <n v="0.46057663628831802"/>
  </r>
  <r>
    <x v="0"/>
    <x v="3"/>
    <x v="1"/>
    <x v="2"/>
    <s v="EE_Tartu"/>
    <x v="16"/>
    <n v="8.3492014028755008"/>
    <n v="2.31922261190986"/>
  </r>
  <r>
    <x v="0"/>
    <x v="3"/>
    <x v="1"/>
    <x v="2"/>
    <s v="EE_Tartu"/>
    <x v="17"/>
    <n v="9.5251168185584092"/>
    <n v="2.6458657829328902"/>
  </r>
  <r>
    <x v="0"/>
    <x v="3"/>
    <x v="1"/>
    <x v="2"/>
    <s v="EE_Tartu"/>
    <x v="18"/>
    <n v="21.5197083678542"/>
    <n v="5.9776967688483804"/>
  </r>
  <r>
    <x v="0"/>
    <x v="3"/>
    <x v="1"/>
    <x v="2"/>
    <s v="EE_Tartu"/>
    <x v="19"/>
    <n v="8.1139884009941898"/>
    <n v="2.2538856669428302"/>
  </r>
  <r>
    <x v="0"/>
    <x v="3"/>
    <x v="1"/>
    <x v="2"/>
    <s v="EE_Tartu"/>
    <x v="20"/>
    <n v="19.336735244541"/>
    <n v="5.37131534570584"/>
  </r>
  <r>
    <x v="0"/>
    <x v="3"/>
    <x v="1"/>
    <x v="2"/>
    <s v="EE_Tartu"/>
    <x v="21"/>
    <n v="53.225806451612797"/>
    <n v="14.784946236559099"/>
  </r>
  <r>
    <x v="0"/>
    <x v="3"/>
    <x v="1"/>
    <x v="2"/>
    <s v="EE_Tartu"/>
    <x v="22"/>
    <n v="130.68"/>
    <n v="36.299999999999997"/>
  </r>
  <r>
    <x v="0"/>
    <x v="3"/>
    <x v="1"/>
    <x v="2"/>
    <s v="EE_Tartu"/>
    <x v="23"/>
    <n v="0.35278210439105201"/>
    <n v="9.7995028997514499E-2"/>
  </r>
  <r>
    <x v="0"/>
    <x v="3"/>
    <x v="1"/>
    <x v="2"/>
    <s v="EE_Tartu"/>
    <x v="24"/>
    <n v="20.0161025734538"/>
    <n v="5.5600284926260501"/>
  </r>
  <r>
    <x v="0"/>
    <x v="3"/>
    <x v="1"/>
    <x v="2"/>
    <s v="EE_Tartu"/>
    <x v="25"/>
    <n v="22.356874337357301"/>
    <n v="6.2102428714881297"/>
  </r>
  <r>
    <x v="0"/>
    <x v="3"/>
    <x v="1"/>
    <x v="2"/>
    <s v="EE_Tartu"/>
    <x v="26"/>
    <n v="29.6651032387655"/>
    <n v="8.2403064552126306"/>
  </r>
  <r>
    <x v="0"/>
    <x v="3"/>
    <x v="1"/>
    <x v="2"/>
    <s v="EE_Tartu"/>
    <x v="27"/>
    <n v="21.049332228666099"/>
    <n v="5.8470367301850299"/>
  </r>
  <r>
    <x v="0"/>
    <x v="3"/>
    <x v="1"/>
    <x v="2"/>
    <s v="EE_Urban"/>
    <x v="1"/>
    <n v="51.241600662800401"/>
    <n v="14.233777961889"/>
  </r>
  <r>
    <x v="0"/>
    <x v="3"/>
    <x v="1"/>
    <x v="2"/>
    <s v="EE_Urban"/>
    <x v="2"/>
    <n v="57.96"/>
    <n v="16.100000000000001"/>
  </r>
  <r>
    <x v="0"/>
    <x v="3"/>
    <x v="1"/>
    <x v="2"/>
    <s v="EE_Urban"/>
    <x v="0"/>
    <n v="42.692399999999999"/>
    <n v="11.859"/>
  </r>
  <r>
    <x v="0"/>
    <x v="3"/>
    <x v="1"/>
    <x v="2"/>
    <s v="EE_Urban"/>
    <x v="3"/>
    <n v="57.7974681027342"/>
    <n v="16.054852250759499"/>
  </r>
  <r>
    <x v="0"/>
    <x v="3"/>
    <x v="1"/>
    <x v="2"/>
    <s v="EE_Urban"/>
    <x v="4"/>
    <n v="8.1139884009941898"/>
    <n v="2.2538856669428302"/>
  </r>
  <r>
    <x v="0"/>
    <x v="3"/>
    <x v="1"/>
    <x v="2"/>
    <s v="EE_Urban"/>
    <x v="5"/>
    <n v="8.1139884009941898"/>
    <n v="2.2538856669428302"/>
  </r>
  <r>
    <x v="0"/>
    <x v="3"/>
    <x v="1"/>
    <x v="2"/>
    <s v="EE_Urban"/>
    <x v="6"/>
    <n v="30.770439105219602"/>
    <n v="8.5473441958943202"/>
  </r>
  <r>
    <x v="0"/>
    <x v="3"/>
    <x v="1"/>
    <x v="2"/>
    <s v="EE_Urban"/>
    <x v="7"/>
    <n v="71.350180613090302"/>
    <n v="19.819494614747299"/>
  </r>
  <r>
    <x v="0"/>
    <x v="3"/>
    <x v="1"/>
    <x v="2"/>
    <s v="EE_Urban"/>
    <x v="8"/>
    <n v="71.350180613090302"/>
    <n v="19.819494614747299"/>
  </r>
  <r>
    <x v="0"/>
    <x v="3"/>
    <x v="1"/>
    <x v="2"/>
    <s v="EE_Urban"/>
    <x v="9"/>
    <n v="44.803327257663497"/>
    <n v="12.4453686826843"/>
  </r>
  <r>
    <x v="0"/>
    <x v="3"/>
    <x v="1"/>
    <x v="2"/>
    <s v="EE_Urban"/>
    <x v="10"/>
    <n v="54.681226180612903"/>
    <n v="15.1892294946147"/>
  </r>
  <r>
    <x v="0"/>
    <x v="3"/>
    <x v="1"/>
    <x v="2"/>
    <s v="EE_Urban"/>
    <x v="11"/>
    <n v="3.8806031483015802"/>
    <n v="1.07794531897266"/>
  </r>
  <r>
    <x v="0"/>
    <x v="3"/>
    <x v="1"/>
    <x v="2"/>
    <s v="EE_Urban"/>
    <x v="12"/>
    <n v="9.7995028997514597E-2"/>
    <n v="2.72208413881985E-2"/>
  </r>
  <r>
    <x v="0"/>
    <x v="3"/>
    <x v="1"/>
    <x v="2"/>
    <s v="EE_Urban"/>
    <x v="13"/>
    <n v="21.5197083678542"/>
    <n v="5.9776967688483804"/>
  </r>
  <r>
    <x v="0"/>
    <x v="3"/>
    <x v="1"/>
    <x v="2"/>
    <s v="EE_Urban"/>
    <x v="14"/>
    <n v="21.5197083678542"/>
    <n v="5.9776967688483804"/>
  </r>
  <r>
    <x v="0"/>
    <x v="3"/>
    <x v="1"/>
    <x v="2"/>
    <s v="EE_Urban"/>
    <x v="15"/>
    <n v="1.65807589063794"/>
    <n v="0.46057663628831802"/>
  </r>
  <r>
    <x v="0"/>
    <x v="3"/>
    <x v="1"/>
    <x v="2"/>
    <s v="EE_Urban"/>
    <x v="16"/>
    <n v="8.3492014028755008"/>
    <n v="2.31922261190986"/>
  </r>
  <r>
    <x v="0"/>
    <x v="3"/>
    <x v="1"/>
    <x v="2"/>
    <s v="EE_Urban"/>
    <x v="17"/>
    <n v="9.5251168185584092"/>
    <n v="2.6458657829328902"/>
  </r>
  <r>
    <x v="0"/>
    <x v="3"/>
    <x v="1"/>
    <x v="2"/>
    <s v="EE_Urban"/>
    <x v="18"/>
    <n v="21.5197083678542"/>
    <n v="5.9776967688483804"/>
  </r>
  <r>
    <x v="0"/>
    <x v="3"/>
    <x v="1"/>
    <x v="2"/>
    <s v="EE_Urban"/>
    <x v="19"/>
    <n v="8.1139884009941898"/>
    <n v="2.2538856669428302"/>
  </r>
  <r>
    <x v="0"/>
    <x v="3"/>
    <x v="1"/>
    <x v="2"/>
    <s v="EE_Urban"/>
    <x v="20"/>
    <n v="19.336735244541"/>
    <n v="5.37131534570584"/>
  </r>
  <r>
    <x v="0"/>
    <x v="3"/>
    <x v="1"/>
    <x v="2"/>
    <s v="EE_Urban"/>
    <x v="21"/>
    <n v="53.225806451612797"/>
    <n v="14.784946236559099"/>
  </r>
  <r>
    <x v="0"/>
    <x v="3"/>
    <x v="1"/>
    <x v="2"/>
    <s v="EE_Urban"/>
    <x v="22"/>
    <n v="130.68"/>
    <n v="36.299999999999997"/>
  </r>
  <r>
    <x v="0"/>
    <x v="3"/>
    <x v="1"/>
    <x v="2"/>
    <s v="EE_Urban"/>
    <x v="23"/>
    <n v="0.35278210439105201"/>
    <n v="9.7995028997514499E-2"/>
  </r>
  <r>
    <x v="0"/>
    <x v="3"/>
    <x v="1"/>
    <x v="2"/>
    <s v="EE_Urban"/>
    <x v="24"/>
    <n v="20.0161025734538"/>
    <n v="5.5600284926260501"/>
  </r>
  <r>
    <x v="0"/>
    <x v="3"/>
    <x v="1"/>
    <x v="2"/>
    <s v="EE_Urban"/>
    <x v="25"/>
    <n v="22.356874337357301"/>
    <n v="6.2102428714881297"/>
  </r>
  <r>
    <x v="0"/>
    <x v="3"/>
    <x v="1"/>
    <x v="2"/>
    <s v="EE_Urban"/>
    <x v="26"/>
    <n v="29.6651032387655"/>
    <n v="8.2403064552126306"/>
  </r>
  <r>
    <x v="0"/>
    <x v="3"/>
    <x v="1"/>
    <x v="2"/>
    <s v="EE_Urban"/>
    <x v="27"/>
    <n v="21.049332228666099"/>
    <n v="5.8470367301850299"/>
  </r>
  <r>
    <x v="0"/>
    <x v="3"/>
    <x v="2"/>
    <x v="3"/>
    <s v="FI_IND"/>
    <x v="1"/>
    <n v="51.241600662800401"/>
    <n v="14.233777961889"/>
  </r>
  <r>
    <x v="0"/>
    <x v="3"/>
    <x v="2"/>
    <x v="3"/>
    <s v="FI_IND"/>
    <x v="2"/>
    <n v="57.96"/>
    <n v="16.100000000000001"/>
  </r>
  <r>
    <x v="0"/>
    <x v="3"/>
    <x v="2"/>
    <x v="3"/>
    <s v="FI_IND"/>
    <x v="0"/>
    <n v="42.692399999999999"/>
    <n v="11.859"/>
  </r>
  <r>
    <x v="0"/>
    <x v="3"/>
    <x v="2"/>
    <x v="3"/>
    <s v="FI_IND"/>
    <x v="3"/>
    <n v="57.7974681027342"/>
    <n v="16.054852250759499"/>
  </r>
  <r>
    <x v="0"/>
    <x v="3"/>
    <x v="2"/>
    <x v="3"/>
    <s v="FI_IND"/>
    <x v="4"/>
    <n v="8.1139884009941898"/>
    <n v="2.2538856669428302"/>
  </r>
  <r>
    <x v="0"/>
    <x v="3"/>
    <x v="2"/>
    <x v="3"/>
    <s v="FI_IND"/>
    <x v="5"/>
    <n v="8.1139884009941898"/>
    <n v="2.2538856669428302"/>
  </r>
  <r>
    <x v="0"/>
    <x v="3"/>
    <x v="2"/>
    <x v="3"/>
    <s v="FI_IND"/>
    <x v="6"/>
    <n v="30.770439105219602"/>
    <n v="8.5473441958943202"/>
  </r>
  <r>
    <x v="0"/>
    <x v="3"/>
    <x v="2"/>
    <x v="3"/>
    <s v="FI_IND"/>
    <x v="7"/>
    <n v="71.350180613090302"/>
    <n v="19.819494614747299"/>
  </r>
  <r>
    <x v="0"/>
    <x v="3"/>
    <x v="2"/>
    <x v="3"/>
    <s v="FI_IND"/>
    <x v="8"/>
    <n v="71.350180613090302"/>
    <n v="19.819494614747299"/>
  </r>
  <r>
    <x v="0"/>
    <x v="3"/>
    <x v="2"/>
    <x v="3"/>
    <s v="FI_IND"/>
    <x v="9"/>
    <n v="44.803327257663497"/>
    <n v="12.4453686826843"/>
  </r>
  <r>
    <x v="0"/>
    <x v="3"/>
    <x v="2"/>
    <x v="3"/>
    <s v="FI_IND"/>
    <x v="10"/>
    <n v="54.681226180612903"/>
    <n v="15.1892294946147"/>
  </r>
  <r>
    <x v="0"/>
    <x v="3"/>
    <x v="2"/>
    <x v="3"/>
    <s v="FI_IND"/>
    <x v="11"/>
    <n v="3.8806031483015802"/>
    <n v="1.07794531897266"/>
  </r>
  <r>
    <x v="0"/>
    <x v="3"/>
    <x v="2"/>
    <x v="3"/>
    <s v="FI_IND"/>
    <x v="12"/>
    <n v="9.7995028997514597E-2"/>
    <n v="2.72208413881985E-2"/>
  </r>
  <r>
    <x v="0"/>
    <x v="3"/>
    <x v="2"/>
    <x v="3"/>
    <s v="FI_IND"/>
    <x v="13"/>
    <n v="21.5197083678542"/>
    <n v="5.9776967688483804"/>
  </r>
  <r>
    <x v="0"/>
    <x v="3"/>
    <x v="2"/>
    <x v="3"/>
    <s v="FI_IND"/>
    <x v="14"/>
    <n v="21.5197083678542"/>
    <n v="5.9776967688483804"/>
  </r>
  <r>
    <x v="0"/>
    <x v="3"/>
    <x v="2"/>
    <x v="3"/>
    <s v="FI_IND"/>
    <x v="15"/>
    <n v="1.65807589063794"/>
    <n v="0.46057663628831802"/>
  </r>
  <r>
    <x v="0"/>
    <x v="3"/>
    <x v="2"/>
    <x v="3"/>
    <s v="FI_IND"/>
    <x v="16"/>
    <n v="8.3492014028755008"/>
    <n v="2.31922261190986"/>
  </r>
  <r>
    <x v="0"/>
    <x v="3"/>
    <x v="2"/>
    <x v="3"/>
    <s v="FI_IND"/>
    <x v="17"/>
    <n v="9.5251168185584092"/>
    <n v="2.6458657829328902"/>
  </r>
  <r>
    <x v="0"/>
    <x v="3"/>
    <x v="2"/>
    <x v="3"/>
    <s v="FI_IND"/>
    <x v="18"/>
    <n v="21.5197083678542"/>
    <n v="5.9776967688483804"/>
  </r>
  <r>
    <x v="0"/>
    <x v="3"/>
    <x v="2"/>
    <x v="3"/>
    <s v="FI_IND"/>
    <x v="19"/>
    <n v="8.1139884009941898"/>
    <n v="2.2538856669428302"/>
  </r>
  <r>
    <x v="0"/>
    <x v="3"/>
    <x v="2"/>
    <x v="3"/>
    <s v="FI_IND"/>
    <x v="20"/>
    <n v="19.336735244541"/>
    <n v="5.37131534570584"/>
  </r>
  <r>
    <x v="0"/>
    <x v="3"/>
    <x v="2"/>
    <x v="3"/>
    <s v="FI_IND"/>
    <x v="21"/>
    <n v="53.225806451612797"/>
    <n v="14.784946236559099"/>
  </r>
  <r>
    <x v="0"/>
    <x v="3"/>
    <x v="2"/>
    <x v="3"/>
    <s v="FI_IND"/>
    <x v="22"/>
    <n v="130.68"/>
    <n v="36.299999999999997"/>
  </r>
  <r>
    <x v="0"/>
    <x v="3"/>
    <x v="2"/>
    <x v="3"/>
    <s v="FI_IND"/>
    <x v="23"/>
    <n v="0.35278210439105201"/>
    <n v="9.7995028997514499E-2"/>
  </r>
  <r>
    <x v="0"/>
    <x v="3"/>
    <x v="2"/>
    <x v="3"/>
    <s v="FI_IND"/>
    <x v="24"/>
    <n v="20.0161025734538"/>
    <n v="5.5600284926260501"/>
  </r>
  <r>
    <x v="0"/>
    <x v="3"/>
    <x v="2"/>
    <x v="3"/>
    <s v="FI_IND"/>
    <x v="25"/>
    <n v="22.356874337357301"/>
    <n v="6.2102428714881297"/>
  </r>
  <r>
    <x v="0"/>
    <x v="3"/>
    <x v="2"/>
    <x v="3"/>
    <s v="FI_IND"/>
    <x v="26"/>
    <n v="29.6651032387655"/>
    <n v="8.2403064552126306"/>
  </r>
  <r>
    <x v="0"/>
    <x v="3"/>
    <x v="2"/>
    <x v="3"/>
    <s v="FI_IND"/>
    <x v="27"/>
    <n v="21.049332228666099"/>
    <n v="5.8470367301850299"/>
  </r>
  <r>
    <x v="0"/>
    <x v="3"/>
    <x v="2"/>
    <x v="3"/>
    <s v="FI_Offshore"/>
    <x v="1"/>
    <n v="51.241600662800401"/>
    <n v="14.233777961889"/>
  </r>
  <r>
    <x v="0"/>
    <x v="3"/>
    <x v="2"/>
    <x v="3"/>
    <s v="FI_Offshore"/>
    <x v="2"/>
    <n v="57.96"/>
    <n v="16.100000000000001"/>
  </r>
  <r>
    <x v="0"/>
    <x v="3"/>
    <x v="2"/>
    <x v="3"/>
    <s v="FI_Offshore"/>
    <x v="0"/>
    <n v="42.692399999999999"/>
    <n v="11.859"/>
  </r>
  <r>
    <x v="0"/>
    <x v="3"/>
    <x v="2"/>
    <x v="3"/>
    <s v="FI_Offshore"/>
    <x v="3"/>
    <n v="57.7974681027342"/>
    <n v="16.054852250759499"/>
  </r>
  <r>
    <x v="0"/>
    <x v="3"/>
    <x v="2"/>
    <x v="3"/>
    <s v="FI_Offshore"/>
    <x v="4"/>
    <n v="8.1139884009941898"/>
    <n v="2.2538856669428302"/>
  </r>
  <r>
    <x v="0"/>
    <x v="3"/>
    <x v="2"/>
    <x v="3"/>
    <s v="FI_Offshore"/>
    <x v="5"/>
    <n v="8.1139884009941898"/>
    <n v="2.2538856669428302"/>
  </r>
  <r>
    <x v="0"/>
    <x v="3"/>
    <x v="2"/>
    <x v="3"/>
    <s v="FI_Offshore"/>
    <x v="6"/>
    <n v="30.770439105219602"/>
    <n v="8.5473441958943202"/>
  </r>
  <r>
    <x v="0"/>
    <x v="3"/>
    <x v="2"/>
    <x v="3"/>
    <s v="FI_Offshore"/>
    <x v="7"/>
    <n v="71.350180613090302"/>
    <n v="19.819494614747299"/>
  </r>
  <r>
    <x v="0"/>
    <x v="3"/>
    <x v="2"/>
    <x v="3"/>
    <s v="FI_Offshore"/>
    <x v="8"/>
    <n v="71.350180613090302"/>
    <n v="19.819494614747299"/>
  </r>
  <r>
    <x v="0"/>
    <x v="3"/>
    <x v="2"/>
    <x v="3"/>
    <s v="FI_Offshore"/>
    <x v="9"/>
    <n v="44.803327257663497"/>
    <n v="12.4453686826843"/>
  </r>
  <r>
    <x v="0"/>
    <x v="3"/>
    <x v="2"/>
    <x v="3"/>
    <s v="FI_Offshore"/>
    <x v="10"/>
    <n v="54.681226180612903"/>
    <n v="15.1892294946147"/>
  </r>
  <r>
    <x v="0"/>
    <x v="3"/>
    <x v="2"/>
    <x v="3"/>
    <s v="FI_Offshore"/>
    <x v="11"/>
    <n v="3.8806031483015802"/>
    <n v="1.07794531897266"/>
  </r>
  <r>
    <x v="0"/>
    <x v="3"/>
    <x v="2"/>
    <x v="3"/>
    <s v="FI_Offshore"/>
    <x v="12"/>
    <n v="9.7995028997514597E-2"/>
    <n v="2.72208413881985E-2"/>
  </r>
  <r>
    <x v="0"/>
    <x v="3"/>
    <x v="2"/>
    <x v="3"/>
    <s v="FI_Offshore"/>
    <x v="13"/>
    <n v="21.5197083678542"/>
    <n v="5.9776967688483804"/>
  </r>
  <r>
    <x v="0"/>
    <x v="3"/>
    <x v="2"/>
    <x v="3"/>
    <s v="FI_Offshore"/>
    <x v="14"/>
    <n v="21.5197083678542"/>
    <n v="5.9776967688483804"/>
  </r>
  <r>
    <x v="0"/>
    <x v="3"/>
    <x v="2"/>
    <x v="3"/>
    <s v="FI_Offshore"/>
    <x v="15"/>
    <n v="1.65807589063794"/>
    <n v="0.46057663628831802"/>
  </r>
  <r>
    <x v="0"/>
    <x v="3"/>
    <x v="2"/>
    <x v="3"/>
    <s v="FI_Offshore"/>
    <x v="16"/>
    <n v="8.3492014028755008"/>
    <n v="2.31922261190986"/>
  </r>
  <r>
    <x v="0"/>
    <x v="3"/>
    <x v="2"/>
    <x v="3"/>
    <s v="FI_Offshore"/>
    <x v="17"/>
    <n v="9.5251168185584092"/>
    <n v="2.6458657829328902"/>
  </r>
  <r>
    <x v="0"/>
    <x v="3"/>
    <x v="2"/>
    <x v="3"/>
    <s v="FI_Offshore"/>
    <x v="18"/>
    <n v="21.5197083678542"/>
    <n v="5.9776967688483804"/>
  </r>
  <r>
    <x v="0"/>
    <x v="3"/>
    <x v="2"/>
    <x v="3"/>
    <s v="FI_Offshore"/>
    <x v="19"/>
    <n v="8.1139884009941898"/>
    <n v="2.2538856669428302"/>
  </r>
  <r>
    <x v="0"/>
    <x v="3"/>
    <x v="2"/>
    <x v="3"/>
    <s v="FI_Offshore"/>
    <x v="20"/>
    <n v="19.336735244541"/>
    <n v="5.37131534570584"/>
  </r>
  <r>
    <x v="0"/>
    <x v="3"/>
    <x v="2"/>
    <x v="3"/>
    <s v="FI_Offshore"/>
    <x v="21"/>
    <n v="53.225806451612797"/>
    <n v="14.784946236559099"/>
  </r>
  <r>
    <x v="0"/>
    <x v="3"/>
    <x v="2"/>
    <x v="3"/>
    <s v="FI_Offshore"/>
    <x v="22"/>
    <n v="130.68"/>
    <n v="36.299999999999997"/>
  </r>
  <r>
    <x v="0"/>
    <x v="3"/>
    <x v="2"/>
    <x v="3"/>
    <s v="FI_Offshore"/>
    <x v="23"/>
    <n v="0.35278210439105201"/>
    <n v="9.7995028997514499E-2"/>
  </r>
  <r>
    <x v="0"/>
    <x v="3"/>
    <x v="2"/>
    <x v="3"/>
    <s v="FI_Offshore"/>
    <x v="24"/>
    <n v="20.0161025734538"/>
    <n v="5.5600284926260501"/>
  </r>
  <r>
    <x v="0"/>
    <x v="3"/>
    <x v="2"/>
    <x v="3"/>
    <s v="FI_Offshore"/>
    <x v="25"/>
    <n v="22.356874337357301"/>
    <n v="6.2102428714881297"/>
  </r>
  <r>
    <x v="0"/>
    <x v="3"/>
    <x v="2"/>
    <x v="3"/>
    <s v="FI_Offshore"/>
    <x v="26"/>
    <n v="29.6651032387655"/>
    <n v="8.2403064552126306"/>
  </r>
  <r>
    <x v="0"/>
    <x v="3"/>
    <x v="2"/>
    <x v="3"/>
    <s v="FI_Offshore"/>
    <x v="27"/>
    <n v="21.049332228666099"/>
    <n v="5.8470367301850299"/>
  </r>
  <r>
    <x v="0"/>
    <x v="3"/>
    <x v="2"/>
    <x v="3"/>
    <s v="FI_large"/>
    <x v="1"/>
    <n v="51.241600662800401"/>
    <n v="14.233777961889"/>
  </r>
  <r>
    <x v="0"/>
    <x v="3"/>
    <x v="2"/>
    <x v="3"/>
    <s v="FI_large"/>
    <x v="2"/>
    <n v="57.96"/>
    <n v="16.100000000000001"/>
  </r>
  <r>
    <x v="0"/>
    <x v="3"/>
    <x v="2"/>
    <x v="3"/>
    <s v="FI_large"/>
    <x v="0"/>
    <n v="42.692399999999999"/>
    <n v="11.859"/>
  </r>
  <r>
    <x v="0"/>
    <x v="3"/>
    <x v="2"/>
    <x v="3"/>
    <s v="FI_large"/>
    <x v="3"/>
    <n v="57.7974681027342"/>
    <n v="16.054852250759499"/>
  </r>
  <r>
    <x v="0"/>
    <x v="3"/>
    <x v="2"/>
    <x v="3"/>
    <s v="FI_large"/>
    <x v="4"/>
    <n v="8.1139884009941898"/>
    <n v="2.2538856669428302"/>
  </r>
  <r>
    <x v="0"/>
    <x v="3"/>
    <x v="2"/>
    <x v="3"/>
    <s v="FI_large"/>
    <x v="5"/>
    <n v="8.1139884009941898"/>
    <n v="2.2538856669428302"/>
  </r>
  <r>
    <x v="0"/>
    <x v="3"/>
    <x v="2"/>
    <x v="3"/>
    <s v="FI_large"/>
    <x v="6"/>
    <n v="30.770439105219602"/>
    <n v="8.5473441958943202"/>
  </r>
  <r>
    <x v="0"/>
    <x v="3"/>
    <x v="2"/>
    <x v="3"/>
    <s v="FI_large"/>
    <x v="7"/>
    <n v="71.350180613090302"/>
    <n v="19.819494614747299"/>
  </r>
  <r>
    <x v="0"/>
    <x v="3"/>
    <x v="2"/>
    <x v="3"/>
    <s v="FI_large"/>
    <x v="8"/>
    <n v="71.350180613090302"/>
    <n v="19.819494614747299"/>
  </r>
  <r>
    <x v="0"/>
    <x v="3"/>
    <x v="2"/>
    <x v="3"/>
    <s v="FI_large"/>
    <x v="9"/>
    <n v="44.803327257663497"/>
    <n v="12.4453686826843"/>
  </r>
  <r>
    <x v="0"/>
    <x v="3"/>
    <x v="2"/>
    <x v="3"/>
    <s v="FI_large"/>
    <x v="10"/>
    <n v="54.681226180612903"/>
    <n v="15.1892294946147"/>
  </r>
  <r>
    <x v="0"/>
    <x v="3"/>
    <x v="2"/>
    <x v="3"/>
    <s v="FI_large"/>
    <x v="11"/>
    <n v="3.8806031483015802"/>
    <n v="1.07794531897266"/>
  </r>
  <r>
    <x v="0"/>
    <x v="3"/>
    <x v="2"/>
    <x v="3"/>
    <s v="FI_large"/>
    <x v="12"/>
    <n v="9.7995028997514597E-2"/>
    <n v="2.72208413881985E-2"/>
  </r>
  <r>
    <x v="0"/>
    <x v="3"/>
    <x v="2"/>
    <x v="3"/>
    <s v="FI_large"/>
    <x v="13"/>
    <n v="21.5197083678542"/>
    <n v="5.9776967688483804"/>
  </r>
  <r>
    <x v="0"/>
    <x v="3"/>
    <x v="2"/>
    <x v="3"/>
    <s v="FI_large"/>
    <x v="14"/>
    <n v="21.5197083678542"/>
    <n v="5.9776967688483804"/>
  </r>
  <r>
    <x v="0"/>
    <x v="3"/>
    <x v="2"/>
    <x v="3"/>
    <s v="FI_large"/>
    <x v="15"/>
    <n v="1.65807589063794"/>
    <n v="0.46057663628831802"/>
  </r>
  <r>
    <x v="0"/>
    <x v="3"/>
    <x v="2"/>
    <x v="3"/>
    <s v="FI_large"/>
    <x v="16"/>
    <n v="8.3492014028755008"/>
    <n v="2.31922261190986"/>
  </r>
  <r>
    <x v="0"/>
    <x v="3"/>
    <x v="2"/>
    <x v="3"/>
    <s v="FI_large"/>
    <x v="17"/>
    <n v="9.5251168185584092"/>
    <n v="2.6458657829328902"/>
  </r>
  <r>
    <x v="0"/>
    <x v="3"/>
    <x v="2"/>
    <x v="3"/>
    <s v="FI_large"/>
    <x v="18"/>
    <n v="21.5197083678542"/>
    <n v="5.9776967688483804"/>
  </r>
  <r>
    <x v="0"/>
    <x v="3"/>
    <x v="2"/>
    <x v="3"/>
    <s v="FI_large"/>
    <x v="19"/>
    <n v="8.1139884009941898"/>
    <n v="2.2538856669428302"/>
  </r>
  <r>
    <x v="0"/>
    <x v="3"/>
    <x v="2"/>
    <x v="3"/>
    <s v="FI_large"/>
    <x v="20"/>
    <n v="19.336735244541"/>
    <n v="5.37131534570584"/>
  </r>
  <r>
    <x v="0"/>
    <x v="3"/>
    <x v="2"/>
    <x v="3"/>
    <s v="FI_large"/>
    <x v="21"/>
    <n v="53.225806451612797"/>
    <n v="14.784946236559099"/>
  </r>
  <r>
    <x v="0"/>
    <x v="3"/>
    <x v="2"/>
    <x v="3"/>
    <s v="FI_large"/>
    <x v="22"/>
    <n v="130.68"/>
    <n v="36.299999999999997"/>
  </r>
  <r>
    <x v="0"/>
    <x v="3"/>
    <x v="2"/>
    <x v="3"/>
    <s v="FI_large"/>
    <x v="23"/>
    <n v="0.35278210439105201"/>
    <n v="9.7995028997514499E-2"/>
  </r>
  <r>
    <x v="0"/>
    <x v="3"/>
    <x v="2"/>
    <x v="3"/>
    <s v="FI_large"/>
    <x v="24"/>
    <n v="20.0161025734538"/>
    <n v="5.5600284926260501"/>
  </r>
  <r>
    <x v="0"/>
    <x v="3"/>
    <x v="2"/>
    <x v="3"/>
    <s v="FI_large"/>
    <x v="25"/>
    <n v="22.356874337357301"/>
    <n v="6.2102428714881297"/>
  </r>
  <r>
    <x v="0"/>
    <x v="3"/>
    <x v="2"/>
    <x v="3"/>
    <s v="FI_large"/>
    <x v="26"/>
    <n v="29.6651032387655"/>
    <n v="8.2403064552126306"/>
  </r>
  <r>
    <x v="0"/>
    <x v="3"/>
    <x v="2"/>
    <x v="3"/>
    <s v="FI_large"/>
    <x v="27"/>
    <n v="21.049332228666099"/>
    <n v="5.8470367301850299"/>
  </r>
  <r>
    <x v="0"/>
    <x v="3"/>
    <x v="2"/>
    <x v="3"/>
    <s v="FI_large_gas"/>
    <x v="1"/>
    <n v="51.241600662800401"/>
    <n v="14.233777961889"/>
  </r>
  <r>
    <x v="0"/>
    <x v="3"/>
    <x v="2"/>
    <x v="3"/>
    <s v="FI_large_gas"/>
    <x v="2"/>
    <n v="57.96"/>
    <n v="16.100000000000001"/>
  </r>
  <r>
    <x v="0"/>
    <x v="3"/>
    <x v="2"/>
    <x v="3"/>
    <s v="FI_large_gas"/>
    <x v="0"/>
    <n v="42.692399999999999"/>
    <n v="11.859"/>
  </r>
  <r>
    <x v="0"/>
    <x v="3"/>
    <x v="2"/>
    <x v="3"/>
    <s v="FI_large_gas"/>
    <x v="3"/>
    <n v="57.7974681027342"/>
    <n v="16.054852250759499"/>
  </r>
  <r>
    <x v="0"/>
    <x v="3"/>
    <x v="2"/>
    <x v="3"/>
    <s v="FI_large_gas"/>
    <x v="4"/>
    <n v="8.1139884009941898"/>
    <n v="2.2538856669428302"/>
  </r>
  <r>
    <x v="0"/>
    <x v="3"/>
    <x v="2"/>
    <x v="3"/>
    <s v="FI_large_gas"/>
    <x v="5"/>
    <n v="8.1139884009941898"/>
    <n v="2.2538856669428302"/>
  </r>
  <r>
    <x v="0"/>
    <x v="3"/>
    <x v="2"/>
    <x v="3"/>
    <s v="FI_large_gas"/>
    <x v="6"/>
    <n v="30.770439105219602"/>
    <n v="8.5473441958943202"/>
  </r>
  <r>
    <x v="0"/>
    <x v="3"/>
    <x v="2"/>
    <x v="3"/>
    <s v="FI_large_gas"/>
    <x v="7"/>
    <n v="71.350180613090302"/>
    <n v="19.819494614747299"/>
  </r>
  <r>
    <x v="0"/>
    <x v="3"/>
    <x v="2"/>
    <x v="3"/>
    <s v="FI_large_gas"/>
    <x v="8"/>
    <n v="71.350180613090302"/>
    <n v="19.819494614747299"/>
  </r>
  <r>
    <x v="0"/>
    <x v="3"/>
    <x v="2"/>
    <x v="3"/>
    <s v="FI_large_gas"/>
    <x v="9"/>
    <n v="44.803327257663497"/>
    <n v="12.4453686826843"/>
  </r>
  <r>
    <x v="0"/>
    <x v="3"/>
    <x v="2"/>
    <x v="3"/>
    <s v="FI_large_gas"/>
    <x v="10"/>
    <n v="54.681226180612903"/>
    <n v="15.1892294946147"/>
  </r>
  <r>
    <x v="0"/>
    <x v="3"/>
    <x v="2"/>
    <x v="3"/>
    <s v="FI_large_gas"/>
    <x v="11"/>
    <n v="3.8806031483015802"/>
    <n v="1.07794531897266"/>
  </r>
  <r>
    <x v="0"/>
    <x v="3"/>
    <x v="2"/>
    <x v="3"/>
    <s v="FI_large_gas"/>
    <x v="12"/>
    <n v="9.7995028997514597E-2"/>
    <n v="2.72208413881985E-2"/>
  </r>
  <r>
    <x v="0"/>
    <x v="3"/>
    <x v="2"/>
    <x v="3"/>
    <s v="FI_large_gas"/>
    <x v="13"/>
    <n v="21.5197083678542"/>
    <n v="5.9776967688483804"/>
  </r>
  <r>
    <x v="0"/>
    <x v="3"/>
    <x v="2"/>
    <x v="3"/>
    <s v="FI_large_gas"/>
    <x v="14"/>
    <n v="21.5197083678542"/>
    <n v="5.9776967688483804"/>
  </r>
  <r>
    <x v="0"/>
    <x v="3"/>
    <x v="2"/>
    <x v="3"/>
    <s v="FI_large_gas"/>
    <x v="15"/>
    <n v="1.65807589063794"/>
    <n v="0.46057663628831802"/>
  </r>
  <r>
    <x v="0"/>
    <x v="3"/>
    <x v="2"/>
    <x v="3"/>
    <s v="FI_large_gas"/>
    <x v="16"/>
    <n v="8.3492014028755008"/>
    <n v="2.31922261190986"/>
  </r>
  <r>
    <x v="0"/>
    <x v="3"/>
    <x v="2"/>
    <x v="3"/>
    <s v="FI_large_gas"/>
    <x v="17"/>
    <n v="9.5251168185584092"/>
    <n v="2.6458657829328902"/>
  </r>
  <r>
    <x v="0"/>
    <x v="3"/>
    <x v="2"/>
    <x v="3"/>
    <s v="FI_large_gas"/>
    <x v="18"/>
    <n v="21.5197083678542"/>
    <n v="5.9776967688483804"/>
  </r>
  <r>
    <x v="0"/>
    <x v="3"/>
    <x v="2"/>
    <x v="3"/>
    <s v="FI_large_gas"/>
    <x v="19"/>
    <n v="8.1139884009941898"/>
    <n v="2.2538856669428302"/>
  </r>
  <r>
    <x v="0"/>
    <x v="3"/>
    <x v="2"/>
    <x v="3"/>
    <s v="FI_large_gas"/>
    <x v="20"/>
    <n v="19.336735244541"/>
    <n v="5.37131534570584"/>
  </r>
  <r>
    <x v="0"/>
    <x v="3"/>
    <x v="2"/>
    <x v="3"/>
    <s v="FI_large_gas"/>
    <x v="21"/>
    <n v="53.225806451612797"/>
    <n v="14.784946236559099"/>
  </r>
  <r>
    <x v="0"/>
    <x v="3"/>
    <x v="2"/>
    <x v="3"/>
    <s v="FI_large_gas"/>
    <x v="22"/>
    <n v="130.68"/>
    <n v="36.299999999999997"/>
  </r>
  <r>
    <x v="0"/>
    <x v="3"/>
    <x v="2"/>
    <x v="3"/>
    <s v="FI_large_gas"/>
    <x v="23"/>
    <n v="0.35278210439105201"/>
    <n v="9.7995028997514499E-2"/>
  </r>
  <r>
    <x v="0"/>
    <x v="3"/>
    <x v="2"/>
    <x v="3"/>
    <s v="FI_large_gas"/>
    <x v="24"/>
    <n v="20.0161025734538"/>
    <n v="5.5600284926260501"/>
  </r>
  <r>
    <x v="0"/>
    <x v="3"/>
    <x v="2"/>
    <x v="3"/>
    <s v="FI_large_gas"/>
    <x v="25"/>
    <n v="22.356874337357301"/>
    <n v="6.2102428714881297"/>
  </r>
  <r>
    <x v="0"/>
    <x v="3"/>
    <x v="2"/>
    <x v="3"/>
    <s v="FI_large_gas"/>
    <x v="26"/>
    <n v="29.6651032387655"/>
    <n v="8.2403064552126306"/>
  </r>
  <r>
    <x v="0"/>
    <x v="3"/>
    <x v="2"/>
    <x v="3"/>
    <s v="FI_large_gas"/>
    <x v="27"/>
    <n v="21.049332228666099"/>
    <n v="5.8470367301850299"/>
  </r>
  <r>
    <x v="0"/>
    <x v="3"/>
    <x v="2"/>
    <x v="3"/>
    <s v="FI_medium"/>
    <x v="1"/>
    <n v="51.241600662800401"/>
    <n v="14.233777961889"/>
  </r>
  <r>
    <x v="0"/>
    <x v="3"/>
    <x v="2"/>
    <x v="3"/>
    <s v="FI_medium"/>
    <x v="2"/>
    <n v="57.96"/>
    <n v="16.100000000000001"/>
  </r>
  <r>
    <x v="0"/>
    <x v="3"/>
    <x v="2"/>
    <x v="3"/>
    <s v="FI_medium"/>
    <x v="0"/>
    <n v="42.692399999999999"/>
    <n v="11.859"/>
  </r>
  <r>
    <x v="0"/>
    <x v="3"/>
    <x v="2"/>
    <x v="3"/>
    <s v="FI_medium"/>
    <x v="3"/>
    <n v="57.7974681027342"/>
    <n v="16.054852250759499"/>
  </r>
  <r>
    <x v="0"/>
    <x v="3"/>
    <x v="2"/>
    <x v="3"/>
    <s v="FI_medium"/>
    <x v="4"/>
    <n v="8.1139884009941898"/>
    <n v="2.2538856669428302"/>
  </r>
  <r>
    <x v="0"/>
    <x v="3"/>
    <x v="2"/>
    <x v="3"/>
    <s v="FI_medium"/>
    <x v="5"/>
    <n v="8.1139884009941898"/>
    <n v="2.2538856669428302"/>
  </r>
  <r>
    <x v="0"/>
    <x v="3"/>
    <x v="2"/>
    <x v="3"/>
    <s v="FI_medium"/>
    <x v="6"/>
    <n v="30.770439105219602"/>
    <n v="8.5473441958943202"/>
  </r>
  <r>
    <x v="0"/>
    <x v="3"/>
    <x v="2"/>
    <x v="3"/>
    <s v="FI_medium"/>
    <x v="7"/>
    <n v="71.350180613090302"/>
    <n v="19.819494614747299"/>
  </r>
  <r>
    <x v="0"/>
    <x v="3"/>
    <x v="2"/>
    <x v="3"/>
    <s v="FI_medium"/>
    <x v="8"/>
    <n v="71.350180613090302"/>
    <n v="19.819494614747299"/>
  </r>
  <r>
    <x v="0"/>
    <x v="3"/>
    <x v="2"/>
    <x v="3"/>
    <s v="FI_medium"/>
    <x v="9"/>
    <n v="44.803327257663497"/>
    <n v="12.4453686826843"/>
  </r>
  <r>
    <x v="0"/>
    <x v="3"/>
    <x v="2"/>
    <x v="3"/>
    <s v="FI_medium"/>
    <x v="10"/>
    <n v="54.681226180612903"/>
    <n v="15.1892294946147"/>
  </r>
  <r>
    <x v="0"/>
    <x v="3"/>
    <x v="2"/>
    <x v="3"/>
    <s v="FI_medium"/>
    <x v="11"/>
    <n v="3.8806031483015802"/>
    <n v="1.07794531897266"/>
  </r>
  <r>
    <x v="0"/>
    <x v="3"/>
    <x v="2"/>
    <x v="3"/>
    <s v="FI_medium"/>
    <x v="12"/>
    <n v="9.7995028997514597E-2"/>
    <n v="2.72208413881985E-2"/>
  </r>
  <r>
    <x v="0"/>
    <x v="3"/>
    <x v="2"/>
    <x v="3"/>
    <s v="FI_medium"/>
    <x v="13"/>
    <n v="21.5197083678542"/>
    <n v="5.9776967688483804"/>
  </r>
  <r>
    <x v="0"/>
    <x v="3"/>
    <x v="2"/>
    <x v="3"/>
    <s v="FI_medium"/>
    <x v="14"/>
    <n v="21.5197083678542"/>
    <n v="5.9776967688483804"/>
  </r>
  <r>
    <x v="0"/>
    <x v="3"/>
    <x v="2"/>
    <x v="3"/>
    <s v="FI_medium"/>
    <x v="15"/>
    <n v="1.65807589063794"/>
    <n v="0.46057663628831802"/>
  </r>
  <r>
    <x v="0"/>
    <x v="3"/>
    <x v="2"/>
    <x v="3"/>
    <s v="FI_medium"/>
    <x v="16"/>
    <n v="8.3492014028755008"/>
    <n v="2.31922261190986"/>
  </r>
  <r>
    <x v="0"/>
    <x v="3"/>
    <x v="2"/>
    <x v="3"/>
    <s v="FI_medium"/>
    <x v="17"/>
    <n v="9.5251168185584092"/>
    <n v="2.6458657829328902"/>
  </r>
  <r>
    <x v="0"/>
    <x v="3"/>
    <x v="2"/>
    <x v="3"/>
    <s v="FI_medium"/>
    <x v="18"/>
    <n v="21.5197083678542"/>
    <n v="5.9776967688483804"/>
  </r>
  <r>
    <x v="0"/>
    <x v="3"/>
    <x v="2"/>
    <x v="3"/>
    <s v="FI_medium"/>
    <x v="19"/>
    <n v="8.1139884009941898"/>
    <n v="2.2538856669428302"/>
  </r>
  <r>
    <x v="0"/>
    <x v="3"/>
    <x v="2"/>
    <x v="3"/>
    <s v="FI_medium"/>
    <x v="20"/>
    <n v="19.336735244541"/>
    <n v="5.37131534570584"/>
  </r>
  <r>
    <x v="0"/>
    <x v="3"/>
    <x v="2"/>
    <x v="3"/>
    <s v="FI_medium"/>
    <x v="21"/>
    <n v="53.225806451612797"/>
    <n v="14.784946236559099"/>
  </r>
  <r>
    <x v="0"/>
    <x v="3"/>
    <x v="2"/>
    <x v="3"/>
    <s v="FI_medium"/>
    <x v="22"/>
    <n v="130.68"/>
    <n v="36.299999999999997"/>
  </r>
  <r>
    <x v="0"/>
    <x v="3"/>
    <x v="2"/>
    <x v="3"/>
    <s v="FI_medium"/>
    <x v="23"/>
    <n v="0.35278210439105201"/>
    <n v="9.7995028997514499E-2"/>
  </r>
  <r>
    <x v="0"/>
    <x v="3"/>
    <x v="2"/>
    <x v="3"/>
    <s v="FI_medium"/>
    <x v="24"/>
    <n v="20.0161025734538"/>
    <n v="5.5600284926260501"/>
  </r>
  <r>
    <x v="0"/>
    <x v="3"/>
    <x v="2"/>
    <x v="3"/>
    <s v="FI_medium"/>
    <x v="25"/>
    <n v="22.356874337357301"/>
    <n v="6.2102428714881297"/>
  </r>
  <r>
    <x v="0"/>
    <x v="3"/>
    <x v="2"/>
    <x v="3"/>
    <s v="FI_medium"/>
    <x v="26"/>
    <n v="29.6651032387655"/>
    <n v="8.2403064552126306"/>
  </r>
  <r>
    <x v="0"/>
    <x v="3"/>
    <x v="2"/>
    <x v="3"/>
    <s v="FI_medium"/>
    <x v="27"/>
    <n v="21.049332228666099"/>
    <n v="5.8470367301850299"/>
  </r>
  <r>
    <x v="0"/>
    <x v="3"/>
    <x v="2"/>
    <x v="3"/>
    <s v="FI_medium_gas"/>
    <x v="1"/>
    <n v="51.241600662800401"/>
    <n v="14.233777961889"/>
  </r>
  <r>
    <x v="0"/>
    <x v="3"/>
    <x v="2"/>
    <x v="3"/>
    <s v="FI_medium_gas"/>
    <x v="2"/>
    <n v="57.96"/>
    <n v="16.100000000000001"/>
  </r>
  <r>
    <x v="0"/>
    <x v="3"/>
    <x v="2"/>
    <x v="3"/>
    <s v="FI_medium_gas"/>
    <x v="0"/>
    <n v="42.692399999999999"/>
    <n v="11.859"/>
  </r>
  <r>
    <x v="0"/>
    <x v="3"/>
    <x v="2"/>
    <x v="3"/>
    <s v="FI_medium_gas"/>
    <x v="3"/>
    <n v="57.7974681027342"/>
    <n v="16.054852250759499"/>
  </r>
  <r>
    <x v="0"/>
    <x v="3"/>
    <x v="2"/>
    <x v="3"/>
    <s v="FI_medium_gas"/>
    <x v="4"/>
    <n v="8.1139884009941898"/>
    <n v="2.2538856669428302"/>
  </r>
  <r>
    <x v="0"/>
    <x v="3"/>
    <x v="2"/>
    <x v="3"/>
    <s v="FI_medium_gas"/>
    <x v="5"/>
    <n v="8.1139884009941898"/>
    <n v="2.2538856669428302"/>
  </r>
  <r>
    <x v="0"/>
    <x v="3"/>
    <x v="2"/>
    <x v="3"/>
    <s v="FI_medium_gas"/>
    <x v="6"/>
    <n v="30.770439105219602"/>
    <n v="8.5473441958943202"/>
  </r>
  <r>
    <x v="0"/>
    <x v="3"/>
    <x v="2"/>
    <x v="3"/>
    <s v="FI_medium_gas"/>
    <x v="7"/>
    <n v="71.350180613090302"/>
    <n v="19.819494614747299"/>
  </r>
  <r>
    <x v="0"/>
    <x v="3"/>
    <x v="2"/>
    <x v="3"/>
    <s v="FI_medium_gas"/>
    <x v="8"/>
    <n v="71.350180613090302"/>
    <n v="19.819494614747299"/>
  </r>
  <r>
    <x v="0"/>
    <x v="3"/>
    <x v="2"/>
    <x v="3"/>
    <s v="FI_medium_gas"/>
    <x v="9"/>
    <n v="44.803327257663497"/>
    <n v="12.4453686826843"/>
  </r>
  <r>
    <x v="0"/>
    <x v="3"/>
    <x v="2"/>
    <x v="3"/>
    <s v="FI_medium_gas"/>
    <x v="10"/>
    <n v="54.681226180612903"/>
    <n v="15.1892294946147"/>
  </r>
  <r>
    <x v="0"/>
    <x v="3"/>
    <x v="2"/>
    <x v="3"/>
    <s v="FI_medium_gas"/>
    <x v="11"/>
    <n v="3.8806031483015802"/>
    <n v="1.07794531897266"/>
  </r>
  <r>
    <x v="0"/>
    <x v="3"/>
    <x v="2"/>
    <x v="3"/>
    <s v="FI_medium_gas"/>
    <x v="12"/>
    <n v="9.7995028997514597E-2"/>
    <n v="2.72208413881985E-2"/>
  </r>
  <r>
    <x v="0"/>
    <x v="3"/>
    <x v="2"/>
    <x v="3"/>
    <s v="FI_medium_gas"/>
    <x v="13"/>
    <n v="21.5197083678542"/>
    <n v="5.9776967688483804"/>
  </r>
  <r>
    <x v="0"/>
    <x v="3"/>
    <x v="2"/>
    <x v="3"/>
    <s v="FI_medium_gas"/>
    <x v="14"/>
    <n v="21.5197083678542"/>
    <n v="5.9776967688483804"/>
  </r>
  <r>
    <x v="0"/>
    <x v="3"/>
    <x v="2"/>
    <x v="3"/>
    <s v="FI_medium_gas"/>
    <x v="15"/>
    <n v="1.65807589063794"/>
    <n v="0.46057663628831802"/>
  </r>
  <r>
    <x v="0"/>
    <x v="3"/>
    <x v="2"/>
    <x v="3"/>
    <s v="FI_medium_gas"/>
    <x v="16"/>
    <n v="8.3492014028755008"/>
    <n v="2.31922261190986"/>
  </r>
  <r>
    <x v="0"/>
    <x v="3"/>
    <x v="2"/>
    <x v="3"/>
    <s v="FI_medium_gas"/>
    <x v="17"/>
    <n v="9.5251168185584092"/>
    <n v="2.6458657829328902"/>
  </r>
  <r>
    <x v="0"/>
    <x v="3"/>
    <x v="2"/>
    <x v="3"/>
    <s v="FI_medium_gas"/>
    <x v="18"/>
    <n v="21.5197083678542"/>
    <n v="5.9776967688483804"/>
  </r>
  <r>
    <x v="0"/>
    <x v="3"/>
    <x v="2"/>
    <x v="3"/>
    <s v="FI_medium_gas"/>
    <x v="19"/>
    <n v="8.1139884009941898"/>
    <n v="2.2538856669428302"/>
  </r>
  <r>
    <x v="0"/>
    <x v="3"/>
    <x v="2"/>
    <x v="3"/>
    <s v="FI_medium_gas"/>
    <x v="20"/>
    <n v="19.336735244541"/>
    <n v="5.37131534570584"/>
  </r>
  <r>
    <x v="0"/>
    <x v="3"/>
    <x v="2"/>
    <x v="3"/>
    <s v="FI_medium_gas"/>
    <x v="21"/>
    <n v="53.225806451612797"/>
    <n v="14.784946236559099"/>
  </r>
  <r>
    <x v="0"/>
    <x v="3"/>
    <x v="2"/>
    <x v="3"/>
    <s v="FI_medium_gas"/>
    <x v="22"/>
    <n v="130.68"/>
    <n v="36.299999999999997"/>
  </r>
  <r>
    <x v="0"/>
    <x v="3"/>
    <x v="2"/>
    <x v="3"/>
    <s v="FI_medium_gas"/>
    <x v="23"/>
    <n v="0.35278210439105201"/>
    <n v="9.7995028997514499E-2"/>
  </r>
  <r>
    <x v="0"/>
    <x v="3"/>
    <x v="2"/>
    <x v="3"/>
    <s v="FI_medium_gas"/>
    <x v="24"/>
    <n v="20.0161025734538"/>
    <n v="5.5600284926260501"/>
  </r>
  <r>
    <x v="0"/>
    <x v="3"/>
    <x v="2"/>
    <x v="3"/>
    <s v="FI_medium_gas"/>
    <x v="25"/>
    <n v="22.356874337357301"/>
    <n v="6.2102428714881297"/>
  </r>
  <r>
    <x v="0"/>
    <x v="3"/>
    <x v="2"/>
    <x v="3"/>
    <s v="FI_medium_gas"/>
    <x v="26"/>
    <n v="29.6651032387655"/>
    <n v="8.2403064552126306"/>
  </r>
  <r>
    <x v="0"/>
    <x v="3"/>
    <x v="2"/>
    <x v="3"/>
    <s v="FI_medium_gas"/>
    <x v="27"/>
    <n v="21.049332228666099"/>
    <n v="5.8470367301850299"/>
  </r>
  <r>
    <x v="0"/>
    <x v="3"/>
    <x v="2"/>
    <x v="3"/>
    <s v="FI_small"/>
    <x v="1"/>
    <n v="51.241600662800401"/>
    <n v="14.233777961889"/>
  </r>
  <r>
    <x v="0"/>
    <x v="3"/>
    <x v="2"/>
    <x v="3"/>
    <s v="FI_small"/>
    <x v="2"/>
    <n v="57.96"/>
    <n v="16.100000000000001"/>
  </r>
  <r>
    <x v="0"/>
    <x v="3"/>
    <x v="2"/>
    <x v="3"/>
    <s v="FI_small"/>
    <x v="0"/>
    <n v="42.692399999999999"/>
    <n v="11.859"/>
  </r>
  <r>
    <x v="0"/>
    <x v="3"/>
    <x v="2"/>
    <x v="3"/>
    <s v="FI_small"/>
    <x v="3"/>
    <n v="57.7974681027342"/>
    <n v="16.054852250759499"/>
  </r>
  <r>
    <x v="0"/>
    <x v="3"/>
    <x v="2"/>
    <x v="3"/>
    <s v="FI_small"/>
    <x v="4"/>
    <n v="8.1139884009941898"/>
    <n v="2.2538856669428302"/>
  </r>
  <r>
    <x v="0"/>
    <x v="3"/>
    <x v="2"/>
    <x v="3"/>
    <s v="FI_small"/>
    <x v="5"/>
    <n v="8.1139884009941898"/>
    <n v="2.2538856669428302"/>
  </r>
  <r>
    <x v="0"/>
    <x v="3"/>
    <x v="2"/>
    <x v="3"/>
    <s v="FI_small"/>
    <x v="6"/>
    <n v="30.770439105219602"/>
    <n v="8.5473441958943202"/>
  </r>
  <r>
    <x v="0"/>
    <x v="3"/>
    <x v="2"/>
    <x v="3"/>
    <s v="FI_small"/>
    <x v="7"/>
    <n v="71.350180613090302"/>
    <n v="19.819494614747299"/>
  </r>
  <r>
    <x v="0"/>
    <x v="3"/>
    <x v="2"/>
    <x v="3"/>
    <s v="FI_small"/>
    <x v="8"/>
    <n v="71.350180613090302"/>
    <n v="19.819494614747299"/>
  </r>
  <r>
    <x v="0"/>
    <x v="3"/>
    <x v="2"/>
    <x v="3"/>
    <s v="FI_small"/>
    <x v="9"/>
    <n v="44.803327257663497"/>
    <n v="12.4453686826843"/>
  </r>
  <r>
    <x v="0"/>
    <x v="3"/>
    <x v="2"/>
    <x v="3"/>
    <s v="FI_small"/>
    <x v="10"/>
    <n v="54.681226180612903"/>
    <n v="15.1892294946147"/>
  </r>
  <r>
    <x v="0"/>
    <x v="3"/>
    <x v="2"/>
    <x v="3"/>
    <s v="FI_small"/>
    <x v="11"/>
    <n v="3.8806031483015802"/>
    <n v="1.07794531897266"/>
  </r>
  <r>
    <x v="0"/>
    <x v="3"/>
    <x v="2"/>
    <x v="3"/>
    <s v="FI_small"/>
    <x v="12"/>
    <n v="9.7995028997514597E-2"/>
    <n v="2.72208413881985E-2"/>
  </r>
  <r>
    <x v="0"/>
    <x v="3"/>
    <x v="2"/>
    <x v="3"/>
    <s v="FI_small"/>
    <x v="13"/>
    <n v="21.5197083678542"/>
    <n v="5.9776967688483804"/>
  </r>
  <r>
    <x v="0"/>
    <x v="3"/>
    <x v="2"/>
    <x v="3"/>
    <s v="FI_small"/>
    <x v="14"/>
    <n v="21.5197083678542"/>
    <n v="5.9776967688483804"/>
  </r>
  <r>
    <x v="0"/>
    <x v="3"/>
    <x v="2"/>
    <x v="3"/>
    <s v="FI_small"/>
    <x v="15"/>
    <n v="1.65807589063794"/>
    <n v="0.46057663628831802"/>
  </r>
  <r>
    <x v="0"/>
    <x v="3"/>
    <x v="2"/>
    <x v="3"/>
    <s v="FI_small"/>
    <x v="16"/>
    <n v="8.3492014028755008"/>
    <n v="2.31922261190986"/>
  </r>
  <r>
    <x v="0"/>
    <x v="3"/>
    <x v="2"/>
    <x v="3"/>
    <s v="FI_small"/>
    <x v="17"/>
    <n v="9.5251168185584092"/>
    <n v="2.6458657829328902"/>
  </r>
  <r>
    <x v="0"/>
    <x v="3"/>
    <x v="2"/>
    <x v="3"/>
    <s v="FI_small"/>
    <x v="18"/>
    <n v="21.5197083678542"/>
    <n v="5.9776967688483804"/>
  </r>
  <r>
    <x v="0"/>
    <x v="3"/>
    <x v="2"/>
    <x v="3"/>
    <s v="FI_small"/>
    <x v="19"/>
    <n v="8.1139884009941898"/>
    <n v="2.2538856669428302"/>
  </r>
  <r>
    <x v="0"/>
    <x v="3"/>
    <x v="2"/>
    <x v="3"/>
    <s v="FI_small"/>
    <x v="20"/>
    <n v="19.336735244541"/>
    <n v="5.37131534570584"/>
  </r>
  <r>
    <x v="0"/>
    <x v="3"/>
    <x v="2"/>
    <x v="3"/>
    <s v="FI_small"/>
    <x v="21"/>
    <n v="53.225806451612797"/>
    <n v="14.784946236559099"/>
  </r>
  <r>
    <x v="0"/>
    <x v="3"/>
    <x v="2"/>
    <x v="3"/>
    <s v="FI_small"/>
    <x v="22"/>
    <n v="130.68"/>
    <n v="36.299999999999997"/>
  </r>
  <r>
    <x v="0"/>
    <x v="3"/>
    <x v="2"/>
    <x v="3"/>
    <s v="FI_small"/>
    <x v="23"/>
    <n v="0.35278210439105201"/>
    <n v="9.7995028997514499E-2"/>
  </r>
  <r>
    <x v="0"/>
    <x v="3"/>
    <x v="2"/>
    <x v="3"/>
    <s v="FI_small"/>
    <x v="24"/>
    <n v="20.0161025734538"/>
    <n v="5.5600284926260501"/>
  </r>
  <r>
    <x v="0"/>
    <x v="3"/>
    <x v="2"/>
    <x v="3"/>
    <s v="FI_small"/>
    <x v="25"/>
    <n v="22.356874337357301"/>
    <n v="6.2102428714881297"/>
  </r>
  <r>
    <x v="0"/>
    <x v="3"/>
    <x v="2"/>
    <x v="3"/>
    <s v="FI_small"/>
    <x v="26"/>
    <n v="29.6651032387655"/>
    <n v="8.2403064552126306"/>
  </r>
  <r>
    <x v="0"/>
    <x v="3"/>
    <x v="2"/>
    <x v="3"/>
    <s v="FI_small"/>
    <x v="27"/>
    <n v="21.049332228666099"/>
    <n v="5.8470367301850299"/>
  </r>
  <r>
    <x v="0"/>
    <x v="3"/>
    <x v="2"/>
    <x v="3"/>
    <s v="FI_small_gas"/>
    <x v="1"/>
    <n v="51.241600662800401"/>
    <n v="14.233777961889"/>
  </r>
  <r>
    <x v="0"/>
    <x v="3"/>
    <x v="2"/>
    <x v="3"/>
    <s v="FI_small_gas"/>
    <x v="2"/>
    <n v="57.96"/>
    <n v="16.100000000000001"/>
  </r>
  <r>
    <x v="0"/>
    <x v="3"/>
    <x v="2"/>
    <x v="3"/>
    <s v="FI_small_gas"/>
    <x v="0"/>
    <n v="42.692399999999999"/>
    <n v="11.859"/>
  </r>
  <r>
    <x v="0"/>
    <x v="3"/>
    <x v="2"/>
    <x v="3"/>
    <s v="FI_small_gas"/>
    <x v="3"/>
    <n v="57.7974681027342"/>
    <n v="16.054852250759499"/>
  </r>
  <r>
    <x v="0"/>
    <x v="3"/>
    <x v="2"/>
    <x v="3"/>
    <s v="FI_small_gas"/>
    <x v="4"/>
    <n v="8.1139884009941898"/>
    <n v="2.2538856669428302"/>
  </r>
  <r>
    <x v="0"/>
    <x v="3"/>
    <x v="2"/>
    <x v="3"/>
    <s v="FI_small_gas"/>
    <x v="5"/>
    <n v="8.1139884009941898"/>
    <n v="2.2538856669428302"/>
  </r>
  <r>
    <x v="0"/>
    <x v="3"/>
    <x v="2"/>
    <x v="3"/>
    <s v="FI_small_gas"/>
    <x v="6"/>
    <n v="30.770439105219602"/>
    <n v="8.5473441958943202"/>
  </r>
  <r>
    <x v="0"/>
    <x v="3"/>
    <x v="2"/>
    <x v="3"/>
    <s v="FI_small_gas"/>
    <x v="7"/>
    <n v="71.350180613090302"/>
    <n v="19.819494614747299"/>
  </r>
  <r>
    <x v="0"/>
    <x v="3"/>
    <x v="2"/>
    <x v="3"/>
    <s v="FI_small_gas"/>
    <x v="8"/>
    <n v="71.350180613090302"/>
    <n v="19.819494614747299"/>
  </r>
  <r>
    <x v="0"/>
    <x v="3"/>
    <x v="2"/>
    <x v="3"/>
    <s v="FI_small_gas"/>
    <x v="9"/>
    <n v="44.803327257663497"/>
    <n v="12.4453686826843"/>
  </r>
  <r>
    <x v="0"/>
    <x v="3"/>
    <x v="2"/>
    <x v="3"/>
    <s v="FI_small_gas"/>
    <x v="10"/>
    <n v="54.681226180612903"/>
    <n v="15.1892294946147"/>
  </r>
  <r>
    <x v="0"/>
    <x v="3"/>
    <x v="2"/>
    <x v="3"/>
    <s v="FI_small_gas"/>
    <x v="11"/>
    <n v="3.8806031483015802"/>
    <n v="1.07794531897266"/>
  </r>
  <r>
    <x v="0"/>
    <x v="3"/>
    <x v="2"/>
    <x v="3"/>
    <s v="FI_small_gas"/>
    <x v="12"/>
    <n v="9.7995028997514597E-2"/>
    <n v="2.72208413881985E-2"/>
  </r>
  <r>
    <x v="0"/>
    <x v="3"/>
    <x v="2"/>
    <x v="3"/>
    <s v="FI_small_gas"/>
    <x v="13"/>
    <n v="21.5197083678542"/>
    <n v="5.9776967688483804"/>
  </r>
  <r>
    <x v="0"/>
    <x v="3"/>
    <x v="2"/>
    <x v="3"/>
    <s v="FI_small_gas"/>
    <x v="14"/>
    <n v="21.5197083678542"/>
    <n v="5.9776967688483804"/>
  </r>
  <r>
    <x v="0"/>
    <x v="3"/>
    <x v="2"/>
    <x v="3"/>
    <s v="FI_small_gas"/>
    <x v="15"/>
    <n v="1.65807589063794"/>
    <n v="0.46057663628831802"/>
  </r>
  <r>
    <x v="0"/>
    <x v="3"/>
    <x v="2"/>
    <x v="3"/>
    <s v="FI_small_gas"/>
    <x v="16"/>
    <n v="8.3492014028755008"/>
    <n v="2.31922261190986"/>
  </r>
  <r>
    <x v="0"/>
    <x v="3"/>
    <x v="2"/>
    <x v="3"/>
    <s v="FI_small_gas"/>
    <x v="17"/>
    <n v="9.5251168185584092"/>
    <n v="2.6458657829328902"/>
  </r>
  <r>
    <x v="0"/>
    <x v="3"/>
    <x v="2"/>
    <x v="3"/>
    <s v="FI_small_gas"/>
    <x v="18"/>
    <n v="21.5197083678542"/>
    <n v="5.9776967688483804"/>
  </r>
  <r>
    <x v="0"/>
    <x v="3"/>
    <x v="2"/>
    <x v="3"/>
    <s v="FI_small_gas"/>
    <x v="19"/>
    <n v="8.1139884009941898"/>
    <n v="2.2538856669428302"/>
  </r>
  <r>
    <x v="0"/>
    <x v="3"/>
    <x v="2"/>
    <x v="3"/>
    <s v="FI_small_gas"/>
    <x v="20"/>
    <n v="19.336735244541"/>
    <n v="5.37131534570584"/>
  </r>
  <r>
    <x v="0"/>
    <x v="3"/>
    <x v="2"/>
    <x v="3"/>
    <s v="FI_small_gas"/>
    <x v="21"/>
    <n v="53.225806451612797"/>
    <n v="14.784946236559099"/>
  </r>
  <r>
    <x v="0"/>
    <x v="3"/>
    <x v="2"/>
    <x v="3"/>
    <s v="FI_small_gas"/>
    <x v="22"/>
    <n v="130.68"/>
    <n v="36.299999999999997"/>
  </r>
  <r>
    <x v="0"/>
    <x v="3"/>
    <x v="2"/>
    <x v="3"/>
    <s v="FI_small_gas"/>
    <x v="23"/>
    <n v="0.35278210439105201"/>
    <n v="9.7995028997514499E-2"/>
  </r>
  <r>
    <x v="0"/>
    <x v="3"/>
    <x v="2"/>
    <x v="3"/>
    <s v="FI_small_gas"/>
    <x v="24"/>
    <n v="20.0161025734538"/>
    <n v="5.5600284926260501"/>
  </r>
  <r>
    <x v="0"/>
    <x v="3"/>
    <x v="2"/>
    <x v="3"/>
    <s v="FI_small_gas"/>
    <x v="25"/>
    <n v="22.356874337357301"/>
    <n v="6.2102428714881297"/>
  </r>
  <r>
    <x v="0"/>
    <x v="3"/>
    <x v="2"/>
    <x v="3"/>
    <s v="FI_small_gas"/>
    <x v="26"/>
    <n v="29.6651032387655"/>
    <n v="8.2403064552126306"/>
  </r>
  <r>
    <x v="0"/>
    <x v="3"/>
    <x v="2"/>
    <x v="3"/>
    <s v="FI_small_gas"/>
    <x v="27"/>
    <n v="21.049332228666099"/>
    <n v="5.8470367301850299"/>
  </r>
  <r>
    <x v="0"/>
    <x v="3"/>
    <x v="2"/>
    <x v="3"/>
    <s v="FinA"/>
    <x v="1"/>
    <n v="51.241600662800401"/>
    <n v="14.233777961889"/>
  </r>
  <r>
    <x v="0"/>
    <x v="3"/>
    <x v="2"/>
    <x v="3"/>
    <s v="FinA"/>
    <x v="2"/>
    <n v="57.96"/>
    <n v="16.100000000000001"/>
  </r>
  <r>
    <x v="0"/>
    <x v="3"/>
    <x v="2"/>
    <x v="3"/>
    <s v="FinA"/>
    <x v="0"/>
    <n v="42.692399999999999"/>
    <n v="11.859"/>
  </r>
  <r>
    <x v="0"/>
    <x v="3"/>
    <x v="2"/>
    <x v="3"/>
    <s v="FinA"/>
    <x v="3"/>
    <n v="57.7974681027342"/>
    <n v="16.054852250759499"/>
  </r>
  <r>
    <x v="0"/>
    <x v="3"/>
    <x v="2"/>
    <x v="3"/>
    <s v="FinA"/>
    <x v="4"/>
    <n v="8.1139884009941898"/>
    <n v="2.2538856669428302"/>
  </r>
  <r>
    <x v="0"/>
    <x v="3"/>
    <x v="2"/>
    <x v="3"/>
    <s v="FinA"/>
    <x v="5"/>
    <n v="8.1139884009941898"/>
    <n v="2.2538856669428302"/>
  </r>
  <r>
    <x v="0"/>
    <x v="3"/>
    <x v="2"/>
    <x v="3"/>
    <s v="FinA"/>
    <x v="6"/>
    <n v="30.770439105219602"/>
    <n v="8.5473441958943202"/>
  </r>
  <r>
    <x v="0"/>
    <x v="3"/>
    <x v="2"/>
    <x v="3"/>
    <s v="FinA"/>
    <x v="7"/>
    <n v="71.350180613090302"/>
    <n v="19.819494614747299"/>
  </r>
  <r>
    <x v="0"/>
    <x v="3"/>
    <x v="2"/>
    <x v="3"/>
    <s v="FinA"/>
    <x v="8"/>
    <n v="71.350180613090302"/>
    <n v="19.819494614747299"/>
  </r>
  <r>
    <x v="0"/>
    <x v="3"/>
    <x v="2"/>
    <x v="3"/>
    <s v="FinA"/>
    <x v="9"/>
    <n v="44.803327257663497"/>
    <n v="12.4453686826843"/>
  </r>
  <r>
    <x v="0"/>
    <x v="3"/>
    <x v="2"/>
    <x v="3"/>
    <s v="FinA"/>
    <x v="10"/>
    <n v="54.681226180612903"/>
    <n v="15.1892294946147"/>
  </r>
  <r>
    <x v="0"/>
    <x v="3"/>
    <x v="2"/>
    <x v="3"/>
    <s v="FinA"/>
    <x v="11"/>
    <n v="3.8806031483015802"/>
    <n v="1.07794531897266"/>
  </r>
  <r>
    <x v="0"/>
    <x v="3"/>
    <x v="2"/>
    <x v="3"/>
    <s v="FinA"/>
    <x v="12"/>
    <n v="9.7995028997514597E-2"/>
    <n v="2.72208413881985E-2"/>
  </r>
  <r>
    <x v="0"/>
    <x v="3"/>
    <x v="2"/>
    <x v="3"/>
    <s v="FinA"/>
    <x v="13"/>
    <n v="21.5197083678542"/>
    <n v="5.9776967688483804"/>
  </r>
  <r>
    <x v="0"/>
    <x v="3"/>
    <x v="2"/>
    <x v="3"/>
    <s v="FinA"/>
    <x v="14"/>
    <n v="21.5197083678542"/>
    <n v="5.9776967688483804"/>
  </r>
  <r>
    <x v="0"/>
    <x v="3"/>
    <x v="2"/>
    <x v="3"/>
    <s v="FinA"/>
    <x v="15"/>
    <n v="1.65807589063794"/>
    <n v="0.46057663628831802"/>
  </r>
  <r>
    <x v="0"/>
    <x v="3"/>
    <x v="2"/>
    <x v="3"/>
    <s v="FinA"/>
    <x v="16"/>
    <n v="8.3492014028755008"/>
    <n v="2.31922261190986"/>
  </r>
  <r>
    <x v="0"/>
    <x v="3"/>
    <x v="2"/>
    <x v="3"/>
    <s v="FinA"/>
    <x v="17"/>
    <n v="9.5251168185584092"/>
    <n v="2.6458657829328902"/>
  </r>
  <r>
    <x v="0"/>
    <x v="3"/>
    <x v="2"/>
    <x v="3"/>
    <s v="FinA"/>
    <x v="18"/>
    <n v="21.5197083678542"/>
    <n v="5.9776967688483804"/>
  </r>
  <r>
    <x v="0"/>
    <x v="3"/>
    <x v="2"/>
    <x v="3"/>
    <s v="FinA"/>
    <x v="19"/>
    <n v="8.1139884009941898"/>
    <n v="2.2538856669428302"/>
  </r>
  <r>
    <x v="0"/>
    <x v="3"/>
    <x v="2"/>
    <x v="3"/>
    <s v="FinA"/>
    <x v="20"/>
    <n v="19.336735244541"/>
    <n v="5.37131534570584"/>
  </r>
  <r>
    <x v="0"/>
    <x v="3"/>
    <x v="2"/>
    <x v="3"/>
    <s v="FinA"/>
    <x v="21"/>
    <n v="53.225806451612797"/>
    <n v="14.784946236559099"/>
  </r>
  <r>
    <x v="0"/>
    <x v="3"/>
    <x v="2"/>
    <x v="3"/>
    <s v="FinA"/>
    <x v="22"/>
    <n v="130.68"/>
    <n v="36.299999999999997"/>
  </r>
  <r>
    <x v="0"/>
    <x v="3"/>
    <x v="2"/>
    <x v="3"/>
    <s v="FinA"/>
    <x v="23"/>
    <n v="0.35278210439105201"/>
    <n v="9.7995028997514499E-2"/>
  </r>
  <r>
    <x v="0"/>
    <x v="3"/>
    <x v="2"/>
    <x v="3"/>
    <s v="FinA"/>
    <x v="24"/>
    <n v="20.0161025734538"/>
    <n v="5.5600284926260501"/>
  </r>
  <r>
    <x v="0"/>
    <x v="3"/>
    <x v="2"/>
    <x v="3"/>
    <s v="FinA"/>
    <x v="25"/>
    <n v="22.356874337357301"/>
    <n v="6.2102428714881297"/>
  </r>
  <r>
    <x v="0"/>
    <x v="3"/>
    <x v="2"/>
    <x v="3"/>
    <s v="FinA"/>
    <x v="26"/>
    <n v="29.6651032387655"/>
    <n v="8.2403064552126306"/>
  </r>
  <r>
    <x v="0"/>
    <x v="3"/>
    <x v="2"/>
    <x v="3"/>
    <s v="FinA"/>
    <x v="27"/>
    <n v="21.049332228666099"/>
    <n v="5.8470367301850299"/>
  </r>
  <r>
    <x v="0"/>
    <x v="3"/>
    <x v="3"/>
    <x v="4"/>
    <s v="DE4-E_A"/>
    <x v="1"/>
    <n v="51.241600662800401"/>
    <n v="14.233777961889"/>
  </r>
  <r>
    <x v="0"/>
    <x v="3"/>
    <x v="3"/>
    <x v="4"/>
    <s v="DE4-E_A"/>
    <x v="2"/>
    <n v="57.96"/>
    <n v="16.100000000000001"/>
  </r>
  <r>
    <x v="0"/>
    <x v="3"/>
    <x v="3"/>
    <x v="4"/>
    <s v="DE4-E_A"/>
    <x v="0"/>
    <n v="42.692399999999999"/>
    <n v="11.859"/>
  </r>
  <r>
    <x v="0"/>
    <x v="3"/>
    <x v="3"/>
    <x v="4"/>
    <s v="DE4-E_A"/>
    <x v="3"/>
    <n v="57.7974681027342"/>
    <n v="16.054852250759499"/>
  </r>
  <r>
    <x v="0"/>
    <x v="3"/>
    <x v="3"/>
    <x v="4"/>
    <s v="DE4-E_A"/>
    <x v="4"/>
    <n v="8.1139884009941898"/>
    <n v="2.2538856669428302"/>
  </r>
  <r>
    <x v="0"/>
    <x v="3"/>
    <x v="3"/>
    <x v="4"/>
    <s v="DE4-E_A"/>
    <x v="5"/>
    <n v="8.1139884009941898"/>
    <n v="2.2538856669428302"/>
  </r>
  <r>
    <x v="0"/>
    <x v="3"/>
    <x v="3"/>
    <x v="4"/>
    <s v="DE4-E_A"/>
    <x v="6"/>
    <n v="30.770439105219602"/>
    <n v="8.5473441958943202"/>
  </r>
  <r>
    <x v="0"/>
    <x v="3"/>
    <x v="3"/>
    <x v="4"/>
    <s v="DE4-E_A"/>
    <x v="7"/>
    <n v="71.350180613090302"/>
    <n v="19.819494614747299"/>
  </r>
  <r>
    <x v="0"/>
    <x v="3"/>
    <x v="3"/>
    <x v="4"/>
    <s v="DE4-E_A"/>
    <x v="8"/>
    <n v="71.350180613090302"/>
    <n v="19.819494614747299"/>
  </r>
  <r>
    <x v="0"/>
    <x v="3"/>
    <x v="3"/>
    <x v="4"/>
    <s v="DE4-E_A"/>
    <x v="9"/>
    <n v="44.803327257663497"/>
    <n v="12.4453686826843"/>
  </r>
  <r>
    <x v="0"/>
    <x v="3"/>
    <x v="3"/>
    <x v="4"/>
    <s v="DE4-E_A"/>
    <x v="10"/>
    <n v="54.681226180612903"/>
    <n v="15.1892294946147"/>
  </r>
  <r>
    <x v="0"/>
    <x v="3"/>
    <x v="3"/>
    <x v="4"/>
    <s v="DE4-E_A"/>
    <x v="11"/>
    <n v="3.8806031483015802"/>
    <n v="1.07794531897266"/>
  </r>
  <r>
    <x v="0"/>
    <x v="3"/>
    <x v="3"/>
    <x v="4"/>
    <s v="DE4-E_A"/>
    <x v="12"/>
    <n v="9.7995028997514597E-2"/>
    <n v="2.72208413881985E-2"/>
  </r>
  <r>
    <x v="0"/>
    <x v="3"/>
    <x v="3"/>
    <x v="4"/>
    <s v="DE4-E_A"/>
    <x v="13"/>
    <n v="21.5197083678542"/>
    <n v="5.9776967688483804"/>
  </r>
  <r>
    <x v="0"/>
    <x v="3"/>
    <x v="3"/>
    <x v="4"/>
    <s v="DE4-E_A"/>
    <x v="14"/>
    <n v="21.5197083678542"/>
    <n v="5.9776967688483804"/>
  </r>
  <r>
    <x v="0"/>
    <x v="3"/>
    <x v="3"/>
    <x v="4"/>
    <s v="DE4-E_A"/>
    <x v="15"/>
    <n v="1.65807589063794"/>
    <n v="0.46057663628831802"/>
  </r>
  <r>
    <x v="0"/>
    <x v="3"/>
    <x v="3"/>
    <x v="4"/>
    <s v="DE4-E_A"/>
    <x v="16"/>
    <n v="8.3492014028755008"/>
    <n v="2.31922261190986"/>
  </r>
  <r>
    <x v="0"/>
    <x v="3"/>
    <x v="3"/>
    <x v="4"/>
    <s v="DE4-E_A"/>
    <x v="17"/>
    <n v="9.5251168185584092"/>
    <n v="2.6458657829328902"/>
  </r>
  <r>
    <x v="0"/>
    <x v="3"/>
    <x v="3"/>
    <x v="4"/>
    <s v="DE4-E_A"/>
    <x v="18"/>
    <n v="21.5197083678542"/>
    <n v="5.9776967688483804"/>
  </r>
  <r>
    <x v="0"/>
    <x v="3"/>
    <x v="3"/>
    <x v="4"/>
    <s v="DE4-E_A"/>
    <x v="19"/>
    <n v="8.1139884009941898"/>
    <n v="2.2538856669428302"/>
  </r>
  <r>
    <x v="0"/>
    <x v="3"/>
    <x v="3"/>
    <x v="4"/>
    <s v="DE4-E_A"/>
    <x v="20"/>
    <n v="19.336735244541"/>
    <n v="5.37131534570584"/>
  </r>
  <r>
    <x v="0"/>
    <x v="3"/>
    <x v="3"/>
    <x v="4"/>
    <s v="DE4-E_A"/>
    <x v="21"/>
    <n v="53.225806451612797"/>
    <n v="14.784946236559099"/>
  </r>
  <r>
    <x v="0"/>
    <x v="3"/>
    <x v="3"/>
    <x v="4"/>
    <s v="DE4-E_A"/>
    <x v="22"/>
    <n v="130.68"/>
    <n v="36.299999999999997"/>
  </r>
  <r>
    <x v="0"/>
    <x v="3"/>
    <x v="3"/>
    <x v="4"/>
    <s v="DE4-E_A"/>
    <x v="23"/>
    <n v="0.35278210439105201"/>
    <n v="9.7995028997514499E-2"/>
  </r>
  <r>
    <x v="0"/>
    <x v="3"/>
    <x v="3"/>
    <x v="4"/>
    <s v="DE4-E_A"/>
    <x v="24"/>
    <n v="20.0161025734538"/>
    <n v="5.5600284926260501"/>
  </r>
  <r>
    <x v="0"/>
    <x v="3"/>
    <x v="3"/>
    <x v="4"/>
    <s v="DE4-E_A"/>
    <x v="25"/>
    <n v="22.356874337357301"/>
    <n v="6.2102428714881297"/>
  </r>
  <r>
    <x v="0"/>
    <x v="3"/>
    <x v="3"/>
    <x v="4"/>
    <s v="DE4-E_A"/>
    <x v="26"/>
    <n v="29.6651032387655"/>
    <n v="8.2403064552126306"/>
  </r>
  <r>
    <x v="0"/>
    <x v="3"/>
    <x v="3"/>
    <x v="4"/>
    <s v="DE4-E_A"/>
    <x v="27"/>
    <n v="21.049332228666099"/>
    <n v="5.8470367301850299"/>
  </r>
  <r>
    <x v="0"/>
    <x v="3"/>
    <x v="3"/>
    <x v="4"/>
    <s v="DE4-E_Offshore_A"/>
    <x v="1"/>
    <n v="51.241600662800401"/>
    <n v="14.233777961889"/>
  </r>
  <r>
    <x v="0"/>
    <x v="3"/>
    <x v="3"/>
    <x v="4"/>
    <s v="DE4-E_Offshore_A"/>
    <x v="2"/>
    <n v="57.96"/>
    <n v="16.100000000000001"/>
  </r>
  <r>
    <x v="0"/>
    <x v="3"/>
    <x v="3"/>
    <x v="4"/>
    <s v="DE4-E_Offshore_A"/>
    <x v="0"/>
    <n v="42.692399999999999"/>
    <n v="11.859"/>
  </r>
  <r>
    <x v="0"/>
    <x v="3"/>
    <x v="3"/>
    <x v="4"/>
    <s v="DE4-E_Offshore_A"/>
    <x v="3"/>
    <n v="57.7974681027342"/>
    <n v="16.054852250759499"/>
  </r>
  <r>
    <x v="0"/>
    <x v="3"/>
    <x v="3"/>
    <x v="4"/>
    <s v="DE4-E_Offshore_A"/>
    <x v="4"/>
    <n v="8.1139884009941898"/>
    <n v="2.2538856669428302"/>
  </r>
  <r>
    <x v="0"/>
    <x v="3"/>
    <x v="3"/>
    <x v="4"/>
    <s v="DE4-E_Offshore_A"/>
    <x v="5"/>
    <n v="8.1139884009941898"/>
    <n v="2.2538856669428302"/>
  </r>
  <r>
    <x v="0"/>
    <x v="3"/>
    <x v="3"/>
    <x v="4"/>
    <s v="DE4-E_Offshore_A"/>
    <x v="6"/>
    <n v="30.770439105219602"/>
    <n v="8.5473441958943202"/>
  </r>
  <r>
    <x v="0"/>
    <x v="3"/>
    <x v="3"/>
    <x v="4"/>
    <s v="DE4-E_Offshore_A"/>
    <x v="7"/>
    <n v="71.350180613090302"/>
    <n v="19.819494614747299"/>
  </r>
  <r>
    <x v="0"/>
    <x v="3"/>
    <x v="3"/>
    <x v="4"/>
    <s v="DE4-E_Offshore_A"/>
    <x v="8"/>
    <n v="71.350180613090302"/>
    <n v="19.819494614747299"/>
  </r>
  <r>
    <x v="0"/>
    <x v="3"/>
    <x v="3"/>
    <x v="4"/>
    <s v="DE4-E_Offshore_A"/>
    <x v="9"/>
    <n v="44.803327257663497"/>
    <n v="12.4453686826843"/>
  </r>
  <r>
    <x v="0"/>
    <x v="3"/>
    <x v="3"/>
    <x v="4"/>
    <s v="DE4-E_Offshore_A"/>
    <x v="10"/>
    <n v="54.681226180612903"/>
    <n v="15.1892294946147"/>
  </r>
  <r>
    <x v="0"/>
    <x v="3"/>
    <x v="3"/>
    <x v="4"/>
    <s v="DE4-E_Offshore_A"/>
    <x v="11"/>
    <n v="3.8806031483015802"/>
    <n v="1.07794531897266"/>
  </r>
  <r>
    <x v="0"/>
    <x v="3"/>
    <x v="3"/>
    <x v="4"/>
    <s v="DE4-E_Offshore_A"/>
    <x v="12"/>
    <n v="9.7995028997514597E-2"/>
    <n v="2.72208413881985E-2"/>
  </r>
  <r>
    <x v="0"/>
    <x v="3"/>
    <x v="3"/>
    <x v="4"/>
    <s v="DE4-E_Offshore_A"/>
    <x v="13"/>
    <n v="21.5197083678542"/>
    <n v="5.9776967688483804"/>
  </r>
  <r>
    <x v="0"/>
    <x v="3"/>
    <x v="3"/>
    <x v="4"/>
    <s v="DE4-E_Offshore_A"/>
    <x v="14"/>
    <n v="21.5197083678542"/>
    <n v="5.9776967688483804"/>
  </r>
  <r>
    <x v="0"/>
    <x v="3"/>
    <x v="3"/>
    <x v="4"/>
    <s v="DE4-E_Offshore_A"/>
    <x v="15"/>
    <n v="1.65807589063794"/>
    <n v="0.46057663628831802"/>
  </r>
  <r>
    <x v="0"/>
    <x v="3"/>
    <x v="3"/>
    <x v="4"/>
    <s v="DE4-E_Offshore_A"/>
    <x v="16"/>
    <n v="8.3492014028755008"/>
    <n v="2.31922261190986"/>
  </r>
  <r>
    <x v="0"/>
    <x v="3"/>
    <x v="3"/>
    <x v="4"/>
    <s v="DE4-E_Offshore_A"/>
    <x v="17"/>
    <n v="9.5251168185584092"/>
    <n v="2.6458657829328902"/>
  </r>
  <r>
    <x v="0"/>
    <x v="3"/>
    <x v="3"/>
    <x v="4"/>
    <s v="DE4-E_Offshore_A"/>
    <x v="18"/>
    <n v="21.5197083678542"/>
    <n v="5.9776967688483804"/>
  </r>
  <r>
    <x v="0"/>
    <x v="3"/>
    <x v="3"/>
    <x v="4"/>
    <s v="DE4-E_Offshore_A"/>
    <x v="19"/>
    <n v="8.1139884009941898"/>
    <n v="2.2538856669428302"/>
  </r>
  <r>
    <x v="0"/>
    <x v="3"/>
    <x v="3"/>
    <x v="4"/>
    <s v="DE4-E_Offshore_A"/>
    <x v="20"/>
    <n v="19.336735244541"/>
    <n v="5.37131534570584"/>
  </r>
  <r>
    <x v="0"/>
    <x v="3"/>
    <x v="3"/>
    <x v="4"/>
    <s v="DE4-E_Offshore_A"/>
    <x v="21"/>
    <n v="53.225806451612797"/>
    <n v="14.784946236559099"/>
  </r>
  <r>
    <x v="0"/>
    <x v="3"/>
    <x v="3"/>
    <x v="4"/>
    <s v="DE4-E_Offshore_A"/>
    <x v="22"/>
    <n v="130.68"/>
    <n v="36.299999999999997"/>
  </r>
  <r>
    <x v="0"/>
    <x v="3"/>
    <x v="3"/>
    <x v="4"/>
    <s v="DE4-E_Offshore_A"/>
    <x v="23"/>
    <n v="0.35278210439105201"/>
    <n v="9.7995028997514499E-2"/>
  </r>
  <r>
    <x v="0"/>
    <x v="3"/>
    <x v="3"/>
    <x v="4"/>
    <s v="DE4-E_Offshore_A"/>
    <x v="24"/>
    <n v="20.0161025734538"/>
    <n v="5.5600284926260501"/>
  </r>
  <r>
    <x v="0"/>
    <x v="3"/>
    <x v="3"/>
    <x v="4"/>
    <s v="DE4-E_Offshore_A"/>
    <x v="25"/>
    <n v="22.356874337357301"/>
    <n v="6.2102428714881297"/>
  </r>
  <r>
    <x v="0"/>
    <x v="3"/>
    <x v="3"/>
    <x v="4"/>
    <s v="DE4-E_Offshore_A"/>
    <x v="26"/>
    <n v="29.6651032387655"/>
    <n v="8.2403064552126306"/>
  </r>
  <r>
    <x v="0"/>
    <x v="3"/>
    <x v="3"/>
    <x v="4"/>
    <s v="DE4-E_Offshore_A"/>
    <x v="27"/>
    <n v="21.049332228666099"/>
    <n v="5.8470367301850299"/>
  </r>
  <r>
    <x v="0"/>
    <x v="3"/>
    <x v="3"/>
    <x v="5"/>
    <s v="DE4-N_A"/>
    <x v="1"/>
    <n v="51.241600662800401"/>
    <n v="14.233777961889"/>
  </r>
  <r>
    <x v="0"/>
    <x v="3"/>
    <x v="3"/>
    <x v="5"/>
    <s v="DE4-N_A"/>
    <x v="2"/>
    <n v="57.96"/>
    <n v="16.100000000000001"/>
  </r>
  <r>
    <x v="0"/>
    <x v="3"/>
    <x v="3"/>
    <x v="5"/>
    <s v="DE4-N_A"/>
    <x v="0"/>
    <n v="42.692399999999999"/>
    <n v="11.859"/>
  </r>
  <r>
    <x v="0"/>
    <x v="3"/>
    <x v="3"/>
    <x v="5"/>
    <s v="DE4-N_A"/>
    <x v="3"/>
    <n v="57.7974681027342"/>
    <n v="16.054852250759499"/>
  </r>
  <r>
    <x v="0"/>
    <x v="3"/>
    <x v="3"/>
    <x v="5"/>
    <s v="DE4-N_A"/>
    <x v="4"/>
    <n v="8.1139884009941898"/>
    <n v="2.2538856669428302"/>
  </r>
  <r>
    <x v="0"/>
    <x v="3"/>
    <x v="3"/>
    <x v="5"/>
    <s v="DE4-N_A"/>
    <x v="5"/>
    <n v="8.1139884009941898"/>
    <n v="2.2538856669428302"/>
  </r>
  <r>
    <x v="0"/>
    <x v="3"/>
    <x v="3"/>
    <x v="5"/>
    <s v="DE4-N_A"/>
    <x v="6"/>
    <n v="30.770439105219602"/>
    <n v="8.5473441958943202"/>
  </r>
  <r>
    <x v="0"/>
    <x v="3"/>
    <x v="3"/>
    <x v="5"/>
    <s v="DE4-N_A"/>
    <x v="7"/>
    <n v="71.350180613090302"/>
    <n v="19.819494614747299"/>
  </r>
  <r>
    <x v="0"/>
    <x v="3"/>
    <x v="3"/>
    <x v="5"/>
    <s v="DE4-N_A"/>
    <x v="8"/>
    <n v="71.350180613090302"/>
    <n v="19.819494614747299"/>
  </r>
  <r>
    <x v="0"/>
    <x v="3"/>
    <x v="3"/>
    <x v="5"/>
    <s v="DE4-N_A"/>
    <x v="9"/>
    <n v="44.803327257663497"/>
    <n v="12.4453686826843"/>
  </r>
  <r>
    <x v="0"/>
    <x v="3"/>
    <x v="3"/>
    <x v="5"/>
    <s v="DE4-N_A"/>
    <x v="10"/>
    <n v="54.681226180612903"/>
    <n v="15.1892294946147"/>
  </r>
  <r>
    <x v="0"/>
    <x v="3"/>
    <x v="3"/>
    <x v="5"/>
    <s v="DE4-N_A"/>
    <x v="11"/>
    <n v="3.8806031483015802"/>
    <n v="1.07794531897266"/>
  </r>
  <r>
    <x v="0"/>
    <x v="3"/>
    <x v="3"/>
    <x v="5"/>
    <s v="DE4-N_A"/>
    <x v="12"/>
    <n v="9.7995028997514597E-2"/>
    <n v="2.72208413881985E-2"/>
  </r>
  <r>
    <x v="0"/>
    <x v="3"/>
    <x v="3"/>
    <x v="5"/>
    <s v="DE4-N_A"/>
    <x v="13"/>
    <n v="21.5197083678542"/>
    <n v="5.9776967688483804"/>
  </r>
  <r>
    <x v="0"/>
    <x v="3"/>
    <x v="3"/>
    <x v="5"/>
    <s v="DE4-N_A"/>
    <x v="14"/>
    <n v="21.5197083678542"/>
    <n v="5.9776967688483804"/>
  </r>
  <r>
    <x v="0"/>
    <x v="3"/>
    <x v="3"/>
    <x v="5"/>
    <s v="DE4-N_A"/>
    <x v="15"/>
    <n v="1.65807589063794"/>
    <n v="0.46057663628831802"/>
  </r>
  <r>
    <x v="0"/>
    <x v="3"/>
    <x v="3"/>
    <x v="5"/>
    <s v="DE4-N_A"/>
    <x v="16"/>
    <n v="8.3492014028755008"/>
    <n v="2.31922261190986"/>
  </r>
  <r>
    <x v="0"/>
    <x v="3"/>
    <x v="3"/>
    <x v="5"/>
    <s v="DE4-N_A"/>
    <x v="17"/>
    <n v="9.5251168185584092"/>
    <n v="2.6458657829328902"/>
  </r>
  <r>
    <x v="0"/>
    <x v="3"/>
    <x v="3"/>
    <x v="5"/>
    <s v="DE4-N_A"/>
    <x v="18"/>
    <n v="21.5197083678542"/>
    <n v="5.9776967688483804"/>
  </r>
  <r>
    <x v="0"/>
    <x v="3"/>
    <x v="3"/>
    <x v="5"/>
    <s v="DE4-N_A"/>
    <x v="19"/>
    <n v="8.1139884009941898"/>
    <n v="2.2538856669428302"/>
  </r>
  <r>
    <x v="0"/>
    <x v="3"/>
    <x v="3"/>
    <x v="5"/>
    <s v="DE4-N_A"/>
    <x v="20"/>
    <n v="19.336735244541"/>
    <n v="5.37131534570584"/>
  </r>
  <r>
    <x v="0"/>
    <x v="3"/>
    <x v="3"/>
    <x v="5"/>
    <s v="DE4-N_A"/>
    <x v="21"/>
    <n v="53.225806451612797"/>
    <n v="14.784946236559099"/>
  </r>
  <r>
    <x v="0"/>
    <x v="3"/>
    <x v="3"/>
    <x v="5"/>
    <s v="DE4-N_A"/>
    <x v="22"/>
    <n v="130.68"/>
    <n v="36.299999999999997"/>
  </r>
  <r>
    <x v="0"/>
    <x v="3"/>
    <x v="3"/>
    <x v="5"/>
    <s v="DE4-N_A"/>
    <x v="23"/>
    <n v="0.35278210439105201"/>
    <n v="9.7995028997514499E-2"/>
  </r>
  <r>
    <x v="0"/>
    <x v="3"/>
    <x v="3"/>
    <x v="5"/>
    <s v="DE4-N_A"/>
    <x v="24"/>
    <n v="20.0161025734538"/>
    <n v="5.5600284926260501"/>
  </r>
  <r>
    <x v="0"/>
    <x v="3"/>
    <x v="3"/>
    <x v="5"/>
    <s v="DE4-N_A"/>
    <x v="25"/>
    <n v="22.356874337357301"/>
    <n v="6.2102428714881297"/>
  </r>
  <r>
    <x v="0"/>
    <x v="3"/>
    <x v="3"/>
    <x v="5"/>
    <s v="DE4-N_A"/>
    <x v="26"/>
    <n v="29.6651032387655"/>
    <n v="8.2403064552126306"/>
  </r>
  <r>
    <x v="0"/>
    <x v="3"/>
    <x v="3"/>
    <x v="5"/>
    <s v="DE4-N_A"/>
    <x v="27"/>
    <n v="21.049332228666099"/>
    <n v="5.8470367301850299"/>
  </r>
  <r>
    <x v="0"/>
    <x v="3"/>
    <x v="3"/>
    <x v="5"/>
    <s v="DE4-N_Offshore_A"/>
    <x v="1"/>
    <n v="51.241600662800401"/>
    <n v="14.233777961889"/>
  </r>
  <r>
    <x v="0"/>
    <x v="3"/>
    <x v="3"/>
    <x v="5"/>
    <s v="DE4-N_Offshore_A"/>
    <x v="2"/>
    <n v="57.96"/>
    <n v="16.100000000000001"/>
  </r>
  <r>
    <x v="0"/>
    <x v="3"/>
    <x v="3"/>
    <x v="5"/>
    <s v="DE4-N_Offshore_A"/>
    <x v="0"/>
    <n v="42.692399999999999"/>
    <n v="11.859"/>
  </r>
  <r>
    <x v="0"/>
    <x v="3"/>
    <x v="3"/>
    <x v="5"/>
    <s v="DE4-N_Offshore_A"/>
    <x v="3"/>
    <n v="57.7974681027342"/>
    <n v="16.054852250759499"/>
  </r>
  <r>
    <x v="0"/>
    <x v="3"/>
    <x v="3"/>
    <x v="5"/>
    <s v="DE4-N_Offshore_A"/>
    <x v="4"/>
    <n v="8.1139884009941898"/>
    <n v="2.2538856669428302"/>
  </r>
  <r>
    <x v="0"/>
    <x v="3"/>
    <x v="3"/>
    <x v="5"/>
    <s v="DE4-N_Offshore_A"/>
    <x v="5"/>
    <n v="8.1139884009941898"/>
    <n v="2.2538856669428302"/>
  </r>
  <r>
    <x v="0"/>
    <x v="3"/>
    <x v="3"/>
    <x v="5"/>
    <s v="DE4-N_Offshore_A"/>
    <x v="6"/>
    <n v="30.770439105219602"/>
    <n v="8.5473441958943202"/>
  </r>
  <r>
    <x v="0"/>
    <x v="3"/>
    <x v="3"/>
    <x v="5"/>
    <s v="DE4-N_Offshore_A"/>
    <x v="7"/>
    <n v="71.350180613090302"/>
    <n v="19.819494614747299"/>
  </r>
  <r>
    <x v="0"/>
    <x v="3"/>
    <x v="3"/>
    <x v="5"/>
    <s v="DE4-N_Offshore_A"/>
    <x v="8"/>
    <n v="71.350180613090302"/>
    <n v="19.819494614747299"/>
  </r>
  <r>
    <x v="0"/>
    <x v="3"/>
    <x v="3"/>
    <x v="5"/>
    <s v="DE4-N_Offshore_A"/>
    <x v="9"/>
    <n v="44.803327257663497"/>
    <n v="12.4453686826843"/>
  </r>
  <r>
    <x v="0"/>
    <x v="3"/>
    <x v="3"/>
    <x v="5"/>
    <s v="DE4-N_Offshore_A"/>
    <x v="10"/>
    <n v="54.681226180612903"/>
    <n v="15.1892294946147"/>
  </r>
  <r>
    <x v="0"/>
    <x v="3"/>
    <x v="3"/>
    <x v="5"/>
    <s v="DE4-N_Offshore_A"/>
    <x v="11"/>
    <n v="3.8806031483015802"/>
    <n v="1.07794531897266"/>
  </r>
  <r>
    <x v="0"/>
    <x v="3"/>
    <x v="3"/>
    <x v="5"/>
    <s v="DE4-N_Offshore_A"/>
    <x v="12"/>
    <n v="9.7995028997514597E-2"/>
    <n v="2.72208413881985E-2"/>
  </r>
  <r>
    <x v="0"/>
    <x v="3"/>
    <x v="3"/>
    <x v="5"/>
    <s v="DE4-N_Offshore_A"/>
    <x v="13"/>
    <n v="21.5197083678542"/>
    <n v="5.9776967688483804"/>
  </r>
  <r>
    <x v="0"/>
    <x v="3"/>
    <x v="3"/>
    <x v="5"/>
    <s v="DE4-N_Offshore_A"/>
    <x v="14"/>
    <n v="21.5197083678542"/>
    <n v="5.9776967688483804"/>
  </r>
  <r>
    <x v="0"/>
    <x v="3"/>
    <x v="3"/>
    <x v="5"/>
    <s v="DE4-N_Offshore_A"/>
    <x v="15"/>
    <n v="1.65807589063794"/>
    <n v="0.46057663628831802"/>
  </r>
  <r>
    <x v="0"/>
    <x v="3"/>
    <x v="3"/>
    <x v="5"/>
    <s v="DE4-N_Offshore_A"/>
    <x v="16"/>
    <n v="8.3492014028755008"/>
    <n v="2.31922261190986"/>
  </r>
  <r>
    <x v="0"/>
    <x v="3"/>
    <x v="3"/>
    <x v="5"/>
    <s v="DE4-N_Offshore_A"/>
    <x v="17"/>
    <n v="9.5251168185584092"/>
    <n v="2.6458657829328902"/>
  </r>
  <r>
    <x v="0"/>
    <x v="3"/>
    <x v="3"/>
    <x v="5"/>
    <s v="DE4-N_Offshore_A"/>
    <x v="18"/>
    <n v="21.5197083678542"/>
    <n v="5.9776967688483804"/>
  </r>
  <r>
    <x v="0"/>
    <x v="3"/>
    <x v="3"/>
    <x v="5"/>
    <s v="DE4-N_Offshore_A"/>
    <x v="19"/>
    <n v="8.1139884009941898"/>
    <n v="2.2538856669428302"/>
  </r>
  <r>
    <x v="0"/>
    <x v="3"/>
    <x v="3"/>
    <x v="5"/>
    <s v="DE4-N_Offshore_A"/>
    <x v="20"/>
    <n v="19.336735244541"/>
    <n v="5.37131534570584"/>
  </r>
  <r>
    <x v="0"/>
    <x v="3"/>
    <x v="3"/>
    <x v="5"/>
    <s v="DE4-N_Offshore_A"/>
    <x v="21"/>
    <n v="53.225806451612797"/>
    <n v="14.784946236559099"/>
  </r>
  <r>
    <x v="0"/>
    <x v="3"/>
    <x v="3"/>
    <x v="5"/>
    <s v="DE4-N_Offshore_A"/>
    <x v="22"/>
    <n v="130.68"/>
    <n v="36.299999999999997"/>
  </r>
  <r>
    <x v="0"/>
    <x v="3"/>
    <x v="3"/>
    <x v="5"/>
    <s v="DE4-N_Offshore_A"/>
    <x v="23"/>
    <n v="0.35278210439105201"/>
    <n v="9.7995028997514499E-2"/>
  </r>
  <r>
    <x v="0"/>
    <x v="3"/>
    <x v="3"/>
    <x v="5"/>
    <s v="DE4-N_Offshore_A"/>
    <x v="24"/>
    <n v="20.0161025734538"/>
    <n v="5.5600284926260501"/>
  </r>
  <r>
    <x v="0"/>
    <x v="3"/>
    <x v="3"/>
    <x v="5"/>
    <s v="DE4-N_Offshore_A"/>
    <x v="25"/>
    <n v="22.356874337357301"/>
    <n v="6.2102428714881297"/>
  </r>
  <r>
    <x v="0"/>
    <x v="3"/>
    <x v="3"/>
    <x v="5"/>
    <s v="DE4-N_Offshore_A"/>
    <x v="26"/>
    <n v="29.6651032387655"/>
    <n v="8.2403064552126306"/>
  </r>
  <r>
    <x v="0"/>
    <x v="3"/>
    <x v="3"/>
    <x v="5"/>
    <s v="DE4-N_Offshore_A"/>
    <x v="27"/>
    <n v="21.049332228666099"/>
    <n v="5.8470367301850299"/>
  </r>
  <r>
    <x v="0"/>
    <x v="3"/>
    <x v="3"/>
    <x v="6"/>
    <s v="DE4-S_A"/>
    <x v="1"/>
    <n v="51.241600662800401"/>
    <n v="14.233777961889"/>
  </r>
  <r>
    <x v="0"/>
    <x v="3"/>
    <x v="3"/>
    <x v="6"/>
    <s v="DE4-S_A"/>
    <x v="2"/>
    <n v="57.96"/>
    <n v="16.100000000000001"/>
  </r>
  <r>
    <x v="0"/>
    <x v="3"/>
    <x v="3"/>
    <x v="6"/>
    <s v="DE4-S_A"/>
    <x v="0"/>
    <n v="42.692399999999999"/>
    <n v="11.859"/>
  </r>
  <r>
    <x v="0"/>
    <x v="3"/>
    <x v="3"/>
    <x v="6"/>
    <s v="DE4-S_A"/>
    <x v="3"/>
    <n v="57.7974681027342"/>
    <n v="16.054852250759499"/>
  </r>
  <r>
    <x v="0"/>
    <x v="3"/>
    <x v="3"/>
    <x v="6"/>
    <s v="DE4-S_A"/>
    <x v="4"/>
    <n v="8.1139884009941898"/>
    <n v="2.2538856669428302"/>
  </r>
  <r>
    <x v="0"/>
    <x v="3"/>
    <x v="3"/>
    <x v="6"/>
    <s v="DE4-S_A"/>
    <x v="5"/>
    <n v="8.1139884009941898"/>
    <n v="2.2538856669428302"/>
  </r>
  <r>
    <x v="0"/>
    <x v="3"/>
    <x v="3"/>
    <x v="6"/>
    <s v="DE4-S_A"/>
    <x v="6"/>
    <n v="30.770439105219602"/>
    <n v="8.5473441958943202"/>
  </r>
  <r>
    <x v="0"/>
    <x v="3"/>
    <x v="3"/>
    <x v="6"/>
    <s v="DE4-S_A"/>
    <x v="7"/>
    <n v="71.350180613090302"/>
    <n v="19.819494614747299"/>
  </r>
  <r>
    <x v="0"/>
    <x v="3"/>
    <x v="3"/>
    <x v="6"/>
    <s v="DE4-S_A"/>
    <x v="8"/>
    <n v="71.350180613090302"/>
    <n v="19.819494614747299"/>
  </r>
  <r>
    <x v="0"/>
    <x v="3"/>
    <x v="3"/>
    <x v="6"/>
    <s v="DE4-S_A"/>
    <x v="9"/>
    <n v="44.803327257663497"/>
    <n v="12.4453686826843"/>
  </r>
  <r>
    <x v="0"/>
    <x v="3"/>
    <x v="3"/>
    <x v="6"/>
    <s v="DE4-S_A"/>
    <x v="10"/>
    <n v="54.681226180612903"/>
    <n v="15.1892294946147"/>
  </r>
  <r>
    <x v="0"/>
    <x v="3"/>
    <x v="3"/>
    <x v="6"/>
    <s v="DE4-S_A"/>
    <x v="11"/>
    <n v="3.8806031483015802"/>
    <n v="1.07794531897266"/>
  </r>
  <r>
    <x v="0"/>
    <x v="3"/>
    <x v="3"/>
    <x v="6"/>
    <s v="DE4-S_A"/>
    <x v="12"/>
    <n v="9.7995028997514597E-2"/>
    <n v="2.72208413881985E-2"/>
  </r>
  <r>
    <x v="0"/>
    <x v="3"/>
    <x v="3"/>
    <x v="6"/>
    <s v="DE4-S_A"/>
    <x v="13"/>
    <n v="21.5197083678542"/>
    <n v="5.9776967688483804"/>
  </r>
  <r>
    <x v="0"/>
    <x v="3"/>
    <x v="3"/>
    <x v="6"/>
    <s v="DE4-S_A"/>
    <x v="14"/>
    <n v="21.5197083678542"/>
    <n v="5.9776967688483804"/>
  </r>
  <r>
    <x v="0"/>
    <x v="3"/>
    <x v="3"/>
    <x v="6"/>
    <s v="DE4-S_A"/>
    <x v="15"/>
    <n v="1.65807589063794"/>
    <n v="0.46057663628831802"/>
  </r>
  <r>
    <x v="0"/>
    <x v="3"/>
    <x v="3"/>
    <x v="6"/>
    <s v="DE4-S_A"/>
    <x v="16"/>
    <n v="8.3492014028755008"/>
    <n v="2.31922261190986"/>
  </r>
  <r>
    <x v="0"/>
    <x v="3"/>
    <x v="3"/>
    <x v="6"/>
    <s v="DE4-S_A"/>
    <x v="17"/>
    <n v="9.5251168185584092"/>
    <n v="2.6458657829328902"/>
  </r>
  <r>
    <x v="0"/>
    <x v="3"/>
    <x v="3"/>
    <x v="6"/>
    <s v="DE4-S_A"/>
    <x v="18"/>
    <n v="21.5197083678542"/>
    <n v="5.9776967688483804"/>
  </r>
  <r>
    <x v="0"/>
    <x v="3"/>
    <x v="3"/>
    <x v="6"/>
    <s v="DE4-S_A"/>
    <x v="19"/>
    <n v="8.1139884009941898"/>
    <n v="2.2538856669428302"/>
  </r>
  <r>
    <x v="0"/>
    <x v="3"/>
    <x v="3"/>
    <x v="6"/>
    <s v="DE4-S_A"/>
    <x v="20"/>
    <n v="19.336735244541"/>
    <n v="5.37131534570584"/>
  </r>
  <r>
    <x v="0"/>
    <x v="3"/>
    <x v="3"/>
    <x v="6"/>
    <s v="DE4-S_A"/>
    <x v="21"/>
    <n v="53.225806451612797"/>
    <n v="14.784946236559099"/>
  </r>
  <r>
    <x v="0"/>
    <x v="3"/>
    <x v="3"/>
    <x v="6"/>
    <s v="DE4-S_A"/>
    <x v="22"/>
    <n v="130.68"/>
    <n v="36.299999999999997"/>
  </r>
  <r>
    <x v="0"/>
    <x v="3"/>
    <x v="3"/>
    <x v="6"/>
    <s v="DE4-S_A"/>
    <x v="23"/>
    <n v="0.35278210439105201"/>
    <n v="9.7995028997514499E-2"/>
  </r>
  <r>
    <x v="0"/>
    <x v="3"/>
    <x v="3"/>
    <x v="6"/>
    <s v="DE4-S_A"/>
    <x v="24"/>
    <n v="20.0161025734538"/>
    <n v="5.5600284926260501"/>
  </r>
  <r>
    <x v="0"/>
    <x v="3"/>
    <x v="3"/>
    <x v="6"/>
    <s v="DE4-S_A"/>
    <x v="25"/>
    <n v="22.356874337357301"/>
    <n v="6.2102428714881297"/>
  </r>
  <r>
    <x v="0"/>
    <x v="3"/>
    <x v="3"/>
    <x v="6"/>
    <s v="DE4-S_A"/>
    <x v="26"/>
    <n v="29.6651032387655"/>
    <n v="8.2403064552126306"/>
  </r>
  <r>
    <x v="0"/>
    <x v="3"/>
    <x v="3"/>
    <x v="6"/>
    <s v="DE4-S_A"/>
    <x v="27"/>
    <n v="21.049332228666099"/>
    <n v="5.8470367301850299"/>
  </r>
  <r>
    <x v="0"/>
    <x v="3"/>
    <x v="3"/>
    <x v="7"/>
    <s v="DE4-W_A"/>
    <x v="1"/>
    <n v="51.241600662800401"/>
    <n v="14.233777961889"/>
  </r>
  <r>
    <x v="0"/>
    <x v="3"/>
    <x v="3"/>
    <x v="7"/>
    <s v="DE4-W_A"/>
    <x v="2"/>
    <n v="57.96"/>
    <n v="16.100000000000001"/>
  </r>
  <r>
    <x v="0"/>
    <x v="3"/>
    <x v="3"/>
    <x v="7"/>
    <s v="DE4-W_A"/>
    <x v="0"/>
    <n v="42.692399999999999"/>
    <n v="11.859"/>
  </r>
  <r>
    <x v="0"/>
    <x v="3"/>
    <x v="3"/>
    <x v="7"/>
    <s v="DE4-W_A"/>
    <x v="3"/>
    <n v="57.7974681027342"/>
    <n v="16.054852250759499"/>
  </r>
  <r>
    <x v="0"/>
    <x v="3"/>
    <x v="3"/>
    <x v="7"/>
    <s v="DE4-W_A"/>
    <x v="4"/>
    <n v="8.1139884009941898"/>
    <n v="2.2538856669428302"/>
  </r>
  <r>
    <x v="0"/>
    <x v="3"/>
    <x v="3"/>
    <x v="7"/>
    <s v="DE4-W_A"/>
    <x v="5"/>
    <n v="8.1139884009941898"/>
    <n v="2.2538856669428302"/>
  </r>
  <r>
    <x v="0"/>
    <x v="3"/>
    <x v="3"/>
    <x v="7"/>
    <s v="DE4-W_A"/>
    <x v="6"/>
    <n v="30.770439105219602"/>
    <n v="8.5473441958943202"/>
  </r>
  <r>
    <x v="0"/>
    <x v="3"/>
    <x v="3"/>
    <x v="7"/>
    <s v="DE4-W_A"/>
    <x v="7"/>
    <n v="71.350180613090302"/>
    <n v="19.819494614747299"/>
  </r>
  <r>
    <x v="0"/>
    <x v="3"/>
    <x v="3"/>
    <x v="7"/>
    <s v="DE4-W_A"/>
    <x v="8"/>
    <n v="71.350180613090302"/>
    <n v="19.819494614747299"/>
  </r>
  <r>
    <x v="0"/>
    <x v="3"/>
    <x v="3"/>
    <x v="7"/>
    <s v="DE4-W_A"/>
    <x v="9"/>
    <n v="44.803327257663497"/>
    <n v="12.4453686826843"/>
  </r>
  <r>
    <x v="0"/>
    <x v="3"/>
    <x v="3"/>
    <x v="7"/>
    <s v="DE4-W_A"/>
    <x v="10"/>
    <n v="54.681226180612903"/>
    <n v="15.1892294946147"/>
  </r>
  <r>
    <x v="0"/>
    <x v="3"/>
    <x v="3"/>
    <x v="7"/>
    <s v="DE4-W_A"/>
    <x v="11"/>
    <n v="3.8806031483015802"/>
    <n v="1.07794531897266"/>
  </r>
  <r>
    <x v="0"/>
    <x v="3"/>
    <x v="3"/>
    <x v="7"/>
    <s v="DE4-W_A"/>
    <x v="12"/>
    <n v="9.7995028997514597E-2"/>
    <n v="2.72208413881985E-2"/>
  </r>
  <r>
    <x v="0"/>
    <x v="3"/>
    <x v="3"/>
    <x v="7"/>
    <s v="DE4-W_A"/>
    <x v="13"/>
    <n v="21.5197083678542"/>
    <n v="5.9776967688483804"/>
  </r>
  <r>
    <x v="0"/>
    <x v="3"/>
    <x v="3"/>
    <x v="7"/>
    <s v="DE4-W_A"/>
    <x v="14"/>
    <n v="21.5197083678542"/>
    <n v="5.9776967688483804"/>
  </r>
  <r>
    <x v="0"/>
    <x v="3"/>
    <x v="3"/>
    <x v="7"/>
    <s v="DE4-W_A"/>
    <x v="15"/>
    <n v="1.65807589063794"/>
    <n v="0.46057663628831802"/>
  </r>
  <r>
    <x v="0"/>
    <x v="3"/>
    <x v="3"/>
    <x v="7"/>
    <s v="DE4-W_A"/>
    <x v="16"/>
    <n v="8.3492014028755008"/>
    <n v="2.31922261190986"/>
  </r>
  <r>
    <x v="0"/>
    <x v="3"/>
    <x v="3"/>
    <x v="7"/>
    <s v="DE4-W_A"/>
    <x v="17"/>
    <n v="9.5251168185584092"/>
    <n v="2.6458657829328902"/>
  </r>
  <r>
    <x v="0"/>
    <x v="3"/>
    <x v="3"/>
    <x v="7"/>
    <s v="DE4-W_A"/>
    <x v="18"/>
    <n v="21.5197083678542"/>
    <n v="5.9776967688483804"/>
  </r>
  <r>
    <x v="0"/>
    <x v="3"/>
    <x v="3"/>
    <x v="7"/>
    <s v="DE4-W_A"/>
    <x v="19"/>
    <n v="8.1139884009941898"/>
    <n v="2.2538856669428302"/>
  </r>
  <r>
    <x v="0"/>
    <x v="3"/>
    <x v="3"/>
    <x v="7"/>
    <s v="DE4-W_A"/>
    <x v="20"/>
    <n v="19.336735244541"/>
    <n v="5.37131534570584"/>
  </r>
  <r>
    <x v="0"/>
    <x v="3"/>
    <x v="3"/>
    <x v="7"/>
    <s v="DE4-W_A"/>
    <x v="21"/>
    <n v="53.225806451612797"/>
    <n v="14.784946236559099"/>
  </r>
  <r>
    <x v="0"/>
    <x v="3"/>
    <x v="3"/>
    <x v="7"/>
    <s v="DE4-W_A"/>
    <x v="22"/>
    <n v="130.68"/>
    <n v="36.299999999999997"/>
  </r>
  <r>
    <x v="0"/>
    <x v="3"/>
    <x v="3"/>
    <x v="7"/>
    <s v="DE4-W_A"/>
    <x v="23"/>
    <n v="0.35278210439105201"/>
    <n v="9.7995028997514499E-2"/>
  </r>
  <r>
    <x v="0"/>
    <x v="3"/>
    <x v="3"/>
    <x v="7"/>
    <s v="DE4-W_A"/>
    <x v="24"/>
    <n v="20.0161025734538"/>
    <n v="5.5600284926260501"/>
  </r>
  <r>
    <x v="0"/>
    <x v="3"/>
    <x v="3"/>
    <x v="7"/>
    <s v="DE4-W_A"/>
    <x v="25"/>
    <n v="22.356874337357301"/>
    <n v="6.2102428714881297"/>
  </r>
  <r>
    <x v="0"/>
    <x v="3"/>
    <x v="3"/>
    <x v="7"/>
    <s v="DE4-W_A"/>
    <x v="26"/>
    <n v="29.6651032387655"/>
    <n v="8.2403064552126306"/>
  </r>
  <r>
    <x v="0"/>
    <x v="3"/>
    <x v="3"/>
    <x v="7"/>
    <s v="DE4-W_A"/>
    <x v="27"/>
    <n v="21.049332228666099"/>
    <n v="5.8470367301850299"/>
  </r>
  <r>
    <x v="0"/>
    <x v="3"/>
    <x v="3"/>
    <x v="7"/>
    <s v="DE4-W_Offshore_A"/>
    <x v="1"/>
    <n v="51.241600662800401"/>
    <n v="14.233777961889"/>
  </r>
  <r>
    <x v="0"/>
    <x v="3"/>
    <x v="3"/>
    <x v="7"/>
    <s v="DE4-W_Offshore_A"/>
    <x v="2"/>
    <n v="57.96"/>
    <n v="16.100000000000001"/>
  </r>
  <r>
    <x v="0"/>
    <x v="3"/>
    <x v="3"/>
    <x v="7"/>
    <s v="DE4-W_Offshore_A"/>
    <x v="0"/>
    <n v="42.692399999999999"/>
    <n v="11.859"/>
  </r>
  <r>
    <x v="0"/>
    <x v="3"/>
    <x v="3"/>
    <x v="7"/>
    <s v="DE4-W_Offshore_A"/>
    <x v="3"/>
    <n v="57.7974681027342"/>
    <n v="16.054852250759499"/>
  </r>
  <r>
    <x v="0"/>
    <x v="3"/>
    <x v="3"/>
    <x v="7"/>
    <s v="DE4-W_Offshore_A"/>
    <x v="4"/>
    <n v="8.1139884009941898"/>
    <n v="2.2538856669428302"/>
  </r>
  <r>
    <x v="0"/>
    <x v="3"/>
    <x v="3"/>
    <x v="7"/>
    <s v="DE4-W_Offshore_A"/>
    <x v="5"/>
    <n v="8.1139884009941898"/>
    <n v="2.2538856669428302"/>
  </r>
  <r>
    <x v="0"/>
    <x v="3"/>
    <x v="3"/>
    <x v="7"/>
    <s v="DE4-W_Offshore_A"/>
    <x v="6"/>
    <n v="30.770439105219602"/>
    <n v="8.5473441958943202"/>
  </r>
  <r>
    <x v="0"/>
    <x v="3"/>
    <x v="3"/>
    <x v="7"/>
    <s v="DE4-W_Offshore_A"/>
    <x v="7"/>
    <n v="71.350180613090302"/>
    <n v="19.819494614747299"/>
  </r>
  <r>
    <x v="0"/>
    <x v="3"/>
    <x v="3"/>
    <x v="7"/>
    <s v="DE4-W_Offshore_A"/>
    <x v="8"/>
    <n v="71.350180613090302"/>
    <n v="19.819494614747299"/>
  </r>
  <r>
    <x v="0"/>
    <x v="3"/>
    <x v="3"/>
    <x v="7"/>
    <s v="DE4-W_Offshore_A"/>
    <x v="9"/>
    <n v="44.803327257663497"/>
    <n v="12.4453686826843"/>
  </r>
  <r>
    <x v="0"/>
    <x v="3"/>
    <x v="3"/>
    <x v="7"/>
    <s v="DE4-W_Offshore_A"/>
    <x v="10"/>
    <n v="54.681226180612903"/>
    <n v="15.1892294946147"/>
  </r>
  <r>
    <x v="0"/>
    <x v="3"/>
    <x v="3"/>
    <x v="7"/>
    <s v="DE4-W_Offshore_A"/>
    <x v="11"/>
    <n v="3.8806031483015802"/>
    <n v="1.07794531897266"/>
  </r>
  <r>
    <x v="0"/>
    <x v="3"/>
    <x v="3"/>
    <x v="7"/>
    <s v="DE4-W_Offshore_A"/>
    <x v="12"/>
    <n v="9.7995028997514597E-2"/>
    <n v="2.72208413881985E-2"/>
  </r>
  <r>
    <x v="0"/>
    <x v="3"/>
    <x v="3"/>
    <x v="7"/>
    <s v="DE4-W_Offshore_A"/>
    <x v="13"/>
    <n v="21.5197083678542"/>
    <n v="5.9776967688483804"/>
  </r>
  <r>
    <x v="0"/>
    <x v="3"/>
    <x v="3"/>
    <x v="7"/>
    <s v="DE4-W_Offshore_A"/>
    <x v="14"/>
    <n v="21.5197083678542"/>
    <n v="5.9776967688483804"/>
  </r>
  <r>
    <x v="0"/>
    <x v="3"/>
    <x v="3"/>
    <x v="7"/>
    <s v="DE4-W_Offshore_A"/>
    <x v="15"/>
    <n v="1.65807589063794"/>
    <n v="0.46057663628831802"/>
  </r>
  <r>
    <x v="0"/>
    <x v="3"/>
    <x v="3"/>
    <x v="7"/>
    <s v="DE4-W_Offshore_A"/>
    <x v="16"/>
    <n v="8.3492014028755008"/>
    <n v="2.31922261190986"/>
  </r>
  <r>
    <x v="0"/>
    <x v="3"/>
    <x v="3"/>
    <x v="7"/>
    <s v="DE4-W_Offshore_A"/>
    <x v="17"/>
    <n v="9.5251168185584092"/>
    <n v="2.6458657829328902"/>
  </r>
  <r>
    <x v="0"/>
    <x v="3"/>
    <x v="3"/>
    <x v="7"/>
    <s v="DE4-W_Offshore_A"/>
    <x v="18"/>
    <n v="21.5197083678542"/>
    <n v="5.9776967688483804"/>
  </r>
  <r>
    <x v="0"/>
    <x v="3"/>
    <x v="3"/>
    <x v="7"/>
    <s v="DE4-W_Offshore_A"/>
    <x v="19"/>
    <n v="8.1139884009941898"/>
    <n v="2.2538856669428302"/>
  </r>
  <r>
    <x v="0"/>
    <x v="3"/>
    <x v="3"/>
    <x v="7"/>
    <s v="DE4-W_Offshore_A"/>
    <x v="20"/>
    <n v="19.336735244541"/>
    <n v="5.37131534570584"/>
  </r>
  <r>
    <x v="0"/>
    <x v="3"/>
    <x v="3"/>
    <x v="7"/>
    <s v="DE4-W_Offshore_A"/>
    <x v="21"/>
    <n v="53.225806451612797"/>
    <n v="14.784946236559099"/>
  </r>
  <r>
    <x v="0"/>
    <x v="3"/>
    <x v="3"/>
    <x v="7"/>
    <s v="DE4-W_Offshore_A"/>
    <x v="22"/>
    <n v="130.68"/>
    <n v="36.299999999999997"/>
  </r>
  <r>
    <x v="0"/>
    <x v="3"/>
    <x v="3"/>
    <x v="7"/>
    <s v="DE4-W_Offshore_A"/>
    <x v="23"/>
    <n v="0.35278210439105201"/>
    <n v="9.7995028997514499E-2"/>
  </r>
  <r>
    <x v="0"/>
    <x v="3"/>
    <x v="3"/>
    <x v="7"/>
    <s v="DE4-W_Offshore_A"/>
    <x v="24"/>
    <n v="20.0161025734538"/>
    <n v="5.5600284926260501"/>
  </r>
  <r>
    <x v="0"/>
    <x v="3"/>
    <x v="3"/>
    <x v="7"/>
    <s v="DE4-W_Offshore_A"/>
    <x v="25"/>
    <n v="22.356874337357301"/>
    <n v="6.2102428714881297"/>
  </r>
  <r>
    <x v="0"/>
    <x v="3"/>
    <x v="3"/>
    <x v="7"/>
    <s v="DE4-W_Offshore_A"/>
    <x v="26"/>
    <n v="29.6651032387655"/>
    <n v="8.2403064552126306"/>
  </r>
  <r>
    <x v="0"/>
    <x v="3"/>
    <x v="3"/>
    <x v="7"/>
    <s v="DE4-W_Offshore_A"/>
    <x v="27"/>
    <n v="21.049332228666099"/>
    <n v="5.8470367301850299"/>
  </r>
  <r>
    <x v="0"/>
    <x v="3"/>
    <x v="4"/>
    <x v="8"/>
    <s v="LV_A"/>
    <x v="1"/>
    <n v="51.241600662800401"/>
    <n v="14.233777961889"/>
  </r>
  <r>
    <x v="0"/>
    <x v="3"/>
    <x v="4"/>
    <x v="8"/>
    <s v="LV_A"/>
    <x v="2"/>
    <n v="57.96"/>
    <n v="16.100000000000001"/>
  </r>
  <r>
    <x v="0"/>
    <x v="3"/>
    <x v="4"/>
    <x v="8"/>
    <s v="LV_A"/>
    <x v="0"/>
    <n v="42.692399999999999"/>
    <n v="11.859"/>
  </r>
  <r>
    <x v="0"/>
    <x v="3"/>
    <x v="4"/>
    <x v="8"/>
    <s v="LV_A"/>
    <x v="3"/>
    <n v="57.7974681027342"/>
    <n v="16.054852250759499"/>
  </r>
  <r>
    <x v="0"/>
    <x v="3"/>
    <x v="4"/>
    <x v="8"/>
    <s v="LV_A"/>
    <x v="4"/>
    <n v="8.1139884009941898"/>
    <n v="2.2538856669428302"/>
  </r>
  <r>
    <x v="0"/>
    <x v="3"/>
    <x v="4"/>
    <x v="8"/>
    <s v="LV_A"/>
    <x v="5"/>
    <n v="8.1139884009941898"/>
    <n v="2.2538856669428302"/>
  </r>
  <r>
    <x v="0"/>
    <x v="3"/>
    <x v="4"/>
    <x v="8"/>
    <s v="LV_A"/>
    <x v="6"/>
    <n v="30.770439105219602"/>
    <n v="8.5473441958943202"/>
  </r>
  <r>
    <x v="0"/>
    <x v="3"/>
    <x v="4"/>
    <x v="8"/>
    <s v="LV_A"/>
    <x v="7"/>
    <n v="71.350180613090302"/>
    <n v="19.819494614747299"/>
  </r>
  <r>
    <x v="0"/>
    <x v="3"/>
    <x v="4"/>
    <x v="8"/>
    <s v="LV_A"/>
    <x v="8"/>
    <n v="71.350180613090302"/>
    <n v="19.819494614747299"/>
  </r>
  <r>
    <x v="0"/>
    <x v="3"/>
    <x v="4"/>
    <x v="8"/>
    <s v="LV_A"/>
    <x v="9"/>
    <n v="44.803327257663497"/>
    <n v="12.4453686826843"/>
  </r>
  <r>
    <x v="0"/>
    <x v="3"/>
    <x v="4"/>
    <x v="8"/>
    <s v="LV_A"/>
    <x v="10"/>
    <n v="54.681226180612903"/>
    <n v="15.1892294946147"/>
  </r>
  <r>
    <x v="0"/>
    <x v="3"/>
    <x v="4"/>
    <x v="8"/>
    <s v="LV_A"/>
    <x v="11"/>
    <n v="3.8806031483015802"/>
    <n v="1.07794531897266"/>
  </r>
  <r>
    <x v="0"/>
    <x v="3"/>
    <x v="4"/>
    <x v="8"/>
    <s v="LV_A"/>
    <x v="12"/>
    <n v="9.7995028997514597E-2"/>
    <n v="2.72208413881985E-2"/>
  </r>
  <r>
    <x v="0"/>
    <x v="3"/>
    <x v="4"/>
    <x v="8"/>
    <s v="LV_A"/>
    <x v="13"/>
    <n v="21.5197083678542"/>
    <n v="5.9776967688483804"/>
  </r>
  <r>
    <x v="0"/>
    <x v="3"/>
    <x v="4"/>
    <x v="8"/>
    <s v="LV_A"/>
    <x v="14"/>
    <n v="21.5197083678542"/>
    <n v="5.9776967688483804"/>
  </r>
  <r>
    <x v="0"/>
    <x v="3"/>
    <x v="4"/>
    <x v="8"/>
    <s v="LV_A"/>
    <x v="15"/>
    <n v="1.65807589063794"/>
    <n v="0.46057663628831802"/>
  </r>
  <r>
    <x v="0"/>
    <x v="3"/>
    <x v="4"/>
    <x v="8"/>
    <s v="LV_A"/>
    <x v="16"/>
    <n v="8.3492014028755008"/>
    <n v="2.31922261190986"/>
  </r>
  <r>
    <x v="0"/>
    <x v="3"/>
    <x v="4"/>
    <x v="8"/>
    <s v="LV_A"/>
    <x v="17"/>
    <n v="9.5251168185584092"/>
    <n v="2.6458657829328902"/>
  </r>
  <r>
    <x v="0"/>
    <x v="3"/>
    <x v="4"/>
    <x v="8"/>
    <s v="LV_A"/>
    <x v="18"/>
    <n v="21.5197083678542"/>
    <n v="5.9776967688483804"/>
  </r>
  <r>
    <x v="0"/>
    <x v="3"/>
    <x v="4"/>
    <x v="8"/>
    <s v="LV_A"/>
    <x v="19"/>
    <n v="8.1139884009941898"/>
    <n v="2.2538856669428302"/>
  </r>
  <r>
    <x v="0"/>
    <x v="3"/>
    <x v="4"/>
    <x v="8"/>
    <s v="LV_A"/>
    <x v="20"/>
    <n v="19.336735244541"/>
    <n v="5.37131534570584"/>
  </r>
  <r>
    <x v="0"/>
    <x v="3"/>
    <x v="4"/>
    <x v="8"/>
    <s v="LV_A"/>
    <x v="21"/>
    <n v="53.225806451612797"/>
    <n v="14.784946236559099"/>
  </r>
  <r>
    <x v="0"/>
    <x v="3"/>
    <x v="4"/>
    <x v="8"/>
    <s v="LV_A"/>
    <x v="22"/>
    <n v="130.68"/>
    <n v="36.299999999999997"/>
  </r>
  <r>
    <x v="0"/>
    <x v="3"/>
    <x v="4"/>
    <x v="8"/>
    <s v="LV_A"/>
    <x v="23"/>
    <n v="0.35278210439105201"/>
    <n v="9.7995028997514499E-2"/>
  </r>
  <r>
    <x v="0"/>
    <x v="3"/>
    <x v="4"/>
    <x v="8"/>
    <s v="LV_A"/>
    <x v="24"/>
    <n v="20.0161025734538"/>
    <n v="5.5600284926260501"/>
  </r>
  <r>
    <x v="0"/>
    <x v="3"/>
    <x v="4"/>
    <x v="8"/>
    <s v="LV_A"/>
    <x v="25"/>
    <n v="22.356874337357301"/>
    <n v="6.2102428714881297"/>
  </r>
  <r>
    <x v="0"/>
    <x v="3"/>
    <x v="4"/>
    <x v="8"/>
    <s v="LV_A"/>
    <x v="26"/>
    <n v="29.6651032387655"/>
    <n v="8.2403064552126306"/>
  </r>
  <r>
    <x v="0"/>
    <x v="3"/>
    <x v="4"/>
    <x v="8"/>
    <s v="LV_A"/>
    <x v="27"/>
    <n v="21.049332228666099"/>
    <n v="5.8470367301850299"/>
  </r>
  <r>
    <x v="0"/>
    <x v="3"/>
    <x v="4"/>
    <x v="8"/>
    <s v="LV_OFFSHORE"/>
    <x v="1"/>
    <n v="51.241600662800401"/>
    <n v="14.233777961889"/>
  </r>
  <r>
    <x v="0"/>
    <x v="3"/>
    <x v="4"/>
    <x v="8"/>
    <s v="LV_OFFSHORE"/>
    <x v="2"/>
    <n v="57.96"/>
    <n v="16.100000000000001"/>
  </r>
  <r>
    <x v="0"/>
    <x v="3"/>
    <x v="4"/>
    <x v="8"/>
    <s v="LV_OFFSHORE"/>
    <x v="0"/>
    <n v="42.692399999999999"/>
    <n v="11.859"/>
  </r>
  <r>
    <x v="0"/>
    <x v="3"/>
    <x v="4"/>
    <x v="8"/>
    <s v="LV_OFFSHORE"/>
    <x v="3"/>
    <n v="57.7974681027342"/>
    <n v="16.054852250759499"/>
  </r>
  <r>
    <x v="0"/>
    <x v="3"/>
    <x v="4"/>
    <x v="8"/>
    <s v="LV_OFFSHORE"/>
    <x v="4"/>
    <n v="8.1139884009941898"/>
    <n v="2.2538856669428302"/>
  </r>
  <r>
    <x v="0"/>
    <x v="3"/>
    <x v="4"/>
    <x v="8"/>
    <s v="LV_OFFSHORE"/>
    <x v="5"/>
    <n v="8.1139884009941898"/>
    <n v="2.2538856669428302"/>
  </r>
  <r>
    <x v="0"/>
    <x v="3"/>
    <x v="4"/>
    <x v="8"/>
    <s v="LV_OFFSHORE"/>
    <x v="6"/>
    <n v="30.770439105219602"/>
    <n v="8.5473441958943202"/>
  </r>
  <r>
    <x v="0"/>
    <x v="3"/>
    <x v="4"/>
    <x v="8"/>
    <s v="LV_OFFSHORE"/>
    <x v="7"/>
    <n v="71.350180613090302"/>
    <n v="19.819494614747299"/>
  </r>
  <r>
    <x v="0"/>
    <x v="3"/>
    <x v="4"/>
    <x v="8"/>
    <s v="LV_OFFSHORE"/>
    <x v="8"/>
    <n v="71.350180613090302"/>
    <n v="19.819494614747299"/>
  </r>
  <r>
    <x v="0"/>
    <x v="3"/>
    <x v="4"/>
    <x v="8"/>
    <s v="LV_OFFSHORE"/>
    <x v="9"/>
    <n v="44.803327257663497"/>
    <n v="12.4453686826843"/>
  </r>
  <r>
    <x v="0"/>
    <x v="3"/>
    <x v="4"/>
    <x v="8"/>
    <s v="LV_OFFSHORE"/>
    <x v="10"/>
    <n v="54.681226180612903"/>
    <n v="15.1892294946147"/>
  </r>
  <r>
    <x v="0"/>
    <x v="3"/>
    <x v="4"/>
    <x v="8"/>
    <s v="LV_OFFSHORE"/>
    <x v="11"/>
    <n v="3.8806031483015802"/>
    <n v="1.07794531897266"/>
  </r>
  <r>
    <x v="0"/>
    <x v="3"/>
    <x v="4"/>
    <x v="8"/>
    <s v="LV_OFFSHORE"/>
    <x v="12"/>
    <n v="9.7995028997514597E-2"/>
    <n v="2.72208413881985E-2"/>
  </r>
  <r>
    <x v="0"/>
    <x v="3"/>
    <x v="4"/>
    <x v="8"/>
    <s v="LV_OFFSHORE"/>
    <x v="13"/>
    <n v="21.5197083678542"/>
    <n v="5.9776967688483804"/>
  </r>
  <r>
    <x v="0"/>
    <x v="3"/>
    <x v="4"/>
    <x v="8"/>
    <s v="LV_OFFSHORE"/>
    <x v="14"/>
    <n v="21.5197083678542"/>
    <n v="5.9776967688483804"/>
  </r>
  <r>
    <x v="0"/>
    <x v="3"/>
    <x v="4"/>
    <x v="8"/>
    <s v="LV_OFFSHORE"/>
    <x v="15"/>
    <n v="1.65807589063794"/>
    <n v="0.46057663628831802"/>
  </r>
  <r>
    <x v="0"/>
    <x v="3"/>
    <x v="4"/>
    <x v="8"/>
    <s v="LV_OFFSHORE"/>
    <x v="16"/>
    <n v="8.3492014028755008"/>
    <n v="2.31922261190986"/>
  </r>
  <r>
    <x v="0"/>
    <x v="3"/>
    <x v="4"/>
    <x v="8"/>
    <s v="LV_OFFSHORE"/>
    <x v="17"/>
    <n v="9.5251168185584092"/>
    <n v="2.6458657829328902"/>
  </r>
  <r>
    <x v="0"/>
    <x v="3"/>
    <x v="4"/>
    <x v="8"/>
    <s v="LV_OFFSHORE"/>
    <x v="18"/>
    <n v="21.5197083678542"/>
    <n v="5.9776967688483804"/>
  </r>
  <r>
    <x v="0"/>
    <x v="3"/>
    <x v="4"/>
    <x v="8"/>
    <s v="LV_OFFSHORE"/>
    <x v="19"/>
    <n v="8.1139884009941898"/>
    <n v="2.2538856669428302"/>
  </r>
  <r>
    <x v="0"/>
    <x v="3"/>
    <x v="4"/>
    <x v="8"/>
    <s v="LV_OFFSHORE"/>
    <x v="20"/>
    <n v="19.336735244541"/>
    <n v="5.37131534570584"/>
  </r>
  <r>
    <x v="0"/>
    <x v="3"/>
    <x v="4"/>
    <x v="8"/>
    <s v="LV_OFFSHORE"/>
    <x v="21"/>
    <n v="53.225806451612797"/>
    <n v="14.784946236559099"/>
  </r>
  <r>
    <x v="0"/>
    <x v="3"/>
    <x v="4"/>
    <x v="8"/>
    <s v="LV_OFFSHORE"/>
    <x v="22"/>
    <n v="130.68"/>
    <n v="36.299999999999997"/>
  </r>
  <r>
    <x v="0"/>
    <x v="3"/>
    <x v="4"/>
    <x v="8"/>
    <s v="LV_OFFSHORE"/>
    <x v="23"/>
    <n v="0.35278210439105201"/>
    <n v="9.7995028997514499E-2"/>
  </r>
  <r>
    <x v="0"/>
    <x v="3"/>
    <x v="4"/>
    <x v="8"/>
    <s v="LV_OFFSHORE"/>
    <x v="24"/>
    <n v="20.0161025734538"/>
    <n v="5.5600284926260501"/>
  </r>
  <r>
    <x v="0"/>
    <x v="3"/>
    <x v="4"/>
    <x v="8"/>
    <s v="LV_OFFSHORE"/>
    <x v="25"/>
    <n v="22.356874337357301"/>
    <n v="6.2102428714881297"/>
  </r>
  <r>
    <x v="0"/>
    <x v="3"/>
    <x v="4"/>
    <x v="8"/>
    <s v="LV_OFFSHORE"/>
    <x v="26"/>
    <n v="29.6651032387655"/>
    <n v="8.2403064552126306"/>
  </r>
  <r>
    <x v="0"/>
    <x v="3"/>
    <x v="4"/>
    <x v="8"/>
    <s v="LV_OFFSHORE"/>
    <x v="27"/>
    <n v="21.049332228666099"/>
    <n v="5.8470367301850299"/>
  </r>
  <r>
    <x v="0"/>
    <x v="3"/>
    <x v="4"/>
    <x v="8"/>
    <s v="LV_Other_DH"/>
    <x v="1"/>
    <n v="51.241600662800401"/>
    <n v="14.233777961889"/>
  </r>
  <r>
    <x v="0"/>
    <x v="3"/>
    <x v="4"/>
    <x v="8"/>
    <s v="LV_Other_DH"/>
    <x v="2"/>
    <n v="57.96"/>
    <n v="16.100000000000001"/>
  </r>
  <r>
    <x v="0"/>
    <x v="3"/>
    <x v="4"/>
    <x v="8"/>
    <s v="LV_Other_DH"/>
    <x v="0"/>
    <n v="42.692399999999999"/>
    <n v="11.859"/>
  </r>
  <r>
    <x v="0"/>
    <x v="3"/>
    <x v="4"/>
    <x v="8"/>
    <s v="LV_Other_DH"/>
    <x v="3"/>
    <n v="57.7974681027342"/>
    <n v="16.054852250759499"/>
  </r>
  <r>
    <x v="0"/>
    <x v="3"/>
    <x v="4"/>
    <x v="8"/>
    <s v="LV_Other_DH"/>
    <x v="4"/>
    <n v="8.1139884009941898"/>
    <n v="2.2538856669428302"/>
  </r>
  <r>
    <x v="0"/>
    <x v="3"/>
    <x v="4"/>
    <x v="8"/>
    <s v="LV_Other_DH"/>
    <x v="5"/>
    <n v="8.1139884009941898"/>
    <n v="2.2538856669428302"/>
  </r>
  <r>
    <x v="0"/>
    <x v="3"/>
    <x v="4"/>
    <x v="8"/>
    <s v="LV_Other_DH"/>
    <x v="6"/>
    <n v="30.770439105219602"/>
    <n v="8.5473441958943202"/>
  </r>
  <r>
    <x v="0"/>
    <x v="3"/>
    <x v="4"/>
    <x v="8"/>
    <s v="LV_Other_DH"/>
    <x v="7"/>
    <n v="71.350180613090302"/>
    <n v="19.819494614747299"/>
  </r>
  <r>
    <x v="0"/>
    <x v="3"/>
    <x v="4"/>
    <x v="8"/>
    <s v="LV_Other_DH"/>
    <x v="8"/>
    <n v="71.350180613090302"/>
    <n v="19.819494614747299"/>
  </r>
  <r>
    <x v="0"/>
    <x v="3"/>
    <x v="4"/>
    <x v="8"/>
    <s v="LV_Other_DH"/>
    <x v="9"/>
    <n v="44.803327257663497"/>
    <n v="12.4453686826843"/>
  </r>
  <r>
    <x v="0"/>
    <x v="3"/>
    <x v="4"/>
    <x v="8"/>
    <s v="LV_Other_DH"/>
    <x v="10"/>
    <n v="54.681226180612903"/>
    <n v="15.1892294946147"/>
  </r>
  <r>
    <x v="0"/>
    <x v="3"/>
    <x v="4"/>
    <x v="8"/>
    <s v="LV_Other_DH"/>
    <x v="11"/>
    <n v="3.8806031483015802"/>
    <n v="1.07794531897266"/>
  </r>
  <r>
    <x v="0"/>
    <x v="3"/>
    <x v="4"/>
    <x v="8"/>
    <s v="LV_Other_DH"/>
    <x v="12"/>
    <n v="9.7995028997514597E-2"/>
    <n v="2.72208413881985E-2"/>
  </r>
  <r>
    <x v="0"/>
    <x v="3"/>
    <x v="4"/>
    <x v="8"/>
    <s v="LV_Other_DH"/>
    <x v="13"/>
    <n v="21.5197083678542"/>
    <n v="5.9776967688483804"/>
  </r>
  <r>
    <x v="0"/>
    <x v="3"/>
    <x v="4"/>
    <x v="8"/>
    <s v="LV_Other_DH"/>
    <x v="14"/>
    <n v="21.5197083678542"/>
    <n v="5.9776967688483804"/>
  </r>
  <r>
    <x v="0"/>
    <x v="3"/>
    <x v="4"/>
    <x v="8"/>
    <s v="LV_Other_DH"/>
    <x v="15"/>
    <n v="1.65807589063794"/>
    <n v="0.46057663628831802"/>
  </r>
  <r>
    <x v="0"/>
    <x v="3"/>
    <x v="4"/>
    <x v="8"/>
    <s v="LV_Other_DH"/>
    <x v="16"/>
    <n v="8.3492014028755008"/>
    <n v="2.31922261190986"/>
  </r>
  <r>
    <x v="0"/>
    <x v="3"/>
    <x v="4"/>
    <x v="8"/>
    <s v="LV_Other_DH"/>
    <x v="17"/>
    <n v="9.5251168185584092"/>
    <n v="2.6458657829328902"/>
  </r>
  <r>
    <x v="0"/>
    <x v="3"/>
    <x v="4"/>
    <x v="8"/>
    <s v="LV_Other_DH"/>
    <x v="18"/>
    <n v="21.5197083678542"/>
    <n v="5.9776967688483804"/>
  </r>
  <r>
    <x v="0"/>
    <x v="3"/>
    <x v="4"/>
    <x v="8"/>
    <s v="LV_Other_DH"/>
    <x v="19"/>
    <n v="8.1139884009941898"/>
    <n v="2.2538856669428302"/>
  </r>
  <r>
    <x v="0"/>
    <x v="3"/>
    <x v="4"/>
    <x v="8"/>
    <s v="LV_Other_DH"/>
    <x v="20"/>
    <n v="19.336735244541"/>
    <n v="5.37131534570584"/>
  </r>
  <r>
    <x v="0"/>
    <x v="3"/>
    <x v="4"/>
    <x v="8"/>
    <s v="LV_Other_DH"/>
    <x v="21"/>
    <n v="53.225806451612797"/>
    <n v="14.784946236559099"/>
  </r>
  <r>
    <x v="0"/>
    <x v="3"/>
    <x v="4"/>
    <x v="8"/>
    <s v="LV_Other_DH"/>
    <x v="22"/>
    <n v="130.68"/>
    <n v="36.299999999999997"/>
  </r>
  <r>
    <x v="0"/>
    <x v="3"/>
    <x v="4"/>
    <x v="8"/>
    <s v="LV_Other_DH"/>
    <x v="23"/>
    <n v="0.35278210439105201"/>
    <n v="9.7995028997514499E-2"/>
  </r>
  <r>
    <x v="0"/>
    <x v="3"/>
    <x v="4"/>
    <x v="8"/>
    <s v="LV_Other_DH"/>
    <x v="24"/>
    <n v="20.0161025734538"/>
    <n v="5.5600284926260501"/>
  </r>
  <r>
    <x v="0"/>
    <x v="3"/>
    <x v="4"/>
    <x v="8"/>
    <s v="LV_Other_DH"/>
    <x v="25"/>
    <n v="22.356874337357301"/>
    <n v="6.2102428714881297"/>
  </r>
  <r>
    <x v="0"/>
    <x v="3"/>
    <x v="4"/>
    <x v="8"/>
    <s v="LV_Other_DH"/>
    <x v="26"/>
    <n v="29.6651032387655"/>
    <n v="8.2403064552126306"/>
  </r>
  <r>
    <x v="0"/>
    <x v="3"/>
    <x v="4"/>
    <x v="8"/>
    <s v="LV_Other_DH"/>
    <x v="27"/>
    <n v="21.049332228666099"/>
    <n v="5.8470367301850299"/>
  </r>
  <r>
    <x v="0"/>
    <x v="3"/>
    <x v="4"/>
    <x v="8"/>
    <s v="LV_RigaR"/>
    <x v="1"/>
    <n v="51.241600662800401"/>
    <n v="14.233777961889"/>
  </r>
  <r>
    <x v="0"/>
    <x v="3"/>
    <x v="4"/>
    <x v="8"/>
    <s v="LV_RigaR"/>
    <x v="2"/>
    <n v="57.96"/>
    <n v="16.100000000000001"/>
  </r>
  <r>
    <x v="0"/>
    <x v="3"/>
    <x v="4"/>
    <x v="8"/>
    <s v="LV_RigaR"/>
    <x v="0"/>
    <n v="42.692399999999999"/>
    <n v="11.859"/>
  </r>
  <r>
    <x v="0"/>
    <x v="3"/>
    <x v="4"/>
    <x v="8"/>
    <s v="LV_RigaR"/>
    <x v="3"/>
    <n v="57.7974681027342"/>
    <n v="16.054852250759499"/>
  </r>
  <r>
    <x v="0"/>
    <x v="3"/>
    <x v="4"/>
    <x v="8"/>
    <s v="LV_RigaR"/>
    <x v="4"/>
    <n v="8.1139884009941898"/>
    <n v="2.2538856669428302"/>
  </r>
  <r>
    <x v="0"/>
    <x v="3"/>
    <x v="4"/>
    <x v="8"/>
    <s v="LV_RigaR"/>
    <x v="5"/>
    <n v="8.1139884009941898"/>
    <n v="2.2538856669428302"/>
  </r>
  <r>
    <x v="0"/>
    <x v="3"/>
    <x v="4"/>
    <x v="8"/>
    <s v="LV_RigaR"/>
    <x v="6"/>
    <n v="30.770439105219602"/>
    <n v="8.5473441958943202"/>
  </r>
  <r>
    <x v="0"/>
    <x v="3"/>
    <x v="4"/>
    <x v="8"/>
    <s v="LV_RigaR"/>
    <x v="7"/>
    <n v="71.350180613090302"/>
    <n v="19.819494614747299"/>
  </r>
  <r>
    <x v="0"/>
    <x v="3"/>
    <x v="4"/>
    <x v="8"/>
    <s v="LV_RigaR"/>
    <x v="8"/>
    <n v="71.350180613090302"/>
    <n v="19.819494614747299"/>
  </r>
  <r>
    <x v="0"/>
    <x v="3"/>
    <x v="4"/>
    <x v="8"/>
    <s v="LV_RigaR"/>
    <x v="9"/>
    <n v="44.803327257663497"/>
    <n v="12.4453686826843"/>
  </r>
  <r>
    <x v="0"/>
    <x v="3"/>
    <x v="4"/>
    <x v="8"/>
    <s v="LV_RigaR"/>
    <x v="10"/>
    <n v="54.681226180612903"/>
    <n v="15.1892294946147"/>
  </r>
  <r>
    <x v="0"/>
    <x v="3"/>
    <x v="4"/>
    <x v="8"/>
    <s v="LV_RigaR"/>
    <x v="11"/>
    <n v="3.8806031483015802"/>
    <n v="1.07794531897266"/>
  </r>
  <r>
    <x v="0"/>
    <x v="3"/>
    <x v="4"/>
    <x v="8"/>
    <s v="LV_RigaR"/>
    <x v="12"/>
    <n v="9.7995028997514597E-2"/>
    <n v="2.72208413881985E-2"/>
  </r>
  <r>
    <x v="0"/>
    <x v="3"/>
    <x v="4"/>
    <x v="8"/>
    <s v="LV_RigaR"/>
    <x v="13"/>
    <n v="21.5197083678542"/>
    <n v="5.9776967688483804"/>
  </r>
  <r>
    <x v="0"/>
    <x v="3"/>
    <x v="4"/>
    <x v="8"/>
    <s v="LV_RigaR"/>
    <x v="14"/>
    <n v="21.5197083678542"/>
    <n v="5.9776967688483804"/>
  </r>
  <r>
    <x v="0"/>
    <x v="3"/>
    <x v="4"/>
    <x v="8"/>
    <s v="LV_RigaR"/>
    <x v="15"/>
    <n v="1.65807589063794"/>
    <n v="0.46057663628831802"/>
  </r>
  <r>
    <x v="0"/>
    <x v="3"/>
    <x v="4"/>
    <x v="8"/>
    <s v="LV_RigaR"/>
    <x v="16"/>
    <n v="8.3492014028755008"/>
    <n v="2.31922261190986"/>
  </r>
  <r>
    <x v="0"/>
    <x v="3"/>
    <x v="4"/>
    <x v="8"/>
    <s v="LV_RigaR"/>
    <x v="17"/>
    <n v="9.5251168185584092"/>
    <n v="2.6458657829328902"/>
  </r>
  <r>
    <x v="0"/>
    <x v="3"/>
    <x v="4"/>
    <x v="8"/>
    <s v="LV_RigaR"/>
    <x v="18"/>
    <n v="21.5197083678542"/>
    <n v="5.9776967688483804"/>
  </r>
  <r>
    <x v="0"/>
    <x v="3"/>
    <x v="4"/>
    <x v="8"/>
    <s v="LV_RigaR"/>
    <x v="19"/>
    <n v="8.1139884009941898"/>
    <n v="2.2538856669428302"/>
  </r>
  <r>
    <x v="0"/>
    <x v="3"/>
    <x v="4"/>
    <x v="8"/>
    <s v="LV_RigaR"/>
    <x v="20"/>
    <n v="19.336735244541"/>
    <n v="5.37131534570584"/>
  </r>
  <r>
    <x v="0"/>
    <x v="3"/>
    <x v="4"/>
    <x v="8"/>
    <s v="LV_RigaR"/>
    <x v="21"/>
    <n v="53.225806451612797"/>
    <n v="14.784946236559099"/>
  </r>
  <r>
    <x v="0"/>
    <x v="3"/>
    <x v="4"/>
    <x v="8"/>
    <s v="LV_RigaR"/>
    <x v="22"/>
    <n v="130.68"/>
    <n v="36.299999999999997"/>
  </r>
  <r>
    <x v="0"/>
    <x v="3"/>
    <x v="4"/>
    <x v="8"/>
    <s v="LV_RigaR"/>
    <x v="23"/>
    <n v="0.35278210439105201"/>
    <n v="9.7995028997514499E-2"/>
  </r>
  <r>
    <x v="0"/>
    <x v="3"/>
    <x v="4"/>
    <x v="8"/>
    <s v="LV_RigaR"/>
    <x v="24"/>
    <n v="20.0161025734538"/>
    <n v="5.5600284926260501"/>
  </r>
  <r>
    <x v="0"/>
    <x v="3"/>
    <x v="4"/>
    <x v="8"/>
    <s v="LV_RigaR"/>
    <x v="25"/>
    <n v="22.356874337357301"/>
    <n v="6.2102428714881297"/>
  </r>
  <r>
    <x v="0"/>
    <x v="3"/>
    <x v="4"/>
    <x v="8"/>
    <s v="LV_RigaR"/>
    <x v="26"/>
    <n v="29.6651032387655"/>
    <n v="8.2403064552126306"/>
  </r>
  <r>
    <x v="0"/>
    <x v="3"/>
    <x v="4"/>
    <x v="8"/>
    <s v="LV_RigaR"/>
    <x v="27"/>
    <n v="21.049332228666099"/>
    <n v="5.8470367301850299"/>
  </r>
  <r>
    <x v="0"/>
    <x v="3"/>
    <x v="4"/>
    <x v="8"/>
    <s v="LV_Rural"/>
    <x v="1"/>
    <n v="51.241600662800401"/>
    <n v="14.233777961889"/>
  </r>
  <r>
    <x v="0"/>
    <x v="3"/>
    <x v="4"/>
    <x v="8"/>
    <s v="LV_Rural"/>
    <x v="2"/>
    <n v="57.96"/>
    <n v="16.100000000000001"/>
  </r>
  <r>
    <x v="0"/>
    <x v="3"/>
    <x v="4"/>
    <x v="8"/>
    <s v="LV_Rural"/>
    <x v="0"/>
    <n v="42.692399999999999"/>
    <n v="11.859"/>
  </r>
  <r>
    <x v="0"/>
    <x v="3"/>
    <x v="4"/>
    <x v="8"/>
    <s v="LV_Rural"/>
    <x v="3"/>
    <n v="57.7974681027342"/>
    <n v="16.054852250759499"/>
  </r>
  <r>
    <x v="0"/>
    <x v="3"/>
    <x v="4"/>
    <x v="8"/>
    <s v="LV_Rural"/>
    <x v="4"/>
    <n v="8.1139884009941898"/>
    <n v="2.2538856669428302"/>
  </r>
  <r>
    <x v="0"/>
    <x v="3"/>
    <x v="4"/>
    <x v="8"/>
    <s v="LV_Rural"/>
    <x v="5"/>
    <n v="8.1139884009941898"/>
    <n v="2.2538856669428302"/>
  </r>
  <r>
    <x v="0"/>
    <x v="3"/>
    <x v="4"/>
    <x v="8"/>
    <s v="LV_Rural"/>
    <x v="6"/>
    <n v="30.770439105219602"/>
    <n v="8.5473441958943202"/>
  </r>
  <r>
    <x v="0"/>
    <x v="3"/>
    <x v="4"/>
    <x v="8"/>
    <s v="LV_Rural"/>
    <x v="7"/>
    <n v="71.350180613090302"/>
    <n v="19.819494614747299"/>
  </r>
  <r>
    <x v="0"/>
    <x v="3"/>
    <x v="4"/>
    <x v="8"/>
    <s v="LV_Rural"/>
    <x v="8"/>
    <n v="71.350180613090302"/>
    <n v="19.819494614747299"/>
  </r>
  <r>
    <x v="0"/>
    <x v="3"/>
    <x v="4"/>
    <x v="8"/>
    <s v="LV_Rural"/>
    <x v="9"/>
    <n v="44.803327257663497"/>
    <n v="12.4453686826843"/>
  </r>
  <r>
    <x v="0"/>
    <x v="3"/>
    <x v="4"/>
    <x v="8"/>
    <s v="LV_Rural"/>
    <x v="10"/>
    <n v="54.681226180612903"/>
    <n v="15.1892294946147"/>
  </r>
  <r>
    <x v="0"/>
    <x v="3"/>
    <x v="4"/>
    <x v="8"/>
    <s v="LV_Rural"/>
    <x v="11"/>
    <n v="3.8806031483015802"/>
    <n v="1.07794531897266"/>
  </r>
  <r>
    <x v="0"/>
    <x v="3"/>
    <x v="4"/>
    <x v="8"/>
    <s v="LV_Rural"/>
    <x v="12"/>
    <n v="9.7995028997514597E-2"/>
    <n v="2.72208413881985E-2"/>
  </r>
  <r>
    <x v="0"/>
    <x v="3"/>
    <x v="4"/>
    <x v="8"/>
    <s v="LV_Rural"/>
    <x v="13"/>
    <n v="21.5197083678542"/>
    <n v="5.9776967688483804"/>
  </r>
  <r>
    <x v="0"/>
    <x v="3"/>
    <x v="4"/>
    <x v="8"/>
    <s v="LV_Rural"/>
    <x v="14"/>
    <n v="21.5197083678542"/>
    <n v="5.9776967688483804"/>
  </r>
  <r>
    <x v="0"/>
    <x v="3"/>
    <x v="4"/>
    <x v="8"/>
    <s v="LV_Rural"/>
    <x v="15"/>
    <n v="1.65807589063794"/>
    <n v="0.46057663628831802"/>
  </r>
  <r>
    <x v="0"/>
    <x v="3"/>
    <x v="4"/>
    <x v="8"/>
    <s v="LV_Rural"/>
    <x v="16"/>
    <n v="8.3492014028755008"/>
    <n v="2.31922261190986"/>
  </r>
  <r>
    <x v="0"/>
    <x v="3"/>
    <x v="4"/>
    <x v="8"/>
    <s v="LV_Rural"/>
    <x v="17"/>
    <n v="9.5251168185584092"/>
    <n v="2.6458657829328902"/>
  </r>
  <r>
    <x v="0"/>
    <x v="3"/>
    <x v="4"/>
    <x v="8"/>
    <s v="LV_Rural"/>
    <x v="18"/>
    <n v="21.5197083678542"/>
    <n v="5.9776967688483804"/>
  </r>
  <r>
    <x v="0"/>
    <x v="3"/>
    <x v="4"/>
    <x v="8"/>
    <s v="LV_Rural"/>
    <x v="19"/>
    <n v="8.1139884009941898"/>
    <n v="2.2538856669428302"/>
  </r>
  <r>
    <x v="0"/>
    <x v="3"/>
    <x v="4"/>
    <x v="8"/>
    <s v="LV_Rural"/>
    <x v="20"/>
    <n v="19.336735244541"/>
    <n v="5.37131534570584"/>
  </r>
  <r>
    <x v="0"/>
    <x v="3"/>
    <x v="4"/>
    <x v="8"/>
    <s v="LV_Rural"/>
    <x v="21"/>
    <n v="53.225806451612797"/>
    <n v="14.784946236559099"/>
  </r>
  <r>
    <x v="0"/>
    <x v="3"/>
    <x v="4"/>
    <x v="8"/>
    <s v="LV_Rural"/>
    <x v="22"/>
    <n v="130.68"/>
    <n v="36.299999999999997"/>
  </r>
  <r>
    <x v="0"/>
    <x v="3"/>
    <x v="4"/>
    <x v="8"/>
    <s v="LV_Rural"/>
    <x v="23"/>
    <n v="0.35278210439105201"/>
    <n v="9.7995028997514499E-2"/>
  </r>
  <r>
    <x v="0"/>
    <x v="3"/>
    <x v="4"/>
    <x v="8"/>
    <s v="LV_Rural"/>
    <x v="24"/>
    <n v="20.0161025734538"/>
    <n v="5.5600284926260501"/>
  </r>
  <r>
    <x v="0"/>
    <x v="3"/>
    <x v="4"/>
    <x v="8"/>
    <s v="LV_Rural"/>
    <x v="25"/>
    <n v="22.356874337357301"/>
    <n v="6.2102428714881297"/>
  </r>
  <r>
    <x v="0"/>
    <x v="3"/>
    <x v="4"/>
    <x v="8"/>
    <s v="LV_Rural"/>
    <x v="26"/>
    <n v="29.6651032387655"/>
    <n v="8.2403064552126306"/>
  </r>
  <r>
    <x v="0"/>
    <x v="3"/>
    <x v="4"/>
    <x v="8"/>
    <s v="LV_Rural"/>
    <x v="27"/>
    <n v="21.049332228666099"/>
    <n v="5.8470367301850299"/>
  </r>
  <r>
    <x v="0"/>
    <x v="3"/>
    <x v="5"/>
    <x v="9"/>
    <s v="LT_A"/>
    <x v="1"/>
    <n v="51.241600662800401"/>
    <n v="14.233777961889"/>
  </r>
  <r>
    <x v="0"/>
    <x v="3"/>
    <x v="5"/>
    <x v="9"/>
    <s v="LT_A"/>
    <x v="2"/>
    <n v="57.96"/>
    <n v="16.100000000000001"/>
  </r>
  <r>
    <x v="0"/>
    <x v="3"/>
    <x v="5"/>
    <x v="9"/>
    <s v="LT_A"/>
    <x v="0"/>
    <n v="42.692399999999999"/>
    <n v="11.859"/>
  </r>
  <r>
    <x v="0"/>
    <x v="3"/>
    <x v="5"/>
    <x v="9"/>
    <s v="LT_A"/>
    <x v="3"/>
    <n v="57.7974681027342"/>
    <n v="16.054852250759499"/>
  </r>
  <r>
    <x v="0"/>
    <x v="3"/>
    <x v="5"/>
    <x v="9"/>
    <s v="LT_A"/>
    <x v="4"/>
    <n v="8.1139884009941898"/>
    <n v="2.2538856669428302"/>
  </r>
  <r>
    <x v="0"/>
    <x v="3"/>
    <x v="5"/>
    <x v="9"/>
    <s v="LT_A"/>
    <x v="5"/>
    <n v="8.1139884009941898"/>
    <n v="2.2538856669428302"/>
  </r>
  <r>
    <x v="0"/>
    <x v="3"/>
    <x v="5"/>
    <x v="9"/>
    <s v="LT_A"/>
    <x v="6"/>
    <n v="30.770439105219602"/>
    <n v="8.5473441958943202"/>
  </r>
  <r>
    <x v="0"/>
    <x v="3"/>
    <x v="5"/>
    <x v="9"/>
    <s v="LT_A"/>
    <x v="7"/>
    <n v="71.350180613090302"/>
    <n v="19.819494614747299"/>
  </r>
  <r>
    <x v="0"/>
    <x v="3"/>
    <x v="5"/>
    <x v="9"/>
    <s v="LT_A"/>
    <x v="8"/>
    <n v="71.350180613090302"/>
    <n v="19.819494614747299"/>
  </r>
  <r>
    <x v="0"/>
    <x v="3"/>
    <x v="5"/>
    <x v="9"/>
    <s v="LT_A"/>
    <x v="9"/>
    <n v="44.803327257663497"/>
    <n v="12.4453686826843"/>
  </r>
  <r>
    <x v="0"/>
    <x v="3"/>
    <x v="5"/>
    <x v="9"/>
    <s v="LT_A"/>
    <x v="10"/>
    <n v="54.681226180612903"/>
    <n v="15.1892294946147"/>
  </r>
  <r>
    <x v="0"/>
    <x v="3"/>
    <x v="5"/>
    <x v="9"/>
    <s v="LT_A"/>
    <x v="11"/>
    <n v="3.8806031483015802"/>
    <n v="1.07794531897266"/>
  </r>
  <r>
    <x v="0"/>
    <x v="3"/>
    <x v="5"/>
    <x v="9"/>
    <s v="LT_A"/>
    <x v="12"/>
    <n v="9.7995028997514597E-2"/>
    <n v="2.72208413881985E-2"/>
  </r>
  <r>
    <x v="0"/>
    <x v="3"/>
    <x v="5"/>
    <x v="9"/>
    <s v="LT_A"/>
    <x v="13"/>
    <n v="21.5197083678542"/>
    <n v="5.9776967688483804"/>
  </r>
  <r>
    <x v="0"/>
    <x v="3"/>
    <x v="5"/>
    <x v="9"/>
    <s v="LT_A"/>
    <x v="14"/>
    <n v="21.5197083678542"/>
    <n v="5.9776967688483804"/>
  </r>
  <r>
    <x v="0"/>
    <x v="3"/>
    <x v="5"/>
    <x v="9"/>
    <s v="LT_A"/>
    <x v="15"/>
    <n v="1.65807589063794"/>
    <n v="0.46057663628831802"/>
  </r>
  <r>
    <x v="0"/>
    <x v="3"/>
    <x v="5"/>
    <x v="9"/>
    <s v="LT_A"/>
    <x v="16"/>
    <n v="8.3492014028755008"/>
    <n v="2.31922261190986"/>
  </r>
  <r>
    <x v="0"/>
    <x v="3"/>
    <x v="5"/>
    <x v="9"/>
    <s v="LT_A"/>
    <x v="17"/>
    <n v="9.5251168185584092"/>
    <n v="2.6458657829328902"/>
  </r>
  <r>
    <x v="0"/>
    <x v="3"/>
    <x v="5"/>
    <x v="9"/>
    <s v="LT_A"/>
    <x v="18"/>
    <n v="21.5197083678542"/>
    <n v="5.9776967688483804"/>
  </r>
  <r>
    <x v="0"/>
    <x v="3"/>
    <x v="5"/>
    <x v="9"/>
    <s v="LT_A"/>
    <x v="19"/>
    <n v="8.1139884009941898"/>
    <n v="2.2538856669428302"/>
  </r>
  <r>
    <x v="0"/>
    <x v="3"/>
    <x v="5"/>
    <x v="9"/>
    <s v="LT_A"/>
    <x v="20"/>
    <n v="19.336735244541"/>
    <n v="5.37131534570584"/>
  </r>
  <r>
    <x v="0"/>
    <x v="3"/>
    <x v="5"/>
    <x v="9"/>
    <s v="LT_A"/>
    <x v="21"/>
    <n v="53.225806451612797"/>
    <n v="14.784946236559099"/>
  </r>
  <r>
    <x v="0"/>
    <x v="3"/>
    <x v="5"/>
    <x v="9"/>
    <s v="LT_A"/>
    <x v="22"/>
    <n v="130.68"/>
    <n v="36.299999999999997"/>
  </r>
  <r>
    <x v="0"/>
    <x v="3"/>
    <x v="5"/>
    <x v="9"/>
    <s v="LT_A"/>
    <x v="23"/>
    <n v="0.35278210439105201"/>
    <n v="9.7995028997514499E-2"/>
  </r>
  <r>
    <x v="0"/>
    <x v="3"/>
    <x v="5"/>
    <x v="9"/>
    <s v="LT_A"/>
    <x v="24"/>
    <n v="20.0161025734538"/>
    <n v="5.5600284926260501"/>
  </r>
  <r>
    <x v="0"/>
    <x v="3"/>
    <x v="5"/>
    <x v="9"/>
    <s v="LT_A"/>
    <x v="25"/>
    <n v="22.356874337357301"/>
    <n v="6.2102428714881297"/>
  </r>
  <r>
    <x v="0"/>
    <x v="3"/>
    <x v="5"/>
    <x v="9"/>
    <s v="LT_A"/>
    <x v="26"/>
    <n v="29.6651032387655"/>
    <n v="8.2403064552126306"/>
  </r>
  <r>
    <x v="0"/>
    <x v="3"/>
    <x v="5"/>
    <x v="9"/>
    <s v="LT_A"/>
    <x v="27"/>
    <n v="21.049332228666099"/>
    <n v="5.8470367301850299"/>
  </r>
  <r>
    <x v="0"/>
    <x v="3"/>
    <x v="5"/>
    <x v="9"/>
    <s v="LT_KauU"/>
    <x v="1"/>
    <n v="51.241600662800401"/>
    <n v="14.233777961889"/>
  </r>
  <r>
    <x v="0"/>
    <x v="3"/>
    <x v="5"/>
    <x v="9"/>
    <s v="LT_KauU"/>
    <x v="2"/>
    <n v="57.96"/>
    <n v="16.100000000000001"/>
  </r>
  <r>
    <x v="0"/>
    <x v="3"/>
    <x v="5"/>
    <x v="9"/>
    <s v="LT_KauU"/>
    <x v="0"/>
    <n v="42.692399999999999"/>
    <n v="11.859"/>
  </r>
  <r>
    <x v="0"/>
    <x v="3"/>
    <x v="5"/>
    <x v="9"/>
    <s v="LT_KauU"/>
    <x v="3"/>
    <n v="57.7974681027342"/>
    <n v="16.054852250759499"/>
  </r>
  <r>
    <x v="0"/>
    <x v="3"/>
    <x v="5"/>
    <x v="9"/>
    <s v="LT_KauU"/>
    <x v="4"/>
    <n v="8.1139884009941898"/>
    <n v="2.2538856669428302"/>
  </r>
  <r>
    <x v="0"/>
    <x v="3"/>
    <x v="5"/>
    <x v="9"/>
    <s v="LT_KauU"/>
    <x v="5"/>
    <n v="8.1139884009941898"/>
    <n v="2.2538856669428302"/>
  </r>
  <r>
    <x v="0"/>
    <x v="3"/>
    <x v="5"/>
    <x v="9"/>
    <s v="LT_KauU"/>
    <x v="6"/>
    <n v="30.770439105219602"/>
    <n v="8.5473441958943202"/>
  </r>
  <r>
    <x v="0"/>
    <x v="3"/>
    <x v="5"/>
    <x v="9"/>
    <s v="LT_KauU"/>
    <x v="7"/>
    <n v="71.350180613090302"/>
    <n v="19.819494614747299"/>
  </r>
  <r>
    <x v="0"/>
    <x v="3"/>
    <x v="5"/>
    <x v="9"/>
    <s v="LT_KauU"/>
    <x v="8"/>
    <n v="71.350180613090302"/>
    <n v="19.819494614747299"/>
  </r>
  <r>
    <x v="0"/>
    <x v="3"/>
    <x v="5"/>
    <x v="9"/>
    <s v="LT_KauU"/>
    <x v="9"/>
    <n v="44.803327257663497"/>
    <n v="12.4453686826843"/>
  </r>
  <r>
    <x v="0"/>
    <x v="3"/>
    <x v="5"/>
    <x v="9"/>
    <s v="LT_KauU"/>
    <x v="10"/>
    <n v="54.681226180612903"/>
    <n v="15.1892294946147"/>
  </r>
  <r>
    <x v="0"/>
    <x v="3"/>
    <x v="5"/>
    <x v="9"/>
    <s v="LT_KauU"/>
    <x v="11"/>
    <n v="3.8806031483015802"/>
    <n v="1.07794531897266"/>
  </r>
  <r>
    <x v="0"/>
    <x v="3"/>
    <x v="5"/>
    <x v="9"/>
    <s v="LT_KauU"/>
    <x v="12"/>
    <n v="9.7995028997514597E-2"/>
    <n v="2.72208413881985E-2"/>
  </r>
  <r>
    <x v="0"/>
    <x v="3"/>
    <x v="5"/>
    <x v="9"/>
    <s v="LT_KauU"/>
    <x v="13"/>
    <n v="21.5197083678542"/>
    <n v="5.9776967688483804"/>
  </r>
  <r>
    <x v="0"/>
    <x v="3"/>
    <x v="5"/>
    <x v="9"/>
    <s v="LT_KauU"/>
    <x v="14"/>
    <n v="21.5197083678542"/>
    <n v="5.9776967688483804"/>
  </r>
  <r>
    <x v="0"/>
    <x v="3"/>
    <x v="5"/>
    <x v="9"/>
    <s v="LT_KauU"/>
    <x v="15"/>
    <n v="1.65807589063794"/>
    <n v="0.46057663628831802"/>
  </r>
  <r>
    <x v="0"/>
    <x v="3"/>
    <x v="5"/>
    <x v="9"/>
    <s v="LT_KauU"/>
    <x v="16"/>
    <n v="8.3492014028755008"/>
    <n v="2.31922261190986"/>
  </r>
  <r>
    <x v="0"/>
    <x v="3"/>
    <x v="5"/>
    <x v="9"/>
    <s v="LT_KauU"/>
    <x v="17"/>
    <n v="9.5251168185584092"/>
    <n v="2.6458657829328902"/>
  </r>
  <r>
    <x v="0"/>
    <x v="3"/>
    <x v="5"/>
    <x v="9"/>
    <s v="LT_KauU"/>
    <x v="18"/>
    <n v="21.5197083678542"/>
    <n v="5.9776967688483804"/>
  </r>
  <r>
    <x v="0"/>
    <x v="3"/>
    <x v="5"/>
    <x v="9"/>
    <s v="LT_KauU"/>
    <x v="19"/>
    <n v="8.1139884009941898"/>
    <n v="2.2538856669428302"/>
  </r>
  <r>
    <x v="0"/>
    <x v="3"/>
    <x v="5"/>
    <x v="9"/>
    <s v="LT_KauU"/>
    <x v="20"/>
    <n v="19.336735244541"/>
    <n v="5.37131534570584"/>
  </r>
  <r>
    <x v="0"/>
    <x v="3"/>
    <x v="5"/>
    <x v="9"/>
    <s v="LT_KauU"/>
    <x v="21"/>
    <n v="53.225806451612797"/>
    <n v="14.784946236559099"/>
  </r>
  <r>
    <x v="0"/>
    <x v="3"/>
    <x v="5"/>
    <x v="9"/>
    <s v="LT_KauU"/>
    <x v="22"/>
    <n v="130.68"/>
    <n v="36.299999999999997"/>
  </r>
  <r>
    <x v="0"/>
    <x v="3"/>
    <x v="5"/>
    <x v="9"/>
    <s v="LT_KauU"/>
    <x v="23"/>
    <n v="0.35278210439105201"/>
    <n v="9.7995028997514499E-2"/>
  </r>
  <r>
    <x v="0"/>
    <x v="3"/>
    <x v="5"/>
    <x v="9"/>
    <s v="LT_KauU"/>
    <x v="24"/>
    <n v="20.0161025734538"/>
    <n v="5.5600284926260501"/>
  </r>
  <r>
    <x v="0"/>
    <x v="3"/>
    <x v="5"/>
    <x v="9"/>
    <s v="LT_KauU"/>
    <x v="25"/>
    <n v="22.356874337357301"/>
    <n v="6.2102428714881297"/>
  </r>
  <r>
    <x v="0"/>
    <x v="3"/>
    <x v="5"/>
    <x v="9"/>
    <s v="LT_KauU"/>
    <x v="26"/>
    <n v="29.6651032387655"/>
    <n v="8.2403064552126306"/>
  </r>
  <r>
    <x v="0"/>
    <x v="3"/>
    <x v="5"/>
    <x v="9"/>
    <s v="LT_KauU"/>
    <x v="27"/>
    <n v="21.049332228666099"/>
    <n v="5.8470367301850299"/>
  </r>
  <r>
    <x v="0"/>
    <x v="3"/>
    <x v="5"/>
    <x v="9"/>
    <s v="LT_KlaU"/>
    <x v="1"/>
    <n v="51.241600662800401"/>
    <n v="14.233777961889"/>
  </r>
  <r>
    <x v="0"/>
    <x v="3"/>
    <x v="5"/>
    <x v="9"/>
    <s v="LT_KlaU"/>
    <x v="2"/>
    <n v="57.96"/>
    <n v="16.100000000000001"/>
  </r>
  <r>
    <x v="0"/>
    <x v="3"/>
    <x v="5"/>
    <x v="9"/>
    <s v="LT_KlaU"/>
    <x v="0"/>
    <n v="42.692399999999999"/>
    <n v="11.859"/>
  </r>
  <r>
    <x v="0"/>
    <x v="3"/>
    <x v="5"/>
    <x v="9"/>
    <s v="LT_KlaU"/>
    <x v="3"/>
    <n v="57.7974681027342"/>
    <n v="16.054852250759499"/>
  </r>
  <r>
    <x v="0"/>
    <x v="3"/>
    <x v="5"/>
    <x v="9"/>
    <s v="LT_KlaU"/>
    <x v="4"/>
    <n v="8.1139884009941898"/>
    <n v="2.2538856669428302"/>
  </r>
  <r>
    <x v="0"/>
    <x v="3"/>
    <x v="5"/>
    <x v="9"/>
    <s v="LT_KlaU"/>
    <x v="5"/>
    <n v="8.1139884009941898"/>
    <n v="2.2538856669428302"/>
  </r>
  <r>
    <x v="0"/>
    <x v="3"/>
    <x v="5"/>
    <x v="9"/>
    <s v="LT_KlaU"/>
    <x v="6"/>
    <n v="30.770439105219602"/>
    <n v="8.5473441958943202"/>
  </r>
  <r>
    <x v="0"/>
    <x v="3"/>
    <x v="5"/>
    <x v="9"/>
    <s v="LT_KlaU"/>
    <x v="7"/>
    <n v="71.350180613090302"/>
    <n v="19.819494614747299"/>
  </r>
  <r>
    <x v="0"/>
    <x v="3"/>
    <x v="5"/>
    <x v="9"/>
    <s v="LT_KlaU"/>
    <x v="8"/>
    <n v="71.350180613090302"/>
    <n v="19.819494614747299"/>
  </r>
  <r>
    <x v="0"/>
    <x v="3"/>
    <x v="5"/>
    <x v="9"/>
    <s v="LT_KlaU"/>
    <x v="9"/>
    <n v="44.803327257663497"/>
    <n v="12.4453686826843"/>
  </r>
  <r>
    <x v="0"/>
    <x v="3"/>
    <x v="5"/>
    <x v="9"/>
    <s v="LT_KlaU"/>
    <x v="10"/>
    <n v="54.681226180612903"/>
    <n v="15.1892294946147"/>
  </r>
  <r>
    <x v="0"/>
    <x v="3"/>
    <x v="5"/>
    <x v="9"/>
    <s v="LT_KlaU"/>
    <x v="11"/>
    <n v="3.8806031483015802"/>
    <n v="1.07794531897266"/>
  </r>
  <r>
    <x v="0"/>
    <x v="3"/>
    <x v="5"/>
    <x v="9"/>
    <s v="LT_KlaU"/>
    <x v="12"/>
    <n v="9.7995028997514597E-2"/>
    <n v="2.72208413881985E-2"/>
  </r>
  <r>
    <x v="0"/>
    <x v="3"/>
    <x v="5"/>
    <x v="9"/>
    <s v="LT_KlaU"/>
    <x v="13"/>
    <n v="21.5197083678542"/>
    <n v="5.9776967688483804"/>
  </r>
  <r>
    <x v="0"/>
    <x v="3"/>
    <x v="5"/>
    <x v="9"/>
    <s v="LT_KlaU"/>
    <x v="14"/>
    <n v="21.5197083678542"/>
    <n v="5.9776967688483804"/>
  </r>
  <r>
    <x v="0"/>
    <x v="3"/>
    <x v="5"/>
    <x v="9"/>
    <s v="LT_KlaU"/>
    <x v="15"/>
    <n v="1.65807589063794"/>
    <n v="0.46057663628831802"/>
  </r>
  <r>
    <x v="0"/>
    <x v="3"/>
    <x v="5"/>
    <x v="9"/>
    <s v="LT_KlaU"/>
    <x v="16"/>
    <n v="8.3492014028755008"/>
    <n v="2.31922261190986"/>
  </r>
  <r>
    <x v="0"/>
    <x v="3"/>
    <x v="5"/>
    <x v="9"/>
    <s v="LT_KlaU"/>
    <x v="17"/>
    <n v="9.5251168185584092"/>
    <n v="2.6458657829328902"/>
  </r>
  <r>
    <x v="0"/>
    <x v="3"/>
    <x v="5"/>
    <x v="9"/>
    <s v="LT_KlaU"/>
    <x v="18"/>
    <n v="21.5197083678542"/>
    <n v="5.9776967688483804"/>
  </r>
  <r>
    <x v="0"/>
    <x v="3"/>
    <x v="5"/>
    <x v="9"/>
    <s v="LT_KlaU"/>
    <x v="19"/>
    <n v="8.1139884009941898"/>
    <n v="2.2538856669428302"/>
  </r>
  <r>
    <x v="0"/>
    <x v="3"/>
    <x v="5"/>
    <x v="9"/>
    <s v="LT_KlaU"/>
    <x v="20"/>
    <n v="19.336735244541"/>
    <n v="5.37131534570584"/>
  </r>
  <r>
    <x v="0"/>
    <x v="3"/>
    <x v="5"/>
    <x v="9"/>
    <s v="LT_KlaU"/>
    <x v="21"/>
    <n v="53.225806451612797"/>
    <n v="14.784946236559099"/>
  </r>
  <r>
    <x v="0"/>
    <x v="3"/>
    <x v="5"/>
    <x v="9"/>
    <s v="LT_KlaU"/>
    <x v="22"/>
    <n v="130.68"/>
    <n v="36.299999999999997"/>
  </r>
  <r>
    <x v="0"/>
    <x v="3"/>
    <x v="5"/>
    <x v="9"/>
    <s v="LT_KlaU"/>
    <x v="23"/>
    <n v="0.35278210439105201"/>
    <n v="9.7995028997514499E-2"/>
  </r>
  <r>
    <x v="0"/>
    <x v="3"/>
    <x v="5"/>
    <x v="9"/>
    <s v="LT_KlaU"/>
    <x v="24"/>
    <n v="20.0161025734538"/>
    <n v="5.5600284926260501"/>
  </r>
  <r>
    <x v="0"/>
    <x v="3"/>
    <x v="5"/>
    <x v="9"/>
    <s v="LT_KlaU"/>
    <x v="25"/>
    <n v="22.356874337357301"/>
    <n v="6.2102428714881297"/>
  </r>
  <r>
    <x v="0"/>
    <x v="3"/>
    <x v="5"/>
    <x v="9"/>
    <s v="LT_KlaU"/>
    <x v="26"/>
    <n v="29.6651032387655"/>
    <n v="8.2403064552126306"/>
  </r>
  <r>
    <x v="0"/>
    <x v="3"/>
    <x v="5"/>
    <x v="9"/>
    <s v="LT_KlaU"/>
    <x v="27"/>
    <n v="21.049332228666099"/>
    <n v="5.8470367301850299"/>
  </r>
  <r>
    <x v="0"/>
    <x v="3"/>
    <x v="5"/>
    <x v="9"/>
    <s v="LT_OFFSHORE"/>
    <x v="1"/>
    <n v="51.241600662800401"/>
    <n v="14.233777961889"/>
  </r>
  <r>
    <x v="0"/>
    <x v="3"/>
    <x v="5"/>
    <x v="9"/>
    <s v="LT_OFFSHORE"/>
    <x v="2"/>
    <n v="57.96"/>
    <n v="16.100000000000001"/>
  </r>
  <r>
    <x v="0"/>
    <x v="3"/>
    <x v="5"/>
    <x v="9"/>
    <s v="LT_OFFSHORE"/>
    <x v="0"/>
    <n v="42.692399999999999"/>
    <n v="11.859"/>
  </r>
  <r>
    <x v="0"/>
    <x v="3"/>
    <x v="5"/>
    <x v="9"/>
    <s v="LT_OFFSHORE"/>
    <x v="3"/>
    <n v="57.7974681027342"/>
    <n v="16.054852250759499"/>
  </r>
  <r>
    <x v="0"/>
    <x v="3"/>
    <x v="5"/>
    <x v="9"/>
    <s v="LT_OFFSHORE"/>
    <x v="4"/>
    <n v="8.1139884009941898"/>
    <n v="2.2538856669428302"/>
  </r>
  <r>
    <x v="0"/>
    <x v="3"/>
    <x v="5"/>
    <x v="9"/>
    <s v="LT_OFFSHORE"/>
    <x v="5"/>
    <n v="8.1139884009941898"/>
    <n v="2.2538856669428302"/>
  </r>
  <r>
    <x v="0"/>
    <x v="3"/>
    <x v="5"/>
    <x v="9"/>
    <s v="LT_OFFSHORE"/>
    <x v="6"/>
    <n v="30.770439105219602"/>
    <n v="8.5473441958943202"/>
  </r>
  <r>
    <x v="0"/>
    <x v="3"/>
    <x v="5"/>
    <x v="9"/>
    <s v="LT_OFFSHORE"/>
    <x v="7"/>
    <n v="71.350180613090302"/>
    <n v="19.819494614747299"/>
  </r>
  <r>
    <x v="0"/>
    <x v="3"/>
    <x v="5"/>
    <x v="9"/>
    <s v="LT_OFFSHORE"/>
    <x v="8"/>
    <n v="71.350180613090302"/>
    <n v="19.819494614747299"/>
  </r>
  <r>
    <x v="0"/>
    <x v="3"/>
    <x v="5"/>
    <x v="9"/>
    <s v="LT_OFFSHORE"/>
    <x v="9"/>
    <n v="44.803327257663497"/>
    <n v="12.4453686826843"/>
  </r>
  <r>
    <x v="0"/>
    <x v="3"/>
    <x v="5"/>
    <x v="9"/>
    <s v="LT_OFFSHORE"/>
    <x v="10"/>
    <n v="54.681226180612903"/>
    <n v="15.1892294946147"/>
  </r>
  <r>
    <x v="0"/>
    <x v="3"/>
    <x v="5"/>
    <x v="9"/>
    <s v="LT_OFFSHORE"/>
    <x v="11"/>
    <n v="3.8806031483015802"/>
    <n v="1.07794531897266"/>
  </r>
  <r>
    <x v="0"/>
    <x v="3"/>
    <x v="5"/>
    <x v="9"/>
    <s v="LT_OFFSHORE"/>
    <x v="12"/>
    <n v="9.7995028997514597E-2"/>
    <n v="2.72208413881985E-2"/>
  </r>
  <r>
    <x v="0"/>
    <x v="3"/>
    <x v="5"/>
    <x v="9"/>
    <s v="LT_OFFSHORE"/>
    <x v="13"/>
    <n v="21.5197083678542"/>
    <n v="5.9776967688483804"/>
  </r>
  <r>
    <x v="0"/>
    <x v="3"/>
    <x v="5"/>
    <x v="9"/>
    <s v="LT_OFFSHORE"/>
    <x v="14"/>
    <n v="21.5197083678542"/>
    <n v="5.9776967688483804"/>
  </r>
  <r>
    <x v="0"/>
    <x v="3"/>
    <x v="5"/>
    <x v="9"/>
    <s v="LT_OFFSHORE"/>
    <x v="15"/>
    <n v="1.65807589063794"/>
    <n v="0.46057663628831802"/>
  </r>
  <r>
    <x v="0"/>
    <x v="3"/>
    <x v="5"/>
    <x v="9"/>
    <s v="LT_OFFSHORE"/>
    <x v="16"/>
    <n v="8.3492014028755008"/>
    <n v="2.31922261190986"/>
  </r>
  <r>
    <x v="0"/>
    <x v="3"/>
    <x v="5"/>
    <x v="9"/>
    <s v="LT_OFFSHORE"/>
    <x v="17"/>
    <n v="9.5251168185584092"/>
    <n v="2.6458657829328902"/>
  </r>
  <r>
    <x v="0"/>
    <x v="3"/>
    <x v="5"/>
    <x v="9"/>
    <s v="LT_OFFSHORE"/>
    <x v="18"/>
    <n v="21.5197083678542"/>
    <n v="5.9776967688483804"/>
  </r>
  <r>
    <x v="0"/>
    <x v="3"/>
    <x v="5"/>
    <x v="9"/>
    <s v="LT_OFFSHORE"/>
    <x v="19"/>
    <n v="8.1139884009941898"/>
    <n v="2.2538856669428302"/>
  </r>
  <r>
    <x v="0"/>
    <x v="3"/>
    <x v="5"/>
    <x v="9"/>
    <s v="LT_OFFSHORE"/>
    <x v="20"/>
    <n v="19.336735244541"/>
    <n v="5.37131534570584"/>
  </r>
  <r>
    <x v="0"/>
    <x v="3"/>
    <x v="5"/>
    <x v="9"/>
    <s v="LT_OFFSHORE"/>
    <x v="21"/>
    <n v="53.225806451612797"/>
    <n v="14.784946236559099"/>
  </r>
  <r>
    <x v="0"/>
    <x v="3"/>
    <x v="5"/>
    <x v="9"/>
    <s v="LT_OFFSHORE"/>
    <x v="22"/>
    <n v="130.68"/>
    <n v="36.299999999999997"/>
  </r>
  <r>
    <x v="0"/>
    <x v="3"/>
    <x v="5"/>
    <x v="9"/>
    <s v="LT_OFFSHORE"/>
    <x v="23"/>
    <n v="0.35278210439105201"/>
    <n v="9.7995028997514499E-2"/>
  </r>
  <r>
    <x v="0"/>
    <x v="3"/>
    <x v="5"/>
    <x v="9"/>
    <s v="LT_OFFSHORE"/>
    <x v="24"/>
    <n v="20.0161025734538"/>
    <n v="5.5600284926260501"/>
  </r>
  <r>
    <x v="0"/>
    <x v="3"/>
    <x v="5"/>
    <x v="9"/>
    <s v="LT_OFFSHORE"/>
    <x v="25"/>
    <n v="22.356874337357301"/>
    <n v="6.2102428714881297"/>
  </r>
  <r>
    <x v="0"/>
    <x v="3"/>
    <x v="5"/>
    <x v="9"/>
    <s v="LT_OFFSHORE"/>
    <x v="26"/>
    <n v="29.6651032387655"/>
    <n v="8.2403064552126306"/>
  </r>
  <r>
    <x v="0"/>
    <x v="3"/>
    <x v="5"/>
    <x v="9"/>
    <s v="LT_OFFSHORE"/>
    <x v="27"/>
    <n v="21.049332228666099"/>
    <n v="5.8470367301850299"/>
  </r>
  <r>
    <x v="0"/>
    <x v="3"/>
    <x v="5"/>
    <x v="9"/>
    <s v="LT_Other_DH"/>
    <x v="1"/>
    <n v="51.241600662800401"/>
    <n v="14.233777961889"/>
  </r>
  <r>
    <x v="0"/>
    <x v="3"/>
    <x v="5"/>
    <x v="9"/>
    <s v="LT_Other_DH"/>
    <x v="2"/>
    <n v="57.96"/>
    <n v="16.100000000000001"/>
  </r>
  <r>
    <x v="0"/>
    <x v="3"/>
    <x v="5"/>
    <x v="9"/>
    <s v="LT_Other_DH"/>
    <x v="0"/>
    <n v="42.692399999999999"/>
    <n v="11.859"/>
  </r>
  <r>
    <x v="0"/>
    <x v="3"/>
    <x v="5"/>
    <x v="9"/>
    <s v="LT_Other_DH"/>
    <x v="3"/>
    <n v="57.7974681027342"/>
    <n v="16.054852250759499"/>
  </r>
  <r>
    <x v="0"/>
    <x v="3"/>
    <x v="5"/>
    <x v="9"/>
    <s v="LT_Other_DH"/>
    <x v="4"/>
    <n v="8.1139884009941898"/>
    <n v="2.2538856669428302"/>
  </r>
  <r>
    <x v="0"/>
    <x v="3"/>
    <x v="5"/>
    <x v="9"/>
    <s v="LT_Other_DH"/>
    <x v="5"/>
    <n v="8.1139884009941898"/>
    <n v="2.2538856669428302"/>
  </r>
  <r>
    <x v="0"/>
    <x v="3"/>
    <x v="5"/>
    <x v="9"/>
    <s v="LT_Other_DH"/>
    <x v="6"/>
    <n v="30.770439105219602"/>
    <n v="8.5473441958943202"/>
  </r>
  <r>
    <x v="0"/>
    <x v="3"/>
    <x v="5"/>
    <x v="9"/>
    <s v="LT_Other_DH"/>
    <x v="7"/>
    <n v="71.350180613090302"/>
    <n v="19.819494614747299"/>
  </r>
  <r>
    <x v="0"/>
    <x v="3"/>
    <x v="5"/>
    <x v="9"/>
    <s v="LT_Other_DH"/>
    <x v="8"/>
    <n v="71.350180613090302"/>
    <n v="19.819494614747299"/>
  </r>
  <r>
    <x v="0"/>
    <x v="3"/>
    <x v="5"/>
    <x v="9"/>
    <s v="LT_Other_DH"/>
    <x v="9"/>
    <n v="44.803327257663497"/>
    <n v="12.4453686826843"/>
  </r>
  <r>
    <x v="0"/>
    <x v="3"/>
    <x v="5"/>
    <x v="9"/>
    <s v="LT_Other_DH"/>
    <x v="10"/>
    <n v="54.681226180612903"/>
    <n v="15.1892294946147"/>
  </r>
  <r>
    <x v="0"/>
    <x v="3"/>
    <x v="5"/>
    <x v="9"/>
    <s v="LT_Other_DH"/>
    <x v="11"/>
    <n v="3.8806031483015802"/>
    <n v="1.07794531897266"/>
  </r>
  <r>
    <x v="0"/>
    <x v="3"/>
    <x v="5"/>
    <x v="9"/>
    <s v="LT_Other_DH"/>
    <x v="12"/>
    <n v="9.7995028997514597E-2"/>
    <n v="2.72208413881985E-2"/>
  </r>
  <r>
    <x v="0"/>
    <x v="3"/>
    <x v="5"/>
    <x v="9"/>
    <s v="LT_Other_DH"/>
    <x v="13"/>
    <n v="21.5197083678542"/>
    <n v="5.9776967688483804"/>
  </r>
  <r>
    <x v="0"/>
    <x v="3"/>
    <x v="5"/>
    <x v="9"/>
    <s v="LT_Other_DH"/>
    <x v="14"/>
    <n v="21.5197083678542"/>
    <n v="5.9776967688483804"/>
  </r>
  <r>
    <x v="0"/>
    <x v="3"/>
    <x v="5"/>
    <x v="9"/>
    <s v="LT_Other_DH"/>
    <x v="15"/>
    <n v="1.65807589063794"/>
    <n v="0.46057663628831802"/>
  </r>
  <r>
    <x v="0"/>
    <x v="3"/>
    <x v="5"/>
    <x v="9"/>
    <s v="LT_Other_DH"/>
    <x v="16"/>
    <n v="8.3492014028755008"/>
    <n v="2.31922261190986"/>
  </r>
  <r>
    <x v="0"/>
    <x v="3"/>
    <x v="5"/>
    <x v="9"/>
    <s v="LT_Other_DH"/>
    <x v="17"/>
    <n v="9.5251168185584092"/>
    <n v="2.6458657829328902"/>
  </r>
  <r>
    <x v="0"/>
    <x v="3"/>
    <x v="5"/>
    <x v="9"/>
    <s v="LT_Other_DH"/>
    <x v="18"/>
    <n v="21.5197083678542"/>
    <n v="5.9776967688483804"/>
  </r>
  <r>
    <x v="0"/>
    <x v="3"/>
    <x v="5"/>
    <x v="9"/>
    <s v="LT_Other_DH"/>
    <x v="19"/>
    <n v="8.1139884009941898"/>
    <n v="2.2538856669428302"/>
  </r>
  <r>
    <x v="0"/>
    <x v="3"/>
    <x v="5"/>
    <x v="9"/>
    <s v="LT_Other_DH"/>
    <x v="20"/>
    <n v="19.336735244541"/>
    <n v="5.37131534570584"/>
  </r>
  <r>
    <x v="0"/>
    <x v="3"/>
    <x v="5"/>
    <x v="9"/>
    <s v="LT_Other_DH"/>
    <x v="21"/>
    <n v="53.225806451612797"/>
    <n v="14.784946236559099"/>
  </r>
  <r>
    <x v="0"/>
    <x v="3"/>
    <x v="5"/>
    <x v="9"/>
    <s v="LT_Other_DH"/>
    <x v="22"/>
    <n v="130.68"/>
    <n v="36.299999999999997"/>
  </r>
  <r>
    <x v="0"/>
    <x v="3"/>
    <x v="5"/>
    <x v="9"/>
    <s v="LT_Other_DH"/>
    <x v="23"/>
    <n v="0.35278210439105201"/>
    <n v="9.7995028997514499E-2"/>
  </r>
  <r>
    <x v="0"/>
    <x v="3"/>
    <x v="5"/>
    <x v="9"/>
    <s v="LT_Other_DH"/>
    <x v="24"/>
    <n v="20.0161025734538"/>
    <n v="5.5600284926260501"/>
  </r>
  <r>
    <x v="0"/>
    <x v="3"/>
    <x v="5"/>
    <x v="9"/>
    <s v="LT_Other_DH"/>
    <x v="25"/>
    <n v="22.356874337357301"/>
    <n v="6.2102428714881297"/>
  </r>
  <r>
    <x v="0"/>
    <x v="3"/>
    <x v="5"/>
    <x v="9"/>
    <s v="LT_Other_DH"/>
    <x v="26"/>
    <n v="29.6651032387655"/>
    <n v="8.2403064552126306"/>
  </r>
  <r>
    <x v="0"/>
    <x v="3"/>
    <x v="5"/>
    <x v="9"/>
    <s v="LT_Other_DH"/>
    <x v="27"/>
    <n v="21.049332228666099"/>
    <n v="5.8470367301850299"/>
  </r>
  <r>
    <x v="0"/>
    <x v="3"/>
    <x v="5"/>
    <x v="9"/>
    <s v="LT_Panevezys"/>
    <x v="1"/>
    <n v="51.241600662800401"/>
    <n v="14.233777961889"/>
  </r>
  <r>
    <x v="0"/>
    <x v="3"/>
    <x v="5"/>
    <x v="9"/>
    <s v="LT_Panevezys"/>
    <x v="2"/>
    <n v="57.96"/>
    <n v="16.100000000000001"/>
  </r>
  <r>
    <x v="0"/>
    <x v="3"/>
    <x v="5"/>
    <x v="9"/>
    <s v="LT_Panevezys"/>
    <x v="0"/>
    <n v="42.692399999999999"/>
    <n v="11.859"/>
  </r>
  <r>
    <x v="0"/>
    <x v="3"/>
    <x v="5"/>
    <x v="9"/>
    <s v="LT_Panevezys"/>
    <x v="3"/>
    <n v="57.7974681027342"/>
    <n v="16.054852250759499"/>
  </r>
  <r>
    <x v="0"/>
    <x v="3"/>
    <x v="5"/>
    <x v="9"/>
    <s v="LT_Panevezys"/>
    <x v="4"/>
    <n v="8.1139884009941898"/>
    <n v="2.2538856669428302"/>
  </r>
  <r>
    <x v="0"/>
    <x v="3"/>
    <x v="5"/>
    <x v="9"/>
    <s v="LT_Panevezys"/>
    <x v="5"/>
    <n v="8.1139884009941898"/>
    <n v="2.2538856669428302"/>
  </r>
  <r>
    <x v="0"/>
    <x v="3"/>
    <x v="5"/>
    <x v="9"/>
    <s v="LT_Panevezys"/>
    <x v="6"/>
    <n v="30.770439105219602"/>
    <n v="8.5473441958943202"/>
  </r>
  <r>
    <x v="0"/>
    <x v="3"/>
    <x v="5"/>
    <x v="9"/>
    <s v="LT_Panevezys"/>
    <x v="7"/>
    <n v="71.350180613090302"/>
    <n v="19.819494614747299"/>
  </r>
  <r>
    <x v="0"/>
    <x v="3"/>
    <x v="5"/>
    <x v="9"/>
    <s v="LT_Panevezys"/>
    <x v="8"/>
    <n v="71.350180613090302"/>
    <n v="19.819494614747299"/>
  </r>
  <r>
    <x v="0"/>
    <x v="3"/>
    <x v="5"/>
    <x v="9"/>
    <s v="LT_Panevezys"/>
    <x v="9"/>
    <n v="44.803327257663497"/>
    <n v="12.4453686826843"/>
  </r>
  <r>
    <x v="0"/>
    <x v="3"/>
    <x v="5"/>
    <x v="9"/>
    <s v="LT_Panevezys"/>
    <x v="10"/>
    <n v="54.681226180612903"/>
    <n v="15.1892294946147"/>
  </r>
  <r>
    <x v="0"/>
    <x v="3"/>
    <x v="5"/>
    <x v="9"/>
    <s v="LT_Panevezys"/>
    <x v="11"/>
    <n v="3.8806031483015802"/>
    <n v="1.07794531897266"/>
  </r>
  <r>
    <x v="0"/>
    <x v="3"/>
    <x v="5"/>
    <x v="9"/>
    <s v="LT_Panevezys"/>
    <x v="12"/>
    <n v="9.7995028997514597E-2"/>
    <n v="2.72208413881985E-2"/>
  </r>
  <r>
    <x v="0"/>
    <x v="3"/>
    <x v="5"/>
    <x v="9"/>
    <s v="LT_Panevezys"/>
    <x v="13"/>
    <n v="21.5197083678542"/>
    <n v="5.9776967688483804"/>
  </r>
  <r>
    <x v="0"/>
    <x v="3"/>
    <x v="5"/>
    <x v="9"/>
    <s v="LT_Panevezys"/>
    <x v="14"/>
    <n v="21.5197083678542"/>
    <n v="5.9776967688483804"/>
  </r>
  <r>
    <x v="0"/>
    <x v="3"/>
    <x v="5"/>
    <x v="9"/>
    <s v="LT_Panevezys"/>
    <x v="15"/>
    <n v="1.65807589063794"/>
    <n v="0.46057663628831802"/>
  </r>
  <r>
    <x v="0"/>
    <x v="3"/>
    <x v="5"/>
    <x v="9"/>
    <s v="LT_Panevezys"/>
    <x v="16"/>
    <n v="8.3492014028755008"/>
    <n v="2.31922261190986"/>
  </r>
  <r>
    <x v="0"/>
    <x v="3"/>
    <x v="5"/>
    <x v="9"/>
    <s v="LT_Panevezys"/>
    <x v="17"/>
    <n v="9.5251168185584092"/>
    <n v="2.6458657829328902"/>
  </r>
  <r>
    <x v="0"/>
    <x v="3"/>
    <x v="5"/>
    <x v="9"/>
    <s v="LT_Panevezys"/>
    <x v="18"/>
    <n v="21.5197083678542"/>
    <n v="5.9776967688483804"/>
  </r>
  <r>
    <x v="0"/>
    <x v="3"/>
    <x v="5"/>
    <x v="9"/>
    <s v="LT_Panevezys"/>
    <x v="19"/>
    <n v="8.1139884009941898"/>
    <n v="2.2538856669428302"/>
  </r>
  <r>
    <x v="0"/>
    <x v="3"/>
    <x v="5"/>
    <x v="9"/>
    <s v="LT_Panevezys"/>
    <x v="20"/>
    <n v="19.336735244541"/>
    <n v="5.37131534570584"/>
  </r>
  <r>
    <x v="0"/>
    <x v="3"/>
    <x v="5"/>
    <x v="9"/>
    <s v="LT_Panevezys"/>
    <x v="21"/>
    <n v="53.225806451612797"/>
    <n v="14.784946236559099"/>
  </r>
  <r>
    <x v="0"/>
    <x v="3"/>
    <x v="5"/>
    <x v="9"/>
    <s v="LT_Panevezys"/>
    <x v="22"/>
    <n v="130.68"/>
    <n v="36.299999999999997"/>
  </r>
  <r>
    <x v="0"/>
    <x v="3"/>
    <x v="5"/>
    <x v="9"/>
    <s v="LT_Panevezys"/>
    <x v="23"/>
    <n v="0.35278210439105201"/>
    <n v="9.7995028997514499E-2"/>
  </r>
  <r>
    <x v="0"/>
    <x v="3"/>
    <x v="5"/>
    <x v="9"/>
    <s v="LT_Panevezys"/>
    <x v="24"/>
    <n v="20.0161025734538"/>
    <n v="5.5600284926260501"/>
  </r>
  <r>
    <x v="0"/>
    <x v="3"/>
    <x v="5"/>
    <x v="9"/>
    <s v="LT_Panevezys"/>
    <x v="25"/>
    <n v="22.356874337357301"/>
    <n v="6.2102428714881297"/>
  </r>
  <r>
    <x v="0"/>
    <x v="3"/>
    <x v="5"/>
    <x v="9"/>
    <s v="LT_Panevezys"/>
    <x v="26"/>
    <n v="29.6651032387655"/>
    <n v="8.2403064552126306"/>
  </r>
  <r>
    <x v="0"/>
    <x v="3"/>
    <x v="5"/>
    <x v="9"/>
    <s v="LT_Panevezys"/>
    <x v="27"/>
    <n v="21.049332228666099"/>
    <n v="5.8470367301850299"/>
  </r>
  <r>
    <x v="0"/>
    <x v="3"/>
    <x v="5"/>
    <x v="9"/>
    <s v="LT_Rural"/>
    <x v="1"/>
    <n v="51.241600662800401"/>
    <n v="14.233777961889"/>
  </r>
  <r>
    <x v="0"/>
    <x v="3"/>
    <x v="5"/>
    <x v="9"/>
    <s v="LT_Rural"/>
    <x v="2"/>
    <n v="57.96"/>
    <n v="16.100000000000001"/>
  </r>
  <r>
    <x v="0"/>
    <x v="3"/>
    <x v="5"/>
    <x v="9"/>
    <s v="LT_Rural"/>
    <x v="0"/>
    <n v="42.692399999999999"/>
    <n v="11.859"/>
  </r>
  <r>
    <x v="0"/>
    <x v="3"/>
    <x v="5"/>
    <x v="9"/>
    <s v="LT_Rural"/>
    <x v="3"/>
    <n v="57.7974681027342"/>
    <n v="16.054852250759499"/>
  </r>
  <r>
    <x v="0"/>
    <x v="3"/>
    <x v="5"/>
    <x v="9"/>
    <s v="LT_Rural"/>
    <x v="4"/>
    <n v="8.1139884009941898"/>
    <n v="2.2538856669428302"/>
  </r>
  <r>
    <x v="0"/>
    <x v="3"/>
    <x v="5"/>
    <x v="9"/>
    <s v="LT_Rural"/>
    <x v="5"/>
    <n v="8.1139884009941898"/>
    <n v="2.2538856669428302"/>
  </r>
  <r>
    <x v="0"/>
    <x v="3"/>
    <x v="5"/>
    <x v="9"/>
    <s v="LT_Rural"/>
    <x v="6"/>
    <n v="30.770439105219602"/>
    <n v="8.5473441958943202"/>
  </r>
  <r>
    <x v="0"/>
    <x v="3"/>
    <x v="5"/>
    <x v="9"/>
    <s v="LT_Rural"/>
    <x v="7"/>
    <n v="71.350180613090302"/>
    <n v="19.819494614747299"/>
  </r>
  <r>
    <x v="0"/>
    <x v="3"/>
    <x v="5"/>
    <x v="9"/>
    <s v="LT_Rural"/>
    <x v="8"/>
    <n v="71.350180613090302"/>
    <n v="19.819494614747299"/>
  </r>
  <r>
    <x v="0"/>
    <x v="3"/>
    <x v="5"/>
    <x v="9"/>
    <s v="LT_Rural"/>
    <x v="9"/>
    <n v="44.803327257663497"/>
    <n v="12.4453686826843"/>
  </r>
  <r>
    <x v="0"/>
    <x v="3"/>
    <x v="5"/>
    <x v="9"/>
    <s v="LT_Rural"/>
    <x v="10"/>
    <n v="54.681226180612903"/>
    <n v="15.1892294946147"/>
  </r>
  <r>
    <x v="0"/>
    <x v="3"/>
    <x v="5"/>
    <x v="9"/>
    <s v="LT_Rural"/>
    <x v="11"/>
    <n v="3.8806031483015802"/>
    <n v="1.07794531897266"/>
  </r>
  <r>
    <x v="0"/>
    <x v="3"/>
    <x v="5"/>
    <x v="9"/>
    <s v="LT_Rural"/>
    <x v="12"/>
    <n v="9.7995028997514597E-2"/>
    <n v="2.72208413881985E-2"/>
  </r>
  <r>
    <x v="0"/>
    <x v="3"/>
    <x v="5"/>
    <x v="9"/>
    <s v="LT_Rural"/>
    <x v="13"/>
    <n v="21.5197083678542"/>
    <n v="5.9776967688483804"/>
  </r>
  <r>
    <x v="0"/>
    <x v="3"/>
    <x v="5"/>
    <x v="9"/>
    <s v="LT_Rural"/>
    <x v="14"/>
    <n v="21.5197083678542"/>
    <n v="5.9776967688483804"/>
  </r>
  <r>
    <x v="0"/>
    <x v="3"/>
    <x v="5"/>
    <x v="9"/>
    <s v="LT_Rural"/>
    <x v="15"/>
    <n v="1.65807589063794"/>
    <n v="0.46057663628831802"/>
  </r>
  <r>
    <x v="0"/>
    <x v="3"/>
    <x v="5"/>
    <x v="9"/>
    <s v="LT_Rural"/>
    <x v="16"/>
    <n v="8.3492014028755008"/>
    <n v="2.31922261190986"/>
  </r>
  <r>
    <x v="0"/>
    <x v="3"/>
    <x v="5"/>
    <x v="9"/>
    <s v="LT_Rural"/>
    <x v="17"/>
    <n v="9.5251168185584092"/>
    <n v="2.6458657829328902"/>
  </r>
  <r>
    <x v="0"/>
    <x v="3"/>
    <x v="5"/>
    <x v="9"/>
    <s v="LT_Rural"/>
    <x v="18"/>
    <n v="21.5197083678542"/>
    <n v="5.9776967688483804"/>
  </r>
  <r>
    <x v="0"/>
    <x v="3"/>
    <x v="5"/>
    <x v="9"/>
    <s v="LT_Rural"/>
    <x v="19"/>
    <n v="8.1139884009941898"/>
    <n v="2.2538856669428302"/>
  </r>
  <r>
    <x v="0"/>
    <x v="3"/>
    <x v="5"/>
    <x v="9"/>
    <s v="LT_Rural"/>
    <x v="20"/>
    <n v="19.336735244541"/>
    <n v="5.37131534570584"/>
  </r>
  <r>
    <x v="0"/>
    <x v="3"/>
    <x v="5"/>
    <x v="9"/>
    <s v="LT_Rural"/>
    <x v="21"/>
    <n v="53.225806451612797"/>
    <n v="14.784946236559099"/>
  </r>
  <r>
    <x v="0"/>
    <x v="3"/>
    <x v="5"/>
    <x v="9"/>
    <s v="LT_Rural"/>
    <x v="22"/>
    <n v="130.68"/>
    <n v="36.299999999999997"/>
  </r>
  <r>
    <x v="0"/>
    <x v="3"/>
    <x v="5"/>
    <x v="9"/>
    <s v="LT_Rural"/>
    <x v="23"/>
    <n v="0.35278210439105201"/>
    <n v="9.7995028997514499E-2"/>
  </r>
  <r>
    <x v="0"/>
    <x v="3"/>
    <x v="5"/>
    <x v="9"/>
    <s v="LT_Rural"/>
    <x v="24"/>
    <n v="20.0161025734538"/>
    <n v="5.5600284926260501"/>
  </r>
  <r>
    <x v="0"/>
    <x v="3"/>
    <x v="5"/>
    <x v="9"/>
    <s v="LT_Rural"/>
    <x v="25"/>
    <n v="22.356874337357301"/>
    <n v="6.2102428714881297"/>
  </r>
  <r>
    <x v="0"/>
    <x v="3"/>
    <x v="5"/>
    <x v="9"/>
    <s v="LT_Rural"/>
    <x v="26"/>
    <n v="29.6651032387655"/>
    <n v="8.2403064552126306"/>
  </r>
  <r>
    <x v="0"/>
    <x v="3"/>
    <x v="5"/>
    <x v="9"/>
    <s v="LT_Rural"/>
    <x v="27"/>
    <n v="21.049332228666099"/>
    <n v="5.8470367301850299"/>
  </r>
  <r>
    <x v="0"/>
    <x v="3"/>
    <x v="5"/>
    <x v="9"/>
    <s v="LT_SiaU"/>
    <x v="1"/>
    <n v="51.241600662800401"/>
    <n v="14.233777961889"/>
  </r>
  <r>
    <x v="0"/>
    <x v="3"/>
    <x v="5"/>
    <x v="9"/>
    <s v="LT_SiaU"/>
    <x v="2"/>
    <n v="57.96"/>
    <n v="16.100000000000001"/>
  </r>
  <r>
    <x v="0"/>
    <x v="3"/>
    <x v="5"/>
    <x v="9"/>
    <s v="LT_SiaU"/>
    <x v="0"/>
    <n v="42.692399999999999"/>
    <n v="11.859"/>
  </r>
  <r>
    <x v="0"/>
    <x v="3"/>
    <x v="5"/>
    <x v="9"/>
    <s v="LT_SiaU"/>
    <x v="3"/>
    <n v="57.7974681027342"/>
    <n v="16.054852250759499"/>
  </r>
  <r>
    <x v="0"/>
    <x v="3"/>
    <x v="5"/>
    <x v="9"/>
    <s v="LT_SiaU"/>
    <x v="4"/>
    <n v="8.1139884009941898"/>
    <n v="2.2538856669428302"/>
  </r>
  <r>
    <x v="0"/>
    <x v="3"/>
    <x v="5"/>
    <x v="9"/>
    <s v="LT_SiaU"/>
    <x v="5"/>
    <n v="8.1139884009941898"/>
    <n v="2.2538856669428302"/>
  </r>
  <r>
    <x v="0"/>
    <x v="3"/>
    <x v="5"/>
    <x v="9"/>
    <s v="LT_SiaU"/>
    <x v="6"/>
    <n v="30.770439105219602"/>
    <n v="8.5473441958943202"/>
  </r>
  <r>
    <x v="0"/>
    <x v="3"/>
    <x v="5"/>
    <x v="9"/>
    <s v="LT_SiaU"/>
    <x v="7"/>
    <n v="71.350180613090302"/>
    <n v="19.819494614747299"/>
  </r>
  <r>
    <x v="0"/>
    <x v="3"/>
    <x v="5"/>
    <x v="9"/>
    <s v="LT_SiaU"/>
    <x v="8"/>
    <n v="71.350180613090302"/>
    <n v="19.819494614747299"/>
  </r>
  <r>
    <x v="0"/>
    <x v="3"/>
    <x v="5"/>
    <x v="9"/>
    <s v="LT_SiaU"/>
    <x v="9"/>
    <n v="44.803327257663497"/>
    <n v="12.4453686826843"/>
  </r>
  <r>
    <x v="0"/>
    <x v="3"/>
    <x v="5"/>
    <x v="9"/>
    <s v="LT_SiaU"/>
    <x v="10"/>
    <n v="54.681226180612903"/>
    <n v="15.1892294946147"/>
  </r>
  <r>
    <x v="0"/>
    <x v="3"/>
    <x v="5"/>
    <x v="9"/>
    <s v="LT_SiaU"/>
    <x v="11"/>
    <n v="3.8806031483015802"/>
    <n v="1.07794531897266"/>
  </r>
  <r>
    <x v="0"/>
    <x v="3"/>
    <x v="5"/>
    <x v="9"/>
    <s v="LT_SiaU"/>
    <x v="12"/>
    <n v="9.7995028997514597E-2"/>
    <n v="2.72208413881985E-2"/>
  </r>
  <r>
    <x v="0"/>
    <x v="3"/>
    <x v="5"/>
    <x v="9"/>
    <s v="LT_SiaU"/>
    <x v="13"/>
    <n v="21.5197083678542"/>
    <n v="5.9776967688483804"/>
  </r>
  <r>
    <x v="0"/>
    <x v="3"/>
    <x v="5"/>
    <x v="9"/>
    <s v="LT_SiaU"/>
    <x v="14"/>
    <n v="21.5197083678542"/>
    <n v="5.9776967688483804"/>
  </r>
  <r>
    <x v="0"/>
    <x v="3"/>
    <x v="5"/>
    <x v="9"/>
    <s v="LT_SiaU"/>
    <x v="15"/>
    <n v="1.65807589063794"/>
    <n v="0.46057663628831802"/>
  </r>
  <r>
    <x v="0"/>
    <x v="3"/>
    <x v="5"/>
    <x v="9"/>
    <s v="LT_SiaU"/>
    <x v="16"/>
    <n v="8.3492014028755008"/>
    <n v="2.31922261190986"/>
  </r>
  <r>
    <x v="0"/>
    <x v="3"/>
    <x v="5"/>
    <x v="9"/>
    <s v="LT_SiaU"/>
    <x v="17"/>
    <n v="9.5251168185584092"/>
    <n v="2.6458657829328902"/>
  </r>
  <r>
    <x v="0"/>
    <x v="3"/>
    <x v="5"/>
    <x v="9"/>
    <s v="LT_SiaU"/>
    <x v="18"/>
    <n v="21.5197083678542"/>
    <n v="5.9776967688483804"/>
  </r>
  <r>
    <x v="0"/>
    <x v="3"/>
    <x v="5"/>
    <x v="9"/>
    <s v="LT_SiaU"/>
    <x v="19"/>
    <n v="8.1139884009941898"/>
    <n v="2.2538856669428302"/>
  </r>
  <r>
    <x v="0"/>
    <x v="3"/>
    <x v="5"/>
    <x v="9"/>
    <s v="LT_SiaU"/>
    <x v="20"/>
    <n v="19.336735244541"/>
    <n v="5.37131534570584"/>
  </r>
  <r>
    <x v="0"/>
    <x v="3"/>
    <x v="5"/>
    <x v="9"/>
    <s v="LT_SiaU"/>
    <x v="21"/>
    <n v="53.225806451612797"/>
    <n v="14.784946236559099"/>
  </r>
  <r>
    <x v="0"/>
    <x v="3"/>
    <x v="5"/>
    <x v="9"/>
    <s v="LT_SiaU"/>
    <x v="22"/>
    <n v="130.68"/>
    <n v="36.299999999999997"/>
  </r>
  <r>
    <x v="0"/>
    <x v="3"/>
    <x v="5"/>
    <x v="9"/>
    <s v="LT_SiaU"/>
    <x v="23"/>
    <n v="0.35278210439105201"/>
    <n v="9.7995028997514499E-2"/>
  </r>
  <r>
    <x v="0"/>
    <x v="3"/>
    <x v="5"/>
    <x v="9"/>
    <s v="LT_SiaU"/>
    <x v="24"/>
    <n v="20.0161025734538"/>
    <n v="5.5600284926260501"/>
  </r>
  <r>
    <x v="0"/>
    <x v="3"/>
    <x v="5"/>
    <x v="9"/>
    <s v="LT_SiaU"/>
    <x v="25"/>
    <n v="22.356874337357301"/>
    <n v="6.2102428714881297"/>
  </r>
  <r>
    <x v="0"/>
    <x v="3"/>
    <x v="5"/>
    <x v="9"/>
    <s v="LT_SiaU"/>
    <x v="26"/>
    <n v="29.6651032387655"/>
    <n v="8.2403064552126306"/>
  </r>
  <r>
    <x v="0"/>
    <x v="3"/>
    <x v="5"/>
    <x v="9"/>
    <s v="LT_SiaU"/>
    <x v="27"/>
    <n v="21.049332228666099"/>
    <n v="5.8470367301850299"/>
  </r>
  <r>
    <x v="0"/>
    <x v="3"/>
    <x v="5"/>
    <x v="9"/>
    <s v="LT_VilU"/>
    <x v="1"/>
    <n v="51.241600662800401"/>
    <n v="14.233777961889"/>
  </r>
  <r>
    <x v="0"/>
    <x v="3"/>
    <x v="5"/>
    <x v="9"/>
    <s v="LT_VilU"/>
    <x v="2"/>
    <n v="57.96"/>
    <n v="16.100000000000001"/>
  </r>
  <r>
    <x v="0"/>
    <x v="3"/>
    <x v="5"/>
    <x v="9"/>
    <s v="LT_VilU"/>
    <x v="0"/>
    <n v="42.692399999999999"/>
    <n v="11.859"/>
  </r>
  <r>
    <x v="0"/>
    <x v="3"/>
    <x v="5"/>
    <x v="9"/>
    <s v="LT_VilU"/>
    <x v="3"/>
    <n v="57.7974681027342"/>
    <n v="16.054852250759499"/>
  </r>
  <r>
    <x v="0"/>
    <x v="3"/>
    <x v="5"/>
    <x v="9"/>
    <s v="LT_VilU"/>
    <x v="4"/>
    <n v="8.1139884009941898"/>
    <n v="2.2538856669428302"/>
  </r>
  <r>
    <x v="0"/>
    <x v="3"/>
    <x v="5"/>
    <x v="9"/>
    <s v="LT_VilU"/>
    <x v="5"/>
    <n v="8.1139884009941898"/>
    <n v="2.2538856669428302"/>
  </r>
  <r>
    <x v="0"/>
    <x v="3"/>
    <x v="5"/>
    <x v="9"/>
    <s v="LT_VilU"/>
    <x v="6"/>
    <n v="30.770439105219602"/>
    <n v="8.5473441958943202"/>
  </r>
  <r>
    <x v="0"/>
    <x v="3"/>
    <x v="5"/>
    <x v="9"/>
    <s v="LT_VilU"/>
    <x v="7"/>
    <n v="71.350180613090302"/>
    <n v="19.819494614747299"/>
  </r>
  <r>
    <x v="0"/>
    <x v="3"/>
    <x v="5"/>
    <x v="9"/>
    <s v="LT_VilU"/>
    <x v="8"/>
    <n v="71.350180613090302"/>
    <n v="19.819494614747299"/>
  </r>
  <r>
    <x v="0"/>
    <x v="3"/>
    <x v="5"/>
    <x v="9"/>
    <s v="LT_VilU"/>
    <x v="9"/>
    <n v="44.803327257663497"/>
    <n v="12.4453686826843"/>
  </r>
  <r>
    <x v="0"/>
    <x v="3"/>
    <x v="5"/>
    <x v="9"/>
    <s v="LT_VilU"/>
    <x v="10"/>
    <n v="54.681226180612903"/>
    <n v="15.1892294946147"/>
  </r>
  <r>
    <x v="0"/>
    <x v="3"/>
    <x v="5"/>
    <x v="9"/>
    <s v="LT_VilU"/>
    <x v="11"/>
    <n v="3.8806031483015802"/>
    <n v="1.07794531897266"/>
  </r>
  <r>
    <x v="0"/>
    <x v="3"/>
    <x v="5"/>
    <x v="9"/>
    <s v="LT_VilU"/>
    <x v="12"/>
    <n v="9.7995028997514597E-2"/>
    <n v="2.72208413881985E-2"/>
  </r>
  <r>
    <x v="0"/>
    <x v="3"/>
    <x v="5"/>
    <x v="9"/>
    <s v="LT_VilU"/>
    <x v="13"/>
    <n v="21.5197083678542"/>
    <n v="5.9776967688483804"/>
  </r>
  <r>
    <x v="0"/>
    <x v="3"/>
    <x v="5"/>
    <x v="9"/>
    <s v="LT_VilU"/>
    <x v="14"/>
    <n v="21.5197083678542"/>
    <n v="5.9776967688483804"/>
  </r>
  <r>
    <x v="0"/>
    <x v="3"/>
    <x v="5"/>
    <x v="9"/>
    <s v="LT_VilU"/>
    <x v="15"/>
    <n v="1.65807589063794"/>
    <n v="0.46057663628831802"/>
  </r>
  <r>
    <x v="0"/>
    <x v="3"/>
    <x v="5"/>
    <x v="9"/>
    <s v="LT_VilU"/>
    <x v="16"/>
    <n v="8.3492014028755008"/>
    <n v="2.31922261190986"/>
  </r>
  <r>
    <x v="0"/>
    <x v="3"/>
    <x v="5"/>
    <x v="9"/>
    <s v="LT_VilU"/>
    <x v="17"/>
    <n v="9.5251168185584092"/>
    <n v="2.6458657829328902"/>
  </r>
  <r>
    <x v="0"/>
    <x v="3"/>
    <x v="5"/>
    <x v="9"/>
    <s v="LT_VilU"/>
    <x v="18"/>
    <n v="21.5197083678542"/>
    <n v="5.9776967688483804"/>
  </r>
  <r>
    <x v="0"/>
    <x v="3"/>
    <x v="5"/>
    <x v="9"/>
    <s v="LT_VilU"/>
    <x v="19"/>
    <n v="8.1139884009941898"/>
    <n v="2.2538856669428302"/>
  </r>
  <r>
    <x v="0"/>
    <x v="3"/>
    <x v="5"/>
    <x v="9"/>
    <s v="LT_VilU"/>
    <x v="20"/>
    <n v="19.336735244541"/>
    <n v="5.37131534570584"/>
  </r>
  <r>
    <x v="0"/>
    <x v="3"/>
    <x v="5"/>
    <x v="9"/>
    <s v="LT_VilU"/>
    <x v="21"/>
    <n v="53.225806451612797"/>
    <n v="14.784946236559099"/>
  </r>
  <r>
    <x v="0"/>
    <x v="3"/>
    <x v="5"/>
    <x v="9"/>
    <s v="LT_VilU"/>
    <x v="22"/>
    <n v="130.68"/>
    <n v="36.299999999999997"/>
  </r>
  <r>
    <x v="0"/>
    <x v="3"/>
    <x v="5"/>
    <x v="9"/>
    <s v="LT_VilU"/>
    <x v="23"/>
    <n v="0.35278210439105201"/>
    <n v="9.7995028997514499E-2"/>
  </r>
  <r>
    <x v="0"/>
    <x v="3"/>
    <x v="5"/>
    <x v="9"/>
    <s v="LT_VilU"/>
    <x v="24"/>
    <n v="20.0161025734538"/>
    <n v="5.5600284926260501"/>
  </r>
  <r>
    <x v="0"/>
    <x v="3"/>
    <x v="5"/>
    <x v="9"/>
    <s v="LT_VilU"/>
    <x v="25"/>
    <n v="22.356874337357301"/>
    <n v="6.2102428714881297"/>
  </r>
  <r>
    <x v="0"/>
    <x v="3"/>
    <x v="5"/>
    <x v="9"/>
    <s v="LT_VilU"/>
    <x v="26"/>
    <n v="29.6651032387655"/>
    <n v="8.2403064552126306"/>
  </r>
  <r>
    <x v="0"/>
    <x v="3"/>
    <x v="5"/>
    <x v="9"/>
    <s v="LT_VilU"/>
    <x v="27"/>
    <n v="21.049332228666099"/>
    <n v="5.8470367301850299"/>
  </r>
  <r>
    <x v="0"/>
    <x v="3"/>
    <x v="6"/>
    <x v="10"/>
    <s v="NL_A"/>
    <x v="1"/>
    <n v="51.241600662800401"/>
    <n v="14.233777961889"/>
  </r>
  <r>
    <x v="0"/>
    <x v="3"/>
    <x v="6"/>
    <x v="10"/>
    <s v="NL_A"/>
    <x v="2"/>
    <n v="57.96"/>
    <n v="16.100000000000001"/>
  </r>
  <r>
    <x v="0"/>
    <x v="3"/>
    <x v="6"/>
    <x v="10"/>
    <s v="NL_A"/>
    <x v="0"/>
    <n v="42.692399999999999"/>
    <n v="11.859"/>
  </r>
  <r>
    <x v="0"/>
    <x v="3"/>
    <x v="6"/>
    <x v="10"/>
    <s v="NL_A"/>
    <x v="3"/>
    <n v="57.7974681027342"/>
    <n v="16.054852250759499"/>
  </r>
  <r>
    <x v="0"/>
    <x v="3"/>
    <x v="6"/>
    <x v="10"/>
    <s v="NL_A"/>
    <x v="4"/>
    <n v="8.1139884009941898"/>
    <n v="2.2538856669428302"/>
  </r>
  <r>
    <x v="0"/>
    <x v="3"/>
    <x v="6"/>
    <x v="10"/>
    <s v="NL_A"/>
    <x v="5"/>
    <n v="8.1139884009941898"/>
    <n v="2.2538856669428302"/>
  </r>
  <r>
    <x v="0"/>
    <x v="3"/>
    <x v="6"/>
    <x v="10"/>
    <s v="NL_A"/>
    <x v="6"/>
    <n v="30.770439105219602"/>
    <n v="8.5473441958943202"/>
  </r>
  <r>
    <x v="0"/>
    <x v="3"/>
    <x v="6"/>
    <x v="10"/>
    <s v="NL_A"/>
    <x v="7"/>
    <n v="71.350180613090302"/>
    <n v="19.819494614747299"/>
  </r>
  <r>
    <x v="0"/>
    <x v="3"/>
    <x v="6"/>
    <x v="10"/>
    <s v="NL_A"/>
    <x v="8"/>
    <n v="71.350180613090302"/>
    <n v="19.819494614747299"/>
  </r>
  <r>
    <x v="0"/>
    <x v="3"/>
    <x v="6"/>
    <x v="10"/>
    <s v="NL_A"/>
    <x v="9"/>
    <n v="44.803327257663497"/>
    <n v="12.4453686826843"/>
  </r>
  <r>
    <x v="0"/>
    <x v="3"/>
    <x v="6"/>
    <x v="10"/>
    <s v="NL_A"/>
    <x v="10"/>
    <n v="54.681226180612903"/>
    <n v="15.1892294946147"/>
  </r>
  <r>
    <x v="0"/>
    <x v="3"/>
    <x v="6"/>
    <x v="10"/>
    <s v="NL_A"/>
    <x v="11"/>
    <n v="3.8806031483015802"/>
    <n v="1.07794531897266"/>
  </r>
  <r>
    <x v="0"/>
    <x v="3"/>
    <x v="6"/>
    <x v="10"/>
    <s v="NL_A"/>
    <x v="12"/>
    <n v="9.7995028997514597E-2"/>
    <n v="2.72208413881985E-2"/>
  </r>
  <r>
    <x v="0"/>
    <x v="3"/>
    <x v="6"/>
    <x v="10"/>
    <s v="NL_A"/>
    <x v="13"/>
    <n v="21.5197083678542"/>
    <n v="5.9776967688483804"/>
  </r>
  <r>
    <x v="0"/>
    <x v="3"/>
    <x v="6"/>
    <x v="10"/>
    <s v="NL_A"/>
    <x v="14"/>
    <n v="21.5197083678542"/>
    <n v="5.9776967688483804"/>
  </r>
  <r>
    <x v="0"/>
    <x v="3"/>
    <x v="6"/>
    <x v="10"/>
    <s v="NL_A"/>
    <x v="15"/>
    <n v="1.65807589063794"/>
    <n v="0.46057663628831802"/>
  </r>
  <r>
    <x v="0"/>
    <x v="3"/>
    <x v="6"/>
    <x v="10"/>
    <s v="NL_A"/>
    <x v="16"/>
    <n v="8.3492014028755008"/>
    <n v="2.31922261190986"/>
  </r>
  <r>
    <x v="0"/>
    <x v="3"/>
    <x v="6"/>
    <x v="10"/>
    <s v="NL_A"/>
    <x v="17"/>
    <n v="9.5251168185584092"/>
    <n v="2.6458657829328902"/>
  </r>
  <r>
    <x v="0"/>
    <x v="3"/>
    <x v="6"/>
    <x v="10"/>
    <s v="NL_A"/>
    <x v="18"/>
    <n v="21.5197083678542"/>
    <n v="5.9776967688483804"/>
  </r>
  <r>
    <x v="0"/>
    <x v="3"/>
    <x v="6"/>
    <x v="10"/>
    <s v="NL_A"/>
    <x v="19"/>
    <n v="8.1139884009941898"/>
    <n v="2.2538856669428302"/>
  </r>
  <r>
    <x v="0"/>
    <x v="3"/>
    <x v="6"/>
    <x v="10"/>
    <s v="NL_A"/>
    <x v="20"/>
    <n v="19.336735244541"/>
    <n v="5.37131534570584"/>
  </r>
  <r>
    <x v="0"/>
    <x v="3"/>
    <x v="6"/>
    <x v="10"/>
    <s v="NL_A"/>
    <x v="21"/>
    <n v="53.225806451612797"/>
    <n v="14.784946236559099"/>
  </r>
  <r>
    <x v="0"/>
    <x v="3"/>
    <x v="6"/>
    <x v="10"/>
    <s v="NL_A"/>
    <x v="22"/>
    <n v="130.68"/>
    <n v="36.299999999999997"/>
  </r>
  <r>
    <x v="0"/>
    <x v="3"/>
    <x v="6"/>
    <x v="10"/>
    <s v="NL_A"/>
    <x v="23"/>
    <n v="0.35278210439105201"/>
    <n v="9.7995028997514499E-2"/>
  </r>
  <r>
    <x v="0"/>
    <x v="3"/>
    <x v="6"/>
    <x v="10"/>
    <s v="NL_A"/>
    <x v="24"/>
    <n v="20.0161025734538"/>
    <n v="5.5600284926260501"/>
  </r>
  <r>
    <x v="0"/>
    <x v="3"/>
    <x v="6"/>
    <x v="10"/>
    <s v="NL_A"/>
    <x v="25"/>
    <n v="22.356874337357301"/>
    <n v="6.2102428714881297"/>
  </r>
  <r>
    <x v="0"/>
    <x v="3"/>
    <x v="6"/>
    <x v="10"/>
    <s v="NL_A"/>
    <x v="26"/>
    <n v="29.6651032387655"/>
    <n v="8.2403064552126306"/>
  </r>
  <r>
    <x v="0"/>
    <x v="3"/>
    <x v="6"/>
    <x v="10"/>
    <s v="NL_A"/>
    <x v="27"/>
    <n v="21.049332228666099"/>
    <n v="5.8470367301850299"/>
  </r>
  <r>
    <x v="0"/>
    <x v="3"/>
    <x v="6"/>
    <x v="10"/>
    <s v="NL_OFFSHORE"/>
    <x v="1"/>
    <n v="51.241600662800401"/>
    <n v="14.233777961889"/>
  </r>
  <r>
    <x v="0"/>
    <x v="3"/>
    <x v="6"/>
    <x v="10"/>
    <s v="NL_OFFSHORE"/>
    <x v="2"/>
    <n v="57.96"/>
    <n v="16.100000000000001"/>
  </r>
  <r>
    <x v="0"/>
    <x v="3"/>
    <x v="6"/>
    <x v="10"/>
    <s v="NL_OFFSHORE"/>
    <x v="0"/>
    <n v="42.692399999999999"/>
    <n v="11.859"/>
  </r>
  <r>
    <x v="0"/>
    <x v="3"/>
    <x v="6"/>
    <x v="10"/>
    <s v="NL_OFFSHORE"/>
    <x v="3"/>
    <n v="57.7974681027342"/>
    <n v="16.054852250759499"/>
  </r>
  <r>
    <x v="0"/>
    <x v="3"/>
    <x v="6"/>
    <x v="10"/>
    <s v="NL_OFFSHORE"/>
    <x v="4"/>
    <n v="8.1139884009941898"/>
    <n v="2.2538856669428302"/>
  </r>
  <r>
    <x v="0"/>
    <x v="3"/>
    <x v="6"/>
    <x v="10"/>
    <s v="NL_OFFSHORE"/>
    <x v="5"/>
    <n v="8.1139884009941898"/>
    <n v="2.2538856669428302"/>
  </r>
  <r>
    <x v="0"/>
    <x v="3"/>
    <x v="6"/>
    <x v="10"/>
    <s v="NL_OFFSHORE"/>
    <x v="6"/>
    <n v="30.770439105219602"/>
    <n v="8.5473441958943202"/>
  </r>
  <r>
    <x v="0"/>
    <x v="3"/>
    <x v="6"/>
    <x v="10"/>
    <s v="NL_OFFSHORE"/>
    <x v="7"/>
    <n v="71.350180613090302"/>
    <n v="19.819494614747299"/>
  </r>
  <r>
    <x v="0"/>
    <x v="3"/>
    <x v="6"/>
    <x v="10"/>
    <s v="NL_OFFSHORE"/>
    <x v="8"/>
    <n v="71.350180613090302"/>
    <n v="19.819494614747299"/>
  </r>
  <r>
    <x v="0"/>
    <x v="3"/>
    <x v="6"/>
    <x v="10"/>
    <s v="NL_OFFSHORE"/>
    <x v="9"/>
    <n v="44.803327257663497"/>
    <n v="12.4453686826843"/>
  </r>
  <r>
    <x v="0"/>
    <x v="3"/>
    <x v="6"/>
    <x v="10"/>
    <s v="NL_OFFSHORE"/>
    <x v="10"/>
    <n v="54.681226180612903"/>
    <n v="15.1892294946147"/>
  </r>
  <r>
    <x v="0"/>
    <x v="3"/>
    <x v="6"/>
    <x v="10"/>
    <s v="NL_OFFSHORE"/>
    <x v="11"/>
    <n v="3.8806031483015802"/>
    <n v="1.07794531897266"/>
  </r>
  <r>
    <x v="0"/>
    <x v="3"/>
    <x v="6"/>
    <x v="10"/>
    <s v="NL_OFFSHORE"/>
    <x v="12"/>
    <n v="9.7995028997514597E-2"/>
    <n v="2.72208413881985E-2"/>
  </r>
  <r>
    <x v="0"/>
    <x v="3"/>
    <x v="6"/>
    <x v="10"/>
    <s v="NL_OFFSHORE"/>
    <x v="13"/>
    <n v="21.5197083678542"/>
    <n v="5.9776967688483804"/>
  </r>
  <r>
    <x v="0"/>
    <x v="3"/>
    <x v="6"/>
    <x v="10"/>
    <s v="NL_OFFSHORE"/>
    <x v="14"/>
    <n v="21.5197083678542"/>
    <n v="5.9776967688483804"/>
  </r>
  <r>
    <x v="0"/>
    <x v="3"/>
    <x v="6"/>
    <x v="10"/>
    <s v="NL_OFFSHORE"/>
    <x v="15"/>
    <n v="1.65807589063794"/>
    <n v="0.46057663628831802"/>
  </r>
  <r>
    <x v="0"/>
    <x v="3"/>
    <x v="6"/>
    <x v="10"/>
    <s v="NL_OFFSHORE"/>
    <x v="16"/>
    <n v="8.3492014028755008"/>
    <n v="2.31922261190986"/>
  </r>
  <r>
    <x v="0"/>
    <x v="3"/>
    <x v="6"/>
    <x v="10"/>
    <s v="NL_OFFSHORE"/>
    <x v="17"/>
    <n v="9.5251168185584092"/>
    <n v="2.6458657829328902"/>
  </r>
  <r>
    <x v="0"/>
    <x v="3"/>
    <x v="6"/>
    <x v="10"/>
    <s v="NL_OFFSHORE"/>
    <x v="18"/>
    <n v="21.5197083678542"/>
    <n v="5.9776967688483804"/>
  </r>
  <r>
    <x v="0"/>
    <x v="3"/>
    <x v="6"/>
    <x v="10"/>
    <s v="NL_OFFSHORE"/>
    <x v="19"/>
    <n v="8.1139884009941898"/>
    <n v="2.2538856669428302"/>
  </r>
  <r>
    <x v="0"/>
    <x v="3"/>
    <x v="6"/>
    <x v="10"/>
    <s v="NL_OFFSHORE"/>
    <x v="20"/>
    <n v="19.336735244541"/>
    <n v="5.37131534570584"/>
  </r>
  <r>
    <x v="0"/>
    <x v="3"/>
    <x v="6"/>
    <x v="10"/>
    <s v="NL_OFFSHORE"/>
    <x v="21"/>
    <n v="53.225806451612797"/>
    <n v="14.784946236559099"/>
  </r>
  <r>
    <x v="0"/>
    <x v="3"/>
    <x v="6"/>
    <x v="10"/>
    <s v="NL_OFFSHORE"/>
    <x v="22"/>
    <n v="130.68"/>
    <n v="36.299999999999997"/>
  </r>
  <r>
    <x v="0"/>
    <x v="3"/>
    <x v="6"/>
    <x v="10"/>
    <s v="NL_OFFSHORE"/>
    <x v="23"/>
    <n v="0.35278210439105201"/>
    <n v="9.7995028997514499E-2"/>
  </r>
  <r>
    <x v="0"/>
    <x v="3"/>
    <x v="6"/>
    <x v="10"/>
    <s v="NL_OFFSHORE"/>
    <x v="24"/>
    <n v="20.0161025734538"/>
    <n v="5.5600284926260501"/>
  </r>
  <r>
    <x v="0"/>
    <x v="3"/>
    <x v="6"/>
    <x v="10"/>
    <s v="NL_OFFSHORE"/>
    <x v="25"/>
    <n v="22.356874337357301"/>
    <n v="6.2102428714881297"/>
  </r>
  <r>
    <x v="0"/>
    <x v="3"/>
    <x v="6"/>
    <x v="10"/>
    <s v="NL_OFFSHORE"/>
    <x v="26"/>
    <n v="29.6651032387655"/>
    <n v="8.2403064552126306"/>
  </r>
  <r>
    <x v="0"/>
    <x v="3"/>
    <x v="6"/>
    <x v="10"/>
    <s v="NL_OFFSHORE"/>
    <x v="27"/>
    <n v="21.049332228666099"/>
    <n v="5.8470367301850299"/>
  </r>
  <r>
    <x v="0"/>
    <x v="3"/>
    <x v="7"/>
    <x v="11"/>
    <s v="NO1_A1"/>
    <x v="1"/>
    <n v="51.241600662800401"/>
    <n v="14.233777961889"/>
  </r>
  <r>
    <x v="0"/>
    <x v="3"/>
    <x v="7"/>
    <x v="11"/>
    <s v="NO1_A1"/>
    <x v="2"/>
    <n v="57.96"/>
    <n v="16.100000000000001"/>
  </r>
  <r>
    <x v="0"/>
    <x v="3"/>
    <x v="7"/>
    <x v="11"/>
    <s v="NO1_A1"/>
    <x v="0"/>
    <n v="42.692399999999999"/>
    <n v="11.859"/>
  </r>
  <r>
    <x v="0"/>
    <x v="3"/>
    <x v="7"/>
    <x v="11"/>
    <s v="NO1_A1"/>
    <x v="3"/>
    <n v="57.7974681027342"/>
    <n v="16.054852250759499"/>
  </r>
  <r>
    <x v="0"/>
    <x v="3"/>
    <x v="7"/>
    <x v="11"/>
    <s v="NO1_A1"/>
    <x v="4"/>
    <n v="8.1139884009941898"/>
    <n v="2.2538856669428302"/>
  </r>
  <r>
    <x v="0"/>
    <x v="3"/>
    <x v="7"/>
    <x v="11"/>
    <s v="NO1_A1"/>
    <x v="5"/>
    <n v="8.1139884009941898"/>
    <n v="2.2538856669428302"/>
  </r>
  <r>
    <x v="0"/>
    <x v="3"/>
    <x v="7"/>
    <x v="11"/>
    <s v="NO1_A1"/>
    <x v="6"/>
    <n v="30.770439105219602"/>
    <n v="8.5473441958943202"/>
  </r>
  <r>
    <x v="0"/>
    <x v="3"/>
    <x v="7"/>
    <x v="11"/>
    <s v="NO1_A1"/>
    <x v="7"/>
    <n v="71.350180613090302"/>
    <n v="19.819494614747299"/>
  </r>
  <r>
    <x v="0"/>
    <x v="3"/>
    <x v="7"/>
    <x v="11"/>
    <s v="NO1_A1"/>
    <x v="8"/>
    <n v="71.350180613090302"/>
    <n v="19.819494614747299"/>
  </r>
  <r>
    <x v="0"/>
    <x v="3"/>
    <x v="7"/>
    <x v="11"/>
    <s v="NO1_A1"/>
    <x v="9"/>
    <n v="44.803327257663497"/>
    <n v="12.4453686826843"/>
  </r>
  <r>
    <x v="0"/>
    <x v="3"/>
    <x v="7"/>
    <x v="11"/>
    <s v="NO1_A1"/>
    <x v="10"/>
    <n v="54.681226180612903"/>
    <n v="15.1892294946147"/>
  </r>
  <r>
    <x v="0"/>
    <x v="3"/>
    <x v="7"/>
    <x v="11"/>
    <s v="NO1_A1"/>
    <x v="11"/>
    <n v="3.8806031483015802"/>
    <n v="1.07794531897266"/>
  </r>
  <r>
    <x v="0"/>
    <x v="3"/>
    <x v="7"/>
    <x v="11"/>
    <s v="NO1_A1"/>
    <x v="12"/>
    <n v="9.7995028997514597E-2"/>
    <n v="2.72208413881985E-2"/>
  </r>
  <r>
    <x v="0"/>
    <x v="3"/>
    <x v="7"/>
    <x v="11"/>
    <s v="NO1_A1"/>
    <x v="13"/>
    <n v="21.5197083678542"/>
    <n v="5.9776967688483804"/>
  </r>
  <r>
    <x v="0"/>
    <x v="3"/>
    <x v="7"/>
    <x v="11"/>
    <s v="NO1_A1"/>
    <x v="14"/>
    <n v="21.5197083678542"/>
    <n v="5.9776967688483804"/>
  </r>
  <r>
    <x v="0"/>
    <x v="3"/>
    <x v="7"/>
    <x v="11"/>
    <s v="NO1_A1"/>
    <x v="15"/>
    <n v="1.65807589063794"/>
    <n v="0.46057663628831802"/>
  </r>
  <r>
    <x v="0"/>
    <x v="3"/>
    <x v="7"/>
    <x v="11"/>
    <s v="NO1_A1"/>
    <x v="16"/>
    <n v="8.3492014028755008"/>
    <n v="2.31922261190986"/>
  </r>
  <r>
    <x v="0"/>
    <x v="3"/>
    <x v="7"/>
    <x v="11"/>
    <s v="NO1_A1"/>
    <x v="17"/>
    <n v="9.5251168185584092"/>
    <n v="2.6458657829328902"/>
  </r>
  <r>
    <x v="0"/>
    <x v="3"/>
    <x v="7"/>
    <x v="11"/>
    <s v="NO1_A1"/>
    <x v="18"/>
    <n v="21.5197083678542"/>
    <n v="5.9776967688483804"/>
  </r>
  <r>
    <x v="0"/>
    <x v="3"/>
    <x v="7"/>
    <x v="11"/>
    <s v="NO1_A1"/>
    <x v="19"/>
    <n v="8.1139884009941898"/>
    <n v="2.2538856669428302"/>
  </r>
  <r>
    <x v="0"/>
    <x v="3"/>
    <x v="7"/>
    <x v="11"/>
    <s v="NO1_A1"/>
    <x v="20"/>
    <n v="19.336735244541"/>
    <n v="5.37131534570584"/>
  </r>
  <r>
    <x v="0"/>
    <x v="3"/>
    <x v="7"/>
    <x v="11"/>
    <s v="NO1_A1"/>
    <x v="21"/>
    <n v="53.225806451612797"/>
    <n v="14.784946236559099"/>
  </r>
  <r>
    <x v="0"/>
    <x v="3"/>
    <x v="7"/>
    <x v="11"/>
    <s v="NO1_A1"/>
    <x v="22"/>
    <n v="130.68"/>
    <n v="36.299999999999997"/>
  </r>
  <r>
    <x v="0"/>
    <x v="3"/>
    <x v="7"/>
    <x v="11"/>
    <s v="NO1_A1"/>
    <x v="23"/>
    <n v="0.35278210439105201"/>
    <n v="9.7995028997514499E-2"/>
  </r>
  <r>
    <x v="0"/>
    <x v="3"/>
    <x v="7"/>
    <x v="11"/>
    <s v="NO1_A1"/>
    <x v="24"/>
    <n v="20.0161025734538"/>
    <n v="5.5600284926260501"/>
  </r>
  <r>
    <x v="0"/>
    <x v="3"/>
    <x v="7"/>
    <x v="11"/>
    <s v="NO1_A1"/>
    <x v="25"/>
    <n v="22.356874337357301"/>
    <n v="6.2102428714881297"/>
  </r>
  <r>
    <x v="0"/>
    <x v="3"/>
    <x v="7"/>
    <x v="11"/>
    <s v="NO1_A1"/>
    <x v="26"/>
    <n v="29.6651032387655"/>
    <n v="8.2403064552126306"/>
  </r>
  <r>
    <x v="0"/>
    <x v="3"/>
    <x v="7"/>
    <x v="11"/>
    <s v="NO1_A1"/>
    <x v="27"/>
    <n v="21.049332228666099"/>
    <n v="5.8470367301850299"/>
  </r>
  <r>
    <x v="0"/>
    <x v="3"/>
    <x v="7"/>
    <x v="11"/>
    <s v="NO1_A2"/>
    <x v="1"/>
    <n v="51.241600662800401"/>
    <n v="14.233777961889"/>
  </r>
  <r>
    <x v="0"/>
    <x v="3"/>
    <x v="7"/>
    <x v="11"/>
    <s v="NO1_A2"/>
    <x v="2"/>
    <n v="57.96"/>
    <n v="16.100000000000001"/>
  </r>
  <r>
    <x v="0"/>
    <x v="3"/>
    <x v="7"/>
    <x v="11"/>
    <s v="NO1_A2"/>
    <x v="0"/>
    <n v="42.692399999999999"/>
    <n v="11.859"/>
  </r>
  <r>
    <x v="0"/>
    <x v="3"/>
    <x v="7"/>
    <x v="11"/>
    <s v="NO1_A2"/>
    <x v="3"/>
    <n v="57.7974681027342"/>
    <n v="16.054852250759499"/>
  </r>
  <r>
    <x v="0"/>
    <x v="3"/>
    <x v="7"/>
    <x v="11"/>
    <s v="NO1_A2"/>
    <x v="4"/>
    <n v="8.1139884009941898"/>
    <n v="2.2538856669428302"/>
  </r>
  <r>
    <x v="0"/>
    <x v="3"/>
    <x v="7"/>
    <x v="11"/>
    <s v="NO1_A2"/>
    <x v="5"/>
    <n v="8.1139884009941898"/>
    <n v="2.2538856669428302"/>
  </r>
  <r>
    <x v="0"/>
    <x v="3"/>
    <x v="7"/>
    <x v="11"/>
    <s v="NO1_A2"/>
    <x v="6"/>
    <n v="30.770439105219602"/>
    <n v="8.5473441958943202"/>
  </r>
  <r>
    <x v="0"/>
    <x v="3"/>
    <x v="7"/>
    <x v="11"/>
    <s v="NO1_A2"/>
    <x v="7"/>
    <n v="71.350180613090302"/>
    <n v="19.819494614747299"/>
  </r>
  <r>
    <x v="0"/>
    <x v="3"/>
    <x v="7"/>
    <x v="11"/>
    <s v="NO1_A2"/>
    <x v="8"/>
    <n v="71.350180613090302"/>
    <n v="19.819494614747299"/>
  </r>
  <r>
    <x v="0"/>
    <x v="3"/>
    <x v="7"/>
    <x v="11"/>
    <s v="NO1_A2"/>
    <x v="9"/>
    <n v="44.803327257663497"/>
    <n v="12.4453686826843"/>
  </r>
  <r>
    <x v="0"/>
    <x v="3"/>
    <x v="7"/>
    <x v="11"/>
    <s v="NO1_A2"/>
    <x v="10"/>
    <n v="54.681226180612903"/>
    <n v="15.1892294946147"/>
  </r>
  <r>
    <x v="0"/>
    <x v="3"/>
    <x v="7"/>
    <x v="11"/>
    <s v="NO1_A2"/>
    <x v="11"/>
    <n v="3.8806031483015802"/>
    <n v="1.07794531897266"/>
  </r>
  <r>
    <x v="0"/>
    <x v="3"/>
    <x v="7"/>
    <x v="11"/>
    <s v="NO1_A2"/>
    <x v="12"/>
    <n v="9.7995028997514597E-2"/>
    <n v="2.72208413881985E-2"/>
  </r>
  <r>
    <x v="0"/>
    <x v="3"/>
    <x v="7"/>
    <x v="11"/>
    <s v="NO1_A2"/>
    <x v="13"/>
    <n v="21.5197083678542"/>
    <n v="5.9776967688483804"/>
  </r>
  <r>
    <x v="0"/>
    <x v="3"/>
    <x v="7"/>
    <x v="11"/>
    <s v="NO1_A2"/>
    <x v="14"/>
    <n v="21.5197083678542"/>
    <n v="5.9776967688483804"/>
  </r>
  <r>
    <x v="0"/>
    <x v="3"/>
    <x v="7"/>
    <x v="11"/>
    <s v="NO1_A2"/>
    <x v="15"/>
    <n v="1.65807589063794"/>
    <n v="0.46057663628831802"/>
  </r>
  <r>
    <x v="0"/>
    <x v="3"/>
    <x v="7"/>
    <x v="11"/>
    <s v="NO1_A2"/>
    <x v="16"/>
    <n v="8.3492014028755008"/>
    <n v="2.31922261190986"/>
  </r>
  <r>
    <x v="0"/>
    <x v="3"/>
    <x v="7"/>
    <x v="11"/>
    <s v="NO1_A2"/>
    <x v="17"/>
    <n v="9.5251168185584092"/>
    <n v="2.6458657829328902"/>
  </r>
  <r>
    <x v="0"/>
    <x v="3"/>
    <x v="7"/>
    <x v="11"/>
    <s v="NO1_A2"/>
    <x v="18"/>
    <n v="21.5197083678542"/>
    <n v="5.9776967688483804"/>
  </r>
  <r>
    <x v="0"/>
    <x v="3"/>
    <x v="7"/>
    <x v="11"/>
    <s v="NO1_A2"/>
    <x v="19"/>
    <n v="8.1139884009941898"/>
    <n v="2.2538856669428302"/>
  </r>
  <r>
    <x v="0"/>
    <x v="3"/>
    <x v="7"/>
    <x v="11"/>
    <s v="NO1_A2"/>
    <x v="20"/>
    <n v="19.336735244541"/>
    <n v="5.37131534570584"/>
  </r>
  <r>
    <x v="0"/>
    <x v="3"/>
    <x v="7"/>
    <x v="11"/>
    <s v="NO1_A2"/>
    <x v="21"/>
    <n v="53.225806451612797"/>
    <n v="14.784946236559099"/>
  </r>
  <r>
    <x v="0"/>
    <x v="3"/>
    <x v="7"/>
    <x v="11"/>
    <s v="NO1_A2"/>
    <x v="22"/>
    <n v="130.68"/>
    <n v="36.299999999999997"/>
  </r>
  <r>
    <x v="0"/>
    <x v="3"/>
    <x v="7"/>
    <x v="11"/>
    <s v="NO1_A2"/>
    <x v="23"/>
    <n v="0.35278210439105201"/>
    <n v="9.7995028997514499E-2"/>
  </r>
  <r>
    <x v="0"/>
    <x v="3"/>
    <x v="7"/>
    <x v="11"/>
    <s v="NO1_A2"/>
    <x v="24"/>
    <n v="20.0161025734538"/>
    <n v="5.5600284926260501"/>
  </r>
  <r>
    <x v="0"/>
    <x v="3"/>
    <x v="7"/>
    <x v="11"/>
    <s v="NO1_A2"/>
    <x v="25"/>
    <n v="22.356874337357301"/>
    <n v="6.2102428714881297"/>
  </r>
  <r>
    <x v="0"/>
    <x v="3"/>
    <x v="7"/>
    <x v="11"/>
    <s v="NO1_A2"/>
    <x v="26"/>
    <n v="29.6651032387655"/>
    <n v="8.2403064552126306"/>
  </r>
  <r>
    <x v="0"/>
    <x v="3"/>
    <x v="7"/>
    <x v="11"/>
    <s v="NO1_A2"/>
    <x v="27"/>
    <n v="21.049332228666099"/>
    <n v="5.8470367301850299"/>
  </r>
  <r>
    <x v="0"/>
    <x v="3"/>
    <x v="7"/>
    <x v="11"/>
    <s v="NO1_A3"/>
    <x v="1"/>
    <n v="51.241600662800401"/>
    <n v="14.233777961889"/>
  </r>
  <r>
    <x v="0"/>
    <x v="3"/>
    <x v="7"/>
    <x v="11"/>
    <s v="NO1_A3"/>
    <x v="2"/>
    <n v="57.96"/>
    <n v="16.100000000000001"/>
  </r>
  <r>
    <x v="0"/>
    <x v="3"/>
    <x v="7"/>
    <x v="11"/>
    <s v="NO1_A3"/>
    <x v="0"/>
    <n v="42.692399999999999"/>
    <n v="11.859"/>
  </r>
  <r>
    <x v="0"/>
    <x v="3"/>
    <x v="7"/>
    <x v="11"/>
    <s v="NO1_A3"/>
    <x v="3"/>
    <n v="57.7974681027342"/>
    <n v="16.054852250759499"/>
  </r>
  <r>
    <x v="0"/>
    <x v="3"/>
    <x v="7"/>
    <x v="11"/>
    <s v="NO1_A3"/>
    <x v="4"/>
    <n v="8.1139884009941898"/>
    <n v="2.2538856669428302"/>
  </r>
  <r>
    <x v="0"/>
    <x v="3"/>
    <x v="7"/>
    <x v="11"/>
    <s v="NO1_A3"/>
    <x v="5"/>
    <n v="8.1139884009941898"/>
    <n v="2.2538856669428302"/>
  </r>
  <r>
    <x v="0"/>
    <x v="3"/>
    <x v="7"/>
    <x v="11"/>
    <s v="NO1_A3"/>
    <x v="6"/>
    <n v="30.770439105219602"/>
    <n v="8.5473441958943202"/>
  </r>
  <r>
    <x v="0"/>
    <x v="3"/>
    <x v="7"/>
    <x v="11"/>
    <s v="NO1_A3"/>
    <x v="7"/>
    <n v="71.350180613090302"/>
    <n v="19.819494614747299"/>
  </r>
  <r>
    <x v="0"/>
    <x v="3"/>
    <x v="7"/>
    <x v="11"/>
    <s v="NO1_A3"/>
    <x v="8"/>
    <n v="71.350180613090302"/>
    <n v="19.819494614747299"/>
  </r>
  <r>
    <x v="0"/>
    <x v="3"/>
    <x v="7"/>
    <x v="11"/>
    <s v="NO1_A3"/>
    <x v="9"/>
    <n v="44.803327257663497"/>
    <n v="12.4453686826843"/>
  </r>
  <r>
    <x v="0"/>
    <x v="3"/>
    <x v="7"/>
    <x v="11"/>
    <s v="NO1_A3"/>
    <x v="10"/>
    <n v="54.681226180612903"/>
    <n v="15.1892294946147"/>
  </r>
  <r>
    <x v="0"/>
    <x v="3"/>
    <x v="7"/>
    <x v="11"/>
    <s v="NO1_A3"/>
    <x v="11"/>
    <n v="3.8806031483015802"/>
    <n v="1.07794531897266"/>
  </r>
  <r>
    <x v="0"/>
    <x v="3"/>
    <x v="7"/>
    <x v="11"/>
    <s v="NO1_A3"/>
    <x v="12"/>
    <n v="9.7995028997514597E-2"/>
    <n v="2.72208413881985E-2"/>
  </r>
  <r>
    <x v="0"/>
    <x v="3"/>
    <x v="7"/>
    <x v="11"/>
    <s v="NO1_A3"/>
    <x v="13"/>
    <n v="21.5197083678542"/>
    <n v="5.9776967688483804"/>
  </r>
  <r>
    <x v="0"/>
    <x v="3"/>
    <x v="7"/>
    <x v="11"/>
    <s v="NO1_A3"/>
    <x v="14"/>
    <n v="21.5197083678542"/>
    <n v="5.9776967688483804"/>
  </r>
  <r>
    <x v="0"/>
    <x v="3"/>
    <x v="7"/>
    <x v="11"/>
    <s v="NO1_A3"/>
    <x v="15"/>
    <n v="1.65807589063794"/>
    <n v="0.46057663628831802"/>
  </r>
  <r>
    <x v="0"/>
    <x v="3"/>
    <x v="7"/>
    <x v="11"/>
    <s v="NO1_A3"/>
    <x v="16"/>
    <n v="8.3492014028755008"/>
    <n v="2.31922261190986"/>
  </r>
  <r>
    <x v="0"/>
    <x v="3"/>
    <x v="7"/>
    <x v="11"/>
    <s v="NO1_A3"/>
    <x v="17"/>
    <n v="9.5251168185584092"/>
    <n v="2.6458657829328902"/>
  </r>
  <r>
    <x v="0"/>
    <x v="3"/>
    <x v="7"/>
    <x v="11"/>
    <s v="NO1_A3"/>
    <x v="18"/>
    <n v="21.5197083678542"/>
    <n v="5.9776967688483804"/>
  </r>
  <r>
    <x v="0"/>
    <x v="3"/>
    <x v="7"/>
    <x v="11"/>
    <s v="NO1_A3"/>
    <x v="19"/>
    <n v="8.1139884009941898"/>
    <n v="2.2538856669428302"/>
  </r>
  <r>
    <x v="0"/>
    <x v="3"/>
    <x v="7"/>
    <x v="11"/>
    <s v="NO1_A3"/>
    <x v="20"/>
    <n v="19.336735244541"/>
    <n v="5.37131534570584"/>
  </r>
  <r>
    <x v="0"/>
    <x v="3"/>
    <x v="7"/>
    <x v="11"/>
    <s v="NO1_A3"/>
    <x v="21"/>
    <n v="53.225806451612797"/>
    <n v="14.784946236559099"/>
  </r>
  <r>
    <x v="0"/>
    <x v="3"/>
    <x v="7"/>
    <x v="11"/>
    <s v="NO1_A3"/>
    <x v="22"/>
    <n v="130.68"/>
    <n v="36.299999999999997"/>
  </r>
  <r>
    <x v="0"/>
    <x v="3"/>
    <x v="7"/>
    <x v="11"/>
    <s v="NO1_A3"/>
    <x v="23"/>
    <n v="0.35278210439105201"/>
    <n v="9.7995028997514499E-2"/>
  </r>
  <r>
    <x v="0"/>
    <x v="3"/>
    <x v="7"/>
    <x v="11"/>
    <s v="NO1_A3"/>
    <x v="24"/>
    <n v="20.0161025734538"/>
    <n v="5.5600284926260501"/>
  </r>
  <r>
    <x v="0"/>
    <x v="3"/>
    <x v="7"/>
    <x v="11"/>
    <s v="NO1_A3"/>
    <x v="25"/>
    <n v="22.356874337357301"/>
    <n v="6.2102428714881297"/>
  </r>
  <r>
    <x v="0"/>
    <x v="3"/>
    <x v="7"/>
    <x v="11"/>
    <s v="NO1_A3"/>
    <x v="26"/>
    <n v="29.6651032387655"/>
    <n v="8.2403064552126306"/>
  </r>
  <r>
    <x v="0"/>
    <x v="3"/>
    <x v="7"/>
    <x v="11"/>
    <s v="NO1_A3"/>
    <x v="27"/>
    <n v="21.049332228666099"/>
    <n v="5.8470367301850299"/>
  </r>
  <r>
    <x v="0"/>
    <x v="3"/>
    <x v="7"/>
    <x v="11"/>
    <s v="NO1_Offshore"/>
    <x v="1"/>
    <n v="51.241600662800401"/>
    <n v="14.233777961889"/>
  </r>
  <r>
    <x v="0"/>
    <x v="3"/>
    <x v="7"/>
    <x v="11"/>
    <s v="NO1_Offshore"/>
    <x v="2"/>
    <n v="57.96"/>
    <n v="16.100000000000001"/>
  </r>
  <r>
    <x v="0"/>
    <x v="3"/>
    <x v="7"/>
    <x v="11"/>
    <s v="NO1_Offshore"/>
    <x v="0"/>
    <n v="42.692399999999999"/>
    <n v="11.859"/>
  </r>
  <r>
    <x v="0"/>
    <x v="3"/>
    <x v="7"/>
    <x v="11"/>
    <s v="NO1_Offshore"/>
    <x v="3"/>
    <n v="57.7974681027342"/>
    <n v="16.054852250759499"/>
  </r>
  <r>
    <x v="0"/>
    <x v="3"/>
    <x v="7"/>
    <x v="11"/>
    <s v="NO1_Offshore"/>
    <x v="4"/>
    <n v="8.1139884009941898"/>
    <n v="2.2538856669428302"/>
  </r>
  <r>
    <x v="0"/>
    <x v="3"/>
    <x v="7"/>
    <x v="11"/>
    <s v="NO1_Offshore"/>
    <x v="5"/>
    <n v="8.1139884009941898"/>
    <n v="2.2538856669428302"/>
  </r>
  <r>
    <x v="0"/>
    <x v="3"/>
    <x v="7"/>
    <x v="11"/>
    <s v="NO1_Offshore"/>
    <x v="6"/>
    <n v="30.770439105219602"/>
    <n v="8.5473441958943202"/>
  </r>
  <r>
    <x v="0"/>
    <x v="3"/>
    <x v="7"/>
    <x v="11"/>
    <s v="NO1_Offshore"/>
    <x v="7"/>
    <n v="71.350180613090302"/>
    <n v="19.819494614747299"/>
  </r>
  <r>
    <x v="0"/>
    <x v="3"/>
    <x v="7"/>
    <x v="11"/>
    <s v="NO1_Offshore"/>
    <x v="8"/>
    <n v="71.350180613090302"/>
    <n v="19.819494614747299"/>
  </r>
  <r>
    <x v="0"/>
    <x v="3"/>
    <x v="7"/>
    <x v="11"/>
    <s v="NO1_Offshore"/>
    <x v="9"/>
    <n v="44.803327257663497"/>
    <n v="12.4453686826843"/>
  </r>
  <r>
    <x v="0"/>
    <x v="3"/>
    <x v="7"/>
    <x v="11"/>
    <s v="NO1_Offshore"/>
    <x v="10"/>
    <n v="54.681226180612903"/>
    <n v="15.1892294946147"/>
  </r>
  <r>
    <x v="0"/>
    <x v="3"/>
    <x v="7"/>
    <x v="11"/>
    <s v="NO1_Offshore"/>
    <x v="11"/>
    <n v="3.8806031483015802"/>
    <n v="1.07794531897266"/>
  </r>
  <r>
    <x v="0"/>
    <x v="3"/>
    <x v="7"/>
    <x v="11"/>
    <s v="NO1_Offshore"/>
    <x v="12"/>
    <n v="9.7995028997514597E-2"/>
    <n v="2.72208413881985E-2"/>
  </r>
  <r>
    <x v="0"/>
    <x v="3"/>
    <x v="7"/>
    <x v="11"/>
    <s v="NO1_Offshore"/>
    <x v="13"/>
    <n v="21.5197083678542"/>
    <n v="5.9776967688483804"/>
  </r>
  <r>
    <x v="0"/>
    <x v="3"/>
    <x v="7"/>
    <x v="11"/>
    <s v="NO1_Offshore"/>
    <x v="14"/>
    <n v="21.5197083678542"/>
    <n v="5.9776967688483804"/>
  </r>
  <r>
    <x v="0"/>
    <x v="3"/>
    <x v="7"/>
    <x v="11"/>
    <s v="NO1_Offshore"/>
    <x v="15"/>
    <n v="1.65807589063794"/>
    <n v="0.46057663628831802"/>
  </r>
  <r>
    <x v="0"/>
    <x v="3"/>
    <x v="7"/>
    <x v="11"/>
    <s v="NO1_Offshore"/>
    <x v="16"/>
    <n v="8.3492014028755008"/>
    <n v="2.31922261190986"/>
  </r>
  <r>
    <x v="0"/>
    <x v="3"/>
    <x v="7"/>
    <x v="11"/>
    <s v="NO1_Offshore"/>
    <x v="17"/>
    <n v="9.5251168185584092"/>
    <n v="2.6458657829328902"/>
  </r>
  <r>
    <x v="0"/>
    <x v="3"/>
    <x v="7"/>
    <x v="11"/>
    <s v="NO1_Offshore"/>
    <x v="18"/>
    <n v="21.5197083678542"/>
    <n v="5.9776967688483804"/>
  </r>
  <r>
    <x v="0"/>
    <x v="3"/>
    <x v="7"/>
    <x v="11"/>
    <s v="NO1_Offshore"/>
    <x v="19"/>
    <n v="8.1139884009941898"/>
    <n v="2.2538856669428302"/>
  </r>
  <r>
    <x v="0"/>
    <x v="3"/>
    <x v="7"/>
    <x v="11"/>
    <s v="NO1_Offshore"/>
    <x v="20"/>
    <n v="19.336735244541"/>
    <n v="5.37131534570584"/>
  </r>
  <r>
    <x v="0"/>
    <x v="3"/>
    <x v="7"/>
    <x v="11"/>
    <s v="NO1_Offshore"/>
    <x v="21"/>
    <n v="53.225806451612797"/>
    <n v="14.784946236559099"/>
  </r>
  <r>
    <x v="0"/>
    <x v="3"/>
    <x v="7"/>
    <x v="11"/>
    <s v="NO1_Offshore"/>
    <x v="22"/>
    <n v="130.68"/>
    <n v="36.299999999999997"/>
  </r>
  <r>
    <x v="0"/>
    <x v="3"/>
    <x v="7"/>
    <x v="11"/>
    <s v="NO1_Offshore"/>
    <x v="23"/>
    <n v="0.35278210439105201"/>
    <n v="9.7995028997514499E-2"/>
  </r>
  <r>
    <x v="0"/>
    <x v="3"/>
    <x v="7"/>
    <x v="11"/>
    <s v="NO1_Offshore"/>
    <x v="24"/>
    <n v="20.0161025734538"/>
    <n v="5.5600284926260501"/>
  </r>
  <r>
    <x v="0"/>
    <x v="3"/>
    <x v="7"/>
    <x v="11"/>
    <s v="NO1_Offshore"/>
    <x v="25"/>
    <n v="22.356874337357301"/>
    <n v="6.2102428714881297"/>
  </r>
  <r>
    <x v="0"/>
    <x v="3"/>
    <x v="7"/>
    <x v="11"/>
    <s v="NO1_Offshore"/>
    <x v="26"/>
    <n v="29.6651032387655"/>
    <n v="8.2403064552126306"/>
  </r>
  <r>
    <x v="0"/>
    <x v="3"/>
    <x v="7"/>
    <x v="11"/>
    <s v="NO1_Offshore"/>
    <x v="27"/>
    <n v="21.049332228666099"/>
    <n v="5.8470367301850299"/>
  </r>
  <r>
    <x v="0"/>
    <x v="3"/>
    <x v="7"/>
    <x v="12"/>
    <s v="NO2_A1"/>
    <x v="1"/>
    <n v="51.241600662800401"/>
    <n v="14.233777961889"/>
  </r>
  <r>
    <x v="0"/>
    <x v="3"/>
    <x v="7"/>
    <x v="12"/>
    <s v="NO2_A1"/>
    <x v="2"/>
    <n v="57.96"/>
    <n v="16.100000000000001"/>
  </r>
  <r>
    <x v="0"/>
    <x v="3"/>
    <x v="7"/>
    <x v="12"/>
    <s v="NO2_A1"/>
    <x v="0"/>
    <n v="42.692399999999999"/>
    <n v="11.859"/>
  </r>
  <r>
    <x v="0"/>
    <x v="3"/>
    <x v="7"/>
    <x v="12"/>
    <s v="NO2_A1"/>
    <x v="3"/>
    <n v="57.7974681027342"/>
    <n v="16.054852250759499"/>
  </r>
  <r>
    <x v="0"/>
    <x v="3"/>
    <x v="7"/>
    <x v="12"/>
    <s v="NO2_A1"/>
    <x v="4"/>
    <n v="8.1139884009941898"/>
    <n v="2.2538856669428302"/>
  </r>
  <r>
    <x v="0"/>
    <x v="3"/>
    <x v="7"/>
    <x v="12"/>
    <s v="NO2_A1"/>
    <x v="5"/>
    <n v="8.1139884009941898"/>
    <n v="2.2538856669428302"/>
  </r>
  <r>
    <x v="0"/>
    <x v="3"/>
    <x v="7"/>
    <x v="12"/>
    <s v="NO2_A1"/>
    <x v="6"/>
    <n v="30.770439105219602"/>
    <n v="8.5473441958943202"/>
  </r>
  <r>
    <x v="0"/>
    <x v="3"/>
    <x v="7"/>
    <x v="12"/>
    <s v="NO2_A1"/>
    <x v="7"/>
    <n v="71.350180613090302"/>
    <n v="19.819494614747299"/>
  </r>
  <r>
    <x v="0"/>
    <x v="3"/>
    <x v="7"/>
    <x v="12"/>
    <s v="NO2_A1"/>
    <x v="8"/>
    <n v="71.350180613090302"/>
    <n v="19.819494614747299"/>
  </r>
  <r>
    <x v="0"/>
    <x v="3"/>
    <x v="7"/>
    <x v="12"/>
    <s v="NO2_A1"/>
    <x v="9"/>
    <n v="44.803327257663497"/>
    <n v="12.4453686826843"/>
  </r>
  <r>
    <x v="0"/>
    <x v="3"/>
    <x v="7"/>
    <x v="12"/>
    <s v="NO2_A1"/>
    <x v="10"/>
    <n v="54.681226180612903"/>
    <n v="15.1892294946147"/>
  </r>
  <r>
    <x v="0"/>
    <x v="3"/>
    <x v="7"/>
    <x v="12"/>
    <s v="NO2_A1"/>
    <x v="11"/>
    <n v="3.8806031483015802"/>
    <n v="1.07794531897266"/>
  </r>
  <r>
    <x v="0"/>
    <x v="3"/>
    <x v="7"/>
    <x v="12"/>
    <s v="NO2_A1"/>
    <x v="12"/>
    <n v="9.7995028997514597E-2"/>
    <n v="2.72208413881985E-2"/>
  </r>
  <r>
    <x v="0"/>
    <x v="3"/>
    <x v="7"/>
    <x v="12"/>
    <s v="NO2_A1"/>
    <x v="13"/>
    <n v="21.5197083678542"/>
    <n v="5.9776967688483804"/>
  </r>
  <r>
    <x v="0"/>
    <x v="3"/>
    <x v="7"/>
    <x v="12"/>
    <s v="NO2_A1"/>
    <x v="14"/>
    <n v="21.5197083678542"/>
    <n v="5.9776967688483804"/>
  </r>
  <r>
    <x v="0"/>
    <x v="3"/>
    <x v="7"/>
    <x v="12"/>
    <s v="NO2_A1"/>
    <x v="15"/>
    <n v="1.65807589063794"/>
    <n v="0.46057663628831802"/>
  </r>
  <r>
    <x v="0"/>
    <x v="3"/>
    <x v="7"/>
    <x v="12"/>
    <s v="NO2_A1"/>
    <x v="16"/>
    <n v="8.3492014028755008"/>
    <n v="2.31922261190986"/>
  </r>
  <r>
    <x v="0"/>
    <x v="3"/>
    <x v="7"/>
    <x v="12"/>
    <s v="NO2_A1"/>
    <x v="17"/>
    <n v="9.5251168185584092"/>
    <n v="2.6458657829328902"/>
  </r>
  <r>
    <x v="0"/>
    <x v="3"/>
    <x v="7"/>
    <x v="12"/>
    <s v="NO2_A1"/>
    <x v="18"/>
    <n v="21.5197083678542"/>
    <n v="5.9776967688483804"/>
  </r>
  <r>
    <x v="0"/>
    <x v="3"/>
    <x v="7"/>
    <x v="12"/>
    <s v="NO2_A1"/>
    <x v="19"/>
    <n v="8.1139884009941898"/>
    <n v="2.2538856669428302"/>
  </r>
  <r>
    <x v="0"/>
    <x v="3"/>
    <x v="7"/>
    <x v="12"/>
    <s v="NO2_A1"/>
    <x v="20"/>
    <n v="19.336735244541"/>
    <n v="5.37131534570584"/>
  </r>
  <r>
    <x v="0"/>
    <x v="3"/>
    <x v="7"/>
    <x v="12"/>
    <s v="NO2_A1"/>
    <x v="21"/>
    <n v="53.225806451612797"/>
    <n v="14.784946236559099"/>
  </r>
  <r>
    <x v="0"/>
    <x v="3"/>
    <x v="7"/>
    <x v="12"/>
    <s v="NO2_A1"/>
    <x v="22"/>
    <n v="130.68"/>
    <n v="36.299999999999997"/>
  </r>
  <r>
    <x v="0"/>
    <x v="3"/>
    <x v="7"/>
    <x v="12"/>
    <s v="NO2_A1"/>
    <x v="23"/>
    <n v="0.35278210439105201"/>
    <n v="9.7995028997514499E-2"/>
  </r>
  <r>
    <x v="0"/>
    <x v="3"/>
    <x v="7"/>
    <x v="12"/>
    <s v="NO2_A1"/>
    <x v="24"/>
    <n v="20.0161025734538"/>
    <n v="5.5600284926260501"/>
  </r>
  <r>
    <x v="0"/>
    <x v="3"/>
    <x v="7"/>
    <x v="12"/>
    <s v="NO2_A1"/>
    <x v="25"/>
    <n v="22.356874337357301"/>
    <n v="6.2102428714881297"/>
  </r>
  <r>
    <x v="0"/>
    <x v="3"/>
    <x v="7"/>
    <x v="12"/>
    <s v="NO2_A1"/>
    <x v="26"/>
    <n v="29.6651032387655"/>
    <n v="8.2403064552126306"/>
  </r>
  <r>
    <x v="0"/>
    <x v="3"/>
    <x v="7"/>
    <x v="12"/>
    <s v="NO2_A1"/>
    <x v="27"/>
    <n v="21.049332228666099"/>
    <n v="5.8470367301850299"/>
  </r>
  <r>
    <x v="0"/>
    <x v="3"/>
    <x v="7"/>
    <x v="12"/>
    <s v="NO2_A2"/>
    <x v="1"/>
    <n v="51.241600662800401"/>
    <n v="14.233777961889"/>
  </r>
  <r>
    <x v="0"/>
    <x v="3"/>
    <x v="7"/>
    <x v="12"/>
    <s v="NO2_A2"/>
    <x v="2"/>
    <n v="57.96"/>
    <n v="16.100000000000001"/>
  </r>
  <r>
    <x v="0"/>
    <x v="3"/>
    <x v="7"/>
    <x v="12"/>
    <s v="NO2_A2"/>
    <x v="0"/>
    <n v="42.692399999999999"/>
    <n v="11.859"/>
  </r>
  <r>
    <x v="0"/>
    <x v="3"/>
    <x v="7"/>
    <x v="12"/>
    <s v="NO2_A2"/>
    <x v="3"/>
    <n v="57.7974681027342"/>
    <n v="16.054852250759499"/>
  </r>
  <r>
    <x v="0"/>
    <x v="3"/>
    <x v="7"/>
    <x v="12"/>
    <s v="NO2_A2"/>
    <x v="4"/>
    <n v="8.1139884009941898"/>
    <n v="2.2538856669428302"/>
  </r>
  <r>
    <x v="0"/>
    <x v="3"/>
    <x v="7"/>
    <x v="12"/>
    <s v="NO2_A2"/>
    <x v="5"/>
    <n v="8.1139884009941898"/>
    <n v="2.2538856669428302"/>
  </r>
  <r>
    <x v="0"/>
    <x v="3"/>
    <x v="7"/>
    <x v="12"/>
    <s v="NO2_A2"/>
    <x v="6"/>
    <n v="30.770439105219602"/>
    <n v="8.5473441958943202"/>
  </r>
  <r>
    <x v="0"/>
    <x v="3"/>
    <x v="7"/>
    <x v="12"/>
    <s v="NO2_A2"/>
    <x v="7"/>
    <n v="71.350180613090302"/>
    <n v="19.819494614747299"/>
  </r>
  <r>
    <x v="0"/>
    <x v="3"/>
    <x v="7"/>
    <x v="12"/>
    <s v="NO2_A2"/>
    <x v="8"/>
    <n v="71.350180613090302"/>
    <n v="19.819494614747299"/>
  </r>
  <r>
    <x v="0"/>
    <x v="3"/>
    <x v="7"/>
    <x v="12"/>
    <s v="NO2_A2"/>
    <x v="9"/>
    <n v="44.803327257663497"/>
    <n v="12.4453686826843"/>
  </r>
  <r>
    <x v="0"/>
    <x v="3"/>
    <x v="7"/>
    <x v="12"/>
    <s v="NO2_A2"/>
    <x v="10"/>
    <n v="54.681226180612903"/>
    <n v="15.1892294946147"/>
  </r>
  <r>
    <x v="0"/>
    <x v="3"/>
    <x v="7"/>
    <x v="12"/>
    <s v="NO2_A2"/>
    <x v="11"/>
    <n v="3.8806031483015802"/>
    <n v="1.07794531897266"/>
  </r>
  <r>
    <x v="0"/>
    <x v="3"/>
    <x v="7"/>
    <x v="12"/>
    <s v="NO2_A2"/>
    <x v="12"/>
    <n v="9.7995028997514597E-2"/>
    <n v="2.72208413881985E-2"/>
  </r>
  <r>
    <x v="0"/>
    <x v="3"/>
    <x v="7"/>
    <x v="12"/>
    <s v="NO2_A2"/>
    <x v="13"/>
    <n v="21.5197083678542"/>
    <n v="5.9776967688483804"/>
  </r>
  <r>
    <x v="0"/>
    <x v="3"/>
    <x v="7"/>
    <x v="12"/>
    <s v="NO2_A2"/>
    <x v="14"/>
    <n v="21.5197083678542"/>
    <n v="5.9776967688483804"/>
  </r>
  <r>
    <x v="0"/>
    <x v="3"/>
    <x v="7"/>
    <x v="12"/>
    <s v="NO2_A2"/>
    <x v="15"/>
    <n v="1.65807589063794"/>
    <n v="0.46057663628831802"/>
  </r>
  <r>
    <x v="0"/>
    <x v="3"/>
    <x v="7"/>
    <x v="12"/>
    <s v="NO2_A2"/>
    <x v="16"/>
    <n v="8.3492014028755008"/>
    <n v="2.31922261190986"/>
  </r>
  <r>
    <x v="0"/>
    <x v="3"/>
    <x v="7"/>
    <x v="12"/>
    <s v="NO2_A2"/>
    <x v="17"/>
    <n v="9.5251168185584092"/>
    <n v="2.6458657829328902"/>
  </r>
  <r>
    <x v="0"/>
    <x v="3"/>
    <x v="7"/>
    <x v="12"/>
    <s v="NO2_A2"/>
    <x v="18"/>
    <n v="21.5197083678542"/>
    <n v="5.9776967688483804"/>
  </r>
  <r>
    <x v="0"/>
    <x v="3"/>
    <x v="7"/>
    <x v="12"/>
    <s v="NO2_A2"/>
    <x v="19"/>
    <n v="8.1139884009941898"/>
    <n v="2.2538856669428302"/>
  </r>
  <r>
    <x v="0"/>
    <x v="3"/>
    <x v="7"/>
    <x v="12"/>
    <s v="NO2_A2"/>
    <x v="20"/>
    <n v="19.336735244541"/>
    <n v="5.37131534570584"/>
  </r>
  <r>
    <x v="0"/>
    <x v="3"/>
    <x v="7"/>
    <x v="12"/>
    <s v="NO2_A2"/>
    <x v="21"/>
    <n v="53.225806451612797"/>
    <n v="14.784946236559099"/>
  </r>
  <r>
    <x v="0"/>
    <x v="3"/>
    <x v="7"/>
    <x v="12"/>
    <s v="NO2_A2"/>
    <x v="22"/>
    <n v="130.68"/>
    <n v="36.299999999999997"/>
  </r>
  <r>
    <x v="0"/>
    <x v="3"/>
    <x v="7"/>
    <x v="12"/>
    <s v="NO2_A2"/>
    <x v="23"/>
    <n v="0.35278210439105201"/>
    <n v="9.7995028997514499E-2"/>
  </r>
  <r>
    <x v="0"/>
    <x v="3"/>
    <x v="7"/>
    <x v="12"/>
    <s v="NO2_A2"/>
    <x v="24"/>
    <n v="20.0161025734538"/>
    <n v="5.5600284926260501"/>
  </r>
  <r>
    <x v="0"/>
    <x v="3"/>
    <x v="7"/>
    <x v="12"/>
    <s v="NO2_A2"/>
    <x v="25"/>
    <n v="22.356874337357301"/>
    <n v="6.2102428714881297"/>
  </r>
  <r>
    <x v="0"/>
    <x v="3"/>
    <x v="7"/>
    <x v="12"/>
    <s v="NO2_A2"/>
    <x v="26"/>
    <n v="29.6651032387655"/>
    <n v="8.2403064552126306"/>
  </r>
  <r>
    <x v="0"/>
    <x v="3"/>
    <x v="7"/>
    <x v="12"/>
    <s v="NO2_A2"/>
    <x v="27"/>
    <n v="21.049332228666099"/>
    <n v="5.8470367301850299"/>
  </r>
  <r>
    <x v="0"/>
    <x v="3"/>
    <x v="7"/>
    <x v="12"/>
    <s v="NO2_Offshore"/>
    <x v="1"/>
    <n v="51.241600662800401"/>
    <n v="14.233777961889"/>
  </r>
  <r>
    <x v="0"/>
    <x v="3"/>
    <x v="7"/>
    <x v="12"/>
    <s v="NO2_Offshore"/>
    <x v="2"/>
    <n v="57.96"/>
    <n v="16.100000000000001"/>
  </r>
  <r>
    <x v="0"/>
    <x v="3"/>
    <x v="7"/>
    <x v="12"/>
    <s v="NO2_Offshore"/>
    <x v="0"/>
    <n v="42.692399999999999"/>
    <n v="11.859"/>
  </r>
  <r>
    <x v="0"/>
    <x v="3"/>
    <x v="7"/>
    <x v="12"/>
    <s v="NO2_Offshore"/>
    <x v="3"/>
    <n v="57.7974681027342"/>
    <n v="16.054852250759499"/>
  </r>
  <r>
    <x v="0"/>
    <x v="3"/>
    <x v="7"/>
    <x v="12"/>
    <s v="NO2_Offshore"/>
    <x v="4"/>
    <n v="8.1139884009941898"/>
    <n v="2.2538856669428302"/>
  </r>
  <r>
    <x v="0"/>
    <x v="3"/>
    <x v="7"/>
    <x v="12"/>
    <s v="NO2_Offshore"/>
    <x v="5"/>
    <n v="8.1139884009941898"/>
    <n v="2.2538856669428302"/>
  </r>
  <r>
    <x v="0"/>
    <x v="3"/>
    <x v="7"/>
    <x v="12"/>
    <s v="NO2_Offshore"/>
    <x v="6"/>
    <n v="30.770439105219602"/>
    <n v="8.5473441958943202"/>
  </r>
  <r>
    <x v="0"/>
    <x v="3"/>
    <x v="7"/>
    <x v="12"/>
    <s v="NO2_Offshore"/>
    <x v="7"/>
    <n v="71.350180613090302"/>
    <n v="19.819494614747299"/>
  </r>
  <r>
    <x v="0"/>
    <x v="3"/>
    <x v="7"/>
    <x v="12"/>
    <s v="NO2_Offshore"/>
    <x v="8"/>
    <n v="71.350180613090302"/>
    <n v="19.819494614747299"/>
  </r>
  <r>
    <x v="0"/>
    <x v="3"/>
    <x v="7"/>
    <x v="12"/>
    <s v="NO2_Offshore"/>
    <x v="9"/>
    <n v="44.803327257663497"/>
    <n v="12.4453686826843"/>
  </r>
  <r>
    <x v="0"/>
    <x v="3"/>
    <x v="7"/>
    <x v="12"/>
    <s v="NO2_Offshore"/>
    <x v="10"/>
    <n v="54.681226180612903"/>
    <n v="15.1892294946147"/>
  </r>
  <r>
    <x v="0"/>
    <x v="3"/>
    <x v="7"/>
    <x v="12"/>
    <s v="NO2_Offshore"/>
    <x v="11"/>
    <n v="3.8806031483015802"/>
    <n v="1.07794531897266"/>
  </r>
  <r>
    <x v="0"/>
    <x v="3"/>
    <x v="7"/>
    <x v="12"/>
    <s v="NO2_Offshore"/>
    <x v="12"/>
    <n v="9.7995028997514597E-2"/>
    <n v="2.72208413881985E-2"/>
  </r>
  <r>
    <x v="0"/>
    <x v="3"/>
    <x v="7"/>
    <x v="12"/>
    <s v="NO2_Offshore"/>
    <x v="13"/>
    <n v="21.5197083678542"/>
    <n v="5.9776967688483804"/>
  </r>
  <r>
    <x v="0"/>
    <x v="3"/>
    <x v="7"/>
    <x v="12"/>
    <s v="NO2_Offshore"/>
    <x v="14"/>
    <n v="21.5197083678542"/>
    <n v="5.9776967688483804"/>
  </r>
  <r>
    <x v="0"/>
    <x v="3"/>
    <x v="7"/>
    <x v="12"/>
    <s v="NO2_Offshore"/>
    <x v="15"/>
    <n v="1.65807589063794"/>
    <n v="0.46057663628831802"/>
  </r>
  <r>
    <x v="0"/>
    <x v="3"/>
    <x v="7"/>
    <x v="12"/>
    <s v="NO2_Offshore"/>
    <x v="16"/>
    <n v="8.3492014028755008"/>
    <n v="2.31922261190986"/>
  </r>
  <r>
    <x v="0"/>
    <x v="3"/>
    <x v="7"/>
    <x v="12"/>
    <s v="NO2_Offshore"/>
    <x v="17"/>
    <n v="9.5251168185584092"/>
    <n v="2.6458657829328902"/>
  </r>
  <r>
    <x v="0"/>
    <x v="3"/>
    <x v="7"/>
    <x v="12"/>
    <s v="NO2_Offshore"/>
    <x v="18"/>
    <n v="21.5197083678542"/>
    <n v="5.9776967688483804"/>
  </r>
  <r>
    <x v="0"/>
    <x v="3"/>
    <x v="7"/>
    <x v="12"/>
    <s v="NO2_Offshore"/>
    <x v="19"/>
    <n v="8.1139884009941898"/>
    <n v="2.2538856669428302"/>
  </r>
  <r>
    <x v="0"/>
    <x v="3"/>
    <x v="7"/>
    <x v="12"/>
    <s v="NO2_Offshore"/>
    <x v="20"/>
    <n v="19.336735244541"/>
    <n v="5.37131534570584"/>
  </r>
  <r>
    <x v="0"/>
    <x v="3"/>
    <x v="7"/>
    <x v="12"/>
    <s v="NO2_Offshore"/>
    <x v="21"/>
    <n v="53.225806451612797"/>
    <n v="14.784946236559099"/>
  </r>
  <r>
    <x v="0"/>
    <x v="3"/>
    <x v="7"/>
    <x v="12"/>
    <s v="NO2_Offshore"/>
    <x v="22"/>
    <n v="130.68"/>
    <n v="36.299999999999997"/>
  </r>
  <r>
    <x v="0"/>
    <x v="3"/>
    <x v="7"/>
    <x v="12"/>
    <s v="NO2_Offshore"/>
    <x v="23"/>
    <n v="0.35278210439105201"/>
    <n v="9.7995028997514499E-2"/>
  </r>
  <r>
    <x v="0"/>
    <x v="3"/>
    <x v="7"/>
    <x v="12"/>
    <s v="NO2_Offshore"/>
    <x v="24"/>
    <n v="20.0161025734538"/>
    <n v="5.5600284926260501"/>
  </r>
  <r>
    <x v="0"/>
    <x v="3"/>
    <x v="7"/>
    <x v="12"/>
    <s v="NO2_Offshore"/>
    <x v="25"/>
    <n v="22.356874337357301"/>
    <n v="6.2102428714881297"/>
  </r>
  <r>
    <x v="0"/>
    <x v="3"/>
    <x v="7"/>
    <x v="12"/>
    <s v="NO2_Offshore"/>
    <x v="26"/>
    <n v="29.6651032387655"/>
    <n v="8.2403064552126306"/>
  </r>
  <r>
    <x v="0"/>
    <x v="3"/>
    <x v="7"/>
    <x v="12"/>
    <s v="NO2_Offshore"/>
    <x v="27"/>
    <n v="21.049332228666099"/>
    <n v="5.8470367301850299"/>
  </r>
  <r>
    <x v="0"/>
    <x v="3"/>
    <x v="7"/>
    <x v="13"/>
    <s v="NO3_A1"/>
    <x v="1"/>
    <n v="51.241600662800401"/>
    <n v="14.233777961889"/>
  </r>
  <r>
    <x v="0"/>
    <x v="3"/>
    <x v="7"/>
    <x v="13"/>
    <s v="NO3_A1"/>
    <x v="2"/>
    <n v="57.96"/>
    <n v="16.100000000000001"/>
  </r>
  <r>
    <x v="0"/>
    <x v="3"/>
    <x v="7"/>
    <x v="13"/>
    <s v="NO3_A1"/>
    <x v="0"/>
    <n v="42.692399999999999"/>
    <n v="11.859"/>
  </r>
  <r>
    <x v="0"/>
    <x v="3"/>
    <x v="7"/>
    <x v="13"/>
    <s v="NO3_A1"/>
    <x v="3"/>
    <n v="57.7974681027342"/>
    <n v="16.054852250759499"/>
  </r>
  <r>
    <x v="0"/>
    <x v="3"/>
    <x v="7"/>
    <x v="13"/>
    <s v="NO3_A1"/>
    <x v="4"/>
    <n v="8.1139884009941898"/>
    <n v="2.2538856669428302"/>
  </r>
  <r>
    <x v="0"/>
    <x v="3"/>
    <x v="7"/>
    <x v="13"/>
    <s v="NO3_A1"/>
    <x v="5"/>
    <n v="8.1139884009941898"/>
    <n v="2.2538856669428302"/>
  </r>
  <r>
    <x v="0"/>
    <x v="3"/>
    <x v="7"/>
    <x v="13"/>
    <s v="NO3_A1"/>
    <x v="6"/>
    <n v="30.770439105219602"/>
    <n v="8.5473441958943202"/>
  </r>
  <r>
    <x v="0"/>
    <x v="3"/>
    <x v="7"/>
    <x v="13"/>
    <s v="NO3_A1"/>
    <x v="7"/>
    <n v="71.350180613090302"/>
    <n v="19.819494614747299"/>
  </r>
  <r>
    <x v="0"/>
    <x v="3"/>
    <x v="7"/>
    <x v="13"/>
    <s v="NO3_A1"/>
    <x v="8"/>
    <n v="71.350180613090302"/>
    <n v="19.819494614747299"/>
  </r>
  <r>
    <x v="0"/>
    <x v="3"/>
    <x v="7"/>
    <x v="13"/>
    <s v="NO3_A1"/>
    <x v="9"/>
    <n v="44.803327257663497"/>
    <n v="12.4453686826843"/>
  </r>
  <r>
    <x v="0"/>
    <x v="3"/>
    <x v="7"/>
    <x v="13"/>
    <s v="NO3_A1"/>
    <x v="10"/>
    <n v="54.681226180612903"/>
    <n v="15.1892294946147"/>
  </r>
  <r>
    <x v="0"/>
    <x v="3"/>
    <x v="7"/>
    <x v="13"/>
    <s v="NO3_A1"/>
    <x v="11"/>
    <n v="3.8806031483015802"/>
    <n v="1.07794531897266"/>
  </r>
  <r>
    <x v="0"/>
    <x v="3"/>
    <x v="7"/>
    <x v="13"/>
    <s v="NO3_A1"/>
    <x v="12"/>
    <n v="9.7995028997514597E-2"/>
    <n v="2.72208413881985E-2"/>
  </r>
  <r>
    <x v="0"/>
    <x v="3"/>
    <x v="7"/>
    <x v="13"/>
    <s v="NO3_A1"/>
    <x v="13"/>
    <n v="21.5197083678542"/>
    <n v="5.9776967688483804"/>
  </r>
  <r>
    <x v="0"/>
    <x v="3"/>
    <x v="7"/>
    <x v="13"/>
    <s v="NO3_A1"/>
    <x v="14"/>
    <n v="21.5197083678542"/>
    <n v="5.9776967688483804"/>
  </r>
  <r>
    <x v="0"/>
    <x v="3"/>
    <x v="7"/>
    <x v="13"/>
    <s v="NO3_A1"/>
    <x v="15"/>
    <n v="1.65807589063794"/>
    <n v="0.46057663628831802"/>
  </r>
  <r>
    <x v="0"/>
    <x v="3"/>
    <x v="7"/>
    <x v="13"/>
    <s v="NO3_A1"/>
    <x v="16"/>
    <n v="8.3492014028755008"/>
    <n v="2.31922261190986"/>
  </r>
  <r>
    <x v="0"/>
    <x v="3"/>
    <x v="7"/>
    <x v="13"/>
    <s v="NO3_A1"/>
    <x v="17"/>
    <n v="9.5251168185584092"/>
    <n v="2.6458657829328902"/>
  </r>
  <r>
    <x v="0"/>
    <x v="3"/>
    <x v="7"/>
    <x v="13"/>
    <s v="NO3_A1"/>
    <x v="18"/>
    <n v="21.5197083678542"/>
    <n v="5.9776967688483804"/>
  </r>
  <r>
    <x v="0"/>
    <x v="3"/>
    <x v="7"/>
    <x v="13"/>
    <s v="NO3_A1"/>
    <x v="19"/>
    <n v="8.1139884009941898"/>
    <n v="2.2538856669428302"/>
  </r>
  <r>
    <x v="0"/>
    <x v="3"/>
    <x v="7"/>
    <x v="13"/>
    <s v="NO3_A1"/>
    <x v="20"/>
    <n v="19.336735244541"/>
    <n v="5.37131534570584"/>
  </r>
  <r>
    <x v="0"/>
    <x v="3"/>
    <x v="7"/>
    <x v="13"/>
    <s v="NO3_A1"/>
    <x v="21"/>
    <n v="53.225806451612797"/>
    <n v="14.784946236559099"/>
  </r>
  <r>
    <x v="0"/>
    <x v="3"/>
    <x v="7"/>
    <x v="13"/>
    <s v="NO3_A1"/>
    <x v="22"/>
    <n v="130.68"/>
    <n v="36.299999999999997"/>
  </r>
  <r>
    <x v="0"/>
    <x v="3"/>
    <x v="7"/>
    <x v="13"/>
    <s v="NO3_A1"/>
    <x v="23"/>
    <n v="0.35278210439105201"/>
    <n v="9.7995028997514499E-2"/>
  </r>
  <r>
    <x v="0"/>
    <x v="3"/>
    <x v="7"/>
    <x v="13"/>
    <s v="NO3_A1"/>
    <x v="24"/>
    <n v="20.0161025734538"/>
    <n v="5.5600284926260501"/>
  </r>
  <r>
    <x v="0"/>
    <x v="3"/>
    <x v="7"/>
    <x v="13"/>
    <s v="NO3_A1"/>
    <x v="25"/>
    <n v="22.356874337357301"/>
    <n v="6.2102428714881297"/>
  </r>
  <r>
    <x v="0"/>
    <x v="3"/>
    <x v="7"/>
    <x v="13"/>
    <s v="NO3_A1"/>
    <x v="26"/>
    <n v="29.6651032387655"/>
    <n v="8.2403064552126306"/>
  </r>
  <r>
    <x v="0"/>
    <x v="3"/>
    <x v="7"/>
    <x v="13"/>
    <s v="NO3_A1"/>
    <x v="27"/>
    <n v="21.049332228666099"/>
    <n v="5.8470367301850299"/>
  </r>
  <r>
    <x v="0"/>
    <x v="3"/>
    <x v="7"/>
    <x v="13"/>
    <s v="NO3_A2"/>
    <x v="1"/>
    <n v="51.241600662800401"/>
    <n v="14.233777961889"/>
  </r>
  <r>
    <x v="0"/>
    <x v="3"/>
    <x v="7"/>
    <x v="13"/>
    <s v="NO3_A2"/>
    <x v="2"/>
    <n v="57.96"/>
    <n v="16.100000000000001"/>
  </r>
  <r>
    <x v="0"/>
    <x v="3"/>
    <x v="7"/>
    <x v="13"/>
    <s v="NO3_A2"/>
    <x v="0"/>
    <n v="42.692399999999999"/>
    <n v="11.859"/>
  </r>
  <r>
    <x v="0"/>
    <x v="3"/>
    <x v="7"/>
    <x v="13"/>
    <s v="NO3_A2"/>
    <x v="3"/>
    <n v="57.7974681027342"/>
    <n v="16.054852250759499"/>
  </r>
  <r>
    <x v="0"/>
    <x v="3"/>
    <x v="7"/>
    <x v="13"/>
    <s v="NO3_A2"/>
    <x v="4"/>
    <n v="8.1139884009941898"/>
    <n v="2.2538856669428302"/>
  </r>
  <r>
    <x v="0"/>
    <x v="3"/>
    <x v="7"/>
    <x v="13"/>
    <s v="NO3_A2"/>
    <x v="5"/>
    <n v="8.1139884009941898"/>
    <n v="2.2538856669428302"/>
  </r>
  <r>
    <x v="0"/>
    <x v="3"/>
    <x v="7"/>
    <x v="13"/>
    <s v="NO3_A2"/>
    <x v="6"/>
    <n v="30.770439105219602"/>
    <n v="8.5473441958943202"/>
  </r>
  <r>
    <x v="0"/>
    <x v="3"/>
    <x v="7"/>
    <x v="13"/>
    <s v="NO3_A2"/>
    <x v="7"/>
    <n v="71.350180613090302"/>
    <n v="19.819494614747299"/>
  </r>
  <r>
    <x v="0"/>
    <x v="3"/>
    <x v="7"/>
    <x v="13"/>
    <s v="NO3_A2"/>
    <x v="8"/>
    <n v="71.350180613090302"/>
    <n v="19.819494614747299"/>
  </r>
  <r>
    <x v="0"/>
    <x v="3"/>
    <x v="7"/>
    <x v="13"/>
    <s v="NO3_A2"/>
    <x v="9"/>
    <n v="44.803327257663497"/>
    <n v="12.4453686826843"/>
  </r>
  <r>
    <x v="0"/>
    <x v="3"/>
    <x v="7"/>
    <x v="13"/>
    <s v="NO3_A2"/>
    <x v="10"/>
    <n v="54.681226180612903"/>
    <n v="15.1892294946147"/>
  </r>
  <r>
    <x v="0"/>
    <x v="3"/>
    <x v="7"/>
    <x v="13"/>
    <s v="NO3_A2"/>
    <x v="11"/>
    <n v="3.8806031483015802"/>
    <n v="1.07794531897266"/>
  </r>
  <r>
    <x v="0"/>
    <x v="3"/>
    <x v="7"/>
    <x v="13"/>
    <s v="NO3_A2"/>
    <x v="12"/>
    <n v="9.7995028997514597E-2"/>
    <n v="2.72208413881985E-2"/>
  </r>
  <r>
    <x v="0"/>
    <x v="3"/>
    <x v="7"/>
    <x v="13"/>
    <s v="NO3_A2"/>
    <x v="13"/>
    <n v="21.5197083678542"/>
    <n v="5.9776967688483804"/>
  </r>
  <r>
    <x v="0"/>
    <x v="3"/>
    <x v="7"/>
    <x v="13"/>
    <s v="NO3_A2"/>
    <x v="14"/>
    <n v="21.5197083678542"/>
    <n v="5.9776967688483804"/>
  </r>
  <r>
    <x v="0"/>
    <x v="3"/>
    <x v="7"/>
    <x v="13"/>
    <s v="NO3_A2"/>
    <x v="15"/>
    <n v="1.65807589063794"/>
    <n v="0.46057663628831802"/>
  </r>
  <r>
    <x v="0"/>
    <x v="3"/>
    <x v="7"/>
    <x v="13"/>
    <s v="NO3_A2"/>
    <x v="16"/>
    <n v="8.3492014028755008"/>
    <n v="2.31922261190986"/>
  </r>
  <r>
    <x v="0"/>
    <x v="3"/>
    <x v="7"/>
    <x v="13"/>
    <s v="NO3_A2"/>
    <x v="17"/>
    <n v="9.5251168185584092"/>
    <n v="2.6458657829328902"/>
  </r>
  <r>
    <x v="0"/>
    <x v="3"/>
    <x v="7"/>
    <x v="13"/>
    <s v="NO3_A2"/>
    <x v="18"/>
    <n v="21.5197083678542"/>
    <n v="5.9776967688483804"/>
  </r>
  <r>
    <x v="0"/>
    <x v="3"/>
    <x v="7"/>
    <x v="13"/>
    <s v="NO3_A2"/>
    <x v="19"/>
    <n v="8.1139884009941898"/>
    <n v="2.2538856669428302"/>
  </r>
  <r>
    <x v="0"/>
    <x v="3"/>
    <x v="7"/>
    <x v="13"/>
    <s v="NO3_A2"/>
    <x v="20"/>
    <n v="19.336735244541"/>
    <n v="5.37131534570584"/>
  </r>
  <r>
    <x v="0"/>
    <x v="3"/>
    <x v="7"/>
    <x v="13"/>
    <s v="NO3_A2"/>
    <x v="21"/>
    <n v="53.225806451612797"/>
    <n v="14.784946236559099"/>
  </r>
  <r>
    <x v="0"/>
    <x v="3"/>
    <x v="7"/>
    <x v="13"/>
    <s v="NO3_A2"/>
    <x v="22"/>
    <n v="130.68"/>
    <n v="36.299999999999997"/>
  </r>
  <r>
    <x v="0"/>
    <x v="3"/>
    <x v="7"/>
    <x v="13"/>
    <s v="NO3_A2"/>
    <x v="23"/>
    <n v="0.35278210439105201"/>
    <n v="9.7995028997514499E-2"/>
  </r>
  <r>
    <x v="0"/>
    <x v="3"/>
    <x v="7"/>
    <x v="13"/>
    <s v="NO3_A2"/>
    <x v="24"/>
    <n v="20.0161025734538"/>
    <n v="5.5600284926260501"/>
  </r>
  <r>
    <x v="0"/>
    <x v="3"/>
    <x v="7"/>
    <x v="13"/>
    <s v="NO3_A2"/>
    <x v="25"/>
    <n v="22.356874337357301"/>
    <n v="6.2102428714881297"/>
  </r>
  <r>
    <x v="0"/>
    <x v="3"/>
    <x v="7"/>
    <x v="13"/>
    <s v="NO3_A2"/>
    <x v="26"/>
    <n v="29.6651032387655"/>
    <n v="8.2403064552126306"/>
  </r>
  <r>
    <x v="0"/>
    <x v="3"/>
    <x v="7"/>
    <x v="13"/>
    <s v="NO3_A2"/>
    <x v="27"/>
    <n v="21.049332228666099"/>
    <n v="5.8470367301850299"/>
  </r>
  <r>
    <x v="0"/>
    <x v="3"/>
    <x v="7"/>
    <x v="13"/>
    <s v="NO3_A3"/>
    <x v="1"/>
    <n v="51.241600662800401"/>
    <n v="14.233777961889"/>
  </r>
  <r>
    <x v="0"/>
    <x v="3"/>
    <x v="7"/>
    <x v="13"/>
    <s v="NO3_A3"/>
    <x v="2"/>
    <n v="57.96"/>
    <n v="16.100000000000001"/>
  </r>
  <r>
    <x v="0"/>
    <x v="3"/>
    <x v="7"/>
    <x v="13"/>
    <s v="NO3_A3"/>
    <x v="0"/>
    <n v="42.692399999999999"/>
    <n v="11.859"/>
  </r>
  <r>
    <x v="0"/>
    <x v="3"/>
    <x v="7"/>
    <x v="13"/>
    <s v="NO3_A3"/>
    <x v="3"/>
    <n v="57.7974681027342"/>
    <n v="16.054852250759499"/>
  </r>
  <r>
    <x v="0"/>
    <x v="3"/>
    <x v="7"/>
    <x v="13"/>
    <s v="NO3_A3"/>
    <x v="4"/>
    <n v="8.1139884009941898"/>
    <n v="2.2538856669428302"/>
  </r>
  <r>
    <x v="0"/>
    <x v="3"/>
    <x v="7"/>
    <x v="13"/>
    <s v="NO3_A3"/>
    <x v="5"/>
    <n v="8.1139884009941898"/>
    <n v="2.2538856669428302"/>
  </r>
  <r>
    <x v="0"/>
    <x v="3"/>
    <x v="7"/>
    <x v="13"/>
    <s v="NO3_A3"/>
    <x v="6"/>
    <n v="30.770439105219602"/>
    <n v="8.5473441958943202"/>
  </r>
  <r>
    <x v="0"/>
    <x v="3"/>
    <x v="7"/>
    <x v="13"/>
    <s v="NO3_A3"/>
    <x v="7"/>
    <n v="71.350180613090302"/>
    <n v="19.819494614747299"/>
  </r>
  <r>
    <x v="0"/>
    <x v="3"/>
    <x v="7"/>
    <x v="13"/>
    <s v="NO3_A3"/>
    <x v="8"/>
    <n v="71.350180613090302"/>
    <n v="19.819494614747299"/>
  </r>
  <r>
    <x v="0"/>
    <x v="3"/>
    <x v="7"/>
    <x v="13"/>
    <s v="NO3_A3"/>
    <x v="9"/>
    <n v="44.803327257663497"/>
    <n v="12.4453686826843"/>
  </r>
  <r>
    <x v="0"/>
    <x v="3"/>
    <x v="7"/>
    <x v="13"/>
    <s v="NO3_A3"/>
    <x v="10"/>
    <n v="54.681226180612903"/>
    <n v="15.1892294946147"/>
  </r>
  <r>
    <x v="0"/>
    <x v="3"/>
    <x v="7"/>
    <x v="13"/>
    <s v="NO3_A3"/>
    <x v="11"/>
    <n v="3.8806031483015802"/>
    <n v="1.07794531897266"/>
  </r>
  <r>
    <x v="0"/>
    <x v="3"/>
    <x v="7"/>
    <x v="13"/>
    <s v="NO3_A3"/>
    <x v="12"/>
    <n v="9.7995028997514597E-2"/>
    <n v="2.72208413881985E-2"/>
  </r>
  <r>
    <x v="0"/>
    <x v="3"/>
    <x v="7"/>
    <x v="13"/>
    <s v="NO3_A3"/>
    <x v="13"/>
    <n v="21.5197083678542"/>
    <n v="5.9776967688483804"/>
  </r>
  <r>
    <x v="0"/>
    <x v="3"/>
    <x v="7"/>
    <x v="13"/>
    <s v="NO3_A3"/>
    <x v="14"/>
    <n v="21.5197083678542"/>
    <n v="5.9776967688483804"/>
  </r>
  <r>
    <x v="0"/>
    <x v="3"/>
    <x v="7"/>
    <x v="13"/>
    <s v="NO3_A3"/>
    <x v="15"/>
    <n v="1.65807589063794"/>
    <n v="0.46057663628831802"/>
  </r>
  <r>
    <x v="0"/>
    <x v="3"/>
    <x v="7"/>
    <x v="13"/>
    <s v="NO3_A3"/>
    <x v="16"/>
    <n v="8.3492014028755008"/>
    <n v="2.31922261190986"/>
  </r>
  <r>
    <x v="0"/>
    <x v="3"/>
    <x v="7"/>
    <x v="13"/>
    <s v="NO3_A3"/>
    <x v="17"/>
    <n v="9.5251168185584092"/>
    <n v="2.6458657829328902"/>
  </r>
  <r>
    <x v="0"/>
    <x v="3"/>
    <x v="7"/>
    <x v="13"/>
    <s v="NO3_A3"/>
    <x v="18"/>
    <n v="21.5197083678542"/>
    <n v="5.9776967688483804"/>
  </r>
  <r>
    <x v="0"/>
    <x v="3"/>
    <x v="7"/>
    <x v="13"/>
    <s v="NO3_A3"/>
    <x v="19"/>
    <n v="8.1139884009941898"/>
    <n v="2.2538856669428302"/>
  </r>
  <r>
    <x v="0"/>
    <x v="3"/>
    <x v="7"/>
    <x v="13"/>
    <s v="NO3_A3"/>
    <x v="20"/>
    <n v="19.336735244541"/>
    <n v="5.37131534570584"/>
  </r>
  <r>
    <x v="0"/>
    <x v="3"/>
    <x v="7"/>
    <x v="13"/>
    <s v="NO3_A3"/>
    <x v="21"/>
    <n v="53.225806451612797"/>
    <n v="14.784946236559099"/>
  </r>
  <r>
    <x v="0"/>
    <x v="3"/>
    <x v="7"/>
    <x v="13"/>
    <s v="NO3_A3"/>
    <x v="22"/>
    <n v="130.68"/>
    <n v="36.299999999999997"/>
  </r>
  <r>
    <x v="0"/>
    <x v="3"/>
    <x v="7"/>
    <x v="13"/>
    <s v="NO3_A3"/>
    <x v="23"/>
    <n v="0.35278210439105201"/>
    <n v="9.7995028997514499E-2"/>
  </r>
  <r>
    <x v="0"/>
    <x v="3"/>
    <x v="7"/>
    <x v="13"/>
    <s v="NO3_A3"/>
    <x v="24"/>
    <n v="20.0161025734538"/>
    <n v="5.5600284926260501"/>
  </r>
  <r>
    <x v="0"/>
    <x v="3"/>
    <x v="7"/>
    <x v="13"/>
    <s v="NO3_A3"/>
    <x v="25"/>
    <n v="22.356874337357301"/>
    <n v="6.2102428714881297"/>
  </r>
  <r>
    <x v="0"/>
    <x v="3"/>
    <x v="7"/>
    <x v="13"/>
    <s v="NO3_A3"/>
    <x v="26"/>
    <n v="29.6651032387655"/>
    <n v="8.2403064552126306"/>
  </r>
  <r>
    <x v="0"/>
    <x v="3"/>
    <x v="7"/>
    <x v="13"/>
    <s v="NO3_A3"/>
    <x v="27"/>
    <n v="21.049332228666099"/>
    <n v="5.8470367301850299"/>
  </r>
  <r>
    <x v="0"/>
    <x v="3"/>
    <x v="7"/>
    <x v="13"/>
    <s v="NO3_Offshore"/>
    <x v="1"/>
    <n v="51.241600662800401"/>
    <n v="14.233777961889"/>
  </r>
  <r>
    <x v="0"/>
    <x v="3"/>
    <x v="7"/>
    <x v="13"/>
    <s v="NO3_Offshore"/>
    <x v="2"/>
    <n v="57.96"/>
    <n v="16.100000000000001"/>
  </r>
  <r>
    <x v="0"/>
    <x v="3"/>
    <x v="7"/>
    <x v="13"/>
    <s v="NO3_Offshore"/>
    <x v="0"/>
    <n v="42.692399999999999"/>
    <n v="11.859"/>
  </r>
  <r>
    <x v="0"/>
    <x v="3"/>
    <x v="7"/>
    <x v="13"/>
    <s v="NO3_Offshore"/>
    <x v="3"/>
    <n v="57.7974681027342"/>
    <n v="16.054852250759499"/>
  </r>
  <r>
    <x v="0"/>
    <x v="3"/>
    <x v="7"/>
    <x v="13"/>
    <s v="NO3_Offshore"/>
    <x v="4"/>
    <n v="8.1139884009941898"/>
    <n v="2.2538856669428302"/>
  </r>
  <r>
    <x v="0"/>
    <x v="3"/>
    <x v="7"/>
    <x v="13"/>
    <s v="NO3_Offshore"/>
    <x v="5"/>
    <n v="8.1139884009941898"/>
    <n v="2.2538856669428302"/>
  </r>
  <r>
    <x v="0"/>
    <x v="3"/>
    <x v="7"/>
    <x v="13"/>
    <s v="NO3_Offshore"/>
    <x v="6"/>
    <n v="30.770439105219602"/>
    <n v="8.5473441958943202"/>
  </r>
  <r>
    <x v="0"/>
    <x v="3"/>
    <x v="7"/>
    <x v="13"/>
    <s v="NO3_Offshore"/>
    <x v="7"/>
    <n v="71.350180613090302"/>
    <n v="19.819494614747299"/>
  </r>
  <r>
    <x v="0"/>
    <x v="3"/>
    <x v="7"/>
    <x v="13"/>
    <s v="NO3_Offshore"/>
    <x v="8"/>
    <n v="71.350180613090302"/>
    <n v="19.819494614747299"/>
  </r>
  <r>
    <x v="0"/>
    <x v="3"/>
    <x v="7"/>
    <x v="13"/>
    <s v="NO3_Offshore"/>
    <x v="9"/>
    <n v="44.803327257663497"/>
    <n v="12.4453686826843"/>
  </r>
  <r>
    <x v="0"/>
    <x v="3"/>
    <x v="7"/>
    <x v="13"/>
    <s v="NO3_Offshore"/>
    <x v="10"/>
    <n v="54.681226180612903"/>
    <n v="15.1892294946147"/>
  </r>
  <r>
    <x v="0"/>
    <x v="3"/>
    <x v="7"/>
    <x v="13"/>
    <s v="NO3_Offshore"/>
    <x v="11"/>
    <n v="3.8806031483015802"/>
    <n v="1.07794531897266"/>
  </r>
  <r>
    <x v="0"/>
    <x v="3"/>
    <x v="7"/>
    <x v="13"/>
    <s v="NO3_Offshore"/>
    <x v="12"/>
    <n v="9.7995028997514597E-2"/>
    <n v="2.72208413881985E-2"/>
  </r>
  <r>
    <x v="0"/>
    <x v="3"/>
    <x v="7"/>
    <x v="13"/>
    <s v="NO3_Offshore"/>
    <x v="13"/>
    <n v="21.5197083678542"/>
    <n v="5.9776967688483804"/>
  </r>
  <r>
    <x v="0"/>
    <x v="3"/>
    <x v="7"/>
    <x v="13"/>
    <s v="NO3_Offshore"/>
    <x v="14"/>
    <n v="21.5197083678542"/>
    <n v="5.9776967688483804"/>
  </r>
  <r>
    <x v="0"/>
    <x v="3"/>
    <x v="7"/>
    <x v="13"/>
    <s v="NO3_Offshore"/>
    <x v="15"/>
    <n v="1.65807589063794"/>
    <n v="0.46057663628831802"/>
  </r>
  <r>
    <x v="0"/>
    <x v="3"/>
    <x v="7"/>
    <x v="13"/>
    <s v="NO3_Offshore"/>
    <x v="16"/>
    <n v="8.3492014028755008"/>
    <n v="2.31922261190986"/>
  </r>
  <r>
    <x v="0"/>
    <x v="3"/>
    <x v="7"/>
    <x v="13"/>
    <s v="NO3_Offshore"/>
    <x v="17"/>
    <n v="9.5251168185584092"/>
    <n v="2.6458657829328902"/>
  </r>
  <r>
    <x v="0"/>
    <x v="3"/>
    <x v="7"/>
    <x v="13"/>
    <s v="NO3_Offshore"/>
    <x v="18"/>
    <n v="21.5197083678542"/>
    <n v="5.9776967688483804"/>
  </r>
  <r>
    <x v="0"/>
    <x v="3"/>
    <x v="7"/>
    <x v="13"/>
    <s v="NO3_Offshore"/>
    <x v="19"/>
    <n v="8.1139884009941898"/>
    <n v="2.2538856669428302"/>
  </r>
  <r>
    <x v="0"/>
    <x v="3"/>
    <x v="7"/>
    <x v="13"/>
    <s v="NO3_Offshore"/>
    <x v="20"/>
    <n v="19.336735244541"/>
    <n v="5.37131534570584"/>
  </r>
  <r>
    <x v="0"/>
    <x v="3"/>
    <x v="7"/>
    <x v="13"/>
    <s v="NO3_Offshore"/>
    <x v="21"/>
    <n v="53.225806451612797"/>
    <n v="14.784946236559099"/>
  </r>
  <r>
    <x v="0"/>
    <x v="3"/>
    <x v="7"/>
    <x v="13"/>
    <s v="NO3_Offshore"/>
    <x v="22"/>
    <n v="130.68"/>
    <n v="36.299999999999997"/>
  </r>
  <r>
    <x v="0"/>
    <x v="3"/>
    <x v="7"/>
    <x v="13"/>
    <s v="NO3_Offshore"/>
    <x v="23"/>
    <n v="0.35278210439105201"/>
    <n v="9.7995028997514499E-2"/>
  </r>
  <r>
    <x v="0"/>
    <x v="3"/>
    <x v="7"/>
    <x v="13"/>
    <s v="NO3_Offshore"/>
    <x v="24"/>
    <n v="20.0161025734538"/>
    <n v="5.5600284926260501"/>
  </r>
  <r>
    <x v="0"/>
    <x v="3"/>
    <x v="7"/>
    <x v="13"/>
    <s v="NO3_Offshore"/>
    <x v="25"/>
    <n v="22.356874337357301"/>
    <n v="6.2102428714881297"/>
  </r>
  <r>
    <x v="0"/>
    <x v="3"/>
    <x v="7"/>
    <x v="13"/>
    <s v="NO3_Offshore"/>
    <x v="26"/>
    <n v="29.6651032387655"/>
    <n v="8.2403064552126306"/>
  </r>
  <r>
    <x v="0"/>
    <x v="3"/>
    <x v="7"/>
    <x v="13"/>
    <s v="NO3_Offshore"/>
    <x v="27"/>
    <n v="21.049332228666099"/>
    <n v="5.8470367301850299"/>
  </r>
  <r>
    <x v="0"/>
    <x v="3"/>
    <x v="7"/>
    <x v="14"/>
    <s v="NO4_A1"/>
    <x v="1"/>
    <n v="51.241600662800401"/>
    <n v="14.233777961889"/>
  </r>
  <r>
    <x v="0"/>
    <x v="3"/>
    <x v="7"/>
    <x v="14"/>
    <s v="NO4_A1"/>
    <x v="2"/>
    <n v="57.96"/>
    <n v="16.100000000000001"/>
  </r>
  <r>
    <x v="0"/>
    <x v="3"/>
    <x v="7"/>
    <x v="14"/>
    <s v="NO4_A1"/>
    <x v="0"/>
    <n v="42.692399999999999"/>
    <n v="11.859"/>
  </r>
  <r>
    <x v="0"/>
    <x v="3"/>
    <x v="7"/>
    <x v="14"/>
    <s v="NO4_A1"/>
    <x v="3"/>
    <n v="57.7974681027342"/>
    <n v="16.054852250759499"/>
  </r>
  <r>
    <x v="0"/>
    <x v="3"/>
    <x v="7"/>
    <x v="14"/>
    <s v="NO4_A1"/>
    <x v="4"/>
    <n v="8.1139884009941898"/>
    <n v="2.2538856669428302"/>
  </r>
  <r>
    <x v="0"/>
    <x v="3"/>
    <x v="7"/>
    <x v="14"/>
    <s v="NO4_A1"/>
    <x v="5"/>
    <n v="8.1139884009941898"/>
    <n v="2.2538856669428302"/>
  </r>
  <r>
    <x v="0"/>
    <x v="3"/>
    <x v="7"/>
    <x v="14"/>
    <s v="NO4_A1"/>
    <x v="6"/>
    <n v="30.770439105219602"/>
    <n v="8.5473441958943202"/>
  </r>
  <r>
    <x v="0"/>
    <x v="3"/>
    <x v="7"/>
    <x v="14"/>
    <s v="NO4_A1"/>
    <x v="7"/>
    <n v="71.350180613090302"/>
    <n v="19.819494614747299"/>
  </r>
  <r>
    <x v="0"/>
    <x v="3"/>
    <x v="7"/>
    <x v="14"/>
    <s v="NO4_A1"/>
    <x v="8"/>
    <n v="71.350180613090302"/>
    <n v="19.819494614747299"/>
  </r>
  <r>
    <x v="0"/>
    <x v="3"/>
    <x v="7"/>
    <x v="14"/>
    <s v="NO4_A1"/>
    <x v="9"/>
    <n v="44.803327257663497"/>
    <n v="12.4453686826843"/>
  </r>
  <r>
    <x v="0"/>
    <x v="3"/>
    <x v="7"/>
    <x v="14"/>
    <s v="NO4_A1"/>
    <x v="10"/>
    <n v="54.681226180612903"/>
    <n v="15.1892294946147"/>
  </r>
  <r>
    <x v="0"/>
    <x v="3"/>
    <x v="7"/>
    <x v="14"/>
    <s v="NO4_A1"/>
    <x v="11"/>
    <n v="3.8806031483015802"/>
    <n v="1.07794531897266"/>
  </r>
  <r>
    <x v="0"/>
    <x v="3"/>
    <x v="7"/>
    <x v="14"/>
    <s v="NO4_A1"/>
    <x v="12"/>
    <n v="9.7995028997514597E-2"/>
    <n v="2.72208413881985E-2"/>
  </r>
  <r>
    <x v="0"/>
    <x v="3"/>
    <x v="7"/>
    <x v="14"/>
    <s v="NO4_A1"/>
    <x v="13"/>
    <n v="21.5197083678542"/>
    <n v="5.9776967688483804"/>
  </r>
  <r>
    <x v="0"/>
    <x v="3"/>
    <x v="7"/>
    <x v="14"/>
    <s v="NO4_A1"/>
    <x v="14"/>
    <n v="21.5197083678542"/>
    <n v="5.9776967688483804"/>
  </r>
  <r>
    <x v="0"/>
    <x v="3"/>
    <x v="7"/>
    <x v="14"/>
    <s v="NO4_A1"/>
    <x v="15"/>
    <n v="1.65807589063794"/>
    <n v="0.46057663628831802"/>
  </r>
  <r>
    <x v="0"/>
    <x v="3"/>
    <x v="7"/>
    <x v="14"/>
    <s v="NO4_A1"/>
    <x v="16"/>
    <n v="8.3492014028755008"/>
    <n v="2.31922261190986"/>
  </r>
  <r>
    <x v="0"/>
    <x v="3"/>
    <x v="7"/>
    <x v="14"/>
    <s v="NO4_A1"/>
    <x v="17"/>
    <n v="9.5251168185584092"/>
    <n v="2.6458657829328902"/>
  </r>
  <r>
    <x v="0"/>
    <x v="3"/>
    <x v="7"/>
    <x v="14"/>
    <s v="NO4_A1"/>
    <x v="18"/>
    <n v="21.5197083678542"/>
    <n v="5.9776967688483804"/>
  </r>
  <r>
    <x v="0"/>
    <x v="3"/>
    <x v="7"/>
    <x v="14"/>
    <s v="NO4_A1"/>
    <x v="19"/>
    <n v="8.1139884009941898"/>
    <n v="2.2538856669428302"/>
  </r>
  <r>
    <x v="0"/>
    <x v="3"/>
    <x v="7"/>
    <x v="14"/>
    <s v="NO4_A1"/>
    <x v="20"/>
    <n v="19.336735244541"/>
    <n v="5.37131534570584"/>
  </r>
  <r>
    <x v="0"/>
    <x v="3"/>
    <x v="7"/>
    <x v="14"/>
    <s v="NO4_A1"/>
    <x v="21"/>
    <n v="53.225806451612797"/>
    <n v="14.784946236559099"/>
  </r>
  <r>
    <x v="0"/>
    <x v="3"/>
    <x v="7"/>
    <x v="14"/>
    <s v="NO4_A1"/>
    <x v="22"/>
    <n v="130.68"/>
    <n v="36.299999999999997"/>
  </r>
  <r>
    <x v="0"/>
    <x v="3"/>
    <x v="7"/>
    <x v="14"/>
    <s v="NO4_A1"/>
    <x v="23"/>
    <n v="0.35278210439105201"/>
    <n v="9.7995028997514499E-2"/>
  </r>
  <r>
    <x v="0"/>
    <x v="3"/>
    <x v="7"/>
    <x v="14"/>
    <s v="NO4_A1"/>
    <x v="24"/>
    <n v="20.0161025734538"/>
    <n v="5.5600284926260501"/>
  </r>
  <r>
    <x v="0"/>
    <x v="3"/>
    <x v="7"/>
    <x v="14"/>
    <s v="NO4_A1"/>
    <x v="25"/>
    <n v="22.356874337357301"/>
    <n v="6.2102428714881297"/>
  </r>
  <r>
    <x v="0"/>
    <x v="3"/>
    <x v="7"/>
    <x v="14"/>
    <s v="NO4_A1"/>
    <x v="26"/>
    <n v="29.6651032387655"/>
    <n v="8.2403064552126306"/>
  </r>
  <r>
    <x v="0"/>
    <x v="3"/>
    <x v="7"/>
    <x v="14"/>
    <s v="NO4_A1"/>
    <x v="27"/>
    <n v="21.049332228666099"/>
    <n v="5.8470367301850299"/>
  </r>
  <r>
    <x v="0"/>
    <x v="3"/>
    <x v="7"/>
    <x v="14"/>
    <s v="NO4_A2"/>
    <x v="1"/>
    <n v="51.241600662800401"/>
    <n v="14.233777961889"/>
  </r>
  <r>
    <x v="0"/>
    <x v="3"/>
    <x v="7"/>
    <x v="14"/>
    <s v="NO4_A2"/>
    <x v="2"/>
    <n v="57.96"/>
    <n v="16.100000000000001"/>
  </r>
  <r>
    <x v="0"/>
    <x v="3"/>
    <x v="7"/>
    <x v="14"/>
    <s v="NO4_A2"/>
    <x v="0"/>
    <n v="42.692399999999999"/>
    <n v="11.859"/>
  </r>
  <r>
    <x v="0"/>
    <x v="3"/>
    <x v="7"/>
    <x v="14"/>
    <s v="NO4_A2"/>
    <x v="3"/>
    <n v="57.7974681027342"/>
    <n v="16.054852250759499"/>
  </r>
  <r>
    <x v="0"/>
    <x v="3"/>
    <x v="7"/>
    <x v="14"/>
    <s v="NO4_A2"/>
    <x v="4"/>
    <n v="8.1139884009941898"/>
    <n v="2.2538856669428302"/>
  </r>
  <r>
    <x v="0"/>
    <x v="3"/>
    <x v="7"/>
    <x v="14"/>
    <s v="NO4_A2"/>
    <x v="5"/>
    <n v="8.1139884009941898"/>
    <n v="2.2538856669428302"/>
  </r>
  <r>
    <x v="0"/>
    <x v="3"/>
    <x v="7"/>
    <x v="14"/>
    <s v="NO4_A2"/>
    <x v="6"/>
    <n v="30.770439105219602"/>
    <n v="8.5473441958943202"/>
  </r>
  <r>
    <x v="0"/>
    <x v="3"/>
    <x v="7"/>
    <x v="14"/>
    <s v="NO4_A2"/>
    <x v="7"/>
    <n v="71.350180613090302"/>
    <n v="19.819494614747299"/>
  </r>
  <r>
    <x v="0"/>
    <x v="3"/>
    <x v="7"/>
    <x v="14"/>
    <s v="NO4_A2"/>
    <x v="8"/>
    <n v="71.350180613090302"/>
    <n v="19.819494614747299"/>
  </r>
  <r>
    <x v="0"/>
    <x v="3"/>
    <x v="7"/>
    <x v="14"/>
    <s v="NO4_A2"/>
    <x v="9"/>
    <n v="44.803327257663497"/>
    <n v="12.4453686826843"/>
  </r>
  <r>
    <x v="0"/>
    <x v="3"/>
    <x v="7"/>
    <x v="14"/>
    <s v="NO4_A2"/>
    <x v="10"/>
    <n v="54.681226180612903"/>
    <n v="15.1892294946147"/>
  </r>
  <r>
    <x v="0"/>
    <x v="3"/>
    <x v="7"/>
    <x v="14"/>
    <s v="NO4_A2"/>
    <x v="11"/>
    <n v="3.8806031483015802"/>
    <n v="1.07794531897266"/>
  </r>
  <r>
    <x v="0"/>
    <x v="3"/>
    <x v="7"/>
    <x v="14"/>
    <s v="NO4_A2"/>
    <x v="12"/>
    <n v="9.7995028997514597E-2"/>
    <n v="2.72208413881985E-2"/>
  </r>
  <r>
    <x v="0"/>
    <x v="3"/>
    <x v="7"/>
    <x v="14"/>
    <s v="NO4_A2"/>
    <x v="13"/>
    <n v="21.5197083678542"/>
    <n v="5.9776967688483804"/>
  </r>
  <r>
    <x v="0"/>
    <x v="3"/>
    <x v="7"/>
    <x v="14"/>
    <s v="NO4_A2"/>
    <x v="14"/>
    <n v="21.5197083678542"/>
    <n v="5.9776967688483804"/>
  </r>
  <r>
    <x v="0"/>
    <x v="3"/>
    <x v="7"/>
    <x v="14"/>
    <s v="NO4_A2"/>
    <x v="15"/>
    <n v="1.65807589063794"/>
    <n v="0.46057663628831802"/>
  </r>
  <r>
    <x v="0"/>
    <x v="3"/>
    <x v="7"/>
    <x v="14"/>
    <s v="NO4_A2"/>
    <x v="16"/>
    <n v="8.3492014028755008"/>
    <n v="2.31922261190986"/>
  </r>
  <r>
    <x v="0"/>
    <x v="3"/>
    <x v="7"/>
    <x v="14"/>
    <s v="NO4_A2"/>
    <x v="17"/>
    <n v="9.5251168185584092"/>
    <n v="2.6458657829328902"/>
  </r>
  <r>
    <x v="0"/>
    <x v="3"/>
    <x v="7"/>
    <x v="14"/>
    <s v="NO4_A2"/>
    <x v="18"/>
    <n v="21.5197083678542"/>
    <n v="5.9776967688483804"/>
  </r>
  <r>
    <x v="0"/>
    <x v="3"/>
    <x v="7"/>
    <x v="14"/>
    <s v="NO4_A2"/>
    <x v="19"/>
    <n v="8.1139884009941898"/>
    <n v="2.2538856669428302"/>
  </r>
  <r>
    <x v="0"/>
    <x v="3"/>
    <x v="7"/>
    <x v="14"/>
    <s v="NO4_A2"/>
    <x v="20"/>
    <n v="19.336735244541"/>
    <n v="5.37131534570584"/>
  </r>
  <r>
    <x v="0"/>
    <x v="3"/>
    <x v="7"/>
    <x v="14"/>
    <s v="NO4_A2"/>
    <x v="21"/>
    <n v="53.225806451612797"/>
    <n v="14.784946236559099"/>
  </r>
  <r>
    <x v="0"/>
    <x v="3"/>
    <x v="7"/>
    <x v="14"/>
    <s v="NO4_A2"/>
    <x v="22"/>
    <n v="130.68"/>
    <n v="36.299999999999997"/>
  </r>
  <r>
    <x v="0"/>
    <x v="3"/>
    <x v="7"/>
    <x v="14"/>
    <s v="NO4_A2"/>
    <x v="23"/>
    <n v="0.35278210439105201"/>
    <n v="9.7995028997514499E-2"/>
  </r>
  <r>
    <x v="0"/>
    <x v="3"/>
    <x v="7"/>
    <x v="14"/>
    <s v="NO4_A2"/>
    <x v="24"/>
    <n v="20.0161025734538"/>
    <n v="5.5600284926260501"/>
  </r>
  <r>
    <x v="0"/>
    <x v="3"/>
    <x v="7"/>
    <x v="14"/>
    <s v="NO4_A2"/>
    <x v="25"/>
    <n v="22.356874337357301"/>
    <n v="6.2102428714881297"/>
  </r>
  <r>
    <x v="0"/>
    <x v="3"/>
    <x v="7"/>
    <x v="14"/>
    <s v="NO4_A2"/>
    <x v="26"/>
    <n v="29.6651032387655"/>
    <n v="8.2403064552126306"/>
  </r>
  <r>
    <x v="0"/>
    <x v="3"/>
    <x v="7"/>
    <x v="14"/>
    <s v="NO4_A2"/>
    <x v="27"/>
    <n v="21.049332228666099"/>
    <n v="5.8470367301850299"/>
  </r>
  <r>
    <x v="0"/>
    <x v="3"/>
    <x v="7"/>
    <x v="14"/>
    <s v="NO4_Offshore"/>
    <x v="1"/>
    <n v="51.241600662800401"/>
    <n v="14.233777961889"/>
  </r>
  <r>
    <x v="0"/>
    <x v="3"/>
    <x v="7"/>
    <x v="14"/>
    <s v="NO4_Offshore"/>
    <x v="2"/>
    <n v="57.96"/>
    <n v="16.100000000000001"/>
  </r>
  <r>
    <x v="0"/>
    <x v="3"/>
    <x v="7"/>
    <x v="14"/>
    <s v="NO4_Offshore"/>
    <x v="0"/>
    <n v="42.692399999999999"/>
    <n v="11.859"/>
  </r>
  <r>
    <x v="0"/>
    <x v="3"/>
    <x v="7"/>
    <x v="14"/>
    <s v="NO4_Offshore"/>
    <x v="3"/>
    <n v="57.7974681027342"/>
    <n v="16.054852250759499"/>
  </r>
  <r>
    <x v="0"/>
    <x v="3"/>
    <x v="7"/>
    <x v="14"/>
    <s v="NO4_Offshore"/>
    <x v="4"/>
    <n v="8.1139884009941898"/>
    <n v="2.2538856669428302"/>
  </r>
  <r>
    <x v="0"/>
    <x v="3"/>
    <x v="7"/>
    <x v="14"/>
    <s v="NO4_Offshore"/>
    <x v="5"/>
    <n v="8.1139884009941898"/>
    <n v="2.2538856669428302"/>
  </r>
  <r>
    <x v="0"/>
    <x v="3"/>
    <x v="7"/>
    <x v="14"/>
    <s v="NO4_Offshore"/>
    <x v="6"/>
    <n v="30.770439105219602"/>
    <n v="8.5473441958943202"/>
  </r>
  <r>
    <x v="0"/>
    <x v="3"/>
    <x v="7"/>
    <x v="14"/>
    <s v="NO4_Offshore"/>
    <x v="7"/>
    <n v="71.350180613090302"/>
    <n v="19.819494614747299"/>
  </r>
  <r>
    <x v="0"/>
    <x v="3"/>
    <x v="7"/>
    <x v="14"/>
    <s v="NO4_Offshore"/>
    <x v="8"/>
    <n v="71.350180613090302"/>
    <n v="19.819494614747299"/>
  </r>
  <r>
    <x v="0"/>
    <x v="3"/>
    <x v="7"/>
    <x v="14"/>
    <s v="NO4_Offshore"/>
    <x v="9"/>
    <n v="44.803327257663497"/>
    <n v="12.4453686826843"/>
  </r>
  <r>
    <x v="0"/>
    <x v="3"/>
    <x v="7"/>
    <x v="14"/>
    <s v="NO4_Offshore"/>
    <x v="10"/>
    <n v="54.681226180612903"/>
    <n v="15.1892294946147"/>
  </r>
  <r>
    <x v="0"/>
    <x v="3"/>
    <x v="7"/>
    <x v="14"/>
    <s v="NO4_Offshore"/>
    <x v="11"/>
    <n v="3.8806031483015802"/>
    <n v="1.07794531897266"/>
  </r>
  <r>
    <x v="0"/>
    <x v="3"/>
    <x v="7"/>
    <x v="14"/>
    <s v="NO4_Offshore"/>
    <x v="12"/>
    <n v="9.7995028997514597E-2"/>
    <n v="2.72208413881985E-2"/>
  </r>
  <r>
    <x v="0"/>
    <x v="3"/>
    <x v="7"/>
    <x v="14"/>
    <s v="NO4_Offshore"/>
    <x v="13"/>
    <n v="21.5197083678542"/>
    <n v="5.9776967688483804"/>
  </r>
  <r>
    <x v="0"/>
    <x v="3"/>
    <x v="7"/>
    <x v="14"/>
    <s v="NO4_Offshore"/>
    <x v="14"/>
    <n v="21.5197083678542"/>
    <n v="5.9776967688483804"/>
  </r>
  <r>
    <x v="0"/>
    <x v="3"/>
    <x v="7"/>
    <x v="14"/>
    <s v="NO4_Offshore"/>
    <x v="15"/>
    <n v="1.65807589063794"/>
    <n v="0.46057663628831802"/>
  </r>
  <r>
    <x v="0"/>
    <x v="3"/>
    <x v="7"/>
    <x v="14"/>
    <s v="NO4_Offshore"/>
    <x v="16"/>
    <n v="8.3492014028755008"/>
    <n v="2.31922261190986"/>
  </r>
  <r>
    <x v="0"/>
    <x v="3"/>
    <x v="7"/>
    <x v="14"/>
    <s v="NO4_Offshore"/>
    <x v="17"/>
    <n v="9.5251168185584092"/>
    <n v="2.6458657829328902"/>
  </r>
  <r>
    <x v="0"/>
    <x v="3"/>
    <x v="7"/>
    <x v="14"/>
    <s v="NO4_Offshore"/>
    <x v="18"/>
    <n v="21.5197083678542"/>
    <n v="5.9776967688483804"/>
  </r>
  <r>
    <x v="0"/>
    <x v="3"/>
    <x v="7"/>
    <x v="14"/>
    <s v="NO4_Offshore"/>
    <x v="19"/>
    <n v="8.1139884009941898"/>
    <n v="2.2538856669428302"/>
  </r>
  <r>
    <x v="0"/>
    <x v="3"/>
    <x v="7"/>
    <x v="14"/>
    <s v="NO4_Offshore"/>
    <x v="20"/>
    <n v="19.336735244541"/>
    <n v="5.37131534570584"/>
  </r>
  <r>
    <x v="0"/>
    <x v="3"/>
    <x v="7"/>
    <x v="14"/>
    <s v="NO4_Offshore"/>
    <x v="21"/>
    <n v="53.225806451612797"/>
    <n v="14.784946236559099"/>
  </r>
  <r>
    <x v="0"/>
    <x v="3"/>
    <x v="7"/>
    <x v="14"/>
    <s v="NO4_Offshore"/>
    <x v="22"/>
    <n v="130.68"/>
    <n v="36.299999999999997"/>
  </r>
  <r>
    <x v="0"/>
    <x v="3"/>
    <x v="7"/>
    <x v="14"/>
    <s v="NO4_Offshore"/>
    <x v="23"/>
    <n v="0.35278210439105201"/>
    <n v="9.7995028997514499E-2"/>
  </r>
  <r>
    <x v="0"/>
    <x v="3"/>
    <x v="7"/>
    <x v="14"/>
    <s v="NO4_Offshore"/>
    <x v="24"/>
    <n v="20.0161025734538"/>
    <n v="5.5600284926260501"/>
  </r>
  <r>
    <x v="0"/>
    <x v="3"/>
    <x v="7"/>
    <x v="14"/>
    <s v="NO4_Offshore"/>
    <x v="25"/>
    <n v="22.356874337357301"/>
    <n v="6.2102428714881297"/>
  </r>
  <r>
    <x v="0"/>
    <x v="3"/>
    <x v="7"/>
    <x v="14"/>
    <s v="NO4_Offshore"/>
    <x v="26"/>
    <n v="29.6651032387655"/>
    <n v="8.2403064552126306"/>
  </r>
  <r>
    <x v="0"/>
    <x v="3"/>
    <x v="7"/>
    <x v="14"/>
    <s v="NO4_Offshore"/>
    <x v="27"/>
    <n v="21.049332228666099"/>
    <n v="5.8470367301850299"/>
  </r>
  <r>
    <x v="0"/>
    <x v="3"/>
    <x v="7"/>
    <x v="15"/>
    <s v="NO5_A1"/>
    <x v="1"/>
    <n v="51.241600662800401"/>
    <n v="14.233777961889"/>
  </r>
  <r>
    <x v="0"/>
    <x v="3"/>
    <x v="7"/>
    <x v="15"/>
    <s v="NO5_A1"/>
    <x v="2"/>
    <n v="57.96"/>
    <n v="16.100000000000001"/>
  </r>
  <r>
    <x v="0"/>
    <x v="3"/>
    <x v="7"/>
    <x v="15"/>
    <s v="NO5_A1"/>
    <x v="0"/>
    <n v="42.692399999999999"/>
    <n v="11.859"/>
  </r>
  <r>
    <x v="0"/>
    <x v="3"/>
    <x v="7"/>
    <x v="15"/>
    <s v="NO5_A1"/>
    <x v="3"/>
    <n v="57.7974681027342"/>
    <n v="16.054852250759499"/>
  </r>
  <r>
    <x v="0"/>
    <x v="3"/>
    <x v="7"/>
    <x v="15"/>
    <s v="NO5_A1"/>
    <x v="4"/>
    <n v="8.1139884009941898"/>
    <n v="2.2538856669428302"/>
  </r>
  <r>
    <x v="0"/>
    <x v="3"/>
    <x v="7"/>
    <x v="15"/>
    <s v="NO5_A1"/>
    <x v="5"/>
    <n v="8.1139884009941898"/>
    <n v="2.2538856669428302"/>
  </r>
  <r>
    <x v="0"/>
    <x v="3"/>
    <x v="7"/>
    <x v="15"/>
    <s v="NO5_A1"/>
    <x v="6"/>
    <n v="30.770439105219602"/>
    <n v="8.5473441958943202"/>
  </r>
  <r>
    <x v="0"/>
    <x v="3"/>
    <x v="7"/>
    <x v="15"/>
    <s v="NO5_A1"/>
    <x v="7"/>
    <n v="71.350180613090302"/>
    <n v="19.819494614747299"/>
  </r>
  <r>
    <x v="0"/>
    <x v="3"/>
    <x v="7"/>
    <x v="15"/>
    <s v="NO5_A1"/>
    <x v="8"/>
    <n v="71.350180613090302"/>
    <n v="19.819494614747299"/>
  </r>
  <r>
    <x v="0"/>
    <x v="3"/>
    <x v="7"/>
    <x v="15"/>
    <s v="NO5_A1"/>
    <x v="9"/>
    <n v="44.803327257663497"/>
    <n v="12.4453686826843"/>
  </r>
  <r>
    <x v="0"/>
    <x v="3"/>
    <x v="7"/>
    <x v="15"/>
    <s v="NO5_A1"/>
    <x v="10"/>
    <n v="54.681226180612903"/>
    <n v="15.1892294946147"/>
  </r>
  <r>
    <x v="0"/>
    <x v="3"/>
    <x v="7"/>
    <x v="15"/>
    <s v="NO5_A1"/>
    <x v="11"/>
    <n v="3.8806031483015802"/>
    <n v="1.07794531897266"/>
  </r>
  <r>
    <x v="0"/>
    <x v="3"/>
    <x v="7"/>
    <x v="15"/>
    <s v="NO5_A1"/>
    <x v="12"/>
    <n v="9.7995028997514597E-2"/>
    <n v="2.72208413881985E-2"/>
  </r>
  <r>
    <x v="0"/>
    <x v="3"/>
    <x v="7"/>
    <x v="15"/>
    <s v="NO5_A1"/>
    <x v="13"/>
    <n v="21.5197083678542"/>
    <n v="5.9776967688483804"/>
  </r>
  <r>
    <x v="0"/>
    <x v="3"/>
    <x v="7"/>
    <x v="15"/>
    <s v="NO5_A1"/>
    <x v="14"/>
    <n v="21.5197083678542"/>
    <n v="5.9776967688483804"/>
  </r>
  <r>
    <x v="0"/>
    <x v="3"/>
    <x v="7"/>
    <x v="15"/>
    <s v="NO5_A1"/>
    <x v="15"/>
    <n v="1.65807589063794"/>
    <n v="0.46057663628831802"/>
  </r>
  <r>
    <x v="0"/>
    <x v="3"/>
    <x v="7"/>
    <x v="15"/>
    <s v="NO5_A1"/>
    <x v="16"/>
    <n v="8.3492014028755008"/>
    <n v="2.31922261190986"/>
  </r>
  <r>
    <x v="0"/>
    <x v="3"/>
    <x v="7"/>
    <x v="15"/>
    <s v="NO5_A1"/>
    <x v="17"/>
    <n v="9.5251168185584092"/>
    <n v="2.6458657829328902"/>
  </r>
  <r>
    <x v="0"/>
    <x v="3"/>
    <x v="7"/>
    <x v="15"/>
    <s v="NO5_A1"/>
    <x v="18"/>
    <n v="21.5197083678542"/>
    <n v="5.9776967688483804"/>
  </r>
  <r>
    <x v="0"/>
    <x v="3"/>
    <x v="7"/>
    <x v="15"/>
    <s v="NO5_A1"/>
    <x v="19"/>
    <n v="8.1139884009941898"/>
    <n v="2.2538856669428302"/>
  </r>
  <r>
    <x v="0"/>
    <x v="3"/>
    <x v="7"/>
    <x v="15"/>
    <s v="NO5_A1"/>
    <x v="20"/>
    <n v="19.336735244541"/>
    <n v="5.37131534570584"/>
  </r>
  <r>
    <x v="0"/>
    <x v="3"/>
    <x v="7"/>
    <x v="15"/>
    <s v="NO5_A1"/>
    <x v="21"/>
    <n v="53.225806451612797"/>
    <n v="14.784946236559099"/>
  </r>
  <r>
    <x v="0"/>
    <x v="3"/>
    <x v="7"/>
    <x v="15"/>
    <s v="NO5_A1"/>
    <x v="22"/>
    <n v="130.68"/>
    <n v="36.299999999999997"/>
  </r>
  <r>
    <x v="0"/>
    <x v="3"/>
    <x v="7"/>
    <x v="15"/>
    <s v="NO5_A1"/>
    <x v="23"/>
    <n v="0.35278210439105201"/>
    <n v="9.7995028997514499E-2"/>
  </r>
  <r>
    <x v="0"/>
    <x v="3"/>
    <x v="7"/>
    <x v="15"/>
    <s v="NO5_A1"/>
    <x v="24"/>
    <n v="20.0161025734538"/>
    <n v="5.5600284926260501"/>
  </r>
  <r>
    <x v="0"/>
    <x v="3"/>
    <x v="7"/>
    <x v="15"/>
    <s v="NO5_A1"/>
    <x v="25"/>
    <n v="22.356874337357301"/>
    <n v="6.2102428714881297"/>
  </r>
  <r>
    <x v="0"/>
    <x v="3"/>
    <x v="7"/>
    <x v="15"/>
    <s v="NO5_A1"/>
    <x v="26"/>
    <n v="29.6651032387655"/>
    <n v="8.2403064552126306"/>
  </r>
  <r>
    <x v="0"/>
    <x v="3"/>
    <x v="7"/>
    <x v="15"/>
    <s v="NO5_A1"/>
    <x v="27"/>
    <n v="21.049332228666099"/>
    <n v="5.8470367301850299"/>
  </r>
  <r>
    <x v="0"/>
    <x v="3"/>
    <x v="7"/>
    <x v="15"/>
    <s v="NO5_A2"/>
    <x v="1"/>
    <n v="51.241600662800401"/>
    <n v="14.233777961889"/>
  </r>
  <r>
    <x v="0"/>
    <x v="3"/>
    <x v="7"/>
    <x v="15"/>
    <s v="NO5_A2"/>
    <x v="2"/>
    <n v="57.96"/>
    <n v="16.100000000000001"/>
  </r>
  <r>
    <x v="0"/>
    <x v="3"/>
    <x v="7"/>
    <x v="15"/>
    <s v="NO5_A2"/>
    <x v="0"/>
    <n v="42.692399999999999"/>
    <n v="11.859"/>
  </r>
  <r>
    <x v="0"/>
    <x v="3"/>
    <x v="7"/>
    <x v="15"/>
    <s v="NO5_A2"/>
    <x v="3"/>
    <n v="57.7974681027342"/>
    <n v="16.054852250759499"/>
  </r>
  <r>
    <x v="0"/>
    <x v="3"/>
    <x v="7"/>
    <x v="15"/>
    <s v="NO5_A2"/>
    <x v="4"/>
    <n v="8.1139884009941898"/>
    <n v="2.2538856669428302"/>
  </r>
  <r>
    <x v="0"/>
    <x v="3"/>
    <x v="7"/>
    <x v="15"/>
    <s v="NO5_A2"/>
    <x v="5"/>
    <n v="8.1139884009941898"/>
    <n v="2.2538856669428302"/>
  </r>
  <r>
    <x v="0"/>
    <x v="3"/>
    <x v="7"/>
    <x v="15"/>
    <s v="NO5_A2"/>
    <x v="6"/>
    <n v="30.770439105219602"/>
    <n v="8.5473441958943202"/>
  </r>
  <r>
    <x v="0"/>
    <x v="3"/>
    <x v="7"/>
    <x v="15"/>
    <s v="NO5_A2"/>
    <x v="7"/>
    <n v="71.350180613090302"/>
    <n v="19.819494614747299"/>
  </r>
  <r>
    <x v="0"/>
    <x v="3"/>
    <x v="7"/>
    <x v="15"/>
    <s v="NO5_A2"/>
    <x v="8"/>
    <n v="71.350180613090302"/>
    <n v="19.819494614747299"/>
  </r>
  <r>
    <x v="0"/>
    <x v="3"/>
    <x v="7"/>
    <x v="15"/>
    <s v="NO5_A2"/>
    <x v="9"/>
    <n v="44.803327257663497"/>
    <n v="12.4453686826843"/>
  </r>
  <r>
    <x v="0"/>
    <x v="3"/>
    <x v="7"/>
    <x v="15"/>
    <s v="NO5_A2"/>
    <x v="10"/>
    <n v="54.681226180612903"/>
    <n v="15.1892294946147"/>
  </r>
  <r>
    <x v="0"/>
    <x v="3"/>
    <x v="7"/>
    <x v="15"/>
    <s v="NO5_A2"/>
    <x v="11"/>
    <n v="3.8806031483015802"/>
    <n v="1.07794531897266"/>
  </r>
  <r>
    <x v="0"/>
    <x v="3"/>
    <x v="7"/>
    <x v="15"/>
    <s v="NO5_A2"/>
    <x v="12"/>
    <n v="9.7995028997514597E-2"/>
    <n v="2.72208413881985E-2"/>
  </r>
  <r>
    <x v="0"/>
    <x v="3"/>
    <x v="7"/>
    <x v="15"/>
    <s v="NO5_A2"/>
    <x v="13"/>
    <n v="21.5197083678542"/>
    <n v="5.9776967688483804"/>
  </r>
  <r>
    <x v="0"/>
    <x v="3"/>
    <x v="7"/>
    <x v="15"/>
    <s v="NO5_A2"/>
    <x v="14"/>
    <n v="21.5197083678542"/>
    <n v="5.9776967688483804"/>
  </r>
  <r>
    <x v="0"/>
    <x v="3"/>
    <x v="7"/>
    <x v="15"/>
    <s v="NO5_A2"/>
    <x v="15"/>
    <n v="1.65807589063794"/>
    <n v="0.46057663628831802"/>
  </r>
  <r>
    <x v="0"/>
    <x v="3"/>
    <x v="7"/>
    <x v="15"/>
    <s v="NO5_A2"/>
    <x v="16"/>
    <n v="8.3492014028755008"/>
    <n v="2.31922261190986"/>
  </r>
  <r>
    <x v="0"/>
    <x v="3"/>
    <x v="7"/>
    <x v="15"/>
    <s v="NO5_A2"/>
    <x v="17"/>
    <n v="9.5251168185584092"/>
    <n v="2.6458657829328902"/>
  </r>
  <r>
    <x v="0"/>
    <x v="3"/>
    <x v="7"/>
    <x v="15"/>
    <s v="NO5_A2"/>
    <x v="18"/>
    <n v="21.5197083678542"/>
    <n v="5.9776967688483804"/>
  </r>
  <r>
    <x v="0"/>
    <x v="3"/>
    <x v="7"/>
    <x v="15"/>
    <s v="NO5_A2"/>
    <x v="19"/>
    <n v="8.1139884009941898"/>
    <n v="2.2538856669428302"/>
  </r>
  <r>
    <x v="0"/>
    <x v="3"/>
    <x v="7"/>
    <x v="15"/>
    <s v="NO5_A2"/>
    <x v="20"/>
    <n v="19.336735244541"/>
    <n v="5.37131534570584"/>
  </r>
  <r>
    <x v="0"/>
    <x v="3"/>
    <x v="7"/>
    <x v="15"/>
    <s v="NO5_A2"/>
    <x v="21"/>
    <n v="53.225806451612797"/>
    <n v="14.784946236559099"/>
  </r>
  <r>
    <x v="0"/>
    <x v="3"/>
    <x v="7"/>
    <x v="15"/>
    <s v="NO5_A2"/>
    <x v="22"/>
    <n v="130.68"/>
    <n v="36.299999999999997"/>
  </r>
  <r>
    <x v="0"/>
    <x v="3"/>
    <x v="7"/>
    <x v="15"/>
    <s v="NO5_A2"/>
    <x v="23"/>
    <n v="0.35278210439105201"/>
    <n v="9.7995028997514499E-2"/>
  </r>
  <r>
    <x v="0"/>
    <x v="3"/>
    <x v="7"/>
    <x v="15"/>
    <s v="NO5_A2"/>
    <x v="24"/>
    <n v="20.0161025734538"/>
    <n v="5.5600284926260501"/>
  </r>
  <r>
    <x v="0"/>
    <x v="3"/>
    <x v="7"/>
    <x v="15"/>
    <s v="NO5_A2"/>
    <x v="25"/>
    <n v="22.356874337357301"/>
    <n v="6.2102428714881297"/>
  </r>
  <r>
    <x v="0"/>
    <x v="3"/>
    <x v="7"/>
    <x v="15"/>
    <s v="NO5_A2"/>
    <x v="26"/>
    <n v="29.6651032387655"/>
    <n v="8.2403064552126306"/>
  </r>
  <r>
    <x v="0"/>
    <x v="3"/>
    <x v="7"/>
    <x v="15"/>
    <s v="NO5_A2"/>
    <x v="27"/>
    <n v="21.049332228666099"/>
    <n v="5.8470367301850299"/>
  </r>
  <r>
    <x v="0"/>
    <x v="3"/>
    <x v="7"/>
    <x v="15"/>
    <s v="NO5_Offshore"/>
    <x v="1"/>
    <n v="51.241600662800401"/>
    <n v="14.233777961889"/>
  </r>
  <r>
    <x v="0"/>
    <x v="3"/>
    <x v="7"/>
    <x v="15"/>
    <s v="NO5_Offshore"/>
    <x v="2"/>
    <n v="57.96"/>
    <n v="16.100000000000001"/>
  </r>
  <r>
    <x v="0"/>
    <x v="3"/>
    <x v="7"/>
    <x v="15"/>
    <s v="NO5_Offshore"/>
    <x v="0"/>
    <n v="42.692399999999999"/>
    <n v="11.859"/>
  </r>
  <r>
    <x v="0"/>
    <x v="3"/>
    <x v="7"/>
    <x v="15"/>
    <s v="NO5_Offshore"/>
    <x v="3"/>
    <n v="57.7974681027342"/>
    <n v="16.054852250759499"/>
  </r>
  <r>
    <x v="0"/>
    <x v="3"/>
    <x v="7"/>
    <x v="15"/>
    <s v="NO5_Offshore"/>
    <x v="4"/>
    <n v="8.1139884009941898"/>
    <n v="2.2538856669428302"/>
  </r>
  <r>
    <x v="0"/>
    <x v="3"/>
    <x v="7"/>
    <x v="15"/>
    <s v="NO5_Offshore"/>
    <x v="5"/>
    <n v="8.1139884009941898"/>
    <n v="2.2538856669428302"/>
  </r>
  <r>
    <x v="0"/>
    <x v="3"/>
    <x v="7"/>
    <x v="15"/>
    <s v="NO5_Offshore"/>
    <x v="6"/>
    <n v="30.770439105219602"/>
    <n v="8.5473441958943202"/>
  </r>
  <r>
    <x v="0"/>
    <x v="3"/>
    <x v="7"/>
    <x v="15"/>
    <s v="NO5_Offshore"/>
    <x v="7"/>
    <n v="71.350180613090302"/>
    <n v="19.819494614747299"/>
  </r>
  <r>
    <x v="0"/>
    <x v="3"/>
    <x v="7"/>
    <x v="15"/>
    <s v="NO5_Offshore"/>
    <x v="8"/>
    <n v="71.350180613090302"/>
    <n v="19.819494614747299"/>
  </r>
  <r>
    <x v="0"/>
    <x v="3"/>
    <x v="7"/>
    <x v="15"/>
    <s v="NO5_Offshore"/>
    <x v="9"/>
    <n v="44.803327257663497"/>
    <n v="12.4453686826843"/>
  </r>
  <r>
    <x v="0"/>
    <x v="3"/>
    <x v="7"/>
    <x v="15"/>
    <s v="NO5_Offshore"/>
    <x v="10"/>
    <n v="54.681226180612903"/>
    <n v="15.1892294946147"/>
  </r>
  <r>
    <x v="0"/>
    <x v="3"/>
    <x v="7"/>
    <x v="15"/>
    <s v="NO5_Offshore"/>
    <x v="11"/>
    <n v="3.8806031483015802"/>
    <n v="1.07794531897266"/>
  </r>
  <r>
    <x v="0"/>
    <x v="3"/>
    <x v="7"/>
    <x v="15"/>
    <s v="NO5_Offshore"/>
    <x v="12"/>
    <n v="9.7995028997514597E-2"/>
    <n v="2.72208413881985E-2"/>
  </r>
  <r>
    <x v="0"/>
    <x v="3"/>
    <x v="7"/>
    <x v="15"/>
    <s v="NO5_Offshore"/>
    <x v="13"/>
    <n v="21.5197083678542"/>
    <n v="5.9776967688483804"/>
  </r>
  <r>
    <x v="0"/>
    <x v="3"/>
    <x v="7"/>
    <x v="15"/>
    <s v="NO5_Offshore"/>
    <x v="14"/>
    <n v="21.5197083678542"/>
    <n v="5.9776967688483804"/>
  </r>
  <r>
    <x v="0"/>
    <x v="3"/>
    <x v="7"/>
    <x v="15"/>
    <s v="NO5_Offshore"/>
    <x v="15"/>
    <n v="1.65807589063794"/>
    <n v="0.46057663628831802"/>
  </r>
  <r>
    <x v="0"/>
    <x v="3"/>
    <x v="7"/>
    <x v="15"/>
    <s v="NO5_Offshore"/>
    <x v="16"/>
    <n v="8.3492014028755008"/>
    <n v="2.31922261190986"/>
  </r>
  <r>
    <x v="0"/>
    <x v="3"/>
    <x v="7"/>
    <x v="15"/>
    <s v="NO5_Offshore"/>
    <x v="17"/>
    <n v="9.5251168185584092"/>
    <n v="2.6458657829328902"/>
  </r>
  <r>
    <x v="0"/>
    <x v="3"/>
    <x v="7"/>
    <x v="15"/>
    <s v="NO5_Offshore"/>
    <x v="18"/>
    <n v="21.5197083678542"/>
    <n v="5.9776967688483804"/>
  </r>
  <r>
    <x v="0"/>
    <x v="3"/>
    <x v="7"/>
    <x v="15"/>
    <s v="NO5_Offshore"/>
    <x v="19"/>
    <n v="8.1139884009941898"/>
    <n v="2.2538856669428302"/>
  </r>
  <r>
    <x v="0"/>
    <x v="3"/>
    <x v="7"/>
    <x v="15"/>
    <s v="NO5_Offshore"/>
    <x v="20"/>
    <n v="19.336735244541"/>
    <n v="5.37131534570584"/>
  </r>
  <r>
    <x v="0"/>
    <x v="3"/>
    <x v="7"/>
    <x v="15"/>
    <s v="NO5_Offshore"/>
    <x v="21"/>
    <n v="53.225806451612797"/>
    <n v="14.784946236559099"/>
  </r>
  <r>
    <x v="0"/>
    <x v="3"/>
    <x v="7"/>
    <x v="15"/>
    <s v="NO5_Offshore"/>
    <x v="22"/>
    <n v="130.68"/>
    <n v="36.299999999999997"/>
  </r>
  <r>
    <x v="0"/>
    <x v="3"/>
    <x v="7"/>
    <x v="15"/>
    <s v="NO5_Offshore"/>
    <x v="23"/>
    <n v="0.35278210439105201"/>
    <n v="9.7995028997514499E-2"/>
  </r>
  <r>
    <x v="0"/>
    <x v="3"/>
    <x v="7"/>
    <x v="15"/>
    <s v="NO5_Offshore"/>
    <x v="24"/>
    <n v="20.0161025734538"/>
    <n v="5.5600284926260501"/>
  </r>
  <r>
    <x v="0"/>
    <x v="3"/>
    <x v="7"/>
    <x v="15"/>
    <s v="NO5_Offshore"/>
    <x v="25"/>
    <n v="22.356874337357301"/>
    <n v="6.2102428714881297"/>
  </r>
  <r>
    <x v="0"/>
    <x v="3"/>
    <x v="7"/>
    <x v="15"/>
    <s v="NO5_Offshore"/>
    <x v="26"/>
    <n v="29.6651032387655"/>
    <n v="8.2403064552126306"/>
  </r>
  <r>
    <x v="0"/>
    <x v="3"/>
    <x v="7"/>
    <x v="15"/>
    <s v="NO5_Offshore"/>
    <x v="27"/>
    <n v="21.049332228666099"/>
    <n v="5.8470367301850299"/>
  </r>
  <r>
    <x v="0"/>
    <x v="3"/>
    <x v="8"/>
    <x v="16"/>
    <s v="PL_A"/>
    <x v="1"/>
    <n v="51.241600662800401"/>
    <n v="14.233777961889"/>
  </r>
  <r>
    <x v="0"/>
    <x v="3"/>
    <x v="8"/>
    <x v="16"/>
    <s v="PL_A"/>
    <x v="2"/>
    <n v="57.96"/>
    <n v="16.100000000000001"/>
  </r>
  <r>
    <x v="0"/>
    <x v="3"/>
    <x v="8"/>
    <x v="16"/>
    <s v="PL_A"/>
    <x v="0"/>
    <n v="42.692399999999999"/>
    <n v="11.859"/>
  </r>
  <r>
    <x v="0"/>
    <x v="3"/>
    <x v="8"/>
    <x v="16"/>
    <s v="PL_A"/>
    <x v="3"/>
    <n v="57.7974681027342"/>
    <n v="16.054852250759499"/>
  </r>
  <r>
    <x v="0"/>
    <x v="3"/>
    <x v="8"/>
    <x v="16"/>
    <s v="PL_A"/>
    <x v="4"/>
    <n v="8.1139884009941898"/>
    <n v="2.2538856669428302"/>
  </r>
  <r>
    <x v="0"/>
    <x v="3"/>
    <x v="8"/>
    <x v="16"/>
    <s v="PL_A"/>
    <x v="5"/>
    <n v="8.1139884009941898"/>
    <n v="2.2538856669428302"/>
  </r>
  <r>
    <x v="0"/>
    <x v="3"/>
    <x v="8"/>
    <x v="16"/>
    <s v="PL_A"/>
    <x v="6"/>
    <n v="30.770439105219602"/>
    <n v="8.5473441958943202"/>
  </r>
  <r>
    <x v="0"/>
    <x v="3"/>
    <x v="8"/>
    <x v="16"/>
    <s v="PL_A"/>
    <x v="7"/>
    <n v="71.350180613090302"/>
    <n v="19.819494614747299"/>
  </r>
  <r>
    <x v="0"/>
    <x v="3"/>
    <x v="8"/>
    <x v="16"/>
    <s v="PL_A"/>
    <x v="8"/>
    <n v="71.350180613090302"/>
    <n v="19.819494614747299"/>
  </r>
  <r>
    <x v="0"/>
    <x v="3"/>
    <x v="8"/>
    <x v="16"/>
    <s v="PL_A"/>
    <x v="9"/>
    <n v="44.803327257663497"/>
    <n v="12.4453686826843"/>
  </r>
  <r>
    <x v="0"/>
    <x v="3"/>
    <x v="8"/>
    <x v="16"/>
    <s v="PL_A"/>
    <x v="10"/>
    <n v="54.681226180612903"/>
    <n v="15.1892294946147"/>
  </r>
  <r>
    <x v="0"/>
    <x v="3"/>
    <x v="8"/>
    <x v="16"/>
    <s v="PL_A"/>
    <x v="11"/>
    <n v="3.8806031483015802"/>
    <n v="1.07794531897266"/>
  </r>
  <r>
    <x v="0"/>
    <x v="3"/>
    <x v="8"/>
    <x v="16"/>
    <s v="PL_A"/>
    <x v="12"/>
    <n v="9.7995028997514597E-2"/>
    <n v="2.72208413881985E-2"/>
  </r>
  <r>
    <x v="0"/>
    <x v="3"/>
    <x v="8"/>
    <x v="16"/>
    <s v="PL_A"/>
    <x v="13"/>
    <n v="21.5197083678542"/>
    <n v="5.9776967688483804"/>
  </r>
  <r>
    <x v="0"/>
    <x v="3"/>
    <x v="8"/>
    <x v="16"/>
    <s v="PL_A"/>
    <x v="14"/>
    <n v="21.5197083678542"/>
    <n v="5.9776967688483804"/>
  </r>
  <r>
    <x v="0"/>
    <x v="3"/>
    <x v="8"/>
    <x v="16"/>
    <s v="PL_A"/>
    <x v="15"/>
    <n v="1.65807589063794"/>
    <n v="0.46057663628831802"/>
  </r>
  <r>
    <x v="0"/>
    <x v="3"/>
    <x v="8"/>
    <x v="16"/>
    <s v="PL_A"/>
    <x v="16"/>
    <n v="8.3492014028755008"/>
    <n v="2.31922261190986"/>
  </r>
  <r>
    <x v="0"/>
    <x v="3"/>
    <x v="8"/>
    <x v="16"/>
    <s v="PL_A"/>
    <x v="17"/>
    <n v="9.5251168185584092"/>
    <n v="2.6458657829328902"/>
  </r>
  <r>
    <x v="0"/>
    <x v="3"/>
    <x v="8"/>
    <x v="16"/>
    <s v="PL_A"/>
    <x v="18"/>
    <n v="21.5197083678542"/>
    <n v="5.9776967688483804"/>
  </r>
  <r>
    <x v="0"/>
    <x v="3"/>
    <x v="8"/>
    <x v="16"/>
    <s v="PL_A"/>
    <x v="19"/>
    <n v="8.1139884009941898"/>
    <n v="2.2538856669428302"/>
  </r>
  <r>
    <x v="0"/>
    <x v="3"/>
    <x v="8"/>
    <x v="16"/>
    <s v="PL_A"/>
    <x v="20"/>
    <n v="19.336735244541"/>
    <n v="5.37131534570584"/>
  </r>
  <r>
    <x v="0"/>
    <x v="3"/>
    <x v="8"/>
    <x v="16"/>
    <s v="PL_A"/>
    <x v="21"/>
    <n v="53.225806451612797"/>
    <n v="14.784946236559099"/>
  </r>
  <r>
    <x v="0"/>
    <x v="3"/>
    <x v="8"/>
    <x v="16"/>
    <s v="PL_A"/>
    <x v="22"/>
    <n v="130.68"/>
    <n v="36.299999999999997"/>
  </r>
  <r>
    <x v="0"/>
    <x v="3"/>
    <x v="8"/>
    <x v="16"/>
    <s v="PL_A"/>
    <x v="23"/>
    <n v="0.35278210439105201"/>
    <n v="9.7995028997514499E-2"/>
  </r>
  <r>
    <x v="0"/>
    <x v="3"/>
    <x v="8"/>
    <x v="16"/>
    <s v="PL_A"/>
    <x v="24"/>
    <n v="20.0161025734538"/>
    <n v="5.5600284926260501"/>
  </r>
  <r>
    <x v="0"/>
    <x v="3"/>
    <x v="8"/>
    <x v="16"/>
    <s v="PL_A"/>
    <x v="25"/>
    <n v="22.356874337357301"/>
    <n v="6.2102428714881297"/>
  </r>
  <r>
    <x v="0"/>
    <x v="3"/>
    <x v="8"/>
    <x v="16"/>
    <s v="PL_A"/>
    <x v="26"/>
    <n v="29.6651032387655"/>
    <n v="8.2403064552126306"/>
  </r>
  <r>
    <x v="0"/>
    <x v="3"/>
    <x v="8"/>
    <x v="16"/>
    <s v="PL_A"/>
    <x v="27"/>
    <n v="21.049332228666099"/>
    <n v="5.8470367301850299"/>
  </r>
  <r>
    <x v="0"/>
    <x v="3"/>
    <x v="8"/>
    <x v="16"/>
    <s v="PL_OFFSHORE"/>
    <x v="1"/>
    <n v="51.241600662800401"/>
    <n v="14.233777961889"/>
  </r>
  <r>
    <x v="0"/>
    <x v="3"/>
    <x v="8"/>
    <x v="16"/>
    <s v="PL_OFFSHORE"/>
    <x v="2"/>
    <n v="57.96"/>
    <n v="16.100000000000001"/>
  </r>
  <r>
    <x v="0"/>
    <x v="3"/>
    <x v="8"/>
    <x v="16"/>
    <s v="PL_OFFSHORE"/>
    <x v="0"/>
    <n v="42.692399999999999"/>
    <n v="11.859"/>
  </r>
  <r>
    <x v="0"/>
    <x v="3"/>
    <x v="8"/>
    <x v="16"/>
    <s v="PL_OFFSHORE"/>
    <x v="3"/>
    <n v="57.7974681027342"/>
    <n v="16.054852250759499"/>
  </r>
  <r>
    <x v="0"/>
    <x v="3"/>
    <x v="8"/>
    <x v="16"/>
    <s v="PL_OFFSHORE"/>
    <x v="4"/>
    <n v="8.1139884009941898"/>
    <n v="2.2538856669428302"/>
  </r>
  <r>
    <x v="0"/>
    <x v="3"/>
    <x v="8"/>
    <x v="16"/>
    <s v="PL_OFFSHORE"/>
    <x v="5"/>
    <n v="8.1139884009941898"/>
    <n v="2.2538856669428302"/>
  </r>
  <r>
    <x v="0"/>
    <x v="3"/>
    <x v="8"/>
    <x v="16"/>
    <s v="PL_OFFSHORE"/>
    <x v="6"/>
    <n v="30.770439105219602"/>
    <n v="8.5473441958943202"/>
  </r>
  <r>
    <x v="0"/>
    <x v="3"/>
    <x v="8"/>
    <x v="16"/>
    <s v="PL_OFFSHORE"/>
    <x v="7"/>
    <n v="71.350180613090302"/>
    <n v="19.819494614747299"/>
  </r>
  <r>
    <x v="0"/>
    <x v="3"/>
    <x v="8"/>
    <x v="16"/>
    <s v="PL_OFFSHORE"/>
    <x v="8"/>
    <n v="71.350180613090302"/>
    <n v="19.819494614747299"/>
  </r>
  <r>
    <x v="0"/>
    <x v="3"/>
    <x v="8"/>
    <x v="16"/>
    <s v="PL_OFFSHORE"/>
    <x v="9"/>
    <n v="44.803327257663497"/>
    <n v="12.4453686826843"/>
  </r>
  <r>
    <x v="0"/>
    <x v="3"/>
    <x v="8"/>
    <x v="16"/>
    <s v="PL_OFFSHORE"/>
    <x v="10"/>
    <n v="54.681226180612903"/>
    <n v="15.1892294946147"/>
  </r>
  <r>
    <x v="0"/>
    <x v="3"/>
    <x v="8"/>
    <x v="16"/>
    <s v="PL_OFFSHORE"/>
    <x v="11"/>
    <n v="3.8806031483015802"/>
    <n v="1.07794531897266"/>
  </r>
  <r>
    <x v="0"/>
    <x v="3"/>
    <x v="8"/>
    <x v="16"/>
    <s v="PL_OFFSHORE"/>
    <x v="12"/>
    <n v="9.7995028997514597E-2"/>
    <n v="2.72208413881985E-2"/>
  </r>
  <r>
    <x v="0"/>
    <x v="3"/>
    <x v="8"/>
    <x v="16"/>
    <s v="PL_OFFSHORE"/>
    <x v="13"/>
    <n v="21.5197083678542"/>
    <n v="5.9776967688483804"/>
  </r>
  <r>
    <x v="0"/>
    <x v="3"/>
    <x v="8"/>
    <x v="16"/>
    <s v="PL_OFFSHORE"/>
    <x v="14"/>
    <n v="21.5197083678542"/>
    <n v="5.9776967688483804"/>
  </r>
  <r>
    <x v="0"/>
    <x v="3"/>
    <x v="8"/>
    <x v="16"/>
    <s v="PL_OFFSHORE"/>
    <x v="15"/>
    <n v="1.65807589063794"/>
    <n v="0.46057663628831802"/>
  </r>
  <r>
    <x v="0"/>
    <x v="3"/>
    <x v="8"/>
    <x v="16"/>
    <s v="PL_OFFSHORE"/>
    <x v="16"/>
    <n v="8.3492014028755008"/>
    <n v="2.31922261190986"/>
  </r>
  <r>
    <x v="0"/>
    <x v="3"/>
    <x v="8"/>
    <x v="16"/>
    <s v="PL_OFFSHORE"/>
    <x v="17"/>
    <n v="9.5251168185584092"/>
    <n v="2.6458657829328902"/>
  </r>
  <r>
    <x v="0"/>
    <x v="3"/>
    <x v="8"/>
    <x v="16"/>
    <s v="PL_OFFSHORE"/>
    <x v="18"/>
    <n v="21.5197083678542"/>
    <n v="5.9776967688483804"/>
  </r>
  <r>
    <x v="0"/>
    <x v="3"/>
    <x v="8"/>
    <x v="16"/>
    <s v="PL_OFFSHORE"/>
    <x v="19"/>
    <n v="8.1139884009941898"/>
    <n v="2.2538856669428302"/>
  </r>
  <r>
    <x v="0"/>
    <x v="3"/>
    <x v="8"/>
    <x v="16"/>
    <s v="PL_OFFSHORE"/>
    <x v="20"/>
    <n v="19.336735244541"/>
    <n v="5.37131534570584"/>
  </r>
  <r>
    <x v="0"/>
    <x v="3"/>
    <x v="8"/>
    <x v="16"/>
    <s v="PL_OFFSHORE"/>
    <x v="21"/>
    <n v="53.225806451612797"/>
    <n v="14.784946236559099"/>
  </r>
  <r>
    <x v="0"/>
    <x v="3"/>
    <x v="8"/>
    <x v="16"/>
    <s v="PL_OFFSHORE"/>
    <x v="22"/>
    <n v="130.68"/>
    <n v="36.299999999999997"/>
  </r>
  <r>
    <x v="0"/>
    <x v="3"/>
    <x v="8"/>
    <x v="16"/>
    <s v="PL_OFFSHORE"/>
    <x v="23"/>
    <n v="0.35278210439105201"/>
    <n v="9.7995028997514499E-2"/>
  </r>
  <r>
    <x v="0"/>
    <x v="3"/>
    <x v="8"/>
    <x v="16"/>
    <s v="PL_OFFSHORE"/>
    <x v="24"/>
    <n v="20.0161025734538"/>
    <n v="5.5600284926260501"/>
  </r>
  <r>
    <x v="0"/>
    <x v="3"/>
    <x v="8"/>
    <x v="16"/>
    <s v="PL_OFFSHORE"/>
    <x v="25"/>
    <n v="22.356874337357301"/>
    <n v="6.2102428714881297"/>
  </r>
  <r>
    <x v="0"/>
    <x v="3"/>
    <x v="8"/>
    <x v="16"/>
    <s v="PL_OFFSHORE"/>
    <x v="26"/>
    <n v="29.6651032387655"/>
    <n v="8.2403064552126306"/>
  </r>
  <r>
    <x v="0"/>
    <x v="3"/>
    <x v="8"/>
    <x v="16"/>
    <s v="PL_OFFSHORE"/>
    <x v="27"/>
    <n v="21.049332228666099"/>
    <n v="5.8470367301850299"/>
  </r>
  <r>
    <x v="0"/>
    <x v="3"/>
    <x v="8"/>
    <x v="16"/>
    <s v="PL_Rural"/>
    <x v="1"/>
    <n v="51.241600662800401"/>
    <n v="14.233777961889"/>
  </r>
  <r>
    <x v="0"/>
    <x v="3"/>
    <x v="8"/>
    <x v="16"/>
    <s v="PL_Rural"/>
    <x v="2"/>
    <n v="57.96"/>
    <n v="16.100000000000001"/>
  </r>
  <r>
    <x v="0"/>
    <x v="3"/>
    <x v="8"/>
    <x v="16"/>
    <s v="PL_Rural"/>
    <x v="0"/>
    <n v="42.692399999999999"/>
    <n v="11.859"/>
  </r>
  <r>
    <x v="0"/>
    <x v="3"/>
    <x v="8"/>
    <x v="16"/>
    <s v="PL_Rural"/>
    <x v="3"/>
    <n v="57.7974681027342"/>
    <n v="16.054852250759499"/>
  </r>
  <r>
    <x v="0"/>
    <x v="3"/>
    <x v="8"/>
    <x v="16"/>
    <s v="PL_Rural"/>
    <x v="4"/>
    <n v="8.1139884009941898"/>
    <n v="2.2538856669428302"/>
  </r>
  <r>
    <x v="0"/>
    <x v="3"/>
    <x v="8"/>
    <x v="16"/>
    <s v="PL_Rural"/>
    <x v="5"/>
    <n v="8.1139884009941898"/>
    <n v="2.2538856669428302"/>
  </r>
  <r>
    <x v="0"/>
    <x v="3"/>
    <x v="8"/>
    <x v="16"/>
    <s v="PL_Rural"/>
    <x v="6"/>
    <n v="30.770439105219602"/>
    <n v="8.5473441958943202"/>
  </r>
  <r>
    <x v="0"/>
    <x v="3"/>
    <x v="8"/>
    <x v="16"/>
    <s v="PL_Rural"/>
    <x v="7"/>
    <n v="71.350180613090302"/>
    <n v="19.819494614747299"/>
  </r>
  <r>
    <x v="0"/>
    <x v="3"/>
    <x v="8"/>
    <x v="16"/>
    <s v="PL_Rural"/>
    <x v="8"/>
    <n v="71.350180613090302"/>
    <n v="19.819494614747299"/>
  </r>
  <r>
    <x v="0"/>
    <x v="3"/>
    <x v="8"/>
    <x v="16"/>
    <s v="PL_Rural"/>
    <x v="9"/>
    <n v="44.803327257663497"/>
    <n v="12.4453686826843"/>
  </r>
  <r>
    <x v="0"/>
    <x v="3"/>
    <x v="8"/>
    <x v="16"/>
    <s v="PL_Rural"/>
    <x v="10"/>
    <n v="54.681226180612903"/>
    <n v="15.1892294946147"/>
  </r>
  <r>
    <x v="0"/>
    <x v="3"/>
    <x v="8"/>
    <x v="16"/>
    <s v="PL_Rural"/>
    <x v="11"/>
    <n v="3.8806031483015802"/>
    <n v="1.07794531897266"/>
  </r>
  <r>
    <x v="0"/>
    <x v="3"/>
    <x v="8"/>
    <x v="16"/>
    <s v="PL_Rural"/>
    <x v="12"/>
    <n v="9.7995028997514597E-2"/>
    <n v="2.72208413881985E-2"/>
  </r>
  <r>
    <x v="0"/>
    <x v="3"/>
    <x v="8"/>
    <x v="16"/>
    <s v="PL_Rural"/>
    <x v="13"/>
    <n v="21.5197083678542"/>
    <n v="5.9776967688483804"/>
  </r>
  <r>
    <x v="0"/>
    <x v="3"/>
    <x v="8"/>
    <x v="16"/>
    <s v="PL_Rural"/>
    <x v="14"/>
    <n v="21.5197083678542"/>
    <n v="5.9776967688483804"/>
  </r>
  <r>
    <x v="0"/>
    <x v="3"/>
    <x v="8"/>
    <x v="16"/>
    <s v="PL_Rural"/>
    <x v="15"/>
    <n v="1.65807589063794"/>
    <n v="0.46057663628831802"/>
  </r>
  <r>
    <x v="0"/>
    <x v="3"/>
    <x v="8"/>
    <x v="16"/>
    <s v="PL_Rural"/>
    <x v="16"/>
    <n v="8.3492014028755008"/>
    <n v="2.31922261190986"/>
  </r>
  <r>
    <x v="0"/>
    <x v="3"/>
    <x v="8"/>
    <x v="16"/>
    <s v="PL_Rural"/>
    <x v="17"/>
    <n v="9.5251168185584092"/>
    <n v="2.6458657829328902"/>
  </r>
  <r>
    <x v="0"/>
    <x v="3"/>
    <x v="8"/>
    <x v="16"/>
    <s v="PL_Rural"/>
    <x v="18"/>
    <n v="21.5197083678542"/>
    <n v="5.9776967688483804"/>
  </r>
  <r>
    <x v="0"/>
    <x v="3"/>
    <x v="8"/>
    <x v="16"/>
    <s v="PL_Rural"/>
    <x v="19"/>
    <n v="8.1139884009941898"/>
    <n v="2.2538856669428302"/>
  </r>
  <r>
    <x v="0"/>
    <x v="3"/>
    <x v="8"/>
    <x v="16"/>
    <s v="PL_Rural"/>
    <x v="20"/>
    <n v="19.336735244541"/>
    <n v="5.37131534570584"/>
  </r>
  <r>
    <x v="0"/>
    <x v="3"/>
    <x v="8"/>
    <x v="16"/>
    <s v="PL_Rural"/>
    <x v="21"/>
    <n v="53.225806451612797"/>
    <n v="14.784946236559099"/>
  </r>
  <r>
    <x v="0"/>
    <x v="3"/>
    <x v="8"/>
    <x v="16"/>
    <s v="PL_Rural"/>
    <x v="22"/>
    <n v="130.68"/>
    <n v="36.299999999999997"/>
  </r>
  <r>
    <x v="0"/>
    <x v="3"/>
    <x v="8"/>
    <x v="16"/>
    <s v="PL_Rural"/>
    <x v="23"/>
    <n v="0.35278210439105201"/>
    <n v="9.7995028997514499E-2"/>
  </r>
  <r>
    <x v="0"/>
    <x v="3"/>
    <x v="8"/>
    <x v="16"/>
    <s v="PL_Rural"/>
    <x v="24"/>
    <n v="20.0161025734538"/>
    <n v="5.5600284926260501"/>
  </r>
  <r>
    <x v="0"/>
    <x v="3"/>
    <x v="8"/>
    <x v="16"/>
    <s v="PL_Rural"/>
    <x v="25"/>
    <n v="22.356874337357301"/>
    <n v="6.2102428714881297"/>
  </r>
  <r>
    <x v="0"/>
    <x v="3"/>
    <x v="8"/>
    <x v="16"/>
    <s v="PL_Rural"/>
    <x v="26"/>
    <n v="29.6651032387655"/>
    <n v="8.2403064552126306"/>
  </r>
  <r>
    <x v="0"/>
    <x v="3"/>
    <x v="8"/>
    <x v="16"/>
    <s v="PL_Rural"/>
    <x v="27"/>
    <n v="21.049332228666099"/>
    <n v="5.8470367301850299"/>
  </r>
  <r>
    <x v="0"/>
    <x v="3"/>
    <x v="9"/>
    <x v="17"/>
    <s v="SE1A"/>
    <x v="1"/>
    <n v="51.241600662800401"/>
    <n v="14.233777961889"/>
  </r>
  <r>
    <x v="0"/>
    <x v="3"/>
    <x v="9"/>
    <x v="17"/>
    <s v="SE1A"/>
    <x v="2"/>
    <n v="57.96"/>
    <n v="16.100000000000001"/>
  </r>
  <r>
    <x v="0"/>
    <x v="3"/>
    <x v="9"/>
    <x v="17"/>
    <s v="SE1A"/>
    <x v="0"/>
    <n v="42.692399999999999"/>
    <n v="11.859"/>
  </r>
  <r>
    <x v="0"/>
    <x v="3"/>
    <x v="9"/>
    <x v="17"/>
    <s v="SE1A"/>
    <x v="3"/>
    <n v="57.7974681027342"/>
    <n v="16.054852250759499"/>
  </r>
  <r>
    <x v="0"/>
    <x v="3"/>
    <x v="9"/>
    <x v="17"/>
    <s v="SE1A"/>
    <x v="4"/>
    <n v="8.1139884009941898"/>
    <n v="2.2538856669428302"/>
  </r>
  <r>
    <x v="0"/>
    <x v="3"/>
    <x v="9"/>
    <x v="17"/>
    <s v="SE1A"/>
    <x v="5"/>
    <n v="8.1139884009941898"/>
    <n v="2.2538856669428302"/>
  </r>
  <r>
    <x v="0"/>
    <x v="3"/>
    <x v="9"/>
    <x v="17"/>
    <s v="SE1A"/>
    <x v="6"/>
    <n v="30.770439105219602"/>
    <n v="8.5473441958943202"/>
  </r>
  <r>
    <x v="0"/>
    <x v="3"/>
    <x v="9"/>
    <x v="17"/>
    <s v="SE1A"/>
    <x v="7"/>
    <n v="71.350180613090302"/>
    <n v="19.819494614747299"/>
  </r>
  <r>
    <x v="0"/>
    <x v="3"/>
    <x v="9"/>
    <x v="17"/>
    <s v="SE1A"/>
    <x v="8"/>
    <n v="71.350180613090302"/>
    <n v="19.819494614747299"/>
  </r>
  <r>
    <x v="0"/>
    <x v="3"/>
    <x v="9"/>
    <x v="17"/>
    <s v="SE1A"/>
    <x v="9"/>
    <n v="44.803327257663497"/>
    <n v="12.4453686826843"/>
  </r>
  <r>
    <x v="0"/>
    <x v="3"/>
    <x v="9"/>
    <x v="17"/>
    <s v="SE1A"/>
    <x v="10"/>
    <n v="54.681226180612903"/>
    <n v="15.1892294946147"/>
  </r>
  <r>
    <x v="0"/>
    <x v="3"/>
    <x v="9"/>
    <x v="17"/>
    <s v="SE1A"/>
    <x v="11"/>
    <n v="3.8806031483015802"/>
    <n v="1.07794531897266"/>
  </r>
  <r>
    <x v="0"/>
    <x v="3"/>
    <x v="9"/>
    <x v="17"/>
    <s v="SE1A"/>
    <x v="12"/>
    <n v="9.7995028997514597E-2"/>
    <n v="2.72208413881985E-2"/>
  </r>
  <r>
    <x v="0"/>
    <x v="3"/>
    <x v="9"/>
    <x v="17"/>
    <s v="SE1A"/>
    <x v="13"/>
    <n v="21.5197083678542"/>
    <n v="5.9776967688483804"/>
  </r>
  <r>
    <x v="0"/>
    <x v="3"/>
    <x v="9"/>
    <x v="17"/>
    <s v="SE1A"/>
    <x v="14"/>
    <n v="21.5197083678542"/>
    <n v="5.9776967688483804"/>
  </r>
  <r>
    <x v="0"/>
    <x v="3"/>
    <x v="9"/>
    <x v="17"/>
    <s v="SE1A"/>
    <x v="15"/>
    <n v="1.65807589063794"/>
    <n v="0.46057663628831802"/>
  </r>
  <r>
    <x v="0"/>
    <x v="3"/>
    <x v="9"/>
    <x v="17"/>
    <s v="SE1A"/>
    <x v="16"/>
    <n v="8.3492014028755008"/>
    <n v="2.31922261190986"/>
  </r>
  <r>
    <x v="0"/>
    <x v="3"/>
    <x v="9"/>
    <x v="17"/>
    <s v="SE1A"/>
    <x v="17"/>
    <n v="9.5251168185584092"/>
    <n v="2.6458657829328902"/>
  </r>
  <r>
    <x v="0"/>
    <x v="3"/>
    <x v="9"/>
    <x v="17"/>
    <s v="SE1A"/>
    <x v="18"/>
    <n v="21.5197083678542"/>
    <n v="5.9776967688483804"/>
  </r>
  <r>
    <x v="0"/>
    <x v="3"/>
    <x v="9"/>
    <x v="17"/>
    <s v="SE1A"/>
    <x v="19"/>
    <n v="8.1139884009941898"/>
    <n v="2.2538856669428302"/>
  </r>
  <r>
    <x v="0"/>
    <x v="3"/>
    <x v="9"/>
    <x v="17"/>
    <s v="SE1A"/>
    <x v="20"/>
    <n v="19.336735244541"/>
    <n v="5.37131534570584"/>
  </r>
  <r>
    <x v="0"/>
    <x v="3"/>
    <x v="9"/>
    <x v="17"/>
    <s v="SE1A"/>
    <x v="21"/>
    <n v="53.225806451612797"/>
    <n v="14.784946236559099"/>
  </r>
  <r>
    <x v="0"/>
    <x v="3"/>
    <x v="9"/>
    <x v="17"/>
    <s v="SE1A"/>
    <x v="22"/>
    <n v="130.68"/>
    <n v="36.299999999999997"/>
  </r>
  <r>
    <x v="0"/>
    <x v="3"/>
    <x v="9"/>
    <x v="17"/>
    <s v="SE1A"/>
    <x v="23"/>
    <n v="0.35278210439105201"/>
    <n v="9.7995028997514499E-2"/>
  </r>
  <r>
    <x v="0"/>
    <x v="3"/>
    <x v="9"/>
    <x v="17"/>
    <s v="SE1A"/>
    <x v="24"/>
    <n v="20.0161025734538"/>
    <n v="5.5600284926260501"/>
  </r>
  <r>
    <x v="0"/>
    <x v="3"/>
    <x v="9"/>
    <x v="17"/>
    <s v="SE1A"/>
    <x v="25"/>
    <n v="22.356874337357301"/>
    <n v="6.2102428714881297"/>
  </r>
  <r>
    <x v="0"/>
    <x v="3"/>
    <x v="9"/>
    <x v="17"/>
    <s v="SE1A"/>
    <x v="26"/>
    <n v="29.6651032387655"/>
    <n v="8.2403064552126306"/>
  </r>
  <r>
    <x v="0"/>
    <x v="3"/>
    <x v="9"/>
    <x v="17"/>
    <s v="SE1A"/>
    <x v="27"/>
    <n v="21.049332228666099"/>
    <n v="5.8470367301850299"/>
  </r>
  <r>
    <x v="0"/>
    <x v="3"/>
    <x v="9"/>
    <x v="17"/>
    <s v="SE1_IND"/>
    <x v="1"/>
    <n v="51.241600662800401"/>
    <n v="14.233777961889"/>
  </r>
  <r>
    <x v="0"/>
    <x v="3"/>
    <x v="9"/>
    <x v="17"/>
    <s v="SE1_IND"/>
    <x v="2"/>
    <n v="57.96"/>
    <n v="16.100000000000001"/>
  </r>
  <r>
    <x v="0"/>
    <x v="3"/>
    <x v="9"/>
    <x v="17"/>
    <s v="SE1_IND"/>
    <x v="0"/>
    <n v="42.692399999999999"/>
    <n v="11.859"/>
  </r>
  <r>
    <x v="0"/>
    <x v="3"/>
    <x v="9"/>
    <x v="17"/>
    <s v="SE1_IND"/>
    <x v="3"/>
    <n v="57.7974681027342"/>
    <n v="16.054852250759499"/>
  </r>
  <r>
    <x v="0"/>
    <x v="3"/>
    <x v="9"/>
    <x v="17"/>
    <s v="SE1_IND"/>
    <x v="4"/>
    <n v="8.1139884009941898"/>
    <n v="2.2538856669428302"/>
  </r>
  <r>
    <x v="0"/>
    <x v="3"/>
    <x v="9"/>
    <x v="17"/>
    <s v="SE1_IND"/>
    <x v="5"/>
    <n v="8.1139884009941898"/>
    <n v="2.2538856669428302"/>
  </r>
  <r>
    <x v="0"/>
    <x v="3"/>
    <x v="9"/>
    <x v="17"/>
    <s v="SE1_IND"/>
    <x v="6"/>
    <n v="30.770439105219602"/>
    <n v="8.5473441958943202"/>
  </r>
  <r>
    <x v="0"/>
    <x v="3"/>
    <x v="9"/>
    <x v="17"/>
    <s v="SE1_IND"/>
    <x v="7"/>
    <n v="71.350180613090302"/>
    <n v="19.819494614747299"/>
  </r>
  <r>
    <x v="0"/>
    <x v="3"/>
    <x v="9"/>
    <x v="17"/>
    <s v="SE1_IND"/>
    <x v="8"/>
    <n v="71.350180613090302"/>
    <n v="19.819494614747299"/>
  </r>
  <r>
    <x v="0"/>
    <x v="3"/>
    <x v="9"/>
    <x v="17"/>
    <s v="SE1_IND"/>
    <x v="9"/>
    <n v="44.803327257663497"/>
    <n v="12.4453686826843"/>
  </r>
  <r>
    <x v="0"/>
    <x v="3"/>
    <x v="9"/>
    <x v="17"/>
    <s v="SE1_IND"/>
    <x v="10"/>
    <n v="54.681226180612903"/>
    <n v="15.1892294946147"/>
  </r>
  <r>
    <x v="0"/>
    <x v="3"/>
    <x v="9"/>
    <x v="17"/>
    <s v="SE1_IND"/>
    <x v="11"/>
    <n v="3.8806031483015802"/>
    <n v="1.07794531897266"/>
  </r>
  <r>
    <x v="0"/>
    <x v="3"/>
    <x v="9"/>
    <x v="17"/>
    <s v="SE1_IND"/>
    <x v="12"/>
    <n v="9.7995028997514597E-2"/>
    <n v="2.72208413881985E-2"/>
  </r>
  <r>
    <x v="0"/>
    <x v="3"/>
    <x v="9"/>
    <x v="17"/>
    <s v="SE1_IND"/>
    <x v="13"/>
    <n v="21.5197083678542"/>
    <n v="5.9776967688483804"/>
  </r>
  <r>
    <x v="0"/>
    <x v="3"/>
    <x v="9"/>
    <x v="17"/>
    <s v="SE1_IND"/>
    <x v="14"/>
    <n v="21.5197083678542"/>
    <n v="5.9776967688483804"/>
  </r>
  <r>
    <x v="0"/>
    <x v="3"/>
    <x v="9"/>
    <x v="17"/>
    <s v="SE1_IND"/>
    <x v="15"/>
    <n v="1.65807589063794"/>
    <n v="0.46057663628831802"/>
  </r>
  <r>
    <x v="0"/>
    <x v="3"/>
    <x v="9"/>
    <x v="17"/>
    <s v="SE1_IND"/>
    <x v="16"/>
    <n v="8.3492014028755008"/>
    <n v="2.31922261190986"/>
  </r>
  <r>
    <x v="0"/>
    <x v="3"/>
    <x v="9"/>
    <x v="17"/>
    <s v="SE1_IND"/>
    <x v="17"/>
    <n v="9.5251168185584092"/>
    <n v="2.6458657829328902"/>
  </r>
  <r>
    <x v="0"/>
    <x v="3"/>
    <x v="9"/>
    <x v="17"/>
    <s v="SE1_IND"/>
    <x v="18"/>
    <n v="21.5197083678542"/>
    <n v="5.9776967688483804"/>
  </r>
  <r>
    <x v="0"/>
    <x v="3"/>
    <x v="9"/>
    <x v="17"/>
    <s v="SE1_IND"/>
    <x v="19"/>
    <n v="8.1139884009941898"/>
    <n v="2.2538856669428302"/>
  </r>
  <r>
    <x v="0"/>
    <x v="3"/>
    <x v="9"/>
    <x v="17"/>
    <s v="SE1_IND"/>
    <x v="20"/>
    <n v="19.336735244541"/>
    <n v="5.37131534570584"/>
  </r>
  <r>
    <x v="0"/>
    <x v="3"/>
    <x v="9"/>
    <x v="17"/>
    <s v="SE1_IND"/>
    <x v="21"/>
    <n v="53.225806451612797"/>
    <n v="14.784946236559099"/>
  </r>
  <r>
    <x v="0"/>
    <x v="3"/>
    <x v="9"/>
    <x v="17"/>
    <s v="SE1_IND"/>
    <x v="22"/>
    <n v="130.68"/>
    <n v="36.299999999999997"/>
  </r>
  <r>
    <x v="0"/>
    <x v="3"/>
    <x v="9"/>
    <x v="17"/>
    <s v="SE1_IND"/>
    <x v="23"/>
    <n v="0.35278210439105201"/>
    <n v="9.7995028997514499E-2"/>
  </r>
  <r>
    <x v="0"/>
    <x v="3"/>
    <x v="9"/>
    <x v="17"/>
    <s v="SE1_IND"/>
    <x v="24"/>
    <n v="20.0161025734538"/>
    <n v="5.5600284926260501"/>
  </r>
  <r>
    <x v="0"/>
    <x v="3"/>
    <x v="9"/>
    <x v="17"/>
    <s v="SE1_IND"/>
    <x v="25"/>
    <n v="22.356874337357301"/>
    <n v="6.2102428714881297"/>
  </r>
  <r>
    <x v="0"/>
    <x v="3"/>
    <x v="9"/>
    <x v="17"/>
    <s v="SE1_IND"/>
    <x v="26"/>
    <n v="29.6651032387655"/>
    <n v="8.2403064552126306"/>
  </r>
  <r>
    <x v="0"/>
    <x v="3"/>
    <x v="9"/>
    <x v="17"/>
    <s v="SE1_IND"/>
    <x v="27"/>
    <n v="21.049332228666099"/>
    <n v="5.8470367301850299"/>
  </r>
  <r>
    <x v="0"/>
    <x v="3"/>
    <x v="9"/>
    <x v="17"/>
    <s v="SE1_Offshore"/>
    <x v="1"/>
    <n v="51.241600662800401"/>
    <n v="14.233777961889"/>
  </r>
  <r>
    <x v="0"/>
    <x v="3"/>
    <x v="9"/>
    <x v="17"/>
    <s v="SE1_Offshore"/>
    <x v="2"/>
    <n v="57.96"/>
    <n v="16.100000000000001"/>
  </r>
  <r>
    <x v="0"/>
    <x v="3"/>
    <x v="9"/>
    <x v="17"/>
    <s v="SE1_Offshore"/>
    <x v="0"/>
    <n v="42.692399999999999"/>
    <n v="11.859"/>
  </r>
  <r>
    <x v="0"/>
    <x v="3"/>
    <x v="9"/>
    <x v="17"/>
    <s v="SE1_Offshore"/>
    <x v="3"/>
    <n v="57.7974681027342"/>
    <n v="16.054852250759499"/>
  </r>
  <r>
    <x v="0"/>
    <x v="3"/>
    <x v="9"/>
    <x v="17"/>
    <s v="SE1_Offshore"/>
    <x v="4"/>
    <n v="8.1139884009941898"/>
    <n v="2.2538856669428302"/>
  </r>
  <r>
    <x v="0"/>
    <x v="3"/>
    <x v="9"/>
    <x v="17"/>
    <s v="SE1_Offshore"/>
    <x v="5"/>
    <n v="8.1139884009941898"/>
    <n v="2.2538856669428302"/>
  </r>
  <r>
    <x v="0"/>
    <x v="3"/>
    <x v="9"/>
    <x v="17"/>
    <s v="SE1_Offshore"/>
    <x v="6"/>
    <n v="30.770439105219602"/>
    <n v="8.5473441958943202"/>
  </r>
  <r>
    <x v="0"/>
    <x v="3"/>
    <x v="9"/>
    <x v="17"/>
    <s v="SE1_Offshore"/>
    <x v="7"/>
    <n v="71.350180613090302"/>
    <n v="19.819494614747299"/>
  </r>
  <r>
    <x v="0"/>
    <x v="3"/>
    <x v="9"/>
    <x v="17"/>
    <s v="SE1_Offshore"/>
    <x v="8"/>
    <n v="71.350180613090302"/>
    <n v="19.819494614747299"/>
  </r>
  <r>
    <x v="0"/>
    <x v="3"/>
    <x v="9"/>
    <x v="17"/>
    <s v="SE1_Offshore"/>
    <x v="9"/>
    <n v="44.803327257663497"/>
    <n v="12.4453686826843"/>
  </r>
  <r>
    <x v="0"/>
    <x v="3"/>
    <x v="9"/>
    <x v="17"/>
    <s v="SE1_Offshore"/>
    <x v="10"/>
    <n v="54.681226180612903"/>
    <n v="15.1892294946147"/>
  </r>
  <r>
    <x v="0"/>
    <x v="3"/>
    <x v="9"/>
    <x v="17"/>
    <s v="SE1_Offshore"/>
    <x v="11"/>
    <n v="3.8806031483015802"/>
    <n v="1.07794531897266"/>
  </r>
  <r>
    <x v="0"/>
    <x v="3"/>
    <x v="9"/>
    <x v="17"/>
    <s v="SE1_Offshore"/>
    <x v="12"/>
    <n v="9.7995028997514597E-2"/>
    <n v="2.72208413881985E-2"/>
  </r>
  <r>
    <x v="0"/>
    <x v="3"/>
    <x v="9"/>
    <x v="17"/>
    <s v="SE1_Offshore"/>
    <x v="13"/>
    <n v="21.5197083678542"/>
    <n v="5.9776967688483804"/>
  </r>
  <r>
    <x v="0"/>
    <x v="3"/>
    <x v="9"/>
    <x v="17"/>
    <s v="SE1_Offshore"/>
    <x v="14"/>
    <n v="21.5197083678542"/>
    <n v="5.9776967688483804"/>
  </r>
  <r>
    <x v="0"/>
    <x v="3"/>
    <x v="9"/>
    <x v="17"/>
    <s v="SE1_Offshore"/>
    <x v="15"/>
    <n v="1.65807589063794"/>
    <n v="0.46057663628831802"/>
  </r>
  <r>
    <x v="0"/>
    <x v="3"/>
    <x v="9"/>
    <x v="17"/>
    <s v="SE1_Offshore"/>
    <x v="16"/>
    <n v="8.3492014028755008"/>
    <n v="2.31922261190986"/>
  </r>
  <r>
    <x v="0"/>
    <x v="3"/>
    <x v="9"/>
    <x v="17"/>
    <s v="SE1_Offshore"/>
    <x v="17"/>
    <n v="9.5251168185584092"/>
    <n v="2.6458657829328902"/>
  </r>
  <r>
    <x v="0"/>
    <x v="3"/>
    <x v="9"/>
    <x v="17"/>
    <s v="SE1_Offshore"/>
    <x v="18"/>
    <n v="21.5197083678542"/>
    <n v="5.9776967688483804"/>
  </r>
  <r>
    <x v="0"/>
    <x v="3"/>
    <x v="9"/>
    <x v="17"/>
    <s v="SE1_Offshore"/>
    <x v="19"/>
    <n v="8.1139884009941898"/>
    <n v="2.2538856669428302"/>
  </r>
  <r>
    <x v="0"/>
    <x v="3"/>
    <x v="9"/>
    <x v="17"/>
    <s v="SE1_Offshore"/>
    <x v="20"/>
    <n v="19.336735244541"/>
    <n v="5.37131534570584"/>
  </r>
  <r>
    <x v="0"/>
    <x v="3"/>
    <x v="9"/>
    <x v="17"/>
    <s v="SE1_Offshore"/>
    <x v="21"/>
    <n v="53.225806451612797"/>
    <n v="14.784946236559099"/>
  </r>
  <r>
    <x v="0"/>
    <x v="3"/>
    <x v="9"/>
    <x v="17"/>
    <s v="SE1_Offshore"/>
    <x v="22"/>
    <n v="130.68"/>
    <n v="36.299999999999997"/>
  </r>
  <r>
    <x v="0"/>
    <x v="3"/>
    <x v="9"/>
    <x v="17"/>
    <s v="SE1_Offshore"/>
    <x v="23"/>
    <n v="0.35278210439105201"/>
    <n v="9.7995028997514499E-2"/>
  </r>
  <r>
    <x v="0"/>
    <x v="3"/>
    <x v="9"/>
    <x v="17"/>
    <s v="SE1_Offshore"/>
    <x v="24"/>
    <n v="20.0161025734538"/>
    <n v="5.5600284926260501"/>
  </r>
  <r>
    <x v="0"/>
    <x v="3"/>
    <x v="9"/>
    <x v="17"/>
    <s v="SE1_Offshore"/>
    <x v="25"/>
    <n v="22.356874337357301"/>
    <n v="6.2102428714881297"/>
  </r>
  <r>
    <x v="0"/>
    <x v="3"/>
    <x v="9"/>
    <x v="17"/>
    <s v="SE1_Offshore"/>
    <x v="26"/>
    <n v="29.6651032387655"/>
    <n v="8.2403064552126306"/>
  </r>
  <r>
    <x v="0"/>
    <x v="3"/>
    <x v="9"/>
    <x v="17"/>
    <s v="SE1_Offshore"/>
    <x v="27"/>
    <n v="21.049332228666099"/>
    <n v="5.8470367301850299"/>
  </r>
  <r>
    <x v="0"/>
    <x v="3"/>
    <x v="9"/>
    <x v="17"/>
    <s v="SE1_medium"/>
    <x v="1"/>
    <n v="51.241600662800401"/>
    <n v="14.233777961889"/>
  </r>
  <r>
    <x v="0"/>
    <x v="3"/>
    <x v="9"/>
    <x v="17"/>
    <s v="SE1_medium"/>
    <x v="2"/>
    <n v="57.96"/>
    <n v="16.100000000000001"/>
  </r>
  <r>
    <x v="0"/>
    <x v="3"/>
    <x v="9"/>
    <x v="17"/>
    <s v="SE1_medium"/>
    <x v="0"/>
    <n v="42.692399999999999"/>
    <n v="11.859"/>
  </r>
  <r>
    <x v="0"/>
    <x v="3"/>
    <x v="9"/>
    <x v="17"/>
    <s v="SE1_medium"/>
    <x v="3"/>
    <n v="57.7974681027342"/>
    <n v="16.054852250759499"/>
  </r>
  <r>
    <x v="0"/>
    <x v="3"/>
    <x v="9"/>
    <x v="17"/>
    <s v="SE1_medium"/>
    <x v="4"/>
    <n v="8.1139884009941898"/>
    <n v="2.2538856669428302"/>
  </r>
  <r>
    <x v="0"/>
    <x v="3"/>
    <x v="9"/>
    <x v="17"/>
    <s v="SE1_medium"/>
    <x v="5"/>
    <n v="8.1139884009941898"/>
    <n v="2.2538856669428302"/>
  </r>
  <r>
    <x v="0"/>
    <x v="3"/>
    <x v="9"/>
    <x v="17"/>
    <s v="SE1_medium"/>
    <x v="6"/>
    <n v="30.770439105219602"/>
    <n v="8.5473441958943202"/>
  </r>
  <r>
    <x v="0"/>
    <x v="3"/>
    <x v="9"/>
    <x v="17"/>
    <s v="SE1_medium"/>
    <x v="7"/>
    <n v="71.350180613090302"/>
    <n v="19.819494614747299"/>
  </r>
  <r>
    <x v="0"/>
    <x v="3"/>
    <x v="9"/>
    <x v="17"/>
    <s v="SE1_medium"/>
    <x v="8"/>
    <n v="71.350180613090302"/>
    <n v="19.819494614747299"/>
  </r>
  <r>
    <x v="0"/>
    <x v="3"/>
    <x v="9"/>
    <x v="17"/>
    <s v="SE1_medium"/>
    <x v="9"/>
    <n v="44.803327257663497"/>
    <n v="12.4453686826843"/>
  </r>
  <r>
    <x v="0"/>
    <x v="3"/>
    <x v="9"/>
    <x v="17"/>
    <s v="SE1_medium"/>
    <x v="10"/>
    <n v="54.681226180612903"/>
    <n v="15.1892294946147"/>
  </r>
  <r>
    <x v="0"/>
    <x v="3"/>
    <x v="9"/>
    <x v="17"/>
    <s v="SE1_medium"/>
    <x v="11"/>
    <n v="3.8806031483015802"/>
    <n v="1.07794531897266"/>
  </r>
  <r>
    <x v="0"/>
    <x v="3"/>
    <x v="9"/>
    <x v="17"/>
    <s v="SE1_medium"/>
    <x v="12"/>
    <n v="9.7995028997514597E-2"/>
    <n v="2.72208413881985E-2"/>
  </r>
  <r>
    <x v="0"/>
    <x v="3"/>
    <x v="9"/>
    <x v="17"/>
    <s v="SE1_medium"/>
    <x v="13"/>
    <n v="21.5197083678542"/>
    <n v="5.9776967688483804"/>
  </r>
  <r>
    <x v="0"/>
    <x v="3"/>
    <x v="9"/>
    <x v="17"/>
    <s v="SE1_medium"/>
    <x v="14"/>
    <n v="21.5197083678542"/>
    <n v="5.9776967688483804"/>
  </r>
  <r>
    <x v="0"/>
    <x v="3"/>
    <x v="9"/>
    <x v="17"/>
    <s v="SE1_medium"/>
    <x v="15"/>
    <n v="1.65807589063794"/>
    <n v="0.46057663628831802"/>
  </r>
  <r>
    <x v="0"/>
    <x v="3"/>
    <x v="9"/>
    <x v="17"/>
    <s v="SE1_medium"/>
    <x v="16"/>
    <n v="8.3492014028755008"/>
    <n v="2.31922261190986"/>
  </r>
  <r>
    <x v="0"/>
    <x v="3"/>
    <x v="9"/>
    <x v="17"/>
    <s v="SE1_medium"/>
    <x v="17"/>
    <n v="9.5251168185584092"/>
    <n v="2.6458657829328902"/>
  </r>
  <r>
    <x v="0"/>
    <x v="3"/>
    <x v="9"/>
    <x v="17"/>
    <s v="SE1_medium"/>
    <x v="18"/>
    <n v="21.5197083678542"/>
    <n v="5.9776967688483804"/>
  </r>
  <r>
    <x v="0"/>
    <x v="3"/>
    <x v="9"/>
    <x v="17"/>
    <s v="SE1_medium"/>
    <x v="19"/>
    <n v="8.1139884009941898"/>
    <n v="2.2538856669428302"/>
  </r>
  <r>
    <x v="0"/>
    <x v="3"/>
    <x v="9"/>
    <x v="17"/>
    <s v="SE1_medium"/>
    <x v="20"/>
    <n v="19.336735244541"/>
    <n v="5.37131534570584"/>
  </r>
  <r>
    <x v="0"/>
    <x v="3"/>
    <x v="9"/>
    <x v="17"/>
    <s v="SE1_medium"/>
    <x v="21"/>
    <n v="53.225806451612797"/>
    <n v="14.784946236559099"/>
  </r>
  <r>
    <x v="0"/>
    <x v="3"/>
    <x v="9"/>
    <x v="17"/>
    <s v="SE1_medium"/>
    <x v="22"/>
    <n v="130.68"/>
    <n v="36.299999999999997"/>
  </r>
  <r>
    <x v="0"/>
    <x v="3"/>
    <x v="9"/>
    <x v="17"/>
    <s v="SE1_medium"/>
    <x v="23"/>
    <n v="0.35278210439105201"/>
    <n v="9.7995028997514499E-2"/>
  </r>
  <r>
    <x v="0"/>
    <x v="3"/>
    <x v="9"/>
    <x v="17"/>
    <s v="SE1_medium"/>
    <x v="24"/>
    <n v="20.0161025734538"/>
    <n v="5.5600284926260501"/>
  </r>
  <r>
    <x v="0"/>
    <x v="3"/>
    <x v="9"/>
    <x v="17"/>
    <s v="SE1_medium"/>
    <x v="25"/>
    <n v="22.356874337357301"/>
    <n v="6.2102428714881297"/>
  </r>
  <r>
    <x v="0"/>
    <x v="3"/>
    <x v="9"/>
    <x v="17"/>
    <s v="SE1_medium"/>
    <x v="26"/>
    <n v="29.6651032387655"/>
    <n v="8.2403064552126306"/>
  </r>
  <r>
    <x v="0"/>
    <x v="3"/>
    <x v="9"/>
    <x v="17"/>
    <s v="SE1_medium"/>
    <x v="27"/>
    <n v="21.049332228666099"/>
    <n v="5.8470367301850299"/>
  </r>
  <r>
    <x v="0"/>
    <x v="3"/>
    <x v="9"/>
    <x v="17"/>
    <s v="SE1_small"/>
    <x v="1"/>
    <n v="51.241600662800401"/>
    <n v="14.233777961889"/>
  </r>
  <r>
    <x v="0"/>
    <x v="3"/>
    <x v="9"/>
    <x v="17"/>
    <s v="SE1_small"/>
    <x v="2"/>
    <n v="57.96"/>
    <n v="16.100000000000001"/>
  </r>
  <r>
    <x v="0"/>
    <x v="3"/>
    <x v="9"/>
    <x v="17"/>
    <s v="SE1_small"/>
    <x v="0"/>
    <n v="42.692399999999999"/>
    <n v="11.859"/>
  </r>
  <r>
    <x v="0"/>
    <x v="3"/>
    <x v="9"/>
    <x v="17"/>
    <s v="SE1_small"/>
    <x v="3"/>
    <n v="57.7974681027342"/>
    <n v="16.054852250759499"/>
  </r>
  <r>
    <x v="0"/>
    <x v="3"/>
    <x v="9"/>
    <x v="17"/>
    <s v="SE1_small"/>
    <x v="4"/>
    <n v="8.1139884009941898"/>
    <n v="2.2538856669428302"/>
  </r>
  <r>
    <x v="0"/>
    <x v="3"/>
    <x v="9"/>
    <x v="17"/>
    <s v="SE1_small"/>
    <x v="5"/>
    <n v="8.1139884009941898"/>
    <n v="2.2538856669428302"/>
  </r>
  <r>
    <x v="0"/>
    <x v="3"/>
    <x v="9"/>
    <x v="17"/>
    <s v="SE1_small"/>
    <x v="6"/>
    <n v="30.770439105219602"/>
    <n v="8.5473441958943202"/>
  </r>
  <r>
    <x v="0"/>
    <x v="3"/>
    <x v="9"/>
    <x v="17"/>
    <s v="SE1_small"/>
    <x v="7"/>
    <n v="71.350180613090302"/>
    <n v="19.819494614747299"/>
  </r>
  <r>
    <x v="0"/>
    <x v="3"/>
    <x v="9"/>
    <x v="17"/>
    <s v="SE1_small"/>
    <x v="8"/>
    <n v="71.350180613090302"/>
    <n v="19.819494614747299"/>
  </r>
  <r>
    <x v="0"/>
    <x v="3"/>
    <x v="9"/>
    <x v="17"/>
    <s v="SE1_small"/>
    <x v="9"/>
    <n v="44.803327257663497"/>
    <n v="12.4453686826843"/>
  </r>
  <r>
    <x v="0"/>
    <x v="3"/>
    <x v="9"/>
    <x v="17"/>
    <s v="SE1_small"/>
    <x v="10"/>
    <n v="54.681226180612903"/>
    <n v="15.1892294946147"/>
  </r>
  <r>
    <x v="0"/>
    <x v="3"/>
    <x v="9"/>
    <x v="17"/>
    <s v="SE1_small"/>
    <x v="11"/>
    <n v="3.8806031483015802"/>
    <n v="1.07794531897266"/>
  </r>
  <r>
    <x v="0"/>
    <x v="3"/>
    <x v="9"/>
    <x v="17"/>
    <s v="SE1_small"/>
    <x v="12"/>
    <n v="9.7995028997514597E-2"/>
    <n v="2.72208413881985E-2"/>
  </r>
  <r>
    <x v="0"/>
    <x v="3"/>
    <x v="9"/>
    <x v="17"/>
    <s v="SE1_small"/>
    <x v="13"/>
    <n v="21.5197083678542"/>
    <n v="5.9776967688483804"/>
  </r>
  <r>
    <x v="0"/>
    <x v="3"/>
    <x v="9"/>
    <x v="17"/>
    <s v="SE1_small"/>
    <x v="14"/>
    <n v="21.5197083678542"/>
    <n v="5.9776967688483804"/>
  </r>
  <r>
    <x v="0"/>
    <x v="3"/>
    <x v="9"/>
    <x v="17"/>
    <s v="SE1_small"/>
    <x v="15"/>
    <n v="1.65807589063794"/>
    <n v="0.46057663628831802"/>
  </r>
  <r>
    <x v="0"/>
    <x v="3"/>
    <x v="9"/>
    <x v="17"/>
    <s v="SE1_small"/>
    <x v="16"/>
    <n v="8.3492014028755008"/>
    <n v="2.31922261190986"/>
  </r>
  <r>
    <x v="0"/>
    <x v="3"/>
    <x v="9"/>
    <x v="17"/>
    <s v="SE1_small"/>
    <x v="17"/>
    <n v="9.5251168185584092"/>
    <n v="2.6458657829328902"/>
  </r>
  <r>
    <x v="0"/>
    <x v="3"/>
    <x v="9"/>
    <x v="17"/>
    <s v="SE1_small"/>
    <x v="18"/>
    <n v="21.5197083678542"/>
    <n v="5.9776967688483804"/>
  </r>
  <r>
    <x v="0"/>
    <x v="3"/>
    <x v="9"/>
    <x v="17"/>
    <s v="SE1_small"/>
    <x v="19"/>
    <n v="8.1139884009941898"/>
    <n v="2.2538856669428302"/>
  </r>
  <r>
    <x v="0"/>
    <x v="3"/>
    <x v="9"/>
    <x v="17"/>
    <s v="SE1_small"/>
    <x v="20"/>
    <n v="19.336735244541"/>
    <n v="5.37131534570584"/>
  </r>
  <r>
    <x v="0"/>
    <x v="3"/>
    <x v="9"/>
    <x v="17"/>
    <s v="SE1_small"/>
    <x v="21"/>
    <n v="53.225806451612797"/>
    <n v="14.784946236559099"/>
  </r>
  <r>
    <x v="0"/>
    <x v="3"/>
    <x v="9"/>
    <x v="17"/>
    <s v="SE1_small"/>
    <x v="22"/>
    <n v="130.68"/>
    <n v="36.299999999999997"/>
  </r>
  <r>
    <x v="0"/>
    <x v="3"/>
    <x v="9"/>
    <x v="17"/>
    <s v="SE1_small"/>
    <x v="23"/>
    <n v="0.35278210439105201"/>
    <n v="9.7995028997514499E-2"/>
  </r>
  <r>
    <x v="0"/>
    <x v="3"/>
    <x v="9"/>
    <x v="17"/>
    <s v="SE1_small"/>
    <x v="24"/>
    <n v="20.0161025734538"/>
    <n v="5.5600284926260501"/>
  </r>
  <r>
    <x v="0"/>
    <x v="3"/>
    <x v="9"/>
    <x v="17"/>
    <s v="SE1_small"/>
    <x v="25"/>
    <n v="22.356874337357301"/>
    <n v="6.2102428714881297"/>
  </r>
  <r>
    <x v="0"/>
    <x v="3"/>
    <x v="9"/>
    <x v="17"/>
    <s v="SE1_small"/>
    <x v="26"/>
    <n v="29.6651032387655"/>
    <n v="8.2403064552126306"/>
  </r>
  <r>
    <x v="0"/>
    <x v="3"/>
    <x v="9"/>
    <x v="17"/>
    <s v="SE1_small"/>
    <x v="27"/>
    <n v="21.049332228666099"/>
    <n v="5.8470367301850299"/>
  </r>
  <r>
    <x v="0"/>
    <x v="3"/>
    <x v="9"/>
    <x v="18"/>
    <s v="SE2A"/>
    <x v="1"/>
    <n v="51.241600662800401"/>
    <n v="14.233777961889"/>
  </r>
  <r>
    <x v="0"/>
    <x v="3"/>
    <x v="9"/>
    <x v="18"/>
    <s v="SE2A"/>
    <x v="2"/>
    <n v="57.96"/>
    <n v="16.100000000000001"/>
  </r>
  <r>
    <x v="0"/>
    <x v="3"/>
    <x v="9"/>
    <x v="18"/>
    <s v="SE2A"/>
    <x v="0"/>
    <n v="42.692399999999999"/>
    <n v="11.859"/>
  </r>
  <r>
    <x v="0"/>
    <x v="3"/>
    <x v="9"/>
    <x v="18"/>
    <s v="SE2A"/>
    <x v="3"/>
    <n v="57.7974681027342"/>
    <n v="16.054852250759499"/>
  </r>
  <r>
    <x v="0"/>
    <x v="3"/>
    <x v="9"/>
    <x v="18"/>
    <s v="SE2A"/>
    <x v="4"/>
    <n v="8.1139884009941898"/>
    <n v="2.2538856669428302"/>
  </r>
  <r>
    <x v="0"/>
    <x v="3"/>
    <x v="9"/>
    <x v="18"/>
    <s v="SE2A"/>
    <x v="5"/>
    <n v="8.1139884009941898"/>
    <n v="2.2538856669428302"/>
  </r>
  <r>
    <x v="0"/>
    <x v="3"/>
    <x v="9"/>
    <x v="18"/>
    <s v="SE2A"/>
    <x v="6"/>
    <n v="30.770439105219602"/>
    <n v="8.5473441958943202"/>
  </r>
  <r>
    <x v="0"/>
    <x v="3"/>
    <x v="9"/>
    <x v="18"/>
    <s v="SE2A"/>
    <x v="7"/>
    <n v="71.350180613090302"/>
    <n v="19.819494614747299"/>
  </r>
  <r>
    <x v="0"/>
    <x v="3"/>
    <x v="9"/>
    <x v="18"/>
    <s v="SE2A"/>
    <x v="8"/>
    <n v="71.350180613090302"/>
    <n v="19.819494614747299"/>
  </r>
  <r>
    <x v="0"/>
    <x v="3"/>
    <x v="9"/>
    <x v="18"/>
    <s v="SE2A"/>
    <x v="9"/>
    <n v="44.803327257663497"/>
    <n v="12.4453686826843"/>
  </r>
  <r>
    <x v="0"/>
    <x v="3"/>
    <x v="9"/>
    <x v="18"/>
    <s v="SE2A"/>
    <x v="10"/>
    <n v="54.681226180612903"/>
    <n v="15.1892294946147"/>
  </r>
  <r>
    <x v="0"/>
    <x v="3"/>
    <x v="9"/>
    <x v="18"/>
    <s v="SE2A"/>
    <x v="11"/>
    <n v="3.8806031483015802"/>
    <n v="1.07794531897266"/>
  </r>
  <r>
    <x v="0"/>
    <x v="3"/>
    <x v="9"/>
    <x v="18"/>
    <s v="SE2A"/>
    <x v="12"/>
    <n v="9.7995028997514597E-2"/>
    <n v="2.72208413881985E-2"/>
  </r>
  <r>
    <x v="0"/>
    <x v="3"/>
    <x v="9"/>
    <x v="18"/>
    <s v="SE2A"/>
    <x v="13"/>
    <n v="21.5197083678542"/>
    <n v="5.9776967688483804"/>
  </r>
  <r>
    <x v="0"/>
    <x v="3"/>
    <x v="9"/>
    <x v="18"/>
    <s v="SE2A"/>
    <x v="14"/>
    <n v="21.5197083678542"/>
    <n v="5.9776967688483804"/>
  </r>
  <r>
    <x v="0"/>
    <x v="3"/>
    <x v="9"/>
    <x v="18"/>
    <s v="SE2A"/>
    <x v="15"/>
    <n v="1.65807589063794"/>
    <n v="0.46057663628831802"/>
  </r>
  <r>
    <x v="0"/>
    <x v="3"/>
    <x v="9"/>
    <x v="18"/>
    <s v="SE2A"/>
    <x v="16"/>
    <n v="8.3492014028755008"/>
    <n v="2.31922261190986"/>
  </r>
  <r>
    <x v="0"/>
    <x v="3"/>
    <x v="9"/>
    <x v="18"/>
    <s v="SE2A"/>
    <x v="17"/>
    <n v="9.5251168185584092"/>
    <n v="2.6458657829328902"/>
  </r>
  <r>
    <x v="0"/>
    <x v="3"/>
    <x v="9"/>
    <x v="18"/>
    <s v="SE2A"/>
    <x v="18"/>
    <n v="21.5197083678542"/>
    <n v="5.9776967688483804"/>
  </r>
  <r>
    <x v="0"/>
    <x v="3"/>
    <x v="9"/>
    <x v="18"/>
    <s v="SE2A"/>
    <x v="19"/>
    <n v="8.1139884009941898"/>
    <n v="2.2538856669428302"/>
  </r>
  <r>
    <x v="0"/>
    <x v="3"/>
    <x v="9"/>
    <x v="18"/>
    <s v="SE2A"/>
    <x v="20"/>
    <n v="19.336735244541"/>
    <n v="5.37131534570584"/>
  </r>
  <r>
    <x v="0"/>
    <x v="3"/>
    <x v="9"/>
    <x v="18"/>
    <s v="SE2A"/>
    <x v="21"/>
    <n v="53.225806451612797"/>
    <n v="14.784946236559099"/>
  </r>
  <r>
    <x v="0"/>
    <x v="3"/>
    <x v="9"/>
    <x v="18"/>
    <s v="SE2A"/>
    <x v="22"/>
    <n v="130.68"/>
    <n v="36.299999999999997"/>
  </r>
  <r>
    <x v="0"/>
    <x v="3"/>
    <x v="9"/>
    <x v="18"/>
    <s v="SE2A"/>
    <x v="23"/>
    <n v="0.35278210439105201"/>
    <n v="9.7995028997514499E-2"/>
  </r>
  <r>
    <x v="0"/>
    <x v="3"/>
    <x v="9"/>
    <x v="18"/>
    <s v="SE2A"/>
    <x v="24"/>
    <n v="20.0161025734538"/>
    <n v="5.5600284926260501"/>
  </r>
  <r>
    <x v="0"/>
    <x v="3"/>
    <x v="9"/>
    <x v="18"/>
    <s v="SE2A"/>
    <x v="25"/>
    <n v="22.356874337357301"/>
    <n v="6.2102428714881297"/>
  </r>
  <r>
    <x v="0"/>
    <x v="3"/>
    <x v="9"/>
    <x v="18"/>
    <s v="SE2A"/>
    <x v="26"/>
    <n v="29.6651032387655"/>
    <n v="8.2403064552126306"/>
  </r>
  <r>
    <x v="0"/>
    <x v="3"/>
    <x v="9"/>
    <x v="18"/>
    <s v="SE2A"/>
    <x v="27"/>
    <n v="21.049332228666099"/>
    <n v="5.8470367301850299"/>
  </r>
  <r>
    <x v="0"/>
    <x v="3"/>
    <x v="9"/>
    <x v="18"/>
    <s v="SE2_IND"/>
    <x v="1"/>
    <n v="51.241600662800401"/>
    <n v="14.233777961889"/>
  </r>
  <r>
    <x v="0"/>
    <x v="3"/>
    <x v="9"/>
    <x v="18"/>
    <s v="SE2_IND"/>
    <x v="2"/>
    <n v="57.96"/>
    <n v="16.100000000000001"/>
  </r>
  <r>
    <x v="0"/>
    <x v="3"/>
    <x v="9"/>
    <x v="18"/>
    <s v="SE2_IND"/>
    <x v="0"/>
    <n v="42.692399999999999"/>
    <n v="11.859"/>
  </r>
  <r>
    <x v="0"/>
    <x v="3"/>
    <x v="9"/>
    <x v="18"/>
    <s v="SE2_IND"/>
    <x v="3"/>
    <n v="57.7974681027342"/>
    <n v="16.054852250759499"/>
  </r>
  <r>
    <x v="0"/>
    <x v="3"/>
    <x v="9"/>
    <x v="18"/>
    <s v="SE2_IND"/>
    <x v="4"/>
    <n v="8.1139884009941898"/>
    <n v="2.2538856669428302"/>
  </r>
  <r>
    <x v="0"/>
    <x v="3"/>
    <x v="9"/>
    <x v="18"/>
    <s v="SE2_IND"/>
    <x v="5"/>
    <n v="8.1139884009941898"/>
    <n v="2.2538856669428302"/>
  </r>
  <r>
    <x v="0"/>
    <x v="3"/>
    <x v="9"/>
    <x v="18"/>
    <s v="SE2_IND"/>
    <x v="6"/>
    <n v="30.770439105219602"/>
    <n v="8.5473441958943202"/>
  </r>
  <r>
    <x v="0"/>
    <x v="3"/>
    <x v="9"/>
    <x v="18"/>
    <s v="SE2_IND"/>
    <x v="7"/>
    <n v="71.350180613090302"/>
    <n v="19.819494614747299"/>
  </r>
  <r>
    <x v="0"/>
    <x v="3"/>
    <x v="9"/>
    <x v="18"/>
    <s v="SE2_IND"/>
    <x v="8"/>
    <n v="71.350180613090302"/>
    <n v="19.819494614747299"/>
  </r>
  <r>
    <x v="0"/>
    <x v="3"/>
    <x v="9"/>
    <x v="18"/>
    <s v="SE2_IND"/>
    <x v="9"/>
    <n v="44.803327257663497"/>
    <n v="12.4453686826843"/>
  </r>
  <r>
    <x v="0"/>
    <x v="3"/>
    <x v="9"/>
    <x v="18"/>
    <s v="SE2_IND"/>
    <x v="10"/>
    <n v="54.681226180612903"/>
    <n v="15.1892294946147"/>
  </r>
  <r>
    <x v="0"/>
    <x v="3"/>
    <x v="9"/>
    <x v="18"/>
    <s v="SE2_IND"/>
    <x v="11"/>
    <n v="3.8806031483015802"/>
    <n v="1.07794531897266"/>
  </r>
  <r>
    <x v="0"/>
    <x v="3"/>
    <x v="9"/>
    <x v="18"/>
    <s v="SE2_IND"/>
    <x v="12"/>
    <n v="9.7995028997514597E-2"/>
    <n v="2.72208413881985E-2"/>
  </r>
  <r>
    <x v="0"/>
    <x v="3"/>
    <x v="9"/>
    <x v="18"/>
    <s v="SE2_IND"/>
    <x v="13"/>
    <n v="21.5197083678542"/>
    <n v="5.9776967688483804"/>
  </r>
  <r>
    <x v="0"/>
    <x v="3"/>
    <x v="9"/>
    <x v="18"/>
    <s v="SE2_IND"/>
    <x v="14"/>
    <n v="21.5197083678542"/>
    <n v="5.9776967688483804"/>
  </r>
  <r>
    <x v="0"/>
    <x v="3"/>
    <x v="9"/>
    <x v="18"/>
    <s v="SE2_IND"/>
    <x v="15"/>
    <n v="1.65807589063794"/>
    <n v="0.46057663628831802"/>
  </r>
  <r>
    <x v="0"/>
    <x v="3"/>
    <x v="9"/>
    <x v="18"/>
    <s v="SE2_IND"/>
    <x v="16"/>
    <n v="8.3492014028755008"/>
    <n v="2.31922261190986"/>
  </r>
  <r>
    <x v="0"/>
    <x v="3"/>
    <x v="9"/>
    <x v="18"/>
    <s v="SE2_IND"/>
    <x v="17"/>
    <n v="9.5251168185584092"/>
    <n v="2.6458657829328902"/>
  </r>
  <r>
    <x v="0"/>
    <x v="3"/>
    <x v="9"/>
    <x v="18"/>
    <s v="SE2_IND"/>
    <x v="18"/>
    <n v="21.5197083678542"/>
    <n v="5.9776967688483804"/>
  </r>
  <r>
    <x v="0"/>
    <x v="3"/>
    <x v="9"/>
    <x v="18"/>
    <s v="SE2_IND"/>
    <x v="19"/>
    <n v="8.1139884009941898"/>
    <n v="2.2538856669428302"/>
  </r>
  <r>
    <x v="0"/>
    <x v="3"/>
    <x v="9"/>
    <x v="18"/>
    <s v="SE2_IND"/>
    <x v="20"/>
    <n v="19.336735244541"/>
    <n v="5.37131534570584"/>
  </r>
  <r>
    <x v="0"/>
    <x v="3"/>
    <x v="9"/>
    <x v="18"/>
    <s v="SE2_IND"/>
    <x v="21"/>
    <n v="53.225806451612797"/>
    <n v="14.784946236559099"/>
  </r>
  <r>
    <x v="0"/>
    <x v="3"/>
    <x v="9"/>
    <x v="18"/>
    <s v="SE2_IND"/>
    <x v="22"/>
    <n v="130.68"/>
    <n v="36.299999999999997"/>
  </r>
  <r>
    <x v="0"/>
    <x v="3"/>
    <x v="9"/>
    <x v="18"/>
    <s v="SE2_IND"/>
    <x v="23"/>
    <n v="0.35278210439105201"/>
    <n v="9.7995028997514499E-2"/>
  </r>
  <r>
    <x v="0"/>
    <x v="3"/>
    <x v="9"/>
    <x v="18"/>
    <s v="SE2_IND"/>
    <x v="24"/>
    <n v="20.0161025734538"/>
    <n v="5.5600284926260501"/>
  </r>
  <r>
    <x v="0"/>
    <x v="3"/>
    <x v="9"/>
    <x v="18"/>
    <s v="SE2_IND"/>
    <x v="25"/>
    <n v="22.356874337357301"/>
    <n v="6.2102428714881297"/>
  </r>
  <r>
    <x v="0"/>
    <x v="3"/>
    <x v="9"/>
    <x v="18"/>
    <s v="SE2_IND"/>
    <x v="26"/>
    <n v="29.6651032387655"/>
    <n v="8.2403064552126306"/>
  </r>
  <r>
    <x v="0"/>
    <x v="3"/>
    <x v="9"/>
    <x v="18"/>
    <s v="SE2_IND"/>
    <x v="27"/>
    <n v="21.049332228666099"/>
    <n v="5.8470367301850299"/>
  </r>
  <r>
    <x v="0"/>
    <x v="3"/>
    <x v="9"/>
    <x v="18"/>
    <s v="SE2_Offshore"/>
    <x v="1"/>
    <n v="51.241600662800401"/>
    <n v="14.233777961889"/>
  </r>
  <r>
    <x v="0"/>
    <x v="3"/>
    <x v="9"/>
    <x v="18"/>
    <s v="SE2_Offshore"/>
    <x v="2"/>
    <n v="57.96"/>
    <n v="16.100000000000001"/>
  </r>
  <r>
    <x v="0"/>
    <x v="3"/>
    <x v="9"/>
    <x v="18"/>
    <s v="SE2_Offshore"/>
    <x v="0"/>
    <n v="42.692399999999999"/>
    <n v="11.859"/>
  </r>
  <r>
    <x v="0"/>
    <x v="3"/>
    <x v="9"/>
    <x v="18"/>
    <s v="SE2_Offshore"/>
    <x v="3"/>
    <n v="57.7974681027342"/>
    <n v="16.054852250759499"/>
  </r>
  <r>
    <x v="0"/>
    <x v="3"/>
    <x v="9"/>
    <x v="18"/>
    <s v="SE2_Offshore"/>
    <x v="4"/>
    <n v="8.1139884009941898"/>
    <n v="2.2538856669428302"/>
  </r>
  <r>
    <x v="0"/>
    <x v="3"/>
    <x v="9"/>
    <x v="18"/>
    <s v="SE2_Offshore"/>
    <x v="5"/>
    <n v="8.1139884009941898"/>
    <n v="2.2538856669428302"/>
  </r>
  <r>
    <x v="0"/>
    <x v="3"/>
    <x v="9"/>
    <x v="18"/>
    <s v="SE2_Offshore"/>
    <x v="6"/>
    <n v="30.770439105219602"/>
    <n v="8.5473441958943202"/>
  </r>
  <r>
    <x v="0"/>
    <x v="3"/>
    <x v="9"/>
    <x v="18"/>
    <s v="SE2_Offshore"/>
    <x v="7"/>
    <n v="71.350180613090302"/>
    <n v="19.819494614747299"/>
  </r>
  <r>
    <x v="0"/>
    <x v="3"/>
    <x v="9"/>
    <x v="18"/>
    <s v="SE2_Offshore"/>
    <x v="8"/>
    <n v="71.350180613090302"/>
    <n v="19.819494614747299"/>
  </r>
  <r>
    <x v="0"/>
    <x v="3"/>
    <x v="9"/>
    <x v="18"/>
    <s v="SE2_Offshore"/>
    <x v="9"/>
    <n v="44.803327257663497"/>
    <n v="12.4453686826843"/>
  </r>
  <r>
    <x v="0"/>
    <x v="3"/>
    <x v="9"/>
    <x v="18"/>
    <s v="SE2_Offshore"/>
    <x v="10"/>
    <n v="54.681226180612903"/>
    <n v="15.1892294946147"/>
  </r>
  <r>
    <x v="0"/>
    <x v="3"/>
    <x v="9"/>
    <x v="18"/>
    <s v="SE2_Offshore"/>
    <x v="11"/>
    <n v="3.8806031483015802"/>
    <n v="1.07794531897266"/>
  </r>
  <r>
    <x v="0"/>
    <x v="3"/>
    <x v="9"/>
    <x v="18"/>
    <s v="SE2_Offshore"/>
    <x v="12"/>
    <n v="9.7995028997514597E-2"/>
    <n v="2.72208413881985E-2"/>
  </r>
  <r>
    <x v="0"/>
    <x v="3"/>
    <x v="9"/>
    <x v="18"/>
    <s v="SE2_Offshore"/>
    <x v="13"/>
    <n v="21.5197083678542"/>
    <n v="5.9776967688483804"/>
  </r>
  <r>
    <x v="0"/>
    <x v="3"/>
    <x v="9"/>
    <x v="18"/>
    <s v="SE2_Offshore"/>
    <x v="14"/>
    <n v="21.5197083678542"/>
    <n v="5.9776967688483804"/>
  </r>
  <r>
    <x v="0"/>
    <x v="3"/>
    <x v="9"/>
    <x v="18"/>
    <s v="SE2_Offshore"/>
    <x v="15"/>
    <n v="1.65807589063794"/>
    <n v="0.46057663628831802"/>
  </r>
  <r>
    <x v="0"/>
    <x v="3"/>
    <x v="9"/>
    <x v="18"/>
    <s v="SE2_Offshore"/>
    <x v="16"/>
    <n v="8.3492014028755008"/>
    <n v="2.31922261190986"/>
  </r>
  <r>
    <x v="0"/>
    <x v="3"/>
    <x v="9"/>
    <x v="18"/>
    <s v="SE2_Offshore"/>
    <x v="17"/>
    <n v="9.5251168185584092"/>
    <n v="2.6458657829328902"/>
  </r>
  <r>
    <x v="0"/>
    <x v="3"/>
    <x v="9"/>
    <x v="18"/>
    <s v="SE2_Offshore"/>
    <x v="18"/>
    <n v="21.5197083678542"/>
    <n v="5.9776967688483804"/>
  </r>
  <r>
    <x v="0"/>
    <x v="3"/>
    <x v="9"/>
    <x v="18"/>
    <s v="SE2_Offshore"/>
    <x v="19"/>
    <n v="8.1139884009941898"/>
    <n v="2.2538856669428302"/>
  </r>
  <r>
    <x v="0"/>
    <x v="3"/>
    <x v="9"/>
    <x v="18"/>
    <s v="SE2_Offshore"/>
    <x v="20"/>
    <n v="19.336735244541"/>
    <n v="5.37131534570584"/>
  </r>
  <r>
    <x v="0"/>
    <x v="3"/>
    <x v="9"/>
    <x v="18"/>
    <s v="SE2_Offshore"/>
    <x v="21"/>
    <n v="53.225806451612797"/>
    <n v="14.784946236559099"/>
  </r>
  <r>
    <x v="0"/>
    <x v="3"/>
    <x v="9"/>
    <x v="18"/>
    <s v="SE2_Offshore"/>
    <x v="22"/>
    <n v="130.68"/>
    <n v="36.299999999999997"/>
  </r>
  <r>
    <x v="0"/>
    <x v="3"/>
    <x v="9"/>
    <x v="18"/>
    <s v="SE2_Offshore"/>
    <x v="23"/>
    <n v="0.35278210439105201"/>
    <n v="9.7995028997514499E-2"/>
  </r>
  <r>
    <x v="0"/>
    <x v="3"/>
    <x v="9"/>
    <x v="18"/>
    <s v="SE2_Offshore"/>
    <x v="24"/>
    <n v="20.0161025734538"/>
    <n v="5.5600284926260501"/>
  </r>
  <r>
    <x v="0"/>
    <x v="3"/>
    <x v="9"/>
    <x v="18"/>
    <s v="SE2_Offshore"/>
    <x v="25"/>
    <n v="22.356874337357301"/>
    <n v="6.2102428714881297"/>
  </r>
  <r>
    <x v="0"/>
    <x v="3"/>
    <x v="9"/>
    <x v="18"/>
    <s v="SE2_Offshore"/>
    <x v="26"/>
    <n v="29.6651032387655"/>
    <n v="8.2403064552126306"/>
  </r>
  <r>
    <x v="0"/>
    <x v="3"/>
    <x v="9"/>
    <x v="18"/>
    <s v="SE2_Offshore"/>
    <x v="27"/>
    <n v="21.049332228666099"/>
    <n v="5.8470367301850299"/>
  </r>
  <r>
    <x v="0"/>
    <x v="3"/>
    <x v="9"/>
    <x v="18"/>
    <s v="SE2_medium"/>
    <x v="1"/>
    <n v="51.241600662800401"/>
    <n v="14.233777961889"/>
  </r>
  <r>
    <x v="0"/>
    <x v="3"/>
    <x v="9"/>
    <x v="18"/>
    <s v="SE2_medium"/>
    <x v="2"/>
    <n v="57.96"/>
    <n v="16.100000000000001"/>
  </r>
  <r>
    <x v="0"/>
    <x v="3"/>
    <x v="9"/>
    <x v="18"/>
    <s v="SE2_medium"/>
    <x v="0"/>
    <n v="42.692399999999999"/>
    <n v="11.859"/>
  </r>
  <r>
    <x v="0"/>
    <x v="3"/>
    <x v="9"/>
    <x v="18"/>
    <s v="SE2_medium"/>
    <x v="3"/>
    <n v="57.7974681027342"/>
    <n v="16.054852250759499"/>
  </r>
  <r>
    <x v="0"/>
    <x v="3"/>
    <x v="9"/>
    <x v="18"/>
    <s v="SE2_medium"/>
    <x v="4"/>
    <n v="8.1139884009941898"/>
    <n v="2.2538856669428302"/>
  </r>
  <r>
    <x v="0"/>
    <x v="3"/>
    <x v="9"/>
    <x v="18"/>
    <s v="SE2_medium"/>
    <x v="5"/>
    <n v="8.1139884009941898"/>
    <n v="2.2538856669428302"/>
  </r>
  <r>
    <x v="0"/>
    <x v="3"/>
    <x v="9"/>
    <x v="18"/>
    <s v="SE2_medium"/>
    <x v="6"/>
    <n v="30.770439105219602"/>
    <n v="8.5473441958943202"/>
  </r>
  <r>
    <x v="0"/>
    <x v="3"/>
    <x v="9"/>
    <x v="18"/>
    <s v="SE2_medium"/>
    <x v="7"/>
    <n v="71.350180613090302"/>
    <n v="19.819494614747299"/>
  </r>
  <r>
    <x v="0"/>
    <x v="3"/>
    <x v="9"/>
    <x v="18"/>
    <s v="SE2_medium"/>
    <x v="8"/>
    <n v="71.350180613090302"/>
    <n v="19.819494614747299"/>
  </r>
  <r>
    <x v="0"/>
    <x v="3"/>
    <x v="9"/>
    <x v="18"/>
    <s v="SE2_medium"/>
    <x v="9"/>
    <n v="44.803327257663497"/>
    <n v="12.4453686826843"/>
  </r>
  <r>
    <x v="0"/>
    <x v="3"/>
    <x v="9"/>
    <x v="18"/>
    <s v="SE2_medium"/>
    <x v="10"/>
    <n v="54.681226180612903"/>
    <n v="15.1892294946147"/>
  </r>
  <r>
    <x v="0"/>
    <x v="3"/>
    <x v="9"/>
    <x v="18"/>
    <s v="SE2_medium"/>
    <x v="11"/>
    <n v="3.8806031483015802"/>
    <n v="1.07794531897266"/>
  </r>
  <r>
    <x v="0"/>
    <x v="3"/>
    <x v="9"/>
    <x v="18"/>
    <s v="SE2_medium"/>
    <x v="12"/>
    <n v="9.7995028997514597E-2"/>
    <n v="2.72208413881985E-2"/>
  </r>
  <r>
    <x v="0"/>
    <x v="3"/>
    <x v="9"/>
    <x v="18"/>
    <s v="SE2_medium"/>
    <x v="13"/>
    <n v="21.5197083678542"/>
    <n v="5.9776967688483804"/>
  </r>
  <r>
    <x v="0"/>
    <x v="3"/>
    <x v="9"/>
    <x v="18"/>
    <s v="SE2_medium"/>
    <x v="14"/>
    <n v="21.5197083678542"/>
    <n v="5.9776967688483804"/>
  </r>
  <r>
    <x v="0"/>
    <x v="3"/>
    <x v="9"/>
    <x v="18"/>
    <s v="SE2_medium"/>
    <x v="15"/>
    <n v="1.65807589063794"/>
    <n v="0.46057663628831802"/>
  </r>
  <r>
    <x v="0"/>
    <x v="3"/>
    <x v="9"/>
    <x v="18"/>
    <s v="SE2_medium"/>
    <x v="16"/>
    <n v="8.3492014028755008"/>
    <n v="2.31922261190986"/>
  </r>
  <r>
    <x v="0"/>
    <x v="3"/>
    <x v="9"/>
    <x v="18"/>
    <s v="SE2_medium"/>
    <x v="17"/>
    <n v="9.5251168185584092"/>
    <n v="2.6458657829328902"/>
  </r>
  <r>
    <x v="0"/>
    <x v="3"/>
    <x v="9"/>
    <x v="18"/>
    <s v="SE2_medium"/>
    <x v="18"/>
    <n v="21.5197083678542"/>
    <n v="5.9776967688483804"/>
  </r>
  <r>
    <x v="0"/>
    <x v="3"/>
    <x v="9"/>
    <x v="18"/>
    <s v="SE2_medium"/>
    <x v="19"/>
    <n v="8.1139884009941898"/>
    <n v="2.2538856669428302"/>
  </r>
  <r>
    <x v="0"/>
    <x v="3"/>
    <x v="9"/>
    <x v="18"/>
    <s v="SE2_medium"/>
    <x v="20"/>
    <n v="19.336735244541"/>
    <n v="5.37131534570584"/>
  </r>
  <r>
    <x v="0"/>
    <x v="3"/>
    <x v="9"/>
    <x v="18"/>
    <s v="SE2_medium"/>
    <x v="21"/>
    <n v="53.225806451612797"/>
    <n v="14.784946236559099"/>
  </r>
  <r>
    <x v="0"/>
    <x v="3"/>
    <x v="9"/>
    <x v="18"/>
    <s v="SE2_medium"/>
    <x v="22"/>
    <n v="130.68"/>
    <n v="36.299999999999997"/>
  </r>
  <r>
    <x v="0"/>
    <x v="3"/>
    <x v="9"/>
    <x v="18"/>
    <s v="SE2_medium"/>
    <x v="23"/>
    <n v="0.35278210439105201"/>
    <n v="9.7995028997514499E-2"/>
  </r>
  <r>
    <x v="0"/>
    <x v="3"/>
    <x v="9"/>
    <x v="18"/>
    <s v="SE2_medium"/>
    <x v="24"/>
    <n v="20.0161025734538"/>
    <n v="5.5600284926260501"/>
  </r>
  <r>
    <x v="0"/>
    <x v="3"/>
    <x v="9"/>
    <x v="18"/>
    <s v="SE2_medium"/>
    <x v="25"/>
    <n v="22.356874337357301"/>
    <n v="6.2102428714881297"/>
  </r>
  <r>
    <x v="0"/>
    <x v="3"/>
    <x v="9"/>
    <x v="18"/>
    <s v="SE2_medium"/>
    <x v="26"/>
    <n v="29.6651032387655"/>
    <n v="8.2403064552126306"/>
  </r>
  <r>
    <x v="0"/>
    <x v="3"/>
    <x v="9"/>
    <x v="18"/>
    <s v="SE2_medium"/>
    <x v="27"/>
    <n v="21.049332228666099"/>
    <n v="5.8470367301850299"/>
  </r>
  <r>
    <x v="0"/>
    <x v="3"/>
    <x v="9"/>
    <x v="18"/>
    <s v="SE2_small"/>
    <x v="1"/>
    <n v="51.241600662800401"/>
    <n v="14.233777961889"/>
  </r>
  <r>
    <x v="0"/>
    <x v="3"/>
    <x v="9"/>
    <x v="18"/>
    <s v="SE2_small"/>
    <x v="2"/>
    <n v="57.96"/>
    <n v="16.100000000000001"/>
  </r>
  <r>
    <x v="0"/>
    <x v="3"/>
    <x v="9"/>
    <x v="18"/>
    <s v="SE2_small"/>
    <x v="0"/>
    <n v="42.692399999999999"/>
    <n v="11.859"/>
  </r>
  <r>
    <x v="0"/>
    <x v="3"/>
    <x v="9"/>
    <x v="18"/>
    <s v="SE2_small"/>
    <x v="3"/>
    <n v="57.7974681027342"/>
    <n v="16.054852250759499"/>
  </r>
  <r>
    <x v="0"/>
    <x v="3"/>
    <x v="9"/>
    <x v="18"/>
    <s v="SE2_small"/>
    <x v="4"/>
    <n v="8.1139884009941898"/>
    <n v="2.2538856669428302"/>
  </r>
  <r>
    <x v="0"/>
    <x v="3"/>
    <x v="9"/>
    <x v="18"/>
    <s v="SE2_small"/>
    <x v="5"/>
    <n v="8.1139884009941898"/>
    <n v="2.2538856669428302"/>
  </r>
  <r>
    <x v="0"/>
    <x v="3"/>
    <x v="9"/>
    <x v="18"/>
    <s v="SE2_small"/>
    <x v="6"/>
    <n v="30.770439105219602"/>
    <n v="8.5473441958943202"/>
  </r>
  <r>
    <x v="0"/>
    <x v="3"/>
    <x v="9"/>
    <x v="18"/>
    <s v="SE2_small"/>
    <x v="7"/>
    <n v="71.350180613090302"/>
    <n v="19.819494614747299"/>
  </r>
  <r>
    <x v="0"/>
    <x v="3"/>
    <x v="9"/>
    <x v="18"/>
    <s v="SE2_small"/>
    <x v="8"/>
    <n v="71.350180613090302"/>
    <n v="19.819494614747299"/>
  </r>
  <r>
    <x v="0"/>
    <x v="3"/>
    <x v="9"/>
    <x v="18"/>
    <s v="SE2_small"/>
    <x v="9"/>
    <n v="44.803327257663497"/>
    <n v="12.4453686826843"/>
  </r>
  <r>
    <x v="0"/>
    <x v="3"/>
    <x v="9"/>
    <x v="18"/>
    <s v="SE2_small"/>
    <x v="10"/>
    <n v="54.681226180612903"/>
    <n v="15.1892294946147"/>
  </r>
  <r>
    <x v="0"/>
    <x v="3"/>
    <x v="9"/>
    <x v="18"/>
    <s v="SE2_small"/>
    <x v="11"/>
    <n v="3.8806031483015802"/>
    <n v="1.07794531897266"/>
  </r>
  <r>
    <x v="0"/>
    <x v="3"/>
    <x v="9"/>
    <x v="18"/>
    <s v="SE2_small"/>
    <x v="12"/>
    <n v="9.7995028997514597E-2"/>
    <n v="2.72208413881985E-2"/>
  </r>
  <r>
    <x v="0"/>
    <x v="3"/>
    <x v="9"/>
    <x v="18"/>
    <s v="SE2_small"/>
    <x v="13"/>
    <n v="21.5197083678542"/>
    <n v="5.9776967688483804"/>
  </r>
  <r>
    <x v="0"/>
    <x v="3"/>
    <x v="9"/>
    <x v="18"/>
    <s v="SE2_small"/>
    <x v="14"/>
    <n v="21.5197083678542"/>
    <n v="5.9776967688483804"/>
  </r>
  <r>
    <x v="0"/>
    <x v="3"/>
    <x v="9"/>
    <x v="18"/>
    <s v="SE2_small"/>
    <x v="15"/>
    <n v="1.65807589063794"/>
    <n v="0.46057663628831802"/>
  </r>
  <r>
    <x v="0"/>
    <x v="3"/>
    <x v="9"/>
    <x v="18"/>
    <s v="SE2_small"/>
    <x v="16"/>
    <n v="8.3492014028755008"/>
    <n v="2.31922261190986"/>
  </r>
  <r>
    <x v="0"/>
    <x v="3"/>
    <x v="9"/>
    <x v="18"/>
    <s v="SE2_small"/>
    <x v="17"/>
    <n v="9.5251168185584092"/>
    <n v="2.6458657829328902"/>
  </r>
  <r>
    <x v="0"/>
    <x v="3"/>
    <x v="9"/>
    <x v="18"/>
    <s v="SE2_small"/>
    <x v="18"/>
    <n v="21.5197083678542"/>
    <n v="5.9776967688483804"/>
  </r>
  <r>
    <x v="0"/>
    <x v="3"/>
    <x v="9"/>
    <x v="18"/>
    <s v="SE2_small"/>
    <x v="19"/>
    <n v="8.1139884009941898"/>
    <n v="2.2538856669428302"/>
  </r>
  <r>
    <x v="0"/>
    <x v="3"/>
    <x v="9"/>
    <x v="18"/>
    <s v="SE2_small"/>
    <x v="20"/>
    <n v="19.336735244541"/>
    <n v="5.37131534570584"/>
  </r>
  <r>
    <x v="0"/>
    <x v="3"/>
    <x v="9"/>
    <x v="18"/>
    <s v="SE2_small"/>
    <x v="21"/>
    <n v="53.225806451612797"/>
    <n v="14.784946236559099"/>
  </r>
  <r>
    <x v="0"/>
    <x v="3"/>
    <x v="9"/>
    <x v="18"/>
    <s v="SE2_small"/>
    <x v="22"/>
    <n v="130.68"/>
    <n v="36.299999999999997"/>
  </r>
  <r>
    <x v="0"/>
    <x v="3"/>
    <x v="9"/>
    <x v="18"/>
    <s v="SE2_small"/>
    <x v="23"/>
    <n v="0.35278210439105201"/>
    <n v="9.7995028997514499E-2"/>
  </r>
  <r>
    <x v="0"/>
    <x v="3"/>
    <x v="9"/>
    <x v="18"/>
    <s v="SE2_small"/>
    <x v="24"/>
    <n v="20.0161025734538"/>
    <n v="5.5600284926260501"/>
  </r>
  <r>
    <x v="0"/>
    <x v="3"/>
    <x v="9"/>
    <x v="18"/>
    <s v="SE2_small"/>
    <x v="25"/>
    <n v="22.356874337357301"/>
    <n v="6.2102428714881297"/>
  </r>
  <r>
    <x v="0"/>
    <x v="3"/>
    <x v="9"/>
    <x v="18"/>
    <s v="SE2_small"/>
    <x v="26"/>
    <n v="29.6651032387655"/>
    <n v="8.2403064552126306"/>
  </r>
  <r>
    <x v="0"/>
    <x v="3"/>
    <x v="9"/>
    <x v="18"/>
    <s v="SE2_small"/>
    <x v="27"/>
    <n v="21.049332228666099"/>
    <n v="5.8470367301850299"/>
  </r>
  <r>
    <x v="0"/>
    <x v="3"/>
    <x v="9"/>
    <x v="19"/>
    <s v="SE3A"/>
    <x v="1"/>
    <n v="51.241600662800401"/>
    <n v="14.233777961889"/>
  </r>
  <r>
    <x v="0"/>
    <x v="3"/>
    <x v="9"/>
    <x v="19"/>
    <s v="SE3A"/>
    <x v="2"/>
    <n v="57.96"/>
    <n v="16.100000000000001"/>
  </r>
  <r>
    <x v="0"/>
    <x v="3"/>
    <x v="9"/>
    <x v="19"/>
    <s v="SE3A"/>
    <x v="0"/>
    <n v="42.692399999999999"/>
    <n v="11.859"/>
  </r>
  <r>
    <x v="0"/>
    <x v="3"/>
    <x v="9"/>
    <x v="19"/>
    <s v="SE3A"/>
    <x v="3"/>
    <n v="57.7974681027342"/>
    <n v="16.054852250759499"/>
  </r>
  <r>
    <x v="0"/>
    <x v="3"/>
    <x v="9"/>
    <x v="19"/>
    <s v="SE3A"/>
    <x v="4"/>
    <n v="8.1139884009941898"/>
    <n v="2.2538856669428302"/>
  </r>
  <r>
    <x v="0"/>
    <x v="3"/>
    <x v="9"/>
    <x v="19"/>
    <s v="SE3A"/>
    <x v="5"/>
    <n v="8.1139884009941898"/>
    <n v="2.2538856669428302"/>
  </r>
  <r>
    <x v="0"/>
    <x v="3"/>
    <x v="9"/>
    <x v="19"/>
    <s v="SE3A"/>
    <x v="6"/>
    <n v="30.770439105219602"/>
    <n v="8.5473441958943202"/>
  </r>
  <r>
    <x v="0"/>
    <x v="3"/>
    <x v="9"/>
    <x v="19"/>
    <s v="SE3A"/>
    <x v="7"/>
    <n v="71.350180613090302"/>
    <n v="19.819494614747299"/>
  </r>
  <r>
    <x v="0"/>
    <x v="3"/>
    <x v="9"/>
    <x v="19"/>
    <s v="SE3A"/>
    <x v="8"/>
    <n v="71.350180613090302"/>
    <n v="19.819494614747299"/>
  </r>
  <r>
    <x v="0"/>
    <x v="3"/>
    <x v="9"/>
    <x v="19"/>
    <s v="SE3A"/>
    <x v="9"/>
    <n v="44.803327257663497"/>
    <n v="12.4453686826843"/>
  </r>
  <r>
    <x v="0"/>
    <x v="3"/>
    <x v="9"/>
    <x v="19"/>
    <s v="SE3A"/>
    <x v="10"/>
    <n v="54.681226180612903"/>
    <n v="15.1892294946147"/>
  </r>
  <r>
    <x v="0"/>
    <x v="3"/>
    <x v="9"/>
    <x v="19"/>
    <s v="SE3A"/>
    <x v="11"/>
    <n v="3.8806031483015802"/>
    <n v="1.07794531897266"/>
  </r>
  <r>
    <x v="0"/>
    <x v="3"/>
    <x v="9"/>
    <x v="19"/>
    <s v="SE3A"/>
    <x v="12"/>
    <n v="9.7995028997514597E-2"/>
    <n v="2.72208413881985E-2"/>
  </r>
  <r>
    <x v="0"/>
    <x v="3"/>
    <x v="9"/>
    <x v="19"/>
    <s v="SE3A"/>
    <x v="13"/>
    <n v="21.5197083678542"/>
    <n v="5.9776967688483804"/>
  </r>
  <r>
    <x v="0"/>
    <x v="3"/>
    <x v="9"/>
    <x v="19"/>
    <s v="SE3A"/>
    <x v="14"/>
    <n v="21.5197083678542"/>
    <n v="5.9776967688483804"/>
  </r>
  <r>
    <x v="0"/>
    <x v="3"/>
    <x v="9"/>
    <x v="19"/>
    <s v="SE3A"/>
    <x v="15"/>
    <n v="1.65807589063794"/>
    <n v="0.46057663628831802"/>
  </r>
  <r>
    <x v="0"/>
    <x v="3"/>
    <x v="9"/>
    <x v="19"/>
    <s v="SE3A"/>
    <x v="16"/>
    <n v="8.3492014028755008"/>
    <n v="2.31922261190986"/>
  </r>
  <r>
    <x v="0"/>
    <x v="3"/>
    <x v="9"/>
    <x v="19"/>
    <s v="SE3A"/>
    <x v="17"/>
    <n v="9.5251168185584092"/>
    <n v="2.6458657829328902"/>
  </r>
  <r>
    <x v="0"/>
    <x v="3"/>
    <x v="9"/>
    <x v="19"/>
    <s v="SE3A"/>
    <x v="18"/>
    <n v="21.5197083678542"/>
    <n v="5.9776967688483804"/>
  </r>
  <r>
    <x v="0"/>
    <x v="3"/>
    <x v="9"/>
    <x v="19"/>
    <s v="SE3A"/>
    <x v="19"/>
    <n v="8.1139884009941898"/>
    <n v="2.2538856669428302"/>
  </r>
  <r>
    <x v="0"/>
    <x v="3"/>
    <x v="9"/>
    <x v="19"/>
    <s v="SE3A"/>
    <x v="20"/>
    <n v="19.336735244541"/>
    <n v="5.37131534570584"/>
  </r>
  <r>
    <x v="0"/>
    <x v="3"/>
    <x v="9"/>
    <x v="19"/>
    <s v="SE3A"/>
    <x v="21"/>
    <n v="53.225806451612797"/>
    <n v="14.784946236559099"/>
  </r>
  <r>
    <x v="0"/>
    <x v="3"/>
    <x v="9"/>
    <x v="19"/>
    <s v="SE3A"/>
    <x v="22"/>
    <n v="130.68"/>
    <n v="36.299999999999997"/>
  </r>
  <r>
    <x v="0"/>
    <x v="3"/>
    <x v="9"/>
    <x v="19"/>
    <s v="SE3A"/>
    <x v="23"/>
    <n v="0.35278210439105201"/>
    <n v="9.7995028997514499E-2"/>
  </r>
  <r>
    <x v="0"/>
    <x v="3"/>
    <x v="9"/>
    <x v="19"/>
    <s v="SE3A"/>
    <x v="24"/>
    <n v="20.0161025734538"/>
    <n v="5.5600284926260501"/>
  </r>
  <r>
    <x v="0"/>
    <x v="3"/>
    <x v="9"/>
    <x v="19"/>
    <s v="SE3A"/>
    <x v="25"/>
    <n v="22.356874337357301"/>
    <n v="6.2102428714881297"/>
  </r>
  <r>
    <x v="0"/>
    <x v="3"/>
    <x v="9"/>
    <x v="19"/>
    <s v="SE3A"/>
    <x v="26"/>
    <n v="29.6651032387655"/>
    <n v="8.2403064552126306"/>
  </r>
  <r>
    <x v="0"/>
    <x v="3"/>
    <x v="9"/>
    <x v="19"/>
    <s v="SE3A"/>
    <x v="27"/>
    <n v="21.049332228666099"/>
    <n v="5.8470367301850299"/>
  </r>
  <r>
    <x v="0"/>
    <x v="3"/>
    <x v="9"/>
    <x v="19"/>
    <s v="SE3_IND"/>
    <x v="1"/>
    <n v="51.241600662800401"/>
    <n v="14.233777961889"/>
  </r>
  <r>
    <x v="0"/>
    <x v="3"/>
    <x v="9"/>
    <x v="19"/>
    <s v="SE3_IND"/>
    <x v="2"/>
    <n v="57.96"/>
    <n v="16.100000000000001"/>
  </r>
  <r>
    <x v="0"/>
    <x v="3"/>
    <x v="9"/>
    <x v="19"/>
    <s v="SE3_IND"/>
    <x v="0"/>
    <n v="42.692399999999999"/>
    <n v="11.859"/>
  </r>
  <r>
    <x v="0"/>
    <x v="3"/>
    <x v="9"/>
    <x v="19"/>
    <s v="SE3_IND"/>
    <x v="3"/>
    <n v="57.7974681027342"/>
    <n v="16.054852250759499"/>
  </r>
  <r>
    <x v="0"/>
    <x v="3"/>
    <x v="9"/>
    <x v="19"/>
    <s v="SE3_IND"/>
    <x v="4"/>
    <n v="8.1139884009941898"/>
    <n v="2.2538856669428302"/>
  </r>
  <r>
    <x v="0"/>
    <x v="3"/>
    <x v="9"/>
    <x v="19"/>
    <s v="SE3_IND"/>
    <x v="5"/>
    <n v="8.1139884009941898"/>
    <n v="2.2538856669428302"/>
  </r>
  <r>
    <x v="0"/>
    <x v="3"/>
    <x v="9"/>
    <x v="19"/>
    <s v="SE3_IND"/>
    <x v="6"/>
    <n v="30.770439105219602"/>
    <n v="8.5473441958943202"/>
  </r>
  <r>
    <x v="0"/>
    <x v="3"/>
    <x v="9"/>
    <x v="19"/>
    <s v="SE3_IND"/>
    <x v="7"/>
    <n v="71.350180613090302"/>
    <n v="19.819494614747299"/>
  </r>
  <r>
    <x v="0"/>
    <x v="3"/>
    <x v="9"/>
    <x v="19"/>
    <s v="SE3_IND"/>
    <x v="8"/>
    <n v="71.350180613090302"/>
    <n v="19.819494614747299"/>
  </r>
  <r>
    <x v="0"/>
    <x v="3"/>
    <x v="9"/>
    <x v="19"/>
    <s v="SE3_IND"/>
    <x v="9"/>
    <n v="44.803327257663497"/>
    <n v="12.4453686826843"/>
  </r>
  <r>
    <x v="0"/>
    <x v="3"/>
    <x v="9"/>
    <x v="19"/>
    <s v="SE3_IND"/>
    <x v="10"/>
    <n v="54.681226180612903"/>
    <n v="15.1892294946147"/>
  </r>
  <r>
    <x v="0"/>
    <x v="3"/>
    <x v="9"/>
    <x v="19"/>
    <s v="SE3_IND"/>
    <x v="11"/>
    <n v="3.8806031483015802"/>
    <n v="1.07794531897266"/>
  </r>
  <r>
    <x v="0"/>
    <x v="3"/>
    <x v="9"/>
    <x v="19"/>
    <s v="SE3_IND"/>
    <x v="12"/>
    <n v="9.7995028997514597E-2"/>
    <n v="2.72208413881985E-2"/>
  </r>
  <r>
    <x v="0"/>
    <x v="3"/>
    <x v="9"/>
    <x v="19"/>
    <s v="SE3_IND"/>
    <x v="13"/>
    <n v="21.5197083678542"/>
    <n v="5.9776967688483804"/>
  </r>
  <r>
    <x v="0"/>
    <x v="3"/>
    <x v="9"/>
    <x v="19"/>
    <s v="SE3_IND"/>
    <x v="14"/>
    <n v="21.5197083678542"/>
    <n v="5.9776967688483804"/>
  </r>
  <r>
    <x v="0"/>
    <x v="3"/>
    <x v="9"/>
    <x v="19"/>
    <s v="SE3_IND"/>
    <x v="15"/>
    <n v="1.65807589063794"/>
    <n v="0.46057663628831802"/>
  </r>
  <r>
    <x v="0"/>
    <x v="3"/>
    <x v="9"/>
    <x v="19"/>
    <s v="SE3_IND"/>
    <x v="16"/>
    <n v="8.3492014028755008"/>
    <n v="2.31922261190986"/>
  </r>
  <r>
    <x v="0"/>
    <x v="3"/>
    <x v="9"/>
    <x v="19"/>
    <s v="SE3_IND"/>
    <x v="17"/>
    <n v="9.5251168185584092"/>
    <n v="2.6458657829328902"/>
  </r>
  <r>
    <x v="0"/>
    <x v="3"/>
    <x v="9"/>
    <x v="19"/>
    <s v="SE3_IND"/>
    <x v="18"/>
    <n v="21.5197083678542"/>
    <n v="5.9776967688483804"/>
  </r>
  <r>
    <x v="0"/>
    <x v="3"/>
    <x v="9"/>
    <x v="19"/>
    <s v="SE3_IND"/>
    <x v="19"/>
    <n v="8.1139884009941898"/>
    <n v="2.2538856669428302"/>
  </r>
  <r>
    <x v="0"/>
    <x v="3"/>
    <x v="9"/>
    <x v="19"/>
    <s v="SE3_IND"/>
    <x v="20"/>
    <n v="19.336735244541"/>
    <n v="5.37131534570584"/>
  </r>
  <r>
    <x v="0"/>
    <x v="3"/>
    <x v="9"/>
    <x v="19"/>
    <s v="SE3_IND"/>
    <x v="21"/>
    <n v="53.225806451612797"/>
    <n v="14.784946236559099"/>
  </r>
  <r>
    <x v="0"/>
    <x v="3"/>
    <x v="9"/>
    <x v="19"/>
    <s v="SE3_IND"/>
    <x v="22"/>
    <n v="130.68"/>
    <n v="36.299999999999997"/>
  </r>
  <r>
    <x v="0"/>
    <x v="3"/>
    <x v="9"/>
    <x v="19"/>
    <s v="SE3_IND"/>
    <x v="23"/>
    <n v="0.35278210439105201"/>
    <n v="9.7995028997514499E-2"/>
  </r>
  <r>
    <x v="0"/>
    <x v="3"/>
    <x v="9"/>
    <x v="19"/>
    <s v="SE3_IND"/>
    <x v="24"/>
    <n v="20.0161025734538"/>
    <n v="5.5600284926260501"/>
  </r>
  <r>
    <x v="0"/>
    <x v="3"/>
    <x v="9"/>
    <x v="19"/>
    <s v="SE3_IND"/>
    <x v="25"/>
    <n v="22.356874337357301"/>
    <n v="6.2102428714881297"/>
  </r>
  <r>
    <x v="0"/>
    <x v="3"/>
    <x v="9"/>
    <x v="19"/>
    <s v="SE3_IND"/>
    <x v="26"/>
    <n v="29.6651032387655"/>
    <n v="8.2403064552126306"/>
  </r>
  <r>
    <x v="0"/>
    <x v="3"/>
    <x v="9"/>
    <x v="19"/>
    <s v="SE3_IND"/>
    <x v="27"/>
    <n v="21.049332228666099"/>
    <n v="5.8470367301850299"/>
  </r>
  <r>
    <x v="0"/>
    <x v="3"/>
    <x v="9"/>
    <x v="19"/>
    <s v="SE3_Offshore"/>
    <x v="1"/>
    <n v="51.241600662800401"/>
    <n v="14.233777961889"/>
  </r>
  <r>
    <x v="0"/>
    <x v="3"/>
    <x v="9"/>
    <x v="19"/>
    <s v="SE3_Offshore"/>
    <x v="2"/>
    <n v="57.96"/>
    <n v="16.100000000000001"/>
  </r>
  <r>
    <x v="0"/>
    <x v="3"/>
    <x v="9"/>
    <x v="19"/>
    <s v="SE3_Offshore"/>
    <x v="0"/>
    <n v="42.692399999999999"/>
    <n v="11.859"/>
  </r>
  <r>
    <x v="0"/>
    <x v="3"/>
    <x v="9"/>
    <x v="19"/>
    <s v="SE3_Offshore"/>
    <x v="3"/>
    <n v="57.7974681027342"/>
    <n v="16.054852250759499"/>
  </r>
  <r>
    <x v="0"/>
    <x v="3"/>
    <x v="9"/>
    <x v="19"/>
    <s v="SE3_Offshore"/>
    <x v="4"/>
    <n v="8.1139884009941898"/>
    <n v="2.2538856669428302"/>
  </r>
  <r>
    <x v="0"/>
    <x v="3"/>
    <x v="9"/>
    <x v="19"/>
    <s v="SE3_Offshore"/>
    <x v="5"/>
    <n v="8.1139884009941898"/>
    <n v="2.2538856669428302"/>
  </r>
  <r>
    <x v="0"/>
    <x v="3"/>
    <x v="9"/>
    <x v="19"/>
    <s v="SE3_Offshore"/>
    <x v="6"/>
    <n v="30.770439105219602"/>
    <n v="8.5473441958943202"/>
  </r>
  <r>
    <x v="0"/>
    <x v="3"/>
    <x v="9"/>
    <x v="19"/>
    <s v="SE3_Offshore"/>
    <x v="7"/>
    <n v="71.350180613090302"/>
    <n v="19.819494614747299"/>
  </r>
  <r>
    <x v="0"/>
    <x v="3"/>
    <x v="9"/>
    <x v="19"/>
    <s v="SE3_Offshore"/>
    <x v="8"/>
    <n v="71.350180613090302"/>
    <n v="19.819494614747299"/>
  </r>
  <r>
    <x v="0"/>
    <x v="3"/>
    <x v="9"/>
    <x v="19"/>
    <s v="SE3_Offshore"/>
    <x v="9"/>
    <n v="44.803327257663497"/>
    <n v="12.4453686826843"/>
  </r>
  <r>
    <x v="0"/>
    <x v="3"/>
    <x v="9"/>
    <x v="19"/>
    <s v="SE3_Offshore"/>
    <x v="10"/>
    <n v="54.681226180612903"/>
    <n v="15.1892294946147"/>
  </r>
  <r>
    <x v="0"/>
    <x v="3"/>
    <x v="9"/>
    <x v="19"/>
    <s v="SE3_Offshore"/>
    <x v="11"/>
    <n v="3.8806031483015802"/>
    <n v="1.07794531897266"/>
  </r>
  <r>
    <x v="0"/>
    <x v="3"/>
    <x v="9"/>
    <x v="19"/>
    <s v="SE3_Offshore"/>
    <x v="12"/>
    <n v="9.7995028997514597E-2"/>
    <n v="2.72208413881985E-2"/>
  </r>
  <r>
    <x v="0"/>
    <x v="3"/>
    <x v="9"/>
    <x v="19"/>
    <s v="SE3_Offshore"/>
    <x v="13"/>
    <n v="21.5197083678542"/>
    <n v="5.9776967688483804"/>
  </r>
  <r>
    <x v="0"/>
    <x v="3"/>
    <x v="9"/>
    <x v="19"/>
    <s v="SE3_Offshore"/>
    <x v="14"/>
    <n v="21.5197083678542"/>
    <n v="5.9776967688483804"/>
  </r>
  <r>
    <x v="0"/>
    <x v="3"/>
    <x v="9"/>
    <x v="19"/>
    <s v="SE3_Offshore"/>
    <x v="15"/>
    <n v="1.65807589063794"/>
    <n v="0.46057663628831802"/>
  </r>
  <r>
    <x v="0"/>
    <x v="3"/>
    <x v="9"/>
    <x v="19"/>
    <s v="SE3_Offshore"/>
    <x v="16"/>
    <n v="8.3492014028755008"/>
    <n v="2.31922261190986"/>
  </r>
  <r>
    <x v="0"/>
    <x v="3"/>
    <x v="9"/>
    <x v="19"/>
    <s v="SE3_Offshore"/>
    <x v="17"/>
    <n v="9.5251168185584092"/>
    <n v="2.6458657829328902"/>
  </r>
  <r>
    <x v="0"/>
    <x v="3"/>
    <x v="9"/>
    <x v="19"/>
    <s v="SE3_Offshore"/>
    <x v="18"/>
    <n v="21.5197083678542"/>
    <n v="5.9776967688483804"/>
  </r>
  <r>
    <x v="0"/>
    <x v="3"/>
    <x v="9"/>
    <x v="19"/>
    <s v="SE3_Offshore"/>
    <x v="19"/>
    <n v="8.1139884009941898"/>
    <n v="2.2538856669428302"/>
  </r>
  <r>
    <x v="0"/>
    <x v="3"/>
    <x v="9"/>
    <x v="19"/>
    <s v="SE3_Offshore"/>
    <x v="20"/>
    <n v="19.336735244541"/>
    <n v="5.37131534570584"/>
  </r>
  <r>
    <x v="0"/>
    <x v="3"/>
    <x v="9"/>
    <x v="19"/>
    <s v="SE3_Offshore"/>
    <x v="21"/>
    <n v="53.225806451612797"/>
    <n v="14.784946236559099"/>
  </r>
  <r>
    <x v="0"/>
    <x v="3"/>
    <x v="9"/>
    <x v="19"/>
    <s v="SE3_Offshore"/>
    <x v="22"/>
    <n v="130.68"/>
    <n v="36.299999999999997"/>
  </r>
  <r>
    <x v="0"/>
    <x v="3"/>
    <x v="9"/>
    <x v="19"/>
    <s v="SE3_Offshore"/>
    <x v="23"/>
    <n v="0.35278210439105201"/>
    <n v="9.7995028997514499E-2"/>
  </r>
  <r>
    <x v="0"/>
    <x v="3"/>
    <x v="9"/>
    <x v="19"/>
    <s v="SE3_Offshore"/>
    <x v="24"/>
    <n v="20.0161025734538"/>
    <n v="5.5600284926260501"/>
  </r>
  <r>
    <x v="0"/>
    <x v="3"/>
    <x v="9"/>
    <x v="19"/>
    <s v="SE3_Offshore"/>
    <x v="25"/>
    <n v="22.356874337357301"/>
    <n v="6.2102428714881297"/>
  </r>
  <r>
    <x v="0"/>
    <x v="3"/>
    <x v="9"/>
    <x v="19"/>
    <s v="SE3_Offshore"/>
    <x v="26"/>
    <n v="29.6651032387655"/>
    <n v="8.2403064552126306"/>
  </r>
  <r>
    <x v="0"/>
    <x v="3"/>
    <x v="9"/>
    <x v="19"/>
    <s v="SE3_Offshore"/>
    <x v="27"/>
    <n v="21.049332228666099"/>
    <n v="5.8470367301850299"/>
  </r>
  <r>
    <x v="0"/>
    <x v="3"/>
    <x v="9"/>
    <x v="19"/>
    <s v="SE3_large"/>
    <x v="1"/>
    <n v="51.241600662800401"/>
    <n v="14.233777961889"/>
  </r>
  <r>
    <x v="0"/>
    <x v="3"/>
    <x v="9"/>
    <x v="19"/>
    <s v="SE3_large"/>
    <x v="2"/>
    <n v="57.96"/>
    <n v="16.100000000000001"/>
  </r>
  <r>
    <x v="0"/>
    <x v="3"/>
    <x v="9"/>
    <x v="19"/>
    <s v="SE3_large"/>
    <x v="0"/>
    <n v="42.692399999999999"/>
    <n v="11.859"/>
  </r>
  <r>
    <x v="0"/>
    <x v="3"/>
    <x v="9"/>
    <x v="19"/>
    <s v="SE3_large"/>
    <x v="3"/>
    <n v="57.7974681027342"/>
    <n v="16.054852250759499"/>
  </r>
  <r>
    <x v="0"/>
    <x v="3"/>
    <x v="9"/>
    <x v="19"/>
    <s v="SE3_large"/>
    <x v="4"/>
    <n v="8.1139884009941898"/>
    <n v="2.2538856669428302"/>
  </r>
  <r>
    <x v="0"/>
    <x v="3"/>
    <x v="9"/>
    <x v="19"/>
    <s v="SE3_large"/>
    <x v="5"/>
    <n v="8.1139884009941898"/>
    <n v="2.2538856669428302"/>
  </r>
  <r>
    <x v="0"/>
    <x v="3"/>
    <x v="9"/>
    <x v="19"/>
    <s v="SE3_large"/>
    <x v="6"/>
    <n v="30.770439105219602"/>
    <n v="8.5473441958943202"/>
  </r>
  <r>
    <x v="0"/>
    <x v="3"/>
    <x v="9"/>
    <x v="19"/>
    <s v="SE3_large"/>
    <x v="7"/>
    <n v="71.350180613090302"/>
    <n v="19.819494614747299"/>
  </r>
  <r>
    <x v="0"/>
    <x v="3"/>
    <x v="9"/>
    <x v="19"/>
    <s v="SE3_large"/>
    <x v="8"/>
    <n v="71.350180613090302"/>
    <n v="19.819494614747299"/>
  </r>
  <r>
    <x v="0"/>
    <x v="3"/>
    <x v="9"/>
    <x v="19"/>
    <s v="SE3_large"/>
    <x v="9"/>
    <n v="44.803327257663497"/>
    <n v="12.4453686826843"/>
  </r>
  <r>
    <x v="0"/>
    <x v="3"/>
    <x v="9"/>
    <x v="19"/>
    <s v="SE3_large"/>
    <x v="10"/>
    <n v="54.681226180612903"/>
    <n v="15.1892294946147"/>
  </r>
  <r>
    <x v="0"/>
    <x v="3"/>
    <x v="9"/>
    <x v="19"/>
    <s v="SE3_large"/>
    <x v="11"/>
    <n v="3.8806031483015802"/>
    <n v="1.07794531897266"/>
  </r>
  <r>
    <x v="0"/>
    <x v="3"/>
    <x v="9"/>
    <x v="19"/>
    <s v="SE3_large"/>
    <x v="12"/>
    <n v="9.7995028997514597E-2"/>
    <n v="2.72208413881985E-2"/>
  </r>
  <r>
    <x v="0"/>
    <x v="3"/>
    <x v="9"/>
    <x v="19"/>
    <s v="SE3_large"/>
    <x v="13"/>
    <n v="21.5197083678542"/>
    <n v="5.9776967688483804"/>
  </r>
  <r>
    <x v="0"/>
    <x v="3"/>
    <x v="9"/>
    <x v="19"/>
    <s v="SE3_large"/>
    <x v="14"/>
    <n v="21.5197083678542"/>
    <n v="5.9776967688483804"/>
  </r>
  <r>
    <x v="0"/>
    <x v="3"/>
    <x v="9"/>
    <x v="19"/>
    <s v="SE3_large"/>
    <x v="15"/>
    <n v="1.65807589063794"/>
    <n v="0.46057663628831802"/>
  </r>
  <r>
    <x v="0"/>
    <x v="3"/>
    <x v="9"/>
    <x v="19"/>
    <s v="SE3_large"/>
    <x v="16"/>
    <n v="8.3492014028755008"/>
    <n v="2.31922261190986"/>
  </r>
  <r>
    <x v="0"/>
    <x v="3"/>
    <x v="9"/>
    <x v="19"/>
    <s v="SE3_large"/>
    <x v="17"/>
    <n v="9.5251168185584092"/>
    <n v="2.6458657829328902"/>
  </r>
  <r>
    <x v="0"/>
    <x v="3"/>
    <x v="9"/>
    <x v="19"/>
    <s v="SE3_large"/>
    <x v="18"/>
    <n v="21.5197083678542"/>
    <n v="5.9776967688483804"/>
  </r>
  <r>
    <x v="0"/>
    <x v="3"/>
    <x v="9"/>
    <x v="19"/>
    <s v="SE3_large"/>
    <x v="19"/>
    <n v="8.1139884009941898"/>
    <n v="2.2538856669428302"/>
  </r>
  <r>
    <x v="0"/>
    <x v="3"/>
    <x v="9"/>
    <x v="19"/>
    <s v="SE3_large"/>
    <x v="20"/>
    <n v="19.336735244541"/>
    <n v="5.37131534570584"/>
  </r>
  <r>
    <x v="0"/>
    <x v="3"/>
    <x v="9"/>
    <x v="19"/>
    <s v="SE3_large"/>
    <x v="21"/>
    <n v="53.225806451612797"/>
    <n v="14.784946236559099"/>
  </r>
  <r>
    <x v="0"/>
    <x v="3"/>
    <x v="9"/>
    <x v="19"/>
    <s v="SE3_large"/>
    <x v="22"/>
    <n v="130.68"/>
    <n v="36.299999999999997"/>
  </r>
  <r>
    <x v="0"/>
    <x v="3"/>
    <x v="9"/>
    <x v="19"/>
    <s v="SE3_large"/>
    <x v="23"/>
    <n v="0.35278210439105201"/>
    <n v="9.7995028997514499E-2"/>
  </r>
  <r>
    <x v="0"/>
    <x v="3"/>
    <x v="9"/>
    <x v="19"/>
    <s v="SE3_large"/>
    <x v="24"/>
    <n v="20.0161025734538"/>
    <n v="5.5600284926260501"/>
  </r>
  <r>
    <x v="0"/>
    <x v="3"/>
    <x v="9"/>
    <x v="19"/>
    <s v="SE3_large"/>
    <x v="25"/>
    <n v="22.356874337357301"/>
    <n v="6.2102428714881297"/>
  </r>
  <r>
    <x v="0"/>
    <x v="3"/>
    <x v="9"/>
    <x v="19"/>
    <s v="SE3_large"/>
    <x v="26"/>
    <n v="29.6651032387655"/>
    <n v="8.2403064552126306"/>
  </r>
  <r>
    <x v="0"/>
    <x v="3"/>
    <x v="9"/>
    <x v="19"/>
    <s v="SE3_large"/>
    <x v="27"/>
    <n v="21.049332228666099"/>
    <n v="5.8470367301850299"/>
  </r>
  <r>
    <x v="0"/>
    <x v="3"/>
    <x v="9"/>
    <x v="19"/>
    <s v="SE3_medium"/>
    <x v="1"/>
    <n v="51.241600662800401"/>
    <n v="14.233777961889"/>
  </r>
  <r>
    <x v="0"/>
    <x v="3"/>
    <x v="9"/>
    <x v="19"/>
    <s v="SE3_medium"/>
    <x v="2"/>
    <n v="57.96"/>
    <n v="16.100000000000001"/>
  </r>
  <r>
    <x v="0"/>
    <x v="3"/>
    <x v="9"/>
    <x v="19"/>
    <s v="SE3_medium"/>
    <x v="0"/>
    <n v="42.692399999999999"/>
    <n v="11.859"/>
  </r>
  <r>
    <x v="0"/>
    <x v="3"/>
    <x v="9"/>
    <x v="19"/>
    <s v="SE3_medium"/>
    <x v="3"/>
    <n v="57.7974681027342"/>
    <n v="16.054852250759499"/>
  </r>
  <r>
    <x v="0"/>
    <x v="3"/>
    <x v="9"/>
    <x v="19"/>
    <s v="SE3_medium"/>
    <x v="4"/>
    <n v="8.1139884009941898"/>
    <n v="2.2538856669428302"/>
  </r>
  <r>
    <x v="0"/>
    <x v="3"/>
    <x v="9"/>
    <x v="19"/>
    <s v="SE3_medium"/>
    <x v="5"/>
    <n v="8.1139884009941898"/>
    <n v="2.2538856669428302"/>
  </r>
  <r>
    <x v="0"/>
    <x v="3"/>
    <x v="9"/>
    <x v="19"/>
    <s v="SE3_medium"/>
    <x v="6"/>
    <n v="30.770439105219602"/>
    <n v="8.5473441958943202"/>
  </r>
  <r>
    <x v="0"/>
    <x v="3"/>
    <x v="9"/>
    <x v="19"/>
    <s v="SE3_medium"/>
    <x v="7"/>
    <n v="71.350180613090302"/>
    <n v="19.819494614747299"/>
  </r>
  <r>
    <x v="0"/>
    <x v="3"/>
    <x v="9"/>
    <x v="19"/>
    <s v="SE3_medium"/>
    <x v="8"/>
    <n v="71.350180613090302"/>
    <n v="19.819494614747299"/>
  </r>
  <r>
    <x v="0"/>
    <x v="3"/>
    <x v="9"/>
    <x v="19"/>
    <s v="SE3_medium"/>
    <x v="9"/>
    <n v="44.803327257663497"/>
    <n v="12.4453686826843"/>
  </r>
  <r>
    <x v="0"/>
    <x v="3"/>
    <x v="9"/>
    <x v="19"/>
    <s v="SE3_medium"/>
    <x v="10"/>
    <n v="54.681226180612903"/>
    <n v="15.1892294946147"/>
  </r>
  <r>
    <x v="0"/>
    <x v="3"/>
    <x v="9"/>
    <x v="19"/>
    <s v="SE3_medium"/>
    <x v="11"/>
    <n v="3.8806031483015802"/>
    <n v="1.07794531897266"/>
  </r>
  <r>
    <x v="0"/>
    <x v="3"/>
    <x v="9"/>
    <x v="19"/>
    <s v="SE3_medium"/>
    <x v="12"/>
    <n v="9.7995028997514597E-2"/>
    <n v="2.72208413881985E-2"/>
  </r>
  <r>
    <x v="0"/>
    <x v="3"/>
    <x v="9"/>
    <x v="19"/>
    <s v="SE3_medium"/>
    <x v="13"/>
    <n v="21.5197083678542"/>
    <n v="5.9776967688483804"/>
  </r>
  <r>
    <x v="0"/>
    <x v="3"/>
    <x v="9"/>
    <x v="19"/>
    <s v="SE3_medium"/>
    <x v="14"/>
    <n v="21.5197083678542"/>
    <n v="5.9776967688483804"/>
  </r>
  <r>
    <x v="0"/>
    <x v="3"/>
    <x v="9"/>
    <x v="19"/>
    <s v="SE3_medium"/>
    <x v="15"/>
    <n v="1.65807589063794"/>
    <n v="0.46057663628831802"/>
  </r>
  <r>
    <x v="0"/>
    <x v="3"/>
    <x v="9"/>
    <x v="19"/>
    <s v="SE3_medium"/>
    <x v="16"/>
    <n v="8.3492014028755008"/>
    <n v="2.31922261190986"/>
  </r>
  <r>
    <x v="0"/>
    <x v="3"/>
    <x v="9"/>
    <x v="19"/>
    <s v="SE3_medium"/>
    <x v="17"/>
    <n v="9.5251168185584092"/>
    <n v="2.6458657829328902"/>
  </r>
  <r>
    <x v="0"/>
    <x v="3"/>
    <x v="9"/>
    <x v="19"/>
    <s v="SE3_medium"/>
    <x v="18"/>
    <n v="21.5197083678542"/>
    <n v="5.9776967688483804"/>
  </r>
  <r>
    <x v="0"/>
    <x v="3"/>
    <x v="9"/>
    <x v="19"/>
    <s v="SE3_medium"/>
    <x v="19"/>
    <n v="8.1139884009941898"/>
    <n v="2.2538856669428302"/>
  </r>
  <r>
    <x v="0"/>
    <x v="3"/>
    <x v="9"/>
    <x v="19"/>
    <s v="SE3_medium"/>
    <x v="20"/>
    <n v="19.336735244541"/>
    <n v="5.37131534570584"/>
  </r>
  <r>
    <x v="0"/>
    <x v="3"/>
    <x v="9"/>
    <x v="19"/>
    <s v="SE3_medium"/>
    <x v="21"/>
    <n v="53.225806451612797"/>
    <n v="14.784946236559099"/>
  </r>
  <r>
    <x v="0"/>
    <x v="3"/>
    <x v="9"/>
    <x v="19"/>
    <s v="SE3_medium"/>
    <x v="22"/>
    <n v="130.68"/>
    <n v="36.299999999999997"/>
  </r>
  <r>
    <x v="0"/>
    <x v="3"/>
    <x v="9"/>
    <x v="19"/>
    <s v="SE3_medium"/>
    <x v="23"/>
    <n v="0.35278210439105201"/>
    <n v="9.7995028997514499E-2"/>
  </r>
  <r>
    <x v="0"/>
    <x v="3"/>
    <x v="9"/>
    <x v="19"/>
    <s v="SE3_medium"/>
    <x v="24"/>
    <n v="20.0161025734538"/>
    <n v="5.5600284926260501"/>
  </r>
  <r>
    <x v="0"/>
    <x v="3"/>
    <x v="9"/>
    <x v="19"/>
    <s v="SE3_medium"/>
    <x v="25"/>
    <n v="22.356874337357301"/>
    <n v="6.2102428714881297"/>
  </r>
  <r>
    <x v="0"/>
    <x v="3"/>
    <x v="9"/>
    <x v="19"/>
    <s v="SE3_medium"/>
    <x v="26"/>
    <n v="29.6651032387655"/>
    <n v="8.2403064552126306"/>
  </r>
  <r>
    <x v="0"/>
    <x v="3"/>
    <x v="9"/>
    <x v="19"/>
    <s v="SE3_medium"/>
    <x v="27"/>
    <n v="21.049332228666099"/>
    <n v="5.8470367301850299"/>
  </r>
  <r>
    <x v="0"/>
    <x v="3"/>
    <x v="9"/>
    <x v="19"/>
    <s v="SE3_small"/>
    <x v="1"/>
    <n v="51.241600662800401"/>
    <n v="14.233777961889"/>
  </r>
  <r>
    <x v="0"/>
    <x v="3"/>
    <x v="9"/>
    <x v="19"/>
    <s v="SE3_small"/>
    <x v="2"/>
    <n v="57.96"/>
    <n v="16.100000000000001"/>
  </r>
  <r>
    <x v="0"/>
    <x v="3"/>
    <x v="9"/>
    <x v="19"/>
    <s v="SE3_small"/>
    <x v="0"/>
    <n v="42.692399999999999"/>
    <n v="11.859"/>
  </r>
  <r>
    <x v="0"/>
    <x v="3"/>
    <x v="9"/>
    <x v="19"/>
    <s v="SE3_small"/>
    <x v="3"/>
    <n v="57.7974681027342"/>
    <n v="16.054852250759499"/>
  </r>
  <r>
    <x v="0"/>
    <x v="3"/>
    <x v="9"/>
    <x v="19"/>
    <s v="SE3_small"/>
    <x v="4"/>
    <n v="8.1139884009941898"/>
    <n v="2.2538856669428302"/>
  </r>
  <r>
    <x v="0"/>
    <x v="3"/>
    <x v="9"/>
    <x v="19"/>
    <s v="SE3_small"/>
    <x v="5"/>
    <n v="8.1139884009941898"/>
    <n v="2.2538856669428302"/>
  </r>
  <r>
    <x v="0"/>
    <x v="3"/>
    <x v="9"/>
    <x v="19"/>
    <s v="SE3_small"/>
    <x v="6"/>
    <n v="30.770439105219602"/>
    <n v="8.5473441958943202"/>
  </r>
  <r>
    <x v="0"/>
    <x v="3"/>
    <x v="9"/>
    <x v="19"/>
    <s v="SE3_small"/>
    <x v="7"/>
    <n v="71.350180613090302"/>
    <n v="19.819494614747299"/>
  </r>
  <r>
    <x v="0"/>
    <x v="3"/>
    <x v="9"/>
    <x v="19"/>
    <s v="SE3_small"/>
    <x v="8"/>
    <n v="71.350180613090302"/>
    <n v="19.819494614747299"/>
  </r>
  <r>
    <x v="0"/>
    <x v="3"/>
    <x v="9"/>
    <x v="19"/>
    <s v="SE3_small"/>
    <x v="9"/>
    <n v="44.803327257663497"/>
    <n v="12.4453686826843"/>
  </r>
  <r>
    <x v="0"/>
    <x v="3"/>
    <x v="9"/>
    <x v="19"/>
    <s v="SE3_small"/>
    <x v="10"/>
    <n v="54.681226180612903"/>
    <n v="15.1892294946147"/>
  </r>
  <r>
    <x v="0"/>
    <x v="3"/>
    <x v="9"/>
    <x v="19"/>
    <s v="SE3_small"/>
    <x v="11"/>
    <n v="3.8806031483015802"/>
    <n v="1.07794531897266"/>
  </r>
  <r>
    <x v="0"/>
    <x v="3"/>
    <x v="9"/>
    <x v="19"/>
    <s v="SE3_small"/>
    <x v="12"/>
    <n v="9.7995028997514597E-2"/>
    <n v="2.72208413881985E-2"/>
  </r>
  <r>
    <x v="0"/>
    <x v="3"/>
    <x v="9"/>
    <x v="19"/>
    <s v="SE3_small"/>
    <x v="13"/>
    <n v="21.5197083678542"/>
    <n v="5.9776967688483804"/>
  </r>
  <r>
    <x v="0"/>
    <x v="3"/>
    <x v="9"/>
    <x v="19"/>
    <s v="SE3_small"/>
    <x v="14"/>
    <n v="21.5197083678542"/>
    <n v="5.9776967688483804"/>
  </r>
  <r>
    <x v="0"/>
    <x v="3"/>
    <x v="9"/>
    <x v="19"/>
    <s v="SE3_small"/>
    <x v="15"/>
    <n v="1.65807589063794"/>
    <n v="0.46057663628831802"/>
  </r>
  <r>
    <x v="0"/>
    <x v="3"/>
    <x v="9"/>
    <x v="19"/>
    <s v="SE3_small"/>
    <x v="16"/>
    <n v="8.3492014028755008"/>
    <n v="2.31922261190986"/>
  </r>
  <r>
    <x v="0"/>
    <x v="3"/>
    <x v="9"/>
    <x v="19"/>
    <s v="SE3_small"/>
    <x v="17"/>
    <n v="9.5251168185584092"/>
    <n v="2.6458657829328902"/>
  </r>
  <r>
    <x v="0"/>
    <x v="3"/>
    <x v="9"/>
    <x v="19"/>
    <s v="SE3_small"/>
    <x v="18"/>
    <n v="21.5197083678542"/>
    <n v="5.9776967688483804"/>
  </r>
  <r>
    <x v="0"/>
    <x v="3"/>
    <x v="9"/>
    <x v="19"/>
    <s v="SE3_small"/>
    <x v="19"/>
    <n v="8.1139884009941898"/>
    <n v="2.2538856669428302"/>
  </r>
  <r>
    <x v="0"/>
    <x v="3"/>
    <x v="9"/>
    <x v="19"/>
    <s v="SE3_small"/>
    <x v="20"/>
    <n v="19.336735244541"/>
    <n v="5.37131534570584"/>
  </r>
  <r>
    <x v="0"/>
    <x v="3"/>
    <x v="9"/>
    <x v="19"/>
    <s v="SE3_small"/>
    <x v="21"/>
    <n v="53.225806451612797"/>
    <n v="14.784946236559099"/>
  </r>
  <r>
    <x v="0"/>
    <x v="3"/>
    <x v="9"/>
    <x v="19"/>
    <s v="SE3_small"/>
    <x v="22"/>
    <n v="130.68"/>
    <n v="36.299999999999997"/>
  </r>
  <r>
    <x v="0"/>
    <x v="3"/>
    <x v="9"/>
    <x v="19"/>
    <s v="SE3_small"/>
    <x v="23"/>
    <n v="0.35278210439105201"/>
    <n v="9.7995028997514499E-2"/>
  </r>
  <r>
    <x v="0"/>
    <x v="3"/>
    <x v="9"/>
    <x v="19"/>
    <s v="SE3_small"/>
    <x v="24"/>
    <n v="20.0161025734538"/>
    <n v="5.5600284926260501"/>
  </r>
  <r>
    <x v="0"/>
    <x v="3"/>
    <x v="9"/>
    <x v="19"/>
    <s v="SE3_small"/>
    <x v="25"/>
    <n v="22.356874337357301"/>
    <n v="6.2102428714881297"/>
  </r>
  <r>
    <x v="0"/>
    <x v="3"/>
    <x v="9"/>
    <x v="19"/>
    <s v="SE3_small"/>
    <x v="26"/>
    <n v="29.6651032387655"/>
    <n v="8.2403064552126306"/>
  </r>
  <r>
    <x v="0"/>
    <x v="3"/>
    <x v="9"/>
    <x v="19"/>
    <s v="SE3_small"/>
    <x v="27"/>
    <n v="21.049332228666099"/>
    <n v="5.8470367301850299"/>
  </r>
  <r>
    <x v="0"/>
    <x v="3"/>
    <x v="9"/>
    <x v="20"/>
    <s v="SE4A"/>
    <x v="1"/>
    <n v="51.241600662800401"/>
    <n v="14.233777961889"/>
  </r>
  <r>
    <x v="0"/>
    <x v="3"/>
    <x v="9"/>
    <x v="20"/>
    <s v="SE4A"/>
    <x v="2"/>
    <n v="57.96"/>
    <n v="16.100000000000001"/>
  </r>
  <r>
    <x v="0"/>
    <x v="3"/>
    <x v="9"/>
    <x v="20"/>
    <s v="SE4A"/>
    <x v="0"/>
    <n v="42.692399999999999"/>
    <n v="11.859"/>
  </r>
  <r>
    <x v="0"/>
    <x v="3"/>
    <x v="9"/>
    <x v="20"/>
    <s v="SE4A"/>
    <x v="3"/>
    <n v="57.7974681027342"/>
    <n v="16.054852250759499"/>
  </r>
  <r>
    <x v="0"/>
    <x v="3"/>
    <x v="9"/>
    <x v="20"/>
    <s v="SE4A"/>
    <x v="4"/>
    <n v="8.1139884009941898"/>
    <n v="2.2538856669428302"/>
  </r>
  <r>
    <x v="0"/>
    <x v="3"/>
    <x v="9"/>
    <x v="20"/>
    <s v="SE4A"/>
    <x v="5"/>
    <n v="8.1139884009941898"/>
    <n v="2.2538856669428302"/>
  </r>
  <r>
    <x v="0"/>
    <x v="3"/>
    <x v="9"/>
    <x v="20"/>
    <s v="SE4A"/>
    <x v="6"/>
    <n v="30.770439105219602"/>
    <n v="8.5473441958943202"/>
  </r>
  <r>
    <x v="0"/>
    <x v="3"/>
    <x v="9"/>
    <x v="20"/>
    <s v="SE4A"/>
    <x v="7"/>
    <n v="71.350180613090302"/>
    <n v="19.819494614747299"/>
  </r>
  <r>
    <x v="0"/>
    <x v="3"/>
    <x v="9"/>
    <x v="20"/>
    <s v="SE4A"/>
    <x v="8"/>
    <n v="71.350180613090302"/>
    <n v="19.819494614747299"/>
  </r>
  <r>
    <x v="0"/>
    <x v="3"/>
    <x v="9"/>
    <x v="20"/>
    <s v="SE4A"/>
    <x v="9"/>
    <n v="44.803327257663497"/>
    <n v="12.4453686826843"/>
  </r>
  <r>
    <x v="0"/>
    <x v="3"/>
    <x v="9"/>
    <x v="20"/>
    <s v="SE4A"/>
    <x v="10"/>
    <n v="54.681226180612903"/>
    <n v="15.1892294946147"/>
  </r>
  <r>
    <x v="0"/>
    <x v="3"/>
    <x v="9"/>
    <x v="20"/>
    <s v="SE4A"/>
    <x v="11"/>
    <n v="3.8806031483015802"/>
    <n v="1.07794531897266"/>
  </r>
  <r>
    <x v="0"/>
    <x v="3"/>
    <x v="9"/>
    <x v="20"/>
    <s v="SE4A"/>
    <x v="12"/>
    <n v="9.7995028997514597E-2"/>
    <n v="2.72208413881985E-2"/>
  </r>
  <r>
    <x v="0"/>
    <x v="3"/>
    <x v="9"/>
    <x v="20"/>
    <s v="SE4A"/>
    <x v="13"/>
    <n v="21.5197083678542"/>
    <n v="5.9776967688483804"/>
  </r>
  <r>
    <x v="0"/>
    <x v="3"/>
    <x v="9"/>
    <x v="20"/>
    <s v="SE4A"/>
    <x v="14"/>
    <n v="21.5197083678542"/>
    <n v="5.9776967688483804"/>
  </r>
  <r>
    <x v="0"/>
    <x v="3"/>
    <x v="9"/>
    <x v="20"/>
    <s v="SE4A"/>
    <x v="15"/>
    <n v="1.65807589063794"/>
    <n v="0.46057663628831802"/>
  </r>
  <r>
    <x v="0"/>
    <x v="3"/>
    <x v="9"/>
    <x v="20"/>
    <s v="SE4A"/>
    <x v="16"/>
    <n v="8.3492014028755008"/>
    <n v="2.31922261190986"/>
  </r>
  <r>
    <x v="0"/>
    <x v="3"/>
    <x v="9"/>
    <x v="20"/>
    <s v="SE4A"/>
    <x v="17"/>
    <n v="9.5251168185584092"/>
    <n v="2.6458657829328902"/>
  </r>
  <r>
    <x v="0"/>
    <x v="3"/>
    <x v="9"/>
    <x v="20"/>
    <s v="SE4A"/>
    <x v="18"/>
    <n v="21.5197083678542"/>
    <n v="5.9776967688483804"/>
  </r>
  <r>
    <x v="0"/>
    <x v="3"/>
    <x v="9"/>
    <x v="20"/>
    <s v="SE4A"/>
    <x v="19"/>
    <n v="8.1139884009941898"/>
    <n v="2.2538856669428302"/>
  </r>
  <r>
    <x v="0"/>
    <x v="3"/>
    <x v="9"/>
    <x v="20"/>
    <s v="SE4A"/>
    <x v="20"/>
    <n v="19.336735244541"/>
    <n v="5.37131534570584"/>
  </r>
  <r>
    <x v="0"/>
    <x v="3"/>
    <x v="9"/>
    <x v="20"/>
    <s v="SE4A"/>
    <x v="21"/>
    <n v="53.225806451612797"/>
    <n v="14.784946236559099"/>
  </r>
  <r>
    <x v="0"/>
    <x v="3"/>
    <x v="9"/>
    <x v="20"/>
    <s v="SE4A"/>
    <x v="22"/>
    <n v="130.68"/>
    <n v="36.299999999999997"/>
  </r>
  <r>
    <x v="0"/>
    <x v="3"/>
    <x v="9"/>
    <x v="20"/>
    <s v="SE4A"/>
    <x v="23"/>
    <n v="0.35278210439105201"/>
    <n v="9.7995028997514499E-2"/>
  </r>
  <r>
    <x v="0"/>
    <x v="3"/>
    <x v="9"/>
    <x v="20"/>
    <s v="SE4A"/>
    <x v="24"/>
    <n v="20.0161025734538"/>
    <n v="5.5600284926260501"/>
  </r>
  <r>
    <x v="0"/>
    <x v="3"/>
    <x v="9"/>
    <x v="20"/>
    <s v="SE4A"/>
    <x v="25"/>
    <n v="22.356874337357301"/>
    <n v="6.2102428714881297"/>
  </r>
  <r>
    <x v="0"/>
    <x v="3"/>
    <x v="9"/>
    <x v="20"/>
    <s v="SE4A"/>
    <x v="26"/>
    <n v="29.6651032387655"/>
    <n v="8.2403064552126306"/>
  </r>
  <r>
    <x v="0"/>
    <x v="3"/>
    <x v="9"/>
    <x v="20"/>
    <s v="SE4A"/>
    <x v="27"/>
    <n v="21.049332228666099"/>
    <n v="5.8470367301850299"/>
  </r>
  <r>
    <x v="0"/>
    <x v="3"/>
    <x v="9"/>
    <x v="20"/>
    <s v="SE4_IND"/>
    <x v="1"/>
    <n v="51.241600662800401"/>
    <n v="14.233777961889"/>
  </r>
  <r>
    <x v="0"/>
    <x v="3"/>
    <x v="9"/>
    <x v="20"/>
    <s v="SE4_IND"/>
    <x v="2"/>
    <n v="57.96"/>
    <n v="16.100000000000001"/>
  </r>
  <r>
    <x v="0"/>
    <x v="3"/>
    <x v="9"/>
    <x v="20"/>
    <s v="SE4_IND"/>
    <x v="0"/>
    <n v="42.692399999999999"/>
    <n v="11.859"/>
  </r>
  <r>
    <x v="0"/>
    <x v="3"/>
    <x v="9"/>
    <x v="20"/>
    <s v="SE4_IND"/>
    <x v="3"/>
    <n v="57.7974681027342"/>
    <n v="16.054852250759499"/>
  </r>
  <r>
    <x v="0"/>
    <x v="3"/>
    <x v="9"/>
    <x v="20"/>
    <s v="SE4_IND"/>
    <x v="4"/>
    <n v="8.1139884009941898"/>
    <n v="2.2538856669428302"/>
  </r>
  <r>
    <x v="0"/>
    <x v="3"/>
    <x v="9"/>
    <x v="20"/>
    <s v="SE4_IND"/>
    <x v="5"/>
    <n v="8.1139884009941898"/>
    <n v="2.2538856669428302"/>
  </r>
  <r>
    <x v="0"/>
    <x v="3"/>
    <x v="9"/>
    <x v="20"/>
    <s v="SE4_IND"/>
    <x v="6"/>
    <n v="30.770439105219602"/>
    <n v="8.5473441958943202"/>
  </r>
  <r>
    <x v="0"/>
    <x v="3"/>
    <x v="9"/>
    <x v="20"/>
    <s v="SE4_IND"/>
    <x v="7"/>
    <n v="71.350180613090302"/>
    <n v="19.819494614747299"/>
  </r>
  <r>
    <x v="0"/>
    <x v="3"/>
    <x v="9"/>
    <x v="20"/>
    <s v="SE4_IND"/>
    <x v="8"/>
    <n v="71.350180613090302"/>
    <n v="19.819494614747299"/>
  </r>
  <r>
    <x v="0"/>
    <x v="3"/>
    <x v="9"/>
    <x v="20"/>
    <s v="SE4_IND"/>
    <x v="9"/>
    <n v="44.803327257663497"/>
    <n v="12.4453686826843"/>
  </r>
  <r>
    <x v="0"/>
    <x v="3"/>
    <x v="9"/>
    <x v="20"/>
    <s v="SE4_IND"/>
    <x v="10"/>
    <n v="54.681226180612903"/>
    <n v="15.1892294946147"/>
  </r>
  <r>
    <x v="0"/>
    <x v="3"/>
    <x v="9"/>
    <x v="20"/>
    <s v="SE4_IND"/>
    <x v="11"/>
    <n v="3.8806031483015802"/>
    <n v="1.07794531897266"/>
  </r>
  <r>
    <x v="0"/>
    <x v="3"/>
    <x v="9"/>
    <x v="20"/>
    <s v="SE4_IND"/>
    <x v="12"/>
    <n v="9.7995028997514597E-2"/>
    <n v="2.72208413881985E-2"/>
  </r>
  <r>
    <x v="0"/>
    <x v="3"/>
    <x v="9"/>
    <x v="20"/>
    <s v="SE4_IND"/>
    <x v="13"/>
    <n v="21.5197083678542"/>
    <n v="5.9776967688483804"/>
  </r>
  <r>
    <x v="0"/>
    <x v="3"/>
    <x v="9"/>
    <x v="20"/>
    <s v="SE4_IND"/>
    <x v="14"/>
    <n v="21.5197083678542"/>
    <n v="5.9776967688483804"/>
  </r>
  <r>
    <x v="0"/>
    <x v="3"/>
    <x v="9"/>
    <x v="20"/>
    <s v="SE4_IND"/>
    <x v="15"/>
    <n v="1.65807589063794"/>
    <n v="0.46057663628831802"/>
  </r>
  <r>
    <x v="0"/>
    <x v="3"/>
    <x v="9"/>
    <x v="20"/>
    <s v="SE4_IND"/>
    <x v="16"/>
    <n v="8.3492014028755008"/>
    <n v="2.31922261190986"/>
  </r>
  <r>
    <x v="0"/>
    <x v="3"/>
    <x v="9"/>
    <x v="20"/>
    <s v="SE4_IND"/>
    <x v="17"/>
    <n v="9.5251168185584092"/>
    <n v="2.6458657829328902"/>
  </r>
  <r>
    <x v="0"/>
    <x v="3"/>
    <x v="9"/>
    <x v="20"/>
    <s v="SE4_IND"/>
    <x v="18"/>
    <n v="21.5197083678542"/>
    <n v="5.9776967688483804"/>
  </r>
  <r>
    <x v="0"/>
    <x v="3"/>
    <x v="9"/>
    <x v="20"/>
    <s v="SE4_IND"/>
    <x v="19"/>
    <n v="8.1139884009941898"/>
    <n v="2.2538856669428302"/>
  </r>
  <r>
    <x v="0"/>
    <x v="3"/>
    <x v="9"/>
    <x v="20"/>
    <s v="SE4_IND"/>
    <x v="20"/>
    <n v="19.336735244541"/>
    <n v="5.37131534570584"/>
  </r>
  <r>
    <x v="0"/>
    <x v="3"/>
    <x v="9"/>
    <x v="20"/>
    <s v="SE4_IND"/>
    <x v="21"/>
    <n v="53.225806451612797"/>
    <n v="14.784946236559099"/>
  </r>
  <r>
    <x v="0"/>
    <x v="3"/>
    <x v="9"/>
    <x v="20"/>
    <s v="SE4_IND"/>
    <x v="22"/>
    <n v="130.68"/>
    <n v="36.299999999999997"/>
  </r>
  <r>
    <x v="0"/>
    <x v="3"/>
    <x v="9"/>
    <x v="20"/>
    <s v="SE4_IND"/>
    <x v="23"/>
    <n v="0.35278210439105201"/>
    <n v="9.7995028997514499E-2"/>
  </r>
  <r>
    <x v="0"/>
    <x v="3"/>
    <x v="9"/>
    <x v="20"/>
    <s v="SE4_IND"/>
    <x v="24"/>
    <n v="20.0161025734538"/>
    <n v="5.5600284926260501"/>
  </r>
  <r>
    <x v="0"/>
    <x v="3"/>
    <x v="9"/>
    <x v="20"/>
    <s v="SE4_IND"/>
    <x v="25"/>
    <n v="22.356874337357301"/>
    <n v="6.2102428714881297"/>
  </r>
  <r>
    <x v="0"/>
    <x v="3"/>
    <x v="9"/>
    <x v="20"/>
    <s v="SE4_IND"/>
    <x v="26"/>
    <n v="29.6651032387655"/>
    <n v="8.2403064552126306"/>
  </r>
  <r>
    <x v="0"/>
    <x v="3"/>
    <x v="9"/>
    <x v="20"/>
    <s v="SE4_IND"/>
    <x v="27"/>
    <n v="21.049332228666099"/>
    <n v="5.8470367301850299"/>
  </r>
  <r>
    <x v="0"/>
    <x v="3"/>
    <x v="9"/>
    <x v="20"/>
    <s v="SE4_Offshore"/>
    <x v="1"/>
    <n v="51.241600662800401"/>
    <n v="14.233777961889"/>
  </r>
  <r>
    <x v="0"/>
    <x v="3"/>
    <x v="9"/>
    <x v="20"/>
    <s v="SE4_Offshore"/>
    <x v="2"/>
    <n v="57.96"/>
    <n v="16.100000000000001"/>
  </r>
  <r>
    <x v="0"/>
    <x v="3"/>
    <x v="9"/>
    <x v="20"/>
    <s v="SE4_Offshore"/>
    <x v="0"/>
    <n v="42.692399999999999"/>
    <n v="11.859"/>
  </r>
  <r>
    <x v="0"/>
    <x v="3"/>
    <x v="9"/>
    <x v="20"/>
    <s v="SE4_Offshore"/>
    <x v="3"/>
    <n v="57.7974681027342"/>
    <n v="16.054852250759499"/>
  </r>
  <r>
    <x v="0"/>
    <x v="3"/>
    <x v="9"/>
    <x v="20"/>
    <s v="SE4_Offshore"/>
    <x v="4"/>
    <n v="8.1139884009941898"/>
    <n v="2.2538856669428302"/>
  </r>
  <r>
    <x v="0"/>
    <x v="3"/>
    <x v="9"/>
    <x v="20"/>
    <s v="SE4_Offshore"/>
    <x v="5"/>
    <n v="8.1139884009941898"/>
    <n v="2.2538856669428302"/>
  </r>
  <r>
    <x v="0"/>
    <x v="3"/>
    <x v="9"/>
    <x v="20"/>
    <s v="SE4_Offshore"/>
    <x v="6"/>
    <n v="30.770439105219602"/>
    <n v="8.5473441958943202"/>
  </r>
  <r>
    <x v="0"/>
    <x v="3"/>
    <x v="9"/>
    <x v="20"/>
    <s v="SE4_Offshore"/>
    <x v="7"/>
    <n v="71.350180613090302"/>
    <n v="19.819494614747299"/>
  </r>
  <r>
    <x v="0"/>
    <x v="3"/>
    <x v="9"/>
    <x v="20"/>
    <s v="SE4_Offshore"/>
    <x v="8"/>
    <n v="71.350180613090302"/>
    <n v="19.819494614747299"/>
  </r>
  <r>
    <x v="0"/>
    <x v="3"/>
    <x v="9"/>
    <x v="20"/>
    <s v="SE4_Offshore"/>
    <x v="9"/>
    <n v="44.803327257663497"/>
    <n v="12.4453686826843"/>
  </r>
  <r>
    <x v="0"/>
    <x v="3"/>
    <x v="9"/>
    <x v="20"/>
    <s v="SE4_Offshore"/>
    <x v="10"/>
    <n v="54.681226180612903"/>
    <n v="15.1892294946147"/>
  </r>
  <r>
    <x v="0"/>
    <x v="3"/>
    <x v="9"/>
    <x v="20"/>
    <s v="SE4_Offshore"/>
    <x v="11"/>
    <n v="3.8806031483015802"/>
    <n v="1.07794531897266"/>
  </r>
  <r>
    <x v="0"/>
    <x v="3"/>
    <x v="9"/>
    <x v="20"/>
    <s v="SE4_Offshore"/>
    <x v="12"/>
    <n v="9.7995028997514597E-2"/>
    <n v="2.72208413881985E-2"/>
  </r>
  <r>
    <x v="0"/>
    <x v="3"/>
    <x v="9"/>
    <x v="20"/>
    <s v="SE4_Offshore"/>
    <x v="13"/>
    <n v="21.5197083678542"/>
    <n v="5.9776967688483804"/>
  </r>
  <r>
    <x v="0"/>
    <x v="3"/>
    <x v="9"/>
    <x v="20"/>
    <s v="SE4_Offshore"/>
    <x v="14"/>
    <n v="21.5197083678542"/>
    <n v="5.9776967688483804"/>
  </r>
  <r>
    <x v="0"/>
    <x v="3"/>
    <x v="9"/>
    <x v="20"/>
    <s v="SE4_Offshore"/>
    <x v="15"/>
    <n v="1.65807589063794"/>
    <n v="0.46057663628831802"/>
  </r>
  <r>
    <x v="0"/>
    <x v="3"/>
    <x v="9"/>
    <x v="20"/>
    <s v="SE4_Offshore"/>
    <x v="16"/>
    <n v="8.3492014028755008"/>
    <n v="2.31922261190986"/>
  </r>
  <r>
    <x v="0"/>
    <x v="3"/>
    <x v="9"/>
    <x v="20"/>
    <s v="SE4_Offshore"/>
    <x v="17"/>
    <n v="9.5251168185584092"/>
    <n v="2.6458657829328902"/>
  </r>
  <r>
    <x v="0"/>
    <x v="3"/>
    <x v="9"/>
    <x v="20"/>
    <s v="SE4_Offshore"/>
    <x v="18"/>
    <n v="21.5197083678542"/>
    <n v="5.9776967688483804"/>
  </r>
  <r>
    <x v="0"/>
    <x v="3"/>
    <x v="9"/>
    <x v="20"/>
    <s v="SE4_Offshore"/>
    <x v="19"/>
    <n v="8.1139884009941898"/>
    <n v="2.2538856669428302"/>
  </r>
  <r>
    <x v="0"/>
    <x v="3"/>
    <x v="9"/>
    <x v="20"/>
    <s v="SE4_Offshore"/>
    <x v="20"/>
    <n v="19.336735244541"/>
    <n v="5.37131534570584"/>
  </r>
  <r>
    <x v="0"/>
    <x v="3"/>
    <x v="9"/>
    <x v="20"/>
    <s v="SE4_Offshore"/>
    <x v="21"/>
    <n v="53.225806451612797"/>
    <n v="14.784946236559099"/>
  </r>
  <r>
    <x v="0"/>
    <x v="3"/>
    <x v="9"/>
    <x v="20"/>
    <s v="SE4_Offshore"/>
    <x v="22"/>
    <n v="130.68"/>
    <n v="36.299999999999997"/>
  </r>
  <r>
    <x v="0"/>
    <x v="3"/>
    <x v="9"/>
    <x v="20"/>
    <s v="SE4_Offshore"/>
    <x v="23"/>
    <n v="0.35278210439105201"/>
    <n v="9.7995028997514499E-2"/>
  </r>
  <r>
    <x v="0"/>
    <x v="3"/>
    <x v="9"/>
    <x v="20"/>
    <s v="SE4_Offshore"/>
    <x v="24"/>
    <n v="20.0161025734538"/>
    <n v="5.5600284926260501"/>
  </r>
  <r>
    <x v="0"/>
    <x v="3"/>
    <x v="9"/>
    <x v="20"/>
    <s v="SE4_Offshore"/>
    <x v="25"/>
    <n v="22.356874337357301"/>
    <n v="6.2102428714881297"/>
  </r>
  <r>
    <x v="0"/>
    <x v="3"/>
    <x v="9"/>
    <x v="20"/>
    <s v="SE4_Offshore"/>
    <x v="26"/>
    <n v="29.6651032387655"/>
    <n v="8.2403064552126306"/>
  </r>
  <r>
    <x v="0"/>
    <x v="3"/>
    <x v="9"/>
    <x v="20"/>
    <s v="SE4_Offshore"/>
    <x v="27"/>
    <n v="21.049332228666099"/>
    <n v="5.8470367301850299"/>
  </r>
  <r>
    <x v="0"/>
    <x v="3"/>
    <x v="9"/>
    <x v="20"/>
    <s v="SE4_large"/>
    <x v="1"/>
    <n v="51.241600662800401"/>
    <n v="14.233777961889"/>
  </r>
  <r>
    <x v="0"/>
    <x v="3"/>
    <x v="9"/>
    <x v="20"/>
    <s v="SE4_large"/>
    <x v="2"/>
    <n v="57.96"/>
    <n v="16.100000000000001"/>
  </r>
  <r>
    <x v="0"/>
    <x v="3"/>
    <x v="9"/>
    <x v="20"/>
    <s v="SE4_large"/>
    <x v="0"/>
    <n v="42.692399999999999"/>
    <n v="11.859"/>
  </r>
  <r>
    <x v="0"/>
    <x v="3"/>
    <x v="9"/>
    <x v="20"/>
    <s v="SE4_large"/>
    <x v="3"/>
    <n v="57.7974681027342"/>
    <n v="16.054852250759499"/>
  </r>
  <r>
    <x v="0"/>
    <x v="3"/>
    <x v="9"/>
    <x v="20"/>
    <s v="SE4_large"/>
    <x v="4"/>
    <n v="8.1139884009941898"/>
    <n v="2.2538856669428302"/>
  </r>
  <r>
    <x v="0"/>
    <x v="3"/>
    <x v="9"/>
    <x v="20"/>
    <s v="SE4_large"/>
    <x v="5"/>
    <n v="8.1139884009941898"/>
    <n v="2.2538856669428302"/>
  </r>
  <r>
    <x v="0"/>
    <x v="3"/>
    <x v="9"/>
    <x v="20"/>
    <s v="SE4_large"/>
    <x v="6"/>
    <n v="30.770439105219602"/>
    <n v="8.5473441958943202"/>
  </r>
  <r>
    <x v="0"/>
    <x v="3"/>
    <x v="9"/>
    <x v="20"/>
    <s v="SE4_large"/>
    <x v="7"/>
    <n v="71.350180613090302"/>
    <n v="19.819494614747299"/>
  </r>
  <r>
    <x v="0"/>
    <x v="3"/>
    <x v="9"/>
    <x v="20"/>
    <s v="SE4_large"/>
    <x v="8"/>
    <n v="71.350180613090302"/>
    <n v="19.819494614747299"/>
  </r>
  <r>
    <x v="0"/>
    <x v="3"/>
    <x v="9"/>
    <x v="20"/>
    <s v="SE4_large"/>
    <x v="9"/>
    <n v="44.803327257663497"/>
    <n v="12.4453686826843"/>
  </r>
  <r>
    <x v="0"/>
    <x v="3"/>
    <x v="9"/>
    <x v="20"/>
    <s v="SE4_large"/>
    <x v="10"/>
    <n v="54.681226180612903"/>
    <n v="15.1892294946147"/>
  </r>
  <r>
    <x v="0"/>
    <x v="3"/>
    <x v="9"/>
    <x v="20"/>
    <s v="SE4_large"/>
    <x v="11"/>
    <n v="3.8806031483015802"/>
    <n v="1.07794531897266"/>
  </r>
  <r>
    <x v="0"/>
    <x v="3"/>
    <x v="9"/>
    <x v="20"/>
    <s v="SE4_large"/>
    <x v="12"/>
    <n v="9.7995028997514597E-2"/>
    <n v="2.72208413881985E-2"/>
  </r>
  <r>
    <x v="0"/>
    <x v="3"/>
    <x v="9"/>
    <x v="20"/>
    <s v="SE4_large"/>
    <x v="13"/>
    <n v="21.5197083678542"/>
    <n v="5.9776967688483804"/>
  </r>
  <r>
    <x v="0"/>
    <x v="3"/>
    <x v="9"/>
    <x v="20"/>
    <s v="SE4_large"/>
    <x v="14"/>
    <n v="21.5197083678542"/>
    <n v="5.9776967688483804"/>
  </r>
  <r>
    <x v="0"/>
    <x v="3"/>
    <x v="9"/>
    <x v="20"/>
    <s v="SE4_large"/>
    <x v="15"/>
    <n v="1.65807589063794"/>
    <n v="0.46057663628831802"/>
  </r>
  <r>
    <x v="0"/>
    <x v="3"/>
    <x v="9"/>
    <x v="20"/>
    <s v="SE4_large"/>
    <x v="16"/>
    <n v="8.3492014028755008"/>
    <n v="2.31922261190986"/>
  </r>
  <r>
    <x v="0"/>
    <x v="3"/>
    <x v="9"/>
    <x v="20"/>
    <s v="SE4_large"/>
    <x v="17"/>
    <n v="9.5251168185584092"/>
    <n v="2.6458657829328902"/>
  </r>
  <r>
    <x v="0"/>
    <x v="3"/>
    <x v="9"/>
    <x v="20"/>
    <s v="SE4_large"/>
    <x v="18"/>
    <n v="21.5197083678542"/>
    <n v="5.9776967688483804"/>
  </r>
  <r>
    <x v="0"/>
    <x v="3"/>
    <x v="9"/>
    <x v="20"/>
    <s v="SE4_large"/>
    <x v="19"/>
    <n v="8.1139884009941898"/>
    <n v="2.2538856669428302"/>
  </r>
  <r>
    <x v="0"/>
    <x v="3"/>
    <x v="9"/>
    <x v="20"/>
    <s v="SE4_large"/>
    <x v="20"/>
    <n v="19.336735244541"/>
    <n v="5.37131534570584"/>
  </r>
  <r>
    <x v="0"/>
    <x v="3"/>
    <x v="9"/>
    <x v="20"/>
    <s v="SE4_large"/>
    <x v="21"/>
    <n v="53.225806451612797"/>
    <n v="14.784946236559099"/>
  </r>
  <r>
    <x v="0"/>
    <x v="3"/>
    <x v="9"/>
    <x v="20"/>
    <s v="SE4_large"/>
    <x v="22"/>
    <n v="130.68"/>
    <n v="36.299999999999997"/>
  </r>
  <r>
    <x v="0"/>
    <x v="3"/>
    <x v="9"/>
    <x v="20"/>
    <s v="SE4_large"/>
    <x v="23"/>
    <n v="0.35278210439105201"/>
    <n v="9.7995028997514499E-2"/>
  </r>
  <r>
    <x v="0"/>
    <x v="3"/>
    <x v="9"/>
    <x v="20"/>
    <s v="SE4_large"/>
    <x v="24"/>
    <n v="20.0161025734538"/>
    <n v="5.5600284926260501"/>
  </r>
  <r>
    <x v="0"/>
    <x v="3"/>
    <x v="9"/>
    <x v="20"/>
    <s v="SE4_large"/>
    <x v="25"/>
    <n v="22.356874337357301"/>
    <n v="6.2102428714881297"/>
  </r>
  <r>
    <x v="0"/>
    <x v="3"/>
    <x v="9"/>
    <x v="20"/>
    <s v="SE4_large"/>
    <x v="26"/>
    <n v="29.6651032387655"/>
    <n v="8.2403064552126306"/>
  </r>
  <r>
    <x v="0"/>
    <x v="3"/>
    <x v="9"/>
    <x v="20"/>
    <s v="SE4_large"/>
    <x v="27"/>
    <n v="21.049332228666099"/>
    <n v="5.8470367301850299"/>
  </r>
  <r>
    <x v="0"/>
    <x v="3"/>
    <x v="9"/>
    <x v="20"/>
    <s v="SE4_medium"/>
    <x v="1"/>
    <n v="51.241600662800401"/>
    <n v="14.233777961889"/>
  </r>
  <r>
    <x v="0"/>
    <x v="3"/>
    <x v="9"/>
    <x v="20"/>
    <s v="SE4_medium"/>
    <x v="2"/>
    <n v="57.96"/>
    <n v="16.100000000000001"/>
  </r>
  <r>
    <x v="0"/>
    <x v="3"/>
    <x v="9"/>
    <x v="20"/>
    <s v="SE4_medium"/>
    <x v="0"/>
    <n v="42.692399999999999"/>
    <n v="11.859"/>
  </r>
  <r>
    <x v="0"/>
    <x v="3"/>
    <x v="9"/>
    <x v="20"/>
    <s v="SE4_medium"/>
    <x v="3"/>
    <n v="57.7974681027342"/>
    <n v="16.054852250759499"/>
  </r>
  <r>
    <x v="0"/>
    <x v="3"/>
    <x v="9"/>
    <x v="20"/>
    <s v="SE4_medium"/>
    <x v="4"/>
    <n v="8.1139884009941898"/>
    <n v="2.2538856669428302"/>
  </r>
  <r>
    <x v="0"/>
    <x v="3"/>
    <x v="9"/>
    <x v="20"/>
    <s v="SE4_medium"/>
    <x v="5"/>
    <n v="8.1139884009941898"/>
    <n v="2.2538856669428302"/>
  </r>
  <r>
    <x v="0"/>
    <x v="3"/>
    <x v="9"/>
    <x v="20"/>
    <s v="SE4_medium"/>
    <x v="6"/>
    <n v="30.770439105219602"/>
    <n v="8.5473441958943202"/>
  </r>
  <r>
    <x v="0"/>
    <x v="3"/>
    <x v="9"/>
    <x v="20"/>
    <s v="SE4_medium"/>
    <x v="7"/>
    <n v="71.350180613090302"/>
    <n v="19.819494614747299"/>
  </r>
  <r>
    <x v="0"/>
    <x v="3"/>
    <x v="9"/>
    <x v="20"/>
    <s v="SE4_medium"/>
    <x v="8"/>
    <n v="71.350180613090302"/>
    <n v="19.819494614747299"/>
  </r>
  <r>
    <x v="0"/>
    <x v="3"/>
    <x v="9"/>
    <x v="20"/>
    <s v="SE4_medium"/>
    <x v="9"/>
    <n v="44.803327257663497"/>
    <n v="12.4453686826843"/>
  </r>
  <r>
    <x v="0"/>
    <x v="3"/>
    <x v="9"/>
    <x v="20"/>
    <s v="SE4_medium"/>
    <x v="10"/>
    <n v="54.681226180612903"/>
    <n v="15.1892294946147"/>
  </r>
  <r>
    <x v="0"/>
    <x v="3"/>
    <x v="9"/>
    <x v="20"/>
    <s v="SE4_medium"/>
    <x v="11"/>
    <n v="3.8806031483015802"/>
    <n v="1.07794531897266"/>
  </r>
  <r>
    <x v="0"/>
    <x v="3"/>
    <x v="9"/>
    <x v="20"/>
    <s v="SE4_medium"/>
    <x v="12"/>
    <n v="9.7995028997514597E-2"/>
    <n v="2.72208413881985E-2"/>
  </r>
  <r>
    <x v="0"/>
    <x v="3"/>
    <x v="9"/>
    <x v="20"/>
    <s v="SE4_medium"/>
    <x v="13"/>
    <n v="21.5197083678542"/>
    <n v="5.9776967688483804"/>
  </r>
  <r>
    <x v="0"/>
    <x v="3"/>
    <x v="9"/>
    <x v="20"/>
    <s v="SE4_medium"/>
    <x v="14"/>
    <n v="21.5197083678542"/>
    <n v="5.9776967688483804"/>
  </r>
  <r>
    <x v="0"/>
    <x v="3"/>
    <x v="9"/>
    <x v="20"/>
    <s v="SE4_medium"/>
    <x v="15"/>
    <n v="1.65807589063794"/>
    <n v="0.46057663628831802"/>
  </r>
  <r>
    <x v="0"/>
    <x v="3"/>
    <x v="9"/>
    <x v="20"/>
    <s v="SE4_medium"/>
    <x v="16"/>
    <n v="8.3492014028755008"/>
    <n v="2.31922261190986"/>
  </r>
  <r>
    <x v="0"/>
    <x v="3"/>
    <x v="9"/>
    <x v="20"/>
    <s v="SE4_medium"/>
    <x v="17"/>
    <n v="9.5251168185584092"/>
    <n v="2.6458657829328902"/>
  </r>
  <r>
    <x v="0"/>
    <x v="3"/>
    <x v="9"/>
    <x v="20"/>
    <s v="SE4_medium"/>
    <x v="18"/>
    <n v="21.5197083678542"/>
    <n v="5.9776967688483804"/>
  </r>
  <r>
    <x v="0"/>
    <x v="3"/>
    <x v="9"/>
    <x v="20"/>
    <s v="SE4_medium"/>
    <x v="19"/>
    <n v="8.1139884009941898"/>
    <n v="2.2538856669428302"/>
  </r>
  <r>
    <x v="0"/>
    <x v="3"/>
    <x v="9"/>
    <x v="20"/>
    <s v="SE4_medium"/>
    <x v="20"/>
    <n v="19.336735244541"/>
    <n v="5.37131534570584"/>
  </r>
  <r>
    <x v="0"/>
    <x v="3"/>
    <x v="9"/>
    <x v="20"/>
    <s v="SE4_medium"/>
    <x v="21"/>
    <n v="53.225806451612797"/>
    <n v="14.784946236559099"/>
  </r>
  <r>
    <x v="0"/>
    <x v="3"/>
    <x v="9"/>
    <x v="20"/>
    <s v="SE4_medium"/>
    <x v="22"/>
    <n v="130.68"/>
    <n v="36.299999999999997"/>
  </r>
  <r>
    <x v="0"/>
    <x v="3"/>
    <x v="9"/>
    <x v="20"/>
    <s v="SE4_medium"/>
    <x v="23"/>
    <n v="0.35278210439105201"/>
    <n v="9.7995028997514499E-2"/>
  </r>
  <r>
    <x v="0"/>
    <x v="3"/>
    <x v="9"/>
    <x v="20"/>
    <s v="SE4_medium"/>
    <x v="24"/>
    <n v="20.0161025734538"/>
    <n v="5.5600284926260501"/>
  </r>
  <r>
    <x v="0"/>
    <x v="3"/>
    <x v="9"/>
    <x v="20"/>
    <s v="SE4_medium"/>
    <x v="25"/>
    <n v="22.356874337357301"/>
    <n v="6.2102428714881297"/>
  </r>
  <r>
    <x v="0"/>
    <x v="3"/>
    <x v="9"/>
    <x v="20"/>
    <s v="SE4_medium"/>
    <x v="26"/>
    <n v="29.6651032387655"/>
    <n v="8.2403064552126306"/>
  </r>
  <r>
    <x v="0"/>
    <x v="3"/>
    <x v="9"/>
    <x v="20"/>
    <s v="SE4_medium"/>
    <x v="27"/>
    <n v="21.049332228666099"/>
    <n v="5.8470367301850299"/>
  </r>
  <r>
    <x v="0"/>
    <x v="3"/>
    <x v="9"/>
    <x v="20"/>
    <s v="SE4_small"/>
    <x v="1"/>
    <n v="51.241600662800401"/>
    <n v="14.233777961889"/>
  </r>
  <r>
    <x v="0"/>
    <x v="3"/>
    <x v="9"/>
    <x v="20"/>
    <s v="SE4_small"/>
    <x v="2"/>
    <n v="57.96"/>
    <n v="16.100000000000001"/>
  </r>
  <r>
    <x v="0"/>
    <x v="3"/>
    <x v="9"/>
    <x v="20"/>
    <s v="SE4_small"/>
    <x v="0"/>
    <n v="42.692399999999999"/>
    <n v="11.859"/>
  </r>
  <r>
    <x v="0"/>
    <x v="3"/>
    <x v="9"/>
    <x v="20"/>
    <s v="SE4_small"/>
    <x v="3"/>
    <n v="57.7974681027342"/>
    <n v="16.054852250759499"/>
  </r>
  <r>
    <x v="0"/>
    <x v="3"/>
    <x v="9"/>
    <x v="20"/>
    <s v="SE4_small"/>
    <x v="4"/>
    <n v="8.1139884009941898"/>
    <n v="2.2538856669428302"/>
  </r>
  <r>
    <x v="0"/>
    <x v="3"/>
    <x v="9"/>
    <x v="20"/>
    <s v="SE4_small"/>
    <x v="5"/>
    <n v="8.1139884009941898"/>
    <n v="2.2538856669428302"/>
  </r>
  <r>
    <x v="0"/>
    <x v="3"/>
    <x v="9"/>
    <x v="20"/>
    <s v="SE4_small"/>
    <x v="6"/>
    <n v="30.770439105219602"/>
    <n v="8.5473441958943202"/>
  </r>
  <r>
    <x v="0"/>
    <x v="3"/>
    <x v="9"/>
    <x v="20"/>
    <s v="SE4_small"/>
    <x v="7"/>
    <n v="71.350180613090302"/>
    <n v="19.819494614747299"/>
  </r>
  <r>
    <x v="0"/>
    <x v="3"/>
    <x v="9"/>
    <x v="20"/>
    <s v="SE4_small"/>
    <x v="8"/>
    <n v="71.350180613090302"/>
    <n v="19.819494614747299"/>
  </r>
  <r>
    <x v="0"/>
    <x v="3"/>
    <x v="9"/>
    <x v="20"/>
    <s v="SE4_small"/>
    <x v="9"/>
    <n v="44.803327257663497"/>
    <n v="12.4453686826843"/>
  </r>
  <r>
    <x v="0"/>
    <x v="3"/>
    <x v="9"/>
    <x v="20"/>
    <s v="SE4_small"/>
    <x v="10"/>
    <n v="54.681226180612903"/>
    <n v="15.1892294946147"/>
  </r>
  <r>
    <x v="0"/>
    <x v="3"/>
    <x v="9"/>
    <x v="20"/>
    <s v="SE4_small"/>
    <x v="11"/>
    <n v="3.8806031483015802"/>
    <n v="1.07794531897266"/>
  </r>
  <r>
    <x v="0"/>
    <x v="3"/>
    <x v="9"/>
    <x v="20"/>
    <s v="SE4_small"/>
    <x v="12"/>
    <n v="9.7995028997514597E-2"/>
    <n v="2.72208413881985E-2"/>
  </r>
  <r>
    <x v="0"/>
    <x v="3"/>
    <x v="9"/>
    <x v="20"/>
    <s v="SE4_small"/>
    <x v="13"/>
    <n v="21.5197083678542"/>
    <n v="5.9776967688483804"/>
  </r>
  <r>
    <x v="0"/>
    <x v="3"/>
    <x v="9"/>
    <x v="20"/>
    <s v="SE4_small"/>
    <x v="14"/>
    <n v="21.5197083678542"/>
    <n v="5.9776967688483804"/>
  </r>
  <r>
    <x v="0"/>
    <x v="3"/>
    <x v="9"/>
    <x v="20"/>
    <s v="SE4_small"/>
    <x v="15"/>
    <n v="1.65807589063794"/>
    <n v="0.46057663628831802"/>
  </r>
  <r>
    <x v="0"/>
    <x v="3"/>
    <x v="9"/>
    <x v="20"/>
    <s v="SE4_small"/>
    <x v="16"/>
    <n v="8.3492014028755008"/>
    <n v="2.31922261190986"/>
  </r>
  <r>
    <x v="0"/>
    <x v="3"/>
    <x v="9"/>
    <x v="20"/>
    <s v="SE4_small"/>
    <x v="17"/>
    <n v="9.5251168185584092"/>
    <n v="2.6458657829328902"/>
  </r>
  <r>
    <x v="0"/>
    <x v="3"/>
    <x v="9"/>
    <x v="20"/>
    <s v="SE4_small"/>
    <x v="18"/>
    <n v="21.5197083678542"/>
    <n v="5.9776967688483804"/>
  </r>
  <r>
    <x v="0"/>
    <x v="3"/>
    <x v="9"/>
    <x v="20"/>
    <s v="SE4_small"/>
    <x v="19"/>
    <n v="8.1139884009941898"/>
    <n v="2.2538856669428302"/>
  </r>
  <r>
    <x v="0"/>
    <x v="3"/>
    <x v="9"/>
    <x v="20"/>
    <s v="SE4_small"/>
    <x v="20"/>
    <n v="19.336735244541"/>
    <n v="5.37131534570584"/>
  </r>
  <r>
    <x v="0"/>
    <x v="3"/>
    <x v="9"/>
    <x v="20"/>
    <s v="SE4_small"/>
    <x v="21"/>
    <n v="53.225806451612797"/>
    <n v="14.784946236559099"/>
  </r>
  <r>
    <x v="0"/>
    <x v="3"/>
    <x v="9"/>
    <x v="20"/>
    <s v="SE4_small"/>
    <x v="22"/>
    <n v="130.68"/>
    <n v="36.299999999999997"/>
  </r>
  <r>
    <x v="0"/>
    <x v="3"/>
    <x v="9"/>
    <x v="20"/>
    <s v="SE4_small"/>
    <x v="23"/>
    <n v="0.35278210439105201"/>
    <n v="9.7995028997514499E-2"/>
  </r>
  <r>
    <x v="0"/>
    <x v="3"/>
    <x v="9"/>
    <x v="20"/>
    <s v="SE4_small"/>
    <x v="24"/>
    <n v="20.0161025734538"/>
    <n v="5.5600284926260501"/>
  </r>
  <r>
    <x v="0"/>
    <x v="3"/>
    <x v="9"/>
    <x v="20"/>
    <s v="SE4_small"/>
    <x v="25"/>
    <n v="22.356874337357301"/>
    <n v="6.2102428714881297"/>
  </r>
  <r>
    <x v="0"/>
    <x v="3"/>
    <x v="9"/>
    <x v="20"/>
    <s v="SE4_small"/>
    <x v="26"/>
    <n v="29.6651032387655"/>
    <n v="8.2403064552126306"/>
  </r>
  <r>
    <x v="0"/>
    <x v="3"/>
    <x v="9"/>
    <x v="20"/>
    <s v="SE4_small"/>
    <x v="27"/>
    <n v="21.049332228666099"/>
    <n v="5.8470367301850299"/>
  </r>
  <r>
    <x v="0"/>
    <x v="3"/>
    <x v="10"/>
    <x v="21"/>
    <s v="UK_A"/>
    <x v="1"/>
    <n v="51.241600662800401"/>
    <n v="14.233777961889"/>
  </r>
  <r>
    <x v="0"/>
    <x v="3"/>
    <x v="10"/>
    <x v="21"/>
    <s v="UK_A"/>
    <x v="2"/>
    <n v="57.96"/>
    <n v="16.100000000000001"/>
  </r>
  <r>
    <x v="0"/>
    <x v="3"/>
    <x v="10"/>
    <x v="21"/>
    <s v="UK_A"/>
    <x v="0"/>
    <n v="42.692399999999999"/>
    <n v="11.859"/>
  </r>
  <r>
    <x v="0"/>
    <x v="3"/>
    <x v="10"/>
    <x v="21"/>
    <s v="UK_A"/>
    <x v="3"/>
    <n v="57.7974681027342"/>
    <n v="16.054852250759499"/>
  </r>
  <r>
    <x v="0"/>
    <x v="3"/>
    <x v="10"/>
    <x v="21"/>
    <s v="UK_A"/>
    <x v="4"/>
    <n v="8.1139884009941898"/>
    <n v="2.2538856669428302"/>
  </r>
  <r>
    <x v="0"/>
    <x v="3"/>
    <x v="10"/>
    <x v="21"/>
    <s v="UK_A"/>
    <x v="5"/>
    <n v="8.1139884009941898"/>
    <n v="2.2538856669428302"/>
  </r>
  <r>
    <x v="0"/>
    <x v="3"/>
    <x v="10"/>
    <x v="21"/>
    <s v="UK_A"/>
    <x v="6"/>
    <n v="30.770439105219602"/>
    <n v="8.5473441958943202"/>
  </r>
  <r>
    <x v="0"/>
    <x v="3"/>
    <x v="10"/>
    <x v="21"/>
    <s v="UK_A"/>
    <x v="7"/>
    <n v="71.350180613090302"/>
    <n v="19.819494614747299"/>
  </r>
  <r>
    <x v="0"/>
    <x v="3"/>
    <x v="10"/>
    <x v="21"/>
    <s v="UK_A"/>
    <x v="8"/>
    <n v="71.350180613090302"/>
    <n v="19.819494614747299"/>
  </r>
  <r>
    <x v="0"/>
    <x v="3"/>
    <x v="10"/>
    <x v="21"/>
    <s v="UK_A"/>
    <x v="9"/>
    <n v="44.803327257663497"/>
    <n v="12.4453686826843"/>
  </r>
  <r>
    <x v="0"/>
    <x v="3"/>
    <x v="10"/>
    <x v="21"/>
    <s v="UK_A"/>
    <x v="10"/>
    <n v="54.681226180612903"/>
    <n v="15.1892294946147"/>
  </r>
  <r>
    <x v="0"/>
    <x v="3"/>
    <x v="10"/>
    <x v="21"/>
    <s v="UK_A"/>
    <x v="11"/>
    <n v="3.8806031483015802"/>
    <n v="1.07794531897266"/>
  </r>
  <r>
    <x v="0"/>
    <x v="3"/>
    <x v="10"/>
    <x v="21"/>
    <s v="UK_A"/>
    <x v="12"/>
    <n v="9.7995028997514597E-2"/>
    <n v="2.72208413881985E-2"/>
  </r>
  <r>
    <x v="0"/>
    <x v="3"/>
    <x v="10"/>
    <x v="21"/>
    <s v="UK_A"/>
    <x v="13"/>
    <n v="21.5197083678542"/>
    <n v="5.9776967688483804"/>
  </r>
  <r>
    <x v="0"/>
    <x v="3"/>
    <x v="10"/>
    <x v="21"/>
    <s v="UK_A"/>
    <x v="14"/>
    <n v="21.5197083678542"/>
    <n v="5.9776967688483804"/>
  </r>
  <r>
    <x v="0"/>
    <x v="3"/>
    <x v="10"/>
    <x v="21"/>
    <s v="UK_A"/>
    <x v="15"/>
    <n v="1.65807589063794"/>
    <n v="0.46057663628831802"/>
  </r>
  <r>
    <x v="0"/>
    <x v="3"/>
    <x v="10"/>
    <x v="21"/>
    <s v="UK_A"/>
    <x v="16"/>
    <n v="8.3492014028755008"/>
    <n v="2.31922261190986"/>
  </r>
  <r>
    <x v="0"/>
    <x v="3"/>
    <x v="10"/>
    <x v="21"/>
    <s v="UK_A"/>
    <x v="17"/>
    <n v="9.5251168185584092"/>
    <n v="2.6458657829328902"/>
  </r>
  <r>
    <x v="0"/>
    <x v="3"/>
    <x v="10"/>
    <x v="21"/>
    <s v="UK_A"/>
    <x v="18"/>
    <n v="21.5197083678542"/>
    <n v="5.9776967688483804"/>
  </r>
  <r>
    <x v="0"/>
    <x v="3"/>
    <x v="10"/>
    <x v="21"/>
    <s v="UK_A"/>
    <x v="19"/>
    <n v="8.1139884009941898"/>
    <n v="2.2538856669428302"/>
  </r>
  <r>
    <x v="0"/>
    <x v="3"/>
    <x v="10"/>
    <x v="21"/>
    <s v="UK_A"/>
    <x v="20"/>
    <n v="19.336735244541"/>
    <n v="5.37131534570584"/>
  </r>
  <r>
    <x v="0"/>
    <x v="3"/>
    <x v="10"/>
    <x v="21"/>
    <s v="UK_A"/>
    <x v="21"/>
    <n v="53.225806451612797"/>
    <n v="14.784946236559099"/>
  </r>
  <r>
    <x v="0"/>
    <x v="3"/>
    <x v="10"/>
    <x v="21"/>
    <s v="UK_A"/>
    <x v="22"/>
    <n v="130.68"/>
    <n v="36.299999999999997"/>
  </r>
  <r>
    <x v="0"/>
    <x v="3"/>
    <x v="10"/>
    <x v="21"/>
    <s v="UK_A"/>
    <x v="23"/>
    <n v="0.35278210439105201"/>
    <n v="9.7995028997514499E-2"/>
  </r>
  <r>
    <x v="0"/>
    <x v="3"/>
    <x v="10"/>
    <x v="21"/>
    <s v="UK_A"/>
    <x v="24"/>
    <n v="20.0161025734538"/>
    <n v="5.5600284926260501"/>
  </r>
  <r>
    <x v="0"/>
    <x v="3"/>
    <x v="10"/>
    <x v="21"/>
    <s v="UK_A"/>
    <x v="25"/>
    <n v="22.356874337357301"/>
    <n v="6.2102428714881297"/>
  </r>
  <r>
    <x v="0"/>
    <x v="3"/>
    <x v="10"/>
    <x v="21"/>
    <s v="UK_A"/>
    <x v="26"/>
    <n v="29.6651032387655"/>
    <n v="8.2403064552126306"/>
  </r>
  <r>
    <x v="0"/>
    <x v="3"/>
    <x v="10"/>
    <x v="21"/>
    <s v="UK_A"/>
    <x v="27"/>
    <n v="21.049332228666099"/>
    <n v="5.8470367301850299"/>
  </r>
  <r>
    <x v="0"/>
    <x v="3"/>
    <x v="10"/>
    <x v="21"/>
    <s v="UK_Offshore"/>
    <x v="1"/>
    <n v="51.241600662800401"/>
    <n v="14.233777961889"/>
  </r>
  <r>
    <x v="0"/>
    <x v="3"/>
    <x v="10"/>
    <x v="21"/>
    <s v="UK_Offshore"/>
    <x v="2"/>
    <n v="57.96"/>
    <n v="16.100000000000001"/>
  </r>
  <r>
    <x v="0"/>
    <x v="3"/>
    <x v="10"/>
    <x v="21"/>
    <s v="UK_Offshore"/>
    <x v="0"/>
    <n v="42.692399999999999"/>
    <n v="11.859"/>
  </r>
  <r>
    <x v="0"/>
    <x v="3"/>
    <x v="10"/>
    <x v="21"/>
    <s v="UK_Offshore"/>
    <x v="3"/>
    <n v="57.7974681027342"/>
    <n v="16.054852250759499"/>
  </r>
  <r>
    <x v="0"/>
    <x v="3"/>
    <x v="10"/>
    <x v="21"/>
    <s v="UK_Offshore"/>
    <x v="4"/>
    <n v="8.1139884009941898"/>
    <n v="2.2538856669428302"/>
  </r>
  <r>
    <x v="0"/>
    <x v="3"/>
    <x v="10"/>
    <x v="21"/>
    <s v="UK_Offshore"/>
    <x v="5"/>
    <n v="8.1139884009941898"/>
    <n v="2.2538856669428302"/>
  </r>
  <r>
    <x v="0"/>
    <x v="3"/>
    <x v="10"/>
    <x v="21"/>
    <s v="UK_Offshore"/>
    <x v="6"/>
    <n v="30.770439105219602"/>
    <n v="8.5473441958943202"/>
  </r>
  <r>
    <x v="0"/>
    <x v="3"/>
    <x v="10"/>
    <x v="21"/>
    <s v="UK_Offshore"/>
    <x v="7"/>
    <n v="71.350180613090302"/>
    <n v="19.819494614747299"/>
  </r>
  <r>
    <x v="0"/>
    <x v="3"/>
    <x v="10"/>
    <x v="21"/>
    <s v="UK_Offshore"/>
    <x v="8"/>
    <n v="71.350180613090302"/>
    <n v="19.819494614747299"/>
  </r>
  <r>
    <x v="0"/>
    <x v="3"/>
    <x v="10"/>
    <x v="21"/>
    <s v="UK_Offshore"/>
    <x v="9"/>
    <n v="44.803327257663497"/>
    <n v="12.4453686826843"/>
  </r>
  <r>
    <x v="0"/>
    <x v="3"/>
    <x v="10"/>
    <x v="21"/>
    <s v="UK_Offshore"/>
    <x v="10"/>
    <n v="54.681226180612903"/>
    <n v="15.1892294946147"/>
  </r>
  <r>
    <x v="0"/>
    <x v="3"/>
    <x v="10"/>
    <x v="21"/>
    <s v="UK_Offshore"/>
    <x v="11"/>
    <n v="3.8806031483015802"/>
    <n v="1.07794531897266"/>
  </r>
  <r>
    <x v="0"/>
    <x v="3"/>
    <x v="10"/>
    <x v="21"/>
    <s v="UK_Offshore"/>
    <x v="12"/>
    <n v="9.7995028997514597E-2"/>
    <n v="2.72208413881985E-2"/>
  </r>
  <r>
    <x v="0"/>
    <x v="3"/>
    <x v="10"/>
    <x v="21"/>
    <s v="UK_Offshore"/>
    <x v="13"/>
    <n v="21.5197083678542"/>
    <n v="5.9776967688483804"/>
  </r>
  <r>
    <x v="0"/>
    <x v="3"/>
    <x v="10"/>
    <x v="21"/>
    <s v="UK_Offshore"/>
    <x v="14"/>
    <n v="21.5197083678542"/>
    <n v="5.9776967688483804"/>
  </r>
  <r>
    <x v="0"/>
    <x v="3"/>
    <x v="10"/>
    <x v="21"/>
    <s v="UK_Offshore"/>
    <x v="15"/>
    <n v="1.65807589063794"/>
    <n v="0.46057663628831802"/>
  </r>
  <r>
    <x v="0"/>
    <x v="3"/>
    <x v="10"/>
    <x v="21"/>
    <s v="UK_Offshore"/>
    <x v="16"/>
    <n v="8.3492014028755008"/>
    <n v="2.31922261190986"/>
  </r>
  <r>
    <x v="0"/>
    <x v="3"/>
    <x v="10"/>
    <x v="21"/>
    <s v="UK_Offshore"/>
    <x v="17"/>
    <n v="9.5251168185584092"/>
    <n v="2.6458657829328902"/>
  </r>
  <r>
    <x v="0"/>
    <x v="3"/>
    <x v="10"/>
    <x v="21"/>
    <s v="UK_Offshore"/>
    <x v="18"/>
    <n v="21.5197083678542"/>
    <n v="5.9776967688483804"/>
  </r>
  <r>
    <x v="0"/>
    <x v="3"/>
    <x v="10"/>
    <x v="21"/>
    <s v="UK_Offshore"/>
    <x v="19"/>
    <n v="8.1139884009941898"/>
    <n v="2.2538856669428302"/>
  </r>
  <r>
    <x v="0"/>
    <x v="3"/>
    <x v="10"/>
    <x v="21"/>
    <s v="UK_Offshore"/>
    <x v="20"/>
    <n v="19.336735244541"/>
    <n v="5.37131534570584"/>
  </r>
  <r>
    <x v="0"/>
    <x v="3"/>
    <x v="10"/>
    <x v="21"/>
    <s v="UK_Offshore"/>
    <x v="21"/>
    <n v="53.225806451612797"/>
    <n v="14.784946236559099"/>
  </r>
  <r>
    <x v="0"/>
    <x v="3"/>
    <x v="10"/>
    <x v="21"/>
    <s v="UK_Offshore"/>
    <x v="22"/>
    <n v="130.68"/>
    <n v="36.299999999999997"/>
  </r>
  <r>
    <x v="0"/>
    <x v="3"/>
    <x v="10"/>
    <x v="21"/>
    <s v="UK_Offshore"/>
    <x v="23"/>
    <n v="0.35278210439105201"/>
    <n v="9.7995028997514499E-2"/>
  </r>
  <r>
    <x v="0"/>
    <x v="3"/>
    <x v="10"/>
    <x v="21"/>
    <s v="UK_Offshore"/>
    <x v="24"/>
    <n v="20.0161025734538"/>
    <n v="5.5600284926260501"/>
  </r>
  <r>
    <x v="0"/>
    <x v="3"/>
    <x v="10"/>
    <x v="21"/>
    <s v="UK_Offshore"/>
    <x v="25"/>
    <n v="22.356874337357301"/>
    <n v="6.2102428714881297"/>
  </r>
  <r>
    <x v="0"/>
    <x v="3"/>
    <x v="10"/>
    <x v="21"/>
    <s v="UK_Offshore"/>
    <x v="26"/>
    <n v="29.6651032387655"/>
    <n v="8.2403064552126306"/>
  </r>
  <r>
    <x v="0"/>
    <x v="3"/>
    <x v="10"/>
    <x v="21"/>
    <s v="UK_Offshore"/>
    <x v="27"/>
    <n v="21.049332228666099"/>
    <n v="5.8470367301850299"/>
  </r>
  <r>
    <x v="0"/>
    <x v="4"/>
    <x v="0"/>
    <x v="0"/>
    <s v="DK1_Large"/>
    <x v="1"/>
    <n v="35.989199999999997"/>
    <n v="9.9969999999999999"/>
  </r>
  <r>
    <x v="0"/>
    <x v="4"/>
    <x v="0"/>
    <x v="0"/>
    <s v="DK1_Large"/>
    <x v="2"/>
    <n v="57.96"/>
    <n v="16.100000000000001"/>
  </r>
  <r>
    <x v="0"/>
    <x v="4"/>
    <x v="0"/>
    <x v="0"/>
    <s v="DK1_Large"/>
    <x v="0"/>
    <n v="42.692399999999999"/>
    <n v="11.859"/>
  </r>
  <r>
    <x v="0"/>
    <x v="4"/>
    <x v="0"/>
    <x v="0"/>
    <s v="DK1_Large"/>
    <x v="3"/>
    <n v="57.7974681027342"/>
    <n v="16.054852250759499"/>
  </r>
  <r>
    <x v="0"/>
    <x v="4"/>
    <x v="0"/>
    <x v="0"/>
    <s v="DK1_Large"/>
    <x v="4"/>
    <n v="8.1139884009941898"/>
    <n v="2.2538856669428302"/>
  </r>
  <r>
    <x v="0"/>
    <x v="4"/>
    <x v="0"/>
    <x v="0"/>
    <s v="DK1_Large"/>
    <x v="5"/>
    <n v="8.1139884009941898"/>
    <n v="2.2538856669428302"/>
  </r>
  <r>
    <x v="0"/>
    <x v="4"/>
    <x v="0"/>
    <x v="0"/>
    <s v="DK1_Large"/>
    <x v="6"/>
    <n v="30.770439105219602"/>
    <n v="8.5473441958943202"/>
  </r>
  <r>
    <x v="0"/>
    <x v="4"/>
    <x v="0"/>
    <x v="0"/>
    <s v="DK1_Large"/>
    <x v="7"/>
    <n v="71.350180613090302"/>
    <n v="19.819494614747299"/>
  </r>
  <r>
    <x v="0"/>
    <x v="4"/>
    <x v="0"/>
    <x v="0"/>
    <s v="DK1_Large"/>
    <x v="8"/>
    <n v="71.350180613090302"/>
    <n v="19.819494614747299"/>
  </r>
  <r>
    <x v="0"/>
    <x v="4"/>
    <x v="0"/>
    <x v="0"/>
    <s v="DK1_Large"/>
    <x v="9"/>
    <n v="44.803327257663497"/>
    <n v="12.4453686826843"/>
  </r>
  <r>
    <x v="0"/>
    <x v="4"/>
    <x v="0"/>
    <x v="0"/>
    <s v="DK1_Large"/>
    <x v="10"/>
    <n v="54.681226180612903"/>
    <n v="15.1892294946147"/>
  </r>
  <r>
    <x v="0"/>
    <x v="4"/>
    <x v="0"/>
    <x v="0"/>
    <s v="DK1_Large"/>
    <x v="11"/>
    <n v="3.8806031483015802"/>
    <n v="1.07794531897266"/>
  </r>
  <r>
    <x v="0"/>
    <x v="4"/>
    <x v="0"/>
    <x v="0"/>
    <s v="DK1_Large"/>
    <x v="12"/>
    <n v="9.7995028997514597E-2"/>
    <n v="2.72208413881985E-2"/>
  </r>
  <r>
    <x v="0"/>
    <x v="4"/>
    <x v="0"/>
    <x v="0"/>
    <s v="DK1_Large"/>
    <x v="13"/>
    <n v="21.5197083678542"/>
    <n v="5.9776967688483804"/>
  </r>
  <r>
    <x v="0"/>
    <x v="4"/>
    <x v="0"/>
    <x v="0"/>
    <s v="DK1_Large"/>
    <x v="14"/>
    <n v="21.5197083678542"/>
    <n v="5.9776967688483804"/>
  </r>
  <r>
    <x v="0"/>
    <x v="4"/>
    <x v="0"/>
    <x v="0"/>
    <s v="DK1_Large"/>
    <x v="15"/>
    <n v="1.65807589063794"/>
    <n v="0.46057663628831802"/>
  </r>
  <r>
    <x v="0"/>
    <x v="4"/>
    <x v="0"/>
    <x v="0"/>
    <s v="DK1_Large"/>
    <x v="16"/>
    <n v="8.3492014028755008"/>
    <n v="2.31922261190986"/>
  </r>
  <r>
    <x v="0"/>
    <x v="4"/>
    <x v="0"/>
    <x v="0"/>
    <s v="DK1_Large"/>
    <x v="17"/>
    <n v="9.5251168185584092"/>
    <n v="2.6458657829328902"/>
  </r>
  <r>
    <x v="0"/>
    <x v="4"/>
    <x v="0"/>
    <x v="0"/>
    <s v="DK1_Large"/>
    <x v="18"/>
    <n v="21.5197083678542"/>
    <n v="5.9776967688483804"/>
  </r>
  <r>
    <x v="0"/>
    <x v="4"/>
    <x v="0"/>
    <x v="0"/>
    <s v="DK1_Large"/>
    <x v="19"/>
    <n v="8.1139884009941898"/>
    <n v="2.2538856669428302"/>
  </r>
  <r>
    <x v="0"/>
    <x v="4"/>
    <x v="0"/>
    <x v="0"/>
    <s v="DK1_Large"/>
    <x v="20"/>
    <n v="19.336735244541"/>
    <n v="5.37131534570584"/>
  </r>
  <r>
    <x v="0"/>
    <x v="4"/>
    <x v="0"/>
    <x v="0"/>
    <s v="DK1_Large"/>
    <x v="21"/>
    <n v="53.225806451612797"/>
    <n v="14.784946236559099"/>
  </r>
  <r>
    <x v="0"/>
    <x v="4"/>
    <x v="0"/>
    <x v="0"/>
    <s v="DK1_Large"/>
    <x v="22"/>
    <n v="130.68"/>
    <n v="36.299999999999997"/>
  </r>
  <r>
    <x v="0"/>
    <x v="4"/>
    <x v="0"/>
    <x v="0"/>
    <s v="DK1_Large"/>
    <x v="23"/>
    <n v="0.35278210439105201"/>
    <n v="9.7995028997514499E-2"/>
  </r>
  <r>
    <x v="0"/>
    <x v="4"/>
    <x v="0"/>
    <x v="0"/>
    <s v="DK1_Large"/>
    <x v="24"/>
    <n v="20.0161025734538"/>
    <n v="5.5600284926260501"/>
  </r>
  <r>
    <x v="0"/>
    <x v="4"/>
    <x v="0"/>
    <x v="0"/>
    <s v="DK1_Large"/>
    <x v="25"/>
    <n v="22.356874337357301"/>
    <n v="6.2102428714881297"/>
  </r>
  <r>
    <x v="0"/>
    <x v="4"/>
    <x v="0"/>
    <x v="0"/>
    <s v="DK1_Large"/>
    <x v="26"/>
    <n v="29.6651032387655"/>
    <n v="8.2403064552126306"/>
  </r>
  <r>
    <x v="0"/>
    <x v="4"/>
    <x v="0"/>
    <x v="0"/>
    <s v="DK1_Large"/>
    <x v="27"/>
    <n v="21.049332228666099"/>
    <n v="5.8470367301850299"/>
  </r>
  <r>
    <x v="0"/>
    <x v="4"/>
    <x v="0"/>
    <x v="0"/>
    <s v="DK1_Large_PHH"/>
    <x v="1"/>
    <n v="35.989199999999997"/>
    <n v="9.9969999999999999"/>
  </r>
  <r>
    <x v="0"/>
    <x v="4"/>
    <x v="0"/>
    <x v="0"/>
    <s v="DK1_Large_PHH"/>
    <x v="2"/>
    <n v="57.96"/>
    <n v="16.100000000000001"/>
  </r>
  <r>
    <x v="0"/>
    <x v="4"/>
    <x v="0"/>
    <x v="0"/>
    <s v="DK1_Large_PHH"/>
    <x v="0"/>
    <n v="42.692399999999999"/>
    <n v="11.859"/>
  </r>
  <r>
    <x v="0"/>
    <x v="4"/>
    <x v="0"/>
    <x v="0"/>
    <s v="DK1_Large_PHH"/>
    <x v="3"/>
    <n v="57.7974681027342"/>
    <n v="16.054852250759499"/>
  </r>
  <r>
    <x v="0"/>
    <x v="4"/>
    <x v="0"/>
    <x v="0"/>
    <s v="DK1_Large_PHH"/>
    <x v="4"/>
    <n v="8.1139884009941898"/>
    <n v="2.2538856669428302"/>
  </r>
  <r>
    <x v="0"/>
    <x v="4"/>
    <x v="0"/>
    <x v="0"/>
    <s v="DK1_Large_PHH"/>
    <x v="5"/>
    <n v="8.1139884009941898"/>
    <n v="2.2538856669428302"/>
  </r>
  <r>
    <x v="0"/>
    <x v="4"/>
    <x v="0"/>
    <x v="0"/>
    <s v="DK1_Large_PHH"/>
    <x v="6"/>
    <n v="30.770439105219602"/>
    <n v="8.5473441958943202"/>
  </r>
  <r>
    <x v="0"/>
    <x v="4"/>
    <x v="0"/>
    <x v="0"/>
    <s v="DK1_Large_PHH"/>
    <x v="7"/>
    <n v="71.350180613090302"/>
    <n v="19.819494614747299"/>
  </r>
  <r>
    <x v="0"/>
    <x v="4"/>
    <x v="0"/>
    <x v="0"/>
    <s v="DK1_Large_PHH"/>
    <x v="8"/>
    <n v="71.350180613090302"/>
    <n v="19.819494614747299"/>
  </r>
  <r>
    <x v="0"/>
    <x v="4"/>
    <x v="0"/>
    <x v="0"/>
    <s v="DK1_Large_PHH"/>
    <x v="9"/>
    <n v="44.803327257663497"/>
    <n v="12.4453686826843"/>
  </r>
  <r>
    <x v="0"/>
    <x v="4"/>
    <x v="0"/>
    <x v="0"/>
    <s v="DK1_Large_PHH"/>
    <x v="10"/>
    <n v="54.681226180612903"/>
    <n v="15.1892294946147"/>
  </r>
  <r>
    <x v="0"/>
    <x v="4"/>
    <x v="0"/>
    <x v="0"/>
    <s v="DK1_Large_PHH"/>
    <x v="11"/>
    <n v="3.8806031483015802"/>
    <n v="1.07794531897266"/>
  </r>
  <r>
    <x v="0"/>
    <x v="4"/>
    <x v="0"/>
    <x v="0"/>
    <s v="DK1_Large_PHH"/>
    <x v="12"/>
    <n v="9.7995028997514597E-2"/>
    <n v="2.72208413881985E-2"/>
  </r>
  <r>
    <x v="0"/>
    <x v="4"/>
    <x v="0"/>
    <x v="0"/>
    <s v="DK1_Large_PHH"/>
    <x v="13"/>
    <n v="21.5197083678542"/>
    <n v="5.9776967688483804"/>
  </r>
  <r>
    <x v="0"/>
    <x v="4"/>
    <x v="0"/>
    <x v="0"/>
    <s v="DK1_Large_PHH"/>
    <x v="14"/>
    <n v="21.5197083678542"/>
    <n v="5.9776967688483804"/>
  </r>
  <r>
    <x v="0"/>
    <x v="4"/>
    <x v="0"/>
    <x v="0"/>
    <s v="DK1_Large_PHH"/>
    <x v="15"/>
    <n v="1.65807589063794"/>
    <n v="0.46057663628831802"/>
  </r>
  <r>
    <x v="0"/>
    <x v="4"/>
    <x v="0"/>
    <x v="0"/>
    <s v="DK1_Large_PHH"/>
    <x v="16"/>
    <n v="8.3492014028755008"/>
    <n v="2.31922261190986"/>
  </r>
  <r>
    <x v="0"/>
    <x v="4"/>
    <x v="0"/>
    <x v="0"/>
    <s v="DK1_Large_PHH"/>
    <x v="17"/>
    <n v="9.5251168185584092"/>
    <n v="2.6458657829328902"/>
  </r>
  <r>
    <x v="0"/>
    <x v="4"/>
    <x v="0"/>
    <x v="0"/>
    <s v="DK1_Large_PHH"/>
    <x v="18"/>
    <n v="21.5197083678542"/>
    <n v="5.9776967688483804"/>
  </r>
  <r>
    <x v="0"/>
    <x v="4"/>
    <x v="0"/>
    <x v="0"/>
    <s v="DK1_Large_PHH"/>
    <x v="19"/>
    <n v="8.1139884009941898"/>
    <n v="2.2538856669428302"/>
  </r>
  <r>
    <x v="0"/>
    <x v="4"/>
    <x v="0"/>
    <x v="0"/>
    <s v="DK1_Large_PHH"/>
    <x v="20"/>
    <n v="19.336735244541"/>
    <n v="5.37131534570584"/>
  </r>
  <r>
    <x v="0"/>
    <x v="4"/>
    <x v="0"/>
    <x v="0"/>
    <s v="DK1_Large_PHH"/>
    <x v="21"/>
    <n v="53.225806451612797"/>
    <n v="14.784946236559099"/>
  </r>
  <r>
    <x v="0"/>
    <x v="4"/>
    <x v="0"/>
    <x v="0"/>
    <s v="DK1_Large_PHH"/>
    <x v="22"/>
    <n v="130.68"/>
    <n v="36.299999999999997"/>
  </r>
  <r>
    <x v="0"/>
    <x v="4"/>
    <x v="0"/>
    <x v="0"/>
    <s v="DK1_Large_PHH"/>
    <x v="23"/>
    <n v="0.35278210439105201"/>
    <n v="9.7995028997514499E-2"/>
  </r>
  <r>
    <x v="0"/>
    <x v="4"/>
    <x v="0"/>
    <x v="0"/>
    <s v="DK1_Large_PHH"/>
    <x v="24"/>
    <n v="20.0161025734538"/>
    <n v="5.5600284926260501"/>
  </r>
  <r>
    <x v="0"/>
    <x v="4"/>
    <x v="0"/>
    <x v="0"/>
    <s v="DK1_Large_PHH"/>
    <x v="25"/>
    <n v="22.356874337357301"/>
    <n v="6.2102428714881297"/>
  </r>
  <r>
    <x v="0"/>
    <x v="4"/>
    <x v="0"/>
    <x v="0"/>
    <s v="DK1_Large_PHH"/>
    <x v="26"/>
    <n v="29.6651032387655"/>
    <n v="8.2403064552126306"/>
  </r>
  <r>
    <x v="0"/>
    <x v="4"/>
    <x v="0"/>
    <x v="0"/>
    <s v="DK1_Large_PHH"/>
    <x v="27"/>
    <n v="21.049332228666099"/>
    <n v="5.8470367301850299"/>
  </r>
  <r>
    <x v="0"/>
    <x v="4"/>
    <x v="0"/>
    <x v="0"/>
    <s v="DK1_Large_PHL"/>
    <x v="1"/>
    <n v="35.989199999999997"/>
    <n v="9.9969999999999999"/>
  </r>
  <r>
    <x v="0"/>
    <x v="4"/>
    <x v="0"/>
    <x v="0"/>
    <s v="DK1_Large_PHL"/>
    <x v="2"/>
    <n v="57.96"/>
    <n v="16.100000000000001"/>
  </r>
  <r>
    <x v="0"/>
    <x v="4"/>
    <x v="0"/>
    <x v="0"/>
    <s v="DK1_Large_PHL"/>
    <x v="0"/>
    <n v="42.692399999999999"/>
    <n v="11.859"/>
  </r>
  <r>
    <x v="0"/>
    <x v="4"/>
    <x v="0"/>
    <x v="0"/>
    <s v="DK1_Large_PHL"/>
    <x v="3"/>
    <n v="57.7974681027342"/>
    <n v="16.054852250759499"/>
  </r>
  <r>
    <x v="0"/>
    <x v="4"/>
    <x v="0"/>
    <x v="0"/>
    <s v="DK1_Large_PHL"/>
    <x v="4"/>
    <n v="8.1139884009941898"/>
    <n v="2.2538856669428302"/>
  </r>
  <r>
    <x v="0"/>
    <x v="4"/>
    <x v="0"/>
    <x v="0"/>
    <s v="DK1_Large_PHL"/>
    <x v="5"/>
    <n v="8.1139884009941898"/>
    <n v="2.2538856669428302"/>
  </r>
  <r>
    <x v="0"/>
    <x v="4"/>
    <x v="0"/>
    <x v="0"/>
    <s v="DK1_Large_PHL"/>
    <x v="6"/>
    <n v="30.770439105219602"/>
    <n v="8.5473441958943202"/>
  </r>
  <r>
    <x v="0"/>
    <x v="4"/>
    <x v="0"/>
    <x v="0"/>
    <s v="DK1_Large_PHL"/>
    <x v="7"/>
    <n v="71.350180613090302"/>
    <n v="19.819494614747299"/>
  </r>
  <r>
    <x v="0"/>
    <x v="4"/>
    <x v="0"/>
    <x v="0"/>
    <s v="DK1_Large_PHL"/>
    <x v="8"/>
    <n v="71.350180613090302"/>
    <n v="19.819494614747299"/>
  </r>
  <r>
    <x v="0"/>
    <x v="4"/>
    <x v="0"/>
    <x v="0"/>
    <s v="DK1_Large_PHL"/>
    <x v="9"/>
    <n v="44.803327257663497"/>
    <n v="12.4453686826843"/>
  </r>
  <r>
    <x v="0"/>
    <x v="4"/>
    <x v="0"/>
    <x v="0"/>
    <s v="DK1_Large_PHL"/>
    <x v="10"/>
    <n v="54.681226180612903"/>
    <n v="15.1892294946147"/>
  </r>
  <r>
    <x v="0"/>
    <x v="4"/>
    <x v="0"/>
    <x v="0"/>
    <s v="DK1_Large_PHL"/>
    <x v="11"/>
    <n v="3.8806031483015802"/>
    <n v="1.07794531897266"/>
  </r>
  <r>
    <x v="0"/>
    <x v="4"/>
    <x v="0"/>
    <x v="0"/>
    <s v="DK1_Large_PHL"/>
    <x v="12"/>
    <n v="9.7995028997514597E-2"/>
    <n v="2.72208413881985E-2"/>
  </r>
  <r>
    <x v="0"/>
    <x v="4"/>
    <x v="0"/>
    <x v="0"/>
    <s v="DK1_Large_PHL"/>
    <x v="13"/>
    <n v="21.5197083678542"/>
    <n v="5.9776967688483804"/>
  </r>
  <r>
    <x v="0"/>
    <x v="4"/>
    <x v="0"/>
    <x v="0"/>
    <s v="DK1_Large_PHL"/>
    <x v="14"/>
    <n v="21.5197083678542"/>
    <n v="5.9776967688483804"/>
  </r>
  <r>
    <x v="0"/>
    <x v="4"/>
    <x v="0"/>
    <x v="0"/>
    <s v="DK1_Large_PHL"/>
    <x v="15"/>
    <n v="1.65807589063794"/>
    <n v="0.46057663628831802"/>
  </r>
  <r>
    <x v="0"/>
    <x v="4"/>
    <x v="0"/>
    <x v="0"/>
    <s v="DK1_Large_PHL"/>
    <x v="16"/>
    <n v="8.3492014028755008"/>
    <n v="2.31922261190986"/>
  </r>
  <r>
    <x v="0"/>
    <x v="4"/>
    <x v="0"/>
    <x v="0"/>
    <s v="DK1_Large_PHL"/>
    <x v="17"/>
    <n v="9.5251168185584092"/>
    <n v="2.6458657829328902"/>
  </r>
  <r>
    <x v="0"/>
    <x v="4"/>
    <x v="0"/>
    <x v="0"/>
    <s v="DK1_Large_PHL"/>
    <x v="18"/>
    <n v="21.5197083678542"/>
    <n v="5.9776967688483804"/>
  </r>
  <r>
    <x v="0"/>
    <x v="4"/>
    <x v="0"/>
    <x v="0"/>
    <s v="DK1_Large_PHL"/>
    <x v="19"/>
    <n v="8.1139884009941898"/>
    <n v="2.2538856669428302"/>
  </r>
  <r>
    <x v="0"/>
    <x v="4"/>
    <x v="0"/>
    <x v="0"/>
    <s v="DK1_Large_PHL"/>
    <x v="20"/>
    <n v="19.336735244541"/>
    <n v="5.37131534570584"/>
  </r>
  <r>
    <x v="0"/>
    <x v="4"/>
    <x v="0"/>
    <x v="0"/>
    <s v="DK1_Large_PHL"/>
    <x v="21"/>
    <n v="53.225806451612797"/>
    <n v="14.784946236559099"/>
  </r>
  <r>
    <x v="0"/>
    <x v="4"/>
    <x v="0"/>
    <x v="0"/>
    <s v="DK1_Large_PHL"/>
    <x v="22"/>
    <n v="130.68"/>
    <n v="36.299999999999997"/>
  </r>
  <r>
    <x v="0"/>
    <x v="4"/>
    <x v="0"/>
    <x v="0"/>
    <s v="DK1_Large_PHL"/>
    <x v="23"/>
    <n v="0.35278210439105201"/>
    <n v="9.7995028997514499E-2"/>
  </r>
  <r>
    <x v="0"/>
    <x v="4"/>
    <x v="0"/>
    <x v="0"/>
    <s v="DK1_Large_PHL"/>
    <x v="24"/>
    <n v="20.0161025734538"/>
    <n v="5.5600284926260501"/>
  </r>
  <r>
    <x v="0"/>
    <x v="4"/>
    <x v="0"/>
    <x v="0"/>
    <s v="DK1_Large_PHL"/>
    <x v="25"/>
    <n v="22.356874337357301"/>
    <n v="6.2102428714881297"/>
  </r>
  <r>
    <x v="0"/>
    <x v="4"/>
    <x v="0"/>
    <x v="0"/>
    <s v="DK1_Large_PHL"/>
    <x v="26"/>
    <n v="29.6651032387655"/>
    <n v="8.2403064552126306"/>
  </r>
  <r>
    <x v="0"/>
    <x v="4"/>
    <x v="0"/>
    <x v="0"/>
    <s v="DK1_Large_PHL"/>
    <x v="27"/>
    <n v="21.049332228666099"/>
    <n v="5.8470367301850299"/>
  </r>
  <r>
    <x v="0"/>
    <x v="4"/>
    <x v="0"/>
    <x v="0"/>
    <s v="DK1_MedSmall"/>
    <x v="1"/>
    <n v="35.989199999999997"/>
    <n v="9.9969999999999999"/>
  </r>
  <r>
    <x v="0"/>
    <x v="4"/>
    <x v="0"/>
    <x v="0"/>
    <s v="DK1_MedSmall"/>
    <x v="2"/>
    <n v="57.96"/>
    <n v="16.100000000000001"/>
  </r>
  <r>
    <x v="0"/>
    <x v="4"/>
    <x v="0"/>
    <x v="0"/>
    <s v="DK1_MedSmall"/>
    <x v="0"/>
    <n v="42.692399999999999"/>
    <n v="11.859"/>
  </r>
  <r>
    <x v="0"/>
    <x v="4"/>
    <x v="0"/>
    <x v="0"/>
    <s v="DK1_MedSmall"/>
    <x v="3"/>
    <n v="57.7974681027342"/>
    <n v="16.054852250759499"/>
  </r>
  <r>
    <x v="0"/>
    <x v="4"/>
    <x v="0"/>
    <x v="0"/>
    <s v="DK1_MedSmall"/>
    <x v="4"/>
    <n v="8.1139884009941898"/>
    <n v="2.2538856669428302"/>
  </r>
  <r>
    <x v="0"/>
    <x v="4"/>
    <x v="0"/>
    <x v="0"/>
    <s v="DK1_MedSmall"/>
    <x v="5"/>
    <n v="8.1139884009941898"/>
    <n v="2.2538856669428302"/>
  </r>
  <r>
    <x v="0"/>
    <x v="4"/>
    <x v="0"/>
    <x v="0"/>
    <s v="DK1_MedSmall"/>
    <x v="6"/>
    <n v="30.770439105219602"/>
    <n v="8.5473441958943202"/>
  </r>
  <r>
    <x v="0"/>
    <x v="4"/>
    <x v="0"/>
    <x v="0"/>
    <s v="DK1_MedSmall"/>
    <x v="7"/>
    <n v="71.350180613090302"/>
    <n v="19.819494614747299"/>
  </r>
  <r>
    <x v="0"/>
    <x v="4"/>
    <x v="0"/>
    <x v="0"/>
    <s v="DK1_MedSmall"/>
    <x v="8"/>
    <n v="71.350180613090302"/>
    <n v="19.819494614747299"/>
  </r>
  <r>
    <x v="0"/>
    <x v="4"/>
    <x v="0"/>
    <x v="0"/>
    <s v="DK1_MedSmall"/>
    <x v="9"/>
    <n v="44.803327257663497"/>
    <n v="12.4453686826843"/>
  </r>
  <r>
    <x v="0"/>
    <x v="4"/>
    <x v="0"/>
    <x v="0"/>
    <s v="DK1_MedSmall"/>
    <x v="10"/>
    <n v="54.681226180612903"/>
    <n v="15.1892294946147"/>
  </r>
  <r>
    <x v="0"/>
    <x v="4"/>
    <x v="0"/>
    <x v="0"/>
    <s v="DK1_MedSmall"/>
    <x v="11"/>
    <n v="3.8806031483015802"/>
    <n v="1.07794531897266"/>
  </r>
  <r>
    <x v="0"/>
    <x v="4"/>
    <x v="0"/>
    <x v="0"/>
    <s v="DK1_MedSmall"/>
    <x v="12"/>
    <n v="9.7995028997514597E-2"/>
    <n v="2.72208413881985E-2"/>
  </r>
  <r>
    <x v="0"/>
    <x v="4"/>
    <x v="0"/>
    <x v="0"/>
    <s v="DK1_MedSmall"/>
    <x v="13"/>
    <n v="21.5197083678542"/>
    <n v="5.9776967688483804"/>
  </r>
  <r>
    <x v="0"/>
    <x v="4"/>
    <x v="0"/>
    <x v="0"/>
    <s v="DK1_MedSmall"/>
    <x v="14"/>
    <n v="21.5197083678542"/>
    <n v="5.9776967688483804"/>
  </r>
  <r>
    <x v="0"/>
    <x v="4"/>
    <x v="0"/>
    <x v="0"/>
    <s v="DK1_MedSmall"/>
    <x v="15"/>
    <n v="1.65807589063794"/>
    <n v="0.46057663628831802"/>
  </r>
  <r>
    <x v="0"/>
    <x v="4"/>
    <x v="0"/>
    <x v="0"/>
    <s v="DK1_MedSmall"/>
    <x v="16"/>
    <n v="8.3492014028755008"/>
    <n v="2.31922261190986"/>
  </r>
  <r>
    <x v="0"/>
    <x v="4"/>
    <x v="0"/>
    <x v="0"/>
    <s v="DK1_MedSmall"/>
    <x v="17"/>
    <n v="9.5251168185584092"/>
    <n v="2.6458657829328902"/>
  </r>
  <r>
    <x v="0"/>
    <x v="4"/>
    <x v="0"/>
    <x v="0"/>
    <s v="DK1_MedSmall"/>
    <x v="18"/>
    <n v="21.5197083678542"/>
    <n v="5.9776967688483804"/>
  </r>
  <r>
    <x v="0"/>
    <x v="4"/>
    <x v="0"/>
    <x v="0"/>
    <s v="DK1_MedSmall"/>
    <x v="19"/>
    <n v="8.1139884009941898"/>
    <n v="2.2538856669428302"/>
  </r>
  <r>
    <x v="0"/>
    <x v="4"/>
    <x v="0"/>
    <x v="0"/>
    <s v="DK1_MedSmall"/>
    <x v="20"/>
    <n v="19.336735244541"/>
    <n v="5.37131534570584"/>
  </r>
  <r>
    <x v="0"/>
    <x v="4"/>
    <x v="0"/>
    <x v="0"/>
    <s v="DK1_MedSmall"/>
    <x v="21"/>
    <n v="53.225806451612797"/>
    <n v="14.784946236559099"/>
  </r>
  <r>
    <x v="0"/>
    <x v="4"/>
    <x v="0"/>
    <x v="0"/>
    <s v="DK1_MedSmall"/>
    <x v="22"/>
    <n v="130.68"/>
    <n v="36.299999999999997"/>
  </r>
  <r>
    <x v="0"/>
    <x v="4"/>
    <x v="0"/>
    <x v="0"/>
    <s v="DK1_MedSmall"/>
    <x v="23"/>
    <n v="0.35278210439105201"/>
    <n v="9.7995028997514499E-2"/>
  </r>
  <r>
    <x v="0"/>
    <x v="4"/>
    <x v="0"/>
    <x v="0"/>
    <s v="DK1_MedSmall"/>
    <x v="24"/>
    <n v="20.0161025734538"/>
    <n v="5.5600284926260501"/>
  </r>
  <r>
    <x v="0"/>
    <x v="4"/>
    <x v="0"/>
    <x v="0"/>
    <s v="DK1_MedSmall"/>
    <x v="25"/>
    <n v="22.356874337357301"/>
    <n v="6.2102428714881297"/>
  </r>
  <r>
    <x v="0"/>
    <x v="4"/>
    <x v="0"/>
    <x v="0"/>
    <s v="DK1_MedSmall"/>
    <x v="26"/>
    <n v="29.6651032387655"/>
    <n v="8.2403064552126306"/>
  </r>
  <r>
    <x v="0"/>
    <x v="4"/>
    <x v="0"/>
    <x v="0"/>
    <s v="DK1_MedSmall"/>
    <x v="27"/>
    <n v="21.049332228666099"/>
    <n v="5.8470367301850299"/>
  </r>
  <r>
    <x v="0"/>
    <x v="4"/>
    <x v="0"/>
    <x v="0"/>
    <s v="DK1_Medium"/>
    <x v="1"/>
    <n v="35.989199999999997"/>
    <n v="9.9969999999999999"/>
  </r>
  <r>
    <x v="0"/>
    <x v="4"/>
    <x v="0"/>
    <x v="0"/>
    <s v="DK1_Medium"/>
    <x v="2"/>
    <n v="57.96"/>
    <n v="16.100000000000001"/>
  </r>
  <r>
    <x v="0"/>
    <x v="4"/>
    <x v="0"/>
    <x v="0"/>
    <s v="DK1_Medium"/>
    <x v="0"/>
    <n v="42.692399999999999"/>
    <n v="11.859"/>
  </r>
  <r>
    <x v="0"/>
    <x v="4"/>
    <x v="0"/>
    <x v="0"/>
    <s v="DK1_Medium"/>
    <x v="3"/>
    <n v="57.7974681027342"/>
    <n v="16.054852250759499"/>
  </r>
  <r>
    <x v="0"/>
    <x v="4"/>
    <x v="0"/>
    <x v="0"/>
    <s v="DK1_Medium"/>
    <x v="4"/>
    <n v="8.1139884009941898"/>
    <n v="2.2538856669428302"/>
  </r>
  <r>
    <x v="0"/>
    <x v="4"/>
    <x v="0"/>
    <x v="0"/>
    <s v="DK1_Medium"/>
    <x v="5"/>
    <n v="8.1139884009941898"/>
    <n v="2.2538856669428302"/>
  </r>
  <r>
    <x v="0"/>
    <x v="4"/>
    <x v="0"/>
    <x v="0"/>
    <s v="DK1_Medium"/>
    <x v="6"/>
    <n v="30.770439105219602"/>
    <n v="8.5473441958943202"/>
  </r>
  <r>
    <x v="0"/>
    <x v="4"/>
    <x v="0"/>
    <x v="0"/>
    <s v="DK1_Medium"/>
    <x v="7"/>
    <n v="71.350180613090302"/>
    <n v="19.819494614747299"/>
  </r>
  <r>
    <x v="0"/>
    <x v="4"/>
    <x v="0"/>
    <x v="0"/>
    <s v="DK1_Medium"/>
    <x v="8"/>
    <n v="71.350180613090302"/>
    <n v="19.819494614747299"/>
  </r>
  <r>
    <x v="0"/>
    <x v="4"/>
    <x v="0"/>
    <x v="0"/>
    <s v="DK1_Medium"/>
    <x v="9"/>
    <n v="44.803327257663497"/>
    <n v="12.4453686826843"/>
  </r>
  <r>
    <x v="0"/>
    <x v="4"/>
    <x v="0"/>
    <x v="0"/>
    <s v="DK1_Medium"/>
    <x v="10"/>
    <n v="54.681226180612903"/>
    <n v="15.1892294946147"/>
  </r>
  <r>
    <x v="0"/>
    <x v="4"/>
    <x v="0"/>
    <x v="0"/>
    <s v="DK1_Medium"/>
    <x v="11"/>
    <n v="3.8806031483015802"/>
    <n v="1.07794531897266"/>
  </r>
  <r>
    <x v="0"/>
    <x v="4"/>
    <x v="0"/>
    <x v="0"/>
    <s v="DK1_Medium"/>
    <x v="12"/>
    <n v="9.7995028997514597E-2"/>
    <n v="2.72208413881985E-2"/>
  </r>
  <r>
    <x v="0"/>
    <x v="4"/>
    <x v="0"/>
    <x v="0"/>
    <s v="DK1_Medium"/>
    <x v="13"/>
    <n v="21.5197083678542"/>
    <n v="5.9776967688483804"/>
  </r>
  <r>
    <x v="0"/>
    <x v="4"/>
    <x v="0"/>
    <x v="0"/>
    <s v="DK1_Medium"/>
    <x v="14"/>
    <n v="21.5197083678542"/>
    <n v="5.9776967688483804"/>
  </r>
  <r>
    <x v="0"/>
    <x v="4"/>
    <x v="0"/>
    <x v="0"/>
    <s v="DK1_Medium"/>
    <x v="15"/>
    <n v="1.65807589063794"/>
    <n v="0.46057663628831802"/>
  </r>
  <r>
    <x v="0"/>
    <x v="4"/>
    <x v="0"/>
    <x v="0"/>
    <s v="DK1_Medium"/>
    <x v="16"/>
    <n v="8.3492014028755008"/>
    <n v="2.31922261190986"/>
  </r>
  <r>
    <x v="0"/>
    <x v="4"/>
    <x v="0"/>
    <x v="0"/>
    <s v="DK1_Medium"/>
    <x v="17"/>
    <n v="9.5251168185584092"/>
    <n v="2.6458657829328902"/>
  </r>
  <r>
    <x v="0"/>
    <x v="4"/>
    <x v="0"/>
    <x v="0"/>
    <s v="DK1_Medium"/>
    <x v="18"/>
    <n v="21.5197083678542"/>
    <n v="5.9776967688483804"/>
  </r>
  <r>
    <x v="0"/>
    <x v="4"/>
    <x v="0"/>
    <x v="0"/>
    <s v="DK1_Medium"/>
    <x v="19"/>
    <n v="8.1139884009941898"/>
    <n v="2.2538856669428302"/>
  </r>
  <r>
    <x v="0"/>
    <x v="4"/>
    <x v="0"/>
    <x v="0"/>
    <s v="DK1_Medium"/>
    <x v="20"/>
    <n v="19.336735244541"/>
    <n v="5.37131534570584"/>
  </r>
  <r>
    <x v="0"/>
    <x v="4"/>
    <x v="0"/>
    <x v="0"/>
    <s v="DK1_Medium"/>
    <x v="21"/>
    <n v="53.225806451612797"/>
    <n v="14.784946236559099"/>
  </r>
  <r>
    <x v="0"/>
    <x v="4"/>
    <x v="0"/>
    <x v="0"/>
    <s v="DK1_Medium"/>
    <x v="22"/>
    <n v="130.68"/>
    <n v="36.299999999999997"/>
  </r>
  <r>
    <x v="0"/>
    <x v="4"/>
    <x v="0"/>
    <x v="0"/>
    <s v="DK1_Medium"/>
    <x v="23"/>
    <n v="0.35278210439105201"/>
    <n v="9.7995028997514499E-2"/>
  </r>
  <r>
    <x v="0"/>
    <x v="4"/>
    <x v="0"/>
    <x v="0"/>
    <s v="DK1_Medium"/>
    <x v="24"/>
    <n v="20.0161025734538"/>
    <n v="5.5600284926260501"/>
  </r>
  <r>
    <x v="0"/>
    <x v="4"/>
    <x v="0"/>
    <x v="0"/>
    <s v="DK1_Medium"/>
    <x v="25"/>
    <n v="22.356874337357301"/>
    <n v="6.2102428714881297"/>
  </r>
  <r>
    <x v="0"/>
    <x v="4"/>
    <x v="0"/>
    <x v="0"/>
    <s v="DK1_Medium"/>
    <x v="26"/>
    <n v="29.6651032387655"/>
    <n v="8.2403064552126306"/>
  </r>
  <r>
    <x v="0"/>
    <x v="4"/>
    <x v="0"/>
    <x v="0"/>
    <s v="DK1_Medium"/>
    <x v="27"/>
    <n v="21.049332228666099"/>
    <n v="5.8470367301850299"/>
  </r>
  <r>
    <x v="0"/>
    <x v="4"/>
    <x v="0"/>
    <x v="0"/>
    <s v="DK1_NoDH"/>
    <x v="1"/>
    <n v="35.989199999999997"/>
    <n v="9.9969999999999999"/>
  </r>
  <r>
    <x v="0"/>
    <x v="4"/>
    <x v="0"/>
    <x v="0"/>
    <s v="DK1_NoDH"/>
    <x v="2"/>
    <n v="57.96"/>
    <n v="16.100000000000001"/>
  </r>
  <r>
    <x v="0"/>
    <x v="4"/>
    <x v="0"/>
    <x v="0"/>
    <s v="DK1_NoDH"/>
    <x v="0"/>
    <n v="42.692399999999999"/>
    <n v="11.859"/>
  </r>
  <r>
    <x v="0"/>
    <x v="4"/>
    <x v="0"/>
    <x v="0"/>
    <s v="DK1_NoDH"/>
    <x v="3"/>
    <n v="57.7974681027342"/>
    <n v="16.054852250759499"/>
  </r>
  <r>
    <x v="0"/>
    <x v="4"/>
    <x v="0"/>
    <x v="0"/>
    <s v="DK1_NoDH"/>
    <x v="4"/>
    <n v="8.1139884009941898"/>
    <n v="2.2538856669428302"/>
  </r>
  <r>
    <x v="0"/>
    <x v="4"/>
    <x v="0"/>
    <x v="0"/>
    <s v="DK1_NoDH"/>
    <x v="5"/>
    <n v="8.1139884009941898"/>
    <n v="2.2538856669428302"/>
  </r>
  <r>
    <x v="0"/>
    <x v="4"/>
    <x v="0"/>
    <x v="0"/>
    <s v="DK1_NoDH"/>
    <x v="6"/>
    <n v="30.770439105219602"/>
    <n v="8.5473441958943202"/>
  </r>
  <r>
    <x v="0"/>
    <x v="4"/>
    <x v="0"/>
    <x v="0"/>
    <s v="DK1_NoDH"/>
    <x v="7"/>
    <n v="71.350180613090302"/>
    <n v="19.819494614747299"/>
  </r>
  <r>
    <x v="0"/>
    <x v="4"/>
    <x v="0"/>
    <x v="0"/>
    <s v="DK1_NoDH"/>
    <x v="8"/>
    <n v="71.350180613090302"/>
    <n v="19.819494614747299"/>
  </r>
  <r>
    <x v="0"/>
    <x v="4"/>
    <x v="0"/>
    <x v="0"/>
    <s v="DK1_NoDH"/>
    <x v="9"/>
    <n v="44.803327257663497"/>
    <n v="12.4453686826843"/>
  </r>
  <r>
    <x v="0"/>
    <x v="4"/>
    <x v="0"/>
    <x v="0"/>
    <s v="DK1_NoDH"/>
    <x v="10"/>
    <n v="54.681226180612903"/>
    <n v="15.1892294946147"/>
  </r>
  <r>
    <x v="0"/>
    <x v="4"/>
    <x v="0"/>
    <x v="0"/>
    <s v="DK1_NoDH"/>
    <x v="11"/>
    <n v="3.8806031483015802"/>
    <n v="1.07794531897266"/>
  </r>
  <r>
    <x v="0"/>
    <x v="4"/>
    <x v="0"/>
    <x v="0"/>
    <s v="DK1_NoDH"/>
    <x v="12"/>
    <n v="9.7995028997514597E-2"/>
    <n v="2.72208413881985E-2"/>
  </r>
  <r>
    <x v="0"/>
    <x v="4"/>
    <x v="0"/>
    <x v="0"/>
    <s v="DK1_NoDH"/>
    <x v="13"/>
    <n v="21.5197083678542"/>
    <n v="5.9776967688483804"/>
  </r>
  <r>
    <x v="0"/>
    <x v="4"/>
    <x v="0"/>
    <x v="0"/>
    <s v="DK1_NoDH"/>
    <x v="14"/>
    <n v="21.5197083678542"/>
    <n v="5.9776967688483804"/>
  </r>
  <r>
    <x v="0"/>
    <x v="4"/>
    <x v="0"/>
    <x v="0"/>
    <s v="DK1_NoDH"/>
    <x v="15"/>
    <n v="1.65807589063794"/>
    <n v="0.46057663628831802"/>
  </r>
  <r>
    <x v="0"/>
    <x v="4"/>
    <x v="0"/>
    <x v="0"/>
    <s v="DK1_NoDH"/>
    <x v="16"/>
    <n v="8.3492014028755008"/>
    <n v="2.31922261190986"/>
  </r>
  <r>
    <x v="0"/>
    <x v="4"/>
    <x v="0"/>
    <x v="0"/>
    <s v="DK1_NoDH"/>
    <x v="17"/>
    <n v="9.5251168185584092"/>
    <n v="2.6458657829328902"/>
  </r>
  <r>
    <x v="0"/>
    <x v="4"/>
    <x v="0"/>
    <x v="0"/>
    <s v="DK1_NoDH"/>
    <x v="18"/>
    <n v="21.5197083678542"/>
    <n v="5.9776967688483804"/>
  </r>
  <r>
    <x v="0"/>
    <x v="4"/>
    <x v="0"/>
    <x v="0"/>
    <s v="DK1_NoDH"/>
    <x v="19"/>
    <n v="8.1139884009941898"/>
    <n v="2.2538856669428302"/>
  </r>
  <r>
    <x v="0"/>
    <x v="4"/>
    <x v="0"/>
    <x v="0"/>
    <s v="DK1_NoDH"/>
    <x v="20"/>
    <n v="19.336735244541"/>
    <n v="5.37131534570584"/>
  </r>
  <r>
    <x v="0"/>
    <x v="4"/>
    <x v="0"/>
    <x v="0"/>
    <s v="DK1_NoDH"/>
    <x v="21"/>
    <n v="53.225806451612797"/>
    <n v="14.784946236559099"/>
  </r>
  <r>
    <x v="0"/>
    <x v="4"/>
    <x v="0"/>
    <x v="0"/>
    <s v="DK1_NoDH"/>
    <x v="22"/>
    <n v="130.68"/>
    <n v="36.299999999999997"/>
  </r>
  <r>
    <x v="0"/>
    <x v="4"/>
    <x v="0"/>
    <x v="0"/>
    <s v="DK1_NoDH"/>
    <x v="23"/>
    <n v="0.35278210439105201"/>
    <n v="9.7995028997514499E-2"/>
  </r>
  <r>
    <x v="0"/>
    <x v="4"/>
    <x v="0"/>
    <x v="0"/>
    <s v="DK1_NoDH"/>
    <x v="24"/>
    <n v="20.0161025734538"/>
    <n v="5.5600284926260501"/>
  </r>
  <r>
    <x v="0"/>
    <x v="4"/>
    <x v="0"/>
    <x v="0"/>
    <s v="DK1_NoDH"/>
    <x v="25"/>
    <n v="22.356874337357301"/>
    <n v="6.2102428714881297"/>
  </r>
  <r>
    <x v="0"/>
    <x v="4"/>
    <x v="0"/>
    <x v="0"/>
    <s v="DK1_NoDH"/>
    <x v="26"/>
    <n v="29.6651032387655"/>
    <n v="8.2403064552126306"/>
  </r>
  <r>
    <x v="0"/>
    <x v="4"/>
    <x v="0"/>
    <x v="0"/>
    <s v="DK1_NoDH"/>
    <x v="27"/>
    <n v="21.049332228666099"/>
    <n v="5.8470367301850299"/>
  </r>
  <r>
    <x v="0"/>
    <x v="4"/>
    <x v="0"/>
    <x v="0"/>
    <s v="DK1_NoDH_PHH"/>
    <x v="1"/>
    <n v="35.989199999999997"/>
    <n v="9.9969999999999999"/>
  </r>
  <r>
    <x v="0"/>
    <x v="4"/>
    <x v="0"/>
    <x v="0"/>
    <s v="DK1_NoDH_PHH"/>
    <x v="2"/>
    <n v="57.96"/>
    <n v="16.100000000000001"/>
  </r>
  <r>
    <x v="0"/>
    <x v="4"/>
    <x v="0"/>
    <x v="0"/>
    <s v="DK1_NoDH_PHH"/>
    <x v="0"/>
    <n v="42.692399999999999"/>
    <n v="11.859"/>
  </r>
  <r>
    <x v="0"/>
    <x v="4"/>
    <x v="0"/>
    <x v="0"/>
    <s v="DK1_NoDH_PHH"/>
    <x v="3"/>
    <n v="57.7974681027342"/>
    <n v="16.054852250759499"/>
  </r>
  <r>
    <x v="0"/>
    <x v="4"/>
    <x v="0"/>
    <x v="0"/>
    <s v="DK1_NoDH_PHH"/>
    <x v="4"/>
    <n v="8.1139884009941898"/>
    <n v="2.2538856669428302"/>
  </r>
  <r>
    <x v="0"/>
    <x v="4"/>
    <x v="0"/>
    <x v="0"/>
    <s v="DK1_NoDH_PHH"/>
    <x v="5"/>
    <n v="8.1139884009941898"/>
    <n v="2.2538856669428302"/>
  </r>
  <r>
    <x v="0"/>
    <x v="4"/>
    <x v="0"/>
    <x v="0"/>
    <s v="DK1_NoDH_PHH"/>
    <x v="6"/>
    <n v="30.770439105219602"/>
    <n v="8.5473441958943202"/>
  </r>
  <r>
    <x v="0"/>
    <x v="4"/>
    <x v="0"/>
    <x v="0"/>
    <s v="DK1_NoDH_PHH"/>
    <x v="7"/>
    <n v="71.350180613090302"/>
    <n v="19.819494614747299"/>
  </r>
  <r>
    <x v="0"/>
    <x v="4"/>
    <x v="0"/>
    <x v="0"/>
    <s v="DK1_NoDH_PHH"/>
    <x v="8"/>
    <n v="71.350180613090302"/>
    <n v="19.819494614747299"/>
  </r>
  <r>
    <x v="0"/>
    <x v="4"/>
    <x v="0"/>
    <x v="0"/>
    <s v="DK1_NoDH_PHH"/>
    <x v="9"/>
    <n v="44.803327257663497"/>
    <n v="12.4453686826843"/>
  </r>
  <r>
    <x v="0"/>
    <x v="4"/>
    <x v="0"/>
    <x v="0"/>
    <s v="DK1_NoDH_PHH"/>
    <x v="10"/>
    <n v="54.681226180612903"/>
    <n v="15.1892294946147"/>
  </r>
  <r>
    <x v="0"/>
    <x v="4"/>
    <x v="0"/>
    <x v="0"/>
    <s v="DK1_NoDH_PHH"/>
    <x v="11"/>
    <n v="3.8806031483015802"/>
    <n v="1.07794531897266"/>
  </r>
  <r>
    <x v="0"/>
    <x v="4"/>
    <x v="0"/>
    <x v="0"/>
    <s v="DK1_NoDH_PHH"/>
    <x v="12"/>
    <n v="9.7995028997514597E-2"/>
    <n v="2.72208413881985E-2"/>
  </r>
  <r>
    <x v="0"/>
    <x v="4"/>
    <x v="0"/>
    <x v="0"/>
    <s v="DK1_NoDH_PHH"/>
    <x v="13"/>
    <n v="21.5197083678542"/>
    <n v="5.9776967688483804"/>
  </r>
  <r>
    <x v="0"/>
    <x v="4"/>
    <x v="0"/>
    <x v="0"/>
    <s v="DK1_NoDH_PHH"/>
    <x v="14"/>
    <n v="21.5197083678542"/>
    <n v="5.9776967688483804"/>
  </r>
  <r>
    <x v="0"/>
    <x v="4"/>
    <x v="0"/>
    <x v="0"/>
    <s v="DK1_NoDH_PHH"/>
    <x v="15"/>
    <n v="1.65807589063794"/>
    <n v="0.46057663628831802"/>
  </r>
  <r>
    <x v="0"/>
    <x v="4"/>
    <x v="0"/>
    <x v="0"/>
    <s v="DK1_NoDH_PHH"/>
    <x v="16"/>
    <n v="8.3492014028755008"/>
    <n v="2.31922261190986"/>
  </r>
  <r>
    <x v="0"/>
    <x v="4"/>
    <x v="0"/>
    <x v="0"/>
    <s v="DK1_NoDH_PHH"/>
    <x v="17"/>
    <n v="9.5251168185584092"/>
    <n v="2.6458657829328902"/>
  </r>
  <r>
    <x v="0"/>
    <x v="4"/>
    <x v="0"/>
    <x v="0"/>
    <s v="DK1_NoDH_PHH"/>
    <x v="18"/>
    <n v="21.5197083678542"/>
    <n v="5.9776967688483804"/>
  </r>
  <r>
    <x v="0"/>
    <x v="4"/>
    <x v="0"/>
    <x v="0"/>
    <s v="DK1_NoDH_PHH"/>
    <x v="19"/>
    <n v="8.1139884009941898"/>
    <n v="2.2538856669428302"/>
  </r>
  <r>
    <x v="0"/>
    <x v="4"/>
    <x v="0"/>
    <x v="0"/>
    <s v="DK1_NoDH_PHH"/>
    <x v="20"/>
    <n v="19.336735244541"/>
    <n v="5.37131534570584"/>
  </r>
  <r>
    <x v="0"/>
    <x v="4"/>
    <x v="0"/>
    <x v="0"/>
    <s v="DK1_NoDH_PHH"/>
    <x v="21"/>
    <n v="53.225806451612797"/>
    <n v="14.784946236559099"/>
  </r>
  <r>
    <x v="0"/>
    <x v="4"/>
    <x v="0"/>
    <x v="0"/>
    <s v="DK1_NoDH_PHH"/>
    <x v="22"/>
    <n v="130.68"/>
    <n v="36.299999999999997"/>
  </r>
  <r>
    <x v="0"/>
    <x v="4"/>
    <x v="0"/>
    <x v="0"/>
    <s v="DK1_NoDH_PHH"/>
    <x v="23"/>
    <n v="0.35278210439105201"/>
    <n v="9.7995028997514499E-2"/>
  </r>
  <r>
    <x v="0"/>
    <x v="4"/>
    <x v="0"/>
    <x v="0"/>
    <s v="DK1_NoDH_PHH"/>
    <x v="24"/>
    <n v="20.0161025734538"/>
    <n v="5.5600284926260501"/>
  </r>
  <r>
    <x v="0"/>
    <x v="4"/>
    <x v="0"/>
    <x v="0"/>
    <s v="DK1_NoDH_PHH"/>
    <x v="25"/>
    <n v="22.356874337357301"/>
    <n v="6.2102428714881297"/>
  </r>
  <r>
    <x v="0"/>
    <x v="4"/>
    <x v="0"/>
    <x v="0"/>
    <s v="DK1_NoDH_PHH"/>
    <x v="26"/>
    <n v="29.6651032387655"/>
    <n v="8.2403064552126306"/>
  </r>
  <r>
    <x v="0"/>
    <x v="4"/>
    <x v="0"/>
    <x v="0"/>
    <s v="DK1_NoDH_PHH"/>
    <x v="27"/>
    <n v="21.049332228666099"/>
    <n v="5.8470367301850299"/>
  </r>
  <r>
    <x v="0"/>
    <x v="4"/>
    <x v="0"/>
    <x v="0"/>
    <s v="DK1_NoDH_PHL"/>
    <x v="1"/>
    <n v="35.989199999999997"/>
    <n v="9.9969999999999999"/>
  </r>
  <r>
    <x v="0"/>
    <x v="4"/>
    <x v="0"/>
    <x v="0"/>
    <s v="DK1_NoDH_PHL"/>
    <x v="2"/>
    <n v="57.96"/>
    <n v="16.100000000000001"/>
  </r>
  <r>
    <x v="0"/>
    <x v="4"/>
    <x v="0"/>
    <x v="0"/>
    <s v="DK1_NoDH_PHL"/>
    <x v="0"/>
    <n v="42.692399999999999"/>
    <n v="11.859"/>
  </r>
  <r>
    <x v="0"/>
    <x v="4"/>
    <x v="0"/>
    <x v="0"/>
    <s v="DK1_NoDH_PHL"/>
    <x v="3"/>
    <n v="57.7974681027342"/>
    <n v="16.054852250759499"/>
  </r>
  <r>
    <x v="0"/>
    <x v="4"/>
    <x v="0"/>
    <x v="0"/>
    <s v="DK1_NoDH_PHL"/>
    <x v="4"/>
    <n v="8.1139884009941898"/>
    <n v="2.2538856669428302"/>
  </r>
  <r>
    <x v="0"/>
    <x v="4"/>
    <x v="0"/>
    <x v="0"/>
    <s v="DK1_NoDH_PHL"/>
    <x v="5"/>
    <n v="8.1139884009941898"/>
    <n v="2.2538856669428302"/>
  </r>
  <r>
    <x v="0"/>
    <x v="4"/>
    <x v="0"/>
    <x v="0"/>
    <s v="DK1_NoDH_PHL"/>
    <x v="6"/>
    <n v="30.770439105219602"/>
    <n v="8.5473441958943202"/>
  </r>
  <r>
    <x v="0"/>
    <x v="4"/>
    <x v="0"/>
    <x v="0"/>
    <s v="DK1_NoDH_PHL"/>
    <x v="7"/>
    <n v="71.350180613090302"/>
    <n v="19.819494614747299"/>
  </r>
  <r>
    <x v="0"/>
    <x v="4"/>
    <x v="0"/>
    <x v="0"/>
    <s v="DK1_NoDH_PHL"/>
    <x v="8"/>
    <n v="71.350180613090302"/>
    <n v="19.819494614747299"/>
  </r>
  <r>
    <x v="0"/>
    <x v="4"/>
    <x v="0"/>
    <x v="0"/>
    <s v="DK1_NoDH_PHL"/>
    <x v="9"/>
    <n v="44.803327257663497"/>
    <n v="12.4453686826843"/>
  </r>
  <r>
    <x v="0"/>
    <x v="4"/>
    <x v="0"/>
    <x v="0"/>
    <s v="DK1_NoDH_PHL"/>
    <x v="10"/>
    <n v="54.681226180612903"/>
    <n v="15.1892294946147"/>
  </r>
  <r>
    <x v="0"/>
    <x v="4"/>
    <x v="0"/>
    <x v="0"/>
    <s v="DK1_NoDH_PHL"/>
    <x v="11"/>
    <n v="3.8806031483015802"/>
    <n v="1.07794531897266"/>
  </r>
  <r>
    <x v="0"/>
    <x v="4"/>
    <x v="0"/>
    <x v="0"/>
    <s v="DK1_NoDH_PHL"/>
    <x v="12"/>
    <n v="9.7995028997514597E-2"/>
    <n v="2.72208413881985E-2"/>
  </r>
  <r>
    <x v="0"/>
    <x v="4"/>
    <x v="0"/>
    <x v="0"/>
    <s v="DK1_NoDH_PHL"/>
    <x v="13"/>
    <n v="21.5197083678542"/>
    <n v="5.9776967688483804"/>
  </r>
  <r>
    <x v="0"/>
    <x v="4"/>
    <x v="0"/>
    <x v="0"/>
    <s v="DK1_NoDH_PHL"/>
    <x v="14"/>
    <n v="21.5197083678542"/>
    <n v="5.9776967688483804"/>
  </r>
  <r>
    <x v="0"/>
    <x v="4"/>
    <x v="0"/>
    <x v="0"/>
    <s v="DK1_NoDH_PHL"/>
    <x v="15"/>
    <n v="1.65807589063794"/>
    <n v="0.46057663628831802"/>
  </r>
  <r>
    <x v="0"/>
    <x v="4"/>
    <x v="0"/>
    <x v="0"/>
    <s v="DK1_NoDH_PHL"/>
    <x v="16"/>
    <n v="8.3492014028755008"/>
    <n v="2.31922261190986"/>
  </r>
  <r>
    <x v="0"/>
    <x v="4"/>
    <x v="0"/>
    <x v="0"/>
    <s v="DK1_NoDH_PHL"/>
    <x v="17"/>
    <n v="9.5251168185584092"/>
    <n v="2.6458657829328902"/>
  </r>
  <r>
    <x v="0"/>
    <x v="4"/>
    <x v="0"/>
    <x v="0"/>
    <s v="DK1_NoDH_PHL"/>
    <x v="18"/>
    <n v="21.5197083678542"/>
    <n v="5.9776967688483804"/>
  </r>
  <r>
    <x v="0"/>
    <x v="4"/>
    <x v="0"/>
    <x v="0"/>
    <s v="DK1_NoDH_PHL"/>
    <x v="19"/>
    <n v="8.1139884009941898"/>
    <n v="2.2538856669428302"/>
  </r>
  <r>
    <x v="0"/>
    <x v="4"/>
    <x v="0"/>
    <x v="0"/>
    <s v="DK1_NoDH_PHL"/>
    <x v="20"/>
    <n v="19.336735244541"/>
    <n v="5.37131534570584"/>
  </r>
  <r>
    <x v="0"/>
    <x v="4"/>
    <x v="0"/>
    <x v="0"/>
    <s v="DK1_NoDH_PHL"/>
    <x v="21"/>
    <n v="53.225806451612797"/>
    <n v="14.784946236559099"/>
  </r>
  <r>
    <x v="0"/>
    <x v="4"/>
    <x v="0"/>
    <x v="0"/>
    <s v="DK1_NoDH_PHL"/>
    <x v="22"/>
    <n v="130.68"/>
    <n v="36.299999999999997"/>
  </r>
  <r>
    <x v="0"/>
    <x v="4"/>
    <x v="0"/>
    <x v="0"/>
    <s v="DK1_NoDH_PHL"/>
    <x v="23"/>
    <n v="0.35278210439105201"/>
    <n v="9.7995028997514499E-2"/>
  </r>
  <r>
    <x v="0"/>
    <x v="4"/>
    <x v="0"/>
    <x v="0"/>
    <s v="DK1_NoDH_PHL"/>
    <x v="24"/>
    <n v="20.0161025734538"/>
    <n v="5.5600284926260501"/>
  </r>
  <r>
    <x v="0"/>
    <x v="4"/>
    <x v="0"/>
    <x v="0"/>
    <s v="DK1_NoDH_PHL"/>
    <x v="25"/>
    <n v="22.356874337357301"/>
    <n v="6.2102428714881297"/>
  </r>
  <r>
    <x v="0"/>
    <x v="4"/>
    <x v="0"/>
    <x v="0"/>
    <s v="DK1_NoDH_PHL"/>
    <x v="26"/>
    <n v="29.6651032387655"/>
    <n v="8.2403064552126306"/>
  </r>
  <r>
    <x v="0"/>
    <x v="4"/>
    <x v="0"/>
    <x v="0"/>
    <s v="DK1_NoDH_PHL"/>
    <x v="27"/>
    <n v="21.049332228666099"/>
    <n v="5.8470367301850299"/>
  </r>
  <r>
    <x v="0"/>
    <x v="4"/>
    <x v="0"/>
    <x v="0"/>
    <s v="DK1_Offshore"/>
    <x v="1"/>
    <n v="35.989199999999997"/>
    <n v="9.9969999999999999"/>
  </r>
  <r>
    <x v="0"/>
    <x v="4"/>
    <x v="0"/>
    <x v="0"/>
    <s v="DK1_Offshore"/>
    <x v="2"/>
    <n v="57.96"/>
    <n v="16.100000000000001"/>
  </r>
  <r>
    <x v="0"/>
    <x v="4"/>
    <x v="0"/>
    <x v="0"/>
    <s v="DK1_Offshore"/>
    <x v="0"/>
    <n v="42.692399999999999"/>
    <n v="11.859"/>
  </r>
  <r>
    <x v="0"/>
    <x v="4"/>
    <x v="0"/>
    <x v="0"/>
    <s v="DK1_Offshore"/>
    <x v="3"/>
    <n v="57.7974681027342"/>
    <n v="16.054852250759499"/>
  </r>
  <r>
    <x v="0"/>
    <x v="4"/>
    <x v="0"/>
    <x v="0"/>
    <s v="DK1_Offshore"/>
    <x v="4"/>
    <n v="8.1139884009941898"/>
    <n v="2.2538856669428302"/>
  </r>
  <r>
    <x v="0"/>
    <x v="4"/>
    <x v="0"/>
    <x v="0"/>
    <s v="DK1_Offshore"/>
    <x v="5"/>
    <n v="8.1139884009941898"/>
    <n v="2.2538856669428302"/>
  </r>
  <r>
    <x v="0"/>
    <x v="4"/>
    <x v="0"/>
    <x v="0"/>
    <s v="DK1_Offshore"/>
    <x v="6"/>
    <n v="30.770439105219602"/>
    <n v="8.5473441958943202"/>
  </r>
  <r>
    <x v="0"/>
    <x v="4"/>
    <x v="0"/>
    <x v="0"/>
    <s v="DK1_Offshore"/>
    <x v="7"/>
    <n v="71.350180613090302"/>
    <n v="19.819494614747299"/>
  </r>
  <r>
    <x v="0"/>
    <x v="4"/>
    <x v="0"/>
    <x v="0"/>
    <s v="DK1_Offshore"/>
    <x v="8"/>
    <n v="71.350180613090302"/>
    <n v="19.819494614747299"/>
  </r>
  <r>
    <x v="0"/>
    <x v="4"/>
    <x v="0"/>
    <x v="0"/>
    <s v="DK1_Offshore"/>
    <x v="9"/>
    <n v="44.803327257663497"/>
    <n v="12.4453686826843"/>
  </r>
  <r>
    <x v="0"/>
    <x v="4"/>
    <x v="0"/>
    <x v="0"/>
    <s v="DK1_Offshore"/>
    <x v="10"/>
    <n v="54.681226180612903"/>
    <n v="15.1892294946147"/>
  </r>
  <r>
    <x v="0"/>
    <x v="4"/>
    <x v="0"/>
    <x v="0"/>
    <s v="DK1_Offshore"/>
    <x v="11"/>
    <n v="3.8806031483015802"/>
    <n v="1.07794531897266"/>
  </r>
  <r>
    <x v="0"/>
    <x v="4"/>
    <x v="0"/>
    <x v="0"/>
    <s v="DK1_Offshore"/>
    <x v="12"/>
    <n v="9.7995028997514597E-2"/>
    <n v="2.72208413881985E-2"/>
  </r>
  <r>
    <x v="0"/>
    <x v="4"/>
    <x v="0"/>
    <x v="0"/>
    <s v="DK1_Offshore"/>
    <x v="13"/>
    <n v="21.5197083678542"/>
    <n v="5.9776967688483804"/>
  </r>
  <r>
    <x v="0"/>
    <x v="4"/>
    <x v="0"/>
    <x v="0"/>
    <s v="DK1_Offshore"/>
    <x v="14"/>
    <n v="21.5197083678542"/>
    <n v="5.9776967688483804"/>
  </r>
  <r>
    <x v="0"/>
    <x v="4"/>
    <x v="0"/>
    <x v="0"/>
    <s v="DK1_Offshore"/>
    <x v="15"/>
    <n v="1.65807589063794"/>
    <n v="0.46057663628831802"/>
  </r>
  <r>
    <x v="0"/>
    <x v="4"/>
    <x v="0"/>
    <x v="0"/>
    <s v="DK1_Offshore"/>
    <x v="16"/>
    <n v="8.3492014028755008"/>
    <n v="2.31922261190986"/>
  </r>
  <r>
    <x v="0"/>
    <x v="4"/>
    <x v="0"/>
    <x v="0"/>
    <s v="DK1_Offshore"/>
    <x v="17"/>
    <n v="9.5251168185584092"/>
    <n v="2.6458657829328902"/>
  </r>
  <r>
    <x v="0"/>
    <x v="4"/>
    <x v="0"/>
    <x v="0"/>
    <s v="DK1_Offshore"/>
    <x v="18"/>
    <n v="21.5197083678542"/>
    <n v="5.9776967688483804"/>
  </r>
  <r>
    <x v="0"/>
    <x v="4"/>
    <x v="0"/>
    <x v="0"/>
    <s v="DK1_Offshore"/>
    <x v="19"/>
    <n v="8.1139884009941898"/>
    <n v="2.2538856669428302"/>
  </r>
  <r>
    <x v="0"/>
    <x v="4"/>
    <x v="0"/>
    <x v="0"/>
    <s v="DK1_Offshore"/>
    <x v="20"/>
    <n v="19.336735244541"/>
    <n v="5.37131534570584"/>
  </r>
  <r>
    <x v="0"/>
    <x v="4"/>
    <x v="0"/>
    <x v="0"/>
    <s v="DK1_Offshore"/>
    <x v="21"/>
    <n v="53.225806451612797"/>
    <n v="14.784946236559099"/>
  </r>
  <r>
    <x v="0"/>
    <x v="4"/>
    <x v="0"/>
    <x v="0"/>
    <s v="DK1_Offshore"/>
    <x v="22"/>
    <n v="130.68"/>
    <n v="36.299999999999997"/>
  </r>
  <r>
    <x v="0"/>
    <x v="4"/>
    <x v="0"/>
    <x v="0"/>
    <s v="DK1_Offshore"/>
    <x v="23"/>
    <n v="0.35278210439105201"/>
    <n v="9.7995028997514499E-2"/>
  </r>
  <r>
    <x v="0"/>
    <x v="4"/>
    <x v="0"/>
    <x v="0"/>
    <s v="DK1_Offshore"/>
    <x v="24"/>
    <n v="20.0161025734538"/>
    <n v="5.5600284926260501"/>
  </r>
  <r>
    <x v="0"/>
    <x v="4"/>
    <x v="0"/>
    <x v="0"/>
    <s v="DK1_Offshore"/>
    <x v="25"/>
    <n v="22.356874337357301"/>
    <n v="6.2102428714881297"/>
  </r>
  <r>
    <x v="0"/>
    <x v="4"/>
    <x v="0"/>
    <x v="0"/>
    <s v="DK1_Offshore"/>
    <x v="26"/>
    <n v="29.6651032387655"/>
    <n v="8.2403064552126306"/>
  </r>
  <r>
    <x v="0"/>
    <x v="4"/>
    <x v="0"/>
    <x v="0"/>
    <s v="DK1_Offshore"/>
    <x v="27"/>
    <n v="21.049332228666099"/>
    <n v="5.8470367301850299"/>
  </r>
  <r>
    <x v="0"/>
    <x v="4"/>
    <x v="0"/>
    <x v="0"/>
    <s v="DK1_Rural"/>
    <x v="1"/>
    <n v="35.989199999999997"/>
    <n v="9.9969999999999999"/>
  </r>
  <r>
    <x v="0"/>
    <x v="4"/>
    <x v="0"/>
    <x v="0"/>
    <s v="DK1_Rural"/>
    <x v="2"/>
    <n v="57.96"/>
    <n v="16.100000000000001"/>
  </r>
  <r>
    <x v="0"/>
    <x v="4"/>
    <x v="0"/>
    <x v="0"/>
    <s v="DK1_Rural"/>
    <x v="0"/>
    <n v="42.692399999999999"/>
    <n v="11.859"/>
  </r>
  <r>
    <x v="0"/>
    <x v="4"/>
    <x v="0"/>
    <x v="0"/>
    <s v="DK1_Rural"/>
    <x v="3"/>
    <n v="57.7974681027342"/>
    <n v="16.054852250759499"/>
  </r>
  <r>
    <x v="0"/>
    <x v="4"/>
    <x v="0"/>
    <x v="0"/>
    <s v="DK1_Rural"/>
    <x v="4"/>
    <n v="8.1139884009941898"/>
    <n v="2.2538856669428302"/>
  </r>
  <r>
    <x v="0"/>
    <x v="4"/>
    <x v="0"/>
    <x v="0"/>
    <s v="DK1_Rural"/>
    <x v="5"/>
    <n v="8.1139884009941898"/>
    <n v="2.2538856669428302"/>
  </r>
  <r>
    <x v="0"/>
    <x v="4"/>
    <x v="0"/>
    <x v="0"/>
    <s v="DK1_Rural"/>
    <x v="6"/>
    <n v="30.770439105219602"/>
    <n v="8.5473441958943202"/>
  </r>
  <r>
    <x v="0"/>
    <x v="4"/>
    <x v="0"/>
    <x v="0"/>
    <s v="DK1_Rural"/>
    <x v="7"/>
    <n v="71.350180613090302"/>
    <n v="19.819494614747299"/>
  </r>
  <r>
    <x v="0"/>
    <x v="4"/>
    <x v="0"/>
    <x v="0"/>
    <s v="DK1_Rural"/>
    <x v="8"/>
    <n v="71.350180613090302"/>
    <n v="19.819494614747299"/>
  </r>
  <r>
    <x v="0"/>
    <x v="4"/>
    <x v="0"/>
    <x v="0"/>
    <s v="DK1_Rural"/>
    <x v="9"/>
    <n v="44.803327257663497"/>
    <n v="12.4453686826843"/>
  </r>
  <r>
    <x v="0"/>
    <x v="4"/>
    <x v="0"/>
    <x v="0"/>
    <s v="DK1_Rural"/>
    <x v="10"/>
    <n v="54.681226180612903"/>
    <n v="15.1892294946147"/>
  </r>
  <r>
    <x v="0"/>
    <x v="4"/>
    <x v="0"/>
    <x v="0"/>
    <s v="DK1_Rural"/>
    <x v="11"/>
    <n v="3.8806031483015802"/>
    <n v="1.07794531897266"/>
  </r>
  <r>
    <x v="0"/>
    <x v="4"/>
    <x v="0"/>
    <x v="0"/>
    <s v="DK1_Rural"/>
    <x v="12"/>
    <n v="9.7995028997514597E-2"/>
    <n v="2.72208413881985E-2"/>
  </r>
  <r>
    <x v="0"/>
    <x v="4"/>
    <x v="0"/>
    <x v="0"/>
    <s v="DK1_Rural"/>
    <x v="13"/>
    <n v="21.5197083678542"/>
    <n v="5.9776967688483804"/>
  </r>
  <r>
    <x v="0"/>
    <x v="4"/>
    <x v="0"/>
    <x v="0"/>
    <s v="DK1_Rural"/>
    <x v="14"/>
    <n v="21.5197083678542"/>
    <n v="5.9776967688483804"/>
  </r>
  <r>
    <x v="0"/>
    <x v="4"/>
    <x v="0"/>
    <x v="0"/>
    <s v="DK1_Rural"/>
    <x v="15"/>
    <n v="1.65807589063794"/>
    <n v="0.46057663628831802"/>
  </r>
  <r>
    <x v="0"/>
    <x v="4"/>
    <x v="0"/>
    <x v="0"/>
    <s v="DK1_Rural"/>
    <x v="16"/>
    <n v="8.3492014028755008"/>
    <n v="2.31922261190986"/>
  </r>
  <r>
    <x v="0"/>
    <x v="4"/>
    <x v="0"/>
    <x v="0"/>
    <s v="DK1_Rural"/>
    <x v="17"/>
    <n v="9.5251168185584092"/>
    <n v="2.6458657829328902"/>
  </r>
  <r>
    <x v="0"/>
    <x v="4"/>
    <x v="0"/>
    <x v="0"/>
    <s v="DK1_Rural"/>
    <x v="18"/>
    <n v="21.5197083678542"/>
    <n v="5.9776967688483804"/>
  </r>
  <r>
    <x v="0"/>
    <x v="4"/>
    <x v="0"/>
    <x v="0"/>
    <s v="DK1_Rural"/>
    <x v="19"/>
    <n v="8.1139884009941898"/>
    <n v="2.2538856669428302"/>
  </r>
  <r>
    <x v="0"/>
    <x v="4"/>
    <x v="0"/>
    <x v="0"/>
    <s v="DK1_Rural"/>
    <x v="20"/>
    <n v="19.336735244541"/>
    <n v="5.37131534570584"/>
  </r>
  <r>
    <x v="0"/>
    <x v="4"/>
    <x v="0"/>
    <x v="0"/>
    <s v="DK1_Rural"/>
    <x v="21"/>
    <n v="53.225806451612797"/>
    <n v="14.784946236559099"/>
  </r>
  <r>
    <x v="0"/>
    <x v="4"/>
    <x v="0"/>
    <x v="0"/>
    <s v="DK1_Rural"/>
    <x v="22"/>
    <n v="130.68"/>
    <n v="36.299999999999997"/>
  </r>
  <r>
    <x v="0"/>
    <x v="4"/>
    <x v="0"/>
    <x v="0"/>
    <s v="DK1_Rural"/>
    <x v="23"/>
    <n v="0.35278210439105201"/>
    <n v="9.7995028997514499E-2"/>
  </r>
  <r>
    <x v="0"/>
    <x v="4"/>
    <x v="0"/>
    <x v="0"/>
    <s v="DK1_Rural"/>
    <x v="24"/>
    <n v="20.0161025734538"/>
    <n v="5.5600284926260501"/>
  </r>
  <r>
    <x v="0"/>
    <x v="4"/>
    <x v="0"/>
    <x v="0"/>
    <s v="DK1_Rural"/>
    <x v="25"/>
    <n v="22.356874337357301"/>
    <n v="6.2102428714881297"/>
  </r>
  <r>
    <x v="0"/>
    <x v="4"/>
    <x v="0"/>
    <x v="0"/>
    <s v="DK1_Rural"/>
    <x v="26"/>
    <n v="29.6651032387655"/>
    <n v="8.2403064552126306"/>
  </r>
  <r>
    <x v="0"/>
    <x v="4"/>
    <x v="0"/>
    <x v="0"/>
    <s v="DK1_Rural"/>
    <x v="27"/>
    <n v="21.049332228666099"/>
    <n v="5.8470367301850299"/>
  </r>
  <r>
    <x v="0"/>
    <x v="4"/>
    <x v="0"/>
    <x v="0"/>
    <s v="DK1_Small"/>
    <x v="1"/>
    <n v="35.989199999999997"/>
    <n v="9.9969999999999999"/>
  </r>
  <r>
    <x v="0"/>
    <x v="4"/>
    <x v="0"/>
    <x v="0"/>
    <s v="DK1_Small"/>
    <x v="2"/>
    <n v="57.96"/>
    <n v="16.100000000000001"/>
  </r>
  <r>
    <x v="0"/>
    <x v="4"/>
    <x v="0"/>
    <x v="0"/>
    <s v="DK1_Small"/>
    <x v="0"/>
    <n v="42.692399999999999"/>
    <n v="11.859"/>
  </r>
  <r>
    <x v="0"/>
    <x v="4"/>
    <x v="0"/>
    <x v="0"/>
    <s v="DK1_Small"/>
    <x v="3"/>
    <n v="57.7974681027342"/>
    <n v="16.054852250759499"/>
  </r>
  <r>
    <x v="0"/>
    <x v="4"/>
    <x v="0"/>
    <x v="0"/>
    <s v="DK1_Small"/>
    <x v="4"/>
    <n v="8.1139884009941898"/>
    <n v="2.2538856669428302"/>
  </r>
  <r>
    <x v="0"/>
    <x v="4"/>
    <x v="0"/>
    <x v="0"/>
    <s v="DK1_Small"/>
    <x v="5"/>
    <n v="8.1139884009941898"/>
    <n v="2.2538856669428302"/>
  </r>
  <r>
    <x v="0"/>
    <x v="4"/>
    <x v="0"/>
    <x v="0"/>
    <s v="DK1_Small"/>
    <x v="6"/>
    <n v="30.770439105219602"/>
    <n v="8.5473441958943202"/>
  </r>
  <r>
    <x v="0"/>
    <x v="4"/>
    <x v="0"/>
    <x v="0"/>
    <s v="DK1_Small"/>
    <x v="7"/>
    <n v="71.350180613090302"/>
    <n v="19.819494614747299"/>
  </r>
  <r>
    <x v="0"/>
    <x v="4"/>
    <x v="0"/>
    <x v="0"/>
    <s v="DK1_Small"/>
    <x v="8"/>
    <n v="71.350180613090302"/>
    <n v="19.819494614747299"/>
  </r>
  <r>
    <x v="0"/>
    <x v="4"/>
    <x v="0"/>
    <x v="0"/>
    <s v="DK1_Small"/>
    <x v="9"/>
    <n v="44.803327257663497"/>
    <n v="12.4453686826843"/>
  </r>
  <r>
    <x v="0"/>
    <x v="4"/>
    <x v="0"/>
    <x v="0"/>
    <s v="DK1_Small"/>
    <x v="10"/>
    <n v="54.681226180612903"/>
    <n v="15.1892294946147"/>
  </r>
  <r>
    <x v="0"/>
    <x v="4"/>
    <x v="0"/>
    <x v="0"/>
    <s v="DK1_Small"/>
    <x v="11"/>
    <n v="3.8806031483015802"/>
    <n v="1.07794531897266"/>
  </r>
  <r>
    <x v="0"/>
    <x v="4"/>
    <x v="0"/>
    <x v="0"/>
    <s v="DK1_Small"/>
    <x v="12"/>
    <n v="9.7995028997514597E-2"/>
    <n v="2.72208413881985E-2"/>
  </r>
  <r>
    <x v="0"/>
    <x v="4"/>
    <x v="0"/>
    <x v="0"/>
    <s v="DK1_Small"/>
    <x v="13"/>
    <n v="21.5197083678542"/>
    <n v="5.9776967688483804"/>
  </r>
  <r>
    <x v="0"/>
    <x v="4"/>
    <x v="0"/>
    <x v="0"/>
    <s v="DK1_Small"/>
    <x v="14"/>
    <n v="21.5197083678542"/>
    <n v="5.9776967688483804"/>
  </r>
  <r>
    <x v="0"/>
    <x v="4"/>
    <x v="0"/>
    <x v="0"/>
    <s v="DK1_Small"/>
    <x v="15"/>
    <n v="1.65807589063794"/>
    <n v="0.46057663628831802"/>
  </r>
  <r>
    <x v="0"/>
    <x v="4"/>
    <x v="0"/>
    <x v="0"/>
    <s v="DK1_Small"/>
    <x v="16"/>
    <n v="8.3492014028755008"/>
    <n v="2.31922261190986"/>
  </r>
  <r>
    <x v="0"/>
    <x v="4"/>
    <x v="0"/>
    <x v="0"/>
    <s v="DK1_Small"/>
    <x v="17"/>
    <n v="9.5251168185584092"/>
    <n v="2.6458657829328902"/>
  </r>
  <r>
    <x v="0"/>
    <x v="4"/>
    <x v="0"/>
    <x v="0"/>
    <s v="DK1_Small"/>
    <x v="18"/>
    <n v="21.5197083678542"/>
    <n v="5.9776967688483804"/>
  </r>
  <r>
    <x v="0"/>
    <x v="4"/>
    <x v="0"/>
    <x v="0"/>
    <s v="DK1_Small"/>
    <x v="19"/>
    <n v="8.1139884009941898"/>
    <n v="2.2538856669428302"/>
  </r>
  <r>
    <x v="0"/>
    <x v="4"/>
    <x v="0"/>
    <x v="0"/>
    <s v="DK1_Small"/>
    <x v="20"/>
    <n v="19.336735244541"/>
    <n v="5.37131534570584"/>
  </r>
  <r>
    <x v="0"/>
    <x v="4"/>
    <x v="0"/>
    <x v="0"/>
    <s v="DK1_Small"/>
    <x v="21"/>
    <n v="53.225806451612797"/>
    <n v="14.784946236559099"/>
  </r>
  <r>
    <x v="0"/>
    <x v="4"/>
    <x v="0"/>
    <x v="0"/>
    <s v="DK1_Small"/>
    <x v="22"/>
    <n v="130.68"/>
    <n v="36.299999999999997"/>
  </r>
  <r>
    <x v="0"/>
    <x v="4"/>
    <x v="0"/>
    <x v="0"/>
    <s v="DK1_Small"/>
    <x v="23"/>
    <n v="0.35278210439105201"/>
    <n v="9.7995028997514499E-2"/>
  </r>
  <r>
    <x v="0"/>
    <x v="4"/>
    <x v="0"/>
    <x v="0"/>
    <s v="DK1_Small"/>
    <x v="24"/>
    <n v="20.0161025734538"/>
    <n v="5.5600284926260501"/>
  </r>
  <r>
    <x v="0"/>
    <x v="4"/>
    <x v="0"/>
    <x v="0"/>
    <s v="DK1_Small"/>
    <x v="25"/>
    <n v="22.356874337357301"/>
    <n v="6.2102428714881297"/>
  </r>
  <r>
    <x v="0"/>
    <x v="4"/>
    <x v="0"/>
    <x v="0"/>
    <s v="DK1_Small"/>
    <x v="26"/>
    <n v="29.6651032387655"/>
    <n v="8.2403064552126306"/>
  </r>
  <r>
    <x v="0"/>
    <x v="4"/>
    <x v="0"/>
    <x v="0"/>
    <s v="DK1_Small"/>
    <x v="27"/>
    <n v="21.049332228666099"/>
    <n v="5.8470367301850299"/>
  </r>
  <r>
    <x v="0"/>
    <x v="4"/>
    <x v="0"/>
    <x v="1"/>
    <s v="DK2_Large"/>
    <x v="1"/>
    <n v="35.989199999999997"/>
    <n v="9.9969999999999999"/>
  </r>
  <r>
    <x v="0"/>
    <x v="4"/>
    <x v="0"/>
    <x v="1"/>
    <s v="DK2_Large"/>
    <x v="2"/>
    <n v="57.96"/>
    <n v="16.100000000000001"/>
  </r>
  <r>
    <x v="0"/>
    <x v="4"/>
    <x v="0"/>
    <x v="1"/>
    <s v="DK2_Large"/>
    <x v="0"/>
    <n v="42.692399999999999"/>
    <n v="11.859"/>
  </r>
  <r>
    <x v="0"/>
    <x v="4"/>
    <x v="0"/>
    <x v="1"/>
    <s v="DK2_Large"/>
    <x v="3"/>
    <n v="57.7974681027342"/>
    <n v="16.054852250759499"/>
  </r>
  <r>
    <x v="0"/>
    <x v="4"/>
    <x v="0"/>
    <x v="1"/>
    <s v="DK2_Large"/>
    <x v="4"/>
    <n v="8.1139884009941898"/>
    <n v="2.2538856669428302"/>
  </r>
  <r>
    <x v="0"/>
    <x v="4"/>
    <x v="0"/>
    <x v="1"/>
    <s v="DK2_Large"/>
    <x v="5"/>
    <n v="8.1139884009941898"/>
    <n v="2.2538856669428302"/>
  </r>
  <r>
    <x v="0"/>
    <x v="4"/>
    <x v="0"/>
    <x v="1"/>
    <s v="DK2_Large"/>
    <x v="6"/>
    <n v="30.770439105219602"/>
    <n v="8.5473441958943202"/>
  </r>
  <r>
    <x v="0"/>
    <x v="4"/>
    <x v="0"/>
    <x v="1"/>
    <s v="DK2_Large"/>
    <x v="7"/>
    <n v="71.350180613090302"/>
    <n v="19.819494614747299"/>
  </r>
  <r>
    <x v="0"/>
    <x v="4"/>
    <x v="0"/>
    <x v="1"/>
    <s v="DK2_Large"/>
    <x v="8"/>
    <n v="71.350180613090302"/>
    <n v="19.819494614747299"/>
  </r>
  <r>
    <x v="0"/>
    <x v="4"/>
    <x v="0"/>
    <x v="1"/>
    <s v="DK2_Large"/>
    <x v="9"/>
    <n v="44.803327257663497"/>
    <n v="12.4453686826843"/>
  </r>
  <r>
    <x v="0"/>
    <x v="4"/>
    <x v="0"/>
    <x v="1"/>
    <s v="DK2_Large"/>
    <x v="10"/>
    <n v="54.681226180612903"/>
    <n v="15.1892294946147"/>
  </r>
  <r>
    <x v="0"/>
    <x v="4"/>
    <x v="0"/>
    <x v="1"/>
    <s v="DK2_Large"/>
    <x v="11"/>
    <n v="3.8806031483015802"/>
    <n v="1.07794531897266"/>
  </r>
  <r>
    <x v="0"/>
    <x v="4"/>
    <x v="0"/>
    <x v="1"/>
    <s v="DK2_Large"/>
    <x v="12"/>
    <n v="9.7995028997514597E-2"/>
    <n v="2.72208413881985E-2"/>
  </r>
  <r>
    <x v="0"/>
    <x v="4"/>
    <x v="0"/>
    <x v="1"/>
    <s v="DK2_Large"/>
    <x v="13"/>
    <n v="21.5197083678542"/>
    <n v="5.9776967688483804"/>
  </r>
  <r>
    <x v="0"/>
    <x v="4"/>
    <x v="0"/>
    <x v="1"/>
    <s v="DK2_Large"/>
    <x v="14"/>
    <n v="21.5197083678542"/>
    <n v="5.9776967688483804"/>
  </r>
  <r>
    <x v="0"/>
    <x v="4"/>
    <x v="0"/>
    <x v="1"/>
    <s v="DK2_Large"/>
    <x v="15"/>
    <n v="1.65807589063794"/>
    <n v="0.46057663628831802"/>
  </r>
  <r>
    <x v="0"/>
    <x v="4"/>
    <x v="0"/>
    <x v="1"/>
    <s v="DK2_Large"/>
    <x v="16"/>
    <n v="8.3492014028755008"/>
    <n v="2.31922261190986"/>
  </r>
  <r>
    <x v="0"/>
    <x v="4"/>
    <x v="0"/>
    <x v="1"/>
    <s v="DK2_Large"/>
    <x v="17"/>
    <n v="9.5251168185584092"/>
    <n v="2.6458657829328902"/>
  </r>
  <r>
    <x v="0"/>
    <x v="4"/>
    <x v="0"/>
    <x v="1"/>
    <s v="DK2_Large"/>
    <x v="18"/>
    <n v="21.5197083678542"/>
    <n v="5.9776967688483804"/>
  </r>
  <r>
    <x v="0"/>
    <x v="4"/>
    <x v="0"/>
    <x v="1"/>
    <s v="DK2_Large"/>
    <x v="19"/>
    <n v="8.1139884009941898"/>
    <n v="2.2538856669428302"/>
  </r>
  <r>
    <x v="0"/>
    <x v="4"/>
    <x v="0"/>
    <x v="1"/>
    <s v="DK2_Large"/>
    <x v="20"/>
    <n v="19.336735244541"/>
    <n v="5.37131534570584"/>
  </r>
  <r>
    <x v="0"/>
    <x v="4"/>
    <x v="0"/>
    <x v="1"/>
    <s v="DK2_Large"/>
    <x v="21"/>
    <n v="53.225806451612797"/>
    <n v="14.784946236559099"/>
  </r>
  <r>
    <x v="0"/>
    <x v="4"/>
    <x v="0"/>
    <x v="1"/>
    <s v="DK2_Large"/>
    <x v="22"/>
    <n v="130.68"/>
    <n v="36.299999999999997"/>
  </r>
  <r>
    <x v="0"/>
    <x v="4"/>
    <x v="0"/>
    <x v="1"/>
    <s v="DK2_Large"/>
    <x v="23"/>
    <n v="0.35278210439105201"/>
    <n v="9.7995028997514499E-2"/>
  </r>
  <r>
    <x v="0"/>
    <x v="4"/>
    <x v="0"/>
    <x v="1"/>
    <s v="DK2_Large"/>
    <x v="24"/>
    <n v="20.0161025734538"/>
    <n v="5.5600284926260501"/>
  </r>
  <r>
    <x v="0"/>
    <x v="4"/>
    <x v="0"/>
    <x v="1"/>
    <s v="DK2_Large"/>
    <x v="25"/>
    <n v="22.356874337357301"/>
    <n v="6.2102428714881297"/>
  </r>
  <r>
    <x v="0"/>
    <x v="4"/>
    <x v="0"/>
    <x v="1"/>
    <s v="DK2_Large"/>
    <x v="26"/>
    <n v="29.6651032387655"/>
    <n v="8.2403064552126306"/>
  </r>
  <r>
    <x v="0"/>
    <x v="4"/>
    <x v="0"/>
    <x v="1"/>
    <s v="DK2_Large"/>
    <x v="27"/>
    <n v="21.049332228666099"/>
    <n v="5.8470367301850299"/>
  </r>
  <r>
    <x v="0"/>
    <x v="4"/>
    <x v="0"/>
    <x v="1"/>
    <s v="DK2_Large_PHH"/>
    <x v="1"/>
    <n v="35.989199999999997"/>
    <n v="9.9969999999999999"/>
  </r>
  <r>
    <x v="0"/>
    <x v="4"/>
    <x v="0"/>
    <x v="1"/>
    <s v="DK2_Large_PHH"/>
    <x v="2"/>
    <n v="57.96"/>
    <n v="16.100000000000001"/>
  </r>
  <r>
    <x v="0"/>
    <x v="4"/>
    <x v="0"/>
    <x v="1"/>
    <s v="DK2_Large_PHH"/>
    <x v="0"/>
    <n v="42.692399999999999"/>
    <n v="11.859"/>
  </r>
  <r>
    <x v="0"/>
    <x v="4"/>
    <x v="0"/>
    <x v="1"/>
    <s v="DK2_Large_PHH"/>
    <x v="3"/>
    <n v="57.7974681027342"/>
    <n v="16.054852250759499"/>
  </r>
  <r>
    <x v="0"/>
    <x v="4"/>
    <x v="0"/>
    <x v="1"/>
    <s v="DK2_Large_PHH"/>
    <x v="4"/>
    <n v="8.1139884009941898"/>
    <n v="2.2538856669428302"/>
  </r>
  <r>
    <x v="0"/>
    <x v="4"/>
    <x v="0"/>
    <x v="1"/>
    <s v="DK2_Large_PHH"/>
    <x v="5"/>
    <n v="8.1139884009941898"/>
    <n v="2.2538856669428302"/>
  </r>
  <r>
    <x v="0"/>
    <x v="4"/>
    <x v="0"/>
    <x v="1"/>
    <s v="DK2_Large_PHH"/>
    <x v="6"/>
    <n v="30.770439105219602"/>
    <n v="8.5473441958943202"/>
  </r>
  <r>
    <x v="0"/>
    <x v="4"/>
    <x v="0"/>
    <x v="1"/>
    <s v="DK2_Large_PHH"/>
    <x v="7"/>
    <n v="71.350180613090302"/>
    <n v="19.819494614747299"/>
  </r>
  <r>
    <x v="0"/>
    <x v="4"/>
    <x v="0"/>
    <x v="1"/>
    <s v="DK2_Large_PHH"/>
    <x v="8"/>
    <n v="71.350180613090302"/>
    <n v="19.819494614747299"/>
  </r>
  <r>
    <x v="0"/>
    <x v="4"/>
    <x v="0"/>
    <x v="1"/>
    <s v="DK2_Large_PHH"/>
    <x v="9"/>
    <n v="44.803327257663497"/>
    <n v="12.4453686826843"/>
  </r>
  <r>
    <x v="0"/>
    <x v="4"/>
    <x v="0"/>
    <x v="1"/>
    <s v="DK2_Large_PHH"/>
    <x v="10"/>
    <n v="54.681226180612903"/>
    <n v="15.1892294946147"/>
  </r>
  <r>
    <x v="0"/>
    <x v="4"/>
    <x v="0"/>
    <x v="1"/>
    <s v="DK2_Large_PHH"/>
    <x v="11"/>
    <n v="3.8806031483015802"/>
    <n v="1.07794531897266"/>
  </r>
  <r>
    <x v="0"/>
    <x v="4"/>
    <x v="0"/>
    <x v="1"/>
    <s v="DK2_Large_PHH"/>
    <x v="12"/>
    <n v="9.7995028997514597E-2"/>
    <n v="2.72208413881985E-2"/>
  </r>
  <r>
    <x v="0"/>
    <x v="4"/>
    <x v="0"/>
    <x v="1"/>
    <s v="DK2_Large_PHH"/>
    <x v="13"/>
    <n v="21.5197083678542"/>
    <n v="5.9776967688483804"/>
  </r>
  <r>
    <x v="0"/>
    <x v="4"/>
    <x v="0"/>
    <x v="1"/>
    <s v="DK2_Large_PHH"/>
    <x v="14"/>
    <n v="21.5197083678542"/>
    <n v="5.9776967688483804"/>
  </r>
  <r>
    <x v="0"/>
    <x v="4"/>
    <x v="0"/>
    <x v="1"/>
    <s v="DK2_Large_PHH"/>
    <x v="15"/>
    <n v="1.65807589063794"/>
    <n v="0.46057663628831802"/>
  </r>
  <r>
    <x v="0"/>
    <x v="4"/>
    <x v="0"/>
    <x v="1"/>
    <s v="DK2_Large_PHH"/>
    <x v="16"/>
    <n v="8.3492014028755008"/>
    <n v="2.31922261190986"/>
  </r>
  <r>
    <x v="0"/>
    <x v="4"/>
    <x v="0"/>
    <x v="1"/>
    <s v="DK2_Large_PHH"/>
    <x v="17"/>
    <n v="9.5251168185584092"/>
    <n v="2.6458657829328902"/>
  </r>
  <r>
    <x v="0"/>
    <x v="4"/>
    <x v="0"/>
    <x v="1"/>
    <s v="DK2_Large_PHH"/>
    <x v="18"/>
    <n v="21.5197083678542"/>
    <n v="5.9776967688483804"/>
  </r>
  <r>
    <x v="0"/>
    <x v="4"/>
    <x v="0"/>
    <x v="1"/>
    <s v="DK2_Large_PHH"/>
    <x v="19"/>
    <n v="8.1139884009941898"/>
    <n v="2.2538856669428302"/>
  </r>
  <r>
    <x v="0"/>
    <x v="4"/>
    <x v="0"/>
    <x v="1"/>
    <s v="DK2_Large_PHH"/>
    <x v="20"/>
    <n v="19.336735244541"/>
    <n v="5.37131534570584"/>
  </r>
  <r>
    <x v="0"/>
    <x v="4"/>
    <x v="0"/>
    <x v="1"/>
    <s v="DK2_Large_PHH"/>
    <x v="21"/>
    <n v="53.225806451612797"/>
    <n v="14.784946236559099"/>
  </r>
  <r>
    <x v="0"/>
    <x v="4"/>
    <x v="0"/>
    <x v="1"/>
    <s v="DK2_Large_PHH"/>
    <x v="22"/>
    <n v="130.68"/>
    <n v="36.299999999999997"/>
  </r>
  <r>
    <x v="0"/>
    <x v="4"/>
    <x v="0"/>
    <x v="1"/>
    <s v="DK2_Large_PHH"/>
    <x v="23"/>
    <n v="0.35278210439105201"/>
    <n v="9.7995028997514499E-2"/>
  </r>
  <r>
    <x v="0"/>
    <x v="4"/>
    <x v="0"/>
    <x v="1"/>
    <s v="DK2_Large_PHH"/>
    <x v="24"/>
    <n v="20.0161025734538"/>
    <n v="5.5600284926260501"/>
  </r>
  <r>
    <x v="0"/>
    <x v="4"/>
    <x v="0"/>
    <x v="1"/>
    <s v="DK2_Large_PHH"/>
    <x v="25"/>
    <n v="22.356874337357301"/>
    <n v="6.2102428714881297"/>
  </r>
  <r>
    <x v="0"/>
    <x v="4"/>
    <x v="0"/>
    <x v="1"/>
    <s v="DK2_Large_PHH"/>
    <x v="26"/>
    <n v="29.6651032387655"/>
    <n v="8.2403064552126306"/>
  </r>
  <r>
    <x v="0"/>
    <x v="4"/>
    <x v="0"/>
    <x v="1"/>
    <s v="DK2_Large_PHH"/>
    <x v="27"/>
    <n v="21.049332228666099"/>
    <n v="5.8470367301850299"/>
  </r>
  <r>
    <x v="0"/>
    <x v="4"/>
    <x v="0"/>
    <x v="1"/>
    <s v="DK2_Large_PHL"/>
    <x v="1"/>
    <n v="35.989199999999997"/>
    <n v="9.9969999999999999"/>
  </r>
  <r>
    <x v="0"/>
    <x v="4"/>
    <x v="0"/>
    <x v="1"/>
    <s v="DK2_Large_PHL"/>
    <x v="2"/>
    <n v="57.96"/>
    <n v="16.100000000000001"/>
  </r>
  <r>
    <x v="0"/>
    <x v="4"/>
    <x v="0"/>
    <x v="1"/>
    <s v="DK2_Large_PHL"/>
    <x v="0"/>
    <n v="42.692399999999999"/>
    <n v="11.859"/>
  </r>
  <r>
    <x v="0"/>
    <x v="4"/>
    <x v="0"/>
    <x v="1"/>
    <s v="DK2_Large_PHL"/>
    <x v="3"/>
    <n v="57.7974681027342"/>
    <n v="16.054852250759499"/>
  </r>
  <r>
    <x v="0"/>
    <x v="4"/>
    <x v="0"/>
    <x v="1"/>
    <s v="DK2_Large_PHL"/>
    <x v="4"/>
    <n v="8.1139884009941898"/>
    <n v="2.2538856669428302"/>
  </r>
  <r>
    <x v="0"/>
    <x v="4"/>
    <x v="0"/>
    <x v="1"/>
    <s v="DK2_Large_PHL"/>
    <x v="5"/>
    <n v="8.1139884009941898"/>
    <n v="2.2538856669428302"/>
  </r>
  <r>
    <x v="0"/>
    <x v="4"/>
    <x v="0"/>
    <x v="1"/>
    <s v="DK2_Large_PHL"/>
    <x v="6"/>
    <n v="30.770439105219602"/>
    <n v="8.5473441958943202"/>
  </r>
  <r>
    <x v="0"/>
    <x v="4"/>
    <x v="0"/>
    <x v="1"/>
    <s v="DK2_Large_PHL"/>
    <x v="7"/>
    <n v="71.350180613090302"/>
    <n v="19.819494614747299"/>
  </r>
  <r>
    <x v="0"/>
    <x v="4"/>
    <x v="0"/>
    <x v="1"/>
    <s v="DK2_Large_PHL"/>
    <x v="8"/>
    <n v="71.350180613090302"/>
    <n v="19.819494614747299"/>
  </r>
  <r>
    <x v="0"/>
    <x v="4"/>
    <x v="0"/>
    <x v="1"/>
    <s v="DK2_Large_PHL"/>
    <x v="9"/>
    <n v="44.803327257663497"/>
    <n v="12.4453686826843"/>
  </r>
  <r>
    <x v="0"/>
    <x v="4"/>
    <x v="0"/>
    <x v="1"/>
    <s v="DK2_Large_PHL"/>
    <x v="10"/>
    <n v="54.681226180612903"/>
    <n v="15.1892294946147"/>
  </r>
  <r>
    <x v="0"/>
    <x v="4"/>
    <x v="0"/>
    <x v="1"/>
    <s v="DK2_Large_PHL"/>
    <x v="11"/>
    <n v="3.8806031483015802"/>
    <n v="1.07794531897266"/>
  </r>
  <r>
    <x v="0"/>
    <x v="4"/>
    <x v="0"/>
    <x v="1"/>
    <s v="DK2_Large_PHL"/>
    <x v="12"/>
    <n v="9.7995028997514597E-2"/>
    <n v="2.72208413881985E-2"/>
  </r>
  <r>
    <x v="0"/>
    <x v="4"/>
    <x v="0"/>
    <x v="1"/>
    <s v="DK2_Large_PHL"/>
    <x v="13"/>
    <n v="21.5197083678542"/>
    <n v="5.9776967688483804"/>
  </r>
  <r>
    <x v="0"/>
    <x v="4"/>
    <x v="0"/>
    <x v="1"/>
    <s v="DK2_Large_PHL"/>
    <x v="14"/>
    <n v="21.5197083678542"/>
    <n v="5.9776967688483804"/>
  </r>
  <r>
    <x v="0"/>
    <x v="4"/>
    <x v="0"/>
    <x v="1"/>
    <s v="DK2_Large_PHL"/>
    <x v="15"/>
    <n v="1.65807589063794"/>
    <n v="0.46057663628831802"/>
  </r>
  <r>
    <x v="0"/>
    <x v="4"/>
    <x v="0"/>
    <x v="1"/>
    <s v="DK2_Large_PHL"/>
    <x v="16"/>
    <n v="8.3492014028755008"/>
    <n v="2.31922261190986"/>
  </r>
  <r>
    <x v="0"/>
    <x v="4"/>
    <x v="0"/>
    <x v="1"/>
    <s v="DK2_Large_PHL"/>
    <x v="17"/>
    <n v="9.5251168185584092"/>
    <n v="2.6458657829328902"/>
  </r>
  <r>
    <x v="0"/>
    <x v="4"/>
    <x v="0"/>
    <x v="1"/>
    <s v="DK2_Large_PHL"/>
    <x v="18"/>
    <n v="21.5197083678542"/>
    <n v="5.9776967688483804"/>
  </r>
  <r>
    <x v="0"/>
    <x v="4"/>
    <x v="0"/>
    <x v="1"/>
    <s v="DK2_Large_PHL"/>
    <x v="19"/>
    <n v="8.1139884009941898"/>
    <n v="2.2538856669428302"/>
  </r>
  <r>
    <x v="0"/>
    <x v="4"/>
    <x v="0"/>
    <x v="1"/>
    <s v="DK2_Large_PHL"/>
    <x v="20"/>
    <n v="19.336735244541"/>
    <n v="5.37131534570584"/>
  </r>
  <r>
    <x v="0"/>
    <x v="4"/>
    <x v="0"/>
    <x v="1"/>
    <s v="DK2_Large_PHL"/>
    <x v="21"/>
    <n v="53.225806451612797"/>
    <n v="14.784946236559099"/>
  </r>
  <r>
    <x v="0"/>
    <x v="4"/>
    <x v="0"/>
    <x v="1"/>
    <s v="DK2_Large_PHL"/>
    <x v="22"/>
    <n v="130.68"/>
    <n v="36.299999999999997"/>
  </r>
  <r>
    <x v="0"/>
    <x v="4"/>
    <x v="0"/>
    <x v="1"/>
    <s v="DK2_Large_PHL"/>
    <x v="23"/>
    <n v="0.35278210439105201"/>
    <n v="9.7995028997514499E-2"/>
  </r>
  <r>
    <x v="0"/>
    <x v="4"/>
    <x v="0"/>
    <x v="1"/>
    <s v="DK2_Large_PHL"/>
    <x v="24"/>
    <n v="20.0161025734538"/>
    <n v="5.5600284926260501"/>
  </r>
  <r>
    <x v="0"/>
    <x v="4"/>
    <x v="0"/>
    <x v="1"/>
    <s v="DK2_Large_PHL"/>
    <x v="25"/>
    <n v="22.356874337357301"/>
    <n v="6.2102428714881297"/>
  </r>
  <r>
    <x v="0"/>
    <x v="4"/>
    <x v="0"/>
    <x v="1"/>
    <s v="DK2_Large_PHL"/>
    <x v="26"/>
    <n v="29.6651032387655"/>
    <n v="8.2403064552126306"/>
  </r>
  <r>
    <x v="0"/>
    <x v="4"/>
    <x v="0"/>
    <x v="1"/>
    <s v="DK2_Large_PHL"/>
    <x v="27"/>
    <n v="21.049332228666099"/>
    <n v="5.8470367301850299"/>
  </r>
  <r>
    <x v="0"/>
    <x v="4"/>
    <x v="0"/>
    <x v="1"/>
    <s v="DK2_MedSmall"/>
    <x v="1"/>
    <n v="35.989199999999997"/>
    <n v="9.9969999999999999"/>
  </r>
  <r>
    <x v="0"/>
    <x v="4"/>
    <x v="0"/>
    <x v="1"/>
    <s v="DK2_MedSmall"/>
    <x v="2"/>
    <n v="57.96"/>
    <n v="16.100000000000001"/>
  </r>
  <r>
    <x v="0"/>
    <x v="4"/>
    <x v="0"/>
    <x v="1"/>
    <s v="DK2_MedSmall"/>
    <x v="0"/>
    <n v="42.692399999999999"/>
    <n v="11.859"/>
  </r>
  <r>
    <x v="0"/>
    <x v="4"/>
    <x v="0"/>
    <x v="1"/>
    <s v="DK2_MedSmall"/>
    <x v="3"/>
    <n v="57.7974681027342"/>
    <n v="16.054852250759499"/>
  </r>
  <r>
    <x v="0"/>
    <x v="4"/>
    <x v="0"/>
    <x v="1"/>
    <s v="DK2_MedSmall"/>
    <x v="4"/>
    <n v="8.1139884009941898"/>
    <n v="2.2538856669428302"/>
  </r>
  <r>
    <x v="0"/>
    <x v="4"/>
    <x v="0"/>
    <x v="1"/>
    <s v="DK2_MedSmall"/>
    <x v="5"/>
    <n v="8.1139884009941898"/>
    <n v="2.2538856669428302"/>
  </r>
  <r>
    <x v="0"/>
    <x v="4"/>
    <x v="0"/>
    <x v="1"/>
    <s v="DK2_MedSmall"/>
    <x v="6"/>
    <n v="30.770439105219602"/>
    <n v="8.5473441958943202"/>
  </r>
  <r>
    <x v="0"/>
    <x v="4"/>
    <x v="0"/>
    <x v="1"/>
    <s v="DK2_MedSmall"/>
    <x v="7"/>
    <n v="71.350180613090302"/>
    <n v="19.819494614747299"/>
  </r>
  <r>
    <x v="0"/>
    <x v="4"/>
    <x v="0"/>
    <x v="1"/>
    <s v="DK2_MedSmall"/>
    <x v="8"/>
    <n v="71.350180613090302"/>
    <n v="19.819494614747299"/>
  </r>
  <r>
    <x v="0"/>
    <x v="4"/>
    <x v="0"/>
    <x v="1"/>
    <s v="DK2_MedSmall"/>
    <x v="9"/>
    <n v="44.803327257663497"/>
    <n v="12.4453686826843"/>
  </r>
  <r>
    <x v="0"/>
    <x v="4"/>
    <x v="0"/>
    <x v="1"/>
    <s v="DK2_MedSmall"/>
    <x v="10"/>
    <n v="54.681226180612903"/>
    <n v="15.1892294946147"/>
  </r>
  <r>
    <x v="0"/>
    <x v="4"/>
    <x v="0"/>
    <x v="1"/>
    <s v="DK2_MedSmall"/>
    <x v="11"/>
    <n v="3.8806031483015802"/>
    <n v="1.07794531897266"/>
  </r>
  <r>
    <x v="0"/>
    <x v="4"/>
    <x v="0"/>
    <x v="1"/>
    <s v="DK2_MedSmall"/>
    <x v="12"/>
    <n v="9.7995028997514597E-2"/>
    <n v="2.72208413881985E-2"/>
  </r>
  <r>
    <x v="0"/>
    <x v="4"/>
    <x v="0"/>
    <x v="1"/>
    <s v="DK2_MedSmall"/>
    <x v="13"/>
    <n v="21.5197083678542"/>
    <n v="5.9776967688483804"/>
  </r>
  <r>
    <x v="0"/>
    <x v="4"/>
    <x v="0"/>
    <x v="1"/>
    <s v="DK2_MedSmall"/>
    <x v="14"/>
    <n v="21.5197083678542"/>
    <n v="5.9776967688483804"/>
  </r>
  <r>
    <x v="0"/>
    <x v="4"/>
    <x v="0"/>
    <x v="1"/>
    <s v="DK2_MedSmall"/>
    <x v="15"/>
    <n v="1.65807589063794"/>
    <n v="0.46057663628831802"/>
  </r>
  <r>
    <x v="0"/>
    <x v="4"/>
    <x v="0"/>
    <x v="1"/>
    <s v="DK2_MedSmall"/>
    <x v="16"/>
    <n v="8.3492014028755008"/>
    <n v="2.31922261190986"/>
  </r>
  <r>
    <x v="0"/>
    <x v="4"/>
    <x v="0"/>
    <x v="1"/>
    <s v="DK2_MedSmall"/>
    <x v="17"/>
    <n v="9.5251168185584092"/>
    <n v="2.6458657829328902"/>
  </r>
  <r>
    <x v="0"/>
    <x v="4"/>
    <x v="0"/>
    <x v="1"/>
    <s v="DK2_MedSmall"/>
    <x v="18"/>
    <n v="21.5197083678542"/>
    <n v="5.9776967688483804"/>
  </r>
  <r>
    <x v="0"/>
    <x v="4"/>
    <x v="0"/>
    <x v="1"/>
    <s v="DK2_MedSmall"/>
    <x v="19"/>
    <n v="8.1139884009941898"/>
    <n v="2.2538856669428302"/>
  </r>
  <r>
    <x v="0"/>
    <x v="4"/>
    <x v="0"/>
    <x v="1"/>
    <s v="DK2_MedSmall"/>
    <x v="20"/>
    <n v="19.336735244541"/>
    <n v="5.37131534570584"/>
  </r>
  <r>
    <x v="0"/>
    <x v="4"/>
    <x v="0"/>
    <x v="1"/>
    <s v="DK2_MedSmall"/>
    <x v="21"/>
    <n v="53.225806451612797"/>
    <n v="14.784946236559099"/>
  </r>
  <r>
    <x v="0"/>
    <x v="4"/>
    <x v="0"/>
    <x v="1"/>
    <s v="DK2_MedSmall"/>
    <x v="22"/>
    <n v="130.68"/>
    <n v="36.299999999999997"/>
  </r>
  <r>
    <x v="0"/>
    <x v="4"/>
    <x v="0"/>
    <x v="1"/>
    <s v="DK2_MedSmall"/>
    <x v="23"/>
    <n v="0.35278210439105201"/>
    <n v="9.7995028997514499E-2"/>
  </r>
  <r>
    <x v="0"/>
    <x v="4"/>
    <x v="0"/>
    <x v="1"/>
    <s v="DK2_MedSmall"/>
    <x v="24"/>
    <n v="20.0161025734538"/>
    <n v="5.5600284926260501"/>
  </r>
  <r>
    <x v="0"/>
    <x v="4"/>
    <x v="0"/>
    <x v="1"/>
    <s v="DK2_MedSmall"/>
    <x v="25"/>
    <n v="22.356874337357301"/>
    <n v="6.2102428714881297"/>
  </r>
  <r>
    <x v="0"/>
    <x v="4"/>
    <x v="0"/>
    <x v="1"/>
    <s v="DK2_MedSmall"/>
    <x v="26"/>
    <n v="29.6651032387655"/>
    <n v="8.2403064552126306"/>
  </r>
  <r>
    <x v="0"/>
    <x v="4"/>
    <x v="0"/>
    <x v="1"/>
    <s v="DK2_MedSmall"/>
    <x v="27"/>
    <n v="21.049332228666099"/>
    <n v="5.8470367301850299"/>
  </r>
  <r>
    <x v="0"/>
    <x v="4"/>
    <x v="0"/>
    <x v="1"/>
    <s v="DK2_Medium"/>
    <x v="1"/>
    <n v="35.989199999999997"/>
    <n v="9.9969999999999999"/>
  </r>
  <r>
    <x v="0"/>
    <x v="4"/>
    <x v="0"/>
    <x v="1"/>
    <s v="DK2_Medium"/>
    <x v="2"/>
    <n v="57.96"/>
    <n v="16.100000000000001"/>
  </r>
  <r>
    <x v="0"/>
    <x v="4"/>
    <x v="0"/>
    <x v="1"/>
    <s v="DK2_Medium"/>
    <x v="0"/>
    <n v="42.692399999999999"/>
    <n v="11.859"/>
  </r>
  <r>
    <x v="0"/>
    <x v="4"/>
    <x v="0"/>
    <x v="1"/>
    <s v="DK2_Medium"/>
    <x v="3"/>
    <n v="57.7974681027342"/>
    <n v="16.054852250759499"/>
  </r>
  <r>
    <x v="0"/>
    <x v="4"/>
    <x v="0"/>
    <x v="1"/>
    <s v="DK2_Medium"/>
    <x v="4"/>
    <n v="8.1139884009941898"/>
    <n v="2.2538856669428302"/>
  </r>
  <r>
    <x v="0"/>
    <x v="4"/>
    <x v="0"/>
    <x v="1"/>
    <s v="DK2_Medium"/>
    <x v="5"/>
    <n v="8.1139884009941898"/>
    <n v="2.2538856669428302"/>
  </r>
  <r>
    <x v="0"/>
    <x v="4"/>
    <x v="0"/>
    <x v="1"/>
    <s v="DK2_Medium"/>
    <x v="6"/>
    <n v="30.770439105219602"/>
    <n v="8.5473441958943202"/>
  </r>
  <r>
    <x v="0"/>
    <x v="4"/>
    <x v="0"/>
    <x v="1"/>
    <s v="DK2_Medium"/>
    <x v="7"/>
    <n v="71.350180613090302"/>
    <n v="19.819494614747299"/>
  </r>
  <r>
    <x v="0"/>
    <x v="4"/>
    <x v="0"/>
    <x v="1"/>
    <s v="DK2_Medium"/>
    <x v="8"/>
    <n v="71.350180613090302"/>
    <n v="19.819494614747299"/>
  </r>
  <r>
    <x v="0"/>
    <x v="4"/>
    <x v="0"/>
    <x v="1"/>
    <s v="DK2_Medium"/>
    <x v="9"/>
    <n v="44.803327257663497"/>
    <n v="12.4453686826843"/>
  </r>
  <r>
    <x v="0"/>
    <x v="4"/>
    <x v="0"/>
    <x v="1"/>
    <s v="DK2_Medium"/>
    <x v="10"/>
    <n v="54.681226180612903"/>
    <n v="15.1892294946147"/>
  </r>
  <r>
    <x v="0"/>
    <x v="4"/>
    <x v="0"/>
    <x v="1"/>
    <s v="DK2_Medium"/>
    <x v="11"/>
    <n v="3.8806031483015802"/>
    <n v="1.07794531897266"/>
  </r>
  <r>
    <x v="0"/>
    <x v="4"/>
    <x v="0"/>
    <x v="1"/>
    <s v="DK2_Medium"/>
    <x v="12"/>
    <n v="9.7995028997514597E-2"/>
    <n v="2.72208413881985E-2"/>
  </r>
  <r>
    <x v="0"/>
    <x v="4"/>
    <x v="0"/>
    <x v="1"/>
    <s v="DK2_Medium"/>
    <x v="13"/>
    <n v="21.5197083678542"/>
    <n v="5.9776967688483804"/>
  </r>
  <r>
    <x v="0"/>
    <x v="4"/>
    <x v="0"/>
    <x v="1"/>
    <s v="DK2_Medium"/>
    <x v="14"/>
    <n v="21.5197083678542"/>
    <n v="5.9776967688483804"/>
  </r>
  <r>
    <x v="0"/>
    <x v="4"/>
    <x v="0"/>
    <x v="1"/>
    <s v="DK2_Medium"/>
    <x v="15"/>
    <n v="1.65807589063794"/>
    <n v="0.46057663628831802"/>
  </r>
  <r>
    <x v="0"/>
    <x v="4"/>
    <x v="0"/>
    <x v="1"/>
    <s v="DK2_Medium"/>
    <x v="16"/>
    <n v="8.3492014028755008"/>
    <n v="2.31922261190986"/>
  </r>
  <r>
    <x v="0"/>
    <x v="4"/>
    <x v="0"/>
    <x v="1"/>
    <s v="DK2_Medium"/>
    <x v="17"/>
    <n v="9.5251168185584092"/>
    <n v="2.6458657829328902"/>
  </r>
  <r>
    <x v="0"/>
    <x v="4"/>
    <x v="0"/>
    <x v="1"/>
    <s v="DK2_Medium"/>
    <x v="18"/>
    <n v="21.5197083678542"/>
    <n v="5.9776967688483804"/>
  </r>
  <r>
    <x v="0"/>
    <x v="4"/>
    <x v="0"/>
    <x v="1"/>
    <s v="DK2_Medium"/>
    <x v="19"/>
    <n v="8.1139884009941898"/>
    <n v="2.2538856669428302"/>
  </r>
  <r>
    <x v="0"/>
    <x v="4"/>
    <x v="0"/>
    <x v="1"/>
    <s v="DK2_Medium"/>
    <x v="20"/>
    <n v="19.336735244541"/>
    <n v="5.37131534570584"/>
  </r>
  <r>
    <x v="0"/>
    <x v="4"/>
    <x v="0"/>
    <x v="1"/>
    <s v="DK2_Medium"/>
    <x v="21"/>
    <n v="53.225806451612797"/>
    <n v="14.784946236559099"/>
  </r>
  <r>
    <x v="0"/>
    <x v="4"/>
    <x v="0"/>
    <x v="1"/>
    <s v="DK2_Medium"/>
    <x v="22"/>
    <n v="130.68"/>
    <n v="36.299999999999997"/>
  </r>
  <r>
    <x v="0"/>
    <x v="4"/>
    <x v="0"/>
    <x v="1"/>
    <s v="DK2_Medium"/>
    <x v="23"/>
    <n v="0.35278210439105201"/>
    <n v="9.7995028997514499E-2"/>
  </r>
  <r>
    <x v="0"/>
    <x v="4"/>
    <x v="0"/>
    <x v="1"/>
    <s v="DK2_Medium"/>
    <x v="24"/>
    <n v="20.0161025734538"/>
    <n v="5.5600284926260501"/>
  </r>
  <r>
    <x v="0"/>
    <x v="4"/>
    <x v="0"/>
    <x v="1"/>
    <s v="DK2_Medium"/>
    <x v="25"/>
    <n v="22.356874337357301"/>
    <n v="6.2102428714881297"/>
  </r>
  <r>
    <x v="0"/>
    <x v="4"/>
    <x v="0"/>
    <x v="1"/>
    <s v="DK2_Medium"/>
    <x v="26"/>
    <n v="29.6651032387655"/>
    <n v="8.2403064552126306"/>
  </r>
  <r>
    <x v="0"/>
    <x v="4"/>
    <x v="0"/>
    <x v="1"/>
    <s v="DK2_Medium"/>
    <x v="27"/>
    <n v="21.049332228666099"/>
    <n v="5.8470367301850299"/>
  </r>
  <r>
    <x v="0"/>
    <x v="4"/>
    <x v="0"/>
    <x v="1"/>
    <s v="DK2_NoDH"/>
    <x v="1"/>
    <n v="35.989199999999997"/>
    <n v="9.9969999999999999"/>
  </r>
  <r>
    <x v="0"/>
    <x v="4"/>
    <x v="0"/>
    <x v="1"/>
    <s v="DK2_NoDH"/>
    <x v="2"/>
    <n v="57.96"/>
    <n v="16.100000000000001"/>
  </r>
  <r>
    <x v="0"/>
    <x v="4"/>
    <x v="0"/>
    <x v="1"/>
    <s v="DK2_NoDH"/>
    <x v="0"/>
    <n v="42.692399999999999"/>
    <n v="11.859"/>
  </r>
  <r>
    <x v="0"/>
    <x v="4"/>
    <x v="0"/>
    <x v="1"/>
    <s v="DK2_NoDH"/>
    <x v="3"/>
    <n v="57.7974681027342"/>
    <n v="16.054852250759499"/>
  </r>
  <r>
    <x v="0"/>
    <x v="4"/>
    <x v="0"/>
    <x v="1"/>
    <s v="DK2_NoDH"/>
    <x v="4"/>
    <n v="8.1139884009941898"/>
    <n v="2.2538856669428302"/>
  </r>
  <r>
    <x v="0"/>
    <x v="4"/>
    <x v="0"/>
    <x v="1"/>
    <s v="DK2_NoDH"/>
    <x v="5"/>
    <n v="8.1139884009941898"/>
    <n v="2.2538856669428302"/>
  </r>
  <r>
    <x v="0"/>
    <x v="4"/>
    <x v="0"/>
    <x v="1"/>
    <s v="DK2_NoDH"/>
    <x v="6"/>
    <n v="30.770439105219602"/>
    <n v="8.5473441958943202"/>
  </r>
  <r>
    <x v="0"/>
    <x v="4"/>
    <x v="0"/>
    <x v="1"/>
    <s v="DK2_NoDH"/>
    <x v="7"/>
    <n v="71.350180613090302"/>
    <n v="19.819494614747299"/>
  </r>
  <r>
    <x v="0"/>
    <x v="4"/>
    <x v="0"/>
    <x v="1"/>
    <s v="DK2_NoDH"/>
    <x v="8"/>
    <n v="71.350180613090302"/>
    <n v="19.819494614747299"/>
  </r>
  <r>
    <x v="0"/>
    <x v="4"/>
    <x v="0"/>
    <x v="1"/>
    <s v="DK2_NoDH"/>
    <x v="9"/>
    <n v="44.803327257663497"/>
    <n v="12.4453686826843"/>
  </r>
  <r>
    <x v="0"/>
    <x v="4"/>
    <x v="0"/>
    <x v="1"/>
    <s v="DK2_NoDH"/>
    <x v="10"/>
    <n v="54.681226180612903"/>
    <n v="15.1892294946147"/>
  </r>
  <r>
    <x v="0"/>
    <x v="4"/>
    <x v="0"/>
    <x v="1"/>
    <s v="DK2_NoDH"/>
    <x v="11"/>
    <n v="3.8806031483015802"/>
    <n v="1.07794531897266"/>
  </r>
  <r>
    <x v="0"/>
    <x v="4"/>
    <x v="0"/>
    <x v="1"/>
    <s v="DK2_NoDH"/>
    <x v="12"/>
    <n v="9.7995028997514597E-2"/>
    <n v="2.72208413881985E-2"/>
  </r>
  <r>
    <x v="0"/>
    <x v="4"/>
    <x v="0"/>
    <x v="1"/>
    <s v="DK2_NoDH"/>
    <x v="13"/>
    <n v="21.5197083678542"/>
    <n v="5.9776967688483804"/>
  </r>
  <r>
    <x v="0"/>
    <x v="4"/>
    <x v="0"/>
    <x v="1"/>
    <s v="DK2_NoDH"/>
    <x v="14"/>
    <n v="21.5197083678542"/>
    <n v="5.9776967688483804"/>
  </r>
  <r>
    <x v="0"/>
    <x v="4"/>
    <x v="0"/>
    <x v="1"/>
    <s v="DK2_NoDH"/>
    <x v="15"/>
    <n v="1.65807589063794"/>
    <n v="0.46057663628831802"/>
  </r>
  <r>
    <x v="0"/>
    <x v="4"/>
    <x v="0"/>
    <x v="1"/>
    <s v="DK2_NoDH"/>
    <x v="16"/>
    <n v="8.3492014028755008"/>
    <n v="2.31922261190986"/>
  </r>
  <r>
    <x v="0"/>
    <x v="4"/>
    <x v="0"/>
    <x v="1"/>
    <s v="DK2_NoDH"/>
    <x v="17"/>
    <n v="9.5251168185584092"/>
    <n v="2.6458657829328902"/>
  </r>
  <r>
    <x v="0"/>
    <x v="4"/>
    <x v="0"/>
    <x v="1"/>
    <s v="DK2_NoDH"/>
    <x v="18"/>
    <n v="21.5197083678542"/>
    <n v="5.9776967688483804"/>
  </r>
  <r>
    <x v="0"/>
    <x v="4"/>
    <x v="0"/>
    <x v="1"/>
    <s v="DK2_NoDH"/>
    <x v="19"/>
    <n v="8.1139884009941898"/>
    <n v="2.2538856669428302"/>
  </r>
  <r>
    <x v="0"/>
    <x v="4"/>
    <x v="0"/>
    <x v="1"/>
    <s v="DK2_NoDH"/>
    <x v="20"/>
    <n v="19.336735244541"/>
    <n v="5.37131534570584"/>
  </r>
  <r>
    <x v="0"/>
    <x v="4"/>
    <x v="0"/>
    <x v="1"/>
    <s v="DK2_NoDH"/>
    <x v="21"/>
    <n v="53.225806451612797"/>
    <n v="14.784946236559099"/>
  </r>
  <r>
    <x v="0"/>
    <x v="4"/>
    <x v="0"/>
    <x v="1"/>
    <s v="DK2_NoDH"/>
    <x v="22"/>
    <n v="130.68"/>
    <n v="36.299999999999997"/>
  </r>
  <r>
    <x v="0"/>
    <x v="4"/>
    <x v="0"/>
    <x v="1"/>
    <s v="DK2_NoDH"/>
    <x v="23"/>
    <n v="0.35278210439105201"/>
    <n v="9.7995028997514499E-2"/>
  </r>
  <r>
    <x v="0"/>
    <x v="4"/>
    <x v="0"/>
    <x v="1"/>
    <s v="DK2_NoDH"/>
    <x v="24"/>
    <n v="20.0161025734538"/>
    <n v="5.5600284926260501"/>
  </r>
  <r>
    <x v="0"/>
    <x v="4"/>
    <x v="0"/>
    <x v="1"/>
    <s v="DK2_NoDH"/>
    <x v="25"/>
    <n v="22.356874337357301"/>
    <n v="6.2102428714881297"/>
  </r>
  <r>
    <x v="0"/>
    <x v="4"/>
    <x v="0"/>
    <x v="1"/>
    <s v="DK2_NoDH"/>
    <x v="26"/>
    <n v="29.6651032387655"/>
    <n v="8.2403064552126306"/>
  </r>
  <r>
    <x v="0"/>
    <x v="4"/>
    <x v="0"/>
    <x v="1"/>
    <s v="DK2_NoDH"/>
    <x v="27"/>
    <n v="21.049332228666099"/>
    <n v="5.8470367301850299"/>
  </r>
  <r>
    <x v="0"/>
    <x v="4"/>
    <x v="0"/>
    <x v="1"/>
    <s v="DK2_NoDH_PHH"/>
    <x v="1"/>
    <n v="35.989199999999997"/>
    <n v="9.9969999999999999"/>
  </r>
  <r>
    <x v="0"/>
    <x v="4"/>
    <x v="0"/>
    <x v="1"/>
    <s v="DK2_NoDH_PHH"/>
    <x v="2"/>
    <n v="57.96"/>
    <n v="16.100000000000001"/>
  </r>
  <r>
    <x v="0"/>
    <x v="4"/>
    <x v="0"/>
    <x v="1"/>
    <s v="DK2_NoDH_PHH"/>
    <x v="0"/>
    <n v="42.692399999999999"/>
    <n v="11.859"/>
  </r>
  <r>
    <x v="0"/>
    <x v="4"/>
    <x v="0"/>
    <x v="1"/>
    <s v="DK2_NoDH_PHH"/>
    <x v="3"/>
    <n v="57.7974681027342"/>
    <n v="16.054852250759499"/>
  </r>
  <r>
    <x v="0"/>
    <x v="4"/>
    <x v="0"/>
    <x v="1"/>
    <s v="DK2_NoDH_PHH"/>
    <x v="4"/>
    <n v="8.1139884009941898"/>
    <n v="2.2538856669428302"/>
  </r>
  <r>
    <x v="0"/>
    <x v="4"/>
    <x v="0"/>
    <x v="1"/>
    <s v="DK2_NoDH_PHH"/>
    <x v="5"/>
    <n v="8.1139884009941898"/>
    <n v="2.2538856669428302"/>
  </r>
  <r>
    <x v="0"/>
    <x v="4"/>
    <x v="0"/>
    <x v="1"/>
    <s v="DK2_NoDH_PHH"/>
    <x v="6"/>
    <n v="30.770439105219602"/>
    <n v="8.5473441958943202"/>
  </r>
  <r>
    <x v="0"/>
    <x v="4"/>
    <x v="0"/>
    <x v="1"/>
    <s v="DK2_NoDH_PHH"/>
    <x v="7"/>
    <n v="71.350180613090302"/>
    <n v="19.819494614747299"/>
  </r>
  <r>
    <x v="0"/>
    <x v="4"/>
    <x v="0"/>
    <x v="1"/>
    <s v="DK2_NoDH_PHH"/>
    <x v="8"/>
    <n v="71.350180613090302"/>
    <n v="19.819494614747299"/>
  </r>
  <r>
    <x v="0"/>
    <x v="4"/>
    <x v="0"/>
    <x v="1"/>
    <s v="DK2_NoDH_PHH"/>
    <x v="9"/>
    <n v="44.803327257663497"/>
    <n v="12.4453686826843"/>
  </r>
  <r>
    <x v="0"/>
    <x v="4"/>
    <x v="0"/>
    <x v="1"/>
    <s v="DK2_NoDH_PHH"/>
    <x v="10"/>
    <n v="54.681226180612903"/>
    <n v="15.1892294946147"/>
  </r>
  <r>
    <x v="0"/>
    <x v="4"/>
    <x v="0"/>
    <x v="1"/>
    <s v="DK2_NoDH_PHH"/>
    <x v="11"/>
    <n v="3.8806031483015802"/>
    <n v="1.07794531897266"/>
  </r>
  <r>
    <x v="0"/>
    <x v="4"/>
    <x v="0"/>
    <x v="1"/>
    <s v="DK2_NoDH_PHH"/>
    <x v="12"/>
    <n v="9.7995028997514597E-2"/>
    <n v="2.72208413881985E-2"/>
  </r>
  <r>
    <x v="0"/>
    <x v="4"/>
    <x v="0"/>
    <x v="1"/>
    <s v="DK2_NoDH_PHH"/>
    <x v="13"/>
    <n v="21.5197083678542"/>
    <n v="5.9776967688483804"/>
  </r>
  <r>
    <x v="0"/>
    <x v="4"/>
    <x v="0"/>
    <x v="1"/>
    <s v="DK2_NoDH_PHH"/>
    <x v="14"/>
    <n v="21.5197083678542"/>
    <n v="5.9776967688483804"/>
  </r>
  <r>
    <x v="0"/>
    <x v="4"/>
    <x v="0"/>
    <x v="1"/>
    <s v="DK2_NoDH_PHH"/>
    <x v="15"/>
    <n v="1.65807589063794"/>
    <n v="0.46057663628831802"/>
  </r>
  <r>
    <x v="0"/>
    <x v="4"/>
    <x v="0"/>
    <x v="1"/>
    <s v="DK2_NoDH_PHH"/>
    <x v="16"/>
    <n v="8.3492014028755008"/>
    <n v="2.31922261190986"/>
  </r>
  <r>
    <x v="0"/>
    <x v="4"/>
    <x v="0"/>
    <x v="1"/>
    <s v="DK2_NoDH_PHH"/>
    <x v="17"/>
    <n v="9.5251168185584092"/>
    <n v="2.6458657829328902"/>
  </r>
  <r>
    <x v="0"/>
    <x v="4"/>
    <x v="0"/>
    <x v="1"/>
    <s v="DK2_NoDH_PHH"/>
    <x v="18"/>
    <n v="21.5197083678542"/>
    <n v="5.9776967688483804"/>
  </r>
  <r>
    <x v="0"/>
    <x v="4"/>
    <x v="0"/>
    <x v="1"/>
    <s v="DK2_NoDH_PHH"/>
    <x v="19"/>
    <n v="8.1139884009941898"/>
    <n v="2.2538856669428302"/>
  </r>
  <r>
    <x v="0"/>
    <x v="4"/>
    <x v="0"/>
    <x v="1"/>
    <s v="DK2_NoDH_PHH"/>
    <x v="20"/>
    <n v="19.336735244541"/>
    <n v="5.37131534570584"/>
  </r>
  <r>
    <x v="0"/>
    <x v="4"/>
    <x v="0"/>
    <x v="1"/>
    <s v="DK2_NoDH_PHH"/>
    <x v="21"/>
    <n v="53.225806451612797"/>
    <n v="14.784946236559099"/>
  </r>
  <r>
    <x v="0"/>
    <x v="4"/>
    <x v="0"/>
    <x v="1"/>
    <s v="DK2_NoDH_PHH"/>
    <x v="22"/>
    <n v="130.68"/>
    <n v="36.299999999999997"/>
  </r>
  <r>
    <x v="0"/>
    <x v="4"/>
    <x v="0"/>
    <x v="1"/>
    <s v="DK2_NoDH_PHH"/>
    <x v="23"/>
    <n v="0.35278210439105201"/>
    <n v="9.7995028997514499E-2"/>
  </r>
  <r>
    <x v="0"/>
    <x v="4"/>
    <x v="0"/>
    <x v="1"/>
    <s v="DK2_NoDH_PHH"/>
    <x v="24"/>
    <n v="20.0161025734538"/>
    <n v="5.5600284926260501"/>
  </r>
  <r>
    <x v="0"/>
    <x v="4"/>
    <x v="0"/>
    <x v="1"/>
    <s v="DK2_NoDH_PHH"/>
    <x v="25"/>
    <n v="22.356874337357301"/>
    <n v="6.2102428714881297"/>
  </r>
  <r>
    <x v="0"/>
    <x v="4"/>
    <x v="0"/>
    <x v="1"/>
    <s v="DK2_NoDH_PHH"/>
    <x v="26"/>
    <n v="29.6651032387655"/>
    <n v="8.2403064552126306"/>
  </r>
  <r>
    <x v="0"/>
    <x v="4"/>
    <x v="0"/>
    <x v="1"/>
    <s v="DK2_NoDH_PHH"/>
    <x v="27"/>
    <n v="21.049332228666099"/>
    <n v="5.8470367301850299"/>
  </r>
  <r>
    <x v="0"/>
    <x v="4"/>
    <x v="0"/>
    <x v="1"/>
    <s v="DK2_NoDH_PHL"/>
    <x v="1"/>
    <n v="35.989199999999997"/>
    <n v="9.9969999999999999"/>
  </r>
  <r>
    <x v="0"/>
    <x v="4"/>
    <x v="0"/>
    <x v="1"/>
    <s v="DK2_NoDH_PHL"/>
    <x v="2"/>
    <n v="57.96"/>
    <n v="16.100000000000001"/>
  </r>
  <r>
    <x v="0"/>
    <x v="4"/>
    <x v="0"/>
    <x v="1"/>
    <s v="DK2_NoDH_PHL"/>
    <x v="0"/>
    <n v="42.692399999999999"/>
    <n v="11.859"/>
  </r>
  <r>
    <x v="0"/>
    <x v="4"/>
    <x v="0"/>
    <x v="1"/>
    <s v="DK2_NoDH_PHL"/>
    <x v="3"/>
    <n v="57.7974681027342"/>
    <n v="16.054852250759499"/>
  </r>
  <r>
    <x v="0"/>
    <x v="4"/>
    <x v="0"/>
    <x v="1"/>
    <s v="DK2_NoDH_PHL"/>
    <x v="4"/>
    <n v="8.1139884009941898"/>
    <n v="2.2538856669428302"/>
  </r>
  <r>
    <x v="0"/>
    <x v="4"/>
    <x v="0"/>
    <x v="1"/>
    <s v="DK2_NoDH_PHL"/>
    <x v="5"/>
    <n v="8.1139884009941898"/>
    <n v="2.2538856669428302"/>
  </r>
  <r>
    <x v="0"/>
    <x v="4"/>
    <x v="0"/>
    <x v="1"/>
    <s v="DK2_NoDH_PHL"/>
    <x v="6"/>
    <n v="30.770439105219602"/>
    <n v="8.5473441958943202"/>
  </r>
  <r>
    <x v="0"/>
    <x v="4"/>
    <x v="0"/>
    <x v="1"/>
    <s v="DK2_NoDH_PHL"/>
    <x v="7"/>
    <n v="71.350180613090302"/>
    <n v="19.819494614747299"/>
  </r>
  <r>
    <x v="0"/>
    <x v="4"/>
    <x v="0"/>
    <x v="1"/>
    <s v="DK2_NoDH_PHL"/>
    <x v="8"/>
    <n v="71.350180613090302"/>
    <n v="19.819494614747299"/>
  </r>
  <r>
    <x v="0"/>
    <x v="4"/>
    <x v="0"/>
    <x v="1"/>
    <s v="DK2_NoDH_PHL"/>
    <x v="9"/>
    <n v="44.803327257663497"/>
    <n v="12.4453686826843"/>
  </r>
  <r>
    <x v="0"/>
    <x v="4"/>
    <x v="0"/>
    <x v="1"/>
    <s v="DK2_NoDH_PHL"/>
    <x v="10"/>
    <n v="54.681226180612903"/>
    <n v="15.1892294946147"/>
  </r>
  <r>
    <x v="0"/>
    <x v="4"/>
    <x v="0"/>
    <x v="1"/>
    <s v="DK2_NoDH_PHL"/>
    <x v="11"/>
    <n v="3.8806031483015802"/>
    <n v="1.07794531897266"/>
  </r>
  <r>
    <x v="0"/>
    <x v="4"/>
    <x v="0"/>
    <x v="1"/>
    <s v="DK2_NoDH_PHL"/>
    <x v="12"/>
    <n v="9.7995028997514597E-2"/>
    <n v="2.72208413881985E-2"/>
  </r>
  <r>
    <x v="0"/>
    <x v="4"/>
    <x v="0"/>
    <x v="1"/>
    <s v="DK2_NoDH_PHL"/>
    <x v="13"/>
    <n v="21.5197083678542"/>
    <n v="5.9776967688483804"/>
  </r>
  <r>
    <x v="0"/>
    <x v="4"/>
    <x v="0"/>
    <x v="1"/>
    <s v="DK2_NoDH_PHL"/>
    <x v="14"/>
    <n v="21.5197083678542"/>
    <n v="5.9776967688483804"/>
  </r>
  <r>
    <x v="0"/>
    <x v="4"/>
    <x v="0"/>
    <x v="1"/>
    <s v="DK2_NoDH_PHL"/>
    <x v="15"/>
    <n v="1.65807589063794"/>
    <n v="0.46057663628831802"/>
  </r>
  <r>
    <x v="0"/>
    <x v="4"/>
    <x v="0"/>
    <x v="1"/>
    <s v="DK2_NoDH_PHL"/>
    <x v="16"/>
    <n v="8.3492014028755008"/>
    <n v="2.31922261190986"/>
  </r>
  <r>
    <x v="0"/>
    <x v="4"/>
    <x v="0"/>
    <x v="1"/>
    <s v="DK2_NoDH_PHL"/>
    <x v="17"/>
    <n v="9.5251168185584092"/>
    <n v="2.6458657829328902"/>
  </r>
  <r>
    <x v="0"/>
    <x v="4"/>
    <x v="0"/>
    <x v="1"/>
    <s v="DK2_NoDH_PHL"/>
    <x v="18"/>
    <n v="21.5197083678542"/>
    <n v="5.9776967688483804"/>
  </r>
  <r>
    <x v="0"/>
    <x v="4"/>
    <x v="0"/>
    <x v="1"/>
    <s v="DK2_NoDH_PHL"/>
    <x v="19"/>
    <n v="8.1139884009941898"/>
    <n v="2.2538856669428302"/>
  </r>
  <r>
    <x v="0"/>
    <x v="4"/>
    <x v="0"/>
    <x v="1"/>
    <s v="DK2_NoDH_PHL"/>
    <x v="20"/>
    <n v="19.336735244541"/>
    <n v="5.37131534570584"/>
  </r>
  <r>
    <x v="0"/>
    <x v="4"/>
    <x v="0"/>
    <x v="1"/>
    <s v="DK2_NoDH_PHL"/>
    <x v="21"/>
    <n v="53.225806451612797"/>
    <n v="14.784946236559099"/>
  </r>
  <r>
    <x v="0"/>
    <x v="4"/>
    <x v="0"/>
    <x v="1"/>
    <s v="DK2_NoDH_PHL"/>
    <x v="22"/>
    <n v="130.68"/>
    <n v="36.299999999999997"/>
  </r>
  <r>
    <x v="0"/>
    <x v="4"/>
    <x v="0"/>
    <x v="1"/>
    <s v="DK2_NoDH_PHL"/>
    <x v="23"/>
    <n v="0.35278210439105201"/>
    <n v="9.7995028997514499E-2"/>
  </r>
  <r>
    <x v="0"/>
    <x v="4"/>
    <x v="0"/>
    <x v="1"/>
    <s v="DK2_NoDH_PHL"/>
    <x v="24"/>
    <n v="20.0161025734538"/>
    <n v="5.5600284926260501"/>
  </r>
  <r>
    <x v="0"/>
    <x v="4"/>
    <x v="0"/>
    <x v="1"/>
    <s v="DK2_NoDH_PHL"/>
    <x v="25"/>
    <n v="22.356874337357301"/>
    <n v="6.2102428714881297"/>
  </r>
  <r>
    <x v="0"/>
    <x v="4"/>
    <x v="0"/>
    <x v="1"/>
    <s v="DK2_NoDH_PHL"/>
    <x v="26"/>
    <n v="29.6651032387655"/>
    <n v="8.2403064552126306"/>
  </r>
  <r>
    <x v="0"/>
    <x v="4"/>
    <x v="0"/>
    <x v="1"/>
    <s v="DK2_NoDH_PHL"/>
    <x v="27"/>
    <n v="21.049332228666099"/>
    <n v="5.8470367301850299"/>
  </r>
  <r>
    <x v="0"/>
    <x v="4"/>
    <x v="0"/>
    <x v="1"/>
    <s v="DK2_Offshore"/>
    <x v="1"/>
    <n v="35.989199999999997"/>
    <n v="9.9969999999999999"/>
  </r>
  <r>
    <x v="0"/>
    <x v="4"/>
    <x v="0"/>
    <x v="1"/>
    <s v="DK2_Offshore"/>
    <x v="2"/>
    <n v="57.96"/>
    <n v="16.100000000000001"/>
  </r>
  <r>
    <x v="0"/>
    <x v="4"/>
    <x v="0"/>
    <x v="1"/>
    <s v="DK2_Offshore"/>
    <x v="0"/>
    <n v="42.692399999999999"/>
    <n v="11.859"/>
  </r>
  <r>
    <x v="0"/>
    <x v="4"/>
    <x v="0"/>
    <x v="1"/>
    <s v="DK2_Offshore"/>
    <x v="3"/>
    <n v="57.7974681027342"/>
    <n v="16.054852250759499"/>
  </r>
  <r>
    <x v="0"/>
    <x v="4"/>
    <x v="0"/>
    <x v="1"/>
    <s v="DK2_Offshore"/>
    <x v="4"/>
    <n v="8.1139884009941898"/>
    <n v="2.2538856669428302"/>
  </r>
  <r>
    <x v="0"/>
    <x v="4"/>
    <x v="0"/>
    <x v="1"/>
    <s v="DK2_Offshore"/>
    <x v="5"/>
    <n v="8.1139884009941898"/>
    <n v="2.2538856669428302"/>
  </r>
  <r>
    <x v="0"/>
    <x v="4"/>
    <x v="0"/>
    <x v="1"/>
    <s v="DK2_Offshore"/>
    <x v="6"/>
    <n v="30.770439105219602"/>
    <n v="8.5473441958943202"/>
  </r>
  <r>
    <x v="0"/>
    <x v="4"/>
    <x v="0"/>
    <x v="1"/>
    <s v="DK2_Offshore"/>
    <x v="7"/>
    <n v="71.350180613090302"/>
    <n v="19.819494614747299"/>
  </r>
  <r>
    <x v="0"/>
    <x v="4"/>
    <x v="0"/>
    <x v="1"/>
    <s v="DK2_Offshore"/>
    <x v="8"/>
    <n v="71.350180613090302"/>
    <n v="19.819494614747299"/>
  </r>
  <r>
    <x v="0"/>
    <x v="4"/>
    <x v="0"/>
    <x v="1"/>
    <s v="DK2_Offshore"/>
    <x v="9"/>
    <n v="44.803327257663497"/>
    <n v="12.4453686826843"/>
  </r>
  <r>
    <x v="0"/>
    <x v="4"/>
    <x v="0"/>
    <x v="1"/>
    <s v="DK2_Offshore"/>
    <x v="10"/>
    <n v="54.681226180612903"/>
    <n v="15.1892294946147"/>
  </r>
  <r>
    <x v="0"/>
    <x v="4"/>
    <x v="0"/>
    <x v="1"/>
    <s v="DK2_Offshore"/>
    <x v="11"/>
    <n v="3.8806031483015802"/>
    <n v="1.07794531897266"/>
  </r>
  <r>
    <x v="0"/>
    <x v="4"/>
    <x v="0"/>
    <x v="1"/>
    <s v="DK2_Offshore"/>
    <x v="12"/>
    <n v="9.7995028997514597E-2"/>
    <n v="2.72208413881985E-2"/>
  </r>
  <r>
    <x v="0"/>
    <x v="4"/>
    <x v="0"/>
    <x v="1"/>
    <s v="DK2_Offshore"/>
    <x v="13"/>
    <n v="21.5197083678542"/>
    <n v="5.9776967688483804"/>
  </r>
  <r>
    <x v="0"/>
    <x v="4"/>
    <x v="0"/>
    <x v="1"/>
    <s v="DK2_Offshore"/>
    <x v="14"/>
    <n v="21.5197083678542"/>
    <n v="5.9776967688483804"/>
  </r>
  <r>
    <x v="0"/>
    <x v="4"/>
    <x v="0"/>
    <x v="1"/>
    <s v="DK2_Offshore"/>
    <x v="15"/>
    <n v="1.65807589063794"/>
    <n v="0.46057663628831802"/>
  </r>
  <r>
    <x v="0"/>
    <x v="4"/>
    <x v="0"/>
    <x v="1"/>
    <s v="DK2_Offshore"/>
    <x v="16"/>
    <n v="8.3492014028755008"/>
    <n v="2.31922261190986"/>
  </r>
  <r>
    <x v="0"/>
    <x v="4"/>
    <x v="0"/>
    <x v="1"/>
    <s v="DK2_Offshore"/>
    <x v="17"/>
    <n v="9.5251168185584092"/>
    <n v="2.6458657829328902"/>
  </r>
  <r>
    <x v="0"/>
    <x v="4"/>
    <x v="0"/>
    <x v="1"/>
    <s v="DK2_Offshore"/>
    <x v="18"/>
    <n v="21.5197083678542"/>
    <n v="5.9776967688483804"/>
  </r>
  <r>
    <x v="0"/>
    <x v="4"/>
    <x v="0"/>
    <x v="1"/>
    <s v="DK2_Offshore"/>
    <x v="19"/>
    <n v="8.1139884009941898"/>
    <n v="2.2538856669428302"/>
  </r>
  <r>
    <x v="0"/>
    <x v="4"/>
    <x v="0"/>
    <x v="1"/>
    <s v="DK2_Offshore"/>
    <x v="20"/>
    <n v="19.336735244541"/>
    <n v="5.37131534570584"/>
  </r>
  <r>
    <x v="0"/>
    <x v="4"/>
    <x v="0"/>
    <x v="1"/>
    <s v="DK2_Offshore"/>
    <x v="21"/>
    <n v="53.225806451612797"/>
    <n v="14.784946236559099"/>
  </r>
  <r>
    <x v="0"/>
    <x v="4"/>
    <x v="0"/>
    <x v="1"/>
    <s v="DK2_Offshore"/>
    <x v="22"/>
    <n v="130.68"/>
    <n v="36.299999999999997"/>
  </r>
  <r>
    <x v="0"/>
    <x v="4"/>
    <x v="0"/>
    <x v="1"/>
    <s v="DK2_Offshore"/>
    <x v="23"/>
    <n v="0.35278210439105201"/>
    <n v="9.7995028997514499E-2"/>
  </r>
  <r>
    <x v="0"/>
    <x v="4"/>
    <x v="0"/>
    <x v="1"/>
    <s v="DK2_Offshore"/>
    <x v="24"/>
    <n v="20.0161025734538"/>
    <n v="5.5600284926260501"/>
  </r>
  <r>
    <x v="0"/>
    <x v="4"/>
    <x v="0"/>
    <x v="1"/>
    <s v="DK2_Offshore"/>
    <x v="25"/>
    <n v="22.356874337357301"/>
    <n v="6.2102428714881297"/>
  </r>
  <r>
    <x v="0"/>
    <x v="4"/>
    <x v="0"/>
    <x v="1"/>
    <s v="DK2_Offshore"/>
    <x v="26"/>
    <n v="29.6651032387655"/>
    <n v="8.2403064552126306"/>
  </r>
  <r>
    <x v="0"/>
    <x v="4"/>
    <x v="0"/>
    <x v="1"/>
    <s v="DK2_Offshore"/>
    <x v="27"/>
    <n v="21.049332228666099"/>
    <n v="5.8470367301850299"/>
  </r>
  <r>
    <x v="0"/>
    <x v="4"/>
    <x v="0"/>
    <x v="1"/>
    <s v="DK2_Rural"/>
    <x v="1"/>
    <n v="35.989199999999997"/>
    <n v="9.9969999999999999"/>
  </r>
  <r>
    <x v="0"/>
    <x v="4"/>
    <x v="0"/>
    <x v="1"/>
    <s v="DK2_Rural"/>
    <x v="2"/>
    <n v="57.96"/>
    <n v="16.100000000000001"/>
  </r>
  <r>
    <x v="0"/>
    <x v="4"/>
    <x v="0"/>
    <x v="1"/>
    <s v="DK2_Rural"/>
    <x v="0"/>
    <n v="42.692399999999999"/>
    <n v="11.859"/>
  </r>
  <r>
    <x v="0"/>
    <x v="4"/>
    <x v="0"/>
    <x v="1"/>
    <s v="DK2_Rural"/>
    <x v="3"/>
    <n v="57.7974681027342"/>
    <n v="16.054852250759499"/>
  </r>
  <r>
    <x v="0"/>
    <x v="4"/>
    <x v="0"/>
    <x v="1"/>
    <s v="DK2_Rural"/>
    <x v="4"/>
    <n v="8.1139884009941898"/>
    <n v="2.2538856669428302"/>
  </r>
  <r>
    <x v="0"/>
    <x v="4"/>
    <x v="0"/>
    <x v="1"/>
    <s v="DK2_Rural"/>
    <x v="5"/>
    <n v="8.1139884009941898"/>
    <n v="2.2538856669428302"/>
  </r>
  <r>
    <x v="0"/>
    <x v="4"/>
    <x v="0"/>
    <x v="1"/>
    <s v="DK2_Rural"/>
    <x v="6"/>
    <n v="30.770439105219602"/>
    <n v="8.5473441958943202"/>
  </r>
  <r>
    <x v="0"/>
    <x v="4"/>
    <x v="0"/>
    <x v="1"/>
    <s v="DK2_Rural"/>
    <x v="7"/>
    <n v="71.350180613090302"/>
    <n v="19.819494614747299"/>
  </r>
  <r>
    <x v="0"/>
    <x v="4"/>
    <x v="0"/>
    <x v="1"/>
    <s v="DK2_Rural"/>
    <x v="8"/>
    <n v="71.350180613090302"/>
    <n v="19.819494614747299"/>
  </r>
  <r>
    <x v="0"/>
    <x v="4"/>
    <x v="0"/>
    <x v="1"/>
    <s v="DK2_Rural"/>
    <x v="9"/>
    <n v="44.803327257663497"/>
    <n v="12.4453686826843"/>
  </r>
  <r>
    <x v="0"/>
    <x v="4"/>
    <x v="0"/>
    <x v="1"/>
    <s v="DK2_Rural"/>
    <x v="10"/>
    <n v="54.681226180612903"/>
    <n v="15.1892294946147"/>
  </r>
  <r>
    <x v="0"/>
    <x v="4"/>
    <x v="0"/>
    <x v="1"/>
    <s v="DK2_Rural"/>
    <x v="11"/>
    <n v="3.8806031483015802"/>
    <n v="1.07794531897266"/>
  </r>
  <r>
    <x v="0"/>
    <x v="4"/>
    <x v="0"/>
    <x v="1"/>
    <s v="DK2_Rural"/>
    <x v="12"/>
    <n v="9.7995028997514597E-2"/>
    <n v="2.72208413881985E-2"/>
  </r>
  <r>
    <x v="0"/>
    <x v="4"/>
    <x v="0"/>
    <x v="1"/>
    <s v="DK2_Rural"/>
    <x v="13"/>
    <n v="21.5197083678542"/>
    <n v="5.9776967688483804"/>
  </r>
  <r>
    <x v="0"/>
    <x v="4"/>
    <x v="0"/>
    <x v="1"/>
    <s v="DK2_Rural"/>
    <x v="14"/>
    <n v="21.5197083678542"/>
    <n v="5.9776967688483804"/>
  </r>
  <r>
    <x v="0"/>
    <x v="4"/>
    <x v="0"/>
    <x v="1"/>
    <s v="DK2_Rural"/>
    <x v="15"/>
    <n v="1.65807589063794"/>
    <n v="0.46057663628831802"/>
  </r>
  <r>
    <x v="0"/>
    <x v="4"/>
    <x v="0"/>
    <x v="1"/>
    <s v="DK2_Rural"/>
    <x v="16"/>
    <n v="8.3492014028755008"/>
    <n v="2.31922261190986"/>
  </r>
  <r>
    <x v="0"/>
    <x v="4"/>
    <x v="0"/>
    <x v="1"/>
    <s v="DK2_Rural"/>
    <x v="17"/>
    <n v="9.5251168185584092"/>
    <n v="2.6458657829328902"/>
  </r>
  <r>
    <x v="0"/>
    <x v="4"/>
    <x v="0"/>
    <x v="1"/>
    <s v="DK2_Rural"/>
    <x v="18"/>
    <n v="21.5197083678542"/>
    <n v="5.9776967688483804"/>
  </r>
  <r>
    <x v="0"/>
    <x v="4"/>
    <x v="0"/>
    <x v="1"/>
    <s v="DK2_Rural"/>
    <x v="19"/>
    <n v="8.1139884009941898"/>
    <n v="2.2538856669428302"/>
  </r>
  <r>
    <x v="0"/>
    <x v="4"/>
    <x v="0"/>
    <x v="1"/>
    <s v="DK2_Rural"/>
    <x v="20"/>
    <n v="19.336735244541"/>
    <n v="5.37131534570584"/>
  </r>
  <r>
    <x v="0"/>
    <x v="4"/>
    <x v="0"/>
    <x v="1"/>
    <s v="DK2_Rural"/>
    <x v="21"/>
    <n v="53.225806451612797"/>
    <n v="14.784946236559099"/>
  </r>
  <r>
    <x v="0"/>
    <x v="4"/>
    <x v="0"/>
    <x v="1"/>
    <s v="DK2_Rural"/>
    <x v="22"/>
    <n v="130.68"/>
    <n v="36.299999999999997"/>
  </r>
  <r>
    <x v="0"/>
    <x v="4"/>
    <x v="0"/>
    <x v="1"/>
    <s v="DK2_Rural"/>
    <x v="23"/>
    <n v="0.35278210439105201"/>
    <n v="9.7995028997514499E-2"/>
  </r>
  <r>
    <x v="0"/>
    <x v="4"/>
    <x v="0"/>
    <x v="1"/>
    <s v="DK2_Rural"/>
    <x v="24"/>
    <n v="20.0161025734538"/>
    <n v="5.5600284926260501"/>
  </r>
  <r>
    <x v="0"/>
    <x v="4"/>
    <x v="0"/>
    <x v="1"/>
    <s v="DK2_Rural"/>
    <x v="25"/>
    <n v="22.356874337357301"/>
    <n v="6.2102428714881297"/>
  </r>
  <r>
    <x v="0"/>
    <x v="4"/>
    <x v="0"/>
    <x v="1"/>
    <s v="DK2_Rural"/>
    <x v="26"/>
    <n v="29.6651032387655"/>
    <n v="8.2403064552126306"/>
  </r>
  <r>
    <x v="0"/>
    <x v="4"/>
    <x v="0"/>
    <x v="1"/>
    <s v="DK2_Rural"/>
    <x v="27"/>
    <n v="21.049332228666099"/>
    <n v="5.8470367301850299"/>
  </r>
  <r>
    <x v="0"/>
    <x v="4"/>
    <x v="0"/>
    <x v="1"/>
    <s v="DK2_Small"/>
    <x v="1"/>
    <n v="35.989199999999997"/>
    <n v="9.9969999999999999"/>
  </r>
  <r>
    <x v="0"/>
    <x v="4"/>
    <x v="0"/>
    <x v="1"/>
    <s v="DK2_Small"/>
    <x v="2"/>
    <n v="57.96"/>
    <n v="16.100000000000001"/>
  </r>
  <r>
    <x v="0"/>
    <x v="4"/>
    <x v="0"/>
    <x v="1"/>
    <s v="DK2_Small"/>
    <x v="0"/>
    <n v="42.692399999999999"/>
    <n v="11.859"/>
  </r>
  <r>
    <x v="0"/>
    <x v="4"/>
    <x v="0"/>
    <x v="1"/>
    <s v="DK2_Small"/>
    <x v="3"/>
    <n v="57.7974681027342"/>
    <n v="16.054852250759499"/>
  </r>
  <r>
    <x v="0"/>
    <x v="4"/>
    <x v="0"/>
    <x v="1"/>
    <s v="DK2_Small"/>
    <x v="4"/>
    <n v="8.1139884009941898"/>
    <n v="2.2538856669428302"/>
  </r>
  <r>
    <x v="0"/>
    <x v="4"/>
    <x v="0"/>
    <x v="1"/>
    <s v="DK2_Small"/>
    <x v="5"/>
    <n v="8.1139884009941898"/>
    <n v="2.2538856669428302"/>
  </r>
  <r>
    <x v="0"/>
    <x v="4"/>
    <x v="0"/>
    <x v="1"/>
    <s v="DK2_Small"/>
    <x v="6"/>
    <n v="30.770439105219602"/>
    <n v="8.5473441958943202"/>
  </r>
  <r>
    <x v="0"/>
    <x v="4"/>
    <x v="0"/>
    <x v="1"/>
    <s v="DK2_Small"/>
    <x v="7"/>
    <n v="71.350180613090302"/>
    <n v="19.819494614747299"/>
  </r>
  <r>
    <x v="0"/>
    <x v="4"/>
    <x v="0"/>
    <x v="1"/>
    <s v="DK2_Small"/>
    <x v="8"/>
    <n v="71.350180613090302"/>
    <n v="19.819494614747299"/>
  </r>
  <r>
    <x v="0"/>
    <x v="4"/>
    <x v="0"/>
    <x v="1"/>
    <s v="DK2_Small"/>
    <x v="9"/>
    <n v="44.803327257663497"/>
    <n v="12.4453686826843"/>
  </r>
  <r>
    <x v="0"/>
    <x v="4"/>
    <x v="0"/>
    <x v="1"/>
    <s v="DK2_Small"/>
    <x v="10"/>
    <n v="54.681226180612903"/>
    <n v="15.1892294946147"/>
  </r>
  <r>
    <x v="0"/>
    <x v="4"/>
    <x v="0"/>
    <x v="1"/>
    <s v="DK2_Small"/>
    <x v="11"/>
    <n v="3.8806031483015802"/>
    <n v="1.07794531897266"/>
  </r>
  <r>
    <x v="0"/>
    <x v="4"/>
    <x v="0"/>
    <x v="1"/>
    <s v="DK2_Small"/>
    <x v="12"/>
    <n v="9.7995028997514597E-2"/>
    <n v="2.72208413881985E-2"/>
  </r>
  <r>
    <x v="0"/>
    <x v="4"/>
    <x v="0"/>
    <x v="1"/>
    <s v="DK2_Small"/>
    <x v="13"/>
    <n v="21.5197083678542"/>
    <n v="5.9776967688483804"/>
  </r>
  <r>
    <x v="0"/>
    <x v="4"/>
    <x v="0"/>
    <x v="1"/>
    <s v="DK2_Small"/>
    <x v="14"/>
    <n v="21.5197083678542"/>
    <n v="5.9776967688483804"/>
  </r>
  <r>
    <x v="0"/>
    <x v="4"/>
    <x v="0"/>
    <x v="1"/>
    <s v="DK2_Small"/>
    <x v="15"/>
    <n v="1.65807589063794"/>
    <n v="0.46057663628831802"/>
  </r>
  <r>
    <x v="0"/>
    <x v="4"/>
    <x v="0"/>
    <x v="1"/>
    <s v="DK2_Small"/>
    <x v="16"/>
    <n v="8.3492014028755008"/>
    <n v="2.31922261190986"/>
  </r>
  <r>
    <x v="0"/>
    <x v="4"/>
    <x v="0"/>
    <x v="1"/>
    <s v="DK2_Small"/>
    <x v="17"/>
    <n v="9.5251168185584092"/>
    <n v="2.6458657829328902"/>
  </r>
  <r>
    <x v="0"/>
    <x v="4"/>
    <x v="0"/>
    <x v="1"/>
    <s v="DK2_Small"/>
    <x v="18"/>
    <n v="21.5197083678542"/>
    <n v="5.9776967688483804"/>
  </r>
  <r>
    <x v="0"/>
    <x v="4"/>
    <x v="0"/>
    <x v="1"/>
    <s v="DK2_Small"/>
    <x v="19"/>
    <n v="8.1139884009941898"/>
    <n v="2.2538856669428302"/>
  </r>
  <r>
    <x v="0"/>
    <x v="4"/>
    <x v="0"/>
    <x v="1"/>
    <s v="DK2_Small"/>
    <x v="20"/>
    <n v="19.336735244541"/>
    <n v="5.37131534570584"/>
  </r>
  <r>
    <x v="0"/>
    <x v="4"/>
    <x v="0"/>
    <x v="1"/>
    <s v="DK2_Small"/>
    <x v="21"/>
    <n v="53.225806451612797"/>
    <n v="14.784946236559099"/>
  </r>
  <r>
    <x v="0"/>
    <x v="4"/>
    <x v="0"/>
    <x v="1"/>
    <s v="DK2_Small"/>
    <x v="22"/>
    <n v="130.68"/>
    <n v="36.299999999999997"/>
  </r>
  <r>
    <x v="0"/>
    <x v="4"/>
    <x v="0"/>
    <x v="1"/>
    <s v="DK2_Small"/>
    <x v="23"/>
    <n v="0.35278210439105201"/>
    <n v="9.7995028997514499E-2"/>
  </r>
  <r>
    <x v="0"/>
    <x v="4"/>
    <x v="0"/>
    <x v="1"/>
    <s v="DK2_Small"/>
    <x v="24"/>
    <n v="20.0161025734538"/>
    <n v="5.5600284926260501"/>
  </r>
  <r>
    <x v="0"/>
    <x v="4"/>
    <x v="0"/>
    <x v="1"/>
    <s v="DK2_Small"/>
    <x v="25"/>
    <n v="22.356874337357301"/>
    <n v="6.2102428714881297"/>
  </r>
  <r>
    <x v="0"/>
    <x v="4"/>
    <x v="0"/>
    <x v="1"/>
    <s v="DK2_Small"/>
    <x v="26"/>
    <n v="29.6651032387655"/>
    <n v="8.2403064552126306"/>
  </r>
  <r>
    <x v="0"/>
    <x v="4"/>
    <x v="0"/>
    <x v="1"/>
    <s v="DK2_Small"/>
    <x v="27"/>
    <n v="21.049332228666099"/>
    <n v="5.8470367301850299"/>
  </r>
  <r>
    <x v="0"/>
    <x v="4"/>
    <x v="1"/>
    <x v="2"/>
    <s v="EE_A"/>
    <x v="1"/>
    <n v="35.989199999999997"/>
    <n v="9.9969999999999999"/>
  </r>
  <r>
    <x v="0"/>
    <x v="4"/>
    <x v="1"/>
    <x v="2"/>
    <s v="EE_A"/>
    <x v="2"/>
    <n v="57.96"/>
    <n v="16.100000000000001"/>
  </r>
  <r>
    <x v="0"/>
    <x v="4"/>
    <x v="1"/>
    <x v="2"/>
    <s v="EE_A"/>
    <x v="0"/>
    <n v="42.692399999999999"/>
    <n v="11.859"/>
  </r>
  <r>
    <x v="0"/>
    <x v="4"/>
    <x v="1"/>
    <x v="2"/>
    <s v="EE_A"/>
    <x v="3"/>
    <n v="57.7974681027342"/>
    <n v="16.054852250759499"/>
  </r>
  <r>
    <x v="0"/>
    <x v="4"/>
    <x v="1"/>
    <x v="2"/>
    <s v="EE_A"/>
    <x v="4"/>
    <n v="8.1139884009941898"/>
    <n v="2.2538856669428302"/>
  </r>
  <r>
    <x v="0"/>
    <x v="4"/>
    <x v="1"/>
    <x v="2"/>
    <s v="EE_A"/>
    <x v="5"/>
    <n v="8.1139884009941898"/>
    <n v="2.2538856669428302"/>
  </r>
  <r>
    <x v="0"/>
    <x v="4"/>
    <x v="1"/>
    <x v="2"/>
    <s v="EE_A"/>
    <x v="6"/>
    <n v="30.770439105219602"/>
    <n v="8.5473441958943202"/>
  </r>
  <r>
    <x v="0"/>
    <x v="4"/>
    <x v="1"/>
    <x v="2"/>
    <s v="EE_A"/>
    <x v="7"/>
    <n v="71.350180613090302"/>
    <n v="19.819494614747299"/>
  </r>
  <r>
    <x v="0"/>
    <x v="4"/>
    <x v="1"/>
    <x v="2"/>
    <s v="EE_A"/>
    <x v="8"/>
    <n v="71.350180613090302"/>
    <n v="19.819494614747299"/>
  </r>
  <r>
    <x v="0"/>
    <x v="4"/>
    <x v="1"/>
    <x v="2"/>
    <s v="EE_A"/>
    <x v="9"/>
    <n v="44.803327257663497"/>
    <n v="12.4453686826843"/>
  </r>
  <r>
    <x v="0"/>
    <x v="4"/>
    <x v="1"/>
    <x v="2"/>
    <s v="EE_A"/>
    <x v="10"/>
    <n v="54.681226180612903"/>
    <n v="15.1892294946147"/>
  </r>
  <r>
    <x v="0"/>
    <x v="4"/>
    <x v="1"/>
    <x v="2"/>
    <s v="EE_A"/>
    <x v="11"/>
    <n v="3.8806031483015802"/>
    <n v="1.07794531897266"/>
  </r>
  <r>
    <x v="0"/>
    <x v="4"/>
    <x v="1"/>
    <x v="2"/>
    <s v="EE_A"/>
    <x v="12"/>
    <n v="9.7995028997514597E-2"/>
    <n v="2.72208413881985E-2"/>
  </r>
  <r>
    <x v="0"/>
    <x v="4"/>
    <x v="1"/>
    <x v="2"/>
    <s v="EE_A"/>
    <x v="13"/>
    <n v="21.5197083678542"/>
    <n v="5.9776967688483804"/>
  </r>
  <r>
    <x v="0"/>
    <x v="4"/>
    <x v="1"/>
    <x v="2"/>
    <s v="EE_A"/>
    <x v="14"/>
    <n v="21.5197083678542"/>
    <n v="5.9776967688483804"/>
  </r>
  <r>
    <x v="0"/>
    <x v="4"/>
    <x v="1"/>
    <x v="2"/>
    <s v="EE_A"/>
    <x v="15"/>
    <n v="1.65807589063794"/>
    <n v="0.46057663628831802"/>
  </r>
  <r>
    <x v="0"/>
    <x v="4"/>
    <x v="1"/>
    <x v="2"/>
    <s v="EE_A"/>
    <x v="16"/>
    <n v="8.3492014028755008"/>
    <n v="2.31922261190986"/>
  </r>
  <r>
    <x v="0"/>
    <x v="4"/>
    <x v="1"/>
    <x v="2"/>
    <s v="EE_A"/>
    <x v="17"/>
    <n v="9.5251168185584092"/>
    <n v="2.6458657829328902"/>
  </r>
  <r>
    <x v="0"/>
    <x v="4"/>
    <x v="1"/>
    <x v="2"/>
    <s v="EE_A"/>
    <x v="18"/>
    <n v="21.5197083678542"/>
    <n v="5.9776967688483804"/>
  </r>
  <r>
    <x v="0"/>
    <x v="4"/>
    <x v="1"/>
    <x v="2"/>
    <s v="EE_A"/>
    <x v="19"/>
    <n v="8.1139884009941898"/>
    <n v="2.2538856669428302"/>
  </r>
  <r>
    <x v="0"/>
    <x v="4"/>
    <x v="1"/>
    <x v="2"/>
    <s v="EE_A"/>
    <x v="20"/>
    <n v="19.336735244541"/>
    <n v="5.37131534570584"/>
  </r>
  <r>
    <x v="0"/>
    <x v="4"/>
    <x v="1"/>
    <x v="2"/>
    <s v="EE_A"/>
    <x v="21"/>
    <n v="53.225806451612797"/>
    <n v="14.784946236559099"/>
  </r>
  <r>
    <x v="0"/>
    <x v="4"/>
    <x v="1"/>
    <x v="2"/>
    <s v="EE_A"/>
    <x v="22"/>
    <n v="130.68"/>
    <n v="36.299999999999997"/>
  </r>
  <r>
    <x v="0"/>
    <x v="4"/>
    <x v="1"/>
    <x v="2"/>
    <s v="EE_A"/>
    <x v="23"/>
    <n v="0.35278210439105201"/>
    <n v="9.7995028997514499E-2"/>
  </r>
  <r>
    <x v="0"/>
    <x v="4"/>
    <x v="1"/>
    <x v="2"/>
    <s v="EE_A"/>
    <x v="24"/>
    <n v="20.0161025734538"/>
    <n v="5.5600284926260501"/>
  </r>
  <r>
    <x v="0"/>
    <x v="4"/>
    <x v="1"/>
    <x v="2"/>
    <s v="EE_A"/>
    <x v="25"/>
    <n v="22.356874337357301"/>
    <n v="6.2102428714881297"/>
  </r>
  <r>
    <x v="0"/>
    <x v="4"/>
    <x v="1"/>
    <x v="2"/>
    <s v="EE_A"/>
    <x v="26"/>
    <n v="29.6651032387655"/>
    <n v="8.2403064552126306"/>
  </r>
  <r>
    <x v="0"/>
    <x v="4"/>
    <x v="1"/>
    <x v="2"/>
    <s v="EE_A"/>
    <x v="27"/>
    <n v="21.049332228666099"/>
    <n v="5.8470367301850299"/>
  </r>
  <r>
    <x v="0"/>
    <x v="4"/>
    <x v="1"/>
    <x v="2"/>
    <s v="EE_Enefit"/>
    <x v="1"/>
    <n v="35.989199999999997"/>
    <n v="9.9969999999999999"/>
  </r>
  <r>
    <x v="0"/>
    <x v="4"/>
    <x v="1"/>
    <x v="2"/>
    <s v="EE_Enefit"/>
    <x v="2"/>
    <n v="57.96"/>
    <n v="16.100000000000001"/>
  </r>
  <r>
    <x v="0"/>
    <x v="4"/>
    <x v="1"/>
    <x v="2"/>
    <s v="EE_Enefit"/>
    <x v="0"/>
    <n v="42.692399999999999"/>
    <n v="11.859"/>
  </r>
  <r>
    <x v="0"/>
    <x v="4"/>
    <x v="1"/>
    <x v="2"/>
    <s v="EE_Enefit"/>
    <x v="3"/>
    <n v="57.7974681027342"/>
    <n v="16.054852250759499"/>
  </r>
  <r>
    <x v="0"/>
    <x v="4"/>
    <x v="1"/>
    <x v="2"/>
    <s v="EE_Enefit"/>
    <x v="4"/>
    <n v="8.1139884009941898"/>
    <n v="2.2538856669428302"/>
  </r>
  <r>
    <x v="0"/>
    <x v="4"/>
    <x v="1"/>
    <x v="2"/>
    <s v="EE_Enefit"/>
    <x v="5"/>
    <n v="8.1139884009941898"/>
    <n v="2.2538856669428302"/>
  </r>
  <r>
    <x v="0"/>
    <x v="4"/>
    <x v="1"/>
    <x v="2"/>
    <s v="EE_Enefit"/>
    <x v="6"/>
    <n v="30.770439105219602"/>
    <n v="8.5473441958943202"/>
  </r>
  <r>
    <x v="0"/>
    <x v="4"/>
    <x v="1"/>
    <x v="2"/>
    <s v="EE_Enefit"/>
    <x v="7"/>
    <n v="71.350180613090302"/>
    <n v="19.819494614747299"/>
  </r>
  <r>
    <x v="0"/>
    <x v="4"/>
    <x v="1"/>
    <x v="2"/>
    <s v="EE_Enefit"/>
    <x v="8"/>
    <n v="71.350180613090302"/>
    <n v="19.819494614747299"/>
  </r>
  <r>
    <x v="0"/>
    <x v="4"/>
    <x v="1"/>
    <x v="2"/>
    <s v="EE_Enefit"/>
    <x v="9"/>
    <n v="44.803327257663497"/>
    <n v="12.4453686826843"/>
  </r>
  <r>
    <x v="0"/>
    <x v="4"/>
    <x v="1"/>
    <x v="2"/>
    <s v="EE_Enefit"/>
    <x v="10"/>
    <n v="54.681226180612903"/>
    <n v="15.1892294946147"/>
  </r>
  <r>
    <x v="0"/>
    <x v="4"/>
    <x v="1"/>
    <x v="2"/>
    <s v="EE_Enefit"/>
    <x v="11"/>
    <n v="3.8806031483015802"/>
    <n v="1.07794531897266"/>
  </r>
  <r>
    <x v="0"/>
    <x v="4"/>
    <x v="1"/>
    <x v="2"/>
    <s v="EE_Enefit"/>
    <x v="12"/>
    <n v="9.7995028997514597E-2"/>
    <n v="2.72208413881985E-2"/>
  </r>
  <r>
    <x v="0"/>
    <x v="4"/>
    <x v="1"/>
    <x v="2"/>
    <s v="EE_Enefit"/>
    <x v="13"/>
    <n v="21.5197083678542"/>
    <n v="5.9776967688483804"/>
  </r>
  <r>
    <x v="0"/>
    <x v="4"/>
    <x v="1"/>
    <x v="2"/>
    <s v="EE_Enefit"/>
    <x v="14"/>
    <n v="21.5197083678542"/>
    <n v="5.9776967688483804"/>
  </r>
  <r>
    <x v="0"/>
    <x v="4"/>
    <x v="1"/>
    <x v="2"/>
    <s v="EE_Enefit"/>
    <x v="15"/>
    <n v="1.65807589063794"/>
    <n v="0.46057663628831802"/>
  </r>
  <r>
    <x v="0"/>
    <x v="4"/>
    <x v="1"/>
    <x v="2"/>
    <s v="EE_Enefit"/>
    <x v="16"/>
    <n v="8.3492014028755008"/>
    <n v="2.31922261190986"/>
  </r>
  <r>
    <x v="0"/>
    <x v="4"/>
    <x v="1"/>
    <x v="2"/>
    <s v="EE_Enefit"/>
    <x v="17"/>
    <n v="9.5251168185584092"/>
    <n v="2.6458657829328902"/>
  </r>
  <r>
    <x v="0"/>
    <x v="4"/>
    <x v="1"/>
    <x v="2"/>
    <s v="EE_Enefit"/>
    <x v="18"/>
    <n v="21.5197083678542"/>
    <n v="5.9776967688483804"/>
  </r>
  <r>
    <x v="0"/>
    <x v="4"/>
    <x v="1"/>
    <x v="2"/>
    <s v="EE_Enefit"/>
    <x v="19"/>
    <n v="8.1139884009941898"/>
    <n v="2.2538856669428302"/>
  </r>
  <r>
    <x v="0"/>
    <x v="4"/>
    <x v="1"/>
    <x v="2"/>
    <s v="EE_Enefit"/>
    <x v="20"/>
    <n v="19.336735244541"/>
    <n v="5.37131534570584"/>
  </r>
  <r>
    <x v="0"/>
    <x v="4"/>
    <x v="1"/>
    <x v="2"/>
    <s v="EE_Enefit"/>
    <x v="21"/>
    <n v="53.225806451612797"/>
    <n v="14.784946236559099"/>
  </r>
  <r>
    <x v="0"/>
    <x v="4"/>
    <x v="1"/>
    <x v="2"/>
    <s v="EE_Enefit"/>
    <x v="22"/>
    <n v="130.68"/>
    <n v="36.299999999999997"/>
  </r>
  <r>
    <x v="0"/>
    <x v="4"/>
    <x v="1"/>
    <x v="2"/>
    <s v="EE_Enefit"/>
    <x v="23"/>
    <n v="0.35278210439105201"/>
    <n v="9.7995028997514499E-2"/>
  </r>
  <r>
    <x v="0"/>
    <x v="4"/>
    <x v="1"/>
    <x v="2"/>
    <s v="EE_Enefit"/>
    <x v="24"/>
    <n v="20.0161025734538"/>
    <n v="5.5600284926260501"/>
  </r>
  <r>
    <x v="0"/>
    <x v="4"/>
    <x v="1"/>
    <x v="2"/>
    <s v="EE_Enefit"/>
    <x v="25"/>
    <n v="22.356874337357301"/>
    <n v="6.2102428714881297"/>
  </r>
  <r>
    <x v="0"/>
    <x v="4"/>
    <x v="1"/>
    <x v="2"/>
    <s v="EE_Enefit"/>
    <x v="26"/>
    <n v="29.6651032387655"/>
    <n v="8.2403064552126306"/>
  </r>
  <r>
    <x v="0"/>
    <x v="4"/>
    <x v="1"/>
    <x v="2"/>
    <s v="EE_Enefit"/>
    <x v="27"/>
    <n v="21.049332228666099"/>
    <n v="5.8470367301850299"/>
  </r>
  <r>
    <x v="0"/>
    <x v="4"/>
    <x v="1"/>
    <x v="2"/>
    <s v="EE_Industry"/>
    <x v="1"/>
    <n v="35.989199999999997"/>
    <n v="9.9969999999999999"/>
  </r>
  <r>
    <x v="0"/>
    <x v="4"/>
    <x v="1"/>
    <x v="2"/>
    <s v="EE_Industry"/>
    <x v="2"/>
    <n v="57.96"/>
    <n v="16.100000000000001"/>
  </r>
  <r>
    <x v="0"/>
    <x v="4"/>
    <x v="1"/>
    <x v="2"/>
    <s v="EE_Industry"/>
    <x v="0"/>
    <n v="42.692399999999999"/>
    <n v="11.859"/>
  </r>
  <r>
    <x v="0"/>
    <x v="4"/>
    <x v="1"/>
    <x v="2"/>
    <s v="EE_Industry"/>
    <x v="3"/>
    <n v="57.7974681027342"/>
    <n v="16.054852250759499"/>
  </r>
  <r>
    <x v="0"/>
    <x v="4"/>
    <x v="1"/>
    <x v="2"/>
    <s v="EE_Industry"/>
    <x v="4"/>
    <n v="8.1139884009941898"/>
    <n v="2.2538856669428302"/>
  </r>
  <r>
    <x v="0"/>
    <x v="4"/>
    <x v="1"/>
    <x v="2"/>
    <s v="EE_Industry"/>
    <x v="5"/>
    <n v="8.1139884009941898"/>
    <n v="2.2538856669428302"/>
  </r>
  <r>
    <x v="0"/>
    <x v="4"/>
    <x v="1"/>
    <x v="2"/>
    <s v="EE_Industry"/>
    <x v="6"/>
    <n v="30.770439105219602"/>
    <n v="8.5473441958943202"/>
  </r>
  <r>
    <x v="0"/>
    <x v="4"/>
    <x v="1"/>
    <x v="2"/>
    <s v="EE_Industry"/>
    <x v="7"/>
    <n v="71.350180613090302"/>
    <n v="19.819494614747299"/>
  </r>
  <r>
    <x v="0"/>
    <x v="4"/>
    <x v="1"/>
    <x v="2"/>
    <s v="EE_Industry"/>
    <x v="8"/>
    <n v="71.350180613090302"/>
    <n v="19.819494614747299"/>
  </r>
  <r>
    <x v="0"/>
    <x v="4"/>
    <x v="1"/>
    <x v="2"/>
    <s v="EE_Industry"/>
    <x v="9"/>
    <n v="44.803327257663497"/>
    <n v="12.4453686826843"/>
  </r>
  <r>
    <x v="0"/>
    <x v="4"/>
    <x v="1"/>
    <x v="2"/>
    <s v="EE_Industry"/>
    <x v="10"/>
    <n v="54.681226180612903"/>
    <n v="15.1892294946147"/>
  </r>
  <r>
    <x v="0"/>
    <x v="4"/>
    <x v="1"/>
    <x v="2"/>
    <s v="EE_Industry"/>
    <x v="11"/>
    <n v="3.8806031483015802"/>
    <n v="1.07794531897266"/>
  </r>
  <r>
    <x v="0"/>
    <x v="4"/>
    <x v="1"/>
    <x v="2"/>
    <s v="EE_Industry"/>
    <x v="12"/>
    <n v="9.7995028997514597E-2"/>
    <n v="2.72208413881985E-2"/>
  </r>
  <r>
    <x v="0"/>
    <x v="4"/>
    <x v="1"/>
    <x v="2"/>
    <s v="EE_Industry"/>
    <x v="13"/>
    <n v="21.5197083678542"/>
    <n v="5.9776967688483804"/>
  </r>
  <r>
    <x v="0"/>
    <x v="4"/>
    <x v="1"/>
    <x v="2"/>
    <s v="EE_Industry"/>
    <x v="14"/>
    <n v="21.5197083678542"/>
    <n v="5.9776967688483804"/>
  </r>
  <r>
    <x v="0"/>
    <x v="4"/>
    <x v="1"/>
    <x v="2"/>
    <s v="EE_Industry"/>
    <x v="15"/>
    <n v="1.65807589063794"/>
    <n v="0.46057663628831802"/>
  </r>
  <r>
    <x v="0"/>
    <x v="4"/>
    <x v="1"/>
    <x v="2"/>
    <s v="EE_Industry"/>
    <x v="16"/>
    <n v="8.3492014028755008"/>
    <n v="2.31922261190986"/>
  </r>
  <r>
    <x v="0"/>
    <x v="4"/>
    <x v="1"/>
    <x v="2"/>
    <s v="EE_Industry"/>
    <x v="17"/>
    <n v="9.5251168185584092"/>
    <n v="2.6458657829328902"/>
  </r>
  <r>
    <x v="0"/>
    <x v="4"/>
    <x v="1"/>
    <x v="2"/>
    <s v="EE_Industry"/>
    <x v="18"/>
    <n v="21.5197083678542"/>
    <n v="5.9776967688483804"/>
  </r>
  <r>
    <x v="0"/>
    <x v="4"/>
    <x v="1"/>
    <x v="2"/>
    <s v="EE_Industry"/>
    <x v="19"/>
    <n v="8.1139884009941898"/>
    <n v="2.2538856669428302"/>
  </r>
  <r>
    <x v="0"/>
    <x v="4"/>
    <x v="1"/>
    <x v="2"/>
    <s v="EE_Industry"/>
    <x v="20"/>
    <n v="19.336735244541"/>
    <n v="5.37131534570584"/>
  </r>
  <r>
    <x v="0"/>
    <x v="4"/>
    <x v="1"/>
    <x v="2"/>
    <s v="EE_Industry"/>
    <x v="21"/>
    <n v="53.225806451612797"/>
    <n v="14.784946236559099"/>
  </r>
  <r>
    <x v="0"/>
    <x v="4"/>
    <x v="1"/>
    <x v="2"/>
    <s v="EE_Industry"/>
    <x v="22"/>
    <n v="130.68"/>
    <n v="36.299999999999997"/>
  </r>
  <r>
    <x v="0"/>
    <x v="4"/>
    <x v="1"/>
    <x v="2"/>
    <s v="EE_Industry"/>
    <x v="23"/>
    <n v="0.35278210439105201"/>
    <n v="9.7995028997514499E-2"/>
  </r>
  <r>
    <x v="0"/>
    <x v="4"/>
    <x v="1"/>
    <x v="2"/>
    <s v="EE_Industry"/>
    <x v="24"/>
    <n v="20.0161025734538"/>
    <n v="5.5600284926260501"/>
  </r>
  <r>
    <x v="0"/>
    <x v="4"/>
    <x v="1"/>
    <x v="2"/>
    <s v="EE_Industry"/>
    <x v="25"/>
    <n v="22.356874337357301"/>
    <n v="6.2102428714881297"/>
  </r>
  <r>
    <x v="0"/>
    <x v="4"/>
    <x v="1"/>
    <x v="2"/>
    <s v="EE_Industry"/>
    <x v="26"/>
    <n v="29.6651032387655"/>
    <n v="8.2403064552126306"/>
  </r>
  <r>
    <x v="0"/>
    <x v="4"/>
    <x v="1"/>
    <x v="2"/>
    <s v="EE_Industry"/>
    <x v="27"/>
    <n v="21.049332228666099"/>
    <n v="5.8470367301850299"/>
  </r>
  <r>
    <x v="0"/>
    <x v="4"/>
    <x v="1"/>
    <x v="2"/>
    <s v="EE_Kohtla_Jarve"/>
    <x v="1"/>
    <n v="35.989199999999997"/>
    <n v="9.9969999999999999"/>
  </r>
  <r>
    <x v="0"/>
    <x v="4"/>
    <x v="1"/>
    <x v="2"/>
    <s v="EE_Kohtla_Jarve"/>
    <x v="2"/>
    <n v="57.96"/>
    <n v="16.100000000000001"/>
  </r>
  <r>
    <x v="0"/>
    <x v="4"/>
    <x v="1"/>
    <x v="2"/>
    <s v="EE_Kohtla_Jarve"/>
    <x v="0"/>
    <n v="42.692399999999999"/>
    <n v="11.859"/>
  </r>
  <r>
    <x v="0"/>
    <x v="4"/>
    <x v="1"/>
    <x v="2"/>
    <s v="EE_Kohtla_Jarve"/>
    <x v="3"/>
    <n v="57.7974681027342"/>
    <n v="16.054852250759499"/>
  </r>
  <r>
    <x v="0"/>
    <x v="4"/>
    <x v="1"/>
    <x v="2"/>
    <s v="EE_Kohtla_Jarve"/>
    <x v="4"/>
    <n v="8.1139884009941898"/>
    <n v="2.2538856669428302"/>
  </r>
  <r>
    <x v="0"/>
    <x v="4"/>
    <x v="1"/>
    <x v="2"/>
    <s v="EE_Kohtla_Jarve"/>
    <x v="5"/>
    <n v="8.1139884009941898"/>
    <n v="2.2538856669428302"/>
  </r>
  <r>
    <x v="0"/>
    <x v="4"/>
    <x v="1"/>
    <x v="2"/>
    <s v="EE_Kohtla_Jarve"/>
    <x v="6"/>
    <n v="30.770439105219602"/>
    <n v="8.5473441958943202"/>
  </r>
  <r>
    <x v="0"/>
    <x v="4"/>
    <x v="1"/>
    <x v="2"/>
    <s v="EE_Kohtla_Jarve"/>
    <x v="7"/>
    <n v="71.350180613090302"/>
    <n v="19.819494614747299"/>
  </r>
  <r>
    <x v="0"/>
    <x v="4"/>
    <x v="1"/>
    <x v="2"/>
    <s v="EE_Kohtla_Jarve"/>
    <x v="8"/>
    <n v="71.350180613090302"/>
    <n v="19.819494614747299"/>
  </r>
  <r>
    <x v="0"/>
    <x v="4"/>
    <x v="1"/>
    <x v="2"/>
    <s v="EE_Kohtla_Jarve"/>
    <x v="9"/>
    <n v="44.803327257663497"/>
    <n v="12.4453686826843"/>
  </r>
  <r>
    <x v="0"/>
    <x v="4"/>
    <x v="1"/>
    <x v="2"/>
    <s v="EE_Kohtla_Jarve"/>
    <x v="10"/>
    <n v="54.681226180612903"/>
    <n v="15.1892294946147"/>
  </r>
  <r>
    <x v="0"/>
    <x v="4"/>
    <x v="1"/>
    <x v="2"/>
    <s v="EE_Kohtla_Jarve"/>
    <x v="11"/>
    <n v="3.8806031483015802"/>
    <n v="1.07794531897266"/>
  </r>
  <r>
    <x v="0"/>
    <x v="4"/>
    <x v="1"/>
    <x v="2"/>
    <s v="EE_Kohtla_Jarve"/>
    <x v="12"/>
    <n v="9.7995028997514597E-2"/>
    <n v="2.72208413881985E-2"/>
  </r>
  <r>
    <x v="0"/>
    <x v="4"/>
    <x v="1"/>
    <x v="2"/>
    <s v="EE_Kohtla_Jarve"/>
    <x v="13"/>
    <n v="21.5197083678542"/>
    <n v="5.9776967688483804"/>
  </r>
  <r>
    <x v="0"/>
    <x v="4"/>
    <x v="1"/>
    <x v="2"/>
    <s v="EE_Kohtla_Jarve"/>
    <x v="14"/>
    <n v="21.5197083678542"/>
    <n v="5.9776967688483804"/>
  </r>
  <r>
    <x v="0"/>
    <x v="4"/>
    <x v="1"/>
    <x v="2"/>
    <s v="EE_Kohtla_Jarve"/>
    <x v="15"/>
    <n v="1.65807589063794"/>
    <n v="0.46057663628831802"/>
  </r>
  <r>
    <x v="0"/>
    <x v="4"/>
    <x v="1"/>
    <x v="2"/>
    <s v="EE_Kohtla_Jarve"/>
    <x v="16"/>
    <n v="8.3492014028755008"/>
    <n v="2.31922261190986"/>
  </r>
  <r>
    <x v="0"/>
    <x v="4"/>
    <x v="1"/>
    <x v="2"/>
    <s v="EE_Kohtla_Jarve"/>
    <x v="17"/>
    <n v="9.5251168185584092"/>
    <n v="2.6458657829328902"/>
  </r>
  <r>
    <x v="0"/>
    <x v="4"/>
    <x v="1"/>
    <x v="2"/>
    <s v="EE_Kohtla_Jarve"/>
    <x v="18"/>
    <n v="21.5197083678542"/>
    <n v="5.9776967688483804"/>
  </r>
  <r>
    <x v="0"/>
    <x v="4"/>
    <x v="1"/>
    <x v="2"/>
    <s v="EE_Kohtla_Jarve"/>
    <x v="19"/>
    <n v="8.1139884009941898"/>
    <n v="2.2538856669428302"/>
  </r>
  <r>
    <x v="0"/>
    <x v="4"/>
    <x v="1"/>
    <x v="2"/>
    <s v="EE_Kohtla_Jarve"/>
    <x v="20"/>
    <n v="19.336735244541"/>
    <n v="5.37131534570584"/>
  </r>
  <r>
    <x v="0"/>
    <x v="4"/>
    <x v="1"/>
    <x v="2"/>
    <s v="EE_Kohtla_Jarve"/>
    <x v="21"/>
    <n v="53.225806451612797"/>
    <n v="14.784946236559099"/>
  </r>
  <r>
    <x v="0"/>
    <x v="4"/>
    <x v="1"/>
    <x v="2"/>
    <s v="EE_Kohtla_Jarve"/>
    <x v="22"/>
    <n v="130.68"/>
    <n v="36.299999999999997"/>
  </r>
  <r>
    <x v="0"/>
    <x v="4"/>
    <x v="1"/>
    <x v="2"/>
    <s v="EE_Kohtla_Jarve"/>
    <x v="23"/>
    <n v="0.35278210439105201"/>
    <n v="9.7995028997514499E-2"/>
  </r>
  <r>
    <x v="0"/>
    <x v="4"/>
    <x v="1"/>
    <x v="2"/>
    <s v="EE_Kohtla_Jarve"/>
    <x v="24"/>
    <n v="20.0161025734538"/>
    <n v="5.5600284926260501"/>
  </r>
  <r>
    <x v="0"/>
    <x v="4"/>
    <x v="1"/>
    <x v="2"/>
    <s v="EE_Kohtla_Jarve"/>
    <x v="25"/>
    <n v="22.356874337357301"/>
    <n v="6.2102428714881297"/>
  </r>
  <r>
    <x v="0"/>
    <x v="4"/>
    <x v="1"/>
    <x v="2"/>
    <s v="EE_Kohtla_Jarve"/>
    <x v="26"/>
    <n v="29.6651032387655"/>
    <n v="8.2403064552126306"/>
  </r>
  <r>
    <x v="0"/>
    <x v="4"/>
    <x v="1"/>
    <x v="2"/>
    <s v="EE_Kohtla_Jarve"/>
    <x v="27"/>
    <n v="21.049332228666099"/>
    <n v="5.8470367301850299"/>
  </r>
  <r>
    <x v="0"/>
    <x v="4"/>
    <x v="1"/>
    <x v="2"/>
    <s v="EE_Narva"/>
    <x v="1"/>
    <n v="35.989199999999997"/>
    <n v="9.9969999999999999"/>
  </r>
  <r>
    <x v="0"/>
    <x v="4"/>
    <x v="1"/>
    <x v="2"/>
    <s v="EE_Narva"/>
    <x v="2"/>
    <n v="57.96"/>
    <n v="16.100000000000001"/>
  </r>
  <r>
    <x v="0"/>
    <x v="4"/>
    <x v="1"/>
    <x v="2"/>
    <s v="EE_Narva"/>
    <x v="0"/>
    <n v="42.692399999999999"/>
    <n v="11.859"/>
  </r>
  <r>
    <x v="0"/>
    <x v="4"/>
    <x v="1"/>
    <x v="2"/>
    <s v="EE_Narva"/>
    <x v="3"/>
    <n v="57.7974681027342"/>
    <n v="16.054852250759499"/>
  </r>
  <r>
    <x v="0"/>
    <x v="4"/>
    <x v="1"/>
    <x v="2"/>
    <s v="EE_Narva"/>
    <x v="4"/>
    <n v="8.1139884009941898"/>
    <n v="2.2538856669428302"/>
  </r>
  <r>
    <x v="0"/>
    <x v="4"/>
    <x v="1"/>
    <x v="2"/>
    <s v="EE_Narva"/>
    <x v="5"/>
    <n v="8.1139884009941898"/>
    <n v="2.2538856669428302"/>
  </r>
  <r>
    <x v="0"/>
    <x v="4"/>
    <x v="1"/>
    <x v="2"/>
    <s v="EE_Narva"/>
    <x v="6"/>
    <n v="30.770439105219602"/>
    <n v="8.5473441958943202"/>
  </r>
  <r>
    <x v="0"/>
    <x v="4"/>
    <x v="1"/>
    <x v="2"/>
    <s v="EE_Narva"/>
    <x v="7"/>
    <n v="71.350180613090302"/>
    <n v="19.819494614747299"/>
  </r>
  <r>
    <x v="0"/>
    <x v="4"/>
    <x v="1"/>
    <x v="2"/>
    <s v="EE_Narva"/>
    <x v="8"/>
    <n v="71.350180613090302"/>
    <n v="19.819494614747299"/>
  </r>
  <r>
    <x v="0"/>
    <x v="4"/>
    <x v="1"/>
    <x v="2"/>
    <s v="EE_Narva"/>
    <x v="9"/>
    <n v="44.803327257663497"/>
    <n v="12.4453686826843"/>
  </r>
  <r>
    <x v="0"/>
    <x v="4"/>
    <x v="1"/>
    <x v="2"/>
    <s v="EE_Narva"/>
    <x v="10"/>
    <n v="54.681226180612903"/>
    <n v="15.1892294946147"/>
  </r>
  <r>
    <x v="0"/>
    <x v="4"/>
    <x v="1"/>
    <x v="2"/>
    <s v="EE_Narva"/>
    <x v="11"/>
    <n v="3.8806031483015802"/>
    <n v="1.07794531897266"/>
  </r>
  <r>
    <x v="0"/>
    <x v="4"/>
    <x v="1"/>
    <x v="2"/>
    <s v="EE_Narva"/>
    <x v="12"/>
    <n v="9.7995028997514597E-2"/>
    <n v="2.72208413881985E-2"/>
  </r>
  <r>
    <x v="0"/>
    <x v="4"/>
    <x v="1"/>
    <x v="2"/>
    <s v="EE_Narva"/>
    <x v="13"/>
    <n v="21.5197083678542"/>
    <n v="5.9776967688483804"/>
  </r>
  <r>
    <x v="0"/>
    <x v="4"/>
    <x v="1"/>
    <x v="2"/>
    <s v="EE_Narva"/>
    <x v="14"/>
    <n v="21.5197083678542"/>
    <n v="5.9776967688483804"/>
  </r>
  <r>
    <x v="0"/>
    <x v="4"/>
    <x v="1"/>
    <x v="2"/>
    <s v="EE_Narva"/>
    <x v="15"/>
    <n v="1.65807589063794"/>
    <n v="0.46057663628831802"/>
  </r>
  <r>
    <x v="0"/>
    <x v="4"/>
    <x v="1"/>
    <x v="2"/>
    <s v="EE_Narva"/>
    <x v="16"/>
    <n v="8.3492014028755008"/>
    <n v="2.31922261190986"/>
  </r>
  <r>
    <x v="0"/>
    <x v="4"/>
    <x v="1"/>
    <x v="2"/>
    <s v="EE_Narva"/>
    <x v="17"/>
    <n v="9.5251168185584092"/>
    <n v="2.6458657829328902"/>
  </r>
  <r>
    <x v="0"/>
    <x v="4"/>
    <x v="1"/>
    <x v="2"/>
    <s v="EE_Narva"/>
    <x v="18"/>
    <n v="21.5197083678542"/>
    <n v="5.9776967688483804"/>
  </r>
  <r>
    <x v="0"/>
    <x v="4"/>
    <x v="1"/>
    <x v="2"/>
    <s v="EE_Narva"/>
    <x v="19"/>
    <n v="8.1139884009941898"/>
    <n v="2.2538856669428302"/>
  </r>
  <r>
    <x v="0"/>
    <x v="4"/>
    <x v="1"/>
    <x v="2"/>
    <s v="EE_Narva"/>
    <x v="20"/>
    <n v="19.336735244541"/>
    <n v="5.37131534570584"/>
  </r>
  <r>
    <x v="0"/>
    <x v="4"/>
    <x v="1"/>
    <x v="2"/>
    <s v="EE_Narva"/>
    <x v="21"/>
    <n v="53.225806451612797"/>
    <n v="14.784946236559099"/>
  </r>
  <r>
    <x v="0"/>
    <x v="4"/>
    <x v="1"/>
    <x v="2"/>
    <s v="EE_Narva"/>
    <x v="22"/>
    <n v="130.68"/>
    <n v="36.299999999999997"/>
  </r>
  <r>
    <x v="0"/>
    <x v="4"/>
    <x v="1"/>
    <x v="2"/>
    <s v="EE_Narva"/>
    <x v="23"/>
    <n v="0.35278210439105201"/>
    <n v="9.7995028997514499E-2"/>
  </r>
  <r>
    <x v="0"/>
    <x v="4"/>
    <x v="1"/>
    <x v="2"/>
    <s v="EE_Narva"/>
    <x v="24"/>
    <n v="20.0161025734538"/>
    <n v="5.5600284926260501"/>
  </r>
  <r>
    <x v="0"/>
    <x v="4"/>
    <x v="1"/>
    <x v="2"/>
    <s v="EE_Narva"/>
    <x v="25"/>
    <n v="22.356874337357301"/>
    <n v="6.2102428714881297"/>
  </r>
  <r>
    <x v="0"/>
    <x v="4"/>
    <x v="1"/>
    <x v="2"/>
    <s v="EE_Narva"/>
    <x v="26"/>
    <n v="29.6651032387655"/>
    <n v="8.2403064552126306"/>
  </r>
  <r>
    <x v="0"/>
    <x v="4"/>
    <x v="1"/>
    <x v="2"/>
    <s v="EE_Narva"/>
    <x v="27"/>
    <n v="21.049332228666099"/>
    <n v="5.8470367301850299"/>
  </r>
  <r>
    <x v="0"/>
    <x v="4"/>
    <x v="1"/>
    <x v="2"/>
    <s v="EE_OFFSHORE"/>
    <x v="1"/>
    <n v="35.989199999999997"/>
    <n v="9.9969999999999999"/>
  </r>
  <r>
    <x v="0"/>
    <x v="4"/>
    <x v="1"/>
    <x v="2"/>
    <s v="EE_OFFSHORE"/>
    <x v="2"/>
    <n v="57.96"/>
    <n v="16.100000000000001"/>
  </r>
  <r>
    <x v="0"/>
    <x v="4"/>
    <x v="1"/>
    <x v="2"/>
    <s v="EE_OFFSHORE"/>
    <x v="0"/>
    <n v="42.692399999999999"/>
    <n v="11.859"/>
  </r>
  <r>
    <x v="0"/>
    <x v="4"/>
    <x v="1"/>
    <x v="2"/>
    <s v="EE_OFFSHORE"/>
    <x v="3"/>
    <n v="57.7974681027342"/>
    <n v="16.054852250759499"/>
  </r>
  <r>
    <x v="0"/>
    <x v="4"/>
    <x v="1"/>
    <x v="2"/>
    <s v="EE_OFFSHORE"/>
    <x v="4"/>
    <n v="8.1139884009941898"/>
    <n v="2.2538856669428302"/>
  </r>
  <r>
    <x v="0"/>
    <x v="4"/>
    <x v="1"/>
    <x v="2"/>
    <s v="EE_OFFSHORE"/>
    <x v="5"/>
    <n v="8.1139884009941898"/>
    <n v="2.2538856669428302"/>
  </r>
  <r>
    <x v="0"/>
    <x v="4"/>
    <x v="1"/>
    <x v="2"/>
    <s v="EE_OFFSHORE"/>
    <x v="6"/>
    <n v="30.770439105219602"/>
    <n v="8.5473441958943202"/>
  </r>
  <r>
    <x v="0"/>
    <x v="4"/>
    <x v="1"/>
    <x v="2"/>
    <s v="EE_OFFSHORE"/>
    <x v="7"/>
    <n v="71.350180613090302"/>
    <n v="19.819494614747299"/>
  </r>
  <r>
    <x v="0"/>
    <x v="4"/>
    <x v="1"/>
    <x v="2"/>
    <s v="EE_OFFSHORE"/>
    <x v="8"/>
    <n v="71.350180613090302"/>
    <n v="19.819494614747299"/>
  </r>
  <r>
    <x v="0"/>
    <x v="4"/>
    <x v="1"/>
    <x v="2"/>
    <s v="EE_OFFSHORE"/>
    <x v="9"/>
    <n v="44.803327257663497"/>
    <n v="12.4453686826843"/>
  </r>
  <r>
    <x v="0"/>
    <x v="4"/>
    <x v="1"/>
    <x v="2"/>
    <s v="EE_OFFSHORE"/>
    <x v="10"/>
    <n v="54.681226180612903"/>
    <n v="15.1892294946147"/>
  </r>
  <r>
    <x v="0"/>
    <x v="4"/>
    <x v="1"/>
    <x v="2"/>
    <s v="EE_OFFSHORE"/>
    <x v="11"/>
    <n v="3.8806031483015802"/>
    <n v="1.07794531897266"/>
  </r>
  <r>
    <x v="0"/>
    <x v="4"/>
    <x v="1"/>
    <x v="2"/>
    <s v="EE_OFFSHORE"/>
    <x v="12"/>
    <n v="9.7995028997514597E-2"/>
    <n v="2.72208413881985E-2"/>
  </r>
  <r>
    <x v="0"/>
    <x v="4"/>
    <x v="1"/>
    <x v="2"/>
    <s v="EE_OFFSHORE"/>
    <x v="13"/>
    <n v="21.5197083678542"/>
    <n v="5.9776967688483804"/>
  </r>
  <r>
    <x v="0"/>
    <x v="4"/>
    <x v="1"/>
    <x v="2"/>
    <s v="EE_OFFSHORE"/>
    <x v="14"/>
    <n v="21.5197083678542"/>
    <n v="5.9776967688483804"/>
  </r>
  <r>
    <x v="0"/>
    <x v="4"/>
    <x v="1"/>
    <x v="2"/>
    <s v="EE_OFFSHORE"/>
    <x v="15"/>
    <n v="1.65807589063794"/>
    <n v="0.46057663628831802"/>
  </r>
  <r>
    <x v="0"/>
    <x v="4"/>
    <x v="1"/>
    <x v="2"/>
    <s v="EE_OFFSHORE"/>
    <x v="16"/>
    <n v="8.3492014028755008"/>
    <n v="2.31922261190986"/>
  </r>
  <r>
    <x v="0"/>
    <x v="4"/>
    <x v="1"/>
    <x v="2"/>
    <s v="EE_OFFSHORE"/>
    <x v="17"/>
    <n v="9.5251168185584092"/>
    <n v="2.6458657829328902"/>
  </r>
  <r>
    <x v="0"/>
    <x v="4"/>
    <x v="1"/>
    <x v="2"/>
    <s v="EE_OFFSHORE"/>
    <x v="18"/>
    <n v="21.5197083678542"/>
    <n v="5.9776967688483804"/>
  </r>
  <r>
    <x v="0"/>
    <x v="4"/>
    <x v="1"/>
    <x v="2"/>
    <s v="EE_OFFSHORE"/>
    <x v="19"/>
    <n v="8.1139884009941898"/>
    <n v="2.2538856669428302"/>
  </r>
  <r>
    <x v="0"/>
    <x v="4"/>
    <x v="1"/>
    <x v="2"/>
    <s v="EE_OFFSHORE"/>
    <x v="20"/>
    <n v="19.336735244541"/>
    <n v="5.37131534570584"/>
  </r>
  <r>
    <x v="0"/>
    <x v="4"/>
    <x v="1"/>
    <x v="2"/>
    <s v="EE_OFFSHORE"/>
    <x v="21"/>
    <n v="53.225806451612797"/>
    <n v="14.784946236559099"/>
  </r>
  <r>
    <x v="0"/>
    <x v="4"/>
    <x v="1"/>
    <x v="2"/>
    <s v="EE_OFFSHORE"/>
    <x v="22"/>
    <n v="130.68"/>
    <n v="36.299999999999997"/>
  </r>
  <r>
    <x v="0"/>
    <x v="4"/>
    <x v="1"/>
    <x v="2"/>
    <s v="EE_OFFSHORE"/>
    <x v="23"/>
    <n v="0.35278210439105201"/>
    <n v="9.7995028997514499E-2"/>
  </r>
  <r>
    <x v="0"/>
    <x v="4"/>
    <x v="1"/>
    <x v="2"/>
    <s v="EE_OFFSHORE"/>
    <x v="24"/>
    <n v="20.0161025734538"/>
    <n v="5.5600284926260501"/>
  </r>
  <r>
    <x v="0"/>
    <x v="4"/>
    <x v="1"/>
    <x v="2"/>
    <s v="EE_OFFSHORE"/>
    <x v="25"/>
    <n v="22.356874337357301"/>
    <n v="6.2102428714881297"/>
  </r>
  <r>
    <x v="0"/>
    <x v="4"/>
    <x v="1"/>
    <x v="2"/>
    <s v="EE_OFFSHORE"/>
    <x v="26"/>
    <n v="29.6651032387655"/>
    <n v="8.2403064552126306"/>
  </r>
  <r>
    <x v="0"/>
    <x v="4"/>
    <x v="1"/>
    <x v="2"/>
    <s v="EE_OFFSHORE"/>
    <x v="27"/>
    <n v="21.049332228666099"/>
    <n v="5.8470367301850299"/>
  </r>
  <r>
    <x v="0"/>
    <x v="4"/>
    <x v="1"/>
    <x v="2"/>
    <s v="EE_Parnu"/>
    <x v="1"/>
    <n v="35.989199999999997"/>
    <n v="9.9969999999999999"/>
  </r>
  <r>
    <x v="0"/>
    <x v="4"/>
    <x v="1"/>
    <x v="2"/>
    <s v="EE_Parnu"/>
    <x v="2"/>
    <n v="57.96"/>
    <n v="16.100000000000001"/>
  </r>
  <r>
    <x v="0"/>
    <x v="4"/>
    <x v="1"/>
    <x v="2"/>
    <s v="EE_Parnu"/>
    <x v="0"/>
    <n v="42.692399999999999"/>
    <n v="11.859"/>
  </r>
  <r>
    <x v="0"/>
    <x v="4"/>
    <x v="1"/>
    <x v="2"/>
    <s v="EE_Parnu"/>
    <x v="3"/>
    <n v="57.7974681027342"/>
    <n v="16.054852250759499"/>
  </r>
  <r>
    <x v="0"/>
    <x v="4"/>
    <x v="1"/>
    <x v="2"/>
    <s v="EE_Parnu"/>
    <x v="4"/>
    <n v="8.1139884009941898"/>
    <n v="2.2538856669428302"/>
  </r>
  <r>
    <x v="0"/>
    <x v="4"/>
    <x v="1"/>
    <x v="2"/>
    <s v="EE_Parnu"/>
    <x v="5"/>
    <n v="8.1139884009941898"/>
    <n v="2.2538856669428302"/>
  </r>
  <r>
    <x v="0"/>
    <x v="4"/>
    <x v="1"/>
    <x v="2"/>
    <s v="EE_Parnu"/>
    <x v="6"/>
    <n v="30.770439105219602"/>
    <n v="8.5473441958943202"/>
  </r>
  <r>
    <x v="0"/>
    <x v="4"/>
    <x v="1"/>
    <x v="2"/>
    <s v="EE_Parnu"/>
    <x v="7"/>
    <n v="71.350180613090302"/>
    <n v="19.819494614747299"/>
  </r>
  <r>
    <x v="0"/>
    <x v="4"/>
    <x v="1"/>
    <x v="2"/>
    <s v="EE_Parnu"/>
    <x v="8"/>
    <n v="71.350180613090302"/>
    <n v="19.819494614747299"/>
  </r>
  <r>
    <x v="0"/>
    <x v="4"/>
    <x v="1"/>
    <x v="2"/>
    <s v="EE_Parnu"/>
    <x v="9"/>
    <n v="44.803327257663497"/>
    <n v="12.4453686826843"/>
  </r>
  <r>
    <x v="0"/>
    <x v="4"/>
    <x v="1"/>
    <x v="2"/>
    <s v="EE_Parnu"/>
    <x v="10"/>
    <n v="54.681226180612903"/>
    <n v="15.1892294946147"/>
  </r>
  <r>
    <x v="0"/>
    <x v="4"/>
    <x v="1"/>
    <x v="2"/>
    <s v="EE_Parnu"/>
    <x v="11"/>
    <n v="3.8806031483015802"/>
    <n v="1.07794531897266"/>
  </r>
  <r>
    <x v="0"/>
    <x v="4"/>
    <x v="1"/>
    <x v="2"/>
    <s v="EE_Parnu"/>
    <x v="12"/>
    <n v="9.7995028997514597E-2"/>
    <n v="2.72208413881985E-2"/>
  </r>
  <r>
    <x v="0"/>
    <x v="4"/>
    <x v="1"/>
    <x v="2"/>
    <s v="EE_Parnu"/>
    <x v="13"/>
    <n v="21.5197083678542"/>
    <n v="5.9776967688483804"/>
  </r>
  <r>
    <x v="0"/>
    <x v="4"/>
    <x v="1"/>
    <x v="2"/>
    <s v="EE_Parnu"/>
    <x v="14"/>
    <n v="21.5197083678542"/>
    <n v="5.9776967688483804"/>
  </r>
  <r>
    <x v="0"/>
    <x v="4"/>
    <x v="1"/>
    <x v="2"/>
    <s v="EE_Parnu"/>
    <x v="15"/>
    <n v="1.65807589063794"/>
    <n v="0.46057663628831802"/>
  </r>
  <r>
    <x v="0"/>
    <x v="4"/>
    <x v="1"/>
    <x v="2"/>
    <s v="EE_Parnu"/>
    <x v="16"/>
    <n v="8.3492014028755008"/>
    <n v="2.31922261190986"/>
  </r>
  <r>
    <x v="0"/>
    <x v="4"/>
    <x v="1"/>
    <x v="2"/>
    <s v="EE_Parnu"/>
    <x v="17"/>
    <n v="9.5251168185584092"/>
    <n v="2.6458657829328902"/>
  </r>
  <r>
    <x v="0"/>
    <x v="4"/>
    <x v="1"/>
    <x v="2"/>
    <s v="EE_Parnu"/>
    <x v="18"/>
    <n v="21.5197083678542"/>
    <n v="5.9776967688483804"/>
  </r>
  <r>
    <x v="0"/>
    <x v="4"/>
    <x v="1"/>
    <x v="2"/>
    <s v="EE_Parnu"/>
    <x v="19"/>
    <n v="8.1139884009941898"/>
    <n v="2.2538856669428302"/>
  </r>
  <r>
    <x v="0"/>
    <x v="4"/>
    <x v="1"/>
    <x v="2"/>
    <s v="EE_Parnu"/>
    <x v="20"/>
    <n v="19.336735244541"/>
    <n v="5.37131534570584"/>
  </r>
  <r>
    <x v="0"/>
    <x v="4"/>
    <x v="1"/>
    <x v="2"/>
    <s v="EE_Parnu"/>
    <x v="21"/>
    <n v="53.225806451612797"/>
    <n v="14.784946236559099"/>
  </r>
  <r>
    <x v="0"/>
    <x v="4"/>
    <x v="1"/>
    <x v="2"/>
    <s v="EE_Parnu"/>
    <x v="22"/>
    <n v="130.68"/>
    <n v="36.299999999999997"/>
  </r>
  <r>
    <x v="0"/>
    <x v="4"/>
    <x v="1"/>
    <x v="2"/>
    <s v="EE_Parnu"/>
    <x v="23"/>
    <n v="0.35278210439105201"/>
    <n v="9.7995028997514499E-2"/>
  </r>
  <r>
    <x v="0"/>
    <x v="4"/>
    <x v="1"/>
    <x v="2"/>
    <s v="EE_Parnu"/>
    <x v="24"/>
    <n v="20.0161025734538"/>
    <n v="5.5600284926260501"/>
  </r>
  <r>
    <x v="0"/>
    <x v="4"/>
    <x v="1"/>
    <x v="2"/>
    <s v="EE_Parnu"/>
    <x v="25"/>
    <n v="22.356874337357301"/>
    <n v="6.2102428714881297"/>
  </r>
  <r>
    <x v="0"/>
    <x v="4"/>
    <x v="1"/>
    <x v="2"/>
    <s v="EE_Parnu"/>
    <x v="26"/>
    <n v="29.6651032387655"/>
    <n v="8.2403064552126306"/>
  </r>
  <r>
    <x v="0"/>
    <x v="4"/>
    <x v="1"/>
    <x v="2"/>
    <s v="EE_Parnu"/>
    <x v="27"/>
    <n v="21.049332228666099"/>
    <n v="5.8470367301850299"/>
  </r>
  <r>
    <x v="0"/>
    <x v="4"/>
    <x v="1"/>
    <x v="2"/>
    <s v="EE_Rural"/>
    <x v="1"/>
    <n v="35.989199999999997"/>
    <n v="9.9969999999999999"/>
  </r>
  <r>
    <x v="0"/>
    <x v="4"/>
    <x v="1"/>
    <x v="2"/>
    <s v="EE_Rural"/>
    <x v="2"/>
    <n v="57.96"/>
    <n v="16.100000000000001"/>
  </r>
  <r>
    <x v="0"/>
    <x v="4"/>
    <x v="1"/>
    <x v="2"/>
    <s v="EE_Rural"/>
    <x v="0"/>
    <n v="42.692399999999999"/>
    <n v="11.859"/>
  </r>
  <r>
    <x v="0"/>
    <x v="4"/>
    <x v="1"/>
    <x v="2"/>
    <s v="EE_Rural"/>
    <x v="3"/>
    <n v="57.7974681027342"/>
    <n v="16.054852250759499"/>
  </r>
  <r>
    <x v="0"/>
    <x v="4"/>
    <x v="1"/>
    <x v="2"/>
    <s v="EE_Rural"/>
    <x v="4"/>
    <n v="8.1139884009941898"/>
    <n v="2.2538856669428302"/>
  </r>
  <r>
    <x v="0"/>
    <x v="4"/>
    <x v="1"/>
    <x v="2"/>
    <s v="EE_Rural"/>
    <x v="5"/>
    <n v="8.1139884009941898"/>
    <n v="2.2538856669428302"/>
  </r>
  <r>
    <x v="0"/>
    <x v="4"/>
    <x v="1"/>
    <x v="2"/>
    <s v="EE_Rural"/>
    <x v="6"/>
    <n v="30.770439105219602"/>
    <n v="8.5473441958943202"/>
  </r>
  <r>
    <x v="0"/>
    <x v="4"/>
    <x v="1"/>
    <x v="2"/>
    <s v="EE_Rural"/>
    <x v="7"/>
    <n v="71.350180613090302"/>
    <n v="19.819494614747299"/>
  </r>
  <r>
    <x v="0"/>
    <x v="4"/>
    <x v="1"/>
    <x v="2"/>
    <s v="EE_Rural"/>
    <x v="8"/>
    <n v="71.350180613090302"/>
    <n v="19.819494614747299"/>
  </r>
  <r>
    <x v="0"/>
    <x v="4"/>
    <x v="1"/>
    <x v="2"/>
    <s v="EE_Rural"/>
    <x v="9"/>
    <n v="44.803327257663497"/>
    <n v="12.4453686826843"/>
  </r>
  <r>
    <x v="0"/>
    <x v="4"/>
    <x v="1"/>
    <x v="2"/>
    <s v="EE_Rural"/>
    <x v="10"/>
    <n v="54.681226180612903"/>
    <n v="15.1892294946147"/>
  </r>
  <r>
    <x v="0"/>
    <x v="4"/>
    <x v="1"/>
    <x v="2"/>
    <s v="EE_Rural"/>
    <x v="11"/>
    <n v="3.8806031483015802"/>
    <n v="1.07794531897266"/>
  </r>
  <r>
    <x v="0"/>
    <x v="4"/>
    <x v="1"/>
    <x v="2"/>
    <s v="EE_Rural"/>
    <x v="12"/>
    <n v="9.7995028997514597E-2"/>
    <n v="2.72208413881985E-2"/>
  </r>
  <r>
    <x v="0"/>
    <x v="4"/>
    <x v="1"/>
    <x v="2"/>
    <s v="EE_Rural"/>
    <x v="13"/>
    <n v="21.5197083678542"/>
    <n v="5.9776967688483804"/>
  </r>
  <r>
    <x v="0"/>
    <x v="4"/>
    <x v="1"/>
    <x v="2"/>
    <s v="EE_Rural"/>
    <x v="14"/>
    <n v="21.5197083678542"/>
    <n v="5.9776967688483804"/>
  </r>
  <r>
    <x v="0"/>
    <x v="4"/>
    <x v="1"/>
    <x v="2"/>
    <s v="EE_Rural"/>
    <x v="15"/>
    <n v="1.65807589063794"/>
    <n v="0.46057663628831802"/>
  </r>
  <r>
    <x v="0"/>
    <x v="4"/>
    <x v="1"/>
    <x v="2"/>
    <s v="EE_Rural"/>
    <x v="16"/>
    <n v="8.3492014028755008"/>
    <n v="2.31922261190986"/>
  </r>
  <r>
    <x v="0"/>
    <x v="4"/>
    <x v="1"/>
    <x v="2"/>
    <s v="EE_Rural"/>
    <x v="17"/>
    <n v="9.5251168185584092"/>
    <n v="2.6458657829328902"/>
  </r>
  <r>
    <x v="0"/>
    <x v="4"/>
    <x v="1"/>
    <x v="2"/>
    <s v="EE_Rural"/>
    <x v="18"/>
    <n v="21.5197083678542"/>
    <n v="5.9776967688483804"/>
  </r>
  <r>
    <x v="0"/>
    <x v="4"/>
    <x v="1"/>
    <x v="2"/>
    <s v="EE_Rural"/>
    <x v="19"/>
    <n v="8.1139884009941898"/>
    <n v="2.2538856669428302"/>
  </r>
  <r>
    <x v="0"/>
    <x v="4"/>
    <x v="1"/>
    <x v="2"/>
    <s v="EE_Rural"/>
    <x v="20"/>
    <n v="19.336735244541"/>
    <n v="5.37131534570584"/>
  </r>
  <r>
    <x v="0"/>
    <x v="4"/>
    <x v="1"/>
    <x v="2"/>
    <s v="EE_Rural"/>
    <x v="21"/>
    <n v="53.225806451612797"/>
    <n v="14.784946236559099"/>
  </r>
  <r>
    <x v="0"/>
    <x v="4"/>
    <x v="1"/>
    <x v="2"/>
    <s v="EE_Rural"/>
    <x v="22"/>
    <n v="130.68"/>
    <n v="36.299999999999997"/>
  </r>
  <r>
    <x v="0"/>
    <x v="4"/>
    <x v="1"/>
    <x v="2"/>
    <s v="EE_Rural"/>
    <x v="23"/>
    <n v="0.35278210439105201"/>
    <n v="9.7995028997514499E-2"/>
  </r>
  <r>
    <x v="0"/>
    <x v="4"/>
    <x v="1"/>
    <x v="2"/>
    <s v="EE_Rural"/>
    <x v="24"/>
    <n v="20.0161025734538"/>
    <n v="5.5600284926260501"/>
  </r>
  <r>
    <x v="0"/>
    <x v="4"/>
    <x v="1"/>
    <x v="2"/>
    <s v="EE_Rural"/>
    <x v="25"/>
    <n v="22.356874337357301"/>
    <n v="6.2102428714881297"/>
  </r>
  <r>
    <x v="0"/>
    <x v="4"/>
    <x v="1"/>
    <x v="2"/>
    <s v="EE_Rural"/>
    <x v="26"/>
    <n v="29.6651032387655"/>
    <n v="8.2403064552126306"/>
  </r>
  <r>
    <x v="0"/>
    <x v="4"/>
    <x v="1"/>
    <x v="2"/>
    <s v="EE_Rural"/>
    <x v="27"/>
    <n v="21.049332228666099"/>
    <n v="5.8470367301850299"/>
  </r>
  <r>
    <x v="0"/>
    <x v="4"/>
    <x v="1"/>
    <x v="2"/>
    <s v="EE_Sillamae"/>
    <x v="1"/>
    <n v="35.989199999999997"/>
    <n v="9.9969999999999999"/>
  </r>
  <r>
    <x v="0"/>
    <x v="4"/>
    <x v="1"/>
    <x v="2"/>
    <s v="EE_Sillamae"/>
    <x v="2"/>
    <n v="57.96"/>
    <n v="16.100000000000001"/>
  </r>
  <r>
    <x v="0"/>
    <x v="4"/>
    <x v="1"/>
    <x v="2"/>
    <s v="EE_Sillamae"/>
    <x v="0"/>
    <n v="42.692399999999999"/>
    <n v="11.859"/>
  </r>
  <r>
    <x v="0"/>
    <x v="4"/>
    <x v="1"/>
    <x v="2"/>
    <s v="EE_Sillamae"/>
    <x v="3"/>
    <n v="57.7974681027342"/>
    <n v="16.054852250759499"/>
  </r>
  <r>
    <x v="0"/>
    <x v="4"/>
    <x v="1"/>
    <x v="2"/>
    <s v="EE_Sillamae"/>
    <x v="4"/>
    <n v="8.1139884009941898"/>
    <n v="2.2538856669428302"/>
  </r>
  <r>
    <x v="0"/>
    <x v="4"/>
    <x v="1"/>
    <x v="2"/>
    <s v="EE_Sillamae"/>
    <x v="5"/>
    <n v="8.1139884009941898"/>
    <n v="2.2538856669428302"/>
  </r>
  <r>
    <x v="0"/>
    <x v="4"/>
    <x v="1"/>
    <x v="2"/>
    <s v="EE_Sillamae"/>
    <x v="6"/>
    <n v="30.770439105219602"/>
    <n v="8.5473441958943202"/>
  </r>
  <r>
    <x v="0"/>
    <x v="4"/>
    <x v="1"/>
    <x v="2"/>
    <s v="EE_Sillamae"/>
    <x v="7"/>
    <n v="71.350180613090302"/>
    <n v="19.819494614747299"/>
  </r>
  <r>
    <x v="0"/>
    <x v="4"/>
    <x v="1"/>
    <x v="2"/>
    <s v="EE_Sillamae"/>
    <x v="8"/>
    <n v="71.350180613090302"/>
    <n v="19.819494614747299"/>
  </r>
  <r>
    <x v="0"/>
    <x v="4"/>
    <x v="1"/>
    <x v="2"/>
    <s v="EE_Sillamae"/>
    <x v="9"/>
    <n v="44.803327257663497"/>
    <n v="12.4453686826843"/>
  </r>
  <r>
    <x v="0"/>
    <x v="4"/>
    <x v="1"/>
    <x v="2"/>
    <s v="EE_Sillamae"/>
    <x v="10"/>
    <n v="54.681226180612903"/>
    <n v="15.1892294946147"/>
  </r>
  <r>
    <x v="0"/>
    <x v="4"/>
    <x v="1"/>
    <x v="2"/>
    <s v="EE_Sillamae"/>
    <x v="11"/>
    <n v="3.8806031483015802"/>
    <n v="1.07794531897266"/>
  </r>
  <r>
    <x v="0"/>
    <x v="4"/>
    <x v="1"/>
    <x v="2"/>
    <s v="EE_Sillamae"/>
    <x v="12"/>
    <n v="9.7995028997514597E-2"/>
    <n v="2.72208413881985E-2"/>
  </r>
  <r>
    <x v="0"/>
    <x v="4"/>
    <x v="1"/>
    <x v="2"/>
    <s v="EE_Sillamae"/>
    <x v="13"/>
    <n v="21.5197083678542"/>
    <n v="5.9776967688483804"/>
  </r>
  <r>
    <x v="0"/>
    <x v="4"/>
    <x v="1"/>
    <x v="2"/>
    <s v="EE_Sillamae"/>
    <x v="14"/>
    <n v="21.5197083678542"/>
    <n v="5.9776967688483804"/>
  </r>
  <r>
    <x v="0"/>
    <x v="4"/>
    <x v="1"/>
    <x v="2"/>
    <s v="EE_Sillamae"/>
    <x v="15"/>
    <n v="1.65807589063794"/>
    <n v="0.46057663628831802"/>
  </r>
  <r>
    <x v="0"/>
    <x v="4"/>
    <x v="1"/>
    <x v="2"/>
    <s v="EE_Sillamae"/>
    <x v="16"/>
    <n v="8.3492014028755008"/>
    <n v="2.31922261190986"/>
  </r>
  <r>
    <x v="0"/>
    <x v="4"/>
    <x v="1"/>
    <x v="2"/>
    <s v="EE_Sillamae"/>
    <x v="17"/>
    <n v="9.5251168185584092"/>
    <n v="2.6458657829328902"/>
  </r>
  <r>
    <x v="0"/>
    <x v="4"/>
    <x v="1"/>
    <x v="2"/>
    <s v="EE_Sillamae"/>
    <x v="18"/>
    <n v="21.5197083678542"/>
    <n v="5.9776967688483804"/>
  </r>
  <r>
    <x v="0"/>
    <x v="4"/>
    <x v="1"/>
    <x v="2"/>
    <s v="EE_Sillamae"/>
    <x v="19"/>
    <n v="8.1139884009941898"/>
    <n v="2.2538856669428302"/>
  </r>
  <r>
    <x v="0"/>
    <x v="4"/>
    <x v="1"/>
    <x v="2"/>
    <s v="EE_Sillamae"/>
    <x v="20"/>
    <n v="19.336735244541"/>
    <n v="5.37131534570584"/>
  </r>
  <r>
    <x v="0"/>
    <x v="4"/>
    <x v="1"/>
    <x v="2"/>
    <s v="EE_Sillamae"/>
    <x v="21"/>
    <n v="53.225806451612797"/>
    <n v="14.784946236559099"/>
  </r>
  <r>
    <x v="0"/>
    <x v="4"/>
    <x v="1"/>
    <x v="2"/>
    <s v="EE_Sillamae"/>
    <x v="22"/>
    <n v="130.68"/>
    <n v="36.299999999999997"/>
  </r>
  <r>
    <x v="0"/>
    <x v="4"/>
    <x v="1"/>
    <x v="2"/>
    <s v="EE_Sillamae"/>
    <x v="23"/>
    <n v="0.35278210439105201"/>
    <n v="9.7995028997514499E-2"/>
  </r>
  <r>
    <x v="0"/>
    <x v="4"/>
    <x v="1"/>
    <x v="2"/>
    <s v="EE_Sillamae"/>
    <x v="24"/>
    <n v="20.0161025734538"/>
    <n v="5.5600284926260501"/>
  </r>
  <r>
    <x v="0"/>
    <x v="4"/>
    <x v="1"/>
    <x v="2"/>
    <s v="EE_Sillamae"/>
    <x v="25"/>
    <n v="22.356874337357301"/>
    <n v="6.2102428714881297"/>
  </r>
  <r>
    <x v="0"/>
    <x v="4"/>
    <x v="1"/>
    <x v="2"/>
    <s v="EE_Sillamae"/>
    <x v="26"/>
    <n v="29.6651032387655"/>
    <n v="8.2403064552126306"/>
  </r>
  <r>
    <x v="0"/>
    <x v="4"/>
    <x v="1"/>
    <x v="2"/>
    <s v="EE_Sillamae"/>
    <x v="27"/>
    <n v="21.049332228666099"/>
    <n v="5.8470367301850299"/>
  </r>
  <r>
    <x v="0"/>
    <x v="4"/>
    <x v="1"/>
    <x v="2"/>
    <s v="EE_Tallinn"/>
    <x v="1"/>
    <n v="35.989199999999997"/>
    <n v="9.9969999999999999"/>
  </r>
  <r>
    <x v="0"/>
    <x v="4"/>
    <x v="1"/>
    <x v="2"/>
    <s v="EE_Tallinn"/>
    <x v="2"/>
    <n v="57.96"/>
    <n v="16.100000000000001"/>
  </r>
  <r>
    <x v="0"/>
    <x v="4"/>
    <x v="1"/>
    <x v="2"/>
    <s v="EE_Tallinn"/>
    <x v="0"/>
    <n v="42.692399999999999"/>
    <n v="11.859"/>
  </r>
  <r>
    <x v="0"/>
    <x v="4"/>
    <x v="1"/>
    <x v="2"/>
    <s v="EE_Tallinn"/>
    <x v="3"/>
    <n v="57.7974681027342"/>
    <n v="16.054852250759499"/>
  </r>
  <r>
    <x v="0"/>
    <x v="4"/>
    <x v="1"/>
    <x v="2"/>
    <s v="EE_Tallinn"/>
    <x v="4"/>
    <n v="8.1139884009941898"/>
    <n v="2.2538856669428302"/>
  </r>
  <r>
    <x v="0"/>
    <x v="4"/>
    <x v="1"/>
    <x v="2"/>
    <s v="EE_Tallinn"/>
    <x v="5"/>
    <n v="8.1139884009941898"/>
    <n v="2.2538856669428302"/>
  </r>
  <r>
    <x v="0"/>
    <x v="4"/>
    <x v="1"/>
    <x v="2"/>
    <s v="EE_Tallinn"/>
    <x v="6"/>
    <n v="30.770439105219602"/>
    <n v="8.5473441958943202"/>
  </r>
  <r>
    <x v="0"/>
    <x v="4"/>
    <x v="1"/>
    <x v="2"/>
    <s v="EE_Tallinn"/>
    <x v="7"/>
    <n v="71.350180613090302"/>
    <n v="19.819494614747299"/>
  </r>
  <r>
    <x v="0"/>
    <x v="4"/>
    <x v="1"/>
    <x v="2"/>
    <s v="EE_Tallinn"/>
    <x v="8"/>
    <n v="71.350180613090302"/>
    <n v="19.819494614747299"/>
  </r>
  <r>
    <x v="0"/>
    <x v="4"/>
    <x v="1"/>
    <x v="2"/>
    <s v="EE_Tallinn"/>
    <x v="9"/>
    <n v="44.803327257663497"/>
    <n v="12.4453686826843"/>
  </r>
  <r>
    <x v="0"/>
    <x v="4"/>
    <x v="1"/>
    <x v="2"/>
    <s v="EE_Tallinn"/>
    <x v="10"/>
    <n v="54.681226180612903"/>
    <n v="15.1892294946147"/>
  </r>
  <r>
    <x v="0"/>
    <x v="4"/>
    <x v="1"/>
    <x v="2"/>
    <s v="EE_Tallinn"/>
    <x v="11"/>
    <n v="3.8806031483015802"/>
    <n v="1.07794531897266"/>
  </r>
  <r>
    <x v="0"/>
    <x v="4"/>
    <x v="1"/>
    <x v="2"/>
    <s v="EE_Tallinn"/>
    <x v="12"/>
    <n v="9.7995028997514597E-2"/>
    <n v="2.72208413881985E-2"/>
  </r>
  <r>
    <x v="0"/>
    <x v="4"/>
    <x v="1"/>
    <x v="2"/>
    <s v="EE_Tallinn"/>
    <x v="13"/>
    <n v="21.5197083678542"/>
    <n v="5.9776967688483804"/>
  </r>
  <r>
    <x v="0"/>
    <x v="4"/>
    <x v="1"/>
    <x v="2"/>
    <s v="EE_Tallinn"/>
    <x v="14"/>
    <n v="21.5197083678542"/>
    <n v="5.9776967688483804"/>
  </r>
  <r>
    <x v="0"/>
    <x v="4"/>
    <x v="1"/>
    <x v="2"/>
    <s v="EE_Tallinn"/>
    <x v="15"/>
    <n v="1.65807589063794"/>
    <n v="0.46057663628831802"/>
  </r>
  <r>
    <x v="0"/>
    <x v="4"/>
    <x v="1"/>
    <x v="2"/>
    <s v="EE_Tallinn"/>
    <x v="16"/>
    <n v="8.3492014028755008"/>
    <n v="2.31922261190986"/>
  </r>
  <r>
    <x v="0"/>
    <x v="4"/>
    <x v="1"/>
    <x v="2"/>
    <s v="EE_Tallinn"/>
    <x v="17"/>
    <n v="9.5251168185584092"/>
    <n v="2.6458657829328902"/>
  </r>
  <r>
    <x v="0"/>
    <x v="4"/>
    <x v="1"/>
    <x v="2"/>
    <s v="EE_Tallinn"/>
    <x v="18"/>
    <n v="21.5197083678542"/>
    <n v="5.9776967688483804"/>
  </r>
  <r>
    <x v="0"/>
    <x v="4"/>
    <x v="1"/>
    <x v="2"/>
    <s v="EE_Tallinn"/>
    <x v="19"/>
    <n v="8.1139884009941898"/>
    <n v="2.2538856669428302"/>
  </r>
  <r>
    <x v="0"/>
    <x v="4"/>
    <x v="1"/>
    <x v="2"/>
    <s v="EE_Tallinn"/>
    <x v="20"/>
    <n v="19.336735244541"/>
    <n v="5.37131534570584"/>
  </r>
  <r>
    <x v="0"/>
    <x v="4"/>
    <x v="1"/>
    <x v="2"/>
    <s v="EE_Tallinn"/>
    <x v="21"/>
    <n v="53.225806451612797"/>
    <n v="14.784946236559099"/>
  </r>
  <r>
    <x v="0"/>
    <x v="4"/>
    <x v="1"/>
    <x v="2"/>
    <s v="EE_Tallinn"/>
    <x v="22"/>
    <n v="130.68"/>
    <n v="36.299999999999997"/>
  </r>
  <r>
    <x v="0"/>
    <x v="4"/>
    <x v="1"/>
    <x v="2"/>
    <s v="EE_Tallinn"/>
    <x v="23"/>
    <n v="0.35278210439105201"/>
    <n v="9.7995028997514499E-2"/>
  </r>
  <r>
    <x v="0"/>
    <x v="4"/>
    <x v="1"/>
    <x v="2"/>
    <s v="EE_Tallinn"/>
    <x v="24"/>
    <n v="20.0161025734538"/>
    <n v="5.5600284926260501"/>
  </r>
  <r>
    <x v="0"/>
    <x v="4"/>
    <x v="1"/>
    <x v="2"/>
    <s v="EE_Tallinn"/>
    <x v="25"/>
    <n v="22.356874337357301"/>
    <n v="6.2102428714881297"/>
  </r>
  <r>
    <x v="0"/>
    <x v="4"/>
    <x v="1"/>
    <x v="2"/>
    <s v="EE_Tallinn"/>
    <x v="26"/>
    <n v="29.6651032387655"/>
    <n v="8.2403064552126306"/>
  </r>
  <r>
    <x v="0"/>
    <x v="4"/>
    <x v="1"/>
    <x v="2"/>
    <s v="EE_Tallinn"/>
    <x v="27"/>
    <n v="21.049332228666099"/>
    <n v="5.8470367301850299"/>
  </r>
  <r>
    <x v="0"/>
    <x v="4"/>
    <x v="1"/>
    <x v="2"/>
    <s v="EE_Tartu"/>
    <x v="1"/>
    <n v="35.989199999999997"/>
    <n v="9.9969999999999999"/>
  </r>
  <r>
    <x v="0"/>
    <x v="4"/>
    <x v="1"/>
    <x v="2"/>
    <s v="EE_Tartu"/>
    <x v="2"/>
    <n v="57.96"/>
    <n v="16.100000000000001"/>
  </r>
  <r>
    <x v="0"/>
    <x v="4"/>
    <x v="1"/>
    <x v="2"/>
    <s v="EE_Tartu"/>
    <x v="0"/>
    <n v="42.692399999999999"/>
    <n v="11.859"/>
  </r>
  <r>
    <x v="0"/>
    <x v="4"/>
    <x v="1"/>
    <x v="2"/>
    <s v="EE_Tartu"/>
    <x v="3"/>
    <n v="57.7974681027342"/>
    <n v="16.054852250759499"/>
  </r>
  <r>
    <x v="0"/>
    <x v="4"/>
    <x v="1"/>
    <x v="2"/>
    <s v="EE_Tartu"/>
    <x v="4"/>
    <n v="8.1139884009941898"/>
    <n v="2.2538856669428302"/>
  </r>
  <r>
    <x v="0"/>
    <x v="4"/>
    <x v="1"/>
    <x v="2"/>
    <s v="EE_Tartu"/>
    <x v="5"/>
    <n v="8.1139884009941898"/>
    <n v="2.2538856669428302"/>
  </r>
  <r>
    <x v="0"/>
    <x v="4"/>
    <x v="1"/>
    <x v="2"/>
    <s v="EE_Tartu"/>
    <x v="6"/>
    <n v="30.770439105219602"/>
    <n v="8.5473441958943202"/>
  </r>
  <r>
    <x v="0"/>
    <x v="4"/>
    <x v="1"/>
    <x v="2"/>
    <s v="EE_Tartu"/>
    <x v="7"/>
    <n v="71.350180613090302"/>
    <n v="19.819494614747299"/>
  </r>
  <r>
    <x v="0"/>
    <x v="4"/>
    <x v="1"/>
    <x v="2"/>
    <s v="EE_Tartu"/>
    <x v="8"/>
    <n v="71.350180613090302"/>
    <n v="19.819494614747299"/>
  </r>
  <r>
    <x v="0"/>
    <x v="4"/>
    <x v="1"/>
    <x v="2"/>
    <s v="EE_Tartu"/>
    <x v="9"/>
    <n v="44.803327257663497"/>
    <n v="12.4453686826843"/>
  </r>
  <r>
    <x v="0"/>
    <x v="4"/>
    <x v="1"/>
    <x v="2"/>
    <s v="EE_Tartu"/>
    <x v="10"/>
    <n v="54.681226180612903"/>
    <n v="15.1892294946147"/>
  </r>
  <r>
    <x v="0"/>
    <x v="4"/>
    <x v="1"/>
    <x v="2"/>
    <s v="EE_Tartu"/>
    <x v="11"/>
    <n v="3.8806031483015802"/>
    <n v="1.07794531897266"/>
  </r>
  <r>
    <x v="0"/>
    <x v="4"/>
    <x v="1"/>
    <x v="2"/>
    <s v="EE_Tartu"/>
    <x v="12"/>
    <n v="9.7995028997514597E-2"/>
    <n v="2.72208413881985E-2"/>
  </r>
  <r>
    <x v="0"/>
    <x v="4"/>
    <x v="1"/>
    <x v="2"/>
    <s v="EE_Tartu"/>
    <x v="13"/>
    <n v="21.5197083678542"/>
    <n v="5.9776967688483804"/>
  </r>
  <r>
    <x v="0"/>
    <x v="4"/>
    <x v="1"/>
    <x v="2"/>
    <s v="EE_Tartu"/>
    <x v="14"/>
    <n v="21.5197083678542"/>
    <n v="5.9776967688483804"/>
  </r>
  <r>
    <x v="0"/>
    <x v="4"/>
    <x v="1"/>
    <x v="2"/>
    <s v="EE_Tartu"/>
    <x v="15"/>
    <n v="1.65807589063794"/>
    <n v="0.46057663628831802"/>
  </r>
  <r>
    <x v="0"/>
    <x v="4"/>
    <x v="1"/>
    <x v="2"/>
    <s v="EE_Tartu"/>
    <x v="16"/>
    <n v="8.3492014028755008"/>
    <n v="2.31922261190986"/>
  </r>
  <r>
    <x v="0"/>
    <x v="4"/>
    <x v="1"/>
    <x v="2"/>
    <s v="EE_Tartu"/>
    <x v="17"/>
    <n v="9.5251168185584092"/>
    <n v="2.6458657829328902"/>
  </r>
  <r>
    <x v="0"/>
    <x v="4"/>
    <x v="1"/>
    <x v="2"/>
    <s v="EE_Tartu"/>
    <x v="18"/>
    <n v="21.5197083678542"/>
    <n v="5.9776967688483804"/>
  </r>
  <r>
    <x v="0"/>
    <x v="4"/>
    <x v="1"/>
    <x v="2"/>
    <s v="EE_Tartu"/>
    <x v="19"/>
    <n v="8.1139884009941898"/>
    <n v="2.2538856669428302"/>
  </r>
  <r>
    <x v="0"/>
    <x v="4"/>
    <x v="1"/>
    <x v="2"/>
    <s v="EE_Tartu"/>
    <x v="20"/>
    <n v="19.336735244541"/>
    <n v="5.37131534570584"/>
  </r>
  <r>
    <x v="0"/>
    <x v="4"/>
    <x v="1"/>
    <x v="2"/>
    <s v="EE_Tartu"/>
    <x v="21"/>
    <n v="53.225806451612797"/>
    <n v="14.784946236559099"/>
  </r>
  <r>
    <x v="0"/>
    <x v="4"/>
    <x v="1"/>
    <x v="2"/>
    <s v="EE_Tartu"/>
    <x v="22"/>
    <n v="130.68"/>
    <n v="36.299999999999997"/>
  </r>
  <r>
    <x v="0"/>
    <x v="4"/>
    <x v="1"/>
    <x v="2"/>
    <s v="EE_Tartu"/>
    <x v="23"/>
    <n v="0.35278210439105201"/>
    <n v="9.7995028997514499E-2"/>
  </r>
  <r>
    <x v="0"/>
    <x v="4"/>
    <x v="1"/>
    <x v="2"/>
    <s v="EE_Tartu"/>
    <x v="24"/>
    <n v="20.0161025734538"/>
    <n v="5.5600284926260501"/>
  </r>
  <r>
    <x v="0"/>
    <x v="4"/>
    <x v="1"/>
    <x v="2"/>
    <s v="EE_Tartu"/>
    <x v="25"/>
    <n v="22.356874337357301"/>
    <n v="6.2102428714881297"/>
  </r>
  <r>
    <x v="0"/>
    <x v="4"/>
    <x v="1"/>
    <x v="2"/>
    <s v="EE_Tartu"/>
    <x v="26"/>
    <n v="29.6651032387655"/>
    <n v="8.2403064552126306"/>
  </r>
  <r>
    <x v="0"/>
    <x v="4"/>
    <x v="1"/>
    <x v="2"/>
    <s v="EE_Tartu"/>
    <x v="27"/>
    <n v="21.049332228666099"/>
    <n v="5.8470367301850299"/>
  </r>
  <r>
    <x v="0"/>
    <x v="4"/>
    <x v="1"/>
    <x v="2"/>
    <s v="EE_Urban"/>
    <x v="1"/>
    <n v="35.989199999999997"/>
    <n v="9.9969999999999999"/>
  </r>
  <r>
    <x v="0"/>
    <x v="4"/>
    <x v="1"/>
    <x v="2"/>
    <s v="EE_Urban"/>
    <x v="2"/>
    <n v="57.96"/>
    <n v="16.100000000000001"/>
  </r>
  <r>
    <x v="0"/>
    <x v="4"/>
    <x v="1"/>
    <x v="2"/>
    <s v="EE_Urban"/>
    <x v="0"/>
    <n v="42.692399999999999"/>
    <n v="11.859"/>
  </r>
  <r>
    <x v="0"/>
    <x v="4"/>
    <x v="1"/>
    <x v="2"/>
    <s v="EE_Urban"/>
    <x v="3"/>
    <n v="57.7974681027342"/>
    <n v="16.054852250759499"/>
  </r>
  <r>
    <x v="0"/>
    <x v="4"/>
    <x v="1"/>
    <x v="2"/>
    <s v="EE_Urban"/>
    <x v="4"/>
    <n v="8.1139884009941898"/>
    <n v="2.2538856669428302"/>
  </r>
  <r>
    <x v="0"/>
    <x v="4"/>
    <x v="1"/>
    <x v="2"/>
    <s v="EE_Urban"/>
    <x v="5"/>
    <n v="8.1139884009941898"/>
    <n v="2.2538856669428302"/>
  </r>
  <r>
    <x v="0"/>
    <x v="4"/>
    <x v="1"/>
    <x v="2"/>
    <s v="EE_Urban"/>
    <x v="6"/>
    <n v="30.770439105219602"/>
    <n v="8.5473441958943202"/>
  </r>
  <r>
    <x v="0"/>
    <x v="4"/>
    <x v="1"/>
    <x v="2"/>
    <s v="EE_Urban"/>
    <x v="7"/>
    <n v="71.350180613090302"/>
    <n v="19.819494614747299"/>
  </r>
  <r>
    <x v="0"/>
    <x v="4"/>
    <x v="1"/>
    <x v="2"/>
    <s v="EE_Urban"/>
    <x v="8"/>
    <n v="71.350180613090302"/>
    <n v="19.819494614747299"/>
  </r>
  <r>
    <x v="0"/>
    <x v="4"/>
    <x v="1"/>
    <x v="2"/>
    <s v="EE_Urban"/>
    <x v="9"/>
    <n v="44.803327257663497"/>
    <n v="12.4453686826843"/>
  </r>
  <r>
    <x v="0"/>
    <x v="4"/>
    <x v="1"/>
    <x v="2"/>
    <s v="EE_Urban"/>
    <x v="10"/>
    <n v="54.681226180612903"/>
    <n v="15.1892294946147"/>
  </r>
  <r>
    <x v="0"/>
    <x v="4"/>
    <x v="1"/>
    <x v="2"/>
    <s v="EE_Urban"/>
    <x v="11"/>
    <n v="3.8806031483015802"/>
    <n v="1.07794531897266"/>
  </r>
  <r>
    <x v="0"/>
    <x v="4"/>
    <x v="1"/>
    <x v="2"/>
    <s v="EE_Urban"/>
    <x v="12"/>
    <n v="9.7995028997514597E-2"/>
    <n v="2.72208413881985E-2"/>
  </r>
  <r>
    <x v="0"/>
    <x v="4"/>
    <x v="1"/>
    <x v="2"/>
    <s v="EE_Urban"/>
    <x v="13"/>
    <n v="21.5197083678542"/>
    <n v="5.9776967688483804"/>
  </r>
  <r>
    <x v="0"/>
    <x v="4"/>
    <x v="1"/>
    <x v="2"/>
    <s v="EE_Urban"/>
    <x v="14"/>
    <n v="21.5197083678542"/>
    <n v="5.9776967688483804"/>
  </r>
  <r>
    <x v="0"/>
    <x v="4"/>
    <x v="1"/>
    <x v="2"/>
    <s v="EE_Urban"/>
    <x v="15"/>
    <n v="1.65807589063794"/>
    <n v="0.46057663628831802"/>
  </r>
  <r>
    <x v="0"/>
    <x v="4"/>
    <x v="1"/>
    <x v="2"/>
    <s v="EE_Urban"/>
    <x v="16"/>
    <n v="8.3492014028755008"/>
    <n v="2.31922261190986"/>
  </r>
  <r>
    <x v="0"/>
    <x v="4"/>
    <x v="1"/>
    <x v="2"/>
    <s v="EE_Urban"/>
    <x v="17"/>
    <n v="9.5251168185584092"/>
    <n v="2.6458657829328902"/>
  </r>
  <r>
    <x v="0"/>
    <x v="4"/>
    <x v="1"/>
    <x v="2"/>
    <s v="EE_Urban"/>
    <x v="18"/>
    <n v="21.5197083678542"/>
    <n v="5.9776967688483804"/>
  </r>
  <r>
    <x v="0"/>
    <x v="4"/>
    <x v="1"/>
    <x v="2"/>
    <s v="EE_Urban"/>
    <x v="19"/>
    <n v="8.1139884009941898"/>
    <n v="2.2538856669428302"/>
  </r>
  <r>
    <x v="0"/>
    <x v="4"/>
    <x v="1"/>
    <x v="2"/>
    <s v="EE_Urban"/>
    <x v="20"/>
    <n v="19.336735244541"/>
    <n v="5.37131534570584"/>
  </r>
  <r>
    <x v="0"/>
    <x v="4"/>
    <x v="1"/>
    <x v="2"/>
    <s v="EE_Urban"/>
    <x v="21"/>
    <n v="53.225806451612797"/>
    <n v="14.784946236559099"/>
  </r>
  <r>
    <x v="0"/>
    <x v="4"/>
    <x v="1"/>
    <x v="2"/>
    <s v="EE_Urban"/>
    <x v="22"/>
    <n v="130.68"/>
    <n v="36.299999999999997"/>
  </r>
  <r>
    <x v="0"/>
    <x v="4"/>
    <x v="1"/>
    <x v="2"/>
    <s v="EE_Urban"/>
    <x v="23"/>
    <n v="0.35278210439105201"/>
    <n v="9.7995028997514499E-2"/>
  </r>
  <r>
    <x v="0"/>
    <x v="4"/>
    <x v="1"/>
    <x v="2"/>
    <s v="EE_Urban"/>
    <x v="24"/>
    <n v="20.0161025734538"/>
    <n v="5.5600284926260501"/>
  </r>
  <r>
    <x v="0"/>
    <x v="4"/>
    <x v="1"/>
    <x v="2"/>
    <s v="EE_Urban"/>
    <x v="25"/>
    <n v="22.356874337357301"/>
    <n v="6.2102428714881297"/>
  </r>
  <r>
    <x v="0"/>
    <x v="4"/>
    <x v="1"/>
    <x v="2"/>
    <s v="EE_Urban"/>
    <x v="26"/>
    <n v="29.6651032387655"/>
    <n v="8.2403064552126306"/>
  </r>
  <r>
    <x v="0"/>
    <x v="4"/>
    <x v="1"/>
    <x v="2"/>
    <s v="EE_Urban"/>
    <x v="27"/>
    <n v="21.049332228666099"/>
    <n v="5.8470367301850299"/>
  </r>
  <r>
    <x v="0"/>
    <x v="4"/>
    <x v="2"/>
    <x v="3"/>
    <s v="FI_IND"/>
    <x v="1"/>
    <n v="35.989199999999997"/>
    <n v="9.9969999999999999"/>
  </r>
  <r>
    <x v="0"/>
    <x v="4"/>
    <x v="2"/>
    <x v="3"/>
    <s v="FI_IND"/>
    <x v="2"/>
    <n v="57.96"/>
    <n v="16.100000000000001"/>
  </r>
  <r>
    <x v="0"/>
    <x v="4"/>
    <x v="2"/>
    <x v="3"/>
    <s v="FI_IND"/>
    <x v="0"/>
    <n v="42.692399999999999"/>
    <n v="11.859"/>
  </r>
  <r>
    <x v="0"/>
    <x v="4"/>
    <x v="2"/>
    <x v="3"/>
    <s v="FI_IND"/>
    <x v="3"/>
    <n v="57.7974681027342"/>
    <n v="16.054852250759499"/>
  </r>
  <r>
    <x v="0"/>
    <x v="4"/>
    <x v="2"/>
    <x v="3"/>
    <s v="FI_IND"/>
    <x v="4"/>
    <n v="8.1139884009941898"/>
    <n v="2.2538856669428302"/>
  </r>
  <r>
    <x v="0"/>
    <x v="4"/>
    <x v="2"/>
    <x v="3"/>
    <s v="FI_IND"/>
    <x v="5"/>
    <n v="8.1139884009941898"/>
    <n v="2.2538856669428302"/>
  </r>
  <r>
    <x v="0"/>
    <x v="4"/>
    <x v="2"/>
    <x v="3"/>
    <s v="FI_IND"/>
    <x v="6"/>
    <n v="30.770439105219602"/>
    <n v="8.5473441958943202"/>
  </r>
  <r>
    <x v="0"/>
    <x v="4"/>
    <x v="2"/>
    <x v="3"/>
    <s v="FI_IND"/>
    <x v="7"/>
    <n v="71.350180613090302"/>
    <n v="19.819494614747299"/>
  </r>
  <r>
    <x v="0"/>
    <x v="4"/>
    <x v="2"/>
    <x v="3"/>
    <s v="FI_IND"/>
    <x v="8"/>
    <n v="71.350180613090302"/>
    <n v="19.819494614747299"/>
  </r>
  <r>
    <x v="0"/>
    <x v="4"/>
    <x v="2"/>
    <x v="3"/>
    <s v="FI_IND"/>
    <x v="9"/>
    <n v="44.803327257663497"/>
    <n v="12.4453686826843"/>
  </r>
  <r>
    <x v="0"/>
    <x v="4"/>
    <x v="2"/>
    <x v="3"/>
    <s v="FI_IND"/>
    <x v="10"/>
    <n v="54.681226180612903"/>
    <n v="15.1892294946147"/>
  </r>
  <r>
    <x v="0"/>
    <x v="4"/>
    <x v="2"/>
    <x v="3"/>
    <s v="FI_IND"/>
    <x v="11"/>
    <n v="3.8806031483015802"/>
    <n v="1.07794531897266"/>
  </r>
  <r>
    <x v="0"/>
    <x v="4"/>
    <x v="2"/>
    <x v="3"/>
    <s v="FI_IND"/>
    <x v="12"/>
    <n v="9.7995028997514597E-2"/>
    <n v="2.72208413881985E-2"/>
  </r>
  <r>
    <x v="0"/>
    <x v="4"/>
    <x v="2"/>
    <x v="3"/>
    <s v="FI_IND"/>
    <x v="13"/>
    <n v="21.5197083678542"/>
    <n v="5.9776967688483804"/>
  </r>
  <r>
    <x v="0"/>
    <x v="4"/>
    <x v="2"/>
    <x v="3"/>
    <s v="FI_IND"/>
    <x v="14"/>
    <n v="21.5197083678542"/>
    <n v="5.9776967688483804"/>
  </r>
  <r>
    <x v="0"/>
    <x v="4"/>
    <x v="2"/>
    <x v="3"/>
    <s v="FI_IND"/>
    <x v="15"/>
    <n v="1.65807589063794"/>
    <n v="0.46057663628831802"/>
  </r>
  <r>
    <x v="0"/>
    <x v="4"/>
    <x v="2"/>
    <x v="3"/>
    <s v="FI_IND"/>
    <x v="16"/>
    <n v="8.3492014028755008"/>
    <n v="2.31922261190986"/>
  </r>
  <r>
    <x v="0"/>
    <x v="4"/>
    <x v="2"/>
    <x v="3"/>
    <s v="FI_IND"/>
    <x v="17"/>
    <n v="9.5251168185584092"/>
    <n v="2.6458657829328902"/>
  </r>
  <r>
    <x v="0"/>
    <x v="4"/>
    <x v="2"/>
    <x v="3"/>
    <s v="FI_IND"/>
    <x v="18"/>
    <n v="21.5197083678542"/>
    <n v="5.9776967688483804"/>
  </r>
  <r>
    <x v="0"/>
    <x v="4"/>
    <x v="2"/>
    <x v="3"/>
    <s v="FI_IND"/>
    <x v="19"/>
    <n v="8.1139884009941898"/>
    <n v="2.2538856669428302"/>
  </r>
  <r>
    <x v="0"/>
    <x v="4"/>
    <x v="2"/>
    <x v="3"/>
    <s v="FI_IND"/>
    <x v="20"/>
    <n v="19.336735244541"/>
    <n v="5.37131534570584"/>
  </r>
  <r>
    <x v="0"/>
    <x v="4"/>
    <x v="2"/>
    <x v="3"/>
    <s v="FI_IND"/>
    <x v="21"/>
    <n v="53.225806451612797"/>
    <n v="14.784946236559099"/>
  </r>
  <r>
    <x v="0"/>
    <x v="4"/>
    <x v="2"/>
    <x v="3"/>
    <s v="FI_IND"/>
    <x v="22"/>
    <n v="130.68"/>
    <n v="36.299999999999997"/>
  </r>
  <r>
    <x v="0"/>
    <x v="4"/>
    <x v="2"/>
    <x v="3"/>
    <s v="FI_IND"/>
    <x v="23"/>
    <n v="0.35278210439105201"/>
    <n v="9.7995028997514499E-2"/>
  </r>
  <r>
    <x v="0"/>
    <x v="4"/>
    <x v="2"/>
    <x v="3"/>
    <s v="FI_IND"/>
    <x v="24"/>
    <n v="20.0161025734538"/>
    <n v="5.5600284926260501"/>
  </r>
  <r>
    <x v="0"/>
    <x v="4"/>
    <x v="2"/>
    <x v="3"/>
    <s v="FI_IND"/>
    <x v="25"/>
    <n v="22.356874337357301"/>
    <n v="6.2102428714881297"/>
  </r>
  <r>
    <x v="0"/>
    <x v="4"/>
    <x v="2"/>
    <x v="3"/>
    <s v="FI_IND"/>
    <x v="26"/>
    <n v="29.6651032387655"/>
    <n v="8.2403064552126306"/>
  </r>
  <r>
    <x v="0"/>
    <x v="4"/>
    <x v="2"/>
    <x v="3"/>
    <s v="FI_IND"/>
    <x v="27"/>
    <n v="21.049332228666099"/>
    <n v="5.8470367301850299"/>
  </r>
  <r>
    <x v="0"/>
    <x v="4"/>
    <x v="2"/>
    <x v="3"/>
    <s v="FI_Offshore"/>
    <x v="1"/>
    <n v="35.989199999999997"/>
    <n v="9.9969999999999999"/>
  </r>
  <r>
    <x v="0"/>
    <x v="4"/>
    <x v="2"/>
    <x v="3"/>
    <s v="FI_Offshore"/>
    <x v="2"/>
    <n v="57.96"/>
    <n v="16.100000000000001"/>
  </r>
  <r>
    <x v="0"/>
    <x v="4"/>
    <x v="2"/>
    <x v="3"/>
    <s v="FI_Offshore"/>
    <x v="0"/>
    <n v="42.692399999999999"/>
    <n v="11.859"/>
  </r>
  <r>
    <x v="0"/>
    <x v="4"/>
    <x v="2"/>
    <x v="3"/>
    <s v="FI_Offshore"/>
    <x v="3"/>
    <n v="57.7974681027342"/>
    <n v="16.054852250759499"/>
  </r>
  <r>
    <x v="0"/>
    <x v="4"/>
    <x v="2"/>
    <x v="3"/>
    <s v="FI_Offshore"/>
    <x v="4"/>
    <n v="8.1139884009941898"/>
    <n v="2.2538856669428302"/>
  </r>
  <r>
    <x v="0"/>
    <x v="4"/>
    <x v="2"/>
    <x v="3"/>
    <s v="FI_Offshore"/>
    <x v="5"/>
    <n v="8.1139884009941898"/>
    <n v="2.2538856669428302"/>
  </r>
  <r>
    <x v="0"/>
    <x v="4"/>
    <x v="2"/>
    <x v="3"/>
    <s v="FI_Offshore"/>
    <x v="6"/>
    <n v="30.770439105219602"/>
    <n v="8.5473441958943202"/>
  </r>
  <r>
    <x v="0"/>
    <x v="4"/>
    <x v="2"/>
    <x v="3"/>
    <s v="FI_Offshore"/>
    <x v="7"/>
    <n v="71.350180613090302"/>
    <n v="19.819494614747299"/>
  </r>
  <r>
    <x v="0"/>
    <x v="4"/>
    <x v="2"/>
    <x v="3"/>
    <s v="FI_Offshore"/>
    <x v="8"/>
    <n v="71.350180613090302"/>
    <n v="19.819494614747299"/>
  </r>
  <r>
    <x v="0"/>
    <x v="4"/>
    <x v="2"/>
    <x v="3"/>
    <s v="FI_Offshore"/>
    <x v="9"/>
    <n v="44.803327257663497"/>
    <n v="12.4453686826843"/>
  </r>
  <r>
    <x v="0"/>
    <x v="4"/>
    <x v="2"/>
    <x v="3"/>
    <s v="FI_Offshore"/>
    <x v="10"/>
    <n v="54.681226180612903"/>
    <n v="15.1892294946147"/>
  </r>
  <r>
    <x v="0"/>
    <x v="4"/>
    <x v="2"/>
    <x v="3"/>
    <s v="FI_Offshore"/>
    <x v="11"/>
    <n v="3.8806031483015802"/>
    <n v="1.07794531897266"/>
  </r>
  <r>
    <x v="0"/>
    <x v="4"/>
    <x v="2"/>
    <x v="3"/>
    <s v="FI_Offshore"/>
    <x v="12"/>
    <n v="9.7995028997514597E-2"/>
    <n v="2.72208413881985E-2"/>
  </r>
  <r>
    <x v="0"/>
    <x v="4"/>
    <x v="2"/>
    <x v="3"/>
    <s v="FI_Offshore"/>
    <x v="13"/>
    <n v="21.5197083678542"/>
    <n v="5.9776967688483804"/>
  </r>
  <r>
    <x v="0"/>
    <x v="4"/>
    <x v="2"/>
    <x v="3"/>
    <s v="FI_Offshore"/>
    <x v="14"/>
    <n v="21.5197083678542"/>
    <n v="5.9776967688483804"/>
  </r>
  <r>
    <x v="0"/>
    <x v="4"/>
    <x v="2"/>
    <x v="3"/>
    <s v="FI_Offshore"/>
    <x v="15"/>
    <n v="1.65807589063794"/>
    <n v="0.46057663628831802"/>
  </r>
  <r>
    <x v="0"/>
    <x v="4"/>
    <x v="2"/>
    <x v="3"/>
    <s v="FI_Offshore"/>
    <x v="16"/>
    <n v="8.3492014028755008"/>
    <n v="2.31922261190986"/>
  </r>
  <r>
    <x v="0"/>
    <x v="4"/>
    <x v="2"/>
    <x v="3"/>
    <s v="FI_Offshore"/>
    <x v="17"/>
    <n v="9.5251168185584092"/>
    <n v="2.6458657829328902"/>
  </r>
  <r>
    <x v="0"/>
    <x v="4"/>
    <x v="2"/>
    <x v="3"/>
    <s v="FI_Offshore"/>
    <x v="18"/>
    <n v="21.5197083678542"/>
    <n v="5.9776967688483804"/>
  </r>
  <r>
    <x v="0"/>
    <x v="4"/>
    <x v="2"/>
    <x v="3"/>
    <s v="FI_Offshore"/>
    <x v="19"/>
    <n v="8.1139884009941898"/>
    <n v="2.2538856669428302"/>
  </r>
  <r>
    <x v="0"/>
    <x v="4"/>
    <x v="2"/>
    <x v="3"/>
    <s v="FI_Offshore"/>
    <x v="20"/>
    <n v="19.336735244541"/>
    <n v="5.37131534570584"/>
  </r>
  <r>
    <x v="0"/>
    <x v="4"/>
    <x v="2"/>
    <x v="3"/>
    <s v="FI_Offshore"/>
    <x v="21"/>
    <n v="53.225806451612797"/>
    <n v="14.784946236559099"/>
  </r>
  <r>
    <x v="0"/>
    <x v="4"/>
    <x v="2"/>
    <x v="3"/>
    <s v="FI_Offshore"/>
    <x v="22"/>
    <n v="130.68"/>
    <n v="36.299999999999997"/>
  </r>
  <r>
    <x v="0"/>
    <x v="4"/>
    <x v="2"/>
    <x v="3"/>
    <s v="FI_Offshore"/>
    <x v="23"/>
    <n v="0.35278210439105201"/>
    <n v="9.7995028997514499E-2"/>
  </r>
  <r>
    <x v="0"/>
    <x v="4"/>
    <x v="2"/>
    <x v="3"/>
    <s v="FI_Offshore"/>
    <x v="24"/>
    <n v="20.0161025734538"/>
    <n v="5.5600284926260501"/>
  </r>
  <r>
    <x v="0"/>
    <x v="4"/>
    <x v="2"/>
    <x v="3"/>
    <s v="FI_Offshore"/>
    <x v="25"/>
    <n v="22.356874337357301"/>
    <n v="6.2102428714881297"/>
  </r>
  <r>
    <x v="0"/>
    <x v="4"/>
    <x v="2"/>
    <x v="3"/>
    <s v="FI_Offshore"/>
    <x v="26"/>
    <n v="29.6651032387655"/>
    <n v="8.2403064552126306"/>
  </r>
  <r>
    <x v="0"/>
    <x v="4"/>
    <x v="2"/>
    <x v="3"/>
    <s v="FI_Offshore"/>
    <x v="27"/>
    <n v="21.049332228666099"/>
    <n v="5.8470367301850299"/>
  </r>
  <r>
    <x v="0"/>
    <x v="4"/>
    <x v="2"/>
    <x v="3"/>
    <s v="FI_large"/>
    <x v="1"/>
    <n v="35.989199999999997"/>
    <n v="9.9969999999999999"/>
  </r>
  <r>
    <x v="0"/>
    <x v="4"/>
    <x v="2"/>
    <x v="3"/>
    <s v="FI_large"/>
    <x v="2"/>
    <n v="57.96"/>
    <n v="16.100000000000001"/>
  </r>
  <r>
    <x v="0"/>
    <x v="4"/>
    <x v="2"/>
    <x v="3"/>
    <s v="FI_large"/>
    <x v="0"/>
    <n v="42.692399999999999"/>
    <n v="11.859"/>
  </r>
  <r>
    <x v="0"/>
    <x v="4"/>
    <x v="2"/>
    <x v="3"/>
    <s v="FI_large"/>
    <x v="3"/>
    <n v="57.7974681027342"/>
    <n v="16.054852250759499"/>
  </r>
  <r>
    <x v="0"/>
    <x v="4"/>
    <x v="2"/>
    <x v="3"/>
    <s v="FI_large"/>
    <x v="4"/>
    <n v="8.1139884009941898"/>
    <n v="2.2538856669428302"/>
  </r>
  <r>
    <x v="0"/>
    <x v="4"/>
    <x v="2"/>
    <x v="3"/>
    <s v="FI_large"/>
    <x v="5"/>
    <n v="8.1139884009941898"/>
    <n v="2.2538856669428302"/>
  </r>
  <r>
    <x v="0"/>
    <x v="4"/>
    <x v="2"/>
    <x v="3"/>
    <s v="FI_large"/>
    <x v="6"/>
    <n v="30.770439105219602"/>
    <n v="8.5473441958943202"/>
  </r>
  <r>
    <x v="0"/>
    <x v="4"/>
    <x v="2"/>
    <x v="3"/>
    <s v="FI_large"/>
    <x v="7"/>
    <n v="71.350180613090302"/>
    <n v="19.819494614747299"/>
  </r>
  <r>
    <x v="0"/>
    <x v="4"/>
    <x v="2"/>
    <x v="3"/>
    <s v="FI_large"/>
    <x v="8"/>
    <n v="71.350180613090302"/>
    <n v="19.819494614747299"/>
  </r>
  <r>
    <x v="0"/>
    <x v="4"/>
    <x v="2"/>
    <x v="3"/>
    <s v="FI_large"/>
    <x v="9"/>
    <n v="44.803327257663497"/>
    <n v="12.4453686826843"/>
  </r>
  <r>
    <x v="0"/>
    <x v="4"/>
    <x v="2"/>
    <x v="3"/>
    <s v="FI_large"/>
    <x v="10"/>
    <n v="54.681226180612903"/>
    <n v="15.1892294946147"/>
  </r>
  <r>
    <x v="0"/>
    <x v="4"/>
    <x v="2"/>
    <x v="3"/>
    <s v="FI_large"/>
    <x v="11"/>
    <n v="3.8806031483015802"/>
    <n v="1.07794531897266"/>
  </r>
  <r>
    <x v="0"/>
    <x v="4"/>
    <x v="2"/>
    <x v="3"/>
    <s v="FI_large"/>
    <x v="12"/>
    <n v="9.7995028997514597E-2"/>
    <n v="2.72208413881985E-2"/>
  </r>
  <r>
    <x v="0"/>
    <x v="4"/>
    <x v="2"/>
    <x v="3"/>
    <s v="FI_large"/>
    <x v="13"/>
    <n v="21.5197083678542"/>
    <n v="5.9776967688483804"/>
  </r>
  <r>
    <x v="0"/>
    <x v="4"/>
    <x v="2"/>
    <x v="3"/>
    <s v="FI_large"/>
    <x v="14"/>
    <n v="21.5197083678542"/>
    <n v="5.9776967688483804"/>
  </r>
  <r>
    <x v="0"/>
    <x v="4"/>
    <x v="2"/>
    <x v="3"/>
    <s v="FI_large"/>
    <x v="15"/>
    <n v="1.65807589063794"/>
    <n v="0.46057663628831802"/>
  </r>
  <r>
    <x v="0"/>
    <x v="4"/>
    <x v="2"/>
    <x v="3"/>
    <s v="FI_large"/>
    <x v="16"/>
    <n v="8.3492014028755008"/>
    <n v="2.31922261190986"/>
  </r>
  <r>
    <x v="0"/>
    <x v="4"/>
    <x v="2"/>
    <x v="3"/>
    <s v="FI_large"/>
    <x v="17"/>
    <n v="9.5251168185584092"/>
    <n v="2.6458657829328902"/>
  </r>
  <r>
    <x v="0"/>
    <x v="4"/>
    <x v="2"/>
    <x v="3"/>
    <s v="FI_large"/>
    <x v="18"/>
    <n v="21.5197083678542"/>
    <n v="5.9776967688483804"/>
  </r>
  <r>
    <x v="0"/>
    <x v="4"/>
    <x v="2"/>
    <x v="3"/>
    <s v="FI_large"/>
    <x v="19"/>
    <n v="8.1139884009941898"/>
    <n v="2.2538856669428302"/>
  </r>
  <r>
    <x v="0"/>
    <x v="4"/>
    <x v="2"/>
    <x v="3"/>
    <s v="FI_large"/>
    <x v="20"/>
    <n v="19.336735244541"/>
    <n v="5.37131534570584"/>
  </r>
  <r>
    <x v="0"/>
    <x v="4"/>
    <x v="2"/>
    <x v="3"/>
    <s v="FI_large"/>
    <x v="21"/>
    <n v="53.225806451612797"/>
    <n v="14.784946236559099"/>
  </r>
  <r>
    <x v="0"/>
    <x v="4"/>
    <x v="2"/>
    <x v="3"/>
    <s v="FI_large"/>
    <x v="22"/>
    <n v="130.68"/>
    <n v="36.299999999999997"/>
  </r>
  <r>
    <x v="0"/>
    <x v="4"/>
    <x v="2"/>
    <x v="3"/>
    <s v="FI_large"/>
    <x v="23"/>
    <n v="0.35278210439105201"/>
    <n v="9.7995028997514499E-2"/>
  </r>
  <r>
    <x v="0"/>
    <x v="4"/>
    <x v="2"/>
    <x v="3"/>
    <s v="FI_large"/>
    <x v="24"/>
    <n v="20.0161025734538"/>
    <n v="5.5600284926260501"/>
  </r>
  <r>
    <x v="0"/>
    <x v="4"/>
    <x v="2"/>
    <x v="3"/>
    <s v="FI_large"/>
    <x v="25"/>
    <n v="22.356874337357301"/>
    <n v="6.2102428714881297"/>
  </r>
  <r>
    <x v="0"/>
    <x v="4"/>
    <x v="2"/>
    <x v="3"/>
    <s v="FI_large"/>
    <x v="26"/>
    <n v="29.6651032387655"/>
    <n v="8.2403064552126306"/>
  </r>
  <r>
    <x v="0"/>
    <x v="4"/>
    <x v="2"/>
    <x v="3"/>
    <s v="FI_large"/>
    <x v="27"/>
    <n v="21.049332228666099"/>
    <n v="5.8470367301850299"/>
  </r>
  <r>
    <x v="0"/>
    <x v="4"/>
    <x v="2"/>
    <x v="3"/>
    <s v="FI_large_gas"/>
    <x v="1"/>
    <n v="35.989199999999997"/>
    <n v="9.9969999999999999"/>
  </r>
  <r>
    <x v="0"/>
    <x v="4"/>
    <x v="2"/>
    <x v="3"/>
    <s v="FI_large_gas"/>
    <x v="2"/>
    <n v="57.96"/>
    <n v="16.100000000000001"/>
  </r>
  <r>
    <x v="0"/>
    <x v="4"/>
    <x v="2"/>
    <x v="3"/>
    <s v="FI_large_gas"/>
    <x v="0"/>
    <n v="42.692399999999999"/>
    <n v="11.859"/>
  </r>
  <r>
    <x v="0"/>
    <x v="4"/>
    <x v="2"/>
    <x v="3"/>
    <s v="FI_large_gas"/>
    <x v="3"/>
    <n v="57.7974681027342"/>
    <n v="16.054852250759499"/>
  </r>
  <r>
    <x v="0"/>
    <x v="4"/>
    <x v="2"/>
    <x v="3"/>
    <s v="FI_large_gas"/>
    <x v="4"/>
    <n v="8.1139884009941898"/>
    <n v="2.2538856669428302"/>
  </r>
  <r>
    <x v="0"/>
    <x v="4"/>
    <x v="2"/>
    <x v="3"/>
    <s v="FI_large_gas"/>
    <x v="5"/>
    <n v="8.1139884009941898"/>
    <n v="2.2538856669428302"/>
  </r>
  <r>
    <x v="0"/>
    <x v="4"/>
    <x v="2"/>
    <x v="3"/>
    <s v="FI_large_gas"/>
    <x v="6"/>
    <n v="30.770439105219602"/>
    <n v="8.5473441958943202"/>
  </r>
  <r>
    <x v="0"/>
    <x v="4"/>
    <x v="2"/>
    <x v="3"/>
    <s v="FI_large_gas"/>
    <x v="7"/>
    <n v="71.350180613090302"/>
    <n v="19.819494614747299"/>
  </r>
  <r>
    <x v="0"/>
    <x v="4"/>
    <x v="2"/>
    <x v="3"/>
    <s v="FI_large_gas"/>
    <x v="8"/>
    <n v="71.350180613090302"/>
    <n v="19.819494614747299"/>
  </r>
  <r>
    <x v="0"/>
    <x v="4"/>
    <x v="2"/>
    <x v="3"/>
    <s v="FI_large_gas"/>
    <x v="9"/>
    <n v="44.803327257663497"/>
    <n v="12.4453686826843"/>
  </r>
  <r>
    <x v="0"/>
    <x v="4"/>
    <x v="2"/>
    <x v="3"/>
    <s v="FI_large_gas"/>
    <x v="10"/>
    <n v="54.681226180612903"/>
    <n v="15.1892294946147"/>
  </r>
  <r>
    <x v="0"/>
    <x v="4"/>
    <x v="2"/>
    <x v="3"/>
    <s v="FI_large_gas"/>
    <x v="11"/>
    <n v="3.8806031483015802"/>
    <n v="1.07794531897266"/>
  </r>
  <r>
    <x v="0"/>
    <x v="4"/>
    <x v="2"/>
    <x v="3"/>
    <s v="FI_large_gas"/>
    <x v="12"/>
    <n v="9.7995028997514597E-2"/>
    <n v="2.72208413881985E-2"/>
  </r>
  <r>
    <x v="0"/>
    <x v="4"/>
    <x v="2"/>
    <x v="3"/>
    <s v="FI_large_gas"/>
    <x v="13"/>
    <n v="21.5197083678542"/>
    <n v="5.9776967688483804"/>
  </r>
  <r>
    <x v="0"/>
    <x v="4"/>
    <x v="2"/>
    <x v="3"/>
    <s v="FI_large_gas"/>
    <x v="14"/>
    <n v="21.5197083678542"/>
    <n v="5.9776967688483804"/>
  </r>
  <r>
    <x v="0"/>
    <x v="4"/>
    <x v="2"/>
    <x v="3"/>
    <s v="FI_large_gas"/>
    <x v="15"/>
    <n v="1.65807589063794"/>
    <n v="0.46057663628831802"/>
  </r>
  <r>
    <x v="0"/>
    <x v="4"/>
    <x v="2"/>
    <x v="3"/>
    <s v="FI_large_gas"/>
    <x v="16"/>
    <n v="8.3492014028755008"/>
    <n v="2.31922261190986"/>
  </r>
  <r>
    <x v="0"/>
    <x v="4"/>
    <x v="2"/>
    <x v="3"/>
    <s v="FI_large_gas"/>
    <x v="17"/>
    <n v="9.5251168185584092"/>
    <n v="2.6458657829328902"/>
  </r>
  <r>
    <x v="0"/>
    <x v="4"/>
    <x v="2"/>
    <x v="3"/>
    <s v="FI_large_gas"/>
    <x v="18"/>
    <n v="21.5197083678542"/>
    <n v="5.9776967688483804"/>
  </r>
  <r>
    <x v="0"/>
    <x v="4"/>
    <x v="2"/>
    <x v="3"/>
    <s v="FI_large_gas"/>
    <x v="19"/>
    <n v="8.1139884009941898"/>
    <n v="2.2538856669428302"/>
  </r>
  <r>
    <x v="0"/>
    <x v="4"/>
    <x v="2"/>
    <x v="3"/>
    <s v="FI_large_gas"/>
    <x v="20"/>
    <n v="19.336735244541"/>
    <n v="5.37131534570584"/>
  </r>
  <r>
    <x v="0"/>
    <x v="4"/>
    <x v="2"/>
    <x v="3"/>
    <s v="FI_large_gas"/>
    <x v="21"/>
    <n v="53.225806451612797"/>
    <n v="14.784946236559099"/>
  </r>
  <r>
    <x v="0"/>
    <x v="4"/>
    <x v="2"/>
    <x v="3"/>
    <s v="FI_large_gas"/>
    <x v="22"/>
    <n v="130.68"/>
    <n v="36.299999999999997"/>
  </r>
  <r>
    <x v="0"/>
    <x v="4"/>
    <x v="2"/>
    <x v="3"/>
    <s v="FI_large_gas"/>
    <x v="23"/>
    <n v="0.35278210439105201"/>
    <n v="9.7995028997514499E-2"/>
  </r>
  <r>
    <x v="0"/>
    <x v="4"/>
    <x v="2"/>
    <x v="3"/>
    <s v="FI_large_gas"/>
    <x v="24"/>
    <n v="20.0161025734538"/>
    <n v="5.5600284926260501"/>
  </r>
  <r>
    <x v="0"/>
    <x v="4"/>
    <x v="2"/>
    <x v="3"/>
    <s v="FI_large_gas"/>
    <x v="25"/>
    <n v="22.356874337357301"/>
    <n v="6.2102428714881297"/>
  </r>
  <r>
    <x v="0"/>
    <x v="4"/>
    <x v="2"/>
    <x v="3"/>
    <s v="FI_large_gas"/>
    <x v="26"/>
    <n v="29.6651032387655"/>
    <n v="8.2403064552126306"/>
  </r>
  <r>
    <x v="0"/>
    <x v="4"/>
    <x v="2"/>
    <x v="3"/>
    <s v="FI_large_gas"/>
    <x v="27"/>
    <n v="21.049332228666099"/>
    <n v="5.8470367301850299"/>
  </r>
  <r>
    <x v="0"/>
    <x v="4"/>
    <x v="2"/>
    <x v="3"/>
    <s v="FI_medium"/>
    <x v="1"/>
    <n v="35.989199999999997"/>
    <n v="9.9969999999999999"/>
  </r>
  <r>
    <x v="0"/>
    <x v="4"/>
    <x v="2"/>
    <x v="3"/>
    <s v="FI_medium"/>
    <x v="2"/>
    <n v="57.96"/>
    <n v="16.100000000000001"/>
  </r>
  <r>
    <x v="0"/>
    <x v="4"/>
    <x v="2"/>
    <x v="3"/>
    <s v="FI_medium"/>
    <x v="0"/>
    <n v="42.692399999999999"/>
    <n v="11.859"/>
  </r>
  <r>
    <x v="0"/>
    <x v="4"/>
    <x v="2"/>
    <x v="3"/>
    <s v="FI_medium"/>
    <x v="3"/>
    <n v="57.7974681027342"/>
    <n v="16.054852250759499"/>
  </r>
  <r>
    <x v="0"/>
    <x v="4"/>
    <x v="2"/>
    <x v="3"/>
    <s v="FI_medium"/>
    <x v="4"/>
    <n v="8.1139884009941898"/>
    <n v="2.2538856669428302"/>
  </r>
  <r>
    <x v="0"/>
    <x v="4"/>
    <x v="2"/>
    <x v="3"/>
    <s v="FI_medium"/>
    <x v="5"/>
    <n v="8.1139884009941898"/>
    <n v="2.2538856669428302"/>
  </r>
  <r>
    <x v="0"/>
    <x v="4"/>
    <x v="2"/>
    <x v="3"/>
    <s v="FI_medium"/>
    <x v="6"/>
    <n v="30.770439105219602"/>
    <n v="8.5473441958943202"/>
  </r>
  <r>
    <x v="0"/>
    <x v="4"/>
    <x v="2"/>
    <x v="3"/>
    <s v="FI_medium"/>
    <x v="7"/>
    <n v="71.350180613090302"/>
    <n v="19.819494614747299"/>
  </r>
  <r>
    <x v="0"/>
    <x v="4"/>
    <x v="2"/>
    <x v="3"/>
    <s v="FI_medium"/>
    <x v="8"/>
    <n v="71.350180613090302"/>
    <n v="19.819494614747299"/>
  </r>
  <r>
    <x v="0"/>
    <x v="4"/>
    <x v="2"/>
    <x v="3"/>
    <s v="FI_medium"/>
    <x v="9"/>
    <n v="44.803327257663497"/>
    <n v="12.4453686826843"/>
  </r>
  <r>
    <x v="0"/>
    <x v="4"/>
    <x v="2"/>
    <x v="3"/>
    <s v="FI_medium"/>
    <x v="10"/>
    <n v="54.681226180612903"/>
    <n v="15.1892294946147"/>
  </r>
  <r>
    <x v="0"/>
    <x v="4"/>
    <x v="2"/>
    <x v="3"/>
    <s v="FI_medium"/>
    <x v="11"/>
    <n v="3.8806031483015802"/>
    <n v="1.07794531897266"/>
  </r>
  <r>
    <x v="0"/>
    <x v="4"/>
    <x v="2"/>
    <x v="3"/>
    <s v="FI_medium"/>
    <x v="12"/>
    <n v="9.7995028997514597E-2"/>
    <n v="2.72208413881985E-2"/>
  </r>
  <r>
    <x v="0"/>
    <x v="4"/>
    <x v="2"/>
    <x v="3"/>
    <s v="FI_medium"/>
    <x v="13"/>
    <n v="21.5197083678542"/>
    <n v="5.9776967688483804"/>
  </r>
  <r>
    <x v="0"/>
    <x v="4"/>
    <x v="2"/>
    <x v="3"/>
    <s v="FI_medium"/>
    <x v="14"/>
    <n v="21.5197083678542"/>
    <n v="5.9776967688483804"/>
  </r>
  <r>
    <x v="0"/>
    <x v="4"/>
    <x v="2"/>
    <x v="3"/>
    <s v="FI_medium"/>
    <x v="15"/>
    <n v="1.65807589063794"/>
    <n v="0.46057663628831802"/>
  </r>
  <r>
    <x v="0"/>
    <x v="4"/>
    <x v="2"/>
    <x v="3"/>
    <s v="FI_medium"/>
    <x v="16"/>
    <n v="8.3492014028755008"/>
    <n v="2.31922261190986"/>
  </r>
  <r>
    <x v="0"/>
    <x v="4"/>
    <x v="2"/>
    <x v="3"/>
    <s v="FI_medium"/>
    <x v="17"/>
    <n v="9.5251168185584092"/>
    <n v="2.6458657829328902"/>
  </r>
  <r>
    <x v="0"/>
    <x v="4"/>
    <x v="2"/>
    <x v="3"/>
    <s v="FI_medium"/>
    <x v="18"/>
    <n v="21.5197083678542"/>
    <n v="5.9776967688483804"/>
  </r>
  <r>
    <x v="0"/>
    <x v="4"/>
    <x v="2"/>
    <x v="3"/>
    <s v="FI_medium"/>
    <x v="19"/>
    <n v="8.1139884009941898"/>
    <n v="2.2538856669428302"/>
  </r>
  <r>
    <x v="0"/>
    <x v="4"/>
    <x v="2"/>
    <x v="3"/>
    <s v="FI_medium"/>
    <x v="20"/>
    <n v="19.336735244541"/>
    <n v="5.37131534570584"/>
  </r>
  <r>
    <x v="0"/>
    <x v="4"/>
    <x v="2"/>
    <x v="3"/>
    <s v="FI_medium"/>
    <x v="21"/>
    <n v="53.225806451612797"/>
    <n v="14.784946236559099"/>
  </r>
  <r>
    <x v="0"/>
    <x v="4"/>
    <x v="2"/>
    <x v="3"/>
    <s v="FI_medium"/>
    <x v="22"/>
    <n v="130.68"/>
    <n v="36.299999999999997"/>
  </r>
  <r>
    <x v="0"/>
    <x v="4"/>
    <x v="2"/>
    <x v="3"/>
    <s v="FI_medium"/>
    <x v="23"/>
    <n v="0.35278210439105201"/>
    <n v="9.7995028997514499E-2"/>
  </r>
  <r>
    <x v="0"/>
    <x v="4"/>
    <x v="2"/>
    <x v="3"/>
    <s v="FI_medium"/>
    <x v="24"/>
    <n v="20.0161025734538"/>
    <n v="5.5600284926260501"/>
  </r>
  <r>
    <x v="0"/>
    <x v="4"/>
    <x v="2"/>
    <x v="3"/>
    <s v="FI_medium"/>
    <x v="25"/>
    <n v="22.356874337357301"/>
    <n v="6.2102428714881297"/>
  </r>
  <r>
    <x v="0"/>
    <x v="4"/>
    <x v="2"/>
    <x v="3"/>
    <s v="FI_medium"/>
    <x v="26"/>
    <n v="29.6651032387655"/>
    <n v="8.2403064552126306"/>
  </r>
  <r>
    <x v="0"/>
    <x v="4"/>
    <x v="2"/>
    <x v="3"/>
    <s v="FI_medium"/>
    <x v="27"/>
    <n v="21.049332228666099"/>
    <n v="5.8470367301850299"/>
  </r>
  <r>
    <x v="0"/>
    <x v="4"/>
    <x v="2"/>
    <x v="3"/>
    <s v="FI_medium_gas"/>
    <x v="1"/>
    <n v="35.989199999999997"/>
    <n v="9.9969999999999999"/>
  </r>
  <r>
    <x v="0"/>
    <x v="4"/>
    <x v="2"/>
    <x v="3"/>
    <s v="FI_medium_gas"/>
    <x v="2"/>
    <n v="57.96"/>
    <n v="16.100000000000001"/>
  </r>
  <r>
    <x v="0"/>
    <x v="4"/>
    <x v="2"/>
    <x v="3"/>
    <s v="FI_medium_gas"/>
    <x v="0"/>
    <n v="42.692399999999999"/>
    <n v="11.859"/>
  </r>
  <r>
    <x v="0"/>
    <x v="4"/>
    <x v="2"/>
    <x v="3"/>
    <s v="FI_medium_gas"/>
    <x v="3"/>
    <n v="57.7974681027342"/>
    <n v="16.054852250759499"/>
  </r>
  <r>
    <x v="0"/>
    <x v="4"/>
    <x v="2"/>
    <x v="3"/>
    <s v="FI_medium_gas"/>
    <x v="4"/>
    <n v="8.1139884009941898"/>
    <n v="2.2538856669428302"/>
  </r>
  <r>
    <x v="0"/>
    <x v="4"/>
    <x v="2"/>
    <x v="3"/>
    <s v="FI_medium_gas"/>
    <x v="5"/>
    <n v="8.1139884009941898"/>
    <n v="2.2538856669428302"/>
  </r>
  <r>
    <x v="0"/>
    <x v="4"/>
    <x v="2"/>
    <x v="3"/>
    <s v="FI_medium_gas"/>
    <x v="6"/>
    <n v="30.770439105219602"/>
    <n v="8.5473441958943202"/>
  </r>
  <r>
    <x v="0"/>
    <x v="4"/>
    <x v="2"/>
    <x v="3"/>
    <s v="FI_medium_gas"/>
    <x v="7"/>
    <n v="71.350180613090302"/>
    <n v="19.819494614747299"/>
  </r>
  <r>
    <x v="0"/>
    <x v="4"/>
    <x v="2"/>
    <x v="3"/>
    <s v="FI_medium_gas"/>
    <x v="8"/>
    <n v="71.350180613090302"/>
    <n v="19.819494614747299"/>
  </r>
  <r>
    <x v="0"/>
    <x v="4"/>
    <x v="2"/>
    <x v="3"/>
    <s v="FI_medium_gas"/>
    <x v="9"/>
    <n v="44.803327257663497"/>
    <n v="12.4453686826843"/>
  </r>
  <r>
    <x v="0"/>
    <x v="4"/>
    <x v="2"/>
    <x v="3"/>
    <s v="FI_medium_gas"/>
    <x v="10"/>
    <n v="54.681226180612903"/>
    <n v="15.1892294946147"/>
  </r>
  <r>
    <x v="0"/>
    <x v="4"/>
    <x v="2"/>
    <x v="3"/>
    <s v="FI_medium_gas"/>
    <x v="11"/>
    <n v="3.8806031483015802"/>
    <n v="1.07794531897266"/>
  </r>
  <r>
    <x v="0"/>
    <x v="4"/>
    <x v="2"/>
    <x v="3"/>
    <s v="FI_medium_gas"/>
    <x v="12"/>
    <n v="9.7995028997514597E-2"/>
    <n v="2.72208413881985E-2"/>
  </r>
  <r>
    <x v="0"/>
    <x v="4"/>
    <x v="2"/>
    <x v="3"/>
    <s v="FI_medium_gas"/>
    <x v="13"/>
    <n v="21.5197083678542"/>
    <n v="5.9776967688483804"/>
  </r>
  <r>
    <x v="0"/>
    <x v="4"/>
    <x v="2"/>
    <x v="3"/>
    <s v="FI_medium_gas"/>
    <x v="14"/>
    <n v="21.5197083678542"/>
    <n v="5.9776967688483804"/>
  </r>
  <r>
    <x v="0"/>
    <x v="4"/>
    <x v="2"/>
    <x v="3"/>
    <s v="FI_medium_gas"/>
    <x v="15"/>
    <n v="1.65807589063794"/>
    <n v="0.46057663628831802"/>
  </r>
  <r>
    <x v="0"/>
    <x v="4"/>
    <x v="2"/>
    <x v="3"/>
    <s v="FI_medium_gas"/>
    <x v="16"/>
    <n v="8.3492014028755008"/>
    <n v="2.31922261190986"/>
  </r>
  <r>
    <x v="0"/>
    <x v="4"/>
    <x v="2"/>
    <x v="3"/>
    <s v="FI_medium_gas"/>
    <x v="17"/>
    <n v="9.5251168185584092"/>
    <n v="2.6458657829328902"/>
  </r>
  <r>
    <x v="0"/>
    <x v="4"/>
    <x v="2"/>
    <x v="3"/>
    <s v="FI_medium_gas"/>
    <x v="18"/>
    <n v="21.5197083678542"/>
    <n v="5.9776967688483804"/>
  </r>
  <r>
    <x v="0"/>
    <x v="4"/>
    <x v="2"/>
    <x v="3"/>
    <s v="FI_medium_gas"/>
    <x v="19"/>
    <n v="8.1139884009941898"/>
    <n v="2.2538856669428302"/>
  </r>
  <r>
    <x v="0"/>
    <x v="4"/>
    <x v="2"/>
    <x v="3"/>
    <s v="FI_medium_gas"/>
    <x v="20"/>
    <n v="19.336735244541"/>
    <n v="5.37131534570584"/>
  </r>
  <r>
    <x v="0"/>
    <x v="4"/>
    <x v="2"/>
    <x v="3"/>
    <s v="FI_medium_gas"/>
    <x v="21"/>
    <n v="53.225806451612797"/>
    <n v="14.784946236559099"/>
  </r>
  <r>
    <x v="0"/>
    <x v="4"/>
    <x v="2"/>
    <x v="3"/>
    <s v="FI_medium_gas"/>
    <x v="22"/>
    <n v="130.68"/>
    <n v="36.299999999999997"/>
  </r>
  <r>
    <x v="0"/>
    <x v="4"/>
    <x v="2"/>
    <x v="3"/>
    <s v="FI_medium_gas"/>
    <x v="23"/>
    <n v="0.35278210439105201"/>
    <n v="9.7995028997514499E-2"/>
  </r>
  <r>
    <x v="0"/>
    <x v="4"/>
    <x v="2"/>
    <x v="3"/>
    <s v="FI_medium_gas"/>
    <x v="24"/>
    <n v="20.0161025734538"/>
    <n v="5.5600284926260501"/>
  </r>
  <r>
    <x v="0"/>
    <x v="4"/>
    <x v="2"/>
    <x v="3"/>
    <s v="FI_medium_gas"/>
    <x v="25"/>
    <n v="22.356874337357301"/>
    <n v="6.2102428714881297"/>
  </r>
  <r>
    <x v="0"/>
    <x v="4"/>
    <x v="2"/>
    <x v="3"/>
    <s v="FI_medium_gas"/>
    <x v="26"/>
    <n v="29.6651032387655"/>
    <n v="8.2403064552126306"/>
  </r>
  <r>
    <x v="0"/>
    <x v="4"/>
    <x v="2"/>
    <x v="3"/>
    <s v="FI_medium_gas"/>
    <x v="27"/>
    <n v="21.049332228666099"/>
    <n v="5.8470367301850299"/>
  </r>
  <r>
    <x v="0"/>
    <x v="4"/>
    <x v="2"/>
    <x v="3"/>
    <s v="FI_small"/>
    <x v="1"/>
    <n v="35.989199999999997"/>
    <n v="9.9969999999999999"/>
  </r>
  <r>
    <x v="0"/>
    <x v="4"/>
    <x v="2"/>
    <x v="3"/>
    <s v="FI_small"/>
    <x v="2"/>
    <n v="57.96"/>
    <n v="16.100000000000001"/>
  </r>
  <r>
    <x v="0"/>
    <x v="4"/>
    <x v="2"/>
    <x v="3"/>
    <s v="FI_small"/>
    <x v="0"/>
    <n v="42.692399999999999"/>
    <n v="11.859"/>
  </r>
  <r>
    <x v="0"/>
    <x v="4"/>
    <x v="2"/>
    <x v="3"/>
    <s v="FI_small"/>
    <x v="3"/>
    <n v="57.7974681027342"/>
    <n v="16.054852250759499"/>
  </r>
  <r>
    <x v="0"/>
    <x v="4"/>
    <x v="2"/>
    <x v="3"/>
    <s v="FI_small"/>
    <x v="4"/>
    <n v="8.1139884009941898"/>
    <n v="2.2538856669428302"/>
  </r>
  <r>
    <x v="0"/>
    <x v="4"/>
    <x v="2"/>
    <x v="3"/>
    <s v="FI_small"/>
    <x v="5"/>
    <n v="8.1139884009941898"/>
    <n v="2.2538856669428302"/>
  </r>
  <r>
    <x v="0"/>
    <x v="4"/>
    <x v="2"/>
    <x v="3"/>
    <s v="FI_small"/>
    <x v="6"/>
    <n v="30.770439105219602"/>
    <n v="8.5473441958943202"/>
  </r>
  <r>
    <x v="0"/>
    <x v="4"/>
    <x v="2"/>
    <x v="3"/>
    <s v="FI_small"/>
    <x v="7"/>
    <n v="71.350180613090302"/>
    <n v="19.819494614747299"/>
  </r>
  <r>
    <x v="0"/>
    <x v="4"/>
    <x v="2"/>
    <x v="3"/>
    <s v="FI_small"/>
    <x v="8"/>
    <n v="71.350180613090302"/>
    <n v="19.819494614747299"/>
  </r>
  <r>
    <x v="0"/>
    <x v="4"/>
    <x v="2"/>
    <x v="3"/>
    <s v="FI_small"/>
    <x v="9"/>
    <n v="44.803327257663497"/>
    <n v="12.4453686826843"/>
  </r>
  <r>
    <x v="0"/>
    <x v="4"/>
    <x v="2"/>
    <x v="3"/>
    <s v="FI_small"/>
    <x v="10"/>
    <n v="54.681226180612903"/>
    <n v="15.1892294946147"/>
  </r>
  <r>
    <x v="0"/>
    <x v="4"/>
    <x v="2"/>
    <x v="3"/>
    <s v="FI_small"/>
    <x v="11"/>
    <n v="3.8806031483015802"/>
    <n v="1.07794531897266"/>
  </r>
  <r>
    <x v="0"/>
    <x v="4"/>
    <x v="2"/>
    <x v="3"/>
    <s v="FI_small"/>
    <x v="12"/>
    <n v="9.7995028997514597E-2"/>
    <n v="2.72208413881985E-2"/>
  </r>
  <r>
    <x v="0"/>
    <x v="4"/>
    <x v="2"/>
    <x v="3"/>
    <s v="FI_small"/>
    <x v="13"/>
    <n v="21.5197083678542"/>
    <n v="5.9776967688483804"/>
  </r>
  <r>
    <x v="0"/>
    <x v="4"/>
    <x v="2"/>
    <x v="3"/>
    <s v="FI_small"/>
    <x v="14"/>
    <n v="21.5197083678542"/>
    <n v="5.9776967688483804"/>
  </r>
  <r>
    <x v="0"/>
    <x v="4"/>
    <x v="2"/>
    <x v="3"/>
    <s v="FI_small"/>
    <x v="15"/>
    <n v="1.65807589063794"/>
    <n v="0.46057663628831802"/>
  </r>
  <r>
    <x v="0"/>
    <x v="4"/>
    <x v="2"/>
    <x v="3"/>
    <s v="FI_small"/>
    <x v="16"/>
    <n v="8.3492014028755008"/>
    <n v="2.31922261190986"/>
  </r>
  <r>
    <x v="0"/>
    <x v="4"/>
    <x v="2"/>
    <x v="3"/>
    <s v="FI_small"/>
    <x v="17"/>
    <n v="9.5251168185584092"/>
    <n v="2.6458657829328902"/>
  </r>
  <r>
    <x v="0"/>
    <x v="4"/>
    <x v="2"/>
    <x v="3"/>
    <s v="FI_small"/>
    <x v="18"/>
    <n v="21.5197083678542"/>
    <n v="5.9776967688483804"/>
  </r>
  <r>
    <x v="0"/>
    <x v="4"/>
    <x v="2"/>
    <x v="3"/>
    <s v="FI_small"/>
    <x v="19"/>
    <n v="8.1139884009941898"/>
    <n v="2.2538856669428302"/>
  </r>
  <r>
    <x v="0"/>
    <x v="4"/>
    <x v="2"/>
    <x v="3"/>
    <s v="FI_small"/>
    <x v="20"/>
    <n v="19.336735244541"/>
    <n v="5.37131534570584"/>
  </r>
  <r>
    <x v="0"/>
    <x v="4"/>
    <x v="2"/>
    <x v="3"/>
    <s v="FI_small"/>
    <x v="21"/>
    <n v="53.225806451612797"/>
    <n v="14.784946236559099"/>
  </r>
  <r>
    <x v="0"/>
    <x v="4"/>
    <x v="2"/>
    <x v="3"/>
    <s v="FI_small"/>
    <x v="22"/>
    <n v="130.68"/>
    <n v="36.299999999999997"/>
  </r>
  <r>
    <x v="0"/>
    <x v="4"/>
    <x v="2"/>
    <x v="3"/>
    <s v="FI_small"/>
    <x v="23"/>
    <n v="0.35278210439105201"/>
    <n v="9.7995028997514499E-2"/>
  </r>
  <r>
    <x v="0"/>
    <x v="4"/>
    <x v="2"/>
    <x v="3"/>
    <s v="FI_small"/>
    <x v="24"/>
    <n v="20.0161025734538"/>
    <n v="5.5600284926260501"/>
  </r>
  <r>
    <x v="0"/>
    <x v="4"/>
    <x v="2"/>
    <x v="3"/>
    <s v="FI_small"/>
    <x v="25"/>
    <n v="22.356874337357301"/>
    <n v="6.2102428714881297"/>
  </r>
  <r>
    <x v="0"/>
    <x v="4"/>
    <x v="2"/>
    <x v="3"/>
    <s v="FI_small"/>
    <x v="26"/>
    <n v="29.6651032387655"/>
    <n v="8.2403064552126306"/>
  </r>
  <r>
    <x v="0"/>
    <x v="4"/>
    <x v="2"/>
    <x v="3"/>
    <s v="FI_small"/>
    <x v="27"/>
    <n v="21.049332228666099"/>
    <n v="5.8470367301850299"/>
  </r>
  <r>
    <x v="0"/>
    <x v="4"/>
    <x v="2"/>
    <x v="3"/>
    <s v="FI_small_gas"/>
    <x v="1"/>
    <n v="35.989199999999997"/>
    <n v="9.9969999999999999"/>
  </r>
  <r>
    <x v="0"/>
    <x v="4"/>
    <x v="2"/>
    <x v="3"/>
    <s v="FI_small_gas"/>
    <x v="2"/>
    <n v="57.96"/>
    <n v="16.100000000000001"/>
  </r>
  <r>
    <x v="0"/>
    <x v="4"/>
    <x v="2"/>
    <x v="3"/>
    <s v="FI_small_gas"/>
    <x v="0"/>
    <n v="42.692399999999999"/>
    <n v="11.859"/>
  </r>
  <r>
    <x v="0"/>
    <x v="4"/>
    <x v="2"/>
    <x v="3"/>
    <s v="FI_small_gas"/>
    <x v="3"/>
    <n v="57.7974681027342"/>
    <n v="16.054852250759499"/>
  </r>
  <r>
    <x v="0"/>
    <x v="4"/>
    <x v="2"/>
    <x v="3"/>
    <s v="FI_small_gas"/>
    <x v="4"/>
    <n v="8.1139884009941898"/>
    <n v="2.2538856669428302"/>
  </r>
  <r>
    <x v="0"/>
    <x v="4"/>
    <x v="2"/>
    <x v="3"/>
    <s v="FI_small_gas"/>
    <x v="5"/>
    <n v="8.1139884009941898"/>
    <n v="2.2538856669428302"/>
  </r>
  <r>
    <x v="0"/>
    <x v="4"/>
    <x v="2"/>
    <x v="3"/>
    <s v="FI_small_gas"/>
    <x v="6"/>
    <n v="30.770439105219602"/>
    <n v="8.5473441958943202"/>
  </r>
  <r>
    <x v="0"/>
    <x v="4"/>
    <x v="2"/>
    <x v="3"/>
    <s v="FI_small_gas"/>
    <x v="7"/>
    <n v="71.350180613090302"/>
    <n v="19.819494614747299"/>
  </r>
  <r>
    <x v="0"/>
    <x v="4"/>
    <x v="2"/>
    <x v="3"/>
    <s v="FI_small_gas"/>
    <x v="8"/>
    <n v="71.350180613090302"/>
    <n v="19.819494614747299"/>
  </r>
  <r>
    <x v="0"/>
    <x v="4"/>
    <x v="2"/>
    <x v="3"/>
    <s v="FI_small_gas"/>
    <x v="9"/>
    <n v="44.803327257663497"/>
    <n v="12.4453686826843"/>
  </r>
  <r>
    <x v="0"/>
    <x v="4"/>
    <x v="2"/>
    <x v="3"/>
    <s v="FI_small_gas"/>
    <x v="10"/>
    <n v="54.681226180612903"/>
    <n v="15.1892294946147"/>
  </r>
  <r>
    <x v="0"/>
    <x v="4"/>
    <x v="2"/>
    <x v="3"/>
    <s v="FI_small_gas"/>
    <x v="11"/>
    <n v="3.8806031483015802"/>
    <n v="1.07794531897266"/>
  </r>
  <r>
    <x v="0"/>
    <x v="4"/>
    <x v="2"/>
    <x v="3"/>
    <s v="FI_small_gas"/>
    <x v="12"/>
    <n v="9.7995028997514597E-2"/>
    <n v="2.72208413881985E-2"/>
  </r>
  <r>
    <x v="0"/>
    <x v="4"/>
    <x v="2"/>
    <x v="3"/>
    <s v="FI_small_gas"/>
    <x v="13"/>
    <n v="21.5197083678542"/>
    <n v="5.9776967688483804"/>
  </r>
  <r>
    <x v="0"/>
    <x v="4"/>
    <x v="2"/>
    <x v="3"/>
    <s v="FI_small_gas"/>
    <x v="14"/>
    <n v="21.5197083678542"/>
    <n v="5.9776967688483804"/>
  </r>
  <r>
    <x v="0"/>
    <x v="4"/>
    <x v="2"/>
    <x v="3"/>
    <s v="FI_small_gas"/>
    <x v="15"/>
    <n v="1.65807589063794"/>
    <n v="0.46057663628831802"/>
  </r>
  <r>
    <x v="0"/>
    <x v="4"/>
    <x v="2"/>
    <x v="3"/>
    <s v="FI_small_gas"/>
    <x v="16"/>
    <n v="8.3492014028755008"/>
    <n v="2.31922261190986"/>
  </r>
  <r>
    <x v="0"/>
    <x v="4"/>
    <x v="2"/>
    <x v="3"/>
    <s v="FI_small_gas"/>
    <x v="17"/>
    <n v="9.5251168185584092"/>
    <n v="2.6458657829328902"/>
  </r>
  <r>
    <x v="0"/>
    <x v="4"/>
    <x v="2"/>
    <x v="3"/>
    <s v="FI_small_gas"/>
    <x v="18"/>
    <n v="21.5197083678542"/>
    <n v="5.9776967688483804"/>
  </r>
  <r>
    <x v="0"/>
    <x v="4"/>
    <x v="2"/>
    <x v="3"/>
    <s v="FI_small_gas"/>
    <x v="19"/>
    <n v="8.1139884009941898"/>
    <n v="2.2538856669428302"/>
  </r>
  <r>
    <x v="0"/>
    <x v="4"/>
    <x v="2"/>
    <x v="3"/>
    <s v="FI_small_gas"/>
    <x v="20"/>
    <n v="19.336735244541"/>
    <n v="5.37131534570584"/>
  </r>
  <r>
    <x v="0"/>
    <x v="4"/>
    <x v="2"/>
    <x v="3"/>
    <s v="FI_small_gas"/>
    <x v="21"/>
    <n v="53.225806451612797"/>
    <n v="14.784946236559099"/>
  </r>
  <r>
    <x v="0"/>
    <x v="4"/>
    <x v="2"/>
    <x v="3"/>
    <s v="FI_small_gas"/>
    <x v="22"/>
    <n v="130.68"/>
    <n v="36.299999999999997"/>
  </r>
  <r>
    <x v="0"/>
    <x v="4"/>
    <x v="2"/>
    <x v="3"/>
    <s v="FI_small_gas"/>
    <x v="23"/>
    <n v="0.35278210439105201"/>
    <n v="9.7995028997514499E-2"/>
  </r>
  <r>
    <x v="0"/>
    <x v="4"/>
    <x v="2"/>
    <x v="3"/>
    <s v="FI_small_gas"/>
    <x v="24"/>
    <n v="20.0161025734538"/>
    <n v="5.5600284926260501"/>
  </r>
  <r>
    <x v="0"/>
    <x v="4"/>
    <x v="2"/>
    <x v="3"/>
    <s v="FI_small_gas"/>
    <x v="25"/>
    <n v="22.356874337357301"/>
    <n v="6.2102428714881297"/>
  </r>
  <r>
    <x v="0"/>
    <x v="4"/>
    <x v="2"/>
    <x v="3"/>
    <s v="FI_small_gas"/>
    <x v="26"/>
    <n v="29.6651032387655"/>
    <n v="8.2403064552126306"/>
  </r>
  <r>
    <x v="0"/>
    <x v="4"/>
    <x v="2"/>
    <x v="3"/>
    <s v="FI_small_gas"/>
    <x v="27"/>
    <n v="21.049332228666099"/>
    <n v="5.8470367301850299"/>
  </r>
  <r>
    <x v="0"/>
    <x v="4"/>
    <x v="2"/>
    <x v="3"/>
    <s v="FinA"/>
    <x v="1"/>
    <n v="35.989199999999997"/>
    <n v="9.9969999999999999"/>
  </r>
  <r>
    <x v="0"/>
    <x v="4"/>
    <x v="2"/>
    <x v="3"/>
    <s v="FinA"/>
    <x v="2"/>
    <n v="57.96"/>
    <n v="16.100000000000001"/>
  </r>
  <r>
    <x v="0"/>
    <x v="4"/>
    <x v="2"/>
    <x v="3"/>
    <s v="FinA"/>
    <x v="0"/>
    <n v="42.692399999999999"/>
    <n v="11.859"/>
  </r>
  <r>
    <x v="0"/>
    <x v="4"/>
    <x v="2"/>
    <x v="3"/>
    <s v="FinA"/>
    <x v="3"/>
    <n v="57.7974681027342"/>
    <n v="16.054852250759499"/>
  </r>
  <r>
    <x v="0"/>
    <x v="4"/>
    <x v="2"/>
    <x v="3"/>
    <s v="FinA"/>
    <x v="4"/>
    <n v="8.1139884009941898"/>
    <n v="2.2538856669428302"/>
  </r>
  <r>
    <x v="0"/>
    <x v="4"/>
    <x v="2"/>
    <x v="3"/>
    <s v="FinA"/>
    <x v="5"/>
    <n v="8.1139884009941898"/>
    <n v="2.2538856669428302"/>
  </r>
  <r>
    <x v="0"/>
    <x v="4"/>
    <x v="2"/>
    <x v="3"/>
    <s v="FinA"/>
    <x v="6"/>
    <n v="30.770439105219602"/>
    <n v="8.5473441958943202"/>
  </r>
  <r>
    <x v="0"/>
    <x v="4"/>
    <x v="2"/>
    <x v="3"/>
    <s v="FinA"/>
    <x v="7"/>
    <n v="71.350180613090302"/>
    <n v="19.819494614747299"/>
  </r>
  <r>
    <x v="0"/>
    <x v="4"/>
    <x v="2"/>
    <x v="3"/>
    <s v="FinA"/>
    <x v="8"/>
    <n v="71.350180613090302"/>
    <n v="19.819494614747299"/>
  </r>
  <r>
    <x v="0"/>
    <x v="4"/>
    <x v="2"/>
    <x v="3"/>
    <s v="FinA"/>
    <x v="9"/>
    <n v="44.803327257663497"/>
    <n v="12.4453686826843"/>
  </r>
  <r>
    <x v="0"/>
    <x v="4"/>
    <x v="2"/>
    <x v="3"/>
    <s v="FinA"/>
    <x v="10"/>
    <n v="54.681226180612903"/>
    <n v="15.1892294946147"/>
  </r>
  <r>
    <x v="0"/>
    <x v="4"/>
    <x v="2"/>
    <x v="3"/>
    <s v="FinA"/>
    <x v="11"/>
    <n v="3.8806031483015802"/>
    <n v="1.07794531897266"/>
  </r>
  <r>
    <x v="0"/>
    <x v="4"/>
    <x v="2"/>
    <x v="3"/>
    <s v="FinA"/>
    <x v="12"/>
    <n v="9.7995028997514597E-2"/>
    <n v="2.72208413881985E-2"/>
  </r>
  <r>
    <x v="0"/>
    <x v="4"/>
    <x v="2"/>
    <x v="3"/>
    <s v="FinA"/>
    <x v="13"/>
    <n v="21.5197083678542"/>
    <n v="5.9776967688483804"/>
  </r>
  <r>
    <x v="0"/>
    <x v="4"/>
    <x v="2"/>
    <x v="3"/>
    <s v="FinA"/>
    <x v="14"/>
    <n v="21.5197083678542"/>
    <n v="5.9776967688483804"/>
  </r>
  <r>
    <x v="0"/>
    <x v="4"/>
    <x v="2"/>
    <x v="3"/>
    <s v="FinA"/>
    <x v="15"/>
    <n v="1.65807589063794"/>
    <n v="0.46057663628831802"/>
  </r>
  <r>
    <x v="0"/>
    <x v="4"/>
    <x v="2"/>
    <x v="3"/>
    <s v="FinA"/>
    <x v="16"/>
    <n v="8.3492014028755008"/>
    <n v="2.31922261190986"/>
  </r>
  <r>
    <x v="0"/>
    <x v="4"/>
    <x v="2"/>
    <x v="3"/>
    <s v="FinA"/>
    <x v="17"/>
    <n v="9.5251168185584092"/>
    <n v="2.6458657829328902"/>
  </r>
  <r>
    <x v="0"/>
    <x v="4"/>
    <x v="2"/>
    <x v="3"/>
    <s v="FinA"/>
    <x v="18"/>
    <n v="21.5197083678542"/>
    <n v="5.9776967688483804"/>
  </r>
  <r>
    <x v="0"/>
    <x v="4"/>
    <x v="2"/>
    <x v="3"/>
    <s v="FinA"/>
    <x v="19"/>
    <n v="8.1139884009941898"/>
    <n v="2.2538856669428302"/>
  </r>
  <r>
    <x v="0"/>
    <x v="4"/>
    <x v="2"/>
    <x v="3"/>
    <s v="FinA"/>
    <x v="20"/>
    <n v="19.336735244541"/>
    <n v="5.37131534570584"/>
  </r>
  <r>
    <x v="0"/>
    <x v="4"/>
    <x v="2"/>
    <x v="3"/>
    <s v="FinA"/>
    <x v="21"/>
    <n v="53.225806451612797"/>
    <n v="14.784946236559099"/>
  </r>
  <r>
    <x v="0"/>
    <x v="4"/>
    <x v="2"/>
    <x v="3"/>
    <s v="FinA"/>
    <x v="22"/>
    <n v="130.68"/>
    <n v="36.299999999999997"/>
  </r>
  <r>
    <x v="0"/>
    <x v="4"/>
    <x v="2"/>
    <x v="3"/>
    <s v="FinA"/>
    <x v="23"/>
    <n v="0.35278210439105201"/>
    <n v="9.7995028997514499E-2"/>
  </r>
  <r>
    <x v="0"/>
    <x v="4"/>
    <x v="2"/>
    <x v="3"/>
    <s v="FinA"/>
    <x v="24"/>
    <n v="20.0161025734538"/>
    <n v="5.5600284926260501"/>
  </r>
  <r>
    <x v="0"/>
    <x v="4"/>
    <x v="2"/>
    <x v="3"/>
    <s v="FinA"/>
    <x v="25"/>
    <n v="22.356874337357301"/>
    <n v="6.2102428714881297"/>
  </r>
  <r>
    <x v="0"/>
    <x v="4"/>
    <x v="2"/>
    <x v="3"/>
    <s v="FinA"/>
    <x v="26"/>
    <n v="29.6651032387655"/>
    <n v="8.2403064552126306"/>
  </r>
  <r>
    <x v="0"/>
    <x v="4"/>
    <x v="2"/>
    <x v="3"/>
    <s v="FinA"/>
    <x v="27"/>
    <n v="21.049332228666099"/>
    <n v="5.8470367301850299"/>
  </r>
  <r>
    <x v="0"/>
    <x v="4"/>
    <x v="3"/>
    <x v="4"/>
    <s v="DE4-E_A"/>
    <x v="1"/>
    <n v="35.989199999999997"/>
    <n v="9.9969999999999999"/>
  </r>
  <r>
    <x v="0"/>
    <x v="4"/>
    <x v="3"/>
    <x v="4"/>
    <s v="DE4-E_A"/>
    <x v="2"/>
    <n v="57.96"/>
    <n v="16.100000000000001"/>
  </r>
  <r>
    <x v="0"/>
    <x v="4"/>
    <x v="3"/>
    <x v="4"/>
    <s v="DE4-E_A"/>
    <x v="0"/>
    <n v="42.692399999999999"/>
    <n v="11.859"/>
  </r>
  <r>
    <x v="0"/>
    <x v="4"/>
    <x v="3"/>
    <x v="4"/>
    <s v="DE4-E_A"/>
    <x v="3"/>
    <n v="57.7974681027342"/>
    <n v="16.054852250759499"/>
  </r>
  <r>
    <x v="0"/>
    <x v="4"/>
    <x v="3"/>
    <x v="4"/>
    <s v="DE4-E_A"/>
    <x v="4"/>
    <n v="8.1139884009941898"/>
    <n v="2.2538856669428302"/>
  </r>
  <r>
    <x v="0"/>
    <x v="4"/>
    <x v="3"/>
    <x v="4"/>
    <s v="DE4-E_A"/>
    <x v="5"/>
    <n v="8.1139884009941898"/>
    <n v="2.2538856669428302"/>
  </r>
  <r>
    <x v="0"/>
    <x v="4"/>
    <x v="3"/>
    <x v="4"/>
    <s v="DE4-E_A"/>
    <x v="6"/>
    <n v="30.770439105219602"/>
    <n v="8.5473441958943202"/>
  </r>
  <r>
    <x v="0"/>
    <x v="4"/>
    <x v="3"/>
    <x v="4"/>
    <s v="DE4-E_A"/>
    <x v="7"/>
    <n v="71.350180613090302"/>
    <n v="19.819494614747299"/>
  </r>
  <r>
    <x v="0"/>
    <x v="4"/>
    <x v="3"/>
    <x v="4"/>
    <s v="DE4-E_A"/>
    <x v="8"/>
    <n v="71.350180613090302"/>
    <n v="19.819494614747299"/>
  </r>
  <r>
    <x v="0"/>
    <x v="4"/>
    <x v="3"/>
    <x v="4"/>
    <s v="DE4-E_A"/>
    <x v="9"/>
    <n v="44.803327257663497"/>
    <n v="12.4453686826843"/>
  </r>
  <r>
    <x v="0"/>
    <x v="4"/>
    <x v="3"/>
    <x v="4"/>
    <s v="DE4-E_A"/>
    <x v="10"/>
    <n v="54.681226180612903"/>
    <n v="15.1892294946147"/>
  </r>
  <r>
    <x v="0"/>
    <x v="4"/>
    <x v="3"/>
    <x v="4"/>
    <s v="DE4-E_A"/>
    <x v="11"/>
    <n v="3.8806031483015802"/>
    <n v="1.07794531897266"/>
  </r>
  <r>
    <x v="0"/>
    <x v="4"/>
    <x v="3"/>
    <x v="4"/>
    <s v="DE4-E_A"/>
    <x v="12"/>
    <n v="9.7995028997514597E-2"/>
    <n v="2.72208413881985E-2"/>
  </r>
  <r>
    <x v="0"/>
    <x v="4"/>
    <x v="3"/>
    <x v="4"/>
    <s v="DE4-E_A"/>
    <x v="13"/>
    <n v="21.5197083678542"/>
    <n v="5.9776967688483804"/>
  </r>
  <r>
    <x v="0"/>
    <x v="4"/>
    <x v="3"/>
    <x v="4"/>
    <s v="DE4-E_A"/>
    <x v="14"/>
    <n v="21.5197083678542"/>
    <n v="5.9776967688483804"/>
  </r>
  <r>
    <x v="0"/>
    <x v="4"/>
    <x v="3"/>
    <x v="4"/>
    <s v="DE4-E_A"/>
    <x v="15"/>
    <n v="1.65807589063794"/>
    <n v="0.46057663628831802"/>
  </r>
  <r>
    <x v="0"/>
    <x v="4"/>
    <x v="3"/>
    <x v="4"/>
    <s v="DE4-E_A"/>
    <x v="16"/>
    <n v="8.3492014028755008"/>
    <n v="2.31922261190986"/>
  </r>
  <r>
    <x v="0"/>
    <x v="4"/>
    <x v="3"/>
    <x v="4"/>
    <s v="DE4-E_A"/>
    <x v="17"/>
    <n v="9.5251168185584092"/>
    <n v="2.6458657829328902"/>
  </r>
  <r>
    <x v="0"/>
    <x v="4"/>
    <x v="3"/>
    <x v="4"/>
    <s v="DE4-E_A"/>
    <x v="18"/>
    <n v="21.5197083678542"/>
    <n v="5.9776967688483804"/>
  </r>
  <r>
    <x v="0"/>
    <x v="4"/>
    <x v="3"/>
    <x v="4"/>
    <s v="DE4-E_A"/>
    <x v="19"/>
    <n v="8.1139884009941898"/>
    <n v="2.2538856669428302"/>
  </r>
  <r>
    <x v="0"/>
    <x v="4"/>
    <x v="3"/>
    <x v="4"/>
    <s v="DE4-E_A"/>
    <x v="20"/>
    <n v="19.336735244541"/>
    <n v="5.37131534570584"/>
  </r>
  <r>
    <x v="0"/>
    <x v="4"/>
    <x v="3"/>
    <x v="4"/>
    <s v="DE4-E_A"/>
    <x v="21"/>
    <n v="53.225806451612797"/>
    <n v="14.784946236559099"/>
  </r>
  <r>
    <x v="0"/>
    <x v="4"/>
    <x v="3"/>
    <x v="4"/>
    <s v="DE4-E_A"/>
    <x v="22"/>
    <n v="130.68"/>
    <n v="36.299999999999997"/>
  </r>
  <r>
    <x v="0"/>
    <x v="4"/>
    <x v="3"/>
    <x v="4"/>
    <s v="DE4-E_A"/>
    <x v="23"/>
    <n v="0.35278210439105201"/>
    <n v="9.7995028997514499E-2"/>
  </r>
  <r>
    <x v="0"/>
    <x v="4"/>
    <x v="3"/>
    <x v="4"/>
    <s v="DE4-E_A"/>
    <x v="24"/>
    <n v="20.0161025734538"/>
    <n v="5.5600284926260501"/>
  </r>
  <r>
    <x v="0"/>
    <x v="4"/>
    <x v="3"/>
    <x v="4"/>
    <s v="DE4-E_A"/>
    <x v="25"/>
    <n v="22.356874337357301"/>
    <n v="6.2102428714881297"/>
  </r>
  <r>
    <x v="0"/>
    <x v="4"/>
    <x v="3"/>
    <x v="4"/>
    <s v="DE4-E_A"/>
    <x v="26"/>
    <n v="29.6651032387655"/>
    <n v="8.2403064552126306"/>
  </r>
  <r>
    <x v="0"/>
    <x v="4"/>
    <x v="3"/>
    <x v="4"/>
    <s v="DE4-E_A"/>
    <x v="27"/>
    <n v="21.049332228666099"/>
    <n v="5.8470367301850299"/>
  </r>
  <r>
    <x v="0"/>
    <x v="4"/>
    <x v="3"/>
    <x v="4"/>
    <s v="DE4-E_Offshore_A"/>
    <x v="1"/>
    <n v="35.989199999999997"/>
    <n v="9.9969999999999999"/>
  </r>
  <r>
    <x v="0"/>
    <x v="4"/>
    <x v="3"/>
    <x v="4"/>
    <s v="DE4-E_Offshore_A"/>
    <x v="2"/>
    <n v="57.96"/>
    <n v="16.100000000000001"/>
  </r>
  <r>
    <x v="0"/>
    <x v="4"/>
    <x v="3"/>
    <x v="4"/>
    <s v="DE4-E_Offshore_A"/>
    <x v="0"/>
    <n v="42.692399999999999"/>
    <n v="11.859"/>
  </r>
  <r>
    <x v="0"/>
    <x v="4"/>
    <x v="3"/>
    <x v="4"/>
    <s v="DE4-E_Offshore_A"/>
    <x v="3"/>
    <n v="57.7974681027342"/>
    <n v="16.054852250759499"/>
  </r>
  <r>
    <x v="0"/>
    <x v="4"/>
    <x v="3"/>
    <x v="4"/>
    <s v="DE4-E_Offshore_A"/>
    <x v="4"/>
    <n v="8.1139884009941898"/>
    <n v="2.2538856669428302"/>
  </r>
  <r>
    <x v="0"/>
    <x v="4"/>
    <x v="3"/>
    <x v="4"/>
    <s v="DE4-E_Offshore_A"/>
    <x v="5"/>
    <n v="8.1139884009941898"/>
    <n v="2.2538856669428302"/>
  </r>
  <r>
    <x v="0"/>
    <x v="4"/>
    <x v="3"/>
    <x v="4"/>
    <s v="DE4-E_Offshore_A"/>
    <x v="6"/>
    <n v="30.770439105219602"/>
    <n v="8.5473441958943202"/>
  </r>
  <r>
    <x v="0"/>
    <x v="4"/>
    <x v="3"/>
    <x v="4"/>
    <s v="DE4-E_Offshore_A"/>
    <x v="7"/>
    <n v="71.350180613090302"/>
    <n v="19.819494614747299"/>
  </r>
  <r>
    <x v="0"/>
    <x v="4"/>
    <x v="3"/>
    <x v="4"/>
    <s v="DE4-E_Offshore_A"/>
    <x v="8"/>
    <n v="71.350180613090302"/>
    <n v="19.819494614747299"/>
  </r>
  <r>
    <x v="0"/>
    <x v="4"/>
    <x v="3"/>
    <x v="4"/>
    <s v="DE4-E_Offshore_A"/>
    <x v="9"/>
    <n v="44.803327257663497"/>
    <n v="12.4453686826843"/>
  </r>
  <r>
    <x v="0"/>
    <x v="4"/>
    <x v="3"/>
    <x v="4"/>
    <s v="DE4-E_Offshore_A"/>
    <x v="10"/>
    <n v="54.681226180612903"/>
    <n v="15.1892294946147"/>
  </r>
  <r>
    <x v="0"/>
    <x v="4"/>
    <x v="3"/>
    <x v="4"/>
    <s v="DE4-E_Offshore_A"/>
    <x v="11"/>
    <n v="3.8806031483015802"/>
    <n v="1.07794531897266"/>
  </r>
  <r>
    <x v="0"/>
    <x v="4"/>
    <x v="3"/>
    <x v="4"/>
    <s v="DE4-E_Offshore_A"/>
    <x v="12"/>
    <n v="9.7995028997514597E-2"/>
    <n v="2.72208413881985E-2"/>
  </r>
  <r>
    <x v="0"/>
    <x v="4"/>
    <x v="3"/>
    <x v="4"/>
    <s v="DE4-E_Offshore_A"/>
    <x v="13"/>
    <n v="21.5197083678542"/>
    <n v="5.9776967688483804"/>
  </r>
  <r>
    <x v="0"/>
    <x v="4"/>
    <x v="3"/>
    <x v="4"/>
    <s v="DE4-E_Offshore_A"/>
    <x v="14"/>
    <n v="21.5197083678542"/>
    <n v="5.9776967688483804"/>
  </r>
  <r>
    <x v="0"/>
    <x v="4"/>
    <x v="3"/>
    <x v="4"/>
    <s v="DE4-E_Offshore_A"/>
    <x v="15"/>
    <n v="1.65807589063794"/>
    <n v="0.46057663628831802"/>
  </r>
  <r>
    <x v="0"/>
    <x v="4"/>
    <x v="3"/>
    <x v="4"/>
    <s v="DE4-E_Offshore_A"/>
    <x v="16"/>
    <n v="8.3492014028755008"/>
    <n v="2.31922261190986"/>
  </r>
  <r>
    <x v="0"/>
    <x v="4"/>
    <x v="3"/>
    <x v="4"/>
    <s v="DE4-E_Offshore_A"/>
    <x v="17"/>
    <n v="9.5251168185584092"/>
    <n v="2.6458657829328902"/>
  </r>
  <r>
    <x v="0"/>
    <x v="4"/>
    <x v="3"/>
    <x v="4"/>
    <s v="DE4-E_Offshore_A"/>
    <x v="18"/>
    <n v="21.5197083678542"/>
    <n v="5.9776967688483804"/>
  </r>
  <r>
    <x v="0"/>
    <x v="4"/>
    <x v="3"/>
    <x v="4"/>
    <s v="DE4-E_Offshore_A"/>
    <x v="19"/>
    <n v="8.1139884009941898"/>
    <n v="2.2538856669428302"/>
  </r>
  <r>
    <x v="0"/>
    <x v="4"/>
    <x v="3"/>
    <x v="4"/>
    <s v="DE4-E_Offshore_A"/>
    <x v="20"/>
    <n v="19.336735244541"/>
    <n v="5.37131534570584"/>
  </r>
  <r>
    <x v="0"/>
    <x v="4"/>
    <x v="3"/>
    <x v="4"/>
    <s v="DE4-E_Offshore_A"/>
    <x v="21"/>
    <n v="53.225806451612797"/>
    <n v="14.784946236559099"/>
  </r>
  <r>
    <x v="0"/>
    <x v="4"/>
    <x v="3"/>
    <x v="4"/>
    <s v="DE4-E_Offshore_A"/>
    <x v="22"/>
    <n v="130.68"/>
    <n v="36.299999999999997"/>
  </r>
  <r>
    <x v="0"/>
    <x v="4"/>
    <x v="3"/>
    <x v="4"/>
    <s v="DE4-E_Offshore_A"/>
    <x v="23"/>
    <n v="0.35278210439105201"/>
    <n v="9.7995028997514499E-2"/>
  </r>
  <r>
    <x v="0"/>
    <x v="4"/>
    <x v="3"/>
    <x v="4"/>
    <s v="DE4-E_Offshore_A"/>
    <x v="24"/>
    <n v="20.0161025734538"/>
    <n v="5.5600284926260501"/>
  </r>
  <r>
    <x v="0"/>
    <x v="4"/>
    <x v="3"/>
    <x v="4"/>
    <s v="DE4-E_Offshore_A"/>
    <x v="25"/>
    <n v="22.356874337357301"/>
    <n v="6.2102428714881297"/>
  </r>
  <r>
    <x v="0"/>
    <x v="4"/>
    <x v="3"/>
    <x v="4"/>
    <s v="DE4-E_Offshore_A"/>
    <x v="26"/>
    <n v="29.6651032387655"/>
    <n v="8.2403064552126306"/>
  </r>
  <r>
    <x v="0"/>
    <x v="4"/>
    <x v="3"/>
    <x v="4"/>
    <s v="DE4-E_Offshore_A"/>
    <x v="27"/>
    <n v="21.049332228666099"/>
    <n v="5.8470367301850299"/>
  </r>
  <r>
    <x v="0"/>
    <x v="4"/>
    <x v="3"/>
    <x v="5"/>
    <s v="DE4-N_A"/>
    <x v="1"/>
    <n v="35.989199999999997"/>
    <n v="9.9969999999999999"/>
  </r>
  <r>
    <x v="0"/>
    <x v="4"/>
    <x v="3"/>
    <x v="5"/>
    <s v="DE4-N_A"/>
    <x v="2"/>
    <n v="57.96"/>
    <n v="16.100000000000001"/>
  </r>
  <r>
    <x v="0"/>
    <x v="4"/>
    <x v="3"/>
    <x v="5"/>
    <s v="DE4-N_A"/>
    <x v="0"/>
    <n v="42.692399999999999"/>
    <n v="11.859"/>
  </r>
  <r>
    <x v="0"/>
    <x v="4"/>
    <x v="3"/>
    <x v="5"/>
    <s v="DE4-N_A"/>
    <x v="3"/>
    <n v="57.7974681027342"/>
    <n v="16.054852250759499"/>
  </r>
  <r>
    <x v="0"/>
    <x v="4"/>
    <x v="3"/>
    <x v="5"/>
    <s v="DE4-N_A"/>
    <x v="4"/>
    <n v="8.1139884009941898"/>
    <n v="2.2538856669428302"/>
  </r>
  <r>
    <x v="0"/>
    <x v="4"/>
    <x v="3"/>
    <x v="5"/>
    <s v="DE4-N_A"/>
    <x v="5"/>
    <n v="8.1139884009941898"/>
    <n v="2.2538856669428302"/>
  </r>
  <r>
    <x v="0"/>
    <x v="4"/>
    <x v="3"/>
    <x v="5"/>
    <s v="DE4-N_A"/>
    <x v="6"/>
    <n v="30.770439105219602"/>
    <n v="8.5473441958943202"/>
  </r>
  <r>
    <x v="0"/>
    <x v="4"/>
    <x v="3"/>
    <x v="5"/>
    <s v="DE4-N_A"/>
    <x v="7"/>
    <n v="71.350180613090302"/>
    <n v="19.819494614747299"/>
  </r>
  <r>
    <x v="0"/>
    <x v="4"/>
    <x v="3"/>
    <x v="5"/>
    <s v="DE4-N_A"/>
    <x v="8"/>
    <n v="71.350180613090302"/>
    <n v="19.819494614747299"/>
  </r>
  <r>
    <x v="0"/>
    <x v="4"/>
    <x v="3"/>
    <x v="5"/>
    <s v="DE4-N_A"/>
    <x v="9"/>
    <n v="44.803327257663497"/>
    <n v="12.4453686826843"/>
  </r>
  <r>
    <x v="0"/>
    <x v="4"/>
    <x v="3"/>
    <x v="5"/>
    <s v="DE4-N_A"/>
    <x v="10"/>
    <n v="54.681226180612903"/>
    <n v="15.1892294946147"/>
  </r>
  <r>
    <x v="0"/>
    <x v="4"/>
    <x v="3"/>
    <x v="5"/>
    <s v="DE4-N_A"/>
    <x v="11"/>
    <n v="3.8806031483015802"/>
    <n v="1.07794531897266"/>
  </r>
  <r>
    <x v="0"/>
    <x v="4"/>
    <x v="3"/>
    <x v="5"/>
    <s v="DE4-N_A"/>
    <x v="12"/>
    <n v="9.7995028997514597E-2"/>
    <n v="2.72208413881985E-2"/>
  </r>
  <r>
    <x v="0"/>
    <x v="4"/>
    <x v="3"/>
    <x v="5"/>
    <s v="DE4-N_A"/>
    <x v="13"/>
    <n v="21.5197083678542"/>
    <n v="5.9776967688483804"/>
  </r>
  <r>
    <x v="0"/>
    <x v="4"/>
    <x v="3"/>
    <x v="5"/>
    <s v="DE4-N_A"/>
    <x v="14"/>
    <n v="21.5197083678542"/>
    <n v="5.9776967688483804"/>
  </r>
  <r>
    <x v="0"/>
    <x v="4"/>
    <x v="3"/>
    <x v="5"/>
    <s v="DE4-N_A"/>
    <x v="15"/>
    <n v="1.65807589063794"/>
    <n v="0.46057663628831802"/>
  </r>
  <r>
    <x v="0"/>
    <x v="4"/>
    <x v="3"/>
    <x v="5"/>
    <s v="DE4-N_A"/>
    <x v="16"/>
    <n v="8.3492014028755008"/>
    <n v="2.31922261190986"/>
  </r>
  <r>
    <x v="0"/>
    <x v="4"/>
    <x v="3"/>
    <x v="5"/>
    <s v="DE4-N_A"/>
    <x v="17"/>
    <n v="9.5251168185584092"/>
    <n v="2.6458657829328902"/>
  </r>
  <r>
    <x v="0"/>
    <x v="4"/>
    <x v="3"/>
    <x v="5"/>
    <s v="DE4-N_A"/>
    <x v="18"/>
    <n v="21.5197083678542"/>
    <n v="5.9776967688483804"/>
  </r>
  <r>
    <x v="0"/>
    <x v="4"/>
    <x v="3"/>
    <x v="5"/>
    <s v="DE4-N_A"/>
    <x v="19"/>
    <n v="8.1139884009941898"/>
    <n v="2.2538856669428302"/>
  </r>
  <r>
    <x v="0"/>
    <x v="4"/>
    <x v="3"/>
    <x v="5"/>
    <s v="DE4-N_A"/>
    <x v="20"/>
    <n v="19.336735244541"/>
    <n v="5.37131534570584"/>
  </r>
  <r>
    <x v="0"/>
    <x v="4"/>
    <x v="3"/>
    <x v="5"/>
    <s v="DE4-N_A"/>
    <x v="21"/>
    <n v="53.225806451612797"/>
    <n v="14.784946236559099"/>
  </r>
  <r>
    <x v="0"/>
    <x v="4"/>
    <x v="3"/>
    <x v="5"/>
    <s v="DE4-N_A"/>
    <x v="22"/>
    <n v="130.68"/>
    <n v="36.299999999999997"/>
  </r>
  <r>
    <x v="0"/>
    <x v="4"/>
    <x v="3"/>
    <x v="5"/>
    <s v="DE4-N_A"/>
    <x v="23"/>
    <n v="0.35278210439105201"/>
    <n v="9.7995028997514499E-2"/>
  </r>
  <r>
    <x v="0"/>
    <x v="4"/>
    <x v="3"/>
    <x v="5"/>
    <s v="DE4-N_A"/>
    <x v="24"/>
    <n v="20.0161025734538"/>
    <n v="5.5600284926260501"/>
  </r>
  <r>
    <x v="0"/>
    <x v="4"/>
    <x v="3"/>
    <x v="5"/>
    <s v="DE4-N_A"/>
    <x v="25"/>
    <n v="22.356874337357301"/>
    <n v="6.2102428714881297"/>
  </r>
  <r>
    <x v="0"/>
    <x v="4"/>
    <x v="3"/>
    <x v="5"/>
    <s v="DE4-N_A"/>
    <x v="26"/>
    <n v="29.6651032387655"/>
    <n v="8.2403064552126306"/>
  </r>
  <r>
    <x v="0"/>
    <x v="4"/>
    <x v="3"/>
    <x v="5"/>
    <s v="DE4-N_A"/>
    <x v="27"/>
    <n v="21.049332228666099"/>
    <n v="5.8470367301850299"/>
  </r>
  <r>
    <x v="0"/>
    <x v="4"/>
    <x v="3"/>
    <x v="5"/>
    <s v="DE4-N_Offshore_A"/>
    <x v="1"/>
    <n v="35.989199999999997"/>
    <n v="9.9969999999999999"/>
  </r>
  <r>
    <x v="0"/>
    <x v="4"/>
    <x v="3"/>
    <x v="5"/>
    <s v="DE4-N_Offshore_A"/>
    <x v="2"/>
    <n v="57.96"/>
    <n v="16.100000000000001"/>
  </r>
  <r>
    <x v="0"/>
    <x v="4"/>
    <x v="3"/>
    <x v="5"/>
    <s v="DE4-N_Offshore_A"/>
    <x v="0"/>
    <n v="42.692399999999999"/>
    <n v="11.859"/>
  </r>
  <r>
    <x v="0"/>
    <x v="4"/>
    <x v="3"/>
    <x v="5"/>
    <s v="DE4-N_Offshore_A"/>
    <x v="3"/>
    <n v="57.7974681027342"/>
    <n v="16.054852250759499"/>
  </r>
  <r>
    <x v="0"/>
    <x v="4"/>
    <x v="3"/>
    <x v="5"/>
    <s v="DE4-N_Offshore_A"/>
    <x v="4"/>
    <n v="8.1139884009941898"/>
    <n v="2.2538856669428302"/>
  </r>
  <r>
    <x v="0"/>
    <x v="4"/>
    <x v="3"/>
    <x v="5"/>
    <s v="DE4-N_Offshore_A"/>
    <x v="5"/>
    <n v="8.1139884009941898"/>
    <n v="2.2538856669428302"/>
  </r>
  <r>
    <x v="0"/>
    <x v="4"/>
    <x v="3"/>
    <x v="5"/>
    <s v="DE4-N_Offshore_A"/>
    <x v="6"/>
    <n v="30.770439105219602"/>
    <n v="8.5473441958943202"/>
  </r>
  <r>
    <x v="0"/>
    <x v="4"/>
    <x v="3"/>
    <x v="5"/>
    <s v="DE4-N_Offshore_A"/>
    <x v="7"/>
    <n v="71.350180613090302"/>
    <n v="19.819494614747299"/>
  </r>
  <r>
    <x v="0"/>
    <x v="4"/>
    <x v="3"/>
    <x v="5"/>
    <s v="DE4-N_Offshore_A"/>
    <x v="8"/>
    <n v="71.350180613090302"/>
    <n v="19.819494614747299"/>
  </r>
  <r>
    <x v="0"/>
    <x v="4"/>
    <x v="3"/>
    <x v="5"/>
    <s v="DE4-N_Offshore_A"/>
    <x v="9"/>
    <n v="44.803327257663497"/>
    <n v="12.4453686826843"/>
  </r>
  <r>
    <x v="0"/>
    <x v="4"/>
    <x v="3"/>
    <x v="5"/>
    <s v="DE4-N_Offshore_A"/>
    <x v="10"/>
    <n v="54.681226180612903"/>
    <n v="15.1892294946147"/>
  </r>
  <r>
    <x v="0"/>
    <x v="4"/>
    <x v="3"/>
    <x v="5"/>
    <s v="DE4-N_Offshore_A"/>
    <x v="11"/>
    <n v="3.8806031483015802"/>
    <n v="1.07794531897266"/>
  </r>
  <r>
    <x v="0"/>
    <x v="4"/>
    <x v="3"/>
    <x v="5"/>
    <s v="DE4-N_Offshore_A"/>
    <x v="12"/>
    <n v="9.7995028997514597E-2"/>
    <n v="2.72208413881985E-2"/>
  </r>
  <r>
    <x v="0"/>
    <x v="4"/>
    <x v="3"/>
    <x v="5"/>
    <s v="DE4-N_Offshore_A"/>
    <x v="13"/>
    <n v="21.5197083678542"/>
    <n v="5.9776967688483804"/>
  </r>
  <r>
    <x v="0"/>
    <x v="4"/>
    <x v="3"/>
    <x v="5"/>
    <s v="DE4-N_Offshore_A"/>
    <x v="14"/>
    <n v="21.5197083678542"/>
    <n v="5.9776967688483804"/>
  </r>
  <r>
    <x v="0"/>
    <x v="4"/>
    <x v="3"/>
    <x v="5"/>
    <s v="DE4-N_Offshore_A"/>
    <x v="15"/>
    <n v="1.65807589063794"/>
    <n v="0.46057663628831802"/>
  </r>
  <r>
    <x v="0"/>
    <x v="4"/>
    <x v="3"/>
    <x v="5"/>
    <s v="DE4-N_Offshore_A"/>
    <x v="16"/>
    <n v="8.3492014028755008"/>
    <n v="2.31922261190986"/>
  </r>
  <r>
    <x v="0"/>
    <x v="4"/>
    <x v="3"/>
    <x v="5"/>
    <s v="DE4-N_Offshore_A"/>
    <x v="17"/>
    <n v="9.5251168185584092"/>
    <n v="2.6458657829328902"/>
  </r>
  <r>
    <x v="0"/>
    <x v="4"/>
    <x v="3"/>
    <x v="5"/>
    <s v="DE4-N_Offshore_A"/>
    <x v="18"/>
    <n v="21.5197083678542"/>
    <n v="5.9776967688483804"/>
  </r>
  <r>
    <x v="0"/>
    <x v="4"/>
    <x v="3"/>
    <x v="5"/>
    <s v="DE4-N_Offshore_A"/>
    <x v="19"/>
    <n v="8.1139884009941898"/>
    <n v="2.2538856669428302"/>
  </r>
  <r>
    <x v="0"/>
    <x v="4"/>
    <x v="3"/>
    <x v="5"/>
    <s v="DE4-N_Offshore_A"/>
    <x v="20"/>
    <n v="19.336735244541"/>
    <n v="5.37131534570584"/>
  </r>
  <r>
    <x v="0"/>
    <x v="4"/>
    <x v="3"/>
    <x v="5"/>
    <s v="DE4-N_Offshore_A"/>
    <x v="21"/>
    <n v="53.225806451612797"/>
    <n v="14.784946236559099"/>
  </r>
  <r>
    <x v="0"/>
    <x v="4"/>
    <x v="3"/>
    <x v="5"/>
    <s v="DE4-N_Offshore_A"/>
    <x v="22"/>
    <n v="130.68"/>
    <n v="36.299999999999997"/>
  </r>
  <r>
    <x v="0"/>
    <x v="4"/>
    <x v="3"/>
    <x v="5"/>
    <s v="DE4-N_Offshore_A"/>
    <x v="23"/>
    <n v="0.35278210439105201"/>
    <n v="9.7995028997514499E-2"/>
  </r>
  <r>
    <x v="0"/>
    <x v="4"/>
    <x v="3"/>
    <x v="5"/>
    <s v="DE4-N_Offshore_A"/>
    <x v="24"/>
    <n v="20.0161025734538"/>
    <n v="5.5600284926260501"/>
  </r>
  <r>
    <x v="0"/>
    <x v="4"/>
    <x v="3"/>
    <x v="5"/>
    <s v="DE4-N_Offshore_A"/>
    <x v="25"/>
    <n v="22.356874337357301"/>
    <n v="6.2102428714881297"/>
  </r>
  <r>
    <x v="0"/>
    <x v="4"/>
    <x v="3"/>
    <x v="5"/>
    <s v="DE4-N_Offshore_A"/>
    <x v="26"/>
    <n v="29.6651032387655"/>
    <n v="8.2403064552126306"/>
  </r>
  <r>
    <x v="0"/>
    <x v="4"/>
    <x v="3"/>
    <x v="5"/>
    <s v="DE4-N_Offshore_A"/>
    <x v="27"/>
    <n v="21.049332228666099"/>
    <n v="5.8470367301850299"/>
  </r>
  <r>
    <x v="0"/>
    <x v="4"/>
    <x v="3"/>
    <x v="6"/>
    <s v="DE4-S_A"/>
    <x v="1"/>
    <n v="35.989199999999997"/>
    <n v="9.9969999999999999"/>
  </r>
  <r>
    <x v="0"/>
    <x v="4"/>
    <x v="3"/>
    <x v="6"/>
    <s v="DE4-S_A"/>
    <x v="2"/>
    <n v="57.96"/>
    <n v="16.100000000000001"/>
  </r>
  <r>
    <x v="0"/>
    <x v="4"/>
    <x v="3"/>
    <x v="6"/>
    <s v="DE4-S_A"/>
    <x v="0"/>
    <n v="42.692399999999999"/>
    <n v="11.859"/>
  </r>
  <r>
    <x v="0"/>
    <x v="4"/>
    <x v="3"/>
    <x v="6"/>
    <s v="DE4-S_A"/>
    <x v="3"/>
    <n v="57.7974681027342"/>
    <n v="16.054852250759499"/>
  </r>
  <r>
    <x v="0"/>
    <x v="4"/>
    <x v="3"/>
    <x v="6"/>
    <s v="DE4-S_A"/>
    <x v="4"/>
    <n v="8.1139884009941898"/>
    <n v="2.2538856669428302"/>
  </r>
  <r>
    <x v="0"/>
    <x v="4"/>
    <x v="3"/>
    <x v="6"/>
    <s v="DE4-S_A"/>
    <x v="5"/>
    <n v="8.1139884009941898"/>
    <n v="2.2538856669428302"/>
  </r>
  <r>
    <x v="0"/>
    <x v="4"/>
    <x v="3"/>
    <x v="6"/>
    <s v="DE4-S_A"/>
    <x v="6"/>
    <n v="30.770439105219602"/>
    <n v="8.5473441958943202"/>
  </r>
  <r>
    <x v="0"/>
    <x v="4"/>
    <x v="3"/>
    <x v="6"/>
    <s v="DE4-S_A"/>
    <x v="7"/>
    <n v="71.350180613090302"/>
    <n v="19.819494614747299"/>
  </r>
  <r>
    <x v="0"/>
    <x v="4"/>
    <x v="3"/>
    <x v="6"/>
    <s v="DE4-S_A"/>
    <x v="8"/>
    <n v="71.350180613090302"/>
    <n v="19.819494614747299"/>
  </r>
  <r>
    <x v="0"/>
    <x v="4"/>
    <x v="3"/>
    <x v="6"/>
    <s v="DE4-S_A"/>
    <x v="9"/>
    <n v="44.803327257663497"/>
    <n v="12.4453686826843"/>
  </r>
  <r>
    <x v="0"/>
    <x v="4"/>
    <x v="3"/>
    <x v="6"/>
    <s v="DE4-S_A"/>
    <x v="10"/>
    <n v="54.681226180612903"/>
    <n v="15.1892294946147"/>
  </r>
  <r>
    <x v="0"/>
    <x v="4"/>
    <x v="3"/>
    <x v="6"/>
    <s v="DE4-S_A"/>
    <x v="11"/>
    <n v="3.8806031483015802"/>
    <n v="1.07794531897266"/>
  </r>
  <r>
    <x v="0"/>
    <x v="4"/>
    <x v="3"/>
    <x v="6"/>
    <s v="DE4-S_A"/>
    <x v="12"/>
    <n v="9.7995028997514597E-2"/>
    <n v="2.72208413881985E-2"/>
  </r>
  <r>
    <x v="0"/>
    <x v="4"/>
    <x v="3"/>
    <x v="6"/>
    <s v="DE4-S_A"/>
    <x v="13"/>
    <n v="21.5197083678542"/>
    <n v="5.9776967688483804"/>
  </r>
  <r>
    <x v="0"/>
    <x v="4"/>
    <x v="3"/>
    <x v="6"/>
    <s v="DE4-S_A"/>
    <x v="14"/>
    <n v="21.5197083678542"/>
    <n v="5.9776967688483804"/>
  </r>
  <r>
    <x v="0"/>
    <x v="4"/>
    <x v="3"/>
    <x v="6"/>
    <s v="DE4-S_A"/>
    <x v="15"/>
    <n v="1.65807589063794"/>
    <n v="0.46057663628831802"/>
  </r>
  <r>
    <x v="0"/>
    <x v="4"/>
    <x v="3"/>
    <x v="6"/>
    <s v="DE4-S_A"/>
    <x v="16"/>
    <n v="8.3492014028755008"/>
    <n v="2.31922261190986"/>
  </r>
  <r>
    <x v="0"/>
    <x v="4"/>
    <x v="3"/>
    <x v="6"/>
    <s v="DE4-S_A"/>
    <x v="17"/>
    <n v="9.5251168185584092"/>
    <n v="2.6458657829328902"/>
  </r>
  <r>
    <x v="0"/>
    <x v="4"/>
    <x v="3"/>
    <x v="6"/>
    <s v="DE4-S_A"/>
    <x v="18"/>
    <n v="21.5197083678542"/>
    <n v="5.9776967688483804"/>
  </r>
  <r>
    <x v="0"/>
    <x v="4"/>
    <x v="3"/>
    <x v="6"/>
    <s v="DE4-S_A"/>
    <x v="19"/>
    <n v="8.1139884009941898"/>
    <n v="2.2538856669428302"/>
  </r>
  <r>
    <x v="0"/>
    <x v="4"/>
    <x v="3"/>
    <x v="6"/>
    <s v="DE4-S_A"/>
    <x v="20"/>
    <n v="19.336735244541"/>
    <n v="5.37131534570584"/>
  </r>
  <r>
    <x v="0"/>
    <x v="4"/>
    <x v="3"/>
    <x v="6"/>
    <s v="DE4-S_A"/>
    <x v="21"/>
    <n v="53.225806451612797"/>
    <n v="14.784946236559099"/>
  </r>
  <r>
    <x v="0"/>
    <x v="4"/>
    <x v="3"/>
    <x v="6"/>
    <s v="DE4-S_A"/>
    <x v="22"/>
    <n v="130.68"/>
    <n v="36.299999999999997"/>
  </r>
  <r>
    <x v="0"/>
    <x v="4"/>
    <x v="3"/>
    <x v="6"/>
    <s v="DE4-S_A"/>
    <x v="23"/>
    <n v="0.35278210439105201"/>
    <n v="9.7995028997514499E-2"/>
  </r>
  <r>
    <x v="0"/>
    <x v="4"/>
    <x v="3"/>
    <x v="6"/>
    <s v="DE4-S_A"/>
    <x v="24"/>
    <n v="20.0161025734538"/>
    <n v="5.5600284926260501"/>
  </r>
  <r>
    <x v="0"/>
    <x v="4"/>
    <x v="3"/>
    <x v="6"/>
    <s v="DE4-S_A"/>
    <x v="25"/>
    <n v="22.356874337357301"/>
    <n v="6.2102428714881297"/>
  </r>
  <r>
    <x v="0"/>
    <x v="4"/>
    <x v="3"/>
    <x v="6"/>
    <s v="DE4-S_A"/>
    <x v="26"/>
    <n v="29.6651032387655"/>
    <n v="8.2403064552126306"/>
  </r>
  <r>
    <x v="0"/>
    <x v="4"/>
    <x v="3"/>
    <x v="6"/>
    <s v="DE4-S_A"/>
    <x v="27"/>
    <n v="21.049332228666099"/>
    <n v="5.8470367301850299"/>
  </r>
  <r>
    <x v="0"/>
    <x v="4"/>
    <x v="3"/>
    <x v="7"/>
    <s v="DE4-W_A"/>
    <x v="1"/>
    <n v="35.989199999999997"/>
    <n v="9.9969999999999999"/>
  </r>
  <r>
    <x v="0"/>
    <x v="4"/>
    <x v="3"/>
    <x v="7"/>
    <s v="DE4-W_A"/>
    <x v="2"/>
    <n v="57.96"/>
    <n v="16.100000000000001"/>
  </r>
  <r>
    <x v="0"/>
    <x v="4"/>
    <x v="3"/>
    <x v="7"/>
    <s v="DE4-W_A"/>
    <x v="0"/>
    <n v="42.692399999999999"/>
    <n v="11.859"/>
  </r>
  <r>
    <x v="0"/>
    <x v="4"/>
    <x v="3"/>
    <x v="7"/>
    <s v="DE4-W_A"/>
    <x v="3"/>
    <n v="57.7974681027342"/>
    <n v="16.054852250759499"/>
  </r>
  <r>
    <x v="0"/>
    <x v="4"/>
    <x v="3"/>
    <x v="7"/>
    <s v="DE4-W_A"/>
    <x v="4"/>
    <n v="8.1139884009941898"/>
    <n v="2.2538856669428302"/>
  </r>
  <r>
    <x v="0"/>
    <x v="4"/>
    <x v="3"/>
    <x v="7"/>
    <s v="DE4-W_A"/>
    <x v="5"/>
    <n v="8.1139884009941898"/>
    <n v="2.2538856669428302"/>
  </r>
  <r>
    <x v="0"/>
    <x v="4"/>
    <x v="3"/>
    <x v="7"/>
    <s v="DE4-W_A"/>
    <x v="6"/>
    <n v="30.770439105219602"/>
    <n v="8.5473441958943202"/>
  </r>
  <r>
    <x v="0"/>
    <x v="4"/>
    <x v="3"/>
    <x v="7"/>
    <s v="DE4-W_A"/>
    <x v="7"/>
    <n v="71.350180613090302"/>
    <n v="19.819494614747299"/>
  </r>
  <r>
    <x v="0"/>
    <x v="4"/>
    <x v="3"/>
    <x v="7"/>
    <s v="DE4-W_A"/>
    <x v="8"/>
    <n v="71.350180613090302"/>
    <n v="19.819494614747299"/>
  </r>
  <r>
    <x v="0"/>
    <x v="4"/>
    <x v="3"/>
    <x v="7"/>
    <s v="DE4-W_A"/>
    <x v="9"/>
    <n v="44.803327257663497"/>
    <n v="12.4453686826843"/>
  </r>
  <r>
    <x v="0"/>
    <x v="4"/>
    <x v="3"/>
    <x v="7"/>
    <s v="DE4-W_A"/>
    <x v="10"/>
    <n v="54.681226180612903"/>
    <n v="15.1892294946147"/>
  </r>
  <r>
    <x v="0"/>
    <x v="4"/>
    <x v="3"/>
    <x v="7"/>
    <s v="DE4-W_A"/>
    <x v="11"/>
    <n v="3.8806031483015802"/>
    <n v="1.07794531897266"/>
  </r>
  <r>
    <x v="0"/>
    <x v="4"/>
    <x v="3"/>
    <x v="7"/>
    <s v="DE4-W_A"/>
    <x v="12"/>
    <n v="9.7995028997514597E-2"/>
    <n v="2.72208413881985E-2"/>
  </r>
  <r>
    <x v="0"/>
    <x v="4"/>
    <x v="3"/>
    <x v="7"/>
    <s v="DE4-W_A"/>
    <x v="13"/>
    <n v="21.5197083678542"/>
    <n v="5.9776967688483804"/>
  </r>
  <r>
    <x v="0"/>
    <x v="4"/>
    <x v="3"/>
    <x v="7"/>
    <s v="DE4-W_A"/>
    <x v="14"/>
    <n v="21.5197083678542"/>
    <n v="5.9776967688483804"/>
  </r>
  <r>
    <x v="0"/>
    <x v="4"/>
    <x v="3"/>
    <x v="7"/>
    <s v="DE4-W_A"/>
    <x v="15"/>
    <n v="1.65807589063794"/>
    <n v="0.46057663628831802"/>
  </r>
  <r>
    <x v="0"/>
    <x v="4"/>
    <x v="3"/>
    <x v="7"/>
    <s v="DE4-W_A"/>
    <x v="16"/>
    <n v="8.3492014028755008"/>
    <n v="2.31922261190986"/>
  </r>
  <r>
    <x v="0"/>
    <x v="4"/>
    <x v="3"/>
    <x v="7"/>
    <s v="DE4-W_A"/>
    <x v="17"/>
    <n v="9.5251168185584092"/>
    <n v="2.6458657829328902"/>
  </r>
  <r>
    <x v="0"/>
    <x v="4"/>
    <x v="3"/>
    <x v="7"/>
    <s v="DE4-W_A"/>
    <x v="18"/>
    <n v="21.5197083678542"/>
    <n v="5.9776967688483804"/>
  </r>
  <r>
    <x v="0"/>
    <x v="4"/>
    <x v="3"/>
    <x v="7"/>
    <s v="DE4-W_A"/>
    <x v="19"/>
    <n v="8.1139884009941898"/>
    <n v="2.2538856669428302"/>
  </r>
  <r>
    <x v="0"/>
    <x v="4"/>
    <x v="3"/>
    <x v="7"/>
    <s v="DE4-W_A"/>
    <x v="20"/>
    <n v="19.336735244541"/>
    <n v="5.37131534570584"/>
  </r>
  <r>
    <x v="0"/>
    <x v="4"/>
    <x v="3"/>
    <x v="7"/>
    <s v="DE4-W_A"/>
    <x v="21"/>
    <n v="53.225806451612797"/>
    <n v="14.784946236559099"/>
  </r>
  <r>
    <x v="0"/>
    <x v="4"/>
    <x v="3"/>
    <x v="7"/>
    <s v="DE4-W_A"/>
    <x v="22"/>
    <n v="130.68"/>
    <n v="36.299999999999997"/>
  </r>
  <r>
    <x v="0"/>
    <x v="4"/>
    <x v="3"/>
    <x v="7"/>
    <s v="DE4-W_A"/>
    <x v="23"/>
    <n v="0.35278210439105201"/>
    <n v="9.7995028997514499E-2"/>
  </r>
  <r>
    <x v="0"/>
    <x v="4"/>
    <x v="3"/>
    <x v="7"/>
    <s v="DE4-W_A"/>
    <x v="24"/>
    <n v="20.0161025734538"/>
    <n v="5.5600284926260501"/>
  </r>
  <r>
    <x v="0"/>
    <x v="4"/>
    <x v="3"/>
    <x v="7"/>
    <s v="DE4-W_A"/>
    <x v="25"/>
    <n v="22.356874337357301"/>
    <n v="6.2102428714881297"/>
  </r>
  <r>
    <x v="0"/>
    <x v="4"/>
    <x v="3"/>
    <x v="7"/>
    <s v="DE4-W_A"/>
    <x v="26"/>
    <n v="29.6651032387655"/>
    <n v="8.2403064552126306"/>
  </r>
  <r>
    <x v="0"/>
    <x v="4"/>
    <x v="3"/>
    <x v="7"/>
    <s v="DE4-W_A"/>
    <x v="27"/>
    <n v="21.049332228666099"/>
    <n v="5.8470367301850299"/>
  </r>
  <r>
    <x v="0"/>
    <x v="4"/>
    <x v="3"/>
    <x v="7"/>
    <s v="DE4-W_Offshore_A"/>
    <x v="1"/>
    <n v="35.989199999999997"/>
    <n v="9.9969999999999999"/>
  </r>
  <r>
    <x v="0"/>
    <x v="4"/>
    <x v="3"/>
    <x v="7"/>
    <s v="DE4-W_Offshore_A"/>
    <x v="2"/>
    <n v="57.96"/>
    <n v="16.100000000000001"/>
  </r>
  <r>
    <x v="0"/>
    <x v="4"/>
    <x v="3"/>
    <x v="7"/>
    <s v="DE4-W_Offshore_A"/>
    <x v="0"/>
    <n v="42.692399999999999"/>
    <n v="11.859"/>
  </r>
  <r>
    <x v="0"/>
    <x v="4"/>
    <x v="3"/>
    <x v="7"/>
    <s v="DE4-W_Offshore_A"/>
    <x v="3"/>
    <n v="57.7974681027342"/>
    <n v="16.054852250759499"/>
  </r>
  <r>
    <x v="0"/>
    <x v="4"/>
    <x v="3"/>
    <x v="7"/>
    <s v="DE4-W_Offshore_A"/>
    <x v="4"/>
    <n v="8.1139884009941898"/>
    <n v="2.2538856669428302"/>
  </r>
  <r>
    <x v="0"/>
    <x v="4"/>
    <x v="3"/>
    <x v="7"/>
    <s v="DE4-W_Offshore_A"/>
    <x v="5"/>
    <n v="8.1139884009941898"/>
    <n v="2.2538856669428302"/>
  </r>
  <r>
    <x v="0"/>
    <x v="4"/>
    <x v="3"/>
    <x v="7"/>
    <s v="DE4-W_Offshore_A"/>
    <x v="6"/>
    <n v="30.770439105219602"/>
    <n v="8.5473441958943202"/>
  </r>
  <r>
    <x v="0"/>
    <x v="4"/>
    <x v="3"/>
    <x v="7"/>
    <s v="DE4-W_Offshore_A"/>
    <x v="7"/>
    <n v="71.350180613090302"/>
    <n v="19.819494614747299"/>
  </r>
  <r>
    <x v="0"/>
    <x v="4"/>
    <x v="3"/>
    <x v="7"/>
    <s v="DE4-W_Offshore_A"/>
    <x v="8"/>
    <n v="71.350180613090302"/>
    <n v="19.819494614747299"/>
  </r>
  <r>
    <x v="0"/>
    <x v="4"/>
    <x v="3"/>
    <x v="7"/>
    <s v="DE4-W_Offshore_A"/>
    <x v="9"/>
    <n v="44.803327257663497"/>
    <n v="12.4453686826843"/>
  </r>
  <r>
    <x v="0"/>
    <x v="4"/>
    <x v="3"/>
    <x v="7"/>
    <s v="DE4-W_Offshore_A"/>
    <x v="10"/>
    <n v="54.681226180612903"/>
    <n v="15.1892294946147"/>
  </r>
  <r>
    <x v="0"/>
    <x v="4"/>
    <x v="3"/>
    <x v="7"/>
    <s v="DE4-W_Offshore_A"/>
    <x v="11"/>
    <n v="3.8806031483015802"/>
    <n v="1.07794531897266"/>
  </r>
  <r>
    <x v="0"/>
    <x v="4"/>
    <x v="3"/>
    <x v="7"/>
    <s v="DE4-W_Offshore_A"/>
    <x v="12"/>
    <n v="9.7995028997514597E-2"/>
    <n v="2.72208413881985E-2"/>
  </r>
  <r>
    <x v="0"/>
    <x v="4"/>
    <x v="3"/>
    <x v="7"/>
    <s v="DE4-W_Offshore_A"/>
    <x v="13"/>
    <n v="21.5197083678542"/>
    <n v="5.9776967688483804"/>
  </r>
  <r>
    <x v="0"/>
    <x v="4"/>
    <x v="3"/>
    <x v="7"/>
    <s v="DE4-W_Offshore_A"/>
    <x v="14"/>
    <n v="21.5197083678542"/>
    <n v="5.9776967688483804"/>
  </r>
  <r>
    <x v="0"/>
    <x v="4"/>
    <x v="3"/>
    <x v="7"/>
    <s v="DE4-W_Offshore_A"/>
    <x v="15"/>
    <n v="1.65807589063794"/>
    <n v="0.46057663628831802"/>
  </r>
  <r>
    <x v="0"/>
    <x v="4"/>
    <x v="3"/>
    <x v="7"/>
    <s v="DE4-W_Offshore_A"/>
    <x v="16"/>
    <n v="8.3492014028755008"/>
    <n v="2.31922261190986"/>
  </r>
  <r>
    <x v="0"/>
    <x v="4"/>
    <x v="3"/>
    <x v="7"/>
    <s v="DE4-W_Offshore_A"/>
    <x v="17"/>
    <n v="9.5251168185584092"/>
    <n v="2.6458657829328902"/>
  </r>
  <r>
    <x v="0"/>
    <x v="4"/>
    <x v="3"/>
    <x v="7"/>
    <s v="DE4-W_Offshore_A"/>
    <x v="18"/>
    <n v="21.5197083678542"/>
    <n v="5.9776967688483804"/>
  </r>
  <r>
    <x v="0"/>
    <x v="4"/>
    <x v="3"/>
    <x v="7"/>
    <s v="DE4-W_Offshore_A"/>
    <x v="19"/>
    <n v="8.1139884009941898"/>
    <n v="2.2538856669428302"/>
  </r>
  <r>
    <x v="0"/>
    <x v="4"/>
    <x v="3"/>
    <x v="7"/>
    <s v="DE4-W_Offshore_A"/>
    <x v="20"/>
    <n v="19.336735244541"/>
    <n v="5.37131534570584"/>
  </r>
  <r>
    <x v="0"/>
    <x v="4"/>
    <x v="3"/>
    <x v="7"/>
    <s v="DE4-W_Offshore_A"/>
    <x v="21"/>
    <n v="53.225806451612797"/>
    <n v="14.784946236559099"/>
  </r>
  <r>
    <x v="0"/>
    <x v="4"/>
    <x v="3"/>
    <x v="7"/>
    <s v="DE4-W_Offshore_A"/>
    <x v="22"/>
    <n v="130.68"/>
    <n v="36.299999999999997"/>
  </r>
  <r>
    <x v="0"/>
    <x v="4"/>
    <x v="3"/>
    <x v="7"/>
    <s v="DE4-W_Offshore_A"/>
    <x v="23"/>
    <n v="0.35278210439105201"/>
    <n v="9.7995028997514499E-2"/>
  </r>
  <r>
    <x v="0"/>
    <x v="4"/>
    <x v="3"/>
    <x v="7"/>
    <s v="DE4-W_Offshore_A"/>
    <x v="24"/>
    <n v="20.0161025734538"/>
    <n v="5.5600284926260501"/>
  </r>
  <r>
    <x v="0"/>
    <x v="4"/>
    <x v="3"/>
    <x v="7"/>
    <s v="DE4-W_Offshore_A"/>
    <x v="25"/>
    <n v="22.356874337357301"/>
    <n v="6.2102428714881297"/>
  </r>
  <r>
    <x v="0"/>
    <x v="4"/>
    <x v="3"/>
    <x v="7"/>
    <s v="DE4-W_Offshore_A"/>
    <x v="26"/>
    <n v="29.6651032387655"/>
    <n v="8.2403064552126306"/>
  </r>
  <r>
    <x v="0"/>
    <x v="4"/>
    <x v="3"/>
    <x v="7"/>
    <s v="DE4-W_Offshore_A"/>
    <x v="27"/>
    <n v="21.049332228666099"/>
    <n v="5.8470367301850299"/>
  </r>
  <r>
    <x v="0"/>
    <x v="4"/>
    <x v="4"/>
    <x v="8"/>
    <s v="LV_A"/>
    <x v="1"/>
    <n v="35.989199999999997"/>
    <n v="9.9969999999999999"/>
  </r>
  <r>
    <x v="0"/>
    <x v="4"/>
    <x v="4"/>
    <x v="8"/>
    <s v="LV_A"/>
    <x v="2"/>
    <n v="57.96"/>
    <n v="16.100000000000001"/>
  </r>
  <r>
    <x v="0"/>
    <x v="4"/>
    <x v="4"/>
    <x v="8"/>
    <s v="LV_A"/>
    <x v="0"/>
    <n v="42.692399999999999"/>
    <n v="11.859"/>
  </r>
  <r>
    <x v="0"/>
    <x v="4"/>
    <x v="4"/>
    <x v="8"/>
    <s v="LV_A"/>
    <x v="3"/>
    <n v="57.7974681027342"/>
    <n v="16.054852250759499"/>
  </r>
  <r>
    <x v="0"/>
    <x v="4"/>
    <x v="4"/>
    <x v="8"/>
    <s v="LV_A"/>
    <x v="4"/>
    <n v="8.1139884009941898"/>
    <n v="2.2538856669428302"/>
  </r>
  <r>
    <x v="0"/>
    <x v="4"/>
    <x v="4"/>
    <x v="8"/>
    <s v="LV_A"/>
    <x v="5"/>
    <n v="8.1139884009941898"/>
    <n v="2.2538856669428302"/>
  </r>
  <r>
    <x v="0"/>
    <x v="4"/>
    <x v="4"/>
    <x v="8"/>
    <s v="LV_A"/>
    <x v="6"/>
    <n v="30.770439105219602"/>
    <n v="8.5473441958943202"/>
  </r>
  <r>
    <x v="0"/>
    <x v="4"/>
    <x v="4"/>
    <x v="8"/>
    <s v="LV_A"/>
    <x v="7"/>
    <n v="71.350180613090302"/>
    <n v="19.819494614747299"/>
  </r>
  <r>
    <x v="0"/>
    <x v="4"/>
    <x v="4"/>
    <x v="8"/>
    <s v="LV_A"/>
    <x v="8"/>
    <n v="71.350180613090302"/>
    <n v="19.819494614747299"/>
  </r>
  <r>
    <x v="0"/>
    <x v="4"/>
    <x v="4"/>
    <x v="8"/>
    <s v="LV_A"/>
    <x v="9"/>
    <n v="44.803327257663497"/>
    <n v="12.4453686826843"/>
  </r>
  <r>
    <x v="0"/>
    <x v="4"/>
    <x v="4"/>
    <x v="8"/>
    <s v="LV_A"/>
    <x v="10"/>
    <n v="54.681226180612903"/>
    <n v="15.1892294946147"/>
  </r>
  <r>
    <x v="0"/>
    <x v="4"/>
    <x v="4"/>
    <x v="8"/>
    <s v="LV_A"/>
    <x v="11"/>
    <n v="3.8806031483015802"/>
    <n v="1.07794531897266"/>
  </r>
  <r>
    <x v="0"/>
    <x v="4"/>
    <x v="4"/>
    <x v="8"/>
    <s v="LV_A"/>
    <x v="12"/>
    <n v="9.7995028997514597E-2"/>
    <n v="2.72208413881985E-2"/>
  </r>
  <r>
    <x v="0"/>
    <x v="4"/>
    <x v="4"/>
    <x v="8"/>
    <s v="LV_A"/>
    <x v="13"/>
    <n v="21.5197083678542"/>
    <n v="5.9776967688483804"/>
  </r>
  <r>
    <x v="0"/>
    <x v="4"/>
    <x v="4"/>
    <x v="8"/>
    <s v="LV_A"/>
    <x v="14"/>
    <n v="21.5197083678542"/>
    <n v="5.9776967688483804"/>
  </r>
  <r>
    <x v="0"/>
    <x v="4"/>
    <x v="4"/>
    <x v="8"/>
    <s v="LV_A"/>
    <x v="15"/>
    <n v="1.65807589063794"/>
    <n v="0.46057663628831802"/>
  </r>
  <r>
    <x v="0"/>
    <x v="4"/>
    <x v="4"/>
    <x v="8"/>
    <s v="LV_A"/>
    <x v="16"/>
    <n v="8.3492014028755008"/>
    <n v="2.31922261190986"/>
  </r>
  <r>
    <x v="0"/>
    <x v="4"/>
    <x v="4"/>
    <x v="8"/>
    <s v="LV_A"/>
    <x v="17"/>
    <n v="9.5251168185584092"/>
    <n v="2.6458657829328902"/>
  </r>
  <r>
    <x v="0"/>
    <x v="4"/>
    <x v="4"/>
    <x v="8"/>
    <s v="LV_A"/>
    <x v="18"/>
    <n v="21.5197083678542"/>
    <n v="5.9776967688483804"/>
  </r>
  <r>
    <x v="0"/>
    <x v="4"/>
    <x v="4"/>
    <x v="8"/>
    <s v="LV_A"/>
    <x v="19"/>
    <n v="8.1139884009941898"/>
    <n v="2.2538856669428302"/>
  </r>
  <r>
    <x v="0"/>
    <x v="4"/>
    <x v="4"/>
    <x v="8"/>
    <s v="LV_A"/>
    <x v="20"/>
    <n v="19.336735244541"/>
    <n v="5.37131534570584"/>
  </r>
  <r>
    <x v="0"/>
    <x v="4"/>
    <x v="4"/>
    <x v="8"/>
    <s v="LV_A"/>
    <x v="21"/>
    <n v="53.225806451612797"/>
    <n v="14.784946236559099"/>
  </r>
  <r>
    <x v="0"/>
    <x v="4"/>
    <x v="4"/>
    <x v="8"/>
    <s v="LV_A"/>
    <x v="22"/>
    <n v="130.68"/>
    <n v="36.299999999999997"/>
  </r>
  <r>
    <x v="0"/>
    <x v="4"/>
    <x v="4"/>
    <x v="8"/>
    <s v="LV_A"/>
    <x v="23"/>
    <n v="0.35278210439105201"/>
    <n v="9.7995028997514499E-2"/>
  </r>
  <r>
    <x v="0"/>
    <x v="4"/>
    <x v="4"/>
    <x v="8"/>
    <s v="LV_A"/>
    <x v="24"/>
    <n v="20.0161025734538"/>
    <n v="5.5600284926260501"/>
  </r>
  <r>
    <x v="0"/>
    <x v="4"/>
    <x v="4"/>
    <x v="8"/>
    <s v="LV_A"/>
    <x v="25"/>
    <n v="22.356874337357301"/>
    <n v="6.2102428714881297"/>
  </r>
  <r>
    <x v="0"/>
    <x v="4"/>
    <x v="4"/>
    <x v="8"/>
    <s v="LV_A"/>
    <x v="26"/>
    <n v="29.6651032387655"/>
    <n v="8.2403064552126306"/>
  </r>
  <r>
    <x v="0"/>
    <x v="4"/>
    <x v="4"/>
    <x v="8"/>
    <s v="LV_A"/>
    <x v="27"/>
    <n v="21.049332228666099"/>
    <n v="5.8470367301850299"/>
  </r>
  <r>
    <x v="0"/>
    <x v="4"/>
    <x v="4"/>
    <x v="8"/>
    <s v="LV_OFFSHORE"/>
    <x v="1"/>
    <n v="35.989199999999997"/>
    <n v="9.9969999999999999"/>
  </r>
  <r>
    <x v="0"/>
    <x v="4"/>
    <x v="4"/>
    <x v="8"/>
    <s v="LV_OFFSHORE"/>
    <x v="2"/>
    <n v="57.96"/>
    <n v="16.100000000000001"/>
  </r>
  <r>
    <x v="0"/>
    <x v="4"/>
    <x v="4"/>
    <x v="8"/>
    <s v="LV_OFFSHORE"/>
    <x v="0"/>
    <n v="42.692399999999999"/>
    <n v="11.859"/>
  </r>
  <r>
    <x v="0"/>
    <x v="4"/>
    <x v="4"/>
    <x v="8"/>
    <s v="LV_OFFSHORE"/>
    <x v="3"/>
    <n v="57.7974681027342"/>
    <n v="16.054852250759499"/>
  </r>
  <r>
    <x v="0"/>
    <x v="4"/>
    <x v="4"/>
    <x v="8"/>
    <s v="LV_OFFSHORE"/>
    <x v="4"/>
    <n v="8.1139884009941898"/>
    <n v="2.2538856669428302"/>
  </r>
  <r>
    <x v="0"/>
    <x v="4"/>
    <x v="4"/>
    <x v="8"/>
    <s v="LV_OFFSHORE"/>
    <x v="5"/>
    <n v="8.1139884009941898"/>
    <n v="2.2538856669428302"/>
  </r>
  <r>
    <x v="0"/>
    <x v="4"/>
    <x v="4"/>
    <x v="8"/>
    <s v="LV_OFFSHORE"/>
    <x v="6"/>
    <n v="30.770439105219602"/>
    <n v="8.5473441958943202"/>
  </r>
  <r>
    <x v="0"/>
    <x v="4"/>
    <x v="4"/>
    <x v="8"/>
    <s v="LV_OFFSHORE"/>
    <x v="7"/>
    <n v="71.350180613090302"/>
    <n v="19.819494614747299"/>
  </r>
  <r>
    <x v="0"/>
    <x v="4"/>
    <x v="4"/>
    <x v="8"/>
    <s v="LV_OFFSHORE"/>
    <x v="8"/>
    <n v="71.350180613090302"/>
    <n v="19.819494614747299"/>
  </r>
  <r>
    <x v="0"/>
    <x v="4"/>
    <x v="4"/>
    <x v="8"/>
    <s v="LV_OFFSHORE"/>
    <x v="9"/>
    <n v="44.803327257663497"/>
    <n v="12.4453686826843"/>
  </r>
  <r>
    <x v="0"/>
    <x v="4"/>
    <x v="4"/>
    <x v="8"/>
    <s v="LV_OFFSHORE"/>
    <x v="10"/>
    <n v="54.681226180612903"/>
    <n v="15.1892294946147"/>
  </r>
  <r>
    <x v="0"/>
    <x v="4"/>
    <x v="4"/>
    <x v="8"/>
    <s v="LV_OFFSHORE"/>
    <x v="11"/>
    <n v="3.8806031483015802"/>
    <n v="1.07794531897266"/>
  </r>
  <r>
    <x v="0"/>
    <x v="4"/>
    <x v="4"/>
    <x v="8"/>
    <s v="LV_OFFSHORE"/>
    <x v="12"/>
    <n v="9.7995028997514597E-2"/>
    <n v="2.72208413881985E-2"/>
  </r>
  <r>
    <x v="0"/>
    <x v="4"/>
    <x v="4"/>
    <x v="8"/>
    <s v="LV_OFFSHORE"/>
    <x v="13"/>
    <n v="21.5197083678542"/>
    <n v="5.9776967688483804"/>
  </r>
  <r>
    <x v="0"/>
    <x v="4"/>
    <x v="4"/>
    <x v="8"/>
    <s v="LV_OFFSHORE"/>
    <x v="14"/>
    <n v="21.5197083678542"/>
    <n v="5.9776967688483804"/>
  </r>
  <r>
    <x v="0"/>
    <x v="4"/>
    <x v="4"/>
    <x v="8"/>
    <s v="LV_OFFSHORE"/>
    <x v="15"/>
    <n v="1.65807589063794"/>
    <n v="0.46057663628831802"/>
  </r>
  <r>
    <x v="0"/>
    <x v="4"/>
    <x v="4"/>
    <x v="8"/>
    <s v="LV_OFFSHORE"/>
    <x v="16"/>
    <n v="8.3492014028755008"/>
    <n v="2.31922261190986"/>
  </r>
  <r>
    <x v="0"/>
    <x v="4"/>
    <x v="4"/>
    <x v="8"/>
    <s v="LV_OFFSHORE"/>
    <x v="17"/>
    <n v="9.5251168185584092"/>
    <n v="2.6458657829328902"/>
  </r>
  <r>
    <x v="0"/>
    <x v="4"/>
    <x v="4"/>
    <x v="8"/>
    <s v="LV_OFFSHORE"/>
    <x v="18"/>
    <n v="21.5197083678542"/>
    <n v="5.9776967688483804"/>
  </r>
  <r>
    <x v="0"/>
    <x v="4"/>
    <x v="4"/>
    <x v="8"/>
    <s v="LV_OFFSHORE"/>
    <x v="19"/>
    <n v="8.1139884009941898"/>
    <n v="2.2538856669428302"/>
  </r>
  <r>
    <x v="0"/>
    <x v="4"/>
    <x v="4"/>
    <x v="8"/>
    <s v="LV_OFFSHORE"/>
    <x v="20"/>
    <n v="19.336735244541"/>
    <n v="5.37131534570584"/>
  </r>
  <r>
    <x v="0"/>
    <x v="4"/>
    <x v="4"/>
    <x v="8"/>
    <s v="LV_OFFSHORE"/>
    <x v="21"/>
    <n v="53.225806451612797"/>
    <n v="14.784946236559099"/>
  </r>
  <r>
    <x v="0"/>
    <x v="4"/>
    <x v="4"/>
    <x v="8"/>
    <s v="LV_OFFSHORE"/>
    <x v="22"/>
    <n v="130.68"/>
    <n v="36.299999999999997"/>
  </r>
  <r>
    <x v="0"/>
    <x v="4"/>
    <x v="4"/>
    <x v="8"/>
    <s v="LV_OFFSHORE"/>
    <x v="23"/>
    <n v="0.35278210439105201"/>
    <n v="9.7995028997514499E-2"/>
  </r>
  <r>
    <x v="0"/>
    <x v="4"/>
    <x v="4"/>
    <x v="8"/>
    <s v="LV_OFFSHORE"/>
    <x v="24"/>
    <n v="20.0161025734538"/>
    <n v="5.5600284926260501"/>
  </r>
  <r>
    <x v="0"/>
    <x v="4"/>
    <x v="4"/>
    <x v="8"/>
    <s v="LV_OFFSHORE"/>
    <x v="25"/>
    <n v="22.356874337357301"/>
    <n v="6.2102428714881297"/>
  </r>
  <r>
    <x v="0"/>
    <x v="4"/>
    <x v="4"/>
    <x v="8"/>
    <s v="LV_OFFSHORE"/>
    <x v="26"/>
    <n v="29.6651032387655"/>
    <n v="8.2403064552126306"/>
  </r>
  <r>
    <x v="0"/>
    <x v="4"/>
    <x v="4"/>
    <x v="8"/>
    <s v="LV_OFFSHORE"/>
    <x v="27"/>
    <n v="21.049332228666099"/>
    <n v="5.8470367301850299"/>
  </r>
  <r>
    <x v="0"/>
    <x v="4"/>
    <x v="4"/>
    <x v="8"/>
    <s v="LV_Other_DH"/>
    <x v="1"/>
    <n v="35.989199999999997"/>
    <n v="9.9969999999999999"/>
  </r>
  <r>
    <x v="0"/>
    <x v="4"/>
    <x v="4"/>
    <x v="8"/>
    <s v="LV_Other_DH"/>
    <x v="2"/>
    <n v="57.96"/>
    <n v="16.100000000000001"/>
  </r>
  <r>
    <x v="0"/>
    <x v="4"/>
    <x v="4"/>
    <x v="8"/>
    <s v="LV_Other_DH"/>
    <x v="0"/>
    <n v="42.692399999999999"/>
    <n v="11.859"/>
  </r>
  <r>
    <x v="0"/>
    <x v="4"/>
    <x v="4"/>
    <x v="8"/>
    <s v="LV_Other_DH"/>
    <x v="3"/>
    <n v="57.7974681027342"/>
    <n v="16.054852250759499"/>
  </r>
  <r>
    <x v="0"/>
    <x v="4"/>
    <x v="4"/>
    <x v="8"/>
    <s v="LV_Other_DH"/>
    <x v="4"/>
    <n v="8.1139884009941898"/>
    <n v="2.2538856669428302"/>
  </r>
  <r>
    <x v="0"/>
    <x v="4"/>
    <x v="4"/>
    <x v="8"/>
    <s v="LV_Other_DH"/>
    <x v="5"/>
    <n v="8.1139884009941898"/>
    <n v="2.2538856669428302"/>
  </r>
  <r>
    <x v="0"/>
    <x v="4"/>
    <x v="4"/>
    <x v="8"/>
    <s v="LV_Other_DH"/>
    <x v="6"/>
    <n v="30.770439105219602"/>
    <n v="8.5473441958943202"/>
  </r>
  <r>
    <x v="0"/>
    <x v="4"/>
    <x v="4"/>
    <x v="8"/>
    <s v="LV_Other_DH"/>
    <x v="7"/>
    <n v="71.350180613090302"/>
    <n v="19.819494614747299"/>
  </r>
  <r>
    <x v="0"/>
    <x v="4"/>
    <x v="4"/>
    <x v="8"/>
    <s v="LV_Other_DH"/>
    <x v="8"/>
    <n v="71.350180613090302"/>
    <n v="19.819494614747299"/>
  </r>
  <r>
    <x v="0"/>
    <x v="4"/>
    <x v="4"/>
    <x v="8"/>
    <s v="LV_Other_DH"/>
    <x v="9"/>
    <n v="44.803327257663497"/>
    <n v="12.4453686826843"/>
  </r>
  <r>
    <x v="0"/>
    <x v="4"/>
    <x v="4"/>
    <x v="8"/>
    <s v="LV_Other_DH"/>
    <x v="10"/>
    <n v="54.681226180612903"/>
    <n v="15.1892294946147"/>
  </r>
  <r>
    <x v="0"/>
    <x v="4"/>
    <x v="4"/>
    <x v="8"/>
    <s v="LV_Other_DH"/>
    <x v="11"/>
    <n v="3.8806031483015802"/>
    <n v="1.07794531897266"/>
  </r>
  <r>
    <x v="0"/>
    <x v="4"/>
    <x v="4"/>
    <x v="8"/>
    <s v="LV_Other_DH"/>
    <x v="12"/>
    <n v="9.7995028997514597E-2"/>
    <n v="2.72208413881985E-2"/>
  </r>
  <r>
    <x v="0"/>
    <x v="4"/>
    <x v="4"/>
    <x v="8"/>
    <s v="LV_Other_DH"/>
    <x v="13"/>
    <n v="21.5197083678542"/>
    <n v="5.9776967688483804"/>
  </r>
  <r>
    <x v="0"/>
    <x v="4"/>
    <x v="4"/>
    <x v="8"/>
    <s v="LV_Other_DH"/>
    <x v="14"/>
    <n v="21.5197083678542"/>
    <n v="5.9776967688483804"/>
  </r>
  <r>
    <x v="0"/>
    <x v="4"/>
    <x v="4"/>
    <x v="8"/>
    <s v="LV_Other_DH"/>
    <x v="15"/>
    <n v="1.65807589063794"/>
    <n v="0.46057663628831802"/>
  </r>
  <r>
    <x v="0"/>
    <x v="4"/>
    <x v="4"/>
    <x v="8"/>
    <s v="LV_Other_DH"/>
    <x v="16"/>
    <n v="8.3492014028755008"/>
    <n v="2.31922261190986"/>
  </r>
  <r>
    <x v="0"/>
    <x v="4"/>
    <x v="4"/>
    <x v="8"/>
    <s v="LV_Other_DH"/>
    <x v="17"/>
    <n v="9.5251168185584092"/>
    <n v="2.6458657829328902"/>
  </r>
  <r>
    <x v="0"/>
    <x v="4"/>
    <x v="4"/>
    <x v="8"/>
    <s v="LV_Other_DH"/>
    <x v="18"/>
    <n v="21.5197083678542"/>
    <n v="5.9776967688483804"/>
  </r>
  <r>
    <x v="0"/>
    <x v="4"/>
    <x v="4"/>
    <x v="8"/>
    <s v="LV_Other_DH"/>
    <x v="19"/>
    <n v="8.1139884009941898"/>
    <n v="2.2538856669428302"/>
  </r>
  <r>
    <x v="0"/>
    <x v="4"/>
    <x v="4"/>
    <x v="8"/>
    <s v="LV_Other_DH"/>
    <x v="20"/>
    <n v="19.336735244541"/>
    <n v="5.37131534570584"/>
  </r>
  <r>
    <x v="0"/>
    <x v="4"/>
    <x v="4"/>
    <x v="8"/>
    <s v="LV_Other_DH"/>
    <x v="21"/>
    <n v="53.225806451612797"/>
    <n v="14.784946236559099"/>
  </r>
  <r>
    <x v="0"/>
    <x v="4"/>
    <x v="4"/>
    <x v="8"/>
    <s v="LV_Other_DH"/>
    <x v="22"/>
    <n v="130.68"/>
    <n v="36.299999999999997"/>
  </r>
  <r>
    <x v="0"/>
    <x v="4"/>
    <x v="4"/>
    <x v="8"/>
    <s v="LV_Other_DH"/>
    <x v="23"/>
    <n v="0.35278210439105201"/>
    <n v="9.7995028997514499E-2"/>
  </r>
  <r>
    <x v="0"/>
    <x v="4"/>
    <x v="4"/>
    <x v="8"/>
    <s v="LV_Other_DH"/>
    <x v="24"/>
    <n v="20.0161025734538"/>
    <n v="5.5600284926260501"/>
  </r>
  <r>
    <x v="0"/>
    <x v="4"/>
    <x v="4"/>
    <x v="8"/>
    <s v="LV_Other_DH"/>
    <x v="25"/>
    <n v="22.356874337357301"/>
    <n v="6.2102428714881297"/>
  </r>
  <r>
    <x v="0"/>
    <x v="4"/>
    <x v="4"/>
    <x v="8"/>
    <s v="LV_Other_DH"/>
    <x v="26"/>
    <n v="29.6651032387655"/>
    <n v="8.2403064552126306"/>
  </r>
  <r>
    <x v="0"/>
    <x v="4"/>
    <x v="4"/>
    <x v="8"/>
    <s v="LV_Other_DH"/>
    <x v="27"/>
    <n v="21.049332228666099"/>
    <n v="5.8470367301850299"/>
  </r>
  <r>
    <x v="0"/>
    <x v="4"/>
    <x v="4"/>
    <x v="8"/>
    <s v="LV_RigaR"/>
    <x v="1"/>
    <n v="35.989199999999997"/>
    <n v="9.9969999999999999"/>
  </r>
  <r>
    <x v="0"/>
    <x v="4"/>
    <x v="4"/>
    <x v="8"/>
    <s v="LV_RigaR"/>
    <x v="2"/>
    <n v="57.96"/>
    <n v="16.100000000000001"/>
  </r>
  <r>
    <x v="0"/>
    <x v="4"/>
    <x v="4"/>
    <x v="8"/>
    <s v="LV_RigaR"/>
    <x v="0"/>
    <n v="42.692399999999999"/>
    <n v="11.859"/>
  </r>
  <r>
    <x v="0"/>
    <x v="4"/>
    <x v="4"/>
    <x v="8"/>
    <s v="LV_RigaR"/>
    <x v="3"/>
    <n v="57.7974681027342"/>
    <n v="16.054852250759499"/>
  </r>
  <r>
    <x v="0"/>
    <x v="4"/>
    <x v="4"/>
    <x v="8"/>
    <s v="LV_RigaR"/>
    <x v="4"/>
    <n v="8.1139884009941898"/>
    <n v="2.2538856669428302"/>
  </r>
  <r>
    <x v="0"/>
    <x v="4"/>
    <x v="4"/>
    <x v="8"/>
    <s v="LV_RigaR"/>
    <x v="5"/>
    <n v="8.1139884009941898"/>
    <n v="2.2538856669428302"/>
  </r>
  <r>
    <x v="0"/>
    <x v="4"/>
    <x v="4"/>
    <x v="8"/>
    <s v="LV_RigaR"/>
    <x v="6"/>
    <n v="30.770439105219602"/>
    <n v="8.5473441958943202"/>
  </r>
  <r>
    <x v="0"/>
    <x v="4"/>
    <x v="4"/>
    <x v="8"/>
    <s v="LV_RigaR"/>
    <x v="7"/>
    <n v="71.350180613090302"/>
    <n v="19.819494614747299"/>
  </r>
  <r>
    <x v="0"/>
    <x v="4"/>
    <x v="4"/>
    <x v="8"/>
    <s v="LV_RigaR"/>
    <x v="8"/>
    <n v="71.350180613090302"/>
    <n v="19.819494614747299"/>
  </r>
  <r>
    <x v="0"/>
    <x v="4"/>
    <x v="4"/>
    <x v="8"/>
    <s v="LV_RigaR"/>
    <x v="9"/>
    <n v="44.803327257663497"/>
    <n v="12.4453686826843"/>
  </r>
  <r>
    <x v="0"/>
    <x v="4"/>
    <x v="4"/>
    <x v="8"/>
    <s v="LV_RigaR"/>
    <x v="10"/>
    <n v="54.681226180612903"/>
    <n v="15.1892294946147"/>
  </r>
  <r>
    <x v="0"/>
    <x v="4"/>
    <x v="4"/>
    <x v="8"/>
    <s v="LV_RigaR"/>
    <x v="11"/>
    <n v="3.8806031483015802"/>
    <n v="1.07794531897266"/>
  </r>
  <r>
    <x v="0"/>
    <x v="4"/>
    <x v="4"/>
    <x v="8"/>
    <s v="LV_RigaR"/>
    <x v="12"/>
    <n v="9.7995028997514597E-2"/>
    <n v="2.72208413881985E-2"/>
  </r>
  <r>
    <x v="0"/>
    <x v="4"/>
    <x v="4"/>
    <x v="8"/>
    <s v="LV_RigaR"/>
    <x v="13"/>
    <n v="21.5197083678542"/>
    <n v="5.9776967688483804"/>
  </r>
  <r>
    <x v="0"/>
    <x v="4"/>
    <x v="4"/>
    <x v="8"/>
    <s v="LV_RigaR"/>
    <x v="14"/>
    <n v="21.5197083678542"/>
    <n v="5.9776967688483804"/>
  </r>
  <r>
    <x v="0"/>
    <x v="4"/>
    <x v="4"/>
    <x v="8"/>
    <s v="LV_RigaR"/>
    <x v="15"/>
    <n v="1.65807589063794"/>
    <n v="0.46057663628831802"/>
  </r>
  <r>
    <x v="0"/>
    <x v="4"/>
    <x v="4"/>
    <x v="8"/>
    <s v="LV_RigaR"/>
    <x v="16"/>
    <n v="8.3492014028755008"/>
    <n v="2.31922261190986"/>
  </r>
  <r>
    <x v="0"/>
    <x v="4"/>
    <x v="4"/>
    <x v="8"/>
    <s v="LV_RigaR"/>
    <x v="17"/>
    <n v="9.5251168185584092"/>
    <n v="2.6458657829328902"/>
  </r>
  <r>
    <x v="0"/>
    <x v="4"/>
    <x v="4"/>
    <x v="8"/>
    <s v="LV_RigaR"/>
    <x v="18"/>
    <n v="21.5197083678542"/>
    <n v="5.9776967688483804"/>
  </r>
  <r>
    <x v="0"/>
    <x v="4"/>
    <x v="4"/>
    <x v="8"/>
    <s v="LV_RigaR"/>
    <x v="19"/>
    <n v="8.1139884009941898"/>
    <n v="2.2538856669428302"/>
  </r>
  <r>
    <x v="0"/>
    <x v="4"/>
    <x v="4"/>
    <x v="8"/>
    <s v="LV_RigaR"/>
    <x v="20"/>
    <n v="19.336735244541"/>
    <n v="5.37131534570584"/>
  </r>
  <r>
    <x v="0"/>
    <x v="4"/>
    <x v="4"/>
    <x v="8"/>
    <s v="LV_RigaR"/>
    <x v="21"/>
    <n v="53.225806451612797"/>
    <n v="14.784946236559099"/>
  </r>
  <r>
    <x v="0"/>
    <x v="4"/>
    <x v="4"/>
    <x v="8"/>
    <s v="LV_RigaR"/>
    <x v="22"/>
    <n v="130.68"/>
    <n v="36.299999999999997"/>
  </r>
  <r>
    <x v="0"/>
    <x v="4"/>
    <x v="4"/>
    <x v="8"/>
    <s v="LV_RigaR"/>
    <x v="23"/>
    <n v="0.35278210439105201"/>
    <n v="9.7995028997514499E-2"/>
  </r>
  <r>
    <x v="0"/>
    <x v="4"/>
    <x v="4"/>
    <x v="8"/>
    <s v="LV_RigaR"/>
    <x v="24"/>
    <n v="20.0161025734538"/>
    <n v="5.5600284926260501"/>
  </r>
  <r>
    <x v="0"/>
    <x v="4"/>
    <x v="4"/>
    <x v="8"/>
    <s v="LV_RigaR"/>
    <x v="25"/>
    <n v="22.356874337357301"/>
    <n v="6.2102428714881297"/>
  </r>
  <r>
    <x v="0"/>
    <x v="4"/>
    <x v="4"/>
    <x v="8"/>
    <s v="LV_RigaR"/>
    <x v="26"/>
    <n v="29.6651032387655"/>
    <n v="8.2403064552126306"/>
  </r>
  <r>
    <x v="0"/>
    <x v="4"/>
    <x v="4"/>
    <x v="8"/>
    <s v="LV_RigaR"/>
    <x v="27"/>
    <n v="21.049332228666099"/>
    <n v="5.8470367301850299"/>
  </r>
  <r>
    <x v="0"/>
    <x v="4"/>
    <x v="4"/>
    <x v="8"/>
    <s v="LV_Rural"/>
    <x v="1"/>
    <n v="35.989199999999997"/>
    <n v="9.9969999999999999"/>
  </r>
  <r>
    <x v="0"/>
    <x v="4"/>
    <x v="4"/>
    <x v="8"/>
    <s v="LV_Rural"/>
    <x v="2"/>
    <n v="57.96"/>
    <n v="16.100000000000001"/>
  </r>
  <r>
    <x v="0"/>
    <x v="4"/>
    <x v="4"/>
    <x v="8"/>
    <s v="LV_Rural"/>
    <x v="0"/>
    <n v="42.692399999999999"/>
    <n v="11.859"/>
  </r>
  <r>
    <x v="0"/>
    <x v="4"/>
    <x v="4"/>
    <x v="8"/>
    <s v="LV_Rural"/>
    <x v="3"/>
    <n v="57.7974681027342"/>
    <n v="16.054852250759499"/>
  </r>
  <r>
    <x v="0"/>
    <x v="4"/>
    <x v="4"/>
    <x v="8"/>
    <s v="LV_Rural"/>
    <x v="4"/>
    <n v="8.1139884009941898"/>
    <n v="2.2538856669428302"/>
  </r>
  <r>
    <x v="0"/>
    <x v="4"/>
    <x v="4"/>
    <x v="8"/>
    <s v="LV_Rural"/>
    <x v="5"/>
    <n v="8.1139884009941898"/>
    <n v="2.2538856669428302"/>
  </r>
  <r>
    <x v="0"/>
    <x v="4"/>
    <x v="4"/>
    <x v="8"/>
    <s v="LV_Rural"/>
    <x v="6"/>
    <n v="30.770439105219602"/>
    <n v="8.5473441958943202"/>
  </r>
  <r>
    <x v="0"/>
    <x v="4"/>
    <x v="4"/>
    <x v="8"/>
    <s v="LV_Rural"/>
    <x v="7"/>
    <n v="71.350180613090302"/>
    <n v="19.819494614747299"/>
  </r>
  <r>
    <x v="0"/>
    <x v="4"/>
    <x v="4"/>
    <x v="8"/>
    <s v="LV_Rural"/>
    <x v="8"/>
    <n v="71.350180613090302"/>
    <n v="19.819494614747299"/>
  </r>
  <r>
    <x v="0"/>
    <x v="4"/>
    <x v="4"/>
    <x v="8"/>
    <s v="LV_Rural"/>
    <x v="9"/>
    <n v="44.803327257663497"/>
    <n v="12.4453686826843"/>
  </r>
  <r>
    <x v="0"/>
    <x v="4"/>
    <x v="4"/>
    <x v="8"/>
    <s v="LV_Rural"/>
    <x v="10"/>
    <n v="54.681226180612903"/>
    <n v="15.1892294946147"/>
  </r>
  <r>
    <x v="0"/>
    <x v="4"/>
    <x v="4"/>
    <x v="8"/>
    <s v="LV_Rural"/>
    <x v="11"/>
    <n v="3.8806031483015802"/>
    <n v="1.07794531897266"/>
  </r>
  <r>
    <x v="0"/>
    <x v="4"/>
    <x v="4"/>
    <x v="8"/>
    <s v="LV_Rural"/>
    <x v="12"/>
    <n v="9.7995028997514597E-2"/>
    <n v="2.72208413881985E-2"/>
  </r>
  <r>
    <x v="0"/>
    <x v="4"/>
    <x v="4"/>
    <x v="8"/>
    <s v="LV_Rural"/>
    <x v="13"/>
    <n v="21.5197083678542"/>
    <n v="5.9776967688483804"/>
  </r>
  <r>
    <x v="0"/>
    <x v="4"/>
    <x v="4"/>
    <x v="8"/>
    <s v="LV_Rural"/>
    <x v="14"/>
    <n v="21.5197083678542"/>
    <n v="5.9776967688483804"/>
  </r>
  <r>
    <x v="0"/>
    <x v="4"/>
    <x v="4"/>
    <x v="8"/>
    <s v="LV_Rural"/>
    <x v="15"/>
    <n v="1.65807589063794"/>
    <n v="0.46057663628831802"/>
  </r>
  <r>
    <x v="0"/>
    <x v="4"/>
    <x v="4"/>
    <x v="8"/>
    <s v="LV_Rural"/>
    <x v="16"/>
    <n v="8.3492014028755008"/>
    <n v="2.31922261190986"/>
  </r>
  <r>
    <x v="0"/>
    <x v="4"/>
    <x v="4"/>
    <x v="8"/>
    <s v="LV_Rural"/>
    <x v="17"/>
    <n v="9.5251168185584092"/>
    <n v="2.6458657829328902"/>
  </r>
  <r>
    <x v="0"/>
    <x v="4"/>
    <x v="4"/>
    <x v="8"/>
    <s v="LV_Rural"/>
    <x v="18"/>
    <n v="21.5197083678542"/>
    <n v="5.9776967688483804"/>
  </r>
  <r>
    <x v="0"/>
    <x v="4"/>
    <x v="4"/>
    <x v="8"/>
    <s v="LV_Rural"/>
    <x v="19"/>
    <n v="8.1139884009941898"/>
    <n v="2.2538856669428302"/>
  </r>
  <r>
    <x v="0"/>
    <x v="4"/>
    <x v="4"/>
    <x v="8"/>
    <s v="LV_Rural"/>
    <x v="20"/>
    <n v="19.336735244541"/>
    <n v="5.37131534570584"/>
  </r>
  <r>
    <x v="0"/>
    <x v="4"/>
    <x v="4"/>
    <x v="8"/>
    <s v="LV_Rural"/>
    <x v="21"/>
    <n v="53.225806451612797"/>
    <n v="14.784946236559099"/>
  </r>
  <r>
    <x v="0"/>
    <x v="4"/>
    <x v="4"/>
    <x v="8"/>
    <s v="LV_Rural"/>
    <x v="22"/>
    <n v="130.68"/>
    <n v="36.299999999999997"/>
  </r>
  <r>
    <x v="0"/>
    <x v="4"/>
    <x v="4"/>
    <x v="8"/>
    <s v="LV_Rural"/>
    <x v="23"/>
    <n v="0.35278210439105201"/>
    <n v="9.7995028997514499E-2"/>
  </r>
  <r>
    <x v="0"/>
    <x v="4"/>
    <x v="4"/>
    <x v="8"/>
    <s v="LV_Rural"/>
    <x v="24"/>
    <n v="20.0161025734538"/>
    <n v="5.5600284926260501"/>
  </r>
  <r>
    <x v="0"/>
    <x v="4"/>
    <x v="4"/>
    <x v="8"/>
    <s v="LV_Rural"/>
    <x v="25"/>
    <n v="22.356874337357301"/>
    <n v="6.2102428714881297"/>
  </r>
  <r>
    <x v="0"/>
    <x v="4"/>
    <x v="4"/>
    <x v="8"/>
    <s v="LV_Rural"/>
    <x v="26"/>
    <n v="29.6651032387655"/>
    <n v="8.2403064552126306"/>
  </r>
  <r>
    <x v="0"/>
    <x v="4"/>
    <x v="4"/>
    <x v="8"/>
    <s v="LV_Rural"/>
    <x v="27"/>
    <n v="21.049332228666099"/>
    <n v="5.8470367301850299"/>
  </r>
  <r>
    <x v="0"/>
    <x v="4"/>
    <x v="5"/>
    <x v="9"/>
    <s v="LT_A"/>
    <x v="1"/>
    <n v="35.989199999999997"/>
    <n v="9.9969999999999999"/>
  </r>
  <r>
    <x v="0"/>
    <x v="4"/>
    <x v="5"/>
    <x v="9"/>
    <s v="LT_A"/>
    <x v="2"/>
    <n v="57.96"/>
    <n v="16.100000000000001"/>
  </r>
  <r>
    <x v="0"/>
    <x v="4"/>
    <x v="5"/>
    <x v="9"/>
    <s v="LT_A"/>
    <x v="0"/>
    <n v="42.692399999999999"/>
    <n v="11.859"/>
  </r>
  <r>
    <x v="0"/>
    <x v="4"/>
    <x v="5"/>
    <x v="9"/>
    <s v="LT_A"/>
    <x v="3"/>
    <n v="57.7974681027342"/>
    <n v="16.054852250759499"/>
  </r>
  <r>
    <x v="0"/>
    <x v="4"/>
    <x v="5"/>
    <x v="9"/>
    <s v="LT_A"/>
    <x v="4"/>
    <n v="8.1139884009941898"/>
    <n v="2.2538856669428302"/>
  </r>
  <r>
    <x v="0"/>
    <x v="4"/>
    <x v="5"/>
    <x v="9"/>
    <s v="LT_A"/>
    <x v="5"/>
    <n v="8.1139884009941898"/>
    <n v="2.2538856669428302"/>
  </r>
  <r>
    <x v="0"/>
    <x v="4"/>
    <x v="5"/>
    <x v="9"/>
    <s v="LT_A"/>
    <x v="6"/>
    <n v="30.770439105219602"/>
    <n v="8.5473441958943202"/>
  </r>
  <r>
    <x v="0"/>
    <x v="4"/>
    <x v="5"/>
    <x v="9"/>
    <s v="LT_A"/>
    <x v="7"/>
    <n v="71.350180613090302"/>
    <n v="19.819494614747299"/>
  </r>
  <r>
    <x v="0"/>
    <x v="4"/>
    <x v="5"/>
    <x v="9"/>
    <s v="LT_A"/>
    <x v="8"/>
    <n v="71.350180613090302"/>
    <n v="19.819494614747299"/>
  </r>
  <r>
    <x v="0"/>
    <x v="4"/>
    <x v="5"/>
    <x v="9"/>
    <s v="LT_A"/>
    <x v="9"/>
    <n v="44.803327257663497"/>
    <n v="12.4453686826843"/>
  </r>
  <r>
    <x v="0"/>
    <x v="4"/>
    <x v="5"/>
    <x v="9"/>
    <s v="LT_A"/>
    <x v="10"/>
    <n v="54.681226180612903"/>
    <n v="15.1892294946147"/>
  </r>
  <r>
    <x v="0"/>
    <x v="4"/>
    <x v="5"/>
    <x v="9"/>
    <s v="LT_A"/>
    <x v="11"/>
    <n v="3.8806031483015802"/>
    <n v="1.07794531897266"/>
  </r>
  <r>
    <x v="0"/>
    <x v="4"/>
    <x v="5"/>
    <x v="9"/>
    <s v="LT_A"/>
    <x v="12"/>
    <n v="9.7995028997514597E-2"/>
    <n v="2.72208413881985E-2"/>
  </r>
  <r>
    <x v="0"/>
    <x v="4"/>
    <x v="5"/>
    <x v="9"/>
    <s v="LT_A"/>
    <x v="13"/>
    <n v="21.5197083678542"/>
    <n v="5.9776967688483804"/>
  </r>
  <r>
    <x v="0"/>
    <x v="4"/>
    <x v="5"/>
    <x v="9"/>
    <s v="LT_A"/>
    <x v="14"/>
    <n v="21.5197083678542"/>
    <n v="5.9776967688483804"/>
  </r>
  <r>
    <x v="0"/>
    <x v="4"/>
    <x v="5"/>
    <x v="9"/>
    <s v="LT_A"/>
    <x v="15"/>
    <n v="1.65807589063794"/>
    <n v="0.46057663628831802"/>
  </r>
  <r>
    <x v="0"/>
    <x v="4"/>
    <x v="5"/>
    <x v="9"/>
    <s v="LT_A"/>
    <x v="16"/>
    <n v="8.3492014028755008"/>
    <n v="2.31922261190986"/>
  </r>
  <r>
    <x v="0"/>
    <x v="4"/>
    <x v="5"/>
    <x v="9"/>
    <s v="LT_A"/>
    <x v="17"/>
    <n v="9.5251168185584092"/>
    <n v="2.6458657829328902"/>
  </r>
  <r>
    <x v="0"/>
    <x v="4"/>
    <x v="5"/>
    <x v="9"/>
    <s v="LT_A"/>
    <x v="18"/>
    <n v="21.5197083678542"/>
    <n v="5.9776967688483804"/>
  </r>
  <r>
    <x v="0"/>
    <x v="4"/>
    <x v="5"/>
    <x v="9"/>
    <s v="LT_A"/>
    <x v="19"/>
    <n v="8.1139884009941898"/>
    <n v="2.2538856669428302"/>
  </r>
  <r>
    <x v="0"/>
    <x v="4"/>
    <x v="5"/>
    <x v="9"/>
    <s v="LT_A"/>
    <x v="20"/>
    <n v="19.336735244541"/>
    <n v="5.37131534570584"/>
  </r>
  <r>
    <x v="0"/>
    <x v="4"/>
    <x v="5"/>
    <x v="9"/>
    <s v="LT_A"/>
    <x v="21"/>
    <n v="53.225806451612797"/>
    <n v="14.784946236559099"/>
  </r>
  <r>
    <x v="0"/>
    <x v="4"/>
    <x v="5"/>
    <x v="9"/>
    <s v="LT_A"/>
    <x v="22"/>
    <n v="130.68"/>
    <n v="36.299999999999997"/>
  </r>
  <r>
    <x v="0"/>
    <x v="4"/>
    <x v="5"/>
    <x v="9"/>
    <s v="LT_A"/>
    <x v="23"/>
    <n v="0.35278210439105201"/>
    <n v="9.7995028997514499E-2"/>
  </r>
  <r>
    <x v="0"/>
    <x v="4"/>
    <x v="5"/>
    <x v="9"/>
    <s v="LT_A"/>
    <x v="24"/>
    <n v="20.0161025734538"/>
    <n v="5.5600284926260501"/>
  </r>
  <r>
    <x v="0"/>
    <x v="4"/>
    <x v="5"/>
    <x v="9"/>
    <s v="LT_A"/>
    <x v="25"/>
    <n v="22.356874337357301"/>
    <n v="6.2102428714881297"/>
  </r>
  <r>
    <x v="0"/>
    <x v="4"/>
    <x v="5"/>
    <x v="9"/>
    <s v="LT_A"/>
    <x v="26"/>
    <n v="29.6651032387655"/>
    <n v="8.2403064552126306"/>
  </r>
  <r>
    <x v="0"/>
    <x v="4"/>
    <x v="5"/>
    <x v="9"/>
    <s v="LT_A"/>
    <x v="27"/>
    <n v="21.049332228666099"/>
    <n v="5.8470367301850299"/>
  </r>
  <r>
    <x v="0"/>
    <x v="4"/>
    <x v="5"/>
    <x v="9"/>
    <s v="LT_KauU"/>
    <x v="1"/>
    <n v="35.989199999999997"/>
    <n v="9.9969999999999999"/>
  </r>
  <r>
    <x v="0"/>
    <x v="4"/>
    <x v="5"/>
    <x v="9"/>
    <s v="LT_KauU"/>
    <x v="2"/>
    <n v="57.96"/>
    <n v="16.100000000000001"/>
  </r>
  <r>
    <x v="0"/>
    <x v="4"/>
    <x v="5"/>
    <x v="9"/>
    <s v="LT_KauU"/>
    <x v="0"/>
    <n v="42.692399999999999"/>
    <n v="11.859"/>
  </r>
  <r>
    <x v="0"/>
    <x v="4"/>
    <x v="5"/>
    <x v="9"/>
    <s v="LT_KauU"/>
    <x v="3"/>
    <n v="57.7974681027342"/>
    <n v="16.054852250759499"/>
  </r>
  <r>
    <x v="0"/>
    <x v="4"/>
    <x v="5"/>
    <x v="9"/>
    <s v="LT_KauU"/>
    <x v="4"/>
    <n v="8.1139884009941898"/>
    <n v="2.2538856669428302"/>
  </r>
  <r>
    <x v="0"/>
    <x v="4"/>
    <x v="5"/>
    <x v="9"/>
    <s v="LT_KauU"/>
    <x v="5"/>
    <n v="8.1139884009941898"/>
    <n v="2.2538856669428302"/>
  </r>
  <r>
    <x v="0"/>
    <x v="4"/>
    <x v="5"/>
    <x v="9"/>
    <s v="LT_KauU"/>
    <x v="6"/>
    <n v="30.770439105219602"/>
    <n v="8.5473441958943202"/>
  </r>
  <r>
    <x v="0"/>
    <x v="4"/>
    <x v="5"/>
    <x v="9"/>
    <s v="LT_KauU"/>
    <x v="7"/>
    <n v="71.350180613090302"/>
    <n v="19.819494614747299"/>
  </r>
  <r>
    <x v="0"/>
    <x v="4"/>
    <x v="5"/>
    <x v="9"/>
    <s v="LT_KauU"/>
    <x v="8"/>
    <n v="71.350180613090302"/>
    <n v="19.819494614747299"/>
  </r>
  <r>
    <x v="0"/>
    <x v="4"/>
    <x v="5"/>
    <x v="9"/>
    <s v="LT_KauU"/>
    <x v="9"/>
    <n v="44.803327257663497"/>
    <n v="12.4453686826843"/>
  </r>
  <r>
    <x v="0"/>
    <x v="4"/>
    <x v="5"/>
    <x v="9"/>
    <s v="LT_KauU"/>
    <x v="10"/>
    <n v="54.681226180612903"/>
    <n v="15.1892294946147"/>
  </r>
  <r>
    <x v="0"/>
    <x v="4"/>
    <x v="5"/>
    <x v="9"/>
    <s v="LT_KauU"/>
    <x v="11"/>
    <n v="3.8806031483015802"/>
    <n v="1.07794531897266"/>
  </r>
  <r>
    <x v="0"/>
    <x v="4"/>
    <x v="5"/>
    <x v="9"/>
    <s v="LT_KauU"/>
    <x v="12"/>
    <n v="9.7995028997514597E-2"/>
    <n v="2.72208413881985E-2"/>
  </r>
  <r>
    <x v="0"/>
    <x v="4"/>
    <x v="5"/>
    <x v="9"/>
    <s v="LT_KauU"/>
    <x v="13"/>
    <n v="21.5197083678542"/>
    <n v="5.9776967688483804"/>
  </r>
  <r>
    <x v="0"/>
    <x v="4"/>
    <x v="5"/>
    <x v="9"/>
    <s v="LT_KauU"/>
    <x v="14"/>
    <n v="21.5197083678542"/>
    <n v="5.9776967688483804"/>
  </r>
  <r>
    <x v="0"/>
    <x v="4"/>
    <x v="5"/>
    <x v="9"/>
    <s v="LT_KauU"/>
    <x v="15"/>
    <n v="1.65807589063794"/>
    <n v="0.46057663628831802"/>
  </r>
  <r>
    <x v="0"/>
    <x v="4"/>
    <x v="5"/>
    <x v="9"/>
    <s v="LT_KauU"/>
    <x v="16"/>
    <n v="8.3492014028755008"/>
    <n v="2.31922261190986"/>
  </r>
  <r>
    <x v="0"/>
    <x v="4"/>
    <x v="5"/>
    <x v="9"/>
    <s v="LT_KauU"/>
    <x v="17"/>
    <n v="9.5251168185584092"/>
    <n v="2.6458657829328902"/>
  </r>
  <r>
    <x v="0"/>
    <x v="4"/>
    <x v="5"/>
    <x v="9"/>
    <s v="LT_KauU"/>
    <x v="18"/>
    <n v="21.5197083678542"/>
    <n v="5.9776967688483804"/>
  </r>
  <r>
    <x v="0"/>
    <x v="4"/>
    <x v="5"/>
    <x v="9"/>
    <s v="LT_KauU"/>
    <x v="19"/>
    <n v="8.1139884009941898"/>
    <n v="2.2538856669428302"/>
  </r>
  <r>
    <x v="0"/>
    <x v="4"/>
    <x v="5"/>
    <x v="9"/>
    <s v="LT_KauU"/>
    <x v="20"/>
    <n v="19.336735244541"/>
    <n v="5.37131534570584"/>
  </r>
  <r>
    <x v="0"/>
    <x v="4"/>
    <x v="5"/>
    <x v="9"/>
    <s v="LT_KauU"/>
    <x v="21"/>
    <n v="53.225806451612797"/>
    <n v="14.784946236559099"/>
  </r>
  <r>
    <x v="0"/>
    <x v="4"/>
    <x v="5"/>
    <x v="9"/>
    <s v="LT_KauU"/>
    <x v="22"/>
    <n v="130.68"/>
    <n v="36.299999999999997"/>
  </r>
  <r>
    <x v="0"/>
    <x v="4"/>
    <x v="5"/>
    <x v="9"/>
    <s v="LT_KauU"/>
    <x v="23"/>
    <n v="0.35278210439105201"/>
    <n v="9.7995028997514499E-2"/>
  </r>
  <r>
    <x v="0"/>
    <x v="4"/>
    <x v="5"/>
    <x v="9"/>
    <s v="LT_KauU"/>
    <x v="24"/>
    <n v="20.0161025734538"/>
    <n v="5.5600284926260501"/>
  </r>
  <r>
    <x v="0"/>
    <x v="4"/>
    <x v="5"/>
    <x v="9"/>
    <s v="LT_KauU"/>
    <x v="25"/>
    <n v="22.356874337357301"/>
    <n v="6.2102428714881297"/>
  </r>
  <r>
    <x v="0"/>
    <x v="4"/>
    <x v="5"/>
    <x v="9"/>
    <s v="LT_KauU"/>
    <x v="26"/>
    <n v="29.6651032387655"/>
    <n v="8.2403064552126306"/>
  </r>
  <r>
    <x v="0"/>
    <x v="4"/>
    <x v="5"/>
    <x v="9"/>
    <s v="LT_KauU"/>
    <x v="27"/>
    <n v="21.049332228666099"/>
    <n v="5.8470367301850299"/>
  </r>
  <r>
    <x v="0"/>
    <x v="4"/>
    <x v="5"/>
    <x v="9"/>
    <s v="LT_KlaU"/>
    <x v="1"/>
    <n v="35.989199999999997"/>
    <n v="9.9969999999999999"/>
  </r>
  <r>
    <x v="0"/>
    <x v="4"/>
    <x v="5"/>
    <x v="9"/>
    <s v="LT_KlaU"/>
    <x v="2"/>
    <n v="57.96"/>
    <n v="16.100000000000001"/>
  </r>
  <r>
    <x v="0"/>
    <x v="4"/>
    <x v="5"/>
    <x v="9"/>
    <s v="LT_KlaU"/>
    <x v="0"/>
    <n v="42.692399999999999"/>
    <n v="11.859"/>
  </r>
  <r>
    <x v="0"/>
    <x v="4"/>
    <x v="5"/>
    <x v="9"/>
    <s v="LT_KlaU"/>
    <x v="3"/>
    <n v="57.7974681027342"/>
    <n v="16.054852250759499"/>
  </r>
  <r>
    <x v="0"/>
    <x v="4"/>
    <x v="5"/>
    <x v="9"/>
    <s v="LT_KlaU"/>
    <x v="4"/>
    <n v="8.1139884009941898"/>
    <n v="2.2538856669428302"/>
  </r>
  <r>
    <x v="0"/>
    <x v="4"/>
    <x v="5"/>
    <x v="9"/>
    <s v="LT_KlaU"/>
    <x v="5"/>
    <n v="8.1139884009941898"/>
    <n v="2.2538856669428302"/>
  </r>
  <r>
    <x v="0"/>
    <x v="4"/>
    <x v="5"/>
    <x v="9"/>
    <s v="LT_KlaU"/>
    <x v="6"/>
    <n v="30.770439105219602"/>
    <n v="8.5473441958943202"/>
  </r>
  <r>
    <x v="0"/>
    <x v="4"/>
    <x v="5"/>
    <x v="9"/>
    <s v="LT_KlaU"/>
    <x v="7"/>
    <n v="71.350180613090302"/>
    <n v="19.819494614747299"/>
  </r>
  <r>
    <x v="0"/>
    <x v="4"/>
    <x v="5"/>
    <x v="9"/>
    <s v="LT_KlaU"/>
    <x v="8"/>
    <n v="71.350180613090302"/>
    <n v="19.819494614747299"/>
  </r>
  <r>
    <x v="0"/>
    <x v="4"/>
    <x v="5"/>
    <x v="9"/>
    <s v="LT_KlaU"/>
    <x v="9"/>
    <n v="44.803327257663497"/>
    <n v="12.4453686826843"/>
  </r>
  <r>
    <x v="0"/>
    <x v="4"/>
    <x v="5"/>
    <x v="9"/>
    <s v="LT_KlaU"/>
    <x v="10"/>
    <n v="54.681226180612903"/>
    <n v="15.1892294946147"/>
  </r>
  <r>
    <x v="0"/>
    <x v="4"/>
    <x v="5"/>
    <x v="9"/>
    <s v="LT_KlaU"/>
    <x v="11"/>
    <n v="3.8806031483015802"/>
    <n v="1.07794531897266"/>
  </r>
  <r>
    <x v="0"/>
    <x v="4"/>
    <x v="5"/>
    <x v="9"/>
    <s v="LT_KlaU"/>
    <x v="12"/>
    <n v="9.7995028997514597E-2"/>
    <n v="2.72208413881985E-2"/>
  </r>
  <r>
    <x v="0"/>
    <x v="4"/>
    <x v="5"/>
    <x v="9"/>
    <s v="LT_KlaU"/>
    <x v="13"/>
    <n v="21.5197083678542"/>
    <n v="5.9776967688483804"/>
  </r>
  <r>
    <x v="0"/>
    <x v="4"/>
    <x v="5"/>
    <x v="9"/>
    <s v="LT_KlaU"/>
    <x v="14"/>
    <n v="21.5197083678542"/>
    <n v="5.9776967688483804"/>
  </r>
  <r>
    <x v="0"/>
    <x v="4"/>
    <x v="5"/>
    <x v="9"/>
    <s v="LT_KlaU"/>
    <x v="15"/>
    <n v="1.65807589063794"/>
    <n v="0.46057663628831802"/>
  </r>
  <r>
    <x v="0"/>
    <x v="4"/>
    <x v="5"/>
    <x v="9"/>
    <s v="LT_KlaU"/>
    <x v="16"/>
    <n v="8.3492014028755008"/>
    <n v="2.31922261190986"/>
  </r>
  <r>
    <x v="0"/>
    <x v="4"/>
    <x v="5"/>
    <x v="9"/>
    <s v="LT_KlaU"/>
    <x v="17"/>
    <n v="9.5251168185584092"/>
    <n v="2.6458657829328902"/>
  </r>
  <r>
    <x v="0"/>
    <x v="4"/>
    <x v="5"/>
    <x v="9"/>
    <s v="LT_KlaU"/>
    <x v="18"/>
    <n v="21.5197083678542"/>
    <n v="5.9776967688483804"/>
  </r>
  <r>
    <x v="0"/>
    <x v="4"/>
    <x v="5"/>
    <x v="9"/>
    <s v="LT_KlaU"/>
    <x v="19"/>
    <n v="8.1139884009941898"/>
    <n v="2.2538856669428302"/>
  </r>
  <r>
    <x v="0"/>
    <x v="4"/>
    <x v="5"/>
    <x v="9"/>
    <s v="LT_KlaU"/>
    <x v="20"/>
    <n v="19.336735244541"/>
    <n v="5.37131534570584"/>
  </r>
  <r>
    <x v="0"/>
    <x v="4"/>
    <x v="5"/>
    <x v="9"/>
    <s v="LT_KlaU"/>
    <x v="21"/>
    <n v="53.225806451612797"/>
    <n v="14.784946236559099"/>
  </r>
  <r>
    <x v="0"/>
    <x v="4"/>
    <x v="5"/>
    <x v="9"/>
    <s v="LT_KlaU"/>
    <x v="22"/>
    <n v="130.68"/>
    <n v="36.299999999999997"/>
  </r>
  <r>
    <x v="0"/>
    <x v="4"/>
    <x v="5"/>
    <x v="9"/>
    <s v="LT_KlaU"/>
    <x v="23"/>
    <n v="0.35278210439105201"/>
    <n v="9.7995028997514499E-2"/>
  </r>
  <r>
    <x v="0"/>
    <x v="4"/>
    <x v="5"/>
    <x v="9"/>
    <s v="LT_KlaU"/>
    <x v="24"/>
    <n v="20.0161025734538"/>
    <n v="5.5600284926260501"/>
  </r>
  <r>
    <x v="0"/>
    <x v="4"/>
    <x v="5"/>
    <x v="9"/>
    <s v="LT_KlaU"/>
    <x v="25"/>
    <n v="22.356874337357301"/>
    <n v="6.2102428714881297"/>
  </r>
  <r>
    <x v="0"/>
    <x v="4"/>
    <x v="5"/>
    <x v="9"/>
    <s v="LT_KlaU"/>
    <x v="26"/>
    <n v="29.6651032387655"/>
    <n v="8.2403064552126306"/>
  </r>
  <r>
    <x v="0"/>
    <x v="4"/>
    <x v="5"/>
    <x v="9"/>
    <s v="LT_KlaU"/>
    <x v="27"/>
    <n v="21.049332228666099"/>
    <n v="5.8470367301850299"/>
  </r>
  <r>
    <x v="0"/>
    <x v="4"/>
    <x v="5"/>
    <x v="9"/>
    <s v="LT_OFFSHORE"/>
    <x v="1"/>
    <n v="35.989199999999997"/>
    <n v="9.9969999999999999"/>
  </r>
  <r>
    <x v="0"/>
    <x v="4"/>
    <x v="5"/>
    <x v="9"/>
    <s v="LT_OFFSHORE"/>
    <x v="2"/>
    <n v="57.96"/>
    <n v="16.100000000000001"/>
  </r>
  <r>
    <x v="0"/>
    <x v="4"/>
    <x v="5"/>
    <x v="9"/>
    <s v="LT_OFFSHORE"/>
    <x v="0"/>
    <n v="42.692399999999999"/>
    <n v="11.859"/>
  </r>
  <r>
    <x v="0"/>
    <x v="4"/>
    <x v="5"/>
    <x v="9"/>
    <s v="LT_OFFSHORE"/>
    <x v="3"/>
    <n v="57.7974681027342"/>
    <n v="16.054852250759499"/>
  </r>
  <r>
    <x v="0"/>
    <x v="4"/>
    <x v="5"/>
    <x v="9"/>
    <s v="LT_OFFSHORE"/>
    <x v="4"/>
    <n v="8.1139884009941898"/>
    <n v="2.2538856669428302"/>
  </r>
  <r>
    <x v="0"/>
    <x v="4"/>
    <x v="5"/>
    <x v="9"/>
    <s v="LT_OFFSHORE"/>
    <x v="5"/>
    <n v="8.1139884009941898"/>
    <n v="2.2538856669428302"/>
  </r>
  <r>
    <x v="0"/>
    <x v="4"/>
    <x v="5"/>
    <x v="9"/>
    <s v="LT_OFFSHORE"/>
    <x v="6"/>
    <n v="30.770439105219602"/>
    <n v="8.5473441958943202"/>
  </r>
  <r>
    <x v="0"/>
    <x v="4"/>
    <x v="5"/>
    <x v="9"/>
    <s v="LT_OFFSHORE"/>
    <x v="7"/>
    <n v="71.350180613090302"/>
    <n v="19.819494614747299"/>
  </r>
  <r>
    <x v="0"/>
    <x v="4"/>
    <x v="5"/>
    <x v="9"/>
    <s v="LT_OFFSHORE"/>
    <x v="8"/>
    <n v="71.350180613090302"/>
    <n v="19.819494614747299"/>
  </r>
  <r>
    <x v="0"/>
    <x v="4"/>
    <x v="5"/>
    <x v="9"/>
    <s v="LT_OFFSHORE"/>
    <x v="9"/>
    <n v="44.803327257663497"/>
    <n v="12.4453686826843"/>
  </r>
  <r>
    <x v="0"/>
    <x v="4"/>
    <x v="5"/>
    <x v="9"/>
    <s v="LT_OFFSHORE"/>
    <x v="10"/>
    <n v="54.681226180612903"/>
    <n v="15.1892294946147"/>
  </r>
  <r>
    <x v="0"/>
    <x v="4"/>
    <x v="5"/>
    <x v="9"/>
    <s v="LT_OFFSHORE"/>
    <x v="11"/>
    <n v="3.8806031483015802"/>
    <n v="1.07794531897266"/>
  </r>
  <r>
    <x v="0"/>
    <x v="4"/>
    <x v="5"/>
    <x v="9"/>
    <s v="LT_OFFSHORE"/>
    <x v="12"/>
    <n v="9.7995028997514597E-2"/>
    <n v="2.72208413881985E-2"/>
  </r>
  <r>
    <x v="0"/>
    <x v="4"/>
    <x v="5"/>
    <x v="9"/>
    <s v="LT_OFFSHORE"/>
    <x v="13"/>
    <n v="21.5197083678542"/>
    <n v="5.9776967688483804"/>
  </r>
  <r>
    <x v="0"/>
    <x v="4"/>
    <x v="5"/>
    <x v="9"/>
    <s v="LT_OFFSHORE"/>
    <x v="14"/>
    <n v="21.5197083678542"/>
    <n v="5.9776967688483804"/>
  </r>
  <r>
    <x v="0"/>
    <x v="4"/>
    <x v="5"/>
    <x v="9"/>
    <s v="LT_OFFSHORE"/>
    <x v="15"/>
    <n v="1.65807589063794"/>
    <n v="0.46057663628831802"/>
  </r>
  <r>
    <x v="0"/>
    <x v="4"/>
    <x v="5"/>
    <x v="9"/>
    <s v="LT_OFFSHORE"/>
    <x v="16"/>
    <n v="8.3492014028755008"/>
    <n v="2.31922261190986"/>
  </r>
  <r>
    <x v="0"/>
    <x v="4"/>
    <x v="5"/>
    <x v="9"/>
    <s v="LT_OFFSHORE"/>
    <x v="17"/>
    <n v="9.5251168185584092"/>
    <n v="2.6458657829328902"/>
  </r>
  <r>
    <x v="0"/>
    <x v="4"/>
    <x v="5"/>
    <x v="9"/>
    <s v="LT_OFFSHORE"/>
    <x v="18"/>
    <n v="21.5197083678542"/>
    <n v="5.9776967688483804"/>
  </r>
  <r>
    <x v="0"/>
    <x v="4"/>
    <x v="5"/>
    <x v="9"/>
    <s v="LT_OFFSHORE"/>
    <x v="19"/>
    <n v="8.1139884009941898"/>
    <n v="2.2538856669428302"/>
  </r>
  <r>
    <x v="0"/>
    <x v="4"/>
    <x v="5"/>
    <x v="9"/>
    <s v="LT_OFFSHORE"/>
    <x v="20"/>
    <n v="19.336735244541"/>
    <n v="5.37131534570584"/>
  </r>
  <r>
    <x v="0"/>
    <x v="4"/>
    <x v="5"/>
    <x v="9"/>
    <s v="LT_OFFSHORE"/>
    <x v="21"/>
    <n v="53.225806451612797"/>
    <n v="14.784946236559099"/>
  </r>
  <r>
    <x v="0"/>
    <x v="4"/>
    <x v="5"/>
    <x v="9"/>
    <s v="LT_OFFSHORE"/>
    <x v="22"/>
    <n v="130.68"/>
    <n v="36.299999999999997"/>
  </r>
  <r>
    <x v="0"/>
    <x v="4"/>
    <x v="5"/>
    <x v="9"/>
    <s v="LT_OFFSHORE"/>
    <x v="23"/>
    <n v="0.35278210439105201"/>
    <n v="9.7995028997514499E-2"/>
  </r>
  <r>
    <x v="0"/>
    <x v="4"/>
    <x v="5"/>
    <x v="9"/>
    <s v="LT_OFFSHORE"/>
    <x v="24"/>
    <n v="20.0161025734538"/>
    <n v="5.5600284926260501"/>
  </r>
  <r>
    <x v="0"/>
    <x v="4"/>
    <x v="5"/>
    <x v="9"/>
    <s v="LT_OFFSHORE"/>
    <x v="25"/>
    <n v="22.356874337357301"/>
    <n v="6.2102428714881297"/>
  </r>
  <r>
    <x v="0"/>
    <x v="4"/>
    <x v="5"/>
    <x v="9"/>
    <s v="LT_OFFSHORE"/>
    <x v="26"/>
    <n v="29.6651032387655"/>
    <n v="8.2403064552126306"/>
  </r>
  <r>
    <x v="0"/>
    <x v="4"/>
    <x v="5"/>
    <x v="9"/>
    <s v="LT_OFFSHORE"/>
    <x v="27"/>
    <n v="21.049332228666099"/>
    <n v="5.8470367301850299"/>
  </r>
  <r>
    <x v="0"/>
    <x v="4"/>
    <x v="5"/>
    <x v="9"/>
    <s v="LT_Other_DH"/>
    <x v="1"/>
    <n v="35.989199999999997"/>
    <n v="9.9969999999999999"/>
  </r>
  <r>
    <x v="0"/>
    <x v="4"/>
    <x v="5"/>
    <x v="9"/>
    <s v="LT_Other_DH"/>
    <x v="2"/>
    <n v="57.96"/>
    <n v="16.100000000000001"/>
  </r>
  <r>
    <x v="0"/>
    <x v="4"/>
    <x v="5"/>
    <x v="9"/>
    <s v="LT_Other_DH"/>
    <x v="0"/>
    <n v="42.692399999999999"/>
    <n v="11.859"/>
  </r>
  <r>
    <x v="0"/>
    <x v="4"/>
    <x v="5"/>
    <x v="9"/>
    <s v="LT_Other_DH"/>
    <x v="3"/>
    <n v="57.7974681027342"/>
    <n v="16.054852250759499"/>
  </r>
  <r>
    <x v="0"/>
    <x v="4"/>
    <x v="5"/>
    <x v="9"/>
    <s v="LT_Other_DH"/>
    <x v="4"/>
    <n v="8.1139884009941898"/>
    <n v="2.2538856669428302"/>
  </r>
  <r>
    <x v="0"/>
    <x v="4"/>
    <x v="5"/>
    <x v="9"/>
    <s v="LT_Other_DH"/>
    <x v="5"/>
    <n v="8.1139884009941898"/>
    <n v="2.2538856669428302"/>
  </r>
  <r>
    <x v="0"/>
    <x v="4"/>
    <x v="5"/>
    <x v="9"/>
    <s v="LT_Other_DH"/>
    <x v="6"/>
    <n v="30.770439105219602"/>
    <n v="8.5473441958943202"/>
  </r>
  <r>
    <x v="0"/>
    <x v="4"/>
    <x v="5"/>
    <x v="9"/>
    <s v="LT_Other_DH"/>
    <x v="7"/>
    <n v="71.350180613090302"/>
    <n v="19.819494614747299"/>
  </r>
  <r>
    <x v="0"/>
    <x v="4"/>
    <x v="5"/>
    <x v="9"/>
    <s v="LT_Other_DH"/>
    <x v="8"/>
    <n v="71.350180613090302"/>
    <n v="19.819494614747299"/>
  </r>
  <r>
    <x v="0"/>
    <x v="4"/>
    <x v="5"/>
    <x v="9"/>
    <s v="LT_Other_DH"/>
    <x v="9"/>
    <n v="44.803327257663497"/>
    <n v="12.4453686826843"/>
  </r>
  <r>
    <x v="0"/>
    <x v="4"/>
    <x v="5"/>
    <x v="9"/>
    <s v="LT_Other_DH"/>
    <x v="10"/>
    <n v="54.681226180612903"/>
    <n v="15.1892294946147"/>
  </r>
  <r>
    <x v="0"/>
    <x v="4"/>
    <x v="5"/>
    <x v="9"/>
    <s v="LT_Other_DH"/>
    <x v="11"/>
    <n v="3.8806031483015802"/>
    <n v="1.07794531897266"/>
  </r>
  <r>
    <x v="0"/>
    <x v="4"/>
    <x v="5"/>
    <x v="9"/>
    <s v="LT_Other_DH"/>
    <x v="12"/>
    <n v="9.7995028997514597E-2"/>
    <n v="2.72208413881985E-2"/>
  </r>
  <r>
    <x v="0"/>
    <x v="4"/>
    <x v="5"/>
    <x v="9"/>
    <s v="LT_Other_DH"/>
    <x v="13"/>
    <n v="21.5197083678542"/>
    <n v="5.9776967688483804"/>
  </r>
  <r>
    <x v="0"/>
    <x v="4"/>
    <x v="5"/>
    <x v="9"/>
    <s v="LT_Other_DH"/>
    <x v="14"/>
    <n v="21.5197083678542"/>
    <n v="5.9776967688483804"/>
  </r>
  <r>
    <x v="0"/>
    <x v="4"/>
    <x v="5"/>
    <x v="9"/>
    <s v="LT_Other_DH"/>
    <x v="15"/>
    <n v="1.65807589063794"/>
    <n v="0.46057663628831802"/>
  </r>
  <r>
    <x v="0"/>
    <x v="4"/>
    <x v="5"/>
    <x v="9"/>
    <s v="LT_Other_DH"/>
    <x v="16"/>
    <n v="8.3492014028755008"/>
    <n v="2.31922261190986"/>
  </r>
  <r>
    <x v="0"/>
    <x v="4"/>
    <x v="5"/>
    <x v="9"/>
    <s v="LT_Other_DH"/>
    <x v="17"/>
    <n v="9.5251168185584092"/>
    <n v="2.6458657829328902"/>
  </r>
  <r>
    <x v="0"/>
    <x v="4"/>
    <x v="5"/>
    <x v="9"/>
    <s v="LT_Other_DH"/>
    <x v="18"/>
    <n v="21.5197083678542"/>
    <n v="5.9776967688483804"/>
  </r>
  <r>
    <x v="0"/>
    <x v="4"/>
    <x v="5"/>
    <x v="9"/>
    <s v="LT_Other_DH"/>
    <x v="19"/>
    <n v="8.1139884009941898"/>
    <n v="2.2538856669428302"/>
  </r>
  <r>
    <x v="0"/>
    <x v="4"/>
    <x v="5"/>
    <x v="9"/>
    <s v="LT_Other_DH"/>
    <x v="20"/>
    <n v="19.336735244541"/>
    <n v="5.37131534570584"/>
  </r>
  <r>
    <x v="0"/>
    <x v="4"/>
    <x v="5"/>
    <x v="9"/>
    <s v="LT_Other_DH"/>
    <x v="21"/>
    <n v="53.225806451612797"/>
    <n v="14.784946236559099"/>
  </r>
  <r>
    <x v="0"/>
    <x v="4"/>
    <x v="5"/>
    <x v="9"/>
    <s v="LT_Other_DH"/>
    <x v="22"/>
    <n v="130.68"/>
    <n v="36.299999999999997"/>
  </r>
  <r>
    <x v="0"/>
    <x v="4"/>
    <x v="5"/>
    <x v="9"/>
    <s v="LT_Other_DH"/>
    <x v="23"/>
    <n v="0.35278210439105201"/>
    <n v="9.7995028997514499E-2"/>
  </r>
  <r>
    <x v="0"/>
    <x v="4"/>
    <x v="5"/>
    <x v="9"/>
    <s v="LT_Other_DH"/>
    <x v="24"/>
    <n v="20.0161025734538"/>
    <n v="5.5600284926260501"/>
  </r>
  <r>
    <x v="0"/>
    <x v="4"/>
    <x v="5"/>
    <x v="9"/>
    <s v="LT_Other_DH"/>
    <x v="25"/>
    <n v="22.356874337357301"/>
    <n v="6.2102428714881297"/>
  </r>
  <r>
    <x v="0"/>
    <x v="4"/>
    <x v="5"/>
    <x v="9"/>
    <s v="LT_Other_DH"/>
    <x v="26"/>
    <n v="29.6651032387655"/>
    <n v="8.2403064552126306"/>
  </r>
  <r>
    <x v="0"/>
    <x v="4"/>
    <x v="5"/>
    <x v="9"/>
    <s v="LT_Other_DH"/>
    <x v="27"/>
    <n v="21.049332228666099"/>
    <n v="5.8470367301850299"/>
  </r>
  <r>
    <x v="0"/>
    <x v="4"/>
    <x v="5"/>
    <x v="9"/>
    <s v="LT_Panevezys"/>
    <x v="1"/>
    <n v="35.989199999999997"/>
    <n v="9.9969999999999999"/>
  </r>
  <r>
    <x v="0"/>
    <x v="4"/>
    <x v="5"/>
    <x v="9"/>
    <s v="LT_Panevezys"/>
    <x v="2"/>
    <n v="57.96"/>
    <n v="16.100000000000001"/>
  </r>
  <r>
    <x v="0"/>
    <x v="4"/>
    <x v="5"/>
    <x v="9"/>
    <s v="LT_Panevezys"/>
    <x v="0"/>
    <n v="42.692399999999999"/>
    <n v="11.859"/>
  </r>
  <r>
    <x v="0"/>
    <x v="4"/>
    <x v="5"/>
    <x v="9"/>
    <s v="LT_Panevezys"/>
    <x v="3"/>
    <n v="57.7974681027342"/>
    <n v="16.054852250759499"/>
  </r>
  <r>
    <x v="0"/>
    <x v="4"/>
    <x v="5"/>
    <x v="9"/>
    <s v="LT_Panevezys"/>
    <x v="4"/>
    <n v="8.1139884009941898"/>
    <n v="2.2538856669428302"/>
  </r>
  <r>
    <x v="0"/>
    <x v="4"/>
    <x v="5"/>
    <x v="9"/>
    <s v="LT_Panevezys"/>
    <x v="5"/>
    <n v="8.1139884009941898"/>
    <n v="2.2538856669428302"/>
  </r>
  <r>
    <x v="0"/>
    <x v="4"/>
    <x v="5"/>
    <x v="9"/>
    <s v="LT_Panevezys"/>
    <x v="6"/>
    <n v="30.770439105219602"/>
    <n v="8.5473441958943202"/>
  </r>
  <r>
    <x v="0"/>
    <x v="4"/>
    <x v="5"/>
    <x v="9"/>
    <s v="LT_Panevezys"/>
    <x v="7"/>
    <n v="71.350180613090302"/>
    <n v="19.819494614747299"/>
  </r>
  <r>
    <x v="0"/>
    <x v="4"/>
    <x v="5"/>
    <x v="9"/>
    <s v="LT_Panevezys"/>
    <x v="8"/>
    <n v="71.350180613090302"/>
    <n v="19.819494614747299"/>
  </r>
  <r>
    <x v="0"/>
    <x v="4"/>
    <x v="5"/>
    <x v="9"/>
    <s v="LT_Panevezys"/>
    <x v="9"/>
    <n v="44.803327257663497"/>
    <n v="12.4453686826843"/>
  </r>
  <r>
    <x v="0"/>
    <x v="4"/>
    <x v="5"/>
    <x v="9"/>
    <s v="LT_Panevezys"/>
    <x v="10"/>
    <n v="54.681226180612903"/>
    <n v="15.1892294946147"/>
  </r>
  <r>
    <x v="0"/>
    <x v="4"/>
    <x v="5"/>
    <x v="9"/>
    <s v="LT_Panevezys"/>
    <x v="11"/>
    <n v="3.8806031483015802"/>
    <n v="1.07794531897266"/>
  </r>
  <r>
    <x v="0"/>
    <x v="4"/>
    <x v="5"/>
    <x v="9"/>
    <s v="LT_Panevezys"/>
    <x v="12"/>
    <n v="9.7995028997514597E-2"/>
    <n v="2.72208413881985E-2"/>
  </r>
  <r>
    <x v="0"/>
    <x v="4"/>
    <x v="5"/>
    <x v="9"/>
    <s v="LT_Panevezys"/>
    <x v="13"/>
    <n v="21.5197083678542"/>
    <n v="5.9776967688483804"/>
  </r>
  <r>
    <x v="0"/>
    <x v="4"/>
    <x v="5"/>
    <x v="9"/>
    <s v="LT_Panevezys"/>
    <x v="14"/>
    <n v="21.5197083678542"/>
    <n v="5.9776967688483804"/>
  </r>
  <r>
    <x v="0"/>
    <x v="4"/>
    <x v="5"/>
    <x v="9"/>
    <s v="LT_Panevezys"/>
    <x v="15"/>
    <n v="1.65807589063794"/>
    <n v="0.46057663628831802"/>
  </r>
  <r>
    <x v="0"/>
    <x v="4"/>
    <x v="5"/>
    <x v="9"/>
    <s v="LT_Panevezys"/>
    <x v="16"/>
    <n v="8.3492014028755008"/>
    <n v="2.31922261190986"/>
  </r>
  <r>
    <x v="0"/>
    <x v="4"/>
    <x v="5"/>
    <x v="9"/>
    <s v="LT_Panevezys"/>
    <x v="17"/>
    <n v="9.5251168185584092"/>
    <n v="2.6458657829328902"/>
  </r>
  <r>
    <x v="0"/>
    <x v="4"/>
    <x v="5"/>
    <x v="9"/>
    <s v="LT_Panevezys"/>
    <x v="18"/>
    <n v="21.5197083678542"/>
    <n v="5.9776967688483804"/>
  </r>
  <r>
    <x v="0"/>
    <x v="4"/>
    <x v="5"/>
    <x v="9"/>
    <s v="LT_Panevezys"/>
    <x v="19"/>
    <n v="8.1139884009941898"/>
    <n v="2.2538856669428302"/>
  </r>
  <r>
    <x v="0"/>
    <x v="4"/>
    <x v="5"/>
    <x v="9"/>
    <s v="LT_Panevezys"/>
    <x v="20"/>
    <n v="19.336735244541"/>
    <n v="5.37131534570584"/>
  </r>
  <r>
    <x v="0"/>
    <x v="4"/>
    <x v="5"/>
    <x v="9"/>
    <s v="LT_Panevezys"/>
    <x v="21"/>
    <n v="53.225806451612797"/>
    <n v="14.784946236559099"/>
  </r>
  <r>
    <x v="0"/>
    <x v="4"/>
    <x v="5"/>
    <x v="9"/>
    <s v="LT_Panevezys"/>
    <x v="22"/>
    <n v="130.68"/>
    <n v="36.299999999999997"/>
  </r>
  <r>
    <x v="0"/>
    <x v="4"/>
    <x v="5"/>
    <x v="9"/>
    <s v="LT_Panevezys"/>
    <x v="23"/>
    <n v="0.35278210439105201"/>
    <n v="9.7995028997514499E-2"/>
  </r>
  <r>
    <x v="0"/>
    <x v="4"/>
    <x v="5"/>
    <x v="9"/>
    <s v="LT_Panevezys"/>
    <x v="24"/>
    <n v="20.0161025734538"/>
    <n v="5.5600284926260501"/>
  </r>
  <r>
    <x v="0"/>
    <x v="4"/>
    <x v="5"/>
    <x v="9"/>
    <s v="LT_Panevezys"/>
    <x v="25"/>
    <n v="22.356874337357301"/>
    <n v="6.2102428714881297"/>
  </r>
  <r>
    <x v="0"/>
    <x v="4"/>
    <x v="5"/>
    <x v="9"/>
    <s v="LT_Panevezys"/>
    <x v="26"/>
    <n v="29.6651032387655"/>
    <n v="8.2403064552126306"/>
  </r>
  <r>
    <x v="0"/>
    <x v="4"/>
    <x v="5"/>
    <x v="9"/>
    <s v="LT_Panevezys"/>
    <x v="27"/>
    <n v="21.049332228666099"/>
    <n v="5.8470367301850299"/>
  </r>
  <r>
    <x v="0"/>
    <x v="4"/>
    <x v="5"/>
    <x v="9"/>
    <s v="LT_Rural"/>
    <x v="1"/>
    <n v="35.989199999999997"/>
    <n v="9.9969999999999999"/>
  </r>
  <r>
    <x v="0"/>
    <x v="4"/>
    <x v="5"/>
    <x v="9"/>
    <s v="LT_Rural"/>
    <x v="2"/>
    <n v="57.96"/>
    <n v="16.100000000000001"/>
  </r>
  <r>
    <x v="0"/>
    <x v="4"/>
    <x v="5"/>
    <x v="9"/>
    <s v="LT_Rural"/>
    <x v="0"/>
    <n v="42.692399999999999"/>
    <n v="11.859"/>
  </r>
  <r>
    <x v="0"/>
    <x v="4"/>
    <x v="5"/>
    <x v="9"/>
    <s v="LT_Rural"/>
    <x v="3"/>
    <n v="57.7974681027342"/>
    <n v="16.054852250759499"/>
  </r>
  <r>
    <x v="0"/>
    <x v="4"/>
    <x v="5"/>
    <x v="9"/>
    <s v="LT_Rural"/>
    <x v="4"/>
    <n v="8.1139884009941898"/>
    <n v="2.2538856669428302"/>
  </r>
  <r>
    <x v="0"/>
    <x v="4"/>
    <x v="5"/>
    <x v="9"/>
    <s v="LT_Rural"/>
    <x v="5"/>
    <n v="8.1139884009941898"/>
    <n v="2.2538856669428302"/>
  </r>
  <r>
    <x v="0"/>
    <x v="4"/>
    <x v="5"/>
    <x v="9"/>
    <s v="LT_Rural"/>
    <x v="6"/>
    <n v="30.770439105219602"/>
    <n v="8.5473441958943202"/>
  </r>
  <r>
    <x v="0"/>
    <x v="4"/>
    <x v="5"/>
    <x v="9"/>
    <s v="LT_Rural"/>
    <x v="7"/>
    <n v="71.350180613090302"/>
    <n v="19.819494614747299"/>
  </r>
  <r>
    <x v="0"/>
    <x v="4"/>
    <x v="5"/>
    <x v="9"/>
    <s v="LT_Rural"/>
    <x v="8"/>
    <n v="71.350180613090302"/>
    <n v="19.819494614747299"/>
  </r>
  <r>
    <x v="0"/>
    <x v="4"/>
    <x v="5"/>
    <x v="9"/>
    <s v="LT_Rural"/>
    <x v="9"/>
    <n v="44.803327257663497"/>
    <n v="12.4453686826843"/>
  </r>
  <r>
    <x v="0"/>
    <x v="4"/>
    <x v="5"/>
    <x v="9"/>
    <s v="LT_Rural"/>
    <x v="10"/>
    <n v="54.681226180612903"/>
    <n v="15.1892294946147"/>
  </r>
  <r>
    <x v="0"/>
    <x v="4"/>
    <x v="5"/>
    <x v="9"/>
    <s v="LT_Rural"/>
    <x v="11"/>
    <n v="3.8806031483015802"/>
    <n v="1.07794531897266"/>
  </r>
  <r>
    <x v="0"/>
    <x v="4"/>
    <x v="5"/>
    <x v="9"/>
    <s v="LT_Rural"/>
    <x v="12"/>
    <n v="9.7995028997514597E-2"/>
    <n v="2.72208413881985E-2"/>
  </r>
  <r>
    <x v="0"/>
    <x v="4"/>
    <x v="5"/>
    <x v="9"/>
    <s v="LT_Rural"/>
    <x v="13"/>
    <n v="21.5197083678542"/>
    <n v="5.9776967688483804"/>
  </r>
  <r>
    <x v="0"/>
    <x v="4"/>
    <x v="5"/>
    <x v="9"/>
    <s v="LT_Rural"/>
    <x v="14"/>
    <n v="21.5197083678542"/>
    <n v="5.9776967688483804"/>
  </r>
  <r>
    <x v="0"/>
    <x v="4"/>
    <x v="5"/>
    <x v="9"/>
    <s v="LT_Rural"/>
    <x v="15"/>
    <n v="1.65807589063794"/>
    <n v="0.46057663628831802"/>
  </r>
  <r>
    <x v="0"/>
    <x v="4"/>
    <x v="5"/>
    <x v="9"/>
    <s v="LT_Rural"/>
    <x v="16"/>
    <n v="8.3492014028755008"/>
    <n v="2.31922261190986"/>
  </r>
  <r>
    <x v="0"/>
    <x v="4"/>
    <x v="5"/>
    <x v="9"/>
    <s v="LT_Rural"/>
    <x v="17"/>
    <n v="9.5251168185584092"/>
    <n v="2.6458657829328902"/>
  </r>
  <r>
    <x v="0"/>
    <x v="4"/>
    <x v="5"/>
    <x v="9"/>
    <s v="LT_Rural"/>
    <x v="18"/>
    <n v="21.5197083678542"/>
    <n v="5.9776967688483804"/>
  </r>
  <r>
    <x v="0"/>
    <x v="4"/>
    <x v="5"/>
    <x v="9"/>
    <s v="LT_Rural"/>
    <x v="19"/>
    <n v="8.1139884009941898"/>
    <n v="2.2538856669428302"/>
  </r>
  <r>
    <x v="0"/>
    <x v="4"/>
    <x v="5"/>
    <x v="9"/>
    <s v="LT_Rural"/>
    <x v="20"/>
    <n v="19.336735244541"/>
    <n v="5.37131534570584"/>
  </r>
  <r>
    <x v="0"/>
    <x v="4"/>
    <x v="5"/>
    <x v="9"/>
    <s v="LT_Rural"/>
    <x v="21"/>
    <n v="53.225806451612797"/>
    <n v="14.784946236559099"/>
  </r>
  <r>
    <x v="0"/>
    <x v="4"/>
    <x v="5"/>
    <x v="9"/>
    <s v="LT_Rural"/>
    <x v="22"/>
    <n v="130.68"/>
    <n v="36.299999999999997"/>
  </r>
  <r>
    <x v="0"/>
    <x v="4"/>
    <x v="5"/>
    <x v="9"/>
    <s v="LT_Rural"/>
    <x v="23"/>
    <n v="0.35278210439105201"/>
    <n v="9.7995028997514499E-2"/>
  </r>
  <r>
    <x v="0"/>
    <x v="4"/>
    <x v="5"/>
    <x v="9"/>
    <s v="LT_Rural"/>
    <x v="24"/>
    <n v="20.0161025734538"/>
    <n v="5.5600284926260501"/>
  </r>
  <r>
    <x v="0"/>
    <x v="4"/>
    <x v="5"/>
    <x v="9"/>
    <s v="LT_Rural"/>
    <x v="25"/>
    <n v="22.356874337357301"/>
    <n v="6.2102428714881297"/>
  </r>
  <r>
    <x v="0"/>
    <x v="4"/>
    <x v="5"/>
    <x v="9"/>
    <s v="LT_Rural"/>
    <x v="26"/>
    <n v="29.6651032387655"/>
    <n v="8.2403064552126306"/>
  </r>
  <r>
    <x v="0"/>
    <x v="4"/>
    <x v="5"/>
    <x v="9"/>
    <s v="LT_Rural"/>
    <x v="27"/>
    <n v="21.049332228666099"/>
    <n v="5.8470367301850299"/>
  </r>
  <r>
    <x v="0"/>
    <x v="4"/>
    <x v="5"/>
    <x v="9"/>
    <s v="LT_SiaU"/>
    <x v="1"/>
    <n v="35.989199999999997"/>
    <n v="9.9969999999999999"/>
  </r>
  <r>
    <x v="0"/>
    <x v="4"/>
    <x v="5"/>
    <x v="9"/>
    <s v="LT_SiaU"/>
    <x v="2"/>
    <n v="57.96"/>
    <n v="16.100000000000001"/>
  </r>
  <r>
    <x v="0"/>
    <x v="4"/>
    <x v="5"/>
    <x v="9"/>
    <s v="LT_SiaU"/>
    <x v="0"/>
    <n v="42.692399999999999"/>
    <n v="11.859"/>
  </r>
  <r>
    <x v="0"/>
    <x v="4"/>
    <x v="5"/>
    <x v="9"/>
    <s v="LT_SiaU"/>
    <x v="3"/>
    <n v="57.7974681027342"/>
    <n v="16.054852250759499"/>
  </r>
  <r>
    <x v="0"/>
    <x v="4"/>
    <x v="5"/>
    <x v="9"/>
    <s v="LT_SiaU"/>
    <x v="4"/>
    <n v="8.1139884009941898"/>
    <n v="2.2538856669428302"/>
  </r>
  <r>
    <x v="0"/>
    <x v="4"/>
    <x v="5"/>
    <x v="9"/>
    <s v="LT_SiaU"/>
    <x v="5"/>
    <n v="8.1139884009941898"/>
    <n v="2.2538856669428302"/>
  </r>
  <r>
    <x v="0"/>
    <x v="4"/>
    <x v="5"/>
    <x v="9"/>
    <s v="LT_SiaU"/>
    <x v="6"/>
    <n v="30.770439105219602"/>
    <n v="8.5473441958943202"/>
  </r>
  <r>
    <x v="0"/>
    <x v="4"/>
    <x v="5"/>
    <x v="9"/>
    <s v="LT_SiaU"/>
    <x v="7"/>
    <n v="71.350180613090302"/>
    <n v="19.819494614747299"/>
  </r>
  <r>
    <x v="0"/>
    <x v="4"/>
    <x v="5"/>
    <x v="9"/>
    <s v="LT_SiaU"/>
    <x v="8"/>
    <n v="71.350180613090302"/>
    <n v="19.819494614747299"/>
  </r>
  <r>
    <x v="0"/>
    <x v="4"/>
    <x v="5"/>
    <x v="9"/>
    <s v="LT_SiaU"/>
    <x v="9"/>
    <n v="44.803327257663497"/>
    <n v="12.4453686826843"/>
  </r>
  <r>
    <x v="0"/>
    <x v="4"/>
    <x v="5"/>
    <x v="9"/>
    <s v="LT_SiaU"/>
    <x v="10"/>
    <n v="54.681226180612903"/>
    <n v="15.1892294946147"/>
  </r>
  <r>
    <x v="0"/>
    <x v="4"/>
    <x v="5"/>
    <x v="9"/>
    <s v="LT_SiaU"/>
    <x v="11"/>
    <n v="3.8806031483015802"/>
    <n v="1.07794531897266"/>
  </r>
  <r>
    <x v="0"/>
    <x v="4"/>
    <x v="5"/>
    <x v="9"/>
    <s v="LT_SiaU"/>
    <x v="12"/>
    <n v="9.7995028997514597E-2"/>
    <n v="2.72208413881985E-2"/>
  </r>
  <r>
    <x v="0"/>
    <x v="4"/>
    <x v="5"/>
    <x v="9"/>
    <s v="LT_SiaU"/>
    <x v="13"/>
    <n v="21.5197083678542"/>
    <n v="5.9776967688483804"/>
  </r>
  <r>
    <x v="0"/>
    <x v="4"/>
    <x v="5"/>
    <x v="9"/>
    <s v="LT_SiaU"/>
    <x v="14"/>
    <n v="21.5197083678542"/>
    <n v="5.9776967688483804"/>
  </r>
  <r>
    <x v="0"/>
    <x v="4"/>
    <x v="5"/>
    <x v="9"/>
    <s v="LT_SiaU"/>
    <x v="15"/>
    <n v="1.65807589063794"/>
    <n v="0.46057663628831802"/>
  </r>
  <r>
    <x v="0"/>
    <x v="4"/>
    <x v="5"/>
    <x v="9"/>
    <s v="LT_SiaU"/>
    <x v="16"/>
    <n v="8.3492014028755008"/>
    <n v="2.31922261190986"/>
  </r>
  <r>
    <x v="0"/>
    <x v="4"/>
    <x v="5"/>
    <x v="9"/>
    <s v="LT_SiaU"/>
    <x v="17"/>
    <n v="9.5251168185584092"/>
    <n v="2.6458657829328902"/>
  </r>
  <r>
    <x v="0"/>
    <x v="4"/>
    <x v="5"/>
    <x v="9"/>
    <s v="LT_SiaU"/>
    <x v="18"/>
    <n v="21.5197083678542"/>
    <n v="5.9776967688483804"/>
  </r>
  <r>
    <x v="0"/>
    <x v="4"/>
    <x v="5"/>
    <x v="9"/>
    <s v="LT_SiaU"/>
    <x v="19"/>
    <n v="8.1139884009941898"/>
    <n v="2.2538856669428302"/>
  </r>
  <r>
    <x v="0"/>
    <x v="4"/>
    <x v="5"/>
    <x v="9"/>
    <s v="LT_SiaU"/>
    <x v="20"/>
    <n v="19.336735244541"/>
    <n v="5.37131534570584"/>
  </r>
  <r>
    <x v="0"/>
    <x v="4"/>
    <x v="5"/>
    <x v="9"/>
    <s v="LT_SiaU"/>
    <x v="21"/>
    <n v="53.225806451612797"/>
    <n v="14.784946236559099"/>
  </r>
  <r>
    <x v="0"/>
    <x v="4"/>
    <x v="5"/>
    <x v="9"/>
    <s v="LT_SiaU"/>
    <x v="22"/>
    <n v="130.68"/>
    <n v="36.299999999999997"/>
  </r>
  <r>
    <x v="0"/>
    <x v="4"/>
    <x v="5"/>
    <x v="9"/>
    <s v="LT_SiaU"/>
    <x v="23"/>
    <n v="0.35278210439105201"/>
    <n v="9.7995028997514499E-2"/>
  </r>
  <r>
    <x v="0"/>
    <x v="4"/>
    <x v="5"/>
    <x v="9"/>
    <s v="LT_SiaU"/>
    <x v="24"/>
    <n v="20.0161025734538"/>
    <n v="5.5600284926260501"/>
  </r>
  <r>
    <x v="0"/>
    <x v="4"/>
    <x v="5"/>
    <x v="9"/>
    <s v="LT_SiaU"/>
    <x v="25"/>
    <n v="22.356874337357301"/>
    <n v="6.2102428714881297"/>
  </r>
  <r>
    <x v="0"/>
    <x v="4"/>
    <x v="5"/>
    <x v="9"/>
    <s v="LT_SiaU"/>
    <x v="26"/>
    <n v="29.6651032387655"/>
    <n v="8.2403064552126306"/>
  </r>
  <r>
    <x v="0"/>
    <x v="4"/>
    <x v="5"/>
    <x v="9"/>
    <s v="LT_SiaU"/>
    <x v="27"/>
    <n v="21.049332228666099"/>
    <n v="5.8470367301850299"/>
  </r>
  <r>
    <x v="0"/>
    <x v="4"/>
    <x v="5"/>
    <x v="9"/>
    <s v="LT_VilU"/>
    <x v="1"/>
    <n v="35.989199999999997"/>
    <n v="9.9969999999999999"/>
  </r>
  <r>
    <x v="0"/>
    <x v="4"/>
    <x v="5"/>
    <x v="9"/>
    <s v="LT_VilU"/>
    <x v="2"/>
    <n v="57.96"/>
    <n v="16.100000000000001"/>
  </r>
  <r>
    <x v="0"/>
    <x v="4"/>
    <x v="5"/>
    <x v="9"/>
    <s v="LT_VilU"/>
    <x v="0"/>
    <n v="42.692399999999999"/>
    <n v="11.859"/>
  </r>
  <r>
    <x v="0"/>
    <x v="4"/>
    <x v="5"/>
    <x v="9"/>
    <s v="LT_VilU"/>
    <x v="3"/>
    <n v="57.7974681027342"/>
    <n v="16.054852250759499"/>
  </r>
  <r>
    <x v="0"/>
    <x v="4"/>
    <x v="5"/>
    <x v="9"/>
    <s v="LT_VilU"/>
    <x v="4"/>
    <n v="8.1139884009941898"/>
    <n v="2.2538856669428302"/>
  </r>
  <r>
    <x v="0"/>
    <x v="4"/>
    <x v="5"/>
    <x v="9"/>
    <s v="LT_VilU"/>
    <x v="5"/>
    <n v="8.1139884009941898"/>
    <n v="2.2538856669428302"/>
  </r>
  <r>
    <x v="0"/>
    <x v="4"/>
    <x v="5"/>
    <x v="9"/>
    <s v="LT_VilU"/>
    <x v="6"/>
    <n v="30.770439105219602"/>
    <n v="8.5473441958943202"/>
  </r>
  <r>
    <x v="0"/>
    <x v="4"/>
    <x v="5"/>
    <x v="9"/>
    <s v="LT_VilU"/>
    <x v="7"/>
    <n v="71.350180613090302"/>
    <n v="19.819494614747299"/>
  </r>
  <r>
    <x v="0"/>
    <x v="4"/>
    <x v="5"/>
    <x v="9"/>
    <s v="LT_VilU"/>
    <x v="8"/>
    <n v="71.350180613090302"/>
    <n v="19.819494614747299"/>
  </r>
  <r>
    <x v="0"/>
    <x v="4"/>
    <x v="5"/>
    <x v="9"/>
    <s v="LT_VilU"/>
    <x v="9"/>
    <n v="44.803327257663497"/>
    <n v="12.4453686826843"/>
  </r>
  <r>
    <x v="0"/>
    <x v="4"/>
    <x v="5"/>
    <x v="9"/>
    <s v="LT_VilU"/>
    <x v="10"/>
    <n v="54.681226180612903"/>
    <n v="15.1892294946147"/>
  </r>
  <r>
    <x v="0"/>
    <x v="4"/>
    <x v="5"/>
    <x v="9"/>
    <s v="LT_VilU"/>
    <x v="11"/>
    <n v="3.8806031483015802"/>
    <n v="1.07794531897266"/>
  </r>
  <r>
    <x v="0"/>
    <x v="4"/>
    <x v="5"/>
    <x v="9"/>
    <s v="LT_VilU"/>
    <x v="12"/>
    <n v="9.7995028997514597E-2"/>
    <n v="2.72208413881985E-2"/>
  </r>
  <r>
    <x v="0"/>
    <x v="4"/>
    <x v="5"/>
    <x v="9"/>
    <s v="LT_VilU"/>
    <x v="13"/>
    <n v="21.5197083678542"/>
    <n v="5.9776967688483804"/>
  </r>
  <r>
    <x v="0"/>
    <x v="4"/>
    <x v="5"/>
    <x v="9"/>
    <s v="LT_VilU"/>
    <x v="14"/>
    <n v="21.5197083678542"/>
    <n v="5.9776967688483804"/>
  </r>
  <r>
    <x v="0"/>
    <x v="4"/>
    <x v="5"/>
    <x v="9"/>
    <s v="LT_VilU"/>
    <x v="15"/>
    <n v="1.65807589063794"/>
    <n v="0.46057663628831802"/>
  </r>
  <r>
    <x v="0"/>
    <x v="4"/>
    <x v="5"/>
    <x v="9"/>
    <s v="LT_VilU"/>
    <x v="16"/>
    <n v="8.3492014028755008"/>
    <n v="2.31922261190986"/>
  </r>
  <r>
    <x v="0"/>
    <x v="4"/>
    <x v="5"/>
    <x v="9"/>
    <s v="LT_VilU"/>
    <x v="17"/>
    <n v="9.5251168185584092"/>
    <n v="2.6458657829328902"/>
  </r>
  <r>
    <x v="0"/>
    <x v="4"/>
    <x v="5"/>
    <x v="9"/>
    <s v="LT_VilU"/>
    <x v="18"/>
    <n v="21.5197083678542"/>
    <n v="5.9776967688483804"/>
  </r>
  <r>
    <x v="0"/>
    <x v="4"/>
    <x v="5"/>
    <x v="9"/>
    <s v="LT_VilU"/>
    <x v="19"/>
    <n v="8.1139884009941898"/>
    <n v="2.2538856669428302"/>
  </r>
  <r>
    <x v="0"/>
    <x v="4"/>
    <x v="5"/>
    <x v="9"/>
    <s v="LT_VilU"/>
    <x v="20"/>
    <n v="19.336735244541"/>
    <n v="5.37131534570584"/>
  </r>
  <r>
    <x v="0"/>
    <x v="4"/>
    <x v="5"/>
    <x v="9"/>
    <s v="LT_VilU"/>
    <x v="21"/>
    <n v="53.225806451612797"/>
    <n v="14.784946236559099"/>
  </r>
  <r>
    <x v="0"/>
    <x v="4"/>
    <x v="5"/>
    <x v="9"/>
    <s v="LT_VilU"/>
    <x v="22"/>
    <n v="130.68"/>
    <n v="36.299999999999997"/>
  </r>
  <r>
    <x v="0"/>
    <x v="4"/>
    <x v="5"/>
    <x v="9"/>
    <s v="LT_VilU"/>
    <x v="23"/>
    <n v="0.35278210439105201"/>
    <n v="9.7995028997514499E-2"/>
  </r>
  <r>
    <x v="0"/>
    <x v="4"/>
    <x v="5"/>
    <x v="9"/>
    <s v="LT_VilU"/>
    <x v="24"/>
    <n v="20.0161025734538"/>
    <n v="5.5600284926260501"/>
  </r>
  <r>
    <x v="0"/>
    <x v="4"/>
    <x v="5"/>
    <x v="9"/>
    <s v="LT_VilU"/>
    <x v="25"/>
    <n v="22.356874337357301"/>
    <n v="6.2102428714881297"/>
  </r>
  <r>
    <x v="0"/>
    <x v="4"/>
    <x v="5"/>
    <x v="9"/>
    <s v="LT_VilU"/>
    <x v="26"/>
    <n v="29.6651032387655"/>
    <n v="8.2403064552126306"/>
  </r>
  <r>
    <x v="0"/>
    <x v="4"/>
    <x v="5"/>
    <x v="9"/>
    <s v="LT_VilU"/>
    <x v="27"/>
    <n v="21.049332228666099"/>
    <n v="5.8470367301850299"/>
  </r>
  <r>
    <x v="0"/>
    <x v="4"/>
    <x v="6"/>
    <x v="10"/>
    <s v="NL_A"/>
    <x v="1"/>
    <n v="35.989199999999997"/>
    <n v="9.9969999999999999"/>
  </r>
  <r>
    <x v="0"/>
    <x v="4"/>
    <x v="6"/>
    <x v="10"/>
    <s v="NL_A"/>
    <x v="2"/>
    <n v="57.96"/>
    <n v="16.100000000000001"/>
  </r>
  <r>
    <x v="0"/>
    <x v="4"/>
    <x v="6"/>
    <x v="10"/>
    <s v="NL_A"/>
    <x v="0"/>
    <n v="42.692399999999999"/>
    <n v="11.859"/>
  </r>
  <r>
    <x v="0"/>
    <x v="4"/>
    <x v="6"/>
    <x v="10"/>
    <s v="NL_A"/>
    <x v="3"/>
    <n v="57.7974681027342"/>
    <n v="16.054852250759499"/>
  </r>
  <r>
    <x v="0"/>
    <x v="4"/>
    <x v="6"/>
    <x v="10"/>
    <s v="NL_A"/>
    <x v="4"/>
    <n v="8.1139884009941898"/>
    <n v="2.2538856669428302"/>
  </r>
  <r>
    <x v="0"/>
    <x v="4"/>
    <x v="6"/>
    <x v="10"/>
    <s v="NL_A"/>
    <x v="5"/>
    <n v="8.1139884009941898"/>
    <n v="2.2538856669428302"/>
  </r>
  <r>
    <x v="0"/>
    <x v="4"/>
    <x v="6"/>
    <x v="10"/>
    <s v="NL_A"/>
    <x v="6"/>
    <n v="30.770439105219602"/>
    <n v="8.5473441958943202"/>
  </r>
  <r>
    <x v="0"/>
    <x v="4"/>
    <x v="6"/>
    <x v="10"/>
    <s v="NL_A"/>
    <x v="7"/>
    <n v="71.350180613090302"/>
    <n v="19.819494614747299"/>
  </r>
  <r>
    <x v="0"/>
    <x v="4"/>
    <x v="6"/>
    <x v="10"/>
    <s v="NL_A"/>
    <x v="8"/>
    <n v="71.350180613090302"/>
    <n v="19.819494614747299"/>
  </r>
  <r>
    <x v="0"/>
    <x v="4"/>
    <x v="6"/>
    <x v="10"/>
    <s v="NL_A"/>
    <x v="9"/>
    <n v="44.803327257663497"/>
    <n v="12.4453686826843"/>
  </r>
  <r>
    <x v="0"/>
    <x v="4"/>
    <x v="6"/>
    <x v="10"/>
    <s v="NL_A"/>
    <x v="10"/>
    <n v="54.681226180612903"/>
    <n v="15.1892294946147"/>
  </r>
  <r>
    <x v="0"/>
    <x v="4"/>
    <x v="6"/>
    <x v="10"/>
    <s v="NL_A"/>
    <x v="11"/>
    <n v="3.8806031483015802"/>
    <n v="1.07794531897266"/>
  </r>
  <r>
    <x v="0"/>
    <x v="4"/>
    <x v="6"/>
    <x v="10"/>
    <s v="NL_A"/>
    <x v="12"/>
    <n v="9.7995028997514597E-2"/>
    <n v="2.72208413881985E-2"/>
  </r>
  <r>
    <x v="0"/>
    <x v="4"/>
    <x v="6"/>
    <x v="10"/>
    <s v="NL_A"/>
    <x v="13"/>
    <n v="21.5197083678542"/>
    <n v="5.9776967688483804"/>
  </r>
  <r>
    <x v="0"/>
    <x v="4"/>
    <x v="6"/>
    <x v="10"/>
    <s v="NL_A"/>
    <x v="14"/>
    <n v="21.5197083678542"/>
    <n v="5.9776967688483804"/>
  </r>
  <r>
    <x v="0"/>
    <x v="4"/>
    <x v="6"/>
    <x v="10"/>
    <s v="NL_A"/>
    <x v="15"/>
    <n v="1.65807589063794"/>
    <n v="0.46057663628831802"/>
  </r>
  <r>
    <x v="0"/>
    <x v="4"/>
    <x v="6"/>
    <x v="10"/>
    <s v="NL_A"/>
    <x v="16"/>
    <n v="8.3492014028755008"/>
    <n v="2.31922261190986"/>
  </r>
  <r>
    <x v="0"/>
    <x v="4"/>
    <x v="6"/>
    <x v="10"/>
    <s v="NL_A"/>
    <x v="17"/>
    <n v="9.5251168185584092"/>
    <n v="2.6458657829328902"/>
  </r>
  <r>
    <x v="0"/>
    <x v="4"/>
    <x v="6"/>
    <x v="10"/>
    <s v="NL_A"/>
    <x v="18"/>
    <n v="21.5197083678542"/>
    <n v="5.9776967688483804"/>
  </r>
  <r>
    <x v="0"/>
    <x v="4"/>
    <x v="6"/>
    <x v="10"/>
    <s v="NL_A"/>
    <x v="19"/>
    <n v="8.1139884009941898"/>
    <n v="2.2538856669428302"/>
  </r>
  <r>
    <x v="0"/>
    <x v="4"/>
    <x v="6"/>
    <x v="10"/>
    <s v="NL_A"/>
    <x v="20"/>
    <n v="19.336735244541"/>
    <n v="5.37131534570584"/>
  </r>
  <r>
    <x v="0"/>
    <x v="4"/>
    <x v="6"/>
    <x v="10"/>
    <s v="NL_A"/>
    <x v="21"/>
    <n v="53.225806451612797"/>
    <n v="14.784946236559099"/>
  </r>
  <r>
    <x v="0"/>
    <x v="4"/>
    <x v="6"/>
    <x v="10"/>
    <s v="NL_A"/>
    <x v="22"/>
    <n v="130.68"/>
    <n v="36.299999999999997"/>
  </r>
  <r>
    <x v="0"/>
    <x v="4"/>
    <x v="6"/>
    <x v="10"/>
    <s v="NL_A"/>
    <x v="23"/>
    <n v="0.35278210439105201"/>
    <n v="9.7995028997514499E-2"/>
  </r>
  <r>
    <x v="0"/>
    <x v="4"/>
    <x v="6"/>
    <x v="10"/>
    <s v="NL_A"/>
    <x v="24"/>
    <n v="20.0161025734538"/>
    <n v="5.5600284926260501"/>
  </r>
  <r>
    <x v="0"/>
    <x v="4"/>
    <x v="6"/>
    <x v="10"/>
    <s v="NL_A"/>
    <x v="25"/>
    <n v="22.356874337357301"/>
    <n v="6.2102428714881297"/>
  </r>
  <r>
    <x v="0"/>
    <x v="4"/>
    <x v="6"/>
    <x v="10"/>
    <s v="NL_A"/>
    <x v="26"/>
    <n v="29.6651032387655"/>
    <n v="8.2403064552126306"/>
  </r>
  <r>
    <x v="0"/>
    <x v="4"/>
    <x v="6"/>
    <x v="10"/>
    <s v="NL_A"/>
    <x v="27"/>
    <n v="21.049332228666099"/>
    <n v="5.8470367301850299"/>
  </r>
  <r>
    <x v="0"/>
    <x v="4"/>
    <x v="6"/>
    <x v="10"/>
    <s v="NL_OFFSHORE"/>
    <x v="1"/>
    <n v="35.989199999999997"/>
    <n v="9.9969999999999999"/>
  </r>
  <r>
    <x v="0"/>
    <x v="4"/>
    <x v="6"/>
    <x v="10"/>
    <s v="NL_OFFSHORE"/>
    <x v="2"/>
    <n v="57.96"/>
    <n v="16.100000000000001"/>
  </r>
  <r>
    <x v="0"/>
    <x v="4"/>
    <x v="6"/>
    <x v="10"/>
    <s v="NL_OFFSHORE"/>
    <x v="0"/>
    <n v="42.692399999999999"/>
    <n v="11.859"/>
  </r>
  <r>
    <x v="0"/>
    <x v="4"/>
    <x v="6"/>
    <x v="10"/>
    <s v="NL_OFFSHORE"/>
    <x v="3"/>
    <n v="57.7974681027342"/>
    <n v="16.054852250759499"/>
  </r>
  <r>
    <x v="0"/>
    <x v="4"/>
    <x v="6"/>
    <x v="10"/>
    <s v="NL_OFFSHORE"/>
    <x v="4"/>
    <n v="8.1139884009941898"/>
    <n v="2.2538856669428302"/>
  </r>
  <r>
    <x v="0"/>
    <x v="4"/>
    <x v="6"/>
    <x v="10"/>
    <s v="NL_OFFSHORE"/>
    <x v="5"/>
    <n v="8.1139884009941898"/>
    <n v="2.2538856669428302"/>
  </r>
  <r>
    <x v="0"/>
    <x v="4"/>
    <x v="6"/>
    <x v="10"/>
    <s v="NL_OFFSHORE"/>
    <x v="6"/>
    <n v="30.770439105219602"/>
    <n v="8.5473441958943202"/>
  </r>
  <r>
    <x v="0"/>
    <x v="4"/>
    <x v="6"/>
    <x v="10"/>
    <s v="NL_OFFSHORE"/>
    <x v="7"/>
    <n v="71.350180613090302"/>
    <n v="19.819494614747299"/>
  </r>
  <r>
    <x v="0"/>
    <x v="4"/>
    <x v="6"/>
    <x v="10"/>
    <s v="NL_OFFSHORE"/>
    <x v="8"/>
    <n v="71.350180613090302"/>
    <n v="19.819494614747299"/>
  </r>
  <r>
    <x v="0"/>
    <x v="4"/>
    <x v="6"/>
    <x v="10"/>
    <s v="NL_OFFSHORE"/>
    <x v="9"/>
    <n v="44.803327257663497"/>
    <n v="12.4453686826843"/>
  </r>
  <r>
    <x v="0"/>
    <x v="4"/>
    <x v="6"/>
    <x v="10"/>
    <s v="NL_OFFSHORE"/>
    <x v="10"/>
    <n v="54.681226180612903"/>
    <n v="15.1892294946147"/>
  </r>
  <r>
    <x v="0"/>
    <x v="4"/>
    <x v="6"/>
    <x v="10"/>
    <s v="NL_OFFSHORE"/>
    <x v="11"/>
    <n v="3.8806031483015802"/>
    <n v="1.07794531897266"/>
  </r>
  <r>
    <x v="0"/>
    <x v="4"/>
    <x v="6"/>
    <x v="10"/>
    <s v="NL_OFFSHORE"/>
    <x v="12"/>
    <n v="9.7995028997514597E-2"/>
    <n v="2.72208413881985E-2"/>
  </r>
  <r>
    <x v="0"/>
    <x v="4"/>
    <x v="6"/>
    <x v="10"/>
    <s v="NL_OFFSHORE"/>
    <x v="13"/>
    <n v="21.5197083678542"/>
    <n v="5.9776967688483804"/>
  </r>
  <r>
    <x v="0"/>
    <x v="4"/>
    <x v="6"/>
    <x v="10"/>
    <s v="NL_OFFSHORE"/>
    <x v="14"/>
    <n v="21.5197083678542"/>
    <n v="5.9776967688483804"/>
  </r>
  <r>
    <x v="0"/>
    <x v="4"/>
    <x v="6"/>
    <x v="10"/>
    <s v="NL_OFFSHORE"/>
    <x v="15"/>
    <n v="1.65807589063794"/>
    <n v="0.46057663628831802"/>
  </r>
  <r>
    <x v="0"/>
    <x v="4"/>
    <x v="6"/>
    <x v="10"/>
    <s v="NL_OFFSHORE"/>
    <x v="16"/>
    <n v="8.3492014028755008"/>
    <n v="2.31922261190986"/>
  </r>
  <r>
    <x v="0"/>
    <x v="4"/>
    <x v="6"/>
    <x v="10"/>
    <s v="NL_OFFSHORE"/>
    <x v="17"/>
    <n v="9.5251168185584092"/>
    <n v="2.6458657829328902"/>
  </r>
  <r>
    <x v="0"/>
    <x v="4"/>
    <x v="6"/>
    <x v="10"/>
    <s v="NL_OFFSHORE"/>
    <x v="18"/>
    <n v="21.5197083678542"/>
    <n v="5.9776967688483804"/>
  </r>
  <r>
    <x v="0"/>
    <x v="4"/>
    <x v="6"/>
    <x v="10"/>
    <s v="NL_OFFSHORE"/>
    <x v="19"/>
    <n v="8.1139884009941898"/>
    <n v="2.2538856669428302"/>
  </r>
  <r>
    <x v="0"/>
    <x v="4"/>
    <x v="6"/>
    <x v="10"/>
    <s v="NL_OFFSHORE"/>
    <x v="20"/>
    <n v="19.336735244541"/>
    <n v="5.37131534570584"/>
  </r>
  <r>
    <x v="0"/>
    <x v="4"/>
    <x v="6"/>
    <x v="10"/>
    <s v="NL_OFFSHORE"/>
    <x v="21"/>
    <n v="53.225806451612797"/>
    <n v="14.784946236559099"/>
  </r>
  <r>
    <x v="0"/>
    <x v="4"/>
    <x v="6"/>
    <x v="10"/>
    <s v="NL_OFFSHORE"/>
    <x v="22"/>
    <n v="130.68"/>
    <n v="36.299999999999997"/>
  </r>
  <r>
    <x v="0"/>
    <x v="4"/>
    <x v="6"/>
    <x v="10"/>
    <s v="NL_OFFSHORE"/>
    <x v="23"/>
    <n v="0.35278210439105201"/>
    <n v="9.7995028997514499E-2"/>
  </r>
  <r>
    <x v="0"/>
    <x v="4"/>
    <x v="6"/>
    <x v="10"/>
    <s v="NL_OFFSHORE"/>
    <x v="24"/>
    <n v="20.0161025734538"/>
    <n v="5.5600284926260501"/>
  </r>
  <r>
    <x v="0"/>
    <x v="4"/>
    <x v="6"/>
    <x v="10"/>
    <s v="NL_OFFSHORE"/>
    <x v="25"/>
    <n v="22.356874337357301"/>
    <n v="6.2102428714881297"/>
  </r>
  <r>
    <x v="0"/>
    <x v="4"/>
    <x v="6"/>
    <x v="10"/>
    <s v="NL_OFFSHORE"/>
    <x v="26"/>
    <n v="29.6651032387655"/>
    <n v="8.2403064552126306"/>
  </r>
  <r>
    <x v="0"/>
    <x v="4"/>
    <x v="6"/>
    <x v="10"/>
    <s v="NL_OFFSHORE"/>
    <x v="27"/>
    <n v="21.049332228666099"/>
    <n v="5.8470367301850299"/>
  </r>
  <r>
    <x v="0"/>
    <x v="4"/>
    <x v="7"/>
    <x v="11"/>
    <s v="NO1_A1"/>
    <x v="1"/>
    <n v="35.989199999999997"/>
    <n v="9.9969999999999999"/>
  </r>
  <r>
    <x v="0"/>
    <x v="4"/>
    <x v="7"/>
    <x v="11"/>
    <s v="NO1_A1"/>
    <x v="2"/>
    <n v="57.96"/>
    <n v="16.100000000000001"/>
  </r>
  <r>
    <x v="0"/>
    <x v="4"/>
    <x v="7"/>
    <x v="11"/>
    <s v="NO1_A1"/>
    <x v="0"/>
    <n v="42.692399999999999"/>
    <n v="11.859"/>
  </r>
  <r>
    <x v="0"/>
    <x v="4"/>
    <x v="7"/>
    <x v="11"/>
    <s v="NO1_A1"/>
    <x v="3"/>
    <n v="57.7974681027342"/>
    <n v="16.054852250759499"/>
  </r>
  <r>
    <x v="0"/>
    <x v="4"/>
    <x v="7"/>
    <x v="11"/>
    <s v="NO1_A1"/>
    <x v="4"/>
    <n v="8.1139884009941898"/>
    <n v="2.2538856669428302"/>
  </r>
  <r>
    <x v="0"/>
    <x v="4"/>
    <x v="7"/>
    <x v="11"/>
    <s v="NO1_A1"/>
    <x v="5"/>
    <n v="8.1139884009941898"/>
    <n v="2.2538856669428302"/>
  </r>
  <r>
    <x v="0"/>
    <x v="4"/>
    <x v="7"/>
    <x v="11"/>
    <s v="NO1_A1"/>
    <x v="6"/>
    <n v="30.770439105219602"/>
    <n v="8.5473441958943202"/>
  </r>
  <r>
    <x v="0"/>
    <x v="4"/>
    <x v="7"/>
    <x v="11"/>
    <s v="NO1_A1"/>
    <x v="7"/>
    <n v="71.350180613090302"/>
    <n v="19.819494614747299"/>
  </r>
  <r>
    <x v="0"/>
    <x v="4"/>
    <x v="7"/>
    <x v="11"/>
    <s v="NO1_A1"/>
    <x v="8"/>
    <n v="71.350180613090302"/>
    <n v="19.819494614747299"/>
  </r>
  <r>
    <x v="0"/>
    <x v="4"/>
    <x v="7"/>
    <x v="11"/>
    <s v="NO1_A1"/>
    <x v="9"/>
    <n v="44.803327257663497"/>
    <n v="12.4453686826843"/>
  </r>
  <r>
    <x v="0"/>
    <x v="4"/>
    <x v="7"/>
    <x v="11"/>
    <s v="NO1_A1"/>
    <x v="10"/>
    <n v="54.681226180612903"/>
    <n v="15.1892294946147"/>
  </r>
  <r>
    <x v="0"/>
    <x v="4"/>
    <x v="7"/>
    <x v="11"/>
    <s v="NO1_A1"/>
    <x v="11"/>
    <n v="3.8806031483015802"/>
    <n v="1.07794531897266"/>
  </r>
  <r>
    <x v="0"/>
    <x v="4"/>
    <x v="7"/>
    <x v="11"/>
    <s v="NO1_A1"/>
    <x v="12"/>
    <n v="9.7995028997514597E-2"/>
    <n v="2.72208413881985E-2"/>
  </r>
  <r>
    <x v="0"/>
    <x v="4"/>
    <x v="7"/>
    <x v="11"/>
    <s v="NO1_A1"/>
    <x v="13"/>
    <n v="21.5197083678542"/>
    <n v="5.9776967688483804"/>
  </r>
  <r>
    <x v="0"/>
    <x v="4"/>
    <x v="7"/>
    <x v="11"/>
    <s v="NO1_A1"/>
    <x v="14"/>
    <n v="21.5197083678542"/>
    <n v="5.9776967688483804"/>
  </r>
  <r>
    <x v="0"/>
    <x v="4"/>
    <x v="7"/>
    <x v="11"/>
    <s v="NO1_A1"/>
    <x v="15"/>
    <n v="1.65807589063794"/>
    <n v="0.46057663628831802"/>
  </r>
  <r>
    <x v="0"/>
    <x v="4"/>
    <x v="7"/>
    <x v="11"/>
    <s v="NO1_A1"/>
    <x v="16"/>
    <n v="8.3492014028755008"/>
    <n v="2.31922261190986"/>
  </r>
  <r>
    <x v="0"/>
    <x v="4"/>
    <x v="7"/>
    <x v="11"/>
    <s v="NO1_A1"/>
    <x v="17"/>
    <n v="9.5251168185584092"/>
    <n v="2.6458657829328902"/>
  </r>
  <r>
    <x v="0"/>
    <x v="4"/>
    <x v="7"/>
    <x v="11"/>
    <s v="NO1_A1"/>
    <x v="18"/>
    <n v="21.5197083678542"/>
    <n v="5.9776967688483804"/>
  </r>
  <r>
    <x v="0"/>
    <x v="4"/>
    <x v="7"/>
    <x v="11"/>
    <s v="NO1_A1"/>
    <x v="19"/>
    <n v="8.1139884009941898"/>
    <n v="2.2538856669428302"/>
  </r>
  <r>
    <x v="0"/>
    <x v="4"/>
    <x v="7"/>
    <x v="11"/>
    <s v="NO1_A1"/>
    <x v="20"/>
    <n v="19.336735244541"/>
    <n v="5.37131534570584"/>
  </r>
  <r>
    <x v="0"/>
    <x v="4"/>
    <x v="7"/>
    <x v="11"/>
    <s v="NO1_A1"/>
    <x v="21"/>
    <n v="53.225806451612797"/>
    <n v="14.784946236559099"/>
  </r>
  <r>
    <x v="0"/>
    <x v="4"/>
    <x v="7"/>
    <x v="11"/>
    <s v="NO1_A1"/>
    <x v="22"/>
    <n v="130.68"/>
    <n v="36.299999999999997"/>
  </r>
  <r>
    <x v="0"/>
    <x v="4"/>
    <x v="7"/>
    <x v="11"/>
    <s v="NO1_A1"/>
    <x v="23"/>
    <n v="0.35278210439105201"/>
    <n v="9.7995028997514499E-2"/>
  </r>
  <r>
    <x v="0"/>
    <x v="4"/>
    <x v="7"/>
    <x v="11"/>
    <s v="NO1_A1"/>
    <x v="24"/>
    <n v="20.0161025734538"/>
    <n v="5.5600284926260501"/>
  </r>
  <r>
    <x v="0"/>
    <x v="4"/>
    <x v="7"/>
    <x v="11"/>
    <s v="NO1_A1"/>
    <x v="25"/>
    <n v="22.356874337357301"/>
    <n v="6.2102428714881297"/>
  </r>
  <r>
    <x v="0"/>
    <x v="4"/>
    <x v="7"/>
    <x v="11"/>
    <s v="NO1_A1"/>
    <x v="26"/>
    <n v="29.6651032387655"/>
    <n v="8.2403064552126306"/>
  </r>
  <r>
    <x v="0"/>
    <x v="4"/>
    <x v="7"/>
    <x v="11"/>
    <s v="NO1_A1"/>
    <x v="27"/>
    <n v="21.049332228666099"/>
    <n v="5.8470367301850299"/>
  </r>
  <r>
    <x v="0"/>
    <x v="4"/>
    <x v="7"/>
    <x v="11"/>
    <s v="NO1_A2"/>
    <x v="1"/>
    <n v="35.989199999999997"/>
    <n v="9.9969999999999999"/>
  </r>
  <r>
    <x v="0"/>
    <x v="4"/>
    <x v="7"/>
    <x v="11"/>
    <s v="NO1_A2"/>
    <x v="2"/>
    <n v="57.96"/>
    <n v="16.100000000000001"/>
  </r>
  <r>
    <x v="0"/>
    <x v="4"/>
    <x v="7"/>
    <x v="11"/>
    <s v="NO1_A2"/>
    <x v="0"/>
    <n v="42.692399999999999"/>
    <n v="11.859"/>
  </r>
  <r>
    <x v="0"/>
    <x v="4"/>
    <x v="7"/>
    <x v="11"/>
    <s v="NO1_A2"/>
    <x v="3"/>
    <n v="57.7974681027342"/>
    <n v="16.054852250759499"/>
  </r>
  <r>
    <x v="0"/>
    <x v="4"/>
    <x v="7"/>
    <x v="11"/>
    <s v="NO1_A2"/>
    <x v="4"/>
    <n v="8.1139884009941898"/>
    <n v="2.2538856669428302"/>
  </r>
  <r>
    <x v="0"/>
    <x v="4"/>
    <x v="7"/>
    <x v="11"/>
    <s v="NO1_A2"/>
    <x v="5"/>
    <n v="8.1139884009941898"/>
    <n v="2.2538856669428302"/>
  </r>
  <r>
    <x v="0"/>
    <x v="4"/>
    <x v="7"/>
    <x v="11"/>
    <s v="NO1_A2"/>
    <x v="6"/>
    <n v="30.770439105219602"/>
    <n v="8.5473441958943202"/>
  </r>
  <r>
    <x v="0"/>
    <x v="4"/>
    <x v="7"/>
    <x v="11"/>
    <s v="NO1_A2"/>
    <x v="7"/>
    <n v="71.350180613090302"/>
    <n v="19.819494614747299"/>
  </r>
  <r>
    <x v="0"/>
    <x v="4"/>
    <x v="7"/>
    <x v="11"/>
    <s v="NO1_A2"/>
    <x v="8"/>
    <n v="71.350180613090302"/>
    <n v="19.819494614747299"/>
  </r>
  <r>
    <x v="0"/>
    <x v="4"/>
    <x v="7"/>
    <x v="11"/>
    <s v="NO1_A2"/>
    <x v="9"/>
    <n v="44.803327257663497"/>
    <n v="12.4453686826843"/>
  </r>
  <r>
    <x v="0"/>
    <x v="4"/>
    <x v="7"/>
    <x v="11"/>
    <s v="NO1_A2"/>
    <x v="10"/>
    <n v="54.681226180612903"/>
    <n v="15.1892294946147"/>
  </r>
  <r>
    <x v="0"/>
    <x v="4"/>
    <x v="7"/>
    <x v="11"/>
    <s v="NO1_A2"/>
    <x v="11"/>
    <n v="3.8806031483015802"/>
    <n v="1.07794531897266"/>
  </r>
  <r>
    <x v="0"/>
    <x v="4"/>
    <x v="7"/>
    <x v="11"/>
    <s v="NO1_A2"/>
    <x v="12"/>
    <n v="9.7995028997514597E-2"/>
    <n v="2.72208413881985E-2"/>
  </r>
  <r>
    <x v="0"/>
    <x v="4"/>
    <x v="7"/>
    <x v="11"/>
    <s v="NO1_A2"/>
    <x v="13"/>
    <n v="21.5197083678542"/>
    <n v="5.9776967688483804"/>
  </r>
  <r>
    <x v="0"/>
    <x v="4"/>
    <x v="7"/>
    <x v="11"/>
    <s v="NO1_A2"/>
    <x v="14"/>
    <n v="21.5197083678542"/>
    <n v="5.9776967688483804"/>
  </r>
  <r>
    <x v="0"/>
    <x v="4"/>
    <x v="7"/>
    <x v="11"/>
    <s v="NO1_A2"/>
    <x v="15"/>
    <n v="1.65807589063794"/>
    <n v="0.46057663628831802"/>
  </r>
  <r>
    <x v="0"/>
    <x v="4"/>
    <x v="7"/>
    <x v="11"/>
    <s v="NO1_A2"/>
    <x v="16"/>
    <n v="8.3492014028755008"/>
    <n v="2.31922261190986"/>
  </r>
  <r>
    <x v="0"/>
    <x v="4"/>
    <x v="7"/>
    <x v="11"/>
    <s v="NO1_A2"/>
    <x v="17"/>
    <n v="9.5251168185584092"/>
    <n v="2.6458657829328902"/>
  </r>
  <r>
    <x v="0"/>
    <x v="4"/>
    <x v="7"/>
    <x v="11"/>
    <s v="NO1_A2"/>
    <x v="18"/>
    <n v="21.5197083678542"/>
    <n v="5.9776967688483804"/>
  </r>
  <r>
    <x v="0"/>
    <x v="4"/>
    <x v="7"/>
    <x v="11"/>
    <s v="NO1_A2"/>
    <x v="19"/>
    <n v="8.1139884009941898"/>
    <n v="2.2538856669428302"/>
  </r>
  <r>
    <x v="0"/>
    <x v="4"/>
    <x v="7"/>
    <x v="11"/>
    <s v="NO1_A2"/>
    <x v="20"/>
    <n v="19.336735244541"/>
    <n v="5.37131534570584"/>
  </r>
  <r>
    <x v="0"/>
    <x v="4"/>
    <x v="7"/>
    <x v="11"/>
    <s v="NO1_A2"/>
    <x v="21"/>
    <n v="53.225806451612797"/>
    <n v="14.784946236559099"/>
  </r>
  <r>
    <x v="0"/>
    <x v="4"/>
    <x v="7"/>
    <x v="11"/>
    <s v="NO1_A2"/>
    <x v="22"/>
    <n v="130.68"/>
    <n v="36.299999999999997"/>
  </r>
  <r>
    <x v="0"/>
    <x v="4"/>
    <x v="7"/>
    <x v="11"/>
    <s v="NO1_A2"/>
    <x v="23"/>
    <n v="0.35278210439105201"/>
    <n v="9.7995028997514499E-2"/>
  </r>
  <r>
    <x v="0"/>
    <x v="4"/>
    <x v="7"/>
    <x v="11"/>
    <s v="NO1_A2"/>
    <x v="24"/>
    <n v="20.0161025734538"/>
    <n v="5.5600284926260501"/>
  </r>
  <r>
    <x v="0"/>
    <x v="4"/>
    <x v="7"/>
    <x v="11"/>
    <s v="NO1_A2"/>
    <x v="25"/>
    <n v="22.356874337357301"/>
    <n v="6.2102428714881297"/>
  </r>
  <r>
    <x v="0"/>
    <x v="4"/>
    <x v="7"/>
    <x v="11"/>
    <s v="NO1_A2"/>
    <x v="26"/>
    <n v="29.6651032387655"/>
    <n v="8.2403064552126306"/>
  </r>
  <r>
    <x v="0"/>
    <x v="4"/>
    <x v="7"/>
    <x v="11"/>
    <s v="NO1_A2"/>
    <x v="27"/>
    <n v="21.049332228666099"/>
    <n v="5.8470367301850299"/>
  </r>
  <r>
    <x v="0"/>
    <x v="4"/>
    <x v="7"/>
    <x v="11"/>
    <s v="NO1_A3"/>
    <x v="1"/>
    <n v="35.989199999999997"/>
    <n v="9.9969999999999999"/>
  </r>
  <r>
    <x v="0"/>
    <x v="4"/>
    <x v="7"/>
    <x v="11"/>
    <s v="NO1_A3"/>
    <x v="2"/>
    <n v="57.96"/>
    <n v="16.100000000000001"/>
  </r>
  <r>
    <x v="0"/>
    <x v="4"/>
    <x v="7"/>
    <x v="11"/>
    <s v="NO1_A3"/>
    <x v="0"/>
    <n v="42.692399999999999"/>
    <n v="11.859"/>
  </r>
  <r>
    <x v="0"/>
    <x v="4"/>
    <x v="7"/>
    <x v="11"/>
    <s v="NO1_A3"/>
    <x v="3"/>
    <n v="57.7974681027342"/>
    <n v="16.054852250759499"/>
  </r>
  <r>
    <x v="0"/>
    <x v="4"/>
    <x v="7"/>
    <x v="11"/>
    <s v="NO1_A3"/>
    <x v="4"/>
    <n v="8.1139884009941898"/>
    <n v="2.2538856669428302"/>
  </r>
  <r>
    <x v="0"/>
    <x v="4"/>
    <x v="7"/>
    <x v="11"/>
    <s v="NO1_A3"/>
    <x v="5"/>
    <n v="8.1139884009941898"/>
    <n v="2.2538856669428302"/>
  </r>
  <r>
    <x v="0"/>
    <x v="4"/>
    <x v="7"/>
    <x v="11"/>
    <s v="NO1_A3"/>
    <x v="6"/>
    <n v="30.770439105219602"/>
    <n v="8.5473441958943202"/>
  </r>
  <r>
    <x v="0"/>
    <x v="4"/>
    <x v="7"/>
    <x v="11"/>
    <s v="NO1_A3"/>
    <x v="7"/>
    <n v="71.350180613090302"/>
    <n v="19.819494614747299"/>
  </r>
  <r>
    <x v="0"/>
    <x v="4"/>
    <x v="7"/>
    <x v="11"/>
    <s v="NO1_A3"/>
    <x v="8"/>
    <n v="71.350180613090302"/>
    <n v="19.819494614747299"/>
  </r>
  <r>
    <x v="0"/>
    <x v="4"/>
    <x v="7"/>
    <x v="11"/>
    <s v="NO1_A3"/>
    <x v="9"/>
    <n v="44.803327257663497"/>
    <n v="12.4453686826843"/>
  </r>
  <r>
    <x v="0"/>
    <x v="4"/>
    <x v="7"/>
    <x v="11"/>
    <s v="NO1_A3"/>
    <x v="10"/>
    <n v="54.681226180612903"/>
    <n v="15.1892294946147"/>
  </r>
  <r>
    <x v="0"/>
    <x v="4"/>
    <x v="7"/>
    <x v="11"/>
    <s v="NO1_A3"/>
    <x v="11"/>
    <n v="3.8806031483015802"/>
    <n v="1.07794531897266"/>
  </r>
  <r>
    <x v="0"/>
    <x v="4"/>
    <x v="7"/>
    <x v="11"/>
    <s v="NO1_A3"/>
    <x v="12"/>
    <n v="9.7995028997514597E-2"/>
    <n v="2.72208413881985E-2"/>
  </r>
  <r>
    <x v="0"/>
    <x v="4"/>
    <x v="7"/>
    <x v="11"/>
    <s v="NO1_A3"/>
    <x v="13"/>
    <n v="21.5197083678542"/>
    <n v="5.9776967688483804"/>
  </r>
  <r>
    <x v="0"/>
    <x v="4"/>
    <x v="7"/>
    <x v="11"/>
    <s v="NO1_A3"/>
    <x v="14"/>
    <n v="21.5197083678542"/>
    <n v="5.9776967688483804"/>
  </r>
  <r>
    <x v="0"/>
    <x v="4"/>
    <x v="7"/>
    <x v="11"/>
    <s v="NO1_A3"/>
    <x v="15"/>
    <n v="1.65807589063794"/>
    <n v="0.46057663628831802"/>
  </r>
  <r>
    <x v="0"/>
    <x v="4"/>
    <x v="7"/>
    <x v="11"/>
    <s v="NO1_A3"/>
    <x v="16"/>
    <n v="8.3492014028755008"/>
    <n v="2.31922261190986"/>
  </r>
  <r>
    <x v="0"/>
    <x v="4"/>
    <x v="7"/>
    <x v="11"/>
    <s v="NO1_A3"/>
    <x v="17"/>
    <n v="9.5251168185584092"/>
    <n v="2.6458657829328902"/>
  </r>
  <r>
    <x v="0"/>
    <x v="4"/>
    <x v="7"/>
    <x v="11"/>
    <s v="NO1_A3"/>
    <x v="18"/>
    <n v="21.5197083678542"/>
    <n v="5.9776967688483804"/>
  </r>
  <r>
    <x v="0"/>
    <x v="4"/>
    <x v="7"/>
    <x v="11"/>
    <s v="NO1_A3"/>
    <x v="19"/>
    <n v="8.1139884009941898"/>
    <n v="2.2538856669428302"/>
  </r>
  <r>
    <x v="0"/>
    <x v="4"/>
    <x v="7"/>
    <x v="11"/>
    <s v="NO1_A3"/>
    <x v="20"/>
    <n v="19.336735244541"/>
    <n v="5.37131534570584"/>
  </r>
  <r>
    <x v="0"/>
    <x v="4"/>
    <x v="7"/>
    <x v="11"/>
    <s v="NO1_A3"/>
    <x v="21"/>
    <n v="53.225806451612797"/>
    <n v="14.784946236559099"/>
  </r>
  <r>
    <x v="0"/>
    <x v="4"/>
    <x v="7"/>
    <x v="11"/>
    <s v="NO1_A3"/>
    <x v="22"/>
    <n v="130.68"/>
    <n v="36.299999999999997"/>
  </r>
  <r>
    <x v="0"/>
    <x v="4"/>
    <x v="7"/>
    <x v="11"/>
    <s v="NO1_A3"/>
    <x v="23"/>
    <n v="0.35278210439105201"/>
    <n v="9.7995028997514499E-2"/>
  </r>
  <r>
    <x v="0"/>
    <x v="4"/>
    <x v="7"/>
    <x v="11"/>
    <s v="NO1_A3"/>
    <x v="24"/>
    <n v="20.0161025734538"/>
    <n v="5.5600284926260501"/>
  </r>
  <r>
    <x v="0"/>
    <x v="4"/>
    <x v="7"/>
    <x v="11"/>
    <s v="NO1_A3"/>
    <x v="25"/>
    <n v="22.356874337357301"/>
    <n v="6.2102428714881297"/>
  </r>
  <r>
    <x v="0"/>
    <x v="4"/>
    <x v="7"/>
    <x v="11"/>
    <s v="NO1_A3"/>
    <x v="26"/>
    <n v="29.6651032387655"/>
    <n v="8.2403064552126306"/>
  </r>
  <r>
    <x v="0"/>
    <x v="4"/>
    <x v="7"/>
    <x v="11"/>
    <s v="NO1_A3"/>
    <x v="27"/>
    <n v="21.049332228666099"/>
    <n v="5.8470367301850299"/>
  </r>
  <r>
    <x v="0"/>
    <x v="4"/>
    <x v="7"/>
    <x v="11"/>
    <s v="NO1_Offshore"/>
    <x v="1"/>
    <n v="35.989199999999997"/>
    <n v="9.9969999999999999"/>
  </r>
  <r>
    <x v="0"/>
    <x v="4"/>
    <x v="7"/>
    <x v="11"/>
    <s v="NO1_Offshore"/>
    <x v="2"/>
    <n v="57.96"/>
    <n v="16.100000000000001"/>
  </r>
  <r>
    <x v="0"/>
    <x v="4"/>
    <x v="7"/>
    <x v="11"/>
    <s v="NO1_Offshore"/>
    <x v="0"/>
    <n v="42.692399999999999"/>
    <n v="11.859"/>
  </r>
  <r>
    <x v="0"/>
    <x v="4"/>
    <x v="7"/>
    <x v="11"/>
    <s v="NO1_Offshore"/>
    <x v="3"/>
    <n v="57.7974681027342"/>
    <n v="16.054852250759499"/>
  </r>
  <r>
    <x v="0"/>
    <x v="4"/>
    <x v="7"/>
    <x v="11"/>
    <s v="NO1_Offshore"/>
    <x v="4"/>
    <n v="8.1139884009941898"/>
    <n v="2.2538856669428302"/>
  </r>
  <r>
    <x v="0"/>
    <x v="4"/>
    <x v="7"/>
    <x v="11"/>
    <s v="NO1_Offshore"/>
    <x v="5"/>
    <n v="8.1139884009941898"/>
    <n v="2.2538856669428302"/>
  </r>
  <r>
    <x v="0"/>
    <x v="4"/>
    <x v="7"/>
    <x v="11"/>
    <s v="NO1_Offshore"/>
    <x v="6"/>
    <n v="30.770439105219602"/>
    <n v="8.5473441958943202"/>
  </r>
  <r>
    <x v="0"/>
    <x v="4"/>
    <x v="7"/>
    <x v="11"/>
    <s v="NO1_Offshore"/>
    <x v="7"/>
    <n v="71.350180613090302"/>
    <n v="19.819494614747299"/>
  </r>
  <r>
    <x v="0"/>
    <x v="4"/>
    <x v="7"/>
    <x v="11"/>
    <s v="NO1_Offshore"/>
    <x v="8"/>
    <n v="71.350180613090302"/>
    <n v="19.819494614747299"/>
  </r>
  <r>
    <x v="0"/>
    <x v="4"/>
    <x v="7"/>
    <x v="11"/>
    <s v="NO1_Offshore"/>
    <x v="9"/>
    <n v="44.803327257663497"/>
    <n v="12.4453686826843"/>
  </r>
  <r>
    <x v="0"/>
    <x v="4"/>
    <x v="7"/>
    <x v="11"/>
    <s v="NO1_Offshore"/>
    <x v="10"/>
    <n v="54.681226180612903"/>
    <n v="15.1892294946147"/>
  </r>
  <r>
    <x v="0"/>
    <x v="4"/>
    <x v="7"/>
    <x v="11"/>
    <s v="NO1_Offshore"/>
    <x v="11"/>
    <n v="3.8806031483015802"/>
    <n v="1.07794531897266"/>
  </r>
  <r>
    <x v="0"/>
    <x v="4"/>
    <x v="7"/>
    <x v="11"/>
    <s v="NO1_Offshore"/>
    <x v="12"/>
    <n v="9.7995028997514597E-2"/>
    <n v="2.72208413881985E-2"/>
  </r>
  <r>
    <x v="0"/>
    <x v="4"/>
    <x v="7"/>
    <x v="11"/>
    <s v="NO1_Offshore"/>
    <x v="13"/>
    <n v="21.5197083678542"/>
    <n v="5.9776967688483804"/>
  </r>
  <r>
    <x v="0"/>
    <x v="4"/>
    <x v="7"/>
    <x v="11"/>
    <s v="NO1_Offshore"/>
    <x v="14"/>
    <n v="21.5197083678542"/>
    <n v="5.9776967688483804"/>
  </r>
  <r>
    <x v="0"/>
    <x v="4"/>
    <x v="7"/>
    <x v="11"/>
    <s v="NO1_Offshore"/>
    <x v="15"/>
    <n v="1.65807589063794"/>
    <n v="0.46057663628831802"/>
  </r>
  <r>
    <x v="0"/>
    <x v="4"/>
    <x v="7"/>
    <x v="11"/>
    <s v="NO1_Offshore"/>
    <x v="16"/>
    <n v="8.3492014028755008"/>
    <n v="2.31922261190986"/>
  </r>
  <r>
    <x v="0"/>
    <x v="4"/>
    <x v="7"/>
    <x v="11"/>
    <s v="NO1_Offshore"/>
    <x v="17"/>
    <n v="9.5251168185584092"/>
    <n v="2.6458657829328902"/>
  </r>
  <r>
    <x v="0"/>
    <x v="4"/>
    <x v="7"/>
    <x v="11"/>
    <s v="NO1_Offshore"/>
    <x v="18"/>
    <n v="21.5197083678542"/>
    <n v="5.9776967688483804"/>
  </r>
  <r>
    <x v="0"/>
    <x v="4"/>
    <x v="7"/>
    <x v="11"/>
    <s v="NO1_Offshore"/>
    <x v="19"/>
    <n v="8.1139884009941898"/>
    <n v="2.2538856669428302"/>
  </r>
  <r>
    <x v="0"/>
    <x v="4"/>
    <x v="7"/>
    <x v="11"/>
    <s v="NO1_Offshore"/>
    <x v="20"/>
    <n v="19.336735244541"/>
    <n v="5.37131534570584"/>
  </r>
  <r>
    <x v="0"/>
    <x v="4"/>
    <x v="7"/>
    <x v="11"/>
    <s v="NO1_Offshore"/>
    <x v="21"/>
    <n v="53.225806451612797"/>
    <n v="14.784946236559099"/>
  </r>
  <r>
    <x v="0"/>
    <x v="4"/>
    <x v="7"/>
    <x v="11"/>
    <s v="NO1_Offshore"/>
    <x v="22"/>
    <n v="130.68"/>
    <n v="36.299999999999997"/>
  </r>
  <r>
    <x v="0"/>
    <x v="4"/>
    <x v="7"/>
    <x v="11"/>
    <s v="NO1_Offshore"/>
    <x v="23"/>
    <n v="0.35278210439105201"/>
    <n v="9.7995028997514499E-2"/>
  </r>
  <r>
    <x v="0"/>
    <x v="4"/>
    <x v="7"/>
    <x v="11"/>
    <s v="NO1_Offshore"/>
    <x v="24"/>
    <n v="20.0161025734538"/>
    <n v="5.5600284926260501"/>
  </r>
  <r>
    <x v="0"/>
    <x v="4"/>
    <x v="7"/>
    <x v="11"/>
    <s v="NO1_Offshore"/>
    <x v="25"/>
    <n v="22.356874337357301"/>
    <n v="6.2102428714881297"/>
  </r>
  <r>
    <x v="0"/>
    <x v="4"/>
    <x v="7"/>
    <x v="11"/>
    <s v="NO1_Offshore"/>
    <x v="26"/>
    <n v="29.6651032387655"/>
    <n v="8.2403064552126306"/>
  </r>
  <r>
    <x v="0"/>
    <x v="4"/>
    <x v="7"/>
    <x v="11"/>
    <s v="NO1_Offshore"/>
    <x v="27"/>
    <n v="21.049332228666099"/>
    <n v="5.8470367301850299"/>
  </r>
  <r>
    <x v="0"/>
    <x v="4"/>
    <x v="7"/>
    <x v="12"/>
    <s v="NO2_A1"/>
    <x v="1"/>
    <n v="35.989199999999997"/>
    <n v="9.9969999999999999"/>
  </r>
  <r>
    <x v="0"/>
    <x v="4"/>
    <x v="7"/>
    <x v="12"/>
    <s v="NO2_A1"/>
    <x v="2"/>
    <n v="57.96"/>
    <n v="16.100000000000001"/>
  </r>
  <r>
    <x v="0"/>
    <x v="4"/>
    <x v="7"/>
    <x v="12"/>
    <s v="NO2_A1"/>
    <x v="0"/>
    <n v="42.692399999999999"/>
    <n v="11.859"/>
  </r>
  <r>
    <x v="0"/>
    <x v="4"/>
    <x v="7"/>
    <x v="12"/>
    <s v="NO2_A1"/>
    <x v="3"/>
    <n v="57.7974681027342"/>
    <n v="16.054852250759499"/>
  </r>
  <r>
    <x v="0"/>
    <x v="4"/>
    <x v="7"/>
    <x v="12"/>
    <s v="NO2_A1"/>
    <x v="4"/>
    <n v="8.1139884009941898"/>
    <n v="2.2538856669428302"/>
  </r>
  <r>
    <x v="0"/>
    <x v="4"/>
    <x v="7"/>
    <x v="12"/>
    <s v="NO2_A1"/>
    <x v="5"/>
    <n v="8.1139884009941898"/>
    <n v="2.2538856669428302"/>
  </r>
  <r>
    <x v="0"/>
    <x v="4"/>
    <x v="7"/>
    <x v="12"/>
    <s v="NO2_A1"/>
    <x v="6"/>
    <n v="30.770439105219602"/>
    <n v="8.5473441958943202"/>
  </r>
  <r>
    <x v="0"/>
    <x v="4"/>
    <x v="7"/>
    <x v="12"/>
    <s v="NO2_A1"/>
    <x v="7"/>
    <n v="71.350180613090302"/>
    <n v="19.819494614747299"/>
  </r>
  <r>
    <x v="0"/>
    <x v="4"/>
    <x v="7"/>
    <x v="12"/>
    <s v="NO2_A1"/>
    <x v="8"/>
    <n v="71.350180613090302"/>
    <n v="19.819494614747299"/>
  </r>
  <r>
    <x v="0"/>
    <x v="4"/>
    <x v="7"/>
    <x v="12"/>
    <s v="NO2_A1"/>
    <x v="9"/>
    <n v="44.803327257663497"/>
    <n v="12.4453686826843"/>
  </r>
  <r>
    <x v="0"/>
    <x v="4"/>
    <x v="7"/>
    <x v="12"/>
    <s v="NO2_A1"/>
    <x v="10"/>
    <n v="54.681226180612903"/>
    <n v="15.1892294946147"/>
  </r>
  <r>
    <x v="0"/>
    <x v="4"/>
    <x v="7"/>
    <x v="12"/>
    <s v="NO2_A1"/>
    <x v="11"/>
    <n v="3.8806031483015802"/>
    <n v="1.07794531897266"/>
  </r>
  <r>
    <x v="0"/>
    <x v="4"/>
    <x v="7"/>
    <x v="12"/>
    <s v="NO2_A1"/>
    <x v="12"/>
    <n v="9.7995028997514597E-2"/>
    <n v="2.72208413881985E-2"/>
  </r>
  <r>
    <x v="0"/>
    <x v="4"/>
    <x v="7"/>
    <x v="12"/>
    <s v="NO2_A1"/>
    <x v="13"/>
    <n v="21.5197083678542"/>
    <n v="5.9776967688483804"/>
  </r>
  <r>
    <x v="0"/>
    <x v="4"/>
    <x v="7"/>
    <x v="12"/>
    <s v="NO2_A1"/>
    <x v="14"/>
    <n v="21.5197083678542"/>
    <n v="5.9776967688483804"/>
  </r>
  <r>
    <x v="0"/>
    <x v="4"/>
    <x v="7"/>
    <x v="12"/>
    <s v="NO2_A1"/>
    <x v="15"/>
    <n v="1.65807589063794"/>
    <n v="0.46057663628831802"/>
  </r>
  <r>
    <x v="0"/>
    <x v="4"/>
    <x v="7"/>
    <x v="12"/>
    <s v="NO2_A1"/>
    <x v="16"/>
    <n v="8.3492014028755008"/>
    <n v="2.31922261190986"/>
  </r>
  <r>
    <x v="0"/>
    <x v="4"/>
    <x v="7"/>
    <x v="12"/>
    <s v="NO2_A1"/>
    <x v="17"/>
    <n v="9.5251168185584092"/>
    <n v="2.6458657829328902"/>
  </r>
  <r>
    <x v="0"/>
    <x v="4"/>
    <x v="7"/>
    <x v="12"/>
    <s v="NO2_A1"/>
    <x v="18"/>
    <n v="21.5197083678542"/>
    <n v="5.9776967688483804"/>
  </r>
  <r>
    <x v="0"/>
    <x v="4"/>
    <x v="7"/>
    <x v="12"/>
    <s v="NO2_A1"/>
    <x v="19"/>
    <n v="8.1139884009941898"/>
    <n v="2.2538856669428302"/>
  </r>
  <r>
    <x v="0"/>
    <x v="4"/>
    <x v="7"/>
    <x v="12"/>
    <s v="NO2_A1"/>
    <x v="20"/>
    <n v="19.336735244541"/>
    <n v="5.37131534570584"/>
  </r>
  <r>
    <x v="0"/>
    <x v="4"/>
    <x v="7"/>
    <x v="12"/>
    <s v="NO2_A1"/>
    <x v="21"/>
    <n v="53.225806451612797"/>
    <n v="14.784946236559099"/>
  </r>
  <r>
    <x v="0"/>
    <x v="4"/>
    <x v="7"/>
    <x v="12"/>
    <s v="NO2_A1"/>
    <x v="22"/>
    <n v="130.68"/>
    <n v="36.299999999999997"/>
  </r>
  <r>
    <x v="0"/>
    <x v="4"/>
    <x v="7"/>
    <x v="12"/>
    <s v="NO2_A1"/>
    <x v="23"/>
    <n v="0.35278210439105201"/>
    <n v="9.7995028997514499E-2"/>
  </r>
  <r>
    <x v="0"/>
    <x v="4"/>
    <x v="7"/>
    <x v="12"/>
    <s v="NO2_A1"/>
    <x v="24"/>
    <n v="20.0161025734538"/>
    <n v="5.5600284926260501"/>
  </r>
  <r>
    <x v="0"/>
    <x v="4"/>
    <x v="7"/>
    <x v="12"/>
    <s v="NO2_A1"/>
    <x v="25"/>
    <n v="22.356874337357301"/>
    <n v="6.2102428714881297"/>
  </r>
  <r>
    <x v="0"/>
    <x v="4"/>
    <x v="7"/>
    <x v="12"/>
    <s v="NO2_A1"/>
    <x v="26"/>
    <n v="29.6651032387655"/>
    <n v="8.2403064552126306"/>
  </r>
  <r>
    <x v="0"/>
    <x v="4"/>
    <x v="7"/>
    <x v="12"/>
    <s v="NO2_A1"/>
    <x v="27"/>
    <n v="21.049332228666099"/>
    <n v="5.8470367301850299"/>
  </r>
  <r>
    <x v="0"/>
    <x v="4"/>
    <x v="7"/>
    <x v="12"/>
    <s v="NO2_A2"/>
    <x v="1"/>
    <n v="35.989199999999997"/>
    <n v="9.9969999999999999"/>
  </r>
  <r>
    <x v="0"/>
    <x v="4"/>
    <x v="7"/>
    <x v="12"/>
    <s v="NO2_A2"/>
    <x v="2"/>
    <n v="57.96"/>
    <n v="16.100000000000001"/>
  </r>
  <r>
    <x v="0"/>
    <x v="4"/>
    <x v="7"/>
    <x v="12"/>
    <s v="NO2_A2"/>
    <x v="0"/>
    <n v="42.692399999999999"/>
    <n v="11.859"/>
  </r>
  <r>
    <x v="0"/>
    <x v="4"/>
    <x v="7"/>
    <x v="12"/>
    <s v="NO2_A2"/>
    <x v="3"/>
    <n v="57.7974681027342"/>
    <n v="16.054852250759499"/>
  </r>
  <r>
    <x v="0"/>
    <x v="4"/>
    <x v="7"/>
    <x v="12"/>
    <s v="NO2_A2"/>
    <x v="4"/>
    <n v="8.1139884009941898"/>
    <n v="2.2538856669428302"/>
  </r>
  <r>
    <x v="0"/>
    <x v="4"/>
    <x v="7"/>
    <x v="12"/>
    <s v="NO2_A2"/>
    <x v="5"/>
    <n v="8.1139884009941898"/>
    <n v="2.2538856669428302"/>
  </r>
  <r>
    <x v="0"/>
    <x v="4"/>
    <x v="7"/>
    <x v="12"/>
    <s v="NO2_A2"/>
    <x v="6"/>
    <n v="30.770439105219602"/>
    <n v="8.5473441958943202"/>
  </r>
  <r>
    <x v="0"/>
    <x v="4"/>
    <x v="7"/>
    <x v="12"/>
    <s v="NO2_A2"/>
    <x v="7"/>
    <n v="71.350180613090302"/>
    <n v="19.819494614747299"/>
  </r>
  <r>
    <x v="0"/>
    <x v="4"/>
    <x v="7"/>
    <x v="12"/>
    <s v="NO2_A2"/>
    <x v="8"/>
    <n v="71.350180613090302"/>
    <n v="19.819494614747299"/>
  </r>
  <r>
    <x v="0"/>
    <x v="4"/>
    <x v="7"/>
    <x v="12"/>
    <s v="NO2_A2"/>
    <x v="9"/>
    <n v="44.803327257663497"/>
    <n v="12.4453686826843"/>
  </r>
  <r>
    <x v="0"/>
    <x v="4"/>
    <x v="7"/>
    <x v="12"/>
    <s v="NO2_A2"/>
    <x v="10"/>
    <n v="54.681226180612903"/>
    <n v="15.1892294946147"/>
  </r>
  <r>
    <x v="0"/>
    <x v="4"/>
    <x v="7"/>
    <x v="12"/>
    <s v="NO2_A2"/>
    <x v="11"/>
    <n v="3.8806031483015802"/>
    <n v="1.07794531897266"/>
  </r>
  <r>
    <x v="0"/>
    <x v="4"/>
    <x v="7"/>
    <x v="12"/>
    <s v="NO2_A2"/>
    <x v="12"/>
    <n v="9.7995028997514597E-2"/>
    <n v="2.72208413881985E-2"/>
  </r>
  <r>
    <x v="0"/>
    <x v="4"/>
    <x v="7"/>
    <x v="12"/>
    <s v="NO2_A2"/>
    <x v="13"/>
    <n v="21.5197083678542"/>
    <n v="5.9776967688483804"/>
  </r>
  <r>
    <x v="0"/>
    <x v="4"/>
    <x v="7"/>
    <x v="12"/>
    <s v="NO2_A2"/>
    <x v="14"/>
    <n v="21.5197083678542"/>
    <n v="5.9776967688483804"/>
  </r>
  <r>
    <x v="0"/>
    <x v="4"/>
    <x v="7"/>
    <x v="12"/>
    <s v="NO2_A2"/>
    <x v="15"/>
    <n v="1.65807589063794"/>
    <n v="0.46057663628831802"/>
  </r>
  <r>
    <x v="0"/>
    <x v="4"/>
    <x v="7"/>
    <x v="12"/>
    <s v="NO2_A2"/>
    <x v="16"/>
    <n v="8.3492014028755008"/>
    <n v="2.31922261190986"/>
  </r>
  <r>
    <x v="0"/>
    <x v="4"/>
    <x v="7"/>
    <x v="12"/>
    <s v="NO2_A2"/>
    <x v="17"/>
    <n v="9.5251168185584092"/>
    <n v="2.6458657829328902"/>
  </r>
  <r>
    <x v="0"/>
    <x v="4"/>
    <x v="7"/>
    <x v="12"/>
    <s v="NO2_A2"/>
    <x v="18"/>
    <n v="21.5197083678542"/>
    <n v="5.9776967688483804"/>
  </r>
  <r>
    <x v="0"/>
    <x v="4"/>
    <x v="7"/>
    <x v="12"/>
    <s v="NO2_A2"/>
    <x v="19"/>
    <n v="8.1139884009941898"/>
    <n v="2.2538856669428302"/>
  </r>
  <r>
    <x v="0"/>
    <x v="4"/>
    <x v="7"/>
    <x v="12"/>
    <s v="NO2_A2"/>
    <x v="20"/>
    <n v="19.336735244541"/>
    <n v="5.37131534570584"/>
  </r>
  <r>
    <x v="0"/>
    <x v="4"/>
    <x v="7"/>
    <x v="12"/>
    <s v="NO2_A2"/>
    <x v="21"/>
    <n v="53.225806451612797"/>
    <n v="14.784946236559099"/>
  </r>
  <r>
    <x v="0"/>
    <x v="4"/>
    <x v="7"/>
    <x v="12"/>
    <s v="NO2_A2"/>
    <x v="22"/>
    <n v="130.68"/>
    <n v="36.299999999999997"/>
  </r>
  <r>
    <x v="0"/>
    <x v="4"/>
    <x v="7"/>
    <x v="12"/>
    <s v="NO2_A2"/>
    <x v="23"/>
    <n v="0.35278210439105201"/>
    <n v="9.7995028997514499E-2"/>
  </r>
  <r>
    <x v="0"/>
    <x v="4"/>
    <x v="7"/>
    <x v="12"/>
    <s v="NO2_A2"/>
    <x v="24"/>
    <n v="20.0161025734538"/>
    <n v="5.5600284926260501"/>
  </r>
  <r>
    <x v="0"/>
    <x v="4"/>
    <x v="7"/>
    <x v="12"/>
    <s v="NO2_A2"/>
    <x v="25"/>
    <n v="22.356874337357301"/>
    <n v="6.2102428714881297"/>
  </r>
  <r>
    <x v="0"/>
    <x v="4"/>
    <x v="7"/>
    <x v="12"/>
    <s v="NO2_A2"/>
    <x v="26"/>
    <n v="29.6651032387655"/>
    <n v="8.2403064552126306"/>
  </r>
  <r>
    <x v="0"/>
    <x v="4"/>
    <x v="7"/>
    <x v="12"/>
    <s v="NO2_A2"/>
    <x v="27"/>
    <n v="21.049332228666099"/>
    <n v="5.8470367301850299"/>
  </r>
  <r>
    <x v="0"/>
    <x v="4"/>
    <x v="7"/>
    <x v="12"/>
    <s v="NO2_Offshore"/>
    <x v="1"/>
    <n v="35.989199999999997"/>
    <n v="9.9969999999999999"/>
  </r>
  <r>
    <x v="0"/>
    <x v="4"/>
    <x v="7"/>
    <x v="12"/>
    <s v="NO2_Offshore"/>
    <x v="2"/>
    <n v="57.96"/>
    <n v="16.100000000000001"/>
  </r>
  <r>
    <x v="0"/>
    <x v="4"/>
    <x v="7"/>
    <x v="12"/>
    <s v="NO2_Offshore"/>
    <x v="0"/>
    <n v="42.692399999999999"/>
    <n v="11.859"/>
  </r>
  <r>
    <x v="0"/>
    <x v="4"/>
    <x v="7"/>
    <x v="12"/>
    <s v="NO2_Offshore"/>
    <x v="3"/>
    <n v="57.7974681027342"/>
    <n v="16.054852250759499"/>
  </r>
  <r>
    <x v="0"/>
    <x v="4"/>
    <x v="7"/>
    <x v="12"/>
    <s v="NO2_Offshore"/>
    <x v="4"/>
    <n v="8.1139884009941898"/>
    <n v="2.2538856669428302"/>
  </r>
  <r>
    <x v="0"/>
    <x v="4"/>
    <x v="7"/>
    <x v="12"/>
    <s v="NO2_Offshore"/>
    <x v="5"/>
    <n v="8.1139884009941898"/>
    <n v="2.2538856669428302"/>
  </r>
  <r>
    <x v="0"/>
    <x v="4"/>
    <x v="7"/>
    <x v="12"/>
    <s v="NO2_Offshore"/>
    <x v="6"/>
    <n v="30.770439105219602"/>
    <n v="8.5473441958943202"/>
  </r>
  <r>
    <x v="0"/>
    <x v="4"/>
    <x v="7"/>
    <x v="12"/>
    <s v="NO2_Offshore"/>
    <x v="7"/>
    <n v="71.350180613090302"/>
    <n v="19.819494614747299"/>
  </r>
  <r>
    <x v="0"/>
    <x v="4"/>
    <x v="7"/>
    <x v="12"/>
    <s v="NO2_Offshore"/>
    <x v="8"/>
    <n v="71.350180613090302"/>
    <n v="19.819494614747299"/>
  </r>
  <r>
    <x v="0"/>
    <x v="4"/>
    <x v="7"/>
    <x v="12"/>
    <s v="NO2_Offshore"/>
    <x v="9"/>
    <n v="44.803327257663497"/>
    <n v="12.4453686826843"/>
  </r>
  <r>
    <x v="0"/>
    <x v="4"/>
    <x v="7"/>
    <x v="12"/>
    <s v="NO2_Offshore"/>
    <x v="10"/>
    <n v="54.681226180612903"/>
    <n v="15.1892294946147"/>
  </r>
  <r>
    <x v="0"/>
    <x v="4"/>
    <x v="7"/>
    <x v="12"/>
    <s v="NO2_Offshore"/>
    <x v="11"/>
    <n v="3.8806031483015802"/>
    <n v="1.07794531897266"/>
  </r>
  <r>
    <x v="0"/>
    <x v="4"/>
    <x v="7"/>
    <x v="12"/>
    <s v="NO2_Offshore"/>
    <x v="12"/>
    <n v="9.7995028997514597E-2"/>
    <n v="2.72208413881985E-2"/>
  </r>
  <r>
    <x v="0"/>
    <x v="4"/>
    <x v="7"/>
    <x v="12"/>
    <s v="NO2_Offshore"/>
    <x v="13"/>
    <n v="21.5197083678542"/>
    <n v="5.9776967688483804"/>
  </r>
  <r>
    <x v="0"/>
    <x v="4"/>
    <x v="7"/>
    <x v="12"/>
    <s v="NO2_Offshore"/>
    <x v="14"/>
    <n v="21.5197083678542"/>
    <n v="5.9776967688483804"/>
  </r>
  <r>
    <x v="0"/>
    <x v="4"/>
    <x v="7"/>
    <x v="12"/>
    <s v="NO2_Offshore"/>
    <x v="15"/>
    <n v="1.65807589063794"/>
    <n v="0.46057663628831802"/>
  </r>
  <r>
    <x v="0"/>
    <x v="4"/>
    <x v="7"/>
    <x v="12"/>
    <s v="NO2_Offshore"/>
    <x v="16"/>
    <n v="8.3492014028755008"/>
    <n v="2.31922261190986"/>
  </r>
  <r>
    <x v="0"/>
    <x v="4"/>
    <x v="7"/>
    <x v="12"/>
    <s v="NO2_Offshore"/>
    <x v="17"/>
    <n v="9.5251168185584092"/>
    <n v="2.6458657829328902"/>
  </r>
  <r>
    <x v="0"/>
    <x v="4"/>
    <x v="7"/>
    <x v="12"/>
    <s v="NO2_Offshore"/>
    <x v="18"/>
    <n v="21.5197083678542"/>
    <n v="5.9776967688483804"/>
  </r>
  <r>
    <x v="0"/>
    <x v="4"/>
    <x v="7"/>
    <x v="12"/>
    <s v="NO2_Offshore"/>
    <x v="19"/>
    <n v="8.1139884009941898"/>
    <n v="2.2538856669428302"/>
  </r>
  <r>
    <x v="0"/>
    <x v="4"/>
    <x v="7"/>
    <x v="12"/>
    <s v="NO2_Offshore"/>
    <x v="20"/>
    <n v="19.336735244541"/>
    <n v="5.37131534570584"/>
  </r>
  <r>
    <x v="0"/>
    <x v="4"/>
    <x v="7"/>
    <x v="12"/>
    <s v="NO2_Offshore"/>
    <x v="21"/>
    <n v="53.225806451612797"/>
    <n v="14.784946236559099"/>
  </r>
  <r>
    <x v="0"/>
    <x v="4"/>
    <x v="7"/>
    <x v="12"/>
    <s v="NO2_Offshore"/>
    <x v="22"/>
    <n v="130.68"/>
    <n v="36.299999999999997"/>
  </r>
  <r>
    <x v="0"/>
    <x v="4"/>
    <x v="7"/>
    <x v="12"/>
    <s v="NO2_Offshore"/>
    <x v="23"/>
    <n v="0.35278210439105201"/>
    <n v="9.7995028997514499E-2"/>
  </r>
  <r>
    <x v="0"/>
    <x v="4"/>
    <x v="7"/>
    <x v="12"/>
    <s v="NO2_Offshore"/>
    <x v="24"/>
    <n v="20.0161025734538"/>
    <n v="5.5600284926260501"/>
  </r>
  <r>
    <x v="0"/>
    <x v="4"/>
    <x v="7"/>
    <x v="12"/>
    <s v="NO2_Offshore"/>
    <x v="25"/>
    <n v="22.356874337357301"/>
    <n v="6.2102428714881297"/>
  </r>
  <r>
    <x v="0"/>
    <x v="4"/>
    <x v="7"/>
    <x v="12"/>
    <s v="NO2_Offshore"/>
    <x v="26"/>
    <n v="29.6651032387655"/>
    <n v="8.2403064552126306"/>
  </r>
  <r>
    <x v="0"/>
    <x v="4"/>
    <x v="7"/>
    <x v="12"/>
    <s v="NO2_Offshore"/>
    <x v="27"/>
    <n v="21.049332228666099"/>
    <n v="5.8470367301850299"/>
  </r>
  <r>
    <x v="0"/>
    <x v="4"/>
    <x v="7"/>
    <x v="13"/>
    <s v="NO3_A1"/>
    <x v="1"/>
    <n v="35.989199999999997"/>
    <n v="9.9969999999999999"/>
  </r>
  <r>
    <x v="0"/>
    <x v="4"/>
    <x v="7"/>
    <x v="13"/>
    <s v="NO3_A1"/>
    <x v="2"/>
    <n v="57.96"/>
    <n v="16.100000000000001"/>
  </r>
  <r>
    <x v="0"/>
    <x v="4"/>
    <x v="7"/>
    <x v="13"/>
    <s v="NO3_A1"/>
    <x v="0"/>
    <n v="42.692399999999999"/>
    <n v="11.859"/>
  </r>
  <r>
    <x v="0"/>
    <x v="4"/>
    <x v="7"/>
    <x v="13"/>
    <s v="NO3_A1"/>
    <x v="3"/>
    <n v="57.7974681027342"/>
    <n v="16.054852250759499"/>
  </r>
  <r>
    <x v="0"/>
    <x v="4"/>
    <x v="7"/>
    <x v="13"/>
    <s v="NO3_A1"/>
    <x v="4"/>
    <n v="8.1139884009941898"/>
    <n v="2.2538856669428302"/>
  </r>
  <r>
    <x v="0"/>
    <x v="4"/>
    <x v="7"/>
    <x v="13"/>
    <s v="NO3_A1"/>
    <x v="5"/>
    <n v="8.1139884009941898"/>
    <n v="2.2538856669428302"/>
  </r>
  <r>
    <x v="0"/>
    <x v="4"/>
    <x v="7"/>
    <x v="13"/>
    <s v="NO3_A1"/>
    <x v="6"/>
    <n v="30.770439105219602"/>
    <n v="8.5473441958943202"/>
  </r>
  <r>
    <x v="0"/>
    <x v="4"/>
    <x v="7"/>
    <x v="13"/>
    <s v="NO3_A1"/>
    <x v="7"/>
    <n v="71.350180613090302"/>
    <n v="19.819494614747299"/>
  </r>
  <r>
    <x v="0"/>
    <x v="4"/>
    <x v="7"/>
    <x v="13"/>
    <s v="NO3_A1"/>
    <x v="8"/>
    <n v="71.350180613090302"/>
    <n v="19.819494614747299"/>
  </r>
  <r>
    <x v="0"/>
    <x v="4"/>
    <x v="7"/>
    <x v="13"/>
    <s v="NO3_A1"/>
    <x v="9"/>
    <n v="44.803327257663497"/>
    <n v="12.4453686826843"/>
  </r>
  <r>
    <x v="0"/>
    <x v="4"/>
    <x v="7"/>
    <x v="13"/>
    <s v="NO3_A1"/>
    <x v="10"/>
    <n v="54.681226180612903"/>
    <n v="15.1892294946147"/>
  </r>
  <r>
    <x v="0"/>
    <x v="4"/>
    <x v="7"/>
    <x v="13"/>
    <s v="NO3_A1"/>
    <x v="11"/>
    <n v="3.8806031483015802"/>
    <n v="1.07794531897266"/>
  </r>
  <r>
    <x v="0"/>
    <x v="4"/>
    <x v="7"/>
    <x v="13"/>
    <s v="NO3_A1"/>
    <x v="12"/>
    <n v="9.7995028997514597E-2"/>
    <n v="2.72208413881985E-2"/>
  </r>
  <r>
    <x v="0"/>
    <x v="4"/>
    <x v="7"/>
    <x v="13"/>
    <s v="NO3_A1"/>
    <x v="13"/>
    <n v="21.5197083678542"/>
    <n v="5.9776967688483804"/>
  </r>
  <r>
    <x v="0"/>
    <x v="4"/>
    <x v="7"/>
    <x v="13"/>
    <s v="NO3_A1"/>
    <x v="14"/>
    <n v="21.5197083678542"/>
    <n v="5.9776967688483804"/>
  </r>
  <r>
    <x v="0"/>
    <x v="4"/>
    <x v="7"/>
    <x v="13"/>
    <s v="NO3_A1"/>
    <x v="15"/>
    <n v="1.65807589063794"/>
    <n v="0.46057663628831802"/>
  </r>
  <r>
    <x v="0"/>
    <x v="4"/>
    <x v="7"/>
    <x v="13"/>
    <s v="NO3_A1"/>
    <x v="16"/>
    <n v="8.3492014028755008"/>
    <n v="2.31922261190986"/>
  </r>
  <r>
    <x v="0"/>
    <x v="4"/>
    <x v="7"/>
    <x v="13"/>
    <s v="NO3_A1"/>
    <x v="17"/>
    <n v="9.5251168185584092"/>
    <n v="2.6458657829328902"/>
  </r>
  <r>
    <x v="0"/>
    <x v="4"/>
    <x v="7"/>
    <x v="13"/>
    <s v="NO3_A1"/>
    <x v="18"/>
    <n v="21.5197083678542"/>
    <n v="5.9776967688483804"/>
  </r>
  <r>
    <x v="0"/>
    <x v="4"/>
    <x v="7"/>
    <x v="13"/>
    <s v="NO3_A1"/>
    <x v="19"/>
    <n v="8.1139884009941898"/>
    <n v="2.2538856669428302"/>
  </r>
  <r>
    <x v="0"/>
    <x v="4"/>
    <x v="7"/>
    <x v="13"/>
    <s v="NO3_A1"/>
    <x v="20"/>
    <n v="19.336735244541"/>
    <n v="5.37131534570584"/>
  </r>
  <r>
    <x v="0"/>
    <x v="4"/>
    <x v="7"/>
    <x v="13"/>
    <s v="NO3_A1"/>
    <x v="21"/>
    <n v="53.225806451612797"/>
    <n v="14.784946236559099"/>
  </r>
  <r>
    <x v="0"/>
    <x v="4"/>
    <x v="7"/>
    <x v="13"/>
    <s v="NO3_A1"/>
    <x v="22"/>
    <n v="130.68"/>
    <n v="36.299999999999997"/>
  </r>
  <r>
    <x v="0"/>
    <x v="4"/>
    <x v="7"/>
    <x v="13"/>
    <s v="NO3_A1"/>
    <x v="23"/>
    <n v="0.35278210439105201"/>
    <n v="9.7995028997514499E-2"/>
  </r>
  <r>
    <x v="0"/>
    <x v="4"/>
    <x v="7"/>
    <x v="13"/>
    <s v="NO3_A1"/>
    <x v="24"/>
    <n v="20.0161025734538"/>
    <n v="5.5600284926260501"/>
  </r>
  <r>
    <x v="0"/>
    <x v="4"/>
    <x v="7"/>
    <x v="13"/>
    <s v="NO3_A1"/>
    <x v="25"/>
    <n v="22.356874337357301"/>
    <n v="6.2102428714881297"/>
  </r>
  <r>
    <x v="0"/>
    <x v="4"/>
    <x v="7"/>
    <x v="13"/>
    <s v="NO3_A1"/>
    <x v="26"/>
    <n v="29.6651032387655"/>
    <n v="8.2403064552126306"/>
  </r>
  <r>
    <x v="0"/>
    <x v="4"/>
    <x v="7"/>
    <x v="13"/>
    <s v="NO3_A1"/>
    <x v="27"/>
    <n v="21.049332228666099"/>
    <n v="5.8470367301850299"/>
  </r>
  <r>
    <x v="0"/>
    <x v="4"/>
    <x v="7"/>
    <x v="13"/>
    <s v="NO3_A2"/>
    <x v="1"/>
    <n v="35.989199999999997"/>
    <n v="9.9969999999999999"/>
  </r>
  <r>
    <x v="0"/>
    <x v="4"/>
    <x v="7"/>
    <x v="13"/>
    <s v="NO3_A2"/>
    <x v="2"/>
    <n v="57.96"/>
    <n v="16.100000000000001"/>
  </r>
  <r>
    <x v="0"/>
    <x v="4"/>
    <x v="7"/>
    <x v="13"/>
    <s v="NO3_A2"/>
    <x v="0"/>
    <n v="42.692399999999999"/>
    <n v="11.859"/>
  </r>
  <r>
    <x v="0"/>
    <x v="4"/>
    <x v="7"/>
    <x v="13"/>
    <s v="NO3_A2"/>
    <x v="3"/>
    <n v="57.7974681027342"/>
    <n v="16.054852250759499"/>
  </r>
  <r>
    <x v="0"/>
    <x v="4"/>
    <x v="7"/>
    <x v="13"/>
    <s v="NO3_A2"/>
    <x v="4"/>
    <n v="8.1139884009941898"/>
    <n v="2.2538856669428302"/>
  </r>
  <r>
    <x v="0"/>
    <x v="4"/>
    <x v="7"/>
    <x v="13"/>
    <s v="NO3_A2"/>
    <x v="5"/>
    <n v="8.1139884009941898"/>
    <n v="2.2538856669428302"/>
  </r>
  <r>
    <x v="0"/>
    <x v="4"/>
    <x v="7"/>
    <x v="13"/>
    <s v="NO3_A2"/>
    <x v="6"/>
    <n v="30.770439105219602"/>
    <n v="8.5473441958943202"/>
  </r>
  <r>
    <x v="0"/>
    <x v="4"/>
    <x v="7"/>
    <x v="13"/>
    <s v="NO3_A2"/>
    <x v="7"/>
    <n v="71.350180613090302"/>
    <n v="19.819494614747299"/>
  </r>
  <r>
    <x v="0"/>
    <x v="4"/>
    <x v="7"/>
    <x v="13"/>
    <s v="NO3_A2"/>
    <x v="8"/>
    <n v="71.350180613090302"/>
    <n v="19.819494614747299"/>
  </r>
  <r>
    <x v="0"/>
    <x v="4"/>
    <x v="7"/>
    <x v="13"/>
    <s v="NO3_A2"/>
    <x v="9"/>
    <n v="44.803327257663497"/>
    <n v="12.4453686826843"/>
  </r>
  <r>
    <x v="0"/>
    <x v="4"/>
    <x v="7"/>
    <x v="13"/>
    <s v="NO3_A2"/>
    <x v="10"/>
    <n v="54.681226180612903"/>
    <n v="15.1892294946147"/>
  </r>
  <r>
    <x v="0"/>
    <x v="4"/>
    <x v="7"/>
    <x v="13"/>
    <s v="NO3_A2"/>
    <x v="11"/>
    <n v="3.8806031483015802"/>
    <n v="1.07794531897266"/>
  </r>
  <r>
    <x v="0"/>
    <x v="4"/>
    <x v="7"/>
    <x v="13"/>
    <s v="NO3_A2"/>
    <x v="12"/>
    <n v="9.7995028997514597E-2"/>
    <n v="2.72208413881985E-2"/>
  </r>
  <r>
    <x v="0"/>
    <x v="4"/>
    <x v="7"/>
    <x v="13"/>
    <s v="NO3_A2"/>
    <x v="13"/>
    <n v="21.5197083678542"/>
    <n v="5.9776967688483804"/>
  </r>
  <r>
    <x v="0"/>
    <x v="4"/>
    <x v="7"/>
    <x v="13"/>
    <s v="NO3_A2"/>
    <x v="14"/>
    <n v="21.5197083678542"/>
    <n v="5.9776967688483804"/>
  </r>
  <r>
    <x v="0"/>
    <x v="4"/>
    <x v="7"/>
    <x v="13"/>
    <s v="NO3_A2"/>
    <x v="15"/>
    <n v="1.65807589063794"/>
    <n v="0.46057663628831802"/>
  </r>
  <r>
    <x v="0"/>
    <x v="4"/>
    <x v="7"/>
    <x v="13"/>
    <s v="NO3_A2"/>
    <x v="16"/>
    <n v="8.3492014028755008"/>
    <n v="2.31922261190986"/>
  </r>
  <r>
    <x v="0"/>
    <x v="4"/>
    <x v="7"/>
    <x v="13"/>
    <s v="NO3_A2"/>
    <x v="17"/>
    <n v="9.5251168185584092"/>
    <n v="2.6458657829328902"/>
  </r>
  <r>
    <x v="0"/>
    <x v="4"/>
    <x v="7"/>
    <x v="13"/>
    <s v="NO3_A2"/>
    <x v="18"/>
    <n v="21.5197083678542"/>
    <n v="5.9776967688483804"/>
  </r>
  <r>
    <x v="0"/>
    <x v="4"/>
    <x v="7"/>
    <x v="13"/>
    <s v="NO3_A2"/>
    <x v="19"/>
    <n v="8.1139884009941898"/>
    <n v="2.2538856669428302"/>
  </r>
  <r>
    <x v="0"/>
    <x v="4"/>
    <x v="7"/>
    <x v="13"/>
    <s v="NO3_A2"/>
    <x v="20"/>
    <n v="19.336735244541"/>
    <n v="5.37131534570584"/>
  </r>
  <r>
    <x v="0"/>
    <x v="4"/>
    <x v="7"/>
    <x v="13"/>
    <s v="NO3_A2"/>
    <x v="21"/>
    <n v="53.225806451612797"/>
    <n v="14.784946236559099"/>
  </r>
  <r>
    <x v="0"/>
    <x v="4"/>
    <x v="7"/>
    <x v="13"/>
    <s v="NO3_A2"/>
    <x v="22"/>
    <n v="130.68"/>
    <n v="36.299999999999997"/>
  </r>
  <r>
    <x v="0"/>
    <x v="4"/>
    <x v="7"/>
    <x v="13"/>
    <s v="NO3_A2"/>
    <x v="23"/>
    <n v="0.35278210439105201"/>
    <n v="9.7995028997514499E-2"/>
  </r>
  <r>
    <x v="0"/>
    <x v="4"/>
    <x v="7"/>
    <x v="13"/>
    <s v="NO3_A2"/>
    <x v="24"/>
    <n v="20.0161025734538"/>
    <n v="5.5600284926260501"/>
  </r>
  <r>
    <x v="0"/>
    <x v="4"/>
    <x v="7"/>
    <x v="13"/>
    <s v="NO3_A2"/>
    <x v="25"/>
    <n v="22.356874337357301"/>
    <n v="6.2102428714881297"/>
  </r>
  <r>
    <x v="0"/>
    <x v="4"/>
    <x v="7"/>
    <x v="13"/>
    <s v="NO3_A2"/>
    <x v="26"/>
    <n v="29.6651032387655"/>
    <n v="8.2403064552126306"/>
  </r>
  <r>
    <x v="0"/>
    <x v="4"/>
    <x v="7"/>
    <x v="13"/>
    <s v="NO3_A2"/>
    <x v="27"/>
    <n v="21.049332228666099"/>
    <n v="5.8470367301850299"/>
  </r>
  <r>
    <x v="0"/>
    <x v="4"/>
    <x v="7"/>
    <x v="13"/>
    <s v="NO3_A3"/>
    <x v="1"/>
    <n v="35.989199999999997"/>
    <n v="9.9969999999999999"/>
  </r>
  <r>
    <x v="0"/>
    <x v="4"/>
    <x v="7"/>
    <x v="13"/>
    <s v="NO3_A3"/>
    <x v="2"/>
    <n v="57.96"/>
    <n v="16.100000000000001"/>
  </r>
  <r>
    <x v="0"/>
    <x v="4"/>
    <x v="7"/>
    <x v="13"/>
    <s v="NO3_A3"/>
    <x v="0"/>
    <n v="42.692399999999999"/>
    <n v="11.859"/>
  </r>
  <r>
    <x v="0"/>
    <x v="4"/>
    <x v="7"/>
    <x v="13"/>
    <s v="NO3_A3"/>
    <x v="3"/>
    <n v="57.7974681027342"/>
    <n v="16.054852250759499"/>
  </r>
  <r>
    <x v="0"/>
    <x v="4"/>
    <x v="7"/>
    <x v="13"/>
    <s v="NO3_A3"/>
    <x v="4"/>
    <n v="8.1139884009941898"/>
    <n v="2.2538856669428302"/>
  </r>
  <r>
    <x v="0"/>
    <x v="4"/>
    <x v="7"/>
    <x v="13"/>
    <s v="NO3_A3"/>
    <x v="5"/>
    <n v="8.1139884009941898"/>
    <n v="2.2538856669428302"/>
  </r>
  <r>
    <x v="0"/>
    <x v="4"/>
    <x v="7"/>
    <x v="13"/>
    <s v="NO3_A3"/>
    <x v="6"/>
    <n v="30.770439105219602"/>
    <n v="8.5473441958943202"/>
  </r>
  <r>
    <x v="0"/>
    <x v="4"/>
    <x v="7"/>
    <x v="13"/>
    <s v="NO3_A3"/>
    <x v="7"/>
    <n v="71.350180613090302"/>
    <n v="19.819494614747299"/>
  </r>
  <r>
    <x v="0"/>
    <x v="4"/>
    <x v="7"/>
    <x v="13"/>
    <s v="NO3_A3"/>
    <x v="8"/>
    <n v="71.350180613090302"/>
    <n v="19.819494614747299"/>
  </r>
  <r>
    <x v="0"/>
    <x v="4"/>
    <x v="7"/>
    <x v="13"/>
    <s v="NO3_A3"/>
    <x v="9"/>
    <n v="44.803327257663497"/>
    <n v="12.4453686826843"/>
  </r>
  <r>
    <x v="0"/>
    <x v="4"/>
    <x v="7"/>
    <x v="13"/>
    <s v="NO3_A3"/>
    <x v="10"/>
    <n v="54.681226180612903"/>
    <n v="15.1892294946147"/>
  </r>
  <r>
    <x v="0"/>
    <x v="4"/>
    <x v="7"/>
    <x v="13"/>
    <s v="NO3_A3"/>
    <x v="11"/>
    <n v="3.8806031483015802"/>
    <n v="1.07794531897266"/>
  </r>
  <r>
    <x v="0"/>
    <x v="4"/>
    <x v="7"/>
    <x v="13"/>
    <s v="NO3_A3"/>
    <x v="12"/>
    <n v="9.7995028997514597E-2"/>
    <n v="2.72208413881985E-2"/>
  </r>
  <r>
    <x v="0"/>
    <x v="4"/>
    <x v="7"/>
    <x v="13"/>
    <s v="NO3_A3"/>
    <x v="13"/>
    <n v="21.5197083678542"/>
    <n v="5.9776967688483804"/>
  </r>
  <r>
    <x v="0"/>
    <x v="4"/>
    <x v="7"/>
    <x v="13"/>
    <s v="NO3_A3"/>
    <x v="14"/>
    <n v="21.5197083678542"/>
    <n v="5.9776967688483804"/>
  </r>
  <r>
    <x v="0"/>
    <x v="4"/>
    <x v="7"/>
    <x v="13"/>
    <s v="NO3_A3"/>
    <x v="15"/>
    <n v="1.65807589063794"/>
    <n v="0.46057663628831802"/>
  </r>
  <r>
    <x v="0"/>
    <x v="4"/>
    <x v="7"/>
    <x v="13"/>
    <s v="NO3_A3"/>
    <x v="16"/>
    <n v="8.3492014028755008"/>
    <n v="2.31922261190986"/>
  </r>
  <r>
    <x v="0"/>
    <x v="4"/>
    <x v="7"/>
    <x v="13"/>
    <s v="NO3_A3"/>
    <x v="17"/>
    <n v="9.5251168185584092"/>
    <n v="2.6458657829328902"/>
  </r>
  <r>
    <x v="0"/>
    <x v="4"/>
    <x v="7"/>
    <x v="13"/>
    <s v="NO3_A3"/>
    <x v="18"/>
    <n v="21.5197083678542"/>
    <n v="5.9776967688483804"/>
  </r>
  <r>
    <x v="0"/>
    <x v="4"/>
    <x v="7"/>
    <x v="13"/>
    <s v="NO3_A3"/>
    <x v="19"/>
    <n v="8.1139884009941898"/>
    <n v="2.2538856669428302"/>
  </r>
  <r>
    <x v="0"/>
    <x v="4"/>
    <x v="7"/>
    <x v="13"/>
    <s v="NO3_A3"/>
    <x v="20"/>
    <n v="19.336735244541"/>
    <n v="5.37131534570584"/>
  </r>
  <r>
    <x v="0"/>
    <x v="4"/>
    <x v="7"/>
    <x v="13"/>
    <s v="NO3_A3"/>
    <x v="21"/>
    <n v="53.225806451612797"/>
    <n v="14.784946236559099"/>
  </r>
  <r>
    <x v="0"/>
    <x v="4"/>
    <x v="7"/>
    <x v="13"/>
    <s v="NO3_A3"/>
    <x v="22"/>
    <n v="130.68"/>
    <n v="36.299999999999997"/>
  </r>
  <r>
    <x v="0"/>
    <x v="4"/>
    <x v="7"/>
    <x v="13"/>
    <s v="NO3_A3"/>
    <x v="23"/>
    <n v="0.35278210439105201"/>
    <n v="9.7995028997514499E-2"/>
  </r>
  <r>
    <x v="0"/>
    <x v="4"/>
    <x v="7"/>
    <x v="13"/>
    <s v="NO3_A3"/>
    <x v="24"/>
    <n v="20.0161025734538"/>
    <n v="5.5600284926260501"/>
  </r>
  <r>
    <x v="0"/>
    <x v="4"/>
    <x v="7"/>
    <x v="13"/>
    <s v="NO3_A3"/>
    <x v="25"/>
    <n v="22.356874337357301"/>
    <n v="6.2102428714881297"/>
  </r>
  <r>
    <x v="0"/>
    <x v="4"/>
    <x v="7"/>
    <x v="13"/>
    <s v="NO3_A3"/>
    <x v="26"/>
    <n v="29.6651032387655"/>
    <n v="8.2403064552126306"/>
  </r>
  <r>
    <x v="0"/>
    <x v="4"/>
    <x v="7"/>
    <x v="13"/>
    <s v="NO3_A3"/>
    <x v="27"/>
    <n v="21.049332228666099"/>
    <n v="5.8470367301850299"/>
  </r>
  <r>
    <x v="0"/>
    <x v="4"/>
    <x v="7"/>
    <x v="13"/>
    <s v="NO3_Offshore"/>
    <x v="1"/>
    <n v="35.989199999999997"/>
    <n v="9.9969999999999999"/>
  </r>
  <r>
    <x v="0"/>
    <x v="4"/>
    <x v="7"/>
    <x v="13"/>
    <s v="NO3_Offshore"/>
    <x v="2"/>
    <n v="57.96"/>
    <n v="16.100000000000001"/>
  </r>
  <r>
    <x v="0"/>
    <x v="4"/>
    <x v="7"/>
    <x v="13"/>
    <s v="NO3_Offshore"/>
    <x v="0"/>
    <n v="42.692399999999999"/>
    <n v="11.859"/>
  </r>
  <r>
    <x v="0"/>
    <x v="4"/>
    <x v="7"/>
    <x v="13"/>
    <s v="NO3_Offshore"/>
    <x v="3"/>
    <n v="57.7974681027342"/>
    <n v="16.054852250759499"/>
  </r>
  <r>
    <x v="0"/>
    <x v="4"/>
    <x v="7"/>
    <x v="13"/>
    <s v="NO3_Offshore"/>
    <x v="4"/>
    <n v="8.1139884009941898"/>
    <n v="2.2538856669428302"/>
  </r>
  <r>
    <x v="0"/>
    <x v="4"/>
    <x v="7"/>
    <x v="13"/>
    <s v="NO3_Offshore"/>
    <x v="5"/>
    <n v="8.1139884009941898"/>
    <n v="2.2538856669428302"/>
  </r>
  <r>
    <x v="0"/>
    <x v="4"/>
    <x v="7"/>
    <x v="13"/>
    <s v="NO3_Offshore"/>
    <x v="6"/>
    <n v="30.770439105219602"/>
    <n v="8.5473441958943202"/>
  </r>
  <r>
    <x v="0"/>
    <x v="4"/>
    <x v="7"/>
    <x v="13"/>
    <s v="NO3_Offshore"/>
    <x v="7"/>
    <n v="71.350180613090302"/>
    <n v="19.819494614747299"/>
  </r>
  <r>
    <x v="0"/>
    <x v="4"/>
    <x v="7"/>
    <x v="13"/>
    <s v="NO3_Offshore"/>
    <x v="8"/>
    <n v="71.350180613090302"/>
    <n v="19.819494614747299"/>
  </r>
  <r>
    <x v="0"/>
    <x v="4"/>
    <x v="7"/>
    <x v="13"/>
    <s v="NO3_Offshore"/>
    <x v="9"/>
    <n v="44.803327257663497"/>
    <n v="12.4453686826843"/>
  </r>
  <r>
    <x v="0"/>
    <x v="4"/>
    <x v="7"/>
    <x v="13"/>
    <s v="NO3_Offshore"/>
    <x v="10"/>
    <n v="54.681226180612903"/>
    <n v="15.1892294946147"/>
  </r>
  <r>
    <x v="0"/>
    <x v="4"/>
    <x v="7"/>
    <x v="13"/>
    <s v="NO3_Offshore"/>
    <x v="11"/>
    <n v="3.8806031483015802"/>
    <n v="1.07794531897266"/>
  </r>
  <r>
    <x v="0"/>
    <x v="4"/>
    <x v="7"/>
    <x v="13"/>
    <s v="NO3_Offshore"/>
    <x v="12"/>
    <n v="9.7995028997514597E-2"/>
    <n v="2.72208413881985E-2"/>
  </r>
  <r>
    <x v="0"/>
    <x v="4"/>
    <x v="7"/>
    <x v="13"/>
    <s v="NO3_Offshore"/>
    <x v="13"/>
    <n v="21.5197083678542"/>
    <n v="5.9776967688483804"/>
  </r>
  <r>
    <x v="0"/>
    <x v="4"/>
    <x v="7"/>
    <x v="13"/>
    <s v="NO3_Offshore"/>
    <x v="14"/>
    <n v="21.5197083678542"/>
    <n v="5.9776967688483804"/>
  </r>
  <r>
    <x v="0"/>
    <x v="4"/>
    <x v="7"/>
    <x v="13"/>
    <s v="NO3_Offshore"/>
    <x v="15"/>
    <n v="1.65807589063794"/>
    <n v="0.46057663628831802"/>
  </r>
  <r>
    <x v="0"/>
    <x v="4"/>
    <x v="7"/>
    <x v="13"/>
    <s v="NO3_Offshore"/>
    <x v="16"/>
    <n v="8.3492014028755008"/>
    <n v="2.31922261190986"/>
  </r>
  <r>
    <x v="0"/>
    <x v="4"/>
    <x v="7"/>
    <x v="13"/>
    <s v="NO3_Offshore"/>
    <x v="17"/>
    <n v="9.5251168185584092"/>
    <n v="2.6458657829328902"/>
  </r>
  <r>
    <x v="0"/>
    <x v="4"/>
    <x v="7"/>
    <x v="13"/>
    <s v="NO3_Offshore"/>
    <x v="18"/>
    <n v="21.5197083678542"/>
    <n v="5.9776967688483804"/>
  </r>
  <r>
    <x v="0"/>
    <x v="4"/>
    <x v="7"/>
    <x v="13"/>
    <s v="NO3_Offshore"/>
    <x v="19"/>
    <n v="8.1139884009941898"/>
    <n v="2.2538856669428302"/>
  </r>
  <r>
    <x v="0"/>
    <x v="4"/>
    <x v="7"/>
    <x v="13"/>
    <s v="NO3_Offshore"/>
    <x v="20"/>
    <n v="19.336735244541"/>
    <n v="5.37131534570584"/>
  </r>
  <r>
    <x v="0"/>
    <x v="4"/>
    <x v="7"/>
    <x v="13"/>
    <s v="NO3_Offshore"/>
    <x v="21"/>
    <n v="53.225806451612797"/>
    <n v="14.784946236559099"/>
  </r>
  <r>
    <x v="0"/>
    <x v="4"/>
    <x v="7"/>
    <x v="13"/>
    <s v="NO3_Offshore"/>
    <x v="22"/>
    <n v="130.68"/>
    <n v="36.299999999999997"/>
  </r>
  <r>
    <x v="0"/>
    <x v="4"/>
    <x v="7"/>
    <x v="13"/>
    <s v="NO3_Offshore"/>
    <x v="23"/>
    <n v="0.35278210439105201"/>
    <n v="9.7995028997514499E-2"/>
  </r>
  <r>
    <x v="0"/>
    <x v="4"/>
    <x v="7"/>
    <x v="13"/>
    <s v="NO3_Offshore"/>
    <x v="24"/>
    <n v="20.0161025734538"/>
    <n v="5.5600284926260501"/>
  </r>
  <r>
    <x v="0"/>
    <x v="4"/>
    <x v="7"/>
    <x v="13"/>
    <s v="NO3_Offshore"/>
    <x v="25"/>
    <n v="22.356874337357301"/>
    <n v="6.2102428714881297"/>
  </r>
  <r>
    <x v="0"/>
    <x v="4"/>
    <x v="7"/>
    <x v="13"/>
    <s v="NO3_Offshore"/>
    <x v="26"/>
    <n v="29.6651032387655"/>
    <n v="8.2403064552126306"/>
  </r>
  <r>
    <x v="0"/>
    <x v="4"/>
    <x v="7"/>
    <x v="13"/>
    <s v="NO3_Offshore"/>
    <x v="27"/>
    <n v="21.049332228666099"/>
    <n v="5.8470367301850299"/>
  </r>
  <r>
    <x v="0"/>
    <x v="4"/>
    <x v="7"/>
    <x v="14"/>
    <s v="NO4_A1"/>
    <x v="1"/>
    <n v="35.989199999999997"/>
    <n v="9.9969999999999999"/>
  </r>
  <r>
    <x v="0"/>
    <x v="4"/>
    <x v="7"/>
    <x v="14"/>
    <s v="NO4_A1"/>
    <x v="2"/>
    <n v="57.96"/>
    <n v="16.100000000000001"/>
  </r>
  <r>
    <x v="0"/>
    <x v="4"/>
    <x v="7"/>
    <x v="14"/>
    <s v="NO4_A1"/>
    <x v="0"/>
    <n v="42.692399999999999"/>
    <n v="11.859"/>
  </r>
  <r>
    <x v="0"/>
    <x v="4"/>
    <x v="7"/>
    <x v="14"/>
    <s v="NO4_A1"/>
    <x v="3"/>
    <n v="57.7974681027342"/>
    <n v="16.054852250759499"/>
  </r>
  <r>
    <x v="0"/>
    <x v="4"/>
    <x v="7"/>
    <x v="14"/>
    <s v="NO4_A1"/>
    <x v="4"/>
    <n v="8.1139884009941898"/>
    <n v="2.2538856669428302"/>
  </r>
  <r>
    <x v="0"/>
    <x v="4"/>
    <x v="7"/>
    <x v="14"/>
    <s v="NO4_A1"/>
    <x v="5"/>
    <n v="8.1139884009941898"/>
    <n v="2.2538856669428302"/>
  </r>
  <r>
    <x v="0"/>
    <x v="4"/>
    <x v="7"/>
    <x v="14"/>
    <s v="NO4_A1"/>
    <x v="6"/>
    <n v="30.770439105219602"/>
    <n v="8.5473441958943202"/>
  </r>
  <r>
    <x v="0"/>
    <x v="4"/>
    <x v="7"/>
    <x v="14"/>
    <s v="NO4_A1"/>
    <x v="7"/>
    <n v="71.350180613090302"/>
    <n v="19.819494614747299"/>
  </r>
  <r>
    <x v="0"/>
    <x v="4"/>
    <x v="7"/>
    <x v="14"/>
    <s v="NO4_A1"/>
    <x v="8"/>
    <n v="71.350180613090302"/>
    <n v="19.819494614747299"/>
  </r>
  <r>
    <x v="0"/>
    <x v="4"/>
    <x v="7"/>
    <x v="14"/>
    <s v="NO4_A1"/>
    <x v="9"/>
    <n v="44.803327257663497"/>
    <n v="12.4453686826843"/>
  </r>
  <r>
    <x v="0"/>
    <x v="4"/>
    <x v="7"/>
    <x v="14"/>
    <s v="NO4_A1"/>
    <x v="10"/>
    <n v="54.681226180612903"/>
    <n v="15.1892294946147"/>
  </r>
  <r>
    <x v="0"/>
    <x v="4"/>
    <x v="7"/>
    <x v="14"/>
    <s v="NO4_A1"/>
    <x v="11"/>
    <n v="3.8806031483015802"/>
    <n v="1.07794531897266"/>
  </r>
  <r>
    <x v="0"/>
    <x v="4"/>
    <x v="7"/>
    <x v="14"/>
    <s v="NO4_A1"/>
    <x v="12"/>
    <n v="9.7995028997514597E-2"/>
    <n v="2.72208413881985E-2"/>
  </r>
  <r>
    <x v="0"/>
    <x v="4"/>
    <x v="7"/>
    <x v="14"/>
    <s v="NO4_A1"/>
    <x v="13"/>
    <n v="21.5197083678542"/>
    <n v="5.9776967688483804"/>
  </r>
  <r>
    <x v="0"/>
    <x v="4"/>
    <x v="7"/>
    <x v="14"/>
    <s v="NO4_A1"/>
    <x v="14"/>
    <n v="21.5197083678542"/>
    <n v="5.9776967688483804"/>
  </r>
  <r>
    <x v="0"/>
    <x v="4"/>
    <x v="7"/>
    <x v="14"/>
    <s v="NO4_A1"/>
    <x v="15"/>
    <n v="1.65807589063794"/>
    <n v="0.46057663628831802"/>
  </r>
  <r>
    <x v="0"/>
    <x v="4"/>
    <x v="7"/>
    <x v="14"/>
    <s v="NO4_A1"/>
    <x v="16"/>
    <n v="8.3492014028755008"/>
    <n v="2.31922261190986"/>
  </r>
  <r>
    <x v="0"/>
    <x v="4"/>
    <x v="7"/>
    <x v="14"/>
    <s v="NO4_A1"/>
    <x v="17"/>
    <n v="9.5251168185584092"/>
    <n v="2.6458657829328902"/>
  </r>
  <r>
    <x v="0"/>
    <x v="4"/>
    <x v="7"/>
    <x v="14"/>
    <s v="NO4_A1"/>
    <x v="18"/>
    <n v="21.5197083678542"/>
    <n v="5.9776967688483804"/>
  </r>
  <r>
    <x v="0"/>
    <x v="4"/>
    <x v="7"/>
    <x v="14"/>
    <s v="NO4_A1"/>
    <x v="19"/>
    <n v="8.1139884009941898"/>
    <n v="2.2538856669428302"/>
  </r>
  <r>
    <x v="0"/>
    <x v="4"/>
    <x v="7"/>
    <x v="14"/>
    <s v="NO4_A1"/>
    <x v="20"/>
    <n v="19.336735244541"/>
    <n v="5.37131534570584"/>
  </r>
  <r>
    <x v="0"/>
    <x v="4"/>
    <x v="7"/>
    <x v="14"/>
    <s v="NO4_A1"/>
    <x v="21"/>
    <n v="53.225806451612797"/>
    <n v="14.784946236559099"/>
  </r>
  <r>
    <x v="0"/>
    <x v="4"/>
    <x v="7"/>
    <x v="14"/>
    <s v="NO4_A1"/>
    <x v="22"/>
    <n v="130.68"/>
    <n v="36.299999999999997"/>
  </r>
  <r>
    <x v="0"/>
    <x v="4"/>
    <x v="7"/>
    <x v="14"/>
    <s v="NO4_A1"/>
    <x v="23"/>
    <n v="0.35278210439105201"/>
    <n v="9.7995028997514499E-2"/>
  </r>
  <r>
    <x v="0"/>
    <x v="4"/>
    <x v="7"/>
    <x v="14"/>
    <s v="NO4_A1"/>
    <x v="24"/>
    <n v="20.0161025734538"/>
    <n v="5.5600284926260501"/>
  </r>
  <r>
    <x v="0"/>
    <x v="4"/>
    <x v="7"/>
    <x v="14"/>
    <s v="NO4_A1"/>
    <x v="25"/>
    <n v="22.356874337357301"/>
    <n v="6.2102428714881297"/>
  </r>
  <r>
    <x v="0"/>
    <x v="4"/>
    <x v="7"/>
    <x v="14"/>
    <s v="NO4_A1"/>
    <x v="26"/>
    <n v="29.6651032387655"/>
    <n v="8.2403064552126306"/>
  </r>
  <r>
    <x v="0"/>
    <x v="4"/>
    <x v="7"/>
    <x v="14"/>
    <s v="NO4_A1"/>
    <x v="27"/>
    <n v="21.049332228666099"/>
    <n v="5.8470367301850299"/>
  </r>
  <r>
    <x v="0"/>
    <x v="4"/>
    <x v="7"/>
    <x v="14"/>
    <s v="NO4_A2"/>
    <x v="1"/>
    <n v="35.989199999999997"/>
    <n v="9.9969999999999999"/>
  </r>
  <r>
    <x v="0"/>
    <x v="4"/>
    <x v="7"/>
    <x v="14"/>
    <s v="NO4_A2"/>
    <x v="2"/>
    <n v="57.96"/>
    <n v="16.100000000000001"/>
  </r>
  <r>
    <x v="0"/>
    <x v="4"/>
    <x v="7"/>
    <x v="14"/>
    <s v="NO4_A2"/>
    <x v="0"/>
    <n v="42.692399999999999"/>
    <n v="11.859"/>
  </r>
  <r>
    <x v="0"/>
    <x v="4"/>
    <x v="7"/>
    <x v="14"/>
    <s v="NO4_A2"/>
    <x v="3"/>
    <n v="57.7974681027342"/>
    <n v="16.054852250759499"/>
  </r>
  <r>
    <x v="0"/>
    <x v="4"/>
    <x v="7"/>
    <x v="14"/>
    <s v="NO4_A2"/>
    <x v="4"/>
    <n v="8.1139884009941898"/>
    <n v="2.2538856669428302"/>
  </r>
  <r>
    <x v="0"/>
    <x v="4"/>
    <x v="7"/>
    <x v="14"/>
    <s v="NO4_A2"/>
    <x v="5"/>
    <n v="8.1139884009941898"/>
    <n v="2.2538856669428302"/>
  </r>
  <r>
    <x v="0"/>
    <x v="4"/>
    <x v="7"/>
    <x v="14"/>
    <s v="NO4_A2"/>
    <x v="6"/>
    <n v="30.770439105219602"/>
    <n v="8.5473441958943202"/>
  </r>
  <r>
    <x v="0"/>
    <x v="4"/>
    <x v="7"/>
    <x v="14"/>
    <s v="NO4_A2"/>
    <x v="7"/>
    <n v="71.350180613090302"/>
    <n v="19.819494614747299"/>
  </r>
  <r>
    <x v="0"/>
    <x v="4"/>
    <x v="7"/>
    <x v="14"/>
    <s v="NO4_A2"/>
    <x v="8"/>
    <n v="71.350180613090302"/>
    <n v="19.819494614747299"/>
  </r>
  <r>
    <x v="0"/>
    <x v="4"/>
    <x v="7"/>
    <x v="14"/>
    <s v="NO4_A2"/>
    <x v="9"/>
    <n v="44.803327257663497"/>
    <n v="12.4453686826843"/>
  </r>
  <r>
    <x v="0"/>
    <x v="4"/>
    <x v="7"/>
    <x v="14"/>
    <s v="NO4_A2"/>
    <x v="10"/>
    <n v="54.681226180612903"/>
    <n v="15.1892294946147"/>
  </r>
  <r>
    <x v="0"/>
    <x v="4"/>
    <x v="7"/>
    <x v="14"/>
    <s v="NO4_A2"/>
    <x v="11"/>
    <n v="3.8806031483015802"/>
    <n v="1.07794531897266"/>
  </r>
  <r>
    <x v="0"/>
    <x v="4"/>
    <x v="7"/>
    <x v="14"/>
    <s v="NO4_A2"/>
    <x v="12"/>
    <n v="9.7995028997514597E-2"/>
    <n v="2.72208413881985E-2"/>
  </r>
  <r>
    <x v="0"/>
    <x v="4"/>
    <x v="7"/>
    <x v="14"/>
    <s v="NO4_A2"/>
    <x v="13"/>
    <n v="21.5197083678542"/>
    <n v="5.9776967688483804"/>
  </r>
  <r>
    <x v="0"/>
    <x v="4"/>
    <x v="7"/>
    <x v="14"/>
    <s v="NO4_A2"/>
    <x v="14"/>
    <n v="21.5197083678542"/>
    <n v="5.9776967688483804"/>
  </r>
  <r>
    <x v="0"/>
    <x v="4"/>
    <x v="7"/>
    <x v="14"/>
    <s v="NO4_A2"/>
    <x v="15"/>
    <n v="1.65807589063794"/>
    <n v="0.46057663628831802"/>
  </r>
  <r>
    <x v="0"/>
    <x v="4"/>
    <x v="7"/>
    <x v="14"/>
    <s v="NO4_A2"/>
    <x v="16"/>
    <n v="8.3492014028755008"/>
    <n v="2.31922261190986"/>
  </r>
  <r>
    <x v="0"/>
    <x v="4"/>
    <x v="7"/>
    <x v="14"/>
    <s v="NO4_A2"/>
    <x v="17"/>
    <n v="9.5251168185584092"/>
    <n v="2.6458657829328902"/>
  </r>
  <r>
    <x v="0"/>
    <x v="4"/>
    <x v="7"/>
    <x v="14"/>
    <s v="NO4_A2"/>
    <x v="18"/>
    <n v="21.5197083678542"/>
    <n v="5.9776967688483804"/>
  </r>
  <r>
    <x v="0"/>
    <x v="4"/>
    <x v="7"/>
    <x v="14"/>
    <s v="NO4_A2"/>
    <x v="19"/>
    <n v="8.1139884009941898"/>
    <n v="2.2538856669428302"/>
  </r>
  <r>
    <x v="0"/>
    <x v="4"/>
    <x v="7"/>
    <x v="14"/>
    <s v="NO4_A2"/>
    <x v="20"/>
    <n v="19.336735244541"/>
    <n v="5.37131534570584"/>
  </r>
  <r>
    <x v="0"/>
    <x v="4"/>
    <x v="7"/>
    <x v="14"/>
    <s v="NO4_A2"/>
    <x v="21"/>
    <n v="53.225806451612797"/>
    <n v="14.784946236559099"/>
  </r>
  <r>
    <x v="0"/>
    <x v="4"/>
    <x v="7"/>
    <x v="14"/>
    <s v="NO4_A2"/>
    <x v="22"/>
    <n v="130.68"/>
    <n v="36.299999999999997"/>
  </r>
  <r>
    <x v="0"/>
    <x v="4"/>
    <x v="7"/>
    <x v="14"/>
    <s v="NO4_A2"/>
    <x v="23"/>
    <n v="0.35278210439105201"/>
    <n v="9.7995028997514499E-2"/>
  </r>
  <r>
    <x v="0"/>
    <x v="4"/>
    <x v="7"/>
    <x v="14"/>
    <s v="NO4_A2"/>
    <x v="24"/>
    <n v="20.0161025734538"/>
    <n v="5.5600284926260501"/>
  </r>
  <r>
    <x v="0"/>
    <x v="4"/>
    <x v="7"/>
    <x v="14"/>
    <s v="NO4_A2"/>
    <x v="25"/>
    <n v="22.356874337357301"/>
    <n v="6.2102428714881297"/>
  </r>
  <r>
    <x v="0"/>
    <x v="4"/>
    <x v="7"/>
    <x v="14"/>
    <s v="NO4_A2"/>
    <x v="26"/>
    <n v="29.6651032387655"/>
    <n v="8.2403064552126306"/>
  </r>
  <r>
    <x v="0"/>
    <x v="4"/>
    <x v="7"/>
    <x v="14"/>
    <s v="NO4_A2"/>
    <x v="27"/>
    <n v="21.049332228666099"/>
    <n v="5.8470367301850299"/>
  </r>
  <r>
    <x v="0"/>
    <x v="4"/>
    <x v="7"/>
    <x v="14"/>
    <s v="NO4_Offshore"/>
    <x v="1"/>
    <n v="35.989199999999997"/>
    <n v="9.9969999999999999"/>
  </r>
  <r>
    <x v="0"/>
    <x v="4"/>
    <x v="7"/>
    <x v="14"/>
    <s v="NO4_Offshore"/>
    <x v="2"/>
    <n v="57.96"/>
    <n v="16.100000000000001"/>
  </r>
  <r>
    <x v="0"/>
    <x v="4"/>
    <x v="7"/>
    <x v="14"/>
    <s v="NO4_Offshore"/>
    <x v="0"/>
    <n v="42.692399999999999"/>
    <n v="11.859"/>
  </r>
  <r>
    <x v="0"/>
    <x v="4"/>
    <x v="7"/>
    <x v="14"/>
    <s v="NO4_Offshore"/>
    <x v="3"/>
    <n v="57.7974681027342"/>
    <n v="16.054852250759499"/>
  </r>
  <r>
    <x v="0"/>
    <x v="4"/>
    <x v="7"/>
    <x v="14"/>
    <s v="NO4_Offshore"/>
    <x v="4"/>
    <n v="8.1139884009941898"/>
    <n v="2.2538856669428302"/>
  </r>
  <r>
    <x v="0"/>
    <x v="4"/>
    <x v="7"/>
    <x v="14"/>
    <s v="NO4_Offshore"/>
    <x v="5"/>
    <n v="8.1139884009941898"/>
    <n v="2.2538856669428302"/>
  </r>
  <r>
    <x v="0"/>
    <x v="4"/>
    <x v="7"/>
    <x v="14"/>
    <s v="NO4_Offshore"/>
    <x v="6"/>
    <n v="30.770439105219602"/>
    <n v="8.5473441958943202"/>
  </r>
  <r>
    <x v="0"/>
    <x v="4"/>
    <x v="7"/>
    <x v="14"/>
    <s v="NO4_Offshore"/>
    <x v="7"/>
    <n v="71.350180613090302"/>
    <n v="19.819494614747299"/>
  </r>
  <r>
    <x v="0"/>
    <x v="4"/>
    <x v="7"/>
    <x v="14"/>
    <s v="NO4_Offshore"/>
    <x v="8"/>
    <n v="71.350180613090302"/>
    <n v="19.819494614747299"/>
  </r>
  <r>
    <x v="0"/>
    <x v="4"/>
    <x v="7"/>
    <x v="14"/>
    <s v="NO4_Offshore"/>
    <x v="9"/>
    <n v="44.803327257663497"/>
    <n v="12.4453686826843"/>
  </r>
  <r>
    <x v="0"/>
    <x v="4"/>
    <x v="7"/>
    <x v="14"/>
    <s v="NO4_Offshore"/>
    <x v="10"/>
    <n v="54.681226180612903"/>
    <n v="15.1892294946147"/>
  </r>
  <r>
    <x v="0"/>
    <x v="4"/>
    <x v="7"/>
    <x v="14"/>
    <s v="NO4_Offshore"/>
    <x v="11"/>
    <n v="3.8806031483015802"/>
    <n v="1.07794531897266"/>
  </r>
  <r>
    <x v="0"/>
    <x v="4"/>
    <x v="7"/>
    <x v="14"/>
    <s v="NO4_Offshore"/>
    <x v="12"/>
    <n v="9.7995028997514597E-2"/>
    <n v="2.72208413881985E-2"/>
  </r>
  <r>
    <x v="0"/>
    <x v="4"/>
    <x v="7"/>
    <x v="14"/>
    <s v="NO4_Offshore"/>
    <x v="13"/>
    <n v="21.5197083678542"/>
    <n v="5.9776967688483804"/>
  </r>
  <r>
    <x v="0"/>
    <x v="4"/>
    <x v="7"/>
    <x v="14"/>
    <s v="NO4_Offshore"/>
    <x v="14"/>
    <n v="21.5197083678542"/>
    <n v="5.9776967688483804"/>
  </r>
  <r>
    <x v="0"/>
    <x v="4"/>
    <x v="7"/>
    <x v="14"/>
    <s v="NO4_Offshore"/>
    <x v="15"/>
    <n v="1.65807589063794"/>
    <n v="0.46057663628831802"/>
  </r>
  <r>
    <x v="0"/>
    <x v="4"/>
    <x v="7"/>
    <x v="14"/>
    <s v="NO4_Offshore"/>
    <x v="16"/>
    <n v="8.3492014028755008"/>
    <n v="2.31922261190986"/>
  </r>
  <r>
    <x v="0"/>
    <x v="4"/>
    <x v="7"/>
    <x v="14"/>
    <s v="NO4_Offshore"/>
    <x v="17"/>
    <n v="9.5251168185584092"/>
    <n v="2.6458657829328902"/>
  </r>
  <r>
    <x v="0"/>
    <x v="4"/>
    <x v="7"/>
    <x v="14"/>
    <s v="NO4_Offshore"/>
    <x v="18"/>
    <n v="21.5197083678542"/>
    <n v="5.9776967688483804"/>
  </r>
  <r>
    <x v="0"/>
    <x v="4"/>
    <x v="7"/>
    <x v="14"/>
    <s v="NO4_Offshore"/>
    <x v="19"/>
    <n v="8.1139884009941898"/>
    <n v="2.2538856669428302"/>
  </r>
  <r>
    <x v="0"/>
    <x v="4"/>
    <x v="7"/>
    <x v="14"/>
    <s v="NO4_Offshore"/>
    <x v="20"/>
    <n v="19.336735244541"/>
    <n v="5.37131534570584"/>
  </r>
  <r>
    <x v="0"/>
    <x v="4"/>
    <x v="7"/>
    <x v="14"/>
    <s v="NO4_Offshore"/>
    <x v="21"/>
    <n v="53.225806451612797"/>
    <n v="14.784946236559099"/>
  </r>
  <r>
    <x v="0"/>
    <x v="4"/>
    <x v="7"/>
    <x v="14"/>
    <s v="NO4_Offshore"/>
    <x v="22"/>
    <n v="130.68"/>
    <n v="36.299999999999997"/>
  </r>
  <r>
    <x v="0"/>
    <x v="4"/>
    <x v="7"/>
    <x v="14"/>
    <s v="NO4_Offshore"/>
    <x v="23"/>
    <n v="0.35278210439105201"/>
    <n v="9.7995028997514499E-2"/>
  </r>
  <r>
    <x v="0"/>
    <x v="4"/>
    <x v="7"/>
    <x v="14"/>
    <s v="NO4_Offshore"/>
    <x v="24"/>
    <n v="20.0161025734538"/>
    <n v="5.5600284926260501"/>
  </r>
  <r>
    <x v="0"/>
    <x v="4"/>
    <x v="7"/>
    <x v="14"/>
    <s v="NO4_Offshore"/>
    <x v="25"/>
    <n v="22.356874337357301"/>
    <n v="6.2102428714881297"/>
  </r>
  <r>
    <x v="0"/>
    <x v="4"/>
    <x v="7"/>
    <x v="14"/>
    <s v="NO4_Offshore"/>
    <x v="26"/>
    <n v="29.6651032387655"/>
    <n v="8.2403064552126306"/>
  </r>
  <r>
    <x v="0"/>
    <x v="4"/>
    <x v="7"/>
    <x v="14"/>
    <s v="NO4_Offshore"/>
    <x v="27"/>
    <n v="21.049332228666099"/>
    <n v="5.8470367301850299"/>
  </r>
  <r>
    <x v="0"/>
    <x v="4"/>
    <x v="7"/>
    <x v="15"/>
    <s v="NO5_A1"/>
    <x v="1"/>
    <n v="35.989199999999997"/>
    <n v="9.9969999999999999"/>
  </r>
  <r>
    <x v="0"/>
    <x v="4"/>
    <x v="7"/>
    <x v="15"/>
    <s v="NO5_A1"/>
    <x v="2"/>
    <n v="57.96"/>
    <n v="16.100000000000001"/>
  </r>
  <r>
    <x v="0"/>
    <x v="4"/>
    <x v="7"/>
    <x v="15"/>
    <s v="NO5_A1"/>
    <x v="0"/>
    <n v="42.692399999999999"/>
    <n v="11.859"/>
  </r>
  <r>
    <x v="0"/>
    <x v="4"/>
    <x v="7"/>
    <x v="15"/>
    <s v="NO5_A1"/>
    <x v="3"/>
    <n v="57.7974681027342"/>
    <n v="16.054852250759499"/>
  </r>
  <r>
    <x v="0"/>
    <x v="4"/>
    <x v="7"/>
    <x v="15"/>
    <s v="NO5_A1"/>
    <x v="4"/>
    <n v="8.1139884009941898"/>
    <n v="2.2538856669428302"/>
  </r>
  <r>
    <x v="0"/>
    <x v="4"/>
    <x v="7"/>
    <x v="15"/>
    <s v="NO5_A1"/>
    <x v="5"/>
    <n v="8.1139884009941898"/>
    <n v="2.2538856669428302"/>
  </r>
  <r>
    <x v="0"/>
    <x v="4"/>
    <x v="7"/>
    <x v="15"/>
    <s v="NO5_A1"/>
    <x v="6"/>
    <n v="30.770439105219602"/>
    <n v="8.5473441958943202"/>
  </r>
  <r>
    <x v="0"/>
    <x v="4"/>
    <x v="7"/>
    <x v="15"/>
    <s v="NO5_A1"/>
    <x v="7"/>
    <n v="71.350180613090302"/>
    <n v="19.819494614747299"/>
  </r>
  <r>
    <x v="0"/>
    <x v="4"/>
    <x v="7"/>
    <x v="15"/>
    <s v="NO5_A1"/>
    <x v="8"/>
    <n v="71.350180613090302"/>
    <n v="19.819494614747299"/>
  </r>
  <r>
    <x v="0"/>
    <x v="4"/>
    <x v="7"/>
    <x v="15"/>
    <s v="NO5_A1"/>
    <x v="9"/>
    <n v="44.803327257663497"/>
    <n v="12.4453686826843"/>
  </r>
  <r>
    <x v="0"/>
    <x v="4"/>
    <x v="7"/>
    <x v="15"/>
    <s v="NO5_A1"/>
    <x v="10"/>
    <n v="54.681226180612903"/>
    <n v="15.1892294946147"/>
  </r>
  <r>
    <x v="0"/>
    <x v="4"/>
    <x v="7"/>
    <x v="15"/>
    <s v="NO5_A1"/>
    <x v="11"/>
    <n v="3.8806031483015802"/>
    <n v="1.07794531897266"/>
  </r>
  <r>
    <x v="0"/>
    <x v="4"/>
    <x v="7"/>
    <x v="15"/>
    <s v="NO5_A1"/>
    <x v="12"/>
    <n v="9.7995028997514597E-2"/>
    <n v="2.72208413881985E-2"/>
  </r>
  <r>
    <x v="0"/>
    <x v="4"/>
    <x v="7"/>
    <x v="15"/>
    <s v="NO5_A1"/>
    <x v="13"/>
    <n v="21.5197083678542"/>
    <n v="5.9776967688483804"/>
  </r>
  <r>
    <x v="0"/>
    <x v="4"/>
    <x v="7"/>
    <x v="15"/>
    <s v="NO5_A1"/>
    <x v="14"/>
    <n v="21.5197083678542"/>
    <n v="5.9776967688483804"/>
  </r>
  <r>
    <x v="0"/>
    <x v="4"/>
    <x v="7"/>
    <x v="15"/>
    <s v="NO5_A1"/>
    <x v="15"/>
    <n v="1.65807589063794"/>
    <n v="0.46057663628831802"/>
  </r>
  <r>
    <x v="0"/>
    <x v="4"/>
    <x v="7"/>
    <x v="15"/>
    <s v="NO5_A1"/>
    <x v="16"/>
    <n v="8.3492014028755008"/>
    <n v="2.31922261190986"/>
  </r>
  <r>
    <x v="0"/>
    <x v="4"/>
    <x v="7"/>
    <x v="15"/>
    <s v="NO5_A1"/>
    <x v="17"/>
    <n v="9.5251168185584092"/>
    <n v="2.6458657829328902"/>
  </r>
  <r>
    <x v="0"/>
    <x v="4"/>
    <x v="7"/>
    <x v="15"/>
    <s v="NO5_A1"/>
    <x v="18"/>
    <n v="21.5197083678542"/>
    <n v="5.9776967688483804"/>
  </r>
  <r>
    <x v="0"/>
    <x v="4"/>
    <x v="7"/>
    <x v="15"/>
    <s v="NO5_A1"/>
    <x v="19"/>
    <n v="8.1139884009941898"/>
    <n v="2.2538856669428302"/>
  </r>
  <r>
    <x v="0"/>
    <x v="4"/>
    <x v="7"/>
    <x v="15"/>
    <s v="NO5_A1"/>
    <x v="20"/>
    <n v="19.336735244541"/>
    <n v="5.37131534570584"/>
  </r>
  <r>
    <x v="0"/>
    <x v="4"/>
    <x v="7"/>
    <x v="15"/>
    <s v="NO5_A1"/>
    <x v="21"/>
    <n v="53.225806451612797"/>
    <n v="14.784946236559099"/>
  </r>
  <r>
    <x v="0"/>
    <x v="4"/>
    <x v="7"/>
    <x v="15"/>
    <s v="NO5_A1"/>
    <x v="22"/>
    <n v="130.68"/>
    <n v="36.299999999999997"/>
  </r>
  <r>
    <x v="0"/>
    <x v="4"/>
    <x v="7"/>
    <x v="15"/>
    <s v="NO5_A1"/>
    <x v="23"/>
    <n v="0.35278210439105201"/>
    <n v="9.7995028997514499E-2"/>
  </r>
  <r>
    <x v="0"/>
    <x v="4"/>
    <x v="7"/>
    <x v="15"/>
    <s v="NO5_A1"/>
    <x v="24"/>
    <n v="20.0161025734538"/>
    <n v="5.5600284926260501"/>
  </r>
  <r>
    <x v="0"/>
    <x v="4"/>
    <x v="7"/>
    <x v="15"/>
    <s v="NO5_A1"/>
    <x v="25"/>
    <n v="22.356874337357301"/>
    <n v="6.2102428714881297"/>
  </r>
  <r>
    <x v="0"/>
    <x v="4"/>
    <x v="7"/>
    <x v="15"/>
    <s v="NO5_A1"/>
    <x v="26"/>
    <n v="29.6651032387655"/>
    <n v="8.2403064552126306"/>
  </r>
  <r>
    <x v="0"/>
    <x v="4"/>
    <x v="7"/>
    <x v="15"/>
    <s v="NO5_A1"/>
    <x v="27"/>
    <n v="21.049332228666099"/>
    <n v="5.8470367301850299"/>
  </r>
  <r>
    <x v="0"/>
    <x v="4"/>
    <x v="7"/>
    <x v="15"/>
    <s v="NO5_A2"/>
    <x v="1"/>
    <n v="35.989199999999997"/>
    <n v="9.9969999999999999"/>
  </r>
  <r>
    <x v="0"/>
    <x v="4"/>
    <x v="7"/>
    <x v="15"/>
    <s v="NO5_A2"/>
    <x v="2"/>
    <n v="57.96"/>
    <n v="16.100000000000001"/>
  </r>
  <r>
    <x v="0"/>
    <x v="4"/>
    <x v="7"/>
    <x v="15"/>
    <s v="NO5_A2"/>
    <x v="0"/>
    <n v="42.692399999999999"/>
    <n v="11.859"/>
  </r>
  <r>
    <x v="0"/>
    <x v="4"/>
    <x v="7"/>
    <x v="15"/>
    <s v="NO5_A2"/>
    <x v="3"/>
    <n v="57.7974681027342"/>
    <n v="16.054852250759499"/>
  </r>
  <r>
    <x v="0"/>
    <x v="4"/>
    <x v="7"/>
    <x v="15"/>
    <s v="NO5_A2"/>
    <x v="4"/>
    <n v="8.1139884009941898"/>
    <n v="2.2538856669428302"/>
  </r>
  <r>
    <x v="0"/>
    <x v="4"/>
    <x v="7"/>
    <x v="15"/>
    <s v="NO5_A2"/>
    <x v="5"/>
    <n v="8.1139884009941898"/>
    <n v="2.2538856669428302"/>
  </r>
  <r>
    <x v="0"/>
    <x v="4"/>
    <x v="7"/>
    <x v="15"/>
    <s v="NO5_A2"/>
    <x v="6"/>
    <n v="30.770439105219602"/>
    <n v="8.5473441958943202"/>
  </r>
  <r>
    <x v="0"/>
    <x v="4"/>
    <x v="7"/>
    <x v="15"/>
    <s v="NO5_A2"/>
    <x v="7"/>
    <n v="71.350180613090302"/>
    <n v="19.819494614747299"/>
  </r>
  <r>
    <x v="0"/>
    <x v="4"/>
    <x v="7"/>
    <x v="15"/>
    <s v="NO5_A2"/>
    <x v="8"/>
    <n v="71.350180613090302"/>
    <n v="19.819494614747299"/>
  </r>
  <r>
    <x v="0"/>
    <x v="4"/>
    <x v="7"/>
    <x v="15"/>
    <s v="NO5_A2"/>
    <x v="9"/>
    <n v="44.803327257663497"/>
    <n v="12.4453686826843"/>
  </r>
  <r>
    <x v="0"/>
    <x v="4"/>
    <x v="7"/>
    <x v="15"/>
    <s v="NO5_A2"/>
    <x v="10"/>
    <n v="54.681226180612903"/>
    <n v="15.1892294946147"/>
  </r>
  <r>
    <x v="0"/>
    <x v="4"/>
    <x v="7"/>
    <x v="15"/>
    <s v="NO5_A2"/>
    <x v="11"/>
    <n v="3.8806031483015802"/>
    <n v="1.07794531897266"/>
  </r>
  <r>
    <x v="0"/>
    <x v="4"/>
    <x v="7"/>
    <x v="15"/>
    <s v="NO5_A2"/>
    <x v="12"/>
    <n v="9.7995028997514597E-2"/>
    <n v="2.72208413881985E-2"/>
  </r>
  <r>
    <x v="0"/>
    <x v="4"/>
    <x v="7"/>
    <x v="15"/>
    <s v="NO5_A2"/>
    <x v="13"/>
    <n v="21.5197083678542"/>
    <n v="5.9776967688483804"/>
  </r>
  <r>
    <x v="0"/>
    <x v="4"/>
    <x v="7"/>
    <x v="15"/>
    <s v="NO5_A2"/>
    <x v="14"/>
    <n v="21.5197083678542"/>
    <n v="5.9776967688483804"/>
  </r>
  <r>
    <x v="0"/>
    <x v="4"/>
    <x v="7"/>
    <x v="15"/>
    <s v="NO5_A2"/>
    <x v="15"/>
    <n v="1.65807589063794"/>
    <n v="0.46057663628831802"/>
  </r>
  <r>
    <x v="0"/>
    <x v="4"/>
    <x v="7"/>
    <x v="15"/>
    <s v="NO5_A2"/>
    <x v="16"/>
    <n v="8.3492014028755008"/>
    <n v="2.31922261190986"/>
  </r>
  <r>
    <x v="0"/>
    <x v="4"/>
    <x v="7"/>
    <x v="15"/>
    <s v="NO5_A2"/>
    <x v="17"/>
    <n v="9.5251168185584092"/>
    <n v="2.6458657829328902"/>
  </r>
  <r>
    <x v="0"/>
    <x v="4"/>
    <x v="7"/>
    <x v="15"/>
    <s v="NO5_A2"/>
    <x v="18"/>
    <n v="21.5197083678542"/>
    <n v="5.9776967688483804"/>
  </r>
  <r>
    <x v="0"/>
    <x v="4"/>
    <x v="7"/>
    <x v="15"/>
    <s v="NO5_A2"/>
    <x v="19"/>
    <n v="8.1139884009941898"/>
    <n v="2.2538856669428302"/>
  </r>
  <r>
    <x v="0"/>
    <x v="4"/>
    <x v="7"/>
    <x v="15"/>
    <s v="NO5_A2"/>
    <x v="20"/>
    <n v="19.336735244541"/>
    <n v="5.37131534570584"/>
  </r>
  <r>
    <x v="0"/>
    <x v="4"/>
    <x v="7"/>
    <x v="15"/>
    <s v="NO5_A2"/>
    <x v="21"/>
    <n v="53.225806451612797"/>
    <n v="14.784946236559099"/>
  </r>
  <r>
    <x v="0"/>
    <x v="4"/>
    <x v="7"/>
    <x v="15"/>
    <s v="NO5_A2"/>
    <x v="22"/>
    <n v="130.68"/>
    <n v="36.299999999999997"/>
  </r>
  <r>
    <x v="0"/>
    <x v="4"/>
    <x v="7"/>
    <x v="15"/>
    <s v="NO5_A2"/>
    <x v="23"/>
    <n v="0.35278210439105201"/>
    <n v="9.7995028997514499E-2"/>
  </r>
  <r>
    <x v="0"/>
    <x v="4"/>
    <x v="7"/>
    <x v="15"/>
    <s v="NO5_A2"/>
    <x v="24"/>
    <n v="20.0161025734538"/>
    <n v="5.5600284926260501"/>
  </r>
  <r>
    <x v="0"/>
    <x v="4"/>
    <x v="7"/>
    <x v="15"/>
    <s v="NO5_A2"/>
    <x v="25"/>
    <n v="22.356874337357301"/>
    <n v="6.2102428714881297"/>
  </r>
  <r>
    <x v="0"/>
    <x v="4"/>
    <x v="7"/>
    <x v="15"/>
    <s v="NO5_A2"/>
    <x v="26"/>
    <n v="29.6651032387655"/>
    <n v="8.2403064552126306"/>
  </r>
  <r>
    <x v="0"/>
    <x v="4"/>
    <x v="7"/>
    <x v="15"/>
    <s v="NO5_A2"/>
    <x v="27"/>
    <n v="21.049332228666099"/>
    <n v="5.8470367301850299"/>
  </r>
  <r>
    <x v="0"/>
    <x v="4"/>
    <x v="7"/>
    <x v="15"/>
    <s v="NO5_Offshore"/>
    <x v="1"/>
    <n v="35.989199999999997"/>
    <n v="9.9969999999999999"/>
  </r>
  <r>
    <x v="0"/>
    <x v="4"/>
    <x v="7"/>
    <x v="15"/>
    <s v="NO5_Offshore"/>
    <x v="2"/>
    <n v="57.96"/>
    <n v="16.100000000000001"/>
  </r>
  <r>
    <x v="0"/>
    <x v="4"/>
    <x v="7"/>
    <x v="15"/>
    <s v="NO5_Offshore"/>
    <x v="0"/>
    <n v="42.692399999999999"/>
    <n v="11.859"/>
  </r>
  <r>
    <x v="0"/>
    <x v="4"/>
    <x v="7"/>
    <x v="15"/>
    <s v="NO5_Offshore"/>
    <x v="3"/>
    <n v="57.7974681027342"/>
    <n v="16.054852250759499"/>
  </r>
  <r>
    <x v="0"/>
    <x v="4"/>
    <x v="7"/>
    <x v="15"/>
    <s v="NO5_Offshore"/>
    <x v="4"/>
    <n v="8.1139884009941898"/>
    <n v="2.2538856669428302"/>
  </r>
  <r>
    <x v="0"/>
    <x v="4"/>
    <x v="7"/>
    <x v="15"/>
    <s v="NO5_Offshore"/>
    <x v="5"/>
    <n v="8.1139884009941898"/>
    <n v="2.2538856669428302"/>
  </r>
  <r>
    <x v="0"/>
    <x v="4"/>
    <x v="7"/>
    <x v="15"/>
    <s v="NO5_Offshore"/>
    <x v="6"/>
    <n v="30.770439105219602"/>
    <n v="8.5473441958943202"/>
  </r>
  <r>
    <x v="0"/>
    <x v="4"/>
    <x v="7"/>
    <x v="15"/>
    <s v="NO5_Offshore"/>
    <x v="7"/>
    <n v="71.350180613090302"/>
    <n v="19.819494614747299"/>
  </r>
  <r>
    <x v="0"/>
    <x v="4"/>
    <x v="7"/>
    <x v="15"/>
    <s v="NO5_Offshore"/>
    <x v="8"/>
    <n v="71.350180613090302"/>
    <n v="19.819494614747299"/>
  </r>
  <r>
    <x v="0"/>
    <x v="4"/>
    <x v="7"/>
    <x v="15"/>
    <s v="NO5_Offshore"/>
    <x v="9"/>
    <n v="44.803327257663497"/>
    <n v="12.4453686826843"/>
  </r>
  <r>
    <x v="0"/>
    <x v="4"/>
    <x v="7"/>
    <x v="15"/>
    <s v="NO5_Offshore"/>
    <x v="10"/>
    <n v="54.681226180612903"/>
    <n v="15.1892294946147"/>
  </r>
  <r>
    <x v="0"/>
    <x v="4"/>
    <x v="7"/>
    <x v="15"/>
    <s v="NO5_Offshore"/>
    <x v="11"/>
    <n v="3.8806031483015802"/>
    <n v="1.07794531897266"/>
  </r>
  <r>
    <x v="0"/>
    <x v="4"/>
    <x v="7"/>
    <x v="15"/>
    <s v="NO5_Offshore"/>
    <x v="12"/>
    <n v="9.7995028997514597E-2"/>
    <n v="2.72208413881985E-2"/>
  </r>
  <r>
    <x v="0"/>
    <x v="4"/>
    <x v="7"/>
    <x v="15"/>
    <s v="NO5_Offshore"/>
    <x v="13"/>
    <n v="21.5197083678542"/>
    <n v="5.9776967688483804"/>
  </r>
  <r>
    <x v="0"/>
    <x v="4"/>
    <x v="7"/>
    <x v="15"/>
    <s v="NO5_Offshore"/>
    <x v="14"/>
    <n v="21.5197083678542"/>
    <n v="5.9776967688483804"/>
  </r>
  <r>
    <x v="0"/>
    <x v="4"/>
    <x v="7"/>
    <x v="15"/>
    <s v="NO5_Offshore"/>
    <x v="15"/>
    <n v="1.65807589063794"/>
    <n v="0.46057663628831802"/>
  </r>
  <r>
    <x v="0"/>
    <x v="4"/>
    <x v="7"/>
    <x v="15"/>
    <s v="NO5_Offshore"/>
    <x v="16"/>
    <n v="8.3492014028755008"/>
    <n v="2.31922261190986"/>
  </r>
  <r>
    <x v="0"/>
    <x v="4"/>
    <x v="7"/>
    <x v="15"/>
    <s v="NO5_Offshore"/>
    <x v="17"/>
    <n v="9.5251168185584092"/>
    <n v="2.6458657829328902"/>
  </r>
  <r>
    <x v="0"/>
    <x v="4"/>
    <x v="7"/>
    <x v="15"/>
    <s v="NO5_Offshore"/>
    <x v="18"/>
    <n v="21.5197083678542"/>
    <n v="5.9776967688483804"/>
  </r>
  <r>
    <x v="0"/>
    <x v="4"/>
    <x v="7"/>
    <x v="15"/>
    <s v="NO5_Offshore"/>
    <x v="19"/>
    <n v="8.1139884009941898"/>
    <n v="2.2538856669428302"/>
  </r>
  <r>
    <x v="0"/>
    <x v="4"/>
    <x v="7"/>
    <x v="15"/>
    <s v="NO5_Offshore"/>
    <x v="20"/>
    <n v="19.336735244541"/>
    <n v="5.37131534570584"/>
  </r>
  <r>
    <x v="0"/>
    <x v="4"/>
    <x v="7"/>
    <x v="15"/>
    <s v="NO5_Offshore"/>
    <x v="21"/>
    <n v="53.225806451612797"/>
    <n v="14.784946236559099"/>
  </r>
  <r>
    <x v="0"/>
    <x v="4"/>
    <x v="7"/>
    <x v="15"/>
    <s v="NO5_Offshore"/>
    <x v="22"/>
    <n v="130.68"/>
    <n v="36.299999999999997"/>
  </r>
  <r>
    <x v="0"/>
    <x v="4"/>
    <x v="7"/>
    <x v="15"/>
    <s v="NO5_Offshore"/>
    <x v="23"/>
    <n v="0.35278210439105201"/>
    <n v="9.7995028997514499E-2"/>
  </r>
  <r>
    <x v="0"/>
    <x v="4"/>
    <x v="7"/>
    <x v="15"/>
    <s v="NO5_Offshore"/>
    <x v="24"/>
    <n v="20.0161025734538"/>
    <n v="5.5600284926260501"/>
  </r>
  <r>
    <x v="0"/>
    <x v="4"/>
    <x v="7"/>
    <x v="15"/>
    <s v="NO5_Offshore"/>
    <x v="25"/>
    <n v="22.356874337357301"/>
    <n v="6.2102428714881297"/>
  </r>
  <r>
    <x v="0"/>
    <x v="4"/>
    <x v="7"/>
    <x v="15"/>
    <s v="NO5_Offshore"/>
    <x v="26"/>
    <n v="29.6651032387655"/>
    <n v="8.2403064552126306"/>
  </r>
  <r>
    <x v="0"/>
    <x v="4"/>
    <x v="7"/>
    <x v="15"/>
    <s v="NO5_Offshore"/>
    <x v="27"/>
    <n v="21.049332228666099"/>
    <n v="5.8470367301850299"/>
  </r>
  <r>
    <x v="0"/>
    <x v="4"/>
    <x v="8"/>
    <x v="16"/>
    <s v="PL_A"/>
    <x v="1"/>
    <n v="35.989199999999997"/>
    <n v="9.9969999999999999"/>
  </r>
  <r>
    <x v="0"/>
    <x v="4"/>
    <x v="8"/>
    <x v="16"/>
    <s v="PL_A"/>
    <x v="2"/>
    <n v="57.96"/>
    <n v="16.100000000000001"/>
  </r>
  <r>
    <x v="0"/>
    <x v="4"/>
    <x v="8"/>
    <x v="16"/>
    <s v="PL_A"/>
    <x v="0"/>
    <n v="42.692399999999999"/>
    <n v="11.859"/>
  </r>
  <r>
    <x v="0"/>
    <x v="4"/>
    <x v="8"/>
    <x v="16"/>
    <s v="PL_A"/>
    <x v="3"/>
    <n v="57.7974681027342"/>
    <n v="16.054852250759499"/>
  </r>
  <r>
    <x v="0"/>
    <x v="4"/>
    <x v="8"/>
    <x v="16"/>
    <s v="PL_A"/>
    <x v="4"/>
    <n v="8.1139884009941898"/>
    <n v="2.2538856669428302"/>
  </r>
  <r>
    <x v="0"/>
    <x v="4"/>
    <x v="8"/>
    <x v="16"/>
    <s v="PL_A"/>
    <x v="5"/>
    <n v="8.1139884009941898"/>
    <n v="2.2538856669428302"/>
  </r>
  <r>
    <x v="0"/>
    <x v="4"/>
    <x v="8"/>
    <x v="16"/>
    <s v="PL_A"/>
    <x v="6"/>
    <n v="30.770439105219602"/>
    <n v="8.5473441958943202"/>
  </r>
  <r>
    <x v="0"/>
    <x v="4"/>
    <x v="8"/>
    <x v="16"/>
    <s v="PL_A"/>
    <x v="7"/>
    <n v="71.350180613090302"/>
    <n v="19.819494614747299"/>
  </r>
  <r>
    <x v="0"/>
    <x v="4"/>
    <x v="8"/>
    <x v="16"/>
    <s v="PL_A"/>
    <x v="8"/>
    <n v="71.350180613090302"/>
    <n v="19.819494614747299"/>
  </r>
  <r>
    <x v="0"/>
    <x v="4"/>
    <x v="8"/>
    <x v="16"/>
    <s v="PL_A"/>
    <x v="9"/>
    <n v="44.803327257663497"/>
    <n v="12.4453686826843"/>
  </r>
  <r>
    <x v="0"/>
    <x v="4"/>
    <x v="8"/>
    <x v="16"/>
    <s v="PL_A"/>
    <x v="10"/>
    <n v="54.681226180612903"/>
    <n v="15.1892294946147"/>
  </r>
  <r>
    <x v="0"/>
    <x v="4"/>
    <x v="8"/>
    <x v="16"/>
    <s v="PL_A"/>
    <x v="11"/>
    <n v="3.8806031483015802"/>
    <n v="1.07794531897266"/>
  </r>
  <r>
    <x v="0"/>
    <x v="4"/>
    <x v="8"/>
    <x v="16"/>
    <s v="PL_A"/>
    <x v="12"/>
    <n v="9.7995028997514597E-2"/>
    <n v="2.72208413881985E-2"/>
  </r>
  <r>
    <x v="0"/>
    <x v="4"/>
    <x v="8"/>
    <x v="16"/>
    <s v="PL_A"/>
    <x v="13"/>
    <n v="21.5197083678542"/>
    <n v="5.9776967688483804"/>
  </r>
  <r>
    <x v="0"/>
    <x v="4"/>
    <x v="8"/>
    <x v="16"/>
    <s v="PL_A"/>
    <x v="14"/>
    <n v="21.5197083678542"/>
    <n v="5.9776967688483804"/>
  </r>
  <r>
    <x v="0"/>
    <x v="4"/>
    <x v="8"/>
    <x v="16"/>
    <s v="PL_A"/>
    <x v="15"/>
    <n v="1.65807589063794"/>
    <n v="0.46057663628831802"/>
  </r>
  <r>
    <x v="0"/>
    <x v="4"/>
    <x v="8"/>
    <x v="16"/>
    <s v="PL_A"/>
    <x v="16"/>
    <n v="8.3492014028755008"/>
    <n v="2.31922261190986"/>
  </r>
  <r>
    <x v="0"/>
    <x v="4"/>
    <x v="8"/>
    <x v="16"/>
    <s v="PL_A"/>
    <x v="17"/>
    <n v="9.5251168185584092"/>
    <n v="2.6458657829328902"/>
  </r>
  <r>
    <x v="0"/>
    <x v="4"/>
    <x v="8"/>
    <x v="16"/>
    <s v="PL_A"/>
    <x v="18"/>
    <n v="21.5197083678542"/>
    <n v="5.9776967688483804"/>
  </r>
  <r>
    <x v="0"/>
    <x v="4"/>
    <x v="8"/>
    <x v="16"/>
    <s v="PL_A"/>
    <x v="19"/>
    <n v="8.1139884009941898"/>
    <n v="2.2538856669428302"/>
  </r>
  <r>
    <x v="0"/>
    <x v="4"/>
    <x v="8"/>
    <x v="16"/>
    <s v="PL_A"/>
    <x v="20"/>
    <n v="19.336735244541"/>
    <n v="5.37131534570584"/>
  </r>
  <r>
    <x v="0"/>
    <x v="4"/>
    <x v="8"/>
    <x v="16"/>
    <s v="PL_A"/>
    <x v="21"/>
    <n v="53.225806451612797"/>
    <n v="14.784946236559099"/>
  </r>
  <r>
    <x v="0"/>
    <x v="4"/>
    <x v="8"/>
    <x v="16"/>
    <s v="PL_A"/>
    <x v="22"/>
    <n v="130.68"/>
    <n v="36.299999999999997"/>
  </r>
  <r>
    <x v="0"/>
    <x v="4"/>
    <x v="8"/>
    <x v="16"/>
    <s v="PL_A"/>
    <x v="23"/>
    <n v="0.35278210439105201"/>
    <n v="9.7995028997514499E-2"/>
  </r>
  <r>
    <x v="0"/>
    <x v="4"/>
    <x v="8"/>
    <x v="16"/>
    <s v="PL_A"/>
    <x v="24"/>
    <n v="20.0161025734538"/>
    <n v="5.5600284926260501"/>
  </r>
  <r>
    <x v="0"/>
    <x v="4"/>
    <x v="8"/>
    <x v="16"/>
    <s v="PL_A"/>
    <x v="25"/>
    <n v="22.356874337357301"/>
    <n v="6.2102428714881297"/>
  </r>
  <r>
    <x v="0"/>
    <x v="4"/>
    <x v="8"/>
    <x v="16"/>
    <s v="PL_A"/>
    <x v="26"/>
    <n v="29.6651032387655"/>
    <n v="8.2403064552126306"/>
  </r>
  <r>
    <x v="0"/>
    <x v="4"/>
    <x v="8"/>
    <x v="16"/>
    <s v="PL_A"/>
    <x v="27"/>
    <n v="21.049332228666099"/>
    <n v="5.8470367301850299"/>
  </r>
  <r>
    <x v="0"/>
    <x v="4"/>
    <x v="8"/>
    <x v="16"/>
    <s v="PL_OFFSHORE"/>
    <x v="1"/>
    <n v="35.989199999999997"/>
    <n v="9.9969999999999999"/>
  </r>
  <r>
    <x v="0"/>
    <x v="4"/>
    <x v="8"/>
    <x v="16"/>
    <s v="PL_OFFSHORE"/>
    <x v="2"/>
    <n v="57.96"/>
    <n v="16.100000000000001"/>
  </r>
  <r>
    <x v="0"/>
    <x v="4"/>
    <x v="8"/>
    <x v="16"/>
    <s v="PL_OFFSHORE"/>
    <x v="0"/>
    <n v="42.692399999999999"/>
    <n v="11.859"/>
  </r>
  <r>
    <x v="0"/>
    <x v="4"/>
    <x v="8"/>
    <x v="16"/>
    <s v="PL_OFFSHORE"/>
    <x v="3"/>
    <n v="57.7974681027342"/>
    <n v="16.054852250759499"/>
  </r>
  <r>
    <x v="0"/>
    <x v="4"/>
    <x v="8"/>
    <x v="16"/>
    <s v="PL_OFFSHORE"/>
    <x v="4"/>
    <n v="8.1139884009941898"/>
    <n v="2.2538856669428302"/>
  </r>
  <r>
    <x v="0"/>
    <x v="4"/>
    <x v="8"/>
    <x v="16"/>
    <s v="PL_OFFSHORE"/>
    <x v="5"/>
    <n v="8.1139884009941898"/>
    <n v="2.2538856669428302"/>
  </r>
  <r>
    <x v="0"/>
    <x v="4"/>
    <x v="8"/>
    <x v="16"/>
    <s v="PL_OFFSHORE"/>
    <x v="6"/>
    <n v="30.770439105219602"/>
    <n v="8.5473441958943202"/>
  </r>
  <r>
    <x v="0"/>
    <x v="4"/>
    <x v="8"/>
    <x v="16"/>
    <s v="PL_OFFSHORE"/>
    <x v="7"/>
    <n v="71.350180613090302"/>
    <n v="19.819494614747299"/>
  </r>
  <r>
    <x v="0"/>
    <x v="4"/>
    <x v="8"/>
    <x v="16"/>
    <s v="PL_OFFSHORE"/>
    <x v="8"/>
    <n v="71.350180613090302"/>
    <n v="19.819494614747299"/>
  </r>
  <r>
    <x v="0"/>
    <x v="4"/>
    <x v="8"/>
    <x v="16"/>
    <s v="PL_OFFSHORE"/>
    <x v="9"/>
    <n v="44.803327257663497"/>
    <n v="12.4453686826843"/>
  </r>
  <r>
    <x v="0"/>
    <x v="4"/>
    <x v="8"/>
    <x v="16"/>
    <s v="PL_OFFSHORE"/>
    <x v="10"/>
    <n v="54.681226180612903"/>
    <n v="15.1892294946147"/>
  </r>
  <r>
    <x v="0"/>
    <x v="4"/>
    <x v="8"/>
    <x v="16"/>
    <s v="PL_OFFSHORE"/>
    <x v="11"/>
    <n v="3.8806031483015802"/>
    <n v="1.07794531897266"/>
  </r>
  <r>
    <x v="0"/>
    <x v="4"/>
    <x v="8"/>
    <x v="16"/>
    <s v="PL_OFFSHORE"/>
    <x v="12"/>
    <n v="9.7995028997514597E-2"/>
    <n v="2.72208413881985E-2"/>
  </r>
  <r>
    <x v="0"/>
    <x v="4"/>
    <x v="8"/>
    <x v="16"/>
    <s v="PL_OFFSHORE"/>
    <x v="13"/>
    <n v="21.5197083678542"/>
    <n v="5.9776967688483804"/>
  </r>
  <r>
    <x v="0"/>
    <x v="4"/>
    <x v="8"/>
    <x v="16"/>
    <s v="PL_OFFSHORE"/>
    <x v="14"/>
    <n v="21.5197083678542"/>
    <n v="5.9776967688483804"/>
  </r>
  <r>
    <x v="0"/>
    <x v="4"/>
    <x v="8"/>
    <x v="16"/>
    <s v="PL_OFFSHORE"/>
    <x v="15"/>
    <n v="1.65807589063794"/>
    <n v="0.46057663628831802"/>
  </r>
  <r>
    <x v="0"/>
    <x v="4"/>
    <x v="8"/>
    <x v="16"/>
    <s v="PL_OFFSHORE"/>
    <x v="16"/>
    <n v="8.3492014028755008"/>
    <n v="2.31922261190986"/>
  </r>
  <r>
    <x v="0"/>
    <x v="4"/>
    <x v="8"/>
    <x v="16"/>
    <s v="PL_OFFSHORE"/>
    <x v="17"/>
    <n v="9.5251168185584092"/>
    <n v="2.6458657829328902"/>
  </r>
  <r>
    <x v="0"/>
    <x v="4"/>
    <x v="8"/>
    <x v="16"/>
    <s v="PL_OFFSHORE"/>
    <x v="18"/>
    <n v="21.5197083678542"/>
    <n v="5.9776967688483804"/>
  </r>
  <r>
    <x v="0"/>
    <x v="4"/>
    <x v="8"/>
    <x v="16"/>
    <s v="PL_OFFSHORE"/>
    <x v="19"/>
    <n v="8.1139884009941898"/>
    <n v="2.2538856669428302"/>
  </r>
  <r>
    <x v="0"/>
    <x v="4"/>
    <x v="8"/>
    <x v="16"/>
    <s v="PL_OFFSHORE"/>
    <x v="20"/>
    <n v="19.336735244541"/>
    <n v="5.37131534570584"/>
  </r>
  <r>
    <x v="0"/>
    <x v="4"/>
    <x v="8"/>
    <x v="16"/>
    <s v="PL_OFFSHORE"/>
    <x v="21"/>
    <n v="53.225806451612797"/>
    <n v="14.784946236559099"/>
  </r>
  <r>
    <x v="0"/>
    <x v="4"/>
    <x v="8"/>
    <x v="16"/>
    <s v="PL_OFFSHORE"/>
    <x v="22"/>
    <n v="130.68"/>
    <n v="36.299999999999997"/>
  </r>
  <r>
    <x v="0"/>
    <x v="4"/>
    <x v="8"/>
    <x v="16"/>
    <s v="PL_OFFSHORE"/>
    <x v="23"/>
    <n v="0.35278210439105201"/>
    <n v="9.7995028997514499E-2"/>
  </r>
  <r>
    <x v="0"/>
    <x v="4"/>
    <x v="8"/>
    <x v="16"/>
    <s v="PL_OFFSHORE"/>
    <x v="24"/>
    <n v="20.0161025734538"/>
    <n v="5.5600284926260501"/>
  </r>
  <r>
    <x v="0"/>
    <x v="4"/>
    <x v="8"/>
    <x v="16"/>
    <s v="PL_OFFSHORE"/>
    <x v="25"/>
    <n v="22.356874337357301"/>
    <n v="6.2102428714881297"/>
  </r>
  <r>
    <x v="0"/>
    <x v="4"/>
    <x v="8"/>
    <x v="16"/>
    <s v="PL_OFFSHORE"/>
    <x v="26"/>
    <n v="29.6651032387655"/>
    <n v="8.2403064552126306"/>
  </r>
  <r>
    <x v="0"/>
    <x v="4"/>
    <x v="8"/>
    <x v="16"/>
    <s v="PL_OFFSHORE"/>
    <x v="27"/>
    <n v="21.049332228666099"/>
    <n v="5.8470367301850299"/>
  </r>
  <r>
    <x v="0"/>
    <x v="4"/>
    <x v="8"/>
    <x v="16"/>
    <s v="PL_Rural"/>
    <x v="1"/>
    <n v="35.989199999999997"/>
    <n v="9.9969999999999999"/>
  </r>
  <r>
    <x v="0"/>
    <x v="4"/>
    <x v="8"/>
    <x v="16"/>
    <s v="PL_Rural"/>
    <x v="2"/>
    <n v="57.96"/>
    <n v="16.100000000000001"/>
  </r>
  <r>
    <x v="0"/>
    <x v="4"/>
    <x v="8"/>
    <x v="16"/>
    <s v="PL_Rural"/>
    <x v="0"/>
    <n v="42.692399999999999"/>
    <n v="11.859"/>
  </r>
  <r>
    <x v="0"/>
    <x v="4"/>
    <x v="8"/>
    <x v="16"/>
    <s v="PL_Rural"/>
    <x v="3"/>
    <n v="57.7974681027342"/>
    <n v="16.054852250759499"/>
  </r>
  <r>
    <x v="0"/>
    <x v="4"/>
    <x v="8"/>
    <x v="16"/>
    <s v="PL_Rural"/>
    <x v="4"/>
    <n v="8.1139884009941898"/>
    <n v="2.2538856669428302"/>
  </r>
  <r>
    <x v="0"/>
    <x v="4"/>
    <x v="8"/>
    <x v="16"/>
    <s v="PL_Rural"/>
    <x v="5"/>
    <n v="8.1139884009941898"/>
    <n v="2.2538856669428302"/>
  </r>
  <r>
    <x v="0"/>
    <x v="4"/>
    <x v="8"/>
    <x v="16"/>
    <s v="PL_Rural"/>
    <x v="6"/>
    <n v="30.770439105219602"/>
    <n v="8.5473441958943202"/>
  </r>
  <r>
    <x v="0"/>
    <x v="4"/>
    <x v="8"/>
    <x v="16"/>
    <s v="PL_Rural"/>
    <x v="7"/>
    <n v="71.350180613090302"/>
    <n v="19.819494614747299"/>
  </r>
  <r>
    <x v="0"/>
    <x v="4"/>
    <x v="8"/>
    <x v="16"/>
    <s v="PL_Rural"/>
    <x v="8"/>
    <n v="71.350180613090302"/>
    <n v="19.819494614747299"/>
  </r>
  <r>
    <x v="0"/>
    <x v="4"/>
    <x v="8"/>
    <x v="16"/>
    <s v="PL_Rural"/>
    <x v="9"/>
    <n v="44.803327257663497"/>
    <n v="12.4453686826843"/>
  </r>
  <r>
    <x v="0"/>
    <x v="4"/>
    <x v="8"/>
    <x v="16"/>
    <s v="PL_Rural"/>
    <x v="10"/>
    <n v="54.681226180612903"/>
    <n v="15.1892294946147"/>
  </r>
  <r>
    <x v="0"/>
    <x v="4"/>
    <x v="8"/>
    <x v="16"/>
    <s v="PL_Rural"/>
    <x v="11"/>
    <n v="3.8806031483015802"/>
    <n v="1.07794531897266"/>
  </r>
  <r>
    <x v="0"/>
    <x v="4"/>
    <x v="8"/>
    <x v="16"/>
    <s v="PL_Rural"/>
    <x v="12"/>
    <n v="9.7995028997514597E-2"/>
    <n v="2.72208413881985E-2"/>
  </r>
  <r>
    <x v="0"/>
    <x v="4"/>
    <x v="8"/>
    <x v="16"/>
    <s v="PL_Rural"/>
    <x v="13"/>
    <n v="21.5197083678542"/>
    <n v="5.9776967688483804"/>
  </r>
  <r>
    <x v="0"/>
    <x v="4"/>
    <x v="8"/>
    <x v="16"/>
    <s v="PL_Rural"/>
    <x v="14"/>
    <n v="21.5197083678542"/>
    <n v="5.9776967688483804"/>
  </r>
  <r>
    <x v="0"/>
    <x v="4"/>
    <x v="8"/>
    <x v="16"/>
    <s v="PL_Rural"/>
    <x v="15"/>
    <n v="1.65807589063794"/>
    <n v="0.46057663628831802"/>
  </r>
  <r>
    <x v="0"/>
    <x v="4"/>
    <x v="8"/>
    <x v="16"/>
    <s v="PL_Rural"/>
    <x v="16"/>
    <n v="8.3492014028755008"/>
    <n v="2.31922261190986"/>
  </r>
  <r>
    <x v="0"/>
    <x v="4"/>
    <x v="8"/>
    <x v="16"/>
    <s v="PL_Rural"/>
    <x v="17"/>
    <n v="9.5251168185584092"/>
    <n v="2.6458657829328902"/>
  </r>
  <r>
    <x v="0"/>
    <x v="4"/>
    <x v="8"/>
    <x v="16"/>
    <s v="PL_Rural"/>
    <x v="18"/>
    <n v="21.5197083678542"/>
    <n v="5.9776967688483804"/>
  </r>
  <r>
    <x v="0"/>
    <x v="4"/>
    <x v="8"/>
    <x v="16"/>
    <s v="PL_Rural"/>
    <x v="19"/>
    <n v="8.1139884009941898"/>
    <n v="2.2538856669428302"/>
  </r>
  <r>
    <x v="0"/>
    <x v="4"/>
    <x v="8"/>
    <x v="16"/>
    <s v="PL_Rural"/>
    <x v="20"/>
    <n v="19.336735244541"/>
    <n v="5.37131534570584"/>
  </r>
  <r>
    <x v="0"/>
    <x v="4"/>
    <x v="8"/>
    <x v="16"/>
    <s v="PL_Rural"/>
    <x v="21"/>
    <n v="53.225806451612797"/>
    <n v="14.784946236559099"/>
  </r>
  <r>
    <x v="0"/>
    <x v="4"/>
    <x v="8"/>
    <x v="16"/>
    <s v="PL_Rural"/>
    <x v="22"/>
    <n v="130.68"/>
    <n v="36.299999999999997"/>
  </r>
  <r>
    <x v="0"/>
    <x v="4"/>
    <x v="8"/>
    <x v="16"/>
    <s v="PL_Rural"/>
    <x v="23"/>
    <n v="0.35278210439105201"/>
    <n v="9.7995028997514499E-2"/>
  </r>
  <r>
    <x v="0"/>
    <x v="4"/>
    <x v="8"/>
    <x v="16"/>
    <s v="PL_Rural"/>
    <x v="24"/>
    <n v="20.0161025734538"/>
    <n v="5.5600284926260501"/>
  </r>
  <r>
    <x v="0"/>
    <x v="4"/>
    <x v="8"/>
    <x v="16"/>
    <s v="PL_Rural"/>
    <x v="25"/>
    <n v="22.356874337357301"/>
    <n v="6.2102428714881297"/>
  </r>
  <r>
    <x v="0"/>
    <x v="4"/>
    <x v="8"/>
    <x v="16"/>
    <s v="PL_Rural"/>
    <x v="26"/>
    <n v="29.6651032387655"/>
    <n v="8.2403064552126306"/>
  </r>
  <r>
    <x v="0"/>
    <x v="4"/>
    <x v="8"/>
    <x v="16"/>
    <s v="PL_Rural"/>
    <x v="27"/>
    <n v="21.049332228666099"/>
    <n v="5.8470367301850299"/>
  </r>
  <r>
    <x v="0"/>
    <x v="4"/>
    <x v="9"/>
    <x v="17"/>
    <s v="SE1A"/>
    <x v="1"/>
    <n v="35.989199999999997"/>
    <n v="9.9969999999999999"/>
  </r>
  <r>
    <x v="0"/>
    <x v="4"/>
    <x v="9"/>
    <x v="17"/>
    <s v="SE1A"/>
    <x v="2"/>
    <n v="57.96"/>
    <n v="16.100000000000001"/>
  </r>
  <r>
    <x v="0"/>
    <x v="4"/>
    <x v="9"/>
    <x v="17"/>
    <s v="SE1A"/>
    <x v="0"/>
    <n v="42.692399999999999"/>
    <n v="11.859"/>
  </r>
  <r>
    <x v="0"/>
    <x v="4"/>
    <x v="9"/>
    <x v="17"/>
    <s v="SE1A"/>
    <x v="3"/>
    <n v="57.7974681027342"/>
    <n v="16.054852250759499"/>
  </r>
  <r>
    <x v="0"/>
    <x v="4"/>
    <x v="9"/>
    <x v="17"/>
    <s v="SE1A"/>
    <x v="4"/>
    <n v="8.1139884009941898"/>
    <n v="2.2538856669428302"/>
  </r>
  <r>
    <x v="0"/>
    <x v="4"/>
    <x v="9"/>
    <x v="17"/>
    <s v="SE1A"/>
    <x v="5"/>
    <n v="8.1139884009941898"/>
    <n v="2.2538856669428302"/>
  </r>
  <r>
    <x v="0"/>
    <x v="4"/>
    <x v="9"/>
    <x v="17"/>
    <s v="SE1A"/>
    <x v="6"/>
    <n v="30.770439105219602"/>
    <n v="8.5473441958943202"/>
  </r>
  <r>
    <x v="0"/>
    <x v="4"/>
    <x v="9"/>
    <x v="17"/>
    <s v="SE1A"/>
    <x v="7"/>
    <n v="71.350180613090302"/>
    <n v="19.819494614747299"/>
  </r>
  <r>
    <x v="0"/>
    <x v="4"/>
    <x v="9"/>
    <x v="17"/>
    <s v="SE1A"/>
    <x v="8"/>
    <n v="71.350180613090302"/>
    <n v="19.819494614747299"/>
  </r>
  <r>
    <x v="0"/>
    <x v="4"/>
    <x v="9"/>
    <x v="17"/>
    <s v="SE1A"/>
    <x v="9"/>
    <n v="44.803327257663497"/>
    <n v="12.4453686826843"/>
  </r>
  <r>
    <x v="0"/>
    <x v="4"/>
    <x v="9"/>
    <x v="17"/>
    <s v="SE1A"/>
    <x v="10"/>
    <n v="54.681226180612903"/>
    <n v="15.1892294946147"/>
  </r>
  <r>
    <x v="0"/>
    <x v="4"/>
    <x v="9"/>
    <x v="17"/>
    <s v="SE1A"/>
    <x v="11"/>
    <n v="3.8806031483015802"/>
    <n v="1.07794531897266"/>
  </r>
  <r>
    <x v="0"/>
    <x v="4"/>
    <x v="9"/>
    <x v="17"/>
    <s v="SE1A"/>
    <x v="12"/>
    <n v="9.7995028997514597E-2"/>
    <n v="2.72208413881985E-2"/>
  </r>
  <r>
    <x v="0"/>
    <x v="4"/>
    <x v="9"/>
    <x v="17"/>
    <s v="SE1A"/>
    <x v="13"/>
    <n v="21.5197083678542"/>
    <n v="5.9776967688483804"/>
  </r>
  <r>
    <x v="0"/>
    <x v="4"/>
    <x v="9"/>
    <x v="17"/>
    <s v="SE1A"/>
    <x v="14"/>
    <n v="21.5197083678542"/>
    <n v="5.9776967688483804"/>
  </r>
  <r>
    <x v="0"/>
    <x v="4"/>
    <x v="9"/>
    <x v="17"/>
    <s v="SE1A"/>
    <x v="15"/>
    <n v="1.65807589063794"/>
    <n v="0.46057663628831802"/>
  </r>
  <r>
    <x v="0"/>
    <x v="4"/>
    <x v="9"/>
    <x v="17"/>
    <s v="SE1A"/>
    <x v="16"/>
    <n v="8.3492014028755008"/>
    <n v="2.31922261190986"/>
  </r>
  <r>
    <x v="0"/>
    <x v="4"/>
    <x v="9"/>
    <x v="17"/>
    <s v="SE1A"/>
    <x v="17"/>
    <n v="9.5251168185584092"/>
    <n v="2.6458657829328902"/>
  </r>
  <r>
    <x v="0"/>
    <x v="4"/>
    <x v="9"/>
    <x v="17"/>
    <s v="SE1A"/>
    <x v="18"/>
    <n v="21.5197083678542"/>
    <n v="5.9776967688483804"/>
  </r>
  <r>
    <x v="0"/>
    <x v="4"/>
    <x v="9"/>
    <x v="17"/>
    <s v="SE1A"/>
    <x v="19"/>
    <n v="8.1139884009941898"/>
    <n v="2.2538856669428302"/>
  </r>
  <r>
    <x v="0"/>
    <x v="4"/>
    <x v="9"/>
    <x v="17"/>
    <s v="SE1A"/>
    <x v="20"/>
    <n v="19.336735244541"/>
    <n v="5.37131534570584"/>
  </r>
  <r>
    <x v="0"/>
    <x v="4"/>
    <x v="9"/>
    <x v="17"/>
    <s v="SE1A"/>
    <x v="21"/>
    <n v="53.225806451612797"/>
    <n v="14.784946236559099"/>
  </r>
  <r>
    <x v="0"/>
    <x v="4"/>
    <x v="9"/>
    <x v="17"/>
    <s v="SE1A"/>
    <x v="22"/>
    <n v="130.68"/>
    <n v="36.299999999999997"/>
  </r>
  <r>
    <x v="0"/>
    <x v="4"/>
    <x v="9"/>
    <x v="17"/>
    <s v="SE1A"/>
    <x v="23"/>
    <n v="0.35278210439105201"/>
    <n v="9.7995028997514499E-2"/>
  </r>
  <r>
    <x v="0"/>
    <x v="4"/>
    <x v="9"/>
    <x v="17"/>
    <s v="SE1A"/>
    <x v="24"/>
    <n v="20.0161025734538"/>
    <n v="5.5600284926260501"/>
  </r>
  <r>
    <x v="0"/>
    <x v="4"/>
    <x v="9"/>
    <x v="17"/>
    <s v="SE1A"/>
    <x v="25"/>
    <n v="22.356874337357301"/>
    <n v="6.2102428714881297"/>
  </r>
  <r>
    <x v="0"/>
    <x v="4"/>
    <x v="9"/>
    <x v="17"/>
    <s v="SE1A"/>
    <x v="26"/>
    <n v="29.6651032387655"/>
    <n v="8.2403064552126306"/>
  </r>
  <r>
    <x v="0"/>
    <x v="4"/>
    <x v="9"/>
    <x v="17"/>
    <s v="SE1A"/>
    <x v="27"/>
    <n v="21.049332228666099"/>
    <n v="5.8470367301850299"/>
  </r>
  <r>
    <x v="0"/>
    <x v="4"/>
    <x v="9"/>
    <x v="17"/>
    <s v="SE1_IND"/>
    <x v="1"/>
    <n v="35.989199999999997"/>
    <n v="9.9969999999999999"/>
  </r>
  <r>
    <x v="0"/>
    <x v="4"/>
    <x v="9"/>
    <x v="17"/>
    <s v="SE1_IND"/>
    <x v="2"/>
    <n v="57.96"/>
    <n v="16.100000000000001"/>
  </r>
  <r>
    <x v="0"/>
    <x v="4"/>
    <x v="9"/>
    <x v="17"/>
    <s v="SE1_IND"/>
    <x v="0"/>
    <n v="42.692399999999999"/>
    <n v="11.859"/>
  </r>
  <r>
    <x v="0"/>
    <x v="4"/>
    <x v="9"/>
    <x v="17"/>
    <s v="SE1_IND"/>
    <x v="3"/>
    <n v="57.7974681027342"/>
    <n v="16.054852250759499"/>
  </r>
  <r>
    <x v="0"/>
    <x v="4"/>
    <x v="9"/>
    <x v="17"/>
    <s v="SE1_IND"/>
    <x v="4"/>
    <n v="8.1139884009941898"/>
    <n v="2.2538856669428302"/>
  </r>
  <r>
    <x v="0"/>
    <x v="4"/>
    <x v="9"/>
    <x v="17"/>
    <s v="SE1_IND"/>
    <x v="5"/>
    <n v="8.1139884009941898"/>
    <n v="2.2538856669428302"/>
  </r>
  <r>
    <x v="0"/>
    <x v="4"/>
    <x v="9"/>
    <x v="17"/>
    <s v="SE1_IND"/>
    <x v="6"/>
    <n v="30.770439105219602"/>
    <n v="8.5473441958943202"/>
  </r>
  <r>
    <x v="0"/>
    <x v="4"/>
    <x v="9"/>
    <x v="17"/>
    <s v="SE1_IND"/>
    <x v="7"/>
    <n v="71.350180613090302"/>
    <n v="19.819494614747299"/>
  </r>
  <r>
    <x v="0"/>
    <x v="4"/>
    <x v="9"/>
    <x v="17"/>
    <s v="SE1_IND"/>
    <x v="8"/>
    <n v="71.350180613090302"/>
    <n v="19.819494614747299"/>
  </r>
  <r>
    <x v="0"/>
    <x v="4"/>
    <x v="9"/>
    <x v="17"/>
    <s v="SE1_IND"/>
    <x v="9"/>
    <n v="44.803327257663497"/>
    <n v="12.4453686826843"/>
  </r>
  <r>
    <x v="0"/>
    <x v="4"/>
    <x v="9"/>
    <x v="17"/>
    <s v="SE1_IND"/>
    <x v="10"/>
    <n v="54.681226180612903"/>
    <n v="15.1892294946147"/>
  </r>
  <r>
    <x v="0"/>
    <x v="4"/>
    <x v="9"/>
    <x v="17"/>
    <s v="SE1_IND"/>
    <x v="11"/>
    <n v="3.8806031483015802"/>
    <n v="1.07794531897266"/>
  </r>
  <r>
    <x v="0"/>
    <x v="4"/>
    <x v="9"/>
    <x v="17"/>
    <s v="SE1_IND"/>
    <x v="12"/>
    <n v="9.7995028997514597E-2"/>
    <n v="2.72208413881985E-2"/>
  </r>
  <r>
    <x v="0"/>
    <x v="4"/>
    <x v="9"/>
    <x v="17"/>
    <s v="SE1_IND"/>
    <x v="13"/>
    <n v="21.5197083678542"/>
    <n v="5.9776967688483804"/>
  </r>
  <r>
    <x v="0"/>
    <x v="4"/>
    <x v="9"/>
    <x v="17"/>
    <s v="SE1_IND"/>
    <x v="14"/>
    <n v="21.5197083678542"/>
    <n v="5.9776967688483804"/>
  </r>
  <r>
    <x v="0"/>
    <x v="4"/>
    <x v="9"/>
    <x v="17"/>
    <s v="SE1_IND"/>
    <x v="15"/>
    <n v="1.65807589063794"/>
    <n v="0.46057663628831802"/>
  </r>
  <r>
    <x v="0"/>
    <x v="4"/>
    <x v="9"/>
    <x v="17"/>
    <s v="SE1_IND"/>
    <x v="16"/>
    <n v="8.3492014028755008"/>
    <n v="2.31922261190986"/>
  </r>
  <r>
    <x v="0"/>
    <x v="4"/>
    <x v="9"/>
    <x v="17"/>
    <s v="SE1_IND"/>
    <x v="17"/>
    <n v="9.5251168185584092"/>
    <n v="2.6458657829328902"/>
  </r>
  <r>
    <x v="0"/>
    <x v="4"/>
    <x v="9"/>
    <x v="17"/>
    <s v="SE1_IND"/>
    <x v="18"/>
    <n v="21.5197083678542"/>
    <n v="5.9776967688483804"/>
  </r>
  <r>
    <x v="0"/>
    <x v="4"/>
    <x v="9"/>
    <x v="17"/>
    <s v="SE1_IND"/>
    <x v="19"/>
    <n v="8.1139884009941898"/>
    <n v="2.2538856669428302"/>
  </r>
  <r>
    <x v="0"/>
    <x v="4"/>
    <x v="9"/>
    <x v="17"/>
    <s v="SE1_IND"/>
    <x v="20"/>
    <n v="19.336735244541"/>
    <n v="5.37131534570584"/>
  </r>
  <r>
    <x v="0"/>
    <x v="4"/>
    <x v="9"/>
    <x v="17"/>
    <s v="SE1_IND"/>
    <x v="21"/>
    <n v="53.225806451612797"/>
    <n v="14.784946236559099"/>
  </r>
  <r>
    <x v="0"/>
    <x v="4"/>
    <x v="9"/>
    <x v="17"/>
    <s v="SE1_IND"/>
    <x v="22"/>
    <n v="130.68"/>
    <n v="36.299999999999997"/>
  </r>
  <r>
    <x v="0"/>
    <x v="4"/>
    <x v="9"/>
    <x v="17"/>
    <s v="SE1_IND"/>
    <x v="23"/>
    <n v="0.35278210439105201"/>
    <n v="9.7995028997514499E-2"/>
  </r>
  <r>
    <x v="0"/>
    <x v="4"/>
    <x v="9"/>
    <x v="17"/>
    <s v="SE1_IND"/>
    <x v="24"/>
    <n v="20.0161025734538"/>
    <n v="5.5600284926260501"/>
  </r>
  <r>
    <x v="0"/>
    <x v="4"/>
    <x v="9"/>
    <x v="17"/>
    <s v="SE1_IND"/>
    <x v="25"/>
    <n v="22.356874337357301"/>
    <n v="6.2102428714881297"/>
  </r>
  <r>
    <x v="0"/>
    <x v="4"/>
    <x v="9"/>
    <x v="17"/>
    <s v="SE1_IND"/>
    <x v="26"/>
    <n v="29.6651032387655"/>
    <n v="8.2403064552126306"/>
  </r>
  <r>
    <x v="0"/>
    <x v="4"/>
    <x v="9"/>
    <x v="17"/>
    <s v="SE1_IND"/>
    <x v="27"/>
    <n v="21.049332228666099"/>
    <n v="5.8470367301850299"/>
  </r>
  <r>
    <x v="0"/>
    <x v="4"/>
    <x v="9"/>
    <x v="17"/>
    <s v="SE1_Offshore"/>
    <x v="1"/>
    <n v="35.989199999999997"/>
    <n v="9.9969999999999999"/>
  </r>
  <r>
    <x v="0"/>
    <x v="4"/>
    <x v="9"/>
    <x v="17"/>
    <s v="SE1_Offshore"/>
    <x v="2"/>
    <n v="57.96"/>
    <n v="16.100000000000001"/>
  </r>
  <r>
    <x v="0"/>
    <x v="4"/>
    <x v="9"/>
    <x v="17"/>
    <s v="SE1_Offshore"/>
    <x v="0"/>
    <n v="42.692399999999999"/>
    <n v="11.859"/>
  </r>
  <r>
    <x v="0"/>
    <x v="4"/>
    <x v="9"/>
    <x v="17"/>
    <s v="SE1_Offshore"/>
    <x v="3"/>
    <n v="57.7974681027342"/>
    <n v="16.054852250759499"/>
  </r>
  <r>
    <x v="0"/>
    <x v="4"/>
    <x v="9"/>
    <x v="17"/>
    <s v="SE1_Offshore"/>
    <x v="4"/>
    <n v="8.1139884009941898"/>
    <n v="2.2538856669428302"/>
  </r>
  <r>
    <x v="0"/>
    <x v="4"/>
    <x v="9"/>
    <x v="17"/>
    <s v="SE1_Offshore"/>
    <x v="5"/>
    <n v="8.1139884009941898"/>
    <n v="2.2538856669428302"/>
  </r>
  <r>
    <x v="0"/>
    <x v="4"/>
    <x v="9"/>
    <x v="17"/>
    <s v="SE1_Offshore"/>
    <x v="6"/>
    <n v="30.770439105219602"/>
    <n v="8.5473441958943202"/>
  </r>
  <r>
    <x v="0"/>
    <x v="4"/>
    <x v="9"/>
    <x v="17"/>
    <s v="SE1_Offshore"/>
    <x v="7"/>
    <n v="71.350180613090302"/>
    <n v="19.819494614747299"/>
  </r>
  <r>
    <x v="0"/>
    <x v="4"/>
    <x v="9"/>
    <x v="17"/>
    <s v="SE1_Offshore"/>
    <x v="8"/>
    <n v="71.350180613090302"/>
    <n v="19.819494614747299"/>
  </r>
  <r>
    <x v="0"/>
    <x v="4"/>
    <x v="9"/>
    <x v="17"/>
    <s v="SE1_Offshore"/>
    <x v="9"/>
    <n v="44.803327257663497"/>
    <n v="12.4453686826843"/>
  </r>
  <r>
    <x v="0"/>
    <x v="4"/>
    <x v="9"/>
    <x v="17"/>
    <s v="SE1_Offshore"/>
    <x v="10"/>
    <n v="54.681226180612903"/>
    <n v="15.1892294946147"/>
  </r>
  <r>
    <x v="0"/>
    <x v="4"/>
    <x v="9"/>
    <x v="17"/>
    <s v="SE1_Offshore"/>
    <x v="11"/>
    <n v="3.8806031483015802"/>
    <n v="1.07794531897266"/>
  </r>
  <r>
    <x v="0"/>
    <x v="4"/>
    <x v="9"/>
    <x v="17"/>
    <s v="SE1_Offshore"/>
    <x v="12"/>
    <n v="9.7995028997514597E-2"/>
    <n v="2.72208413881985E-2"/>
  </r>
  <r>
    <x v="0"/>
    <x v="4"/>
    <x v="9"/>
    <x v="17"/>
    <s v="SE1_Offshore"/>
    <x v="13"/>
    <n v="21.5197083678542"/>
    <n v="5.9776967688483804"/>
  </r>
  <r>
    <x v="0"/>
    <x v="4"/>
    <x v="9"/>
    <x v="17"/>
    <s v="SE1_Offshore"/>
    <x v="14"/>
    <n v="21.5197083678542"/>
    <n v="5.9776967688483804"/>
  </r>
  <r>
    <x v="0"/>
    <x v="4"/>
    <x v="9"/>
    <x v="17"/>
    <s v="SE1_Offshore"/>
    <x v="15"/>
    <n v="1.65807589063794"/>
    <n v="0.46057663628831802"/>
  </r>
  <r>
    <x v="0"/>
    <x v="4"/>
    <x v="9"/>
    <x v="17"/>
    <s v="SE1_Offshore"/>
    <x v="16"/>
    <n v="8.3492014028755008"/>
    <n v="2.31922261190986"/>
  </r>
  <r>
    <x v="0"/>
    <x v="4"/>
    <x v="9"/>
    <x v="17"/>
    <s v="SE1_Offshore"/>
    <x v="17"/>
    <n v="9.5251168185584092"/>
    <n v="2.6458657829328902"/>
  </r>
  <r>
    <x v="0"/>
    <x v="4"/>
    <x v="9"/>
    <x v="17"/>
    <s v="SE1_Offshore"/>
    <x v="18"/>
    <n v="21.5197083678542"/>
    <n v="5.9776967688483804"/>
  </r>
  <r>
    <x v="0"/>
    <x v="4"/>
    <x v="9"/>
    <x v="17"/>
    <s v="SE1_Offshore"/>
    <x v="19"/>
    <n v="8.1139884009941898"/>
    <n v="2.2538856669428302"/>
  </r>
  <r>
    <x v="0"/>
    <x v="4"/>
    <x v="9"/>
    <x v="17"/>
    <s v="SE1_Offshore"/>
    <x v="20"/>
    <n v="19.336735244541"/>
    <n v="5.37131534570584"/>
  </r>
  <r>
    <x v="0"/>
    <x v="4"/>
    <x v="9"/>
    <x v="17"/>
    <s v="SE1_Offshore"/>
    <x v="21"/>
    <n v="53.225806451612797"/>
    <n v="14.784946236559099"/>
  </r>
  <r>
    <x v="0"/>
    <x v="4"/>
    <x v="9"/>
    <x v="17"/>
    <s v="SE1_Offshore"/>
    <x v="22"/>
    <n v="130.68"/>
    <n v="36.299999999999997"/>
  </r>
  <r>
    <x v="0"/>
    <x v="4"/>
    <x v="9"/>
    <x v="17"/>
    <s v="SE1_Offshore"/>
    <x v="23"/>
    <n v="0.35278210439105201"/>
    <n v="9.7995028997514499E-2"/>
  </r>
  <r>
    <x v="0"/>
    <x v="4"/>
    <x v="9"/>
    <x v="17"/>
    <s v="SE1_Offshore"/>
    <x v="24"/>
    <n v="20.0161025734538"/>
    <n v="5.5600284926260501"/>
  </r>
  <r>
    <x v="0"/>
    <x v="4"/>
    <x v="9"/>
    <x v="17"/>
    <s v="SE1_Offshore"/>
    <x v="25"/>
    <n v="22.356874337357301"/>
    <n v="6.2102428714881297"/>
  </r>
  <r>
    <x v="0"/>
    <x v="4"/>
    <x v="9"/>
    <x v="17"/>
    <s v="SE1_Offshore"/>
    <x v="26"/>
    <n v="29.6651032387655"/>
    <n v="8.2403064552126306"/>
  </r>
  <r>
    <x v="0"/>
    <x v="4"/>
    <x v="9"/>
    <x v="17"/>
    <s v="SE1_Offshore"/>
    <x v="27"/>
    <n v="21.049332228666099"/>
    <n v="5.8470367301850299"/>
  </r>
  <r>
    <x v="0"/>
    <x v="4"/>
    <x v="9"/>
    <x v="17"/>
    <s v="SE1_medium"/>
    <x v="1"/>
    <n v="35.989199999999997"/>
    <n v="9.9969999999999999"/>
  </r>
  <r>
    <x v="0"/>
    <x v="4"/>
    <x v="9"/>
    <x v="17"/>
    <s v="SE1_medium"/>
    <x v="2"/>
    <n v="57.96"/>
    <n v="16.100000000000001"/>
  </r>
  <r>
    <x v="0"/>
    <x v="4"/>
    <x v="9"/>
    <x v="17"/>
    <s v="SE1_medium"/>
    <x v="0"/>
    <n v="42.692399999999999"/>
    <n v="11.859"/>
  </r>
  <r>
    <x v="0"/>
    <x v="4"/>
    <x v="9"/>
    <x v="17"/>
    <s v="SE1_medium"/>
    <x v="3"/>
    <n v="57.7974681027342"/>
    <n v="16.054852250759499"/>
  </r>
  <r>
    <x v="0"/>
    <x v="4"/>
    <x v="9"/>
    <x v="17"/>
    <s v="SE1_medium"/>
    <x v="4"/>
    <n v="8.1139884009941898"/>
    <n v="2.2538856669428302"/>
  </r>
  <r>
    <x v="0"/>
    <x v="4"/>
    <x v="9"/>
    <x v="17"/>
    <s v="SE1_medium"/>
    <x v="5"/>
    <n v="8.1139884009941898"/>
    <n v="2.2538856669428302"/>
  </r>
  <r>
    <x v="0"/>
    <x v="4"/>
    <x v="9"/>
    <x v="17"/>
    <s v="SE1_medium"/>
    <x v="6"/>
    <n v="30.770439105219602"/>
    <n v="8.5473441958943202"/>
  </r>
  <r>
    <x v="0"/>
    <x v="4"/>
    <x v="9"/>
    <x v="17"/>
    <s v="SE1_medium"/>
    <x v="7"/>
    <n v="71.350180613090302"/>
    <n v="19.819494614747299"/>
  </r>
  <r>
    <x v="0"/>
    <x v="4"/>
    <x v="9"/>
    <x v="17"/>
    <s v="SE1_medium"/>
    <x v="8"/>
    <n v="71.350180613090302"/>
    <n v="19.819494614747299"/>
  </r>
  <r>
    <x v="0"/>
    <x v="4"/>
    <x v="9"/>
    <x v="17"/>
    <s v="SE1_medium"/>
    <x v="9"/>
    <n v="44.803327257663497"/>
    <n v="12.4453686826843"/>
  </r>
  <r>
    <x v="0"/>
    <x v="4"/>
    <x v="9"/>
    <x v="17"/>
    <s v="SE1_medium"/>
    <x v="10"/>
    <n v="54.681226180612903"/>
    <n v="15.1892294946147"/>
  </r>
  <r>
    <x v="0"/>
    <x v="4"/>
    <x v="9"/>
    <x v="17"/>
    <s v="SE1_medium"/>
    <x v="11"/>
    <n v="3.8806031483015802"/>
    <n v="1.07794531897266"/>
  </r>
  <r>
    <x v="0"/>
    <x v="4"/>
    <x v="9"/>
    <x v="17"/>
    <s v="SE1_medium"/>
    <x v="12"/>
    <n v="9.7995028997514597E-2"/>
    <n v="2.72208413881985E-2"/>
  </r>
  <r>
    <x v="0"/>
    <x v="4"/>
    <x v="9"/>
    <x v="17"/>
    <s v="SE1_medium"/>
    <x v="13"/>
    <n v="21.5197083678542"/>
    <n v="5.9776967688483804"/>
  </r>
  <r>
    <x v="0"/>
    <x v="4"/>
    <x v="9"/>
    <x v="17"/>
    <s v="SE1_medium"/>
    <x v="14"/>
    <n v="21.5197083678542"/>
    <n v="5.9776967688483804"/>
  </r>
  <r>
    <x v="0"/>
    <x v="4"/>
    <x v="9"/>
    <x v="17"/>
    <s v="SE1_medium"/>
    <x v="15"/>
    <n v="1.65807589063794"/>
    <n v="0.46057663628831802"/>
  </r>
  <r>
    <x v="0"/>
    <x v="4"/>
    <x v="9"/>
    <x v="17"/>
    <s v="SE1_medium"/>
    <x v="16"/>
    <n v="8.3492014028755008"/>
    <n v="2.31922261190986"/>
  </r>
  <r>
    <x v="0"/>
    <x v="4"/>
    <x v="9"/>
    <x v="17"/>
    <s v="SE1_medium"/>
    <x v="17"/>
    <n v="9.5251168185584092"/>
    <n v="2.6458657829328902"/>
  </r>
  <r>
    <x v="0"/>
    <x v="4"/>
    <x v="9"/>
    <x v="17"/>
    <s v="SE1_medium"/>
    <x v="18"/>
    <n v="21.5197083678542"/>
    <n v="5.9776967688483804"/>
  </r>
  <r>
    <x v="0"/>
    <x v="4"/>
    <x v="9"/>
    <x v="17"/>
    <s v="SE1_medium"/>
    <x v="19"/>
    <n v="8.1139884009941898"/>
    <n v="2.2538856669428302"/>
  </r>
  <r>
    <x v="0"/>
    <x v="4"/>
    <x v="9"/>
    <x v="17"/>
    <s v="SE1_medium"/>
    <x v="20"/>
    <n v="19.336735244541"/>
    <n v="5.37131534570584"/>
  </r>
  <r>
    <x v="0"/>
    <x v="4"/>
    <x v="9"/>
    <x v="17"/>
    <s v="SE1_medium"/>
    <x v="21"/>
    <n v="53.225806451612797"/>
    <n v="14.784946236559099"/>
  </r>
  <r>
    <x v="0"/>
    <x v="4"/>
    <x v="9"/>
    <x v="17"/>
    <s v="SE1_medium"/>
    <x v="22"/>
    <n v="130.68"/>
    <n v="36.299999999999997"/>
  </r>
  <r>
    <x v="0"/>
    <x v="4"/>
    <x v="9"/>
    <x v="17"/>
    <s v="SE1_medium"/>
    <x v="23"/>
    <n v="0.35278210439105201"/>
    <n v="9.7995028997514499E-2"/>
  </r>
  <r>
    <x v="0"/>
    <x v="4"/>
    <x v="9"/>
    <x v="17"/>
    <s v="SE1_medium"/>
    <x v="24"/>
    <n v="20.0161025734538"/>
    <n v="5.5600284926260501"/>
  </r>
  <r>
    <x v="0"/>
    <x v="4"/>
    <x v="9"/>
    <x v="17"/>
    <s v="SE1_medium"/>
    <x v="25"/>
    <n v="22.356874337357301"/>
    <n v="6.2102428714881297"/>
  </r>
  <r>
    <x v="0"/>
    <x v="4"/>
    <x v="9"/>
    <x v="17"/>
    <s v="SE1_medium"/>
    <x v="26"/>
    <n v="29.6651032387655"/>
    <n v="8.2403064552126306"/>
  </r>
  <r>
    <x v="0"/>
    <x v="4"/>
    <x v="9"/>
    <x v="17"/>
    <s v="SE1_medium"/>
    <x v="27"/>
    <n v="21.049332228666099"/>
    <n v="5.8470367301850299"/>
  </r>
  <r>
    <x v="0"/>
    <x v="4"/>
    <x v="9"/>
    <x v="17"/>
    <s v="SE1_small"/>
    <x v="1"/>
    <n v="35.989199999999997"/>
    <n v="9.9969999999999999"/>
  </r>
  <r>
    <x v="0"/>
    <x v="4"/>
    <x v="9"/>
    <x v="17"/>
    <s v="SE1_small"/>
    <x v="2"/>
    <n v="57.96"/>
    <n v="16.100000000000001"/>
  </r>
  <r>
    <x v="0"/>
    <x v="4"/>
    <x v="9"/>
    <x v="17"/>
    <s v="SE1_small"/>
    <x v="0"/>
    <n v="42.692399999999999"/>
    <n v="11.859"/>
  </r>
  <r>
    <x v="0"/>
    <x v="4"/>
    <x v="9"/>
    <x v="17"/>
    <s v="SE1_small"/>
    <x v="3"/>
    <n v="57.7974681027342"/>
    <n v="16.054852250759499"/>
  </r>
  <r>
    <x v="0"/>
    <x v="4"/>
    <x v="9"/>
    <x v="17"/>
    <s v="SE1_small"/>
    <x v="4"/>
    <n v="8.1139884009941898"/>
    <n v="2.2538856669428302"/>
  </r>
  <r>
    <x v="0"/>
    <x v="4"/>
    <x v="9"/>
    <x v="17"/>
    <s v="SE1_small"/>
    <x v="5"/>
    <n v="8.1139884009941898"/>
    <n v="2.2538856669428302"/>
  </r>
  <r>
    <x v="0"/>
    <x v="4"/>
    <x v="9"/>
    <x v="17"/>
    <s v="SE1_small"/>
    <x v="6"/>
    <n v="30.770439105219602"/>
    <n v="8.5473441958943202"/>
  </r>
  <r>
    <x v="0"/>
    <x v="4"/>
    <x v="9"/>
    <x v="17"/>
    <s v="SE1_small"/>
    <x v="7"/>
    <n v="71.350180613090302"/>
    <n v="19.819494614747299"/>
  </r>
  <r>
    <x v="0"/>
    <x v="4"/>
    <x v="9"/>
    <x v="17"/>
    <s v="SE1_small"/>
    <x v="8"/>
    <n v="71.350180613090302"/>
    <n v="19.819494614747299"/>
  </r>
  <r>
    <x v="0"/>
    <x v="4"/>
    <x v="9"/>
    <x v="17"/>
    <s v="SE1_small"/>
    <x v="9"/>
    <n v="44.803327257663497"/>
    <n v="12.4453686826843"/>
  </r>
  <r>
    <x v="0"/>
    <x v="4"/>
    <x v="9"/>
    <x v="17"/>
    <s v="SE1_small"/>
    <x v="10"/>
    <n v="54.681226180612903"/>
    <n v="15.1892294946147"/>
  </r>
  <r>
    <x v="0"/>
    <x v="4"/>
    <x v="9"/>
    <x v="17"/>
    <s v="SE1_small"/>
    <x v="11"/>
    <n v="3.8806031483015802"/>
    <n v="1.07794531897266"/>
  </r>
  <r>
    <x v="0"/>
    <x v="4"/>
    <x v="9"/>
    <x v="17"/>
    <s v="SE1_small"/>
    <x v="12"/>
    <n v="9.7995028997514597E-2"/>
    <n v="2.72208413881985E-2"/>
  </r>
  <r>
    <x v="0"/>
    <x v="4"/>
    <x v="9"/>
    <x v="17"/>
    <s v="SE1_small"/>
    <x v="13"/>
    <n v="21.5197083678542"/>
    <n v="5.9776967688483804"/>
  </r>
  <r>
    <x v="0"/>
    <x v="4"/>
    <x v="9"/>
    <x v="17"/>
    <s v="SE1_small"/>
    <x v="14"/>
    <n v="21.5197083678542"/>
    <n v="5.9776967688483804"/>
  </r>
  <r>
    <x v="0"/>
    <x v="4"/>
    <x v="9"/>
    <x v="17"/>
    <s v="SE1_small"/>
    <x v="15"/>
    <n v="1.65807589063794"/>
    <n v="0.46057663628831802"/>
  </r>
  <r>
    <x v="0"/>
    <x v="4"/>
    <x v="9"/>
    <x v="17"/>
    <s v="SE1_small"/>
    <x v="16"/>
    <n v="8.3492014028755008"/>
    <n v="2.31922261190986"/>
  </r>
  <r>
    <x v="0"/>
    <x v="4"/>
    <x v="9"/>
    <x v="17"/>
    <s v="SE1_small"/>
    <x v="17"/>
    <n v="9.5251168185584092"/>
    <n v="2.6458657829328902"/>
  </r>
  <r>
    <x v="0"/>
    <x v="4"/>
    <x v="9"/>
    <x v="17"/>
    <s v="SE1_small"/>
    <x v="18"/>
    <n v="21.5197083678542"/>
    <n v="5.9776967688483804"/>
  </r>
  <r>
    <x v="0"/>
    <x v="4"/>
    <x v="9"/>
    <x v="17"/>
    <s v="SE1_small"/>
    <x v="19"/>
    <n v="8.1139884009941898"/>
    <n v="2.2538856669428302"/>
  </r>
  <r>
    <x v="0"/>
    <x v="4"/>
    <x v="9"/>
    <x v="17"/>
    <s v="SE1_small"/>
    <x v="20"/>
    <n v="19.336735244541"/>
    <n v="5.37131534570584"/>
  </r>
  <r>
    <x v="0"/>
    <x v="4"/>
    <x v="9"/>
    <x v="17"/>
    <s v="SE1_small"/>
    <x v="21"/>
    <n v="53.225806451612797"/>
    <n v="14.784946236559099"/>
  </r>
  <r>
    <x v="0"/>
    <x v="4"/>
    <x v="9"/>
    <x v="17"/>
    <s v="SE1_small"/>
    <x v="22"/>
    <n v="130.68"/>
    <n v="36.299999999999997"/>
  </r>
  <r>
    <x v="0"/>
    <x v="4"/>
    <x v="9"/>
    <x v="17"/>
    <s v="SE1_small"/>
    <x v="23"/>
    <n v="0.35278210439105201"/>
    <n v="9.7995028997514499E-2"/>
  </r>
  <r>
    <x v="0"/>
    <x v="4"/>
    <x v="9"/>
    <x v="17"/>
    <s v="SE1_small"/>
    <x v="24"/>
    <n v="20.0161025734538"/>
    <n v="5.5600284926260501"/>
  </r>
  <r>
    <x v="0"/>
    <x v="4"/>
    <x v="9"/>
    <x v="17"/>
    <s v="SE1_small"/>
    <x v="25"/>
    <n v="22.356874337357301"/>
    <n v="6.2102428714881297"/>
  </r>
  <r>
    <x v="0"/>
    <x v="4"/>
    <x v="9"/>
    <x v="17"/>
    <s v="SE1_small"/>
    <x v="26"/>
    <n v="29.6651032387655"/>
    <n v="8.2403064552126306"/>
  </r>
  <r>
    <x v="0"/>
    <x v="4"/>
    <x v="9"/>
    <x v="17"/>
    <s v="SE1_small"/>
    <x v="27"/>
    <n v="21.049332228666099"/>
    <n v="5.8470367301850299"/>
  </r>
  <r>
    <x v="0"/>
    <x v="4"/>
    <x v="9"/>
    <x v="18"/>
    <s v="SE2A"/>
    <x v="1"/>
    <n v="35.989199999999997"/>
    <n v="9.9969999999999999"/>
  </r>
  <r>
    <x v="0"/>
    <x v="4"/>
    <x v="9"/>
    <x v="18"/>
    <s v="SE2A"/>
    <x v="2"/>
    <n v="57.96"/>
    <n v="16.100000000000001"/>
  </r>
  <r>
    <x v="0"/>
    <x v="4"/>
    <x v="9"/>
    <x v="18"/>
    <s v="SE2A"/>
    <x v="0"/>
    <n v="42.692399999999999"/>
    <n v="11.859"/>
  </r>
  <r>
    <x v="0"/>
    <x v="4"/>
    <x v="9"/>
    <x v="18"/>
    <s v="SE2A"/>
    <x v="3"/>
    <n v="57.7974681027342"/>
    <n v="16.054852250759499"/>
  </r>
  <r>
    <x v="0"/>
    <x v="4"/>
    <x v="9"/>
    <x v="18"/>
    <s v="SE2A"/>
    <x v="4"/>
    <n v="8.1139884009941898"/>
    <n v="2.2538856669428302"/>
  </r>
  <r>
    <x v="0"/>
    <x v="4"/>
    <x v="9"/>
    <x v="18"/>
    <s v="SE2A"/>
    <x v="5"/>
    <n v="8.1139884009941898"/>
    <n v="2.2538856669428302"/>
  </r>
  <r>
    <x v="0"/>
    <x v="4"/>
    <x v="9"/>
    <x v="18"/>
    <s v="SE2A"/>
    <x v="6"/>
    <n v="30.770439105219602"/>
    <n v="8.5473441958943202"/>
  </r>
  <r>
    <x v="0"/>
    <x v="4"/>
    <x v="9"/>
    <x v="18"/>
    <s v="SE2A"/>
    <x v="7"/>
    <n v="71.350180613090302"/>
    <n v="19.819494614747299"/>
  </r>
  <r>
    <x v="0"/>
    <x v="4"/>
    <x v="9"/>
    <x v="18"/>
    <s v="SE2A"/>
    <x v="8"/>
    <n v="71.350180613090302"/>
    <n v="19.819494614747299"/>
  </r>
  <r>
    <x v="0"/>
    <x v="4"/>
    <x v="9"/>
    <x v="18"/>
    <s v="SE2A"/>
    <x v="9"/>
    <n v="44.803327257663497"/>
    <n v="12.4453686826843"/>
  </r>
  <r>
    <x v="0"/>
    <x v="4"/>
    <x v="9"/>
    <x v="18"/>
    <s v="SE2A"/>
    <x v="10"/>
    <n v="54.681226180612903"/>
    <n v="15.1892294946147"/>
  </r>
  <r>
    <x v="0"/>
    <x v="4"/>
    <x v="9"/>
    <x v="18"/>
    <s v="SE2A"/>
    <x v="11"/>
    <n v="3.8806031483015802"/>
    <n v="1.07794531897266"/>
  </r>
  <r>
    <x v="0"/>
    <x v="4"/>
    <x v="9"/>
    <x v="18"/>
    <s v="SE2A"/>
    <x v="12"/>
    <n v="9.7995028997514597E-2"/>
    <n v="2.72208413881985E-2"/>
  </r>
  <r>
    <x v="0"/>
    <x v="4"/>
    <x v="9"/>
    <x v="18"/>
    <s v="SE2A"/>
    <x v="13"/>
    <n v="21.5197083678542"/>
    <n v="5.9776967688483804"/>
  </r>
  <r>
    <x v="0"/>
    <x v="4"/>
    <x v="9"/>
    <x v="18"/>
    <s v="SE2A"/>
    <x v="14"/>
    <n v="21.5197083678542"/>
    <n v="5.9776967688483804"/>
  </r>
  <r>
    <x v="0"/>
    <x v="4"/>
    <x v="9"/>
    <x v="18"/>
    <s v="SE2A"/>
    <x v="15"/>
    <n v="1.65807589063794"/>
    <n v="0.46057663628831802"/>
  </r>
  <r>
    <x v="0"/>
    <x v="4"/>
    <x v="9"/>
    <x v="18"/>
    <s v="SE2A"/>
    <x v="16"/>
    <n v="8.3492014028755008"/>
    <n v="2.31922261190986"/>
  </r>
  <r>
    <x v="0"/>
    <x v="4"/>
    <x v="9"/>
    <x v="18"/>
    <s v="SE2A"/>
    <x v="17"/>
    <n v="9.5251168185584092"/>
    <n v="2.6458657829328902"/>
  </r>
  <r>
    <x v="0"/>
    <x v="4"/>
    <x v="9"/>
    <x v="18"/>
    <s v="SE2A"/>
    <x v="18"/>
    <n v="21.5197083678542"/>
    <n v="5.9776967688483804"/>
  </r>
  <r>
    <x v="0"/>
    <x v="4"/>
    <x v="9"/>
    <x v="18"/>
    <s v="SE2A"/>
    <x v="19"/>
    <n v="8.1139884009941898"/>
    <n v="2.2538856669428302"/>
  </r>
  <r>
    <x v="0"/>
    <x v="4"/>
    <x v="9"/>
    <x v="18"/>
    <s v="SE2A"/>
    <x v="20"/>
    <n v="19.336735244541"/>
    <n v="5.37131534570584"/>
  </r>
  <r>
    <x v="0"/>
    <x v="4"/>
    <x v="9"/>
    <x v="18"/>
    <s v="SE2A"/>
    <x v="21"/>
    <n v="53.225806451612797"/>
    <n v="14.784946236559099"/>
  </r>
  <r>
    <x v="0"/>
    <x v="4"/>
    <x v="9"/>
    <x v="18"/>
    <s v="SE2A"/>
    <x v="22"/>
    <n v="130.68"/>
    <n v="36.299999999999997"/>
  </r>
  <r>
    <x v="0"/>
    <x v="4"/>
    <x v="9"/>
    <x v="18"/>
    <s v="SE2A"/>
    <x v="23"/>
    <n v="0.35278210439105201"/>
    <n v="9.7995028997514499E-2"/>
  </r>
  <r>
    <x v="0"/>
    <x v="4"/>
    <x v="9"/>
    <x v="18"/>
    <s v="SE2A"/>
    <x v="24"/>
    <n v="20.0161025734538"/>
    <n v="5.5600284926260501"/>
  </r>
  <r>
    <x v="0"/>
    <x v="4"/>
    <x v="9"/>
    <x v="18"/>
    <s v="SE2A"/>
    <x v="25"/>
    <n v="22.356874337357301"/>
    <n v="6.2102428714881297"/>
  </r>
  <r>
    <x v="0"/>
    <x v="4"/>
    <x v="9"/>
    <x v="18"/>
    <s v="SE2A"/>
    <x v="26"/>
    <n v="29.6651032387655"/>
    <n v="8.2403064552126306"/>
  </r>
  <r>
    <x v="0"/>
    <x v="4"/>
    <x v="9"/>
    <x v="18"/>
    <s v="SE2A"/>
    <x v="27"/>
    <n v="21.049332228666099"/>
    <n v="5.8470367301850299"/>
  </r>
  <r>
    <x v="0"/>
    <x v="4"/>
    <x v="9"/>
    <x v="18"/>
    <s v="SE2_IND"/>
    <x v="1"/>
    <n v="35.989199999999997"/>
    <n v="9.9969999999999999"/>
  </r>
  <r>
    <x v="0"/>
    <x v="4"/>
    <x v="9"/>
    <x v="18"/>
    <s v="SE2_IND"/>
    <x v="2"/>
    <n v="57.96"/>
    <n v="16.100000000000001"/>
  </r>
  <r>
    <x v="0"/>
    <x v="4"/>
    <x v="9"/>
    <x v="18"/>
    <s v="SE2_IND"/>
    <x v="0"/>
    <n v="42.692399999999999"/>
    <n v="11.859"/>
  </r>
  <r>
    <x v="0"/>
    <x v="4"/>
    <x v="9"/>
    <x v="18"/>
    <s v="SE2_IND"/>
    <x v="3"/>
    <n v="57.7974681027342"/>
    <n v="16.054852250759499"/>
  </r>
  <r>
    <x v="0"/>
    <x v="4"/>
    <x v="9"/>
    <x v="18"/>
    <s v="SE2_IND"/>
    <x v="4"/>
    <n v="8.1139884009941898"/>
    <n v="2.2538856669428302"/>
  </r>
  <r>
    <x v="0"/>
    <x v="4"/>
    <x v="9"/>
    <x v="18"/>
    <s v="SE2_IND"/>
    <x v="5"/>
    <n v="8.1139884009941898"/>
    <n v="2.2538856669428302"/>
  </r>
  <r>
    <x v="0"/>
    <x v="4"/>
    <x v="9"/>
    <x v="18"/>
    <s v="SE2_IND"/>
    <x v="6"/>
    <n v="30.770439105219602"/>
    <n v="8.5473441958943202"/>
  </r>
  <r>
    <x v="0"/>
    <x v="4"/>
    <x v="9"/>
    <x v="18"/>
    <s v="SE2_IND"/>
    <x v="7"/>
    <n v="71.350180613090302"/>
    <n v="19.819494614747299"/>
  </r>
  <r>
    <x v="0"/>
    <x v="4"/>
    <x v="9"/>
    <x v="18"/>
    <s v="SE2_IND"/>
    <x v="8"/>
    <n v="71.350180613090302"/>
    <n v="19.819494614747299"/>
  </r>
  <r>
    <x v="0"/>
    <x v="4"/>
    <x v="9"/>
    <x v="18"/>
    <s v="SE2_IND"/>
    <x v="9"/>
    <n v="44.803327257663497"/>
    <n v="12.4453686826843"/>
  </r>
  <r>
    <x v="0"/>
    <x v="4"/>
    <x v="9"/>
    <x v="18"/>
    <s v="SE2_IND"/>
    <x v="10"/>
    <n v="54.681226180612903"/>
    <n v="15.1892294946147"/>
  </r>
  <r>
    <x v="0"/>
    <x v="4"/>
    <x v="9"/>
    <x v="18"/>
    <s v="SE2_IND"/>
    <x v="11"/>
    <n v="3.8806031483015802"/>
    <n v="1.07794531897266"/>
  </r>
  <r>
    <x v="0"/>
    <x v="4"/>
    <x v="9"/>
    <x v="18"/>
    <s v="SE2_IND"/>
    <x v="12"/>
    <n v="9.7995028997514597E-2"/>
    <n v="2.72208413881985E-2"/>
  </r>
  <r>
    <x v="0"/>
    <x v="4"/>
    <x v="9"/>
    <x v="18"/>
    <s v="SE2_IND"/>
    <x v="13"/>
    <n v="21.5197083678542"/>
    <n v="5.9776967688483804"/>
  </r>
  <r>
    <x v="0"/>
    <x v="4"/>
    <x v="9"/>
    <x v="18"/>
    <s v="SE2_IND"/>
    <x v="14"/>
    <n v="21.5197083678542"/>
    <n v="5.9776967688483804"/>
  </r>
  <r>
    <x v="0"/>
    <x v="4"/>
    <x v="9"/>
    <x v="18"/>
    <s v="SE2_IND"/>
    <x v="15"/>
    <n v="1.65807589063794"/>
    <n v="0.46057663628831802"/>
  </r>
  <r>
    <x v="0"/>
    <x v="4"/>
    <x v="9"/>
    <x v="18"/>
    <s v="SE2_IND"/>
    <x v="16"/>
    <n v="8.3492014028755008"/>
    <n v="2.31922261190986"/>
  </r>
  <r>
    <x v="0"/>
    <x v="4"/>
    <x v="9"/>
    <x v="18"/>
    <s v="SE2_IND"/>
    <x v="17"/>
    <n v="9.5251168185584092"/>
    <n v="2.6458657829328902"/>
  </r>
  <r>
    <x v="0"/>
    <x v="4"/>
    <x v="9"/>
    <x v="18"/>
    <s v="SE2_IND"/>
    <x v="18"/>
    <n v="21.5197083678542"/>
    <n v="5.9776967688483804"/>
  </r>
  <r>
    <x v="0"/>
    <x v="4"/>
    <x v="9"/>
    <x v="18"/>
    <s v="SE2_IND"/>
    <x v="19"/>
    <n v="8.1139884009941898"/>
    <n v="2.2538856669428302"/>
  </r>
  <r>
    <x v="0"/>
    <x v="4"/>
    <x v="9"/>
    <x v="18"/>
    <s v="SE2_IND"/>
    <x v="20"/>
    <n v="19.336735244541"/>
    <n v="5.37131534570584"/>
  </r>
  <r>
    <x v="0"/>
    <x v="4"/>
    <x v="9"/>
    <x v="18"/>
    <s v="SE2_IND"/>
    <x v="21"/>
    <n v="53.225806451612797"/>
    <n v="14.784946236559099"/>
  </r>
  <r>
    <x v="0"/>
    <x v="4"/>
    <x v="9"/>
    <x v="18"/>
    <s v="SE2_IND"/>
    <x v="22"/>
    <n v="130.68"/>
    <n v="36.299999999999997"/>
  </r>
  <r>
    <x v="0"/>
    <x v="4"/>
    <x v="9"/>
    <x v="18"/>
    <s v="SE2_IND"/>
    <x v="23"/>
    <n v="0.35278210439105201"/>
    <n v="9.7995028997514499E-2"/>
  </r>
  <r>
    <x v="0"/>
    <x v="4"/>
    <x v="9"/>
    <x v="18"/>
    <s v="SE2_IND"/>
    <x v="24"/>
    <n v="20.0161025734538"/>
    <n v="5.5600284926260501"/>
  </r>
  <r>
    <x v="0"/>
    <x v="4"/>
    <x v="9"/>
    <x v="18"/>
    <s v="SE2_IND"/>
    <x v="25"/>
    <n v="22.356874337357301"/>
    <n v="6.2102428714881297"/>
  </r>
  <r>
    <x v="0"/>
    <x v="4"/>
    <x v="9"/>
    <x v="18"/>
    <s v="SE2_IND"/>
    <x v="26"/>
    <n v="29.6651032387655"/>
    <n v="8.2403064552126306"/>
  </r>
  <r>
    <x v="0"/>
    <x v="4"/>
    <x v="9"/>
    <x v="18"/>
    <s v="SE2_IND"/>
    <x v="27"/>
    <n v="21.049332228666099"/>
    <n v="5.8470367301850299"/>
  </r>
  <r>
    <x v="0"/>
    <x v="4"/>
    <x v="9"/>
    <x v="18"/>
    <s v="SE2_Offshore"/>
    <x v="1"/>
    <n v="35.989199999999997"/>
    <n v="9.9969999999999999"/>
  </r>
  <r>
    <x v="0"/>
    <x v="4"/>
    <x v="9"/>
    <x v="18"/>
    <s v="SE2_Offshore"/>
    <x v="2"/>
    <n v="57.96"/>
    <n v="16.100000000000001"/>
  </r>
  <r>
    <x v="0"/>
    <x v="4"/>
    <x v="9"/>
    <x v="18"/>
    <s v="SE2_Offshore"/>
    <x v="0"/>
    <n v="42.692399999999999"/>
    <n v="11.859"/>
  </r>
  <r>
    <x v="0"/>
    <x v="4"/>
    <x v="9"/>
    <x v="18"/>
    <s v="SE2_Offshore"/>
    <x v="3"/>
    <n v="57.7974681027342"/>
    <n v="16.054852250759499"/>
  </r>
  <r>
    <x v="0"/>
    <x v="4"/>
    <x v="9"/>
    <x v="18"/>
    <s v="SE2_Offshore"/>
    <x v="4"/>
    <n v="8.1139884009941898"/>
    <n v="2.2538856669428302"/>
  </r>
  <r>
    <x v="0"/>
    <x v="4"/>
    <x v="9"/>
    <x v="18"/>
    <s v="SE2_Offshore"/>
    <x v="5"/>
    <n v="8.1139884009941898"/>
    <n v="2.2538856669428302"/>
  </r>
  <r>
    <x v="0"/>
    <x v="4"/>
    <x v="9"/>
    <x v="18"/>
    <s v="SE2_Offshore"/>
    <x v="6"/>
    <n v="30.770439105219602"/>
    <n v="8.5473441958943202"/>
  </r>
  <r>
    <x v="0"/>
    <x v="4"/>
    <x v="9"/>
    <x v="18"/>
    <s v="SE2_Offshore"/>
    <x v="7"/>
    <n v="71.350180613090302"/>
    <n v="19.819494614747299"/>
  </r>
  <r>
    <x v="0"/>
    <x v="4"/>
    <x v="9"/>
    <x v="18"/>
    <s v="SE2_Offshore"/>
    <x v="8"/>
    <n v="71.350180613090302"/>
    <n v="19.819494614747299"/>
  </r>
  <r>
    <x v="0"/>
    <x v="4"/>
    <x v="9"/>
    <x v="18"/>
    <s v="SE2_Offshore"/>
    <x v="9"/>
    <n v="44.803327257663497"/>
    <n v="12.4453686826843"/>
  </r>
  <r>
    <x v="0"/>
    <x v="4"/>
    <x v="9"/>
    <x v="18"/>
    <s v="SE2_Offshore"/>
    <x v="10"/>
    <n v="54.681226180612903"/>
    <n v="15.1892294946147"/>
  </r>
  <r>
    <x v="0"/>
    <x v="4"/>
    <x v="9"/>
    <x v="18"/>
    <s v="SE2_Offshore"/>
    <x v="11"/>
    <n v="3.8806031483015802"/>
    <n v="1.07794531897266"/>
  </r>
  <r>
    <x v="0"/>
    <x v="4"/>
    <x v="9"/>
    <x v="18"/>
    <s v="SE2_Offshore"/>
    <x v="12"/>
    <n v="9.7995028997514597E-2"/>
    <n v="2.72208413881985E-2"/>
  </r>
  <r>
    <x v="0"/>
    <x v="4"/>
    <x v="9"/>
    <x v="18"/>
    <s v="SE2_Offshore"/>
    <x v="13"/>
    <n v="21.5197083678542"/>
    <n v="5.9776967688483804"/>
  </r>
  <r>
    <x v="0"/>
    <x v="4"/>
    <x v="9"/>
    <x v="18"/>
    <s v="SE2_Offshore"/>
    <x v="14"/>
    <n v="21.5197083678542"/>
    <n v="5.9776967688483804"/>
  </r>
  <r>
    <x v="0"/>
    <x v="4"/>
    <x v="9"/>
    <x v="18"/>
    <s v="SE2_Offshore"/>
    <x v="15"/>
    <n v="1.65807589063794"/>
    <n v="0.46057663628831802"/>
  </r>
  <r>
    <x v="0"/>
    <x v="4"/>
    <x v="9"/>
    <x v="18"/>
    <s v="SE2_Offshore"/>
    <x v="16"/>
    <n v="8.3492014028755008"/>
    <n v="2.31922261190986"/>
  </r>
  <r>
    <x v="0"/>
    <x v="4"/>
    <x v="9"/>
    <x v="18"/>
    <s v="SE2_Offshore"/>
    <x v="17"/>
    <n v="9.5251168185584092"/>
    <n v="2.6458657829328902"/>
  </r>
  <r>
    <x v="0"/>
    <x v="4"/>
    <x v="9"/>
    <x v="18"/>
    <s v="SE2_Offshore"/>
    <x v="18"/>
    <n v="21.5197083678542"/>
    <n v="5.9776967688483804"/>
  </r>
  <r>
    <x v="0"/>
    <x v="4"/>
    <x v="9"/>
    <x v="18"/>
    <s v="SE2_Offshore"/>
    <x v="19"/>
    <n v="8.1139884009941898"/>
    <n v="2.2538856669428302"/>
  </r>
  <r>
    <x v="0"/>
    <x v="4"/>
    <x v="9"/>
    <x v="18"/>
    <s v="SE2_Offshore"/>
    <x v="20"/>
    <n v="19.336735244541"/>
    <n v="5.37131534570584"/>
  </r>
  <r>
    <x v="0"/>
    <x v="4"/>
    <x v="9"/>
    <x v="18"/>
    <s v="SE2_Offshore"/>
    <x v="21"/>
    <n v="53.225806451612797"/>
    <n v="14.784946236559099"/>
  </r>
  <r>
    <x v="0"/>
    <x v="4"/>
    <x v="9"/>
    <x v="18"/>
    <s v="SE2_Offshore"/>
    <x v="22"/>
    <n v="130.68"/>
    <n v="36.299999999999997"/>
  </r>
  <r>
    <x v="0"/>
    <x v="4"/>
    <x v="9"/>
    <x v="18"/>
    <s v="SE2_Offshore"/>
    <x v="23"/>
    <n v="0.35278210439105201"/>
    <n v="9.7995028997514499E-2"/>
  </r>
  <r>
    <x v="0"/>
    <x v="4"/>
    <x v="9"/>
    <x v="18"/>
    <s v="SE2_Offshore"/>
    <x v="24"/>
    <n v="20.0161025734538"/>
    <n v="5.5600284926260501"/>
  </r>
  <r>
    <x v="0"/>
    <x v="4"/>
    <x v="9"/>
    <x v="18"/>
    <s v="SE2_Offshore"/>
    <x v="25"/>
    <n v="22.356874337357301"/>
    <n v="6.2102428714881297"/>
  </r>
  <r>
    <x v="0"/>
    <x v="4"/>
    <x v="9"/>
    <x v="18"/>
    <s v="SE2_Offshore"/>
    <x v="26"/>
    <n v="29.6651032387655"/>
    <n v="8.2403064552126306"/>
  </r>
  <r>
    <x v="0"/>
    <x v="4"/>
    <x v="9"/>
    <x v="18"/>
    <s v="SE2_Offshore"/>
    <x v="27"/>
    <n v="21.049332228666099"/>
    <n v="5.8470367301850299"/>
  </r>
  <r>
    <x v="0"/>
    <x v="4"/>
    <x v="9"/>
    <x v="18"/>
    <s v="SE2_medium"/>
    <x v="1"/>
    <n v="35.989199999999997"/>
    <n v="9.9969999999999999"/>
  </r>
  <r>
    <x v="0"/>
    <x v="4"/>
    <x v="9"/>
    <x v="18"/>
    <s v="SE2_medium"/>
    <x v="2"/>
    <n v="57.96"/>
    <n v="16.100000000000001"/>
  </r>
  <r>
    <x v="0"/>
    <x v="4"/>
    <x v="9"/>
    <x v="18"/>
    <s v="SE2_medium"/>
    <x v="0"/>
    <n v="42.692399999999999"/>
    <n v="11.859"/>
  </r>
  <r>
    <x v="0"/>
    <x v="4"/>
    <x v="9"/>
    <x v="18"/>
    <s v="SE2_medium"/>
    <x v="3"/>
    <n v="57.7974681027342"/>
    <n v="16.054852250759499"/>
  </r>
  <r>
    <x v="0"/>
    <x v="4"/>
    <x v="9"/>
    <x v="18"/>
    <s v="SE2_medium"/>
    <x v="4"/>
    <n v="8.1139884009941898"/>
    <n v="2.2538856669428302"/>
  </r>
  <r>
    <x v="0"/>
    <x v="4"/>
    <x v="9"/>
    <x v="18"/>
    <s v="SE2_medium"/>
    <x v="5"/>
    <n v="8.1139884009941898"/>
    <n v="2.2538856669428302"/>
  </r>
  <r>
    <x v="0"/>
    <x v="4"/>
    <x v="9"/>
    <x v="18"/>
    <s v="SE2_medium"/>
    <x v="6"/>
    <n v="30.770439105219602"/>
    <n v="8.5473441958943202"/>
  </r>
  <r>
    <x v="0"/>
    <x v="4"/>
    <x v="9"/>
    <x v="18"/>
    <s v="SE2_medium"/>
    <x v="7"/>
    <n v="71.350180613090302"/>
    <n v="19.819494614747299"/>
  </r>
  <r>
    <x v="0"/>
    <x v="4"/>
    <x v="9"/>
    <x v="18"/>
    <s v="SE2_medium"/>
    <x v="8"/>
    <n v="71.350180613090302"/>
    <n v="19.819494614747299"/>
  </r>
  <r>
    <x v="0"/>
    <x v="4"/>
    <x v="9"/>
    <x v="18"/>
    <s v="SE2_medium"/>
    <x v="9"/>
    <n v="44.803327257663497"/>
    <n v="12.4453686826843"/>
  </r>
  <r>
    <x v="0"/>
    <x v="4"/>
    <x v="9"/>
    <x v="18"/>
    <s v="SE2_medium"/>
    <x v="10"/>
    <n v="54.681226180612903"/>
    <n v="15.1892294946147"/>
  </r>
  <r>
    <x v="0"/>
    <x v="4"/>
    <x v="9"/>
    <x v="18"/>
    <s v="SE2_medium"/>
    <x v="11"/>
    <n v="3.8806031483015802"/>
    <n v="1.07794531897266"/>
  </r>
  <r>
    <x v="0"/>
    <x v="4"/>
    <x v="9"/>
    <x v="18"/>
    <s v="SE2_medium"/>
    <x v="12"/>
    <n v="9.7995028997514597E-2"/>
    <n v="2.72208413881985E-2"/>
  </r>
  <r>
    <x v="0"/>
    <x v="4"/>
    <x v="9"/>
    <x v="18"/>
    <s v="SE2_medium"/>
    <x v="13"/>
    <n v="21.5197083678542"/>
    <n v="5.9776967688483804"/>
  </r>
  <r>
    <x v="0"/>
    <x v="4"/>
    <x v="9"/>
    <x v="18"/>
    <s v="SE2_medium"/>
    <x v="14"/>
    <n v="21.5197083678542"/>
    <n v="5.9776967688483804"/>
  </r>
  <r>
    <x v="0"/>
    <x v="4"/>
    <x v="9"/>
    <x v="18"/>
    <s v="SE2_medium"/>
    <x v="15"/>
    <n v="1.65807589063794"/>
    <n v="0.46057663628831802"/>
  </r>
  <r>
    <x v="0"/>
    <x v="4"/>
    <x v="9"/>
    <x v="18"/>
    <s v="SE2_medium"/>
    <x v="16"/>
    <n v="8.3492014028755008"/>
    <n v="2.31922261190986"/>
  </r>
  <r>
    <x v="0"/>
    <x v="4"/>
    <x v="9"/>
    <x v="18"/>
    <s v="SE2_medium"/>
    <x v="17"/>
    <n v="9.5251168185584092"/>
    <n v="2.6458657829328902"/>
  </r>
  <r>
    <x v="0"/>
    <x v="4"/>
    <x v="9"/>
    <x v="18"/>
    <s v="SE2_medium"/>
    <x v="18"/>
    <n v="21.5197083678542"/>
    <n v="5.9776967688483804"/>
  </r>
  <r>
    <x v="0"/>
    <x v="4"/>
    <x v="9"/>
    <x v="18"/>
    <s v="SE2_medium"/>
    <x v="19"/>
    <n v="8.1139884009941898"/>
    <n v="2.2538856669428302"/>
  </r>
  <r>
    <x v="0"/>
    <x v="4"/>
    <x v="9"/>
    <x v="18"/>
    <s v="SE2_medium"/>
    <x v="20"/>
    <n v="19.336735244541"/>
    <n v="5.37131534570584"/>
  </r>
  <r>
    <x v="0"/>
    <x v="4"/>
    <x v="9"/>
    <x v="18"/>
    <s v="SE2_medium"/>
    <x v="21"/>
    <n v="53.225806451612797"/>
    <n v="14.784946236559099"/>
  </r>
  <r>
    <x v="0"/>
    <x v="4"/>
    <x v="9"/>
    <x v="18"/>
    <s v="SE2_medium"/>
    <x v="22"/>
    <n v="130.68"/>
    <n v="36.299999999999997"/>
  </r>
  <r>
    <x v="0"/>
    <x v="4"/>
    <x v="9"/>
    <x v="18"/>
    <s v="SE2_medium"/>
    <x v="23"/>
    <n v="0.35278210439105201"/>
    <n v="9.7995028997514499E-2"/>
  </r>
  <r>
    <x v="0"/>
    <x v="4"/>
    <x v="9"/>
    <x v="18"/>
    <s v="SE2_medium"/>
    <x v="24"/>
    <n v="20.0161025734538"/>
    <n v="5.5600284926260501"/>
  </r>
  <r>
    <x v="0"/>
    <x v="4"/>
    <x v="9"/>
    <x v="18"/>
    <s v="SE2_medium"/>
    <x v="25"/>
    <n v="22.356874337357301"/>
    <n v="6.2102428714881297"/>
  </r>
  <r>
    <x v="0"/>
    <x v="4"/>
    <x v="9"/>
    <x v="18"/>
    <s v="SE2_medium"/>
    <x v="26"/>
    <n v="29.6651032387655"/>
    <n v="8.2403064552126306"/>
  </r>
  <r>
    <x v="0"/>
    <x v="4"/>
    <x v="9"/>
    <x v="18"/>
    <s v="SE2_medium"/>
    <x v="27"/>
    <n v="21.049332228666099"/>
    <n v="5.8470367301850299"/>
  </r>
  <r>
    <x v="0"/>
    <x v="4"/>
    <x v="9"/>
    <x v="18"/>
    <s v="SE2_small"/>
    <x v="1"/>
    <n v="35.989199999999997"/>
    <n v="9.9969999999999999"/>
  </r>
  <r>
    <x v="0"/>
    <x v="4"/>
    <x v="9"/>
    <x v="18"/>
    <s v="SE2_small"/>
    <x v="2"/>
    <n v="57.96"/>
    <n v="16.100000000000001"/>
  </r>
  <r>
    <x v="0"/>
    <x v="4"/>
    <x v="9"/>
    <x v="18"/>
    <s v="SE2_small"/>
    <x v="0"/>
    <n v="42.692399999999999"/>
    <n v="11.859"/>
  </r>
  <r>
    <x v="0"/>
    <x v="4"/>
    <x v="9"/>
    <x v="18"/>
    <s v="SE2_small"/>
    <x v="3"/>
    <n v="57.7974681027342"/>
    <n v="16.054852250759499"/>
  </r>
  <r>
    <x v="0"/>
    <x v="4"/>
    <x v="9"/>
    <x v="18"/>
    <s v="SE2_small"/>
    <x v="4"/>
    <n v="8.1139884009941898"/>
    <n v="2.2538856669428302"/>
  </r>
  <r>
    <x v="0"/>
    <x v="4"/>
    <x v="9"/>
    <x v="18"/>
    <s v="SE2_small"/>
    <x v="5"/>
    <n v="8.1139884009941898"/>
    <n v="2.2538856669428302"/>
  </r>
  <r>
    <x v="0"/>
    <x v="4"/>
    <x v="9"/>
    <x v="18"/>
    <s v="SE2_small"/>
    <x v="6"/>
    <n v="30.770439105219602"/>
    <n v="8.5473441958943202"/>
  </r>
  <r>
    <x v="0"/>
    <x v="4"/>
    <x v="9"/>
    <x v="18"/>
    <s v="SE2_small"/>
    <x v="7"/>
    <n v="71.350180613090302"/>
    <n v="19.819494614747299"/>
  </r>
  <r>
    <x v="0"/>
    <x v="4"/>
    <x v="9"/>
    <x v="18"/>
    <s v="SE2_small"/>
    <x v="8"/>
    <n v="71.350180613090302"/>
    <n v="19.819494614747299"/>
  </r>
  <r>
    <x v="0"/>
    <x v="4"/>
    <x v="9"/>
    <x v="18"/>
    <s v="SE2_small"/>
    <x v="9"/>
    <n v="44.803327257663497"/>
    <n v="12.4453686826843"/>
  </r>
  <r>
    <x v="0"/>
    <x v="4"/>
    <x v="9"/>
    <x v="18"/>
    <s v="SE2_small"/>
    <x v="10"/>
    <n v="54.681226180612903"/>
    <n v="15.1892294946147"/>
  </r>
  <r>
    <x v="0"/>
    <x v="4"/>
    <x v="9"/>
    <x v="18"/>
    <s v="SE2_small"/>
    <x v="11"/>
    <n v="3.8806031483015802"/>
    <n v="1.07794531897266"/>
  </r>
  <r>
    <x v="0"/>
    <x v="4"/>
    <x v="9"/>
    <x v="18"/>
    <s v="SE2_small"/>
    <x v="12"/>
    <n v="9.7995028997514597E-2"/>
    <n v="2.72208413881985E-2"/>
  </r>
  <r>
    <x v="0"/>
    <x v="4"/>
    <x v="9"/>
    <x v="18"/>
    <s v="SE2_small"/>
    <x v="13"/>
    <n v="21.5197083678542"/>
    <n v="5.9776967688483804"/>
  </r>
  <r>
    <x v="0"/>
    <x v="4"/>
    <x v="9"/>
    <x v="18"/>
    <s v="SE2_small"/>
    <x v="14"/>
    <n v="21.5197083678542"/>
    <n v="5.9776967688483804"/>
  </r>
  <r>
    <x v="0"/>
    <x v="4"/>
    <x v="9"/>
    <x v="18"/>
    <s v="SE2_small"/>
    <x v="15"/>
    <n v="1.65807589063794"/>
    <n v="0.46057663628831802"/>
  </r>
  <r>
    <x v="0"/>
    <x v="4"/>
    <x v="9"/>
    <x v="18"/>
    <s v="SE2_small"/>
    <x v="16"/>
    <n v="8.3492014028755008"/>
    <n v="2.31922261190986"/>
  </r>
  <r>
    <x v="0"/>
    <x v="4"/>
    <x v="9"/>
    <x v="18"/>
    <s v="SE2_small"/>
    <x v="17"/>
    <n v="9.5251168185584092"/>
    <n v="2.6458657829328902"/>
  </r>
  <r>
    <x v="0"/>
    <x v="4"/>
    <x v="9"/>
    <x v="18"/>
    <s v="SE2_small"/>
    <x v="18"/>
    <n v="21.5197083678542"/>
    <n v="5.9776967688483804"/>
  </r>
  <r>
    <x v="0"/>
    <x v="4"/>
    <x v="9"/>
    <x v="18"/>
    <s v="SE2_small"/>
    <x v="19"/>
    <n v="8.1139884009941898"/>
    <n v="2.2538856669428302"/>
  </r>
  <r>
    <x v="0"/>
    <x v="4"/>
    <x v="9"/>
    <x v="18"/>
    <s v="SE2_small"/>
    <x v="20"/>
    <n v="19.336735244541"/>
    <n v="5.37131534570584"/>
  </r>
  <r>
    <x v="0"/>
    <x v="4"/>
    <x v="9"/>
    <x v="18"/>
    <s v="SE2_small"/>
    <x v="21"/>
    <n v="53.225806451612797"/>
    <n v="14.784946236559099"/>
  </r>
  <r>
    <x v="0"/>
    <x v="4"/>
    <x v="9"/>
    <x v="18"/>
    <s v="SE2_small"/>
    <x v="22"/>
    <n v="130.68"/>
    <n v="36.299999999999997"/>
  </r>
  <r>
    <x v="0"/>
    <x v="4"/>
    <x v="9"/>
    <x v="18"/>
    <s v="SE2_small"/>
    <x v="23"/>
    <n v="0.35278210439105201"/>
    <n v="9.7995028997514499E-2"/>
  </r>
  <r>
    <x v="0"/>
    <x v="4"/>
    <x v="9"/>
    <x v="18"/>
    <s v="SE2_small"/>
    <x v="24"/>
    <n v="20.0161025734538"/>
    <n v="5.5600284926260501"/>
  </r>
  <r>
    <x v="0"/>
    <x v="4"/>
    <x v="9"/>
    <x v="18"/>
    <s v="SE2_small"/>
    <x v="25"/>
    <n v="22.356874337357301"/>
    <n v="6.2102428714881297"/>
  </r>
  <r>
    <x v="0"/>
    <x v="4"/>
    <x v="9"/>
    <x v="18"/>
    <s v="SE2_small"/>
    <x v="26"/>
    <n v="29.6651032387655"/>
    <n v="8.2403064552126306"/>
  </r>
  <r>
    <x v="0"/>
    <x v="4"/>
    <x v="9"/>
    <x v="18"/>
    <s v="SE2_small"/>
    <x v="27"/>
    <n v="21.049332228666099"/>
    <n v="5.8470367301850299"/>
  </r>
  <r>
    <x v="0"/>
    <x v="4"/>
    <x v="9"/>
    <x v="19"/>
    <s v="SE3A"/>
    <x v="1"/>
    <n v="35.989199999999997"/>
    <n v="9.9969999999999999"/>
  </r>
  <r>
    <x v="0"/>
    <x v="4"/>
    <x v="9"/>
    <x v="19"/>
    <s v="SE3A"/>
    <x v="2"/>
    <n v="57.96"/>
    <n v="16.100000000000001"/>
  </r>
  <r>
    <x v="0"/>
    <x v="4"/>
    <x v="9"/>
    <x v="19"/>
    <s v="SE3A"/>
    <x v="0"/>
    <n v="42.692399999999999"/>
    <n v="11.859"/>
  </r>
  <r>
    <x v="0"/>
    <x v="4"/>
    <x v="9"/>
    <x v="19"/>
    <s v="SE3A"/>
    <x v="3"/>
    <n v="57.7974681027342"/>
    <n v="16.054852250759499"/>
  </r>
  <r>
    <x v="0"/>
    <x v="4"/>
    <x v="9"/>
    <x v="19"/>
    <s v="SE3A"/>
    <x v="4"/>
    <n v="8.1139884009941898"/>
    <n v="2.2538856669428302"/>
  </r>
  <r>
    <x v="0"/>
    <x v="4"/>
    <x v="9"/>
    <x v="19"/>
    <s v="SE3A"/>
    <x v="5"/>
    <n v="8.1139884009941898"/>
    <n v="2.2538856669428302"/>
  </r>
  <r>
    <x v="0"/>
    <x v="4"/>
    <x v="9"/>
    <x v="19"/>
    <s v="SE3A"/>
    <x v="6"/>
    <n v="30.770439105219602"/>
    <n v="8.5473441958943202"/>
  </r>
  <r>
    <x v="0"/>
    <x v="4"/>
    <x v="9"/>
    <x v="19"/>
    <s v="SE3A"/>
    <x v="7"/>
    <n v="71.350180613090302"/>
    <n v="19.819494614747299"/>
  </r>
  <r>
    <x v="0"/>
    <x v="4"/>
    <x v="9"/>
    <x v="19"/>
    <s v="SE3A"/>
    <x v="8"/>
    <n v="71.350180613090302"/>
    <n v="19.819494614747299"/>
  </r>
  <r>
    <x v="0"/>
    <x v="4"/>
    <x v="9"/>
    <x v="19"/>
    <s v="SE3A"/>
    <x v="9"/>
    <n v="44.803327257663497"/>
    <n v="12.4453686826843"/>
  </r>
  <r>
    <x v="0"/>
    <x v="4"/>
    <x v="9"/>
    <x v="19"/>
    <s v="SE3A"/>
    <x v="10"/>
    <n v="54.681226180612903"/>
    <n v="15.1892294946147"/>
  </r>
  <r>
    <x v="0"/>
    <x v="4"/>
    <x v="9"/>
    <x v="19"/>
    <s v="SE3A"/>
    <x v="11"/>
    <n v="3.8806031483015802"/>
    <n v="1.07794531897266"/>
  </r>
  <r>
    <x v="0"/>
    <x v="4"/>
    <x v="9"/>
    <x v="19"/>
    <s v="SE3A"/>
    <x v="12"/>
    <n v="9.7995028997514597E-2"/>
    <n v="2.72208413881985E-2"/>
  </r>
  <r>
    <x v="0"/>
    <x v="4"/>
    <x v="9"/>
    <x v="19"/>
    <s v="SE3A"/>
    <x v="13"/>
    <n v="21.5197083678542"/>
    <n v="5.9776967688483804"/>
  </r>
  <r>
    <x v="0"/>
    <x v="4"/>
    <x v="9"/>
    <x v="19"/>
    <s v="SE3A"/>
    <x v="14"/>
    <n v="21.5197083678542"/>
    <n v="5.9776967688483804"/>
  </r>
  <r>
    <x v="0"/>
    <x v="4"/>
    <x v="9"/>
    <x v="19"/>
    <s v="SE3A"/>
    <x v="15"/>
    <n v="1.65807589063794"/>
    <n v="0.46057663628831802"/>
  </r>
  <r>
    <x v="0"/>
    <x v="4"/>
    <x v="9"/>
    <x v="19"/>
    <s v="SE3A"/>
    <x v="16"/>
    <n v="8.3492014028755008"/>
    <n v="2.31922261190986"/>
  </r>
  <r>
    <x v="0"/>
    <x v="4"/>
    <x v="9"/>
    <x v="19"/>
    <s v="SE3A"/>
    <x v="17"/>
    <n v="9.5251168185584092"/>
    <n v="2.6458657829328902"/>
  </r>
  <r>
    <x v="0"/>
    <x v="4"/>
    <x v="9"/>
    <x v="19"/>
    <s v="SE3A"/>
    <x v="18"/>
    <n v="21.5197083678542"/>
    <n v="5.9776967688483804"/>
  </r>
  <r>
    <x v="0"/>
    <x v="4"/>
    <x v="9"/>
    <x v="19"/>
    <s v="SE3A"/>
    <x v="19"/>
    <n v="8.1139884009941898"/>
    <n v="2.2538856669428302"/>
  </r>
  <r>
    <x v="0"/>
    <x v="4"/>
    <x v="9"/>
    <x v="19"/>
    <s v="SE3A"/>
    <x v="20"/>
    <n v="19.336735244541"/>
    <n v="5.37131534570584"/>
  </r>
  <r>
    <x v="0"/>
    <x v="4"/>
    <x v="9"/>
    <x v="19"/>
    <s v="SE3A"/>
    <x v="21"/>
    <n v="53.225806451612797"/>
    <n v="14.784946236559099"/>
  </r>
  <r>
    <x v="0"/>
    <x v="4"/>
    <x v="9"/>
    <x v="19"/>
    <s v="SE3A"/>
    <x v="22"/>
    <n v="130.68"/>
    <n v="36.299999999999997"/>
  </r>
  <r>
    <x v="0"/>
    <x v="4"/>
    <x v="9"/>
    <x v="19"/>
    <s v="SE3A"/>
    <x v="23"/>
    <n v="0.35278210439105201"/>
    <n v="9.7995028997514499E-2"/>
  </r>
  <r>
    <x v="0"/>
    <x v="4"/>
    <x v="9"/>
    <x v="19"/>
    <s v="SE3A"/>
    <x v="24"/>
    <n v="20.0161025734538"/>
    <n v="5.5600284926260501"/>
  </r>
  <r>
    <x v="0"/>
    <x v="4"/>
    <x v="9"/>
    <x v="19"/>
    <s v="SE3A"/>
    <x v="25"/>
    <n v="22.356874337357301"/>
    <n v="6.2102428714881297"/>
  </r>
  <r>
    <x v="0"/>
    <x v="4"/>
    <x v="9"/>
    <x v="19"/>
    <s v="SE3A"/>
    <x v="26"/>
    <n v="29.6651032387655"/>
    <n v="8.2403064552126306"/>
  </r>
  <r>
    <x v="0"/>
    <x v="4"/>
    <x v="9"/>
    <x v="19"/>
    <s v="SE3A"/>
    <x v="27"/>
    <n v="21.049332228666099"/>
    <n v="5.8470367301850299"/>
  </r>
  <r>
    <x v="0"/>
    <x v="4"/>
    <x v="9"/>
    <x v="19"/>
    <s v="SE3_IND"/>
    <x v="1"/>
    <n v="35.989199999999997"/>
    <n v="9.9969999999999999"/>
  </r>
  <r>
    <x v="0"/>
    <x v="4"/>
    <x v="9"/>
    <x v="19"/>
    <s v="SE3_IND"/>
    <x v="2"/>
    <n v="57.96"/>
    <n v="16.100000000000001"/>
  </r>
  <r>
    <x v="0"/>
    <x v="4"/>
    <x v="9"/>
    <x v="19"/>
    <s v="SE3_IND"/>
    <x v="0"/>
    <n v="42.692399999999999"/>
    <n v="11.859"/>
  </r>
  <r>
    <x v="0"/>
    <x v="4"/>
    <x v="9"/>
    <x v="19"/>
    <s v="SE3_IND"/>
    <x v="3"/>
    <n v="57.7974681027342"/>
    <n v="16.054852250759499"/>
  </r>
  <r>
    <x v="0"/>
    <x v="4"/>
    <x v="9"/>
    <x v="19"/>
    <s v="SE3_IND"/>
    <x v="4"/>
    <n v="8.1139884009941898"/>
    <n v="2.2538856669428302"/>
  </r>
  <r>
    <x v="0"/>
    <x v="4"/>
    <x v="9"/>
    <x v="19"/>
    <s v="SE3_IND"/>
    <x v="5"/>
    <n v="8.1139884009941898"/>
    <n v="2.2538856669428302"/>
  </r>
  <r>
    <x v="0"/>
    <x v="4"/>
    <x v="9"/>
    <x v="19"/>
    <s v="SE3_IND"/>
    <x v="6"/>
    <n v="30.770439105219602"/>
    <n v="8.5473441958943202"/>
  </r>
  <r>
    <x v="0"/>
    <x v="4"/>
    <x v="9"/>
    <x v="19"/>
    <s v="SE3_IND"/>
    <x v="7"/>
    <n v="71.350180613090302"/>
    <n v="19.819494614747299"/>
  </r>
  <r>
    <x v="0"/>
    <x v="4"/>
    <x v="9"/>
    <x v="19"/>
    <s v="SE3_IND"/>
    <x v="8"/>
    <n v="71.350180613090302"/>
    <n v="19.819494614747299"/>
  </r>
  <r>
    <x v="0"/>
    <x v="4"/>
    <x v="9"/>
    <x v="19"/>
    <s v="SE3_IND"/>
    <x v="9"/>
    <n v="44.803327257663497"/>
    <n v="12.4453686826843"/>
  </r>
  <r>
    <x v="0"/>
    <x v="4"/>
    <x v="9"/>
    <x v="19"/>
    <s v="SE3_IND"/>
    <x v="10"/>
    <n v="54.681226180612903"/>
    <n v="15.1892294946147"/>
  </r>
  <r>
    <x v="0"/>
    <x v="4"/>
    <x v="9"/>
    <x v="19"/>
    <s v="SE3_IND"/>
    <x v="11"/>
    <n v="3.8806031483015802"/>
    <n v="1.07794531897266"/>
  </r>
  <r>
    <x v="0"/>
    <x v="4"/>
    <x v="9"/>
    <x v="19"/>
    <s v="SE3_IND"/>
    <x v="12"/>
    <n v="9.7995028997514597E-2"/>
    <n v="2.72208413881985E-2"/>
  </r>
  <r>
    <x v="0"/>
    <x v="4"/>
    <x v="9"/>
    <x v="19"/>
    <s v="SE3_IND"/>
    <x v="13"/>
    <n v="21.5197083678542"/>
    <n v="5.9776967688483804"/>
  </r>
  <r>
    <x v="0"/>
    <x v="4"/>
    <x v="9"/>
    <x v="19"/>
    <s v="SE3_IND"/>
    <x v="14"/>
    <n v="21.5197083678542"/>
    <n v="5.9776967688483804"/>
  </r>
  <r>
    <x v="0"/>
    <x v="4"/>
    <x v="9"/>
    <x v="19"/>
    <s v="SE3_IND"/>
    <x v="15"/>
    <n v="1.65807589063794"/>
    <n v="0.46057663628831802"/>
  </r>
  <r>
    <x v="0"/>
    <x v="4"/>
    <x v="9"/>
    <x v="19"/>
    <s v="SE3_IND"/>
    <x v="16"/>
    <n v="8.3492014028755008"/>
    <n v="2.31922261190986"/>
  </r>
  <r>
    <x v="0"/>
    <x v="4"/>
    <x v="9"/>
    <x v="19"/>
    <s v="SE3_IND"/>
    <x v="17"/>
    <n v="9.5251168185584092"/>
    <n v="2.6458657829328902"/>
  </r>
  <r>
    <x v="0"/>
    <x v="4"/>
    <x v="9"/>
    <x v="19"/>
    <s v="SE3_IND"/>
    <x v="18"/>
    <n v="21.5197083678542"/>
    <n v="5.9776967688483804"/>
  </r>
  <r>
    <x v="0"/>
    <x v="4"/>
    <x v="9"/>
    <x v="19"/>
    <s v="SE3_IND"/>
    <x v="19"/>
    <n v="8.1139884009941898"/>
    <n v="2.2538856669428302"/>
  </r>
  <r>
    <x v="0"/>
    <x v="4"/>
    <x v="9"/>
    <x v="19"/>
    <s v="SE3_IND"/>
    <x v="20"/>
    <n v="19.336735244541"/>
    <n v="5.37131534570584"/>
  </r>
  <r>
    <x v="0"/>
    <x v="4"/>
    <x v="9"/>
    <x v="19"/>
    <s v="SE3_IND"/>
    <x v="21"/>
    <n v="53.225806451612797"/>
    <n v="14.784946236559099"/>
  </r>
  <r>
    <x v="0"/>
    <x v="4"/>
    <x v="9"/>
    <x v="19"/>
    <s v="SE3_IND"/>
    <x v="22"/>
    <n v="130.68"/>
    <n v="36.299999999999997"/>
  </r>
  <r>
    <x v="0"/>
    <x v="4"/>
    <x v="9"/>
    <x v="19"/>
    <s v="SE3_IND"/>
    <x v="23"/>
    <n v="0.35278210439105201"/>
    <n v="9.7995028997514499E-2"/>
  </r>
  <r>
    <x v="0"/>
    <x v="4"/>
    <x v="9"/>
    <x v="19"/>
    <s v="SE3_IND"/>
    <x v="24"/>
    <n v="20.0161025734538"/>
    <n v="5.5600284926260501"/>
  </r>
  <r>
    <x v="0"/>
    <x v="4"/>
    <x v="9"/>
    <x v="19"/>
    <s v="SE3_IND"/>
    <x v="25"/>
    <n v="22.356874337357301"/>
    <n v="6.2102428714881297"/>
  </r>
  <r>
    <x v="0"/>
    <x v="4"/>
    <x v="9"/>
    <x v="19"/>
    <s v="SE3_IND"/>
    <x v="26"/>
    <n v="29.6651032387655"/>
    <n v="8.2403064552126306"/>
  </r>
  <r>
    <x v="0"/>
    <x v="4"/>
    <x v="9"/>
    <x v="19"/>
    <s v="SE3_IND"/>
    <x v="27"/>
    <n v="21.049332228666099"/>
    <n v="5.8470367301850299"/>
  </r>
  <r>
    <x v="0"/>
    <x v="4"/>
    <x v="9"/>
    <x v="19"/>
    <s v="SE3_Offshore"/>
    <x v="1"/>
    <n v="35.989199999999997"/>
    <n v="9.9969999999999999"/>
  </r>
  <r>
    <x v="0"/>
    <x v="4"/>
    <x v="9"/>
    <x v="19"/>
    <s v="SE3_Offshore"/>
    <x v="2"/>
    <n v="57.96"/>
    <n v="16.100000000000001"/>
  </r>
  <r>
    <x v="0"/>
    <x v="4"/>
    <x v="9"/>
    <x v="19"/>
    <s v="SE3_Offshore"/>
    <x v="0"/>
    <n v="42.692399999999999"/>
    <n v="11.859"/>
  </r>
  <r>
    <x v="0"/>
    <x v="4"/>
    <x v="9"/>
    <x v="19"/>
    <s v="SE3_Offshore"/>
    <x v="3"/>
    <n v="57.7974681027342"/>
    <n v="16.054852250759499"/>
  </r>
  <r>
    <x v="0"/>
    <x v="4"/>
    <x v="9"/>
    <x v="19"/>
    <s v="SE3_Offshore"/>
    <x v="4"/>
    <n v="8.1139884009941898"/>
    <n v="2.2538856669428302"/>
  </r>
  <r>
    <x v="0"/>
    <x v="4"/>
    <x v="9"/>
    <x v="19"/>
    <s v="SE3_Offshore"/>
    <x v="5"/>
    <n v="8.1139884009941898"/>
    <n v="2.2538856669428302"/>
  </r>
  <r>
    <x v="0"/>
    <x v="4"/>
    <x v="9"/>
    <x v="19"/>
    <s v="SE3_Offshore"/>
    <x v="6"/>
    <n v="30.770439105219602"/>
    <n v="8.5473441958943202"/>
  </r>
  <r>
    <x v="0"/>
    <x v="4"/>
    <x v="9"/>
    <x v="19"/>
    <s v="SE3_Offshore"/>
    <x v="7"/>
    <n v="71.350180613090302"/>
    <n v="19.819494614747299"/>
  </r>
  <r>
    <x v="0"/>
    <x v="4"/>
    <x v="9"/>
    <x v="19"/>
    <s v="SE3_Offshore"/>
    <x v="8"/>
    <n v="71.350180613090302"/>
    <n v="19.819494614747299"/>
  </r>
  <r>
    <x v="0"/>
    <x v="4"/>
    <x v="9"/>
    <x v="19"/>
    <s v="SE3_Offshore"/>
    <x v="9"/>
    <n v="44.803327257663497"/>
    <n v="12.4453686826843"/>
  </r>
  <r>
    <x v="0"/>
    <x v="4"/>
    <x v="9"/>
    <x v="19"/>
    <s v="SE3_Offshore"/>
    <x v="10"/>
    <n v="54.681226180612903"/>
    <n v="15.1892294946147"/>
  </r>
  <r>
    <x v="0"/>
    <x v="4"/>
    <x v="9"/>
    <x v="19"/>
    <s v="SE3_Offshore"/>
    <x v="11"/>
    <n v="3.8806031483015802"/>
    <n v="1.07794531897266"/>
  </r>
  <r>
    <x v="0"/>
    <x v="4"/>
    <x v="9"/>
    <x v="19"/>
    <s v="SE3_Offshore"/>
    <x v="12"/>
    <n v="9.7995028997514597E-2"/>
    <n v="2.72208413881985E-2"/>
  </r>
  <r>
    <x v="0"/>
    <x v="4"/>
    <x v="9"/>
    <x v="19"/>
    <s v="SE3_Offshore"/>
    <x v="13"/>
    <n v="21.5197083678542"/>
    <n v="5.9776967688483804"/>
  </r>
  <r>
    <x v="0"/>
    <x v="4"/>
    <x v="9"/>
    <x v="19"/>
    <s v="SE3_Offshore"/>
    <x v="14"/>
    <n v="21.5197083678542"/>
    <n v="5.9776967688483804"/>
  </r>
  <r>
    <x v="0"/>
    <x v="4"/>
    <x v="9"/>
    <x v="19"/>
    <s v="SE3_Offshore"/>
    <x v="15"/>
    <n v="1.65807589063794"/>
    <n v="0.46057663628831802"/>
  </r>
  <r>
    <x v="0"/>
    <x v="4"/>
    <x v="9"/>
    <x v="19"/>
    <s v="SE3_Offshore"/>
    <x v="16"/>
    <n v="8.3492014028755008"/>
    <n v="2.31922261190986"/>
  </r>
  <r>
    <x v="0"/>
    <x v="4"/>
    <x v="9"/>
    <x v="19"/>
    <s v="SE3_Offshore"/>
    <x v="17"/>
    <n v="9.5251168185584092"/>
    <n v="2.6458657829328902"/>
  </r>
  <r>
    <x v="0"/>
    <x v="4"/>
    <x v="9"/>
    <x v="19"/>
    <s v="SE3_Offshore"/>
    <x v="18"/>
    <n v="21.5197083678542"/>
    <n v="5.9776967688483804"/>
  </r>
  <r>
    <x v="0"/>
    <x v="4"/>
    <x v="9"/>
    <x v="19"/>
    <s v="SE3_Offshore"/>
    <x v="19"/>
    <n v="8.1139884009941898"/>
    <n v="2.2538856669428302"/>
  </r>
  <r>
    <x v="0"/>
    <x v="4"/>
    <x v="9"/>
    <x v="19"/>
    <s v="SE3_Offshore"/>
    <x v="20"/>
    <n v="19.336735244541"/>
    <n v="5.37131534570584"/>
  </r>
  <r>
    <x v="0"/>
    <x v="4"/>
    <x v="9"/>
    <x v="19"/>
    <s v="SE3_Offshore"/>
    <x v="21"/>
    <n v="53.225806451612797"/>
    <n v="14.784946236559099"/>
  </r>
  <r>
    <x v="0"/>
    <x v="4"/>
    <x v="9"/>
    <x v="19"/>
    <s v="SE3_Offshore"/>
    <x v="22"/>
    <n v="130.68"/>
    <n v="36.299999999999997"/>
  </r>
  <r>
    <x v="0"/>
    <x v="4"/>
    <x v="9"/>
    <x v="19"/>
    <s v="SE3_Offshore"/>
    <x v="23"/>
    <n v="0.35278210439105201"/>
    <n v="9.7995028997514499E-2"/>
  </r>
  <r>
    <x v="0"/>
    <x v="4"/>
    <x v="9"/>
    <x v="19"/>
    <s v="SE3_Offshore"/>
    <x v="24"/>
    <n v="20.0161025734538"/>
    <n v="5.5600284926260501"/>
  </r>
  <r>
    <x v="0"/>
    <x v="4"/>
    <x v="9"/>
    <x v="19"/>
    <s v="SE3_Offshore"/>
    <x v="25"/>
    <n v="22.356874337357301"/>
    <n v="6.2102428714881297"/>
  </r>
  <r>
    <x v="0"/>
    <x v="4"/>
    <x v="9"/>
    <x v="19"/>
    <s v="SE3_Offshore"/>
    <x v="26"/>
    <n v="29.6651032387655"/>
    <n v="8.2403064552126306"/>
  </r>
  <r>
    <x v="0"/>
    <x v="4"/>
    <x v="9"/>
    <x v="19"/>
    <s v="SE3_Offshore"/>
    <x v="27"/>
    <n v="21.049332228666099"/>
    <n v="5.8470367301850299"/>
  </r>
  <r>
    <x v="0"/>
    <x v="4"/>
    <x v="9"/>
    <x v="19"/>
    <s v="SE3_large"/>
    <x v="1"/>
    <n v="35.989199999999997"/>
    <n v="9.9969999999999999"/>
  </r>
  <r>
    <x v="0"/>
    <x v="4"/>
    <x v="9"/>
    <x v="19"/>
    <s v="SE3_large"/>
    <x v="2"/>
    <n v="57.96"/>
    <n v="16.100000000000001"/>
  </r>
  <r>
    <x v="0"/>
    <x v="4"/>
    <x v="9"/>
    <x v="19"/>
    <s v="SE3_large"/>
    <x v="0"/>
    <n v="42.692399999999999"/>
    <n v="11.859"/>
  </r>
  <r>
    <x v="0"/>
    <x v="4"/>
    <x v="9"/>
    <x v="19"/>
    <s v="SE3_large"/>
    <x v="3"/>
    <n v="57.7974681027342"/>
    <n v="16.054852250759499"/>
  </r>
  <r>
    <x v="0"/>
    <x v="4"/>
    <x v="9"/>
    <x v="19"/>
    <s v="SE3_large"/>
    <x v="4"/>
    <n v="8.1139884009941898"/>
    <n v="2.2538856669428302"/>
  </r>
  <r>
    <x v="0"/>
    <x v="4"/>
    <x v="9"/>
    <x v="19"/>
    <s v="SE3_large"/>
    <x v="5"/>
    <n v="8.1139884009941898"/>
    <n v="2.2538856669428302"/>
  </r>
  <r>
    <x v="0"/>
    <x v="4"/>
    <x v="9"/>
    <x v="19"/>
    <s v="SE3_large"/>
    <x v="6"/>
    <n v="30.770439105219602"/>
    <n v="8.5473441958943202"/>
  </r>
  <r>
    <x v="0"/>
    <x v="4"/>
    <x v="9"/>
    <x v="19"/>
    <s v="SE3_large"/>
    <x v="7"/>
    <n v="71.350180613090302"/>
    <n v="19.819494614747299"/>
  </r>
  <r>
    <x v="0"/>
    <x v="4"/>
    <x v="9"/>
    <x v="19"/>
    <s v="SE3_large"/>
    <x v="8"/>
    <n v="71.350180613090302"/>
    <n v="19.819494614747299"/>
  </r>
  <r>
    <x v="0"/>
    <x v="4"/>
    <x v="9"/>
    <x v="19"/>
    <s v="SE3_large"/>
    <x v="9"/>
    <n v="44.803327257663497"/>
    <n v="12.4453686826843"/>
  </r>
  <r>
    <x v="0"/>
    <x v="4"/>
    <x v="9"/>
    <x v="19"/>
    <s v="SE3_large"/>
    <x v="10"/>
    <n v="54.681226180612903"/>
    <n v="15.1892294946147"/>
  </r>
  <r>
    <x v="0"/>
    <x v="4"/>
    <x v="9"/>
    <x v="19"/>
    <s v="SE3_large"/>
    <x v="11"/>
    <n v="3.8806031483015802"/>
    <n v="1.07794531897266"/>
  </r>
  <r>
    <x v="0"/>
    <x v="4"/>
    <x v="9"/>
    <x v="19"/>
    <s v="SE3_large"/>
    <x v="12"/>
    <n v="9.7995028997514597E-2"/>
    <n v="2.72208413881985E-2"/>
  </r>
  <r>
    <x v="0"/>
    <x v="4"/>
    <x v="9"/>
    <x v="19"/>
    <s v="SE3_large"/>
    <x v="13"/>
    <n v="21.5197083678542"/>
    <n v="5.9776967688483804"/>
  </r>
  <r>
    <x v="0"/>
    <x v="4"/>
    <x v="9"/>
    <x v="19"/>
    <s v="SE3_large"/>
    <x v="14"/>
    <n v="21.5197083678542"/>
    <n v="5.9776967688483804"/>
  </r>
  <r>
    <x v="0"/>
    <x v="4"/>
    <x v="9"/>
    <x v="19"/>
    <s v="SE3_large"/>
    <x v="15"/>
    <n v="1.65807589063794"/>
    <n v="0.46057663628831802"/>
  </r>
  <r>
    <x v="0"/>
    <x v="4"/>
    <x v="9"/>
    <x v="19"/>
    <s v="SE3_large"/>
    <x v="16"/>
    <n v="8.3492014028755008"/>
    <n v="2.31922261190986"/>
  </r>
  <r>
    <x v="0"/>
    <x v="4"/>
    <x v="9"/>
    <x v="19"/>
    <s v="SE3_large"/>
    <x v="17"/>
    <n v="9.5251168185584092"/>
    <n v="2.6458657829328902"/>
  </r>
  <r>
    <x v="0"/>
    <x v="4"/>
    <x v="9"/>
    <x v="19"/>
    <s v="SE3_large"/>
    <x v="18"/>
    <n v="21.5197083678542"/>
    <n v="5.9776967688483804"/>
  </r>
  <r>
    <x v="0"/>
    <x v="4"/>
    <x v="9"/>
    <x v="19"/>
    <s v="SE3_large"/>
    <x v="19"/>
    <n v="8.1139884009941898"/>
    <n v="2.2538856669428302"/>
  </r>
  <r>
    <x v="0"/>
    <x v="4"/>
    <x v="9"/>
    <x v="19"/>
    <s v="SE3_large"/>
    <x v="20"/>
    <n v="19.336735244541"/>
    <n v="5.37131534570584"/>
  </r>
  <r>
    <x v="0"/>
    <x v="4"/>
    <x v="9"/>
    <x v="19"/>
    <s v="SE3_large"/>
    <x v="21"/>
    <n v="53.225806451612797"/>
    <n v="14.784946236559099"/>
  </r>
  <r>
    <x v="0"/>
    <x v="4"/>
    <x v="9"/>
    <x v="19"/>
    <s v="SE3_large"/>
    <x v="22"/>
    <n v="130.68"/>
    <n v="36.299999999999997"/>
  </r>
  <r>
    <x v="0"/>
    <x v="4"/>
    <x v="9"/>
    <x v="19"/>
    <s v="SE3_large"/>
    <x v="23"/>
    <n v="0.35278210439105201"/>
    <n v="9.7995028997514499E-2"/>
  </r>
  <r>
    <x v="0"/>
    <x v="4"/>
    <x v="9"/>
    <x v="19"/>
    <s v="SE3_large"/>
    <x v="24"/>
    <n v="20.0161025734538"/>
    <n v="5.5600284926260501"/>
  </r>
  <r>
    <x v="0"/>
    <x v="4"/>
    <x v="9"/>
    <x v="19"/>
    <s v="SE3_large"/>
    <x v="25"/>
    <n v="22.356874337357301"/>
    <n v="6.2102428714881297"/>
  </r>
  <r>
    <x v="0"/>
    <x v="4"/>
    <x v="9"/>
    <x v="19"/>
    <s v="SE3_large"/>
    <x v="26"/>
    <n v="29.6651032387655"/>
    <n v="8.2403064552126306"/>
  </r>
  <r>
    <x v="0"/>
    <x v="4"/>
    <x v="9"/>
    <x v="19"/>
    <s v="SE3_large"/>
    <x v="27"/>
    <n v="21.049332228666099"/>
    <n v="5.8470367301850299"/>
  </r>
  <r>
    <x v="0"/>
    <x v="4"/>
    <x v="9"/>
    <x v="19"/>
    <s v="SE3_medium"/>
    <x v="1"/>
    <n v="35.989199999999997"/>
    <n v="9.9969999999999999"/>
  </r>
  <r>
    <x v="0"/>
    <x v="4"/>
    <x v="9"/>
    <x v="19"/>
    <s v="SE3_medium"/>
    <x v="2"/>
    <n v="57.96"/>
    <n v="16.100000000000001"/>
  </r>
  <r>
    <x v="0"/>
    <x v="4"/>
    <x v="9"/>
    <x v="19"/>
    <s v="SE3_medium"/>
    <x v="0"/>
    <n v="42.692399999999999"/>
    <n v="11.859"/>
  </r>
  <r>
    <x v="0"/>
    <x v="4"/>
    <x v="9"/>
    <x v="19"/>
    <s v="SE3_medium"/>
    <x v="3"/>
    <n v="57.7974681027342"/>
    <n v="16.054852250759499"/>
  </r>
  <r>
    <x v="0"/>
    <x v="4"/>
    <x v="9"/>
    <x v="19"/>
    <s v="SE3_medium"/>
    <x v="4"/>
    <n v="8.1139884009941898"/>
    <n v="2.2538856669428302"/>
  </r>
  <r>
    <x v="0"/>
    <x v="4"/>
    <x v="9"/>
    <x v="19"/>
    <s v="SE3_medium"/>
    <x v="5"/>
    <n v="8.1139884009941898"/>
    <n v="2.2538856669428302"/>
  </r>
  <r>
    <x v="0"/>
    <x v="4"/>
    <x v="9"/>
    <x v="19"/>
    <s v="SE3_medium"/>
    <x v="6"/>
    <n v="30.770439105219602"/>
    <n v="8.5473441958943202"/>
  </r>
  <r>
    <x v="0"/>
    <x v="4"/>
    <x v="9"/>
    <x v="19"/>
    <s v="SE3_medium"/>
    <x v="7"/>
    <n v="71.350180613090302"/>
    <n v="19.819494614747299"/>
  </r>
  <r>
    <x v="0"/>
    <x v="4"/>
    <x v="9"/>
    <x v="19"/>
    <s v="SE3_medium"/>
    <x v="8"/>
    <n v="71.350180613090302"/>
    <n v="19.819494614747299"/>
  </r>
  <r>
    <x v="0"/>
    <x v="4"/>
    <x v="9"/>
    <x v="19"/>
    <s v="SE3_medium"/>
    <x v="9"/>
    <n v="44.803327257663497"/>
    <n v="12.4453686826843"/>
  </r>
  <r>
    <x v="0"/>
    <x v="4"/>
    <x v="9"/>
    <x v="19"/>
    <s v="SE3_medium"/>
    <x v="10"/>
    <n v="54.681226180612903"/>
    <n v="15.1892294946147"/>
  </r>
  <r>
    <x v="0"/>
    <x v="4"/>
    <x v="9"/>
    <x v="19"/>
    <s v="SE3_medium"/>
    <x v="11"/>
    <n v="3.8806031483015802"/>
    <n v="1.07794531897266"/>
  </r>
  <r>
    <x v="0"/>
    <x v="4"/>
    <x v="9"/>
    <x v="19"/>
    <s v="SE3_medium"/>
    <x v="12"/>
    <n v="9.7995028997514597E-2"/>
    <n v="2.72208413881985E-2"/>
  </r>
  <r>
    <x v="0"/>
    <x v="4"/>
    <x v="9"/>
    <x v="19"/>
    <s v="SE3_medium"/>
    <x v="13"/>
    <n v="21.5197083678542"/>
    <n v="5.9776967688483804"/>
  </r>
  <r>
    <x v="0"/>
    <x v="4"/>
    <x v="9"/>
    <x v="19"/>
    <s v="SE3_medium"/>
    <x v="14"/>
    <n v="21.5197083678542"/>
    <n v="5.9776967688483804"/>
  </r>
  <r>
    <x v="0"/>
    <x v="4"/>
    <x v="9"/>
    <x v="19"/>
    <s v="SE3_medium"/>
    <x v="15"/>
    <n v="1.65807589063794"/>
    <n v="0.46057663628831802"/>
  </r>
  <r>
    <x v="0"/>
    <x v="4"/>
    <x v="9"/>
    <x v="19"/>
    <s v="SE3_medium"/>
    <x v="16"/>
    <n v="8.3492014028755008"/>
    <n v="2.31922261190986"/>
  </r>
  <r>
    <x v="0"/>
    <x v="4"/>
    <x v="9"/>
    <x v="19"/>
    <s v="SE3_medium"/>
    <x v="17"/>
    <n v="9.5251168185584092"/>
    <n v="2.6458657829328902"/>
  </r>
  <r>
    <x v="0"/>
    <x v="4"/>
    <x v="9"/>
    <x v="19"/>
    <s v="SE3_medium"/>
    <x v="18"/>
    <n v="21.5197083678542"/>
    <n v="5.9776967688483804"/>
  </r>
  <r>
    <x v="0"/>
    <x v="4"/>
    <x v="9"/>
    <x v="19"/>
    <s v="SE3_medium"/>
    <x v="19"/>
    <n v="8.1139884009941898"/>
    <n v="2.2538856669428302"/>
  </r>
  <r>
    <x v="0"/>
    <x v="4"/>
    <x v="9"/>
    <x v="19"/>
    <s v="SE3_medium"/>
    <x v="20"/>
    <n v="19.336735244541"/>
    <n v="5.37131534570584"/>
  </r>
  <r>
    <x v="0"/>
    <x v="4"/>
    <x v="9"/>
    <x v="19"/>
    <s v="SE3_medium"/>
    <x v="21"/>
    <n v="53.225806451612797"/>
    <n v="14.784946236559099"/>
  </r>
  <r>
    <x v="0"/>
    <x v="4"/>
    <x v="9"/>
    <x v="19"/>
    <s v="SE3_medium"/>
    <x v="22"/>
    <n v="130.68"/>
    <n v="36.299999999999997"/>
  </r>
  <r>
    <x v="0"/>
    <x v="4"/>
    <x v="9"/>
    <x v="19"/>
    <s v="SE3_medium"/>
    <x v="23"/>
    <n v="0.35278210439105201"/>
    <n v="9.7995028997514499E-2"/>
  </r>
  <r>
    <x v="0"/>
    <x v="4"/>
    <x v="9"/>
    <x v="19"/>
    <s v="SE3_medium"/>
    <x v="24"/>
    <n v="20.0161025734538"/>
    <n v="5.5600284926260501"/>
  </r>
  <r>
    <x v="0"/>
    <x v="4"/>
    <x v="9"/>
    <x v="19"/>
    <s v="SE3_medium"/>
    <x v="25"/>
    <n v="22.356874337357301"/>
    <n v="6.2102428714881297"/>
  </r>
  <r>
    <x v="0"/>
    <x v="4"/>
    <x v="9"/>
    <x v="19"/>
    <s v="SE3_medium"/>
    <x v="26"/>
    <n v="29.6651032387655"/>
    <n v="8.2403064552126306"/>
  </r>
  <r>
    <x v="0"/>
    <x v="4"/>
    <x v="9"/>
    <x v="19"/>
    <s v="SE3_medium"/>
    <x v="27"/>
    <n v="21.049332228666099"/>
    <n v="5.8470367301850299"/>
  </r>
  <r>
    <x v="0"/>
    <x v="4"/>
    <x v="9"/>
    <x v="19"/>
    <s v="SE3_small"/>
    <x v="1"/>
    <n v="35.989199999999997"/>
    <n v="9.9969999999999999"/>
  </r>
  <r>
    <x v="0"/>
    <x v="4"/>
    <x v="9"/>
    <x v="19"/>
    <s v="SE3_small"/>
    <x v="2"/>
    <n v="57.96"/>
    <n v="16.100000000000001"/>
  </r>
  <r>
    <x v="0"/>
    <x v="4"/>
    <x v="9"/>
    <x v="19"/>
    <s v="SE3_small"/>
    <x v="0"/>
    <n v="42.692399999999999"/>
    <n v="11.859"/>
  </r>
  <r>
    <x v="0"/>
    <x v="4"/>
    <x v="9"/>
    <x v="19"/>
    <s v="SE3_small"/>
    <x v="3"/>
    <n v="57.7974681027342"/>
    <n v="16.054852250759499"/>
  </r>
  <r>
    <x v="0"/>
    <x v="4"/>
    <x v="9"/>
    <x v="19"/>
    <s v="SE3_small"/>
    <x v="4"/>
    <n v="8.1139884009941898"/>
    <n v="2.2538856669428302"/>
  </r>
  <r>
    <x v="0"/>
    <x v="4"/>
    <x v="9"/>
    <x v="19"/>
    <s v="SE3_small"/>
    <x v="5"/>
    <n v="8.1139884009941898"/>
    <n v="2.2538856669428302"/>
  </r>
  <r>
    <x v="0"/>
    <x v="4"/>
    <x v="9"/>
    <x v="19"/>
    <s v="SE3_small"/>
    <x v="6"/>
    <n v="30.770439105219602"/>
    <n v="8.5473441958943202"/>
  </r>
  <r>
    <x v="0"/>
    <x v="4"/>
    <x v="9"/>
    <x v="19"/>
    <s v="SE3_small"/>
    <x v="7"/>
    <n v="71.350180613090302"/>
    <n v="19.819494614747299"/>
  </r>
  <r>
    <x v="0"/>
    <x v="4"/>
    <x v="9"/>
    <x v="19"/>
    <s v="SE3_small"/>
    <x v="8"/>
    <n v="71.350180613090302"/>
    <n v="19.819494614747299"/>
  </r>
  <r>
    <x v="0"/>
    <x v="4"/>
    <x v="9"/>
    <x v="19"/>
    <s v="SE3_small"/>
    <x v="9"/>
    <n v="44.803327257663497"/>
    <n v="12.4453686826843"/>
  </r>
  <r>
    <x v="0"/>
    <x v="4"/>
    <x v="9"/>
    <x v="19"/>
    <s v="SE3_small"/>
    <x v="10"/>
    <n v="54.681226180612903"/>
    <n v="15.1892294946147"/>
  </r>
  <r>
    <x v="0"/>
    <x v="4"/>
    <x v="9"/>
    <x v="19"/>
    <s v="SE3_small"/>
    <x v="11"/>
    <n v="3.8806031483015802"/>
    <n v="1.07794531897266"/>
  </r>
  <r>
    <x v="0"/>
    <x v="4"/>
    <x v="9"/>
    <x v="19"/>
    <s v="SE3_small"/>
    <x v="12"/>
    <n v="9.7995028997514597E-2"/>
    <n v="2.72208413881985E-2"/>
  </r>
  <r>
    <x v="0"/>
    <x v="4"/>
    <x v="9"/>
    <x v="19"/>
    <s v="SE3_small"/>
    <x v="13"/>
    <n v="21.5197083678542"/>
    <n v="5.9776967688483804"/>
  </r>
  <r>
    <x v="0"/>
    <x v="4"/>
    <x v="9"/>
    <x v="19"/>
    <s v="SE3_small"/>
    <x v="14"/>
    <n v="21.5197083678542"/>
    <n v="5.9776967688483804"/>
  </r>
  <r>
    <x v="0"/>
    <x v="4"/>
    <x v="9"/>
    <x v="19"/>
    <s v="SE3_small"/>
    <x v="15"/>
    <n v="1.65807589063794"/>
    <n v="0.46057663628831802"/>
  </r>
  <r>
    <x v="0"/>
    <x v="4"/>
    <x v="9"/>
    <x v="19"/>
    <s v="SE3_small"/>
    <x v="16"/>
    <n v="8.3492014028755008"/>
    <n v="2.31922261190986"/>
  </r>
  <r>
    <x v="0"/>
    <x v="4"/>
    <x v="9"/>
    <x v="19"/>
    <s v="SE3_small"/>
    <x v="17"/>
    <n v="9.5251168185584092"/>
    <n v="2.6458657829328902"/>
  </r>
  <r>
    <x v="0"/>
    <x v="4"/>
    <x v="9"/>
    <x v="19"/>
    <s v="SE3_small"/>
    <x v="18"/>
    <n v="21.5197083678542"/>
    <n v="5.9776967688483804"/>
  </r>
  <r>
    <x v="0"/>
    <x v="4"/>
    <x v="9"/>
    <x v="19"/>
    <s v="SE3_small"/>
    <x v="19"/>
    <n v="8.1139884009941898"/>
    <n v="2.2538856669428302"/>
  </r>
  <r>
    <x v="0"/>
    <x v="4"/>
    <x v="9"/>
    <x v="19"/>
    <s v="SE3_small"/>
    <x v="20"/>
    <n v="19.336735244541"/>
    <n v="5.37131534570584"/>
  </r>
  <r>
    <x v="0"/>
    <x v="4"/>
    <x v="9"/>
    <x v="19"/>
    <s v="SE3_small"/>
    <x v="21"/>
    <n v="53.225806451612797"/>
    <n v="14.784946236559099"/>
  </r>
  <r>
    <x v="0"/>
    <x v="4"/>
    <x v="9"/>
    <x v="19"/>
    <s v="SE3_small"/>
    <x v="22"/>
    <n v="130.68"/>
    <n v="36.299999999999997"/>
  </r>
  <r>
    <x v="0"/>
    <x v="4"/>
    <x v="9"/>
    <x v="19"/>
    <s v="SE3_small"/>
    <x v="23"/>
    <n v="0.35278210439105201"/>
    <n v="9.7995028997514499E-2"/>
  </r>
  <r>
    <x v="0"/>
    <x v="4"/>
    <x v="9"/>
    <x v="19"/>
    <s v="SE3_small"/>
    <x v="24"/>
    <n v="20.0161025734538"/>
    <n v="5.5600284926260501"/>
  </r>
  <r>
    <x v="0"/>
    <x v="4"/>
    <x v="9"/>
    <x v="19"/>
    <s v="SE3_small"/>
    <x v="25"/>
    <n v="22.356874337357301"/>
    <n v="6.2102428714881297"/>
  </r>
  <r>
    <x v="0"/>
    <x v="4"/>
    <x v="9"/>
    <x v="19"/>
    <s v="SE3_small"/>
    <x v="26"/>
    <n v="29.6651032387655"/>
    <n v="8.2403064552126306"/>
  </r>
  <r>
    <x v="0"/>
    <x v="4"/>
    <x v="9"/>
    <x v="19"/>
    <s v="SE3_small"/>
    <x v="27"/>
    <n v="21.049332228666099"/>
    <n v="5.8470367301850299"/>
  </r>
  <r>
    <x v="0"/>
    <x v="4"/>
    <x v="9"/>
    <x v="20"/>
    <s v="SE4A"/>
    <x v="1"/>
    <n v="35.989199999999997"/>
    <n v="9.9969999999999999"/>
  </r>
  <r>
    <x v="0"/>
    <x v="4"/>
    <x v="9"/>
    <x v="20"/>
    <s v="SE4A"/>
    <x v="2"/>
    <n v="57.96"/>
    <n v="16.100000000000001"/>
  </r>
  <r>
    <x v="0"/>
    <x v="4"/>
    <x v="9"/>
    <x v="20"/>
    <s v="SE4A"/>
    <x v="0"/>
    <n v="42.692399999999999"/>
    <n v="11.859"/>
  </r>
  <r>
    <x v="0"/>
    <x v="4"/>
    <x v="9"/>
    <x v="20"/>
    <s v="SE4A"/>
    <x v="3"/>
    <n v="57.7974681027342"/>
    <n v="16.054852250759499"/>
  </r>
  <r>
    <x v="0"/>
    <x v="4"/>
    <x v="9"/>
    <x v="20"/>
    <s v="SE4A"/>
    <x v="4"/>
    <n v="8.1139884009941898"/>
    <n v="2.2538856669428302"/>
  </r>
  <r>
    <x v="0"/>
    <x v="4"/>
    <x v="9"/>
    <x v="20"/>
    <s v="SE4A"/>
    <x v="5"/>
    <n v="8.1139884009941898"/>
    <n v="2.2538856669428302"/>
  </r>
  <r>
    <x v="0"/>
    <x v="4"/>
    <x v="9"/>
    <x v="20"/>
    <s v="SE4A"/>
    <x v="6"/>
    <n v="30.770439105219602"/>
    <n v="8.5473441958943202"/>
  </r>
  <r>
    <x v="0"/>
    <x v="4"/>
    <x v="9"/>
    <x v="20"/>
    <s v="SE4A"/>
    <x v="7"/>
    <n v="71.350180613090302"/>
    <n v="19.819494614747299"/>
  </r>
  <r>
    <x v="0"/>
    <x v="4"/>
    <x v="9"/>
    <x v="20"/>
    <s v="SE4A"/>
    <x v="8"/>
    <n v="71.350180613090302"/>
    <n v="19.819494614747299"/>
  </r>
  <r>
    <x v="0"/>
    <x v="4"/>
    <x v="9"/>
    <x v="20"/>
    <s v="SE4A"/>
    <x v="9"/>
    <n v="44.803327257663497"/>
    <n v="12.4453686826843"/>
  </r>
  <r>
    <x v="0"/>
    <x v="4"/>
    <x v="9"/>
    <x v="20"/>
    <s v="SE4A"/>
    <x v="10"/>
    <n v="54.681226180612903"/>
    <n v="15.1892294946147"/>
  </r>
  <r>
    <x v="0"/>
    <x v="4"/>
    <x v="9"/>
    <x v="20"/>
    <s v="SE4A"/>
    <x v="11"/>
    <n v="3.8806031483015802"/>
    <n v="1.07794531897266"/>
  </r>
  <r>
    <x v="0"/>
    <x v="4"/>
    <x v="9"/>
    <x v="20"/>
    <s v="SE4A"/>
    <x v="12"/>
    <n v="9.7995028997514597E-2"/>
    <n v="2.72208413881985E-2"/>
  </r>
  <r>
    <x v="0"/>
    <x v="4"/>
    <x v="9"/>
    <x v="20"/>
    <s v="SE4A"/>
    <x v="13"/>
    <n v="21.5197083678542"/>
    <n v="5.9776967688483804"/>
  </r>
  <r>
    <x v="0"/>
    <x v="4"/>
    <x v="9"/>
    <x v="20"/>
    <s v="SE4A"/>
    <x v="14"/>
    <n v="21.5197083678542"/>
    <n v="5.9776967688483804"/>
  </r>
  <r>
    <x v="0"/>
    <x v="4"/>
    <x v="9"/>
    <x v="20"/>
    <s v="SE4A"/>
    <x v="15"/>
    <n v="1.65807589063794"/>
    <n v="0.46057663628831802"/>
  </r>
  <r>
    <x v="0"/>
    <x v="4"/>
    <x v="9"/>
    <x v="20"/>
    <s v="SE4A"/>
    <x v="16"/>
    <n v="8.3492014028755008"/>
    <n v="2.31922261190986"/>
  </r>
  <r>
    <x v="0"/>
    <x v="4"/>
    <x v="9"/>
    <x v="20"/>
    <s v="SE4A"/>
    <x v="17"/>
    <n v="9.5251168185584092"/>
    <n v="2.6458657829328902"/>
  </r>
  <r>
    <x v="0"/>
    <x v="4"/>
    <x v="9"/>
    <x v="20"/>
    <s v="SE4A"/>
    <x v="18"/>
    <n v="21.5197083678542"/>
    <n v="5.9776967688483804"/>
  </r>
  <r>
    <x v="0"/>
    <x v="4"/>
    <x v="9"/>
    <x v="20"/>
    <s v="SE4A"/>
    <x v="19"/>
    <n v="8.1139884009941898"/>
    <n v="2.2538856669428302"/>
  </r>
  <r>
    <x v="0"/>
    <x v="4"/>
    <x v="9"/>
    <x v="20"/>
    <s v="SE4A"/>
    <x v="20"/>
    <n v="19.336735244541"/>
    <n v="5.37131534570584"/>
  </r>
  <r>
    <x v="0"/>
    <x v="4"/>
    <x v="9"/>
    <x v="20"/>
    <s v="SE4A"/>
    <x v="21"/>
    <n v="53.225806451612797"/>
    <n v="14.784946236559099"/>
  </r>
  <r>
    <x v="0"/>
    <x v="4"/>
    <x v="9"/>
    <x v="20"/>
    <s v="SE4A"/>
    <x v="22"/>
    <n v="130.68"/>
    <n v="36.299999999999997"/>
  </r>
  <r>
    <x v="0"/>
    <x v="4"/>
    <x v="9"/>
    <x v="20"/>
    <s v="SE4A"/>
    <x v="23"/>
    <n v="0.35278210439105201"/>
    <n v="9.7995028997514499E-2"/>
  </r>
  <r>
    <x v="0"/>
    <x v="4"/>
    <x v="9"/>
    <x v="20"/>
    <s v="SE4A"/>
    <x v="24"/>
    <n v="20.0161025734538"/>
    <n v="5.5600284926260501"/>
  </r>
  <r>
    <x v="0"/>
    <x v="4"/>
    <x v="9"/>
    <x v="20"/>
    <s v="SE4A"/>
    <x v="25"/>
    <n v="22.356874337357301"/>
    <n v="6.2102428714881297"/>
  </r>
  <r>
    <x v="0"/>
    <x v="4"/>
    <x v="9"/>
    <x v="20"/>
    <s v="SE4A"/>
    <x v="26"/>
    <n v="29.6651032387655"/>
    <n v="8.2403064552126306"/>
  </r>
  <r>
    <x v="0"/>
    <x v="4"/>
    <x v="9"/>
    <x v="20"/>
    <s v="SE4A"/>
    <x v="27"/>
    <n v="21.049332228666099"/>
    <n v="5.8470367301850299"/>
  </r>
  <r>
    <x v="0"/>
    <x v="4"/>
    <x v="9"/>
    <x v="20"/>
    <s v="SE4_IND"/>
    <x v="1"/>
    <n v="35.989199999999997"/>
    <n v="9.9969999999999999"/>
  </r>
  <r>
    <x v="0"/>
    <x v="4"/>
    <x v="9"/>
    <x v="20"/>
    <s v="SE4_IND"/>
    <x v="2"/>
    <n v="57.96"/>
    <n v="16.100000000000001"/>
  </r>
  <r>
    <x v="0"/>
    <x v="4"/>
    <x v="9"/>
    <x v="20"/>
    <s v="SE4_IND"/>
    <x v="0"/>
    <n v="42.692399999999999"/>
    <n v="11.859"/>
  </r>
  <r>
    <x v="0"/>
    <x v="4"/>
    <x v="9"/>
    <x v="20"/>
    <s v="SE4_IND"/>
    <x v="3"/>
    <n v="57.7974681027342"/>
    <n v="16.054852250759499"/>
  </r>
  <r>
    <x v="0"/>
    <x v="4"/>
    <x v="9"/>
    <x v="20"/>
    <s v="SE4_IND"/>
    <x v="4"/>
    <n v="8.1139884009941898"/>
    <n v="2.2538856669428302"/>
  </r>
  <r>
    <x v="0"/>
    <x v="4"/>
    <x v="9"/>
    <x v="20"/>
    <s v="SE4_IND"/>
    <x v="5"/>
    <n v="8.1139884009941898"/>
    <n v="2.2538856669428302"/>
  </r>
  <r>
    <x v="0"/>
    <x v="4"/>
    <x v="9"/>
    <x v="20"/>
    <s v="SE4_IND"/>
    <x v="6"/>
    <n v="30.770439105219602"/>
    <n v="8.5473441958943202"/>
  </r>
  <r>
    <x v="0"/>
    <x v="4"/>
    <x v="9"/>
    <x v="20"/>
    <s v="SE4_IND"/>
    <x v="7"/>
    <n v="71.350180613090302"/>
    <n v="19.819494614747299"/>
  </r>
  <r>
    <x v="0"/>
    <x v="4"/>
    <x v="9"/>
    <x v="20"/>
    <s v="SE4_IND"/>
    <x v="8"/>
    <n v="71.350180613090302"/>
    <n v="19.819494614747299"/>
  </r>
  <r>
    <x v="0"/>
    <x v="4"/>
    <x v="9"/>
    <x v="20"/>
    <s v="SE4_IND"/>
    <x v="9"/>
    <n v="44.803327257663497"/>
    <n v="12.4453686826843"/>
  </r>
  <r>
    <x v="0"/>
    <x v="4"/>
    <x v="9"/>
    <x v="20"/>
    <s v="SE4_IND"/>
    <x v="10"/>
    <n v="54.681226180612903"/>
    <n v="15.1892294946147"/>
  </r>
  <r>
    <x v="0"/>
    <x v="4"/>
    <x v="9"/>
    <x v="20"/>
    <s v="SE4_IND"/>
    <x v="11"/>
    <n v="3.8806031483015802"/>
    <n v="1.07794531897266"/>
  </r>
  <r>
    <x v="0"/>
    <x v="4"/>
    <x v="9"/>
    <x v="20"/>
    <s v="SE4_IND"/>
    <x v="12"/>
    <n v="9.7995028997514597E-2"/>
    <n v="2.72208413881985E-2"/>
  </r>
  <r>
    <x v="0"/>
    <x v="4"/>
    <x v="9"/>
    <x v="20"/>
    <s v="SE4_IND"/>
    <x v="13"/>
    <n v="21.5197083678542"/>
    <n v="5.9776967688483804"/>
  </r>
  <r>
    <x v="0"/>
    <x v="4"/>
    <x v="9"/>
    <x v="20"/>
    <s v="SE4_IND"/>
    <x v="14"/>
    <n v="21.5197083678542"/>
    <n v="5.9776967688483804"/>
  </r>
  <r>
    <x v="0"/>
    <x v="4"/>
    <x v="9"/>
    <x v="20"/>
    <s v="SE4_IND"/>
    <x v="15"/>
    <n v="1.65807589063794"/>
    <n v="0.46057663628831802"/>
  </r>
  <r>
    <x v="0"/>
    <x v="4"/>
    <x v="9"/>
    <x v="20"/>
    <s v="SE4_IND"/>
    <x v="16"/>
    <n v="8.3492014028755008"/>
    <n v="2.31922261190986"/>
  </r>
  <r>
    <x v="0"/>
    <x v="4"/>
    <x v="9"/>
    <x v="20"/>
    <s v="SE4_IND"/>
    <x v="17"/>
    <n v="9.5251168185584092"/>
    <n v="2.6458657829328902"/>
  </r>
  <r>
    <x v="0"/>
    <x v="4"/>
    <x v="9"/>
    <x v="20"/>
    <s v="SE4_IND"/>
    <x v="18"/>
    <n v="21.5197083678542"/>
    <n v="5.9776967688483804"/>
  </r>
  <r>
    <x v="0"/>
    <x v="4"/>
    <x v="9"/>
    <x v="20"/>
    <s v="SE4_IND"/>
    <x v="19"/>
    <n v="8.1139884009941898"/>
    <n v="2.2538856669428302"/>
  </r>
  <r>
    <x v="0"/>
    <x v="4"/>
    <x v="9"/>
    <x v="20"/>
    <s v="SE4_IND"/>
    <x v="20"/>
    <n v="19.336735244541"/>
    <n v="5.37131534570584"/>
  </r>
  <r>
    <x v="0"/>
    <x v="4"/>
    <x v="9"/>
    <x v="20"/>
    <s v="SE4_IND"/>
    <x v="21"/>
    <n v="53.225806451612797"/>
    <n v="14.784946236559099"/>
  </r>
  <r>
    <x v="0"/>
    <x v="4"/>
    <x v="9"/>
    <x v="20"/>
    <s v="SE4_IND"/>
    <x v="22"/>
    <n v="130.68"/>
    <n v="36.299999999999997"/>
  </r>
  <r>
    <x v="0"/>
    <x v="4"/>
    <x v="9"/>
    <x v="20"/>
    <s v="SE4_IND"/>
    <x v="23"/>
    <n v="0.35278210439105201"/>
    <n v="9.7995028997514499E-2"/>
  </r>
  <r>
    <x v="0"/>
    <x v="4"/>
    <x v="9"/>
    <x v="20"/>
    <s v="SE4_IND"/>
    <x v="24"/>
    <n v="20.0161025734538"/>
    <n v="5.5600284926260501"/>
  </r>
  <r>
    <x v="0"/>
    <x v="4"/>
    <x v="9"/>
    <x v="20"/>
    <s v="SE4_IND"/>
    <x v="25"/>
    <n v="22.356874337357301"/>
    <n v="6.2102428714881297"/>
  </r>
  <r>
    <x v="0"/>
    <x v="4"/>
    <x v="9"/>
    <x v="20"/>
    <s v="SE4_IND"/>
    <x v="26"/>
    <n v="29.6651032387655"/>
    <n v="8.2403064552126306"/>
  </r>
  <r>
    <x v="0"/>
    <x v="4"/>
    <x v="9"/>
    <x v="20"/>
    <s v="SE4_IND"/>
    <x v="27"/>
    <n v="21.049332228666099"/>
    <n v="5.8470367301850299"/>
  </r>
  <r>
    <x v="0"/>
    <x v="4"/>
    <x v="9"/>
    <x v="20"/>
    <s v="SE4_Offshore"/>
    <x v="1"/>
    <n v="35.989199999999997"/>
    <n v="9.9969999999999999"/>
  </r>
  <r>
    <x v="0"/>
    <x v="4"/>
    <x v="9"/>
    <x v="20"/>
    <s v="SE4_Offshore"/>
    <x v="2"/>
    <n v="57.96"/>
    <n v="16.100000000000001"/>
  </r>
  <r>
    <x v="0"/>
    <x v="4"/>
    <x v="9"/>
    <x v="20"/>
    <s v="SE4_Offshore"/>
    <x v="0"/>
    <n v="42.692399999999999"/>
    <n v="11.859"/>
  </r>
  <r>
    <x v="0"/>
    <x v="4"/>
    <x v="9"/>
    <x v="20"/>
    <s v="SE4_Offshore"/>
    <x v="3"/>
    <n v="57.7974681027342"/>
    <n v="16.054852250759499"/>
  </r>
  <r>
    <x v="0"/>
    <x v="4"/>
    <x v="9"/>
    <x v="20"/>
    <s v="SE4_Offshore"/>
    <x v="4"/>
    <n v="8.1139884009941898"/>
    <n v="2.2538856669428302"/>
  </r>
  <r>
    <x v="0"/>
    <x v="4"/>
    <x v="9"/>
    <x v="20"/>
    <s v="SE4_Offshore"/>
    <x v="5"/>
    <n v="8.1139884009941898"/>
    <n v="2.2538856669428302"/>
  </r>
  <r>
    <x v="0"/>
    <x v="4"/>
    <x v="9"/>
    <x v="20"/>
    <s v="SE4_Offshore"/>
    <x v="6"/>
    <n v="30.770439105219602"/>
    <n v="8.5473441958943202"/>
  </r>
  <r>
    <x v="0"/>
    <x v="4"/>
    <x v="9"/>
    <x v="20"/>
    <s v="SE4_Offshore"/>
    <x v="7"/>
    <n v="71.350180613090302"/>
    <n v="19.819494614747299"/>
  </r>
  <r>
    <x v="0"/>
    <x v="4"/>
    <x v="9"/>
    <x v="20"/>
    <s v="SE4_Offshore"/>
    <x v="8"/>
    <n v="71.350180613090302"/>
    <n v="19.819494614747299"/>
  </r>
  <r>
    <x v="0"/>
    <x v="4"/>
    <x v="9"/>
    <x v="20"/>
    <s v="SE4_Offshore"/>
    <x v="9"/>
    <n v="44.803327257663497"/>
    <n v="12.4453686826843"/>
  </r>
  <r>
    <x v="0"/>
    <x v="4"/>
    <x v="9"/>
    <x v="20"/>
    <s v="SE4_Offshore"/>
    <x v="10"/>
    <n v="54.681226180612903"/>
    <n v="15.1892294946147"/>
  </r>
  <r>
    <x v="0"/>
    <x v="4"/>
    <x v="9"/>
    <x v="20"/>
    <s v="SE4_Offshore"/>
    <x v="11"/>
    <n v="3.8806031483015802"/>
    <n v="1.07794531897266"/>
  </r>
  <r>
    <x v="0"/>
    <x v="4"/>
    <x v="9"/>
    <x v="20"/>
    <s v="SE4_Offshore"/>
    <x v="12"/>
    <n v="9.7995028997514597E-2"/>
    <n v="2.72208413881985E-2"/>
  </r>
  <r>
    <x v="0"/>
    <x v="4"/>
    <x v="9"/>
    <x v="20"/>
    <s v="SE4_Offshore"/>
    <x v="13"/>
    <n v="21.5197083678542"/>
    <n v="5.9776967688483804"/>
  </r>
  <r>
    <x v="0"/>
    <x v="4"/>
    <x v="9"/>
    <x v="20"/>
    <s v="SE4_Offshore"/>
    <x v="14"/>
    <n v="21.5197083678542"/>
    <n v="5.9776967688483804"/>
  </r>
  <r>
    <x v="0"/>
    <x v="4"/>
    <x v="9"/>
    <x v="20"/>
    <s v="SE4_Offshore"/>
    <x v="15"/>
    <n v="1.65807589063794"/>
    <n v="0.46057663628831802"/>
  </r>
  <r>
    <x v="0"/>
    <x v="4"/>
    <x v="9"/>
    <x v="20"/>
    <s v="SE4_Offshore"/>
    <x v="16"/>
    <n v="8.3492014028755008"/>
    <n v="2.31922261190986"/>
  </r>
  <r>
    <x v="0"/>
    <x v="4"/>
    <x v="9"/>
    <x v="20"/>
    <s v="SE4_Offshore"/>
    <x v="17"/>
    <n v="9.5251168185584092"/>
    <n v="2.6458657829328902"/>
  </r>
  <r>
    <x v="0"/>
    <x v="4"/>
    <x v="9"/>
    <x v="20"/>
    <s v="SE4_Offshore"/>
    <x v="18"/>
    <n v="21.5197083678542"/>
    <n v="5.9776967688483804"/>
  </r>
  <r>
    <x v="0"/>
    <x v="4"/>
    <x v="9"/>
    <x v="20"/>
    <s v="SE4_Offshore"/>
    <x v="19"/>
    <n v="8.1139884009941898"/>
    <n v="2.2538856669428302"/>
  </r>
  <r>
    <x v="0"/>
    <x v="4"/>
    <x v="9"/>
    <x v="20"/>
    <s v="SE4_Offshore"/>
    <x v="20"/>
    <n v="19.336735244541"/>
    <n v="5.37131534570584"/>
  </r>
  <r>
    <x v="0"/>
    <x v="4"/>
    <x v="9"/>
    <x v="20"/>
    <s v="SE4_Offshore"/>
    <x v="21"/>
    <n v="53.225806451612797"/>
    <n v="14.784946236559099"/>
  </r>
  <r>
    <x v="0"/>
    <x v="4"/>
    <x v="9"/>
    <x v="20"/>
    <s v="SE4_Offshore"/>
    <x v="22"/>
    <n v="130.68"/>
    <n v="36.299999999999997"/>
  </r>
  <r>
    <x v="0"/>
    <x v="4"/>
    <x v="9"/>
    <x v="20"/>
    <s v="SE4_Offshore"/>
    <x v="23"/>
    <n v="0.35278210439105201"/>
    <n v="9.7995028997514499E-2"/>
  </r>
  <r>
    <x v="0"/>
    <x v="4"/>
    <x v="9"/>
    <x v="20"/>
    <s v="SE4_Offshore"/>
    <x v="24"/>
    <n v="20.0161025734538"/>
    <n v="5.5600284926260501"/>
  </r>
  <r>
    <x v="0"/>
    <x v="4"/>
    <x v="9"/>
    <x v="20"/>
    <s v="SE4_Offshore"/>
    <x v="25"/>
    <n v="22.356874337357301"/>
    <n v="6.2102428714881297"/>
  </r>
  <r>
    <x v="0"/>
    <x v="4"/>
    <x v="9"/>
    <x v="20"/>
    <s v="SE4_Offshore"/>
    <x v="26"/>
    <n v="29.6651032387655"/>
    <n v="8.2403064552126306"/>
  </r>
  <r>
    <x v="0"/>
    <x v="4"/>
    <x v="9"/>
    <x v="20"/>
    <s v="SE4_Offshore"/>
    <x v="27"/>
    <n v="21.049332228666099"/>
    <n v="5.8470367301850299"/>
  </r>
  <r>
    <x v="0"/>
    <x v="4"/>
    <x v="9"/>
    <x v="20"/>
    <s v="SE4_large"/>
    <x v="1"/>
    <n v="35.989199999999997"/>
    <n v="9.9969999999999999"/>
  </r>
  <r>
    <x v="0"/>
    <x v="4"/>
    <x v="9"/>
    <x v="20"/>
    <s v="SE4_large"/>
    <x v="2"/>
    <n v="57.96"/>
    <n v="16.100000000000001"/>
  </r>
  <r>
    <x v="0"/>
    <x v="4"/>
    <x v="9"/>
    <x v="20"/>
    <s v="SE4_large"/>
    <x v="0"/>
    <n v="42.692399999999999"/>
    <n v="11.859"/>
  </r>
  <r>
    <x v="0"/>
    <x v="4"/>
    <x v="9"/>
    <x v="20"/>
    <s v="SE4_large"/>
    <x v="3"/>
    <n v="57.7974681027342"/>
    <n v="16.054852250759499"/>
  </r>
  <r>
    <x v="0"/>
    <x v="4"/>
    <x v="9"/>
    <x v="20"/>
    <s v="SE4_large"/>
    <x v="4"/>
    <n v="8.1139884009941898"/>
    <n v="2.2538856669428302"/>
  </r>
  <r>
    <x v="0"/>
    <x v="4"/>
    <x v="9"/>
    <x v="20"/>
    <s v="SE4_large"/>
    <x v="5"/>
    <n v="8.1139884009941898"/>
    <n v="2.2538856669428302"/>
  </r>
  <r>
    <x v="0"/>
    <x v="4"/>
    <x v="9"/>
    <x v="20"/>
    <s v="SE4_large"/>
    <x v="6"/>
    <n v="30.770439105219602"/>
    <n v="8.5473441958943202"/>
  </r>
  <r>
    <x v="0"/>
    <x v="4"/>
    <x v="9"/>
    <x v="20"/>
    <s v="SE4_large"/>
    <x v="7"/>
    <n v="71.350180613090302"/>
    <n v="19.819494614747299"/>
  </r>
  <r>
    <x v="0"/>
    <x v="4"/>
    <x v="9"/>
    <x v="20"/>
    <s v="SE4_large"/>
    <x v="8"/>
    <n v="71.350180613090302"/>
    <n v="19.819494614747299"/>
  </r>
  <r>
    <x v="0"/>
    <x v="4"/>
    <x v="9"/>
    <x v="20"/>
    <s v="SE4_large"/>
    <x v="9"/>
    <n v="44.803327257663497"/>
    <n v="12.4453686826843"/>
  </r>
  <r>
    <x v="0"/>
    <x v="4"/>
    <x v="9"/>
    <x v="20"/>
    <s v="SE4_large"/>
    <x v="10"/>
    <n v="54.681226180612903"/>
    <n v="15.1892294946147"/>
  </r>
  <r>
    <x v="0"/>
    <x v="4"/>
    <x v="9"/>
    <x v="20"/>
    <s v="SE4_large"/>
    <x v="11"/>
    <n v="3.8806031483015802"/>
    <n v="1.07794531897266"/>
  </r>
  <r>
    <x v="0"/>
    <x v="4"/>
    <x v="9"/>
    <x v="20"/>
    <s v="SE4_large"/>
    <x v="12"/>
    <n v="9.7995028997514597E-2"/>
    <n v="2.72208413881985E-2"/>
  </r>
  <r>
    <x v="0"/>
    <x v="4"/>
    <x v="9"/>
    <x v="20"/>
    <s v="SE4_large"/>
    <x v="13"/>
    <n v="21.5197083678542"/>
    <n v="5.9776967688483804"/>
  </r>
  <r>
    <x v="0"/>
    <x v="4"/>
    <x v="9"/>
    <x v="20"/>
    <s v="SE4_large"/>
    <x v="14"/>
    <n v="21.5197083678542"/>
    <n v="5.9776967688483804"/>
  </r>
  <r>
    <x v="0"/>
    <x v="4"/>
    <x v="9"/>
    <x v="20"/>
    <s v="SE4_large"/>
    <x v="15"/>
    <n v="1.65807589063794"/>
    <n v="0.46057663628831802"/>
  </r>
  <r>
    <x v="0"/>
    <x v="4"/>
    <x v="9"/>
    <x v="20"/>
    <s v="SE4_large"/>
    <x v="16"/>
    <n v="8.3492014028755008"/>
    <n v="2.31922261190986"/>
  </r>
  <r>
    <x v="0"/>
    <x v="4"/>
    <x v="9"/>
    <x v="20"/>
    <s v="SE4_large"/>
    <x v="17"/>
    <n v="9.5251168185584092"/>
    <n v="2.6458657829328902"/>
  </r>
  <r>
    <x v="0"/>
    <x v="4"/>
    <x v="9"/>
    <x v="20"/>
    <s v="SE4_large"/>
    <x v="18"/>
    <n v="21.5197083678542"/>
    <n v="5.9776967688483804"/>
  </r>
  <r>
    <x v="0"/>
    <x v="4"/>
    <x v="9"/>
    <x v="20"/>
    <s v="SE4_large"/>
    <x v="19"/>
    <n v="8.1139884009941898"/>
    <n v="2.2538856669428302"/>
  </r>
  <r>
    <x v="0"/>
    <x v="4"/>
    <x v="9"/>
    <x v="20"/>
    <s v="SE4_large"/>
    <x v="20"/>
    <n v="19.336735244541"/>
    <n v="5.37131534570584"/>
  </r>
  <r>
    <x v="0"/>
    <x v="4"/>
    <x v="9"/>
    <x v="20"/>
    <s v="SE4_large"/>
    <x v="21"/>
    <n v="53.225806451612797"/>
    <n v="14.784946236559099"/>
  </r>
  <r>
    <x v="0"/>
    <x v="4"/>
    <x v="9"/>
    <x v="20"/>
    <s v="SE4_large"/>
    <x v="22"/>
    <n v="130.68"/>
    <n v="36.299999999999997"/>
  </r>
  <r>
    <x v="0"/>
    <x v="4"/>
    <x v="9"/>
    <x v="20"/>
    <s v="SE4_large"/>
    <x v="23"/>
    <n v="0.35278210439105201"/>
    <n v="9.7995028997514499E-2"/>
  </r>
  <r>
    <x v="0"/>
    <x v="4"/>
    <x v="9"/>
    <x v="20"/>
    <s v="SE4_large"/>
    <x v="24"/>
    <n v="20.0161025734538"/>
    <n v="5.5600284926260501"/>
  </r>
  <r>
    <x v="0"/>
    <x v="4"/>
    <x v="9"/>
    <x v="20"/>
    <s v="SE4_large"/>
    <x v="25"/>
    <n v="22.356874337357301"/>
    <n v="6.2102428714881297"/>
  </r>
  <r>
    <x v="0"/>
    <x v="4"/>
    <x v="9"/>
    <x v="20"/>
    <s v="SE4_large"/>
    <x v="26"/>
    <n v="29.6651032387655"/>
    <n v="8.2403064552126306"/>
  </r>
  <r>
    <x v="0"/>
    <x v="4"/>
    <x v="9"/>
    <x v="20"/>
    <s v="SE4_large"/>
    <x v="27"/>
    <n v="21.049332228666099"/>
    <n v="5.8470367301850299"/>
  </r>
  <r>
    <x v="0"/>
    <x v="4"/>
    <x v="9"/>
    <x v="20"/>
    <s v="SE4_medium"/>
    <x v="1"/>
    <n v="35.989199999999997"/>
    <n v="9.9969999999999999"/>
  </r>
  <r>
    <x v="0"/>
    <x v="4"/>
    <x v="9"/>
    <x v="20"/>
    <s v="SE4_medium"/>
    <x v="2"/>
    <n v="57.96"/>
    <n v="16.100000000000001"/>
  </r>
  <r>
    <x v="0"/>
    <x v="4"/>
    <x v="9"/>
    <x v="20"/>
    <s v="SE4_medium"/>
    <x v="0"/>
    <n v="42.692399999999999"/>
    <n v="11.859"/>
  </r>
  <r>
    <x v="0"/>
    <x v="4"/>
    <x v="9"/>
    <x v="20"/>
    <s v="SE4_medium"/>
    <x v="3"/>
    <n v="57.7974681027342"/>
    <n v="16.054852250759499"/>
  </r>
  <r>
    <x v="0"/>
    <x v="4"/>
    <x v="9"/>
    <x v="20"/>
    <s v="SE4_medium"/>
    <x v="4"/>
    <n v="8.1139884009941898"/>
    <n v="2.2538856669428302"/>
  </r>
  <r>
    <x v="0"/>
    <x v="4"/>
    <x v="9"/>
    <x v="20"/>
    <s v="SE4_medium"/>
    <x v="5"/>
    <n v="8.1139884009941898"/>
    <n v="2.2538856669428302"/>
  </r>
  <r>
    <x v="0"/>
    <x v="4"/>
    <x v="9"/>
    <x v="20"/>
    <s v="SE4_medium"/>
    <x v="6"/>
    <n v="30.770439105219602"/>
    <n v="8.5473441958943202"/>
  </r>
  <r>
    <x v="0"/>
    <x v="4"/>
    <x v="9"/>
    <x v="20"/>
    <s v="SE4_medium"/>
    <x v="7"/>
    <n v="71.350180613090302"/>
    <n v="19.819494614747299"/>
  </r>
  <r>
    <x v="0"/>
    <x v="4"/>
    <x v="9"/>
    <x v="20"/>
    <s v="SE4_medium"/>
    <x v="8"/>
    <n v="71.350180613090302"/>
    <n v="19.819494614747299"/>
  </r>
  <r>
    <x v="0"/>
    <x v="4"/>
    <x v="9"/>
    <x v="20"/>
    <s v="SE4_medium"/>
    <x v="9"/>
    <n v="44.803327257663497"/>
    <n v="12.4453686826843"/>
  </r>
  <r>
    <x v="0"/>
    <x v="4"/>
    <x v="9"/>
    <x v="20"/>
    <s v="SE4_medium"/>
    <x v="10"/>
    <n v="54.681226180612903"/>
    <n v="15.1892294946147"/>
  </r>
  <r>
    <x v="0"/>
    <x v="4"/>
    <x v="9"/>
    <x v="20"/>
    <s v="SE4_medium"/>
    <x v="11"/>
    <n v="3.8806031483015802"/>
    <n v="1.07794531897266"/>
  </r>
  <r>
    <x v="0"/>
    <x v="4"/>
    <x v="9"/>
    <x v="20"/>
    <s v="SE4_medium"/>
    <x v="12"/>
    <n v="9.7995028997514597E-2"/>
    <n v="2.72208413881985E-2"/>
  </r>
  <r>
    <x v="0"/>
    <x v="4"/>
    <x v="9"/>
    <x v="20"/>
    <s v="SE4_medium"/>
    <x v="13"/>
    <n v="21.5197083678542"/>
    <n v="5.9776967688483804"/>
  </r>
  <r>
    <x v="0"/>
    <x v="4"/>
    <x v="9"/>
    <x v="20"/>
    <s v="SE4_medium"/>
    <x v="14"/>
    <n v="21.5197083678542"/>
    <n v="5.9776967688483804"/>
  </r>
  <r>
    <x v="0"/>
    <x v="4"/>
    <x v="9"/>
    <x v="20"/>
    <s v="SE4_medium"/>
    <x v="15"/>
    <n v="1.65807589063794"/>
    <n v="0.46057663628831802"/>
  </r>
  <r>
    <x v="0"/>
    <x v="4"/>
    <x v="9"/>
    <x v="20"/>
    <s v="SE4_medium"/>
    <x v="16"/>
    <n v="8.3492014028755008"/>
    <n v="2.31922261190986"/>
  </r>
  <r>
    <x v="0"/>
    <x v="4"/>
    <x v="9"/>
    <x v="20"/>
    <s v="SE4_medium"/>
    <x v="17"/>
    <n v="9.5251168185584092"/>
    <n v="2.6458657829328902"/>
  </r>
  <r>
    <x v="0"/>
    <x v="4"/>
    <x v="9"/>
    <x v="20"/>
    <s v="SE4_medium"/>
    <x v="18"/>
    <n v="21.5197083678542"/>
    <n v="5.9776967688483804"/>
  </r>
  <r>
    <x v="0"/>
    <x v="4"/>
    <x v="9"/>
    <x v="20"/>
    <s v="SE4_medium"/>
    <x v="19"/>
    <n v="8.1139884009941898"/>
    <n v="2.2538856669428302"/>
  </r>
  <r>
    <x v="0"/>
    <x v="4"/>
    <x v="9"/>
    <x v="20"/>
    <s v="SE4_medium"/>
    <x v="20"/>
    <n v="19.336735244541"/>
    <n v="5.37131534570584"/>
  </r>
  <r>
    <x v="0"/>
    <x v="4"/>
    <x v="9"/>
    <x v="20"/>
    <s v="SE4_medium"/>
    <x v="21"/>
    <n v="53.225806451612797"/>
    <n v="14.784946236559099"/>
  </r>
  <r>
    <x v="0"/>
    <x v="4"/>
    <x v="9"/>
    <x v="20"/>
    <s v="SE4_medium"/>
    <x v="22"/>
    <n v="130.68"/>
    <n v="36.299999999999997"/>
  </r>
  <r>
    <x v="0"/>
    <x v="4"/>
    <x v="9"/>
    <x v="20"/>
    <s v="SE4_medium"/>
    <x v="23"/>
    <n v="0.35278210439105201"/>
    <n v="9.7995028997514499E-2"/>
  </r>
  <r>
    <x v="0"/>
    <x v="4"/>
    <x v="9"/>
    <x v="20"/>
    <s v="SE4_medium"/>
    <x v="24"/>
    <n v="20.0161025734538"/>
    <n v="5.5600284926260501"/>
  </r>
  <r>
    <x v="0"/>
    <x v="4"/>
    <x v="9"/>
    <x v="20"/>
    <s v="SE4_medium"/>
    <x v="25"/>
    <n v="22.356874337357301"/>
    <n v="6.2102428714881297"/>
  </r>
  <r>
    <x v="0"/>
    <x v="4"/>
    <x v="9"/>
    <x v="20"/>
    <s v="SE4_medium"/>
    <x v="26"/>
    <n v="29.6651032387655"/>
    <n v="8.2403064552126306"/>
  </r>
  <r>
    <x v="0"/>
    <x v="4"/>
    <x v="9"/>
    <x v="20"/>
    <s v="SE4_medium"/>
    <x v="27"/>
    <n v="21.049332228666099"/>
    <n v="5.8470367301850299"/>
  </r>
  <r>
    <x v="0"/>
    <x v="4"/>
    <x v="9"/>
    <x v="20"/>
    <s v="SE4_small"/>
    <x v="1"/>
    <n v="35.989199999999997"/>
    <n v="9.9969999999999999"/>
  </r>
  <r>
    <x v="0"/>
    <x v="4"/>
    <x v="9"/>
    <x v="20"/>
    <s v="SE4_small"/>
    <x v="2"/>
    <n v="57.96"/>
    <n v="16.100000000000001"/>
  </r>
  <r>
    <x v="0"/>
    <x v="4"/>
    <x v="9"/>
    <x v="20"/>
    <s v="SE4_small"/>
    <x v="0"/>
    <n v="42.692399999999999"/>
    <n v="11.859"/>
  </r>
  <r>
    <x v="0"/>
    <x v="4"/>
    <x v="9"/>
    <x v="20"/>
    <s v="SE4_small"/>
    <x v="3"/>
    <n v="57.7974681027342"/>
    <n v="16.054852250759499"/>
  </r>
  <r>
    <x v="0"/>
    <x v="4"/>
    <x v="9"/>
    <x v="20"/>
    <s v="SE4_small"/>
    <x v="4"/>
    <n v="8.1139884009941898"/>
    <n v="2.2538856669428302"/>
  </r>
  <r>
    <x v="0"/>
    <x v="4"/>
    <x v="9"/>
    <x v="20"/>
    <s v="SE4_small"/>
    <x v="5"/>
    <n v="8.1139884009941898"/>
    <n v="2.2538856669428302"/>
  </r>
  <r>
    <x v="0"/>
    <x v="4"/>
    <x v="9"/>
    <x v="20"/>
    <s v="SE4_small"/>
    <x v="6"/>
    <n v="30.770439105219602"/>
    <n v="8.5473441958943202"/>
  </r>
  <r>
    <x v="0"/>
    <x v="4"/>
    <x v="9"/>
    <x v="20"/>
    <s v="SE4_small"/>
    <x v="7"/>
    <n v="71.350180613090302"/>
    <n v="19.819494614747299"/>
  </r>
  <r>
    <x v="0"/>
    <x v="4"/>
    <x v="9"/>
    <x v="20"/>
    <s v="SE4_small"/>
    <x v="8"/>
    <n v="71.350180613090302"/>
    <n v="19.819494614747299"/>
  </r>
  <r>
    <x v="0"/>
    <x v="4"/>
    <x v="9"/>
    <x v="20"/>
    <s v="SE4_small"/>
    <x v="9"/>
    <n v="44.803327257663497"/>
    <n v="12.4453686826843"/>
  </r>
  <r>
    <x v="0"/>
    <x v="4"/>
    <x v="9"/>
    <x v="20"/>
    <s v="SE4_small"/>
    <x v="10"/>
    <n v="54.681226180612903"/>
    <n v="15.1892294946147"/>
  </r>
  <r>
    <x v="0"/>
    <x v="4"/>
    <x v="9"/>
    <x v="20"/>
    <s v="SE4_small"/>
    <x v="11"/>
    <n v="3.8806031483015802"/>
    <n v="1.07794531897266"/>
  </r>
  <r>
    <x v="0"/>
    <x v="4"/>
    <x v="9"/>
    <x v="20"/>
    <s v="SE4_small"/>
    <x v="12"/>
    <n v="9.7995028997514597E-2"/>
    <n v="2.72208413881985E-2"/>
  </r>
  <r>
    <x v="0"/>
    <x v="4"/>
    <x v="9"/>
    <x v="20"/>
    <s v="SE4_small"/>
    <x v="13"/>
    <n v="21.5197083678542"/>
    <n v="5.9776967688483804"/>
  </r>
  <r>
    <x v="0"/>
    <x v="4"/>
    <x v="9"/>
    <x v="20"/>
    <s v="SE4_small"/>
    <x v="14"/>
    <n v="21.5197083678542"/>
    <n v="5.9776967688483804"/>
  </r>
  <r>
    <x v="0"/>
    <x v="4"/>
    <x v="9"/>
    <x v="20"/>
    <s v="SE4_small"/>
    <x v="15"/>
    <n v="1.65807589063794"/>
    <n v="0.46057663628831802"/>
  </r>
  <r>
    <x v="0"/>
    <x v="4"/>
    <x v="9"/>
    <x v="20"/>
    <s v="SE4_small"/>
    <x v="16"/>
    <n v="8.3492014028755008"/>
    <n v="2.31922261190986"/>
  </r>
  <r>
    <x v="0"/>
    <x v="4"/>
    <x v="9"/>
    <x v="20"/>
    <s v="SE4_small"/>
    <x v="17"/>
    <n v="9.5251168185584092"/>
    <n v="2.6458657829328902"/>
  </r>
  <r>
    <x v="0"/>
    <x v="4"/>
    <x v="9"/>
    <x v="20"/>
    <s v="SE4_small"/>
    <x v="18"/>
    <n v="21.5197083678542"/>
    <n v="5.9776967688483804"/>
  </r>
  <r>
    <x v="0"/>
    <x v="4"/>
    <x v="9"/>
    <x v="20"/>
    <s v="SE4_small"/>
    <x v="19"/>
    <n v="8.1139884009941898"/>
    <n v="2.2538856669428302"/>
  </r>
  <r>
    <x v="0"/>
    <x v="4"/>
    <x v="9"/>
    <x v="20"/>
    <s v="SE4_small"/>
    <x v="20"/>
    <n v="19.336735244541"/>
    <n v="5.37131534570584"/>
  </r>
  <r>
    <x v="0"/>
    <x v="4"/>
    <x v="9"/>
    <x v="20"/>
    <s v="SE4_small"/>
    <x v="21"/>
    <n v="53.225806451612797"/>
    <n v="14.784946236559099"/>
  </r>
  <r>
    <x v="0"/>
    <x v="4"/>
    <x v="9"/>
    <x v="20"/>
    <s v="SE4_small"/>
    <x v="22"/>
    <n v="130.68"/>
    <n v="36.299999999999997"/>
  </r>
  <r>
    <x v="0"/>
    <x v="4"/>
    <x v="9"/>
    <x v="20"/>
    <s v="SE4_small"/>
    <x v="23"/>
    <n v="0.35278210439105201"/>
    <n v="9.7995028997514499E-2"/>
  </r>
  <r>
    <x v="0"/>
    <x v="4"/>
    <x v="9"/>
    <x v="20"/>
    <s v="SE4_small"/>
    <x v="24"/>
    <n v="20.0161025734538"/>
    <n v="5.5600284926260501"/>
  </r>
  <r>
    <x v="0"/>
    <x v="4"/>
    <x v="9"/>
    <x v="20"/>
    <s v="SE4_small"/>
    <x v="25"/>
    <n v="22.356874337357301"/>
    <n v="6.2102428714881297"/>
  </r>
  <r>
    <x v="0"/>
    <x v="4"/>
    <x v="9"/>
    <x v="20"/>
    <s v="SE4_small"/>
    <x v="26"/>
    <n v="29.6651032387655"/>
    <n v="8.2403064552126306"/>
  </r>
  <r>
    <x v="0"/>
    <x v="4"/>
    <x v="9"/>
    <x v="20"/>
    <s v="SE4_small"/>
    <x v="27"/>
    <n v="21.049332228666099"/>
    <n v="5.8470367301850299"/>
  </r>
  <r>
    <x v="0"/>
    <x v="4"/>
    <x v="10"/>
    <x v="21"/>
    <s v="UK_A"/>
    <x v="1"/>
    <n v="35.989199999999997"/>
    <n v="9.9969999999999999"/>
  </r>
  <r>
    <x v="0"/>
    <x v="4"/>
    <x v="10"/>
    <x v="21"/>
    <s v="UK_A"/>
    <x v="2"/>
    <n v="57.96"/>
    <n v="16.100000000000001"/>
  </r>
  <r>
    <x v="0"/>
    <x v="4"/>
    <x v="10"/>
    <x v="21"/>
    <s v="UK_A"/>
    <x v="0"/>
    <n v="42.692399999999999"/>
    <n v="11.859"/>
  </r>
  <r>
    <x v="0"/>
    <x v="4"/>
    <x v="10"/>
    <x v="21"/>
    <s v="UK_A"/>
    <x v="3"/>
    <n v="57.7974681027342"/>
    <n v="16.054852250759499"/>
  </r>
  <r>
    <x v="0"/>
    <x v="4"/>
    <x v="10"/>
    <x v="21"/>
    <s v="UK_A"/>
    <x v="4"/>
    <n v="8.1139884009941898"/>
    <n v="2.2538856669428302"/>
  </r>
  <r>
    <x v="0"/>
    <x v="4"/>
    <x v="10"/>
    <x v="21"/>
    <s v="UK_A"/>
    <x v="5"/>
    <n v="8.1139884009941898"/>
    <n v="2.2538856669428302"/>
  </r>
  <r>
    <x v="0"/>
    <x v="4"/>
    <x v="10"/>
    <x v="21"/>
    <s v="UK_A"/>
    <x v="6"/>
    <n v="30.770439105219602"/>
    <n v="8.5473441958943202"/>
  </r>
  <r>
    <x v="0"/>
    <x v="4"/>
    <x v="10"/>
    <x v="21"/>
    <s v="UK_A"/>
    <x v="7"/>
    <n v="71.350180613090302"/>
    <n v="19.819494614747299"/>
  </r>
  <r>
    <x v="0"/>
    <x v="4"/>
    <x v="10"/>
    <x v="21"/>
    <s v="UK_A"/>
    <x v="8"/>
    <n v="71.350180613090302"/>
    <n v="19.819494614747299"/>
  </r>
  <r>
    <x v="0"/>
    <x v="4"/>
    <x v="10"/>
    <x v="21"/>
    <s v="UK_A"/>
    <x v="9"/>
    <n v="44.803327257663497"/>
    <n v="12.4453686826843"/>
  </r>
  <r>
    <x v="0"/>
    <x v="4"/>
    <x v="10"/>
    <x v="21"/>
    <s v="UK_A"/>
    <x v="10"/>
    <n v="54.681226180612903"/>
    <n v="15.1892294946147"/>
  </r>
  <r>
    <x v="0"/>
    <x v="4"/>
    <x v="10"/>
    <x v="21"/>
    <s v="UK_A"/>
    <x v="11"/>
    <n v="3.8806031483015802"/>
    <n v="1.07794531897266"/>
  </r>
  <r>
    <x v="0"/>
    <x v="4"/>
    <x v="10"/>
    <x v="21"/>
    <s v="UK_A"/>
    <x v="12"/>
    <n v="9.7995028997514597E-2"/>
    <n v="2.72208413881985E-2"/>
  </r>
  <r>
    <x v="0"/>
    <x v="4"/>
    <x v="10"/>
    <x v="21"/>
    <s v="UK_A"/>
    <x v="13"/>
    <n v="21.5197083678542"/>
    <n v="5.9776967688483804"/>
  </r>
  <r>
    <x v="0"/>
    <x v="4"/>
    <x v="10"/>
    <x v="21"/>
    <s v="UK_A"/>
    <x v="14"/>
    <n v="21.5197083678542"/>
    <n v="5.9776967688483804"/>
  </r>
  <r>
    <x v="0"/>
    <x v="4"/>
    <x v="10"/>
    <x v="21"/>
    <s v="UK_A"/>
    <x v="15"/>
    <n v="1.65807589063794"/>
    <n v="0.46057663628831802"/>
  </r>
  <r>
    <x v="0"/>
    <x v="4"/>
    <x v="10"/>
    <x v="21"/>
    <s v="UK_A"/>
    <x v="16"/>
    <n v="8.3492014028755008"/>
    <n v="2.31922261190986"/>
  </r>
  <r>
    <x v="0"/>
    <x v="4"/>
    <x v="10"/>
    <x v="21"/>
    <s v="UK_A"/>
    <x v="17"/>
    <n v="9.5251168185584092"/>
    <n v="2.6458657829328902"/>
  </r>
  <r>
    <x v="0"/>
    <x v="4"/>
    <x v="10"/>
    <x v="21"/>
    <s v="UK_A"/>
    <x v="18"/>
    <n v="21.5197083678542"/>
    <n v="5.9776967688483804"/>
  </r>
  <r>
    <x v="0"/>
    <x v="4"/>
    <x v="10"/>
    <x v="21"/>
    <s v="UK_A"/>
    <x v="19"/>
    <n v="8.1139884009941898"/>
    <n v="2.2538856669428302"/>
  </r>
  <r>
    <x v="0"/>
    <x v="4"/>
    <x v="10"/>
    <x v="21"/>
    <s v="UK_A"/>
    <x v="20"/>
    <n v="19.336735244541"/>
    <n v="5.37131534570584"/>
  </r>
  <r>
    <x v="0"/>
    <x v="4"/>
    <x v="10"/>
    <x v="21"/>
    <s v="UK_A"/>
    <x v="21"/>
    <n v="53.225806451612797"/>
    <n v="14.784946236559099"/>
  </r>
  <r>
    <x v="0"/>
    <x v="4"/>
    <x v="10"/>
    <x v="21"/>
    <s v="UK_A"/>
    <x v="22"/>
    <n v="130.68"/>
    <n v="36.299999999999997"/>
  </r>
  <r>
    <x v="0"/>
    <x v="4"/>
    <x v="10"/>
    <x v="21"/>
    <s v="UK_A"/>
    <x v="23"/>
    <n v="0.35278210439105201"/>
    <n v="9.7995028997514499E-2"/>
  </r>
  <r>
    <x v="0"/>
    <x v="4"/>
    <x v="10"/>
    <x v="21"/>
    <s v="UK_A"/>
    <x v="24"/>
    <n v="20.0161025734538"/>
    <n v="5.5600284926260501"/>
  </r>
  <r>
    <x v="0"/>
    <x v="4"/>
    <x v="10"/>
    <x v="21"/>
    <s v="UK_A"/>
    <x v="25"/>
    <n v="22.356874337357301"/>
    <n v="6.2102428714881297"/>
  </r>
  <r>
    <x v="0"/>
    <x v="4"/>
    <x v="10"/>
    <x v="21"/>
    <s v="UK_A"/>
    <x v="26"/>
    <n v="29.6651032387655"/>
    <n v="8.2403064552126306"/>
  </r>
  <r>
    <x v="0"/>
    <x v="4"/>
    <x v="10"/>
    <x v="21"/>
    <s v="UK_A"/>
    <x v="27"/>
    <n v="21.049332228666099"/>
    <n v="5.8470367301850299"/>
  </r>
  <r>
    <x v="0"/>
    <x v="4"/>
    <x v="10"/>
    <x v="21"/>
    <s v="UK_Offshore"/>
    <x v="1"/>
    <n v="35.989199999999997"/>
    <n v="9.9969999999999999"/>
  </r>
  <r>
    <x v="0"/>
    <x v="4"/>
    <x v="10"/>
    <x v="21"/>
    <s v="UK_Offshore"/>
    <x v="2"/>
    <n v="57.96"/>
    <n v="16.100000000000001"/>
  </r>
  <r>
    <x v="0"/>
    <x v="4"/>
    <x v="10"/>
    <x v="21"/>
    <s v="UK_Offshore"/>
    <x v="0"/>
    <n v="42.692399999999999"/>
    <n v="11.859"/>
  </r>
  <r>
    <x v="0"/>
    <x v="4"/>
    <x v="10"/>
    <x v="21"/>
    <s v="UK_Offshore"/>
    <x v="3"/>
    <n v="57.7974681027342"/>
    <n v="16.054852250759499"/>
  </r>
  <r>
    <x v="0"/>
    <x v="4"/>
    <x v="10"/>
    <x v="21"/>
    <s v="UK_Offshore"/>
    <x v="4"/>
    <n v="8.1139884009941898"/>
    <n v="2.2538856669428302"/>
  </r>
  <r>
    <x v="0"/>
    <x v="4"/>
    <x v="10"/>
    <x v="21"/>
    <s v="UK_Offshore"/>
    <x v="5"/>
    <n v="8.1139884009941898"/>
    <n v="2.2538856669428302"/>
  </r>
  <r>
    <x v="0"/>
    <x v="4"/>
    <x v="10"/>
    <x v="21"/>
    <s v="UK_Offshore"/>
    <x v="6"/>
    <n v="30.770439105219602"/>
    <n v="8.5473441958943202"/>
  </r>
  <r>
    <x v="0"/>
    <x v="4"/>
    <x v="10"/>
    <x v="21"/>
    <s v="UK_Offshore"/>
    <x v="7"/>
    <n v="71.350180613090302"/>
    <n v="19.819494614747299"/>
  </r>
  <r>
    <x v="0"/>
    <x v="4"/>
    <x v="10"/>
    <x v="21"/>
    <s v="UK_Offshore"/>
    <x v="8"/>
    <n v="71.350180613090302"/>
    <n v="19.819494614747299"/>
  </r>
  <r>
    <x v="0"/>
    <x v="4"/>
    <x v="10"/>
    <x v="21"/>
    <s v="UK_Offshore"/>
    <x v="9"/>
    <n v="44.803327257663497"/>
    <n v="12.4453686826843"/>
  </r>
  <r>
    <x v="0"/>
    <x v="4"/>
    <x v="10"/>
    <x v="21"/>
    <s v="UK_Offshore"/>
    <x v="10"/>
    <n v="54.681226180612903"/>
    <n v="15.1892294946147"/>
  </r>
  <r>
    <x v="0"/>
    <x v="4"/>
    <x v="10"/>
    <x v="21"/>
    <s v="UK_Offshore"/>
    <x v="11"/>
    <n v="3.8806031483015802"/>
    <n v="1.07794531897266"/>
  </r>
  <r>
    <x v="0"/>
    <x v="4"/>
    <x v="10"/>
    <x v="21"/>
    <s v="UK_Offshore"/>
    <x v="12"/>
    <n v="9.7995028997514597E-2"/>
    <n v="2.72208413881985E-2"/>
  </r>
  <r>
    <x v="0"/>
    <x v="4"/>
    <x v="10"/>
    <x v="21"/>
    <s v="UK_Offshore"/>
    <x v="13"/>
    <n v="21.5197083678542"/>
    <n v="5.9776967688483804"/>
  </r>
  <r>
    <x v="0"/>
    <x v="4"/>
    <x v="10"/>
    <x v="21"/>
    <s v="UK_Offshore"/>
    <x v="14"/>
    <n v="21.5197083678542"/>
    <n v="5.9776967688483804"/>
  </r>
  <r>
    <x v="0"/>
    <x v="4"/>
    <x v="10"/>
    <x v="21"/>
    <s v="UK_Offshore"/>
    <x v="15"/>
    <n v="1.65807589063794"/>
    <n v="0.46057663628831802"/>
  </r>
  <r>
    <x v="0"/>
    <x v="4"/>
    <x v="10"/>
    <x v="21"/>
    <s v="UK_Offshore"/>
    <x v="16"/>
    <n v="8.3492014028755008"/>
    <n v="2.31922261190986"/>
  </r>
  <r>
    <x v="0"/>
    <x v="4"/>
    <x v="10"/>
    <x v="21"/>
    <s v="UK_Offshore"/>
    <x v="17"/>
    <n v="9.5251168185584092"/>
    <n v="2.6458657829328902"/>
  </r>
  <r>
    <x v="0"/>
    <x v="4"/>
    <x v="10"/>
    <x v="21"/>
    <s v="UK_Offshore"/>
    <x v="18"/>
    <n v="21.5197083678542"/>
    <n v="5.9776967688483804"/>
  </r>
  <r>
    <x v="0"/>
    <x v="4"/>
    <x v="10"/>
    <x v="21"/>
    <s v="UK_Offshore"/>
    <x v="19"/>
    <n v="8.1139884009941898"/>
    <n v="2.2538856669428302"/>
  </r>
  <r>
    <x v="0"/>
    <x v="4"/>
    <x v="10"/>
    <x v="21"/>
    <s v="UK_Offshore"/>
    <x v="20"/>
    <n v="19.336735244541"/>
    <n v="5.37131534570584"/>
  </r>
  <r>
    <x v="0"/>
    <x v="4"/>
    <x v="10"/>
    <x v="21"/>
    <s v="UK_Offshore"/>
    <x v="21"/>
    <n v="53.225806451612797"/>
    <n v="14.784946236559099"/>
  </r>
  <r>
    <x v="0"/>
    <x v="4"/>
    <x v="10"/>
    <x v="21"/>
    <s v="UK_Offshore"/>
    <x v="22"/>
    <n v="130.68"/>
    <n v="36.299999999999997"/>
  </r>
  <r>
    <x v="0"/>
    <x v="4"/>
    <x v="10"/>
    <x v="21"/>
    <s v="UK_Offshore"/>
    <x v="23"/>
    <n v="0.35278210439105201"/>
    <n v="9.7995028997514499E-2"/>
  </r>
  <r>
    <x v="0"/>
    <x v="4"/>
    <x v="10"/>
    <x v="21"/>
    <s v="UK_Offshore"/>
    <x v="24"/>
    <n v="20.0161025734538"/>
    <n v="5.5600284926260501"/>
  </r>
  <r>
    <x v="0"/>
    <x v="4"/>
    <x v="10"/>
    <x v="21"/>
    <s v="UK_Offshore"/>
    <x v="25"/>
    <n v="22.356874337357301"/>
    <n v="6.2102428714881297"/>
  </r>
  <r>
    <x v="0"/>
    <x v="4"/>
    <x v="10"/>
    <x v="21"/>
    <s v="UK_Offshore"/>
    <x v="26"/>
    <n v="29.6651032387655"/>
    <n v="8.2403064552126306"/>
  </r>
  <r>
    <x v="0"/>
    <x v="4"/>
    <x v="10"/>
    <x v="21"/>
    <s v="UK_Offshore"/>
    <x v="27"/>
    <n v="21.049332228666099"/>
    <n v="5.8470367301850299"/>
  </r>
  <r>
    <x v="0"/>
    <x v="5"/>
    <x v="0"/>
    <x v="0"/>
    <s v="DK1_Large"/>
    <x v="2"/>
    <n v="57.96"/>
    <n v="16.100000000000001"/>
  </r>
  <r>
    <x v="0"/>
    <x v="5"/>
    <x v="0"/>
    <x v="0"/>
    <s v="DK1_Large"/>
    <x v="0"/>
    <n v="42.692399999999999"/>
    <n v="11.859"/>
  </r>
  <r>
    <x v="0"/>
    <x v="5"/>
    <x v="0"/>
    <x v="0"/>
    <s v="DK1_Large"/>
    <x v="21"/>
    <n v="53.225806451612797"/>
    <n v="14.784946236559099"/>
  </r>
  <r>
    <x v="0"/>
    <x v="5"/>
    <x v="0"/>
    <x v="0"/>
    <s v="DK1_Large"/>
    <x v="22"/>
    <n v="130.68"/>
    <n v="36.299999999999997"/>
  </r>
  <r>
    <x v="0"/>
    <x v="5"/>
    <x v="0"/>
    <x v="0"/>
    <s v="DK1_Large_PHH"/>
    <x v="2"/>
    <n v="57.96"/>
    <n v="16.100000000000001"/>
  </r>
  <r>
    <x v="0"/>
    <x v="5"/>
    <x v="0"/>
    <x v="0"/>
    <s v="DK1_Large_PHH"/>
    <x v="0"/>
    <n v="42.692399999999999"/>
    <n v="11.859"/>
  </r>
  <r>
    <x v="0"/>
    <x v="5"/>
    <x v="0"/>
    <x v="0"/>
    <s v="DK1_Large_PHH"/>
    <x v="21"/>
    <n v="53.225806451612797"/>
    <n v="14.784946236559099"/>
  </r>
  <r>
    <x v="0"/>
    <x v="5"/>
    <x v="0"/>
    <x v="0"/>
    <s v="DK1_Large_PHH"/>
    <x v="22"/>
    <n v="130.68"/>
    <n v="36.299999999999997"/>
  </r>
  <r>
    <x v="0"/>
    <x v="5"/>
    <x v="0"/>
    <x v="0"/>
    <s v="DK1_Large_PHL"/>
    <x v="2"/>
    <n v="57.96"/>
    <n v="16.100000000000001"/>
  </r>
  <r>
    <x v="0"/>
    <x v="5"/>
    <x v="0"/>
    <x v="0"/>
    <s v="DK1_Large_PHL"/>
    <x v="0"/>
    <n v="42.692399999999999"/>
    <n v="11.859"/>
  </r>
  <r>
    <x v="0"/>
    <x v="5"/>
    <x v="0"/>
    <x v="0"/>
    <s v="DK1_Large_PHL"/>
    <x v="21"/>
    <n v="53.225806451612797"/>
    <n v="14.784946236559099"/>
  </r>
  <r>
    <x v="0"/>
    <x v="5"/>
    <x v="0"/>
    <x v="0"/>
    <s v="DK1_Large_PHL"/>
    <x v="22"/>
    <n v="130.68"/>
    <n v="36.299999999999997"/>
  </r>
  <r>
    <x v="0"/>
    <x v="5"/>
    <x v="0"/>
    <x v="0"/>
    <s v="DK1_MedSmall"/>
    <x v="2"/>
    <n v="57.96"/>
    <n v="16.100000000000001"/>
  </r>
  <r>
    <x v="0"/>
    <x v="5"/>
    <x v="0"/>
    <x v="0"/>
    <s v="DK1_MedSmall"/>
    <x v="0"/>
    <n v="42.692399999999999"/>
    <n v="11.859"/>
  </r>
  <r>
    <x v="0"/>
    <x v="5"/>
    <x v="0"/>
    <x v="0"/>
    <s v="DK1_MedSmall"/>
    <x v="21"/>
    <n v="53.225806451612797"/>
    <n v="14.784946236559099"/>
  </r>
  <r>
    <x v="0"/>
    <x v="5"/>
    <x v="0"/>
    <x v="0"/>
    <s v="DK1_MedSmall"/>
    <x v="22"/>
    <n v="130.68"/>
    <n v="36.299999999999997"/>
  </r>
  <r>
    <x v="0"/>
    <x v="5"/>
    <x v="0"/>
    <x v="0"/>
    <s v="DK1_Medium"/>
    <x v="2"/>
    <n v="57.96"/>
    <n v="16.100000000000001"/>
  </r>
  <r>
    <x v="0"/>
    <x v="5"/>
    <x v="0"/>
    <x v="0"/>
    <s v="DK1_Medium"/>
    <x v="0"/>
    <n v="42.692399999999999"/>
    <n v="11.859"/>
  </r>
  <r>
    <x v="0"/>
    <x v="5"/>
    <x v="0"/>
    <x v="0"/>
    <s v="DK1_Medium"/>
    <x v="21"/>
    <n v="53.225806451612797"/>
    <n v="14.784946236559099"/>
  </r>
  <r>
    <x v="0"/>
    <x v="5"/>
    <x v="0"/>
    <x v="0"/>
    <s v="DK1_Medium"/>
    <x v="22"/>
    <n v="130.68"/>
    <n v="36.299999999999997"/>
  </r>
  <r>
    <x v="0"/>
    <x v="5"/>
    <x v="0"/>
    <x v="0"/>
    <s v="DK1_NoDH"/>
    <x v="2"/>
    <n v="57.96"/>
    <n v="16.100000000000001"/>
  </r>
  <r>
    <x v="0"/>
    <x v="5"/>
    <x v="0"/>
    <x v="0"/>
    <s v="DK1_NoDH"/>
    <x v="0"/>
    <n v="42.692399999999999"/>
    <n v="11.859"/>
  </r>
  <r>
    <x v="0"/>
    <x v="5"/>
    <x v="0"/>
    <x v="0"/>
    <s v="DK1_NoDH"/>
    <x v="21"/>
    <n v="53.225806451612797"/>
    <n v="14.784946236559099"/>
  </r>
  <r>
    <x v="0"/>
    <x v="5"/>
    <x v="0"/>
    <x v="0"/>
    <s v="DK1_NoDH"/>
    <x v="22"/>
    <n v="130.68"/>
    <n v="36.299999999999997"/>
  </r>
  <r>
    <x v="0"/>
    <x v="5"/>
    <x v="0"/>
    <x v="0"/>
    <s v="DK1_NoDH_PHH"/>
    <x v="2"/>
    <n v="57.96"/>
    <n v="16.100000000000001"/>
  </r>
  <r>
    <x v="0"/>
    <x v="5"/>
    <x v="0"/>
    <x v="0"/>
    <s v="DK1_NoDH_PHH"/>
    <x v="0"/>
    <n v="42.692399999999999"/>
    <n v="11.859"/>
  </r>
  <r>
    <x v="0"/>
    <x v="5"/>
    <x v="0"/>
    <x v="0"/>
    <s v="DK1_NoDH_PHH"/>
    <x v="21"/>
    <n v="53.225806451612797"/>
    <n v="14.784946236559099"/>
  </r>
  <r>
    <x v="0"/>
    <x v="5"/>
    <x v="0"/>
    <x v="0"/>
    <s v="DK1_NoDH_PHH"/>
    <x v="22"/>
    <n v="130.68"/>
    <n v="36.299999999999997"/>
  </r>
  <r>
    <x v="0"/>
    <x v="5"/>
    <x v="0"/>
    <x v="0"/>
    <s v="DK1_NoDH_PHL"/>
    <x v="2"/>
    <n v="57.96"/>
    <n v="16.100000000000001"/>
  </r>
  <r>
    <x v="0"/>
    <x v="5"/>
    <x v="0"/>
    <x v="0"/>
    <s v="DK1_NoDH_PHL"/>
    <x v="0"/>
    <n v="42.692399999999999"/>
    <n v="11.859"/>
  </r>
  <r>
    <x v="0"/>
    <x v="5"/>
    <x v="0"/>
    <x v="0"/>
    <s v="DK1_NoDH_PHL"/>
    <x v="21"/>
    <n v="53.225806451612797"/>
    <n v="14.784946236559099"/>
  </r>
  <r>
    <x v="0"/>
    <x v="5"/>
    <x v="0"/>
    <x v="0"/>
    <s v="DK1_NoDH_PHL"/>
    <x v="22"/>
    <n v="130.68"/>
    <n v="36.299999999999997"/>
  </r>
  <r>
    <x v="0"/>
    <x v="5"/>
    <x v="0"/>
    <x v="0"/>
    <s v="DK1_Offshore"/>
    <x v="2"/>
    <n v="57.96"/>
    <n v="16.100000000000001"/>
  </r>
  <r>
    <x v="0"/>
    <x v="5"/>
    <x v="0"/>
    <x v="0"/>
    <s v="DK1_Offshore"/>
    <x v="0"/>
    <n v="42.692399999999999"/>
    <n v="11.859"/>
  </r>
  <r>
    <x v="0"/>
    <x v="5"/>
    <x v="0"/>
    <x v="0"/>
    <s v="DK1_Offshore"/>
    <x v="21"/>
    <n v="53.225806451612797"/>
    <n v="14.784946236559099"/>
  </r>
  <r>
    <x v="0"/>
    <x v="5"/>
    <x v="0"/>
    <x v="0"/>
    <s v="DK1_Offshore"/>
    <x v="22"/>
    <n v="130.68"/>
    <n v="36.299999999999997"/>
  </r>
  <r>
    <x v="0"/>
    <x v="5"/>
    <x v="0"/>
    <x v="0"/>
    <s v="DK1_Rural"/>
    <x v="2"/>
    <n v="57.96"/>
    <n v="16.100000000000001"/>
  </r>
  <r>
    <x v="0"/>
    <x v="5"/>
    <x v="0"/>
    <x v="0"/>
    <s v="DK1_Rural"/>
    <x v="0"/>
    <n v="42.692399999999999"/>
    <n v="11.859"/>
  </r>
  <r>
    <x v="0"/>
    <x v="5"/>
    <x v="0"/>
    <x v="0"/>
    <s v="DK1_Rural"/>
    <x v="21"/>
    <n v="53.225806451612797"/>
    <n v="14.784946236559099"/>
  </r>
  <r>
    <x v="0"/>
    <x v="5"/>
    <x v="0"/>
    <x v="0"/>
    <s v="DK1_Rural"/>
    <x v="22"/>
    <n v="130.68"/>
    <n v="36.299999999999997"/>
  </r>
  <r>
    <x v="0"/>
    <x v="5"/>
    <x v="0"/>
    <x v="0"/>
    <s v="DK1_Small"/>
    <x v="2"/>
    <n v="57.96"/>
    <n v="16.100000000000001"/>
  </r>
  <r>
    <x v="0"/>
    <x v="5"/>
    <x v="0"/>
    <x v="0"/>
    <s v="DK1_Small"/>
    <x v="0"/>
    <n v="42.692399999999999"/>
    <n v="11.859"/>
  </r>
  <r>
    <x v="0"/>
    <x v="5"/>
    <x v="0"/>
    <x v="0"/>
    <s v="DK1_Small"/>
    <x v="21"/>
    <n v="53.225806451612797"/>
    <n v="14.784946236559099"/>
  </r>
  <r>
    <x v="0"/>
    <x v="5"/>
    <x v="0"/>
    <x v="0"/>
    <s v="DK1_Small"/>
    <x v="22"/>
    <n v="130.68"/>
    <n v="36.299999999999997"/>
  </r>
  <r>
    <x v="0"/>
    <x v="5"/>
    <x v="0"/>
    <x v="1"/>
    <s v="DK2_Large"/>
    <x v="2"/>
    <n v="57.96"/>
    <n v="16.100000000000001"/>
  </r>
  <r>
    <x v="0"/>
    <x v="5"/>
    <x v="0"/>
    <x v="1"/>
    <s v="DK2_Large"/>
    <x v="0"/>
    <n v="42.692399999999999"/>
    <n v="11.859"/>
  </r>
  <r>
    <x v="0"/>
    <x v="5"/>
    <x v="0"/>
    <x v="1"/>
    <s v="DK2_Large"/>
    <x v="21"/>
    <n v="53.225806451612797"/>
    <n v="14.784946236559099"/>
  </r>
  <r>
    <x v="0"/>
    <x v="5"/>
    <x v="0"/>
    <x v="1"/>
    <s v="DK2_Large"/>
    <x v="22"/>
    <n v="130.68"/>
    <n v="36.299999999999997"/>
  </r>
  <r>
    <x v="0"/>
    <x v="5"/>
    <x v="0"/>
    <x v="1"/>
    <s v="DK2_Large_PHH"/>
    <x v="2"/>
    <n v="57.96"/>
    <n v="16.100000000000001"/>
  </r>
  <r>
    <x v="0"/>
    <x v="5"/>
    <x v="0"/>
    <x v="1"/>
    <s v="DK2_Large_PHH"/>
    <x v="0"/>
    <n v="42.692399999999999"/>
    <n v="11.859"/>
  </r>
  <r>
    <x v="0"/>
    <x v="5"/>
    <x v="0"/>
    <x v="1"/>
    <s v="DK2_Large_PHH"/>
    <x v="21"/>
    <n v="53.225806451612797"/>
    <n v="14.784946236559099"/>
  </r>
  <r>
    <x v="0"/>
    <x v="5"/>
    <x v="0"/>
    <x v="1"/>
    <s v="DK2_Large_PHH"/>
    <x v="22"/>
    <n v="130.68"/>
    <n v="36.299999999999997"/>
  </r>
  <r>
    <x v="0"/>
    <x v="5"/>
    <x v="0"/>
    <x v="1"/>
    <s v="DK2_Large_PHL"/>
    <x v="2"/>
    <n v="57.96"/>
    <n v="16.100000000000001"/>
  </r>
  <r>
    <x v="0"/>
    <x v="5"/>
    <x v="0"/>
    <x v="1"/>
    <s v="DK2_Large_PHL"/>
    <x v="0"/>
    <n v="42.692399999999999"/>
    <n v="11.859"/>
  </r>
  <r>
    <x v="0"/>
    <x v="5"/>
    <x v="0"/>
    <x v="1"/>
    <s v="DK2_Large_PHL"/>
    <x v="21"/>
    <n v="53.225806451612797"/>
    <n v="14.784946236559099"/>
  </r>
  <r>
    <x v="0"/>
    <x v="5"/>
    <x v="0"/>
    <x v="1"/>
    <s v="DK2_Large_PHL"/>
    <x v="22"/>
    <n v="130.68"/>
    <n v="36.299999999999997"/>
  </r>
  <r>
    <x v="0"/>
    <x v="5"/>
    <x v="0"/>
    <x v="1"/>
    <s v="DK2_MedSmall"/>
    <x v="2"/>
    <n v="57.96"/>
    <n v="16.100000000000001"/>
  </r>
  <r>
    <x v="0"/>
    <x v="5"/>
    <x v="0"/>
    <x v="1"/>
    <s v="DK2_MedSmall"/>
    <x v="0"/>
    <n v="42.692399999999999"/>
    <n v="11.859"/>
  </r>
  <r>
    <x v="0"/>
    <x v="5"/>
    <x v="0"/>
    <x v="1"/>
    <s v="DK2_MedSmall"/>
    <x v="21"/>
    <n v="53.225806451612797"/>
    <n v="14.784946236559099"/>
  </r>
  <r>
    <x v="0"/>
    <x v="5"/>
    <x v="0"/>
    <x v="1"/>
    <s v="DK2_MedSmall"/>
    <x v="22"/>
    <n v="130.68"/>
    <n v="36.299999999999997"/>
  </r>
  <r>
    <x v="0"/>
    <x v="5"/>
    <x v="0"/>
    <x v="1"/>
    <s v="DK2_Medium"/>
    <x v="2"/>
    <n v="57.96"/>
    <n v="16.100000000000001"/>
  </r>
  <r>
    <x v="0"/>
    <x v="5"/>
    <x v="0"/>
    <x v="1"/>
    <s v="DK2_Medium"/>
    <x v="0"/>
    <n v="42.692399999999999"/>
    <n v="11.859"/>
  </r>
  <r>
    <x v="0"/>
    <x v="5"/>
    <x v="0"/>
    <x v="1"/>
    <s v="DK2_Medium"/>
    <x v="21"/>
    <n v="53.225806451612797"/>
    <n v="14.784946236559099"/>
  </r>
  <r>
    <x v="0"/>
    <x v="5"/>
    <x v="0"/>
    <x v="1"/>
    <s v="DK2_Medium"/>
    <x v="22"/>
    <n v="130.68"/>
    <n v="36.299999999999997"/>
  </r>
  <r>
    <x v="0"/>
    <x v="5"/>
    <x v="0"/>
    <x v="1"/>
    <s v="DK2_NoDH"/>
    <x v="2"/>
    <n v="57.96"/>
    <n v="16.100000000000001"/>
  </r>
  <r>
    <x v="0"/>
    <x v="5"/>
    <x v="0"/>
    <x v="1"/>
    <s v="DK2_NoDH"/>
    <x v="0"/>
    <n v="42.692399999999999"/>
    <n v="11.859"/>
  </r>
  <r>
    <x v="0"/>
    <x v="5"/>
    <x v="0"/>
    <x v="1"/>
    <s v="DK2_NoDH"/>
    <x v="21"/>
    <n v="53.225806451612797"/>
    <n v="14.784946236559099"/>
  </r>
  <r>
    <x v="0"/>
    <x v="5"/>
    <x v="0"/>
    <x v="1"/>
    <s v="DK2_NoDH"/>
    <x v="22"/>
    <n v="130.68"/>
    <n v="36.299999999999997"/>
  </r>
  <r>
    <x v="0"/>
    <x v="5"/>
    <x v="0"/>
    <x v="1"/>
    <s v="DK2_NoDH_PHH"/>
    <x v="2"/>
    <n v="57.96"/>
    <n v="16.100000000000001"/>
  </r>
  <r>
    <x v="0"/>
    <x v="5"/>
    <x v="0"/>
    <x v="1"/>
    <s v="DK2_NoDH_PHH"/>
    <x v="0"/>
    <n v="42.692399999999999"/>
    <n v="11.859"/>
  </r>
  <r>
    <x v="0"/>
    <x v="5"/>
    <x v="0"/>
    <x v="1"/>
    <s v="DK2_NoDH_PHH"/>
    <x v="21"/>
    <n v="53.225806451612797"/>
    <n v="14.784946236559099"/>
  </r>
  <r>
    <x v="0"/>
    <x v="5"/>
    <x v="0"/>
    <x v="1"/>
    <s v="DK2_NoDH_PHH"/>
    <x v="22"/>
    <n v="130.68"/>
    <n v="36.299999999999997"/>
  </r>
  <r>
    <x v="0"/>
    <x v="5"/>
    <x v="0"/>
    <x v="1"/>
    <s v="DK2_NoDH_PHL"/>
    <x v="2"/>
    <n v="57.96"/>
    <n v="16.100000000000001"/>
  </r>
  <r>
    <x v="0"/>
    <x v="5"/>
    <x v="0"/>
    <x v="1"/>
    <s v="DK2_NoDH_PHL"/>
    <x v="0"/>
    <n v="42.692399999999999"/>
    <n v="11.859"/>
  </r>
  <r>
    <x v="0"/>
    <x v="5"/>
    <x v="0"/>
    <x v="1"/>
    <s v="DK2_NoDH_PHL"/>
    <x v="21"/>
    <n v="53.225806451612797"/>
    <n v="14.784946236559099"/>
  </r>
  <r>
    <x v="0"/>
    <x v="5"/>
    <x v="0"/>
    <x v="1"/>
    <s v="DK2_NoDH_PHL"/>
    <x v="22"/>
    <n v="130.68"/>
    <n v="36.299999999999997"/>
  </r>
  <r>
    <x v="0"/>
    <x v="5"/>
    <x v="0"/>
    <x v="1"/>
    <s v="DK2_Offshore"/>
    <x v="2"/>
    <n v="57.96"/>
    <n v="16.100000000000001"/>
  </r>
  <r>
    <x v="0"/>
    <x v="5"/>
    <x v="0"/>
    <x v="1"/>
    <s v="DK2_Offshore"/>
    <x v="0"/>
    <n v="42.692399999999999"/>
    <n v="11.859"/>
  </r>
  <r>
    <x v="0"/>
    <x v="5"/>
    <x v="0"/>
    <x v="1"/>
    <s v="DK2_Offshore"/>
    <x v="21"/>
    <n v="53.225806451612797"/>
    <n v="14.784946236559099"/>
  </r>
  <r>
    <x v="0"/>
    <x v="5"/>
    <x v="0"/>
    <x v="1"/>
    <s v="DK2_Offshore"/>
    <x v="22"/>
    <n v="130.68"/>
    <n v="36.299999999999997"/>
  </r>
  <r>
    <x v="0"/>
    <x v="5"/>
    <x v="0"/>
    <x v="1"/>
    <s v="DK2_Rural"/>
    <x v="2"/>
    <n v="57.96"/>
    <n v="16.100000000000001"/>
  </r>
  <r>
    <x v="0"/>
    <x v="5"/>
    <x v="0"/>
    <x v="1"/>
    <s v="DK2_Rural"/>
    <x v="0"/>
    <n v="42.692399999999999"/>
    <n v="11.859"/>
  </r>
  <r>
    <x v="0"/>
    <x v="5"/>
    <x v="0"/>
    <x v="1"/>
    <s v="DK2_Rural"/>
    <x v="21"/>
    <n v="53.225806451612797"/>
    <n v="14.784946236559099"/>
  </r>
  <r>
    <x v="0"/>
    <x v="5"/>
    <x v="0"/>
    <x v="1"/>
    <s v="DK2_Rural"/>
    <x v="22"/>
    <n v="130.68"/>
    <n v="36.299999999999997"/>
  </r>
  <r>
    <x v="0"/>
    <x v="5"/>
    <x v="0"/>
    <x v="1"/>
    <s v="DK2_Small"/>
    <x v="2"/>
    <n v="57.96"/>
    <n v="16.100000000000001"/>
  </r>
  <r>
    <x v="0"/>
    <x v="5"/>
    <x v="0"/>
    <x v="1"/>
    <s v="DK2_Small"/>
    <x v="0"/>
    <n v="42.692399999999999"/>
    <n v="11.859"/>
  </r>
  <r>
    <x v="0"/>
    <x v="5"/>
    <x v="0"/>
    <x v="1"/>
    <s v="DK2_Small"/>
    <x v="21"/>
    <n v="53.225806451612797"/>
    <n v="14.784946236559099"/>
  </r>
  <r>
    <x v="0"/>
    <x v="5"/>
    <x v="0"/>
    <x v="1"/>
    <s v="DK2_Small"/>
    <x v="22"/>
    <n v="130.68"/>
    <n v="36.299999999999997"/>
  </r>
  <r>
    <x v="0"/>
    <x v="5"/>
    <x v="1"/>
    <x v="2"/>
    <s v="EE_A"/>
    <x v="2"/>
    <n v="57.96"/>
    <n v="16.100000000000001"/>
  </r>
  <r>
    <x v="0"/>
    <x v="5"/>
    <x v="1"/>
    <x v="2"/>
    <s v="EE_A"/>
    <x v="0"/>
    <n v="42.692399999999999"/>
    <n v="11.859"/>
  </r>
  <r>
    <x v="0"/>
    <x v="5"/>
    <x v="1"/>
    <x v="2"/>
    <s v="EE_A"/>
    <x v="21"/>
    <n v="53.225806451612797"/>
    <n v="14.784946236559099"/>
  </r>
  <r>
    <x v="0"/>
    <x v="5"/>
    <x v="1"/>
    <x v="2"/>
    <s v="EE_A"/>
    <x v="22"/>
    <n v="130.68"/>
    <n v="36.299999999999997"/>
  </r>
  <r>
    <x v="0"/>
    <x v="5"/>
    <x v="1"/>
    <x v="2"/>
    <s v="EE_Enefit"/>
    <x v="2"/>
    <n v="57.96"/>
    <n v="16.100000000000001"/>
  </r>
  <r>
    <x v="0"/>
    <x v="5"/>
    <x v="1"/>
    <x v="2"/>
    <s v="EE_Enefit"/>
    <x v="0"/>
    <n v="42.692399999999999"/>
    <n v="11.859"/>
  </r>
  <r>
    <x v="0"/>
    <x v="5"/>
    <x v="1"/>
    <x v="2"/>
    <s v="EE_Enefit"/>
    <x v="21"/>
    <n v="53.225806451612797"/>
    <n v="14.784946236559099"/>
  </r>
  <r>
    <x v="0"/>
    <x v="5"/>
    <x v="1"/>
    <x v="2"/>
    <s v="EE_Enefit"/>
    <x v="22"/>
    <n v="130.68"/>
    <n v="36.299999999999997"/>
  </r>
  <r>
    <x v="0"/>
    <x v="5"/>
    <x v="1"/>
    <x v="2"/>
    <s v="EE_Industry"/>
    <x v="2"/>
    <n v="57.96"/>
    <n v="16.100000000000001"/>
  </r>
  <r>
    <x v="0"/>
    <x v="5"/>
    <x v="1"/>
    <x v="2"/>
    <s v="EE_Industry"/>
    <x v="0"/>
    <n v="42.692399999999999"/>
    <n v="11.859"/>
  </r>
  <r>
    <x v="0"/>
    <x v="5"/>
    <x v="1"/>
    <x v="2"/>
    <s v="EE_Industry"/>
    <x v="21"/>
    <n v="53.225806451612797"/>
    <n v="14.784946236559099"/>
  </r>
  <r>
    <x v="0"/>
    <x v="5"/>
    <x v="1"/>
    <x v="2"/>
    <s v="EE_Industry"/>
    <x v="22"/>
    <n v="130.68"/>
    <n v="36.299999999999997"/>
  </r>
  <r>
    <x v="0"/>
    <x v="5"/>
    <x v="1"/>
    <x v="2"/>
    <s v="EE_Kohtla_Jarve"/>
    <x v="2"/>
    <n v="57.96"/>
    <n v="16.100000000000001"/>
  </r>
  <r>
    <x v="0"/>
    <x v="5"/>
    <x v="1"/>
    <x v="2"/>
    <s v="EE_Kohtla_Jarve"/>
    <x v="0"/>
    <n v="42.692399999999999"/>
    <n v="11.859"/>
  </r>
  <r>
    <x v="0"/>
    <x v="5"/>
    <x v="1"/>
    <x v="2"/>
    <s v="EE_Kohtla_Jarve"/>
    <x v="21"/>
    <n v="53.225806451612797"/>
    <n v="14.784946236559099"/>
  </r>
  <r>
    <x v="0"/>
    <x v="5"/>
    <x v="1"/>
    <x v="2"/>
    <s v="EE_Kohtla_Jarve"/>
    <x v="22"/>
    <n v="130.68"/>
    <n v="36.299999999999997"/>
  </r>
  <r>
    <x v="0"/>
    <x v="5"/>
    <x v="1"/>
    <x v="2"/>
    <s v="EE_Narva"/>
    <x v="2"/>
    <n v="57.96"/>
    <n v="16.100000000000001"/>
  </r>
  <r>
    <x v="0"/>
    <x v="5"/>
    <x v="1"/>
    <x v="2"/>
    <s v="EE_Narva"/>
    <x v="0"/>
    <n v="42.692399999999999"/>
    <n v="11.859"/>
  </r>
  <r>
    <x v="0"/>
    <x v="5"/>
    <x v="1"/>
    <x v="2"/>
    <s v="EE_Narva"/>
    <x v="21"/>
    <n v="53.225806451612797"/>
    <n v="14.784946236559099"/>
  </r>
  <r>
    <x v="0"/>
    <x v="5"/>
    <x v="1"/>
    <x v="2"/>
    <s v="EE_Narva"/>
    <x v="22"/>
    <n v="130.68"/>
    <n v="36.299999999999997"/>
  </r>
  <r>
    <x v="0"/>
    <x v="5"/>
    <x v="1"/>
    <x v="2"/>
    <s v="EE_OFFSHORE"/>
    <x v="2"/>
    <n v="57.96"/>
    <n v="16.100000000000001"/>
  </r>
  <r>
    <x v="0"/>
    <x v="5"/>
    <x v="1"/>
    <x v="2"/>
    <s v="EE_OFFSHORE"/>
    <x v="0"/>
    <n v="42.692399999999999"/>
    <n v="11.859"/>
  </r>
  <r>
    <x v="0"/>
    <x v="5"/>
    <x v="1"/>
    <x v="2"/>
    <s v="EE_OFFSHORE"/>
    <x v="21"/>
    <n v="53.225806451612797"/>
    <n v="14.784946236559099"/>
  </r>
  <r>
    <x v="0"/>
    <x v="5"/>
    <x v="1"/>
    <x v="2"/>
    <s v="EE_OFFSHORE"/>
    <x v="22"/>
    <n v="130.68"/>
    <n v="36.299999999999997"/>
  </r>
  <r>
    <x v="0"/>
    <x v="5"/>
    <x v="1"/>
    <x v="2"/>
    <s v="EE_Parnu"/>
    <x v="2"/>
    <n v="57.96"/>
    <n v="16.100000000000001"/>
  </r>
  <r>
    <x v="0"/>
    <x v="5"/>
    <x v="1"/>
    <x v="2"/>
    <s v="EE_Parnu"/>
    <x v="0"/>
    <n v="42.692399999999999"/>
    <n v="11.859"/>
  </r>
  <r>
    <x v="0"/>
    <x v="5"/>
    <x v="1"/>
    <x v="2"/>
    <s v="EE_Parnu"/>
    <x v="21"/>
    <n v="53.225806451612797"/>
    <n v="14.784946236559099"/>
  </r>
  <r>
    <x v="0"/>
    <x v="5"/>
    <x v="1"/>
    <x v="2"/>
    <s v="EE_Parnu"/>
    <x v="22"/>
    <n v="130.68"/>
    <n v="36.299999999999997"/>
  </r>
  <r>
    <x v="0"/>
    <x v="5"/>
    <x v="1"/>
    <x v="2"/>
    <s v="EE_Rural"/>
    <x v="2"/>
    <n v="57.96"/>
    <n v="16.100000000000001"/>
  </r>
  <r>
    <x v="0"/>
    <x v="5"/>
    <x v="1"/>
    <x v="2"/>
    <s v="EE_Rural"/>
    <x v="0"/>
    <n v="42.692399999999999"/>
    <n v="11.859"/>
  </r>
  <r>
    <x v="0"/>
    <x v="5"/>
    <x v="1"/>
    <x v="2"/>
    <s v="EE_Rural"/>
    <x v="21"/>
    <n v="53.225806451612797"/>
    <n v="14.784946236559099"/>
  </r>
  <r>
    <x v="0"/>
    <x v="5"/>
    <x v="1"/>
    <x v="2"/>
    <s v="EE_Rural"/>
    <x v="22"/>
    <n v="130.68"/>
    <n v="36.299999999999997"/>
  </r>
  <r>
    <x v="0"/>
    <x v="5"/>
    <x v="1"/>
    <x v="2"/>
    <s v="EE_Sillamae"/>
    <x v="2"/>
    <n v="57.96"/>
    <n v="16.100000000000001"/>
  </r>
  <r>
    <x v="0"/>
    <x v="5"/>
    <x v="1"/>
    <x v="2"/>
    <s v="EE_Sillamae"/>
    <x v="0"/>
    <n v="42.692399999999999"/>
    <n v="11.859"/>
  </r>
  <r>
    <x v="0"/>
    <x v="5"/>
    <x v="1"/>
    <x v="2"/>
    <s v="EE_Sillamae"/>
    <x v="21"/>
    <n v="53.225806451612797"/>
    <n v="14.784946236559099"/>
  </r>
  <r>
    <x v="0"/>
    <x v="5"/>
    <x v="1"/>
    <x v="2"/>
    <s v="EE_Sillamae"/>
    <x v="22"/>
    <n v="130.68"/>
    <n v="36.299999999999997"/>
  </r>
  <r>
    <x v="0"/>
    <x v="5"/>
    <x v="1"/>
    <x v="2"/>
    <s v="EE_Tallinn"/>
    <x v="2"/>
    <n v="57.96"/>
    <n v="16.100000000000001"/>
  </r>
  <r>
    <x v="0"/>
    <x v="5"/>
    <x v="1"/>
    <x v="2"/>
    <s v="EE_Tallinn"/>
    <x v="0"/>
    <n v="42.692399999999999"/>
    <n v="11.859"/>
  </r>
  <r>
    <x v="0"/>
    <x v="5"/>
    <x v="1"/>
    <x v="2"/>
    <s v="EE_Tallinn"/>
    <x v="21"/>
    <n v="53.225806451612797"/>
    <n v="14.784946236559099"/>
  </r>
  <r>
    <x v="0"/>
    <x v="5"/>
    <x v="1"/>
    <x v="2"/>
    <s v="EE_Tallinn"/>
    <x v="22"/>
    <n v="130.68"/>
    <n v="36.299999999999997"/>
  </r>
  <r>
    <x v="0"/>
    <x v="5"/>
    <x v="1"/>
    <x v="2"/>
    <s v="EE_Tartu"/>
    <x v="2"/>
    <n v="57.96"/>
    <n v="16.100000000000001"/>
  </r>
  <r>
    <x v="0"/>
    <x v="5"/>
    <x v="1"/>
    <x v="2"/>
    <s v="EE_Tartu"/>
    <x v="0"/>
    <n v="42.692399999999999"/>
    <n v="11.859"/>
  </r>
  <r>
    <x v="0"/>
    <x v="5"/>
    <x v="1"/>
    <x v="2"/>
    <s v="EE_Tartu"/>
    <x v="21"/>
    <n v="53.225806451612797"/>
    <n v="14.784946236559099"/>
  </r>
  <r>
    <x v="0"/>
    <x v="5"/>
    <x v="1"/>
    <x v="2"/>
    <s v="EE_Tartu"/>
    <x v="22"/>
    <n v="130.68"/>
    <n v="36.299999999999997"/>
  </r>
  <r>
    <x v="0"/>
    <x v="5"/>
    <x v="1"/>
    <x v="2"/>
    <s v="EE_Urban"/>
    <x v="2"/>
    <n v="57.96"/>
    <n v="16.100000000000001"/>
  </r>
  <r>
    <x v="0"/>
    <x v="5"/>
    <x v="1"/>
    <x v="2"/>
    <s v="EE_Urban"/>
    <x v="0"/>
    <n v="42.692399999999999"/>
    <n v="11.859"/>
  </r>
  <r>
    <x v="0"/>
    <x v="5"/>
    <x v="1"/>
    <x v="2"/>
    <s v="EE_Urban"/>
    <x v="21"/>
    <n v="53.225806451612797"/>
    <n v="14.784946236559099"/>
  </r>
  <r>
    <x v="0"/>
    <x v="5"/>
    <x v="1"/>
    <x v="2"/>
    <s v="EE_Urban"/>
    <x v="22"/>
    <n v="130.68"/>
    <n v="36.299999999999997"/>
  </r>
  <r>
    <x v="0"/>
    <x v="5"/>
    <x v="2"/>
    <x v="3"/>
    <s v="FI_IND"/>
    <x v="2"/>
    <n v="57.96"/>
    <n v="16.100000000000001"/>
  </r>
  <r>
    <x v="0"/>
    <x v="5"/>
    <x v="2"/>
    <x v="3"/>
    <s v="FI_IND"/>
    <x v="0"/>
    <n v="42.692399999999999"/>
    <n v="11.859"/>
  </r>
  <r>
    <x v="0"/>
    <x v="5"/>
    <x v="2"/>
    <x v="3"/>
    <s v="FI_IND"/>
    <x v="21"/>
    <n v="53.225806451612797"/>
    <n v="14.784946236559099"/>
  </r>
  <r>
    <x v="0"/>
    <x v="5"/>
    <x v="2"/>
    <x v="3"/>
    <s v="FI_IND"/>
    <x v="22"/>
    <n v="130.68"/>
    <n v="36.299999999999997"/>
  </r>
  <r>
    <x v="0"/>
    <x v="5"/>
    <x v="2"/>
    <x v="3"/>
    <s v="FI_Offshore"/>
    <x v="2"/>
    <n v="57.96"/>
    <n v="16.100000000000001"/>
  </r>
  <r>
    <x v="0"/>
    <x v="5"/>
    <x v="2"/>
    <x v="3"/>
    <s v="FI_Offshore"/>
    <x v="0"/>
    <n v="42.692399999999999"/>
    <n v="11.859"/>
  </r>
  <r>
    <x v="0"/>
    <x v="5"/>
    <x v="2"/>
    <x v="3"/>
    <s v="FI_Offshore"/>
    <x v="21"/>
    <n v="53.225806451612797"/>
    <n v="14.784946236559099"/>
  </r>
  <r>
    <x v="0"/>
    <x v="5"/>
    <x v="2"/>
    <x v="3"/>
    <s v="FI_Offshore"/>
    <x v="22"/>
    <n v="130.68"/>
    <n v="36.299999999999997"/>
  </r>
  <r>
    <x v="0"/>
    <x v="5"/>
    <x v="2"/>
    <x v="3"/>
    <s v="FI_large"/>
    <x v="2"/>
    <n v="57.96"/>
    <n v="16.100000000000001"/>
  </r>
  <r>
    <x v="0"/>
    <x v="5"/>
    <x v="2"/>
    <x v="3"/>
    <s v="FI_large"/>
    <x v="0"/>
    <n v="42.692399999999999"/>
    <n v="11.859"/>
  </r>
  <r>
    <x v="0"/>
    <x v="5"/>
    <x v="2"/>
    <x v="3"/>
    <s v="FI_large"/>
    <x v="21"/>
    <n v="53.225806451612797"/>
    <n v="14.784946236559099"/>
  </r>
  <r>
    <x v="0"/>
    <x v="5"/>
    <x v="2"/>
    <x v="3"/>
    <s v="FI_large"/>
    <x v="22"/>
    <n v="130.68"/>
    <n v="36.299999999999997"/>
  </r>
  <r>
    <x v="0"/>
    <x v="5"/>
    <x v="2"/>
    <x v="3"/>
    <s v="FI_large_gas"/>
    <x v="2"/>
    <n v="57.96"/>
    <n v="16.100000000000001"/>
  </r>
  <r>
    <x v="0"/>
    <x v="5"/>
    <x v="2"/>
    <x v="3"/>
    <s v="FI_large_gas"/>
    <x v="0"/>
    <n v="42.692399999999999"/>
    <n v="11.859"/>
  </r>
  <r>
    <x v="0"/>
    <x v="5"/>
    <x v="2"/>
    <x v="3"/>
    <s v="FI_large_gas"/>
    <x v="21"/>
    <n v="53.225806451612797"/>
    <n v="14.784946236559099"/>
  </r>
  <r>
    <x v="0"/>
    <x v="5"/>
    <x v="2"/>
    <x v="3"/>
    <s v="FI_large_gas"/>
    <x v="22"/>
    <n v="130.68"/>
    <n v="36.299999999999997"/>
  </r>
  <r>
    <x v="0"/>
    <x v="5"/>
    <x v="2"/>
    <x v="3"/>
    <s v="FI_medium"/>
    <x v="2"/>
    <n v="57.96"/>
    <n v="16.100000000000001"/>
  </r>
  <r>
    <x v="0"/>
    <x v="5"/>
    <x v="2"/>
    <x v="3"/>
    <s v="FI_medium"/>
    <x v="0"/>
    <n v="42.692399999999999"/>
    <n v="11.859"/>
  </r>
  <r>
    <x v="0"/>
    <x v="5"/>
    <x v="2"/>
    <x v="3"/>
    <s v="FI_medium"/>
    <x v="21"/>
    <n v="53.225806451612797"/>
    <n v="14.784946236559099"/>
  </r>
  <r>
    <x v="0"/>
    <x v="5"/>
    <x v="2"/>
    <x v="3"/>
    <s v="FI_medium"/>
    <x v="22"/>
    <n v="130.68"/>
    <n v="36.299999999999997"/>
  </r>
  <r>
    <x v="0"/>
    <x v="5"/>
    <x v="2"/>
    <x v="3"/>
    <s v="FI_medium_gas"/>
    <x v="2"/>
    <n v="57.96"/>
    <n v="16.100000000000001"/>
  </r>
  <r>
    <x v="0"/>
    <x v="5"/>
    <x v="2"/>
    <x v="3"/>
    <s v="FI_medium_gas"/>
    <x v="0"/>
    <n v="42.692399999999999"/>
    <n v="11.859"/>
  </r>
  <r>
    <x v="0"/>
    <x v="5"/>
    <x v="2"/>
    <x v="3"/>
    <s v="FI_medium_gas"/>
    <x v="21"/>
    <n v="53.225806451612797"/>
    <n v="14.784946236559099"/>
  </r>
  <r>
    <x v="0"/>
    <x v="5"/>
    <x v="2"/>
    <x v="3"/>
    <s v="FI_medium_gas"/>
    <x v="22"/>
    <n v="130.68"/>
    <n v="36.299999999999997"/>
  </r>
  <r>
    <x v="0"/>
    <x v="5"/>
    <x v="2"/>
    <x v="3"/>
    <s v="FI_small"/>
    <x v="2"/>
    <n v="57.96"/>
    <n v="16.100000000000001"/>
  </r>
  <r>
    <x v="0"/>
    <x v="5"/>
    <x v="2"/>
    <x v="3"/>
    <s v="FI_small"/>
    <x v="0"/>
    <n v="42.692399999999999"/>
    <n v="11.859"/>
  </r>
  <r>
    <x v="0"/>
    <x v="5"/>
    <x v="2"/>
    <x v="3"/>
    <s v="FI_small"/>
    <x v="21"/>
    <n v="53.225806451612797"/>
    <n v="14.784946236559099"/>
  </r>
  <r>
    <x v="0"/>
    <x v="5"/>
    <x v="2"/>
    <x v="3"/>
    <s v="FI_small"/>
    <x v="22"/>
    <n v="130.68"/>
    <n v="36.299999999999997"/>
  </r>
  <r>
    <x v="0"/>
    <x v="5"/>
    <x v="2"/>
    <x v="3"/>
    <s v="FI_small_gas"/>
    <x v="2"/>
    <n v="57.96"/>
    <n v="16.100000000000001"/>
  </r>
  <r>
    <x v="0"/>
    <x v="5"/>
    <x v="2"/>
    <x v="3"/>
    <s v="FI_small_gas"/>
    <x v="0"/>
    <n v="42.692399999999999"/>
    <n v="11.859"/>
  </r>
  <r>
    <x v="0"/>
    <x v="5"/>
    <x v="2"/>
    <x v="3"/>
    <s v="FI_small_gas"/>
    <x v="21"/>
    <n v="53.225806451612797"/>
    <n v="14.784946236559099"/>
  </r>
  <r>
    <x v="0"/>
    <x v="5"/>
    <x v="2"/>
    <x v="3"/>
    <s v="FI_small_gas"/>
    <x v="22"/>
    <n v="130.68"/>
    <n v="36.299999999999997"/>
  </r>
  <r>
    <x v="0"/>
    <x v="5"/>
    <x v="2"/>
    <x v="3"/>
    <s v="FinA"/>
    <x v="2"/>
    <n v="57.96"/>
    <n v="16.100000000000001"/>
  </r>
  <r>
    <x v="0"/>
    <x v="5"/>
    <x v="2"/>
    <x v="3"/>
    <s v="FinA"/>
    <x v="0"/>
    <n v="42.692399999999999"/>
    <n v="11.859"/>
  </r>
  <r>
    <x v="0"/>
    <x v="5"/>
    <x v="2"/>
    <x v="3"/>
    <s v="FinA"/>
    <x v="21"/>
    <n v="53.225806451612797"/>
    <n v="14.784946236559099"/>
  </r>
  <r>
    <x v="0"/>
    <x v="5"/>
    <x v="2"/>
    <x v="3"/>
    <s v="FinA"/>
    <x v="22"/>
    <n v="130.68"/>
    <n v="36.299999999999997"/>
  </r>
  <r>
    <x v="0"/>
    <x v="5"/>
    <x v="3"/>
    <x v="4"/>
    <s v="DE4-E_A"/>
    <x v="2"/>
    <n v="57.96"/>
    <n v="16.100000000000001"/>
  </r>
  <r>
    <x v="0"/>
    <x v="5"/>
    <x v="3"/>
    <x v="4"/>
    <s v="DE4-E_A"/>
    <x v="0"/>
    <n v="42.692399999999999"/>
    <n v="11.859"/>
  </r>
  <r>
    <x v="0"/>
    <x v="5"/>
    <x v="3"/>
    <x v="4"/>
    <s v="DE4-E_A"/>
    <x v="21"/>
    <n v="53.225806451612797"/>
    <n v="14.784946236559099"/>
  </r>
  <r>
    <x v="0"/>
    <x v="5"/>
    <x v="3"/>
    <x v="4"/>
    <s v="DE4-E_A"/>
    <x v="22"/>
    <n v="130.68"/>
    <n v="36.299999999999997"/>
  </r>
  <r>
    <x v="0"/>
    <x v="5"/>
    <x v="3"/>
    <x v="4"/>
    <s v="DE4-E_Offshore_A"/>
    <x v="2"/>
    <n v="57.96"/>
    <n v="16.100000000000001"/>
  </r>
  <r>
    <x v="0"/>
    <x v="5"/>
    <x v="3"/>
    <x v="4"/>
    <s v="DE4-E_Offshore_A"/>
    <x v="0"/>
    <n v="42.692399999999999"/>
    <n v="11.859"/>
  </r>
  <r>
    <x v="0"/>
    <x v="5"/>
    <x v="3"/>
    <x v="4"/>
    <s v="DE4-E_Offshore_A"/>
    <x v="21"/>
    <n v="53.225806451612797"/>
    <n v="14.784946236559099"/>
  </r>
  <r>
    <x v="0"/>
    <x v="5"/>
    <x v="3"/>
    <x v="4"/>
    <s v="DE4-E_Offshore_A"/>
    <x v="22"/>
    <n v="130.68"/>
    <n v="36.299999999999997"/>
  </r>
  <r>
    <x v="0"/>
    <x v="5"/>
    <x v="3"/>
    <x v="5"/>
    <s v="DE4-N_A"/>
    <x v="2"/>
    <n v="57.96"/>
    <n v="16.100000000000001"/>
  </r>
  <r>
    <x v="0"/>
    <x v="5"/>
    <x v="3"/>
    <x v="5"/>
    <s v="DE4-N_A"/>
    <x v="0"/>
    <n v="42.692399999999999"/>
    <n v="11.859"/>
  </r>
  <r>
    <x v="0"/>
    <x v="5"/>
    <x v="3"/>
    <x v="5"/>
    <s v="DE4-N_A"/>
    <x v="21"/>
    <n v="53.225806451612797"/>
    <n v="14.784946236559099"/>
  </r>
  <r>
    <x v="0"/>
    <x v="5"/>
    <x v="3"/>
    <x v="5"/>
    <s v="DE4-N_A"/>
    <x v="22"/>
    <n v="130.68"/>
    <n v="36.299999999999997"/>
  </r>
  <r>
    <x v="0"/>
    <x v="5"/>
    <x v="3"/>
    <x v="5"/>
    <s v="DE4-N_Offshore_A"/>
    <x v="2"/>
    <n v="57.96"/>
    <n v="16.100000000000001"/>
  </r>
  <r>
    <x v="0"/>
    <x v="5"/>
    <x v="3"/>
    <x v="5"/>
    <s v="DE4-N_Offshore_A"/>
    <x v="0"/>
    <n v="42.692399999999999"/>
    <n v="11.859"/>
  </r>
  <r>
    <x v="0"/>
    <x v="5"/>
    <x v="3"/>
    <x v="5"/>
    <s v="DE4-N_Offshore_A"/>
    <x v="21"/>
    <n v="53.225806451612797"/>
    <n v="14.784946236559099"/>
  </r>
  <r>
    <x v="0"/>
    <x v="5"/>
    <x v="3"/>
    <x v="5"/>
    <s v="DE4-N_Offshore_A"/>
    <x v="22"/>
    <n v="130.68"/>
    <n v="36.299999999999997"/>
  </r>
  <r>
    <x v="0"/>
    <x v="5"/>
    <x v="3"/>
    <x v="6"/>
    <s v="DE4-S_A"/>
    <x v="2"/>
    <n v="57.96"/>
    <n v="16.100000000000001"/>
  </r>
  <r>
    <x v="0"/>
    <x v="5"/>
    <x v="3"/>
    <x v="6"/>
    <s v="DE4-S_A"/>
    <x v="0"/>
    <n v="42.692399999999999"/>
    <n v="11.859"/>
  </r>
  <r>
    <x v="0"/>
    <x v="5"/>
    <x v="3"/>
    <x v="6"/>
    <s v="DE4-S_A"/>
    <x v="21"/>
    <n v="53.225806451612797"/>
    <n v="14.784946236559099"/>
  </r>
  <r>
    <x v="0"/>
    <x v="5"/>
    <x v="3"/>
    <x v="6"/>
    <s v="DE4-S_A"/>
    <x v="22"/>
    <n v="130.68"/>
    <n v="36.299999999999997"/>
  </r>
  <r>
    <x v="0"/>
    <x v="5"/>
    <x v="3"/>
    <x v="7"/>
    <s v="DE4-W_A"/>
    <x v="2"/>
    <n v="57.96"/>
    <n v="16.100000000000001"/>
  </r>
  <r>
    <x v="0"/>
    <x v="5"/>
    <x v="3"/>
    <x v="7"/>
    <s v="DE4-W_A"/>
    <x v="0"/>
    <n v="42.692399999999999"/>
    <n v="11.859"/>
  </r>
  <r>
    <x v="0"/>
    <x v="5"/>
    <x v="3"/>
    <x v="7"/>
    <s v="DE4-W_A"/>
    <x v="21"/>
    <n v="53.225806451612797"/>
    <n v="14.784946236559099"/>
  </r>
  <r>
    <x v="0"/>
    <x v="5"/>
    <x v="3"/>
    <x v="7"/>
    <s v="DE4-W_A"/>
    <x v="22"/>
    <n v="130.68"/>
    <n v="36.299999999999997"/>
  </r>
  <r>
    <x v="0"/>
    <x v="5"/>
    <x v="3"/>
    <x v="7"/>
    <s v="DE4-W_Offshore_A"/>
    <x v="2"/>
    <n v="57.96"/>
    <n v="16.100000000000001"/>
  </r>
  <r>
    <x v="0"/>
    <x v="5"/>
    <x v="3"/>
    <x v="7"/>
    <s v="DE4-W_Offshore_A"/>
    <x v="0"/>
    <n v="42.692399999999999"/>
    <n v="11.859"/>
  </r>
  <r>
    <x v="0"/>
    <x v="5"/>
    <x v="3"/>
    <x v="7"/>
    <s v="DE4-W_Offshore_A"/>
    <x v="21"/>
    <n v="53.225806451612797"/>
    <n v="14.784946236559099"/>
  </r>
  <r>
    <x v="0"/>
    <x v="5"/>
    <x v="3"/>
    <x v="7"/>
    <s v="DE4-W_Offshore_A"/>
    <x v="22"/>
    <n v="130.68"/>
    <n v="36.299999999999997"/>
  </r>
  <r>
    <x v="0"/>
    <x v="5"/>
    <x v="4"/>
    <x v="8"/>
    <s v="LV_A"/>
    <x v="2"/>
    <n v="57.96"/>
    <n v="16.100000000000001"/>
  </r>
  <r>
    <x v="0"/>
    <x v="5"/>
    <x v="4"/>
    <x v="8"/>
    <s v="LV_A"/>
    <x v="0"/>
    <n v="42.692399999999999"/>
    <n v="11.859"/>
  </r>
  <r>
    <x v="0"/>
    <x v="5"/>
    <x v="4"/>
    <x v="8"/>
    <s v="LV_A"/>
    <x v="21"/>
    <n v="53.225806451612797"/>
    <n v="14.784946236559099"/>
  </r>
  <r>
    <x v="0"/>
    <x v="5"/>
    <x v="4"/>
    <x v="8"/>
    <s v="LV_A"/>
    <x v="22"/>
    <n v="130.68"/>
    <n v="36.299999999999997"/>
  </r>
  <r>
    <x v="0"/>
    <x v="5"/>
    <x v="4"/>
    <x v="8"/>
    <s v="LV_OFFSHORE"/>
    <x v="2"/>
    <n v="57.96"/>
    <n v="16.100000000000001"/>
  </r>
  <r>
    <x v="0"/>
    <x v="5"/>
    <x v="4"/>
    <x v="8"/>
    <s v="LV_OFFSHORE"/>
    <x v="0"/>
    <n v="42.692399999999999"/>
    <n v="11.859"/>
  </r>
  <r>
    <x v="0"/>
    <x v="5"/>
    <x v="4"/>
    <x v="8"/>
    <s v="LV_OFFSHORE"/>
    <x v="21"/>
    <n v="53.225806451612797"/>
    <n v="14.784946236559099"/>
  </r>
  <r>
    <x v="0"/>
    <x v="5"/>
    <x v="4"/>
    <x v="8"/>
    <s v="LV_OFFSHORE"/>
    <x v="22"/>
    <n v="130.68"/>
    <n v="36.299999999999997"/>
  </r>
  <r>
    <x v="0"/>
    <x v="5"/>
    <x v="4"/>
    <x v="8"/>
    <s v="LV_Other_DH"/>
    <x v="2"/>
    <n v="57.96"/>
    <n v="16.100000000000001"/>
  </r>
  <r>
    <x v="0"/>
    <x v="5"/>
    <x v="4"/>
    <x v="8"/>
    <s v="LV_Other_DH"/>
    <x v="0"/>
    <n v="42.692399999999999"/>
    <n v="11.859"/>
  </r>
  <r>
    <x v="0"/>
    <x v="5"/>
    <x v="4"/>
    <x v="8"/>
    <s v="LV_Other_DH"/>
    <x v="21"/>
    <n v="53.225806451612797"/>
    <n v="14.784946236559099"/>
  </r>
  <r>
    <x v="0"/>
    <x v="5"/>
    <x v="4"/>
    <x v="8"/>
    <s v="LV_Other_DH"/>
    <x v="22"/>
    <n v="130.68"/>
    <n v="36.299999999999997"/>
  </r>
  <r>
    <x v="0"/>
    <x v="5"/>
    <x v="4"/>
    <x v="8"/>
    <s v="LV_RigaR"/>
    <x v="2"/>
    <n v="57.96"/>
    <n v="16.100000000000001"/>
  </r>
  <r>
    <x v="0"/>
    <x v="5"/>
    <x v="4"/>
    <x v="8"/>
    <s v="LV_RigaR"/>
    <x v="0"/>
    <n v="42.692399999999999"/>
    <n v="11.859"/>
  </r>
  <r>
    <x v="0"/>
    <x v="5"/>
    <x v="4"/>
    <x v="8"/>
    <s v="LV_RigaR"/>
    <x v="21"/>
    <n v="53.225806451612797"/>
    <n v="14.784946236559099"/>
  </r>
  <r>
    <x v="0"/>
    <x v="5"/>
    <x v="4"/>
    <x v="8"/>
    <s v="LV_RigaR"/>
    <x v="22"/>
    <n v="130.68"/>
    <n v="36.299999999999997"/>
  </r>
  <r>
    <x v="0"/>
    <x v="5"/>
    <x v="4"/>
    <x v="8"/>
    <s v="LV_Rural"/>
    <x v="2"/>
    <n v="57.96"/>
    <n v="16.100000000000001"/>
  </r>
  <r>
    <x v="0"/>
    <x v="5"/>
    <x v="4"/>
    <x v="8"/>
    <s v="LV_Rural"/>
    <x v="0"/>
    <n v="42.692399999999999"/>
    <n v="11.859"/>
  </r>
  <r>
    <x v="0"/>
    <x v="5"/>
    <x v="4"/>
    <x v="8"/>
    <s v="LV_Rural"/>
    <x v="21"/>
    <n v="53.225806451612797"/>
    <n v="14.784946236559099"/>
  </r>
  <r>
    <x v="0"/>
    <x v="5"/>
    <x v="4"/>
    <x v="8"/>
    <s v="LV_Rural"/>
    <x v="22"/>
    <n v="130.68"/>
    <n v="36.299999999999997"/>
  </r>
  <r>
    <x v="0"/>
    <x v="5"/>
    <x v="5"/>
    <x v="9"/>
    <s v="LT_A"/>
    <x v="2"/>
    <n v="57.96"/>
    <n v="16.100000000000001"/>
  </r>
  <r>
    <x v="0"/>
    <x v="5"/>
    <x v="5"/>
    <x v="9"/>
    <s v="LT_A"/>
    <x v="0"/>
    <n v="42.692399999999999"/>
    <n v="11.859"/>
  </r>
  <r>
    <x v="0"/>
    <x v="5"/>
    <x v="5"/>
    <x v="9"/>
    <s v="LT_A"/>
    <x v="21"/>
    <n v="53.225806451612797"/>
    <n v="14.784946236559099"/>
  </r>
  <r>
    <x v="0"/>
    <x v="5"/>
    <x v="5"/>
    <x v="9"/>
    <s v="LT_A"/>
    <x v="22"/>
    <n v="130.68"/>
    <n v="36.299999999999997"/>
  </r>
  <r>
    <x v="0"/>
    <x v="5"/>
    <x v="5"/>
    <x v="9"/>
    <s v="LT_KauU"/>
    <x v="2"/>
    <n v="57.96"/>
    <n v="16.100000000000001"/>
  </r>
  <r>
    <x v="0"/>
    <x v="5"/>
    <x v="5"/>
    <x v="9"/>
    <s v="LT_KauU"/>
    <x v="0"/>
    <n v="42.692399999999999"/>
    <n v="11.859"/>
  </r>
  <r>
    <x v="0"/>
    <x v="5"/>
    <x v="5"/>
    <x v="9"/>
    <s v="LT_KauU"/>
    <x v="21"/>
    <n v="53.225806451612797"/>
    <n v="14.784946236559099"/>
  </r>
  <r>
    <x v="0"/>
    <x v="5"/>
    <x v="5"/>
    <x v="9"/>
    <s v="LT_KauU"/>
    <x v="22"/>
    <n v="130.68"/>
    <n v="36.299999999999997"/>
  </r>
  <r>
    <x v="0"/>
    <x v="5"/>
    <x v="5"/>
    <x v="9"/>
    <s v="LT_KlaU"/>
    <x v="2"/>
    <n v="57.96"/>
    <n v="16.100000000000001"/>
  </r>
  <r>
    <x v="0"/>
    <x v="5"/>
    <x v="5"/>
    <x v="9"/>
    <s v="LT_KlaU"/>
    <x v="0"/>
    <n v="42.692399999999999"/>
    <n v="11.859"/>
  </r>
  <r>
    <x v="0"/>
    <x v="5"/>
    <x v="5"/>
    <x v="9"/>
    <s v="LT_KlaU"/>
    <x v="21"/>
    <n v="53.225806451612797"/>
    <n v="14.784946236559099"/>
  </r>
  <r>
    <x v="0"/>
    <x v="5"/>
    <x v="5"/>
    <x v="9"/>
    <s v="LT_KlaU"/>
    <x v="22"/>
    <n v="130.68"/>
    <n v="36.299999999999997"/>
  </r>
  <r>
    <x v="0"/>
    <x v="5"/>
    <x v="5"/>
    <x v="9"/>
    <s v="LT_OFFSHORE"/>
    <x v="2"/>
    <n v="57.96"/>
    <n v="16.100000000000001"/>
  </r>
  <r>
    <x v="0"/>
    <x v="5"/>
    <x v="5"/>
    <x v="9"/>
    <s v="LT_OFFSHORE"/>
    <x v="0"/>
    <n v="42.692399999999999"/>
    <n v="11.859"/>
  </r>
  <r>
    <x v="0"/>
    <x v="5"/>
    <x v="5"/>
    <x v="9"/>
    <s v="LT_OFFSHORE"/>
    <x v="21"/>
    <n v="53.225806451612797"/>
    <n v="14.784946236559099"/>
  </r>
  <r>
    <x v="0"/>
    <x v="5"/>
    <x v="5"/>
    <x v="9"/>
    <s v="LT_OFFSHORE"/>
    <x v="22"/>
    <n v="130.68"/>
    <n v="36.299999999999997"/>
  </r>
  <r>
    <x v="0"/>
    <x v="5"/>
    <x v="5"/>
    <x v="9"/>
    <s v="LT_Other_DH"/>
    <x v="2"/>
    <n v="57.96"/>
    <n v="16.100000000000001"/>
  </r>
  <r>
    <x v="0"/>
    <x v="5"/>
    <x v="5"/>
    <x v="9"/>
    <s v="LT_Other_DH"/>
    <x v="0"/>
    <n v="42.692399999999999"/>
    <n v="11.859"/>
  </r>
  <r>
    <x v="0"/>
    <x v="5"/>
    <x v="5"/>
    <x v="9"/>
    <s v="LT_Other_DH"/>
    <x v="21"/>
    <n v="53.225806451612797"/>
    <n v="14.784946236559099"/>
  </r>
  <r>
    <x v="0"/>
    <x v="5"/>
    <x v="5"/>
    <x v="9"/>
    <s v="LT_Other_DH"/>
    <x v="22"/>
    <n v="130.68"/>
    <n v="36.299999999999997"/>
  </r>
  <r>
    <x v="0"/>
    <x v="5"/>
    <x v="5"/>
    <x v="9"/>
    <s v="LT_Panevezys"/>
    <x v="2"/>
    <n v="57.96"/>
    <n v="16.100000000000001"/>
  </r>
  <r>
    <x v="0"/>
    <x v="5"/>
    <x v="5"/>
    <x v="9"/>
    <s v="LT_Panevezys"/>
    <x v="0"/>
    <n v="42.692399999999999"/>
    <n v="11.859"/>
  </r>
  <r>
    <x v="0"/>
    <x v="5"/>
    <x v="5"/>
    <x v="9"/>
    <s v="LT_Panevezys"/>
    <x v="21"/>
    <n v="53.225806451612797"/>
    <n v="14.784946236559099"/>
  </r>
  <r>
    <x v="0"/>
    <x v="5"/>
    <x v="5"/>
    <x v="9"/>
    <s v="LT_Panevezys"/>
    <x v="22"/>
    <n v="130.68"/>
    <n v="36.299999999999997"/>
  </r>
  <r>
    <x v="0"/>
    <x v="5"/>
    <x v="5"/>
    <x v="9"/>
    <s v="LT_Rural"/>
    <x v="2"/>
    <n v="57.96"/>
    <n v="16.100000000000001"/>
  </r>
  <r>
    <x v="0"/>
    <x v="5"/>
    <x v="5"/>
    <x v="9"/>
    <s v="LT_Rural"/>
    <x v="0"/>
    <n v="42.692399999999999"/>
    <n v="11.859"/>
  </r>
  <r>
    <x v="0"/>
    <x v="5"/>
    <x v="5"/>
    <x v="9"/>
    <s v="LT_Rural"/>
    <x v="21"/>
    <n v="53.225806451612797"/>
    <n v="14.784946236559099"/>
  </r>
  <r>
    <x v="0"/>
    <x v="5"/>
    <x v="5"/>
    <x v="9"/>
    <s v="LT_Rural"/>
    <x v="22"/>
    <n v="130.68"/>
    <n v="36.299999999999997"/>
  </r>
  <r>
    <x v="0"/>
    <x v="5"/>
    <x v="5"/>
    <x v="9"/>
    <s v="LT_SiaU"/>
    <x v="2"/>
    <n v="57.96"/>
    <n v="16.100000000000001"/>
  </r>
  <r>
    <x v="0"/>
    <x v="5"/>
    <x v="5"/>
    <x v="9"/>
    <s v="LT_SiaU"/>
    <x v="0"/>
    <n v="42.692399999999999"/>
    <n v="11.859"/>
  </r>
  <r>
    <x v="0"/>
    <x v="5"/>
    <x v="5"/>
    <x v="9"/>
    <s v="LT_SiaU"/>
    <x v="21"/>
    <n v="53.225806451612797"/>
    <n v="14.784946236559099"/>
  </r>
  <r>
    <x v="0"/>
    <x v="5"/>
    <x v="5"/>
    <x v="9"/>
    <s v="LT_SiaU"/>
    <x v="22"/>
    <n v="130.68"/>
    <n v="36.299999999999997"/>
  </r>
  <r>
    <x v="0"/>
    <x v="5"/>
    <x v="5"/>
    <x v="9"/>
    <s v="LT_VilU"/>
    <x v="2"/>
    <n v="57.96"/>
    <n v="16.100000000000001"/>
  </r>
  <r>
    <x v="0"/>
    <x v="5"/>
    <x v="5"/>
    <x v="9"/>
    <s v="LT_VilU"/>
    <x v="0"/>
    <n v="42.692399999999999"/>
    <n v="11.859"/>
  </r>
  <r>
    <x v="0"/>
    <x v="5"/>
    <x v="5"/>
    <x v="9"/>
    <s v="LT_VilU"/>
    <x v="21"/>
    <n v="53.225806451612797"/>
    <n v="14.784946236559099"/>
  </r>
  <r>
    <x v="0"/>
    <x v="5"/>
    <x v="5"/>
    <x v="9"/>
    <s v="LT_VilU"/>
    <x v="22"/>
    <n v="130.68"/>
    <n v="36.299999999999997"/>
  </r>
  <r>
    <x v="0"/>
    <x v="5"/>
    <x v="6"/>
    <x v="10"/>
    <s v="NL_A"/>
    <x v="2"/>
    <n v="57.96"/>
    <n v="16.100000000000001"/>
  </r>
  <r>
    <x v="0"/>
    <x v="5"/>
    <x v="6"/>
    <x v="10"/>
    <s v="NL_A"/>
    <x v="0"/>
    <n v="42.692399999999999"/>
    <n v="11.859"/>
  </r>
  <r>
    <x v="0"/>
    <x v="5"/>
    <x v="6"/>
    <x v="10"/>
    <s v="NL_A"/>
    <x v="21"/>
    <n v="53.225806451612797"/>
    <n v="14.784946236559099"/>
  </r>
  <r>
    <x v="0"/>
    <x v="5"/>
    <x v="6"/>
    <x v="10"/>
    <s v="NL_A"/>
    <x v="22"/>
    <n v="130.68"/>
    <n v="36.299999999999997"/>
  </r>
  <r>
    <x v="0"/>
    <x v="5"/>
    <x v="6"/>
    <x v="10"/>
    <s v="NL_OFFSHORE"/>
    <x v="2"/>
    <n v="57.96"/>
    <n v="16.100000000000001"/>
  </r>
  <r>
    <x v="0"/>
    <x v="5"/>
    <x v="6"/>
    <x v="10"/>
    <s v="NL_OFFSHORE"/>
    <x v="0"/>
    <n v="42.692399999999999"/>
    <n v="11.859"/>
  </r>
  <r>
    <x v="0"/>
    <x v="5"/>
    <x v="6"/>
    <x v="10"/>
    <s v="NL_OFFSHORE"/>
    <x v="21"/>
    <n v="53.225806451612797"/>
    <n v="14.784946236559099"/>
  </r>
  <r>
    <x v="0"/>
    <x v="5"/>
    <x v="6"/>
    <x v="10"/>
    <s v="NL_OFFSHORE"/>
    <x v="22"/>
    <n v="130.68"/>
    <n v="36.299999999999997"/>
  </r>
  <r>
    <x v="0"/>
    <x v="5"/>
    <x v="7"/>
    <x v="11"/>
    <s v="NO1_A1"/>
    <x v="2"/>
    <n v="57.96"/>
    <n v="16.100000000000001"/>
  </r>
  <r>
    <x v="0"/>
    <x v="5"/>
    <x v="7"/>
    <x v="11"/>
    <s v="NO1_A1"/>
    <x v="0"/>
    <n v="42.692399999999999"/>
    <n v="11.859"/>
  </r>
  <r>
    <x v="0"/>
    <x v="5"/>
    <x v="7"/>
    <x v="11"/>
    <s v="NO1_A1"/>
    <x v="21"/>
    <n v="53.225806451612797"/>
    <n v="14.784946236559099"/>
  </r>
  <r>
    <x v="0"/>
    <x v="5"/>
    <x v="7"/>
    <x v="11"/>
    <s v="NO1_A1"/>
    <x v="22"/>
    <n v="130.68"/>
    <n v="36.299999999999997"/>
  </r>
  <r>
    <x v="0"/>
    <x v="5"/>
    <x v="7"/>
    <x v="11"/>
    <s v="NO1_A2"/>
    <x v="2"/>
    <n v="57.96"/>
    <n v="16.100000000000001"/>
  </r>
  <r>
    <x v="0"/>
    <x v="5"/>
    <x v="7"/>
    <x v="11"/>
    <s v="NO1_A2"/>
    <x v="0"/>
    <n v="42.692399999999999"/>
    <n v="11.859"/>
  </r>
  <r>
    <x v="0"/>
    <x v="5"/>
    <x v="7"/>
    <x v="11"/>
    <s v="NO1_A2"/>
    <x v="21"/>
    <n v="53.225806451612797"/>
    <n v="14.784946236559099"/>
  </r>
  <r>
    <x v="0"/>
    <x v="5"/>
    <x v="7"/>
    <x v="11"/>
    <s v="NO1_A2"/>
    <x v="22"/>
    <n v="130.68"/>
    <n v="36.299999999999997"/>
  </r>
  <r>
    <x v="0"/>
    <x v="5"/>
    <x v="7"/>
    <x v="11"/>
    <s v="NO1_A3"/>
    <x v="2"/>
    <n v="57.96"/>
    <n v="16.100000000000001"/>
  </r>
  <r>
    <x v="0"/>
    <x v="5"/>
    <x v="7"/>
    <x v="11"/>
    <s v="NO1_A3"/>
    <x v="0"/>
    <n v="42.692399999999999"/>
    <n v="11.859"/>
  </r>
  <r>
    <x v="0"/>
    <x v="5"/>
    <x v="7"/>
    <x v="11"/>
    <s v="NO1_A3"/>
    <x v="21"/>
    <n v="53.225806451612797"/>
    <n v="14.784946236559099"/>
  </r>
  <r>
    <x v="0"/>
    <x v="5"/>
    <x v="7"/>
    <x v="11"/>
    <s v="NO1_A3"/>
    <x v="22"/>
    <n v="130.68"/>
    <n v="36.299999999999997"/>
  </r>
  <r>
    <x v="0"/>
    <x v="5"/>
    <x v="7"/>
    <x v="11"/>
    <s v="NO1_Offshore"/>
    <x v="2"/>
    <n v="57.96"/>
    <n v="16.100000000000001"/>
  </r>
  <r>
    <x v="0"/>
    <x v="5"/>
    <x v="7"/>
    <x v="11"/>
    <s v="NO1_Offshore"/>
    <x v="0"/>
    <n v="42.692399999999999"/>
    <n v="11.859"/>
  </r>
  <r>
    <x v="0"/>
    <x v="5"/>
    <x v="7"/>
    <x v="11"/>
    <s v="NO1_Offshore"/>
    <x v="21"/>
    <n v="53.225806451612797"/>
    <n v="14.784946236559099"/>
  </r>
  <r>
    <x v="0"/>
    <x v="5"/>
    <x v="7"/>
    <x v="11"/>
    <s v="NO1_Offshore"/>
    <x v="22"/>
    <n v="130.68"/>
    <n v="36.299999999999997"/>
  </r>
  <r>
    <x v="0"/>
    <x v="5"/>
    <x v="7"/>
    <x v="12"/>
    <s v="NO2_A1"/>
    <x v="2"/>
    <n v="57.96"/>
    <n v="16.100000000000001"/>
  </r>
  <r>
    <x v="0"/>
    <x v="5"/>
    <x v="7"/>
    <x v="12"/>
    <s v="NO2_A1"/>
    <x v="0"/>
    <n v="42.692399999999999"/>
    <n v="11.859"/>
  </r>
  <r>
    <x v="0"/>
    <x v="5"/>
    <x v="7"/>
    <x v="12"/>
    <s v="NO2_A1"/>
    <x v="21"/>
    <n v="53.225806451612797"/>
    <n v="14.784946236559099"/>
  </r>
  <r>
    <x v="0"/>
    <x v="5"/>
    <x v="7"/>
    <x v="12"/>
    <s v="NO2_A1"/>
    <x v="22"/>
    <n v="130.68"/>
    <n v="36.299999999999997"/>
  </r>
  <r>
    <x v="0"/>
    <x v="5"/>
    <x v="7"/>
    <x v="12"/>
    <s v="NO2_A2"/>
    <x v="2"/>
    <n v="57.96"/>
    <n v="16.100000000000001"/>
  </r>
  <r>
    <x v="0"/>
    <x v="5"/>
    <x v="7"/>
    <x v="12"/>
    <s v="NO2_A2"/>
    <x v="0"/>
    <n v="42.692399999999999"/>
    <n v="11.859"/>
  </r>
  <r>
    <x v="0"/>
    <x v="5"/>
    <x v="7"/>
    <x v="12"/>
    <s v="NO2_A2"/>
    <x v="21"/>
    <n v="53.225806451612797"/>
    <n v="14.784946236559099"/>
  </r>
  <r>
    <x v="0"/>
    <x v="5"/>
    <x v="7"/>
    <x v="12"/>
    <s v="NO2_A2"/>
    <x v="22"/>
    <n v="130.68"/>
    <n v="36.299999999999997"/>
  </r>
  <r>
    <x v="0"/>
    <x v="5"/>
    <x v="7"/>
    <x v="12"/>
    <s v="NO2_Offshore"/>
    <x v="2"/>
    <n v="57.96"/>
    <n v="16.100000000000001"/>
  </r>
  <r>
    <x v="0"/>
    <x v="5"/>
    <x v="7"/>
    <x v="12"/>
    <s v="NO2_Offshore"/>
    <x v="0"/>
    <n v="42.692399999999999"/>
    <n v="11.859"/>
  </r>
  <r>
    <x v="0"/>
    <x v="5"/>
    <x v="7"/>
    <x v="12"/>
    <s v="NO2_Offshore"/>
    <x v="21"/>
    <n v="53.225806451612797"/>
    <n v="14.784946236559099"/>
  </r>
  <r>
    <x v="0"/>
    <x v="5"/>
    <x v="7"/>
    <x v="12"/>
    <s v="NO2_Offshore"/>
    <x v="22"/>
    <n v="130.68"/>
    <n v="36.299999999999997"/>
  </r>
  <r>
    <x v="0"/>
    <x v="5"/>
    <x v="7"/>
    <x v="13"/>
    <s v="NO3_A1"/>
    <x v="2"/>
    <n v="57.96"/>
    <n v="16.100000000000001"/>
  </r>
  <r>
    <x v="0"/>
    <x v="5"/>
    <x v="7"/>
    <x v="13"/>
    <s v="NO3_A1"/>
    <x v="0"/>
    <n v="42.692399999999999"/>
    <n v="11.859"/>
  </r>
  <r>
    <x v="0"/>
    <x v="5"/>
    <x v="7"/>
    <x v="13"/>
    <s v="NO3_A1"/>
    <x v="21"/>
    <n v="53.225806451612797"/>
    <n v="14.784946236559099"/>
  </r>
  <r>
    <x v="0"/>
    <x v="5"/>
    <x v="7"/>
    <x v="13"/>
    <s v="NO3_A1"/>
    <x v="22"/>
    <n v="130.68"/>
    <n v="36.299999999999997"/>
  </r>
  <r>
    <x v="0"/>
    <x v="5"/>
    <x v="7"/>
    <x v="13"/>
    <s v="NO3_A2"/>
    <x v="2"/>
    <n v="57.96"/>
    <n v="16.100000000000001"/>
  </r>
  <r>
    <x v="0"/>
    <x v="5"/>
    <x v="7"/>
    <x v="13"/>
    <s v="NO3_A2"/>
    <x v="0"/>
    <n v="42.692399999999999"/>
    <n v="11.859"/>
  </r>
  <r>
    <x v="0"/>
    <x v="5"/>
    <x v="7"/>
    <x v="13"/>
    <s v="NO3_A2"/>
    <x v="21"/>
    <n v="53.225806451612797"/>
    <n v="14.784946236559099"/>
  </r>
  <r>
    <x v="0"/>
    <x v="5"/>
    <x v="7"/>
    <x v="13"/>
    <s v="NO3_A2"/>
    <x v="22"/>
    <n v="130.68"/>
    <n v="36.299999999999997"/>
  </r>
  <r>
    <x v="0"/>
    <x v="5"/>
    <x v="7"/>
    <x v="13"/>
    <s v="NO3_A3"/>
    <x v="2"/>
    <n v="57.96"/>
    <n v="16.100000000000001"/>
  </r>
  <r>
    <x v="0"/>
    <x v="5"/>
    <x v="7"/>
    <x v="13"/>
    <s v="NO3_A3"/>
    <x v="0"/>
    <n v="42.692399999999999"/>
    <n v="11.859"/>
  </r>
  <r>
    <x v="0"/>
    <x v="5"/>
    <x v="7"/>
    <x v="13"/>
    <s v="NO3_A3"/>
    <x v="21"/>
    <n v="53.225806451612797"/>
    <n v="14.784946236559099"/>
  </r>
  <r>
    <x v="0"/>
    <x v="5"/>
    <x v="7"/>
    <x v="13"/>
    <s v="NO3_A3"/>
    <x v="22"/>
    <n v="130.68"/>
    <n v="36.299999999999997"/>
  </r>
  <r>
    <x v="0"/>
    <x v="5"/>
    <x v="7"/>
    <x v="13"/>
    <s v="NO3_Offshore"/>
    <x v="2"/>
    <n v="57.96"/>
    <n v="16.100000000000001"/>
  </r>
  <r>
    <x v="0"/>
    <x v="5"/>
    <x v="7"/>
    <x v="13"/>
    <s v="NO3_Offshore"/>
    <x v="0"/>
    <n v="42.692399999999999"/>
    <n v="11.859"/>
  </r>
  <r>
    <x v="0"/>
    <x v="5"/>
    <x v="7"/>
    <x v="13"/>
    <s v="NO3_Offshore"/>
    <x v="21"/>
    <n v="53.225806451612797"/>
    <n v="14.784946236559099"/>
  </r>
  <r>
    <x v="0"/>
    <x v="5"/>
    <x v="7"/>
    <x v="13"/>
    <s v="NO3_Offshore"/>
    <x v="22"/>
    <n v="130.68"/>
    <n v="36.299999999999997"/>
  </r>
  <r>
    <x v="0"/>
    <x v="5"/>
    <x v="7"/>
    <x v="14"/>
    <s v="NO4_A1"/>
    <x v="2"/>
    <n v="57.96"/>
    <n v="16.100000000000001"/>
  </r>
  <r>
    <x v="0"/>
    <x v="5"/>
    <x v="7"/>
    <x v="14"/>
    <s v="NO4_A1"/>
    <x v="0"/>
    <n v="42.692399999999999"/>
    <n v="11.859"/>
  </r>
  <r>
    <x v="0"/>
    <x v="5"/>
    <x v="7"/>
    <x v="14"/>
    <s v="NO4_A1"/>
    <x v="21"/>
    <n v="53.225806451612797"/>
    <n v="14.784946236559099"/>
  </r>
  <r>
    <x v="0"/>
    <x v="5"/>
    <x v="7"/>
    <x v="14"/>
    <s v="NO4_A1"/>
    <x v="22"/>
    <n v="130.68"/>
    <n v="36.299999999999997"/>
  </r>
  <r>
    <x v="0"/>
    <x v="5"/>
    <x v="7"/>
    <x v="14"/>
    <s v="NO4_A2"/>
    <x v="2"/>
    <n v="57.96"/>
    <n v="16.100000000000001"/>
  </r>
  <r>
    <x v="0"/>
    <x v="5"/>
    <x v="7"/>
    <x v="14"/>
    <s v="NO4_A2"/>
    <x v="0"/>
    <n v="42.692399999999999"/>
    <n v="11.859"/>
  </r>
  <r>
    <x v="0"/>
    <x v="5"/>
    <x v="7"/>
    <x v="14"/>
    <s v="NO4_A2"/>
    <x v="21"/>
    <n v="53.225806451612797"/>
    <n v="14.784946236559099"/>
  </r>
  <r>
    <x v="0"/>
    <x v="5"/>
    <x v="7"/>
    <x v="14"/>
    <s v="NO4_A2"/>
    <x v="22"/>
    <n v="130.68"/>
    <n v="36.299999999999997"/>
  </r>
  <r>
    <x v="0"/>
    <x v="5"/>
    <x v="7"/>
    <x v="14"/>
    <s v="NO4_Offshore"/>
    <x v="2"/>
    <n v="57.96"/>
    <n v="16.100000000000001"/>
  </r>
  <r>
    <x v="0"/>
    <x v="5"/>
    <x v="7"/>
    <x v="14"/>
    <s v="NO4_Offshore"/>
    <x v="0"/>
    <n v="42.692399999999999"/>
    <n v="11.859"/>
  </r>
  <r>
    <x v="0"/>
    <x v="5"/>
    <x v="7"/>
    <x v="14"/>
    <s v="NO4_Offshore"/>
    <x v="21"/>
    <n v="53.225806451612797"/>
    <n v="14.784946236559099"/>
  </r>
  <r>
    <x v="0"/>
    <x v="5"/>
    <x v="7"/>
    <x v="14"/>
    <s v="NO4_Offshore"/>
    <x v="22"/>
    <n v="130.68"/>
    <n v="36.299999999999997"/>
  </r>
  <r>
    <x v="0"/>
    <x v="5"/>
    <x v="7"/>
    <x v="15"/>
    <s v="NO5_A1"/>
    <x v="2"/>
    <n v="57.96"/>
    <n v="16.100000000000001"/>
  </r>
  <r>
    <x v="0"/>
    <x v="5"/>
    <x v="7"/>
    <x v="15"/>
    <s v="NO5_A1"/>
    <x v="0"/>
    <n v="42.692399999999999"/>
    <n v="11.859"/>
  </r>
  <r>
    <x v="0"/>
    <x v="5"/>
    <x v="7"/>
    <x v="15"/>
    <s v="NO5_A1"/>
    <x v="21"/>
    <n v="53.225806451612797"/>
    <n v="14.784946236559099"/>
  </r>
  <r>
    <x v="0"/>
    <x v="5"/>
    <x v="7"/>
    <x v="15"/>
    <s v="NO5_A1"/>
    <x v="22"/>
    <n v="130.68"/>
    <n v="36.299999999999997"/>
  </r>
  <r>
    <x v="0"/>
    <x v="5"/>
    <x v="7"/>
    <x v="15"/>
    <s v="NO5_A2"/>
    <x v="2"/>
    <n v="57.96"/>
    <n v="16.100000000000001"/>
  </r>
  <r>
    <x v="0"/>
    <x v="5"/>
    <x v="7"/>
    <x v="15"/>
    <s v="NO5_A2"/>
    <x v="0"/>
    <n v="42.692399999999999"/>
    <n v="11.859"/>
  </r>
  <r>
    <x v="0"/>
    <x v="5"/>
    <x v="7"/>
    <x v="15"/>
    <s v="NO5_A2"/>
    <x v="21"/>
    <n v="53.225806451612797"/>
    <n v="14.784946236559099"/>
  </r>
  <r>
    <x v="0"/>
    <x v="5"/>
    <x v="7"/>
    <x v="15"/>
    <s v="NO5_A2"/>
    <x v="22"/>
    <n v="130.68"/>
    <n v="36.299999999999997"/>
  </r>
  <r>
    <x v="0"/>
    <x v="5"/>
    <x v="7"/>
    <x v="15"/>
    <s v="NO5_Offshore"/>
    <x v="2"/>
    <n v="57.96"/>
    <n v="16.100000000000001"/>
  </r>
  <r>
    <x v="0"/>
    <x v="5"/>
    <x v="7"/>
    <x v="15"/>
    <s v="NO5_Offshore"/>
    <x v="0"/>
    <n v="42.692399999999999"/>
    <n v="11.859"/>
  </r>
  <r>
    <x v="0"/>
    <x v="5"/>
    <x v="7"/>
    <x v="15"/>
    <s v="NO5_Offshore"/>
    <x v="21"/>
    <n v="53.225806451612797"/>
    <n v="14.784946236559099"/>
  </r>
  <r>
    <x v="0"/>
    <x v="5"/>
    <x v="7"/>
    <x v="15"/>
    <s v="NO5_Offshore"/>
    <x v="22"/>
    <n v="130.68"/>
    <n v="36.299999999999997"/>
  </r>
  <r>
    <x v="0"/>
    <x v="5"/>
    <x v="8"/>
    <x v="16"/>
    <s v="PL_A"/>
    <x v="2"/>
    <n v="57.96"/>
    <n v="16.100000000000001"/>
  </r>
  <r>
    <x v="0"/>
    <x v="5"/>
    <x v="8"/>
    <x v="16"/>
    <s v="PL_A"/>
    <x v="0"/>
    <n v="42.692399999999999"/>
    <n v="11.859"/>
  </r>
  <r>
    <x v="0"/>
    <x v="5"/>
    <x v="8"/>
    <x v="16"/>
    <s v="PL_A"/>
    <x v="21"/>
    <n v="53.225806451612797"/>
    <n v="14.784946236559099"/>
  </r>
  <r>
    <x v="0"/>
    <x v="5"/>
    <x v="8"/>
    <x v="16"/>
    <s v="PL_A"/>
    <x v="22"/>
    <n v="130.68"/>
    <n v="36.299999999999997"/>
  </r>
  <r>
    <x v="0"/>
    <x v="5"/>
    <x v="8"/>
    <x v="16"/>
    <s v="PL_OFFSHORE"/>
    <x v="2"/>
    <n v="57.96"/>
    <n v="16.100000000000001"/>
  </r>
  <r>
    <x v="0"/>
    <x v="5"/>
    <x v="8"/>
    <x v="16"/>
    <s v="PL_OFFSHORE"/>
    <x v="0"/>
    <n v="42.692399999999999"/>
    <n v="11.859"/>
  </r>
  <r>
    <x v="0"/>
    <x v="5"/>
    <x v="8"/>
    <x v="16"/>
    <s v="PL_OFFSHORE"/>
    <x v="21"/>
    <n v="53.225806451612797"/>
    <n v="14.784946236559099"/>
  </r>
  <r>
    <x v="0"/>
    <x v="5"/>
    <x v="8"/>
    <x v="16"/>
    <s v="PL_OFFSHORE"/>
    <x v="22"/>
    <n v="130.68"/>
    <n v="36.299999999999997"/>
  </r>
  <r>
    <x v="0"/>
    <x v="5"/>
    <x v="8"/>
    <x v="16"/>
    <s v="PL_Rural"/>
    <x v="2"/>
    <n v="57.96"/>
    <n v="16.100000000000001"/>
  </r>
  <r>
    <x v="0"/>
    <x v="5"/>
    <x v="8"/>
    <x v="16"/>
    <s v="PL_Rural"/>
    <x v="0"/>
    <n v="42.692399999999999"/>
    <n v="11.859"/>
  </r>
  <r>
    <x v="0"/>
    <x v="5"/>
    <x v="8"/>
    <x v="16"/>
    <s v="PL_Rural"/>
    <x v="21"/>
    <n v="53.225806451612797"/>
    <n v="14.784946236559099"/>
  </r>
  <r>
    <x v="0"/>
    <x v="5"/>
    <x v="8"/>
    <x v="16"/>
    <s v="PL_Rural"/>
    <x v="22"/>
    <n v="130.68"/>
    <n v="36.299999999999997"/>
  </r>
  <r>
    <x v="0"/>
    <x v="5"/>
    <x v="9"/>
    <x v="17"/>
    <s v="SE1A"/>
    <x v="2"/>
    <n v="57.96"/>
    <n v="16.100000000000001"/>
  </r>
  <r>
    <x v="0"/>
    <x v="5"/>
    <x v="9"/>
    <x v="17"/>
    <s v="SE1A"/>
    <x v="0"/>
    <n v="42.692399999999999"/>
    <n v="11.859"/>
  </r>
  <r>
    <x v="0"/>
    <x v="5"/>
    <x v="9"/>
    <x v="17"/>
    <s v="SE1A"/>
    <x v="21"/>
    <n v="53.225806451612797"/>
    <n v="14.784946236559099"/>
  </r>
  <r>
    <x v="0"/>
    <x v="5"/>
    <x v="9"/>
    <x v="17"/>
    <s v="SE1A"/>
    <x v="22"/>
    <n v="130.68"/>
    <n v="36.299999999999997"/>
  </r>
  <r>
    <x v="0"/>
    <x v="5"/>
    <x v="9"/>
    <x v="17"/>
    <s v="SE1_IND"/>
    <x v="2"/>
    <n v="57.96"/>
    <n v="16.100000000000001"/>
  </r>
  <r>
    <x v="0"/>
    <x v="5"/>
    <x v="9"/>
    <x v="17"/>
    <s v="SE1_IND"/>
    <x v="0"/>
    <n v="42.692399999999999"/>
    <n v="11.859"/>
  </r>
  <r>
    <x v="0"/>
    <x v="5"/>
    <x v="9"/>
    <x v="17"/>
    <s v="SE1_IND"/>
    <x v="21"/>
    <n v="53.225806451612797"/>
    <n v="14.784946236559099"/>
  </r>
  <r>
    <x v="0"/>
    <x v="5"/>
    <x v="9"/>
    <x v="17"/>
    <s v="SE1_IND"/>
    <x v="22"/>
    <n v="130.68"/>
    <n v="36.299999999999997"/>
  </r>
  <r>
    <x v="0"/>
    <x v="5"/>
    <x v="9"/>
    <x v="17"/>
    <s v="SE1_Offshore"/>
    <x v="2"/>
    <n v="57.96"/>
    <n v="16.100000000000001"/>
  </r>
  <r>
    <x v="0"/>
    <x v="5"/>
    <x v="9"/>
    <x v="17"/>
    <s v="SE1_Offshore"/>
    <x v="0"/>
    <n v="42.692399999999999"/>
    <n v="11.859"/>
  </r>
  <r>
    <x v="0"/>
    <x v="5"/>
    <x v="9"/>
    <x v="17"/>
    <s v="SE1_Offshore"/>
    <x v="21"/>
    <n v="53.225806451612797"/>
    <n v="14.784946236559099"/>
  </r>
  <r>
    <x v="0"/>
    <x v="5"/>
    <x v="9"/>
    <x v="17"/>
    <s v="SE1_Offshore"/>
    <x v="22"/>
    <n v="130.68"/>
    <n v="36.299999999999997"/>
  </r>
  <r>
    <x v="0"/>
    <x v="5"/>
    <x v="9"/>
    <x v="17"/>
    <s v="SE1_medium"/>
    <x v="2"/>
    <n v="57.96"/>
    <n v="16.100000000000001"/>
  </r>
  <r>
    <x v="0"/>
    <x v="5"/>
    <x v="9"/>
    <x v="17"/>
    <s v="SE1_medium"/>
    <x v="0"/>
    <n v="42.692399999999999"/>
    <n v="11.859"/>
  </r>
  <r>
    <x v="0"/>
    <x v="5"/>
    <x v="9"/>
    <x v="17"/>
    <s v="SE1_medium"/>
    <x v="21"/>
    <n v="53.225806451612797"/>
    <n v="14.784946236559099"/>
  </r>
  <r>
    <x v="0"/>
    <x v="5"/>
    <x v="9"/>
    <x v="17"/>
    <s v="SE1_medium"/>
    <x v="22"/>
    <n v="130.68"/>
    <n v="36.299999999999997"/>
  </r>
  <r>
    <x v="0"/>
    <x v="5"/>
    <x v="9"/>
    <x v="17"/>
    <s v="SE1_small"/>
    <x v="2"/>
    <n v="57.96"/>
    <n v="16.100000000000001"/>
  </r>
  <r>
    <x v="0"/>
    <x v="5"/>
    <x v="9"/>
    <x v="17"/>
    <s v="SE1_small"/>
    <x v="0"/>
    <n v="42.692399999999999"/>
    <n v="11.859"/>
  </r>
  <r>
    <x v="0"/>
    <x v="5"/>
    <x v="9"/>
    <x v="17"/>
    <s v="SE1_small"/>
    <x v="21"/>
    <n v="53.225806451612797"/>
    <n v="14.784946236559099"/>
  </r>
  <r>
    <x v="0"/>
    <x v="5"/>
    <x v="9"/>
    <x v="17"/>
    <s v="SE1_small"/>
    <x v="22"/>
    <n v="130.68"/>
    <n v="36.299999999999997"/>
  </r>
  <r>
    <x v="0"/>
    <x v="5"/>
    <x v="9"/>
    <x v="18"/>
    <s v="SE2A"/>
    <x v="2"/>
    <n v="57.96"/>
    <n v="16.100000000000001"/>
  </r>
  <r>
    <x v="0"/>
    <x v="5"/>
    <x v="9"/>
    <x v="18"/>
    <s v="SE2A"/>
    <x v="0"/>
    <n v="42.692399999999999"/>
    <n v="11.859"/>
  </r>
  <r>
    <x v="0"/>
    <x v="5"/>
    <x v="9"/>
    <x v="18"/>
    <s v="SE2A"/>
    <x v="21"/>
    <n v="53.225806451612797"/>
    <n v="14.784946236559099"/>
  </r>
  <r>
    <x v="0"/>
    <x v="5"/>
    <x v="9"/>
    <x v="18"/>
    <s v="SE2A"/>
    <x v="22"/>
    <n v="130.68"/>
    <n v="36.299999999999997"/>
  </r>
  <r>
    <x v="0"/>
    <x v="5"/>
    <x v="9"/>
    <x v="18"/>
    <s v="SE2_IND"/>
    <x v="2"/>
    <n v="57.96"/>
    <n v="16.100000000000001"/>
  </r>
  <r>
    <x v="0"/>
    <x v="5"/>
    <x v="9"/>
    <x v="18"/>
    <s v="SE2_IND"/>
    <x v="0"/>
    <n v="42.692399999999999"/>
    <n v="11.859"/>
  </r>
  <r>
    <x v="0"/>
    <x v="5"/>
    <x v="9"/>
    <x v="18"/>
    <s v="SE2_IND"/>
    <x v="21"/>
    <n v="53.225806451612797"/>
    <n v="14.784946236559099"/>
  </r>
  <r>
    <x v="0"/>
    <x v="5"/>
    <x v="9"/>
    <x v="18"/>
    <s v="SE2_IND"/>
    <x v="22"/>
    <n v="130.68"/>
    <n v="36.299999999999997"/>
  </r>
  <r>
    <x v="0"/>
    <x v="5"/>
    <x v="9"/>
    <x v="18"/>
    <s v="SE2_Offshore"/>
    <x v="2"/>
    <n v="57.96"/>
    <n v="16.100000000000001"/>
  </r>
  <r>
    <x v="0"/>
    <x v="5"/>
    <x v="9"/>
    <x v="18"/>
    <s v="SE2_Offshore"/>
    <x v="0"/>
    <n v="42.692399999999999"/>
    <n v="11.859"/>
  </r>
  <r>
    <x v="0"/>
    <x v="5"/>
    <x v="9"/>
    <x v="18"/>
    <s v="SE2_Offshore"/>
    <x v="21"/>
    <n v="53.225806451612797"/>
    <n v="14.784946236559099"/>
  </r>
  <r>
    <x v="0"/>
    <x v="5"/>
    <x v="9"/>
    <x v="18"/>
    <s v="SE2_Offshore"/>
    <x v="22"/>
    <n v="130.68"/>
    <n v="36.299999999999997"/>
  </r>
  <r>
    <x v="0"/>
    <x v="5"/>
    <x v="9"/>
    <x v="18"/>
    <s v="SE2_medium"/>
    <x v="2"/>
    <n v="57.96"/>
    <n v="16.100000000000001"/>
  </r>
  <r>
    <x v="0"/>
    <x v="5"/>
    <x v="9"/>
    <x v="18"/>
    <s v="SE2_medium"/>
    <x v="0"/>
    <n v="42.692399999999999"/>
    <n v="11.859"/>
  </r>
  <r>
    <x v="0"/>
    <x v="5"/>
    <x v="9"/>
    <x v="18"/>
    <s v="SE2_medium"/>
    <x v="21"/>
    <n v="53.225806451612797"/>
    <n v="14.784946236559099"/>
  </r>
  <r>
    <x v="0"/>
    <x v="5"/>
    <x v="9"/>
    <x v="18"/>
    <s v="SE2_medium"/>
    <x v="22"/>
    <n v="130.68"/>
    <n v="36.299999999999997"/>
  </r>
  <r>
    <x v="0"/>
    <x v="5"/>
    <x v="9"/>
    <x v="18"/>
    <s v="SE2_small"/>
    <x v="2"/>
    <n v="57.96"/>
    <n v="16.100000000000001"/>
  </r>
  <r>
    <x v="0"/>
    <x v="5"/>
    <x v="9"/>
    <x v="18"/>
    <s v="SE2_small"/>
    <x v="0"/>
    <n v="42.692399999999999"/>
    <n v="11.859"/>
  </r>
  <r>
    <x v="0"/>
    <x v="5"/>
    <x v="9"/>
    <x v="18"/>
    <s v="SE2_small"/>
    <x v="21"/>
    <n v="53.225806451612797"/>
    <n v="14.784946236559099"/>
  </r>
  <r>
    <x v="0"/>
    <x v="5"/>
    <x v="9"/>
    <x v="18"/>
    <s v="SE2_small"/>
    <x v="22"/>
    <n v="130.68"/>
    <n v="36.299999999999997"/>
  </r>
  <r>
    <x v="0"/>
    <x v="5"/>
    <x v="9"/>
    <x v="19"/>
    <s v="SE3A"/>
    <x v="2"/>
    <n v="57.96"/>
    <n v="16.100000000000001"/>
  </r>
  <r>
    <x v="0"/>
    <x v="5"/>
    <x v="9"/>
    <x v="19"/>
    <s v="SE3A"/>
    <x v="0"/>
    <n v="42.692399999999999"/>
    <n v="11.859"/>
  </r>
  <r>
    <x v="0"/>
    <x v="5"/>
    <x v="9"/>
    <x v="19"/>
    <s v="SE3A"/>
    <x v="21"/>
    <n v="53.225806451612797"/>
    <n v="14.784946236559099"/>
  </r>
  <r>
    <x v="0"/>
    <x v="5"/>
    <x v="9"/>
    <x v="19"/>
    <s v="SE3A"/>
    <x v="22"/>
    <n v="130.68"/>
    <n v="36.299999999999997"/>
  </r>
  <r>
    <x v="0"/>
    <x v="5"/>
    <x v="9"/>
    <x v="19"/>
    <s v="SE3_IND"/>
    <x v="2"/>
    <n v="57.96"/>
    <n v="16.100000000000001"/>
  </r>
  <r>
    <x v="0"/>
    <x v="5"/>
    <x v="9"/>
    <x v="19"/>
    <s v="SE3_IND"/>
    <x v="0"/>
    <n v="42.692399999999999"/>
    <n v="11.859"/>
  </r>
  <r>
    <x v="0"/>
    <x v="5"/>
    <x v="9"/>
    <x v="19"/>
    <s v="SE3_IND"/>
    <x v="21"/>
    <n v="53.225806451612797"/>
    <n v="14.784946236559099"/>
  </r>
  <r>
    <x v="0"/>
    <x v="5"/>
    <x v="9"/>
    <x v="19"/>
    <s v="SE3_IND"/>
    <x v="22"/>
    <n v="130.68"/>
    <n v="36.299999999999997"/>
  </r>
  <r>
    <x v="0"/>
    <x v="5"/>
    <x v="9"/>
    <x v="19"/>
    <s v="SE3_Offshore"/>
    <x v="2"/>
    <n v="57.96"/>
    <n v="16.100000000000001"/>
  </r>
  <r>
    <x v="0"/>
    <x v="5"/>
    <x v="9"/>
    <x v="19"/>
    <s v="SE3_Offshore"/>
    <x v="0"/>
    <n v="42.692399999999999"/>
    <n v="11.859"/>
  </r>
  <r>
    <x v="0"/>
    <x v="5"/>
    <x v="9"/>
    <x v="19"/>
    <s v="SE3_Offshore"/>
    <x v="21"/>
    <n v="53.225806451612797"/>
    <n v="14.784946236559099"/>
  </r>
  <r>
    <x v="0"/>
    <x v="5"/>
    <x v="9"/>
    <x v="19"/>
    <s v="SE3_Offshore"/>
    <x v="22"/>
    <n v="130.68"/>
    <n v="36.299999999999997"/>
  </r>
  <r>
    <x v="0"/>
    <x v="5"/>
    <x v="9"/>
    <x v="19"/>
    <s v="SE3_large"/>
    <x v="2"/>
    <n v="57.96"/>
    <n v="16.100000000000001"/>
  </r>
  <r>
    <x v="0"/>
    <x v="5"/>
    <x v="9"/>
    <x v="19"/>
    <s v="SE3_large"/>
    <x v="0"/>
    <n v="42.692399999999999"/>
    <n v="11.859"/>
  </r>
  <r>
    <x v="0"/>
    <x v="5"/>
    <x v="9"/>
    <x v="19"/>
    <s v="SE3_large"/>
    <x v="21"/>
    <n v="53.225806451612797"/>
    <n v="14.784946236559099"/>
  </r>
  <r>
    <x v="0"/>
    <x v="5"/>
    <x v="9"/>
    <x v="19"/>
    <s v="SE3_large"/>
    <x v="22"/>
    <n v="130.68"/>
    <n v="36.299999999999997"/>
  </r>
  <r>
    <x v="0"/>
    <x v="5"/>
    <x v="9"/>
    <x v="19"/>
    <s v="SE3_medium"/>
    <x v="2"/>
    <n v="57.96"/>
    <n v="16.100000000000001"/>
  </r>
  <r>
    <x v="0"/>
    <x v="5"/>
    <x v="9"/>
    <x v="19"/>
    <s v="SE3_medium"/>
    <x v="0"/>
    <n v="42.692399999999999"/>
    <n v="11.859"/>
  </r>
  <r>
    <x v="0"/>
    <x v="5"/>
    <x v="9"/>
    <x v="19"/>
    <s v="SE3_medium"/>
    <x v="21"/>
    <n v="53.225806451612797"/>
    <n v="14.784946236559099"/>
  </r>
  <r>
    <x v="0"/>
    <x v="5"/>
    <x v="9"/>
    <x v="19"/>
    <s v="SE3_medium"/>
    <x v="22"/>
    <n v="130.68"/>
    <n v="36.299999999999997"/>
  </r>
  <r>
    <x v="0"/>
    <x v="5"/>
    <x v="9"/>
    <x v="19"/>
    <s v="SE3_small"/>
    <x v="2"/>
    <n v="57.96"/>
    <n v="16.100000000000001"/>
  </r>
  <r>
    <x v="0"/>
    <x v="5"/>
    <x v="9"/>
    <x v="19"/>
    <s v="SE3_small"/>
    <x v="0"/>
    <n v="42.692399999999999"/>
    <n v="11.859"/>
  </r>
  <r>
    <x v="0"/>
    <x v="5"/>
    <x v="9"/>
    <x v="19"/>
    <s v="SE3_small"/>
    <x v="21"/>
    <n v="53.225806451612797"/>
    <n v="14.784946236559099"/>
  </r>
  <r>
    <x v="0"/>
    <x v="5"/>
    <x v="9"/>
    <x v="19"/>
    <s v="SE3_small"/>
    <x v="22"/>
    <n v="130.68"/>
    <n v="36.299999999999997"/>
  </r>
  <r>
    <x v="0"/>
    <x v="5"/>
    <x v="9"/>
    <x v="20"/>
    <s v="SE4A"/>
    <x v="2"/>
    <n v="57.96"/>
    <n v="16.100000000000001"/>
  </r>
  <r>
    <x v="0"/>
    <x v="5"/>
    <x v="9"/>
    <x v="20"/>
    <s v="SE4A"/>
    <x v="0"/>
    <n v="42.692399999999999"/>
    <n v="11.859"/>
  </r>
  <r>
    <x v="0"/>
    <x v="5"/>
    <x v="9"/>
    <x v="20"/>
    <s v="SE4A"/>
    <x v="21"/>
    <n v="53.225806451612797"/>
    <n v="14.784946236559099"/>
  </r>
  <r>
    <x v="0"/>
    <x v="5"/>
    <x v="9"/>
    <x v="20"/>
    <s v="SE4A"/>
    <x v="22"/>
    <n v="130.68"/>
    <n v="36.299999999999997"/>
  </r>
  <r>
    <x v="0"/>
    <x v="5"/>
    <x v="9"/>
    <x v="20"/>
    <s v="SE4_IND"/>
    <x v="2"/>
    <n v="57.96"/>
    <n v="16.100000000000001"/>
  </r>
  <r>
    <x v="0"/>
    <x v="5"/>
    <x v="9"/>
    <x v="20"/>
    <s v="SE4_IND"/>
    <x v="0"/>
    <n v="42.692399999999999"/>
    <n v="11.859"/>
  </r>
  <r>
    <x v="0"/>
    <x v="5"/>
    <x v="9"/>
    <x v="20"/>
    <s v="SE4_IND"/>
    <x v="21"/>
    <n v="53.225806451612797"/>
    <n v="14.784946236559099"/>
  </r>
  <r>
    <x v="0"/>
    <x v="5"/>
    <x v="9"/>
    <x v="20"/>
    <s v="SE4_IND"/>
    <x v="22"/>
    <n v="130.68"/>
    <n v="36.299999999999997"/>
  </r>
  <r>
    <x v="0"/>
    <x v="5"/>
    <x v="9"/>
    <x v="20"/>
    <s v="SE4_Offshore"/>
    <x v="2"/>
    <n v="57.96"/>
    <n v="16.100000000000001"/>
  </r>
  <r>
    <x v="0"/>
    <x v="5"/>
    <x v="9"/>
    <x v="20"/>
    <s v="SE4_Offshore"/>
    <x v="0"/>
    <n v="42.692399999999999"/>
    <n v="11.859"/>
  </r>
  <r>
    <x v="0"/>
    <x v="5"/>
    <x v="9"/>
    <x v="20"/>
    <s v="SE4_Offshore"/>
    <x v="21"/>
    <n v="53.225806451612797"/>
    <n v="14.784946236559099"/>
  </r>
  <r>
    <x v="0"/>
    <x v="5"/>
    <x v="9"/>
    <x v="20"/>
    <s v="SE4_Offshore"/>
    <x v="22"/>
    <n v="130.68"/>
    <n v="36.299999999999997"/>
  </r>
  <r>
    <x v="0"/>
    <x v="5"/>
    <x v="9"/>
    <x v="20"/>
    <s v="SE4_large"/>
    <x v="2"/>
    <n v="57.96"/>
    <n v="16.100000000000001"/>
  </r>
  <r>
    <x v="0"/>
    <x v="5"/>
    <x v="9"/>
    <x v="20"/>
    <s v="SE4_large"/>
    <x v="0"/>
    <n v="42.692399999999999"/>
    <n v="11.859"/>
  </r>
  <r>
    <x v="0"/>
    <x v="5"/>
    <x v="9"/>
    <x v="20"/>
    <s v="SE4_large"/>
    <x v="21"/>
    <n v="53.225806451612797"/>
    <n v="14.784946236559099"/>
  </r>
  <r>
    <x v="0"/>
    <x v="5"/>
    <x v="9"/>
    <x v="20"/>
    <s v="SE4_large"/>
    <x v="22"/>
    <n v="130.68"/>
    <n v="36.299999999999997"/>
  </r>
  <r>
    <x v="0"/>
    <x v="5"/>
    <x v="9"/>
    <x v="20"/>
    <s v="SE4_medium"/>
    <x v="2"/>
    <n v="57.96"/>
    <n v="16.100000000000001"/>
  </r>
  <r>
    <x v="0"/>
    <x v="5"/>
    <x v="9"/>
    <x v="20"/>
    <s v="SE4_medium"/>
    <x v="0"/>
    <n v="42.692399999999999"/>
    <n v="11.859"/>
  </r>
  <r>
    <x v="0"/>
    <x v="5"/>
    <x v="9"/>
    <x v="20"/>
    <s v="SE4_medium"/>
    <x v="21"/>
    <n v="53.225806451612797"/>
    <n v="14.784946236559099"/>
  </r>
  <r>
    <x v="0"/>
    <x v="5"/>
    <x v="9"/>
    <x v="20"/>
    <s v="SE4_medium"/>
    <x v="22"/>
    <n v="130.68"/>
    <n v="36.299999999999997"/>
  </r>
  <r>
    <x v="0"/>
    <x v="5"/>
    <x v="9"/>
    <x v="20"/>
    <s v="SE4_small"/>
    <x v="2"/>
    <n v="57.96"/>
    <n v="16.100000000000001"/>
  </r>
  <r>
    <x v="0"/>
    <x v="5"/>
    <x v="9"/>
    <x v="20"/>
    <s v="SE4_small"/>
    <x v="0"/>
    <n v="42.692399999999999"/>
    <n v="11.859"/>
  </r>
  <r>
    <x v="0"/>
    <x v="5"/>
    <x v="9"/>
    <x v="20"/>
    <s v="SE4_small"/>
    <x v="21"/>
    <n v="53.225806451612797"/>
    <n v="14.784946236559099"/>
  </r>
  <r>
    <x v="0"/>
    <x v="5"/>
    <x v="9"/>
    <x v="20"/>
    <s v="SE4_small"/>
    <x v="22"/>
    <n v="130.68"/>
    <n v="36.299999999999997"/>
  </r>
  <r>
    <x v="0"/>
    <x v="5"/>
    <x v="10"/>
    <x v="21"/>
    <s v="UK_A"/>
    <x v="2"/>
    <n v="57.96"/>
    <n v="16.100000000000001"/>
  </r>
  <r>
    <x v="0"/>
    <x v="5"/>
    <x v="10"/>
    <x v="21"/>
    <s v="UK_A"/>
    <x v="0"/>
    <n v="42.692399999999999"/>
    <n v="11.859"/>
  </r>
  <r>
    <x v="0"/>
    <x v="5"/>
    <x v="10"/>
    <x v="21"/>
    <s v="UK_A"/>
    <x v="21"/>
    <n v="53.225806451612797"/>
    <n v="14.784946236559099"/>
  </r>
  <r>
    <x v="0"/>
    <x v="5"/>
    <x v="10"/>
    <x v="21"/>
    <s v="UK_A"/>
    <x v="22"/>
    <n v="130.68"/>
    <n v="36.299999999999997"/>
  </r>
  <r>
    <x v="0"/>
    <x v="5"/>
    <x v="10"/>
    <x v="21"/>
    <s v="UK_Offshore"/>
    <x v="2"/>
    <n v="57.96"/>
    <n v="16.100000000000001"/>
  </r>
  <r>
    <x v="0"/>
    <x v="5"/>
    <x v="10"/>
    <x v="21"/>
    <s v="UK_Offshore"/>
    <x v="0"/>
    <n v="42.692399999999999"/>
    <n v="11.859"/>
  </r>
  <r>
    <x v="0"/>
    <x v="5"/>
    <x v="10"/>
    <x v="21"/>
    <s v="UK_Offshore"/>
    <x v="21"/>
    <n v="53.225806451612797"/>
    <n v="14.784946236559099"/>
  </r>
  <r>
    <x v="0"/>
    <x v="5"/>
    <x v="10"/>
    <x v="21"/>
    <s v="UK_Offshore"/>
    <x v="22"/>
    <n v="130.68"/>
    <n v="36.299999999999997"/>
  </r>
  <r>
    <x v="0"/>
    <x v="6"/>
    <x v="0"/>
    <x v="0"/>
    <s v="DK1_Large"/>
    <x v="2"/>
    <n v="57.96"/>
    <n v="16.100000000000001"/>
  </r>
  <r>
    <x v="0"/>
    <x v="6"/>
    <x v="0"/>
    <x v="0"/>
    <s v="DK1_Large"/>
    <x v="0"/>
    <n v="42.692399999999999"/>
    <n v="11.859"/>
  </r>
  <r>
    <x v="0"/>
    <x v="6"/>
    <x v="0"/>
    <x v="0"/>
    <s v="DK1_Large"/>
    <x v="21"/>
    <n v="53.225806451612797"/>
    <n v="14.784946236559099"/>
  </r>
  <r>
    <x v="0"/>
    <x v="6"/>
    <x v="0"/>
    <x v="0"/>
    <s v="DK1_Large"/>
    <x v="22"/>
    <n v="130.68"/>
    <n v="36.299999999999997"/>
  </r>
  <r>
    <x v="0"/>
    <x v="6"/>
    <x v="0"/>
    <x v="0"/>
    <s v="DK1_Large_PHH"/>
    <x v="2"/>
    <n v="57.96"/>
    <n v="16.100000000000001"/>
  </r>
  <r>
    <x v="0"/>
    <x v="6"/>
    <x v="0"/>
    <x v="0"/>
    <s v="DK1_Large_PHH"/>
    <x v="0"/>
    <n v="42.692399999999999"/>
    <n v="11.859"/>
  </r>
  <r>
    <x v="0"/>
    <x v="6"/>
    <x v="0"/>
    <x v="0"/>
    <s v="DK1_Large_PHH"/>
    <x v="21"/>
    <n v="53.225806451612797"/>
    <n v="14.784946236559099"/>
  </r>
  <r>
    <x v="0"/>
    <x v="6"/>
    <x v="0"/>
    <x v="0"/>
    <s v="DK1_Large_PHH"/>
    <x v="22"/>
    <n v="130.68"/>
    <n v="36.299999999999997"/>
  </r>
  <r>
    <x v="0"/>
    <x v="6"/>
    <x v="0"/>
    <x v="0"/>
    <s v="DK1_Large_PHL"/>
    <x v="2"/>
    <n v="57.96"/>
    <n v="16.100000000000001"/>
  </r>
  <r>
    <x v="0"/>
    <x v="6"/>
    <x v="0"/>
    <x v="0"/>
    <s v="DK1_Large_PHL"/>
    <x v="0"/>
    <n v="42.692399999999999"/>
    <n v="11.859"/>
  </r>
  <r>
    <x v="0"/>
    <x v="6"/>
    <x v="0"/>
    <x v="0"/>
    <s v="DK1_Large_PHL"/>
    <x v="21"/>
    <n v="53.225806451612797"/>
    <n v="14.784946236559099"/>
  </r>
  <r>
    <x v="0"/>
    <x v="6"/>
    <x v="0"/>
    <x v="0"/>
    <s v="DK1_Large_PHL"/>
    <x v="22"/>
    <n v="130.68"/>
    <n v="36.299999999999997"/>
  </r>
  <r>
    <x v="0"/>
    <x v="6"/>
    <x v="0"/>
    <x v="0"/>
    <s v="DK1_MedSmall"/>
    <x v="2"/>
    <n v="57.96"/>
    <n v="16.100000000000001"/>
  </r>
  <r>
    <x v="0"/>
    <x v="6"/>
    <x v="0"/>
    <x v="0"/>
    <s v="DK1_MedSmall"/>
    <x v="0"/>
    <n v="42.692399999999999"/>
    <n v="11.859"/>
  </r>
  <r>
    <x v="0"/>
    <x v="6"/>
    <x v="0"/>
    <x v="0"/>
    <s v="DK1_MedSmall"/>
    <x v="21"/>
    <n v="53.225806451612797"/>
    <n v="14.784946236559099"/>
  </r>
  <r>
    <x v="0"/>
    <x v="6"/>
    <x v="0"/>
    <x v="0"/>
    <s v="DK1_MedSmall"/>
    <x v="22"/>
    <n v="130.68"/>
    <n v="36.299999999999997"/>
  </r>
  <r>
    <x v="0"/>
    <x v="6"/>
    <x v="0"/>
    <x v="0"/>
    <s v="DK1_Medium"/>
    <x v="2"/>
    <n v="57.96"/>
    <n v="16.100000000000001"/>
  </r>
  <r>
    <x v="0"/>
    <x v="6"/>
    <x v="0"/>
    <x v="0"/>
    <s v="DK1_Medium"/>
    <x v="0"/>
    <n v="42.692399999999999"/>
    <n v="11.859"/>
  </r>
  <r>
    <x v="0"/>
    <x v="6"/>
    <x v="0"/>
    <x v="0"/>
    <s v="DK1_Medium"/>
    <x v="21"/>
    <n v="53.225806451612797"/>
    <n v="14.784946236559099"/>
  </r>
  <r>
    <x v="0"/>
    <x v="6"/>
    <x v="0"/>
    <x v="0"/>
    <s v="DK1_Medium"/>
    <x v="22"/>
    <n v="130.68"/>
    <n v="36.299999999999997"/>
  </r>
  <r>
    <x v="0"/>
    <x v="6"/>
    <x v="0"/>
    <x v="0"/>
    <s v="DK1_NoDH"/>
    <x v="2"/>
    <n v="57.96"/>
    <n v="16.100000000000001"/>
  </r>
  <r>
    <x v="0"/>
    <x v="6"/>
    <x v="0"/>
    <x v="0"/>
    <s v="DK1_NoDH"/>
    <x v="0"/>
    <n v="42.692399999999999"/>
    <n v="11.859"/>
  </r>
  <r>
    <x v="0"/>
    <x v="6"/>
    <x v="0"/>
    <x v="0"/>
    <s v="DK1_NoDH"/>
    <x v="21"/>
    <n v="53.225806451612797"/>
    <n v="14.784946236559099"/>
  </r>
  <r>
    <x v="0"/>
    <x v="6"/>
    <x v="0"/>
    <x v="0"/>
    <s v="DK1_NoDH"/>
    <x v="22"/>
    <n v="130.68"/>
    <n v="36.299999999999997"/>
  </r>
  <r>
    <x v="0"/>
    <x v="6"/>
    <x v="0"/>
    <x v="0"/>
    <s v="DK1_NoDH_PHH"/>
    <x v="2"/>
    <n v="57.96"/>
    <n v="16.100000000000001"/>
  </r>
  <r>
    <x v="0"/>
    <x v="6"/>
    <x v="0"/>
    <x v="0"/>
    <s v="DK1_NoDH_PHH"/>
    <x v="0"/>
    <n v="42.692399999999999"/>
    <n v="11.859"/>
  </r>
  <r>
    <x v="0"/>
    <x v="6"/>
    <x v="0"/>
    <x v="0"/>
    <s v="DK1_NoDH_PHH"/>
    <x v="21"/>
    <n v="53.225806451612797"/>
    <n v="14.784946236559099"/>
  </r>
  <r>
    <x v="0"/>
    <x v="6"/>
    <x v="0"/>
    <x v="0"/>
    <s v="DK1_NoDH_PHH"/>
    <x v="22"/>
    <n v="130.68"/>
    <n v="36.299999999999997"/>
  </r>
  <r>
    <x v="0"/>
    <x v="6"/>
    <x v="0"/>
    <x v="0"/>
    <s v="DK1_NoDH_PHL"/>
    <x v="2"/>
    <n v="57.96"/>
    <n v="16.100000000000001"/>
  </r>
  <r>
    <x v="0"/>
    <x v="6"/>
    <x v="0"/>
    <x v="0"/>
    <s v="DK1_NoDH_PHL"/>
    <x v="0"/>
    <n v="42.692399999999999"/>
    <n v="11.859"/>
  </r>
  <r>
    <x v="0"/>
    <x v="6"/>
    <x v="0"/>
    <x v="0"/>
    <s v="DK1_NoDH_PHL"/>
    <x v="21"/>
    <n v="53.225806451612797"/>
    <n v="14.784946236559099"/>
  </r>
  <r>
    <x v="0"/>
    <x v="6"/>
    <x v="0"/>
    <x v="0"/>
    <s v="DK1_NoDH_PHL"/>
    <x v="22"/>
    <n v="130.68"/>
    <n v="36.299999999999997"/>
  </r>
  <r>
    <x v="0"/>
    <x v="6"/>
    <x v="0"/>
    <x v="0"/>
    <s v="DK1_Offshore"/>
    <x v="2"/>
    <n v="57.96"/>
    <n v="16.100000000000001"/>
  </r>
  <r>
    <x v="0"/>
    <x v="6"/>
    <x v="0"/>
    <x v="0"/>
    <s v="DK1_Offshore"/>
    <x v="0"/>
    <n v="42.692399999999999"/>
    <n v="11.859"/>
  </r>
  <r>
    <x v="0"/>
    <x v="6"/>
    <x v="0"/>
    <x v="0"/>
    <s v="DK1_Offshore"/>
    <x v="21"/>
    <n v="53.225806451612797"/>
    <n v="14.784946236559099"/>
  </r>
  <r>
    <x v="0"/>
    <x v="6"/>
    <x v="0"/>
    <x v="0"/>
    <s v="DK1_Offshore"/>
    <x v="22"/>
    <n v="130.68"/>
    <n v="36.299999999999997"/>
  </r>
  <r>
    <x v="0"/>
    <x v="6"/>
    <x v="0"/>
    <x v="0"/>
    <s v="DK1_Rural"/>
    <x v="2"/>
    <n v="57.96"/>
    <n v="16.100000000000001"/>
  </r>
  <r>
    <x v="0"/>
    <x v="6"/>
    <x v="0"/>
    <x v="0"/>
    <s v="DK1_Rural"/>
    <x v="0"/>
    <n v="42.692399999999999"/>
    <n v="11.859"/>
  </r>
  <r>
    <x v="0"/>
    <x v="6"/>
    <x v="0"/>
    <x v="0"/>
    <s v="DK1_Rural"/>
    <x v="21"/>
    <n v="53.225806451612797"/>
    <n v="14.784946236559099"/>
  </r>
  <r>
    <x v="0"/>
    <x v="6"/>
    <x v="0"/>
    <x v="0"/>
    <s v="DK1_Rural"/>
    <x v="22"/>
    <n v="130.68"/>
    <n v="36.299999999999997"/>
  </r>
  <r>
    <x v="0"/>
    <x v="6"/>
    <x v="0"/>
    <x v="0"/>
    <s v="DK1_Small"/>
    <x v="2"/>
    <n v="57.96"/>
    <n v="16.100000000000001"/>
  </r>
  <r>
    <x v="0"/>
    <x v="6"/>
    <x v="0"/>
    <x v="0"/>
    <s v="DK1_Small"/>
    <x v="0"/>
    <n v="42.692399999999999"/>
    <n v="11.859"/>
  </r>
  <r>
    <x v="0"/>
    <x v="6"/>
    <x v="0"/>
    <x v="0"/>
    <s v="DK1_Small"/>
    <x v="21"/>
    <n v="53.225806451612797"/>
    <n v="14.784946236559099"/>
  </r>
  <r>
    <x v="0"/>
    <x v="6"/>
    <x v="0"/>
    <x v="0"/>
    <s v="DK1_Small"/>
    <x v="22"/>
    <n v="130.68"/>
    <n v="36.299999999999997"/>
  </r>
  <r>
    <x v="0"/>
    <x v="6"/>
    <x v="0"/>
    <x v="1"/>
    <s v="DK2_Large"/>
    <x v="2"/>
    <n v="57.96"/>
    <n v="16.100000000000001"/>
  </r>
  <r>
    <x v="0"/>
    <x v="6"/>
    <x v="0"/>
    <x v="1"/>
    <s v="DK2_Large"/>
    <x v="0"/>
    <n v="42.692399999999999"/>
    <n v="11.859"/>
  </r>
  <r>
    <x v="0"/>
    <x v="6"/>
    <x v="0"/>
    <x v="1"/>
    <s v="DK2_Large"/>
    <x v="21"/>
    <n v="53.225806451612797"/>
    <n v="14.784946236559099"/>
  </r>
  <r>
    <x v="0"/>
    <x v="6"/>
    <x v="0"/>
    <x v="1"/>
    <s v="DK2_Large"/>
    <x v="22"/>
    <n v="130.68"/>
    <n v="36.299999999999997"/>
  </r>
  <r>
    <x v="0"/>
    <x v="6"/>
    <x v="0"/>
    <x v="1"/>
    <s v="DK2_Large_PHH"/>
    <x v="2"/>
    <n v="57.96"/>
    <n v="16.100000000000001"/>
  </r>
  <r>
    <x v="0"/>
    <x v="6"/>
    <x v="0"/>
    <x v="1"/>
    <s v="DK2_Large_PHH"/>
    <x v="0"/>
    <n v="42.692399999999999"/>
    <n v="11.859"/>
  </r>
  <r>
    <x v="0"/>
    <x v="6"/>
    <x v="0"/>
    <x v="1"/>
    <s v="DK2_Large_PHH"/>
    <x v="21"/>
    <n v="53.225806451612797"/>
    <n v="14.784946236559099"/>
  </r>
  <r>
    <x v="0"/>
    <x v="6"/>
    <x v="0"/>
    <x v="1"/>
    <s v="DK2_Large_PHH"/>
    <x v="22"/>
    <n v="130.68"/>
    <n v="36.299999999999997"/>
  </r>
  <r>
    <x v="0"/>
    <x v="6"/>
    <x v="0"/>
    <x v="1"/>
    <s v="DK2_Large_PHL"/>
    <x v="2"/>
    <n v="57.96"/>
    <n v="16.100000000000001"/>
  </r>
  <r>
    <x v="0"/>
    <x v="6"/>
    <x v="0"/>
    <x v="1"/>
    <s v="DK2_Large_PHL"/>
    <x v="0"/>
    <n v="42.692399999999999"/>
    <n v="11.859"/>
  </r>
  <r>
    <x v="0"/>
    <x v="6"/>
    <x v="0"/>
    <x v="1"/>
    <s v="DK2_Large_PHL"/>
    <x v="21"/>
    <n v="53.225806451612797"/>
    <n v="14.784946236559099"/>
  </r>
  <r>
    <x v="0"/>
    <x v="6"/>
    <x v="0"/>
    <x v="1"/>
    <s v="DK2_Large_PHL"/>
    <x v="22"/>
    <n v="130.68"/>
    <n v="36.299999999999997"/>
  </r>
  <r>
    <x v="0"/>
    <x v="6"/>
    <x v="0"/>
    <x v="1"/>
    <s v="DK2_MedSmall"/>
    <x v="2"/>
    <n v="57.96"/>
    <n v="16.100000000000001"/>
  </r>
  <r>
    <x v="0"/>
    <x v="6"/>
    <x v="0"/>
    <x v="1"/>
    <s v="DK2_MedSmall"/>
    <x v="0"/>
    <n v="42.692399999999999"/>
    <n v="11.859"/>
  </r>
  <r>
    <x v="0"/>
    <x v="6"/>
    <x v="0"/>
    <x v="1"/>
    <s v="DK2_MedSmall"/>
    <x v="21"/>
    <n v="53.225806451612797"/>
    <n v="14.784946236559099"/>
  </r>
  <r>
    <x v="0"/>
    <x v="6"/>
    <x v="0"/>
    <x v="1"/>
    <s v="DK2_MedSmall"/>
    <x v="22"/>
    <n v="130.68"/>
    <n v="36.299999999999997"/>
  </r>
  <r>
    <x v="0"/>
    <x v="6"/>
    <x v="0"/>
    <x v="1"/>
    <s v="DK2_Medium"/>
    <x v="2"/>
    <n v="57.96"/>
    <n v="16.100000000000001"/>
  </r>
  <r>
    <x v="0"/>
    <x v="6"/>
    <x v="0"/>
    <x v="1"/>
    <s v="DK2_Medium"/>
    <x v="0"/>
    <n v="42.692399999999999"/>
    <n v="11.859"/>
  </r>
  <r>
    <x v="0"/>
    <x v="6"/>
    <x v="0"/>
    <x v="1"/>
    <s v="DK2_Medium"/>
    <x v="21"/>
    <n v="53.225806451612797"/>
    <n v="14.784946236559099"/>
  </r>
  <r>
    <x v="0"/>
    <x v="6"/>
    <x v="0"/>
    <x v="1"/>
    <s v="DK2_Medium"/>
    <x v="22"/>
    <n v="130.68"/>
    <n v="36.299999999999997"/>
  </r>
  <r>
    <x v="0"/>
    <x v="6"/>
    <x v="0"/>
    <x v="1"/>
    <s v="DK2_NoDH"/>
    <x v="2"/>
    <n v="57.96"/>
    <n v="16.100000000000001"/>
  </r>
  <r>
    <x v="0"/>
    <x v="6"/>
    <x v="0"/>
    <x v="1"/>
    <s v="DK2_NoDH"/>
    <x v="0"/>
    <n v="42.692399999999999"/>
    <n v="11.859"/>
  </r>
  <r>
    <x v="0"/>
    <x v="6"/>
    <x v="0"/>
    <x v="1"/>
    <s v="DK2_NoDH"/>
    <x v="21"/>
    <n v="53.225806451612797"/>
    <n v="14.784946236559099"/>
  </r>
  <r>
    <x v="0"/>
    <x v="6"/>
    <x v="0"/>
    <x v="1"/>
    <s v="DK2_NoDH"/>
    <x v="22"/>
    <n v="130.68"/>
    <n v="36.299999999999997"/>
  </r>
  <r>
    <x v="0"/>
    <x v="6"/>
    <x v="0"/>
    <x v="1"/>
    <s v="DK2_NoDH_PHH"/>
    <x v="2"/>
    <n v="57.96"/>
    <n v="16.100000000000001"/>
  </r>
  <r>
    <x v="0"/>
    <x v="6"/>
    <x v="0"/>
    <x v="1"/>
    <s v="DK2_NoDH_PHH"/>
    <x v="0"/>
    <n v="42.692399999999999"/>
    <n v="11.859"/>
  </r>
  <r>
    <x v="0"/>
    <x v="6"/>
    <x v="0"/>
    <x v="1"/>
    <s v="DK2_NoDH_PHH"/>
    <x v="21"/>
    <n v="53.225806451612797"/>
    <n v="14.784946236559099"/>
  </r>
  <r>
    <x v="0"/>
    <x v="6"/>
    <x v="0"/>
    <x v="1"/>
    <s v="DK2_NoDH_PHH"/>
    <x v="22"/>
    <n v="130.68"/>
    <n v="36.299999999999997"/>
  </r>
  <r>
    <x v="0"/>
    <x v="6"/>
    <x v="0"/>
    <x v="1"/>
    <s v="DK2_NoDH_PHL"/>
    <x v="2"/>
    <n v="57.96"/>
    <n v="16.100000000000001"/>
  </r>
  <r>
    <x v="0"/>
    <x v="6"/>
    <x v="0"/>
    <x v="1"/>
    <s v="DK2_NoDH_PHL"/>
    <x v="0"/>
    <n v="42.692399999999999"/>
    <n v="11.859"/>
  </r>
  <r>
    <x v="0"/>
    <x v="6"/>
    <x v="0"/>
    <x v="1"/>
    <s v="DK2_NoDH_PHL"/>
    <x v="21"/>
    <n v="53.225806451612797"/>
    <n v="14.784946236559099"/>
  </r>
  <r>
    <x v="0"/>
    <x v="6"/>
    <x v="0"/>
    <x v="1"/>
    <s v="DK2_NoDH_PHL"/>
    <x v="22"/>
    <n v="130.68"/>
    <n v="36.299999999999997"/>
  </r>
  <r>
    <x v="0"/>
    <x v="6"/>
    <x v="0"/>
    <x v="1"/>
    <s v="DK2_Offshore"/>
    <x v="2"/>
    <n v="57.96"/>
    <n v="16.100000000000001"/>
  </r>
  <r>
    <x v="0"/>
    <x v="6"/>
    <x v="0"/>
    <x v="1"/>
    <s v="DK2_Offshore"/>
    <x v="0"/>
    <n v="42.692399999999999"/>
    <n v="11.859"/>
  </r>
  <r>
    <x v="0"/>
    <x v="6"/>
    <x v="0"/>
    <x v="1"/>
    <s v="DK2_Offshore"/>
    <x v="21"/>
    <n v="53.225806451612797"/>
    <n v="14.784946236559099"/>
  </r>
  <r>
    <x v="0"/>
    <x v="6"/>
    <x v="0"/>
    <x v="1"/>
    <s v="DK2_Offshore"/>
    <x v="22"/>
    <n v="130.68"/>
    <n v="36.299999999999997"/>
  </r>
  <r>
    <x v="0"/>
    <x v="6"/>
    <x v="0"/>
    <x v="1"/>
    <s v="DK2_Rural"/>
    <x v="2"/>
    <n v="57.96"/>
    <n v="16.100000000000001"/>
  </r>
  <r>
    <x v="0"/>
    <x v="6"/>
    <x v="0"/>
    <x v="1"/>
    <s v="DK2_Rural"/>
    <x v="0"/>
    <n v="42.692399999999999"/>
    <n v="11.859"/>
  </r>
  <r>
    <x v="0"/>
    <x v="6"/>
    <x v="0"/>
    <x v="1"/>
    <s v="DK2_Rural"/>
    <x v="21"/>
    <n v="53.225806451612797"/>
    <n v="14.784946236559099"/>
  </r>
  <r>
    <x v="0"/>
    <x v="6"/>
    <x v="0"/>
    <x v="1"/>
    <s v="DK2_Rural"/>
    <x v="22"/>
    <n v="130.68"/>
    <n v="36.299999999999997"/>
  </r>
  <r>
    <x v="0"/>
    <x v="6"/>
    <x v="0"/>
    <x v="1"/>
    <s v="DK2_Small"/>
    <x v="2"/>
    <n v="57.96"/>
    <n v="16.100000000000001"/>
  </r>
  <r>
    <x v="0"/>
    <x v="6"/>
    <x v="0"/>
    <x v="1"/>
    <s v="DK2_Small"/>
    <x v="0"/>
    <n v="42.692399999999999"/>
    <n v="11.859"/>
  </r>
  <r>
    <x v="0"/>
    <x v="6"/>
    <x v="0"/>
    <x v="1"/>
    <s v="DK2_Small"/>
    <x v="21"/>
    <n v="53.225806451612797"/>
    <n v="14.784946236559099"/>
  </r>
  <r>
    <x v="0"/>
    <x v="6"/>
    <x v="0"/>
    <x v="1"/>
    <s v="DK2_Small"/>
    <x v="22"/>
    <n v="130.68"/>
    <n v="36.299999999999997"/>
  </r>
  <r>
    <x v="0"/>
    <x v="6"/>
    <x v="1"/>
    <x v="2"/>
    <s v="EE_A"/>
    <x v="2"/>
    <n v="57.96"/>
    <n v="16.100000000000001"/>
  </r>
  <r>
    <x v="0"/>
    <x v="6"/>
    <x v="1"/>
    <x v="2"/>
    <s v="EE_A"/>
    <x v="0"/>
    <n v="42.692399999999999"/>
    <n v="11.859"/>
  </r>
  <r>
    <x v="0"/>
    <x v="6"/>
    <x v="1"/>
    <x v="2"/>
    <s v="EE_A"/>
    <x v="21"/>
    <n v="53.225806451612797"/>
    <n v="14.784946236559099"/>
  </r>
  <r>
    <x v="0"/>
    <x v="6"/>
    <x v="1"/>
    <x v="2"/>
    <s v="EE_A"/>
    <x v="22"/>
    <n v="130.68"/>
    <n v="36.299999999999997"/>
  </r>
  <r>
    <x v="0"/>
    <x v="6"/>
    <x v="1"/>
    <x v="2"/>
    <s v="EE_Enefit"/>
    <x v="2"/>
    <n v="57.96"/>
    <n v="16.100000000000001"/>
  </r>
  <r>
    <x v="0"/>
    <x v="6"/>
    <x v="1"/>
    <x v="2"/>
    <s v="EE_Enefit"/>
    <x v="0"/>
    <n v="42.692399999999999"/>
    <n v="11.859"/>
  </r>
  <r>
    <x v="0"/>
    <x v="6"/>
    <x v="1"/>
    <x v="2"/>
    <s v="EE_Enefit"/>
    <x v="21"/>
    <n v="53.225806451612797"/>
    <n v="14.784946236559099"/>
  </r>
  <r>
    <x v="0"/>
    <x v="6"/>
    <x v="1"/>
    <x v="2"/>
    <s v="EE_Enefit"/>
    <x v="22"/>
    <n v="130.68"/>
    <n v="36.299999999999997"/>
  </r>
  <r>
    <x v="0"/>
    <x v="6"/>
    <x v="1"/>
    <x v="2"/>
    <s v="EE_Industry"/>
    <x v="2"/>
    <n v="57.96"/>
    <n v="16.100000000000001"/>
  </r>
  <r>
    <x v="0"/>
    <x v="6"/>
    <x v="1"/>
    <x v="2"/>
    <s v="EE_Industry"/>
    <x v="0"/>
    <n v="42.692399999999999"/>
    <n v="11.859"/>
  </r>
  <r>
    <x v="0"/>
    <x v="6"/>
    <x v="1"/>
    <x v="2"/>
    <s v="EE_Industry"/>
    <x v="21"/>
    <n v="53.225806451612797"/>
    <n v="14.784946236559099"/>
  </r>
  <r>
    <x v="0"/>
    <x v="6"/>
    <x v="1"/>
    <x v="2"/>
    <s v="EE_Industry"/>
    <x v="22"/>
    <n v="130.68"/>
    <n v="36.299999999999997"/>
  </r>
  <r>
    <x v="0"/>
    <x v="6"/>
    <x v="1"/>
    <x v="2"/>
    <s v="EE_Kohtla_Jarve"/>
    <x v="2"/>
    <n v="57.96"/>
    <n v="16.100000000000001"/>
  </r>
  <r>
    <x v="0"/>
    <x v="6"/>
    <x v="1"/>
    <x v="2"/>
    <s v="EE_Kohtla_Jarve"/>
    <x v="0"/>
    <n v="42.692399999999999"/>
    <n v="11.859"/>
  </r>
  <r>
    <x v="0"/>
    <x v="6"/>
    <x v="1"/>
    <x v="2"/>
    <s v="EE_Kohtla_Jarve"/>
    <x v="21"/>
    <n v="53.225806451612797"/>
    <n v="14.784946236559099"/>
  </r>
  <r>
    <x v="0"/>
    <x v="6"/>
    <x v="1"/>
    <x v="2"/>
    <s v="EE_Kohtla_Jarve"/>
    <x v="22"/>
    <n v="130.68"/>
    <n v="36.299999999999997"/>
  </r>
  <r>
    <x v="0"/>
    <x v="6"/>
    <x v="1"/>
    <x v="2"/>
    <s v="EE_Narva"/>
    <x v="2"/>
    <n v="57.96"/>
    <n v="16.100000000000001"/>
  </r>
  <r>
    <x v="0"/>
    <x v="6"/>
    <x v="1"/>
    <x v="2"/>
    <s v="EE_Narva"/>
    <x v="0"/>
    <n v="42.692399999999999"/>
    <n v="11.859"/>
  </r>
  <r>
    <x v="0"/>
    <x v="6"/>
    <x v="1"/>
    <x v="2"/>
    <s v="EE_Narva"/>
    <x v="21"/>
    <n v="53.225806451612797"/>
    <n v="14.784946236559099"/>
  </r>
  <r>
    <x v="0"/>
    <x v="6"/>
    <x v="1"/>
    <x v="2"/>
    <s v="EE_Narva"/>
    <x v="22"/>
    <n v="130.68"/>
    <n v="36.299999999999997"/>
  </r>
  <r>
    <x v="0"/>
    <x v="6"/>
    <x v="1"/>
    <x v="2"/>
    <s v="EE_OFFSHORE"/>
    <x v="2"/>
    <n v="57.96"/>
    <n v="16.100000000000001"/>
  </r>
  <r>
    <x v="0"/>
    <x v="6"/>
    <x v="1"/>
    <x v="2"/>
    <s v="EE_OFFSHORE"/>
    <x v="0"/>
    <n v="42.692399999999999"/>
    <n v="11.859"/>
  </r>
  <r>
    <x v="0"/>
    <x v="6"/>
    <x v="1"/>
    <x v="2"/>
    <s v="EE_OFFSHORE"/>
    <x v="21"/>
    <n v="53.225806451612797"/>
    <n v="14.784946236559099"/>
  </r>
  <r>
    <x v="0"/>
    <x v="6"/>
    <x v="1"/>
    <x v="2"/>
    <s v="EE_OFFSHORE"/>
    <x v="22"/>
    <n v="130.68"/>
    <n v="36.299999999999997"/>
  </r>
  <r>
    <x v="0"/>
    <x v="6"/>
    <x v="1"/>
    <x v="2"/>
    <s v="EE_Parnu"/>
    <x v="2"/>
    <n v="57.96"/>
    <n v="16.100000000000001"/>
  </r>
  <r>
    <x v="0"/>
    <x v="6"/>
    <x v="1"/>
    <x v="2"/>
    <s v="EE_Parnu"/>
    <x v="0"/>
    <n v="42.692399999999999"/>
    <n v="11.859"/>
  </r>
  <r>
    <x v="0"/>
    <x v="6"/>
    <x v="1"/>
    <x v="2"/>
    <s v="EE_Parnu"/>
    <x v="21"/>
    <n v="53.225806451612797"/>
    <n v="14.784946236559099"/>
  </r>
  <r>
    <x v="0"/>
    <x v="6"/>
    <x v="1"/>
    <x v="2"/>
    <s v="EE_Parnu"/>
    <x v="22"/>
    <n v="130.68"/>
    <n v="36.299999999999997"/>
  </r>
  <r>
    <x v="0"/>
    <x v="6"/>
    <x v="1"/>
    <x v="2"/>
    <s v="EE_Rural"/>
    <x v="2"/>
    <n v="57.96"/>
    <n v="16.100000000000001"/>
  </r>
  <r>
    <x v="0"/>
    <x v="6"/>
    <x v="1"/>
    <x v="2"/>
    <s v="EE_Rural"/>
    <x v="0"/>
    <n v="42.692399999999999"/>
    <n v="11.859"/>
  </r>
  <r>
    <x v="0"/>
    <x v="6"/>
    <x v="1"/>
    <x v="2"/>
    <s v="EE_Rural"/>
    <x v="21"/>
    <n v="53.225806451612797"/>
    <n v="14.784946236559099"/>
  </r>
  <r>
    <x v="0"/>
    <x v="6"/>
    <x v="1"/>
    <x v="2"/>
    <s v="EE_Rural"/>
    <x v="22"/>
    <n v="130.68"/>
    <n v="36.299999999999997"/>
  </r>
  <r>
    <x v="0"/>
    <x v="6"/>
    <x v="1"/>
    <x v="2"/>
    <s v="EE_Sillamae"/>
    <x v="2"/>
    <n v="57.96"/>
    <n v="16.100000000000001"/>
  </r>
  <r>
    <x v="0"/>
    <x v="6"/>
    <x v="1"/>
    <x v="2"/>
    <s v="EE_Sillamae"/>
    <x v="0"/>
    <n v="42.692399999999999"/>
    <n v="11.859"/>
  </r>
  <r>
    <x v="0"/>
    <x v="6"/>
    <x v="1"/>
    <x v="2"/>
    <s v="EE_Sillamae"/>
    <x v="21"/>
    <n v="53.225806451612797"/>
    <n v="14.784946236559099"/>
  </r>
  <r>
    <x v="0"/>
    <x v="6"/>
    <x v="1"/>
    <x v="2"/>
    <s v="EE_Sillamae"/>
    <x v="22"/>
    <n v="130.68"/>
    <n v="36.299999999999997"/>
  </r>
  <r>
    <x v="0"/>
    <x v="6"/>
    <x v="1"/>
    <x v="2"/>
    <s v="EE_Tallinn"/>
    <x v="2"/>
    <n v="57.96"/>
    <n v="16.100000000000001"/>
  </r>
  <r>
    <x v="0"/>
    <x v="6"/>
    <x v="1"/>
    <x v="2"/>
    <s v="EE_Tallinn"/>
    <x v="0"/>
    <n v="42.692399999999999"/>
    <n v="11.859"/>
  </r>
  <r>
    <x v="0"/>
    <x v="6"/>
    <x v="1"/>
    <x v="2"/>
    <s v="EE_Tallinn"/>
    <x v="21"/>
    <n v="53.225806451612797"/>
    <n v="14.784946236559099"/>
  </r>
  <r>
    <x v="0"/>
    <x v="6"/>
    <x v="1"/>
    <x v="2"/>
    <s v="EE_Tallinn"/>
    <x v="22"/>
    <n v="130.68"/>
    <n v="36.299999999999997"/>
  </r>
  <r>
    <x v="0"/>
    <x v="6"/>
    <x v="1"/>
    <x v="2"/>
    <s v="EE_Tartu"/>
    <x v="2"/>
    <n v="57.96"/>
    <n v="16.100000000000001"/>
  </r>
  <r>
    <x v="0"/>
    <x v="6"/>
    <x v="1"/>
    <x v="2"/>
    <s v="EE_Tartu"/>
    <x v="0"/>
    <n v="42.692399999999999"/>
    <n v="11.859"/>
  </r>
  <r>
    <x v="0"/>
    <x v="6"/>
    <x v="1"/>
    <x v="2"/>
    <s v="EE_Tartu"/>
    <x v="21"/>
    <n v="53.225806451612797"/>
    <n v="14.784946236559099"/>
  </r>
  <r>
    <x v="0"/>
    <x v="6"/>
    <x v="1"/>
    <x v="2"/>
    <s v="EE_Tartu"/>
    <x v="22"/>
    <n v="130.68"/>
    <n v="36.299999999999997"/>
  </r>
  <r>
    <x v="0"/>
    <x v="6"/>
    <x v="1"/>
    <x v="2"/>
    <s v="EE_Urban"/>
    <x v="2"/>
    <n v="57.96"/>
    <n v="16.100000000000001"/>
  </r>
  <r>
    <x v="0"/>
    <x v="6"/>
    <x v="1"/>
    <x v="2"/>
    <s v="EE_Urban"/>
    <x v="0"/>
    <n v="42.692399999999999"/>
    <n v="11.859"/>
  </r>
  <r>
    <x v="0"/>
    <x v="6"/>
    <x v="1"/>
    <x v="2"/>
    <s v="EE_Urban"/>
    <x v="21"/>
    <n v="53.225806451612797"/>
    <n v="14.784946236559099"/>
  </r>
  <r>
    <x v="0"/>
    <x v="6"/>
    <x v="1"/>
    <x v="2"/>
    <s v="EE_Urban"/>
    <x v="22"/>
    <n v="130.68"/>
    <n v="36.299999999999997"/>
  </r>
  <r>
    <x v="0"/>
    <x v="6"/>
    <x v="2"/>
    <x v="3"/>
    <s v="FI_IND"/>
    <x v="2"/>
    <n v="57.96"/>
    <n v="16.100000000000001"/>
  </r>
  <r>
    <x v="0"/>
    <x v="6"/>
    <x v="2"/>
    <x v="3"/>
    <s v="FI_IND"/>
    <x v="0"/>
    <n v="42.692399999999999"/>
    <n v="11.859"/>
  </r>
  <r>
    <x v="0"/>
    <x v="6"/>
    <x v="2"/>
    <x v="3"/>
    <s v="FI_IND"/>
    <x v="21"/>
    <n v="53.225806451612797"/>
    <n v="14.784946236559099"/>
  </r>
  <r>
    <x v="0"/>
    <x v="6"/>
    <x v="2"/>
    <x v="3"/>
    <s v="FI_IND"/>
    <x v="22"/>
    <n v="130.68"/>
    <n v="36.299999999999997"/>
  </r>
  <r>
    <x v="0"/>
    <x v="6"/>
    <x v="2"/>
    <x v="3"/>
    <s v="FI_Offshore"/>
    <x v="2"/>
    <n v="57.96"/>
    <n v="16.100000000000001"/>
  </r>
  <r>
    <x v="0"/>
    <x v="6"/>
    <x v="2"/>
    <x v="3"/>
    <s v="FI_Offshore"/>
    <x v="0"/>
    <n v="42.692399999999999"/>
    <n v="11.859"/>
  </r>
  <r>
    <x v="0"/>
    <x v="6"/>
    <x v="2"/>
    <x v="3"/>
    <s v="FI_Offshore"/>
    <x v="21"/>
    <n v="53.225806451612797"/>
    <n v="14.784946236559099"/>
  </r>
  <r>
    <x v="0"/>
    <x v="6"/>
    <x v="2"/>
    <x v="3"/>
    <s v="FI_Offshore"/>
    <x v="22"/>
    <n v="130.68"/>
    <n v="36.299999999999997"/>
  </r>
  <r>
    <x v="0"/>
    <x v="6"/>
    <x v="2"/>
    <x v="3"/>
    <s v="FI_large"/>
    <x v="2"/>
    <n v="57.96"/>
    <n v="16.100000000000001"/>
  </r>
  <r>
    <x v="0"/>
    <x v="6"/>
    <x v="2"/>
    <x v="3"/>
    <s v="FI_large"/>
    <x v="0"/>
    <n v="42.692399999999999"/>
    <n v="11.859"/>
  </r>
  <r>
    <x v="0"/>
    <x v="6"/>
    <x v="2"/>
    <x v="3"/>
    <s v="FI_large"/>
    <x v="21"/>
    <n v="53.225806451612797"/>
    <n v="14.784946236559099"/>
  </r>
  <r>
    <x v="0"/>
    <x v="6"/>
    <x v="2"/>
    <x v="3"/>
    <s v="FI_large"/>
    <x v="22"/>
    <n v="130.68"/>
    <n v="36.299999999999997"/>
  </r>
  <r>
    <x v="0"/>
    <x v="6"/>
    <x v="2"/>
    <x v="3"/>
    <s v="FI_large_gas"/>
    <x v="2"/>
    <n v="57.96"/>
    <n v="16.100000000000001"/>
  </r>
  <r>
    <x v="0"/>
    <x v="6"/>
    <x v="2"/>
    <x v="3"/>
    <s v="FI_large_gas"/>
    <x v="0"/>
    <n v="42.692399999999999"/>
    <n v="11.859"/>
  </r>
  <r>
    <x v="0"/>
    <x v="6"/>
    <x v="2"/>
    <x v="3"/>
    <s v="FI_large_gas"/>
    <x v="21"/>
    <n v="53.225806451612797"/>
    <n v="14.784946236559099"/>
  </r>
  <r>
    <x v="0"/>
    <x v="6"/>
    <x v="2"/>
    <x v="3"/>
    <s v="FI_large_gas"/>
    <x v="22"/>
    <n v="130.68"/>
    <n v="36.299999999999997"/>
  </r>
  <r>
    <x v="0"/>
    <x v="6"/>
    <x v="2"/>
    <x v="3"/>
    <s v="FI_medium"/>
    <x v="2"/>
    <n v="57.96"/>
    <n v="16.100000000000001"/>
  </r>
  <r>
    <x v="0"/>
    <x v="6"/>
    <x v="2"/>
    <x v="3"/>
    <s v="FI_medium"/>
    <x v="0"/>
    <n v="42.692399999999999"/>
    <n v="11.859"/>
  </r>
  <r>
    <x v="0"/>
    <x v="6"/>
    <x v="2"/>
    <x v="3"/>
    <s v="FI_medium"/>
    <x v="21"/>
    <n v="53.225806451612797"/>
    <n v="14.784946236559099"/>
  </r>
  <r>
    <x v="0"/>
    <x v="6"/>
    <x v="2"/>
    <x v="3"/>
    <s v="FI_medium"/>
    <x v="22"/>
    <n v="130.68"/>
    <n v="36.299999999999997"/>
  </r>
  <r>
    <x v="0"/>
    <x v="6"/>
    <x v="2"/>
    <x v="3"/>
    <s v="FI_medium_gas"/>
    <x v="2"/>
    <n v="57.96"/>
    <n v="16.100000000000001"/>
  </r>
  <r>
    <x v="0"/>
    <x v="6"/>
    <x v="2"/>
    <x v="3"/>
    <s v="FI_medium_gas"/>
    <x v="0"/>
    <n v="42.692399999999999"/>
    <n v="11.859"/>
  </r>
  <r>
    <x v="0"/>
    <x v="6"/>
    <x v="2"/>
    <x v="3"/>
    <s v="FI_medium_gas"/>
    <x v="21"/>
    <n v="53.225806451612797"/>
    <n v="14.784946236559099"/>
  </r>
  <r>
    <x v="0"/>
    <x v="6"/>
    <x v="2"/>
    <x v="3"/>
    <s v="FI_medium_gas"/>
    <x v="22"/>
    <n v="130.68"/>
    <n v="36.299999999999997"/>
  </r>
  <r>
    <x v="0"/>
    <x v="6"/>
    <x v="2"/>
    <x v="3"/>
    <s v="FI_small"/>
    <x v="2"/>
    <n v="57.96"/>
    <n v="16.100000000000001"/>
  </r>
  <r>
    <x v="0"/>
    <x v="6"/>
    <x v="2"/>
    <x v="3"/>
    <s v="FI_small"/>
    <x v="0"/>
    <n v="42.692399999999999"/>
    <n v="11.859"/>
  </r>
  <r>
    <x v="0"/>
    <x v="6"/>
    <x v="2"/>
    <x v="3"/>
    <s v="FI_small"/>
    <x v="21"/>
    <n v="53.225806451612797"/>
    <n v="14.784946236559099"/>
  </r>
  <r>
    <x v="0"/>
    <x v="6"/>
    <x v="2"/>
    <x v="3"/>
    <s v="FI_small"/>
    <x v="22"/>
    <n v="130.68"/>
    <n v="36.299999999999997"/>
  </r>
  <r>
    <x v="0"/>
    <x v="6"/>
    <x v="2"/>
    <x v="3"/>
    <s v="FI_small_gas"/>
    <x v="2"/>
    <n v="57.96"/>
    <n v="16.100000000000001"/>
  </r>
  <r>
    <x v="0"/>
    <x v="6"/>
    <x v="2"/>
    <x v="3"/>
    <s v="FI_small_gas"/>
    <x v="0"/>
    <n v="42.692399999999999"/>
    <n v="11.859"/>
  </r>
  <r>
    <x v="0"/>
    <x v="6"/>
    <x v="2"/>
    <x v="3"/>
    <s v="FI_small_gas"/>
    <x v="21"/>
    <n v="53.225806451612797"/>
    <n v="14.784946236559099"/>
  </r>
  <r>
    <x v="0"/>
    <x v="6"/>
    <x v="2"/>
    <x v="3"/>
    <s v="FI_small_gas"/>
    <x v="22"/>
    <n v="130.68"/>
    <n v="36.299999999999997"/>
  </r>
  <r>
    <x v="0"/>
    <x v="6"/>
    <x v="2"/>
    <x v="3"/>
    <s v="FinA"/>
    <x v="2"/>
    <n v="57.96"/>
    <n v="16.100000000000001"/>
  </r>
  <r>
    <x v="0"/>
    <x v="6"/>
    <x v="2"/>
    <x v="3"/>
    <s v="FinA"/>
    <x v="0"/>
    <n v="42.692399999999999"/>
    <n v="11.859"/>
  </r>
  <r>
    <x v="0"/>
    <x v="6"/>
    <x v="2"/>
    <x v="3"/>
    <s v="FinA"/>
    <x v="21"/>
    <n v="53.225806451612797"/>
    <n v="14.784946236559099"/>
  </r>
  <r>
    <x v="0"/>
    <x v="6"/>
    <x v="2"/>
    <x v="3"/>
    <s v="FinA"/>
    <x v="22"/>
    <n v="130.68"/>
    <n v="36.299999999999997"/>
  </r>
  <r>
    <x v="0"/>
    <x v="6"/>
    <x v="3"/>
    <x v="4"/>
    <s v="DE4-E_A"/>
    <x v="2"/>
    <n v="57.96"/>
    <n v="16.100000000000001"/>
  </r>
  <r>
    <x v="0"/>
    <x v="6"/>
    <x v="3"/>
    <x v="4"/>
    <s v="DE4-E_A"/>
    <x v="0"/>
    <n v="42.692399999999999"/>
    <n v="11.859"/>
  </r>
  <r>
    <x v="0"/>
    <x v="6"/>
    <x v="3"/>
    <x v="4"/>
    <s v="DE4-E_A"/>
    <x v="21"/>
    <n v="53.225806451612797"/>
    <n v="14.784946236559099"/>
  </r>
  <r>
    <x v="0"/>
    <x v="6"/>
    <x v="3"/>
    <x v="4"/>
    <s v="DE4-E_A"/>
    <x v="22"/>
    <n v="130.68"/>
    <n v="36.299999999999997"/>
  </r>
  <r>
    <x v="0"/>
    <x v="6"/>
    <x v="3"/>
    <x v="4"/>
    <s v="DE4-E_Offshore_A"/>
    <x v="2"/>
    <n v="57.96"/>
    <n v="16.100000000000001"/>
  </r>
  <r>
    <x v="0"/>
    <x v="6"/>
    <x v="3"/>
    <x v="4"/>
    <s v="DE4-E_Offshore_A"/>
    <x v="0"/>
    <n v="42.692399999999999"/>
    <n v="11.859"/>
  </r>
  <r>
    <x v="0"/>
    <x v="6"/>
    <x v="3"/>
    <x v="4"/>
    <s v="DE4-E_Offshore_A"/>
    <x v="21"/>
    <n v="53.225806451612797"/>
    <n v="14.784946236559099"/>
  </r>
  <r>
    <x v="0"/>
    <x v="6"/>
    <x v="3"/>
    <x v="4"/>
    <s v="DE4-E_Offshore_A"/>
    <x v="22"/>
    <n v="130.68"/>
    <n v="36.299999999999997"/>
  </r>
  <r>
    <x v="0"/>
    <x v="6"/>
    <x v="3"/>
    <x v="5"/>
    <s v="DE4-N_A"/>
    <x v="2"/>
    <n v="57.96"/>
    <n v="16.100000000000001"/>
  </r>
  <r>
    <x v="0"/>
    <x v="6"/>
    <x v="3"/>
    <x v="5"/>
    <s v="DE4-N_A"/>
    <x v="0"/>
    <n v="42.692399999999999"/>
    <n v="11.859"/>
  </r>
  <r>
    <x v="0"/>
    <x v="6"/>
    <x v="3"/>
    <x v="5"/>
    <s v="DE4-N_A"/>
    <x v="21"/>
    <n v="53.225806451612797"/>
    <n v="14.784946236559099"/>
  </r>
  <r>
    <x v="0"/>
    <x v="6"/>
    <x v="3"/>
    <x v="5"/>
    <s v="DE4-N_A"/>
    <x v="22"/>
    <n v="130.68"/>
    <n v="36.299999999999997"/>
  </r>
  <r>
    <x v="0"/>
    <x v="6"/>
    <x v="3"/>
    <x v="5"/>
    <s v="DE4-N_Offshore_A"/>
    <x v="2"/>
    <n v="57.96"/>
    <n v="16.100000000000001"/>
  </r>
  <r>
    <x v="0"/>
    <x v="6"/>
    <x v="3"/>
    <x v="5"/>
    <s v="DE4-N_Offshore_A"/>
    <x v="0"/>
    <n v="42.692399999999999"/>
    <n v="11.859"/>
  </r>
  <r>
    <x v="0"/>
    <x v="6"/>
    <x v="3"/>
    <x v="5"/>
    <s v="DE4-N_Offshore_A"/>
    <x v="21"/>
    <n v="53.225806451612797"/>
    <n v="14.784946236559099"/>
  </r>
  <r>
    <x v="0"/>
    <x v="6"/>
    <x v="3"/>
    <x v="5"/>
    <s v="DE4-N_Offshore_A"/>
    <x v="22"/>
    <n v="130.68"/>
    <n v="36.299999999999997"/>
  </r>
  <r>
    <x v="0"/>
    <x v="6"/>
    <x v="3"/>
    <x v="6"/>
    <s v="DE4-S_A"/>
    <x v="2"/>
    <n v="57.96"/>
    <n v="16.100000000000001"/>
  </r>
  <r>
    <x v="0"/>
    <x v="6"/>
    <x v="3"/>
    <x v="6"/>
    <s v="DE4-S_A"/>
    <x v="0"/>
    <n v="42.692399999999999"/>
    <n v="11.859"/>
  </r>
  <r>
    <x v="0"/>
    <x v="6"/>
    <x v="3"/>
    <x v="6"/>
    <s v="DE4-S_A"/>
    <x v="21"/>
    <n v="53.225806451612797"/>
    <n v="14.784946236559099"/>
  </r>
  <r>
    <x v="0"/>
    <x v="6"/>
    <x v="3"/>
    <x v="6"/>
    <s v="DE4-S_A"/>
    <x v="22"/>
    <n v="130.68"/>
    <n v="36.299999999999997"/>
  </r>
  <r>
    <x v="0"/>
    <x v="6"/>
    <x v="3"/>
    <x v="7"/>
    <s v="DE4-W_A"/>
    <x v="2"/>
    <n v="57.96"/>
    <n v="16.100000000000001"/>
  </r>
  <r>
    <x v="0"/>
    <x v="6"/>
    <x v="3"/>
    <x v="7"/>
    <s v="DE4-W_A"/>
    <x v="0"/>
    <n v="42.692399999999999"/>
    <n v="11.859"/>
  </r>
  <r>
    <x v="0"/>
    <x v="6"/>
    <x v="3"/>
    <x v="7"/>
    <s v="DE4-W_A"/>
    <x v="21"/>
    <n v="53.225806451612797"/>
    <n v="14.784946236559099"/>
  </r>
  <r>
    <x v="0"/>
    <x v="6"/>
    <x v="3"/>
    <x v="7"/>
    <s v="DE4-W_A"/>
    <x v="22"/>
    <n v="130.68"/>
    <n v="36.299999999999997"/>
  </r>
  <r>
    <x v="0"/>
    <x v="6"/>
    <x v="3"/>
    <x v="7"/>
    <s v="DE4-W_Offshore_A"/>
    <x v="2"/>
    <n v="57.96"/>
    <n v="16.100000000000001"/>
  </r>
  <r>
    <x v="0"/>
    <x v="6"/>
    <x v="3"/>
    <x v="7"/>
    <s v="DE4-W_Offshore_A"/>
    <x v="0"/>
    <n v="42.692399999999999"/>
    <n v="11.859"/>
  </r>
  <r>
    <x v="0"/>
    <x v="6"/>
    <x v="3"/>
    <x v="7"/>
    <s v="DE4-W_Offshore_A"/>
    <x v="21"/>
    <n v="53.225806451612797"/>
    <n v="14.784946236559099"/>
  </r>
  <r>
    <x v="0"/>
    <x v="6"/>
    <x v="3"/>
    <x v="7"/>
    <s v="DE4-W_Offshore_A"/>
    <x v="22"/>
    <n v="130.68"/>
    <n v="36.299999999999997"/>
  </r>
  <r>
    <x v="0"/>
    <x v="6"/>
    <x v="4"/>
    <x v="8"/>
    <s v="LV_A"/>
    <x v="2"/>
    <n v="57.96"/>
    <n v="16.100000000000001"/>
  </r>
  <r>
    <x v="0"/>
    <x v="6"/>
    <x v="4"/>
    <x v="8"/>
    <s v="LV_A"/>
    <x v="0"/>
    <n v="42.692399999999999"/>
    <n v="11.859"/>
  </r>
  <r>
    <x v="0"/>
    <x v="6"/>
    <x v="4"/>
    <x v="8"/>
    <s v="LV_A"/>
    <x v="21"/>
    <n v="53.225806451612797"/>
    <n v="14.784946236559099"/>
  </r>
  <r>
    <x v="0"/>
    <x v="6"/>
    <x v="4"/>
    <x v="8"/>
    <s v="LV_A"/>
    <x v="22"/>
    <n v="130.68"/>
    <n v="36.299999999999997"/>
  </r>
  <r>
    <x v="0"/>
    <x v="6"/>
    <x v="4"/>
    <x v="8"/>
    <s v="LV_OFFSHORE"/>
    <x v="2"/>
    <n v="57.96"/>
    <n v="16.100000000000001"/>
  </r>
  <r>
    <x v="0"/>
    <x v="6"/>
    <x v="4"/>
    <x v="8"/>
    <s v="LV_OFFSHORE"/>
    <x v="0"/>
    <n v="42.692399999999999"/>
    <n v="11.859"/>
  </r>
  <r>
    <x v="0"/>
    <x v="6"/>
    <x v="4"/>
    <x v="8"/>
    <s v="LV_OFFSHORE"/>
    <x v="21"/>
    <n v="53.225806451612797"/>
    <n v="14.784946236559099"/>
  </r>
  <r>
    <x v="0"/>
    <x v="6"/>
    <x v="4"/>
    <x v="8"/>
    <s v="LV_OFFSHORE"/>
    <x v="22"/>
    <n v="130.68"/>
    <n v="36.299999999999997"/>
  </r>
  <r>
    <x v="0"/>
    <x v="6"/>
    <x v="4"/>
    <x v="8"/>
    <s v="LV_Other_DH"/>
    <x v="2"/>
    <n v="57.96"/>
    <n v="16.100000000000001"/>
  </r>
  <r>
    <x v="0"/>
    <x v="6"/>
    <x v="4"/>
    <x v="8"/>
    <s v="LV_Other_DH"/>
    <x v="0"/>
    <n v="42.692399999999999"/>
    <n v="11.859"/>
  </r>
  <r>
    <x v="0"/>
    <x v="6"/>
    <x v="4"/>
    <x v="8"/>
    <s v="LV_Other_DH"/>
    <x v="21"/>
    <n v="53.225806451612797"/>
    <n v="14.784946236559099"/>
  </r>
  <r>
    <x v="0"/>
    <x v="6"/>
    <x v="4"/>
    <x v="8"/>
    <s v="LV_Other_DH"/>
    <x v="22"/>
    <n v="130.68"/>
    <n v="36.299999999999997"/>
  </r>
  <r>
    <x v="0"/>
    <x v="6"/>
    <x v="4"/>
    <x v="8"/>
    <s v="LV_RigaR"/>
    <x v="2"/>
    <n v="57.96"/>
    <n v="16.100000000000001"/>
  </r>
  <r>
    <x v="0"/>
    <x v="6"/>
    <x v="4"/>
    <x v="8"/>
    <s v="LV_RigaR"/>
    <x v="0"/>
    <n v="42.692399999999999"/>
    <n v="11.859"/>
  </r>
  <r>
    <x v="0"/>
    <x v="6"/>
    <x v="4"/>
    <x v="8"/>
    <s v="LV_RigaR"/>
    <x v="21"/>
    <n v="53.225806451612797"/>
    <n v="14.784946236559099"/>
  </r>
  <r>
    <x v="0"/>
    <x v="6"/>
    <x v="4"/>
    <x v="8"/>
    <s v="LV_RigaR"/>
    <x v="22"/>
    <n v="130.68"/>
    <n v="36.299999999999997"/>
  </r>
  <r>
    <x v="0"/>
    <x v="6"/>
    <x v="4"/>
    <x v="8"/>
    <s v="LV_Rural"/>
    <x v="2"/>
    <n v="57.96"/>
    <n v="16.100000000000001"/>
  </r>
  <r>
    <x v="0"/>
    <x v="6"/>
    <x v="4"/>
    <x v="8"/>
    <s v="LV_Rural"/>
    <x v="0"/>
    <n v="42.692399999999999"/>
    <n v="11.859"/>
  </r>
  <r>
    <x v="0"/>
    <x v="6"/>
    <x v="4"/>
    <x v="8"/>
    <s v="LV_Rural"/>
    <x v="21"/>
    <n v="53.225806451612797"/>
    <n v="14.784946236559099"/>
  </r>
  <r>
    <x v="0"/>
    <x v="6"/>
    <x v="4"/>
    <x v="8"/>
    <s v="LV_Rural"/>
    <x v="22"/>
    <n v="130.68"/>
    <n v="36.299999999999997"/>
  </r>
  <r>
    <x v="0"/>
    <x v="6"/>
    <x v="5"/>
    <x v="9"/>
    <s v="LT_A"/>
    <x v="2"/>
    <n v="57.96"/>
    <n v="16.100000000000001"/>
  </r>
  <r>
    <x v="0"/>
    <x v="6"/>
    <x v="5"/>
    <x v="9"/>
    <s v="LT_A"/>
    <x v="0"/>
    <n v="42.692399999999999"/>
    <n v="11.859"/>
  </r>
  <r>
    <x v="0"/>
    <x v="6"/>
    <x v="5"/>
    <x v="9"/>
    <s v="LT_A"/>
    <x v="21"/>
    <n v="53.225806451612797"/>
    <n v="14.784946236559099"/>
  </r>
  <r>
    <x v="0"/>
    <x v="6"/>
    <x v="5"/>
    <x v="9"/>
    <s v="LT_A"/>
    <x v="22"/>
    <n v="130.68"/>
    <n v="36.299999999999997"/>
  </r>
  <r>
    <x v="0"/>
    <x v="6"/>
    <x v="5"/>
    <x v="9"/>
    <s v="LT_KauU"/>
    <x v="2"/>
    <n v="57.96"/>
    <n v="16.100000000000001"/>
  </r>
  <r>
    <x v="0"/>
    <x v="6"/>
    <x v="5"/>
    <x v="9"/>
    <s v="LT_KauU"/>
    <x v="0"/>
    <n v="42.692399999999999"/>
    <n v="11.859"/>
  </r>
  <r>
    <x v="0"/>
    <x v="6"/>
    <x v="5"/>
    <x v="9"/>
    <s v="LT_KauU"/>
    <x v="21"/>
    <n v="53.225806451612797"/>
    <n v="14.784946236559099"/>
  </r>
  <r>
    <x v="0"/>
    <x v="6"/>
    <x v="5"/>
    <x v="9"/>
    <s v="LT_KauU"/>
    <x v="22"/>
    <n v="130.68"/>
    <n v="36.299999999999997"/>
  </r>
  <r>
    <x v="0"/>
    <x v="6"/>
    <x v="5"/>
    <x v="9"/>
    <s v="LT_KlaU"/>
    <x v="2"/>
    <n v="57.96"/>
    <n v="16.100000000000001"/>
  </r>
  <r>
    <x v="0"/>
    <x v="6"/>
    <x v="5"/>
    <x v="9"/>
    <s v="LT_KlaU"/>
    <x v="0"/>
    <n v="42.692399999999999"/>
    <n v="11.859"/>
  </r>
  <r>
    <x v="0"/>
    <x v="6"/>
    <x v="5"/>
    <x v="9"/>
    <s v="LT_KlaU"/>
    <x v="21"/>
    <n v="53.225806451612797"/>
    <n v="14.784946236559099"/>
  </r>
  <r>
    <x v="0"/>
    <x v="6"/>
    <x v="5"/>
    <x v="9"/>
    <s v="LT_KlaU"/>
    <x v="22"/>
    <n v="130.68"/>
    <n v="36.299999999999997"/>
  </r>
  <r>
    <x v="0"/>
    <x v="6"/>
    <x v="5"/>
    <x v="9"/>
    <s v="LT_OFFSHORE"/>
    <x v="2"/>
    <n v="57.96"/>
    <n v="16.100000000000001"/>
  </r>
  <r>
    <x v="0"/>
    <x v="6"/>
    <x v="5"/>
    <x v="9"/>
    <s v="LT_OFFSHORE"/>
    <x v="0"/>
    <n v="42.692399999999999"/>
    <n v="11.859"/>
  </r>
  <r>
    <x v="0"/>
    <x v="6"/>
    <x v="5"/>
    <x v="9"/>
    <s v="LT_OFFSHORE"/>
    <x v="21"/>
    <n v="53.225806451612797"/>
    <n v="14.784946236559099"/>
  </r>
  <r>
    <x v="0"/>
    <x v="6"/>
    <x v="5"/>
    <x v="9"/>
    <s v="LT_OFFSHORE"/>
    <x v="22"/>
    <n v="130.68"/>
    <n v="36.299999999999997"/>
  </r>
  <r>
    <x v="0"/>
    <x v="6"/>
    <x v="5"/>
    <x v="9"/>
    <s v="LT_Other_DH"/>
    <x v="2"/>
    <n v="57.96"/>
    <n v="16.100000000000001"/>
  </r>
  <r>
    <x v="0"/>
    <x v="6"/>
    <x v="5"/>
    <x v="9"/>
    <s v="LT_Other_DH"/>
    <x v="0"/>
    <n v="42.692399999999999"/>
    <n v="11.859"/>
  </r>
  <r>
    <x v="0"/>
    <x v="6"/>
    <x v="5"/>
    <x v="9"/>
    <s v="LT_Other_DH"/>
    <x v="21"/>
    <n v="53.225806451612797"/>
    <n v="14.784946236559099"/>
  </r>
  <r>
    <x v="0"/>
    <x v="6"/>
    <x v="5"/>
    <x v="9"/>
    <s v="LT_Other_DH"/>
    <x v="22"/>
    <n v="130.68"/>
    <n v="36.299999999999997"/>
  </r>
  <r>
    <x v="0"/>
    <x v="6"/>
    <x v="5"/>
    <x v="9"/>
    <s v="LT_Panevezys"/>
    <x v="2"/>
    <n v="57.96"/>
    <n v="16.100000000000001"/>
  </r>
  <r>
    <x v="0"/>
    <x v="6"/>
    <x v="5"/>
    <x v="9"/>
    <s v="LT_Panevezys"/>
    <x v="0"/>
    <n v="42.692399999999999"/>
    <n v="11.859"/>
  </r>
  <r>
    <x v="0"/>
    <x v="6"/>
    <x v="5"/>
    <x v="9"/>
    <s v="LT_Panevezys"/>
    <x v="21"/>
    <n v="53.225806451612797"/>
    <n v="14.784946236559099"/>
  </r>
  <r>
    <x v="0"/>
    <x v="6"/>
    <x v="5"/>
    <x v="9"/>
    <s v="LT_Panevezys"/>
    <x v="22"/>
    <n v="130.68"/>
    <n v="36.299999999999997"/>
  </r>
  <r>
    <x v="0"/>
    <x v="6"/>
    <x v="5"/>
    <x v="9"/>
    <s v="LT_Rural"/>
    <x v="2"/>
    <n v="57.96"/>
    <n v="16.100000000000001"/>
  </r>
  <r>
    <x v="0"/>
    <x v="6"/>
    <x v="5"/>
    <x v="9"/>
    <s v="LT_Rural"/>
    <x v="0"/>
    <n v="42.692399999999999"/>
    <n v="11.859"/>
  </r>
  <r>
    <x v="0"/>
    <x v="6"/>
    <x v="5"/>
    <x v="9"/>
    <s v="LT_Rural"/>
    <x v="21"/>
    <n v="53.225806451612797"/>
    <n v="14.784946236559099"/>
  </r>
  <r>
    <x v="0"/>
    <x v="6"/>
    <x v="5"/>
    <x v="9"/>
    <s v="LT_Rural"/>
    <x v="22"/>
    <n v="130.68"/>
    <n v="36.299999999999997"/>
  </r>
  <r>
    <x v="0"/>
    <x v="6"/>
    <x v="5"/>
    <x v="9"/>
    <s v="LT_SiaU"/>
    <x v="2"/>
    <n v="57.96"/>
    <n v="16.100000000000001"/>
  </r>
  <r>
    <x v="0"/>
    <x v="6"/>
    <x v="5"/>
    <x v="9"/>
    <s v="LT_SiaU"/>
    <x v="0"/>
    <n v="42.692399999999999"/>
    <n v="11.859"/>
  </r>
  <r>
    <x v="0"/>
    <x v="6"/>
    <x v="5"/>
    <x v="9"/>
    <s v="LT_SiaU"/>
    <x v="21"/>
    <n v="53.225806451612797"/>
    <n v="14.784946236559099"/>
  </r>
  <r>
    <x v="0"/>
    <x v="6"/>
    <x v="5"/>
    <x v="9"/>
    <s v="LT_SiaU"/>
    <x v="22"/>
    <n v="130.68"/>
    <n v="36.299999999999997"/>
  </r>
  <r>
    <x v="0"/>
    <x v="6"/>
    <x v="5"/>
    <x v="9"/>
    <s v="LT_VilU"/>
    <x v="2"/>
    <n v="57.96"/>
    <n v="16.100000000000001"/>
  </r>
  <r>
    <x v="0"/>
    <x v="6"/>
    <x v="5"/>
    <x v="9"/>
    <s v="LT_VilU"/>
    <x v="0"/>
    <n v="42.692399999999999"/>
    <n v="11.859"/>
  </r>
  <r>
    <x v="0"/>
    <x v="6"/>
    <x v="5"/>
    <x v="9"/>
    <s v="LT_VilU"/>
    <x v="21"/>
    <n v="53.225806451612797"/>
    <n v="14.784946236559099"/>
  </r>
  <r>
    <x v="0"/>
    <x v="6"/>
    <x v="5"/>
    <x v="9"/>
    <s v="LT_VilU"/>
    <x v="22"/>
    <n v="130.68"/>
    <n v="36.299999999999997"/>
  </r>
  <r>
    <x v="0"/>
    <x v="6"/>
    <x v="6"/>
    <x v="10"/>
    <s v="NL_A"/>
    <x v="2"/>
    <n v="57.96"/>
    <n v="16.100000000000001"/>
  </r>
  <r>
    <x v="0"/>
    <x v="6"/>
    <x v="6"/>
    <x v="10"/>
    <s v="NL_A"/>
    <x v="0"/>
    <n v="42.692399999999999"/>
    <n v="11.859"/>
  </r>
  <r>
    <x v="0"/>
    <x v="6"/>
    <x v="6"/>
    <x v="10"/>
    <s v="NL_A"/>
    <x v="21"/>
    <n v="53.225806451612797"/>
    <n v="14.784946236559099"/>
  </r>
  <r>
    <x v="0"/>
    <x v="6"/>
    <x v="6"/>
    <x v="10"/>
    <s v="NL_A"/>
    <x v="22"/>
    <n v="130.68"/>
    <n v="36.299999999999997"/>
  </r>
  <r>
    <x v="0"/>
    <x v="6"/>
    <x v="6"/>
    <x v="10"/>
    <s v="NL_OFFSHORE"/>
    <x v="2"/>
    <n v="57.96"/>
    <n v="16.100000000000001"/>
  </r>
  <r>
    <x v="0"/>
    <x v="6"/>
    <x v="6"/>
    <x v="10"/>
    <s v="NL_OFFSHORE"/>
    <x v="0"/>
    <n v="42.692399999999999"/>
    <n v="11.859"/>
  </r>
  <r>
    <x v="0"/>
    <x v="6"/>
    <x v="6"/>
    <x v="10"/>
    <s v="NL_OFFSHORE"/>
    <x v="21"/>
    <n v="53.225806451612797"/>
    <n v="14.784946236559099"/>
  </r>
  <r>
    <x v="0"/>
    <x v="6"/>
    <x v="6"/>
    <x v="10"/>
    <s v="NL_OFFSHORE"/>
    <x v="22"/>
    <n v="130.68"/>
    <n v="36.299999999999997"/>
  </r>
  <r>
    <x v="0"/>
    <x v="6"/>
    <x v="7"/>
    <x v="11"/>
    <s v="NO1_A1"/>
    <x v="2"/>
    <n v="57.96"/>
    <n v="16.100000000000001"/>
  </r>
  <r>
    <x v="0"/>
    <x v="6"/>
    <x v="7"/>
    <x v="11"/>
    <s v="NO1_A1"/>
    <x v="0"/>
    <n v="42.692399999999999"/>
    <n v="11.859"/>
  </r>
  <r>
    <x v="0"/>
    <x v="6"/>
    <x v="7"/>
    <x v="11"/>
    <s v="NO1_A1"/>
    <x v="21"/>
    <n v="53.225806451612797"/>
    <n v="14.784946236559099"/>
  </r>
  <r>
    <x v="0"/>
    <x v="6"/>
    <x v="7"/>
    <x v="11"/>
    <s v="NO1_A1"/>
    <x v="22"/>
    <n v="130.68"/>
    <n v="36.299999999999997"/>
  </r>
  <r>
    <x v="0"/>
    <x v="6"/>
    <x v="7"/>
    <x v="11"/>
    <s v="NO1_A2"/>
    <x v="2"/>
    <n v="57.96"/>
    <n v="16.100000000000001"/>
  </r>
  <r>
    <x v="0"/>
    <x v="6"/>
    <x v="7"/>
    <x v="11"/>
    <s v="NO1_A2"/>
    <x v="0"/>
    <n v="42.692399999999999"/>
    <n v="11.859"/>
  </r>
  <r>
    <x v="0"/>
    <x v="6"/>
    <x v="7"/>
    <x v="11"/>
    <s v="NO1_A2"/>
    <x v="21"/>
    <n v="53.225806451612797"/>
    <n v="14.784946236559099"/>
  </r>
  <r>
    <x v="0"/>
    <x v="6"/>
    <x v="7"/>
    <x v="11"/>
    <s v="NO1_A2"/>
    <x v="22"/>
    <n v="130.68"/>
    <n v="36.299999999999997"/>
  </r>
  <r>
    <x v="0"/>
    <x v="6"/>
    <x v="7"/>
    <x v="11"/>
    <s v="NO1_A3"/>
    <x v="2"/>
    <n v="57.96"/>
    <n v="16.100000000000001"/>
  </r>
  <r>
    <x v="0"/>
    <x v="6"/>
    <x v="7"/>
    <x v="11"/>
    <s v="NO1_A3"/>
    <x v="0"/>
    <n v="42.692399999999999"/>
    <n v="11.859"/>
  </r>
  <r>
    <x v="0"/>
    <x v="6"/>
    <x v="7"/>
    <x v="11"/>
    <s v="NO1_A3"/>
    <x v="21"/>
    <n v="53.225806451612797"/>
    <n v="14.784946236559099"/>
  </r>
  <r>
    <x v="0"/>
    <x v="6"/>
    <x v="7"/>
    <x v="11"/>
    <s v="NO1_A3"/>
    <x v="22"/>
    <n v="130.68"/>
    <n v="36.299999999999997"/>
  </r>
  <r>
    <x v="0"/>
    <x v="6"/>
    <x v="7"/>
    <x v="11"/>
    <s v="NO1_Offshore"/>
    <x v="2"/>
    <n v="57.96"/>
    <n v="16.100000000000001"/>
  </r>
  <r>
    <x v="0"/>
    <x v="6"/>
    <x v="7"/>
    <x v="11"/>
    <s v="NO1_Offshore"/>
    <x v="0"/>
    <n v="42.692399999999999"/>
    <n v="11.859"/>
  </r>
  <r>
    <x v="0"/>
    <x v="6"/>
    <x v="7"/>
    <x v="11"/>
    <s v="NO1_Offshore"/>
    <x v="21"/>
    <n v="53.225806451612797"/>
    <n v="14.784946236559099"/>
  </r>
  <r>
    <x v="0"/>
    <x v="6"/>
    <x v="7"/>
    <x v="11"/>
    <s v="NO1_Offshore"/>
    <x v="22"/>
    <n v="130.68"/>
    <n v="36.299999999999997"/>
  </r>
  <r>
    <x v="0"/>
    <x v="6"/>
    <x v="7"/>
    <x v="12"/>
    <s v="NO2_A1"/>
    <x v="2"/>
    <n v="57.96"/>
    <n v="16.100000000000001"/>
  </r>
  <r>
    <x v="0"/>
    <x v="6"/>
    <x v="7"/>
    <x v="12"/>
    <s v="NO2_A1"/>
    <x v="0"/>
    <n v="42.692399999999999"/>
    <n v="11.859"/>
  </r>
  <r>
    <x v="0"/>
    <x v="6"/>
    <x v="7"/>
    <x v="12"/>
    <s v="NO2_A1"/>
    <x v="21"/>
    <n v="53.225806451612797"/>
    <n v="14.784946236559099"/>
  </r>
  <r>
    <x v="0"/>
    <x v="6"/>
    <x v="7"/>
    <x v="12"/>
    <s v="NO2_A1"/>
    <x v="22"/>
    <n v="130.68"/>
    <n v="36.299999999999997"/>
  </r>
  <r>
    <x v="0"/>
    <x v="6"/>
    <x v="7"/>
    <x v="12"/>
    <s v="NO2_A2"/>
    <x v="2"/>
    <n v="57.96"/>
    <n v="16.100000000000001"/>
  </r>
  <r>
    <x v="0"/>
    <x v="6"/>
    <x v="7"/>
    <x v="12"/>
    <s v="NO2_A2"/>
    <x v="0"/>
    <n v="42.692399999999999"/>
    <n v="11.859"/>
  </r>
  <r>
    <x v="0"/>
    <x v="6"/>
    <x v="7"/>
    <x v="12"/>
    <s v="NO2_A2"/>
    <x v="21"/>
    <n v="53.225806451612797"/>
    <n v="14.784946236559099"/>
  </r>
  <r>
    <x v="0"/>
    <x v="6"/>
    <x v="7"/>
    <x v="12"/>
    <s v="NO2_A2"/>
    <x v="22"/>
    <n v="130.68"/>
    <n v="36.299999999999997"/>
  </r>
  <r>
    <x v="0"/>
    <x v="6"/>
    <x v="7"/>
    <x v="12"/>
    <s v="NO2_Offshore"/>
    <x v="2"/>
    <n v="57.96"/>
    <n v="16.100000000000001"/>
  </r>
  <r>
    <x v="0"/>
    <x v="6"/>
    <x v="7"/>
    <x v="12"/>
    <s v="NO2_Offshore"/>
    <x v="0"/>
    <n v="42.692399999999999"/>
    <n v="11.859"/>
  </r>
  <r>
    <x v="0"/>
    <x v="6"/>
    <x v="7"/>
    <x v="12"/>
    <s v="NO2_Offshore"/>
    <x v="21"/>
    <n v="53.225806451612797"/>
    <n v="14.784946236559099"/>
  </r>
  <r>
    <x v="0"/>
    <x v="6"/>
    <x v="7"/>
    <x v="12"/>
    <s v="NO2_Offshore"/>
    <x v="22"/>
    <n v="130.68"/>
    <n v="36.299999999999997"/>
  </r>
  <r>
    <x v="0"/>
    <x v="6"/>
    <x v="7"/>
    <x v="13"/>
    <s v="NO3_A1"/>
    <x v="2"/>
    <n v="57.96"/>
    <n v="16.100000000000001"/>
  </r>
  <r>
    <x v="0"/>
    <x v="6"/>
    <x v="7"/>
    <x v="13"/>
    <s v="NO3_A1"/>
    <x v="0"/>
    <n v="42.692399999999999"/>
    <n v="11.859"/>
  </r>
  <r>
    <x v="0"/>
    <x v="6"/>
    <x v="7"/>
    <x v="13"/>
    <s v="NO3_A1"/>
    <x v="21"/>
    <n v="53.225806451612797"/>
    <n v="14.784946236559099"/>
  </r>
  <r>
    <x v="0"/>
    <x v="6"/>
    <x v="7"/>
    <x v="13"/>
    <s v="NO3_A1"/>
    <x v="22"/>
    <n v="130.68"/>
    <n v="36.299999999999997"/>
  </r>
  <r>
    <x v="0"/>
    <x v="6"/>
    <x v="7"/>
    <x v="13"/>
    <s v="NO3_A2"/>
    <x v="2"/>
    <n v="57.96"/>
    <n v="16.100000000000001"/>
  </r>
  <r>
    <x v="0"/>
    <x v="6"/>
    <x v="7"/>
    <x v="13"/>
    <s v="NO3_A2"/>
    <x v="0"/>
    <n v="42.692399999999999"/>
    <n v="11.859"/>
  </r>
  <r>
    <x v="0"/>
    <x v="6"/>
    <x v="7"/>
    <x v="13"/>
    <s v="NO3_A2"/>
    <x v="21"/>
    <n v="53.225806451612797"/>
    <n v="14.784946236559099"/>
  </r>
  <r>
    <x v="0"/>
    <x v="6"/>
    <x v="7"/>
    <x v="13"/>
    <s v="NO3_A2"/>
    <x v="22"/>
    <n v="130.68"/>
    <n v="36.299999999999997"/>
  </r>
  <r>
    <x v="0"/>
    <x v="6"/>
    <x v="7"/>
    <x v="13"/>
    <s v="NO3_A3"/>
    <x v="2"/>
    <n v="57.96"/>
    <n v="16.100000000000001"/>
  </r>
  <r>
    <x v="0"/>
    <x v="6"/>
    <x v="7"/>
    <x v="13"/>
    <s v="NO3_A3"/>
    <x v="0"/>
    <n v="42.692399999999999"/>
    <n v="11.859"/>
  </r>
  <r>
    <x v="0"/>
    <x v="6"/>
    <x v="7"/>
    <x v="13"/>
    <s v="NO3_A3"/>
    <x v="21"/>
    <n v="53.225806451612797"/>
    <n v="14.784946236559099"/>
  </r>
  <r>
    <x v="0"/>
    <x v="6"/>
    <x v="7"/>
    <x v="13"/>
    <s v="NO3_A3"/>
    <x v="22"/>
    <n v="130.68"/>
    <n v="36.299999999999997"/>
  </r>
  <r>
    <x v="0"/>
    <x v="6"/>
    <x v="7"/>
    <x v="13"/>
    <s v="NO3_Offshore"/>
    <x v="2"/>
    <n v="57.96"/>
    <n v="16.100000000000001"/>
  </r>
  <r>
    <x v="0"/>
    <x v="6"/>
    <x v="7"/>
    <x v="13"/>
    <s v="NO3_Offshore"/>
    <x v="0"/>
    <n v="42.692399999999999"/>
    <n v="11.859"/>
  </r>
  <r>
    <x v="0"/>
    <x v="6"/>
    <x v="7"/>
    <x v="13"/>
    <s v="NO3_Offshore"/>
    <x v="21"/>
    <n v="53.225806451612797"/>
    <n v="14.784946236559099"/>
  </r>
  <r>
    <x v="0"/>
    <x v="6"/>
    <x v="7"/>
    <x v="13"/>
    <s v="NO3_Offshore"/>
    <x v="22"/>
    <n v="130.68"/>
    <n v="36.299999999999997"/>
  </r>
  <r>
    <x v="0"/>
    <x v="6"/>
    <x v="7"/>
    <x v="14"/>
    <s v="NO4_A1"/>
    <x v="2"/>
    <n v="57.96"/>
    <n v="16.100000000000001"/>
  </r>
  <r>
    <x v="0"/>
    <x v="6"/>
    <x v="7"/>
    <x v="14"/>
    <s v="NO4_A1"/>
    <x v="0"/>
    <n v="42.692399999999999"/>
    <n v="11.859"/>
  </r>
  <r>
    <x v="0"/>
    <x v="6"/>
    <x v="7"/>
    <x v="14"/>
    <s v="NO4_A1"/>
    <x v="21"/>
    <n v="53.225806451612797"/>
    <n v="14.784946236559099"/>
  </r>
  <r>
    <x v="0"/>
    <x v="6"/>
    <x v="7"/>
    <x v="14"/>
    <s v="NO4_A1"/>
    <x v="22"/>
    <n v="130.68"/>
    <n v="36.299999999999997"/>
  </r>
  <r>
    <x v="0"/>
    <x v="6"/>
    <x v="7"/>
    <x v="14"/>
    <s v="NO4_A2"/>
    <x v="2"/>
    <n v="57.96"/>
    <n v="16.100000000000001"/>
  </r>
  <r>
    <x v="0"/>
    <x v="6"/>
    <x v="7"/>
    <x v="14"/>
    <s v="NO4_A2"/>
    <x v="0"/>
    <n v="42.692399999999999"/>
    <n v="11.859"/>
  </r>
  <r>
    <x v="0"/>
    <x v="6"/>
    <x v="7"/>
    <x v="14"/>
    <s v="NO4_A2"/>
    <x v="21"/>
    <n v="53.225806451612797"/>
    <n v="14.784946236559099"/>
  </r>
  <r>
    <x v="0"/>
    <x v="6"/>
    <x v="7"/>
    <x v="14"/>
    <s v="NO4_A2"/>
    <x v="22"/>
    <n v="130.68"/>
    <n v="36.299999999999997"/>
  </r>
  <r>
    <x v="0"/>
    <x v="6"/>
    <x v="7"/>
    <x v="14"/>
    <s v="NO4_Offshore"/>
    <x v="2"/>
    <n v="57.96"/>
    <n v="16.100000000000001"/>
  </r>
  <r>
    <x v="0"/>
    <x v="6"/>
    <x v="7"/>
    <x v="14"/>
    <s v="NO4_Offshore"/>
    <x v="0"/>
    <n v="42.692399999999999"/>
    <n v="11.859"/>
  </r>
  <r>
    <x v="0"/>
    <x v="6"/>
    <x v="7"/>
    <x v="14"/>
    <s v="NO4_Offshore"/>
    <x v="21"/>
    <n v="53.225806451612797"/>
    <n v="14.784946236559099"/>
  </r>
  <r>
    <x v="0"/>
    <x v="6"/>
    <x v="7"/>
    <x v="14"/>
    <s v="NO4_Offshore"/>
    <x v="22"/>
    <n v="130.68"/>
    <n v="36.299999999999997"/>
  </r>
  <r>
    <x v="0"/>
    <x v="6"/>
    <x v="7"/>
    <x v="15"/>
    <s v="NO5_A1"/>
    <x v="2"/>
    <n v="57.96"/>
    <n v="16.100000000000001"/>
  </r>
  <r>
    <x v="0"/>
    <x v="6"/>
    <x v="7"/>
    <x v="15"/>
    <s v="NO5_A1"/>
    <x v="0"/>
    <n v="42.692399999999999"/>
    <n v="11.859"/>
  </r>
  <r>
    <x v="0"/>
    <x v="6"/>
    <x v="7"/>
    <x v="15"/>
    <s v="NO5_A1"/>
    <x v="21"/>
    <n v="53.225806451612797"/>
    <n v="14.784946236559099"/>
  </r>
  <r>
    <x v="0"/>
    <x v="6"/>
    <x v="7"/>
    <x v="15"/>
    <s v="NO5_A1"/>
    <x v="22"/>
    <n v="130.68"/>
    <n v="36.299999999999997"/>
  </r>
  <r>
    <x v="0"/>
    <x v="6"/>
    <x v="7"/>
    <x v="15"/>
    <s v="NO5_A2"/>
    <x v="2"/>
    <n v="57.96"/>
    <n v="16.100000000000001"/>
  </r>
  <r>
    <x v="0"/>
    <x v="6"/>
    <x v="7"/>
    <x v="15"/>
    <s v="NO5_A2"/>
    <x v="0"/>
    <n v="42.692399999999999"/>
    <n v="11.859"/>
  </r>
  <r>
    <x v="0"/>
    <x v="6"/>
    <x v="7"/>
    <x v="15"/>
    <s v="NO5_A2"/>
    <x v="21"/>
    <n v="53.225806451612797"/>
    <n v="14.784946236559099"/>
  </r>
  <r>
    <x v="0"/>
    <x v="6"/>
    <x v="7"/>
    <x v="15"/>
    <s v="NO5_A2"/>
    <x v="22"/>
    <n v="130.68"/>
    <n v="36.299999999999997"/>
  </r>
  <r>
    <x v="0"/>
    <x v="6"/>
    <x v="7"/>
    <x v="15"/>
    <s v="NO5_Offshore"/>
    <x v="2"/>
    <n v="57.96"/>
    <n v="16.100000000000001"/>
  </r>
  <r>
    <x v="0"/>
    <x v="6"/>
    <x v="7"/>
    <x v="15"/>
    <s v="NO5_Offshore"/>
    <x v="0"/>
    <n v="42.692399999999999"/>
    <n v="11.859"/>
  </r>
  <r>
    <x v="0"/>
    <x v="6"/>
    <x v="7"/>
    <x v="15"/>
    <s v="NO5_Offshore"/>
    <x v="21"/>
    <n v="53.225806451612797"/>
    <n v="14.784946236559099"/>
  </r>
  <r>
    <x v="0"/>
    <x v="6"/>
    <x v="7"/>
    <x v="15"/>
    <s v="NO5_Offshore"/>
    <x v="22"/>
    <n v="130.68"/>
    <n v="36.299999999999997"/>
  </r>
  <r>
    <x v="0"/>
    <x v="6"/>
    <x v="8"/>
    <x v="16"/>
    <s v="PL_A"/>
    <x v="2"/>
    <n v="57.96"/>
    <n v="16.100000000000001"/>
  </r>
  <r>
    <x v="0"/>
    <x v="6"/>
    <x v="8"/>
    <x v="16"/>
    <s v="PL_A"/>
    <x v="0"/>
    <n v="42.692399999999999"/>
    <n v="11.859"/>
  </r>
  <r>
    <x v="0"/>
    <x v="6"/>
    <x v="8"/>
    <x v="16"/>
    <s v="PL_A"/>
    <x v="21"/>
    <n v="53.225806451612797"/>
    <n v="14.784946236559099"/>
  </r>
  <r>
    <x v="0"/>
    <x v="6"/>
    <x v="8"/>
    <x v="16"/>
    <s v="PL_A"/>
    <x v="22"/>
    <n v="130.68"/>
    <n v="36.299999999999997"/>
  </r>
  <r>
    <x v="0"/>
    <x v="6"/>
    <x v="8"/>
    <x v="16"/>
    <s v="PL_OFFSHORE"/>
    <x v="2"/>
    <n v="57.96"/>
    <n v="16.100000000000001"/>
  </r>
  <r>
    <x v="0"/>
    <x v="6"/>
    <x v="8"/>
    <x v="16"/>
    <s v="PL_OFFSHORE"/>
    <x v="0"/>
    <n v="42.692399999999999"/>
    <n v="11.859"/>
  </r>
  <r>
    <x v="0"/>
    <x v="6"/>
    <x v="8"/>
    <x v="16"/>
    <s v="PL_OFFSHORE"/>
    <x v="21"/>
    <n v="53.225806451612797"/>
    <n v="14.784946236559099"/>
  </r>
  <r>
    <x v="0"/>
    <x v="6"/>
    <x v="8"/>
    <x v="16"/>
    <s v="PL_OFFSHORE"/>
    <x v="22"/>
    <n v="130.68"/>
    <n v="36.299999999999997"/>
  </r>
  <r>
    <x v="0"/>
    <x v="6"/>
    <x v="8"/>
    <x v="16"/>
    <s v="PL_Rural"/>
    <x v="2"/>
    <n v="57.96"/>
    <n v="16.100000000000001"/>
  </r>
  <r>
    <x v="0"/>
    <x v="6"/>
    <x v="8"/>
    <x v="16"/>
    <s v="PL_Rural"/>
    <x v="0"/>
    <n v="42.692399999999999"/>
    <n v="11.859"/>
  </r>
  <r>
    <x v="0"/>
    <x v="6"/>
    <x v="8"/>
    <x v="16"/>
    <s v="PL_Rural"/>
    <x v="21"/>
    <n v="53.225806451612797"/>
    <n v="14.784946236559099"/>
  </r>
  <r>
    <x v="0"/>
    <x v="6"/>
    <x v="8"/>
    <x v="16"/>
    <s v="PL_Rural"/>
    <x v="22"/>
    <n v="130.68"/>
    <n v="36.299999999999997"/>
  </r>
  <r>
    <x v="0"/>
    <x v="6"/>
    <x v="9"/>
    <x v="17"/>
    <s v="SE1A"/>
    <x v="2"/>
    <n v="57.96"/>
    <n v="16.100000000000001"/>
  </r>
  <r>
    <x v="0"/>
    <x v="6"/>
    <x v="9"/>
    <x v="17"/>
    <s v="SE1A"/>
    <x v="0"/>
    <n v="42.692399999999999"/>
    <n v="11.859"/>
  </r>
  <r>
    <x v="0"/>
    <x v="6"/>
    <x v="9"/>
    <x v="17"/>
    <s v="SE1A"/>
    <x v="21"/>
    <n v="53.225806451612797"/>
    <n v="14.784946236559099"/>
  </r>
  <r>
    <x v="0"/>
    <x v="6"/>
    <x v="9"/>
    <x v="17"/>
    <s v="SE1A"/>
    <x v="22"/>
    <n v="130.68"/>
    <n v="36.299999999999997"/>
  </r>
  <r>
    <x v="0"/>
    <x v="6"/>
    <x v="9"/>
    <x v="17"/>
    <s v="SE1_IND"/>
    <x v="2"/>
    <n v="57.96"/>
    <n v="16.100000000000001"/>
  </r>
  <r>
    <x v="0"/>
    <x v="6"/>
    <x v="9"/>
    <x v="17"/>
    <s v="SE1_IND"/>
    <x v="0"/>
    <n v="42.692399999999999"/>
    <n v="11.859"/>
  </r>
  <r>
    <x v="0"/>
    <x v="6"/>
    <x v="9"/>
    <x v="17"/>
    <s v="SE1_IND"/>
    <x v="21"/>
    <n v="53.225806451612797"/>
    <n v="14.784946236559099"/>
  </r>
  <r>
    <x v="0"/>
    <x v="6"/>
    <x v="9"/>
    <x v="17"/>
    <s v="SE1_IND"/>
    <x v="22"/>
    <n v="130.68"/>
    <n v="36.299999999999997"/>
  </r>
  <r>
    <x v="0"/>
    <x v="6"/>
    <x v="9"/>
    <x v="17"/>
    <s v="SE1_Offshore"/>
    <x v="2"/>
    <n v="57.96"/>
    <n v="16.100000000000001"/>
  </r>
  <r>
    <x v="0"/>
    <x v="6"/>
    <x v="9"/>
    <x v="17"/>
    <s v="SE1_Offshore"/>
    <x v="0"/>
    <n v="42.692399999999999"/>
    <n v="11.859"/>
  </r>
  <r>
    <x v="0"/>
    <x v="6"/>
    <x v="9"/>
    <x v="17"/>
    <s v="SE1_Offshore"/>
    <x v="21"/>
    <n v="53.225806451612797"/>
    <n v="14.784946236559099"/>
  </r>
  <r>
    <x v="0"/>
    <x v="6"/>
    <x v="9"/>
    <x v="17"/>
    <s v="SE1_Offshore"/>
    <x v="22"/>
    <n v="130.68"/>
    <n v="36.299999999999997"/>
  </r>
  <r>
    <x v="0"/>
    <x v="6"/>
    <x v="9"/>
    <x v="17"/>
    <s v="SE1_medium"/>
    <x v="2"/>
    <n v="57.96"/>
    <n v="16.100000000000001"/>
  </r>
  <r>
    <x v="0"/>
    <x v="6"/>
    <x v="9"/>
    <x v="17"/>
    <s v="SE1_medium"/>
    <x v="0"/>
    <n v="42.692399999999999"/>
    <n v="11.859"/>
  </r>
  <r>
    <x v="0"/>
    <x v="6"/>
    <x v="9"/>
    <x v="17"/>
    <s v="SE1_medium"/>
    <x v="21"/>
    <n v="53.225806451612797"/>
    <n v="14.784946236559099"/>
  </r>
  <r>
    <x v="0"/>
    <x v="6"/>
    <x v="9"/>
    <x v="17"/>
    <s v="SE1_medium"/>
    <x v="22"/>
    <n v="130.68"/>
    <n v="36.299999999999997"/>
  </r>
  <r>
    <x v="0"/>
    <x v="6"/>
    <x v="9"/>
    <x v="17"/>
    <s v="SE1_small"/>
    <x v="2"/>
    <n v="57.96"/>
    <n v="16.100000000000001"/>
  </r>
  <r>
    <x v="0"/>
    <x v="6"/>
    <x v="9"/>
    <x v="17"/>
    <s v="SE1_small"/>
    <x v="0"/>
    <n v="42.692399999999999"/>
    <n v="11.859"/>
  </r>
  <r>
    <x v="0"/>
    <x v="6"/>
    <x v="9"/>
    <x v="17"/>
    <s v="SE1_small"/>
    <x v="21"/>
    <n v="53.225806451612797"/>
    <n v="14.784946236559099"/>
  </r>
  <r>
    <x v="0"/>
    <x v="6"/>
    <x v="9"/>
    <x v="17"/>
    <s v="SE1_small"/>
    <x v="22"/>
    <n v="130.68"/>
    <n v="36.299999999999997"/>
  </r>
  <r>
    <x v="0"/>
    <x v="6"/>
    <x v="9"/>
    <x v="18"/>
    <s v="SE2A"/>
    <x v="2"/>
    <n v="57.96"/>
    <n v="16.100000000000001"/>
  </r>
  <r>
    <x v="0"/>
    <x v="6"/>
    <x v="9"/>
    <x v="18"/>
    <s v="SE2A"/>
    <x v="0"/>
    <n v="42.692399999999999"/>
    <n v="11.859"/>
  </r>
  <r>
    <x v="0"/>
    <x v="6"/>
    <x v="9"/>
    <x v="18"/>
    <s v="SE2A"/>
    <x v="21"/>
    <n v="53.225806451612797"/>
    <n v="14.784946236559099"/>
  </r>
  <r>
    <x v="0"/>
    <x v="6"/>
    <x v="9"/>
    <x v="18"/>
    <s v="SE2A"/>
    <x v="22"/>
    <n v="130.68"/>
    <n v="36.299999999999997"/>
  </r>
  <r>
    <x v="0"/>
    <x v="6"/>
    <x v="9"/>
    <x v="18"/>
    <s v="SE2_IND"/>
    <x v="2"/>
    <n v="57.96"/>
    <n v="16.100000000000001"/>
  </r>
  <r>
    <x v="0"/>
    <x v="6"/>
    <x v="9"/>
    <x v="18"/>
    <s v="SE2_IND"/>
    <x v="0"/>
    <n v="42.692399999999999"/>
    <n v="11.859"/>
  </r>
  <r>
    <x v="0"/>
    <x v="6"/>
    <x v="9"/>
    <x v="18"/>
    <s v="SE2_IND"/>
    <x v="21"/>
    <n v="53.225806451612797"/>
    <n v="14.784946236559099"/>
  </r>
  <r>
    <x v="0"/>
    <x v="6"/>
    <x v="9"/>
    <x v="18"/>
    <s v="SE2_IND"/>
    <x v="22"/>
    <n v="130.68"/>
    <n v="36.299999999999997"/>
  </r>
  <r>
    <x v="0"/>
    <x v="6"/>
    <x v="9"/>
    <x v="18"/>
    <s v="SE2_Offshore"/>
    <x v="2"/>
    <n v="57.96"/>
    <n v="16.100000000000001"/>
  </r>
  <r>
    <x v="0"/>
    <x v="6"/>
    <x v="9"/>
    <x v="18"/>
    <s v="SE2_Offshore"/>
    <x v="0"/>
    <n v="42.692399999999999"/>
    <n v="11.859"/>
  </r>
  <r>
    <x v="0"/>
    <x v="6"/>
    <x v="9"/>
    <x v="18"/>
    <s v="SE2_Offshore"/>
    <x v="21"/>
    <n v="53.225806451612797"/>
    <n v="14.784946236559099"/>
  </r>
  <r>
    <x v="0"/>
    <x v="6"/>
    <x v="9"/>
    <x v="18"/>
    <s v="SE2_Offshore"/>
    <x v="22"/>
    <n v="130.68"/>
    <n v="36.299999999999997"/>
  </r>
  <r>
    <x v="0"/>
    <x v="6"/>
    <x v="9"/>
    <x v="18"/>
    <s v="SE2_medium"/>
    <x v="2"/>
    <n v="57.96"/>
    <n v="16.100000000000001"/>
  </r>
  <r>
    <x v="0"/>
    <x v="6"/>
    <x v="9"/>
    <x v="18"/>
    <s v="SE2_medium"/>
    <x v="0"/>
    <n v="42.692399999999999"/>
    <n v="11.859"/>
  </r>
  <r>
    <x v="0"/>
    <x v="6"/>
    <x v="9"/>
    <x v="18"/>
    <s v="SE2_medium"/>
    <x v="21"/>
    <n v="53.225806451612797"/>
    <n v="14.784946236559099"/>
  </r>
  <r>
    <x v="0"/>
    <x v="6"/>
    <x v="9"/>
    <x v="18"/>
    <s v="SE2_medium"/>
    <x v="22"/>
    <n v="130.68"/>
    <n v="36.299999999999997"/>
  </r>
  <r>
    <x v="0"/>
    <x v="6"/>
    <x v="9"/>
    <x v="18"/>
    <s v="SE2_small"/>
    <x v="2"/>
    <n v="57.96"/>
    <n v="16.100000000000001"/>
  </r>
  <r>
    <x v="0"/>
    <x v="6"/>
    <x v="9"/>
    <x v="18"/>
    <s v="SE2_small"/>
    <x v="0"/>
    <n v="42.692399999999999"/>
    <n v="11.859"/>
  </r>
  <r>
    <x v="0"/>
    <x v="6"/>
    <x v="9"/>
    <x v="18"/>
    <s v="SE2_small"/>
    <x v="21"/>
    <n v="53.225806451612797"/>
    <n v="14.784946236559099"/>
  </r>
  <r>
    <x v="0"/>
    <x v="6"/>
    <x v="9"/>
    <x v="18"/>
    <s v="SE2_small"/>
    <x v="22"/>
    <n v="130.68"/>
    <n v="36.299999999999997"/>
  </r>
  <r>
    <x v="0"/>
    <x v="6"/>
    <x v="9"/>
    <x v="19"/>
    <s v="SE3A"/>
    <x v="2"/>
    <n v="57.96"/>
    <n v="16.100000000000001"/>
  </r>
  <r>
    <x v="0"/>
    <x v="6"/>
    <x v="9"/>
    <x v="19"/>
    <s v="SE3A"/>
    <x v="0"/>
    <n v="42.692399999999999"/>
    <n v="11.859"/>
  </r>
  <r>
    <x v="0"/>
    <x v="6"/>
    <x v="9"/>
    <x v="19"/>
    <s v="SE3A"/>
    <x v="21"/>
    <n v="53.225806451612797"/>
    <n v="14.784946236559099"/>
  </r>
  <r>
    <x v="0"/>
    <x v="6"/>
    <x v="9"/>
    <x v="19"/>
    <s v="SE3A"/>
    <x v="22"/>
    <n v="130.68"/>
    <n v="36.299999999999997"/>
  </r>
  <r>
    <x v="0"/>
    <x v="6"/>
    <x v="9"/>
    <x v="19"/>
    <s v="SE3_IND"/>
    <x v="2"/>
    <n v="57.96"/>
    <n v="16.100000000000001"/>
  </r>
  <r>
    <x v="0"/>
    <x v="6"/>
    <x v="9"/>
    <x v="19"/>
    <s v="SE3_IND"/>
    <x v="0"/>
    <n v="42.692399999999999"/>
    <n v="11.859"/>
  </r>
  <r>
    <x v="0"/>
    <x v="6"/>
    <x v="9"/>
    <x v="19"/>
    <s v="SE3_IND"/>
    <x v="21"/>
    <n v="53.225806451612797"/>
    <n v="14.784946236559099"/>
  </r>
  <r>
    <x v="0"/>
    <x v="6"/>
    <x v="9"/>
    <x v="19"/>
    <s v="SE3_IND"/>
    <x v="22"/>
    <n v="130.68"/>
    <n v="36.299999999999997"/>
  </r>
  <r>
    <x v="0"/>
    <x v="6"/>
    <x v="9"/>
    <x v="19"/>
    <s v="SE3_Offshore"/>
    <x v="2"/>
    <n v="57.96"/>
    <n v="16.100000000000001"/>
  </r>
  <r>
    <x v="0"/>
    <x v="6"/>
    <x v="9"/>
    <x v="19"/>
    <s v="SE3_Offshore"/>
    <x v="0"/>
    <n v="42.692399999999999"/>
    <n v="11.859"/>
  </r>
  <r>
    <x v="0"/>
    <x v="6"/>
    <x v="9"/>
    <x v="19"/>
    <s v="SE3_Offshore"/>
    <x v="21"/>
    <n v="53.225806451612797"/>
    <n v="14.784946236559099"/>
  </r>
  <r>
    <x v="0"/>
    <x v="6"/>
    <x v="9"/>
    <x v="19"/>
    <s v="SE3_Offshore"/>
    <x v="22"/>
    <n v="130.68"/>
    <n v="36.299999999999997"/>
  </r>
  <r>
    <x v="0"/>
    <x v="6"/>
    <x v="9"/>
    <x v="19"/>
    <s v="SE3_large"/>
    <x v="2"/>
    <n v="57.96"/>
    <n v="16.100000000000001"/>
  </r>
  <r>
    <x v="0"/>
    <x v="6"/>
    <x v="9"/>
    <x v="19"/>
    <s v="SE3_large"/>
    <x v="0"/>
    <n v="42.692399999999999"/>
    <n v="11.859"/>
  </r>
  <r>
    <x v="0"/>
    <x v="6"/>
    <x v="9"/>
    <x v="19"/>
    <s v="SE3_large"/>
    <x v="21"/>
    <n v="53.225806451612797"/>
    <n v="14.784946236559099"/>
  </r>
  <r>
    <x v="0"/>
    <x v="6"/>
    <x v="9"/>
    <x v="19"/>
    <s v="SE3_large"/>
    <x v="22"/>
    <n v="130.68"/>
    <n v="36.299999999999997"/>
  </r>
  <r>
    <x v="0"/>
    <x v="6"/>
    <x v="9"/>
    <x v="19"/>
    <s v="SE3_medium"/>
    <x v="2"/>
    <n v="57.96"/>
    <n v="16.100000000000001"/>
  </r>
  <r>
    <x v="0"/>
    <x v="6"/>
    <x v="9"/>
    <x v="19"/>
    <s v="SE3_medium"/>
    <x v="0"/>
    <n v="42.692399999999999"/>
    <n v="11.859"/>
  </r>
  <r>
    <x v="0"/>
    <x v="6"/>
    <x v="9"/>
    <x v="19"/>
    <s v="SE3_medium"/>
    <x v="21"/>
    <n v="53.225806451612797"/>
    <n v="14.784946236559099"/>
  </r>
  <r>
    <x v="0"/>
    <x v="6"/>
    <x v="9"/>
    <x v="19"/>
    <s v="SE3_medium"/>
    <x v="22"/>
    <n v="130.68"/>
    <n v="36.299999999999997"/>
  </r>
  <r>
    <x v="0"/>
    <x v="6"/>
    <x v="9"/>
    <x v="19"/>
    <s v="SE3_small"/>
    <x v="2"/>
    <n v="57.96"/>
    <n v="16.100000000000001"/>
  </r>
  <r>
    <x v="0"/>
    <x v="6"/>
    <x v="9"/>
    <x v="19"/>
    <s v="SE3_small"/>
    <x v="0"/>
    <n v="42.692399999999999"/>
    <n v="11.859"/>
  </r>
  <r>
    <x v="0"/>
    <x v="6"/>
    <x v="9"/>
    <x v="19"/>
    <s v="SE3_small"/>
    <x v="21"/>
    <n v="53.225806451612797"/>
    <n v="14.784946236559099"/>
  </r>
  <r>
    <x v="0"/>
    <x v="6"/>
    <x v="9"/>
    <x v="19"/>
    <s v="SE3_small"/>
    <x v="22"/>
    <n v="130.68"/>
    <n v="36.299999999999997"/>
  </r>
  <r>
    <x v="0"/>
    <x v="6"/>
    <x v="9"/>
    <x v="20"/>
    <s v="SE4A"/>
    <x v="2"/>
    <n v="57.96"/>
    <n v="16.100000000000001"/>
  </r>
  <r>
    <x v="0"/>
    <x v="6"/>
    <x v="9"/>
    <x v="20"/>
    <s v="SE4A"/>
    <x v="0"/>
    <n v="42.692399999999999"/>
    <n v="11.859"/>
  </r>
  <r>
    <x v="0"/>
    <x v="6"/>
    <x v="9"/>
    <x v="20"/>
    <s v="SE4A"/>
    <x v="21"/>
    <n v="53.225806451612797"/>
    <n v="14.784946236559099"/>
  </r>
  <r>
    <x v="0"/>
    <x v="6"/>
    <x v="9"/>
    <x v="20"/>
    <s v="SE4A"/>
    <x v="22"/>
    <n v="130.68"/>
    <n v="36.299999999999997"/>
  </r>
  <r>
    <x v="0"/>
    <x v="6"/>
    <x v="9"/>
    <x v="20"/>
    <s v="SE4_IND"/>
    <x v="2"/>
    <n v="57.96"/>
    <n v="16.100000000000001"/>
  </r>
  <r>
    <x v="0"/>
    <x v="6"/>
    <x v="9"/>
    <x v="20"/>
    <s v="SE4_IND"/>
    <x v="0"/>
    <n v="42.692399999999999"/>
    <n v="11.859"/>
  </r>
  <r>
    <x v="0"/>
    <x v="6"/>
    <x v="9"/>
    <x v="20"/>
    <s v="SE4_IND"/>
    <x v="21"/>
    <n v="53.225806451612797"/>
    <n v="14.784946236559099"/>
  </r>
  <r>
    <x v="0"/>
    <x v="6"/>
    <x v="9"/>
    <x v="20"/>
    <s v="SE4_IND"/>
    <x v="22"/>
    <n v="130.68"/>
    <n v="36.299999999999997"/>
  </r>
  <r>
    <x v="0"/>
    <x v="6"/>
    <x v="9"/>
    <x v="20"/>
    <s v="SE4_Offshore"/>
    <x v="2"/>
    <n v="57.96"/>
    <n v="16.100000000000001"/>
  </r>
  <r>
    <x v="0"/>
    <x v="6"/>
    <x v="9"/>
    <x v="20"/>
    <s v="SE4_Offshore"/>
    <x v="0"/>
    <n v="42.692399999999999"/>
    <n v="11.859"/>
  </r>
  <r>
    <x v="0"/>
    <x v="6"/>
    <x v="9"/>
    <x v="20"/>
    <s v="SE4_Offshore"/>
    <x v="21"/>
    <n v="53.225806451612797"/>
    <n v="14.784946236559099"/>
  </r>
  <r>
    <x v="0"/>
    <x v="6"/>
    <x v="9"/>
    <x v="20"/>
    <s v="SE4_Offshore"/>
    <x v="22"/>
    <n v="130.68"/>
    <n v="36.299999999999997"/>
  </r>
  <r>
    <x v="0"/>
    <x v="6"/>
    <x v="9"/>
    <x v="20"/>
    <s v="SE4_large"/>
    <x v="2"/>
    <n v="57.96"/>
    <n v="16.100000000000001"/>
  </r>
  <r>
    <x v="0"/>
    <x v="6"/>
    <x v="9"/>
    <x v="20"/>
    <s v="SE4_large"/>
    <x v="0"/>
    <n v="42.692399999999999"/>
    <n v="11.859"/>
  </r>
  <r>
    <x v="0"/>
    <x v="6"/>
    <x v="9"/>
    <x v="20"/>
    <s v="SE4_large"/>
    <x v="21"/>
    <n v="53.225806451612797"/>
    <n v="14.784946236559099"/>
  </r>
  <r>
    <x v="0"/>
    <x v="6"/>
    <x v="9"/>
    <x v="20"/>
    <s v="SE4_large"/>
    <x v="22"/>
    <n v="130.68"/>
    <n v="36.299999999999997"/>
  </r>
  <r>
    <x v="0"/>
    <x v="6"/>
    <x v="9"/>
    <x v="20"/>
    <s v="SE4_medium"/>
    <x v="2"/>
    <n v="57.96"/>
    <n v="16.100000000000001"/>
  </r>
  <r>
    <x v="0"/>
    <x v="6"/>
    <x v="9"/>
    <x v="20"/>
    <s v="SE4_medium"/>
    <x v="0"/>
    <n v="42.692399999999999"/>
    <n v="11.859"/>
  </r>
  <r>
    <x v="0"/>
    <x v="6"/>
    <x v="9"/>
    <x v="20"/>
    <s v="SE4_medium"/>
    <x v="21"/>
    <n v="53.225806451612797"/>
    <n v="14.784946236559099"/>
  </r>
  <r>
    <x v="0"/>
    <x v="6"/>
    <x v="9"/>
    <x v="20"/>
    <s v="SE4_medium"/>
    <x v="22"/>
    <n v="130.68"/>
    <n v="36.299999999999997"/>
  </r>
  <r>
    <x v="0"/>
    <x v="6"/>
    <x v="9"/>
    <x v="20"/>
    <s v="SE4_small"/>
    <x v="2"/>
    <n v="57.96"/>
    <n v="16.100000000000001"/>
  </r>
  <r>
    <x v="0"/>
    <x v="6"/>
    <x v="9"/>
    <x v="20"/>
    <s v="SE4_small"/>
    <x v="0"/>
    <n v="42.692399999999999"/>
    <n v="11.859"/>
  </r>
  <r>
    <x v="0"/>
    <x v="6"/>
    <x v="9"/>
    <x v="20"/>
    <s v="SE4_small"/>
    <x v="21"/>
    <n v="53.225806451612797"/>
    <n v="14.784946236559099"/>
  </r>
  <r>
    <x v="0"/>
    <x v="6"/>
    <x v="9"/>
    <x v="20"/>
    <s v="SE4_small"/>
    <x v="22"/>
    <n v="130.68"/>
    <n v="36.299999999999997"/>
  </r>
  <r>
    <x v="0"/>
    <x v="6"/>
    <x v="10"/>
    <x v="21"/>
    <s v="UK_A"/>
    <x v="2"/>
    <n v="57.96"/>
    <n v="16.100000000000001"/>
  </r>
  <r>
    <x v="0"/>
    <x v="6"/>
    <x v="10"/>
    <x v="21"/>
    <s v="UK_A"/>
    <x v="0"/>
    <n v="42.692399999999999"/>
    <n v="11.859"/>
  </r>
  <r>
    <x v="0"/>
    <x v="6"/>
    <x v="10"/>
    <x v="21"/>
    <s v="UK_A"/>
    <x v="21"/>
    <n v="53.225806451612797"/>
    <n v="14.784946236559099"/>
  </r>
  <r>
    <x v="0"/>
    <x v="6"/>
    <x v="10"/>
    <x v="21"/>
    <s v="UK_A"/>
    <x v="22"/>
    <n v="130.68"/>
    <n v="36.299999999999997"/>
  </r>
  <r>
    <x v="0"/>
    <x v="6"/>
    <x v="10"/>
    <x v="21"/>
    <s v="UK_Offshore"/>
    <x v="2"/>
    <n v="57.96"/>
    <n v="16.100000000000001"/>
  </r>
  <r>
    <x v="0"/>
    <x v="6"/>
    <x v="10"/>
    <x v="21"/>
    <s v="UK_Offshore"/>
    <x v="0"/>
    <n v="42.692399999999999"/>
    <n v="11.859"/>
  </r>
  <r>
    <x v="0"/>
    <x v="6"/>
    <x v="10"/>
    <x v="21"/>
    <s v="UK_Offshore"/>
    <x v="21"/>
    <n v="53.225806451612797"/>
    <n v="14.784946236559099"/>
  </r>
  <r>
    <x v="0"/>
    <x v="6"/>
    <x v="10"/>
    <x v="21"/>
    <s v="UK_Offshore"/>
    <x v="22"/>
    <n v="130.68"/>
    <n v="36.299999999999997"/>
  </r>
  <r>
    <x v="0"/>
    <x v="7"/>
    <x v="0"/>
    <x v="0"/>
    <s v="DK1_Large"/>
    <x v="2"/>
    <n v="57.96"/>
    <n v="16.100000000000001"/>
  </r>
  <r>
    <x v="0"/>
    <x v="7"/>
    <x v="0"/>
    <x v="0"/>
    <s v="DK1_Large"/>
    <x v="0"/>
    <n v="42.692399999999999"/>
    <n v="11.859"/>
  </r>
  <r>
    <x v="0"/>
    <x v="7"/>
    <x v="0"/>
    <x v="0"/>
    <s v="DK1_Large"/>
    <x v="21"/>
    <n v="53.225806451612797"/>
    <n v="14.784946236559099"/>
  </r>
  <r>
    <x v="0"/>
    <x v="7"/>
    <x v="0"/>
    <x v="0"/>
    <s v="DK1_Large"/>
    <x v="22"/>
    <n v="130.68"/>
    <n v="36.299999999999997"/>
  </r>
  <r>
    <x v="0"/>
    <x v="7"/>
    <x v="0"/>
    <x v="0"/>
    <s v="DK1_Large_PHH"/>
    <x v="2"/>
    <n v="57.96"/>
    <n v="16.100000000000001"/>
  </r>
  <r>
    <x v="0"/>
    <x v="7"/>
    <x v="0"/>
    <x v="0"/>
    <s v="DK1_Large_PHH"/>
    <x v="0"/>
    <n v="42.692399999999999"/>
    <n v="11.859"/>
  </r>
  <r>
    <x v="0"/>
    <x v="7"/>
    <x v="0"/>
    <x v="0"/>
    <s v="DK1_Large_PHH"/>
    <x v="21"/>
    <n v="53.225806451612797"/>
    <n v="14.784946236559099"/>
  </r>
  <r>
    <x v="0"/>
    <x v="7"/>
    <x v="0"/>
    <x v="0"/>
    <s v="DK1_Large_PHH"/>
    <x v="22"/>
    <n v="130.68"/>
    <n v="36.299999999999997"/>
  </r>
  <r>
    <x v="0"/>
    <x v="7"/>
    <x v="0"/>
    <x v="0"/>
    <s v="DK1_Large_PHL"/>
    <x v="2"/>
    <n v="57.96"/>
    <n v="16.100000000000001"/>
  </r>
  <r>
    <x v="0"/>
    <x v="7"/>
    <x v="0"/>
    <x v="0"/>
    <s v="DK1_Large_PHL"/>
    <x v="0"/>
    <n v="42.692399999999999"/>
    <n v="11.859"/>
  </r>
  <r>
    <x v="0"/>
    <x v="7"/>
    <x v="0"/>
    <x v="0"/>
    <s v="DK1_Large_PHL"/>
    <x v="21"/>
    <n v="53.225806451612797"/>
    <n v="14.784946236559099"/>
  </r>
  <r>
    <x v="0"/>
    <x v="7"/>
    <x v="0"/>
    <x v="0"/>
    <s v="DK1_Large_PHL"/>
    <x v="22"/>
    <n v="130.68"/>
    <n v="36.299999999999997"/>
  </r>
  <r>
    <x v="0"/>
    <x v="7"/>
    <x v="0"/>
    <x v="0"/>
    <s v="DK1_MedSmall"/>
    <x v="2"/>
    <n v="57.96"/>
    <n v="16.100000000000001"/>
  </r>
  <r>
    <x v="0"/>
    <x v="7"/>
    <x v="0"/>
    <x v="0"/>
    <s v="DK1_MedSmall"/>
    <x v="0"/>
    <n v="42.692399999999999"/>
    <n v="11.859"/>
  </r>
  <r>
    <x v="0"/>
    <x v="7"/>
    <x v="0"/>
    <x v="0"/>
    <s v="DK1_MedSmall"/>
    <x v="21"/>
    <n v="53.225806451612797"/>
    <n v="14.784946236559099"/>
  </r>
  <r>
    <x v="0"/>
    <x v="7"/>
    <x v="0"/>
    <x v="0"/>
    <s v="DK1_MedSmall"/>
    <x v="22"/>
    <n v="130.68"/>
    <n v="36.299999999999997"/>
  </r>
  <r>
    <x v="0"/>
    <x v="7"/>
    <x v="0"/>
    <x v="0"/>
    <s v="DK1_Medium"/>
    <x v="2"/>
    <n v="57.96"/>
    <n v="16.100000000000001"/>
  </r>
  <r>
    <x v="0"/>
    <x v="7"/>
    <x v="0"/>
    <x v="0"/>
    <s v="DK1_Medium"/>
    <x v="0"/>
    <n v="42.692399999999999"/>
    <n v="11.859"/>
  </r>
  <r>
    <x v="0"/>
    <x v="7"/>
    <x v="0"/>
    <x v="0"/>
    <s v="DK1_Medium"/>
    <x v="21"/>
    <n v="53.225806451612797"/>
    <n v="14.784946236559099"/>
  </r>
  <r>
    <x v="0"/>
    <x v="7"/>
    <x v="0"/>
    <x v="0"/>
    <s v="DK1_Medium"/>
    <x v="22"/>
    <n v="130.68"/>
    <n v="36.299999999999997"/>
  </r>
  <r>
    <x v="0"/>
    <x v="7"/>
    <x v="0"/>
    <x v="0"/>
    <s v="DK1_NoDH"/>
    <x v="2"/>
    <n v="57.96"/>
    <n v="16.100000000000001"/>
  </r>
  <r>
    <x v="0"/>
    <x v="7"/>
    <x v="0"/>
    <x v="0"/>
    <s v="DK1_NoDH"/>
    <x v="0"/>
    <n v="42.692399999999999"/>
    <n v="11.859"/>
  </r>
  <r>
    <x v="0"/>
    <x v="7"/>
    <x v="0"/>
    <x v="0"/>
    <s v="DK1_NoDH"/>
    <x v="21"/>
    <n v="53.225806451612797"/>
    <n v="14.784946236559099"/>
  </r>
  <r>
    <x v="0"/>
    <x v="7"/>
    <x v="0"/>
    <x v="0"/>
    <s v="DK1_NoDH"/>
    <x v="22"/>
    <n v="130.68"/>
    <n v="36.299999999999997"/>
  </r>
  <r>
    <x v="0"/>
    <x v="7"/>
    <x v="0"/>
    <x v="0"/>
    <s v="DK1_NoDH_PHH"/>
    <x v="2"/>
    <n v="57.96"/>
    <n v="16.100000000000001"/>
  </r>
  <r>
    <x v="0"/>
    <x v="7"/>
    <x v="0"/>
    <x v="0"/>
    <s v="DK1_NoDH_PHH"/>
    <x v="0"/>
    <n v="42.692399999999999"/>
    <n v="11.859"/>
  </r>
  <r>
    <x v="0"/>
    <x v="7"/>
    <x v="0"/>
    <x v="0"/>
    <s v="DK1_NoDH_PHH"/>
    <x v="21"/>
    <n v="53.225806451612797"/>
    <n v="14.784946236559099"/>
  </r>
  <r>
    <x v="0"/>
    <x v="7"/>
    <x v="0"/>
    <x v="0"/>
    <s v="DK1_NoDH_PHH"/>
    <x v="22"/>
    <n v="130.68"/>
    <n v="36.299999999999997"/>
  </r>
  <r>
    <x v="0"/>
    <x v="7"/>
    <x v="0"/>
    <x v="0"/>
    <s v="DK1_NoDH_PHL"/>
    <x v="2"/>
    <n v="57.96"/>
    <n v="16.100000000000001"/>
  </r>
  <r>
    <x v="0"/>
    <x v="7"/>
    <x v="0"/>
    <x v="0"/>
    <s v="DK1_NoDH_PHL"/>
    <x v="0"/>
    <n v="42.692399999999999"/>
    <n v="11.859"/>
  </r>
  <r>
    <x v="0"/>
    <x v="7"/>
    <x v="0"/>
    <x v="0"/>
    <s v="DK1_NoDH_PHL"/>
    <x v="21"/>
    <n v="53.225806451612797"/>
    <n v="14.784946236559099"/>
  </r>
  <r>
    <x v="0"/>
    <x v="7"/>
    <x v="0"/>
    <x v="0"/>
    <s v="DK1_NoDH_PHL"/>
    <x v="22"/>
    <n v="130.68"/>
    <n v="36.299999999999997"/>
  </r>
  <r>
    <x v="0"/>
    <x v="7"/>
    <x v="0"/>
    <x v="0"/>
    <s v="DK1_Offshore"/>
    <x v="2"/>
    <n v="57.96"/>
    <n v="16.100000000000001"/>
  </r>
  <r>
    <x v="0"/>
    <x v="7"/>
    <x v="0"/>
    <x v="0"/>
    <s v="DK1_Offshore"/>
    <x v="0"/>
    <n v="42.692399999999999"/>
    <n v="11.859"/>
  </r>
  <r>
    <x v="0"/>
    <x v="7"/>
    <x v="0"/>
    <x v="0"/>
    <s v="DK1_Offshore"/>
    <x v="21"/>
    <n v="53.225806451612797"/>
    <n v="14.784946236559099"/>
  </r>
  <r>
    <x v="0"/>
    <x v="7"/>
    <x v="0"/>
    <x v="0"/>
    <s v="DK1_Offshore"/>
    <x v="22"/>
    <n v="130.68"/>
    <n v="36.299999999999997"/>
  </r>
  <r>
    <x v="0"/>
    <x v="7"/>
    <x v="0"/>
    <x v="0"/>
    <s v="DK1_Rural"/>
    <x v="2"/>
    <n v="57.96"/>
    <n v="16.100000000000001"/>
  </r>
  <r>
    <x v="0"/>
    <x v="7"/>
    <x v="0"/>
    <x v="0"/>
    <s v="DK1_Rural"/>
    <x v="0"/>
    <n v="42.692399999999999"/>
    <n v="11.859"/>
  </r>
  <r>
    <x v="0"/>
    <x v="7"/>
    <x v="0"/>
    <x v="0"/>
    <s v="DK1_Rural"/>
    <x v="21"/>
    <n v="53.225806451612797"/>
    <n v="14.784946236559099"/>
  </r>
  <r>
    <x v="0"/>
    <x v="7"/>
    <x v="0"/>
    <x v="0"/>
    <s v="DK1_Rural"/>
    <x v="22"/>
    <n v="130.68"/>
    <n v="36.299999999999997"/>
  </r>
  <r>
    <x v="0"/>
    <x v="7"/>
    <x v="0"/>
    <x v="0"/>
    <s v="DK1_Small"/>
    <x v="2"/>
    <n v="57.96"/>
    <n v="16.100000000000001"/>
  </r>
  <r>
    <x v="0"/>
    <x v="7"/>
    <x v="0"/>
    <x v="0"/>
    <s v="DK1_Small"/>
    <x v="0"/>
    <n v="42.692399999999999"/>
    <n v="11.859"/>
  </r>
  <r>
    <x v="0"/>
    <x v="7"/>
    <x v="0"/>
    <x v="0"/>
    <s v="DK1_Small"/>
    <x v="21"/>
    <n v="53.225806451612797"/>
    <n v="14.784946236559099"/>
  </r>
  <r>
    <x v="0"/>
    <x v="7"/>
    <x v="0"/>
    <x v="0"/>
    <s v="DK1_Small"/>
    <x v="22"/>
    <n v="130.68"/>
    <n v="36.299999999999997"/>
  </r>
  <r>
    <x v="0"/>
    <x v="7"/>
    <x v="0"/>
    <x v="1"/>
    <s v="DK2_Large"/>
    <x v="2"/>
    <n v="57.96"/>
    <n v="16.100000000000001"/>
  </r>
  <r>
    <x v="0"/>
    <x v="7"/>
    <x v="0"/>
    <x v="1"/>
    <s v="DK2_Large"/>
    <x v="0"/>
    <n v="42.692399999999999"/>
    <n v="11.859"/>
  </r>
  <r>
    <x v="0"/>
    <x v="7"/>
    <x v="0"/>
    <x v="1"/>
    <s v="DK2_Large"/>
    <x v="21"/>
    <n v="53.225806451612797"/>
    <n v="14.784946236559099"/>
  </r>
  <r>
    <x v="0"/>
    <x v="7"/>
    <x v="0"/>
    <x v="1"/>
    <s v="DK2_Large"/>
    <x v="22"/>
    <n v="130.68"/>
    <n v="36.299999999999997"/>
  </r>
  <r>
    <x v="0"/>
    <x v="7"/>
    <x v="0"/>
    <x v="1"/>
    <s v="DK2_Large_PHH"/>
    <x v="2"/>
    <n v="57.96"/>
    <n v="16.100000000000001"/>
  </r>
  <r>
    <x v="0"/>
    <x v="7"/>
    <x v="0"/>
    <x v="1"/>
    <s v="DK2_Large_PHH"/>
    <x v="0"/>
    <n v="42.692399999999999"/>
    <n v="11.859"/>
  </r>
  <r>
    <x v="0"/>
    <x v="7"/>
    <x v="0"/>
    <x v="1"/>
    <s v="DK2_Large_PHH"/>
    <x v="21"/>
    <n v="53.225806451612797"/>
    <n v="14.784946236559099"/>
  </r>
  <r>
    <x v="0"/>
    <x v="7"/>
    <x v="0"/>
    <x v="1"/>
    <s v="DK2_Large_PHH"/>
    <x v="22"/>
    <n v="130.68"/>
    <n v="36.299999999999997"/>
  </r>
  <r>
    <x v="0"/>
    <x v="7"/>
    <x v="0"/>
    <x v="1"/>
    <s v="DK2_Large_PHL"/>
    <x v="2"/>
    <n v="57.96"/>
    <n v="16.100000000000001"/>
  </r>
  <r>
    <x v="0"/>
    <x v="7"/>
    <x v="0"/>
    <x v="1"/>
    <s v="DK2_Large_PHL"/>
    <x v="0"/>
    <n v="42.692399999999999"/>
    <n v="11.859"/>
  </r>
  <r>
    <x v="0"/>
    <x v="7"/>
    <x v="0"/>
    <x v="1"/>
    <s v="DK2_Large_PHL"/>
    <x v="21"/>
    <n v="53.225806451612797"/>
    <n v="14.784946236559099"/>
  </r>
  <r>
    <x v="0"/>
    <x v="7"/>
    <x v="0"/>
    <x v="1"/>
    <s v="DK2_Large_PHL"/>
    <x v="22"/>
    <n v="130.68"/>
    <n v="36.299999999999997"/>
  </r>
  <r>
    <x v="0"/>
    <x v="7"/>
    <x v="0"/>
    <x v="1"/>
    <s v="DK2_MedSmall"/>
    <x v="2"/>
    <n v="57.96"/>
    <n v="16.100000000000001"/>
  </r>
  <r>
    <x v="0"/>
    <x v="7"/>
    <x v="0"/>
    <x v="1"/>
    <s v="DK2_MedSmall"/>
    <x v="0"/>
    <n v="42.692399999999999"/>
    <n v="11.859"/>
  </r>
  <r>
    <x v="0"/>
    <x v="7"/>
    <x v="0"/>
    <x v="1"/>
    <s v="DK2_MedSmall"/>
    <x v="21"/>
    <n v="53.225806451612797"/>
    <n v="14.784946236559099"/>
  </r>
  <r>
    <x v="0"/>
    <x v="7"/>
    <x v="0"/>
    <x v="1"/>
    <s v="DK2_MedSmall"/>
    <x v="22"/>
    <n v="130.68"/>
    <n v="36.299999999999997"/>
  </r>
  <r>
    <x v="0"/>
    <x v="7"/>
    <x v="0"/>
    <x v="1"/>
    <s v="DK2_Medium"/>
    <x v="2"/>
    <n v="57.96"/>
    <n v="16.100000000000001"/>
  </r>
  <r>
    <x v="0"/>
    <x v="7"/>
    <x v="0"/>
    <x v="1"/>
    <s v="DK2_Medium"/>
    <x v="0"/>
    <n v="42.692399999999999"/>
    <n v="11.859"/>
  </r>
  <r>
    <x v="0"/>
    <x v="7"/>
    <x v="0"/>
    <x v="1"/>
    <s v="DK2_Medium"/>
    <x v="21"/>
    <n v="53.225806451612797"/>
    <n v="14.784946236559099"/>
  </r>
  <r>
    <x v="0"/>
    <x v="7"/>
    <x v="0"/>
    <x v="1"/>
    <s v="DK2_Medium"/>
    <x v="22"/>
    <n v="130.68"/>
    <n v="36.299999999999997"/>
  </r>
  <r>
    <x v="0"/>
    <x v="7"/>
    <x v="0"/>
    <x v="1"/>
    <s v="DK2_NoDH"/>
    <x v="2"/>
    <n v="57.96"/>
    <n v="16.100000000000001"/>
  </r>
  <r>
    <x v="0"/>
    <x v="7"/>
    <x v="0"/>
    <x v="1"/>
    <s v="DK2_NoDH"/>
    <x v="0"/>
    <n v="42.692399999999999"/>
    <n v="11.859"/>
  </r>
  <r>
    <x v="0"/>
    <x v="7"/>
    <x v="0"/>
    <x v="1"/>
    <s v="DK2_NoDH"/>
    <x v="21"/>
    <n v="53.225806451612797"/>
    <n v="14.784946236559099"/>
  </r>
  <r>
    <x v="0"/>
    <x v="7"/>
    <x v="0"/>
    <x v="1"/>
    <s v="DK2_NoDH"/>
    <x v="22"/>
    <n v="130.68"/>
    <n v="36.299999999999997"/>
  </r>
  <r>
    <x v="0"/>
    <x v="7"/>
    <x v="0"/>
    <x v="1"/>
    <s v="DK2_NoDH_PHH"/>
    <x v="2"/>
    <n v="57.96"/>
    <n v="16.100000000000001"/>
  </r>
  <r>
    <x v="0"/>
    <x v="7"/>
    <x v="0"/>
    <x v="1"/>
    <s v="DK2_NoDH_PHH"/>
    <x v="0"/>
    <n v="42.692399999999999"/>
    <n v="11.859"/>
  </r>
  <r>
    <x v="0"/>
    <x v="7"/>
    <x v="0"/>
    <x v="1"/>
    <s v="DK2_NoDH_PHH"/>
    <x v="21"/>
    <n v="53.225806451612797"/>
    <n v="14.784946236559099"/>
  </r>
  <r>
    <x v="0"/>
    <x v="7"/>
    <x v="0"/>
    <x v="1"/>
    <s v="DK2_NoDH_PHH"/>
    <x v="22"/>
    <n v="130.68"/>
    <n v="36.299999999999997"/>
  </r>
  <r>
    <x v="0"/>
    <x v="7"/>
    <x v="0"/>
    <x v="1"/>
    <s v="DK2_NoDH_PHL"/>
    <x v="2"/>
    <n v="57.96"/>
    <n v="16.100000000000001"/>
  </r>
  <r>
    <x v="0"/>
    <x v="7"/>
    <x v="0"/>
    <x v="1"/>
    <s v="DK2_NoDH_PHL"/>
    <x v="0"/>
    <n v="42.692399999999999"/>
    <n v="11.859"/>
  </r>
  <r>
    <x v="0"/>
    <x v="7"/>
    <x v="0"/>
    <x v="1"/>
    <s v="DK2_NoDH_PHL"/>
    <x v="21"/>
    <n v="53.225806451612797"/>
    <n v="14.784946236559099"/>
  </r>
  <r>
    <x v="0"/>
    <x v="7"/>
    <x v="0"/>
    <x v="1"/>
    <s v="DK2_NoDH_PHL"/>
    <x v="22"/>
    <n v="130.68"/>
    <n v="36.299999999999997"/>
  </r>
  <r>
    <x v="0"/>
    <x v="7"/>
    <x v="0"/>
    <x v="1"/>
    <s v="DK2_Offshore"/>
    <x v="2"/>
    <n v="57.96"/>
    <n v="16.100000000000001"/>
  </r>
  <r>
    <x v="0"/>
    <x v="7"/>
    <x v="0"/>
    <x v="1"/>
    <s v="DK2_Offshore"/>
    <x v="0"/>
    <n v="42.692399999999999"/>
    <n v="11.859"/>
  </r>
  <r>
    <x v="0"/>
    <x v="7"/>
    <x v="0"/>
    <x v="1"/>
    <s v="DK2_Offshore"/>
    <x v="21"/>
    <n v="53.225806451612797"/>
    <n v="14.784946236559099"/>
  </r>
  <r>
    <x v="0"/>
    <x v="7"/>
    <x v="0"/>
    <x v="1"/>
    <s v="DK2_Offshore"/>
    <x v="22"/>
    <n v="130.68"/>
    <n v="36.299999999999997"/>
  </r>
  <r>
    <x v="0"/>
    <x v="7"/>
    <x v="0"/>
    <x v="1"/>
    <s v="DK2_Rural"/>
    <x v="2"/>
    <n v="57.96"/>
    <n v="16.100000000000001"/>
  </r>
  <r>
    <x v="0"/>
    <x v="7"/>
    <x v="0"/>
    <x v="1"/>
    <s v="DK2_Rural"/>
    <x v="0"/>
    <n v="42.692399999999999"/>
    <n v="11.859"/>
  </r>
  <r>
    <x v="0"/>
    <x v="7"/>
    <x v="0"/>
    <x v="1"/>
    <s v="DK2_Rural"/>
    <x v="21"/>
    <n v="53.225806451612797"/>
    <n v="14.784946236559099"/>
  </r>
  <r>
    <x v="0"/>
    <x v="7"/>
    <x v="0"/>
    <x v="1"/>
    <s v="DK2_Rural"/>
    <x v="22"/>
    <n v="130.68"/>
    <n v="36.299999999999997"/>
  </r>
  <r>
    <x v="0"/>
    <x v="7"/>
    <x v="0"/>
    <x v="1"/>
    <s v="DK2_Small"/>
    <x v="2"/>
    <n v="57.96"/>
    <n v="16.100000000000001"/>
  </r>
  <r>
    <x v="0"/>
    <x v="7"/>
    <x v="0"/>
    <x v="1"/>
    <s v="DK2_Small"/>
    <x v="0"/>
    <n v="42.692399999999999"/>
    <n v="11.859"/>
  </r>
  <r>
    <x v="0"/>
    <x v="7"/>
    <x v="0"/>
    <x v="1"/>
    <s v="DK2_Small"/>
    <x v="21"/>
    <n v="53.225806451612797"/>
    <n v="14.784946236559099"/>
  </r>
  <r>
    <x v="0"/>
    <x v="7"/>
    <x v="0"/>
    <x v="1"/>
    <s v="DK2_Small"/>
    <x v="22"/>
    <n v="130.68"/>
    <n v="36.299999999999997"/>
  </r>
  <r>
    <x v="0"/>
    <x v="7"/>
    <x v="1"/>
    <x v="2"/>
    <s v="EE_A"/>
    <x v="2"/>
    <n v="57.96"/>
    <n v="16.100000000000001"/>
  </r>
  <r>
    <x v="0"/>
    <x v="7"/>
    <x v="1"/>
    <x v="2"/>
    <s v="EE_A"/>
    <x v="0"/>
    <n v="42.692399999999999"/>
    <n v="11.859"/>
  </r>
  <r>
    <x v="0"/>
    <x v="7"/>
    <x v="1"/>
    <x v="2"/>
    <s v="EE_A"/>
    <x v="21"/>
    <n v="53.225806451612797"/>
    <n v="14.784946236559099"/>
  </r>
  <r>
    <x v="0"/>
    <x v="7"/>
    <x v="1"/>
    <x v="2"/>
    <s v="EE_A"/>
    <x v="22"/>
    <n v="130.68"/>
    <n v="36.299999999999997"/>
  </r>
  <r>
    <x v="0"/>
    <x v="7"/>
    <x v="1"/>
    <x v="2"/>
    <s v="EE_Enefit"/>
    <x v="2"/>
    <n v="57.96"/>
    <n v="16.100000000000001"/>
  </r>
  <r>
    <x v="0"/>
    <x v="7"/>
    <x v="1"/>
    <x v="2"/>
    <s v="EE_Enefit"/>
    <x v="0"/>
    <n v="42.692399999999999"/>
    <n v="11.859"/>
  </r>
  <r>
    <x v="0"/>
    <x v="7"/>
    <x v="1"/>
    <x v="2"/>
    <s v="EE_Enefit"/>
    <x v="21"/>
    <n v="53.225806451612797"/>
    <n v="14.784946236559099"/>
  </r>
  <r>
    <x v="0"/>
    <x v="7"/>
    <x v="1"/>
    <x v="2"/>
    <s v="EE_Enefit"/>
    <x v="22"/>
    <n v="130.68"/>
    <n v="36.299999999999997"/>
  </r>
  <r>
    <x v="0"/>
    <x v="7"/>
    <x v="1"/>
    <x v="2"/>
    <s v="EE_Industry"/>
    <x v="2"/>
    <n v="57.96"/>
    <n v="16.100000000000001"/>
  </r>
  <r>
    <x v="0"/>
    <x v="7"/>
    <x v="1"/>
    <x v="2"/>
    <s v="EE_Industry"/>
    <x v="0"/>
    <n v="42.692399999999999"/>
    <n v="11.859"/>
  </r>
  <r>
    <x v="0"/>
    <x v="7"/>
    <x v="1"/>
    <x v="2"/>
    <s v="EE_Industry"/>
    <x v="21"/>
    <n v="53.225806451612797"/>
    <n v="14.784946236559099"/>
  </r>
  <r>
    <x v="0"/>
    <x v="7"/>
    <x v="1"/>
    <x v="2"/>
    <s v="EE_Industry"/>
    <x v="22"/>
    <n v="130.68"/>
    <n v="36.299999999999997"/>
  </r>
  <r>
    <x v="0"/>
    <x v="7"/>
    <x v="1"/>
    <x v="2"/>
    <s v="EE_Kohtla_Jarve"/>
    <x v="2"/>
    <n v="57.96"/>
    <n v="16.100000000000001"/>
  </r>
  <r>
    <x v="0"/>
    <x v="7"/>
    <x v="1"/>
    <x v="2"/>
    <s v="EE_Kohtla_Jarve"/>
    <x v="0"/>
    <n v="42.692399999999999"/>
    <n v="11.859"/>
  </r>
  <r>
    <x v="0"/>
    <x v="7"/>
    <x v="1"/>
    <x v="2"/>
    <s v="EE_Kohtla_Jarve"/>
    <x v="21"/>
    <n v="53.225806451612797"/>
    <n v="14.784946236559099"/>
  </r>
  <r>
    <x v="0"/>
    <x v="7"/>
    <x v="1"/>
    <x v="2"/>
    <s v="EE_Kohtla_Jarve"/>
    <x v="22"/>
    <n v="130.68"/>
    <n v="36.299999999999997"/>
  </r>
  <r>
    <x v="0"/>
    <x v="7"/>
    <x v="1"/>
    <x v="2"/>
    <s v="EE_Narva"/>
    <x v="2"/>
    <n v="57.96"/>
    <n v="16.100000000000001"/>
  </r>
  <r>
    <x v="0"/>
    <x v="7"/>
    <x v="1"/>
    <x v="2"/>
    <s v="EE_Narva"/>
    <x v="0"/>
    <n v="42.692399999999999"/>
    <n v="11.859"/>
  </r>
  <r>
    <x v="0"/>
    <x v="7"/>
    <x v="1"/>
    <x v="2"/>
    <s v="EE_Narva"/>
    <x v="21"/>
    <n v="53.225806451612797"/>
    <n v="14.784946236559099"/>
  </r>
  <r>
    <x v="0"/>
    <x v="7"/>
    <x v="1"/>
    <x v="2"/>
    <s v="EE_Narva"/>
    <x v="22"/>
    <n v="130.68"/>
    <n v="36.299999999999997"/>
  </r>
  <r>
    <x v="0"/>
    <x v="7"/>
    <x v="1"/>
    <x v="2"/>
    <s v="EE_OFFSHORE"/>
    <x v="2"/>
    <n v="57.96"/>
    <n v="16.100000000000001"/>
  </r>
  <r>
    <x v="0"/>
    <x v="7"/>
    <x v="1"/>
    <x v="2"/>
    <s v="EE_OFFSHORE"/>
    <x v="0"/>
    <n v="42.692399999999999"/>
    <n v="11.859"/>
  </r>
  <r>
    <x v="0"/>
    <x v="7"/>
    <x v="1"/>
    <x v="2"/>
    <s v="EE_OFFSHORE"/>
    <x v="21"/>
    <n v="53.225806451612797"/>
    <n v="14.784946236559099"/>
  </r>
  <r>
    <x v="0"/>
    <x v="7"/>
    <x v="1"/>
    <x v="2"/>
    <s v="EE_OFFSHORE"/>
    <x v="22"/>
    <n v="130.68"/>
    <n v="36.299999999999997"/>
  </r>
  <r>
    <x v="0"/>
    <x v="7"/>
    <x v="1"/>
    <x v="2"/>
    <s v="EE_Parnu"/>
    <x v="2"/>
    <n v="57.96"/>
    <n v="16.100000000000001"/>
  </r>
  <r>
    <x v="0"/>
    <x v="7"/>
    <x v="1"/>
    <x v="2"/>
    <s v="EE_Parnu"/>
    <x v="0"/>
    <n v="42.692399999999999"/>
    <n v="11.859"/>
  </r>
  <r>
    <x v="0"/>
    <x v="7"/>
    <x v="1"/>
    <x v="2"/>
    <s v="EE_Parnu"/>
    <x v="21"/>
    <n v="53.225806451612797"/>
    <n v="14.784946236559099"/>
  </r>
  <r>
    <x v="0"/>
    <x v="7"/>
    <x v="1"/>
    <x v="2"/>
    <s v="EE_Parnu"/>
    <x v="22"/>
    <n v="130.68"/>
    <n v="36.299999999999997"/>
  </r>
  <r>
    <x v="0"/>
    <x v="7"/>
    <x v="1"/>
    <x v="2"/>
    <s v="EE_Rural"/>
    <x v="2"/>
    <n v="57.96"/>
    <n v="16.100000000000001"/>
  </r>
  <r>
    <x v="0"/>
    <x v="7"/>
    <x v="1"/>
    <x v="2"/>
    <s v="EE_Rural"/>
    <x v="0"/>
    <n v="42.692399999999999"/>
    <n v="11.859"/>
  </r>
  <r>
    <x v="0"/>
    <x v="7"/>
    <x v="1"/>
    <x v="2"/>
    <s v="EE_Rural"/>
    <x v="21"/>
    <n v="53.225806451612797"/>
    <n v="14.784946236559099"/>
  </r>
  <r>
    <x v="0"/>
    <x v="7"/>
    <x v="1"/>
    <x v="2"/>
    <s v="EE_Rural"/>
    <x v="22"/>
    <n v="130.68"/>
    <n v="36.299999999999997"/>
  </r>
  <r>
    <x v="0"/>
    <x v="7"/>
    <x v="1"/>
    <x v="2"/>
    <s v="EE_Sillamae"/>
    <x v="2"/>
    <n v="57.96"/>
    <n v="16.100000000000001"/>
  </r>
  <r>
    <x v="0"/>
    <x v="7"/>
    <x v="1"/>
    <x v="2"/>
    <s v="EE_Sillamae"/>
    <x v="0"/>
    <n v="42.692399999999999"/>
    <n v="11.859"/>
  </r>
  <r>
    <x v="0"/>
    <x v="7"/>
    <x v="1"/>
    <x v="2"/>
    <s v="EE_Sillamae"/>
    <x v="21"/>
    <n v="53.225806451612797"/>
    <n v="14.784946236559099"/>
  </r>
  <r>
    <x v="0"/>
    <x v="7"/>
    <x v="1"/>
    <x v="2"/>
    <s v="EE_Sillamae"/>
    <x v="22"/>
    <n v="130.68"/>
    <n v="36.299999999999997"/>
  </r>
  <r>
    <x v="0"/>
    <x v="7"/>
    <x v="1"/>
    <x v="2"/>
    <s v="EE_Tallinn"/>
    <x v="2"/>
    <n v="57.96"/>
    <n v="16.100000000000001"/>
  </r>
  <r>
    <x v="0"/>
    <x v="7"/>
    <x v="1"/>
    <x v="2"/>
    <s v="EE_Tallinn"/>
    <x v="0"/>
    <n v="42.692399999999999"/>
    <n v="11.859"/>
  </r>
  <r>
    <x v="0"/>
    <x v="7"/>
    <x v="1"/>
    <x v="2"/>
    <s v="EE_Tallinn"/>
    <x v="21"/>
    <n v="53.225806451612797"/>
    <n v="14.784946236559099"/>
  </r>
  <r>
    <x v="0"/>
    <x v="7"/>
    <x v="1"/>
    <x v="2"/>
    <s v="EE_Tallinn"/>
    <x v="22"/>
    <n v="130.68"/>
    <n v="36.299999999999997"/>
  </r>
  <r>
    <x v="0"/>
    <x v="7"/>
    <x v="1"/>
    <x v="2"/>
    <s v="EE_Tartu"/>
    <x v="2"/>
    <n v="57.96"/>
    <n v="16.100000000000001"/>
  </r>
  <r>
    <x v="0"/>
    <x v="7"/>
    <x v="1"/>
    <x v="2"/>
    <s v="EE_Tartu"/>
    <x v="0"/>
    <n v="42.692399999999999"/>
    <n v="11.859"/>
  </r>
  <r>
    <x v="0"/>
    <x v="7"/>
    <x v="1"/>
    <x v="2"/>
    <s v="EE_Tartu"/>
    <x v="21"/>
    <n v="53.225806451612797"/>
    <n v="14.784946236559099"/>
  </r>
  <r>
    <x v="0"/>
    <x v="7"/>
    <x v="1"/>
    <x v="2"/>
    <s v="EE_Tartu"/>
    <x v="22"/>
    <n v="130.68"/>
    <n v="36.299999999999997"/>
  </r>
  <r>
    <x v="0"/>
    <x v="7"/>
    <x v="1"/>
    <x v="2"/>
    <s v="EE_Urban"/>
    <x v="2"/>
    <n v="57.96"/>
    <n v="16.100000000000001"/>
  </r>
  <r>
    <x v="0"/>
    <x v="7"/>
    <x v="1"/>
    <x v="2"/>
    <s v="EE_Urban"/>
    <x v="0"/>
    <n v="42.692399999999999"/>
    <n v="11.859"/>
  </r>
  <r>
    <x v="0"/>
    <x v="7"/>
    <x v="1"/>
    <x v="2"/>
    <s v="EE_Urban"/>
    <x v="21"/>
    <n v="53.225806451612797"/>
    <n v="14.784946236559099"/>
  </r>
  <r>
    <x v="0"/>
    <x v="7"/>
    <x v="1"/>
    <x v="2"/>
    <s v="EE_Urban"/>
    <x v="22"/>
    <n v="130.68"/>
    <n v="36.299999999999997"/>
  </r>
  <r>
    <x v="0"/>
    <x v="7"/>
    <x v="2"/>
    <x v="3"/>
    <s v="FI_IND"/>
    <x v="2"/>
    <n v="57.96"/>
    <n v="16.100000000000001"/>
  </r>
  <r>
    <x v="0"/>
    <x v="7"/>
    <x v="2"/>
    <x v="3"/>
    <s v="FI_IND"/>
    <x v="0"/>
    <n v="42.692399999999999"/>
    <n v="11.859"/>
  </r>
  <r>
    <x v="0"/>
    <x v="7"/>
    <x v="2"/>
    <x v="3"/>
    <s v="FI_IND"/>
    <x v="21"/>
    <n v="53.225806451612797"/>
    <n v="14.784946236559099"/>
  </r>
  <r>
    <x v="0"/>
    <x v="7"/>
    <x v="2"/>
    <x v="3"/>
    <s v="FI_IND"/>
    <x v="22"/>
    <n v="130.68"/>
    <n v="36.299999999999997"/>
  </r>
  <r>
    <x v="0"/>
    <x v="7"/>
    <x v="2"/>
    <x v="3"/>
    <s v="FI_Offshore"/>
    <x v="2"/>
    <n v="57.96"/>
    <n v="16.100000000000001"/>
  </r>
  <r>
    <x v="0"/>
    <x v="7"/>
    <x v="2"/>
    <x v="3"/>
    <s v="FI_Offshore"/>
    <x v="0"/>
    <n v="42.692399999999999"/>
    <n v="11.859"/>
  </r>
  <r>
    <x v="0"/>
    <x v="7"/>
    <x v="2"/>
    <x v="3"/>
    <s v="FI_Offshore"/>
    <x v="21"/>
    <n v="53.225806451612797"/>
    <n v="14.784946236559099"/>
  </r>
  <r>
    <x v="0"/>
    <x v="7"/>
    <x v="2"/>
    <x v="3"/>
    <s v="FI_Offshore"/>
    <x v="22"/>
    <n v="130.68"/>
    <n v="36.299999999999997"/>
  </r>
  <r>
    <x v="0"/>
    <x v="7"/>
    <x v="2"/>
    <x v="3"/>
    <s v="FI_large"/>
    <x v="2"/>
    <n v="57.96"/>
    <n v="16.100000000000001"/>
  </r>
  <r>
    <x v="0"/>
    <x v="7"/>
    <x v="2"/>
    <x v="3"/>
    <s v="FI_large"/>
    <x v="0"/>
    <n v="42.692399999999999"/>
    <n v="11.859"/>
  </r>
  <r>
    <x v="0"/>
    <x v="7"/>
    <x v="2"/>
    <x v="3"/>
    <s v="FI_large"/>
    <x v="21"/>
    <n v="53.225806451612797"/>
    <n v="14.784946236559099"/>
  </r>
  <r>
    <x v="0"/>
    <x v="7"/>
    <x v="2"/>
    <x v="3"/>
    <s v="FI_large"/>
    <x v="22"/>
    <n v="130.68"/>
    <n v="36.299999999999997"/>
  </r>
  <r>
    <x v="0"/>
    <x v="7"/>
    <x v="2"/>
    <x v="3"/>
    <s v="FI_large_gas"/>
    <x v="2"/>
    <n v="57.96"/>
    <n v="16.100000000000001"/>
  </r>
  <r>
    <x v="0"/>
    <x v="7"/>
    <x v="2"/>
    <x v="3"/>
    <s v="FI_large_gas"/>
    <x v="0"/>
    <n v="42.692399999999999"/>
    <n v="11.859"/>
  </r>
  <r>
    <x v="0"/>
    <x v="7"/>
    <x v="2"/>
    <x v="3"/>
    <s v="FI_large_gas"/>
    <x v="21"/>
    <n v="53.225806451612797"/>
    <n v="14.784946236559099"/>
  </r>
  <r>
    <x v="0"/>
    <x v="7"/>
    <x v="2"/>
    <x v="3"/>
    <s v="FI_large_gas"/>
    <x v="22"/>
    <n v="130.68"/>
    <n v="36.299999999999997"/>
  </r>
  <r>
    <x v="0"/>
    <x v="7"/>
    <x v="2"/>
    <x v="3"/>
    <s v="FI_medium"/>
    <x v="2"/>
    <n v="57.96"/>
    <n v="16.100000000000001"/>
  </r>
  <r>
    <x v="0"/>
    <x v="7"/>
    <x v="2"/>
    <x v="3"/>
    <s v="FI_medium"/>
    <x v="0"/>
    <n v="42.692399999999999"/>
    <n v="11.859"/>
  </r>
  <r>
    <x v="0"/>
    <x v="7"/>
    <x v="2"/>
    <x v="3"/>
    <s v="FI_medium"/>
    <x v="21"/>
    <n v="53.225806451612797"/>
    <n v="14.784946236559099"/>
  </r>
  <r>
    <x v="0"/>
    <x v="7"/>
    <x v="2"/>
    <x v="3"/>
    <s v="FI_medium"/>
    <x v="22"/>
    <n v="130.68"/>
    <n v="36.299999999999997"/>
  </r>
  <r>
    <x v="0"/>
    <x v="7"/>
    <x v="2"/>
    <x v="3"/>
    <s v="FI_medium_gas"/>
    <x v="2"/>
    <n v="57.96"/>
    <n v="16.100000000000001"/>
  </r>
  <r>
    <x v="0"/>
    <x v="7"/>
    <x v="2"/>
    <x v="3"/>
    <s v="FI_medium_gas"/>
    <x v="0"/>
    <n v="42.692399999999999"/>
    <n v="11.859"/>
  </r>
  <r>
    <x v="0"/>
    <x v="7"/>
    <x v="2"/>
    <x v="3"/>
    <s v="FI_medium_gas"/>
    <x v="21"/>
    <n v="53.225806451612797"/>
    <n v="14.784946236559099"/>
  </r>
  <r>
    <x v="0"/>
    <x v="7"/>
    <x v="2"/>
    <x v="3"/>
    <s v="FI_medium_gas"/>
    <x v="22"/>
    <n v="130.68"/>
    <n v="36.299999999999997"/>
  </r>
  <r>
    <x v="0"/>
    <x v="7"/>
    <x v="2"/>
    <x v="3"/>
    <s v="FI_small"/>
    <x v="2"/>
    <n v="57.96"/>
    <n v="16.100000000000001"/>
  </r>
  <r>
    <x v="0"/>
    <x v="7"/>
    <x v="2"/>
    <x v="3"/>
    <s v="FI_small"/>
    <x v="0"/>
    <n v="42.692399999999999"/>
    <n v="11.859"/>
  </r>
  <r>
    <x v="0"/>
    <x v="7"/>
    <x v="2"/>
    <x v="3"/>
    <s v="FI_small"/>
    <x v="21"/>
    <n v="53.225806451612797"/>
    <n v="14.784946236559099"/>
  </r>
  <r>
    <x v="0"/>
    <x v="7"/>
    <x v="2"/>
    <x v="3"/>
    <s v="FI_small"/>
    <x v="22"/>
    <n v="130.68"/>
    <n v="36.299999999999997"/>
  </r>
  <r>
    <x v="0"/>
    <x v="7"/>
    <x v="2"/>
    <x v="3"/>
    <s v="FI_small_gas"/>
    <x v="2"/>
    <n v="57.96"/>
    <n v="16.100000000000001"/>
  </r>
  <r>
    <x v="0"/>
    <x v="7"/>
    <x v="2"/>
    <x v="3"/>
    <s v="FI_small_gas"/>
    <x v="0"/>
    <n v="42.692399999999999"/>
    <n v="11.859"/>
  </r>
  <r>
    <x v="0"/>
    <x v="7"/>
    <x v="2"/>
    <x v="3"/>
    <s v="FI_small_gas"/>
    <x v="21"/>
    <n v="53.225806451612797"/>
    <n v="14.784946236559099"/>
  </r>
  <r>
    <x v="0"/>
    <x v="7"/>
    <x v="2"/>
    <x v="3"/>
    <s v="FI_small_gas"/>
    <x v="22"/>
    <n v="130.68"/>
    <n v="36.299999999999997"/>
  </r>
  <r>
    <x v="0"/>
    <x v="7"/>
    <x v="2"/>
    <x v="3"/>
    <s v="FinA"/>
    <x v="2"/>
    <n v="57.96"/>
    <n v="16.100000000000001"/>
  </r>
  <r>
    <x v="0"/>
    <x v="7"/>
    <x v="2"/>
    <x v="3"/>
    <s v="FinA"/>
    <x v="0"/>
    <n v="42.692399999999999"/>
    <n v="11.859"/>
  </r>
  <r>
    <x v="0"/>
    <x v="7"/>
    <x v="2"/>
    <x v="3"/>
    <s v="FinA"/>
    <x v="21"/>
    <n v="53.225806451612797"/>
    <n v="14.784946236559099"/>
  </r>
  <r>
    <x v="0"/>
    <x v="7"/>
    <x v="2"/>
    <x v="3"/>
    <s v="FinA"/>
    <x v="22"/>
    <n v="130.68"/>
    <n v="36.299999999999997"/>
  </r>
  <r>
    <x v="0"/>
    <x v="7"/>
    <x v="3"/>
    <x v="4"/>
    <s v="DE4-E_A"/>
    <x v="2"/>
    <n v="57.96"/>
    <n v="16.100000000000001"/>
  </r>
  <r>
    <x v="0"/>
    <x v="7"/>
    <x v="3"/>
    <x v="4"/>
    <s v="DE4-E_A"/>
    <x v="0"/>
    <n v="42.692399999999999"/>
    <n v="11.859"/>
  </r>
  <r>
    <x v="0"/>
    <x v="7"/>
    <x v="3"/>
    <x v="4"/>
    <s v="DE4-E_A"/>
    <x v="21"/>
    <n v="53.225806451612797"/>
    <n v="14.784946236559099"/>
  </r>
  <r>
    <x v="0"/>
    <x v="7"/>
    <x v="3"/>
    <x v="4"/>
    <s v="DE4-E_A"/>
    <x v="22"/>
    <n v="130.68"/>
    <n v="36.299999999999997"/>
  </r>
  <r>
    <x v="0"/>
    <x v="7"/>
    <x v="3"/>
    <x v="4"/>
    <s v="DE4-E_Offshore_A"/>
    <x v="2"/>
    <n v="57.96"/>
    <n v="16.100000000000001"/>
  </r>
  <r>
    <x v="0"/>
    <x v="7"/>
    <x v="3"/>
    <x v="4"/>
    <s v="DE4-E_Offshore_A"/>
    <x v="0"/>
    <n v="42.692399999999999"/>
    <n v="11.859"/>
  </r>
  <r>
    <x v="0"/>
    <x v="7"/>
    <x v="3"/>
    <x v="4"/>
    <s v="DE4-E_Offshore_A"/>
    <x v="21"/>
    <n v="53.225806451612797"/>
    <n v="14.784946236559099"/>
  </r>
  <r>
    <x v="0"/>
    <x v="7"/>
    <x v="3"/>
    <x v="4"/>
    <s v="DE4-E_Offshore_A"/>
    <x v="22"/>
    <n v="130.68"/>
    <n v="36.299999999999997"/>
  </r>
  <r>
    <x v="0"/>
    <x v="7"/>
    <x v="3"/>
    <x v="5"/>
    <s v="DE4-N_A"/>
    <x v="2"/>
    <n v="57.96"/>
    <n v="16.100000000000001"/>
  </r>
  <r>
    <x v="0"/>
    <x v="7"/>
    <x v="3"/>
    <x v="5"/>
    <s v="DE4-N_A"/>
    <x v="0"/>
    <n v="42.692399999999999"/>
    <n v="11.859"/>
  </r>
  <r>
    <x v="0"/>
    <x v="7"/>
    <x v="3"/>
    <x v="5"/>
    <s v="DE4-N_A"/>
    <x v="21"/>
    <n v="53.225806451612797"/>
    <n v="14.784946236559099"/>
  </r>
  <r>
    <x v="0"/>
    <x v="7"/>
    <x v="3"/>
    <x v="5"/>
    <s v="DE4-N_A"/>
    <x v="22"/>
    <n v="130.68"/>
    <n v="36.299999999999997"/>
  </r>
  <r>
    <x v="0"/>
    <x v="7"/>
    <x v="3"/>
    <x v="5"/>
    <s v="DE4-N_Offshore_A"/>
    <x v="2"/>
    <n v="57.96"/>
    <n v="16.100000000000001"/>
  </r>
  <r>
    <x v="0"/>
    <x v="7"/>
    <x v="3"/>
    <x v="5"/>
    <s v="DE4-N_Offshore_A"/>
    <x v="0"/>
    <n v="42.692399999999999"/>
    <n v="11.859"/>
  </r>
  <r>
    <x v="0"/>
    <x v="7"/>
    <x v="3"/>
    <x v="5"/>
    <s v="DE4-N_Offshore_A"/>
    <x v="21"/>
    <n v="53.225806451612797"/>
    <n v="14.784946236559099"/>
  </r>
  <r>
    <x v="0"/>
    <x v="7"/>
    <x v="3"/>
    <x v="5"/>
    <s v="DE4-N_Offshore_A"/>
    <x v="22"/>
    <n v="130.68"/>
    <n v="36.299999999999997"/>
  </r>
  <r>
    <x v="0"/>
    <x v="7"/>
    <x v="3"/>
    <x v="6"/>
    <s v="DE4-S_A"/>
    <x v="2"/>
    <n v="57.96"/>
    <n v="16.100000000000001"/>
  </r>
  <r>
    <x v="0"/>
    <x v="7"/>
    <x v="3"/>
    <x v="6"/>
    <s v="DE4-S_A"/>
    <x v="0"/>
    <n v="42.692399999999999"/>
    <n v="11.859"/>
  </r>
  <r>
    <x v="0"/>
    <x v="7"/>
    <x v="3"/>
    <x v="6"/>
    <s v="DE4-S_A"/>
    <x v="21"/>
    <n v="53.225806451612797"/>
    <n v="14.784946236559099"/>
  </r>
  <r>
    <x v="0"/>
    <x v="7"/>
    <x v="3"/>
    <x v="6"/>
    <s v="DE4-S_A"/>
    <x v="22"/>
    <n v="130.68"/>
    <n v="36.299999999999997"/>
  </r>
  <r>
    <x v="0"/>
    <x v="7"/>
    <x v="3"/>
    <x v="7"/>
    <s v="DE4-W_A"/>
    <x v="2"/>
    <n v="57.96"/>
    <n v="16.100000000000001"/>
  </r>
  <r>
    <x v="0"/>
    <x v="7"/>
    <x v="3"/>
    <x v="7"/>
    <s v="DE4-W_A"/>
    <x v="0"/>
    <n v="42.692399999999999"/>
    <n v="11.859"/>
  </r>
  <r>
    <x v="0"/>
    <x v="7"/>
    <x v="3"/>
    <x v="7"/>
    <s v="DE4-W_A"/>
    <x v="21"/>
    <n v="53.225806451612797"/>
    <n v="14.784946236559099"/>
  </r>
  <r>
    <x v="0"/>
    <x v="7"/>
    <x v="3"/>
    <x v="7"/>
    <s v="DE4-W_A"/>
    <x v="22"/>
    <n v="130.68"/>
    <n v="36.299999999999997"/>
  </r>
  <r>
    <x v="0"/>
    <x v="7"/>
    <x v="3"/>
    <x v="7"/>
    <s v="DE4-W_Offshore_A"/>
    <x v="2"/>
    <n v="57.96"/>
    <n v="16.100000000000001"/>
  </r>
  <r>
    <x v="0"/>
    <x v="7"/>
    <x v="3"/>
    <x v="7"/>
    <s v="DE4-W_Offshore_A"/>
    <x v="0"/>
    <n v="42.692399999999999"/>
    <n v="11.859"/>
  </r>
  <r>
    <x v="0"/>
    <x v="7"/>
    <x v="3"/>
    <x v="7"/>
    <s v="DE4-W_Offshore_A"/>
    <x v="21"/>
    <n v="53.225806451612797"/>
    <n v="14.784946236559099"/>
  </r>
  <r>
    <x v="0"/>
    <x v="7"/>
    <x v="3"/>
    <x v="7"/>
    <s v="DE4-W_Offshore_A"/>
    <x v="22"/>
    <n v="130.68"/>
    <n v="36.299999999999997"/>
  </r>
  <r>
    <x v="0"/>
    <x v="7"/>
    <x v="4"/>
    <x v="8"/>
    <s v="LV_A"/>
    <x v="2"/>
    <n v="57.96"/>
    <n v="16.100000000000001"/>
  </r>
  <r>
    <x v="0"/>
    <x v="7"/>
    <x v="4"/>
    <x v="8"/>
    <s v="LV_A"/>
    <x v="0"/>
    <n v="42.692399999999999"/>
    <n v="11.859"/>
  </r>
  <r>
    <x v="0"/>
    <x v="7"/>
    <x v="4"/>
    <x v="8"/>
    <s v="LV_A"/>
    <x v="21"/>
    <n v="53.225806451612797"/>
    <n v="14.784946236559099"/>
  </r>
  <r>
    <x v="0"/>
    <x v="7"/>
    <x v="4"/>
    <x v="8"/>
    <s v="LV_A"/>
    <x v="22"/>
    <n v="130.68"/>
    <n v="36.299999999999997"/>
  </r>
  <r>
    <x v="0"/>
    <x v="7"/>
    <x v="4"/>
    <x v="8"/>
    <s v="LV_OFFSHORE"/>
    <x v="2"/>
    <n v="57.96"/>
    <n v="16.100000000000001"/>
  </r>
  <r>
    <x v="0"/>
    <x v="7"/>
    <x v="4"/>
    <x v="8"/>
    <s v="LV_OFFSHORE"/>
    <x v="0"/>
    <n v="42.692399999999999"/>
    <n v="11.859"/>
  </r>
  <r>
    <x v="0"/>
    <x v="7"/>
    <x v="4"/>
    <x v="8"/>
    <s v="LV_OFFSHORE"/>
    <x v="21"/>
    <n v="53.225806451612797"/>
    <n v="14.784946236559099"/>
  </r>
  <r>
    <x v="0"/>
    <x v="7"/>
    <x v="4"/>
    <x v="8"/>
    <s v="LV_OFFSHORE"/>
    <x v="22"/>
    <n v="130.68"/>
    <n v="36.299999999999997"/>
  </r>
  <r>
    <x v="0"/>
    <x v="7"/>
    <x v="4"/>
    <x v="8"/>
    <s v="LV_Other_DH"/>
    <x v="2"/>
    <n v="57.96"/>
    <n v="16.100000000000001"/>
  </r>
  <r>
    <x v="0"/>
    <x v="7"/>
    <x v="4"/>
    <x v="8"/>
    <s v="LV_Other_DH"/>
    <x v="0"/>
    <n v="42.692399999999999"/>
    <n v="11.859"/>
  </r>
  <r>
    <x v="0"/>
    <x v="7"/>
    <x v="4"/>
    <x v="8"/>
    <s v="LV_Other_DH"/>
    <x v="21"/>
    <n v="53.225806451612797"/>
    <n v="14.784946236559099"/>
  </r>
  <r>
    <x v="0"/>
    <x v="7"/>
    <x v="4"/>
    <x v="8"/>
    <s v="LV_Other_DH"/>
    <x v="22"/>
    <n v="130.68"/>
    <n v="36.299999999999997"/>
  </r>
  <r>
    <x v="0"/>
    <x v="7"/>
    <x v="4"/>
    <x v="8"/>
    <s v="LV_RigaR"/>
    <x v="2"/>
    <n v="57.96"/>
    <n v="16.100000000000001"/>
  </r>
  <r>
    <x v="0"/>
    <x v="7"/>
    <x v="4"/>
    <x v="8"/>
    <s v="LV_RigaR"/>
    <x v="0"/>
    <n v="42.692399999999999"/>
    <n v="11.859"/>
  </r>
  <r>
    <x v="0"/>
    <x v="7"/>
    <x v="4"/>
    <x v="8"/>
    <s v="LV_RigaR"/>
    <x v="21"/>
    <n v="53.225806451612797"/>
    <n v="14.784946236559099"/>
  </r>
  <r>
    <x v="0"/>
    <x v="7"/>
    <x v="4"/>
    <x v="8"/>
    <s v="LV_RigaR"/>
    <x v="22"/>
    <n v="130.68"/>
    <n v="36.299999999999997"/>
  </r>
  <r>
    <x v="0"/>
    <x v="7"/>
    <x v="4"/>
    <x v="8"/>
    <s v="LV_Rural"/>
    <x v="2"/>
    <n v="57.96"/>
    <n v="16.100000000000001"/>
  </r>
  <r>
    <x v="0"/>
    <x v="7"/>
    <x v="4"/>
    <x v="8"/>
    <s v="LV_Rural"/>
    <x v="0"/>
    <n v="42.692399999999999"/>
    <n v="11.859"/>
  </r>
  <r>
    <x v="0"/>
    <x v="7"/>
    <x v="4"/>
    <x v="8"/>
    <s v="LV_Rural"/>
    <x v="21"/>
    <n v="53.225806451612797"/>
    <n v="14.784946236559099"/>
  </r>
  <r>
    <x v="0"/>
    <x v="7"/>
    <x v="4"/>
    <x v="8"/>
    <s v="LV_Rural"/>
    <x v="22"/>
    <n v="130.68"/>
    <n v="36.299999999999997"/>
  </r>
  <r>
    <x v="0"/>
    <x v="7"/>
    <x v="5"/>
    <x v="9"/>
    <s v="LT_A"/>
    <x v="2"/>
    <n v="57.96"/>
    <n v="16.100000000000001"/>
  </r>
  <r>
    <x v="0"/>
    <x v="7"/>
    <x v="5"/>
    <x v="9"/>
    <s v="LT_A"/>
    <x v="0"/>
    <n v="42.692399999999999"/>
    <n v="11.859"/>
  </r>
  <r>
    <x v="0"/>
    <x v="7"/>
    <x v="5"/>
    <x v="9"/>
    <s v="LT_A"/>
    <x v="21"/>
    <n v="53.225806451612797"/>
    <n v="14.784946236559099"/>
  </r>
  <r>
    <x v="0"/>
    <x v="7"/>
    <x v="5"/>
    <x v="9"/>
    <s v="LT_A"/>
    <x v="22"/>
    <n v="130.68"/>
    <n v="36.299999999999997"/>
  </r>
  <r>
    <x v="0"/>
    <x v="7"/>
    <x v="5"/>
    <x v="9"/>
    <s v="LT_KauU"/>
    <x v="2"/>
    <n v="57.96"/>
    <n v="16.100000000000001"/>
  </r>
  <r>
    <x v="0"/>
    <x v="7"/>
    <x v="5"/>
    <x v="9"/>
    <s v="LT_KauU"/>
    <x v="0"/>
    <n v="42.692399999999999"/>
    <n v="11.859"/>
  </r>
  <r>
    <x v="0"/>
    <x v="7"/>
    <x v="5"/>
    <x v="9"/>
    <s v="LT_KauU"/>
    <x v="21"/>
    <n v="53.225806451612797"/>
    <n v="14.784946236559099"/>
  </r>
  <r>
    <x v="0"/>
    <x v="7"/>
    <x v="5"/>
    <x v="9"/>
    <s v="LT_KauU"/>
    <x v="22"/>
    <n v="130.68"/>
    <n v="36.299999999999997"/>
  </r>
  <r>
    <x v="0"/>
    <x v="7"/>
    <x v="5"/>
    <x v="9"/>
    <s v="LT_KlaU"/>
    <x v="2"/>
    <n v="57.96"/>
    <n v="16.100000000000001"/>
  </r>
  <r>
    <x v="0"/>
    <x v="7"/>
    <x v="5"/>
    <x v="9"/>
    <s v="LT_KlaU"/>
    <x v="0"/>
    <n v="42.692399999999999"/>
    <n v="11.859"/>
  </r>
  <r>
    <x v="0"/>
    <x v="7"/>
    <x v="5"/>
    <x v="9"/>
    <s v="LT_KlaU"/>
    <x v="21"/>
    <n v="53.225806451612797"/>
    <n v="14.784946236559099"/>
  </r>
  <r>
    <x v="0"/>
    <x v="7"/>
    <x v="5"/>
    <x v="9"/>
    <s v="LT_KlaU"/>
    <x v="22"/>
    <n v="130.68"/>
    <n v="36.299999999999997"/>
  </r>
  <r>
    <x v="0"/>
    <x v="7"/>
    <x v="5"/>
    <x v="9"/>
    <s v="LT_OFFSHORE"/>
    <x v="2"/>
    <n v="57.96"/>
    <n v="16.100000000000001"/>
  </r>
  <r>
    <x v="0"/>
    <x v="7"/>
    <x v="5"/>
    <x v="9"/>
    <s v="LT_OFFSHORE"/>
    <x v="0"/>
    <n v="42.692399999999999"/>
    <n v="11.859"/>
  </r>
  <r>
    <x v="0"/>
    <x v="7"/>
    <x v="5"/>
    <x v="9"/>
    <s v="LT_OFFSHORE"/>
    <x v="21"/>
    <n v="53.225806451612797"/>
    <n v="14.784946236559099"/>
  </r>
  <r>
    <x v="0"/>
    <x v="7"/>
    <x v="5"/>
    <x v="9"/>
    <s v="LT_OFFSHORE"/>
    <x v="22"/>
    <n v="130.68"/>
    <n v="36.299999999999997"/>
  </r>
  <r>
    <x v="0"/>
    <x v="7"/>
    <x v="5"/>
    <x v="9"/>
    <s v="LT_Other_DH"/>
    <x v="2"/>
    <n v="57.96"/>
    <n v="16.100000000000001"/>
  </r>
  <r>
    <x v="0"/>
    <x v="7"/>
    <x v="5"/>
    <x v="9"/>
    <s v="LT_Other_DH"/>
    <x v="0"/>
    <n v="42.692399999999999"/>
    <n v="11.859"/>
  </r>
  <r>
    <x v="0"/>
    <x v="7"/>
    <x v="5"/>
    <x v="9"/>
    <s v="LT_Other_DH"/>
    <x v="21"/>
    <n v="53.225806451612797"/>
    <n v="14.784946236559099"/>
  </r>
  <r>
    <x v="0"/>
    <x v="7"/>
    <x v="5"/>
    <x v="9"/>
    <s v="LT_Other_DH"/>
    <x v="22"/>
    <n v="130.68"/>
    <n v="36.299999999999997"/>
  </r>
  <r>
    <x v="0"/>
    <x v="7"/>
    <x v="5"/>
    <x v="9"/>
    <s v="LT_Panevezys"/>
    <x v="2"/>
    <n v="57.96"/>
    <n v="16.100000000000001"/>
  </r>
  <r>
    <x v="0"/>
    <x v="7"/>
    <x v="5"/>
    <x v="9"/>
    <s v="LT_Panevezys"/>
    <x v="0"/>
    <n v="42.692399999999999"/>
    <n v="11.859"/>
  </r>
  <r>
    <x v="0"/>
    <x v="7"/>
    <x v="5"/>
    <x v="9"/>
    <s v="LT_Panevezys"/>
    <x v="21"/>
    <n v="53.225806451612797"/>
    <n v="14.784946236559099"/>
  </r>
  <r>
    <x v="0"/>
    <x v="7"/>
    <x v="5"/>
    <x v="9"/>
    <s v="LT_Panevezys"/>
    <x v="22"/>
    <n v="130.68"/>
    <n v="36.299999999999997"/>
  </r>
  <r>
    <x v="0"/>
    <x v="7"/>
    <x v="5"/>
    <x v="9"/>
    <s v="LT_Rural"/>
    <x v="2"/>
    <n v="57.96"/>
    <n v="16.100000000000001"/>
  </r>
  <r>
    <x v="0"/>
    <x v="7"/>
    <x v="5"/>
    <x v="9"/>
    <s v="LT_Rural"/>
    <x v="0"/>
    <n v="42.692399999999999"/>
    <n v="11.859"/>
  </r>
  <r>
    <x v="0"/>
    <x v="7"/>
    <x v="5"/>
    <x v="9"/>
    <s v="LT_Rural"/>
    <x v="21"/>
    <n v="53.225806451612797"/>
    <n v="14.784946236559099"/>
  </r>
  <r>
    <x v="0"/>
    <x v="7"/>
    <x v="5"/>
    <x v="9"/>
    <s v="LT_Rural"/>
    <x v="22"/>
    <n v="130.68"/>
    <n v="36.299999999999997"/>
  </r>
  <r>
    <x v="0"/>
    <x v="7"/>
    <x v="5"/>
    <x v="9"/>
    <s v="LT_SiaU"/>
    <x v="2"/>
    <n v="57.96"/>
    <n v="16.100000000000001"/>
  </r>
  <r>
    <x v="0"/>
    <x v="7"/>
    <x v="5"/>
    <x v="9"/>
    <s v="LT_SiaU"/>
    <x v="0"/>
    <n v="42.692399999999999"/>
    <n v="11.859"/>
  </r>
  <r>
    <x v="0"/>
    <x v="7"/>
    <x v="5"/>
    <x v="9"/>
    <s v="LT_SiaU"/>
    <x v="21"/>
    <n v="53.225806451612797"/>
    <n v="14.784946236559099"/>
  </r>
  <r>
    <x v="0"/>
    <x v="7"/>
    <x v="5"/>
    <x v="9"/>
    <s v="LT_SiaU"/>
    <x v="22"/>
    <n v="130.68"/>
    <n v="36.299999999999997"/>
  </r>
  <r>
    <x v="0"/>
    <x v="7"/>
    <x v="5"/>
    <x v="9"/>
    <s v="LT_VilU"/>
    <x v="2"/>
    <n v="57.96"/>
    <n v="16.100000000000001"/>
  </r>
  <r>
    <x v="0"/>
    <x v="7"/>
    <x v="5"/>
    <x v="9"/>
    <s v="LT_VilU"/>
    <x v="0"/>
    <n v="42.692399999999999"/>
    <n v="11.859"/>
  </r>
  <r>
    <x v="0"/>
    <x v="7"/>
    <x v="5"/>
    <x v="9"/>
    <s v="LT_VilU"/>
    <x v="21"/>
    <n v="53.225806451612797"/>
    <n v="14.784946236559099"/>
  </r>
  <r>
    <x v="0"/>
    <x v="7"/>
    <x v="5"/>
    <x v="9"/>
    <s v="LT_VilU"/>
    <x v="22"/>
    <n v="130.68"/>
    <n v="36.299999999999997"/>
  </r>
  <r>
    <x v="0"/>
    <x v="7"/>
    <x v="6"/>
    <x v="10"/>
    <s v="NL_A"/>
    <x v="2"/>
    <n v="57.96"/>
    <n v="16.100000000000001"/>
  </r>
  <r>
    <x v="0"/>
    <x v="7"/>
    <x v="6"/>
    <x v="10"/>
    <s v="NL_A"/>
    <x v="0"/>
    <n v="42.692399999999999"/>
    <n v="11.859"/>
  </r>
  <r>
    <x v="0"/>
    <x v="7"/>
    <x v="6"/>
    <x v="10"/>
    <s v="NL_A"/>
    <x v="21"/>
    <n v="53.225806451612797"/>
    <n v="14.784946236559099"/>
  </r>
  <r>
    <x v="0"/>
    <x v="7"/>
    <x v="6"/>
    <x v="10"/>
    <s v="NL_A"/>
    <x v="22"/>
    <n v="130.68"/>
    <n v="36.299999999999997"/>
  </r>
  <r>
    <x v="0"/>
    <x v="7"/>
    <x v="6"/>
    <x v="10"/>
    <s v="NL_OFFSHORE"/>
    <x v="2"/>
    <n v="57.96"/>
    <n v="16.100000000000001"/>
  </r>
  <r>
    <x v="0"/>
    <x v="7"/>
    <x v="6"/>
    <x v="10"/>
    <s v="NL_OFFSHORE"/>
    <x v="0"/>
    <n v="42.692399999999999"/>
    <n v="11.859"/>
  </r>
  <r>
    <x v="0"/>
    <x v="7"/>
    <x v="6"/>
    <x v="10"/>
    <s v="NL_OFFSHORE"/>
    <x v="21"/>
    <n v="53.225806451612797"/>
    <n v="14.784946236559099"/>
  </r>
  <r>
    <x v="0"/>
    <x v="7"/>
    <x v="6"/>
    <x v="10"/>
    <s v="NL_OFFSHORE"/>
    <x v="22"/>
    <n v="130.68"/>
    <n v="36.299999999999997"/>
  </r>
  <r>
    <x v="0"/>
    <x v="7"/>
    <x v="7"/>
    <x v="11"/>
    <s v="NO1_A1"/>
    <x v="2"/>
    <n v="57.96"/>
    <n v="16.100000000000001"/>
  </r>
  <r>
    <x v="0"/>
    <x v="7"/>
    <x v="7"/>
    <x v="11"/>
    <s v="NO1_A1"/>
    <x v="0"/>
    <n v="42.692399999999999"/>
    <n v="11.859"/>
  </r>
  <r>
    <x v="0"/>
    <x v="7"/>
    <x v="7"/>
    <x v="11"/>
    <s v="NO1_A1"/>
    <x v="21"/>
    <n v="53.225806451612797"/>
    <n v="14.784946236559099"/>
  </r>
  <r>
    <x v="0"/>
    <x v="7"/>
    <x v="7"/>
    <x v="11"/>
    <s v="NO1_A1"/>
    <x v="22"/>
    <n v="130.68"/>
    <n v="36.299999999999997"/>
  </r>
  <r>
    <x v="0"/>
    <x v="7"/>
    <x v="7"/>
    <x v="11"/>
    <s v="NO1_A2"/>
    <x v="2"/>
    <n v="57.96"/>
    <n v="16.100000000000001"/>
  </r>
  <r>
    <x v="0"/>
    <x v="7"/>
    <x v="7"/>
    <x v="11"/>
    <s v="NO1_A2"/>
    <x v="0"/>
    <n v="42.692399999999999"/>
    <n v="11.859"/>
  </r>
  <r>
    <x v="0"/>
    <x v="7"/>
    <x v="7"/>
    <x v="11"/>
    <s v="NO1_A2"/>
    <x v="21"/>
    <n v="53.225806451612797"/>
    <n v="14.784946236559099"/>
  </r>
  <r>
    <x v="0"/>
    <x v="7"/>
    <x v="7"/>
    <x v="11"/>
    <s v="NO1_A2"/>
    <x v="22"/>
    <n v="130.68"/>
    <n v="36.299999999999997"/>
  </r>
  <r>
    <x v="0"/>
    <x v="7"/>
    <x v="7"/>
    <x v="11"/>
    <s v="NO1_A3"/>
    <x v="2"/>
    <n v="57.96"/>
    <n v="16.100000000000001"/>
  </r>
  <r>
    <x v="0"/>
    <x v="7"/>
    <x v="7"/>
    <x v="11"/>
    <s v="NO1_A3"/>
    <x v="0"/>
    <n v="42.692399999999999"/>
    <n v="11.859"/>
  </r>
  <r>
    <x v="0"/>
    <x v="7"/>
    <x v="7"/>
    <x v="11"/>
    <s v="NO1_A3"/>
    <x v="21"/>
    <n v="53.225806451612797"/>
    <n v="14.784946236559099"/>
  </r>
  <r>
    <x v="0"/>
    <x v="7"/>
    <x v="7"/>
    <x v="11"/>
    <s v="NO1_A3"/>
    <x v="22"/>
    <n v="130.68"/>
    <n v="36.299999999999997"/>
  </r>
  <r>
    <x v="0"/>
    <x v="7"/>
    <x v="7"/>
    <x v="11"/>
    <s v="NO1_Offshore"/>
    <x v="2"/>
    <n v="57.96"/>
    <n v="16.100000000000001"/>
  </r>
  <r>
    <x v="0"/>
    <x v="7"/>
    <x v="7"/>
    <x v="11"/>
    <s v="NO1_Offshore"/>
    <x v="0"/>
    <n v="42.692399999999999"/>
    <n v="11.859"/>
  </r>
  <r>
    <x v="0"/>
    <x v="7"/>
    <x v="7"/>
    <x v="11"/>
    <s v="NO1_Offshore"/>
    <x v="21"/>
    <n v="53.225806451612797"/>
    <n v="14.784946236559099"/>
  </r>
  <r>
    <x v="0"/>
    <x v="7"/>
    <x v="7"/>
    <x v="11"/>
    <s v="NO1_Offshore"/>
    <x v="22"/>
    <n v="130.68"/>
    <n v="36.299999999999997"/>
  </r>
  <r>
    <x v="0"/>
    <x v="7"/>
    <x v="7"/>
    <x v="12"/>
    <s v="NO2_A1"/>
    <x v="2"/>
    <n v="57.96"/>
    <n v="16.100000000000001"/>
  </r>
  <r>
    <x v="0"/>
    <x v="7"/>
    <x v="7"/>
    <x v="12"/>
    <s v="NO2_A1"/>
    <x v="0"/>
    <n v="42.692399999999999"/>
    <n v="11.859"/>
  </r>
  <r>
    <x v="0"/>
    <x v="7"/>
    <x v="7"/>
    <x v="12"/>
    <s v="NO2_A1"/>
    <x v="21"/>
    <n v="53.225806451612797"/>
    <n v="14.784946236559099"/>
  </r>
  <r>
    <x v="0"/>
    <x v="7"/>
    <x v="7"/>
    <x v="12"/>
    <s v="NO2_A1"/>
    <x v="22"/>
    <n v="130.68"/>
    <n v="36.299999999999997"/>
  </r>
  <r>
    <x v="0"/>
    <x v="7"/>
    <x v="7"/>
    <x v="12"/>
    <s v="NO2_A2"/>
    <x v="2"/>
    <n v="57.96"/>
    <n v="16.100000000000001"/>
  </r>
  <r>
    <x v="0"/>
    <x v="7"/>
    <x v="7"/>
    <x v="12"/>
    <s v="NO2_A2"/>
    <x v="0"/>
    <n v="42.692399999999999"/>
    <n v="11.859"/>
  </r>
  <r>
    <x v="0"/>
    <x v="7"/>
    <x v="7"/>
    <x v="12"/>
    <s v="NO2_A2"/>
    <x v="21"/>
    <n v="53.225806451612797"/>
    <n v="14.784946236559099"/>
  </r>
  <r>
    <x v="0"/>
    <x v="7"/>
    <x v="7"/>
    <x v="12"/>
    <s v="NO2_A2"/>
    <x v="22"/>
    <n v="130.68"/>
    <n v="36.299999999999997"/>
  </r>
  <r>
    <x v="0"/>
    <x v="7"/>
    <x v="7"/>
    <x v="12"/>
    <s v="NO2_Offshore"/>
    <x v="2"/>
    <n v="57.96"/>
    <n v="16.100000000000001"/>
  </r>
  <r>
    <x v="0"/>
    <x v="7"/>
    <x v="7"/>
    <x v="12"/>
    <s v="NO2_Offshore"/>
    <x v="0"/>
    <n v="42.692399999999999"/>
    <n v="11.859"/>
  </r>
  <r>
    <x v="0"/>
    <x v="7"/>
    <x v="7"/>
    <x v="12"/>
    <s v="NO2_Offshore"/>
    <x v="21"/>
    <n v="53.225806451612797"/>
    <n v="14.784946236559099"/>
  </r>
  <r>
    <x v="0"/>
    <x v="7"/>
    <x v="7"/>
    <x v="12"/>
    <s v="NO2_Offshore"/>
    <x v="22"/>
    <n v="130.68"/>
    <n v="36.299999999999997"/>
  </r>
  <r>
    <x v="0"/>
    <x v="7"/>
    <x v="7"/>
    <x v="13"/>
    <s v="NO3_A1"/>
    <x v="2"/>
    <n v="57.96"/>
    <n v="16.100000000000001"/>
  </r>
  <r>
    <x v="0"/>
    <x v="7"/>
    <x v="7"/>
    <x v="13"/>
    <s v="NO3_A1"/>
    <x v="0"/>
    <n v="42.692399999999999"/>
    <n v="11.859"/>
  </r>
  <r>
    <x v="0"/>
    <x v="7"/>
    <x v="7"/>
    <x v="13"/>
    <s v="NO3_A1"/>
    <x v="21"/>
    <n v="53.225806451612797"/>
    <n v="14.784946236559099"/>
  </r>
  <r>
    <x v="0"/>
    <x v="7"/>
    <x v="7"/>
    <x v="13"/>
    <s v="NO3_A1"/>
    <x v="22"/>
    <n v="130.68"/>
    <n v="36.299999999999997"/>
  </r>
  <r>
    <x v="0"/>
    <x v="7"/>
    <x v="7"/>
    <x v="13"/>
    <s v="NO3_A2"/>
    <x v="2"/>
    <n v="57.96"/>
    <n v="16.100000000000001"/>
  </r>
  <r>
    <x v="0"/>
    <x v="7"/>
    <x v="7"/>
    <x v="13"/>
    <s v="NO3_A2"/>
    <x v="0"/>
    <n v="42.692399999999999"/>
    <n v="11.859"/>
  </r>
  <r>
    <x v="0"/>
    <x v="7"/>
    <x v="7"/>
    <x v="13"/>
    <s v="NO3_A2"/>
    <x v="21"/>
    <n v="53.225806451612797"/>
    <n v="14.784946236559099"/>
  </r>
  <r>
    <x v="0"/>
    <x v="7"/>
    <x v="7"/>
    <x v="13"/>
    <s v="NO3_A2"/>
    <x v="22"/>
    <n v="130.68"/>
    <n v="36.299999999999997"/>
  </r>
  <r>
    <x v="0"/>
    <x v="7"/>
    <x v="7"/>
    <x v="13"/>
    <s v="NO3_A3"/>
    <x v="2"/>
    <n v="57.96"/>
    <n v="16.100000000000001"/>
  </r>
  <r>
    <x v="0"/>
    <x v="7"/>
    <x v="7"/>
    <x v="13"/>
    <s v="NO3_A3"/>
    <x v="0"/>
    <n v="42.692399999999999"/>
    <n v="11.859"/>
  </r>
  <r>
    <x v="0"/>
    <x v="7"/>
    <x v="7"/>
    <x v="13"/>
    <s v="NO3_A3"/>
    <x v="21"/>
    <n v="53.225806451612797"/>
    <n v="14.784946236559099"/>
  </r>
  <r>
    <x v="0"/>
    <x v="7"/>
    <x v="7"/>
    <x v="13"/>
    <s v="NO3_A3"/>
    <x v="22"/>
    <n v="130.68"/>
    <n v="36.299999999999997"/>
  </r>
  <r>
    <x v="0"/>
    <x v="7"/>
    <x v="7"/>
    <x v="13"/>
    <s v="NO3_Offshore"/>
    <x v="2"/>
    <n v="57.96"/>
    <n v="16.100000000000001"/>
  </r>
  <r>
    <x v="0"/>
    <x v="7"/>
    <x v="7"/>
    <x v="13"/>
    <s v="NO3_Offshore"/>
    <x v="0"/>
    <n v="42.692399999999999"/>
    <n v="11.859"/>
  </r>
  <r>
    <x v="0"/>
    <x v="7"/>
    <x v="7"/>
    <x v="13"/>
    <s v="NO3_Offshore"/>
    <x v="21"/>
    <n v="53.225806451612797"/>
    <n v="14.784946236559099"/>
  </r>
  <r>
    <x v="0"/>
    <x v="7"/>
    <x v="7"/>
    <x v="13"/>
    <s v="NO3_Offshore"/>
    <x v="22"/>
    <n v="130.68"/>
    <n v="36.299999999999997"/>
  </r>
  <r>
    <x v="0"/>
    <x v="7"/>
    <x v="7"/>
    <x v="14"/>
    <s v="NO4_A1"/>
    <x v="2"/>
    <n v="57.96"/>
    <n v="16.100000000000001"/>
  </r>
  <r>
    <x v="0"/>
    <x v="7"/>
    <x v="7"/>
    <x v="14"/>
    <s v="NO4_A1"/>
    <x v="0"/>
    <n v="42.692399999999999"/>
    <n v="11.859"/>
  </r>
  <r>
    <x v="0"/>
    <x v="7"/>
    <x v="7"/>
    <x v="14"/>
    <s v="NO4_A1"/>
    <x v="21"/>
    <n v="53.225806451612797"/>
    <n v="14.784946236559099"/>
  </r>
  <r>
    <x v="0"/>
    <x v="7"/>
    <x v="7"/>
    <x v="14"/>
    <s v="NO4_A1"/>
    <x v="22"/>
    <n v="130.68"/>
    <n v="36.299999999999997"/>
  </r>
  <r>
    <x v="0"/>
    <x v="7"/>
    <x v="7"/>
    <x v="14"/>
    <s v="NO4_A2"/>
    <x v="2"/>
    <n v="57.96"/>
    <n v="16.100000000000001"/>
  </r>
  <r>
    <x v="0"/>
    <x v="7"/>
    <x v="7"/>
    <x v="14"/>
    <s v="NO4_A2"/>
    <x v="0"/>
    <n v="42.692399999999999"/>
    <n v="11.859"/>
  </r>
  <r>
    <x v="0"/>
    <x v="7"/>
    <x v="7"/>
    <x v="14"/>
    <s v="NO4_A2"/>
    <x v="21"/>
    <n v="53.225806451612797"/>
    <n v="14.784946236559099"/>
  </r>
  <r>
    <x v="0"/>
    <x v="7"/>
    <x v="7"/>
    <x v="14"/>
    <s v="NO4_A2"/>
    <x v="22"/>
    <n v="130.68"/>
    <n v="36.299999999999997"/>
  </r>
  <r>
    <x v="0"/>
    <x v="7"/>
    <x v="7"/>
    <x v="14"/>
    <s v="NO4_Offshore"/>
    <x v="2"/>
    <n v="57.96"/>
    <n v="16.100000000000001"/>
  </r>
  <r>
    <x v="0"/>
    <x v="7"/>
    <x v="7"/>
    <x v="14"/>
    <s v="NO4_Offshore"/>
    <x v="0"/>
    <n v="42.692399999999999"/>
    <n v="11.859"/>
  </r>
  <r>
    <x v="0"/>
    <x v="7"/>
    <x v="7"/>
    <x v="14"/>
    <s v="NO4_Offshore"/>
    <x v="21"/>
    <n v="53.225806451612797"/>
    <n v="14.784946236559099"/>
  </r>
  <r>
    <x v="0"/>
    <x v="7"/>
    <x v="7"/>
    <x v="14"/>
    <s v="NO4_Offshore"/>
    <x v="22"/>
    <n v="130.68"/>
    <n v="36.299999999999997"/>
  </r>
  <r>
    <x v="0"/>
    <x v="7"/>
    <x v="7"/>
    <x v="15"/>
    <s v="NO5_A1"/>
    <x v="2"/>
    <n v="57.96"/>
    <n v="16.100000000000001"/>
  </r>
  <r>
    <x v="0"/>
    <x v="7"/>
    <x v="7"/>
    <x v="15"/>
    <s v="NO5_A1"/>
    <x v="0"/>
    <n v="42.692399999999999"/>
    <n v="11.859"/>
  </r>
  <r>
    <x v="0"/>
    <x v="7"/>
    <x v="7"/>
    <x v="15"/>
    <s v="NO5_A1"/>
    <x v="21"/>
    <n v="53.225806451612797"/>
    <n v="14.784946236559099"/>
  </r>
  <r>
    <x v="0"/>
    <x v="7"/>
    <x v="7"/>
    <x v="15"/>
    <s v="NO5_A1"/>
    <x v="22"/>
    <n v="130.68"/>
    <n v="36.299999999999997"/>
  </r>
  <r>
    <x v="0"/>
    <x v="7"/>
    <x v="7"/>
    <x v="15"/>
    <s v="NO5_A2"/>
    <x v="2"/>
    <n v="57.96"/>
    <n v="16.100000000000001"/>
  </r>
  <r>
    <x v="0"/>
    <x v="7"/>
    <x v="7"/>
    <x v="15"/>
    <s v="NO5_A2"/>
    <x v="0"/>
    <n v="42.692399999999999"/>
    <n v="11.859"/>
  </r>
  <r>
    <x v="0"/>
    <x v="7"/>
    <x v="7"/>
    <x v="15"/>
    <s v="NO5_A2"/>
    <x v="21"/>
    <n v="53.225806451612797"/>
    <n v="14.784946236559099"/>
  </r>
  <r>
    <x v="0"/>
    <x v="7"/>
    <x v="7"/>
    <x v="15"/>
    <s v="NO5_A2"/>
    <x v="22"/>
    <n v="130.68"/>
    <n v="36.299999999999997"/>
  </r>
  <r>
    <x v="0"/>
    <x v="7"/>
    <x v="7"/>
    <x v="15"/>
    <s v="NO5_Offshore"/>
    <x v="2"/>
    <n v="57.96"/>
    <n v="16.100000000000001"/>
  </r>
  <r>
    <x v="0"/>
    <x v="7"/>
    <x v="7"/>
    <x v="15"/>
    <s v="NO5_Offshore"/>
    <x v="0"/>
    <n v="42.692399999999999"/>
    <n v="11.859"/>
  </r>
  <r>
    <x v="0"/>
    <x v="7"/>
    <x v="7"/>
    <x v="15"/>
    <s v="NO5_Offshore"/>
    <x v="21"/>
    <n v="53.225806451612797"/>
    <n v="14.784946236559099"/>
  </r>
  <r>
    <x v="0"/>
    <x v="7"/>
    <x v="7"/>
    <x v="15"/>
    <s v="NO5_Offshore"/>
    <x v="22"/>
    <n v="130.68"/>
    <n v="36.299999999999997"/>
  </r>
  <r>
    <x v="0"/>
    <x v="7"/>
    <x v="8"/>
    <x v="16"/>
    <s v="PL_A"/>
    <x v="2"/>
    <n v="57.96"/>
    <n v="16.100000000000001"/>
  </r>
  <r>
    <x v="0"/>
    <x v="7"/>
    <x v="8"/>
    <x v="16"/>
    <s v="PL_A"/>
    <x v="0"/>
    <n v="42.692399999999999"/>
    <n v="11.859"/>
  </r>
  <r>
    <x v="0"/>
    <x v="7"/>
    <x v="8"/>
    <x v="16"/>
    <s v="PL_A"/>
    <x v="21"/>
    <n v="53.225806451612797"/>
    <n v="14.784946236559099"/>
  </r>
  <r>
    <x v="0"/>
    <x v="7"/>
    <x v="8"/>
    <x v="16"/>
    <s v="PL_A"/>
    <x v="22"/>
    <n v="130.68"/>
    <n v="36.299999999999997"/>
  </r>
  <r>
    <x v="0"/>
    <x v="7"/>
    <x v="8"/>
    <x v="16"/>
    <s v="PL_OFFSHORE"/>
    <x v="2"/>
    <n v="57.96"/>
    <n v="16.100000000000001"/>
  </r>
  <r>
    <x v="0"/>
    <x v="7"/>
    <x v="8"/>
    <x v="16"/>
    <s v="PL_OFFSHORE"/>
    <x v="0"/>
    <n v="42.692399999999999"/>
    <n v="11.859"/>
  </r>
  <r>
    <x v="0"/>
    <x v="7"/>
    <x v="8"/>
    <x v="16"/>
    <s v="PL_OFFSHORE"/>
    <x v="21"/>
    <n v="53.225806451612797"/>
    <n v="14.784946236559099"/>
  </r>
  <r>
    <x v="0"/>
    <x v="7"/>
    <x v="8"/>
    <x v="16"/>
    <s v="PL_OFFSHORE"/>
    <x v="22"/>
    <n v="130.68"/>
    <n v="36.299999999999997"/>
  </r>
  <r>
    <x v="0"/>
    <x v="7"/>
    <x v="8"/>
    <x v="16"/>
    <s v="PL_Rural"/>
    <x v="2"/>
    <n v="57.96"/>
    <n v="16.100000000000001"/>
  </r>
  <r>
    <x v="0"/>
    <x v="7"/>
    <x v="8"/>
    <x v="16"/>
    <s v="PL_Rural"/>
    <x v="0"/>
    <n v="42.692399999999999"/>
    <n v="11.859"/>
  </r>
  <r>
    <x v="0"/>
    <x v="7"/>
    <x v="8"/>
    <x v="16"/>
    <s v="PL_Rural"/>
    <x v="21"/>
    <n v="53.225806451612797"/>
    <n v="14.784946236559099"/>
  </r>
  <r>
    <x v="0"/>
    <x v="7"/>
    <x v="8"/>
    <x v="16"/>
    <s v="PL_Rural"/>
    <x v="22"/>
    <n v="130.68"/>
    <n v="36.299999999999997"/>
  </r>
  <r>
    <x v="0"/>
    <x v="7"/>
    <x v="9"/>
    <x v="17"/>
    <s v="SE1A"/>
    <x v="2"/>
    <n v="57.96"/>
    <n v="16.100000000000001"/>
  </r>
  <r>
    <x v="0"/>
    <x v="7"/>
    <x v="9"/>
    <x v="17"/>
    <s v="SE1A"/>
    <x v="0"/>
    <n v="42.692399999999999"/>
    <n v="11.859"/>
  </r>
  <r>
    <x v="0"/>
    <x v="7"/>
    <x v="9"/>
    <x v="17"/>
    <s v="SE1A"/>
    <x v="21"/>
    <n v="53.225806451612797"/>
    <n v="14.784946236559099"/>
  </r>
  <r>
    <x v="0"/>
    <x v="7"/>
    <x v="9"/>
    <x v="17"/>
    <s v="SE1A"/>
    <x v="22"/>
    <n v="130.68"/>
    <n v="36.299999999999997"/>
  </r>
  <r>
    <x v="0"/>
    <x v="7"/>
    <x v="9"/>
    <x v="17"/>
    <s v="SE1_IND"/>
    <x v="2"/>
    <n v="57.96"/>
    <n v="16.100000000000001"/>
  </r>
  <r>
    <x v="0"/>
    <x v="7"/>
    <x v="9"/>
    <x v="17"/>
    <s v="SE1_IND"/>
    <x v="0"/>
    <n v="42.692399999999999"/>
    <n v="11.859"/>
  </r>
  <r>
    <x v="0"/>
    <x v="7"/>
    <x v="9"/>
    <x v="17"/>
    <s v="SE1_IND"/>
    <x v="21"/>
    <n v="53.225806451612797"/>
    <n v="14.784946236559099"/>
  </r>
  <r>
    <x v="0"/>
    <x v="7"/>
    <x v="9"/>
    <x v="17"/>
    <s v="SE1_IND"/>
    <x v="22"/>
    <n v="130.68"/>
    <n v="36.299999999999997"/>
  </r>
  <r>
    <x v="0"/>
    <x v="7"/>
    <x v="9"/>
    <x v="17"/>
    <s v="SE1_Offshore"/>
    <x v="2"/>
    <n v="57.96"/>
    <n v="16.100000000000001"/>
  </r>
  <r>
    <x v="0"/>
    <x v="7"/>
    <x v="9"/>
    <x v="17"/>
    <s v="SE1_Offshore"/>
    <x v="0"/>
    <n v="42.692399999999999"/>
    <n v="11.859"/>
  </r>
  <r>
    <x v="0"/>
    <x v="7"/>
    <x v="9"/>
    <x v="17"/>
    <s v="SE1_Offshore"/>
    <x v="21"/>
    <n v="53.225806451612797"/>
    <n v="14.784946236559099"/>
  </r>
  <r>
    <x v="0"/>
    <x v="7"/>
    <x v="9"/>
    <x v="17"/>
    <s v="SE1_Offshore"/>
    <x v="22"/>
    <n v="130.68"/>
    <n v="36.299999999999997"/>
  </r>
  <r>
    <x v="0"/>
    <x v="7"/>
    <x v="9"/>
    <x v="17"/>
    <s v="SE1_medium"/>
    <x v="2"/>
    <n v="57.96"/>
    <n v="16.100000000000001"/>
  </r>
  <r>
    <x v="0"/>
    <x v="7"/>
    <x v="9"/>
    <x v="17"/>
    <s v="SE1_medium"/>
    <x v="0"/>
    <n v="42.692399999999999"/>
    <n v="11.859"/>
  </r>
  <r>
    <x v="0"/>
    <x v="7"/>
    <x v="9"/>
    <x v="17"/>
    <s v="SE1_medium"/>
    <x v="21"/>
    <n v="53.225806451612797"/>
    <n v="14.784946236559099"/>
  </r>
  <r>
    <x v="0"/>
    <x v="7"/>
    <x v="9"/>
    <x v="17"/>
    <s v="SE1_medium"/>
    <x v="22"/>
    <n v="130.68"/>
    <n v="36.299999999999997"/>
  </r>
  <r>
    <x v="0"/>
    <x v="7"/>
    <x v="9"/>
    <x v="17"/>
    <s v="SE1_small"/>
    <x v="2"/>
    <n v="57.96"/>
    <n v="16.100000000000001"/>
  </r>
  <r>
    <x v="0"/>
    <x v="7"/>
    <x v="9"/>
    <x v="17"/>
    <s v="SE1_small"/>
    <x v="0"/>
    <n v="42.692399999999999"/>
    <n v="11.859"/>
  </r>
  <r>
    <x v="0"/>
    <x v="7"/>
    <x v="9"/>
    <x v="17"/>
    <s v="SE1_small"/>
    <x v="21"/>
    <n v="53.225806451612797"/>
    <n v="14.784946236559099"/>
  </r>
  <r>
    <x v="0"/>
    <x v="7"/>
    <x v="9"/>
    <x v="17"/>
    <s v="SE1_small"/>
    <x v="22"/>
    <n v="130.68"/>
    <n v="36.299999999999997"/>
  </r>
  <r>
    <x v="0"/>
    <x v="7"/>
    <x v="9"/>
    <x v="18"/>
    <s v="SE2A"/>
    <x v="2"/>
    <n v="57.96"/>
    <n v="16.100000000000001"/>
  </r>
  <r>
    <x v="0"/>
    <x v="7"/>
    <x v="9"/>
    <x v="18"/>
    <s v="SE2A"/>
    <x v="0"/>
    <n v="42.692399999999999"/>
    <n v="11.859"/>
  </r>
  <r>
    <x v="0"/>
    <x v="7"/>
    <x v="9"/>
    <x v="18"/>
    <s v="SE2A"/>
    <x v="21"/>
    <n v="53.225806451612797"/>
    <n v="14.784946236559099"/>
  </r>
  <r>
    <x v="0"/>
    <x v="7"/>
    <x v="9"/>
    <x v="18"/>
    <s v="SE2A"/>
    <x v="22"/>
    <n v="130.68"/>
    <n v="36.299999999999997"/>
  </r>
  <r>
    <x v="0"/>
    <x v="7"/>
    <x v="9"/>
    <x v="18"/>
    <s v="SE2_IND"/>
    <x v="2"/>
    <n v="57.96"/>
    <n v="16.100000000000001"/>
  </r>
  <r>
    <x v="0"/>
    <x v="7"/>
    <x v="9"/>
    <x v="18"/>
    <s v="SE2_IND"/>
    <x v="0"/>
    <n v="42.692399999999999"/>
    <n v="11.859"/>
  </r>
  <r>
    <x v="0"/>
    <x v="7"/>
    <x v="9"/>
    <x v="18"/>
    <s v="SE2_IND"/>
    <x v="21"/>
    <n v="53.225806451612797"/>
    <n v="14.784946236559099"/>
  </r>
  <r>
    <x v="0"/>
    <x v="7"/>
    <x v="9"/>
    <x v="18"/>
    <s v="SE2_IND"/>
    <x v="22"/>
    <n v="130.68"/>
    <n v="36.299999999999997"/>
  </r>
  <r>
    <x v="0"/>
    <x v="7"/>
    <x v="9"/>
    <x v="18"/>
    <s v="SE2_Offshore"/>
    <x v="2"/>
    <n v="57.96"/>
    <n v="16.100000000000001"/>
  </r>
  <r>
    <x v="0"/>
    <x v="7"/>
    <x v="9"/>
    <x v="18"/>
    <s v="SE2_Offshore"/>
    <x v="0"/>
    <n v="42.692399999999999"/>
    <n v="11.859"/>
  </r>
  <r>
    <x v="0"/>
    <x v="7"/>
    <x v="9"/>
    <x v="18"/>
    <s v="SE2_Offshore"/>
    <x v="21"/>
    <n v="53.225806451612797"/>
    <n v="14.784946236559099"/>
  </r>
  <r>
    <x v="0"/>
    <x v="7"/>
    <x v="9"/>
    <x v="18"/>
    <s v="SE2_Offshore"/>
    <x v="22"/>
    <n v="130.68"/>
    <n v="36.299999999999997"/>
  </r>
  <r>
    <x v="0"/>
    <x v="7"/>
    <x v="9"/>
    <x v="18"/>
    <s v="SE2_medium"/>
    <x v="2"/>
    <n v="57.96"/>
    <n v="16.100000000000001"/>
  </r>
  <r>
    <x v="0"/>
    <x v="7"/>
    <x v="9"/>
    <x v="18"/>
    <s v="SE2_medium"/>
    <x v="0"/>
    <n v="42.692399999999999"/>
    <n v="11.859"/>
  </r>
  <r>
    <x v="0"/>
    <x v="7"/>
    <x v="9"/>
    <x v="18"/>
    <s v="SE2_medium"/>
    <x v="21"/>
    <n v="53.225806451612797"/>
    <n v="14.784946236559099"/>
  </r>
  <r>
    <x v="0"/>
    <x v="7"/>
    <x v="9"/>
    <x v="18"/>
    <s v="SE2_medium"/>
    <x v="22"/>
    <n v="130.68"/>
    <n v="36.299999999999997"/>
  </r>
  <r>
    <x v="0"/>
    <x v="7"/>
    <x v="9"/>
    <x v="18"/>
    <s v="SE2_small"/>
    <x v="2"/>
    <n v="57.96"/>
    <n v="16.100000000000001"/>
  </r>
  <r>
    <x v="0"/>
    <x v="7"/>
    <x v="9"/>
    <x v="18"/>
    <s v="SE2_small"/>
    <x v="0"/>
    <n v="42.692399999999999"/>
    <n v="11.859"/>
  </r>
  <r>
    <x v="0"/>
    <x v="7"/>
    <x v="9"/>
    <x v="18"/>
    <s v="SE2_small"/>
    <x v="21"/>
    <n v="53.225806451612797"/>
    <n v="14.784946236559099"/>
  </r>
  <r>
    <x v="0"/>
    <x v="7"/>
    <x v="9"/>
    <x v="18"/>
    <s v="SE2_small"/>
    <x v="22"/>
    <n v="130.68"/>
    <n v="36.299999999999997"/>
  </r>
  <r>
    <x v="0"/>
    <x v="7"/>
    <x v="9"/>
    <x v="19"/>
    <s v="SE3A"/>
    <x v="2"/>
    <n v="57.96"/>
    <n v="16.100000000000001"/>
  </r>
  <r>
    <x v="0"/>
    <x v="7"/>
    <x v="9"/>
    <x v="19"/>
    <s v="SE3A"/>
    <x v="0"/>
    <n v="42.692399999999999"/>
    <n v="11.859"/>
  </r>
  <r>
    <x v="0"/>
    <x v="7"/>
    <x v="9"/>
    <x v="19"/>
    <s v="SE3A"/>
    <x v="21"/>
    <n v="53.225806451612797"/>
    <n v="14.784946236559099"/>
  </r>
  <r>
    <x v="0"/>
    <x v="7"/>
    <x v="9"/>
    <x v="19"/>
    <s v="SE3A"/>
    <x v="22"/>
    <n v="130.68"/>
    <n v="36.299999999999997"/>
  </r>
  <r>
    <x v="0"/>
    <x v="7"/>
    <x v="9"/>
    <x v="19"/>
    <s v="SE3_IND"/>
    <x v="2"/>
    <n v="57.96"/>
    <n v="16.100000000000001"/>
  </r>
  <r>
    <x v="0"/>
    <x v="7"/>
    <x v="9"/>
    <x v="19"/>
    <s v="SE3_IND"/>
    <x v="0"/>
    <n v="42.692399999999999"/>
    <n v="11.859"/>
  </r>
  <r>
    <x v="0"/>
    <x v="7"/>
    <x v="9"/>
    <x v="19"/>
    <s v="SE3_IND"/>
    <x v="21"/>
    <n v="53.225806451612797"/>
    <n v="14.784946236559099"/>
  </r>
  <r>
    <x v="0"/>
    <x v="7"/>
    <x v="9"/>
    <x v="19"/>
    <s v="SE3_IND"/>
    <x v="22"/>
    <n v="130.68"/>
    <n v="36.299999999999997"/>
  </r>
  <r>
    <x v="0"/>
    <x v="7"/>
    <x v="9"/>
    <x v="19"/>
    <s v="SE3_Offshore"/>
    <x v="2"/>
    <n v="57.96"/>
    <n v="16.100000000000001"/>
  </r>
  <r>
    <x v="0"/>
    <x v="7"/>
    <x v="9"/>
    <x v="19"/>
    <s v="SE3_Offshore"/>
    <x v="0"/>
    <n v="42.692399999999999"/>
    <n v="11.859"/>
  </r>
  <r>
    <x v="0"/>
    <x v="7"/>
    <x v="9"/>
    <x v="19"/>
    <s v="SE3_Offshore"/>
    <x v="21"/>
    <n v="53.225806451612797"/>
    <n v="14.784946236559099"/>
  </r>
  <r>
    <x v="0"/>
    <x v="7"/>
    <x v="9"/>
    <x v="19"/>
    <s v="SE3_Offshore"/>
    <x v="22"/>
    <n v="130.68"/>
    <n v="36.299999999999997"/>
  </r>
  <r>
    <x v="0"/>
    <x v="7"/>
    <x v="9"/>
    <x v="19"/>
    <s v="SE3_large"/>
    <x v="2"/>
    <n v="57.96"/>
    <n v="16.100000000000001"/>
  </r>
  <r>
    <x v="0"/>
    <x v="7"/>
    <x v="9"/>
    <x v="19"/>
    <s v="SE3_large"/>
    <x v="0"/>
    <n v="42.692399999999999"/>
    <n v="11.859"/>
  </r>
  <r>
    <x v="0"/>
    <x v="7"/>
    <x v="9"/>
    <x v="19"/>
    <s v="SE3_large"/>
    <x v="21"/>
    <n v="53.225806451612797"/>
    <n v="14.784946236559099"/>
  </r>
  <r>
    <x v="0"/>
    <x v="7"/>
    <x v="9"/>
    <x v="19"/>
    <s v="SE3_large"/>
    <x v="22"/>
    <n v="130.68"/>
    <n v="36.299999999999997"/>
  </r>
  <r>
    <x v="0"/>
    <x v="7"/>
    <x v="9"/>
    <x v="19"/>
    <s v="SE3_medium"/>
    <x v="2"/>
    <n v="57.96"/>
    <n v="16.100000000000001"/>
  </r>
  <r>
    <x v="0"/>
    <x v="7"/>
    <x v="9"/>
    <x v="19"/>
    <s v="SE3_medium"/>
    <x v="0"/>
    <n v="42.692399999999999"/>
    <n v="11.859"/>
  </r>
  <r>
    <x v="0"/>
    <x v="7"/>
    <x v="9"/>
    <x v="19"/>
    <s v="SE3_medium"/>
    <x v="21"/>
    <n v="53.225806451612797"/>
    <n v="14.784946236559099"/>
  </r>
  <r>
    <x v="0"/>
    <x v="7"/>
    <x v="9"/>
    <x v="19"/>
    <s v="SE3_medium"/>
    <x v="22"/>
    <n v="130.68"/>
    <n v="36.299999999999997"/>
  </r>
  <r>
    <x v="0"/>
    <x v="7"/>
    <x v="9"/>
    <x v="19"/>
    <s v="SE3_small"/>
    <x v="2"/>
    <n v="57.96"/>
    <n v="16.100000000000001"/>
  </r>
  <r>
    <x v="0"/>
    <x v="7"/>
    <x v="9"/>
    <x v="19"/>
    <s v="SE3_small"/>
    <x v="0"/>
    <n v="42.692399999999999"/>
    <n v="11.859"/>
  </r>
  <r>
    <x v="0"/>
    <x v="7"/>
    <x v="9"/>
    <x v="19"/>
    <s v="SE3_small"/>
    <x v="21"/>
    <n v="53.225806451612797"/>
    <n v="14.784946236559099"/>
  </r>
  <r>
    <x v="0"/>
    <x v="7"/>
    <x v="9"/>
    <x v="19"/>
    <s v="SE3_small"/>
    <x v="22"/>
    <n v="130.68"/>
    <n v="36.299999999999997"/>
  </r>
  <r>
    <x v="0"/>
    <x v="7"/>
    <x v="9"/>
    <x v="20"/>
    <s v="SE4A"/>
    <x v="2"/>
    <n v="57.96"/>
    <n v="16.100000000000001"/>
  </r>
  <r>
    <x v="0"/>
    <x v="7"/>
    <x v="9"/>
    <x v="20"/>
    <s v="SE4A"/>
    <x v="0"/>
    <n v="42.692399999999999"/>
    <n v="11.859"/>
  </r>
  <r>
    <x v="0"/>
    <x v="7"/>
    <x v="9"/>
    <x v="20"/>
    <s v="SE4A"/>
    <x v="21"/>
    <n v="53.225806451612797"/>
    <n v="14.784946236559099"/>
  </r>
  <r>
    <x v="0"/>
    <x v="7"/>
    <x v="9"/>
    <x v="20"/>
    <s v="SE4A"/>
    <x v="22"/>
    <n v="130.68"/>
    <n v="36.299999999999997"/>
  </r>
  <r>
    <x v="0"/>
    <x v="7"/>
    <x v="9"/>
    <x v="20"/>
    <s v="SE4_IND"/>
    <x v="2"/>
    <n v="57.96"/>
    <n v="16.100000000000001"/>
  </r>
  <r>
    <x v="0"/>
    <x v="7"/>
    <x v="9"/>
    <x v="20"/>
    <s v="SE4_IND"/>
    <x v="0"/>
    <n v="42.692399999999999"/>
    <n v="11.859"/>
  </r>
  <r>
    <x v="0"/>
    <x v="7"/>
    <x v="9"/>
    <x v="20"/>
    <s v="SE4_IND"/>
    <x v="21"/>
    <n v="53.225806451612797"/>
    <n v="14.784946236559099"/>
  </r>
  <r>
    <x v="0"/>
    <x v="7"/>
    <x v="9"/>
    <x v="20"/>
    <s v="SE4_IND"/>
    <x v="22"/>
    <n v="130.68"/>
    <n v="36.299999999999997"/>
  </r>
  <r>
    <x v="0"/>
    <x v="7"/>
    <x v="9"/>
    <x v="20"/>
    <s v="SE4_Offshore"/>
    <x v="2"/>
    <n v="57.96"/>
    <n v="16.100000000000001"/>
  </r>
  <r>
    <x v="0"/>
    <x v="7"/>
    <x v="9"/>
    <x v="20"/>
    <s v="SE4_Offshore"/>
    <x v="0"/>
    <n v="42.692399999999999"/>
    <n v="11.859"/>
  </r>
  <r>
    <x v="0"/>
    <x v="7"/>
    <x v="9"/>
    <x v="20"/>
    <s v="SE4_Offshore"/>
    <x v="21"/>
    <n v="53.225806451612797"/>
    <n v="14.784946236559099"/>
  </r>
  <r>
    <x v="0"/>
    <x v="7"/>
    <x v="9"/>
    <x v="20"/>
    <s v="SE4_Offshore"/>
    <x v="22"/>
    <n v="130.68"/>
    <n v="36.299999999999997"/>
  </r>
  <r>
    <x v="0"/>
    <x v="7"/>
    <x v="9"/>
    <x v="20"/>
    <s v="SE4_large"/>
    <x v="2"/>
    <n v="57.96"/>
    <n v="16.100000000000001"/>
  </r>
  <r>
    <x v="0"/>
    <x v="7"/>
    <x v="9"/>
    <x v="20"/>
    <s v="SE4_large"/>
    <x v="0"/>
    <n v="42.692399999999999"/>
    <n v="11.859"/>
  </r>
  <r>
    <x v="0"/>
    <x v="7"/>
    <x v="9"/>
    <x v="20"/>
    <s v="SE4_large"/>
    <x v="21"/>
    <n v="53.225806451612797"/>
    <n v="14.784946236559099"/>
  </r>
  <r>
    <x v="0"/>
    <x v="7"/>
    <x v="9"/>
    <x v="20"/>
    <s v="SE4_large"/>
    <x v="22"/>
    <n v="130.68"/>
    <n v="36.299999999999997"/>
  </r>
  <r>
    <x v="0"/>
    <x v="7"/>
    <x v="9"/>
    <x v="20"/>
    <s v="SE4_medium"/>
    <x v="2"/>
    <n v="57.96"/>
    <n v="16.100000000000001"/>
  </r>
  <r>
    <x v="0"/>
    <x v="7"/>
    <x v="9"/>
    <x v="20"/>
    <s v="SE4_medium"/>
    <x v="0"/>
    <n v="42.692399999999999"/>
    <n v="11.859"/>
  </r>
  <r>
    <x v="0"/>
    <x v="7"/>
    <x v="9"/>
    <x v="20"/>
    <s v="SE4_medium"/>
    <x v="21"/>
    <n v="53.225806451612797"/>
    <n v="14.784946236559099"/>
  </r>
  <r>
    <x v="0"/>
    <x v="7"/>
    <x v="9"/>
    <x v="20"/>
    <s v="SE4_medium"/>
    <x v="22"/>
    <n v="130.68"/>
    <n v="36.299999999999997"/>
  </r>
  <r>
    <x v="0"/>
    <x v="7"/>
    <x v="9"/>
    <x v="20"/>
    <s v="SE4_small"/>
    <x v="2"/>
    <n v="57.96"/>
    <n v="16.100000000000001"/>
  </r>
  <r>
    <x v="0"/>
    <x v="7"/>
    <x v="9"/>
    <x v="20"/>
    <s v="SE4_small"/>
    <x v="0"/>
    <n v="42.692399999999999"/>
    <n v="11.859"/>
  </r>
  <r>
    <x v="0"/>
    <x v="7"/>
    <x v="9"/>
    <x v="20"/>
    <s v="SE4_small"/>
    <x v="21"/>
    <n v="53.225806451612797"/>
    <n v="14.784946236559099"/>
  </r>
  <r>
    <x v="0"/>
    <x v="7"/>
    <x v="9"/>
    <x v="20"/>
    <s v="SE4_small"/>
    <x v="22"/>
    <n v="130.68"/>
    <n v="36.299999999999997"/>
  </r>
  <r>
    <x v="0"/>
    <x v="7"/>
    <x v="10"/>
    <x v="21"/>
    <s v="UK_A"/>
    <x v="2"/>
    <n v="57.96"/>
    <n v="16.100000000000001"/>
  </r>
  <r>
    <x v="0"/>
    <x v="7"/>
    <x v="10"/>
    <x v="21"/>
    <s v="UK_A"/>
    <x v="0"/>
    <n v="42.692399999999999"/>
    <n v="11.859"/>
  </r>
  <r>
    <x v="0"/>
    <x v="7"/>
    <x v="10"/>
    <x v="21"/>
    <s v="UK_A"/>
    <x v="21"/>
    <n v="53.225806451612797"/>
    <n v="14.784946236559099"/>
  </r>
  <r>
    <x v="0"/>
    <x v="7"/>
    <x v="10"/>
    <x v="21"/>
    <s v="UK_A"/>
    <x v="22"/>
    <n v="130.68"/>
    <n v="36.299999999999997"/>
  </r>
  <r>
    <x v="0"/>
    <x v="7"/>
    <x v="10"/>
    <x v="21"/>
    <s v="UK_Offshore"/>
    <x v="2"/>
    <n v="57.96"/>
    <n v="16.100000000000001"/>
  </r>
  <r>
    <x v="0"/>
    <x v="7"/>
    <x v="10"/>
    <x v="21"/>
    <s v="UK_Offshore"/>
    <x v="0"/>
    <n v="42.692399999999999"/>
    <n v="11.859"/>
  </r>
  <r>
    <x v="0"/>
    <x v="7"/>
    <x v="10"/>
    <x v="21"/>
    <s v="UK_Offshore"/>
    <x v="21"/>
    <n v="53.225806451612797"/>
    <n v="14.784946236559099"/>
  </r>
  <r>
    <x v="0"/>
    <x v="7"/>
    <x v="10"/>
    <x v="21"/>
    <s v="UK_Offshore"/>
    <x v="22"/>
    <n v="130.68"/>
    <n v="36.299999999999997"/>
  </r>
  <r>
    <x v="0"/>
    <x v="8"/>
    <x v="0"/>
    <x v="0"/>
    <s v="DK1_Large"/>
    <x v="1"/>
    <n v="35.989199999999997"/>
    <n v="9.9969999999999999"/>
  </r>
  <r>
    <x v="0"/>
    <x v="8"/>
    <x v="0"/>
    <x v="0"/>
    <s v="DK1_Large"/>
    <x v="2"/>
    <n v="48.384"/>
    <n v="13.44"/>
  </r>
  <r>
    <x v="0"/>
    <x v="8"/>
    <x v="0"/>
    <x v="0"/>
    <s v="DK1_Large"/>
    <x v="0"/>
    <n v="42.692399999999999"/>
    <n v="11.859"/>
  </r>
  <r>
    <x v="0"/>
    <x v="8"/>
    <x v="0"/>
    <x v="0"/>
    <s v="DK1_Large"/>
    <x v="3"/>
    <n v="51.633543144067197"/>
    <n v="14.342650873352"/>
  </r>
  <r>
    <x v="0"/>
    <x v="8"/>
    <x v="0"/>
    <x v="0"/>
    <s v="DK1_Large"/>
    <x v="4"/>
    <n v="8.1139884009941898"/>
    <n v="2.2538856669428302"/>
  </r>
  <r>
    <x v="0"/>
    <x v="8"/>
    <x v="0"/>
    <x v="0"/>
    <s v="DK1_Large"/>
    <x v="5"/>
    <n v="8.1139884009941898"/>
    <n v="2.2538856669428302"/>
  </r>
  <r>
    <x v="0"/>
    <x v="8"/>
    <x v="0"/>
    <x v="0"/>
    <s v="DK1_Large"/>
    <x v="6"/>
    <n v="29.476231795214598"/>
    <n v="8.1878421653373898"/>
  </r>
  <r>
    <x v="0"/>
    <x v="8"/>
    <x v="0"/>
    <x v="0"/>
    <s v="DK1_Large"/>
    <x v="7"/>
    <n v="57.838935220261199"/>
    <n v="16.066370894517"/>
  </r>
  <r>
    <x v="0"/>
    <x v="8"/>
    <x v="0"/>
    <x v="0"/>
    <s v="DK1_Large"/>
    <x v="8"/>
    <n v="57.838935220261199"/>
    <n v="16.066370894517"/>
  </r>
  <r>
    <x v="0"/>
    <x v="8"/>
    <x v="0"/>
    <x v="0"/>
    <s v="DK1_Large"/>
    <x v="9"/>
    <n v="44.803327257663497"/>
    <n v="12.4453686826843"/>
  </r>
  <r>
    <x v="0"/>
    <x v="8"/>
    <x v="0"/>
    <x v="0"/>
    <s v="DK1_Large"/>
    <x v="10"/>
    <n v="54.681226180612903"/>
    <n v="15.1892294946147"/>
  </r>
  <r>
    <x v="0"/>
    <x v="8"/>
    <x v="0"/>
    <x v="0"/>
    <s v="DK1_Large"/>
    <x v="11"/>
    <n v="3.8806031483015802"/>
    <n v="1.07794531897266"/>
  </r>
  <r>
    <x v="0"/>
    <x v="8"/>
    <x v="0"/>
    <x v="0"/>
    <s v="DK1_Large"/>
    <x v="12"/>
    <n v="9.7995028997514597E-2"/>
    <n v="2.72208413881985E-2"/>
  </r>
  <r>
    <x v="0"/>
    <x v="8"/>
    <x v="0"/>
    <x v="0"/>
    <s v="DK1_Large"/>
    <x v="13"/>
    <n v="21.5197083678542"/>
    <n v="5.9776967688483804"/>
  </r>
  <r>
    <x v="0"/>
    <x v="8"/>
    <x v="0"/>
    <x v="0"/>
    <s v="DK1_Large"/>
    <x v="14"/>
    <n v="21.5197083678542"/>
    <n v="5.9776967688483804"/>
  </r>
  <r>
    <x v="0"/>
    <x v="8"/>
    <x v="0"/>
    <x v="0"/>
    <s v="DK1_Large"/>
    <x v="15"/>
    <n v="1.65807589063794"/>
    <n v="0.46057663628831802"/>
  </r>
  <r>
    <x v="0"/>
    <x v="8"/>
    <x v="0"/>
    <x v="0"/>
    <s v="DK1_Large"/>
    <x v="16"/>
    <n v="4.9884429139200002"/>
    <n v="1.3856785871999999"/>
  </r>
  <r>
    <x v="0"/>
    <x v="8"/>
    <x v="0"/>
    <x v="0"/>
    <s v="DK1_Large"/>
    <x v="17"/>
    <n v="9.1244895875632395"/>
    <n v="2.5345804409897901"/>
  </r>
  <r>
    <x v="0"/>
    <x v="8"/>
    <x v="0"/>
    <x v="0"/>
    <s v="DK1_Large"/>
    <x v="18"/>
    <n v="21.5197083678542"/>
    <n v="5.9776967688483804"/>
  </r>
  <r>
    <x v="0"/>
    <x v="8"/>
    <x v="0"/>
    <x v="0"/>
    <s v="DK1_Large"/>
    <x v="19"/>
    <n v="8.1139884009941898"/>
    <n v="2.2538856669428302"/>
  </r>
  <r>
    <x v="0"/>
    <x v="8"/>
    <x v="0"/>
    <x v="0"/>
    <s v="DK1_Large"/>
    <x v="20"/>
    <n v="19.336735244541"/>
    <n v="5.37131534570584"/>
  </r>
  <r>
    <x v="0"/>
    <x v="8"/>
    <x v="0"/>
    <x v="0"/>
    <s v="DK1_Large"/>
    <x v="21"/>
    <n v="48.384"/>
    <n v="13.44"/>
  </r>
  <r>
    <x v="0"/>
    <x v="8"/>
    <x v="0"/>
    <x v="0"/>
    <s v="DK1_Large"/>
    <x v="22"/>
    <n v="79.847999999999999"/>
    <n v="22.18"/>
  </r>
  <r>
    <x v="0"/>
    <x v="8"/>
    <x v="0"/>
    <x v="0"/>
    <s v="DK1_Large"/>
    <x v="23"/>
    <n v="0.31515896120488701"/>
    <n v="8.7544155890246306E-2"/>
  </r>
  <r>
    <x v="0"/>
    <x v="8"/>
    <x v="0"/>
    <x v="0"/>
    <s v="DK1_Large"/>
    <x v="24"/>
    <n v="19.174223581093901"/>
    <n v="5.32617321697054"/>
  </r>
  <r>
    <x v="0"/>
    <x v="8"/>
    <x v="0"/>
    <x v="0"/>
    <s v="DK1_Large"/>
    <x v="25"/>
    <n v="22.356874337357301"/>
    <n v="6.2102428714881297"/>
  </r>
  <r>
    <x v="0"/>
    <x v="8"/>
    <x v="0"/>
    <x v="0"/>
    <s v="DK1_Large"/>
    <x v="26"/>
    <n v="29.6651032387655"/>
    <n v="8.2403064552126306"/>
  </r>
  <r>
    <x v="0"/>
    <x v="8"/>
    <x v="0"/>
    <x v="0"/>
    <s v="DK1_Large"/>
    <x v="27"/>
    <n v="20.163995508318798"/>
    <n v="5.6011098634218799"/>
  </r>
  <r>
    <x v="0"/>
    <x v="8"/>
    <x v="0"/>
    <x v="0"/>
    <s v="DK1_Large_PHH"/>
    <x v="1"/>
    <n v="35.989199999999997"/>
    <n v="9.9969999999999999"/>
  </r>
  <r>
    <x v="0"/>
    <x v="8"/>
    <x v="0"/>
    <x v="0"/>
    <s v="DK1_Large_PHH"/>
    <x v="2"/>
    <n v="48.384"/>
    <n v="13.44"/>
  </r>
  <r>
    <x v="0"/>
    <x v="8"/>
    <x v="0"/>
    <x v="0"/>
    <s v="DK1_Large_PHH"/>
    <x v="0"/>
    <n v="42.692399999999999"/>
    <n v="11.859"/>
  </r>
  <r>
    <x v="0"/>
    <x v="8"/>
    <x v="0"/>
    <x v="0"/>
    <s v="DK1_Large_PHH"/>
    <x v="3"/>
    <n v="51.633543144067197"/>
    <n v="14.342650873352"/>
  </r>
  <r>
    <x v="0"/>
    <x v="8"/>
    <x v="0"/>
    <x v="0"/>
    <s v="DK1_Large_PHH"/>
    <x v="4"/>
    <n v="8.1139884009941898"/>
    <n v="2.2538856669428302"/>
  </r>
  <r>
    <x v="0"/>
    <x v="8"/>
    <x v="0"/>
    <x v="0"/>
    <s v="DK1_Large_PHH"/>
    <x v="5"/>
    <n v="8.1139884009941898"/>
    <n v="2.2538856669428302"/>
  </r>
  <r>
    <x v="0"/>
    <x v="8"/>
    <x v="0"/>
    <x v="0"/>
    <s v="DK1_Large_PHH"/>
    <x v="6"/>
    <n v="29.476231795214598"/>
    <n v="8.1878421653373898"/>
  </r>
  <r>
    <x v="0"/>
    <x v="8"/>
    <x v="0"/>
    <x v="0"/>
    <s v="DK1_Large_PHH"/>
    <x v="7"/>
    <n v="57.838935220261199"/>
    <n v="16.066370894517"/>
  </r>
  <r>
    <x v="0"/>
    <x v="8"/>
    <x v="0"/>
    <x v="0"/>
    <s v="DK1_Large_PHH"/>
    <x v="8"/>
    <n v="57.838935220261199"/>
    <n v="16.066370894517"/>
  </r>
  <r>
    <x v="0"/>
    <x v="8"/>
    <x v="0"/>
    <x v="0"/>
    <s v="DK1_Large_PHH"/>
    <x v="9"/>
    <n v="44.803327257663497"/>
    <n v="12.4453686826843"/>
  </r>
  <r>
    <x v="0"/>
    <x v="8"/>
    <x v="0"/>
    <x v="0"/>
    <s v="DK1_Large_PHH"/>
    <x v="10"/>
    <n v="54.681226180612903"/>
    <n v="15.1892294946147"/>
  </r>
  <r>
    <x v="0"/>
    <x v="8"/>
    <x v="0"/>
    <x v="0"/>
    <s v="DK1_Large_PHH"/>
    <x v="11"/>
    <n v="3.8806031483015802"/>
    <n v="1.07794531897266"/>
  </r>
  <r>
    <x v="0"/>
    <x v="8"/>
    <x v="0"/>
    <x v="0"/>
    <s v="DK1_Large_PHH"/>
    <x v="12"/>
    <n v="9.7995028997514597E-2"/>
    <n v="2.72208413881985E-2"/>
  </r>
  <r>
    <x v="0"/>
    <x v="8"/>
    <x v="0"/>
    <x v="0"/>
    <s v="DK1_Large_PHH"/>
    <x v="13"/>
    <n v="21.5197083678542"/>
    <n v="5.9776967688483804"/>
  </r>
  <r>
    <x v="0"/>
    <x v="8"/>
    <x v="0"/>
    <x v="0"/>
    <s v="DK1_Large_PHH"/>
    <x v="14"/>
    <n v="21.5197083678542"/>
    <n v="5.9776967688483804"/>
  </r>
  <r>
    <x v="0"/>
    <x v="8"/>
    <x v="0"/>
    <x v="0"/>
    <s v="DK1_Large_PHH"/>
    <x v="15"/>
    <n v="1.65807589063794"/>
    <n v="0.46057663628831802"/>
  </r>
  <r>
    <x v="0"/>
    <x v="8"/>
    <x v="0"/>
    <x v="0"/>
    <s v="DK1_Large_PHH"/>
    <x v="16"/>
    <n v="4.9884429139200002"/>
    <n v="1.3856785871999999"/>
  </r>
  <r>
    <x v="0"/>
    <x v="8"/>
    <x v="0"/>
    <x v="0"/>
    <s v="DK1_Large_PHH"/>
    <x v="17"/>
    <n v="9.1244895875632395"/>
    <n v="2.5345804409897901"/>
  </r>
  <r>
    <x v="0"/>
    <x v="8"/>
    <x v="0"/>
    <x v="0"/>
    <s v="DK1_Large_PHH"/>
    <x v="18"/>
    <n v="21.5197083678542"/>
    <n v="5.9776967688483804"/>
  </r>
  <r>
    <x v="0"/>
    <x v="8"/>
    <x v="0"/>
    <x v="0"/>
    <s v="DK1_Large_PHH"/>
    <x v="19"/>
    <n v="8.1139884009941898"/>
    <n v="2.2538856669428302"/>
  </r>
  <r>
    <x v="0"/>
    <x v="8"/>
    <x v="0"/>
    <x v="0"/>
    <s v="DK1_Large_PHH"/>
    <x v="20"/>
    <n v="19.336735244541"/>
    <n v="5.37131534570584"/>
  </r>
  <r>
    <x v="0"/>
    <x v="8"/>
    <x v="0"/>
    <x v="0"/>
    <s v="DK1_Large_PHH"/>
    <x v="21"/>
    <n v="48.384"/>
    <n v="13.44"/>
  </r>
  <r>
    <x v="0"/>
    <x v="8"/>
    <x v="0"/>
    <x v="0"/>
    <s v="DK1_Large_PHH"/>
    <x v="22"/>
    <n v="79.847999999999999"/>
    <n v="22.18"/>
  </r>
  <r>
    <x v="0"/>
    <x v="8"/>
    <x v="0"/>
    <x v="0"/>
    <s v="DK1_Large_PHH"/>
    <x v="23"/>
    <n v="0.31515896120488701"/>
    <n v="8.7544155890246306E-2"/>
  </r>
  <r>
    <x v="0"/>
    <x v="8"/>
    <x v="0"/>
    <x v="0"/>
    <s v="DK1_Large_PHH"/>
    <x v="24"/>
    <n v="19.174223581093901"/>
    <n v="5.32617321697054"/>
  </r>
  <r>
    <x v="0"/>
    <x v="8"/>
    <x v="0"/>
    <x v="0"/>
    <s v="DK1_Large_PHH"/>
    <x v="25"/>
    <n v="22.356874337357301"/>
    <n v="6.2102428714881297"/>
  </r>
  <r>
    <x v="0"/>
    <x v="8"/>
    <x v="0"/>
    <x v="0"/>
    <s v="DK1_Large_PHH"/>
    <x v="26"/>
    <n v="29.6651032387655"/>
    <n v="8.2403064552126306"/>
  </r>
  <r>
    <x v="0"/>
    <x v="8"/>
    <x v="0"/>
    <x v="0"/>
    <s v="DK1_Large_PHH"/>
    <x v="27"/>
    <n v="20.163995508318798"/>
    <n v="5.6011098634218799"/>
  </r>
  <r>
    <x v="0"/>
    <x v="8"/>
    <x v="0"/>
    <x v="0"/>
    <s v="DK1_Large_PHL"/>
    <x v="1"/>
    <n v="35.989199999999997"/>
    <n v="9.9969999999999999"/>
  </r>
  <r>
    <x v="0"/>
    <x v="8"/>
    <x v="0"/>
    <x v="0"/>
    <s v="DK1_Large_PHL"/>
    <x v="2"/>
    <n v="48.384"/>
    <n v="13.44"/>
  </r>
  <r>
    <x v="0"/>
    <x v="8"/>
    <x v="0"/>
    <x v="0"/>
    <s v="DK1_Large_PHL"/>
    <x v="0"/>
    <n v="42.692399999999999"/>
    <n v="11.859"/>
  </r>
  <r>
    <x v="0"/>
    <x v="8"/>
    <x v="0"/>
    <x v="0"/>
    <s v="DK1_Large_PHL"/>
    <x v="3"/>
    <n v="51.633543144067197"/>
    <n v="14.342650873352"/>
  </r>
  <r>
    <x v="0"/>
    <x v="8"/>
    <x v="0"/>
    <x v="0"/>
    <s v="DK1_Large_PHL"/>
    <x v="4"/>
    <n v="8.1139884009941898"/>
    <n v="2.2538856669428302"/>
  </r>
  <r>
    <x v="0"/>
    <x v="8"/>
    <x v="0"/>
    <x v="0"/>
    <s v="DK1_Large_PHL"/>
    <x v="5"/>
    <n v="8.1139884009941898"/>
    <n v="2.2538856669428302"/>
  </r>
  <r>
    <x v="0"/>
    <x v="8"/>
    <x v="0"/>
    <x v="0"/>
    <s v="DK1_Large_PHL"/>
    <x v="6"/>
    <n v="29.476231795214598"/>
    <n v="8.1878421653373898"/>
  </r>
  <r>
    <x v="0"/>
    <x v="8"/>
    <x v="0"/>
    <x v="0"/>
    <s v="DK1_Large_PHL"/>
    <x v="7"/>
    <n v="57.838935220261199"/>
    <n v="16.066370894517"/>
  </r>
  <r>
    <x v="0"/>
    <x v="8"/>
    <x v="0"/>
    <x v="0"/>
    <s v="DK1_Large_PHL"/>
    <x v="8"/>
    <n v="57.838935220261199"/>
    <n v="16.066370894517"/>
  </r>
  <r>
    <x v="0"/>
    <x v="8"/>
    <x v="0"/>
    <x v="0"/>
    <s v="DK1_Large_PHL"/>
    <x v="9"/>
    <n v="44.803327257663497"/>
    <n v="12.4453686826843"/>
  </r>
  <r>
    <x v="0"/>
    <x v="8"/>
    <x v="0"/>
    <x v="0"/>
    <s v="DK1_Large_PHL"/>
    <x v="10"/>
    <n v="54.681226180612903"/>
    <n v="15.1892294946147"/>
  </r>
  <r>
    <x v="0"/>
    <x v="8"/>
    <x v="0"/>
    <x v="0"/>
    <s v="DK1_Large_PHL"/>
    <x v="11"/>
    <n v="3.8806031483015802"/>
    <n v="1.07794531897266"/>
  </r>
  <r>
    <x v="0"/>
    <x v="8"/>
    <x v="0"/>
    <x v="0"/>
    <s v="DK1_Large_PHL"/>
    <x v="12"/>
    <n v="9.7995028997514597E-2"/>
    <n v="2.72208413881985E-2"/>
  </r>
  <r>
    <x v="0"/>
    <x v="8"/>
    <x v="0"/>
    <x v="0"/>
    <s v="DK1_Large_PHL"/>
    <x v="13"/>
    <n v="21.5197083678542"/>
    <n v="5.9776967688483804"/>
  </r>
  <r>
    <x v="0"/>
    <x v="8"/>
    <x v="0"/>
    <x v="0"/>
    <s v="DK1_Large_PHL"/>
    <x v="14"/>
    <n v="21.5197083678542"/>
    <n v="5.9776967688483804"/>
  </r>
  <r>
    <x v="0"/>
    <x v="8"/>
    <x v="0"/>
    <x v="0"/>
    <s v="DK1_Large_PHL"/>
    <x v="15"/>
    <n v="1.65807589063794"/>
    <n v="0.46057663628831802"/>
  </r>
  <r>
    <x v="0"/>
    <x v="8"/>
    <x v="0"/>
    <x v="0"/>
    <s v="DK1_Large_PHL"/>
    <x v="16"/>
    <n v="4.9884429139200002"/>
    <n v="1.3856785871999999"/>
  </r>
  <r>
    <x v="0"/>
    <x v="8"/>
    <x v="0"/>
    <x v="0"/>
    <s v="DK1_Large_PHL"/>
    <x v="17"/>
    <n v="9.1244895875632395"/>
    <n v="2.5345804409897901"/>
  </r>
  <r>
    <x v="0"/>
    <x v="8"/>
    <x v="0"/>
    <x v="0"/>
    <s v="DK1_Large_PHL"/>
    <x v="18"/>
    <n v="21.5197083678542"/>
    <n v="5.9776967688483804"/>
  </r>
  <r>
    <x v="0"/>
    <x v="8"/>
    <x v="0"/>
    <x v="0"/>
    <s v="DK1_Large_PHL"/>
    <x v="19"/>
    <n v="8.1139884009941898"/>
    <n v="2.2538856669428302"/>
  </r>
  <r>
    <x v="0"/>
    <x v="8"/>
    <x v="0"/>
    <x v="0"/>
    <s v="DK1_Large_PHL"/>
    <x v="20"/>
    <n v="19.336735244541"/>
    <n v="5.37131534570584"/>
  </r>
  <r>
    <x v="0"/>
    <x v="8"/>
    <x v="0"/>
    <x v="0"/>
    <s v="DK1_Large_PHL"/>
    <x v="21"/>
    <n v="48.384"/>
    <n v="13.44"/>
  </r>
  <r>
    <x v="0"/>
    <x v="8"/>
    <x v="0"/>
    <x v="0"/>
    <s v="DK1_Large_PHL"/>
    <x v="22"/>
    <n v="79.847999999999999"/>
    <n v="22.18"/>
  </r>
  <r>
    <x v="0"/>
    <x v="8"/>
    <x v="0"/>
    <x v="0"/>
    <s v="DK1_Large_PHL"/>
    <x v="23"/>
    <n v="0.31515896120488701"/>
    <n v="8.7544155890246306E-2"/>
  </r>
  <r>
    <x v="0"/>
    <x v="8"/>
    <x v="0"/>
    <x v="0"/>
    <s v="DK1_Large_PHL"/>
    <x v="24"/>
    <n v="19.174223581093901"/>
    <n v="5.32617321697054"/>
  </r>
  <r>
    <x v="0"/>
    <x v="8"/>
    <x v="0"/>
    <x v="0"/>
    <s v="DK1_Large_PHL"/>
    <x v="25"/>
    <n v="22.356874337357301"/>
    <n v="6.2102428714881297"/>
  </r>
  <r>
    <x v="0"/>
    <x v="8"/>
    <x v="0"/>
    <x v="0"/>
    <s v="DK1_Large_PHL"/>
    <x v="26"/>
    <n v="29.6651032387655"/>
    <n v="8.2403064552126306"/>
  </r>
  <r>
    <x v="0"/>
    <x v="8"/>
    <x v="0"/>
    <x v="0"/>
    <s v="DK1_Large_PHL"/>
    <x v="27"/>
    <n v="20.163995508318798"/>
    <n v="5.6011098634218799"/>
  </r>
  <r>
    <x v="0"/>
    <x v="8"/>
    <x v="0"/>
    <x v="0"/>
    <s v="DK1_MedSmall"/>
    <x v="1"/>
    <n v="35.989199999999997"/>
    <n v="9.9969999999999999"/>
  </r>
  <r>
    <x v="0"/>
    <x v="8"/>
    <x v="0"/>
    <x v="0"/>
    <s v="DK1_MedSmall"/>
    <x v="2"/>
    <n v="48.384"/>
    <n v="13.44"/>
  </r>
  <r>
    <x v="0"/>
    <x v="8"/>
    <x v="0"/>
    <x v="0"/>
    <s v="DK1_MedSmall"/>
    <x v="0"/>
    <n v="42.692399999999999"/>
    <n v="11.859"/>
  </r>
  <r>
    <x v="0"/>
    <x v="8"/>
    <x v="0"/>
    <x v="0"/>
    <s v="DK1_MedSmall"/>
    <x v="3"/>
    <n v="51.633543144067197"/>
    <n v="14.342650873352"/>
  </r>
  <r>
    <x v="0"/>
    <x v="8"/>
    <x v="0"/>
    <x v="0"/>
    <s v="DK1_MedSmall"/>
    <x v="4"/>
    <n v="8.1139884009941898"/>
    <n v="2.2538856669428302"/>
  </r>
  <r>
    <x v="0"/>
    <x v="8"/>
    <x v="0"/>
    <x v="0"/>
    <s v="DK1_MedSmall"/>
    <x v="5"/>
    <n v="8.1139884009941898"/>
    <n v="2.2538856669428302"/>
  </r>
  <r>
    <x v="0"/>
    <x v="8"/>
    <x v="0"/>
    <x v="0"/>
    <s v="DK1_MedSmall"/>
    <x v="6"/>
    <n v="29.476231795214598"/>
    <n v="8.1878421653373898"/>
  </r>
  <r>
    <x v="0"/>
    <x v="8"/>
    <x v="0"/>
    <x v="0"/>
    <s v="DK1_MedSmall"/>
    <x v="7"/>
    <n v="57.838935220261199"/>
    <n v="16.066370894517"/>
  </r>
  <r>
    <x v="0"/>
    <x v="8"/>
    <x v="0"/>
    <x v="0"/>
    <s v="DK1_MedSmall"/>
    <x v="8"/>
    <n v="57.838935220261199"/>
    <n v="16.066370894517"/>
  </r>
  <r>
    <x v="0"/>
    <x v="8"/>
    <x v="0"/>
    <x v="0"/>
    <s v="DK1_MedSmall"/>
    <x v="9"/>
    <n v="44.803327257663497"/>
    <n v="12.4453686826843"/>
  </r>
  <r>
    <x v="0"/>
    <x v="8"/>
    <x v="0"/>
    <x v="0"/>
    <s v="DK1_MedSmall"/>
    <x v="10"/>
    <n v="54.681226180612903"/>
    <n v="15.1892294946147"/>
  </r>
  <r>
    <x v="0"/>
    <x v="8"/>
    <x v="0"/>
    <x v="0"/>
    <s v="DK1_MedSmall"/>
    <x v="11"/>
    <n v="3.8806031483015802"/>
    <n v="1.07794531897266"/>
  </r>
  <r>
    <x v="0"/>
    <x v="8"/>
    <x v="0"/>
    <x v="0"/>
    <s v="DK1_MedSmall"/>
    <x v="12"/>
    <n v="9.7995028997514597E-2"/>
    <n v="2.72208413881985E-2"/>
  </r>
  <r>
    <x v="0"/>
    <x v="8"/>
    <x v="0"/>
    <x v="0"/>
    <s v="DK1_MedSmall"/>
    <x v="13"/>
    <n v="21.5197083678542"/>
    <n v="5.9776967688483804"/>
  </r>
  <r>
    <x v="0"/>
    <x v="8"/>
    <x v="0"/>
    <x v="0"/>
    <s v="DK1_MedSmall"/>
    <x v="14"/>
    <n v="21.5197083678542"/>
    <n v="5.9776967688483804"/>
  </r>
  <r>
    <x v="0"/>
    <x v="8"/>
    <x v="0"/>
    <x v="0"/>
    <s v="DK1_MedSmall"/>
    <x v="15"/>
    <n v="1.65807589063794"/>
    <n v="0.46057663628831802"/>
  </r>
  <r>
    <x v="0"/>
    <x v="8"/>
    <x v="0"/>
    <x v="0"/>
    <s v="DK1_MedSmall"/>
    <x v="16"/>
    <n v="4.9884429139200002"/>
    <n v="1.3856785871999999"/>
  </r>
  <r>
    <x v="0"/>
    <x v="8"/>
    <x v="0"/>
    <x v="0"/>
    <s v="DK1_MedSmall"/>
    <x v="17"/>
    <n v="9.1244895875632395"/>
    <n v="2.5345804409897901"/>
  </r>
  <r>
    <x v="0"/>
    <x v="8"/>
    <x v="0"/>
    <x v="0"/>
    <s v="DK1_MedSmall"/>
    <x v="18"/>
    <n v="21.5197083678542"/>
    <n v="5.9776967688483804"/>
  </r>
  <r>
    <x v="0"/>
    <x v="8"/>
    <x v="0"/>
    <x v="0"/>
    <s v="DK1_MedSmall"/>
    <x v="19"/>
    <n v="8.1139884009941898"/>
    <n v="2.2538856669428302"/>
  </r>
  <r>
    <x v="0"/>
    <x v="8"/>
    <x v="0"/>
    <x v="0"/>
    <s v="DK1_MedSmall"/>
    <x v="20"/>
    <n v="19.336735244541"/>
    <n v="5.37131534570584"/>
  </r>
  <r>
    <x v="0"/>
    <x v="8"/>
    <x v="0"/>
    <x v="0"/>
    <s v="DK1_MedSmall"/>
    <x v="21"/>
    <n v="48.384"/>
    <n v="13.44"/>
  </r>
  <r>
    <x v="0"/>
    <x v="8"/>
    <x v="0"/>
    <x v="0"/>
    <s v="DK1_MedSmall"/>
    <x v="22"/>
    <n v="79.847999999999999"/>
    <n v="22.18"/>
  </r>
  <r>
    <x v="0"/>
    <x v="8"/>
    <x v="0"/>
    <x v="0"/>
    <s v="DK1_MedSmall"/>
    <x v="23"/>
    <n v="0.31515896120488701"/>
    <n v="8.7544155890246306E-2"/>
  </r>
  <r>
    <x v="0"/>
    <x v="8"/>
    <x v="0"/>
    <x v="0"/>
    <s v="DK1_MedSmall"/>
    <x v="24"/>
    <n v="19.174223581093901"/>
    <n v="5.32617321697054"/>
  </r>
  <r>
    <x v="0"/>
    <x v="8"/>
    <x v="0"/>
    <x v="0"/>
    <s v="DK1_MedSmall"/>
    <x v="25"/>
    <n v="22.356874337357301"/>
    <n v="6.2102428714881297"/>
  </r>
  <r>
    <x v="0"/>
    <x v="8"/>
    <x v="0"/>
    <x v="0"/>
    <s v="DK1_MedSmall"/>
    <x v="26"/>
    <n v="29.6651032387655"/>
    <n v="8.2403064552126306"/>
  </r>
  <r>
    <x v="0"/>
    <x v="8"/>
    <x v="0"/>
    <x v="0"/>
    <s v="DK1_MedSmall"/>
    <x v="27"/>
    <n v="20.163995508318798"/>
    <n v="5.6011098634218799"/>
  </r>
  <r>
    <x v="0"/>
    <x v="8"/>
    <x v="0"/>
    <x v="0"/>
    <s v="DK1_Medium"/>
    <x v="1"/>
    <n v="35.989199999999997"/>
    <n v="9.9969999999999999"/>
  </r>
  <r>
    <x v="0"/>
    <x v="8"/>
    <x v="0"/>
    <x v="0"/>
    <s v="DK1_Medium"/>
    <x v="2"/>
    <n v="48.384"/>
    <n v="13.44"/>
  </r>
  <r>
    <x v="0"/>
    <x v="8"/>
    <x v="0"/>
    <x v="0"/>
    <s v="DK1_Medium"/>
    <x v="0"/>
    <n v="42.692399999999999"/>
    <n v="11.859"/>
  </r>
  <r>
    <x v="0"/>
    <x v="8"/>
    <x v="0"/>
    <x v="0"/>
    <s v="DK1_Medium"/>
    <x v="3"/>
    <n v="51.633543144067197"/>
    <n v="14.342650873352"/>
  </r>
  <r>
    <x v="0"/>
    <x v="8"/>
    <x v="0"/>
    <x v="0"/>
    <s v="DK1_Medium"/>
    <x v="4"/>
    <n v="8.1139884009941898"/>
    <n v="2.2538856669428302"/>
  </r>
  <r>
    <x v="0"/>
    <x v="8"/>
    <x v="0"/>
    <x v="0"/>
    <s v="DK1_Medium"/>
    <x v="5"/>
    <n v="8.1139884009941898"/>
    <n v="2.2538856669428302"/>
  </r>
  <r>
    <x v="0"/>
    <x v="8"/>
    <x v="0"/>
    <x v="0"/>
    <s v="DK1_Medium"/>
    <x v="6"/>
    <n v="29.476231795214598"/>
    <n v="8.1878421653373898"/>
  </r>
  <r>
    <x v="0"/>
    <x v="8"/>
    <x v="0"/>
    <x v="0"/>
    <s v="DK1_Medium"/>
    <x v="7"/>
    <n v="57.838935220261199"/>
    <n v="16.066370894517"/>
  </r>
  <r>
    <x v="0"/>
    <x v="8"/>
    <x v="0"/>
    <x v="0"/>
    <s v="DK1_Medium"/>
    <x v="8"/>
    <n v="57.838935220261199"/>
    <n v="16.066370894517"/>
  </r>
  <r>
    <x v="0"/>
    <x v="8"/>
    <x v="0"/>
    <x v="0"/>
    <s v="DK1_Medium"/>
    <x v="9"/>
    <n v="44.803327257663497"/>
    <n v="12.4453686826843"/>
  </r>
  <r>
    <x v="0"/>
    <x v="8"/>
    <x v="0"/>
    <x v="0"/>
    <s v="DK1_Medium"/>
    <x v="10"/>
    <n v="54.681226180612903"/>
    <n v="15.1892294946147"/>
  </r>
  <r>
    <x v="0"/>
    <x v="8"/>
    <x v="0"/>
    <x v="0"/>
    <s v="DK1_Medium"/>
    <x v="11"/>
    <n v="3.8806031483015802"/>
    <n v="1.07794531897266"/>
  </r>
  <r>
    <x v="0"/>
    <x v="8"/>
    <x v="0"/>
    <x v="0"/>
    <s v="DK1_Medium"/>
    <x v="12"/>
    <n v="9.7995028997514597E-2"/>
    <n v="2.72208413881985E-2"/>
  </r>
  <r>
    <x v="0"/>
    <x v="8"/>
    <x v="0"/>
    <x v="0"/>
    <s v="DK1_Medium"/>
    <x v="13"/>
    <n v="21.5197083678542"/>
    <n v="5.9776967688483804"/>
  </r>
  <r>
    <x v="0"/>
    <x v="8"/>
    <x v="0"/>
    <x v="0"/>
    <s v="DK1_Medium"/>
    <x v="14"/>
    <n v="21.5197083678542"/>
    <n v="5.9776967688483804"/>
  </r>
  <r>
    <x v="0"/>
    <x v="8"/>
    <x v="0"/>
    <x v="0"/>
    <s v="DK1_Medium"/>
    <x v="15"/>
    <n v="1.65807589063794"/>
    <n v="0.46057663628831802"/>
  </r>
  <r>
    <x v="0"/>
    <x v="8"/>
    <x v="0"/>
    <x v="0"/>
    <s v="DK1_Medium"/>
    <x v="16"/>
    <n v="4.9884429139200002"/>
    <n v="1.3856785871999999"/>
  </r>
  <r>
    <x v="0"/>
    <x v="8"/>
    <x v="0"/>
    <x v="0"/>
    <s v="DK1_Medium"/>
    <x v="17"/>
    <n v="9.1244895875632395"/>
    <n v="2.5345804409897901"/>
  </r>
  <r>
    <x v="0"/>
    <x v="8"/>
    <x v="0"/>
    <x v="0"/>
    <s v="DK1_Medium"/>
    <x v="18"/>
    <n v="21.5197083678542"/>
    <n v="5.9776967688483804"/>
  </r>
  <r>
    <x v="0"/>
    <x v="8"/>
    <x v="0"/>
    <x v="0"/>
    <s v="DK1_Medium"/>
    <x v="19"/>
    <n v="8.1139884009941898"/>
    <n v="2.2538856669428302"/>
  </r>
  <r>
    <x v="0"/>
    <x v="8"/>
    <x v="0"/>
    <x v="0"/>
    <s v="DK1_Medium"/>
    <x v="20"/>
    <n v="19.336735244541"/>
    <n v="5.37131534570584"/>
  </r>
  <r>
    <x v="0"/>
    <x v="8"/>
    <x v="0"/>
    <x v="0"/>
    <s v="DK1_Medium"/>
    <x v="21"/>
    <n v="48.384"/>
    <n v="13.44"/>
  </r>
  <r>
    <x v="0"/>
    <x v="8"/>
    <x v="0"/>
    <x v="0"/>
    <s v="DK1_Medium"/>
    <x v="22"/>
    <n v="79.847999999999999"/>
    <n v="22.18"/>
  </r>
  <r>
    <x v="0"/>
    <x v="8"/>
    <x v="0"/>
    <x v="0"/>
    <s v="DK1_Medium"/>
    <x v="23"/>
    <n v="0.31515896120488701"/>
    <n v="8.7544155890246306E-2"/>
  </r>
  <r>
    <x v="0"/>
    <x v="8"/>
    <x v="0"/>
    <x v="0"/>
    <s v="DK1_Medium"/>
    <x v="24"/>
    <n v="19.174223581093901"/>
    <n v="5.32617321697054"/>
  </r>
  <r>
    <x v="0"/>
    <x v="8"/>
    <x v="0"/>
    <x v="0"/>
    <s v="DK1_Medium"/>
    <x v="25"/>
    <n v="22.356874337357301"/>
    <n v="6.2102428714881297"/>
  </r>
  <r>
    <x v="0"/>
    <x v="8"/>
    <x v="0"/>
    <x v="0"/>
    <s v="DK1_Medium"/>
    <x v="26"/>
    <n v="29.6651032387655"/>
    <n v="8.2403064552126306"/>
  </r>
  <r>
    <x v="0"/>
    <x v="8"/>
    <x v="0"/>
    <x v="0"/>
    <s v="DK1_Medium"/>
    <x v="27"/>
    <n v="20.163995508318798"/>
    <n v="5.6011098634218799"/>
  </r>
  <r>
    <x v="0"/>
    <x v="8"/>
    <x v="0"/>
    <x v="0"/>
    <s v="DK1_NoDH"/>
    <x v="1"/>
    <n v="35.989199999999997"/>
    <n v="9.9969999999999999"/>
  </r>
  <r>
    <x v="0"/>
    <x v="8"/>
    <x v="0"/>
    <x v="0"/>
    <s v="DK1_NoDH"/>
    <x v="2"/>
    <n v="48.384"/>
    <n v="13.44"/>
  </r>
  <r>
    <x v="0"/>
    <x v="8"/>
    <x v="0"/>
    <x v="0"/>
    <s v="DK1_NoDH"/>
    <x v="0"/>
    <n v="42.692399999999999"/>
    <n v="11.859"/>
  </r>
  <r>
    <x v="0"/>
    <x v="8"/>
    <x v="0"/>
    <x v="0"/>
    <s v="DK1_NoDH"/>
    <x v="3"/>
    <n v="51.633543144067197"/>
    <n v="14.342650873352"/>
  </r>
  <r>
    <x v="0"/>
    <x v="8"/>
    <x v="0"/>
    <x v="0"/>
    <s v="DK1_NoDH"/>
    <x v="4"/>
    <n v="8.1139884009941898"/>
    <n v="2.2538856669428302"/>
  </r>
  <r>
    <x v="0"/>
    <x v="8"/>
    <x v="0"/>
    <x v="0"/>
    <s v="DK1_NoDH"/>
    <x v="5"/>
    <n v="8.1139884009941898"/>
    <n v="2.2538856669428302"/>
  </r>
  <r>
    <x v="0"/>
    <x v="8"/>
    <x v="0"/>
    <x v="0"/>
    <s v="DK1_NoDH"/>
    <x v="6"/>
    <n v="29.476231795214598"/>
    <n v="8.1878421653373898"/>
  </r>
  <r>
    <x v="0"/>
    <x v="8"/>
    <x v="0"/>
    <x v="0"/>
    <s v="DK1_NoDH"/>
    <x v="7"/>
    <n v="57.838935220261199"/>
    <n v="16.066370894517"/>
  </r>
  <r>
    <x v="0"/>
    <x v="8"/>
    <x v="0"/>
    <x v="0"/>
    <s v="DK1_NoDH"/>
    <x v="8"/>
    <n v="57.838935220261199"/>
    <n v="16.066370894517"/>
  </r>
  <r>
    <x v="0"/>
    <x v="8"/>
    <x v="0"/>
    <x v="0"/>
    <s v="DK1_NoDH"/>
    <x v="9"/>
    <n v="44.803327257663497"/>
    <n v="12.4453686826843"/>
  </r>
  <r>
    <x v="0"/>
    <x v="8"/>
    <x v="0"/>
    <x v="0"/>
    <s v="DK1_NoDH"/>
    <x v="10"/>
    <n v="54.681226180612903"/>
    <n v="15.1892294946147"/>
  </r>
  <r>
    <x v="0"/>
    <x v="8"/>
    <x v="0"/>
    <x v="0"/>
    <s v="DK1_NoDH"/>
    <x v="11"/>
    <n v="3.8806031483015802"/>
    <n v="1.07794531897266"/>
  </r>
  <r>
    <x v="0"/>
    <x v="8"/>
    <x v="0"/>
    <x v="0"/>
    <s v="DK1_NoDH"/>
    <x v="12"/>
    <n v="9.7995028997514597E-2"/>
    <n v="2.72208413881985E-2"/>
  </r>
  <r>
    <x v="0"/>
    <x v="8"/>
    <x v="0"/>
    <x v="0"/>
    <s v="DK1_NoDH"/>
    <x v="13"/>
    <n v="21.5197083678542"/>
    <n v="5.9776967688483804"/>
  </r>
  <r>
    <x v="0"/>
    <x v="8"/>
    <x v="0"/>
    <x v="0"/>
    <s v="DK1_NoDH"/>
    <x v="14"/>
    <n v="21.5197083678542"/>
    <n v="5.9776967688483804"/>
  </r>
  <r>
    <x v="0"/>
    <x v="8"/>
    <x v="0"/>
    <x v="0"/>
    <s v="DK1_NoDH"/>
    <x v="15"/>
    <n v="1.65807589063794"/>
    <n v="0.46057663628831802"/>
  </r>
  <r>
    <x v="0"/>
    <x v="8"/>
    <x v="0"/>
    <x v="0"/>
    <s v="DK1_NoDH"/>
    <x v="16"/>
    <n v="4.9884429139200002"/>
    <n v="1.3856785871999999"/>
  </r>
  <r>
    <x v="0"/>
    <x v="8"/>
    <x v="0"/>
    <x v="0"/>
    <s v="DK1_NoDH"/>
    <x v="17"/>
    <n v="9.1244895875632395"/>
    <n v="2.5345804409897901"/>
  </r>
  <r>
    <x v="0"/>
    <x v="8"/>
    <x v="0"/>
    <x v="0"/>
    <s v="DK1_NoDH"/>
    <x v="18"/>
    <n v="21.5197083678542"/>
    <n v="5.9776967688483804"/>
  </r>
  <r>
    <x v="0"/>
    <x v="8"/>
    <x v="0"/>
    <x v="0"/>
    <s v="DK1_NoDH"/>
    <x v="19"/>
    <n v="8.1139884009941898"/>
    <n v="2.2538856669428302"/>
  </r>
  <r>
    <x v="0"/>
    <x v="8"/>
    <x v="0"/>
    <x v="0"/>
    <s v="DK1_NoDH"/>
    <x v="20"/>
    <n v="19.336735244541"/>
    <n v="5.37131534570584"/>
  </r>
  <r>
    <x v="0"/>
    <x v="8"/>
    <x v="0"/>
    <x v="0"/>
    <s v="DK1_NoDH"/>
    <x v="21"/>
    <n v="48.384"/>
    <n v="13.44"/>
  </r>
  <r>
    <x v="0"/>
    <x v="8"/>
    <x v="0"/>
    <x v="0"/>
    <s v="DK1_NoDH"/>
    <x v="22"/>
    <n v="79.847999999999999"/>
    <n v="22.18"/>
  </r>
  <r>
    <x v="0"/>
    <x v="8"/>
    <x v="0"/>
    <x v="0"/>
    <s v="DK1_NoDH"/>
    <x v="23"/>
    <n v="0.31515896120488701"/>
    <n v="8.7544155890246306E-2"/>
  </r>
  <r>
    <x v="0"/>
    <x v="8"/>
    <x v="0"/>
    <x v="0"/>
    <s v="DK1_NoDH"/>
    <x v="24"/>
    <n v="19.174223581093901"/>
    <n v="5.32617321697054"/>
  </r>
  <r>
    <x v="0"/>
    <x v="8"/>
    <x v="0"/>
    <x v="0"/>
    <s v="DK1_NoDH"/>
    <x v="25"/>
    <n v="22.356874337357301"/>
    <n v="6.2102428714881297"/>
  </r>
  <r>
    <x v="0"/>
    <x v="8"/>
    <x v="0"/>
    <x v="0"/>
    <s v="DK1_NoDH"/>
    <x v="26"/>
    <n v="29.6651032387655"/>
    <n v="8.2403064552126306"/>
  </r>
  <r>
    <x v="0"/>
    <x v="8"/>
    <x v="0"/>
    <x v="0"/>
    <s v="DK1_NoDH"/>
    <x v="27"/>
    <n v="20.163995508318798"/>
    <n v="5.6011098634218799"/>
  </r>
  <r>
    <x v="0"/>
    <x v="8"/>
    <x v="0"/>
    <x v="0"/>
    <s v="DK1_NoDH_PHH"/>
    <x v="1"/>
    <n v="35.989199999999997"/>
    <n v="9.9969999999999999"/>
  </r>
  <r>
    <x v="0"/>
    <x v="8"/>
    <x v="0"/>
    <x v="0"/>
    <s v="DK1_NoDH_PHH"/>
    <x v="2"/>
    <n v="48.384"/>
    <n v="13.44"/>
  </r>
  <r>
    <x v="0"/>
    <x v="8"/>
    <x v="0"/>
    <x v="0"/>
    <s v="DK1_NoDH_PHH"/>
    <x v="0"/>
    <n v="42.692399999999999"/>
    <n v="11.859"/>
  </r>
  <r>
    <x v="0"/>
    <x v="8"/>
    <x v="0"/>
    <x v="0"/>
    <s v="DK1_NoDH_PHH"/>
    <x v="3"/>
    <n v="51.633543144067197"/>
    <n v="14.342650873352"/>
  </r>
  <r>
    <x v="0"/>
    <x v="8"/>
    <x v="0"/>
    <x v="0"/>
    <s v="DK1_NoDH_PHH"/>
    <x v="4"/>
    <n v="8.1139884009941898"/>
    <n v="2.2538856669428302"/>
  </r>
  <r>
    <x v="0"/>
    <x v="8"/>
    <x v="0"/>
    <x v="0"/>
    <s v="DK1_NoDH_PHH"/>
    <x v="5"/>
    <n v="8.1139884009941898"/>
    <n v="2.2538856669428302"/>
  </r>
  <r>
    <x v="0"/>
    <x v="8"/>
    <x v="0"/>
    <x v="0"/>
    <s v="DK1_NoDH_PHH"/>
    <x v="6"/>
    <n v="29.476231795214598"/>
    <n v="8.1878421653373898"/>
  </r>
  <r>
    <x v="0"/>
    <x v="8"/>
    <x v="0"/>
    <x v="0"/>
    <s v="DK1_NoDH_PHH"/>
    <x v="7"/>
    <n v="57.838935220261199"/>
    <n v="16.066370894517"/>
  </r>
  <r>
    <x v="0"/>
    <x v="8"/>
    <x v="0"/>
    <x v="0"/>
    <s v="DK1_NoDH_PHH"/>
    <x v="8"/>
    <n v="57.838935220261199"/>
    <n v="16.066370894517"/>
  </r>
  <r>
    <x v="0"/>
    <x v="8"/>
    <x v="0"/>
    <x v="0"/>
    <s v="DK1_NoDH_PHH"/>
    <x v="9"/>
    <n v="44.803327257663497"/>
    <n v="12.4453686826843"/>
  </r>
  <r>
    <x v="0"/>
    <x v="8"/>
    <x v="0"/>
    <x v="0"/>
    <s v="DK1_NoDH_PHH"/>
    <x v="10"/>
    <n v="54.681226180612903"/>
    <n v="15.1892294946147"/>
  </r>
  <r>
    <x v="0"/>
    <x v="8"/>
    <x v="0"/>
    <x v="0"/>
    <s v="DK1_NoDH_PHH"/>
    <x v="11"/>
    <n v="3.8806031483015802"/>
    <n v="1.07794531897266"/>
  </r>
  <r>
    <x v="0"/>
    <x v="8"/>
    <x v="0"/>
    <x v="0"/>
    <s v="DK1_NoDH_PHH"/>
    <x v="12"/>
    <n v="9.7995028997514597E-2"/>
    <n v="2.72208413881985E-2"/>
  </r>
  <r>
    <x v="0"/>
    <x v="8"/>
    <x v="0"/>
    <x v="0"/>
    <s v="DK1_NoDH_PHH"/>
    <x v="13"/>
    <n v="21.5197083678542"/>
    <n v="5.9776967688483804"/>
  </r>
  <r>
    <x v="0"/>
    <x v="8"/>
    <x v="0"/>
    <x v="0"/>
    <s v="DK1_NoDH_PHH"/>
    <x v="14"/>
    <n v="21.5197083678542"/>
    <n v="5.9776967688483804"/>
  </r>
  <r>
    <x v="0"/>
    <x v="8"/>
    <x v="0"/>
    <x v="0"/>
    <s v="DK1_NoDH_PHH"/>
    <x v="15"/>
    <n v="1.65807589063794"/>
    <n v="0.46057663628831802"/>
  </r>
  <r>
    <x v="0"/>
    <x v="8"/>
    <x v="0"/>
    <x v="0"/>
    <s v="DK1_NoDH_PHH"/>
    <x v="16"/>
    <n v="4.9884429139200002"/>
    <n v="1.3856785871999999"/>
  </r>
  <r>
    <x v="0"/>
    <x v="8"/>
    <x v="0"/>
    <x v="0"/>
    <s v="DK1_NoDH_PHH"/>
    <x v="17"/>
    <n v="9.1244895875632395"/>
    <n v="2.5345804409897901"/>
  </r>
  <r>
    <x v="0"/>
    <x v="8"/>
    <x v="0"/>
    <x v="0"/>
    <s v="DK1_NoDH_PHH"/>
    <x v="18"/>
    <n v="21.5197083678542"/>
    <n v="5.9776967688483804"/>
  </r>
  <r>
    <x v="0"/>
    <x v="8"/>
    <x v="0"/>
    <x v="0"/>
    <s v="DK1_NoDH_PHH"/>
    <x v="19"/>
    <n v="8.1139884009941898"/>
    <n v="2.2538856669428302"/>
  </r>
  <r>
    <x v="0"/>
    <x v="8"/>
    <x v="0"/>
    <x v="0"/>
    <s v="DK1_NoDH_PHH"/>
    <x v="20"/>
    <n v="19.336735244541"/>
    <n v="5.37131534570584"/>
  </r>
  <r>
    <x v="0"/>
    <x v="8"/>
    <x v="0"/>
    <x v="0"/>
    <s v="DK1_NoDH_PHH"/>
    <x v="21"/>
    <n v="48.384"/>
    <n v="13.44"/>
  </r>
  <r>
    <x v="0"/>
    <x v="8"/>
    <x v="0"/>
    <x v="0"/>
    <s v="DK1_NoDH_PHH"/>
    <x v="22"/>
    <n v="79.847999999999999"/>
    <n v="22.18"/>
  </r>
  <r>
    <x v="0"/>
    <x v="8"/>
    <x v="0"/>
    <x v="0"/>
    <s v="DK1_NoDH_PHH"/>
    <x v="23"/>
    <n v="0.31515896120488701"/>
    <n v="8.7544155890246306E-2"/>
  </r>
  <r>
    <x v="0"/>
    <x v="8"/>
    <x v="0"/>
    <x v="0"/>
    <s v="DK1_NoDH_PHH"/>
    <x v="24"/>
    <n v="19.174223581093901"/>
    <n v="5.32617321697054"/>
  </r>
  <r>
    <x v="0"/>
    <x v="8"/>
    <x v="0"/>
    <x v="0"/>
    <s v="DK1_NoDH_PHH"/>
    <x v="25"/>
    <n v="22.356874337357301"/>
    <n v="6.2102428714881297"/>
  </r>
  <r>
    <x v="0"/>
    <x v="8"/>
    <x v="0"/>
    <x v="0"/>
    <s v="DK1_NoDH_PHH"/>
    <x v="26"/>
    <n v="29.6651032387655"/>
    <n v="8.2403064552126306"/>
  </r>
  <r>
    <x v="0"/>
    <x v="8"/>
    <x v="0"/>
    <x v="0"/>
    <s v="DK1_NoDH_PHH"/>
    <x v="27"/>
    <n v="20.163995508318798"/>
    <n v="5.6011098634218799"/>
  </r>
  <r>
    <x v="0"/>
    <x v="8"/>
    <x v="0"/>
    <x v="0"/>
    <s v="DK1_NoDH_PHL"/>
    <x v="1"/>
    <n v="35.989199999999997"/>
    <n v="9.9969999999999999"/>
  </r>
  <r>
    <x v="0"/>
    <x v="8"/>
    <x v="0"/>
    <x v="0"/>
    <s v="DK1_NoDH_PHL"/>
    <x v="2"/>
    <n v="48.384"/>
    <n v="13.44"/>
  </r>
  <r>
    <x v="0"/>
    <x v="8"/>
    <x v="0"/>
    <x v="0"/>
    <s v="DK1_NoDH_PHL"/>
    <x v="0"/>
    <n v="42.692399999999999"/>
    <n v="11.859"/>
  </r>
  <r>
    <x v="0"/>
    <x v="8"/>
    <x v="0"/>
    <x v="0"/>
    <s v="DK1_NoDH_PHL"/>
    <x v="3"/>
    <n v="51.633543144067197"/>
    <n v="14.342650873352"/>
  </r>
  <r>
    <x v="0"/>
    <x v="8"/>
    <x v="0"/>
    <x v="0"/>
    <s v="DK1_NoDH_PHL"/>
    <x v="4"/>
    <n v="8.1139884009941898"/>
    <n v="2.2538856669428302"/>
  </r>
  <r>
    <x v="0"/>
    <x v="8"/>
    <x v="0"/>
    <x v="0"/>
    <s v="DK1_NoDH_PHL"/>
    <x v="5"/>
    <n v="8.1139884009941898"/>
    <n v="2.2538856669428302"/>
  </r>
  <r>
    <x v="0"/>
    <x v="8"/>
    <x v="0"/>
    <x v="0"/>
    <s v="DK1_NoDH_PHL"/>
    <x v="6"/>
    <n v="29.476231795214598"/>
    <n v="8.1878421653373898"/>
  </r>
  <r>
    <x v="0"/>
    <x v="8"/>
    <x v="0"/>
    <x v="0"/>
    <s v="DK1_NoDH_PHL"/>
    <x v="7"/>
    <n v="57.838935220261199"/>
    <n v="16.066370894517"/>
  </r>
  <r>
    <x v="0"/>
    <x v="8"/>
    <x v="0"/>
    <x v="0"/>
    <s v="DK1_NoDH_PHL"/>
    <x v="8"/>
    <n v="57.838935220261199"/>
    <n v="16.066370894517"/>
  </r>
  <r>
    <x v="0"/>
    <x v="8"/>
    <x v="0"/>
    <x v="0"/>
    <s v="DK1_NoDH_PHL"/>
    <x v="9"/>
    <n v="44.803327257663497"/>
    <n v="12.4453686826843"/>
  </r>
  <r>
    <x v="0"/>
    <x v="8"/>
    <x v="0"/>
    <x v="0"/>
    <s v="DK1_NoDH_PHL"/>
    <x v="10"/>
    <n v="54.681226180612903"/>
    <n v="15.1892294946147"/>
  </r>
  <r>
    <x v="0"/>
    <x v="8"/>
    <x v="0"/>
    <x v="0"/>
    <s v="DK1_NoDH_PHL"/>
    <x v="11"/>
    <n v="3.8806031483015802"/>
    <n v="1.07794531897266"/>
  </r>
  <r>
    <x v="0"/>
    <x v="8"/>
    <x v="0"/>
    <x v="0"/>
    <s v="DK1_NoDH_PHL"/>
    <x v="12"/>
    <n v="9.7995028997514597E-2"/>
    <n v="2.72208413881985E-2"/>
  </r>
  <r>
    <x v="0"/>
    <x v="8"/>
    <x v="0"/>
    <x v="0"/>
    <s v="DK1_NoDH_PHL"/>
    <x v="13"/>
    <n v="21.5197083678542"/>
    <n v="5.9776967688483804"/>
  </r>
  <r>
    <x v="0"/>
    <x v="8"/>
    <x v="0"/>
    <x v="0"/>
    <s v="DK1_NoDH_PHL"/>
    <x v="14"/>
    <n v="21.5197083678542"/>
    <n v="5.9776967688483804"/>
  </r>
  <r>
    <x v="0"/>
    <x v="8"/>
    <x v="0"/>
    <x v="0"/>
    <s v="DK1_NoDH_PHL"/>
    <x v="15"/>
    <n v="1.65807589063794"/>
    <n v="0.46057663628831802"/>
  </r>
  <r>
    <x v="0"/>
    <x v="8"/>
    <x v="0"/>
    <x v="0"/>
    <s v="DK1_NoDH_PHL"/>
    <x v="16"/>
    <n v="4.9884429139200002"/>
    <n v="1.3856785871999999"/>
  </r>
  <r>
    <x v="0"/>
    <x v="8"/>
    <x v="0"/>
    <x v="0"/>
    <s v="DK1_NoDH_PHL"/>
    <x v="17"/>
    <n v="9.1244895875632395"/>
    <n v="2.5345804409897901"/>
  </r>
  <r>
    <x v="0"/>
    <x v="8"/>
    <x v="0"/>
    <x v="0"/>
    <s v="DK1_NoDH_PHL"/>
    <x v="18"/>
    <n v="21.5197083678542"/>
    <n v="5.9776967688483804"/>
  </r>
  <r>
    <x v="0"/>
    <x v="8"/>
    <x v="0"/>
    <x v="0"/>
    <s v="DK1_NoDH_PHL"/>
    <x v="19"/>
    <n v="8.1139884009941898"/>
    <n v="2.2538856669428302"/>
  </r>
  <r>
    <x v="0"/>
    <x v="8"/>
    <x v="0"/>
    <x v="0"/>
    <s v="DK1_NoDH_PHL"/>
    <x v="20"/>
    <n v="19.336735244541"/>
    <n v="5.37131534570584"/>
  </r>
  <r>
    <x v="0"/>
    <x v="8"/>
    <x v="0"/>
    <x v="0"/>
    <s v="DK1_NoDH_PHL"/>
    <x v="21"/>
    <n v="48.384"/>
    <n v="13.44"/>
  </r>
  <r>
    <x v="0"/>
    <x v="8"/>
    <x v="0"/>
    <x v="0"/>
    <s v="DK1_NoDH_PHL"/>
    <x v="22"/>
    <n v="79.847999999999999"/>
    <n v="22.18"/>
  </r>
  <r>
    <x v="0"/>
    <x v="8"/>
    <x v="0"/>
    <x v="0"/>
    <s v="DK1_NoDH_PHL"/>
    <x v="23"/>
    <n v="0.31515896120488701"/>
    <n v="8.7544155890246306E-2"/>
  </r>
  <r>
    <x v="0"/>
    <x v="8"/>
    <x v="0"/>
    <x v="0"/>
    <s v="DK1_NoDH_PHL"/>
    <x v="24"/>
    <n v="19.174223581093901"/>
    <n v="5.32617321697054"/>
  </r>
  <r>
    <x v="0"/>
    <x v="8"/>
    <x v="0"/>
    <x v="0"/>
    <s v="DK1_NoDH_PHL"/>
    <x v="25"/>
    <n v="22.356874337357301"/>
    <n v="6.2102428714881297"/>
  </r>
  <r>
    <x v="0"/>
    <x v="8"/>
    <x v="0"/>
    <x v="0"/>
    <s v="DK1_NoDH_PHL"/>
    <x v="26"/>
    <n v="29.6651032387655"/>
    <n v="8.2403064552126306"/>
  </r>
  <r>
    <x v="0"/>
    <x v="8"/>
    <x v="0"/>
    <x v="0"/>
    <s v="DK1_NoDH_PHL"/>
    <x v="27"/>
    <n v="20.163995508318798"/>
    <n v="5.6011098634218799"/>
  </r>
  <r>
    <x v="0"/>
    <x v="8"/>
    <x v="0"/>
    <x v="0"/>
    <s v="DK1_Offshore"/>
    <x v="1"/>
    <n v="35.989199999999997"/>
    <n v="9.9969999999999999"/>
  </r>
  <r>
    <x v="0"/>
    <x v="8"/>
    <x v="0"/>
    <x v="0"/>
    <s v="DK1_Offshore"/>
    <x v="2"/>
    <n v="48.384"/>
    <n v="13.44"/>
  </r>
  <r>
    <x v="0"/>
    <x v="8"/>
    <x v="0"/>
    <x v="0"/>
    <s v="DK1_Offshore"/>
    <x v="0"/>
    <n v="42.692399999999999"/>
    <n v="11.859"/>
  </r>
  <r>
    <x v="0"/>
    <x v="8"/>
    <x v="0"/>
    <x v="0"/>
    <s v="DK1_Offshore"/>
    <x v="3"/>
    <n v="51.633543144067197"/>
    <n v="14.342650873352"/>
  </r>
  <r>
    <x v="0"/>
    <x v="8"/>
    <x v="0"/>
    <x v="0"/>
    <s v="DK1_Offshore"/>
    <x v="4"/>
    <n v="8.1139884009941898"/>
    <n v="2.2538856669428302"/>
  </r>
  <r>
    <x v="0"/>
    <x v="8"/>
    <x v="0"/>
    <x v="0"/>
    <s v="DK1_Offshore"/>
    <x v="5"/>
    <n v="8.1139884009941898"/>
    <n v="2.2538856669428302"/>
  </r>
  <r>
    <x v="0"/>
    <x v="8"/>
    <x v="0"/>
    <x v="0"/>
    <s v="DK1_Offshore"/>
    <x v="6"/>
    <n v="29.476231795214598"/>
    <n v="8.1878421653373898"/>
  </r>
  <r>
    <x v="0"/>
    <x v="8"/>
    <x v="0"/>
    <x v="0"/>
    <s v="DK1_Offshore"/>
    <x v="7"/>
    <n v="57.838935220261199"/>
    <n v="16.066370894517"/>
  </r>
  <r>
    <x v="0"/>
    <x v="8"/>
    <x v="0"/>
    <x v="0"/>
    <s v="DK1_Offshore"/>
    <x v="8"/>
    <n v="57.838935220261199"/>
    <n v="16.066370894517"/>
  </r>
  <r>
    <x v="0"/>
    <x v="8"/>
    <x v="0"/>
    <x v="0"/>
    <s v="DK1_Offshore"/>
    <x v="9"/>
    <n v="44.803327257663497"/>
    <n v="12.4453686826843"/>
  </r>
  <r>
    <x v="0"/>
    <x v="8"/>
    <x v="0"/>
    <x v="0"/>
    <s v="DK1_Offshore"/>
    <x v="10"/>
    <n v="54.681226180612903"/>
    <n v="15.1892294946147"/>
  </r>
  <r>
    <x v="0"/>
    <x v="8"/>
    <x v="0"/>
    <x v="0"/>
    <s v="DK1_Offshore"/>
    <x v="11"/>
    <n v="3.8806031483015802"/>
    <n v="1.07794531897266"/>
  </r>
  <r>
    <x v="0"/>
    <x v="8"/>
    <x v="0"/>
    <x v="0"/>
    <s v="DK1_Offshore"/>
    <x v="12"/>
    <n v="9.7995028997514597E-2"/>
    <n v="2.72208413881985E-2"/>
  </r>
  <r>
    <x v="0"/>
    <x v="8"/>
    <x v="0"/>
    <x v="0"/>
    <s v="DK1_Offshore"/>
    <x v="13"/>
    <n v="21.5197083678542"/>
    <n v="5.9776967688483804"/>
  </r>
  <r>
    <x v="0"/>
    <x v="8"/>
    <x v="0"/>
    <x v="0"/>
    <s v="DK1_Offshore"/>
    <x v="14"/>
    <n v="21.5197083678542"/>
    <n v="5.9776967688483804"/>
  </r>
  <r>
    <x v="0"/>
    <x v="8"/>
    <x v="0"/>
    <x v="0"/>
    <s v="DK1_Offshore"/>
    <x v="15"/>
    <n v="1.65807589063794"/>
    <n v="0.46057663628831802"/>
  </r>
  <r>
    <x v="0"/>
    <x v="8"/>
    <x v="0"/>
    <x v="0"/>
    <s v="DK1_Offshore"/>
    <x v="16"/>
    <n v="4.9884429139200002"/>
    <n v="1.3856785871999999"/>
  </r>
  <r>
    <x v="0"/>
    <x v="8"/>
    <x v="0"/>
    <x v="0"/>
    <s v="DK1_Offshore"/>
    <x v="17"/>
    <n v="9.1244895875632395"/>
    <n v="2.5345804409897901"/>
  </r>
  <r>
    <x v="0"/>
    <x v="8"/>
    <x v="0"/>
    <x v="0"/>
    <s v="DK1_Offshore"/>
    <x v="18"/>
    <n v="21.5197083678542"/>
    <n v="5.9776967688483804"/>
  </r>
  <r>
    <x v="0"/>
    <x v="8"/>
    <x v="0"/>
    <x v="0"/>
    <s v="DK1_Offshore"/>
    <x v="19"/>
    <n v="8.1139884009941898"/>
    <n v="2.2538856669428302"/>
  </r>
  <r>
    <x v="0"/>
    <x v="8"/>
    <x v="0"/>
    <x v="0"/>
    <s v="DK1_Offshore"/>
    <x v="20"/>
    <n v="19.336735244541"/>
    <n v="5.37131534570584"/>
  </r>
  <r>
    <x v="0"/>
    <x v="8"/>
    <x v="0"/>
    <x v="0"/>
    <s v="DK1_Offshore"/>
    <x v="21"/>
    <n v="48.384"/>
    <n v="13.44"/>
  </r>
  <r>
    <x v="0"/>
    <x v="8"/>
    <x v="0"/>
    <x v="0"/>
    <s v="DK1_Offshore"/>
    <x v="22"/>
    <n v="79.847999999999999"/>
    <n v="22.18"/>
  </r>
  <r>
    <x v="0"/>
    <x v="8"/>
    <x v="0"/>
    <x v="0"/>
    <s v="DK1_Offshore"/>
    <x v="23"/>
    <n v="0.31515896120488701"/>
    <n v="8.7544155890246306E-2"/>
  </r>
  <r>
    <x v="0"/>
    <x v="8"/>
    <x v="0"/>
    <x v="0"/>
    <s v="DK1_Offshore"/>
    <x v="24"/>
    <n v="19.174223581093901"/>
    <n v="5.32617321697054"/>
  </r>
  <r>
    <x v="0"/>
    <x v="8"/>
    <x v="0"/>
    <x v="0"/>
    <s v="DK1_Offshore"/>
    <x v="25"/>
    <n v="22.356874337357301"/>
    <n v="6.2102428714881297"/>
  </r>
  <r>
    <x v="0"/>
    <x v="8"/>
    <x v="0"/>
    <x v="0"/>
    <s v="DK1_Offshore"/>
    <x v="26"/>
    <n v="29.6651032387655"/>
    <n v="8.2403064552126306"/>
  </r>
  <r>
    <x v="0"/>
    <x v="8"/>
    <x v="0"/>
    <x v="0"/>
    <s v="DK1_Offshore"/>
    <x v="27"/>
    <n v="20.163995508318798"/>
    <n v="5.6011098634218799"/>
  </r>
  <r>
    <x v="0"/>
    <x v="8"/>
    <x v="0"/>
    <x v="0"/>
    <s v="DK1_Rural"/>
    <x v="1"/>
    <n v="35.989199999999997"/>
    <n v="9.9969999999999999"/>
  </r>
  <r>
    <x v="0"/>
    <x v="8"/>
    <x v="0"/>
    <x v="0"/>
    <s v="DK1_Rural"/>
    <x v="2"/>
    <n v="48.384"/>
    <n v="13.44"/>
  </r>
  <r>
    <x v="0"/>
    <x v="8"/>
    <x v="0"/>
    <x v="0"/>
    <s v="DK1_Rural"/>
    <x v="0"/>
    <n v="42.692399999999999"/>
    <n v="11.859"/>
  </r>
  <r>
    <x v="0"/>
    <x v="8"/>
    <x v="0"/>
    <x v="0"/>
    <s v="DK1_Rural"/>
    <x v="3"/>
    <n v="51.633543144067197"/>
    <n v="14.342650873352"/>
  </r>
  <r>
    <x v="0"/>
    <x v="8"/>
    <x v="0"/>
    <x v="0"/>
    <s v="DK1_Rural"/>
    <x v="4"/>
    <n v="8.1139884009941898"/>
    <n v="2.2538856669428302"/>
  </r>
  <r>
    <x v="0"/>
    <x v="8"/>
    <x v="0"/>
    <x v="0"/>
    <s v="DK1_Rural"/>
    <x v="5"/>
    <n v="8.1139884009941898"/>
    <n v="2.2538856669428302"/>
  </r>
  <r>
    <x v="0"/>
    <x v="8"/>
    <x v="0"/>
    <x v="0"/>
    <s v="DK1_Rural"/>
    <x v="6"/>
    <n v="29.476231795214598"/>
    <n v="8.1878421653373898"/>
  </r>
  <r>
    <x v="0"/>
    <x v="8"/>
    <x v="0"/>
    <x v="0"/>
    <s v="DK1_Rural"/>
    <x v="7"/>
    <n v="57.838935220261199"/>
    <n v="16.066370894517"/>
  </r>
  <r>
    <x v="0"/>
    <x v="8"/>
    <x v="0"/>
    <x v="0"/>
    <s v="DK1_Rural"/>
    <x v="8"/>
    <n v="57.838935220261199"/>
    <n v="16.066370894517"/>
  </r>
  <r>
    <x v="0"/>
    <x v="8"/>
    <x v="0"/>
    <x v="0"/>
    <s v="DK1_Rural"/>
    <x v="9"/>
    <n v="44.803327257663497"/>
    <n v="12.4453686826843"/>
  </r>
  <r>
    <x v="0"/>
    <x v="8"/>
    <x v="0"/>
    <x v="0"/>
    <s v="DK1_Rural"/>
    <x v="10"/>
    <n v="54.681226180612903"/>
    <n v="15.1892294946147"/>
  </r>
  <r>
    <x v="0"/>
    <x v="8"/>
    <x v="0"/>
    <x v="0"/>
    <s v="DK1_Rural"/>
    <x v="11"/>
    <n v="3.8806031483015802"/>
    <n v="1.07794531897266"/>
  </r>
  <r>
    <x v="0"/>
    <x v="8"/>
    <x v="0"/>
    <x v="0"/>
    <s v="DK1_Rural"/>
    <x v="12"/>
    <n v="9.7995028997514597E-2"/>
    <n v="2.72208413881985E-2"/>
  </r>
  <r>
    <x v="0"/>
    <x v="8"/>
    <x v="0"/>
    <x v="0"/>
    <s v="DK1_Rural"/>
    <x v="13"/>
    <n v="21.5197083678542"/>
    <n v="5.9776967688483804"/>
  </r>
  <r>
    <x v="0"/>
    <x v="8"/>
    <x v="0"/>
    <x v="0"/>
    <s v="DK1_Rural"/>
    <x v="14"/>
    <n v="21.5197083678542"/>
    <n v="5.9776967688483804"/>
  </r>
  <r>
    <x v="0"/>
    <x v="8"/>
    <x v="0"/>
    <x v="0"/>
    <s v="DK1_Rural"/>
    <x v="15"/>
    <n v="1.65807589063794"/>
    <n v="0.46057663628831802"/>
  </r>
  <r>
    <x v="0"/>
    <x v="8"/>
    <x v="0"/>
    <x v="0"/>
    <s v="DK1_Rural"/>
    <x v="16"/>
    <n v="4.9884429139200002"/>
    <n v="1.3856785871999999"/>
  </r>
  <r>
    <x v="0"/>
    <x v="8"/>
    <x v="0"/>
    <x v="0"/>
    <s v="DK1_Rural"/>
    <x v="17"/>
    <n v="9.1244895875632395"/>
    <n v="2.5345804409897901"/>
  </r>
  <r>
    <x v="0"/>
    <x v="8"/>
    <x v="0"/>
    <x v="0"/>
    <s v="DK1_Rural"/>
    <x v="18"/>
    <n v="21.5197083678542"/>
    <n v="5.9776967688483804"/>
  </r>
  <r>
    <x v="0"/>
    <x v="8"/>
    <x v="0"/>
    <x v="0"/>
    <s v="DK1_Rural"/>
    <x v="19"/>
    <n v="8.1139884009941898"/>
    <n v="2.2538856669428302"/>
  </r>
  <r>
    <x v="0"/>
    <x v="8"/>
    <x v="0"/>
    <x v="0"/>
    <s v="DK1_Rural"/>
    <x v="20"/>
    <n v="19.336735244541"/>
    <n v="5.37131534570584"/>
  </r>
  <r>
    <x v="0"/>
    <x v="8"/>
    <x v="0"/>
    <x v="0"/>
    <s v="DK1_Rural"/>
    <x v="21"/>
    <n v="48.384"/>
    <n v="13.44"/>
  </r>
  <r>
    <x v="0"/>
    <x v="8"/>
    <x v="0"/>
    <x v="0"/>
    <s v="DK1_Rural"/>
    <x v="22"/>
    <n v="79.847999999999999"/>
    <n v="22.18"/>
  </r>
  <r>
    <x v="0"/>
    <x v="8"/>
    <x v="0"/>
    <x v="0"/>
    <s v="DK1_Rural"/>
    <x v="23"/>
    <n v="0.31515896120488701"/>
    <n v="8.7544155890246306E-2"/>
  </r>
  <r>
    <x v="0"/>
    <x v="8"/>
    <x v="0"/>
    <x v="0"/>
    <s v="DK1_Rural"/>
    <x v="24"/>
    <n v="19.174223581093901"/>
    <n v="5.32617321697054"/>
  </r>
  <r>
    <x v="0"/>
    <x v="8"/>
    <x v="0"/>
    <x v="0"/>
    <s v="DK1_Rural"/>
    <x v="25"/>
    <n v="22.356874337357301"/>
    <n v="6.2102428714881297"/>
  </r>
  <r>
    <x v="0"/>
    <x v="8"/>
    <x v="0"/>
    <x v="0"/>
    <s v="DK1_Rural"/>
    <x v="26"/>
    <n v="29.6651032387655"/>
    <n v="8.2403064552126306"/>
  </r>
  <r>
    <x v="0"/>
    <x v="8"/>
    <x v="0"/>
    <x v="0"/>
    <s v="DK1_Rural"/>
    <x v="27"/>
    <n v="20.163995508318798"/>
    <n v="5.6011098634218799"/>
  </r>
  <r>
    <x v="0"/>
    <x v="8"/>
    <x v="0"/>
    <x v="0"/>
    <s v="DK1_Small"/>
    <x v="1"/>
    <n v="35.989199999999997"/>
    <n v="9.9969999999999999"/>
  </r>
  <r>
    <x v="0"/>
    <x v="8"/>
    <x v="0"/>
    <x v="0"/>
    <s v="DK1_Small"/>
    <x v="2"/>
    <n v="48.384"/>
    <n v="13.44"/>
  </r>
  <r>
    <x v="0"/>
    <x v="8"/>
    <x v="0"/>
    <x v="0"/>
    <s v="DK1_Small"/>
    <x v="0"/>
    <n v="42.692399999999999"/>
    <n v="11.859"/>
  </r>
  <r>
    <x v="0"/>
    <x v="8"/>
    <x v="0"/>
    <x v="0"/>
    <s v="DK1_Small"/>
    <x v="3"/>
    <n v="51.633543144067197"/>
    <n v="14.342650873352"/>
  </r>
  <r>
    <x v="0"/>
    <x v="8"/>
    <x v="0"/>
    <x v="0"/>
    <s v="DK1_Small"/>
    <x v="4"/>
    <n v="8.1139884009941898"/>
    <n v="2.2538856669428302"/>
  </r>
  <r>
    <x v="0"/>
    <x v="8"/>
    <x v="0"/>
    <x v="0"/>
    <s v="DK1_Small"/>
    <x v="5"/>
    <n v="8.1139884009941898"/>
    <n v="2.2538856669428302"/>
  </r>
  <r>
    <x v="0"/>
    <x v="8"/>
    <x v="0"/>
    <x v="0"/>
    <s v="DK1_Small"/>
    <x v="6"/>
    <n v="29.476231795214598"/>
    <n v="8.1878421653373898"/>
  </r>
  <r>
    <x v="0"/>
    <x v="8"/>
    <x v="0"/>
    <x v="0"/>
    <s v="DK1_Small"/>
    <x v="7"/>
    <n v="57.838935220261199"/>
    <n v="16.066370894517"/>
  </r>
  <r>
    <x v="0"/>
    <x v="8"/>
    <x v="0"/>
    <x v="0"/>
    <s v="DK1_Small"/>
    <x v="8"/>
    <n v="57.838935220261199"/>
    <n v="16.066370894517"/>
  </r>
  <r>
    <x v="0"/>
    <x v="8"/>
    <x v="0"/>
    <x v="0"/>
    <s v="DK1_Small"/>
    <x v="9"/>
    <n v="44.803327257663497"/>
    <n v="12.4453686826843"/>
  </r>
  <r>
    <x v="0"/>
    <x v="8"/>
    <x v="0"/>
    <x v="0"/>
    <s v="DK1_Small"/>
    <x v="10"/>
    <n v="54.681226180612903"/>
    <n v="15.1892294946147"/>
  </r>
  <r>
    <x v="0"/>
    <x v="8"/>
    <x v="0"/>
    <x v="0"/>
    <s v="DK1_Small"/>
    <x v="11"/>
    <n v="3.8806031483015802"/>
    <n v="1.07794531897266"/>
  </r>
  <r>
    <x v="0"/>
    <x v="8"/>
    <x v="0"/>
    <x v="0"/>
    <s v="DK1_Small"/>
    <x v="12"/>
    <n v="9.7995028997514597E-2"/>
    <n v="2.72208413881985E-2"/>
  </r>
  <r>
    <x v="0"/>
    <x v="8"/>
    <x v="0"/>
    <x v="0"/>
    <s v="DK1_Small"/>
    <x v="13"/>
    <n v="21.5197083678542"/>
    <n v="5.9776967688483804"/>
  </r>
  <r>
    <x v="0"/>
    <x v="8"/>
    <x v="0"/>
    <x v="0"/>
    <s v="DK1_Small"/>
    <x v="14"/>
    <n v="21.5197083678542"/>
    <n v="5.9776967688483804"/>
  </r>
  <r>
    <x v="0"/>
    <x v="8"/>
    <x v="0"/>
    <x v="0"/>
    <s v="DK1_Small"/>
    <x v="15"/>
    <n v="1.65807589063794"/>
    <n v="0.46057663628831802"/>
  </r>
  <r>
    <x v="0"/>
    <x v="8"/>
    <x v="0"/>
    <x v="0"/>
    <s v="DK1_Small"/>
    <x v="16"/>
    <n v="4.9884429139200002"/>
    <n v="1.3856785871999999"/>
  </r>
  <r>
    <x v="0"/>
    <x v="8"/>
    <x v="0"/>
    <x v="0"/>
    <s v="DK1_Small"/>
    <x v="17"/>
    <n v="9.1244895875632395"/>
    <n v="2.5345804409897901"/>
  </r>
  <r>
    <x v="0"/>
    <x v="8"/>
    <x v="0"/>
    <x v="0"/>
    <s v="DK1_Small"/>
    <x v="18"/>
    <n v="21.5197083678542"/>
    <n v="5.9776967688483804"/>
  </r>
  <r>
    <x v="0"/>
    <x v="8"/>
    <x v="0"/>
    <x v="0"/>
    <s v="DK1_Small"/>
    <x v="19"/>
    <n v="8.1139884009941898"/>
    <n v="2.2538856669428302"/>
  </r>
  <r>
    <x v="0"/>
    <x v="8"/>
    <x v="0"/>
    <x v="0"/>
    <s v="DK1_Small"/>
    <x v="20"/>
    <n v="19.336735244541"/>
    <n v="5.37131534570584"/>
  </r>
  <r>
    <x v="0"/>
    <x v="8"/>
    <x v="0"/>
    <x v="0"/>
    <s v="DK1_Small"/>
    <x v="21"/>
    <n v="48.384"/>
    <n v="13.44"/>
  </r>
  <r>
    <x v="0"/>
    <x v="8"/>
    <x v="0"/>
    <x v="0"/>
    <s v="DK1_Small"/>
    <x v="22"/>
    <n v="79.847999999999999"/>
    <n v="22.18"/>
  </r>
  <r>
    <x v="0"/>
    <x v="8"/>
    <x v="0"/>
    <x v="0"/>
    <s v="DK1_Small"/>
    <x v="23"/>
    <n v="0.31515896120488701"/>
    <n v="8.7544155890246306E-2"/>
  </r>
  <r>
    <x v="0"/>
    <x v="8"/>
    <x v="0"/>
    <x v="0"/>
    <s v="DK1_Small"/>
    <x v="24"/>
    <n v="19.174223581093901"/>
    <n v="5.32617321697054"/>
  </r>
  <r>
    <x v="0"/>
    <x v="8"/>
    <x v="0"/>
    <x v="0"/>
    <s v="DK1_Small"/>
    <x v="25"/>
    <n v="22.356874337357301"/>
    <n v="6.2102428714881297"/>
  </r>
  <r>
    <x v="0"/>
    <x v="8"/>
    <x v="0"/>
    <x v="0"/>
    <s v="DK1_Small"/>
    <x v="26"/>
    <n v="29.6651032387655"/>
    <n v="8.2403064552126306"/>
  </r>
  <r>
    <x v="0"/>
    <x v="8"/>
    <x v="0"/>
    <x v="0"/>
    <s v="DK1_Small"/>
    <x v="27"/>
    <n v="20.163995508318798"/>
    <n v="5.6011098634218799"/>
  </r>
  <r>
    <x v="0"/>
    <x v="8"/>
    <x v="0"/>
    <x v="1"/>
    <s v="DK2_Large"/>
    <x v="1"/>
    <n v="35.989199999999997"/>
    <n v="9.9969999999999999"/>
  </r>
  <r>
    <x v="0"/>
    <x v="8"/>
    <x v="0"/>
    <x v="1"/>
    <s v="DK2_Large"/>
    <x v="2"/>
    <n v="48.384"/>
    <n v="13.44"/>
  </r>
  <r>
    <x v="0"/>
    <x v="8"/>
    <x v="0"/>
    <x v="1"/>
    <s v="DK2_Large"/>
    <x v="0"/>
    <n v="42.692399999999999"/>
    <n v="11.859"/>
  </r>
  <r>
    <x v="0"/>
    <x v="8"/>
    <x v="0"/>
    <x v="1"/>
    <s v="DK2_Large"/>
    <x v="3"/>
    <n v="51.633543144067197"/>
    <n v="14.342650873352"/>
  </r>
  <r>
    <x v="0"/>
    <x v="8"/>
    <x v="0"/>
    <x v="1"/>
    <s v="DK2_Large"/>
    <x v="4"/>
    <n v="8.1139884009941898"/>
    <n v="2.2538856669428302"/>
  </r>
  <r>
    <x v="0"/>
    <x v="8"/>
    <x v="0"/>
    <x v="1"/>
    <s v="DK2_Large"/>
    <x v="5"/>
    <n v="8.1139884009941898"/>
    <n v="2.2538856669428302"/>
  </r>
  <r>
    <x v="0"/>
    <x v="8"/>
    <x v="0"/>
    <x v="1"/>
    <s v="DK2_Large"/>
    <x v="6"/>
    <n v="29.476231795214598"/>
    <n v="8.1878421653373898"/>
  </r>
  <r>
    <x v="0"/>
    <x v="8"/>
    <x v="0"/>
    <x v="1"/>
    <s v="DK2_Large"/>
    <x v="7"/>
    <n v="57.838935220261199"/>
    <n v="16.066370894517"/>
  </r>
  <r>
    <x v="0"/>
    <x v="8"/>
    <x v="0"/>
    <x v="1"/>
    <s v="DK2_Large"/>
    <x v="8"/>
    <n v="57.838935220261199"/>
    <n v="16.066370894517"/>
  </r>
  <r>
    <x v="0"/>
    <x v="8"/>
    <x v="0"/>
    <x v="1"/>
    <s v="DK2_Large"/>
    <x v="9"/>
    <n v="44.803327257663497"/>
    <n v="12.4453686826843"/>
  </r>
  <r>
    <x v="0"/>
    <x v="8"/>
    <x v="0"/>
    <x v="1"/>
    <s v="DK2_Large"/>
    <x v="10"/>
    <n v="54.681226180612903"/>
    <n v="15.1892294946147"/>
  </r>
  <r>
    <x v="0"/>
    <x v="8"/>
    <x v="0"/>
    <x v="1"/>
    <s v="DK2_Large"/>
    <x v="11"/>
    <n v="3.8806031483015802"/>
    <n v="1.07794531897266"/>
  </r>
  <r>
    <x v="0"/>
    <x v="8"/>
    <x v="0"/>
    <x v="1"/>
    <s v="DK2_Large"/>
    <x v="12"/>
    <n v="9.7995028997514597E-2"/>
    <n v="2.72208413881985E-2"/>
  </r>
  <r>
    <x v="0"/>
    <x v="8"/>
    <x v="0"/>
    <x v="1"/>
    <s v="DK2_Large"/>
    <x v="13"/>
    <n v="21.5197083678542"/>
    <n v="5.9776967688483804"/>
  </r>
  <r>
    <x v="0"/>
    <x v="8"/>
    <x v="0"/>
    <x v="1"/>
    <s v="DK2_Large"/>
    <x v="14"/>
    <n v="21.5197083678542"/>
    <n v="5.9776967688483804"/>
  </r>
  <r>
    <x v="0"/>
    <x v="8"/>
    <x v="0"/>
    <x v="1"/>
    <s v="DK2_Large"/>
    <x v="15"/>
    <n v="1.65807589063794"/>
    <n v="0.46057663628831802"/>
  </r>
  <r>
    <x v="0"/>
    <x v="8"/>
    <x v="0"/>
    <x v="1"/>
    <s v="DK2_Large"/>
    <x v="16"/>
    <n v="4.9884429139200002"/>
    <n v="1.3856785871999999"/>
  </r>
  <r>
    <x v="0"/>
    <x v="8"/>
    <x v="0"/>
    <x v="1"/>
    <s v="DK2_Large"/>
    <x v="17"/>
    <n v="9.1244895875632395"/>
    <n v="2.5345804409897901"/>
  </r>
  <r>
    <x v="0"/>
    <x v="8"/>
    <x v="0"/>
    <x v="1"/>
    <s v="DK2_Large"/>
    <x v="18"/>
    <n v="21.5197083678542"/>
    <n v="5.9776967688483804"/>
  </r>
  <r>
    <x v="0"/>
    <x v="8"/>
    <x v="0"/>
    <x v="1"/>
    <s v="DK2_Large"/>
    <x v="19"/>
    <n v="8.1139884009941898"/>
    <n v="2.2538856669428302"/>
  </r>
  <r>
    <x v="0"/>
    <x v="8"/>
    <x v="0"/>
    <x v="1"/>
    <s v="DK2_Large"/>
    <x v="20"/>
    <n v="19.336735244541"/>
    <n v="5.37131534570584"/>
  </r>
  <r>
    <x v="0"/>
    <x v="8"/>
    <x v="0"/>
    <x v="1"/>
    <s v="DK2_Large"/>
    <x v="21"/>
    <n v="48.384"/>
    <n v="13.44"/>
  </r>
  <r>
    <x v="0"/>
    <x v="8"/>
    <x v="0"/>
    <x v="1"/>
    <s v="DK2_Large"/>
    <x v="22"/>
    <n v="79.847999999999999"/>
    <n v="22.18"/>
  </r>
  <r>
    <x v="0"/>
    <x v="8"/>
    <x v="0"/>
    <x v="1"/>
    <s v="DK2_Large"/>
    <x v="23"/>
    <n v="0.31515896120488701"/>
    <n v="8.7544155890246306E-2"/>
  </r>
  <r>
    <x v="0"/>
    <x v="8"/>
    <x v="0"/>
    <x v="1"/>
    <s v="DK2_Large"/>
    <x v="24"/>
    <n v="19.174223581093901"/>
    <n v="5.32617321697054"/>
  </r>
  <r>
    <x v="0"/>
    <x v="8"/>
    <x v="0"/>
    <x v="1"/>
    <s v="DK2_Large"/>
    <x v="25"/>
    <n v="22.356874337357301"/>
    <n v="6.2102428714881297"/>
  </r>
  <r>
    <x v="0"/>
    <x v="8"/>
    <x v="0"/>
    <x v="1"/>
    <s v="DK2_Large"/>
    <x v="26"/>
    <n v="29.6651032387655"/>
    <n v="8.2403064552126306"/>
  </r>
  <r>
    <x v="0"/>
    <x v="8"/>
    <x v="0"/>
    <x v="1"/>
    <s v="DK2_Large"/>
    <x v="27"/>
    <n v="20.163995508318798"/>
    <n v="5.6011098634218799"/>
  </r>
  <r>
    <x v="0"/>
    <x v="8"/>
    <x v="0"/>
    <x v="1"/>
    <s v="DK2_Large_PHH"/>
    <x v="1"/>
    <n v="35.989199999999997"/>
    <n v="9.9969999999999999"/>
  </r>
  <r>
    <x v="0"/>
    <x v="8"/>
    <x v="0"/>
    <x v="1"/>
    <s v="DK2_Large_PHH"/>
    <x v="2"/>
    <n v="48.384"/>
    <n v="13.44"/>
  </r>
  <r>
    <x v="0"/>
    <x v="8"/>
    <x v="0"/>
    <x v="1"/>
    <s v="DK2_Large_PHH"/>
    <x v="0"/>
    <n v="42.692399999999999"/>
    <n v="11.859"/>
  </r>
  <r>
    <x v="0"/>
    <x v="8"/>
    <x v="0"/>
    <x v="1"/>
    <s v="DK2_Large_PHH"/>
    <x v="3"/>
    <n v="51.633543144067197"/>
    <n v="14.342650873352"/>
  </r>
  <r>
    <x v="0"/>
    <x v="8"/>
    <x v="0"/>
    <x v="1"/>
    <s v="DK2_Large_PHH"/>
    <x v="4"/>
    <n v="8.1139884009941898"/>
    <n v="2.2538856669428302"/>
  </r>
  <r>
    <x v="0"/>
    <x v="8"/>
    <x v="0"/>
    <x v="1"/>
    <s v="DK2_Large_PHH"/>
    <x v="5"/>
    <n v="8.1139884009941898"/>
    <n v="2.2538856669428302"/>
  </r>
  <r>
    <x v="0"/>
    <x v="8"/>
    <x v="0"/>
    <x v="1"/>
    <s v="DK2_Large_PHH"/>
    <x v="6"/>
    <n v="29.476231795214598"/>
    <n v="8.1878421653373898"/>
  </r>
  <r>
    <x v="0"/>
    <x v="8"/>
    <x v="0"/>
    <x v="1"/>
    <s v="DK2_Large_PHH"/>
    <x v="7"/>
    <n v="57.838935220261199"/>
    <n v="16.066370894517"/>
  </r>
  <r>
    <x v="0"/>
    <x v="8"/>
    <x v="0"/>
    <x v="1"/>
    <s v="DK2_Large_PHH"/>
    <x v="8"/>
    <n v="57.838935220261199"/>
    <n v="16.066370894517"/>
  </r>
  <r>
    <x v="0"/>
    <x v="8"/>
    <x v="0"/>
    <x v="1"/>
    <s v="DK2_Large_PHH"/>
    <x v="9"/>
    <n v="44.803327257663497"/>
    <n v="12.4453686826843"/>
  </r>
  <r>
    <x v="0"/>
    <x v="8"/>
    <x v="0"/>
    <x v="1"/>
    <s v="DK2_Large_PHH"/>
    <x v="10"/>
    <n v="54.681226180612903"/>
    <n v="15.1892294946147"/>
  </r>
  <r>
    <x v="0"/>
    <x v="8"/>
    <x v="0"/>
    <x v="1"/>
    <s v="DK2_Large_PHH"/>
    <x v="11"/>
    <n v="3.8806031483015802"/>
    <n v="1.07794531897266"/>
  </r>
  <r>
    <x v="0"/>
    <x v="8"/>
    <x v="0"/>
    <x v="1"/>
    <s v="DK2_Large_PHH"/>
    <x v="12"/>
    <n v="9.7995028997514597E-2"/>
    <n v="2.72208413881985E-2"/>
  </r>
  <r>
    <x v="0"/>
    <x v="8"/>
    <x v="0"/>
    <x v="1"/>
    <s v="DK2_Large_PHH"/>
    <x v="13"/>
    <n v="21.5197083678542"/>
    <n v="5.9776967688483804"/>
  </r>
  <r>
    <x v="0"/>
    <x v="8"/>
    <x v="0"/>
    <x v="1"/>
    <s v="DK2_Large_PHH"/>
    <x v="14"/>
    <n v="21.5197083678542"/>
    <n v="5.9776967688483804"/>
  </r>
  <r>
    <x v="0"/>
    <x v="8"/>
    <x v="0"/>
    <x v="1"/>
    <s v="DK2_Large_PHH"/>
    <x v="15"/>
    <n v="1.65807589063794"/>
    <n v="0.46057663628831802"/>
  </r>
  <r>
    <x v="0"/>
    <x v="8"/>
    <x v="0"/>
    <x v="1"/>
    <s v="DK2_Large_PHH"/>
    <x v="16"/>
    <n v="4.9884429139200002"/>
    <n v="1.3856785871999999"/>
  </r>
  <r>
    <x v="0"/>
    <x v="8"/>
    <x v="0"/>
    <x v="1"/>
    <s v="DK2_Large_PHH"/>
    <x v="17"/>
    <n v="9.1244895875632395"/>
    <n v="2.5345804409897901"/>
  </r>
  <r>
    <x v="0"/>
    <x v="8"/>
    <x v="0"/>
    <x v="1"/>
    <s v="DK2_Large_PHH"/>
    <x v="18"/>
    <n v="21.5197083678542"/>
    <n v="5.9776967688483804"/>
  </r>
  <r>
    <x v="0"/>
    <x v="8"/>
    <x v="0"/>
    <x v="1"/>
    <s v="DK2_Large_PHH"/>
    <x v="19"/>
    <n v="8.1139884009941898"/>
    <n v="2.2538856669428302"/>
  </r>
  <r>
    <x v="0"/>
    <x v="8"/>
    <x v="0"/>
    <x v="1"/>
    <s v="DK2_Large_PHH"/>
    <x v="20"/>
    <n v="19.336735244541"/>
    <n v="5.37131534570584"/>
  </r>
  <r>
    <x v="0"/>
    <x v="8"/>
    <x v="0"/>
    <x v="1"/>
    <s v="DK2_Large_PHH"/>
    <x v="21"/>
    <n v="48.384"/>
    <n v="13.44"/>
  </r>
  <r>
    <x v="0"/>
    <x v="8"/>
    <x v="0"/>
    <x v="1"/>
    <s v="DK2_Large_PHH"/>
    <x v="22"/>
    <n v="79.847999999999999"/>
    <n v="22.18"/>
  </r>
  <r>
    <x v="0"/>
    <x v="8"/>
    <x v="0"/>
    <x v="1"/>
    <s v="DK2_Large_PHH"/>
    <x v="23"/>
    <n v="0.31515896120488701"/>
    <n v="8.7544155890246306E-2"/>
  </r>
  <r>
    <x v="0"/>
    <x v="8"/>
    <x v="0"/>
    <x v="1"/>
    <s v="DK2_Large_PHH"/>
    <x v="24"/>
    <n v="19.174223581093901"/>
    <n v="5.32617321697054"/>
  </r>
  <r>
    <x v="0"/>
    <x v="8"/>
    <x v="0"/>
    <x v="1"/>
    <s v="DK2_Large_PHH"/>
    <x v="25"/>
    <n v="22.356874337357301"/>
    <n v="6.2102428714881297"/>
  </r>
  <r>
    <x v="0"/>
    <x v="8"/>
    <x v="0"/>
    <x v="1"/>
    <s v="DK2_Large_PHH"/>
    <x v="26"/>
    <n v="29.6651032387655"/>
    <n v="8.2403064552126306"/>
  </r>
  <r>
    <x v="0"/>
    <x v="8"/>
    <x v="0"/>
    <x v="1"/>
    <s v="DK2_Large_PHH"/>
    <x v="27"/>
    <n v="20.163995508318798"/>
    <n v="5.6011098634218799"/>
  </r>
  <r>
    <x v="0"/>
    <x v="8"/>
    <x v="0"/>
    <x v="1"/>
    <s v="DK2_Large_PHL"/>
    <x v="1"/>
    <n v="35.989199999999997"/>
    <n v="9.9969999999999999"/>
  </r>
  <r>
    <x v="0"/>
    <x v="8"/>
    <x v="0"/>
    <x v="1"/>
    <s v="DK2_Large_PHL"/>
    <x v="2"/>
    <n v="48.384"/>
    <n v="13.44"/>
  </r>
  <r>
    <x v="0"/>
    <x v="8"/>
    <x v="0"/>
    <x v="1"/>
    <s v="DK2_Large_PHL"/>
    <x v="0"/>
    <n v="42.692399999999999"/>
    <n v="11.859"/>
  </r>
  <r>
    <x v="0"/>
    <x v="8"/>
    <x v="0"/>
    <x v="1"/>
    <s v="DK2_Large_PHL"/>
    <x v="3"/>
    <n v="51.633543144067197"/>
    <n v="14.342650873352"/>
  </r>
  <r>
    <x v="0"/>
    <x v="8"/>
    <x v="0"/>
    <x v="1"/>
    <s v="DK2_Large_PHL"/>
    <x v="4"/>
    <n v="8.1139884009941898"/>
    <n v="2.2538856669428302"/>
  </r>
  <r>
    <x v="0"/>
    <x v="8"/>
    <x v="0"/>
    <x v="1"/>
    <s v="DK2_Large_PHL"/>
    <x v="5"/>
    <n v="8.1139884009941898"/>
    <n v="2.2538856669428302"/>
  </r>
  <r>
    <x v="0"/>
    <x v="8"/>
    <x v="0"/>
    <x v="1"/>
    <s v="DK2_Large_PHL"/>
    <x v="6"/>
    <n v="29.476231795214598"/>
    <n v="8.1878421653373898"/>
  </r>
  <r>
    <x v="0"/>
    <x v="8"/>
    <x v="0"/>
    <x v="1"/>
    <s v="DK2_Large_PHL"/>
    <x v="7"/>
    <n v="57.838935220261199"/>
    <n v="16.066370894517"/>
  </r>
  <r>
    <x v="0"/>
    <x v="8"/>
    <x v="0"/>
    <x v="1"/>
    <s v="DK2_Large_PHL"/>
    <x v="8"/>
    <n v="57.838935220261199"/>
    <n v="16.066370894517"/>
  </r>
  <r>
    <x v="0"/>
    <x v="8"/>
    <x v="0"/>
    <x v="1"/>
    <s v="DK2_Large_PHL"/>
    <x v="9"/>
    <n v="44.803327257663497"/>
    <n v="12.4453686826843"/>
  </r>
  <r>
    <x v="0"/>
    <x v="8"/>
    <x v="0"/>
    <x v="1"/>
    <s v="DK2_Large_PHL"/>
    <x v="10"/>
    <n v="54.681226180612903"/>
    <n v="15.1892294946147"/>
  </r>
  <r>
    <x v="0"/>
    <x v="8"/>
    <x v="0"/>
    <x v="1"/>
    <s v="DK2_Large_PHL"/>
    <x v="11"/>
    <n v="3.8806031483015802"/>
    <n v="1.07794531897266"/>
  </r>
  <r>
    <x v="0"/>
    <x v="8"/>
    <x v="0"/>
    <x v="1"/>
    <s v="DK2_Large_PHL"/>
    <x v="12"/>
    <n v="9.7995028997514597E-2"/>
    <n v="2.72208413881985E-2"/>
  </r>
  <r>
    <x v="0"/>
    <x v="8"/>
    <x v="0"/>
    <x v="1"/>
    <s v="DK2_Large_PHL"/>
    <x v="13"/>
    <n v="21.5197083678542"/>
    <n v="5.9776967688483804"/>
  </r>
  <r>
    <x v="0"/>
    <x v="8"/>
    <x v="0"/>
    <x v="1"/>
    <s v="DK2_Large_PHL"/>
    <x v="14"/>
    <n v="21.5197083678542"/>
    <n v="5.9776967688483804"/>
  </r>
  <r>
    <x v="0"/>
    <x v="8"/>
    <x v="0"/>
    <x v="1"/>
    <s v="DK2_Large_PHL"/>
    <x v="15"/>
    <n v="1.65807589063794"/>
    <n v="0.46057663628831802"/>
  </r>
  <r>
    <x v="0"/>
    <x v="8"/>
    <x v="0"/>
    <x v="1"/>
    <s v="DK2_Large_PHL"/>
    <x v="16"/>
    <n v="4.9884429139200002"/>
    <n v="1.3856785871999999"/>
  </r>
  <r>
    <x v="0"/>
    <x v="8"/>
    <x v="0"/>
    <x v="1"/>
    <s v="DK2_Large_PHL"/>
    <x v="17"/>
    <n v="9.1244895875632395"/>
    <n v="2.5345804409897901"/>
  </r>
  <r>
    <x v="0"/>
    <x v="8"/>
    <x v="0"/>
    <x v="1"/>
    <s v="DK2_Large_PHL"/>
    <x v="18"/>
    <n v="21.5197083678542"/>
    <n v="5.9776967688483804"/>
  </r>
  <r>
    <x v="0"/>
    <x v="8"/>
    <x v="0"/>
    <x v="1"/>
    <s v="DK2_Large_PHL"/>
    <x v="19"/>
    <n v="8.1139884009941898"/>
    <n v="2.2538856669428302"/>
  </r>
  <r>
    <x v="0"/>
    <x v="8"/>
    <x v="0"/>
    <x v="1"/>
    <s v="DK2_Large_PHL"/>
    <x v="20"/>
    <n v="19.336735244541"/>
    <n v="5.37131534570584"/>
  </r>
  <r>
    <x v="0"/>
    <x v="8"/>
    <x v="0"/>
    <x v="1"/>
    <s v="DK2_Large_PHL"/>
    <x v="21"/>
    <n v="48.384"/>
    <n v="13.44"/>
  </r>
  <r>
    <x v="0"/>
    <x v="8"/>
    <x v="0"/>
    <x v="1"/>
    <s v="DK2_Large_PHL"/>
    <x v="22"/>
    <n v="79.847999999999999"/>
    <n v="22.18"/>
  </r>
  <r>
    <x v="0"/>
    <x v="8"/>
    <x v="0"/>
    <x v="1"/>
    <s v="DK2_Large_PHL"/>
    <x v="23"/>
    <n v="0.31515896120488701"/>
    <n v="8.7544155890246306E-2"/>
  </r>
  <r>
    <x v="0"/>
    <x v="8"/>
    <x v="0"/>
    <x v="1"/>
    <s v="DK2_Large_PHL"/>
    <x v="24"/>
    <n v="19.174223581093901"/>
    <n v="5.32617321697054"/>
  </r>
  <r>
    <x v="0"/>
    <x v="8"/>
    <x v="0"/>
    <x v="1"/>
    <s v="DK2_Large_PHL"/>
    <x v="25"/>
    <n v="22.356874337357301"/>
    <n v="6.2102428714881297"/>
  </r>
  <r>
    <x v="0"/>
    <x v="8"/>
    <x v="0"/>
    <x v="1"/>
    <s v="DK2_Large_PHL"/>
    <x v="26"/>
    <n v="29.6651032387655"/>
    <n v="8.2403064552126306"/>
  </r>
  <r>
    <x v="0"/>
    <x v="8"/>
    <x v="0"/>
    <x v="1"/>
    <s v="DK2_Large_PHL"/>
    <x v="27"/>
    <n v="20.163995508318798"/>
    <n v="5.6011098634218799"/>
  </r>
  <r>
    <x v="0"/>
    <x v="8"/>
    <x v="0"/>
    <x v="1"/>
    <s v="DK2_MedSmall"/>
    <x v="1"/>
    <n v="35.989199999999997"/>
    <n v="9.9969999999999999"/>
  </r>
  <r>
    <x v="0"/>
    <x v="8"/>
    <x v="0"/>
    <x v="1"/>
    <s v="DK2_MedSmall"/>
    <x v="2"/>
    <n v="48.384"/>
    <n v="13.44"/>
  </r>
  <r>
    <x v="0"/>
    <x v="8"/>
    <x v="0"/>
    <x v="1"/>
    <s v="DK2_MedSmall"/>
    <x v="0"/>
    <n v="42.692399999999999"/>
    <n v="11.859"/>
  </r>
  <r>
    <x v="0"/>
    <x v="8"/>
    <x v="0"/>
    <x v="1"/>
    <s v="DK2_MedSmall"/>
    <x v="3"/>
    <n v="51.633543144067197"/>
    <n v="14.342650873352"/>
  </r>
  <r>
    <x v="0"/>
    <x v="8"/>
    <x v="0"/>
    <x v="1"/>
    <s v="DK2_MedSmall"/>
    <x v="4"/>
    <n v="8.1139884009941898"/>
    <n v="2.2538856669428302"/>
  </r>
  <r>
    <x v="0"/>
    <x v="8"/>
    <x v="0"/>
    <x v="1"/>
    <s v="DK2_MedSmall"/>
    <x v="5"/>
    <n v="8.1139884009941898"/>
    <n v="2.2538856669428302"/>
  </r>
  <r>
    <x v="0"/>
    <x v="8"/>
    <x v="0"/>
    <x v="1"/>
    <s v="DK2_MedSmall"/>
    <x v="6"/>
    <n v="29.476231795214598"/>
    <n v="8.1878421653373898"/>
  </r>
  <r>
    <x v="0"/>
    <x v="8"/>
    <x v="0"/>
    <x v="1"/>
    <s v="DK2_MedSmall"/>
    <x v="7"/>
    <n v="57.838935220261199"/>
    <n v="16.066370894517"/>
  </r>
  <r>
    <x v="0"/>
    <x v="8"/>
    <x v="0"/>
    <x v="1"/>
    <s v="DK2_MedSmall"/>
    <x v="8"/>
    <n v="57.838935220261199"/>
    <n v="16.066370894517"/>
  </r>
  <r>
    <x v="0"/>
    <x v="8"/>
    <x v="0"/>
    <x v="1"/>
    <s v="DK2_MedSmall"/>
    <x v="9"/>
    <n v="44.803327257663497"/>
    <n v="12.4453686826843"/>
  </r>
  <r>
    <x v="0"/>
    <x v="8"/>
    <x v="0"/>
    <x v="1"/>
    <s v="DK2_MedSmall"/>
    <x v="10"/>
    <n v="54.681226180612903"/>
    <n v="15.1892294946147"/>
  </r>
  <r>
    <x v="0"/>
    <x v="8"/>
    <x v="0"/>
    <x v="1"/>
    <s v="DK2_MedSmall"/>
    <x v="11"/>
    <n v="3.8806031483015802"/>
    <n v="1.07794531897266"/>
  </r>
  <r>
    <x v="0"/>
    <x v="8"/>
    <x v="0"/>
    <x v="1"/>
    <s v="DK2_MedSmall"/>
    <x v="12"/>
    <n v="9.7995028997514597E-2"/>
    <n v="2.72208413881985E-2"/>
  </r>
  <r>
    <x v="0"/>
    <x v="8"/>
    <x v="0"/>
    <x v="1"/>
    <s v="DK2_MedSmall"/>
    <x v="13"/>
    <n v="21.5197083678542"/>
    <n v="5.9776967688483804"/>
  </r>
  <r>
    <x v="0"/>
    <x v="8"/>
    <x v="0"/>
    <x v="1"/>
    <s v="DK2_MedSmall"/>
    <x v="14"/>
    <n v="21.5197083678542"/>
    <n v="5.9776967688483804"/>
  </r>
  <r>
    <x v="0"/>
    <x v="8"/>
    <x v="0"/>
    <x v="1"/>
    <s v="DK2_MedSmall"/>
    <x v="15"/>
    <n v="1.65807589063794"/>
    <n v="0.46057663628831802"/>
  </r>
  <r>
    <x v="0"/>
    <x v="8"/>
    <x v="0"/>
    <x v="1"/>
    <s v="DK2_MedSmall"/>
    <x v="16"/>
    <n v="4.9884429139200002"/>
    <n v="1.3856785871999999"/>
  </r>
  <r>
    <x v="0"/>
    <x v="8"/>
    <x v="0"/>
    <x v="1"/>
    <s v="DK2_MedSmall"/>
    <x v="17"/>
    <n v="9.1244895875632395"/>
    <n v="2.5345804409897901"/>
  </r>
  <r>
    <x v="0"/>
    <x v="8"/>
    <x v="0"/>
    <x v="1"/>
    <s v="DK2_MedSmall"/>
    <x v="18"/>
    <n v="21.5197083678542"/>
    <n v="5.9776967688483804"/>
  </r>
  <r>
    <x v="0"/>
    <x v="8"/>
    <x v="0"/>
    <x v="1"/>
    <s v="DK2_MedSmall"/>
    <x v="19"/>
    <n v="8.1139884009941898"/>
    <n v="2.2538856669428302"/>
  </r>
  <r>
    <x v="0"/>
    <x v="8"/>
    <x v="0"/>
    <x v="1"/>
    <s v="DK2_MedSmall"/>
    <x v="20"/>
    <n v="19.336735244541"/>
    <n v="5.37131534570584"/>
  </r>
  <r>
    <x v="0"/>
    <x v="8"/>
    <x v="0"/>
    <x v="1"/>
    <s v="DK2_MedSmall"/>
    <x v="21"/>
    <n v="48.384"/>
    <n v="13.44"/>
  </r>
  <r>
    <x v="0"/>
    <x v="8"/>
    <x v="0"/>
    <x v="1"/>
    <s v="DK2_MedSmall"/>
    <x v="22"/>
    <n v="79.847999999999999"/>
    <n v="22.18"/>
  </r>
  <r>
    <x v="0"/>
    <x v="8"/>
    <x v="0"/>
    <x v="1"/>
    <s v="DK2_MedSmall"/>
    <x v="23"/>
    <n v="0.31515896120488701"/>
    <n v="8.7544155890246306E-2"/>
  </r>
  <r>
    <x v="0"/>
    <x v="8"/>
    <x v="0"/>
    <x v="1"/>
    <s v="DK2_MedSmall"/>
    <x v="24"/>
    <n v="19.174223581093901"/>
    <n v="5.32617321697054"/>
  </r>
  <r>
    <x v="0"/>
    <x v="8"/>
    <x v="0"/>
    <x v="1"/>
    <s v="DK2_MedSmall"/>
    <x v="25"/>
    <n v="22.356874337357301"/>
    <n v="6.2102428714881297"/>
  </r>
  <r>
    <x v="0"/>
    <x v="8"/>
    <x v="0"/>
    <x v="1"/>
    <s v="DK2_MedSmall"/>
    <x v="26"/>
    <n v="29.6651032387655"/>
    <n v="8.2403064552126306"/>
  </r>
  <r>
    <x v="0"/>
    <x v="8"/>
    <x v="0"/>
    <x v="1"/>
    <s v="DK2_MedSmall"/>
    <x v="27"/>
    <n v="20.163995508318798"/>
    <n v="5.6011098634218799"/>
  </r>
  <r>
    <x v="0"/>
    <x v="8"/>
    <x v="0"/>
    <x v="1"/>
    <s v="DK2_Medium"/>
    <x v="1"/>
    <n v="35.989199999999997"/>
    <n v="9.9969999999999999"/>
  </r>
  <r>
    <x v="0"/>
    <x v="8"/>
    <x v="0"/>
    <x v="1"/>
    <s v="DK2_Medium"/>
    <x v="2"/>
    <n v="48.384"/>
    <n v="13.44"/>
  </r>
  <r>
    <x v="0"/>
    <x v="8"/>
    <x v="0"/>
    <x v="1"/>
    <s v="DK2_Medium"/>
    <x v="0"/>
    <n v="42.692399999999999"/>
    <n v="11.859"/>
  </r>
  <r>
    <x v="0"/>
    <x v="8"/>
    <x v="0"/>
    <x v="1"/>
    <s v="DK2_Medium"/>
    <x v="3"/>
    <n v="51.633543144067197"/>
    <n v="14.342650873352"/>
  </r>
  <r>
    <x v="0"/>
    <x v="8"/>
    <x v="0"/>
    <x v="1"/>
    <s v="DK2_Medium"/>
    <x v="4"/>
    <n v="8.1139884009941898"/>
    <n v="2.2538856669428302"/>
  </r>
  <r>
    <x v="0"/>
    <x v="8"/>
    <x v="0"/>
    <x v="1"/>
    <s v="DK2_Medium"/>
    <x v="5"/>
    <n v="8.1139884009941898"/>
    <n v="2.2538856669428302"/>
  </r>
  <r>
    <x v="0"/>
    <x v="8"/>
    <x v="0"/>
    <x v="1"/>
    <s v="DK2_Medium"/>
    <x v="6"/>
    <n v="29.476231795214598"/>
    <n v="8.1878421653373898"/>
  </r>
  <r>
    <x v="0"/>
    <x v="8"/>
    <x v="0"/>
    <x v="1"/>
    <s v="DK2_Medium"/>
    <x v="7"/>
    <n v="57.838935220261199"/>
    <n v="16.066370894517"/>
  </r>
  <r>
    <x v="0"/>
    <x v="8"/>
    <x v="0"/>
    <x v="1"/>
    <s v="DK2_Medium"/>
    <x v="8"/>
    <n v="57.838935220261199"/>
    <n v="16.066370894517"/>
  </r>
  <r>
    <x v="0"/>
    <x v="8"/>
    <x v="0"/>
    <x v="1"/>
    <s v="DK2_Medium"/>
    <x v="9"/>
    <n v="44.803327257663497"/>
    <n v="12.4453686826843"/>
  </r>
  <r>
    <x v="0"/>
    <x v="8"/>
    <x v="0"/>
    <x v="1"/>
    <s v="DK2_Medium"/>
    <x v="10"/>
    <n v="54.681226180612903"/>
    <n v="15.1892294946147"/>
  </r>
  <r>
    <x v="0"/>
    <x v="8"/>
    <x v="0"/>
    <x v="1"/>
    <s v="DK2_Medium"/>
    <x v="11"/>
    <n v="3.8806031483015802"/>
    <n v="1.07794531897266"/>
  </r>
  <r>
    <x v="0"/>
    <x v="8"/>
    <x v="0"/>
    <x v="1"/>
    <s v="DK2_Medium"/>
    <x v="12"/>
    <n v="9.7995028997514597E-2"/>
    <n v="2.72208413881985E-2"/>
  </r>
  <r>
    <x v="0"/>
    <x v="8"/>
    <x v="0"/>
    <x v="1"/>
    <s v="DK2_Medium"/>
    <x v="13"/>
    <n v="21.5197083678542"/>
    <n v="5.9776967688483804"/>
  </r>
  <r>
    <x v="0"/>
    <x v="8"/>
    <x v="0"/>
    <x v="1"/>
    <s v="DK2_Medium"/>
    <x v="14"/>
    <n v="21.5197083678542"/>
    <n v="5.9776967688483804"/>
  </r>
  <r>
    <x v="0"/>
    <x v="8"/>
    <x v="0"/>
    <x v="1"/>
    <s v="DK2_Medium"/>
    <x v="15"/>
    <n v="1.65807589063794"/>
    <n v="0.46057663628831802"/>
  </r>
  <r>
    <x v="0"/>
    <x v="8"/>
    <x v="0"/>
    <x v="1"/>
    <s v="DK2_Medium"/>
    <x v="16"/>
    <n v="4.9884429139200002"/>
    <n v="1.3856785871999999"/>
  </r>
  <r>
    <x v="0"/>
    <x v="8"/>
    <x v="0"/>
    <x v="1"/>
    <s v="DK2_Medium"/>
    <x v="17"/>
    <n v="9.1244895875632395"/>
    <n v="2.5345804409897901"/>
  </r>
  <r>
    <x v="0"/>
    <x v="8"/>
    <x v="0"/>
    <x v="1"/>
    <s v="DK2_Medium"/>
    <x v="18"/>
    <n v="21.5197083678542"/>
    <n v="5.9776967688483804"/>
  </r>
  <r>
    <x v="0"/>
    <x v="8"/>
    <x v="0"/>
    <x v="1"/>
    <s v="DK2_Medium"/>
    <x v="19"/>
    <n v="8.1139884009941898"/>
    <n v="2.2538856669428302"/>
  </r>
  <r>
    <x v="0"/>
    <x v="8"/>
    <x v="0"/>
    <x v="1"/>
    <s v="DK2_Medium"/>
    <x v="20"/>
    <n v="19.336735244541"/>
    <n v="5.37131534570584"/>
  </r>
  <r>
    <x v="0"/>
    <x v="8"/>
    <x v="0"/>
    <x v="1"/>
    <s v="DK2_Medium"/>
    <x v="21"/>
    <n v="48.384"/>
    <n v="13.44"/>
  </r>
  <r>
    <x v="0"/>
    <x v="8"/>
    <x v="0"/>
    <x v="1"/>
    <s v="DK2_Medium"/>
    <x v="22"/>
    <n v="79.847999999999999"/>
    <n v="22.18"/>
  </r>
  <r>
    <x v="0"/>
    <x v="8"/>
    <x v="0"/>
    <x v="1"/>
    <s v="DK2_Medium"/>
    <x v="23"/>
    <n v="0.31515896120488701"/>
    <n v="8.7544155890246306E-2"/>
  </r>
  <r>
    <x v="0"/>
    <x v="8"/>
    <x v="0"/>
    <x v="1"/>
    <s v="DK2_Medium"/>
    <x v="24"/>
    <n v="19.174223581093901"/>
    <n v="5.32617321697054"/>
  </r>
  <r>
    <x v="0"/>
    <x v="8"/>
    <x v="0"/>
    <x v="1"/>
    <s v="DK2_Medium"/>
    <x v="25"/>
    <n v="22.356874337357301"/>
    <n v="6.2102428714881297"/>
  </r>
  <r>
    <x v="0"/>
    <x v="8"/>
    <x v="0"/>
    <x v="1"/>
    <s v="DK2_Medium"/>
    <x v="26"/>
    <n v="29.6651032387655"/>
    <n v="8.2403064552126306"/>
  </r>
  <r>
    <x v="0"/>
    <x v="8"/>
    <x v="0"/>
    <x v="1"/>
    <s v="DK2_Medium"/>
    <x v="27"/>
    <n v="20.163995508318798"/>
    <n v="5.6011098634218799"/>
  </r>
  <r>
    <x v="0"/>
    <x v="8"/>
    <x v="0"/>
    <x v="1"/>
    <s v="DK2_NoDH"/>
    <x v="1"/>
    <n v="35.989199999999997"/>
    <n v="9.9969999999999999"/>
  </r>
  <r>
    <x v="0"/>
    <x v="8"/>
    <x v="0"/>
    <x v="1"/>
    <s v="DK2_NoDH"/>
    <x v="2"/>
    <n v="48.384"/>
    <n v="13.44"/>
  </r>
  <r>
    <x v="0"/>
    <x v="8"/>
    <x v="0"/>
    <x v="1"/>
    <s v="DK2_NoDH"/>
    <x v="0"/>
    <n v="42.692399999999999"/>
    <n v="11.859"/>
  </r>
  <r>
    <x v="0"/>
    <x v="8"/>
    <x v="0"/>
    <x v="1"/>
    <s v="DK2_NoDH"/>
    <x v="3"/>
    <n v="51.633543144067197"/>
    <n v="14.342650873352"/>
  </r>
  <r>
    <x v="0"/>
    <x v="8"/>
    <x v="0"/>
    <x v="1"/>
    <s v="DK2_NoDH"/>
    <x v="4"/>
    <n v="8.1139884009941898"/>
    <n v="2.2538856669428302"/>
  </r>
  <r>
    <x v="0"/>
    <x v="8"/>
    <x v="0"/>
    <x v="1"/>
    <s v="DK2_NoDH"/>
    <x v="5"/>
    <n v="8.1139884009941898"/>
    <n v="2.2538856669428302"/>
  </r>
  <r>
    <x v="0"/>
    <x v="8"/>
    <x v="0"/>
    <x v="1"/>
    <s v="DK2_NoDH"/>
    <x v="6"/>
    <n v="29.476231795214598"/>
    <n v="8.1878421653373898"/>
  </r>
  <r>
    <x v="0"/>
    <x v="8"/>
    <x v="0"/>
    <x v="1"/>
    <s v="DK2_NoDH"/>
    <x v="7"/>
    <n v="57.838935220261199"/>
    <n v="16.066370894517"/>
  </r>
  <r>
    <x v="0"/>
    <x v="8"/>
    <x v="0"/>
    <x v="1"/>
    <s v="DK2_NoDH"/>
    <x v="8"/>
    <n v="57.838935220261199"/>
    <n v="16.066370894517"/>
  </r>
  <r>
    <x v="0"/>
    <x v="8"/>
    <x v="0"/>
    <x v="1"/>
    <s v="DK2_NoDH"/>
    <x v="9"/>
    <n v="44.803327257663497"/>
    <n v="12.4453686826843"/>
  </r>
  <r>
    <x v="0"/>
    <x v="8"/>
    <x v="0"/>
    <x v="1"/>
    <s v="DK2_NoDH"/>
    <x v="10"/>
    <n v="54.681226180612903"/>
    <n v="15.1892294946147"/>
  </r>
  <r>
    <x v="0"/>
    <x v="8"/>
    <x v="0"/>
    <x v="1"/>
    <s v="DK2_NoDH"/>
    <x v="11"/>
    <n v="3.8806031483015802"/>
    <n v="1.07794531897266"/>
  </r>
  <r>
    <x v="0"/>
    <x v="8"/>
    <x v="0"/>
    <x v="1"/>
    <s v="DK2_NoDH"/>
    <x v="12"/>
    <n v="9.7995028997514597E-2"/>
    <n v="2.72208413881985E-2"/>
  </r>
  <r>
    <x v="0"/>
    <x v="8"/>
    <x v="0"/>
    <x v="1"/>
    <s v="DK2_NoDH"/>
    <x v="13"/>
    <n v="21.5197083678542"/>
    <n v="5.9776967688483804"/>
  </r>
  <r>
    <x v="0"/>
    <x v="8"/>
    <x v="0"/>
    <x v="1"/>
    <s v="DK2_NoDH"/>
    <x v="14"/>
    <n v="21.5197083678542"/>
    <n v="5.9776967688483804"/>
  </r>
  <r>
    <x v="0"/>
    <x v="8"/>
    <x v="0"/>
    <x v="1"/>
    <s v="DK2_NoDH"/>
    <x v="15"/>
    <n v="1.65807589063794"/>
    <n v="0.46057663628831802"/>
  </r>
  <r>
    <x v="0"/>
    <x v="8"/>
    <x v="0"/>
    <x v="1"/>
    <s v="DK2_NoDH"/>
    <x v="16"/>
    <n v="4.9884429139200002"/>
    <n v="1.3856785871999999"/>
  </r>
  <r>
    <x v="0"/>
    <x v="8"/>
    <x v="0"/>
    <x v="1"/>
    <s v="DK2_NoDH"/>
    <x v="17"/>
    <n v="9.1244895875632395"/>
    <n v="2.5345804409897901"/>
  </r>
  <r>
    <x v="0"/>
    <x v="8"/>
    <x v="0"/>
    <x v="1"/>
    <s v="DK2_NoDH"/>
    <x v="18"/>
    <n v="21.5197083678542"/>
    <n v="5.9776967688483804"/>
  </r>
  <r>
    <x v="0"/>
    <x v="8"/>
    <x v="0"/>
    <x v="1"/>
    <s v="DK2_NoDH"/>
    <x v="19"/>
    <n v="8.1139884009941898"/>
    <n v="2.2538856669428302"/>
  </r>
  <r>
    <x v="0"/>
    <x v="8"/>
    <x v="0"/>
    <x v="1"/>
    <s v="DK2_NoDH"/>
    <x v="20"/>
    <n v="19.336735244541"/>
    <n v="5.37131534570584"/>
  </r>
  <r>
    <x v="0"/>
    <x v="8"/>
    <x v="0"/>
    <x v="1"/>
    <s v="DK2_NoDH"/>
    <x v="21"/>
    <n v="48.384"/>
    <n v="13.44"/>
  </r>
  <r>
    <x v="0"/>
    <x v="8"/>
    <x v="0"/>
    <x v="1"/>
    <s v="DK2_NoDH"/>
    <x v="22"/>
    <n v="79.847999999999999"/>
    <n v="22.18"/>
  </r>
  <r>
    <x v="0"/>
    <x v="8"/>
    <x v="0"/>
    <x v="1"/>
    <s v="DK2_NoDH"/>
    <x v="23"/>
    <n v="0.31515896120488701"/>
    <n v="8.7544155890246306E-2"/>
  </r>
  <r>
    <x v="0"/>
    <x v="8"/>
    <x v="0"/>
    <x v="1"/>
    <s v="DK2_NoDH"/>
    <x v="24"/>
    <n v="19.174223581093901"/>
    <n v="5.32617321697054"/>
  </r>
  <r>
    <x v="0"/>
    <x v="8"/>
    <x v="0"/>
    <x v="1"/>
    <s v="DK2_NoDH"/>
    <x v="25"/>
    <n v="22.356874337357301"/>
    <n v="6.2102428714881297"/>
  </r>
  <r>
    <x v="0"/>
    <x v="8"/>
    <x v="0"/>
    <x v="1"/>
    <s v="DK2_NoDH"/>
    <x v="26"/>
    <n v="29.6651032387655"/>
    <n v="8.2403064552126306"/>
  </r>
  <r>
    <x v="0"/>
    <x v="8"/>
    <x v="0"/>
    <x v="1"/>
    <s v="DK2_NoDH"/>
    <x v="27"/>
    <n v="20.163995508318798"/>
    <n v="5.6011098634218799"/>
  </r>
  <r>
    <x v="0"/>
    <x v="8"/>
    <x v="0"/>
    <x v="1"/>
    <s v="DK2_NoDH_PHH"/>
    <x v="1"/>
    <n v="35.989199999999997"/>
    <n v="9.9969999999999999"/>
  </r>
  <r>
    <x v="0"/>
    <x v="8"/>
    <x v="0"/>
    <x v="1"/>
    <s v="DK2_NoDH_PHH"/>
    <x v="2"/>
    <n v="48.384"/>
    <n v="13.44"/>
  </r>
  <r>
    <x v="0"/>
    <x v="8"/>
    <x v="0"/>
    <x v="1"/>
    <s v="DK2_NoDH_PHH"/>
    <x v="0"/>
    <n v="42.692399999999999"/>
    <n v="11.859"/>
  </r>
  <r>
    <x v="0"/>
    <x v="8"/>
    <x v="0"/>
    <x v="1"/>
    <s v="DK2_NoDH_PHH"/>
    <x v="3"/>
    <n v="51.633543144067197"/>
    <n v="14.342650873352"/>
  </r>
  <r>
    <x v="0"/>
    <x v="8"/>
    <x v="0"/>
    <x v="1"/>
    <s v="DK2_NoDH_PHH"/>
    <x v="4"/>
    <n v="8.1139884009941898"/>
    <n v="2.2538856669428302"/>
  </r>
  <r>
    <x v="0"/>
    <x v="8"/>
    <x v="0"/>
    <x v="1"/>
    <s v="DK2_NoDH_PHH"/>
    <x v="5"/>
    <n v="8.1139884009941898"/>
    <n v="2.2538856669428302"/>
  </r>
  <r>
    <x v="0"/>
    <x v="8"/>
    <x v="0"/>
    <x v="1"/>
    <s v="DK2_NoDH_PHH"/>
    <x v="6"/>
    <n v="29.476231795214598"/>
    <n v="8.1878421653373898"/>
  </r>
  <r>
    <x v="0"/>
    <x v="8"/>
    <x v="0"/>
    <x v="1"/>
    <s v="DK2_NoDH_PHH"/>
    <x v="7"/>
    <n v="57.838935220261199"/>
    <n v="16.066370894517"/>
  </r>
  <r>
    <x v="0"/>
    <x v="8"/>
    <x v="0"/>
    <x v="1"/>
    <s v="DK2_NoDH_PHH"/>
    <x v="8"/>
    <n v="57.838935220261199"/>
    <n v="16.066370894517"/>
  </r>
  <r>
    <x v="0"/>
    <x v="8"/>
    <x v="0"/>
    <x v="1"/>
    <s v="DK2_NoDH_PHH"/>
    <x v="9"/>
    <n v="44.803327257663497"/>
    <n v="12.4453686826843"/>
  </r>
  <r>
    <x v="0"/>
    <x v="8"/>
    <x v="0"/>
    <x v="1"/>
    <s v="DK2_NoDH_PHH"/>
    <x v="10"/>
    <n v="54.681226180612903"/>
    <n v="15.1892294946147"/>
  </r>
  <r>
    <x v="0"/>
    <x v="8"/>
    <x v="0"/>
    <x v="1"/>
    <s v="DK2_NoDH_PHH"/>
    <x v="11"/>
    <n v="3.8806031483015802"/>
    <n v="1.07794531897266"/>
  </r>
  <r>
    <x v="0"/>
    <x v="8"/>
    <x v="0"/>
    <x v="1"/>
    <s v="DK2_NoDH_PHH"/>
    <x v="12"/>
    <n v="9.7995028997514597E-2"/>
    <n v="2.72208413881985E-2"/>
  </r>
  <r>
    <x v="0"/>
    <x v="8"/>
    <x v="0"/>
    <x v="1"/>
    <s v="DK2_NoDH_PHH"/>
    <x v="13"/>
    <n v="21.5197083678542"/>
    <n v="5.9776967688483804"/>
  </r>
  <r>
    <x v="0"/>
    <x v="8"/>
    <x v="0"/>
    <x v="1"/>
    <s v="DK2_NoDH_PHH"/>
    <x v="14"/>
    <n v="21.5197083678542"/>
    <n v="5.9776967688483804"/>
  </r>
  <r>
    <x v="0"/>
    <x v="8"/>
    <x v="0"/>
    <x v="1"/>
    <s v="DK2_NoDH_PHH"/>
    <x v="15"/>
    <n v="1.65807589063794"/>
    <n v="0.46057663628831802"/>
  </r>
  <r>
    <x v="0"/>
    <x v="8"/>
    <x v="0"/>
    <x v="1"/>
    <s v="DK2_NoDH_PHH"/>
    <x v="16"/>
    <n v="4.9884429139200002"/>
    <n v="1.3856785871999999"/>
  </r>
  <r>
    <x v="0"/>
    <x v="8"/>
    <x v="0"/>
    <x v="1"/>
    <s v="DK2_NoDH_PHH"/>
    <x v="17"/>
    <n v="9.1244895875632395"/>
    <n v="2.5345804409897901"/>
  </r>
  <r>
    <x v="0"/>
    <x v="8"/>
    <x v="0"/>
    <x v="1"/>
    <s v="DK2_NoDH_PHH"/>
    <x v="18"/>
    <n v="21.5197083678542"/>
    <n v="5.9776967688483804"/>
  </r>
  <r>
    <x v="0"/>
    <x v="8"/>
    <x v="0"/>
    <x v="1"/>
    <s v="DK2_NoDH_PHH"/>
    <x v="19"/>
    <n v="8.1139884009941898"/>
    <n v="2.2538856669428302"/>
  </r>
  <r>
    <x v="0"/>
    <x v="8"/>
    <x v="0"/>
    <x v="1"/>
    <s v="DK2_NoDH_PHH"/>
    <x v="20"/>
    <n v="19.336735244541"/>
    <n v="5.37131534570584"/>
  </r>
  <r>
    <x v="0"/>
    <x v="8"/>
    <x v="0"/>
    <x v="1"/>
    <s v="DK2_NoDH_PHH"/>
    <x v="21"/>
    <n v="48.384"/>
    <n v="13.44"/>
  </r>
  <r>
    <x v="0"/>
    <x v="8"/>
    <x v="0"/>
    <x v="1"/>
    <s v="DK2_NoDH_PHH"/>
    <x v="22"/>
    <n v="79.847999999999999"/>
    <n v="22.18"/>
  </r>
  <r>
    <x v="0"/>
    <x v="8"/>
    <x v="0"/>
    <x v="1"/>
    <s v="DK2_NoDH_PHH"/>
    <x v="23"/>
    <n v="0.31515896120488701"/>
    <n v="8.7544155890246306E-2"/>
  </r>
  <r>
    <x v="0"/>
    <x v="8"/>
    <x v="0"/>
    <x v="1"/>
    <s v="DK2_NoDH_PHH"/>
    <x v="24"/>
    <n v="19.174223581093901"/>
    <n v="5.32617321697054"/>
  </r>
  <r>
    <x v="0"/>
    <x v="8"/>
    <x v="0"/>
    <x v="1"/>
    <s v="DK2_NoDH_PHH"/>
    <x v="25"/>
    <n v="22.356874337357301"/>
    <n v="6.2102428714881297"/>
  </r>
  <r>
    <x v="0"/>
    <x v="8"/>
    <x v="0"/>
    <x v="1"/>
    <s v="DK2_NoDH_PHH"/>
    <x v="26"/>
    <n v="29.6651032387655"/>
    <n v="8.2403064552126306"/>
  </r>
  <r>
    <x v="0"/>
    <x v="8"/>
    <x v="0"/>
    <x v="1"/>
    <s v="DK2_NoDH_PHH"/>
    <x v="27"/>
    <n v="20.163995508318798"/>
    <n v="5.6011098634218799"/>
  </r>
  <r>
    <x v="0"/>
    <x v="8"/>
    <x v="0"/>
    <x v="1"/>
    <s v="DK2_NoDH_PHL"/>
    <x v="1"/>
    <n v="35.989199999999997"/>
    <n v="9.9969999999999999"/>
  </r>
  <r>
    <x v="0"/>
    <x v="8"/>
    <x v="0"/>
    <x v="1"/>
    <s v="DK2_NoDH_PHL"/>
    <x v="2"/>
    <n v="48.384"/>
    <n v="13.44"/>
  </r>
  <r>
    <x v="0"/>
    <x v="8"/>
    <x v="0"/>
    <x v="1"/>
    <s v="DK2_NoDH_PHL"/>
    <x v="0"/>
    <n v="42.692399999999999"/>
    <n v="11.859"/>
  </r>
  <r>
    <x v="0"/>
    <x v="8"/>
    <x v="0"/>
    <x v="1"/>
    <s v="DK2_NoDH_PHL"/>
    <x v="3"/>
    <n v="51.633543144067197"/>
    <n v="14.342650873352"/>
  </r>
  <r>
    <x v="0"/>
    <x v="8"/>
    <x v="0"/>
    <x v="1"/>
    <s v="DK2_NoDH_PHL"/>
    <x v="4"/>
    <n v="8.1139884009941898"/>
    <n v="2.2538856669428302"/>
  </r>
  <r>
    <x v="0"/>
    <x v="8"/>
    <x v="0"/>
    <x v="1"/>
    <s v="DK2_NoDH_PHL"/>
    <x v="5"/>
    <n v="8.1139884009941898"/>
    <n v="2.2538856669428302"/>
  </r>
  <r>
    <x v="0"/>
    <x v="8"/>
    <x v="0"/>
    <x v="1"/>
    <s v="DK2_NoDH_PHL"/>
    <x v="6"/>
    <n v="29.476231795214598"/>
    <n v="8.1878421653373898"/>
  </r>
  <r>
    <x v="0"/>
    <x v="8"/>
    <x v="0"/>
    <x v="1"/>
    <s v="DK2_NoDH_PHL"/>
    <x v="7"/>
    <n v="57.838935220261199"/>
    <n v="16.066370894517"/>
  </r>
  <r>
    <x v="0"/>
    <x v="8"/>
    <x v="0"/>
    <x v="1"/>
    <s v="DK2_NoDH_PHL"/>
    <x v="8"/>
    <n v="57.838935220261199"/>
    <n v="16.066370894517"/>
  </r>
  <r>
    <x v="0"/>
    <x v="8"/>
    <x v="0"/>
    <x v="1"/>
    <s v="DK2_NoDH_PHL"/>
    <x v="9"/>
    <n v="44.803327257663497"/>
    <n v="12.4453686826843"/>
  </r>
  <r>
    <x v="0"/>
    <x v="8"/>
    <x v="0"/>
    <x v="1"/>
    <s v="DK2_NoDH_PHL"/>
    <x v="10"/>
    <n v="54.681226180612903"/>
    <n v="15.1892294946147"/>
  </r>
  <r>
    <x v="0"/>
    <x v="8"/>
    <x v="0"/>
    <x v="1"/>
    <s v="DK2_NoDH_PHL"/>
    <x v="11"/>
    <n v="3.8806031483015802"/>
    <n v="1.07794531897266"/>
  </r>
  <r>
    <x v="0"/>
    <x v="8"/>
    <x v="0"/>
    <x v="1"/>
    <s v="DK2_NoDH_PHL"/>
    <x v="12"/>
    <n v="9.7995028997514597E-2"/>
    <n v="2.72208413881985E-2"/>
  </r>
  <r>
    <x v="0"/>
    <x v="8"/>
    <x v="0"/>
    <x v="1"/>
    <s v="DK2_NoDH_PHL"/>
    <x v="13"/>
    <n v="21.5197083678542"/>
    <n v="5.9776967688483804"/>
  </r>
  <r>
    <x v="0"/>
    <x v="8"/>
    <x v="0"/>
    <x v="1"/>
    <s v="DK2_NoDH_PHL"/>
    <x v="14"/>
    <n v="21.5197083678542"/>
    <n v="5.9776967688483804"/>
  </r>
  <r>
    <x v="0"/>
    <x v="8"/>
    <x v="0"/>
    <x v="1"/>
    <s v="DK2_NoDH_PHL"/>
    <x v="15"/>
    <n v="1.65807589063794"/>
    <n v="0.46057663628831802"/>
  </r>
  <r>
    <x v="0"/>
    <x v="8"/>
    <x v="0"/>
    <x v="1"/>
    <s v="DK2_NoDH_PHL"/>
    <x v="16"/>
    <n v="4.9884429139200002"/>
    <n v="1.3856785871999999"/>
  </r>
  <r>
    <x v="0"/>
    <x v="8"/>
    <x v="0"/>
    <x v="1"/>
    <s v="DK2_NoDH_PHL"/>
    <x v="17"/>
    <n v="9.1244895875632395"/>
    <n v="2.5345804409897901"/>
  </r>
  <r>
    <x v="0"/>
    <x v="8"/>
    <x v="0"/>
    <x v="1"/>
    <s v="DK2_NoDH_PHL"/>
    <x v="18"/>
    <n v="21.5197083678542"/>
    <n v="5.9776967688483804"/>
  </r>
  <r>
    <x v="0"/>
    <x v="8"/>
    <x v="0"/>
    <x v="1"/>
    <s v="DK2_NoDH_PHL"/>
    <x v="19"/>
    <n v="8.1139884009941898"/>
    <n v="2.2538856669428302"/>
  </r>
  <r>
    <x v="0"/>
    <x v="8"/>
    <x v="0"/>
    <x v="1"/>
    <s v="DK2_NoDH_PHL"/>
    <x v="20"/>
    <n v="19.336735244541"/>
    <n v="5.37131534570584"/>
  </r>
  <r>
    <x v="0"/>
    <x v="8"/>
    <x v="0"/>
    <x v="1"/>
    <s v="DK2_NoDH_PHL"/>
    <x v="21"/>
    <n v="48.384"/>
    <n v="13.44"/>
  </r>
  <r>
    <x v="0"/>
    <x v="8"/>
    <x v="0"/>
    <x v="1"/>
    <s v="DK2_NoDH_PHL"/>
    <x v="22"/>
    <n v="79.847999999999999"/>
    <n v="22.18"/>
  </r>
  <r>
    <x v="0"/>
    <x v="8"/>
    <x v="0"/>
    <x v="1"/>
    <s v="DK2_NoDH_PHL"/>
    <x v="23"/>
    <n v="0.31515896120488701"/>
    <n v="8.7544155890246306E-2"/>
  </r>
  <r>
    <x v="0"/>
    <x v="8"/>
    <x v="0"/>
    <x v="1"/>
    <s v="DK2_NoDH_PHL"/>
    <x v="24"/>
    <n v="19.174223581093901"/>
    <n v="5.32617321697054"/>
  </r>
  <r>
    <x v="0"/>
    <x v="8"/>
    <x v="0"/>
    <x v="1"/>
    <s v="DK2_NoDH_PHL"/>
    <x v="25"/>
    <n v="22.356874337357301"/>
    <n v="6.2102428714881297"/>
  </r>
  <r>
    <x v="0"/>
    <x v="8"/>
    <x v="0"/>
    <x v="1"/>
    <s v="DK2_NoDH_PHL"/>
    <x v="26"/>
    <n v="29.6651032387655"/>
    <n v="8.2403064552126306"/>
  </r>
  <r>
    <x v="0"/>
    <x v="8"/>
    <x v="0"/>
    <x v="1"/>
    <s v="DK2_NoDH_PHL"/>
    <x v="27"/>
    <n v="20.163995508318798"/>
    <n v="5.6011098634218799"/>
  </r>
  <r>
    <x v="0"/>
    <x v="8"/>
    <x v="0"/>
    <x v="1"/>
    <s v="DK2_Offshore"/>
    <x v="1"/>
    <n v="35.989199999999997"/>
    <n v="9.9969999999999999"/>
  </r>
  <r>
    <x v="0"/>
    <x v="8"/>
    <x v="0"/>
    <x v="1"/>
    <s v="DK2_Offshore"/>
    <x v="2"/>
    <n v="48.384"/>
    <n v="13.44"/>
  </r>
  <r>
    <x v="0"/>
    <x v="8"/>
    <x v="0"/>
    <x v="1"/>
    <s v="DK2_Offshore"/>
    <x v="0"/>
    <n v="42.692399999999999"/>
    <n v="11.859"/>
  </r>
  <r>
    <x v="0"/>
    <x v="8"/>
    <x v="0"/>
    <x v="1"/>
    <s v="DK2_Offshore"/>
    <x v="3"/>
    <n v="51.633543144067197"/>
    <n v="14.342650873352"/>
  </r>
  <r>
    <x v="0"/>
    <x v="8"/>
    <x v="0"/>
    <x v="1"/>
    <s v="DK2_Offshore"/>
    <x v="4"/>
    <n v="8.1139884009941898"/>
    <n v="2.2538856669428302"/>
  </r>
  <r>
    <x v="0"/>
    <x v="8"/>
    <x v="0"/>
    <x v="1"/>
    <s v="DK2_Offshore"/>
    <x v="5"/>
    <n v="8.1139884009941898"/>
    <n v="2.2538856669428302"/>
  </r>
  <r>
    <x v="0"/>
    <x v="8"/>
    <x v="0"/>
    <x v="1"/>
    <s v="DK2_Offshore"/>
    <x v="6"/>
    <n v="29.476231795214598"/>
    <n v="8.1878421653373898"/>
  </r>
  <r>
    <x v="0"/>
    <x v="8"/>
    <x v="0"/>
    <x v="1"/>
    <s v="DK2_Offshore"/>
    <x v="7"/>
    <n v="57.838935220261199"/>
    <n v="16.066370894517"/>
  </r>
  <r>
    <x v="0"/>
    <x v="8"/>
    <x v="0"/>
    <x v="1"/>
    <s v="DK2_Offshore"/>
    <x v="8"/>
    <n v="57.838935220261199"/>
    <n v="16.066370894517"/>
  </r>
  <r>
    <x v="0"/>
    <x v="8"/>
    <x v="0"/>
    <x v="1"/>
    <s v="DK2_Offshore"/>
    <x v="9"/>
    <n v="44.803327257663497"/>
    <n v="12.4453686826843"/>
  </r>
  <r>
    <x v="0"/>
    <x v="8"/>
    <x v="0"/>
    <x v="1"/>
    <s v="DK2_Offshore"/>
    <x v="10"/>
    <n v="54.681226180612903"/>
    <n v="15.1892294946147"/>
  </r>
  <r>
    <x v="0"/>
    <x v="8"/>
    <x v="0"/>
    <x v="1"/>
    <s v="DK2_Offshore"/>
    <x v="11"/>
    <n v="3.8806031483015802"/>
    <n v="1.07794531897266"/>
  </r>
  <r>
    <x v="0"/>
    <x v="8"/>
    <x v="0"/>
    <x v="1"/>
    <s v="DK2_Offshore"/>
    <x v="12"/>
    <n v="9.7995028997514597E-2"/>
    <n v="2.72208413881985E-2"/>
  </r>
  <r>
    <x v="0"/>
    <x v="8"/>
    <x v="0"/>
    <x v="1"/>
    <s v="DK2_Offshore"/>
    <x v="13"/>
    <n v="21.5197083678542"/>
    <n v="5.9776967688483804"/>
  </r>
  <r>
    <x v="0"/>
    <x v="8"/>
    <x v="0"/>
    <x v="1"/>
    <s v="DK2_Offshore"/>
    <x v="14"/>
    <n v="21.5197083678542"/>
    <n v="5.9776967688483804"/>
  </r>
  <r>
    <x v="0"/>
    <x v="8"/>
    <x v="0"/>
    <x v="1"/>
    <s v="DK2_Offshore"/>
    <x v="15"/>
    <n v="1.65807589063794"/>
    <n v="0.46057663628831802"/>
  </r>
  <r>
    <x v="0"/>
    <x v="8"/>
    <x v="0"/>
    <x v="1"/>
    <s v="DK2_Offshore"/>
    <x v="16"/>
    <n v="4.9884429139200002"/>
    <n v="1.3856785871999999"/>
  </r>
  <r>
    <x v="0"/>
    <x v="8"/>
    <x v="0"/>
    <x v="1"/>
    <s v="DK2_Offshore"/>
    <x v="17"/>
    <n v="9.1244895875632395"/>
    <n v="2.5345804409897901"/>
  </r>
  <r>
    <x v="0"/>
    <x v="8"/>
    <x v="0"/>
    <x v="1"/>
    <s v="DK2_Offshore"/>
    <x v="18"/>
    <n v="21.5197083678542"/>
    <n v="5.9776967688483804"/>
  </r>
  <r>
    <x v="0"/>
    <x v="8"/>
    <x v="0"/>
    <x v="1"/>
    <s v="DK2_Offshore"/>
    <x v="19"/>
    <n v="8.1139884009941898"/>
    <n v="2.2538856669428302"/>
  </r>
  <r>
    <x v="0"/>
    <x v="8"/>
    <x v="0"/>
    <x v="1"/>
    <s v="DK2_Offshore"/>
    <x v="20"/>
    <n v="19.336735244541"/>
    <n v="5.37131534570584"/>
  </r>
  <r>
    <x v="0"/>
    <x v="8"/>
    <x v="0"/>
    <x v="1"/>
    <s v="DK2_Offshore"/>
    <x v="21"/>
    <n v="48.384"/>
    <n v="13.44"/>
  </r>
  <r>
    <x v="0"/>
    <x v="8"/>
    <x v="0"/>
    <x v="1"/>
    <s v="DK2_Offshore"/>
    <x v="22"/>
    <n v="79.847999999999999"/>
    <n v="22.18"/>
  </r>
  <r>
    <x v="0"/>
    <x v="8"/>
    <x v="0"/>
    <x v="1"/>
    <s v="DK2_Offshore"/>
    <x v="23"/>
    <n v="0.31515896120488701"/>
    <n v="8.7544155890246306E-2"/>
  </r>
  <r>
    <x v="0"/>
    <x v="8"/>
    <x v="0"/>
    <x v="1"/>
    <s v="DK2_Offshore"/>
    <x v="24"/>
    <n v="19.174223581093901"/>
    <n v="5.32617321697054"/>
  </r>
  <r>
    <x v="0"/>
    <x v="8"/>
    <x v="0"/>
    <x v="1"/>
    <s v="DK2_Offshore"/>
    <x v="25"/>
    <n v="22.356874337357301"/>
    <n v="6.2102428714881297"/>
  </r>
  <r>
    <x v="0"/>
    <x v="8"/>
    <x v="0"/>
    <x v="1"/>
    <s v="DK2_Offshore"/>
    <x v="26"/>
    <n v="29.6651032387655"/>
    <n v="8.2403064552126306"/>
  </r>
  <r>
    <x v="0"/>
    <x v="8"/>
    <x v="0"/>
    <x v="1"/>
    <s v="DK2_Offshore"/>
    <x v="27"/>
    <n v="20.163995508318798"/>
    <n v="5.6011098634218799"/>
  </r>
  <r>
    <x v="0"/>
    <x v="8"/>
    <x v="0"/>
    <x v="1"/>
    <s v="DK2_Rural"/>
    <x v="1"/>
    <n v="35.989199999999997"/>
    <n v="9.9969999999999999"/>
  </r>
  <r>
    <x v="0"/>
    <x v="8"/>
    <x v="0"/>
    <x v="1"/>
    <s v="DK2_Rural"/>
    <x v="2"/>
    <n v="48.384"/>
    <n v="13.44"/>
  </r>
  <r>
    <x v="0"/>
    <x v="8"/>
    <x v="0"/>
    <x v="1"/>
    <s v="DK2_Rural"/>
    <x v="0"/>
    <n v="42.692399999999999"/>
    <n v="11.859"/>
  </r>
  <r>
    <x v="0"/>
    <x v="8"/>
    <x v="0"/>
    <x v="1"/>
    <s v="DK2_Rural"/>
    <x v="3"/>
    <n v="51.633543144067197"/>
    <n v="14.342650873352"/>
  </r>
  <r>
    <x v="0"/>
    <x v="8"/>
    <x v="0"/>
    <x v="1"/>
    <s v="DK2_Rural"/>
    <x v="4"/>
    <n v="8.1139884009941898"/>
    <n v="2.2538856669428302"/>
  </r>
  <r>
    <x v="0"/>
    <x v="8"/>
    <x v="0"/>
    <x v="1"/>
    <s v="DK2_Rural"/>
    <x v="5"/>
    <n v="8.1139884009941898"/>
    <n v="2.2538856669428302"/>
  </r>
  <r>
    <x v="0"/>
    <x v="8"/>
    <x v="0"/>
    <x v="1"/>
    <s v="DK2_Rural"/>
    <x v="6"/>
    <n v="29.476231795214598"/>
    <n v="8.1878421653373898"/>
  </r>
  <r>
    <x v="0"/>
    <x v="8"/>
    <x v="0"/>
    <x v="1"/>
    <s v="DK2_Rural"/>
    <x v="7"/>
    <n v="57.838935220261199"/>
    <n v="16.066370894517"/>
  </r>
  <r>
    <x v="0"/>
    <x v="8"/>
    <x v="0"/>
    <x v="1"/>
    <s v="DK2_Rural"/>
    <x v="8"/>
    <n v="57.838935220261199"/>
    <n v="16.066370894517"/>
  </r>
  <r>
    <x v="0"/>
    <x v="8"/>
    <x v="0"/>
    <x v="1"/>
    <s v="DK2_Rural"/>
    <x v="9"/>
    <n v="44.803327257663497"/>
    <n v="12.4453686826843"/>
  </r>
  <r>
    <x v="0"/>
    <x v="8"/>
    <x v="0"/>
    <x v="1"/>
    <s v="DK2_Rural"/>
    <x v="10"/>
    <n v="54.681226180612903"/>
    <n v="15.1892294946147"/>
  </r>
  <r>
    <x v="0"/>
    <x v="8"/>
    <x v="0"/>
    <x v="1"/>
    <s v="DK2_Rural"/>
    <x v="11"/>
    <n v="3.8806031483015802"/>
    <n v="1.07794531897266"/>
  </r>
  <r>
    <x v="0"/>
    <x v="8"/>
    <x v="0"/>
    <x v="1"/>
    <s v="DK2_Rural"/>
    <x v="12"/>
    <n v="9.7995028997514597E-2"/>
    <n v="2.72208413881985E-2"/>
  </r>
  <r>
    <x v="0"/>
    <x v="8"/>
    <x v="0"/>
    <x v="1"/>
    <s v="DK2_Rural"/>
    <x v="13"/>
    <n v="21.5197083678542"/>
    <n v="5.9776967688483804"/>
  </r>
  <r>
    <x v="0"/>
    <x v="8"/>
    <x v="0"/>
    <x v="1"/>
    <s v="DK2_Rural"/>
    <x v="14"/>
    <n v="21.5197083678542"/>
    <n v="5.9776967688483804"/>
  </r>
  <r>
    <x v="0"/>
    <x v="8"/>
    <x v="0"/>
    <x v="1"/>
    <s v="DK2_Rural"/>
    <x v="15"/>
    <n v="1.65807589063794"/>
    <n v="0.46057663628831802"/>
  </r>
  <r>
    <x v="0"/>
    <x v="8"/>
    <x v="0"/>
    <x v="1"/>
    <s v="DK2_Rural"/>
    <x v="16"/>
    <n v="4.9884429139200002"/>
    <n v="1.3856785871999999"/>
  </r>
  <r>
    <x v="0"/>
    <x v="8"/>
    <x v="0"/>
    <x v="1"/>
    <s v="DK2_Rural"/>
    <x v="17"/>
    <n v="9.1244895875632395"/>
    <n v="2.5345804409897901"/>
  </r>
  <r>
    <x v="0"/>
    <x v="8"/>
    <x v="0"/>
    <x v="1"/>
    <s v="DK2_Rural"/>
    <x v="18"/>
    <n v="21.5197083678542"/>
    <n v="5.9776967688483804"/>
  </r>
  <r>
    <x v="0"/>
    <x v="8"/>
    <x v="0"/>
    <x v="1"/>
    <s v="DK2_Rural"/>
    <x v="19"/>
    <n v="8.1139884009941898"/>
    <n v="2.2538856669428302"/>
  </r>
  <r>
    <x v="0"/>
    <x v="8"/>
    <x v="0"/>
    <x v="1"/>
    <s v="DK2_Rural"/>
    <x v="20"/>
    <n v="19.336735244541"/>
    <n v="5.37131534570584"/>
  </r>
  <r>
    <x v="0"/>
    <x v="8"/>
    <x v="0"/>
    <x v="1"/>
    <s v="DK2_Rural"/>
    <x v="21"/>
    <n v="48.384"/>
    <n v="13.44"/>
  </r>
  <r>
    <x v="0"/>
    <x v="8"/>
    <x v="0"/>
    <x v="1"/>
    <s v="DK2_Rural"/>
    <x v="22"/>
    <n v="79.847999999999999"/>
    <n v="22.18"/>
  </r>
  <r>
    <x v="0"/>
    <x v="8"/>
    <x v="0"/>
    <x v="1"/>
    <s v="DK2_Rural"/>
    <x v="23"/>
    <n v="0.31515896120488701"/>
    <n v="8.7544155890246306E-2"/>
  </r>
  <r>
    <x v="0"/>
    <x v="8"/>
    <x v="0"/>
    <x v="1"/>
    <s v="DK2_Rural"/>
    <x v="24"/>
    <n v="19.174223581093901"/>
    <n v="5.32617321697054"/>
  </r>
  <r>
    <x v="0"/>
    <x v="8"/>
    <x v="0"/>
    <x v="1"/>
    <s v="DK2_Rural"/>
    <x v="25"/>
    <n v="22.356874337357301"/>
    <n v="6.2102428714881297"/>
  </r>
  <r>
    <x v="0"/>
    <x v="8"/>
    <x v="0"/>
    <x v="1"/>
    <s v="DK2_Rural"/>
    <x v="26"/>
    <n v="29.6651032387655"/>
    <n v="8.2403064552126306"/>
  </r>
  <r>
    <x v="0"/>
    <x v="8"/>
    <x v="0"/>
    <x v="1"/>
    <s v="DK2_Rural"/>
    <x v="27"/>
    <n v="20.163995508318798"/>
    <n v="5.6011098634218799"/>
  </r>
  <r>
    <x v="0"/>
    <x v="8"/>
    <x v="0"/>
    <x v="1"/>
    <s v="DK2_Small"/>
    <x v="1"/>
    <n v="35.989199999999997"/>
    <n v="9.9969999999999999"/>
  </r>
  <r>
    <x v="0"/>
    <x v="8"/>
    <x v="0"/>
    <x v="1"/>
    <s v="DK2_Small"/>
    <x v="2"/>
    <n v="48.384"/>
    <n v="13.44"/>
  </r>
  <r>
    <x v="0"/>
    <x v="8"/>
    <x v="0"/>
    <x v="1"/>
    <s v="DK2_Small"/>
    <x v="0"/>
    <n v="42.692399999999999"/>
    <n v="11.859"/>
  </r>
  <r>
    <x v="0"/>
    <x v="8"/>
    <x v="0"/>
    <x v="1"/>
    <s v="DK2_Small"/>
    <x v="3"/>
    <n v="51.633543144067197"/>
    <n v="14.342650873352"/>
  </r>
  <r>
    <x v="0"/>
    <x v="8"/>
    <x v="0"/>
    <x v="1"/>
    <s v="DK2_Small"/>
    <x v="4"/>
    <n v="8.1139884009941898"/>
    <n v="2.2538856669428302"/>
  </r>
  <r>
    <x v="0"/>
    <x v="8"/>
    <x v="0"/>
    <x v="1"/>
    <s v="DK2_Small"/>
    <x v="5"/>
    <n v="8.1139884009941898"/>
    <n v="2.2538856669428302"/>
  </r>
  <r>
    <x v="0"/>
    <x v="8"/>
    <x v="0"/>
    <x v="1"/>
    <s v="DK2_Small"/>
    <x v="6"/>
    <n v="29.476231795214598"/>
    <n v="8.1878421653373898"/>
  </r>
  <r>
    <x v="0"/>
    <x v="8"/>
    <x v="0"/>
    <x v="1"/>
    <s v="DK2_Small"/>
    <x v="7"/>
    <n v="57.838935220261199"/>
    <n v="16.066370894517"/>
  </r>
  <r>
    <x v="0"/>
    <x v="8"/>
    <x v="0"/>
    <x v="1"/>
    <s v="DK2_Small"/>
    <x v="8"/>
    <n v="57.838935220261199"/>
    <n v="16.066370894517"/>
  </r>
  <r>
    <x v="0"/>
    <x v="8"/>
    <x v="0"/>
    <x v="1"/>
    <s v="DK2_Small"/>
    <x v="9"/>
    <n v="44.803327257663497"/>
    <n v="12.4453686826843"/>
  </r>
  <r>
    <x v="0"/>
    <x v="8"/>
    <x v="0"/>
    <x v="1"/>
    <s v="DK2_Small"/>
    <x v="10"/>
    <n v="54.681226180612903"/>
    <n v="15.1892294946147"/>
  </r>
  <r>
    <x v="0"/>
    <x v="8"/>
    <x v="0"/>
    <x v="1"/>
    <s v="DK2_Small"/>
    <x v="11"/>
    <n v="3.8806031483015802"/>
    <n v="1.07794531897266"/>
  </r>
  <r>
    <x v="0"/>
    <x v="8"/>
    <x v="0"/>
    <x v="1"/>
    <s v="DK2_Small"/>
    <x v="12"/>
    <n v="9.7995028997514597E-2"/>
    <n v="2.72208413881985E-2"/>
  </r>
  <r>
    <x v="0"/>
    <x v="8"/>
    <x v="0"/>
    <x v="1"/>
    <s v="DK2_Small"/>
    <x v="13"/>
    <n v="21.5197083678542"/>
    <n v="5.9776967688483804"/>
  </r>
  <r>
    <x v="0"/>
    <x v="8"/>
    <x v="0"/>
    <x v="1"/>
    <s v="DK2_Small"/>
    <x v="14"/>
    <n v="21.5197083678542"/>
    <n v="5.9776967688483804"/>
  </r>
  <r>
    <x v="0"/>
    <x v="8"/>
    <x v="0"/>
    <x v="1"/>
    <s v="DK2_Small"/>
    <x v="15"/>
    <n v="1.65807589063794"/>
    <n v="0.46057663628831802"/>
  </r>
  <r>
    <x v="0"/>
    <x v="8"/>
    <x v="0"/>
    <x v="1"/>
    <s v="DK2_Small"/>
    <x v="16"/>
    <n v="4.9884429139200002"/>
    <n v="1.3856785871999999"/>
  </r>
  <r>
    <x v="0"/>
    <x v="8"/>
    <x v="0"/>
    <x v="1"/>
    <s v="DK2_Small"/>
    <x v="17"/>
    <n v="9.1244895875632395"/>
    <n v="2.5345804409897901"/>
  </r>
  <r>
    <x v="0"/>
    <x v="8"/>
    <x v="0"/>
    <x v="1"/>
    <s v="DK2_Small"/>
    <x v="18"/>
    <n v="21.5197083678542"/>
    <n v="5.9776967688483804"/>
  </r>
  <r>
    <x v="0"/>
    <x v="8"/>
    <x v="0"/>
    <x v="1"/>
    <s v="DK2_Small"/>
    <x v="19"/>
    <n v="8.1139884009941898"/>
    <n v="2.2538856669428302"/>
  </r>
  <r>
    <x v="0"/>
    <x v="8"/>
    <x v="0"/>
    <x v="1"/>
    <s v="DK2_Small"/>
    <x v="20"/>
    <n v="19.336735244541"/>
    <n v="5.37131534570584"/>
  </r>
  <r>
    <x v="0"/>
    <x v="8"/>
    <x v="0"/>
    <x v="1"/>
    <s v="DK2_Small"/>
    <x v="21"/>
    <n v="48.384"/>
    <n v="13.44"/>
  </r>
  <r>
    <x v="0"/>
    <x v="8"/>
    <x v="0"/>
    <x v="1"/>
    <s v="DK2_Small"/>
    <x v="22"/>
    <n v="79.847999999999999"/>
    <n v="22.18"/>
  </r>
  <r>
    <x v="0"/>
    <x v="8"/>
    <x v="0"/>
    <x v="1"/>
    <s v="DK2_Small"/>
    <x v="23"/>
    <n v="0.31515896120488701"/>
    <n v="8.7544155890246306E-2"/>
  </r>
  <r>
    <x v="0"/>
    <x v="8"/>
    <x v="0"/>
    <x v="1"/>
    <s v="DK2_Small"/>
    <x v="24"/>
    <n v="19.174223581093901"/>
    <n v="5.32617321697054"/>
  </r>
  <r>
    <x v="0"/>
    <x v="8"/>
    <x v="0"/>
    <x v="1"/>
    <s v="DK2_Small"/>
    <x v="25"/>
    <n v="22.356874337357301"/>
    <n v="6.2102428714881297"/>
  </r>
  <r>
    <x v="0"/>
    <x v="8"/>
    <x v="0"/>
    <x v="1"/>
    <s v="DK2_Small"/>
    <x v="26"/>
    <n v="29.6651032387655"/>
    <n v="8.2403064552126306"/>
  </r>
  <r>
    <x v="0"/>
    <x v="8"/>
    <x v="0"/>
    <x v="1"/>
    <s v="DK2_Small"/>
    <x v="27"/>
    <n v="20.163995508318798"/>
    <n v="5.6011098634218799"/>
  </r>
  <r>
    <x v="0"/>
    <x v="8"/>
    <x v="1"/>
    <x v="2"/>
    <s v="EE_A"/>
    <x v="1"/>
    <n v="35.989199999999997"/>
    <n v="9.9969999999999999"/>
  </r>
  <r>
    <x v="0"/>
    <x v="8"/>
    <x v="1"/>
    <x v="2"/>
    <s v="EE_A"/>
    <x v="2"/>
    <n v="48.384"/>
    <n v="13.44"/>
  </r>
  <r>
    <x v="0"/>
    <x v="8"/>
    <x v="1"/>
    <x v="2"/>
    <s v="EE_A"/>
    <x v="0"/>
    <n v="42.692399999999999"/>
    <n v="11.859"/>
  </r>
  <r>
    <x v="0"/>
    <x v="8"/>
    <x v="1"/>
    <x v="2"/>
    <s v="EE_A"/>
    <x v="3"/>
    <n v="51.633543144067197"/>
    <n v="14.342650873352"/>
  </r>
  <r>
    <x v="0"/>
    <x v="8"/>
    <x v="1"/>
    <x v="2"/>
    <s v="EE_A"/>
    <x v="4"/>
    <n v="8.1139884009941898"/>
    <n v="2.2538856669428302"/>
  </r>
  <r>
    <x v="0"/>
    <x v="8"/>
    <x v="1"/>
    <x v="2"/>
    <s v="EE_A"/>
    <x v="5"/>
    <n v="8.1139884009941898"/>
    <n v="2.2538856669428302"/>
  </r>
  <r>
    <x v="0"/>
    <x v="8"/>
    <x v="1"/>
    <x v="2"/>
    <s v="EE_A"/>
    <x v="6"/>
    <n v="29.476231795214598"/>
    <n v="8.1878421653373898"/>
  </r>
  <r>
    <x v="0"/>
    <x v="8"/>
    <x v="1"/>
    <x v="2"/>
    <s v="EE_A"/>
    <x v="7"/>
    <n v="57.838935220261199"/>
    <n v="16.066370894517"/>
  </r>
  <r>
    <x v="0"/>
    <x v="8"/>
    <x v="1"/>
    <x v="2"/>
    <s v="EE_A"/>
    <x v="8"/>
    <n v="57.838935220261199"/>
    <n v="16.066370894517"/>
  </r>
  <r>
    <x v="0"/>
    <x v="8"/>
    <x v="1"/>
    <x v="2"/>
    <s v="EE_A"/>
    <x v="9"/>
    <n v="44.803327257663497"/>
    <n v="12.4453686826843"/>
  </r>
  <r>
    <x v="0"/>
    <x v="8"/>
    <x v="1"/>
    <x v="2"/>
    <s v="EE_A"/>
    <x v="10"/>
    <n v="54.681226180612903"/>
    <n v="15.1892294946147"/>
  </r>
  <r>
    <x v="0"/>
    <x v="8"/>
    <x v="1"/>
    <x v="2"/>
    <s v="EE_A"/>
    <x v="11"/>
    <n v="3.8806031483015802"/>
    <n v="1.07794531897266"/>
  </r>
  <r>
    <x v="0"/>
    <x v="8"/>
    <x v="1"/>
    <x v="2"/>
    <s v="EE_A"/>
    <x v="12"/>
    <n v="9.7995028997514597E-2"/>
    <n v="2.72208413881985E-2"/>
  </r>
  <r>
    <x v="0"/>
    <x v="8"/>
    <x v="1"/>
    <x v="2"/>
    <s v="EE_A"/>
    <x v="13"/>
    <n v="21.5197083678542"/>
    <n v="5.9776967688483804"/>
  </r>
  <r>
    <x v="0"/>
    <x v="8"/>
    <x v="1"/>
    <x v="2"/>
    <s v="EE_A"/>
    <x v="14"/>
    <n v="21.5197083678542"/>
    <n v="5.9776967688483804"/>
  </r>
  <r>
    <x v="0"/>
    <x v="8"/>
    <x v="1"/>
    <x v="2"/>
    <s v="EE_A"/>
    <x v="15"/>
    <n v="1.65807589063794"/>
    <n v="0.46057663628831802"/>
  </r>
  <r>
    <x v="0"/>
    <x v="8"/>
    <x v="1"/>
    <x v="2"/>
    <s v="EE_A"/>
    <x v="16"/>
    <n v="4.9884429139200002"/>
    <n v="1.3856785871999999"/>
  </r>
  <r>
    <x v="0"/>
    <x v="8"/>
    <x v="1"/>
    <x v="2"/>
    <s v="EE_A"/>
    <x v="17"/>
    <n v="9.1244895875632395"/>
    <n v="2.5345804409897901"/>
  </r>
  <r>
    <x v="0"/>
    <x v="8"/>
    <x v="1"/>
    <x v="2"/>
    <s v="EE_A"/>
    <x v="18"/>
    <n v="21.5197083678542"/>
    <n v="5.9776967688483804"/>
  </r>
  <r>
    <x v="0"/>
    <x v="8"/>
    <x v="1"/>
    <x v="2"/>
    <s v="EE_A"/>
    <x v="19"/>
    <n v="8.1139884009941898"/>
    <n v="2.2538856669428302"/>
  </r>
  <r>
    <x v="0"/>
    <x v="8"/>
    <x v="1"/>
    <x v="2"/>
    <s v="EE_A"/>
    <x v="20"/>
    <n v="19.336735244541"/>
    <n v="5.37131534570584"/>
  </r>
  <r>
    <x v="0"/>
    <x v="8"/>
    <x v="1"/>
    <x v="2"/>
    <s v="EE_A"/>
    <x v="21"/>
    <n v="48.384"/>
    <n v="13.44"/>
  </r>
  <r>
    <x v="0"/>
    <x v="8"/>
    <x v="1"/>
    <x v="2"/>
    <s v="EE_A"/>
    <x v="22"/>
    <n v="79.847999999999999"/>
    <n v="22.18"/>
  </r>
  <r>
    <x v="0"/>
    <x v="8"/>
    <x v="1"/>
    <x v="2"/>
    <s v="EE_A"/>
    <x v="23"/>
    <n v="0.31515896120488701"/>
    <n v="8.7544155890246306E-2"/>
  </r>
  <r>
    <x v="0"/>
    <x v="8"/>
    <x v="1"/>
    <x v="2"/>
    <s v="EE_A"/>
    <x v="24"/>
    <n v="19.174223581093901"/>
    <n v="5.32617321697054"/>
  </r>
  <r>
    <x v="0"/>
    <x v="8"/>
    <x v="1"/>
    <x v="2"/>
    <s v="EE_A"/>
    <x v="25"/>
    <n v="22.356874337357301"/>
    <n v="6.2102428714881297"/>
  </r>
  <r>
    <x v="0"/>
    <x v="8"/>
    <x v="1"/>
    <x v="2"/>
    <s v="EE_A"/>
    <x v="26"/>
    <n v="29.6651032387655"/>
    <n v="8.2403064552126306"/>
  </r>
  <r>
    <x v="0"/>
    <x v="8"/>
    <x v="1"/>
    <x v="2"/>
    <s v="EE_A"/>
    <x v="27"/>
    <n v="20.163995508318798"/>
    <n v="5.6011098634218799"/>
  </r>
  <r>
    <x v="0"/>
    <x v="8"/>
    <x v="1"/>
    <x v="2"/>
    <s v="EE_Enefit"/>
    <x v="1"/>
    <n v="35.989199999999997"/>
    <n v="9.9969999999999999"/>
  </r>
  <r>
    <x v="0"/>
    <x v="8"/>
    <x v="1"/>
    <x v="2"/>
    <s v="EE_Enefit"/>
    <x v="2"/>
    <n v="48.384"/>
    <n v="13.44"/>
  </r>
  <r>
    <x v="0"/>
    <x v="8"/>
    <x v="1"/>
    <x v="2"/>
    <s v="EE_Enefit"/>
    <x v="0"/>
    <n v="42.692399999999999"/>
    <n v="11.859"/>
  </r>
  <r>
    <x v="0"/>
    <x v="8"/>
    <x v="1"/>
    <x v="2"/>
    <s v="EE_Enefit"/>
    <x v="3"/>
    <n v="51.633543144067197"/>
    <n v="14.342650873352"/>
  </r>
  <r>
    <x v="0"/>
    <x v="8"/>
    <x v="1"/>
    <x v="2"/>
    <s v="EE_Enefit"/>
    <x v="4"/>
    <n v="8.1139884009941898"/>
    <n v="2.2538856669428302"/>
  </r>
  <r>
    <x v="0"/>
    <x v="8"/>
    <x v="1"/>
    <x v="2"/>
    <s v="EE_Enefit"/>
    <x v="5"/>
    <n v="8.1139884009941898"/>
    <n v="2.2538856669428302"/>
  </r>
  <r>
    <x v="0"/>
    <x v="8"/>
    <x v="1"/>
    <x v="2"/>
    <s v="EE_Enefit"/>
    <x v="6"/>
    <n v="29.476231795214598"/>
    <n v="8.1878421653373898"/>
  </r>
  <r>
    <x v="0"/>
    <x v="8"/>
    <x v="1"/>
    <x v="2"/>
    <s v="EE_Enefit"/>
    <x v="7"/>
    <n v="57.838935220261199"/>
    <n v="16.066370894517"/>
  </r>
  <r>
    <x v="0"/>
    <x v="8"/>
    <x v="1"/>
    <x v="2"/>
    <s v="EE_Enefit"/>
    <x v="8"/>
    <n v="57.838935220261199"/>
    <n v="16.066370894517"/>
  </r>
  <r>
    <x v="0"/>
    <x v="8"/>
    <x v="1"/>
    <x v="2"/>
    <s v="EE_Enefit"/>
    <x v="9"/>
    <n v="44.803327257663497"/>
    <n v="12.4453686826843"/>
  </r>
  <r>
    <x v="0"/>
    <x v="8"/>
    <x v="1"/>
    <x v="2"/>
    <s v="EE_Enefit"/>
    <x v="10"/>
    <n v="54.681226180612903"/>
    <n v="15.1892294946147"/>
  </r>
  <r>
    <x v="0"/>
    <x v="8"/>
    <x v="1"/>
    <x v="2"/>
    <s v="EE_Enefit"/>
    <x v="11"/>
    <n v="3.8806031483015802"/>
    <n v="1.07794531897266"/>
  </r>
  <r>
    <x v="0"/>
    <x v="8"/>
    <x v="1"/>
    <x v="2"/>
    <s v="EE_Enefit"/>
    <x v="12"/>
    <n v="9.7995028997514597E-2"/>
    <n v="2.72208413881985E-2"/>
  </r>
  <r>
    <x v="0"/>
    <x v="8"/>
    <x v="1"/>
    <x v="2"/>
    <s v="EE_Enefit"/>
    <x v="13"/>
    <n v="21.5197083678542"/>
    <n v="5.9776967688483804"/>
  </r>
  <r>
    <x v="0"/>
    <x v="8"/>
    <x v="1"/>
    <x v="2"/>
    <s v="EE_Enefit"/>
    <x v="14"/>
    <n v="21.5197083678542"/>
    <n v="5.9776967688483804"/>
  </r>
  <r>
    <x v="0"/>
    <x v="8"/>
    <x v="1"/>
    <x v="2"/>
    <s v="EE_Enefit"/>
    <x v="15"/>
    <n v="1.65807589063794"/>
    <n v="0.46057663628831802"/>
  </r>
  <r>
    <x v="0"/>
    <x v="8"/>
    <x v="1"/>
    <x v="2"/>
    <s v="EE_Enefit"/>
    <x v="16"/>
    <n v="4.9884429139200002"/>
    <n v="1.3856785871999999"/>
  </r>
  <r>
    <x v="0"/>
    <x v="8"/>
    <x v="1"/>
    <x v="2"/>
    <s v="EE_Enefit"/>
    <x v="17"/>
    <n v="9.1244895875632395"/>
    <n v="2.5345804409897901"/>
  </r>
  <r>
    <x v="0"/>
    <x v="8"/>
    <x v="1"/>
    <x v="2"/>
    <s v="EE_Enefit"/>
    <x v="18"/>
    <n v="21.5197083678542"/>
    <n v="5.9776967688483804"/>
  </r>
  <r>
    <x v="0"/>
    <x v="8"/>
    <x v="1"/>
    <x v="2"/>
    <s v="EE_Enefit"/>
    <x v="19"/>
    <n v="8.1139884009941898"/>
    <n v="2.2538856669428302"/>
  </r>
  <r>
    <x v="0"/>
    <x v="8"/>
    <x v="1"/>
    <x v="2"/>
    <s v="EE_Enefit"/>
    <x v="20"/>
    <n v="19.336735244541"/>
    <n v="5.37131534570584"/>
  </r>
  <r>
    <x v="0"/>
    <x v="8"/>
    <x v="1"/>
    <x v="2"/>
    <s v="EE_Enefit"/>
    <x v="21"/>
    <n v="48.384"/>
    <n v="13.44"/>
  </r>
  <r>
    <x v="0"/>
    <x v="8"/>
    <x v="1"/>
    <x v="2"/>
    <s v="EE_Enefit"/>
    <x v="22"/>
    <n v="79.847999999999999"/>
    <n v="22.18"/>
  </r>
  <r>
    <x v="0"/>
    <x v="8"/>
    <x v="1"/>
    <x v="2"/>
    <s v="EE_Enefit"/>
    <x v="23"/>
    <n v="0.31515896120488701"/>
    <n v="8.7544155890246306E-2"/>
  </r>
  <r>
    <x v="0"/>
    <x v="8"/>
    <x v="1"/>
    <x v="2"/>
    <s v="EE_Enefit"/>
    <x v="24"/>
    <n v="19.174223581093901"/>
    <n v="5.32617321697054"/>
  </r>
  <r>
    <x v="0"/>
    <x v="8"/>
    <x v="1"/>
    <x v="2"/>
    <s v="EE_Enefit"/>
    <x v="25"/>
    <n v="22.356874337357301"/>
    <n v="6.2102428714881297"/>
  </r>
  <r>
    <x v="0"/>
    <x v="8"/>
    <x v="1"/>
    <x v="2"/>
    <s v="EE_Enefit"/>
    <x v="26"/>
    <n v="29.6651032387655"/>
    <n v="8.2403064552126306"/>
  </r>
  <r>
    <x v="0"/>
    <x v="8"/>
    <x v="1"/>
    <x v="2"/>
    <s v="EE_Enefit"/>
    <x v="27"/>
    <n v="20.163995508318798"/>
    <n v="5.6011098634218799"/>
  </r>
  <r>
    <x v="0"/>
    <x v="8"/>
    <x v="1"/>
    <x v="2"/>
    <s v="EE_Industry"/>
    <x v="1"/>
    <n v="35.989199999999997"/>
    <n v="9.9969999999999999"/>
  </r>
  <r>
    <x v="0"/>
    <x v="8"/>
    <x v="1"/>
    <x v="2"/>
    <s v="EE_Industry"/>
    <x v="2"/>
    <n v="48.384"/>
    <n v="13.44"/>
  </r>
  <r>
    <x v="0"/>
    <x v="8"/>
    <x v="1"/>
    <x v="2"/>
    <s v="EE_Industry"/>
    <x v="0"/>
    <n v="42.692399999999999"/>
    <n v="11.859"/>
  </r>
  <r>
    <x v="0"/>
    <x v="8"/>
    <x v="1"/>
    <x v="2"/>
    <s v="EE_Industry"/>
    <x v="3"/>
    <n v="51.633543144067197"/>
    <n v="14.342650873352"/>
  </r>
  <r>
    <x v="0"/>
    <x v="8"/>
    <x v="1"/>
    <x v="2"/>
    <s v="EE_Industry"/>
    <x v="4"/>
    <n v="8.1139884009941898"/>
    <n v="2.2538856669428302"/>
  </r>
  <r>
    <x v="0"/>
    <x v="8"/>
    <x v="1"/>
    <x v="2"/>
    <s v="EE_Industry"/>
    <x v="5"/>
    <n v="8.1139884009941898"/>
    <n v="2.2538856669428302"/>
  </r>
  <r>
    <x v="0"/>
    <x v="8"/>
    <x v="1"/>
    <x v="2"/>
    <s v="EE_Industry"/>
    <x v="6"/>
    <n v="29.476231795214598"/>
    <n v="8.1878421653373898"/>
  </r>
  <r>
    <x v="0"/>
    <x v="8"/>
    <x v="1"/>
    <x v="2"/>
    <s v="EE_Industry"/>
    <x v="7"/>
    <n v="57.838935220261199"/>
    <n v="16.066370894517"/>
  </r>
  <r>
    <x v="0"/>
    <x v="8"/>
    <x v="1"/>
    <x v="2"/>
    <s v="EE_Industry"/>
    <x v="8"/>
    <n v="57.838935220261199"/>
    <n v="16.066370894517"/>
  </r>
  <r>
    <x v="0"/>
    <x v="8"/>
    <x v="1"/>
    <x v="2"/>
    <s v="EE_Industry"/>
    <x v="9"/>
    <n v="44.803327257663497"/>
    <n v="12.4453686826843"/>
  </r>
  <r>
    <x v="0"/>
    <x v="8"/>
    <x v="1"/>
    <x v="2"/>
    <s v="EE_Industry"/>
    <x v="10"/>
    <n v="54.681226180612903"/>
    <n v="15.1892294946147"/>
  </r>
  <r>
    <x v="0"/>
    <x v="8"/>
    <x v="1"/>
    <x v="2"/>
    <s v="EE_Industry"/>
    <x v="11"/>
    <n v="3.8806031483015802"/>
    <n v="1.07794531897266"/>
  </r>
  <r>
    <x v="0"/>
    <x v="8"/>
    <x v="1"/>
    <x v="2"/>
    <s v="EE_Industry"/>
    <x v="12"/>
    <n v="9.7995028997514597E-2"/>
    <n v="2.72208413881985E-2"/>
  </r>
  <r>
    <x v="0"/>
    <x v="8"/>
    <x v="1"/>
    <x v="2"/>
    <s v="EE_Industry"/>
    <x v="13"/>
    <n v="21.5197083678542"/>
    <n v="5.9776967688483804"/>
  </r>
  <r>
    <x v="0"/>
    <x v="8"/>
    <x v="1"/>
    <x v="2"/>
    <s v="EE_Industry"/>
    <x v="14"/>
    <n v="21.5197083678542"/>
    <n v="5.9776967688483804"/>
  </r>
  <r>
    <x v="0"/>
    <x v="8"/>
    <x v="1"/>
    <x v="2"/>
    <s v="EE_Industry"/>
    <x v="15"/>
    <n v="1.65807589063794"/>
    <n v="0.46057663628831802"/>
  </r>
  <r>
    <x v="0"/>
    <x v="8"/>
    <x v="1"/>
    <x v="2"/>
    <s v="EE_Industry"/>
    <x v="16"/>
    <n v="4.9884429139200002"/>
    <n v="1.3856785871999999"/>
  </r>
  <r>
    <x v="0"/>
    <x v="8"/>
    <x v="1"/>
    <x v="2"/>
    <s v="EE_Industry"/>
    <x v="17"/>
    <n v="9.1244895875632395"/>
    <n v="2.5345804409897901"/>
  </r>
  <r>
    <x v="0"/>
    <x v="8"/>
    <x v="1"/>
    <x v="2"/>
    <s v="EE_Industry"/>
    <x v="18"/>
    <n v="21.5197083678542"/>
    <n v="5.9776967688483804"/>
  </r>
  <r>
    <x v="0"/>
    <x v="8"/>
    <x v="1"/>
    <x v="2"/>
    <s v="EE_Industry"/>
    <x v="19"/>
    <n v="8.1139884009941898"/>
    <n v="2.2538856669428302"/>
  </r>
  <r>
    <x v="0"/>
    <x v="8"/>
    <x v="1"/>
    <x v="2"/>
    <s v="EE_Industry"/>
    <x v="20"/>
    <n v="19.336735244541"/>
    <n v="5.37131534570584"/>
  </r>
  <r>
    <x v="0"/>
    <x v="8"/>
    <x v="1"/>
    <x v="2"/>
    <s v="EE_Industry"/>
    <x v="21"/>
    <n v="48.384"/>
    <n v="13.44"/>
  </r>
  <r>
    <x v="0"/>
    <x v="8"/>
    <x v="1"/>
    <x v="2"/>
    <s v="EE_Industry"/>
    <x v="22"/>
    <n v="79.847999999999999"/>
    <n v="22.18"/>
  </r>
  <r>
    <x v="0"/>
    <x v="8"/>
    <x v="1"/>
    <x v="2"/>
    <s v="EE_Industry"/>
    <x v="23"/>
    <n v="0.31515896120488701"/>
    <n v="8.7544155890246306E-2"/>
  </r>
  <r>
    <x v="0"/>
    <x v="8"/>
    <x v="1"/>
    <x v="2"/>
    <s v="EE_Industry"/>
    <x v="24"/>
    <n v="19.174223581093901"/>
    <n v="5.32617321697054"/>
  </r>
  <r>
    <x v="0"/>
    <x v="8"/>
    <x v="1"/>
    <x v="2"/>
    <s v="EE_Industry"/>
    <x v="25"/>
    <n v="22.356874337357301"/>
    <n v="6.2102428714881297"/>
  </r>
  <r>
    <x v="0"/>
    <x v="8"/>
    <x v="1"/>
    <x v="2"/>
    <s v="EE_Industry"/>
    <x v="26"/>
    <n v="29.6651032387655"/>
    <n v="8.2403064552126306"/>
  </r>
  <r>
    <x v="0"/>
    <x v="8"/>
    <x v="1"/>
    <x v="2"/>
    <s v="EE_Industry"/>
    <x v="27"/>
    <n v="20.163995508318798"/>
    <n v="5.6011098634218799"/>
  </r>
  <r>
    <x v="0"/>
    <x v="8"/>
    <x v="1"/>
    <x v="2"/>
    <s v="EE_Kohtla_Jarve"/>
    <x v="1"/>
    <n v="35.989199999999997"/>
    <n v="9.9969999999999999"/>
  </r>
  <r>
    <x v="0"/>
    <x v="8"/>
    <x v="1"/>
    <x v="2"/>
    <s v="EE_Kohtla_Jarve"/>
    <x v="2"/>
    <n v="48.384"/>
    <n v="13.44"/>
  </r>
  <r>
    <x v="0"/>
    <x v="8"/>
    <x v="1"/>
    <x v="2"/>
    <s v="EE_Kohtla_Jarve"/>
    <x v="0"/>
    <n v="42.692399999999999"/>
    <n v="11.859"/>
  </r>
  <r>
    <x v="0"/>
    <x v="8"/>
    <x v="1"/>
    <x v="2"/>
    <s v="EE_Kohtla_Jarve"/>
    <x v="3"/>
    <n v="51.633543144067197"/>
    <n v="14.342650873352"/>
  </r>
  <r>
    <x v="0"/>
    <x v="8"/>
    <x v="1"/>
    <x v="2"/>
    <s v="EE_Kohtla_Jarve"/>
    <x v="4"/>
    <n v="8.1139884009941898"/>
    <n v="2.2538856669428302"/>
  </r>
  <r>
    <x v="0"/>
    <x v="8"/>
    <x v="1"/>
    <x v="2"/>
    <s v="EE_Kohtla_Jarve"/>
    <x v="5"/>
    <n v="8.1139884009941898"/>
    <n v="2.2538856669428302"/>
  </r>
  <r>
    <x v="0"/>
    <x v="8"/>
    <x v="1"/>
    <x v="2"/>
    <s v="EE_Kohtla_Jarve"/>
    <x v="6"/>
    <n v="29.476231795214598"/>
    <n v="8.1878421653373898"/>
  </r>
  <r>
    <x v="0"/>
    <x v="8"/>
    <x v="1"/>
    <x v="2"/>
    <s v="EE_Kohtla_Jarve"/>
    <x v="7"/>
    <n v="57.838935220261199"/>
    <n v="16.066370894517"/>
  </r>
  <r>
    <x v="0"/>
    <x v="8"/>
    <x v="1"/>
    <x v="2"/>
    <s v="EE_Kohtla_Jarve"/>
    <x v="8"/>
    <n v="57.838935220261199"/>
    <n v="16.066370894517"/>
  </r>
  <r>
    <x v="0"/>
    <x v="8"/>
    <x v="1"/>
    <x v="2"/>
    <s v="EE_Kohtla_Jarve"/>
    <x v="9"/>
    <n v="44.803327257663497"/>
    <n v="12.4453686826843"/>
  </r>
  <r>
    <x v="0"/>
    <x v="8"/>
    <x v="1"/>
    <x v="2"/>
    <s v="EE_Kohtla_Jarve"/>
    <x v="10"/>
    <n v="54.681226180612903"/>
    <n v="15.1892294946147"/>
  </r>
  <r>
    <x v="0"/>
    <x v="8"/>
    <x v="1"/>
    <x v="2"/>
    <s v="EE_Kohtla_Jarve"/>
    <x v="11"/>
    <n v="3.8806031483015802"/>
    <n v="1.07794531897266"/>
  </r>
  <r>
    <x v="0"/>
    <x v="8"/>
    <x v="1"/>
    <x v="2"/>
    <s v="EE_Kohtla_Jarve"/>
    <x v="12"/>
    <n v="9.7995028997514597E-2"/>
    <n v="2.72208413881985E-2"/>
  </r>
  <r>
    <x v="0"/>
    <x v="8"/>
    <x v="1"/>
    <x v="2"/>
    <s v="EE_Kohtla_Jarve"/>
    <x v="13"/>
    <n v="21.5197083678542"/>
    <n v="5.9776967688483804"/>
  </r>
  <r>
    <x v="0"/>
    <x v="8"/>
    <x v="1"/>
    <x v="2"/>
    <s v="EE_Kohtla_Jarve"/>
    <x v="14"/>
    <n v="21.5197083678542"/>
    <n v="5.9776967688483804"/>
  </r>
  <r>
    <x v="0"/>
    <x v="8"/>
    <x v="1"/>
    <x v="2"/>
    <s v="EE_Kohtla_Jarve"/>
    <x v="15"/>
    <n v="1.65807589063794"/>
    <n v="0.46057663628831802"/>
  </r>
  <r>
    <x v="0"/>
    <x v="8"/>
    <x v="1"/>
    <x v="2"/>
    <s v="EE_Kohtla_Jarve"/>
    <x v="16"/>
    <n v="4.9884429139200002"/>
    <n v="1.3856785871999999"/>
  </r>
  <r>
    <x v="0"/>
    <x v="8"/>
    <x v="1"/>
    <x v="2"/>
    <s v="EE_Kohtla_Jarve"/>
    <x v="17"/>
    <n v="9.1244895875632395"/>
    <n v="2.5345804409897901"/>
  </r>
  <r>
    <x v="0"/>
    <x v="8"/>
    <x v="1"/>
    <x v="2"/>
    <s v="EE_Kohtla_Jarve"/>
    <x v="18"/>
    <n v="21.5197083678542"/>
    <n v="5.9776967688483804"/>
  </r>
  <r>
    <x v="0"/>
    <x v="8"/>
    <x v="1"/>
    <x v="2"/>
    <s v="EE_Kohtla_Jarve"/>
    <x v="19"/>
    <n v="8.1139884009941898"/>
    <n v="2.2538856669428302"/>
  </r>
  <r>
    <x v="0"/>
    <x v="8"/>
    <x v="1"/>
    <x v="2"/>
    <s v="EE_Kohtla_Jarve"/>
    <x v="20"/>
    <n v="19.336735244541"/>
    <n v="5.37131534570584"/>
  </r>
  <r>
    <x v="0"/>
    <x v="8"/>
    <x v="1"/>
    <x v="2"/>
    <s v="EE_Kohtla_Jarve"/>
    <x v="21"/>
    <n v="48.384"/>
    <n v="13.44"/>
  </r>
  <r>
    <x v="0"/>
    <x v="8"/>
    <x v="1"/>
    <x v="2"/>
    <s v="EE_Kohtla_Jarve"/>
    <x v="22"/>
    <n v="79.847999999999999"/>
    <n v="22.18"/>
  </r>
  <r>
    <x v="0"/>
    <x v="8"/>
    <x v="1"/>
    <x v="2"/>
    <s v="EE_Kohtla_Jarve"/>
    <x v="23"/>
    <n v="0.31515896120488701"/>
    <n v="8.7544155890246306E-2"/>
  </r>
  <r>
    <x v="0"/>
    <x v="8"/>
    <x v="1"/>
    <x v="2"/>
    <s v="EE_Kohtla_Jarve"/>
    <x v="24"/>
    <n v="19.174223581093901"/>
    <n v="5.32617321697054"/>
  </r>
  <r>
    <x v="0"/>
    <x v="8"/>
    <x v="1"/>
    <x v="2"/>
    <s v="EE_Kohtla_Jarve"/>
    <x v="25"/>
    <n v="22.356874337357301"/>
    <n v="6.2102428714881297"/>
  </r>
  <r>
    <x v="0"/>
    <x v="8"/>
    <x v="1"/>
    <x v="2"/>
    <s v="EE_Kohtla_Jarve"/>
    <x v="26"/>
    <n v="29.6651032387655"/>
    <n v="8.2403064552126306"/>
  </r>
  <r>
    <x v="0"/>
    <x v="8"/>
    <x v="1"/>
    <x v="2"/>
    <s v="EE_Kohtla_Jarve"/>
    <x v="27"/>
    <n v="20.163995508318798"/>
    <n v="5.6011098634218799"/>
  </r>
  <r>
    <x v="0"/>
    <x v="8"/>
    <x v="1"/>
    <x v="2"/>
    <s v="EE_Narva"/>
    <x v="1"/>
    <n v="35.989199999999997"/>
    <n v="9.9969999999999999"/>
  </r>
  <r>
    <x v="0"/>
    <x v="8"/>
    <x v="1"/>
    <x v="2"/>
    <s v="EE_Narva"/>
    <x v="2"/>
    <n v="48.384"/>
    <n v="13.44"/>
  </r>
  <r>
    <x v="0"/>
    <x v="8"/>
    <x v="1"/>
    <x v="2"/>
    <s v="EE_Narva"/>
    <x v="0"/>
    <n v="42.692399999999999"/>
    <n v="11.859"/>
  </r>
  <r>
    <x v="0"/>
    <x v="8"/>
    <x v="1"/>
    <x v="2"/>
    <s v="EE_Narva"/>
    <x v="3"/>
    <n v="51.633543144067197"/>
    <n v="14.342650873352"/>
  </r>
  <r>
    <x v="0"/>
    <x v="8"/>
    <x v="1"/>
    <x v="2"/>
    <s v="EE_Narva"/>
    <x v="4"/>
    <n v="8.1139884009941898"/>
    <n v="2.2538856669428302"/>
  </r>
  <r>
    <x v="0"/>
    <x v="8"/>
    <x v="1"/>
    <x v="2"/>
    <s v="EE_Narva"/>
    <x v="5"/>
    <n v="8.1139884009941898"/>
    <n v="2.2538856669428302"/>
  </r>
  <r>
    <x v="0"/>
    <x v="8"/>
    <x v="1"/>
    <x v="2"/>
    <s v="EE_Narva"/>
    <x v="6"/>
    <n v="29.476231795214598"/>
    <n v="8.1878421653373898"/>
  </r>
  <r>
    <x v="0"/>
    <x v="8"/>
    <x v="1"/>
    <x v="2"/>
    <s v="EE_Narva"/>
    <x v="7"/>
    <n v="57.838935220261199"/>
    <n v="16.066370894517"/>
  </r>
  <r>
    <x v="0"/>
    <x v="8"/>
    <x v="1"/>
    <x v="2"/>
    <s v="EE_Narva"/>
    <x v="8"/>
    <n v="57.838935220261199"/>
    <n v="16.066370894517"/>
  </r>
  <r>
    <x v="0"/>
    <x v="8"/>
    <x v="1"/>
    <x v="2"/>
    <s v="EE_Narva"/>
    <x v="9"/>
    <n v="44.803327257663497"/>
    <n v="12.4453686826843"/>
  </r>
  <r>
    <x v="0"/>
    <x v="8"/>
    <x v="1"/>
    <x v="2"/>
    <s v="EE_Narva"/>
    <x v="10"/>
    <n v="54.681226180612903"/>
    <n v="15.1892294946147"/>
  </r>
  <r>
    <x v="0"/>
    <x v="8"/>
    <x v="1"/>
    <x v="2"/>
    <s v="EE_Narva"/>
    <x v="11"/>
    <n v="3.8806031483015802"/>
    <n v="1.07794531897266"/>
  </r>
  <r>
    <x v="0"/>
    <x v="8"/>
    <x v="1"/>
    <x v="2"/>
    <s v="EE_Narva"/>
    <x v="12"/>
    <n v="9.7995028997514597E-2"/>
    <n v="2.72208413881985E-2"/>
  </r>
  <r>
    <x v="0"/>
    <x v="8"/>
    <x v="1"/>
    <x v="2"/>
    <s v="EE_Narva"/>
    <x v="13"/>
    <n v="21.5197083678542"/>
    <n v="5.9776967688483804"/>
  </r>
  <r>
    <x v="0"/>
    <x v="8"/>
    <x v="1"/>
    <x v="2"/>
    <s v="EE_Narva"/>
    <x v="14"/>
    <n v="21.5197083678542"/>
    <n v="5.9776967688483804"/>
  </r>
  <r>
    <x v="0"/>
    <x v="8"/>
    <x v="1"/>
    <x v="2"/>
    <s v="EE_Narva"/>
    <x v="15"/>
    <n v="1.65807589063794"/>
    <n v="0.46057663628831802"/>
  </r>
  <r>
    <x v="0"/>
    <x v="8"/>
    <x v="1"/>
    <x v="2"/>
    <s v="EE_Narva"/>
    <x v="16"/>
    <n v="4.9884429139200002"/>
    <n v="1.3856785871999999"/>
  </r>
  <r>
    <x v="0"/>
    <x v="8"/>
    <x v="1"/>
    <x v="2"/>
    <s v="EE_Narva"/>
    <x v="17"/>
    <n v="9.1244895875632395"/>
    <n v="2.5345804409897901"/>
  </r>
  <r>
    <x v="0"/>
    <x v="8"/>
    <x v="1"/>
    <x v="2"/>
    <s v="EE_Narva"/>
    <x v="18"/>
    <n v="21.5197083678542"/>
    <n v="5.9776967688483804"/>
  </r>
  <r>
    <x v="0"/>
    <x v="8"/>
    <x v="1"/>
    <x v="2"/>
    <s v="EE_Narva"/>
    <x v="19"/>
    <n v="8.1139884009941898"/>
    <n v="2.2538856669428302"/>
  </r>
  <r>
    <x v="0"/>
    <x v="8"/>
    <x v="1"/>
    <x v="2"/>
    <s v="EE_Narva"/>
    <x v="20"/>
    <n v="19.336735244541"/>
    <n v="5.37131534570584"/>
  </r>
  <r>
    <x v="0"/>
    <x v="8"/>
    <x v="1"/>
    <x v="2"/>
    <s v="EE_Narva"/>
    <x v="21"/>
    <n v="48.384"/>
    <n v="13.44"/>
  </r>
  <r>
    <x v="0"/>
    <x v="8"/>
    <x v="1"/>
    <x v="2"/>
    <s v="EE_Narva"/>
    <x v="22"/>
    <n v="79.847999999999999"/>
    <n v="22.18"/>
  </r>
  <r>
    <x v="0"/>
    <x v="8"/>
    <x v="1"/>
    <x v="2"/>
    <s v="EE_Narva"/>
    <x v="23"/>
    <n v="0.31515896120488701"/>
    <n v="8.7544155890246306E-2"/>
  </r>
  <r>
    <x v="0"/>
    <x v="8"/>
    <x v="1"/>
    <x v="2"/>
    <s v="EE_Narva"/>
    <x v="24"/>
    <n v="19.174223581093901"/>
    <n v="5.32617321697054"/>
  </r>
  <r>
    <x v="0"/>
    <x v="8"/>
    <x v="1"/>
    <x v="2"/>
    <s v="EE_Narva"/>
    <x v="25"/>
    <n v="22.356874337357301"/>
    <n v="6.2102428714881297"/>
  </r>
  <r>
    <x v="0"/>
    <x v="8"/>
    <x v="1"/>
    <x v="2"/>
    <s v="EE_Narva"/>
    <x v="26"/>
    <n v="29.6651032387655"/>
    <n v="8.2403064552126306"/>
  </r>
  <r>
    <x v="0"/>
    <x v="8"/>
    <x v="1"/>
    <x v="2"/>
    <s v="EE_Narva"/>
    <x v="27"/>
    <n v="20.163995508318798"/>
    <n v="5.6011098634218799"/>
  </r>
  <r>
    <x v="0"/>
    <x v="8"/>
    <x v="1"/>
    <x v="2"/>
    <s v="EE_OFFSHORE"/>
    <x v="1"/>
    <n v="35.989199999999997"/>
    <n v="9.9969999999999999"/>
  </r>
  <r>
    <x v="0"/>
    <x v="8"/>
    <x v="1"/>
    <x v="2"/>
    <s v="EE_OFFSHORE"/>
    <x v="2"/>
    <n v="48.384"/>
    <n v="13.44"/>
  </r>
  <r>
    <x v="0"/>
    <x v="8"/>
    <x v="1"/>
    <x v="2"/>
    <s v="EE_OFFSHORE"/>
    <x v="0"/>
    <n v="42.692399999999999"/>
    <n v="11.859"/>
  </r>
  <r>
    <x v="0"/>
    <x v="8"/>
    <x v="1"/>
    <x v="2"/>
    <s v="EE_OFFSHORE"/>
    <x v="3"/>
    <n v="51.633543144067197"/>
    <n v="14.342650873352"/>
  </r>
  <r>
    <x v="0"/>
    <x v="8"/>
    <x v="1"/>
    <x v="2"/>
    <s v="EE_OFFSHORE"/>
    <x v="4"/>
    <n v="8.1139884009941898"/>
    <n v="2.2538856669428302"/>
  </r>
  <r>
    <x v="0"/>
    <x v="8"/>
    <x v="1"/>
    <x v="2"/>
    <s v="EE_OFFSHORE"/>
    <x v="5"/>
    <n v="8.1139884009941898"/>
    <n v="2.2538856669428302"/>
  </r>
  <r>
    <x v="0"/>
    <x v="8"/>
    <x v="1"/>
    <x v="2"/>
    <s v="EE_OFFSHORE"/>
    <x v="6"/>
    <n v="29.476231795214598"/>
    <n v="8.1878421653373898"/>
  </r>
  <r>
    <x v="0"/>
    <x v="8"/>
    <x v="1"/>
    <x v="2"/>
    <s v="EE_OFFSHORE"/>
    <x v="7"/>
    <n v="57.838935220261199"/>
    <n v="16.066370894517"/>
  </r>
  <r>
    <x v="0"/>
    <x v="8"/>
    <x v="1"/>
    <x v="2"/>
    <s v="EE_OFFSHORE"/>
    <x v="8"/>
    <n v="57.838935220261199"/>
    <n v="16.066370894517"/>
  </r>
  <r>
    <x v="0"/>
    <x v="8"/>
    <x v="1"/>
    <x v="2"/>
    <s v="EE_OFFSHORE"/>
    <x v="9"/>
    <n v="44.803327257663497"/>
    <n v="12.4453686826843"/>
  </r>
  <r>
    <x v="0"/>
    <x v="8"/>
    <x v="1"/>
    <x v="2"/>
    <s v="EE_OFFSHORE"/>
    <x v="10"/>
    <n v="54.681226180612903"/>
    <n v="15.1892294946147"/>
  </r>
  <r>
    <x v="0"/>
    <x v="8"/>
    <x v="1"/>
    <x v="2"/>
    <s v="EE_OFFSHORE"/>
    <x v="11"/>
    <n v="3.8806031483015802"/>
    <n v="1.07794531897266"/>
  </r>
  <r>
    <x v="0"/>
    <x v="8"/>
    <x v="1"/>
    <x v="2"/>
    <s v="EE_OFFSHORE"/>
    <x v="12"/>
    <n v="9.7995028997514597E-2"/>
    <n v="2.72208413881985E-2"/>
  </r>
  <r>
    <x v="0"/>
    <x v="8"/>
    <x v="1"/>
    <x v="2"/>
    <s v="EE_OFFSHORE"/>
    <x v="13"/>
    <n v="21.5197083678542"/>
    <n v="5.9776967688483804"/>
  </r>
  <r>
    <x v="0"/>
    <x v="8"/>
    <x v="1"/>
    <x v="2"/>
    <s v="EE_OFFSHORE"/>
    <x v="14"/>
    <n v="21.5197083678542"/>
    <n v="5.9776967688483804"/>
  </r>
  <r>
    <x v="0"/>
    <x v="8"/>
    <x v="1"/>
    <x v="2"/>
    <s v="EE_OFFSHORE"/>
    <x v="15"/>
    <n v="1.65807589063794"/>
    <n v="0.46057663628831802"/>
  </r>
  <r>
    <x v="0"/>
    <x v="8"/>
    <x v="1"/>
    <x v="2"/>
    <s v="EE_OFFSHORE"/>
    <x v="16"/>
    <n v="4.9884429139200002"/>
    <n v="1.3856785871999999"/>
  </r>
  <r>
    <x v="0"/>
    <x v="8"/>
    <x v="1"/>
    <x v="2"/>
    <s v="EE_OFFSHORE"/>
    <x v="17"/>
    <n v="9.1244895875632395"/>
    <n v="2.5345804409897901"/>
  </r>
  <r>
    <x v="0"/>
    <x v="8"/>
    <x v="1"/>
    <x v="2"/>
    <s v="EE_OFFSHORE"/>
    <x v="18"/>
    <n v="21.5197083678542"/>
    <n v="5.9776967688483804"/>
  </r>
  <r>
    <x v="0"/>
    <x v="8"/>
    <x v="1"/>
    <x v="2"/>
    <s v="EE_OFFSHORE"/>
    <x v="19"/>
    <n v="8.1139884009941898"/>
    <n v="2.2538856669428302"/>
  </r>
  <r>
    <x v="0"/>
    <x v="8"/>
    <x v="1"/>
    <x v="2"/>
    <s v="EE_OFFSHORE"/>
    <x v="20"/>
    <n v="19.336735244541"/>
    <n v="5.37131534570584"/>
  </r>
  <r>
    <x v="0"/>
    <x v="8"/>
    <x v="1"/>
    <x v="2"/>
    <s v="EE_OFFSHORE"/>
    <x v="21"/>
    <n v="48.384"/>
    <n v="13.44"/>
  </r>
  <r>
    <x v="0"/>
    <x v="8"/>
    <x v="1"/>
    <x v="2"/>
    <s v="EE_OFFSHORE"/>
    <x v="22"/>
    <n v="79.847999999999999"/>
    <n v="22.18"/>
  </r>
  <r>
    <x v="0"/>
    <x v="8"/>
    <x v="1"/>
    <x v="2"/>
    <s v="EE_OFFSHORE"/>
    <x v="23"/>
    <n v="0.31515896120488701"/>
    <n v="8.7544155890246306E-2"/>
  </r>
  <r>
    <x v="0"/>
    <x v="8"/>
    <x v="1"/>
    <x v="2"/>
    <s v="EE_OFFSHORE"/>
    <x v="24"/>
    <n v="19.174223581093901"/>
    <n v="5.32617321697054"/>
  </r>
  <r>
    <x v="0"/>
    <x v="8"/>
    <x v="1"/>
    <x v="2"/>
    <s v="EE_OFFSHORE"/>
    <x v="25"/>
    <n v="22.356874337357301"/>
    <n v="6.2102428714881297"/>
  </r>
  <r>
    <x v="0"/>
    <x v="8"/>
    <x v="1"/>
    <x v="2"/>
    <s v="EE_OFFSHORE"/>
    <x v="26"/>
    <n v="29.6651032387655"/>
    <n v="8.2403064552126306"/>
  </r>
  <r>
    <x v="0"/>
    <x v="8"/>
    <x v="1"/>
    <x v="2"/>
    <s v="EE_OFFSHORE"/>
    <x v="27"/>
    <n v="20.163995508318798"/>
    <n v="5.6011098634218799"/>
  </r>
  <r>
    <x v="0"/>
    <x v="8"/>
    <x v="1"/>
    <x v="2"/>
    <s v="EE_Parnu"/>
    <x v="1"/>
    <n v="35.989199999999997"/>
    <n v="9.9969999999999999"/>
  </r>
  <r>
    <x v="0"/>
    <x v="8"/>
    <x v="1"/>
    <x v="2"/>
    <s v="EE_Parnu"/>
    <x v="2"/>
    <n v="48.384"/>
    <n v="13.44"/>
  </r>
  <r>
    <x v="0"/>
    <x v="8"/>
    <x v="1"/>
    <x v="2"/>
    <s v="EE_Parnu"/>
    <x v="0"/>
    <n v="42.692399999999999"/>
    <n v="11.859"/>
  </r>
  <r>
    <x v="0"/>
    <x v="8"/>
    <x v="1"/>
    <x v="2"/>
    <s v="EE_Parnu"/>
    <x v="3"/>
    <n v="51.633543144067197"/>
    <n v="14.342650873352"/>
  </r>
  <r>
    <x v="0"/>
    <x v="8"/>
    <x v="1"/>
    <x v="2"/>
    <s v="EE_Parnu"/>
    <x v="4"/>
    <n v="8.1139884009941898"/>
    <n v="2.2538856669428302"/>
  </r>
  <r>
    <x v="0"/>
    <x v="8"/>
    <x v="1"/>
    <x v="2"/>
    <s v="EE_Parnu"/>
    <x v="5"/>
    <n v="8.1139884009941898"/>
    <n v="2.2538856669428302"/>
  </r>
  <r>
    <x v="0"/>
    <x v="8"/>
    <x v="1"/>
    <x v="2"/>
    <s v="EE_Parnu"/>
    <x v="6"/>
    <n v="29.476231795214598"/>
    <n v="8.1878421653373898"/>
  </r>
  <r>
    <x v="0"/>
    <x v="8"/>
    <x v="1"/>
    <x v="2"/>
    <s v="EE_Parnu"/>
    <x v="7"/>
    <n v="57.838935220261199"/>
    <n v="16.066370894517"/>
  </r>
  <r>
    <x v="0"/>
    <x v="8"/>
    <x v="1"/>
    <x v="2"/>
    <s v="EE_Parnu"/>
    <x v="8"/>
    <n v="57.838935220261199"/>
    <n v="16.066370894517"/>
  </r>
  <r>
    <x v="0"/>
    <x v="8"/>
    <x v="1"/>
    <x v="2"/>
    <s v="EE_Parnu"/>
    <x v="9"/>
    <n v="44.803327257663497"/>
    <n v="12.4453686826843"/>
  </r>
  <r>
    <x v="0"/>
    <x v="8"/>
    <x v="1"/>
    <x v="2"/>
    <s v="EE_Parnu"/>
    <x v="10"/>
    <n v="54.681226180612903"/>
    <n v="15.1892294946147"/>
  </r>
  <r>
    <x v="0"/>
    <x v="8"/>
    <x v="1"/>
    <x v="2"/>
    <s v="EE_Parnu"/>
    <x v="11"/>
    <n v="3.8806031483015802"/>
    <n v="1.07794531897266"/>
  </r>
  <r>
    <x v="0"/>
    <x v="8"/>
    <x v="1"/>
    <x v="2"/>
    <s v="EE_Parnu"/>
    <x v="12"/>
    <n v="9.7995028997514597E-2"/>
    <n v="2.72208413881985E-2"/>
  </r>
  <r>
    <x v="0"/>
    <x v="8"/>
    <x v="1"/>
    <x v="2"/>
    <s v="EE_Parnu"/>
    <x v="13"/>
    <n v="21.5197083678542"/>
    <n v="5.9776967688483804"/>
  </r>
  <r>
    <x v="0"/>
    <x v="8"/>
    <x v="1"/>
    <x v="2"/>
    <s v="EE_Parnu"/>
    <x v="14"/>
    <n v="21.5197083678542"/>
    <n v="5.9776967688483804"/>
  </r>
  <r>
    <x v="0"/>
    <x v="8"/>
    <x v="1"/>
    <x v="2"/>
    <s v="EE_Parnu"/>
    <x v="15"/>
    <n v="1.65807589063794"/>
    <n v="0.46057663628831802"/>
  </r>
  <r>
    <x v="0"/>
    <x v="8"/>
    <x v="1"/>
    <x v="2"/>
    <s v="EE_Parnu"/>
    <x v="16"/>
    <n v="4.9884429139200002"/>
    <n v="1.3856785871999999"/>
  </r>
  <r>
    <x v="0"/>
    <x v="8"/>
    <x v="1"/>
    <x v="2"/>
    <s v="EE_Parnu"/>
    <x v="17"/>
    <n v="9.1244895875632395"/>
    <n v="2.5345804409897901"/>
  </r>
  <r>
    <x v="0"/>
    <x v="8"/>
    <x v="1"/>
    <x v="2"/>
    <s v="EE_Parnu"/>
    <x v="18"/>
    <n v="21.5197083678542"/>
    <n v="5.9776967688483804"/>
  </r>
  <r>
    <x v="0"/>
    <x v="8"/>
    <x v="1"/>
    <x v="2"/>
    <s v="EE_Parnu"/>
    <x v="19"/>
    <n v="8.1139884009941898"/>
    <n v="2.2538856669428302"/>
  </r>
  <r>
    <x v="0"/>
    <x v="8"/>
    <x v="1"/>
    <x v="2"/>
    <s v="EE_Parnu"/>
    <x v="20"/>
    <n v="19.336735244541"/>
    <n v="5.37131534570584"/>
  </r>
  <r>
    <x v="0"/>
    <x v="8"/>
    <x v="1"/>
    <x v="2"/>
    <s v="EE_Parnu"/>
    <x v="21"/>
    <n v="48.384"/>
    <n v="13.44"/>
  </r>
  <r>
    <x v="0"/>
    <x v="8"/>
    <x v="1"/>
    <x v="2"/>
    <s v="EE_Parnu"/>
    <x v="22"/>
    <n v="79.847999999999999"/>
    <n v="22.18"/>
  </r>
  <r>
    <x v="0"/>
    <x v="8"/>
    <x v="1"/>
    <x v="2"/>
    <s v="EE_Parnu"/>
    <x v="23"/>
    <n v="0.31515896120488701"/>
    <n v="8.7544155890246306E-2"/>
  </r>
  <r>
    <x v="0"/>
    <x v="8"/>
    <x v="1"/>
    <x v="2"/>
    <s v="EE_Parnu"/>
    <x v="24"/>
    <n v="19.174223581093901"/>
    <n v="5.32617321697054"/>
  </r>
  <r>
    <x v="0"/>
    <x v="8"/>
    <x v="1"/>
    <x v="2"/>
    <s v="EE_Parnu"/>
    <x v="25"/>
    <n v="22.356874337357301"/>
    <n v="6.2102428714881297"/>
  </r>
  <r>
    <x v="0"/>
    <x v="8"/>
    <x v="1"/>
    <x v="2"/>
    <s v="EE_Parnu"/>
    <x v="26"/>
    <n v="29.6651032387655"/>
    <n v="8.2403064552126306"/>
  </r>
  <r>
    <x v="0"/>
    <x v="8"/>
    <x v="1"/>
    <x v="2"/>
    <s v="EE_Parnu"/>
    <x v="27"/>
    <n v="20.163995508318798"/>
    <n v="5.6011098634218799"/>
  </r>
  <r>
    <x v="0"/>
    <x v="8"/>
    <x v="1"/>
    <x v="2"/>
    <s v="EE_Rural"/>
    <x v="1"/>
    <n v="35.989199999999997"/>
    <n v="9.9969999999999999"/>
  </r>
  <r>
    <x v="0"/>
    <x v="8"/>
    <x v="1"/>
    <x v="2"/>
    <s v="EE_Rural"/>
    <x v="2"/>
    <n v="48.384"/>
    <n v="13.44"/>
  </r>
  <r>
    <x v="0"/>
    <x v="8"/>
    <x v="1"/>
    <x v="2"/>
    <s v="EE_Rural"/>
    <x v="0"/>
    <n v="42.692399999999999"/>
    <n v="11.859"/>
  </r>
  <r>
    <x v="0"/>
    <x v="8"/>
    <x v="1"/>
    <x v="2"/>
    <s v="EE_Rural"/>
    <x v="3"/>
    <n v="51.633543144067197"/>
    <n v="14.342650873352"/>
  </r>
  <r>
    <x v="0"/>
    <x v="8"/>
    <x v="1"/>
    <x v="2"/>
    <s v="EE_Rural"/>
    <x v="4"/>
    <n v="8.1139884009941898"/>
    <n v="2.2538856669428302"/>
  </r>
  <r>
    <x v="0"/>
    <x v="8"/>
    <x v="1"/>
    <x v="2"/>
    <s v="EE_Rural"/>
    <x v="5"/>
    <n v="8.1139884009941898"/>
    <n v="2.2538856669428302"/>
  </r>
  <r>
    <x v="0"/>
    <x v="8"/>
    <x v="1"/>
    <x v="2"/>
    <s v="EE_Rural"/>
    <x v="6"/>
    <n v="29.476231795214598"/>
    <n v="8.1878421653373898"/>
  </r>
  <r>
    <x v="0"/>
    <x v="8"/>
    <x v="1"/>
    <x v="2"/>
    <s v="EE_Rural"/>
    <x v="7"/>
    <n v="57.838935220261199"/>
    <n v="16.066370894517"/>
  </r>
  <r>
    <x v="0"/>
    <x v="8"/>
    <x v="1"/>
    <x v="2"/>
    <s v="EE_Rural"/>
    <x v="8"/>
    <n v="57.838935220261199"/>
    <n v="16.066370894517"/>
  </r>
  <r>
    <x v="0"/>
    <x v="8"/>
    <x v="1"/>
    <x v="2"/>
    <s v="EE_Rural"/>
    <x v="9"/>
    <n v="44.803327257663497"/>
    <n v="12.4453686826843"/>
  </r>
  <r>
    <x v="0"/>
    <x v="8"/>
    <x v="1"/>
    <x v="2"/>
    <s v="EE_Rural"/>
    <x v="10"/>
    <n v="54.681226180612903"/>
    <n v="15.1892294946147"/>
  </r>
  <r>
    <x v="0"/>
    <x v="8"/>
    <x v="1"/>
    <x v="2"/>
    <s v="EE_Rural"/>
    <x v="11"/>
    <n v="3.8806031483015802"/>
    <n v="1.07794531897266"/>
  </r>
  <r>
    <x v="0"/>
    <x v="8"/>
    <x v="1"/>
    <x v="2"/>
    <s v="EE_Rural"/>
    <x v="12"/>
    <n v="9.7995028997514597E-2"/>
    <n v="2.72208413881985E-2"/>
  </r>
  <r>
    <x v="0"/>
    <x v="8"/>
    <x v="1"/>
    <x v="2"/>
    <s v="EE_Rural"/>
    <x v="13"/>
    <n v="21.5197083678542"/>
    <n v="5.9776967688483804"/>
  </r>
  <r>
    <x v="0"/>
    <x v="8"/>
    <x v="1"/>
    <x v="2"/>
    <s v="EE_Rural"/>
    <x v="14"/>
    <n v="21.5197083678542"/>
    <n v="5.9776967688483804"/>
  </r>
  <r>
    <x v="0"/>
    <x v="8"/>
    <x v="1"/>
    <x v="2"/>
    <s v="EE_Rural"/>
    <x v="15"/>
    <n v="1.65807589063794"/>
    <n v="0.46057663628831802"/>
  </r>
  <r>
    <x v="0"/>
    <x v="8"/>
    <x v="1"/>
    <x v="2"/>
    <s v="EE_Rural"/>
    <x v="16"/>
    <n v="4.9884429139200002"/>
    <n v="1.3856785871999999"/>
  </r>
  <r>
    <x v="0"/>
    <x v="8"/>
    <x v="1"/>
    <x v="2"/>
    <s v="EE_Rural"/>
    <x v="17"/>
    <n v="9.1244895875632395"/>
    <n v="2.5345804409897901"/>
  </r>
  <r>
    <x v="0"/>
    <x v="8"/>
    <x v="1"/>
    <x v="2"/>
    <s v="EE_Rural"/>
    <x v="18"/>
    <n v="21.5197083678542"/>
    <n v="5.9776967688483804"/>
  </r>
  <r>
    <x v="0"/>
    <x v="8"/>
    <x v="1"/>
    <x v="2"/>
    <s v="EE_Rural"/>
    <x v="19"/>
    <n v="8.1139884009941898"/>
    <n v="2.2538856669428302"/>
  </r>
  <r>
    <x v="0"/>
    <x v="8"/>
    <x v="1"/>
    <x v="2"/>
    <s v="EE_Rural"/>
    <x v="20"/>
    <n v="19.336735244541"/>
    <n v="5.37131534570584"/>
  </r>
  <r>
    <x v="0"/>
    <x v="8"/>
    <x v="1"/>
    <x v="2"/>
    <s v="EE_Rural"/>
    <x v="21"/>
    <n v="48.384"/>
    <n v="13.44"/>
  </r>
  <r>
    <x v="0"/>
    <x v="8"/>
    <x v="1"/>
    <x v="2"/>
    <s v="EE_Rural"/>
    <x v="22"/>
    <n v="79.847999999999999"/>
    <n v="22.18"/>
  </r>
  <r>
    <x v="0"/>
    <x v="8"/>
    <x v="1"/>
    <x v="2"/>
    <s v="EE_Rural"/>
    <x v="23"/>
    <n v="0.31515896120488701"/>
    <n v="8.7544155890246306E-2"/>
  </r>
  <r>
    <x v="0"/>
    <x v="8"/>
    <x v="1"/>
    <x v="2"/>
    <s v="EE_Rural"/>
    <x v="24"/>
    <n v="19.174223581093901"/>
    <n v="5.32617321697054"/>
  </r>
  <r>
    <x v="0"/>
    <x v="8"/>
    <x v="1"/>
    <x v="2"/>
    <s v="EE_Rural"/>
    <x v="25"/>
    <n v="22.356874337357301"/>
    <n v="6.2102428714881297"/>
  </r>
  <r>
    <x v="0"/>
    <x v="8"/>
    <x v="1"/>
    <x v="2"/>
    <s v="EE_Rural"/>
    <x v="26"/>
    <n v="29.6651032387655"/>
    <n v="8.2403064552126306"/>
  </r>
  <r>
    <x v="0"/>
    <x v="8"/>
    <x v="1"/>
    <x v="2"/>
    <s v="EE_Rural"/>
    <x v="27"/>
    <n v="20.163995508318798"/>
    <n v="5.6011098634218799"/>
  </r>
  <r>
    <x v="0"/>
    <x v="8"/>
    <x v="1"/>
    <x v="2"/>
    <s v="EE_Sillamae"/>
    <x v="1"/>
    <n v="35.989199999999997"/>
    <n v="9.9969999999999999"/>
  </r>
  <r>
    <x v="0"/>
    <x v="8"/>
    <x v="1"/>
    <x v="2"/>
    <s v="EE_Sillamae"/>
    <x v="2"/>
    <n v="48.384"/>
    <n v="13.44"/>
  </r>
  <r>
    <x v="0"/>
    <x v="8"/>
    <x v="1"/>
    <x v="2"/>
    <s v="EE_Sillamae"/>
    <x v="0"/>
    <n v="42.692399999999999"/>
    <n v="11.859"/>
  </r>
  <r>
    <x v="0"/>
    <x v="8"/>
    <x v="1"/>
    <x v="2"/>
    <s v="EE_Sillamae"/>
    <x v="3"/>
    <n v="51.633543144067197"/>
    <n v="14.342650873352"/>
  </r>
  <r>
    <x v="0"/>
    <x v="8"/>
    <x v="1"/>
    <x v="2"/>
    <s v="EE_Sillamae"/>
    <x v="4"/>
    <n v="8.1139884009941898"/>
    <n v="2.2538856669428302"/>
  </r>
  <r>
    <x v="0"/>
    <x v="8"/>
    <x v="1"/>
    <x v="2"/>
    <s v="EE_Sillamae"/>
    <x v="5"/>
    <n v="8.1139884009941898"/>
    <n v="2.2538856669428302"/>
  </r>
  <r>
    <x v="0"/>
    <x v="8"/>
    <x v="1"/>
    <x v="2"/>
    <s v="EE_Sillamae"/>
    <x v="6"/>
    <n v="29.476231795214598"/>
    <n v="8.1878421653373898"/>
  </r>
  <r>
    <x v="0"/>
    <x v="8"/>
    <x v="1"/>
    <x v="2"/>
    <s v="EE_Sillamae"/>
    <x v="7"/>
    <n v="57.838935220261199"/>
    <n v="16.066370894517"/>
  </r>
  <r>
    <x v="0"/>
    <x v="8"/>
    <x v="1"/>
    <x v="2"/>
    <s v="EE_Sillamae"/>
    <x v="8"/>
    <n v="57.838935220261199"/>
    <n v="16.066370894517"/>
  </r>
  <r>
    <x v="0"/>
    <x v="8"/>
    <x v="1"/>
    <x v="2"/>
    <s v="EE_Sillamae"/>
    <x v="9"/>
    <n v="44.803327257663497"/>
    <n v="12.4453686826843"/>
  </r>
  <r>
    <x v="0"/>
    <x v="8"/>
    <x v="1"/>
    <x v="2"/>
    <s v="EE_Sillamae"/>
    <x v="10"/>
    <n v="54.681226180612903"/>
    <n v="15.1892294946147"/>
  </r>
  <r>
    <x v="0"/>
    <x v="8"/>
    <x v="1"/>
    <x v="2"/>
    <s v="EE_Sillamae"/>
    <x v="11"/>
    <n v="3.8806031483015802"/>
    <n v="1.07794531897266"/>
  </r>
  <r>
    <x v="0"/>
    <x v="8"/>
    <x v="1"/>
    <x v="2"/>
    <s v="EE_Sillamae"/>
    <x v="12"/>
    <n v="9.7995028997514597E-2"/>
    <n v="2.72208413881985E-2"/>
  </r>
  <r>
    <x v="0"/>
    <x v="8"/>
    <x v="1"/>
    <x v="2"/>
    <s v="EE_Sillamae"/>
    <x v="13"/>
    <n v="21.5197083678542"/>
    <n v="5.9776967688483804"/>
  </r>
  <r>
    <x v="0"/>
    <x v="8"/>
    <x v="1"/>
    <x v="2"/>
    <s v="EE_Sillamae"/>
    <x v="14"/>
    <n v="21.5197083678542"/>
    <n v="5.9776967688483804"/>
  </r>
  <r>
    <x v="0"/>
    <x v="8"/>
    <x v="1"/>
    <x v="2"/>
    <s v="EE_Sillamae"/>
    <x v="15"/>
    <n v="1.65807589063794"/>
    <n v="0.46057663628831802"/>
  </r>
  <r>
    <x v="0"/>
    <x v="8"/>
    <x v="1"/>
    <x v="2"/>
    <s v="EE_Sillamae"/>
    <x v="16"/>
    <n v="4.9884429139200002"/>
    <n v="1.3856785871999999"/>
  </r>
  <r>
    <x v="0"/>
    <x v="8"/>
    <x v="1"/>
    <x v="2"/>
    <s v="EE_Sillamae"/>
    <x v="17"/>
    <n v="9.1244895875632395"/>
    <n v="2.5345804409897901"/>
  </r>
  <r>
    <x v="0"/>
    <x v="8"/>
    <x v="1"/>
    <x v="2"/>
    <s v="EE_Sillamae"/>
    <x v="18"/>
    <n v="21.5197083678542"/>
    <n v="5.9776967688483804"/>
  </r>
  <r>
    <x v="0"/>
    <x v="8"/>
    <x v="1"/>
    <x v="2"/>
    <s v="EE_Sillamae"/>
    <x v="19"/>
    <n v="8.1139884009941898"/>
    <n v="2.2538856669428302"/>
  </r>
  <r>
    <x v="0"/>
    <x v="8"/>
    <x v="1"/>
    <x v="2"/>
    <s v="EE_Sillamae"/>
    <x v="20"/>
    <n v="19.336735244541"/>
    <n v="5.37131534570584"/>
  </r>
  <r>
    <x v="0"/>
    <x v="8"/>
    <x v="1"/>
    <x v="2"/>
    <s v="EE_Sillamae"/>
    <x v="21"/>
    <n v="48.384"/>
    <n v="13.44"/>
  </r>
  <r>
    <x v="0"/>
    <x v="8"/>
    <x v="1"/>
    <x v="2"/>
    <s v="EE_Sillamae"/>
    <x v="22"/>
    <n v="79.847999999999999"/>
    <n v="22.18"/>
  </r>
  <r>
    <x v="0"/>
    <x v="8"/>
    <x v="1"/>
    <x v="2"/>
    <s v="EE_Sillamae"/>
    <x v="23"/>
    <n v="0.31515896120488701"/>
    <n v="8.7544155890246306E-2"/>
  </r>
  <r>
    <x v="0"/>
    <x v="8"/>
    <x v="1"/>
    <x v="2"/>
    <s v="EE_Sillamae"/>
    <x v="24"/>
    <n v="19.174223581093901"/>
    <n v="5.32617321697054"/>
  </r>
  <r>
    <x v="0"/>
    <x v="8"/>
    <x v="1"/>
    <x v="2"/>
    <s v="EE_Sillamae"/>
    <x v="25"/>
    <n v="22.356874337357301"/>
    <n v="6.2102428714881297"/>
  </r>
  <r>
    <x v="0"/>
    <x v="8"/>
    <x v="1"/>
    <x v="2"/>
    <s v="EE_Sillamae"/>
    <x v="26"/>
    <n v="29.6651032387655"/>
    <n v="8.2403064552126306"/>
  </r>
  <r>
    <x v="0"/>
    <x v="8"/>
    <x v="1"/>
    <x v="2"/>
    <s v="EE_Sillamae"/>
    <x v="27"/>
    <n v="20.163995508318798"/>
    <n v="5.6011098634218799"/>
  </r>
  <r>
    <x v="0"/>
    <x v="8"/>
    <x v="1"/>
    <x v="2"/>
    <s v="EE_Tallinn"/>
    <x v="1"/>
    <n v="35.989199999999997"/>
    <n v="9.9969999999999999"/>
  </r>
  <r>
    <x v="0"/>
    <x v="8"/>
    <x v="1"/>
    <x v="2"/>
    <s v="EE_Tallinn"/>
    <x v="2"/>
    <n v="48.384"/>
    <n v="13.44"/>
  </r>
  <r>
    <x v="0"/>
    <x v="8"/>
    <x v="1"/>
    <x v="2"/>
    <s v="EE_Tallinn"/>
    <x v="0"/>
    <n v="42.692399999999999"/>
    <n v="11.859"/>
  </r>
  <r>
    <x v="0"/>
    <x v="8"/>
    <x v="1"/>
    <x v="2"/>
    <s v="EE_Tallinn"/>
    <x v="3"/>
    <n v="51.633543144067197"/>
    <n v="14.342650873352"/>
  </r>
  <r>
    <x v="0"/>
    <x v="8"/>
    <x v="1"/>
    <x v="2"/>
    <s v="EE_Tallinn"/>
    <x v="4"/>
    <n v="8.1139884009941898"/>
    <n v="2.2538856669428302"/>
  </r>
  <r>
    <x v="0"/>
    <x v="8"/>
    <x v="1"/>
    <x v="2"/>
    <s v="EE_Tallinn"/>
    <x v="5"/>
    <n v="8.1139884009941898"/>
    <n v="2.2538856669428302"/>
  </r>
  <r>
    <x v="0"/>
    <x v="8"/>
    <x v="1"/>
    <x v="2"/>
    <s v="EE_Tallinn"/>
    <x v="6"/>
    <n v="29.476231795214598"/>
    <n v="8.1878421653373898"/>
  </r>
  <r>
    <x v="0"/>
    <x v="8"/>
    <x v="1"/>
    <x v="2"/>
    <s v="EE_Tallinn"/>
    <x v="7"/>
    <n v="57.838935220261199"/>
    <n v="16.066370894517"/>
  </r>
  <r>
    <x v="0"/>
    <x v="8"/>
    <x v="1"/>
    <x v="2"/>
    <s v="EE_Tallinn"/>
    <x v="8"/>
    <n v="57.838935220261199"/>
    <n v="16.066370894517"/>
  </r>
  <r>
    <x v="0"/>
    <x v="8"/>
    <x v="1"/>
    <x v="2"/>
    <s v="EE_Tallinn"/>
    <x v="9"/>
    <n v="44.803327257663497"/>
    <n v="12.4453686826843"/>
  </r>
  <r>
    <x v="0"/>
    <x v="8"/>
    <x v="1"/>
    <x v="2"/>
    <s v="EE_Tallinn"/>
    <x v="10"/>
    <n v="54.681226180612903"/>
    <n v="15.1892294946147"/>
  </r>
  <r>
    <x v="0"/>
    <x v="8"/>
    <x v="1"/>
    <x v="2"/>
    <s v="EE_Tallinn"/>
    <x v="11"/>
    <n v="3.8806031483015802"/>
    <n v="1.07794531897266"/>
  </r>
  <r>
    <x v="0"/>
    <x v="8"/>
    <x v="1"/>
    <x v="2"/>
    <s v="EE_Tallinn"/>
    <x v="12"/>
    <n v="9.7995028997514597E-2"/>
    <n v="2.72208413881985E-2"/>
  </r>
  <r>
    <x v="0"/>
    <x v="8"/>
    <x v="1"/>
    <x v="2"/>
    <s v="EE_Tallinn"/>
    <x v="13"/>
    <n v="21.5197083678542"/>
    <n v="5.9776967688483804"/>
  </r>
  <r>
    <x v="0"/>
    <x v="8"/>
    <x v="1"/>
    <x v="2"/>
    <s v="EE_Tallinn"/>
    <x v="14"/>
    <n v="21.5197083678542"/>
    <n v="5.9776967688483804"/>
  </r>
  <r>
    <x v="0"/>
    <x v="8"/>
    <x v="1"/>
    <x v="2"/>
    <s v="EE_Tallinn"/>
    <x v="15"/>
    <n v="1.65807589063794"/>
    <n v="0.46057663628831802"/>
  </r>
  <r>
    <x v="0"/>
    <x v="8"/>
    <x v="1"/>
    <x v="2"/>
    <s v="EE_Tallinn"/>
    <x v="16"/>
    <n v="4.9884429139200002"/>
    <n v="1.3856785871999999"/>
  </r>
  <r>
    <x v="0"/>
    <x v="8"/>
    <x v="1"/>
    <x v="2"/>
    <s v="EE_Tallinn"/>
    <x v="17"/>
    <n v="9.1244895875632395"/>
    <n v="2.5345804409897901"/>
  </r>
  <r>
    <x v="0"/>
    <x v="8"/>
    <x v="1"/>
    <x v="2"/>
    <s v="EE_Tallinn"/>
    <x v="18"/>
    <n v="21.5197083678542"/>
    <n v="5.9776967688483804"/>
  </r>
  <r>
    <x v="0"/>
    <x v="8"/>
    <x v="1"/>
    <x v="2"/>
    <s v="EE_Tallinn"/>
    <x v="19"/>
    <n v="8.1139884009941898"/>
    <n v="2.2538856669428302"/>
  </r>
  <r>
    <x v="0"/>
    <x v="8"/>
    <x v="1"/>
    <x v="2"/>
    <s v="EE_Tallinn"/>
    <x v="20"/>
    <n v="19.336735244541"/>
    <n v="5.37131534570584"/>
  </r>
  <r>
    <x v="0"/>
    <x v="8"/>
    <x v="1"/>
    <x v="2"/>
    <s v="EE_Tallinn"/>
    <x v="21"/>
    <n v="48.384"/>
    <n v="13.44"/>
  </r>
  <r>
    <x v="0"/>
    <x v="8"/>
    <x v="1"/>
    <x v="2"/>
    <s v="EE_Tallinn"/>
    <x v="22"/>
    <n v="79.847999999999999"/>
    <n v="22.18"/>
  </r>
  <r>
    <x v="0"/>
    <x v="8"/>
    <x v="1"/>
    <x v="2"/>
    <s v="EE_Tallinn"/>
    <x v="23"/>
    <n v="0.31515896120488701"/>
    <n v="8.7544155890246306E-2"/>
  </r>
  <r>
    <x v="0"/>
    <x v="8"/>
    <x v="1"/>
    <x v="2"/>
    <s v="EE_Tallinn"/>
    <x v="24"/>
    <n v="19.174223581093901"/>
    <n v="5.32617321697054"/>
  </r>
  <r>
    <x v="0"/>
    <x v="8"/>
    <x v="1"/>
    <x v="2"/>
    <s v="EE_Tallinn"/>
    <x v="25"/>
    <n v="22.356874337357301"/>
    <n v="6.2102428714881297"/>
  </r>
  <r>
    <x v="0"/>
    <x v="8"/>
    <x v="1"/>
    <x v="2"/>
    <s v="EE_Tallinn"/>
    <x v="26"/>
    <n v="29.6651032387655"/>
    <n v="8.2403064552126306"/>
  </r>
  <r>
    <x v="0"/>
    <x v="8"/>
    <x v="1"/>
    <x v="2"/>
    <s v="EE_Tallinn"/>
    <x v="27"/>
    <n v="20.163995508318798"/>
    <n v="5.6011098634218799"/>
  </r>
  <r>
    <x v="0"/>
    <x v="8"/>
    <x v="1"/>
    <x v="2"/>
    <s v="EE_Tartu"/>
    <x v="1"/>
    <n v="35.989199999999997"/>
    <n v="9.9969999999999999"/>
  </r>
  <r>
    <x v="0"/>
    <x v="8"/>
    <x v="1"/>
    <x v="2"/>
    <s v="EE_Tartu"/>
    <x v="2"/>
    <n v="48.384"/>
    <n v="13.44"/>
  </r>
  <r>
    <x v="0"/>
    <x v="8"/>
    <x v="1"/>
    <x v="2"/>
    <s v="EE_Tartu"/>
    <x v="0"/>
    <n v="42.692399999999999"/>
    <n v="11.859"/>
  </r>
  <r>
    <x v="0"/>
    <x v="8"/>
    <x v="1"/>
    <x v="2"/>
    <s v="EE_Tartu"/>
    <x v="3"/>
    <n v="51.633543144067197"/>
    <n v="14.342650873352"/>
  </r>
  <r>
    <x v="0"/>
    <x v="8"/>
    <x v="1"/>
    <x v="2"/>
    <s v="EE_Tartu"/>
    <x v="4"/>
    <n v="8.1139884009941898"/>
    <n v="2.2538856669428302"/>
  </r>
  <r>
    <x v="0"/>
    <x v="8"/>
    <x v="1"/>
    <x v="2"/>
    <s v="EE_Tartu"/>
    <x v="5"/>
    <n v="8.1139884009941898"/>
    <n v="2.2538856669428302"/>
  </r>
  <r>
    <x v="0"/>
    <x v="8"/>
    <x v="1"/>
    <x v="2"/>
    <s v="EE_Tartu"/>
    <x v="6"/>
    <n v="29.476231795214598"/>
    <n v="8.1878421653373898"/>
  </r>
  <r>
    <x v="0"/>
    <x v="8"/>
    <x v="1"/>
    <x v="2"/>
    <s v="EE_Tartu"/>
    <x v="7"/>
    <n v="57.838935220261199"/>
    <n v="16.066370894517"/>
  </r>
  <r>
    <x v="0"/>
    <x v="8"/>
    <x v="1"/>
    <x v="2"/>
    <s v="EE_Tartu"/>
    <x v="8"/>
    <n v="57.838935220261199"/>
    <n v="16.066370894517"/>
  </r>
  <r>
    <x v="0"/>
    <x v="8"/>
    <x v="1"/>
    <x v="2"/>
    <s v="EE_Tartu"/>
    <x v="9"/>
    <n v="44.803327257663497"/>
    <n v="12.4453686826843"/>
  </r>
  <r>
    <x v="0"/>
    <x v="8"/>
    <x v="1"/>
    <x v="2"/>
    <s v="EE_Tartu"/>
    <x v="10"/>
    <n v="54.681226180612903"/>
    <n v="15.1892294946147"/>
  </r>
  <r>
    <x v="0"/>
    <x v="8"/>
    <x v="1"/>
    <x v="2"/>
    <s v="EE_Tartu"/>
    <x v="11"/>
    <n v="3.8806031483015802"/>
    <n v="1.07794531897266"/>
  </r>
  <r>
    <x v="0"/>
    <x v="8"/>
    <x v="1"/>
    <x v="2"/>
    <s v="EE_Tartu"/>
    <x v="12"/>
    <n v="9.7995028997514597E-2"/>
    <n v="2.72208413881985E-2"/>
  </r>
  <r>
    <x v="0"/>
    <x v="8"/>
    <x v="1"/>
    <x v="2"/>
    <s v="EE_Tartu"/>
    <x v="13"/>
    <n v="21.5197083678542"/>
    <n v="5.9776967688483804"/>
  </r>
  <r>
    <x v="0"/>
    <x v="8"/>
    <x v="1"/>
    <x v="2"/>
    <s v="EE_Tartu"/>
    <x v="14"/>
    <n v="21.5197083678542"/>
    <n v="5.9776967688483804"/>
  </r>
  <r>
    <x v="0"/>
    <x v="8"/>
    <x v="1"/>
    <x v="2"/>
    <s v="EE_Tartu"/>
    <x v="15"/>
    <n v="1.65807589063794"/>
    <n v="0.46057663628831802"/>
  </r>
  <r>
    <x v="0"/>
    <x v="8"/>
    <x v="1"/>
    <x v="2"/>
    <s v="EE_Tartu"/>
    <x v="16"/>
    <n v="4.9884429139200002"/>
    <n v="1.3856785871999999"/>
  </r>
  <r>
    <x v="0"/>
    <x v="8"/>
    <x v="1"/>
    <x v="2"/>
    <s v="EE_Tartu"/>
    <x v="17"/>
    <n v="9.1244895875632395"/>
    <n v="2.5345804409897901"/>
  </r>
  <r>
    <x v="0"/>
    <x v="8"/>
    <x v="1"/>
    <x v="2"/>
    <s v="EE_Tartu"/>
    <x v="18"/>
    <n v="21.5197083678542"/>
    <n v="5.9776967688483804"/>
  </r>
  <r>
    <x v="0"/>
    <x v="8"/>
    <x v="1"/>
    <x v="2"/>
    <s v="EE_Tartu"/>
    <x v="19"/>
    <n v="8.1139884009941898"/>
    <n v="2.2538856669428302"/>
  </r>
  <r>
    <x v="0"/>
    <x v="8"/>
    <x v="1"/>
    <x v="2"/>
    <s v="EE_Tartu"/>
    <x v="20"/>
    <n v="19.336735244541"/>
    <n v="5.37131534570584"/>
  </r>
  <r>
    <x v="0"/>
    <x v="8"/>
    <x v="1"/>
    <x v="2"/>
    <s v="EE_Tartu"/>
    <x v="21"/>
    <n v="48.384"/>
    <n v="13.44"/>
  </r>
  <r>
    <x v="0"/>
    <x v="8"/>
    <x v="1"/>
    <x v="2"/>
    <s v="EE_Tartu"/>
    <x v="22"/>
    <n v="79.847999999999999"/>
    <n v="22.18"/>
  </r>
  <r>
    <x v="0"/>
    <x v="8"/>
    <x v="1"/>
    <x v="2"/>
    <s v="EE_Tartu"/>
    <x v="23"/>
    <n v="0.31515896120488701"/>
    <n v="8.7544155890246306E-2"/>
  </r>
  <r>
    <x v="0"/>
    <x v="8"/>
    <x v="1"/>
    <x v="2"/>
    <s v="EE_Tartu"/>
    <x v="24"/>
    <n v="19.174223581093901"/>
    <n v="5.32617321697054"/>
  </r>
  <r>
    <x v="0"/>
    <x v="8"/>
    <x v="1"/>
    <x v="2"/>
    <s v="EE_Tartu"/>
    <x v="25"/>
    <n v="22.356874337357301"/>
    <n v="6.2102428714881297"/>
  </r>
  <r>
    <x v="0"/>
    <x v="8"/>
    <x v="1"/>
    <x v="2"/>
    <s v="EE_Tartu"/>
    <x v="26"/>
    <n v="29.6651032387655"/>
    <n v="8.2403064552126306"/>
  </r>
  <r>
    <x v="0"/>
    <x v="8"/>
    <x v="1"/>
    <x v="2"/>
    <s v="EE_Tartu"/>
    <x v="27"/>
    <n v="20.163995508318798"/>
    <n v="5.6011098634218799"/>
  </r>
  <r>
    <x v="0"/>
    <x v="8"/>
    <x v="1"/>
    <x v="2"/>
    <s v="EE_Urban"/>
    <x v="1"/>
    <n v="35.989199999999997"/>
    <n v="9.9969999999999999"/>
  </r>
  <r>
    <x v="0"/>
    <x v="8"/>
    <x v="1"/>
    <x v="2"/>
    <s v="EE_Urban"/>
    <x v="2"/>
    <n v="48.384"/>
    <n v="13.44"/>
  </r>
  <r>
    <x v="0"/>
    <x v="8"/>
    <x v="1"/>
    <x v="2"/>
    <s v="EE_Urban"/>
    <x v="0"/>
    <n v="42.692399999999999"/>
    <n v="11.859"/>
  </r>
  <r>
    <x v="0"/>
    <x v="8"/>
    <x v="1"/>
    <x v="2"/>
    <s v="EE_Urban"/>
    <x v="3"/>
    <n v="51.633543144067197"/>
    <n v="14.342650873352"/>
  </r>
  <r>
    <x v="0"/>
    <x v="8"/>
    <x v="1"/>
    <x v="2"/>
    <s v="EE_Urban"/>
    <x v="4"/>
    <n v="8.1139884009941898"/>
    <n v="2.2538856669428302"/>
  </r>
  <r>
    <x v="0"/>
    <x v="8"/>
    <x v="1"/>
    <x v="2"/>
    <s v="EE_Urban"/>
    <x v="5"/>
    <n v="8.1139884009941898"/>
    <n v="2.2538856669428302"/>
  </r>
  <r>
    <x v="0"/>
    <x v="8"/>
    <x v="1"/>
    <x v="2"/>
    <s v="EE_Urban"/>
    <x v="6"/>
    <n v="29.476231795214598"/>
    <n v="8.1878421653373898"/>
  </r>
  <r>
    <x v="0"/>
    <x v="8"/>
    <x v="1"/>
    <x v="2"/>
    <s v="EE_Urban"/>
    <x v="7"/>
    <n v="57.838935220261199"/>
    <n v="16.066370894517"/>
  </r>
  <r>
    <x v="0"/>
    <x v="8"/>
    <x v="1"/>
    <x v="2"/>
    <s v="EE_Urban"/>
    <x v="8"/>
    <n v="57.838935220261199"/>
    <n v="16.066370894517"/>
  </r>
  <r>
    <x v="0"/>
    <x v="8"/>
    <x v="1"/>
    <x v="2"/>
    <s v="EE_Urban"/>
    <x v="9"/>
    <n v="44.803327257663497"/>
    <n v="12.4453686826843"/>
  </r>
  <r>
    <x v="0"/>
    <x v="8"/>
    <x v="1"/>
    <x v="2"/>
    <s v="EE_Urban"/>
    <x v="10"/>
    <n v="54.681226180612903"/>
    <n v="15.1892294946147"/>
  </r>
  <r>
    <x v="0"/>
    <x v="8"/>
    <x v="1"/>
    <x v="2"/>
    <s v="EE_Urban"/>
    <x v="11"/>
    <n v="3.8806031483015802"/>
    <n v="1.07794531897266"/>
  </r>
  <r>
    <x v="0"/>
    <x v="8"/>
    <x v="1"/>
    <x v="2"/>
    <s v="EE_Urban"/>
    <x v="12"/>
    <n v="9.7995028997514597E-2"/>
    <n v="2.72208413881985E-2"/>
  </r>
  <r>
    <x v="0"/>
    <x v="8"/>
    <x v="1"/>
    <x v="2"/>
    <s v="EE_Urban"/>
    <x v="13"/>
    <n v="21.5197083678542"/>
    <n v="5.9776967688483804"/>
  </r>
  <r>
    <x v="0"/>
    <x v="8"/>
    <x v="1"/>
    <x v="2"/>
    <s v="EE_Urban"/>
    <x v="14"/>
    <n v="21.5197083678542"/>
    <n v="5.9776967688483804"/>
  </r>
  <r>
    <x v="0"/>
    <x v="8"/>
    <x v="1"/>
    <x v="2"/>
    <s v="EE_Urban"/>
    <x v="15"/>
    <n v="1.65807589063794"/>
    <n v="0.46057663628831802"/>
  </r>
  <r>
    <x v="0"/>
    <x v="8"/>
    <x v="1"/>
    <x v="2"/>
    <s v="EE_Urban"/>
    <x v="16"/>
    <n v="4.9884429139200002"/>
    <n v="1.3856785871999999"/>
  </r>
  <r>
    <x v="0"/>
    <x v="8"/>
    <x v="1"/>
    <x v="2"/>
    <s v="EE_Urban"/>
    <x v="17"/>
    <n v="9.1244895875632395"/>
    <n v="2.5345804409897901"/>
  </r>
  <r>
    <x v="0"/>
    <x v="8"/>
    <x v="1"/>
    <x v="2"/>
    <s v="EE_Urban"/>
    <x v="18"/>
    <n v="21.5197083678542"/>
    <n v="5.9776967688483804"/>
  </r>
  <r>
    <x v="0"/>
    <x v="8"/>
    <x v="1"/>
    <x v="2"/>
    <s v="EE_Urban"/>
    <x v="19"/>
    <n v="8.1139884009941898"/>
    <n v="2.2538856669428302"/>
  </r>
  <r>
    <x v="0"/>
    <x v="8"/>
    <x v="1"/>
    <x v="2"/>
    <s v="EE_Urban"/>
    <x v="20"/>
    <n v="19.336735244541"/>
    <n v="5.37131534570584"/>
  </r>
  <r>
    <x v="0"/>
    <x v="8"/>
    <x v="1"/>
    <x v="2"/>
    <s v="EE_Urban"/>
    <x v="21"/>
    <n v="48.384"/>
    <n v="13.44"/>
  </r>
  <r>
    <x v="0"/>
    <x v="8"/>
    <x v="1"/>
    <x v="2"/>
    <s v="EE_Urban"/>
    <x v="22"/>
    <n v="79.847999999999999"/>
    <n v="22.18"/>
  </r>
  <r>
    <x v="0"/>
    <x v="8"/>
    <x v="1"/>
    <x v="2"/>
    <s v="EE_Urban"/>
    <x v="23"/>
    <n v="0.31515896120488701"/>
    <n v="8.7544155890246306E-2"/>
  </r>
  <r>
    <x v="0"/>
    <x v="8"/>
    <x v="1"/>
    <x v="2"/>
    <s v="EE_Urban"/>
    <x v="24"/>
    <n v="19.174223581093901"/>
    <n v="5.32617321697054"/>
  </r>
  <r>
    <x v="0"/>
    <x v="8"/>
    <x v="1"/>
    <x v="2"/>
    <s v="EE_Urban"/>
    <x v="25"/>
    <n v="22.356874337357301"/>
    <n v="6.2102428714881297"/>
  </r>
  <r>
    <x v="0"/>
    <x v="8"/>
    <x v="1"/>
    <x v="2"/>
    <s v="EE_Urban"/>
    <x v="26"/>
    <n v="29.6651032387655"/>
    <n v="8.2403064552126306"/>
  </r>
  <r>
    <x v="0"/>
    <x v="8"/>
    <x v="1"/>
    <x v="2"/>
    <s v="EE_Urban"/>
    <x v="27"/>
    <n v="20.163995508318798"/>
    <n v="5.6011098634218799"/>
  </r>
  <r>
    <x v="0"/>
    <x v="8"/>
    <x v="2"/>
    <x v="3"/>
    <s v="FI_IND"/>
    <x v="1"/>
    <n v="35.989199999999997"/>
    <n v="9.9969999999999999"/>
  </r>
  <r>
    <x v="0"/>
    <x v="8"/>
    <x v="2"/>
    <x v="3"/>
    <s v="FI_IND"/>
    <x v="2"/>
    <n v="48.384"/>
    <n v="13.44"/>
  </r>
  <r>
    <x v="0"/>
    <x v="8"/>
    <x v="2"/>
    <x v="3"/>
    <s v="FI_IND"/>
    <x v="0"/>
    <n v="42.692399999999999"/>
    <n v="11.859"/>
  </r>
  <r>
    <x v="0"/>
    <x v="8"/>
    <x v="2"/>
    <x v="3"/>
    <s v="FI_IND"/>
    <x v="3"/>
    <n v="51.633543144067197"/>
    <n v="14.342650873352"/>
  </r>
  <r>
    <x v="0"/>
    <x v="8"/>
    <x v="2"/>
    <x v="3"/>
    <s v="FI_IND"/>
    <x v="4"/>
    <n v="8.1139884009941898"/>
    <n v="2.2538856669428302"/>
  </r>
  <r>
    <x v="0"/>
    <x v="8"/>
    <x v="2"/>
    <x v="3"/>
    <s v="FI_IND"/>
    <x v="5"/>
    <n v="8.1139884009941898"/>
    <n v="2.2538856669428302"/>
  </r>
  <r>
    <x v="0"/>
    <x v="8"/>
    <x v="2"/>
    <x v="3"/>
    <s v="FI_IND"/>
    <x v="6"/>
    <n v="29.476231795214598"/>
    <n v="8.1878421653373898"/>
  </r>
  <r>
    <x v="0"/>
    <x v="8"/>
    <x v="2"/>
    <x v="3"/>
    <s v="FI_IND"/>
    <x v="7"/>
    <n v="57.838935220261199"/>
    <n v="16.066370894517"/>
  </r>
  <r>
    <x v="0"/>
    <x v="8"/>
    <x v="2"/>
    <x v="3"/>
    <s v="FI_IND"/>
    <x v="8"/>
    <n v="57.838935220261199"/>
    <n v="16.066370894517"/>
  </r>
  <r>
    <x v="0"/>
    <x v="8"/>
    <x v="2"/>
    <x v="3"/>
    <s v="FI_IND"/>
    <x v="9"/>
    <n v="44.803327257663497"/>
    <n v="12.4453686826843"/>
  </r>
  <r>
    <x v="0"/>
    <x v="8"/>
    <x v="2"/>
    <x v="3"/>
    <s v="FI_IND"/>
    <x v="10"/>
    <n v="54.681226180612903"/>
    <n v="15.1892294946147"/>
  </r>
  <r>
    <x v="0"/>
    <x v="8"/>
    <x v="2"/>
    <x v="3"/>
    <s v="FI_IND"/>
    <x v="11"/>
    <n v="3.8806031483015802"/>
    <n v="1.07794531897266"/>
  </r>
  <r>
    <x v="0"/>
    <x v="8"/>
    <x v="2"/>
    <x v="3"/>
    <s v="FI_IND"/>
    <x v="12"/>
    <n v="9.7995028997514597E-2"/>
    <n v="2.72208413881985E-2"/>
  </r>
  <r>
    <x v="0"/>
    <x v="8"/>
    <x v="2"/>
    <x v="3"/>
    <s v="FI_IND"/>
    <x v="13"/>
    <n v="21.5197083678542"/>
    <n v="5.9776967688483804"/>
  </r>
  <r>
    <x v="0"/>
    <x v="8"/>
    <x v="2"/>
    <x v="3"/>
    <s v="FI_IND"/>
    <x v="14"/>
    <n v="21.5197083678542"/>
    <n v="5.9776967688483804"/>
  </r>
  <r>
    <x v="0"/>
    <x v="8"/>
    <x v="2"/>
    <x v="3"/>
    <s v="FI_IND"/>
    <x v="15"/>
    <n v="1.65807589063794"/>
    <n v="0.46057663628831802"/>
  </r>
  <r>
    <x v="0"/>
    <x v="8"/>
    <x v="2"/>
    <x v="3"/>
    <s v="FI_IND"/>
    <x v="16"/>
    <n v="4.9884429139200002"/>
    <n v="1.3856785871999999"/>
  </r>
  <r>
    <x v="0"/>
    <x v="8"/>
    <x v="2"/>
    <x v="3"/>
    <s v="FI_IND"/>
    <x v="17"/>
    <n v="9.1244895875632395"/>
    <n v="2.5345804409897901"/>
  </r>
  <r>
    <x v="0"/>
    <x v="8"/>
    <x v="2"/>
    <x v="3"/>
    <s v="FI_IND"/>
    <x v="18"/>
    <n v="21.5197083678542"/>
    <n v="5.9776967688483804"/>
  </r>
  <r>
    <x v="0"/>
    <x v="8"/>
    <x v="2"/>
    <x v="3"/>
    <s v="FI_IND"/>
    <x v="19"/>
    <n v="8.1139884009941898"/>
    <n v="2.2538856669428302"/>
  </r>
  <r>
    <x v="0"/>
    <x v="8"/>
    <x v="2"/>
    <x v="3"/>
    <s v="FI_IND"/>
    <x v="20"/>
    <n v="19.336735244541"/>
    <n v="5.37131534570584"/>
  </r>
  <r>
    <x v="0"/>
    <x v="8"/>
    <x v="2"/>
    <x v="3"/>
    <s v="FI_IND"/>
    <x v="21"/>
    <n v="48.384"/>
    <n v="13.44"/>
  </r>
  <r>
    <x v="0"/>
    <x v="8"/>
    <x v="2"/>
    <x v="3"/>
    <s v="FI_IND"/>
    <x v="22"/>
    <n v="79.847999999999999"/>
    <n v="22.18"/>
  </r>
  <r>
    <x v="0"/>
    <x v="8"/>
    <x v="2"/>
    <x v="3"/>
    <s v="FI_IND"/>
    <x v="23"/>
    <n v="0.31515896120488701"/>
    <n v="8.7544155890246306E-2"/>
  </r>
  <r>
    <x v="0"/>
    <x v="8"/>
    <x v="2"/>
    <x v="3"/>
    <s v="FI_IND"/>
    <x v="24"/>
    <n v="19.174223581093901"/>
    <n v="5.32617321697054"/>
  </r>
  <r>
    <x v="0"/>
    <x v="8"/>
    <x v="2"/>
    <x v="3"/>
    <s v="FI_IND"/>
    <x v="25"/>
    <n v="22.356874337357301"/>
    <n v="6.2102428714881297"/>
  </r>
  <r>
    <x v="0"/>
    <x v="8"/>
    <x v="2"/>
    <x v="3"/>
    <s v="FI_IND"/>
    <x v="26"/>
    <n v="29.6651032387655"/>
    <n v="8.2403064552126306"/>
  </r>
  <r>
    <x v="0"/>
    <x v="8"/>
    <x v="2"/>
    <x v="3"/>
    <s v="FI_IND"/>
    <x v="27"/>
    <n v="20.163995508318798"/>
    <n v="5.6011098634218799"/>
  </r>
  <r>
    <x v="0"/>
    <x v="8"/>
    <x v="2"/>
    <x v="3"/>
    <s v="FI_Offshore"/>
    <x v="1"/>
    <n v="35.989199999999997"/>
    <n v="9.9969999999999999"/>
  </r>
  <r>
    <x v="0"/>
    <x v="8"/>
    <x v="2"/>
    <x v="3"/>
    <s v="FI_Offshore"/>
    <x v="2"/>
    <n v="48.384"/>
    <n v="13.44"/>
  </r>
  <r>
    <x v="0"/>
    <x v="8"/>
    <x v="2"/>
    <x v="3"/>
    <s v="FI_Offshore"/>
    <x v="0"/>
    <n v="42.692399999999999"/>
    <n v="11.859"/>
  </r>
  <r>
    <x v="0"/>
    <x v="8"/>
    <x v="2"/>
    <x v="3"/>
    <s v="FI_Offshore"/>
    <x v="3"/>
    <n v="51.633543144067197"/>
    <n v="14.342650873352"/>
  </r>
  <r>
    <x v="0"/>
    <x v="8"/>
    <x v="2"/>
    <x v="3"/>
    <s v="FI_Offshore"/>
    <x v="4"/>
    <n v="8.1139884009941898"/>
    <n v="2.2538856669428302"/>
  </r>
  <r>
    <x v="0"/>
    <x v="8"/>
    <x v="2"/>
    <x v="3"/>
    <s v="FI_Offshore"/>
    <x v="5"/>
    <n v="8.1139884009941898"/>
    <n v="2.2538856669428302"/>
  </r>
  <r>
    <x v="0"/>
    <x v="8"/>
    <x v="2"/>
    <x v="3"/>
    <s v="FI_Offshore"/>
    <x v="6"/>
    <n v="29.476231795214598"/>
    <n v="8.1878421653373898"/>
  </r>
  <r>
    <x v="0"/>
    <x v="8"/>
    <x v="2"/>
    <x v="3"/>
    <s v="FI_Offshore"/>
    <x v="7"/>
    <n v="57.838935220261199"/>
    <n v="16.066370894517"/>
  </r>
  <r>
    <x v="0"/>
    <x v="8"/>
    <x v="2"/>
    <x v="3"/>
    <s v="FI_Offshore"/>
    <x v="8"/>
    <n v="57.838935220261199"/>
    <n v="16.066370894517"/>
  </r>
  <r>
    <x v="0"/>
    <x v="8"/>
    <x v="2"/>
    <x v="3"/>
    <s v="FI_Offshore"/>
    <x v="9"/>
    <n v="44.803327257663497"/>
    <n v="12.4453686826843"/>
  </r>
  <r>
    <x v="0"/>
    <x v="8"/>
    <x v="2"/>
    <x v="3"/>
    <s v="FI_Offshore"/>
    <x v="10"/>
    <n v="54.681226180612903"/>
    <n v="15.1892294946147"/>
  </r>
  <r>
    <x v="0"/>
    <x v="8"/>
    <x v="2"/>
    <x v="3"/>
    <s v="FI_Offshore"/>
    <x v="11"/>
    <n v="3.8806031483015802"/>
    <n v="1.07794531897266"/>
  </r>
  <r>
    <x v="0"/>
    <x v="8"/>
    <x v="2"/>
    <x v="3"/>
    <s v="FI_Offshore"/>
    <x v="12"/>
    <n v="9.7995028997514597E-2"/>
    <n v="2.72208413881985E-2"/>
  </r>
  <r>
    <x v="0"/>
    <x v="8"/>
    <x v="2"/>
    <x v="3"/>
    <s v="FI_Offshore"/>
    <x v="13"/>
    <n v="21.5197083678542"/>
    <n v="5.9776967688483804"/>
  </r>
  <r>
    <x v="0"/>
    <x v="8"/>
    <x v="2"/>
    <x v="3"/>
    <s v="FI_Offshore"/>
    <x v="14"/>
    <n v="21.5197083678542"/>
    <n v="5.9776967688483804"/>
  </r>
  <r>
    <x v="0"/>
    <x v="8"/>
    <x v="2"/>
    <x v="3"/>
    <s v="FI_Offshore"/>
    <x v="15"/>
    <n v="1.65807589063794"/>
    <n v="0.46057663628831802"/>
  </r>
  <r>
    <x v="0"/>
    <x v="8"/>
    <x v="2"/>
    <x v="3"/>
    <s v="FI_Offshore"/>
    <x v="16"/>
    <n v="4.9884429139200002"/>
    <n v="1.3856785871999999"/>
  </r>
  <r>
    <x v="0"/>
    <x v="8"/>
    <x v="2"/>
    <x v="3"/>
    <s v="FI_Offshore"/>
    <x v="17"/>
    <n v="9.1244895875632395"/>
    <n v="2.5345804409897901"/>
  </r>
  <r>
    <x v="0"/>
    <x v="8"/>
    <x v="2"/>
    <x v="3"/>
    <s v="FI_Offshore"/>
    <x v="18"/>
    <n v="21.5197083678542"/>
    <n v="5.9776967688483804"/>
  </r>
  <r>
    <x v="0"/>
    <x v="8"/>
    <x v="2"/>
    <x v="3"/>
    <s v="FI_Offshore"/>
    <x v="19"/>
    <n v="8.1139884009941898"/>
    <n v="2.2538856669428302"/>
  </r>
  <r>
    <x v="0"/>
    <x v="8"/>
    <x v="2"/>
    <x v="3"/>
    <s v="FI_Offshore"/>
    <x v="20"/>
    <n v="19.336735244541"/>
    <n v="5.37131534570584"/>
  </r>
  <r>
    <x v="0"/>
    <x v="8"/>
    <x v="2"/>
    <x v="3"/>
    <s v="FI_Offshore"/>
    <x v="21"/>
    <n v="48.384"/>
    <n v="13.44"/>
  </r>
  <r>
    <x v="0"/>
    <x v="8"/>
    <x v="2"/>
    <x v="3"/>
    <s v="FI_Offshore"/>
    <x v="22"/>
    <n v="79.847999999999999"/>
    <n v="22.18"/>
  </r>
  <r>
    <x v="0"/>
    <x v="8"/>
    <x v="2"/>
    <x v="3"/>
    <s v="FI_Offshore"/>
    <x v="23"/>
    <n v="0.31515896120488701"/>
    <n v="8.7544155890246306E-2"/>
  </r>
  <r>
    <x v="0"/>
    <x v="8"/>
    <x v="2"/>
    <x v="3"/>
    <s v="FI_Offshore"/>
    <x v="24"/>
    <n v="19.174223581093901"/>
    <n v="5.32617321697054"/>
  </r>
  <r>
    <x v="0"/>
    <x v="8"/>
    <x v="2"/>
    <x v="3"/>
    <s v="FI_Offshore"/>
    <x v="25"/>
    <n v="22.356874337357301"/>
    <n v="6.2102428714881297"/>
  </r>
  <r>
    <x v="0"/>
    <x v="8"/>
    <x v="2"/>
    <x v="3"/>
    <s v="FI_Offshore"/>
    <x v="26"/>
    <n v="29.6651032387655"/>
    <n v="8.2403064552126306"/>
  </r>
  <r>
    <x v="0"/>
    <x v="8"/>
    <x v="2"/>
    <x v="3"/>
    <s v="FI_Offshore"/>
    <x v="27"/>
    <n v="20.163995508318798"/>
    <n v="5.6011098634218799"/>
  </r>
  <r>
    <x v="0"/>
    <x v="8"/>
    <x v="2"/>
    <x v="3"/>
    <s v="FI_large"/>
    <x v="1"/>
    <n v="35.989199999999997"/>
    <n v="9.9969999999999999"/>
  </r>
  <r>
    <x v="0"/>
    <x v="8"/>
    <x v="2"/>
    <x v="3"/>
    <s v="FI_large"/>
    <x v="2"/>
    <n v="48.384"/>
    <n v="13.44"/>
  </r>
  <r>
    <x v="0"/>
    <x v="8"/>
    <x v="2"/>
    <x v="3"/>
    <s v="FI_large"/>
    <x v="0"/>
    <n v="42.692399999999999"/>
    <n v="11.859"/>
  </r>
  <r>
    <x v="0"/>
    <x v="8"/>
    <x v="2"/>
    <x v="3"/>
    <s v="FI_large"/>
    <x v="3"/>
    <n v="51.633543144067197"/>
    <n v="14.342650873352"/>
  </r>
  <r>
    <x v="0"/>
    <x v="8"/>
    <x v="2"/>
    <x v="3"/>
    <s v="FI_large"/>
    <x v="4"/>
    <n v="8.1139884009941898"/>
    <n v="2.2538856669428302"/>
  </r>
  <r>
    <x v="0"/>
    <x v="8"/>
    <x v="2"/>
    <x v="3"/>
    <s v="FI_large"/>
    <x v="5"/>
    <n v="8.1139884009941898"/>
    <n v="2.2538856669428302"/>
  </r>
  <r>
    <x v="0"/>
    <x v="8"/>
    <x v="2"/>
    <x v="3"/>
    <s v="FI_large"/>
    <x v="6"/>
    <n v="29.476231795214598"/>
    <n v="8.1878421653373898"/>
  </r>
  <r>
    <x v="0"/>
    <x v="8"/>
    <x v="2"/>
    <x v="3"/>
    <s v="FI_large"/>
    <x v="7"/>
    <n v="57.838935220261199"/>
    <n v="16.066370894517"/>
  </r>
  <r>
    <x v="0"/>
    <x v="8"/>
    <x v="2"/>
    <x v="3"/>
    <s v="FI_large"/>
    <x v="8"/>
    <n v="57.838935220261199"/>
    <n v="16.066370894517"/>
  </r>
  <r>
    <x v="0"/>
    <x v="8"/>
    <x v="2"/>
    <x v="3"/>
    <s v="FI_large"/>
    <x v="9"/>
    <n v="44.803327257663497"/>
    <n v="12.4453686826843"/>
  </r>
  <r>
    <x v="0"/>
    <x v="8"/>
    <x v="2"/>
    <x v="3"/>
    <s v="FI_large"/>
    <x v="10"/>
    <n v="54.681226180612903"/>
    <n v="15.1892294946147"/>
  </r>
  <r>
    <x v="0"/>
    <x v="8"/>
    <x v="2"/>
    <x v="3"/>
    <s v="FI_large"/>
    <x v="11"/>
    <n v="3.8806031483015802"/>
    <n v="1.07794531897266"/>
  </r>
  <r>
    <x v="0"/>
    <x v="8"/>
    <x v="2"/>
    <x v="3"/>
    <s v="FI_large"/>
    <x v="12"/>
    <n v="9.7995028997514597E-2"/>
    <n v="2.72208413881985E-2"/>
  </r>
  <r>
    <x v="0"/>
    <x v="8"/>
    <x v="2"/>
    <x v="3"/>
    <s v="FI_large"/>
    <x v="13"/>
    <n v="21.5197083678542"/>
    <n v="5.9776967688483804"/>
  </r>
  <r>
    <x v="0"/>
    <x v="8"/>
    <x v="2"/>
    <x v="3"/>
    <s v="FI_large"/>
    <x v="14"/>
    <n v="21.5197083678542"/>
    <n v="5.9776967688483804"/>
  </r>
  <r>
    <x v="0"/>
    <x v="8"/>
    <x v="2"/>
    <x v="3"/>
    <s v="FI_large"/>
    <x v="15"/>
    <n v="1.65807589063794"/>
    <n v="0.46057663628831802"/>
  </r>
  <r>
    <x v="0"/>
    <x v="8"/>
    <x v="2"/>
    <x v="3"/>
    <s v="FI_large"/>
    <x v="16"/>
    <n v="4.9884429139200002"/>
    <n v="1.3856785871999999"/>
  </r>
  <r>
    <x v="0"/>
    <x v="8"/>
    <x v="2"/>
    <x v="3"/>
    <s v="FI_large"/>
    <x v="17"/>
    <n v="9.1244895875632395"/>
    <n v="2.5345804409897901"/>
  </r>
  <r>
    <x v="0"/>
    <x v="8"/>
    <x v="2"/>
    <x v="3"/>
    <s v="FI_large"/>
    <x v="18"/>
    <n v="21.5197083678542"/>
    <n v="5.9776967688483804"/>
  </r>
  <r>
    <x v="0"/>
    <x v="8"/>
    <x v="2"/>
    <x v="3"/>
    <s v="FI_large"/>
    <x v="19"/>
    <n v="8.1139884009941898"/>
    <n v="2.2538856669428302"/>
  </r>
  <r>
    <x v="0"/>
    <x v="8"/>
    <x v="2"/>
    <x v="3"/>
    <s v="FI_large"/>
    <x v="20"/>
    <n v="19.336735244541"/>
    <n v="5.37131534570584"/>
  </r>
  <r>
    <x v="0"/>
    <x v="8"/>
    <x v="2"/>
    <x v="3"/>
    <s v="FI_large"/>
    <x v="21"/>
    <n v="48.384"/>
    <n v="13.44"/>
  </r>
  <r>
    <x v="0"/>
    <x v="8"/>
    <x v="2"/>
    <x v="3"/>
    <s v="FI_large"/>
    <x v="22"/>
    <n v="79.847999999999999"/>
    <n v="22.18"/>
  </r>
  <r>
    <x v="0"/>
    <x v="8"/>
    <x v="2"/>
    <x v="3"/>
    <s v="FI_large"/>
    <x v="23"/>
    <n v="0.31515896120488701"/>
    <n v="8.7544155890246306E-2"/>
  </r>
  <r>
    <x v="0"/>
    <x v="8"/>
    <x v="2"/>
    <x v="3"/>
    <s v="FI_large"/>
    <x v="24"/>
    <n v="19.174223581093901"/>
    <n v="5.32617321697054"/>
  </r>
  <r>
    <x v="0"/>
    <x v="8"/>
    <x v="2"/>
    <x v="3"/>
    <s v="FI_large"/>
    <x v="25"/>
    <n v="22.356874337357301"/>
    <n v="6.2102428714881297"/>
  </r>
  <r>
    <x v="0"/>
    <x v="8"/>
    <x v="2"/>
    <x v="3"/>
    <s v="FI_large"/>
    <x v="26"/>
    <n v="29.6651032387655"/>
    <n v="8.2403064552126306"/>
  </r>
  <r>
    <x v="0"/>
    <x v="8"/>
    <x v="2"/>
    <x v="3"/>
    <s v="FI_large"/>
    <x v="27"/>
    <n v="20.163995508318798"/>
    <n v="5.6011098634218799"/>
  </r>
  <r>
    <x v="0"/>
    <x v="8"/>
    <x v="2"/>
    <x v="3"/>
    <s v="FI_large_gas"/>
    <x v="1"/>
    <n v="35.989199999999997"/>
    <n v="9.9969999999999999"/>
  </r>
  <r>
    <x v="0"/>
    <x v="8"/>
    <x v="2"/>
    <x v="3"/>
    <s v="FI_large_gas"/>
    <x v="2"/>
    <n v="48.384"/>
    <n v="13.44"/>
  </r>
  <r>
    <x v="0"/>
    <x v="8"/>
    <x v="2"/>
    <x v="3"/>
    <s v="FI_large_gas"/>
    <x v="0"/>
    <n v="42.692399999999999"/>
    <n v="11.859"/>
  </r>
  <r>
    <x v="0"/>
    <x v="8"/>
    <x v="2"/>
    <x v="3"/>
    <s v="FI_large_gas"/>
    <x v="3"/>
    <n v="51.633543144067197"/>
    <n v="14.342650873352"/>
  </r>
  <r>
    <x v="0"/>
    <x v="8"/>
    <x v="2"/>
    <x v="3"/>
    <s v="FI_large_gas"/>
    <x v="4"/>
    <n v="8.1139884009941898"/>
    <n v="2.2538856669428302"/>
  </r>
  <r>
    <x v="0"/>
    <x v="8"/>
    <x v="2"/>
    <x v="3"/>
    <s v="FI_large_gas"/>
    <x v="5"/>
    <n v="8.1139884009941898"/>
    <n v="2.2538856669428302"/>
  </r>
  <r>
    <x v="0"/>
    <x v="8"/>
    <x v="2"/>
    <x v="3"/>
    <s v="FI_large_gas"/>
    <x v="6"/>
    <n v="29.476231795214598"/>
    <n v="8.1878421653373898"/>
  </r>
  <r>
    <x v="0"/>
    <x v="8"/>
    <x v="2"/>
    <x v="3"/>
    <s v="FI_large_gas"/>
    <x v="7"/>
    <n v="57.838935220261199"/>
    <n v="16.066370894517"/>
  </r>
  <r>
    <x v="0"/>
    <x v="8"/>
    <x v="2"/>
    <x v="3"/>
    <s v="FI_large_gas"/>
    <x v="8"/>
    <n v="57.838935220261199"/>
    <n v="16.066370894517"/>
  </r>
  <r>
    <x v="0"/>
    <x v="8"/>
    <x v="2"/>
    <x v="3"/>
    <s v="FI_large_gas"/>
    <x v="9"/>
    <n v="44.803327257663497"/>
    <n v="12.4453686826843"/>
  </r>
  <r>
    <x v="0"/>
    <x v="8"/>
    <x v="2"/>
    <x v="3"/>
    <s v="FI_large_gas"/>
    <x v="10"/>
    <n v="54.681226180612903"/>
    <n v="15.1892294946147"/>
  </r>
  <r>
    <x v="0"/>
    <x v="8"/>
    <x v="2"/>
    <x v="3"/>
    <s v="FI_large_gas"/>
    <x v="11"/>
    <n v="3.8806031483015802"/>
    <n v="1.07794531897266"/>
  </r>
  <r>
    <x v="0"/>
    <x v="8"/>
    <x v="2"/>
    <x v="3"/>
    <s v="FI_large_gas"/>
    <x v="12"/>
    <n v="9.7995028997514597E-2"/>
    <n v="2.72208413881985E-2"/>
  </r>
  <r>
    <x v="0"/>
    <x v="8"/>
    <x v="2"/>
    <x v="3"/>
    <s v="FI_large_gas"/>
    <x v="13"/>
    <n v="21.5197083678542"/>
    <n v="5.9776967688483804"/>
  </r>
  <r>
    <x v="0"/>
    <x v="8"/>
    <x v="2"/>
    <x v="3"/>
    <s v="FI_large_gas"/>
    <x v="14"/>
    <n v="21.5197083678542"/>
    <n v="5.9776967688483804"/>
  </r>
  <r>
    <x v="0"/>
    <x v="8"/>
    <x v="2"/>
    <x v="3"/>
    <s v="FI_large_gas"/>
    <x v="15"/>
    <n v="1.65807589063794"/>
    <n v="0.46057663628831802"/>
  </r>
  <r>
    <x v="0"/>
    <x v="8"/>
    <x v="2"/>
    <x v="3"/>
    <s v="FI_large_gas"/>
    <x v="16"/>
    <n v="4.9884429139200002"/>
    <n v="1.3856785871999999"/>
  </r>
  <r>
    <x v="0"/>
    <x v="8"/>
    <x v="2"/>
    <x v="3"/>
    <s v="FI_large_gas"/>
    <x v="17"/>
    <n v="9.1244895875632395"/>
    <n v="2.5345804409897901"/>
  </r>
  <r>
    <x v="0"/>
    <x v="8"/>
    <x v="2"/>
    <x v="3"/>
    <s v="FI_large_gas"/>
    <x v="18"/>
    <n v="21.5197083678542"/>
    <n v="5.9776967688483804"/>
  </r>
  <r>
    <x v="0"/>
    <x v="8"/>
    <x v="2"/>
    <x v="3"/>
    <s v="FI_large_gas"/>
    <x v="19"/>
    <n v="8.1139884009941898"/>
    <n v="2.2538856669428302"/>
  </r>
  <r>
    <x v="0"/>
    <x v="8"/>
    <x v="2"/>
    <x v="3"/>
    <s v="FI_large_gas"/>
    <x v="20"/>
    <n v="19.336735244541"/>
    <n v="5.37131534570584"/>
  </r>
  <r>
    <x v="0"/>
    <x v="8"/>
    <x v="2"/>
    <x v="3"/>
    <s v="FI_large_gas"/>
    <x v="21"/>
    <n v="48.384"/>
    <n v="13.44"/>
  </r>
  <r>
    <x v="0"/>
    <x v="8"/>
    <x v="2"/>
    <x v="3"/>
    <s v="FI_large_gas"/>
    <x v="22"/>
    <n v="79.847999999999999"/>
    <n v="22.18"/>
  </r>
  <r>
    <x v="0"/>
    <x v="8"/>
    <x v="2"/>
    <x v="3"/>
    <s v="FI_large_gas"/>
    <x v="23"/>
    <n v="0.31515896120488701"/>
    <n v="8.7544155890246306E-2"/>
  </r>
  <r>
    <x v="0"/>
    <x v="8"/>
    <x v="2"/>
    <x v="3"/>
    <s v="FI_large_gas"/>
    <x v="24"/>
    <n v="19.174223581093901"/>
    <n v="5.32617321697054"/>
  </r>
  <r>
    <x v="0"/>
    <x v="8"/>
    <x v="2"/>
    <x v="3"/>
    <s v="FI_large_gas"/>
    <x v="25"/>
    <n v="22.356874337357301"/>
    <n v="6.2102428714881297"/>
  </r>
  <r>
    <x v="0"/>
    <x v="8"/>
    <x v="2"/>
    <x v="3"/>
    <s v="FI_large_gas"/>
    <x v="26"/>
    <n v="29.6651032387655"/>
    <n v="8.2403064552126306"/>
  </r>
  <r>
    <x v="0"/>
    <x v="8"/>
    <x v="2"/>
    <x v="3"/>
    <s v="FI_large_gas"/>
    <x v="27"/>
    <n v="20.163995508318798"/>
    <n v="5.6011098634218799"/>
  </r>
  <r>
    <x v="0"/>
    <x v="8"/>
    <x v="2"/>
    <x v="3"/>
    <s v="FI_medium"/>
    <x v="1"/>
    <n v="35.989199999999997"/>
    <n v="9.9969999999999999"/>
  </r>
  <r>
    <x v="0"/>
    <x v="8"/>
    <x v="2"/>
    <x v="3"/>
    <s v="FI_medium"/>
    <x v="2"/>
    <n v="48.384"/>
    <n v="13.44"/>
  </r>
  <r>
    <x v="0"/>
    <x v="8"/>
    <x v="2"/>
    <x v="3"/>
    <s v="FI_medium"/>
    <x v="0"/>
    <n v="42.692399999999999"/>
    <n v="11.859"/>
  </r>
  <r>
    <x v="0"/>
    <x v="8"/>
    <x v="2"/>
    <x v="3"/>
    <s v="FI_medium"/>
    <x v="3"/>
    <n v="51.633543144067197"/>
    <n v="14.342650873352"/>
  </r>
  <r>
    <x v="0"/>
    <x v="8"/>
    <x v="2"/>
    <x v="3"/>
    <s v="FI_medium"/>
    <x v="4"/>
    <n v="8.1139884009941898"/>
    <n v="2.2538856669428302"/>
  </r>
  <r>
    <x v="0"/>
    <x v="8"/>
    <x v="2"/>
    <x v="3"/>
    <s v="FI_medium"/>
    <x v="5"/>
    <n v="8.1139884009941898"/>
    <n v="2.2538856669428302"/>
  </r>
  <r>
    <x v="0"/>
    <x v="8"/>
    <x v="2"/>
    <x v="3"/>
    <s v="FI_medium"/>
    <x v="6"/>
    <n v="29.476231795214598"/>
    <n v="8.1878421653373898"/>
  </r>
  <r>
    <x v="0"/>
    <x v="8"/>
    <x v="2"/>
    <x v="3"/>
    <s v="FI_medium"/>
    <x v="7"/>
    <n v="57.838935220261199"/>
    <n v="16.066370894517"/>
  </r>
  <r>
    <x v="0"/>
    <x v="8"/>
    <x v="2"/>
    <x v="3"/>
    <s v="FI_medium"/>
    <x v="8"/>
    <n v="57.838935220261199"/>
    <n v="16.066370894517"/>
  </r>
  <r>
    <x v="0"/>
    <x v="8"/>
    <x v="2"/>
    <x v="3"/>
    <s v="FI_medium"/>
    <x v="9"/>
    <n v="44.803327257663497"/>
    <n v="12.4453686826843"/>
  </r>
  <r>
    <x v="0"/>
    <x v="8"/>
    <x v="2"/>
    <x v="3"/>
    <s v="FI_medium"/>
    <x v="10"/>
    <n v="54.681226180612903"/>
    <n v="15.1892294946147"/>
  </r>
  <r>
    <x v="0"/>
    <x v="8"/>
    <x v="2"/>
    <x v="3"/>
    <s v="FI_medium"/>
    <x v="11"/>
    <n v="3.8806031483015802"/>
    <n v="1.07794531897266"/>
  </r>
  <r>
    <x v="0"/>
    <x v="8"/>
    <x v="2"/>
    <x v="3"/>
    <s v="FI_medium"/>
    <x v="12"/>
    <n v="9.7995028997514597E-2"/>
    <n v="2.72208413881985E-2"/>
  </r>
  <r>
    <x v="0"/>
    <x v="8"/>
    <x v="2"/>
    <x v="3"/>
    <s v="FI_medium"/>
    <x v="13"/>
    <n v="21.5197083678542"/>
    <n v="5.9776967688483804"/>
  </r>
  <r>
    <x v="0"/>
    <x v="8"/>
    <x v="2"/>
    <x v="3"/>
    <s v="FI_medium"/>
    <x v="14"/>
    <n v="21.5197083678542"/>
    <n v="5.9776967688483804"/>
  </r>
  <r>
    <x v="0"/>
    <x v="8"/>
    <x v="2"/>
    <x v="3"/>
    <s v="FI_medium"/>
    <x v="15"/>
    <n v="1.65807589063794"/>
    <n v="0.46057663628831802"/>
  </r>
  <r>
    <x v="0"/>
    <x v="8"/>
    <x v="2"/>
    <x v="3"/>
    <s v="FI_medium"/>
    <x v="16"/>
    <n v="4.9884429139200002"/>
    <n v="1.3856785871999999"/>
  </r>
  <r>
    <x v="0"/>
    <x v="8"/>
    <x v="2"/>
    <x v="3"/>
    <s v="FI_medium"/>
    <x v="17"/>
    <n v="9.1244895875632395"/>
    <n v="2.5345804409897901"/>
  </r>
  <r>
    <x v="0"/>
    <x v="8"/>
    <x v="2"/>
    <x v="3"/>
    <s v="FI_medium"/>
    <x v="18"/>
    <n v="21.5197083678542"/>
    <n v="5.9776967688483804"/>
  </r>
  <r>
    <x v="0"/>
    <x v="8"/>
    <x v="2"/>
    <x v="3"/>
    <s v="FI_medium"/>
    <x v="19"/>
    <n v="8.1139884009941898"/>
    <n v="2.2538856669428302"/>
  </r>
  <r>
    <x v="0"/>
    <x v="8"/>
    <x v="2"/>
    <x v="3"/>
    <s v="FI_medium"/>
    <x v="20"/>
    <n v="19.336735244541"/>
    <n v="5.37131534570584"/>
  </r>
  <r>
    <x v="0"/>
    <x v="8"/>
    <x v="2"/>
    <x v="3"/>
    <s v="FI_medium"/>
    <x v="21"/>
    <n v="48.384"/>
    <n v="13.44"/>
  </r>
  <r>
    <x v="0"/>
    <x v="8"/>
    <x v="2"/>
    <x v="3"/>
    <s v="FI_medium"/>
    <x v="22"/>
    <n v="79.847999999999999"/>
    <n v="22.18"/>
  </r>
  <r>
    <x v="0"/>
    <x v="8"/>
    <x v="2"/>
    <x v="3"/>
    <s v="FI_medium"/>
    <x v="23"/>
    <n v="0.31515896120488701"/>
    <n v="8.7544155890246306E-2"/>
  </r>
  <r>
    <x v="0"/>
    <x v="8"/>
    <x v="2"/>
    <x v="3"/>
    <s v="FI_medium"/>
    <x v="24"/>
    <n v="19.174223581093901"/>
    <n v="5.32617321697054"/>
  </r>
  <r>
    <x v="0"/>
    <x v="8"/>
    <x v="2"/>
    <x v="3"/>
    <s v="FI_medium"/>
    <x v="25"/>
    <n v="22.356874337357301"/>
    <n v="6.2102428714881297"/>
  </r>
  <r>
    <x v="0"/>
    <x v="8"/>
    <x v="2"/>
    <x v="3"/>
    <s v="FI_medium"/>
    <x v="26"/>
    <n v="29.6651032387655"/>
    <n v="8.2403064552126306"/>
  </r>
  <r>
    <x v="0"/>
    <x v="8"/>
    <x v="2"/>
    <x v="3"/>
    <s v="FI_medium"/>
    <x v="27"/>
    <n v="20.163995508318798"/>
    <n v="5.6011098634218799"/>
  </r>
  <r>
    <x v="0"/>
    <x v="8"/>
    <x v="2"/>
    <x v="3"/>
    <s v="FI_medium_gas"/>
    <x v="1"/>
    <n v="35.989199999999997"/>
    <n v="9.9969999999999999"/>
  </r>
  <r>
    <x v="0"/>
    <x v="8"/>
    <x v="2"/>
    <x v="3"/>
    <s v="FI_medium_gas"/>
    <x v="2"/>
    <n v="48.384"/>
    <n v="13.44"/>
  </r>
  <r>
    <x v="0"/>
    <x v="8"/>
    <x v="2"/>
    <x v="3"/>
    <s v="FI_medium_gas"/>
    <x v="0"/>
    <n v="42.692399999999999"/>
    <n v="11.859"/>
  </r>
  <r>
    <x v="0"/>
    <x v="8"/>
    <x v="2"/>
    <x v="3"/>
    <s v="FI_medium_gas"/>
    <x v="3"/>
    <n v="51.633543144067197"/>
    <n v="14.342650873352"/>
  </r>
  <r>
    <x v="0"/>
    <x v="8"/>
    <x v="2"/>
    <x v="3"/>
    <s v="FI_medium_gas"/>
    <x v="4"/>
    <n v="8.1139884009941898"/>
    <n v="2.2538856669428302"/>
  </r>
  <r>
    <x v="0"/>
    <x v="8"/>
    <x v="2"/>
    <x v="3"/>
    <s v="FI_medium_gas"/>
    <x v="5"/>
    <n v="8.1139884009941898"/>
    <n v="2.2538856669428302"/>
  </r>
  <r>
    <x v="0"/>
    <x v="8"/>
    <x v="2"/>
    <x v="3"/>
    <s v="FI_medium_gas"/>
    <x v="6"/>
    <n v="29.476231795214598"/>
    <n v="8.1878421653373898"/>
  </r>
  <r>
    <x v="0"/>
    <x v="8"/>
    <x v="2"/>
    <x v="3"/>
    <s v="FI_medium_gas"/>
    <x v="7"/>
    <n v="57.838935220261199"/>
    <n v="16.066370894517"/>
  </r>
  <r>
    <x v="0"/>
    <x v="8"/>
    <x v="2"/>
    <x v="3"/>
    <s v="FI_medium_gas"/>
    <x v="8"/>
    <n v="57.838935220261199"/>
    <n v="16.066370894517"/>
  </r>
  <r>
    <x v="0"/>
    <x v="8"/>
    <x v="2"/>
    <x v="3"/>
    <s v="FI_medium_gas"/>
    <x v="9"/>
    <n v="44.803327257663497"/>
    <n v="12.4453686826843"/>
  </r>
  <r>
    <x v="0"/>
    <x v="8"/>
    <x v="2"/>
    <x v="3"/>
    <s v="FI_medium_gas"/>
    <x v="10"/>
    <n v="54.681226180612903"/>
    <n v="15.1892294946147"/>
  </r>
  <r>
    <x v="0"/>
    <x v="8"/>
    <x v="2"/>
    <x v="3"/>
    <s v="FI_medium_gas"/>
    <x v="11"/>
    <n v="3.8806031483015802"/>
    <n v="1.07794531897266"/>
  </r>
  <r>
    <x v="0"/>
    <x v="8"/>
    <x v="2"/>
    <x v="3"/>
    <s v="FI_medium_gas"/>
    <x v="12"/>
    <n v="9.7995028997514597E-2"/>
    <n v="2.72208413881985E-2"/>
  </r>
  <r>
    <x v="0"/>
    <x v="8"/>
    <x v="2"/>
    <x v="3"/>
    <s v="FI_medium_gas"/>
    <x v="13"/>
    <n v="21.5197083678542"/>
    <n v="5.9776967688483804"/>
  </r>
  <r>
    <x v="0"/>
    <x v="8"/>
    <x v="2"/>
    <x v="3"/>
    <s v="FI_medium_gas"/>
    <x v="14"/>
    <n v="21.5197083678542"/>
    <n v="5.9776967688483804"/>
  </r>
  <r>
    <x v="0"/>
    <x v="8"/>
    <x v="2"/>
    <x v="3"/>
    <s v="FI_medium_gas"/>
    <x v="15"/>
    <n v="1.65807589063794"/>
    <n v="0.46057663628831802"/>
  </r>
  <r>
    <x v="0"/>
    <x v="8"/>
    <x v="2"/>
    <x v="3"/>
    <s v="FI_medium_gas"/>
    <x v="16"/>
    <n v="4.9884429139200002"/>
    <n v="1.3856785871999999"/>
  </r>
  <r>
    <x v="0"/>
    <x v="8"/>
    <x v="2"/>
    <x v="3"/>
    <s v="FI_medium_gas"/>
    <x v="17"/>
    <n v="9.1244895875632395"/>
    <n v="2.5345804409897901"/>
  </r>
  <r>
    <x v="0"/>
    <x v="8"/>
    <x v="2"/>
    <x v="3"/>
    <s v="FI_medium_gas"/>
    <x v="18"/>
    <n v="21.5197083678542"/>
    <n v="5.9776967688483804"/>
  </r>
  <r>
    <x v="0"/>
    <x v="8"/>
    <x v="2"/>
    <x v="3"/>
    <s v="FI_medium_gas"/>
    <x v="19"/>
    <n v="8.1139884009941898"/>
    <n v="2.2538856669428302"/>
  </r>
  <r>
    <x v="0"/>
    <x v="8"/>
    <x v="2"/>
    <x v="3"/>
    <s v="FI_medium_gas"/>
    <x v="20"/>
    <n v="19.336735244541"/>
    <n v="5.37131534570584"/>
  </r>
  <r>
    <x v="0"/>
    <x v="8"/>
    <x v="2"/>
    <x v="3"/>
    <s v="FI_medium_gas"/>
    <x v="21"/>
    <n v="48.384"/>
    <n v="13.44"/>
  </r>
  <r>
    <x v="0"/>
    <x v="8"/>
    <x v="2"/>
    <x v="3"/>
    <s v="FI_medium_gas"/>
    <x v="22"/>
    <n v="79.847999999999999"/>
    <n v="22.18"/>
  </r>
  <r>
    <x v="0"/>
    <x v="8"/>
    <x v="2"/>
    <x v="3"/>
    <s v="FI_medium_gas"/>
    <x v="23"/>
    <n v="0.31515896120488701"/>
    <n v="8.7544155890246306E-2"/>
  </r>
  <r>
    <x v="0"/>
    <x v="8"/>
    <x v="2"/>
    <x v="3"/>
    <s v="FI_medium_gas"/>
    <x v="24"/>
    <n v="19.174223581093901"/>
    <n v="5.32617321697054"/>
  </r>
  <r>
    <x v="0"/>
    <x v="8"/>
    <x v="2"/>
    <x v="3"/>
    <s v="FI_medium_gas"/>
    <x v="25"/>
    <n v="22.356874337357301"/>
    <n v="6.2102428714881297"/>
  </r>
  <r>
    <x v="0"/>
    <x v="8"/>
    <x v="2"/>
    <x v="3"/>
    <s v="FI_medium_gas"/>
    <x v="26"/>
    <n v="29.6651032387655"/>
    <n v="8.2403064552126306"/>
  </r>
  <r>
    <x v="0"/>
    <x v="8"/>
    <x v="2"/>
    <x v="3"/>
    <s v="FI_medium_gas"/>
    <x v="27"/>
    <n v="20.163995508318798"/>
    <n v="5.6011098634218799"/>
  </r>
  <r>
    <x v="0"/>
    <x v="8"/>
    <x v="2"/>
    <x v="3"/>
    <s v="FI_small"/>
    <x v="1"/>
    <n v="35.989199999999997"/>
    <n v="9.9969999999999999"/>
  </r>
  <r>
    <x v="0"/>
    <x v="8"/>
    <x v="2"/>
    <x v="3"/>
    <s v="FI_small"/>
    <x v="2"/>
    <n v="48.384"/>
    <n v="13.44"/>
  </r>
  <r>
    <x v="0"/>
    <x v="8"/>
    <x v="2"/>
    <x v="3"/>
    <s v="FI_small"/>
    <x v="0"/>
    <n v="42.692399999999999"/>
    <n v="11.859"/>
  </r>
  <r>
    <x v="0"/>
    <x v="8"/>
    <x v="2"/>
    <x v="3"/>
    <s v="FI_small"/>
    <x v="3"/>
    <n v="51.633543144067197"/>
    <n v="14.342650873352"/>
  </r>
  <r>
    <x v="0"/>
    <x v="8"/>
    <x v="2"/>
    <x v="3"/>
    <s v="FI_small"/>
    <x v="4"/>
    <n v="8.1139884009941898"/>
    <n v="2.2538856669428302"/>
  </r>
  <r>
    <x v="0"/>
    <x v="8"/>
    <x v="2"/>
    <x v="3"/>
    <s v="FI_small"/>
    <x v="5"/>
    <n v="8.1139884009941898"/>
    <n v="2.2538856669428302"/>
  </r>
  <r>
    <x v="0"/>
    <x v="8"/>
    <x v="2"/>
    <x v="3"/>
    <s v="FI_small"/>
    <x v="6"/>
    <n v="29.476231795214598"/>
    <n v="8.1878421653373898"/>
  </r>
  <r>
    <x v="0"/>
    <x v="8"/>
    <x v="2"/>
    <x v="3"/>
    <s v="FI_small"/>
    <x v="7"/>
    <n v="57.838935220261199"/>
    <n v="16.066370894517"/>
  </r>
  <r>
    <x v="0"/>
    <x v="8"/>
    <x v="2"/>
    <x v="3"/>
    <s v="FI_small"/>
    <x v="8"/>
    <n v="57.838935220261199"/>
    <n v="16.066370894517"/>
  </r>
  <r>
    <x v="0"/>
    <x v="8"/>
    <x v="2"/>
    <x v="3"/>
    <s v="FI_small"/>
    <x v="9"/>
    <n v="44.803327257663497"/>
    <n v="12.4453686826843"/>
  </r>
  <r>
    <x v="0"/>
    <x v="8"/>
    <x v="2"/>
    <x v="3"/>
    <s v="FI_small"/>
    <x v="10"/>
    <n v="54.681226180612903"/>
    <n v="15.1892294946147"/>
  </r>
  <r>
    <x v="0"/>
    <x v="8"/>
    <x v="2"/>
    <x v="3"/>
    <s v="FI_small"/>
    <x v="11"/>
    <n v="3.8806031483015802"/>
    <n v="1.07794531897266"/>
  </r>
  <r>
    <x v="0"/>
    <x v="8"/>
    <x v="2"/>
    <x v="3"/>
    <s v="FI_small"/>
    <x v="12"/>
    <n v="9.7995028997514597E-2"/>
    <n v="2.72208413881985E-2"/>
  </r>
  <r>
    <x v="0"/>
    <x v="8"/>
    <x v="2"/>
    <x v="3"/>
    <s v="FI_small"/>
    <x v="13"/>
    <n v="21.5197083678542"/>
    <n v="5.9776967688483804"/>
  </r>
  <r>
    <x v="0"/>
    <x v="8"/>
    <x v="2"/>
    <x v="3"/>
    <s v="FI_small"/>
    <x v="14"/>
    <n v="21.5197083678542"/>
    <n v="5.9776967688483804"/>
  </r>
  <r>
    <x v="0"/>
    <x v="8"/>
    <x v="2"/>
    <x v="3"/>
    <s v="FI_small"/>
    <x v="15"/>
    <n v="1.65807589063794"/>
    <n v="0.46057663628831802"/>
  </r>
  <r>
    <x v="0"/>
    <x v="8"/>
    <x v="2"/>
    <x v="3"/>
    <s v="FI_small"/>
    <x v="16"/>
    <n v="4.9884429139200002"/>
    <n v="1.3856785871999999"/>
  </r>
  <r>
    <x v="0"/>
    <x v="8"/>
    <x v="2"/>
    <x v="3"/>
    <s v="FI_small"/>
    <x v="17"/>
    <n v="9.1244895875632395"/>
    <n v="2.5345804409897901"/>
  </r>
  <r>
    <x v="0"/>
    <x v="8"/>
    <x v="2"/>
    <x v="3"/>
    <s v="FI_small"/>
    <x v="18"/>
    <n v="21.5197083678542"/>
    <n v="5.9776967688483804"/>
  </r>
  <r>
    <x v="0"/>
    <x v="8"/>
    <x v="2"/>
    <x v="3"/>
    <s v="FI_small"/>
    <x v="19"/>
    <n v="8.1139884009941898"/>
    <n v="2.2538856669428302"/>
  </r>
  <r>
    <x v="0"/>
    <x v="8"/>
    <x v="2"/>
    <x v="3"/>
    <s v="FI_small"/>
    <x v="20"/>
    <n v="19.336735244541"/>
    <n v="5.37131534570584"/>
  </r>
  <r>
    <x v="0"/>
    <x v="8"/>
    <x v="2"/>
    <x v="3"/>
    <s v="FI_small"/>
    <x v="21"/>
    <n v="48.384"/>
    <n v="13.44"/>
  </r>
  <r>
    <x v="0"/>
    <x v="8"/>
    <x v="2"/>
    <x v="3"/>
    <s v="FI_small"/>
    <x v="22"/>
    <n v="79.847999999999999"/>
    <n v="22.18"/>
  </r>
  <r>
    <x v="0"/>
    <x v="8"/>
    <x v="2"/>
    <x v="3"/>
    <s v="FI_small"/>
    <x v="23"/>
    <n v="0.31515896120488701"/>
    <n v="8.7544155890246306E-2"/>
  </r>
  <r>
    <x v="0"/>
    <x v="8"/>
    <x v="2"/>
    <x v="3"/>
    <s v="FI_small"/>
    <x v="24"/>
    <n v="19.174223581093901"/>
    <n v="5.32617321697054"/>
  </r>
  <r>
    <x v="0"/>
    <x v="8"/>
    <x v="2"/>
    <x v="3"/>
    <s v="FI_small"/>
    <x v="25"/>
    <n v="22.356874337357301"/>
    <n v="6.2102428714881297"/>
  </r>
  <r>
    <x v="0"/>
    <x v="8"/>
    <x v="2"/>
    <x v="3"/>
    <s v="FI_small"/>
    <x v="26"/>
    <n v="29.6651032387655"/>
    <n v="8.2403064552126306"/>
  </r>
  <r>
    <x v="0"/>
    <x v="8"/>
    <x v="2"/>
    <x v="3"/>
    <s v="FI_small"/>
    <x v="27"/>
    <n v="20.163995508318798"/>
    <n v="5.6011098634218799"/>
  </r>
  <r>
    <x v="0"/>
    <x v="8"/>
    <x v="2"/>
    <x v="3"/>
    <s v="FI_small_gas"/>
    <x v="1"/>
    <n v="35.989199999999997"/>
    <n v="9.9969999999999999"/>
  </r>
  <r>
    <x v="0"/>
    <x v="8"/>
    <x v="2"/>
    <x v="3"/>
    <s v="FI_small_gas"/>
    <x v="2"/>
    <n v="48.384"/>
    <n v="13.44"/>
  </r>
  <r>
    <x v="0"/>
    <x v="8"/>
    <x v="2"/>
    <x v="3"/>
    <s v="FI_small_gas"/>
    <x v="0"/>
    <n v="42.692399999999999"/>
    <n v="11.859"/>
  </r>
  <r>
    <x v="0"/>
    <x v="8"/>
    <x v="2"/>
    <x v="3"/>
    <s v="FI_small_gas"/>
    <x v="3"/>
    <n v="51.633543144067197"/>
    <n v="14.342650873352"/>
  </r>
  <r>
    <x v="0"/>
    <x v="8"/>
    <x v="2"/>
    <x v="3"/>
    <s v="FI_small_gas"/>
    <x v="4"/>
    <n v="8.1139884009941898"/>
    <n v="2.2538856669428302"/>
  </r>
  <r>
    <x v="0"/>
    <x v="8"/>
    <x v="2"/>
    <x v="3"/>
    <s v="FI_small_gas"/>
    <x v="5"/>
    <n v="8.1139884009941898"/>
    <n v="2.2538856669428302"/>
  </r>
  <r>
    <x v="0"/>
    <x v="8"/>
    <x v="2"/>
    <x v="3"/>
    <s v="FI_small_gas"/>
    <x v="6"/>
    <n v="29.476231795214598"/>
    <n v="8.1878421653373898"/>
  </r>
  <r>
    <x v="0"/>
    <x v="8"/>
    <x v="2"/>
    <x v="3"/>
    <s v="FI_small_gas"/>
    <x v="7"/>
    <n v="57.838935220261199"/>
    <n v="16.066370894517"/>
  </r>
  <r>
    <x v="0"/>
    <x v="8"/>
    <x v="2"/>
    <x v="3"/>
    <s v="FI_small_gas"/>
    <x v="8"/>
    <n v="57.838935220261199"/>
    <n v="16.066370894517"/>
  </r>
  <r>
    <x v="0"/>
    <x v="8"/>
    <x v="2"/>
    <x v="3"/>
    <s v="FI_small_gas"/>
    <x v="9"/>
    <n v="44.803327257663497"/>
    <n v="12.4453686826843"/>
  </r>
  <r>
    <x v="0"/>
    <x v="8"/>
    <x v="2"/>
    <x v="3"/>
    <s v="FI_small_gas"/>
    <x v="10"/>
    <n v="54.681226180612903"/>
    <n v="15.1892294946147"/>
  </r>
  <r>
    <x v="0"/>
    <x v="8"/>
    <x v="2"/>
    <x v="3"/>
    <s v="FI_small_gas"/>
    <x v="11"/>
    <n v="3.8806031483015802"/>
    <n v="1.07794531897266"/>
  </r>
  <r>
    <x v="0"/>
    <x v="8"/>
    <x v="2"/>
    <x v="3"/>
    <s v="FI_small_gas"/>
    <x v="12"/>
    <n v="9.7995028997514597E-2"/>
    <n v="2.72208413881985E-2"/>
  </r>
  <r>
    <x v="0"/>
    <x v="8"/>
    <x v="2"/>
    <x v="3"/>
    <s v="FI_small_gas"/>
    <x v="13"/>
    <n v="21.5197083678542"/>
    <n v="5.9776967688483804"/>
  </r>
  <r>
    <x v="0"/>
    <x v="8"/>
    <x v="2"/>
    <x v="3"/>
    <s v="FI_small_gas"/>
    <x v="14"/>
    <n v="21.5197083678542"/>
    <n v="5.9776967688483804"/>
  </r>
  <r>
    <x v="0"/>
    <x v="8"/>
    <x v="2"/>
    <x v="3"/>
    <s v="FI_small_gas"/>
    <x v="15"/>
    <n v="1.65807589063794"/>
    <n v="0.46057663628831802"/>
  </r>
  <r>
    <x v="0"/>
    <x v="8"/>
    <x v="2"/>
    <x v="3"/>
    <s v="FI_small_gas"/>
    <x v="16"/>
    <n v="4.9884429139200002"/>
    <n v="1.3856785871999999"/>
  </r>
  <r>
    <x v="0"/>
    <x v="8"/>
    <x v="2"/>
    <x v="3"/>
    <s v="FI_small_gas"/>
    <x v="17"/>
    <n v="9.1244895875632395"/>
    <n v="2.5345804409897901"/>
  </r>
  <r>
    <x v="0"/>
    <x v="8"/>
    <x v="2"/>
    <x v="3"/>
    <s v="FI_small_gas"/>
    <x v="18"/>
    <n v="21.5197083678542"/>
    <n v="5.9776967688483804"/>
  </r>
  <r>
    <x v="0"/>
    <x v="8"/>
    <x v="2"/>
    <x v="3"/>
    <s v="FI_small_gas"/>
    <x v="19"/>
    <n v="8.1139884009941898"/>
    <n v="2.2538856669428302"/>
  </r>
  <r>
    <x v="0"/>
    <x v="8"/>
    <x v="2"/>
    <x v="3"/>
    <s v="FI_small_gas"/>
    <x v="20"/>
    <n v="19.336735244541"/>
    <n v="5.37131534570584"/>
  </r>
  <r>
    <x v="0"/>
    <x v="8"/>
    <x v="2"/>
    <x v="3"/>
    <s v="FI_small_gas"/>
    <x v="21"/>
    <n v="48.384"/>
    <n v="13.44"/>
  </r>
  <r>
    <x v="0"/>
    <x v="8"/>
    <x v="2"/>
    <x v="3"/>
    <s v="FI_small_gas"/>
    <x v="22"/>
    <n v="79.847999999999999"/>
    <n v="22.18"/>
  </r>
  <r>
    <x v="0"/>
    <x v="8"/>
    <x v="2"/>
    <x v="3"/>
    <s v="FI_small_gas"/>
    <x v="23"/>
    <n v="0.31515896120488701"/>
    <n v="8.7544155890246306E-2"/>
  </r>
  <r>
    <x v="0"/>
    <x v="8"/>
    <x v="2"/>
    <x v="3"/>
    <s v="FI_small_gas"/>
    <x v="24"/>
    <n v="19.174223581093901"/>
    <n v="5.32617321697054"/>
  </r>
  <r>
    <x v="0"/>
    <x v="8"/>
    <x v="2"/>
    <x v="3"/>
    <s v="FI_small_gas"/>
    <x v="25"/>
    <n v="22.356874337357301"/>
    <n v="6.2102428714881297"/>
  </r>
  <r>
    <x v="0"/>
    <x v="8"/>
    <x v="2"/>
    <x v="3"/>
    <s v="FI_small_gas"/>
    <x v="26"/>
    <n v="29.6651032387655"/>
    <n v="8.2403064552126306"/>
  </r>
  <r>
    <x v="0"/>
    <x v="8"/>
    <x v="2"/>
    <x v="3"/>
    <s v="FI_small_gas"/>
    <x v="27"/>
    <n v="20.163995508318798"/>
    <n v="5.6011098634218799"/>
  </r>
  <r>
    <x v="0"/>
    <x v="8"/>
    <x v="2"/>
    <x v="3"/>
    <s v="FinA"/>
    <x v="1"/>
    <n v="35.989199999999997"/>
    <n v="9.9969999999999999"/>
  </r>
  <r>
    <x v="0"/>
    <x v="8"/>
    <x v="2"/>
    <x v="3"/>
    <s v="FinA"/>
    <x v="2"/>
    <n v="48.384"/>
    <n v="13.44"/>
  </r>
  <r>
    <x v="0"/>
    <x v="8"/>
    <x v="2"/>
    <x v="3"/>
    <s v="FinA"/>
    <x v="0"/>
    <n v="42.692399999999999"/>
    <n v="11.859"/>
  </r>
  <r>
    <x v="0"/>
    <x v="8"/>
    <x v="2"/>
    <x v="3"/>
    <s v="FinA"/>
    <x v="3"/>
    <n v="51.633543144067197"/>
    <n v="14.342650873352"/>
  </r>
  <r>
    <x v="0"/>
    <x v="8"/>
    <x v="2"/>
    <x v="3"/>
    <s v="FinA"/>
    <x v="4"/>
    <n v="8.1139884009941898"/>
    <n v="2.2538856669428302"/>
  </r>
  <r>
    <x v="0"/>
    <x v="8"/>
    <x v="2"/>
    <x v="3"/>
    <s v="FinA"/>
    <x v="5"/>
    <n v="8.1139884009941898"/>
    <n v="2.2538856669428302"/>
  </r>
  <r>
    <x v="0"/>
    <x v="8"/>
    <x v="2"/>
    <x v="3"/>
    <s v="FinA"/>
    <x v="6"/>
    <n v="29.476231795214598"/>
    <n v="8.1878421653373898"/>
  </r>
  <r>
    <x v="0"/>
    <x v="8"/>
    <x v="2"/>
    <x v="3"/>
    <s v="FinA"/>
    <x v="7"/>
    <n v="57.838935220261199"/>
    <n v="16.066370894517"/>
  </r>
  <r>
    <x v="0"/>
    <x v="8"/>
    <x v="2"/>
    <x v="3"/>
    <s v="FinA"/>
    <x v="8"/>
    <n v="57.838935220261199"/>
    <n v="16.066370894517"/>
  </r>
  <r>
    <x v="0"/>
    <x v="8"/>
    <x v="2"/>
    <x v="3"/>
    <s v="FinA"/>
    <x v="9"/>
    <n v="44.803327257663497"/>
    <n v="12.4453686826843"/>
  </r>
  <r>
    <x v="0"/>
    <x v="8"/>
    <x v="2"/>
    <x v="3"/>
    <s v="FinA"/>
    <x v="10"/>
    <n v="54.681226180612903"/>
    <n v="15.1892294946147"/>
  </r>
  <r>
    <x v="0"/>
    <x v="8"/>
    <x v="2"/>
    <x v="3"/>
    <s v="FinA"/>
    <x v="11"/>
    <n v="3.8806031483015802"/>
    <n v="1.07794531897266"/>
  </r>
  <r>
    <x v="0"/>
    <x v="8"/>
    <x v="2"/>
    <x v="3"/>
    <s v="FinA"/>
    <x v="12"/>
    <n v="9.7995028997514597E-2"/>
    <n v="2.72208413881985E-2"/>
  </r>
  <r>
    <x v="0"/>
    <x v="8"/>
    <x v="2"/>
    <x v="3"/>
    <s v="FinA"/>
    <x v="13"/>
    <n v="21.5197083678542"/>
    <n v="5.9776967688483804"/>
  </r>
  <r>
    <x v="0"/>
    <x v="8"/>
    <x v="2"/>
    <x v="3"/>
    <s v="FinA"/>
    <x v="14"/>
    <n v="21.5197083678542"/>
    <n v="5.9776967688483804"/>
  </r>
  <r>
    <x v="0"/>
    <x v="8"/>
    <x v="2"/>
    <x v="3"/>
    <s v="FinA"/>
    <x v="15"/>
    <n v="1.65807589063794"/>
    <n v="0.46057663628831802"/>
  </r>
  <r>
    <x v="0"/>
    <x v="8"/>
    <x v="2"/>
    <x v="3"/>
    <s v="FinA"/>
    <x v="16"/>
    <n v="4.9884429139200002"/>
    <n v="1.3856785871999999"/>
  </r>
  <r>
    <x v="0"/>
    <x v="8"/>
    <x v="2"/>
    <x v="3"/>
    <s v="FinA"/>
    <x v="17"/>
    <n v="9.1244895875632395"/>
    <n v="2.5345804409897901"/>
  </r>
  <r>
    <x v="0"/>
    <x v="8"/>
    <x v="2"/>
    <x v="3"/>
    <s v="FinA"/>
    <x v="18"/>
    <n v="21.5197083678542"/>
    <n v="5.9776967688483804"/>
  </r>
  <r>
    <x v="0"/>
    <x v="8"/>
    <x v="2"/>
    <x v="3"/>
    <s v="FinA"/>
    <x v="19"/>
    <n v="8.1139884009941898"/>
    <n v="2.2538856669428302"/>
  </r>
  <r>
    <x v="0"/>
    <x v="8"/>
    <x v="2"/>
    <x v="3"/>
    <s v="FinA"/>
    <x v="20"/>
    <n v="19.336735244541"/>
    <n v="5.37131534570584"/>
  </r>
  <r>
    <x v="0"/>
    <x v="8"/>
    <x v="2"/>
    <x v="3"/>
    <s v="FinA"/>
    <x v="21"/>
    <n v="48.384"/>
    <n v="13.44"/>
  </r>
  <r>
    <x v="0"/>
    <x v="8"/>
    <x v="2"/>
    <x v="3"/>
    <s v="FinA"/>
    <x v="22"/>
    <n v="79.847999999999999"/>
    <n v="22.18"/>
  </r>
  <r>
    <x v="0"/>
    <x v="8"/>
    <x v="2"/>
    <x v="3"/>
    <s v="FinA"/>
    <x v="23"/>
    <n v="0.31515896120488701"/>
    <n v="8.7544155890246306E-2"/>
  </r>
  <r>
    <x v="0"/>
    <x v="8"/>
    <x v="2"/>
    <x v="3"/>
    <s v="FinA"/>
    <x v="24"/>
    <n v="19.174223581093901"/>
    <n v="5.32617321697054"/>
  </r>
  <r>
    <x v="0"/>
    <x v="8"/>
    <x v="2"/>
    <x v="3"/>
    <s v="FinA"/>
    <x v="25"/>
    <n v="22.356874337357301"/>
    <n v="6.2102428714881297"/>
  </r>
  <r>
    <x v="0"/>
    <x v="8"/>
    <x v="2"/>
    <x v="3"/>
    <s v="FinA"/>
    <x v="26"/>
    <n v="29.6651032387655"/>
    <n v="8.2403064552126306"/>
  </r>
  <r>
    <x v="0"/>
    <x v="8"/>
    <x v="2"/>
    <x v="3"/>
    <s v="FinA"/>
    <x v="27"/>
    <n v="20.163995508318798"/>
    <n v="5.6011098634218799"/>
  </r>
  <r>
    <x v="0"/>
    <x v="8"/>
    <x v="3"/>
    <x v="4"/>
    <s v="DE4-E_A"/>
    <x v="1"/>
    <n v="35.989199999999997"/>
    <n v="9.9969999999999999"/>
  </r>
  <r>
    <x v="0"/>
    <x v="8"/>
    <x v="3"/>
    <x v="4"/>
    <s v="DE4-E_A"/>
    <x v="2"/>
    <n v="48.384"/>
    <n v="13.44"/>
  </r>
  <r>
    <x v="0"/>
    <x v="8"/>
    <x v="3"/>
    <x v="4"/>
    <s v="DE4-E_A"/>
    <x v="0"/>
    <n v="42.692399999999999"/>
    <n v="11.859"/>
  </r>
  <r>
    <x v="0"/>
    <x v="8"/>
    <x v="3"/>
    <x v="4"/>
    <s v="DE4-E_A"/>
    <x v="3"/>
    <n v="51.633543144067197"/>
    <n v="14.342650873352"/>
  </r>
  <r>
    <x v="0"/>
    <x v="8"/>
    <x v="3"/>
    <x v="4"/>
    <s v="DE4-E_A"/>
    <x v="4"/>
    <n v="8.1139884009941898"/>
    <n v="2.2538856669428302"/>
  </r>
  <r>
    <x v="0"/>
    <x v="8"/>
    <x v="3"/>
    <x v="4"/>
    <s v="DE4-E_A"/>
    <x v="5"/>
    <n v="8.1139884009941898"/>
    <n v="2.2538856669428302"/>
  </r>
  <r>
    <x v="0"/>
    <x v="8"/>
    <x v="3"/>
    <x v="4"/>
    <s v="DE4-E_A"/>
    <x v="6"/>
    <n v="29.476231795214598"/>
    <n v="8.1878421653373898"/>
  </r>
  <r>
    <x v="0"/>
    <x v="8"/>
    <x v="3"/>
    <x v="4"/>
    <s v="DE4-E_A"/>
    <x v="7"/>
    <n v="57.838935220261199"/>
    <n v="16.066370894517"/>
  </r>
  <r>
    <x v="0"/>
    <x v="8"/>
    <x v="3"/>
    <x v="4"/>
    <s v="DE4-E_A"/>
    <x v="8"/>
    <n v="57.838935220261199"/>
    <n v="16.066370894517"/>
  </r>
  <r>
    <x v="0"/>
    <x v="8"/>
    <x v="3"/>
    <x v="4"/>
    <s v="DE4-E_A"/>
    <x v="9"/>
    <n v="44.803327257663497"/>
    <n v="12.4453686826843"/>
  </r>
  <r>
    <x v="0"/>
    <x v="8"/>
    <x v="3"/>
    <x v="4"/>
    <s v="DE4-E_A"/>
    <x v="10"/>
    <n v="54.681226180612903"/>
    <n v="15.1892294946147"/>
  </r>
  <r>
    <x v="0"/>
    <x v="8"/>
    <x v="3"/>
    <x v="4"/>
    <s v="DE4-E_A"/>
    <x v="11"/>
    <n v="3.8806031483015802"/>
    <n v="1.07794531897266"/>
  </r>
  <r>
    <x v="0"/>
    <x v="8"/>
    <x v="3"/>
    <x v="4"/>
    <s v="DE4-E_A"/>
    <x v="12"/>
    <n v="9.7995028997514597E-2"/>
    <n v="2.72208413881985E-2"/>
  </r>
  <r>
    <x v="0"/>
    <x v="8"/>
    <x v="3"/>
    <x v="4"/>
    <s v="DE4-E_A"/>
    <x v="13"/>
    <n v="21.5197083678542"/>
    <n v="5.9776967688483804"/>
  </r>
  <r>
    <x v="0"/>
    <x v="8"/>
    <x v="3"/>
    <x v="4"/>
    <s v="DE4-E_A"/>
    <x v="14"/>
    <n v="21.5197083678542"/>
    <n v="5.9776967688483804"/>
  </r>
  <r>
    <x v="0"/>
    <x v="8"/>
    <x v="3"/>
    <x v="4"/>
    <s v="DE4-E_A"/>
    <x v="15"/>
    <n v="1.65807589063794"/>
    <n v="0.46057663628831802"/>
  </r>
  <r>
    <x v="0"/>
    <x v="8"/>
    <x v="3"/>
    <x v="4"/>
    <s v="DE4-E_A"/>
    <x v="16"/>
    <n v="4.9884429139200002"/>
    <n v="1.3856785871999999"/>
  </r>
  <r>
    <x v="0"/>
    <x v="8"/>
    <x v="3"/>
    <x v="4"/>
    <s v="DE4-E_A"/>
    <x v="17"/>
    <n v="9.1244895875632395"/>
    <n v="2.5345804409897901"/>
  </r>
  <r>
    <x v="0"/>
    <x v="8"/>
    <x v="3"/>
    <x v="4"/>
    <s v="DE4-E_A"/>
    <x v="18"/>
    <n v="21.5197083678542"/>
    <n v="5.9776967688483804"/>
  </r>
  <r>
    <x v="0"/>
    <x v="8"/>
    <x v="3"/>
    <x v="4"/>
    <s v="DE4-E_A"/>
    <x v="19"/>
    <n v="8.1139884009941898"/>
    <n v="2.2538856669428302"/>
  </r>
  <r>
    <x v="0"/>
    <x v="8"/>
    <x v="3"/>
    <x v="4"/>
    <s v="DE4-E_A"/>
    <x v="20"/>
    <n v="19.336735244541"/>
    <n v="5.37131534570584"/>
  </r>
  <r>
    <x v="0"/>
    <x v="8"/>
    <x v="3"/>
    <x v="4"/>
    <s v="DE4-E_A"/>
    <x v="21"/>
    <n v="48.384"/>
    <n v="13.44"/>
  </r>
  <r>
    <x v="0"/>
    <x v="8"/>
    <x v="3"/>
    <x v="4"/>
    <s v="DE4-E_A"/>
    <x v="22"/>
    <n v="79.847999999999999"/>
    <n v="22.18"/>
  </r>
  <r>
    <x v="0"/>
    <x v="8"/>
    <x v="3"/>
    <x v="4"/>
    <s v="DE4-E_A"/>
    <x v="23"/>
    <n v="0.31515896120488701"/>
    <n v="8.7544155890246306E-2"/>
  </r>
  <r>
    <x v="0"/>
    <x v="8"/>
    <x v="3"/>
    <x v="4"/>
    <s v="DE4-E_A"/>
    <x v="24"/>
    <n v="19.174223581093901"/>
    <n v="5.32617321697054"/>
  </r>
  <r>
    <x v="0"/>
    <x v="8"/>
    <x v="3"/>
    <x v="4"/>
    <s v="DE4-E_A"/>
    <x v="25"/>
    <n v="22.356874337357301"/>
    <n v="6.2102428714881297"/>
  </r>
  <r>
    <x v="0"/>
    <x v="8"/>
    <x v="3"/>
    <x v="4"/>
    <s v="DE4-E_A"/>
    <x v="26"/>
    <n v="29.6651032387655"/>
    <n v="8.2403064552126306"/>
  </r>
  <r>
    <x v="0"/>
    <x v="8"/>
    <x v="3"/>
    <x v="4"/>
    <s v="DE4-E_A"/>
    <x v="27"/>
    <n v="20.163995508318798"/>
    <n v="5.6011098634218799"/>
  </r>
  <r>
    <x v="0"/>
    <x v="8"/>
    <x v="3"/>
    <x v="4"/>
    <s v="DE4-E_Offshore_A"/>
    <x v="1"/>
    <n v="35.989199999999997"/>
    <n v="9.9969999999999999"/>
  </r>
  <r>
    <x v="0"/>
    <x v="8"/>
    <x v="3"/>
    <x v="4"/>
    <s v="DE4-E_Offshore_A"/>
    <x v="2"/>
    <n v="48.384"/>
    <n v="13.44"/>
  </r>
  <r>
    <x v="0"/>
    <x v="8"/>
    <x v="3"/>
    <x v="4"/>
    <s v="DE4-E_Offshore_A"/>
    <x v="0"/>
    <n v="42.692399999999999"/>
    <n v="11.859"/>
  </r>
  <r>
    <x v="0"/>
    <x v="8"/>
    <x v="3"/>
    <x v="4"/>
    <s v="DE4-E_Offshore_A"/>
    <x v="3"/>
    <n v="51.633543144067197"/>
    <n v="14.342650873352"/>
  </r>
  <r>
    <x v="0"/>
    <x v="8"/>
    <x v="3"/>
    <x v="4"/>
    <s v="DE4-E_Offshore_A"/>
    <x v="4"/>
    <n v="8.1139884009941898"/>
    <n v="2.2538856669428302"/>
  </r>
  <r>
    <x v="0"/>
    <x v="8"/>
    <x v="3"/>
    <x v="4"/>
    <s v="DE4-E_Offshore_A"/>
    <x v="5"/>
    <n v="8.1139884009941898"/>
    <n v="2.2538856669428302"/>
  </r>
  <r>
    <x v="0"/>
    <x v="8"/>
    <x v="3"/>
    <x v="4"/>
    <s v="DE4-E_Offshore_A"/>
    <x v="6"/>
    <n v="29.476231795214598"/>
    <n v="8.1878421653373898"/>
  </r>
  <r>
    <x v="0"/>
    <x v="8"/>
    <x v="3"/>
    <x v="4"/>
    <s v="DE4-E_Offshore_A"/>
    <x v="7"/>
    <n v="57.838935220261199"/>
    <n v="16.066370894517"/>
  </r>
  <r>
    <x v="0"/>
    <x v="8"/>
    <x v="3"/>
    <x v="4"/>
    <s v="DE4-E_Offshore_A"/>
    <x v="8"/>
    <n v="57.838935220261199"/>
    <n v="16.066370894517"/>
  </r>
  <r>
    <x v="0"/>
    <x v="8"/>
    <x v="3"/>
    <x v="4"/>
    <s v="DE4-E_Offshore_A"/>
    <x v="9"/>
    <n v="44.803327257663497"/>
    <n v="12.4453686826843"/>
  </r>
  <r>
    <x v="0"/>
    <x v="8"/>
    <x v="3"/>
    <x v="4"/>
    <s v="DE4-E_Offshore_A"/>
    <x v="10"/>
    <n v="54.681226180612903"/>
    <n v="15.1892294946147"/>
  </r>
  <r>
    <x v="0"/>
    <x v="8"/>
    <x v="3"/>
    <x v="4"/>
    <s v="DE4-E_Offshore_A"/>
    <x v="11"/>
    <n v="3.8806031483015802"/>
    <n v="1.07794531897266"/>
  </r>
  <r>
    <x v="0"/>
    <x v="8"/>
    <x v="3"/>
    <x v="4"/>
    <s v="DE4-E_Offshore_A"/>
    <x v="12"/>
    <n v="9.7995028997514597E-2"/>
    <n v="2.72208413881985E-2"/>
  </r>
  <r>
    <x v="0"/>
    <x v="8"/>
    <x v="3"/>
    <x v="4"/>
    <s v="DE4-E_Offshore_A"/>
    <x v="13"/>
    <n v="21.5197083678542"/>
    <n v="5.9776967688483804"/>
  </r>
  <r>
    <x v="0"/>
    <x v="8"/>
    <x v="3"/>
    <x v="4"/>
    <s v="DE4-E_Offshore_A"/>
    <x v="14"/>
    <n v="21.5197083678542"/>
    <n v="5.9776967688483804"/>
  </r>
  <r>
    <x v="0"/>
    <x v="8"/>
    <x v="3"/>
    <x v="4"/>
    <s v="DE4-E_Offshore_A"/>
    <x v="15"/>
    <n v="1.65807589063794"/>
    <n v="0.46057663628831802"/>
  </r>
  <r>
    <x v="0"/>
    <x v="8"/>
    <x v="3"/>
    <x v="4"/>
    <s v="DE4-E_Offshore_A"/>
    <x v="16"/>
    <n v="4.9884429139200002"/>
    <n v="1.3856785871999999"/>
  </r>
  <r>
    <x v="0"/>
    <x v="8"/>
    <x v="3"/>
    <x v="4"/>
    <s v="DE4-E_Offshore_A"/>
    <x v="17"/>
    <n v="9.1244895875632395"/>
    <n v="2.5345804409897901"/>
  </r>
  <r>
    <x v="0"/>
    <x v="8"/>
    <x v="3"/>
    <x v="4"/>
    <s v="DE4-E_Offshore_A"/>
    <x v="18"/>
    <n v="21.5197083678542"/>
    <n v="5.9776967688483804"/>
  </r>
  <r>
    <x v="0"/>
    <x v="8"/>
    <x v="3"/>
    <x v="4"/>
    <s v="DE4-E_Offshore_A"/>
    <x v="19"/>
    <n v="8.1139884009941898"/>
    <n v="2.2538856669428302"/>
  </r>
  <r>
    <x v="0"/>
    <x v="8"/>
    <x v="3"/>
    <x v="4"/>
    <s v="DE4-E_Offshore_A"/>
    <x v="20"/>
    <n v="19.336735244541"/>
    <n v="5.37131534570584"/>
  </r>
  <r>
    <x v="0"/>
    <x v="8"/>
    <x v="3"/>
    <x v="4"/>
    <s v="DE4-E_Offshore_A"/>
    <x v="21"/>
    <n v="48.384"/>
    <n v="13.44"/>
  </r>
  <r>
    <x v="0"/>
    <x v="8"/>
    <x v="3"/>
    <x v="4"/>
    <s v="DE4-E_Offshore_A"/>
    <x v="22"/>
    <n v="79.847999999999999"/>
    <n v="22.18"/>
  </r>
  <r>
    <x v="0"/>
    <x v="8"/>
    <x v="3"/>
    <x v="4"/>
    <s v="DE4-E_Offshore_A"/>
    <x v="23"/>
    <n v="0.31515896120488701"/>
    <n v="8.7544155890246306E-2"/>
  </r>
  <r>
    <x v="0"/>
    <x v="8"/>
    <x v="3"/>
    <x v="4"/>
    <s v="DE4-E_Offshore_A"/>
    <x v="24"/>
    <n v="19.174223581093901"/>
    <n v="5.32617321697054"/>
  </r>
  <r>
    <x v="0"/>
    <x v="8"/>
    <x v="3"/>
    <x v="4"/>
    <s v="DE4-E_Offshore_A"/>
    <x v="25"/>
    <n v="22.356874337357301"/>
    <n v="6.2102428714881297"/>
  </r>
  <r>
    <x v="0"/>
    <x v="8"/>
    <x v="3"/>
    <x v="4"/>
    <s v="DE4-E_Offshore_A"/>
    <x v="26"/>
    <n v="29.6651032387655"/>
    <n v="8.2403064552126306"/>
  </r>
  <r>
    <x v="0"/>
    <x v="8"/>
    <x v="3"/>
    <x v="4"/>
    <s v="DE4-E_Offshore_A"/>
    <x v="27"/>
    <n v="20.163995508318798"/>
    <n v="5.6011098634218799"/>
  </r>
  <r>
    <x v="0"/>
    <x v="8"/>
    <x v="3"/>
    <x v="5"/>
    <s v="DE4-N_A"/>
    <x v="1"/>
    <n v="35.989199999999997"/>
    <n v="9.9969999999999999"/>
  </r>
  <r>
    <x v="0"/>
    <x v="8"/>
    <x v="3"/>
    <x v="5"/>
    <s v="DE4-N_A"/>
    <x v="2"/>
    <n v="48.384"/>
    <n v="13.44"/>
  </r>
  <r>
    <x v="0"/>
    <x v="8"/>
    <x v="3"/>
    <x v="5"/>
    <s v="DE4-N_A"/>
    <x v="0"/>
    <n v="42.692399999999999"/>
    <n v="11.859"/>
  </r>
  <r>
    <x v="0"/>
    <x v="8"/>
    <x v="3"/>
    <x v="5"/>
    <s v="DE4-N_A"/>
    <x v="3"/>
    <n v="51.633543144067197"/>
    <n v="14.342650873352"/>
  </r>
  <r>
    <x v="0"/>
    <x v="8"/>
    <x v="3"/>
    <x v="5"/>
    <s v="DE4-N_A"/>
    <x v="4"/>
    <n v="8.1139884009941898"/>
    <n v="2.2538856669428302"/>
  </r>
  <r>
    <x v="0"/>
    <x v="8"/>
    <x v="3"/>
    <x v="5"/>
    <s v="DE4-N_A"/>
    <x v="5"/>
    <n v="8.1139884009941898"/>
    <n v="2.2538856669428302"/>
  </r>
  <r>
    <x v="0"/>
    <x v="8"/>
    <x v="3"/>
    <x v="5"/>
    <s v="DE4-N_A"/>
    <x v="6"/>
    <n v="29.476231795214598"/>
    <n v="8.1878421653373898"/>
  </r>
  <r>
    <x v="0"/>
    <x v="8"/>
    <x v="3"/>
    <x v="5"/>
    <s v="DE4-N_A"/>
    <x v="7"/>
    <n v="57.838935220261199"/>
    <n v="16.066370894517"/>
  </r>
  <r>
    <x v="0"/>
    <x v="8"/>
    <x v="3"/>
    <x v="5"/>
    <s v="DE4-N_A"/>
    <x v="8"/>
    <n v="57.838935220261199"/>
    <n v="16.066370894517"/>
  </r>
  <r>
    <x v="0"/>
    <x v="8"/>
    <x v="3"/>
    <x v="5"/>
    <s v="DE4-N_A"/>
    <x v="9"/>
    <n v="44.803327257663497"/>
    <n v="12.4453686826843"/>
  </r>
  <r>
    <x v="0"/>
    <x v="8"/>
    <x v="3"/>
    <x v="5"/>
    <s v="DE4-N_A"/>
    <x v="10"/>
    <n v="54.681226180612903"/>
    <n v="15.1892294946147"/>
  </r>
  <r>
    <x v="0"/>
    <x v="8"/>
    <x v="3"/>
    <x v="5"/>
    <s v="DE4-N_A"/>
    <x v="11"/>
    <n v="3.8806031483015802"/>
    <n v="1.07794531897266"/>
  </r>
  <r>
    <x v="0"/>
    <x v="8"/>
    <x v="3"/>
    <x v="5"/>
    <s v="DE4-N_A"/>
    <x v="12"/>
    <n v="9.7995028997514597E-2"/>
    <n v="2.72208413881985E-2"/>
  </r>
  <r>
    <x v="0"/>
    <x v="8"/>
    <x v="3"/>
    <x v="5"/>
    <s v="DE4-N_A"/>
    <x v="13"/>
    <n v="21.5197083678542"/>
    <n v="5.9776967688483804"/>
  </r>
  <r>
    <x v="0"/>
    <x v="8"/>
    <x v="3"/>
    <x v="5"/>
    <s v="DE4-N_A"/>
    <x v="14"/>
    <n v="21.5197083678542"/>
    <n v="5.9776967688483804"/>
  </r>
  <r>
    <x v="0"/>
    <x v="8"/>
    <x v="3"/>
    <x v="5"/>
    <s v="DE4-N_A"/>
    <x v="15"/>
    <n v="1.65807589063794"/>
    <n v="0.46057663628831802"/>
  </r>
  <r>
    <x v="0"/>
    <x v="8"/>
    <x v="3"/>
    <x v="5"/>
    <s v="DE4-N_A"/>
    <x v="16"/>
    <n v="4.9884429139200002"/>
    <n v="1.3856785871999999"/>
  </r>
  <r>
    <x v="0"/>
    <x v="8"/>
    <x v="3"/>
    <x v="5"/>
    <s v="DE4-N_A"/>
    <x v="17"/>
    <n v="9.1244895875632395"/>
    <n v="2.5345804409897901"/>
  </r>
  <r>
    <x v="0"/>
    <x v="8"/>
    <x v="3"/>
    <x v="5"/>
    <s v="DE4-N_A"/>
    <x v="18"/>
    <n v="21.5197083678542"/>
    <n v="5.9776967688483804"/>
  </r>
  <r>
    <x v="0"/>
    <x v="8"/>
    <x v="3"/>
    <x v="5"/>
    <s v="DE4-N_A"/>
    <x v="19"/>
    <n v="8.1139884009941898"/>
    <n v="2.2538856669428302"/>
  </r>
  <r>
    <x v="0"/>
    <x v="8"/>
    <x v="3"/>
    <x v="5"/>
    <s v="DE4-N_A"/>
    <x v="20"/>
    <n v="19.336735244541"/>
    <n v="5.37131534570584"/>
  </r>
  <r>
    <x v="0"/>
    <x v="8"/>
    <x v="3"/>
    <x v="5"/>
    <s v="DE4-N_A"/>
    <x v="21"/>
    <n v="48.384"/>
    <n v="13.44"/>
  </r>
  <r>
    <x v="0"/>
    <x v="8"/>
    <x v="3"/>
    <x v="5"/>
    <s v="DE4-N_A"/>
    <x v="22"/>
    <n v="79.847999999999999"/>
    <n v="22.18"/>
  </r>
  <r>
    <x v="0"/>
    <x v="8"/>
    <x v="3"/>
    <x v="5"/>
    <s v="DE4-N_A"/>
    <x v="23"/>
    <n v="0.31515896120488701"/>
    <n v="8.7544155890246306E-2"/>
  </r>
  <r>
    <x v="0"/>
    <x v="8"/>
    <x v="3"/>
    <x v="5"/>
    <s v="DE4-N_A"/>
    <x v="24"/>
    <n v="19.174223581093901"/>
    <n v="5.32617321697054"/>
  </r>
  <r>
    <x v="0"/>
    <x v="8"/>
    <x v="3"/>
    <x v="5"/>
    <s v="DE4-N_A"/>
    <x v="25"/>
    <n v="22.356874337357301"/>
    <n v="6.2102428714881297"/>
  </r>
  <r>
    <x v="0"/>
    <x v="8"/>
    <x v="3"/>
    <x v="5"/>
    <s v="DE4-N_A"/>
    <x v="26"/>
    <n v="29.6651032387655"/>
    <n v="8.2403064552126306"/>
  </r>
  <r>
    <x v="0"/>
    <x v="8"/>
    <x v="3"/>
    <x v="5"/>
    <s v="DE4-N_A"/>
    <x v="27"/>
    <n v="20.163995508318798"/>
    <n v="5.6011098634218799"/>
  </r>
  <r>
    <x v="0"/>
    <x v="8"/>
    <x v="3"/>
    <x v="5"/>
    <s v="DE4-N_Offshore_A"/>
    <x v="1"/>
    <n v="35.989199999999997"/>
    <n v="9.9969999999999999"/>
  </r>
  <r>
    <x v="0"/>
    <x v="8"/>
    <x v="3"/>
    <x v="5"/>
    <s v="DE4-N_Offshore_A"/>
    <x v="2"/>
    <n v="48.384"/>
    <n v="13.44"/>
  </r>
  <r>
    <x v="0"/>
    <x v="8"/>
    <x v="3"/>
    <x v="5"/>
    <s v="DE4-N_Offshore_A"/>
    <x v="0"/>
    <n v="42.692399999999999"/>
    <n v="11.859"/>
  </r>
  <r>
    <x v="0"/>
    <x v="8"/>
    <x v="3"/>
    <x v="5"/>
    <s v="DE4-N_Offshore_A"/>
    <x v="3"/>
    <n v="51.633543144067197"/>
    <n v="14.342650873352"/>
  </r>
  <r>
    <x v="0"/>
    <x v="8"/>
    <x v="3"/>
    <x v="5"/>
    <s v="DE4-N_Offshore_A"/>
    <x v="4"/>
    <n v="8.1139884009941898"/>
    <n v="2.2538856669428302"/>
  </r>
  <r>
    <x v="0"/>
    <x v="8"/>
    <x v="3"/>
    <x v="5"/>
    <s v="DE4-N_Offshore_A"/>
    <x v="5"/>
    <n v="8.1139884009941898"/>
    <n v="2.2538856669428302"/>
  </r>
  <r>
    <x v="0"/>
    <x v="8"/>
    <x v="3"/>
    <x v="5"/>
    <s v="DE4-N_Offshore_A"/>
    <x v="6"/>
    <n v="29.476231795214598"/>
    <n v="8.1878421653373898"/>
  </r>
  <r>
    <x v="0"/>
    <x v="8"/>
    <x v="3"/>
    <x v="5"/>
    <s v="DE4-N_Offshore_A"/>
    <x v="7"/>
    <n v="57.838935220261199"/>
    <n v="16.066370894517"/>
  </r>
  <r>
    <x v="0"/>
    <x v="8"/>
    <x v="3"/>
    <x v="5"/>
    <s v="DE4-N_Offshore_A"/>
    <x v="8"/>
    <n v="57.838935220261199"/>
    <n v="16.066370894517"/>
  </r>
  <r>
    <x v="0"/>
    <x v="8"/>
    <x v="3"/>
    <x v="5"/>
    <s v="DE4-N_Offshore_A"/>
    <x v="9"/>
    <n v="44.803327257663497"/>
    <n v="12.4453686826843"/>
  </r>
  <r>
    <x v="0"/>
    <x v="8"/>
    <x v="3"/>
    <x v="5"/>
    <s v="DE4-N_Offshore_A"/>
    <x v="10"/>
    <n v="54.681226180612903"/>
    <n v="15.1892294946147"/>
  </r>
  <r>
    <x v="0"/>
    <x v="8"/>
    <x v="3"/>
    <x v="5"/>
    <s v="DE4-N_Offshore_A"/>
    <x v="11"/>
    <n v="3.8806031483015802"/>
    <n v="1.07794531897266"/>
  </r>
  <r>
    <x v="0"/>
    <x v="8"/>
    <x v="3"/>
    <x v="5"/>
    <s v="DE4-N_Offshore_A"/>
    <x v="12"/>
    <n v="9.7995028997514597E-2"/>
    <n v="2.72208413881985E-2"/>
  </r>
  <r>
    <x v="0"/>
    <x v="8"/>
    <x v="3"/>
    <x v="5"/>
    <s v="DE4-N_Offshore_A"/>
    <x v="13"/>
    <n v="21.5197083678542"/>
    <n v="5.9776967688483804"/>
  </r>
  <r>
    <x v="0"/>
    <x v="8"/>
    <x v="3"/>
    <x v="5"/>
    <s v="DE4-N_Offshore_A"/>
    <x v="14"/>
    <n v="21.5197083678542"/>
    <n v="5.9776967688483804"/>
  </r>
  <r>
    <x v="0"/>
    <x v="8"/>
    <x v="3"/>
    <x v="5"/>
    <s v="DE4-N_Offshore_A"/>
    <x v="15"/>
    <n v="1.65807589063794"/>
    <n v="0.46057663628831802"/>
  </r>
  <r>
    <x v="0"/>
    <x v="8"/>
    <x v="3"/>
    <x v="5"/>
    <s v="DE4-N_Offshore_A"/>
    <x v="16"/>
    <n v="4.9884429139200002"/>
    <n v="1.3856785871999999"/>
  </r>
  <r>
    <x v="0"/>
    <x v="8"/>
    <x v="3"/>
    <x v="5"/>
    <s v="DE4-N_Offshore_A"/>
    <x v="17"/>
    <n v="9.1244895875632395"/>
    <n v="2.5345804409897901"/>
  </r>
  <r>
    <x v="0"/>
    <x v="8"/>
    <x v="3"/>
    <x v="5"/>
    <s v="DE4-N_Offshore_A"/>
    <x v="18"/>
    <n v="21.5197083678542"/>
    <n v="5.9776967688483804"/>
  </r>
  <r>
    <x v="0"/>
    <x v="8"/>
    <x v="3"/>
    <x v="5"/>
    <s v="DE4-N_Offshore_A"/>
    <x v="19"/>
    <n v="8.1139884009941898"/>
    <n v="2.2538856669428302"/>
  </r>
  <r>
    <x v="0"/>
    <x v="8"/>
    <x v="3"/>
    <x v="5"/>
    <s v="DE4-N_Offshore_A"/>
    <x v="20"/>
    <n v="19.336735244541"/>
    <n v="5.37131534570584"/>
  </r>
  <r>
    <x v="0"/>
    <x v="8"/>
    <x v="3"/>
    <x v="5"/>
    <s v="DE4-N_Offshore_A"/>
    <x v="21"/>
    <n v="48.384"/>
    <n v="13.44"/>
  </r>
  <r>
    <x v="0"/>
    <x v="8"/>
    <x v="3"/>
    <x v="5"/>
    <s v="DE4-N_Offshore_A"/>
    <x v="22"/>
    <n v="79.847999999999999"/>
    <n v="22.18"/>
  </r>
  <r>
    <x v="0"/>
    <x v="8"/>
    <x v="3"/>
    <x v="5"/>
    <s v="DE4-N_Offshore_A"/>
    <x v="23"/>
    <n v="0.31515896120488701"/>
    <n v="8.7544155890246306E-2"/>
  </r>
  <r>
    <x v="0"/>
    <x v="8"/>
    <x v="3"/>
    <x v="5"/>
    <s v="DE4-N_Offshore_A"/>
    <x v="24"/>
    <n v="19.174223581093901"/>
    <n v="5.32617321697054"/>
  </r>
  <r>
    <x v="0"/>
    <x v="8"/>
    <x v="3"/>
    <x v="5"/>
    <s v="DE4-N_Offshore_A"/>
    <x v="25"/>
    <n v="22.356874337357301"/>
    <n v="6.2102428714881297"/>
  </r>
  <r>
    <x v="0"/>
    <x v="8"/>
    <x v="3"/>
    <x v="5"/>
    <s v="DE4-N_Offshore_A"/>
    <x v="26"/>
    <n v="29.6651032387655"/>
    <n v="8.2403064552126306"/>
  </r>
  <r>
    <x v="0"/>
    <x v="8"/>
    <x v="3"/>
    <x v="5"/>
    <s v="DE4-N_Offshore_A"/>
    <x v="27"/>
    <n v="20.163995508318798"/>
    <n v="5.6011098634218799"/>
  </r>
  <r>
    <x v="0"/>
    <x v="8"/>
    <x v="3"/>
    <x v="6"/>
    <s v="DE4-S_A"/>
    <x v="1"/>
    <n v="35.989199999999997"/>
    <n v="9.9969999999999999"/>
  </r>
  <r>
    <x v="0"/>
    <x v="8"/>
    <x v="3"/>
    <x v="6"/>
    <s v="DE4-S_A"/>
    <x v="2"/>
    <n v="48.384"/>
    <n v="13.44"/>
  </r>
  <r>
    <x v="0"/>
    <x v="8"/>
    <x v="3"/>
    <x v="6"/>
    <s v="DE4-S_A"/>
    <x v="0"/>
    <n v="42.692399999999999"/>
    <n v="11.859"/>
  </r>
  <r>
    <x v="0"/>
    <x v="8"/>
    <x v="3"/>
    <x v="6"/>
    <s v="DE4-S_A"/>
    <x v="3"/>
    <n v="51.633543144067197"/>
    <n v="14.342650873352"/>
  </r>
  <r>
    <x v="0"/>
    <x v="8"/>
    <x v="3"/>
    <x v="6"/>
    <s v="DE4-S_A"/>
    <x v="4"/>
    <n v="8.1139884009941898"/>
    <n v="2.2538856669428302"/>
  </r>
  <r>
    <x v="0"/>
    <x v="8"/>
    <x v="3"/>
    <x v="6"/>
    <s v="DE4-S_A"/>
    <x v="5"/>
    <n v="8.1139884009941898"/>
    <n v="2.2538856669428302"/>
  </r>
  <r>
    <x v="0"/>
    <x v="8"/>
    <x v="3"/>
    <x v="6"/>
    <s v="DE4-S_A"/>
    <x v="6"/>
    <n v="29.476231795214598"/>
    <n v="8.1878421653373898"/>
  </r>
  <r>
    <x v="0"/>
    <x v="8"/>
    <x v="3"/>
    <x v="6"/>
    <s v="DE4-S_A"/>
    <x v="7"/>
    <n v="57.838935220261199"/>
    <n v="16.066370894517"/>
  </r>
  <r>
    <x v="0"/>
    <x v="8"/>
    <x v="3"/>
    <x v="6"/>
    <s v="DE4-S_A"/>
    <x v="8"/>
    <n v="57.838935220261199"/>
    <n v="16.066370894517"/>
  </r>
  <r>
    <x v="0"/>
    <x v="8"/>
    <x v="3"/>
    <x v="6"/>
    <s v="DE4-S_A"/>
    <x v="9"/>
    <n v="44.803327257663497"/>
    <n v="12.4453686826843"/>
  </r>
  <r>
    <x v="0"/>
    <x v="8"/>
    <x v="3"/>
    <x v="6"/>
    <s v="DE4-S_A"/>
    <x v="10"/>
    <n v="54.681226180612903"/>
    <n v="15.1892294946147"/>
  </r>
  <r>
    <x v="0"/>
    <x v="8"/>
    <x v="3"/>
    <x v="6"/>
    <s v="DE4-S_A"/>
    <x v="11"/>
    <n v="3.8806031483015802"/>
    <n v="1.07794531897266"/>
  </r>
  <r>
    <x v="0"/>
    <x v="8"/>
    <x v="3"/>
    <x v="6"/>
    <s v="DE4-S_A"/>
    <x v="12"/>
    <n v="9.7995028997514597E-2"/>
    <n v="2.72208413881985E-2"/>
  </r>
  <r>
    <x v="0"/>
    <x v="8"/>
    <x v="3"/>
    <x v="6"/>
    <s v="DE4-S_A"/>
    <x v="13"/>
    <n v="21.5197083678542"/>
    <n v="5.9776967688483804"/>
  </r>
  <r>
    <x v="0"/>
    <x v="8"/>
    <x v="3"/>
    <x v="6"/>
    <s v="DE4-S_A"/>
    <x v="14"/>
    <n v="21.5197083678542"/>
    <n v="5.9776967688483804"/>
  </r>
  <r>
    <x v="0"/>
    <x v="8"/>
    <x v="3"/>
    <x v="6"/>
    <s v="DE4-S_A"/>
    <x v="15"/>
    <n v="1.65807589063794"/>
    <n v="0.46057663628831802"/>
  </r>
  <r>
    <x v="0"/>
    <x v="8"/>
    <x v="3"/>
    <x v="6"/>
    <s v="DE4-S_A"/>
    <x v="16"/>
    <n v="4.9884429139200002"/>
    <n v="1.3856785871999999"/>
  </r>
  <r>
    <x v="0"/>
    <x v="8"/>
    <x v="3"/>
    <x v="6"/>
    <s v="DE4-S_A"/>
    <x v="17"/>
    <n v="9.1244895875632395"/>
    <n v="2.5345804409897901"/>
  </r>
  <r>
    <x v="0"/>
    <x v="8"/>
    <x v="3"/>
    <x v="6"/>
    <s v="DE4-S_A"/>
    <x v="18"/>
    <n v="21.5197083678542"/>
    <n v="5.9776967688483804"/>
  </r>
  <r>
    <x v="0"/>
    <x v="8"/>
    <x v="3"/>
    <x v="6"/>
    <s v="DE4-S_A"/>
    <x v="19"/>
    <n v="8.1139884009941898"/>
    <n v="2.2538856669428302"/>
  </r>
  <r>
    <x v="0"/>
    <x v="8"/>
    <x v="3"/>
    <x v="6"/>
    <s v="DE4-S_A"/>
    <x v="20"/>
    <n v="19.336735244541"/>
    <n v="5.37131534570584"/>
  </r>
  <r>
    <x v="0"/>
    <x v="8"/>
    <x v="3"/>
    <x v="6"/>
    <s v="DE4-S_A"/>
    <x v="21"/>
    <n v="48.384"/>
    <n v="13.44"/>
  </r>
  <r>
    <x v="0"/>
    <x v="8"/>
    <x v="3"/>
    <x v="6"/>
    <s v="DE4-S_A"/>
    <x v="22"/>
    <n v="79.847999999999999"/>
    <n v="22.18"/>
  </r>
  <r>
    <x v="0"/>
    <x v="8"/>
    <x v="3"/>
    <x v="6"/>
    <s v="DE4-S_A"/>
    <x v="23"/>
    <n v="0.31515896120488701"/>
    <n v="8.7544155890246306E-2"/>
  </r>
  <r>
    <x v="0"/>
    <x v="8"/>
    <x v="3"/>
    <x v="6"/>
    <s v="DE4-S_A"/>
    <x v="24"/>
    <n v="19.174223581093901"/>
    <n v="5.32617321697054"/>
  </r>
  <r>
    <x v="0"/>
    <x v="8"/>
    <x v="3"/>
    <x v="6"/>
    <s v="DE4-S_A"/>
    <x v="25"/>
    <n v="22.356874337357301"/>
    <n v="6.2102428714881297"/>
  </r>
  <r>
    <x v="0"/>
    <x v="8"/>
    <x v="3"/>
    <x v="6"/>
    <s v="DE4-S_A"/>
    <x v="26"/>
    <n v="29.6651032387655"/>
    <n v="8.2403064552126306"/>
  </r>
  <r>
    <x v="0"/>
    <x v="8"/>
    <x v="3"/>
    <x v="6"/>
    <s v="DE4-S_A"/>
    <x v="27"/>
    <n v="20.163995508318798"/>
    <n v="5.6011098634218799"/>
  </r>
  <r>
    <x v="0"/>
    <x v="8"/>
    <x v="3"/>
    <x v="7"/>
    <s v="DE4-W_A"/>
    <x v="1"/>
    <n v="35.989199999999997"/>
    <n v="9.9969999999999999"/>
  </r>
  <r>
    <x v="0"/>
    <x v="8"/>
    <x v="3"/>
    <x v="7"/>
    <s v="DE4-W_A"/>
    <x v="2"/>
    <n v="48.384"/>
    <n v="13.44"/>
  </r>
  <r>
    <x v="0"/>
    <x v="8"/>
    <x v="3"/>
    <x v="7"/>
    <s v="DE4-W_A"/>
    <x v="0"/>
    <n v="42.692399999999999"/>
    <n v="11.859"/>
  </r>
  <r>
    <x v="0"/>
    <x v="8"/>
    <x v="3"/>
    <x v="7"/>
    <s v="DE4-W_A"/>
    <x v="3"/>
    <n v="51.633543144067197"/>
    <n v="14.342650873352"/>
  </r>
  <r>
    <x v="0"/>
    <x v="8"/>
    <x v="3"/>
    <x v="7"/>
    <s v="DE4-W_A"/>
    <x v="4"/>
    <n v="8.1139884009941898"/>
    <n v="2.2538856669428302"/>
  </r>
  <r>
    <x v="0"/>
    <x v="8"/>
    <x v="3"/>
    <x v="7"/>
    <s v="DE4-W_A"/>
    <x v="5"/>
    <n v="8.1139884009941898"/>
    <n v="2.2538856669428302"/>
  </r>
  <r>
    <x v="0"/>
    <x v="8"/>
    <x v="3"/>
    <x v="7"/>
    <s v="DE4-W_A"/>
    <x v="6"/>
    <n v="29.476231795214598"/>
    <n v="8.1878421653373898"/>
  </r>
  <r>
    <x v="0"/>
    <x v="8"/>
    <x v="3"/>
    <x v="7"/>
    <s v="DE4-W_A"/>
    <x v="7"/>
    <n v="57.838935220261199"/>
    <n v="16.066370894517"/>
  </r>
  <r>
    <x v="0"/>
    <x v="8"/>
    <x v="3"/>
    <x v="7"/>
    <s v="DE4-W_A"/>
    <x v="8"/>
    <n v="57.838935220261199"/>
    <n v="16.066370894517"/>
  </r>
  <r>
    <x v="0"/>
    <x v="8"/>
    <x v="3"/>
    <x v="7"/>
    <s v="DE4-W_A"/>
    <x v="9"/>
    <n v="44.803327257663497"/>
    <n v="12.4453686826843"/>
  </r>
  <r>
    <x v="0"/>
    <x v="8"/>
    <x v="3"/>
    <x v="7"/>
    <s v="DE4-W_A"/>
    <x v="10"/>
    <n v="54.681226180612903"/>
    <n v="15.1892294946147"/>
  </r>
  <r>
    <x v="0"/>
    <x v="8"/>
    <x v="3"/>
    <x v="7"/>
    <s v="DE4-W_A"/>
    <x v="11"/>
    <n v="3.8806031483015802"/>
    <n v="1.07794531897266"/>
  </r>
  <r>
    <x v="0"/>
    <x v="8"/>
    <x v="3"/>
    <x v="7"/>
    <s v="DE4-W_A"/>
    <x v="12"/>
    <n v="9.7995028997514597E-2"/>
    <n v="2.72208413881985E-2"/>
  </r>
  <r>
    <x v="0"/>
    <x v="8"/>
    <x v="3"/>
    <x v="7"/>
    <s v="DE4-W_A"/>
    <x v="13"/>
    <n v="21.5197083678542"/>
    <n v="5.9776967688483804"/>
  </r>
  <r>
    <x v="0"/>
    <x v="8"/>
    <x v="3"/>
    <x v="7"/>
    <s v="DE4-W_A"/>
    <x v="14"/>
    <n v="21.5197083678542"/>
    <n v="5.9776967688483804"/>
  </r>
  <r>
    <x v="0"/>
    <x v="8"/>
    <x v="3"/>
    <x v="7"/>
    <s v="DE4-W_A"/>
    <x v="15"/>
    <n v="1.65807589063794"/>
    <n v="0.46057663628831802"/>
  </r>
  <r>
    <x v="0"/>
    <x v="8"/>
    <x v="3"/>
    <x v="7"/>
    <s v="DE4-W_A"/>
    <x v="16"/>
    <n v="4.9884429139200002"/>
    <n v="1.3856785871999999"/>
  </r>
  <r>
    <x v="0"/>
    <x v="8"/>
    <x v="3"/>
    <x v="7"/>
    <s v="DE4-W_A"/>
    <x v="17"/>
    <n v="9.1244895875632395"/>
    <n v="2.5345804409897901"/>
  </r>
  <r>
    <x v="0"/>
    <x v="8"/>
    <x v="3"/>
    <x v="7"/>
    <s v="DE4-W_A"/>
    <x v="18"/>
    <n v="21.5197083678542"/>
    <n v="5.9776967688483804"/>
  </r>
  <r>
    <x v="0"/>
    <x v="8"/>
    <x v="3"/>
    <x v="7"/>
    <s v="DE4-W_A"/>
    <x v="19"/>
    <n v="8.1139884009941898"/>
    <n v="2.2538856669428302"/>
  </r>
  <r>
    <x v="0"/>
    <x v="8"/>
    <x v="3"/>
    <x v="7"/>
    <s v="DE4-W_A"/>
    <x v="20"/>
    <n v="19.336735244541"/>
    <n v="5.37131534570584"/>
  </r>
  <r>
    <x v="0"/>
    <x v="8"/>
    <x v="3"/>
    <x v="7"/>
    <s v="DE4-W_A"/>
    <x v="21"/>
    <n v="48.384"/>
    <n v="13.44"/>
  </r>
  <r>
    <x v="0"/>
    <x v="8"/>
    <x v="3"/>
    <x v="7"/>
    <s v="DE4-W_A"/>
    <x v="22"/>
    <n v="79.847999999999999"/>
    <n v="22.18"/>
  </r>
  <r>
    <x v="0"/>
    <x v="8"/>
    <x v="3"/>
    <x v="7"/>
    <s v="DE4-W_A"/>
    <x v="23"/>
    <n v="0.31515896120488701"/>
    <n v="8.7544155890246306E-2"/>
  </r>
  <r>
    <x v="0"/>
    <x v="8"/>
    <x v="3"/>
    <x v="7"/>
    <s v="DE4-W_A"/>
    <x v="24"/>
    <n v="19.174223581093901"/>
    <n v="5.32617321697054"/>
  </r>
  <r>
    <x v="0"/>
    <x v="8"/>
    <x v="3"/>
    <x v="7"/>
    <s v="DE4-W_A"/>
    <x v="25"/>
    <n v="22.356874337357301"/>
    <n v="6.2102428714881297"/>
  </r>
  <r>
    <x v="0"/>
    <x v="8"/>
    <x v="3"/>
    <x v="7"/>
    <s v="DE4-W_A"/>
    <x v="26"/>
    <n v="29.6651032387655"/>
    <n v="8.2403064552126306"/>
  </r>
  <r>
    <x v="0"/>
    <x v="8"/>
    <x v="3"/>
    <x v="7"/>
    <s v="DE4-W_A"/>
    <x v="27"/>
    <n v="20.163995508318798"/>
    <n v="5.6011098634218799"/>
  </r>
  <r>
    <x v="0"/>
    <x v="8"/>
    <x v="3"/>
    <x v="7"/>
    <s v="DE4-W_Offshore_A"/>
    <x v="1"/>
    <n v="35.989199999999997"/>
    <n v="9.9969999999999999"/>
  </r>
  <r>
    <x v="0"/>
    <x v="8"/>
    <x v="3"/>
    <x v="7"/>
    <s v="DE4-W_Offshore_A"/>
    <x v="2"/>
    <n v="48.384"/>
    <n v="13.44"/>
  </r>
  <r>
    <x v="0"/>
    <x v="8"/>
    <x v="3"/>
    <x v="7"/>
    <s v="DE4-W_Offshore_A"/>
    <x v="0"/>
    <n v="42.692399999999999"/>
    <n v="11.859"/>
  </r>
  <r>
    <x v="0"/>
    <x v="8"/>
    <x v="3"/>
    <x v="7"/>
    <s v="DE4-W_Offshore_A"/>
    <x v="3"/>
    <n v="51.633543144067197"/>
    <n v="14.342650873352"/>
  </r>
  <r>
    <x v="0"/>
    <x v="8"/>
    <x v="3"/>
    <x v="7"/>
    <s v="DE4-W_Offshore_A"/>
    <x v="4"/>
    <n v="8.1139884009941898"/>
    <n v="2.2538856669428302"/>
  </r>
  <r>
    <x v="0"/>
    <x v="8"/>
    <x v="3"/>
    <x v="7"/>
    <s v="DE4-W_Offshore_A"/>
    <x v="5"/>
    <n v="8.1139884009941898"/>
    <n v="2.2538856669428302"/>
  </r>
  <r>
    <x v="0"/>
    <x v="8"/>
    <x v="3"/>
    <x v="7"/>
    <s v="DE4-W_Offshore_A"/>
    <x v="6"/>
    <n v="29.476231795214598"/>
    <n v="8.1878421653373898"/>
  </r>
  <r>
    <x v="0"/>
    <x v="8"/>
    <x v="3"/>
    <x v="7"/>
    <s v="DE4-W_Offshore_A"/>
    <x v="7"/>
    <n v="57.838935220261199"/>
    <n v="16.066370894517"/>
  </r>
  <r>
    <x v="0"/>
    <x v="8"/>
    <x v="3"/>
    <x v="7"/>
    <s v="DE4-W_Offshore_A"/>
    <x v="8"/>
    <n v="57.838935220261199"/>
    <n v="16.066370894517"/>
  </r>
  <r>
    <x v="0"/>
    <x v="8"/>
    <x v="3"/>
    <x v="7"/>
    <s v="DE4-W_Offshore_A"/>
    <x v="9"/>
    <n v="44.803327257663497"/>
    <n v="12.4453686826843"/>
  </r>
  <r>
    <x v="0"/>
    <x v="8"/>
    <x v="3"/>
    <x v="7"/>
    <s v="DE4-W_Offshore_A"/>
    <x v="10"/>
    <n v="54.681226180612903"/>
    <n v="15.1892294946147"/>
  </r>
  <r>
    <x v="0"/>
    <x v="8"/>
    <x v="3"/>
    <x v="7"/>
    <s v="DE4-W_Offshore_A"/>
    <x v="11"/>
    <n v="3.8806031483015802"/>
    <n v="1.07794531897266"/>
  </r>
  <r>
    <x v="0"/>
    <x v="8"/>
    <x v="3"/>
    <x v="7"/>
    <s v="DE4-W_Offshore_A"/>
    <x v="12"/>
    <n v="9.7995028997514597E-2"/>
    <n v="2.72208413881985E-2"/>
  </r>
  <r>
    <x v="0"/>
    <x v="8"/>
    <x v="3"/>
    <x v="7"/>
    <s v="DE4-W_Offshore_A"/>
    <x v="13"/>
    <n v="21.5197083678542"/>
    <n v="5.9776967688483804"/>
  </r>
  <r>
    <x v="0"/>
    <x v="8"/>
    <x v="3"/>
    <x v="7"/>
    <s v="DE4-W_Offshore_A"/>
    <x v="14"/>
    <n v="21.5197083678542"/>
    <n v="5.9776967688483804"/>
  </r>
  <r>
    <x v="0"/>
    <x v="8"/>
    <x v="3"/>
    <x v="7"/>
    <s v="DE4-W_Offshore_A"/>
    <x v="15"/>
    <n v="1.65807589063794"/>
    <n v="0.46057663628831802"/>
  </r>
  <r>
    <x v="0"/>
    <x v="8"/>
    <x v="3"/>
    <x v="7"/>
    <s v="DE4-W_Offshore_A"/>
    <x v="16"/>
    <n v="4.9884429139200002"/>
    <n v="1.3856785871999999"/>
  </r>
  <r>
    <x v="0"/>
    <x v="8"/>
    <x v="3"/>
    <x v="7"/>
    <s v="DE4-W_Offshore_A"/>
    <x v="17"/>
    <n v="9.1244895875632395"/>
    <n v="2.5345804409897901"/>
  </r>
  <r>
    <x v="0"/>
    <x v="8"/>
    <x v="3"/>
    <x v="7"/>
    <s v="DE4-W_Offshore_A"/>
    <x v="18"/>
    <n v="21.5197083678542"/>
    <n v="5.9776967688483804"/>
  </r>
  <r>
    <x v="0"/>
    <x v="8"/>
    <x v="3"/>
    <x v="7"/>
    <s v="DE4-W_Offshore_A"/>
    <x v="19"/>
    <n v="8.1139884009941898"/>
    <n v="2.2538856669428302"/>
  </r>
  <r>
    <x v="0"/>
    <x v="8"/>
    <x v="3"/>
    <x v="7"/>
    <s v="DE4-W_Offshore_A"/>
    <x v="20"/>
    <n v="19.336735244541"/>
    <n v="5.37131534570584"/>
  </r>
  <r>
    <x v="0"/>
    <x v="8"/>
    <x v="3"/>
    <x v="7"/>
    <s v="DE4-W_Offshore_A"/>
    <x v="21"/>
    <n v="48.384"/>
    <n v="13.44"/>
  </r>
  <r>
    <x v="0"/>
    <x v="8"/>
    <x v="3"/>
    <x v="7"/>
    <s v="DE4-W_Offshore_A"/>
    <x v="22"/>
    <n v="79.847999999999999"/>
    <n v="22.18"/>
  </r>
  <r>
    <x v="0"/>
    <x v="8"/>
    <x v="3"/>
    <x v="7"/>
    <s v="DE4-W_Offshore_A"/>
    <x v="23"/>
    <n v="0.31515896120488701"/>
    <n v="8.7544155890246306E-2"/>
  </r>
  <r>
    <x v="0"/>
    <x v="8"/>
    <x v="3"/>
    <x v="7"/>
    <s v="DE4-W_Offshore_A"/>
    <x v="24"/>
    <n v="19.174223581093901"/>
    <n v="5.32617321697054"/>
  </r>
  <r>
    <x v="0"/>
    <x v="8"/>
    <x v="3"/>
    <x v="7"/>
    <s v="DE4-W_Offshore_A"/>
    <x v="25"/>
    <n v="22.356874337357301"/>
    <n v="6.2102428714881297"/>
  </r>
  <r>
    <x v="0"/>
    <x v="8"/>
    <x v="3"/>
    <x v="7"/>
    <s v="DE4-W_Offshore_A"/>
    <x v="26"/>
    <n v="29.6651032387655"/>
    <n v="8.2403064552126306"/>
  </r>
  <r>
    <x v="0"/>
    <x v="8"/>
    <x v="3"/>
    <x v="7"/>
    <s v="DE4-W_Offshore_A"/>
    <x v="27"/>
    <n v="20.163995508318798"/>
    <n v="5.6011098634218799"/>
  </r>
  <r>
    <x v="0"/>
    <x v="8"/>
    <x v="4"/>
    <x v="8"/>
    <s v="LV_A"/>
    <x v="1"/>
    <n v="35.989199999999997"/>
    <n v="9.9969999999999999"/>
  </r>
  <r>
    <x v="0"/>
    <x v="8"/>
    <x v="4"/>
    <x v="8"/>
    <s v="LV_A"/>
    <x v="2"/>
    <n v="48.384"/>
    <n v="13.44"/>
  </r>
  <r>
    <x v="0"/>
    <x v="8"/>
    <x v="4"/>
    <x v="8"/>
    <s v="LV_A"/>
    <x v="0"/>
    <n v="42.692399999999999"/>
    <n v="11.859"/>
  </r>
  <r>
    <x v="0"/>
    <x v="8"/>
    <x v="4"/>
    <x v="8"/>
    <s v="LV_A"/>
    <x v="3"/>
    <n v="51.633543144067197"/>
    <n v="14.342650873352"/>
  </r>
  <r>
    <x v="0"/>
    <x v="8"/>
    <x v="4"/>
    <x v="8"/>
    <s v="LV_A"/>
    <x v="4"/>
    <n v="8.1139884009941898"/>
    <n v="2.2538856669428302"/>
  </r>
  <r>
    <x v="0"/>
    <x v="8"/>
    <x v="4"/>
    <x v="8"/>
    <s v="LV_A"/>
    <x v="5"/>
    <n v="8.1139884009941898"/>
    <n v="2.2538856669428302"/>
  </r>
  <r>
    <x v="0"/>
    <x v="8"/>
    <x v="4"/>
    <x v="8"/>
    <s v="LV_A"/>
    <x v="6"/>
    <n v="29.476231795214598"/>
    <n v="8.1878421653373898"/>
  </r>
  <r>
    <x v="0"/>
    <x v="8"/>
    <x v="4"/>
    <x v="8"/>
    <s v="LV_A"/>
    <x v="7"/>
    <n v="57.838935220261199"/>
    <n v="16.066370894517"/>
  </r>
  <r>
    <x v="0"/>
    <x v="8"/>
    <x v="4"/>
    <x v="8"/>
    <s v="LV_A"/>
    <x v="8"/>
    <n v="57.838935220261199"/>
    <n v="16.066370894517"/>
  </r>
  <r>
    <x v="0"/>
    <x v="8"/>
    <x v="4"/>
    <x v="8"/>
    <s v="LV_A"/>
    <x v="9"/>
    <n v="44.803327257663497"/>
    <n v="12.4453686826843"/>
  </r>
  <r>
    <x v="0"/>
    <x v="8"/>
    <x v="4"/>
    <x v="8"/>
    <s v="LV_A"/>
    <x v="10"/>
    <n v="54.681226180612903"/>
    <n v="15.1892294946147"/>
  </r>
  <r>
    <x v="0"/>
    <x v="8"/>
    <x v="4"/>
    <x v="8"/>
    <s v="LV_A"/>
    <x v="11"/>
    <n v="3.8806031483015802"/>
    <n v="1.07794531897266"/>
  </r>
  <r>
    <x v="0"/>
    <x v="8"/>
    <x v="4"/>
    <x v="8"/>
    <s v="LV_A"/>
    <x v="12"/>
    <n v="9.7995028997514597E-2"/>
    <n v="2.72208413881985E-2"/>
  </r>
  <r>
    <x v="0"/>
    <x v="8"/>
    <x v="4"/>
    <x v="8"/>
    <s v="LV_A"/>
    <x v="13"/>
    <n v="21.5197083678542"/>
    <n v="5.9776967688483804"/>
  </r>
  <r>
    <x v="0"/>
    <x v="8"/>
    <x v="4"/>
    <x v="8"/>
    <s v="LV_A"/>
    <x v="14"/>
    <n v="21.5197083678542"/>
    <n v="5.9776967688483804"/>
  </r>
  <r>
    <x v="0"/>
    <x v="8"/>
    <x v="4"/>
    <x v="8"/>
    <s v="LV_A"/>
    <x v="15"/>
    <n v="1.65807589063794"/>
    <n v="0.46057663628831802"/>
  </r>
  <r>
    <x v="0"/>
    <x v="8"/>
    <x v="4"/>
    <x v="8"/>
    <s v="LV_A"/>
    <x v="16"/>
    <n v="4.9884429139200002"/>
    <n v="1.3856785871999999"/>
  </r>
  <r>
    <x v="0"/>
    <x v="8"/>
    <x v="4"/>
    <x v="8"/>
    <s v="LV_A"/>
    <x v="17"/>
    <n v="9.1244895875632395"/>
    <n v="2.5345804409897901"/>
  </r>
  <r>
    <x v="0"/>
    <x v="8"/>
    <x v="4"/>
    <x v="8"/>
    <s v="LV_A"/>
    <x v="18"/>
    <n v="21.5197083678542"/>
    <n v="5.9776967688483804"/>
  </r>
  <r>
    <x v="0"/>
    <x v="8"/>
    <x v="4"/>
    <x v="8"/>
    <s v="LV_A"/>
    <x v="19"/>
    <n v="8.1139884009941898"/>
    <n v="2.2538856669428302"/>
  </r>
  <r>
    <x v="0"/>
    <x v="8"/>
    <x v="4"/>
    <x v="8"/>
    <s v="LV_A"/>
    <x v="20"/>
    <n v="19.336735244541"/>
    <n v="5.37131534570584"/>
  </r>
  <r>
    <x v="0"/>
    <x v="8"/>
    <x v="4"/>
    <x v="8"/>
    <s v="LV_A"/>
    <x v="21"/>
    <n v="48.384"/>
    <n v="13.44"/>
  </r>
  <r>
    <x v="0"/>
    <x v="8"/>
    <x v="4"/>
    <x v="8"/>
    <s v="LV_A"/>
    <x v="22"/>
    <n v="79.847999999999999"/>
    <n v="22.18"/>
  </r>
  <r>
    <x v="0"/>
    <x v="8"/>
    <x v="4"/>
    <x v="8"/>
    <s v="LV_A"/>
    <x v="23"/>
    <n v="0.31515896120488701"/>
    <n v="8.7544155890246306E-2"/>
  </r>
  <r>
    <x v="0"/>
    <x v="8"/>
    <x v="4"/>
    <x v="8"/>
    <s v="LV_A"/>
    <x v="24"/>
    <n v="19.174223581093901"/>
    <n v="5.32617321697054"/>
  </r>
  <r>
    <x v="0"/>
    <x v="8"/>
    <x v="4"/>
    <x v="8"/>
    <s v="LV_A"/>
    <x v="25"/>
    <n v="22.356874337357301"/>
    <n v="6.2102428714881297"/>
  </r>
  <r>
    <x v="0"/>
    <x v="8"/>
    <x v="4"/>
    <x v="8"/>
    <s v="LV_A"/>
    <x v="26"/>
    <n v="29.6651032387655"/>
    <n v="8.2403064552126306"/>
  </r>
  <r>
    <x v="0"/>
    <x v="8"/>
    <x v="4"/>
    <x v="8"/>
    <s v="LV_A"/>
    <x v="27"/>
    <n v="20.163995508318798"/>
    <n v="5.6011098634218799"/>
  </r>
  <r>
    <x v="0"/>
    <x v="8"/>
    <x v="4"/>
    <x v="8"/>
    <s v="LV_OFFSHORE"/>
    <x v="1"/>
    <n v="35.989199999999997"/>
    <n v="9.9969999999999999"/>
  </r>
  <r>
    <x v="0"/>
    <x v="8"/>
    <x v="4"/>
    <x v="8"/>
    <s v="LV_OFFSHORE"/>
    <x v="2"/>
    <n v="48.384"/>
    <n v="13.44"/>
  </r>
  <r>
    <x v="0"/>
    <x v="8"/>
    <x v="4"/>
    <x v="8"/>
    <s v="LV_OFFSHORE"/>
    <x v="0"/>
    <n v="42.692399999999999"/>
    <n v="11.859"/>
  </r>
  <r>
    <x v="0"/>
    <x v="8"/>
    <x v="4"/>
    <x v="8"/>
    <s v="LV_OFFSHORE"/>
    <x v="3"/>
    <n v="51.633543144067197"/>
    <n v="14.342650873352"/>
  </r>
  <r>
    <x v="0"/>
    <x v="8"/>
    <x v="4"/>
    <x v="8"/>
    <s v="LV_OFFSHORE"/>
    <x v="4"/>
    <n v="8.1139884009941898"/>
    <n v="2.2538856669428302"/>
  </r>
  <r>
    <x v="0"/>
    <x v="8"/>
    <x v="4"/>
    <x v="8"/>
    <s v="LV_OFFSHORE"/>
    <x v="5"/>
    <n v="8.1139884009941898"/>
    <n v="2.2538856669428302"/>
  </r>
  <r>
    <x v="0"/>
    <x v="8"/>
    <x v="4"/>
    <x v="8"/>
    <s v="LV_OFFSHORE"/>
    <x v="6"/>
    <n v="29.476231795214598"/>
    <n v="8.1878421653373898"/>
  </r>
  <r>
    <x v="0"/>
    <x v="8"/>
    <x v="4"/>
    <x v="8"/>
    <s v="LV_OFFSHORE"/>
    <x v="7"/>
    <n v="57.838935220261199"/>
    <n v="16.066370894517"/>
  </r>
  <r>
    <x v="0"/>
    <x v="8"/>
    <x v="4"/>
    <x v="8"/>
    <s v="LV_OFFSHORE"/>
    <x v="8"/>
    <n v="57.838935220261199"/>
    <n v="16.066370894517"/>
  </r>
  <r>
    <x v="0"/>
    <x v="8"/>
    <x v="4"/>
    <x v="8"/>
    <s v="LV_OFFSHORE"/>
    <x v="9"/>
    <n v="44.803327257663497"/>
    <n v="12.4453686826843"/>
  </r>
  <r>
    <x v="0"/>
    <x v="8"/>
    <x v="4"/>
    <x v="8"/>
    <s v="LV_OFFSHORE"/>
    <x v="10"/>
    <n v="54.681226180612903"/>
    <n v="15.1892294946147"/>
  </r>
  <r>
    <x v="0"/>
    <x v="8"/>
    <x v="4"/>
    <x v="8"/>
    <s v="LV_OFFSHORE"/>
    <x v="11"/>
    <n v="3.8806031483015802"/>
    <n v="1.07794531897266"/>
  </r>
  <r>
    <x v="0"/>
    <x v="8"/>
    <x v="4"/>
    <x v="8"/>
    <s v="LV_OFFSHORE"/>
    <x v="12"/>
    <n v="9.7995028997514597E-2"/>
    <n v="2.72208413881985E-2"/>
  </r>
  <r>
    <x v="0"/>
    <x v="8"/>
    <x v="4"/>
    <x v="8"/>
    <s v="LV_OFFSHORE"/>
    <x v="13"/>
    <n v="21.5197083678542"/>
    <n v="5.9776967688483804"/>
  </r>
  <r>
    <x v="0"/>
    <x v="8"/>
    <x v="4"/>
    <x v="8"/>
    <s v="LV_OFFSHORE"/>
    <x v="14"/>
    <n v="21.5197083678542"/>
    <n v="5.9776967688483804"/>
  </r>
  <r>
    <x v="0"/>
    <x v="8"/>
    <x v="4"/>
    <x v="8"/>
    <s v="LV_OFFSHORE"/>
    <x v="15"/>
    <n v="1.65807589063794"/>
    <n v="0.46057663628831802"/>
  </r>
  <r>
    <x v="0"/>
    <x v="8"/>
    <x v="4"/>
    <x v="8"/>
    <s v="LV_OFFSHORE"/>
    <x v="16"/>
    <n v="4.9884429139200002"/>
    <n v="1.3856785871999999"/>
  </r>
  <r>
    <x v="0"/>
    <x v="8"/>
    <x v="4"/>
    <x v="8"/>
    <s v="LV_OFFSHORE"/>
    <x v="17"/>
    <n v="9.1244895875632395"/>
    <n v="2.5345804409897901"/>
  </r>
  <r>
    <x v="0"/>
    <x v="8"/>
    <x v="4"/>
    <x v="8"/>
    <s v="LV_OFFSHORE"/>
    <x v="18"/>
    <n v="21.5197083678542"/>
    <n v="5.9776967688483804"/>
  </r>
  <r>
    <x v="0"/>
    <x v="8"/>
    <x v="4"/>
    <x v="8"/>
    <s v="LV_OFFSHORE"/>
    <x v="19"/>
    <n v="8.1139884009941898"/>
    <n v="2.2538856669428302"/>
  </r>
  <r>
    <x v="0"/>
    <x v="8"/>
    <x v="4"/>
    <x v="8"/>
    <s v="LV_OFFSHORE"/>
    <x v="20"/>
    <n v="19.336735244541"/>
    <n v="5.37131534570584"/>
  </r>
  <r>
    <x v="0"/>
    <x v="8"/>
    <x v="4"/>
    <x v="8"/>
    <s v="LV_OFFSHORE"/>
    <x v="21"/>
    <n v="48.384"/>
    <n v="13.44"/>
  </r>
  <r>
    <x v="0"/>
    <x v="8"/>
    <x v="4"/>
    <x v="8"/>
    <s v="LV_OFFSHORE"/>
    <x v="22"/>
    <n v="79.847999999999999"/>
    <n v="22.18"/>
  </r>
  <r>
    <x v="0"/>
    <x v="8"/>
    <x v="4"/>
    <x v="8"/>
    <s v="LV_OFFSHORE"/>
    <x v="23"/>
    <n v="0.31515896120488701"/>
    <n v="8.7544155890246306E-2"/>
  </r>
  <r>
    <x v="0"/>
    <x v="8"/>
    <x v="4"/>
    <x v="8"/>
    <s v="LV_OFFSHORE"/>
    <x v="24"/>
    <n v="19.174223581093901"/>
    <n v="5.32617321697054"/>
  </r>
  <r>
    <x v="0"/>
    <x v="8"/>
    <x v="4"/>
    <x v="8"/>
    <s v="LV_OFFSHORE"/>
    <x v="25"/>
    <n v="22.356874337357301"/>
    <n v="6.2102428714881297"/>
  </r>
  <r>
    <x v="0"/>
    <x v="8"/>
    <x v="4"/>
    <x v="8"/>
    <s v="LV_OFFSHORE"/>
    <x v="26"/>
    <n v="29.6651032387655"/>
    <n v="8.2403064552126306"/>
  </r>
  <r>
    <x v="0"/>
    <x v="8"/>
    <x v="4"/>
    <x v="8"/>
    <s v="LV_OFFSHORE"/>
    <x v="27"/>
    <n v="20.163995508318798"/>
    <n v="5.6011098634218799"/>
  </r>
  <r>
    <x v="0"/>
    <x v="8"/>
    <x v="4"/>
    <x v="8"/>
    <s v="LV_Other_DH"/>
    <x v="1"/>
    <n v="35.989199999999997"/>
    <n v="9.9969999999999999"/>
  </r>
  <r>
    <x v="0"/>
    <x v="8"/>
    <x v="4"/>
    <x v="8"/>
    <s v="LV_Other_DH"/>
    <x v="2"/>
    <n v="48.384"/>
    <n v="13.44"/>
  </r>
  <r>
    <x v="0"/>
    <x v="8"/>
    <x v="4"/>
    <x v="8"/>
    <s v="LV_Other_DH"/>
    <x v="0"/>
    <n v="42.692399999999999"/>
    <n v="11.859"/>
  </r>
  <r>
    <x v="0"/>
    <x v="8"/>
    <x v="4"/>
    <x v="8"/>
    <s v="LV_Other_DH"/>
    <x v="3"/>
    <n v="51.633543144067197"/>
    <n v="14.342650873352"/>
  </r>
  <r>
    <x v="0"/>
    <x v="8"/>
    <x v="4"/>
    <x v="8"/>
    <s v="LV_Other_DH"/>
    <x v="4"/>
    <n v="8.1139884009941898"/>
    <n v="2.2538856669428302"/>
  </r>
  <r>
    <x v="0"/>
    <x v="8"/>
    <x v="4"/>
    <x v="8"/>
    <s v="LV_Other_DH"/>
    <x v="5"/>
    <n v="8.1139884009941898"/>
    <n v="2.2538856669428302"/>
  </r>
  <r>
    <x v="0"/>
    <x v="8"/>
    <x v="4"/>
    <x v="8"/>
    <s v="LV_Other_DH"/>
    <x v="6"/>
    <n v="29.476231795214598"/>
    <n v="8.1878421653373898"/>
  </r>
  <r>
    <x v="0"/>
    <x v="8"/>
    <x v="4"/>
    <x v="8"/>
    <s v="LV_Other_DH"/>
    <x v="7"/>
    <n v="57.838935220261199"/>
    <n v="16.066370894517"/>
  </r>
  <r>
    <x v="0"/>
    <x v="8"/>
    <x v="4"/>
    <x v="8"/>
    <s v="LV_Other_DH"/>
    <x v="8"/>
    <n v="57.838935220261199"/>
    <n v="16.066370894517"/>
  </r>
  <r>
    <x v="0"/>
    <x v="8"/>
    <x v="4"/>
    <x v="8"/>
    <s v="LV_Other_DH"/>
    <x v="9"/>
    <n v="44.803327257663497"/>
    <n v="12.4453686826843"/>
  </r>
  <r>
    <x v="0"/>
    <x v="8"/>
    <x v="4"/>
    <x v="8"/>
    <s v="LV_Other_DH"/>
    <x v="10"/>
    <n v="54.681226180612903"/>
    <n v="15.1892294946147"/>
  </r>
  <r>
    <x v="0"/>
    <x v="8"/>
    <x v="4"/>
    <x v="8"/>
    <s v="LV_Other_DH"/>
    <x v="11"/>
    <n v="3.8806031483015802"/>
    <n v="1.07794531897266"/>
  </r>
  <r>
    <x v="0"/>
    <x v="8"/>
    <x v="4"/>
    <x v="8"/>
    <s v="LV_Other_DH"/>
    <x v="12"/>
    <n v="9.7995028997514597E-2"/>
    <n v="2.72208413881985E-2"/>
  </r>
  <r>
    <x v="0"/>
    <x v="8"/>
    <x v="4"/>
    <x v="8"/>
    <s v="LV_Other_DH"/>
    <x v="13"/>
    <n v="21.5197083678542"/>
    <n v="5.9776967688483804"/>
  </r>
  <r>
    <x v="0"/>
    <x v="8"/>
    <x v="4"/>
    <x v="8"/>
    <s v="LV_Other_DH"/>
    <x v="14"/>
    <n v="21.5197083678542"/>
    <n v="5.9776967688483804"/>
  </r>
  <r>
    <x v="0"/>
    <x v="8"/>
    <x v="4"/>
    <x v="8"/>
    <s v="LV_Other_DH"/>
    <x v="15"/>
    <n v="1.65807589063794"/>
    <n v="0.46057663628831802"/>
  </r>
  <r>
    <x v="0"/>
    <x v="8"/>
    <x v="4"/>
    <x v="8"/>
    <s v="LV_Other_DH"/>
    <x v="16"/>
    <n v="4.9884429139200002"/>
    <n v="1.3856785871999999"/>
  </r>
  <r>
    <x v="0"/>
    <x v="8"/>
    <x v="4"/>
    <x v="8"/>
    <s v="LV_Other_DH"/>
    <x v="17"/>
    <n v="9.1244895875632395"/>
    <n v="2.5345804409897901"/>
  </r>
  <r>
    <x v="0"/>
    <x v="8"/>
    <x v="4"/>
    <x v="8"/>
    <s v="LV_Other_DH"/>
    <x v="18"/>
    <n v="21.5197083678542"/>
    <n v="5.9776967688483804"/>
  </r>
  <r>
    <x v="0"/>
    <x v="8"/>
    <x v="4"/>
    <x v="8"/>
    <s v="LV_Other_DH"/>
    <x v="19"/>
    <n v="8.1139884009941898"/>
    <n v="2.2538856669428302"/>
  </r>
  <r>
    <x v="0"/>
    <x v="8"/>
    <x v="4"/>
    <x v="8"/>
    <s v="LV_Other_DH"/>
    <x v="20"/>
    <n v="19.336735244541"/>
    <n v="5.37131534570584"/>
  </r>
  <r>
    <x v="0"/>
    <x v="8"/>
    <x v="4"/>
    <x v="8"/>
    <s v="LV_Other_DH"/>
    <x v="21"/>
    <n v="48.384"/>
    <n v="13.44"/>
  </r>
  <r>
    <x v="0"/>
    <x v="8"/>
    <x v="4"/>
    <x v="8"/>
    <s v="LV_Other_DH"/>
    <x v="22"/>
    <n v="79.847999999999999"/>
    <n v="22.18"/>
  </r>
  <r>
    <x v="0"/>
    <x v="8"/>
    <x v="4"/>
    <x v="8"/>
    <s v="LV_Other_DH"/>
    <x v="23"/>
    <n v="0.31515896120488701"/>
    <n v="8.7544155890246306E-2"/>
  </r>
  <r>
    <x v="0"/>
    <x v="8"/>
    <x v="4"/>
    <x v="8"/>
    <s v="LV_Other_DH"/>
    <x v="24"/>
    <n v="19.174223581093901"/>
    <n v="5.32617321697054"/>
  </r>
  <r>
    <x v="0"/>
    <x v="8"/>
    <x v="4"/>
    <x v="8"/>
    <s v="LV_Other_DH"/>
    <x v="25"/>
    <n v="22.356874337357301"/>
    <n v="6.2102428714881297"/>
  </r>
  <r>
    <x v="0"/>
    <x v="8"/>
    <x v="4"/>
    <x v="8"/>
    <s v="LV_Other_DH"/>
    <x v="26"/>
    <n v="29.6651032387655"/>
    <n v="8.2403064552126306"/>
  </r>
  <r>
    <x v="0"/>
    <x v="8"/>
    <x v="4"/>
    <x v="8"/>
    <s v="LV_Other_DH"/>
    <x v="27"/>
    <n v="20.163995508318798"/>
    <n v="5.6011098634218799"/>
  </r>
  <r>
    <x v="0"/>
    <x v="8"/>
    <x v="4"/>
    <x v="8"/>
    <s v="LV_RigaR"/>
    <x v="1"/>
    <n v="35.989199999999997"/>
    <n v="9.9969999999999999"/>
  </r>
  <r>
    <x v="0"/>
    <x v="8"/>
    <x v="4"/>
    <x v="8"/>
    <s v="LV_RigaR"/>
    <x v="2"/>
    <n v="48.384"/>
    <n v="13.44"/>
  </r>
  <r>
    <x v="0"/>
    <x v="8"/>
    <x v="4"/>
    <x v="8"/>
    <s v="LV_RigaR"/>
    <x v="0"/>
    <n v="42.692399999999999"/>
    <n v="11.859"/>
  </r>
  <r>
    <x v="0"/>
    <x v="8"/>
    <x v="4"/>
    <x v="8"/>
    <s v="LV_RigaR"/>
    <x v="3"/>
    <n v="51.633543144067197"/>
    <n v="14.342650873352"/>
  </r>
  <r>
    <x v="0"/>
    <x v="8"/>
    <x v="4"/>
    <x v="8"/>
    <s v="LV_RigaR"/>
    <x v="4"/>
    <n v="8.1139884009941898"/>
    <n v="2.2538856669428302"/>
  </r>
  <r>
    <x v="0"/>
    <x v="8"/>
    <x v="4"/>
    <x v="8"/>
    <s v="LV_RigaR"/>
    <x v="5"/>
    <n v="8.1139884009941898"/>
    <n v="2.2538856669428302"/>
  </r>
  <r>
    <x v="0"/>
    <x v="8"/>
    <x v="4"/>
    <x v="8"/>
    <s v="LV_RigaR"/>
    <x v="6"/>
    <n v="29.476231795214598"/>
    <n v="8.1878421653373898"/>
  </r>
  <r>
    <x v="0"/>
    <x v="8"/>
    <x v="4"/>
    <x v="8"/>
    <s v="LV_RigaR"/>
    <x v="7"/>
    <n v="57.838935220261199"/>
    <n v="16.066370894517"/>
  </r>
  <r>
    <x v="0"/>
    <x v="8"/>
    <x v="4"/>
    <x v="8"/>
    <s v="LV_RigaR"/>
    <x v="8"/>
    <n v="57.838935220261199"/>
    <n v="16.066370894517"/>
  </r>
  <r>
    <x v="0"/>
    <x v="8"/>
    <x v="4"/>
    <x v="8"/>
    <s v="LV_RigaR"/>
    <x v="9"/>
    <n v="44.803327257663497"/>
    <n v="12.4453686826843"/>
  </r>
  <r>
    <x v="0"/>
    <x v="8"/>
    <x v="4"/>
    <x v="8"/>
    <s v="LV_RigaR"/>
    <x v="10"/>
    <n v="54.681226180612903"/>
    <n v="15.1892294946147"/>
  </r>
  <r>
    <x v="0"/>
    <x v="8"/>
    <x v="4"/>
    <x v="8"/>
    <s v="LV_RigaR"/>
    <x v="11"/>
    <n v="3.8806031483015802"/>
    <n v="1.07794531897266"/>
  </r>
  <r>
    <x v="0"/>
    <x v="8"/>
    <x v="4"/>
    <x v="8"/>
    <s v="LV_RigaR"/>
    <x v="12"/>
    <n v="9.7995028997514597E-2"/>
    <n v="2.72208413881985E-2"/>
  </r>
  <r>
    <x v="0"/>
    <x v="8"/>
    <x v="4"/>
    <x v="8"/>
    <s v="LV_RigaR"/>
    <x v="13"/>
    <n v="21.5197083678542"/>
    <n v="5.9776967688483804"/>
  </r>
  <r>
    <x v="0"/>
    <x v="8"/>
    <x v="4"/>
    <x v="8"/>
    <s v="LV_RigaR"/>
    <x v="14"/>
    <n v="21.5197083678542"/>
    <n v="5.9776967688483804"/>
  </r>
  <r>
    <x v="0"/>
    <x v="8"/>
    <x v="4"/>
    <x v="8"/>
    <s v="LV_RigaR"/>
    <x v="15"/>
    <n v="1.65807589063794"/>
    <n v="0.46057663628831802"/>
  </r>
  <r>
    <x v="0"/>
    <x v="8"/>
    <x v="4"/>
    <x v="8"/>
    <s v="LV_RigaR"/>
    <x v="16"/>
    <n v="4.9884429139200002"/>
    <n v="1.3856785871999999"/>
  </r>
  <r>
    <x v="0"/>
    <x v="8"/>
    <x v="4"/>
    <x v="8"/>
    <s v="LV_RigaR"/>
    <x v="17"/>
    <n v="9.1244895875632395"/>
    <n v="2.5345804409897901"/>
  </r>
  <r>
    <x v="0"/>
    <x v="8"/>
    <x v="4"/>
    <x v="8"/>
    <s v="LV_RigaR"/>
    <x v="18"/>
    <n v="21.5197083678542"/>
    <n v="5.9776967688483804"/>
  </r>
  <r>
    <x v="0"/>
    <x v="8"/>
    <x v="4"/>
    <x v="8"/>
    <s v="LV_RigaR"/>
    <x v="19"/>
    <n v="8.1139884009941898"/>
    <n v="2.2538856669428302"/>
  </r>
  <r>
    <x v="0"/>
    <x v="8"/>
    <x v="4"/>
    <x v="8"/>
    <s v="LV_RigaR"/>
    <x v="20"/>
    <n v="19.336735244541"/>
    <n v="5.37131534570584"/>
  </r>
  <r>
    <x v="0"/>
    <x v="8"/>
    <x v="4"/>
    <x v="8"/>
    <s v="LV_RigaR"/>
    <x v="21"/>
    <n v="48.384"/>
    <n v="13.44"/>
  </r>
  <r>
    <x v="0"/>
    <x v="8"/>
    <x v="4"/>
    <x v="8"/>
    <s v="LV_RigaR"/>
    <x v="22"/>
    <n v="79.847999999999999"/>
    <n v="22.18"/>
  </r>
  <r>
    <x v="0"/>
    <x v="8"/>
    <x v="4"/>
    <x v="8"/>
    <s v="LV_RigaR"/>
    <x v="23"/>
    <n v="0.31515896120488701"/>
    <n v="8.7544155890246306E-2"/>
  </r>
  <r>
    <x v="0"/>
    <x v="8"/>
    <x v="4"/>
    <x v="8"/>
    <s v="LV_RigaR"/>
    <x v="24"/>
    <n v="19.174223581093901"/>
    <n v="5.32617321697054"/>
  </r>
  <r>
    <x v="0"/>
    <x v="8"/>
    <x v="4"/>
    <x v="8"/>
    <s v="LV_RigaR"/>
    <x v="25"/>
    <n v="22.356874337357301"/>
    <n v="6.2102428714881297"/>
  </r>
  <r>
    <x v="0"/>
    <x v="8"/>
    <x v="4"/>
    <x v="8"/>
    <s v="LV_RigaR"/>
    <x v="26"/>
    <n v="29.6651032387655"/>
    <n v="8.2403064552126306"/>
  </r>
  <r>
    <x v="0"/>
    <x v="8"/>
    <x v="4"/>
    <x v="8"/>
    <s v="LV_RigaR"/>
    <x v="27"/>
    <n v="20.163995508318798"/>
    <n v="5.6011098634218799"/>
  </r>
  <r>
    <x v="0"/>
    <x v="8"/>
    <x v="4"/>
    <x v="8"/>
    <s v="LV_Rural"/>
    <x v="1"/>
    <n v="35.989199999999997"/>
    <n v="9.9969999999999999"/>
  </r>
  <r>
    <x v="0"/>
    <x v="8"/>
    <x v="4"/>
    <x v="8"/>
    <s v="LV_Rural"/>
    <x v="2"/>
    <n v="48.384"/>
    <n v="13.44"/>
  </r>
  <r>
    <x v="0"/>
    <x v="8"/>
    <x v="4"/>
    <x v="8"/>
    <s v="LV_Rural"/>
    <x v="0"/>
    <n v="42.692399999999999"/>
    <n v="11.859"/>
  </r>
  <r>
    <x v="0"/>
    <x v="8"/>
    <x v="4"/>
    <x v="8"/>
    <s v="LV_Rural"/>
    <x v="3"/>
    <n v="51.633543144067197"/>
    <n v="14.342650873352"/>
  </r>
  <r>
    <x v="0"/>
    <x v="8"/>
    <x v="4"/>
    <x v="8"/>
    <s v="LV_Rural"/>
    <x v="4"/>
    <n v="8.1139884009941898"/>
    <n v="2.2538856669428302"/>
  </r>
  <r>
    <x v="0"/>
    <x v="8"/>
    <x v="4"/>
    <x v="8"/>
    <s v="LV_Rural"/>
    <x v="5"/>
    <n v="8.1139884009941898"/>
    <n v="2.2538856669428302"/>
  </r>
  <r>
    <x v="0"/>
    <x v="8"/>
    <x v="4"/>
    <x v="8"/>
    <s v="LV_Rural"/>
    <x v="6"/>
    <n v="29.476231795214598"/>
    <n v="8.1878421653373898"/>
  </r>
  <r>
    <x v="0"/>
    <x v="8"/>
    <x v="4"/>
    <x v="8"/>
    <s v="LV_Rural"/>
    <x v="7"/>
    <n v="57.838935220261199"/>
    <n v="16.066370894517"/>
  </r>
  <r>
    <x v="0"/>
    <x v="8"/>
    <x v="4"/>
    <x v="8"/>
    <s v="LV_Rural"/>
    <x v="8"/>
    <n v="57.838935220261199"/>
    <n v="16.066370894517"/>
  </r>
  <r>
    <x v="0"/>
    <x v="8"/>
    <x v="4"/>
    <x v="8"/>
    <s v="LV_Rural"/>
    <x v="9"/>
    <n v="44.803327257663497"/>
    <n v="12.4453686826843"/>
  </r>
  <r>
    <x v="0"/>
    <x v="8"/>
    <x v="4"/>
    <x v="8"/>
    <s v="LV_Rural"/>
    <x v="10"/>
    <n v="54.681226180612903"/>
    <n v="15.1892294946147"/>
  </r>
  <r>
    <x v="0"/>
    <x v="8"/>
    <x v="4"/>
    <x v="8"/>
    <s v="LV_Rural"/>
    <x v="11"/>
    <n v="3.8806031483015802"/>
    <n v="1.07794531897266"/>
  </r>
  <r>
    <x v="0"/>
    <x v="8"/>
    <x v="4"/>
    <x v="8"/>
    <s v="LV_Rural"/>
    <x v="12"/>
    <n v="9.7995028997514597E-2"/>
    <n v="2.72208413881985E-2"/>
  </r>
  <r>
    <x v="0"/>
    <x v="8"/>
    <x v="4"/>
    <x v="8"/>
    <s v="LV_Rural"/>
    <x v="13"/>
    <n v="21.5197083678542"/>
    <n v="5.9776967688483804"/>
  </r>
  <r>
    <x v="0"/>
    <x v="8"/>
    <x v="4"/>
    <x v="8"/>
    <s v="LV_Rural"/>
    <x v="14"/>
    <n v="21.5197083678542"/>
    <n v="5.9776967688483804"/>
  </r>
  <r>
    <x v="0"/>
    <x v="8"/>
    <x v="4"/>
    <x v="8"/>
    <s v="LV_Rural"/>
    <x v="15"/>
    <n v="1.65807589063794"/>
    <n v="0.46057663628831802"/>
  </r>
  <r>
    <x v="0"/>
    <x v="8"/>
    <x v="4"/>
    <x v="8"/>
    <s v="LV_Rural"/>
    <x v="16"/>
    <n v="4.9884429139200002"/>
    <n v="1.3856785871999999"/>
  </r>
  <r>
    <x v="0"/>
    <x v="8"/>
    <x v="4"/>
    <x v="8"/>
    <s v="LV_Rural"/>
    <x v="17"/>
    <n v="9.1244895875632395"/>
    <n v="2.5345804409897901"/>
  </r>
  <r>
    <x v="0"/>
    <x v="8"/>
    <x v="4"/>
    <x v="8"/>
    <s v="LV_Rural"/>
    <x v="18"/>
    <n v="21.5197083678542"/>
    <n v="5.9776967688483804"/>
  </r>
  <r>
    <x v="0"/>
    <x v="8"/>
    <x v="4"/>
    <x v="8"/>
    <s v="LV_Rural"/>
    <x v="19"/>
    <n v="8.1139884009941898"/>
    <n v="2.2538856669428302"/>
  </r>
  <r>
    <x v="0"/>
    <x v="8"/>
    <x v="4"/>
    <x v="8"/>
    <s v="LV_Rural"/>
    <x v="20"/>
    <n v="19.336735244541"/>
    <n v="5.37131534570584"/>
  </r>
  <r>
    <x v="0"/>
    <x v="8"/>
    <x v="4"/>
    <x v="8"/>
    <s v="LV_Rural"/>
    <x v="21"/>
    <n v="48.384"/>
    <n v="13.44"/>
  </r>
  <r>
    <x v="0"/>
    <x v="8"/>
    <x v="4"/>
    <x v="8"/>
    <s v="LV_Rural"/>
    <x v="22"/>
    <n v="79.847999999999999"/>
    <n v="22.18"/>
  </r>
  <r>
    <x v="0"/>
    <x v="8"/>
    <x v="4"/>
    <x v="8"/>
    <s v="LV_Rural"/>
    <x v="23"/>
    <n v="0.31515896120488701"/>
    <n v="8.7544155890246306E-2"/>
  </r>
  <r>
    <x v="0"/>
    <x v="8"/>
    <x v="4"/>
    <x v="8"/>
    <s v="LV_Rural"/>
    <x v="24"/>
    <n v="19.174223581093901"/>
    <n v="5.32617321697054"/>
  </r>
  <r>
    <x v="0"/>
    <x v="8"/>
    <x v="4"/>
    <x v="8"/>
    <s v="LV_Rural"/>
    <x v="25"/>
    <n v="22.356874337357301"/>
    <n v="6.2102428714881297"/>
  </r>
  <r>
    <x v="0"/>
    <x v="8"/>
    <x v="4"/>
    <x v="8"/>
    <s v="LV_Rural"/>
    <x v="26"/>
    <n v="29.6651032387655"/>
    <n v="8.2403064552126306"/>
  </r>
  <r>
    <x v="0"/>
    <x v="8"/>
    <x v="4"/>
    <x v="8"/>
    <s v="LV_Rural"/>
    <x v="27"/>
    <n v="20.163995508318798"/>
    <n v="5.6011098634218799"/>
  </r>
  <r>
    <x v="0"/>
    <x v="8"/>
    <x v="5"/>
    <x v="9"/>
    <s v="LT_A"/>
    <x v="1"/>
    <n v="35.989199999999997"/>
    <n v="9.9969999999999999"/>
  </r>
  <r>
    <x v="0"/>
    <x v="8"/>
    <x v="5"/>
    <x v="9"/>
    <s v="LT_A"/>
    <x v="2"/>
    <n v="48.384"/>
    <n v="13.44"/>
  </r>
  <r>
    <x v="0"/>
    <x v="8"/>
    <x v="5"/>
    <x v="9"/>
    <s v="LT_A"/>
    <x v="0"/>
    <n v="42.692399999999999"/>
    <n v="11.859"/>
  </r>
  <r>
    <x v="0"/>
    <x v="8"/>
    <x v="5"/>
    <x v="9"/>
    <s v="LT_A"/>
    <x v="3"/>
    <n v="51.633543144067197"/>
    <n v="14.342650873352"/>
  </r>
  <r>
    <x v="0"/>
    <x v="8"/>
    <x v="5"/>
    <x v="9"/>
    <s v="LT_A"/>
    <x v="4"/>
    <n v="8.1139884009941898"/>
    <n v="2.2538856669428302"/>
  </r>
  <r>
    <x v="0"/>
    <x v="8"/>
    <x v="5"/>
    <x v="9"/>
    <s v="LT_A"/>
    <x v="5"/>
    <n v="8.1139884009941898"/>
    <n v="2.2538856669428302"/>
  </r>
  <r>
    <x v="0"/>
    <x v="8"/>
    <x v="5"/>
    <x v="9"/>
    <s v="LT_A"/>
    <x v="6"/>
    <n v="29.476231795214598"/>
    <n v="8.1878421653373898"/>
  </r>
  <r>
    <x v="0"/>
    <x v="8"/>
    <x v="5"/>
    <x v="9"/>
    <s v="LT_A"/>
    <x v="7"/>
    <n v="57.838935220261199"/>
    <n v="16.066370894517"/>
  </r>
  <r>
    <x v="0"/>
    <x v="8"/>
    <x v="5"/>
    <x v="9"/>
    <s v="LT_A"/>
    <x v="8"/>
    <n v="57.838935220261199"/>
    <n v="16.066370894517"/>
  </r>
  <r>
    <x v="0"/>
    <x v="8"/>
    <x v="5"/>
    <x v="9"/>
    <s v="LT_A"/>
    <x v="9"/>
    <n v="44.803327257663497"/>
    <n v="12.4453686826843"/>
  </r>
  <r>
    <x v="0"/>
    <x v="8"/>
    <x v="5"/>
    <x v="9"/>
    <s v="LT_A"/>
    <x v="10"/>
    <n v="54.681226180612903"/>
    <n v="15.1892294946147"/>
  </r>
  <r>
    <x v="0"/>
    <x v="8"/>
    <x v="5"/>
    <x v="9"/>
    <s v="LT_A"/>
    <x v="11"/>
    <n v="3.8806031483015802"/>
    <n v="1.07794531897266"/>
  </r>
  <r>
    <x v="0"/>
    <x v="8"/>
    <x v="5"/>
    <x v="9"/>
    <s v="LT_A"/>
    <x v="12"/>
    <n v="9.7995028997514597E-2"/>
    <n v="2.72208413881985E-2"/>
  </r>
  <r>
    <x v="0"/>
    <x v="8"/>
    <x v="5"/>
    <x v="9"/>
    <s v="LT_A"/>
    <x v="13"/>
    <n v="21.5197083678542"/>
    <n v="5.9776967688483804"/>
  </r>
  <r>
    <x v="0"/>
    <x v="8"/>
    <x v="5"/>
    <x v="9"/>
    <s v="LT_A"/>
    <x v="14"/>
    <n v="21.5197083678542"/>
    <n v="5.9776967688483804"/>
  </r>
  <r>
    <x v="0"/>
    <x v="8"/>
    <x v="5"/>
    <x v="9"/>
    <s v="LT_A"/>
    <x v="15"/>
    <n v="1.65807589063794"/>
    <n v="0.46057663628831802"/>
  </r>
  <r>
    <x v="0"/>
    <x v="8"/>
    <x v="5"/>
    <x v="9"/>
    <s v="LT_A"/>
    <x v="16"/>
    <n v="4.9884429139200002"/>
    <n v="1.3856785871999999"/>
  </r>
  <r>
    <x v="0"/>
    <x v="8"/>
    <x v="5"/>
    <x v="9"/>
    <s v="LT_A"/>
    <x v="17"/>
    <n v="9.1244895875632395"/>
    <n v="2.5345804409897901"/>
  </r>
  <r>
    <x v="0"/>
    <x v="8"/>
    <x v="5"/>
    <x v="9"/>
    <s v="LT_A"/>
    <x v="18"/>
    <n v="21.5197083678542"/>
    <n v="5.9776967688483804"/>
  </r>
  <r>
    <x v="0"/>
    <x v="8"/>
    <x v="5"/>
    <x v="9"/>
    <s v="LT_A"/>
    <x v="19"/>
    <n v="8.1139884009941898"/>
    <n v="2.2538856669428302"/>
  </r>
  <r>
    <x v="0"/>
    <x v="8"/>
    <x v="5"/>
    <x v="9"/>
    <s v="LT_A"/>
    <x v="20"/>
    <n v="19.336735244541"/>
    <n v="5.37131534570584"/>
  </r>
  <r>
    <x v="0"/>
    <x v="8"/>
    <x v="5"/>
    <x v="9"/>
    <s v="LT_A"/>
    <x v="21"/>
    <n v="48.384"/>
    <n v="13.44"/>
  </r>
  <r>
    <x v="0"/>
    <x v="8"/>
    <x v="5"/>
    <x v="9"/>
    <s v="LT_A"/>
    <x v="22"/>
    <n v="79.847999999999999"/>
    <n v="22.18"/>
  </r>
  <r>
    <x v="0"/>
    <x v="8"/>
    <x v="5"/>
    <x v="9"/>
    <s v="LT_A"/>
    <x v="23"/>
    <n v="0.31515896120488701"/>
    <n v="8.7544155890246306E-2"/>
  </r>
  <r>
    <x v="0"/>
    <x v="8"/>
    <x v="5"/>
    <x v="9"/>
    <s v="LT_A"/>
    <x v="24"/>
    <n v="19.174223581093901"/>
    <n v="5.32617321697054"/>
  </r>
  <r>
    <x v="0"/>
    <x v="8"/>
    <x v="5"/>
    <x v="9"/>
    <s v="LT_A"/>
    <x v="25"/>
    <n v="22.356874337357301"/>
    <n v="6.2102428714881297"/>
  </r>
  <r>
    <x v="0"/>
    <x v="8"/>
    <x v="5"/>
    <x v="9"/>
    <s v="LT_A"/>
    <x v="26"/>
    <n v="29.6651032387655"/>
    <n v="8.2403064552126306"/>
  </r>
  <r>
    <x v="0"/>
    <x v="8"/>
    <x v="5"/>
    <x v="9"/>
    <s v="LT_A"/>
    <x v="27"/>
    <n v="20.163995508318798"/>
    <n v="5.6011098634218799"/>
  </r>
  <r>
    <x v="0"/>
    <x v="8"/>
    <x v="5"/>
    <x v="9"/>
    <s v="LT_KauU"/>
    <x v="1"/>
    <n v="35.989199999999997"/>
    <n v="9.9969999999999999"/>
  </r>
  <r>
    <x v="0"/>
    <x v="8"/>
    <x v="5"/>
    <x v="9"/>
    <s v="LT_KauU"/>
    <x v="2"/>
    <n v="48.384"/>
    <n v="13.44"/>
  </r>
  <r>
    <x v="0"/>
    <x v="8"/>
    <x v="5"/>
    <x v="9"/>
    <s v="LT_KauU"/>
    <x v="0"/>
    <n v="42.692399999999999"/>
    <n v="11.859"/>
  </r>
  <r>
    <x v="0"/>
    <x v="8"/>
    <x v="5"/>
    <x v="9"/>
    <s v="LT_KauU"/>
    <x v="3"/>
    <n v="51.633543144067197"/>
    <n v="14.342650873352"/>
  </r>
  <r>
    <x v="0"/>
    <x v="8"/>
    <x v="5"/>
    <x v="9"/>
    <s v="LT_KauU"/>
    <x v="4"/>
    <n v="8.1139884009941898"/>
    <n v="2.2538856669428302"/>
  </r>
  <r>
    <x v="0"/>
    <x v="8"/>
    <x v="5"/>
    <x v="9"/>
    <s v="LT_KauU"/>
    <x v="5"/>
    <n v="8.1139884009941898"/>
    <n v="2.2538856669428302"/>
  </r>
  <r>
    <x v="0"/>
    <x v="8"/>
    <x v="5"/>
    <x v="9"/>
    <s v="LT_KauU"/>
    <x v="6"/>
    <n v="29.476231795214598"/>
    <n v="8.1878421653373898"/>
  </r>
  <r>
    <x v="0"/>
    <x v="8"/>
    <x v="5"/>
    <x v="9"/>
    <s v="LT_KauU"/>
    <x v="7"/>
    <n v="57.838935220261199"/>
    <n v="16.066370894517"/>
  </r>
  <r>
    <x v="0"/>
    <x v="8"/>
    <x v="5"/>
    <x v="9"/>
    <s v="LT_KauU"/>
    <x v="8"/>
    <n v="57.838935220261199"/>
    <n v="16.066370894517"/>
  </r>
  <r>
    <x v="0"/>
    <x v="8"/>
    <x v="5"/>
    <x v="9"/>
    <s v="LT_KauU"/>
    <x v="9"/>
    <n v="44.803327257663497"/>
    <n v="12.4453686826843"/>
  </r>
  <r>
    <x v="0"/>
    <x v="8"/>
    <x v="5"/>
    <x v="9"/>
    <s v="LT_KauU"/>
    <x v="10"/>
    <n v="54.681226180612903"/>
    <n v="15.1892294946147"/>
  </r>
  <r>
    <x v="0"/>
    <x v="8"/>
    <x v="5"/>
    <x v="9"/>
    <s v="LT_KauU"/>
    <x v="11"/>
    <n v="3.8806031483015802"/>
    <n v="1.07794531897266"/>
  </r>
  <r>
    <x v="0"/>
    <x v="8"/>
    <x v="5"/>
    <x v="9"/>
    <s v="LT_KauU"/>
    <x v="12"/>
    <n v="9.7995028997514597E-2"/>
    <n v="2.72208413881985E-2"/>
  </r>
  <r>
    <x v="0"/>
    <x v="8"/>
    <x v="5"/>
    <x v="9"/>
    <s v="LT_KauU"/>
    <x v="13"/>
    <n v="21.5197083678542"/>
    <n v="5.9776967688483804"/>
  </r>
  <r>
    <x v="0"/>
    <x v="8"/>
    <x v="5"/>
    <x v="9"/>
    <s v="LT_KauU"/>
    <x v="14"/>
    <n v="21.5197083678542"/>
    <n v="5.9776967688483804"/>
  </r>
  <r>
    <x v="0"/>
    <x v="8"/>
    <x v="5"/>
    <x v="9"/>
    <s v="LT_KauU"/>
    <x v="15"/>
    <n v="1.65807589063794"/>
    <n v="0.46057663628831802"/>
  </r>
  <r>
    <x v="0"/>
    <x v="8"/>
    <x v="5"/>
    <x v="9"/>
    <s v="LT_KauU"/>
    <x v="16"/>
    <n v="4.9884429139200002"/>
    <n v="1.3856785871999999"/>
  </r>
  <r>
    <x v="0"/>
    <x v="8"/>
    <x v="5"/>
    <x v="9"/>
    <s v="LT_KauU"/>
    <x v="17"/>
    <n v="9.1244895875632395"/>
    <n v="2.5345804409897901"/>
  </r>
  <r>
    <x v="0"/>
    <x v="8"/>
    <x v="5"/>
    <x v="9"/>
    <s v="LT_KauU"/>
    <x v="18"/>
    <n v="21.5197083678542"/>
    <n v="5.9776967688483804"/>
  </r>
  <r>
    <x v="0"/>
    <x v="8"/>
    <x v="5"/>
    <x v="9"/>
    <s v="LT_KauU"/>
    <x v="19"/>
    <n v="8.1139884009941898"/>
    <n v="2.2538856669428302"/>
  </r>
  <r>
    <x v="0"/>
    <x v="8"/>
    <x v="5"/>
    <x v="9"/>
    <s v="LT_KauU"/>
    <x v="20"/>
    <n v="19.336735244541"/>
    <n v="5.37131534570584"/>
  </r>
  <r>
    <x v="0"/>
    <x v="8"/>
    <x v="5"/>
    <x v="9"/>
    <s v="LT_KauU"/>
    <x v="21"/>
    <n v="48.384"/>
    <n v="13.44"/>
  </r>
  <r>
    <x v="0"/>
    <x v="8"/>
    <x v="5"/>
    <x v="9"/>
    <s v="LT_KauU"/>
    <x v="22"/>
    <n v="79.847999999999999"/>
    <n v="22.18"/>
  </r>
  <r>
    <x v="0"/>
    <x v="8"/>
    <x v="5"/>
    <x v="9"/>
    <s v="LT_KauU"/>
    <x v="23"/>
    <n v="0.31515896120488701"/>
    <n v="8.7544155890246306E-2"/>
  </r>
  <r>
    <x v="0"/>
    <x v="8"/>
    <x v="5"/>
    <x v="9"/>
    <s v="LT_KauU"/>
    <x v="24"/>
    <n v="19.174223581093901"/>
    <n v="5.32617321697054"/>
  </r>
  <r>
    <x v="0"/>
    <x v="8"/>
    <x v="5"/>
    <x v="9"/>
    <s v="LT_KauU"/>
    <x v="25"/>
    <n v="22.356874337357301"/>
    <n v="6.2102428714881297"/>
  </r>
  <r>
    <x v="0"/>
    <x v="8"/>
    <x v="5"/>
    <x v="9"/>
    <s v="LT_KauU"/>
    <x v="26"/>
    <n v="29.6651032387655"/>
    <n v="8.2403064552126306"/>
  </r>
  <r>
    <x v="0"/>
    <x v="8"/>
    <x v="5"/>
    <x v="9"/>
    <s v="LT_KauU"/>
    <x v="27"/>
    <n v="20.163995508318798"/>
    <n v="5.6011098634218799"/>
  </r>
  <r>
    <x v="0"/>
    <x v="8"/>
    <x v="5"/>
    <x v="9"/>
    <s v="LT_KlaU"/>
    <x v="1"/>
    <n v="35.989199999999997"/>
    <n v="9.9969999999999999"/>
  </r>
  <r>
    <x v="0"/>
    <x v="8"/>
    <x v="5"/>
    <x v="9"/>
    <s v="LT_KlaU"/>
    <x v="2"/>
    <n v="48.384"/>
    <n v="13.44"/>
  </r>
  <r>
    <x v="0"/>
    <x v="8"/>
    <x v="5"/>
    <x v="9"/>
    <s v="LT_KlaU"/>
    <x v="0"/>
    <n v="42.692399999999999"/>
    <n v="11.859"/>
  </r>
  <r>
    <x v="0"/>
    <x v="8"/>
    <x v="5"/>
    <x v="9"/>
    <s v="LT_KlaU"/>
    <x v="3"/>
    <n v="51.633543144067197"/>
    <n v="14.342650873352"/>
  </r>
  <r>
    <x v="0"/>
    <x v="8"/>
    <x v="5"/>
    <x v="9"/>
    <s v="LT_KlaU"/>
    <x v="4"/>
    <n v="8.1139884009941898"/>
    <n v="2.2538856669428302"/>
  </r>
  <r>
    <x v="0"/>
    <x v="8"/>
    <x v="5"/>
    <x v="9"/>
    <s v="LT_KlaU"/>
    <x v="5"/>
    <n v="8.1139884009941898"/>
    <n v="2.2538856669428302"/>
  </r>
  <r>
    <x v="0"/>
    <x v="8"/>
    <x v="5"/>
    <x v="9"/>
    <s v="LT_KlaU"/>
    <x v="6"/>
    <n v="29.476231795214598"/>
    <n v="8.1878421653373898"/>
  </r>
  <r>
    <x v="0"/>
    <x v="8"/>
    <x v="5"/>
    <x v="9"/>
    <s v="LT_KlaU"/>
    <x v="7"/>
    <n v="57.838935220261199"/>
    <n v="16.066370894517"/>
  </r>
  <r>
    <x v="0"/>
    <x v="8"/>
    <x v="5"/>
    <x v="9"/>
    <s v="LT_KlaU"/>
    <x v="8"/>
    <n v="57.838935220261199"/>
    <n v="16.066370894517"/>
  </r>
  <r>
    <x v="0"/>
    <x v="8"/>
    <x v="5"/>
    <x v="9"/>
    <s v="LT_KlaU"/>
    <x v="9"/>
    <n v="44.803327257663497"/>
    <n v="12.4453686826843"/>
  </r>
  <r>
    <x v="0"/>
    <x v="8"/>
    <x v="5"/>
    <x v="9"/>
    <s v="LT_KlaU"/>
    <x v="10"/>
    <n v="54.681226180612903"/>
    <n v="15.1892294946147"/>
  </r>
  <r>
    <x v="0"/>
    <x v="8"/>
    <x v="5"/>
    <x v="9"/>
    <s v="LT_KlaU"/>
    <x v="11"/>
    <n v="3.8806031483015802"/>
    <n v="1.07794531897266"/>
  </r>
  <r>
    <x v="0"/>
    <x v="8"/>
    <x v="5"/>
    <x v="9"/>
    <s v="LT_KlaU"/>
    <x v="12"/>
    <n v="9.7995028997514597E-2"/>
    <n v="2.72208413881985E-2"/>
  </r>
  <r>
    <x v="0"/>
    <x v="8"/>
    <x v="5"/>
    <x v="9"/>
    <s v="LT_KlaU"/>
    <x v="13"/>
    <n v="21.5197083678542"/>
    <n v="5.9776967688483804"/>
  </r>
  <r>
    <x v="0"/>
    <x v="8"/>
    <x v="5"/>
    <x v="9"/>
    <s v="LT_KlaU"/>
    <x v="14"/>
    <n v="21.5197083678542"/>
    <n v="5.9776967688483804"/>
  </r>
  <r>
    <x v="0"/>
    <x v="8"/>
    <x v="5"/>
    <x v="9"/>
    <s v="LT_KlaU"/>
    <x v="15"/>
    <n v="1.65807589063794"/>
    <n v="0.46057663628831802"/>
  </r>
  <r>
    <x v="0"/>
    <x v="8"/>
    <x v="5"/>
    <x v="9"/>
    <s v="LT_KlaU"/>
    <x v="16"/>
    <n v="4.9884429139200002"/>
    <n v="1.3856785871999999"/>
  </r>
  <r>
    <x v="0"/>
    <x v="8"/>
    <x v="5"/>
    <x v="9"/>
    <s v="LT_KlaU"/>
    <x v="17"/>
    <n v="9.1244895875632395"/>
    <n v="2.5345804409897901"/>
  </r>
  <r>
    <x v="0"/>
    <x v="8"/>
    <x v="5"/>
    <x v="9"/>
    <s v="LT_KlaU"/>
    <x v="18"/>
    <n v="21.5197083678542"/>
    <n v="5.9776967688483804"/>
  </r>
  <r>
    <x v="0"/>
    <x v="8"/>
    <x v="5"/>
    <x v="9"/>
    <s v="LT_KlaU"/>
    <x v="19"/>
    <n v="8.1139884009941898"/>
    <n v="2.2538856669428302"/>
  </r>
  <r>
    <x v="0"/>
    <x v="8"/>
    <x v="5"/>
    <x v="9"/>
    <s v="LT_KlaU"/>
    <x v="20"/>
    <n v="19.336735244541"/>
    <n v="5.37131534570584"/>
  </r>
  <r>
    <x v="0"/>
    <x v="8"/>
    <x v="5"/>
    <x v="9"/>
    <s v="LT_KlaU"/>
    <x v="21"/>
    <n v="48.384"/>
    <n v="13.44"/>
  </r>
  <r>
    <x v="0"/>
    <x v="8"/>
    <x v="5"/>
    <x v="9"/>
    <s v="LT_KlaU"/>
    <x v="22"/>
    <n v="79.847999999999999"/>
    <n v="22.18"/>
  </r>
  <r>
    <x v="0"/>
    <x v="8"/>
    <x v="5"/>
    <x v="9"/>
    <s v="LT_KlaU"/>
    <x v="23"/>
    <n v="0.31515896120488701"/>
    <n v="8.7544155890246306E-2"/>
  </r>
  <r>
    <x v="0"/>
    <x v="8"/>
    <x v="5"/>
    <x v="9"/>
    <s v="LT_KlaU"/>
    <x v="24"/>
    <n v="19.174223581093901"/>
    <n v="5.32617321697054"/>
  </r>
  <r>
    <x v="0"/>
    <x v="8"/>
    <x v="5"/>
    <x v="9"/>
    <s v="LT_KlaU"/>
    <x v="25"/>
    <n v="22.356874337357301"/>
    <n v="6.2102428714881297"/>
  </r>
  <r>
    <x v="0"/>
    <x v="8"/>
    <x v="5"/>
    <x v="9"/>
    <s v="LT_KlaU"/>
    <x v="26"/>
    <n v="29.6651032387655"/>
    <n v="8.2403064552126306"/>
  </r>
  <r>
    <x v="0"/>
    <x v="8"/>
    <x v="5"/>
    <x v="9"/>
    <s v="LT_KlaU"/>
    <x v="27"/>
    <n v="20.163995508318798"/>
    <n v="5.6011098634218799"/>
  </r>
  <r>
    <x v="0"/>
    <x v="8"/>
    <x v="5"/>
    <x v="9"/>
    <s v="LT_OFFSHORE"/>
    <x v="1"/>
    <n v="35.989199999999997"/>
    <n v="9.9969999999999999"/>
  </r>
  <r>
    <x v="0"/>
    <x v="8"/>
    <x v="5"/>
    <x v="9"/>
    <s v="LT_OFFSHORE"/>
    <x v="2"/>
    <n v="48.384"/>
    <n v="13.44"/>
  </r>
  <r>
    <x v="0"/>
    <x v="8"/>
    <x v="5"/>
    <x v="9"/>
    <s v="LT_OFFSHORE"/>
    <x v="0"/>
    <n v="42.692399999999999"/>
    <n v="11.859"/>
  </r>
  <r>
    <x v="0"/>
    <x v="8"/>
    <x v="5"/>
    <x v="9"/>
    <s v="LT_OFFSHORE"/>
    <x v="3"/>
    <n v="51.633543144067197"/>
    <n v="14.342650873352"/>
  </r>
  <r>
    <x v="0"/>
    <x v="8"/>
    <x v="5"/>
    <x v="9"/>
    <s v="LT_OFFSHORE"/>
    <x v="4"/>
    <n v="8.1139884009941898"/>
    <n v="2.2538856669428302"/>
  </r>
  <r>
    <x v="0"/>
    <x v="8"/>
    <x v="5"/>
    <x v="9"/>
    <s v="LT_OFFSHORE"/>
    <x v="5"/>
    <n v="8.1139884009941898"/>
    <n v="2.2538856669428302"/>
  </r>
  <r>
    <x v="0"/>
    <x v="8"/>
    <x v="5"/>
    <x v="9"/>
    <s v="LT_OFFSHORE"/>
    <x v="6"/>
    <n v="29.476231795214598"/>
    <n v="8.1878421653373898"/>
  </r>
  <r>
    <x v="0"/>
    <x v="8"/>
    <x v="5"/>
    <x v="9"/>
    <s v="LT_OFFSHORE"/>
    <x v="7"/>
    <n v="57.838935220261199"/>
    <n v="16.066370894517"/>
  </r>
  <r>
    <x v="0"/>
    <x v="8"/>
    <x v="5"/>
    <x v="9"/>
    <s v="LT_OFFSHORE"/>
    <x v="8"/>
    <n v="57.838935220261199"/>
    <n v="16.066370894517"/>
  </r>
  <r>
    <x v="0"/>
    <x v="8"/>
    <x v="5"/>
    <x v="9"/>
    <s v="LT_OFFSHORE"/>
    <x v="9"/>
    <n v="44.803327257663497"/>
    <n v="12.4453686826843"/>
  </r>
  <r>
    <x v="0"/>
    <x v="8"/>
    <x v="5"/>
    <x v="9"/>
    <s v="LT_OFFSHORE"/>
    <x v="10"/>
    <n v="54.681226180612903"/>
    <n v="15.1892294946147"/>
  </r>
  <r>
    <x v="0"/>
    <x v="8"/>
    <x v="5"/>
    <x v="9"/>
    <s v="LT_OFFSHORE"/>
    <x v="11"/>
    <n v="3.8806031483015802"/>
    <n v="1.07794531897266"/>
  </r>
  <r>
    <x v="0"/>
    <x v="8"/>
    <x v="5"/>
    <x v="9"/>
    <s v="LT_OFFSHORE"/>
    <x v="12"/>
    <n v="9.7995028997514597E-2"/>
    <n v="2.72208413881985E-2"/>
  </r>
  <r>
    <x v="0"/>
    <x v="8"/>
    <x v="5"/>
    <x v="9"/>
    <s v="LT_OFFSHORE"/>
    <x v="13"/>
    <n v="21.5197083678542"/>
    <n v="5.9776967688483804"/>
  </r>
  <r>
    <x v="0"/>
    <x v="8"/>
    <x v="5"/>
    <x v="9"/>
    <s v="LT_OFFSHORE"/>
    <x v="14"/>
    <n v="21.5197083678542"/>
    <n v="5.9776967688483804"/>
  </r>
  <r>
    <x v="0"/>
    <x v="8"/>
    <x v="5"/>
    <x v="9"/>
    <s v="LT_OFFSHORE"/>
    <x v="15"/>
    <n v="1.65807589063794"/>
    <n v="0.46057663628831802"/>
  </r>
  <r>
    <x v="0"/>
    <x v="8"/>
    <x v="5"/>
    <x v="9"/>
    <s v="LT_OFFSHORE"/>
    <x v="16"/>
    <n v="4.9884429139200002"/>
    <n v="1.3856785871999999"/>
  </r>
  <r>
    <x v="0"/>
    <x v="8"/>
    <x v="5"/>
    <x v="9"/>
    <s v="LT_OFFSHORE"/>
    <x v="17"/>
    <n v="9.1244895875632395"/>
    <n v="2.5345804409897901"/>
  </r>
  <r>
    <x v="0"/>
    <x v="8"/>
    <x v="5"/>
    <x v="9"/>
    <s v="LT_OFFSHORE"/>
    <x v="18"/>
    <n v="21.5197083678542"/>
    <n v="5.9776967688483804"/>
  </r>
  <r>
    <x v="0"/>
    <x v="8"/>
    <x v="5"/>
    <x v="9"/>
    <s v="LT_OFFSHORE"/>
    <x v="19"/>
    <n v="8.1139884009941898"/>
    <n v="2.2538856669428302"/>
  </r>
  <r>
    <x v="0"/>
    <x v="8"/>
    <x v="5"/>
    <x v="9"/>
    <s v="LT_OFFSHORE"/>
    <x v="20"/>
    <n v="19.336735244541"/>
    <n v="5.37131534570584"/>
  </r>
  <r>
    <x v="0"/>
    <x v="8"/>
    <x v="5"/>
    <x v="9"/>
    <s v="LT_OFFSHORE"/>
    <x v="21"/>
    <n v="48.384"/>
    <n v="13.44"/>
  </r>
  <r>
    <x v="0"/>
    <x v="8"/>
    <x v="5"/>
    <x v="9"/>
    <s v="LT_OFFSHORE"/>
    <x v="22"/>
    <n v="79.847999999999999"/>
    <n v="22.18"/>
  </r>
  <r>
    <x v="0"/>
    <x v="8"/>
    <x v="5"/>
    <x v="9"/>
    <s v="LT_OFFSHORE"/>
    <x v="23"/>
    <n v="0.31515896120488701"/>
    <n v="8.7544155890246306E-2"/>
  </r>
  <r>
    <x v="0"/>
    <x v="8"/>
    <x v="5"/>
    <x v="9"/>
    <s v="LT_OFFSHORE"/>
    <x v="24"/>
    <n v="19.174223581093901"/>
    <n v="5.32617321697054"/>
  </r>
  <r>
    <x v="0"/>
    <x v="8"/>
    <x v="5"/>
    <x v="9"/>
    <s v="LT_OFFSHORE"/>
    <x v="25"/>
    <n v="22.356874337357301"/>
    <n v="6.2102428714881297"/>
  </r>
  <r>
    <x v="0"/>
    <x v="8"/>
    <x v="5"/>
    <x v="9"/>
    <s v="LT_OFFSHORE"/>
    <x v="26"/>
    <n v="29.6651032387655"/>
    <n v="8.2403064552126306"/>
  </r>
  <r>
    <x v="0"/>
    <x v="8"/>
    <x v="5"/>
    <x v="9"/>
    <s v="LT_OFFSHORE"/>
    <x v="27"/>
    <n v="20.163995508318798"/>
    <n v="5.6011098634218799"/>
  </r>
  <r>
    <x v="0"/>
    <x v="8"/>
    <x v="5"/>
    <x v="9"/>
    <s v="LT_Other_DH"/>
    <x v="1"/>
    <n v="35.989199999999997"/>
    <n v="9.9969999999999999"/>
  </r>
  <r>
    <x v="0"/>
    <x v="8"/>
    <x v="5"/>
    <x v="9"/>
    <s v="LT_Other_DH"/>
    <x v="2"/>
    <n v="48.384"/>
    <n v="13.44"/>
  </r>
  <r>
    <x v="0"/>
    <x v="8"/>
    <x v="5"/>
    <x v="9"/>
    <s v="LT_Other_DH"/>
    <x v="0"/>
    <n v="42.692399999999999"/>
    <n v="11.859"/>
  </r>
  <r>
    <x v="0"/>
    <x v="8"/>
    <x v="5"/>
    <x v="9"/>
    <s v="LT_Other_DH"/>
    <x v="3"/>
    <n v="51.633543144067197"/>
    <n v="14.342650873352"/>
  </r>
  <r>
    <x v="0"/>
    <x v="8"/>
    <x v="5"/>
    <x v="9"/>
    <s v="LT_Other_DH"/>
    <x v="4"/>
    <n v="8.1139884009941898"/>
    <n v="2.2538856669428302"/>
  </r>
  <r>
    <x v="0"/>
    <x v="8"/>
    <x v="5"/>
    <x v="9"/>
    <s v="LT_Other_DH"/>
    <x v="5"/>
    <n v="8.1139884009941898"/>
    <n v="2.2538856669428302"/>
  </r>
  <r>
    <x v="0"/>
    <x v="8"/>
    <x v="5"/>
    <x v="9"/>
    <s v="LT_Other_DH"/>
    <x v="6"/>
    <n v="29.476231795214598"/>
    <n v="8.1878421653373898"/>
  </r>
  <r>
    <x v="0"/>
    <x v="8"/>
    <x v="5"/>
    <x v="9"/>
    <s v="LT_Other_DH"/>
    <x v="7"/>
    <n v="57.838935220261199"/>
    <n v="16.066370894517"/>
  </r>
  <r>
    <x v="0"/>
    <x v="8"/>
    <x v="5"/>
    <x v="9"/>
    <s v="LT_Other_DH"/>
    <x v="8"/>
    <n v="57.838935220261199"/>
    <n v="16.066370894517"/>
  </r>
  <r>
    <x v="0"/>
    <x v="8"/>
    <x v="5"/>
    <x v="9"/>
    <s v="LT_Other_DH"/>
    <x v="9"/>
    <n v="44.803327257663497"/>
    <n v="12.4453686826843"/>
  </r>
  <r>
    <x v="0"/>
    <x v="8"/>
    <x v="5"/>
    <x v="9"/>
    <s v="LT_Other_DH"/>
    <x v="10"/>
    <n v="54.681226180612903"/>
    <n v="15.1892294946147"/>
  </r>
  <r>
    <x v="0"/>
    <x v="8"/>
    <x v="5"/>
    <x v="9"/>
    <s v="LT_Other_DH"/>
    <x v="11"/>
    <n v="3.8806031483015802"/>
    <n v="1.07794531897266"/>
  </r>
  <r>
    <x v="0"/>
    <x v="8"/>
    <x v="5"/>
    <x v="9"/>
    <s v="LT_Other_DH"/>
    <x v="12"/>
    <n v="9.7995028997514597E-2"/>
    <n v="2.72208413881985E-2"/>
  </r>
  <r>
    <x v="0"/>
    <x v="8"/>
    <x v="5"/>
    <x v="9"/>
    <s v="LT_Other_DH"/>
    <x v="13"/>
    <n v="21.5197083678542"/>
    <n v="5.9776967688483804"/>
  </r>
  <r>
    <x v="0"/>
    <x v="8"/>
    <x v="5"/>
    <x v="9"/>
    <s v="LT_Other_DH"/>
    <x v="14"/>
    <n v="21.5197083678542"/>
    <n v="5.9776967688483804"/>
  </r>
  <r>
    <x v="0"/>
    <x v="8"/>
    <x v="5"/>
    <x v="9"/>
    <s v="LT_Other_DH"/>
    <x v="15"/>
    <n v="1.65807589063794"/>
    <n v="0.46057663628831802"/>
  </r>
  <r>
    <x v="0"/>
    <x v="8"/>
    <x v="5"/>
    <x v="9"/>
    <s v="LT_Other_DH"/>
    <x v="16"/>
    <n v="4.9884429139200002"/>
    <n v="1.3856785871999999"/>
  </r>
  <r>
    <x v="0"/>
    <x v="8"/>
    <x v="5"/>
    <x v="9"/>
    <s v="LT_Other_DH"/>
    <x v="17"/>
    <n v="9.1244895875632395"/>
    <n v="2.5345804409897901"/>
  </r>
  <r>
    <x v="0"/>
    <x v="8"/>
    <x v="5"/>
    <x v="9"/>
    <s v="LT_Other_DH"/>
    <x v="18"/>
    <n v="21.5197083678542"/>
    <n v="5.9776967688483804"/>
  </r>
  <r>
    <x v="0"/>
    <x v="8"/>
    <x v="5"/>
    <x v="9"/>
    <s v="LT_Other_DH"/>
    <x v="19"/>
    <n v="8.1139884009941898"/>
    <n v="2.2538856669428302"/>
  </r>
  <r>
    <x v="0"/>
    <x v="8"/>
    <x v="5"/>
    <x v="9"/>
    <s v="LT_Other_DH"/>
    <x v="20"/>
    <n v="19.336735244541"/>
    <n v="5.37131534570584"/>
  </r>
  <r>
    <x v="0"/>
    <x v="8"/>
    <x v="5"/>
    <x v="9"/>
    <s v="LT_Other_DH"/>
    <x v="21"/>
    <n v="48.384"/>
    <n v="13.44"/>
  </r>
  <r>
    <x v="0"/>
    <x v="8"/>
    <x v="5"/>
    <x v="9"/>
    <s v="LT_Other_DH"/>
    <x v="22"/>
    <n v="79.847999999999999"/>
    <n v="22.18"/>
  </r>
  <r>
    <x v="0"/>
    <x v="8"/>
    <x v="5"/>
    <x v="9"/>
    <s v="LT_Other_DH"/>
    <x v="23"/>
    <n v="0.31515896120488701"/>
    <n v="8.7544155890246306E-2"/>
  </r>
  <r>
    <x v="0"/>
    <x v="8"/>
    <x v="5"/>
    <x v="9"/>
    <s v="LT_Other_DH"/>
    <x v="24"/>
    <n v="19.174223581093901"/>
    <n v="5.32617321697054"/>
  </r>
  <r>
    <x v="0"/>
    <x v="8"/>
    <x v="5"/>
    <x v="9"/>
    <s v="LT_Other_DH"/>
    <x v="25"/>
    <n v="22.356874337357301"/>
    <n v="6.2102428714881297"/>
  </r>
  <r>
    <x v="0"/>
    <x v="8"/>
    <x v="5"/>
    <x v="9"/>
    <s v="LT_Other_DH"/>
    <x v="26"/>
    <n v="29.6651032387655"/>
    <n v="8.2403064552126306"/>
  </r>
  <r>
    <x v="0"/>
    <x v="8"/>
    <x v="5"/>
    <x v="9"/>
    <s v="LT_Other_DH"/>
    <x v="27"/>
    <n v="20.163995508318798"/>
    <n v="5.6011098634218799"/>
  </r>
  <r>
    <x v="0"/>
    <x v="8"/>
    <x v="5"/>
    <x v="9"/>
    <s v="LT_Panevezys"/>
    <x v="1"/>
    <n v="35.989199999999997"/>
    <n v="9.9969999999999999"/>
  </r>
  <r>
    <x v="0"/>
    <x v="8"/>
    <x v="5"/>
    <x v="9"/>
    <s v="LT_Panevezys"/>
    <x v="2"/>
    <n v="48.384"/>
    <n v="13.44"/>
  </r>
  <r>
    <x v="0"/>
    <x v="8"/>
    <x v="5"/>
    <x v="9"/>
    <s v="LT_Panevezys"/>
    <x v="0"/>
    <n v="42.692399999999999"/>
    <n v="11.859"/>
  </r>
  <r>
    <x v="0"/>
    <x v="8"/>
    <x v="5"/>
    <x v="9"/>
    <s v="LT_Panevezys"/>
    <x v="3"/>
    <n v="51.633543144067197"/>
    <n v="14.342650873352"/>
  </r>
  <r>
    <x v="0"/>
    <x v="8"/>
    <x v="5"/>
    <x v="9"/>
    <s v="LT_Panevezys"/>
    <x v="4"/>
    <n v="8.1139884009941898"/>
    <n v="2.2538856669428302"/>
  </r>
  <r>
    <x v="0"/>
    <x v="8"/>
    <x v="5"/>
    <x v="9"/>
    <s v="LT_Panevezys"/>
    <x v="5"/>
    <n v="8.1139884009941898"/>
    <n v="2.2538856669428302"/>
  </r>
  <r>
    <x v="0"/>
    <x v="8"/>
    <x v="5"/>
    <x v="9"/>
    <s v="LT_Panevezys"/>
    <x v="6"/>
    <n v="29.476231795214598"/>
    <n v="8.1878421653373898"/>
  </r>
  <r>
    <x v="0"/>
    <x v="8"/>
    <x v="5"/>
    <x v="9"/>
    <s v="LT_Panevezys"/>
    <x v="7"/>
    <n v="57.838935220261199"/>
    <n v="16.066370894517"/>
  </r>
  <r>
    <x v="0"/>
    <x v="8"/>
    <x v="5"/>
    <x v="9"/>
    <s v="LT_Panevezys"/>
    <x v="8"/>
    <n v="57.838935220261199"/>
    <n v="16.066370894517"/>
  </r>
  <r>
    <x v="0"/>
    <x v="8"/>
    <x v="5"/>
    <x v="9"/>
    <s v="LT_Panevezys"/>
    <x v="9"/>
    <n v="44.803327257663497"/>
    <n v="12.4453686826843"/>
  </r>
  <r>
    <x v="0"/>
    <x v="8"/>
    <x v="5"/>
    <x v="9"/>
    <s v="LT_Panevezys"/>
    <x v="10"/>
    <n v="54.681226180612903"/>
    <n v="15.1892294946147"/>
  </r>
  <r>
    <x v="0"/>
    <x v="8"/>
    <x v="5"/>
    <x v="9"/>
    <s v="LT_Panevezys"/>
    <x v="11"/>
    <n v="3.8806031483015802"/>
    <n v="1.07794531897266"/>
  </r>
  <r>
    <x v="0"/>
    <x v="8"/>
    <x v="5"/>
    <x v="9"/>
    <s v="LT_Panevezys"/>
    <x v="12"/>
    <n v="9.7995028997514597E-2"/>
    <n v="2.72208413881985E-2"/>
  </r>
  <r>
    <x v="0"/>
    <x v="8"/>
    <x v="5"/>
    <x v="9"/>
    <s v="LT_Panevezys"/>
    <x v="13"/>
    <n v="21.5197083678542"/>
    <n v="5.9776967688483804"/>
  </r>
  <r>
    <x v="0"/>
    <x v="8"/>
    <x v="5"/>
    <x v="9"/>
    <s v="LT_Panevezys"/>
    <x v="14"/>
    <n v="21.5197083678542"/>
    <n v="5.9776967688483804"/>
  </r>
  <r>
    <x v="0"/>
    <x v="8"/>
    <x v="5"/>
    <x v="9"/>
    <s v="LT_Panevezys"/>
    <x v="15"/>
    <n v="1.65807589063794"/>
    <n v="0.46057663628831802"/>
  </r>
  <r>
    <x v="0"/>
    <x v="8"/>
    <x v="5"/>
    <x v="9"/>
    <s v="LT_Panevezys"/>
    <x v="16"/>
    <n v="4.9884429139200002"/>
    <n v="1.3856785871999999"/>
  </r>
  <r>
    <x v="0"/>
    <x v="8"/>
    <x v="5"/>
    <x v="9"/>
    <s v="LT_Panevezys"/>
    <x v="17"/>
    <n v="9.1244895875632395"/>
    <n v="2.5345804409897901"/>
  </r>
  <r>
    <x v="0"/>
    <x v="8"/>
    <x v="5"/>
    <x v="9"/>
    <s v="LT_Panevezys"/>
    <x v="18"/>
    <n v="21.5197083678542"/>
    <n v="5.9776967688483804"/>
  </r>
  <r>
    <x v="0"/>
    <x v="8"/>
    <x v="5"/>
    <x v="9"/>
    <s v="LT_Panevezys"/>
    <x v="19"/>
    <n v="8.1139884009941898"/>
    <n v="2.2538856669428302"/>
  </r>
  <r>
    <x v="0"/>
    <x v="8"/>
    <x v="5"/>
    <x v="9"/>
    <s v="LT_Panevezys"/>
    <x v="20"/>
    <n v="19.336735244541"/>
    <n v="5.37131534570584"/>
  </r>
  <r>
    <x v="0"/>
    <x v="8"/>
    <x v="5"/>
    <x v="9"/>
    <s v="LT_Panevezys"/>
    <x v="21"/>
    <n v="48.384"/>
    <n v="13.44"/>
  </r>
  <r>
    <x v="0"/>
    <x v="8"/>
    <x v="5"/>
    <x v="9"/>
    <s v="LT_Panevezys"/>
    <x v="22"/>
    <n v="79.847999999999999"/>
    <n v="22.18"/>
  </r>
  <r>
    <x v="0"/>
    <x v="8"/>
    <x v="5"/>
    <x v="9"/>
    <s v="LT_Panevezys"/>
    <x v="23"/>
    <n v="0.31515896120488701"/>
    <n v="8.7544155890246306E-2"/>
  </r>
  <r>
    <x v="0"/>
    <x v="8"/>
    <x v="5"/>
    <x v="9"/>
    <s v="LT_Panevezys"/>
    <x v="24"/>
    <n v="19.174223581093901"/>
    <n v="5.32617321697054"/>
  </r>
  <r>
    <x v="0"/>
    <x v="8"/>
    <x v="5"/>
    <x v="9"/>
    <s v="LT_Panevezys"/>
    <x v="25"/>
    <n v="22.356874337357301"/>
    <n v="6.2102428714881297"/>
  </r>
  <r>
    <x v="0"/>
    <x v="8"/>
    <x v="5"/>
    <x v="9"/>
    <s v="LT_Panevezys"/>
    <x v="26"/>
    <n v="29.6651032387655"/>
    <n v="8.2403064552126306"/>
  </r>
  <r>
    <x v="0"/>
    <x v="8"/>
    <x v="5"/>
    <x v="9"/>
    <s v="LT_Panevezys"/>
    <x v="27"/>
    <n v="20.163995508318798"/>
    <n v="5.6011098634218799"/>
  </r>
  <r>
    <x v="0"/>
    <x v="8"/>
    <x v="5"/>
    <x v="9"/>
    <s v="LT_Rural"/>
    <x v="1"/>
    <n v="35.989199999999997"/>
    <n v="9.9969999999999999"/>
  </r>
  <r>
    <x v="0"/>
    <x v="8"/>
    <x v="5"/>
    <x v="9"/>
    <s v="LT_Rural"/>
    <x v="2"/>
    <n v="48.384"/>
    <n v="13.44"/>
  </r>
  <r>
    <x v="0"/>
    <x v="8"/>
    <x v="5"/>
    <x v="9"/>
    <s v="LT_Rural"/>
    <x v="0"/>
    <n v="42.692399999999999"/>
    <n v="11.859"/>
  </r>
  <r>
    <x v="0"/>
    <x v="8"/>
    <x v="5"/>
    <x v="9"/>
    <s v="LT_Rural"/>
    <x v="3"/>
    <n v="51.633543144067197"/>
    <n v="14.342650873352"/>
  </r>
  <r>
    <x v="0"/>
    <x v="8"/>
    <x v="5"/>
    <x v="9"/>
    <s v="LT_Rural"/>
    <x v="4"/>
    <n v="8.1139884009941898"/>
    <n v="2.2538856669428302"/>
  </r>
  <r>
    <x v="0"/>
    <x v="8"/>
    <x v="5"/>
    <x v="9"/>
    <s v="LT_Rural"/>
    <x v="5"/>
    <n v="8.1139884009941898"/>
    <n v="2.2538856669428302"/>
  </r>
  <r>
    <x v="0"/>
    <x v="8"/>
    <x v="5"/>
    <x v="9"/>
    <s v="LT_Rural"/>
    <x v="6"/>
    <n v="29.476231795214598"/>
    <n v="8.1878421653373898"/>
  </r>
  <r>
    <x v="0"/>
    <x v="8"/>
    <x v="5"/>
    <x v="9"/>
    <s v="LT_Rural"/>
    <x v="7"/>
    <n v="57.838935220261199"/>
    <n v="16.066370894517"/>
  </r>
  <r>
    <x v="0"/>
    <x v="8"/>
    <x v="5"/>
    <x v="9"/>
    <s v="LT_Rural"/>
    <x v="8"/>
    <n v="57.838935220261199"/>
    <n v="16.066370894517"/>
  </r>
  <r>
    <x v="0"/>
    <x v="8"/>
    <x v="5"/>
    <x v="9"/>
    <s v="LT_Rural"/>
    <x v="9"/>
    <n v="44.803327257663497"/>
    <n v="12.4453686826843"/>
  </r>
  <r>
    <x v="0"/>
    <x v="8"/>
    <x v="5"/>
    <x v="9"/>
    <s v="LT_Rural"/>
    <x v="10"/>
    <n v="54.681226180612903"/>
    <n v="15.1892294946147"/>
  </r>
  <r>
    <x v="0"/>
    <x v="8"/>
    <x v="5"/>
    <x v="9"/>
    <s v="LT_Rural"/>
    <x v="11"/>
    <n v="3.8806031483015802"/>
    <n v="1.07794531897266"/>
  </r>
  <r>
    <x v="0"/>
    <x v="8"/>
    <x v="5"/>
    <x v="9"/>
    <s v="LT_Rural"/>
    <x v="12"/>
    <n v="9.7995028997514597E-2"/>
    <n v="2.72208413881985E-2"/>
  </r>
  <r>
    <x v="0"/>
    <x v="8"/>
    <x v="5"/>
    <x v="9"/>
    <s v="LT_Rural"/>
    <x v="13"/>
    <n v="21.5197083678542"/>
    <n v="5.9776967688483804"/>
  </r>
  <r>
    <x v="0"/>
    <x v="8"/>
    <x v="5"/>
    <x v="9"/>
    <s v="LT_Rural"/>
    <x v="14"/>
    <n v="21.5197083678542"/>
    <n v="5.9776967688483804"/>
  </r>
  <r>
    <x v="0"/>
    <x v="8"/>
    <x v="5"/>
    <x v="9"/>
    <s v="LT_Rural"/>
    <x v="15"/>
    <n v="1.65807589063794"/>
    <n v="0.46057663628831802"/>
  </r>
  <r>
    <x v="0"/>
    <x v="8"/>
    <x v="5"/>
    <x v="9"/>
    <s v="LT_Rural"/>
    <x v="16"/>
    <n v="4.9884429139200002"/>
    <n v="1.3856785871999999"/>
  </r>
  <r>
    <x v="0"/>
    <x v="8"/>
    <x v="5"/>
    <x v="9"/>
    <s v="LT_Rural"/>
    <x v="17"/>
    <n v="9.1244895875632395"/>
    <n v="2.5345804409897901"/>
  </r>
  <r>
    <x v="0"/>
    <x v="8"/>
    <x v="5"/>
    <x v="9"/>
    <s v="LT_Rural"/>
    <x v="18"/>
    <n v="21.5197083678542"/>
    <n v="5.9776967688483804"/>
  </r>
  <r>
    <x v="0"/>
    <x v="8"/>
    <x v="5"/>
    <x v="9"/>
    <s v="LT_Rural"/>
    <x v="19"/>
    <n v="8.1139884009941898"/>
    <n v="2.2538856669428302"/>
  </r>
  <r>
    <x v="0"/>
    <x v="8"/>
    <x v="5"/>
    <x v="9"/>
    <s v="LT_Rural"/>
    <x v="20"/>
    <n v="19.336735244541"/>
    <n v="5.37131534570584"/>
  </r>
  <r>
    <x v="0"/>
    <x v="8"/>
    <x v="5"/>
    <x v="9"/>
    <s v="LT_Rural"/>
    <x v="21"/>
    <n v="48.384"/>
    <n v="13.44"/>
  </r>
  <r>
    <x v="0"/>
    <x v="8"/>
    <x v="5"/>
    <x v="9"/>
    <s v="LT_Rural"/>
    <x v="22"/>
    <n v="79.847999999999999"/>
    <n v="22.18"/>
  </r>
  <r>
    <x v="0"/>
    <x v="8"/>
    <x v="5"/>
    <x v="9"/>
    <s v="LT_Rural"/>
    <x v="23"/>
    <n v="0.31515896120488701"/>
    <n v="8.7544155890246306E-2"/>
  </r>
  <r>
    <x v="0"/>
    <x v="8"/>
    <x v="5"/>
    <x v="9"/>
    <s v="LT_Rural"/>
    <x v="24"/>
    <n v="19.174223581093901"/>
    <n v="5.32617321697054"/>
  </r>
  <r>
    <x v="0"/>
    <x v="8"/>
    <x v="5"/>
    <x v="9"/>
    <s v="LT_Rural"/>
    <x v="25"/>
    <n v="22.356874337357301"/>
    <n v="6.2102428714881297"/>
  </r>
  <r>
    <x v="0"/>
    <x v="8"/>
    <x v="5"/>
    <x v="9"/>
    <s v="LT_Rural"/>
    <x v="26"/>
    <n v="29.6651032387655"/>
    <n v="8.2403064552126306"/>
  </r>
  <r>
    <x v="0"/>
    <x v="8"/>
    <x v="5"/>
    <x v="9"/>
    <s v="LT_Rural"/>
    <x v="27"/>
    <n v="20.163995508318798"/>
    <n v="5.6011098634218799"/>
  </r>
  <r>
    <x v="0"/>
    <x v="8"/>
    <x v="5"/>
    <x v="9"/>
    <s v="LT_SiaU"/>
    <x v="1"/>
    <n v="35.989199999999997"/>
    <n v="9.9969999999999999"/>
  </r>
  <r>
    <x v="0"/>
    <x v="8"/>
    <x v="5"/>
    <x v="9"/>
    <s v="LT_SiaU"/>
    <x v="2"/>
    <n v="48.384"/>
    <n v="13.44"/>
  </r>
  <r>
    <x v="0"/>
    <x v="8"/>
    <x v="5"/>
    <x v="9"/>
    <s v="LT_SiaU"/>
    <x v="0"/>
    <n v="42.692399999999999"/>
    <n v="11.859"/>
  </r>
  <r>
    <x v="0"/>
    <x v="8"/>
    <x v="5"/>
    <x v="9"/>
    <s v="LT_SiaU"/>
    <x v="3"/>
    <n v="51.633543144067197"/>
    <n v="14.342650873352"/>
  </r>
  <r>
    <x v="0"/>
    <x v="8"/>
    <x v="5"/>
    <x v="9"/>
    <s v="LT_SiaU"/>
    <x v="4"/>
    <n v="8.1139884009941898"/>
    <n v="2.2538856669428302"/>
  </r>
  <r>
    <x v="0"/>
    <x v="8"/>
    <x v="5"/>
    <x v="9"/>
    <s v="LT_SiaU"/>
    <x v="5"/>
    <n v="8.1139884009941898"/>
    <n v="2.2538856669428302"/>
  </r>
  <r>
    <x v="0"/>
    <x v="8"/>
    <x v="5"/>
    <x v="9"/>
    <s v="LT_SiaU"/>
    <x v="6"/>
    <n v="29.476231795214598"/>
    <n v="8.1878421653373898"/>
  </r>
  <r>
    <x v="0"/>
    <x v="8"/>
    <x v="5"/>
    <x v="9"/>
    <s v="LT_SiaU"/>
    <x v="7"/>
    <n v="57.838935220261199"/>
    <n v="16.066370894517"/>
  </r>
  <r>
    <x v="0"/>
    <x v="8"/>
    <x v="5"/>
    <x v="9"/>
    <s v="LT_SiaU"/>
    <x v="8"/>
    <n v="57.838935220261199"/>
    <n v="16.066370894517"/>
  </r>
  <r>
    <x v="0"/>
    <x v="8"/>
    <x v="5"/>
    <x v="9"/>
    <s v="LT_SiaU"/>
    <x v="9"/>
    <n v="44.803327257663497"/>
    <n v="12.4453686826843"/>
  </r>
  <r>
    <x v="0"/>
    <x v="8"/>
    <x v="5"/>
    <x v="9"/>
    <s v="LT_SiaU"/>
    <x v="10"/>
    <n v="54.681226180612903"/>
    <n v="15.1892294946147"/>
  </r>
  <r>
    <x v="0"/>
    <x v="8"/>
    <x v="5"/>
    <x v="9"/>
    <s v="LT_SiaU"/>
    <x v="11"/>
    <n v="3.8806031483015802"/>
    <n v="1.07794531897266"/>
  </r>
  <r>
    <x v="0"/>
    <x v="8"/>
    <x v="5"/>
    <x v="9"/>
    <s v="LT_SiaU"/>
    <x v="12"/>
    <n v="9.7995028997514597E-2"/>
    <n v="2.72208413881985E-2"/>
  </r>
  <r>
    <x v="0"/>
    <x v="8"/>
    <x v="5"/>
    <x v="9"/>
    <s v="LT_SiaU"/>
    <x v="13"/>
    <n v="21.5197083678542"/>
    <n v="5.9776967688483804"/>
  </r>
  <r>
    <x v="0"/>
    <x v="8"/>
    <x v="5"/>
    <x v="9"/>
    <s v="LT_SiaU"/>
    <x v="14"/>
    <n v="21.5197083678542"/>
    <n v="5.9776967688483804"/>
  </r>
  <r>
    <x v="0"/>
    <x v="8"/>
    <x v="5"/>
    <x v="9"/>
    <s v="LT_SiaU"/>
    <x v="15"/>
    <n v="1.65807589063794"/>
    <n v="0.46057663628831802"/>
  </r>
  <r>
    <x v="0"/>
    <x v="8"/>
    <x v="5"/>
    <x v="9"/>
    <s v="LT_SiaU"/>
    <x v="16"/>
    <n v="4.9884429139200002"/>
    <n v="1.3856785871999999"/>
  </r>
  <r>
    <x v="0"/>
    <x v="8"/>
    <x v="5"/>
    <x v="9"/>
    <s v="LT_SiaU"/>
    <x v="17"/>
    <n v="9.1244895875632395"/>
    <n v="2.5345804409897901"/>
  </r>
  <r>
    <x v="0"/>
    <x v="8"/>
    <x v="5"/>
    <x v="9"/>
    <s v="LT_SiaU"/>
    <x v="18"/>
    <n v="21.5197083678542"/>
    <n v="5.9776967688483804"/>
  </r>
  <r>
    <x v="0"/>
    <x v="8"/>
    <x v="5"/>
    <x v="9"/>
    <s v="LT_SiaU"/>
    <x v="19"/>
    <n v="8.1139884009941898"/>
    <n v="2.2538856669428302"/>
  </r>
  <r>
    <x v="0"/>
    <x v="8"/>
    <x v="5"/>
    <x v="9"/>
    <s v="LT_SiaU"/>
    <x v="20"/>
    <n v="19.336735244541"/>
    <n v="5.37131534570584"/>
  </r>
  <r>
    <x v="0"/>
    <x v="8"/>
    <x v="5"/>
    <x v="9"/>
    <s v="LT_SiaU"/>
    <x v="21"/>
    <n v="48.384"/>
    <n v="13.44"/>
  </r>
  <r>
    <x v="0"/>
    <x v="8"/>
    <x v="5"/>
    <x v="9"/>
    <s v="LT_SiaU"/>
    <x v="22"/>
    <n v="79.847999999999999"/>
    <n v="22.18"/>
  </r>
  <r>
    <x v="0"/>
    <x v="8"/>
    <x v="5"/>
    <x v="9"/>
    <s v="LT_SiaU"/>
    <x v="23"/>
    <n v="0.31515896120488701"/>
    <n v="8.7544155890246306E-2"/>
  </r>
  <r>
    <x v="0"/>
    <x v="8"/>
    <x v="5"/>
    <x v="9"/>
    <s v="LT_SiaU"/>
    <x v="24"/>
    <n v="19.174223581093901"/>
    <n v="5.32617321697054"/>
  </r>
  <r>
    <x v="0"/>
    <x v="8"/>
    <x v="5"/>
    <x v="9"/>
    <s v="LT_SiaU"/>
    <x v="25"/>
    <n v="22.356874337357301"/>
    <n v="6.2102428714881297"/>
  </r>
  <r>
    <x v="0"/>
    <x v="8"/>
    <x v="5"/>
    <x v="9"/>
    <s v="LT_SiaU"/>
    <x v="26"/>
    <n v="29.6651032387655"/>
    <n v="8.2403064552126306"/>
  </r>
  <r>
    <x v="0"/>
    <x v="8"/>
    <x v="5"/>
    <x v="9"/>
    <s v="LT_SiaU"/>
    <x v="27"/>
    <n v="20.163995508318798"/>
    <n v="5.6011098634218799"/>
  </r>
  <r>
    <x v="0"/>
    <x v="8"/>
    <x v="5"/>
    <x v="9"/>
    <s v="LT_VilU"/>
    <x v="1"/>
    <n v="35.989199999999997"/>
    <n v="9.9969999999999999"/>
  </r>
  <r>
    <x v="0"/>
    <x v="8"/>
    <x v="5"/>
    <x v="9"/>
    <s v="LT_VilU"/>
    <x v="2"/>
    <n v="48.384"/>
    <n v="13.44"/>
  </r>
  <r>
    <x v="0"/>
    <x v="8"/>
    <x v="5"/>
    <x v="9"/>
    <s v="LT_VilU"/>
    <x v="0"/>
    <n v="42.692399999999999"/>
    <n v="11.859"/>
  </r>
  <r>
    <x v="0"/>
    <x v="8"/>
    <x v="5"/>
    <x v="9"/>
    <s v="LT_VilU"/>
    <x v="3"/>
    <n v="51.633543144067197"/>
    <n v="14.342650873352"/>
  </r>
  <r>
    <x v="0"/>
    <x v="8"/>
    <x v="5"/>
    <x v="9"/>
    <s v="LT_VilU"/>
    <x v="4"/>
    <n v="8.1139884009941898"/>
    <n v="2.2538856669428302"/>
  </r>
  <r>
    <x v="0"/>
    <x v="8"/>
    <x v="5"/>
    <x v="9"/>
    <s v="LT_VilU"/>
    <x v="5"/>
    <n v="8.1139884009941898"/>
    <n v="2.2538856669428302"/>
  </r>
  <r>
    <x v="0"/>
    <x v="8"/>
    <x v="5"/>
    <x v="9"/>
    <s v="LT_VilU"/>
    <x v="6"/>
    <n v="29.476231795214598"/>
    <n v="8.1878421653373898"/>
  </r>
  <r>
    <x v="0"/>
    <x v="8"/>
    <x v="5"/>
    <x v="9"/>
    <s v="LT_VilU"/>
    <x v="7"/>
    <n v="57.838935220261199"/>
    <n v="16.066370894517"/>
  </r>
  <r>
    <x v="0"/>
    <x v="8"/>
    <x v="5"/>
    <x v="9"/>
    <s v="LT_VilU"/>
    <x v="8"/>
    <n v="57.838935220261199"/>
    <n v="16.066370894517"/>
  </r>
  <r>
    <x v="0"/>
    <x v="8"/>
    <x v="5"/>
    <x v="9"/>
    <s v="LT_VilU"/>
    <x v="9"/>
    <n v="44.803327257663497"/>
    <n v="12.4453686826843"/>
  </r>
  <r>
    <x v="0"/>
    <x v="8"/>
    <x v="5"/>
    <x v="9"/>
    <s v="LT_VilU"/>
    <x v="10"/>
    <n v="54.681226180612903"/>
    <n v="15.1892294946147"/>
  </r>
  <r>
    <x v="0"/>
    <x v="8"/>
    <x v="5"/>
    <x v="9"/>
    <s v="LT_VilU"/>
    <x v="11"/>
    <n v="3.8806031483015802"/>
    <n v="1.07794531897266"/>
  </r>
  <r>
    <x v="0"/>
    <x v="8"/>
    <x v="5"/>
    <x v="9"/>
    <s v="LT_VilU"/>
    <x v="12"/>
    <n v="9.7995028997514597E-2"/>
    <n v="2.72208413881985E-2"/>
  </r>
  <r>
    <x v="0"/>
    <x v="8"/>
    <x v="5"/>
    <x v="9"/>
    <s v="LT_VilU"/>
    <x v="13"/>
    <n v="21.5197083678542"/>
    <n v="5.9776967688483804"/>
  </r>
  <r>
    <x v="0"/>
    <x v="8"/>
    <x v="5"/>
    <x v="9"/>
    <s v="LT_VilU"/>
    <x v="14"/>
    <n v="21.5197083678542"/>
    <n v="5.9776967688483804"/>
  </r>
  <r>
    <x v="0"/>
    <x v="8"/>
    <x v="5"/>
    <x v="9"/>
    <s v="LT_VilU"/>
    <x v="15"/>
    <n v="1.65807589063794"/>
    <n v="0.46057663628831802"/>
  </r>
  <r>
    <x v="0"/>
    <x v="8"/>
    <x v="5"/>
    <x v="9"/>
    <s v="LT_VilU"/>
    <x v="16"/>
    <n v="4.9884429139200002"/>
    <n v="1.3856785871999999"/>
  </r>
  <r>
    <x v="0"/>
    <x v="8"/>
    <x v="5"/>
    <x v="9"/>
    <s v="LT_VilU"/>
    <x v="17"/>
    <n v="9.1244895875632395"/>
    <n v="2.5345804409897901"/>
  </r>
  <r>
    <x v="0"/>
    <x v="8"/>
    <x v="5"/>
    <x v="9"/>
    <s v="LT_VilU"/>
    <x v="18"/>
    <n v="21.5197083678542"/>
    <n v="5.9776967688483804"/>
  </r>
  <r>
    <x v="0"/>
    <x v="8"/>
    <x v="5"/>
    <x v="9"/>
    <s v="LT_VilU"/>
    <x v="19"/>
    <n v="8.1139884009941898"/>
    <n v="2.2538856669428302"/>
  </r>
  <r>
    <x v="0"/>
    <x v="8"/>
    <x v="5"/>
    <x v="9"/>
    <s v="LT_VilU"/>
    <x v="20"/>
    <n v="19.336735244541"/>
    <n v="5.37131534570584"/>
  </r>
  <r>
    <x v="0"/>
    <x v="8"/>
    <x v="5"/>
    <x v="9"/>
    <s v="LT_VilU"/>
    <x v="21"/>
    <n v="48.384"/>
    <n v="13.44"/>
  </r>
  <r>
    <x v="0"/>
    <x v="8"/>
    <x v="5"/>
    <x v="9"/>
    <s v="LT_VilU"/>
    <x v="22"/>
    <n v="79.847999999999999"/>
    <n v="22.18"/>
  </r>
  <r>
    <x v="0"/>
    <x v="8"/>
    <x v="5"/>
    <x v="9"/>
    <s v="LT_VilU"/>
    <x v="23"/>
    <n v="0.31515896120488701"/>
    <n v="8.7544155890246306E-2"/>
  </r>
  <r>
    <x v="0"/>
    <x v="8"/>
    <x v="5"/>
    <x v="9"/>
    <s v="LT_VilU"/>
    <x v="24"/>
    <n v="19.174223581093901"/>
    <n v="5.32617321697054"/>
  </r>
  <r>
    <x v="0"/>
    <x v="8"/>
    <x v="5"/>
    <x v="9"/>
    <s v="LT_VilU"/>
    <x v="25"/>
    <n v="22.356874337357301"/>
    <n v="6.2102428714881297"/>
  </r>
  <r>
    <x v="0"/>
    <x v="8"/>
    <x v="5"/>
    <x v="9"/>
    <s v="LT_VilU"/>
    <x v="26"/>
    <n v="29.6651032387655"/>
    <n v="8.2403064552126306"/>
  </r>
  <r>
    <x v="0"/>
    <x v="8"/>
    <x v="5"/>
    <x v="9"/>
    <s v="LT_VilU"/>
    <x v="27"/>
    <n v="20.163995508318798"/>
    <n v="5.6011098634218799"/>
  </r>
  <r>
    <x v="0"/>
    <x v="8"/>
    <x v="6"/>
    <x v="10"/>
    <s v="NL_A"/>
    <x v="1"/>
    <n v="35.989199999999997"/>
    <n v="9.9969999999999999"/>
  </r>
  <r>
    <x v="0"/>
    <x v="8"/>
    <x v="6"/>
    <x v="10"/>
    <s v="NL_A"/>
    <x v="2"/>
    <n v="48.384"/>
    <n v="13.44"/>
  </r>
  <r>
    <x v="0"/>
    <x v="8"/>
    <x v="6"/>
    <x v="10"/>
    <s v="NL_A"/>
    <x v="0"/>
    <n v="42.692399999999999"/>
    <n v="11.859"/>
  </r>
  <r>
    <x v="0"/>
    <x v="8"/>
    <x v="6"/>
    <x v="10"/>
    <s v="NL_A"/>
    <x v="3"/>
    <n v="51.633543144067197"/>
    <n v="14.342650873352"/>
  </r>
  <r>
    <x v="0"/>
    <x v="8"/>
    <x v="6"/>
    <x v="10"/>
    <s v="NL_A"/>
    <x v="4"/>
    <n v="8.1139884009941898"/>
    <n v="2.2538856669428302"/>
  </r>
  <r>
    <x v="0"/>
    <x v="8"/>
    <x v="6"/>
    <x v="10"/>
    <s v="NL_A"/>
    <x v="5"/>
    <n v="8.1139884009941898"/>
    <n v="2.2538856669428302"/>
  </r>
  <r>
    <x v="0"/>
    <x v="8"/>
    <x v="6"/>
    <x v="10"/>
    <s v="NL_A"/>
    <x v="6"/>
    <n v="29.476231795214598"/>
    <n v="8.1878421653373898"/>
  </r>
  <r>
    <x v="0"/>
    <x v="8"/>
    <x v="6"/>
    <x v="10"/>
    <s v="NL_A"/>
    <x v="7"/>
    <n v="57.838935220261199"/>
    <n v="16.066370894517"/>
  </r>
  <r>
    <x v="0"/>
    <x v="8"/>
    <x v="6"/>
    <x v="10"/>
    <s v="NL_A"/>
    <x v="8"/>
    <n v="57.838935220261199"/>
    <n v="16.066370894517"/>
  </r>
  <r>
    <x v="0"/>
    <x v="8"/>
    <x v="6"/>
    <x v="10"/>
    <s v="NL_A"/>
    <x v="9"/>
    <n v="44.803327257663497"/>
    <n v="12.4453686826843"/>
  </r>
  <r>
    <x v="0"/>
    <x v="8"/>
    <x v="6"/>
    <x v="10"/>
    <s v="NL_A"/>
    <x v="10"/>
    <n v="54.681226180612903"/>
    <n v="15.1892294946147"/>
  </r>
  <r>
    <x v="0"/>
    <x v="8"/>
    <x v="6"/>
    <x v="10"/>
    <s v="NL_A"/>
    <x v="11"/>
    <n v="3.8806031483015802"/>
    <n v="1.07794531897266"/>
  </r>
  <r>
    <x v="0"/>
    <x v="8"/>
    <x v="6"/>
    <x v="10"/>
    <s v="NL_A"/>
    <x v="12"/>
    <n v="9.7995028997514597E-2"/>
    <n v="2.72208413881985E-2"/>
  </r>
  <r>
    <x v="0"/>
    <x v="8"/>
    <x v="6"/>
    <x v="10"/>
    <s v="NL_A"/>
    <x v="13"/>
    <n v="21.5197083678542"/>
    <n v="5.9776967688483804"/>
  </r>
  <r>
    <x v="0"/>
    <x v="8"/>
    <x v="6"/>
    <x v="10"/>
    <s v="NL_A"/>
    <x v="14"/>
    <n v="21.5197083678542"/>
    <n v="5.9776967688483804"/>
  </r>
  <r>
    <x v="0"/>
    <x v="8"/>
    <x v="6"/>
    <x v="10"/>
    <s v="NL_A"/>
    <x v="15"/>
    <n v="1.65807589063794"/>
    <n v="0.46057663628831802"/>
  </r>
  <r>
    <x v="0"/>
    <x v="8"/>
    <x v="6"/>
    <x v="10"/>
    <s v="NL_A"/>
    <x v="16"/>
    <n v="4.9884429139200002"/>
    <n v="1.3856785871999999"/>
  </r>
  <r>
    <x v="0"/>
    <x v="8"/>
    <x v="6"/>
    <x v="10"/>
    <s v="NL_A"/>
    <x v="17"/>
    <n v="9.1244895875632395"/>
    <n v="2.5345804409897901"/>
  </r>
  <r>
    <x v="0"/>
    <x v="8"/>
    <x v="6"/>
    <x v="10"/>
    <s v="NL_A"/>
    <x v="18"/>
    <n v="21.5197083678542"/>
    <n v="5.9776967688483804"/>
  </r>
  <r>
    <x v="0"/>
    <x v="8"/>
    <x v="6"/>
    <x v="10"/>
    <s v="NL_A"/>
    <x v="19"/>
    <n v="8.1139884009941898"/>
    <n v="2.2538856669428302"/>
  </r>
  <r>
    <x v="0"/>
    <x v="8"/>
    <x v="6"/>
    <x v="10"/>
    <s v="NL_A"/>
    <x v="20"/>
    <n v="19.336735244541"/>
    <n v="5.37131534570584"/>
  </r>
  <r>
    <x v="0"/>
    <x v="8"/>
    <x v="6"/>
    <x v="10"/>
    <s v="NL_A"/>
    <x v="21"/>
    <n v="48.384"/>
    <n v="13.44"/>
  </r>
  <r>
    <x v="0"/>
    <x v="8"/>
    <x v="6"/>
    <x v="10"/>
    <s v="NL_A"/>
    <x v="22"/>
    <n v="79.847999999999999"/>
    <n v="22.18"/>
  </r>
  <r>
    <x v="0"/>
    <x v="8"/>
    <x v="6"/>
    <x v="10"/>
    <s v="NL_A"/>
    <x v="23"/>
    <n v="0.31515896120488701"/>
    <n v="8.7544155890246306E-2"/>
  </r>
  <r>
    <x v="0"/>
    <x v="8"/>
    <x v="6"/>
    <x v="10"/>
    <s v="NL_A"/>
    <x v="24"/>
    <n v="19.174223581093901"/>
    <n v="5.32617321697054"/>
  </r>
  <r>
    <x v="0"/>
    <x v="8"/>
    <x v="6"/>
    <x v="10"/>
    <s v="NL_A"/>
    <x v="25"/>
    <n v="22.356874337357301"/>
    <n v="6.2102428714881297"/>
  </r>
  <r>
    <x v="0"/>
    <x v="8"/>
    <x v="6"/>
    <x v="10"/>
    <s v="NL_A"/>
    <x v="26"/>
    <n v="29.6651032387655"/>
    <n v="8.2403064552126306"/>
  </r>
  <r>
    <x v="0"/>
    <x v="8"/>
    <x v="6"/>
    <x v="10"/>
    <s v="NL_A"/>
    <x v="27"/>
    <n v="20.163995508318798"/>
    <n v="5.6011098634218799"/>
  </r>
  <r>
    <x v="0"/>
    <x v="8"/>
    <x v="6"/>
    <x v="10"/>
    <s v="NL_OFFSHORE"/>
    <x v="1"/>
    <n v="35.989199999999997"/>
    <n v="9.9969999999999999"/>
  </r>
  <r>
    <x v="0"/>
    <x v="8"/>
    <x v="6"/>
    <x v="10"/>
    <s v="NL_OFFSHORE"/>
    <x v="2"/>
    <n v="48.384"/>
    <n v="13.44"/>
  </r>
  <r>
    <x v="0"/>
    <x v="8"/>
    <x v="6"/>
    <x v="10"/>
    <s v="NL_OFFSHORE"/>
    <x v="0"/>
    <n v="42.692399999999999"/>
    <n v="11.859"/>
  </r>
  <r>
    <x v="0"/>
    <x v="8"/>
    <x v="6"/>
    <x v="10"/>
    <s v="NL_OFFSHORE"/>
    <x v="3"/>
    <n v="51.633543144067197"/>
    <n v="14.342650873352"/>
  </r>
  <r>
    <x v="0"/>
    <x v="8"/>
    <x v="6"/>
    <x v="10"/>
    <s v="NL_OFFSHORE"/>
    <x v="4"/>
    <n v="8.1139884009941898"/>
    <n v="2.2538856669428302"/>
  </r>
  <r>
    <x v="0"/>
    <x v="8"/>
    <x v="6"/>
    <x v="10"/>
    <s v="NL_OFFSHORE"/>
    <x v="5"/>
    <n v="8.1139884009941898"/>
    <n v="2.2538856669428302"/>
  </r>
  <r>
    <x v="0"/>
    <x v="8"/>
    <x v="6"/>
    <x v="10"/>
    <s v="NL_OFFSHORE"/>
    <x v="6"/>
    <n v="29.476231795214598"/>
    <n v="8.1878421653373898"/>
  </r>
  <r>
    <x v="0"/>
    <x v="8"/>
    <x v="6"/>
    <x v="10"/>
    <s v="NL_OFFSHORE"/>
    <x v="7"/>
    <n v="57.838935220261199"/>
    <n v="16.066370894517"/>
  </r>
  <r>
    <x v="0"/>
    <x v="8"/>
    <x v="6"/>
    <x v="10"/>
    <s v="NL_OFFSHORE"/>
    <x v="8"/>
    <n v="57.838935220261199"/>
    <n v="16.066370894517"/>
  </r>
  <r>
    <x v="0"/>
    <x v="8"/>
    <x v="6"/>
    <x v="10"/>
    <s v="NL_OFFSHORE"/>
    <x v="9"/>
    <n v="44.803327257663497"/>
    <n v="12.4453686826843"/>
  </r>
  <r>
    <x v="0"/>
    <x v="8"/>
    <x v="6"/>
    <x v="10"/>
    <s v="NL_OFFSHORE"/>
    <x v="10"/>
    <n v="54.681226180612903"/>
    <n v="15.1892294946147"/>
  </r>
  <r>
    <x v="0"/>
    <x v="8"/>
    <x v="6"/>
    <x v="10"/>
    <s v="NL_OFFSHORE"/>
    <x v="11"/>
    <n v="3.8806031483015802"/>
    <n v="1.07794531897266"/>
  </r>
  <r>
    <x v="0"/>
    <x v="8"/>
    <x v="6"/>
    <x v="10"/>
    <s v="NL_OFFSHORE"/>
    <x v="12"/>
    <n v="9.7995028997514597E-2"/>
    <n v="2.72208413881985E-2"/>
  </r>
  <r>
    <x v="0"/>
    <x v="8"/>
    <x v="6"/>
    <x v="10"/>
    <s v="NL_OFFSHORE"/>
    <x v="13"/>
    <n v="21.5197083678542"/>
    <n v="5.9776967688483804"/>
  </r>
  <r>
    <x v="0"/>
    <x v="8"/>
    <x v="6"/>
    <x v="10"/>
    <s v="NL_OFFSHORE"/>
    <x v="14"/>
    <n v="21.5197083678542"/>
    <n v="5.9776967688483804"/>
  </r>
  <r>
    <x v="0"/>
    <x v="8"/>
    <x v="6"/>
    <x v="10"/>
    <s v="NL_OFFSHORE"/>
    <x v="15"/>
    <n v="1.65807589063794"/>
    <n v="0.46057663628831802"/>
  </r>
  <r>
    <x v="0"/>
    <x v="8"/>
    <x v="6"/>
    <x v="10"/>
    <s v="NL_OFFSHORE"/>
    <x v="16"/>
    <n v="4.9884429139200002"/>
    <n v="1.3856785871999999"/>
  </r>
  <r>
    <x v="0"/>
    <x v="8"/>
    <x v="6"/>
    <x v="10"/>
    <s v="NL_OFFSHORE"/>
    <x v="17"/>
    <n v="9.1244895875632395"/>
    <n v="2.5345804409897901"/>
  </r>
  <r>
    <x v="0"/>
    <x v="8"/>
    <x v="6"/>
    <x v="10"/>
    <s v="NL_OFFSHORE"/>
    <x v="18"/>
    <n v="21.5197083678542"/>
    <n v="5.9776967688483804"/>
  </r>
  <r>
    <x v="0"/>
    <x v="8"/>
    <x v="6"/>
    <x v="10"/>
    <s v="NL_OFFSHORE"/>
    <x v="19"/>
    <n v="8.1139884009941898"/>
    <n v="2.2538856669428302"/>
  </r>
  <r>
    <x v="0"/>
    <x v="8"/>
    <x v="6"/>
    <x v="10"/>
    <s v="NL_OFFSHORE"/>
    <x v="20"/>
    <n v="19.336735244541"/>
    <n v="5.37131534570584"/>
  </r>
  <r>
    <x v="0"/>
    <x v="8"/>
    <x v="6"/>
    <x v="10"/>
    <s v="NL_OFFSHORE"/>
    <x v="21"/>
    <n v="48.384"/>
    <n v="13.44"/>
  </r>
  <r>
    <x v="0"/>
    <x v="8"/>
    <x v="6"/>
    <x v="10"/>
    <s v="NL_OFFSHORE"/>
    <x v="22"/>
    <n v="79.847999999999999"/>
    <n v="22.18"/>
  </r>
  <r>
    <x v="0"/>
    <x v="8"/>
    <x v="6"/>
    <x v="10"/>
    <s v="NL_OFFSHORE"/>
    <x v="23"/>
    <n v="0.31515896120488701"/>
    <n v="8.7544155890246306E-2"/>
  </r>
  <r>
    <x v="0"/>
    <x v="8"/>
    <x v="6"/>
    <x v="10"/>
    <s v="NL_OFFSHORE"/>
    <x v="24"/>
    <n v="19.174223581093901"/>
    <n v="5.32617321697054"/>
  </r>
  <r>
    <x v="0"/>
    <x v="8"/>
    <x v="6"/>
    <x v="10"/>
    <s v="NL_OFFSHORE"/>
    <x v="25"/>
    <n v="22.356874337357301"/>
    <n v="6.2102428714881297"/>
  </r>
  <r>
    <x v="0"/>
    <x v="8"/>
    <x v="6"/>
    <x v="10"/>
    <s v="NL_OFFSHORE"/>
    <x v="26"/>
    <n v="29.6651032387655"/>
    <n v="8.2403064552126306"/>
  </r>
  <r>
    <x v="0"/>
    <x v="8"/>
    <x v="6"/>
    <x v="10"/>
    <s v="NL_OFFSHORE"/>
    <x v="27"/>
    <n v="20.163995508318798"/>
    <n v="5.6011098634218799"/>
  </r>
  <r>
    <x v="0"/>
    <x v="8"/>
    <x v="7"/>
    <x v="11"/>
    <s v="NO1_A1"/>
    <x v="1"/>
    <n v="35.989199999999997"/>
    <n v="9.9969999999999999"/>
  </r>
  <r>
    <x v="0"/>
    <x v="8"/>
    <x v="7"/>
    <x v="11"/>
    <s v="NO1_A1"/>
    <x v="2"/>
    <n v="48.384"/>
    <n v="13.44"/>
  </r>
  <r>
    <x v="0"/>
    <x v="8"/>
    <x v="7"/>
    <x v="11"/>
    <s v="NO1_A1"/>
    <x v="0"/>
    <n v="42.692399999999999"/>
    <n v="11.859"/>
  </r>
  <r>
    <x v="0"/>
    <x v="8"/>
    <x v="7"/>
    <x v="11"/>
    <s v="NO1_A1"/>
    <x v="3"/>
    <n v="51.633543144067197"/>
    <n v="14.342650873352"/>
  </r>
  <r>
    <x v="0"/>
    <x v="8"/>
    <x v="7"/>
    <x v="11"/>
    <s v="NO1_A1"/>
    <x v="4"/>
    <n v="8.1139884009941898"/>
    <n v="2.2538856669428302"/>
  </r>
  <r>
    <x v="0"/>
    <x v="8"/>
    <x v="7"/>
    <x v="11"/>
    <s v="NO1_A1"/>
    <x v="5"/>
    <n v="8.1139884009941898"/>
    <n v="2.2538856669428302"/>
  </r>
  <r>
    <x v="0"/>
    <x v="8"/>
    <x v="7"/>
    <x v="11"/>
    <s v="NO1_A1"/>
    <x v="6"/>
    <n v="29.476231795214598"/>
    <n v="8.1878421653373898"/>
  </r>
  <r>
    <x v="0"/>
    <x v="8"/>
    <x v="7"/>
    <x v="11"/>
    <s v="NO1_A1"/>
    <x v="7"/>
    <n v="57.838935220261199"/>
    <n v="16.066370894517"/>
  </r>
  <r>
    <x v="0"/>
    <x v="8"/>
    <x v="7"/>
    <x v="11"/>
    <s v="NO1_A1"/>
    <x v="8"/>
    <n v="57.838935220261199"/>
    <n v="16.066370894517"/>
  </r>
  <r>
    <x v="0"/>
    <x v="8"/>
    <x v="7"/>
    <x v="11"/>
    <s v="NO1_A1"/>
    <x v="9"/>
    <n v="44.803327257663497"/>
    <n v="12.4453686826843"/>
  </r>
  <r>
    <x v="0"/>
    <x v="8"/>
    <x v="7"/>
    <x v="11"/>
    <s v="NO1_A1"/>
    <x v="10"/>
    <n v="54.681226180612903"/>
    <n v="15.1892294946147"/>
  </r>
  <r>
    <x v="0"/>
    <x v="8"/>
    <x v="7"/>
    <x v="11"/>
    <s v="NO1_A1"/>
    <x v="11"/>
    <n v="3.8806031483015802"/>
    <n v="1.07794531897266"/>
  </r>
  <r>
    <x v="0"/>
    <x v="8"/>
    <x v="7"/>
    <x v="11"/>
    <s v="NO1_A1"/>
    <x v="12"/>
    <n v="9.7995028997514597E-2"/>
    <n v="2.72208413881985E-2"/>
  </r>
  <r>
    <x v="0"/>
    <x v="8"/>
    <x v="7"/>
    <x v="11"/>
    <s v="NO1_A1"/>
    <x v="13"/>
    <n v="21.5197083678542"/>
    <n v="5.9776967688483804"/>
  </r>
  <r>
    <x v="0"/>
    <x v="8"/>
    <x v="7"/>
    <x v="11"/>
    <s v="NO1_A1"/>
    <x v="14"/>
    <n v="21.5197083678542"/>
    <n v="5.9776967688483804"/>
  </r>
  <r>
    <x v="0"/>
    <x v="8"/>
    <x v="7"/>
    <x v="11"/>
    <s v="NO1_A1"/>
    <x v="15"/>
    <n v="1.65807589063794"/>
    <n v="0.46057663628831802"/>
  </r>
  <r>
    <x v="0"/>
    <x v="8"/>
    <x v="7"/>
    <x v="11"/>
    <s v="NO1_A1"/>
    <x v="16"/>
    <n v="4.9884429139200002"/>
    <n v="1.3856785871999999"/>
  </r>
  <r>
    <x v="0"/>
    <x v="8"/>
    <x v="7"/>
    <x v="11"/>
    <s v="NO1_A1"/>
    <x v="17"/>
    <n v="9.1244895875632395"/>
    <n v="2.5345804409897901"/>
  </r>
  <r>
    <x v="0"/>
    <x v="8"/>
    <x v="7"/>
    <x v="11"/>
    <s v="NO1_A1"/>
    <x v="18"/>
    <n v="21.5197083678542"/>
    <n v="5.9776967688483804"/>
  </r>
  <r>
    <x v="0"/>
    <x v="8"/>
    <x v="7"/>
    <x v="11"/>
    <s v="NO1_A1"/>
    <x v="19"/>
    <n v="8.1139884009941898"/>
    <n v="2.2538856669428302"/>
  </r>
  <r>
    <x v="0"/>
    <x v="8"/>
    <x v="7"/>
    <x v="11"/>
    <s v="NO1_A1"/>
    <x v="20"/>
    <n v="19.336735244541"/>
    <n v="5.37131534570584"/>
  </r>
  <r>
    <x v="0"/>
    <x v="8"/>
    <x v="7"/>
    <x v="11"/>
    <s v="NO1_A1"/>
    <x v="21"/>
    <n v="48.384"/>
    <n v="13.44"/>
  </r>
  <r>
    <x v="0"/>
    <x v="8"/>
    <x v="7"/>
    <x v="11"/>
    <s v="NO1_A1"/>
    <x v="22"/>
    <n v="79.847999999999999"/>
    <n v="22.18"/>
  </r>
  <r>
    <x v="0"/>
    <x v="8"/>
    <x v="7"/>
    <x v="11"/>
    <s v="NO1_A1"/>
    <x v="23"/>
    <n v="0.31515896120488701"/>
    <n v="8.7544155890246306E-2"/>
  </r>
  <r>
    <x v="0"/>
    <x v="8"/>
    <x v="7"/>
    <x v="11"/>
    <s v="NO1_A1"/>
    <x v="24"/>
    <n v="19.174223581093901"/>
    <n v="5.32617321697054"/>
  </r>
  <r>
    <x v="0"/>
    <x v="8"/>
    <x v="7"/>
    <x v="11"/>
    <s v="NO1_A1"/>
    <x v="25"/>
    <n v="22.356874337357301"/>
    <n v="6.2102428714881297"/>
  </r>
  <r>
    <x v="0"/>
    <x v="8"/>
    <x v="7"/>
    <x v="11"/>
    <s v="NO1_A1"/>
    <x v="26"/>
    <n v="29.6651032387655"/>
    <n v="8.2403064552126306"/>
  </r>
  <r>
    <x v="0"/>
    <x v="8"/>
    <x v="7"/>
    <x v="11"/>
    <s v="NO1_A1"/>
    <x v="27"/>
    <n v="20.163995508318798"/>
    <n v="5.6011098634218799"/>
  </r>
  <r>
    <x v="0"/>
    <x v="8"/>
    <x v="7"/>
    <x v="11"/>
    <s v="NO1_A2"/>
    <x v="1"/>
    <n v="35.989199999999997"/>
    <n v="9.9969999999999999"/>
  </r>
  <r>
    <x v="0"/>
    <x v="8"/>
    <x v="7"/>
    <x v="11"/>
    <s v="NO1_A2"/>
    <x v="2"/>
    <n v="48.384"/>
    <n v="13.44"/>
  </r>
  <r>
    <x v="0"/>
    <x v="8"/>
    <x v="7"/>
    <x v="11"/>
    <s v="NO1_A2"/>
    <x v="0"/>
    <n v="42.692399999999999"/>
    <n v="11.859"/>
  </r>
  <r>
    <x v="0"/>
    <x v="8"/>
    <x v="7"/>
    <x v="11"/>
    <s v="NO1_A2"/>
    <x v="3"/>
    <n v="51.633543144067197"/>
    <n v="14.342650873352"/>
  </r>
  <r>
    <x v="0"/>
    <x v="8"/>
    <x v="7"/>
    <x v="11"/>
    <s v="NO1_A2"/>
    <x v="4"/>
    <n v="8.1139884009941898"/>
    <n v="2.2538856669428302"/>
  </r>
  <r>
    <x v="0"/>
    <x v="8"/>
    <x v="7"/>
    <x v="11"/>
    <s v="NO1_A2"/>
    <x v="5"/>
    <n v="8.1139884009941898"/>
    <n v="2.2538856669428302"/>
  </r>
  <r>
    <x v="0"/>
    <x v="8"/>
    <x v="7"/>
    <x v="11"/>
    <s v="NO1_A2"/>
    <x v="6"/>
    <n v="29.476231795214598"/>
    <n v="8.1878421653373898"/>
  </r>
  <r>
    <x v="0"/>
    <x v="8"/>
    <x v="7"/>
    <x v="11"/>
    <s v="NO1_A2"/>
    <x v="7"/>
    <n v="57.838935220261199"/>
    <n v="16.066370894517"/>
  </r>
  <r>
    <x v="0"/>
    <x v="8"/>
    <x v="7"/>
    <x v="11"/>
    <s v="NO1_A2"/>
    <x v="8"/>
    <n v="57.838935220261199"/>
    <n v="16.066370894517"/>
  </r>
  <r>
    <x v="0"/>
    <x v="8"/>
    <x v="7"/>
    <x v="11"/>
    <s v="NO1_A2"/>
    <x v="9"/>
    <n v="44.803327257663497"/>
    <n v="12.4453686826843"/>
  </r>
  <r>
    <x v="0"/>
    <x v="8"/>
    <x v="7"/>
    <x v="11"/>
    <s v="NO1_A2"/>
    <x v="10"/>
    <n v="54.681226180612903"/>
    <n v="15.1892294946147"/>
  </r>
  <r>
    <x v="0"/>
    <x v="8"/>
    <x v="7"/>
    <x v="11"/>
    <s v="NO1_A2"/>
    <x v="11"/>
    <n v="3.8806031483015802"/>
    <n v="1.07794531897266"/>
  </r>
  <r>
    <x v="0"/>
    <x v="8"/>
    <x v="7"/>
    <x v="11"/>
    <s v="NO1_A2"/>
    <x v="12"/>
    <n v="9.7995028997514597E-2"/>
    <n v="2.72208413881985E-2"/>
  </r>
  <r>
    <x v="0"/>
    <x v="8"/>
    <x v="7"/>
    <x v="11"/>
    <s v="NO1_A2"/>
    <x v="13"/>
    <n v="21.5197083678542"/>
    <n v="5.9776967688483804"/>
  </r>
  <r>
    <x v="0"/>
    <x v="8"/>
    <x v="7"/>
    <x v="11"/>
    <s v="NO1_A2"/>
    <x v="14"/>
    <n v="21.5197083678542"/>
    <n v="5.9776967688483804"/>
  </r>
  <r>
    <x v="0"/>
    <x v="8"/>
    <x v="7"/>
    <x v="11"/>
    <s v="NO1_A2"/>
    <x v="15"/>
    <n v="1.65807589063794"/>
    <n v="0.46057663628831802"/>
  </r>
  <r>
    <x v="0"/>
    <x v="8"/>
    <x v="7"/>
    <x v="11"/>
    <s v="NO1_A2"/>
    <x v="16"/>
    <n v="4.9884429139200002"/>
    <n v="1.3856785871999999"/>
  </r>
  <r>
    <x v="0"/>
    <x v="8"/>
    <x v="7"/>
    <x v="11"/>
    <s v="NO1_A2"/>
    <x v="17"/>
    <n v="9.1244895875632395"/>
    <n v="2.5345804409897901"/>
  </r>
  <r>
    <x v="0"/>
    <x v="8"/>
    <x v="7"/>
    <x v="11"/>
    <s v="NO1_A2"/>
    <x v="18"/>
    <n v="21.5197083678542"/>
    <n v="5.9776967688483804"/>
  </r>
  <r>
    <x v="0"/>
    <x v="8"/>
    <x v="7"/>
    <x v="11"/>
    <s v="NO1_A2"/>
    <x v="19"/>
    <n v="8.1139884009941898"/>
    <n v="2.2538856669428302"/>
  </r>
  <r>
    <x v="0"/>
    <x v="8"/>
    <x v="7"/>
    <x v="11"/>
    <s v="NO1_A2"/>
    <x v="20"/>
    <n v="19.336735244541"/>
    <n v="5.37131534570584"/>
  </r>
  <r>
    <x v="0"/>
    <x v="8"/>
    <x v="7"/>
    <x v="11"/>
    <s v="NO1_A2"/>
    <x v="21"/>
    <n v="48.384"/>
    <n v="13.44"/>
  </r>
  <r>
    <x v="0"/>
    <x v="8"/>
    <x v="7"/>
    <x v="11"/>
    <s v="NO1_A2"/>
    <x v="22"/>
    <n v="79.847999999999999"/>
    <n v="22.18"/>
  </r>
  <r>
    <x v="0"/>
    <x v="8"/>
    <x v="7"/>
    <x v="11"/>
    <s v="NO1_A2"/>
    <x v="23"/>
    <n v="0.31515896120488701"/>
    <n v="8.7544155890246306E-2"/>
  </r>
  <r>
    <x v="0"/>
    <x v="8"/>
    <x v="7"/>
    <x v="11"/>
    <s v="NO1_A2"/>
    <x v="24"/>
    <n v="19.174223581093901"/>
    <n v="5.32617321697054"/>
  </r>
  <r>
    <x v="0"/>
    <x v="8"/>
    <x v="7"/>
    <x v="11"/>
    <s v="NO1_A2"/>
    <x v="25"/>
    <n v="22.356874337357301"/>
    <n v="6.2102428714881297"/>
  </r>
  <r>
    <x v="0"/>
    <x v="8"/>
    <x v="7"/>
    <x v="11"/>
    <s v="NO1_A2"/>
    <x v="26"/>
    <n v="29.6651032387655"/>
    <n v="8.2403064552126306"/>
  </r>
  <r>
    <x v="0"/>
    <x v="8"/>
    <x v="7"/>
    <x v="11"/>
    <s v="NO1_A2"/>
    <x v="27"/>
    <n v="20.163995508318798"/>
    <n v="5.6011098634218799"/>
  </r>
  <r>
    <x v="0"/>
    <x v="8"/>
    <x v="7"/>
    <x v="11"/>
    <s v="NO1_A3"/>
    <x v="1"/>
    <n v="35.989199999999997"/>
    <n v="9.9969999999999999"/>
  </r>
  <r>
    <x v="0"/>
    <x v="8"/>
    <x v="7"/>
    <x v="11"/>
    <s v="NO1_A3"/>
    <x v="2"/>
    <n v="48.384"/>
    <n v="13.44"/>
  </r>
  <r>
    <x v="0"/>
    <x v="8"/>
    <x v="7"/>
    <x v="11"/>
    <s v="NO1_A3"/>
    <x v="0"/>
    <n v="42.692399999999999"/>
    <n v="11.859"/>
  </r>
  <r>
    <x v="0"/>
    <x v="8"/>
    <x v="7"/>
    <x v="11"/>
    <s v="NO1_A3"/>
    <x v="3"/>
    <n v="51.633543144067197"/>
    <n v="14.342650873352"/>
  </r>
  <r>
    <x v="0"/>
    <x v="8"/>
    <x v="7"/>
    <x v="11"/>
    <s v="NO1_A3"/>
    <x v="4"/>
    <n v="8.1139884009941898"/>
    <n v="2.2538856669428302"/>
  </r>
  <r>
    <x v="0"/>
    <x v="8"/>
    <x v="7"/>
    <x v="11"/>
    <s v="NO1_A3"/>
    <x v="5"/>
    <n v="8.1139884009941898"/>
    <n v="2.2538856669428302"/>
  </r>
  <r>
    <x v="0"/>
    <x v="8"/>
    <x v="7"/>
    <x v="11"/>
    <s v="NO1_A3"/>
    <x v="6"/>
    <n v="29.476231795214598"/>
    <n v="8.1878421653373898"/>
  </r>
  <r>
    <x v="0"/>
    <x v="8"/>
    <x v="7"/>
    <x v="11"/>
    <s v="NO1_A3"/>
    <x v="7"/>
    <n v="57.838935220261199"/>
    <n v="16.066370894517"/>
  </r>
  <r>
    <x v="0"/>
    <x v="8"/>
    <x v="7"/>
    <x v="11"/>
    <s v="NO1_A3"/>
    <x v="8"/>
    <n v="57.838935220261199"/>
    <n v="16.066370894517"/>
  </r>
  <r>
    <x v="0"/>
    <x v="8"/>
    <x v="7"/>
    <x v="11"/>
    <s v="NO1_A3"/>
    <x v="9"/>
    <n v="44.803327257663497"/>
    <n v="12.4453686826843"/>
  </r>
  <r>
    <x v="0"/>
    <x v="8"/>
    <x v="7"/>
    <x v="11"/>
    <s v="NO1_A3"/>
    <x v="10"/>
    <n v="54.681226180612903"/>
    <n v="15.1892294946147"/>
  </r>
  <r>
    <x v="0"/>
    <x v="8"/>
    <x v="7"/>
    <x v="11"/>
    <s v="NO1_A3"/>
    <x v="11"/>
    <n v="3.8806031483015802"/>
    <n v="1.07794531897266"/>
  </r>
  <r>
    <x v="0"/>
    <x v="8"/>
    <x v="7"/>
    <x v="11"/>
    <s v="NO1_A3"/>
    <x v="12"/>
    <n v="9.7995028997514597E-2"/>
    <n v="2.72208413881985E-2"/>
  </r>
  <r>
    <x v="0"/>
    <x v="8"/>
    <x v="7"/>
    <x v="11"/>
    <s v="NO1_A3"/>
    <x v="13"/>
    <n v="21.5197083678542"/>
    <n v="5.9776967688483804"/>
  </r>
  <r>
    <x v="0"/>
    <x v="8"/>
    <x v="7"/>
    <x v="11"/>
    <s v="NO1_A3"/>
    <x v="14"/>
    <n v="21.5197083678542"/>
    <n v="5.9776967688483804"/>
  </r>
  <r>
    <x v="0"/>
    <x v="8"/>
    <x v="7"/>
    <x v="11"/>
    <s v="NO1_A3"/>
    <x v="15"/>
    <n v="1.65807589063794"/>
    <n v="0.46057663628831802"/>
  </r>
  <r>
    <x v="0"/>
    <x v="8"/>
    <x v="7"/>
    <x v="11"/>
    <s v="NO1_A3"/>
    <x v="16"/>
    <n v="4.9884429139200002"/>
    <n v="1.3856785871999999"/>
  </r>
  <r>
    <x v="0"/>
    <x v="8"/>
    <x v="7"/>
    <x v="11"/>
    <s v="NO1_A3"/>
    <x v="17"/>
    <n v="9.1244895875632395"/>
    <n v="2.5345804409897901"/>
  </r>
  <r>
    <x v="0"/>
    <x v="8"/>
    <x v="7"/>
    <x v="11"/>
    <s v="NO1_A3"/>
    <x v="18"/>
    <n v="21.5197083678542"/>
    <n v="5.9776967688483804"/>
  </r>
  <r>
    <x v="0"/>
    <x v="8"/>
    <x v="7"/>
    <x v="11"/>
    <s v="NO1_A3"/>
    <x v="19"/>
    <n v="8.1139884009941898"/>
    <n v="2.2538856669428302"/>
  </r>
  <r>
    <x v="0"/>
    <x v="8"/>
    <x v="7"/>
    <x v="11"/>
    <s v="NO1_A3"/>
    <x v="20"/>
    <n v="19.336735244541"/>
    <n v="5.37131534570584"/>
  </r>
  <r>
    <x v="0"/>
    <x v="8"/>
    <x v="7"/>
    <x v="11"/>
    <s v="NO1_A3"/>
    <x v="21"/>
    <n v="48.384"/>
    <n v="13.44"/>
  </r>
  <r>
    <x v="0"/>
    <x v="8"/>
    <x v="7"/>
    <x v="11"/>
    <s v="NO1_A3"/>
    <x v="22"/>
    <n v="79.847999999999999"/>
    <n v="22.18"/>
  </r>
  <r>
    <x v="0"/>
    <x v="8"/>
    <x v="7"/>
    <x v="11"/>
    <s v="NO1_A3"/>
    <x v="23"/>
    <n v="0.31515896120488701"/>
    <n v="8.7544155890246306E-2"/>
  </r>
  <r>
    <x v="0"/>
    <x v="8"/>
    <x v="7"/>
    <x v="11"/>
    <s v="NO1_A3"/>
    <x v="24"/>
    <n v="19.174223581093901"/>
    <n v="5.32617321697054"/>
  </r>
  <r>
    <x v="0"/>
    <x v="8"/>
    <x v="7"/>
    <x v="11"/>
    <s v="NO1_A3"/>
    <x v="25"/>
    <n v="22.356874337357301"/>
    <n v="6.2102428714881297"/>
  </r>
  <r>
    <x v="0"/>
    <x v="8"/>
    <x v="7"/>
    <x v="11"/>
    <s v="NO1_A3"/>
    <x v="26"/>
    <n v="29.6651032387655"/>
    <n v="8.2403064552126306"/>
  </r>
  <r>
    <x v="0"/>
    <x v="8"/>
    <x v="7"/>
    <x v="11"/>
    <s v="NO1_A3"/>
    <x v="27"/>
    <n v="20.163995508318798"/>
    <n v="5.6011098634218799"/>
  </r>
  <r>
    <x v="0"/>
    <x v="8"/>
    <x v="7"/>
    <x v="11"/>
    <s v="NO1_Offshore"/>
    <x v="1"/>
    <n v="35.989199999999997"/>
    <n v="9.9969999999999999"/>
  </r>
  <r>
    <x v="0"/>
    <x v="8"/>
    <x v="7"/>
    <x v="11"/>
    <s v="NO1_Offshore"/>
    <x v="2"/>
    <n v="48.384"/>
    <n v="13.44"/>
  </r>
  <r>
    <x v="0"/>
    <x v="8"/>
    <x v="7"/>
    <x v="11"/>
    <s v="NO1_Offshore"/>
    <x v="0"/>
    <n v="42.692399999999999"/>
    <n v="11.859"/>
  </r>
  <r>
    <x v="0"/>
    <x v="8"/>
    <x v="7"/>
    <x v="11"/>
    <s v="NO1_Offshore"/>
    <x v="3"/>
    <n v="51.633543144067197"/>
    <n v="14.342650873352"/>
  </r>
  <r>
    <x v="0"/>
    <x v="8"/>
    <x v="7"/>
    <x v="11"/>
    <s v="NO1_Offshore"/>
    <x v="4"/>
    <n v="8.1139884009941898"/>
    <n v="2.2538856669428302"/>
  </r>
  <r>
    <x v="0"/>
    <x v="8"/>
    <x v="7"/>
    <x v="11"/>
    <s v="NO1_Offshore"/>
    <x v="5"/>
    <n v="8.1139884009941898"/>
    <n v="2.2538856669428302"/>
  </r>
  <r>
    <x v="0"/>
    <x v="8"/>
    <x v="7"/>
    <x v="11"/>
    <s v="NO1_Offshore"/>
    <x v="6"/>
    <n v="29.476231795214598"/>
    <n v="8.1878421653373898"/>
  </r>
  <r>
    <x v="0"/>
    <x v="8"/>
    <x v="7"/>
    <x v="11"/>
    <s v="NO1_Offshore"/>
    <x v="7"/>
    <n v="57.838935220261199"/>
    <n v="16.066370894517"/>
  </r>
  <r>
    <x v="0"/>
    <x v="8"/>
    <x v="7"/>
    <x v="11"/>
    <s v="NO1_Offshore"/>
    <x v="8"/>
    <n v="57.838935220261199"/>
    <n v="16.066370894517"/>
  </r>
  <r>
    <x v="0"/>
    <x v="8"/>
    <x v="7"/>
    <x v="11"/>
    <s v="NO1_Offshore"/>
    <x v="9"/>
    <n v="44.803327257663497"/>
    <n v="12.4453686826843"/>
  </r>
  <r>
    <x v="0"/>
    <x v="8"/>
    <x v="7"/>
    <x v="11"/>
    <s v="NO1_Offshore"/>
    <x v="10"/>
    <n v="54.681226180612903"/>
    <n v="15.1892294946147"/>
  </r>
  <r>
    <x v="0"/>
    <x v="8"/>
    <x v="7"/>
    <x v="11"/>
    <s v="NO1_Offshore"/>
    <x v="11"/>
    <n v="3.8806031483015802"/>
    <n v="1.07794531897266"/>
  </r>
  <r>
    <x v="0"/>
    <x v="8"/>
    <x v="7"/>
    <x v="11"/>
    <s v="NO1_Offshore"/>
    <x v="12"/>
    <n v="9.7995028997514597E-2"/>
    <n v="2.72208413881985E-2"/>
  </r>
  <r>
    <x v="0"/>
    <x v="8"/>
    <x v="7"/>
    <x v="11"/>
    <s v="NO1_Offshore"/>
    <x v="13"/>
    <n v="21.5197083678542"/>
    <n v="5.9776967688483804"/>
  </r>
  <r>
    <x v="0"/>
    <x v="8"/>
    <x v="7"/>
    <x v="11"/>
    <s v="NO1_Offshore"/>
    <x v="14"/>
    <n v="21.5197083678542"/>
    <n v="5.9776967688483804"/>
  </r>
  <r>
    <x v="0"/>
    <x v="8"/>
    <x v="7"/>
    <x v="11"/>
    <s v="NO1_Offshore"/>
    <x v="15"/>
    <n v="1.65807589063794"/>
    <n v="0.46057663628831802"/>
  </r>
  <r>
    <x v="0"/>
    <x v="8"/>
    <x v="7"/>
    <x v="11"/>
    <s v="NO1_Offshore"/>
    <x v="16"/>
    <n v="4.9884429139200002"/>
    <n v="1.3856785871999999"/>
  </r>
  <r>
    <x v="0"/>
    <x v="8"/>
    <x v="7"/>
    <x v="11"/>
    <s v="NO1_Offshore"/>
    <x v="17"/>
    <n v="9.1244895875632395"/>
    <n v="2.5345804409897901"/>
  </r>
  <r>
    <x v="0"/>
    <x v="8"/>
    <x v="7"/>
    <x v="11"/>
    <s v="NO1_Offshore"/>
    <x v="18"/>
    <n v="21.5197083678542"/>
    <n v="5.9776967688483804"/>
  </r>
  <r>
    <x v="0"/>
    <x v="8"/>
    <x v="7"/>
    <x v="11"/>
    <s v="NO1_Offshore"/>
    <x v="19"/>
    <n v="8.1139884009941898"/>
    <n v="2.2538856669428302"/>
  </r>
  <r>
    <x v="0"/>
    <x v="8"/>
    <x v="7"/>
    <x v="11"/>
    <s v="NO1_Offshore"/>
    <x v="20"/>
    <n v="19.336735244541"/>
    <n v="5.37131534570584"/>
  </r>
  <r>
    <x v="0"/>
    <x v="8"/>
    <x v="7"/>
    <x v="11"/>
    <s v="NO1_Offshore"/>
    <x v="21"/>
    <n v="48.384"/>
    <n v="13.44"/>
  </r>
  <r>
    <x v="0"/>
    <x v="8"/>
    <x v="7"/>
    <x v="11"/>
    <s v="NO1_Offshore"/>
    <x v="22"/>
    <n v="79.847999999999999"/>
    <n v="22.18"/>
  </r>
  <r>
    <x v="0"/>
    <x v="8"/>
    <x v="7"/>
    <x v="11"/>
    <s v="NO1_Offshore"/>
    <x v="23"/>
    <n v="0.31515896120488701"/>
    <n v="8.7544155890246306E-2"/>
  </r>
  <r>
    <x v="0"/>
    <x v="8"/>
    <x v="7"/>
    <x v="11"/>
    <s v="NO1_Offshore"/>
    <x v="24"/>
    <n v="19.174223581093901"/>
    <n v="5.32617321697054"/>
  </r>
  <r>
    <x v="0"/>
    <x v="8"/>
    <x v="7"/>
    <x v="11"/>
    <s v="NO1_Offshore"/>
    <x v="25"/>
    <n v="22.356874337357301"/>
    <n v="6.2102428714881297"/>
  </r>
  <r>
    <x v="0"/>
    <x v="8"/>
    <x v="7"/>
    <x v="11"/>
    <s v="NO1_Offshore"/>
    <x v="26"/>
    <n v="29.6651032387655"/>
    <n v="8.2403064552126306"/>
  </r>
  <r>
    <x v="0"/>
    <x v="8"/>
    <x v="7"/>
    <x v="11"/>
    <s v="NO1_Offshore"/>
    <x v="27"/>
    <n v="20.163995508318798"/>
    <n v="5.6011098634218799"/>
  </r>
  <r>
    <x v="0"/>
    <x v="8"/>
    <x v="7"/>
    <x v="12"/>
    <s v="NO2_A1"/>
    <x v="1"/>
    <n v="35.989199999999997"/>
    <n v="9.9969999999999999"/>
  </r>
  <r>
    <x v="0"/>
    <x v="8"/>
    <x v="7"/>
    <x v="12"/>
    <s v="NO2_A1"/>
    <x v="2"/>
    <n v="48.384"/>
    <n v="13.44"/>
  </r>
  <r>
    <x v="0"/>
    <x v="8"/>
    <x v="7"/>
    <x v="12"/>
    <s v="NO2_A1"/>
    <x v="0"/>
    <n v="42.692399999999999"/>
    <n v="11.859"/>
  </r>
  <r>
    <x v="0"/>
    <x v="8"/>
    <x v="7"/>
    <x v="12"/>
    <s v="NO2_A1"/>
    <x v="3"/>
    <n v="51.633543144067197"/>
    <n v="14.342650873352"/>
  </r>
  <r>
    <x v="0"/>
    <x v="8"/>
    <x v="7"/>
    <x v="12"/>
    <s v="NO2_A1"/>
    <x v="4"/>
    <n v="8.1139884009941898"/>
    <n v="2.2538856669428302"/>
  </r>
  <r>
    <x v="0"/>
    <x v="8"/>
    <x v="7"/>
    <x v="12"/>
    <s v="NO2_A1"/>
    <x v="5"/>
    <n v="8.1139884009941898"/>
    <n v="2.2538856669428302"/>
  </r>
  <r>
    <x v="0"/>
    <x v="8"/>
    <x v="7"/>
    <x v="12"/>
    <s v="NO2_A1"/>
    <x v="6"/>
    <n v="29.476231795214598"/>
    <n v="8.1878421653373898"/>
  </r>
  <r>
    <x v="0"/>
    <x v="8"/>
    <x v="7"/>
    <x v="12"/>
    <s v="NO2_A1"/>
    <x v="7"/>
    <n v="57.838935220261199"/>
    <n v="16.066370894517"/>
  </r>
  <r>
    <x v="0"/>
    <x v="8"/>
    <x v="7"/>
    <x v="12"/>
    <s v="NO2_A1"/>
    <x v="8"/>
    <n v="57.838935220261199"/>
    <n v="16.066370894517"/>
  </r>
  <r>
    <x v="0"/>
    <x v="8"/>
    <x v="7"/>
    <x v="12"/>
    <s v="NO2_A1"/>
    <x v="9"/>
    <n v="44.803327257663497"/>
    <n v="12.4453686826843"/>
  </r>
  <r>
    <x v="0"/>
    <x v="8"/>
    <x v="7"/>
    <x v="12"/>
    <s v="NO2_A1"/>
    <x v="10"/>
    <n v="54.681226180612903"/>
    <n v="15.1892294946147"/>
  </r>
  <r>
    <x v="0"/>
    <x v="8"/>
    <x v="7"/>
    <x v="12"/>
    <s v="NO2_A1"/>
    <x v="11"/>
    <n v="3.8806031483015802"/>
    <n v="1.07794531897266"/>
  </r>
  <r>
    <x v="0"/>
    <x v="8"/>
    <x v="7"/>
    <x v="12"/>
    <s v="NO2_A1"/>
    <x v="12"/>
    <n v="9.7995028997514597E-2"/>
    <n v="2.72208413881985E-2"/>
  </r>
  <r>
    <x v="0"/>
    <x v="8"/>
    <x v="7"/>
    <x v="12"/>
    <s v="NO2_A1"/>
    <x v="13"/>
    <n v="21.5197083678542"/>
    <n v="5.9776967688483804"/>
  </r>
  <r>
    <x v="0"/>
    <x v="8"/>
    <x v="7"/>
    <x v="12"/>
    <s v="NO2_A1"/>
    <x v="14"/>
    <n v="21.5197083678542"/>
    <n v="5.9776967688483804"/>
  </r>
  <r>
    <x v="0"/>
    <x v="8"/>
    <x v="7"/>
    <x v="12"/>
    <s v="NO2_A1"/>
    <x v="15"/>
    <n v="1.65807589063794"/>
    <n v="0.46057663628831802"/>
  </r>
  <r>
    <x v="0"/>
    <x v="8"/>
    <x v="7"/>
    <x v="12"/>
    <s v="NO2_A1"/>
    <x v="16"/>
    <n v="4.9884429139200002"/>
    <n v="1.3856785871999999"/>
  </r>
  <r>
    <x v="0"/>
    <x v="8"/>
    <x v="7"/>
    <x v="12"/>
    <s v="NO2_A1"/>
    <x v="17"/>
    <n v="9.1244895875632395"/>
    <n v="2.5345804409897901"/>
  </r>
  <r>
    <x v="0"/>
    <x v="8"/>
    <x v="7"/>
    <x v="12"/>
    <s v="NO2_A1"/>
    <x v="18"/>
    <n v="21.5197083678542"/>
    <n v="5.9776967688483804"/>
  </r>
  <r>
    <x v="0"/>
    <x v="8"/>
    <x v="7"/>
    <x v="12"/>
    <s v="NO2_A1"/>
    <x v="19"/>
    <n v="8.1139884009941898"/>
    <n v="2.2538856669428302"/>
  </r>
  <r>
    <x v="0"/>
    <x v="8"/>
    <x v="7"/>
    <x v="12"/>
    <s v="NO2_A1"/>
    <x v="20"/>
    <n v="19.336735244541"/>
    <n v="5.37131534570584"/>
  </r>
  <r>
    <x v="0"/>
    <x v="8"/>
    <x v="7"/>
    <x v="12"/>
    <s v="NO2_A1"/>
    <x v="21"/>
    <n v="48.384"/>
    <n v="13.44"/>
  </r>
  <r>
    <x v="0"/>
    <x v="8"/>
    <x v="7"/>
    <x v="12"/>
    <s v="NO2_A1"/>
    <x v="22"/>
    <n v="79.847999999999999"/>
    <n v="22.18"/>
  </r>
  <r>
    <x v="0"/>
    <x v="8"/>
    <x v="7"/>
    <x v="12"/>
    <s v="NO2_A1"/>
    <x v="23"/>
    <n v="0.31515896120488701"/>
    <n v="8.7544155890246306E-2"/>
  </r>
  <r>
    <x v="0"/>
    <x v="8"/>
    <x v="7"/>
    <x v="12"/>
    <s v="NO2_A1"/>
    <x v="24"/>
    <n v="19.174223581093901"/>
    <n v="5.32617321697054"/>
  </r>
  <r>
    <x v="0"/>
    <x v="8"/>
    <x v="7"/>
    <x v="12"/>
    <s v="NO2_A1"/>
    <x v="25"/>
    <n v="22.356874337357301"/>
    <n v="6.2102428714881297"/>
  </r>
  <r>
    <x v="0"/>
    <x v="8"/>
    <x v="7"/>
    <x v="12"/>
    <s v="NO2_A1"/>
    <x v="26"/>
    <n v="29.6651032387655"/>
    <n v="8.2403064552126306"/>
  </r>
  <r>
    <x v="0"/>
    <x v="8"/>
    <x v="7"/>
    <x v="12"/>
    <s v="NO2_A1"/>
    <x v="27"/>
    <n v="20.163995508318798"/>
    <n v="5.6011098634218799"/>
  </r>
  <r>
    <x v="0"/>
    <x v="8"/>
    <x v="7"/>
    <x v="12"/>
    <s v="NO2_A2"/>
    <x v="1"/>
    <n v="35.989199999999997"/>
    <n v="9.9969999999999999"/>
  </r>
  <r>
    <x v="0"/>
    <x v="8"/>
    <x v="7"/>
    <x v="12"/>
    <s v="NO2_A2"/>
    <x v="2"/>
    <n v="48.384"/>
    <n v="13.44"/>
  </r>
  <r>
    <x v="0"/>
    <x v="8"/>
    <x v="7"/>
    <x v="12"/>
    <s v="NO2_A2"/>
    <x v="0"/>
    <n v="42.692399999999999"/>
    <n v="11.859"/>
  </r>
  <r>
    <x v="0"/>
    <x v="8"/>
    <x v="7"/>
    <x v="12"/>
    <s v="NO2_A2"/>
    <x v="3"/>
    <n v="51.633543144067197"/>
    <n v="14.342650873352"/>
  </r>
  <r>
    <x v="0"/>
    <x v="8"/>
    <x v="7"/>
    <x v="12"/>
    <s v="NO2_A2"/>
    <x v="4"/>
    <n v="8.1139884009941898"/>
    <n v="2.2538856669428302"/>
  </r>
  <r>
    <x v="0"/>
    <x v="8"/>
    <x v="7"/>
    <x v="12"/>
    <s v="NO2_A2"/>
    <x v="5"/>
    <n v="8.1139884009941898"/>
    <n v="2.2538856669428302"/>
  </r>
  <r>
    <x v="0"/>
    <x v="8"/>
    <x v="7"/>
    <x v="12"/>
    <s v="NO2_A2"/>
    <x v="6"/>
    <n v="29.476231795214598"/>
    <n v="8.1878421653373898"/>
  </r>
  <r>
    <x v="0"/>
    <x v="8"/>
    <x v="7"/>
    <x v="12"/>
    <s v="NO2_A2"/>
    <x v="7"/>
    <n v="57.838935220261199"/>
    <n v="16.066370894517"/>
  </r>
  <r>
    <x v="0"/>
    <x v="8"/>
    <x v="7"/>
    <x v="12"/>
    <s v="NO2_A2"/>
    <x v="8"/>
    <n v="57.838935220261199"/>
    <n v="16.066370894517"/>
  </r>
  <r>
    <x v="0"/>
    <x v="8"/>
    <x v="7"/>
    <x v="12"/>
    <s v="NO2_A2"/>
    <x v="9"/>
    <n v="44.803327257663497"/>
    <n v="12.4453686826843"/>
  </r>
  <r>
    <x v="0"/>
    <x v="8"/>
    <x v="7"/>
    <x v="12"/>
    <s v="NO2_A2"/>
    <x v="10"/>
    <n v="54.681226180612903"/>
    <n v="15.1892294946147"/>
  </r>
  <r>
    <x v="0"/>
    <x v="8"/>
    <x v="7"/>
    <x v="12"/>
    <s v="NO2_A2"/>
    <x v="11"/>
    <n v="3.8806031483015802"/>
    <n v="1.07794531897266"/>
  </r>
  <r>
    <x v="0"/>
    <x v="8"/>
    <x v="7"/>
    <x v="12"/>
    <s v="NO2_A2"/>
    <x v="12"/>
    <n v="9.7995028997514597E-2"/>
    <n v="2.72208413881985E-2"/>
  </r>
  <r>
    <x v="0"/>
    <x v="8"/>
    <x v="7"/>
    <x v="12"/>
    <s v="NO2_A2"/>
    <x v="13"/>
    <n v="21.5197083678542"/>
    <n v="5.9776967688483804"/>
  </r>
  <r>
    <x v="0"/>
    <x v="8"/>
    <x v="7"/>
    <x v="12"/>
    <s v="NO2_A2"/>
    <x v="14"/>
    <n v="21.5197083678542"/>
    <n v="5.9776967688483804"/>
  </r>
  <r>
    <x v="0"/>
    <x v="8"/>
    <x v="7"/>
    <x v="12"/>
    <s v="NO2_A2"/>
    <x v="15"/>
    <n v="1.65807589063794"/>
    <n v="0.46057663628831802"/>
  </r>
  <r>
    <x v="0"/>
    <x v="8"/>
    <x v="7"/>
    <x v="12"/>
    <s v="NO2_A2"/>
    <x v="16"/>
    <n v="4.9884429139200002"/>
    <n v="1.3856785871999999"/>
  </r>
  <r>
    <x v="0"/>
    <x v="8"/>
    <x v="7"/>
    <x v="12"/>
    <s v="NO2_A2"/>
    <x v="17"/>
    <n v="9.1244895875632395"/>
    <n v="2.5345804409897901"/>
  </r>
  <r>
    <x v="0"/>
    <x v="8"/>
    <x v="7"/>
    <x v="12"/>
    <s v="NO2_A2"/>
    <x v="18"/>
    <n v="21.5197083678542"/>
    <n v="5.9776967688483804"/>
  </r>
  <r>
    <x v="0"/>
    <x v="8"/>
    <x v="7"/>
    <x v="12"/>
    <s v="NO2_A2"/>
    <x v="19"/>
    <n v="8.1139884009941898"/>
    <n v="2.2538856669428302"/>
  </r>
  <r>
    <x v="0"/>
    <x v="8"/>
    <x v="7"/>
    <x v="12"/>
    <s v="NO2_A2"/>
    <x v="20"/>
    <n v="19.336735244541"/>
    <n v="5.37131534570584"/>
  </r>
  <r>
    <x v="0"/>
    <x v="8"/>
    <x v="7"/>
    <x v="12"/>
    <s v="NO2_A2"/>
    <x v="21"/>
    <n v="48.384"/>
    <n v="13.44"/>
  </r>
  <r>
    <x v="0"/>
    <x v="8"/>
    <x v="7"/>
    <x v="12"/>
    <s v="NO2_A2"/>
    <x v="22"/>
    <n v="79.847999999999999"/>
    <n v="22.18"/>
  </r>
  <r>
    <x v="0"/>
    <x v="8"/>
    <x v="7"/>
    <x v="12"/>
    <s v="NO2_A2"/>
    <x v="23"/>
    <n v="0.31515896120488701"/>
    <n v="8.7544155890246306E-2"/>
  </r>
  <r>
    <x v="0"/>
    <x v="8"/>
    <x v="7"/>
    <x v="12"/>
    <s v="NO2_A2"/>
    <x v="24"/>
    <n v="19.174223581093901"/>
    <n v="5.32617321697054"/>
  </r>
  <r>
    <x v="0"/>
    <x v="8"/>
    <x v="7"/>
    <x v="12"/>
    <s v="NO2_A2"/>
    <x v="25"/>
    <n v="22.356874337357301"/>
    <n v="6.2102428714881297"/>
  </r>
  <r>
    <x v="0"/>
    <x v="8"/>
    <x v="7"/>
    <x v="12"/>
    <s v="NO2_A2"/>
    <x v="26"/>
    <n v="29.6651032387655"/>
    <n v="8.2403064552126306"/>
  </r>
  <r>
    <x v="0"/>
    <x v="8"/>
    <x v="7"/>
    <x v="12"/>
    <s v="NO2_A2"/>
    <x v="27"/>
    <n v="20.163995508318798"/>
    <n v="5.6011098634218799"/>
  </r>
  <r>
    <x v="0"/>
    <x v="8"/>
    <x v="7"/>
    <x v="12"/>
    <s v="NO2_Offshore"/>
    <x v="1"/>
    <n v="35.989199999999997"/>
    <n v="9.9969999999999999"/>
  </r>
  <r>
    <x v="0"/>
    <x v="8"/>
    <x v="7"/>
    <x v="12"/>
    <s v="NO2_Offshore"/>
    <x v="2"/>
    <n v="48.384"/>
    <n v="13.44"/>
  </r>
  <r>
    <x v="0"/>
    <x v="8"/>
    <x v="7"/>
    <x v="12"/>
    <s v="NO2_Offshore"/>
    <x v="0"/>
    <n v="42.692399999999999"/>
    <n v="11.859"/>
  </r>
  <r>
    <x v="0"/>
    <x v="8"/>
    <x v="7"/>
    <x v="12"/>
    <s v="NO2_Offshore"/>
    <x v="3"/>
    <n v="51.633543144067197"/>
    <n v="14.342650873352"/>
  </r>
  <r>
    <x v="0"/>
    <x v="8"/>
    <x v="7"/>
    <x v="12"/>
    <s v="NO2_Offshore"/>
    <x v="4"/>
    <n v="8.1139884009941898"/>
    <n v="2.2538856669428302"/>
  </r>
  <r>
    <x v="0"/>
    <x v="8"/>
    <x v="7"/>
    <x v="12"/>
    <s v="NO2_Offshore"/>
    <x v="5"/>
    <n v="8.1139884009941898"/>
    <n v="2.2538856669428302"/>
  </r>
  <r>
    <x v="0"/>
    <x v="8"/>
    <x v="7"/>
    <x v="12"/>
    <s v="NO2_Offshore"/>
    <x v="6"/>
    <n v="29.476231795214598"/>
    <n v="8.1878421653373898"/>
  </r>
  <r>
    <x v="0"/>
    <x v="8"/>
    <x v="7"/>
    <x v="12"/>
    <s v="NO2_Offshore"/>
    <x v="7"/>
    <n v="57.838935220261199"/>
    <n v="16.066370894517"/>
  </r>
  <r>
    <x v="0"/>
    <x v="8"/>
    <x v="7"/>
    <x v="12"/>
    <s v="NO2_Offshore"/>
    <x v="8"/>
    <n v="57.838935220261199"/>
    <n v="16.066370894517"/>
  </r>
  <r>
    <x v="0"/>
    <x v="8"/>
    <x v="7"/>
    <x v="12"/>
    <s v="NO2_Offshore"/>
    <x v="9"/>
    <n v="44.803327257663497"/>
    <n v="12.4453686826843"/>
  </r>
  <r>
    <x v="0"/>
    <x v="8"/>
    <x v="7"/>
    <x v="12"/>
    <s v="NO2_Offshore"/>
    <x v="10"/>
    <n v="54.681226180612903"/>
    <n v="15.1892294946147"/>
  </r>
  <r>
    <x v="0"/>
    <x v="8"/>
    <x v="7"/>
    <x v="12"/>
    <s v="NO2_Offshore"/>
    <x v="11"/>
    <n v="3.8806031483015802"/>
    <n v="1.07794531897266"/>
  </r>
  <r>
    <x v="0"/>
    <x v="8"/>
    <x v="7"/>
    <x v="12"/>
    <s v="NO2_Offshore"/>
    <x v="12"/>
    <n v="9.7995028997514597E-2"/>
    <n v="2.72208413881985E-2"/>
  </r>
  <r>
    <x v="0"/>
    <x v="8"/>
    <x v="7"/>
    <x v="12"/>
    <s v="NO2_Offshore"/>
    <x v="13"/>
    <n v="21.5197083678542"/>
    <n v="5.9776967688483804"/>
  </r>
  <r>
    <x v="0"/>
    <x v="8"/>
    <x v="7"/>
    <x v="12"/>
    <s v="NO2_Offshore"/>
    <x v="14"/>
    <n v="21.5197083678542"/>
    <n v="5.9776967688483804"/>
  </r>
  <r>
    <x v="0"/>
    <x v="8"/>
    <x v="7"/>
    <x v="12"/>
    <s v="NO2_Offshore"/>
    <x v="15"/>
    <n v="1.65807589063794"/>
    <n v="0.46057663628831802"/>
  </r>
  <r>
    <x v="0"/>
    <x v="8"/>
    <x v="7"/>
    <x v="12"/>
    <s v="NO2_Offshore"/>
    <x v="16"/>
    <n v="4.9884429139200002"/>
    <n v="1.3856785871999999"/>
  </r>
  <r>
    <x v="0"/>
    <x v="8"/>
    <x v="7"/>
    <x v="12"/>
    <s v="NO2_Offshore"/>
    <x v="17"/>
    <n v="9.1244895875632395"/>
    <n v="2.5345804409897901"/>
  </r>
  <r>
    <x v="0"/>
    <x v="8"/>
    <x v="7"/>
    <x v="12"/>
    <s v="NO2_Offshore"/>
    <x v="18"/>
    <n v="21.5197083678542"/>
    <n v="5.9776967688483804"/>
  </r>
  <r>
    <x v="0"/>
    <x v="8"/>
    <x v="7"/>
    <x v="12"/>
    <s v="NO2_Offshore"/>
    <x v="19"/>
    <n v="8.1139884009941898"/>
    <n v="2.2538856669428302"/>
  </r>
  <r>
    <x v="0"/>
    <x v="8"/>
    <x v="7"/>
    <x v="12"/>
    <s v="NO2_Offshore"/>
    <x v="20"/>
    <n v="19.336735244541"/>
    <n v="5.37131534570584"/>
  </r>
  <r>
    <x v="0"/>
    <x v="8"/>
    <x v="7"/>
    <x v="12"/>
    <s v="NO2_Offshore"/>
    <x v="21"/>
    <n v="48.384"/>
    <n v="13.44"/>
  </r>
  <r>
    <x v="0"/>
    <x v="8"/>
    <x v="7"/>
    <x v="12"/>
    <s v="NO2_Offshore"/>
    <x v="22"/>
    <n v="79.847999999999999"/>
    <n v="22.18"/>
  </r>
  <r>
    <x v="0"/>
    <x v="8"/>
    <x v="7"/>
    <x v="12"/>
    <s v="NO2_Offshore"/>
    <x v="23"/>
    <n v="0.31515896120488701"/>
    <n v="8.7544155890246306E-2"/>
  </r>
  <r>
    <x v="0"/>
    <x v="8"/>
    <x v="7"/>
    <x v="12"/>
    <s v="NO2_Offshore"/>
    <x v="24"/>
    <n v="19.174223581093901"/>
    <n v="5.32617321697054"/>
  </r>
  <r>
    <x v="0"/>
    <x v="8"/>
    <x v="7"/>
    <x v="12"/>
    <s v="NO2_Offshore"/>
    <x v="25"/>
    <n v="22.356874337357301"/>
    <n v="6.2102428714881297"/>
  </r>
  <r>
    <x v="0"/>
    <x v="8"/>
    <x v="7"/>
    <x v="12"/>
    <s v="NO2_Offshore"/>
    <x v="26"/>
    <n v="29.6651032387655"/>
    <n v="8.2403064552126306"/>
  </r>
  <r>
    <x v="0"/>
    <x v="8"/>
    <x v="7"/>
    <x v="12"/>
    <s v="NO2_Offshore"/>
    <x v="27"/>
    <n v="20.163995508318798"/>
    <n v="5.6011098634218799"/>
  </r>
  <r>
    <x v="0"/>
    <x v="8"/>
    <x v="7"/>
    <x v="13"/>
    <s v="NO3_A1"/>
    <x v="1"/>
    <n v="35.989199999999997"/>
    <n v="9.9969999999999999"/>
  </r>
  <r>
    <x v="0"/>
    <x v="8"/>
    <x v="7"/>
    <x v="13"/>
    <s v="NO3_A1"/>
    <x v="2"/>
    <n v="48.384"/>
    <n v="13.44"/>
  </r>
  <r>
    <x v="0"/>
    <x v="8"/>
    <x v="7"/>
    <x v="13"/>
    <s v="NO3_A1"/>
    <x v="0"/>
    <n v="42.692399999999999"/>
    <n v="11.859"/>
  </r>
  <r>
    <x v="0"/>
    <x v="8"/>
    <x v="7"/>
    <x v="13"/>
    <s v="NO3_A1"/>
    <x v="3"/>
    <n v="51.633543144067197"/>
    <n v="14.342650873352"/>
  </r>
  <r>
    <x v="0"/>
    <x v="8"/>
    <x v="7"/>
    <x v="13"/>
    <s v="NO3_A1"/>
    <x v="4"/>
    <n v="8.1139884009941898"/>
    <n v="2.2538856669428302"/>
  </r>
  <r>
    <x v="0"/>
    <x v="8"/>
    <x v="7"/>
    <x v="13"/>
    <s v="NO3_A1"/>
    <x v="5"/>
    <n v="8.1139884009941898"/>
    <n v="2.2538856669428302"/>
  </r>
  <r>
    <x v="0"/>
    <x v="8"/>
    <x v="7"/>
    <x v="13"/>
    <s v="NO3_A1"/>
    <x v="6"/>
    <n v="29.476231795214598"/>
    <n v="8.1878421653373898"/>
  </r>
  <r>
    <x v="0"/>
    <x v="8"/>
    <x v="7"/>
    <x v="13"/>
    <s v="NO3_A1"/>
    <x v="7"/>
    <n v="57.838935220261199"/>
    <n v="16.066370894517"/>
  </r>
  <r>
    <x v="0"/>
    <x v="8"/>
    <x v="7"/>
    <x v="13"/>
    <s v="NO3_A1"/>
    <x v="8"/>
    <n v="57.838935220261199"/>
    <n v="16.066370894517"/>
  </r>
  <r>
    <x v="0"/>
    <x v="8"/>
    <x v="7"/>
    <x v="13"/>
    <s v="NO3_A1"/>
    <x v="9"/>
    <n v="44.803327257663497"/>
    <n v="12.4453686826843"/>
  </r>
  <r>
    <x v="0"/>
    <x v="8"/>
    <x v="7"/>
    <x v="13"/>
    <s v="NO3_A1"/>
    <x v="10"/>
    <n v="54.681226180612903"/>
    <n v="15.1892294946147"/>
  </r>
  <r>
    <x v="0"/>
    <x v="8"/>
    <x v="7"/>
    <x v="13"/>
    <s v="NO3_A1"/>
    <x v="11"/>
    <n v="3.8806031483015802"/>
    <n v="1.07794531897266"/>
  </r>
  <r>
    <x v="0"/>
    <x v="8"/>
    <x v="7"/>
    <x v="13"/>
    <s v="NO3_A1"/>
    <x v="12"/>
    <n v="9.7995028997514597E-2"/>
    <n v="2.72208413881985E-2"/>
  </r>
  <r>
    <x v="0"/>
    <x v="8"/>
    <x v="7"/>
    <x v="13"/>
    <s v="NO3_A1"/>
    <x v="13"/>
    <n v="21.5197083678542"/>
    <n v="5.9776967688483804"/>
  </r>
  <r>
    <x v="0"/>
    <x v="8"/>
    <x v="7"/>
    <x v="13"/>
    <s v="NO3_A1"/>
    <x v="14"/>
    <n v="21.5197083678542"/>
    <n v="5.9776967688483804"/>
  </r>
  <r>
    <x v="0"/>
    <x v="8"/>
    <x v="7"/>
    <x v="13"/>
    <s v="NO3_A1"/>
    <x v="15"/>
    <n v="1.65807589063794"/>
    <n v="0.46057663628831802"/>
  </r>
  <r>
    <x v="0"/>
    <x v="8"/>
    <x v="7"/>
    <x v="13"/>
    <s v="NO3_A1"/>
    <x v="16"/>
    <n v="4.9884429139200002"/>
    <n v="1.3856785871999999"/>
  </r>
  <r>
    <x v="0"/>
    <x v="8"/>
    <x v="7"/>
    <x v="13"/>
    <s v="NO3_A1"/>
    <x v="17"/>
    <n v="9.1244895875632395"/>
    <n v="2.5345804409897901"/>
  </r>
  <r>
    <x v="0"/>
    <x v="8"/>
    <x v="7"/>
    <x v="13"/>
    <s v="NO3_A1"/>
    <x v="18"/>
    <n v="21.5197083678542"/>
    <n v="5.9776967688483804"/>
  </r>
  <r>
    <x v="0"/>
    <x v="8"/>
    <x v="7"/>
    <x v="13"/>
    <s v="NO3_A1"/>
    <x v="19"/>
    <n v="8.1139884009941898"/>
    <n v="2.2538856669428302"/>
  </r>
  <r>
    <x v="0"/>
    <x v="8"/>
    <x v="7"/>
    <x v="13"/>
    <s v="NO3_A1"/>
    <x v="20"/>
    <n v="19.336735244541"/>
    <n v="5.37131534570584"/>
  </r>
  <r>
    <x v="0"/>
    <x v="8"/>
    <x v="7"/>
    <x v="13"/>
    <s v="NO3_A1"/>
    <x v="21"/>
    <n v="48.384"/>
    <n v="13.44"/>
  </r>
  <r>
    <x v="0"/>
    <x v="8"/>
    <x v="7"/>
    <x v="13"/>
    <s v="NO3_A1"/>
    <x v="22"/>
    <n v="79.847999999999999"/>
    <n v="22.18"/>
  </r>
  <r>
    <x v="0"/>
    <x v="8"/>
    <x v="7"/>
    <x v="13"/>
    <s v="NO3_A1"/>
    <x v="23"/>
    <n v="0.31515896120488701"/>
    <n v="8.7544155890246306E-2"/>
  </r>
  <r>
    <x v="0"/>
    <x v="8"/>
    <x v="7"/>
    <x v="13"/>
    <s v="NO3_A1"/>
    <x v="24"/>
    <n v="19.174223581093901"/>
    <n v="5.32617321697054"/>
  </r>
  <r>
    <x v="0"/>
    <x v="8"/>
    <x v="7"/>
    <x v="13"/>
    <s v="NO3_A1"/>
    <x v="25"/>
    <n v="22.356874337357301"/>
    <n v="6.2102428714881297"/>
  </r>
  <r>
    <x v="0"/>
    <x v="8"/>
    <x v="7"/>
    <x v="13"/>
    <s v="NO3_A1"/>
    <x v="26"/>
    <n v="29.6651032387655"/>
    <n v="8.2403064552126306"/>
  </r>
  <r>
    <x v="0"/>
    <x v="8"/>
    <x v="7"/>
    <x v="13"/>
    <s v="NO3_A1"/>
    <x v="27"/>
    <n v="20.163995508318798"/>
    <n v="5.6011098634218799"/>
  </r>
  <r>
    <x v="0"/>
    <x v="8"/>
    <x v="7"/>
    <x v="13"/>
    <s v="NO3_A2"/>
    <x v="1"/>
    <n v="35.989199999999997"/>
    <n v="9.9969999999999999"/>
  </r>
  <r>
    <x v="0"/>
    <x v="8"/>
    <x v="7"/>
    <x v="13"/>
    <s v="NO3_A2"/>
    <x v="2"/>
    <n v="48.384"/>
    <n v="13.44"/>
  </r>
  <r>
    <x v="0"/>
    <x v="8"/>
    <x v="7"/>
    <x v="13"/>
    <s v="NO3_A2"/>
    <x v="0"/>
    <n v="42.692399999999999"/>
    <n v="11.859"/>
  </r>
  <r>
    <x v="0"/>
    <x v="8"/>
    <x v="7"/>
    <x v="13"/>
    <s v="NO3_A2"/>
    <x v="3"/>
    <n v="51.633543144067197"/>
    <n v="14.342650873352"/>
  </r>
  <r>
    <x v="0"/>
    <x v="8"/>
    <x v="7"/>
    <x v="13"/>
    <s v="NO3_A2"/>
    <x v="4"/>
    <n v="8.1139884009941898"/>
    <n v="2.2538856669428302"/>
  </r>
  <r>
    <x v="0"/>
    <x v="8"/>
    <x v="7"/>
    <x v="13"/>
    <s v="NO3_A2"/>
    <x v="5"/>
    <n v="8.1139884009941898"/>
    <n v="2.2538856669428302"/>
  </r>
  <r>
    <x v="0"/>
    <x v="8"/>
    <x v="7"/>
    <x v="13"/>
    <s v="NO3_A2"/>
    <x v="6"/>
    <n v="29.476231795214598"/>
    <n v="8.1878421653373898"/>
  </r>
  <r>
    <x v="0"/>
    <x v="8"/>
    <x v="7"/>
    <x v="13"/>
    <s v="NO3_A2"/>
    <x v="7"/>
    <n v="57.838935220261199"/>
    <n v="16.066370894517"/>
  </r>
  <r>
    <x v="0"/>
    <x v="8"/>
    <x v="7"/>
    <x v="13"/>
    <s v="NO3_A2"/>
    <x v="8"/>
    <n v="57.838935220261199"/>
    <n v="16.066370894517"/>
  </r>
  <r>
    <x v="0"/>
    <x v="8"/>
    <x v="7"/>
    <x v="13"/>
    <s v="NO3_A2"/>
    <x v="9"/>
    <n v="44.803327257663497"/>
    <n v="12.4453686826843"/>
  </r>
  <r>
    <x v="0"/>
    <x v="8"/>
    <x v="7"/>
    <x v="13"/>
    <s v="NO3_A2"/>
    <x v="10"/>
    <n v="54.681226180612903"/>
    <n v="15.1892294946147"/>
  </r>
  <r>
    <x v="0"/>
    <x v="8"/>
    <x v="7"/>
    <x v="13"/>
    <s v="NO3_A2"/>
    <x v="11"/>
    <n v="3.8806031483015802"/>
    <n v="1.07794531897266"/>
  </r>
  <r>
    <x v="0"/>
    <x v="8"/>
    <x v="7"/>
    <x v="13"/>
    <s v="NO3_A2"/>
    <x v="12"/>
    <n v="9.7995028997514597E-2"/>
    <n v="2.72208413881985E-2"/>
  </r>
  <r>
    <x v="0"/>
    <x v="8"/>
    <x v="7"/>
    <x v="13"/>
    <s v="NO3_A2"/>
    <x v="13"/>
    <n v="21.5197083678542"/>
    <n v="5.9776967688483804"/>
  </r>
  <r>
    <x v="0"/>
    <x v="8"/>
    <x v="7"/>
    <x v="13"/>
    <s v="NO3_A2"/>
    <x v="14"/>
    <n v="21.5197083678542"/>
    <n v="5.9776967688483804"/>
  </r>
  <r>
    <x v="0"/>
    <x v="8"/>
    <x v="7"/>
    <x v="13"/>
    <s v="NO3_A2"/>
    <x v="15"/>
    <n v="1.65807589063794"/>
    <n v="0.46057663628831802"/>
  </r>
  <r>
    <x v="0"/>
    <x v="8"/>
    <x v="7"/>
    <x v="13"/>
    <s v="NO3_A2"/>
    <x v="16"/>
    <n v="4.9884429139200002"/>
    <n v="1.3856785871999999"/>
  </r>
  <r>
    <x v="0"/>
    <x v="8"/>
    <x v="7"/>
    <x v="13"/>
    <s v="NO3_A2"/>
    <x v="17"/>
    <n v="9.1244895875632395"/>
    <n v="2.5345804409897901"/>
  </r>
  <r>
    <x v="0"/>
    <x v="8"/>
    <x v="7"/>
    <x v="13"/>
    <s v="NO3_A2"/>
    <x v="18"/>
    <n v="21.5197083678542"/>
    <n v="5.9776967688483804"/>
  </r>
  <r>
    <x v="0"/>
    <x v="8"/>
    <x v="7"/>
    <x v="13"/>
    <s v="NO3_A2"/>
    <x v="19"/>
    <n v="8.1139884009941898"/>
    <n v="2.2538856669428302"/>
  </r>
  <r>
    <x v="0"/>
    <x v="8"/>
    <x v="7"/>
    <x v="13"/>
    <s v="NO3_A2"/>
    <x v="20"/>
    <n v="19.336735244541"/>
    <n v="5.37131534570584"/>
  </r>
  <r>
    <x v="0"/>
    <x v="8"/>
    <x v="7"/>
    <x v="13"/>
    <s v="NO3_A2"/>
    <x v="21"/>
    <n v="48.384"/>
    <n v="13.44"/>
  </r>
  <r>
    <x v="0"/>
    <x v="8"/>
    <x v="7"/>
    <x v="13"/>
    <s v="NO3_A2"/>
    <x v="22"/>
    <n v="79.847999999999999"/>
    <n v="22.18"/>
  </r>
  <r>
    <x v="0"/>
    <x v="8"/>
    <x v="7"/>
    <x v="13"/>
    <s v="NO3_A2"/>
    <x v="23"/>
    <n v="0.31515896120488701"/>
    <n v="8.7544155890246306E-2"/>
  </r>
  <r>
    <x v="0"/>
    <x v="8"/>
    <x v="7"/>
    <x v="13"/>
    <s v="NO3_A2"/>
    <x v="24"/>
    <n v="19.174223581093901"/>
    <n v="5.32617321697054"/>
  </r>
  <r>
    <x v="0"/>
    <x v="8"/>
    <x v="7"/>
    <x v="13"/>
    <s v="NO3_A2"/>
    <x v="25"/>
    <n v="22.356874337357301"/>
    <n v="6.2102428714881297"/>
  </r>
  <r>
    <x v="0"/>
    <x v="8"/>
    <x v="7"/>
    <x v="13"/>
    <s v="NO3_A2"/>
    <x v="26"/>
    <n v="29.6651032387655"/>
    <n v="8.2403064552126306"/>
  </r>
  <r>
    <x v="0"/>
    <x v="8"/>
    <x v="7"/>
    <x v="13"/>
    <s v="NO3_A2"/>
    <x v="27"/>
    <n v="20.163995508318798"/>
    <n v="5.6011098634218799"/>
  </r>
  <r>
    <x v="0"/>
    <x v="8"/>
    <x v="7"/>
    <x v="13"/>
    <s v="NO3_A3"/>
    <x v="1"/>
    <n v="35.989199999999997"/>
    <n v="9.9969999999999999"/>
  </r>
  <r>
    <x v="0"/>
    <x v="8"/>
    <x v="7"/>
    <x v="13"/>
    <s v="NO3_A3"/>
    <x v="2"/>
    <n v="48.384"/>
    <n v="13.44"/>
  </r>
  <r>
    <x v="0"/>
    <x v="8"/>
    <x v="7"/>
    <x v="13"/>
    <s v="NO3_A3"/>
    <x v="0"/>
    <n v="42.692399999999999"/>
    <n v="11.859"/>
  </r>
  <r>
    <x v="0"/>
    <x v="8"/>
    <x v="7"/>
    <x v="13"/>
    <s v="NO3_A3"/>
    <x v="3"/>
    <n v="51.633543144067197"/>
    <n v="14.342650873352"/>
  </r>
  <r>
    <x v="0"/>
    <x v="8"/>
    <x v="7"/>
    <x v="13"/>
    <s v="NO3_A3"/>
    <x v="4"/>
    <n v="8.1139884009941898"/>
    <n v="2.2538856669428302"/>
  </r>
  <r>
    <x v="0"/>
    <x v="8"/>
    <x v="7"/>
    <x v="13"/>
    <s v="NO3_A3"/>
    <x v="5"/>
    <n v="8.1139884009941898"/>
    <n v="2.2538856669428302"/>
  </r>
  <r>
    <x v="0"/>
    <x v="8"/>
    <x v="7"/>
    <x v="13"/>
    <s v="NO3_A3"/>
    <x v="6"/>
    <n v="29.476231795214598"/>
    <n v="8.1878421653373898"/>
  </r>
  <r>
    <x v="0"/>
    <x v="8"/>
    <x v="7"/>
    <x v="13"/>
    <s v="NO3_A3"/>
    <x v="7"/>
    <n v="57.838935220261199"/>
    <n v="16.066370894517"/>
  </r>
  <r>
    <x v="0"/>
    <x v="8"/>
    <x v="7"/>
    <x v="13"/>
    <s v="NO3_A3"/>
    <x v="8"/>
    <n v="57.838935220261199"/>
    <n v="16.066370894517"/>
  </r>
  <r>
    <x v="0"/>
    <x v="8"/>
    <x v="7"/>
    <x v="13"/>
    <s v="NO3_A3"/>
    <x v="9"/>
    <n v="44.803327257663497"/>
    <n v="12.4453686826843"/>
  </r>
  <r>
    <x v="0"/>
    <x v="8"/>
    <x v="7"/>
    <x v="13"/>
    <s v="NO3_A3"/>
    <x v="10"/>
    <n v="54.681226180612903"/>
    <n v="15.1892294946147"/>
  </r>
  <r>
    <x v="0"/>
    <x v="8"/>
    <x v="7"/>
    <x v="13"/>
    <s v="NO3_A3"/>
    <x v="11"/>
    <n v="3.8806031483015802"/>
    <n v="1.07794531897266"/>
  </r>
  <r>
    <x v="0"/>
    <x v="8"/>
    <x v="7"/>
    <x v="13"/>
    <s v="NO3_A3"/>
    <x v="12"/>
    <n v="9.7995028997514597E-2"/>
    <n v="2.72208413881985E-2"/>
  </r>
  <r>
    <x v="0"/>
    <x v="8"/>
    <x v="7"/>
    <x v="13"/>
    <s v="NO3_A3"/>
    <x v="13"/>
    <n v="21.5197083678542"/>
    <n v="5.9776967688483804"/>
  </r>
  <r>
    <x v="0"/>
    <x v="8"/>
    <x v="7"/>
    <x v="13"/>
    <s v="NO3_A3"/>
    <x v="14"/>
    <n v="21.5197083678542"/>
    <n v="5.9776967688483804"/>
  </r>
  <r>
    <x v="0"/>
    <x v="8"/>
    <x v="7"/>
    <x v="13"/>
    <s v="NO3_A3"/>
    <x v="15"/>
    <n v="1.65807589063794"/>
    <n v="0.46057663628831802"/>
  </r>
  <r>
    <x v="0"/>
    <x v="8"/>
    <x v="7"/>
    <x v="13"/>
    <s v="NO3_A3"/>
    <x v="16"/>
    <n v="4.9884429139200002"/>
    <n v="1.3856785871999999"/>
  </r>
  <r>
    <x v="0"/>
    <x v="8"/>
    <x v="7"/>
    <x v="13"/>
    <s v="NO3_A3"/>
    <x v="17"/>
    <n v="9.1244895875632395"/>
    <n v="2.5345804409897901"/>
  </r>
  <r>
    <x v="0"/>
    <x v="8"/>
    <x v="7"/>
    <x v="13"/>
    <s v="NO3_A3"/>
    <x v="18"/>
    <n v="21.5197083678542"/>
    <n v="5.9776967688483804"/>
  </r>
  <r>
    <x v="0"/>
    <x v="8"/>
    <x v="7"/>
    <x v="13"/>
    <s v="NO3_A3"/>
    <x v="19"/>
    <n v="8.1139884009941898"/>
    <n v="2.2538856669428302"/>
  </r>
  <r>
    <x v="0"/>
    <x v="8"/>
    <x v="7"/>
    <x v="13"/>
    <s v="NO3_A3"/>
    <x v="20"/>
    <n v="19.336735244541"/>
    <n v="5.37131534570584"/>
  </r>
  <r>
    <x v="0"/>
    <x v="8"/>
    <x v="7"/>
    <x v="13"/>
    <s v="NO3_A3"/>
    <x v="21"/>
    <n v="48.384"/>
    <n v="13.44"/>
  </r>
  <r>
    <x v="0"/>
    <x v="8"/>
    <x v="7"/>
    <x v="13"/>
    <s v="NO3_A3"/>
    <x v="22"/>
    <n v="79.847999999999999"/>
    <n v="22.18"/>
  </r>
  <r>
    <x v="0"/>
    <x v="8"/>
    <x v="7"/>
    <x v="13"/>
    <s v="NO3_A3"/>
    <x v="23"/>
    <n v="0.31515896120488701"/>
    <n v="8.7544155890246306E-2"/>
  </r>
  <r>
    <x v="0"/>
    <x v="8"/>
    <x v="7"/>
    <x v="13"/>
    <s v="NO3_A3"/>
    <x v="24"/>
    <n v="19.174223581093901"/>
    <n v="5.32617321697054"/>
  </r>
  <r>
    <x v="0"/>
    <x v="8"/>
    <x v="7"/>
    <x v="13"/>
    <s v="NO3_A3"/>
    <x v="25"/>
    <n v="22.356874337357301"/>
    <n v="6.2102428714881297"/>
  </r>
  <r>
    <x v="0"/>
    <x v="8"/>
    <x v="7"/>
    <x v="13"/>
    <s v="NO3_A3"/>
    <x v="26"/>
    <n v="29.6651032387655"/>
    <n v="8.2403064552126306"/>
  </r>
  <r>
    <x v="0"/>
    <x v="8"/>
    <x v="7"/>
    <x v="13"/>
    <s v="NO3_A3"/>
    <x v="27"/>
    <n v="20.163995508318798"/>
    <n v="5.6011098634218799"/>
  </r>
  <r>
    <x v="0"/>
    <x v="8"/>
    <x v="7"/>
    <x v="13"/>
    <s v="NO3_Offshore"/>
    <x v="1"/>
    <n v="35.989199999999997"/>
    <n v="9.9969999999999999"/>
  </r>
  <r>
    <x v="0"/>
    <x v="8"/>
    <x v="7"/>
    <x v="13"/>
    <s v="NO3_Offshore"/>
    <x v="2"/>
    <n v="48.384"/>
    <n v="13.44"/>
  </r>
  <r>
    <x v="0"/>
    <x v="8"/>
    <x v="7"/>
    <x v="13"/>
    <s v="NO3_Offshore"/>
    <x v="0"/>
    <n v="42.692399999999999"/>
    <n v="11.859"/>
  </r>
  <r>
    <x v="0"/>
    <x v="8"/>
    <x v="7"/>
    <x v="13"/>
    <s v="NO3_Offshore"/>
    <x v="3"/>
    <n v="51.633543144067197"/>
    <n v="14.342650873352"/>
  </r>
  <r>
    <x v="0"/>
    <x v="8"/>
    <x v="7"/>
    <x v="13"/>
    <s v="NO3_Offshore"/>
    <x v="4"/>
    <n v="8.1139884009941898"/>
    <n v="2.2538856669428302"/>
  </r>
  <r>
    <x v="0"/>
    <x v="8"/>
    <x v="7"/>
    <x v="13"/>
    <s v="NO3_Offshore"/>
    <x v="5"/>
    <n v="8.1139884009941898"/>
    <n v="2.2538856669428302"/>
  </r>
  <r>
    <x v="0"/>
    <x v="8"/>
    <x v="7"/>
    <x v="13"/>
    <s v="NO3_Offshore"/>
    <x v="6"/>
    <n v="29.476231795214598"/>
    <n v="8.1878421653373898"/>
  </r>
  <r>
    <x v="0"/>
    <x v="8"/>
    <x v="7"/>
    <x v="13"/>
    <s v="NO3_Offshore"/>
    <x v="7"/>
    <n v="57.838935220261199"/>
    <n v="16.066370894517"/>
  </r>
  <r>
    <x v="0"/>
    <x v="8"/>
    <x v="7"/>
    <x v="13"/>
    <s v="NO3_Offshore"/>
    <x v="8"/>
    <n v="57.838935220261199"/>
    <n v="16.066370894517"/>
  </r>
  <r>
    <x v="0"/>
    <x v="8"/>
    <x v="7"/>
    <x v="13"/>
    <s v="NO3_Offshore"/>
    <x v="9"/>
    <n v="44.803327257663497"/>
    <n v="12.4453686826843"/>
  </r>
  <r>
    <x v="0"/>
    <x v="8"/>
    <x v="7"/>
    <x v="13"/>
    <s v="NO3_Offshore"/>
    <x v="10"/>
    <n v="54.681226180612903"/>
    <n v="15.1892294946147"/>
  </r>
  <r>
    <x v="0"/>
    <x v="8"/>
    <x v="7"/>
    <x v="13"/>
    <s v="NO3_Offshore"/>
    <x v="11"/>
    <n v="3.8806031483015802"/>
    <n v="1.07794531897266"/>
  </r>
  <r>
    <x v="0"/>
    <x v="8"/>
    <x v="7"/>
    <x v="13"/>
    <s v="NO3_Offshore"/>
    <x v="12"/>
    <n v="9.7995028997514597E-2"/>
    <n v="2.72208413881985E-2"/>
  </r>
  <r>
    <x v="0"/>
    <x v="8"/>
    <x v="7"/>
    <x v="13"/>
    <s v="NO3_Offshore"/>
    <x v="13"/>
    <n v="21.5197083678542"/>
    <n v="5.9776967688483804"/>
  </r>
  <r>
    <x v="0"/>
    <x v="8"/>
    <x v="7"/>
    <x v="13"/>
    <s v="NO3_Offshore"/>
    <x v="14"/>
    <n v="21.5197083678542"/>
    <n v="5.9776967688483804"/>
  </r>
  <r>
    <x v="0"/>
    <x v="8"/>
    <x v="7"/>
    <x v="13"/>
    <s v="NO3_Offshore"/>
    <x v="15"/>
    <n v="1.65807589063794"/>
    <n v="0.46057663628831802"/>
  </r>
  <r>
    <x v="0"/>
    <x v="8"/>
    <x v="7"/>
    <x v="13"/>
    <s v="NO3_Offshore"/>
    <x v="16"/>
    <n v="4.9884429139200002"/>
    <n v="1.3856785871999999"/>
  </r>
  <r>
    <x v="0"/>
    <x v="8"/>
    <x v="7"/>
    <x v="13"/>
    <s v="NO3_Offshore"/>
    <x v="17"/>
    <n v="9.1244895875632395"/>
    <n v="2.5345804409897901"/>
  </r>
  <r>
    <x v="0"/>
    <x v="8"/>
    <x v="7"/>
    <x v="13"/>
    <s v="NO3_Offshore"/>
    <x v="18"/>
    <n v="21.5197083678542"/>
    <n v="5.9776967688483804"/>
  </r>
  <r>
    <x v="0"/>
    <x v="8"/>
    <x v="7"/>
    <x v="13"/>
    <s v="NO3_Offshore"/>
    <x v="19"/>
    <n v="8.1139884009941898"/>
    <n v="2.2538856669428302"/>
  </r>
  <r>
    <x v="0"/>
    <x v="8"/>
    <x v="7"/>
    <x v="13"/>
    <s v="NO3_Offshore"/>
    <x v="20"/>
    <n v="19.336735244541"/>
    <n v="5.37131534570584"/>
  </r>
  <r>
    <x v="0"/>
    <x v="8"/>
    <x v="7"/>
    <x v="13"/>
    <s v="NO3_Offshore"/>
    <x v="21"/>
    <n v="48.384"/>
    <n v="13.44"/>
  </r>
  <r>
    <x v="0"/>
    <x v="8"/>
    <x v="7"/>
    <x v="13"/>
    <s v="NO3_Offshore"/>
    <x v="22"/>
    <n v="79.847999999999999"/>
    <n v="22.18"/>
  </r>
  <r>
    <x v="0"/>
    <x v="8"/>
    <x v="7"/>
    <x v="13"/>
    <s v="NO3_Offshore"/>
    <x v="23"/>
    <n v="0.31515896120488701"/>
    <n v="8.7544155890246306E-2"/>
  </r>
  <r>
    <x v="0"/>
    <x v="8"/>
    <x v="7"/>
    <x v="13"/>
    <s v="NO3_Offshore"/>
    <x v="24"/>
    <n v="19.174223581093901"/>
    <n v="5.32617321697054"/>
  </r>
  <r>
    <x v="0"/>
    <x v="8"/>
    <x v="7"/>
    <x v="13"/>
    <s v="NO3_Offshore"/>
    <x v="25"/>
    <n v="22.356874337357301"/>
    <n v="6.2102428714881297"/>
  </r>
  <r>
    <x v="0"/>
    <x v="8"/>
    <x v="7"/>
    <x v="13"/>
    <s v="NO3_Offshore"/>
    <x v="26"/>
    <n v="29.6651032387655"/>
    <n v="8.2403064552126306"/>
  </r>
  <r>
    <x v="0"/>
    <x v="8"/>
    <x v="7"/>
    <x v="13"/>
    <s v="NO3_Offshore"/>
    <x v="27"/>
    <n v="20.163995508318798"/>
    <n v="5.6011098634218799"/>
  </r>
  <r>
    <x v="0"/>
    <x v="8"/>
    <x v="7"/>
    <x v="14"/>
    <s v="NO4_A1"/>
    <x v="1"/>
    <n v="35.989199999999997"/>
    <n v="9.9969999999999999"/>
  </r>
  <r>
    <x v="0"/>
    <x v="8"/>
    <x v="7"/>
    <x v="14"/>
    <s v="NO4_A1"/>
    <x v="2"/>
    <n v="48.384"/>
    <n v="13.44"/>
  </r>
  <r>
    <x v="0"/>
    <x v="8"/>
    <x v="7"/>
    <x v="14"/>
    <s v="NO4_A1"/>
    <x v="0"/>
    <n v="42.692399999999999"/>
    <n v="11.859"/>
  </r>
  <r>
    <x v="0"/>
    <x v="8"/>
    <x v="7"/>
    <x v="14"/>
    <s v="NO4_A1"/>
    <x v="3"/>
    <n v="51.633543144067197"/>
    <n v="14.342650873352"/>
  </r>
  <r>
    <x v="0"/>
    <x v="8"/>
    <x v="7"/>
    <x v="14"/>
    <s v="NO4_A1"/>
    <x v="4"/>
    <n v="8.1139884009941898"/>
    <n v="2.2538856669428302"/>
  </r>
  <r>
    <x v="0"/>
    <x v="8"/>
    <x v="7"/>
    <x v="14"/>
    <s v="NO4_A1"/>
    <x v="5"/>
    <n v="8.1139884009941898"/>
    <n v="2.2538856669428302"/>
  </r>
  <r>
    <x v="0"/>
    <x v="8"/>
    <x v="7"/>
    <x v="14"/>
    <s v="NO4_A1"/>
    <x v="6"/>
    <n v="29.476231795214598"/>
    <n v="8.1878421653373898"/>
  </r>
  <r>
    <x v="0"/>
    <x v="8"/>
    <x v="7"/>
    <x v="14"/>
    <s v="NO4_A1"/>
    <x v="7"/>
    <n v="57.838935220261199"/>
    <n v="16.066370894517"/>
  </r>
  <r>
    <x v="0"/>
    <x v="8"/>
    <x v="7"/>
    <x v="14"/>
    <s v="NO4_A1"/>
    <x v="8"/>
    <n v="57.838935220261199"/>
    <n v="16.066370894517"/>
  </r>
  <r>
    <x v="0"/>
    <x v="8"/>
    <x v="7"/>
    <x v="14"/>
    <s v="NO4_A1"/>
    <x v="9"/>
    <n v="44.803327257663497"/>
    <n v="12.4453686826843"/>
  </r>
  <r>
    <x v="0"/>
    <x v="8"/>
    <x v="7"/>
    <x v="14"/>
    <s v="NO4_A1"/>
    <x v="10"/>
    <n v="54.681226180612903"/>
    <n v="15.1892294946147"/>
  </r>
  <r>
    <x v="0"/>
    <x v="8"/>
    <x v="7"/>
    <x v="14"/>
    <s v="NO4_A1"/>
    <x v="11"/>
    <n v="3.8806031483015802"/>
    <n v="1.07794531897266"/>
  </r>
  <r>
    <x v="0"/>
    <x v="8"/>
    <x v="7"/>
    <x v="14"/>
    <s v="NO4_A1"/>
    <x v="12"/>
    <n v="9.7995028997514597E-2"/>
    <n v="2.72208413881985E-2"/>
  </r>
  <r>
    <x v="0"/>
    <x v="8"/>
    <x v="7"/>
    <x v="14"/>
    <s v="NO4_A1"/>
    <x v="13"/>
    <n v="21.5197083678542"/>
    <n v="5.9776967688483804"/>
  </r>
  <r>
    <x v="0"/>
    <x v="8"/>
    <x v="7"/>
    <x v="14"/>
    <s v="NO4_A1"/>
    <x v="14"/>
    <n v="21.5197083678542"/>
    <n v="5.9776967688483804"/>
  </r>
  <r>
    <x v="0"/>
    <x v="8"/>
    <x v="7"/>
    <x v="14"/>
    <s v="NO4_A1"/>
    <x v="15"/>
    <n v="1.65807589063794"/>
    <n v="0.46057663628831802"/>
  </r>
  <r>
    <x v="0"/>
    <x v="8"/>
    <x v="7"/>
    <x v="14"/>
    <s v="NO4_A1"/>
    <x v="16"/>
    <n v="4.9884429139200002"/>
    <n v="1.3856785871999999"/>
  </r>
  <r>
    <x v="0"/>
    <x v="8"/>
    <x v="7"/>
    <x v="14"/>
    <s v="NO4_A1"/>
    <x v="17"/>
    <n v="9.1244895875632395"/>
    <n v="2.5345804409897901"/>
  </r>
  <r>
    <x v="0"/>
    <x v="8"/>
    <x v="7"/>
    <x v="14"/>
    <s v="NO4_A1"/>
    <x v="18"/>
    <n v="21.5197083678542"/>
    <n v="5.9776967688483804"/>
  </r>
  <r>
    <x v="0"/>
    <x v="8"/>
    <x v="7"/>
    <x v="14"/>
    <s v="NO4_A1"/>
    <x v="19"/>
    <n v="8.1139884009941898"/>
    <n v="2.2538856669428302"/>
  </r>
  <r>
    <x v="0"/>
    <x v="8"/>
    <x v="7"/>
    <x v="14"/>
    <s v="NO4_A1"/>
    <x v="20"/>
    <n v="19.336735244541"/>
    <n v="5.37131534570584"/>
  </r>
  <r>
    <x v="0"/>
    <x v="8"/>
    <x v="7"/>
    <x v="14"/>
    <s v="NO4_A1"/>
    <x v="21"/>
    <n v="48.384"/>
    <n v="13.44"/>
  </r>
  <r>
    <x v="0"/>
    <x v="8"/>
    <x v="7"/>
    <x v="14"/>
    <s v="NO4_A1"/>
    <x v="22"/>
    <n v="79.847999999999999"/>
    <n v="22.18"/>
  </r>
  <r>
    <x v="0"/>
    <x v="8"/>
    <x v="7"/>
    <x v="14"/>
    <s v="NO4_A1"/>
    <x v="23"/>
    <n v="0.31515896120488701"/>
    <n v="8.7544155890246306E-2"/>
  </r>
  <r>
    <x v="0"/>
    <x v="8"/>
    <x v="7"/>
    <x v="14"/>
    <s v="NO4_A1"/>
    <x v="24"/>
    <n v="19.174223581093901"/>
    <n v="5.32617321697054"/>
  </r>
  <r>
    <x v="0"/>
    <x v="8"/>
    <x v="7"/>
    <x v="14"/>
    <s v="NO4_A1"/>
    <x v="25"/>
    <n v="22.356874337357301"/>
    <n v="6.2102428714881297"/>
  </r>
  <r>
    <x v="0"/>
    <x v="8"/>
    <x v="7"/>
    <x v="14"/>
    <s v="NO4_A1"/>
    <x v="26"/>
    <n v="29.6651032387655"/>
    <n v="8.2403064552126306"/>
  </r>
  <r>
    <x v="0"/>
    <x v="8"/>
    <x v="7"/>
    <x v="14"/>
    <s v="NO4_A1"/>
    <x v="27"/>
    <n v="20.163995508318798"/>
    <n v="5.6011098634218799"/>
  </r>
  <r>
    <x v="0"/>
    <x v="8"/>
    <x v="7"/>
    <x v="14"/>
    <s v="NO4_A2"/>
    <x v="1"/>
    <n v="35.989199999999997"/>
    <n v="9.9969999999999999"/>
  </r>
  <r>
    <x v="0"/>
    <x v="8"/>
    <x v="7"/>
    <x v="14"/>
    <s v="NO4_A2"/>
    <x v="2"/>
    <n v="48.384"/>
    <n v="13.44"/>
  </r>
  <r>
    <x v="0"/>
    <x v="8"/>
    <x v="7"/>
    <x v="14"/>
    <s v="NO4_A2"/>
    <x v="0"/>
    <n v="42.692399999999999"/>
    <n v="11.859"/>
  </r>
  <r>
    <x v="0"/>
    <x v="8"/>
    <x v="7"/>
    <x v="14"/>
    <s v="NO4_A2"/>
    <x v="3"/>
    <n v="51.633543144067197"/>
    <n v="14.342650873352"/>
  </r>
  <r>
    <x v="0"/>
    <x v="8"/>
    <x v="7"/>
    <x v="14"/>
    <s v="NO4_A2"/>
    <x v="4"/>
    <n v="8.1139884009941898"/>
    <n v="2.2538856669428302"/>
  </r>
  <r>
    <x v="0"/>
    <x v="8"/>
    <x v="7"/>
    <x v="14"/>
    <s v="NO4_A2"/>
    <x v="5"/>
    <n v="8.1139884009941898"/>
    <n v="2.2538856669428302"/>
  </r>
  <r>
    <x v="0"/>
    <x v="8"/>
    <x v="7"/>
    <x v="14"/>
    <s v="NO4_A2"/>
    <x v="6"/>
    <n v="29.476231795214598"/>
    <n v="8.1878421653373898"/>
  </r>
  <r>
    <x v="0"/>
    <x v="8"/>
    <x v="7"/>
    <x v="14"/>
    <s v="NO4_A2"/>
    <x v="7"/>
    <n v="57.838935220261199"/>
    <n v="16.066370894517"/>
  </r>
  <r>
    <x v="0"/>
    <x v="8"/>
    <x v="7"/>
    <x v="14"/>
    <s v="NO4_A2"/>
    <x v="8"/>
    <n v="57.838935220261199"/>
    <n v="16.066370894517"/>
  </r>
  <r>
    <x v="0"/>
    <x v="8"/>
    <x v="7"/>
    <x v="14"/>
    <s v="NO4_A2"/>
    <x v="9"/>
    <n v="44.803327257663497"/>
    <n v="12.4453686826843"/>
  </r>
  <r>
    <x v="0"/>
    <x v="8"/>
    <x v="7"/>
    <x v="14"/>
    <s v="NO4_A2"/>
    <x v="10"/>
    <n v="54.681226180612903"/>
    <n v="15.1892294946147"/>
  </r>
  <r>
    <x v="0"/>
    <x v="8"/>
    <x v="7"/>
    <x v="14"/>
    <s v="NO4_A2"/>
    <x v="11"/>
    <n v="3.8806031483015802"/>
    <n v="1.07794531897266"/>
  </r>
  <r>
    <x v="0"/>
    <x v="8"/>
    <x v="7"/>
    <x v="14"/>
    <s v="NO4_A2"/>
    <x v="12"/>
    <n v="9.7995028997514597E-2"/>
    <n v="2.72208413881985E-2"/>
  </r>
  <r>
    <x v="0"/>
    <x v="8"/>
    <x v="7"/>
    <x v="14"/>
    <s v="NO4_A2"/>
    <x v="13"/>
    <n v="21.5197083678542"/>
    <n v="5.9776967688483804"/>
  </r>
  <r>
    <x v="0"/>
    <x v="8"/>
    <x v="7"/>
    <x v="14"/>
    <s v="NO4_A2"/>
    <x v="14"/>
    <n v="21.5197083678542"/>
    <n v="5.9776967688483804"/>
  </r>
  <r>
    <x v="0"/>
    <x v="8"/>
    <x v="7"/>
    <x v="14"/>
    <s v="NO4_A2"/>
    <x v="15"/>
    <n v="1.65807589063794"/>
    <n v="0.46057663628831802"/>
  </r>
  <r>
    <x v="0"/>
    <x v="8"/>
    <x v="7"/>
    <x v="14"/>
    <s v="NO4_A2"/>
    <x v="16"/>
    <n v="4.9884429139200002"/>
    <n v="1.3856785871999999"/>
  </r>
  <r>
    <x v="0"/>
    <x v="8"/>
    <x v="7"/>
    <x v="14"/>
    <s v="NO4_A2"/>
    <x v="17"/>
    <n v="9.1244895875632395"/>
    <n v="2.5345804409897901"/>
  </r>
  <r>
    <x v="0"/>
    <x v="8"/>
    <x v="7"/>
    <x v="14"/>
    <s v="NO4_A2"/>
    <x v="18"/>
    <n v="21.5197083678542"/>
    <n v="5.9776967688483804"/>
  </r>
  <r>
    <x v="0"/>
    <x v="8"/>
    <x v="7"/>
    <x v="14"/>
    <s v="NO4_A2"/>
    <x v="19"/>
    <n v="8.1139884009941898"/>
    <n v="2.2538856669428302"/>
  </r>
  <r>
    <x v="0"/>
    <x v="8"/>
    <x v="7"/>
    <x v="14"/>
    <s v="NO4_A2"/>
    <x v="20"/>
    <n v="19.336735244541"/>
    <n v="5.37131534570584"/>
  </r>
  <r>
    <x v="0"/>
    <x v="8"/>
    <x v="7"/>
    <x v="14"/>
    <s v="NO4_A2"/>
    <x v="21"/>
    <n v="48.384"/>
    <n v="13.44"/>
  </r>
  <r>
    <x v="0"/>
    <x v="8"/>
    <x v="7"/>
    <x v="14"/>
    <s v="NO4_A2"/>
    <x v="22"/>
    <n v="79.847999999999999"/>
    <n v="22.18"/>
  </r>
  <r>
    <x v="0"/>
    <x v="8"/>
    <x v="7"/>
    <x v="14"/>
    <s v="NO4_A2"/>
    <x v="23"/>
    <n v="0.31515896120488701"/>
    <n v="8.7544155890246306E-2"/>
  </r>
  <r>
    <x v="0"/>
    <x v="8"/>
    <x v="7"/>
    <x v="14"/>
    <s v="NO4_A2"/>
    <x v="24"/>
    <n v="19.174223581093901"/>
    <n v="5.32617321697054"/>
  </r>
  <r>
    <x v="0"/>
    <x v="8"/>
    <x v="7"/>
    <x v="14"/>
    <s v="NO4_A2"/>
    <x v="25"/>
    <n v="22.356874337357301"/>
    <n v="6.2102428714881297"/>
  </r>
  <r>
    <x v="0"/>
    <x v="8"/>
    <x v="7"/>
    <x v="14"/>
    <s v="NO4_A2"/>
    <x v="26"/>
    <n v="29.6651032387655"/>
    <n v="8.2403064552126306"/>
  </r>
  <r>
    <x v="0"/>
    <x v="8"/>
    <x v="7"/>
    <x v="14"/>
    <s v="NO4_A2"/>
    <x v="27"/>
    <n v="20.163995508318798"/>
    <n v="5.6011098634218799"/>
  </r>
  <r>
    <x v="0"/>
    <x v="8"/>
    <x v="7"/>
    <x v="14"/>
    <s v="NO4_Offshore"/>
    <x v="1"/>
    <n v="35.989199999999997"/>
    <n v="9.9969999999999999"/>
  </r>
  <r>
    <x v="0"/>
    <x v="8"/>
    <x v="7"/>
    <x v="14"/>
    <s v="NO4_Offshore"/>
    <x v="2"/>
    <n v="48.384"/>
    <n v="13.44"/>
  </r>
  <r>
    <x v="0"/>
    <x v="8"/>
    <x v="7"/>
    <x v="14"/>
    <s v="NO4_Offshore"/>
    <x v="0"/>
    <n v="42.692399999999999"/>
    <n v="11.859"/>
  </r>
  <r>
    <x v="0"/>
    <x v="8"/>
    <x v="7"/>
    <x v="14"/>
    <s v="NO4_Offshore"/>
    <x v="3"/>
    <n v="51.633543144067197"/>
    <n v="14.342650873352"/>
  </r>
  <r>
    <x v="0"/>
    <x v="8"/>
    <x v="7"/>
    <x v="14"/>
    <s v="NO4_Offshore"/>
    <x v="4"/>
    <n v="8.1139884009941898"/>
    <n v="2.2538856669428302"/>
  </r>
  <r>
    <x v="0"/>
    <x v="8"/>
    <x v="7"/>
    <x v="14"/>
    <s v="NO4_Offshore"/>
    <x v="5"/>
    <n v="8.1139884009941898"/>
    <n v="2.2538856669428302"/>
  </r>
  <r>
    <x v="0"/>
    <x v="8"/>
    <x v="7"/>
    <x v="14"/>
    <s v="NO4_Offshore"/>
    <x v="6"/>
    <n v="29.476231795214598"/>
    <n v="8.1878421653373898"/>
  </r>
  <r>
    <x v="0"/>
    <x v="8"/>
    <x v="7"/>
    <x v="14"/>
    <s v="NO4_Offshore"/>
    <x v="7"/>
    <n v="57.838935220261199"/>
    <n v="16.066370894517"/>
  </r>
  <r>
    <x v="0"/>
    <x v="8"/>
    <x v="7"/>
    <x v="14"/>
    <s v="NO4_Offshore"/>
    <x v="8"/>
    <n v="57.838935220261199"/>
    <n v="16.066370894517"/>
  </r>
  <r>
    <x v="0"/>
    <x v="8"/>
    <x v="7"/>
    <x v="14"/>
    <s v="NO4_Offshore"/>
    <x v="9"/>
    <n v="44.803327257663497"/>
    <n v="12.4453686826843"/>
  </r>
  <r>
    <x v="0"/>
    <x v="8"/>
    <x v="7"/>
    <x v="14"/>
    <s v="NO4_Offshore"/>
    <x v="10"/>
    <n v="54.681226180612903"/>
    <n v="15.1892294946147"/>
  </r>
  <r>
    <x v="0"/>
    <x v="8"/>
    <x v="7"/>
    <x v="14"/>
    <s v="NO4_Offshore"/>
    <x v="11"/>
    <n v="3.8806031483015802"/>
    <n v="1.07794531897266"/>
  </r>
  <r>
    <x v="0"/>
    <x v="8"/>
    <x v="7"/>
    <x v="14"/>
    <s v="NO4_Offshore"/>
    <x v="12"/>
    <n v="9.7995028997514597E-2"/>
    <n v="2.72208413881985E-2"/>
  </r>
  <r>
    <x v="0"/>
    <x v="8"/>
    <x v="7"/>
    <x v="14"/>
    <s v="NO4_Offshore"/>
    <x v="13"/>
    <n v="21.5197083678542"/>
    <n v="5.9776967688483804"/>
  </r>
  <r>
    <x v="0"/>
    <x v="8"/>
    <x v="7"/>
    <x v="14"/>
    <s v="NO4_Offshore"/>
    <x v="14"/>
    <n v="21.5197083678542"/>
    <n v="5.9776967688483804"/>
  </r>
  <r>
    <x v="0"/>
    <x v="8"/>
    <x v="7"/>
    <x v="14"/>
    <s v="NO4_Offshore"/>
    <x v="15"/>
    <n v="1.65807589063794"/>
    <n v="0.46057663628831802"/>
  </r>
  <r>
    <x v="0"/>
    <x v="8"/>
    <x v="7"/>
    <x v="14"/>
    <s v="NO4_Offshore"/>
    <x v="16"/>
    <n v="4.9884429139200002"/>
    <n v="1.3856785871999999"/>
  </r>
  <r>
    <x v="0"/>
    <x v="8"/>
    <x v="7"/>
    <x v="14"/>
    <s v="NO4_Offshore"/>
    <x v="17"/>
    <n v="9.1244895875632395"/>
    <n v="2.5345804409897901"/>
  </r>
  <r>
    <x v="0"/>
    <x v="8"/>
    <x v="7"/>
    <x v="14"/>
    <s v="NO4_Offshore"/>
    <x v="18"/>
    <n v="21.5197083678542"/>
    <n v="5.9776967688483804"/>
  </r>
  <r>
    <x v="0"/>
    <x v="8"/>
    <x v="7"/>
    <x v="14"/>
    <s v="NO4_Offshore"/>
    <x v="19"/>
    <n v="8.1139884009941898"/>
    <n v="2.2538856669428302"/>
  </r>
  <r>
    <x v="0"/>
    <x v="8"/>
    <x v="7"/>
    <x v="14"/>
    <s v="NO4_Offshore"/>
    <x v="20"/>
    <n v="19.336735244541"/>
    <n v="5.37131534570584"/>
  </r>
  <r>
    <x v="0"/>
    <x v="8"/>
    <x v="7"/>
    <x v="14"/>
    <s v="NO4_Offshore"/>
    <x v="21"/>
    <n v="48.384"/>
    <n v="13.44"/>
  </r>
  <r>
    <x v="0"/>
    <x v="8"/>
    <x v="7"/>
    <x v="14"/>
    <s v="NO4_Offshore"/>
    <x v="22"/>
    <n v="79.847999999999999"/>
    <n v="22.18"/>
  </r>
  <r>
    <x v="0"/>
    <x v="8"/>
    <x v="7"/>
    <x v="14"/>
    <s v="NO4_Offshore"/>
    <x v="23"/>
    <n v="0.31515896120488701"/>
    <n v="8.7544155890246306E-2"/>
  </r>
  <r>
    <x v="0"/>
    <x v="8"/>
    <x v="7"/>
    <x v="14"/>
    <s v="NO4_Offshore"/>
    <x v="24"/>
    <n v="19.174223581093901"/>
    <n v="5.32617321697054"/>
  </r>
  <r>
    <x v="0"/>
    <x v="8"/>
    <x v="7"/>
    <x v="14"/>
    <s v="NO4_Offshore"/>
    <x v="25"/>
    <n v="22.356874337357301"/>
    <n v="6.2102428714881297"/>
  </r>
  <r>
    <x v="0"/>
    <x v="8"/>
    <x v="7"/>
    <x v="14"/>
    <s v="NO4_Offshore"/>
    <x v="26"/>
    <n v="29.6651032387655"/>
    <n v="8.2403064552126306"/>
  </r>
  <r>
    <x v="0"/>
    <x v="8"/>
    <x v="7"/>
    <x v="14"/>
    <s v="NO4_Offshore"/>
    <x v="27"/>
    <n v="20.163995508318798"/>
    <n v="5.6011098634218799"/>
  </r>
  <r>
    <x v="0"/>
    <x v="8"/>
    <x v="7"/>
    <x v="15"/>
    <s v="NO5_A1"/>
    <x v="1"/>
    <n v="35.989199999999997"/>
    <n v="9.9969999999999999"/>
  </r>
  <r>
    <x v="0"/>
    <x v="8"/>
    <x v="7"/>
    <x v="15"/>
    <s v="NO5_A1"/>
    <x v="2"/>
    <n v="48.384"/>
    <n v="13.44"/>
  </r>
  <r>
    <x v="0"/>
    <x v="8"/>
    <x v="7"/>
    <x v="15"/>
    <s v="NO5_A1"/>
    <x v="0"/>
    <n v="42.692399999999999"/>
    <n v="11.859"/>
  </r>
  <r>
    <x v="0"/>
    <x v="8"/>
    <x v="7"/>
    <x v="15"/>
    <s v="NO5_A1"/>
    <x v="3"/>
    <n v="51.633543144067197"/>
    <n v="14.342650873352"/>
  </r>
  <r>
    <x v="0"/>
    <x v="8"/>
    <x v="7"/>
    <x v="15"/>
    <s v="NO5_A1"/>
    <x v="4"/>
    <n v="8.1139884009941898"/>
    <n v="2.2538856669428302"/>
  </r>
  <r>
    <x v="0"/>
    <x v="8"/>
    <x v="7"/>
    <x v="15"/>
    <s v="NO5_A1"/>
    <x v="5"/>
    <n v="8.1139884009941898"/>
    <n v="2.2538856669428302"/>
  </r>
  <r>
    <x v="0"/>
    <x v="8"/>
    <x v="7"/>
    <x v="15"/>
    <s v="NO5_A1"/>
    <x v="6"/>
    <n v="29.476231795214598"/>
    <n v="8.1878421653373898"/>
  </r>
  <r>
    <x v="0"/>
    <x v="8"/>
    <x v="7"/>
    <x v="15"/>
    <s v="NO5_A1"/>
    <x v="7"/>
    <n v="57.838935220261199"/>
    <n v="16.066370894517"/>
  </r>
  <r>
    <x v="0"/>
    <x v="8"/>
    <x v="7"/>
    <x v="15"/>
    <s v="NO5_A1"/>
    <x v="8"/>
    <n v="57.838935220261199"/>
    <n v="16.066370894517"/>
  </r>
  <r>
    <x v="0"/>
    <x v="8"/>
    <x v="7"/>
    <x v="15"/>
    <s v="NO5_A1"/>
    <x v="9"/>
    <n v="44.803327257663497"/>
    <n v="12.4453686826843"/>
  </r>
  <r>
    <x v="0"/>
    <x v="8"/>
    <x v="7"/>
    <x v="15"/>
    <s v="NO5_A1"/>
    <x v="10"/>
    <n v="54.681226180612903"/>
    <n v="15.1892294946147"/>
  </r>
  <r>
    <x v="0"/>
    <x v="8"/>
    <x v="7"/>
    <x v="15"/>
    <s v="NO5_A1"/>
    <x v="11"/>
    <n v="3.8806031483015802"/>
    <n v="1.07794531897266"/>
  </r>
  <r>
    <x v="0"/>
    <x v="8"/>
    <x v="7"/>
    <x v="15"/>
    <s v="NO5_A1"/>
    <x v="12"/>
    <n v="9.7995028997514597E-2"/>
    <n v="2.72208413881985E-2"/>
  </r>
  <r>
    <x v="0"/>
    <x v="8"/>
    <x v="7"/>
    <x v="15"/>
    <s v="NO5_A1"/>
    <x v="13"/>
    <n v="21.5197083678542"/>
    <n v="5.9776967688483804"/>
  </r>
  <r>
    <x v="0"/>
    <x v="8"/>
    <x v="7"/>
    <x v="15"/>
    <s v="NO5_A1"/>
    <x v="14"/>
    <n v="21.5197083678542"/>
    <n v="5.9776967688483804"/>
  </r>
  <r>
    <x v="0"/>
    <x v="8"/>
    <x v="7"/>
    <x v="15"/>
    <s v="NO5_A1"/>
    <x v="15"/>
    <n v="1.65807589063794"/>
    <n v="0.46057663628831802"/>
  </r>
  <r>
    <x v="0"/>
    <x v="8"/>
    <x v="7"/>
    <x v="15"/>
    <s v="NO5_A1"/>
    <x v="16"/>
    <n v="4.9884429139200002"/>
    <n v="1.3856785871999999"/>
  </r>
  <r>
    <x v="0"/>
    <x v="8"/>
    <x v="7"/>
    <x v="15"/>
    <s v="NO5_A1"/>
    <x v="17"/>
    <n v="9.1244895875632395"/>
    <n v="2.5345804409897901"/>
  </r>
  <r>
    <x v="0"/>
    <x v="8"/>
    <x v="7"/>
    <x v="15"/>
    <s v="NO5_A1"/>
    <x v="18"/>
    <n v="21.5197083678542"/>
    <n v="5.9776967688483804"/>
  </r>
  <r>
    <x v="0"/>
    <x v="8"/>
    <x v="7"/>
    <x v="15"/>
    <s v="NO5_A1"/>
    <x v="19"/>
    <n v="8.1139884009941898"/>
    <n v="2.2538856669428302"/>
  </r>
  <r>
    <x v="0"/>
    <x v="8"/>
    <x v="7"/>
    <x v="15"/>
    <s v="NO5_A1"/>
    <x v="20"/>
    <n v="19.336735244541"/>
    <n v="5.37131534570584"/>
  </r>
  <r>
    <x v="0"/>
    <x v="8"/>
    <x v="7"/>
    <x v="15"/>
    <s v="NO5_A1"/>
    <x v="21"/>
    <n v="48.384"/>
    <n v="13.44"/>
  </r>
  <r>
    <x v="0"/>
    <x v="8"/>
    <x v="7"/>
    <x v="15"/>
    <s v="NO5_A1"/>
    <x v="22"/>
    <n v="79.847999999999999"/>
    <n v="22.18"/>
  </r>
  <r>
    <x v="0"/>
    <x v="8"/>
    <x v="7"/>
    <x v="15"/>
    <s v="NO5_A1"/>
    <x v="23"/>
    <n v="0.31515896120488701"/>
    <n v="8.7544155890246306E-2"/>
  </r>
  <r>
    <x v="0"/>
    <x v="8"/>
    <x v="7"/>
    <x v="15"/>
    <s v="NO5_A1"/>
    <x v="24"/>
    <n v="19.174223581093901"/>
    <n v="5.32617321697054"/>
  </r>
  <r>
    <x v="0"/>
    <x v="8"/>
    <x v="7"/>
    <x v="15"/>
    <s v="NO5_A1"/>
    <x v="25"/>
    <n v="22.356874337357301"/>
    <n v="6.2102428714881297"/>
  </r>
  <r>
    <x v="0"/>
    <x v="8"/>
    <x v="7"/>
    <x v="15"/>
    <s v="NO5_A1"/>
    <x v="26"/>
    <n v="29.6651032387655"/>
    <n v="8.2403064552126306"/>
  </r>
  <r>
    <x v="0"/>
    <x v="8"/>
    <x v="7"/>
    <x v="15"/>
    <s v="NO5_A1"/>
    <x v="27"/>
    <n v="20.163995508318798"/>
    <n v="5.6011098634218799"/>
  </r>
  <r>
    <x v="0"/>
    <x v="8"/>
    <x v="7"/>
    <x v="15"/>
    <s v="NO5_A2"/>
    <x v="1"/>
    <n v="35.989199999999997"/>
    <n v="9.9969999999999999"/>
  </r>
  <r>
    <x v="0"/>
    <x v="8"/>
    <x v="7"/>
    <x v="15"/>
    <s v="NO5_A2"/>
    <x v="2"/>
    <n v="48.384"/>
    <n v="13.44"/>
  </r>
  <r>
    <x v="0"/>
    <x v="8"/>
    <x v="7"/>
    <x v="15"/>
    <s v="NO5_A2"/>
    <x v="0"/>
    <n v="42.692399999999999"/>
    <n v="11.859"/>
  </r>
  <r>
    <x v="0"/>
    <x v="8"/>
    <x v="7"/>
    <x v="15"/>
    <s v="NO5_A2"/>
    <x v="3"/>
    <n v="51.633543144067197"/>
    <n v="14.342650873352"/>
  </r>
  <r>
    <x v="0"/>
    <x v="8"/>
    <x v="7"/>
    <x v="15"/>
    <s v="NO5_A2"/>
    <x v="4"/>
    <n v="8.1139884009941898"/>
    <n v="2.2538856669428302"/>
  </r>
  <r>
    <x v="0"/>
    <x v="8"/>
    <x v="7"/>
    <x v="15"/>
    <s v="NO5_A2"/>
    <x v="5"/>
    <n v="8.1139884009941898"/>
    <n v="2.2538856669428302"/>
  </r>
  <r>
    <x v="0"/>
    <x v="8"/>
    <x v="7"/>
    <x v="15"/>
    <s v="NO5_A2"/>
    <x v="6"/>
    <n v="29.476231795214598"/>
    <n v="8.1878421653373898"/>
  </r>
  <r>
    <x v="0"/>
    <x v="8"/>
    <x v="7"/>
    <x v="15"/>
    <s v="NO5_A2"/>
    <x v="7"/>
    <n v="57.838935220261199"/>
    <n v="16.066370894517"/>
  </r>
  <r>
    <x v="0"/>
    <x v="8"/>
    <x v="7"/>
    <x v="15"/>
    <s v="NO5_A2"/>
    <x v="8"/>
    <n v="57.838935220261199"/>
    <n v="16.066370894517"/>
  </r>
  <r>
    <x v="0"/>
    <x v="8"/>
    <x v="7"/>
    <x v="15"/>
    <s v="NO5_A2"/>
    <x v="9"/>
    <n v="44.803327257663497"/>
    <n v="12.4453686826843"/>
  </r>
  <r>
    <x v="0"/>
    <x v="8"/>
    <x v="7"/>
    <x v="15"/>
    <s v="NO5_A2"/>
    <x v="10"/>
    <n v="54.681226180612903"/>
    <n v="15.1892294946147"/>
  </r>
  <r>
    <x v="0"/>
    <x v="8"/>
    <x v="7"/>
    <x v="15"/>
    <s v="NO5_A2"/>
    <x v="11"/>
    <n v="3.8806031483015802"/>
    <n v="1.07794531897266"/>
  </r>
  <r>
    <x v="0"/>
    <x v="8"/>
    <x v="7"/>
    <x v="15"/>
    <s v="NO5_A2"/>
    <x v="12"/>
    <n v="9.7995028997514597E-2"/>
    <n v="2.72208413881985E-2"/>
  </r>
  <r>
    <x v="0"/>
    <x v="8"/>
    <x v="7"/>
    <x v="15"/>
    <s v="NO5_A2"/>
    <x v="13"/>
    <n v="21.5197083678542"/>
    <n v="5.9776967688483804"/>
  </r>
  <r>
    <x v="0"/>
    <x v="8"/>
    <x v="7"/>
    <x v="15"/>
    <s v="NO5_A2"/>
    <x v="14"/>
    <n v="21.5197083678542"/>
    <n v="5.9776967688483804"/>
  </r>
  <r>
    <x v="0"/>
    <x v="8"/>
    <x v="7"/>
    <x v="15"/>
    <s v="NO5_A2"/>
    <x v="15"/>
    <n v="1.65807589063794"/>
    <n v="0.46057663628831802"/>
  </r>
  <r>
    <x v="0"/>
    <x v="8"/>
    <x v="7"/>
    <x v="15"/>
    <s v="NO5_A2"/>
    <x v="16"/>
    <n v="4.9884429139200002"/>
    <n v="1.3856785871999999"/>
  </r>
  <r>
    <x v="0"/>
    <x v="8"/>
    <x v="7"/>
    <x v="15"/>
    <s v="NO5_A2"/>
    <x v="17"/>
    <n v="9.1244895875632395"/>
    <n v="2.5345804409897901"/>
  </r>
  <r>
    <x v="0"/>
    <x v="8"/>
    <x v="7"/>
    <x v="15"/>
    <s v="NO5_A2"/>
    <x v="18"/>
    <n v="21.5197083678542"/>
    <n v="5.9776967688483804"/>
  </r>
  <r>
    <x v="0"/>
    <x v="8"/>
    <x v="7"/>
    <x v="15"/>
    <s v="NO5_A2"/>
    <x v="19"/>
    <n v="8.1139884009941898"/>
    <n v="2.2538856669428302"/>
  </r>
  <r>
    <x v="0"/>
    <x v="8"/>
    <x v="7"/>
    <x v="15"/>
    <s v="NO5_A2"/>
    <x v="20"/>
    <n v="19.336735244541"/>
    <n v="5.37131534570584"/>
  </r>
  <r>
    <x v="0"/>
    <x v="8"/>
    <x v="7"/>
    <x v="15"/>
    <s v="NO5_A2"/>
    <x v="21"/>
    <n v="48.384"/>
    <n v="13.44"/>
  </r>
  <r>
    <x v="0"/>
    <x v="8"/>
    <x v="7"/>
    <x v="15"/>
    <s v="NO5_A2"/>
    <x v="22"/>
    <n v="79.847999999999999"/>
    <n v="22.18"/>
  </r>
  <r>
    <x v="0"/>
    <x v="8"/>
    <x v="7"/>
    <x v="15"/>
    <s v="NO5_A2"/>
    <x v="23"/>
    <n v="0.31515896120488701"/>
    <n v="8.7544155890246306E-2"/>
  </r>
  <r>
    <x v="0"/>
    <x v="8"/>
    <x v="7"/>
    <x v="15"/>
    <s v="NO5_A2"/>
    <x v="24"/>
    <n v="19.174223581093901"/>
    <n v="5.32617321697054"/>
  </r>
  <r>
    <x v="0"/>
    <x v="8"/>
    <x v="7"/>
    <x v="15"/>
    <s v="NO5_A2"/>
    <x v="25"/>
    <n v="22.356874337357301"/>
    <n v="6.2102428714881297"/>
  </r>
  <r>
    <x v="0"/>
    <x v="8"/>
    <x v="7"/>
    <x v="15"/>
    <s v="NO5_A2"/>
    <x v="26"/>
    <n v="29.6651032387655"/>
    <n v="8.2403064552126306"/>
  </r>
  <r>
    <x v="0"/>
    <x v="8"/>
    <x v="7"/>
    <x v="15"/>
    <s v="NO5_A2"/>
    <x v="27"/>
    <n v="20.163995508318798"/>
    <n v="5.6011098634218799"/>
  </r>
  <r>
    <x v="0"/>
    <x v="8"/>
    <x v="7"/>
    <x v="15"/>
    <s v="NO5_Offshore"/>
    <x v="1"/>
    <n v="35.989199999999997"/>
    <n v="9.9969999999999999"/>
  </r>
  <r>
    <x v="0"/>
    <x v="8"/>
    <x v="7"/>
    <x v="15"/>
    <s v="NO5_Offshore"/>
    <x v="2"/>
    <n v="48.384"/>
    <n v="13.44"/>
  </r>
  <r>
    <x v="0"/>
    <x v="8"/>
    <x v="7"/>
    <x v="15"/>
    <s v="NO5_Offshore"/>
    <x v="0"/>
    <n v="42.692399999999999"/>
    <n v="11.859"/>
  </r>
  <r>
    <x v="0"/>
    <x v="8"/>
    <x v="7"/>
    <x v="15"/>
    <s v="NO5_Offshore"/>
    <x v="3"/>
    <n v="51.633543144067197"/>
    <n v="14.342650873352"/>
  </r>
  <r>
    <x v="0"/>
    <x v="8"/>
    <x v="7"/>
    <x v="15"/>
    <s v="NO5_Offshore"/>
    <x v="4"/>
    <n v="8.1139884009941898"/>
    <n v="2.2538856669428302"/>
  </r>
  <r>
    <x v="0"/>
    <x v="8"/>
    <x v="7"/>
    <x v="15"/>
    <s v="NO5_Offshore"/>
    <x v="5"/>
    <n v="8.1139884009941898"/>
    <n v="2.2538856669428302"/>
  </r>
  <r>
    <x v="0"/>
    <x v="8"/>
    <x v="7"/>
    <x v="15"/>
    <s v="NO5_Offshore"/>
    <x v="6"/>
    <n v="29.476231795214598"/>
    <n v="8.1878421653373898"/>
  </r>
  <r>
    <x v="0"/>
    <x v="8"/>
    <x v="7"/>
    <x v="15"/>
    <s v="NO5_Offshore"/>
    <x v="7"/>
    <n v="57.838935220261199"/>
    <n v="16.066370894517"/>
  </r>
  <r>
    <x v="0"/>
    <x v="8"/>
    <x v="7"/>
    <x v="15"/>
    <s v="NO5_Offshore"/>
    <x v="8"/>
    <n v="57.838935220261199"/>
    <n v="16.066370894517"/>
  </r>
  <r>
    <x v="0"/>
    <x v="8"/>
    <x v="7"/>
    <x v="15"/>
    <s v="NO5_Offshore"/>
    <x v="9"/>
    <n v="44.803327257663497"/>
    <n v="12.4453686826843"/>
  </r>
  <r>
    <x v="0"/>
    <x v="8"/>
    <x v="7"/>
    <x v="15"/>
    <s v="NO5_Offshore"/>
    <x v="10"/>
    <n v="54.681226180612903"/>
    <n v="15.1892294946147"/>
  </r>
  <r>
    <x v="0"/>
    <x v="8"/>
    <x v="7"/>
    <x v="15"/>
    <s v="NO5_Offshore"/>
    <x v="11"/>
    <n v="3.8806031483015802"/>
    <n v="1.07794531897266"/>
  </r>
  <r>
    <x v="0"/>
    <x v="8"/>
    <x v="7"/>
    <x v="15"/>
    <s v="NO5_Offshore"/>
    <x v="12"/>
    <n v="9.7995028997514597E-2"/>
    <n v="2.72208413881985E-2"/>
  </r>
  <r>
    <x v="0"/>
    <x v="8"/>
    <x v="7"/>
    <x v="15"/>
    <s v="NO5_Offshore"/>
    <x v="13"/>
    <n v="21.5197083678542"/>
    <n v="5.9776967688483804"/>
  </r>
  <r>
    <x v="0"/>
    <x v="8"/>
    <x v="7"/>
    <x v="15"/>
    <s v="NO5_Offshore"/>
    <x v="14"/>
    <n v="21.5197083678542"/>
    <n v="5.9776967688483804"/>
  </r>
  <r>
    <x v="0"/>
    <x v="8"/>
    <x v="7"/>
    <x v="15"/>
    <s v="NO5_Offshore"/>
    <x v="15"/>
    <n v="1.65807589063794"/>
    <n v="0.46057663628831802"/>
  </r>
  <r>
    <x v="0"/>
    <x v="8"/>
    <x v="7"/>
    <x v="15"/>
    <s v="NO5_Offshore"/>
    <x v="16"/>
    <n v="4.9884429139200002"/>
    <n v="1.3856785871999999"/>
  </r>
  <r>
    <x v="0"/>
    <x v="8"/>
    <x v="7"/>
    <x v="15"/>
    <s v="NO5_Offshore"/>
    <x v="17"/>
    <n v="9.1244895875632395"/>
    <n v="2.5345804409897901"/>
  </r>
  <r>
    <x v="0"/>
    <x v="8"/>
    <x v="7"/>
    <x v="15"/>
    <s v="NO5_Offshore"/>
    <x v="18"/>
    <n v="21.5197083678542"/>
    <n v="5.9776967688483804"/>
  </r>
  <r>
    <x v="0"/>
    <x v="8"/>
    <x v="7"/>
    <x v="15"/>
    <s v="NO5_Offshore"/>
    <x v="19"/>
    <n v="8.1139884009941898"/>
    <n v="2.2538856669428302"/>
  </r>
  <r>
    <x v="0"/>
    <x v="8"/>
    <x v="7"/>
    <x v="15"/>
    <s v="NO5_Offshore"/>
    <x v="20"/>
    <n v="19.336735244541"/>
    <n v="5.37131534570584"/>
  </r>
  <r>
    <x v="0"/>
    <x v="8"/>
    <x v="7"/>
    <x v="15"/>
    <s v="NO5_Offshore"/>
    <x v="21"/>
    <n v="48.384"/>
    <n v="13.44"/>
  </r>
  <r>
    <x v="0"/>
    <x v="8"/>
    <x v="7"/>
    <x v="15"/>
    <s v="NO5_Offshore"/>
    <x v="22"/>
    <n v="79.847999999999999"/>
    <n v="22.18"/>
  </r>
  <r>
    <x v="0"/>
    <x v="8"/>
    <x v="7"/>
    <x v="15"/>
    <s v="NO5_Offshore"/>
    <x v="23"/>
    <n v="0.31515896120488701"/>
    <n v="8.7544155890246306E-2"/>
  </r>
  <r>
    <x v="0"/>
    <x v="8"/>
    <x v="7"/>
    <x v="15"/>
    <s v="NO5_Offshore"/>
    <x v="24"/>
    <n v="19.174223581093901"/>
    <n v="5.32617321697054"/>
  </r>
  <r>
    <x v="0"/>
    <x v="8"/>
    <x v="7"/>
    <x v="15"/>
    <s v="NO5_Offshore"/>
    <x v="25"/>
    <n v="22.356874337357301"/>
    <n v="6.2102428714881297"/>
  </r>
  <r>
    <x v="0"/>
    <x v="8"/>
    <x v="7"/>
    <x v="15"/>
    <s v="NO5_Offshore"/>
    <x v="26"/>
    <n v="29.6651032387655"/>
    <n v="8.2403064552126306"/>
  </r>
  <r>
    <x v="0"/>
    <x v="8"/>
    <x v="7"/>
    <x v="15"/>
    <s v="NO5_Offshore"/>
    <x v="27"/>
    <n v="20.163995508318798"/>
    <n v="5.6011098634218799"/>
  </r>
  <r>
    <x v="0"/>
    <x v="8"/>
    <x v="8"/>
    <x v="16"/>
    <s v="PL_A"/>
    <x v="1"/>
    <n v="35.989199999999997"/>
    <n v="9.9969999999999999"/>
  </r>
  <r>
    <x v="0"/>
    <x v="8"/>
    <x v="8"/>
    <x v="16"/>
    <s v="PL_A"/>
    <x v="2"/>
    <n v="48.384"/>
    <n v="13.44"/>
  </r>
  <r>
    <x v="0"/>
    <x v="8"/>
    <x v="8"/>
    <x v="16"/>
    <s v="PL_A"/>
    <x v="0"/>
    <n v="42.692399999999999"/>
    <n v="11.859"/>
  </r>
  <r>
    <x v="0"/>
    <x v="8"/>
    <x v="8"/>
    <x v="16"/>
    <s v="PL_A"/>
    <x v="3"/>
    <n v="51.633543144067197"/>
    <n v="14.342650873352"/>
  </r>
  <r>
    <x v="0"/>
    <x v="8"/>
    <x v="8"/>
    <x v="16"/>
    <s v="PL_A"/>
    <x v="4"/>
    <n v="8.1139884009941898"/>
    <n v="2.2538856669428302"/>
  </r>
  <r>
    <x v="0"/>
    <x v="8"/>
    <x v="8"/>
    <x v="16"/>
    <s v="PL_A"/>
    <x v="5"/>
    <n v="8.1139884009941898"/>
    <n v="2.2538856669428302"/>
  </r>
  <r>
    <x v="0"/>
    <x v="8"/>
    <x v="8"/>
    <x v="16"/>
    <s v="PL_A"/>
    <x v="6"/>
    <n v="29.476231795214598"/>
    <n v="8.1878421653373898"/>
  </r>
  <r>
    <x v="0"/>
    <x v="8"/>
    <x v="8"/>
    <x v="16"/>
    <s v="PL_A"/>
    <x v="7"/>
    <n v="57.838935220261199"/>
    <n v="16.066370894517"/>
  </r>
  <r>
    <x v="0"/>
    <x v="8"/>
    <x v="8"/>
    <x v="16"/>
    <s v="PL_A"/>
    <x v="8"/>
    <n v="57.838935220261199"/>
    <n v="16.066370894517"/>
  </r>
  <r>
    <x v="0"/>
    <x v="8"/>
    <x v="8"/>
    <x v="16"/>
    <s v="PL_A"/>
    <x v="9"/>
    <n v="44.803327257663497"/>
    <n v="12.4453686826843"/>
  </r>
  <r>
    <x v="0"/>
    <x v="8"/>
    <x v="8"/>
    <x v="16"/>
    <s v="PL_A"/>
    <x v="10"/>
    <n v="54.681226180612903"/>
    <n v="15.1892294946147"/>
  </r>
  <r>
    <x v="0"/>
    <x v="8"/>
    <x v="8"/>
    <x v="16"/>
    <s v="PL_A"/>
    <x v="11"/>
    <n v="3.8806031483015802"/>
    <n v="1.07794531897266"/>
  </r>
  <r>
    <x v="0"/>
    <x v="8"/>
    <x v="8"/>
    <x v="16"/>
    <s v="PL_A"/>
    <x v="12"/>
    <n v="9.7995028997514597E-2"/>
    <n v="2.72208413881985E-2"/>
  </r>
  <r>
    <x v="0"/>
    <x v="8"/>
    <x v="8"/>
    <x v="16"/>
    <s v="PL_A"/>
    <x v="13"/>
    <n v="21.5197083678542"/>
    <n v="5.9776967688483804"/>
  </r>
  <r>
    <x v="0"/>
    <x v="8"/>
    <x v="8"/>
    <x v="16"/>
    <s v="PL_A"/>
    <x v="14"/>
    <n v="21.5197083678542"/>
    <n v="5.9776967688483804"/>
  </r>
  <r>
    <x v="0"/>
    <x v="8"/>
    <x v="8"/>
    <x v="16"/>
    <s v="PL_A"/>
    <x v="15"/>
    <n v="1.65807589063794"/>
    <n v="0.46057663628831802"/>
  </r>
  <r>
    <x v="0"/>
    <x v="8"/>
    <x v="8"/>
    <x v="16"/>
    <s v="PL_A"/>
    <x v="16"/>
    <n v="4.9884429139200002"/>
    <n v="1.3856785871999999"/>
  </r>
  <r>
    <x v="0"/>
    <x v="8"/>
    <x v="8"/>
    <x v="16"/>
    <s v="PL_A"/>
    <x v="17"/>
    <n v="9.1244895875632395"/>
    <n v="2.5345804409897901"/>
  </r>
  <r>
    <x v="0"/>
    <x v="8"/>
    <x v="8"/>
    <x v="16"/>
    <s v="PL_A"/>
    <x v="18"/>
    <n v="21.5197083678542"/>
    <n v="5.9776967688483804"/>
  </r>
  <r>
    <x v="0"/>
    <x v="8"/>
    <x v="8"/>
    <x v="16"/>
    <s v="PL_A"/>
    <x v="19"/>
    <n v="8.1139884009941898"/>
    <n v="2.2538856669428302"/>
  </r>
  <r>
    <x v="0"/>
    <x v="8"/>
    <x v="8"/>
    <x v="16"/>
    <s v="PL_A"/>
    <x v="20"/>
    <n v="19.336735244541"/>
    <n v="5.37131534570584"/>
  </r>
  <r>
    <x v="0"/>
    <x v="8"/>
    <x v="8"/>
    <x v="16"/>
    <s v="PL_A"/>
    <x v="21"/>
    <n v="48.384"/>
    <n v="13.44"/>
  </r>
  <r>
    <x v="0"/>
    <x v="8"/>
    <x v="8"/>
    <x v="16"/>
    <s v="PL_A"/>
    <x v="22"/>
    <n v="79.847999999999999"/>
    <n v="22.18"/>
  </r>
  <r>
    <x v="0"/>
    <x v="8"/>
    <x v="8"/>
    <x v="16"/>
    <s v="PL_A"/>
    <x v="23"/>
    <n v="0.31515896120488701"/>
    <n v="8.7544155890246306E-2"/>
  </r>
  <r>
    <x v="0"/>
    <x v="8"/>
    <x v="8"/>
    <x v="16"/>
    <s v="PL_A"/>
    <x v="24"/>
    <n v="19.174223581093901"/>
    <n v="5.32617321697054"/>
  </r>
  <r>
    <x v="0"/>
    <x v="8"/>
    <x v="8"/>
    <x v="16"/>
    <s v="PL_A"/>
    <x v="25"/>
    <n v="22.356874337357301"/>
    <n v="6.2102428714881297"/>
  </r>
  <r>
    <x v="0"/>
    <x v="8"/>
    <x v="8"/>
    <x v="16"/>
    <s v="PL_A"/>
    <x v="26"/>
    <n v="29.6651032387655"/>
    <n v="8.2403064552126306"/>
  </r>
  <r>
    <x v="0"/>
    <x v="8"/>
    <x v="8"/>
    <x v="16"/>
    <s v="PL_A"/>
    <x v="27"/>
    <n v="20.163995508318798"/>
    <n v="5.6011098634218799"/>
  </r>
  <r>
    <x v="0"/>
    <x v="8"/>
    <x v="8"/>
    <x v="16"/>
    <s v="PL_OFFSHORE"/>
    <x v="1"/>
    <n v="35.989199999999997"/>
    <n v="9.9969999999999999"/>
  </r>
  <r>
    <x v="0"/>
    <x v="8"/>
    <x v="8"/>
    <x v="16"/>
    <s v="PL_OFFSHORE"/>
    <x v="2"/>
    <n v="48.384"/>
    <n v="13.44"/>
  </r>
  <r>
    <x v="0"/>
    <x v="8"/>
    <x v="8"/>
    <x v="16"/>
    <s v="PL_OFFSHORE"/>
    <x v="0"/>
    <n v="42.692399999999999"/>
    <n v="11.859"/>
  </r>
  <r>
    <x v="0"/>
    <x v="8"/>
    <x v="8"/>
    <x v="16"/>
    <s v="PL_OFFSHORE"/>
    <x v="3"/>
    <n v="51.633543144067197"/>
    <n v="14.342650873352"/>
  </r>
  <r>
    <x v="0"/>
    <x v="8"/>
    <x v="8"/>
    <x v="16"/>
    <s v="PL_OFFSHORE"/>
    <x v="4"/>
    <n v="8.1139884009941898"/>
    <n v="2.2538856669428302"/>
  </r>
  <r>
    <x v="0"/>
    <x v="8"/>
    <x v="8"/>
    <x v="16"/>
    <s v="PL_OFFSHORE"/>
    <x v="5"/>
    <n v="8.1139884009941898"/>
    <n v="2.2538856669428302"/>
  </r>
  <r>
    <x v="0"/>
    <x v="8"/>
    <x v="8"/>
    <x v="16"/>
    <s v="PL_OFFSHORE"/>
    <x v="6"/>
    <n v="29.476231795214598"/>
    <n v="8.1878421653373898"/>
  </r>
  <r>
    <x v="0"/>
    <x v="8"/>
    <x v="8"/>
    <x v="16"/>
    <s v="PL_OFFSHORE"/>
    <x v="7"/>
    <n v="57.838935220261199"/>
    <n v="16.066370894517"/>
  </r>
  <r>
    <x v="0"/>
    <x v="8"/>
    <x v="8"/>
    <x v="16"/>
    <s v="PL_OFFSHORE"/>
    <x v="8"/>
    <n v="57.838935220261199"/>
    <n v="16.066370894517"/>
  </r>
  <r>
    <x v="0"/>
    <x v="8"/>
    <x v="8"/>
    <x v="16"/>
    <s v="PL_OFFSHORE"/>
    <x v="9"/>
    <n v="44.803327257663497"/>
    <n v="12.4453686826843"/>
  </r>
  <r>
    <x v="0"/>
    <x v="8"/>
    <x v="8"/>
    <x v="16"/>
    <s v="PL_OFFSHORE"/>
    <x v="10"/>
    <n v="54.681226180612903"/>
    <n v="15.1892294946147"/>
  </r>
  <r>
    <x v="0"/>
    <x v="8"/>
    <x v="8"/>
    <x v="16"/>
    <s v="PL_OFFSHORE"/>
    <x v="11"/>
    <n v="3.8806031483015802"/>
    <n v="1.07794531897266"/>
  </r>
  <r>
    <x v="0"/>
    <x v="8"/>
    <x v="8"/>
    <x v="16"/>
    <s v="PL_OFFSHORE"/>
    <x v="12"/>
    <n v="9.7995028997514597E-2"/>
    <n v="2.72208413881985E-2"/>
  </r>
  <r>
    <x v="0"/>
    <x v="8"/>
    <x v="8"/>
    <x v="16"/>
    <s v="PL_OFFSHORE"/>
    <x v="13"/>
    <n v="21.5197083678542"/>
    <n v="5.9776967688483804"/>
  </r>
  <r>
    <x v="0"/>
    <x v="8"/>
    <x v="8"/>
    <x v="16"/>
    <s v="PL_OFFSHORE"/>
    <x v="14"/>
    <n v="21.5197083678542"/>
    <n v="5.9776967688483804"/>
  </r>
  <r>
    <x v="0"/>
    <x v="8"/>
    <x v="8"/>
    <x v="16"/>
    <s v="PL_OFFSHORE"/>
    <x v="15"/>
    <n v="1.65807589063794"/>
    <n v="0.46057663628831802"/>
  </r>
  <r>
    <x v="0"/>
    <x v="8"/>
    <x v="8"/>
    <x v="16"/>
    <s v="PL_OFFSHORE"/>
    <x v="16"/>
    <n v="4.9884429139200002"/>
    <n v="1.3856785871999999"/>
  </r>
  <r>
    <x v="0"/>
    <x v="8"/>
    <x v="8"/>
    <x v="16"/>
    <s v="PL_OFFSHORE"/>
    <x v="17"/>
    <n v="9.1244895875632395"/>
    <n v="2.5345804409897901"/>
  </r>
  <r>
    <x v="0"/>
    <x v="8"/>
    <x v="8"/>
    <x v="16"/>
    <s v="PL_OFFSHORE"/>
    <x v="18"/>
    <n v="21.5197083678542"/>
    <n v="5.9776967688483804"/>
  </r>
  <r>
    <x v="0"/>
    <x v="8"/>
    <x v="8"/>
    <x v="16"/>
    <s v="PL_OFFSHORE"/>
    <x v="19"/>
    <n v="8.1139884009941898"/>
    <n v="2.2538856669428302"/>
  </r>
  <r>
    <x v="0"/>
    <x v="8"/>
    <x v="8"/>
    <x v="16"/>
    <s v="PL_OFFSHORE"/>
    <x v="20"/>
    <n v="19.336735244541"/>
    <n v="5.37131534570584"/>
  </r>
  <r>
    <x v="0"/>
    <x v="8"/>
    <x v="8"/>
    <x v="16"/>
    <s v="PL_OFFSHORE"/>
    <x v="21"/>
    <n v="48.384"/>
    <n v="13.44"/>
  </r>
  <r>
    <x v="0"/>
    <x v="8"/>
    <x v="8"/>
    <x v="16"/>
    <s v="PL_OFFSHORE"/>
    <x v="22"/>
    <n v="79.847999999999999"/>
    <n v="22.18"/>
  </r>
  <r>
    <x v="0"/>
    <x v="8"/>
    <x v="8"/>
    <x v="16"/>
    <s v="PL_OFFSHORE"/>
    <x v="23"/>
    <n v="0.31515896120488701"/>
    <n v="8.7544155890246306E-2"/>
  </r>
  <r>
    <x v="0"/>
    <x v="8"/>
    <x v="8"/>
    <x v="16"/>
    <s v="PL_OFFSHORE"/>
    <x v="24"/>
    <n v="19.174223581093901"/>
    <n v="5.32617321697054"/>
  </r>
  <r>
    <x v="0"/>
    <x v="8"/>
    <x v="8"/>
    <x v="16"/>
    <s v="PL_OFFSHORE"/>
    <x v="25"/>
    <n v="22.356874337357301"/>
    <n v="6.2102428714881297"/>
  </r>
  <r>
    <x v="0"/>
    <x v="8"/>
    <x v="8"/>
    <x v="16"/>
    <s v="PL_OFFSHORE"/>
    <x v="26"/>
    <n v="29.6651032387655"/>
    <n v="8.2403064552126306"/>
  </r>
  <r>
    <x v="0"/>
    <x v="8"/>
    <x v="8"/>
    <x v="16"/>
    <s v="PL_OFFSHORE"/>
    <x v="27"/>
    <n v="20.163995508318798"/>
    <n v="5.6011098634218799"/>
  </r>
  <r>
    <x v="0"/>
    <x v="8"/>
    <x v="8"/>
    <x v="16"/>
    <s v="PL_Rural"/>
    <x v="1"/>
    <n v="35.989199999999997"/>
    <n v="9.9969999999999999"/>
  </r>
  <r>
    <x v="0"/>
    <x v="8"/>
    <x v="8"/>
    <x v="16"/>
    <s v="PL_Rural"/>
    <x v="2"/>
    <n v="48.384"/>
    <n v="13.44"/>
  </r>
  <r>
    <x v="0"/>
    <x v="8"/>
    <x v="8"/>
    <x v="16"/>
    <s v="PL_Rural"/>
    <x v="0"/>
    <n v="42.692399999999999"/>
    <n v="11.859"/>
  </r>
  <r>
    <x v="0"/>
    <x v="8"/>
    <x v="8"/>
    <x v="16"/>
    <s v="PL_Rural"/>
    <x v="3"/>
    <n v="51.633543144067197"/>
    <n v="14.342650873352"/>
  </r>
  <r>
    <x v="0"/>
    <x v="8"/>
    <x v="8"/>
    <x v="16"/>
    <s v="PL_Rural"/>
    <x v="4"/>
    <n v="8.1139884009941898"/>
    <n v="2.2538856669428302"/>
  </r>
  <r>
    <x v="0"/>
    <x v="8"/>
    <x v="8"/>
    <x v="16"/>
    <s v="PL_Rural"/>
    <x v="5"/>
    <n v="8.1139884009941898"/>
    <n v="2.2538856669428302"/>
  </r>
  <r>
    <x v="0"/>
    <x v="8"/>
    <x v="8"/>
    <x v="16"/>
    <s v="PL_Rural"/>
    <x v="6"/>
    <n v="29.476231795214598"/>
    <n v="8.1878421653373898"/>
  </r>
  <r>
    <x v="0"/>
    <x v="8"/>
    <x v="8"/>
    <x v="16"/>
    <s v="PL_Rural"/>
    <x v="7"/>
    <n v="57.838935220261199"/>
    <n v="16.066370894517"/>
  </r>
  <r>
    <x v="0"/>
    <x v="8"/>
    <x v="8"/>
    <x v="16"/>
    <s v="PL_Rural"/>
    <x v="8"/>
    <n v="57.838935220261199"/>
    <n v="16.066370894517"/>
  </r>
  <r>
    <x v="0"/>
    <x v="8"/>
    <x v="8"/>
    <x v="16"/>
    <s v="PL_Rural"/>
    <x v="9"/>
    <n v="44.803327257663497"/>
    <n v="12.4453686826843"/>
  </r>
  <r>
    <x v="0"/>
    <x v="8"/>
    <x v="8"/>
    <x v="16"/>
    <s v="PL_Rural"/>
    <x v="10"/>
    <n v="54.681226180612903"/>
    <n v="15.1892294946147"/>
  </r>
  <r>
    <x v="0"/>
    <x v="8"/>
    <x v="8"/>
    <x v="16"/>
    <s v="PL_Rural"/>
    <x v="11"/>
    <n v="3.8806031483015802"/>
    <n v="1.07794531897266"/>
  </r>
  <r>
    <x v="0"/>
    <x v="8"/>
    <x v="8"/>
    <x v="16"/>
    <s v="PL_Rural"/>
    <x v="12"/>
    <n v="9.7995028997514597E-2"/>
    <n v="2.72208413881985E-2"/>
  </r>
  <r>
    <x v="0"/>
    <x v="8"/>
    <x v="8"/>
    <x v="16"/>
    <s v="PL_Rural"/>
    <x v="13"/>
    <n v="21.5197083678542"/>
    <n v="5.9776967688483804"/>
  </r>
  <r>
    <x v="0"/>
    <x v="8"/>
    <x v="8"/>
    <x v="16"/>
    <s v="PL_Rural"/>
    <x v="14"/>
    <n v="21.5197083678542"/>
    <n v="5.9776967688483804"/>
  </r>
  <r>
    <x v="0"/>
    <x v="8"/>
    <x v="8"/>
    <x v="16"/>
    <s v="PL_Rural"/>
    <x v="15"/>
    <n v="1.65807589063794"/>
    <n v="0.46057663628831802"/>
  </r>
  <r>
    <x v="0"/>
    <x v="8"/>
    <x v="8"/>
    <x v="16"/>
    <s v="PL_Rural"/>
    <x v="16"/>
    <n v="4.9884429139200002"/>
    <n v="1.3856785871999999"/>
  </r>
  <r>
    <x v="0"/>
    <x v="8"/>
    <x v="8"/>
    <x v="16"/>
    <s v="PL_Rural"/>
    <x v="17"/>
    <n v="9.1244895875632395"/>
    <n v="2.5345804409897901"/>
  </r>
  <r>
    <x v="0"/>
    <x v="8"/>
    <x v="8"/>
    <x v="16"/>
    <s v="PL_Rural"/>
    <x v="18"/>
    <n v="21.5197083678542"/>
    <n v="5.9776967688483804"/>
  </r>
  <r>
    <x v="0"/>
    <x v="8"/>
    <x v="8"/>
    <x v="16"/>
    <s v="PL_Rural"/>
    <x v="19"/>
    <n v="8.1139884009941898"/>
    <n v="2.2538856669428302"/>
  </r>
  <r>
    <x v="0"/>
    <x v="8"/>
    <x v="8"/>
    <x v="16"/>
    <s v="PL_Rural"/>
    <x v="20"/>
    <n v="19.336735244541"/>
    <n v="5.37131534570584"/>
  </r>
  <r>
    <x v="0"/>
    <x v="8"/>
    <x v="8"/>
    <x v="16"/>
    <s v="PL_Rural"/>
    <x v="21"/>
    <n v="48.384"/>
    <n v="13.44"/>
  </r>
  <r>
    <x v="0"/>
    <x v="8"/>
    <x v="8"/>
    <x v="16"/>
    <s v="PL_Rural"/>
    <x v="22"/>
    <n v="79.847999999999999"/>
    <n v="22.18"/>
  </r>
  <r>
    <x v="0"/>
    <x v="8"/>
    <x v="8"/>
    <x v="16"/>
    <s v="PL_Rural"/>
    <x v="23"/>
    <n v="0.31515896120488701"/>
    <n v="8.7544155890246306E-2"/>
  </r>
  <r>
    <x v="0"/>
    <x v="8"/>
    <x v="8"/>
    <x v="16"/>
    <s v="PL_Rural"/>
    <x v="24"/>
    <n v="19.174223581093901"/>
    <n v="5.32617321697054"/>
  </r>
  <r>
    <x v="0"/>
    <x v="8"/>
    <x v="8"/>
    <x v="16"/>
    <s v="PL_Rural"/>
    <x v="25"/>
    <n v="22.356874337357301"/>
    <n v="6.2102428714881297"/>
  </r>
  <r>
    <x v="0"/>
    <x v="8"/>
    <x v="8"/>
    <x v="16"/>
    <s v="PL_Rural"/>
    <x v="26"/>
    <n v="29.6651032387655"/>
    <n v="8.2403064552126306"/>
  </r>
  <r>
    <x v="0"/>
    <x v="8"/>
    <x v="8"/>
    <x v="16"/>
    <s v="PL_Rural"/>
    <x v="27"/>
    <n v="20.163995508318798"/>
    <n v="5.6011098634218799"/>
  </r>
  <r>
    <x v="0"/>
    <x v="8"/>
    <x v="9"/>
    <x v="17"/>
    <s v="SE1A"/>
    <x v="1"/>
    <n v="35.989199999999997"/>
    <n v="9.9969999999999999"/>
  </r>
  <r>
    <x v="0"/>
    <x v="8"/>
    <x v="9"/>
    <x v="17"/>
    <s v="SE1A"/>
    <x v="2"/>
    <n v="48.384"/>
    <n v="13.44"/>
  </r>
  <r>
    <x v="0"/>
    <x v="8"/>
    <x v="9"/>
    <x v="17"/>
    <s v="SE1A"/>
    <x v="0"/>
    <n v="42.692399999999999"/>
    <n v="11.859"/>
  </r>
  <r>
    <x v="0"/>
    <x v="8"/>
    <x v="9"/>
    <x v="17"/>
    <s v="SE1A"/>
    <x v="3"/>
    <n v="51.633543144067197"/>
    <n v="14.342650873352"/>
  </r>
  <r>
    <x v="0"/>
    <x v="8"/>
    <x v="9"/>
    <x v="17"/>
    <s v="SE1A"/>
    <x v="4"/>
    <n v="8.1139884009941898"/>
    <n v="2.2538856669428302"/>
  </r>
  <r>
    <x v="0"/>
    <x v="8"/>
    <x v="9"/>
    <x v="17"/>
    <s v="SE1A"/>
    <x v="5"/>
    <n v="8.1139884009941898"/>
    <n v="2.2538856669428302"/>
  </r>
  <r>
    <x v="0"/>
    <x v="8"/>
    <x v="9"/>
    <x v="17"/>
    <s v="SE1A"/>
    <x v="6"/>
    <n v="29.476231795214598"/>
    <n v="8.1878421653373898"/>
  </r>
  <r>
    <x v="0"/>
    <x v="8"/>
    <x v="9"/>
    <x v="17"/>
    <s v="SE1A"/>
    <x v="7"/>
    <n v="57.838935220261199"/>
    <n v="16.066370894517"/>
  </r>
  <r>
    <x v="0"/>
    <x v="8"/>
    <x v="9"/>
    <x v="17"/>
    <s v="SE1A"/>
    <x v="8"/>
    <n v="57.838935220261199"/>
    <n v="16.066370894517"/>
  </r>
  <r>
    <x v="0"/>
    <x v="8"/>
    <x v="9"/>
    <x v="17"/>
    <s v="SE1A"/>
    <x v="9"/>
    <n v="44.803327257663497"/>
    <n v="12.4453686826843"/>
  </r>
  <r>
    <x v="0"/>
    <x v="8"/>
    <x v="9"/>
    <x v="17"/>
    <s v="SE1A"/>
    <x v="10"/>
    <n v="54.681226180612903"/>
    <n v="15.1892294946147"/>
  </r>
  <r>
    <x v="0"/>
    <x v="8"/>
    <x v="9"/>
    <x v="17"/>
    <s v="SE1A"/>
    <x v="11"/>
    <n v="3.8806031483015802"/>
    <n v="1.07794531897266"/>
  </r>
  <r>
    <x v="0"/>
    <x v="8"/>
    <x v="9"/>
    <x v="17"/>
    <s v="SE1A"/>
    <x v="12"/>
    <n v="9.7995028997514597E-2"/>
    <n v="2.72208413881985E-2"/>
  </r>
  <r>
    <x v="0"/>
    <x v="8"/>
    <x v="9"/>
    <x v="17"/>
    <s v="SE1A"/>
    <x v="13"/>
    <n v="21.5197083678542"/>
    <n v="5.9776967688483804"/>
  </r>
  <r>
    <x v="0"/>
    <x v="8"/>
    <x v="9"/>
    <x v="17"/>
    <s v="SE1A"/>
    <x v="14"/>
    <n v="21.5197083678542"/>
    <n v="5.9776967688483804"/>
  </r>
  <r>
    <x v="0"/>
    <x v="8"/>
    <x v="9"/>
    <x v="17"/>
    <s v="SE1A"/>
    <x v="15"/>
    <n v="1.65807589063794"/>
    <n v="0.46057663628831802"/>
  </r>
  <r>
    <x v="0"/>
    <x v="8"/>
    <x v="9"/>
    <x v="17"/>
    <s v="SE1A"/>
    <x v="16"/>
    <n v="4.9884429139200002"/>
    <n v="1.3856785871999999"/>
  </r>
  <r>
    <x v="0"/>
    <x v="8"/>
    <x v="9"/>
    <x v="17"/>
    <s v="SE1A"/>
    <x v="17"/>
    <n v="9.1244895875632395"/>
    <n v="2.5345804409897901"/>
  </r>
  <r>
    <x v="0"/>
    <x v="8"/>
    <x v="9"/>
    <x v="17"/>
    <s v="SE1A"/>
    <x v="18"/>
    <n v="21.5197083678542"/>
    <n v="5.9776967688483804"/>
  </r>
  <r>
    <x v="0"/>
    <x v="8"/>
    <x v="9"/>
    <x v="17"/>
    <s v="SE1A"/>
    <x v="19"/>
    <n v="8.1139884009941898"/>
    <n v="2.2538856669428302"/>
  </r>
  <r>
    <x v="0"/>
    <x v="8"/>
    <x v="9"/>
    <x v="17"/>
    <s v="SE1A"/>
    <x v="20"/>
    <n v="19.336735244541"/>
    <n v="5.37131534570584"/>
  </r>
  <r>
    <x v="0"/>
    <x v="8"/>
    <x v="9"/>
    <x v="17"/>
    <s v="SE1A"/>
    <x v="21"/>
    <n v="48.384"/>
    <n v="13.44"/>
  </r>
  <r>
    <x v="0"/>
    <x v="8"/>
    <x v="9"/>
    <x v="17"/>
    <s v="SE1A"/>
    <x v="22"/>
    <n v="79.847999999999999"/>
    <n v="22.18"/>
  </r>
  <r>
    <x v="0"/>
    <x v="8"/>
    <x v="9"/>
    <x v="17"/>
    <s v="SE1A"/>
    <x v="23"/>
    <n v="0.31515896120488701"/>
    <n v="8.7544155890246306E-2"/>
  </r>
  <r>
    <x v="0"/>
    <x v="8"/>
    <x v="9"/>
    <x v="17"/>
    <s v="SE1A"/>
    <x v="24"/>
    <n v="19.174223581093901"/>
    <n v="5.32617321697054"/>
  </r>
  <r>
    <x v="0"/>
    <x v="8"/>
    <x v="9"/>
    <x v="17"/>
    <s v="SE1A"/>
    <x v="25"/>
    <n v="22.356874337357301"/>
    <n v="6.2102428714881297"/>
  </r>
  <r>
    <x v="0"/>
    <x v="8"/>
    <x v="9"/>
    <x v="17"/>
    <s v="SE1A"/>
    <x v="26"/>
    <n v="29.6651032387655"/>
    <n v="8.2403064552126306"/>
  </r>
  <r>
    <x v="0"/>
    <x v="8"/>
    <x v="9"/>
    <x v="17"/>
    <s v="SE1A"/>
    <x v="27"/>
    <n v="20.163995508318798"/>
    <n v="5.6011098634218799"/>
  </r>
  <r>
    <x v="0"/>
    <x v="8"/>
    <x v="9"/>
    <x v="17"/>
    <s v="SE1_IND"/>
    <x v="1"/>
    <n v="35.989199999999997"/>
    <n v="9.9969999999999999"/>
  </r>
  <r>
    <x v="0"/>
    <x v="8"/>
    <x v="9"/>
    <x v="17"/>
    <s v="SE1_IND"/>
    <x v="2"/>
    <n v="48.384"/>
    <n v="13.44"/>
  </r>
  <r>
    <x v="0"/>
    <x v="8"/>
    <x v="9"/>
    <x v="17"/>
    <s v="SE1_IND"/>
    <x v="0"/>
    <n v="42.692399999999999"/>
    <n v="11.859"/>
  </r>
  <r>
    <x v="0"/>
    <x v="8"/>
    <x v="9"/>
    <x v="17"/>
    <s v="SE1_IND"/>
    <x v="3"/>
    <n v="51.633543144067197"/>
    <n v="14.342650873352"/>
  </r>
  <r>
    <x v="0"/>
    <x v="8"/>
    <x v="9"/>
    <x v="17"/>
    <s v="SE1_IND"/>
    <x v="4"/>
    <n v="8.1139884009941898"/>
    <n v="2.2538856669428302"/>
  </r>
  <r>
    <x v="0"/>
    <x v="8"/>
    <x v="9"/>
    <x v="17"/>
    <s v="SE1_IND"/>
    <x v="5"/>
    <n v="8.1139884009941898"/>
    <n v="2.2538856669428302"/>
  </r>
  <r>
    <x v="0"/>
    <x v="8"/>
    <x v="9"/>
    <x v="17"/>
    <s v="SE1_IND"/>
    <x v="6"/>
    <n v="29.476231795214598"/>
    <n v="8.1878421653373898"/>
  </r>
  <r>
    <x v="0"/>
    <x v="8"/>
    <x v="9"/>
    <x v="17"/>
    <s v="SE1_IND"/>
    <x v="7"/>
    <n v="57.838935220261199"/>
    <n v="16.066370894517"/>
  </r>
  <r>
    <x v="0"/>
    <x v="8"/>
    <x v="9"/>
    <x v="17"/>
    <s v="SE1_IND"/>
    <x v="8"/>
    <n v="57.838935220261199"/>
    <n v="16.066370894517"/>
  </r>
  <r>
    <x v="0"/>
    <x v="8"/>
    <x v="9"/>
    <x v="17"/>
    <s v="SE1_IND"/>
    <x v="9"/>
    <n v="44.803327257663497"/>
    <n v="12.4453686826843"/>
  </r>
  <r>
    <x v="0"/>
    <x v="8"/>
    <x v="9"/>
    <x v="17"/>
    <s v="SE1_IND"/>
    <x v="10"/>
    <n v="54.681226180612903"/>
    <n v="15.1892294946147"/>
  </r>
  <r>
    <x v="0"/>
    <x v="8"/>
    <x v="9"/>
    <x v="17"/>
    <s v="SE1_IND"/>
    <x v="11"/>
    <n v="3.8806031483015802"/>
    <n v="1.07794531897266"/>
  </r>
  <r>
    <x v="0"/>
    <x v="8"/>
    <x v="9"/>
    <x v="17"/>
    <s v="SE1_IND"/>
    <x v="12"/>
    <n v="9.7995028997514597E-2"/>
    <n v="2.72208413881985E-2"/>
  </r>
  <r>
    <x v="0"/>
    <x v="8"/>
    <x v="9"/>
    <x v="17"/>
    <s v="SE1_IND"/>
    <x v="13"/>
    <n v="21.5197083678542"/>
    <n v="5.9776967688483804"/>
  </r>
  <r>
    <x v="0"/>
    <x v="8"/>
    <x v="9"/>
    <x v="17"/>
    <s v="SE1_IND"/>
    <x v="14"/>
    <n v="21.5197083678542"/>
    <n v="5.9776967688483804"/>
  </r>
  <r>
    <x v="0"/>
    <x v="8"/>
    <x v="9"/>
    <x v="17"/>
    <s v="SE1_IND"/>
    <x v="15"/>
    <n v="1.65807589063794"/>
    <n v="0.46057663628831802"/>
  </r>
  <r>
    <x v="0"/>
    <x v="8"/>
    <x v="9"/>
    <x v="17"/>
    <s v="SE1_IND"/>
    <x v="16"/>
    <n v="4.9884429139200002"/>
    <n v="1.3856785871999999"/>
  </r>
  <r>
    <x v="0"/>
    <x v="8"/>
    <x v="9"/>
    <x v="17"/>
    <s v="SE1_IND"/>
    <x v="17"/>
    <n v="9.1244895875632395"/>
    <n v="2.5345804409897901"/>
  </r>
  <r>
    <x v="0"/>
    <x v="8"/>
    <x v="9"/>
    <x v="17"/>
    <s v="SE1_IND"/>
    <x v="18"/>
    <n v="21.5197083678542"/>
    <n v="5.9776967688483804"/>
  </r>
  <r>
    <x v="0"/>
    <x v="8"/>
    <x v="9"/>
    <x v="17"/>
    <s v="SE1_IND"/>
    <x v="19"/>
    <n v="8.1139884009941898"/>
    <n v="2.2538856669428302"/>
  </r>
  <r>
    <x v="0"/>
    <x v="8"/>
    <x v="9"/>
    <x v="17"/>
    <s v="SE1_IND"/>
    <x v="20"/>
    <n v="19.336735244541"/>
    <n v="5.37131534570584"/>
  </r>
  <r>
    <x v="0"/>
    <x v="8"/>
    <x v="9"/>
    <x v="17"/>
    <s v="SE1_IND"/>
    <x v="21"/>
    <n v="48.384"/>
    <n v="13.44"/>
  </r>
  <r>
    <x v="0"/>
    <x v="8"/>
    <x v="9"/>
    <x v="17"/>
    <s v="SE1_IND"/>
    <x v="22"/>
    <n v="79.847999999999999"/>
    <n v="22.18"/>
  </r>
  <r>
    <x v="0"/>
    <x v="8"/>
    <x v="9"/>
    <x v="17"/>
    <s v="SE1_IND"/>
    <x v="23"/>
    <n v="0.31515896120488701"/>
    <n v="8.7544155890246306E-2"/>
  </r>
  <r>
    <x v="0"/>
    <x v="8"/>
    <x v="9"/>
    <x v="17"/>
    <s v="SE1_IND"/>
    <x v="24"/>
    <n v="19.174223581093901"/>
    <n v="5.32617321697054"/>
  </r>
  <r>
    <x v="0"/>
    <x v="8"/>
    <x v="9"/>
    <x v="17"/>
    <s v="SE1_IND"/>
    <x v="25"/>
    <n v="22.356874337357301"/>
    <n v="6.2102428714881297"/>
  </r>
  <r>
    <x v="0"/>
    <x v="8"/>
    <x v="9"/>
    <x v="17"/>
    <s v="SE1_IND"/>
    <x v="26"/>
    <n v="29.6651032387655"/>
    <n v="8.2403064552126306"/>
  </r>
  <r>
    <x v="0"/>
    <x v="8"/>
    <x v="9"/>
    <x v="17"/>
    <s v="SE1_IND"/>
    <x v="27"/>
    <n v="20.163995508318798"/>
    <n v="5.6011098634218799"/>
  </r>
  <r>
    <x v="0"/>
    <x v="8"/>
    <x v="9"/>
    <x v="17"/>
    <s v="SE1_Offshore"/>
    <x v="1"/>
    <n v="35.989199999999997"/>
    <n v="9.9969999999999999"/>
  </r>
  <r>
    <x v="0"/>
    <x v="8"/>
    <x v="9"/>
    <x v="17"/>
    <s v="SE1_Offshore"/>
    <x v="2"/>
    <n v="48.384"/>
    <n v="13.44"/>
  </r>
  <r>
    <x v="0"/>
    <x v="8"/>
    <x v="9"/>
    <x v="17"/>
    <s v="SE1_Offshore"/>
    <x v="0"/>
    <n v="42.692399999999999"/>
    <n v="11.859"/>
  </r>
  <r>
    <x v="0"/>
    <x v="8"/>
    <x v="9"/>
    <x v="17"/>
    <s v="SE1_Offshore"/>
    <x v="3"/>
    <n v="51.633543144067197"/>
    <n v="14.342650873352"/>
  </r>
  <r>
    <x v="0"/>
    <x v="8"/>
    <x v="9"/>
    <x v="17"/>
    <s v="SE1_Offshore"/>
    <x v="4"/>
    <n v="8.1139884009941898"/>
    <n v="2.2538856669428302"/>
  </r>
  <r>
    <x v="0"/>
    <x v="8"/>
    <x v="9"/>
    <x v="17"/>
    <s v="SE1_Offshore"/>
    <x v="5"/>
    <n v="8.1139884009941898"/>
    <n v="2.2538856669428302"/>
  </r>
  <r>
    <x v="0"/>
    <x v="8"/>
    <x v="9"/>
    <x v="17"/>
    <s v="SE1_Offshore"/>
    <x v="6"/>
    <n v="29.476231795214598"/>
    <n v="8.1878421653373898"/>
  </r>
  <r>
    <x v="0"/>
    <x v="8"/>
    <x v="9"/>
    <x v="17"/>
    <s v="SE1_Offshore"/>
    <x v="7"/>
    <n v="57.838935220261199"/>
    <n v="16.066370894517"/>
  </r>
  <r>
    <x v="0"/>
    <x v="8"/>
    <x v="9"/>
    <x v="17"/>
    <s v="SE1_Offshore"/>
    <x v="8"/>
    <n v="57.838935220261199"/>
    <n v="16.066370894517"/>
  </r>
  <r>
    <x v="0"/>
    <x v="8"/>
    <x v="9"/>
    <x v="17"/>
    <s v="SE1_Offshore"/>
    <x v="9"/>
    <n v="44.803327257663497"/>
    <n v="12.4453686826843"/>
  </r>
  <r>
    <x v="0"/>
    <x v="8"/>
    <x v="9"/>
    <x v="17"/>
    <s v="SE1_Offshore"/>
    <x v="10"/>
    <n v="54.681226180612903"/>
    <n v="15.1892294946147"/>
  </r>
  <r>
    <x v="0"/>
    <x v="8"/>
    <x v="9"/>
    <x v="17"/>
    <s v="SE1_Offshore"/>
    <x v="11"/>
    <n v="3.8806031483015802"/>
    <n v="1.07794531897266"/>
  </r>
  <r>
    <x v="0"/>
    <x v="8"/>
    <x v="9"/>
    <x v="17"/>
    <s v="SE1_Offshore"/>
    <x v="12"/>
    <n v="9.7995028997514597E-2"/>
    <n v="2.72208413881985E-2"/>
  </r>
  <r>
    <x v="0"/>
    <x v="8"/>
    <x v="9"/>
    <x v="17"/>
    <s v="SE1_Offshore"/>
    <x v="13"/>
    <n v="21.5197083678542"/>
    <n v="5.9776967688483804"/>
  </r>
  <r>
    <x v="0"/>
    <x v="8"/>
    <x v="9"/>
    <x v="17"/>
    <s v="SE1_Offshore"/>
    <x v="14"/>
    <n v="21.5197083678542"/>
    <n v="5.9776967688483804"/>
  </r>
  <r>
    <x v="0"/>
    <x v="8"/>
    <x v="9"/>
    <x v="17"/>
    <s v="SE1_Offshore"/>
    <x v="15"/>
    <n v="1.65807589063794"/>
    <n v="0.46057663628831802"/>
  </r>
  <r>
    <x v="0"/>
    <x v="8"/>
    <x v="9"/>
    <x v="17"/>
    <s v="SE1_Offshore"/>
    <x v="16"/>
    <n v="4.9884429139200002"/>
    <n v="1.3856785871999999"/>
  </r>
  <r>
    <x v="0"/>
    <x v="8"/>
    <x v="9"/>
    <x v="17"/>
    <s v="SE1_Offshore"/>
    <x v="17"/>
    <n v="9.1244895875632395"/>
    <n v="2.5345804409897901"/>
  </r>
  <r>
    <x v="0"/>
    <x v="8"/>
    <x v="9"/>
    <x v="17"/>
    <s v="SE1_Offshore"/>
    <x v="18"/>
    <n v="21.5197083678542"/>
    <n v="5.9776967688483804"/>
  </r>
  <r>
    <x v="0"/>
    <x v="8"/>
    <x v="9"/>
    <x v="17"/>
    <s v="SE1_Offshore"/>
    <x v="19"/>
    <n v="8.1139884009941898"/>
    <n v="2.2538856669428302"/>
  </r>
  <r>
    <x v="0"/>
    <x v="8"/>
    <x v="9"/>
    <x v="17"/>
    <s v="SE1_Offshore"/>
    <x v="20"/>
    <n v="19.336735244541"/>
    <n v="5.37131534570584"/>
  </r>
  <r>
    <x v="0"/>
    <x v="8"/>
    <x v="9"/>
    <x v="17"/>
    <s v="SE1_Offshore"/>
    <x v="21"/>
    <n v="48.384"/>
    <n v="13.44"/>
  </r>
  <r>
    <x v="0"/>
    <x v="8"/>
    <x v="9"/>
    <x v="17"/>
    <s v="SE1_Offshore"/>
    <x v="22"/>
    <n v="79.847999999999999"/>
    <n v="22.18"/>
  </r>
  <r>
    <x v="0"/>
    <x v="8"/>
    <x v="9"/>
    <x v="17"/>
    <s v="SE1_Offshore"/>
    <x v="23"/>
    <n v="0.31515896120488701"/>
    <n v="8.7544155890246306E-2"/>
  </r>
  <r>
    <x v="0"/>
    <x v="8"/>
    <x v="9"/>
    <x v="17"/>
    <s v="SE1_Offshore"/>
    <x v="24"/>
    <n v="19.174223581093901"/>
    <n v="5.32617321697054"/>
  </r>
  <r>
    <x v="0"/>
    <x v="8"/>
    <x v="9"/>
    <x v="17"/>
    <s v="SE1_Offshore"/>
    <x v="25"/>
    <n v="22.356874337357301"/>
    <n v="6.2102428714881297"/>
  </r>
  <r>
    <x v="0"/>
    <x v="8"/>
    <x v="9"/>
    <x v="17"/>
    <s v="SE1_Offshore"/>
    <x v="26"/>
    <n v="29.6651032387655"/>
    <n v="8.2403064552126306"/>
  </r>
  <r>
    <x v="0"/>
    <x v="8"/>
    <x v="9"/>
    <x v="17"/>
    <s v="SE1_Offshore"/>
    <x v="27"/>
    <n v="20.163995508318798"/>
    <n v="5.6011098634218799"/>
  </r>
  <r>
    <x v="0"/>
    <x v="8"/>
    <x v="9"/>
    <x v="17"/>
    <s v="SE1_medium"/>
    <x v="1"/>
    <n v="35.989199999999997"/>
    <n v="9.9969999999999999"/>
  </r>
  <r>
    <x v="0"/>
    <x v="8"/>
    <x v="9"/>
    <x v="17"/>
    <s v="SE1_medium"/>
    <x v="2"/>
    <n v="48.384"/>
    <n v="13.44"/>
  </r>
  <r>
    <x v="0"/>
    <x v="8"/>
    <x v="9"/>
    <x v="17"/>
    <s v="SE1_medium"/>
    <x v="0"/>
    <n v="42.692399999999999"/>
    <n v="11.859"/>
  </r>
  <r>
    <x v="0"/>
    <x v="8"/>
    <x v="9"/>
    <x v="17"/>
    <s v="SE1_medium"/>
    <x v="3"/>
    <n v="51.633543144067197"/>
    <n v="14.342650873352"/>
  </r>
  <r>
    <x v="0"/>
    <x v="8"/>
    <x v="9"/>
    <x v="17"/>
    <s v="SE1_medium"/>
    <x v="4"/>
    <n v="8.1139884009941898"/>
    <n v="2.2538856669428302"/>
  </r>
  <r>
    <x v="0"/>
    <x v="8"/>
    <x v="9"/>
    <x v="17"/>
    <s v="SE1_medium"/>
    <x v="5"/>
    <n v="8.1139884009941898"/>
    <n v="2.2538856669428302"/>
  </r>
  <r>
    <x v="0"/>
    <x v="8"/>
    <x v="9"/>
    <x v="17"/>
    <s v="SE1_medium"/>
    <x v="6"/>
    <n v="29.476231795214598"/>
    <n v="8.1878421653373898"/>
  </r>
  <r>
    <x v="0"/>
    <x v="8"/>
    <x v="9"/>
    <x v="17"/>
    <s v="SE1_medium"/>
    <x v="7"/>
    <n v="57.838935220261199"/>
    <n v="16.066370894517"/>
  </r>
  <r>
    <x v="0"/>
    <x v="8"/>
    <x v="9"/>
    <x v="17"/>
    <s v="SE1_medium"/>
    <x v="8"/>
    <n v="57.838935220261199"/>
    <n v="16.066370894517"/>
  </r>
  <r>
    <x v="0"/>
    <x v="8"/>
    <x v="9"/>
    <x v="17"/>
    <s v="SE1_medium"/>
    <x v="9"/>
    <n v="44.803327257663497"/>
    <n v="12.4453686826843"/>
  </r>
  <r>
    <x v="0"/>
    <x v="8"/>
    <x v="9"/>
    <x v="17"/>
    <s v="SE1_medium"/>
    <x v="10"/>
    <n v="54.681226180612903"/>
    <n v="15.1892294946147"/>
  </r>
  <r>
    <x v="0"/>
    <x v="8"/>
    <x v="9"/>
    <x v="17"/>
    <s v="SE1_medium"/>
    <x v="11"/>
    <n v="3.8806031483015802"/>
    <n v="1.07794531897266"/>
  </r>
  <r>
    <x v="0"/>
    <x v="8"/>
    <x v="9"/>
    <x v="17"/>
    <s v="SE1_medium"/>
    <x v="12"/>
    <n v="9.7995028997514597E-2"/>
    <n v="2.72208413881985E-2"/>
  </r>
  <r>
    <x v="0"/>
    <x v="8"/>
    <x v="9"/>
    <x v="17"/>
    <s v="SE1_medium"/>
    <x v="13"/>
    <n v="21.5197083678542"/>
    <n v="5.9776967688483804"/>
  </r>
  <r>
    <x v="0"/>
    <x v="8"/>
    <x v="9"/>
    <x v="17"/>
    <s v="SE1_medium"/>
    <x v="14"/>
    <n v="21.5197083678542"/>
    <n v="5.9776967688483804"/>
  </r>
  <r>
    <x v="0"/>
    <x v="8"/>
    <x v="9"/>
    <x v="17"/>
    <s v="SE1_medium"/>
    <x v="15"/>
    <n v="1.65807589063794"/>
    <n v="0.46057663628831802"/>
  </r>
  <r>
    <x v="0"/>
    <x v="8"/>
    <x v="9"/>
    <x v="17"/>
    <s v="SE1_medium"/>
    <x v="16"/>
    <n v="4.9884429139200002"/>
    <n v="1.3856785871999999"/>
  </r>
  <r>
    <x v="0"/>
    <x v="8"/>
    <x v="9"/>
    <x v="17"/>
    <s v="SE1_medium"/>
    <x v="17"/>
    <n v="9.1244895875632395"/>
    <n v="2.5345804409897901"/>
  </r>
  <r>
    <x v="0"/>
    <x v="8"/>
    <x v="9"/>
    <x v="17"/>
    <s v="SE1_medium"/>
    <x v="18"/>
    <n v="21.5197083678542"/>
    <n v="5.9776967688483804"/>
  </r>
  <r>
    <x v="0"/>
    <x v="8"/>
    <x v="9"/>
    <x v="17"/>
    <s v="SE1_medium"/>
    <x v="19"/>
    <n v="8.1139884009941898"/>
    <n v="2.2538856669428302"/>
  </r>
  <r>
    <x v="0"/>
    <x v="8"/>
    <x v="9"/>
    <x v="17"/>
    <s v="SE1_medium"/>
    <x v="20"/>
    <n v="19.336735244541"/>
    <n v="5.37131534570584"/>
  </r>
  <r>
    <x v="0"/>
    <x v="8"/>
    <x v="9"/>
    <x v="17"/>
    <s v="SE1_medium"/>
    <x v="21"/>
    <n v="48.384"/>
    <n v="13.44"/>
  </r>
  <r>
    <x v="0"/>
    <x v="8"/>
    <x v="9"/>
    <x v="17"/>
    <s v="SE1_medium"/>
    <x v="22"/>
    <n v="79.847999999999999"/>
    <n v="22.18"/>
  </r>
  <r>
    <x v="0"/>
    <x v="8"/>
    <x v="9"/>
    <x v="17"/>
    <s v="SE1_medium"/>
    <x v="23"/>
    <n v="0.31515896120488701"/>
    <n v="8.7544155890246306E-2"/>
  </r>
  <r>
    <x v="0"/>
    <x v="8"/>
    <x v="9"/>
    <x v="17"/>
    <s v="SE1_medium"/>
    <x v="24"/>
    <n v="19.174223581093901"/>
    <n v="5.32617321697054"/>
  </r>
  <r>
    <x v="0"/>
    <x v="8"/>
    <x v="9"/>
    <x v="17"/>
    <s v="SE1_medium"/>
    <x v="25"/>
    <n v="22.356874337357301"/>
    <n v="6.2102428714881297"/>
  </r>
  <r>
    <x v="0"/>
    <x v="8"/>
    <x v="9"/>
    <x v="17"/>
    <s v="SE1_medium"/>
    <x v="26"/>
    <n v="29.6651032387655"/>
    <n v="8.2403064552126306"/>
  </r>
  <r>
    <x v="0"/>
    <x v="8"/>
    <x v="9"/>
    <x v="17"/>
    <s v="SE1_medium"/>
    <x v="27"/>
    <n v="20.163995508318798"/>
    <n v="5.6011098634218799"/>
  </r>
  <r>
    <x v="0"/>
    <x v="8"/>
    <x v="9"/>
    <x v="17"/>
    <s v="SE1_small"/>
    <x v="1"/>
    <n v="35.989199999999997"/>
    <n v="9.9969999999999999"/>
  </r>
  <r>
    <x v="0"/>
    <x v="8"/>
    <x v="9"/>
    <x v="17"/>
    <s v="SE1_small"/>
    <x v="2"/>
    <n v="48.384"/>
    <n v="13.44"/>
  </r>
  <r>
    <x v="0"/>
    <x v="8"/>
    <x v="9"/>
    <x v="17"/>
    <s v="SE1_small"/>
    <x v="0"/>
    <n v="42.692399999999999"/>
    <n v="11.859"/>
  </r>
  <r>
    <x v="0"/>
    <x v="8"/>
    <x v="9"/>
    <x v="17"/>
    <s v="SE1_small"/>
    <x v="3"/>
    <n v="51.633543144067197"/>
    <n v="14.342650873352"/>
  </r>
  <r>
    <x v="0"/>
    <x v="8"/>
    <x v="9"/>
    <x v="17"/>
    <s v="SE1_small"/>
    <x v="4"/>
    <n v="8.1139884009941898"/>
    <n v="2.2538856669428302"/>
  </r>
  <r>
    <x v="0"/>
    <x v="8"/>
    <x v="9"/>
    <x v="17"/>
    <s v="SE1_small"/>
    <x v="5"/>
    <n v="8.1139884009941898"/>
    <n v="2.2538856669428302"/>
  </r>
  <r>
    <x v="0"/>
    <x v="8"/>
    <x v="9"/>
    <x v="17"/>
    <s v="SE1_small"/>
    <x v="6"/>
    <n v="29.476231795214598"/>
    <n v="8.1878421653373898"/>
  </r>
  <r>
    <x v="0"/>
    <x v="8"/>
    <x v="9"/>
    <x v="17"/>
    <s v="SE1_small"/>
    <x v="7"/>
    <n v="57.838935220261199"/>
    <n v="16.066370894517"/>
  </r>
  <r>
    <x v="0"/>
    <x v="8"/>
    <x v="9"/>
    <x v="17"/>
    <s v="SE1_small"/>
    <x v="8"/>
    <n v="57.838935220261199"/>
    <n v="16.066370894517"/>
  </r>
  <r>
    <x v="0"/>
    <x v="8"/>
    <x v="9"/>
    <x v="17"/>
    <s v="SE1_small"/>
    <x v="9"/>
    <n v="44.803327257663497"/>
    <n v="12.4453686826843"/>
  </r>
  <r>
    <x v="0"/>
    <x v="8"/>
    <x v="9"/>
    <x v="17"/>
    <s v="SE1_small"/>
    <x v="10"/>
    <n v="54.681226180612903"/>
    <n v="15.1892294946147"/>
  </r>
  <r>
    <x v="0"/>
    <x v="8"/>
    <x v="9"/>
    <x v="17"/>
    <s v="SE1_small"/>
    <x v="11"/>
    <n v="3.8806031483015802"/>
    <n v="1.07794531897266"/>
  </r>
  <r>
    <x v="0"/>
    <x v="8"/>
    <x v="9"/>
    <x v="17"/>
    <s v="SE1_small"/>
    <x v="12"/>
    <n v="9.7995028997514597E-2"/>
    <n v="2.72208413881985E-2"/>
  </r>
  <r>
    <x v="0"/>
    <x v="8"/>
    <x v="9"/>
    <x v="17"/>
    <s v="SE1_small"/>
    <x v="13"/>
    <n v="21.5197083678542"/>
    <n v="5.9776967688483804"/>
  </r>
  <r>
    <x v="0"/>
    <x v="8"/>
    <x v="9"/>
    <x v="17"/>
    <s v="SE1_small"/>
    <x v="14"/>
    <n v="21.5197083678542"/>
    <n v="5.9776967688483804"/>
  </r>
  <r>
    <x v="0"/>
    <x v="8"/>
    <x v="9"/>
    <x v="17"/>
    <s v="SE1_small"/>
    <x v="15"/>
    <n v="1.65807589063794"/>
    <n v="0.46057663628831802"/>
  </r>
  <r>
    <x v="0"/>
    <x v="8"/>
    <x v="9"/>
    <x v="17"/>
    <s v="SE1_small"/>
    <x v="16"/>
    <n v="4.9884429139200002"/>
    <n v="1.3856785871999999"/>
  </r>
  <r>
    <x v="0"/>
    <x v="8"/>
    <x v="9"/>
    <x v="17"/>
    <s v="SE1_small"/>
    <x v="17"/>
    <n v="9.1244895875632395"/>
    <n v="2.5345804409897901"/>
  </r>
  <r>
    <x v="0"/>
    <x v="8"/>
    <x v="9"/>
    <x v="17"/>
    <s v="SE1_small"/>
    <x v="18"/>
    <n v="21.5197083678542"/>
    <n v="5.9776967688483804"/>
  </r>
  <r>
    <x v="0"/>
    <x v="8"/>
    <x v="9"/>
    <x v="17"/>
    <s v="SE1_small"/>
    <x v="19"/>
    <n v="8.1139884009941898"/>
    <n v="2.2538856669428302"/>
  </r>
  <r>
    <x v="0"/>
    <x v="8"/>
    <x v="9"/>
    <x v="17"/>
    <s v="SE1_small"/>
    <x v="20"/>
    <n v="19.336735244541"/>
    <n v="5.37131534570584"/>
  </r>
  <r>
    <x v="0"/>
    <x v="8"/>
    <x v="9"/>
    <x v="17"/>
    <s v="SE1_small"/>
    <x v="21"/>
    <n v="48.384"/>
    <n v="13.44"/>
  </r>
  <r>
    <x v="0"/>
    <x v="8"/>
    <x v="9"/>
    <x v="17"/>
    <s v="SE1_small"/>
    <x v="22"/>
    <n v="79.847999999999999"/>
    <n v="22.18"/>
  </r>
  <r>
    <x v="0"/>
    <x v="8"/>
    <x v="9"/>
    <x v="17"/>
    <s v="SE1_small"/>
    <x v="23"/>
    <n v="0.31515896120488701"/>
    <n v="8.7544155890246306E-2"/>
  </r>
  <r>
    <x v="0"/>
    <x v="8"/>
    <x v="9"/>
    <x v="17"/>
    <s v="SE1_small"/>
    <x v="24"/>
    <n v="19.174223581093901"/>
    <n v="5.32617321697054"/>
  </r>
  <r>
    <x v="0"/>
    <x v="8"/>
    <x v="9"/>
    <x v="17"/>
    <s v="SE1_small"/>
    <x v="25"/>
    <n v="22.356874337357301"/>
    <n v="6.2102428714881297"/>
  </r>
  <r>
    <x v="0"/>
    <x v="8"/>
    <x v="9"/>
    <x v="17"/>
    <s v="SE1_small"/>
    <x v="26"/>
    <n v="29.6651032387655"/>
    <n v="8.2403064552126306"/>
  </r>
  <r>
    <x v="0"/>
    <x v="8"/>
    <x v="9"/>
    <x v="17"/>
    <s v="SE1_small"/>
    <x v="27"/>
    <n v="20.163995508318798"/>
    <n v="5.6011098634218799"/>
  </r>
  <r>
    <x v="0"/>
    <x v="8"/>
    <x v="9"/>
    <x v="18"/>
    <s v="SE2A"/>
    <x v="1"/>
    <n v="35.989199999999997"/>
    <n v="9.9969999999999999"/>
  </r>
  <r>
    <x v="0"/>
    <x v="8"/>
    <x v="9"/>
    <x v="18"/>
    <s v="SE2A"/>
    <x v="2"/>
    <n v="48.384"/>
    <n v="13.44"/>
  </r>
  <r>
    <x v="0"/>
    <x v="8"/>
    <x v="9"/>
    <x v="18"/>
    <s v="SE2A"/>
    <x v="0"/>
    <n v="42.692399999999999"/>
    <n v="11.859"/>
  </r>
  <r>
    <x v="0"/>
    <x v="8"/>
    <x v="9"/>
    <x v="18"/>
    <s v="SE2A"/>
    <x v="3"/>
    <n v="51.633543144067197"/>
    <n v="14.342650873352"/>
  </r>
  <r>
    <x v="0"/>
    <x v="8"/>
    <x v="9"/>
    <x v="18"/>
    <s v="SE2A"/>
    <x v="4"/>
    <n v="8.1139884009941898"/>
    <n v="2.2538856669428302"/>
  </r>
  <r>
    <x v="0"/>
    <x v="8"/>
    <x v="9"/>
    <x v="18"/>
    <s v="SE2A"/>
    <x v="5"/>
    <n v="8.1139884009941898"/>
    <n v="2.2538856669428302"/>
  </r>
  <r>
    <x v="0"/>
    <x v="8"/>
    <x v="9"/>
    <x v="18"/>
    <s v="SE2A"/>
    <x v="6"/>
    <n v="29.476231795214598"/>
    <n v="8.1878421653373898"/>
  </r>
  <r>
    <x v="0"/>
    <x v="8"/>
    <x v="9"/>
    <x v="18"/>
    <s v="SE2A"/>
    <x v="7"/>
    <n v="57.838935220261199"/>
    <n v="16.066370894517"/>
  </r>
  <r>
    <x v="0"/>
    <x v="8"/>
    <x v="9"/>
    <x v="18"/>
    <s v="SE2A"/>
    <x v="8"/>
    <n v="57.838935220261199"/>
    <n v="16.066370894517"/>
  </r>
  <r>
    <x v="0"/>
    <x v="8"/>
    <x v="9"/>
    <x v="18"/>
    <s v="SE2A"/>
    <x v="9"/>
    <n v="44.803327257663497"/>
    <n v="12.4453686826843"/>
  </r>
  <r>
    <x v="0"/>
    <x v="8"/>
    <x v="9"/>
    <x v="18"/>
    <s v="SE2A"/>
    <x v="10"/>
    <n v="54.681226180612903"/>
    <n v="15.1892294946147"/>
  </r>
  <r>
    <x v="0"/>
    <x v="8"/>
    <x v="9"/>
    <x v="18"/>
    <s v="SE2A"/>
    <x v="11"/>
    <n v="3.8806031483015802"/>
    <n v="1.07794531897266"/>
  </r>
  <r>
    <x v="0"/>
    <x v="8"/>
    <x v="9"/>
    <x v="18"/>
    <s v="SE2A"/>
    <x v="12"/>
    <n v="9.7995028997514597E-2"/>
    <n v="2.72208413881985E-2"/>
  </r>
  <r>
    <x v="0"/>
    <x v="8"/>
    <x v="9"/>
    <x v="18"/>
    <s v="SE2A"/>
    <x v="13"/>
    <n v="21.5197083678542"/>
    <n v="5.9776967688483804"/>
  </r>
  <r>
    <x v="0"/>
    <x v="8"/>
    <x v="9"/>
    <x v="18"/>
    <s v="SE2A"/>
    <x v="14"/>
    <n v="21.5197083678542"/>
    <n v="5.9776967688483804"/>
  </r>
  <r>
    <x v="0"/>
    <x v="8"/>
    <x v="9"/>
    <x v="18"/>
    <s v="SE2A"/>
    <x v="15"/>
    <n v="1.65807589063794"/>
    <n v="0.46057663628831802"/>
  </r>
  <r>
    <x v="0"/>
    <x v="8"/>
    <x v="9"/>
    <x v="18"/>
    <s v="SE2A"/>
    <x v="16"/>
    <n v="4.9884429139200002"/>
    <n v="1.3856785871999999"/>
  </r>
  <r>
    <x v="0"/>
    <x v="8"/>
    <x v="9"/>
    <x v="18"/>
    <s v="SE2A"/>
    <x v="17"/>
    <n v="9.1244895875632395"/>
    <n v="2.5345804409897901"/>
  </r>
  <r>
    <x v="0"/>
    <x v="8"/>
    <x v="9"/>
    <x v="18"/>
    <s v="SE2A"/>
    <x v="18"/>
    <n v="21.5197083678542"/>
    <n v="5.9776967688483804"/>
  </r>
  <r>
    <x v="0"/>
    <x v="8"/>
    <x v="9"/>
    <x v="18"/>
    <s v="SE2A"/>
    <x v="19"/>
    <n v="8.1139884009941898"/>
    <n v="2.2538856669428302"/>
  </r>
  <r>
    <x v="0"/>
    <x v="8"/>
    <x v="9"/>
    <x v="18"/>
    <s v="SE2A"/>
    <x v="20"/>
    <n v="19.336735244541"/>
    <n v="5.37131534570584"/>
  </r>
  <r>
    <x v="0"/>
    <x v="8"/>
    <x v="9"/>
    <x v="18"/>
    <s v="SE2A"/>
    <x v="21"/>
    <n v="48.384"/>
    <n v="13.44"/>
  </r>
  <r>
    <x v="0"/>
    <x v="8"/>
    <x v="9"/>
    <x v="18"/>
    <s v="SE2A"/>
    <x v="22"/>
    <n v="79.847999999999999"/>
    <n v="22.18"/>
  </r>
  <r>
    <x v="0"/>
    <x v="8"/>
    <x v="9"/>
    <x v="18"/>
    <s v="SE2A"/>
    <x v="23"/>
    <n v="0.31515896120488701"/>
    <n v="8.7544155890246306E-2"/>
  </r>
  <r>
    <x v="0"/>
    <x v="8"/>
    <x v="9"/>
    <x v="18"/>
    <s v="SE2A"/>
    <x v="24"/>
    <n v="19.174223581093901"/>
    <n v="5.32617321697054"/>
  </r>
  <r>
    <x v="0"/>
    <x v="8"/>
    <x v="9"/>
    <x v="18"/>
    <s v="SE2A"/>
    <x v="25"/>
    <n v="22.356874337357301"/>
    <n v="6.2102428714881297"/>
  </r>
  <r>
    <x v="0"/>
    <x v="8"/>
    <x v="9"/>
    <x v="18"/>
    <s v="SE2A"/>
    <x v="26"/>
    <n v="29.6651032387655"/>
    <n v="8.2403064552126306"/>
  </r>
  <r>
    <x v="0"/>
    <x v="8"/>
    <x v="9"/>
    <x v="18"/>
    <s v="SE2A"/>
    <x v="27"/>
    <n v="20.163995508318798"/>
    <n v="5.6011098634218799"/>
  </r>
  <r>
    <x v="0"/>
    <x v="8"/>
    <x v="9"/>
    <x v="18"/>
    <s v="SE2_IND"/>
    <x v="1"/>
    <n v="35.989199999999997"/>
    <n v="9.9969999999999999"/>
  </r>
  <r>
    <x v="0"/>
    <x v="8"/>
    <x v="9"/>
    <x v="18"/>
    <s v="SE2_IND"/>
    <x v="2"/>
    <n v="48.384"/>
    <n v="13.44"/>
  </r>
  <r>
    <x v="0"/>
    <x v="8"/>
    <x v="9"/>
    <x v="18"/>
    <s v="SE2_IND"/>
    <x v="0"/>
    <n v="42.692399999999999"/>
    <n v="11.859"/>
  </r>
  <r>
    <x v="0"/>
    <x v="8"/>
    <x v="9"/>
    <x v="18"/>
    <s v="SE2_IND"/>
    <x v="3"/>
    <n v="51.633543144067197"/>
    <n v="14.342650873352"/>
  </r>
  <r>
    <x v="0"/>
    <x v="8"/>
    <x v="9"/>
    <x v="18"/>
    <s v="SE2_IND"/>
    <x v="4"/>
    <n v="8.1139884009941898"/>
    <n v="2.2538856669428302"/>
  </r>
  <r>
    <x v="0"/>
    <x v="8"/>
    <x v="9"/>
    <x v="18"/>
    <s v="SE2_IND"/>
    <x v="5"/>
    <n v="8.1139884009941898"/>
    <n v="2.2538856669428302"/>
  </r>
  <r>
    <x v="0"/>
    <x v="8"/>
    <x v="9"/>
    <x v="18"/>
    <s v="SE2_IND"/>
    <x v="6"/>
    <n v="29.476231795214598"/>
    <n v="8.1878421653373898"/>
  </r>
  <r>
    <x v="0"/>
    <x v="8"/>
    <x v="9"/>
    <x v="18"/>
    <s v="SE2_IND"/>
    <x v="7"/>
    <n v="57.838935220261199"/>
    <n v="16.066370894517"/>
  </r>
  <r>
    <x v="0"/>
    <x v="8"/>
    <x v="9"/>
    <x v="18"/>
    <s v="SE2_IND"/>
    <x v="8"/>
    <n v="57.838935220261199"/>
    <n v="16.066370894517"/>
  </r>
  <r>
    <x v="0"/>
    <x v="8"/>
    <x v="9"/>
    <x v="18"/>
    <s v="SE2_IND"/>
    <x v="9"/>
    <n v="44.803327257663497"/>
    <n v="12.4453686826843"/>
  </r>
  <r>
    <x v="0"/>
    <x v="8"/>
    <x v="9"/>
    <x v="18"/>
    <s v="SE2_IND"/>
    <x v="10"/>
    <n v="54.681226180612903"/>
    <n v="15.1892294946147"/>
  </r>
  <r>
    <x v="0"/>
    <x v="8"/>
    <x v="9"/>
    <x v="18"/>
    <s v="SE2_IND"/>
    <x v="11"/>
    <n v="3.8806031483015802"/>
    <n v="1.07794531897266"/>
  </r>
  <r>
    <x v="0"/>
    <x v="8"/>
    <x v="9"/>
    <x v="18"/>
    <s v="SE2_IND"/>
    <x v="12"/>
    <n v="9.7995028997514597E-2"/>
    <n v="2.72208413881985E-2"/>
  </r>
  <r>
    <x v="0"/>
    <x v="8"/>
    <x v="9"/>
    <x v="18"/>
    <s v="SE2_IND"/>
    <x v="13"/>
    <n v="21.5197083678542"/>
    <n v="5.9776967688483804"/>
  </r>
  <r>
    <x v="0"/>
    <x v="8"/>
    <x v="9"/>
    <x v="18"/>
    <s v="SE2_IND"/>
    <x v="14"/>
    <n v="21.5197083678542"/>
    <n v="5.9776967688483804"/>
  </r>
  <r>
    <x v="0"/>
    <x v="8"/>
    <x v="9"/>
    <x v="18"/>
    <s v="SE2_IND"/>
    <x v="15"/>
    <n v="1.65807589063794"/>
    <n v="0.46057663628831802"/>
  </r>
  <r>
    <x v="0"/>
    <x v="8"/>
    <x v="9"/>
    <x v="18"/>
    <s v="SE2_IND"/>
    <x v="16"/>
    <n v="4.9884429139200002"/>
    <n v="1.3856785871999999"/>
  </r>
  <r>
    <x v="0"/>
    <x v="8"/>
    <x v="9"/>
    <x v="18"/>
    <s v="SE2_IND"/>
    <x v="17"/>
    <n v="9.1244895875632395"/>
    <n v="2.5345804409897901"/>
  </r>
  <r>
    <x v="0"/>
    <x v="8"/>
    <x v="9"/>
    <x v="18"/>
    <s v="SE2_IND"/>
    <x v="18"/>
    <n v="21.5197083678542"/>
    <n v="5.9776967688483804"/>
  </r>
  <r>
    <x v="0"/>
    <x v="8"/>
    <x v="9"/>
    <x v="18"/>
    <s v="SE2_IND"/>
    <x v="19"/>
    <n v="8.1139884009941898"/>
    <n v="2.2538856669428302"/>
  </r>
  <r>
    <x v="0"/>
    <x v="8"/>
    <x v="9"/>
    <x v="18"/>
    <s v="SE2_IND"/>
    <x v="20"/>
    <n v="19.336735244541"/>
    <n v="5.37131534570584"/>
  </r>
  <r>
    <x v="0"/>
    <x v="8"/>
    <x v="9"/>
    <x v="18"/>
    <s v="SE2_IND"/>
    <x v="21"/>
    <n v="48.384"/>
    <n v="13.44"/>
  </r>
  <r>
    <x v="0"/>
    <x v="8"/>
    <x v="9"/>
    <x v="18"/>
    <s v="SE2_IND"/>
    <x v="22"/>
    <n v="79.847999999999999"/>
    <n v="22.18"/>
  </r>
  <r>
    <x v="0"/>
    <x v="8"/>
    <x v="9"/>
    <x v="18"/>
    <s v="SE2_IND"/>
    <x v="23"/>
    <n v="0.31515896120488701"/>
    <n v="8.7544155890246306E-2"/>
  </r>
  <r>
    <x v="0"/>
    <x v="8"/>
    <x v="9"/>
    <x v="18"/>
    <s v="SE2_IND"/>
    <x v="24"/>
    <n v="19.174223581093901"/>
    <n v="5.32617321697054"/>
  </r>
  <r>
    <x v="0"/>
    <x v="8"/>
    <x v="9"/>
    <x v="18"/>
    <s v="SE2_IND"/>
    <x v="25"/>
    <n v="22.356874337357301"/>
    <n v="6.2102428714881297"/>
  </r>
  <r>
    <x v="0"/>
    <x v="8"/>
    <x v="9"/>
    <x v="18"/>
    <s v="SE2_IND"/>
    <x v="26"/>
    <n v="29.6651032387655"/>
    <n v="8.2403064552126306"/>
  </r>
  <r>
    <x v="0"/>
    <x v="8"/>
    <x v="9"/>
    <x v="18"/>
    <s v="SE2_IND"/>
    <x v="27"/>
    <n v="20.163995508318798"/>
    <n v="5.6011098634218799"/>
  </r>
  <r>
    <x v="0"/>
    <x v="8"/>
    <x v="9"/>
    <x v="18"/>
    <s v="SE2_Offshore"/>
    <x v="1"/>
    <n v="35.989199999999997"/>
    <n v="9.9969999999999999"/>
  </r>
  <r>
    <x v="0"/>
    <x v="8"/>
    <x v="9"/>
    <x v="18"/>
    <s v="SE2_Offshore"/>
    <x v="2"/>
    <n v="48.384"/>
    <n v="13.44"/>
  </r>
  <r>
    <x v="0"/>
    <x v="8"/>
    <x v="9"/>
    <x v="18"/>
    <s v="SE2_Offshore"/>
    <x v="0"/>
    <n v="42.692399999999999"/>
    <n v="11.859"/>
  </r>
  <r>
    <x v="0"/>
    <x v="8"/>
    <x v="9"/>
    <x v="18"/>
    <s v="SE2_Offshore"/>
    <x v="3"/>
    <n v="51.633543144067197"/>
    <n v="14.342650873352"/>
  </r>
  <r>
    <x v="0"/>
    <x v="8"/>
    <x v="9"/>
    <x v="18"/>
    <s v="SE2_Offshore"/>
    <x v="4"/>
    <n v="8.1139884009941898"/>
    <n v="2.2538856669428302"/>
  </r>
  <r>
    <x v="0"/>
    <x v="8"/>
    <x v="9"/>
    <x v="18"/>
    <s v="SE2_Offshore"/>
    <x v="5"/>
    <n v="8.1139884009941898"/>
    <n v="2.2538856669428302"/>
  </r>
  <r>
    <x v="0"/>
    <x v="8"/>
    <x v="9"/>
    <x v="18"/>
    <s v="SE2_Offshore"/>
    <x v="6"/>
    <n v="29.476231795214598"/>
    <n v="8.1878421653373898"/>
  </r>
  <r>
    <x v="0"/>
    <x v="8"/>
    <x v="9"/>
    <x v="18"/>
    <s v="SE2_Offshore"/>
    <x v="7"/>
    <n v="57.838935220261199"/>
    <n v="16.066370894517"/>
  </r>
  <r>
    <x v="0"/>
    <x v="8"/>
    <x v="9"/>
    <x v="18"/>
    <s v="SE2_Offshore"/>
    <x v="8"/>
    <n v="57.838935220261199"/>
    <n v="16.066370894517"/>
  </r>
  <r>
    <x v="0"/>
    <x v="8"/>
    <x v="9"/>
    <x v="18"/>
    <s v="SE2_Offshore"/>
    <x v="9"/>
    <n v="44.803327257663497"/>
    <n v="12.4453686826843"/>
  </r>
  <r>
    <x v="0"/>
    <x v="8"/>
    <x v="9"/>
    <x v="18"/>
    <s v="SE2_Offshore"/>
    <x v="10"/>
    <n v="54.681226180612903"/>
    <n v="15.1892294946147"/>
  </r>
  <r>
    <x v="0"/>
    <x v="8"/>
    <x v="9"/>
    <x v="18"/>
    <s v="SE2_Offshore"/>
    <x v="11"/>
    <n v="3.8806031483015802"/>
    <n v="1.07794531897266"/>
  </r>
  <r>
    <x v="0"/>
    <x v="8"/>
    <x v="9"/>
    <x v="18"/>
    <s v="SE2_Offshore"/>
    <x v="12"/>
    <n v="9.7995028997514597E-2"/>
    <n v="2.72208413881985E-2"/>
  </r>
  <r>
    <x v="0"/>
    <x v="8"/>
    <x v="9"/>
    <x v="18"/>
    <s v="SE2_Offshore"/>
    <x v="13"/>
    <n v="21.5197083678542"/>
    <n v="5.9776967688483804"/>
  </r>
  <r>
    <x v="0"/>
    <x v="8"/>
    <x v="9"/>
    <x v="18"/>
    <s v="SE2_Offshore"/>
    <x v="14"/>
    <n v="21.5197083678542"/>
    <n v="5.9776967688483804"/>
  </r>
  <r>
    <x v="0"/>
    <x v="8"/>
    <x v="9"/>
    <x v="18"/>
    <s v="SE2_Offshore"/>
    <x v="15"/>
    <n v="1.65807589063794"/>
    <n v="0.46057663628831802"/>
  </r>
  <r>
    <x v="0"/>
    <x v="8"/>
    <x v="9"/>
    <x v="18"/>
    <s v="SE2_Offshore"/>
    <x v="16"/>
    <n v="4.9884429139200002"/>
    <n v="1.3856785871999999"/>
  </r>
  <r>
    <x v="0"/>
    <x v="8"/>
    <x v="9"/>
    <x v="18"/>
    <s v="SE2_Offshore"/>
    <x v="17"/>
    <n v="9.1244895875632395"/>
    <n v="2.5345804409897901"/>
  </r>
  <r>
    <x v="0"/>
    <x v="8"/>
    <x v="9"/>
    <x v="18"/>
    <s v="SE2_Offshore"/>
    <x v="18"/>
    <n v="21.5197083678542"/>
    <n v="5.9776967688483804"/>
  </r>
  <r>
    <x v="0"/>
    <x v="8"/>
    <x v="9"/>
    <x v="18"/>
    <s v="SE2_Offshore"/>
    <x v="19"/>
    <n v="8.1139884009941898"/>
    <n v="2.2538856669428302"/>
  </r>
  <r>
    <x v="0"/>
    <x v="8"/>
    <x v="9"/>
    <x v="18"/>
    <s v="SE2_Offshore"/>
    <x v="20"/>
    <n v="19.336735244541"/>
    <n v="5.37131534570584"/>
  </r>
  <r>
    <x v="0"/>
    <x v="8"/>
    <x v="9"/>
    <x v="18"/>
    <s v="SE2_Offshore"/>
    <x v="21"/>
    <n v="48.384"/>
    <n v="13.44"/>
  </r>
  <r>
    <x v="0"/>
    <x v="8"/>
    <x v="9"/>
    <x v="18"/>
    <s v="SE2_Offshore"/>
    <x v="22"/>
    <n v="79.847999999999999"/>
    <n v="22.18"/>
  </r>
  <r>
    <x v="0"/>
    <x v="8"/>
    <x v="9"/>
    <x v="18"/>
    <s v="SE2_Offshore"/>
    <x v="23"/>
    <n v="0.31515896120488701"/>
    <n v="8.7544155890246306E-2"/>
  </r>
  <r>
    <x v="0"/>
    <x v="8"/>
    <x v="9"/>
    <x v="18"/>
    <s v="SE2_Offshore"/>
    <x v="24"/>
    <n v="19.174223581093901"/>
    <n v="5.32617321697054"/>
  </r>
  <r>
    <x v="0"/>
    <x v="8"/>
    <x v="9"/>
    <x v="18"/>
    <s v="SE2_Offshore"/>
    <x v="25"/>
    <n v="22.356874337357301"/>
    <n v="6.2102428714881297"/>
  </r>
  <r>
    <x v="0"/>
    <x v="8"/>
    <x v="9"/>
    <x v="18"/>
    <s v="SE2_Offshore"/>
    <x v="26"/>
    <n v="29.6651032387655"/>
    <n v="8.2403064552126306"/>
  </r>
  <r>
    <x v="0"/>
    <x v="8"/>
    <x v="9"/>
    <x v="18"/>
    <s v="SE2_Offshore"/>
    <x v="27"/>
    <n v="20.163995508318798"/>
    <n v="5.6011098634218799"/>
  </r>
  <r>
    <x v="0"/>
    <x v="8"/>
    <x v="9"/>
    <x v="18"/>
    <s v="SE2_medium"/>
    <x v="1"/>
    <n v="35.989199999999997"/>
    <n v="9.9969999999999999"/>
  </r>
  <r>
    <x v="0"/>
    <x v="8"/>
    <x v="9"/>
    <x v="18"/>
    <s v="SE2_medium"/>
    <x v="2"/>
    <n v="48.384"/>
    <n v="13.44"/>
  </r>
  <r>
    <x v="0"/>
    <x v="8"/>
    <x v="9"/>
    <x v="18"/>
    <s v="SE2_medium"/>
    <x v="0"/>
    <n v="42.692399999999999"/>
    <n v="11.859"/>
  </r>
  <r>
    <x v="0"/>
    <x v="8"/>
    <x v="9"/>
    <x v="18"/>
    <s v="SE2_medium"/>
    <x v="3"/>
    <n v="51.633543144067197"/>
    <n v="14.342650873352"/>
  </r>
  <r>
    <x v="0"/>
    <x v="8"/>
    <x v="9"/>
    <x v="18"/>
    <s v="SE2_medium"/>
    <x v="4"/>
    <n v="8.1139884009941898"/>
    <n v="2.2538856669428302"/>
  </r>
  <r>
    <x v="0"/>
    <x v="8"/>
    <x v="9"/>
    <x v="18"/>
    <s v="SE2_medium"/>
    <x v="5"/>
    <n v="8.1139884009941898"/>
    <n v="2.2538856669428302"/>
  </r>
  <r>
    <x v="0"/>
    <x v="8"/>
    <x v="9"/>
    <x v="18"/>
    <s v="SE2_medium"/>
    <x v="6"/>
    <n v="29.476231795214598"/>
    <n v="8.1878421653373898"/>
  </r>
  <r>
    <x v="0"/>
    <x v="8"/>
    <x v="9"/>
    <x v="18"/>
    <s v="SE2_medium"/>
    <x v="7"/>
    <n v="57.838935220261199"/>
    <n v="16.066370894517"/>
  </r>
  <r>
    <x v="0"/>
    <x v="8"/>
    <x v="9"/>
    <x v="18"/>
    <s v="SE2_medium"/>
    <x v="8"/>
    <n v="57.838935220261199"/>
    <n v="16.066370894517"/>
  </r>
  <r>
    <x v="0"/>
    <x v="8"/>
    <x v="9"/>
    <x v="18"/>
    <s v="SE2_medium"/>
    <x v="9"/>
    <n v="44.803327257663497"/>
    <n v="12.4453686826843"/>
  </r>
  <r>
    <x v="0"/>
    <x v="8"/>
    <x v="9"/>
    <x v="18"/>
    <s v="SE2_medium"/>
    <x v="10"/>
    <n v="54.681226180612903"/>
    <n v="15.1892294946147"/>
  </r>
  <r>
    <x v="0"/>
    <x v="8"/>
    <x v="9"/>
    <x v="18"/>
    <s v="SE2_medium"/>
    <x v="11"/>
    <n v="3.8806031483015802"/>
    <n v="1.07794531897266"/>
  </r>
  <r>
    <x v="0"/>
    <x v="8"/>
    <x v="9"/>
    <x v="18"/>
    <s v="SE2_medium"/>
    <x v="12"/>
    <n v="9.7995028997514597E-2"/>
    <n v="2.72208413881985E-2"/>
  </r>
  <r>
    <x v="0"/>
    <x v="8"/>
    <x v="9"/>
    <x v="18"/>
    <s v="SE2_medium"/>
    <x v="13"/>
    <n v="21.5197083678542"/>
    <n v="5.9776967688483804"/>
  </r>
  <r>
    <x v="0"/>
    <x v="8"/>
    <x v="9"/>
    <x v="18"/>
    <s v="SE2_medium"/>
    <x v="14"/>
    <n v="21.5197083678542"/>
    <n v="5.9776967688483804"/>
  </r>
  <r>
    <x v="0"/>
    <x v="8"/>
    <x v="9"/>
    <x v="18"/>
    <s v="SE2_medium"/>
    <x v="15"/>
    <n v="1.65807589063794"/>
    <n v="0.46057663628831802"/>
  </r>
  <r>
    <x v="0"/>
    <x v="8"/>
    <x v="9"/>
    <x v="18"/>
    <s v="SE2_medium"/>
    <x v="16"/>
    <n v="4.9884429139200002"/>
    <n v="1.3856785871999999"/>
  </r>
  <r>
    <x v="0"/>
    <x v="8"/>
    <x v="9"/>
    <x v="18"/>
    <s v="SE2_medium"/>
    <x v="17"/>
    <n v="9.1244895875632395"/>
    <n v="2.5345804409897901"/>
  </r>
  <r>
    <x v="0"/>
    <x v="8"/>
    <x v="9"/>
    <x v="18"/>
    <s v="SE2_medium"/>
    <x v="18"/>
    <n v="21.5197083678542"/>
    <n v="5.9776967688483804"/>
  </r>
  <r>
    <x v="0"/>
    <x v="8"/>
    <x v="9"/>
    <x v="18"/>
    <s v="SE2_medium"/>
    <x v="19"/>
    <n v="8.1139884009941898"/>
    <n v="2.2538856669428302"/>
  </r>
  <r>
    <x v="0"/>
    <x v="8"/>
    <x v="9"/>
    <x v="18"/>
    <s v="SE2_medium"/>
    <x v="20"/>
    <n v="19.336735244541"/>
    <n v="5.37131534570584"/>
  </r>
  <r>
    <x v="0"/>
    <x v="8"/>
    <x v="9"/>
    <x v="18"/>
    <s v="SE2_medium"/>
    <x v="21"/>
    <n v="48.384"/>
    <n v="13.44"/>
  </r>
  <r>
    <x v="0"/>
    <x v="8"/>
    <x v="9"/>
    <x v="18"/>
    <s v="SE2_medium"/>
    <x v="22"/>
    <n v="79.847999999999999"/>
    <n v="22.18"/>
  </r>
  <r>
    <x v="0"/>
    <x v="8"/>
    <x v="9"/>
    <x v="18"/>
    <s v="SE2_medium"/>
    <x v="23"/>
    <n v="0.31515896120488701"/>
    <n v="8.7544155890246306E-2"/>
  </r>
  <r>
    <x v="0"/>
    <x v="8"/>
    <x v="9"/>
    <x v="18"/>
    <s v="SE2_medium"/>
    <x v="24"/>
    <n v="19.174223581093901"/>
    <n v="5.32617321697054"/>
  </r>
  <r>
    <x v="0"/>
    <x v="8"/>
    <x v="9"/>
    <x v="18"/>
    <s v="SE2_medium"/>
    <x v="25"/>
    <n v="22.356874337357301"/>
    <n v="6.2102428714881297"/>
  </r>
  <r>
    <x v="0"/>
    <x v="8"/>
    <x v="9"/>
    <x v="18"/>
    <s v="SE2_medium"/>
    <x v="26"/>
    <n v="29.6651032387655"/>
    <n v="8.2403064552126306"/>
  </r>
  <r>
    <x v="0"/>
    <x v="8"/>
    <x v="9"/>
    <x v="18"/>
    <s v="SE2_medium"/>
    <x v="27"/>
    <n v="20.163995508318798"/>
    <n v="5.6011098634218799"/>
  </r>
  <r>
    <x v="0"/>
    <x v="8"/>
    <x v="9"/>
    <x v="18"/>
    <s v="SE2_small"/>
    <x v="1"/>
    <n v="35.989199999999997"/>
    <n v="9.9969999999999999"/>
  </r>
  <r>
    <x v="0"/>
    <x v="8"/>
    <x v="9"/>
    <x v="18"/>
    <s v="SE2_small"/>
    <x v="2"/>
    <n v="48.384"/>
    <n v="13.44"/>
  </r>
  <r>
    <x v="0"/>
    <x v="8"/>
    <x v="9"/>
    <x v="18"/>
    <s v="SE2_small"/>
    <x v="0"/>
    <n v="42.692399999999999"/>
    <n v="11.859"/>
  </r>
  <r>
    <x v="0"/>
    <x v="8"/>
    <x v="9"/>
    <x v="18"/>
    <s v="SE2_small"/>
    <x v="3"/>
    <n v="51.633543144067197"/>
    <n v="14.342650873352"/>
  </r>
  <r>
    <x v="0"/>
    <x v="8"/>
    <x v="9"/>
    <x v="18"/>
    <s v="SE2_small"/>
    <x v="4"/>
    <n v="8.1139884009941898"/>
    <n v="2.2538856669428302"/>
  </r>
  <r>
    <x v="0"/>
    <x v="8"/>
    <x v="9"/>
    <x v="18"/>
    <s v="SE2_small"/>
    <x v="5"/>
    <n v="8.1139884009941898"/>
    <n v="2.2538856669428302"/>
  </r>
  <r>
    <x v="0"/>
    <x v="8"/>
    <x v="9"/>
    <x v="18"/>
    <s v="SE2_small"/>
    <x v="6"/>
    <n v="29.476231795214598"/>
    <n v="8.1878421653373898"/>
  </r>
  <r>
    <x v="0"/>
    <x v="8"/>
    <x v="9"/>
    <x v="18"/>
    <s v="SE2_small"/>
    <x v="7"/>
    <n v="57.838935220261199"/>
    <n v="16.066370894517"/>
  </r>
  <r>
    <x v="0"/>
    <x v="8"/>
    <x v="9"/>
    <x v="18"/>
    <s v="SE2_small"/>
    <x v="8"/>
    <n v="57.838935220261199"/>
    <n v="16.066370894517"/>
  </r>
  <r>
    <x v="0"/>
    <x v="8"/>
    <x v="9"/>
    <x v="18"/>
    <s v="SE2_small"/>
    <x v="9"/>
    <n v="44.803327257663497"/>
    <n v="12.4453686826843"/>
  </r>
  <r>
    <x v="0"/>
    <x v="8"/>
    <x v="9"/>
    <x v="18"/>
    <s v="SE2_small"/>
    <x v="10"/>
    <n v="54.681226180612903"/>
    <n v="15.1892294946147"/>
  </r>
  <r>
    <x v="0"/>
    <x v="8"/>
    <x v="9"/>
    <x v="18"/>
    <s v="SE2_small"/>
    <x v="11"/>
    <n v="3.8806031483015802"/>
    <n v="1.07794531897266"/>
  </r>
  <r>
    <x v="0"/>
    <x v="8"/>
    <x v="9"/>
    <x v="18"/>
    <s v="SE2_small"/>
    <x v="12"/>
    <n v="9.7995028997514597E-2"/>
    <n v="2.72208413881985E-2"/>
  </r>
  <r>
    <x v="0"/>
    <x v="8"/>
    <x v="9"/>
    <x v="18"/>
    <s v="SE2_small"/>
    <x v="13"/>
    <n v="21.5197083678542"/>
    <n v="5.9776967688483804"/>
  </r>
  <r>
    <x v="0"/>
    <x v="8"/>
    <x v="9"/>
    <x v="18"/>
    <s v="SE2_small"/>
    <x v="14"/>
    <n v="21.5197083678542"/>
    <n v="5.9776967688483804"/>
  </r>
  <r>
    <x v="0"/>
    <x v="8"/>
    <x v="9"/>
    <x v="18"/>
    <s v="SE2_small"/>
    <x v="15"/>
    <n v="1.65807589063794"/>
    <n v="0.46057663628831802"/>
  </r>
  <r>
    <x v="0"/>
    <x v="8"/>
    <x v="9"/>
    <x v="18"/>
    <s v="SE2_small"/>
    <x v="16"/>
    <n v="4.9884429139200002"/>
    <n v="1.3856785871999999"/>
  </r>
  <r>
    <x v="0"/>
    <x v="8"/>
    <x v="9"/>
    <x v="18"/>
    <s v="SE2_small"/>
    <x v="17"/>
    <n v="9.1244895875632395"/>
    <n v="2.5345804409897901"/>
  </r>
  <r>
    <x v="0"/>
    <x v="8"/>
    <x v="9"/>
    <x v="18"/>
    <s v="SE2_small"/>
    <x v="18"/>
    <n v="21.5197083678542"/>
    <n v="5.9776967688483804"/>
  </r>
  <r>
    <x v="0"/>
    <x v="8"/>
    <x v="9"/>
    <x v="18"/>
    <s v="SE2_small"/>
    <x v="19"/>
    <n v="8.1139884009941898"/>
    <n v="2.2538856669428302"/>
  </r>
  <r>
    <x v="0"/>
    <x v="8"/>
    <x v="9"/>
    <x v="18"/>
    <s v="SE2_small"/>
    <x v="20"/>
    <n v="19.336735244541"/>
    <n v="5.37131534570584"/>
  </r>
  <r>
    <x v="0"/>
    <x v="8"/>
    <x v="9"/>
    <x v="18"/>
    <s v="SE2_small"/>
    <x v="21"/>
    <n v="48.384"/>
    <n v="13.44"/>
  </r>
  <r>
    <x v="0"/>
    <x v="8"/>
    <x v="9"/>
    <x v="18"/>
    <s v="SE2_small"/>
    <x v="22"/>
    <n v="79.847999999999999"/>
    <n v="22.18"/>
  </r>
  <r>
    <x v="0"/>
    <x v="8"/>
    <x v="9"/>
    <x v="18"/>
    <s v="SE2_small"/>
    <x v="23"/>
    <n v="0.31515896120488701"/>
    <n v="8.7544155890246306E-2"/>
  </r>
  <r>
    <x v="0"/>
    <x v="8"/>
    <x v="9"/>
    <x v="18"/>
    <s v="SE2_small"/>
    <x v="24"/>
    <n v="19.174223581093901"/>
    <n v="5.32617321697054"/>
  </r>
  <r>
    <x v="0"/>
    <x v="8"/>
    <x v="9"/>
    <x v="18"/>
    <s v="SE2_small"/>
    <x v="25"/>
    <n v="22.356874337357301"/>
    <n v="6.2102428714881297"/>
  </r>
  <r>
    <x v="0"/>
    <x v="8"/>
    <x v="9"/>
    <x v="18"/>
    <s v="SE2_small"/>
    <x v="26"/>
    <n v="29.6651032387655"/>
    <n v="8.2403064552126306"/>
  </r>
  <r>
    <x v="0"/>
    <x v="8"/>
    <x v="9"/>
    <x v="18"/>
    <s v="SE2_small"/>
    <x v="27"/>
    <n v="20.163995508318798"/>
    <n v="5.6011098634218799"/>
  </r>
  <r>
    <x v="0"/>
    <x v="8"/>
    <x v="9"/>
    <x v="19"/>
    <s v="SE3A"/>
    <x v="1"/>
    <n v="35.989199999999997"/>
    <n v="9.9969999999999999"/>
  </r>
  <r>
    <x v="0"/>
    <x v="8"/>
    <x v="9"/>
    <x v="19"/>
    <s v="SE3A"/>
    <x v="2"/>
    <n v="48.384"/>
    <n v="13.44"/>
  </r>
  <r>
    <x v="0"/>
    <x v="8"/>
    <x v="9"/>
    <x v="19"/>
    <s v="SE3A"/>
    <x v="0"/>
    <n v="42.692399999999999"/>
    <n v="11.859"/>
  </r>
  <r>
    <x v="0"/>
    <x v="8"/>
    <x v="9"/>
    <x v="19"/>
    <s v="SE3A"/>
    <x v="3"/>
    <n v="51.633543144067197"/>
    <n v="14.342650873352"/>
  </r>
  <r>
    <x v="0"/>
    <x v="8"/>
    <x v="9"/>
    <x v="19"/>
    <s v="SE3A"/>
    <x v="4"/>
    <n v="8.1139884009941898"/>
    <n v="2.2538856669428302"/>
  </r>
  <r>
    <x v="0"/>
    <x v="8"/>
    <x v="9"/>
    <x v="19"/>
    <s v="SE3A"/>
    <x v="5"/>
    <n v="8.1139884009941898"/>
    <n v="2.2538856669428302"/>
  </r>
  <r>
    <x v="0"/>
    <x v="8"/>
    <x v="9"/>
    <x v="19"/>
    <s v="SE3A"/>
    <x v="6"/>
    <n v="29.476231795214598"/>
    <n v="8.1878421653373898"/>
  </r>
  <r>
    <x v="0"/>
    <x v="8"/>
    <x v="9"/>
    <x v="19"/>
    <s v="SE3A"/>
    <x v="7"/>
    <n v="57.838935220261199"/>
    <n v="16.066370894517"/>
  </r>
  <r>
    <x v="0"/>
    <x v="8"/>
    <x v="9"/>
    <x v="19"/>
    <s v="SE3A"/>
    <x v="8"/>
    <n v="57.838935220261199"/>
    <n v="16.066370894517"/>
  </r>
  <r>
    <x v="0"/>
    <x v="8"/>
    <x v="9"/>
    <x v="19"/>
    <s v="SE3A"/>
    <x v="9"/>
    <n v="44.803327257663497"/>
    <n v="12.4453686826843"/>
  </r>
  <r>
    <x v="0"/>
    <x v="8"/>
    <x v="9"/>
    <x v="19"/>
    <s v="SE3A"/>
    <x v="10"/>
    <n v="54.681226180612903"/>
    <n v="15.1892294946147"/>
  </r>
  <r>
    <x v="0"/>
    <x v="8"/>
    <x v="9"/>
    <x v="19"/>
    <s v="SE3A"/>
    <x v="11"/>
    <n v="3.8806031483015802"/>
    <n v="1.07794531897266"/>
  </r>
  <r>
    <x v="0"/>
    <x v="8"/>
    <x v="9"/>
    <x v="19"/>
    <s v="SE3A"/>
    <x v="12"/>
    <n v="9.7995028997514597E-2"/>
    <n v="2.72208413881985E-2"/>
  </r>
  <r>
    <x v="0"/>
    <x v="8"/>
    <x v="9"/>
    <x v="19"/>
    <s v="SE3A"/>
    <x v="13"/>
    <n v="21.5197083678542"/>
    <n v="5.9776967688483804"/>
  </r>
  <r>
    <x v="0"/>
    <x v="8"/>
    <x v="9"/>
    <x v="19"/>
    <s v="SE3A"/>
    <x v="14"/>
    <n v="21.5197083678542"/>
    <n v="5.9776967688483804"/>
  </r>
  <r>
    <x v="0"/>
    <x v="8"/>
    <x v="9"/>
    <x v="19"/>
    <s v="SE3A"/>
    <x v="15"/>
    <n v="1.65807589063794"/>
    <n v="0.46057663628831802"/>
  </r>
  <r>
    <x v="0"/>
    <x v="8"/>
    <x v="9"/>
    <x v="19"/>
    <s v="SE3A"/>
    <x v="16"/>
    <n v="4.9884429139200002"/>
    <n v="1.3856785871999999"/>
  </r>
  <r>
    <x v="0"/>
    <x v="8"/>
    <x v="9"/>
    <x v="19"/>
    <s v="SE3A"/>
    <x v="17"/>
    <n v="9.1244895875632395"/>
    <n v="2.5345804409897901"/>
  </r>
  <r>
    <x v="0"/>
    <x v="8"/>
    <x v="9"/>
    <x v="19"/>
    <s v="SE3A"/>
    <x v="18"/>
    <n v="21.5197083678542"/>
    <n v="5.9776967688483804"/>
  </r>
  <r>
    <x v="0"/>
    <x v="8"/>
    <x v="9"/>
    <x v="19"/>
    <s v="SE3A"/>
    <x v="19"/>
    <n v="8.1139884009941898"/>
    <n v="2.2538856669428302"/>
  </r>
  <r>
    <x v="0"/>
    <x v="8"/>
    <x v="9"/>
    <x v="19"/>
    <s v="SE3A"/>
    <x v="20"/>
    <n v="19.336735244541"/>
    <n v="5.37131534570584"/>
  </r>
  <r>
    <x v="0"/>
    <x v="8"/>
    <x v="9"/>
    <x v="19"/>
    <s v="SE3A"/>
    <x v="21"/>
    <n v="48.384"/>
    <n v="13.44"/>
  </r>
  <r>
    <x v="0"/>
    <x v="8"/>
    <x v="9"/>
    <x v="19"/>
    <s v="SE3A"/>
    <x v="22"/>
    <n v="79.847999999999999"/>
    <n v="22.18"/>
  </r>
  <r>
    <x v="0"/>
    <x v="8"/>
    <x v="9"/>
    <x v="19"/>
    <s v="SE3A"/>
    <x v="23"/>
    <n v="0.31515896120488701"/>
    <n v="8.7544155890246306E-2"/>
  </r>
  <r>
    <x v="0"/>
    <x v="8"/>
    <x v="9"/>
    <x v="19"/>
    <s v="SE3A"/>
    <x v="24"/>
    <n v="19.174223581093901"/>
    <n v="5.32617321697054"/>
  </r>
  <r>
    <x v="0"/>
    <x v="8"/>
    <x v="9"/>
    <x v="19"/>
    <s v="SE3A"/>
    <x v="25"/>
    <n v="22.356874337357301"/>
    <n v="6.2102428714881297"/>
  </r>
  <r>
    <x v="0"/>
    <x v="8"/>
    <x v="9"/>
    <x v="19"/>
    <s v="SE3A"/>
    <x v="26"/>
    <n v="29.6651032387655"/>
    <n v="8.2403064552126306"/>
  </r>
  <r>
    <x v="0"/>
    <x v="8"/>
    <x v="9"/>
    <x v="19"/>
    <s v="SE3A"/>
    <x v="27"/>
    <n v="20.163995508318798"/>
    <n v="5.6011098634218799"/>
  </r>
  <r>
    <x v="0"/>
    <x v="8"/>
    <x v="9"/>
    <x v="19"/>
    <s v="SE3_IND"/>
    <x v="1"/>
    <n v="35.989199999999997"/>
    <n v="9.9969999999999999"/>
  </r>
  <r>
    <x v="0"/>
    <x v="8"/>
    <x v="9"/>
    <x v="19"/>
    <s v="SE3_IND"/>
    <x v="2"/>
    <n v="48.384"/>
    <n v="13.44"/>
  </r>
  <r>
    <x v="0"/>
    <x v="8"/>
    <x v="9"/>
    <x v="19"/>
    <s v="SE3_IND"/>
    <x v="0"/>
    <n v="42.692399999999999"/>
    <n v="11.859"/>
  </r>
  <r>
    <x v="0"/>
    <x v="8"/>
    <x v="9"/>
    <x v="19"/>
    <s v="SE3_IND"/>
    <x v="3"/>
    <n v="51.633543144067197"/>
    <n v="14.342650873352"/>
  </r>
  <r>
    <x v="0"/>
    <x v="8"/>
    <x v="9"/>
    <x v="19"/>
    <s v="SE3_IND"/>
    <x v="4"/>
    <n v="8.1139884009941898"/>
    <n v="2.2538856669428302"/>
  </r>
  <r>
    <x v="0"/>
    <x v="8"/>
    <x v="9"/>
    <x v="19"/>
    <s v="SE3_IND"/>
    <x v="5"/>
    <n v="8.1139884009941898"/>
    <n v="2.2538856669428302"/>
  </r>
  <r>
    <x v="0"/>
    <x v="8"/>
    <x v="9"/>
    <x v="19"/>
    <s v="SE3_IND"/>
    <x v="6"/>
    <n v="29.476231795214598"/>
    <n v="8.1878421653373898"/>
  </r>
  <r>
    <x v="0"/>
    <x v="8"/>
    <x v="9"/>
    <x v="19"/>
    <s v="SE3_IND"/>
    <x v="7"/>
    <n v="57.838935220261199"/>
    <n v="16.066370894517"/>
  </r>
  <r>
    <x v="0"/>
    <x v="8"/>
    <x v="9"/>
    <x v="19"/>
    <s v="SE3_IND"/>
    <x v="8"/>
    <n v="57.838935220261199"/>
    <n v="16.066370894517"/>
  </r>
  <r>
    <x v="0"/>
    <x v="8"/>
    <x v="9"/>
    <x v="19"/>
    <s v="SE3_IND"/>
    <x v="9"/>
    <n v="44.803327257663497"/>
    <n v="12.4453686826843"/>
  </r>
  <r>
    <x v="0"/>
    <x v="8"/>
    <x v="9"/>
    <x v="19"/>
    <s v="SE3_IND"/>
    <x v="10"/>
    <n v="54.681226180612903"/>
    <n v="15.1892294946147"/>
  </r>
  <r>
    <x v="0"/>
    <x v="8"/>
    <x v="9"/>
    <x v="19"/>
    <s v="SE3_IND"/>
    <x v="11"/>
    <n v="3.8806031483015802"/>
    <n v="1.07794531897266"/>
  </r>
  <r>
    <x v="0"/>
    <x v="8"/>
    <x v="9"/>
    <x v="19"/>
    <s v="SE3_IND"/>
    <x v="12"/>
    <n v="9.7995028997514597E-2"/>
    <n v="2.72208413881985E-2"/>
  </r>
  <r>
    <x v="0"/>
    <x v="8"/>
    <x v="9"/>
    <x v="19"/>
    <s v="SE3_IND"/>
    <x v="13"/>
    <n v="21.5197083678542"/>
    <n v="5.9776967688483804"/>
  </r>
  <r>
    <x v="0"/>
    <x v="8"/>
    <x v="9"/>
    <x v="19"/>
    <s v="SE3_IND"/>
    <x v="14"/>
    <n v="21.5197083678542"/>
    <n v="5.9776967688483804"/>
  </r>
  <r>
    <x v="0"/>
    <x v="8"/>
    <x v="9"/>
    <x v="19"/>
    <s v="SE3_IND"/>
    <x v="15"/>
    <n v="1.65807589063794"/>
    <n v="0.46057663628831802"/>
  </r>
  <r>
    <x v="0"/>
    <x v="8"/>
    <x v="9"/>
    <x v="19"/>
    <s v="SE3_IND"/>
    <x v="16"/>
    <n v="4.9884429139200002"/>
    <n v="1.3856785871999999"/>
  </r>
  <r>
    <x v="0"/>
    <x v="8"/>
    <x v="9"/>
    <x v="19"/>
    <s v="SE3_IND"/>
    <x v="17"/>
    <n v="9.1244895875632395"/>
    <n v="2.5345804409897901"/>
  </r>
  <r>
    <x v="0"/>
    <x v="8"/>
    <x v="9"/>
    <x v="19"/>
    <s v="SE3_IND"/>
    <x v="18"/>
    <n v="21.5197083678542"/>
    <n v="5.9776967688483804"/>
  </r>
  <r>
    <x v="0"/>
    <x v="8"/>
    <x v="9"/>
    <x v="19"/>
    <s v="SE3_IND"/>
    <x v="19"/>
    <n v="8.1139884009941898"/>
    <n v="2.2538856669428302"/>
  </r>
  <r>
    <x v="0"/>
    <x v="8"/>
    <x v="9"/>
    <x v="19"/>
    <s v="SE3_IND"/>
    <x v="20"/>
    <n v="19.336735244541"/>
    <n v="5.37131534570584"/>
  </r>
  <r>
    <x v="0"/>
    <x v="8"/>
    <x v="9"/>
    <x v="19"/>
    <s v="SE3_IND"/>
    <x v="21"/>
    <n v="48.384"/>
    <n v="13.44"/>
  </r>
  <r>
    <x v="0"/>
    <x v="8"/>
    <x v="9"/>
    <x v="19"/>
    <s v="SE3_IND"/>
    <x v="22"/>
    <n v="79.847999999999999"/>
    <n v="22.18"/>
  </r>
  <r>
    <x v="0"/>
    <x v="8"/>
    <x v="9"/>
    <x v="19"/>
    <s v="SE3_IND"/>
    <x v="23"/>
    <n v="0.31515896120488701"/>
    <n v="8.7544155890246306E-2"/>
  </r>
  <r>
    <x v="0"/>
    <x v="8"/>
    <x v="9"/>
    <x v="19"/>
    <s v="SE3_IND"/>
    <x v="24"/>
    <n v="19.174223581093901"/>
    <n v="5.32617321697054"/>
  </r>
  <r>
    <x v="0"/>
    <x v="8"/>
    <x v="9"/>
    <x v="19"/>
    <s v="SE3_IND"/>
    <x v="25"/>
    <n v="22.356874337357301"/>
    <n v="6.2102428714881297"/>
  </r>
  <r>
    <x v="0"/>
    <x v="8"/>
    <x v="9"/>
    <x v="19"/>
    <s v="SE3_IND"/>
    <x v="26"/>
    <n v="29.6651032387655"/>
    <n v="8.2403064552126306"/>
  </r>
  <r>
    <x v="0"/>
    <x v="8"/>
    <x v="9"/>
    <x v="19"/>
    <s v="SE3_IND"/>
    <x v="27"/>
    <n v="20.163995508318798"/>
    <n v="5.6011098634218799"/>
  </r>
  <r>
    <x v="0"/>
    <x v="8"/>
    <x v="9"/>
    <x v="19"/>
    <s v="SE3_Offshore"/>
    <x v="1"/>
    <n v="35.989199999999997"/>
    <n v="9.9969999999999999"/>
  </r>
  <r>
    <x v="0"/>
    <x v="8"/>
    <x v="9"/>
    <x v="19"/>
    <s v="SE3_Offshore"/>
    <x v="2"/>
    <n v="48.384"/>
    <n v="13.44"/>
  </r>
  <r>
    <x v="0"/>
    <x v="8"/>
    <x v="9"/>
    <x v="19"/>
    <s v="SE3_Offshore"/>
    <x v="0"/>
    <n v="42.692399999999999"/>
    <n v="11.859"/>
  </r>
  <r>
    <x v="0"/>
    <x v="8"/>
    <x v="9"/>
    <x v="19"/>
    <s v="SE3_Offshore"/>
    <x v="3"/>
    <n v="51.633543144067197"/>
    <n v="14.342650873352"/>
  </r>
  <r>
    <x v="0"/>
    <x v="8"/>
    <x v="9"/>
    <x v="19"/>
    <s v="SE3_Offshore"/>
    <x v="4"/>
    <n v="8.1139884009941898"/>
    <n v="2.2538856669428302"/>
  </r>
  <r>
    <x v="0"/>
    <x v="8"/>
    <x v="9"/>
    <x v="19"/>
    <s v="SE3_Offshore"/>
    <x v="5"/>
    <n v="8.1139884009941898"/>
    <n v="2.2538856669428302"/>
  </r>
  <r>
    <x v="0"/>
    <x v="8"/>
    <x v="9"/>
    <x v="19"/>
    <s v="SE3_Offshore"/>
    <x v="6"/>
    <n v="29.476231795214598"/>
    <n v="8.1878421653373898"/>
  </r>
  <r>
    <x v="0"/>
    <x v="8"/>
    <x v="9"/>
    <x v="19"/>
    <s v="SE3_Offshore"/>
    <x v="7"/>
    <n v="57.838935220261199"/>
    <n v="16.066370894517"/>
  </r>
  <r>
    <x v="0"/>
    <x v="8"/>
    <x v="9"/>
    <x v="19"/>
    <s v="SE3_Offshore"/>
    <x v="8"/>
    <n v="57.838935220261199"/>
    <n v="16.066370894517"/>
  </r>
  <r>
    <x v="0"/>
    <x v="8"/>
    <x v="9"/>
    <x v="19"/>
    <s v="SE3_Offshore"/>
    <x v="9"/>
    <n v="44.803327257663497"/>
    <n v="12.4453686826843"/>
  </r>
  <r>
    <x v="0"/>
    <x v="8"/>
    <x v="9"/>
    <x v="19"/>
    <s v="SE3_Offshore"/>
    <x v="10"/>
    <n v="54.681226180612903"/>
    <n v="15.1892294946147"/>
  </r>
  <r>
    <x v="0"/>
    <x v="8"/>
    <x v="9"/>
    <x v="19"/>
    <s v="SE3_Offshore"/>
    <x v="11"/>
    <n v="3.8806031483015802"/>
    <n v="1.07794531897266"/>
  </r>
  <r>
    <x v="0"/>
    <x v="8"/>
    <x v="9"/>
    <x v="19"/>
    <s v="SE3_Offshore"/>
    <x v="12"/>
    <n v="9.7995028997514597E-2"/>
    <n v="2.72208413881985E-2"/>
  </r>
  <r>
    <x v="0"/>
    <x v="8"/>
    <x v="9"/>
    <x v="19"/>
    <s v="SE3_Offshore"/>
    <x v="13"/>
    <n v="21.5197083678542"/>
    <n v="5.9776967688483804"/>
  </r>
  <r>
    <x v="0"/>
    <x v="8"/>
    <x v="9"/>
    <x v="19"/>
    <s v="SE3_Offshore"/>
    <x v="14"/>
    <n v="21.5197083678542"/>
    <n v="5.9776967688483804"/>
  </r>
  <r>
    <x v="0"/>
    <x v="8"/>
    <x v="9"/>
    <x v="19"/>
    <s v="SE3_Offshore"/>
    <x v="15"/>
    <n v="1.65807589063794"/>
    <n v="0.46057663628831802"/>
  </r>
  <r>
    <x v="0"/>
    <x v="8"/>
    <x v="9"/>
    <x v="19"/>
    <s v="SE3_Offshore"/>
    <x v="16"/>
    <n v="4.9884429139200002"/>
    <n v="1.3856785871999999"/>
  </r>
  <r>
    <x v="0"/>
    <x v="8"/>
    <x v="9"/>
    <x v="19"/>
    <s v="SE3_Offshore"/>
    <x v="17"/>
    <n v="9.1244895875632395"/>
    <n v="2.5345804409897901"/>
  </r>
  <r>
    <x v="0"/>
    <x v="8"/>
    <x v="9"/>
    <x v="19"/>
    <s v="SE3_Offshore"/>
    <x v="18"/>
    <n v="21.5197083678542"/>
    <n v="5.9776967688483804"/>
  </r>
  <r>
    <x v="0"/>
    <x v="8"/>
    <x v="9"/>
    <x v="19"/>
    <s v="SE3_Offshore"/>
    <x v="19"/>
    <n v="8.1139884009941898"/>
    <n v="2.2538856669428302"/>
  </r>
  <r>
    <x v="0"/>
    <x v="8"/>
    <x v="9"/>
    <x v="19"/>
    <s v="SE3_Offshore"/>
    <x v="20"/>
    <n v="19.336735244541"/>
    <n v="5.37131534570584"/>
  </r>
  <r>
    <x v="0"/>
    <x v="8"/>
    <x v="9"/>
    <x v="19"/>
    <s v="SE3_Offshore"/>
    <x v="21"/>
    <n v="48.384"/>
    <n v="13.44"/>
  </r>
  <r>
    <x v="0"/>
    <x v="8"/>
    <x v="9"/>
    <x v="19"/>
    <s v="SE3_Offshore"/>
    <x v="22"/>
    <n v="79.847999999999999"/>
    <n v="22.18"/>
  </r>
  <r>
    <x v="0"/>
    <x v="8"/>
    <x v="9"/>
    <x v="19"/>
    <s v="SE3_Offshore"/>
    <x v="23"/>
    <n v="0.31515896120488701"/>
    <n v="8.7544155890246306E-2"/>
  </r>
  <r>
    <x v="0"/>
    <x v="8"/>
    <x v="9"/>
    <x v="19"/>
    <s v="SE3_Offshore"/>
    <x v="24"/>
    <n v="19.174223581093901"/>
    <n v="5.32617321697054"/>
  </r>
  <r>
    <x v="0"/>
    <x v="8"/>
    <x v="9"/>
    <x v="19"/>
    <s v="SE3_Offshore"/>
    <x v="25"/>
    <n v="22.356874337357301"/>
    <n v="6.2102428714881297"/>
  </r>
  <r>
    <x v="0"/>
    <x v="8"/>
    <x v="9"/>
    <x v="19"/>
    <s v="SE3_Offshore"/>
    <x v="26"/>
    <n v="29.6651032387655"/>
    <n v="8.2403064552126306"/>
  </r>
  <r>
    <x v="0"/>
    <x v="8"/>
    <x v="9"/>
    <x v="19"/>
    <s v="SE3_Offshore"/>
    <x v="27"/>
    <n v="20.163995508318798"/>
    <n v="5.6011098634218799"/>
  </r>
  <r>
    <x v="0"/>
    <x v="8"/>
    <x v="9"/>
    <x v="19"/>
    <s v="SE3_large"/>
    <x v="1"/>
    <n v="35.989199999999997"/>
    <n v="9.9969999999999999"/>
  </r>
  <r>
    <x v="0"/>
    <x v="8"/>
    <x v="9"/>
    <x v="19"/>
    <s v="SE3_large"/>
    <x v="2"/>
    <n v="48.384"/>
    <n v="13.44"/>
  </r>
  <r>
    <x v="0"/>
    <x v="8"/>
    <x v="9"/>
    <x v="19"/>
    <s v="SE3_large"/>
    <x v="0"/>
    <n v="42.692399999999999"/>
    <n v="11.859"/>
  </r>
  <r>
    <x v="0"/>
    <x v="8"/>
    <x v="9"/>
    <x v="19"/>
    <s v="SE3_large"/>
    <x v="3"/>
    <n v="51.633543144067197"/>
    <n v="14.342650873352"/>
  </r>
  <r>
    <x v="0"/>
    <x v="8"/>
    <x v="9"/>
    <x v="19"/>
    <s v="SE3_large"/>
    <x v="4"/>
    <n v="8.1139884009941898"/>
    <n v="2.2538856669428302"/>
  </r>
  <r>
    <x v="0"/>
    <x v="8"/>
    <x v="9"/>
    <x v="19"/>
    <s v="SE3_large"/>
    <x v="5"/>
    <n v="8.1139884009941898"/>
    <n v="2.2538856669428302"/>
  </r>
  <r>
    <x v="0"/>
    <x v="8"/>
    <x v="9"/>
    <x v="19"/>
    <s v="SE3_large"/>
    <x v="6"/>
    <n v="29.476231795214598"/>
    <n v="8.1878421653373898"/>
  </r>
  <r>
    <x v="0"/>
    <x v="8"/>
    <x v="9"/>
    <x v="19"/>
    <s v="SE3_large"/>
    <x v="7"/>
    <n v="57.838935220261199"/>
    <n v="16.066370894517"/>
  </r>
  <r>
    <x v="0"/>
    <x v="8"/>
    <x v="9"/>
    <x v="19"/>
    <s v="SE3_large"/>
    <x v="8"/>
    <n v="57.838935220261199"/>
    <n v="16.066370894517"/>
  </r>
  <r>
    <x v="0"/>
    <x v="8"/>
    <x v="9"/>
    <x v="19"/>
    <s v="SE3_large"/>
    <x v="9"/>
    <n v="44.803327257663497"/>
    <n v="12.4453686826843"/>
  </r>
  <r>
    <x v="0"/>
    <x v="8"/>
    <x v="9"/>
    <x v="19"/>
    <s v="SE3_large"/>
    <x v="10"/>
    <n v="54.681226180612903"/>
    <n v="15.1892294946147"/>
  </r>
  <r>
    <x v="0"/>
    <x v="8"/>
    <x v="9"/>
    <x v="19"/>
    <s v="SE3_large"/>
    <x v="11"/>
    <n v="3.8806031483015802"/>
    <n v="1.07794531897266"/>
  </r>
  <r>
    <x v="0"/>
    <x v="8"/>
    <x v="9"/>
    <x v="19"/>
    <s v="SE3_large"/>
    <x v="12"/>
    <n v="9.7995028997514597E-2"/>
    <n v="2.72208413881985E-2"/>
  </r>
  <r>
    <x v="0"/>
    <x v="8"/>
    <x v="9"/>
    <x v="19"/>
    <s v="SE3_large"/>
    <x v="13"/>
    <n v="21.5197083678542"/>
    <n v="5.9776967688483804"/>
  </r>
  <r>
    <x v="0"/>
    <x v="8"/>
    <x v="9"/>
    <x v="19"/>
    <s v="SE3_large"/>
    <x v="14"/>
    <n v="21.5197083678542"/>
    <n v="5.9776967688483804"/>
  </r>
  <r>
    <x v="0"/>
    <x v="8"/>
    <x v="9"/>
    <x v="19"/>
    <s v="SE3_large"/>
    <x v="15"/>
    <n v="1.65807589063794"/>
    <n v="0.46057663628831802"/>
  </r>
  <r>
    <x v="0"/>
    <x v="8"/>
    <x v="9"/>
    <x v="19"/>
    <s v="SE3_large"/>
    <x v="16"/>
    <n v="4.9884429139200002"/>
    <n v="1.3856785871999999"/>
  </r>
  <r>
    <x v="0"/>
    <x v="8"/>
    <x v="9"/>
    <x v="19"/>
    <s v="SE3_large"/>
    <x v="17"/>
    <n v="9.1244895875632395"/>
    <n v="2.5345804409897901"/>
  </r>
  <r>
    <x v="0"/>
    <x v="8"/>
    <x v="9"/>
    <x v="19"/>
    <s v="SE3_large"/>
    <x v="18"/>
    <n v="21.5197083678542"/>
    <n v="5.9776967688483804"/>
  </r>
  <r>
    <x v="0"/>
    <x v="8"/>
    <x v="9"/>
    <x v="19"/>
    <s v="SE3_large"/>
    <x v="19"/>
    <n v="8.1139884009941898"/>
    <n v="2.2538856669428302"/>
  </r>
  <r>
    <x v="0"/>
    <x v="8"/>
    <x v="9"/>
    <x v="19"/>
    <s v="SE3_large"/>
    <x v="20"/>
    <n v="19.336735244541"/>
    <n v="5.37131534570584"/>
  </r>
  <r>
    <x v="0"/>
    <x v="8"/>
    <x v="9"/>
    <x v="19"/>
    <s v="SE3_large"/>
    <x v="21"/>
    <n v="48.384"/>
    <n v="13.44"/>
  </r>
  <r>
    <x v="0"/>
    <x v="8"/>
    <x v="9"/>
    <x v="19"/>
    <s v="SE3_large"/>
    <x v="22"/>
    <n v="79.847999999999999"/>
    <n v="22.18"/>
  </r>
  <r>
    <x v="0"/>
    <x v="8"/>
    <x v="9"/>
    <x v="19"/>
    <s v="SE3_large"/>
    <x v="23"/>
    <n v="0.31515896120488701"/>
    <n v="8.7544155890246306E-2"/>
  </r>
  <r>
    <x v="0"/>
    <x v="8"/>
    <x v="9"/>
    <x v="19"/>
    <s v="SE3_large"/>
    <x v="24"/>
    <n v="19.174223581093901"/>
    <n v="5.32617321697054"/>
  </r>
  <r>
    <x v="0"/>
    <x v="8"/>
    <x v="9"/>
    <x v="19"/>
    <s v="SE3_large"/>
    <x v="25"/>
    <n v="22.356874337357301"/>
    <n v="6.2102428714881297"/>
  </r>
  <r>
    <x v="0"/>
    <x v="8"/>
    <x v="9"/>
    <x v="19"/>
    <s v="SE3_large"/>
    <x v="26"/>
    <n v="29.6651032387655"/>
    <n v="8.2403064552126306"/>
  </r>
  <r>
    <x v="0"/>
    <x v="8"/>
    <x v="9"/>
    <x v="19"/>
    <s v="SE3_large"/>
    <x v="27"/>
    <n v="20.163995508318798"/>
    <n v="5.6011098634218799"/>
  </r>
  <r>
    <x v="0"/>
    <x v="8"/>
    <x v="9"/>
    <x v="19"/>
    <s v="SE3_medium"/>
    <x v="1"/>
    <n v="35.989199999999997"/>
    <n v="9.9969999999999999"/>
  </r>
  <r>
    <x v="0"/>
    <x v="8"/>
    <x v="9"/>
    <x v="19"/>
    <s v="SE3_medium"/>
    <x v="2"/>
    <n v="48.384"/>
    <n v="13.44"/>
  </r>
  <r>
    <x v="0"/>
    <x v="8"/>
    <x v="9"/>
    <x v="19"/>
    <s v="SE3_medium"/>
    <x v="0"/>
    <n v="42.692399999999999"/>
    <n v="11.859"/>
  </r>
  <r>
    <x v="0"/>
    <x v="8"/>
    <x v="9"/>
    <x v="19"/>
    <s v="SE3_medium"/>
    <x v="3"/>
    <n v="51.633543144067197"/>
    <n v="14.342650873352"/>
  </r>
  <r>
    <x v="0"/>
    <x v="8"/>
    <x v="9"/>
    <x v="19"/>
    <s v="SE3_medium"/>
    <x v="4"/>
    <n v="8.1139884009941898"/>
    <n v="2.2538856669428302"/>
  </r>
  <r>
    <x v="0"/>
    <x v="8"/>
    <x v="9"/>
    <x v="19"/>
    <s v="SE3_medium"/>
    <x v="5"/>
    <n v="8.1139884009941898"/>
    <n v="2.2538856669428302"/>
  </r>
  <r>
    <x v="0"/>
    <x v="8"/>
    <x v="9"/>
    <x v="19"/>
    <s v="SE3_medium"/>
    <x v="6"/>
    <n v="29.476231795214598"/>
    <n v="8.1878421653373898"/>
  </r>
  <r>
    <x v="0"/>
    <x v="8"/>
    <x v="9"/>
    <x v="19"/>
    <s v="SE3_medium"/>
    <x v="7"/>
    <n v="57.838935220261199"/>
    <n v="16.066370894517"/>
  </r>
  <r>
    <x v="0"/>
    <x v="8"/>
    <x v="9"/>
    <x v="19"/>
    <s v="SE3_medium"/>
    <x v="8"/>
    <n v="57.838935220261199"/>
    <n v="16.066370894517"/>
  </r>
  <r>
    <x v="0"/>
    <x v="8"/>
    <x v="9"/>
    <x v="19"/>
    <s v="SE3_medium"/>
    <x v="9"/>
    <n v="44.803327257663497"/>
    <n v="12.4453686826843"/>
  </r>
  <r>
    <x v="0"/>
    <x v="8"/>
    <x v="9"/>
    <x v="19"/>
    <s v="SE3_medium"/>
    <x v="10"/>
    <n v="54.681226180612903"/>
    <n v="15.1892294946147"/>
  </r>
  <r>
    <x v="0"/>
    <x v="8"/>
    <x v="9"/>
    <x v="19"/>
    <s v="SE3_medium"/>
    <x v="11"/>
    <n v="3.8806031483015802"/>
    <n v="1.07794531897266"/>
  </r>
  <r>
    <x v="0"/>
    <x v="8"/>
    <x v="9"/>
    <x v="19"/>
    <s v="SE3_medium"/>
    <x v="12"/>
    <n v="9.7995028997514597E-2"/>
    <n v="2.72208413881985E-2"/>
  </r>
  <r>
    <x v="0"/>
    <x v="8"/>
    <x v="9"/>
    <x v="19"/>
    <s v="SE3_medium"/>
    <x v="13"/>
    <n v="21.5197083678542"/>
    <n v="5.9776967688483804"/>
  </r>
  <r>
    <x v="0"/>
    <x v="8"/>
    <x v="9"/>
    <x v="19"/>
    <s v="SE3_medium"/>
    <x v="14"/>
    <n v="21.5197083678542"/>
    <n v="5.9776967688483804"/>
  </r>
  <r>
    <x v="0"/>
    <x v="8"/>
    <x v="9"/>
    <x v="19"/>
    <s v="SE3_medium"/>
    <x v="15"/>
    <n v="1.65807589063794"/>
    <n v="0.46057663628831802"/>
  </r>
  <r>
    <x v="0"/>
    <x v="8"/>
    <x v="9"/>
    <x v="19"/>
    <s v="SE3_medium"/>
    <x v="16"/>
    <n v="4.9884429139200002"/>
    <n v="1.3856785871999999"/>
  </r>
  <r>
    <x v="0"/>
    <x v="8"/>
    <x v="9"/>
    <x v="19"/>
    <s v="SE3_medium"/>
    <x v="17"/>
    <n v="9.1244895875632395"/>
    <n v="2.5345804409897901"/>
  </r>
  <r>
    <x v="0"/>
    <x v="8"/>
    <x v="9"/>
    <x v="19"/>
    <s v="SE3_medium"/>
    <x v="18"/>
    <n v="21.5197083678542"/>
    <n v="5.9776967688483804"/>
  </r>
  <r>
    <x v="0"/>
    <x v="8"/>
    <x v="9"/>
    <x v="19"/>
    <s v="SE3_medium"/>
    <x v="19"/>
    <n v="8.1139884009941898"/>
    <n v="2.2538856669428302"/>
  </r>
  <r>
    <x v="0"/>
    <x v="8"/>
    <x v="9"/>
    <x v="19"/>
    <s v="SE3_medium"/>
    <x v="20"/>
    <n v="19.336735244541"/>
    <n v="5.37131534570584"/>
  </r>
  <r>
    <x v="0"/>
    <x v="8"/>
    <x v="9"/>
    <x v="19"/>
    <s v="SE3_medium"/>
    <x v="21"/>
    <n v="48.384"/>
    <n v="13.44"/>
  </r>
  <r>
    <x v="0"/>
    <x v="8"/>
    <x v="9"/>
    <x v="19"/>
    <s v="SE3_medium"/>
    <x v="22"/>
    <n v="79.847999999999999"/>
    <n v="22.18"/>
  </r>
  <r>
    <x v="0"/>
    <x v="8"/>
    <x v="9"/>
    <x v="19"/>
    <s v="SE3_medium"/>
    <x v="23"/>
    <n v="0.31515896120488701"/>
    <n v="8.7544155890246306E-2"/>
  </r>
  <r>
    <x v="0"/>
    <x v="8"/>
    <x v="9"/>
    <x v="19"/>
    <s v="SE3_medium"/>
    <x v="24"/>
    <n v="19.174223581093901"/>
    <n v="5.32617321697054"/>
  </r>
  <r>
    <x v="0"/>
    <x v="8"/>
    <x v="9"/>
    <x v="19"/>
    <s v="SE3_medium"/>
    <x v="25"/>
    <n v="22.356874337357301"/>
    <n v="6.2102428714881297"/>
  </r>
  <r>
    <x v="0"/>
    <x v="8"/>
    <x v="9"/>
    <x v="19"/>
    <s v="SE3_medium"/>
    <x v="26"/>
    <n v="29.6651032387655"/>
    <n v="8.2403064552126306"/>
  </r>
  <r>
    <x v="0"/>
    <x v="8"/>
    <x v="9"/>
    <x v="19"/>
    <s v="SE3_medium"/>
    <x v="27"/>
    <n v="20.163995508318798"/>
    <n v="5.6011098634218799"/>
  </r>
  <r>
    <x v="0"/>
    <x v="8"/>
    <x v="9"/>
    <x v="19"/>
    <s v="SE3_small"/>
    <x v="1"/>
    <n v="35.989199999999997"/>
    <n v="9.9969999999999999"/>
  </r>
  <r>
    <x v="0"/>
    <x v="8"/>
    <x v="9"/>
    <x v="19"/>
    <s v="SE3_small"/>
    <x v="2"/>
    <n v="48.384"/>
    <n v="13.44"/>
  </r>
  <r>
    <x v="0"/>
    <x v="8"/>
    <x v="9"/>
    <x v="19"/>
    <s v="SE3_small"/>
    <x v="0"/>
    <n v="42.692399999999999"/>
    <n v="11.859"/>
  </r>
  <r>
    <x v="0"/>
    <x v="8"/>
    <x v="9"/>
    <x v="19"/>
    <s v="SE3_small"/>
    <x v="3"/>
    <n v="51.633543144067197"/>
    <n v="14.342650873352"/>
  </r>
  <r>
    <x v="0"/>
    <x v="8"/>
    <x v="9"/>
    <x v="19"/>
    <s v="SE3_small"/>
    <x v="4"/>
    <n v="8.1139884009941898"/>
    <n v="2.2538856669428302"/>
  </r>
  <r>
    <x v="0"/>
    <x v="8"/>
    <x v="9"/>
    <x v="19"/>
    <s v="SE3_small"/>
    <x v="5"/>
    <n v="8.1139884009941898"/>
    <n v="2.2538856669428302"/>
  </r>
  <r>
    <x v="0"/>
    <x v="8"/>
    <x v="9"/>
    <x v="19"/>
    <s v="SE3_small"/>
    <x v="6"/>
    <n v="29.476231795214598"/>
    <n v="8.1878421653373898"/>
  </r>
  <r>
    <x v="0"/>
    <x v="8"/>
    <x v="9"/>
    <x v="19"/>
    <s v="SE3_small"/>
    <x v="7"/>
    <n v="57.838935220261199"/>
    <n v="16.066370894517"/>
  </r>
  <r>
    <x v="0"/>
    <x v="8"/>
    <x v="9"/>
    <x v="19"/>
    <s v="SE3_small"/>
    <x v="8"/>
    <n v="57.838935220261199"/>
    <n v="16.066370894517"/>
  </r>
  <r>
    <x v="0"/>
    <x v="8"/>
    <x v="9"/>
    <x v="19"/>
    <s v="SE3_small"/>
    <x v="9"/>
    <n v="44.803327257663497"/>
    <n v="12.4453686826843"/>
  </r>
  <r>
    <x v="0"/>
    <x v="8"/>
    <x v="9"/>
    <x v="19"/>
    <s v="SE3_small"/>
    <x v="10"/>
    <n v="54.681226180612903"/>
    <n v="15.1892294946147"/>
  </r>
  <r>
    <x v="0"/>
    <x v="8"/>
    <x v="9"/>
    <x v="19"/>
    <s v="SE3_small"/>
    <x v="11"/>
    <n v="3.8806031483015802"/>
    <n v="1.07794531897266"/>
  </r>
  <r>
    <x v="0"/>
    <x v="8"/>
    <x v="9"/>
    <x v="19"/>
    <s v="SE3_small"/>
    <x v="12"/>
    <n v="9.7995028997514597E-2"/>
    <n v="2.72208413881985E-2"/>
  </r>
  <r>
    <x v="0"/>
    <x v="8"/>
    <x v="9"/>
    <x v="19"/>
    <s v="SE3_small"/>
    <x v="13"/>
    <n v="21.5197083678542"/>
    <n v="5.9776967688483804"/>
  </r>
  <r>
    <x v="0"/>
    <x v="8"/>
    <x v="9"/>
    <x v="19"/>
    <s v="SE3_small"/>
    <x v="14"/>
    <n v="21.5197083678542"/>
    <n v="5.9776967688483804"/>
  </r>
  <r>
    <x v="0"/>
    <x v="8"/>
    <x v="9"/>
    <x v="19"/>
    <s v="SE3_small"/>
    <x v="15"/>
    <n v="1.65807589063794"/>
    <n v="0.46057663628831802"/>
  </r>
  <r>
    <x v="0"/>
    <x v="8"/>
    <x v="9"/>
    <x v="19"/>
    <s v="SE3_small"/>
    <x v="16"/>
    <n v="4.9884429139200002"/>
    <n v="1.3856785871999999"/>
  </r>
  <r>
    <x v="0"/>
    <x v="8"/>
    <x v="9"/>
    <x v="19"/>
    <s v="SE3_small"/>
    <x v="17"/>
    <n v="9.1244895875632395"/>
    <n v="2.5345804409897901"/>
  </r>
  <r>
    <x v="0"/>
    <x v="8"/>
    <x v="9"/>
    <x v="19"/>
    <s v="SE3_small"/>
    <x v="18"/>
    <n v="21.5197083678542"/>
    <n v="5.9776967688483804"/>
  </r>
  <r>
    <x v="0"/>
    <x v="8"/>
    <x v="9"/>
    <x v="19"/>
    <s v="SE3_small"/>
    <x v="19"/>
    <n v="8.1139884009941898"/>
    <n v="2.2538856669428302"/>
  </r>
  <r>
    <x v="0"/>
    <x v="8"/>
    <x v="9"/>
    <x v="19"/>
    <s v="SE3_small"/>
    <x v="20"/>
    <n v="19.336735244541"/>
    <n v="5.37131534570584"/>
  </r>
  <r>
    <x v="0"/>
    <x v="8"/>
    <x v="9"/>
    <x v="19"/>
    <s v="SE3_small"/>
    <x v="21"/>
    <n v="48.384"/>
    <n v="13.44"/>
  </r>
  <r>
    <x v="0"/>
    <x v="8"/>
    <x v="9"/>
    <x v="19"/>
    <s v="SE3_small"/>
    <x v="22"/>
    <n v="79.847999999999999"/>
    <n v="22.18"/>
  </r>
  <r>
    <x v="0"/>
    <x v="8"/>
    <x v="9"/>
    <x v="19"/>
    <s v="SE3_small"/>
    <x v="23"/>
    <n v="0.31515896120488701"/>
    <n v="8.7544155890246306E-2"/>
  </r>
  <r>
    <x v="0"/>
    <x v="8"/>
    <x v="9"/>
    <x v="19"/>
    <s v="SE3_small"/>
    <x v="24"/>
    <n v="19.174223581093901"/>
    <n v="5.32617321697054"/>
  </r>
  <r>
    <x v="0"/>
    <x v="8"/>
    <x v="9"/>
    <x v="19"/>
    <s v="SE3_small"/>
    <x v="25"/>
    <n v="22.356874337357301"/>
    <n v="6.2102428714881297"/>
  </r>
  <r>
    <x v="0"/>
    <x v="8"/>
    <x v="9"/>
    <x v="19"/>
    <s v="SE3_small"/>
    <x v="26"/>
    <n v="29.6651032387655"/>
    <n v="8.2403064552126306"/>
  </r>
  <r>
    <x v="0"/>
    <x v="8"/>
    <x v="9"/>
    <x v="19"/>
    <s v="SE3_small"/>
    <x v="27"/>
    <n v="20.163995508318798"/>
    <n v="5.6011098634218799"/>
  </r>
  <r>
    <x v="0"/>
    <x v="8"/>
    <x v="9"/>
    <x v="20"/>
    <s v="SE4A"/>
    <x v="1"/>
    <n v="35.989199999999997"/>
    <n v="9.9969999999999999"/>
  </r>
  <r>
    <x v="0"/>
    <x v="8"/>
    <x v="9"/>
    <x v="20"/>
    <s v="SE4A"/>
    <x v="2"/>
    <n v="48.384"/>
    <n v="13.44"/>
  </r>
  <r>
    <x v="0"/>
    <x v="8"/>
    <x v="9"/>
    <x v="20"/>
    <s v="SE4A"/>
    <x v="0"/>
    <n v="42.692399999999999"/>
    <n v="11.859"/>
  </r>
  <r>
    <x v="0"/>
    <x v="8"/>
    <x v="9"/>
    <x v="20"/>
    <s v="SE4A"/>
    <x v="3"/>
    <n v="51.633543144067197"/>
    <n v="14.342650873352"/>
  </r>
  <r>
    <x v="0"/>
    <x v="8"/>
    <x v="9"/>
    <x v="20"/>
    <s v="SE4A"/>
    <x v="4"/>
    <n v="8.1139884009941898"/>
    <n v="2.2538856669428302"/>
  </r>
  <r>
    <x v="0"/>
    <x v="8"/>
    <x v="9"/>
    <x v="20"/>
    <s v="SE4A"/>
    <x v="5"/>
    <n v="8.1139884009941898"/>
    <n v="2.2538856669428302"/>
  </r>
  <r>
    <x v="0"/>
    <x v="8"/>
    <x v="9"/>
    <x v="20"/>
    <s v="SE4A"/>
    <x v="6"/>
    <n v="29.476231795214598"/>
    <n v="8.1878421653373898"/>
  </r>
  <r>
    <x v="0"/>
    <x v="8"/>
    <x v="9"/>
    <x v="20"/>
    <s v="SE4A"/>
    <x v="7"/>
    <n v="57.838935220261199"/>
    <n v="16.066370894517"/>
  </r>
  <r>
    <x v="0"/>
    <x v="8"/>
    <x v="9"/>
    <x v="20"/>
    <s v="SE4A"/>
    <x v="8"/>
    <n v="57.838935220261199"/>
    <n v="16.066370894517"/>
  </r>
  <r>
    <x v="0"/>
    <x v="8"/>
    <x v="9"/>
    <x v="20"/>
    <s v="SE4A"/>
    <x v="9"/>
    <n v="44.803327257663497"/>
    <n v="12.4453686826843"/>
  </r>
  <r>
    <x v="0"/>
    <x v="8"/>
    <x v="9"/>
    <x v="20"/>
    <s v="SE4A"/>
    <x v="10"/>
    <n v="54.681226180612903"/>
    <n v="15.1892294946147"/>
  </r>
  <r>
    <x v="0"/>
    <x v="8"/>
    <x v="9"/>
    <x v="20"/>
    <s v="SE4A"/>
    <x v="11"/>
    <n v="3.8806031483015802"/>
    <n v="1.07794531897266"/>
  </r>
  <r>
    <x v="0"/>
    <x v="8"/>
    <x v="9"/>
    <x v="20"/>
    <s v="SE4A"/>
    <x v="12"/>
    <n v="9.7995028997514597E-2"/>
    <n v="2.72208413881985E-2"/>
  </r>
  <r>
    <x v="0"/>
    <x v="8"/>
    <x v="9"/>
    <x v="20"/>
    <s v="SE4A"/>
    <x v="13"/>
    <n v="21.5197083678542"/>
    <n v="5.9776967688483804"/>
  </r>
  <r>
    <x v="0"/>
    <x v="8"/>
    <x v="9"/>
    <x v="20"/>
    <s v="SE4A"/>
    <x v="14"/>
    <n v="21.5197083678542"/>
    <n v="5.9776967688483804"/>
  </r>
  <r>
    <x v="0"/>
    <x v="8"/>
    <x v="9"/>
    <x v="20"/>
    <s v="SE4A"/>
    <x v="15"/>
    <n v="1.65807589063794"/>
    <n v="0.46057663628831802"/>
  </r>
  <r>
    <x v="0"/>
    <x v="8"/>
    <x v="9"/>
    <x v="20"/>
    <s v="SE4A"/>
    <x v="16"/>
    <n v="4.9884429139200002"/>
    <n v="1.3856785871999999"/>
  </r>
  <r>
    <x v="0"/>
    <x v="8"/>
    <x v="9"/>
    <x v="20"/>
    <s v="SE4A"/>
    <x v="17"/>
    <n v="9.1244895875632395"/>
    <n v="2.5345804409897901"/>
  </r>
  <r>
    <x v="0"/>
    <x v="8"/>
    <x v="9"/>
    <x v="20"/>
    <s v="SE4A"/>
    <x v="18"/>
    <n v="21.5197083678542"/>
    <n v="5.9776967688483804"/>
  </r>
  <r>
    <x v="0"/>
    <x v="8"/>
    <x v="9"/>
    <x v="20"/>
    <s v="SE4A"/>
    <x v="19"/>
    <n v="8.1139884009941898"/>
    <n v="2.2538856669428302"/>
  </r>
  <r>
    <x v="0"/>
    <x v="8"/>
    <x v="9"/>
    <x v="20"/>
    <s v="SE4A"/>
    <x v="20"/>
    <n v="19.336735244541"/>
    <n v="5.37131534570584"/>
  </r>
  <r>
    <x v="0"/>
    <x v="8"/>
    <x v="9"/>
    <x v="20"/>
    <s v="SE4A"/>
    <x v="21"/>
    <n v="48.384"/>
    <n v="13.44"/>
  </r>
  <r>
    <x v="0"/>
    <x v="8"/>
    <x v="9"/>
    <x v="20"/>
    <s v="SE4A"/>
    <x v="22"/>
    <n v="79.847999999999999"/>
    <n v="22.18"/>
  </r>
  <r>
    <x v="0"/>
    <x v="8"/>
    <x v="9"/>
    <x v="20"/>
    <s v="SE4A"/>
    <x v="23"/>
    <n v="0.31515896120488701"/>
    <n v="8.7544155890246306E-2"/>
  </r>
  <r>
    <x v="0"/>
    <x v="8"/>
    <x v="9"/>
    <x v="20"/>
    <s v="SE4A"/>
    <x v="24"/>
    <n v="19.174223581093901"/>
    <n v="5.32617321697054"/>
  </r>
  <r>
    <x v="0"/>
    <x v="8"/>
    <x v="9"/>
    <x v="20"/>
    <s v="SE4A"/>
    <x v="25"/>
    <n v="22.356874337357301"/>
    <n v="6.2102428714881297"/>
  </r>
  <r>
    <x v="0"/>
    <x v="8"/>
    <x v="9"/>
    <x v="20"/>
    <s v="SE4A"/>
    <x v="26"/>
    <n v="29.6651032387655"/>
    <n v="8.2403064552126306"/>
  </r>
  <r>
    <x v="0"/>
    <x v="8"/>
    <x v="9"/>
    <x v="20"/>
    <s v="SE4A"/>
    <x v="27"/>
    <n v="20.163995508318798"/>
    <n v="5.6011098634218799"/>
  </r>
  <r>
    <x v="0"/>
    <x v="8"/>
    <x v="9"/>
    <x v="20"/>
    <s v="SE4_IND"/>
    <x v="1"/>
    <n v="35.989199999999997"/>
    <n v="9.9969999999999999"/>
  </r>
  <r>
    <x v="0"/>
    <x v="8"/>
    <x v="9"/>
    <x v="20"/>
    <s v="SE4_IND"/>
    <x v="2"/>
    <n v="48.384"/>
    <n v="13.44"/>
  </r>
  <r>
    <x v="0"/>
    <x v="8"/>
    <x v="9"/>
    <x v="20"/>
    <s v="SE4_IND"/>
    <x v="0"/>
    <n v="42.692399999999999"/>
    <n v="11.859"/>
  </r>
  <r>
    <x v="0"/>
    <x v="8"/>
    <x v="9"/>
    <x v="20"/>
    <s v="SE4_IND"/>
    <x v="3"/>
    <n v="51.633543144067197"/>
    <n v="14.342650873352"/>
  </r>
  <r>
    <x v="0"/>
    <x v="8"/>
    <x v="9"/>
    <x v="20"/>
    <s v="SE4_IND"/>
    <x v="4"/>
    <n v="8.1139884009941898"/>
    <n v="2.2538856669428302"/>
  </r>
  <r>
    <x v="0"/>
    <x v="8"/>
    <x v="9"/>
    <x v="20"/>
    <s v="SE4_IND"/>
    <x v="5"/>
    <n v="8.1139884009941898"/>
    <n v="2.2538856669428302"/>
  </r>
  <r>
    <x v="0"/>
    <x v="8"/>
    <x v="9"/>
    <x v="20"/>
    <s v="SE4_IND"/>
    <x v="6"/>
    <n v="29.476231795214598"/>
    <n v="8.1878421653373898"/>
  </r>
  <r>
    <x v="0"/>
    <x v="8"/>
    <x v="9"/>
    <x v="20"/>
    <s v="SE4_IND"/>
    <x v="7"/>
    <n v="57.838935220261199"/>
    <n v="16.066370894517"/>
  </r>
  <r>
    <x v="0"/>
    <x v="8"/>
    <x v="9"/>
    <x v="20"/>
    <s v="SE4_IND"/>
    <x v="8"/>
    <n v="57.838935220261199"/>
    <n v="16.066370894517"/>
  </r>
  <r>
    <x v="0"/>
    <x v="8"/>
    <x v="9"/>
    <x v="20"/>
    <s v="SE4_IND"/>
    <x v="9"/>
    <n v="44.803327257663497"/>
    <n v="12.4453686826843"/>
  </r>
  <r>
    <x v="0"/>
    <x v="8"/>
    <x v="9"/>
    <x v="20"/>
    <s v="SE4_IND"/>
    <x v="10"/>
    <n v="54.681226180612903"/>
    <n v="15.1892294946147"/>
  </r>
  <r>
    <x v="0"/>
    <x v="8"/>
    <x v="9"/>
    <x v="20"/>
    <s v="SE4_IND"/>
    <x v="11"/>
    <n v="3.8806031483015802"/>
    <n v="1.07794531897266"/>
  </r>
  <r>
    <x v="0"/>
    <x v="8"/>
    <x v="9"/>
    <x v="20"/>
    <s v="SE4_IND"/>
    <x v="12"/>
    <n v="9.7995028997514597E-2"/>
    <n v="2.72208413881985E-2"/>
  </r>
  <r>
    <x v="0"/>
    <x v="8"/>
    <x v="9"/>
    <x v="20"/>
    <s v="SE4_IND"/>
    <x v="13"/>
    <n v="21.5197083678542"/>
    <n v="5.9776967688483804"/>
  </r>
  <r>
    <x v="0"/>
    <x v="8"/>
    <x v="9"/>
    <x v="20"/>
    <s v="SE4_IND"/>
    <x v="14"/>
    <n v="21.5197083678542"/>
    <n v="5.9776967688483804"/>
  </r>
  <r>
    <x v="0"/>
    <x v="8"/>
    <x v="9"/>
    <x v="20"/>
    <s v="SE4_IND"/>
    <x v="15"/>
    <n v="1.65807589063794"/>
    <n v="0.46057663628831802"/>
  </r>
  <r>
    <x v="0"/>
    <x v="8"/>
    <x v="9"/>
    <x v="20"/>
    <s v="SE4_IND"/>
    <x v="16"/>
    <n v="4.9884429139200002"/>
    <n v="1.3856785871999999"/>
  </r>
  <r>
    <x v="0"/>
    <x v="8"/>
    <x v="9"/>
    <x v="20"/>
    <s v="SE4_IND"/>
    <x v="17"/>
    <n v="9.1244895875632395"/>
    <n v="2.5345804409897901"/>
  </r>
  <r>
    <x v="0"/>
    <x v="8"/>
    <x v="9"/>
    <x v="20"/>
    <s v="SE4_IND"/>
    <x v="18"/>
    <n v="21.5197083678542"/>
    <n v="5.9776967688483804"/>
  </r>
  <r>
    <x v="0"/>
    <x v="8"/>
    <x v="9"/>
    <x v="20"/>
    <s v="SE4_IND"/>
    <x v="19"/>
    <n v="8.1139884009941898"/>
    <n v="2.2538856669428302"/>
  </r>
  <r>
    <x v="0"/>
    <x v="8"/>
    <x v="9"/>
    <x v="20"/>
    <s v="SE4_IND"/>
    <x v="20"/>
    <n v="19.336735244541"/>
    <n v="5.37131534570584"/>
  </r>
  <r>
    <x v="0"/>
    <x v="8"/>
    <x v="9"/>
    <x v="20"/>
    <s v="SE4_IND"/>
    <x v="21"/>
    <n v="48.384"/>
    <n v="13.44"/>
  </r>
  <r>
    <x v="0"/>
    <x v="8"/>
    <x v="9"/>
    <x v="20"/>
    <s v="SE4_IND"/>
    <x v="22"/>
    <n v="79.847999999999999"/>
    <n v="22.18"/>
  </r>
  <r>
    <x v="0"/>
    <x v="8"/>
    <x v="9"/>
    <x v="20"/>
    <s v="SE4_IND"/>
    <x v="23"/>
    <n v="0.31515896120488701"/>
    <n v="8.7544155890246306E-2"/>
  </r>
  <r>
    <x v="0"/>
    <x v="8"/>
    <x v="9"/>
    <x v="20"/>
    <s v="SE4_IND"/>
    <x v="24"/>
    <n v="19.174223581093901"/>
    <n v="5.32617321697054"/>
  </r>
  <r>
    <x v="0"/>
    <x v="8"/>
    <x v="9"/>
    <x v="20"/>
    <s v="SE4_IND"/>
    <x v="25"/>
    <n v="22.356874337357301"/>
    <n v="6.2102428714881297"/>
  </r>
  <r>
    <x v="0"/>
    <x v="8"/>
    <x v="9"/>
    <x v="20"/>
    <s v="SE4_IND"/>
    <x v="26"/>
    <n v="29.6651032387655"/>
    <n v="8.2403064552126306"/>
  </r>
  <r>
    <x v="0"/>
    <x v="8"/>
    <x v="9"/>
    <x v="20"/>
    <s v="SE4_IND"/>
    <x v="27"/>
    <n v="20.163995508318798"/>
    <n v="5.6011098634218799"/>
  </r>
  <r>
    <x v="0"/>
    <x v="8"/>
    <x v="9"/>
    <x v="20"/>
    <s v="SE4_Offshore"/>
    <x v="1"/>
    <n v="35.989199999999997"/>
    <n v="9.9969999999999999"/>
  </r>
  <r>
    <x v="0"/>
    <x v="8"/>
    <x v="9"/>
    <x v="20"/>
    <s v="SE4_Offshore"/>
    <x v="2"/>
    <n v="48.384"/>
    <n v="13.44"/>
  </r>
  <r>
    <x v="0"/>
    <x v="8"/>
    <x v="9"/>
    <x v="20"/>
    <s v="SE4_Offshore"/>
    <x v="0"/>
    <n v="42.692399999999999"/>
    <n v="11.859"/>
  </r>
  <r>
    <x v="0"/>
    <x v="8"/>
    <x v="9"/>
    <x v="20"/>
    <s v="SE4_Offshore"/>
    <x v="3"/>
    <n v="51.633543144067197"/>
    <n v="14.342650873352"/>
  </r>
  <r>
    <x v="0"/>
    <x v="8"/>
    <x v="9"/>
    <x v="20"/>
    <s v="SE4_Offshore"/>
    <x v="4"/>
    <n v="8.1139884009941898"/>
    <n v="2.2538856669428302"/>
  </r>
  <r>
    <x v="0"/>
    <x v="8"/>
    <x v="9"/>
    <x v="20"/>
    <s v="SE4_Offshore"/>
    <x v="5"/>
    <n v="8.1139884009941898"/>
    <n v="2.2538856669428302"/>
  </r>
  <r>
    <x v="0"/>
    <x v="8"/>
    <x v="9"/>
    <x v="20"/>
    <s v="SE4_Offshore"/>
    <x v="6"/>
    <n v="29.476231795214598"/>
    <n v="8.1878421653373898"/>
  </r>
  <r>
    <x v="0"/>
    <x v="8"/>
    <x v="9"/>
    <x v="20"/>
    <s v="SE4_Offshore"/>
    <x v="7"/>
    <n v="57.838935220261199"/>
    <n v="16.066370894517"/>
  </r>
  <r>
    <x v="0"/>
    <x v="8"/>
    <x v="9"/>
    <x v="20"/>
    <s v="SE4_Offshore"/>
    <x v="8"/>
    <n v="57.838935220261199"/>
    <n v="16.066370894517"/>
  </r>
  <r>
    <x v="0"/>
    <x v="8"/>
    <x v="9"/>
    <x v="20"/>
    <s v="SE4_Offshore"/>
    <x v="9"/>
    <n v="44.803327257663497"/>
    <n v="12.4453686826843"/>
  </r>
  <r>
    <x v="0"/>
    <x v="8"/>
    <x v="9"/>
    <x v="20"/>
    <s v="SE4_Offshore"/>
    <x v="10"/>
    <n v="54.681226180612903"/>
    <n v="15.1892294946147"/>
  </r>
  <r>
    <x v="0"/>
    <x v="8"/>
    <x v="9"/>
    <x v="20"/>
    <s v="SE4_Offshore"/>
    <x v="11"/>
    <n v="3.8806031483015802"/>
    <n v="1.07794531897266"/>
  </r>
  <r>
    <x v="0"/>
    <x v="8"/>
    <x v="9"/>
    <x v="20"/>
    <s v="SE4_Offshore"/>
    <x v="12"/>
    <n v="9.7995028997514597E-2"/>
    <n v="2.72208413881985E-2"/>
  </r>
  <r>
    <x v="0"/>
    <x v="8"/>
    <x v="9"/>
    <x v="20"/>
    <s v="SE4_Offshore"/>
    <x v="13"/>
    <n v="21.5197083678542"/>
    <n v="5.9776967688483804"/>
  </r>
  <r>
    <x v="0"/>
    <x v="8"/>
    <x v="9"/>
    <x v="20"/>
    <s v="SE4_Offshore"/>
    <x v="14"/>
    <n v="21.5197083678542"/>
    <n v="5.9776967688483804"/>
  </r>
  <r>
    <x v="0"/>
    <x v="8"/>
    <x v="9"/>
    <x v="20"/>
    <s v="SE4_Offshore"/>
    <x v="15"/>
    <n v="1.65807589063794"/>
    <n v="0.46057663628831802"/>
  </r>
  <r>
    <x v="0"/>
    <x v="8"/>
    <x v="9"/>
    <x v="20"/>
    <s v="SE4_Offshore"/>
    <x v="16"/>
    <n v="4.9884429139200002"/>
    <n v="1.3856785871999999"/>
  </r>
  <r>
    <x v="0"/>
    <x v="8"/>
    <x v="9"/>
    <x v="20"/>
    <s v="SE4_Offshore"/>
    <x v="17"/>
    <n v="9.1244895875632395"/>
    <n v="2.5345804409897901"/>
  </r>
  <r>
    <x v="0"/>
    <x v="8"/>
    <x v="9"/>
    <x v="20"/>
    <s v="SE4_Offshore"/>
    <x v="18"/>
    <n v="21.5197083678542"/>
    <n v="5.9776967688483804"/>
  </r>
  <r>
    <x v="0"/>
    <x v="8"/>
    <x v="9"/>
    <x v="20"/>
    <s v="SE4_Offshore"/>
    <x v="19"/>
    <n v="8.1139884009941898"/>
    <n v="2.2538856669428302"/>
  </r>
  <r>
    <x v="0"/>
    <x v="8"/>
    <x v="9"/>
    <x v="20"/>
    <s v="SE4_Offshore"/>
    <x v="20"/>
    <n v="19.336735244541"/>
    <n v="5.37131534570584"/>
  </r>
  <r>
    <x v="0"/>
    <x v="8"/>
    <x v="9"/>
    <x v="20"/>
    <s v="SE4_Offshore"/>
    <x v="21"/>
    <n v="48.384"/>
    <n v="13.44"/>
  </r>
  <r>
    <x v="0"/>
    <x v="8"/>
    <x v="9"/>
    <x v="20"/>
    <s v="SE4_Offshore"/>
    <x v="22"/>
    <n v="79.847999999999999"/>
    <n v="22.18"/>
  </r>
  <r>
    <x v="0"/>
    <x v="8"/>
    <x v="9"/>
    <x v="20"/>
    <s v="SE4_Offshore"/>
    <x v="23"/>
    <n v="0.31515896120488701"/>
    <n v="8.7544155890246306E-2"/>
  </r>
  <r>
    <x v="0"/>
    <x v="8"/>
    <x v="9"/>
    <x v="20"/>
    <s v="SE4_Offshore"/>
    <x v="24"/>
    <n v="19.174223581093901"/>
    <n v="5.32617321697054"/>
  </r>
  <r>
    <x v="0"/>
    <x v="8"/>
    <x v="9"/>
    <x v="20"/>
    <s v="SE4_Offshore"/>
    <x v="25"/>
    <n v="22.356874337357301"/>
    <n v="6.2102428714881297"/>
  </r>
  <r>
    <x v="0"/>
    <x v="8"/>
    <x v="9"/>
    <x v="20"/>
    <s v="SE4_Offshore"/>
    <x v="26"/>
    <n v="29.6651032387655"/>
    <n v="8.2403064552126306"/>
  </r>
  <r>
    <x v="0"/>
    <x v="8"/>
    <x v="9"/>
    <x v="20"/>
    <s v="SE4_Offshore"/>
    <x v="27"/>
    <n v="20.163995508318798"/>
    <n v="5.6011098634218799"/>
  </r>
  <r>
    <x v="0"/>
    <x v="8"/>
    <x v="9"/>
    <x v="20"/>
    <s v="SE4_large"/>
    <x v="1"/>
    <n v="35.989199999999997"/>
    <n v="9.9969999999999999"/>
  </r>
  <r>
    <x v="0"/>
    <x v="8"/>
    <x v="9"/>
    <x v="20"/>
    <s v="SE4_large"/>
    <x v="2"/>
    <n v="48.384"/>
    <n v="13.44"/>
  </r>
  <r>
    <x v="0"/>
    <x v="8"/>
    <x v="9"/>
    <x v="20"/>
    <s v="SE4_large"/>
    <x v="0"/>
    <n v="42.692399999999999"/>
    <n v="11.859"/>
  </r>
  <r>
    <x v="0"/>
    <x v="8"/>
    <x v="9"/>
    <x v="20"/>
    <s v="SE4_large"/>
    <x v="3"/>
    <n v="51.633543144067197"/>
    <n v="14.342650873352"/>
  </r>
  <r>
    <x v="0"/>
    <x v="8"/>
    <x v="9"/>
    <x v="20"/>
    <s v="SE4_large"/>
    <x v="4"/>
    <n v="8.1139884009941898"/>
    <n v="2.2538856669428302"/>
  </r>
  <r>
    <x v="0"/>
    <x v="8"/>
    <x v="9"/>
    <x v="20"/>
    <s v="SE4_large"/>
    <x v="5"/>
    <n v="8.1139884009941898"/>
    <n v="2.2538856669428302"/>
  </r>
  <r>
    <x v="0"/>
    <x v="8"/>
    <x v="9"/>
    <x v="20"/>
    <s v="SE4_large"/>
    <x v="6"/>
    <n v="29.476231795214598"/>
    <n v="8.1878421653373898"/>
  </r>
  <r>
    <x v="0"/>
    <x v="8"/>
    <x v="9"/>
    <x v="20"/>
    <s v="SE4_large"/>
    <x v="7"/>
    <n v="57.838935220261199"/>
    <n v="16.066370894517"/>
  </r>
  <r>
    <x v="0"/>
    <x v="8"/>
    <x v="9"/>
    <x v="20"/>
    <s v="SE4_large"/>
    <x v="8"/>
    <n v="57.838935220261199"/>
    <n v="16.066370894517"/>
  </r>
  <r>
    <x v="0"/>
    <x v="8"/>
    <x v="9"/>
    <x v="20"/>
    <s v="SE4_large"/>
    <x v="9"/>
    <n v="44.803327257663497"/>
    <n v="12.4453686826843"/>
  </r>
  <r>
    <x v="0"/>
    <x v="8"/>
    <x v="9"/>
    <x v="20"/>
    <s v="SE4_large"/>
    <x v="10"/>
    <n v="54.681226180612903"/>
    <n v="15.1892294946147"/>
  </r>
  <r>
    <x v="0"/>
    <x v="8"/>
    <x v="9"/>
    <x v="20"/>
    <s v="SE4_large"/>
    <x v="11"/>
    <n v="3.8806031483015802"/>
    <n v="1.07794531897266"/>
  </r>
  <r>
    <x v="0"/>
    <x v="8"/>
    <x v="9"/>
    <x v="20"/>
    <s v="SE4_large"/>
    <x v="12"/>
    <n v="9.7995028997514597E-2"/>
    <n v="2.72208413881985E-2"/>
  </r>
  <r>
    <x v="0"/>
    <x v="8"/>
    <x v="9"/>
    <x v="20"/>
    <s v="SE4_large"/>
    <x v="13"/>
    <n v="21.5197083678542"/>
    <n v="5.9776967688483804"/>
  </r>
  <r>
    <x v="0"/>
    <x v="8"/>
    <x v="9"/>
    <x v="20"/>
    <s v="SE4_large"/>
    <x v="14"/>
    <n v="21.5197083678542"/>
    <n v="5.9776967688483804"/>
  </r>
  <r>
    <x v="0"/>
    <x v="8"/>
    <x v="9"/>
    <x v="20"/>
    <s v="SE4_large"/>
    <x v="15"/>
    <n v="1.65807589063794"/>
    <n v="0.46057663628831802"/>
  </r>
  <r>
    <x v="0"/>
    <x v="8"/>
    <x v="9"/>
    <x v="20"/>
    <s v="SE4_large"/>
    <x v="16"/>
    <n v="4.9884429139200002"/>
    <n v="1.3856785871999999"/>
  </r>
  <r>
    <x v="0"/>
    <x v="8"/>
    <x v="9"/>
    <x v="20"/>
    <s v="SE4_large"/>
    <x v="17"/>
    <n v="9.1244895875632395"/>
    <n v="2.5345804409897901"/>
  </r>
  <r>
    <x v="0"/>
    <x v="8"/>
    <x v="9"/>
    <x v="20"/>
    <s v="SE4_large"/>
    <x v="18"/>
    <n v="21.5197083678542"/>
    <n v="5.9776967688483804"/>
  </r>
  <r>
    <x v="0"/>
    <x v="8"/>
    <x v="9"/>
    <x v="20"/>
    <s v="SE4_large"/>
    <x v="19"/>
    <n v="8.1139884009941898"/>
    <n v="2.2538856669428302"/>
  </r>
  <r>
    <x v="0"/>
    <x v="8"/>
    <x v="9"/>
    <x v="20"/>
    <s v="SE4_large"/>
    <x v="20"/>
    <n v="19.336735244541"/>
    <n v="5.37131534570584"/>
  </r>
  <r>
    <x v="0"/>
    <x v="8"/>
    <x v="9"/>
    <x v="20"/>
    <s v="SE4_large"/>
    <x v="21"/>
    <n v="48.384"/>
    <n v="13.44"/>
  </r>
  <r>
    <x v="0"/>
    <x v="8"/>
    <x v="9"/>
    <x v="20"/>
    <s v="SE4_large"/>
    <x v="22"/>
    <n v="79.847999999999999"/>
    <n v="22.18"/>
  </r>
  <r>
    <x v="0"/>
    <x v="8"/>
    <x v="9"/>
    <x v="20"/>
    <s v="SE4_large"/>
    <x v="23"/>
    <n v="0.31515896120488701"/>
    <n v="8.7544155890246306E-2"/>
  </r>
  <r>
    <x v="0"/>
    <x v="8"/>
    <x v="9"/>
    <x v="20"/>
    <s v="SE4_large"/>
    <x v="24"/>
    <n v="19.174223581093901"/>
    <n v="5.32617321697054"/>
  </r>
  <r>
    <x v="0"/>
    <x v="8"/>
    <x v="9"/>
    <x v="20"/>
    <s v="SE4_large"/>
    <x v="25"/>
    <n v="22.356874337357301"/>
    <n v="6.2102428714881297"/>
  </r>
  <r>
    <x v="0"/>
    <x v="8"/>
    <x v="9"/>
    <x v="20"/>
    <s v="SE4_large"/>
    <x v="26"/>
    <n v="29.6651032387655"/>
    <n v="8.2403064552126306"/>
  </r>
  <r>
    <x v="0"/>
    <x v="8"/>
    <x v="9"/>
    <x v="20"/>
    <s v="SE4_large"/>
    <x v="27"/>
    <n v="20.163995508318798"/>
    <n v="5.6011098634218799"/>
  </r>
  <r>
    <x v="0"/>
    <x v="8"/>
    <x v="9"/>
    <x v="20"/>
    <s v="SE4_medium"/>
    <x v="1"/>
    <n v="35.989199999999997"/>
    <n v="9.9969999999999999"/>
  </r>
  <r>
    <x v="0"/>
    <x v="8"/>
    <x v="9"/>
    <x v="20"/>
    <s v="SE4_medium"/>
    <x v="2"/>
    <n v="48.384"/>
    <n v="13.44"/>
  </r>
  <r>
    <x v="0"/>
    <x v="8"/>
    <x v="9"/>
    <x v="20"/>
    <s v="SE4_medium"/>
    <x v="0"/>
    <n v="42.692399999999999"/>
    <n v="11.859"/>
  </r>
  <r>
    <x v="0"/>
    <x v="8"/>
    <x v="9"/>
    <x v="20"/>
    <s v="SE4_medium"/>
    <x v="3"/>
    <n v="51.633543144067197"/>
    <n v="14.342650873352"/>
  </r>
  <r>
    <x v="0"/>
    <x v="8"/>
    <x v="9"/>
    <x v="20"/>
    <s v="SE4_medium"/>
    <x v="4"/>
    <n v="8.1139884009941898"/>
    <n v="2.2538856669428302"/>
  </r>
  <r>
    <x v="0"/>
    <x v="8"/>
    <x v="9"/>
    <x v="20"/>
    <s v="SE4_medium"/>
    <x v="5"/>
    <n v="8.1139884009941898"/>
    <n v="2.2538856669428302"/>
  </r>
  <r>
    <x v="0"/>
    <x v="8"/>
    <x v="9"/>
    <x v="20"/>
    <s v="SE4_medium"/>
    <x v="6"/>
    <n v="29.476231795214598"/>
    <n v="8.1878421653373898"/>
  </r>
  <r>
    <x v="0"/>
    <x v="8"/>
    <x v="9"/>
    <x v="20"/>
    <s v="SE4_medium"/>
    <x v="7"/>
    <n v="57.838935220261199"/>
    <n v="16.066370894517"/>
  </r>
  <r>
    <x v="0"/>
    <x v="8"/>
    <x v="9"/>
    <x v="20"/>
    <s v="SE4_medium"/>
    <x v="8"/>
    <n v="57.838935220261199"/>
    <n v="16.066370894517"/>
  </r>
  <r>
    <x v="0"/>
    <x v="8"/>
    <x v="9"/>
    <x v="20"/>
    <s v="SE4_medium"/>
    <x v="9"/>
    <n v="44.803327257663497"/>
    <n v="12.4453686826843"/>
  </r>
  <r>
    <x v="0"/>
    <x v="8"/>
    <x v="9"/>
    <x v="20"/>
    <s v="SE4_medium"/>
    <x v="10"/>
    <n v="54.681226180612903"/>
    <n v="15.1892294946147"/>
  </r>
  <r>
    <x v="0"/>
    <x v="8"/>
    <x v="9"/>
    <x v="20"/>
    <s v="SE4_medium"/>
    <x v="11"/>
    <n v="3.8806031483015802"/>
    <n v="1.07794531897266"/>
  </r>
  <r>
    <x v="0"/>
    <x v="8"/>
    <x v="9"/>
    <x v="20"/>
    <s v="SE4_medium"/>
    <x v="12"/>
    <n v="9.7995028997514597E-2"/>
    <n v="2.72208413881985E-2"/>
  </r>
  <r>
    <x v="0"/>
    <x v="8"/>
    <x v="9"/>
    <x v="20"/>
    <s v="SE4_medium"/>
    <x v="13"/>
    <n v="21.5197083678542"/>
    <n v="5.9776967688483804"/>
  </r>
  <r>
    <x v="0"/>
    <x v="8"/>
    <x v="9"/>
    <x v="20"/>
    <s v="SE4_medium"/>
    <x v="14"/>
    <n v="21.5197083678542"/>
    <n v="5.9776967688483804"/>
  </r>
  <r>
    <x v="0"/>
    <x v="8"/>
    <x v="9"/>
    <x v="20"/>
    <s v="SE4_medium"/>
    <x v="15"/>
    <n v="1.65807589063794"/>
    <n v="0.46057663628831802"/>
  </r>
  <r>
    <x v="0"/>
    <x v="8"/>
    <x v="9"/>
    <x v="20"/>
    <s v="SE4_medium"/>
    <x v="16"/>
    <n v="4.9884429139200002"/>
    <n v="1.3856785871999999"/>
  </r>
  <r>
    <x v="0"/>
    <x v="8"/>
    <x v="9"/>
    <x v="20"/>
    <s v="SE4_medium"/>
    <x v="17"/>
    <n v="9.1244895875632395"/>
    <n v="2.5345804409897901"/>
  </r>
  <r>
    <x v="0"/>
    <x v="8"/>
    <x v="9"/>
    <x v="20"/>
    <s v="SE4_medium"/>
    <x v="18"/>
    <n v="21.5197083678542"/>
    <n v="5.9776967688483804"/>
  </r>
  <r>
    <x v="0"/>
    <x v="8"/>
    <x v="9"/>
    <x v="20"/>
    <s v="SE4_medium"/>
    <x v="19"/>
    <n v="8.1139884009941898"/>
    <n v="2.2538856669428302"/>
  </r>
  <r>
    <x v="0"/>
    <x v="8"/>
    <x v="9"/>
    <x v="20"/>
    <s v="SE4_medium"/>
    <x v="20"/>
    <n v="19.336735244541"/>
    <n v="5.37131534570584"/>
  </r>
  <r>
    <x v="0"/>
    <x v="8"/>
    <x v="9"/>
    <x v="20"/>
    <s v="SE4_medium"/>
    <x v="21"/>
    <n v="48.384"/>
    <n v="13.44"/>
  </r>
  <r>
    <x v="0"/>
    <x v="8"/>
    <x v="9"/>
    <x v="20"/>
    <s v="SE4_medium"/>
    <x v="22"/>
    <n v="79.847999999999999"/>
    <n v="22.18"/>
  </r>
  <r>
    <x v="0"/>
    <x v="8"/>
    <x v="9"/>
    <x v="20"/>
    <s v="SE4_medium"/>
    <x v="23"/>
    <n v="0.31515896120488701"/>
    <n v="8.7544155890246306E-2"/>
  </r>
  <r>
    <x v="0"/>
    <x v="8"/>
    <x v="9"/>
    <x v="20"/>
    <s v="SE4_medium"/>
    <x v="24"/>
    <n v="19.174223581093901"/>
    <n v="5.32617321697054"/>
  </r>
  <r>
    <x v="0"/>
    <x v="8"/>
    <x v="9"/>
    <x v="20"/>
    <s v="SE4_medium"/>
    <x v="25"/>
    <n v="22.356874337357301"/>
    <n v="6.2102428714881297"/>
  </r>
  <r>
    <x v="0"/>
    <x v="8"/>
    <x v="9"/>
    <x v="20"/>
    <s v="SE4_medium"/>
    <x v="26"/>
    <n v="29.6651032387655"/>
    <n v="8.2403064552126306"/>
  </r>
  <r>
    <x v="0"/>
    <x v="8"/>
    <x v="9"/>
    <x v="20"/>
    <s v="SE4_medium"/>
    <x v="27"/>
    <n v="20.163995508318798"/>
    <n v="5.6011098634218799"/>
  </r>
  <r>
    <x v="0"/>
    <x v="8"/>
    <x v="9"/>
    <x v="20"/>
    <s v="SE4_small"/>
    <x v="1"/>
    <n v="35.989199999999997"/>
    <n v="9.9969999999999999"/>
  </r>
  <r>
    <x v="0"/>
    <x v="8"/>
    <x v="9"/>
    <x v="20"/>
    <s v="SE4_small"/>
    <x v="2"/>
    <n v="48.384"/>
    <n v="13.44"/>
  </r>
  <r>
    <x v="0"/>
    <x v="8"/>
    <x v="9"/>
    <x v="20"/>
    <s v="SE4_small"/>
    <x v="0"/>
    <n v="42.692399999999999"/>
    <n v="11.859"/>
  </r>
  <r>
    <x v="0"/>
    <x v="8"/>
    <x v="9"/>
    <x v="20"/>
    <s v="SE4_small"/>
    <x v="3"/>
    <n v="51.633543144067197"/>
    <n v="14.342650873352"/>
  </r>
  <r>
    <x v="0"/>
    <x v="8"/>
    <x v="9"/>
    <x v="20"/>
    <s v="SE4_small"/>
    <x v="4"/>
    <n v="8.1139884009941898"/>
    <n v="2.2538856669428302"/>
  </r>
  <r>
    <x v="0"/>
    <x v="8"/>
    <x v="9"/>
    <x v="20"/>
    <s v="SE4_small"/>
    <x v="5"/>
    <n v="8.1139884009941898"/>
    <n v="2.2538856669428302"/>
  </r>
  <r>
    <x v="0"/>
    <x v="8"/>
    <x v="9"/>
    <x v="20"/>
    <s v="SE4_small"/>
    <x v="6"/>
    <n v="29.476231795214598"/>
    <n v="8.1878421653373898"/>
  </r>
  <r>
    <x v="0"/>
    <x v="8"/>
    <x v="9"/>
    <x v="20"/>
    <s v="SE4_small"/>
    <x v="7"/>
    <n v="57.838935220261199"/>
    <n v="16.066370894517"/>
  </r>
  <r>
    <x v="0"/>
    <x v="8"/>
    <x v="9"/>
    <x v="20"/>
    <s v="SE4_small"/>
    <x v="8"/>
    <n v="57.838935220261199"/>
    <n v="16.066370894517"/>
  </r>
  <r>
    <x v="0"/>
    <x v="8"/>
    <x v="9"/>
    <x v="20"/>
    <s v="SE4_small"/>
    <x v="9"/>
    <n v="44.803327257663497"/>
    <n v="12.4453686826843"/>
  </r>
  <r>
    <x v="0"/>
    <x v="8"/>
    <x v="9"/>
    <x v="20"/>
    <s v="SE4_small"/>
    <x v="10"/>
    <n v="54.681226180612903"/>
    <n v="15.1892294946147"/>
  </r>
  <r>
    <x v="0"/>
    <x v="8"/>
    <x v="9"/>
    <x v="20"/>
    <s v="SE4_small"/>
    <x v="11"/>
    <n v="3.8806031483015802"/>
    <n v="1.07794531897266"/>
  </r>
  <r>
    <x v="0"/>
    <x v="8"/>
    <x v="9"/>
    <x v="20"/>
    <s v="SE4_small"/>
    <x v="12"/>
    <n v="9.7995028997514597E-2"/>
    <n v="2.72208413881985E-2"/>
  </r>
  <r>
    <x v="0"/>
    <x v="8"/>
    <x v="9"/>
    <x v="20"/>
    <s v="SE4_small"/>
    <x v="13"/>
    <n v="21.5197083678542"/>
    <n v="5.9776967688483804"/>
  </r>
  <r>
    <x v="0"/>
    <x v="8"/>
    <x v="9"/>
    <x v="20"/>
    <s v="SE4_small"/>
    <x v="14"/>
    <n v="21.5197083678542"/>
    <n v="5.9776967688483804"/>
  </r>
  <r>
    <x v="0"/>
    <x v="8"/>
    <x v="9"/>
    <x v="20"/>
    <s v="SE4_small"/>
    <x v="15"/>
    <n v="1.65807589063794"/>
    <n v="0.46057663628831802"/>
  </r>
  <r>
    <x v="0"/>
    <x v="8"/>
    <x v="9"/>
    <x v="20"/>
    <s v="SE4_small"/>
    <x v="16"/>
    <n v="4.9884429139200002"/>
    <n v="1.3856785871999999"/>
  </r>
  <r>
    <x v="0"/>
    <x v="8"/>
    <x v="9"/>
    <x v="20"/>
    <s v="SE4_small"/>
    <x v="17"/>
    <n v="9.1244895875632395"/>
    <n v="2.5345804409897901"/>
  </r>
  <r>
    <x v="0"/>
    <x v="8"/>
    <x v="9"/>
    <x v="20"/>
    <s v="SE4_small"/>
    <x v="18"/>
    <n v="21.5197083678542"/>
    <n v="5.9776967688483804"/>
  </r>
  <r>
    <x v="0"/>
    <x v="8"/>
    <x v="9"/>
    <x v="20"/>
    <s v="SE4_small"/>
    <x v="19"/>
    <n v="8.1139884009941898"/>
    <n v="2.2538856669428302"/>
  </r>
  <r>
    <x v="0"/>
    <x v="8"/>
    <x v="9"/>
    <x v="20"/>
    <s v="SE4_small"/>
    <x v="20"/>
    <n v="19.336735244541"/>
    <n v="5.37131534570584"/>
  </r>
  <r>
    <x v="0"/>
    <x v="8"/>
    <x v="9"/>
    <x v="20"/>
    <s v="SE4_small"/>
    <x v="21"/>
    <n v="48.384"/>
    <n v="13.44"/>
  </r>
  <r>
    <x v="0"/>
    <x v="8"/>
    <x v="9"/>
    <x v="20"/>
    <s v="SE4_small"/>
    <x v="22"/>
    <n v="79.847999999999999"/>
    <n v="22.18"/>
  </r>
  <r>
    <x v="0"/>
    <x v="8"/>
    <x v="9"/>
    <x v="20"/>
    <s v="SE4_small"/>
    <x v="23"/>
    <n v="0.31515896120488701"/>
    <n v="8.7544155890246306E-2"/>
  </r>
  <r>
    <x v="0"/>
    <x v="8"/>
    <x v="9"/>
    <x v="20"/>
    <s v="SE4_small"/>
    <x v="24"/>
    <n v="19.174223581093901"/>
    <n v="5.32617321697054"/>
  </r>
  <r>
    <x v="0"/>
    <x v="8"/>
    <x v="9"/>
    <x v="20"/>
    <s v="SE4_small"/>
    <x v="25"/>
    <n v="22.356874337357301"/>
    <n v="6.2102428714881297"/>
  </r>
  <r>
    <x v="0"/>
    <x v="8"/>
    <x v="9"/>
    <x v="20"/>
    <s v="SE4_small"/>
    <x v="26"/>
    <n v="29.6651032387655"/>
    <n v="8.2403064552126306"/>
  </r>
  <r>
    <x v="0"/>
    <x v="8"/>
    <x v="9"/>
    <x v="20"/>
    <s v="SE4_small"/>
    <x v="27"/>
    <n v="20.163995508318798"/>
    <n v="5.6011098634218799"/>
  </r>
  <r>
    <x v="0"/>
    <x v="8"/>
    <x v="10"/>
    <x v="21"/>
    <s v="UK_A"/>
    <x v="1"/>
    <n v="35.989199999999997"/>
    <n v="9.9969999999999999"/>
  </r>
  <r>
    <x v="0"/>
    <x v="8"/>
    <x v="10"/>
    <x v="21"/>
    <s v="UK_A"/>
    <x v="2"/>
    <n v="48.384"/>
    <n v="13.44"/>
  </r>
  <r>
    <x v="0"/>
    <x v="8"/>
    <x v="10"/>
    <x v="21"/>
    <s v="UK_A"/>
    <x v="0"/>
    <n v="42.692399999999999"/>
    <n v="11.859"/>
  </r>
  <r>
    <x v="0"/>
    <x v="8"/>
    <x v="10"/>
    <x v="21"/>
    <s v="UK_A"/>
    <x v="3"/>
    <n v="51.633543144067197"/>
    <n v="14.342650873352"/>
  </r>
  <r>
    <x v="0"/>
    <x v="8"/>
    <x v="10"/>
    <x v="21"/>
    <s v="UK_A"/>
    <x v="4"/>
    <n v="8.1139884009941898"/>
    <n v="2.2538856669428302"/>
  </r>
  <r>
    <x v="0"/>
    <x v="8"/>
    <x v="10"/>
    <x v="21"/>
    <s v="UK_A"/>
    <x v="5"/>
    <n v="8.1139884009941898"/>
    <n v="2.2538856669428302"/>
  </r>
  <r>
    <x v="0"/>
    <x v="8"/>
    <x v="10"/>
    <x v="21"/>
    <s v="UK_A"/>
    <x v="6"/>
    <n v="29.476231795214598"/>
    <n v="8.1878421653373898"/>
  </r>
  <r>
    <x v="0"/>
    <x v="8"/>
    <x v="10"/>
    <x v="21"/>
    <s v="UK_A"/>
    <x v="7"/>
    <n v="57.838935220261199"/>
    <n v="16.066370894517"/>
  </r>
  <r>
    <x v="0"/>
    <x v="8"/>
    <x v="10"/>
    <x v="21"/>
    <s v="UK_A"/>
    <x v="8"/>
    <n v="57.838935220261199"/>
    <n v="16.066370894517"/>
  </r>
  <r>
    <x v="0"/>
    <x v="8"/>
    <x v="10"/>
    <x v="21"/>
    <s v="UK_A"/>
    <x v="9"/>
    <n v="44.803327257663497"/>
    <n v="12.4453686826843"/>
  </r>
  <r>
    <x v="0"/>
    <x v="8"/>
    <x v="10"/>
    <x v="21"/>
    <s v="UK_A"/>
    <x v="10"/>
    <n v="54.681226180612903"/>
    <n v="15.1892294946147"/>
  </r>
  <r>
    <x v="0"/>
    <x v="8"/>
    <x v="10"/>
    <x v="21"/>
    <s v="UK_A"/>
    <x v="11"/>
    <n v="3.8806031483015802"/>
    <n v="1.07794531897266"/>
  </r>
  <r>
    <x v="0"/>
    <x v="8"/>
    <x v="10"/>
    <x v="21"/>
    <s v="UK_A"/>
    <x v="12"/>
    <n v="9.7995028997514597E-2"/>
    <n v="2.72208413881985E-2"/>
  </r>
  <r>
    <x v="0"/>
    <x v="8"/>
    <x v="10"/>
    <x v="21"/>
    <s v="UK_A"/>
    <x v="13"/>
    <n v="21.5197083678542"/>
    <n v="5.9776967688483804"/>
  </r>
  <r>
    <x v="0"/>
    <x v="8"/>
    <x v="10"/>
    <x v="21"/>
    <s v="UK_A"/>
    <x v="14"/>
    <n v="21.5197083678542"/>
    <n v="5.9776967688483804"/>
  </r>
  <r>
    <x v="0"/>
    <x v="8"/>
    <x v="10"/>
    <x v="21"/>
    <s v="UK_A"/>
    <x v="15"/>
    <n v="1.65807589063794"/>
    <n v="0.46057663628831802"/>
  </r>
  <r>
    <x v="0"/>
    <x v="8"/>
    <x v="10"/>
    <x v="21"/>
    <s v="UK_A"/>
    <x v="16"/>
    <n v="4.9884429139200002"/>
    <n v="1.3856785871999999"/>
  </r>
  <r>
    <x v="0"/>
    <x v="8"/>
    <x v="10"/>
    <x v="21"/>
    <s v="UK_A"/>
    <x v="17"/>
    <n v="9.1244895875632395"/>
    <n v="2.5345804409897901"/>
  </r>
  <r>
    <x v="0"/>
    <x v="8"/>
    <x v="10"/>
    <x v="21"/>
    <s v="UK_A"/>
    <x v="18"/>
    <n v="21.5197083678542"/>
    <n v="5.9776967688483804"/>
  </r>
  <r>
    <x v="0"/>
    <x v="8"/>
    <x v="10"/>
    <x v="21"/>
    <s v="UK_A"/>
    <x v="19"/>
    <n v="8.1139884009941898"/>
    <n v="2.2538856669428302"/>
  </r>
  <r>
    <x v="0"/>
    <x v="8"/>
    <x v="10"/>
    <x v="21"/>
    <s v="UK_A"/>
    <x v="20"/>
    <n v="19.336735244541"/>
    <n v="5.37131534570584"/>
  </r>
  <r>
    <x v="0"/>
    <x v="8"/>
    <x v="10"/>
    <x v="21"/>
    <s v="UK_A"/>
    <x v="21"/>
    <n v="48.384"/>
    <n v="13.44"/>
  </r>
  <r>
    <x v="0"/>
    <x v="8"/>
    <x v="10"/>
    <x v="21"/>
    <s v="UK_A"/>
    <x v="22"/>
    <n v="79.847999999999999"/>
    <n v="22.18"/>
  </r>
  <r>
    <x v="0"/>
    <x v="8"/>
    <x v="10"/>
    <x v="21"/>
    <s v="UK_A"/>
    <x v="23"/>
    <n v="0.31515896120488701"/>
    <n v="8.7544155890246306E-2"/>
  </r>
  <r>
    <x v="0"/>
    <x v="8"/>
    <x v="10"/>
    <x v="21"/>
    <s v="UK_A"/>
    <x v="24"/>
    <n v="19.174223581093901"/>
    <n v="5.32617321697054"/>
  </r>
  <r>
    <x v="0"/>
    <x v="8"/>
    <x v="10"/>
    <x v="21"/>
    <s v="UK_A"/>
    <x v="25"/>
    <n v="22.356874337357301"/>
    <n v="6.2102428714881297"/>
  </r>
  <r>
    <x v="0"/>
    <x v="8"/>
    <x v="10"/>
    <x v="21"/>
    <s v="UK_A"/>
    <x v="26"/>
    <n v="29.6651032387655"/>
    <n v="8.2403064552126306"/>
  </r>
  <r>
    <x v="0"/>
    <x v="8"/>
    <x v="10"/>
    <x v="21"/>
    <s v="UK_A"/>
    <x v="27"/>
    <n v="20.163995508318798"/>
    <n v="5.6011098634218799"/>
  </r>
  <r>
    <x v="0"/>
    <x v="8"/>
    <x v="10"/>
    <x v="21"/>
    <s v="UK_Offshore"/>
    <x v="1"/>
    <n v="35.989199999999997"/>
    <n v="9.9969999999999999"/>
  </r>
  <r>
    <x v="0"/>
    <x v="8"/>
    <x v="10"/>
    <x v="21"/>
    <s v="UK_Offshore"/>
    <x v="2"/>
    <n v="48.384"/>
    <n v="13.44"/>
  </r>
  <r>
    <x v="0"/>
    <x v="8"/>
    <x v="10"/>
    <x v="21"/>
    <s v="UK_Offshore"/>
    <x v="0"/>
    <n v="42.692399999999999"/>
    <n v="11.859"/>
  </r>
  <r>
    <x v="0"/>
    <x v="8"/>
    <x v="10"/>
    <x v="21"/>
    <s v="UK_Offshore"/>
    <x v="3"/>
    <n v="51.633543144067197"/>
    <n v="14.342650873352"/>
  </r>
  <r>
    <x v="0"/>
    <x v="8"/>
    <x v="10"/>
    <x v="21"/>
    <s v="UK_Offshore"/>
    <x v="4"/>
    <n v="8.1139884009941898"/>
    <n v="2.2538856669428302"/>
  </r>
  <r>
    <x v="0"/>
    <x v="8"/>
    <x v="10"/>
    <x v="21"/>
    <s v="UK_Offshore"/>
    <x v="5"/>
    <n v="8.1139884009941898"/>
    <n v="2.2538856669428302"/>
  </r>
  <r>
    <x v="0"/>
    <x v="8"/>
    <x v="10"/>
    <x v="21"/>
    <s v="UK_Offshore"/>
    <x v="6"/>
    <n v="29.476231795214598"/>
    <n v="8.1878421653373898"/>
  </r>
  <r>
    <x v="0"/>
    <x v="8"/>
    <x v="10"/>
    <x v="21"/>
    <s v="UK_Offshore"/>
    <x v="7"/>
    <n v="57.838935220261199"/>
    <n v="16.066370894517"/>
  </r>
  <r>
    <x v="0"/>
    <x v="8"/>
    <x v="10"/>
    <x v="21"/>
    <s v="UK_Offshore"/>
    <x v="8"/>
    <n v="57.838935220261199"/>
    <n v="16.066370894517"/>
  </r>
  <r>
    <x v="0"/>
    <x v="8"/>
    <x v="10"/>
    <x v="21"/>
    <s v="UK_Offshore"/>
    <x v="9"/>
    <n v="44.803327257663497"/>
    <n v="12.4453686826843"/>
  </r>
  <r>
    <x v="0"/>
    <x v="8"/>
    <x v="10"/>
    <x v="21"/>
    <s v="UK_Offshore"/>
    <x v="10"/>
    <n v="54.681226180612903"/>
    <n v="15.1892294946147"/>
  </r>
  <r>
    <x v="0"/>
    <x v="8"/>
    <x v="10"/>
    <x v="21"/>
    <s v="UK_Offshore"/>
    <x v="11"/>
    <n v="3.8806031483015802"/>
    <n v="1.07794531897266"/>
  </r>
  <r>
    <x v="0"/>
    <x v="8"/>
    <x v="10"/>
    <x v="21"/>
    <s v="UK_Offshore"/>
    <x v="12"/>
    <n v="9.7995028997514597E-2"/>
    <n v="2.72208413881985E-2"/>
  </r>
  <r>
    <x v="0"/>
    <x v="8"/>
    <x v="10"/>
    <x v="21"/>
    <s v="UK_Offshore"/>
    <x v="13"/>
    <n v="21.5197083678542"/>
    <n v="5.9776967688483804"/>
  </r>
  <r>
    <x v="0"/>
    <x v="8"/>
    <x v="10"/>
    <x v="21"/>
    <s v="UK_Offshore"/>
    <x v="14"/>
    <n v="21.5197083678542"/>
    <n v="5.9776967688483804"/>
  </r>
  <r>
    <x v="0"/>
    <x v="8"/>
    <x v="10"/>
    <x v="21"/>
    <s v="UK_Offshore"/>
    <x v="15"/>
    <n v="1.65807589063794"/>
    <n v="0.46057663628831802"/>
  </r>
  <r>
    <x v="0"/>
    <x v="8"/>
    <x v="10"/>
    <x v="21"/>
    <s v="UK_Offshore"/>
    <x v="16"/>
    <n v="4.9884429139200002"/>
    <n v="1.3856785871999999"/>
  </r>
  <r>
    <x v="0"/>
    <x v="8"/>
    <x v="10"/>
    <x v="21"/>
    <s v="UK_Offshore"/>
    <x v="17"/>
    <n v="9.1244895875632395"/>
    <n v="2.5345804409897901"/>
  </r>
  <r>
    <x v="0"/>
    <x v="8"/>
    <x v="10"/>
    <x v="21"/>
    <s v="UK_Offshore"/>
    <x v="18"/>
    <n v="21.5197083678542"/>
    <n v="5.9776967688483804"/>
  </r>
  <r>
    <x v="0"/>
    <x v="8"/>
    <x v="10"/>
    <x v="21"/>
    <s v="UK_Offshore"/>
    <x v="19"/>
    <n v="8.1139884009941898"/>
    <n v="2.2538856669428302"/>
  </r>
  <r>
    <x v="0"/>
    <x v="8"/>
    <x v="10"/>
    <x v="21"/>
    <s v="UK_Offshore"/>
    <x v="20"/>
    <n v="19.336735244541"/>
    <n v="5.37131534570584"/>
  </r>
  <r>
    <x v="0"/>
    <x v="8"/>
    <x v="10"/>
    <x v="21"/>
    <s v="UK_Offshore"/>
    <x v="21"/>
    <n v="48.384"/>
    <n v="13.44"/>
  </r>
  <r>
    <x v="0"/>
    <x v="8"/>
    <x v="10"/>
    <x v="21"/>
    <s v="UK_Offshore"/>
    <x v="22"/>
    <n v="79.847999999999999"/>
    <n v="22.18"/>
  </r>
  <r>
    <x v="0"/>
    <x v="8"/>
    <x v="10"/>
    <x v="21"/>
    <s v="UK_Offshore"/>
    <x v="23"/>
    <n v="0.31515896120488701"/>
    <n v="8.7544155890246306E-2"/>
  </r>
  <r>
    <x v="0"/>
    <x v="8"/>
    <x v="10"/>
    <x v="21"/>
    <s v="UK_Offshore"/>
    <x v="24"/>
    <n v="19.174223581093901"/>
    <n v="5.32617321697054"/>
  </r>
  <r>
    <x v="0"/>
    <x v="8"/>
    <x v="10"/>
    <x v="21"/>
    <s v="UK_Offshore"/>
    <x v="25"/>
    <n v="22.356874337357301"/>
    <n v="6.2102428714881297"/>
  </r>
  <r>
    <x v="0"/>
    <x v="8"/>
    <x v="10"/>
    <x v="21"/>
    <s v="UK_Offshore"/>
    <x v="26"/>
    <n v="29.6651032387655"/>
    <n v="8.2403064552126306"/>
  </r>
  <r>
    <x v="0"/>
    <x v="8"/>
    <x v="10"/>
    <x v="21"/>
    <s v="UK_Offshore"/>
    <x v="27"/>
    <n v="20.163995508318798"/>
    <n v="5.6011098634218799"/>
  </r>
  <r>
    <x v="0"/>
    <x v="9"/>
    <x v="0"/>
    <x v="0"/>
    <s v="DK1_Large"/>
    <x v="2"/>
    <n v="48.384"/>
    <n v="13.44"/>
  </r>
  <r>
    <x v="0"/>
    <x v="9"/>
    <x v="0"/>
    <x v="0"/>
    <s v="DK1_Large"/>
    <x v="0"/>
    <n v="42.692399999999999"/>
    <n v="11.859"/>
  </r>
  <r>
    <x v="0"/>
    <x v="9"/>
    <x v="0"/>
    <x v="0"/>
    <s v="DK1_Large"/>
    <x v="21"/>
    <n v="48.384"/>
    <n v="13.44"/>
  </r>
  <r>
    <x v="0"/>
    <x v="9"/>
    <x v="0"/>
    <x v="0"/>
    <s v="DK1_Large"/>
    <x v="22"/>
    <n v="79.847999999999999"/>
    <n v="22.18"/>
  </r>
  <r>
    <x v="0"/>
    <x v="9"/>
    <x v="0"/>
    <x v="0"/>
    <s v="DK1_Large_PHH"/>
    <x v="2"/>
    <n v="48.384"/>
    <n v="13.44"/>
  </r>
  <r>
    <x v="0"/>
    <x v="9"/>
    <x v="0"/>
    <x v="0"/>
    <s v="DK1_Large_PHH"/>
    <x v="0"/>
    <n v="42.692399999999999"/>
    <n v="11.859"/>
  </r>
  <r>
    <x v="0"/>
    <x v="9"/>
    <x v="0"/>
    <x v="0"/>
    <s v="DK1_Large_PHH"/>
    <x v="21"/>
    <n v="48.384"/>
    <n v="13.44"/>
  </r>
  <r>
    <x v="0"/>
    <x v="9"/>
    <x v="0"/>
    <x v="0"/>
    <s v="DK1_Large_PHH"/>
    <x v="22"/>
    <n v="79.847999999999999"/>
    <n v="22.18"/>
  </r>
  <r>
    <x v="0"/>
    <x v="9"/>
    <x v="0"/>
    <x v="0"/>
    <s v="DK1_Large_PHL"/>
    <x v="2"/>
    <n v="48.384"/>
    <n v="13.44"/>
  </r>
  <r>
    <x v="0"/>
    <x v="9"/>
    <x v="0"/>
    <x v="0"/>
    <s v="DK1_Large_PHL"/>
    <x v="0"/>
    <n v="42.692399999999999"/>
    <n v="11.859"/>
  </r>
  <r>
    <x v="0"/>
    <x v="9"/>
    <x v="0"/>
    <x v="0"/>
    <s v="DK1_Large_PHL"/>
    <x v="21"/>
    <n v="48.384"/>
    <n v="13.44"/>
  </r>
  <r>
    <x v="0"/>
    <x v="9"/>
    <x v="0"/>
    <x v="0"/>
    <s v="DK1_Large_PHL"/>
    <x v="22"/>
    <n v="79.847999999999999"/>
    <n v="22.18"/>
  </r>
  <r>
    <x v="0"/>
    <x v="9"/>
    <x v="0"/>
    <x v="0"/>
    <s v="DK1_MedSmall"/>
    <x v="2"/>
    <n v="48.384"/>
    <n v="13.44"/>
  </r>
  <r>
    <x v="0"/>
    <x v="9"/>
    <x v="0"/>
    <x v="0"/>
    <s v="DK1_MedSmall"/>
    <x v="0"/>
    <n v="42.692399999999999"/>
    <n v="11.859"/>
  </r>
  <r>
    <x v="0"/>
    <x v="9"/>
    <x v="0"/>
    <x v="0"/>
    <s v="DK1_MedSmall"/>
    <x v="21"/>
    <n v="48.384"/>
    <n v="13.44"/>
  </r>
  <r>
    <x v="0"/>
    <x v="9"/>
    <x v="0"/>
    <x v="0"/>
    <s v="DK1_MedSmall"/>
    <x v="22"/>
    <n v="79.847999999999999"/>
    <n v="22.18"/>
  </r>
  <r>
    <x v="0"/>
    <x v="9"/>
    <x v="0"/>
    <x v="0"/>
    <s v="DK1_Medium"/>
    <x v="2"/>
    <n v="48.384"/>
    <n v="13.44"/>
  </r>
  <r>
    <x v="0"/>
    <x v="9"/>
    <x v="0"/>
    <x v="0"/>
    <s v="DK1_Medium"/>
    <x v="0"/>
    <n v="42.692399999999999"/>
    <n v="11.859"/>
  </r>
  <r>
    <x v="0"/>
    <x v="9"/>
    <x v="0"/>
    <x v="0"/>
    <s v="DK1_Medium"/>
    <x v="21"/>
    <n v="48.384"/>
    <n v="13.44"/>
  </r>
  <r>
    <x v="0"/>
    <x v="9"/>
    <x v="0"/>
    <x v="0"/>
    <s v="DK1_Medium"/>
    <x v="22"/>
    <n v="79.847999999999999"/>
    <n v="22.18"/>
  </r>
  <r>
    <x v="0"/>
    <x v="9"/>
    <x v="0"/>
    <x v="0"/>
    <s v="DK1_NoDH"/>
    <x v="2"/>
    <n v="48.384"/>
    <n v="13.44"/>
  </r>
  <r>
    <x v="0"/>
    <x v="9"/>
    <x v="0"/>
    <x v="0"/>
    <s v="DK1_NoDH"/>
    <x v="0"/>
    <n v="42.692399999999999"/>
    <n v="11.859"/>
  </r>
  <r>
    <x v="0"/>
    <x v="9"/>
    <x v="0"/>
    <x v="0"/>
    <s v="DK1_NoDH"/>
    <x v="21"/>
    <n v="48.384"/>
    <n v="13.44"/>
  </r>
  <r>
    <x v="0"/>
    <x v="9"/>
    <x v="0"/>
    <x v="0"/>
    <s v="DK1_NoDH"/>
    <x v="22"/>
    <n v="79.847999999999999"/>
    <n v="22.18"/>
  </r>
  <r>
    <x v="0"/>
    <x v="9"/>
    <x v="0"/>
    <x v="0"/>
    <s v="DK1_NoDH_PHH"/>
    <x v="2"/>
    <n v="48.384"/>
    <n v="13.44"/>
  </r>
  <r>
    <x v="0"/>
    <x v="9"/>
    <x v="0"/>
    <x v="0"/>
    <s v="DK1_NoDH_PHH"/>
    <x v="0"/>
    <n v="42.692399999999999"/>
    <n v="11.859"/>
  </r>
  <r>
    <x v="0"/>
    <x v="9"/>
    <x v="0"/>
    <x v="0"/>
    <s v="DK1_NoDH_PHH"/>
    <x v="21"/>
    <n v="48.384"/>
    <n v="13.44"/>
  </r>
  <r>
    <x v="0"/>
    <x v="9"/>
    <x v="0"/>
    <x v="0"/>
    <s v="DK1_NoDH_PHH"/>
    <x v="22"/>
    <n v="79.847999999999999"/>
    <n v="22.18"/>
  </r>
  <r>
    <x v="0"/>
    <x v="9"/>
    <x v="0"/>
    <x v="0"/>
    <s v="DK1_NoDH_PHL"/>
    <x v="2"/>
    <n v="48.384"/>
    <n v="13.44"/>
  </r>
  <r>
    <x v="0"/>
    <x v="9"/>
    <x v="0"/>
    <x v="0"/>
    <s v="DK1_NoDH_PHL"/>
    <x v="0"/>
    <n v="42.692399999999999"/>
    <n v="11.859"/>
  </r>
  <r>
    <x v="0"/>
    <x v="9"/>
    <x v="0"/>
    <x v="0"/>
    <s v="DK1_NoDH_PHL"/>
    <x v="21"/>
    <n v="48.384"/>
    <n v="13.44"/>
  </r>
  <r>
    <x v="0"/>
    <x v="9"/>
    <x v="0"/>
    <x v="0"/>
    <s v="DK1_NoDH_PHL"/>
    <x v="22"/>
    <n v="79.847999999999999"/>
    <n v="22.18"/>
  </r>
  <r>
    <x v="0"/>
    <x v="9"/>
    <x v="0"/>
    <x v="0"/>
    <s v="DK1_Offshore"/>
    <x v="2"/>
    <n v="48.384"/>
    <n v="13.44"/>
  </r>
  <r>
    <x v="0"/>
    <x v="9"/>
    <x v="0"/>
    <x v="0"/>
    <s v="DK1_Offshore"/>
    <x v="0"/>
    <n v="42.692399999999999"/>
    <n v="11.859"/>
  </r>
  <r>
    <x v="0"/>
    <x v="9"/>
    <x v="0"/>
    <x v="0"/>
    <s v="DK1_Offshore"/>
    <x v="21"/>
    <n v="48.384"/>
    <n v="13.44"/>
  </r>
  <r>
    <x v="0"/>
    <x v="9"/>
    <x v="0"/>
    <x v="0"/>
    <s v="DK1_Offshore"/>
    <x v="22"/>
    <n v="79.847999999999999"/>
    <n v="22.18"/>
  </r>
  <r>
    <x v="0"/>
    <x v="9"/>
    <x v="0"/>
    <x v="0"/>
    <s v="DK1_Rural"/>
    <x v="2"/>
    <n v="48.384"/>
    <n v="13.44"/>
  </r>
  <r>
    <x v="0"/>
    <x v="9"/>
    <x v="0"/>
    <x v="0"/>
    <s v="DK1_Rural"/>
    <x v="0"/>
    <n v="42.692399999999999"/>
    <n v="11.859"/>
  </r>
  <r>
    <x v="0"/>
    <x v="9"/>
    <x v="0"/>
    <x v="0"/>
    <s v="DK1_Rural"/>
    <x v="21"/>
    <n v="48.384"/>
    <n v="13.44"/>
  </r>
  <r>
    <x v="0"/>
    <x v="9"/>
    <x v="0"/>
    <x v="0"/>
    <s v="DK1_Rural"/>
    <x v="22"/>
    <n v="79.847999999999999"/>
    <n v="22.18"/>
  </r>
  <r>
    <x v="0"/>
    <x v="9"/>
    <x v="0"/>
    <x v="0"/>
    <s v="DK1_Small"/>
    <x v="2"/>
    <n v="48.384"/>
    <n v="13.44"/>
  </r>
  <r>
    <x v="0"/>
    <x v="9"/>
    <x v="0"/>
    <x v="0"/>
    <s v="DK1_Small"/>
    <x v="0"/>
    <n v="42.692399999999999"/>
    <n v="11.859"/>
  </r>
  <r>
    <x v="0"/>
    <x v="9"/>
    <x v="0"/>
    <x v="0"/>
    <s v="DK1_Small"/>
    <x v="21"/>
    <n v="48.384"/>
    <n v="13.44"/>
  </r>
  <r>
    <x v="0"/>
    <x v="9"/>
    <x v="0"/>
    <x v="0"/>
    <s v="DK1_Small"/>
    <x v="22"/>
    <n v="79.847999999999999"/>
    <n v="22.18"/>
  </r>
  <r>
    <x v="0"/>
    <x v="9"/>
    <x v="0"/>
    <x v="1"/>
    <s v="DK2_Large"/>
    <x v="2"/>
    <n v="48.384"/>
    <n v="13.44"/>
  </r>
  <r>
    <x v="0"/>
    <x v="9"/>
    <x v="0"/>
    <x v="1"/>
    <s v="DK2_Large"/>
    <x v="0"/>
    <n v="42.692399999999999"/>
    <n v="11.859"/>
  </r>
  <r>
    <x v="0"/>
    <x v="9"/>
    <x v="0"/>
    <x v="1"/>
    <s v="DK2_Large"/>
    <x v="21"/>
    <n v="48.384"/>
    <n v="13.44"/>
  </r>
  <r>
    <x v="0"/>
    <x v="9"/>
    <x v="0"/>
    <x v="1"/>
    <s v="DK2_Large"/>
    <x v="22"/>
    <n v="79.847999999999999"/>
    <n v="22.18"/>
  </r>
  <r>
    <x v="0"/>
    <x v="9"/>
    <x v="0"/>
    <x v="1"/>
    <s v="DK2_Large_PHH"/>
    <x v="2"/>
    <n v="48.384"/>
    <n v="13.44"/>
  </r>
  <r>
    <x v="0"/>
    <x v="9"/>
    <x v="0"/>
    <x v="1"/>
    <s v="DK2_Large_PHH"/>
    <x v="0"/>
    <n v="42.692399999999999"/>
    <n v="11.859"/>
  </r>
  <r>
    <x v="0"/>
    <x v="9"/>
    <x v="0"/>
    <x v="1"/>
    <s v="DK2_Large_PHH"/>
    <x v="21"/>
    <n v="48.384"/>
    <n v="13.44"/>
  </r>
  <r>
    <x v="0"/>
    <x v="9"/>
    <x v="0"/>
    <x v="1"/>
    <s v="DK2_Large_PHH"/>
    <x v="22"/>
    <n v="79.847999999999999"/>
    <n v="22.18"/>
  </r>
  <r>
    <x v="0"/>
    <x v="9"/>
    <x v="0"/>
    <x v="1"/>
    <s v="DK2_Large_PHL"/>
    <x v="2"/>
    <n v="48.384"/>
    <n v="13.44"/>
  </r>
  <r>
    <x v="0"/>
    <x v="9"/>
    <x v="0"/>
    <x v="1"/>
    <s v="DK2_Large_PHL"/>
    <x v="0"/>
    <n v="42.692399999999999"/>
    <n v="11.859"/>
  </r>
  <r>
    <x v="0"/>
    <x v="9"/>
    <x v="0"/>
    <x v="1"/>
    <s v="DK2_Large_PHL"/>
    <x v="21"/>
    <n v="48.384"/>
    <n v="13.44"/>
  </r>
  <r>
    <x v="0"/>
    <x v="9"/>
    <x v="0"/>
    <x v="1"/>
    <s v="DK2_Large_PHL"/>
    <x v="22"/>
    <n v="79.847999999999999"/>
    <n v="22.18"/>
  </r>
  <r>
    <x v="0"/>
    <x v="9"/>
    <x v="0"/>
    <x v="1"/>
    <s v="DK2_MedSmall"/>
    <x v="2"/>
    <n v="48.384"/>
    <n v="13.44"/>
  </r>
  <r>
    <x v="0"/>
    <x v="9"/>
    <x v="0"/>
    <x v="1"/>
    <s v="DK2_MedSmall"/>
    <x v="0"/>
    <n v="42.692399999999999"/>
    <n v="11.859"/>
  </r>
  <r>
    <x v="0"/>
    <x v="9"/>
    <x v="0"/>
    <x v="1"/>
    <s v="DK2_MedSmall"/>
    <x v="21"/>
    <n v="48.384"/>
    <n v="13.44"/>
  </r>
  <r>
    <x v="0"/>
    <x v="9"/>
    <x v="0"/>
    <x v="1"/>
    <s v="DK2_MedSmall"/>
    <x v="22"/>
    <n v="79.847999999999999"/>
    <n v="22.18"/>
  </r>
  <r>
    <x v="0"/>
    <x v="9"/>
    <x v="0"/>
    <x v="1"/>
    <s v="DK2_Medium"/>
    <x v="2"/>
    <n v="48.384"/>
    <n v="13.44"/>
  </r>
  <r>
    <x v="0"/>
    <x v="9"/>
    <x v="0"/>
    <x v="1"/>
    <s v="DK2_Medium"/>
    <x v="0"/>
    <n v="42.692399999999999"/>
    <n v="11.859"/>
  </r>
  <r>
    <x v="0"/>
    <x v="9"/>
    <x v="0"/>
    <x v="1"/>
    <s v="DK2_Medium"/>
    <x v="21"/>
    <n v="48.384"/>
    <n v="13.44"/>
  </r>
  <r>
    <x v="0"/>
    <x v="9"/>
    <x v="0"/>
    <x v="1"/>
    <s v="DK2_Medium"/>
    <x v="22"/>
    <n v="79.847999999999999"/>
    <n v="22.18"/>
  </r>
  <r>
    <x v="0"/>
    <x v="9"/>
    <x v="0"/>
    <x v="1"/>
    <s v="DK2_NoDH"/>
    <x v="2"/>
    <n v="48.384"/>
    <n v="13.44"/>
  </r>
  <r>
    <x v="0"/>
    <x v="9"/>
    <x v="0"/>
    <x v="1"/>
    <s v="DK2_NoDH"/>
    <x v="0"/>
    <n v="42.692399999999999"/>
    <n v="11.859"/>
  </r>
  <r>
    <x v="0"/>
    <x v="9"/>
    <x v="0"/>
    <x v="1"/>
    <s v="DK2_NoDH"/>
    <x v="21"/>
    <n v="48.384"/>
    <n v="13.44"/>
  </r>
  <r>
    <x v="0"/>
    <x v="9"/>
    <x v="0"/>
    <x v="1"/>
    <s v="DK2_NoDH"/>
    <x v="22"/>
    <n v="79.847999999999999"/>
    <n v="22.18"/>
  </r>
  <r>
    <x v="0"/>
    <x v="9"/>
    <x v="0"/>
    <x v="1"/>
    <s v="DK2_NoDH_PHH"/>
    <x v="2"/>
    <n v="48.384"/>
    <n v="13.44"/>
  </r>
  <r>
    <x v="0"/>
    <x v="9"/>
    <x v="0"/>
    <x v="1"/>
    <s v="DK2_NoDH_PHH"/>
    <x v="0"/>
    <n v="42.692399999999999"/>
    <n v="11.859"/>
  </r>
  <r>
    <x v="0"/>
    <x v="9"/>
    <x v="0"/>
    <x v="1"/>
    <s v="DK2_NoDH_PHH"/>
    <x v="21"/>
    <n v="48.384"/>
    <n v="13.44"/>
  </r>
  <r>
    <x v="0"/>
    <x v="9"/>
    <x v="0"/>
    <x v="1"/>
    <s v="DK2_NoDH_PHH"/>
    <x v="22"/>
    <n v="79.847999999999999"/>
    <n v="22.18"/>
  </r>
  <r>
    <x v="0"/>
    <x v="9"/>
    <x v="0"/>
    <x v="1"/>
    <s v="DK2_NoDH_PHL"/>
    <x v="2"/>
    <n v="48.384"/>
    <n v="13.44"/>
  </r>
  <r>
    <x v="0"/>
    <x v="9"/>
    <x v="0"/>
    <x v="1"/>
    <s v="DK2_NoDH_PHL"/>
    <x v="0"/>
    <n v="42.692399999999999"/>
    <n v="11.859"/>
  </r>
  <r>
    <x v="0"/>
    <x v="9"/>
    <x v="0"/>
    <x v="1"/>
    <s v="DK2_NoDH_PHL"/>
    <x v="21"/>
    <n v="48.384"/>
    <n v="13.44"/>
  </r>
  <r>
    <x v="0"/>
    <x v="9"/>
    <x v="0"/>
    <x v="1"/>
    <s v="DK2_NoDH_PHL"/>
    <x v="22"/>
    <n v="79.847999999999999"/>
    <n v="22.18"/>
  </r>
  <r>
    <x v="0"/>
    <x v="9"/>
    <x v="0"/>
    <x v="1"/>
    <s v="DK2_Offshore"/>
    <x v="2"/>
    <n v="48.384"/>
    <n v="13.44"/>
  </r>
  <r>
    <x v="0"/>
    <x v="9"/>
    <x v="0"/>
    <x v="1"/>
    <s v="DK2_Offshore"/>
    <x v="0"/>
    <n v="42.692399999999999"/>
    <n v="11.859"/>
  </r>
  <r>
    <x v="0"/>
    <x v="9"/>
    <x v="0"/>
    <x v="1"/>
    <s v="DK2_Offshore"/>
    <x v="21"/>
    <n v="48.384"/>
    <n v="13.44"/>
  </r>
  <r>
    <x v="0"/>
    <x v="9"/>
    <x v="0"/>
    <x v="1"/>
    <s v="DK2_Offshore"/>
    <x v="22"/>
    <n v="79.847999999999999"/>
    <n v="22.18"/>
  </r>
  <r>
    <x v="0"/>
    <x v="9"/>
    <x v="0"/>
    <x v="1"/>
    <s v="DK2_Rural"/>
    <x v="2"/>
    <n v="48.384"/>
    <n v="13.44"/>
  </r>
  <r>
    <x v="0"/>
    <x v="9"/>
    <x v="0"/>
    <x v="1"/>
    <s v="DK2_Rural"/>
    <x v="0"/>
    <n v="42.692399999999999"/>
    <n v="11.859"/>
  </r>
  <r>
    <x v="0"/>
    <x v="9"/>
    <x v="0"/>
    <x v="1"/>
    <s v="DK2_Rural"/>
    <x v="21"/>
    <n v="48.384"/>
    <n v="13.44"/>
  </r>
  <r>
    <x v="0"/>
    <x v="9"/>
    <x v="0"/>
    <x v="1"/>
    <s v="DK2_Rural"/>
    <x v="22"/>
    <n v="79.847999999999999"/>
    <n v="22.18"/>
  </r>
  <r>
    <x v="0"/>
    <x v="9"/>
    <x v="0"/>
    <x v="1"/>
    <s v="DK2_Small"/>
    <x v="2"/>
    <n v="48.384"/>
    <n v="13.44"/>
  </r>
  <r>
    <x v="0"/>
    <x v="9"/>
    <x v="0"/>
    <x v="1"/>
    <s v="DK2_Small"/>
    <x v="0"/>
    <n v="42.692399999999999"/>
    <n v="11.859"/>
  </r>
  <r>
    <x v="0"/>
    <x v="9"/>
    <x v="0"/>
    <x v="1"/>
    <s v="DK2_Small"/>
    <x v="21"/>
    <n v="48.384"/>
    <n v="13.44"/>
  </r>
  <r>
    <x v="0"/>
    <x v="9"/>
    <x v="0"/>
    <x v="1"/>
    <s v="DK2_Small"/>
    <x v="22"/>
    <n v="79.847999999999999"/>
    <n v="22.18"/>
  </r>
  <r>
    <x v="0"/>
    <x v="9"/>
    <x v="1"/>
    <x v="2"/>
    <s v="EE_A"/>
    <x v="2"/>
    <n v="48.384"/>
    <n v="13.44"/>
  </r>
  <r>
    <x v="0"/>
    <x v="9"/>
    <x v="1"/>
    <x v="2"/>
    <s v="EE_A"/>
    <x v="0"/>
    <n v="42.692399999999999"/>
    <n v="11.859"/>
  </r>
  <r>
    <x v="0"/>
    <x v="9"/>
    <x v="1"/>
    <x v="2"/>
    <s v="EE_A"/>
    <x v="21"/>
    <n v="48.384"/>
    <n v="13.44"/>
  </r>
  <r>
    <x v="0"/>
    <x v="9"/>
    <x v="1"/>
    <x v="2"/>
    <s v="EE_A"/>
    <x v="22"/>
    <n v="79.847999999999999"/>
    <n v="22.18"/>
  </r>
  <r>
    <x v="0"/>
    <x v="9"/>
    <x v="1"/>
    <x v="2"/>
    <s v="EE_Enefit"/>
    <x v="2"/>
    <n v="48.384"/>
    <n v="13.44"/>
  </r>
  <r>
    <x v="0"/>
    <x v="9"/>
    <x v="1"/>
    <x v="2"/>
    <s v="EE_Enefit"/>
    <x v="0"/>
    <n v="42.692399999999999"/>
    <n v="11.859"/>
  </r>
  <r>
    <x v="0"/>
    <x v="9"/>
    <x v="1"/>
    <x v="2"/>
    <s v="EE_Enefit"/>
    <x v="21"/>
    <n v="48.384"/>
    <n v="13.44"/>
  </r>
  <r>
    <x v="0"/>
    <x v="9"/>
    <x v="1"/>
    <x v="2"/>
    <s v="EE_Enefit"/>
    <x v="22"/>
    <n v="79.847999999999999"/>
    <n v="22.18"/>
  </r>
  <r>
    <x v="0"/>
    <x v="9"/>
    <x v="1"/>
    <x v="2"/>
    <s v="EE_Industry"/>
    <x v="2"/>
    <n v="48.384"/>
    <n v="13.44"/>
  </r>
  <r>
    <x v="0"/>
    <x v="9"/>
    <x v="1"/>
    <x v="2"/>
    <s v="EE_Industry"/>
    <x v="0"/>
    <n v="42.692399999999999"/>
    <n v="11.859"/>
  </r>
  <r>
    <x v="0"/>
    <x v="9"/>
    <x v="1"/>
    <x v="2"/>
    <s v="EE_Industry"/>
    <x v="21"/>
    <n v="48.384"/>
    <n v="13.44"/>
  </r>
  <r>
    <x v="0"/>
    <x v="9"/>
    <x v="1"/>
    <x v="2"/>
    <s v="EE_Industry"/>
    <x v="22"/>
    <n v="79.847999999999999"/>
    <n v="22.18"/>
  </r>
  <r>
    <x v="0"/>
    <x v="9"/>
    <x v="1"/>
    <x v="2"/>
    <s v="EE_Kohtla_Jarve"/>
    <x v="2"/>
    <n v="48.384"/>
    <n v="13.44"/>
  </r>
  <r>
    <x v="0"/>
    <x v="9"/>
    <x v="1"/>
    <x v="2"/>
    <s v="EE_Kohtla_Jarve"/>
    <x v="0"/>
    <n v="42.692399999999999"/>
    <n v="11.859"/>
  </r>
  <r>
    <x v="0"/>
    <x v="9"/>
    <x v="1"/>
    <x v="2"/>
    <s v="EE_Kohtla_Jarve"/>
    <x v="21"/>
    <n v="48.384"/>
    <n v="13.44"/>
  </r>
  <r>
    <x v="0"/>
    <x v="9"/>
    <x v="1"/>
    <x v="2"/>
    <s v="EE_Kohtla_Jarve"/>
    <x v="22"/>
    <n v="79.847999999999999"/>
    <n v="22.18"/>
  </r>
  <r>
    <x v="0"/>
    <x v="9"/>
    <x v="1"/>
    <x v="2"/>
    <s v="EE_Narva"/>
    <x v="2"/>
    <n v="48.384"/>
    <n v="13.44"/>
  </r>
  <r>
    <x v="0"/>
    <x v="9"/>
    <x v="1"/>
    <x v="2"/>
    <s v="EE_Narva"/>
    <x v="0"/>
    <n v="42.692399999999999"/>
    <n v="11.859"/>
  </r>
  <r>
    <x v="0"/>
    <x v="9"/>
    <x v="1"/>
    <x v="2"/>
    <s v="EE_Narva"/>
    <x v="21"/>
    <n v="48.384"/>
    <n v="13.44"/>
  </r>
  <r>
    <x v="0"/>
    <x v="9"/>
    <x v="1"/>
    <x v="2"/>
    <s v="EE_Narva"/>
    <x v="22"/>
    <n v="79.847999999999999"/>
    <n v="22.18"/>
  </r>
  <r>
    <x v="0"/>
    <x v="9"/>
    <x v="1"/>
    <x v="2"/>
    <s v="EE_OFFSHORE"/>
    <x v="2"/>
    <n v="48.384"/>
    <n v="13.44"/>
  </r>
  <r>
    <x v="0"/>
    <x v="9"/>
    <x v="1"/>
    <x v="2"/>
    <s v="EE_OFFSHORE"/>
    <x v="0"/>
    <n v="42.692399999999999"/>
    <n v="11.859"/>
  </r>
  <r>
    <x v="0"/>
    <x v="9"/>
    <x v="1"/>
    <x v="2"/>
    <s v="EE_OFFSHORE"/>
    <x v="21"/>
    <n v="48.384"/>
    <n v="13.44"/>
  </r>
  <r>
    <x v="0"/>
    <x v="9"/>
    <x v="1"/>
    <x v="2"/>
    <s v="EE_OFFSHORE"/>
    <x v="22"/>
    <n v="79.847999999999999"/>
    <n v="22.18"/>
  </r>
  <r>
    <x v="0"/>
    <x v="9"/>
    <x v="1"/>
    <x v="2"/>
    <s v="EE_Parnu"/>
    <x v="2"/>
    <n v="48.384"/>
    <n v="13.44"/>
  </r>
  <r>
    <x v="0"/>
    <x v="9"/>
    <x v="1"/>
    <x v="2"/>
    <s v="EE_Parnu"/>
    <x v="0"/>
    <n v="42.692399999999999"/>
    <n v="11.859"/>
  </r>
  <r>
    <x v="0"/>
    <x v="9"/>
    <x v="1"/>
    <x v="2"/>
    <s v="EE_Parnu"/>
    <x v="21"/>
    <n v="48.384"/>
    <n v="13.44"/>
  </r>
  <r>
    <x v="0"/>
    <x v="9"/>
    <x v="1"/>
    <x v="2"/>
    <s v="EE_Parnu"/>
    <x v="22"/>
    <n v="79.847999999999999"/>
    <n v="22.18"/>
  </r>
  <r>
    <x v="0"/>
    <x v="9"/>
    <x v="1"/>
    <x v="2"/>
    <s v="EE_Rural"/>
    <x v="2"/>
    <n v="48.384"/>
    <n v="13.44"/>
  </r>
  <r>
    <x v="0"/>
    <x v="9"/>
    <x v="1"/>
    <x v="2"/>
    <s v="EE_Rural"/>
    <x v="0"/>
    <n v="42.692399999999999"/>
    <n v="11.859"/>
  </r>
  <r>
    <x v="0"/>
    <x v="9"/>
    <x v="1"/>
    <x v="2"/>
    <s v="EE_Rural"/>
    <x v="21"/>
    <n v="48.384"/>
    <n v="13.44"/>
  </r>
  <r>
    <x v="0"/>
    <x v="9"/>
    <x v="1"/>
    <x v="2"/>
    <s v="EE_Rural"/>
    <x v="22"/>
    <n v="79.847999999999999"/>
    <n v="22.18"/>
  </r>
  <r>
    <x v="0"/>
    <x v="9"/>
    <x v="1"/>
    <x v="2"/>
    <s v="EE_Sillamae"/>
    <x v="2"/>
    <n v="48.384"/>
    <n v="13.44"/>
  </r>
  <r>
    <x v="0"/>
    <x v="9"/>
    <x v="1"/>
    <x v="2"/>
    <s v="EE_Sillamae"/>
    <x v="0"/>
    <n v="42.692399999999999"/>
    <n v="11.859"/>
  </r>
  <r>
    <x v="0"/>
    <x v="9"/>
    <x v="1"/>
    <x v="2"/>
    <s v="EE_Sillamae"/>
    <x v="21"/>
    <n v="48.384"/>
    <n v="13.44"/>
  </r>
  <r>
    <x v="0"/>
    <x v="9"/>
    <x v="1"/>
    <x v="2"/>
    <s v="EE_Sillamae"/>
    <x v="22"/>
    <n v="79.847999999999999"/>
    <n v="22.18"/>
  </r>
  <r>
    <x v="0"/>
    <x v="9"/>
    <x v="1"/>
    <x v="2"/>
    <s v="EE_Tallinn"/>
    <x v="2"/>
    <n v="48.384"/>
    <n v="13.44"/>
  </r>
  <r>
    <x v="0"/>
    <x v="9"/>
    <x v="1"/>
    <x v="2"/>
    <s v="EE_Tallinn"/>
    <x v="0"/>
    <n v="42.692399999999999"/>
    <n v="11.859"/>
  </r>
  <r>
    <x v="0"/>
    <x v="9"/>
    <x v="1"/>
    <x v="2"/>
    <s v="EE_Tallinn"/>
    <x v="21"/>
    <n v="48.384"/>
    <n v="13.44"/>
  </r>
  <r>
    <x v="0"/>
    <x v="9"/>
    <x v="1"/>
    <x v="2"/>
    <s v="EE_Tallinn"/>
    <x v="22"/>
    <n v="79.847999999999999"/>
    <n v="22.18"/>
  </r>
  <r>
    <x v="0"/>
    <x v="9"/>
    <x v="1"/>
    <x v="2"/>
    <s v="EE_Tartu"/>
    <x v="2"/>
    <n v="48.384"/>
    <n v="13.44"/>
  </r>
  <r>
    <x v="0"/>
    <x v="9"/>
    <x v="1"/>
    <x v="2"/>
    <s v="EE_Tartu"/>
    <x v="0"/>
    <n v="42.692399999999999"/>
    <n v="11.859"/>
  </r>
  <r>
    <x v="0"/>
    <x v="9"/>
    <x v="1"/>
    <x v="2"/>
    <s v="EE_Tartu"/>
    <x v="21"/>
    <n v="48.384"/>
    <n v="13.44"/>
  </r>
  <r>
    <x v="0"/>
    <x v="9"/>
    <x v="1"/>
    <x v="2"/>
    <s v="EE_Tartu"/>
    <x v="22"/>
    <n v="79.847999999999999"/>
    <n v="22.18"/>
  </r>
  <r>
    <x v="0"/>
    <x v="9"/>
    <x v="1"/>
    <x v="2"/>
    <s v="EE_Urban"/>
    <x v="2"/>
    <n v="48.384"/>
    <n v="13.44"/>
  </r>
  <r>
    <x v="0"/>
    <x v="9"/>
    <x v="1"/>
    <x v="2"/>
    <s v="EE_Urban"/>
    <x v="0"/>
    <n v="42.692399999999999"/>
    <n v="11.859"/>
  </r>
  <r>
    <x v="0"/>
    <x v="9"/>
    <x v="1"/>
    <x v="2"/>
    <s v="EE_Urban"/>
    <x v="21"/>
    <n v="48.384"/>
    <n v="13.44"/>
  </r>
  <r>
    <x v="0"/>
    <x v="9"/>
    <x v="1"/>
    <x v="2"/>
    <s v="EE_Urban"/>
    <x v="22"/>
    <n v="79.847999999999999"/>
    <n v="22.18"/>
  </r>
  <r>
    <x v="0"/>
    <x v="9"/>
    <x v="2"/>
    <x v="3"/>
    <s v="FI_IND"/>
    <x v="2"/>
    <n v="48.384"/>
    <n v="13.44"/>
  </r>
  <r>
    <x v="0"/>
    <x v="9"/>
    <x v="2"/>
    <x v="3"/>
    <s v="FI_IND"/>
    <x v="0"/>
    <n v="42.692399999999999"/>
    <n v="11.859"/>
  </r>
  <r>
    <x v="0"/>
    <x v="9"/>
    <x v="2"/>
    <x v="3"/>
    <s v="FI_IND"/>
    <x v="21"/>
    <n v="48.384"/>
    <n v="13.44"/>
  </r>
  <r>
    <x v="0"/>
    <x v="9"/>
    <x v="2"/>
    <x v="3"/>
    <s v="FI_IND"/>
    <x v="22"/>
    <n v="79.847999999999999"/>
    <n v="22.18"/>
  </r>
  <r>
    <x v="0"/>
    <x v="9"/>
    <x v="2"/>
    <x v="3"/>
    <s v="FI_Offshore"/>
    <x v="2"/>
    <n v="48.384"/>
    <n v="13.44"/>
  </r>
  <r>
    <x v="0"/>
    <x v="9"/>
    <x v="2"/>
    <x v="3"/>
    <s v="FI_Offshore"/>
    <x v="0"/>
    <n v="42.692399999999999"/>
    <n v="11.859"/>
  </r>
  <r>
    <x v="0"/>
    <x v="9"/>
    <x v="2"/>
    <x v="3"/>
    <s v="FI_Offshore"/>
    <x v="21"/>
    <n v="48.384"/>
    <n v="13.44"/>
  </r>
  <r>
    <x v="0"/>
    <x v="9"/>
    <x v="2"/>
    <x v="3"/>
    <s v="FI_Offshore"/>
    <x v="22"/>
    <n v="79.847999999999999"/>
    <n v="22.18"/>
  </r>
  <r>
    <x v="0"/>
    <x v="9"/>
    <x v="2"/>
    <x v="3"/>
    <s v="FI_large"/>
    <x v="2"/>
    <n v="48.384"/>
    <n v="13.44"/>
  </r>
  <r>
    <x v="0"/>
    <x v="9"/>
    <x v="2"/>
    <x v="3"/>
    <s v="FI_large"/>
    <x v="0"/>
    <n v="42.692399999999999"/>
    <n v="11.859"/>
  </r>
  <r>
    <x v="0"/>
    <x v="9"/>
    <x v="2"/>
    <x v="3"/>
    <s v="FI_large"/>
    <x v="21"/>
    <n v="48.384"/>
    <n v="13.44"/>
  </r>
  <r>
    <x v="0"/>
    <x v="9"/>
    <x v="2"/>
    <x v="3"/>
    <s v="FI_large"/>
    <x v="22"/>
    <n v="79.847999999999999"/>
    <n v="22.18"/>
  </r>
  <r>
    <x v="0"/>
    <x v="9"/>
    <x v="2"/>
    <x v="3"/>
    <s v="FI_large_gas"/>
    <x v="2"/>
    <n v="48.384"/>
    <n v="13.44"/>
  </r>
  <r>
    <x v="0"/>
    <x v="9"/>
    <x v="2"/>
    <x v="3"/>
    <s v="FI_large_gas"/>
    <x v="0"/>
    <n v="42.692399999999999"/>
    <n v="11.859"/>
  </r>
  <r>
    <x v="0"/>
    <x v="9"/>
    <x v="2"/>
    <x v="3"/>
    <s v="FI_large_gas"/>
    <x v="21"/>
    <n v="48.384"/>
    <n v="13.44"/>
  </r>
  <r>
    <x v="0"/>
    <x v="9"/>
    <x v="2"/>
    <x v="3"/>
    <s v="FI_large_gas"/>
    <x v="22"/>
    <n v="79.847999999999999"/>
    <n v="22.18"/>
  </r>
  <r>
    <x v="0"/>
    <x v="9"/>
    <x v="2"/>
    <x v="3"/>
    <s v="FI_medium"/>
    <x v="2"/>
    <n v="48.384"/>
    <n v="13.44"/>
  </r>
  <r>
    <x v="0"/>
    <x v="9"/>
    <x v="2"/>
    <x v="3"/>
    <s v="FI_medium"/>
    <x v="0"/>
    <n v="42.692399999999999"/>
    <n v="11.859"/>
  </r>
  <r>
    <x v="0"/>
    <x v="9"/>
    <x v="2"/>
    <x v="3"/>
    <s v="FI_medium"/>
    <x v="21"/>
    <n v="48.384"/>
    <n v="13.44"/>
  </r>
  <r>
    <x v="0"/>
    <x v="9"/>
    <x v="2"/>
    <x v="3"/>
    <s v="FI_medium"/>
    <x v="22"/>
    <n v="79.847999999999999"/>
    <n v="22.18"/>
  </r>
  <r>
    <x v="0"/>
    <x v="9"/>
    <x v="2"/>
    <x v="3"/>
    <s v="FI_medium_gas"/>
    <x v="2"/>
    <n v="48.384"/>
    <n v="13.44"/>
  </r>
  <r>
    <x v="0"/>
    <x v="9"/>
    <x v="2"/>
    <x v="3"/>
    <s v="FI_medium_gas"/>
    <x v="0"/>
    <n v="42.692399999999999"/>
    <n v="11.859"/>
  </r>
  <r>
    <x v="0"/>
    <x v="9"/>
    <x v="2"/>
    <x v="3"/>
    <s v="FI_medium_gas"/>
    <x v="21"/>
    <n v="48.384"/>
    <n v="13.44"/>
  </r>
  <r>
    <x v="0"/>
    <x v="9"/>
    <x v="2"/>
    <x v="3"/>
    <s v="FI_medium_gas"/>
    <x v="22"/>
    <n v="79.847999999999999"/>
    <n v="22.18"/>
  </r>
  <r>
    <x v="0"/>
    <x v="9"/>
    <x v="2"/>
    <x v="3"/>
    <s v="FI_small"/>
    <x v="2"/>
    <n v="48.384"/>
    <n v="13.44"/>
  </r>
  <r>
    <x v="0"/>
    <x v="9"/>
    <x v="2"/>
    <x v="3"/>
    <s v="FI_small"/>
    <x v="0"/>
    <n v="42.692399999999999"/>
    <n v="11.859"/>
  </r>
  <r>
    <x v="0"/>
    <x v="9"/>
    <x v="2"/>
    <x v="3"/>
    <s v="FI_small"/>
    <x v="21"/>
    <n v="48.384"/>
    <n v="13.44"/>
  </r>
  <r>
    <x v="0"/>
    <x v="9"/>
    <x v="2"/>
    <x v="3"/>
    <s v="FI_small"/>
    <x v="22"/>
    <n v="79.847999999999999"/>
    <n v="22.18"/>
  </r>
  <r>
    <x v="0"/>
    <x v="9"/>
    <x v="2"/>
    <x v="3"/>
    <s v="FI_small_gas"/>
    <x v="2"/>
    <n v="48.384"/>
    <n v="13.44"/>
  </r>
  <r>
    <x v="0"/>
    <x v="9"/>
    <x v="2"/>
    <x v="3"/>
    <s v="FI_small_gas"/>
    <x v="0"/>
    <n v="42.692399999999999"/>
    <n v="11.859"/>
  </r>
  <r>
    <x v="0"/>
    <x v="9"/>
    <x v="2"/>
    <x v="3"/>
    <s v="FI_small_gas"/>
    <x v="21"/>
    <n v="48.384"/>
    <n v="13.44"/>
  </r>
  <r>
    <x v="0"/>
    <x v="9"/>
    <x v="2"/>
    <x v="3"/>
    <s v="FI_small_gas"/>
    <x v="22"/>
    <n v="79.847999999999999"/>
    <n v="22.18"/>
  </r>
  <r>
    <x v="0"/>
    <x v="9"/>
    <x v="2"/>
    <x v="3"/>
    <s v="FinA"/>
    <x v="2"/>
    <n v="48.384"/>
    <n v="13.44"/>
  </r>
  <r>
    <x v="0"/>
    <x v="9"/>
    <x v="2"/>
    <x v="3"/>
    <s v="FinA"/>
    <x v="0"/>
    <n v="42.692399999999999"/>
    <n v="11.859"/>
  </r>
  <r>
    <x v="0"/>
    <x v="9"/>
    <x v="2"/>
    <x v="3"/>
    <s v="FinA"/>
    <x v="21"/>
    <n v="48.384"/>
    <n v="13.44"/>
  </r>
  <r>
    <x v="0"/>
    <x v="9"/>
    <x v="2"/>
    <x v="3"/>
    <s v="FinA"/>
    <x v="22"/>
    <n v="79.847999999999999"/>
    <n v="22.18"/>
  </r>
  <r>
    <x v="0"/>
    <x v="9"/>
    <x v="3"/>
    <x v="4"/>
    <s v="DE4-E_A"/>
    <x v="2"/>
    <n v="48.384"/>
    <n v="13.44"/>
  </r>
  <r>
    <x v="0"/>
    <x v="9"/>
    <x v="3"/>
    <x v="4"/>
    <s v="DE4-E_A"/>
    <x v="0"/>
    <n v="42.692399999999999"/>
    <n v="11.859"/>
  </r>
  <r>
    <x v="0"/>
    <x v="9"/>
    <x v="3"/>
    <x v="4"/>
    <s v="DE4-E_A"/>
    <x v="21"/>
    <n v="48.384"/>
    <n v="13.44"/>
  </r>
  <r>
    <x v="0"/>
    <x v="9"/>
    <x v="3"/>
    <x v="4"/>
    <s v="DE4-E_A"/>
    <x v="22"/>
    <n v="79.847999999999999"/>
    <n v="22.18"/>
  </r>
  <r>
    <x v="0"/>
    <x v="9"/>
    <x v="3"/>
    <x v="4"/>
    <s v="DE4-E_Offshore_A"/>
    <x v="2"/>
    <n v="48.384"/>
    <n v="13.44"/>
  </r>
  <r>
    <x v="0"/>
    <x v="9"/>
    <x v="3"/>
    <x v="4"/>
    <s v="DE4-E_Offshore_A"/>
    <x v="0"/>
    <n v="42.692399999999999"/>
    <n v="11.859"/>
  </r>
  <r>
    <x v="0"/>
    <x v="9"/>
    <x v="3"/>
    <x v="4"/>
    <s v="DE4-E_Offshore_A"/>
    <x v="21"/>
    <n v="48.384"/>
    <n v="13.44"/>
  </r>
  <r>
    <x v="0"/>
    <x v="9"/>
    <x v="3"/>
    <x v="4"/>
    <s v="DE4-E_Offshore_A"/>
    <x v="22"/>
    <n v="79.847999999999999"/>
    <n v="22.18"/>
  </r>
  <r>
    <x v="0"/>
    <x v="9"/>
    <x v="3"/>
    <x v="5"/>
    <s v="DE4-N_A"/>
    <x v="2"/>
    <n v="48.384"/>
    <n v="13.44"/>
  </r>
  <r>
    <x v="0"/>
    <x v="9"/>
    <x v="3"/>
    <x v="5"/>
    <s v="DE4-N_A"/>
    <x v="0"/>
    <n v="42.692399999999999"/>
    <n v="11.859"/>
  </r>
  <r>
    <x v="0"/>
    <x v="9"/>
    <x v="3"/>
    <x v="5"/>
    <s v="DE4-N_A"/>
    <x v="21"/>
    <n v="48.384"/>
    <n v="13.44"/>
  </r>
  <r>
    <x v="0"/>
    <x v="9"/>
    <x v="3"/>
    <x v="5"/>
    <s v="DE4-N_A"/>
    <x v="22"/>
    <n v="79.847999999999999"/>
    <n v="22.18"/>
  </r>
  <r>
    <x v="0"/>
    <x v="9"/>
    <x v="3"/>
    <x v="5"/>
    <s v="DE4-N_Offshore_A"/>
    <x v="2"/>
    <n v="48.384"/>
    <n v="13.44"/>
  </r>
  <r>
    <x v="0"/>
    <x v="9"/>
    <x v="3"/>
    <x v="5"/>
    <s v="DE4-N_Offshore_A"/>
    <x v="0"/>
    <n v="42.692399999999999"/>
    <n v="11.859"/>
  </r>
  <r>
    <x v="0"/>
    <x v="9"/>
    <x v="3"/>
    <x v="5"/>
    <s v="DE4-N_Offshore_A"/>
    <x v="21"/>
    <n v="48.384"/>
    <n v="13.44"/>
  </r>
  <r>
    <x v="0"/>
    <x v="9"/>
    <x v="3"/>
    <x v="5"/>
    <s v="DE4-N_Offshore_A"/>
    <x v="22"/>
    <n v="79.847999999999999"/>
    <n v="22.18"/>
  </r>
  <r>
    <x v="0"/>
    <x v="9"/>
    <x v="3"/>
    <x v="6"/>
    <s v="DE4-S_A"/>
    <x v="2"/>
    <n v="48.384"/>
    <n v="13.44"/>
  </r>
  <r>
    <x v="0"/>
    <x v="9"/>
    <x v="3"/>
    <x v="6"/>
    <s v="DE4-S_A"/>
    <x v="0"/>
    <n v="42.692399999999999"/>
    <n v="11.859"/>
  </r>
  <r>
    <x v="0"/>
    <x v="9"/>
    <x v="3"/>
    <x v="6"/>
    <s v="DE4-S_A"/>
    <x v="21"/>
    <n v="48.384"/>
    <n v="13.44"/>
  </r>
  <r>
    <x v="0"/>
    <x v="9"/>
    <x v="3"/>
    <x v="6"/>
    <s v="DE4-S_A"/>
    <x v="22"/>
    <n v="79.847999999999999"/>
    <n v="22.18"/>
  </r>
  <r>
    <x v="0"/>
    <x v="9"/>
    <x v="3"/>
    <x v="7"/>
    <s v="DE4-W_A"/>
    <x v="2"/>
    <n v="48.384"/>
    <n v="13.44"/>
  </r>
  <r>
    <x v="0"/>
    <x v="9"/>
    <x v="3"/>
    <x v="7"/>
    <s v="DE4-W_A"/>
    <x v="0"/>
    <n v="42.692399999999999"/>
    <n v="11.859"/>
  </r>
  <r>
    <x v="0"/>
    <x v="9"/>
    <x v="3"/>
    <x v="7"/>
    <s v="DE4-W_A"/>
    <x v="21"/>
    <n v="48.384"/>
    <n v="13.44"/>
  </r>
  <r>
    <x v="0"/>
    <x v="9"/>
    <x v="3"/>
    <x v="7"/>
    <s v="DE4-W_A"/>
    <x v="22"/>
    <n v="79.847999999999999"/>
    <n v="22.18"/>
  </r>
  <r>
    <x v="0"/>
    <x v="9"/>
    <x v="3"/>
    <x v="7"/>
    <s v="DE4-W_Offshore_A"/>
    <x v="2"/>
    <n v="48.384"/>
    <n v="13.44"/>
  </r>
  <r>
    <x v="0"/>
    <x v="9"/>
    <x v="3"/>
    <x v="7"/>
    <s v="DE4-W_Offshore_A"/>
    <x v="0"/>
    <n v="42.692399999999999"/>
    <n v="11.859"/>
  </r>
  <r>
    <x v="0"/>
    <x v="9"/>
    <x v="3"/>
    <x v="7"/>
    <s v="DE4-W_Offshore_A"/>
    <x v="21"/>
    <n v="48.384"/>
    <n v="13.44"/>
  </r>
  <r>
    <x v="0"/>
    <x v="9"/>
    <x v="3"/>
    <x v="7"/>
    <s v="DE4-W_Offshore_A"/>
    <x v="22"/>
    <n v="79.847999999999999"/>
    <n v="22.18"/>
  </r>
  <r>
    <x v="0"/>
    <x v="9"/>
    <x v="4"/>
    <x v="8"/>
    <s v="LV_A"/>
    <x v="2"/>
    <n v="48.384"/>
    <n v="13.44"/>
  </r>
  <r>
    <x v="0"/>
    <x v="9"/>
    <x v="4"/>
    <x v="8"/>
    <s v="LV_A"/>
    <x v="0"/>
    <n v="42.692399999999999"/>
    <n v="11.859"/>
  </r>
  <r>
    <x v="0"/>
    <x v="9"/>
    <x v="4"/>
    <x v="8"/>
    <s v="LV_A"/>
    <x v="21"/>
    <n v="48.384"/>
    <n v="13.44"/>
  </r>
  <r>
    <x v="0"/>
    <x v="9"/>
    <x v="4"/>
    <x v="8"/>
    <s v="LV_A"/>
    <x v="22"/>
    <n v="79.847999999999999"/>
    <n v="22.18"/>
  </r>
  <r>
    <x v="0"/>
    <x v="9"/>
    <x v="4"/>
    <x v="8"/>
    <s v="LV_OFFSHORE"/>
    <x v="2"/>
    <n v="48.384"/>
    <n v="13.44"/>
  </r>
  <r>
    <x v="0"/>
    <x v="9"/>
    <x v="4"/>
    <x v="8"/>
    <s v="LV_OFFSHORE"/>
    <x v="0"/>
    <n v="42.692399999999999"/>
    <n v="11.859"/>
  </r>
  <r>
    <x v="0"/>
    <x v="9"/>
    <x v="4"/>
    <x v="8"/>
    <s v="LV_OFFSHORE"/>
    <x v="21"/>
    <n v="48.384"/>
    <n v="13.44"/>
  </r>
  <r>
    <x v="0"/>
    <x v="9"/>
    <x v="4"/>
    <x v="8"/>
    <s v="LV_OFFSHORE"/>
    <x v="22"/>
    <n v="79.847999999999999"/>
    <n v="22.18"/>
  </r>
  <r>
    <x v="0"/>
    <x v="9"/>
    <x v="4"/>
    <x v="8"/>
    <s v="LV_Other_DH"/>
    <x v="2"/>
    <n v="48.384"/>
    <n v="13.44"/>
  </r>
  <r>
    <x v="0"/>
    <x v="9"/>
    <x v="4"/>
    <x v="8"/>
    <s v="LV_Other_DH"/>
    <x v="0"/>
    <n v="42.692399999999999"/>
    <n v="11.859"/>
  </r>
  <r>
    <x v="0"/>
    <x v="9"/>
    <x v="4"/>
    <x v="8"/>
    <s v="LV_Other_DH"/>
    <x v="21"/>
    <n v="48.384"/>
    <n v="13.44"/>
  </r>
  <r>
    <x v="0"/>
    <x v="9"/>
    <x v="4"/>
    <x v="8"/>
    <s v="LV_Other_DH"/>
    <x v="22"/>
    <n v="79.847999999999999"/>
    <n v="22.18"/>
  </r>
  <r>
    <x v="0"/>
    <x v="9"/>
    <x v="4"/>
    <x v="8"/>
    <s v="LV_RigaR"/>
    <x v="2"/>
    <n v="48.384"/>
    <n v="13.44"/>
  </r>
  <r>
    <x v="0"/>
    <x v="9"/>
    <x v="4"/>
    <x v="8"/>
    <s v="LV_RigaR"/>
    <x v="0"/>
    <n v="42.692399999999999"/>
    <n v="11.859"/>
  </r>
  <r>
    <x v="0"/>
    <x v="9"/>
    <x v="4"/>
    <x v="8"/>
    <s v="LV_RigaR"/>
    <x v="21"/>
    <n v="48.384"/>
    <n v="13.44"/>
  </r>
  <r>
    <x v="0"/>
    <x v="9"/>
    <x v="4"/>
    <x v="8"/>
    <s v="LV_RigaR"/>
    <x v="22"/>
    <n v="79.847999999999999"/>
    <n v="22.18"/>
  </r>
  <r>
    <x v="0"/>
    <x v="9"/>
    <x v="4"/>
    <x v="8"/>
    <s v="LV_Rural"/>
    <x v="2"/>
    <n v="48.384"/>
    <n v="13.44"/>
  </r>
  <r>
    <x v="0"/>
    <x v="9"/>
    <x v="4"/>
    <x v="8"/>
    <s v="LV_Rural"/>
    <x v="0"/>
    <n v="42.692399999999999"/>
    <n v="11.859"/>
  </r>
  <r>
    <x v="0"/>
    <x v="9"/>
    <x v="4"/>
    <x v="8"/>
    <s v="LV_Rural"/>
    <x v="21"/>
    <n v="48.384"/>
    <n v="13.44"/>
  </r>
  <r>
    <x v="0"/>
    <x v="9"/>
    <x v="4"/>
    <x v="8"/>
    <s v="LV_Rural"/>
    <x v="22"/>
    <n v="79.847999999999999"/>
    <n v="22.18"/>
  </r>
  <r>
    <x v="0"/>
    <x v="9"/>
    <x v="5"/>
    <x v="9"/>
    <s v="LT_A"/>
    <x v="2"/>
    <n v="48.384"/>
    <n v="13.44"/>
  </r>
  <r>
    <x v="0"/>
    <x v="9"/>
    <x v="5"/>
    <x v="9"/>
    <s v="LT_A"/>
    <x v="0"/>
    <n v="42.692399999999999"/>
    <n v="11.859"/>
  </r>
  <r>
    <x v="0"/>
    <x v="9"/>
    <x v="5"/>
    <x v="9"/>
    <s v="LT_A"/>
    <x v="21"/>
    <n v="48.384"/>
    <n v="13.44"/>
  </r>
  <r>
    <x v="0"/>
    <x v="9"/>
    <x v="5"/>
    <x v="9"/>
    <s v="LT_A"/>
    <x v="22"/>
    <n v="79.847999999999999"/>
    <n v="22.18"/>
  </r>
  <r>
    <x v="0"/>
    <x v="9"/>
    <x v="5"/>
    <x v="9"/>
    <s v="LT_KauU"/>
    <x v="2"/>
    <n v="48.384"/>
    <n v="13.44"/>
  </r>
  <r>
    <x v="0"/>
    <x v="9"/>
    <x v="5"/>
    <x v="9"/>
    <s v="LT_KauU"/>
    <x v="0"/>
    <n v="42.692399999999999"/>
    <n v="11.859"/>
  </r>
  <r>
    <x v="0"/>
    <x v="9"/>
    <x v="5"/>
    <x v="9"/>
    <s v="LT_KauU"/>
    <x v="21"/>
    <n v="48.384"/>
    <n v="13.44"/>
  </r>
  <r>
    <x v="0"/>
    <x v="9"/>
    <x v="5"/>
    <x v="9"/>
    <s v="LT_KauU"/>
    <x v="22"/>
    <n v="79.847999999999999"/>
    <n v="22.18"/>
  </r>
  <r>
    <x v="0"/>
    <x v="9"/>
    <x v="5"/>
    <x v="9"/>
    <s v="LT_KlaU"/>
    <x v="2"/>
    <n v="48.384"/>
    <n v="13.44"/>
  </r>
  <r>
    <x v="0"/>
    <x v="9"/>
    <x v="5"/>
    <x v="9"/>
    <s v="LT_KlaU"/>
    <x v="0"/>
    <n v="42.692399999999999"/>
    <n v="11.859"/>
  </r>
  <r>
    <x v="0"/>
    <x v="9"/>
    <x v="5"/>
    <x v="9"/>
    <s v="LT_KlaU"/>
    <x v="21"/>
    <n v="48.384"/>
    <n v="13.44"/>
  </r>
  <r>
    <x v="0"/>
    <x v="9"/>
    <x v="5"/>
    <x v="9"/>
    <s v="LT_KlaU"/>
    <x v="22"/>
    <n v="79.847999999999999"/>
    <n v="22.18"/>
  </r>
  <r>
    <x v="0"/>
    <x v="9"/>
    <x v="5"/>
    <x v="9"/>
    <s v="LT_OFFSHORE"/>
    <x v="2"/>
    <n v="48.384"/>
    <n v="13.44"/>
  </r>
  <r>
    <x v="0"/>
    <x v="9"/>
    <x v="5"/>
    <x v="9"/>
    <s v="LT_OFFSHORE"/>
    <x v="0"/>
    <n v="42.692399999999999"/>
    <n v="11.859"/>
  </r>
  <r>
    <x v="0"/>
    <x v="9"/>
    <x v="5"/>
    <x v="9"/>
    <s v="LT_OFFSHORE"/>
    <x v="21"/>
    <n v="48.384"/>
    <n v="13.44"/>
  </r>
  <r>
    <x v="0"/>
    <x v="9"/>
    <x v="5"/>
    <x v="9"/>
    <s v="LT_OFFSHORE"/>
    <x v="22"/>
    <n v="79.847999999999999"/>
    <n v="22.18"/>
  </r>
  <r>
    <x v="0"/>
    <x v="9"/>
    <x v="5"/>
    <x v="9"/>
    <s v="LT_Other_DH"/>
    <x v="2"/>
    <n v="48.384"/>
    <n v="13.44"/>
  </r>
  <r>
    <x v="0"/>
    <x v="9"/>
    <x v="5"/>
    <x v="9"/>
    <s v="LT_Other_DH"/>
    <x v="0"/>
    <n v="42.692399999999999"/>
    <n v="11.859"/>
  </r>
  <r>
    <x v="0"/>
    <x v="9"/>
    <x v="5"/>
    <x v="9"/>
    <s v="LT_Other_DH"/>
    <x v="21"/>
    <n v="48.384"/>
    <n v="13.44"/>
  </r>
  <r>
    <x v="0"/>
    <x v="9"/>
    <x v="5"/>
    <x v="9"/>
    <s v="LT_Other_DH"/>
    <x v="22"/>
    <n v="79.847999999999999"/>
    <n v="22.18"/>
  </r>
  <r>
    <x v="0"/>
    <x v="9"/>
    <x v="5"/>
    <x v="9"/>
    <s v="LT_Panevezys"/>
    <x v="2"/>
    <n v="48.384"/>
    <n v="13.44"/>
  </r>
  <r>
    <x v="0"/>
    <x v="9"/>
    <x v="5"/>
    <x v="9"/>
    <s v="LT_Panevezys"/>
    <x v="0"/>
    <n v="42.692399999999999"/>
    <n v="11.859"/>
  </r>
  <r>
    <x v="0"/>
    <x v="9"/>
    <x v="5"/>
    <x v="9"/>
    <s v="LT_Panevezys"/>
    <x v="21"/>
    <n v="48.384"/>
    <n v="13.44"/>
  </r>
  <r>
    <x v="0"/>
    <x v="9"/>
    <x v="5"/>
    <x v="9"/>
    <s v="LT_Panevezys"/>
    <x v="22"/>
    <n v="79.847999999999999"/>
    <n v="22.18"/>
  </r>
  <r>
    <x v="0"/>
    <x v="9"/>
    <x v="5"/>
    <x v="9"/>
    <s v="LT_Rural"/>
    <x v="2"/>
    <n v="48.384"/>
    <n v="13.44"/>
  </r>
  <r>
    <x v="0"/>
    <x v="9"/>
    <x v="5"/>
    <x v="9"/>
    <s v="LT_Rural"/>
    <x v="0"/>
    <n v="42.692399999999999"/>
    <n v="11.859"/>
  </r>
  <r>
    <x v="0"/>
    <x v="9"/>
    <x v="5"/>
    <x v="9"/>
    <s v="LT_Rural"/>
    <x v="21"/>
    <n v="48.384"/>
    <n v="13.44"/>
  </r>
  <r>
    <x v="0"/>
    <x v="9"/>
    <x v="5"/>
    <x v="9"/>
    <s v="LT_Rural"/>
    <x v="22"/>
    <n v="79.847999999999999"/>
    <n v="22.18"/>
  </r>
  <r>
    <x v="0"/>
    <x v="9"/>
    <x v="5"/>
    <x v="9"/>
    <s v="LT_SiaU"/>
    <x v="2"/>
    <n v="48.384"/>
    <n v="13.44"/>
  </r>
  <r>
    <x v="0"/>
    <x v="9"/>
    <x v="5"/>
    <x v="9"/>
    <s v="LT_SiaU"/>
    <x v="0"/>
    <n v="42.692399999999999"/>
    <n v="11.859"/>
  </r>
  <r>
    <x v="0"/>
    <x v="9"/>
    <x v="5"/>
    <x v="9"/>
    <s v="LT_SiaU"/>
    <x v="21"/>
    <n v="48.384"/>
    <n v="13.44"/>
  </r>
  <r>
    <x v="0"/>
    <x v="9"/>
    <x v="5"/>
    <x v="9"/>
    <s v="LT_SiaU"/>
    <x v="22"/>
    <n v="79.847999999999999"/>
    <n v="22.18"/>
  </r>
  <r>
    <x v="0"/>
    <x v="9"/>
    <x v="5"/>
    <x v="9"/>
    <s v="LT_VilU"/>
    <x v="2"/>
    <n v="48.384"/>
    <n v="13.44"/>
  </r>
  <r>
    <x v="0"/>
    <x v="9"/>
    <x v="5"/>
    <x v="9"/>
    <s v="LT_VilU"/>
    <x v="0"/>
    <n v="42.692399999999999"/>
    <n v="11.859"/>
  </r>
  <r>
    <x v="0"/>
    <x v="9"/>
    <x v="5"/>
    <x v="9"/>
    <s v="LT_VilU"/>
    <x v="21"/>
    <n v="48.384"/>
    <n v="13.44"/>
  </r>
  <r>
    <x v="0"/>
    <x v="9"/>
    <x v="5"/>
    <x v="9"/>
    <s v="LT_VilU"/>
    <x v="22"/>
    <n v="79.847999999999999"/>
    <n v="22.18"/>
  </r>
  <r>
    <x v="0"/>
    <x v="9"/>
    <x v="6"/>
    <x v="10"/>
    <s v="NL_A"/>
    <x v="2"/>
    <n v="48.384"/>
    <n v="13.44"/>
  </r>
  <r>
    <x v="0"/>
    <x v="9"/>
    <x v="6"/>
    <x v="10"/>
    <s v="NL_A"/>
    <x v="0"/>
    <n v="42.692399999999999"/>
    <n v="11.859"/>
  </r>
  <r>
    <x v="0"/>
    <x v="9"/>
    <x v="6"/>
    <x v="10"/>
    <s v="NL_A"/>
    <x v="21"/>
    <n v="48.384"/>
    <n v="13.44"/>
  </r>
  <r>
    <x v="0"/>
    <x v="9"/>
    <x v="6"/>
    <x v="10"/>
    <s v="NL_A"/>
    <x v="22"/>
    <n v="79.847999999999999"/>
    <n v="22.18"/>
  </r>
  <r>
    <x v="0"/>
    <x v="9"/>
    <x v="6"/>
    <x v="10"/>
    <s v="NL_OFFSHORE"/>
    <x v="2"/>
    <n v="48.384"/>
    <n v="13.44"/>
  </r>
  <r>
    <x v="0"/>
    <x v="9"/>
    <x v="6"/>
    <x v="10"/>
    <s v="NL_OFFSHORE"/>
    <x v="0"/>
    <n v="42.692399999999999"/>
    <n v="11.859"/>
  </r>
  <r>
    <x v="0"/>
    <x v="9"/>
    <x v="6"/>
    <x v="10"/>
    <s v="NL_OFFSHORE"/>
    <x v="21"/>
    <n v="48.384"/>
    <n v="13.44"/>
  </r>
  <r>
    <x v="0"/>
    <x v="9"/>
    <x v="6"/>
    <x v="10"/>
    <s v="NL_OFFSHORE"/>
    <x v="22"/>
    <n v="79.847999999999999"/>
    <n v="22.18"/>
  </r>
  <r>
    <x v="0"/>
    <x v="9"/>
    <x v="7"/>
    <x v="11"/>
    <s v="NO1_A1"/>
    <x v="2"/>
    <n v="48.384"/>
    <n v="13.44"/>
  </r>
  <r>
    <x v="0"/>
    <x v="9"/>
    <x v="7"/>
    <x v="11"/>
    <s v="NO1_A1"/>
    <x v="0"/>
    <n v="42.692399999999999"/>
    <n v="11.859"/>
  </r>
  <r>
    <x v="0"/>
    <x v="9"/>
    <x v="7"/>
    <x v="11"/>
    <s v="NO1_A1"/>
    <x v="21"/>
    <n v="48.384"/>
    <n v="13.44"/>
  </r>
  <r>
    <x v="0"/>
    <x v="9"/>
    <x v="7"/>
    <x v="11"/>
    <s v="NO1_A1"/>
    <x v="22"/>
    <n v="79.847999999999999"/>
    <n v="22.18"/>
  </r>
  <r>
    <x v="0"/>
    <x v="9"/>
    <x v="7"/>
    <x v="11"/>
    <s v="NO1_A2"/>
    <x v="2"/>
    <n v="48.384"/>
    <n v="13.44"/>
  </r>
  <r>
    <x v="0"/>
    <x v="9"/>
    <x v="7"/>
    <x v="11"/>
    <s v="NO1_A2"/>
    <x v="0"/>
    <n v="42.692399999999999"/>
    <n v="11.859"/>
  </r>
  <r>
    <x v="0"/>
    <x v="9"/>
    <x v="7"/>
    <x v="11"/>
    <s v="NO1_A2"/>
    <x v="21"/>
    <n v="48.384"/>
    <n v="13.44"/>
  </r>
  <r>
    <x v="0"/>
    <x v="9"/>
    <x v="7"/>
    <x v="11"/>
    <s v="NO1_A2"/>
    <x v="22"/>
    <n v="79.847999999999999"/>
    <n v="22.18"/>
  </r>
  <r>
    <x v="0"/>
    <x v="9"/>
    <x v="7"/>
    <x v="11"/>
    <s v="NO1_A3"/>
    <x v="2"/>
    <n v="48.384"/>
    <n v="13.44"/>
  </r>
  <r>
    <x v="0"/>
    <x v="9"/>
    <x v="7"/>
    <x v="11"/>
    <s v="NO1_A3"/>
    <x v="0"/>
    <n v="42.692399999999999"/>
    <n v="11.859"/>
  </r>
  <r>
    <x v="0"/>
    <x v="9"/>
    <x v="7"/>
    <x v="11"/>
    <s v="NO1_A3"/>
    <x v="21"/>
    <n v="48.384"/>
    <n v="13.44"/>
  </r>
  <r>
    <x v="0"/>
    <x v="9"/>
    <x v="7"/>
    <x v="11"/>
    <s v="NO1_A3"/>
    <x v="22"/>
    <n v="79.847999999999999"/>
    <n v="22.18"/>
  </r>
  <r>
    <x v="0"/>
    <x v="9"/>
    <x v="7"/>
    <x v="11"/>
    <s v="NO1_Offshore"/>
    <x v="2"/>
    <n v="48.384"/>
    <n v="13.44"/>
  </r>
  <r>
    <x v="0"/>
    <x v="9"/>
    <x v="7"/>
    <x v="11"/>
    <s v="NO1_Offshore"/>
    <x v="0"/>
    <n v="42.692399999999999"/>
    <n v="11.859"/>
  </r>
  <r>
    <x v="0"/>
    <x v="9"/>
    <x v="7"/>
    <x v="11"/>
    <s v="NO1_Offshore"/>
    <x v="21"/>
    <n v="48.384"/>
    <n v="13.44"/>
  </r>
  <r>
    <x v="0"/>
    <x v="9"/>
    <x v="7"/>
    <x v="11"/>
    <s v="NO1_Offshore"/>
    <x v="22"/>
    <n v="79.847999999999999"/>
    <n v="22.18"/>
  </r>
  <r>
    <x v="0"/>
    <x v="9"/>
    <x v="7"/>
    <x v="12"/>
    <s v="NO2_A1"/>
    <x v="2"/>
    <n v="48.384"/>
    <n v="13.44"/>
  </r>
  <r>
    <x v="0"/>
    <x v="9"/>
    <x v="7"/>
    <x v="12"/>
    <s v="NO2_A1"/>
    <x v="0"/>
    <n v="42.692399999999999"/>
    <n v="11.859"/>
  </r>
  <r>
    <x v="0"/>
    <x v="9"/>
    <x v="7"/>
    <x v="12"/>
    <s v="NO2_A1"/>
    <x v="21"/>
    <n v="48.384"/>
    <n v="13.44"/>
  </r>
  <r>
    <x v="0"/>
    <x v="9"/>
    <x v="7"/>
    <x v="12"/>
    <s v="NO2_A1"/>
    <x v="22"/>
    <n v="79.847999999999999"/>
    <n v="22.18"/>
  </r>
  <r>
    <x v="0"/>
    <x v="9"/>
    <x v="7"/>
    <x v="12"/>
    <s v="NO2_A2"/>
    <x v="2"/>
    <n v="48.384"/>
    <n v="13.44"/>
  </r>
  <r>
    <x v="0"/>
    <x v="9"/>
    <x v="7"/>
    <x v="12"/>
    <s v="NO2_A2"/>
    <x v="0"/>
    <n v="42.692399999999999"/>
    <n v="11.859"/>
  </r>
  <r>
    <x v="0"/>
    <x v="9"/>
    <x v="7"/>
    <x v="12"/>
    <s v="NO2_A2"/>
    <x v="21"/>
    <n v="48.384"/>
    <n v="13.44"/>
  </r>
  <r>
    <x v="0"/>
    <x v="9"/>
    <x v="7"/>
    <x v="12"/>
    <s v="NO2_A2"/>
    <x v="22"/>
    <n v="79.847999999999999"/>
    <n v="22.18"/>
  </r>
  <r>
    <x v="0"/>
    <x v="9"/>
    <x v="7"/>
    <x v="12"/>
    <s v="NO2_Offshore"/>
    <x v="2"/>
    <n v="48.384"/>
    <n v="13.44"/>
  </r>
  <r>
    <x v="0"/>
    <x v="9"/>
    <x v="7"/>
    <x v="12"/>
    <s v="NO2_Offshore"/>
    <x v="0"/>
    <n v="42.692399999999999"/>
    <n v="11.859"/>
  </r>
  <r>
    <x v="0"/>
    <x v="9"/>
    <x v="7"/>
    <x v="12"/>
    <s v="NO2_Offshore"/>
    <x v="21"/>
    <n v="48.384"/>
    <n v="13.44"/>
  </r>
  <r>
    <x v="0"/>
    <x v="9"/>
    <x v="7"/>
    <x v="12"/>
    <s v="NO2_Offshore"/>
    <x v="22"/>
    <n v="79.847999999999999"/>
    <n v="22.18"/>
  </r>
  <r>
    <x v="0"/>
    <x v="9"/>
    <x v="7"/>
    <x v="13"/>
    <s v="NO3_A1"/>
    <x v="2"/>
    <n v="48.384"/>
    <n v="13.44"/>
  </r>
  <r>
    <x v="0"/>
    <x v="9"/>
    <x v="7"/>
    <x v="13"/>
    <s v="NO3_A1"/>
    <x v="0"/>
    <n v="42.692399999999999"/>
    <n v="11.859"/>
  </r>
  <r>
    <x v="0"/>
    <x v="9"/>
    <x v="7"/>
    <x v="13"/>
    <s v="NO3_A1"/>
    <x v="21"/>
    <n v="48.384"/>
    <n v="13.44"/>
  </r>
  <r>
    <x v="0"/>
    <x v="9"/>
    <x v="7"/>
    <x v="13"/>
    <s v="NO3_A1"/>
    <x v="22"/>
    <n v="79.847999999999999"/>
    <n v="22.18"/>
  </r>
  <r>
    <x v="0"/>
    <x v="9"/>
    <x v="7"/>
    <x v="13"/>
    <s v="NO3_A2"/>
    <x v="2"/>
    <n v="48.384"/>
    <n v="13.44"/>
  </r>
  <r>
    <x v="0"/>
    <x v="9"/>
    <x v="7"/>
    <x v="13"/>
    <s v="NO3_A2"/>
    <x v="0"/>
    <n v="42.692399999999999"/>
    <n v="11.859"/>
  </r>
  <r>
    <x v="0"/>
    <x v="9"/>
    <x v="7"/>
    <x v="13"/>
    <s v="NO3_A2"/>
    <x v="21"/>
    <n v="48.384"/>
    <n v="13.44"/>
  </r>
  <r>
    <x v="0"/>
    <x v="9"/>
    <x v="7"/>
    <x v="13"/>
    <s v="NO3_A2"/>
    <x v="22"/>
    <n v="79.847999999999999"/>
    <n v="22.18"/>
  </r>
  <r>
    <x v="0"/>
    <x v="9"/>
    <x v="7"/>
    <x v="13"/>
    <s v="NO3_A3"/>
    <x v="2"/>
    <n v="48.384"/>
    <n v="13.44"/>
  </r>
  <r>
    <x v="0"/>
    <x v="9"/>
    <x v="7"/>
    <x v="13"/>
    <s v="NO3_A3"/>
    <x v="0"/>
    <n v="42.692399999999999"/>
    <n v="11.859"/>
  </r>
  <r>
    <x v="0"/>
    <x v="9"/>
    <x v="7"/>
    <x v="13"/>
    <s v="NO3_A3"/>
    <x v="21"/>
    <n v="48.384"/>
    <n v="13.44"/>
  </r>
  <r>
    <x v="0"/>
    <x v="9"/>
    <x v="7"/>
    <x v="13"/>
    <s v="NO3_A3"/>
    <x v="22"/>
    <n v="79.847999999999999"/>
    <n v="22.18"/>
  </r>
  <r>
    <x v="0"/>
    <x v="9"/>
    <x v="7"/>
    <x v="13"/>
    <s v="NO3_Offshore"/>
    <x v="2"/>
    <n v="48.384"/>
    <n v="13.44"/>
  </r>
  <r>
    <x v="0"/>
    <x v="9"/>
    <x v="7"/>
    <x v="13"/>
    <s v="NO3_Offshore"/>
    <x v="0"/>
    <n v="42.692399999999999"/>
    <n v="11.859"/>
  </r>
  <r>
    <x v="0"/>
    <x v="9"/>
    <x v="7"/>
    <x v="13"/>
    <s v="NO3_Offshore"/>
    <x v="21"/>
    <n v="48.384"/>
    <n v="13.44"/>
  </r>
  <r>
    <x v="0"/>
    <x v="9"/>
    <x v="7"/>
    <x v="13"/>
    <s v="NO3_Offshore"/>
    <x v="22"/>
    <n v="79.847999999999999"/>
    <n v="22.18"/>
  </r>
  <r>
    <x v="0"/>
    <x v="9"/>
    <x v="7"/>
    <x v="14"/>
    <s v="NO4_A1"/>
    <x v="2"/>
    <n v="48.384"/>
    <n v="13.44"/>
  </r>
  <r>
    <x v="0"/>
    <x v="9"/>
    <x v="7"/>
    <x v="14"/>
    <s v="NO4_A1"/>
    <x v="0"/>
    <n v="42.692399999999999"/>
    <n v="11.859"/>
  </r>
  <r>
    <x v="0"/>
    <x v="9"/>
    <x v="7"/>
    <x v="14"/>
    <s v="NO4_A1"/>
    <x v="21"/>
    <n v="48.384"/>
    <n v="13.44"/>
  </r>
  <r>
    <x v="0"/>
    <x v="9"/>
    <x v="7"/>
    <x v="14"/>
    <s v="NO4_A1"/>
    <x v="22"/>
    <n v="79.847999999999999"/>
    <n v="22.18"/>
  </r>
  <r>
    <x v="0"/>
    <x v="9"/>
    <x v="7"/>
    <x v="14"/>
    <s v="NO4_A2"/>
    <x v="2"/>
    <n v="48.384"/>
    <n v="13.44"/>
  </r>
  <r>
    <x v="0"/>
    <x v="9"/>
    <x v="7"/>
    <x v="14"/>
    <s v="NO4_A2"/>
    <x v="0"/>
    <n v="42.692399999999999"/>
    <n v="11.859"/>
  </r>
  <r>
    <x v="0"/>
    <x v="9"/>
    <x v="7"/>
    <x v="14"/>
    <s v="NO4_A2"/>
    <x v="21"/>
    <n v="48.384"/>
    <n v="13.44"/>
  </r>
  <r>
    <x v="0"/>
    <x v="9"/>
    <x v="7"/>
    <x v="14"/>
    <s v="NO4_A2"/>
    <x v="22"/>
    <n v="79.847999999999999"/>
    <n v="22.18"/>
  </r>
  <r>
    <x v="0"/>
    <x v="9"/>
    <x v="7"/>
    <x v="14"/>
    <s v="NO4_Offshore"/>
    <x v="2"/>
    <n v="48.384"/>
    <n v="13.44"/>
  </r>
  <r>
    <x v="0"/>
    <x v="9"/>
    <x v="7"/>
    <x v="14"/>
    <s v="NO4_Offshore"/>
    <x v="0"/>
    <n v="42.692399999999999"/>
    <n v="11.859"/>
  </r>
  <r>
    <x v="0"/>
    <x v="9"/>
    <x v="7"/>
    <x v="14"/>
    <s v="NO4_Offshore"/>
    <x v="21"/>
    <n v="48.384"/>
    <n v="13.44"/>
  </r>
  <r>
    <x v="0"/>
    <x v="9"/>
    <x v="7"/>
    <x v="14"/>
    <s v="NO4_Offshore"/>
    <x v="22"/>
    <n v="79.847999999999999"/>
    <n v="22.18"/>
  </r>
  <r>
    <x v="0"/>
    <x v="9"/>
    <x v="7"/>
    <x v="15"/>
    <s v="NO5_A1"/>
    <x v="2"/>
    <n v="48.384"/>
    <n v="13.44"/>
  </r>
  <r>
    <x v="0"/>
    <x v="9"/>
    <x v="7"/>
    <x v="15"/>
    <s v="NO5_A1"/>
    <x v="0"/>
    <n v="42.692399999999999"/>
    <n v="11.859"/>
  </r>
  <r>
    <x v="0"/>
    <x v="9"/>
    <x v="7"/>
    <x v="15"/>
    <s v="NO5_A1"/>
    <x v="21"/>
    <n v="48.384"/>
    <n v="13.44"/>
  </r>
  <r>
    <x v="0"/>
    <x v="9"/>
    <x v="7"/>
    <x v="15"/>
    <s v="NO5_A1"/>
    <x v="22"/>
    <n v="79.847999999999999"/>
    <n v="22.18"/>
  </r>
  <r>
    <x v="0"/>
    <x v="9"/>
    <x v="7"/>
    <x v="15"/>
    <s v="NO5_A2"/>
    <x v="2"/>
    <n v="48.384"/>
    <n v="13.44"/>
  </r>
  <r>
    <x v="0"/>
    <x v="9"/>
    <x v="7"/>
    <x v="15"/>
    <s v="NO5_A2"/>
    <x v="0"/>
    <n v="42.692399999999999"/>
    <n v="11.859"/>
  </r>
  <r>
    <x v="0"/>
    <x v="9"/>
    <x v="7"/>
    <x v="15"/>
    <s v="NO5_A2"/>
    <x v="21"/>
    <n v="48.384"/>
    <n v="13.44"/>
  </r>
  <r>
    <x v="0"/>
    <x v="9"/>
    <x v="7"/>
    <x v="15"/>
    <s v="NO5_A2"/>
    <x v="22"/>
    <n v="79.847999999999999"/>
    <n v="22.18"/>
  </r>
  <r>
    <x v="0"/>
    <x v="9"/>
    <x v="7"/>
    <x v="15"/>
    <s v="NO5_Offshore"/>
    <x v="2"/>
    <n v="48.384"/>
    <n v="13.44"/>
  </r>
  <r>
    <x v="0"/>
    <x v="9"/>
    <x v="7"/>
    <x v="15"/>
    <s v="NO5_Offshore"/>
    <x v="0"/>
    <n v="42.692399999999999"/>
    <n v="11.859"/>
  </r>
  <r>
    <x v="0"/>
    <x v="9"/>
    <x v="7"/>
    <x v="15"/>
    <s v="NO5_Offshore"/>
    <x v="21"/>
    <n v="48.384"/>
    <n v="13.44"/>
  </r>
  <r>
    <x v="0"/>
    <x v="9"/>
    <x v="7"/>
    <x v="15"/>
    <s v="NO5_Offshore"/>
    <x v="22"/>
    <n v="79.847999999999999"/>
    <n v="22.18"/>
  </r>
  <r>
    <x v="0"/>
    <x v="9"/>
    <x v="8"/>
    <x v="16"/>
    <s v="PL_A"/>
    <x v="2"/>
    <n v="48.384"/>
    <n v="13.44"/>
  </r>
  <r>
    <x v="0"/>
    <x v="9"/>
    <x v="8"/>
    <x v="16"/>
    <s v="PL_A"/>
    <x v="0"/>
    <n v="42.692399999999999"/>
    <n v="11.859"/>
  </r>
  <r>
    <x v="0"/>
    <x v="9"/>
    <x v="8"/>
    <x v="16"/>
    <s v="PL_A"/>
    <x v="21"/>
    <n v="48.384"/>
    <n v="13.44"/>
  </r>
  <r>
    <x v="0"/>
    <x v="9"/>
    <x v="8"/>
    <x v="16"/>
    <s v="PL_A"/>
    <x v="22"/>
    <n v="79.847999999999999"/>
    <n v="22.18"/>
  </r>
  <r>
    <x v="0"/>
    <x v="9"/>
    <x v="8"/>
    <x v="16"/>
    <s v="PL_OFFSHORE"/>
    <x v="2"/>
    <n v="48.384"/>
    <n v="13.44"/>
  </r>
  <r>
    <x v="0"/>
    <x v="9"/>
    <x v="8"/>
    <x v="16"/>
    <s v="PL_OFFSHORE"/>
    <x v="0"/>
    <n v="42.692399999999999"/>
    <n v="11.859"/>
  </r>
  <r>
    <x v="0"/>
    <x v="9"/>
    <x v="8"/>
    <x v="16"/>
    <s v="PL_OFFSHORE"/>
    <x v="21"/>
    <n v="48.384"/>
    <n v="13.44"/>
  </r>
  <r>
    <x v="0"/>
    <x v="9"/>
    <x v="8"/>
    <x v="16"/>
    <s v="PL_OFFSHORE"/>
    <x v="22"/>
    <n v="79.847999999999999"/>
    <n v="22.18"/>
  </r>
  <r>
    <x v="0"/>
    <x v="9"/>
    <x v="8"/>
    <x v="16"/>
    <s v="PL_Rural"/>
    <x v="2"/>
    <n v="48.384"/>
    <n v="13.44"/>
  </r>
  <r>
    <x v="0"/>
    <x v="9"/>
    <x v="8"/>
    <x v="16"/>
    <s v="PL_Rural"/>
    <x v="0"/>
    <n v="42.692399999999999"/>
    <n v="11.859"/>
  </r>
  <r>
    <x v="0"/>
    <x v="9"/>
    <x v="8"/>
    <x v="16"/>
    <s v="PL_Rural"/>
    <x v="21"/>
    <n v="48.384"/>
    <n v="13.44"/>
  </r>
  <r>
    <x v="0"/>
    <x v="9"/>
    <x v="8"/>
    <x v="16"/>
    <s v="PL_Rural"/>
    <x v="22"/>
    <n v="79.847999999999999"/>
    <n v="22.18"/>
  </r>
  <r>
    <x v="0"/>
    <x v="9"/>
    <x v="9"/>
    <x v="17"/>
    <s v="SE1A"/>
    <x v="2"/>
    <n v="48.384"/>
    <n v="13.44"/>
  </r>
  <r>
    <x v="0"/>
    <x v="9"/>
    <x v="9"/>
    <x v="17"/>
    <s v="SE1A"/>
    <x v="0"/>
    <n v="42.692399999999999"/>
    <n v="11.859"/>
  </r>
  <r>
    <x v="0"/>
    <x v="9"/>
    <x v="9"/>
    <x v="17"/>
    <s v="SE1A"/>
    <x v="21"/>
    <n v="48.384"/>
    <n v="13.44"/>
  </r>
  <r>
    <x v="0"/>
    <x v="9"/>
    <x v="9"/>
    <x v="17"/>
    <s v="SE1A"/>
    <x v="22"/>
    <n v="79.847999999999999"/>
    <n v="22.18"/>
  </r>
  <r>
    <x v="0"/>
    <x v="9"/>
    <x v="9"/>
    <x v="17"/>
    <s v="SE1_IND"/>
    <x v="2"/>
    <n v="48.384"/>
    <n v="13.44"/>
  </r>
  <r>
    <x v="0"/>
    <x v="9"/>
    <x v="9"/>
    <x v="17"/>
    <s v="SE1_IND"/>
    <x v="0"/>
    <n v="42.692399999999999"/>
    <n v="11.859"/>
  </r>
  <r>
    <x v="0"/>
    <x v="9"/>
    <x v="9"/>
    <x v="17"/>
    <s v="SE1_IND"/>
    <x v="21"/>
    <n v="48.384"/>
    <n v="13.44"/>
  </r>
  <r>
    <x v="0"/>
    <x v="9"/>
    <x v="9"/>
    <x v="17"/>
    <s v="SE1_IND"/>
    <x v="22"/>
    <n v="79.847999999999999"/>
    <n v="22.18"/>
  </r>
  <r>
    <x v="0"/>
    <x v="9"/>
    <x v="9"/>
    <x v="17"/>
    <s v="SE1_Offshore"/>
    <x v="2"/>
    <n v="48.384"/>
    <n v="13.44"/>
  </r>
  <r>
    <x v="0"/>
    <x v="9"/>
    <x v="9"/>
    <x v="17"/>
    <s v="SE1_Offshore"/>
    <x v="0"/>
    <n v="42.692399999999999"/>
    <n v="11.859"/>
  </r>
  <r>
    <x v="0"/>
    <x v="9"/>
    <x v="9"/>
    <x v="17"/>
    <s v="SE1_Offshore"/>
    <x v="21"/>
    <n v="48.384"/>
    <n v="13.44"/>
  </r>
  <r>
    <x v="0"/>
    <x v="9"/>
    <x v="9"/>
    <x v="17"/>
    <s v="SE1_Offshore"/>
    <x v="22"/>
    <n v="79.847999999999999"/>
    <n v="22.18"/>
  </r>
  <r>
    <x v="0"/>
    <x v="9"/>
    <x v="9"/>
    <x v="17"/>
    <s v="SE1_medium"/>
    <x v="2"/>
    <n v="48.384"/>
    <n v="13.44"/>
  </r>
  <r>
    <x v="0"/>
    <x v="9"/>
    <x v="9"/>
    <x v="17"/>
    <s v="SE1_medium"/>
    <x v="0"/>
    <n v="42.692399999999999"/>
    <n v="11.859"/>
  </r>
  <r>
    <x v="0"/>
    <x v="9"/>
    <x v="9"/>
    <x v="17"/>
    <s v="SE1_medium"/>
    <x v="21"/>
    <n v="48.384"/>
    <n v="13.44"/>
  </r>
  <r>
    <x v="0"/>
    <x v="9"/>
    <x v="9"/>
    <x v="17"/>
    <s v="SE1_medium"/>
    <x v="22"/>
    <n v="79.847999999999999"/>
    <n v="22.18"/>
  </r>
  <r>
    <x v="0"/>
    <x v="9"/>
    <x v="9"/>
    <x v="17"/>
    <s v="SE1_small"/>
    <x v="2"/>
    <n v="48.384"/>
    <n v="13.44"/>
  </r>
  <r>
    <x v="0"/>
    <x v="9"/>
    <x v="9"/>
    <x v="17"/>
    <s v="SE1_small"/>
    <x v="0"/>
    <n v="42.692399999999999"/>
    <n v="11.859"/>
  </r>
  <r>
    <x v="0"/>
    <x v="9"/>
    <x v="9"/>
    <x v="17"/>
    <s v="SE1_small"/>
    <x v="21"/>
    <n v="48.384"/>
    <n v="13.44"/>
  </r>
  <r>
    <x v="0"/>
    <x v="9"/>
    <x v="9"/>
    <x v="17"/>
    <s v="SE1_small"/>
    <x v="22"/>
    <n v="79.847999999999999"/>
    <n v="22.18"/>
  </r>
  <r>
    <x v="0"/>
    <x v="9"/>
    <x v="9"/>
    <x v="18"/>
    <s v="SE2A"/>
    <x v="2"/>
    <n v="48.384"/>
    <n v="13.44"/>
  </r>
  <r>
    <x v="0"/>
    <x v="9"/>
    <x v="9"/>
    <x v="18"/>
    <s v="SE2A"/>
    <x v="0"/>
    <n v="42.692399999999999"/>
    <n v="11.859"/>
  </r>
  <r>
    <x v="0"/>
    <x v="9"/>
    <x v="9"/>
    <x v="18"/>
    <s v="SE2A"/>
    <x v="21"/>
    <n v="48.384"/>
    <n v="13.44"/>
  </r>
  <r>
    <x v="0"/>
    <x v="9"/>
    <x v="9"/>
    <x v="18"/>
    <s v="SE2A"/>
    <x v="22"/>
    <n v="79.847999999999999"/>
    <n v="22.18"/>
  </r>
  <r>
    <x v="0"/>
    <x v="9"/>
    <x v="9"/>
    <x v="18"/>
    <s v="SE2_IND"/>
    <x v="2"/>
    <n v="48.384"/>
    <n v="13.44"/>
  </r>
  <r>
    <x v="0"/>
    <x v="9"/>
    <x v="9"/>
    <x v="18"/>
    <s v="SE2_IND"/>
    <x v="0"/>
    <n v="42.692399999999999"/>
    <n v="11.859"/>
  </r>
  <r>
    <x v="0"/>
    <x v="9"/>
    <x v="9"/>
    <x v="18"/>
    <s v="SE2_IND"/>
    <x v="21"/>
    <n v="48.384"/>
    <n v="13.44"/>
  </r>
  <r>
    <x v="0"/>
    <x v="9"/>
    <x v="9"/>
    <x v="18"/>
    <s v="SE2_IND"/>
    <x v="22"/>
    <n v="79.847999999999999"/>
    <n v="22.18"/>
  </r>
  <r>
    <x v="0"/>
    <x v="9"/>
    <x v="9"/>
    <x v="18"/>
    <s v="SE2_Offshore"/>
    <x v="2"/>
    <n v="48.384"/>
    <n v="13.44"/>
  </r>
  <r>
    <x v="0"/>
    <x v="9"/>
    <x v="9"/>
    <x v="18"/>
    <s v="SE2_Offshore"/>
    <x v="0"/>
    <n v="42.692399999999999"/>
    <n v="11.859"/>
  </r>
  <r>
    <x v="0"/>
    <x v="9"/>
    <x v="9"/>
    <x v="18"/>
    <s v="SE2_Offshore"/>
    <x v="21"/>
    <n v="48.384"/>
    <n v="13.44"/>
  </r>
  <r>
    <x v="0"/>
    <x v="9"/>
    <x v="9"/>
    <x v="18"/>
    <s v="SE2_Offshore"/>
    <x v="22"/>
    <n v="79.847999999999999"/>
    <n v="22.18"/>
  </r>
  <r>
    <x v="0"/>
    <x v="9"/>
    <x v="9"/>
    <x v="18"/>
    <s v="SE2_medium"/>
    <x v="2"/>
    <n v="48.384"/>
    <n v="13.44"/>
  </r>
  <r>
    <x v="0"/>
    <x v="9"/>
    <x v="9"/>
    <x v="18"/>
    <s v="SE2_medium"/>
    <x v="0"/>
    <n v="42.692399999999999"/>
    <n v="11.859"/>
  </r>
  <r>
    <x v="0"/>
    <x v="9"/>
    <x v="9"/>
    <x v="18"/>
    <s v="SE2_medium"/>
    <x v="21"/>
    <n v="48.384"/>
    <n v="13.44"/>
  </r>
  <r>
    <x v="0"/>
    <x v="9"/>
    <x v="9"/>
    <x v="18"/>
    <s v="SE2_medium"/>
    <x v="22"/>
    <n v="79.847999999999999"/>
    <n v="22.18"/>
  </r>
  <r>
    <x v="0"/>
    <x v="9"/>
    <x v="9"/>
    <x v="18"/>
    <s v="SE2_small"/>
    <x v="2"/>
    <n v="48.384"/>
    <n v="13.44"/>
  </r>
  <r>
    <x v="0"/>
    <x v="9"/>
    <x v="9"/>
    <x v="18"/>
    <s v="SE2_small"/>
    <x v="0"/>
    <n v="42.692399999999999"/>
    <n v="11.859"/>
  </r>
  <r>
    <x v="0"/>
    <x v="9"/>
    <x v="9"/>
    <x v="18"/>
    <s v="SE2_small"/>
    <x v="21"/>
    <n v="48.384"/>
    <n v="13.44"/>
  </r>
  <r>
    <x v="0"/>
    <x v="9"/>
    <x v="9"/>
    <x v="18"/>
    <s v="SE2_small"/>
    <x v="22"/>
    <n v="79.847999999999999"/>
    <n v="22.18"/>
  </r>
  <r>
    <x v="0"/>
    <x v="9"/>
    <x v="9"/>
    <x v="19"/>
    <s v="SE3A"/>
    <x v="2"/>
    <n v="48.384"/>
    <n v="13.44"/>
  </r>
  <r>
    <x v="0"/>
    <x v="9"/>
    <x v="9"/>
    <x v="19"/>
    <s v="SE3A"/>
    <x v="0"/>
    <n v="42.692399999999999"/>
    <n v="11.859"/>
  </r>
  <r>
    <x v="0"/>
    <x v="9"/>
    <x v="9"/>
    <x v="19"/>
    <s v="SE3A"/>
    <x v="21"/>
    <n v="48.384"/>
    <n v="13.44"/>
  </r>
  <r>
    <x v="0"/>
    <x v="9"/>
    <x v="9"/>
    <x v="19"/>
    <s v="SE3A"/>
    <x v="22"/>
    <n v="79.847999999999999"/>
    <n v="22.18"/>
  </r>
  <r>
    <x v="0"/>
    <x v="9"/>
    <x v="9"/>
    <x v="19"/>
    <s v="SE3_IND"/>
    <x v="2"/>
    <n v="48.384"/>
    <n v="13.44"/>
  </r>
  <r>
    <x v="0"/>
    <x v="9"/>
    <x v="9"/>
    <x v="19"/>
    <s v="SE3_IND"/>
    <x v="0"/>
    <n v="42.692399999999999"/>
    <n v="11.859"/>
  </r>
  <r>
    <x v="0"/>
    <x v="9"/>
    <x v="9"/>
    <x v="19"/>
    <s v="SE3_IND"/>
    <x v="21"/>
    <n v="48.384"/>
    <n v="13.44"/>
  </r>
  <r>
    <x v="0"/>
    <x v="9"/>
    <x v="9"/>
    <x v="19"/>
    <s v="SE3_IND"/>
    <x v="22"/>
    <n v="79.847999999999999"/>
    <n v="22.18"/>
  </r>
  <r>
    <x v="0"/>
    <x v="9"/>
    <x v="9"/>
    <x v="19"/>
    <s v="SE3_Offshore"/>
    <x v="2"/>
    <n v="48.384"/>
    <n v="13.44"/>
  </r>
  <r>
    <x v="0"/>
    <x v="9"/>
    <x v="9"/>
    <x v="19"/>
    <s v="SE3_Offshore"/>
    <x v="0"/>
    <n v="42.692399999999999"/>
    <n v="11.859"/>
  </r>
  <r>
    <x v="0"/>
    <x v="9"/>
    <x v="9"/>
    <x v="19"/>
    <s v="SE3_Offshore"/>
    <x v="21"/>
    <n v="48.384"/>
    <n v="13.44"/>
  </r>
  <r>
    <x v="0"/>
    <x v="9"/>
    <x v="9"/>
    <x v="19"/>
    <s v="SE3_Offshore"/>
    <x v="22"/>
    <n v="79.847999999999999"/>
    <n v="22.18"/>
  </r>
  <r>
    <x v="0"/>
    <x v="9"/>
    <x v="9"/>
    <x v="19"/>
    <s v="SE3_large"/>
    <x v="2"/>
    <n v="48.384"/>
    <n v="13.44"/>
  </r>
  <r>
    <x v="0"/>
    <x v="9"/>
    <x v="9"/>
    <x v="19"/>
    <s v="SE3_large"/>
    <x v="0"/>
    <n v="42.692399999999999"/>
    <n v="11.859"/>
  </r>
  <r>
    <x v="0"/>
    <x v="9"/>
    <x v="9"/>
    <x v="19"/>
    <s v="SE3_large"/>
    <x v="21"/>
    <n v="48.384"/>
    <n v="13.44"/>
  </r>
  <r>
    <x v="0"/>
    <x v="9"/>
    <x v="9"/>
    <x v="19"/>
    <s v="SE3_large"/>
    <x v="22"/>
    <n v="79.847999999999999"/>
    <n v="22.18"/>
  </r>
  <r>
    <x v="0"/>
    <x v="9"/>
    <x v="9"/>
    <x v="19"/>
    <s v="SE3_medium"/>
    <x v="2"/>
    <n v="48.384"/>
    <n v="13.44"/>
  </r>
  <r>
    <x v="0"/>
    <x v="9"/>
    <x v="9"/>
    <x v="19"/>
    <s v="SE3_medium"/>
    <x v="0"/>
    <n v="42.692399999999999"/>
    <n v="11.859"/>
  </r>
  <r>
    <x v="0"/>
    <x v="9"/>
    <x v="9"/>
    <x v="19"/>
    <s v="SE3_medium"/>
    <x v="21"/>
    <n v="48.384"/>
    <n v="13.44"/>
  </r>
  <r>
    <x v="0"/>
    <x v="9"/>
    <x v="9"/>
    <x v="19"/>
    <s v="SE3_medium"/>
    <x v="22"/>
    <n v="79.847999999999999"/>
    <n v="22.18"/>
  </r>
  <r>
    <x v="0"/>
    <x v="9"/>
    <x v="9"/>
    <x v="19"/>
    <s v="SE3_small"/>
    <x v="2"/>
    <n v="48.384"/>
    <n v="13.44"/>
  </r>
  <r>
    <x v="0"/>
    <x v="9"/>
    <x v="9"/>
    <x v="19"/>
    <s v="SE3_small"/>
    <x v="0"/>
    <n v="42.692399999999999"/>
    <n v="11.859"/>
  </r>
  <r>
    <x v="0"/>
    <x v="9"/>
    <x v="9"/>
    <x v="19"/>
    <s v="SE3_small"/>
    <x v="21"/>
    <n v="48.384"/>
    <n v="13.44"/>
  </r>
  <r>
    <x v="0"/>
    <x v="9"/>
    <x v="9"/>
    <x v="19"/>
    <s v="SE3_small"/>
    <x v="22"/>
    <n v="79.847999999999999"/>
    <n v="22.18"/>
  </r>
  <r>
    <x v="0"/>
    <x v="9"/>
    <x v="9"/>
    <x v="20"/>
    <s v="SE4A"/>
    <x v="2"/>
    <n v="48.384"/>
    <n v="13.44"/>
  </r>
  <r>
    <x v="0"/>
    <x v="9"/>
    <x v="9"/>
    <x v="20"/>
    <s v="SE4A"/>
    <x v="0"/>
    <n v="42.692399999999999"/>
    <n v="11.859"/>
  </r>
  <r>
    <x v="0"/>
    <x v="9"/>
    <x v="9"/>
    <x v="20"/>
    <s v="SE4A"/>
    <x v="21"/>
    <n v="48.384"/>
    <n v="13.44"/>
  </r>
  <r>
    <x v="0"/>
    <x v="9"/>
    <x v="9"/>
    <x v="20"/>
    <s v="SE4A"/>
    <x v="22"/>
    <n v="79.847999999999999"/>
    <n v="22.18"/>
  </r>
  <r>
    <x v="0"/>
    <x v="9"/>
    <x v="9"/>
    <x v="20"/>
    <s v="SE4_IND"/>
    <x v="2"/>
    <n v="48.384"/>
    <n v="13.44"/>
  </r>
  <r>
    <x v="0"/>
    <x v="9"/>
    <x v="9"/>
    <x v="20"/>
    <s v="SE4_IND"/>
    <x v="0"/>
    <n v="42.692399999999999"/>
    <n v="11.859"/>
  </r>
  <r>
    <x v="0"/>
    <x v="9"/>
    <x v="9"/>
    <x v="20"/>
    <s v="SE4_IND"/>
    <x v="21"/>
    <n v="48.384"/>
    <n v="13.44"/>
  </r>
  <r>
    <x v="0"/>
    <x v="9"/>
    <x v="9"/>
    <x v="20"/>
    <s v="SE4_IND"/>
    <x v="22"/>
    <n v="79.847999999999999"/>
    <n v="22.18"/>
  </r>
  <r>
    <x v="0"/>
    <x v="9"/>
    <x v="9"/>
    <x v="20"/>
    <s v="SE4_Offshore"/>
    <x v="2"/>
    <n v="48.384"/>
    <n v="13.44"/>
  </r>
  <r>
    <x v="0"/>
    <x v="9"/>
    <x v="9"/>
    <x v="20"/>
    <s v="SE4_Offshore"/>
    <x v="0"/>
    <n v="42.692399999999999"/>
    <n v="11.859"/>
  </r>
  <r>
    <x v="0"/>
    <x v="9"/>
    <x v="9"/>
    <x v="20"/>
    <s v="SE4_Offshore"/>
    <x v="21"/>
    <n v="48.384"/>
    <n v="13.44"/>
  </r>
  <r>
    <x v="0"/>
    <x v="9"/>
    <x v="9"/>
    <x v="20"/>
    <s v="SE4_Offshore"/>
    <x v="22"/>
    <n v="79.847999999999999"/>
    <n v="22.18"/>
  </r>
  <r>
    <x v="0"/>
    <x v="9"/>
    <x v="9"/>
    <x v="20"/>
    <s v="SE4_large"/>
    <x v="2"/>
    <n v="48.384"/>
    <n v="13.44"/>
  </r>
  <r>
    <x v="0"/>
    <x v="9"/>
    <x v="9"/>
    <x v="20"/>
    <s v="SE4_large"/>
    <x v="0"/>
    <n v="42.692399999999999"/>
    <n v="11.859"/>
  </r>
  <r>
    <x v="0"/>
    <x v="9"/>
    <x v="9"/>
    <x v="20"/>
    <s v="SE4_large"/>
    <x v="21"/>
    <n v="48.384"/>
    <n v="13.44"/>
  </r>
  <r>
    <x v="0"/>
    <x v="9"/>
    <x v="9"/>
    <x v="20"/>
    <s v="SE4_large"/>
    <x v="22"/>
    <n v="79.847999999999999"/>
    <n v="22.18"/>
  </r>
  <r>
    <x v="0"/>
    <x v="9"/>
    <x v="9"/>
    <x v="20"/>
    <s v="SE4_medium"/>
    <x v="2"/>
    <n v="48.384"/>
    <n v="13.44"/>
  </r>
  <r>
    <x v="0"/>
    <x v="9"/>
    <x v="9"/>
    <x v="20"/>
    <s v="SE4_medium"/>
    <x v="0"/>
    <n v="42.692399999999999"/>
    <n v="11.859"/>
  </r>
  <r>
    <x v="0"/>
    <x v="9"/>
    <x v="9"/>
    <x v="20"/>
    <s v="SE4_medium"/>
    <x v="21"/>
    <n v="48.384"/>
    <n v="13.44"/>
  </r>
  <r>
    <x v="0"/>
    <x v="9"/>
    <x v="9"/>
    <x v="20"/>
    <s v="SE4_medium"/>
    <x v="22"/>
    <n v="79.847999999999999"/>
    <n v="22.18"/>
  </r>
  <r>
    <x v="0"/>
    <x v="9"/>
    <x v="9"/>
    <x v="20"/>
    <s v="SE4_small"/>
    <x v="2"/>
    <n v="48.384"/>
    <n v="13.44"/>
  </r>
  <r>
    <x v="0"/>
    <x v="9"/>
    <x v="9"/>
    <x v="20"/>
    <s v="SE4_small"/>
    <x v="0"/>
    <n v="42.692399999999999"/>
    <n v="11.859"/>
  </r>
  <r>
    <x v="0"/>
    <x v="9"/>
    <x v="9"/>
    <x v="20"/>
    <s v="SE4_small"/>
    <x v="21"/>
    <n v="48.384"/>
    <n v="13.44"/>
  </r>
  <r>
    <x v="0"/>
    <x v="9"/>
    <x v="9"/>
    <x v="20"/>
    <s v="SE4_small"/>
    <x v="22"/>
    <n v="79.847999999999999"/>
    <n v="22.18"/>
  </r>
  <r>
    <x v="0"/>
    <x v="9"/>
    <x v="10"/>
    <x v="21"/>
    <s v="UK_A"/>
    <x v="2"/>
    <n v="48.384"/>
    <n v="13.44"/>
  </r>
  <r>
    <x v="0"/>
    <x v="9"/>
    <x v="10"/>
    <x v="21"/>
    <s v="UK_A"/>
    <x v="0"/>
    <n v="42.692399999999999"/>
    <n v="11.859"/>
  </r>
  <r>
    <x v="0"/>
    <x v="9"/>
    <x v="10"/>
    <x v="21"/>
    <s v="UK_A"/>
    <x v="21"/>
    <n v="48.384"/>
    <n v="13.44"/>
  </r>
  <r>
    <x v="0"/>
    <x v="9"/>
    <x v="10"/>
    <x v="21"/>
    <s v="UK_A"/>
    <x v="22"/>
    <n v="79.847999999999999"/>
    <n v="22.18"/>
  </r>
  <r>
    <x v="0"/>
    <x v="9"/>
    <x v="10"/>
    <x v="21"/>
    <s v="UK_Offshore"/>
    <x v="2"/>
    <n v="48.384"/>
    <n v="13.44"/>
  </r>
  <r>
    <x v="0"/>
    <x v="9"/>
    <x v="10"/>
    <x v="21"/>
    <s v="UK_Offshore"/>
    <x v="0"/>
    <n v="42.692399999999999"/>
    <n v="11.859"/>
  </r>
  <r>
    <x v="0"/>
    <x v="9"/>
    <x v="10"/>
    <x v="21"/>
    <s v="UK_Offshore"/>
    <x v="21"/>
    <n v="48.384"/>
    <n v="13.44"/>
  </r>
  <r>
    <x v="0"/>
    <x v="9"/>
    <x v="10"/>
    <x v="21"/>
    <s v="UK_Offshore"/>
    <x v="22"/>
    <n v="79.847999999999999"/>
    <n v="22.18"/>
  </r>
  <r>
    <x v="0"/>
    <x v="10"/>
    <x v="0"/>
    <x v="0"/>
    <s v="DK1_Large"/>
    <x v="2"/>
    <n v="48.384"/>
    <n v="13.44"/>
  </r>
  <r>
    <x v="0"/>
    <x v="10"/>
    <x v="0"/>
    <x v="0"/>
    <s v="DK1_Large"/>
    <x v="0"/>
    <n v="42.692399999999999"/>
    <n v="11.859"/>
  </r>
  <r>
    <x v="0"/>
    <x v="10"/>
    <x v="0"/>
    <x v="0"/>
    <s v="DK1_Large"/>
    <x v="21"/>
    <n v="48.384"/>
    <n v="13.44"/>
  </r>
  <r>
    <x v="0"/>
    <x v="10"/>
    <x v="0"/>
    <x v="0"/>
    <s v="DK1_Large"/>
    <x v="22"/>
    <n v="79.847999999999999"/>
    <n v="22.18"/>
  </r>
  <r>
    <x v="0"/>
    <x v="10"/>
    <x v="0"/>
    <x v="0"/>
    <s v="DK1_Large_PHH"/>
    <x v="2"/>
    <n v="48.384"/>
    <n v="13.44"/>
  </r>
  <r>
    <x v="0"/>
    <x v="10"/>
    <x v="0"/>
    <x v="0"/>
    <s v="DK1_Large_PHH"/>
    <x v="0"/>
    <n v="42.692399999999999"/>
    <n v="11.859"/>
  </r>
  <r>
    <x v="0"/>
    <x v="10"/>
    <x v="0"/>
    <x v="0"/>
    <s v="DK1_Large_PHH"/>
    <x v="21"/>
    <n v="48.384"/>
    <n v="13.44"/>
  </r>
  <r>
    <x v="0"/>
    <x v="10"/>
    <x v="0"/>
    <x v="0"/>
    <s v="DK1_Large_PHH"/>
    <x v="22"/>
    <n v="79.847999999999999"/>
    <n v="22.18"/>
  </r>
  <r>
    <x v="0"/>
    <x v="10"/>
    <x v="0"/>
    <x v="0"/>
    <s v="DK1_Large_PHL"/>
    <x v="2"/>
    <n v="48.384"/>
    <n v="13.44"/>
  </r>
  <r>
    <x v="0"/>
    <x v="10"/>
    <x v="0"/>
    <x v="0"/>
    <s v="DK1_Large_PHL"/>
    <x v="0"/>
    <n v="42.692399999999999"/>
    <n v="11.859"/>
  </r>
  <r>
    <x v="0"/>
    <x v="10"/>
    <x v="0"/>
    <x v="0"/>
    <s v="DK1_Large_PHL"/>
    <x v="21"/>
    <n v="48.384"/>
    <n v="13.44"/>
  </r>
  <r>
    <x v="0"/>
    <x v="10"/>
    <x v="0"/>
    <x v="0"/>
    <s v="DK1_Large_PHL"/>
    <x v="22"/>
    <n v="79.847999999999999"/>
    <n v="22.18"/>
  </r>
  <r>
    <x v="0"/>
    <x v="10"/>
    <x v="0"/>
    <x v="0"/>
    <s v="DK1_MedSmall"/>
    <x v="2"/>
    <n v="48.384"/>
    <n v="13.44"/>
  </r>
  <r>
    <x v="0"/>
    <x v="10"/>
    <x v="0"/>
    <x v="0"/>
    <s v="DK1_MedSmall"/>
    <x v="0"/>
    <n v="42.692399999999999"/>
    <n v="11.859"/>
  </r>
  <r>
    <x v="0"/>
    <x v="10"/>
    <x v="0"/>
    <x v="0"/>
    <s v="DK1_MedSmall"/>
    <x v="21"/>
    <n v="48.384"/>
    <n v="13.44"/>
  </r>
  <r>
    <x v="0"/>
    <x v="10"/>
    <x v="0"/>
    <x v="0"/>
    <s v="DK1_MedSmall"/>
    <x v="22"/>
    <n v="79.847999999999999"/>
    <n v="22.18"/>
  </r>
  <r>
    <x v="0"/>
    <x v="10"/>
    <x v="0"/>
    <x v="0"/>
    <s v="DK1_Medium"/>
    <x v="2"/>
    <n v="48.384"/>
    <n v="13.44"/>
  </r>
  <r>
    <x v="0"/>
    <x v="10"/>
    <x v="0"/>
    <x v="0"/>
    <s v="DK1_Medium"/>
    <x v="0"/>
    <n v="42.692399999999999"/>
    <n v="11.859"/>
  </r>
  <r>
    <x v="0"/>
    <x v="10"/>
    <x v="0"/>
    <x v="0"/>
    <s v="DK1_Medium"/>
    <x v="21"/>
    <n v="48.384"/>
    <n v="13.44"/>
  </r>
  <r>
    <x v="0"/>
    <x v="10"/>
    <x v="0"/>
    <x v="0"/>
    <s v="DK1_Medium"/>
    <x v="22"/>
    <n v="79.847999999999999"/>
    <n v="22.18"/>
  </r>
  <r>
    <x v="0"/>
    <x v="10"/>
    <x v="0"/>
    <x v="0"/>
    <s v="DK1_NoDH"/>
    <x v="2"/>
    <n v="48.384"/>
    <n v="13.44"/>
  </r>
  <r>
    <x v="0"/>
    <x v="10"/>
    <x v="0"/>
    <x v="0"/>
    <s v="DK1_NoDH"/>
    <x v="0"/>
    <n v="42.692399999999999"/>
    <n v="11.859"/>
  </r>
  <r>
    <x v="0"/>
    <x v="10"/>
    <x v="0"/>
    <x v="0"/>
    <s v="DK1_NoDH"/>
    <x v="21"/>
    <n v="48.384"/>
    <n v="13.44"/>
  </r>
  <r>
    <x v="0"/>
    <x v="10"/>
    <x v="0"/>
    <x v="0"/>
    <s v="DK1_NoDH"/>
    <x v="22"/>
    <n v="79.847999999999999"/>
    <n v="22.18"/>
  </r>
  <r>
    <x v="0"/>
    <x v="10"/>
    <x v="0"/>
    <x v="0"/>
    <s v="DK1_NoDH_PHH"/>
    <x v="2"/>
    <n v="48.384"/>
    <n v="13.44"/>
  </r>
  <r>
    <x v="0"/>
    <x v="10"/>
    <x v="0"/>
    <x v="0"/>
    <s v="DK1_NoDH_PHH"/>
    <x v="0"/>
    <n v="42.692399999999999"/>
    <n v="11.859"/>
  </r>
  <r>
    <x v="0"/>
    <x v="10"/>
    <x v="0"/>
    <x v="0"/>
    <s v="DK1_NoDH_PHH"/>
    <x v="21"/>
    <n v="48.384"/>
    <n v="13.44"/>
  </r>
  <r>
    <x v="0"/>
    <x v="10"/>
    <x v="0"/>
    <x v="0"/>
    <s v="DK1_NoDH_PHH"/>
    <x v="22"/>
    <n v="79.847999999999999"/>
    <n v="22.18"/>
  </r>
  <r>
    <x v="0"/>
    <x v="10"/>
    <x v="0"/>
    <x v="0"/>
    <s v="DK1_NoDH_PHL"/>
    <x v="2"/>
    <n v="48.384"/>
    <n v="13.44"/>
  </r>
  <r>
    <x v="0"/>
    <x v="10"/>
    <x v="0"/>
    <x v="0"/>
    <s v="DK1_NoDH_PHL"/>
    <x v="0"/>
    <n v="42.692399999999999"/>
    <n v="11.859"/>
  </r>
  <r>
    <x v="0"/>
    <x v="10"/>
    <x v="0"/>
    <x v="0"/>
    <s v="DK1_NoDH_PHL"/>
    <x v="21"/>
    <n v="48.384"/>
    <n v="13.44"/>
  </r>
  <r>
    <x v="0"/>
    <x v="10"/>
    <x v="0"/>
    <x v="0"/>
    <s v="DK1_NoDH_PHL"/>
    <x v="22"/>
    <n v="79.847999999999999"/>
    <n v="22.18"/>
  </r>
  <r>
    <x v="0"/>
    <x v="10"/>
    <x v="0"/>
    <x v="0"/>
    <s v="DK1_Offshore"/>
    <x v="2"/>
    <n v="48.384"/>
    <n v="13.44"/>
  </r>
  <r>
    <x v="0"/>
    <x v="10"/>
    <x v="0"/>
    <x v="0"/>
    <s v="DK1_Offshore"/>
    <x v="0"/>
    <n v="42.692399999999999"/>
    <n v="11.859"/>
  </r>
  <r>
    <x v="0"/>
    <x v="10"/>
    <x v="0"/>
    <x v="0"/>
    <s v="DK1_Offshore"/>
    <x v="21"/>
    <n v="48.384"/>
    <n v="13.44"/>
  </r>
  <r>
    <x v="0"/>
    <x v="10"/>
    <x v="0"/>
    <x v="0"/>
    <s v="DK1_Offshore"/>
    <x v="22"/>
    <n v="79.847999999999999"/>
    <n v="22.18"/>
  </r>
  <r>
    <x v="0"/>
    <x v="10"/>
    <x v="0"/>
    <x v="0"/>
    <s v="DK1_Rural"/>
    <x v="2"/>
    <n v="48.384"/>
    <n v="13.44"/>
  </r>
  <r>
    <x v="0"/>
    <x v="10"/>
    <x v="0"/>
    <x v="0"/>
    <s v="DK1_Rural"/>
    <x v="0"/>
    <n v="42.692399999999999"/>
    <n v="11.859"/>
  </r>
  <r>
    <x v="0"/>
    <x v="10"/>
    <x v="0"/>
    <x v="0"/>
    <s v="DK1_Rural"/>
    <x v="21"/>
    <n v="48.384"/>
    <n v="13.44"/>
  </r>
  <r>
    <x v="0"/>
    <x v="10"/>
    <x v="0"/>
    <x v="0"/>
    <s v="DK1_Rural"/>
    <x v="22"/>
    <n v="79.847999999999999"/>
    <n v="22.18"/>
  </r>
  <r>
    <x v="0"/>
    <x v="10"/>
    <x v="0"/>
    <x v="0"/>
    <s v="DK1_Small"/>
    <x v="2"/>
    <n v="48.384"/>
    <n v="13.44"/>
  </r>
  <r>
    <x v="0"/>
    <x v="10"/>
    <x v="0"/>
    <x v="0"/>
    <s v="DK1_Small"/>
    <x v="0"/>
    <n v="42.692399999999999"/>
    <n v="11.859"/>
  </r>
  <r>
    <x v="0"/>
    <x v="10"/>
    <x v="0"/>
    <x v="0"/>
    <s v="DK1_Small"/>
    <x v="21"/>
    <n v="48.384"/>
    <n v="13.44"/>
  </r>
  <r>
    <x v="0"/>
    <x v="10"/>
    <x v="0"/>
    <x v="0"/>
    <s v="DK1_Small"/>
    <x v="22"/>
    <n v="79.847999999999999"/>
    <n v="22.18"/>
  </r>
  <r>
    <x v="0"/>
    <x v="10"/>
    <x v="0"/>
    <x v="1"/>
    <s v="DK2_Large"/>
    <x v="2"/>
    <n v="48.384"/>
    <n v="13.44"/>
  </r>
  <r>
    <x v="0"/>
    <x v="10"/>
    <x v="0"/>
    <x v="1"/>
    <s v="DK2_Large"/>
    <x v="0"/>
    <n v="42.692399999999999"/>
    <n v="11.859"/>
  </r>
  <r>
    <x v="0"/>
    <x v="10"/>
    <x v="0"/>
    <x v="1"/>
    <s v="DK2_Large"/>
    <x v="21"/>
    <n v="48.384"/>
    <n v="13.44"/>
  </r>
  <r>
    <x v="0"/>
    <x v="10"/>
    <x v="0"/>
    <x v="1"/>
    <s v="DK2_Large"/>
    <x v="22"/>
    <n v="79.847999999999999"/>
    <n v="22.18"/>
  </r>
  <r>
    <x v="0"/>
    <x v="10"/>
    <x v="0"/>
    <x v="1"/>
    <s v="DK2_Large_PHH"/>
    <x v="2"/>
    <n v="48.384"/>
    <n v="13.44"/>
  </r>
  <r>
    <x v="0"/>
    <x v="10"/>
    <x v="0"/>
    <x v="1"/>
    <s v="DK2_Large_PHH"/>
    <x v="0"/>
    <n v="42.692399999999999"/>
    <n v="11.859"/>
  </r>
  <r>
    <x v="0"/>
    <x v="10"/>
    <x v="0"/>
    <x v="1"/>
    <s v="DK2_Large_PHH"/>
    <x v="21"/>
    <n v="48.384"/>
    <n v="13.44"/>
  </r>
  <r>
    <x v="0"/>
    <x v="10"/>
    <x v="0"/>
    <x v="1"/>
    <s v="DK2_Large_PHH"/>
    <x v="22"/>
    <n v="79.847999999999999"/>
    <n v="22.18"/>
  </r>
  <r>
    <x v="0"/>
    <x v="10"/>
    <x v="0"/>
    <x v="1"/>
    <s v="DK2_Large_PHL"/>
    <x v="2"/>
    <n v="48.384"/>
    <n v="13.44"/>
  </r>
  <r>
    <x v="0"/>
    <x v="10"/>
    <x v="0"/>
    <x v="1"/>
    <s v="DK2_Large_PHL"/>
    <x v="0"/>
    <n v="42.692399999999999"/>
    <n v="11.859"/>
  </r>
  <r>
    <x v="0"/>
    <x v="10"/>
    <x v="0"/>
    <x v="1"/>
    <s v="DK2_Large_PHL"/>
    <x v="21"/>
    <n v="48.384"/>
    <n v="13.44"/>
  </r>
  <r>
    <x v="0"/>
    <x v="10"/>
    <x v="0"/>
    <x v="1"/>
    <s v="DK2_Large_PHL"/>
    <x v="22"/>
    <n v="79.847999999999999"/>
    <n v="22.18"/>
  </r>
  <r>
    <x v="0"/>
    <x v="10"/>
    <x v="0"/>
    <x v="1"/>
    <s v="DK2_MedSmall"/>
    <x v="2"/>
    <n v="48.384"/>
    <n v="13.44"/>
  </r>
  <r>
    <x v="0"/>
    <x v="10"/>
    <x v="0"/>
    <x v="1"/>
    <s v="DK2_MedSmall"/>
    <x v="0"/>
    <n v="42.692399999999999"/>
    <n v="11.859"/>
  </r>
  <r>
    <x v="0"/>
    <x v="10"/>
    <x v="0"/>
    <x v="1"/>
    <s v="DK2_MedSmall"/>
    <x v="21"/>
    <n v="48.384"/>
    <n v="13.44"/>
  </r>
  <r>
    <x v="0"/>
    <x v="10"/>
    <x v="0"/>
    <x v="1"/>
    <s v="DK2_MedSmall"/>
    <x v="22"/>
    <n v="79.847999999999999"/>
    <n v="22.18"/>
  </r>
  <r>
    <x v="0"/>
    <x v="10"/>
    <x v="0"/>
    <x v="1"/>
    <s v="DK2_Medium"/>
    <x v="2"/>
    <n v="48.384"/>
    <n v="13.44"/>
  </r>
  <r>
    <x v="0"/>
    <x v="10"/>
    <x v="0"/>
    <x v="1"/>
    <s v="DK2_Medium"/>
    <x v="0"/>
    <n v="42.692399999999999"/>
    <n v="11.859"/>
  </r>
  <r>
    <x v="0"/>
    <x v="10"/>
    <x v="0"/>
    <x v="1"/>
    <s v="DK2_Medium"/>
    <x v="21"/>
    <n v="48.384"/>
    <n v="13.44"/>
  </r>
  <r>
    <x v="0"/>
    <x v="10"/>
    <x v="0"/>
    <x v="1"/>
    <s v="DK2_Medium"/>
    <x v="22"/>
    <n v="79.847999999999999"/>
    <n v="22.18"/>
  </r>
  <r>
    <x v="0"/>
    <x v="10"/>
    <x v="0"/>
    <x v="1"/>
    <s v="DK2_NoDH"/>
    <x v="2"/>
    <n v="48.384"/>
    <n v="13.44"/>
  </r>
  <r>
    <x v="0"/>
    <x v="10"/>
    <x v="0"/>
    <x v="1"/>
    <s v="DK2_NoDH"/>
    <x v="0"/>
    <n v="42.692399999999999"/>
    <n v="11.859"/>
  </r>
  <r>
    <x v="0"/>
    <x v="10"/>
    <x v="0"/>
    <x v="1"/>
    <s v="DK2_NoDH"/>
    <x v="21"/>
    <n v="48.384"/>
    <n v="13.44"/>
  </r>
  <r>
    <x v="0"/>
    <x v="10"/>
    <x v="0"/>
    <x v="1"/>
    <s v="DK2_NoDH"/>
    <x v="22"/>
    <n v="79.847999999999999"/>
    <n v="22.18"/>
  </r>
  <r>
    <x v="0"/>
    <x v="10"/>
    <x v="0"/>
    <x v="1"/>
    <s v="DK2_NoDH_PHH"/>
    <x v="2"/>
    <n v="48.384"/>
    <n v="13.44"/>
  </r>
  <r>
    <x v="0"/>
    <x v="10"/>
    <x v="0"/>
    <x v="1"/>
    <s v="DK2_NoDH_PHH"/>
    <x v="0"/>
    <n v="42.692399999999999"/>
    <n v="11.859"/>
  </r>
  <r>
    <x v="0"/>
    <x v="10"/>
    <x v="0"/>
    <x v="1"/>
    <s v="DK2_NoDH_PHH"/>
    <x v="21"/>
    <n v="48.384"/>
    <n v="13.44"/>
  </r>
  <r>
    <x v="0"/>
    <x v="10"/>
    <x v="0"/>
    <x v="1"/>
    <s v="DK2_NoDH_PHH"/>
    <x v="22"/>
    <n v="79.847999999999999"/>
    <n v="22.18"/>
  </r>
  <r>
    <x v="0"/>
    <x v="10"/>
    <x v="0"/>
    <x v="1"/>
    <s v="DK2_NoDH_PHL"/>
    <x v="2"/>
    <n v="48.384"/>
    <n v="13.44"/>
  </r>
  <r>
    <x v="0"/>
    <x v="10"/>
    <x v="0"/>
    <x v="1"/>
    <s v="DK2_NoDH_PHL"/>
    <x v="0"/>
    <n v="42.692399999999999"/>
    <n v="11.859"/>
  </r>
  <r>
    <x v="0"/>
    <x v="10"/>
    <x v="0"/>
    <x v="1"/>
    <s v="DK2_NoDH_PHL"/>
    <x v="21"/>
    <n v="48.384"/>
    <n v="13.44"/>
  </r>
  <r>
    <x v="0"/>
    <x v="10"/>
    <x v="0"/>
    <x v="1"/>
    <s v="DK2_NoDH_PHL"/>
    <x v="22"/>
    <n v="79.847999999999999"/>
    <n v="22.18"/>
  </r>
  <r>
    <x v="0"/>
    <x v="10"/>
    <x v="0"/>
    <x v="1"/>
    <s v="DK2_Offshore"/>
    <x v="2"/>
    <n v="48.384"/>
    <n v="13.44"/>
  </r>
  <r>
    <x v="0"/>
    <x v="10"/>
    <x v="0"/>
    <x v="1"/>
    <s v="DK2_Offshore"/>
    <x v="0"/>
    <n v="42.692399999999999"/>
    <n v="11.859"/>
  </r>
  <r>
    <x v="0"/>
    <x v="10"/>
    <x v="0"/>
    <x v="1"/>
    <s v="DK2_Offshore"/>
    <x v="21"/>
    <n v="48.384"/>
    <n v="13.44"/>
  </r>
  <r>
    <x v="0"/>
    <x v="10"/>
    <x v="0"/>
    <x v="1"/>
    <s v="DK2_Offshore"/>
    <x v="22"/>
    <n v="79.847999999999999"/>
    <n v="22.18"/>
  </r>
  <r>
    <x v="0"/>
    <x v="10"/>
    <x v="0"/>
    <x v="1"/>
    <s v="DK2_Rural"/>
    <x v="2"/>
    <n v="48.384"/>
    <n v="13.44"/>
  </r>
  <r>
    <x v="0"/>
    <x v="10"/>
    <x v="0"/>
    <x v="1"/>
    <s v="DK2_Rural"/>
    <x v="0"/>
    <n v="42.692399999999999"/>
    <n v="11.859"/>
  </r>
  <r>
    <x v="0"/>
    <x v="10"/>
    <x v="0"/>
    <x v="1"/>
    <s v="DK2_Rural"/>
    <x v="21"/>
    <n v="48.384"/>
    <n v="13.44"/>
  </r>
  <r>
    <x v="0"/>
    <x v="10"/>
    <x v="0"/>
    <x v="1"/>
    <s v="DK2_Rural"/>
    <x v="22"/>
    <n v="79.847999999999999"/>
    <n v="22.18"/>
  </r>
  <r>
    <x v="0"/>
    <x v="10"/>
    <x v="0"/>
    <x v="1"/>
    <s v="DK2_Small"/>
    <x v="2"/>
    <n v="48.384"/>
    <n v="13.44"/>
  </r>
  <r>
    <x v="0"/>
    <x v="10"/>
    <x v="0"/>
    <x v="1"/>
    <s v="DK2_Small"/>
    <x v="0"/>
    <n v="42.692399999999999"/>
    <n v="11.859"/>
  </r>
  <r>
    <x v="0"/>
    <x v="10"/>
    <x v="0"/>
    <x v="1"/>
    <s v="DK2_Small"/>
    <x v="21"/>
    <n v="48.384"/>
    <n v="13.44"/>
  </r>
  <r>
    <x v="0"/>
    <x v="10"/>
    <x v="0"/>
    <x v="1"/>
    <s v="DK2_Small"/>
    <x v="22"/>
    <n v="79.847999999999999"/>
    <n v="22.18"/>
  </r>
  <r>
    <x v="0"/>
    <x v="10"/>
    <x v="1"/>
    <x v="2"/>
    <s v="EE_A"/>
    <x v="2"/>
    <n v="48.384"/>
    <n v="13.44"/>
  </r>
  <r>
    <x v="0"/>
    <x v="10"/>
    <x v="1"/>
    <x v="2"/>
    <s v="EE_A"/>
    <x v="0"/>
    <n v="42.692399999999999"/>
    <n v="11.859"/>
  </r>
  <r>
    <x v="0"/>
    <x v="10"/>
    <x v="1"/>
    <x v="2"/>
    <s v="EE_A"/>
    <x v="21"/>
    <n v="48.384"/>
    <n v="13.44"/>
  </r>
  <r>
    <x v="0"/>
    <x v="10"/>
    <x v="1"/>
    <x v="2"/>
    <s v="EE_A"/>
    <x v="22"/>
    <n v="79.847999999999999"/>
    <n v="22.18"/>
  </r>
  <r>
    <x v="0"/>
    <x v="10"/>
    <x v="1"/>
    <x v="2"/>
    <s v="EE_Enefit"/>
    <x v="2"/>
    <n v="48.384"/>
    <n v="13.44"/>
  </r>
  <r>
    <x v="0"/>
    <x v="10"/>
    <x v="1"/>
    <x v="2"/>
    <s v="EE_Enefit"/>
    <x v="0"/>
    <n v="42.692399999999999"/>
    <n v="11.859"/>
  </r>
  <r>
    <x v="0"/>
    <x v="10"/>
    <x v="1"/>
    <x v="2"/>
    <s v="EE_Enefit"/>
    <x v="21"/>
    <n v="48.384"/>
    <n v="13.44"/>
  </r>
  <r>
    <x v="0"/>
    <x v="10"/>
    <x v="1"/>
    <x v="2"/>
    <s v="EE_Enefit"/>
    <x v="22"/>
    <n v="79.847999999999999"/>
    <n v="22.18"/>
  </r>
  <r>
    <x v="0"/>
    <x v="10"/>
    <x v="1"/>
    <x v="2"/>
    <s v="EE_Industry"/>
    <x v="2"/>
    <n v="48.384"/>
    <n v="13.44"/>
  </r>
  <r>
    <x v="0"/>
    <x v="10"/>
    <x v="1"/>
    <x v="2"/>
    <s v="EE_Industry"/>
    <x v="0"/>
    <n v="42.692399999999999"/>
    <n v="11.859"/>
  </r>
  <r>
    <x v="0"/>
    <x v="10"/>
    <x v="1"/>
    <x v="2"/>
    <s v="EE_Industry"/>
    <x v="21"/>
    <n v="48.384"/>
    <n v="13.44"/>
  </r>
  <r>
    <x v="0"/>
    <x v="10"/>
    <x v="1"/>
    <x v="2"/>
    <s v="EE_Industry"/>
    <x v="22"/>
    <n v="79.847999999999999"/>
    <n v="22.18"/>
  </r>
  <r>
    <x v="0"/>
    <x v="10"/>
    <x v="1"/>
    <x v="2"/>
    <s v="EE_Kohtla_Jarve"/>
    <x v="2"/>
    <n v="48.384"/>
    <n v="13.44"/>
  </r>
  <r>
    <x v="0"/>
    <x v="10"/>
    <x v="1"/>
    <x v="2"/>
    <s v="EE_Kohtla_Jarve"/>
    <x v="0"/>
    <n v="42.692399999999999"/>
    <n v="11.859"/>
  </r>
  <r>
    <x v="0"/>
    <x v="10"/>
    <x v="1"/>
    <x v="2"/>
    <s v="EE_Kohtla_Jarve"/>
    <x v="21"/>
    <n v="48.384"/>
    <n v="13.44"/>
  </r>
  <r>
    <x v="0"/>
    <x v="10"/>
    <x v="1"/>
    <x v="2"/>
    <s v="EE_Kohtla_Jarve"/>
    <x v="22"/>
    <n v="79.847999999999999"/>
    <n v="22.18"/>
  </r>
  <r>
    <x v="0"/>
    <x v="10"/>
    <x v="1"/>
    <x v="2"/>
    <s v="EE_Narva"/>
    <x v="2"/>
    <n v="48.384"/>
    <n v="13.44"/>
  </r>
  <r>
    <x v="0"/>
    <x v="10"/>
    <x v="1"/>
    <x v="2"/>
    <s v="EE_Narva"/>
    <x v="0"/>
    <n v="42.692399999999999"/>
    <n v="11.859"/>
  </r>
  <r>
    <x v="0"/>
    <x v="10"/>
    <x v="1"/>
    <x v="2"/>
    <s v="EE_Narva"/>
    <x v="21"/>
    <n v="48.384"/>
    <n v="13.44"/>
  </r>
  <r>
    <x v="0"/>
    <x v="10"/>
    <x v="1"/>
    <x v="2"/>
    <s v="EE_Narva"/>
    <x v="22"/>
    <n v="79.847999999999999"/>
    <n v="22.18"/>
  </r>
  <r>
    <x v="0"/>
    <x v="10"/>
    <x v="1"/>
    <x v="2"/>
    <s v="EE_OFFSHORE"/>
    <x v="2"/>
    <n v="48.384"/>
    <n v="13.44"/>
  </r>
  <r>
    <x v="0"/>
    <x v="10"/>
    <x v="1"/>
    <x v="2"/>
    <s v="EE_OFFSHORE"/>
    <x v="0"/>
    <n v="42.692399999999999"/>
    <n v="11.859"/>
  </r>
  <r>
    <x v="0"/>
    <x v="10"/>
    <x v="1"/>
    <x v="2"/>
    <s v="EE_OFFSHORE"/>
    <x v="21"/>
    <n v="48.384"/>
    <n v="13.44"/>
  </r>
  <r>
    <x v="0"/>
    <x v="10"/>
    <x v="1"/>
    <x v="2"/>
    <s v="EE_OFFSHORE"/>
    <x v="22"/>
    <n v="79.847999999999999"/>
    <n v="22.18"/>
  </r>
  <r>
    <x v="0"/>
    <x v="10"/>
    <x v="1"/>
    <x v="2"/>
    <s v="EE_Parnu"/>
    <x v="2"/>
    <n v="48.384"/>
    <n v="13.44"/>
  </r>
  <r>
    <x v="0"/>
    <x v="10"/>
    <x v="1"/>
    <x v="2"/>
    <s v="EE_Parnu"/>
    <x v="0"/>
    <n v="42.692399999999999"/>
    <n v="11.859"/>
  </r>
  <r>
    <x v="0"/>
    <x v="10"/>
    <x v="1"/>
    <x v="2"/>
    <s v="EE_Parnu"/>
    <x v="21"/>
    <n v="48.384"/>
    <n v="13.44"/>
  </r>
  <r>
    <x v="0"/>
    <x v="10"/>
    <x v="1"/>
    <x v="2"/>
    <s v="EE_Parnu"/>
    <x v="22"/>
    <n v="79.847999999999999"/>
    <n v="22.18"/>
  </r>
  <r>
    <x v="0"/>
    <x v="10"/>
    <x v="1"/>
    <x v="2"/>
    <s v="EE_Rural"/>
    <x v="2"/>
    <n v="48.384"/>
    <n v="13.44"/>
  </r>
  <r>
    <x v="0"/>
    <x v="10"/>
    <x v="1"/>
    <x v="2"/>
    <s v="EE_Rural"/>
    <x v="0"/>
    <n v="42.692399999999999"/>
    <n v="11.859"/>
  </r>
  <r>
    <x v="0"/>
    <x v="10"/>
    <x v="1"/>
    <x v="2"/>
    <s v="EE_Rural"/>
    <x v="21"/>
    <n v="48.384"/>
    <n v="13.44"/>
  </r>
  <r>
    <x v="0"/>
    <x v="10"/>
    <x v="1"/>
    <x v="2"/>
    <s v="EE_Rural"/>
    <x v="22"/>
    <n v="79.847999999999999"/>
    <n v="22.18"/>
  </r>
  <r>
    <x v="0"/>
    <x v="10"/>
    <x v="1"/>
    <x v="2"/>
    <s v="EE_Sillamae"/>
    <x v="2"/>
    <n v="48.384"/>
    <n v="13.44"/>
  </r>
  <r>
    <x v="0"/>
    <x v="10"/>
    <x v="1"/>
    <x v="2"/>
    <s v="EE_Sillamae"/>
    <x v="0"/>
    <n v="42.692399999999999"/>
    <n v="11.859"/>
  </r>
  <r>
    <x v="0"/>
    <x v="10"/>
    <x v="1"/>
    <x v="2"/>
    <s v="EE_Sillamae"/>
    <x v="21"/>
    <n v="48.384"/>
    <n v="13.44"/>
  </r>
  <r>
    <x v="0"/>
    <x v="10"/>
    <x v="1"/>
    <x v="2"/>
    <s v="EE_Sillamae"/>
    <x v="22"/>
    <n v="79.847999999999999"/>
    <n v="22.18"/>
  </r>
  <r>
    <x v="0"/>
    <x v="10"/>
    <x v="1"/>
    <x v="2"/>
    <s v="EE_Tallinn"/>
    <x v="2"/>
    <n v="48.384"/>
    <n v="13.44"/>
  </r>
  <r>
    <x v="0"/>
    <x v="10"/>
    <x v="1"/>
    <x v="2"/>
    <s v="EE_Tallinn"/>
    <x v="0"/>
    <n v="42.692399999999999"/>
    <n v="11.859"/>
  </r>
  <r>
    <x v="0"/>
    <x v="10"/>
    <x v="1"/>
    <x v="2"/>
    <s v="EE_Tallinn"/>
    <x v="21"/>
    <n v="48.384"/>
    <n v="13.44"/>
  </r>
  <r>
    <x v="0"/>
    <x v="10"/>
    <x v="1"/>
    <x v="2"/>
    <s v="EE_Tallinn"/>
    <x v="22"/>
    <n v="79.847999999999999"/>
    <n v="22.18"/>
  </r>
  <r>
    <x v="0"/>
    <x v="10"/>
    <x v="1"/>
    <x v="2"/>
    <s v="EE_Tartu"/>
    <x v="2"/>
    <n v="48.384"/>
    <n v="13.44"/>
  </r>
  <r>
    <x v="0"/>
    <x v="10"/>
    <x v="1"/>
    <x v="2"/>
    <s v="EE_Tartu"/>
    <x v="0"/>
    <n v="42.692399999999999"/>
    <n v="11.859"/>
  </r>
  <r>
    <x v="0"/>
    <x v="10"/>
    <x v="1"/>
    <x v="2"/>
    <s v="EE_Tartu"/>
    <x v="21"/>
    <n v="48.384"/>
    <n v="13.44"/>
  </r>
  <r>
    <x v="0"/>
    <x v="10"/>
    <x v="1"/>
    <x v="2"/>
    <s v="EE_Tartu"/>
    <x v="22"/>
    <n v="79.847999999999999"/>
    <n v="22.18"/>
  </r>
  <r>
    <x v="0"/>
    <x v="10"/>
    <x v="1"/>
    <x v="2"/>
    <s v="EE_Urban"/>
    <x v="2"/>
    <n v="48.384"/>
    <n v="13.44"/>
  </r>
  <r>
    <x v="0"/>
    <x v="10"/>
    <x v="1"/>
    <x v="2"/>
    <s v="EE_Urban"/>
    <x v="0"/>
    <n v="42.692399999999999"/>
    <n v="11.859"/>
  </r>
  <r>
    <x v="0"/>
    <x v="10"/>
    <x v="1"/>
    <x v="2"/>
    <s v="EE_Urban"/>
    <x v="21"/>
    <n v="48.384"/>
    <n v="13.44"/>
  </r>
  <r>
    <x v="0"/>
    <x v="10"/>
    <x v="1"/>
    <x v="2"/>
    <s v="EE_Urban"/>
    <x v="22"/>
    <n v="79.847999999999999"/>
    <n v="22.18"/>
  </r>
  <r>
    <x v="0"/>
    <x v="10"/>
    <x v="2"/>
    <x v="3"/>
    <s v="FI_IND"/>
    <x v="2"/>
    <n v="48.384"/>
    <n v="13.44"/>
  </r>
  <r>
    <x v="0"/>
    <x v="10"/>
    <x v="2"/>
    <x v="3"/>
    <s v="FI_IND"/>
    <x v="0"/>
    <n v="42.692399999999999"/>
    <n v="11.859"/>
  </r>
  <r>
    <x v="0"/>
    <x v="10"/>
    <x v="2"/>
    <x v="3"/>
    <s v="FI_IND"/>
    <x v="21"/>
    <n v="48.384"/>
    <n v="13.44"/>
  </r>
  <r>
    <x v="0"/>
    <x v="10"/>
    <x v="2"/>
    <x v="3"/>
    <s v="FI_IND"/>
    <x v="22"/>
    <n v="79.847999999999999"/>
    <n v="22.18"/>
  </r>
  <r>
    <x v="0"/>
    <x v="10"/>
    <x v="2"/>
    <x v="3"/>
    <s v="FI_Offshore"/>
    <x v="2"/>
    <n v="48.384"/>
    <n v="13.44"/>
  </r>
  <r>
    <x v="0"/>
    <x v="10"/>
    <x v="2"/>
    <x v="3"/>
    <s v="FI_Offshore"/>
    <x v="0"/>
    <n v="42.692399999999999"/>
    <n v="11.859"/>
  </r>
  <r>
    <x v="0"/>
    <x v="10"/>
    <x v="2"/>
    <x v="3"/>
    <s v="FI_Offshore"/>
    <x v="21"/>
    <n v="48.384"/>
    <n v="13.44"/>
  </r>
  <r>
    <x v="0"/>
    <x v="10"/>
    <x v="2"/>
    <x v="3"/>
    <s v="FI_Offshore"/>
    <x v="22"/>
    <n v="79.847999999999999"/>
    <n v="22.18"/>
  </r>
  <r>
    <x v="0"/>
    <x v="10"/>
    <x v="2"/>
    <x v="3"/>
    <s v="FI_large"/>
    <x v="2"/>
    <n v="48.384"/>
    <n v="13.44"/>
  </r>
  <r>
    <x v="0"/>
    <x v="10"/>
    <x v="2"/>
    <x v="3"/>
    <s v="FI_large"/>
    <x v="0"/>
    <n v="42.692399999999999"/>
    <n v="11.859"/>
  </r>
  <r>
    <x v="0"/>
    <x v="10"/>
    <x v="2"/>
    <x v="3"/>
    <s v="FI_large"/>
    <x v="21"/>
    <n v="48.384"/>
    <n v="13.44"/>
  </r>
  <r>
    <x v="0"/>
    <x v="10"/>
    <x v="2"/>
    <x v="3"/>
    <s v="FI_large"/>
    <x v="22"/>
    <n v="79.847999999999999"/>
    <n v="22.18"/>
  </r>
  <r>
    <x v="0"/>
    <x v="10"/>
    <x v="2"/>
    <x v="3"/>
    <s v="FI_large_gas"/>
    <x v="2"/>
    <n v="48.384"/>
    <n v="13.44"/>
  </r>
  <r>
    <x v="0"/>
    <x v="10"/>
    <x v="2"/>
    <x v="3"/>
    <s v="FI_large_gas"/>
    <x v="0"/>
    <n v="42.692399999999999"/>
    <n v="11.859"/>
  </r>
  <r>
    <x v="0"/>
    <x v="10"/>
    <x v="2"/>
    <x v="3"/>
    <s v="FI_large_gas"/>
    <x v="21"/>
    <n v="48.384"/>
    <n v="13.44"/>
  </r>
  <r>
    <x v="0"/>
    <x v="10"/>
    <x v="2"/>
    <x v="3"/>
    <s v="FI_large_gas"/>
    <x v="22"/>
    <n v="79.847999999999999"/>
    <n v="22.18"/>
  </r>
  <r>
    <x v="0"/>
    <x v="10"/>
    <x v="2"/>
    <x v="3"/>
    <s v="FI_medium"/>
    <x v="2"/>
    <n v="48.384"/>
    <n v="13.44"/>
  </r>
  <r>
    <x v="0"/>
    <x v="10"/>
    <x v="2"/>
    <x v="3"/>
    <s v="FI_medium"/>
    <x v="0"/>
    <n v="42.692399999999999"/>
    <n v="11.859"/>
  </r>
  <r>
    <x v="0"/>
    <x v="10"/>
    <x v="2"/>
    <x v="3"/>
    <s v="FI_medium"/>
    <x v="21"/>
    <n v="48.384"/>
    <n v="13.44"/>
  </r>
  <r>
    <x v="0"/>
    <x v="10"/>
    <x v="2"/>
    <x v="3"/>
    <s v="FI_medium"/>
    <x v="22"/>
    <n v="79.847999999999999"/>
    <n v="22.18"/>
  </r>
  <r>
    <x v="0"/>
    <x v="10"/>
    <x v="2"/>
    <x v="3"/>
    <s v="FI_medium_gas"/>
    <x v="2"/>
    <n v="48.384"/>
    <n v="13.44"/>
  </r>
  <r>
    <x v="0"/>
    <x v="10"/>
    <x v="2"/>
    <x v="3"/>
    <s v="FI_medium_gas"/>
    <x v="0"/>
    <n v="42.692399999999999"/>
    <n v="11.859"/>
  </r>
  <r>
    <x v="0"/>
    <x v="10"/>
    <x v="2"/>
    <x v="3"/>
    <s v="FI_medium_gas"/>
    <x v="21"/>
    <n v="48.384"/>
    <n v="13.44"/>
  </r>
  <r>
    <x v="0"/>
    <x v="10"/>
    <x v="2"/>
    <x v="3"/>
    <s v="FI_medium_gas"/>
    <x v="22"/>
    <n v="79.847999999999999"/>
    <n v="22.18"/>
  </r>
  <r>
    <x v="0"/>
    <x v="10"/>
    <x v="2"/>
    <x v="3"/>
    <s v="FI_small"/>
    <x v="2"/>
    <n v="48.384"/>
    <n v="13.44"/>
  </r>
  <r>
    <x v="0"/>
    <x v="10"/>
    <x v="2"/>
    <x v="3"/>
    <s v="FI_small"/>
    <x v="0"/>
    <n v="42.692399999999999"/>
    <n v="11.859"/>
  </r>
  <r>
    <x v="0"/>
    <x v="10"/>
    <x v="2"/>
    <x v="3"/>
    <s v="FI_small"/>
    <x v="21"/>
    <n v="48.384"/>
    <n v="13.44"/>
  </r>
  <r>
    <x v="0"/>
    <x v="10"/>
    <x v="2"/>
    <x v="3"/>
    <s v="FI_small"/>
    <x v="22"/>
    <n v="79.847999999999999"/>
    <n v="22.18"/>
  </r>
  <r>
    <x v="0"/>
    <x v="10"/>
    <x v="2"/>
    <x v="3"/>
    <s v="FI_small_gas"/>
    <x v="2"/>
    <n v="48.384"/>
    <n v="13.44"/>
  </r>
  <r>
    <x v="0"/>
    <x v="10"/>
    <x v="2"/>
    <x v="3"/>
    <s v="FI_small_gas"/>
    <x v="0"/>
    <n v="42.692399999999999"/>
    <n v="11.859"/>
  </r>
  <r>
    <x v="0"/>
    <x v="10"/>
    <x v="2"/>
    <x v="3"/>
    <s v="FI_small_gas"/>
    <x v="21"/>
    <n v="48.384"/>
    <n v="13.44"/>
  </r>
  <r>
    <x v="0"/>
    <x v="10"/>
    <x v="2"/>
    <x v="3"/>
    <s v="FI_small_gas"/>
    <x v="22"/>
    <n v="79.847999999999999"/>
    <n v="22.18"/>
  </r>
  <r>
    <x v="0"/>
    <x v="10"/>
    <x v="2"/>
    <x v="3"/>
    <s v="FinA"/>
    <x v="2"/>
    <n v="48.384"/>
    <n v="13.44"/>
  </r>
  <r>
    <x v="0"/>
    <x v="10"/>
    <x v="2"/>
    <x v="3"/>
    <s v="FinA"/>
    <x v="0"/>
    <n v="42.692399999999999"/>
    <n v="11.859"/>
  </r>
  <r>
    <x v="0"/>
    <x v="10"/>
    <x v="2"/>
    <x v="3"/>
    <s v="FinA"/>
    <x v="21"/>
    <n v="48.384"/>
    <n v="13.44"/>
  </r>
  <r>
    <x v="0"/>
    <x v="10"/>
    <x v="2"/>
    <x v="3"/>
    <s v="FinA"/>
    <x v="22"/>
    <n v="79.847999999999999"/>
    <n v="22.18"/>
  </r>
  <r>
    <x v="0"/>
    <x v="10"/>
    <x v="3"/>
    <x v="4"/>
    <s v="DE4-E_A"/>
    <x v="2"/>
    <n v="48.384"/>
    <n v="13.44"/>
  </r>
  <r>
    <x v="0"/>
    <x v="10"/>
    <x v="3"/>
    <x v="4"/>
    <s v="DE4-E_A"/>
    <x v="0"/>
    <n v="42.692399999999999"/>
    <n v="11.859"/>
  </r>
  <r>
    <x v="0"/>
    <x v="10"/>
    <x v="3"/>
    <x v="4"/>
    <s v="DE4-E_A"/>
    <x v="21"/>
    <n v="48.384"/>
    <n v="13.44"/>
  </r>
  <r>
    <x v="0"/>
    <x v="10"/>
    <x v="3"/>
    <x v="4"/>
    <s v="DE4-E_A"/>
    <x v="22"/>
    <n v="79.847999999999999"/>
    <n v="22.18"/>
  </r>
  <r>
    <x v="0"/>
    <x v="10"/>
    <x v="3"/>
    <x v="4"/>
    <s v="DE4-E_Offshore_A"/>
    <x v="2"/>
    <n v="48.384"/>
    <n v="13.44"/>
  </r>
  <r>
    <x v="0"/>
    <x v="10"/>
    <x v="3"/>
    <x v="4"/>
    <s v="DE4-E_Offshore_A"/>
    <x v="0"/>
    <n v="42.692399999999999"/>
    <n v="11.859"/>
  </r>
  <r>
    <x v="0"/>
    <x v="10"/>
    <x v="3"/>
    <x v="4"/>
    <s v="DE4-E_Offshore_A"/>
    <x v="21"/>
    <n v="48.384"/>
    <n v="13.44"/>
  </r>
  <r>
    <x v="0"/>
    <x v="10"/>
    <x v="3"/>
    <x v="4"/>
    <s v="DE4-E_Offshore_A"/>
    <x v="22"/>
    <n v="79.847999999999999"/>
    <n v="22.18"/>
  </r>
  <r>
    <x v="0"/>
    <x v="10"/>
    <x v="3"/>
    <x v="5"/>
    <s v="DE4-N_A"/>
    <x v="2"/>
    <n v="48.384"/>
    <n v="13.44"/>
  </r>
  <r>
    <x v="0"/>
    <x v="10"/>
    <x v="3"/>
    <x v="5"/>
    <s v="DE4-N_A"/>
    <x v="0"/>
    <n v="42.692399999999999"/>
    <n v="11.859"/>
  </r>
  <r>
    <x v="0"/>
    <x v="10"/>
    <x v="3"/>
    <x v="5"/>
    <s v="DE4-N_A"/>
    <x v="21"/>
    <n v="48.384"/>
    <n v="13.44"/>
  </r>
  <r>
    <x v="0"/>
    <x v="10"/>
    <x v="3"/>
    <x v="5"/>
    <s v="DE4-N_A"/>
    <x v="22"/>
    <n v="79.847999999999999"/>
    <n v="22.18"/>
  </r>
  <r>
    <x v="0"/>
    <x v="10"/>
    <x v="3"/>
    <x v="5"/>
    <s v="DE4-N_Offshore_A"/>
    <x v="2"/>
    <n v="48.384"/>
    <n v="13.44"/>
  </r>
  <r>
    <x v="0"/>
    <x v="10"/>
    <x v="3"/>
    <x v="5"/>
    <s v="DE4-N_Offshore_A"/>
    <x v="0"/>
    <n v="42.692399999999999"/>
    <n v="11.859"/>
  </r>
  <r>
    <x v="0"/>
    <x v="10"/>
    <x v="3"/>
    <x v="5"/>
    <s v="DE4-N_Offshore_A"/>
    <x v="21"/>
    <n v="48.384"/>
    <n v="13.44"/>
  </r>
  <r>
    <x v="0"/>
    <x v="10"/>
    <x v="3"/>
    <x v="5"/>
    <s v="DE4-N_Offshore_A"/>
    <x v="22"/>
    <n v="79.847999999999999"/>
    <n v="22.18"/>
  </r>
  <r>
    <x v="0"/>
    <x v="10"/>
    <x v="3"/>
    <x v="6"/>
    <s v="DE4-S_A"/>
    <x v="2"/>
    <n v="48.384"/>
    <n v="13.44"/>
  </r>
  <r>
    <x v="0"/>
    <x v="10"/>
    <x v="3"/>
    <x v="6"/>
    <s v="DE4-S_A"/>
    <x v="0"/>
    <n v="42.692399999999999"/>
    <n v="11.859"/>
  </r>
  <r>
    <x v="0"/>
    <x v="10"/>
    <x v="3"/>
    <x v="6"/>
    <s v="DE4-S_A"/>
    <x v="21"/>
    <n v="48.384"/>
    <n v="13.44"/>
  </r>
  <r>
    <x v="0"/>
    <x v="10"/>
    <x v="3"/>
    <x v="6"/>
    <s v="DE4-S_A"/>
    <x v="22"/>
    <n v="79.847999999999999"/>
    <n v="22.18"/>
  </r>
  <r>
    <x v="0"/>
    <x v="10"/>
    <x v="3"/>
    <x v="7"/>
    <s v="DE4-W_A"/>
    <x v="2"/>
    <n v="48.384"/>
    <n v="13.44"/>
  </r>
  <r>
    <x v="0"/>
    <x v="10"/>
    <x v="3"/>
    <x v="7"/>
    <s v="DE4-W_A"/>
    <x v="0"/>
    <n v="42.692399999999999"/>
    <n v="11.859"/>
  </r>
  <r>
    <x v="0"/>
    <x v="10"/>
    <x v="3"/>
    <x v="7"/>
    <s v="DE4-W_A"/>
    <x v="21"/>
    <n v="48.384"/>
    <n v="13.44"/>
  </r>
  <r>
    <x v="0"/>
    <x v="10"/>
    <x v="3"/>
    <x v="7"/>
    <s v="DE4-W_A"/>
    <x v="22"/>
    <n v="79.847999999999999"/>
    <n v="22.18"/>
  </r>
  <r>
    <x v="0"/>
    <x v="10"/>
    <x v="3"/>
    <x v="7"/>
    <s v="DE4-W_Offshore_A"/>
    <x v="2"/>
    <n v="48.384"/>
    <n v="13.44"/>
  </r>
  <r>
    <x v="0"/>
    <x v="10"/>
    <x v="3"/>
    <x v="7"/>
    <s v="DE4-W_Offshore_A"/>
    <x v="0"/>
    <n v="42.692399999999999"/>
    <n v="11.859"/>
  </r>
  <r>
    <x v="0"/>
    <x v="10"/>
    <x v="3"/>
    <x v="7"/>
    <s v="DE4-W_Offshore_A"/>
    <x v="21"/>
    <n v="48.384"/>
    <n v="13.44"/>
  </r>
  <r>
    <x v="0"/>
    <x v="10"/>
    <x v="3"/>
    <x v="7"/>
    <s v="DE4-W_Offshore_A"/>
    <x v="22"/>
    <n v="79.847999999999999"/>
    <n v="22.18"/>
  </r>
  <r>
    <x v="0"/>
    <x v="10"/>
    <x v="4"/>
    <x v="8"/>
    <s v="LV_A"/>
    <x v="2"/>
    <n v="48.384"/>
    <n v="13.44"/>
  </r>
  <r>
    <x v="0"/>
    <x v="10"/>
    <x v="4"/>
    <x v="8"/>
    <s v="LV_A"/>
    <x v="0"/>
    <n v="42.692399999999999"/>
    <n v="11.859"/>
  </r>
  <r>
    <x v="0"/>
    <x v="10"/>
    <x v="4"/>
    <x v="8"/>
    <s v="LV_A"/>
    <x v="21"/>
    <n v="48.384"/>
    <n v="13.44"/>
  </r>
  <r>
    <x v="0"/>
    <x v="10"/>
    <x v="4"/>
    <x v="8"/>
    <s v="LV_A"/>
    <x v="22"/>
    <n v="79.847999999999999"/>
    <n v="22.18"/>
  </r>
  <r>
    <x v="0"/>
    <x v="10"/>
    <x v="4"/>
    <x v="8"/>
    <s v="LV_OFFSHORE"/>
    <x v="2"/>
    <n v="48.384"/>
    <n v="13.44"/>
  </r>
  <r>
    <x v="0"/>
    <x v="10"/>
    <x v="4"/>
    <x v="8"/>
    <s v="LV_OFFSHORE"/>
    <x v="0"/>
    <n v="42.692399999999999"/>
    <n v="11.859"/>
  </r>
  <r>
    <x v="0"/>
    <x v="10"/>
    <x v="4"/>
    <x v="8"/>
    <s v="LV_OFFSHORE"/>
    <x v="21"/>
    <n v="48.384"/>
    <n v="13.44"/>
  </r>
  <r>
    <x v="0"/>
    <x v="10"/>
    <x v="4"/>
    <x v="8"/>
    <s v="LV_OFFSHORE"/>
    <x v="22"/>
    <n v="79.847999999999999"/>
    <n v="22.18"/>
  </r>
  <r>
    <x v="0"/>
    <x v="10"/>
    <x v="4"/>
    <x v="8"/>
    <s v="LV_Other_DH"/>
    <x v="2"/>
    <n v="48.384"/>
    <n v="13.44"/>
  </r>
  <r>
    <x v="0"/>
    <x v="10"/>
    <x v="4"/>
    <x v="8"/>
    <s v="LV_Other_DH"/>
    <x v="0"/>
    <n v="42.692399999999999"/>
    <n v="11.859"/>
  </r>
  <r>
    <x v="0"/>
    <x v="10"/>
    <x v="4"/>
    <x v="8"/>
    <s v="LV_Other_DH"/>
    <x v="21"/>
    <n v="48.384"/>
    <n v="13.44"/>
  </r>
  <r>
    <x v="0"/>
    <x v="10"/>
    <x v="4"/>
    <x v="8"/>
    <s v="LV_Other_DH"/>
    <x v="22"/>
    <n v="79.847999999999999"/>
    <n v="22.18"/>
  </r>
  <r>
    <x v="0"/>
    <x v="10"/>
    <x v="4"/>
    <x v="8"/>
    <s v="LV_RigaR"/>
    <x v="2"/>
    <n v="48.384"/>
    <n v="13.44"/>
  </r>
  <r>
    <x v="0"/>
    <x v="10"/>
    <x v="4"/>
    <x v="8"/>
    <s v="LV_RigaR"/>
    <x v="0"/>
    <n v="42.692399999999999"/>
    <n v="11.859"/>
  </r>
  <r>
    <x v="0"/>
    <x v="10"/>
    <x v="4"/>
    <x v="8"/>
    <s v="LV_RigaR"/>
    <x v="21"/>
    <n v="48.384"/>
    <n v="13.44"/>
  </r>
  <r>
    <x v="0"/>
    <x v="10"/>
    <x v="4"/>
    <x v="8"/>
    <s v="LV_RigaR"/>
    <x v="22"/>
    <n v="79.847999999999999"/>
    <n v="22.18"/>
  </r>
  <r>
    <x v="0"/>
    <x v="10"/>
    <x v="4"/>
    <x v="8"/>
    <s v="LV_Rural"/>
    <x v="2"/>
    <n v="48.384"/>
    <n v="13.44"/>
  </r>
  <r>
    <x v="0"/>
    <x v="10"/>
    <x v="4"/>
    <x v="8"/>
    <s v="LV_Rural"/>
    <x v="0"/>
    <n v="42.692399999999999"/>
    <n v="11.859"/>
  </r>
  <r>
    <x v="0"/>
    <x v="10"/>
    <x v="4"/>
    <x v="8"/>
    <s v="LV_Rural"/>
    <x v="21"/>
    <n v="48.384"/>
    <n v="13.44"/>
  </r>
  <r>
    <x v="0"/>
    <x v="10"/>
    <x v="4"/>
    <x v="8"/>
    <s v="LV_Rural"/>
    <x v="22"/>
    <n v="79.847999999999999"/>
    <n v="22.18"/>
  </r>
  <r>
    <x v="0"/>
    <x v="10"/>
    <x v="5"/>
    <x v="9"/>
    <s v="LT_A"/>
    <x v="2"/>
    <n v="48.384"/>
    <n v="13.44"/>
  </r>
  <r>
    <x v="0"/>
    <x v="10"/>
    <x v="5"/>
    <x v="9"/>
    <s v="LT_A"/>
    <x v="0"/>
    <n v="42.692399999999999"/>
    <n v="11.859"/>
  </r>
  <r>
    <x v="0"/>
    <x v="10"/>
    <x v="5"/>
    <x v="9"/>
    <s v="LT_A"/>
    <x v="21"/>
    <n v="48.384"/>
    <n v="13.44"/>
  </r>
  <r>
    <x v="0"/>
    <x v="10"/>
    <x v="5"/>
    <x v="9"/>
    <s v="LT_A"/>
    <x v="22"/>
    <n v="79.847999999999999"/>
    <n v="22.18"/>
  </r>
  <r>
    <x v="0"/>
    <x v="10"/>
    <x v="5"/>
    <x v="9"/>
    <s v="LT_KauU"/>
    <x v="2"/>
    <n v="48.384"/>
    <n v="13.44"/>
  </r>
  <r>
    <x v="0"/>
    <x v="10"/>
    <x v="5"/>
    <x v="9"/>
    <s v="LT_KauU"/>
    <x v="0"/>
    <n v="42.692399999999999"/>
    <n v="11.859"/>
  </r>
  <r>
    <x v="0"/>
    <x v="10"/>
    <x v="5"/>
    <x v="9"/>
    <s v="LT_KauU"/>
    <x v="21"/>
    <n v="48.384"/>
    <n v="13.44"/>
  </r>
  <r>
    <x v="0"/>
    <x v="10"/>
    <x v="5"/>
    <x v="9"/>
    <s v="LT_KauU"/>
    <x v="22"/>
    <n v="79.847999999999999"/>
    <n v="22.18"/>
  </r>
  <r>
    <x v="0"/>
    <x v="10"/>
    <x v="5"/>
    <x v="9"/>
    <s v="LT_KlaU"/>
    <x v="2"/>
    <n v="48.384"/>
    <n v="13.44"/>
  </r>
  <r>
    <x v="0"/>
    <x v="10"/>
    <x v="5"/>
    <x v="9"/>
    <s v="LT_KlaU"/>
    <x v="0"/>
    <n v="42.692399999999999"/>
    <n v="11.859"/>
  </r>
  <r>
    <x v="0"/>
    <x v="10"/>
    <x v="5"/>
    <x v="9"/>
    <s v="LT_KlaU"/>
    <x v="21"/>
    <n v="48.384"/>
    <n v="13.44"/>
  </r>
  <r>
    <x v="0"/>
    <x v="10"/>
    <x v="5"/>
    <x v="9"/>
    <s v="LT_KlaU"/>
    <x v="22"/>
    <n v="79.847999999999999"/>
    <n v="22.18"/>
  </r>
  <r>
    <x v="0"/>
    <x v="10"/>
    <x v="5"/>
    <x v="9"/>
    <s v="LT_OFFSHORE"/>
    <x v="2"/>
    <n v="48.384"/>
    <n v="13.44"/>
  </r>
  <r>
    <x v="0"/>
    <x v="10"/>
    <x v="5"/>
    <x v="9"/>
    <s v="LT_OFFSHORE"/>
    <x v="0"/>
    <n v="42.692399999999999"/>
    <n v="11.859"/>
  </r>
  <r>
    <x v="0"/>
    <x v="10"/>
    <x v="5"/>
    <x v="9"/>
    <s v="LT_OFFSHORE"/>
    <x v="21"/>
    <n v="48.384"/>
    <n v="13.44"/>
  </r>
  <r>
    <x v="0"/>
    <x v="10"/>
    <x v="5"/>
    <x v="9"/>
    <s v="LT_OFFSHORE"/>
    <x v="22"/>
    <n v="79.847999999999999"/>
    <n v="22.18"/>
  </r>
  <r>
    <x v="0"/>
    <x v="10"/>
    <x v="5"/>
    <x v="9"/>
    <s v="LT_Other_DH"/>
    <x v="2"/>
    <n v="48.384"/>
    <n v="13.44"/>
  </r>
  <r>
    <x v="0"/>
    <x v="10"/>
    <x v="5"/>
    <x v="9"/>
    <s v="LT_Other_DH"/>
    <x v="0"/>
    <n v="42.692399999999999"/>
    <n v="11.859"/>
  </r>
  <r>
    <x v="0"/>
    <x v="10"/>
    <x v="5"/>
    <x v="9"/>
    <s v="LT_Other_DH"/>
    <x v="21"/>
    <n v="48.384"/>
    <n v="13.44"/>
  </r>
  <r>
    <x v="0"/>
    <x v="10"/>
    <x v="5"/>
    <x v="9"/>
    <s v="LT_Other_DH"/>
    <x v="22"/>
    <n v="79.847999999999999"/>
    <n v="22.18"/>
  </r>
  <r>
    <x v="0"/>
    <x v="10"/>
    <x v="5"/>
    <x v="9"/>
    <s v="LT_Panevezys"/>
    <x v="2"/>
    <n v="48.384"/>
    <n v="13.44"/>
  </r>
  <r>
    <x v="0"/>
    <x v="10"/>
    <x v="5"/>
    <x v="9"/>
    <s v="LT_Panevezys"/>
    <x v="0"/>
    <n v="42.692399999999999"/>
    <n v="11.859"/>
  </r>
  <r>
    <x v="0"/>
    <x v="10"/>
    <x v="5"/>
    <x v="9"/>
    <s v="LT_Panevezys"/>
    <x v="21"/>
    <n v="48.384"/>
    <n v="13.44"/>
  </r>
  <r>
    <x v="0"/>
    <x v="10"/>
    <x v="5"/>
    <x v="9"/>
    <s v="LT_Panevezys"/>
    <x v="22"/>
    <n v="79.847999999999999"/>
    <n v="22.18"/>
  </r>
  <r>
    <x v="0"/>
    <x v="10"/>
    <x v="5"/>
    <x v="9"/>
    <s v="LT_Rural"/>
    <x v="2"/>
    <n v="48.384"/>
    <n v="13.44"/>
  </r>
  <r>
    <x v="0"/>
    <x v="10"/>
    <x v="5"/>
    <x v="9"/>
    <s v="LT_Rural"/>
    <x v="0"/>
    <n v="42.692399999999999"/>
    <n v="11.859"/>
  </r>
  <r>
    <x v="0"/>
    <x v="10"/>
    <x v="5"/>
    <x v="9"/>
    <s v="LT_Rural"/>
    <x v="21"/>
    <n v="48.384"/>
    <n v="13.44"/>
  </r>
  <r>
    <x v="0"/>
    <x v="10"/>
    <x v="5"/>
    <x v="9"/>
    <s v="LT_Rural"/>
    <x v="22"/>
    <n v="79.847999999999999"/>
    <n v="22.18"/>
  </r>
  <r>
    <x v="0"/>
    <x v="10"/>
    <x v="5"/>
    <x v="9"/>
    <s v="LT_SiaU"/>
    <x v="2"/>
    <n v="48.384"/>
    <n v="13.44"/>
  </r>
  <r>
    <x v="0"/>
    <x v="10"/>
    <x v="5"/>
    <x v="9"/>
    <s v="LT_SiaU"/>
    <x v="0"/>
    <n v="42.692399999999999"/>
    <n v="11.859"/>
  </r>
  <r>
    <x v="0"/>
    <x v="10"/>
    <x v="5"/>
    <x v="9"/>
    <s v="LT_SiaU"/>
    <x v="21"/>
    <n v="48.384"/>
    <n v="13.44"/>
  </r>
  <r>
    <x v="0"/>
    <x v="10"/>
    <x v="5"/>
    <x v="9"/>
    <s v="LT_SiaU"/>
    <x v="22"/>
    <n v="79.847999999999999"/>
    <n v="22.18"/>
  </r>
  <r>
    <x v="0"/>
    <x v="10"/>
    <x v="5"/>
    <x v="9"/>
    <s v="LT_VilU"/>
    <x v="2"/>
    <n v="48.384"/>
    <n v="13.44"/>
  </r>
  <r>
    <x v="0"/>
    <x v="10"/>
    <x v="5"/>
    <x v="9"/>
    <s v="LT_VilU"/>
    <x v="0"/>
    <n v="42.692399999999999"/>
    <n v="11.859"/>
  </r>
  <r>
    <x v="0"/>
    <x v="10"/>
    <x v="5"/>
    <x v="9"/>
    <s v="LT_VilU"/>
    <x v="21"/>
    <n v="48.384"/>
    <n v="13.44"/>
  </r>
  <r>
    <x v="0"/>
    <x v="10"/>
    <x v="5"/>
    <x v="9"/>
    <s v="LT_VilU"/>
    <x v="22"/>
    <n v="79.847999999999999"/>
    <n v="22.18"/>
  </r>
  <r>
    <x v="0"/>
    <x v="10"/>
    <x v="6"/>
    <x v="10"/>
    <s v="NL_A"/>
    <x v="2"/>
    <n v="48.384"/>
    <n v="13.44"/>
  </r>
  <r>
    <x v="0"/>
    <x v="10"/>
    <x v="6"/>
    <x v="10"/>
    <s v="NL_A"/>
    <x v="0"/>
    <n v="42.692399999999999"/>
    <n v="11.859"/>
  </r>
  <r>
    <x v="0"/>
    <x v="10"/>
    <x v="6"/>
    <x v="10"/>
    <s v="NL_A"/>
    <x v="21"/>
    <n v="48.384"/>
    <n v="13.44"/>
  </r>
  <r>
    <x v="0"/>
    <x v="10"/>
    <x v="6"/>
    <x v="10"/>
    <s v="NL_A"/>
    <x v="22"/>
    <n v="79.847999999999999"/>
    <n v="22.18"/>
  </r>
  <r>
    <x v="0"/>
    <x v="10"/>
    <x v="6"/>
    <x v="10"/>
    <s v="NL_OFFSHORE"/>
    <x v="2"/>
    <n v="48.384"/>
    <n v="13.44"/>
  </r>
  <r>
    <x v="0"/>
    <x v="10"/>
    <x v="6"/>
    <x v="10"/>
    <s v="NL_OFFSHORE"/>
    <x v="0"/>
    <n v="42.692399999999999"/>
    <n v="11.859"/>
  </r>
  <r>
    <x v="0"/>
    <x v="10"/>
    <x v="6"/>
    <x v="10"/>
    <s v="NL_OFFSHORE"/>
    <x v="21"/>
    <n v="48.384"/>
    <n v="13.44"/>
  </r>
  <r>
    <x v="0"/>
    <x v="10"/>
    <x v="6"/>
    <x v="10"/>
    <s v="NL_OFFSHORE"/>
    <x v="22"/>
    <n v="79.847999999999999"/>
    <n v="22.18"/>
  </r>
  <r>
    <x v="0"/>
    <x v="10"/>
    <x v="7"/>
    <x v="11"/>
    <s v="NO1_A1"/>
    <x v="2"/>
    <n v="48.384"/>
    <n v="13.44"/>
  </r>
  <r>
    <x v="0"/>
    <x v="10"/>
    <x v="7"/>
    <x v="11"/>
    <s v="NO1_A1"/>
    <x v="0"/>
    <n v="42.692399999999999"/>
    <n v="11.859"/>
  </r>
  <r>
    <x v="0"/>
    <x v="10"/>
    <x v="7"/>
    <x v="11"/>
    <s v="NO1_A1"/>
    <x v="21"/>
    <n v="48.384"/>
    <n v="13.44"/>
  </r>
  <r>
    <x v="0"/>
    <x v="10"/>
    <x v="7"/>
    <x v="11"/>
    <s v="NO1_A1"/>
    <x v="22"/>
    <n v="79.847999999999999"/>
    <n v="22.18"/>
  </r>
  <r>
    <x v="0"/>
    <x v="10"/>
    <x v="7"/>
    <x v="11"/>
    <s v="NO1_A2"/>
    <x v="2"/>
    <n v="48.384"/>
    <n v="13.44"/>
  </r>
  <r>
    <x v="0"/>
    <x v="10"/>
    <x v="7"/>
    <x v="11"/>
    <s v="NO1_A2"/>
    <x v="0"/>
    <n v="42.692399999999999"/>
    <n v="11.859"/>
  </r>
  <r>
    <x v="0"/>
    <x v="10"/>
    <x v="7"/>
    <x v="11"/>
    <s v="NO1_A2"/>
    <x v="21"/>
    <n v="48.384"/>
    <n v="13.44"/>
  </r>
  <r>
    <x v="0"/>
    <x v="10"/>
    <x v="7"/>
    <x v="11"/>
    <s v="NO1_A2"/>
    <x v="22"/>
    <n v="79.847999999999999"/>
    <n v="22.18"/>
  </r>
  <r>
    <x v="0"/>
    <x v="10"/>
    <x v="7"/>
    <x v="11"/>
    <s v="NO1_A3"/>
    <x v="2"/>
    <n v="48.384"/>
    <n v="13.44"/>
  </r>
  <r>
    <x v="0"/>
    <x v="10"/>
    <x v="7"/>
    <x v="11"/>
    <s v="NO1_A3"/>
    <x v="0"/>
    <n v="42.692399999999999"/>
    <n v="11.859"/>
  </r>
  <r>
    <x v="0"/>
    <x v="10"/>
    <x v="7"/>
    <x v="11"/>
    <s v="NO1_A3"/>
    <x v="21"/>
    <n v="48.384"/>
    <n v="13.44"/>
  </r>
  <r>
    <x v="0"/>
    <x v="10"/>
    <x v="7"/>
    <x v="11"/>
    <s v="NO1_A3"/>
    <x v="22"/>
    <n v="79.847999999999999"/>
    <n v="22.18"/>
  </r>
  <r>
    <x v="0"/>
    <x v="10"/>
    <x v="7"/>
    <x v="11"/>
    <s v="NO1_Offshore"/>
    <x v="2"/>
    <n v="48.384"/>
    <n v="13.44"/>
  </r>
  <r>
    <x v="0"/>
    <x v="10"/>
    <x v="7"/>
    <x v="11"/>
    <s v="NO1_Offshore"/>
    <x v="0"/>
    <n v="42.692399999999999"/>
    <n v="11.859"/>
  </r>
  <r>
    <x v="0"/>
    <x v="10"/>
    <x v="7"/>
    <x v="11"/>
    <s v="NO1_Offshore"/>
    <x v="21"/>
    <n v="48.384"/>
    <n v="13.44"/>
  </r>
  <r>
    <x v="0"/>
    <x v="10"/>
    <x v="7"/>
    <x v="11"/>
    <s v="NO1_Offshore"/>
    <x v="22"/>
    <n v="79.847999999999999"/>
    <n v="22.18"/>
  </r>
  <r>
    <x v="0"/>
    <x v="10"/>
    <x v="7"/>
    <x v="12"/>
    <s v="NO2_A1"/>
    <x v="2"/>
    <n v="48.384"/>
    <n v="13.44"/>
  </r>
  <r>
    <x v="0"/>
    <x v="10"/>
    <x v="7"/>
    <x v="12"/>
    <s v="NO2_A1"/>
    <x v="0"/>
    <n v="42.692399999999999"/>
    <n v="11.859"/>
  </r>
  <r>
    <x v="0"/>
    <x v="10"/>
    <x v="7"/>
    <x v="12"/>
    <s v="NO2_A1"/>
    <x v="21"/>
    <n v="48.384"/>
    <n v="13.44"/>
  </r>
  <r>
    <x v="0"/>
    <x v="10"/>
    <x v="7"/>
    <x v="12"/>
    <s v="NO2_A1"/>
    <x v="22"/>
    <n v="79.847999999999999"/>
    <n v="22.18"/>
  </r>
  <r>
    <x v="0"/>
    <x v="10"/>
    <x v="7"/>
    <x v="12"/>
    <s v="NO2_A2"/>
    <x v="2"/>
    <n v="48.384"/>
    <n v="13.44"/>
  </r>
  <r>
    <x v="0"/>
    <x v="10"/>
    <x v="7"/>
    <x v="12"/>
    <s v="NO2_A2"/>
    <x v="0"/>
    <n v="42.692399999999999"/>
    <n v="11.859"/>
  </r>
  <r>
    <x v="0"/>
    <x v="10"/>
    <x v="7"/>
    <x v="12"/>
    <s v="NO2_A2"/>
    <x v="21"/>
    <n v="48.384"/>
    <n v="13.44"/>
  </r>
  <r>
    <x v="0"/>
    <x v="10"/>
    <x v="7"/>
    <x v="12"/>
    <s v="NO2_A2"/>
    <x v="22"/>
    <n v="79.847999999999999"/>
    <n v="22.18"/>
  </r>
  <r>
    <x v="0"/>
    <x v="10"/>
    <x v="7"/>
    <x v="12"/>
    <s v="NO2_Offshore"/>
    <x v="2"/>
    <n v="48.384"/>
    <n v="13.44"/>
  </r>
  <r>
    <x v="0"/>
    <x v="10"/>
    <x v="7"/>
    <x v="12"/>
    <s v="NO2_Offshore"/>
    <x v="0"/>
    <n v="42.692399999999999"/>
    <n v="11.859"/>
  </r>
  <r>
    <x v="0"/>
    <x v="10"/>
    <x v="7"/>
    <x v="12"/>
    <s v="NO2_Offshore"/>
    <x v="21"/>
    <n v="48.384"/>
    <n v="13.44"/>
  </r>
  <r>
    <x v="0"/>
    <x v="10"/>
    <x v="7"/>
    <x v="12"/>
    <s v="NO2_Offshore"/>
    <x v="22"/>
    <n v="79.847999999999999"/>
    <n v="22.18"/>
  </r>
  <r>
    <x v="0"/>
    <x v="10"/>
    <x v="7"/>
    <x v="13"/>
    <s v="NO3_A1"/>
    <x v="2"/>
    <n v="48.384"/>
    <n v="13.44"/>
  </r>
  <r>
    <x v="0"/>
    <x v="10"/>
    <x v="7"/>
    <x v="13"/>
    <s v="NO3_A1"/>
    <x v="0"/>
    <n v="42.692399999999999"/>
    <n v="11.859"/>
  </r>
  <r>
    <x v="0"/>
    <x v="10"/>
    <x v="7"/>
    <x v="13"/>
    <s v="NO3_A1"/>
    <x v="21"/>
    <n v="48.384"/>
    <n v="13.44"/>
  </r>
  <r>
    <x v="0"/>
    <x v="10"/>
    <x v="7"/>
    <x v="13"/>
    <s v="NO3_A1"/>
    <x v="22"/>
    <n v="79.847999999999999"/>
    <n v="22.18"/>
  </r>
  <r>
    <x v="0"/>
    <x v="10"/>
    <x v="7"/>
    <x v="13"/>
    <s v="NO3_A2"/>
    <x v="2"/>
    <n v="48.384"/>
    <n v="13.44"/>
  </r>
  <r>
    <x v="0"/>
    <x v="10"/>
    <x v="7"/>
    <x v="13"/>
    <s v="NO3_A2"/>
    <x v="0"/>
    <n v="42.692399999999999"/>
    <n v="11.859"/>
  </r>
  <r>
    <x v="0"/>
    <x v="10"/>
    <x v="7"/>
    <x v="13"/>
    <s v="NO3_A2"/>
    <x v="21"/>
    <n v="48.384"/>
    <n v="13.44"/>
  </r>
  <r>
    <x v="0"/>
    <x v="10"/>
    <x v="7"/>
    <x v="13"/>
    <s v="NO3_A2"/>
    <x v="22"/>
    <n v="79.847999999999999"/>
    <n v="22.18"/>
  </r>
  <r>
    <x v="0"/>
    <x v="10"/>
    <x v="7"/>
    <x v="13"/>
    <s v="NO3_A3"/>
    <x v="2"/>
    <n v="48.384"/>
    <n v="13.44"/>
  </r>
  <r>
    <x v="0"/>
    <x v="10"/>
    <x v="7"/>
    <x v="13"/>
    <s v="NO3_A3"/>
    <x v="0"/>
    <n v="42.692399999999999"/>
    <n v="11.859"/>
  </r>
  <r>
    <x v="0"/>
    <x v="10"/>
    <x v="7"/>
    <x v="13"/>
    <s v="NO3_A3"/>
    <x v="21"/>
    <n v="48.384"/>
    <n v="13.44"/>
  </r>
  <r>
    <x v="0"/>
    <x v="10"/>
    <x v="7"/>
    <x v="13"/>
    <s v="NO3_A3"/>
    <x v="22"/>
    <n v="79.847999999999999"/>
    <n v="22.18"/>
  </r>
  <r>
    <x v="0"/>
    <x v="10"/>
    <x v="7"/>
    <x v="13"/>
    <s v="NO3_Offshore"/>
    <x v="2"/>
    <n v="48.384"/>
    <n v="13.44"/>
  </r>
  <r>
    <x v="0"/>
    <x v="10"/>
    <x v="7"/>
    <x v="13"/>
    <s v="NO3_Offshore"/>
    <x v="0"/>
    <n v="42.692399999999999"/>
    <n v="11.859"/>
  </r>
  <r>
    <x v="0"/>
    <x v="10"/>
    <x v="7"/>
    <x v="13"/>
    <s v="NO3_Offshore"/>
    <x v="21"/>
    <n v="48.384"/>
    <n v="13.44"/>
  </r>
  <r>
    <x v="0"/>
    <x v="10"/>
    <x v="7"/>
    <x v="13"/>
    <s v="NO3_Offshore"/>
    <x v="22"/>
    <n v="79.847999999999999"/>
    <n v="22.18"/>
  </r>
  <r>
    <x v="0"/>
    <x v="10"/>
    <x v="7"/>
    <x v="14"/>
    <s v="NO4_A1"/>
    <x v="2"/>
    <n v="48.384"/>
    <n v="13.44"/>
  </r>
  <r>
    <x v="0"/>
    <x v="10"/>
    <x v="7"/>
    <x v="14"/>
    <s v="NO4_A1"/>
    <x v="0"/>
    <n v="42.692399999999999"/>
    <n v="11.859"/>
  </r>
  <r>
    <x v="0"/>
    <x v="10"/>
    <x v="7"/>
    <x v="14"/>
    <s v="NO4_A1"/>
    <x v="21"/>
    <n v="48.384"/>
    <n v="13.44"/>
  </r>
  <r>
    <x v="0"/>
    <x v="10"/>
    <x v="7"/>
    <x v="14"/>
    <s v="NO4_A1"/>
    <x v="22"/>
    <n v="79.847999999999999"/>
    <n v="22.18"/>
  </r>
  <r>
    <x v="0"/>
    <x v="10"/>
    <x v="7"/>
    <x v="14"/>
    <s v="NO4_A2"/>
    <x v="2"/>
    <n v="48.384"/>
    <n v="13.44"/>
  </r>
  <r>
    <x v="0"/>
    <x v="10"/>
    <x v="7"/>
    <x v="14"/>
    <s v="NO4_A2"/>
    <x v="0"/>
    <n v="42.692399999999999"/>
    <n v="11.859"/>
  </r>
  <r>
    <x v="0"/>
    <x v="10"/>
    <x v="7"/>
    <x v="14"/>
    <s v="NO4_A2"/>
    <x v="21"/>
    <n v="48.384"/>
    <n v="13.44"/>
  </r>
  <r>
    <x v="0"/>
    <x v="10"/>
    <x v="7"/>
    <x v="14"/>
    <s v="NO4_A2"/>
    <x v="22"/>
    <n v="79.847999999999999"/>
    <n v="22.18"/>
  </r>
  <r>
    <x v="0"/>
    <x v="10"/>
    <x v="7"/>
    <x v="14"/>
    <s v="NO4_Offshore"/>
    <x v="2"/>
    <n v="48.384"/>
    <n v="13.44"/>
  </r>
  <r>
    <x v="0"/>
    <x v="10"/>
    <x v="7"/>
    <x v="14"/>
    <s v="NO4_Offshore"/>
    <x v="0"/>
    <n v="42.692399999999999"/>
    <n v="11.859"/>
  </r>
  <r>
    <x v="0"/>
    <x v="10"/>
    <x v="7"/>
    <x v="14"/>
    <s v="NO4_Offshore"/>
    <x v="21"/>
    <n v="48.384"/>
    <n v="13.44"/>
  </r>
  <r>
    <x v="0"/>
    <x v="10"/>
    <x v="7"/>
    <x v="14"/>
    <s v="NO4_Offshore"/>
    <x v="22"/>
    <n v="79.847999999999999"/>
    <n v="22.18"/>
  </r>
  <r>
    <x v="0"/>
    <x v="10"/>
    <x v="7"/>
    <x v="15"/>
    <s v="NO5_A1"/>
    <x v="2"/>
    <n v="48.384"/>
    <n v="13.44"/>
  </r>
  <r>
    <x v="0"/>
    <x v="10"/>
    <x v="7"/>
    <x v="15"/>
    <s v="NO5_A1"/>
    <x v="0"/>
    <n v="42.692399999999999"/>
    <n v="11.859"/>
  </r>
  <r>
    <x v="0"/>
    <x v="10"/>
    <x v="7"/>
    <x v="15"/>
    <s v="NO5_A1"/>
    <x v="21"/>
    <n v="48.384"/>
    <n v="13.44"/>
  </r>
  <r>
    <x v="0"/>
    <x v="10"/>
    <x v="7"/>
    <x v="15"/>
    <s v="NO5_A1"/>
    <x v="22"/>
    <n v="79.847999999999999"/>
    <n v="22.18"/>
  </r>
  <r>
    <x v="0"/>
    <x v="10"/>
    <x v="7"/>
    <x v="15"/>
    <s v="NO5_A2"/>
    <x v="2"/>
    <n v="48.384"/>
    <n v="13.44"/>
  </r>
  <r>
    <x v="0"/>
    <x v="10"/>
    <x v="7"/>
    <x v="15"/>
    <s v="NO5_A2"/>
    <x v="0"/>
    <n v="42.692399999999999"/>
    <n v="11.859"/>
  </r>
  <r>
    <x v="0"/>
    <x v="10"/>
    <x v="7"/>
    <x v="15"/>
    <s v="NO5_A2"/>
    <x v="21"/>
    <n v="48.384"/>
    <n v="13.44"/>
  </r>
  <r>
    <x v="0"/>
    <x v="10"/>
    <x v="7"/>
    <x v="15"/>
    <s v="NO5_A2"/>
    <x v="22"/>
    <n v="79.847999999999999"/>
    <n v="22.18"/>
  </r>
  <r>
    <x v="0"/>
    <x v="10"/>
    <x v="7"/>
    <x v="15"/>
    <s v="NO5_Offshore"/>
    <x v="2"/>
    <n v="48.384"/>
    <n v="13.44"/>
  </r>
  <r>
    <x v="0"/>
    <x v="10"/>
    <x v="7"/>
    <x v="15"/>
    <s v="NO5_Offshore"/>
    <x v="0"/>
    <n v="42.692399999999999"/>
    <n v="11.859"/>
  </r>
  <r>
    <x v="0"/>
    <x v="10"/>
    <x v="7"/>
    <x v="15"/>
    <s v="NO5_Offshore"/>
    <x v="21"/>
    <n v="48.384"/>
    <n v="13.44"/>
  </r>
  <r>
    <x v="0"/>
    <x v="10"/>
    <x v="7"/>
    <x v="15"/>
    <s v="NO5_Offshore"/>
    <x v="22"/>
    <n v="79.847999999999999"/>
    <n v="22.18"/>
  </r>
  <r>
    <x v="0"/>
    <x v="10"/>
    <x v="8"/>
    <x v="16"/>
    <s v="PL_A"/>
    <x v="2"/>
    <n v="48.384"/>
    <n v="13.44"/>
  </r>
  <r>
    <x v="0"/>
    <x v="10"/>
    <x v="8"/>
    <x v="16"/>
    <s v="PL_A"/>
    <x v="0"/>
    <n v="42.692399999999999"/>
    <n v="11.859"/>
  </r>
  <r>
    <x v="0"/>
    <x v="10"/>
    <x v="8"/>
    <x v="16"/>
    <s v="PL_A"/>
    <x v="21"/>
    <n v="48.384"/>
    <n v="13.44"/>
  </r>
  <r>
    <x v="0"/>
    <x v="10"/>
    <x v="8"/>
    <x v="16"/>
    <s v="PL_A"/>
    <x v="22"/>
    <n v="79.847999999999999"/>
    <n v="22.18"/>
  </r>
  <r>
    <x v="0"/>
    <x v="10"/>
    <x v="8"/>
    <x v="16"/>
    <s v="PL_OFFSHORE"/>
    <x v="2"/>
    <n v="48.384"/>
    <n v="13.44"/>
  </r>
  <r>
    <x v="0"/>
    <x v="10"/>
    <x v="8"/>
    <x v="16"/>
    <s v="PL_OFFSHORE"/>
    <x v="0"/>
    <n v="42.692399999999999"/>
    <n v="11.859"/>
  </r>
  <r>
    <x v="0"/>
    <x v="10"/>
    <x v="8"/>
    <x v="16"/>
    <s v="PL_OFFSHORE"/>
    <x v="21"/>
    <n v="48.384"/>
    <n v="13.44"/>
  </r>
  <r>
    <x v="0"/>
    <x v="10"/>
    <x v="8"/>
    <x v="16"/>
    <s v="PL_OFFSHORE"/>
    <x v="22"/>
    <n v="79.847999999999999"/>
    <n v="22.18"/>
  </r>
  <r>
    <x v="0"/>
    <x v="10"/>
    <x v="8"/>
    <x v="16"/>
    <s v="PL_Rural"/>
    <x v="2"/>
    <n v="48.384"/>
    <n v="13.44"/>
  </r>
  <r>
    <x v="0"/>
    <x v="10"/>
    <x v="8"/>
    <x v="16"/>
    <s v="PL_Rural"/>
    <x v="0"/>
    <n v="42.692399999999999"/>
    <n v="11.859"/>
  </r>
  <r>
    <x v="0"/>
    <x v="10"/>
    <x v="8"/>
    <x v="16"/>
    <s v="PL_Rural"/>
    <x v="21"/>
    <n v="48.384"/>
    <n v="13.44"/>
  </r>
  <r>
    <x v="0"/>
    <x v="10"/>
    <x v="8"/>
    <x v="16"/>
    <s v="PL_Rural"/>
    <x v="22"/>
    <n v="79.847999999999999"/>
    <n v="22.18"/>
  </r>
  <r>
    <x v="0"/>
    <x v="10"/>
    <x v="9"/>
    <x v="17"/>
    <s v="SE1A"/>
    <x v="2"/>
    <n v="48.384"/>
    <n v="13.44"/>
  </r>
  <r>
    <x v="0"/>
    <x v="10"/>
    <x v="9"/>
    <x v="17"/>
    <s v="SE1A"/>
    <x v="0"/>
    <n v="42.692399999999999"/>
    <n v="11.859"/>
  </r>
  <r>
    <x v="0"/>
    <x v="10"/>
    <x v="9"/>
    <x v="17"/>
    <s v="SE1A"/>
    <x v="21"/>
    <n v="48.384"/>
    <n v="13.44"/>
  </r>
  <r>
    <x v="0"/>
    <x v="10"/>
    <x v="9"/>
    <x v="17"/>
    <s v="SE1A"/>
    <x v="22"/>
    <n v="79.847999999999999"/>
    <n v="22.18"/>
  </r>
  <r>
    <x v="0"/>
    <x v="10"/>
    <x v="9"/>
    <x v="17"/>
    <s v="SE1_IND"/>
    <x v="2"/>
    <n v="48.384"/>
    <n v="13.44"/>
  </r>
  <r>
    <x v="0"/>
    <x v="10"/>
    <x v="9"/>
    <x v="17"/>
    <s v="SE1_IND"/>
    <x v="0"/>
    <n v="42.692399999999999"/>
    <n v="11.859"/>
  </r>
  <r>
    <x v="0"/>
    <x v="10"/>
    <x v="9"/>
    <x v="17"/>
    <s v="SE1_IND"/>
    <x v="21"/>
    <n v="48.384"/>
    <n v="13.44"/>
  </r>
  <r>
    <x v="0"/>
    <x v="10"/>
    <x v="9"/>
    <x v="17"/>
    <s v="SE1_IND"/>
    <x v="22"/>
    <n v="79.847999999999999"/>
    <n v="22.18"/>
  </r>
  <r>
    <x v="0"/>
    <x v="10"/>
    <x v="9"/>
    <x v="17"/>
    <s v="SE1_Offshore"/>
    <x v="2"/>
    <n v="48.384"/>
    <n v="13.44"/>
  </r>
  <r>
    <x v="0"/>
    <x v="10"/>
    <x v="9"/>
    <x v="17"/>
    <s v="SE1_Offshore"/>
    <x v="0"/>
    <n v="42.692399999999999"/>
    <n v="11.859"/>
  </r>
  <r>
    <x v="0"/>
    <x v="10"/>
    <x v="9"/>
    <x v="17"/>
    <s v="SE1_Offshore"/>
    <x v="21"/>
    <n v="48.384"/>
    <n v="13.44"/>
  </r>
  <r>
    <x v="0"/>
    <x v="10"/>
    <x v="9"/>
    <x v="17"/>
    <s v="SE1_Offshore"/>
    <x v="22"/>
    <n v="79.847999999999999"/>
    <n v="22.18"/>
  </r>
  <r>
    <x v="0"/>
    <x v="10"/>
    <x v="9"/>
    <x v="17"/>
    <s v="SE1_medium"/>
    <x v="2"/>
    <n v="48.384"/>
    <n v="13.44"/>
  </r>
  <r>
    <x v="0"/>
    <x v="10"/>
    <x v="9"/>
    <x v="17"/>
    <s v="SE1_medium"/>
    <x v="0"/>
    <n v="42.692399999999999"/>
    <n v="11.859"/>
  </r>
  <r>
    <x v="0"/>
    <x v="10"/>
    <x v="9"/>
    <x v="17"/>
    <s v="SE1_medium"/>
    <x v="21"/>
    <n v="48.384"/>
    <n v="13.44"/>
  </r>
  <r>
    <x v="0"/>
    <x v="10"/>
    <x v="9"/>
    <x v="17"/>
    <s v="SE1_medium"/>
    <x v="22"/>
    <n v="79.847999999999999"/>
    <n v="22.18"/>
  </r>
  <r>
    <x v="0"/>
    <x v="10"/>
    <x v="9"/>
    <x v="17"/>
    <s v="SE1_small"/>
    <x v="2"/>
    <n v="48.384"/>
    <n v="13.44"/>
  </r>
  <r>
    <x v="0"/>
    <x v="10"/>
    <x v="9"/>
    <x v="17"/>
    <s v="SE1_small"/>
    <x v="0"/>
    <n v="42.692399999999999"/>
    <n v="11.859"/>
  </r>
  <r>
    <x v="0"/>
    <x v="10"/>
    <x v="9"/>
    <x v="17"/>
    <s v="SE1_small"/>
    <x v="21"/>
    <n v="48.384"/>
    <n v="13.44"/>
  </r>
  <r>
    <x v="0"/>
    <x v="10"/>
    <x v="9"/>
    <x v="17"/>
    <s v="SE1_small"/>
    <x v="22"/>
    <n v="79.847999999999999"/>
    <n v="22.18"/>
  </r>
  <r>
    <x v="0"/>
    <x v="10"/>
    <x v="9"/>
    <x v="18"/>
    <s v="SE2A"/>
    <x v="2"/>
    <n v="48.384"/>
    <n v="13.44"/>
  </r>
  <r>
    <x v="0"/>
    <x v="10"/>
    <x v="9"/>
    <x v="18"/>
    <s v="SE2A"/>
    <x v="0"/>
    <n v="42.692399999999999"/>
    <n v="11.859"/>
  </r>
  <r>
    <x v="0"/>
    <x v="10"/>
    <x v="9"/>
    <x v="18"/>
    <s v="SE2A"/>
    <x v="21"/>
    <n v="48.384"/>
    <n v="13.44"/>
  </r>
  <r>
    <x v="0"/>
    <x v="10"/>
    <x v="9"/>
    <x v="18"/>
    <s v="SE2A"/>
    <x v="22"/>
    <n v="79.847999999999999"/>
    <n v="22.18"/>
  </r>
  <r>
    <x v="0"/>
    <x v="10"/>
    <x v="9"/>
    <x v="18"/>
    <s v="SE2_IND"/>
    <x v="2"/>
    <n v="48.384"/>
    <n v="13.44"/>
  </r>
  <r>
    <x v="0"/>
    <x v="10"/>
    <x v="9"/>
    <x v="18"/>
    <s v="SE2_IND"/>
    <x v="0"/>
    <n v="42.692399999999999"/>
    <n v="11.859"/>
  </r>
  <r>
    <x v="0"/>
    <x v="10"/>
    <x v="9"/>
    <x v="18"/>
    <s v="SE2_IND"/>
    <x v="21"/>
    <n v="48.384"/>
    <n v="13.44"/>
  </r>
  <r>
    <x v="0"/>
    <x v="10"/>
    <x v="9"/>
    <x v="18"/>
    <s v="SE2_IND"/>
    <x v="22"/>
    <n v="79.847999999999999"/>
    <n v="22.18"/>
  </r>
  <r>
    <x v="0"/>
    <x v="10"/>
    <x v="9"/>
    <x v="18"/>
    <s v="SE2_Offshore"/>
    <x v="2"/>
    <n v="48.384"/>
    <n v="13.44"/>
  </r>
  <r>
    <x v="0"/>
    <x v="10"/>
    <x v="9"/>
    <x v="18"/>
    <s v="SE2_Offshore"/>
    <x v="0"/>
    <n v="42.692399999999999"/>
    <n v="11.859"/>
  </r>
  <r>
    <x v="0"/>
    <x v="10"/>
    <x v="9"/>
    <x v="18"/>
    <s v="SE2_Offshore"/>
    <x v="21"/>
    <n v="48.384"/>
    <n v="13.44"/>
  </r>
  <r>
    <x v="0"/>
    <x v="10"/>
    <x v="9"/>
    <x v="18"/>
    <s v="SE2_Offshore"/>
    <x v="22"/>
    <n v="79.847999999999999"/>
    <n v="22.18"/>
  </r>
  <r>
    <x v="0"/>
    <x v="10"/>
    <x v="9"/>
    <x v="18"/>
    <s v="SE2_medium"/>
    <x v="2"/>
    <n v="48.384"/>
    <n v="13.44"/>
  </r>
  <r>
    <x v="0"/>
    <x v="10"/>
    <x v="9"/>
    <x v="18"/>
    <s v="SE2_medium"/>
    <x v="0"/>
    <n v="42.692399999999999"/>
    <n v="11.859"/>
  </r>
  <r>
    <x v="0"/>
    <x v="10"/>
    <x v="9"/>
    <x v="18"/>
    <s v="SE2_medium"/>
    <x v="21"/>
    <n v="48.384"/>
    <n v="13.44"/>
  </r>
  <r>
    <x v="0"/>
    <x v="10"/>
    <x v="9"/>
    <x v="18"/>
    <s v="SE2_medium"/>
    <x v="22"/>
    <n v="79.847999999999999"/>
    <n v="22.18"/>
  </r>
  <r>
    <x v="0"/>
    <x v="10"/>
    <x v="9"/>
    <x v="18"/>
    <s v="SE2_small"/>
    <x v="2"/>
    <n v="48.384"/>
    <n v="13.44"/>
  </r>
  <r>
    <x v="0"/>
    <x v="10"/>
    <x v="9"/>
    <x v="18"/>
    <s v="SE2_small"/>
    <x v="0"/>
    <n v="42.692399999999999"/>
    <n v="11.859"/>
  </r>
  <r>
    <x v="0"/>
    <x v="10"/>
    <x v="9"/>
    <x v="18"/>
    <s v="SE2_small"/>
    <x v="21"/>
    <n v="48.384"/>
    <n v="13.44"/>
  </r>
  <r>
    <x v="0"/>
    <x v="10"/>
    <x v="9"/>
    <x v="18"/>
    <s v="SE2_small"/>
    <x v="22"/>
    <n v="79.847999999999999"/>
    <n v="22.18"/>
  </r>
  <r>
    <x v="0"/>
    <x v="10"/>
    <x v="9"/>
    <x v="19"/>
    <s v="SE3A"/>
    <x v="2"/>
    <n v="48.384"/>
    <n v="13.44"/>
  </r>
  <r>
    <x v="0"/>
    <x v="10"/>
    <x v="9"/>
    <x v="19"/>
    <s v="SE3A"/>
    <x v="0"/>
    <n v="42.692399999999999"/>
    <n v="11.859"/>
  </r>
  <r>
    <x v="0"/>
    <x v="10"/>
    <x v="9"/>
    <x v="19"/>
    <s v="SE3A"/>
    <x v="21"/>
    <n v="48.384"/>
    <n v="13.44"/>
  </r>
  <r>
    <x v="0"/>
    <x v="10"/>
    <x v="9"/>
    <x v="19"/>
    <s v="SE3A"/>
    <x v="22"/>
    <n v="79.847999999999999"/>
    <n v="22.18"/>
  </r>
  <r>
    <x v="0"/>
    <x v="10"/>
    <x v="9"/>
    <x v="19"/>
    <s v="SE3_IND"/>
    <x v="2"/>
    <n v="48.384"/>
    <n v="13.44"/>
  </r>
  <r>
    <x v="0"/>
    <x v="10"/>
    <x v="9"/>
    <x v="19"/>
    <s v="SE3_IND"/>
    <x v="0"/>
    <n v="42.692399999999999"/>
    <n v="11.859"/>
  </r>
  <r>
    <x v="0"/>
    <x v="10"/>
    <x v="9"/>
    <x v="19"/>
    <s v="SE3_IND"/>
    <x v="21"/>
    <n v="48.384"/>
    <n v="13.44"/>
  </r>
  <r>
    <x v="0"/>
    <x v="10"/>
    <x v="9"/>
    <x v="19"/>
    <s v="SE3_IND"/>
    <x v="22"/>
    <n v="79.847999999999999"/>
    <n v="22.18"/>
  </r>
  <r>
    <x v="0"/>
    <x v="10"/>
    <x v="9"/>
    <x v="19"/>
    <s v="SE3_Offshore"/>
    <x v="2"/>
    <n v="48.384"/>
    <n v="13.44"/>
  </r>
  <r>
    <x v="0"/>
    <x v="10"/>
    <x v="9"/>
    <x v="19"/>
    <s v="SE3_Offshore"/>
    <x v="0"/>
    <n v="42.692399999999999"/>
    <n v="11.859"/>
  </r>
  <r>
    <x v="0"/>
    <x v="10"/>
    <x v="9"/>
    <x v="19"/>
    <s v="SE3_Offshore"/>
    <x v="21"/>
    <n v="48.384"/>
    <n v="13.44"/>
  </r>
  <r>
    <x v="0"/>
    <x v="10"/>
    <x v="9"/>
    <x v="19"/>
    <s v="SE3_Offshore"/>
    <x v="22"/>
    <n v="79.847999999999999"/>
    <n v="22.18"/>
  </r>
  <r>
    <x v="0"/>
    <x v="10"/>
    <x v="9"/>
    <x v="19"/>
    <s v="SE3_large"/>
    <x v="2"/>
    <n v="48.384"/>
    <n v="13.44"/>
  </r>
  <r>
    <x v="0"/>
    <x v="10"/>
    <x v="9"/>
    <x v="19"/>
    <s v="SE3_large"/>
    <x v="0"/>
    <n v="42.692399999999999"/>
    <n v="11.859"/>
  </r>
  <r>
    <x v="0"/>
    <x v="10"/>
    <x v="9"/>
    <x v="19"/>
    <s v="SE3_large"/>
    <x v="21"/>
    <n v="48.384"/>
    <n v="13.44"/>
  </r>
  <r>
    <x v="0"/>
    <x v="10"/>
    <x v="9"/>
    <x v="19"/>
    <s v="SE3_large"/>
    <x v="22"/>
    <n v="79.847999999999999"/>
    <n v="22.18"/>
  </r>
  <r>
    <x v="0"/>
    <x v="10"/>
    <x v="9"/>
    <x v="19"/>
    <s v="SE3_medium"/>
    <x v="2"/>
    <n v="48.384"/>
    <n v="13.44"/>
  </r>
  <r>
    <x v="0"/>
    <x v="10"/>
    <x v="9"/>
    <x v="19"/>
    <s v="SE3_medium"/>
    <x v="0"/>
    <n v="42.692399999999999"/>
    <n v="11.859"/>
  </r>
  <r>
    <x v="0"/>
    <x v="10"/>
    <x v="9"/>
    <x v="19"/>
    <s v="SE3_medium"/>
    <x v="21"/>
    <n v="48.384"/>
    <n v="13.44"/>
  </r>
  <r>
    <x v="0"/>
    <x v="10"/>
    <x v="9"/>
    <x v="19"/>
    <s v="SE3_medium"/>
    <x v="22"/>
    <n v="79.847999999999999"/>
    <n v="22.18"/>
  </r>
  <r>
    <x v="0"/>
    <x v="10"/>
    <x v="9"/>
    <x v="19"/>
    <s v="SE3_small"/>
    <x v="2"/>
    <n v="48.384"/>
    <n v="13.44"/>
  </r>
  <r>
    <x v="0"/>
    <x v="10"/>
    <x v="9"/>
    <x v="19"/>
    <s v="SE3_small"/>
    <x v="0"/>
    <n v="42.692399999999999"/>
    <n v="11.859"/>
  </r>
  <r>
    <x v="0"/>
    <x v="10"/>
    <x v="9"/>
    <x v="19"/>
    <s v="SE3_small"/>
    <x v="21"/>
    <n v="48.384"/>
    <n v="13.44"/>
  </r>
  <r>
    <x v="0"/>
    <x v="10"/>
    <x v="9"/>
    <x v="19"/>
    <s v="SE3_small"/>
    <x v="22"/>
    <n v="79.847999999999999"/>
    <n v="22.18"/>
  </r>
  <r>
    <x v="0"/>
    <x v="10"/>
    <x v="9"/>
    <x v="20"/>
    <s v="SE4A"/>
    <x v="2"/>
    <n v="48.384"/>
    <n v="13.44"/>
  </r>
  <r>
    <x v="0"/>
    <x v="10"/>
    <x v="9"/>
    <x v="20"/>
    <s v="SE4A"/>
    <x v="0"/>
    <n v="42.692399999999999"/>
    <n v="11.859"/>
  </r>
  <r>
    <x v="0"/>
    <x v="10"/>
    <x v="9"/>
    <x v="20"/>
    <s v="SE4A"/>
    <x v="21"/>
    <n v="48.384"/>
    <n v="13.44"/>
  </r>
  <r>
    <x v="0"/>
    <x v="10"/>
    <x v="9"/>
    <x v="20"/>
    <s v="SE4A"/>
    <x v="22"/>
    <n v="79.847999999999999"/>
    <n v="22.18"/>
  </r>
  <r>
    <x v="0"/>
    <x v="10"/>
    <x v="9"/>
    <x v="20"/>
    <s v="SE4_IND"/>
    <x v="2"/>
    <n v="48.384"/>
    <n v="13.44"/>
  </r>
  <r>
    <x v="0"/>
    <x v="10"/>
    <x v="9"/>
    <x v="20"/>
    <s v="SE4_IND"/>
    <x v="0"/>
    <n v="42.692399999999999"/>
    <n v="11.859"/>
  </r>
  <r>
    <x v="0"/>
    <x v="10"/>
    <x v="9"/>
    <x v="20"/>
    <s v="SE4_IND"/>
    <x v="21"/>
    <n v="48.384"/>
    <n v="13.44"/>
  </r>
  <r>
    <x v="0"/>
    <x v="10"/>
    <x v="9"/>
    <x v="20"/>
    <s v="SE4_IND"/>
    <x v="22"/>
    <n v="79.847999999999999"/>
    <n v="22.18"/>
  </r>
  <r>
    <x v="0"/>
    <x v="10"/>
    <x v="9"/>
    <x v="20"/>
    <s v="SE4_Offshore"/>
    <x v="2"/>
    <n v="48.384"/>
    <n v="13.44"/>
  </r>
  <r>
    <x v="0"/>
    <x v="10"/>
    <x v="9"/>
    <x v="20"/>
    <s v="SE4_Offshore"/>
    <x v="0"/>
    <n v="42.692399999999999"/>
    <n v="11.859"/>
  </r>
  <r>
    <x v="0"/>
    <x v="10"/>
    <x v="9"/>
    <x v="20"/>
    <s v="SE4_Offshore"/>
    <x v="21"/>
    <n v="48.384"/>
    <n v="13.44"/>
  </r>
  <r>
    <x v="0"/>
    <x v="10"/>
    <x v="9"/>
    <x v="20"/>
    <s v="SE4_Offshore"/>
    <x v="22"/>
    <n v="79.847999999999999"/>
    <n v="22.18"/>
  </r>
  <r>
    <x v="0"/>
    <x v="10"/>
    <x v="9"/>
    <x v="20"/>
    <s v="SE4_large"/>
    <x v="2"/>
    <n v="48.384"/>
    <n v="13.44"/>
  </r>
  <r>
    <x v="0"/>
    <x v="10"/>
    <x v="9"/>
    <x v="20"/>
    <s v="SE4_large"/>
    <x v="0"/>
    <n v="42.692399999999999"/>
    <n v="11.859"/>
  </r>
  <r>
    <x v="0"/>
    <x v="10"/>
    <x v="9"/>
    <x v="20"/>
    <s v="SE4_large"/>
    <x v="21"/>
    <n v="48.384"/>
    <n v="13.44"/>
  </r>
  <r>
    <x v="0"/>
    <x v="10"/>
    <x v="9"/>
    <x v="20"/>
    <s v="SE4_large"/>
    <x v="22"/>
    <n v="79.847999999999999"/>
    <n v="22.18"/>
  </r>
  <r>
    <x v="0"/>
    <x v="10"/>
    <x v="9"/>
    <x v="20"/>
    <s v="SE4_medium"/>
    <x v="2"/>
    <n v="48.384"/>
    <n v="13.44"/>
  </r>
  <r>
    <x v="0"/>
    <x v="10"/>
    <x v="9"/>
    <x v="20"/>
    <s v="SE4_medium"/>
    <x v="0"/>
    <n v="42.692399999999999"/>
    <n v="11.859"/>
  </r>
  <r>
    <x v="0"/>
    <x v="10"/>
    <x v="9"/>
    <x v="20"/>
    <s v="SE4_medium"/>
    <x v="21"/>
    <n v="48.384"/>
    <n v="13.44"/>
  </r>
  <r>
    <x v="0"/>
    <x v="10"/>
    <x v="9"/>
    <x v="20"/>
    <s v="SE4_medium"/>
    <x v="22"/>
    <n v="79.847999999999999"/>
    <n v="22.18"/>
  </r>
  <r>
    <x v="0"/>
    <x v="10"/>
    <x v="9"/>
    <x v="20"/>
    <s v="SE4_small"/>
    <x v="2"/>
    <n v="48.384"/>
    <n v="13.44"/>
  </r>
  <r>
    <x v="0"/>
    <x v="10"/>
    <x v="9"/>
    <x v="20"/>
    <s v="SE4_small"/>
    <x v="0"/>
    <n v="42.692399999999999"/>
    <n v="11.859"/>
  </r>
  <r>
    <x v="0"/>
    <x v="10"/>
    <x v="9"/>
    <x v="20"/>
    <s v="SE4_small"/>
    <x v="21"/>
    <n v="48.384"/>
    <n v="13.44"/>
  </r>
  <r>
    <x v="0"/>
    <x v="10"/>
    <x v="9"/>
    <x v="20"/>
    <s v="SE4_small"/>
    <x v="22"/>
    <n v="79.847999999999999"/>
    <n v="22.18"/>
  </r>
  <r>
    <x v="0"/>
    <x v="10"/>
    <x v="10"/>
    <x v="21"/>
    <s v="UK_A"/>
    <x v="2"/>
    <n v="48.384"/>
    <n v="13.44"/>
  </r>
  <r>
    <x v="0"/>
    <x v="10"/>
    <x v="10"/>
    <x v="21"/>
    <s v="UK_A"/>
    <x v="0"/>
    <n v="42.692399999999999"/>
    <n v="11.859"/>
  </r>
  <r>
    <x v="0"/>
    <x v="10"/>
    <x v="10"/>
    <x v="21"/>
    <s v="UK_A"/>
    <x v="21"/>
    <n v="48.384"/>
    <n v="13.44"/>
  </r>
  <r>
    <x v="0"/>
    <x v="10"/>
    <x v="10"/>
    <x v="21"/>
    <s v="UK_A"/>
    <x v="22"/>
    <n v="79.847999999999999"/>
    <n v="22.18"/>
  </r>
  <r>
    <x v="0"/>
    <x v="10"/>
    <x v="10"/>
    <x v="21"/>
    <s v="UK_Offshore"/>
    <x v="2"/>
    <n v="48.384"/>
    <n v="13.44"/>
  </r>
  <r>
    <x v="0"/>
    <x v="10"/>
    <x v="10"/>
    <x v="21"/>
    <s v="UK_Offshore"/>
    <x v="0"/>
    <n v="42.692399999999999"/>
    <n v="11.859"/>
  </r>
  <r>
    <x v="0"/>
    <x v="10"/>
    <x v="10"/>
    <x v="21"/>
    <s v="UK_Offshore"/>
    <x v="21"/>
    <n v="48.384"/>
    <n v="13.44"/>
  </r>
  <r>
    <x v="0"/>
    <x v="10"/>
    <x v="10"/>
    <x v="21"/>
    <s v="UK_Offshore"/>
    <x v="22"/>
    <n v="79.847999999999999"/>
    <n v="22.18"/>
  </r>
  <r>
    <x v="0"/>
    <x v="11"/>
    <x v="0"/>
    <x v="0"/>
    <s v="DK1_Large"/>
    <x v="2"/>
    <n v="48.384"/>
    <n v="13.44"/>
  </r>
  <r>
    <x v="0"/>
    <x v="11"/>
    <x v="0"/>
    <x v="0"/>
    <s v="DK1_Large"/>
    <x v="0"/>
    <n v="42.692399999999999"/>
    <n v="11.859"/>
  </r>
  <r>
    <x v="0"/>
    <x v="11"/>
    <x v="0"/>
    <x v="0"/>
    <s v="DK1_Large"/>
    <x v="21"/>
    <n v="48.384"/>
    <n v="13.44"/>
  </r>
  <r>
    <x v="0"/>
    <x v="11"/>
    <x v="0"/>
    <x v="0"/>
    <s v="DK1_Large"/>
    <x v="22"/>
    <n v="79.847999999999999"/>
    <n v="22.18"/>
  </r>
  <r>
    <x v="0"/>
    <x v="11"/>
    <x v="0"/>
    <x v="0"/>
    <s v="DK1_Large_PHH"/>
    <x v="2"/>
    <n v="48.384"/>
    <n v="13.44"/>
  </r>
  <r>
    <x v="0"/>
    <x v="11"/>
    <x v="0"/>
    <x v="0"/>
    <s v="DK1_Large_PHH"/>
    <x v="0"/>
    <n v="42.692399999999999"/>
    <n v="11.859"/>
  </r>
  <r>
    <x v="0"/>
    <x v="11"/>
    <x v="0"/>
    <x v="0"/>
    <s v="DK1_Large_PHH"/>
    <x v="21"/>
    <n v="48.384"/>
    <n v="13.44"/>
  </r>
  <r>
    <x v="0"/>
    <x v="11"/>
    <x v="0"/>
    <x v="0"/>
    <s v="DK1_Large_PHH"/>
    <x v="22"/>
    <n v="79.847999999999999"/>
    <n v="22.18"/>
  </r>
  <r>
    <x v="0"/>
    <x v="11"/>
    <x v="0"/>
    <x v="0"/>
    <s v="DK1_Large_PHL"/>
    <x v="2"/>
    <n v="48.384"/>
    <n v="13.44"/>
  </r>
  <r>
    <x v="0"/>
    <x v="11"/>
    <x v="0"/>
    <x v="0"/>
    <s v="DK1_Large_PHL"/>
    <x v="0"/>
    <n v="42.692399999999999"/>
    <n v="11.859"/>
  </r>
  <r>
    <x v="0"/>
    <x v="11"/>
    <x v="0"/>
    <x v="0"/>
    <s v="DK1_Large_PHL"/>
    <x v="21"/>
    <n v="48.384"/>
    <n v="13.44"/>
  </r>
  <r>
    <x v="0"/>
    <x v="11"/>
    <x v="0"/>
    <x v="0"/>
    <s v="DK1_Large_PHL"/>
    <x v="22"/>
    <n v="79.847999999999999"/>
    <n v="22.18"/>
  </r>
  <r>
    <x v="0"/>
    <x v="11"/>
    <x v="0"/>
    <x v="0"/>
    <s v="DK1_MedSmall"/>
    <x v="2"/>
    <n v="48.384"/>
    <n v="13.44"/>
  </r>
  <r>
    <x v="0"/>
    <x v="11"/>
    <x v="0"/>
    <x v="0"/>
    <s v="DK1_MedSmall"/>
    <x v="0"/>
    <n v="42.692399999999999"/>
    <n v="11.859"/>
  </r>
  <r>
    <x v="0"/>
    <x v="11"/>
    <x v="0"/>
    <x v="0"/>
    <s v="DK1_MedSmall"/>
    <x v="21"/>
    <n v="48.384"/>
    <n v="13.44"/>
  </r>
  <r>
    <x v="0"/>
    <x v="11"/>
    <x v="0"/>
    <x v="0"/>
    <s v="DK1_MedSmall"/>
    <x v="22"/>
    <n v="79.847999999999999"/>
    <n v="22.18"/>
  </r>
  <r>
    <x v="0"/>
    <x v="11"/>
    <x v="0"/>
    <x v="0"/>
    <s v="DK1_Medium"/>
    <x v="2"/>
    <n v="48.384"/>
    <n v="13.44"/>
  </r>
  <r>
    <x v="0"/>
    <x v="11"/>
    <x v="0"/>
    <x v="0"/>
    <s v="DK1_Medium"/>
    <x v="0"/>
    <n v="42.692399999999999"/>
    <n v="11.859"/>
  </r>
  <r>
    <x v="0"/>
    <x v="11"/>
    <x v="0"/>
    <x v="0"/>
    <s v="DK1_Medium"/>
    <x v="21"/>
    <n v="48.384"/>
    <n v="13.44"/>
  </r>
  <r>
    <x v="0"/>
    <x v="11"/>
    <x v="0"/>
    <x v="0"/>
    <s v="DK1_Medium"/>
    <x v="22"/>
    <n v="79.847999999999999"/>
    <n v="22.18"/>
  </r>
  <r>
    <x v="0"/>
    <x v="11"/>
    <x v="0"/>
    <x v="0"/>
    <s v="DK1_NoDH"/>
    <x v="2"/>
    <n v="48.384"/>
    <n v="13.44"/>
  </r>
  <r>
    <x v="0"/>
    <x v="11"/>
    <x v="0"/>
    <x v="0"/>
    <s v="DK1_NoDH"/>
    <x v="0"/>
    <n v="42.692399999999999"/>
    <n v="11.859"/>
  </r>
  <r>
    <x v="0"/>
    <x v="11"/>
    <x v="0"/>
    <x v="0"/>
    <s v="DK1_NoDH"/>
    <x v="21"/>
    <n v="48.384"/>
    <n v="13.44"/>
  </r>
  <r>
    <x v="0"/>
    <x v="11"/>
    <x v="0"/>
    <x v="0"/>
    <s v="DK1_NoDH"/>
    <x v="22"/>
    <n v="79.847999999999999"/>
    <n v="22.18"/>
  </r>
  <r>
    <x v="0"/>
    <x v="11"/>
    <x v="0"/>
    <x v="0"/>
    <s v="DK1_NoDH_PHH"/>
    <x v="2"/>
    <n v="48.384"/>
    <n v="13.44"/>
  </r>
  <r>
    <x v="0"/>
    <x v="11"/>
    <x v="0"/>
    <x v="0"/>
    <s v="DK1_NoDH_PHH"/>
    <x v="0"/>
    <n v="42.692399999999999"/>
    <n v="11.859"/>
  </r>
  <r>
    <x v="0"/>
    <x v="11"/>
    <x v="0"/>
    <x v="0"/>
    <s v="DK1_NoDH_PHH"/>
    <x v="21"/>
    <n v="48.384"/>
    <n v="13.44"/>
  </r>
  <r>
    <x v="0"/>
    <x v="11"/>
    <x v="0"/>
    <x v="0"/>
    <s v="DK1_NoDH_PHH"/>
    <x v="22"/>
    <n v="79.847999999999999"/>
    <n v="22.18"/>
  </r>
  <r>
    <x v="0"/>
    <x v="11"/>
    <x v="0"/>
    <x v="0"/>
    <s v="DK1_NoDH_PHL"/>
    <x v="2"/>
    <n v="48.384"/>
    <n v="13.44"/>
  </r>
  <r>
    <x v="0"/>
    <x v="11"/>
    <x v="0"/>
    <x v="0"/>
    <s v="DK1_NoDH_PHL"/>
    <x v="0"/>
    <n v="42.692399999999999"/>
    <n v="11.859"/>
  </r>
  <r>
    <x v="0"/>
    <x v="11"/>
    <x v="0"/>
    <x v="0"/>
    <s v="DK1_NoDH_PHL"/>
    <x v="21"/>
    <n v="48.384"/>
    <n v="13.44"/>
  </r>
  <r>
    <x v="0"/>
    <x v="11"/>
    <x v="0"/>
    <x v="0"/>
    <s v="DK1_NoDH_PHL"/>
    <x v="22"/>
    <n v="79.847999999999999"/>
    <n v="22.18"/>
  </r>
  <r>
    <x v="0"/>
    <x v="11"/>
    <x v="0"/>
    <x v="0"/>
    <s v="DK1_Offshore"/>
    <x v="2"/>
    <n v="48.384"/>
    <n v="13.44"/>
  </r>
  <r>
    <x v="0"/>
    <x v="11"/>
    <x v="0"/>
    <x v="0"/>
    <s v="DK1_Offshore"/>
    <x v="0"/>
    <n v="42.692399999999999"/>
    <n v="11.859"/>
  </r>
  <r>
    <x v="0"/>
    <x v="11"/>
    <x v="0"/>
    <x v="0"/>
    <s v="DK1_Offshore"/>
    <x v="21"/>
    <n v="48.384"/>
    <n v="13.44"/>
  </r>
  <r>
    <x v="0"/>
    <x v="11"/>
    <x v="0"/>
    <x v="0"/>
    <s v="DK1_Offshore"/>
    <x v="22"/>
    <n v="79.847999999999999"/>
    <n v="22.18"/>
  </r>
  <r>
    <x v="0"/>
    <x v="11"/>
    <x v="0"/>
    <x v="0"/>
    <s v="DK1_Rural"/>
    <x v="2"/>
    <n v="48.384"/>
    <n v="13.44"/>
  </r>
  <r>
    <x v="0"/>
    <x v="11"/>
    <x v="0"/>
    <x v="0"/>
    <s v="DK1_Rural"/>
    <x v="0"/>
    <n v="42.692399999999999"/>
    <n v="11.859"/>
  </r>
  <r>
    <x v="0"/>
    <x v="11"/>
    <x v="0"/>
    <x v="0"/>
    <s v="DK1_Rural"/>
    <x v="21"/>
    <n v="48.384"/>
    <n v="13.44"/>
  </r>
  <r>
    <x v="0"/>
    <x v="11"/>
    <x v="0"/>
    <x v="0"/>
    <s v="DK1_Rural"/>
    <x v="22"/>
    <n v="79.847999999999999"/>
    <n v="22.18"/>
  </r>
  <r>
    <x v="0"/>
    <x v="11"/>
    <x v="0"/>
    <x v="0"/>
    <s v="DK1_Small"/>
    <x v="2"/>
    <n v="48.384"/>
    <n v="13.44"/>
  </r>
  <r>
    <x v="0"/>
    <x v="11"/>
    <x v="0"/>
    <x v="0"/>
    <s v="DK1_Small"/>
    <x v="0"/>
    <n v="42.692399999999999"/>
    <n v="11.859"/>
  </r>
  <r>
    <x v="0"/>
    <x v="11"/>
    <x v="0"/>
    <x v="0"/>
    <s v="DK1_Small"/>
    <x v="21"/>
    <n v="48.384"/>
    <n v="13.44"/>
  </r>
  <r>
    <x v="0"/>
    <x v="11"/>
    <x v="0"/>
    <x v="0"/>
    <s v="DK1_Small"/>
    <x v="22"/>
    <n v="79.847999999999999"/>
    <n v="22.18"/>
  </r>
  <r>
    <x v="0"/>
    <x v="11"/>
    <x v="0"/>
    <x v="1"/>
    <s v="DK2_Large"/>
    <x v="2"/>
    <n v="48.384"/>
    <n v="13.44"/>
  </r>
  <r>
    <x v="0"/>
    <x v="11"/>
    <x v="0"/>
    <x v="1"/>
    <s v="DK2_Large"/>
    <x v="0"/>
    <n v="42.692399999999999"/>
    <n v="11.859"/>
  </r>
  <r>
    <x v="0"/>
    <x v="11"/>
    <x v="0"/>
    <x v="1"/>
    <s v="DK2_Large"/>
    <x v="21"/>
    <n v="48.384"/>
    <n v="13.44"/>
  </r>
  <r>
    <x v="0"/>
    <x v="11"/>
    <x v="0"/>
    <x v="1"/>
    <s v="DK2_Large"/>
    <x v="22"/>
    <n v="79.847999999999999"/>
    <n v="22.18"/>
  </r>
  <r>
    <x v="0"/>
    <x v="11"/>
    <x v="0"/>
    <x v="1"/>
    <s v="DK2_Large_PHH"/>
    <x v="2"/>
    <n v="48.384"/>
    <n v="13.44"/>
  </r>
  <r>
    <x v="0"/>
    <x v="11"/>
    <x v="0"/>
    <x v="1"/>
    <s v="DK2_Large_PHH"/>
    <x v="0"/>
    <n v="42.692399999999999"/>
    <n v="11.859"/>
  </r>
  <r>
    <x v="0"/>
    <x v="11"/>
    <x v="0"/>
    <x v="1"/>
    <s v="DK2_Large_PHH"/>
    <x v="21"/>
    <n v="48.384"/>
    <n v="13.44"/>
  </r>
  <r>
    <x v="0"/>
    <x v="11"/>
    <x v="0"/>
    <x v="1"/>
    <s v="DK2_Large_PHH"/>
    <x v="22"/>
    <n v="79.847999999999999"/>
    <n v="22.18"/>
  </r>
  <r>
    <x v="0"/>
    <x v="11"/>
    <x v="0"/>
    <x v="1"/>
    <s v="DK2_Large_PHL"/>
    <x v="2"/>
    <n v="48.384"/>
    <n v="13.44"/>
  </r>
  <r>
    <x v="0"/>
    <x v="11"/>
    <x v="0"/>
    <x v="1"/>
    <s v="DK2_Large_PHL"/>
    <x v="0"/>
    <n v="42.692399999999999"/>
    <n v="11.859"/>
  </r>
  <r>
    <x v="0"/>
    <x v="11"/>
    <x v="0"/>
    <x v="1"/>
    <s v="DK2_Large_PHL"/>
    <x v="21"/>
    <n v="48.384"/>
    <n v="13.44"/>
  </r>
  <r>
    <x v="0"/>
    <x v="11"/>
    <x v="0"/>
    <x v="1"/>
    <s v="DK2_Large_PHL"/>
    <x v="22"/>
    <n v="79.847999999999999"/>
    <n v="22.18"/>
  </r>
  <r>
    <x v="0"/>
    <x v="11"/>
    <x v="0"/>
    <x v="1"/>
    <s v="DK2_MedSmall"/>
    <x v="2"/>
    <n v="48.384"/>
    <n v="13.44"/>
  </r>
  <r>
    <x v="0"/>
    <x v="11"/>
    <x v="0"/>
    <x v="1"/>
    <s v="DK2_MedSmall"/>
    <x v="0"/>
    <n v="42.692399999999999"/>
    <n v="11.859"/>
  </r>
  <r>
    <x v="0"/>
    <x v="11"/>
    <x v="0"/>
    <x v="1"/>
    <s v="DK2_MedSmall"/>
    <x v="21"/>
    <n v="48.384"/>
    <n v="13.44"/>
  </r>
  <r>
    <x v="0"/>
    <x v="11"/>
    <x v="0"/>
    <x v="1"/>
    <s v="DK2_MedSmall"/>
    <x v="22"/>
    <n v="79.847999999999999"/>
    <n v="22.18"/>
  </r>
  <r>
    <x v="0"/>
    <x v="11"/>
    <x v="0"/>
    <x v="1"/>
    <s v="DK2_Medium"/>
    <x v="2"/>
    <n v="48.384"/>
    <n v="13.44"/>
  </r>
  <r>
    <x v="0"/>
    <x v="11"/>
    <x v="0"/>
    <x v="1"/>
    <s v="DK2_Medium"/>
    <x v="0"/>
    <n v="42.692399999999999"/>
    <n v="11.859"/>
  </r>
  <r>
    <x v="0"/>
    <x v="11"/>
    <x v="0"/>
    <x v="1"/>
    <s v="DK2_Medium"/>
    <x v="21"/>
    <n v="48.384"/>
    <n v="13.44"/>
  </r>
  <r>
    <x v="0"/>
    <x v="11"/>
    <x v="0"/>
    <x v="1"/>
    <s v="DK2_Medium"/>
    <x v="22"/>
    <n v="79.847999999999999"/>
    <n v="22.18"/>
  </r>
  <r>
    <x v="0"/>
    <x v="11"/>
    <x v="0"/>
    <x v="1"/>
    <s v="DK2_NoDH"/>
    <x v="2"/>
    <n v="48.384"/>
    <n v="13.44"/>
  </r>
  <r>
    <x v="0"/>
    <x v="11"/>
    <x v="0"/>
    <x v="1"/>
    <s v="DK2_NoDH"/>
    <x v="0"/>
    <n v="42.692399999999999"/>
    <n v="11.859"/>
  </r>
  <r>
    <x v="0"/>
    <x v="11"/>
    <x v="0"/>
    <x v="1"/>
    <s v="DK2_NoDH"/>
    <x v="21"/>
    <n v="48.384"/>
    <n v="13.44"/>
  </r>
  <r>
    <x v="0"/>
    <x v="11"/>
    <x v="0"/>
    <x v="1"/>
    <s v="DK2_NoDH"/>
    <x v="22"/>
    <n v="79.847999999999999"/>
    <n v="22.18"/>
  </r>
  <r>
    <x v="0"/>
    <x v="11"/>
    <x v="0"/>
    <x v="1"/>
    <s v="DK2_NoDH_PHH"/>
    <x v="2"/>
    <n v="48.384"/>
    <n v="13.44"/>
  </r>
  <r>
    <x v="0"/>
    <x v="11"/>
    <x v="0"/>
    <x v="1"/>
    <s v="DK2_NoDH_PHH"/>
    <x v="0"/>
    <n v="42.692399999999999"/>
    <n v="11.859"/>
  </r>
  <r>
    <x v="0"/>
    <x v="11"/>
    <x v="0"/>
    <x v="1"/>
    <s v="DK2_NoDH_PHH"/>
    <x v="21"/>
    <n v="48.384"/>
    <n v="13.44"/>
  </r>
  <r>
    <x v="0"/>
    <x v="11"/>
    <x v="0"/>
    <x v="1"/>
    <s v="DK2_NoDH_PHH"/>
    <x v="22"/>
    <n v="79.847999999999999"/>
    <n v="22.18"/>
  </r>
  <r>
    <x v="0"/>
    <x v="11"/>
    <x v="0"/>
    <x v="1"/>
    <s v="DK2_NoDH_PHL"/>
    <x v="2"/>
    <n v="48.384"/>
    <n v="13.44"/>
  </r>
  <r>
    <x v="0"/>
    <x v="11"/>
    <x v="0"/>
    <x v="1"/>
    <s v="DK2_NoDH_PHL"/>
    <x v="0"/>
    <n v="42.692399999999999"/>
    <n v="11.859"/>
  </r>
  <r>
    <x v="0"/>
    <x v="11"/>
    <x v="0"/>
    <x v="1"/>
    <s v="DK2_NoDH_PHL"/>
    <x v="21"/>
    <n v="48.384"/>
    <n v="13.44"/>
  </r>
  <r>
    <x v="0"/>
    <x v="11"/>
    <x v="0"/>
    <x v="1"/>
    <s v="DK2_NoDH_PHL"/>
    <x v="22"/>
    <n v="79.847999999999999"/>
    <n v="22.18"/>
  </r>
  <r>
    <x v="0"/>
    <x v="11"/>
    <x v="0"/>
    <x v="1"/>
    <s v="DK2_Offshore"/>
    <x v="2"/>
    <n v="48.384"/>
    <n v="13.44"/>
  </r>
  <r>
    <x v="0"/>
    <x v="11"/>
    <x v="0"/>
    <x v="1"/>
    <s v="DK2_Offshore"/>
    <x v="0"/>
    <n v="42.692399999999999"/>
    <n v="11.859"/>
  </r>
  <r>
    <x v="0"/>
    <x v="11"/>
    <x v="0"/>
    <x v="1"/>
    <s v="DK2_Offshore"/>
    <x v="21"/>
    <n v="48.384"/>
    <n v="13.44"/>
  </r>
  <r>
    <x v="0"/>
    <x v="11"/>
    <x v="0"/>
    <x v="1"/>
    <s v="DK2_Offshore"/>
    <x v="22"/>
    <n v="79.847999999999999"/>
    <n v="22.18"/>
  </r>
  <r>
    <x v="0"/>
    <x v="11"/>
    <x v="0"/>
    <x v="1"/>
    <s v="DK2_Rural"/>
    <x v="2"/>
    <n v="48.384"/>
    <n v="13.44"/>
  </r>
  <r>
    <x v="0"/>
    <x v="11"/>
    <x v="0"/>
    <x v="1"/>
    <s v="DK2_Rural"/>
    <x v="0"/>
    <n v="42.692399999999999"/>
    <n v="11.859"/>
  </r>
  <r>
    <x v="0"/>
    <x v="11"/>
    <x v="0"/>
    <x v="1"/>
    <s v="DK2_Rural"/>
    <x v="21"/>
    <n v="48.384"/>
    <n v="13.44"/>
  </r>
  <r>
    <x v="0"/>
    <x v="11"/>
    <x v="0"/>
    <x v="1"/>
    <s v="DK2_Rural"/>
    <x v="22"/>
    <n v="79.847999999999999"/>
    <n v="22.18"/>
  </r>
  <r>
    <x v="0"/>
    <x v="11"/>
    <x v="0"/>
    <x v="1"/>
    <s v="DK2_Small"/>
    <x v="2"/>
    <n v="48.384"/>
    <n v="13.44"/>
  </r>
  <r>
    <x v="0"/>
    <x v="11"/>
    <x v="0"/>
    <x v="1"/>
    <s v="DK2_Small"/>
    <x v="0"/>
    <n v="42.692399999999999"/>
    <n v="11.859"/>
  </r>
  <r>
    <x v="0"/>
    <x v="11"/>
    <x v="0"/>
    <x v="1"/>
    <s v="DK2_Small"/>
    <x v="21"/>
    <n v="48.384"/>
    <n v="13.44"/>
  </r>
  <r>
    <x v="0"/>
    <x v="11"/>
    <x v="0"/>
    <x v="1"/>
    <s v="DK2_Small"/>
    <x v="22"/>
    <n v="79.847999999999999"/>
    <n v="22.18"/>
  </r>
  <r>
    <x v="0"/>
    <x v="11"/>
    <x v="1"/>
    <x v="2"/>
    <s v="EE_A"/>
    <x v="2"/>
    <n v="48.384"/>
    <n v="13.44"/>
  </r>
  <r>
    <x v="0"/>
    <x v="11"/>
    <x v="1"/>
    <x v="2"/>
    <s v="EE_A"/>
    <x v="0"/>
    <n v="42.692399999999999"/>
    <n v="11.859"/>
  </r>
  <r>
    <x v="0"/>
    <x v="11"/>
    <x v="1"/>
    <x v="2"/>
    <s v="EE_A"/>
    <x v="21"/>
    <n v="48.384"/>
    <n v="13.44"/>
  </r>
  <r>
    <x v="0"/>
    <x v="11"/>
    <x v="1"/>
    <x v="2"/>
    <s v="EE_A"/>
    <x v="22"/>
    <n v="79.847999999999999"/>
    <n v="22.18"/>
  </r>
  <r>
    <x v="0"/>
    <x v="11"/>
    <x v="1"/>
    <x v="2"/>
    <s v="EE_Enefit"/>
    <x v="2"/>
    <n v="48.384"/>
    <n v="13.44"/>
  </r>
  <r>
    <x v="0"/>
    <x v="11"/>
    <x v="1"/>
    <x v="2"/>
    <s v="EE_Enefit"/>
    <x v="0"/>
    <n v="42.692399999999999"/>
    <n v="11.859"/>
  </r>
  <r>
    <x v="0"/>
    <x v="11"/>
    <x v="1"/>
    <x v="2"/>
    <s v="EE_Enefit"/>
    <x v="21"/>
    <n v="48.384"/>
    <n v="13.44"/>
  </r>
  <r>
    <x v="0"/>
    <x v="11"/>
    <x v="1"/>
    <x v="2"/>
    <s v="EE_Enefit"/>
    <x v="22"/>
    <n v="79.847999999999999"/>
    <n v="22.18"/>
  </r>
  <r>
    <x v="0"/>
    <x v="11"/>
    <x v="1"/>
    <x v="2"/>
    <s v="EE_Industry"/>
    <x v="2"/>
    <n v="48.384"/>
    <n v="13.44"/>
  </r>
  <r>
    <x v="0"/>
    <x v="11"/>
    <x v="1"/>
    <x v="2"/>
    <s v="EE_Industry"/>
    <x v="0"/>
    <n v="42.692399999999999"/>
    <n v="11.859"/>
  </r>
  <r>
    <x v="0"/>
    <x v="11"/>
    <x v="1"/>
    <x v="2"/>
    <s v="EE_Industry"/>
    <x v="21"/>
    <n v="48.384"/>
    <n v="13.44"/>
  </r>
  <r>
    <x v="0"/>
    <x v="11"/>
    <x v="1"/>
    <x v="2"/>
    <s v="EE_Industry"/>
    <x v="22"/>
    <n v="79.847999999999999"/>
    <n v="22.18"/>
  </r>
  <r>
    <x v="0"/>
    <x v="11"/>
    <x v="1"/>
    <x v="2"/>
    <s v="EE_Kohtla_Jarve"/>
    <x v="2"/>
    <n v="48.384"/>
    <n v="13.44"/>
  </r>
  <r>
    <x v="0"/>
    <x v="11"/>
    <x v="1"/>
    <x v="2"/>
    <s v="EE_Kohtla_Jarve"/>
    <x v="0"/>
    <n v="42.692399999999999"/>
    <n v="11.859"/>
  </r>
  <r>
    <x v="0"/>
    <x v="11"/>
    <x v="1"/>
    <x v="2"/>
    <s v="EE_Kohtla_Jarve"/>
    <x v="21"/>
    <n v="48.384"/>
    <n v="13.44"/>
  </r>
  <r>
    <x v="0"/>
    <x v="11"/>
    <x v="1"/>
    <x v="2"/>
    <s v="EE_Kohtla_Jarve"/>
    <x v="22"/>
    <n v="79.847999999999999"/>
    <n v="22.18"/>
  </r>
  <r>
    <x v="0"/>
    <x v="11"/>
    <x v="1"/>
    <x v="2"/>
    <s v="EE_Narva"/>
    <x v="2"/>
    <n v="48.384"/>
    <n v="13.44"/>
  </r>
  <r>
    <x v="0"/>
    <x v="11"/>
    <x v="1"/>
    <x v="2"/>
    <s v="EE_Narva"/>
    <x v="0"/>
    <n v="42.692399999999999"/>
    <n v="11.859"/>
  </r>
  <r>
    <x v="0"/>
    <x v="11"/>
    <x v="1"/>
    <x v="2"/>
    <s v="EE_Narva"/>
    <x v="21"/>
    <n v="48.384"/>
    <n v="13.44"/>
  </r>
  <r>
    <x v="0"/>
    <x v="11"/>
    <x v="1"/>
    <x v="2"/>
    <s v="EE_Narva"/>
    <x v="22"/>
    <n v="79.847999999999999"/>
    <n v="22.18"/>
  </r>
  <r>
    <x v="0"/>
    <x v="11"/>
    <x v="1"/>
    <x v="2"/>
    <s v="EE_OFFSHORE"/>
    <x v="2"/>
    <n v="48.384"/>
    <n v="13.44"/>
  </r>
  <r>
    <x v="0"/>
    <x v="11"/>
    <x v="1"/>
    <x v="2"/>
    <s v="EE_OFFSHORE"/>
    <x v="0"/>
    <n v="42.692399999999999"/>
    <n v="11.859"/>
  </r>
  <r>
    <x v="0"/>
    <x v="11"/>
    <x v="1"/>
    <x v="2"/>
    <s v="EE_OFFSHORE"/>
    <x v="21"/>
    <n v="48.384"/>
    <n v="13.44"/>
  </r>
  <r>
    <x v="0"/>
    <x v="11"/>
    <x v="1"/>
    <x v="2"/>
    <s v="EE_OFFSHORE"/>
    <x v="22"/>
    <n v="79.847999999999999"/>
    <n v="22.18"/>
  </r>
  <r>
    <x v="0"/>
    <x v="11"/>
    <x v="1"/>
    <x v="2"/>
    <s v="EE_Parnu"/>
    <x v="2"/>
    <n v="48.384"/>
    <n v="13.44"/>
  </r>
  <r>
    <x v="0"/>
    <x v="11"/>
    <x v="1"/>
    <x v="2"/>
    <s v="EE_Parnu"/>
    <x v="0"/>
    <n v="42.692399999999999"/>
    <n v="11.859"/>
  </r>
  <r>
    <x v="0"/>
    <x v="11"/>
    <x v="1"/>
    <x v="2"/>
    <s v="EE_Parnu"/>
    <x v="21"/>
    <n v="48.384"/>
    <n v="13.44"/>
  </r>
  <r>
    <x v="0"/>
    <x v="11"/>
    <x v="1"/>
    <x v="2"/>
    <s v="EE_Parnu"/>
    <x v="22"/>
    <n v="79.847999999999999"/>
    <n v="22.18"/>
  </r>
  <r>
    <x v="0"/>
    <x v="11"/>
    <x v="1"/>
    <x v="2"/>
    <s v="EE_Rural"/>
    <x v="2"/>
    <n v="48.384"/>
    <n v="13.44"/>
  </r>
  <r>
    <x v="0"/>
    <x v="11"/>
    <x v="1"/>
    <x v="2"/>
    <s v="EE_Rural"/>
    <x v="0"/>
    <n v="42.692399999999999"/>
    <n v="11.859"/>
  </r>
  <r>
    <x v="0"/>
    <x v="11"/>
    <x v="1"/>
    <x v="2"/>
    <s v="EE_Rural"/>
    <x v="21"/>
    <n v="48.384"/>
    <n v="13.44"/>
  </r>
  <r>
    <x v="0"/>
    <x v="11"/>
    <x v="1"/>
    <x v="2"/>
    <s v="EE_Rural"/>
    <x v="22"/>
    <n v="79.847999999999999"/>
    <n v="22.18"/>
  </r>
  <r>
    <x v="0"/>
    <x v="11"/>
    <x v="1"/>
    <x v="2"/>
    <s v="EE_Sillamae"/>
    <x v="2"/>
    <n v="48.384"/>
    <n v="13.44"/>
  </r>
  <r>
    <x v="0"/>
    <x v="11"/>
    <x v="1"/>
    <x v="2"/>
    <s v="EE_Sillamae"/>
    <x v="0"/>
    <n v="42.692399999999999"/>
    <n v="11.859"/>
  </r>
  <r>
    <x v="0"/>
    <x v="11"/>
    <x v="1"/>
    <x v="2"/>
    <s v="EE_Sillamae"/>
    <x v="21"/>
    <n v="48.384"/>
    <n v="13.44"/>
  </r>
  <r>
    <x v="0"/>
    <x v="11"/>
    <x v="1"/>
    <x v="2"/>
    <s v="EE_Sillamae"/>
    <x v="22"/>
    <n v="79.847999999999999"/>
    <n v="22.18"/>
  </r>
  <r>
    <x v="0"/>
    <x v="11"/>
    <x v="1"/>
    <x v="2"/>
    <s v="EE_Tallinn"/>
    <x v="2"/>
    <n v="48.384"/>
    <n v="13.44"/>
  </r>
  <r>
    <x v="0"/>
    <x v="11"/>
    <x v="1"/>
    <x v="2"/>
    <s v="EE_Tallinn"/>
    <x v="0"/>
    <n v="42.692399999999999"/>
    <n v="11.859"/>
  </r>
  <r>
    <x v="0"/>
    <x v="11"/>
    <x v="1"/>
    <x v="2"/>
    <s v="EE_Tallinn"/>
    <x v="21"/>
    <n v="48.384"/>
    <n v="13.44"/>
  </r>
  <r>
    <x v="0"/>
    <x v="11"/>
    <x v="1"/>
    <x v="2"/>
    <s v="EE_Tallinn"/>
    <x v="22"/>
    <n v="79.847999999999999"/>
    <n v="22.18"/>
  </r>
  <r>
    <x v="0"/>
    <x v="11"/>
    <x v="1"/>
    <x v="2"/>
    <s v="EE_Tartu"/>
    <x v="2"/>
    <n v="48.384"/>
    <n v="13.44"/>
  </r>
  <r>
    <x v="0"/>
    <x v="11"/>
    <x v="1"/>
    <x v="2"/>
    <s v="EE_Tartu"/>
    <x v="0"/>
    <n v="42.692399999999999"/>
    <n v="11.859"/>
  </r>
  <r>
    <x v="0"/>
    <x v="11"/>
    <x v="1"/>
    <x v="2"/>
    <s v="EE_Tartu"/>
    <x v="21"/>
    <n v="48.384"/>
    <n v="13.44"/>
  </r>
  <r>
    <x v="0"/>
    <x v="11"/>
    <x v="1"/>
    <x v="2"/>
    <s v="EE_Tartu"/>
    <x v="22"/>
    <n v="79.847999999999999"/>
    <n v="22.18"/>
  </r>
  <r>
    <x v="0"/>
    <x v="11"/>
    <x v="1"/>
    <x v="2"/>
    <s v="EE_Urban"/>
    <x v="2"/>
    <n v="48.384"/>
    <n v="13.44"/>
  </r>
  <r>
    <x v="0"/>
    <x v="11"/>
    <x v="1"/>
    <x v="2"/>
    <s v="EE_Urban"/>
    <x v="0"/>
    <n v="42.692399999999999"/>
    <n v="11.859"/>
  </r>
  <r>
    <x v="0"/>
    <x v="11"/>
    <x v="1"/>
    <x v="2"/>
    <s v="EE_Urban"/>
    <x v="21"/>
    <n v="48.384"/>
    <n v="13.44"/>
  </r>
  <r>
    <x v="0"/>
    <x v="11"/>
    <x v="1"/>
    <x v="2"/>
    <s v="EE_Urban"/>
    <x v="22"/>
    <n v="79.847999999999999"/>
    <n v="22.18"/>
  </r>
  <r>
    <x v="0"/>
    <x v="11"/>
    <x v="2"/>
    <x v="3"/>
    <s v="FI_IND"/>
    <x v="2"/>
    <n v="48.384"/>
    <n v="13.44"/>
  </r>
  <r>
    <x v="0"/>
    <x v="11"/>
    <x v="2"/>
    <x v="3"/>
    <s v="FI_IND"/>
    <x v="0"/>
    <n v="42.692399999999999"/>
    <n v="11.859"/>
  </r>
  <r>
    <x v="0"/>
    <x v="11"/>
    <x v="2"/>
    <x v="3"/>
    <s v="FI_IND"/>
    <x v="21"/>
    <n v="48.384"/>
    <n v="13.44"/>
  </r>
  <r>
    <x v="0"/>
    <x v="11"/>
    <x v="2"/>
    <x v="3"/>
    <s v="FI_IND"/>
    <x v="22"/>
    <n v="79.847999999999999"/>
    <n v="22.18"/>
  </r>
  <r>
    <x v="0"/>
    <x v="11"/>
    <x v="2"/>
    <x v="3"/>
    <s v="FI_Offshore"/>
    <x v="2"/>
    <n v="48.384"/>
    <n v="13.44"/>
  </r>
  <r>
    <x v="0"/>
    <x v="11"/>
    <x v="2"/>
    <x v="3"/>
    <s v="FI_Offshore"/>
    <x v="0"/>
    <n v="42.692399999999999"/>
    <n v="11.859"/>
  </r>
  <r>
    <x v="0"/>
    <x v="11"/>
    <x v="2"/>
    <x v="3"/>
    <s v="FI_Offshore"/>
    <x v="21"/>
    <n v="48.384"/>
    <n v="13.44"/>
  </r>
  <r>
    <x v="0"/>
    <x v="11"/>
    <x v="2"/>
    <x v="3"/>
    <s v="FI_Offshore"/>
    <x v="22"/>
    <n v="79.847999999999999"/>
    <n v="22.18"/>
  </r>
  <r>
    <x v="0"/>
    <x v="11"/>
    <x v="2"/>
    <x v="3"/>
    <s v="FI_large"/>
    <x v="2"/>
    <n v="48.384"/>
    <n v="13.44"/>
  </r>
  <r>
    <x v="0"/>
    <x v="11"/>
    <x v="2"/>
    <x v="3"/>
    <s v="FI_large"/>
    <x v="0"/>
    <n v="42.692399999999999"/>
    <n v="11.859"/>
  </r>
  <r>
    <x v="0"/>
    <x v="11"/>
    <x v="2"/>
    <x v="3"/>
    <s v="FI_large"/>
    <x v="21"/>
    <n v="48.384"/>
    <n v="13.44"/>
  </r>
  <r>
    <x v="0"/>
    <x v="11"/>
    <x v="2"/>
    <x v="3"/>
    <s v="FI_large"/>
    <x v="22"/>
    <n v="79.847999999999999"/>
    <n v="22.18"/>
  </r>
  <r>
    <x v="0"/>
    <x v="11"/>
    <x v="2"/>
    <x v="3"/>
    <s v="FI_large_gas"/>
    <x v="2"/>
    <n v="48.384"/>
    <n v="13.44"/>
  </r>
  <r>
    <x v="0"/>
    <x v="11"/>
    <x v="2"/>
    <x v="3"/>
    <s v="FI_large_gas"/>
    <x v="0"/>
    <n v="42.692399999999999"/>
    <n v="11.859"/>
  </r>
  <r>
    <x v="0"/>
    <x v="11"/>
    <x v="2"/>
    <x v="3"/>
    <s v="FI_large_gas"/>
    <x v="21"/>
    <n v="48.384"/>
    <n v="13.44"/>
  </r>
  <r>
    <x v="0"/>
    <x v="11"/>
    <x v="2"/>
    <x v="3"/>
    <s v="FI_large_gas"/>
    <x v="22"/>
    <n v="79.847999999999999"/>
    <n v="22.18"/>
  </r>
  <r>
    <x v="0"/>
    <x v="11"/>
    <x v="2"/>
    <x v="3"/>
    <s v="FI_medium"/>
    <x v="2"/>
    <n v="48.384"/>
    <n v="13.44"/>
  </r>
  <r>
    <x v="0"/>
    <x v="11"/>
    <x v="2"/>
    <x v="3"/>
    <s v="FI_medium"/>
    <x v="0"/>
    <n v="42.692399999999999"/>
    <n v="11.859"/>
  </r>
  <r>
    <x v="0"/>
    <x v="11"/>
    <x v="2"/>
    <x v="3"/>
    <s v="FI_medium"/>
    <x v="21"/>
    <n v="48.384"/>
    <n v="13.44"/>
  </r>
  <r>
    <x v="0"/>
    <x v="11"/>
    <x v="2"/>
    <x v="3"/>
    <s v="FI_medium"/>
    <x v="22"/>
    <n v="79.847999999999999"/>
    <n v="22.18"/>
  </r>
  <r>
    <x v="0"/>
    <x v="11"/>
    <x v="2"/>
    <x v="3"/>
    <s v="FI_medium_gas"/>
    <x v="2"/>
    <n v="48.384"/>
    <n v="13.44"/>
  </r>
  <r>
    <x v="0"/>
    <x v="11"/>
    <x v="2"/>
    <x v="3"/>
    <s v="FI_medium_gas"/>
    <x v="0"/>
    <n v="42.692399999999999"/>
    <n v="11.859"/>
  </r>
  <r>
    <x v="0"/>
    <x v="11"/>
    <x v="2"/>
    <x v="3"/>
    <s v="FI_medium_gas"/>
    <x v="21"/>
    <n v="48.384"/>
    <n v="13.44"/>
  </r>
  <r>
    <x v="0"/>
    <x v="11"/>
    <x v="2"/>
    <x v="3"/>
    <s v="FI_medium_gas"/>
    <x v="22"/>
    <n v="79.847999999999999"/>
    <n v="22.18"/>
  </r>
  <r>
    <x v="0"/>
    <x v="11"/>
    <x v="2"/>
    <x v="3"/>
    <s v="FI_small"/>
    <x v="2"/>
    <n v="48.384"/>
    <n v="13.44"/>
  </r>
  <r>
    <x v="0"/>
    <x v="11"/>
    <x v="2"/>
    <x v="3"/>
    <s v="FI_small"/>
    <x v="0"/>
    <n v="42.692399999999999"/>
    <n v="11.859"/>
  </r>
  <r>
    <x v="0"/>
    <x v="11"/>
    <x v="2"/>
    <x v="3"/>
    <s v="FI_small"/>
    <x v="21"/>
    <n v="48.384"/>
    <n v="13.44"/>
  </r>
  <r>
    <x v="0"/>
    <x v="11"/>
    <x v="2"/>
    <x v="3"/>
    <s v="FI_small"/>
    <x v="22"/>
    <n v="79.847999999999999"/>
    <n v="22.18"/>
  </r>
  <r>
    <x v="0"/>
    <x v="11"/>
    <x v="2"/>
    <x v="3"/>
    <s v="FI_small_gas"/>
    <x v="2"/>
    <n v="48.384"/>
    <n v="13.44"/>
  </r>
  <r>
    <x v="0"/>
    <x v="11"/>
    <x v="2"/>
    <x v="3"/>
    <s v="FI_small_gas"/>
    <x v="0"/>
    <n v="42.692399999999999"/>
    <n v="11.859"/>
  </r>
  <r>
    <x v="0"/>
    <x v="11"/>
    <x v="2"/>
    <x v="3"/>
    <s v="FI_small_gas"/>
    <x v="21"/>
    <n v="48.384"/>
    <n v="13.44"/>
  </r>
  <r>
    <x v="0"/>
    <x v="11"/>
    <x v="2"/>
    <x v="3"/>
    <s v="FI_small_gas"/>
    <x v="22"/>
    <n v="79.847999999999999"/>
    <n v="22.18"/>
  </r>
  <r>
    <x v="0"/>
    <x v="11"/>
    <x v="2"/>
    <x v="3"/>
    <s v="FinA"/>
    <x v="2"/>
    <n v="48.384"/>
    <n v="13.44"/>
  </r>
  <r>
    <x v="0"/>
    <x v="11"/>
    <x v="2"/>
    <x v="3"/>
    <s v="FinA"/>
    <x v="0"/>
    <n v="42.692399999999999"/>
    <n v="11.859"/>
  </r>
  <r>
    <x v="0"/>
    <x v="11"/>
    <x v="2"/>
    <x v="3"/>
    <s v="FinA"/>
    <x v="21"/>
    <n v="48.384"/>
    <n v="13.44"/>
  </r>
  <r>
    <x v="0"/>
    <x v="11"/>
    <x v="2"/>
    <x v="3"/>
    <s v="FinA"/>
    <x v="22"/>
    <n v="79.847999999999999"/>
    <n v="22.18"/>
  </r>
  <r>
    <x v="0"/>
    <x v="11"/>
    <x v="3"/>
    <x v="4"/>
    <s v="DE4-E_A"/>
    <x v="2"/>
    <n v="48.384"/>
    <n v="13.44"/>
  </r>
  <r>
    <x v="0"/>
    <x v="11"/>
    <x v="3"/>
    <x v="4"/>
    <s v="DE4-E_A"/>
    <x v="0"/>
    <n v="42.692399999999999"/>
    <n v="11.859"/>
  </r>
  <r>
    <x v="0"/>
    <x v="11"/>
    <x v="3"/>
    <x v="4"/>
    <s v="DE4-E_A"/>
    <x v="21"/>
    <n v="48.384"/>
    <n v="13.44"/>
  </r>
  <r>
    <x v="0"/>
    <x v="11"/>
    <x v="3"/>
    <x v="4"/>
    <s v="DE4-E_A"/>
    <x v="22"/>
    <n v="79.847999999999999"/>
    <n v="22.18"/>
  </r>
  <r>
    <x v="0"/>
    <x v="11"/>
    <x v="3"/>
    <x v="4"/>
    <s v="DE4-E_Offshore_A"/>
    <x v="2"/>
    <n v="48.384"/>
    <n v="13.44"/>
  </r>
  <r>
    <x v="0"/>
    <x v="11"/>
    <x v="3"/>
    <x v="4"/>
    <s v="DE4-E_Offshore_A"/>
    <x v="0"/>
    <n v="42.692399999999999"/>
    <n v="11.859"/>
  </r>
  <r>
    <x v="0"/>
    <x v="11"/>
    <x v="3"/>
    <x v="4"/>
    <s v="DE4-E_Offshore_A"/>
    <x v="21"/>
    <n v="48.384"/>
    <n v="13.44"/>
  </r>
  <r>
    <x v="0"/>
    <x v="11"/>
    <x v="3"/>
    <x v="4"/>
    <s v="DE4-E_Offshore_A"/>
    <x v="22"/>
    <n v="79.847999999999999"/>
    <n v="22.18"/>
  </r>
  <r>
    <x v="0"/>
    <x v="11"/>
    <x v="3"/>
    <x v="5"/>
    <s v="DE4-N_A"/>
    <x v="2"/>
    <n v="48.384"/>
    <n v="13.44"/>
  </r>
  <r>
    <x v="0"/>
    <x v="11"/>
    <x v="3"/>
    <x v="5"/>
    <s v="DE4-N_A"/>
    <x v="0"/>
    <n v="42.692399999999999"/>
    <n v="11.859"/>
  </r>
  <r>
    <x v="0"/>
    <x v="11"/>
    <x v="3"/>
    <x v="5"/>
    <s v="DE4-N_A"/>
    <x v="21"/>
    <n v="48.384"/>
    <n v="13.44"/>
  </r>
  <r>
    <x v="0"/>
    <x v="11"/>
    <x v="3"/>
    <x v="5"/>
    <s v="DE4-N_A"/>
    <x v="22"/>
    <n v="79.847999999999999"/>
    <n v="22.18"/>
  </r>
  <r>
    <x v="0"/>
    <x v="11"/>
    <x v="3"/>
    <x v="5"/>
    <s v="DE4-N_Offshore_A"/>
    <x v="2"/>
    <n v="48.384"/>
    <n v="13.44"/>
  </r>
  <r>
    <x v="0"/>
    <x v="11"/>
    <x v="3"/>
    <x v="5"/>
    <s v="DE4-N_Offshore_A"/>
    <x v="0"/>
    <n v="42.692399999999999"/>
    <n v="11.859"/>
  </r>
  <r>
    <x v="0"/>
    <x v="11"/>
    <x v="3"/>
    <x v="5"/>
    <s v="DE4-N_Offshore_A"/>
    <x v="21"/>
    <n v="48.384"/>
    <n v="13.44"/>
  </r>
  <r>
    <x v="0"/>
    <x v="11"/>
    <x v="3"/>
    <x v="5"/>
    <s v="DE4-N_Offshore_A"/>
    <x v="22"/>
    <n v="79.847999999999999"/>
    <n v="22.18"/>
  </r>
  <r>
    <x v="0"/>
    <x v="11"/>
    <x v="3"/>
    <x v="6"/>
    <s v="DE4-S_A"/>
    <x v="2"/>
    <n v="48.384"/>
    <n v="13.44"/>
  </r>
  <r>
    <x v="0"/>
    <x v="11"/>
    <x v="3"/>
    <x v="6"/>
    <s v="DE4-S_A"/>
    <x v="0"/>
    <n v="42.692399999999999"/>
    <n v="11.859"/>
  </r>
  <r>
    <x v="0"/>
    <x v="11"/>
    <x v="3"/>
    <x v="6"/>
    <s v="DE4-S_A"/>
    <x v="21"/>
    <n v="48.384"/>
    <n v="13.44"/>
  </r>
  <r>
    <x v="0"/>
    <x v="11"/>
    <x v="3"/>
    <x v="6"/>
    <s v="DE4-S_A"/>
    <x v="22"/>
    <n v="79.847999999999999"/>
    <n v="22.18"/>
  </r>
  <r>
    <x v="0"/>
    <x v="11"/>
    <x v="3"/>
    <x v="7"/>
    <s v="DE4-W_A"/>
    <x v="2"/>
    <n v="48.384"/>
    <n v="13.44"/>
  </r>
  <r>
    <x v="0"/>
    <x v="11"/>
    <x v="3"/>
    <x v="7"/>
    <s v="DE4-W_A"/>
    <x v="0"/>
    <n v="42.692399999999999"/>
    <n v="11.859"/>
  </r>
  <r>
    <x v="0"/>
    <x v="11"/>
    <x v="3"/>
    <x v="7"/>
    <s v="DE4-W_A"/>
    <x v="21"/>
    <n v="48.384"/>
    <n v="13.44"/>
  </r>
  <r>
    <x v="0"/>
    <x v="11"/>
    <x v="3"/>
    <x v="7"/>
    <s v="DE4-W_A"/>
    <x v="22"/>
    <n v="79.847999999999999"/>
    <n v="22.18"/>
  </r>
  <r>
    <x v="0"/>
    <x v="11"/>
    <x v="3"/>
    <x v="7"/>
    <s v="DE4-W_Offshore_A"/>
    <x v="2"/>
    <n v="48.384"/>
    <n v="13.44"/>
  </r>
  <r>
    <x v="0"/>
    <x v="11"/>
    <x v="3"/>
    <x v="7"/>
    <s v="DE4-W_Offshore_A"/>
    <x v="0"/>
    <n v="42.692399999999999"/>
    <n v="11.859"/>
  </r>
  <r>
    <x v="0"/>
    <x v="11"/>
    <x v="3"/>
    <x v="7"/>
    <s v="DE4-W_Offshore_A"/>
    <x v="21"/>
    <n v="48.384"/>
    <n v="13.44"/>
  </r>
  <r>
    <x v="0"/>
    <x v="11"/>
    <x v="3"/>
    <x v="7"/>
    <s v="DE4-W_Offshore_A"/>
    <x v="22"/>
    <n v="79.847999999999999"/>
    <n v="22.18"/>
  </r>
  <r>
    <x v="0"/>
    <x v="11"/>
    <x v="4"/>
    <x v="8"/>
    <s v="LV_A"/>
    <x v="2"/>
    <n v="48.384"/>
    <n v="13.44"/>
  </r>
  <r>
    <x v="0"/>
    <x v="11"/>
    <x v="4"/>
    <x v="8"/>
    <s v="LV_A"/>
    <x v="0"/>
    <n v="42.692399999999999"/>
    <n v="11.859"/>
  </r>
  <r>
    <x v="0"/>
    <x v="11"/>
    <x v="4"/>
    <x v="8"/>
    <s v="LV_A"/>
    <x v="21"/>
    <n v="48.384"/>
    <n v="13.44"/>
  </r>
  <r>
    <x v="0"/>
    <x v="11"/>
    <x v="4"/>
    <x v="8"/>
    <s v="LV_A"/>
    <x v="22"/>
    <n v="79.847999999999999"/>
    <n v="22.18"/>
  </r>
  <r>
    <x v="0"/>
    <x v="11"/>
    <x v="4"/>
    <x v="8"/>
    <s v="LV_OFFSHORE"/>
    <x v="2"/>
    <n v="48.384"/>
    <n v="13.44"/>
  </r>
  <r>
    <x v="0"/>
    <x v="11"/>
    <x v="4"/>
    <x v="8"/>
    <s v="LV_OFFSHORE"/>
    <x v="0"/>
    <n v="42.692399999999999"/>
    <n v="11.859"/>
  </r>
  <r>
    <x v="0"/>
    <x v="11"/>
    <x v="4"/>
    <x v="8"/>
    <s v="LV_OFFSHORE"/>
    <x v="21"/>
    <n v="48.384"/>
    <n v="13.44"/>
  </r>
  <r>
    <x v="0"/>
    <x v="11"/>
    <x v="4"/>
    <x v="8"/>
    <s v="LV_OFFSHORE"/>
    <x v="22"/>
    <n v="79.847999999999999"/>
    <n v="22.18"/>
  </r>
  <r>
    <x v="0"/>
    <x v="11"/>
    <x v="4"/>
    <x v="8"/>
    <s v="LV_Other_DH"/>
    <x v="2"/>
    <n v="48.384"/>
    <n v="13.44"/>
  </r>
  <r>
    <x v="0"/>
    <x v="11"/>
    <x v="4"/>
    <x v="8"/>
    <s v="LV_Other_DH"/>
    <x v="0"/>
    <n v="42.692399999999999"/>
    <n v="11.859"/>
  </r>
  <r>
    <x v="0"/>
    <x v="11"/>
    <x v="4"/>
    <x v="8"/>
    <s v="LV_Other_DH"/>
    <x v="21"/>
    <n v="48.384"/>
    <n v="13.44"/>
  </r>
  <r>
    <x v="0"/>
    <x v="11"/>
    <x v="4"/>
    <x v="8"/>
    <s v="LV_Other_DH"/>
    <x v="22"/>
    <n v="79.847999999999999"/>
    <n v="22.18"/>
  </r>
  <r>
    <x v="0"/>
    <x v="11"/>
    <x v="4"/>
    <x v="8"/>
    <s v="LV_RigaR"/>
    <x v="2"/>
    <n v="48.384"/>
    <n v="13.44"/>
  </r>
  <r>
    <x v="0"/>
    <x v="11"/>
    <x v="4"/>
    <x v="8"/>
    <s v="LV_RigaR"/>
    <x v="0"/>
    <n v="42.692399999999999"/>
    <n v="11.859"/>
  </r>
  <r>
    <x v="0"/>
    <x v="11"/>
    <x v="4"/>
    <x v="8"/>
    <s v="LV_RigaR"/>
    <x v="21"/>
    <n v="48.384"/>
    <n v="13.44"/>
  </r>
  <r>
    <x v="0"/>
    <x v="11"/>
    <x v="4"/>
    <x v="8"/>
    <s v="LV_RigaR"/>
    <x v="22"/>
    <n v="79.847999999999999"/>
    <n v="22.18"/>
  </r>
  <r>
    <x v="0"/>
    <x v="11"/>
    <x v="4"/>
    <x v="8"/>
    <s v="LV_Rural"/>
    <x v="2"/>
    <n v="48.384"/>
    <n v="13.44"/>
  </r>
  <r>
    <x v="0"/>
    <x v="11"/>
    <x v="4"/>
    <x v="8"/>
    <s v="LV_Rural"/>
    <x v="0"/>
    <n v="42.692399999999999"/>
    <n v="11.859"/>
  </r>
  <r>
    <x v="0"/>
    <x v="11"/>
    <x v="4"/>
    <x v="8"/>
    <s v="LV_Rural"/>
    <x v="21"/>
    <n v="48.384"/>
    <n v="13.44"/>
  </r>
  <r>
    <x v="0"/>
    <x v="11"/>
    <x v="4"/>
    <x v="8"/>
    <s v="LV_Rural"/>
    <x v="22"/>
    <n v="79.847999999999999"/>
    <n v="22.18"/>
  </r>
  <r>
    <x v="0"/>
    <x v="11"/>
    <x v="5"/>
    <x v="9"/>
    <s v="LT_A"/>
    <x v="2"/>
    <n v="48.384"/>
    <n v="13.44"/>
  </r>
  <r>
    <x v="0"/>
    <x v="11"/>
    <x v="5"/>
    <x v="9"/>
    <s v="LT_A"/>
    <x v="0"/>
    <n v="42.692399999999999"/>
    <n v="11.859"/>
  </r>
  <r>
    <x v="0"/>
    <x v="11"/>
    <x v="5"/>
    <x v="9"/>
    <s v="LT_A"/>
    <x v="21"/>
    <n v="48.384"/>
    <n v="13.44"/>
  </r>
  <r>
    <x v="0"/>
    <x v="11"/>
    <x v="5"/>
    <x v="9"/>
    <s v="LT_A"/>
    <x v="22"/>
    <n v="79.847999999999999"/>
    <n v="22.18"/>
  </r>
  <r>
    <x v="0"/>
    <x v="11"/>
    <x v="5"/>
    <x v="9"/>
    <s v="LT_KauU"/>
    <x v="2"/>
    <n v="48.384"/>
    <n v="13.44"/>
  </r>
  <r>
    <x v="0"/>
    <x v="11"/>
    <x v="5"/>
    <x v="9"/>
    <s v="LT_KauU"/>
    <x v="0"/>
    <n v="42.692399999999999"/>
    <n v="11.859"/>
  </r>
  <r>
    <x v="0"/>
    <x v="11"/>
    <x v="5"/>
    <x v="9"/>
    <s v="LT_KauU"/>
    <x v="21"/>
    <n v="48.384"/>
    <n v="13.44"/>
  </r>
  <r>
    <x v="0"/>
    <x v="11"/>
    <x v="5"/>
    <x v="9"/>
    <s v="LT_KauU"/>
    <x v="22"/>
    <n v="79.847999999999999"/>
    <n v="22.18"/>
  </r>
  <r>
    <x v="0"/>
    <x v="11"/>
    <x v="5"/>
    <x v="9"/>
    <s v="LT_KlaU"/>
    <x v="2"/>
    <n v="48.384"/>
    <n v="13.44"/>
  </r>
  <r>
    <x v="0"/>
    <x v="11"/>
    <x v="5"/>
    <x v="9"/>
    <s v="LT_KlaU"/>
    <x v="0"/>
    <n v="42.692399999999999"/>
    <n v="11.859"/>
  </r>
  <r>
    <x v="0"/>
    <x v="11"/>
    <x v="5"/>
    <x v="9"/>
    <s v="LT_KlaU"/>
    <x v="21"/>
    <n v="48.384"/>
    <n v="13.44"/>
  </r>
  <r>
    <x v="0"/>
    <x v="11"/>
    <x v="5"/>
    <x v="9"/>
    <s v="LT_KlaU"/>
    <x v="22"/>
    <n v="79.847999999999999"/>
    <n v="22.18"/>
  </r>
  <r>
    <x v="0"/>
    <x v="11"/>
    <x v="5"/>
    <x v="9"/>
    <s v="LT_OFFSHORE"/>
    <x v="2"/>
    <n v="48.384"/>
    <n v="13.44"/>
  </r>
  <r>
    <x v="0"/>
    <x v="11"/>
    <x v="5"/>
    <x v="9"/>
    <s v="LT_OFFSHORE"/>
    <x v="0"/>
    <n v="42.692399999999999"/>
    <n v="11.859"/>
  </r>
  <r>
    <x v="0"/>
    <x v="11"/>
    <x v="5"/>
    <x v="9"/>
    <s v="LT_OFFSHORE"/>
    <x v="21"/>
    <n v="48.384"/>
    <n v="13.44"/>
  </r>
  <r>
    <x v="0"/>
    <x v="11"/>
    <x v="5"/>
    <x v="9"/>
    <s v="LT_OFFSHORE"/>
    <x v="22"/>
    <n v="79.847999999999999"/>
    <n v="22.18"/>
  </r>
  <r>
    <x v="0"/>
    <x v="11"/>
    <x v="5"/>
    <x v="9"/>
    <s v="LT_Other_DH"/>
    <x v="2"/>
    <n v="48.384"/>
    <n v="13.44"/>
  </r>
  <r>
    <x v="0"/>
    <x v="11"/>
    <x v="5"/>
    <x v="9"/>
    <s v="LT_Other_DH"/>
    <x v="0"/>
    <n v="42.692399999999999"/>
    <n v="11.859"/>
  </r>
  <r>
    <x v="0"/>
    <x v="11"/>
    <x v="5"/>
    <x v="9"/>
    <s v="LT_Other_DH"/>
    <x v="21"/>
    <n v="48.384"/>
    <n v="13.44"/>
  </r>
  <r>
    <x v="0"/>
    <x v="11"/>
    <x v="5"/>
    <x v="9"/>
    <s v="LT_Other_DH"/>
    <x v="22"/>
    <n v="79.847999999999999"/>
    <n v="22.18"/>
  </r>
  <r>
    <x v="0"/>
    <x v="11"/>
    <x v="5"/>
    <x v="9"/>
    <s v="LT_Panevezys"/>
    <x v="2"/>
    <n v="48.384"/>
    <n v="13.44"/>
  </r>
  <r>
    <x v="0"/>
    <x v="11"/>
    <x v="5"/>
    <x v="9"/>
    <s v="LT_Panevezys"/>
    <x v="0"/>
    <n v="42.692399999999999"/>
    <n v="11.859"/>
  </r>
  <r>
    <x v="0"/>
    <x v="11"/>
    <x v="5"/>
    <x v="9"/>
    <s v="LT_Panevezys"/>
    <x v="21"/>
    <n v="48.384"/>
    <n v="13.44"/>
  </r>
  <r>
    <x v="0"/>
    <x v="11"/>
    <x v="5"/>
    <x v="9"/>
    <s v="LT_Panevezys"/>
    <x v="22"/>
    <n v="79.847999999999999"/>
    <n v="22.18"/>
  </r>
  <r>
    <x v="0"/>
    <x v="11"/>
    <x v="5"/>
    <x v="9"/>
    <s v="LT_Rural"/>
    <x v="2"/>
    <n v="48.384"/>
    <n v="13.44"/>
  </r>
  <r>
    <x v="0"/>
    <x v="11"/>
    <x v="5"/>
    <x v="9"/>
    <s v="LT_Rural"/>
    <x v="0"/>
    <n v="42.692399999999999"/>
    <n v="11.859"/>
  </r>
  <r>
    <x v="0"/>
    <x v="11"/>
    <x v="5"/>
    <x v="9"/>
    <s v="LT_Rural"/>
    <x v="21"/>
    <n v="48.384"/>
    <n v="13.44"/>
  </r>
  <r>
    <x v="0"/>
    <x v="11"/>
    <x v="5"/>
    <x v="9"/>
    <s v="LT_Rural"/>
    <x v="22"/>
    <n v="79.847999999999999"/>
    <n v="22.18"/>
  </r>
  <r>
    <x v="0"/>
    <x v="11"/>
    <x v="5"/>
    <x v="9"/>
    <s v="LT_SiaU"/>
    <x v="2"/>
    <n v="48.384"/>
    <n v="13.44"/>
  </r>
  <r>
    <x v="0"/>
    <x v="11"/>
    <x v="5"/>
    <x v="9"/>
    <s v="LT_SiaU"/>
    <x v="0"/>
    <n v="42.692399999999999"/>
    <n v="11.859"/>
  </r>
  <r>
    <x v="0"/>
    <x v="11"/>
    <x v="5"/>
    <x v="9"/>
    <s v="LT_SiaU"/>
    <x v="21"/>
    <n v="48.384"/>
    <n v="13.44"/>
  </r>
  <r>
    <x v="0"/>
    <x v="11"/>
    <x v="5"/>
    <x v="9"/>
    <s v="LT_SiaU"/>
    <x v="22"/>
    <n v="79.847999999999999"/>
    <n v="22.18"/>
  </r>
  <r>
    <x v="0"/>
    <x v="11"/>
    <x v="5"/>
    <x v="9"/>
    <s v="LT_VilU"/>
    <x v="2"/>
    <n v="48.384"/>
    <n v="13.44"/>
  </r>
  <r>
    <x v="0"/>
    <x v="11"/>
    <x v="5"/>
    <x v="9"/>
    <s v="LT_VilU"/>
    <x v="0"/>
    <n v="42.692399999999999"/>
    <n v="11.859"/>
  </r>
  <r>
    <x v="0"/>
    <x v="11"/>
    <x v="5"/>
    <x v="9"/>
    <s v="LT_VilU"/>
    <x v="21"/>
    <n v="48.384"/>
    <n v="13.44"/>
  </r>
  <r>
    <x v="0"/>
    <x v="11"/>
    <x v="5"/>
    <x v="9"/>
    <s v="LT_VilU"/>
    <x v="22"/>
    <n v="79.847999999999999"/>
    <n v="22.18"/>
  </r>
  <r>
    <x v="0"/>
    <x v="11"/>
    <x v="6"/>
    <x v="10"/>
    <s v="NL_A"/>
    <x v="2"/>
    <n v="48.384"/>
    <n v="13.44"/>
  </r>
  <r>
    <x v="0"/>
    <x v="11"/>
    <x v="6"/>
    <x v="10"/>
    <s v="NL_A"/>
    <x v="0"/>
    <n v="42.692399999999999"/>
    <n v="11.859"/>
  </r>
  <r>
    <x v="0"/>
    <x v="11"/>
    <x v="6"/>
    <x v="10"/>
    <s v="NL_A"/>
    <x v="21"/>
    <n v="48.384"/>
    <n v="13.44"/>
  </r>
  <r>
    <x v="0"/>
    <x v="11"/>
    <x v="6"/>
    <x v="10"/>
    <s v="NL_A"/>
    <x v="22"/>
    <n v="79.847999999999999"/>
    <n v="22.18"/>
  </r>
  <r>
    <x v="0"/>
    <x v="11"/>
    <x v="6"/>
    <x v="10"/>
    <s v="NL_OFFSHORE"/>
    <x v="2"/>
    <n v="48.384"/>
    <n v="13.44"/>
  </r>
  <r>
    <x v="0"/>
    <x v="11"/>
    <x v="6"/>
    <x v="10"/>
    <s v="NL_OFFSHORE"/>
    <x v="0"/>
    <n v="42.692399999999999"/>
    <n v="11.859"/>
  </r>
  <r>
    <x v="0"/>
    <x v="11"/>
    <x v="6"/>
    <x v="10"/>
    <s v="NL_OFFSHORE"/>
    <x v="21"/>
    <n v="48.384"/>
    <n v="13.44"/>
  </r>
  <r>
    <x v="0"/>
    <x v="11"/>
    <x v="6"/>
    <x v="10"/>
    <s v="NL_OFFSHORE"/>
    <x v="22"/>
    <n v="79.847999999999999"/>
    <n v="22.18"/>
  </r>
  <r>
    <x v="0"/>
    <x v="11"/>
    <x v="7"/>
    <x v="11"/>
    <s v="NO1_A1"/>
    <x v="2"/>
    <n v="48.384"/>
    <n v="13.44"/>
  </r>
  <r>
    <x v="0"/>
    <x v="11"/>
    <x v="7"/>
    <x v="11"/>
    <s v="NO1_A1"/>
    <x v="0"/>
    <n v="42.692399999999999"/>
    <n v="11.859"/>
  </r>
  <r>
    <x v="0"/>
    <x v="11"/>
    <x v="7"/>
    <x v="11"/>
    <s v="NO1_A1"/>
    <x v="21"/>
    <n v="48.384"/>
    <n v="13.44"/>
  </r>
  <r>
    <x v="0"/>
    <x v="11"/>
    <x v="7"/>
    <x v="11"/>
    <s v="NO1_A1"/>
    <x v="22"/>
    <n v="79.847999999999999"/>
    <n v="22.18"/>
  </r>
  <r>
    <x v="0"/>
    <x v="11"/>
    <x v="7"/>
    <x v="11"/>
    <s v="NO1_A2"/>
    <x v="2"/>
    <n v="48.384"/>
    <n v="13.44"/>
  </r>
  <r>
    <x v="0"/>
    <x v="11"/>
    <x v="7"/>
    <x v="11"/>
    <s v="NO1_A2"/>
    <x v="0"/>
    <n v="42.692399999999999"/>
    <n v="11.859"/>
  </r>
  <r>
    <x v="0"/>
    <x v="11"/>
    <x v="7"/>
    <x v="11"/>
    <s v="NO1_A2"/>
    <x v="21"/>
    <n v="48.384"/>
    <n v="13.44"/>
  </r>
  <r>
    <x v="0"/>
    <x v="11"/>
    <x v="7"/>
    <x v="11"/>
    <s v="NO1_A2"/>
    <x v="22"/>
    <n v="79.847999999999999"/>
    <n v="22.18"/>
  </r>
  <r>
    <x v="0"/>
    <x v="11"/>
    <x v="7"/>
    <x v="11"/>
    <s v="NO1_A3"/>
    <x v="2"/>
    <n v="48.384"/>
    <n v="13.44"/>
  </r>
  <r>
    <x v="0"/>
    <x v="11"/>
    <x v="7"/>
    <x v="11"/>
    <s v="NO1_A3"/>
    <x v="0"/>
    <n v="42.692399999999999"/>
    <n v="11.859"/>
  </r>
  <r>
    <x v="0"/>
    <x v="11"/>
    <x v="7"/>
    <x v="11"/>
    <s v="NO1_A3"/>
    <x v="21"/>
    <n v="48.384"/>
    <n v="13.44"/>
  </r>
  <r>
    <x v="0"/>
    <x v="11"/>
    <x v="7"/>
    <x v="11"/>
    <s v="NO1_A3"/>
    <x v="22"/>
    <n v="79.847999999999999"/>
    <n v="22.18"/>
  </r>
  <r>
    <x v="0"/>
    <x v="11"/>
    <x v="7"/>
    <x v="11"/>
    <s v="NO1_Offshore"/>
    <x v="2"/>
    <n v="48.384"/>
    <n v="13.44"/>
  </r>
  <r>
    <x v="0"/>
    <x v="11"/>
    <x v="7"/>
    <x v="11"/>
    <s v="NO1_Offshore"/>
    <x v="0"/>
    <n v="42.692399999999999"/>
    <n v="11.859"/>
  </r>
  <r>
    <x v="0"/>
    <x v="11"/>
    <x v="7"/>
    <x v="11"/>
    <s v="NO1_Offshore"/>
    <x v="21"/>
    <n v="48.384"/>
    <n v="13.44"/>
  </r>
  <r>
    <x v="0"/>
    <x v="11"/>
    <x v="7"/>
    <x v="11"/>
    <s v="NO1_Offshore"/>
    <x v="22"/>
    <n v="79.847999999999999"/>
    <n v="22.18"/>
  </r>
  <r>
    <x v="0"/>
    <x v="11"/>
    <x v="7"/>
    <x v="12"/>
    <s v="NO2_A1"/>
    <x v="2"/>
    <n v="48.384"/>
    <n v="13.44"/>
  </r>
  <r>
    <x v="0"/>
    <x v="11"/>
    <x v="7"/>
    <x v="12"/>
    <s v="NO2_A1"/>
    <x v="0"/>
    <n v="42.692399999999999"/>
    <n v="11.859"/>
  </r>
  <r>
    <x v="0"/>
    <x v="11"/>
    <x v="7"/>
    <x v="12"/>
    <s v="NO2_A1"/>
    <x v="21"/>
    <n v="48.384"/>
    <n v="13.44"/>
  </r>
  <r>
    <x v="0"/>
    <x v="11"/>
    <x v="7"/>
    <x v="12"/>
    <s v="NO2_A1"/>
    <x v="22"/>
    <n v="79.847999999999999"/>
    <n v="22.18"/>
  </r>
  <r>
    <x v="0"/>
    <x v="11"/>
    <x v="7"/>
    <x v="12"/>
    <s v="NO2_A2"/>
    <x v="2"/>
    <n v="48.384"/>
    <n v="13.44"/>
  </r>
  <r>
    <x v="0"/>
    <x v="11"/>
    <x v="7"/>
    <x v="12"/>
    <s v="NO2_A2"/>
    <x v="0"/>
    <n v="42.692399999999999"/>
    <n v="11.859"/>
  </r>
  <r>
    <x v="0"/>
    <x v="11"/>
    <x v="7"/>
    <x v="12"/>
    <s v="NO2_A2"/>
    <x v="21"/>
    <n v="48.384"/>
    <n v="13.44"/>
  </r>
  <r>
    <x v="0"/>
    <x v="11"/>
    <x v="7"/>
    <x v="12"/>
    <s v="NO2_A2"/>
    <x v="22"/>
    <n v="79.847999999999999"/>
    <n v="22.18"/>
  </r>
  <r>
    <x v="0"/>
    <x v="11"/>
    <x v="7"/>
    <x v="12"/>
    <s v="NO2_Offshore"/>
    <x v="2"/>
    <n v="48.384"/>
    <n v="13.44"/>
  </r>
  <r>
    <x v="0"/>
    <x v="11"/>
    <x v="7"/>
    <x v="12"/>
    <s v="NO2_Offshore"/>
    <x v="0"/>
    <n v="42.692399999999999"/>
    <n v="11.859"/>
  </r>
  <r>
    <x v="0"/>
    <x v="11"/>
    <x v="7"/>
    <x v="12"/>
    <s v="NO2_Offshore"/>
    <x v="21"/>
    <n v="48.384"/>
    <n v="13.44"/>
  </r>
  <r>
    <x v="0"/>
    <x v="11"/>
    <x v="7"/>
    <x v="12"/>
    <s v="NO2_Offshore"/>
    <x v="22"/>
    <n v="79.847999999999999"/>
    <n v="22.18"/>
  </r>
  <r>
    <x v="0"/>
    <x v="11"/>
    <x v="7"/>
    <x v="13"/>
    <s v="NO3_A1"/>
    <x v="2"/>
    <n v="48.384"/>
    <n v="13.44"/>
  </r>
  <r>
    <x v="0"/>
    <x v="11"/>
    <x v="7"/>
    <x v="13"/>
    <s v="NO3_A1"/>
    <x v="0"/>
    <n v="42.692399999999999"/>
    <n v="11.859"/>
  </r>
  <r>
    <x v="0"/>
    <x v="11"/>
    <x v="7"/>
    <x v="13"/>
    <s v="NO3_A1"/>
    <x v="21"/>
    <n v="48.384"/>
    <n v="13.44"/>
  </r>
  <r>
    <x v="0"/>
    <x v="11"/>
    <x v="7"/>
    <x v="13"/>
    <s v="NO3_A1"/>
    <x v="22"/>
    <n v="79.847999999999999"/>
    <n v="22.18"/>
  </r>
  <r>
    <x v="0"/>
    <x v="11"/>
    <x v="7"/>
    <x v="13"/>
    <s v="NO3_A2"/>
    <x v="2"/>
    <n v="48.384"/>
    <n v="13.44"/>
  </r>
  <r>
    <x v="0"/>
    <x v="11"/>
    <x v="7"/>
    <x v="13"/>
    <s v="NO3_A2"/>
    <x v="0"/>
    <n v="42.692399999999999"/>
    <n v="11.859"/>
  </r>
  <r>
    <x v="0"/>
    <x v="11"/>
    <x v="7"/>
    <x v="13"/>
    <s v="NO3_A2"/>
    <x v="21"/>
    <n v="48.384"/>
    <n v="13.44"/>
  </r>
  <r>
    <x v="0"/>
    <x v="11"/>
    <x v="7"/>
    <x v="13"/>
    <s v="NO3_A2"/>
    <x v="22"/>
    <n v="79.847999999999999"/>
    <n v="22.18"/>
  </r>
  <r>
    <x v="0"/>
    <x v="11"/>
    <x v="7"/>
    <x v="13"/>
    <s v="NO3_A3"/>
    <x v="2"/>
    <n v="48.384"/>
    <n v="13.44"/>
  </r>
  <r>
    <x v="0"/>
    <x v="11"/>
    <x v="7"/>
    <x v="13"/>
    <s v="NO3_A3"/>
    <x v="0"/>
    <n v="42.692399999999999"/>
    <n v="11.859"/>
  </r>
  <r>
    <x v="0"/>
    <x v="11"/>
    <x v="7"/>
    <x v="13"/>
    <s v="NO3_A3"/>
    <x v="21"/>
    <n v="48.384"/>
    <n v="13.44"/>
  </r>
  <r>
    <x v="0"/>
    <x v="11"/>
    <x v="7"/>
    <x v="13"/>
    <s v="NO3_A3"/>
    <x v="22"/>
    <n v="79.847999999999999"/>
    <n v="22.18"/>
  </r>
  <r>
    <x v="0"/>
    <x v="11"/>
    <x v="7"/>
    <x v="13"/>
    <s v="NO3_Offshore"/>
    <x v="2"/>
    <n v="48.384"/>
    <n v="13.44"/>
  </r>
  <r>
    <x v="0"/>
    <x v="11"/>
    <x v="7"/>
    <x v="13"/>
    <s v="NO3_Offshore"/>
    <x v="0"/>
    <n v="42.692399999999999"/>
    <n v="11.859"/>
  </r>
  <r>
    <x v="0"/>
    <x v="11"/>
    <x v="7"/>
    <x v="13"/>
    <s v="NO3_Offshore"/>
    <x v="21"/>
    <n v="48.384"/>
    <n v="13.44"/>
  </r>
  <r>
    <x v="0"/>
    <x v="11"/>
    <x v="7"/>
    <x v="13"/>
    <s v="NO3_Offshore"/>
    <x v="22"/>
    <n v="79.847999999999999"/>
    <n v="22.18"/>
  </r>
  <r>
    <x v="0"/>
    <x v="11"/>
    <x v="7"/>
    <x v="14"/>
    <s v="NO4_A1"/>
    <x v="2"/>
    <n v="48.384"/>
    <n v="13.44"/>
  </r>
  <r>
    <x v="0"/>
    <x v="11"/>
    <x v="7"/>
    <x v="14"/>
    <s v="NO4_A1"/>
    <x v="0"/>
    <n v="42.692399999999999"/>
    <n v="11.859"/>
  </r>
  <r>
    <x v="0"/>
    <x v="11"/>
    <x v="7"/>
    <x v="14"/>
    <s v="NO4_A1"/>
    <x v="21"/>
    <n v="48.384"/>
    <n v="13.44"/>
  </r>
  <r>
    <x v="0"/>
    <x v="11"/>
    <x v="7"/>
    <x v="14"/>
    <s v="NO4_A1"/>
    <x v="22"/>
    <n v="79.847999999999999"/>
    <n v="22.18"/>
  </r>
  <r>
    <x v="0"/>
    <x v="11"/>
    <x v="7"/>
    <x v="14"/>
    <s v="NO4_A2"/>
    <x v="2"/>
    <n v="48.384"/>
    <n v="13.44"/>
  </r>
  <r>
    <x v="0"/>
    <x v="11"/>
    <x v="7"/>
    <x v="14"/>
    <s v="NO4_A2"/>
    <x v="0"/>
    <n v="42.692399999999999"/>
    <n v="11.859"/>
  </r>
  <r>
    <x v="0"/>
    <x v="11"/>
    <x v="7"/>
    <x v="14"/>
    <s v="NO4_A2"/>
    <x v="21"/>
    <n v="48.384"/>
    <n v="13.44"/>
  </r>
  <r>
    <x v="0"/>
    <x v="11"/>
    <x v="7"/>
    <x v="14"/>
    <s v="NO4_A2"/>
    <x v="22"/>
    <n v="79.847999999999999"/>
    <n v="22.18"/>
  </r>
  <r>
    <x v="0"/>
    <x v="11"/>
    <x v="7"/>
    <x v="14"/>
    <s v="NO4_Offshore"/>
    <x v="2"/>
    <n v="48.384"/>
    <n v="13.44"/>
  </r>
  <r>
    <x v="0"/>
    <x v="11"/>
    <x v="7"/>
    <x v="14"/>
    <s v="NO4_Offshore"/>
    <x v="0"/>
    <n v="42.692399999999999"/>
    <n v="11.859"/>
  </r>
  <r>
    <x v="0"/>
    <x v="11"/>
    <x v="7"/>
    <x v="14"/>
    <s v="NO4_Offshore"/>
    <x v="21"/>
    <n v="48.384"/>
    <n v="13.44"/>
  </r>
  <r>
    <x v="0"/>
    <x v="11"/>
    <x v="7"/>
    <x v="14"/>
    <s v="NO4_Offshore"/>
    <x v="22"/>
    <n v="79.847999999999999"/>
    <n v="22.18"/>
  </r>
  <r>
    <x v="0"/>
    <x v="11"/>
    <x v="7"/>
    <x v="15"/>
    <s v="NO5_A1"/>
    <x v="2"/>
    <n v="48.384"/>
    <n v="13.44"/>
  </r>
  <r>
    <x v="0"/>
    <x v="11"/>
    <x v="7"/>
    <x v="15"/>
    <s v="NO5_A1"/>
    <x v="0"/>
    <n v="42.692399999999999"/>
    <n v="11.859"/>
  </r>
  <r>
    <x v="0"/>
    <x v="11"/>
    <x v="7"/>
    <x v="15"/>
    <s v="NO5_A1"/>
    <x v="21"/>
    <n v="48.384"/>
    <n v="13.44"/>
  </r>
  <r>
    <x v="0"/>
    <x v="11"/>
    <x v="7"/>
    <x v="15"/>
    <s v="NO5_A1"/>
    <x v="22"/>
    <n v="79.847999999999999"/>
    <n v="22.18"/>
  </r>
  <r>
    <x v="0"/>
    <x v="11"/>
    <x v="7"/>
    <x v="15"/>
    <s v="NO5_A2"/>
    <x v="2"/>
    <n v="48.384"/>
    <n v="13.44"/>
  </r>
  <r>
    <x v="0"/>
    <x v="11"/>
    <x v="7"/>
    <x v="15"/>
    <s v="NO5_A2"/>
    <x v="0"/>
    <n v="42.692399999999999"/>
    <n v="11.859"/>
  </r>
  <r>
    <x v="0"/>
    <x v="11"/>
    <x v="7"/>
    <x v="15"/>
    <s v="NO5_A2"/>
    <x v="21"/>
    <n v="48.384"/>
    <n v="13.44"/>
  </r>
  <r>
    <x v="0"/>
    <x v="11"/>
    <x v="7"/>
    <x v="15"/>
    <s v="NO5_A2"/>
    <x v="22"/>
    <n v="79.847999999999999"/>
    <n v="22.18"/>
  </r>
  <r>
    <x v="0"/>
    <x v="11"/>
    <x v="7"/>
    <x v="15"/>
    <s v="NO5_Offshore"/>
    <x v="2"/>
    <n v="48.384"/>
    <n v="13.44"/>
  </r>
  <r>
    <x v="0"/>
    <x v="11"/>
    <x v="7"/>
    <x v="15"/>
    <s v="NO5_Offshore"/>
    <x v="0"/>
    <n v="42.692399999999999"/>
    <n v="11.859"/>
  </r>
  <r>
    <x v="0"/>
    <x v="11"/>
    <x v="7"/>
    <x v="15"/>
    <s v="NO5_Offshore"/>
    <x v="21"/>
    <n v="48.384"/>
    <n v="13.44"/>
  </r>
  <r>
    <x v="0"/>
    <x v="11"/>
    <x v="7"/>
    <x v="15"/>
    <s v="NO5_Offshore"/>
    <x v="22"/>
    <n v="79.847999999999999"/>
    <n v="22.18"/>
  </r>
  <r>
    <x v="0"/>
    <x v="11"/>
    <x v="8"/>
    <x v="16"/>
    <s v="PL_A"/>
    <x v="2"/>
    <n v="48.384"/>
    <n v="13.44"/>
  </r>
  <r>
    <x v="0"/>
    <x v="11"/>
    <x v="8"/>
    <x v="16"/>
    <s v="PL_A"/>
    <x v="0"/>
    <n v="42.692399999999999"/>
    <n v="11.859"/>
  </r>
  <r>
    <x v="0"/>
    <x v="11"/>
    <x v="8"/>
    <x v="16"/>
    <s v="PL_A"/>
    <x v="21"/>
    <n v="48.384"/>
    <n v="13.44"/>
  </r>
  <r>
    <x v="0"/>
    <x v="11"/>
    <x v="8"/>
    <x v="16"/>
    <s v="PL_A"/>
    <x v="22"/>
    <n v="79.847999999999999"/>
    <n v="22.18"/>
  </r>
  <r>
    <x v="0"/>
    <x v="11"/>
    <x v="8"/>
    <x v="16"/>
    <s v="PL_OFFSHORE"/>
    <x v="2"/>
    <n v="48.384"/>
    <n v="13.44"/>
  </r>
  <r>
    <x v="0"/>
    <x v="11"/>
    <x v="8"/>
    <x v="16"/>
    <s v="PL_OFFSHORE"/>
    <x v="0"/>
    <n v="42.692399999999999"/>
    <n v="11.859"/>
  </r>
  <r>
    <x v="0"/>
    <x v="11"/>
    <x v="8"/>
    <x v="16"/>
    <s v="PL_OFFSHORE"/>
    <x v="21"/>
    <n v="48.384"/>
    <n v="13.44"/>
  </r>
  <r>
    <x v="0"/>
    <x v="11"/>
    <x v="8"/>
    <x v="16"/>
    <s v="PL_OFFSHORE"/>
    <x v="22"/>
    <n v="79.847999999999999"/>
    <n v="22.18"/>
  </r>
  <r>
    <x v="0"/>
    <x v="11"/>
    <x v="8"/>
    <x v="16"/>
    <s v="PL_Rural"/>
    <x v="2"/>
    <n v="48.384"/>
    <n v="13.44"/>
  </r>
  <r>
    <x v="0"/>
    <x v="11"/>
    <x v="8"/>
    <x v="16"/>
    <s v="PL_Rural"/>
    <x v="0"/>
    <n v="42.692399999999999"/>
    <n v="11.859"/>
  </r>
  <r>
    <x v="0"/>
    <x v="11"/>
    <x v="8"/>
    <x v="16"/>
    <s v="PL_Rural"/>
    <x v="21"/>
    <n v="48.384"/>
    <n v="13.44"/>
  </r>
  <r>
    <x v="0"/>
    <x v="11"/>
    <x v="8"/>
    <x v="16"/>
    <s v="PL_Rural"/>
    <x v="22"/>
    <n v="79.847999999999999"/>
    <n v="22.18"/>
  </r>
  <r>
    <x v="0"/>
    <x v="11"/>
    <x v="9"/>
    <x v="17"/>
    <s v="SE1A"/>
    <x v="2"/>
    <n v="48.384"/>
    <n v="13.44"/>
  </r>
  <r>
    <x v="0"/>
    <x v="11"/>
    <x v="9"/>
    <x v="17"/>
    <s v="SE1A"/>
    <x v="0"/>
    <n v="42.692399999999999"/>
    <n v="11.859"/>
  </r>
  <r>
    <x v="0"/>
    <x v="11"/>
    <x v="9"/>
    <x v="17"/>
    <s v="SE1A"/>
    <x v="21"/>
    <n v="48.384"/>
    <n v="13.44"/>
  </r>
  <r>
    <x v="0"/>
    <x v="11"/>
    <x v="9"/>
    <x v="17"/>
    <s v="SE1A"/>
    <x v="22"/>
    <n v="79.847999999999999"/>
    <n v="22.18"/>
  </r>
  <r>
    <x v="0"/>
    <x v="11"/>
    <x v="9"/>
    <x v="17"/>
    <s v="SE1_IND"/>
    <x v="2"/>
    <n v="48.384"/>
    <n v="13.44"/>
  </r>
  <r>
    <x v="0"/>
    <x v="11"/>
    <x v="9"/>
    <x v="17"/>
    <s v="SE1_IND"/>
    <x v="0"/>
    <n v="42.692399999999999"/>
    <n v="11.859"/>
  </r>
  <r>
    <x v="0"/>
    <x v="11"/>
    <x v="9"/>
    <x v="17"/>
    <s v="SE1_IND"/>
    <x v="21"/>
    <n v="48.384"/>
    <n v="13.44"/>
  </r>
  <r>
    <x v="0"/>
    <x v="11"/>
    <x v="9"/>
    <x v="17"/>
    <s v="SE1_IND"/>
    <x v="22"/>
    <n v="79.847999999999999"/>
    <n v="22.18"/>
  </r>
  <r>
    <x v="0"/>
    <x v="11"/>
    <x v="9"/>
    <x v="17"/>
    <s v="SE1_Offshore"/>
    <x v="2"/>
    <n v="48.384"/>
    <n v="13.44"/>
  </r>
  <r>
    <x v="0"/>
    <x v="11"/>
    <x v="9"/>
    <x v="17"/>
    <s v="SE1_Offshore"/>
    <x v="0"/>
    <n v="42.692399999999999"/>
    <n v="11.859"/>
  </r>
  <r>
    <x v="0"/>
    <x v="11"/>
    <x v="9"/>
    <x v="17"/>
    <s v="SE1_Offshore"/>
    <x v="21"/>
    <n v="48.384"/>
    <n v="13.44"/>
  </r>
  <r>
    <x v="0"/>
    <x v="11"/>
    <x v="9"/>
    <x v="17"/>
    <s v="SE1_Offshore"/>
    <x v="22"/>
    <n v="79.847999999999999"/>
    <n v="22.18"/>
  </r>
  <r>
    <x v="0"/>
    <x v="11"/>
    <x v="9"/>
    <x v="17"/>
    <s v="SE1_medium"/>
    <x v="2"/>
    <n v="48.384"/>
    <n v="13.44"/>
  </r>
  <r>
    <x v="0"/>
    <x v="11"/>
    <x v="9"/>
    <x v="17"/>
    <s v="SE1_medium"/>
    <x v="0"/>
    <n v="42.692399999999999"/>
    <n v="11.859"/>
  </r>
  <r>
    <x v="0"/>
    <x v="11"/>
    <x v="9"/>
    <x v="17"/>
    <s v="SE1_medium"/>
    <x v="21"/>
    <n v="48.384"/>
    <n v="13.44"/>
  </r>
  <r>
    <x v="0"/>
    <x v="11"/>
    <x v="9"/>
    <x v="17"/>
    <s v="SE1_medium"/>
    <x v="22"/>
    <n v="79.847999999999999"/>
    <n v="22.18"/>
  </r>
  <r>
    <x v="0"/>
    <x v="11"/>
    <x v="9"/>
    <x v="17"/>
    <s v="SE1_small"/>
    <x v="2"/>
    <n v="48.384"/>
    <n v="13.44"/>
  </r>
  <r>
    <x v="0"/>
    <x v="11"/>
    <x v="9"/>
    <x v="17"/>
    <s v="SE1_small"/>
    <x v="0"/>
    <n v="42.692399999999999"/>
    <n v="11.859"/>
  </r>
  <r>
    <x v="0"/>
    <x v="11"/>
    <x v="9"/>
    <x v="17"/>
    <s v="SE1_small"/>
    <x v="21"/>
    <n v="48.384"/>
    <n v="13.44"/>
  </r>
  <r>
    <x v="0"/>
    <x v="11"/>
    <x v="9"/>
    <x v="17"/>
    <s v="SE1_small"/>
    <x v="22"/>
    <n v="79.847999999999999"/>
    <n v="22.18"/>
  </r>
  <r>
    <x v="0"/>
    <x v="11"/>
    <x v="9"/>
    <x v="18"/>
    <s v="SE2A"/>
    <x v="2"/>
    <n v="48.384"/>
    <n v="13.44"/>
  </r>
  <r>
    <x v="0"/>
    <x v="11"/>
    <x v="9"/>
    <x v="18"/>
    <s v="SE2A"/>
    <x v="0"/>
    <n v="42.692399999999999"/>
    <n v="11.859"/>
  </r>
  <r>
    <x v="0"/>
    <x v="11"/>
    <x v="9"/>
    <x v="18"/>
    <s v="SE2A"/>
    <x v="21"/>
    <n v="48.384"/>
    <n v="13.44"/>
  </r>
  <r>
    <x v="0"/>
    <x v="11"/>
    <x v="9"/>
    <x v="18"/>
    <s v="SE2A"/>
    <x v="22"/>
    <n v="79.847999999999999"/>
    <n v="22.18"/>
  </r>
  <r>
    <x v="0"/>
    <x v="11"/>
    <x v="9"/>
    <x v="18"/>
    <s v="SE2_IND"/>
    <x v="2"/>
    <n v="48.384"/>
    <n v="13.44"/>
  </r>
  <r>
    <x v="0"/>
    <x v="11"/>
    <x v="9"/>
    <x v="18"/>
    <s v="SE2_IND"/>
    <x v="0"/>
    <n v="42.692399999999999"/>
    <n v="11.859"/>
  </r>
  <r>
    <x v="0"/>
    <x v="11"/>
    <x v="9"/>
    <x v="18"/>
    <s v="SE2_IND"/>
    <x v="21"/>
    <n v="48.384"/>
    <n v="13.44"/>
  </r>
  <r>
    <x v="0"/>
    <x v="11"/>
    <x v="9"/>
    <x v="18"/>
    <s v="SE2_IND"/>
    <x v="22"/>
    <n v="79.847999999999999"/>
    <n v="22.18"/>
  </r>
  <r>
    <x v="0"/>
    <x v="11"/>
    <x v="9"/>
    <x v="18"/>
    <s v="SE2_Offshore"/>
    <x v="2"/>
    <n v="48.384"/>
    <n v="13.44"/>
  </r>
  <r>
    <x v="0"/>
    <x v="11"/>
    <x v="9"/>
    <x v="18"/>
    <s v="SE2_Offshore"/>
    <x v="0"/>
    <n v="42.692399999999999"/>
    <n v="11.859"/>
  </r>
  <r>
    <x v="0"/>
    <x v="11"/>
    <x v="9"/>
    <x v="18"/>
    <s v="SE2_Offshore"/>
    <x v="21"/>
    <n v="48.384"/>
    <n v="13.44"/>
  </r>
  <r>
    <x v="0"/>
    <x v="11"/>
    <x v="9"/>
    <x v="18"/>
    <s v="SE2_Offshore"/>
    <x v="22"/>
    <n v="79.847999999999999"/>
    <n v="22.18"/>
  </r>
  <r>
    <x v="0"/>
    <x v="11"/>
    <x v="9"/>
    <x v="18"/>
    <s v="SE2_medium"/>
    <x v="2"/>
    <n v="48.384"/>
    <n v="13.44"/>
  </r>
  <r>
    <x v="0"/>
    <x v="11"/>
    <x v="9"/>
    <x v="18"/>
    <s v="SE2_medium"/>
    <x v="0"/>
    <n v="42.692399999999999"/>
    <n v="11.859"/>
  </r>
  <r>
    <x v="0"/>
    <x v="11"/>
    <x v="9"/>
    <x v="18"/>
    <s v="SE2_medium"/>
    <x v="21"/>
    <n v="48.384"/>
    <n v="13.44"/>
  </r>
  <r>
    <x v="0"/>
    <x v="11"/>
    <x v="9"/>
    <x v="18"/>
    <s v="SE2_medium"/>
    <x v="22"/>
    <n v="79.847999999999999"/>
    <n v="22.18"/>
  </r>
  <r>
    <x v="0"/>
    <x v="11"/>
    <x v="9"/>
    <x v="18"/>
    <s v="SE2_small"/>
    <x v="2"/>
    <n v="48.384"/>
    <n v="13.44"/>
  </r>
  <r>
    <x v="0"/>
    <x v="11"/>
    <x v="9"/>
    <x v="18"/>
    <s v="SE2_small"/>
    <x v="0"/>
    <n v="42.692399999999999"/>
    <n v="11.859"/>
  </r>
  <r>
    <x v="0"/>
    <x v="11"/>
    <x v="9"/>
    <x v="18"/>
    <s v="SE2_small"/>
    <x v="21"/>
    <n v="48.384"/>
    <n v="13.44"/>
  </r>
  <r>
    <x v="0"/>
    <x v="11"/>
    <x v="9"/>
    <x v="18"/>
    <s v="SE2_small"/>
    <x v="22"/>
    <n v="79.847999999999999"/>
    <n v="22.18"/>
  </r>
  <r>
    <x v="0"/>
    <x v="11"/>
    <x v="9"/>
    <x v="19"/>
    <s v="SE3A"/>
    <x v="2"/>
    <n v="48.384"/>
    <n v="13.44"/>
  </r>
  <r>
    <x v="0"/>
    <x v="11"/>
    <x v="9"/>
    <x v="19"/>
    <s v="SE3A"/>
    <x v="0"/>
    <n v="42.692399999999999"/>
    <n v="11.859"/>
  </r>
  <r>
    <x v="0"/>
    <x v="11"/>
    <x v="9"/>
    <x v="19"/>
    <s v="SE3A"/>
    <x v="21"/>
    <n v="48.384"/>
    <n v="13.44"/>
  </r>
  <r>
    <x v="0"/>
    <x v="11"/>
    <x v="9"/>
    <x v="19"/>
    <s v="SE3A"/>
    <x v="22"/>
    <n v="79.847999999999999"/>
    <n v="22.18"/>
  </r>
  <r>
    <x v="0"/>
    <x v="11"/>
    <x v="9"/>
    <x v="19"/>
    <s v="SE3_IND"/>
    <x v="2"/>
    <n v="48.384"/>
    <n v="13.44"/>
  </r>
  <r>
    <x v="0"/>
    <x v="11"/>
    <x v="9"/>
    <x v="19"/>
    <s v="SE3_IND"/>
    <x v="0"/>
    <n v="42.692399999999999"/>
    <n v="11.859"/>
  </r>
  <r>
    <x v="0"/>
    <x v="11"/>
    <x v="9"/>
    <x v="19"/>
    <s v="SE3_IND"/>
    <x v="21"/>
    <n v="48.384"/>
    <n v="13.44"/>
  </r>
  <r>
    <x v="0"/>
    <x v="11"/>
    <x v="9"/>
    <x v="19"/>
    <s v="SE3_IND"/>
    <x v="22"/>
    <n v="79.847999999999999"/>
    <n v="22.18"/>
  </r>
  <r>
    <x v="0"/>
    <x v="11"/>
    <x v="9"/>
    <x v="19"/>
    <s v="SE3_Offshore"/>
    <x v="2"/>
    <n v="48.384"/>
    <n v="13.44"/>
  </r>
  <r>
    <x v="0"/>
    <x v="11"/>
    <x v="9"/>
    <x v="19"/>
    <s v="SE3_Offshore"/>
    <x v="0"/>
    <n v="42.692399999999999"/>
    <n v="11.859"/>
  </r>
  <r>
    <x v="0"/>
    <x v="11"/>
    <x v="9"/>
    <x v="19"/>
    <s v="SE3_Offshore"/>
    <x v="21"/>
    <n v="48.384"/>
    <n v="13.44"/>
  </r>
  <r>
    <x v="0"/>
    <x v="11"/>
    <x v="9"/>
    <x v="19"/>
    <s v="SE3_Offshore"/>
    <x v="22"/>
    <n v="79.847999999999999"/>
    <n v="22.18"/>
  </r>
  <r>
    <x v="0"/>
    <x v="11"/>
    <x v="9"/>
    <x v="19"/>
    <s v="SE3_large"/>
    <x v="2"/>
    <n v="48.384"/>
    <n v="13.44"/>
  </r>
  <r>
    <x v="0"/>
    <x v="11"/>
    <x v="9"/>
    <x v="19"/>
    <s v="SE3_large"/>
    <x v="0"/>
    <n v="42.692399999999999"/>
    <n v="11.859"/>
  </r>
  <r>
    <x v="0"/>
    <x v="11"/>
    <x v="9"/>
    <x v="19"/>
    <s v="SE3_large"/>
    <x v="21"/>
    <n v="48.384"/>
    <n v="13.44"/>
  </r>
  <r>
    <x v="0"/>
    <x v="11"/>
    <x v="9"/>
    <x v="19"/>
    <s v="SE3_large"/>
    <x v="22"/>
    <n v="79.847999999999999"/>
    <n v="22.18"/>
  </r>
  <r>
    <x v="0"/>
    <x v="11"/>
    <x v="9"/>
    <x v="19"/>
    <s v="SE3_medium"/>
    <x v="2"/>
    <n v="48.384"/>
    <n v="13.44"/>
  </r>
  <r>
    <x v="0"/>
    <x v="11"/>
    <x v="9"/>
    <x v="19"/>
    <s v="SE3_medium"/>
    <x v="0"/>
    <n v="42.692399999999999"/>
    <n v="11.859"/>
  </r>
  <r>
    <x v="0"/>
    <x v="11"/>
    <x v="9"/>
    <x v="19"/>
    <s v="SE3_medium"/>
    <x v="21"/>
    <n v="48.384"/>
    <n v="13.44"/>
  </r>
  <r>
    <x v="0"/>
    <x v="11"/>
    <x v="9"/>
    <x v="19"/>
    <s v="SE3_medium"/>
    <x v="22"/>
    <n v="79.847999999999999"/>
    <n v="22.18"/>
  </r>
  <r>
    <x v="0"/>
    <x v="11"/>
    <x v="9"/>
    <x v="19"/>
    <s v="SE3_small"/>
    <x v="2"/>
    <n v="48.384"/>
    <n v="13.44"/>
  </r>
  <r>
    <x v="0"/>
    <x v="11"/>
    <x v="9"/>
    <x v="19"/>
    <s v="SE3_small"/>
    <x v="0"/>
    <n v="42.692399999999999"/>
    <n v="11.859"/>
  </r>
  <r>
    <x v="0"/>
    <x v="11"/>
    <x v="9"/>
    <x v="19"/>
    <s v="SE3_small"/>
    <x v="21"/>
    <n v="48.384"/>
    <n v="13.44"/>
  </r>
  <r>
    <x v="0"/>
    <x v="11"/>
    <x v="9"/>
    <x v="19"/>
    <s v="SE3_small"/>
    <x v="22"/>
    <n v="79.847999999999999"/>
    <n v="22.18"/>
  </r>
  <r>
    <x v="0"/>
    <x v="11"/>
    <x v="9"/>
    <x v="20"/>
    <s v="SE4A"/>
    <x v="2"/>
    <n v="48.384"/>
    <n v="13.44"/>
  </r>
  <r>
    <x v="0"/>
    <x v="11"/>
    <x v="9"/>
    <x v="20"/>
    <s v="SE4A"/>
    <x v="0"/>
    <n v="42.692399999999999"/>
    <n v="11.859"/>
  </r>
  <r>
    <x v="0"/>
    <x v="11"/>
    <x v="9"/>
    <x v="20"/>
    <s v="SE4A"/>
    <x v="21"/>
    <n v="48.384"/>
    <n v="13.44"/>
  </r>
  <r>
    <x v="0"/>
    <x v="11"/>
    <x v="9"/>
    <x v="20"/>
    <s v="SE4A"/>
    <x v="22"/>
    <n v="79.847999999999999"/>
    <n v="22.18"/>
  </r>
  <r>
    <x v="0"/>
    <x v="11"/>
    <x v="9"/>
    <x v="20"/>
    <s v="SE4_IND"/>
    <x v="2"/>
    <n v="48.384"/>
    <n v="13.44"/>
  </r>
  <r>
    <x v="0"/>
    <x v="11"/>
    <x v="9"/>
    <x v="20"/>
    <s v="SE4_IND"/>
    <x v="0"/>
    <n v="42.692399999999999"/>
    <n v="11.859"/>
  </r>
  <r>
    <x v="0"/>
    <x v="11"/>
    <x v="9"/>
    <x v="20"/>
    <s v="SE4_IND"/>
    <x v="21"/>
    <n v="48.384"/>
    <n v="13.44"/>
  </r>
  <r>
    <x v="0"/>
    <x v="11"/>
    <x v="9"/>
    <x v="20"/>
    <s v="SE4_IND"/>
    <x v="22"/>
    <n v="79.847999999999999"/>
    <n v="22.18"/>
  </r>
  <r>
    <x v="0"/>
    <x v="11"/>
    <x v="9"/>
    <x v="20"/>
    <s v="SE4_Offshore"/>
    <x v="2"/>
    <n v="48.384"/>
    <n v="13.44"/>
  </r>
  <r>
    <x v="0"/>
    <x v="11"/>
    <x v="9"/>
    <x v="20"/>
    <s v="SE4_Offshore"/>
    <x v="0"/>
    <n v="42.692399999999999"/>
    <n v="11.859"/>
  </r>
  <r>
    <x v="0"/>
    <x v="11"/>
    <x v="9"/>
    <x v="20"/>
    <s v="SE4_Offshore"/>
    <x v="21"/>
    <n v="48.384"/>
    <n v="13.44"/>
  </r>
  <r>
    <x v="0"/>
    <x v="11"/>
    <x v="9"/>
    <x v="20"/>
    <s v="SE4_Offshore"/>
    <x v="22"/>
    <n v="79.847999999999999"/>
    <n v="22.18"/>
  </r>
  <r>
    <x v="0"/>
    <x v="11"/>
    <x v="9"/>
    <x v="20"/>
    <s v="SE4_large"/>
    <x v="2"/>
    <n v="48.384"/>
    <n v="13.44"/>
  </r>
  <r>
    <x v="0"/>
    <x v="11"/>
    <x v="9"/>
    <x v="20"/>
    <s v="SE4_large"/>
    <x v="0"/>
    <n v="42.692399999999999"/>
    <n v="11.859"/>
  </r>
  <r>
    <x v="0"/>
    <x v="11"/>
    <x v="9"/>
    <x v="20"/>
    <s v="SE4_large"/>
    <x v="21"/>
    <n v="48.384"/>
    <n v="13.44"/>
  </r>
  <r>
    <x v="0"/>
    <x v="11"/>
    <x v="9"/>
    <x v="20"/>
    <s v="SE4_large"/>
    <x v="22"/>
    <n v="79.847999999999999"/>
    <n v="22.18"/>
  </r>
  <r>
    <x v="0"/>
    <x v="11"/>
    <x v="9"/>
    <x v="20"/>
    <s v="SE4_medium"/>
    <x v="2"/>
    <n v="48.384"/>
    <n v="13.44"/>
  </r>
  <r>
    <x v="0"/>
    <x v="11"/>
    <x v="9"/>
    <x v="20"/>
    <s v="SE4_medium"/>
    <x v="0"/>
    <n v="42.692399999999999"/>
    <n v="11.859"/>
  </r>
  <r>
    <x v="0"/>
    <x v="11"/>
    <x v="9"/>
    <x v="20"/>
    <s v="SE4_medium"/>
    <x v="21"/>
    <n v="48.384"/>
    <n v="13.44"/>
  </r>
  <r>
    <x v="0"/>
    <x v="11"/>
    <x v="9"/>
    <x v="20"/>
    <s v="SE4_medium"/>
    <x v="22"/>
    <n v="79.847999999999999"/>
    <n v="22.18"/>
  </r>
  <r>
    <x v="0"/>
    <x v="11"/>
    <x v="9"/>
    <x v="20"/>
    <s v="SE4_small"/>
    <x v="2"/>
    <n v="48.384"/>
    <n v="13.44"/>
  </r>
  <r>
    <x v="0"/>
    <x v="11"/>
    <x v="9"/>
    <x v="20"/>
    <s v="SE4_small"/>
    <x v="0"/>
    <n v="42.692399999999999"/>
    <n v="11.859"/>
  </r>
  <r>
    <x v="0"/>
    <x v="11"/>
    <x v="9"/>
    <x v="20"/>
    <s v="SE4_small"/>
    <x v="21"/>
    <n v="48.384"/>
    <n v="13.44"/>
  </r>
  <r>
    <x v="0"/>
    <x v="11"/>
    <x v="9"/>
    <x v="20"/>
    <s v="SE4_small"/>
    <x v="22"/>
    <n v="79.847999999999999"/>
    <n v="22.18"/>
  </r>
  <r>
    <x v="0"/>
    <x v="11"/>
    <x v="10"/>
    <x v="21"/>
    <s v="UK_A"/>
    <x v="2"/>
    <n v="48.384"/>
    <n v="13.44"/>
  </r>
  <r>
    <x v="0"/>
    <x v="11"/>
    <x v="10"/>
    <x v="21"/>
    <s v="UK_A"/>
    <x v="0"/>
    <n v="42.692399999999999"/>
    <n v="11.859"/>
  </r>
  <r>
    <x v="0"/>
    <x v="11"/>
    <x v="10"/>
    <x v="21"/>
    <s v="UK_A"/>
    <x v="21"/>
    <n v="48.384"/>
    <n v="13.44"/>
  </r>
  <r>
    <x v="0"/>
    <x v="11"/>
    <x v="10"/>
    <x v="21"/>
    <s v="UK_A"/>
    <x v="22"/>
    <n v="79.847999999999999"/>
    <n v="22.18"/>
  </r>
  <r>
    <x v="0"/>
    <x v="11"/>
    <x v="10"/>
    <x v="21"/>
    <s v="UK_Offshore"/>
    <x v="2"/>
    <n v="48.384"/>
    <n v="13.44"/>
  </r>
  <r>
    <x v="0"/>
    <x v="11"/>
    <x v="10"/>
    <x v="21"/>
    <s v="UK_Offshore"/>
    <x v="0"/>
    <n v="42.692399999999999"/>
    <n v="11.859"/>
  </r>
  <r>
    <x v="0"/>
    <x v="11"/>
    <x v="10"/>
    <x v="21"/>
    <s v="UK_Offshore"/>
    <x v="21"/>
    <n v="48.384"/>
    <n v="13.44"/>
  </r>
  <r>
    <x v="0"/>
    <x v="11"/>
    <x v="10"/>
    <x v="21"/>
    <s v="UK_Offshore"/>
    <x v="22"/>
    <n v="79.847999999999999"/>
    <n v="22.18"/>
  </r>
  <r>
    <x v="0"/>
    <x v="12"/>
    <x v="0"/>
    <x v="0"/>
    <s v="DK1_Large"/>
    <x v="2"/>
    <n v="48.384"/>
    <n v="13.44"/>
  </r>
  <r>
    <x v="0"/>
    <x v="12"/>
    <x v="0"/>
    <x v="0"/>
    <s v="DK1_Large"/>
    <x v="0"/>
    <n v="42.692399999999999"/>
    <n v="11.859"/>
  </r>
  <r>
    <x v="0"/>
    <x v="12"/>
    <x v="0"/>
    <x v="0"/>
    <s v="DK1_Large"/>
    <x v="21"/>
    <n v="48.384"/>
    <n v="13.44"/>
  </r>
  <r>
    <x v="0"/>
    <x v="12"/>
    <x v="0"/>
    <x v="0"/>
    <s v="DK1_Large"/>
    <x v="22"/>
    <n v="79.847999999999999"/>
    <n v="22.18"/>
  </r>
  <r>
    <x v="0"/>
    <x v="12"/>
    <x v="0"/>
    <x v="0"/>
    <s v="DK1_Large_PHH"/>
    <x v="2"/>
    <n v="48.384"/>
    <n v="13.44"/>
  </r>
  <r>
    <x v="0"/>
    <x v="12"/>
    <x v="0"/>
    <x v="0"/>
    <s v="DK1_Large_PHH"/>
    <x v="0"/>
    <n v="42.692399999999999"/>
    <n v="11.859"/>
  </r>
  <r>
    <x v="0"/>
    <x v="12"/>
    <x v="0"/>
    <x v="0"/>
    <s v="DK1_Large_PHH"/>
    <x v="21"/>
    <n v="48.384"/>
    <n v="13.44"/>
  </r>
  <r>
    <x v="0"/>
    <x v="12"/>
    <x v="0"/>
    <x v="0"/>
    <s v="DK1_Large_PHH"/>
    <x v="22"/>
    <n v="79.847999999999999"/>
    <n v="22.18"/>
  </r>
  <r>
    <x v="0"/>
    <x v="12"/>
    <x v="0"/>
    <x v="0"/>
    <s v="DK1_Large_PHL"/>
    <x v="2"/>
    <n v="48.384"/>
    <n v="13.44"/>
  </r>
  <r>
    <x v="0"/>
    <x v="12"/>
    <x v="0"/>
    <x v="0"/>
    <s v="DK1_Large_PHL"/>
    <x v="0"/>
    <n v="42.692399999999999"/>
    <n v="11.859"/>
  </r>
  <r>
    <x v="0"/>
    <x v="12"/>
    <x v="0"/>
    <x v="0"/>
    <s v="DK1_Large_PHL"/>
    <x v="21"/>
    <n v="48.384"/>
    <n v="13.44"/>
  </r>
  <r>
    <x v="0"/>
    <x v="12"/>
    <x v="0"/>
    <x v="0"/>
    <s v="DK1_Large_PHL"/>
    <x v="22"/>
    <n v="79.847999999999999"/>
    <n v="22.18"/>
  </r>
  <r>
    <x v="0"/>
    <x v="12"/>
    <x v="0"/>
    <x v="0"/>
    <s v="DK1_MedSmall"/>
    <x v="2"/>
    <n v="48.384"/>
    <n v="13.44"/>
  </r>
  <r>
    <x v="0"/>
    <x v="12"/>
    <x v="0"/>
    <x v="0"/>
    <s v="DK1_MedSmall"/>
    <x v="0"/>
    <n v="42.692399999999999"/>
    <n v="11.859"/>
  </r>
  <r>
    <x v="0"/>
    <x v="12"/>
    <x v="0"/>
    <x v="0"/>
    <s v="DK1_MedSmall"/>
    <x v="21"/>
    <n v="48.384"/>
    <n v="13.44"/>
  </r>
  <r>
    <x v="0"/>
    <x v="12"/>
    <x v="0"/>
    <x v="0"/>
    <s v="DK1_MedSmall"/>
    <x v="22"/>
    <n v="79.847999999999999"/>
    <n v="22.18"/>
  </r>
  <r>
    <x v="0"/>
    <x v="12"/>
    <x v="0"/>
    <x v="0"/>
    <s v="DK1_Medium"/>
    <x v="2"/>
    <n v="48.384"/>
    <n v="13.44"/>
  </r>
  <r>
    <x v="0"/>
    <x v="12"/>
    <x v="0"/>
    <x v="0"/>
    <s v="DK1_Medium"/>
    <x v="0"/>
    <n v="42.692399999999999"/>
    <n v="11.859"/>
  </r>
  <r>
    <x v="0"/>
    <x v="12"/>
    <x v="0"/>
    <x v="0"/>
    <s v="DK1_Medium"/>
    <x v="21"/>
    <n v="48.384"/>
    <n v="13.44"/>
  </r>
  <r>
    <x v="0"/>
    <x v="12"/>
    <x v="0"/>
    <x v="0"/>
    <s v="DK1_Medium"/>
    <x v="22"/>
    <n v="79.847999999999999"/>
    <n v="22.18"/>
  </r>
  <r>
    <x v="0"/>
    <x v="12"/>
    <x v="0"/>
    <x v="0"/>
    <s v="DK1_NoDH"/>
    <x v="2"/>
    <n v="48.384"/>
    <n v="13.44"/>
  </r>
  <r>
    <x v="0"/>
    <x v="12"/>
    <x v="0"/>
    <x v="0"/>
    <s v="DK1_NoDH"/>
    <x v="0"/>
    <n v="42.692399999999999"/>
    <n v="11.859"/>
  </r>
  <r>
    <x v="0"/>
    <x v="12"/>
    <x v="0"/>
    <x v="0"/>
    <s v="DK1_NoDH"/>
    <x v="21"/>
    <n v="48.384"/>
    <n v="13.44"/>
  </r>
  <r>
    <x v="0"/>
    <x v="12"/>
    <x v="0"/>
    <x v="0"/>
    <s v="DK1_NoDH"/>
    <x v="22"/>
    <n v="79.847999999999999"/>
    <n v="22.18"/>
  </r>
  <r>
    <x v="0"/>
    <x v="12"/>
    <x v="0"/>
    <x v="0"/>
    <s v="DK1_NoDH_PHH"/>
    <x v="2"/>
    <n v="48.384"/>
    <n v="13.44"/>
  </r>
  <r>
    <x v="0"/>
    <x v="12"/>
    <x v="0"/>
    <x v="0"/>
    <s v="DK1_NoDH_PHH"/>
    <x v="0"/>
    <n v="42.692399999999999"/>
    <n v="11.859"/>
  </r>
  <r>
    <x v="0"/>
    <x v="12"/>
    <x v="0"/>
    <x v="0"/>
    <s v="DK1_NoDH_PHH"/>
    <x v="21"/>
    <n v="48.384"/>
    <n v="13.44"/>
  </r>
  <r>
    <x v="0"/>
    <x v="12"/>
    <x v="0"/>
    <x v="0"/>
    <s v="DK1_NoDH_PHH"/>
    <x v="22"/>
    <n v="79.847999999999999"/>
    <n v="22.18"/>
  </r>
  <r>
    <x v="0"/>
    <x v="12"/>
    <x v="0"/>
    <x v="0"/>
    <s v="DK1_NoDH_PHL"/>
    <x v="2"/>
    <n v="48.384"/>
    <n v="13.44"/>
  </r>
  <r>
    <x v="0"/>
    <x v="12"/>
    <x v="0"/>
    <x v="0"/>
    <s v="DK1_NoDH_PHL"/>
    <x v="0"/>
    <n v="42.692399999999999"/>
    <n v="11.859"/>
  </r>
  <r>
    <x v="0"/>
    <x v="12"/>
    <x v="0"/>
    <x v="0"/>
    <s v="DK1_NoDH_PHL"/>
    <x v="21"/>
    <n v="48.384"/>
    <n v="13.44"/>
  </r>
  <r>
    <x v="0"/>
    <x v="12"/>
    <x v="0"/>
    <x v="0"/>
    <s v="DK1_NoDH_PHL"/>
    <x v="22"/>
    <n v="79.847999999999999"/>
    <n v="22.18"/>
  </r>
  <r>
    <x v="0"/>
    <x v="12"/>
    <x v="0"/>
    <x v="0"/>
    <s v="DK1_Offshore"/>
    <x v="2"/>
    <n v="48.384"/>
    <n v="13.44"/>
  </r>
  <r>
    <x v="0"/>
    <x v="12"/>
    <x v="0"/>
    <x v="0"/>
    <s v="DK1_Offshore"/>
    <x v="0"/>
    <n v="42.692399999999999"/>
    <n v="11.859"/>
  </r>
  <r>
    <x v="0"/>
    <x v="12"/>
    <x v="0"/>
    <x v="0"/>
    <s v="DK1_Offshore"/>
    <x v="21"/>
    <n v="48.384"/>
    <n v="13.44"/>
  </r>
  <r>
    <x v="0"/>
    <x v="12"/>
    <x v="0"/>
    <x v="0"/>
    <s v="DK1_Offshore"/>
    <x v="22"/>
    <n v="79.847999999999999"/>
    <n v="22.18"/>
  </r>
  <r>
    <x v="0"/>
    <x v="12"/>
    <x v="0"/>
    <x v="0"/>
    <s v="DK1_Rural"/>
    <x v="2"/>
    <n v="48.384"/>
    <n v="13.44"/>
  </r>
  <r>
    <x v="0"/>
    <x v="12"/>
    <x v="0"/>
    <x v="0"/>
    <s v="DK1_Rural"/>
    <x v="0"/>
    <n v="42.692399999999999"/>
    <n v="11.859"/>
  </r>
  <r>
    <x v="0"/>
    <x v="12"/>
    <x v="0"/>
    <x v="0"/>
    <s v="DK1_Rural"/>
    <x v="21"/>
    <n v="48.384"/>
    <n v="13.44"/>
  </r>
  <r>
    <x v="0"/>
    <x v="12"/>
    <x v="0"/>
    <x v="0"/>
    <s v="DK1_Rural"/>
    <x v="22"/>
    <n v="79.847999999999999"/>
    <n v="22.18"/>
  </r>
  <r>
    <x v="0"/>
    <x v="12"/>
    <x v="0"/>
    <x v="0"/>
    <s v="DK1_Small"/>
    <x v="2"/>
    <n v="48.384"/>
    <n v="13.44"/>
  </r>
  <r>
    <x v="0"/>
    <x v="12"/>
    <x v="0"/>
    <x v="0"/>
    <s v="DK1_Small"/>
    <x v="0"/>
    <n v="42.692399999999999"/>
    <n v="11.859"/>
  </r>
  <r>
    <x v="0"/>
    <x v="12"/>
    <x v="0"/>
    <x v="0"/>
    <s v="DK1_Small"/>
    <x v="21"/>
    <n v="48.384"/>
    <n v="13.44"/>
  </r>
  <r>
    <x v="0"/>
    <x v="12"/>
    <x v="0"/>
    <x v="0"/>
    <s v="DK1_Small"/>
    <x v="22"/>
    <n v="79.847999999999999"/>
    <n v="22.18"/>
  </r>
  <r>
    <x v="0"/>
    <x v="12"/>
    <x v="0"/>
    <x v="1"/>
    <s v="DK2_Large"/>
    <x v="2"/>
    <n v="48.384"/>
    <n v="13.44"/>
  </r>
  <r>
    <x v="0"/>
    <x v="12"/>
    <x v="0"/>
    <x v="1"/>
    <s v="DK2_Large"/>
    <x v="0"/>
    <n v="42.692399999999999"/>
    <n v="11.859"/>
  </r>
  <r>
    <x v="0"/>
    <x v="12"/>
    <x v="0"/>
    <x v="1"/>
    <s v="DK2_Large"/>
    <x v="21"/>
    <n v="48.384"/>
    <n v="13.44"/>
  </r>
  <r>
    <x v="0"/>
    <x v="12"/>
    <x v="0"/>
    <x v="1"/>
    <s v="DK2_Large"/>
    <x v="22"/>
    <n v="79.847999999999999"/>
    <n v="22.18"/>
  </r>
  <r>
    <x v="0"/>
    <x v="12"/>
    <x v="0"/>
    <x v="1"/>
    <s v="DK2_Large_PHH"/>
    <x v="2"/>
    <n v="48.384"/>
    <n v="13.44"/>
  </r>
  <r>
    <x v="0"/>
    <x v="12"/>
    <x v="0"/>
    <x v="1"/>
    <s v="DK2_Large_PHH"/>
    <x v="0"/>
    <n v="42.692399999999999"/>
    <n v="11.859"/>
  </r>
  <r>
    <x v="0"/>
    <x v="12"/>
    <x v="0"/>
    <x v="1"/>
    <s v="DK2_Large_PHH"/>
    <x v="21"/>
    <n v="48.384"/>
    <n v="13.44"/>
  </r>
  <r>
    <x v="0"/>
    <x v="12"/>
    <x v="0"/>
    <x v="1"/>
    <s v="DK2_Large_PHH"/>
    <x v="22"/>
    <n v="79.847999999999999"/>
    <n v="22.18"/>
  </r>
  <r>
    <x v="0"/>
    <x v="12"/>
    <x v="0"/>
    <x v="1"/>
    <s v="DK2_Large_PHL"/>
    <x v="2"/>
    <n v="48.384"/>
    <n v="13.44"/>
  </r>
  <r>
    <x v="0"/>
    <x v="12"/>
    <x v="0"/>
    <x v="1"/>
    <s v="DK2_Large_PHL"/>
    <x v="0"/>
    <n v="42.692399999999999"/>
    <n v="11.859"/>
  </r>
  <r>
    <x v="0"/>
    <x v="12"/>
    <x v="0"/>
    <x v="1"/>
    <s v="DK2_Large_PHL"/>
    <x v="21"/>
    <n v="48.384"/>
    <n v="13.44"/>
  </r>
  <r>
    <x v="0"/>
    <x v="12"/>
    <x v="0"/>
    <x v="1"/>
    <s v="DK2_Large_PHL"/>
    <x v="22"/>
    <n v="79.847999999999999"/>
    <n v="22.18"/>
  </r>
  <r>
    <x v="0"/>
    <x v="12"/>
    <x v="0"/>
    <x v="1"/>
    <s v="DK2_MedSmall"/>
    <x v="2"/>
    <n v="48.384"/>
    <n v="13.44"/>
  </r>
  <r>
    <x v="0"/>
    <x v="12"/>
    <x v="0"/>
    <x v="1"/>
    <s v="DK2_MedSmall"/>
    <x v="0"/>
    <n v="42.692399999999999"/>
    <n v="11.859"/>
  </r>
  <r>
    <x v="0"/>
    <x v="12"/>
    <x v="0"/>
    <x v="1"/>
    <s v="DK2_MedSmall"/>
    <x v="21"/>
    <n v="48.384"/>
    <n v="13.44"/>
  </r>
  <r>
    <x v="0"/>
    <x v="12"/>
    <x v="0"/>
    <x v="1"/>
    <s v="DK2_MedSmall"/>
    <x v="22"/>
    <n v="79.847999999999999"/>
    <n v="22.18"/>
  </r>
  <r>
    <x v="0"/>
    <x v="12"/>
    <x v="0"/>
    <x v="1"/>
    <s v="DK2_Medium"/>
    <x v="2"/>
    <n v="48.384"/>
    <n v="13.44"/>
  </r>
  <r>
    <x v="0"/>
    <x v="12"/>
    <x v="0"/>
    <x v="1"/>
    <s v="DK2_Medium"/>
    <x v="0"/>
    <n v="42.692399999999999"/>
    <n v="11.859"/>
  </r>
  <r>
    <x v="0"/>
    <x v="12"/>
    <x v="0"/>
    <x v="1"/>
    <s v="DK2_Medium"/>
    <x v="21"/>
    <n v="48.384"/>
    <n v="13.44"/>
  </r>
  <r>
    <x v="0"/>
    <x v="12"/>
    <x v="0"/>
    <x v="1"/>
    <s v="DK2_Medium"/>
    <x v="22"/>
    <n v="79.847999999999999"/>
    <n v="22.18"/>
  </r>
  <r>
    <x v="0"/>
    <x v="12"/>
    <x v="0"/>
    <x v="1"/>
    <s v="DK2_NoDH"/>
    <x v="2"/>
    <n v="48.384"/>
    <n v="13.44"/>
  </r>
  <r>
    <x v="0"/>
    <x v="12"/>
    <x v="0"/>
    <x v="1"/>
    <s v="DK2_NoDH"/>
    <x v="0"/>
    <n v="42.692399999999999"/>
    <n v="11.859"/>
  </r>
  <r>
    <x v="0"/>
    <x v="12"/>
    <x v="0"/>
    <x v="1"/>
    <s v="DK2_NoDH"/>
    <x v="21"/>
    <n v="48.384"/>
    <n v="13.44"/>
  </r>
  <r>
    <x v="0"/>
    <x v="12"/>
    <x v="0"/>
    <x v="1"/>
    <s v="DK2_NoDH"/>
    <x v="22"/>
    <n v="79.847999999999999"/>
    <n v="22.18"/>
  </r>
  <r>
    <x v="0"/>
    <x v="12"/>
    <x v="0"/>
    <x v="1"/>
    <s v="DK2_NoDH_PHH"/>
    <x v="2"/>
    <n v="48.384"/>
    <n v="13.44"/>
  </r>
  <r>
    <x v="0"/>
    <x v="12"/>
    <x v="0"/>
    <x v="1"/>
    <s v="DK2_NoDH_PHH"/>
    <x v="0"/>
    <n v="42.692399999999999"/>
    <n v="11.859"/>
  </r>
  <r>
    <x v="0"/>
    <x v="12"/>
    <x v="0"/>
    <x v="1"/>
    <s v="DK2_NoDH_PHH"/>
    <x v="21"/>
    <n v="48.384"/>
    <n v="13.44"/>
  </r>
  <r>
    <x v="0"/>
    <x v="12"/>
    <x v="0"/>
    <x v="1"/>
    <s v="DK2_NoDH_PHH"/>
    <x v="22"/>
    <n v="79.847999999999999"/>
    <n v="22.18"/>
  </r>
  <r>
    <x v="0"/>
    <x v="12"/>
    <x v="0"/>
    <x v="1"/>
    <s v="DK2_NoDH_PHL"/>
    <x v="2"/>
    <n v="48.384"/>
    <n v="13.44"/>
  </r>
  <r>
    <x v="0"/>
    <x v="12"/>
    <x v="0"/>
    <x v="1"/>
    <s v="DK2_NoDH_PHL"/>
    <x v="0"/>
    <n v="42.692399999999999"/>
    <n v="11.859"/>
  </r>
  <r>
    <x v="0"/>
    <x v="12"/>
    <x v="0"/>
    <x v="1"/>
    <s v="DK2_NoDH_PHL"/>
    <x v="21"/>
    <n v="48.384"/>
    <n v="13.44"/>
  </r>
  <r>
    <x v="0"/>
    <x v="12"/>
    <x v="0"/>
    <x v="1"/>
    <s v="DK2_NoDH_PHL"/>
    <x v="22"/>
    <n v="79.847999999999999"/>
    <n v="22.18"/>
  </r>
  <r>
    <x v="0"/>
    <x v="12"/>
    <x v="0"/>
    <x v="1"/>
    <s v="DK2_Offshore"/>
    <x v="2"/>
    <n v="48.384"/>
    <n v="13.44"/>
  </r>
  <r>
    <x v="0"/>
    <x v="12"/>
    <x v="0"/>
    <x v="1"/>
    <s v="DK2_Offshore"/>
    <x v="0"/>
    <n v="42.692399999999999"/>
    <n v="11.859"/>
  </r>
  <r>
    <x v="0"/>
    <x v="12"/>
    <x v="0"/>
    <x v="1"/>
    <s v="DK2_Offshore"/>
    <x v="21"/>
    <n v="48.384"/>
    <n v="13.44"/>
  </r>
  <r>
    <x v="0"/>
    <x v="12"/>
    <x v="0"/>
    <x v="1"/>
    <s v="DK2_Offshore"/>
    <x v="22"/>
    <n v="79.847999999999999"/>
    <n v="22.18"/>
  </r>
  <r>
    <x v="0"/>
    <x v="12"/>
    <x v="0"/>
    <x v="1"/>
    <s v="DK2_Rural"/>
    <x v="2"/>
    <n v="48.384"/>
    <n v="13.44"/>
  </r>
  <r>
    <x v="0"/>
    <x v="12"/>
    <x v="0"/>
    <x v="1"/>
    <s v="DK2_Rural"/>
    <x v="0"/>
    <n v="42.692399999999999"/>
    <n v="11.859"/>
  </r>
  <r>
    <x v="0"/>
    <x v="12"/>
    <x v="0"/>
    <x v="1"/>
    <s v="DK2_Rural"/>
    <x v="21"/>
    <n v="48.384"/>
    <n v="13.44"/>
  </r>
  <r>
    <x v="0"/>
    <x v="12"/>
    <x v="0"/>
    <x v="1"/>
    <s v="DK2_Rural"/>
    <x v="22"/>
    <n v="79.847999999999999"/>
    <n v="22.18"/>
  </r>
  <r>
    <x v="0"/>
    <x v="12"/>
    <x v="0"/>
    <x v="1"/>
    <s v="DK2_Small"/>
    <x v="2"/>
    <n v="48.384"/>
    <n v="13.44"/>
  </r>
  <r>
    <x v="0"/>
    <x v="12"/>
    <x v="0"/>
    <x v="1"/>
    <s v="DK2_Small"/>
    <x v="0"/>
    <n v="42.692399999999999"/>
    <n v="11.859"/>
  </r>
  <r>
    <x v="0"/>
    <x v="12"/>
    <x v="0"/>
    <x v="1"/>
    <s v="DK2_Small"/>
    <x v="21"/>
    <n v="48.384"/>
    <n v="13.44"/>
  </r>
  <r>
    <x v="0"/>
    <x v="12"/>
    <x v="0"/>
    <x v="1"/>
    <s v="DK2_Small"/>
    <x v="22"/>
    <n v="79.847999999999999"/>
    <n v="22.18"/>
  </r>
  <r>
    <x v="0"/>
    <x v="12"/>
    <x v="1"/>
    <x v="2"/>
    <s v="EE_A"/>
    <x v="2"/>
    <n v="48.384"/>
    <n v="13.44"/>
  </r>
  <r>
    <x v="0"/>
    <x v="12"/>
    <x v="1"/>
    <x v="2"/>
    <s v="EE_A"/>
    <x v="0"/>
    <n v="42.692399999999999"/>
    <n v="11.859"/>
  </r>
  <r>
    <x v="0"/>
    <x v="12"/>
    <x v="1"/>
    <x v="2"/>
    <s v="EE_A"/>
    <x v="21"/>
    <n v="48.384"/>
    <n v="13.44"/>
  </r>
  <r>
    <x v="0"/>
    <x v="12"/>
    <x v="1"/>
    <x v="2"/>
    <s v="EE_A"/>
    <x v="22"/>
    <n v="79.847999999999999"/>
    <n v="22.18"/>
  </r>
  <r>
    <x v="0"/>
    <x v="12"/>
    <x v="1"/>
    <x v="2"/>
    <s v="EE_Enefit"/>
    <x v="2"/>
    <n v="48.384"/>
    <n v="13.44"/>
  </r>
  <r>
    <x v="0"/>
    <x v="12"/>
    <x v="1"/>
    <x v="2"/>
    <s v="EE_Enefit"/>
    <x v="0"/>
    <n v="42.692399999999999"/>
    <n v="11.859"/>
  </r>
  <r>
    <x v="0"/>
    <x v="12"/>
    <x v="1"/>
    <x v="2"/>
    <s v="EE_Enefit"/>
    <x v="21"/>
    <n v="48.384"/>
    <n v="13.44"/>
  </r>
  <r>
    <x v="0"/>
    <x v="12"/>
    <x v="1"/>
    <x v="2"/>
    <s v="EE_Enefit"/>
    <x v="22"/>
    <n v="79.847999999999999"/>
    <n v="22.18"/>
  </r>
  <r>
    <x v="0"/>
    <x v="12"/>
    <x v="1"/>
    <x v="2"/>
    <s v="EE_Industry"/>
    <x v="2"/>
    <n v="48.384"/>
    <n v="13.44"/>
  </r>
  <r>
    <x v="0"/>
    <x v="12"/>
    <x v="1"/>
    <x v="2"/>
    <s v="EE_Industry"/>
    <x v="0"/>
    <n v="42.692399999999999"/>
    <n v="11.859"/>
  </r>
  <r>
    <x v="0"/>
    <x v="12"/>
    <x v="1"/>
    <x v="2"/>
    <s v="EE_Industry"/>
    <x v="21"/>
    <n v="48.384"/>
    <n v="13.44"/>
  </r>
  <r>
    <x v="0"/>
    <x v="12"/>
    <x v="1"/>
    <x v="2"/>
    <s v="EE_Industry"/>
    <x v="22"/>
    <n v="79.847999999999999"/>
    <n v="22.18"/>
  </r>
  <r>
    <x v="0"/>
    <x v="12"/>
    <x v="1"/>
    <x v="2"/>
    <s v="EE_Kohtla_Jarve"/>
    <x v="2"/>
    <n v="48.384"/>
    <n v="13.44"/>
  </r>
  <r>
    <x v="0"/>
    <x v="12"/>
    <x v="1"/>
    <x v="2"/>
    <s v="EE_Kohtla_Jarve"/>
    <x v="0"/>
    <n v="42.692399999999999"/>
    <n v="11.859"/>
  </r>
  <r>
    <x v="0"/>
    <x v="12"/>
    <x v="1"/>
    <x v="2"/>
    <s v="EE_Kohtla_Jarve"/>
    <x v="21"/>
    <n v="48.384"/>
    <n v="13.44"/>
  </r>
  <r>
    <x v="0"/>
    <x v="12"/>
    <x v="1"/>
    <x v="2"/>
    <s v="EE_Kohtla_Jarve"/>
    <x v="22"/>
    <n v="79.847999999999999"/>
    <n v="22.18"/>
  </r>
  <r>
    <x v="0"/>
    <x v="12"/>
    <x v="1"/>
    <x v="2"/>
    <s v="EE_Narva"/>
    <x v="2"/>
    <n v="48.384"/>
    <n v="13.44"/>
  </r>
  <r>
    <x v="0"/>
    <x v="12"/>
    <x v="1"/>
    <x v="2"/>
    <s v="EE_Narva"/>
    <x v="0"/>
    <n v="42.692399999999999"/>
    <n v="11.859"/>
  </r>
  <r>
    <x v="0"/>
    <x v="12"/>
    <x v="1"/>
    <x v="2"/>
    <s v="EE_Narva"/>
    <x v="21"/>
    <n v="48.384"/>
    <n v="13.44"/>
  </r>
  <r>
    <x v="0"/>
    <x v="12"/>
    <x v="1"/>
    <x v="2"/>
    <s v="EE_Narva"/>
    <x v="22"/>
    <n v="79.847999999999999"/>
    <n v="22.18"/>
  </r>
  <r>
    <x v="0"/>
    <x v="12"/>
    <x v="1"/>
    <x v="2"/>
    <s v="EE_OFFSHORE"/>
    <x v="2"/>
    <n v="48.384"/>
    <n v="13.44"/>
  </r>
  <r>
    <x v="0"/>
    <x v="12"/>
    <x v="1"/>
    <x v="2"/>
    <s v="EE_OFFSHORE"/>
    <x v="0"/>
    <n v="42.692399999999999"/>
    <n v="11.859"/>
  </r>
  <r>
    <x v="0"/>
    <x v="12"/>
    <x v="1"/>
    <x v="2"/>
    <s v="EE_OFFSHORE"/>
    <x v="21"/>
    <n v="48.384"/>
    <n v="13.44"/>
  </r>
  <r>
    <x v="0"/>
    <x v="12"/>
    <x v="1"/>
    <x v="2"/>
    <s v="EE_OFFSHORE"/>
    <x v="22"/>
    <n v="79.847999999999999"/>
    <n v="22.18"/>
  </r>
  <r>
    <x v="0"/>
    <x v="12"/>
    <x v="1"/>
    <x v="2"/>
    <s v="EE_Parnu"/>
    <x v="2"/>
    <n v="48.384"/>
    <n v="13.44"/>
  </r>
  <r>
    <x v="0"/>
    <x v="12"/>
    <x v="1"/>
    <x v="2"/>
    <s v="EE_Parnu"/>
    <x v="0"/>
    <n v="42.692399999999999"/>
    <n v="11.859"/>
  </r>
  <r>
    <x v="0"/>
    <x v="12"/>
    <x v="1"/>
    <x v="2"/>
    <s v="EE_Parnu"/>
    <x v="21"/>
    <n v="48.384"/>
    <n v="13.44"/>
  </r>
  <r>
    <x v="0"/>
    <x v="12"/>
    <x v="1"/>
    <x v="2"/>
    <s v="EE_Parnu"/>
    <x v="22"/>
    <n v="79.847999999999999"/>
    <n v="22.18"/>
  </r>
  <r>
    <x v="0"/>
    <x v="12"/>
    <x v="1"/>
    <x v="2"/>
    <s v="EE_Rural"/>
    <x v="2"/>
    <n v="48.384"/>
    <n v="13.44"/>
  </r>
  <r>
    <x v="0"/>
    <x v="12"/>
    <x v="1"/>
    <x v="2"/>
    <s v="EE_Rural"/>
    <x v="0"/>
    <n v="42.692399999999999"/>
    <n v="11.859"/>
  </r>
  <r>
    <x v="0"/>
    <x v="12"/>
    <x v="1"/>
    <x v="2"/>
    <s v="EE_Rural"/>
    <x v="21"/>
    <n v="48.384"/>
    <n v="13.44"/>
  </r>
  <r>
    <x v="0"/>
    <x v="12"/>
    <x v="1"/>
    <x v="2"/>
    <s v="EE_Rural"/>
    <x v="22"/>
    <n v="79.847999999999999"/>
    <n v="22.18"/>
  </r>
  <r>
    <x v="0"/>
    <x v="12"/>
    <x v="1"/>
    <x v="2"/>
    <s v="EE_Sillamae"/>
    <x v="2"/>
    <n v="48.384"/>
    <n v="13.44"/>
  </r>
  <r>
    <x v="0"/>
    <x v="12"/>
    <x v="1"/>
    <x v="2"/>
    <s v="EE_Sillamae"/>
    <x v="0"/>
    <n v="42.692399999999999"/>
    <n v="11.859"/>
  </r>
  <r>
    <x v="0"/>
    <x v="12"/>
    <x v="1"/>
    <x v="2"/>
    <s v="EE_Sillamae"/>
    <x v="21"/>
    <n v="48.384"/>
    <n v="13.44"/>
  </r>
  <r>
    <x v="0"/>
    <x v="12"/>
    <x v="1"/>
    <x v="2"/>
    <s v="EE_Sillamae"/>
    <x v="22"/>
    <n v="79.847999999999999"/>
    <n v="22.18"/>
  </r>
  <r>
    <x v="0"/>
    <x v="12"/>
    <x v="1"/>
    <x v="2"/>
    <s v="EE_Tallinn"/>
    <x v="2"/>
    <n v="48.384"/>
    <n v="13.44"/>
  </r>
  <r>
    <x v="0"/>
    <x v="12"/>
    <x v="1"/>
    <x v="2"/>
    <s v="EE_Tallinn"/>
    <x v="0"/>
    <n v="42.692399999999999"/>
    <n v="11.859"/>
  </r>
  <r>
    <x v="0"/>
    <x v="12"/>
    <x v="1"/>
    <x v="2"/>
    <s v="EE_Tallinn"/>
    <x v="21"/>
    <n v="48.384"/>
    <n v="13.44"/>
  </r>
  <r>
    <x v="0"/>
    <x v="12"/>
    <x v="1"/>
    <x v="2"/>
    <s v="EE_Tallinn"/>
    <x v="22"/>
    <n v="79.847999999999999"/>
    <n v="22.18"/>
  </r>
  <r>
    <x v="0"/>
    <x v="12"/>
    <x v="1"/>
    <x v="2"/>
    <s v="EE_Tartu"/>
    <x v="2"/>
    <n v="48.384"/>
    <n v="13.44"/>
  </r>
  <r>
    <x v="0"/>
    <x v="12"/>
    <x v="1"/>
    <x v="2"/>
    <s v="EE_Tartu"/>
    <x v="0"/>
    <n v="42.692399999999999"/>
    <n v="11.859"/>
  </r>
  <r>
    <x v="0"/>
    <x v="12"/>
    <x v="1"/>
    <x v="2"/>
    <s v="EE_Tartu"/>
    <x v="21"/>
    <n v="48.384"/>
    <n v="13.44"/>
  </r>
  <r>
    <x v="0"/>
    <x v="12"/>
    <x v="1"/>
    <x v="2"/>
    <s v="EE_Tartu"/>
    <x v="22"/>
    <n v="79.847999999999999"/>
    <n v="22.18"/>
  </r>
  <r>
    <x v="0"/>
    <x v="12"/>
    <x v="1"/>
    <x v="2"/>
    <s v="EE_Urban"/>
    <x v="2"/>
    <n v="48.384"/>
    <n v="13.44"/>
  </r>
  <r>
    <x v="0"/>
    <x v="12"/>
    <x v="1"/>
    <x v="2"/>
    <s v="EE_Urban"/>
    <x v="0"/>
    <n v="42.692399999999999"/>
    <n v="11.859"/>
  </r>
  <r>
    <x v="0"/>
    <x v="12"/>
    <x v="1"/>
    <x v="2"/>
    <s v="EE_Urban"/>
    <x v="21"/>
    <n v="48.384"/>
    <n v="13.44"/>
  </r>
  <r>
    <x v="0"/>
    <x v="12"/>
    <x v="1"/>
    <x v="2"/>
    <s v="EE_Urban"/>
    <x v="22"/>
    <n v="79.847999999999999"/>
    <n v="22.18"/>
  </r>
  <r>
    <x v="0"/>
    <x v="12"/>
    <x v="2"/>
    <x v="3"/>
    <s v="FI_IND"/>
    <x v="2"/>
    <n v="48.384"/>
    <n v="13.44"/>
  </r>
  <r>
    <x v="0"/>
    <x v="12"/>
    <x v="2"/>
    <x v="3"/>
    <s v="FI_IND"/>
    <x v="0"/>
    <n v="42.692399999999999"/>
    <n v="11.859"/>
  </r>
  <r>
    <x v="0"/>
    <x v="12"/>
    <x v="2"/>
    <x v="3"/>
    <s v="FI_IND"/>
    <x v="21"/>
    <n v="48.384"/>
    <n v="13.44"/>
  </r>
  <r>
    <x v="0"/>
    <x v="12"/>
    <x v="2"/>
    <x v="3"/>
    <s v="FI_IND"/>
    <x v="22"/>
    <n v="79.847999999999999"/>
    <n v="22.18"/>
  </r>
  <r>
    <x v="0"/>
    <x v="12"/>
    <x v="2"/>
    <x v="3"/>
    <s v="FI_Offshore"/>
    <x v="2"/>
    <n v="48.384"/>
    <n v="13.44"/>
  </r>
  <r>
    <x v="0"/>
    <x v="12"/>
    <x v="2"/>
    <x v="3"/>
    <s v="FI_Offshore"/>
    <x v="0"/>
    <n v="42.692399999999999"/>
    <n v="11.859"/>
  </r>
  <r>
    <x v="0"/>
    <x v="12"/>
    <x v="2"/>
    <x v="3"/>
    <s v="FI_Offshore"/>
    <x v="21"/>
    <n v="48.384"/>
    <n v="13.44"/>
  </r>
  <r>
    <x v="0"/>
    <x v="12"/>
    <x v="2"/>
    <x v="3"/>
    <s v="FI_Offshore"/>
    <x v="22"/>
    <n v="79.847999999999999"/>
    <n v="22.18"/>
  </r>
  <r>
    <x v="0"/>
    <x v="12"/>
    <x v="2"/>
    <x v="3"/>
    <s v="FI_large"/>
    <x v="2"/>
    <n v="48.384"/>
    <n v="13.44"/>
  </r>
  <r>
    <x v="0"/>
    <x v="12"/>
    <x v="2"/>
    <x v="3"/>
    <s v="FI_large"/>
    <x v="0"/>
    <n v="42.692399999999999"/>
    <n v="11.859"/>
  </r>
  <r>
    <x v="0"/>
    <x v="12"/>
    <x v="2"/>
    <x v="3"/>
    <s v="FI_large"/>
    <x v="21"/>
    <n v="48.384"/>
    <n v="13.44"/>
  </r>
  <r>
    <x v="0"/>
    <x v="12"/>
    <x v="2"/>
    <x v="3"/>
    <s v="FI_large"/>
    <x v="22"/>
    <n v="79.847999999999999"/>
    <n v="22.18"/>
  </r>
  <r>
    <x v="0"/>
    <x v="12"/>
    <x v="2"/>
    <x v="3"/>
    <s v="FI_large_gas"/>
    <x v="2"/>
    <n v="48.384"/>
    <n v="13.44"/>
  </r>
  <r>
    <x v="0"/>
    <x v="12"/>
    <x v="2"/>
    <x v="3"/>
    <s v="FI_large_gas"/>
    <x v="0"/>
    <n v="42.692399999999999"/>
    <n v="11.859"/>
  </r>
  <r>
    <x v="0"/>
    <x v="12"/>
    <x v="2"/>
    <x v="3"/>
    <s v="FI_large_gas"/>
    <x v="21"/>
    <n v="48.384"/>
    <n v="13.44"/>
  </r>
  <r>
    <x v="0"/>
    <x v="12"/>
    <x v="2"/>
    <x v="3"/>
    <s v="FI_large_gas"/>
    <x v="22"/>
    <n v="79.847999999999999"/>
    <n v="22.18"/>
  </r>
  <r>
    <x v="0"/>
    <x v="12"/>
    <x v="2"/>
    <x v="3"/>
    <s v="FI_medium"/>
    <x v="2"/>
    <n v="48.384"/>
    <n v="13.44"/>
  </r>
  <r>
    <x v="0"/>
    <x v="12"/>
    <x v="2"/>
    <x v="3"/>
    <s v="FI_medium"/>
    <x v="0"/>
    <n v="42.692399999999999"/>
    <n v="11.859"/>
  </r>
  <r>
    <x v="0"/>
    <x v="12"/>
    <x v="2"/>
    <x v="3"/>
    <s v="FI_medium"/>
    <x v="21"/>
    <n v="48.384"/>
    <n v="13.44"/>
  </r>
  <r>
    <x v="0"/>
    <x v="12"/>
    <x v="2"/>
    <x v="3"/>
    <s v="FI_medium"/>
    <x v="22"/>
    <n v="79.847999999999999"/>
    <n v="22.18"/>
  </r>
  <r>
    <x v="0"/>
    <x v="12"/>
    <x v="2"/>
    <x v="3"/>
    <s v="FI_medium_gas"/>
    <x v="2"/>
    <n v="48.384"/>
    <n v="13.44"/>
  </r>
  <r>
    <x v="0"/>
    <x v="12"/>
    <x v="2"/>
    <x v="3"/>
    <s v="FI_medium_gas"/>
    <x v="0"/>
    <n v="42.692399999999999"/>
    <n v="11.859"/>
  </r>
  <r>
    <x v="0"/>
    <x v="12"/>
    <x v="2"/>
    <x v="3"/>
    <s v="FI_medium_gas"/>
    <x v="21"/>
    <n v="48.384"/>
    <n v="13.44"/>
  </r>
  <r>
    <x v="0"/>
    <x v="12"/>
    <x v="2"/>
    <x v="3"/>
    <s v="FI_medium_gas"/>
    <x v="22"/>
    <n v="79.847999999999999"/>
    <n v="22.18"/>
  </r>
  <r>
    <x v="0"/>
    <x v="12"/>
    <x v="2"/>
    <x v="3"/>
    <s v="FI_small"/>
    <x v="2"/>
    <n v="48.384"/>
    <n v="13.44"/>
  </r>
  <r>
    <x v="0"/>
    <x v="12"/>
    <x v="2"/>
    <x v="3"/>
    <s v="FI_small"/>
    <x v="0"/>
    <n v="42.692399999999999"/>
    <n v="11.859"/>
  </r>
  <r>
    <x v="0"/>
    <x v="12"/>
    <x v="2"/>
    <x v="3"/>
    <s v="FI_small"/>
    <x v="21"/>
    <n v="48.384"/>
    <n v="13.44"/>
  </r>
  <r>
    <x v="0"/>
    <x v="12"/>
    <x v="2"/>
    <x v="3"/>
    <s v="FI_small"/>
    <x v="22"/>
    <n v="79.847999999999999"/>
    <n v="22.18"/>
  </r>
  <r>
    <x v="0"/>
    <x v="12"/>
    <x v="2"/>
    <x v="3"/>
    <s v="FI_small_gas"/>
    <x v="2"/>
    <n v="48.384"/>
    <n v="13.44"/>
  </r>
  <r>
    <x v="0"/>
    <x v="12"/>
    <x v="2"/>
    <x v="3"/>
    <s v="FI_small_gas"/>
    <x v="0"/>
    <n v="42.692399999999999"/>
    <n v="11.859"/>
  </r>
  <r>
    <x v="0"/>
    <x v="12"/>
    <x v="2"/>
    <x v="3"/>
    <s v="FI_small_gas"/>
    <x v="21"/>
    <n v="48.384"/>
    <n v="13.44"/>
  </r>
  <r>
    <x v="0"/>
    <x v="12"/>
    <x v="2"/>
    <x v="3"/>
    <s v="FI_small_gas"/>
    <x v="22"/>
    <n v="79.847999999999999"/>
    <n v="22.18"/>
  </r>
  <r>
    <x v="0"/>
    <x v="12"/>
    <x v="2"/>
    <x v="3"/>
    <s v="FinA"/>
    <x v="2"/>
    <n v="48.384"/>
    <n v="13.44"/>
  </r>
  <r>
    <x v="0"/>
    <x v="12"/>
    <x v="2"/>
    <x v="3"/>
    <s v="FinA"/>
    <x v="0"/>
    <n v="42.692399999999999"/>
    <n v="11.859"/>
  </r>
  <r>
    <x v="0"/>
    <x v="12"/>
    <x v="2"/>
    <x v="3"/>
    <s v="FinA"/>
    <x v="21"/>
    <n v="48.384"/>
    <n v="13.44"/>
  </r>
  <r>
    <x v="0"/>
    <x v="12"/>
    <x v="2"/>
    <x v="3"/>
    <s v="FinA"/>
    <x v="22"/>
    <n v="79.847999999999999"/>
    <n v="22.18"/>
  </r>
  <r>
    <x v="0"/>
    <x v="12"/>
    <x v="3"/>
    <x v="4"/>
    <s v="DE4-E_A"/>
    <x v="2"/>
    <n v="48.384"/>
    <n v="13.44"/>
  </r>
  <r>
    <x v="0"/>
    <x v="12"/>
    <x v="3"/>
    <x v="4"/>
    <s v="DE4-E_A"/>
    <x v="0"/>
    <n v="42.692399999999999"/>
    <n v="11.859"/>
  </r>
  <r>
    <x v="0"/>
    <x v="12"/>
    <x v="3"/>
    <x v="4"/>
    <s v="DE4-E_A"/>
    <x v="21"/>
    <n v="48.384"/>
    <n v="13.44"/>
  </r>
  <r>
    <x v="0"/>
    <x v="12"/>
    <x v="3"/>
    <x v="4"/>
    <s v="DE4-E_A"/>
    <x v="22"/>
    <n v="79.847999999999999"/>
    <n v="22.18"/>
  </r>
  <r>
    <x v="0"/>
    <x v="12"/>
    <x v="3"/>
    <x v="4"/>
    <s v="DE4-E_Offshore_A"/>
    <x v="2"/>
    <n v="48.384"/>
    <n v="13.44"/>
  </r>
  <r>
    <x v="0"/>
    <x v="12"/>
    <x v="3"/>
    <x v="4"/>
    <s v="DE4-E_Offshore_A"/>
    <x v="0"/>
    <n v="42.692399999999999"/>
    <n v="11.859"/>
  </r>
  <r>
    <x v="0"/>
    <x v="12"/>
    <x v="3"/>
    <x v="4"/>
    <s v="DE4-E_Offshore_A"/>
    <x v="21"/>
    <n v="48.384"/>
    <n v="13.44"/>
  </r>
  <r>
    <x v="0"/>
    <x v="12"/>
    <x v="3"/>
    <x v="4"/>
    <s v="DE4-E_Offshore_A"/>
    <x v="22"/>
    <n v="79.847999999999999"/>
    <n v="22.18"/>
  </r>
  <r>
    <x v="0"/>
    <x v="12"/>
    <x v="3"/>
    <x v="5"/>
    <s v="DE4-N_A"/>
    <x v="2"/>
    <n v="48.384"/>
    <n v="13.44"/>
  </r>
  <r>
    <x v="0"/>
    <x v="12"/>
    <x v="3"/>
    <x v="5"/>
    <s v="DE4-N_A"/>
    <x v="0"/>
    <n v="42.692399999999999"/>
    <n v="11.859"/>
  </r>
  <r>
    <x v="0"/>
    <x v="12"/>
    <x v="3"/>
    <x v="5"/>
    <s v="DE4-N_A"/>
    <x v="21"/>
    <n v="48.384"/>
    <n v="13.44"/>
  </r>
  <r>
    <x v="0"/>
    <x v="12"/>
    <x v="3"/>
    <x v="5"/>
    <s v="DE4-N_A"/>
    <x v="22"/>
    <n v="79.847999999999999"/>
    <n v="22.18"/>
  </r>
  <r>
    <x v="0"/>
    <x v="12"/>
    <x v="3"/>
    <x v="5"/>
    <s v="DE4-N_Offshore_A"/>
    <x v="2"/>
    <n v="48.384"/>
    <n v="13.44"/>
  </r>
  <r>
    <x v="0"/>
    <x v="12"/>
    <x v="3"/>
    <x v="5"/>
    <s v="DE4-N_Offshore_A"/>
    <x v="0"/>
    <n v="42.692399999999999"/>
    <n v="11.859"/>
  </r>
  <r>
    <x v="0"/>
    <x v="12"/>
    <x v="3"/>
    <x v="5"/>
    <s v="DE4-N_Offshore_A"/>
    <x v="21"/>
    <n v="48.384"/>
    <n v="13.44"/>
  </r>
  <r>
    <x v="0"/>
    <x v="12"/>
    <x v="3"/>
    <x v="5"/>
    <s v="DE4-N_Offshore_A"/>
    <x v="22"/>
    <n v="79.847999999999999"/>
    <n v="22.18"/>
  </r>
  <r>
    <x v="0"/>
    <x v="12"/>
    <x v="3"/>
    <x v="6"/>
    <s v="DE4-S_A"/>
    <x v="2"/>
    <n v="48.384"/>
    <n v="13.44"/>
  </r>
  <r>
    <x v="0"/>
    <x v="12"/>
    <x v="3"/>
    <x v="6"/>
    <s v="DE4-S_A"/>
    <x v="0"/>
    <n v="42.692399999999999"/>
    <n v="11.859"/>
  </r>
  <r>
    <x v="0"/>
    <x v="12"/>
    <x v="3"/>
    <x v="6"/>
    <s v="DE4-S_A"/>
    <x v="21"/>
    <n v="48.384"/>
    <n v="13.44"/>
  </r>
  <r>
    <x v="0"/>
    <x v="12"/>
    <x v="3"/>
    <x v="6"/>
    <s v="DE4-S_A"/>
    <x v="22"/>
    <n v="79.847999999999999"/>
    <n v="22.18"/>
  </r>
  <r>
    <x v="0"/>
    <x v="12"/>
    <x v="3"/>
    <x v="7"/>
    <s v="DE4-W_A"/>
    <x v="2"/>
    <n v="48.384"/>
    <n v="13.44"/>
  </r>
  <r>
    <x v="0"/>
    <x v="12"/>
    <x v="3"/>
    <x v="7"/>
    <s v="DE4-W_A"/>
    <x v="0"/>
    <n v="42.692399999999999"/>
    <n v="11.859"/>
  </r>
  <r>
    <x v="0"/>
    <x v="12"/>
    <x v="3"/>
    <x v="7"/>
    <s v="DE4-W_A"/>
    <x v="21"/>
    <n v="48.384"/>
    <n v="13.44"/>
  </r>
  <r>
    <x v="0"/>
    <x v="12"/>
    <x v="3"/>
    <x v="7"/>
    <s v="DE4-W_A"/>
    <x v="22"/>
    <n v="79.847999999999999"/>
    <n v="22.18"/>
  </r>
  <r>
    <x v="0"/>
    <x v="12"/>
    <x v="3"/>
    <x v="7"/>
    <s v="DE4-W_Offshore_A"/>
    <x v="2"/>
    <n v="48.384"/>
    <n v="13.44"/>
  </r>
  <r>
    <x v="0"/>
    <x v="12"/>
    <x v="3"/>
    <x v="7"/>
    <s v="DE4-W_Offshore_A"/>
    <x v="0"/>
    <n v="42.692399999999999"/>
    <n v="11.859"/>
  </r>
  <r>
    <x v="0"/>
    <x v="12"/>
    <x v="3"/>
    <x v="7"/>
    <s v="DE4-W_Offshore_A"/>
    <x v="21"/>
    <n v="48.384"/>
    <n v="13.44"/>
  </r>
  <r>
    <x v="0"/>
    <x v="12"/>
    <x v="3"/>
    <x v="7"/>
    <s v="DE4-W_Offshore_A"/>
    <x v="22"/>
    <n v="79.847999999999999"/>
    <n v="22.18"/>
  </r>
  <r>
    <x v="0"/>
    <x v="12"/>
    <x v="4"/>
    <x v="8"/>
    <s v="LV_A"/>
    <x v="2"/>
    <n v="48.384"/>
    <n v="13.44"/>
  </r>
  <r>
    <x v="0"/>
    <x v="12"/>
    <x v="4"/>
    <x v="8"/>
    <s v="LV_A"/>
    <x v="0"/>
    <n v="42.692399999999999"/>
    <n v="11.859"/>
  </r>
  <r>
    <x v="0"/>
    <x v="12"/>
    <x v="4"/>
    <x v="8"/>
    <s v="LV_A"/>
    <x v="21"/>
    <n v="48.384"/>
    <n v="13.44"/>
  </r>
  <r>
    <x v="0"/>
    <x v="12"/>
    <x v="4"/>
    <x v="8"/>
    <s v="LV_A"/>
    <x v="22"/>
    <n v="79.847999999999999"/>
    <n v="22.18"/>
  </r>
  <r>
    <x v="0"/>
    <x v="12"/>
    <x v="4"/>
    <x v="8"/>
    <s v="LV_OFFSHORE"/>
    <x v="2"/>
    <n v="48.384"/>
    <n v="13.44"/>
  </r>
  <r>
    <x v="0"/>
    <x v="12"/>
    <x v="4"/>
    <x v="8"/>
    <s v="LV_OFFSHORE"/>
    <x v="0"/>
    <n v="42.692399999999999"/>
    <n v="11.859"/>
  </r>
  <r>
    <x v="0"/>
    <x v="12"/>
    <x v="4"/>
    <x v="8"/>
    <s v="LV_OFFSHORE"/>
    <x v="21"/>
    <n v="48.384"/>
    <n v="13.44"/>
  </r>
  <r>
    <x v="0"/>
    <x v="12"/>
    <x v="4"/>
    <x v="8"/>
    <s v="LV_OFFSHORE"/>
    <x v="22"/>
    <n v="79.847999999999999"/>
    <n v="22.18"/>
  </r>
  <r>
    <x v="0"/>
    <x v="12"/>
    <x v="4"/>
    <x v="8"/>
    <s v="LV_Other_DH"/>
    <x v="2"/>
    <n v="48.384"/>
    <n v="13.44"/>
  </r>
  <r>
    <x v="0"/>
    <x v="12"/>
    <x v="4"/>
    <x v="8"/>
    <s v="LV_Other_DH"/>
    <x v="0"/>
    <n v="42.692399999999999"/>
    <n v="11.859"/>
  </r>
  <r>
    <x v="0"/>
    <x v="12"/>
    <x v="4"/>
    <x v="8"/>
    <s v="LV_Other_DH"/>
    <x v="21"/>
    <n v="48.384"/>
    <n v="13.44"/>
  </r>
  <r>
    <x v="0"/>
    <x v="12"/>
    <x v="4"/>
    <x v="8"/>
    <s v="LV_Other_DH"/>
    <x v="22"/>
    <n v="79.847999999999999"/>
    <n v="22.18"/>
  </r>
  <r>
    <x v="0"/>
    <x v="12"/>
    <x v="4"/>
    <x v="8"/>
    <s v="LV_RigaR"/>
    <x v="2"/>
    <n v="48.384"/>
    <n v="13.44"/>
  </r>
  <r>
    <x v="0"/>
    <x v="12"/>
    <x v="4"/>
    <x v="8"/>
    <s v="LV_RigaR"/>
    <x v="0"/>
    <n v="42.692399999999999"/>
    <n v="11.859"/>
  </r>
  <r>
    <x v="0"/>
    <x v="12"/>
    <x v="4"/>
    <x v="8"/>
    <s v="LV_RigaR"/>
    <x v="21"/>
    <n v="48.384"/>
    <n v="13.44"/>
  </r>
  <r>
    <x v="0"/>
    <x v="12"/>
    <x v="4"/>
    <x v="8"/>
    <s v="LV_RigaR"/>
    <x v="22"/>
    <n v="79.847999999999999"/>
    <n v="22.18"/>
  </r>
  <r>
    <x v="0"/>
    <x v="12"/>
    <x v="4"/>
    <x v="8"/>
    <s v="LV_Rural"/>
    <x v="2"/>
    <n v="48.384"/>
    <n v="13.44"/>
  </r>
  <r>
    <x v="0"/>
    <x v="12"/>
    <x v="4"/>
    <x v="8"/>
    <s v="LV_Rural"/>
    <x v="0"/>
    <n v="42.692399999999999"/>
    <n v="11.859"/>
  </r>
  <r>
    <x v="0"/>
    <x v="12"/>
    <x v="4"/>
    <x v="8"/>
    <s v="LV_Rural"/>
    <x v="21"/>
    <n v="48.384"/>
    <n v="13.44"/>
  </r>
  <r>
    <x v="0"/>
    <x v="12"/>
    <x v="4"/>
    <x v="8"/>
    <s v="LV_Rural"/>
    <x v="22"/>
    <n v="79.847999999999999"/>
    <n v="22.18"/>
  </r>
  <r>
    <x v="0"/>
    <x v="12"/>
    <x v="5"/>
    <x v="9"/>
    <s v="LT_A"/>
    <x v="2"/>
    <n v="48.384"/>
    <n v="13.44"/>
  </r>
  <r>
    <x v="0"/>
    <x v="12"/>
    <x v="5"/>
    <x v="9"/>
    <s v="LT_A"/>
    <x v="0"/>
    <n v="42.692399999999999"/>
    <n v="11.859"/>
  </r>
  <r>
    <x v="0"/>
    <x v="12"/>
    <x v="5"/>
    <x v="9"/>
    <s v="LT_A"/>
    <x v="21"/>
    <n v="48.384"/>
    <n v="13.44"/>
  </r>
  <r>
    <x v="0"/>
    <x v="12"/>
    <x v="5"/>
    <x v="9"/>
    <s v="LT_A"/>
    <x v="22"/>
    <n v="79.847999999999999"/>
    <n v="22.18"/>
  </r>
  <r>
    <x v="0"/>
    <x v="12"/>
    <x v="5"/>
    <x v="9"/>
    <s v="LT_KauU"/>
    <x v="2"/>
    <n v="48.384"/>
    <n v="13.44"/>
  </r>
  <r>
    <x v="0"/>
    <x v="12"/>
    <x v="5"/>
    <x v="9"/>
    <s v="LT_KauU"/>
    <x v="0"/>
    <n v="42.692399999999999"/>
    <n v="11.859"/>
  </r>
  <r>
    <x v="0"/>
    <x v="12"/>
    <x v="5"/>
    <x v="9"/>
    <s v="LT_KauU"/>
    <x v="21"/>
    <n v="48.384"/>
    <n v="13.44"/>
  </r>
  <r>
    <x v="0"/>
    <x v="12"/>
    <x v="5"/>
    <x v="9"/>
    <s v="LT_KauU"/>
    <x v="22"/>
    <n v="79.847999999999999"/>
    <n v="22.18"/>
  </r>
  <r>
    <x v="0"/>
    <x v="12"/>
    <x v="5"/>
    <x v="9"/>
    <s v="LT_KlaU"/>
    <x v="2"/>
    <n v="48.384"/>
    <n v="13.44"/>
  </r>
  <r>
    <x v="0"/>
    <x v="12"/>
    <x v="5"/>
    <x v="9"/>
    <s v="LT_KlaU"/>
    <x v="0"/>
    <n v="42.692399999999999"/>
    <n v="11.859"/>
  </r>
  <r>
    <x v="0"/>
    <x v="12"/>
    <x v="5"/>
    <x v="9"/>
    <s v="LT_KlaU"/>
    <x v="21"/>
    <n v="48.384"/>
    <n v="13.44"/>
  </r>
  <r>
    <x v="0"/>
    <x v="12"/>
    <x v="5"/>
    <x v="9"/>
    <s v="LT_KlaU"/>
    <x v="22"/>
    <n v="79.847999999999999"/>
    <n v="22.18"/>
  </r>
  <r>
    <x v="0"/>
    <x v="12"/>
    <x v="5"/>
    <x v="9"/>
    <s v="LT_OFFSHORE"/>
    <x v="2"/>
    <n v="48.384"/>
    <n v="13.44"/>
  </r>
  <r>
    <x v="0"/>
    <x v="12"/>
    <x v="5"/>
    <x v="9"/>
    <s v="LT_OFFSHORE"/>
    <x v="0"/>
    <n v="42.692399999999999"/>
    <n v="11.859"/>
  </r>
  <r>
    <x v="0"/>
    <x v="12"/>
    <x v="5"/>
    <x v="9"/>
    <s v="LT_OFFSHORE"/>
    <x v="21"/>
    <n v="48.384"/>
    <n v="13.44"/>
  </r>
  <r>
    <x v="0"/>
    <x v="12"/>
    <x v="5"/>
    <x v="9"/>
    <s v="LT_OFFSHORE"/>
    <x v="22"/>
    <n v="79.847999999999999"/>
    <n v="22.18"/>
  </r>
  <r>
    <x v="0"/>
    <x v="12"/>
    <x v="5"/>
    <x v="9"/>
    <s v="LT_Other_DH"/>
    <x v="2"/>
    <n v="48.384"/>
    <n v="13.44"/>
  </r>
  <r>
    <x v="0"/>
    <x v="12"/>
    <x v="5"/>
    <x v="9"/>
    <s v="LT_Other_DH"/>
    <x v="0"/>
    <n v="42.692399999999999"/>
    <n v="11.859"/>
  </r>
  <r>
    <x v="0"/>
    <x v="12"/>
    <x v="5"/>
    <x v="9"/>
    <s v="LT_Other_DH"/>
    <x v="21"/>
    <n v="48.384"/>
    <n v="13.44"/>
  </r>
  <r>
    <x v="0"/>
    <x v="12"/>
    <x v="5"/>
    <x v="9"/>
    <s v="LT_Other_DH"/>
    <x v="22"/>
    <n v="79.847999999999999"/>
    <n v="22.18"/>
  </r>
  <r>
    <x v="0"/>
    <x v="12"/>
    <x v="5"/>
    <x v="9"/>
    <s v="LT_Panevezys"/>
    <x v="2"/>
    <n v="48.384"/>
    <n v="13.44"/>
  </r>
  <r>
    <x v="0"/>
    <x v="12"/>
    <x v="5"/>
    <x v="9"/>
    <s v="LT_Panevezys"/>
    <x v="0"/>
    <n v="42.692399999999999"/>
    <n v="11.859"/>
  </r>
  <r>
    <x v="0"/>
    <x v="12"/>
    <x v="5"/>
    <x v="9"/>
    <s v="LT_Panevezys"/>
    <x v="21"/>
    <n v="48.384"/>
    <n v="13.44"/>
  </r>
  <r>
    <x v="0"/>
    <x v="12"/>
    <x v="5"/>
    <x v="9"/>
    <s v="LT_Panevezys"/>
    <x v="22"/>
    <n v="79.847999999999999"/>
    <n v="22.18"/>
  </r>
  <r>
    <x v="0"/>
    <x v="12"/>
    <x v="5"/>
    <x v="9"/>
    <s v="LT_Rural"/>
    <x v="2"/>
    <n v="48.384"/>
    <n v="13.44"/>
  </r>
  <r>
    <x v="0"/>
    <x v="12"/>
    <x v="5"/>
    <x v="9"/>
    <s v="LT_Rural"/>
    <x v="0"/>
    <n v="42.692399999999999"/>
    <n v="11.859"/>
  </r>
  <r>
    <x v="0"/>
    <x v="12"/>
    <x v="5"/>
    <x v="9"/>
    <s v="LT_Rural"/>
    <x v="21"/>
    <n v="48.384"/>
    <n v="13.44"/>
  </r>
  <r>
    <x v="0"/>
    <x v="12"/>
    <x v="5"/>
    <x v="9"/>
    <s v="LT_Rural"/>
    <x v="22"/>
    <n v="79.847999999999999"/>
    <n v="22.18"/>
  </r>
  <r>
    <x v="0"/>
    <x v="12"/>
    <x v="5"/>
    <x v="9"/>
    <s v="LT_SiaU"/>
    <x v="2"/>
    <n v="48.384"/>
    <n v="13.44"/>
  </r>
  <r>
    <x v="0"/>
    <x v="12"/>
    <x v="5"/>
    <x v="9"/>
    <s v="LT_SiaU"/>
    <x v="0"/>
    <n v="42.692399999999999"/>
    <n v="11.859"/>
  </r>
  <r>
    <x v="0"/>
    <x v="12"/>
    <x v="5"/>
    <x v="9"/>
    <s v="LT_SiaU"/>
    <x v="21"/>
    <n v="48.384"/>
    <n v="13.44"/>
  </r>
  <r>
    <x v="0"/>
    <x v="12"/>
    <x v="5"/>
    <x v="9"/>
    <s v="LT_SiaU"/>
    <x v="22"/>
    <n v="79.847999999999999"/>
    <n v="22.18"/>
  </r>
  <r>
    <x v="0"/>
    <x v="12"/>
    <x v="5"/>
    <x v="9"/>
    <s v="LT_VilU"/>
    <x v="2"/>
    <n v="48.384"/>
    <n v="13.44"/>
  </r>
  <r>
    <x v="0"/>
    <x v="12"/>
    <x v="5"/>
    <x v="9"/>
    <s v="LT_VilU"/>
    <x v="0"/>
    <n v="42.692399999999999"/>
    <n v="11.859"/>
  </r>
  <r>
    <x v="0"/>
    <x v="12"/>
    <x v="5"/>
    <x v="9"/>
    <s v="LT_VilU"/>
    <x v="21"/>
    <n v="48.384"/>
    <n v="13.44"/>
  </r>
  <r>
    <x v="0"/>
    <x v="12"/>
    <x v="5"/>
    <x v="9"/>
    <s v="LT_VilU"/>
    <x v="22"/>
    <n v="79.847999999999999"/>
    <n v="22.18"/>
  </r>
  <r>
    <x v="0"/>
    <x v="12"/>
    <x v="6"/>
    <x v="10"/>
    <s v="NL_A"/>
    <x v="2"/>
    <n v="48.384"/>
    <n v="13.44"/>
  </r>
  <r>
    <x v="0"/>
    <x v="12"/>
    <x v="6"/>
    <x v="10"/>
    <s v="NL_A"/>
    <x v="0"/>
    <n v="42.692399999999999"/>
    <n v="11.859"/>
  </r>
  <r>
    <x v="0"/>
    <x v="12"/>
    <x v="6"/>
    <x v="10"/>
    <s v="NL_A"/>
    <x v="21"/>
    <n v="48.384"/>
    <n v="13.44"/>
  </r>
  <r>
    <x v="0"/>
    <x v="12"/>
    <x v="6"/>
    <x v="10"/>
    <s v="NL_A"/>
    <x v="22"/>
    <n v="79.847999999999999"/>
    <n v="22.18"/>
  </r>
  <r>
    <x v="0"/>
    <x v="12"/>
    <x v="6"/>
    <x v="10"/>
    <s v="NL_OFFSHORE"/>
    <x v="2"/>
    <n v="48.384"/>
    <n v="13.44"/>
  </r>
  <r>
    <x v="0"/>
    <x v="12"/>
    <x v="6"/>
    <x v="10"/>
    <s v="NL_OFFSHORE"/>
    <x v="0"/>
    <n v="42.692399999999999"/>
    <n v="11.859"/>
  </r>
  <r>
    <x v="0"/>
    <x v="12"/>
    <x v="6"/>
    <x v="10"/>
    <s v="NL_OFFSHORE"/>
    <x v="21"/>
    <n v="48.384"/>
    <n v="13.44"/>
  </r>
  <r>
    <x v="0"/>
    <x v="12"/>
    <x v="6"/>
    <x v="10"/>
    <s v="NL_OFFSHORE"/>
    <x v="22"/>
    <n v="79.847999999999999"/>
    <n v="22.18"/>
  </r>
  <r>
    <x v="0"/>
    <x v="12"/>
    <x v="7"/>
    <x v="11"/>
    <s v="NO1_A1"/>
    <x v="2"/>
    <n v="48.384"/>
    <n v="13.44"/>
  </r>
  <r>
    <x v="0"/>
    <x v="12"/>
    <x v="7"/>
    <x v="11"/>
    <s v="NO1_A1"/>
    <x v="0"/>
    <n v="42.692399999999999"/>
    <n v="11.859"/>
  </r>
  <r>
    <x v="0"/>
    <x v="12"/>
    <x v="7"/>
    <x v="11"/>
    <s v="NO1_A1"/>
    <x v="21"/>
    <n v="48.384"/>
    <n v="13.44"/>
  </r>
  <r>
    <x v="0"/>
    <x v="12"/>
    <x v="7"/>
    <x v="11"/>
    <s v="NO1_A1"/>
    <x v="22"/>
    <n v="79.847999999999999"/>
    <n v="22.18"/>
  </r>
  <r>
    <x v="0"/>
    <x v="12"/>
    <x v="7"/>
    <x v="11"/>
    <s v="NO1_A2"/>
    <x v="2"/>
    <n v="48.384"/>
    <n v="13.44"/>
  </r>
  <r>
    <x v="0"/>
    <x v="12"/>
    <x v="7"/>
    <x v="11"/>
    <s v="NO1_A2"/>
    <x v="0"/>
    <n v="42.692399999999999"/>
    <n v="11.859"/>
  </r>
  <r>
    <x v="0"/>
    <x v="12"/>
    <x v="7"/>
    <x v="11"/>
    <s v="NO1_A2"/>
    <x v="21"/>
    <n v="48.384"/>
    <n v="13.44"/>
  </r>
  <r>
    <x v="0"/>
    <x v="12"/>
    <x v="7"/>
    <x v="11"/>
    <s v="NO1_A2"/>
    <x v="22"/>
    <n v="79.847999999999999"/>
    <n v="22.18"/>
  </r>
  <r>
    <x v="0"/>
    <x v="12"/>
    <x v="7"/>
    <x v="11"/>
    <s v="NO1_A3"/>
    <x v="2"/>
    <n v="48.384"/>
    <n v="13.44"/>
  </r>
  <r>
    <x v="0"/>
    <x v="12"/>
    <x v="7"/>
    <x v="11"/>
    <s v="NO1_A3"/>
    <x v="0"/>
    <n v="42.692399999999999"/>
    <n v="11.859"/>
  </r>
  <r>
    <x v="0"/>
    <x v="12"/>
    <x v="7"/>
    <x v="11"/>
    <s v="NO1_A3"/>
    <x v="21"/>
    <n v="48.384"/>
    <n v="13.44"/>
  </r>
  <r>
    <x v="0"/>
    <x v="12"/>
    <x v="7"/>
    <x v="11"/>
    <s v="NO1_A3"/>
    <x v="22"/>
    <n v="79.847999999999999"/>
    <n v="22.18"/>
  </r>
  <r>
    <x v="0"/>
    <x v="12"/>
    <x v="7"/>
    <x v="11"/>
    <s v="NO1_Offshore"/>
    <x v="2"/>
    <n v="48.384"/>
    <n v="13.44"/>
  </r>
  <r>
    <x v="0"/>
    <x v="12"/>
    <x v="7"/>
    <x v="11"/>
    <s v="NO1_Offshore"/>
    <x v="0"/>
    <n v="42.692399999999999"/>
    <n v="11.859"/>
  </r>
  <r>
    <x v="0"/>
    <x v="12"/>
    <x v="7"/>
    <x v="11"/>
    <s v="NO1_Offshore"/>
    <x v="21"/>
    <n v="48.384"/>
    <n v="13.44"/>
  </r>
  <r>
    <x v="0"/>
    <x v="12"/>
    <x v="7"/>
    <x v="11"/>
    <s v="NO1_Offshore"/>
    <x v="22"/>
    <n v="79.847999999999999"/>
    <n v="22.18"/>
  </r>
  <r>
    <x v="0"/>
    <x v="12"/>
    <x v="7"/>
    <x v="12"/>
    <s v="NO2_A1"/>
    <x v="2"/>
    <n v="48.384"/>
    <n v="13.44"/>
  </r>
  <r>
    <x v="0"/>
    <x v="12"/>
    <x v="7"/>
    <x v="12"/>
    <s v="NO2_A1"/>
    <x v="0"/>
    <n v="42.692399999999999"/>
    <n v="11.859"/>
  </r>
  <r>
    <x v="0"/>
    <x v="12"/>
    <x v="7"/>
    <x v="12"/>
    <s v="NO2_A1"/>
    <x v="21"/>
    <n v="48.384"/>
    <n v="13.44"/>
  </r>
  <r>
    <x v="0"/>
    <x v="12"/>
    <x v="7"/>
    <x v="12"/>
    <s v="NO2_A1"/>
    <x v="22"/>
    <n v="79.847999999999999"/>
    <n v="22.18"/>
  </r>
  <r>
    <x v="0"/>
    <x v="12"/>
    <x v="7"/>
    <x v="12"/>
    <s v="NO2_A2"/>
    <x v="2"/>
    <n v="48.384"/>
    <n v="13.44"/>
  </r>
  <r>
    <x v="0"/>
    <x v="12"/>
    <x v="7"/>
    <x v="12"/>
    <s v="NO2_A2"/>
    <x v="0"/>
    <n v="42.692399999999999"/>
    <n v="11.859"/>
  </r>
  <r>
    <x v="0"/>
    <x v="12"/>
    <x v="7"/>
    <x v="12"/>
    <s v="NO2_A2"/>
    <x v="21"/>
    <n v="48.384"/>
    <n v="13.44"/>
  </r>
  <r>
    <x v="0"/>
    <x v="12"/>
    <x v="7"/>
    <x v="12"/>
    <s v="NO2_A2"/>
    <x v="22"/>
    <n v="79.847999999999999"/>
    <n v="22.18"/>
  </r>
  <r>
    <x v="0"/>
    <x v="12"/>
    <x v="7"/>
    <x v="12"/>
    <s v="NO2_Offshore"/>
    <x v="2"/>
    <n v="48.384"/>
    <n v="13.44"/>
  </r>
  <r>
    <x v="0"/>
    <x v="12"/>
    <x v="7"/>
    <x v="12"/>
    <s v="NO2_Offshore"/>
    <x v="0"/>
    <n v="42.692399999999999"/>
    <n v="11.859"/>
  </r>
  <r>
    <x v="0"/>
    <x v="12"/>
    <x v="7"/>
    <x v="12"/>
    <s v="NO2_Offshore"/>
    <x v="21"/>
    <n v="48.384"/>
    <n v="13.44"/>
  </r>
  <r>
    <x v="0"/>
    <x v="12"/>
    <x v="7"/>
    <x v="12"/>
    <s v="NO2_Offshore"/>
    <x v="22"/>
    <n v="79.847999999999999"/>
    <n v="22.18"/>
  </r>
  <r>
    <x v="0"/>
    <x v="12"/>
    <x v="7"/>
    <x v="13"/>
    <s v="NO3_A1"/>
    <x v="2"/>
    <n v="48.384"/>
    <n v="13.44"/>
  </r>
  <r>
    <x v="0"/>
    <x v="12"/>
    <x v="7"/>
    <x v="13"/>
    <s v="NO3_A1"/>
    <x v="0"/>
    <n v="42.692399999999999"/>
    <n v="11.859"/>
  </r>
  <r>
    <x v="0"/>
    <x v="12"/>
    <x v="7"/>
    <x v="13"/>
    <s v="NO3_A1"/>
    <x v="21"/>
    <n v="48.384"/>
    <n v="13.44"/>
  </r>
  <r>
    <x v="0"/>
    <x v="12"/>
    <x v="7"/>
    <x v="13"/>
    <s v="NO3_A1"/>
    <x v="22"/>
    <n v="79.847999999999999"/>
    <n v="22.18"/>
  </r>
  <r>
    <x v="0"/>
    <x v="12"/>
    <x v="7"/>
    <x v="13"/>
    <s v="NO3_A2"/>
    <x v="2"/>
    <n v="48.384"/>
    <n v="13.44"/>
  </r>
  <r>
    <x v="0"/>
    <x v="12"/>
    <x v="7"/>
    <x v="13"/>
    <s v="NO3_A2"/>
    <x v="0"/>
    <n v="42.692399999999999"/>
    <n v="11.859"/>
  </r>
  <r>
    <x v="0"/>
    <x v="12"/>
    <x v="7"/>
    <x v="13"/>
    <s v="NO3_A2"/>
    <x v="21"/>
    <n v="48.384"/>
    <n v="13.44"/>
  </r>
  <r>
    <x v="0"/>
    <x v="12"/>
    <x v="7"/>
    <x v="13"/>
    <s v="NO3_A2"/>
    <x v="22"/>
    <n v="79.847999999999999"/>
    <n v="22.18"/>
  </r>
  <r>
    <x v="0"/>
    <x v="12"/>
    <x v="7"/>
    <x v="13"/>
    <s v="NO3_A3"/>
    <x v="2"/>
    <n v="48.384"/>
    <n v="13.44"/>
  </r>
  <r>
    <x v="0"/>
    <x v="12"/>
    <x v="7"/>
    <x v="13"/>
    <s v="NO3_A3"/>
    <x v="0"/>
    <n v="42.692399999999999"/>
    <n v="11.859"/>
  </r>
  <r>
    <x v="0"/>
    <x v="12"/>
    <x v="7"/>
    <x v="13"/>
    <s v="NO3_A3"/>
    <x v="21"/>
    <n v="48.384"/>
    <n v="13.44"/>
  </r>
  <r>
    <x v="0"/>
    <x v="12"/>
    <x v="7"/>
    <x v="13"/>
    <s v="NO3_A3"/>
    <x v="22"/>
    <n v="79.847999999999999"/>
    <n v="22.18"/>
  </r>
  <r>
    <x v="0"/>
    <x v="12"/>
    <x v="7"/>
    <x v="13"/>
    <s v="NO3_Offshore"/>
    <x v="2"/>
    <n v="48.384"/>
    <n v="13.44"/>
  </r>
  <r>
    <x v="0"/>
    <x v="12"/>
    <x v="7"/>
    <x v="13"/>
    <s v="NO3_Offshore"/>
    <x v="0"/>
    <n v="42.692399999999999"/>
    <n v="11.859"/>
  </r>
  <r>
    <x v="0"/>
    <x v="12"/>
    <x v="7"/>
    <x v="13"/>
    <s v="NO3_Offshore"/>
    <x v="21"/>
    <n v="48.384"/>
    <n v="13.44"/>
  </r>
  <r>
    <x v="0"/>
    <x v="12"/>
    <x v="7"/>
    <x v="13"/>
    <s v="NO3_Offshore"/>
    <x v="22"/>
    <n v="79.847999999999999"/>
    <n v="22.18"/>
  </r>
  <r>
    <x v="0"/>
    <x v="12"/>
    <x v="7"/>
    <x v="14"/>
    <s v="NO4_A1"/>
    <x v="2"/>
    <n v="48.384"/>
    <n v="13.44"/>
  </r>
  <r>
    <x v="0"/>
    <x v="12"/>
    <x v="7"/>
    <x v="14"/>
    <s v="NO4_A1"/>
    <x v="0"/>
    <n v="42.692399999999999"/>
    <n v="11.859"/>
  </r>
  <r>
    <x v="0"/>
    <x v="12"/>
    <x v="7"/>
    <x v="14"/>
    <s v="NO4_A1"/>
    <x v="21"/>
    <n v="48.384"/>
    <n v="13.44"/>
  </r>
  <r>
    <x v="0"/>
    <x v="12"/>
    <x v="7"/>
    <x v="14"/>
    <s v="NO4_A1"/>
    <x v="22"/>
    <n v="79.847999999999999"/>
    <n v="22.18"/>
  </r>
  <r>
    <x v="0"/>
    <x v="12"/>
    <x v="7"/>
    <x v="14"/>
    <s v="NO4_A2"/>
    <x v="2"/>
    <n v="48.384"/>
    <n v="13.44"/>
  </r>
  <r>
    <x v="0"/>
    <x v="12"/>
    <x v="7"/>
    <x v="14"/>
    <s v="NO4_A2"/>
    <x v="0"/>
    <n v="42.692399999999999"/>
    <n v="11.859"/>
  </r>
  <r>
    <x v="0"/>
    <x v="12"/>
    <x v="7"/>
    <x v="14"/>
    <s v="NO4_A2"/>
    <x v="21"/>
    <n v="48.384"/>
    <n v="13.44"/>
  </r>
  <r>
    <x v="0"/>
    <x v="12"/>
    <x v="7"/>
    <x v="14"/>
    <s v="NO4_A2"/>
    <x v="22"/>
    <n v="79.847999999999999"/>
    <n v="22.18"/>
  </r>
  <r>
    <x v="0"/>
    <x v="12"/>
    <x v="7"/>
    <x v="14"/>
    <s v="NO4_Offshore"/>
    <x v="2"/>
    <n v="48.384"/>
    <n v="13.44"/>
  </r>
  <r>
    <x v="0"/>
    <x v="12"/>
    <x v="7"/>
    <x v="14"/>
    <s v="NO4_Offshore"/>
    <x v="0"/>
    <n v="42.692399999999999"/>
    <n v="11.859"/>
  </r>
  <r>
    <x v="0"/>
    <x v="12"/>
    <x v="7"/>
    <x v="14"/>
    <s v="NO4_Offshore"/>
    <x v="21"/>
    <n v="48.384"/>
    <n v="13.44"/>
  </r>
  <r>
    <x v="0"/>
    <x v="12"/>
    <x v="7"/>
    <x v="14"/>
    <s v="NO4_Offshore"/>
    <x v="22"/>
    <n v="79.847999999999999"/>
    <n v="22.18"/>
  </r>
  <r>
    <x v="0"/>
    <x v="12"/>
    <x v="7"/>
    <x v="15"/>
    <s v="NO5_A1"/>
    <x v="2"/>
    <n v="48.384"/>
    <n v="13.44"/>
  </r>
  <r>
    <x v="0"/>
    <x v="12"/>
    <x v="7"/>
    <x v="15"/>
    <s v="NO5_A1"/>
    <x v="0"/>
    <n v="42.692399999999999"/>
    <n v="11.859"/>
  </r>
  <r>
    <x v="0"/>
    <x v="12"/>
    <x v="7"/>
    <x v="15"/>
    <s v="NO5_A1"/>
    <x v="21"/>
    <n v="48.384"/>
    <n v="13.44"/>
  </r>
  <r>
    <x v="0"/>
    <x v="12"/>
    <x v="7"/>
    <x v="15"/>
    <s v="NO5_A1"/>
    <x v="22"/>
    <n v="79.847999999999999"/>
    <n v="22.18"/>
  </r>
  <r>
    <x v="0"/>
    <x v="12"/>
    <x v="7"/>
    <x v="15"/>
    <s v="NO5_A2"/>
    <x v="2"/>
    <n v="48.384"/>
    <n v="13.44"/>
  </r>
  <r>
    <x v="0"/>
    <x v="12"/>
    <x v="7"/>
    <x v="15"/>
    <s v="NO5_A2"/>
    <x v="0"/>
    <n v="42.692399999999999"/>
    <n v="11.859"/>
  </r>
  <r>
    <x v="0"/>
    <x v="12"/>
    <x v="7"/>
    <x v="15"/>
    <s v="NO5_A2"/>
    <x v="21"/>
    <n v="48.384"/>
    <n v="13.44"/>
  </r>
  <r>
    <x v="0"/>
    <x v="12"/>
    <x v="7"/>
    <x v="15"/>
    <s v="NO5_A2"/>
    <x v="22"/>
    <n v="79.847999999999999"/>
    <n v="22.18"/>
  </r>
  <r>
    <x v="0"/>
    <x v="12"/>
    <x v="7"/>
    <x v="15"/>
    <s v="NO5_Offshore"/>
    <x v="2"/>
    <n v="48.384"/>
    <n v="13.44"/>
  </r>
  <r>
    <x v="0"/>
    <x v="12"/>
    <x v="7"/>
    <x v="15"/>
    <s v="NO5_Offshore"/>
    <x v="0"/>
    <n v="42.692399999999999"/>
    <n v="11.859"/>
  </r>
  <r>
    <x v="0"/>
    <x v="12"/>
    <x v="7"/>
    <x v="15"/>
    <s v="NO5_Offshore"/>
    <x v="21"/>
    <n v="48.384"/>
    <n v="13.44"/>
  </r>
  <r>
    <x v="0"/>
    <x v="12"/>
    <x v="7"/>
    <x v="15"/>
    <s v="NO5_Offshore"/>
    <x v="22"/>
    <n v="79.847999999999999"/>
    <n v="22.18"/>
  </r>
  <r>
    <x v="0"/>
    <x v="12"/>
    <x v="8"/>
    <x v="16"/>
    <s v="PL_A"/>
    <x v="2"/>
    <n v="48.384"/>
    <n v="13.44"/>
  </r>
  <r>
    <x v="0"/>
    <x v="12"/>
    <x v="8"/>
    <x v="16"/>
    <s v="PL_A"/>
    <x v="0"/>
    <n v="42.692399999999999"/>
    <n v="11.859"/>
  </r>
  <r>
    <x v="0"/>
    <x v="12"/>
    <x v="8"/>
    <x v="16"/>
    <s v="PL_A"/>
    <x v="21"/>
    <n v="48.384"/>
    <n v="13.44"/>
  </r>
  <r>
    <x v="0"/>
    <x v="12"/>
    <x v="8"/>
    <x v="16"/>
    <s v="PL_A"/>
    <x v="22"/>
    <n v="79.847999999999999"/>
    <n v="22.18"/>
  </r>
  <r>
    <x v="0"/>
    <x v="12"/>
    <x v="8"/>
    <x v="16"/>
    <s v="PL_OFFSHORE"/>
    <x v="2"/>
    <n v="48.384"/>
    <n v="13.44"/>
  </r>
  <r>
    <x v="0"/>
    <x v="12"/>
    <x v="8"/>
    <x v="16"/>
    <s v="PL_OFFSHORE"/>
    <x v="0"/>
    <n v="42.692399999999999"/>
    <n v="11.859"/>
  </r>
  <r>
    <x v="0"/>
    <x v="12"/>
    <x v="8"/>
    <x v="16"/>
    <s v="PL_OFFSHORE"/>
    <x v="21"/>
    <n v="48.384"/>
    <n v="13.44"/>
  </r>
  <r>
    <x v="0"/>
    <x v="12"/>
    <x v="8"/>
    <x v="16"/>
    <s v="PL_OFFSHORE"/>
    <x v="22"/>
    <n v="79.847999999999999"/>
    <n v="22.18"/>
  </r>
  <r>
    <x v="0"/>
    <x v="12"/>
    <x v="8"/>
    <x v="16"/>
    <s v="PL_Rural"/>
    <x v="2"/>
    <n v="48.384"/>
    <n v="13.44"/>
  </r>
  <r>
    <x v="0"/>
    <x v="12"/>
    <x v="8"/>
    <x v="16"/>
    <s v="PL_Rural"/>
    <x v="0"/>
    <n v="42.692399999999999"/>
    <n v="11.859"/>
  </r>
  <r>
    <x v="0"/>
    <x v="12"/>
    <x v="8"/>
    <x v="16"/>
    <s v="PL_Rural"/>
    <x v="21"/>
    <n v="48.384"/>
    <n v="13.44"/>
  </r>
  <r>
    <x v="0"/>
    <x v="12"/>
    <x v="8"/>
    <x v="16"/>
    <s v="PL_Rural"/>
    <x v="22"/>
    <n v="79.847999999999999"/>
    <n v="22.18"/>
  </r>
  <r>
    <x v="0"/>
    <x v="12"/>
    <x v="9"/>
    <x v="17"/>
    <s v="SE1A"/>
    <x v="2"/>
    <n v="48.384"/>
    <n v="13.44"/>
  </r>
  <r>
    <x v="0"/>
    <x v="12"/>
    <x v="9"/>
    <x v="17"/>
    <s v="SE1A"/>
    <x v="0"/>
    <n v="42.692399999999999"/>
    <n v="11.859"/>
  </r>
  <r>
    <x v="0"/>
    <x v="12"/>
    <x v="9"/>
    <x v="17"/>
    <s v="SE1A"/>
    <x v="21"/>
    <n v="48.384"/>
    <n v="13.44"/>
  </r>
  <r>
    <x v="0"/>
    <x v="12"/>
    <x v="9"/>
    <x v="17"/>
    <s v="SE1A"/>
    <x v="22"/>
    <n v="79.847999999999999"/>
    <n v="22.18"/>
  </r>
  <r>
    <x v="0"/>
    <x v="12"/>
    <x v="9"/>
    <x v="17"/>
    <s v="SE1_IND"/>
    <x v="2"/>
    <n v="48.384"/>
    <n v="13.44"/>
  </r>
  <r>
    <x v="0"/>
    <x v="12"/>
    <x v="9"/>
    <x v="17"/>
    <s v="SE1_IND"/>
    <x v="0"/>
    <n v="42.692399999999999"/>
    <n v="11.859"/>
  </r>
  <r>
    <x v="0"/>
    <x v="12"/>
    <x v="9"/>
    <x v="17"/>
    <s v="SE1_IND"/>
    <x v="21"/>
    <n v="48.384"/>
    <n v="13.44"/>
  </r>
  <r>
    <x v="0"/>
    <x v="12"/>
    <x v="9"/>
    <x v="17"/>
    <s v="SE1_IND"/>
    <x v="22"/>
    <n v="79.847999999999999"/>
    <n v="22.18"/>
  </r>
  <r>
    <x v="0"/>
    <x v="12"/>
    <x v="9"/>
    <x v="17"/>
    <s v="SE1_Offshore"/>
    <x v="2"/>
    <n v="48.384"/>
    <n v="13.44"/>
  </r>
  <r>
    <x v="0"/>
    <x v="12"/>
    <x v="9"/>
    <x v="17"/>
    <s v="SE1_Offshore"/>
    <x v="0"/>
    <n v="42.692399999999999"/>
    <n v="11.859"/>
  </r>
  <r>
    <x v="0"/>
    <x v="12"/>
    <x v="9"/>
    <x v="17"/>
    <s v="SE1_Offshore"/>
    <x v="21"/>
    <n v="48.384"/>
    <n v="13.44"/>
  </r>
  <r>
    <x v="0"/>
    <x v="12"/>
    <x v="9"/>
    <x v="17"/>
    <s v="SE1_Offshore"/>
    <x v="22"/>
    <n v="79.847999999999999"/>
    <n v="22.18"/>
  </r>
  <r>
    <x v="0"/>
    <x v="12"/>
    <x v="9"/>
    <x v="17"/>
    <s v="SE1_medium"/>
    <x v="2"/>
    <n v="48.384"/>
    <n v="13.44"/>
  </r>
  <r>
    <x v="0"/>
    <x v="12"/>
    <x v="9"/>
    <x v="17"/>
    <s v="SE1_medium"/>
    <x v="0"/>
    <n v="42.692399999999999"/>
    <n v="11.859"/>
  </r>
  <r>
    <x v="0"/>
    <x v="12"/>
    <x v="9"/>
    <x v="17"/>
    <s v="SE1_medium"/>
    <x v="21"/>
    <n v="48.384"/>
    <n v="13.44"/>
  </r>
  <r>
    <x v="0"/>
    <x v="12"/>
    <x v="9"/>
    <x v="17"/>
    <s v="SE1_medium"/>
    <x v="22"/>
    <n v="79.847999999999999"/>
    <n v="22.18"/>
  </r>
  <r>
    <x v="0"/>
    <x v="12"/>
    <x v="9"/>
    <x v="17"/>
    <s v="SE1_small"/>
    <x v="2"/>
    <n v="48.384"/>
    <n v="13.44"/>
  </r>
  <r>
    <x v="0"/>
    <x v="12"/>
    <x v="9"/>
    <x v="17"/>
    <s v="SE1_small"/>
    <x v="0"/>
    <n v="42.692399999999999"/>
    <n v="11.859"/>
  </r>
  <r>
    <x v="0"/>
    <x v="12"/>
    <x v="9"/>
    <x v="17"/>
    <s v="SE1_small"/>
    <x v="21"/>
    <n v="48.384"/>
    <n v="13.44"/>
  </r>
  <r>
    <x v="0"/>
    <x v="12"/>
    <x v="9"/>
    <x v="17"/>
    <s v="SE1_small"/>
    <x v="22"/>
    <n v="79.847999999999999"/>
    <n v="22.18"/>
  </r>
  <r>
    <x v="0"/>
    <x v="12"/>
    <x v="9"/>
    <x v="18"/>
    <s v="SE2A"/>
    <x v="2"/>
    <n v="48.384"/>
    <n v="13.44"/>
  </r>
  <r>
    <x v="0"/>
    <x v="12"/>
    <x v="9"/>
    <x v="18"/>
    <s v="SE2A"/>
    <x v="0"/>
    <n v="42.692399999999999"/>
    <n v="11.859"/>
  </r>
  <r>
    <x v="0"/>
    <x v="12"/>
    <x v="9"/>
    <x v="18"/>
    <s v="SE2A"/>
    <x v="21"/>
    <n v="48.384"/>
    <n v="13.44"/>
  </r>
  <r>
    <x v="0"/>
    <x v="12"/>
    <x v="9"/>
    <x v="18"/>
    <s v="SE2A"/>
    <x v="22"/>
    <n v="79.847999999999999"/>
    <n v="22.18"/>
  </r>
  <r>
    <x v="0"/>
    <x v="12"/>
    <x v="9"/>
    <x v="18"/>
    <s v="SE2_IND"/>
    <x v="2"/>
    <n v="48.384"/>
    <n v="13.44"/>
  </r>
  <r>
    <x v="0"/>
    <x v="12"/>
    <x v="9"/>
    <x v="18"/>
    <s v="SE2_IND"/>
    <x v="0"/>
    <n v="42.692399999999999"/>
    <n v="11.859"/>
  </r>
  <r>
    <x v="0"/>
    <x v="12"/>
    <x v="9"/>
    <x v="18"/>
    <s v="SE2_IND"/>
    <x v="21"/>
    <n v="48.384"/>
    <n v="13.44"/>
  </r>
  <r>
    <x v="0"/>
    <x v="12"/>
    <x v="9"/>
    <x v="18"/>
    <s v="SE2_IND"/>
    <x v="22"/>
    <n v="79.847999999999999"/>
    <n v="22.18"/>
  </r>
  <r>
    <x v="0"/>
    <x v="12"/>
    <x v="9"/>
    <x v="18"/>
    <s v="SE2_Offshore"/>
    <x v="2"/>
    <n v="48.384"/>
    <n v="13.44"/>
  </r>
  <r>
    <x v="0"/>
    <x v="12"/>
    <x v="9"/>
    <x v="18"/>
    <s v="SE2_Offshore"/>
    <x v="0"/>
    <n v="42.692399999999999"/>
    <n v="11.859"/>
  </r>
  <r>
    <x v="0"/>
    <x v="12"/>
    <x v="9"/>
    <x v="18"/>
    <s v="SE2_Offshore"/>
    <x v="21"/>
    <n v="48.384"/>
    <n v="13.44"/>
  </r>
  <r>
    <x v="0"/>
    <x v="12"/>
    <x v="9"/>
    <x v="18"/>
    <s v="SE2_Offshore"/>
    <x v="22"/>
    <n v="79.847999999999999"/>
    <n v="22.18"/>
  </r>
  <r>
    <x v="0"/>
    <x v="12"/>
    <x v="9"/>
    <x v="18"/>
    <s v="SE2_medium"/>
    <x v="2"/>
    <n v="48.384"/>
    <n v="13.44"/>
  </r>
  <r>
    <x v="0"/>
    <x v="12"/>
    <x v="9"/>
    <x v="18"/>
    <s v="SE2_medium"/>
    <x v="0"/>
    <n v="42.692399999999999"/>
    <n v="11.859"/>
  </r>
  <r>
    <x v="0"/>
    <x v="12"/>
    <x v="9"/>
    <x v="18"/>
    <s v="SE2_medium"/>
    <x v="21"/>
    <n v="48.384"/>
    <n v="13.44"/>
  </r>
  <r>
    <x v="0"/>
    <x v="12"/>
    <x v="9"/>
    <x v="18"/>
    <s v="SE2_medium"/>
    <x v="22"/>
    <n v="79.847999999999999"/>
    <n v="22.18"/>
  </r>
  <r>
    <x v="0"/>
    <x v="12"/>
    <x v="9"/>
    <x v="18"/>
    <s v="SE2_small"/>
    <x v="2"/>
    <n v="48.384"/>
    <n v="13.44"/>
  </r>
  <r>
    <x v="0"/>
    <x v="12"/>
    <x v="9"/>
    <x v="18"/>
    <s v="SE2_small"/>
    <x v="0"/>
    <n v="42.692399999999999"/>
    <n v="11.859"/>
  </r>
  <r>
    <x v="0"/>
    <x v="12"/>
    <x v="9"/>
    <x v="18"/>
    <s v="SE2_small"/>
    <x v="21"/>
    <n v="48.384"/>
    <n v="13.44"/>
  </r>
  <r>
    <x v="0"/>
    <x v="12"/>
    <x v="9"/>
    <x v="18"/>
    <s v="SE2_small"/>
    <x v="22"/>
    <n v="79.847999999999999"/>
    <n v="22.18"/>
  </r>
  <r>
    <x v="0"/>
    <x v="12"/>
    <x v="9"/>
    <x v="19"/>
    <s v="SE3A"/>
    <x v="2"/>
    <n v="48.384"/>
    <n v="13.44"/>
  </r>
  <r>
    <x v="0"/>
    <x v="12"/>
    <x v="9"/>
    <x v="19"/>
    <s v="SE3A"/>
    <x v="0"/>
    <n v="42.692399999999999"/>
    <n v="11.859"/>
  </r>
  <r>
    <x v="0"/>
    <x v="12"/>
    <x v="9"/>
    <x v="19"/>
    <s v="SE3A"/>
    <x v="21"/>
    <n v="48.384"/>
    <n v="13.44"/>
  </r>
  <r>
    <x v="0"/>
    <x v="12"/>
    <x v="9"/>
    <x v="19"/>
    <s v="SE3A"/>
    <x v="22"/>
    <n v="79.847999999999999"/>
    <n v="22.18"/>
  </r>
  <r>
    <x v="0"/>
    <x v="12"/>
    <x v="9"/>
    <x v="19"/>
    <s v="SE3_IND"/>
    <x v="2"/>
    <n v="48.384"/>
    <n v="13.44"/>
  </r>
  <r>
    <x v="0"/>
    <x v="12"/>
    <x v="9"/>
    <x v="19"/>
    <s v="SE3_IND"/>
    <x v="0"/>
    <n v="42.692399999999999"/>
    <n v="11.859"/>
  </r>
  <r>
    <x v="0"/>
    <x v="12"/>
    <x v="9"/>
    <x v="19"/>
    <s v="SE3_IND"/>
    <x v="21"/>
    <n v="48.384"/>
    <n v="13.44"/>
  </r>
  <r>
    <x v="0"/>
    <x v="12"/>
    <x v="9"/>
    <x v="19"/>
    <s v="SE3_IND"/>
    <x v="22"/>
    <n v="79.847999999999999"/>
    <n v="22.18"/>
  </r>
  <r>
    <x v="0"/>
    <x v="12"/>
    <x v="9"/>
    <x v="19"/>
    <s v="SE3_Offshore"/>
    <x v="2"/>
    <n v="48.384"/>
    <n v="13.44"/>
  </r>
  <r>
    <x v="0"/>
    <x v="12"/>
    <x v="9"/>
    <x v="19"/>
    <s v="SE3_Offshore"/>
    <x v="0"/>
    <n v="42.692399999999999"/>
    <n v="11.859"/>
  </r>
  <r>
    <x v="0"/>
    <x v="12"/>
    <x v="9"/>
    <x v="19"/>
    <s v="SE3_Offshore"/>
    <x v="21"/>
    <n v="48.384"/>
    <n v="13.44"/>
  </r>
  <r>
    <x v="0"/>
    <x v="12"/>
    <x v="9"/>
    <x v="19"/>
    <s v="SE3_Offshore"/>
    <x v="22"/>
    <n v="79.847999999999999"/>
    <n v="22.18"/>
  </r>
  <r>
    <x v="0"/>
    <x v="12"/>
    <x v="9"/>
    <x v="19"/>
    <s v="SE3_large"/>
    <x v="2"/>
    <n v="48.384"/>
    <n v="13.44"/>
  </r>
  <r>
    <x v="0"/>
    <x v="12"/>
    <x v="9"/>
    <x v="19"/>
    <s v="SE3_large"/>
    <x v="0"/>
    <n v="42.692399999999999"/>
    <n v="11.859"/>
  </r>
  <r>
    <x v="0"/>
    <x v="12"/>
    <x v="9"/>
    <x v="19"/>
    <s v="SE3_large"/>
    <x v="21"/>
    <n v="48.384"/>
    <n v="13.44"/>
  </r>
  <r>
    <x v="0"/>
    <x v="12"/>
    <x v="9"/>
    <x v="19"/>
    <s v="SE3_large"/>
    <x v="22"/>
    <n v="79.847999999999999"/>
    <n v="22.18"/>
  </r>
  <r>
    <x v="0"/>
    <x v="12"/>
    <x v="9"/>
    <x v="19"/>
    <s v="SE3_medium"/>
    <x v="2"/>
    <n v="48.384"/>
    <n v="13.44"/>
  </r>
  <r>
    <x v="0"/>
    <x v="12"/>
    <x v="9"/>
    <x v="19"/>
    <s v="SE3_medium"/>
    <x v="0"/>
    <n v="42.692399999999999"/>
    <n v="11.859"/>
  </r>
  <r>
    <x v="0"/>
    <x v="12"/>
    <x v="9"/>
    <x v="19"/>
    <s v="SE3_medium"/>
    <x v="21"/>
    <n v="48.384"/>
    <n v="13.44"/>
  </r>
  <r>
    <x v="0"/>
    <x v="12"/>
    <x v="9"/>
    <x v="19"/>
    <s v="SE3_medium"/>
    <x v="22"/>
    <n v="79.847999999999999"/>
    <n v="22.18"/>
  </r>
  <r>
    <x v="0"/>
    <x v="12"/>
    <x v="9"/>
    <x v="19"/>
    <s v="SE3_small"/>
    <x v="2"/>
    <n v="48.384"/>
    <n v="13.44"/>
  </r>
  <r>
    <x v="0"/>
    <x v="12"/>
    <x v="9"/>
    <x v="19"/>
    <s v="SE3_small"/>
    <x v="0"/>
    <n v="42.692399999999999"/>
    <n v="11.859"/>
  </r>
  <r>
    <x v="0"/>
    <x v="12"/>
    <x v="9"/>
    <x v="19"/>
    <s v="SE3_small"/>
    <x v="21"/>
    <n v="48.384"/>
    <n v="13.44"/>
  </r>
  <r>
    <x v="0"/>
    <x v="12"/>
    <x v="9"/>
    <x v="19"/>
    <s v="SE3_small"/>
    <x v="22"/>
    <n v="79.847999999999999"/>
    <n v="22.18"/>
  </r>
  <r>
    <x v="0"/>
    <x v="12"/>
    <x v="9"/>
    <x v="20"/>
    <s v="SE4A"/>
    <x v="2"/>
    <n v="48.384"/>
    <n v="13.44"/>
  </r>
  <r>
    <x v="0"/>
    <x v="12"/>
    <x v="9"/>
    <x v="20"/>
    <s v="SE4A"/>
    <x v="0"/>
    <n v="42.692399999999999"/>
    <n v="11.859"/>
  </r>
  <r>
    <x v="0"/>
    <x v="12"/>
    <x v="9"/>
    <x v="20"/>
    <s v="SE4A"/>
    <x v="21"/>
    <n v="48.384"/>
    <n v="13.44"/>
  </r>
  <r>
    <x v="0"/>
    <x v="12"/>
    <x v="9"/>
    <x v="20"/>
    <s v="SE4A"/>
    <x v="22"/>
    <n v="79.847999999999999"/>
    <n v="22.18"/>
  </r>
  <r>
    <x v="0"/>
    <x v="12"/>
    <x v="9"/>
    <x v="20"/>
    <s v="SE4_IND"/>
    <x v="2"/>
    <n v="48.384"/>
    <n v="13.44"/>
  </r>
  <r>
    <x v="0"/>
    <x v="12"/>
    <x v="9"/>
    <x v="20"/>
    <s v="SE4_IND"/>
    <x v="0"/>
    <n v="42.692399999999999"/>
    <n v="11.859"/>
  </r>
  <r>
    <x v="0"/>
    <x v="12"/>
    <x v="9"/>
    <x v="20"/>
    <s v="SE4_IND"/>
    <x v="21"/>
    <n v="48.384"/>
    <n v="13.44"/>
  </r>
  <r>
    <x v="0"/>
    <x v="12"/>
    <x v="9"/>
    <x v="20"/>
    <s v="SE4_IND"/>
    <x v="22"/>
    <n v="79.847999999999999"/>
    <n v="22.18"/>
  </r>
  <r>
    <x v="0"/>
    <x v="12"/>
    <x v="9"/>
    <x v="20"/>
    <s v="SE4_Offshore"/>
    <x v="2"/>
    <n v="48.384"/>
    <n v="13.44"/>
  </r>
  <r>
    <x v="0"/>
    <x v="12"/>
    <x v="9"/>
    <x v="20"/>
    <s v="SE4_Offshore"/>
    <x v="0"/>
    <n v="42.692399999999999"/>
    <n v="11.859"/>
  </r>
  <r>
    <x v="0"/>
    <x v="12"/>
    <x v="9"/>
    <x v="20"/>
    <s v="SE4_Offshore"/>
    <x v="21"/>
    <n v="48.384"/>
    <n v="13.44"/>
  </r>
  <r>
    <x v="0"/>
    <x v="12"/>
    <x v="9"/>
    <x v="20"/>
    <s v="SE4_Offshore"/>
    <x v="22"/>
    <n v="79.847999999999999"/>
    <n v="22.18"/>
  </r>
  <r>
    <x v="0"/>
    <x v="12"/>
    <x v="9"/>
    <x v="20"/>
    <s v="SE4_large"/>
    <x v="2"/>
    <n v="48.384"/>
    <n v="13.44"/>
  </r>
  <r>
    <x v="0"/>
    <x v="12"/>
    <x v="9"/>
    <x v="20"/>
    <s v="SE4_large"/>
    <x v="0"/>
    <n v="42.692399999999999"/>
    <n v="11.859"/>
  </r>
  <r>
    <x v="0"/>
    <x v="12"/>
    <x v="9"/>
    <x v="20"/>
    <s v="SE4_large"/>
    <x v="21"/>
    <n v="48.384"/>
    <n v="13.44"/>
  </r>
  <r>
    <x v="0"/>
    <x v="12"/>
    <x v="9"/>
    <x v="20"/>
    <s v="SE4_large"/>
    <x v="22"/>
    <n v="79.847999999999999"/>
    <n v="22.18"/>
  </r>
  <r>
    <x v="0"/>
    <x v="12"/>
    <x v="9"/>
    <x v="20"/>
    <s v="SE4_medium"/>
    <x v="2"/>
    <n v="48.384"/>
    <n v="13.44"/>
  </r>
  <r>
    <x v="0"/>
    <x v="12"/>
    <x v="9"/>
    <x v="20"/>
    <s v="SE4_medium"/>
    <x v="0"/>
    <n v="42.692399999999999"/>
    <n v="11.859"/>
  </r>
  <r>
    <x v="0"/>
    <x v="12"/>
    <x v="9"/>
    <x v="20"/>
    <s v="SE4_medium"/>
    <x v="21"/>
    <n v="48.384"/>
    <n v="13.44"/>
  </r>
  <r>
    <x v="0"/>
    <x v="12"/>
    <x v="9"/>
    <x v="20"/>
    <s v="SE4_medium"/>
    <x v="22"/>
    <n v="79.847999999999999"/>
    <n v="22.18"/>
  </r>
  <r>
    <x v="0"/>
    <x v="12"/>
    <x v="9"/>
    <x v="20"/>
    <s v="SE4_small"/>
    <x v="2"/>
    <n v="48.384"/>
    <n v="13.44"/>
  </r>
  <r>
    <x v="0"/>
    <x v="12"/>
    <x v="9"/>
    <x v="20"/>
    <s v="SE4_small"/>
    <x v="0"/>
    <n v="42.692399999999999"/>
    <n v="11.859"/>
  </r>
  <r>
    <x v="0"/>
    <x v="12"/>
    <x v="9"/>
    <x v="20"/>
    <s v="SE4_small"/>
    <x v="21"/>
    <n v="48.384"/>
    <n v="13.44"/>
  </r>
  <r>
    <x v="0"/>
    <x v="12"/>
    <x v="9"/>
    <x v="20"/>
    <s v="SE4_small"/>
    <x v="22"/>
    <n v="79.847999999999999"/>
    <n v="22.18"/>
  </r>
  <r>
    <x v="0"/>
    <x v="12"/>
    <x v="10"/>
    <x v="21"/>
    <s v="UK_A"/>
    <x v="2"/>
    <n v="48.384"/>
    <n v="13.44"/>
  </r>
  <r>
    <x v="0"/>
    <x v="12"/>
    <x v="10"/>
    <x v="21"/>
    <s v="UK_A"/>
    <x v="0"/>
    <n v="42.692399999999999"/>
    <n v="11.859"/>
  </r>
  <r>
    <x v="0"/>
    <x v="12"/>
    <x v="10"/>
    <x v="21"/>
    <s v="UK_A"/>
    <x v="21"/>
    <n v="48.384"/>
    <n v="13.44"/>
  </r>
  <r>
    <x v="0"/>
    <x v="12"/>
    <x v="10"/>
    <x v="21"/>
    <s v="UK_A"/>
    <x v="22"/>
    <n v="79.847999999999999"/>
    <n v="22.18"/>
  </r>
  <r>
    <x v="0"/>
    <x v="12"/>
    <x v="10"/>
    <x v="21"/>
    <s v="UK_Offshore"/>
    <x v="2"/>
    <n v="48.384"/>
    <n v="13.44"/>
  </r>
  <r>
    <x v="0"/>
    <x v="12"/>
    <x v="10"/>
    <x v="21"/>
    <s v="UK_Offshore"/>
    <x v="0"/>
    <n v="42.692399999999999"/>
    <n v="11.859"/>
  </r>
  <r>
    <x v="0"/>
    <x v="12"/>
    <x v="10"/>
    <x v="21"/>
    <s v="UK_Offshore"/>
    <x v="21"/>
    <n v="48.384"/>
    <n v="13.44"/>
  </r>
  <r>
    <x v="0"/>
    <x v="12"/>
    <x v="10"/>
    <x v="21"/>
    <s v="UK_Offshore"/>
    <x v="22"/>
    <n v="79.847999999999999"/>
    <n v="22.18"/>
  </r>
  <r>
    <x v="0"/>
    <x v="13"/>
    <x v="0"/>
    <x v="0"/>
    <s v="DK1_Large"/>
    <x v="1"/>
    <n v="35.989199999999997"/>
    <n v="9.9969999999999999"/>
  </r>
  <r>
    <x v="0"/>
    <x v="13"/>
    <x v="0"/>
    <x v="0"/>
    <s v="DK1_Large"/>
    <x v="2"/>
    <n v="48.384"/>
    <n v="13.44"/>
  </r>
  <r>
    <x v="0"/>
    <x v="13"/>
    <x v="0"/>
    <x v="0"/>
    <s v="DK1_Large"/>
    <x v="0"/>
    <n v="42.692399999999999"/>
    <n v="11.859"/>
  </r>
  <r>
    <x v="0"/>
    <x v="13"/>
    <x v="0"/>
    <x v="0"/>
    <s v="DK1_Large"/>
    <x v="3"/>
    <n v="51.633543144067197"/>
    <n v="14.342650873352"/>
  </r>
  <r>
    <x v="0"/>
    <x v="13"/>
    <x v="0"/>
    <x v="0"/>
    <s v="DK1_Large"/>
    <x v="4"/>
    <n v="7.4084241922120802"/>
    <n v="2.0578956089478"/>
  </r>
  <r>
    <x v="0"/>
    <x v="13"/>
    <x v="0"/>
    <x v="0"/>
    <s v="DK1_Large"/>
    <x v="5"/>
    <n v="7.4084241922120802"/>
    <n v="2.0578956089478"/>
  </r>
  <r>
    <x v="0"/>
    <x v="13"/>
    <x v="0"/>
    <x v="0"/>
    <s v="DK1_Large"/>
    <x v="6"/>
    <n v="29.476231795214598"/>
    <n v="8.1878421653373898"/>
  </r>
  <r>
    <x v="0"/>
    <x v="13"/>
    <x v="0"/>
    <x v="0"/>
    <s v="DK1_Large"/>
    <x v="7"/>
    <n v="57.838935220261199"/>
    <n v="16.066370894517"/>
  </r>
  <r>
    <x v="0"/>
    <x v="13"/>
    <x v="0"/>
    <x v="0"/>
    <s v="DK1_Large"/>
    <x v="8"/>
    <n v="57.838935220261199"/>
    <n v="16.066370894517"/>
  </r>
  <r>
    <x v="0"/>
    <x v="13"/>
    <x v="0"/>
    <x v="0"/>
    <s v="DK1_Large"/>
    <x v="9"/>
    <n v="44.803327257663497"/>
    <n v="12.4453686826843"/>
  </r>
  <r>
    <x v="0"/>
    <x v="13"/>
    <x v="0"/>
    <x v="0"/>
    <s v="DK1_Large"/>
    <x v="10"/>
    <n v="54.681226180612903"/>
    <n v="15.1892294946147"/>
  </r>
  <r>
    <x v="0"/>
    <x v="13"/>
    <x v="0"/>
    <x v="0"/>
    <s v="DK1_Large"/>
    <x v="11"/>
    <n v="3.8806031483015802"/>
    <n v="1.07794531897266"/>
  </r>
  <r>
    <x v="0"/>
    <x v="13"/>
    <x v="0"/>
    <x v="0"/>
    <s v="DK1_Large"/>
    <x v="12"/>
    <n v="9.7995028997514597E-2"/>
    <n v="2.72208413881985E-2"/>
  </r>
  <r>
    <x v="0"/>
    <x v="13"/>
    <x v="0"/>
    <x v="0"/>
    <s v="DK1_Large"/>
    <x v="13"/>
    <n v="24.694747307373699"/>
    <n v="6.8596520298260204"/>
  </r>
  <r>
    <x v="0"/>
    <x v="13"/>
    <x v="0"/>
    <x v="0"/>
    <s v="DK1_Large"/>
    <x v="14"/>
    <n v="24.694747307373699"/>
    <n v="6.8596520298260204"/>
  </r>
  <r>
    <x v="0"/>
    <x v="13"/>
    <x v="0"/>
    <x v="0"/>
    <s v="DK1_Large"/>
    <x v="15"/>
    <n v="1.65807589063794"/>
    <n v="0.46057663628831802"/>
  </r>
  <r>
    <x v="0"/>
    <x v="13"/>
    <x v="0"/>
    <x v="0"/>
    <s v="DK1_Large"/>
    <x v="16"/>
    <n v="5.8520524559425198"/>
    <n v="1.6255701266507001"/>
  </r>
  <r>
    <x v="0"/>
    <x v="13"/>
    <x v="0"/>
    <x v="0"/>
    <s v="DK1_Large"/>
    <x v="17"/>
    <n v="9.1244895875632395"/>
    <n v="2.5345804409897901"/>
  </r>
  <r>
    <x v="0"/>
    <x v="13"/>
    <x v="0"/>
    <x v="0"/>
    <s v="DK1_Large"/>
    <x v="18"/>
    <n v="24.694747307373699"/>
    <n v="6.8596520298260204"/>
  </r>
  <r>
    <x v="0"/>
    <x v="13"/>
    <x v="0"/>
    <x v="0"/>
    <s v="DK1_Large"/>
    <x v="19"/>
    <n v="8.1139884009941898"/>
    <n v="2.2538856669428302"/>
  </r>
  <r>
    <x v="0"/>
    <x v="13"/>
    <x v="0"/>
    <x v="0"/>
    <s v="DK1_Large"/>
    <x v="20"/>
    <n v="20.3765303632313"/>
    <n v="5.6601473231197996"/>
  </r>
  <r>
    <x v="0"/>
    <x v="13"/>
    <x v="0"/>
    <x v="0"/>
    <s v="DK1_Large"/>
    <x v="21"/>
    <n v="48.384"/>
    <n v="13.44"/>
  </r>
  <r>
    <x v="0"/>
    <x v="13"/>
    <x v="0"/>
    <x v="0"/>
    <s v="DK1_Large"/>
    <x v="22"/>
    <n v="79.847999999999999"/>
    <n v="22.18"/>
  </r>
  <r>
    <x v="0"/>
    <x v="13"/>
    <x v="0"/>
    <x v="0"/>
    <s v="DK1_Large"/>
    <x v="23"/>
    <n v="0.31515896120488701"/>
    <n v="8.7544155890246306E-2"/>
  </r>
  <r>
    <x v="0"/>
    <x v="13"/>
    <x v="0"/>
    <x v="0"/>
    <s v="DK1_Large"/>
    <x v="24"/>
    <n v="19.174223581093901"/>
    <n v="5.32617321697054"/>
  </r>
  <r>
    <x v="0"/>
    <x v="13"/>
    <x v="0"/>
    <x v="0"/>
    <s v="DK1_Large"/>
    <x v="25"/>
    <n v="23.613931806316799"/>
    <n v="6.5594255017546796"/>
  </r>
  <r>
    <x v="0"/>
    <x v="13"/>
    <x v="0"/>
    <x v="0"/>
    <s v="DK1_Large"/>
    <x v="26"/>
    <n v="30.869217554900899"/>
    <n v="8.5747826541391401"/>
  </r>
  <r>
    <x v="0"/>
    <x v="13"/>
    <x v="0"/>
    <x v="0"/>
    <s v="DK1_Large"/>
    <x v="27"/>
    <n v="20.163995508318798"/>
    <n v="5.6011098634218799"/>
  </r>
  <r>
    <x v="0"/>
    <x v="13"/>
    <x v="0"/>
    <x v="0"/>
    <s v="DK1_Large_PHH"/>
    <x v="1"/>
    <n v="35.989199999999997"/>
    <n v="9.9969999999999999"/>
  </r>
  <r>
    <x v="0"/>
    <x v="13"/>
    <x v="0"/>
    <x v="0"/>
    <s v="DK1_Large_PHH"/>
    <x v="2"/>
    <n v="48.384"/>
    <n v="13.44"/>
  </r>
  <r>
    <x v="0"/>
    <x v="13"/>
    <x v="0"/>
    <x v="0"/>
    <s v="DK1_Large_PHH"/>
    <x v="0"/>
    <n v="42.692399999999999"/>
    <n v="11.859"/>
  </r>
  <r>
    <x v="0"/>
    <x v="13"/>
    <x v="0"/>
    <x v="0"/>
    <s v="DK1_Large_PHH"/>
    <x v="3"/>
    <n v="51.633543144067197"/>
    <n v="14.342650873352"/>
  </r>
  <r>
    <x v="0"/>
    <x v="13"/>
    <x v="0"/>
    <x v="0"/>
    <s v="DK1_Large_PHH"/>
    <x v="4"/>
    <n v="7.4084241922120802"/>
    <n v="2.0578956089478"/>
  </r>
  <r>
    <x v="0"/>
    <x v="13"/>
    <x v="0"/>
    <x v="0"/>
    <s v="DK1_Large_PHH"/>
    <x v="5"/>
    <n v="7.4084241922120802"/>
    <n v="2.0578956089478"/>
  </r>
  <r>
    <x v="0"/>
    <x v="13"/>
    <x v="0"/>
    <x v="0"/>
    <s v="DK1_Large_PHH"/>
    <x v="6"/>
    <n v="29.476231795214598"/>
    <n v="8.1878421653373898"/>
  </r>
  <r>
    <x v="0"/>
    <x v="13"/>
    <x v="0"/>
    <x v="0"/>
    <s v="DK1_Large_PHH"/>
    <x v="7"/>
    <n v="57.838935220261199"/>
    <n v="16.066370894517"/>
  </r>
  <r>
    <x v="0"/>
    <x v="13"/>
    <x v="0"/>
    <x v="0"/>
    <s v="DK1_Large_PHH"/>
    <x v="8"/>
    <n v="57.838935220261199"/>
    <n v="16.066370894517"/>
  </r>
  <r>
    <x v="0"/>
    <x v="13"/>
    <x v="0"/>
    <x v="0"/>
    <s v="DK1_Large_PHH"/>
    <x v="9"/>
    <n v="44.803327257663497"/>
    <n v="12.4453686826843"/>
  </r>
  <r>
    <x v="0"/>
    <x v="13"/>
    <x v="0"/>
    <x v="0"/>
    <s v="DK1_Large_PHH"/>
    <x v="10"/>
    <n v="54.681226180612903"/>
    <n v="15.1892294946147"/>
  </r>
  <r>
    <x v="0"/>
    <x v="13"/>
    <x v="0"/>
    <x v="0"/>
    <s v="DK1_Large_PHH"/>
    <x v="11"/>
    <n v="3.8806031483015802"/>
    <n v="1.07794531897266"/>
  </r>
  <r>
    <x v="0"/>
    <x v="13"/>
    <x v="0"/>
    <x v="0"/>
    <s v="DK1_Large_PHH"/>
    <x v="12"/>
    <n v="9.7995028997514597E-2"/>
    <n v="2.72208413881985E-2"/>
  </r>
  <r>
    <x v="0"/>
    <x v="13"/>
    <x v="0"/>
    <x v="0"/>
    <s v="DK1_Large_PHH"/>
    <x v="13"/>
    <n v="24.694747307373699"/>
    <n v="6.8596520298260204"/>
  </r>
  <r>
    <x v="0"/>
    <x v="13"/>
    <x v="0"/>
    <x v="0"/>
    <s v="DK1_Large_PHH"/>
    <x v="14"/>
    <n v="24.694747307373699"/>
    <n v="6.8596520298260204"/>
  </r>
  <r>
    <x v="0"/>
    <x v="13"/>
    <x v="0"/>
    <x v="0"/>
    <s v="DK1_Large_PHH"/>
    <x v="15"/>
    <n v="1.65807589063794"/>
    <n v="0.46057663628831802"/>
  </r>
  <r>
    <x v="0"/>
    <x v="13"/>
    <x v="0"/>
    <x v="0"/>
    <s v="DK1_Large_PHH"/>
    <x v="16"/>
    <n v="5.8520524559425198"/>
    <n v="1.6255701266507001"/>
  </r>
  <r>
    <x v="0"/>
    <x v="13"/>
    <x v="0"/>
    <x v="0"/>
    <s v="DK1_Large_PHH"/>
    <x v="17"/>
    <n v="9.1244895875632395"/>
    <n v="2.5345804409897901"/>
  </r>
  <r>
    <x v="0"/>
    <x v="13"/>
    <x v="0"/>
    <x v="0"/>
    <s v="DK1_Large_PHH"/>
    <x v="18"/>
    <n v="24.694747307373699"/>
    <n v="6.8596520298260204"/>
  </r>
  <r>
    <x v="0"/>
    <x v="13"/>
    <x v="0"/>
    <x v="0"/>
    <s v="DK1_Large_PHH"/>
    <x v="19"/>
    <n v="8.1139884009941898"/>
    <n v="2.2538856669428302"/>
  </r>
  <r>
    <x v="0"/>
    <x v="13"/>
    <x v="0"/>
    <x v="0"/>
    <s v="DK1_Large_PHH"/>
    <x v="20"/>
    <n v="20.3765303632313"/>
    <n v="5.6601473231197996"/>
  </r>
  <r>
    <x v="0"/>
    <x v="13"/>
    <x v="0"/>
    <x v="0"/>
    <s v="DK1_Large_PHH"/>
    <x v="21"/>
    <n v="48.384"/>
    <n v="13.44"/>
  </r>
  <r>
    <x v="0"/>
    <x v="13"/>
    <x v="0"/>
    <x v="0"/>
    <s v="DK1_Large_PHH"/>
    <x v="22"/>
    <n v="79.847999999999999"/>
    <n v="22.18"/>
  </r>
  <r>
    <x v="0"/>
    <x v="13"/>
    <x v="0"/>
    <x v="0"/>
    <s v="DK1_Large_PHH"/>
    <x v="23"/>
    <n v="0.31515896120488701"/>
    <n v="8.7544155890246306E-2"/>
  </r>
  <r>
    <x v="0"/>
    <x v="13"/>
    <x v="0"/>
    <x v="0"/>
    <s v="DK1_Large_PHH"/>
    <x v="24"/>
    <n v="19.174223581093901"/>
    <n v="5.32617321697054"/>
  </r>
  <r>
    <x v="0"/>
    <x v="13"/>
    <x v="0"/>
    <x v="0"/>
    <s v="DK1_Large_PHH"/>
    <x v="25"/>
    <n v="23.613931806316799"/>
    <n v="6.5594255017546796"/>
  </r>
  <r>
    <x v="0"/>
    <x v="13"/>
    <x v="0"/>
    <x v="0"/>
    <s v="DK1_Large_PHH"/>
    <x v="26"/>
    <n v="30.869217554900899"/>
    <n v="8.5747826541391401"/>
  </r>
  <r>
    <x v="0"/>
    <x v="13"/>
    <x v="0"/>
    <x v="0"/>
    <s v="DK1_Large_PHH"/>
    <x v="27"/>
    <n v="20.163995508318798"/>
    <n v="5.6011098634218799"/>
  </r>
  <r>
    <x v="0"/>
    <x v="13"/>
    <x v="0"/>
    <x v="0"/>
    <s v="DK1_Large_PHL"/>
    <x v="1"/>
    <n v="35.989199999999997"/>
    <n v="9.9969999999999999"/>
  </r>
  <r>
    <x v="0"/>
    <x v="13"/>
    <x v="0"/>
    <x v="0"/>
    <s v="DK1_Large_PHL"/>
    <x v="2"/>
    <n v="48.384"/>
    <n v="13.44"/>
  </r>
  <r>
    <x v="0"/>
    <x v="13"/>
    <x v="0"/>
    <x v="0"/>
    <s v="DK1_Large_PHL"/>
    <x v="0"/>
    <n v="42.692399999999999"/>
    <n v="11.859"/>
  </r>
  <r>
    <x v="0"/>
    <x v="13"/>
    <x v="0"/>
    <x v="0"/>
    <s v="DK1_Large_PHL"/>
    <x v="3"/>
    <n v="51.633543144067197"/>
    <n v="14.342650873352"/>
  </r>
  <r>
    <x v="0"/>
    <x v="13"/>
    <x v="0"/>
    <x v="0"/>
    <s v="DK1_Large_PHL"/>
    <x v="4"/>
    <n v="7.4084241922120802"/>
    <n v="2.0578956089478"/>
  </r>
  <r>
    <x v="0"/>
    <x v="13"/>
    <x v="0"/>
    <x v="0"/>
    <s v="DK1_Large_PHL"/>
    <x v="5"/>
    <n v="7.4084241922120802"/>
    <n v="2.0578956089478"/>
  </r>
  <r>
    <x v="0"/>
    <x v="13"/>
    <x v="0"/>
    <x v="0"/>
    <s v="DK1_Large_PHL"/>
    <x v="6"/>
    <n v="29.476231795214598"/>
    <n v="8.1878421653373898"/>
  </r>
  <r>
    <x v="0"/>
    <x v="13"/>
    <x v="0"/>
    <x v="0"/>
    <s v="DK1_Large_PHL"/>
    <x v="7"/>
    <n v="57.838935220261199"/>
    <n v="16.066370894517"/>
  </r>
  <r>
    <x v="0"/>
    <x v="13"/>
    <x v="0"/>
    <x v="0"/>
    <s v="DK1_Large_PHL"/>
    <x v="8"/>
    <n v="57.838935220261199"/>
    <n v="16.066370894517"/>
  </r>
  <r>
    <x v="0"/>
    <x v="13"/>
    <x v="0"/>
    <x v="0"/>
    <s v="DK1_Large_PHL"/>
    <x v="9"/>
    <n v="44.803327257663497"/>
    <n v="12.4453686826843"/>
  </r>
  <r>
    <x v="0"/>
    <x v="13"/>
    <x v="0"/>
    <x v="0"/>
    <s v="DK1_Large_PHL"/>
    <x v="10"/>
    <n v="54.681226180612903"/>
    <n v="15.1892294946147"/>
  </r>
  <r>
    <x v="0"/>
    <x v="13"/>
    <x v="0"/>
    <x v="0"/>
    <s v="DK1_Large_PHL"/>
    <x v="11"/>
    <n v="3.8806031483015802"/>
    <n v="1.07794531897266"/>
  </r>
  <r>
    <x v="0"/>
    <x v="13"/>
    <x v="0"/>
    <x v="0"/>
    <s v="DK1_Large_PHL"/>
    <x v="12"/>
    <n v="9.7995028997514597E-2"/>
    <n v="2.72208413881985E-2"/>
  </r>
  <r>
    <x v="0"/>
    <x v="13"/>
    <x v="0"/>
    <x v="0"/>
    <s v="DK1_Large_PHL"/>
    <x v="13"/>
    <n v="24.694747307373699"/>
    <n v="6.8596520298260204"/>
  </r>
  <r>
    <x v="0"/>
    <x v="13"/>
    <x v="0"/>
    <x v="0"/>
    <s v="DK1_Large_PHL"/>
    <x v="14"/>
    <n v="24.694747307373699"/>
    <n v="6.8596520298260204"/>
  </r>
  <r>
    <x v="0"/>
    <x v="13"/>
    <x v="0"/>
    <x v="0"/>
    <s v="DK1_Large_PHL"/>
    <x v="15"/>
    <n v="1.65807589063794"/>
    <n v="0.46057663628831802"/>
  </r>
  <r>
    <x v="0"/>
    <x v="13"/>
    <x v="0"/>
    <x v="0"/>
    <s v="DK1_Large_PHL"/>
    <x v="16"/>
    <n v="5.8520524559425198"/>
    <n v="1.6255701266507001"/>
  </r>
  <r>
    <x v="0"/>
    <x v="13"/>
    <x v="0"/>
    <x v="0"/>
    <s v="DK1_Large_PHL"/>
    <x v="17"/>
    <n v="9.1244895875632395"/>
    <n v="2.5345804409897901"/>
  </r>
  <r>
    <x v="0"/>
    <x v="13"/>
    <x v="0"/>
    <x v="0"/>
    <s v="DK1_Large_PHL"/>
    <x v="18"/>
    <n v="24.694747307373699"/>
    <n v="6.8596520298260204"/>
  </r>
  <r>
    <x v="0"/>
    <x v="13"/>
    <x v="0"/>
    <x v="0"/>
    <s v="DK1_Large_PHL"/>
    <x v="19"/>
    <n v="8.1139884009941898"/>
    <n v="2.2538856669428302"/>
  </r>
  <r>
    <x v="0"/>
    <x v="13"/>
    <x v="0"/>
    <x v="0"/>
    <s v="DK1_Large_PHL"/>
    <x v="20"/>
    <n v="20.3765303632313"/>
    <n v="5.6601473231197996"/>
  </r>
  <r>
    <x v="0"/>
    <x v="13"/>
    <x v="0"/>
    <x v="0"/>
    <s v="DK1_Large_PHL"/>
    <x v="21"/>
    <n v="48.384"/>
    <n v="13.44"/>
  </r>
  <r>
    <x v="0"/>
    <x v="13"/>
    <x v="0"/>
    <x v="0"/>
    <s v="DK1_Large_PHL"/>
    <x v="22"/>
    <n v="79.847999999999999"/>
    <n v="22.18"/>
  </r>
  <r>
    <x v="0"/>
    <x v="13"/>
    <x v="0"/>
    <x v="0"/>
    <s v="DK1_Large_PHL"/>
    <x v="23"/>
    <n v="0.31515896120488701"/>
    <n v="8.7544155890246306E-2"/>
  </r>
  <r>
    <x v="0"/>
    <x v="13"/>
    <x v="0"/>
    <x v="0"/>
    <s v="DK1_Large_PHL"/>
    <x v="24"/>
    <n v="19.174223581093901"/>
    <n v="5.32617321697054"/>
  </r>
  <r>
    <x v="0"/>
    <x v="13"/>
    <x v="0"/>
    <x v="0"/>
    <s v="DK1_Large_PHL"/>
    <x v="25"/>
    <n v="23.613931806316799"/>
    <n v="6.5594255017546796"/>
  </r>
  <r>
    <x v="0"/>
    <x v="13"/>
    <x v="0"/>
    <x v="0"/>
    <s v="DK1_Large_PHL"/>
    <x v="26"/>
    <n v="30.869217554900899"/>
    <n v="8.5747826541391401"/>
  </r>
  <r>
    <x v="0"/>
    <x v="13"/>
    <x v="0"/>
    <x v="0"/>
    <s v="DK1_Large_PHL"/>
    <x v="27"/>
    <n v="20.163995508318798"/>
    <n v="5.6011098634218799"/>
  </r>
  <r>
    <x v="0"/>
    <x v="13"/>
    <x v="0"/>
    <x v="0"/>
    <s v="DK1_MedSmall"/>
    <x v="1"/>
    <n v="35.989199999999997"/>
    <n v="9.9969999999999999"/>
  </r>
  <r>
    <x v="0"/>
    <x v="13"/>
    <x v="0"/>
    <x v="0"/>
    <s v="DK1_MedSmall"/>
    <x v="2"/>
    <n v="48.384"/>
    <n v="13.44"/>
  </r>
  <r>
    <x v="0"/>
    <x v="13"/>
    <x v="0"/>
    <x v="0"/>
    <s v="DK1_MedSmall"/>
    <x v="0"/>
    <n v="42.692399999999999"/>
    <n v="11.859"/>
  </r>
  <r>
    <x v="0"/>
    <x v="13"/>
    <x v="0"/>
    <x v="0"/>
    <s v="DK1_MedSmall"/>
    <x v="3"/>
    <n v="51.633543144067197"/>
    <n v="14.342650873352"/>
  </r>
  <r>
    <x v="0"/>
    <x v="13"/>
    <x v="0"/>
    <x v="0"/>
    <s v="DK1_MedSmall"/>
    <x v="4"/>
    <n v="7.4084241922120802"/>
    <n v="2.0578956089478"/>
  </r>
  <r>
    <x v="0"/>
    <x v="13"/>
    <x v="0"/>
    <x v="0"/>
    <s v="DK1_MedSmall"/>
    <x v="5"/>
    <n v="7.4084241922120802"/>
    <n v="2.0578956089478"/>
  </r>
  <r>
    <x v="0"/>
    <x v="13"/>
    <x v="0"/>
    <x v="0"/>
    <s v="DK1_MedSmall"/>
    <x v="6"/>
    <n v="29.476231795214598"/>
    <n v="8.1878421653373898"/>
  </r>
  <r>
    <x v="0"/>
    <x v="13"/>
    <x v="0"/>
    <x v="0"/>
    <s v="DK1_MedSmall"/>
    <x v="7"/>
    <n v="57.838935220261199"/>
    <n v="16.066370894517"/>
  </r>
  <r>
    <x v="0"/>
    <x v="13"/>
    <x v="0"/>
    <x v="0"/>
    <s v="DK1_MedSmall"/>
    <x v="8"/>
    <n v="57.838935220261199"/>
    <n v="16.066370894517"/>
  </r>
  <r>
    <x v="0"/>
    <x v="13"/>
    <x v="0"/>
    <x v="0"/>
    <s v="DK1_MedSmall"/>
    <x v="9"/>
    <n v="44.803327257663497"/>
    <n v="12.4453686826843"/>
  </r>
  <r>
    <x v="0"/>
    <x v="13"/>
    <x v="0"/>
    <x v="0"/>
    <s v="DK1_MedSmall"/>
    <x v="10"/>
    <n v="54.681226180612903"/>
    <n v="15.1892294946147"/>
  </r>
  <r>
    <x v="0"/>
    <x v="13"/>
    <x v="0"/>
    <x v="0"/>
    <s v="DK1_MedSmall"/>
    <x v="11"/>
    <n v="3.8806031483015802"/>
    <n v="1.07794531897266"/>
  </r>
  <r>
    <x v="0"/>
    <x v="13"/>
    <x v="0"/>
    <x v="0"/>
    <s v="DK1_MedSmall"/>
    <x v="12"/>
    <n v="9.7995028997514597E-2"/>
    <n v="2.72208413881985E-2"/>
  </r>
  <r>
    <x v="0"/>
    <x v="13"/>
    <x v="0"/>
    <x v="0"/>
    <s v="DK1_MedSmall"/>
    <x v="13"/>
    <n v="24.694747307373699"/>
    <n v="6.8596520298260204"/>
  </r>
  <r>
    <x v="0"/>
    <x v="13"/>
    <x v="0"/>
    <x v="0"/>
    <s v="DK1_MedSmall"/>
    <x v="14"/>
    <n v="24.694747307373699"/>
    <n v="6.8596520298260204"/>
  </r>
  <r>
    <x v="0"/>
    <x v="13"/>
    <x v="0"/>
    <x v="0"/>
    <s v="DK1_MedSmall"/>
    <x v="15"/>
    <n v="1.65807589063794"/>
    <n v="0.46057663628831802"/>
  </r>
  <r>
    <x v="0"/>
    <x v="13"/>
    <x v="0"/>
    <x v="0"/>
    <s v="DK1_MedSmall"/>
    <x v="16"/>
    <n v="5.8520524559425198"/>
    <n v="1.6255701266507001"/>
  </r>
  <r>
    <x v="0"/>
    <x v="13"/>
    <x v="0"/>
    <x v="0"/>
    <s v="DK1_MedSmall"/>
    <x v="17"/>
    <n v="9.1244895875632395"/>
    <n v="2.5345804409897901"/>
  </r>
  <r>
    <x v="0"/>
    <x v="13"/>
    <x v="0"/>
    <x v="0"/>
    <s v="DK1_MedSmall"/>
    <x v="18"/>
    <n v="24.694747307373699"/>
    <n v="6.8596520298260204"/>
  </r>
  <r>
    <x v="0"/>
    <x v="13"/>
    <x v="0"/>
    <x v="0"/>
    <s v="DK1_MedSmall"/>
    <x v="19"/>
    <n v="8.1139884009941898"/>
    <n v="2.2538856669428302"/>
  </r>
  <r>
    <x v="0"/>
    <x v="13"/>
    <x v="0"/>
    <x v="0"/>
    <s v="DK1_MedSmall"/>
    <x v="20"/>
    <n v="20.3765303632313"/>
    <n v="5.6601473231197996"/>
  </r>
  <r>
    <x v="0"/>
    <x v="13"/>
    <x v="0"/>
    <x v="0"/>
    <s v="DK1_MedSmall"/>
    <x v="21"/>
    <n v="48.384"/>
    <n v="13.44"/>
  </r>
  <r>
    <x v="0"/>
    <x v="13"/>
    <x v="0"/>
    <x v="0"/>
    <s v="DK1_MedSmall"/>
    <x v="22"/>
    <n v="79.847999999999999"/>
    <n v="22.18"/>
  </r>
  <r>
    <x v="0"/>
    <x v="13"/>
    <x v="0"/>
    <x v="0"/>
    <s v="DK1_MedSmall"/>
    <x v="23"/>
    <n v="0.31515896120488701"/>
    <n v="8.7544155890246306E-2"/>
  </r>
  <r>
    <x v="0"/>
    <x v="13"/>
    <x v="0"/>
    <x v="0"/>
    <s v="DK1_MedSmall"/>
    <x v="24"/>
    <n v="19.174223581093901"/>
    <n v="5.32617321697054"/>
  </r>
  <r>
    <x v="0"/>
    <x v="13"/>
    <x v="0"/>
    <x v="0"/>
    <s v="DK1_MedSmall"/>
    <x v="25"/>
    <n v="23.613931806316799"/>
    <n v="6.5594255017546796"/>
  </r>
  <r>
    <x v="0"/>
    <x v="13"/>
    <x v="0"/>
    <x v="0"/>
    <s v="DK1_MedSmall"/>
    <x v="26"/>
    <n v="30.869217554900899"/>
    <n v="8.5747826541391401"/>
  </r>
  <r>
    <x v="0"/>
    <x v="13"/>
    <x v="0"/>
    <x v="0"/>
    <s v="DK1_MedSmall"/>
    <x v="27"/>
    <n v="20.163995508318798"/>
    <n v="5.6011098634218799"/>
  </r>
  <r>
    <x v="0"/>
    <x v="13"/>
    <x v="0"/>
    <x v="0"/>
    <s v="DK1_Medium"/>
    <x v="1"/>
    <n v="35.989199999999997"/>
    <n v="9.9969999999999999"/>
  </r>
  <r>
    <x v="0"/>
    <x v="13"/>
    <x v="0"/>
    <x v="0"/>
    <s v="DK1_Medium"/>
    <x v="2"/>
    <n v="48.384"/>
    <n v="13.44"/>
  </r>
  <r>
    <x v="0"/>
    <x v="13"/>
    <x v="0"/>
    <x v="0"/>
    <s v="DK1_Medium"/>
    <x v="0"/>
    <n v="42.692399999999999"/>
    <n v="11.859"/>
  </r>
  <r>
    <x v="0"/>
    <x v="13"/>
    <x v="0"/>
    <x v="0"/>
    <s v="DK1_Medium"/>
    <x v="3"/>
    <n v="51.633543144067197"/>
    <n v="14.342650873352"/>
  </r>
  <r>
    <x v="0"/>
    <x v="13"/>
    <x v="0"/>
    <x v="0"/>
    <s v="DK1_Medium"/>
    <x v="4"/>
    <n v="7.4084241922120802"/>
    <n v="2.0578956089478"/>
  </r>
  <r>
    <x v="0"/>
    <x v="13"/>
    <x v="0"/>
    <x v="0"/>
    <s v="DK1_Medium"/>
    <x v="5"/>
    <n v="7.4084241922120802"/>
    <n v="2.0578956089478"/>
  </r>
  <r>
    <x v="0"/>
    <x v="13"/>
    <x v="0"/>
    <x v="0"/>
    <s v="DK1_Medium"/>
    <x v="6"/>
    <n v="29.476231795214598"/>
    <n v="8.1878421653373898"/>
  </r>
  <r>
    <x v="0"/>
    <x v="13"/>
    <x v="0"/>
    <x v="0"/>
    <s v="DK1_Medium"/>
    <x v="7"/>
    <n v="57.838935220261199"/>
    <n v="16.066370894517"/>
  </r>
  <r>
    <x v="0"/>
    <x v="13"/>
    <x v="0"/>
    <x v="0"/>
    <s v="DK1_Medium"/>
    <x v="8"/>
    <n v="57.838935220261199"/>
    <n v="16.066370894517"/>
  </r>
  <r>
    <x v="0"/>
    <x v="13"/>
    <x v="0"/>
    <x v="0"/>
    <s v="DK1_Medium"/>
    <x v="9"/>
    <n v="44.803327257663497"/>
    <n v="12.4453686826843"/>
  </r>
  <r>
    <x v="0"/>
    <x v="13"/>
    <x v="0"/>
    <x v="0"/>
    <s v="DK1_Medium"/>
    <x v="10"/>
    <n v="54.681226180612903"/>
    <n v="15.1892294946147"/>
  </r>
  <r>
    <x v="0"/>
    <x v="13"/>
    <x v="0"/>
    <x v="0"/>
    <s v="DK1_Medium"/>
    <x v="11"/>
    <n v="3.8806031483015802"/>
    <n v="1.07794531897266"/>
  </r>
  <r>
    <x v="0"/>
    <x v="13"/>
    <x v="0"/>
    <x v="0"/>
    <s v="DK1_Medium"/>
    <x v="12"/>
    <n v="9.7995028997514597E-2"/>
    <n v="2.72208413881985E-2"/>
  </r>
  <r>
    <x v="0"/>
    <x v="13"/>
    <x v="0"/>
    <x v="0"/>
    <s v="DK1_Medium"/>
    <x v="13"/>
    <n v="24.694747307373699"/>
    <n v="6.8596520298260204"/>
  </r>
  <r>
    <x v="0"/>
    <x v="13"/>
    <x v="0"/>
    <x v="0"/>
    <s v="DK1_Medium"/>
    <x v="14"/>
    <n v="24.694747307373699"/>
    <n v="6.8596520298260204"/>
  </r>
  <r>
    <x v="0"/>
    <x v="13"/>
    <x v="0"/>
    <x v="0"/>
    <s v="DK1_Medium"/>
    <x v="15"/>
    <n v="1.65807589063794"/>
    <n v="0.46057663628831802"/>
  </r>
  <r>
    <x v="0"/>
    <x v="13"/>
    <x v="0"/>
    <x v="0"/>
    <s v="DK1_Medium"/>
    <x v="16"/>
    <n v="5.8520524559425198"/>
    <n v="1.6255701266507001"/>
  </r>
  <r>
    <x v="0"/>
    <x v="13"/>
    <x v="0"/>
    <x v="0"/>
    <s v="DK1_Medium"/>
    <x v="17"/>
    <n v="9.1244895875632395"/>
    <n v="2.5345804409897901"/>
  </r>
  <r>
    <x v="0"/>
    <x v="13"/>
    <x v="0"/>
    <x v="0"/>
    <s v="DK1_Medium"/>
    <x v="18"/>
    <n v="24.694747307373699"/>
    <n v="6.8596520298260204"/>
  </r>
  <r>
    <x v="0"/>
    <x v="13"/>
    <x v="0"/>
    <x v="0"/>
    <s v="DK1_Medium"/>
    <x v="19"/>
    <n v="8.1139884009941898"/>
    <n v="2.2538856669428302"/>
  </r>
  <r>
    <x v="0"/>
    <x v="13"/>
    <x v="0"/>
    <x v="0"/>
    <s v="DK1_Medium"/>
    <x v="20"/>
    <n v="20.3765303632313"/>
    <n v="5.6601473231197996"/>
  </r>
  <r>
    <x v="0"/>
    <x v="13"/>
    <x v="0"/>
    <x v="0"/>
    <s v="DK1_Medium"/>
    <x v="21"/>
    <n v="48.384"/>
    <n v="13.44"/>
  </r>
  <r>
    <x v="0"/>
    <x v="13"/>
    <x v="0"/>
    <x v="0"/>
    <s v="DK1_Medium"/>
    <x v="22"/>
    <n v="79.847999999999999"/>
    <n v="22.18"/>
  </r>
  <r>
    <x v="0"/>
    <x v="13"/>
    <x v="0"/>
    <x v="0"/>
    <s v="DK1_Medium"/>
    <x v="23"/>
    <n v="0.31515896120488701"/>
    <n v="8.7544155890246306E-2"/>
  </r>
  <r>
    <x v="0"/>
    <x v="13"/>
    <x v="0"/>
    <x v="0"/>
    <s v="DK1_Medium"/>
    <x v="24"/>
    <n v="19.174223581093901"/>
    <n v="5.32617321697054"/>
  </r>
  <r>
    <x v="0"/>
    <x v="13"/>
    <x v="0"/>
    <x v="0"/>
    <s v="DK1_Medium"/>
    <x v="25"/>
    <n v="23.613931806316799"/>
    <n v="6.5594255017546796"/>
  </r>
  <r>
    <x v="0"/>
    <x v="13"/>
    <x v="0"/>
    <x v="0"/>
    <s v="DK1_Medium"/>
    <x v="26"/>
    <n v="30.869217554900899"/>
    <n v="8.5747826541391401"/>
  </r>
  <r>
    <x v="0"/>
    <x v="13"/>
    <x v="0"/>
    <x v="0"/>
    <s v="DK1_Medium"/>
    <x v="27"/>
    <n v="20.163995508318798"/>
    <n v="5.6011098634218799"/>
  </r>
  <r>
    <x v="0"/>
    <x v="13"/>
    <x v="0"/>
    <x v="0"/>
    <s v="DK1_NoDH"/>
    <x v="1"/>
    <n v="35.989199999999997"/>
    <n v="9.9969999999999999"/>
  </r>
  <r>
    <x v="0"/>
    <x v="13"/>
    <x v="0"/>
    <x v="0"/>
    <s v="DK1_NoDH"/>
    <x v="2"/>
    <n v="48.384"/>
    <n v="13.44"/>
  </r>
  <r>
    <x v="0"/>
    <x v="13"/>
    <x v="0"/>
    <x v="0"/>
    <s v="DK1_NoDH"/>
    <x v="0"/>
    <n v="42.692399999999999"/>
    <n v="11.859"/>
  </r>
  <r>
    <x v="0"/>
    <x v="13"/>
    <x v="0"/>
    <x v="0"/>
    <s v="DK1_NoDH"/>
    <x v="3"/>
    <n v="51.633543144067197"/>
    <n v="14.342650873352"/>
  </r>
  <r>
    <x v="0"/>
    <x v="13"/>
    <x v="0"/>
    <x v="0"/>
    <s v="DK1_NoDH"/>
    <x v="4"/>
    <n v="7.4084241922120802"/>
    <n v="2.0578956089478"/>
  </r>
  <r>
    <x v="0"/>
    <x v="13"/>
    <x v="0"/>
    <x v="0"/>
    <s v="DK1_NoDH"/>
    <x v="5"/>
    <n v="7.4084241922120802"/>
    <n v="2.0578956089478"/>
  </r>
  <r>
    <x v="0"/>
    <x v="13"/>
    <x v="0"/>
    <x v="0"/>
    <s v="DK1_NoDH"/>
    <x v="6"/>
    <n v="29.476231795214598"/>
    <n v="8.1878421653373898"/>
  </r>
  <r>
    <x v="0"/>
    <x v="13"/>
    <x v="0"/>
    <x v="0"/>
    <s v="DK1_NoDH"/>
    <x v="7"/>
    <n v="57.838935220261199"/>
    <n v="16.066370894517"/>
  </r>
  <r>
    <x v="0"/>
    <x v="13"/>
    <x v="0"/>
    <x v="0"/>
    <s v="DK1_NoDH"/>
    <x v="8"/>
    <n v="57.838935220261199"/>
    <n v="16.066370894517"/>
  </r>
  <r>
    <x v="0"/>
    <x v="13"/>
    <x v="0"/>
    <x v="0"/>
    <s v="DK1_NoDH"/>
    <x v="9"/>
    <n v="44.803327257663497"/>
    <n v="12.4453686826843"/>
  </r>
  <r>
    <x v="0"/>
    <x v="13"/>
    <x v="0"/>
    <x v="0"/>
    <s v="DK1_NoDH"/>
    <x v="10"/>
    <n v="54.681226180612903"/>
    <n v="15.1892294946147"/>
  </r>
  <r>
    <x v="0"/>
    <x v="13"/>
    <x v="0"/>
    <x v="0"/>
    <s v="DK1_NoDH"/>
    <x v="11"/>
    <n v="3.8806031483015802"/>
    <n v="1.07794531897266"/>
  </r>
  <r>
    <x v="0"/>
    <x v="13"/>
    <x v="0"/>
    <x v="0"/>
    <s v="DK1_NoDH"/>
    <x v="12"/>
    <n v="9.7995028997514597E-2"/>
    <n v="2.72208413881985E-2"/>
  </r>
  <r>
    <x v="0"/>
    <x v="13"/>
    <x v="0"/>
    <x v="0"/>
    <s v="DK1_NoDH"/>
    <x v="13"/>
    <n v="24.694747307373699"/>
    <n v="6.8596520298260204"/>
  </r>
  <r>
    <x v="0"/>
    <x v="13"/>
    <x v="0"/>
    <x v="0"/>
    <s v="DK1_NoDH"/>
    <x v="14"/>
    <n v="24.694747307373699"/>
    <n v="6.8596520298260204"/>
  </r>
  <r>
    <x v="0"/>
    <x v="13"/>
    <x v="0"/>
    <x v="0"/>
    <s v="DK1_NoDH"/>
    <x v="15"/>
    <n v="1.65807589063794"/>
    <n v="0.46057663628831802"/>
  </r>
  <r>
    <x v="0"/>
    <x v="13"/>
    <x v="0"/>
    <x v="0"/>
    <s v="DK1_NoDH"/>
    <x v="16"/>
    <n v="5.8520524559425198"/>
    <n v="1.6255701266507001"/>
  </r>
  <r>
    <x v="0"/>
    <x v="13"/>
    <x v="0"/>
    <x v="0"/>
    <s v="DK1_NoDH"/>
    <x v="17"/>
    <n v="9.1244895875632395"/>
    <n v="2.5345804409897901"/>
  </r>
  <r>
    <x v="0"/>
    <x v="13"/>
    <x v="0"/>
    <x v="0"/>
    <s v="DK1_NoDH"/>
    <x v="18"/>
    <n v="24.694747307373699"/>
    <n v="6.8596520298260204"/>
  </r>
  <r>
    <x v="0"/>
    <x v="13"/>
    <x v="0"/>
    <x v="0"/>
    <s v="DK1_NoDH"/>
    <x v="19"/>
    <n v="8.1139884009941898"/>
    <n v="2.2538856669428302"/>
  </r>
  <r>
    <x v="0"/>
    <x v="13"/>
    <x v="0"/>
    <x v="0"/>
    <s v="DK1_NoDH"/>
    <x v="20"/>
    <n v="20.3765303632313"/>
    <n v="5.6601473231197996"/>
  </r>
  <r>
    <x v="0"/>
    <x v="13"/>
    <x v="0"/>
    <x v="0"/>
    <s v="DK1_NoDH"/>
    <x v="21"/>
    <n v="48.384"/>
    <n v="13.44"/>
  </r>
  <r>
    <x v="0"/>
    <x v="13"/>
    <x v="0"/>
    <x v="0"/>
    <s v="DK1_NoDH"/>
    <x v="22"/>
    <n v="79.847999999999999"/>
    <n v="22.18"/>
  </r>
  <r>
    <x v="0"/>
    <x v="13"/>
    <x v="0"/>
    <x v="0"/>
    <s v="DK1_NoDH"/>
    <x v="23"/>
    <n v="0.31515896120488701"/>
    <n v="8.7544155890246306E-2"/>
  </r>
  <r>
    <x v="0"/>
    <x v="13"/>
    <x v="0"/>
    <x v="0"/>
    <s v="DK1_NoDH"/>
    <x v="24"/>
    <n v="19.174223581093901"/>
    <n v="5.32617321697054"/>
  </r>
  <r>
    <x v="0"/>
    <x v="13"/>
    <x v="0"/>
    <x v="0"/>
    <s v="DK1_NoDH"/>
    <x v="25"/>
    <n v="23.613931806316799"/>
    <n v="6.5594255017546796"/>
  </r>
  <r>
    <x v="0"/>
    <x v="13"/>
    <x v="0"/>
    <x v="0"/>
    <s v="DK1_NoDH"/>
    <x v="26"/>
    <n v="30.869217554900899"/>
    <n v="8.5747826541391401"/>
  </r>
  <r>
    <x v="0"/>
    <x v="13"/>
    <x v="0"/>
    <x v="0"/>
    <s v="DK1_NoDH"/>
    <x v="27"/>
    <n v="20.163995508318798"/>
    <n v="5.6011098634218799"/>
  </r>
  <r>
    <x v="0"/>
    <x v="13"/>
    <x v="0"/>
    <x v="0"/>
    <s v="DK1_NoDH_PHH"/>
    <x v="1"/>
    <n v="35.989199999999997"/>
    <n v="9.9969999999999999"/>
  </r>
  <r>
    <x v="0"/>
    <x v="13"/>
    <x v="0"/>
    <x v="0"/>
    <s v="DK1_NoDH_PHH"/>
    <x v="2"/>
    <n v="48.384"/>
    <n v="13.44"/>
  </r>
  <r>
    <x v="0"/>
    <x v="13"/>
    <x v="0"/>
    <x v="0"/>
    <s v="DK1_NoDH_PHH"/>
    <x v="0"/>
    <n v="42.692399999999999"/>
    <n v="11.859"/>
  </r>
  <r>
    <x v="0"/>
    <x v="13"/>
    <x v="0"/>
    <x v="0"/>
    <s v="DK1_NoDH_PHH"/>
    <x v="3"/>
    <n v="51.633543144067197"/>
    <n v="14.342650873352"/>
  </r>
  <r>
    <x v="0"/>
    <x v="13"/>
    <x v="0"/>
    <x v="0"/>
    <s v="DK1_NoDH_PHH"/>
    <x v="4"/>
    <n v="7.4084241922120802"/>
    <n v="2.0578956089478"/>
  </r>
  <r>
    <x v="0"/>
    <x v="13"/>
    <x v="0"/>
    <x v="0"/>
    <s v="DK1_NoDH_PHH"/>
    <x v="5"/>
    <n v="7.4084241922120802"/>
    <n v="2.0578956089478"/>
  </r>
  <r>
    <x v="0"/>
    <x v="13"/>
    <x v="0"/>
    <x v="0"/>
    <s v="DK1_NoDH_PHH"/>
    <x v="6"/>
    <n v="29.476231795214598"/>
    <n v="8.1878421653373898"/>
  </r>
  <r>
    <x v="0"/>
    <x v="13"/>
    <x v="0"/>
    <x v="0"/>
    <s v="DK1_NoDH_PHH"/>
    <x v="7"/>
    <n v="57.838935220261199"/>
    <n v="16.066370894517"/>
  </r>
  <r>
    <x v="0"/>
    <x v="13"/>
    <x v="0"/>
    <x v="0"/>
    <s v="DK1_NoDH_PHH"/>
    <x v="8"/>
    <n v="57.838935220261199"/>
    <n v="16.066370894517"/>
  </r>
  <r>
    <x v="0"/>
    <x v="13"/>
    <x v="0"/>
    <x v="0"/>
    <s v="DK1_NoDH_PHH"/>
    <x v="9"/>
    <n v="44.803327257663497"/>
    <n v="12.4453686826843"/>
  </r>
  <r>
    <x v="0"/>
    <x v="13"/>
    <x v="0"/>
    <x v="0"/>
    <s v="DK1_NoDH_PHH"/>
    <x v="10"/>
    <n v="54.681226180612903"/>
    <n v="15.1892294946147"/>
  </r>
  <r>
    <x v="0"/>
    <x v="13"/>
    <x v="0"/>
    <x v="0"/>
    <s v="DK1_NoDH_PHH"/>
    <x v="11"/>
    <n v="3.8806031483015802"/>
    <n v="1.07794531897266"/>
  </r>
  <r>
    <x v="0"/>
    <x v="13"/>
    <x v="0"/>
    <x v="0"/>
    <s v="DK1_NoDH_PHH"/>
    <x v="12"/>
    <n v="9.7995028997514597E-2"/>
    <n v="2.72208413881985E-2"/>
  </r>
  <r>
    <x v="0"/>
    <x v="13"/>
    <x v="0"/>
    <x v="0"/>
    <s v="DK1_NoDH_PHH"/>
    <x v="13"/>
    <n v="24.694747307373699"/>
    <n v="6.8596520298260204"/>
  </r>
  <r>
    <x v="0"/>
    <x v="13"/>
    <x v="0"/>
    <x v="0"/>
    <s v="DK1_NoDH_PHH"/>
    <x v="14"/>
    <n v="24.694747307373699"/>
    <n v="6.8596520298260204"/>
  </r>
  <r>
    <x v="0"/>
    <x v="13"/>
    <x v="0"/>
    <x v="0"/>
    <s v="DK1_NoDH_PHH"/>
    <x v="15"/>
    <n v="1.65807589063794"/>
    <n v="0.46057663628831802"/>
  </r>
  <r>
    <x v="0"/>
    <x v="13"/>
    <x v="0"/>
    <x v="0"/>
    <s v="DK1_NoDH_PHH"/>
    <x v="16"/>
    <n v="5.8520524559425198"/>
    <n v="1.6255701266507001"/>
  </r>
  <r>
    <x v="0"/>
    <x v="13"/>
    <x v="0"/>
    <x v="0"/>
    <s v="DK1_NoDH_PHH"/>
    <x v="17"/>
    <n v="9.1244895875632395"/>
    <n v="2.5345804409897901"/>
  </r>
  <r>
    <x v="0"/>
    <x v="13"/>
    <x v="0"/>
    <x v="0"/>
    <s v="DK1_NoDH_PHH"/>
    <x v="18"/>
    <n v="24.694747307373699"/>
    <n v="6.8596520298260204"/>
  </r>
  <r>
    <x v="0"/>
    <x v="13"/>
    <x v="0"/>
    <x v="0"/>
    <s v="DK1_NoDH_PHH"/>
    <x v="19"/>
    <n v="8.1139884009941898"/>
    <n v="2.2538856669428302"/>
  </r>
  <r>
    <x v="0"/>
    <x v="13"/>
    <x v="0"/>
    <x v="0"/>
    <s v="DK1_NoDH_PHH"/>
    <x v="20"/>
    <n v="20.3765303632313"/>
    <n v="5.6601473231197996"/>
  </r>
  <r>
    <x v="0"/>
    <x v="13"/>
    <x v="0"/>
    <x v="0"/>
    <s v="DK1_NoDH_PHH"/>
    <x v="21"/>
    <n v="48.384"/>
    <n v="13.44"/>
  </r>
  <r>
    <x v="0"/>
    <x v="13"/>
    <x v="0"/>
    <x v="0"/>
    <s v="DK1_NoDH_PHH"/>
    <x v="22"/>
    <n v="79.847999999999999"/>
    <n v="22.18"/>
  </r>
  <r>
    <x v="0"/>
    <x v="13"/>
    <x v="0"/>
    <x v="0"/>
    <s v="DK1_NoDH_PHH"/>
    <x v="23"/>
    <n v="0.31515896120488701"/>
    <n v="8.7544155890246306E-2"/>
  </r>
  <r>
    <x v="0"/>
    <x v="13"/>
    <x v="0"/>
    <x v="0"/>
    <s v="DK1_NoDH_PHH"/>
    <x v="24"/>
    <n v="19.174223581093901"/>
    <n v="5.32617321697054"/>
  </r>
  <r>
    <x v="0"/>
    <x v="13"/>
    <x v="0"/>
    <x v="0"/>
    <s v="DK1_NoDH_PHH"/>
    <x v="25"/>
    <n v="23.613931806316799"/>
    <n v="6.5594255017546796"/>
  </r>
  <r>
    <x v="0"/>
    <x v="13"/>
    <x v="0"/>
    <x v="0"/>
    <s v="DK1_NoDH_PHH"/>
    <x v="26"/>
    <n v="30.869217554900899"/>
    <n v="8.5747826541391401"/>
  </r>
  <r>
    <x v="0"/>
    <x v="13"/>
    <x v="0"/>
    <x v="0"/>
    <s v="DK1_NoDH_PHH"/>
    <x v="27"/>
    <n v="20.163995508318798"/>
    <n v="5.6011098634218799"/>
  </r>
  <r>
    <x v="0"/>
    <x v="13"/>
    <x v="0"/>
    <x v="0"/>
    <s v="DK1_NoDH_PHL"/>
    <x v="1"/>
    <n v="35.989199999999997"/>
    <n v="9.9969999999999999"/>
  </r>
  <r>
    <x v="0"/>
    <x v="13"/>
    <x v="0"/>
    <x v="0"/>
    <s v="DK1_NoDH_PHL"/>
    <x v="2"/>
    <n v="48.384"/>
    <n v="13.44"/>
  </r>
  <r>
    <x v="0"/>
    <x v="13"/>
    <x v="0"/>
    <x v="0"/>
    <s v="DK1_NoDH_PHL"/>
    <x v="0"/>
    <n v="42.692399999999999"/>
    <n v="11.859"/>
  </r>
  <r>
    <x v="0"/>
    <x v="13"/>
    <x v="0"/>
    <x v="0"/>
    <s v="DK1_NoDH_PHL"/>
    <x v="3"/>
    <n v="51.633543144067197"/>
    <n v="14.342650873352"/>
  </r>
  <r>
    <x v="0"/>
    <x v="13"/>
    <x v="0"/>
    <x v="0"/>
    <s v="DK1_NoDH_PHL"/>
    <x v="4"/>
    <n v="7.4084241922120802"/>
    <n v="2.0578956089478"/>
  </r>
  <r>
    <x v="0"/>
    <x v="13"/>
    <x v="0"/>
    <x v="0"/>
    <s v="DK1_NoDH_PHL"/>
    <x v="5"/>
    <n v="7.4084241922120802"/>
    <n v="2.0578956089478"/>
  </r>
  <r>
    <x v="0"/>
    <x v="13"/>
    <x v="0"/>
    <x v="0"/>
    <s v="DK1_NoDH_PHL"/>
    <x v="6"/>
    <n v="29.476231795214598"/>
    <n v="8.1878421653373898"/>
  </r>
  <r>
    <x v="0"/>
    <x v="13"/>
    <x v="0"/>
    <x v="0"/>
    <s v="DK1_NoDH_PHL"/>
    <x v="7"/>
    <n v="57.838935220261199"/>
    <n v="16.066370894517"/>
  </r>
  <r>
    <x v="0"/>
    <x v="13"/>
    <x v="0"/>
    <x v="0"/>
    <s v="DK1_NoDH_PHL"/>
    <x v="8"/>
    <n v="57.838935220261199"/>
    <n v="16.066370894517"/>
  </r>
  <r>
    <x v="0"/>
    <x v="13"/>
    <x v="0"/>
    <x v="0"/>
    <s v="DK1_NoDH_PHL"/>
    <x v="9"/>
    <n v="44.803327257663497"/>
    <n v="12.4453686826843"/>
  </r>
  <r>
    <x v="0"/>
    <x v="13"/>
    <x v="0"/>
    <x v="0"/>
    <s v="DK1_NoDH_PHL"/>
    <x v="10"/>
    <n v="54.681226180612903"/>
    <n v="15.1892294946147"/>
  </r>
  <r>
    <x v="0"/>
    <x v="13"/>
    <x v="0"/>
    <x v="0"/>
    <s v="DK1_NoDH_PHL"/>
    <x v="11"/>
    <n v="3.8806031483015802"/>
    <n v="1.07794531897266"/>
  </r>
  <r>
    <x v="0"/>
    <x v="13"/>
    <x v="0"/>
    <x v="0"/>
    <s v="DK1_NoDH_PHL"/>
    <x v="12"/>
    <n v="9.7995028997514597E-2"/>
    <n v="2.72208413881985E-2"/>
  </r>
  <r>
    <x v="0"/>
    <x v="13"/>
    <x v="0"/>
    <x v="0"/>
    <s v="DK1_NoDH_PHL"/>
    <x v="13"/>
    <n v="24.694747307373699"/>
    <n v="6.8596520298260204"/>
  </r>
  <r>
    <x v="0"/>
    <x v="13"/>
    <x v="0"/>
    <x v="0"/>
    <s v="DK1_NoDH_PHL"/>
    <x v="14"/>
    <n v="24.694747307373699"/>
    <n v="6.8596520298260204"/>
  </r>
  <r>
    <x v="0"/>
    <x v="13"/>
    <x v="0"/>
    <x v="0"/>
    <s v="DK1_NoDH_PHL"/>
    <x v="15"/>
    <n v="1.65807589063794"/>
    <n v="0.46057663628831802"/>
  </r>
  <r>
    <x v="0"/>
    <x v="13"/>
    <x v="0"/>
    <x v="0"/>
    <s v="DK1_NoDH_PHL"/>
    <x v="16"/>
    <n v="5.8520524559425198"/>
    <n v="1.6255701266507001"/>
  </r>
  <r>
    <x v="0"/>
    <x v="13"/>
    <x v="0"/>
    <x v="0"/>
    <s v="DK1_NoDH_PHL"/>
    <x v="17"/>
    <n v="9.1244895875632395"/>
    <n v="2.5345804409897901"/>
  </r>
  <r>
    <x v="0"/>
    <x v="13"/>
    <x v="0"/>
    <x v="0"/>
    <s v="DK1_NoDH_PHL"/>
    <x v="18"/>
    <n v="24.694747307373699"/>
    <n v="6.8596520298260204"/>
  </r>
  <r>
    <x v="0"/>
    <x v="13"/>
    <x v="0"/>
    <x v="0"/>
    <s v="DK1_NoDH_PHL"/>
    <x v="19"/>
    <n v="8.1139884009941898"/>
    <n v="2.2538856669428302"/>
  </r>
  <r>
    <x v="0"/>
    <x v="13"/>
    <x v="0"/>
    <x v="0"/>
    <s v="DK1_NoDH_PHL"/>
    <x v="20"/>
    <n v="20.3765303632313"/>
    <n v="5.6601473231197996"/>
  </r>
  <r>
    <x v="0"/>
    <x v="13"/>
    <x v="0"/>
    <x v="0"/>
    <s v="DK1_NoDH_PHL"/>
    <x v="21"/>
    <n v="48.384"/>
    <n v="13.44"/>
  </r>
  <r>
    <x v="0"/>
    <x v="13"/>
    <x v="0"/>
    <x v="0"/>
    <s v="DK1_NoDH_PHL"/>
    <x v="22"/>
    <n v="79.847999999999999"/>
    <n v="22.18"/>
  </r>
  <r>
    <x v="0"/>
    <x v="13"/>
    <x v="0"/>
    <x v="0"/>
    <s v="DK1_NoDH_PHL"/>
    <x v="23"/>
    <n v="0.31515896120488701"/>
    <n v="8.7544155890246306E-2"/>
  </r>
  <r>
    <x v="0"/>
    <x v="13"/>
    <x v="0"/>
    <x v="0"/>
    <s v="DK1_NoDH_PHL"/>
    <x v="24"/>
    <n v="19.174223581093901"/>
    <n v="5.32617321697054"/>
  </r>
  <r>
    <x v="0"/>
    <x v="13"/>
    <x v="0"/>
    <x v="0"/>
    <s v="DK1_NoDH_PHL"/>
    <x v="25"/>
    <n v="23.613931806316799"/>
    <n v="6.5594255017546796"/>
  </r>
  <r>
    <x v="0"/>
    <x v="13"/>
    <x v="0"/>
    <x v="0"/>
    <s v="DK1_NoDH_PHL"/>
    <x v="26"/>
    <n v="30.869217554900899"/>
    <n v="8.5747826541391401"/>
  </r>
  <r>
    <x v="0"/>
    <x v="13"/>
    <x v="0"/>
    <x v="0"/>
    <s v="DK1_NoDH_PHL"/>
    <x v="27"/>
    <n v="20.163995508318798"/>
    <n v="5.6011098634218799"/>
  </r>
  <r>
    <x v="0"/>
    <x v="13"/>
    <x v="0"/>
    <x v="0"/>
    <s v="DK1_Offshore"/>
    <x v="1"/>
    <n v="35.989199999999997"/>
    <n v="9.9969999999999999"/>
  </r>
  <r>
    <x v="0"/>
    <x v="13"/>
    <x v="0"/>
    <x v="0"/>
    <s v="DK1_Offshore"/>
    <x v="2"/>
    <n v="48.384"/>
    <n v="13.44"/>
  </r>
  <r>
    <x v="0"/>
    <x v="13"/>
    <x v="0"/>
    <x v="0"/>
    <s v="DK1_Offshore"/>
    <x v="0"/>
    <n v="42.692399999999999"/>
    <n v="11.859"/>
  </r>
  <r>
    <x v="0"/>
    <x v="13"/>
    <x v="0"/>
    <x v="0"/>
    <s v="DK1_Offshore"/>
    <x v="3"/>
    <n v="51.633543144067197"/>
    <n v="14.342650873352"/>
  </r>
  <r>
    <x v="0"/>
    <x v="13"/>
    <x v="0"/>
    <x v="0"/>
    <s v="DK1_Offshore"/>
    <x v="4"/>
    <n v="7.4084241922120802"/>
    <n v="2.0578956089478"/>
  </r>
  <r>
    <x v="0"/>
    <x v="13"/>
    <x v="0"/>
    <x v="0"/>
    <s v="DK1_Offshore"/>
    <x v="5"/>
    <n v="7.4084241922120802"/>
    <n v="2.0578956089478"/>
  </r>
  <r>
    <x v="0"/>
    <x v="13"/>
    <x v="0"/>
    <x v="0"/>
    <s v="DK1_Offshore"/>
    <x v="6"/>
    <n v="29.476231795214598"/>
    <n v="8.1878421653373898"/>
  </r>
  <r>
    <x v="0"/>
    <x v="13"/>
    <x v="0"/>
    <x v="0"/>
    <s v="DK1_Offshore"/>
    <x v="7"/>
    <n v="57.838935220261199"/>
    <n v="16.066370894517"/>
  </r>
  <r>
    <x v="0"/>
    <x v="13"/>
    <x v="0"/>
    <x v="0"/>
    <s v="DK1_Offshore"/>
    <x v="8"/>
    <n v="57.838935220261199"/>
    <n v="16.066370894517"/>
  </r>
  <r>
    <x v="0"/>
    <x v="13"/>
    <x v="0"/>
    <x v="0"/>
    <s v="DK1_Offshore"/>
    <x v="9"/>
    <n v="44.803327257663497"/>
    <n v="12.4453686826843"/>
  </r>
  <r>
    <x v="0"/>
    <x v="13"/>
    <x v="0"/>
    <x v="0"/>
    <s v="DK1_Offshore"/>
    <x v="10"/>
    <n v="54.681226180612903"/>
    <n v="15.1892294946147"/>
  </r>
  <r>
    <x v="0"/>
    <x v="13"/>
    <x v="0"/>
    <x v="0"/>
    <s v="DK1_Offshore"/>
    <x v="11"/>
    <n v="3.8806031483015802"/>
    <n v="1.07794531897266"/>
  </r>
  <r>
    <x v="0"/>
    <x v="13"/>
    <x v="0"/>
    <x v="0"/>
    <s v="DK1_Offshore"/>
    <x v="12"/>
    <n v="9.7995028997514597E-2"/>
    <n v="2.72208413881985E-2"/>
  </r>
  <r>
    <x v="0"/>
    <x v="13"/>
    <x v="0"/>
    <x v="0"/>
    <s v="DK1_Offshore"/>
    <x v="13"/>
    <n v="24.694747307373699"/>
    <n v="6.8596520298260204"/>
  </r>
  <r>
    <x v="0"/>
    <x v="13"/>
    <x v="0"/>
    <x v="0"/>
    <s v="DK1_Offshore"/>
    <x v="14"/>
    <n v="24.694747307373699"/>
    <n v="6.8596520298260204"/>
  </r>
  <r>
    <x v="0"/>
    <x v="13"/>
    <x v="0"/>
    <x v="0"/>
    <s v="DK1_Offshore"/>
    <x v="15"/>
    <n v="1.65807589063794"/>
    <n v="0.46057663628831802"/>
  </r>
  <r>
    <x v="0"/>
    <x v="13"/>
    <x v="0"/>
    <x v="0"/>
    <s v="DK1_Offshore"/>
    <x v="16"/>
    <n v="5.8520524559425198"/>
    <n v="1.6255701266507001"/>
  </r>
  <r>
    <x v="0"/>
    <x v="13"/>
    <x v="0"/>
    <x v="0"/>
    <s v="DK1_Offshore"/>
    <x v="17"/>
    <n v="9.1244895875632395"/>
    <n v="2.5345804409897901"/>
  </r>
  <r>
    <x v="0"/>
    <x v="13"/>
    <x v="0"/>
    <x v="0"/>
    <s v="DK1_Offshore"/>
    <x v="18"/>
    <n v="24.694747307373699"/>
    <n v="6.8596520298260204"/>
  </r>
  <r>
    <x v="0"/>
    <x v="13"/>
    <x v="0"/>
    <x v="0"/>
    <s v="DK1_Offshore"/>
    <x v="19"/>
    <n v="8.1139884009941898"/>
    <n v="2.2538856669428302"/>
  </r>
  <r>
    <x v="0"/>
    <x v="13"/>
    <x v="0"/>
    <x v="0"/>
    <s v="DK1_Offshore"/>
    <x v="20"/>
    <n v="20.3765303632313"/>
    <n v="5.6601473231197996"/>
  </r>
  <r>
    <x v="0"/>
    <x v="13"/>
    <x v="0"/>
    <x v="0"/>
    <s v="DK1_Offshore"/>
    <x v="21"/>
    <n v="48.384"/>
    <n v="13.44"/>
  </r>
  <r>
    <x v="0"/>
    <x v="13"/>
    <x v="0"/>
    <x v="0"/>
    <s v="DK1_Offshore"/>
    <x v="22"/>
    <n v="79.847999999999999"/>
    <n v="22.18"/>
  </r>
  <r>
    <x v="0"/>
    <x v="13"/>
    <x v="0"/>
    <x v="0"/>
    <s v="DK1_Offshore"/>
    <x v="23"/>
    <n v="0.31515896120488701"/>
    <n v="8.7544155890246306E-2"/>
  </r>
  <r>
    <x v="0"/>
    <x v="13"/>
    <x v="0"/>
    <x v="0"/>
    <s v="DK1_Offshore"/>
    <x v="24"/>
    <n v="19.174223581093901"/>
    <n v="5.32617321697054"/>
  </r>
  <r>
    <x v="0"/>
    <x v="13"/>
    <x v="0"/>
    <x v="0"/>
    <s v="DK1_Offshore"/>
    <x v="25"/>
    <n v="23.613931806316799"/>
    <n v="6.5594255017546796"/>
  </r>
  <r>
    <x v="0"/>
    <x v="13"/>
    <x v="0"/>
    <x v="0"/>
    <s v="DK1_Offshore"/>
    <x v="26"/>
    <n v="30.869217554900899"/>
    <n v="8.5747826541391401"/>
  </r>
  <r>
    <x v="0"/>
    <x v="13"/>
    <x v="0"/>
    <x v="0"/>
    <s v="DK1_Offshore"/>
    <x v="27"/>
    <n v="20.163995508318798"/>
    <n v="5.6011098634218799"/>
  </r>
  <r>
    <x v="0"/>
    <x v="13"/>
    <x v="0"/>
    <x v="0"/>
    <s v="DK1_Rural"/>
    <x v="1"/>
    <n v="35.989199999999997"/>
    <n v="9.9969999999999999"/>
  </r>
  <r>
    <x v="0"/>
    <x v="13"/>
    <x v="0"/>
    <x v="0"/>
    <s v="DK1_Rural"/>
    <x v="2"/>
    <n v="48.384"/>
    <n v="13.44"/>
  </r>
  <r>
    <x v="0"/>
    <x v="13"/>
    <x v="0"/>
    <x v="0"/>
    <s v="DK1_Rural"/>
    <x v="0"/>
    <n v="42.692399999999999"/>
    <n v="11.859"/>
  </r>
  <r>
    <x v="0"/>
    <x v="13"/>
    <x v="0"/>
    <x v="0"/>
    <s v="DK1_Rural"/>
    <x v="3"/>
    <n v="51.633543144067197"/>
    <n v="14.342650873352"/>
  </r>
  <r>
    <x v="0"/>
    <x v="13"/>
    <x v="0"/>
    <x v="0"/>
    <s v="DK1_Rural"/>
    <x v="4"/>
    <n v="7.4084241922120802"/>
    <n v="2.0578956089478"/>
  </r>
  <r>
    <x v="0"/>
    <x v="13"/>
    <x v="0"/>
    <x v="0"/>
    <s v="DK1_Rural"/>
    <x v="5"/>
    <n v="7.4084241922120802"/>
    <n v="2.0578956089478"/>
  </r>
  <r>
    <x v="0"/>
    <x v="13"/>
    <x v="0"/>
    <x v="0"/>
    <s v="DK1_Rural"/>
    <x v="6"/>
    <n v="29.476231795214598"/>
    <n v="8.1878421653373898"/>
  </r>
  <r>
    <x v="0"/>
    <x v="13"/>
    <x v="0"/>
    <x v="0"/>
    <s v="DK1_Rural"/>
    <x v="7"/>
    <n v="57.838935220261199"/>
    <n v="16.066370894517"/>
  </r>
  <r>
    <x v="0"/>
    <x v="13"/>
    <x v="0"/>
    <x v="0"/>
    <s v="DK1_Rural"/>
    <x v="8"/>
    <n v="57.838935220261199"/>
    <n v="16.066370894517"/>
  </r>
  <r>
    <x v="0"/>
    <x v="13"/>
    <x v="0"/>
    <x v="0"/>
    <s v="DK1_Rural"/>
    <x v="9"/>
    <n v="44.803327257663497"/>
    <n v="12.4453686826843"/>
  </r>
  <r>
    <x v="0"/>
    <x v="13"/>
    <x v="0"/>
    <x v="0"/>
    <s v="DK1_Rural"/>
    <x v="10"/>
    <n v="54.681226180612903"/>
    <n v="15.1892294946147"/>
  </r>
  <r>
    <x v="0"/>
    <x v="13"/>
    <x v="0"/>
    <x v="0"/>
    <s v="DK1_Rural"/>
    <x v="11"/>
    <n v="3.8806031483015802"/>
    <n v="1.07794531897266"/>
  </r>
  <r>
    <x v="0"/>
    <x v="13"/>
    <x v="0"/>
    <x v="0"/>
    <s v="DK1_Rural"/>
    <x v="12"/>
    <n v="9.7995028997514597E-2"/>
    <n v="2.72208413881985E-2"/>
  </r>
  <r>
    <x v="0"/>
    <x v="13"/>
    <x v="0"/>
    <x v="0"/>
    <s v="DK1_Rural"/>
    <x v="13"/>
    <n v="24.694747307373699"/>
    <n v="6.8596520298260204"/>
  </r>
  <r>
    <x v="0"/>
    <x v="13"/>
    <x v="0"/>
    <x v="0"/>
    <s v="DK1_Rural"/>
    <x v="14"/>
    <n v="24.694747307373699"/>
    <n v="6.8596520298260204"/>
  </r>
  <r>
    <x v="0"/>
    <x v="13"/>
    <x v="0"/>
    <x v="0"/>
    <s v="DK1_Rural"/>
    <x v="15"/>
    <n v="1.65807589063794"/>
    <n v="0.46057663628831802"/>
  </r>
  <r>
    <x v="0"/>
    <x v="13"/>
    <x v="0"/>
    <x v="0"/>
    <s v="DK1_Rural"/>
    <x v="16"/>
    <n v="5.8520524559425198"/>
    <n v="1.6255701266507001"/>
  </r>
  <r>
    <x v="0"/>
    <x v="13"/>
    <x v="0"/>
    <x v="0"/>
    <s v="DK1_Rural"/>
    <x v="17"/>
    <n v="9.1244895875632395"/>
    <n v="2.5345804409897901"/>
  </r>
  <r>
    <x v="0"/>
    <x v="13"/>
    <x v="0"/>
    <x v="0"/>
    <s v="DK1_Rural"/>
    <x v="18"/>
    <n v="24.694747307373699"/>
    <n v="6.8596520298260204"/>
  </r>
  <r>
    <x v="0"/>
    <x v="13"/>
    <x v="0"/>
    <x v="0"/>
    <s v="DK1_Rural"/>
    <x v="19"/>
    <n v="8.1139884009941898"/>
    <n v="2.2538856669428302"/>
  </r>
  <r>
    <x v="0"/>
    <x v="13"/>
    <x v="0"/>
    <x v="0"/>
    <s v="DK1_Rural"/>
    <x v="20"/>
    <n v="20.3765303632313"/>
    <n v="5.6601473231197996"/>
  </r>
  <r>
    <x v="0"/>
    <x v="13"/>
    <x v="0"/>
    <x v="0"/>
    <s v="DK1_Rural"/>
    <x v="21"/>
    <n v="48.384"/>
    <n v="13.44"/>
  </r>
  <r>
    <x v="0"/>
    <x v="13"/>
    <x v="0"/>
    <x v="0"/>
    <s v="DK1_Rural"/>
    <x v="22"/>
    <n v="79.847999999999999"/>
    <n v="22.18"/>
  </r>
  <r>
    <x v="0"/>
    <x v="13"/>
    <x v="0"/>
    <x v="0"/>
    <s v="DK1_Rural"/>
    <x v="23"/>
    <n v="0.31515896120488701"/>
    <n v="8.7544155890246306E-2"/>
  </r>
  <r>
    <x v="0"/>
    <x v="13"/>
    <x v="0"/>
    <x v="0"/>
    <s v="DK1_Rural"/>
    <x v="24"/>
    <n v="19.174223581093901"/>
    <n v="5.32617321697054"/>
  </r>
  <r>
    <x v="0"/>
    <x v="13"/>
    <x v="0"/>
    <x v="0"/>
    <s v="DK1_Rural"/>
    <x v="25"/>
    <n v="23.613931806316799"/>
    <n v="6.5594255017546796"/>
  </r>
  <r>
    <x v="0"/>
    <x v="13"/>
    <x v="0"/>
    <x v="0"/>
    <s v="DK1_Rural"/>
    <x v="26"/>
    <n v="30.869217554900899"/>
    <n v="8.5747826541391401"/>
  </r>
  <r>
    <x v="0"/>
    <x v="13"/>
    <x v="0"/>
    <x v="0"/>
    <s v="DK1_Rural"/>
    <x v="27"/>
    <n v="20.163995508318798"/>
    <n v="5.6011098634218799"/>
  </r>
  <r>
    <x v="0"/>
    <x v="13"/>
    <x v="0"/>
    <x v="0"/>
    <s v="DK1_Small"/>
    <x v="1"/>
    <n v="35.989199999999997"/>
    <n v="9.9969999999999999"/>
  </r>
  <r>
    <x v="0"/>
    <x v="13"/>
    <x v="0"/>
    <x v="0"/>
    <s v="DK1_Small"/>
    <x v="2"/>
    <n v="48.384"/>
    <n v="13.44"/>
  </r>
  <r>
    <x v="0"/>
    <x v="13"/>
    <x v="0"/>
    <x v="0"/>
    <s v="DK1_Small"/>
    <x v="0"/>
    <n v="42.692399999999999"/>
    <n v="11.859"/>
  </r>
  <r>
    <x v="0"/>
    <x v="13"/>
    <x v="0"/>
    <x v="0"/>
    <s v="DK1_Small"/>
    <x v="3"/>
    <n v="51.633543144067197"/>
    <n v="14.342650873352"/>
  </r>
  <r>
    <x v="0"/>
    <x v="13"/>
    <x v="0"/>
    <x v="0"/>
    <s v="DK1_Small"/>
    <x v="4"/>
    <n v="7.4084241922120802"/>
    <n v="2.0578956089478"/>
  </r>
  <r>
    <x v="0"/>
    <x v="13"/>
    <x v="0"/>
    <x v="0"/>
    <s v="DK1_Small"/>
    <x v="5"/>
    <n v="7.4084241922120802"/>
    <n v="2.0578956089478"/>
  </r>
  <r>
    <x v="0"/>
    <x v="13"/>
    <x v="0"/>
    <x v="0"/>
    <s v="DK1_Small"/>
    <x v="6"/>
    <n v="29.476231795214598"/>
    <n v="8.1878421653373898"/>
  </r>
  <r>
    <x v="0"/>
    <x v="13"/>
    <x v="0"/>
    <x v="0"/>
    <s v="DK1_Small"/>
    <x v="7"/>
    <n v="57.838935220261199"/>
    <n v="16.066370894517"/>
  </r>
  <r>
    <x v="0"/>
    <x v="13"/>
    <x v="0"/>
    <x v="0"/>
    <s v="DK1_Small"/>
    <x v="8"/>
    <n v="57.838935220261199"/>
    <n v="16.066370894517"/>
  </r>
  <r>
    <x v="0"/>
    <x v="13"/>
    <x v="0"/>
    <x v="0"/>
    <s v="DK1_Small"/>
    <x v="9"/>
    <n v="44.803327257663497"/>
    <n v="12.4453686826843"/>
  </r>
  <r>
    <x v="0"/>
    <x v="13"/>
    <x v="0"/>
    <x v="0"/>
    <s v="DK1_Small"/>
    <x v="10"/>
    <n v="54.681226180612903"/>
    <n v="15.1892294946147"/>
  </r>
  <r>
    <x v="0"/>
    <x v="13"/>
    <x v="0"/>
    <x v="0"/>
    <s v="DK1_Small"/>
    <x v="11"/>
    <n v="3.8806031483015802"/>
    <n v="1.07794531897266"/>
  </r>
  <r>
    <x v="0"/>
    <x v="13"/>
    <x v="0"/>
    <x v="0"/>
    <s v="DK1_Small"/>
    <x v="12"/>
    <n v="9.7995028997514597E-2"/>
    <n v="2.72208413881985E-2"/>
  </r>
  <r>
    <x v="0"/>
    <x v="13"/>
    <x v="0"/>
    <x v="0"/>
    <s v="DK1_Small"/>
    <x v="13"/>
    <n v="24.694747307373699"/>
    <n v="6.8596520298260204"/>
  </r>
  <r>
    <x v="0"/>
    <x v="13"/>
    <x v="0"/>
    <x v="0"/>
    <s v="DK1_Small"/>
    <x v="14"/>
    <n v="24.694747307373699"/>
    <n v="6.8596520298260204"/>
  </r>
  <r>
    <x v="0"/>
    <x v="13"/>
    <x v="0"/>
    <x v="0"/>
    <s v="DK1_Small"/>
    <x v="15"/>
    <n v="1.65807589063794"/>
    <n v="0.46057663628831802"/>
  </r>
  <r>
    <x v="0"/>
    <x v="13"/>
    <x v="0"/>
    <x v="0"/>
    <s v="DK1_Small"/>
    <x v="16"/>
    <n v="5.8520524559425198"/>
    <n v="1.6255701266507001"/>
  </r>
  <r>
    <x v="0"/>
    <x v="13"/>
    <x v="0"/>
    <x v="0"/>
    <s v="DK1_Small"/>
    <x v="17"/>
    <n v="9.1244895875632395"/>
    <n v="2.5345804409897901"/>
  </r>
  <r>
    <x v="0"/>
    <x v="13"/>
    <x v="0"/>
    <x v="0"/>
    <s v="DK1_Small"/>
    <x v="18"/>
    <n v="24.694747307373699"/>
    <n v="6.8596520298260204"/>
  </r>
  <r>
    <x v="0"/>
    <x v="13"/>
    <x v="0"/>
    <x v="0"/>
    <s v="DK1_Small"/>
    <x v="19"/>
    <n v="8.1139884009941898"/>
    <n v="2.2538856669428302"/>
  </r>
  <r>
    <x v="0"/>
    <x v="13"/>
    <x v="0"/>
    <x v="0"/>
    <s v="DK1_Small"/>
    <x v="20"/>
    <n v="20.3765303632313"/>
    <n v="5.6601473231197996"/>
  </r>
  <r>
    <x v="0"/>
    <x v="13"/>
    <x v="0"/>
    <x v="0"/>
    <s v="DK1_Small"/>
    <x v="21"/>
    <n v="48.384"/>
    <n v="13.44"/>
  </r>
  <r>
    <x v="0"/>
    <x v="13"/>
    <x v="0"/>
    <x v="0"/>
    <s v="DK1_Small"/>
    <x v="22"/>
    <n v="79.847999999999999"/>
    <n v="22.18"/>
  </r>
  <r>
    <x v="0"/>
    <x v="13"/>
    <x v="0"/>
    <x v="0"/>
    <s v="DK1_Small"/>
    <x v="23"/>
    <n v="0.31515896120488701"/>
    <n v="8.7544155890246306E-2"/>
  </r>
  <r>
    <x v="0"/>
    <x v="13"/>
    <x v="0"/>
    <x v="0"/>
    <s v="DK1_Small"/>
    <x v="24"/>
    <n v="19.174223581093901"/>
    <n v="5.32617321697054"/>
  </r>
  <r>
    <x v="0"/>
    <x v="13"/>
    <x v="0"/>
    <x v="0"/>
    <s v="DK1_Small"/>
    <x v="25"/>
    <n v="23.613931806316799"/>
    <n v="6.5594255017546796"/>
  </r>
  <r>
    <x v="0"/>
    <x v="13"/>
    <x v="0"/>
    <x v="0"/>
    <s v="DK1_Small"/>
    <x v="26"/>
    <n v="30.869217554900899"/>
    <n v="8.5747826541391401"/>
  </r>
  <r>
    <x v="0"/>
    <x v="13"/>
    <x v="0"/>
    <x v="0"/>
    <s v="DK1_Small"/>
    <x v="27"/>
    <n v="20.163995508318798"/>
    <n v="5.6011098634218799"/>
  </r>
  <r>
    <x v="0"/>
    <x v="13"/>
    <x v="0"/>
    <x v="1"/>
    <s v="DK2_Large"/>
    <x v="1"/>
    <n v="35.989199999999997"/>
    <n v="9.9969999999999999"/>
  </r>
  <r>
    <x v="0"/>
    <x v="13"/>
    <x v="0"/>
    <x v="1"/>
    <s v="DK2_Large"/>
    <x v="2"/>
    <n v="48.384"/>
    <n v="13.44"/>
  </r>
  <r>
    <x v="0"/>
    <x v="13"/>
    <x v="0"/>
    <x v="1"/>
    <s v="DK2_Large"/>
    <x v="0"/>
    <n v="42.692399999999999"/>
    <n v="11.859"/>
  </r>
  <r>
    <x v="0"/>
    <x v="13"/>
    <x v="0"/>
    <x v="1"/>
    <s v="DK2_Large"/>
    <x v="3"/>
    <n v="51.633543144067197"/>
    <n v="14.342650873352"/>
  </r>
  <r>
    <x v="0"/>
    <x v="13"/>
    <x v="0"/>
    <x v="1"/>
    <s v="DK2_Large"/>
    <x v="4"/>
    <n v="7.4084241922120802"/>
    <n v="2.0578956089478"/>
  </r>
  <r>
    <x v="0"/>
    <x v="13"/>
    <x v="0"/>
    <x v="1"/>
    <s v="DK2_Large"/>
    <x v="5"/>
    <n v="7.4084241922120802"/>
    <n v="2.0578956089478"/>
  </r>
  <r>
    <x v="0"/>
    <x v="13"/>
    <x v="0"/>
    <x v="1"/>
    <s v="DK2_Large"/>
    <x v="6"/>
    <n v="29.476231795214598"/>
    <n v="8.1878421653373898"/>
  </r>
  <r>
    <x v="0"/>
    <x v="13"/>
    <x v="0"/>
    <x v="1"/>
    <s v="DK2_Large"/>
    <x v="7"/>
    <n v="57.838935220261199"/>
    <n v="16.066370894517"/>
  </r>
  <r>
    <x v="0"/>
    <x v="13"/>
    <x v="0"/>
    <x v="1"/>
    <s v="DK2_Large"/>
    <x v="8"/>
    <n v="57.838935220261199"/>
    <n v="16.066370894517"/>
  </r>
  <r>
    <x v="0"/>
    <x v="13"/>
    <x v="0"/>
    <x v="1"/>
    <s v="DK2_Large"/>
    <x v="9"/>
    <n v="44.803327257663497"/>
    <n v="12.4453686826843"/>
  </r>
  <r>
    <x v="0"/>
    <x v="13"/>
    <x v="0"/>
    <x v="1"/>
    <s v="DK2_Large"/>
    <x v="10"/>
    <n v="54.681226180612903"/>
    <n v="15.1892294946147"/>
  </r>
  <r>
    <x v="0"/>
    <x v="13"/>
    <x v="0"/>
    <x v="1"/>
    <s v="DK2_Large"/>
    <x v="11"/>
    <n v="3.8806031483015802"/>
    <n v="1.07794531897266"/>
  </r>
  <r>
    <x v="0"/>
    <x v="13"/>
    <x v="0"/>
    <x v="1"/>
    <s v="DK2_Large"/>
    <x v="12"/>
    <n v="9.7995028997514597E-2"/>
    <n v="2.72208413881985E-2"/>
  </r>
  <r>
    <x v="0"/>
    <x v="13"/>
    <x v="0"/>
    <x v="1"/>
    <s v="DK2_Large"/>
    <x v="13"/>
    <n v="24.694747307373699"/>
    <n v="6.8596520298260204"/>
  </r>
  <r>
    <x v="0"/>
    <x v="13"/>
    <x v="0"/>
    <x v="1"/>
    <s v="DK2_Large"/>
    <x v="14"/>
    <n v="24.694747307373699"/>
    <n v="6.8596520298260204"/>
  </r>
  <r>
    <x v="0"/>
    <x v="13"/>
    <x v="0"/>
    <x v="1"/>
    <s v="DK2_Large"/>
    <x v="15"/>
    <n v="1.65807589063794"/>
    <n v="0.46057663628831802"/>
  </r>
  <r>
    <x v="0"/>
    <x v="13"/>
    <x v="0"/>
    <x v="1"/>
    <s v="DK2_Large"/>
    <x v="16"/>
    <n v="5.8520524559425198"/>
    <n v="1.6255701266507001"/>
  </r>
  <r>
    <x v="0"/>
    <x v="13"/>
    <x v="0"/>
    <x v="1"/>
    <s v="DK2_Large"/>
    <x v="17"/>
    <n v="9.1244895875632395"/>
    <n v="2.5345804409897901"/>
  </r>
  <r>
    <x v="0"/>
    <x v="13"/>
    <x v="0"/>
    <x v="1"/>
    <s v="DK2_Large"/>
    <x v="18"/>
    <n v="24.694747307373699"/>
    <n v="6.8596520298260204"/>
  </r>
  <r>
    <x v="0"/>
    <x v="13"/>
    <x v="0"/>
    <x v="1"/>
    <s v="DK2_Large"/>
    <x v="19"/>
    <n v="8.1139884009941898"/>
    <n v="2.2538856669428302"/>
  </r>
  <r>
    <x v="0"/>
    <x v="13"/>
    <x v="0"/>
    <x v="1"/>
    <s v="DK2_Large"/>
    <x v="20"/>
    <n v="20.3765303632313"/>
    <n v="5.6601473231197996"/>
  </r>
  <r>
    <x v="0"/>
    <x v="13"/>
    <x v="0"/>
    <x v="1"/>
    <s v="DK2_Large"/>
    <x v="21"/>
    <n v="48.384"/>
    <n v="13.44"/>
  </r>
  <r>
    <x v="0"/>
    <x v="13"/>
    <x v="0"/>
    <x v="1"/>
    <s v="DK2_Large"/>
    <x v="22"/>
    <n v="79.847999999999999"/>
    <n v="22.18"/>
  </r>
  <r>
    <x v="0"/>
    <x v="13"/>
    <x v="0"/>
    <x v="1"/>
    <s v="DK2_Large"/>
    <x v="23"/>
    <n v="0.31515896120488701"/>
    <n v="8.7544155890246306E-2"/>
  </r>
  <r>
    <x v="0"/>
    <x v="13"/>
    <x v="0"/>
    <x v="1"/>
    <s v="DK2_Large"/>
    <x v="24"/>
    <n v="19.174223581093901"/>
    <n v="5.32617321697054"/>
  </r>
  <r>
    <x v="0"/>
    <x v="13"/>
    <x v="0"/>
    <x v="1"/>
    <s v="DK2_Large"/>
    <x v="25"/>
    <n v="23.613931806316799"/>
    <n v="6.5594255017546796"/>
  </r>
  <r>
    <x v="0"/>
    <x v="13"/>
    <x v="0"/>
    <x v="1"/>
    <s v="DK2_Large"/>
    <x v="26"/>
    <n v="30.869217554900899"/>
    <n v="8.5747826541391401"/>
  </r>
  <r>
    <x v="0"/>
    <x v="13"/>
    <x v="0"/>
    <x v="1"/>
    <s v="DK2_Large"/>
    <x v="27"/>
    <n v="20.163995508318798"/>
    <n v="5.6011098634218799"/>
  </r>
  <r>
    <x v="0"/>
    <x v="13"/>
    <x v="0"/>
    <x v="1"/>
    <s v="DK2_Large_PHH"/>
    <x v="1"/>
    <n v="35.989199999999997"/>
    <n v="9.9969999999999999"/>
  </r>
  <r>
    <x v="0"/>
    <x v="13"/>
    <x v="0"/>
    <x v="1"/>
    <s v="DK2_Large_PHH"/>
    <x v="2"/>
    <n v="48.384"/>
    <n v="13.44"/>
  </r>
  <r>
    <x v="0"/>
    <x v="13"/>
    <x v="0"/>
    <x v="1"/>
    <s v="DK2_Large_PHH"/>
    <x v="0"/>
    <n v="42.692399999999999"/>
    <n v="11.859"/>
  </r>
  <r>
    <x v="0"/>
    <x v="13"/>
    <x v="0"/>
    <x v="1"/>
    <s v="DK2_Large_PHH"/>
    <x v="3"/>
    <n v="51.633543144067197"/>
    <n v="14.342650873352"/>
  </r>
  <r>
    <x v="0"/>
    <x v="13"/>
    <x v="0"/>
    <x v="1"/>
    <s v="DK2_Large_PHH"/>
    <x v="4"/>
    <n v="7.4084241922120802"/>
    <n v="2.0578956089478"/>
  </r>
  <r>
    <x v="0"/>
    <x v="13"/>
    <x v="0"/>
    <x v="1"/>
    <s v="DK2_Large_PHH"/>
    <x v="5"/>
    <n v="7.4084241922120802"/>
    <n v="2.0578956089478"/>
  </r>
  <r>
    <x v="0"/>
    <x v="13"/>
    <x v="0"/>
    <x v="1"/>
    <s v="DK2_Large_PHH"/>
    <x v="6"/>
    <n v="29.476231795214598"/>
    <n v="8.1878421653373898"/>
  </r>
  <r>
    <x v="0"/>
    <x v="13"/>
    <x v="0"/>
    <x v="1"/>
    <s v="DK2_Large_PHH"/>
    <x v="7"/>
    <n v="57.838935220261199"/>
    <n v="16.066370894517"/>
  </r>
  <r>
    <x v="0"/>
    <x v="13"/>
    <x v="0"/>
    <x v="1"/>
    <s v="DK2_Large_PHH"/>
    <x v="8"/>
    <n v="57.838935220261199"/>
    <n v="16.066370894517"/>
  </r>
  <r>
    <x v="0"/>
    <x v="13"/>
    <x v="0"/>
    <x v="1"/>
    <s v="DK2_Large_PHH"/>
    <x v="9"/>
    <n v="44.803327257663497"/>
    <n v="12.4453686826843"/>
  </r>
  <r>
    <x v="0"/>
    <x v="13"/>
    <x v="0"/>
    <x v="1"/>
    <s v="DK2_Large_PHH"/>
    <x v="10"/>
    <n v="54.681226180612903"/>
    <n v="15.1892294946147"/>
  </r>
  <r>
    <x v="0"/>
    <x v="13"/>
    <x v="0"/>
    <x v="1"/>
    <s v="DK2_Large_PHH"/>
    <x v="11"/>
    <n v="3.8806031483015802"/>
    <n v="1.07794531897266"/>
  </r>
  <r>
    <x v="0"/>
    <x v="13"/>
    <x v="0"/>
    <x v="1"/>
    <s v="DK2_Large_PHH"/>
    <x v="12"/>
    <n v="9.7995028997514597E-2"/>
    <n v="2.72208413881985E-2"/>
  </r>
  <r>
    <x v="0"/>
    <x v="13"/>
    <x v="0"/>
    <x v="1"/>
    <s v="DK2_Large_PHH"/>
    <x v="13"/>
    <n v="24.694747307373699"/>
    <n v="6.8596520298260204"/>
  </r>
  <r>
    <x v="0"/>
    <x v="13"/>
    <x v="0"/>
    <x v="1"/>
    <s v="DK2_Large_PHH"/>
    <x v="14"/>
    <n v="24.694747307373699"/>
    <n v="6.8596520298260204"/>
  </r>
  <r>
    <x v="0"/>
    <x v="13"/>
    <x v="0"/>
    <x v="1"/>
    <s v="DK2_Large_PHH"/>
    <x v="15"/>
    <n v="1.65807589063794"/>
    <n v="0.46057663628831802"/>
  </r>
  <r>
    <x v="0"/>
    <x v="13"/>
    <x v="0"/>
    <x v="1"/>
    <s v="DK2_Large_PHH"/>
    <x v="16"/>
    <n v="5.8520524559425198"/>
    <n v="1.6255701266507001"/>
  </r>
  <r>
    <x v="0"/>
    <x v="13"/>
    <x v="0"/>
    <x v="1"/>
    <s v="DK2_Large_PHH"/>
    <x v="17"/>
    <n v="9.1244895875632395"/>
    <n v="2.5345804409897901"/>
  </r>
  <r>
    <x v="0"/>
    <x v="13"/>
    <x v="0"/>
    <x v="1"/>
    <s v="DK2_Large_PHH"/>
    <x v="18"/>
    <n v="24.694747307373699"/>
    <n v="6.8596520298260204"/>
  </r>
  <r>
    <x v="0"/>
    <x v="13"/>
    <x v="0"/>
    <x v="1"/>
    <s v="DK2_Large_PHH"/>
    <x v="19"/>
    <n v="8.1139884009941898"/>
    <n v="2.2538856669428302"/>
  </r>
  <r>
    <x v="0"/>
    <x v="13"/>
    <x v="0"/>
    <x v="1"/>
    <s v="DK2_Large_PHH"/>
    <x v="20"/>
    <n v="20.3765303632313"/>
    <n v="5.6601473231197996"/>
  </r>
  <r>
    <x v="0"/>
    <x v="13"/>
    <x v="0"/>
    <x v="1"/>
    <s v="DK2_Large_PHH"/>
    <x v="21"/>
    <n v="48.384"/>
    <n v="13.44"/>
  </r>
  <r>
    <x v="0"/>
    <x v="13"/>
    <x v="0"/>
    <x v="1"/>
    <s v="DK2_Large_PHH"/>
    <x v="22"/>
    <n v="79.847999999999999"/>
    <n v="22.18"/>
  </r>
  <r>
    <x v="0"/>
    <x v="13"/>
    <x v="0"/>
    <x v="1"/>
    <s v="DK2_Large_PHH"/>
    <x v="23"/>
    <n v="0.31515896120488701"/>
    <n v="8.7544155890246306E-2"/>
  </r>
  <r>
    <x v="0"/>
    <x v="13"/>
    <x v="0"/>
    <x v="1"/>
    <s v="DK2_Large_PHH"/>
    <x v="24"/>
    <n v="19.174223581093901"/>
    <n v="5.32617321697054"/>
  </r>
  <r>
    <x v="0"/>
    <x v="13"/>
    <x v="0"/>
    <x v="1"/>
    <s v="DK2_Large_PHH"/>
    <x v="25"/>
    <n v="23.613931806316799"/>
    <n v="6.5594255017546796"/>
  </r>
  <r>
    <x v="0"/>
    <x v="13"/>
    <x v="0"/>
    <x v="1"/>
    <s v="DK2_Large_PHH"/>
    <x v="26"/>
    <n v="30.869217554900899"/>
    <n v="8.5747826541391401"/>
  </r>
  <r>
    <x v="0"/>
    <x v="13"/>
    <x v="0"/>
    <x v="1"/>
    <s v="DK2_Large_PHH"/>
    <x v="27"/>
    <n v="20.163995508318798"/>
    <n v="5.6011098634218799"/>
  </r>
  <r>
    <x v="0"/>
    <x v="13"/>
    <x v="0"/>
    <x v="1"/>
    <s v="DK2_Large_PHL"/>
    <x v="1"/>
    <n v="35.989199999999997"/>
    <n v="9.9969999999999999"/>
  </r>
  <r>
    <x v="0"/>
    <x v="13"/>
    <x v="0"/>
    <x v="1"/>
    <s v="DK2_Large_PHL"/>
    <x v="2"/>
    <n v="48.384"/>
    <n v="13.44"/>
  </r>
  <r>
    <x v="0"/>
    <x v="13"/>
    <x v="0"/>
    <x v="1"/>
    <s v="DK2_Large_PHL"/>
    <x v="0"/>
    <n v="42.692399999999999"/>
    <n v="11.859"/>
  </r>
  <r>
    <x v="0"/>
    <x v="13"/>
    <x v="0"/>
    <x v="1"/>
    <s v="DK2_Large_PHL"/>
    <x v="3"/>
    <n v="51.633543144067197"/>
    <n v="14.342650873352"/>
  </r>
  <r>
    <x v="0"/>
    <x v="13"/>
    <x v="0"/>
    <x v="1"/>
    <s v="DK2_Large_PHL"/>
    <x v="4"/>
    <n v="7.4084241922120802"/>
    <n v="2.0578956089478"/>
  </r>
  <r>
    <x v="0"/>
    <x v="13"/>
    <x v="0"/>
    <x v="1"/>
    <s v="DK2_Large_PHL"/>
    <x v="5"/>
    <n v="7.4084241922120802"/>
    <n v="2.0578956089478"/>
  </r>
  <r>
    <x v="0"/>
    <x v="13"/>
    <x v="0"/>
    <x v="1"/>
    <s v="DK2_Large_PHL"/>
    <x v="6"/>
    <n v="29.476231795214598"/>
    <n v="8.1878421653373898"/>
  </r>
  <r>
    <x v="0"/>
    <x v="13"/>
    <x v="0"/>
    <x v="1"/>
    <s v="DK2_Large_PHL"/>
    <x v="7"/>
    <n v="57.838935220261199"/>
    <n v="16.066370894517"/>
  </r>
  <r>
    <x v="0"/>
    <x v="13"/>
    <x v="0"/>
    <x v="1"/>
    <s v="DK2_Large_PHL"/>
    <x v="8"/>
    <n v="57.838935220261199"/>
    <n v="16.066370894517"/>
  </r>
  <r>
    <x v="0"/>
    <x v="13"/>
    <x v="0"/>
    <x v="1"/>
    <s v="DK2_Large_PHL"/>
    <x v="9"/>
    <n v="44.803327257663497"/>
    <n v="12.4453686826843"/>
  </r>
  <r>
    <x v="0"/>
    <x v="13"/>
    <x v="0"/>
    <x v="1"/>
    <s v="DK2_Large_PHL"/>
    <x v="10"/>
    <n v="54.681226180612903"/>
    <n v="15.1892294946147"/>
  </r>
  <r>
    <x v="0"/>
    <x v="13"/>
    <x v="0"/>
    <x v="1"/>
    <s v="DK2_Large_PHL"/>
    <x v="11"/>
    <n v="3.8806031483015802"/>
    <n v="1.07794531897266"/>
  </r>
  <r>
    <x v="0"/>
    <x v="13"/>
    <x v="0"/>
    <x v="1"/>
    <s v="DK2_Large_PHL"/>
    <x v="12"/>
    <n v="9.7995028997514597E-2"/>
    <n v="2.72208413881985E-2"/>
  </r>
  <r>
    <x v="0"/>
    <x v="13"/>
    <x v="0"/>
    <x v="1"/>
    <s v="DK2_Large_PHL"/>
    <x v="13"/>
    <n v="24.694747307373699"/>
    <n v="6.8596520298260204"/>
  </r>
  <r>
    <x v="0"/>
    <x v="13"/>
    <x v="0"/>
    <x v="1"/>
    <s v="DK2_Large_PHL"/>
    <x v="14"/>
    <n v="24.694747307373699"/>
    <n v="6.8596520298260204"/>
  </r>
  <r>
    <x v="0"/>
    <x v="13"/>
    <x v="0"/>
    <x v="1"/>
    <s v="DK2_Large_PHL"/>
    <x v="15"/>
    <n v="1.65807589063794"/>
    <n v="0.46057663628831802"/>
  </r>
  <r>
    <x v="0"/>
    <x v="13"/>
    <x v="0"/>
    <x v="1"/>
    <s v="DK2_Large_PHL"/>
    <x v="16"/>
    <n v="5.8520524559425198"/>
    <n v="1.6255701266507001"/>
  </r>
  <r>
    <x v="0"/>
    <x v="13"/>
    <x v="0"/>
    <x v="1"/>
    <s v="DK2_Large_PHL"/>
    <x v="17"/>
    <n v="9.1244895875632395"/>
    <n v="2.5345804409897901"/>
  </r>
  <r>
    <x v="0"/>
    <x v="13"/>
    <x v="0"/>
    <x v="1"/>
    <s v="DK2_Large_PHL"/>
    <x v="18"/>
    <n v="24.694747307373699"/>
    <n v="6.8596520298260204"/>
  </r>
  <r>
    <x v="0"/>
    <x v="13"/>
    <x v="0"/>
    <x v="1"/>
    <s v="DK2_Large_PHL"/>
    <x v="19"/>
    <n v="8.1139884009941898"/>
    <n v="2.2538856669428302"/>
  </r>
  <r>
    <x v="0"/>
    <x v="13"/>
    <x v="0"/>
    <x v="1"/>
    <s v="DK2_Large_PHL"/>
    <x v="20"/>
    <n v="20.3765303632313"/>
    <n v="5.6601473231197996"/>
  </r>
  <r>
    <x v="0"/>
    <x v="13"/>
    <x v="0"/>
    <x v="1"/>
    <s v="DK2_Large_PHL"/>
    <x v="21"/>
    <n v="48.384"/>
    <n v="13.44"/>
  </r>
  <r>
    <x v="0"/>
    <x v="13"/>
    <x v="0"/>
    <x v="1"/>
    <s v="DK2_Large_PHL"/>
    <x v="22"/>
    <n v="79.847999999999999"/>
    <n v="22.18"/>
  </r>
  <r>
    <x v="0"/>
    <x v="13"/>
    <x v="0"/>
    <x v="1"/>
    <s v="DK2_Large_PHL"/>
    <x v="23"/>
    <n v="0.31515896120488701"/>
    <n v="8.7544155890246306E-2"/>
  </r>
  <r>
    <x v="0"/>
    <x v="13"/>
    <x v="0"/>
    <x v="1"/>
    <s v="DK2_Large_PHL"/>
    <x v="24"/>
    <n v="19.174223581093901"/>
    <n v="5.32617321697054"/>
  </r>
  <r>
    <x v="0"/>
    <x v="13"/>
    <x v="0"/>
    <x v="1"/>
    <s v="DK2_Large_PHL"/>
    <x v="25"/>
    <n v="23.613931806316799"/>
    <n v="6.5594255017546796"/>
  </r>
  <r>
    <x v="0"/>
    <x v="13"/>
    <x v="0"/>
    <x v="1"/>
    <s v="DK2_Large_PHL"/>
    <x v="26"/>
    <n v="30.869217554900899"/>
    <n v="8.5747826541391401"/>
  </r>
  <r>
    <x v="0"/>
    <x v="13"/>
    <x v="0"/>
    <x v="1"/>
    <s v="DK2_Large_PHL"/>
    <x v="27"/>
    <n v="20.163995508318798"/>
    <n v="5.6011098634218799"/>
  </r>
  <r>
    <x v="0"/>
    <x v="13"/>
    <x v="0"/>
    <x v="1"/>
    <s v="DK2_MedSmall"/>
    <x v="1"/>
    <n v="35.989199999999997"/>
    <n v="9.9969999999999999"/>
  </r>
  <r>
    <x v="0"/>
    <x v="13"/>
    <x v="0"/>
    <x v="1"/>
    <s v="DK2_MedSmall"/>
    <x v="2"/>
    <n v="48.384"/>
    <n v="13.44"/>
  </r>
  <r>
    <x v="0"/>
    <x v="13"/>
    <x v="0"/>
    <x v="1"/>
    <s v="DK2_MedSmall"/>
    <x v="0"/>
    <n v="42.692399999999999"/>
    <n v="11.859"/>
  </r>
  <r>
    <x v="0"/>
    <x v="13"/>
    <x v="0"/>
    <x v="1"/>
    <s v="DK2_MedSmall"/>
    <x v="3"/>
    <n v="51.633543144067197"/>
    <n v="14.342650873352"/>
  </r>
  <r>
    <x v="0"/>
    <x v="13"/>
    <x v="0"/>
    <x v="1"/>
    <s v="DK2_MedSmall"/>
    <x v="4"/>
    <n v="7.4084241922120802"/>
    <n v="2.0578956089478"/>
  </r>
  <r>
    <x v="0"/>
    <x v="13"/>
    <x v="0"/>
    <x v="1"/>
    <s v="DK2_MedSmall"/>
    <x v="5"/>
    <n v="7.4084241922120802"/>
    <n v="2.0578956089478"/>
  </r>
  <r>
    <x v="0"/>
    <x v="13"/>
    <x v="0"/>
    <x v="1"/>
    <s v="DK2_MedSmall"/>
    <x v="6"/>
    <n v="29.476231795214598"/>
    <n v="8.1878421653373898"/>
  </r>
  <r>
    <x v="0"/>
    <x v="13"/>
    <x v="0"/>
    <x v="1"/>
    <s v="DK2_MedSmall"/>
    <x v="7"/>
    <n v="57.838935220261199"/>
    <n v="16.066370894517"/>
  </r>
  <r>
    <x v="0"/>
    <x v="13"/>
    <x v="0"/>
    <x v="1"/>
    <s v="DK2_MedSmall"/>
    <x v="8"/>
    <n v="57.838935220261199"/>
    <n v="16.066370894517"/>
  </r>
  <r>
    <x v="0"/>
    <x v="13"/>
    <x v="0"/>
    <x v="1"/>
    <s v="DK2_MedSmall"/>
    <x v="9"/>
    <n v="44.803327257663497"/>
    <n v="12.4453686826843"/>
  </r>
  <r>
    <x v="0"/>
    <x v="13"/>
    <x v="0"/>
    <x v="1"/>
    <s v="DK2_MedSmall"/>
    <x v="10"/>
    <n v="54.681226180612903"/>
    <n v="15.1892294946147"/>
  </r>
  <r>
    <x v="0"/>
    <x v="13"/>
    <x v="0"/>
    <x v="1"/>
    <s v="DK2_MedSmall"/>
    <x v="11"/>
    <n v="3.8806031483015802"/>
    <n v="1.07794531897266"/>
  </r>
  <r>
    <x v="0"/>
    <x v="13"/>
    <x v="0"/>
    <x v="1"/>
    <s v="DK2_MedSmall"/>
    <x v="12"/>
    <n v="9.7995028997514597E-2"/>
    <n v="2.72208413881985E-2"/>
  </r>
  <r>
    <x v="0"/>
    <x v="13"/>
    <x v="0"/>
    <x v="1"/>
    <s v="DK2_MedSmall"/>
    <x v="13"/>
    <n v="24.694747307373699"/>
    <n v="6.8596520298260204"/>
  </r>
  <r>
    <x v="0"/>
    <x v="13"/>
    <x v="0"/>
    <x v="1"/>
    <s v="DK2_MedSmall"/>
    <x v="14"/>
    <n v="24.694747307373699"/>
    <n v="6.8596520298260204"/>
  </r>
  <r>
    <x v="0"/>
    <x v="13"/>
    <x v="0"/>
    <x v="1"/>
    <s v="DK2_MedSmall"/>
    <x v="15"/>
    <n v="1.65807589063794"/>
    <n v="0.46057663628831802"/>
  </r>
  <r>
    <x v="0"/>
    <x v="13"/>
    <x v="0"/>
    <x v="1"/>
    <s v="DK2_MedSmall"/>
    <x v="16"/>
    <n v="5.8520524559425198"/>
    <n v="1.6255701266507001"/>
  </r>
  <r>
    <x v="0"/>
    <x v="13"/>
    <x v="0"/>
    <x v="1"/>
    <s v="DK2_MedSmall"/>
    <x v="17"/>
    <n v="9.1244895875632395"/>
    <n v="2.5345804409897901"/>
  </r>
  <r>
    <x v="0"/>
    <x v="13"/>
    <x v="0"/>
    <x v="1"/>
    <s v="DK2_MedSmall"/>
    <x v="18"/>
    <n v="24.694747307373699"/>
    <n v="6.8596520298260204"/>
  </r>
  <r>
    <x v="0"/>
    <x v="13"/>
    <x v="0"/>
    <x v="1"/>
    <s v="DK2_MedSmall"/>
    <x v="19"/>
    <n v="8.1139884009941898"/>
    <n v="2.2538856669428302"/>
  </r>
  <r>
    <x v="0"/>
    <x v="13"/>
    <x v="0"/>
    <x v="1"/>
    <s v="DK2_MedSmall"/>
    <x v="20"/>
    <n v="20.3765303632313"/>
    <n v="5.6601473231197996"/>
  </r>
  <r>
    <x v="0"/>
    <x v="13"/>
    <x v="0"/>
    <x v="1"/>
    <s v="DK2_MedSmall"/>
    <x v="21"/>
    <n v="48.384"/>
    <n v="13.44"/>
  </r>
  <r>
    <x v="0"/>
    <x v="13"/>
    <x v="0"/>
    <x v="1"/>
    <s v="DK2_MedSmall"/>
    <x v="22"/>
    <n v="79.847999999999999"/>
    <n v="22.18"/>
  </r>
  <r>
    <x v="0"/>
    <x v="13"/>
    <x v="0"/>
    <x v="1"/>
    <s v="DK2_MedSmall"/>
    <x v="23"/>
    <n v="0.31515896120488701"/>
    <n v="8.7544155890246306E-2"/>
  </r>
  <r>
    <x v="0"/>
    <x v="13"/>
    <x v="0"/>
    <x v="1"/>
    <s v="DK2_MedSmall"/>
    <x v="24"/>
    <n v="19.174223581093901"/>
    <n v="5.32617321697054"/>
  </r>
  <r>
    <x v="0"/>
    <x v="13"/>
    <x v="0"/>
    <x v="1"/>
    <s v="DK2_MedSmall"/>
    <x v="25"/>
    <n v="23.613931806316799"/>
    <n v="6.5594255017546796"/>
  </r>
  <r>
    <x v="0"/>
    <x v="13"/>
    <x v="0"/>
    <x v="1"/>
    <s v="DK2_MedSmall"/>
    <x v="26"/>
    <n v="30.869217554900899"/>
    <n v="8.5747826541391401"/>
  </r>
  <r>
    <x v="0"/>
    <x v="13"/>
    <x v="0"/>
    <x v="1"/>
    <s v="DK2_MedSmall"/>
    <x v="27"/>
    <n v="20.163995508318798"/>
    <n v="5.6011098634218799"/>
  </r>
  <r>
    <x v="0"/>
    <x v="13"/>
    <x v="0"/>
    <x v="1"/>
    <s v="DK2_Medium"/>
    <x v="1"/>
    <n v="35.989199999999997"/>
    <n v="9.9969999999999999"/>
  </r>
  <r>
    <x v="0"/>
    <x v="13"/>
    <x v="0"/>
    <x v="1"/>
    <s v="DK2_Medium"/>
    <x v="2"/>
    <n v="48.384"/>
    <n v="13.44"/>
  </r>
  <r>
    <x v="0"/>
    <x v="13"/>
    <x v="0"/>
    <x v="1"/>
    <s v="DK2_Medium"/>
    <x v="0"/>
    <n v="42.692399999999999"/>
    <n v="11.859"/>
  </r>
  <r>
    <x v="0"/>
    <x v="13"/>
    <x v="0"/>
    <x v="1"/>
    <s v="DK2_Medium"/>
    <x v="3"/>
    <n v="51.633543144067197"/>
    <n v="14.342650873352"/>
  </r>
  <r>
    <x v="0"/>
    <x v="13"/>
    <x v="0"/>
    <x v="1"/>
    <s v="DK2_Medium"/>
    <x v="4"/>
    <n v="7.4084241922120802"/>
    <n v="2.0578956089478"/>
  </r>
  <r>
    <x v="0"/>
    <x v="13"/>
    <x v="0"/>
    <x v="1"/>
    <s v="DK2_Medium"/>
    <x v="5"/>
    <n v="7.4084241922120802"/>
    <n v="2.0578956089478"/>
  </r>
  <r>
    <x v="0"/>
    <x v="13"/>
    <x v="0"/>
    <x v="1"/>
    <s v="DK2_Medium"/>
    <x v="6"/>
    <n v="29.476231795214598"/>
    <n v="8.1878421653373898"/>
  </r>
  <r>
    <x v="0"/>
    <x v="13"/>
    <x v="0"/>
    <x v="1"/>
    <s v="DK2_Medium"/>
    <x v="7"/>
    <n v="57.838935220261199"/>
    <n v="16.066370894517"/>
  </r>
  <r>
    <x v="0"/>
    <x v="13"/>
    <x v="0"/>
    <x v="1"/>
    <s v="DK2_Medium"/>
    <x v="8"/>
    <n v="57.838935220261199"/>
    <n v="16.066370894517"/>
  </r>
  <r>
    <x v="0"/>
    <x v="13"/>
    <x v="0"/>
    <x v="1"/>
    <s v="DK2_Medium"/>
    <x v="9"/>
    <n v="44.803327257663497"/>
    <n v="12.4453686826843"/>
  </r>
  <r>
    <x v="0"/>
    <x v="13"/>
    <x v="0"/>
    <x v="1"/>
    <s v="DK2_Medium"/>
    <x v="10"/>
    <n v="54.681226180612903"/>
    <n v="15.1892294946147"/>
  </r>
  <r>
    <x v="0"/>
    <x v="13"/>
    <x v="0"/>
    <x v="1"/>
    <s v="DK2_Medium"/>
    <x v="11"/>
    <n v="3.8806031483015802"/>
    <n v="1.07794531897266"/>
  </r>
  <r>
    <x v="0"/>
    <x v="13"/>
    <x v="0"/>
    <x v="1"/>
    <s v="DK2_Medium"/>
    <x v="12"/>
    <n v="9.7995028997514597E-2"/>
    <n v="2.72208413881985E-2"/>
  </r>
  <r>
    <x v="0"/>
    <x v="13"/>
    <x v="0"/>
    <x v="1"/>
    <s v="DK2_Medium"/>
    <x v="13"/>
    <n v="24.694747307373699"/>
    <n v="6.8596520298260204"/>
  </r>
  <r>
    <x v="0"/>
    <x v="13"/>
    <x v="0"/>
    <x v="1"/>
    <s v="DK2_Medium"/>
    <x v="14"/>
    <n v="24.694747307373699"/>
    <n v="6.8596520298260204"/>
  </r>
  <r>
    <x v="0"/>
    <x v="13"/>
    <x v="0"/>
    <x v="1"/>
    <s v="DK2_Medium"/>
    <x v="15"/>
    <n v="1.65807589063794"/>
    <n v="0.46057663628831802"/>
  </r>
  <r>
    <x v="0"/>
    <x v="13"/>
    <x v="0"/>
    <x v="1"/>
    <s v="DK2_Medium"/>
    <x v="16"/>
    <n v="5.8520524559425198"/>
    <n v="1.6255701266507001"/>
  </r>
  <r>
    <x v="0"/>
    <x v="13"/>
    <x v="0"/>
    <x v="1"/>
    <s v="DK2_Medium"/>
    <x v="17"/>
    <n v="9.1244895875632395"/>
    <n v="2.5345804409897901"/>
  </r>
  <r>
    <x v="0"/>
    <x v="13"/>
    <x v="0"/>
    <x v="1"/>
    <s v="DK2_Medium"/>
    <x v="18"/>
    <n v="24.694747307373699"/>
    <n v="6.8596520298260204"/>
  </r>
  <r>
    <x v="0"/>
    <x v="13"/>
    <x v="0"/>
    <x v="1"/>
    <s v="DK2_Medium"/>
    <x v="19"/>
    <n v="8.1139884009941898"/>
    <n v="2.2538856669428302"/>
  </r>
  <r>
    <x v="0"/>
    <x v="13"/>
    <x v="0"/>
    <x v="1"/>
    <s v="DK2_Medium"/>
    <x v="20"/>
    <n v="20.3765303632313"/>
    <n v="5.6601473231197996"/>
  </r>
  <r>
    <x v="0"/>
    <x v="13"/>
    <x v="0"/>
    <x v="1"/>
    <s v="DK2_Medium"/>
    <x v="21"/>
    <n v="48.384"/>
    <n v="13.44"/>
  </r>
  <r>
    <x v="0"/>
    <x v="13"/>
    <x v="0"/>
    <x v="1"/>
    <s v="DK2_Medium"/>
    <x v="22"/>
    <n v="79.847999999999999"/>
    <n v="22.18"/>
  </r>
  <r>
    <x v="0"/>
    <x v="13"/>
    <x v="0"/>
    <x v="1"/>
    <s v="DK2_Medium"/>
    <x v="23"/>
    <n v="0.31515896120488701"/>
    <n v="8.7544155890246306E-2"/>
  </r>
  <r>
    <x v="0"/>
    <x v="13"/>
    <x v="0"/>
    <x v="1"/>
    <s v="DK2_Medium"/>
    <x v="24"/>
    <n v="19.174223581093901"/>
    <n v="5.32617321697054"/>
  </r>
  <r>
    <x v="0"/>
    <x v="13"/>
    <x v="0"/>
    <x v="1"/>
    <s v="DK2_Medium"/>
    <x v="25"/>
    <n v="23.613931806316799"/>
    <n v="6.5594255017546796"/>
  </r>
  <r>
    <x v="0"/>
    <x v="13"/>
    <x v="0"/>
    <x v="1"/>
    <s v="DK2_Medium"/>
    <x v="26"/>
    <n v="30.869217554900899"/>
    <n v="8.5747826541391401"/>
  </r>
  <r>
    <x v="0"/>
    <x v="13"/>
    <x v="0"/>
    <x v="1"/>
    <s v="DK2_Medium"/>
    <x v="27"/>
    <n v="20.163995508318798"/>
    <n v="5.6011098634218799"/>
  </r>
  <r>
    <x v="0"/>
    <x v="13"/>
    <x v="0"/>
    <x v="1"/>
    <s v="DK2_NoDH"/>
    <x v="1"/>
    <n v="35.989199999999997"/>
    <n v="9.9969999999999999"/>
  </r>
  <r>
    <x v="0"/>
    <x v="13"/>
    <x v="0"/>
    <x v="1"/>
    <s v="DK2_NoDH"/>
    <x v="2"/>
    <n v="48.384"/>
    <n v="13.44"/>
  </r>
  <r>
    <x v="0"/>
    <x v="13"/>
    <x v="0"/>
    <x v="1"/>
    <s v="DK2_NoDH"/>
    <x v="0"/>
    <n v="42.692399999999999"/>
    <n v="11.859"/>
  </r>
  <r>
    <x v="0"/>
    <x v="13"/>
    <x v="0"/>
    <x v="1"/>
    <s v="DK2_NoDH"/>
    <x v="3"/>
    <n v="51.633543144067197"/>
    <n v="14.342650873352"/>
  </r>
  <r>
    <x v="0"/>
    <x v="13"/>
    <x v="0"/>
    <x v="1"/>
    <s v="DK2_NoDH"/>
    <x v="4"/>
    <n v="7.4084241922120802"/>
    <n v="2.0578956089478"/>
  </r>
  <r>
    <x v="0"/>
    <x v="13"/>
    <x v="0"/>
    <x v="1"/>
    <s v="DK2_NoDH"/>
    <x v="5"/>
    <n v="7.4084241922120802"/>
    <n v="2.0578956089478"/>
  </r>
  <r>
    <x v="0"/>
    <x v="13"/>
    <x v="0"/>
    <x v="1"/>
    <s v="DK2_NoDH"/>
    <x v="6"/>
    <n v="29.476231795214598"/>
    <n v="8.1878421653373898"/>
  </r>
  <r>
    <x v="0"/>
    <x v="13"/>
    <x v="0"/>
    <x v="1"/>
    <s v="DK2_NoDH"/>
    <x v="7"/>
    <n v="57.838935220261199"/>
    <n v="16.066370894517"/>
  </r>
  <r>
    <x v="0"/>
    <x v="13"/>
    <x v="0"/>
    <x v="1"/>
    <s v="DK2_NoDH"/>
    <x v="8"/>
    <n v="57.838935220261199"/>
    <n v="16.066370894517"/>
  </r>
  <r>
    <x v="0"/>
    <x v="13"/>
    <x v="0"/>
    <x v="1"/>
    <s v="DK2_NoDH"/>
    <x v="9"/>
    <n v="44.803327257663497"/>
    <n v="12.4453686826843"/>
  </r>
  <r>
    <x v="0"/>
    <x v="13"/>
    <x v="0"/>
    <x v="1"/>
    <s v="DK2_NoDH"/>
    <x v="10"/>
    <n v="54.681226180612903"/>
    <n v="15.1892294946147"/>
  </r>
  <r>
    <x v="0"/>
    <x v="13"/>
    <x v="0"/>
    <x v="1"/>
    <s v="DK2_NoDH"/>
    <x v="11"/>
    <n v="3.8806031483015802"/>
    <n v="1.07794531897266"/>
  </r>
  <r>
    <x v="0"/>
    <x v="13"/>
    <x v="0"/>
    <x v="1"/>
    <s v="DK2_NoDH"/>
    <x v="12"/>
    <n v="9.7995028997514597E-2"/>
    <n v="2.72208413881985E-2"/>
  </r>
  <r>
    <x v="0"/>
    <x v="13"/>
    <x v="0"/>
    <x v="1"/>
    <s v="DK2_NoDH"/>
    <x v="13"/>
    <n v="24.694747307373699"/>
    <n v="6.8596520298260204"/>
  </r>
  <r>
    <x v="0"/>
    <x v="13"/>
    <x v="0"/>
    <x v="1"/>
    <s v="DK2_NoDH"/>
    <x v="14"/>
    <n v="24.694747307373699"/>
    <n v="6.8596520298260204"/>
  </r>
  <r>
    <x v="0"/>
    <x v="13"/>
    <x v="0"/>
    <x v="1"/>
    <s v="DK2_NoDH"/>
    <x v="15"/>
    <n v="1.65807589063794"/>
    <n v="0.46057663628831802"/>
  </r>
  <r>
    <x v="0"/>
    <x v="13"/>
    <x v="0"/>
    <x v="1"/>
    <s v="DK2_NoDH"/>
    <x v="16"/>
    <n v="5.8520524559425198"/>
    <n v="1.6255701266507001"/>
  </r>
  <r>
    <x v="0"/>
    <x v="13"/>
    <x v="0"/>
    <x v="1"/>
    <s v="DK2_NoDH"/>
    <x v="17"/>
    <n v="9.1244895875632395"/>
    <n v="2.5345804409897901"/>
  </r>
  <r>
    <x v="0"/>
    <x v="13"/>
    <x v="0"/>
    <x v="1"/>
    <s v="DK2_NoDH"/>
    <x v="18"/>
    <n v="24.694747307373699"/>
    <n v="6.8596520298260204"/>
  </r>
  <r>
    <x v="0"/>
    <x v="13"/>
    <x v="0"/>
    <x v="1"/>
    <s v="DK2_NoDH"/>
    <x v="19"/>
    <n v="8.1139884009941898"/>
    <n v="2.2538856669428302"/>
  </r>
  <r>
    <x v="0"/>
    <x v="13"/>
    <x v="0"/>
    <x v="1"/>
    <s v="DK2_NoDH"/>
    <x v="20"/>
    <n v="20.3765303632313"/>
    <n v="5.6601473231197996"/>
  </r>
  <r>
    <x v="0"/>
    <x v="13"/>
    <x v="0"/>
    <x v="1"/>
    <s v="DK2_NoDH"/>
    <x v="21"/>
    <n v="48.384"/>
    <n v="13.44"/>
  </r>
  <r>
    <x v="0"/>
    <x v="13"/>
    <x v="0"/>
    <x v="1"/>
    <s v="DK2_NoDH"/>
    <x v="22"/>
    <n v="79.847999999999999"/>
    <n v="22.18"/>
  </r>
  <r>
    <x v="0"/>
    <x v="13"/>
    <x v="0"/>
    <x v="1"/>
    <s v="DK2_NoDH"/>
    <x v="23"/>
    <n v="0.31515896120488701"/>
    <n v="8.7544155890246306E-2"/>
  </r>
  <r>
    <x v="0"/>
    <x v="13"/>
    <x v="0"/>
    <x v="1"/>
    <s v="DK2_NoDH"/>
    <x v="24"/>
    <n v="19.174223581093901"/>
    <n v="5.32617321697054"/>
  </r>
  <r>
    <x v="0"/>
    <x v="13"/>
    <x v="0"/>
    <x v="1"/>
    <s v="DK2_NoDH"/>
    <x v="25"/>
    <n v="23.613931806316799"/>
    <n v="6.5594255017546796"/>
  </r>
  <r>
    <x v="0"/>
    <x v="13"/>
    <x v="0"/>
    <x v="1"/>
    <s v="DK2_NoDH"/>
    <x v="26"/>
    <n v="30.869217554900899"/>
    <n v="8.5747826541391401"/>
  </r>
  <r>
    <x v="0"/>
    <x v="13"/>
    <x v="0"/>
    <x v="1"/>
    <s v="DK2_NoDH"/>
    <x v="27"/>
    <n v="20.163995508318798"/>
    <n v="5.6011098634218799"/>
  </r>
  <r>
    <x v="0"/>
    <x v="13"/>
    <x v="0"/>
    <x v="1"/>
    <s v="DK2_NoDH_PHH"/>
    <x v="1"/>
    <n v="35.989199999999997"/>
    <n v="9.9969999999999999"/>
  </r>
  <r>
    <x v="0"/>
    <x v="13"/>
    <x v="0"/>
    <x v="1"/>
    <s v="DK2_NoDH_PHH"/>
    <x v="2"/>
    <n v="48.384"/>
    <n v="13.44"/>
  </r>
  <r>
    <x v="0"/>
    <x v="13"/>
    <x v="0"/>
    <x v="1"/>
    <s v="DK2_NoDH_PHH"/>
    <x v="0"/>
    <n v="42.692399999999999"/>
    <n v="11.859"/>
  </r>
  <r>
    <x v="0"/>
    <x v="13"/>
    <x v="0"/>
    <x v="1"/>
    <s v="DK2_NoDH_PHH"/>
    <x v="3"/>
    <n v="51.633543144067197"/>
    <n v="14.342650873352"/>
  </r>
  <r>
    <x v="0"/>
    <x v="13"/>
    <x v="0"/>
    <x v="1"/>
    <s v="DK2_NoDH_PHH"/>
    <x v="4"/>
    <n v="7.4084241922120802"/>
    <n v="2.0578956089478"/>
  </r>
  <r>
    <x v="0"/>
    <x v="13"/>
    <x v="0"/>
    <x v="1"/>
    <s v="DK2_NoDH_PHH"/>
    <x v="5"/>
    <n v="7.4084241922120802"/>
    <n v="2.0578956089478"/>
  </r>
  <r>
    <x v="0"/>
    <x v="13"/>
    <x v="0"/>
    <x v="1"/>
    <s v="DK2_NoDH_PHH"/>
    <x v="6"/>
    <n v="29.476231795214598"/>
    <n v="8.1878421653373898"/>
  </r>
  <r>
    <x v="0"/>
    <x v="13"/>
    <x v="0"/>
    <x v="1"/>
    <s v="DK2_NoDH_PHH"/>
    <x v="7"/>
    <n v="57.838935220261199"/>
    <n v="16.066370894517"/>
  </r>
  <r>
    <x v="0"/>
    <x v="13"/>
    <x v="0"/>
    <x v="1"/>
    <s v="DK2_NoDH_PHH"/>
    <x v="8"/>
    <n v="57.838935220261199"/>
    <n v="16.066370894517"/>
  </r>
  <r>
    <x v="0"/>
    <x v="13"/>
    <x v="0"/>
    <x v="1"/>
    <s v="DK2_NoDH_PHH"/>
    <x v="9"/>
    <n v="44.803327257663497"/>
    <n v="12.4453686826843"/>
  </r>
  <r>
    <x v="0"/>
    <x v="13"/>
    <x v="0"/>
    <x v="1"/>
    <s v="DK2_NoDH_PHH"/>
    <x v="10"/>
    <n v="54.681226180612903"/>
    <n v="15.1892294946147"/>
  </r>
  <r>
    <x v="0"/>
    <x v="13"/>
    <x v="0"/>
    <x v="1"/>
    <s v="DK2_NoDH_PHH"/>
    <x v="11"/>
    <n v="3.8806031483015802"/>
    <n v="1.07794531897266"/>
  </r>
  <r>
    <x v="0"/>
    <x v="13"/>
    <x v="0"/>
    <x v="1"/>
    <s v="DK2_NoDH_PHH"/>
    <x v="12"/>
    <n v="9.7995028997514597E-2"/>
    <n v="2.72208413881985E-2"/>
  </r>
  <r>
    <x v="0"/>
    <x v="13"/>
    <x v="0"/>
    <x v="1"/>
    <s v="DK2_NoDH_PHH"/>
    <x v="13"/>
    <n v="24.694747307373699"/>
    <n v="6.8596520298260204"/>
  </r>
  <r>
    <x v="0"/>
    <x v="13"/>
    <x v="0"/>
    <x v="1"/>
    <s v="DK2_NoDH_PHH"/>
    <x v="14"/>
    <n v="24.694747307373699"/>
    <n v="6.8596520298260204"/>
  </r>
  <r>
    <x v="0"/>
    <x v="13"/>
    <x v="0"/>
    <x v="1"/>
    <s v="DK2_NoDH_PHH"/>
    <x v="15"/>
    <n v="1.65807589063794"/>
    <n v="0.46057663628831802"/>
  </r>
  <r>
    <x v="0"/>
    <x v="13"/>
    <x v="0"/>
    <x v="1"/>
    <s v="DK2_NoDH_PHH"/>
    <x v="16"/>
    <n v="5.8520524559425198"/>
    <n v="1.6255701266507001"/>
  </r>
  <r>
    <x v="0"/>
    <x v="13"/>
    <x v="0"/>
    <x v="1"/>
    <s v="DK2_NoDH_PHH"/>
    <x v="17"/>
    <n v="9.1244895875632395"/>
    <n v="2.5345804409897901"/>
  </r>
  <r>
    <x v="0"/>
    <x v="13"/>
    <x v="0"/>
    <x v="1"/>
    <s v="DK2_NoDH_PHH"/>
    <x v="18"/>
    <n v="24.694747307373699"/>
    <n v="6.8596520298260204"/>
  </r>
  <r>
    <x v="0"/>
    <x v="13"/>
    <x v="0"/>
    <x v="1"/>
    <s v="DK2_NoDH_PHH"/>
    <x v="19"/>
    <n v="8.1139884009941898"/>
    <n v="2.2538856669428302"/>
  </r>
  <r>
    <x v="0"/>
    <x v="13"/>
    <x v="0"/>
    <x v="1"/>
    <s v="DK2_NoDH_PHH"/>
    <x v="20"/>
    <n v="20.3765303632313"/>
    <n v="5.6601473231197996"/>
  </r>
  <r>
    <x v="0"/>
    <x v="13"/>
    <x v="0"/>
    <x v="1"/>
    <s v="DK2_NoDH_PHH"/>
    <x v="21"/>
    <n v="48.384"/>
    <n v="13.44"/>
  </r>
  <r>
    <x v="0"/>
    <x v="13"/>
    <x v="0"/>
    <x v="1"/>
    <s v="DK2_NoDH_PHH"/>
    <x v="22"/>
    <n v="79.847999999999999"/>
    <n v="22.18"/>
  </r>
  <r>
    <x v="0"/>
    <x v="13"/>
    <x v="0"/>
    <x v="1"/>
    <s v="DK2_NoDH_PHH"/>
    <x v="23"/>
    <n v="0.31515896120488701"/>
    <n v="8.7544155890246306E-2"/>
  </r>
  <r>
    <x v="0"/>
    <x v="13"/>
    <x v="0"/>
    <x v="1"/>
    <s v="DK2_NoDH_PHH"/>
    <x v="24"/>
    <n v="19.174223581093901"/>
    <n v="5.32617321697054"/>
  </r>
  <r>
    <x v="0"/>
    <x v="13"/>
    <x v="0"/>
    <x v="1"/>
    <s v="DK2_NoDH_PHH"/>
    <x v="25"/>
    <n v="23.613931806316799"/>
    <n v="6.5594255017546796"/>
  </r>
  <r>
    <x v="0"/>
    <x v="13"/>
    <x v="0"/>
    <x v="1"/>
    <s v="DK2_NoDH_PHH"/>
    <x v="26"/>
    <n v="30.869217554900899"/>
    <n v="8.5747826541391401"/>
  </r>
  <r>
    <x v="0"/>
    <x v="13"/>
    <x v="0"/>
    <x v="1"/>
    <s v="DK2_NoDH_PHH"/>
    <x v="27"/>
    <n v="20.163995508318798"/>
    <n v="5.6011098634218799"/>
  </r>
  <r>
    <x v="0"/>
    <x v="13"/>
    <x v="0"/>
    <x v="1"/>
    <s v="DK2_NoDH_PHL"/>
    <x v="1"/>
    <n v="35.989199999999997"/>
    <n v="9.9969999999999999"/>
  </r>
  <r>
    <x v="0"/>
    <x v="13"/>
    <x v="0"/>
    <x v="1"/>
    <s v="DK2_NoDH_PHL"/>
    <x v="2"/>
    <n v="48.384"/>
    <n v="13.44"/>
  </r>
  <r>
    <x v="0"/>
    <x v="13"/>
    <x v="0"/>
    <x v="1"/>
    <s v="DK2_NoDH_PHL"/>
    <x v="0"/>
    <n v="42.692399999999999"/>
    <n v="11.859"/>
  </r>
  <r>
    <x v="0"/>
    <x v="13"/>
    <x v="0"/>
    <x v="1"/>
    <s v="DK2_NoDH_PHL"/>
    <x v="3"/>
    <n v="51.633543144067197"/>
    <n v="14.342650873352"/>
  </r>
  <r>
    <x v="0"/>
    <x v="13"/>
    <x v="0"/>
    <x v="1"/>
    <s v="DK2_NoDH_PHL"/>
    <x v="4"/>
    <n v="7.4084241922120802"/>
    <n v="2.0578956089478"/>
  </r>
  <r>
    <x v="0"/>
    <x v="13"/>
    <x v="0"/>
    <x v="1"/>
    <s v="DK2_NoDH_PHL"/>
    <x v="5"/>
    <n v="7.4084241922120802"/>
    <n v="2.0578956089478"/>
  </r>
  <r>
    <x v="0"/>
    <x v="13"/>
    <x v="0"/>
    <x v="1"/>
    <s v="DK2_NoDH_PHL"/>
    <x v="6"/>
    <n v="29.476231795214598"/>
    <n v="8.1878421653373898"/>
  </r>
  <r>
    <x v="0"/>
    <x v="13"/>
    <x v="0"/>
    <x v="1"/>
    <s v="DK2_NoDH_PHL"/>
    <x v="7"/>
    <n v="57.838935220261199"/>
    <n v="16.066370894517"/>
  </r>
  <r>
    <x v="0"/>
    <x v="13"/>
    <x v="0"/>
    <x v="1"/>
    <s v="DK2_NoDH_PHL"/>
    <x v="8"/>
    <n v="57.838935220261199"/>
    <n v="16.066370894517"/>
  </r>
  <r>
    <x v="0"/>
    <x v="13"/>
    <x v="0"/>
    <x v="1"/>
    <s v="DK2_NoDH_PHL"/>
    <x v="9"/>
    <n v="44.803327257663497"/>
    <n v="12.4453686826843"/>
  </r>
  <r>
    <x v="0"/>
    <x v="13"/>
    <x v="0"/>
    <x v="1"/>
    <s v="DK2_NoDH_PHL"/>
    <x v="10"/>
    <n v="54.681226180612903"/>
    <n v="15.1892294946147"/>
  </r>
  <r>
    <x v="0"/>
    <x v="13"/>
    <x v="0"/>
    <x v="1"/>
    <s v="DK2_NoDH_PHL"/>
    <x v="11"/>
    <n v="3.8806031483015802"/>
    <n v="1.07794531897266"/>
  </r>
  <r>
    <x v="0"/>
    <x v="13"/>
    <x v="0"/>
    <x v="1"/>
    <s v="DK2_NoDH_PHL"/>
    <x v="12"/>
    <n v="9.7995028997514597E-2"/>
    <n v="2.72208413881985E-2"/>
  </r>
  <r>
    <x v="0"/>
    <x v="13"/>
    <x v="0"/>
    <x v="1"/>
    <s v="DK2_NoDH_PHL"/>
    <x v="13"/>
    <n v="24.694747307373699"/>
    <n v="6.8596520298260204"/>
  </r>
  <r>
    <x v="0"/>
    <x v="13"/>
    <x v="0"/>
    <x v="1"/>
    <s v="DK2_NoDH_PHL"/>
    <x v="14"/>
    <n v="24.694747307373699"/>
    <n v="6.8596520298260204"/>
  </r>
  <r>
    <x v="0"/>
    <x v="13"/>
    <x v="0"/>
    <x v="1"/>
    <s v="DK2_NoDH_PHL"/>
    <x v="15"/>
    <n v="1.65807589063794"/>
    <n v="0.46057663628831802"/>
  </r>
  <r>
    <x v="0"/>
    <x v="13"/>
    <x v="0"/>
    <x v="1"/>
    <s v="DK2_NoDH_PHL"/>
    <x v="16"/>
    <n v="5.8520524559425198"/>
    <n v="1.6255701266507001"/>
  </r>
  <r>
    <x v="0"/>
    <x v="13"/>
    <x v="0"/>
    <x v="1"/>
    <s v="DK2_NoDH_PHL"/>
    <x v="17"/>
    <n v="9.1244895875632395"/>
    <n v="2.5345804409897901"/>
  </r>
  <r>
    <x v="0"/>
    <x v="13"/>
    <x v="0"/>
    <x v="1"/>
    <s v="DK2_NoDH_PHL"/>
    <x v="18"/>
    <n v="24.694747307373699"/>
    <n v="6.8596520298260204"/>
  </r>
  <r>
    <x v="0"/>
    <x v="13"/>
    <x v="0"/>
    <x v="1"/>
    <s v="DK2_NoDH_PHL"/>
    <x v="19"/>
    <n v="8.1139884009941898"/>
    <n v="2.2538856669428302"/>
  </r>
  <r>
    <x v="0"/>
    <x v="13"/>
    <x v="0"/>
    <x v="1"/>
    <s v="DK2_NoDH_PHL"/>
    <x v="20"/>
    <n v="20.3765303632313"/>
    <n v="5.6601473231197996"/>
  </r>
  <r>
    <x v="0"/>
    <x v="13"/>
    <x v="0"/>
    <x v="1"/>
    <s v="DK2_NoDH_PHL"/>
    <x v="21"/>
    <n v="48.384"/>
    <n v="13.44"/>
  </r>
  <r>
    <x v="0"/>
    <x v="13"/>
    <x v="0"/>
    <x v="1"/>
    <s v="DK2_NoDH_PHL"/>
    <x v="22"/>
    <n v="79.847999999999999"/>
    <n v="22.18"/>
  </r>
  <r>
    <x v="0"/>
    <x v="13"/>
    <x v="0"/>
    <x v="1"/>
    <s v="DK2_NoDH_PHL"/>
    <x v="23"/>
    <n v="0.31515896120488701"/>
    <n v="8.7544155890246306E-2"/>
  </r>
  <r>
    <x v="0"/>
    <x v="13"/>
    <x v="0"/>
    <x v="1"/>
    <s v="DK2_NoDH_PHL"/>
    <x v="24"/>
    <n v="19.174223581093901"/>
    <n v="5.32617321697054"/>
  </r>
  <r>
    <x v="0"/>
    <x v="13"/>
    <x v="0"/>
    <x v="1"/>
    <s v="DK2_NoDH_PHL"/>
    <x v="25"/>
    <n v="23.613931806316799"/>
    <n v="6.5594255017546796"/>
  </r>
  <r>
    <x v="0"/>
    <x v="13"/>
    <x v="0"/>
    <x v="1"/>
    <s v="DK2_NoDH_PHL"/>
    <x v="26"/>
    <n v="30.869217554900899"/>
    <n v="8.5747826541391401"/>
  </r>
  <r>
    <x v="0"/>
    <x v="13"/>
    <x v="0"/>
    <x v="1"/>
    <s v="DK2_NoDH_PHL"/>
    <x v="27"/>
    <n v="20.163995508318798"/>
    <n v="5.6011098634218799"/>
  </r>
  <r>
    <x v="0"/>
    <x v="13"/>
    <x v="0"/>
    <x v="1"/>
    <s v="DK2_Offshore"/>
    <x v="1"/>
    <n v="35.989199999999997"/>
    <n v="9.9969999999999999"/>
  </r>
  <r>
    <x v="0"/>
    <x v="13"/>
    <x v="0"/>
    <x v="1"/>
    <s v="DK2_Offshore"/>
    <x v="2"/>
    <n v="48.384"/>
    <n v="13.44"/>
  </r>
  <r>
    <x v="0"/>
    <x v="13"/>
    <x v="0"/>
    <x v="1"/>
    <s v="DK2_Offshore"/>
    <x v="0"/>
    <n v="42.692399999999999"/>
    <n v="11.859"/>
  </r>
  <r>
    <x v="0"/>
    <x v="13"/>
    <x v="0"/>
    <x v="1"/>
    <s v="DK2_Offshore"/>
    <x v="3"/>
    <n v="51.633543144067197"/>
    <n v="14.342650873352"/>
  </r>
  <r>
    <x v="0"/>
    <x v="13"/>
    <x v="0"/>
    <x v="1"/>
    <s v="DK2_Offshore"/>
    <x v="4"/>
    <n v="7.4084241922120802"/>
    <n v="2.0578956089478"/>
  </r>
  <r>
    <x v="0"/>
    <x v="13"/>
    <x v="0"/>
    <x v="1"/>
    <s v="DK2_Offshore"/>
    <x v="5"/>
    <n v="7.4084241922120802"/>
    <n v="2.0578956089478"/>
  </r>
  <r>
    <x v="0"/>
    <x v="13"/>
    <x v="0"/>
    <x v="1"/>
    <s v="DK2_Offshore"/>
    <x v="6"/>
    <n v="29.476231795214598"/>
    <n v="8.1878421653373898"/>
  </r>
  <r>
    <x v="0"/>
    <x v="13"/>
    <x v="0"/>
    <x v="1"/>
    <s v="DK2_Offshore"/>
    <x v="7"/>
    <n v="57.838935220261199"/>
    <n v="16.066370894517"/>
  </r>
  <r>
    <x v="0"/>
    <x v="13"/>
    <x v="0"/>
    <x v="1"/>
    <s v="DK2_Offshore"/>
    <x v="8"/>
    <n v="57.838935220261199"/>
    <n v="16.066370894517"/>
  </r>
  <r>
    <x v="0"/>
    <x v="13"/>
    <x v="0"/>
    <x v="1"/>
    <s v="DK2_Offshore"/>
    <x v="9"/>
    <n v="44.803327257663497"/>
    <n v="12.4453686826843"/>
  </r>
  <r>
    <x v="0"/>
    <x v="13"/>
    <x v="0"/>
    <x v="1"/>
    <s v="DK2_Offshore"/>
    <x v="10"/>
    <n v="54.681226180612903"/>
    <n v="15.1892294946147"/>
  </r>
  <r>
    <x v="0"/>
    <x v="13"/>
    <x v="0"/>
    <x v="1"/>
    <s v="DK2_Offshore"/>
    <x v="11"/>
    <n v="3.8806031483015802"/>
    <n v="1.07794531897266"/>
  </r>
  <r>
    <x v="0"/>
    <x v="13"/>
    <x v="0"/>
    <x v="1"/>
    <s v="DK2_Offshore"/>
    <x v="12"/>
    <n v="9.7995028997514597E-2"/>
    <n v="2.72208413881985E-2"/>
  </r>
  <r>
    <x v="0"/>
    <x v="13"/>
    <x v="0"/>
    <x v="1"/>
    <s v="DK2_Offshore"/>
    <x v="13"/>
    <n v="24.694747307373699"/>
    <n v="6.8596520298260204"/>
  </r>
  <r>
    <x v="0"/>
    <x v="13"/>
    <x v="0"/>
    <x v="1"/>
    <s v="DK2_Offshore"/>
    <x v="14"/>
    <n v="24.694747307373699"/>
    <n v="6.8596520298260204"/>
  </r>
  <r>
    <x v="0"/>
    <x v="13"/>
    <x v="0"/>
    <x v="1"/>
    <s v="DK2_Offshore"/>
    <x v="15"/>
    <n v="1.65807589063794"/>
    <n v="0.46057663628831802"/>
  </r>
  <r>
    <x v="0"/>
    <x v="13"/>
    <x v="0"/>
    <x v="1"/>
    <s v="DK2_Offshore"/>
    <x v="16"/>
    <n v="5.8520524559425198"/>
    <n v="1.6255701266507001"/>
  </r>
  <r>
    <x v="0"/>
    <x v="13"/>
    <x v="0"/>
    <x v="1"/>
    <s v="DK2_Offshore"/>
    <x v="17"/>
    <n v="9.1244895875632395"/>
    <n v="2.5345804409897901"/>
  </r>
  <r>
    <x v="0"/>
    <x v="13"/>
    <x v="0"/>
    <x v="1"/>
    <s v="DK2_Offshore"/>
    <x v="18"/>
    <n v="24.694747307373699"/>
    <n v="6.8596520298260204"/>
  </r>
  <r>
    <x v="0"/>
    <x v="13"/>
    <x v="0"/>
    <x v="1"/>
    <s v="DK2_Offshore"/>
    <x v="19"/>
    <n v="8.1139884009941898"/>
    <n v="2.2538856669428302"/>
  </r>
  <r>
    <x v="0"/>
    <x v="13"/>
    <x v="0"/>
    <x v="1"/>
    <s v="DK2_Offshore"/>
    <x v="20"/>
    <n v="20.3765303632313"/>
    <n v="5.6601473231197996"/>
  </r>
  <r>
    <x v="0"/>
    <x v="13"/>
    <x v="0"/>
    <x v="1"/>
    <s v="DK2_Offshore"/>
    <x v="21"/>
    <n v="48.384"/>
    <n v="13.44"/>
  </r>
  <r>
    <x v="0"/>
    <x v="13"/>
    <x v="0"/>
    <x v="1"/>
    <s v="DK2_Offshore"/>
    <x v="22"/>
    <n v="79.847999999999999"/>
    <n v="22.18"/>
  </r>
  <r>
    <x v="0"/>
    <x v="13"/>
    <x v="0"/>
    <x v="1"/>
    <s v="DK2_Offshore"/>
    <x v="23"/>
    <n v="0.31515896120488701"/>
    <n v="8.7544155890246306E-2"/>
  </r>
  <r>
    <x v="0"/>
    <x v="13"/>
    <x v="0"/>
    <x v="1"/>
    <s v="DK2_Offshore"/>
    <x v="24"/>
    <n v="19.174223581093901"/>
    <n v="5.32617321697054"/>
  </r>
  <r>
    <x v="0"/>
    <x v="13"/>
    <x v="0"/>
    <x v="1"/>
    <s v="DK2_Offshore"/>
    <x v="25"/>
    <n v="23.613931806316799"/>
    <n v="6.5594255017546796"/>
  </r>
  <r>
    <x v="0"/>
    <x v="13"/>
    <x v="0"/>
    <x v="1"/>
    <s v="DK2_Offshore"/>
    <x v="26"/>
    <n v="30.869217554900899"/>
    <n v="8.5747826541391401"/>
  </r>
  <r>
    <x v="0"/>
    <x v="13"/>
    <x v="0"/>
    <x v="1"/>
    <s v="DK2_Offshore"/>
    <x v="27"/>
    <n v="20.163995508318798"/>
    <n v="5.6011098634218799"/>
  </r>
  <r>
    <x v="0"/>
    <x v="13"/>
    <x v="0"/>
    <x v="1"/>
    <s v="DK2_Rural"/>
    <x v="1"/>
    <n v="35.989199999999997"/>
    <n v="9.9969999999999999"/>
  </r>
  <r>
    <x v="0"/>
    <x v="13"/>
    <x v="0"/>
    <x v="1"/>
    <s v="DK2_Rural"/>
    <x v="2"/>
    <n v="48.384"/>
    <n v="13.44"/>
  </r>
  <r>
    <x v="0"/>
    <x v="13"/>
    <x v="0"/>
    <x v="1"/>
    <s v="DK2_Rural"/>
    <x v="0"/>
    <n v="42.692399999999999"/>
    <n v="11.859"/>
  </r>
  <r>
    <x v="0"/>
    <x v="13"/>
    <x v="0"/>
    <x v="1"/>
    <s v="DK2_Rural"/>
    <x v="3"/>
    <n v="51.633543144067197"/>
    <n v="14.342650873352"/>
  </r>
  <r>
    <x v="0"/>
    <x v="13"/>
    <x v="0"/>
    <x v="1"/>
    <s v="DK2_Rural"/>
    <x v="4"/>
    <n v="7.4084241922120802"/>
    <n v="2.0578956089478"/>
  </r>
  <r>
    <x v="0"/>
    <x v="13"/>
    <x v="0"/>
    <x v="1"/>
    <s v="DK2_Rural"/>
    <x v="5"/>
    <n v="7.4084241922120802"/>
    <n v="2.0578956089478"/>
  </r>
  <r>
    <x v="0"/>
    <x v="13"/>
    <x v="0"/>
    <x v="1"/>
    <s v="DK2_Rural"/>
    <x v="6"/>
    <n v="29.476231795214598"/>
    <n v="8.1878421653373898"/>
  </r>
  <r>
    <x v="0"/>
    <x v="13"/>
    <x v="0"/>
    <x v="1"/>
    <s v="DK2_Rural"/>
    <x v="7"/>
    <n v="57.838935220261199"/>
    <n v="16.066370894517"/>
  </r>
  <r>
    <x v="0"/>
    <x v="13"/>
    <x v="0"/>
    <x v="1"/>
    <s v="DK2_Rural"/>
    <x v="8"/>
    <n v="57.838935220261199"/>
    <n v="16.066370894517"/>
  </r>
  <r>
    <x v="0"/>
    <x v="13"/>
    <x v="0"/>
    <x v="1"/>
    <s v="DK2_Rural"/>
    <x v="9"/>
    <n v="44.803327257663497"/>
    <n v="12.4453686826843"/>
  </r>
  <r>
    <x v="0"/>
    <x v="13"/>
    <x v="0"/>
    <x v="1"/>
    <s v="DK2_Rural"/>
    <x v="10"/>
    <n v="54.681226180612903"/>
    <n v="15.1892294946147"/>
  </r>
  <r>
    <x v="0"/>
    <x v="13"/>
    <x v="0"/>
    <x v="1"/>
    <s v="DK2_Rural"/>
    <x v="11"/>
    <n v="3.8806031483015802"/>
    <n v="1.07794531897266"/>
  </r>
  <r>
    <x v="0"/>
    <x v="13"/>
    <x v="0"/>
    <x v="1"/>
    <s v="DK2_Rural"/>
    <x v="12"/>
    <n v="9.7995028997514597E-2"/>
    <n v="2.72208413881985E-2"/>
  </r>
  <r>
    <x v="0"/>
    <x v="13"/>
    <x v="0"/>
    <x v="1"/>
    <s v="DK2_Rural"/>
    <x v="13"/>
    <n v="24.694747307373699"/>
    <n v="6.8596520298260204"/>
  </r>
  <r>
    <x v="0"/>
    <x v="13"/>
    <x v="0"/>
    <x v="1"/>
    <s v="DK2_Rural"/>
    <x v="14"/>
    <n v="24.694747307373699"/>
    <n v="6.8596520298260204"/>
  </r>
  <r>
    <x v="0"/>
    <x v="13"/>
    <x v="0"/>
    <x v="1"/>
    <s v="DK2_Rural"/>
    <x v="15"/>
    <n v="1.65807589063794"/>
    <n v="0.46057663628831802"/>
  </r>
  <r>
    <x v="0"/>
    <x v="13"/>
    <x v="0"/>
    <x v="1"/>
    <s v="DK2_Rural"/>
    <x v="16"/>
    <n v="5.8520524559425198"/>
    <n v="1.6255701266507001"/>
  </r>
  <r>
    <x v="0"/>
    <x v="13"/>
    <x v="0"/>
    <x v="1"/>
    <s v="DK2_Rural"/>
    <x v="17"/>
    <n v="9.1244895875632395"/>
    <n v="2.5345804409897901"/>
  </r>
  <r>
    <x v="0"/>
    <x v="13"/>
    <x v="0"/>
    <x v="1"/>
    <s v="DK2_Rural"/>
    <x v="18"/>
    <n v="24.694747307373699"/>
    <n v="6.8596520298260204"/>
  </r>
  <r>
    <x v="0"/>
    <x v="13"/>
    <x v="0"/>
    <x v="1"/>
    <s v="DK2_Rural"/>
    <x v="19"/>
    <n v="8.1139884009941898"/>
    <n v="2.2538856669428302"/>
  </r>
  <r>
    <x v="0"/>
    <x v="13"/>
    <x v="0"/>
    <x v="1"/>
    <s v="DK2_Rural"/>
    <x v="20"/>
    <n v="20.3765303632313"/>
    <n v="5.6601473231197996"/>
  </r>
  <r>
    <x v="0"/>
    <x v="13"/>
    <x v="0"/>
    <x v="1"/>
    <s v="DK2_Rural"/>
    <x v="21"/>
    <n v="48.384"/>
    <n v="13.44"/>
  </r>
  <r>
    <x v="0"/>
    <x v="13"/>
    <x v="0"/>
    <x v="1"/>
    <s v="DK2_Rural"/>
    <x v="22"/>
    <n v="79.847999999999999"/>
    <n v="22.18"/>
  </r>
  <r>
    <x v="0"/>
    <x v="13"/>
    <x v="0"/>
    <x v="1"/>
    <s v="DK2_Rural"/>
    <x v="23"/>
    <n v="0.31515896120488701"/>
    <n v="8.7544155890246306E-2"/>
  </r>
  <r>
    <x v="0"/>
    <x v="13"/>
    <x v="0"/>
    <x v="1"/>
    <s v="DK2_Rural"/>
    <x v="24"/>
    <n v="19.174223581093901"/>
    <n v="5.32617321697054"/>
  </r>
  <r>
    <x v="0"/>
    <x v="13"/>
    <x v="0"/>
    <x v="1"/>
    <s v="DK2_Rural"/>
    <x v="25"/>
    <n v="23.613931806316799"/>
    <n v="6.5594255017546796"/>
  </r>
  <r>
    <x v="0"/>
    <x v="13"/>
    <x v="0"/>
    <x v="1"/>
    <s v="DK2_Rural"/>
    <x v="26"/>
    <n v="30.869217554900899"/>
    <n v="8.5747826541391401"/>
  </r>
  <r>
    <x v="0"/>
    <x v="13"/>
    <x v="0"/>
    <x v="1"/>
    <s v="DK2_Rural"/>
    <x v="27"/>
    <n v="20.163995508318798"/>
    <n v="5.6011098634218799"/>
  </r>
  <r>
    <x v="0"/>
    <x v="13"/>
    <x v="0"/>
    <x v="1"/>
    <s v="DK2_Small"/>
    <x v="1"/>
    <n v="35.989199999999997"/>
    <n v="9.9969999999999999"/>
  </r>
  <r>
    <x v="0"/>
    <x v="13"/>
    <x v="0"/>
    <x v="1"/>
    <s v="DK2_Small"/>
    <x v="2"/>
    <n v="48.384"/>
    <n v="13.44"/>
  </r>
  <r>
    <x v="0"/>
    <x v="13"/>
    <x v="0"/>
    <x v="1"/>
    <s v="DK2_Small"/>
    <x v="0"/>
    <n v="42.692399999999999"/>
    <n v="11.859"/>
  </r>
  <r>
    <x v="0"/>
    <x v="13"/>
    <x v="0"/>
    <x v="1"/>
    <s v="DK2_Small"/>
    <x v="3"/>
    <n v="51.633543144067197"/>
    <n v="14.342650873352"/>
  </r>
  <r>
    <x v="0"/>
    <x v="13"/>
    <x v="0"/>
    <x v="1"/>
    <s v="DK2_Small"/>
    <x v="4"/>
    <n v="7.4084241922120802"/>
    <n v="2.0578956089478"/>
  </r>
  <r>
    <x v="0"/>
    <x v="13"/>
    <x v="0"/>
    <x v="1"/>
    <s v="DK2_Small"/>
    <x v="5"/>
    <n v="7.4084241922120802"/>
    <n v="2.0578956089478"/>
  </r>
  <r>
    <x v="0"/>
    <x v="13"/>
    <x v="0"/>
    <x v="1"/>
    <s v="DK2_Small"/>
    <x v="6"/>
    <n v="29.476231795214598"/>
    <n v="8.1878421653373898"/>
  </r>
  <r>
    <x v="0"/>
    <x v="13"/>
    <x v="0"/>
    <x v="1"/>
    <s v="DK2_Small"/>
    <x v="7"/>
    <n v="57.838935220261199"/>
    <n v="16.066370894517"/>
  </r>
  <r>
    <x v="0"/>
    <x v="13"/>
    <x v="0"/>
    <x v="1"/>
    <s v="DK2_Small"/>
    <x v="8"/>
    <n v="57.838935220261199"/>
    <n v="16.066370894517"/>
  </r>
  <r>
    <x v="0"/>
    <x v="13"/>
    <x v="0"/>
    <x v="1"/>
    <s v="DK2_Small"/>
    <x v="9"/>
    <n v="44.803327257663497"/>
    <n v="12.4453686826843"/>
  </r>
  <r>
    <x v="0"/>
    <x v="13"/>
    <x v="0"/>
    <x v="1"/>
    <s v="DK2_Small"/>
    <x v="10"/>
    <n v="54.681226180612903"/>
    <n v="15.1892294946147"/>
  </r>
  <r>
    <x v="0"/>
    <x v="13"/>
    <x v="0"/>
    <x v="1"/>
    <s v="DK2_Small"/>
    <x v="11"/>
    <n v="3.8806031483015802"/>
    <n v="1.07794531897266"/>
  </r>
  <r>
    <x v="0"/>
    <x v="13"/>
    <x v="0"/>
    <x v="1"/>
    <s v="DK2_Small"/>
    <x v="12"/>
    <n v="9.7995028997514597E-2"/>
    <n v="2.72208413881985E-2"/>
  </r>
  <r>
    <x v="0"/>
    <x v="13"/>
    <x v="0"/>
    <x v="1"/>
    <s v="DK2_Small"/>
    <x v="13"/>
    <n v="24.694747307373699"/>
    <n v="6.8596520298260204"/>
  </r>
  <r>
    <x v="0"/>
    <x v="13"/>
    <x v="0"/>
    <x v="1"/>
    <s v="DK2_Small"/>
    <x v="14"/>
    <n v="24.694747307373699"/>
    <n v="6.8596520298260204"/>
  </r>
  <r>
    <x v="0"/>
    <x v="13"/>
    <x v="0"/>
    <x v="1"/>
    <s v="DK2_Small"/>
    <x v="15"/>
    <n v="1.65807589063794"/>
    <n v="0.46057663628831802"/>
  </r>
  <r>
    <x v="0"/>
    <x v="13"/>
    <x v="0"/>
    <x v="1"/>
    <s v="DK2_Small"/>
    <x v="16"/>
    <n v="5.8520524559425198"/>
    <n v="1.6255701266507001"/>
  </r>
  <r>
    <x v="0"/>
    <x v="13"/>
    <x v="0"/>
    <x v="1"/>
    <s v="DK2_Small"/>
    <x v="17"/>
    <n v="9.1244895875632395"/>
    <n v="2.5345804409897901"/>
  </r>
  <r>
    <x v="0"/>
    <x v="13"/>
    <x v="0"/>
    <x v="1"/>
    <s v="DK2_Small"/>
    <x v="18"/>
    <n v="24.694747307373699"/>
    <n v="6.8596520298260204"/>
  </r>
  <r>
    <x v="0"/>
    <x v="13"/>
    <x v="0"/>
    <x v="1"/>
    <s v="DK2_Small"/>
    <x v="19"/>
    <n v="8.1139884009941898"/>
    <n v="2.2538856669428302"/>
  </r>
  <r>
    <x v="0"/>
    <x v="13"/>
    <x v="0"/>
    <x v="1"/>
    <s v="DK2_Small"/>
    <x v="20"/>
    <n v="20.3765303632313"/>
    <n v="5.6601473231197996"/>
  </r>
  <r>
    <x v="0"/>
    <x v="13"/>
    <x v="0"/>
    <x v="1"/>
    <s v="DK2_Small"/>
    <x v="21"/>
    <n v="48.384"/>
    <n v="13.44"/>
  </r>
  <r>
    <x v="0"/>
    <x v="13"/>
    <x v="0"/>
    <x v="1"/>
    <s v="DK2_Small"/>
    <x v="22"/>
    <n v="79.847999999999999"/>
    <n v="22.18"/>
  </r>
  <r>
    <x v="0"/>
    <x v="13"/>
    <x v="0"/>
    <x v="1"/>
    <s v="DK2_Small"/>
    <x v="23"/>
    <n v="0.31515896120488701"/>
    <n v="8.7544155890246306E-2"/>
  </r>
  <r>
    <x v="0"/>
    <x v="13"/>
    <x v="0"/>
    <x v="1"/>
    <s v="DK2_Small"/>
    <x v="24"/>
    <n v="19.174223581093901"/>
    <n v="5.32617321697054"/>
  </r>
  <r>
    <x v="0"/>
    <x v="13"/>
    <x v="0"/>
    <x v="1"/>
    <s v="DK2_Small"/>
    <x v="25"/>
    <n v="23.613931806316799"/>
    <n v="6.5594255017546796"/>
  </r>
  <r>
    <x v="0"/>
    <x v="13"/>
    <x v="0"/>
    <x v="1"/>
    <s v="DK2_Small"/>
    <x v="26"/>
    <n v="30.869217554900899"/>
    <n v="8.5747826541391401"/>
  </r>
  <r>
    <x v="0"/>
    <x v="13"/>
    <x v="0"/>
    <x v="1"/>
    <s v="DK2_Small"/>
    <x v="27"/>
    <n v="20.163995508318798"/>
    <n v="5.6011098634218799"/>
  </r>
  <r>
    <x v="0"/>
    <x v="13"/>
    <x v="1"/>
    <x v="2"/>
    <s v="EE_A"/>
    <x v="1"/>
    <n v="35.989199999999997"/>
    <n v="9.9969999999999999"/>
  </r>
  <r>
    <x v="0"/>
    <x v="13"/>
    <x v="1"/>
    <x v="2"/>
    <s v="EE_A"/>
    <x v="2"/>
    <n v="48.384"/>
    <n v="13.44"/>
  </r>
  <r>
    <x v="0"/>
    <x v="13"/>
    <x v="1"/>
    <x v="2"/>
    <s v="EE_A"/>
    <x v="0"/>
    <n v="42.692399999999999"/>
    <n v="11.859"/>
  </r>
  <r>
    <x v="0"/>
    <x v="13"/>
    <x v="1"/>
    <x v="2"/>
    <s v="EE_A"/>
    <x v="3"/>
    <n v="51.633543144067197"/>
    <n v="14.342650873352"/>
  </r>
  <r>
    <x v="0"/>
    <x v="13"/>
    <x v="1"/>
    <x v="2"/>
    <s v="EE_A"/>
    <x v="4"/>
    <n v="7.4084241922120802"/>
    <n v="2.0578956089478"/>
  </r>
  <r>
    <x v="0"/>
    <x v="13"/>
    <x v="1"/>
    <x v="2"/>
    <s v="EE_A"/>
    <x v="5"/>
    <n v="7.4084241922120802"/>
    <n v="2.0578956089478"/>
  </r>
  <r>
    <x v="0"/>
    <x v="13"/>
    <x v="1"/>
    <x v="2"/>
    <s v="EE_A"/>
    <x v="6"/>
    <n v="29.476231795214598"/>
    <n v="8.1878421653373898"/>
  </r>
  <r>
    <x v="0"/>
    <x v="13"/>
    <x v="1"/>
    <x v="2"/>
    <s v="EE_A"/>
    <x v="7"/>
    <n v="57.838935220261199"/>
    <n v="16.066370894517"/>
  </r>
  <r>
    <x v="0"/>
    <x v="13"/>
    <x v="1"/>
    <x v="2"/>
    <s v="EE_A"/>
    <x v="8"/>
    <n v="57.838935220261199"/>
    <n v="16.066370894517"/>
  </r>
  <r>
    <x v="0"/>
    <x v="13"/>
    <x v="1"/>
    <x v="2"/>
    <s v="EE_A"/>
    <x v="9"/>
    <n v="44.803327257663497"/>
    <n v="12.4453686826843"/>
  </r>
  <r>
    <x v="0"/>
    <x v="13"/>
    <x v="1"/>
    <x v="2"/>
    <s v="EE_A"/>
    <x v="10"/>
    <n v="54.681226180612903"/>
    <n v="15.1892294946147"/>
  </r>
  <r>
    <x v="0"/>
    <x v="13"/>
    <x v="1"/>
    <x v="2"/>
    <s v="EE_A"/>
    <x v="11"/>
    <n v="3.8806031483015802"/>
    <n v="1.07794531897266"/>
  </r>
  <r>
    <x v="0"/>
    <x v="13"/>
    <x v="1"/>
    <x v="2"/>
    <s v="EE_A"/>
    <x v="12"/>
    <n v="9.7995028997514597E-2"/>
    <n v="2.72208413881985E-2"/>
  </r>
  <r>
    <x v="0"/>
    <x v="13"/>
    <x v="1"/>
    <x v="2"/>
    <s v="EE_A"/>
    <x v="13"/>
    <n v="24.694747307373699"/>
    <n v="6.8596520298260204"/>
  </r>
  <r>
    <x v="0"/>
    <x v="13"/>
    <x v="1"/>
    <x v="2"/>
    <s v="EE_A"/>
    <x v="14"/>
    <n v="24.694747307373699"/>
    <n v="6.8596520298260204"/>
  </r>
  <r>
    <x v="0"/>
    <x v="13"/>
    <x v="1"/>
    <x v="2"/>
    <s v="EE_A"/>
    <x v="15"/>
    <n v="1.65807589063794"/>
    <n v="0.46057663628831802"/>
  </r>
  <r>
    <x v="0"/>
    <x v="13"/>
    <x v="1"/>
    <x v="2"/>
    <s v="EE_A"/>
    <x v="16"/>
    <n v="5.8520524559425198"/>
    <n v="1.6255701266507001"/>
  </r>
  <r>
    <x v="0"/>
    <x v="13"/>
    <x v="1"/>
    <x v="2"/>
    <s v="EE_A"/>
    <x v="17"/>
    <n v="9.1244895875632395"/>
    <n v="2.5345804409897901"/>
  </r>
  <r>
    <x v="0"/>
    <x v="13"/>
    <x v="1"/>
    <x v="2"/>
    <s v="EE_A"/>
    <x v="18"/>
    <n v="24.694747307373699"/>
    <n v="6.8596520298260204"/>
  </r>
  <r>
    <x v="0"/>
    <x v="13"/>
    <x v="1"/>
    <x v="2"/>
    <s v="EE_A"/>
    <x v="19"/>
    <n v="8.1139884009941898"/>
    <n v="2.2538856669428302"/>
  </r>
  <r>
    <x v="0"/>
    <x v="13"/>
    <x v="1"/>
    <x v="2"/>
    <s v="EE_A"/>
    <x v="20"/>
    <n v="20.3765303632313"/>
    <n v="5.6601473231197996"/>
  </r>
  <r>
    <x v="0"/>
    <x v="13"/>
    <x v="1"/>
    <x v="2"/>
    <s v="EE_A"/>
    <x v="21"/>
    <n v="48.384"/>
    <n v="13.44"/>
  </r>
  <r>
    <x v="0"/>
    <x v="13"/>
    <x v="1"/>
    <x v="2"/>
    <s v="EE_A"/>
    <x v="22"/>
    <n v="79.847999999999999"/>
    <n v="22.18"/>
  </r>
  <r>
    <x v="0"/>
    <x v="13"/>
    <x v="1"/>
    <x v="2"/>
    <s v="EE_A"/>
    <x v="23"/>
    <n v="0.31515896120488701"/>
    <n v="8.7544155890246306E-2"/>
  </r>
  <r>
    <x v="0"/>
    <x v="13"/>
    <x v="1"/>
    <x v="2"/>
    <s v="EE_A"/>
    <x v="24"/>
    <n v="19.174223581093901"/>
    <n v="5.32617321697054"/>
  </r>
  <r>
    <x v="0"/>
    <x v="13"/>
    <x v="1"/>
    <x v="2"/>
    <s v="EE_A"/>
    <x v="25"/>
    <n v="23.613931806316799"/>
    <n v="6.5594255017546796"/>
  </r>
  <r>
    <x v="0"/>
    <x v="13"/>
    <x v="1"/>
    <x v="2"/>
    <s v="EE_A"/>
    <x v="26"/>
    <n v="30.869217554900899"/>
    <n v="8.5747826541391401"/>
  </r>
  <r>
    <x v="0"/>
    <x v="13"/>
    <x v="1"/>
    <x v="2"/>
    <s v="EE_A"/>
    <x v="27"/>
    <n v="20.163995508318798"/>
    <n v="5.6011098634218799"/>
  </r>
  <r>
    <x v="0"/>
    <x v="13"/>
    <x v="1"/>
    <x v="2"/>
    <s v="EE_Enefit"/>
    <x v="1"/>
    <n v="35.989199999999997"/>
    <n v="9.9969999999999999"/>
  </r>
  <r>
    <x v="0"/>
    <x v="13"/>
    <x v="1"/>
    <x v="2"/>
    <s v="EE_Enefit"/>
    <x v="2"/>
    <n v="48.384"/>
    <n v="13.44"/>
  </r>
  <r>
    <x v="0"/>
    <x v="13"/>
    <x v="1"/>
    <x v="2"/>
    <s v="EE_Enefit"/>
    <x v="0"/>
    <n v="42.692399999999999"/>
    <n v="11.859"/>
  </r>
  <r>
    <x v="0"/>
    <x v="13"/>
    <x v="1"/>
    <x v="2"/>
    <s v="EE_Enefit"/>
    <x v="3"/>
    <n v="51.633543144067197"/>
    <n v="14.342650873352"/>
  </r>
  <r>
    <x v="0"/>
    <x v="13"/>
    <x v="1"/>
    <x v="2"/>
    <s v="EE_Enefit"/>
    <x v="4"/>
    <n v="7.4084241922120802"/>
    <n v="2.0578956089478"/>
  </r>
  <r>
    <x v="0"/>
    <x v="13"/>
    <x v="1"/>
    <x v="2"/>
    <s v="EE_Enefit"/>
    <x v="5"/>
    <n v="7.4084241922120802"/>
    <n v="2.0578956089478"/>
  </r>
  <r>
    <x v="0"/>
    <x v="13"/>
    <x v="1"/>
    <x v="2"/>
    <s v="EE_Enefit"/>
    <x v="6"/>
    <n v="29.476231795214598"/>
    <n v="8.1878421653373898"/>
  </r>
  <r>
    <x v="0"/>
    <x v="13"/>
    <x v="1"/>
    <x v="2"/>
    <s v="EE_Enefit"/>
    <x v="7"/>
    <n v="57.838935220261199"/>
    <n v="16.066370894517"/>
  </r>
  <r>
    <x v="0"/>
    <x v="13"/>
    <x v="1"/>
    <x v="2"/>
    <s v="EE_Enefit"/>
    <x v="8"/>
    <n v="57.838935220261199"/>
    <n v="16.066370894517"/>
  </r>
  <r>
    <x v="0"/>
    <x v="13"/>
    <x v="1"/>
    <x v="2"/>
    <s v="EE_Enefit"/>
    <x v="9"/>
    <n v="44.803327257663497"/>
    <n v="12.4453686826843"/>
  </r>
  <r>
    <x v="0"/>
    <x v="13"/>
    <x v="1"/>
    <x v="2"/>
    <s v="EE_Enefit"/>
    <x v="10"/>
    <n v="54.681226180612903"/>
    <n v="15.1892294946147"/>
  </r>
  <r>
    <x v="0"/>
    <x v="13"/>
    <x v="1"/>
    <x v="2"/>
    <s v="EE_Enefit"/>
    <x v="11"/>
    <n v="3.8806031483015802"/>
    <n v="1.07794531897266"/>
  </r>
  <r>
    <x v="0"/>
    <x v="13"/>
    <x v="1"/>
    <x v="2"/>
    <s v="EE_Enefit"/>
    <x v="12"/>
    <n v="9.7995028997514597E-2"/>
    <n v="2.72208413881985E-2"/>
  </r>
  <r>
    <x v="0"/>
    <x v="13"/>
    <x v="1"/>
    <x v="2"/>
    <s v="EE_Enefit"/>
    <x v="13"/>
    <n v="24.694747307373699"/>
    <n v="6.8596520298260204"/>
  </r>
  <r>
    <x v="0"/>
    <x v="13"/>
    <x v="1"/>
    <x v="2"/>
    <s v="EE_Enefit"/>
    <x v="14"/>
    <n v="24.694747307373699"/>
    <n v="6.8596520298260204"/>
  </r>
  <r>
    <x v="0"/>
    <x v="13"/>
    <x v="1"/>
    <x v="2"/>
    <s v="EE_Enefit"/>
    <x v="15"/>
    <n v="1.65807589063794"/>
    <n v="0.46057663628831802"/>
  </r>
  <r>
    <x v="0"/>
    <x v="13"/>
    <x v="1"/>
    <x v="2"/>
    <s v="EE_Enefit"/>
    <x v="16"/>
    <n v="5.8520524559425198"/>
    <n v="1.6255701266507001"/>
  </r>
  <r>
    <x v="0"/>
    <x v="13"/>
    <x v="1"/>
    <x v="2"/>
    <s v="EE_Enefit"/>
    <x v="17"/>
    <n v="9.1244895875632395"/>
    <n v="2.5345804409897901"/>
  </r>
  <r>
    <x v="0"/>
    <x v="13"/>
    <x v="1"/>
    <x v="2"/>
    <s v="EE_Enefit"/>
    <x v="18"/>
    <n v="24.694747307373699"/>
    <n v="6.8596520298260204"/>
  </r>
  <r>
    <x v="0"/>
    <x v="13"/>
    <x v="1"/>
    <x v="2"/>
    <s v="EE_Enefit"/>
    <x v="19"/>
    <n v="8.1139884009941898"/>
    <n v="2.2538856669428302"/>
  </r>
  <r>
    <x v="0"/>
    <x v="13"/>
    <x v="1"/>
    <x v="2"/>
    <s v="EE_Enefit"/>
    <x v="20"/>
    <n v="20.3765303632313"/>
    <n v="5.6601473231197996"/>
  </r>
  <r>
    <x v="0"/>
    <x v="13"/>
    <x v="1"/>
    <x v="2"/>
    <s v="EE_Enefit"/>
    <x v="21"/>
    <n v="48.384"/>
    <n v="13.44"/>
  </r>
  <r>
    <x v="0"/>
    <x v="13"/>
    <x v="1"/>
    <x v="2"/>
    <s v="EE_Enefit"/>
    <x v="22"/>
    <n v="79.847999999999999"/>
    <n v="22.18"/>
  </r>
  <r>
    <x v="0"/>
    <x v="13"/>
    <x v="1"/>
    <x v="2"/>
    <s v="EE_Enefit"/>
    <x v="23"/>
    <n v="0.31515896120488701"/>
    <n v="8.7544155890246306E-2"/>
  </r>
  <r>
    <x v="0"/>
    <x v="13"/>
    <x v="1"/>
    <x v="2"/>
    <s v="EE_Enefit"/>
    <x v="24"/>
    <n v="19.174223581093901"/>
    <n v="5.32617321697054"/>
  </r>
  <r>
    <x v="0"/>
    <x v="13"/>
    <x v="1"/>
    <x v="2"/>
    <s v="EE_Enefit"/>
    <x v="25"/>
    <n v="23.613931806316799"/>
    <n v="6.5594255017546796"/>
  </r>
  <r>
    <x v="0"/>
    <x v="13"/>
    <x v="1"/>
    <x v="2"/>
    <s v="EE_Enefit"/>
    <x v="26"/>
    <n v="30.869217554900899"/>
    <n v="8.5747826541391401"/>
  </r>
  <r>
    <x v="0"/>
    <x v="13"/>
    <x v="1"/>
    <x v="2"/>
    <s v="EE_Enefit"/>
    <x v="27"/>
    <n v="20.163995508318798"/>
    <n v="5.6011098634218799"/>
  </r>
  <r>
    <x v="0"/>
    <x v="13"/>
    <x v="1"/>
    <x v="2"/>
    <s v="EE_Industry"/>
    <x v="1"/>
    <n v="35.989199999999997"/>
    <n v="9.9969999999999999"/>
  </r>
  <r>
    <x v="0"/>
    <x v="13"/>
    <x v="1"/>
    <x v="2"/>
    <s v="EE_Industry"/>
    <x v="2"/>
    <n v="48.384"/>
    <n v="13.44"/>
  </r>
  <r>
    <x v="0"/>
    <x v="13"/>
    <x v="1"/>
    <x v="2"/>
    <s v="EE_Industry"/>
    <x v="0"/>
    <n v="42.692399999999999"/>
    <n v="11.859"/>
  </r>
  <r>
    <x v="0"/>
    <x v="13"/>
    <x v="1"/>
    <x v="2"/>
    <s v="EE_Industry"/>
    <x v="3"/>
    <n v="51.633543144067197"/>
    <n v="14.342650873352"/>
  </r>
  <r>
    <x v="0"/>
    <x v="13"/>
    <x v="1"/>
    <x v="2"/>
    <s v="EE_Industry"/>
    <x v="4"/>
    <n v="7.4084241922120802"/>
    <n v="2.0578956089478"/>
  </r>
  <r>
    <x v="0"/>
    <x v="13"/>
    <x v="1"/>
    <x v="2"/>
    <s v="EE_Industry"/>
    <x v="5"/>
    <n v="7.4084241922120802"/>
    <n v="2.0578956089478"/>
  </r>
  <r>
    <x v="0"/>
    <x v="13"/>
    <x v="1"/>
    <x v="2"/>
    <s v="EE_Industry"/>
    <x v="6"/>
    <n v="29.476231795214598"/>
    <n v="8.1878421653373898"/>
  </r>
  <r>
    <x v="0"/>
    <x v="13"/>
    <x v="1"/>
    <x v="2"/>
    <s v="EE_Industry"/>
    <x v="7"/>
    <n v="57.838935220261199"/>
    <n v="16.066370894517"/>
  </r>
  <r>
    <x v="0"/>
    <x v="13"/>
    <x v="1"/>
    <x v="2"/>
    <s v="EE_Industry"/>
    <x v="8"/>
    <n v="57.838935220261199"/>
    <n v="16.066370894517"/>
  </r>
  <r>
    <x v="0"/>
    <x v="13"/>
    <x v="1"/>
    <x v="2"/>
    <s v="EE_Industry"/>
    <x v="9"/>
    <n v="44.803327257663497"/>
    <n v="12.4453686826843"/>
  </r>
  <r>
    <x v="0"/>
    <x v="13"/>
    <x v="1"/>
    <x v="2"/>
    <s v="EE_Industry"/>
    <x v="10"/>
    <n v="54.681226180612903"/>
    <n v="15.1892294946147"/>
  </r>
  <r>
    <x v="0"/>
    <x v="13"/>
    <x v="1"/>
    <x v="2"/>
    <s v="EE_Industry"/>
    <x v="11"/>
    <n v="3.8806031483015802"/>
    <n v="1.07794531897266"/>
  </r>
  <r>
    <x v="0"/>
    <x v="13"/>
    <x v="1"/>
    <x v="2"/>
    <s v="EE_Industry"/>
    <x v="12"/>
    <n v="9.7995028997514597E-2"/>
    <n v="2.72208413881985E-2"/>
  </r>
  <r>
    <x v="0"/>
    <x v="13"/>
    <x v="1"/>
    <x v="2"/>
    <s v="EE_Industry"/>
    <x v="13"/>
    <n v="24.694747307373699"/>
    <n v="6.8596520298260204"/>
  </r>
  <r>
    <x v="0"/>
    <x v="13"/>
    <x v="1"/>
    <x v="2"/>
    <s v="EE_Industry"/>
    <x v="14"/>
    <n v="24.694747307373699"/>
    <n v="6.8596520298260204"/>
  </r>
  <r>
    <x v="0"/>
    <x v="13"/>
    <x v="1"/>
    <x v="2"/>
    <s v="EE_Industry"/>
    <x v="15"/>
    <n v="1.65807589063794"/>
    <n v="0.46057663628831802"/>
  </r>
  <r>
    <x v="0"/>
    <x v="13"/>
    <x v="1"/>
    <x v="2"/>
    <s v="EE_Industry"/>
    <x v="16"/>
    <n v="5.8520524559425198"/>
    <n v="1.6255701266507001"/>
  </r>
  <r>
    <x v="0"/>
    <x v="13"/>
    <x v="1"/>
    <x v="2"/>
    <s v="EE_Industry"/>
    <x v="17"/>
    <n v="9.1244895875632395"/>
    <n v="2.5345804409897901"/>
  </r>
  <r>
    <x v="0"/>
    <x v="13"/>
    <x v="1"/>
    <x v="2"/>
    <s v="EE_Industry"/>
    <x v="18"/>
    <n v="24.694747307373699"/>
    <n v="6.8596520298260204"/>
  </r>
  <r>
    <x v="0"/>
    <x v="13"/>
    <x v="1"/>
    <x v="2"/>
    <s v="EE_Industry"/>
    <x v="19"/>
    <n v="8.1139884009941898"/>
    <n v="2.2538856669428302"/>
  </r>
  <r>
    <x v="0"/>
    <x v="13"/>
    <x v="1"/>
    <x v="2"/>
    <s v="EE_Industry"/>
    <x v="20"/>
    <n v="20.3765303632313"/>
    <n v="5.6601473231197996"/>
  </r>
  <r>
    <x v="0"/>
    <x v="13"/>
    <x v="1"/>
    <x v="2"/>
    <s v="EE_Industry"/>
    <x v="21"/>
    <n v="48.384"/>
    <n v="13.44"/>
  </r>
  <r>
    <x v="0"/>
    <x v="13"/>
    <x v="1"/>
    <x v="2"/>
    <s v="EE_Industry"/>
    <x v="22"/>
    <n v="79.847999999999999"/>
    <n v="22.18"/>
  </r>
  <r>
    <x v="0"/>
    <x v="13"/>
    <x v="1"/>
    <x v="2"/>
    <s v="EE_Industry"/>
    <x v="23"/>
    <n v="0.31515896120488701"/>
    <n v="8.7544155890246306E-2"/>
  </r>
  <r>
    <x v="0"/>
    <x v="13"/>
    <x v="1"/>
    <x v="2"/>
    <s v="EE_Industry"/>
    <x v="24"/>
    <n v="19.174223581093901"/>
    <n v="5.32617321697054"/>
  </r>
  <r>
    <x v="0"/>
    <x v="13"/>
    <x v="1"/>
    <x v="2"/>
    <s v="EE_Industry"/>
    <x v="25"/>
    <n v="23.613931806316799"/>
    <n v="6.5594255017546796"/>
  </r>
  <r>
    <x v="0"/>
    <x v="13"/>
    <x v="1"/>
    <x v="2"/>
    <s v="EE_Industry"/>
    <x v="26"/>
    <n v="30.869217554900899"/>
    <n v="8.5747826541391401"/>
  </r>
  <r>
    <x v="0"/>
    <x v="13"/>
    <x v="1"/>
    <x v="2"/>
    <s v="EE_Industry"/>
    <x v="27"/>
    <n v="20.163995508318798"/>
    <n v="5.6011098634218799"/>
  </r>
  <r>
    <x v="0"/>
    <x v="13"/>
    <x v="1"/>
    <x v="2"/>
    <s v="EE_Kohtla_Jarve"/>
    <x v="1"/>
    <n v="35.989199999999997"/>
    <n v="9.9969999999999999"/>
  </r>
  <r>
    <x v="0"/>
    <x v="13"/>
    <x v="1"/>
    <x v="2"/>
    <s v="EE_Kohtla_Jarve"/>
    <x v="2"/>
    <n v="48.384"/>
    <n v="13.44"/>
  </r>
  <r>
    <x v="0"/>
    <x v="13"/>
    <x v="1"/>
    <x v="2"/>
    <s v="EE_Kohtla_Jarve"/>
    <x v="0"/>
    <n v="42.692399999999999"/>
    <n v="11.859"/>
  </r>
  <r>
    <x v="0"/>
    <x v="13"/>
    <x v="1"/>
    <x v="2"/>
    <s v="EE_Kohtla_Jarve"/>
    <x v="3"/>
    <n v="51.633543144067197"/>
    <n v="14.342650873352"/>
  </r>
  <r>
    <x v="0"/>
    <x v="13"/>
    <x v="1"/>
    <x v="2"/>
    <s v="EE_Kohtla_Jarve"/>
    <x v="4"/>
    <n v="7.4084241922120802"/>
    <n v="2.0578956089478"/>
  </r>
  <r>
    <x v="0"/>
    <x v="13"/>
    <x v="1"/>
    <x v="2"/>
    <s v="EE_Kohtla_Jarve"/>
    <x v="5"/>
    <n v="7.4084241922120802"/>
    <n v="2.0578956089478"/>
  </r>
  <r>
    <x v="0"/>
    <x v="13"/>
    <x v="1"/>
    <x v="2"/>
    <s v="EE_Kohtla_Jarve"/>
    <x v="6"/>
    <n v="29.476231795214598"/>
    <n v="8.1878421653373898"/>
  </r>
  <r>
    <x v="0"/>
    <x v="13"/>
    <x v="1"/>
    <x v="2"/>
    <s v="EE_Kohtla_Jarve"/>
    <x v="7"/>
    <n v="57.838935220261199"/>
    <n v="16.066370894517"/>
  </r>
  <r>
    <x v="0"/>
    <x v="13"/>
    <x v="1"/>
    <x v="2"/>
    <s v="EE_Kohtla_Jarve"/>
    <x v="8"/>
    <n v="57.838935220261199"/>
    <n v="16.066370894517"/>
  </r>
  <r>
    <x v="0"/>
    <x v="13"/>
    <x v="1"/>
    <x v="2"/>
    <s v="EE_Kohtla_Jarve"/>
    <x v="9"/>
    <n v="44.803327257663497"/>
    <n v="12.4453686826843"/>
  </r>
  <r>
    <x v="0"/>
    <x v="13"/>
    <x v="1"/>
    <x v="2"/>
    <s v="EE_Kohtla_Jarve"/>
    <x v="10"/>
    <n v="54.681226180612903"/>
    <n v="15.1892294946147"/>
  </r>
  <r>
    <x v="0"/>
    <x v="13"/>
    <x v="1"/>
    <x v="2"/>
    <s v="EE_Kohtla_Jarve"/>
    <x v="11"/>
    <n v="3.8806031483015802"/>
    <n v="1.07794531897266"/>
  </r>
  <r>
    <x v="0"/>
    <x v="13"/>
    <x v="1"/>
    <x v="2"/>
    <s v="EE_Kohtla_Jarve"/>
    <x v="12"/>
    <n v="9.7995028997514597E-2"/>
    <n v="2.72208413881985E-2"/>
  </r>
  <r>
    <x v="0"/>
    <x v="13"/>
    <x v="1"/>
    <x v="2"/>
    <s v="EE_Kohtla_Jarve"/>
    <x v="13"/>
    <n v="24.694747307373699"/>
    <n v="6.8596520298260204"/>
  </r>
  <r>
    <x v="0"/>
    <x v="13"/>
    <x v="1"/>
    <x v="2"/>
    <s v="EE_Kohtla_Jarve"/>
    <x v="14"/>
    <n v="24.694747307373699"/>
    <n v="6.8596520298260204"/>
  </r>
  <r>
    <x v="0"/>
    <x v="13"/>
    <x v="1"/>
    <x v="2"/>
    <s v="EE_Kohtla_Jarve"/>
    <x v="15"/>
    <n v="1.65807589063794"/>
    <n v="0.46057663628831802"/>
  </r>
  <r>
    <x v="0"/>
    <x v="13"/>
    <x v="1"/>
    <x v="2"/>
    <s v="EE_Kohtla_Jarve"/>
    <x v="16"/>
    <n v="5.8520524559425198"/>
    <n v="1.6255701266507001"/>
  </r>
  <r>
    <x v="0"/>
    <x v="13"/>
    <x v="1"/>
    <x v="2"/>
    <s v="EE_Kohtla_Jarve"/>
    <x v="17"/>
    <n v="9.1244895875632395"/>
    <n v="2.5345804409897901"/>
  </r>
  <r>
    <x v="0"/>
    <x v="13"/>
    <x v="1"/>
    <x v="2"/>
    <s v="EE_Kohtla_Jarve"/>
    <x v="18"/>
    <n v="24.694747307373699"/>
    <n v="6.8596520298260204"/>
  </r>
  <r>
    <x v="0"/>
    <x v="13"/>
    <x v="1"/>
    <x v="2"/>
    <s v="EE_Kohtla_Jarve"/>
    <x v="19"/>
    <n v="8.1139884009941898"/>
    <n v="2.2538856669428302"/>
  </r>
  <r>
    <x v="0"/>
    <x v="13"/>
    <x v="1"/>
    <x v="2"/>
    <s v="EE_Kohtla_Jarve"/>
    <x v="20"/>
    <n v="20.3765303632313"/>
    <n v="5.6601473231197996"/>
  </r>
  <r>
    <x v="0"/>
    <x v="13"/>
    <x v="1"/>
    <x v="2"/>
    <s v="EE_Kohtla_Jarve"/>
    <x v="21"/>
    <n v="48.384"/>
    <n v="13.44"/>
  </r>
  <r>
    <x v="0"/>
    <x v="13"/>
    <x v="1"/>
    <x v="2"/>
    <s v="EE_Kohtla_Jarve"/>
    <x v="22"/>
    <n v="79.847999999999999"/>
    <n v="22.18"/>
  </r>
  <r>
    <x v="0"/>
    <x v="13"/>
    <x v="1"/>
    <x v="2"/>
    <s v="EE_Kohtla_Jarve"/>
    <x v="23"/>
    <n v="0.31515896120488701"/>
    <n v="8.7544155890246306E-2"/>
  </r>
  <r>
    <x v="0"/>
    <x v="13"/>
    <x v="1"/>
    <x v="2"/>
    <s v="EE_Kohtla_Jarve"/>
    <x v="24"/>
    <n v="19.174223581093901"/>
    <n v="5.32617321697054"/>
  </r>
  <r>
    <x v="0"/>
    <x v="13"/>
    <x v="1"/>
    <x v="2"/>
    <s v="EE_Kohtla_Jarve"/>
    <x v="25"/>
    <n v="23.613931806316799"/>
    <n v="6.5594255017546796"/>
  </r>
  <r>
    <x v="0"/>
    <x v="13"/>
    <x v="1"/>
    <x v="2"/>
    <s v="EE_Kohtla_Jarve"/>
    <x v="26"/>
    <n v="30.869217554900899"/>
    <n v="8.5747826541391401"/>
  </r>
  <r>
    <x v="0"/>
    <x v="13"/>
    <x v="1"/>
    <x v="2"/>
    <s v="EE_Kohtla_Jarve"/>
    <x v="27"/>
    <n v="20.163995508318798"/>
    <n v="5.6011098634218799"/>
  </r>
  <r>
    <x v="0"/>
    <x v="13"/>
    <x v="1"/>
    <x v="2"/>
    <s v="EE_Narva"/>
    <x v="1"/>
    <n v="35.989199999999997"/>
    <n v="9.9969999999999999"/>
  </r>
  <r>
    <x v="0"/>
    <x v="13"/>
    <x v="1"/>
    <x v="2"/>
    <s v="EE_Narva"/>
    <x v="2"/>
    <n v="48.384"/>
    <n v="13.44"/>
  </r>
  <r>
    <x v="0"/>
    <x v="13"/>
    <x v="1"/>
    <x v="2"/>
    <s v="EE_Narva"/>
    <x v="0"/>
    <n v="42.692399999999999"/>
    <n v="11.859"/>
  </r>
  <r>
    <x v="0"/>
    <x v="13"/>
    <x v="1"/>
    <x v="2"/>
    <s v="EE_Narva"/>
    <x v="3"/>
    <n v="51.633543144067197"/>
    <n v="14.342650873352"/>
  </r>
  <r>
    <x v="0"/>
    <x v="13"/>
    <x v="1"/>
    <x v="2"/>
    <s v="EE_Narva"/>
    <x v="4"/>
    <n v="7.4084241922120802"/>
    <n v="2.0578956089478"/>
  </r>
  <r>
    <x v="0"/>
    <x v="13"/>
    <x v="1"/>
    <x v="2"/>
    <s v="EE_Narva"/>
    <x v="5"/>
    <n v="7.4084241922120802"/>
    <n v="2.0578956089478"/>
  </r>
  <r>
    <x v="0"/>
    <x v="13"/>
    <x v="1"/>
    <x v="2"/>
    <s v="EE_Narva"/>
    <x v="6"/>
    <n v="29.476231795214598"/>
    <n v="8.1878421653373898"/>
  </r>
  <r>
    <x v="0"/>
    <x v="13"/>
    <x v="1"/>
    <x v="2"/>
    <s v="EE_Narva"/>
    <x v="7"/>
    <n v="57.838935220261199"/>
    <n v="16.066370894517"/>
  </r>
  <r>
    <x v="0"/>
    <x v="13"/>
    <x v="1"/>
    <x v="2"/>
    <s v="EE_Narva"/>
    <x v="8"/>
    <n v="57.838935220261199"/>
    <n v="16.066370894517"/>
  </r>
  <r>
    <x v="0"/>
    <x v="13"/>
    <x v="1"/>
    <x v="2"/>
    <s v="EE_Narva"/>
    <x v="9"/>
    <n v="44.803327257663497"/>
    <n v="12.4453686826843"/>
  </r>
  <r>
    <x v="0"/>
    <x v="13"/>
    <x v="1"/>
    <x v="2"/>
    <s v="EE_Narva"/>
    <x v="10"/>
    <n v="54.681226180612903"/>
    <n v="15.1892294946147"/>
  </r>
  <r>
    <x v="0"/>
    <x v="13"/>
    <x v="1"/>
    <x v="2"/>
    <s v="EE_Narva"/>
    <x v="11"/>
    <n v="3.8806031483015802"/>
    <n v="1.07794531897266"/>
  </r>
  <r>
    <x v="0"/>
    <x v="13"/>
    <x v="1"/>
    <x v="2"/>
    <s v="EE_Narva"/>
    <x v="12"/>
    <n v="9.7995028997514597E-2"/>
    <n v="2.72208413881985E-2"/>
  </r>
  <r>
    <x v="0"/>
    <x v="13"/>
    <x v="1"/>
    <x v="2"/>
    <s v="EE_Narva"/>
    <x v="13"/>
    <n v="24.694747307373699"/>
    <n v="6.8596520298260204"/>
  </r>
  <r>
    <x v="0"/>
    <x v="13"/>
    <x v="1"/>
    <x v="2"/>
    <s v="EE_Narva"/>
    <x v="14"/>
    <n v="24.694747307373699"/>
    <n v="6.8596520298260204"/>
  </r>
  <r>
    <x v="0"/>
    <x v="13"/>
    <x v="1"/>
    <x v="2"/>
    <s v="EE_Narva"/>
    <x v="15"/>
    <n v="1.65807589063794"/>
    <n v="0.46057663628831802"/>
  </r>
  <r>
    <x v="0"/>
    <x v="13"/>
    <x v="1"/>
    <x v="2"/>
    <s v="EE_Narva"/>
    <x v="16"/>
    <n v="5.8520524559425198"/>
    <n v="1.6255701266507001"/>
  </r>
  <r>
    <x v="0"/>
    <x v="13"/>
    <x v="1"/>
    <x v="2"/>
    <s v="EE_Narva"/>
    <x v="17"/>
    <n v="9.1244895875632395"/>
    <n v="2.5345804409897901"/>
  </r>
  <r>
    <x v="0"/>
    <x v="13"/>
    <x v="1"/>
    <x v="2"/>
    <s v="EE_Narva"/>
    <x v="18"/>
    <n v="24.694747307373699"/>
    <n v="6.8596520298260204"/>
  </r>
  <r>
    <x v="0"/>
    <x v="13"/>
    <x v="1"/>
    <x v="2"/>
    <s v="EE_Narva"/>
    <x v="19"/>
    <n v="8.1139884009941898"/>
    <n v="2.2538856669428302"/>
  </r>
  <r>
    <x v="0"/>
    <x v="13"/>
    <x v="1"/>
    <x v="2"/>
    <s v="EE_Narva"/>
    <x v="20"/>
    <n v="20.3765303632313"/>
    <n v="5.6601473231197996"/>
  </r>
  <r>
    <x v="0"/>
    <x v="13"/>
    <x v="1"/>
    <x v="2"/>
    <s v="EE_Narva"/>
    <x v="21"/>
    <n v="48.384"/>
    <n v="13.44"/>
  </r>
  <r>
    <x v="0"/>
    <x v="13"/>
    <x v="1"/>
    <x v="2"/>
    <s v="EE_Narva"/>
    <x v="22"/>
    <n v="79.847999999999999"/>
    <n v="22.18"/>
  </r>
  <r>
    <x v="0"/>
    <x v="13"/>
    <x v="1"/>
    <x v="2"/>
    <s v="EE_Narva"/>
    <x v="23"/>
    <n v="0.31515896120488701"/>
    <n v="8.7544155890246306E-2"/>
  </r>
  <r>
    <x v="0"/>
    <x v="13"/>
    <x v="1"/>
    <x v="2"/>
    <s v="EE_Narva"/>
    <x v="24"/>
    <n v="19.174223581093901"/>
    <n v="5.32617321697054"/>
  </r>
  <r>
    <x v="0"/>
    <x v="13"/>
    <x v="1"/>
    <x v="2"/>
    <s v="EE_Narva"/>
    <x v="25"/>
    <n v="23.613931806316799"/>
    <n v="6.5594255017546796"/>
  </r>
  <r>
    <x v="0"/>
    <x v="13"/>
    <x v="1"/>
    <x v="2"/>
    <s v="EE_Narva"/>
    <x v="26"/>
    <n v="30.869217554900899"/>
    <n v="8.5747826541391401"/>
  </r>
  <r>
    <x v="0"/>
    <x v="13"/>
    <x v="1"/>
    <x v="2"/>
    <s v="EE_Narva"/>
    <x v="27"/>
    <n v="20.163995508318798"/>
    <n v="5.6011098634218799"/>
  </r>
  <r>
    <x v="0"/>
    <x v="13"/>
    <x v="1"/>
    <x v="2"/>
    <s v="EE_OFFSHORE"/>
    <x v="1"/>
    <n v="35.989199999999997"/>
    <n v="9.9969999999999999"/>
  </r>
  <r>
    <x v="0"/>
    <x v="13"/>
    <x v="1"/>
    <x v="2"/>
    <s v="EE_OFFSHORE"/>
    <x v="2"/>
    <n v="48.384"/>
    <n v="13.44"/>
  </r>
  <r>
    <x v="0"/>
    <x v="13"/>
    <x v="1"/>
    <x v="2"/>
    <s v="EE_OFFSHORE"/>
    <x v="0"/>
    <n v="42.692399999999999"/>
    <n v="11.859"/>
  </r>
  <r>
    <x v="0"/>
    <x v="13"/>
    <x v="1"/>
    <x v="2"/>
    <s v="EE_OFFSHORE"/>
    <x v="3"/>
    <n v="51.633543144067197"/>
    <n v="14.342650873352"/>
  </r>
  <r>
    <x v="0"/>
    <x v="13"/>
    <x v="1"/>
    <x v="2"/>
    <s v="EE_OFFSHORE"/>
    <x v="4"/>
    <n v="7.4084241922120802"/>
    <n v="2.0578956089478"/>
  </r>
  <r>
    <x v="0"/>
    <x v="13"/>
    <x v="1"/>
    <x v="2"/>
    <s v="EE_OFFSHORE"/>
    <x v="5"/>
    <n v="7.4084241922120802"/>
    <n v="2.0578956089478"/>
  </r>
  <r>
    <x v="0"/>
    <x v="13"/>
    <x v="1"/>
    <x v="2"/>
    <s v="EE_OFFSHORE"/>
    <x v="6"/>
    <n v="29.476231795214598"/>
    <n v="8.1878421653373898"/>
  </r>
  <r>
    <x v="0"/>
    <x v="13"/>
    <x v="1"/>
    <x v="2"/>
    <s v="EE_OFFSHORE"/>
    <x v="7"/>
    <n v="57.838935220261199"/>
    <n v="16.066370894517"/>
  </r>
  <r>
    <x v="0"/>
    <x v="13"/>
    <x v="1"/>
    <x v="2"/>
    <s v="EE_OFFSHORE"/>
    <x v="8"/>
    <n v="57.838935220261199"/>
    <n v="16.066370894517"/>
  </r>
  <r>
    <x v="0"/>
    <x v="13"/>
    <x v="1"/>
    <x v="2"/>
    <s v="EE_OFFSHORE"/>
    <x v="9"/>
    <n v="44.803327257663497"/>
    <n v="12.4453686826843"/>
  </r>
  <r>
    <x v="0"/>
    <x v="13"/>
    <x v="1"/>
    <x v="2"/>
    <s v="EE_OFFSHORE"/>
    <x v="10"/>
    <n v="54.681226180612903"/>
    <n v="15.1892294946147"/>
  </r>
  <r>
    <x v="0"/>
    <x v="13"/>
    <x v="1"/>
    <x v="2"/>
    <s v="EE_OFFSHORE"/>
    <x v="11"/>
    <n v="3.8806031483015802"/>
    <n v="1.07794531897266"/>
  </r>
  <r>
    <x v="0"/>
    <x v="13"/>
    <x v="1"/>
    <x v="2"/>
    <s v="EE_OFFSHORE"/>
    <x v="12"/>
    <n v="9.7995028997514597E-2"/>
    <n v="2.72208413881985E-2"/>
  </r>
  <r>
    <x v="0"/>
    <x v="13"/>
    <x v="1"/>
    <x v="2"/>
    <s v="EE_OFFSHORE"/>
    <x v="13"/>
    <n v="24.694747307373699"/>
    <n v="6.8596520298260204"/>
  </r>
  <r>
    <x v="0"/>
    <x v="13"/>
    <x v="1"/>
    <x v="2"/>
    <s v="EE_OFFSHORE"/>
    <x v="14"/>
    <n v="24.694747307373699"/>
    <n v="6.8596520298260204"/>
  </r>
  <r>
    <x v="0"/>
    <x v="13"/>
    <x v="1"/>
    <x v="2"/>
    <s v="EE_OFFSHORE"/>
    <x v="15"/>
    <n v="1.65807589063794"/>
    <n v="0.46057663628831802"/>
  </r>
  <r>
    <x v="0"/>
    <x v="13"/>
    <x v="1"/>
    <x v="2"/>
    <s v="EE_OFFSHORE"/>
    <x v="16"/>
    <n v="5.8520524559425198"/>
    <n v="1.6255701266507001"/>
  </r>
  <r>
    <x v="0"/>
    <x v="13"/>
    <x v="1"/>
    <x v="2"/>
    <s v="EE_OFFSHORE"/>
    <x v="17"/>
    <n v="9.1244895875632395"/>
    <n v="2.5345804409897901"/>
  </r>
  <r>
    <x v="0"/>
    <x v="13"/>
    <x v="1"/>
    <x v="2"/>
    <s v="EE_OFFSHORE"/>
    <x v="18"/>
    <n v="24.694747307373699"/>
    <n v="6.8596520298260204"/>
  </r>
  <r>
    <x v="0"/>
    <x v="13"/>
    <x v="1"/>
    <x v="2"/>
    <s v="EE_OFFSHORE"/>
    <x v="19"/>
    <n v="8.1139884009941898"/>
    <n v="2.2538856669428302"/>
  </r>
  <r>
    <x v="0"/>
    <x v="13"/>
    <x v="1"/>
    <x v="2"/>
    <s v="EE_OFFSHORE"/>
    <x v="20"/>
    <n v="20.3765303632313"/>
    <n v="5.6601473231197996"/>
  </r>
  <r>
    <x v="0"/>
    <x v="13"/>
    <x v="1"/>
    <x v="2"/>
    <s v="EE_OFFSHORE"/>
    <x v="21"/>
    <n v="48.384"/>
    <n v="13.44"/>
  </r>
  <r>
    <x v="0"/>
    <x v="13"/>
    <x v="1"/>
    <x v="2"/>
    <s v="EE_OFFSHORE"/>
    <x v="22"/>
    <n v="79.847999999999999"/>
    <n v="22.18"/>
  </r>
  <r>
    <x v="0"/>
    <x v="13"/>
    <x v="1"/>
    <x v="2"/>
    <s v="EE_OFFSHORE"/>
    <x v="23"/>
    <n v="0.31515896120488701"/>
    <n v="8.7544155890246306E-2"/>
  </r>
  <r>
    <x v="0"/>
    <x v="13"/>
    <x v="1"/>
    <x v="2"/>
    <s v="EE_OFFSHORE"/>
    <x v="24"/>
    <n v="19.174223581093901"/>
    <n v="5.32617321697054"/>
  </r>
  <r>
    <x v="0"/>
    <x v="13"/>
    <x v="1"/>
    <x v="2"/>
    <s v="EE_OFFSHORE"/>
    <x v="25"/>
    <n v="23.613931806316799"/>
    <n v="6.5594255017546796"/>
  </r>
  <r>
    <x v="0"/>
    <x v="13"/>
    <x v="1"/>
    <x v="2"/>
    <s v="EE_OFFSHORE"/>
    <x v="26"/>
    <n v="30.869217554900899"/>
    <n v="8.5747826541391401"/>
  </r>
  <r>
    <x v="0"/>
    <x v="13"/>
    <x v="1"/>
    <x v="2"/>
    <s v="EE_OFFSHORE"/>
    <x v="27"/>
    <n v="20.163995508318798"/>
    <n v="5.6011098634218799"/>
  </r>
  <r>
    <x v="0"/>
    <x v="13"/>
    <x v="1"/>
    <x v="2"/>
    <s v="EE_Parnu"/>
    <x v="1"/>
    <n v="35.989199999999997"/>
    <n v="9.9969999999999999"/>
  </r>
  <r>
    <x v="0"/>
    <x v="13"/>
    <x v="1"/>
    <x v="2"/>
    <s v="EE_Parnu"/>
    <x v="2"/>
    <n v="48.384"/>
    <n v="13.44"/>
  </r>
  <r>
    <x v="0"/>
    <x v="13"/>
    <x v="1"/>
    <x v="2"/>
    <s v="EE_Parnu"/>
    <x v="0"/>
    <n v="42.692399999999999"/>
    <n v="11.859"/>
  </r>
  <r>
    <x v="0"/>
    <x v="13"/>
    <x v="1"/>
    <x v="2"/>
    <s v="EE_Parnu"/>
    <x v="3"/>
    <n v="51.633543144067197"/>
    <n v="14.342650873352"/>
  </r>
  <r>
    <x v="0"/>
    <x v="13"/>
    <x v="1"/>
    <x v="2"/>
    <s v="EE_Parnu"/>
    <x v="4"/>
    <n v="7.4084241922120802"/>
    <n v="2.0578956089478"/>
  </r>
  <r>
    <x v="0"/>
    <x v="13"/>
    <x v="1"/>
    <x v="2"/>
    <s v="EE_Parnu"/>
    <x v="5"/>
    <n v="7.4084241922120802"/>
    <n v="2.0578956089478"/>
  </r>
  <r>
    <x v="0"/>
    <x v="13"/>
    <x v="1"/>
    <x v="2"/>
    <s v="EE_Parnu"/>
    <x v="6"/>
    <n v="29.476231795214598"/>
    <n v="8.1878421653373898"/>
  </r>
  <r>
    <x v="0"/>
    <x v="13"/>
    <x v="1"/>
    <x v="2"/>
    <s v="EE_Parnu"/>
    <x v="7"/>
    <n v="57.838935220261199"/>
    <n v="16.066370894517"/>
  </r>
  <r>
    <x v="0"/>
    <x v="13"/>
    <x v="1"/>
    <x v="2"/>
    <s v="EE_Parnu"/>
    <x v="8"/>
    <n v="57.838935220261199"/>
    <n v="16.066370894517"/>
  </r>
  <r>
    <x v="0"/>
    <x v="13"/>
    <x v="1"/>
    <x v="2"/>
    <s v="EE_Parnu"/>
    <x v="9"/>
    <n v="44.803327257663497"/>
    <n v="12.4453686826843"/>
  </r>
  <r>
    <x v="0"/>
    <x v="13"/>
    <x v="1"/>
    <x v="2"/>
    <s v="EE_Parnu"/>
    <x v="10"/>
    <n v="54.681226180612903"/>
    <n v="15.1892294946147"/>
  </r>
  <r>
    <x v="0"/>
    <x v="13"/>
    <x v="1"/>
    <x v="2"/>
    <s v="EE_Parnu"/>
    <x v="11"/>
    <n v="3.8806031483015802"/>
    <n v="1.07794531897266"/>
  </r>
  <r>
    <x v="0"/>
    <x v="13"/>
    <x v="1"/>
    <x v="2"/>
    <s v="EE_Parnu"/>
    <x v="12"/>
    <n v="9.7995028997514597E-2"/>
    <n v="2.72208413881985E-2"/>
  </r>
  <r>
    <x v="0"/>
    <x v="13"/>
    <x v="1"/>
    <x v="2"/>
    <s v="EE_Parnu"/>
    <x v="13"/>
    <n v="24.694747307373699"/>
    <n v="6.8596520298260204"/>
  </r>
  <r>
    <x v="0"/>
    <x v="13"/>
    <x v="1"/>
    <x v="2"/>
    <s v="EE_Parnu"/>
    <x v="14"/>
    <n v="24.694747307373699"/>
    <n v="6.8596520298260204"/>
  </r>
  <r>
    <x v="0"/>
    <x v="13"/>
    <x v="1"/>
    <x v="2"/>
    <s v="EE_Parnu"/>
    <x v="15"/>
    <n v="1.65807589063794"/>
    <n v="0.46057663628831802"/>
  </r>
  <r>
    <x v="0"/>
    <x v="13"/>
    <x v="1"/>
    <x v="2"/>
    <s v="EE_Parnu"/>
    <x v="16"/>
    <n v="5.8520524559425198"/>
    <n v="1.6255701266507001"/>
  </r>
  <r>
    <x v="0"/>
    <x v="13"/>
    <x v="1"/>
    <x v="2"/>
    <s v="EE_Parnu"/>
    <x v="17"/>
    <n v="9.1244895875632395"/>
    <n v="2.5345804409897901"/>
  </r>
  <r>
    <x v="0"/>
    <x v="13"/>
    <x v="1"/>
    <x v="2"/>
    <s v="EE_Parnu"/>
    <x v="18"/>
    <n v="24.694747307373699"/>
    <n v="6.8596520298260204"/>
  </r>
  <r>
    <x v="0"/>
    <x v="13"/>
    <x v="1"/>
    <x v="2"/>
    <s v="EE_Parnu"/>
    <x v="19"/>
    <n v="8.1139884009941898"/>
    <n v="2.2538856669428302"/>
  </r>
  <r>
    <x v="0"/>
    <x v="13"/>
    <x v="1"/>
    <x v="2"/>
    <s v="EE_Parnu"/>
    <x v="20"/>
    <n v="20.3765303632313"/>
    <n v="5.6601473231197996"/>
  </r>
  <r>
    <x v="0"/>
    <x v="13"/>
    <x v="1"/>
    <x v="2"/>
    <s v="EE_Parnu"/>
    <x v="21"/>
    <n v="48.384"/>
    <n v="13.44"/>
  </r>
  <r>
    <x v="0"/>
    <x v="13"/>
    <x v="1"/>
    <x v="2"/>
    <s v="EE_Parnu"/>
    <x v="22"/>
    <n v="79.847999999999999"/>
    <n v="22.18"/>
  </r>
  <r>
    <x v="0"/>
    <x v="13"/>
    <x v="1"/>
    <x v="2"/>
    <s v="EE_Parnu"/>
    <x v="23"/>
    <n v="0.31515896120488701"/>
    <n v="8.7544155890246306E-2"/>
  </r>
  <r>
    <x v="0"/>
    <x v="13"/>
    <x v="1"/>
    <x v="2"/>
    <s v="EE_Parnu"/>
    <x v="24"/>
    <n v="19.174223581093901"/>
    <n v="5.32617321697054"/>
  </r>
  <r>
    <x v="0"/>
    <x v="13"/>
    <x v="1"/>
    <x v="2"/>
    <s v="EE_Parnu"/>
    <x v="25"/>
    <n v="23.613931806316799"/>
    <n v="6.5594255017546796"/>
  </r>
  <r>
    <x v="0"/>
    <x v="13"/>
    <x v="1"/>
    <x v="2"/>
    <s v="EE_Parnu"/>
    <x v="26"/>
    <n v="30.869217554900899"/>
    <n v="8.5747826541391401"/>
  </r>
  <r>
    <x v="0"/>
    <x v="13"/>
    <x v="1"/>
    <x v="2"/>
    <s v="EE_Parnu"/>
    <x v="27"/>
    <n v="20.163995508318798"/>
    <n v="5.6011098634218799"/>
  </r>
  <r>
    <x v="0"/>
    <x v="13"/>
    <x v="1"/>
    <x v="2"/>
    <s v="EE_Rural"/>
    <x v="1"/>
    <n v="35.989199999999997"/>
    <n v="9.9969999999999999"/>
  </r>
  <r>
    <x v="0"/>
    <x v="13"/>
    <x v="1"/>
    <x v="2"/>
    <s v="EE_Rural"/>
    <x v="2"/>
    <n v="48.384"/>
    <n v="13.44"/>
  </r>
  <r>
    <x v="0"/>
    <x v="13"/>
    <x v="1"/>
    <x v="2"/>
    <s v="EE_Rural"/>
    <x v="0"/>
    <n v="42.692399999999999"/>
    <n v="11.859"/>
  </r>
  <r>
    <x v="0"/>
    <x v="13"/>
    <x v="1"/>
    <x v="2"/>
    <s v="EE_Rural"/>
    <x v="3"/>
    <n v="51.633543144067197"/>
    <n v="14.342650873352"/>
  </r>
  <r>
    <x v="0"/>
    <x v="13"/>
    <x v="1"/>
    <x v="2"/>
    <s v="EE_Rural"/>
    <x v="4"/>
    <n v="7.4084241922120802"/>
    <n v="2.0578956089478"/>
  </r>
  <r>
    <x v="0"/>
    <x v="13"/>
    <x v="1"/>
    <x v="2"/>
    <s v="EE_Rural"/>
    <x v="5"/>
    <n v="7.4084241922120802"/>
    <n v="2.0578956089478"/>
  </r>
  <r>
    <x v="0"/>
    <x v="13"/>
    <x v="1"/>
    <x v="2"/>
    <s v="EE_Rural"/>
    <x v="6"/>
    <n v="29.476231795214598"/>
    <n v="8.1878421653373898"/>
  </r>
  <r>
    <x v="0"/>
    <x v="13"/>
    <x v="1"/>
    <x v="2"/>
    <s v="EE_Rural"/>
    <x v="7"/>
    <n v="57.838935220261199"/>
    <n v="16.066370894517"/>
  </r>
  <r>
    <x v="0"/>
    <x v="13"/>
    <x v="1"/>
    <x v="2"/>
    <s v="EE_Rural"/>
    <x v="8"/>
    <n v="57.838935220261199"/>
    <n v="16.066370894517"/>
  </r>
  <r>
    <x v="0"/>
    <x v="13"/>
    <x v="1"/>
    <x v="2"/>
    <s v="EE_Rural"/>
    <x v="9"/>
    <n v="44.803327257663497"/>
    <n v="12.4453686826843"/>
  </r>
  <r>
    <x v="0"/>
    <x v="13"/>
    <x v="1"/>
    <x v="2"/>
    <s v="EE_Rural"/>
    <x v="10"/>
    <n v="54.681226180612903"/>
    <n v="15.1892294946147"/>
  </r>
  <r>
    <x v="0"/>
    <x v="13"/>
    <x v="1"/>
    <x v="2"/>
    <s v="EE_Rural"/>
    <x v="11"/>
    <n v="3.8806031483015802"/>
    <n v="1.07794531897266"/>
  </r>
  <r>
    <x v="0"/>
    <x v="13"/>
    <x v="1"/>
    <x v="2"/>
    <s v="EE_Rural"/>
    <x v="12"/>
    <n v="9.7995028997514597E-2"/>
    <n v="2.72208413881985E-2"/>
  </r>
  <r>
    <x v="0"/>
    <x v="13"/>
    <x v="1"/>
    <x v="2"/>
    <s v="EE_Rural"/>
    <x v="13"/>
    <n v="24.694747307373699"/>
    <n v="6.8596520298260204"/>
  </r>
  <r>
    <x v="0"/>
    <x v="13"/>
    <x v="1"/>
    <x v="2"/>
    <s v="EE_Rural"/>
    <x v="14"/>
    <n v="24.694747307373699"/>
    <n v="6.8596520298260204"/>
  </r>
  <r>
    <x v="0"/>
    <x v="13"/>
    <x v="1"/>
    <x v="2"/>
    <s v="EE_Rural"/>
    <x v="15"/>
    <n v="1.65807589063794"/>
    <n v="0.46057663628831802"/>
  </r>
  <r>
    <x v="0"/>
    <x v="13"/>
    <x v="1"/>
    <x v="2"/>
    <s v="EE_Rural"/>
    <x v="16"/>
    <n v="5.8520524559425198"/>
    <n v="1.6255701266507001"/>
  </r>
  <r>
    <x v="0"/>
    <x v="13"/>
    <x v="1"/>
    <x v="2"/>
    <s v="EE_Rural"/>
    <x v="17"/>
    <n v="9.1244895875632395"/>
    <n v="2.5345804409897901"/>
  </r>
  <r>
    <x v="0"/>
    <x v="13"/>
    <x v="1"/>
    <x v="2"/>
    <s v="EE_Rural"/>
    <x v="18"/>
    <n v="24.694747307373699"/>
    <n v="6.8596520298260204"/>
  </r>
  <r>
    <x v="0"/>
    <x v="13"/>
    <x v="1"/>
    <x v="2"/>
    <s v="EE_Rural"/>
    <x v="19"/>
    <n v="8.1139884009941898"/>
    <n v="2.2538856669428302"/>
  </r>
  <r>
    <x v="0"/>
    <x v="13"/>
    <x v="1"/>
    <x v="2"/>
    <s v="EE_Rural"/>
    <x v="20"/>
    <n v="20.3765303632313"/>
    <n v="5.6601473231197996"/>
  </r>
  <r>
    <x v="0"/>
    <x v="13"/>
    <x v="1"/>
    <x v="2"/>
    <s v="EE_Rural"/>
    <x v="21"/>
    <n v="48.384"/>
    <n v="13.44"/>
  </r>
  <r>
    <x v="0"/>
    <x v="13"/>
    <x v="1"/>
    <x v="2"/>
    <s v="EE_Rural"/>
    <x v="22"/>
    <n v="79.847999999999999"/>
    <n v="22.18"/>
  </r>
  <r>
    <x v="0"/>
    <x v="13"/>
    <x v="1"/>
    <x v="2"/>
    <s v="EE_Rural"/>
    <x v="23"/>
    <n v="0.31515896120488701"/>
    <n v="8.7544155890246306E-2"/>
  </r>
  <r>
    <x v="0"/>
    <x v="13"/>
    <x v="1"/>
    <x v="2"/>
    <s v="EE_Rural"/>
    <x v="24"/>
    <n v="19.174223581093901"/>
    <n v="5.32617321697054"/>
  </r>
  <r>
    <x v="0"/>
    <x v="13"/>
    <x v="1"/>
    <x v="2"/>
    <s v="EE_Rural"/>
    <x v="25"/>
    <n v="23.613931806316799"/>
    <n v="6.5594255017546796"/>
  </r>
  <r>
    <x v="0"/>
    <x v="13"/>
    <x v="1"/>
    <x v="2"/>
    <s v="EE_Rural"/>
    <x v="26"/>
    <n v="30.869217554900899"/>
    <n v="8.5747826541391401"/>
  </r>
  <r>
    <x v="0"/>
    <x v="13"/>
    <x v="1"/>
    <x v="2"/>
    <s v="EE_Rural"/>
    <x v="27"/>
    <n v="20.163995508318798"/>
    <n v="5.6011098634218799"/>
  </r>
  <r>
    <x v="0"/>
    <x v="13"/>
    <x v="1"/>
    <x v="2"/>
    <s v="EE_Sillamae"/>
    <x v="1"/>
    <n v="35.989199999999997"/>
    <n v="9.9969999999999999"/>
  </r>
  <r>
    <x v="0"/>
    <x v="13"/>
    <x v="1"/>
    <x v="2"/>
    <s v="EE_Sillamae"/>
    <x v="2"/>
    <n v="48.384"/>
    <n v="13.44"/>
  </r>
  <r>
    <x v="0"/>
    <x v="13"/>
    <x v="1"/>
    <x v="2"/>
    <s v="EE_Sillamae"/>
    <x v="0"/>
    <n v="42.692399999999999"/>
    <n v="11.859"/>
  </r>
  <r>
    <x v="0"/>
    <x v="13"/>
    <x v="1"/>
    <x v="2"/>
    <s v="EE_Sillamae"/>
    <x v="3"/>
    <n v="51.633543144067197"/>
    <n v="14.342650873352"/>
  </r>
  <r>
    <x v="0"/>
    <x v="13"/>
    <x v="1"/>
    <x v="2"/>
    <s v="EE_Sillamae"/>
    <x v="4"/>
    <n v="7.4084241922120802"/>
    <n v="2.0578956089478"/>
  </r>
  <r>
    <x v="0"/>
    <x v="13"/>
    <x v="1"/>
    <x v="2"/>
    <s v="EE_Sillamae"/>
    <x v="5"/>
    <n v="7.4084241922120802"/>
    <n v="2.0578956089478"/>
  </r>
  <r>
    <x v="0"/>
    <x v="13"/>
    <x v="1"/>
    <x v="2"/>
    <s v="EE_Sillamae"/>
    <x v="6"/>
    <n v="29.476231795214598"/>
    <n v="8.1878421653373898"/>
  </r>
  <r>
    <x v="0"/>
    <x v="13"/>
    <x v="1"/>
    <x v="2"/>
    <s v="EE_Sillamae"/>
    <x v="7"/>
    <n v="57.838935220261199"/>
    <n v="16.066370894517"/>
  </r>
  <r>
    <x v="0"/>
    <x v="13"/>
    <x v="1"/>
    <x v="2"/>
    <s v="EE_Sillamae"/>
    <x v="8"/>
    <n v="57.838935220261199"/>
    <n v="16.066370894517"/>
  </r>
  <r>
    <x v="0"/>
    <x v="13"/>
    <x v="1"/>
    <x v="2"/>
    <s v="EE_Sillamae"/>
    <x v="9"/>
    <n v="44.803327257663497"/>
    <n v="12.4453686826843"/>
  </r>
  <r>
    <x v="0"/>
    <x v="13"/>
    <x v="1"/>
    <x v="2"/>
    <s v="EE_Sillamae"/>
    <x v="10"/>
    <n v="54.681226180612903"/>
    <n v="15.1892294946147"/>
  </r>
  <r>
    <x v="0"/>
    <x v="13"/>
    <x v="1"/>
    <x v="2"/>
    <s v="EE_Sillamae"/>
    <x v="11"/>
    <n v="3.8806031483015802"/>
    <n v="1.07794531897266"/>
  </r>
  <r>
    <x v="0"/>
    <x v="13"/>
    <x v="1"/>
    <x v="2"/>
    <s v="EE_Sillamae"/>
    <x v="12"/>
    <n v="9.7995028997514597E-2"/>
    <n v="2.72208413881985E-2"/>
  </r>
  <r>
    <x v="0"/>
    <x v="13"/>
    <x v="1"/>
    <x v="2"/>
    <s v="EE_Sillamae"/>
    <x v="13"/>
    <n v="24.694747307373699"/>
    <n v="6.8596520298260204"/>
  </r>
  <r>
    <x v="0"/>
    <x v="13"/>
    <x v="1"/>
    <x v="2"/>
    <s v="EE_Sillamae"/>
    <x v="14"/>
    <n v="24.694747307373699"/>
    <n v="6.8596520298260204"/>
  </r>
  <r>
    <x v="0"/>
    <x v="13"/>
    <x v="1"/>
    <x v="2"/>
    <s v="EE_Sillamae"/>
    <x v="15"/>
    <n v="1.65807589063794"/>
    <n v="0.46057663628831802"/>
  </r>
  <r>
    <x v="0"/>
    <x v="13"/>
    <x v="1"/>
    <x v="2"/>
    <s v="EE_Sillamae"/>
    <x v="16"/>
    <n v="5.8520524559425198"/>
    <n v="1.6255701266507001"/>
  </r>
  <r>
    <x v="0"/>
    <x v="13"/>
    <x v="1"/>
    <x v="2"/>
    <s v="EE_Sillamae"/>
    <x v="17"/>
    <n v="9.1244895875632395"/>
    <n v="2.5345804409897901"/>
  </r>
  <r>
    <x v="0"/>
    <x v="13"/>
    <x v="1"/>
    <x v="2"/>
    <s v="EE_Sillamae"/>
    <x v="18"/>
    <n v="24.694747307373699"/>
    <n v="6.8596520298260204"/>
  </r>
  <r>
    <x v="0"/>
    <x v="13"/>
    <x v="1"/>
    <x v="2"/>
    <s v="EE_Sillamae"/>
    <x v="19"/>
    <n v="8.1139884009941898"/>
    <n v="2.2538856669428302"/>
  </r>
  <r>
    <x v="0"/>
    <x v="13"/>
    <x v="1"/>
    <x v="2"/>
    <s v="EE_Sillamae"/>
    <x v="20"/>
    <n v="20.3765303632313"/>
    <n v="5.6601473231197996"/>
  </r>
  <r>
    <x v="0"/>
    <x v="13"/>
    <x v="1"/>
    <x v="2"/>
    <s v="EE_Sillamae"/>
    <x v="21"/>
    <n v="48.384"/>
    <n v="13.44"/>
  </r>
  <r>
    <x v="0"/>
    <x v="13"/>
    <x v="1"/>
    <x v="2"/>
    <s v="EE_Sillamae"/>
    <x v="22"/>
    <n v="79.847999999999999"/>
    <n v="22.18"/>
  </r>
  <r>
    <x v="0"/>
    <x v="13"/>
    <x v="1"/>
    <x v="2"/>
    <s v="EE_Sillamae"/>
    <x v="23"/>
    <n v="0.31515896120488701"/>
    <n v="8.7544155890246306E-2"/>
  </r>
  <r>
    <x v="0"/>
    <x v="13"/>
    <x v="1"/>
    <x v="2"/>
    <s v="EE_Sillamae"/>
    <x v="24"/>
    <n v="19.174223581093901"/>
    <n v="5.32617321697054"/>
  </r>
  <r>
    <x v="0"/>
    <x v="13"/>
    <x v="1"/>
    <x v="2"/>
    <s v="EE_Sillamae"/>
    <x v="25"/>
    <n v="23.613931806316799"/>
    <n v="6.5594255017546796"/>
  </r>
  <r>
    <x v="0"/>
    <x v="13"/>
    <x v="1"/>
    <x v="2"/>
    <s v="EE_Sillamae"/>
    <x v="26"/>
    <n v="30.869217554900899"/>
    <n v="8.5747826541391401"/>
  </r>
  <r>
    <x v="0"/>
    <x v="13"/>
    <x v="1"/>
    <x v="2"/>
    <s v="EE_Sillamae"/>
    <x v="27"/>
    <n v="20.163995508318798"/>
    <n v="5.6011098634218799"/>
  </r>
  <r>
    <x v="0"/>
    <x v="13"/>
    <x v="1"/>
    <x v="2"/>
    <s v="EE_Tallinn"/>
    <x v="1"/>
    <n v="35.989199999999997"/>
    <n v="9.9969999999999999"/>
  </r>
  <r>
    <x v="0"/>
    <x v="13"/>
    <x v="1"/>
    <x v="2"/>
    <s v="EE_Tallinn"/>
    <x v="2"/>
    <n v="48.384"/>
    <n v="13.44"/>
  </r>
  <r>
    <x v="0"/>
    <x v="13"/>
    <x v="1"/>
    <x v="2"/>
    <s v="EE_Tallinn"/>
    <x v="0"/>
    <n v="42.692399999999999"/>
    <n v="11.859"/>
  </r>
  <r>
    <x v="0"/>
    <x v="13"/>
    <x v="1"/>
    <x v="2"/>
    <s v="EE_Tallinn"/>
    <x v="3"/>
    <n v="51.633543144067197"/>
    <n v="14.342650873352"/>
  </r>
  <r>
    <x v="0"/>
    <x v="13"/>
    <x v="1"/>
    <x v="2"/>
    <s v="EE_Tallinn"/>
    <x v="4"/>
    <n v="7.4084241922120802"/>
    <n v="2.0578956089478"/>
  </r>
  <r>
    <x v="0"/>
    <x v="13"/>
    <x v="1"/>
    <x v="2"/>
    <s v="EE_Tallinn"/>
    <x v="5"/>
    <n v="7.4084241922120802"/>
    <n v="2.0578956089478"/>
  </r>
  <r>
    <x v="0"/>
    <x v="13"/>
    <x v="1"/>
    <x v="2"/>
    <s v="EE_Tallinn"/>
    <x v="6"/>
    <n v="29.476231795214598"/>
    <n v="8.1878421653373898"/>
  </r>
  <r>
    <x v="0"/>
    <x v="13"/>
    <x v="1"/>
    <x v="2"/>
    <s v="EE_Tallinn"/>
    <x v="7"/>
    <n v="57.838935220261199"/>
    <n v="16.066370894517"/>
  </r>
  <r>
    <x v="0"/>
    <x v="13"/>
    <x v="1"/>
    <x v="2"/>
    <s v="EE_Tallinn"/>
    <x v="8"/>
    <n v="57.838935220261199"/>
    <n v="16.066370894517"/>
  </r>
  <r>
    <x v="0"/>
    <x v="13"/>
    <x v="1"/>
    <x v="2"/>
    <s v="EE_Tallinn"/>
    <x v="9"/>
    <n v="44.803327257663497"/>
    <n v="12.4453686826843"/>
  </r>
  <r>
    <x v="0"/>
    <x v="13"/>
    <x v="1"/>
    <x v="2"/>
    <s v="EE_Tallinn"/>
    <x v="10"/>
    <n v="54.681226180612903"/>
    <n v="15.1892294946147"/>
  </r>
  <r>
    <x v="0"/>
    <x v="13"/>
    <x v="1"/>
    <x v="2"/>
    <s v="EE_Tallinn"/>
    <x v="11"/>
    <n v="3.8806031483015802"/>
    <n v="1.07794531897266"/>
  </r>
  <r>
    <x v="0"/>
    <x v="13"/>
    <x v="1"/>
    <x v="2"/>
    <s v="EE_Tallinn"/>
    <x v="12"/>
    <n v="9.7995028997514597E-2"/>
    <n v="2.72208413881985E-2"/>
  </r>
  <r>
    <x v="0"/>
    <x v="13"/>
    <x v="1"/>
    <x v="2"/>
    <s v="EE_Tallinn"/>
    <x v="13"/>
    <n v="24.694747307373699"/>
    <n v="6.8596520298260204"/>
  </r>
  <r>
    <x v="0"/>
    <x v="13"/>
    <x v="1"/>
    <x v="2"/>
    <s v="EE_Tallinn"/>
    <x v="14"/>
    <n v="24.694747307373699"/>
    <n v="6.8596520298260204"/>
  </r>
  <r>
    <x v="0"/>
    <x v="13"/>
    <x v="1"/>
    <x v="2"/>
    <s v="EE_Tallinn"/>
    <x v="15"/>
    <n v="1.65807589063794"/>
    <n v="0.46057663628831802"/>
  </r>
  <r>
    <x v="0"/>
    <x v="13"/>
    <x v="1"/>
    <x v="2"/>
    <s v="EE_Tallinn"/>
    <x v="16"/>
    <n v="5.8520524559425198"/>
    <n v="1.6255701266507001"/>
  </r>
  <r>
    <x v="0"/>
    <x v="13"/>
    <x v="1"/>
    <x v="2"/>
    <s v="EE_Tallinn"/>
    <x v="17"/>
    <n v="9.1244895875632395"/>
    <n v="2.5345804409897901"/>
  </r>
  <r>
    <x v="0"/>
    <x v="13"/>
    <x v="1"/>
    <x v="2"/>
    <s v="EE_Tallinn"/>
    <x v="18"/>
    <n v="24.694747307373699"/>
    <n v="6.8596520298260204"/>
  </r>
  <r>
    <x v="0"/>
    <x v="13"/>
    <x v="1"/>
    <x v="2"/>
    <s v="EE_Tallinn"/>
    <x v="19"/>
    <n v="8.1139884009941898"/>
    <n v="2.2538856669428302"/>
  </r>
  <r>
    <x v="0"/>
    <x v="13"/>
    <x v="1"/>
    <x v="2"/>
    <s v="EE_Tallinn"/>
    <x v="20"/>
    <n v="20.3765303632313"/>
    <n v="5.6601473231197996"/>
  </r>
  <r>
    <x v="0"/>
    <x v="13"/>
    <x v="1"/>
    <x v="2"/>
    <s v="EE_Tallinn"/>
    <x v="21"/>
    <n v="48.384"/>
    <n v="13.44"/>
  </r>
  <r>
    <x v="0"/>
    <x v="13"/>
    <x v="1"/>
    <x v="2"/>
    <s v="EE_Tallinn"/>
    <x v="22"/>
    <n v="79.847999999999999"/>
    <n v="22.18"/>
  </r>
  <r>
    <x v="0"/>
    <x v="13"/>
    <x v="1"/>
    <x v="2"/>
    <s v="EE_Tallinn"/>
    <x v="23"/>
    <n v="0.31515896120488701"/>
    <n v="8.7544155890246306E-2"/>
  </r>
  <r>
    <x v="0"/>
    <x v="13"/>
    <x v="1"/>
    <x v="2"/>
    <s v="EE_Tallinn"/>
    <x v="24"/>
    <n v="19.174223581093901"/>
    <n v="5.32617321697054"/>
  </r>
  <r>
    <x v="0"/>
    <x v="13"/>
    <x v="1"/>
    <x v="2"/>
    <s v="EE_Tallinn"/>
    <x v="25"/>
    <n v="23.613931806316799"/>
    <n v="6.5594255017546796"/>
  </r>
  <r>
    <x v="0"/>
    <x v="13"/>
    <x v="1"/>
    <x v="2"/>
    <s v="EE_Tallinn"/>
    <x v="26"/>
    <n v="30.869217554900899"/>
    <n v="8.5747826541391401"/>
  </r>
  <r>
    <x v="0"/>
    <x v="13"/>
    <x v="1"/>
    <x v="2"/>
    <s v="EE_Tallinn"/>
    <x v="27"/>
    <n v="20.163995508318798"/>
    <n v="5.6011098634218799"/>
  </r>
  <r>
    <x v="0"/>
    <x v="13"/>
    <x v="1"/>
    <x v="2"/>
    <s v="EE_Tartu"/>
    <x v="1"/>
    <n v="35.989199999999997"/>
    <n v="9.9969999999999999"/>
  </r>
  <r>
    <x v="0"/>
    <x v="13"/>
    <x v="1"/>
    <x v="2"/>
    <s v="EE_Tartu"/>
    <x v="2"/>
    <n v="48.384"/>
    <n v="13.44"/>
  </r>
  <r>
    <x v="0"/>
    <x v="13"/>
    <x v="1"/>
    <x v="2"/>
    <s v="EE_Tartu"/>
    <x v="0"/>
    <n v="42.692399999999999"/>
    <n v="11.859"/>
  </r>
  <r>
    <x v="0"/>
    <x v="13"/>
    <x v="1"/>
    <x v="2"/>
    <s v="EE_Tartu"/>
    <x v="3"/>
    <n v="51.633543144067197"/>
    <n v="14.342650873352"/>
  </r>
  <r>
    <x v="0"/>
    <x v="13"/>
    <x v="1"/>
    <x v="2"/>
    <s v="EE_Tartu"/>
    <x v="4"/>
    <n v="7.4084241922120802"/>
    <n v="2.0578956089478"/>
  </r>
  <r>
    <x v="0"/>
    <x v="13"/>
    <x v="1"/>
    <x v="2"/>
    <s v="EE_Tartu"/>
    <x v="5"/>
    <n v="7.4084241922120802"/>
    <n v="2.0578956089478"/>
  </r>
  <r>
    <x v="0"/>
    <x v="13"/>
    <x v="1"/>
    <x v="2"/>
    <s v="EE_Tartu"/>
    <x v="6"/>
    <n v="29.476231795214598"/>
    <n v="8.1878421653373898"/>
  </r>
  <r>
    <x v="0"/>
    <x v="13"/>
    <x v="1"/>
    <x v="2"/>
    <s v="EE_Tartu"/>
    <x v="7"/>
    <n v="57.838935220261199"/>
    <n v="16.066370894517"/>
  </r>
  <r>
    <x v="0"/>
    <x v="13"/>
    <x v="1"/>
    <x v="2"/>
    <s v="EE_Tartu"/>
    <x v="8"/>
    <n v="57.838935220261199"/>
    <n v="16.066370894517"/>
  </r>
  <r>
    <x v="0"/>
    <x v="13"/>
    <x v="1"/>
    <x v="2"/>
    <s v="EE_Tartu"/>
    <x v="9"/>
    <n v="44.803327257663497"/>
    <n v="12.4453686826843"/>
  </r>
  <r>
    <x v="0"/>
    <x v="13"/>
    <x v="1"/>
    <x v="2"/>
    <s v="EE_Tartu"/>
    <x v="10"/>
    <n v="54.681226180612903"/>
    <n v="15.1892294946147"/>
  </r>
  <r>
    <x v="0"/>
    <x v="13"/>
    <x v="1"/>
    <x v="2"/>
    <s v="EE_Tartu"/>
    <x v="11"/>
    <n v="3.8806031483015802"/>
    <n v="1.07794531897266"/>
  </r>
  <r>
    <x v="0"/>
    <x v="13"/>
    <x v="1"/>
    <x v="2"/>
    <s v="EE_Tartu"/>
    <x v="12"/>
    <n v="9.7995028997514597E-2"/>
    <n v="2.72208413881985E-2"/>
  </r>
  <r>
    <x v="0"/>
    <x v="13"/>
    <x v="1"/>
    <x v="2"/>
    <s v="EE_Tartu"/>
    <x v="13"/>
    <n v="24.694747307373699"/>
    <n v="6.8596520298260204"/>
  </r>
  <r>
    <x v="0"/>
    <x v="13"/>
    <x v="1"/>
    <x v="2"/>
    <s v="EE_Tartu"/>
    <x v="14"/>
    <n v="24.694747307373699"/>
    <n v="6.8596520298260204"/>
  </r>
  <r>
    <x v="0"/>
    <x v="13"/>
    <x v="1"/>
    <x v="2"/>
    <s v="EE_Tartu"/>
    <x v="15"/>
    <n v="1.65807589063794"/>
    <n v="0.46057663628831802"/>
  </r>
  <r>
    <x v="0"/>
    <x v="13"/>
    <x v="1"/>
    <x v="2"/>
    <s v="EE_Tartu"/>
    <x v="16"/>
    <n v="5.8520524559425198"/>
    <n v="1.6255701266507001"/>
  </r>
  <r>
    <x v="0"/>
    <x v="13"/>
    <x v="1"/>
    <x v="2"/>
    <s v="EE_Tartu"/>
    <x v="17"/>
    <n v="9.1244895875632395"/>
    <n v="2.5345804409897901"/>
  </r>
  <r>
    <x v="0"/>
    <x v="13"/>
    <x v="1"/>
    <x v="2"/>
    <s v="EE_Tartu"/>
    <x v="18"/>
    <n v="24.694747307373699"/>
    <n v="6.8596520298260204"/>
  </r>
  <r>
    <x v="0"/>
    <x v="13"/>
    <x v="1"/>
    <x v="2"/>
    <s v="EE_Tartu"/>
    <x v="19"/>
    <n v="8.1139884009941898"/>
    <n v="2.2538856669428302"/>
  </r>
  <r>
    <x v="0"/>
    <x v="13"/>
    <x v="1"/>
    <x v="2"/>
    <s v="EE_Tartu"/>
    <x v="20"/>
    <n v="20.3765303632313"/>
    <n v="5.6601473231197996"/>
  </r>
  <r>
    <x v="0"/>
    <x v="13"/>
    <x v="1"/>
    <x v="2"/>
    <s v="EE_Tartu"/>
    <x v="21"/>
    <n v="48.384"/>
    <n v="13.44"/>
  </r>
  <r>
    <x v="0"/>
    <x v="13"/>
    <x v="1"/>
    <x v="2"/>
    <s v="EE_Tartu"/>
    <x v="22"/>
    <n v="79.847999999999999"/>
    <n v="22.18"/>
  </r>
  <r>
    <x v="0"/>
    <x v="13"/>
    <x v="1"/>
    <x v="2"/>
    <s v="EE_Tartu"/>
    <x v="23"/>
    <n v="0.31515896120488701"/>
    <n v="8.7544155890246306E-2"/>
  </r>
  <r>
    <x v="0"/>
    <x v="13"/>
    <x v="1"/>
    <x v="2"/>
    <s v="EE_Tartu"/>
    <x v="24"/>
    <n v="19.174223581093901"/>
    <n v="5.32617321697054"/>
  </r>
  <r>
    <x v="0"/>
    <x v="13"/>
    <x v="1"/>
    <x v="2"/>
    <s v="EE_Tartu"/>
    <x v="25"/>
    <n v="23.613931806316799"/>
    <n v="6.5594255017546796"/>
  </r>
  <r>
    <x v="0"/>
    <x v="13"/>
    <x v="1"/>
    <x v="2"/>
    <s v="EE_Tartu"/>
    <x v="26"/>
    <n v="30.869217554900899"/>
    <n v="8.5747826541391401"/>
  </r>
  <r>
    <x v="0"/>
    <x v="13"/>
    <x v="1"/>
    <x v="2"/>
    <s v="EE_Tartu"/>
    <x v="27"/>
    <n v="20.163995508318798"/>
    <n v="5.6011098634218799"/>
  </r>
  <r>
    <x v="0"/>
    <x v="13"/>
    <x v="1"/>
    <x v="2"/>
    <s v="EE_Urban"/>
    <x v="1"/>
    <n v="35.989199999999997"/>
    <n v="9.9969999999999999"/>
  </r>
  <r>
    <x v="0"/>
    <x v="13"/>
    <x v="1"/>
    <x v="2"/>
    <s v="EE_Urban"/>
    <x v="2"/>
    <n v="48.384"/>
    <n v="13.44"/>
  </r>
  <r>
    <x v="0"/>
    <x v="13"/>
    <x v="1"/>
    <x v="2"/>
    <s v="EE_Urban"/>
    <x v="0"/>
    <n v="42.692399999999999"/>
    <n v="11.859"/>
  </r>
  <r>
    <x v="0"/>
    <x v="13"/>
    <x v="1"/>
    <x v="2"/>
    <s v="EE_Urban"/>
    <x v="3"/>
    <n v="51.633543144067197"/>
    <n v="14.342650873352"/>
  </r>
  <r>
    <x v="0"/>
    <x v="13"/>
    <x v="1"/>
    <x v="2"/>
    <s v="EE_Urban"/>
    <x v="4"/>
    <n v="7.4084241922120802"/>
    <n v="2.0578956089478"/>
  </r>
  <r>
    <x v="0"/>
    <x v="13"/>
    <x v="1"/>
    <x v="2"/>
    <s v="EE_Urban"/>
    <x v="5"/>
    <n v="7.4084241922120802"/>
    <n v="2.0578956089478"/>
  </r>
  <r>
    <x v="0"/>
    <x v="13"/>
    <x v="1"/>
    <x v="2"/>
    <s v="EE_Urban"/>
    <x v="6"/>
    <n v="29.476231795214598"/>
    <n v="8.1878421653373898"/>
  </r>
  <r>
    <x v="0"/>
    <x v="13"/>
    <x v="1"/>
    <x v="2"/>
    <s v="EE_Urban"/>
    <x v="7"/>
    <n v="57.838935220261199"/>
    <n v="16.066370894517"/>
  </r>
  <r>
    <x v="0"/>
    <x v="13"/>
    <x v="1"/>
    <x v="2"/>
    <s v="EE_Urban"/>
    <x v="8"/>
    <n v="57.838935220261199"/>
    <n v="16.066370894517"/>
  </r>
  <r>
    <x v="0"/>
    <x v="13"/>
    <x v="1"/>
    <x v="2"/>
    <s v="EE_Urban"/>
    <x v="9"/>
    <n v="44.803327257663497"/>
    <n v="12.4453686826843"/>
  </r>
  <r>
    <x v="0"/>
    <x v="13"/>
    <x v="1"/>
    <x v="2"/>
    <s v="EE_Urban"/>
    <x v="10"/>
    <n v="54.681226180612903"/>
    <n v="15.1892294946147"/>
  </r>
  <r>
    <x v="0"/>
    <x v="13"/>
    <x v="1"/>
    <x v="2"/>
    <s v="EE_Urban"/>
    <x v="11"/>
    <n v="3.8806031483015802"/>
    <n v="1.07794531897266"/>
  </r>
  <r>
    <x v="0"/>
    <x v="13"/>
    <x v="1"/>
    <x v="2"/>
    <s v="EE_Urban"/>
    <x v="12"/>
    <n v="9.7995028997514597E-2"/>
    <n v="2.72208413881985E-2"/>
  </r>
  <r>
    <x v="0"/>
    <x v="13"/>
    <x v="1"/>
    <x v="2"/>
    <s v="EE_Urban"/>
    <x v="13"/>
    <n v="24.694747307373699"/>
    <n v="6.8596520298260204"/>
  </r>
  <r>
    <x v="0"/>
    <x v="13"/>
    <x v="1"/>
    <x v="2"/>
    <s v="EE_Urban"/>
    <x v="14"/>
    <n v="24.694747307373699"/>
    <n v="6.8596520298260204"/>
  </r>
  <r>
    <x v="0"/>
    <x v="13"/>
    <x v="1"/>
    <x v="2"/>
    <s v="EE_Urban"/>
    <x v="15"/>
    <n v="1.65807589063794"/>
    <n v="0.46057663628831802"/>
  </r>
  <r>
    <x v="0"/>
    <x v="13"/>
    <x v="1"/>
    <x v="2"/>
    <s v="EE_Urban"/>
    <x v="16"/>
    <n v="5.8520524559425198"/>
    <n v="1.6255701266507001"/>
  </r>
  <r>
    <x v="0"/>
    <x v="13"/>
    <x v="1"/>
    <x v="2"/>
    <s v="EE_Urban"/>
    <x v="17"/>
    <n v="9.1244895875632395"/>
    <n v="2.5345804409897901"/>
  </r>
  <r>
    <x v="0"/>
    <x v="13"/>
    <x v="1"/>
    <x v="2"/>
    <s v="EE_Urban"/>
    <x v="18"/>
    <n v="24.694747307373699"/>
    <n v="6.8596520298260204"/>
  </r>
  <r>
    <x v="0"/>
    <x v="13"/>
    <x v="1"/>
    <x v="2"/>
    <s v="EE_Urban"/>
    <x v="19"/>
    <n v="8.1139884009941898"/>
    <n v="2.2538856669428302"/>
  </r>
  <r>
    <x v="0"/>
    <x v="13"/>
    <x v="1"/>
    <x v="2"/>
    <s v="EE_Urban"/>
    <x v="20"/>
    <n v="20.3765303632313"/>
    <n v="5.6601473231197996"/>
  </r>
  <r>
    <x v="0"/>
    <x v="13"/>
    <x v="1"/>
    <x v="2"/>
    <s v="EE_Urban"/>
    <x v="21"/>
    <n v="48.384"/>
    <n v="13.44"/>
  </r>
  <r>
    <x v="0"/>
    <x v="13"/>
    <x v="1"/>
    <x v="2"/>
    <s v="EE_Urban"/>
    <x v="22"/>
    <n v="79.847999999999999"/>
    <n v="22.18"/>
  </r>
  <r>
    <x v="0"/>
    <x v="13"/>
    <x v="1"/>
    <x v="2"/>
    <s v="EE_Urban"/>
    <x v="23"/>
    <n v="0.31515896120488701"/>
    <n v="8.7544155890246306E-2"/>
  </r>
  <r>
    <x v="0"/>
    <x v="13"/>
    <x v="1"/>
    <x v="2"/>
    <s v="EE_Urban"/>
    <x v="24"/>
    <n v="19.174223581093901"/>
    <n v="5.32617321697054"/>
  </r>
  <r>
    <x v="0"/>
    <x v="13"/>
    <x v="1"/>
    <x v="2"/>
    <s v="EE_Urban"/>
    <x v="25"/>
    <n v="23.613931806316799"/>
    <n v="6.5594255017546796"/>
  </r>
  <r>
    <x v="0"/>
    <x v="13"/>
    <x v="1"/>
    <x v="2"/>
    <s v="EE_Urban"/>
    <x v="26"/>
    <n v="30.869217554900899"/>
    <n v="8.5747826541391401"/>
  </r>
  <r>
    <x v="0"/>
    <x v="13"/>
    <x v="1"/>
    <x v="2"/>
    <s v="EE_Urban"/>
    <x v="27"/>
    <n v="20.163995508318798"/>
    <n v="5.6011098634218799"/>
  </r>
  <r>
    <x v="0"/>
    <x v="13"/>
    <x v="2"/>
    <x v="3"/>
    <s v="FI_IND"/>
    <x v="1"/>
    <n v="35.989199999999997"/>
    <n v="9.9969999999999999"/>
  </r>
  <r>
    <x v="0"/>
    <x v="13"/>
    <x v="2"/>
    <x v="3"/>
    <s v="FI_IND"/>
    <x v="2"/>
    <n v="48.384"/>
    <n v="13.44"/>
  </r>
  <r>
    <x v="0"/>
    <x v="13"/>
    <x v="2"/>
    <x v="3"/>
    <s v="FI_IND"/>
    <x v="0"/>
    <n v="42.692399999999999"/>
    <n v="11.859"/>
  </r>
  <r>
    <x v="0"/>
    <x v="13"/>
    <x v="2"/>
    <x v="3"/>
    <s v="FI_IND"/>
    <x v="3"/>
    <n v="51.633543144067197"/>
    <n v="14.342650873352"/>
  </r>
  <r>
    <x v="0"/>
    <x v="13"/>
    <x v="2"/>
    <x v="3"/>
    <s v="FI_IND"/>
    <x v="4"/>
    <n v="7.4084241922120802"/>
    <n v="2.0578956089478"/>
  </r>
  <r>
    <x v="0"/>
    <x v="13"/>
    <x v="2"/>
    <x v="3"/>
    <s v="FI_IND"/>
    <x v="5"/>
    <n v="7.4084241922120802"/>
    <n v="2.0578956089478"/>
  </r>
  <r>
    <x v="0"/>
    <x v="13"/>
    <x v="2"/>
    <x v="3"/>
    <s v="FI_IND"/>
    <x v="6"/>
    <n v="29.476231795214598"/>
    <n v="8.1878421653373898"/>
  </r>
  <r>
    <x v="0"/>
    <x v="13"/>
    <x v="2"/>
    <x v="3"/>
    <s v="FI_IND"/>
    <x v="7"/>
    <n v="57.838935220261199"/>
    <n v="16.066370894517"/>
  </r>
  <r>
    <x v="0"/>
    <x v="13"/>
    <x v="2"/>
    <x v="3"/>
    <s v="FI_IND"/>
    <x v="8"/>
    <n v="57.838935220261199"/>
    <n v="16.066370894517"/>
  </r>
  <r>
    <x v="0"/>
    <x v="13"/>
    <x v="2"/>
    <x v="3"/>
    <s v="FI_IND"/>
    <x v="9"/>
    <n v="44.803327257663497"/>
    <n v="12.4453686826843"/>
  </r>
  <r>
    <x v="0"/>
    <x v="13"/>
    <x v="2"/>
    <x v="3"/>
    <s v="FI_IND"/>
    <x v="10"/>
    <n v="54.681226180612903"/>
    <n v="15.1892294946147"/>
  </r>
  <r>
    <x v="0"/>
    <x v="13"/>
    <x v="2"/>
    <x v="3"/>
    <s v="FI_IND"/>
    <x v="11"/>
    <n v="3.8806031483015802"/>
    <n v="1.07794531897266"/>
  </r>
  <r>
    <x v="0"/>
    <x v="13"/>
    <x v="2"/>
    <x v="3"/>
    <s v="FI_IND"/>
    <x v="12"/>
    <n v="9.7995028997514597E-2"/>
    <n v="2.72208413881985E-2"/>
  </r>
  <r>
    <x v="0"/>
    <x v="13"/>
    <x v="2"/>
    <x v="3"/>
    <s v="FI_IND"/>
    <x v="13"/>
    <n v="24.694747307373699"/>
    <n v="6.8596520298260204"/>
  </r>
  <r>
    <x v="0"/>
    <x v="13"/>
    <x v="2"/>
    <x v="3"/>
    <s v="FI_IND"/>
    <x v="14"/>
    <n v="24.694747307373699"/>
    <n v="6.8596520298260204"/>
  </r>
  <r>
    <x v="0"/>
    <x v="13"/>
    <x v="2"/>
    <x v="3"/>
    <s v="FI_IND"/>
    <x v="15"/>
    <n v="1.65807589063794"/>
    <n v="0.46057663628831802"/>
  </r>
  <r>
    <x v="0"/>
    <x v="13"/>
    <x v="2"/>
    <x v="3"/>
    <s v="FI_IND"/>
    <x v="16"/>
    <n v="5.8520524559425198"/>
    <n v="1.6255701266507001"/>
  </r>
  <r>
    <x v="0"/>
    <x v="13"/>
    <x v="2"/>
    <x v="3"/>
    <s v="FI_IND"/>
    <x v="17"/>
    <n v="9.1244895875632395"/>
    <n v="2.5345804409897901"/>
  </r>
  <r>
    <x v="0"/>
    <x v="13"/>
    <x v="2"/>
    <x v="3"/>
    <s v="FI_IND"/>
    <x v="18"/>
    <n v="24.694747307373699"/>
    <n v="6.8596520298260204"/>
  </r>
  <r>
    <x v="0"/>
    <x v="13"/>
    <x v="2"/>
    <x v="3"/>
    <s v="FI_IND"/>
    <x v="19"/>
    <n v="8.1139884009941898"/>
    <n v="2.2538856669428302"/>
  </r>
  <r>
    <x v="0"/>
    <x v="13"/>
    <x v="2"/>
    <x v="3"/>
    <s v="FI_IND"/>
    <x v="20"/>
    <n v="20.3765303632313"/>
    <n v="5.6601473231197996"/>
  </r>
  <r>
    <x v="0"/>
    <x v="13"/>
    <x v="2"/>
    <x v="3"/>
    <s v="FI_IND"/>
    <x v="21"/>
    <n v="48.384"/>
    <n v="13.44"/>
  </r>
  <r>
    <x v="0"/>
    <x v="13"/>
    <x v="2"/>
    <x v="3"/>
    <s v="FI_IND"/>
    <x v="22"/>
    <n v="79.847999999999999"/>
    <n v="22.18"/>
  </r>
  <r>
    <x v="0"/>
    <x v="13"/>
    <x v="2"/>
    <x v="3"/>
    <s v="FI_IND"/>
    <x v="23"/>
    <n v="0.31515896120488701"/>
    <n v="8.7544155890246306E-2"/>
  </r>
  <r>
    <x v="0"/>
    <x v="13"/>
    <x v="2"/>
    <x v="3"/>
    <s v="FI_IND"/>
    <x v="24"/>
    <n v="19.174223581093901"/>
    <n v="5.32617321697054"/>
  </r>
  <r>
    <x v="0"/>
    <x v="13"/>
    <x v="2"/>
    <x v="3"/>
    <s v="FI_IND"/>
    <x v="25"/>
    <n v="23.613931806316799"/>
    <n v="6.5594255017546796"/>
  </r>
  <r>
    <x v="0"/>
    <x v="13"/>
    <x v="2"/>
    <x v="3"/>
    <s v="FI_IND"/>
    <x v="26"/>
    <n v="30.869217554900899"/>
    <n v="8.5747826541391401"/>
  </r>
  <r>
    <x v="0"/>
    <x v="13"/>
    <x v="2"/>
    <x v="3"/>
    <s v="FI_IND"/>
    <x v="27"/>
    <n v="20.163995508318798"/>
    <n v="5.6011098634218799"/>
  </r>
  <r>
    <x v="0"/>
    <x v="13"/>
    <x v="2"/>
    <x v="3"/>
    <s v="FI_Offshore"/>
    <x v="1"/>
    <n v="35.989199999999997"/>
    <n v="9.9969999999999999"/>
  </r>
  <r>
    <x v="0"/>
    <x v="13"/>
    <x v="2"/>
    <x v="3"/>
    <s v="FI_Offshore"/>
    <x v="2"/>
    <n v="48.384"/>
    <n v="13.44"/>
  </r>
  <r>
    <x v="0"/>
    <x v="13"/>
    <x v="2"/>
    <x v="3"/>
    <s v="FI_Offshore"/>
    <x v="0"/>
    <n v="42.692399999999999"/>
    <n v="11.859"/>
  </r>
  <r>
    <x v="0"/>
    <x v="13"/>
    <x v="2"/>
    <x v="3"/>
    <s v="FI_Offshore"/>
    <x v="3"/>
    <n v="51.633543144067197"/>
    <n v="14.342650873352"/>
  </r>
  <r>
    <x v="0"/>
    <x v="13"/>
    <x v="2"/>
    <x v="3"/>
    <s v="FI_Offshore"/>
    <x v="4"/>
    <n v="7.4084241922120802"/>
    <n v="2.0578956089478"/>
  </r>
  <r>
    <x v="0"/>
    <x v="13"/>
    <x v="2"/>
    <x v="3"/>
    <s v="FI_Offshore"/>
    <x v="5"/>
    <n v="7.4084241922120802"/>
    <n v="2.0578956089478"/>
  </r>
  <r>
    <x v="0"/>
    <x v="13"/>
    <x v="2"/>
    <x v="3"/>
    <s v="FI_Offshore"/>
    <x v="6"/>
    <n v="29.476231795214598"/>
    <n v="8.1878421653373898"/>
  </r>
  <r>
    <x v="0"/>
    <x v="13"/>
    <x v="2"/>
    <x v="3"/>
    <s v="FI_Offshore"/>
    <x v="7"/>
    <n v="57.838935220261199"/>
    <n v="16.066370894517"/>
  </r>
  <r>
    <x v="0"/>
    <x v="13"/>
    <x v="2"/>
    <x v="3"/>
    <s v="FI_Offshore"/>
    <x v="8"/>
    <n v="57.838935220261199"/>
    <n v="16.066370894517"/>
  </r>
  <r>
    <x v="0"/>
    <x v="13"/>
    <x v="2"/>
    <x v="3"/>
    <s v="FI_Offshore"/>
    <x v="9"/>
    <n v="44.803327257663497"/>
    <n v="12.4453686826843"/>
  </r>
  <r>
    <x v="0"/>
    <x v="13"/>
    <x v="2"/>
    <x v="3"/>
    <s v="FI_Offshore"/>
    <x v="10"/>
    <n v="54.681226180612903"/>
    <n v="15.1892294946147"/>
  </r>
  <r>
    <x v="0"/>
    <x v="13"/>
    <x v="2"/>
    <x v="3"/>
    <s v="FI_Offshore"/>
    <x v="11"/>
    <n v="3.8806031483015802"/>
    <n v="1.07794531897266"/>
  </r>
  <r>
    <x v="0"/>
    <x v="13"/>
    <x v="2"/>
    <x v="3"/>
    <s v="FI_Offshore"/>
    <x v="12"/>
    <n v="9.7995028997514597E-2"/>
    <n v="2.72208413881985E-2"/>
  </r>
  <r>
    <x v="0"/>
    <x v="13"/>
    <x v="2"/>
    <x v="3"/>
    <s v="FI_Offshore"/>
    <x v="13"/>
    <n v="24.694747307373699"/>
    <n v="6.8596520298260204"/>
  </r>
  <r>
    <x v="0"/>
    <x v="13"/>
    <x v="2"/>
    <x v="3"/>
    <s v="FI_Offshore"/>
    <x v="14"/>
    <n v="24.694747307373699"/>
    <n v="6.8596520298260204"/>
  </r>
  <r>
    <x v="0"/>
    <x v="13"/>
    <x v="2"/>
    <x v="3"/>
    <s v="FI_Offshore"/>
    <x v="15"/>
    <n v="1.65807589063794"/>
    <n v="0.46057663628831802"/>
  </r>
  <r>
    <x v="0"/>
    <x v="13"/>
    <x v="2"/>
    <x v="3"/>
    <s v="FI_Offshore"/>
    <x v="16"/>
    <n v="5.8520524559425198"/>
    <n v="1.6255701266507001"/>
  </r>
  <r>
    <x v="0"/>
    <x v="13"/>
    <x v="2"/>
    <x v="3"/>
    <s v="FI_Offshore"/>
    <x v="17"/>
    <n v="9.1244895875632395"/>
    <n v="2.5345804409897901"/>
  </r>
  <r>
    <x v="0"/>
    <x v="13"/>
    <x v="2"/>
    <x v="3"/>
    <s v="FI_Offshore"/>
    <x v="18"/>
    <n v="24.694747307373699"/>
    <n v="6.8596520298260204"/>
  </r>
  <r>
    <x v="0"/>
    <x v="13"/>
    <x v="2"/>
    <x v="3"/>
    <s v="FI_Offshore"/>
    <x v="19"/>
    <n v="8.1139884009941898"/>
    <n v="2.2538856669428302"/>
  </r>
  <r>
    <x v="0"/>
    <x v="13"/>
    <x v="2"/>
    <x v="3"/>
    <s v="FI_Offshore"/>
    <x v="20"/>
    <n v="20.3765303632313"/>
    <n v="5.6601473231197996"/>
  </r>
  <r>
    <x v="0"/>
    <x v="13"/>
    <x v="2"/>
    <x v="3"/>
    <s v="FI_Offshore"/>
    <x v="21"/>
    <n v="48.384"/>
    <n v="13.44"/>
  </r>
  <r>
    <x v="0"/>
    <x v="13"/>
    <x v="2"/>
    <x v="3"/>
    <s v="FI_Offshore"/>
    <x v="22"/>
    <n v="79.847999999999999"/>
    <n v="22.18"/>
  </r>
  <r>
    <x v="0"/>
    <x v="13"/>
    <x v="2"/>
    <x v="3"/>
    <s v="FI_Offshore"/>
    <x v="23"/>
    <n v="0.31515896120488701"/>
    <n v="8.7544155890246306E-2"/>
  </r>
  <r>
    <x v="0"/>
    <x v="13"/>
    <x v="2"/>
    <x v="3"/>
    <s v="FI_Offshore"/>
    <x v="24"/>
    <n v="19.174223581093901"/>
    <n v="5.32617321697054"/>
  </r>
  <r>
    <x v="0"/>
    <x v="13"/>
    <x v="2"/>
    <x v="3"/>
    <s v="FI_Offshore"/>
    <x v="25"/>
    <n v="23.613931806316799"/>
    <n v="6.5594255017546796"/>
  </r>
  <r>
    <x v="0"/>
    <x v="13"/>
    <x v="2"/>
    <x v="3"/>
    <s v="FI_Offshore"/>
    <x v="26"/>
    <n v="30.869217554900899"/>
    <n v="8.5747826541391401"/>
  </r>
  <r>
    <x v="0"/>
    <x v="13"/>
    <x v="2"/>
    <x v="3"/>
    <s v="FI_Offshore"/>
    <x v="27"/>
    <n v="20.163995508318798"/>
    <n v="5.6011098634218799"/>
  </r>
  <r>
    <x v="0"/>
    <x v="13"/>
    <x v="2"/>
    <x v="3"/>
    <s v="FI_large"/>
    <x v="1"/>
    <n v="35.989199999999997"/>
    <n v="9.9969999999999999"/>
  </r>
  <r>
    <x v="0"/>
    <x v="13"/>
    <x v="2"/>
    <x v="3"/>
    <s v="FI_large"/>
    <x v="2"/>
    <n v="48.384"/>
    <n v="13.44"/>
  </r>
  <r>
    <x v="0"/>
    <x v="13"/>
    <x v="2"/>
    <x v="3"/>
    <s v="FI_large"/>
    <x v="0"/>
    <n v="42.692399999999999"/>
    <n v="11.859"/>
  </r>
  <r>
    <x v="0"/>
    <x v="13"/>
    <x v="2"/>
    <x v="3"/>
    <s v="FI_large"/>
    <x v="3"/>
    <n v="51.633543144067197"/>
    <n v="14.342650873352"/>
  </r>
  <r>
    <x v="0"/>
    <x v="13"/>
    <x v="2"/>
    <x v="3"/>
    <s v="FI_large"/>
    <x v="4"/>
    <n v="7.4084241922120802"/>
    <n v="2.0578956089478"/>
  </r>
  <r>
    <x v="0"/>
    <x v="13"/>
    <x v="2"/>
    <x v="3"/>
    <s v="FI_large"/>
    <x v="5"/>
    <n v="7.4084241922120802"/>
    <n v="2.0578956089478"/>
  </r>
  <r>
    <x v="0"/>
    <x v="13"/>
    <x v="2"/>
    <x v="3"/>
    <s v="FI_large"/>
    <x v="6"/>
    <n v="29.476231795214598"/>
    <n v="8.1878421653373898"/>
  </r>
  <r>
    <x v="0"/>
    <x v="13"/>
    <x v="2"/>
    <x v="3"/>
    <s v="FI_large"/>
    <x v="7"/>
    <n v="57.838935220261199"/>
    <n v="16.066370894517"/>
  </r>
  <r>
    <x v="0"/>
    <x v="13"/>
    <x v="2"/>
    <x v="3"/>
    <s v="FI_large"/>
    <x v="8"/>
    <n v="57.838935220261199"/>
    <n v="16.066370894517"/>
  </r>
  <r>
    <x v="0"/>
    <x v="13"/>
    <x v="2"/>
    <x v="3"/>
    <s v="FI_large"/>
    <x v="9"/>
    <n v="44.803327257663497"/>
    <n v="12.4453686826843"/>
  </r>
  <r>
    <x v="0"/>
    <x v="13"/>
    <x v="2"/>
    <x v="3"/>
    <s v="FI_large"/>
    <x v="10"/>
    <n v="54.681226180612903"/>
    <n v="15.1892294946147"/>
  </r>
  <r>
    <x v="0"/>
    <x v="13"/>
    <x v="2"/>
    <x v="3"/>
    <s v="FI_large"/>
    <x v="11"/>
    <n v="3.8806031483015802"/>
    <n v="1.07794531897266"/>
  </r>
  <r>
    <x v="0"/>
    <x v="13"/>
    <x v="2"/>
    <x v="3"/>
    <s v="FI_large"/>
    <x v="12"/>
    <n v="9.7995028997514597E-2"/>
    <n v="2.72208413881985E-2"/>
  </r>
  <r>
    <x v="0"/>
    <x v="13"/>
    <x v="2"/>
    <x v="3"/>
    <s v="FI_large"/>
    <x v="13"/>
    <n v="24.694747307373699"/>
    <n v="6.8596520298260204"/>
  </r>
  <r>
    <x v="0"/>
    <x v="13"/>
    <x v="2"/>
    <x v="3"/>
    <s v="FI_large"/>
    <x v="14"/>
    <n v="24.694747307373699"/>
    <n v="6.8596520298260204"/>
  </r>
  <r>
    <x v="0"/>
    <x v="13"/>
    <x v="2"/>
    <x v="3"/>
    <s v="FI_large"/>
    <x v="15"/>
    <n v="1.65807589063794"/>
    <n v="0.46057663628831802"/>
  </r>
  <r>
    <x v="0"/>
    <x v="13"/>
    <x v="2"/>
    <x v="3"/>
    <s v="FI_large"/>
    <x v="16"/>
    <n v="5.8520524559425198"/>
    <n v="1.6255701266507001"/>
  </r>
  <r>
    <x v="0"/>
    <x v="13"/>
    <x v="2"/>
    <x v="3"/>
    <s v="FI_large"/>
    <x v="17"/>
    <n v="9.1244895875632395"/>
    <n v="2.5345804409897901"/>
  </r>
  <r>
    <x v="0"/>
    <x v="13"/>
    <x v="2"/>
    <x v="3"/>
    <s v="FI_large"/>
    <x v="18"/>
    <n v="24.694747307373699"/>
    <n v="6.8596520298260204"/>
  </r>
  <r>
    <x v="0"/>
    <x v="13"/>
    <x v="2"/>
    <x v="3"/>
    <s v="FI_large"/>
    <x v="19"/>
    <n v="8.1139884009941898"/>
    <n v="2.2538856669428302"/>
  </r>
  <r>
    <x v="0"/>
    <x v="13"/>
    <x v="2"/>
    <x v="3"/>
    <s v="FI_large"/>
    <x v="20"/>
    <n v="20.3765303632313"/>
    <n v="5.6601473231197996"/>
  </r>
  <r>
    <x v="0"/>
    <x v="13"/>
    <x v="2"/>
    <x v="3"/>
    <s v="FI_large"/>
    <x v="21"/>
    <n v="48.384"/>
    <n v="13.44"/>
  </r>
  <r>
    <x v="0"/>
    <x v="13"/>
    <x v="2"/>
    <x v="3"/>
    <s v="FI_large"/>
    <x v="22"/>
    <n v="79.847999999999999"/>
    <n v="22.18"/>
  </r>
  <r>
    <x v="0"/>
    <x v="13"/>
    <x v="2"/>
    <x v="3"/>
    <s v="FI_large"/>
    <x v="23"/>
    <n v="0.31515896120488701"/>
    <n v="8.7544155890246306E-2"/>
  </r>
  <r>
    <x v="0"/>
    <x v="13"/>
    <x v="2"/>
    <x v="3"/>
    <s v="FI_large"/>
    <x v="24"/>
    <n v="19.174223581093901"/>
    <n v="5.32617321697054"/>
  </r>
  <r>
    <x v="0"/>
    <x v="13"/>
    <x v="2"/>
    <x v="3"/>
    <s v="FI_large"/>
    <x v="25"/>
    <n v="23.613931806316799"/>
    <n v="6.5594255017546796"/>
  </r>
  <r>
    <x v="0"/>
    <x v="13"/>
    <x v="2"/>
    <x v="3"/>
    <s v="FI_large"/>
    <x v="26"/>
    <n v="30.869217554900899"/>
    <n v="8.5747826541391401"/>
  </r>
  <r>
    <x v="0"/>
    <x v="13"/>
    <x v="2"/>
    <x v="3"/>
    <s v="FI_large"/>
    <x v="27"/>
    <n v="20.163995508318798"/>
    <n v="5.6011098634218799"/>
  </r>
  <r>
    <x v="0"/>
    <x v="13"/>
    <x v="2"/>
    <x v="3"/>
    <s v="FI_large_gas"/>
    <x v="1"/>
    <n v="35.989199999999997"/>
    <n v="9.9969999999999999"/>
  </r>
  <r>
    <x v="0"/>
    <x v="13"/>
    <x v="2"/>
    <x v="3"/>
    <s v="FI_large_gas"/>
    <x v="2"/>
    <n v="48.384"/>
    <n v="13.44"/>
  </r>
  <r>
    <x v="0"/>
    <x v="13"/>
    <x v="2"/>
    <x v="3"/>
    <s v="FI_large_gas"/>
    <x v="0"/>
    <n v="42.692399999999999"/>
    <n v="11.859"/>
  </r>
  <r>
    <x v="0"/>
    <x v="13"/>
    <x v="2"/>
    <x v="3"/>
    <s v="FI_large_gas"/>
    <x v="3"/>
    <n v="51.633543144067197"/>
    <n v="14.342650873352"/>
  </r>
  <r>
    <x v="0"/>
    <x v="13"/>
    <x v="2"/>
    <x v="3"/>
    <s v="FI_large_gas"/>
    <x v="4"/>
    <n v="7.4084241922120802"/>
    <n v="2.0578956089478"/>
  </r>
  <r>
    <x v="0"/>
    <x v="13"/>
    <x v="2"/>
    <x v="3"/>
    <s v="FI_large_gas"/>
    <x v="5"/>
    <n v="7.4084241922120802"/>
    <n v="2.0578956089478"/>
  </r>
  <r>
    <x v="0"/>
    <x v="13"/>
    <x v="2"/>
    <x v="3"/>
    <s v="FI_large_gas"/>
    <x v="6"/>
    <n v="29.476231795214598"/>
    <n v="8.1878421653373898"/>
  </r>
  <r>
    <x v="0"/>
    <x v="13"/>
    <x v="2"/>
    <x v="3"/>
    <s v="FI_large_gas"/>
    <x v="7"/>
    <n v="57.838935220261199"/>
    <n v="16.066370894517"/>
  </r>
  <r>
    <x v="0"/>
    <x v="13"/>
    <x v="2"/>
    <x v="3"/>
    <s v="FI_large_gas"/>
    <x v="8"/>
    <n v="57.838935220261199"/>
    <n v="16.066370894517"/>
  </r>
  <r>
    <x v="0"/>
    <x v="13"/>
    <x v="2"/>
    <x v="3"/>
    <s v="FI_large_gas"/>
    <x v="9"/>
    <n v="44.803327257663497"/>
    <n v="12.4453686826843"/>
  </r>
  <r>
    <x v="0"/>
    <x v="13"/>
    <x v="2"/>
    <x v="3"/>
    <s v="FI_large_gas"/>
    <x v="10"/>
    <n v="54.681226180612903"/>
    <n v="15.1892294946147"/>
  </r>
  <r>
    <x v="0"/>
    <x v="13"/>
    <x v="2"/>
    <x v="3"/>
    <s v="FI_large_gas"/>
    <x v="11"/>
    <n v="3.8806031483015802"/>
    <n v="1.07794531897266"/>
  </r>
  <r>
    <x v="0"/>
    <x v="13"/>
    <x v="2"/>
    <x v="3"/>
    <s v="FI_large_gas"/>
    <x v="12"/>
    <n v="9.7995028997514597E-2"/>
    <n v="2.72208413881985E-2"/>
  </r>
  <r>
    <x v="0"/>
    <x v="13"/>
    <x v="2"/>
    <x v="3"/>
    <s v="FI_large_gas"/>
    <x v="13"/>
    <n v="24.694747307373699"/>
    <n v="6.8596520298260204"/>
  </r>
  <r>
    <x v="0"/>
    <x v="13"/>
    <x v="2"/>
    <x v="3"/>
    <s v="FI_large_gas"/>
    <x v="14"/>
    <n v="24.694747307373699"/>
    <n v="6.8596520298260204"/>
  </r>
  <r>
    <x v="0"/>
    <x v="13"/>
    <x v="2"/>
    <x v="3"/>
    <s v="FI_large_gas"/>
    <x v="15"/>
    <n v="1.65807589063794"/>
    <n v="0.46057663628831802"/>
  </r>
  <r>
    <x v="0"/>
    <x v="13"/>
    <x v="2"/>
    <x v="3"/>
    <s v="FI_large_gas"/>
    <x v="16"/>
    <n v="5.8520524559425198"/>
    <n v="1.6255701266507001"/>
  </r>
  <r>
    <x v="0"/>
    <x v="13"/>
    <x v="2"/>
    <x v="3"/>
    <s v="FI_large_gas"/>
    <x v="17"/>
    <n v="9.1244895875632395"/>
    <n v="2.5345804409897901"/>
  </r>
  <r>
    <x v="0"/>
    <x v="13"/>
    <x v="2"/>
    <x v="3"/>
    <s v="FI_large_gas"/>
    <x v="18"/>
    <n v="24.694747307373699"/>
    <n v="6.8596520298260204"/>
  </r>
  <r>
    <x v="0"/>
    <x v="13"/>
    <x v="2"/>
    <x v="3"/>
    <s v="FI_large_gas"/>
    <x v="19"/>
    <n v="8.1139884009941898"/>
    <n v="2.2538856669428302"/>
  </r>
  <r>
    <x v="0"/>
    <x v="13"/>
    <x v="2"/>
    <x v="3"/>
    <s v="FI_large_gas"/>
    <x v="20"/>
    <n v="20.3765303632313"/>
    <n v="5.6601473231197996"/>
  </r>
  <r>
    <x v="0"/>
    <x v="13"/>
    <x v="2"/>
    <x v="3"/>
    <s v="FI_large_gas"/>
    <x v="21"/>
    <n v="48.384"/>
    <n v="13.44"/>
  </r>
  <r>
    <x v="0"/>
    <x v="13"/>
    <x v="2"/>
    <x v="3"/>
    <s v="FI_large_gas"/>
    <x v="22"/>
    <n v="79.847999999999999"/>
    <n v="22.18"/>
  </r>
  <r>
    <x v="0"/>
    <x v="13"/>
    <x v="2"/>
    <x v="3"/>
    <s v="FI_large_gas"/>
    <x v="23"/>
    <n v="0.31515896120488701"/>
    <n v="8.7544155890246306E-2"/>
  </r>
  <r>
    <x v="0"/>
    <x v="13"/>
    <x v="2"/>
    <x v="3"/>
    <s v="FI_large_gas"/>
    <x v="24"/>
    <n v="19.174223581093901"/>
    <n v="5.32617321697054"/>
  </r>
  <r>
    <x v="0"/>
    <x v="13"/>
    <x v="2"/>
    <x v="3"/>
    <s v="FI_large_gas"/>
    <x v="25"/>
    <n v="23.613931806316799"/>
    <n v="6.5594255017546796"/>
  </r>
  <r>
    <x v="0"/>
    <x v="13"/>
    <x v="2"/>
    <x v="3"/>
    <s v="FI_large_gas"/>
    <x v="26"/>
    <n v="30.869217554900899"/>
    <n v="8.5747826541391401"/>
  </r>
  <r>
    <x v="0"/>
    <x v="13"/>
    <x v="2"/>
    <x v="3"/>
    <s v="FI_large_gas"/>
    <x v="27"/>
    <n v="20.163995508318798"/>
    <n v="5.6011098634218799"/>
  </r>
  <r>
    <x v="0"/>
    <x v="13"/>
    <x v="2"/>
    <x v="3"/>
    <s v="FI_medium"/>
    <x v="1"/>
    <n v="35.989199999999997"/>
    <n v="9.9969999999999999"/>
  </r>
  <r>
    <x v="0"/>
    <x v="13"/>
    <x v="2"/>
    <x v="3"/>
    <s v="FI_medium"/>
    <x v="2"/>
    <n v="48.384"/>
    <n v="13.44"/>
  </r>
  <r>
    <x v="0"/>
    <x v="13"/>
    <x v="2"/>
    <x v="3"/>
    <s v="FI_medium"/>
    <x v="0"/>
    <n v="42.692399999999999"/>
    <n v="11.859"/>
  </r>
  <r>
    <x v="0"/>
    <x v="13"/>
    <x v="2"/>
    <x v="3"/>
    <s v="FI_medium"/>
    <x v="3"/>
    <n v="51.633543144067197"/>
    <n v="14.342650873352"/>
  </r>
  <r>
    <x v="0"/>
    <x v="13"/>
    <x v="2"/>
    <x v="3"/>
    <s v="FI_medium"/>
    <x v="4"/>
    <n v="7.4084241922120802"/>
    <n v="2.0578956089478"/>
  </r>
  <r>
    <x v="0"/>
    <x v="13"/>
    <x v="2"/>
    <x v="3"/>
    <s v="FI_medium"/>
    <x v="5"/>
    <n v="7.4084241922120802"/>
    <n v="2.0578956089478"/>
  </r>
  <r>
    <x v="0"/>
    <x v="13"/>
    <x v="2"/>
    <x v="3"/>
    <s v="FI_medium"/>
    <x v="6"/>
    <n v="29.476231795214598"/>
    <n v="8.1878421653373898"/>
  </r>
  <r>
    <x v="0"/>
    <x v="13"/>
    <x v="2"/>
    <x v="3"/>
    <s v="FI_medium"/>
    <x v="7"/>
    <n v="57.838935220261199"/>
    <n v="16.066370894517"/>
  </r>
  <r>
    <x v="0"/>
    <x v="13"/>
    <x v="2"/>
    <x v="3"/>
    <s v="FI_medium"/>
    <x v="8"/>
    <n v="57.838935220261199"/>
    <n v="16.066370894517"/>
  </r>
  <r>
    <x v="0"/>
    <x v="13"/>
    <x v="2"/>
    <x v="3"/>
    <s v="FI_medium"/>
    <x v="9"/>
    <n v="44.803327257663497"/>
    <n v="12.4453686826843"/>
  </r>
  <r>
    <x v="0"/>
    <x v="13"/>
    <x v="2"/>
    <x v="3"/>
    <s v="FI_medium"/>
    <x v="10"/>
    <n v="54.681226180612903"/>
    <n v="15.1892294946147"/>
  </r>
  <r>
    <x v="0"/>
    <x v="13"/>
    <x v="2"/>
    <x v="3"/>
    <s v="FI_medium"/>
    <x v="11"/>
    <n v="3.8806031483015802"/>
    <n v="1.07794531897266"/>
  </r>
  <r>
    <x v="0"/>
    <x v="13"/>
    <x v="2"/>
    <x v="3"/>
    <s v="FI_medium"/>
    <x v="12"/>
    <n v="9.7995028997514597E-2"/>
    <n v="2.72208413881985E-2"/>
  </r>
  <r>
    <x v="0"/>
    <x v="13"/>
    <x v="2"/>
    <x v="3"/>
    <s v="FI_medium"/>
    <x v="13"/>
    <n v="24.694747307373699"/>
    <n v="6.8596520298260204"/>
  </r>
  <r>
    <x v="0"/>
    <x v="13"/>
    <x v="2"/>
    <x v="3"/>
    <s v="FI_medium"/>
    <x v="14"/>
    <n v="24.694747307373699"/>
    <n v="6.8596520298260204"/>
  </r>
  <r>
    <x v="0"/>
    <x v="13"/>
    <x v="2"/>
    <x v="3"/>
    <s v="FI_medium"/>
    <x v="15"/>
    <n v="1.65807589063794"/>
    <n v="0.46057663628831802"/>
  </r>
  <r>
    <x v="0"/>
    <x v="13"/>
    <x v="2"/>
    <x v="3"/>
    <s v="FI_medium"/>
    <x v="16"/>
    <n v="5.8520524559425198"/>
    <n v="1.6255701266507001"/>
  </r>
  <r>
    <x v="0"/>
    <x v="13"/>
    <x v="2"/>
    <x v="3"/>
    <s v="FI_medium"/>
    <x v="17"/>
    <n v="9.1244895875632395"/>
    <n v="2.5345804409897901"/>
  </r>
  <r>
    <x v="0"/>
    <x v="13"/>
    <x v="2"/>
    <x v="3"/>
    <s v="FI_medium"/>
    <x v="18"/>
    <n v="24.694747307373699"/>
    <n v="6.8596520298260204"/>
  </r>
  <r>
    <x v="0"/>
    <x v="13"/>
    <x v="2"/>
    <x v="3"/>
    <s v="FI_medium"/>
    <x v="19"/>
    <n v="8.1139884009941898"/>
    <n v="2.2538856669428302"/>
  </r>
  <r>
    <x v="0"/>
    <x v="13"/>
    <x v="2"/>
    <x v="3"/>
    <s v="FI_medium"/>
    <x v="20"/>
    <n v="20.3765303632313"/>
    <n v="5.6601473231197996"/>
  </r>
  <r>
    <x v="0"/>
    <x v="13"/>
    <x v="2"/>
    <x v="3"/>
    <s v="FI_medium"/>
    <x v="21"/>
    <n v="48.384"/>
    <n v="13.44"/>
  </r>
  <r>
    <x v="0"/>
    <x v="13"/>
    <x v="2"/>
    <x v="3"/>
    <s v="FI_medium"/>
    <x v="22"/>
    <n v="79.847999999999999"/>
    <n v="22.18"/>
  </r>
  <r>
    <x v="0"/>
    <x v="13"/>
    <x v="2"/>
    <x v="3"/>
    <s v="FI_medium"/>
    <x v="23"/>
    <n v="0.31515896120488701"/>
    <n v="8.7544155890246306E-2"/>
  </r>
  <r>
    <x v="0"/>
    <x v="13"/>
    <x v="2"/>
    <x v="3"/>
    <s v="FI_medium"/>
    <x v="24"/>
    <n v="19.174223581093901"/>
    <n v="5.32617321697054"/>
  </r>
  <r>
    <x v="0"/>
    <x v="13"/>
    <x v="2"/>
    <x v="3"/>
    <s v="FI_medium"/>
    <x v="25"/>
    <n v="23.613931806316799"/>
    <n v="6.5594255017546796"/>
  </r>
  <r>
    <x v="0"/>
    <x v="13"/>
    <x v="2"/>
    <x v="3"/>
    <s v="FI_medium"/>
    <x v="26"/>
    <n v="30.869217554900899"/>
    <n v="8.5747826541391401"/>
  </r>
  <r>
    <x v="0"/>
    <x v="13"/>
    <x v="2"/>
    <x v="3"/>
    <s v="FI_medium"/>
    <x v="27"/>
    <n v="20.163995508318798"/>
    <n v="5.6011098634218799"/>
  </r>
  <r>
    <x v="0"/>
    <x v="13"/>
    <x v="2"/>
    <x v="3"/>
    <s v="FI_medium_gas"/>
    <x v="1"/>
    <n v="35.989199999999997"/>
    <n v="9.9969999999999999"/>
  </r>
  <r>
    <x v="0"/>
    <x v="13"/>
    <x v="2"/>
    <x v="3"/>
    <s v="FI_medium_gas"/>
    <x v="2"/>
    <n v="48.384"/>
    <n v="13.44"/>
  </r>
  <r>
    <x v="0"/>
    <x v="13"/>
    <x v="2"/>
    <x v="3"/>
    <s v="FI_medium_gas"/>
    <x v="0"/>
    <n v="42.692399999999999"/>
    <n v="11.859"/>
  </r>
  <r>
    <x v="0"/>
    <x v="13"/>
    <x v="2"/>
    <x v="3"/>
    <s v="FI_medium_gas"/>
    <x v="3"/>
    <n v="51.633543144067197"/>
    <n v="14.342650873352"/>
  </r>
  <r>
    <x v="0"/>
    <x v="13"/>
    <x v="2"/>
    <x v="3"/>
    <s v="FI_medium_gas"/>
    <x v="4"/>
    <n v="7.4084241922120802"/>
    <n v="2.0578956089478"/>
  </r>
  <r>
    <x v="0"/>
    <x v="13"/>
    <x v="2"/>
    <x v="3"/>
    <s v="FI_medium_gas"/>
    <x v="5"/>
    <n v="7.4084241922120802"/>
    <n v="2.0578956089478"/>
  </r>
  <r>
    <x v="0"/>
    <x v="13"/>
    <x v="2"/>
    <x v="3"/>
    <s v="FI_medium_gas"/>
    <x v="6"/>
    <n v="29.476231795214598"/>
    <n v="8.1878421653373898"/>
  </r>
  <r>
    <x v="0"/>
    <x v="13"/>
    <x v="2"/>
    <x v="3"/>
    <s v="FI_medium_gas"/>
    <x v="7"/>
    <n v="57.838935220261199"/>
    <n v="16.066370894517"/>
  </r>
  <r>
    <x v="0"/>
    <x v="13"/>
    <x v="2"/>
    <x v="3"/>
    <s v="FI_medium_gas"/>
    <x v="8"/>
    <n v="57.838935220261199"/>
    <n v="16.066370894517"/>
  </r>
  <r>
    <x v="0"/>
    <x v="13"/>
    <x v="2"/>
    <x v="3"/>
    <s v="FI_medium_gas"/>
    <x v="9"/>
    <n v="44.803327257663497"/>
    <n v="12.4453686826843"/>
  </r>
  <r>
    <x v="0"/>
    <x v="13"/>
    <x v="2"/>
    <x v="3"/>
    <s v="FI_medium_gas"/>
    <x v="10"/>
    <n v="54.681226180612903"/>
    <n v="15.1892294946147"/>
  </r>
  <r>
    <x v="0"/>
    <x v="13"/>
    <x v="2"/>
    <x v="3"/>
    <s v="FI_medium_gas"/>
    <x v="11"/>
    <n v="3.8806031483015802"/>
    <n v="1.07794531897266"/>
  </r>
  <r>
    <x v="0"/>
    <x v="13"/>
    <x v="2"/>
    <x v="3"/>
    <s v="FI_medium_gas"/>
    <x v="12"/>
    <n v="9.7995028997514597E-2"/>
    <n v="2.72208413881985E-2"/>
  </r>
  <r>
    <x v="0"/>
    <x v="13"/>
    <x v="2"/>
    <x v="3"/>
    <s v="FI_medium_gas"/>
    <x v="13"/>
    <n v="24.694747307373699"/>
    <n v="6.8596520298260204"/>
  </r>
  <r>
    <x v="0"/>
    <x v="13"/>
    <x v="2"/>
    <x v="3"/>
    <s v="FI_medium_gas"/>
    <x v="14"/>
    <n v="24.694747307373699"/>
    <n v="6.8596520298260204"/>
  </r>
  <r>
    <x v="0"/>
    <x v="13"/>
    <x v="2"/>
    <x v="3"/>
    <s v="FI_medium_gas"/>
    <x v="15"/>
    <n v="1.65807589063794"/>
    <n v="0.46057663628831802"/>
  </r>
  <r>
    <x v="0"/>
    <x v="13"/>
    <x v="2"/>
    <x v="3"/>
    <s v="FI_medium_gas"/>
    <x v="16"/>
    <n v="5.8520524559425198"/>
    <n v="1.6255701266507001"/>
  </r>
  <r>
    <x v="0"/>
    <x v="13"/>
    <x v="2"/>
    <x v="3"/>
    <s v="FI_medium_gas"/>
    <x v="17"/>
    <n v="9.1244895875632395"/>
    <n v="2.5345804409897901"/>
  </r>
  <r>
    <x v="0"/>
    <x v="13"/>
    <x v="2"/>
    <x v="3"/>
    <s v="FI_medium_gas"/>
    <x v="18"/>
    <n v="24.694747307373699"/>
    <n v="6.8596520298260204"/>
  </r>
  <r>
    <x v="0"/>
    <x v="13"/>
    <x v="2"/>
    <x v="3"/>
    <s v="FI_medium_gas"/>
    <x v="19"/>
    <n v="8.1139884009941898"/>
    <n v="2.2538856669428302"/>
  </r>
  <r>
    <x v="0"/>
    <x v="13"/>
    <x v="2"/>
    <x v="3"/>
    <s v="FI_medium_gas"/>
    <x v="20"/>
    <n v="20.3765303632313"/>
    <n v="5.6601473231197996"/>
  </r>
  <r>
    <x v="0"/>
    <x v="13"/>
    <x v="2"/>
    <x v="3"/>
    <s v="FI_medium_gas"/>
    <x v="21"/>
    <n v="48.384"/>
    <n v="13.44"/>
  </r>
  <r>
    <x v="0"/>
    <x v="13"/>
    <x v="2"/>
    <x v="3"/>
    <s v="FI_medium_gas"/>
    <x v="22"/>
    <n v="79.847999999999999"/>
    <n v="22.18"/>
  </r>
  <r>
    <x v="0"/>
    <x v="13"/>
    <x v="2"/>
    <x v="3"/>
    <s v="FI_medium_gas"/>
    <x v="23"/>
    <n v="0.31515896120488701"/>
    <n v="8.7544155890246306E-2"/>
  </r>
  <r>
    <x v="0"/>
    <x v="13"/>
    <x v="2"/>
    <x v="3"/>
    <s v="FI_medium_gas"/>
    <x v="24"/>
    <n v="19.174223581093901"/>
    <n v="5.32617321697054"/>
  </r>
  <r>
    <x v="0"/>
    <x v="13"/>
    <x v="2"/>
    <x v="3"/>
    <s v="FI_medium_gas"/>
    <x v="25"/>
    <n v="23.613931806316799"/>
    <n v="6.5594255017546796"/>
  </r>
  <r>
    <x v="0"/>
    <x v="13"/>
    <x v="2"/>
    <x v="3"/>
    <s v="FI_medium_gas"/>
    <x v="26"/>
    <n v="30.869217554900899"/>
    <n v="8.5747826541391401"/>
  </r>
  <r>
    <x v="0"/>
    <x v="13"/>
    <x v="2"/>
    <x v="3"/>
    <s v="FI_medium_gas"/>
    <x v="27"/>
    <n v="20.163995508318798"/>
    <n v="5.6011098634218799"/>
  </r>
  <r>
    <x v="0"/>
    <x v="13"/>
    <x v="2"/>
    <x v="3"/>
    <s v="FI_small"/>
    <x v="1"/>
    <n v="35.989199999999997"/>
    <n v="9.9969999999999999"/>
  </r>
  <r>
    <x v="0"/>
    <x v="13"/>
    <x v="2"/>
    <x v="3"/>
    <s v="FI_small"/>
    <x v="2"/>
    <n v="48.384"/>
    <n v="13.44"/>
  </r>
  <r>
    <x v="0"/>
    <x v="13"/>
    <x v="2"/>
    <x v="3"/>
    <s v="FI_small"/>
    <x v="0"/>
    <n v="42.692399999999999"/>
    <n v="11.859"/>
  </r>
  <r>
    <x v="0"/>
    <x v="13"/>
    <x v="2"/>
    <x v="3"/>
    <s v="FI_small"/>
    <x v="3"/>
    <n v="51.633543144067197"/>
    <n v="14.342650873352"/>
  </r>
  <r>
    <x v="0"/>
    <x v="13"/>
    <x v="2"/>
    <x v="3"/>
    <s v="FI_small"/>
    <x v="4"/>
    <n v="7.4084241922120802"/>
    <n v="2.0578956089478"/>
  </r>
  <r>
    <x v="0"/>
    <x v="13"/>
    <x v="2"/>
    <x v="3"/>
    <s v="FI_small"/>
    <x v="5"/>
    <n v="7.4084241922120802"/>
    <n v="2.0578956089478"/>
  </r>
  <r>
    <x v="0"/>
    <x v="13"/>
    <x v="2"/>
    <x v="3"/>
    <s v="FI_small"/>
    <x v="6"/>
    <n v="29.476231795214598"/>
    <n v="8.1878421653373898"/>
  </r>
  <r>
    <x v="0"/>
    <x v="13"/>
    <x v="2"/>
    <x v="3"/>
    <s v="FI_small"/>
    <x v="7"/>
    <n v="57.838935220261199"/>
    <n v="16.066370894517"/>
  </r>
  <r>
    <x v="0"/>
    <x v="13"/>
    <x v="2"/>
    <x v="3"/>
    <s v="FI_small"/>
    <x v="8"/>
    <n v="57.838935220261199"/>
    <n v="16.066370894517"/>
  </r>
  <r>
    <x v="0"/>
    <x v="13"/>
    <x v="2"/>
    <x v="3"/>
    <s v="FI_small"/>
    <x v="9"/>
    <n v="44.803327257663497"/>
    <n v="12.4453686826843"/>
  </r>
  <r>
    <x v="0"/>
    <x v="13"/>
    <x v="2"/>
    <x v="3"/>
    <s v="FI_small"/>
    <x v="10"/>
    <n v="54.681226180612903"/>
    <n v="15.1892294946147"/>
  </r>
  <r>
    <x v="0"/>
    <x v="13"/>
    <x v="2"/>
    <x v="3"/>
    <s v="FI_small"/>
    <x v="11"/>
    <n v="3.8806031483015802"/>
    <n v="1.07794531897266"/>
  </r>
  <r>
    <x v="0"/>
    <x v="13"/>
    <x v="2"/>
    <x v="3"/>
    <s v="FI_small"/>
    <x v="12"/>
    <n v="9.7995028997514597E-2"/>
    <n v="2.72208413881985E-2"/>
  </r>
  <r>
    <x v="0"/>
    <x v="13"/>
    <x v="2"/>
    <x v="3"/>
    <s v="FI_small"/>
    <x v="13"/>
    <n v="24.694747307373699"/>
    <n v="6.8596520298260204"/>
  </r>
  <r>
    <x v="0"/>
    <x v="13"/>
    <x v="2"/>
    <x v="3"/>
    <s v="FI_small"/>
    <x v="14"/>
    <n v="24.694747307373699"/>
    <n v="6.8596520298260204"/>
  </r>
  <r>
    <x v="0"/>
    <x v="13"/>
    <x v="2"/>
    <x v="3"/>
    <s v="FI_small"/>
    <x v="15"/>
    <n v="1.65807589063794"/>
    <n v="0.46057663628831802"/>
  </r>
  <r>
    <x v="0"/>
    <x v="13"/>
    <x v="2"/>
    <x v="3"/>
    <s v="FI_small"/>
    <x v="16"/>
    <n v="5.8520524559425198"/>
    <n v="1.6255701266507001"/>
  </r>
  <r>
    <x v="0"/>
    <x v="13"/>
    <x v="2"/>
    <x v="3"/>
    <s v="FI_small"/>
    <x v="17"/>
    <n v="9.1244895875632395"/>
    <n v="2.5345804409897901"/>
  </r>
  <r>
    <x v="0"/>
    <x v="13"/>
    <x v="2"/>
    <x v="3"/>
    <s v="FI_small"/>
    <x v="18"/>
    <n v="24.694747307373699"/>
    <n v="6.8596520298260204"/>
  </r>
  <r>
    <x v="0"/>
    <x v="13"/>
    <x v="2"/>
    <x v="3"/>
    <s v="FI_small"/>
    <x v="19"/>
    <n v="8.1139884009941898"/>
    <n v="2.2538856669428302"/>
  </r>
  <r>
    <x v="0"/>
    <x v="13"/>
    <x v="2"/>
    <x v="3"/>
    <s v="FI_small"/>
    <x v="20"/>
    <n v="20.3765303632313"/>
    <n v="5.6601473231197996"/>
  </r>
  <r>
    <x v="0"/>
    <x v="13"/>
    <x v="2"/>
    <x v="3"/>
    <s v="FI_small"/>
    <x v="21"/>
    <n v="48.384"/>
    <n v="13.44"/>
  </r>
  <r>
    <x v="0"/>
    <x v="13"/>
    <x v="2"/>
    <x v="3"/>
    <s v="FI_small"/>
    <x v="22"/>
    <n v="79.847999999999999"/>
    <n v="22.18"/>
  </r>
  <r>
    <x v="0"/>
    <x v="13"/>
    <x v="2"/>
    <x v="3"/>
    <s v="FI_small"/>
    <x v="23"/>
    <n v="0.31515896120488701"/>
    <n v="8.7544155890246306E-2"/>
  </r>
  <r>
    <x v="0"/>
    <x v="13"/>
    <x v="2"/>
    <x v="3"/>
    <s v="FI_small"/>
    <x v="24"/>
    <n v="19.174223581093901"/>
    <n v="5.32617321697054"/>
  </r>
  <r>
    <x v="0"/>
    <x v="13"/>
    <x v="2"/>
    <x v="3"/>
    <s v="FI_small"/>
    <x v="25"/>
    <n v="23.613931806316799"/>
    <n v="6.5594255017546796"/>
  </r>
  <r>
    <x v="0"/>
    <x v="13"/>
    <x v="2"/>
    <x v="3"/>
    <s v="FI_small"/>
    <x v="26"/>
    <n v="30.869217554900899"/>
    <n v="8.5747826541391401"/>
  </r>
  <r>
    <x v="0"/>
    <x v="13"/>
    <x v="2"/>
    <x v="3"/>
    <s v="FI_small"/>
    <x v="27"/>
    <n v="20.163995508318798"/>
    <n v="5.6011098634218799"/>
  </r>
  <r>
    <x v="0"/>
    <x v="13"/>
    <x v="2"/>
    <x v="3"/>
    <s v="FI_small_gas"/>
    <x v="1"/>
    <n v="35.989199999999997"/>
    <n v="9.9969999999999999"/>
  </r>
  <r>
    <x v="0"/>
    <x v="13"/>
    <x v="2"/>
    <x v="3"/>
    <s v="FI_small_gas"/>
    <x v="2"/>
    <n v="48.384"/>
    <n v="13.44"/>
  </r>
  <r>
    <x v="0"/>
    <x v="13"/>
    <x v="2"/>
    <x v="3"/>
    <s v="FI_small_gas"/>
    <x v="0"/>
    <n v="42.692399999999999"/>
    <n v="11.859"/>
  </r>
  <r>
    <x v="0"/>
    <x v="13"/>
    <x v="2"/>
    <x v="3"/>
    <s v="FI_small_gas"/>
    <x v="3"/>
    <n v="51.633543144067197"/>
    <n v="14.342650873352"/>
  </r>
  <r>
    <x v="0"/>
    <x v="13"/>
    <x v="2"/>
    <x v="3"/>
    <s v="FI_small_gas"/>
    <x v="4"/>
    <n v="7.4084241922120802"/>
    <n v="2.0578956089478"/>
  </r>
  <r>
    <x v="0"/>
    <x v="13"/>
    <x v="2"/>
    <x v="3"/>
    <s v="FI_small_gas"/>
    <x v="5"/>
    <n v="7.4084241922120802"/>
    <n v="2.0578956089478"/>
  </r>
  <r>
    <x v="0"/>
    <x v="13"/>
    <x v="2"/>
    <x v="3"/>
    <s v="FI_small_gas"/>
    <x v="6"/>
    <n v="29.476231795214598"/>
    <n v="8.1878421653373898"/>
  </r>
  <r>
    <x v="0"/>
    <x v="13"/>
    <x v="2"/>
    <x v="3"/>
    <s v="FI_small_gas"/>
    <x v="7"/>
    <n v="57.838935220261199"/>
    <n v="16.066370894517"/>
  </r>
  <r>
    <x v="0"/>
    <x v="13"/>
    <x v="2"/>
    <x v="3"/>
    <s v="FI_small_gas"/>
    <x v="8"/>
    <n v="57.838935220261199"/>
    <n v="16.066370894517"/>
  </r>
  <r>
    <x v="0"/>
    <x v="13"/>
    <x v="2"/>
    <x v="3"/>
    <s v="FI_small_gas"/>
    <x v="9"/>
    <n v="44.803327257663497"/>
    <n v="12.4453686826843"/>
  </r>
  <r>
    <x v="0"/>
    <x v="13"/>
    <x v="2"/>
    <x v="3"/>
    <s v="FI_small_gas"/>
    <x v="10"/>
    <n v="54.681226180612903"/>
    <n v="15.1892294946147"/>
  </r>
  <r>
    <x v="0"/>
    <x v="13"/>
    <x v="2"/>
    <x v="3"/>
    <s v="FI_small_gas"/>
    <x v="11"/>
    <n v="3.8806031483015802"/>
    <n v="1.07794531897266"/>
  </r>
  <r>
    <x v="0"/>
    <x v="13"/>
    <x v="2"/>
    <x v="3"/>
    <s v="FI_small_gas"/>
    <x v="12"/>
    <n v="9.7995028997514597E-2"/>
    <n v="2.72208413881985E-2"/>
  </r>
  <r>
    <x v="0"/>
    <x v="13"/>
    <x v="2"/>
    <x v="3"/>
    <s v="FI_small_gas"/>
    <x v="13"/>
    <n v="24.694747307373699"/>
    <n v="6.8596520298260204"/>
  </r>
  <r>
    <x v="0"/>
    <x v="13"/>
    <x v="2"/>
    <x v="3"/>
    <s v="FI_small_gas"/>
    <x v="14"/>
    <n v="24.694747307373699"/>
    <n v="6.8596520298260204"/>
  </r>
  <r>
    <x v="0"/>
    <x v="13"/>
    <x v="2"/>
    <x v="3"/>
    <s v="FI_small_gas"/>
    <x v="15"/>
    <n v="1.65807589063794"/>
    <n v="0.46057663628831802"/>
  </r>
  <r>
    <x v="0"/>
    <x v="13"/>
    <x v="2"/>
    <x v="3"/>
    <s v="FI_small_gas"/>
    <x v="16"/>
    <n v="5.8520524559425198"/>
    <n v="1.6255701266507001"/>
  </r>
  <r>
    <x v="0"/>
    <x v="13"/>
    <x v="2"/>
    <x v="3"/>
    <s v="FI_small_gas"/>
    <x v="17"/>
    <n v="9.1244895875632395"/>
    <n v="2.5345804409897901"/>
  </r>
  <r>
    <x v="0"/>
    <x v="13"/>
    <x v="2"/>
    <x v="3"/>
    <s v="FI_small_gas"/>
    <x v="18"/>
    <n v="24.694747307373699"/>
    <n v="6.8596520298260204"/>
  </r>
  <r>
    <x v="0"/>
    <x v="13"/>
    <x v="2"/>
    <x v="3"/>
    <s v="FI_small_gas"/>
    <x v="19"/>
    <n v="8.1139884009941898"/>
    <n v="2.2538856669428302"/>
  </r>
  <r>
    <x v="0"/>
    <x v="13"/>
    <x v="2"/>
    <x v="3"/>
    <s v="FI_small_gas"/>
    <x v="20"/>
    <n v="20.3765303632313"/>
    <n v="5.6601473231197996"/>
  </r>
  <r>
    <x v="0"/>
    <x v="13"/>
    <x v="2"/>
    <x v="3"/>
    <s v="FI_small_gas"/>
    <x v="21"/>
    <n v="48.384"/>
    <n v="13.44"/>
  </r>
  <r>
    <x v="0"/>
    <x v="13"/>
    <x v="2"/>
    <x v="3"/>
    <s v="FI_small_gas"/>
    <x v="22"/>
    <n v="79.847999999999999"/>
    <n v="22.18"/>
  </r>
  <r>
    <x v="0"/>
    <x v="13"/>
    <x v="2"/>
    <x v="3"/>
    <s v="FI_small_gas"/>
    <x v="23"/>
    <n v="0.31515896120488701"/>
    <n v="8.7544155890246306E-2"/>
  </r>
  <r>
    <x v="0"/>
    <x v="13"/>
    <x v="2"/>
    <x v="3"/>
    <s v="FI_small_gas"/>
    <x v="24"/>
    <n v="19.174223581093901"/>
    <n v="5.32617321697054"/>
  </r>
  <r>
    <x v="0"/>
    <x v="13"/>
    <x v="2"/>
    <x v="3"/>
    <s v="FI_small_gas"/>
    <x v="25"/>
    <n v="23.613931806316799"/>
    <n v="6.5594255017546796"/>
  </r>
  <r>
    <x v="0"/>
    <x v="13"/>
    <x v="2"/>
    <x v="3"/>
    <s v="FI_small_gas"/>
    <x v="26"/>
    <n v="30.869217554900899"/>
    <n v="8.5747826541391401"/>
  </r>
  <r>
    <x v="0"/>
    <x v="13"/>
    <x v="2"/>
    <x v="3"/>
    <s v="FI_small_gas"/>
    <x v="27"/>
    <n v="20.163995508318798"/>
    <n v="5.6011098634218799"/>
  </r>
  <r>
    <x v="0"/>
    <x v="13"/>
    <x v="2"/>
    <x v="3"/>
    <s v="FinA"/>
    <x v="1"/>
    <n v="35.989199999999997"/>
    <n v="9.9969999999999999"/>
  </r>
  <r>
    <x v="0"/>
    <x v="13"/>
    <x v="2"/>
    <x v="3"/>
    <s v="FinA"/>
    <x v="2"/>
    <n v="48.384"/>
    <n v="13.44"/>
  </r>
  <r>
    <x v="0"/>
    <x v="13"/>
    <x v="2"/>
    <x v="3"/>
    <s v="FinA"/>
    <x v="0"/>
    <n v="42.692399999999999"/>
    <n v="11.859"/>
  </r>
  <r>
    <x v="0"/>
    <x v="13"/>
    <x v="2"/>
    <x v="3"/>
    <s v="FinA"/>
    <x v="3"/>
    <n v="51.633543144067197"/>
    <n v="14.342650873352"/>
  </r>
  <r>
    <x v="0"/>
    <x v="13"/>
    <x v="2"/>
    <x v="3"/>
    <s v="FinA"/>
    <x v="4"/>
    <n v="7.4084241922120802"/>
    <n v="2.0578956089478"/>
  </r>
  <r>
    <x v="0"/>
    <x v="13"/>
    <x v="2"/>
    <x v="3"/>
    <s v="FinA"/>
    <x v="5"/>
    <n v="7.4084241922120802"/>
    <n v="2.0578956089478"/>
  </r>
  <r>
    <x v="0"/>
    <x v="13"/>
    <x v="2"/>
    <x v="3"/>
    <s v="FinA"/>
    <x v="6"/>
    <n v="29.476231795214598"/>
    <n v="8.1878421653373898"/>
  </r>
  <r>
    <x v="0"/>
    <x v="13"/>
    <x v="2"/>
    <x v="3"/>
    <s v="FinA"/>
    <x v="7"/>
    <n v="57.838935220261199"/>
    <n v="16.066370894517"/>
  </r>
  <r>
    <x v="0"/>
    <x v="13"/>
    <x v="2"/>
    <x v="3"/>
    <s v="FinA"/>
    <x v="8"/>
    <n v="57.838935220261199"/>
    <n v="16.066370894517"/>
  </r>
  <r>
    <x v="0"/>
    <x v="13"/>
    <x v="2"/>
    <x v="3"/>
    <s v="FinA"/>
    <x v="9"/>
    <n v="44.803327257663497"/>
    <n v="12.4453686826843"/>
  </r>
  <r>
    <x v="0"/>
    <x v="13"/>
    <x v="2"/>
    <x v="3"/>
    <s v="FinA"/>
    <x v="10"/>
    <n v="54.681226180612903"/>
    <n v="15.1892294946147"/>
  </r>
  <r>
    <x v="0"/>
    <x v="13"/>
    <x v="2"/>
    <x v="3"/>
    <s v="FinA"/>
    <x v="11"/>
    <n v="3.8806031483015802"/>
    <n v="1.07794531897266"/>
  </r>
  <r>
    <x v="0"/>
    <x v="13"/>
    <x v="2"/>
    <x v="3"/>
    <s v="FinA"/>
    <x v="12"/>
    <n v="9.7995028997514597E-2"/>
    <n v="2.72208413881985E-2"/>
  </r>
  <r>
    <x v="0"/>
    <x v="13"/>
    <x v="2"/>
    <x v="3"/>
    <s v="FinA"/>
    <x v="13"/>
    <n v="24.694747307373699"/>
    <n v="6.8596520298260204"/>
  </r>
  <r>
    <x v="0"/>
    <x v="13"/>
    <x v="2"/>
    <x v="3"/>
    <s v="FinA"/>
    <x v="14"/>
    <n v="24.694747307373699"/>
    <n v="6.8596520298260204"/>
  </r>
  <r>
    <x v="0"/>
    <x v="13"/>
    <x v="2"/>
    <x v="3"/>
    <s v="FinA"/>
    <x v="15"/>
    <n v="1.65807589063794"/>
    <n v="0.46057663628831802"/>
  </r>
  <r>
    <x v="0"/>
    <x v="13"/>
    <x v="2"/>
    <x v="3"/>
    <s v="FinA"/>
    <x v="16"/>
    <n v="5.8520524559425198"/>
    <n v="1.6255701266507001"/>
  </r>
  <r>
    <x v="0"/>
    <x v="13"/>
    <x v="2"/>
    <x v="3"/>
    <s v="FinA"/>
    <x v="17"/>
    <n v="9.1244895875632395"/>
    <n v="2.5345804409897901"/>
  </r>
  <r>
    <x v="0"/>
    <x v="13"/>
    <x v="2"/>
    <x v="3"/>
    <s v="FinA"/>
    <x v="18"/>
    <n v="24.694747307373699"/>
    <n v="6.8596520298260204"/>
  </r>
  <r>
    <x v="0"/>
    <x v="13"/>
    <x v="2"/>
    <x v="3"/>
    <s v="FinA"/>
    <x v="19"/>
    <n v="8.1139884009941898"/>
    <n v="2.2538856669428302"/>
  </r>
  <r>
    <x v="0"/>
    <x v="13"/>
    <x v="2"/>
    <x v="3"/>
    <s v="FinA"/>
    <x v="20"/>
    <n v="20.3765303632313"/>
    <n v="5.6601473231197996"/>
  </r>
  <r>
    <x v="0"/>
    <x v="13"/>
    <x v="2"/>
    <x v="3"/>
    <s v="FinA"/>
    <x v="21"/>
    <n v="48.384"/>
    <n v="13.44"/>
  </r>
  <r>
    <x v="0"/>
    <x v="13"/>
    <x v="2"/>
    <x v="3"/>
    <s v="FinA"/>
    <x v="22"/>
    <n v="79.847999999999999"/>
    <n v="22.18"/>
  </r>
  <r>
    <x v="0"/>
    <x v="13"/>
    <x v="2"/>
    <x v="3"/>
    <s v="FinA"/>
    <x v="23"/>
    <n v="0.31515896120488701"/>
    <n v="8.7544155890246306E-2"/>
  </r>
  <r>
    <x v="0"/>
    <x v="13"/>
    <x v="2"/>
    <x v="3"/>
    <s v="FinA"/>
    <x v="24"/>
    <n v="19.174223581093901"/>
    <n v="5.32617321697054"/>
  </r>
  <r>
    <x v="0"/>
    <x v="13"/>
    <x v="2"/>
    <x v="3"/>
    <s v="FinA"/>
    <x v="25"/>
    <n v="23.613931806316799"/>
    <n v="6.5594255017546796"/>
  </r>
  <r>
    <x v="0"/>
    <x v="13"/>
    <x v="2"/>
    <x v="3"/>
    <s v="FinA"/>
    <x v="26"/>
    <n v="30.869217554900899"/>
    <n v="8.5747826541391401"/>
  </r>
  <r>
    <x v="0"/>
    <x v="13"/>
    <x v="2"/>
    <x v="3"/>
    <s v="FinA"/>
    <x v="27"/>
    <n v="20.163995508318798"/>
    <n v="5.6011098634218799"/>
  </r>
  <r>
    <x v="0"/>
    <x v="13"/>
    <x v="3"/>
    <x v="4"/>
    <s v="DE4-E_A"/>
    <x v="1"/>
    <n v="35.989199999999997"/>
    <n v="9.9969999999999999"/>
  </r>
  <r>
    <x v="0"/>
    <x v="13"/>
    <x v="3"/>
    <x v="4"/>
    <s v="DE4-E_A"/>
    <x v="2"/>
    <n v="48.384"/>
    <n v="13.44"/>
  </r>
  <r>
    <x v="0"/>
    <x v="13"/>
    <x v="3"/>
    <x v="4"/>
    <s v="DE4-E_A"/>
    <x v="0"/>
    <n v="42.692399999999999"/>
    <n v="11.859"/>
  </r>
  <r>
    <x v="0"/>
    <x v="13"/>
    <x v="3"/>
    <x v="4"/>
    <s v="DE4-E_A"/>
    <x v="3"/>
    <n v="51.633543144067197"/>
    <n v="14.342650873352"/>
  </r>
  <r>
    <x v="0"/>
    <x v="13"/>
    <x v="3"/>
    <x v="4"/>
    <s v="DE4-E_A"/>
    <x v="4"/>
    <n v="7.4084241922120802"/>
    <n v="2.0578956089478"/>
  </r>
  <r>
    <x v="0"/>
    <x v="13"/>
    <x v="3"/>
    <x v="4"/>
    <s v="DE4-E_A"/>
    <x v="5"/>
    <n v="7.4084241922120802"/>
    <n v="2.0578956089478"/>
  </r>
  <r>
    <x v="0"/>
    <x v="13"/>
    <x v="3"/>
    <x v="4"/>
    <s v="DE4-E_A"/>
    <x v="6"/>
    <n v="29.476231795214598"/>
    <n v="8.1878421653373898"/>
  </r>
  <r>
    <x v="0"/>
    <x v="13"/>
    <x v="3"/>
    <x v="4"/>
    <s v="DE4-E_A"/>
    <x v="7"/>
    <n v="57.838935220261199"/>
    <n v="16.066370894517"/>
  </r>
  <r>
    <x v="0"/>
    <x v="13"/>
    <x v="3"/>
    <x v="4"/>
    <s v="DE4-E_A"/>
    <x v="8"/>
    <n v="57.838935220261199"/>
    <n v="16.066370894517"/>
  </r>
  <r>
    <x v="0"/>
    <x v="13"/>
    <x v="3"/>
    <x v="4"/>
    <s v="DE4-E_A"/>
    <x v="9"/>
    <n v="44.803327257663497"/>
    <n v="12.4453686826843"/>
  </r>
  <r>
    <x v="0"/>
    <x v="13"/>
    <x v="3"/>
    <x v="4"/>
    <s v="DE4-E_A"/>
    <x v="10"/>
    <n v="54.681226180612903"/>
    <n v="15.1892294946147"/>
  </r>
  <r>
    <x v="0"/>
    <x v="13"/>
    <x v="3"/>
    <x v="4"/>
    <s v="DE4-E_A"/>
    <x v="11"/>
    <n v="3.8806031483015802"/>
    <n v="1.07794531897266"/>
  </r>
  <r>
    <x v="0"/>
    <x v="13"/>
    <x v="3"/>
    <x v="4"/>
    <s v="DE4-E_A"/>
    <x v="12"/>
    <n v="9.7995028997514597E-2"/>
    <n v="2.72208413881985E-2"/>
  </r>
  <r>
    <x v="0"/>
    <x v="13"/>
    <x v="3"/>
    <x v="4"/>
    <s v="DE4-E_A"/>
    <x v="13"/>
    <n v="24.694747307373699"/>
    <n v="6.8596520298260204"/>
  </r>
  <r>
    <x v="0"/>
    <x v="13"/>
    <x v="3"/>
    <x v="4"/>
    <s v="DE4-E_A"/>
    <x v="14"/>
    <n v="24.694747307373699"/>
    <n v="6.8596520298260204"/>
  </r>
  <r>
    <x v="0"/>
    <x v="13"/>
    <x v="3"/>
    <x v="4"/>
    <s v="DE4-E_A"/>
    <x v="15"/>
    <n v="1.65807589063794"/>
    <n v="0.46057663628831802"/>
  </r>
  <r>
    <x v="0"/>
    <x v="13"/>
    <x v="3"/>
    <x v="4"/>
    <s v="DE4-E_A"/>
    <x v="16"/>
    <n v="5.8520524559425198"/>
    <n v="1.6255701266507001"/>
  </r>
  <r>
    <x v="0"/>
    <x v="13"/>
    <x v="3"/>
    <x v="4"/>
    <s v="DE4-E_A"/>
    <x v="17"/>
    <n v="9.1244895875632395"/>
    <n v="2.5345804409897901"/>
  </r>
  <r>
    <x v="0"/>
    <x v="13"/>
    <x v="3"/>
    <x v="4"/>
    <s v="DE4-E_A"/>
    <x v="18"/>
    <n v="24.694747307373699"/>
    <n v="6.8596520298260204"/>
  </r>
  <r>
    <x v="0"/>
    <x v="13"/>
    <x v="3"/>
    <x v="4"/>
    <s v="DE4-E_A"/>
    <x v="19"/>
    <n v="8.1139884009941898"/>
    <n v="2.2538856669428302"/>
  </r>
  <r>
    <x v="0"/>
    <x v="13"/>
    <x v="3"/>
    <x v="4"/>
    <s v="DE4-E_A"/>
    <x v="20"/>
    <n v="20.3765303632313"/>
    <n v="5.6601473231197996"/>
  </r>
  <r>
    <x v="0"/>
    <x v="13"/>
    <x v="3"/>
    <x v="4"/>
    <s v="DE4-E_A"/>
    <x v="21"/>
    <n v="48.384"/>
    <n v="13.44"/>
  </r>
  <r>
    <x v="0"/>
    <x v="13"/>
    <x v="3"/>
    <x v="4"/>
    <s v="DE4-E_A"/>
    <x v="22"/>
    <n v="79.847999999999999"/>
    <n v="22.18"/>
  </r>
  <r>
    <x v="0"/>
    <x v="13"/>
    <x v="3"/>
    <x v="4"/>
    <s v="DE4-E_A"/>
    <x v="23"/>
    <n v="0.31515896120488701"/>
    <n v="8.7544155890246306E-2"/>
  </r>
  <r>
    <x v="0"/>
    <x v="13"/>
    <x v="3"/>
    <x v="4"/>
    <s v="DE4-E_A"/>
    <x v="24"/>
    <n v="19.174223581093901"/>
    <n v="5.32617321697054"/>
  </r>
  <r>
    <x v="0"/>
    <x v="13"/>
    <x v="3"/>
    <x v="4"/>
    <s v="DE4-E_A"/>
    <x v="25"/>
    <n v="23.613931806316799"/>
    <n v="6.5594255017546796"/>
  </r>
  <r>
    <x v="0"/>
    <x v="13"/>
    <x v="3"/>
    <x v="4"/>
    <s v="DE4-E_A"/>
    <x v="26"/>
    <n v="30.869217554900899"/>
    <n v="8.5747826541391401"/>
  </r>
  <r>
    <x v="0"/>
    <x v="13"/>
    <x v="3"/>
    <x v="4"/>
    <s v="DE4-E_A"/>
    <x v="27"/>
    <n v="20.163995508318798"/>
    <n v="5.6011098634218799"/>
  </r>
  <r>
    <x v="0"/>
    <x v="13"/>
    <x v="3"/>
    <x v="4"/>
    <s v="DE4-E_Offshore_A"/>
    <x v="1"/>
    <n v="35.989199999999997"/>
    <n v="9.9969999999999999"/>
  </r>
  <r>
    <x v="0"/>
    <x v="13"/>
    <x v="3"/>
    <x v="4"/>
    <s v="DE4-E_Offshore_A"/>
    <x v="2"/>
    <n v="48.384"/>
    <n v="13.44"/>
  </r>
  <r>
    <x v="0"/>
    <x v="13"/>
    <x v="3"/>
    <x v="4"/>
    <s v="DE4-E_Offshore_A"/>
    <x v="0"/>
    <n v="42.692399999999999"/>
    <n v="11.859"/>
  </r>
  <r>
    <x v="0"/>
    <x v="13"/>
    <x v="3"/>
    <x v="4"/>
    <s v="DE4-E_Offshore_A"/>
    <x v="3"/>
    <n v="51.633543144067197"/>
    <n v="14.342650873352"/>
  </r>
  <r>
    <x v="0"/>
    <x v="13"/>
    <x v="3"/>
    <x v="4"/>
    <s v="DE4-E_Offshore_A"/>
    <x v="4"/>
    <n v="7.4084241922120802"/>
    <n v="2.0578956089478"/>
  </r>
  <r>
    <x v="0"/>
    <x v="13"/>
    <x v="3"/>
    <x v="4"/>
    <s v="DE4-E_Offshore_A"/>
    <x v="5"/>
    <n v="7.4084241922120802"/>
    <n v="2.0578956089478"/>
  </r>
  <r>
    <x v="0"/>
    <x v="13"/>
    <x v="3"/>
    <x v="4"/>
    <s v="DE4-E_Offshore_A"/>
    <x v="6"/>
    <n v="29.476231795214598"/>
    <n v="8.1878421653373898"/>
  </r>
  <r>
    <x v="0"/>
    <x v="13"/>
    <x v="3"/>
    <x v="4"/>
    <s v="DE4-E_Offshore_A"/>
    <x v="7"/>
    <n v="57.838935220261199"/>
    <n v="16.066370894517"/>
  </r>
  <r>
    <x v="0"/>
    <x v="13"/>
    <x v="3"/>
    <x v="4"/>
    <s v="DE4-E_Offshore_A"/>
    <x v="8"/>
    <n v="57.838935220261199"/>
    <n v="16.066370894517"/>
  </r>
  <r>
    <x v="0"/>
    <x v="13"/>
    <x v="3"/>
    <x v="4"/>
    <s v="DE4-E_Offshore_A"/>
    <x v="9"/>
    <n v="44.803327257663497"/>
    <n v="12.4453686826843"/>
  </r>
  <r>
    <x v="0"/>
    <x v="13"/>
    <x v="3"/>
    <x v="4"/>
    <s v="DE4-E_Offshore_A"/>
    <x v="10"/>
    <n v="54.681226180612903"/>
    <n v="15.1892294946147"/>
  </r>
  <r>
    <x v="0"/>
    <x v="13"/>
    <x v="3"/>
    <x v="4"/>
    <s v="DE4-E_Offshore_A"/>
    <x v="11"/>
    <n v="3.8806031483015802"/>
    <n v="1.07794531897266"/>
  </r>
  <r>
    <x v="0"/>
    <x v="13"/>
    <x v="3"/>
    <x v="4"/>
    <s v="DE4-E_Offshore_A"/>
    <x v="12"/>
    <n v="9.7995028997514597E-2"/>
    <n v="2.72208413881985E-2"/>
  </r>
  <r>
    <x v="0"/>
    <x v="13"/>
    <x v="3"/>
    <x v="4"/>
    <s v="DE4-E_Offshore_A"/>
    <x v="13"/>
    <n v="24.694747307373699"/>
    <n v="6.8596520298260204"/>
  </r>
  <r>
    <x v="0"/>
    <x v="13"/>
    <x v="3"/>
    <x v="4"/>
    <s v="DE4-E_Offshore_A"/>
    <x v="14"/>
    <n v="24.694747307373699"/>
    <n v="6.8596520298260204"/>
  </r>
  <r>
    <x v="0"/>
    <x v="13"/>
    <x v="3"/>
    <x v="4"/>
    <s v="DE4-E_Offshore_A"/>
    <x v="15"/>
    <n v="1.65807589063794"/>
    <n v="0.46057663628831802"/>
  </r>
  <r>
    <x v="0"/>
    <x v="13"/>
    <x v="3"/>
    <x v="4"/>
    <s v="DE4-E_Offshore_A"/>
    <x v="16"/>
    <n v="5.8520524559425198"/>
    <n v="1.6255701266507001"/>
  </r>
  <r>
    <x v="0"/>
    <x v="13"/>
    <x v="3"/>
    <x v="4"/>
    <s v="DE4-E_Offshore_A"/>
    <x v="17"/>
    <n v="9.1244895875632395"/>
    <n v="2.5345804409897901"/>
  </r>
  <r>
    <x v="0"/>
    <x v="13"/>
    <x v="3"/>
    <x v="4"/>
    <s v="DE4-E_Offshore_A"/>
    <x v="18"/>
    <n v="24.694747307373699"/>
    <n v="6.8596520298260204"/>
  </r>
  <r>
    <x v="0"/>
    <x v="13"/>
    <x v="3"/>
    <x v="4"/>
    <s v="DE4-E_Offshore_A"/>
    <x v="19"/>
    <n v="8.1139884009941898"/>
    <n v="2.2538856669428302"/>
  </r>
  <r>
    <x v="0"/>
    <x v="13"/>
    <x v="3"/>
    <x v="4"/>
    <s v="DE4-E_Offshore_A"/>
    <x v="20"/>
    <n v="20.3765303632313"/>
    <n v="5.6601473231197996"/>
  </r>
  <r>
    <x v="0"/>
    <x v="13"/>
    <x v="3"/>
    <x v="4"/>
    <s v="DE4-E_Offshore_A"/>
    <x v="21"/>
    <n v="48.384"/>
    <n v="13.44"/>
  </r>
  <r>
    <x v="0"/>
    <x v="13"/>
    <x v="3"/>
    <x v="4"/>
    <s v="DE4-E_Offshore_A"/>
    <x v="22"/>
    <n v="79.847999999999999"/>
    <n v="22.18"/>
  </r>
  <r>
    <x v="0"/>
    <x v="13"/>
    <x v="3"/>
    <x v="4"/>
    <s v="DE4-E_Offshore_A"/>
    <x v="23"/>
    <n v="0.31515896120488701"/>
    <n v="8.7544155890246306E-2"/>
  </r>
  <r>
    <x v="0"/>
    <x v="13"/>
    <x v="3"/>
    <x v="4"/>
    <s v="DE4-E_Offshore_A"/>
    <x v="24"/>
    <n v="19.174223581093901"/>
    <n v="5.32617321697054"/>
  </r>
  <r>
    <x v="0"/>
    <x v="13"/>
    <x v="3"/>
    <x v="4"/>
    <s v="DE4-E_Offshore_A"/>
    <x v="25"/>
    <n v="23.613931806316799"/>
    <n v="6.5594255017546796"/>
  </r>
  <r>
    <x v="0"/>
    <x v="13"/>
    <x v="3"/>
    <x v="4"/>
    <s v="DE4-E_Offshore_A"/>
    <x v="26"/>
    <n v="30.869217554900899"/>
    <n v="8.5747826541391401"/>
  </r>
  <r>
    <x v="0"/>
    <x v="13"/>
    <x v="3"/>
    <x v="4"/>
    <s v="DE4-E_Offshore_A"/>
    <x v="27"/>
    <n v="20.163995508318798"/>
    <n v="5.6011098634218799"/>
  </r>
  <r>
    <x v="0"/>
    <x v="13"/>
    <x v="3"/>
    <x v="5"/>
    <s v="DE4-N_A"/>
    <x v="1"/>
    <n v="35.989199999999997"/>
    <n v="9.9969999999999999"/>
  </r>
  <r>
    <x v="0"/>
    <x v="13"/>
    <x v="3"/>
    <x v="5"/>
    <s v="DE4-N_A"/>
    <x v="2"/>
    <n v="48.384"/>
    <n v="13.44"/>
  </r>
  <r>
    <x v="0"/>
    <x v="13"/>
    <x v="3"/>
    <x v="5"/>
    <s v="DE4-N_A"/>
    <x v="0"/>
    <n v="42.692399999999999"/>
    <n v="11.859"/>
  </r>
  <r>
    <x v="0"/>
    <x v="13"/>
    <x v="3"/>
    <x v="5"/>
    <s v="DE4-N_A"/>
    <x v="3"/>
    <n v="51.633543144067197"/>
    <n v="14.342650873352"/>
  </r>
  <r>
    <x v="0"/>
    <x v="13"/>
    <x v="3"/>
    <x v="5"/>
    <s v="DE4-N_A"/>
    <x v="4"/>
    <n v="7.4084241922120802"/>
    <n v="2.0578956089478"/>
  </r>
  <r>
    <x v="0"/>
    <x v="13"/>
    <x v="3"/>
    <x v="5"/>
    <s v="DE4-N_A"/>
    <x v="5"/>
    <n v="7.4084241922120802"/>
    <n v="2.0578956089478"/>
  </r>
  <r>
    <x v="0"/>
    <x v="13"/>
    <x v="3"/>
    <x v="5"/>
    <s v="DE4-N_A"/>
    <x v="6"/>
    <n v="29.476231795214598"/>
    <n v="8.1878421653373898"/>
  </r>
  <r>
    <x v="0"/>
    <x v="13"/>
    <x v="3"/>
    <x v="5"/>
    <s v="DE4-N_A"/>
    <x v="7"/>
    <n v="57.838935220261199"/>
    <n v="16.066370894517"/>
  </r>
  <r>
    <x v="0"/>
    <x v="13"/>
    <x v="3"/>
    <x v="5"/>
    <s v="DE4-N_A"/>
    <x v="8"/>
    <n v="57.838935220261199"/>
    <n v="16.066370894517"/>
  </r>
  <r>
    <x v="0"/>
    <x v="13"/>
    <x v="3"/>
    <x v="5"/>
    <s v="DE4-N_A"/>
    <x v="9"/>
    <n v="44.803327257663497"/>
    <n v="12.4453686826843"/>
  </r>
  <r>
    <x v="0"/>
    <x v="13"/>
    <x v="3"/>
    <x v="5"/>
    <s v="DE4-N_A"/>
    <x v="10"/>
    <n v="54.681226180612903"/>
    <n v="15.1892294946147"/>
  </r>
  <r>
    <x v="0"/>
    <x v="13"/>
    <x v="3"/>
    <x v="5"/>
    <s v="DE4-N_A"/>
    <x v="11"/>
    <n v="3.8806031483015802"/>
    <n v="1.07794531897266"/>
  </r>
  <r>
    <x v="0"/>
    <x v="13"/>
    <x v="3"/>
    <x v="5"/>
    <s v="DE4-N_A"/>
    <x v="12"/>
    <n v="9.7995028997514597E-2"/>
    <n v="2.72208413881985E-2"/>
  </r>
  <r>
    <x v="0"/>
    <x v="13"/>
    <x v="3"/>
    <x v="5"/>
    <s v="DE4-N_A"/>
    <x v="13"/>
    <n v="24.694747307373699"/>
    <n v="6.8596520298260204"/>
  </r>
  <r>
    <x v="0"/>
    <x v="13"/>
    <x v="3"/>
    <x v="5"/>
    <s v="DE4-N_A"/>
    <x v="14"/>
    <n v="24.694747307373699"/>
    <n v="6.8596520298260204"/>
  </r>
  <r>
    <x v="0"/>
    <x v="13"/>
    <x v="3"/>
    <x v="5"/>
    <s v="DE4-N_A"/>
    <x v="15"/>
    <n v="1.65807589063794"/>
    <n v="0.46057663628831802"/>
  </r>
  <r>
    <x v="0"/>
    <x v="13"/>
    <x v="3"/>
    <x v="5"/>
    <s v="DE4-N_A"/>
    <x v="16"/>
    <n v="5.8520524559425198"/>
    <n v="1.6255701266507001"/>
  </r>
  <r>
    <x v="0"/>
    <x v="13"/>
    <x v="3"/>
    <x v="5"/>
    <s v="DE4-N_A"/>
    <x v="17"/>
    <n v="9.1244895875632395"/>
    <n v="2.5345804409897901"/>
  </r>
  <r>
    <x v="0"/>
    <x v="13"/>
    <x v="3"/>
    <x v="5"/>
    <s v="DE4-N_A"/>
    <x v="18"/>
    <n v="24.694747307373699"/>
    <n v="6.8596520298260204"/>
  </r>
  <r>
    <x v="0"/>
    <x v="13"/>
    <x v="3"/>
    <x v="5"/>
    <s v="DE4-N_A"/>
    <x v="19"/>
    <n v="8.1139884009941898"/>
    <n v="2.2538856669428302"/>
  </r>
  <r>
    <x v="0"/>
    <x v="13"/>
    <x v="3"/>
    <x v="5"/>
    <s v="DE4-N_A"/>
    <x v="20"/>
    <n v="20.3765303632313"/>
    <n v="5.6601473231197996"/>
  </r>
  <r>
    <x v="0"/>
    <x v="13"/>
    <x v="3"/>
    <x v="5"/>
    <s v="DE4-N_A"/>
    <x v="21"/>
    <n v="48.384"/>
    <n v="13.44"/>
  </r>
  <r>
    <x v="0"/>
    <x v="13"/>
    <x v="3"/>
    <x v="5"/>
    <s v="DE4-N_A"/>
    <x v="22"/>
    <n v="79.847999999999999"/>
    <n v="22.18"/>
  </r>
  <r>
    <x v="0"/>
    <x v="13"/>
    <x v="3"/>
    <x v="5"/>
    <s v="DE4-N_A"/>
    <x v="23"/>
    <n v="0.31515896120488701"/>
    <n v="8.7544155890246306E-2"/>
  </r>
  <r>
    <x v="0"/>
    <x v="13"/>
    <x v="3"/>
    <x v="5"/>
    <s v="DE4-N_A"/>
    <x v="24"/>
    <n v="19.174223581093901"/>
    <n v="5.32617321697054"/>
  </r>
  <r>
    <x v="0"/>
    <x v="13"/>
    <x v="3"/>
    <x v="5"/>
    <s v="DE4-N_A"/>
    <x v="25"/>
    <n v="23.613931806316799"/>
    <n v="6.5594255017546796"/>
  </r>
  <r>
    <x v="0"/>
    <x v="13"/>
    <x v="3"/>
    <x v="5"/>
    <s v="DE4-N_A"/>
    <x v="26"/>
    <n v="30.869217554900899"/>
    <n v="8.5747826541391401"/>
  </r>
  <r>
    <x v="0"/>
    <x v="13"/>
    <x v="3"/>
    <x v="5"/>
    <s v="DE4-N_A"/>
    <x v="27"/>
    <n v="20.163995508318798"/>
    <n v="5.6011098634218799"/>
  </r>
  <r>
    <x v="0"/>
    <x v="13"/>
    <x v="3"/>
    <x v="5"/>
    <s v="DE4-N_Offshore_A"/>
    <x v="1"/>
    <n v="35.989199999999997"/>
    <n v="9.9969999999999999"/>
  </r>
  <r>
    <x v="0"/>
    <x v="13"/>
    <x v="3"/>
    <x v="5"/>
    <s v="DE4-N_Offshore_A"/>
    <x v="2"/>
    <n v="48.384"/>
    <n v="13.44"/>
  </r>
  <r>
    <x v="0"/>
    <x v="13"/>
    <x v="3"/>
    <x v="5"/>
    <s v="DE4-N_Offshore_A"/>
    <x v="0"/>
    <n v="42.692399999999999"/>
    <n v="11.859"/>
  </r>
  <r>
    <x v="0"/>
    <x v="13"/>
    <x v="3"/>
    <x v="5"/>
    <s v="DE4-N_Offshore_A"/>
    <x v="3"/>
    <n v="51.633543144067197"/>
    <n v="14.342650873352"/>
  </r>
  <r>
    <x v="0"/>
    <x v="13"/>
    <x v="3"/>
    <x v="5"/>
    <s v="DE4-N_Offshore_A"/>
    <x v="4"/>
    <n v="7.4084241922120802"/>
    <n v="2.0578956089478"/>
  </r>
  <r>
    <x v="0"/>
    <x v="13"/>
    <x v="3"/>
    <x v="5"/>
    <s v="DE4-N_Offshore_A"/>
    <x v="5"/>
    <n v="7.4084241922120802"/>
    <n v="2.0578956089478"/>
  </r>
  <r>
    <x v="0"/>
    <x v="13"/>
    <x v="3"/>
    <x v="5"/>
    <s v="DE4-N_Offshore_A"/>
    <x v="6"/>
    <n v="29.476231795214598"/>
    <n v="8.1878421653373898"/>
  </r>
  <r>
    <x v="0"/>
    <x v="13"/>
    <x v="3"/>
    <x v="5"/>
    <s v="DE4-N_Offshore_A"/>
    <x v="7"/>
    <n v="57.838935220261199"/>
    <n v="16.066370894517"/>
  </r>
  <r>
    <x v="0"/>
    <x v="13"/>
    <x v="3"/>
    <x v="5"/>
    <s v="DE4-N_Offshore_A"/>
    <x v="8"/>
    <n v="57.838935220261199"/>
    <n v="16.066370894517"/>
  </r>
  <r>
    <x v="0"/>
    <x v="13"/>
    <x v="3"/>
    <x v="5"/>
    <s v="DE4-N_Offshore_A"/>
    <x v="9"/>
    <n v="44.803327257663497"/>
    <n v="12.4453686826843"/>
  </r>
  <r>
    <x v="0"/>
    <x v="13"/>
    <x v="3"/>
    <x v="5"/>
    <s v="DE4-N_Offshore_A"/>
    <x v="10"/>
    <n v="54.681226180612903"/>
    <n v="15.1892294946147"/>
  </r>
  <r>
    <x v="0"/>
    <x v="13"/>
    <x v="3"/>
    <x v="5"/>
    <s v="DE4-N_Offshore_A"/>
    <x v="11"/>
    <n v="3.8806031483015802"/>
    <n v="1.07794531897266"/>
  </r>
  <r>
    <x v="0"/>
    <x v="13"/>
    <x v="3"/>
    <x v="5"/>
    <s v="DE4-N_Offshore_A"/>
    <x v="12"/>
    <n v="9.7995028997514597E-2"/>
    <n v="2.72208413881985E-2"/>
  </r>
  <r>
    <x v="0"/>
    <x v="13"/>
    <x v="3"/>
    <x v="5"/>
    <s v="DE4-N_Offshore_A"/>
    <x v="13"/>
    <n v="24.694747307373699"/>
    <n v="6.8596520298260204"/>
  </r>
  <r>
    <x v="0"/>
    <x v="13"/>
    <x v="3"/>
    <x v="5"/>
    <s v="DE4-N_Offshore_A"/>
    <x v="14"/>
    <n v="24.694747307373699"/>
    <n v="6.8596520298260204"/>
  </r>
  <r>
    <x v="0"/>
    <x v="13"/>
    <x v="3"/>
    <x v="5"/>
    <s v="DE4-N_Offshore_A"/>
    <x v="15"/>
    <n v="1.65807589063794"/>
    <n v="0.46057663628831802"/>
  </r>
  <r>
    <x v="0"/>
    <x v="13"/>
    <x v="3"/>
    <x v="5"/>
    <s v="DE4-N_Offshore_A"/>
    <x v="16"/>
    <n v="5.8520524559425198"/>
    <n v="1.6255701266507001"/>
  </r>
  <r>
    <x v="0"/>
    <x v="13"/>
    <x v="3"/>
    <x v="5"/>
    <s v="DE4-N_Offshore_A"/>
    <x v="17"/>
    <n v="9.1244895875632395"/>
    <n v="2.5345804409897901"/>
  </r>
  <r>
    <x v="0"/>
    <x v="13"/>
    <x v="3"/>
    <x v="5"/>
    <s v="DE4-N_Offshore_A"/>
    <x v="18"/>
    <n v="24.694747307373699"/>
    <n v="6.8596520298260204"/>
  </r>
  <r>
    <x v="0"/>
    <x v="13"/>
    <x v="3"/>
    <x v="5"/>
    <s v="DE4-N_Offshore_A"/>
    <x v="19"/>
    <n v="8.1139884009941898"/>
    <n v="2.2538856669428302"/>
  </r>
  <r>
    <x v="0"/>
    <x v="13"/>
    <x v="3"/>
    <x v="5"/>
    <s v="DE4-N_Offshore_A"/>
    <x v="20"/>
    <n v="20.3765303632313"/>
    <n v="5.6601473231197996"/>
  </r>
  <r>
    <x v="0"/>
    <x v="13"/>
    <x v="3"/>
    <x v="5"/>
    <s v="DE4-N_Offshore_A"/>
    <x v="21"/>
    <n v="48.384"/>
    <n v="13.44"/>
  </r>
  <r>
    <x v="0"/>
    <x v="13"/>
    <x v="3"/>
    <x v="5"/>
    <s v="DE4-N_Offshore_A"/>
    <x v="22"/>
    <n v="79.847999999999999"/>
    <n v="22.18"/>
  </r>
  <r>
    <x v="0"/>
    <x v="13"/>
    <x v="3"/>
    <x v="5"/>
    <s v="DE4-N_Offshore_A"/>
    <x v="23"/>
    <n v="0.31515896120488701"/>
    <n v="8.7544155890246306E-2"/>
  </r>
  <r>
    <x v="0"/>
    <x v="13"/>
    <x v="3"/>
    <x v="5"/>
    <s v="DE4-N_Offshore_A"/>
    <x v="24"/>
    <n v="19.174223581093901"/>
    <n v="5.32617321697054"/>
  </r>
  <r>
    <x v="0"/>
    <x v="13"/>
    <x v="3"/>
    <x v="5"/>
    <s v="DE4-N_Offshore_A"/>
    <x v="25"/>
    <n v="23.613931806316799"/>
    <n v="6.5594255017546796"/>
  </r>
  <r>
    <x v="0"/>
    <x v="13"/>
    <x v="3"/>
    <x v="5"/>
    <s v="DE4-N_Offshore_A"/>
    <x v="26"/>
    <n v="30.869217554900899"/>
    <n v="8.5747826541391401"/>
  </r>
  <r>
    <x v="0"/>
    <x v="13"/>
    <x v="3"/>
    <x v="5"/>
    <s v="DE4-N_Offshore_A"/>
    <x v="27"/>
    <n v="20.163995508318798"/>
    <n v="5.6011098634218799"/>
  </r>
  <r>
    <x v="0"/>
    <x v="13"/>
    <x v="3"/>
    <x v="6"/>
    <s v="DE4-S_A"/>
    <x v="1"/>
    <n v="35.989199999999997"/>
    <n v="9.9969999999999999"/>
  </r>
  <r>
    <x v="0"/>
    <x v="13"/>
    <x v="3"/>
    <x v="6"/>
    <s v="DE4-S_A"/>
    <x v="2"/>
    <n v="48.384"/>
    <n v="13.44"/>
  </r>
  <r>
    <x v="0"/>
    <x v="13"/>
    <x v="3"/>
    <x v="6"/>
    <s v="DE4-S_A"/>
    <x v="0"/>
    <n v="42.692399999999999"/>
    <n v="11.859"/>
  </r>
  <r>
    <x v="0"/>
    <x v="13"/>
    <x v="3"/>
    <x v="6"/>
    <s v="DE4-S_A"/>
    <x v="3"/>
    <n v="51.633543144067197"/>
    <n v="14.342650873352"/>
  </r>
  <r>
    <x v="0"/>
    <x v="13"/>
    <x v="3"/>
    <x v="6"/>
    <s v="DE4-S_A"/>
    <x v="4"/>
    <n v="7.4084241922120802"/>
    <n v="2.0578956089478"/>
  </r>
  <r>
    <x v="0"/>
    <x v="13"/>
    <x v="3"/>
    <x v="6"/>
    <s v="DE4-S_A"/>
    <x v="5"/>
    <n v="7.4084241922120802"/>
    <n v="2.0578956089478"/>
  </r>
  <r>
    <x v="0"/>
    <x v="13"/>
    <x v="3"/>
    <x v="6"/>
    <s v="DE4-S_A"/>
    <x v="6"/>
    <n v="29.476231795214598"/>
    <n v="8.1878421653373898"/>
  </r>
  <r>
    <x v="0"/>
    <x v="13"/>
    <x v="3"/>
    <x v="6"/>
    <s v="DE4-S_A"/>
    <x v="7"/>
    <n v="57.838935220261199"/>
    <n v="16.066370894517"/>
  </r>
  <r>
    <x v="0"/>
    <x v="13"/>
    <x v="3"/>
    <x v="6"/>
    <s v="DE4-S_A"/>
    <x v="8"/>
    <n v="57.838935220261199"/>
    <n v="16.066370894517"/>
  </r>
  <r>
    <x v="0"/>
    <x v="13"/>
    <x v="3"/>
    <x v="6"/>
    <s v="DE4-S_A"/>
    <x v="9"/>
    <n v="44.803327257663497"/>
    <n v="12.4453686826843"/>
  </r>
  <r>
    <x v="0"/>
    <x v="13"/>
    <x v="3"/>
    <x v="6"/>
    <s v="DE4-S_A"/>
    <x v="10"/>
    <n v="54.681226180612903"/>
    <n v="15.1892294946147"/>
  </r>
  <r>
    <x v="0"/>
    <x v="13"/>
    <x v="3"/>
    <x v="6"/>
    <s v="DE4-S_A"/>
    <x v="11"/>
    <n v="3.8806031483015802"/>
    <n v="1.07794531897266"/>
  </r>
  <r>
    <x v="0"/>
    <x v="13"/>
    <x v="3"/>
    <x v="6"/>
    <s v="DE4-S_A"/>
    <x v="12"/>
    <n v="9.7995028997514597E-2"/>
    <n v="2.72208413881985E-2"/>
  </r>
  <r>
    <x v="0"/>
    <x v="13"/>
    <x v="3"/>
    <x v="6"/>
    <s v="DE4-S_A"/>
    <x v="13"/>
    <n v="24.694747307373699"/>
    <n v="6.8596520298260204"/>
  </r>
  <r>
    <x v="0"/>
    <x v="13"/>
    <x v="3"/>
    <x v="6"/>
    <s v="DE4-S_A"/>
    <x v="14"/>
    <n v="24.694747307373699"/>
    <n v="6.8596520298260204"/>
  </r>
  <r>
    <x v="0"/>
    <x v="13"/>
    <x v="3"/>
    <x v="6"/>
    <s v="DE4-S_A"/>
    <x v="15"/>
    <n v="1.65807589063794"/>
    <n v="0.46057663628831802"/>
  </r>
  <r>
    <x v="0"/>
    <x v="13"/>
    <x v="3"/>
    <x v="6"/>
    <s v="DE4-S_A"/>
    <x v="16"/>
    <n v="5.8520524559425198"/>
    <n v="1.6255701266507001"/>
  </r>
  <r>
    <x v="0"/>
    <x v="13"/>
    <x v="3"/>
    <x v="6"/>
    <s v="DE4-S_A"/>
    <x v="17"/>
    <n v="9.1244895875632395"/>
    <n v="2.5345804409897901"/>
  </r>
  <r>
    <x v="0"/>
    <x v="13"/>
    <x v="3"/>
    <x v="6"/>
    <s v="DE4-S_A"/>
    <x v="18"/>
    <n v="24.694747307373699"/>
    <n v="6.8596520298260204"/>
  </r>
  <r>
    <x v="0"/>
    <x v="13"/>
    <x v="3"/>
    <x v="6"/>
    <s v="DE4-S_A"/>
    <x v="19"/>
    <n v="8.1139884009941898"/>
    <n v="2.2538856669428302"/>
  </r>
  <r>
    <x v="0"/>
    <x v="13"/>
    <x v="3"/>
    <x v="6"/>
    <s v="DE4-S_A"/>
    <x v="20"/>
    <n v="20.3765303632313"/>
    <n v="5.6601473231197996"/>
  </r>
  <r>
    <x v="0"/>
    <x v="13"/>
    <x v="3"/>
    <x v="6"/>
    <s v="DE4-S_A"/>
    <x v="21"/>
    <n v="48.384"/>
    <n v="13.44"/>
  </r>
  <r>
    <x v="0"/>
    <x v="13"/>
    <x v="3"/>
    <x v="6"/>
    <s v="DE4-S_A"/>
    <x v="22"/>
    <n v="79.847999999999999"/>
    <n v="22.18"/>
  </r>
  <r>
    <x v="0"/>
    <x v="13"/>
    <x v="3"/>
    <x v="6"/>
    <s v="DE4-S_A"/>
    <x v="23"/>
    <n v="0.31515896120488701"/>
    <n v="8.7544155890246306E-2"/>
  </r>
  <r>
    <x v="0"/>
    <x v="13"/>
    <x v="3"/>
    <x v="6"/>
    <s v="DE4-S_A"/>
    <x v="24"/>
    <n v="19.174223581093901"/>
    <n v="5.32617321697054"/>
  </r>
  <r>
    <x v="0"/>
    <x v="13"/>
    <x v="3"/>
    <x v="6"/>
    <s v="DE4-S_A"/>
    <x v="25"/>
    <n v="23.613931806316799"/>
    <n v="6.5594255017546796"/>
  </r>
  <r>
    <x v="0"/>
    <x v="13"/>
    <x v="3"/>
    <x v="6"/>
    <s v="DE4-S_A"/>
    <x v="26"/>
    <n v="30.869217554900899"/>
    <n v="8.5747826541391401"/>
  </r>
  <r>
    <x v="0"/>
    <x v="13"/>
    <x v="3"/>
    <x v="6"/>
    <s v="DE4-S_A"/>
    <x v="27"/>
    <n v="20.163995508318798"/>
    <n v="5.6011098634218799"/>
  </r>
  <r>
    <x v="0"/>
    <x v="13"/>
    <x v="3"/>
    <x v="7"/>
    <s v="DE4-W_A"/>
    <x v="1"/>
    <n v="35.989199999999997"/>
    <n v="9.9969999999999999"/>
  </r>
  <r>
    <x v="0"/>
    <x v="13"/>
    <x v="3"/>
    <x v="7"/>
    <s v="DE4-W_A"/>
    <x v="2"/>
    <n v="48.384"/>
    <n v="13.44"/>
  </r>
  <r>
    <x v="0"/>
    <x v="13"/>
    <x v="3"/>
    <x v="7"/>
    <s v="DE4-W_A"/>
    <x v="0"/>
    <n v="42.692399999999999"/>
    <n v="11.859"/>
  </r>
  <r>
    <x v="0"/>
    <x v="13"/>
    <x v="3"/>
    <x v="7"/>
    <s v="DE4-W_A"/>
    <x v="3"/>
    <n v="51.633543144067197"/>
    <n v="14.342650873352"/>
  </r>
  <r>
    <x v="0"/>
    <x v="13"/>
    <x v="3"/>
    <x v="7"/>
    <s v="DE4-W_A"/>
    <x v="4"/>
    <n v="7.4084241922120802"/>
    <n v="2.0578956089478"/>
  </r>
  <r>
    <x v="0"/>
    <x v="13"/>
    <x v="3"/>
    <x v="7"/>
    <s v="DE4-W_A"/>
    <x v="5"/>
    <n v="7.4084241922120802"/>
    <n v="2.0578956089478"/>
  </r>
  <r>
    <x v="0"/>
    <x v="13"/>
    <x v="3"/>
    <x v="7"/>
    <s v="DE4-W_A"/>
    <x v="6"/>
    <n v="29.476231795214598"/>
    <n v="8.1878421653373898"/>
  </r>
  <r>
    <x v="0"/>
    <x v="13"/>
    <x v="3"/>
    <x v="7"/>
    <s v="DE4-W_A"/>
    <x v="7"/>
    <n v="57.838935220261199"/>
    <n v="16.066370894517"/>
  </r>
  <r>
    <x v="0"/>
    <x v="13"/>
    <x v="3"/>
    <x v="7"/>
    <s v="DE4-W_A"/>
    <x v="8"/>
    <n v="57.838935220261199"/>
    <n v="16.066370894517"/>
  </r>
  <r>
    <x v="0"/>
    <x v="13"/>
    <x v="3"/>
    <x v="7"/>
    <s v="DE4-W_A"/>
    <x v="9"/>
    <n v="44.803327257663497"/>
    <n v="12.4453686826843"/>
  </r>
  <r>
    <x v="0"/>
    <x v="13"/>
    <x v="3"/>
    <x v="7"/>
    <s v="DE4-W_A"/>
    <x v="10"/>
    <n v="54.681226180612903"/>
    <n v="15.1892294946147"/>
  </r>
  <r>
    <x v="0"/>
    <x v="13"/>
    <x v="3"/>
    <x v="7"/>
    <s v="DE4-W_A"/>
    <x v="11"/>
    <n v="3.8806031483015802"/>
    <n v="1.07794531897266"/>
  </r>
  <r>
    <x v="0"/>
    <x v="13"/>
    <x v="3"/>
    <x v="7"/>
    <s v="DE4-W_A"/>
    <x v="12"/>
    <n v="9.7995028997514597E-2"/>
    <n v="2.72208413881985E-2"/>
  </r>
  <r>
    <x v="0"/>
    <x v="13"/>
    <x v="3"/>
    <x v="7"/>
    <s v="DE4-W_A"/>
    <x v="13"/>
    <n v="24.694747307373699"/>
    <n v="6.8596520298260204"/>
  </r>
  <r>
    <x v="0"/>
    <x v="13"/>
    <x v="3"/>
    <x v="7"/>
    <s v="DE4-W_A"/>
    <x v="14"/>
    <n v="24.694747307373699"/>
    <n v="6.8596520298260204"/>
  </r>
  <r>
    <x v="0"/>
    <x v="13"/>
    <x v="3"/>
    <x v="7"/>
    <s v="DE4-W_A"/>
    <x v="15"/>
    <n v="1.65807589063794"/>
    <n v="0.46057663628831802"/>
  </r>
  <r>
    <x v="0"/>
    <x v="13"/>
    <x v="3"/>
    <x v="7"/>
    <s v="DE4-W_A"/>
    <x v="16"/>
    <n v="5.8520524559425198"/>
    <n v="1.6255701266507001"/>
  </r>
  <r>
    <x v="0"/>
    <x v="13"/>
    <x v="3"/>
    <x v="7"/>
    <s v="DE4-W_A"/>
    <x v="17"/>
    <n v="9.1244895875632395"/>
    <n v="2.5345804409897901"/>
  </r>
  <r>
    <x v="0"/>
    <x v="13"/>
    <x v="3"/>
    <x v="7"/>
    <s v="DE4-W_A"/>
    <x v="18"/>
    <n v="24.694747307373699"/>
    <n v="6.8596520298260204"/>
  </r>
  <r>
    <x v="0"/>
    <x v="13"/>
    <x v="3"/>
    <x v="7"/>
    <s v="DE4-W_A"/>
    <x v="19"/>
    <n v="8.1139884009941898"/>
    <n v="2.2538856669428302"/>
  </r>
  <r>
    <x v="0"/>
    <x v="13"/>
    <x v="3"/>
    <x v="7"/>
    <s v="DE4-W_A"/>
    <x v="20"/>
    <n v="20.3765303632313"/>
    <n v="5.6601473231197996"/>
  </r>
  <r>
    <x v="0"/>
    <x v="13"/>
    <x v="3"/>
    <x v="7"/>
    <s v="DE4-W_A"/>
    <x v="21"/>
    <n v="48.384"/>
    <n v="13.44"/>
  </r>
  <r>
    <x v="0"/>
    <x v="13"/>
    <x v="3"/>
    <x v="7"/>
    <s v="DE4-W_A"/>
    <x v="22"/>
    <n v="79.847999999999999"/>
    <n v="22.18"/>
  </r>
  <r>
    <x v="0"/>
    <x v="13"/>
    <x v="3"/>
    <x v="7"/>
    <s v="DE4-W_A"/>
    <x v="23"/>
    <n v="0.31515896120488701"/>
    <n v="8.7544155890246306E-2"/>
  </r>
  <r>
    <x v="0"/>
    <x v="13"/>
    <x v="3"/>
    <x v="7"/>
    <s v="DE4-W_A"/>
    <x v="24"/>
    <n v="19.174223581093901"/>
    <n v="5.32617321697054"/>
  </r>
  <r>
    <x v="0"/>
    <x v="13"/>
    <x v="3"/>
    <x v="7"/>
    <s v="DE4-W_A"/>
    <x v="25"/>
    <n v="23.613931806316799"/>
    <n v="6.5594255017546796"/>
  </r>
  <r>
    <x v="0"/>
    <x v="13"/>
    <x v="3"/>
    <x v="7"/>
    <s v="DE4-W_A"/>
    <x v="26"/>
    <n v="30.869217554900899"/>
    <n v="8.5747826541391401"/>
  </r>
  <r>
    <x v="0"/>
    <x v="13"/>
    <x v="3"/>
    <x v="7"/>
    <s v="DE4-W_A"/>
    <x v="27"/>
    <n v="20.163995508318798"/>
    <n v="5.6011098634218799"/>
  </r>
  <r>
    <x v="0"/>
    <x v="13"/>
    <x v="3"/>
    <x v="7"/>
    <s v="DE4-W_Offshore_A"/>
    <x v="1"/>
    <n v="35.989199999999997"/>
    <n v="9.9969999999999999"/>
  </r>
  <r>
    <x v="0"/>
    <x v="13"/>
    <x v="3"/>
    <x v="7"/>
    <s v="DE4-W_Offshore_A"/>
    <x v="2"/>
    <n v="48.384"/>
    <n v="13.44"/>
  </r>
  <r>
    <x v="0"/>
    <x v="13"/>
    <x v="3"/>
    <x v="7"/>
    <s v="DE4-W_Offshore_A"/>
    <x v="0"/>
    <n v="42.692399999999999"/>
    <n v="11.859"/>
  </r>
  <r>
    <x v="0"/>
    <x v="13"/>
    <x v="3"/>
    <x v="7"/>
    <s v="DE4-W_Offshore_A"/>
    <x v="3"/>
    <n v="51.633543144067197"/>
    <n v="14.342650873352"/>
  </r>
  <r>
    <x v="0"/>
    <x v="13"/>
    <x v="3"/>
    <x v="7"/>
    <s v="DE4-W_Offshore_A"/>
    <x v="4"/>
    <n v="7.4084241922120802"/>
    <n v="2.0578956089478"/>
  </r>
  <r>
    <x v="0"/>
    <x v="13"/>
    <x v="3"/>
    <x v="7"/>
    <s v="DE4-W_Offshore_A"/>
    <x v="5"/>
    <n v="7.4084241922120802"/>
    <n v="2.0578956089478"/>
  </r>
  <r>
    <x v="0"/>
    <x v="13"/>
    <x v="3"/>
    <x v="7"/>
    <s v="DE4-W_Offshore_A"/>
    <x v="6"/>
    <n v="29.476231795214598"/>
    <n v="8.1878421653373898"/>
  </r>
  <r>
    <x v="0"/>
    <x v="13"/>
    <x v="3"/>
    <x v="7"/>
    <s v="DE4-W_Offshore_A"/>
    <x v="7"/>
    <n v="57.838935220261199"/>
    <n v="16.066370894517"/>
  </r>
  <r>
    <x v="0"/>
    <x v="13"/>
    <x v="3"/>
    <x v="7"/>
    <s v="DE4-W_Offshore_A"/>
    <x v="8"/>
    <n v="57.838935220261199"/>
    <n v="16.066370894517"/>
  </r>
  <r>
    <x v="0"/>
    <x v="13"/>
    <x v="3"/>
    <x v="7"/>
    <s v="DE4-W_Offshore_A"/>
    <x v="9"/>
    <n v="44.803327257663497"/>
    <n v="12.4453686826843"/>
  </r>
  <r>
    <x v="0"/>
    <x v="13"/>
    <x v="3"/>
    <x v="7"/>
    <s v="DE4-W_Offshore_A"/>
    <x v="10"/>
    <n v="54.681226180612903"/>
    <n v="15.1892294946147"/>
  </r>
  <r>
    <x v="0"/>
    <x v="13"/>
    <x v="3"/>
    <x v="7"/>
    <s v="DE4-W_Offshore_A"/>
    <x v="11"/>
    <n v="3.8806031483015802"/>
    <n v="1.07794531897266"/>
  </r>
  <r>
    <x v="0"/>
    <x v="13"/>
    <x v="3"/>
    <x v="7"/>
    <s v="DE4-W_Offshore_A"/>
    <x v="12"/>
    <n v="9.7995028997514597E-2"/>
    <n v="2.72208413881985E-2"/>
  </r>
  <r>
    <x v="0"/>
    <x v="13"/>
    <x v="3"/>
    <x v="7"/>
    <s v="DE4-W_Offshore_A"/>
    <x v="13"/>
    <n v="24.694747307373699"/>
    <n v="6.8596520298260204"/>
  </r>
  <r>
    <x v="0"/>
    <x v="13"/>
    <x v="3"/>
    <x v="7"/>
    <s v="DE4-W_Offshore_A"/>
    <x v="14"/>
    <n v="24.694747307373699"/>
    <n v="6.8596520298260204"/>
  </r>
  <r>
    <x v="0"/>
    <x v="13"/>
    <x v="3"/>
    <x v="7"/>
    <s v="DE4-W_Offshore_A"/>
    <x v="15"/>
    <n v="1.65807589063794"/>
    <n v="0.46057663628831802"/>
  </r>
  <r>
    <x v="0"/>
    <x v="13"/>
    <x v="3"/>
    <x v="7"/>
    <s v="DE4-W_Offshore_A"/>
    <x v="16"/>
    <n v="5.8520524559425198"/>
    <n v="1.6255701266507001"/>
  </r>
  <r>
    <x v="0"/>
    <x v="13"/>
    <x v="3"/>
    <x v="7"/>
    <s v="DE4-W_Offshore_A"/>
    <x v="17"/>
    <n v="9.1244895875632395"/>
    <n v="2.5345804409897901"/>
  </r>
  <r>
    <x v="0"/>
    <x v="13"/>
    <x v="3"/>
    <x v="7"/>
    <s v="DE4-W_Offshore_A"/>
    <x v="18"/>
    <n v="24.694747307373699"/>
    <n v="6.8596520298260204"/>
  </r>
  <r>
    <x v="0"/>
    <x v="13"/>
    <x v="3"/>
    <x v="7"/>
    <s v="DE4-W_Offshore_A"/>
    <x v="19"/>
    <n v="8.1139884009941898"/>
    <n v="2.2538856669428302"/>
  </r>
  <r>
    <x v="0"/>
    <x v="13"/>
    <x v="3"/>
    <x v="7"/>
    <s v="DE4-W_Offshore_A"/>
    <x v="20"/>
    <n v="20.3765303632313"/>
    <n v="5.6601473231197996"/>
  </r>
  <r>
    <x v="0"/>
    <x v="13"/>
    <x v="3"/>
    <x v="7"/>
    <s v="DE4-W_Offshore_A"/>
    <x v="21"/>
    <n v="48.384"/>
    <n v="13.44"/>
  </r>
  <r>
    <x v="0"/>
    <x v="13"/>
    <x v="3"/>
    <x v="7"/>
    <s v="DE4-W_Offshore_A"/>
    <x v="22"/>
    <n v="79.847999999999999"/>
    <n v="22.18"/>
  </r>
  <r>
    <x v="0"/>
    <x v="13"/>
    <x v="3"/>
    <x v="7"/>
    <s v="DE4-W_Offshore_A"/>
    <x v="23"/>
    <n v="0.31515896120488701"/>
    <n v="8.7544155890246306E-2"/>
  </r>
  <r>
    <x v="0"/>
    <x v="13"/>
    <x v="3"/>
    <x v="7"/>
    <s v="DE4-W_Offshore_A"/>
    <x v="24"/>
    <n v="19.174223581093901"/>
    <n v="5.32617321697054"/>
  </r>
  <r>
    <x v="0"/>
    <x v="13"/>
    <x v="3"/>
    <x v="7"/>
    <s v="DE4-W_Offshore_A"/>
    <x v="25"/>
    <n v="23.613931806316799"/>
    <n v="6.5594255017546796"/>
  </r>
  <r>
    <x v="0"/>
    <x v="13"/>
    <x v="3"/>
    <x v="7"/>
    <s v="DE4-W_Offshore_A"/>
    <x v="26"/>
    <n v="30.869217554900899"/>
    <n v="8.5747826541391401"/>
  </r>
  <r>
    <x v="0"/>
    <x v="13"/>
    <x v="3"/>
    <x v="7"/>
    <s v="DE4-W_Offshore_A"/>
    <x v="27"/>
    <n v="20.163995508318798"/>
    <n v="5.6011098634218799"/>
  </r>
  <r>
    <x v="0"/>
    <x v="13"/>
    <x v="4"/>
    <x v="8"/>
    <s v="LV_A"/>
    <x v="1"/>
    <n v="35.989199999999997"/>
    <n v="9.9969999999999999"/>
  </r>
  <r>
    <x v="0"/>
    <x v="13"/>
    <x v="4"/>
    <x v="8"/>
    <s v="LV_A"/>
    <x v="2"/>
    <n v="48.384"/>
    <n v="13.44"/>
  </r>
  <r>
    <x v="0"/>
    <x v="13"/>
    <x v="4"/>
    <x v="8"/>
    <s v="LV_A"/>
    <x v="0"/>
    <n v="42.692399999999999"/>
    <n v="11.859"/>
  </r>
  <r>
    <x v="0"/>
    <x v="13"/>
    <x v="4"/>
    <x v="8"/>
    <s v="LV_A"/>
    <x v="3"/>
    <n v="51.633543144067197"/>
    <n v="14.342650873352"/>
  </r>
  <r>
    <x v="0"/>
    <x v="13"/>
    <x v="4"/>
    <x v="8"/>
    <s v="LV_A"/>
    <x v="4"/>
    <n v="7.4084241922120802"/>
    <n v="2.0578956089478"/>
  </r>
  <r>
    <x v="0"/>
    <x v="13"/>
    <x v="4"/>
    <x v="8"/>
    <s v="LV_A"/>
    <x v="5"/>
    <n v="7.4084241922120802"/>
    <n v="2.0578956089478"/>
  </r>
  <r>
    <x v="0"/>
    <x v="13"/>
    <x v="4"/>
    <x v="8"/>
    <s v="LV_A"/>
    <x v="6"/>
    <n v="29.476231795214598"/>
    <n v="8.1878421653373898"/>
  </r>
  <r>
    <x v="0"/>
    <x v="13"/>
    <x v="4"/>
    <x v="8"/>
    <s v="LV_A"/>
    <x v="7"/>
    <n v="57.838935220261199"/>
    <n v="16.066370894517"/>
  </r>
  <r>
    <x v="0"/>
    <x v="13"/>
    <x v="4"/>
    <x v="8"/>
    <s v="LV_A"/>
    <x v="8"/>
    <n v="57.838935220261199"/>
    <n v="16.066370894517"/>
  </r>
  <r>
    <x v="0"/>
    <x v="13"/>
    <x v="4"/>
    <x v="8"/>
    <s v="LV_A"/>
    <x v="9"/>
    <n v="44.803327257663497"/>
    <n v="12.4453686826843"/>
  </r>
  <r>
    <x v="0"/>
    <x v="13"/>
    <x v="4"/>
    <x v="8"/>
    <s v="LV_A"/>
    <x v="10"/>
    <n v="54.681226180612903"/>
    <n v="15.1892294946147"/>
  </r>
  <r>
    <x v="0"/>
    <x v="13"/>
    <x v="4"/>
    <x v="8"/>
    <s v="LV_A"/>
    <x v="11"/>
    <n v="3.8806031483015802"/>
    <n v="1.07794531897266"/>
  </r>
  <r>
    <x v="0"/>
    <x v="13"/>
    <x v="4"/>
    <x v="8"/>
    <s v="LV_A"/>
    <x v="12"/>
    <n v="9.7995028997514597E-2"/>
    <n v="2.72208413881985E-2"/>
  </r>
  <r>
    <x v="0"/>
    <x v="13"/>
    <x v="4"/>
    <x v="8"/>
    <s v="LV_A"/>
    <x v="13"/>
    <n v="24.694747307373699"/>
    <n v="6.8596520298260204"/>
  </r>
  <r>
    <x v="0"/>
    <x v="13"/>
    <x v="4"/>
    <x v="8"/>
    <s v="LV_A"/>
    <x v="14"/>
    <n v="24.694747307373699"/>
    <n v="6.8596520298260204"/>
  </r>
  <r>
    <x v="0"/>
    <x v="13"/>
    <x v="4"/>
    <x v="8"/>
    <s v="LV_A"/>
    <x v="15"/>
    <n v="1.65807589063794"/>
    <n v="0.46057663628831802"/>
  </r>
  <r>
    <x v="0"/>
    <x v="13"/>
    <x v="4"/>
    <x v="8"/>
    <s v="LV_A"/>
    <x v="16"/>
    <n v="5.8520524559425198"/>
    <n v="1.6255701266507001"/>
  </r>
  <r>
    <x v="0"/>
    <x v="13"/>
    <x v="4"/>
    <x v="8"/>
    <s v="LV_A"/>
    <x v="17"/>
    <n v="9.1244895875632395"/>
    <n v="2.5345804409897901"/>
  </r>
  <r>
    <x v="0"/>
    <x v="13"/>
    <x v="4"/>
    <x v="8"/>
    <s v="LV_A"/>
    <x v="18"/>
    <n v="24.694747307373699"/>
    <n v="6.8596520298260204"/>
  </r>
  <r>
    <x v="0"/>
    <x v="13"/>
    <x v="4"/>
    <x v="8"/>
    <s v="LV_A"/>
    <x v="19"/>
    <n v="8.1139884009941898"/>
    <n v="2.2538856669428302"/>
  </r>
  <r>
    <x v="0"/>
    <x v="13"/>
    <x v="4"/>
    <x v="8"/>
    <s v="LV_A"/>
    <x v="20"/>
    <n v="20.3765303632313"/>
    <n v="5.6601473231197996"/>
  </r>
  <r>
    <x v="0"/>
    <x v="13"/>
    <x v="4"/>
    <x v="8"/>
    <s v="LV_A"/>
    <x v="21"/>
    <n v="48.384"/>
    <n v="13.44"/>
  </r>
  <r>
    <x v="0"/>
    <x v="13"/>
    <x v="4"/>
    <x v="8"/>
    <s v="LV_A"/>
    <x v="22"/>
    <n v="79.847999999999999"/>
    <n v="22.18"/>
  </r>
  <r>
    <x v="0"/>
    <x v="13"/>
    <x v="4"/>
    <x v="8"/>
    <s v="LV_A"/>
    <x v="23"/>
    <n v="0.31515896120488701"/>
    <n v="8.7544155890246306E-2"/>
  </r>
  <r>
    <x v="0"/>
    <x v="13"/>
    <x v="4"/>
    <x v="8"/>
    <s v="LV_A"/>
    <x v="24"/>
    <n v="19.174223581093901"/>
    <n v="5.32617321697054"/>
  </r>
  <r>
    <x v="0"/>
    <x v="13"/>
    <x v="4"/>
    <x v="8"/>
    <s v="LV_A"/>
    <x v="25"/>
    <n v="23.613931806316799"/>
    <n v="6.5594255017546796"/>
  </r>
  <r>
    <x v="0"/>
    <x v="13"/>
    <x v="4"/>
    <x v="8"/>
    <s v="LV_A"/>
    <x v="26"/>
    <n v="30.869217554900899"/>
    <n v="8.5747826541391401"/>
  </r>
  <r>
    <x v="0"/>
    <x v="13"/>
    <x v="4"/>
    <x v="8"/>
    <s v="LV_A"/>
    <x v="27"/>
    <n v="20.163995508318798"/>
    <n v="5.6011098634218799"/>
  </r>
  <r>
    <x v="0"/>
    <x v="13"/>
    <x v="4"/>
    <x v="8"/>
    <s v="LV_OFFSHORE"/>
    <x v="1"/>
    <n v="35.989199999999997"/>
    <n v="9.9969999999999999"/>
  </r>
  <r>
    <x v="0"/>
    <x v="13"/>
    <x v="4"/>
    <x v="8"/>
    <s v="LV_OFFSHORE"/>
    <x v="2"/>
    <n v="48.384"/>
    <n v="13.44"/>
  </r>
  <r>
    <x v="0"/>
    <x v="13"/>
    <x v="4"/>
    <x v="8"/>
    <s v="LV_OFFSHORE"/>
    <x v="0"/>
    <n v="42.692399999999999"/>
    <n v="11.859"/>
  </r>
  <r>
    <x v="0"/>
    <x v="13"/>
    <x v="4"/>
    <x v="8"/>
    <s v="LV_OFFSHORE"/>
    <x v="3"/>
    <n v="51.633543144067197"/>
    <n v="14.342650873352"/>
  </r>
  <r>
    <x v="0"/>
    <x v="13"/>
    <x v="4"/>
    <x v="8"/>
    <s v="LV_OFFSHORE"/>
    <x v="4"/>
    <n v="7.4084241922120802"/>
    <n v="2.0578956089478"/>
  </r>
  <r>
    <x v="0"/>
    <x v="13"/>
    <x v="4"/>
    <x v="8"/>
    <s v="LV_OFFSHORE"/>
    <x v="5"/>
    <n v="7.4084241922120802"/>
    <n v="2.0578956089478"/>
  </r>
  <r>
    <x v="0"/>
    <x v="13"/>
    <x v="4"/>
    <x v="8"/>
    <s v="LV_OFFSHORE"/>
    <x v="6"/>
    <n v="29.476231795214598"/>
    <n v="8.1878421653373898"/>
  </r>
  <r>
    <x v="0"/>
    <x v="13"/>
    <x v="4"/>
    <x v="8"/>
    <s v="LV_OFFSHORE"/>
    <x v="7"/>
    <n v="57.838935220261199"/>
    <n v="16.066370894517"/>
  </r>
  <r>
    <x v="0"/>
    <x v="13"/>
    <x v="4"/>
    <x v="8"/>
    <s v="LV_OFFSHORE"/>
    <x v="8"/>
    <n v="57.838935220261199"/>
    <n v="16.066370894517"/>
  </r>
  <r>
    <x v="0"/>
    <x v="13"/>
    <x v="4"/>
    <x v="8"/>
    <s v="LV_OFFSHORE"/>
    <x v="9"/>
    <n v="44.803327257663497"/>
    <n v="12.4453686826843"/>
  </r>
  <r>
    <x v="0"/>
    <x v="13"/>
    <x v="4"/>
    <x v="8"/>
    <s v="LV_OFFSHORE"/>
    <x v="10"/>
    <n v="54.681226180612903"/>
    <n v="15.1892294946147"/>
  </r>
  <r>
    <x v="0"/>
    <x v="13"/>
    <x v="4"/>
    <x v="8"/>
    <s v="LV_OFFSHORE"/>
    <x v="11"/>
    <n v="3.8806031483015802"/>
    <n v="1.07794531897266"/>
  </r>
  <r>
    <x v="0"/>
    <x v="13"/>
    <x v="4"/>
    <x v="8"/>
    <s v="LV_OFFSHORE"/>
    <x v="12"/>
    <n v="9.7995028997514597E-2"/>
    <n v="2.72208413881985E-2"/>
  </r>
  <r>
    <x v="0"/>
    <x v="13"/>
    <x v="4"/>
    <x v="8"/>
    <s v="LV_OFFSHORE"/>
    <x v="13"/>
    <n v="24.694747307373699"/>
    <n v="6.8596520298260204"/>
  </r>
  <r>
    <x v="0"/>
    <x v="13"/>
    <x v="4"/>
    <x v="8"/>
    <s v="LV_OFFSHORE"/>
    <x v="14"/>
    <n v="24.694747307373699"/>
    <n v="6.8596520298260204"/>
  </r>
  <r>
    <x v="0"/>
    <x v="13"/>
    <x v="4"/>
    <x v="8"/>
    <s v="LV_OFFSHORE"/>
    <x v="15"/>
    <n v="1.65807589063794"/>
    <n v="0.46057663628831802"/>
  </r>
  <r>
    <x v="0"/>
    <x v="13"/>
    <x v="4"/>
    <x v="8"/>
    <s v="LV_OFFSHORE"/>
    <x v="16"/>
    <n v="5.8520524559425198"/>
    <n v="1.6255701266507001"/>
  </r>
  <r>
    <x v="0"/>
    <x v="13"/>
    <x v="4"/>
    <x v="8"/>
    <s v="LV_OFFSHORE"/>
    <x v="17"/>
    <n v="9.1244895875632395"/>
    <n v="2.5345804409897901"/>
  </r>
  <r>
    <x v="0"/>
    <x v="13"/>
    <x v="4"/>
    <x v="8"/>
    <s v="LV_OFFSHORE"/>
    <x v="18"/>
    <n v="24.694747307373699"/>
    <n v="6.8596520298260204"/>
  </r>
  <r>
    <x v="0"/>
    <x v="13"/>
    <x v="4"/>
    <x v="8"/>
    <s v="LV_OFFSHORE"/>
    <x v="19"/>
    <n v="8.1139884009941898"/>
    <n v="2.2538856669428302"/>
  </r>
  <r>
    <x v="0"/>
    <x v="13"/>
    <x v="4"/>
    <x v="8"/>
    <s v="LV_OFFSHORE"/>
    <x v="20"/>
    <n v="20.3765303632313"/>
    <n v="5.6601473231197996"/>
  </r>
  <r>
    <x v="0"/>
    <x v="13"/>
    <x v="4"/>
    <x v="8"/>
    <s v="LV_OFFSHORE"/>
    <x v="21"/>
    <n v="48.384"/>
    <n v="13.44"/>
  </r>
  <r>
    <x v="0"/>
    <x v="13"/>
    <x v="4"/>
    <x v="8"/>
    <s v="LV_OFFSHORE"/>
    <x v="22"/>
    <n v="79.847999999999999"/>
    <n v="22.18"/>
  </r>
  <r>
    <x v="0"/>
    <x v="13"/>
    <x v="4"/>
    <x v="8"/>
    <s v="LV_OFFSHORE"/>
    <x v="23"/>
    <n v="0.31515896120488701"/>
    <n v="8.7544155890246306E-2"/>
  </r>
  <r>
    <x v="0"/>
    <x v="13"/>
    <x v="4"/>
    <x v="8"/>
    <s v="LV_OFFSHORE"/>
    <x v="24"/>
    <n v="19.174223581093901"/>
    <n v="5.32617321697054"/>
  </r>
  <r>
    <x v="0"/>
    <x v="13"/>
    <x v="4"/>
    <x v="8"/>
    <s v="LV_OFFSHORE"/>
    <x v="25"/>
    <n v="23.613931806316799"/>
    <n v="6.5594255017546796"/>
  </r>
  <r>
    <x v="0"/>
    <x v="13"/>
    <x v="4"/>
    <x v="8"/>
    <s v="LV_OFFSHORE"/>
    <x v="26"/>
    <n v="30.869217554900899"/>
    <n v="8.5747826541391401"/>
  </r>
  <r>
    <x v="0"/>
    <x v="13"/>
    <x v="4"/>
    <x v="8"/>
    <s v="LV_OFFSHORE"/>
    <x v="27"/>
    <n v="20.163995508318798"/>
    <n v="5.6011098634218799"/>
  </r>
  <r>
    <x v="0"/>
    <x v="13"/>
    <x v="4"/>
    <x v="8"/>
    <s v="LV_Other_DH"/>
    <x v="1"/>
    <n v="35.989199999999997"/>
    <n v="9.9969999999999999"/>
  </r>
  <r>
    <x v="0"/>
    <x v="13"/>
    <x v="4"/>
    <x v="8"/>
    <s v="LV_Other_DH"/>
    <x v="2"/>
    <n v="48.384"/>
    <n v="13.44"/>
  </r>
  <r>
    <x v="0"/>
    <x v="13"/>
    <x v="4"/>
    <x v="8"/>
    <s v="LV_Other_DH"/>
    <x v="0"/>
    <n v="42.692399999999999"/>
    <n v="11.859"/>
  </r>
  <r>
    <x v="0"/>
    <x v="13"/>
    <x v="4"/>
    <x v="8"/>
    <s v="LV_Other_DH"/>
    <x v="3"/>
    <n v="51.633543144067197"/>
    <n v="14.342650873352"/>
  </r>
  <r>
    <x v="0"/>
    <x v="13"/>
    <x v="4"/>
    <x v="8"/>
    <s v="LV_Other_DH"/>
    <x v="4"/>
    <n v="7.4084241922120802"/>
    <n v="2.0578956089478"/>
  </r>
  <r>
    <x v="0"/>
    <x v="13"/>
    <x v="4"/>
    <x v="8"/>
    <s v="LV_Other_DH"/>
    <x v="5"/>
    <n v="7.4084241922120802"/>
    <n v="2.0578956089478"/>
  </r>
  <r>
    <x v="0"/>
    <x v="13"/>
    <x v="4"/>
    <x v="8"/>
    <s v="LV_Other_DH"/>
    <x v="6"/>
    <n v="29.476231795214598"/>
    <n v="8.1878421653373898"/>
  </r>
  <r>
    <x v="0"/>
    <x v="13"/>
    <x v="4"/>
    <x v="8"/>
    <s v="LV_Other_DH"/>
    <x v="7"/>
    <n v="57.838935220261199"/>
    <n v="16.066370894517"/>
  </r>
  <r>
    <x v="0"/>
    <x v="13"/>
    <x v="4"/>
    <x v="8"/>
    <s v="LV_Other_DH"/>
    <x v="8"/>
    <n v="57.838935220261199"/>
    <n v="16.066370894517"/>
  </r>
  <r>
    <x v="0"/>
    <x v="13"/>
    <x v="4"/>
    <x v="8"/>
    <s v="LV_Other_DH"/>
    <x v="9"/>
    <n v="44.803327257663497"/>
    <n v="12.4453686826843"/>
  </r>
  <r>
    <x v="0"/>
    <x v="13"/>
    <x v="4"/>
    <x v="8"/>
    <s v="LV_Other_DH"/>
    <x v="10"/>
    <n v="54.681226180612903"/>
    <n v="15.1892294946147"/>
  </r>
  <r>
    <x v="0"/>
    <x v="13"/>
    <x v="4"/>
    <x v="8"/>
    <s v="LV_Other_DH"/>
    <x v="11"/>
    <n v="3.8806031483015802"/>
    <n v="1.07794531897266"/>
  </r>
  <r>
    <x v="0"/>
    <x v="13"/>
    <x v="4"/>
    <x v="8"/>
    <s v="LV_Other_DH"/>
    <x v="12"/>
    <n v="9.7995028997514597E-2"/>
    <n v="2.72208413881985E-2"/>
  </r>
  <r>
    <x v="0"/>
    <x v="13"/>
    <x v="4"/>
    <x v="8"/>
    <s v="LV_Other_DH"/>
    <x v="13"/>
    <n v="24.694747307373699"/>
    <n v="6.8596520298260204"/>
  </r>
  <r>
    <x v="0"/>
    <x v="13"/>
    <x v="4"/>
    <x v="8"/>
    <s v="LV_Other_DH"/>
    <x v="14"/>
    <n v="24.694747307373699"/>
    <n v="6.8596520298260204"/>
  </r>
  <r>
    <x v="0"/>
    <x v="13"/>
    <x v="4"/>
    <x v="8"/>
    <s v="LV_Other_DH"/>
    <x v="15"/>
    <n v="1.65807589063794"/>
    <n v="0.46057663628831802"/>
  </r>
  <r>
    <x v="0"/>
    <x v="13"/>
    <x v="4"/>
    <x v="8"/>
    <s v="LV_Other_DH"/>
    <x v="16"/>
    <n v="5.8520524559425198"/>
    <n v="1.6255701266507001"/>
  </r>
  <r>
    <x v="0"/>
    <x v="13"/>
    <x v="4"/>
    <x v="8"/>
    <s v="LV_Other_DH"/>
    <x v="17"/>
    <n v="9.1244895875632395"/>
    <n v="2.5345804409897901"/>
  </r>
  <r>
    <x v="0"/>
    <x v="13"/>
    <x v="4"/>
    <x v="8"/>
    <s v="LV_Other_DH"/>
    <x v="18"/>
    <n v="24.694747307373699"/>
    <n v="6.8596520298260204"/>
  </r>
  <r>
    <x v="0"/>
    <x v="13"/>
    <x v="4"/>
    <x v="8"/>
    <s v="LV_Other_DH"/>
    <x v="19"/>
    <n v="8.1139884009941898"/>
    <n v="2.2538856669428302"/>
  </r>
  <r>
    <x v="0"/>
    <x v="13"/>
    <x v="4"/>
    <x v="8"/>
    <s v="LV_Other_DH"/>
    <x v="20"/>
    <n v="20.3765303632313"/>
    <n v="5.6601473231197996"/>
  </r>
  <r>
    <x v="0"/>
    <x v="13"/>
    <x v="4"/>
    <x v="8"/>
    <s v="LV_Other_DH"/>
    <x v="21"/>
    <n v="48.384"/>
    <n v="13.44"/>
  </r>
  <r>
    <x v="0"/>
    <x v="13"/>
    <x v="4"/>
    <x v="8"/>
    <s v="LV_Other_DH"/>
    <x v="22"/>
    <n v="79.847999999999999"/>
    <n v="22.18"/>
  </r>
  <r>
    <x v="0"/>
    <x v="13"/>
    <x v="4"/>
    <x v="8"/>
    <s v="LV_Other_DH"/>
    <x v="23"/>
    <n v="0.31515896120488701"/>
    <n v="8.7544155890246306E-2"/>
  </r>
  <r>
    <x v="0"/>
    <x v="13"/>
    <x v="4"/>
    <x v="8"/>
    <s v="LV_Other_DH"/>
    <x v="24"/>
    <n v="19.174223581093901"/>
    <n v="5.32617321697054"/>
  </r>
  <r>
    <x v="0"/>
    <x v="13"/>
    <x v="4"/>
    <x v="8"/>
    <s v="LV_Other_DH"/>
    <x v="25"/>
    <n v="23.613931806316799"/>
    <n v="6.5594255017546796"/>
  </r>
  <r>
    <x v="0"/>
    <x v="13"/>
    <x v="4"/>
    <x v="8"/>
    <s v="LV_Other_DH"/>
    <x v="26"/>
    <n v="30.869217554900899"/>
    <n v="8.5747826541391401"/>
  </r>
  <r>
    <x v="0"/>
    <x v="13"/>
    <x v="4"/>
    <x v="8"/>
    <s v="LV_Other_DH"/>
    <x v="27"/>
    <n v="20.163995508318798"/>
    <n v="5.6011098634218799"/>
  </r>
  <r>
    <x v="0"/>
    <x v="13"/>
    <x v="4"/>
    <x v="8"/>
    <s v="LV_RigaR"/>
    <x v="1"/>
    <n v="35.989199999999997"/>
    <n v="9.9969999999999999"/>
  </r>
  <r>
    <x v="0"/>
    <x v="13"/>
    <x v="4"/>
    <x v="8"/>
    <s v="LV_RigaR"/>
    <x v="2"/>
    <n v="48.384"/>
    <n v="13.44"/>
  </r>
  <r>
    <x v="0"/>
    <x v="13"/>
    <x v="4"/>
    <x v="8"/>
    <s v="LV_RigaR"/>
    <x v="0"/>
    <n v="42.692399999999999"/>
    <n v="11.859"/>
  </r>
  <r>
    <x v="0"/>
    <x v="13"/>
    <x v="4"/>
    <x v="8"/>
    <s v="LV_RigaR"/>
    <x v="3"/>
    <n v="51.633543144067197"/>
    <n v="14.342650873352"/>
  </r>
  <r>
    <x v="0"/>
    <x v="13"/>
    <x v="4"/>
    <x v="8"/>
    <s v="LV_RigaR"/>
    <x v="4"/>
    <n v="7.4084241922120802"/>
    <n v="2.0578956089478"/>
  </r>
  <r>
    <x v="0"/>
    <x v="13"/>
    <x v="4"/>
    <x v="8"/>
    <s v="LV_RigaR"/>
    <x v="5"/>
    <n v="7.4084241922120802"/>
    <n v="2.0578956089478"/>
  </r>
  <r>
    <x v="0"/>
    <x v="13"/>
    <x v="4"/>
    <x v="8"/>
    <s v="LV_RigaR"/>
    <x v="6"/>
    <n v="29.476231795214598"/>
    <n v="8.1878421653373898"/>
  </r>
  <r>
    <x v="0"/>
    <x v="13"/>
    <x v="4"/>
    <x v="8"/>
    <s v="LV_RigaR"/>
    <x v="7"/>
    <n v="57.838935220261199"/>
    <n v="16.066370894517"/>
  </r>
  <r>
    <x v="0"/>
    <x v="13"/>
    <x v="4"/>
    <x v="8"/>
    <s v="LV_RigaR"/>
    <x v="8"/>
    <n v="57.838935220261199"/>
    <n v="16.066370894517"/>
  </r>
  <r>
    <x v="0"/>
    <x v="13"/>
    <x v="4"/>
    <x v="8"/>
    <s v="LV_RigaR"/>
    <x v="9"/>
    <n v="44.803327257663497"/>
    <n v="12.4453686826843"/>
  </r>
  <r>
    <x v="0"/>
    <x v="13"/>
    <x v="4"/>
    <x v="8"/>
    <s v="LV_RigaR"/>
    <x v="10"/>
    <n v="54.681226180612903"/>
    <n v="15.1892294946147"/>
  </r>
  <r>
    <x v="0"/>
    <x v="13"/>
    <x v="4"/>
    <x v="8"/>
    <s v="LV_RigaR"/>
    <x v="11"/>
    <n v="3.8806031483015802"/>
    <n v="1.07794531897266"/>
  </r>
  <r>
    <x v="0"/>
    <x v="13"/>
    <x v="4"/>
    <x v="8"/>
    <s v="LV_RigaR"/>
    <x v="12"/>
    <n v="9.7995028997514597E-2"/>
    <n v="2.72208413881985E-2"/>
  </r>
  <r>
    <x v="0"/>
    <x v="13"/>
    <x v="4"/>
    <x v="8"/>
    <s v="LV_RigaR"/>
    <x v="13"/>
    <n v="24.694747307373699"/>
    <n v="6.8596520298260204"/>
  </r>
  <r>
    <x v="0"/>
    <x v="13"/>
    <x v="4"/>
    <x v="8"/>
    <s v="LV_RigaR"/>
    <x v="14"/>
    <n v="24.694747307373699"/>
    <n v="6.8596520298260204"/>
  </r>
  <r>
    <x v="0"/>
    <x v="13"/>
    <x v="4"/>
    <x v="8"/>
    <s v="LV_RigaR"/>
    <x v="15"/>
    <n v="1.65807589063794"/>
    <n v="0.46057663628831802"/>
  </r>
  <r>
    <x v="0"/>
    <x v="13"/>
    <x v="4"/>
    <x v="8"/>
    <s v="LV_RigaR"/>
    <x v="16"/>
    <n v="5.8520524559425198"/>
    <n v="1.6255701266507001"/>
  </r>
  <r>
    <x v="0"/>
    <x v="13"/>
    <x v="4"/>
    <x v="8"/>
    <s v="LV_RigaR"/>
    <x v="17"/>
    <n v="9.1244895875632395"/>
    <n v="2.5345804409897901"/>
  </r>
  <r>
    <x v="0"/>
    <x v="13"/>
    <x v="4"/>
    <x v="8"/>
    <s v="LV_RigaR"/>
    <x v="18"/>
    <n v="24.694747307373699"/>
    <n v="6.8596520298260204"/>
  </r>
  <r>
    <x v="0"/>
    <x v="13"/>
    <x v="4"/>
    <x v="8"/>
    <s v="LV_RigaR"/>
    <x v="19"/>
    <n v="8.1139884009941898"/>
    <n v="2.2538856669428302"/>
  </r>
  <r>
    <x v="0"/>
    <x v="13"/>
    <x v="4"/>
    <x v="8"/>
    <s v="LV_RigaR"/>
    <x v="20"/>
    <n v="20.3765303632313"/>
    <n v="5.6601473231197996"/>
  </r>
  <r>
    <x v="0"/>
    <x v="13"/>
    <x v="4"/>
    <x v="8"/>
    <s v="LV_RigaR"/>
    <x v="21"/>
    <n v="48.384"/>
    <n v="13.44"/>
  </r>
  <r>
    <x v="0"/>
    <x v="13"/>
    <x v="4"/>
    <x v="8"/>
    <s v="LV_RigaR"/>
    <x v="22"/>
    <n v="79.847999999999999"/>
    <n v="22.18"/>
  </r>
  <r>
    <x v="0"/>
    <x v="13"/>
    <x v="4"/>
    <x v="8"/>
    <s v="LV_RigaR"/>
    <x v="23"/>
    <n v="0.31515896120488701"/>
    <n v="8.7544155890246306E-2"/>
  </r>
  <r>
    <x v="0"/>
    <x v="13"/>
    <x v="4"/>
    <x v="8"/>
    <s v="LV_RigaR"/>
    <x v="24"/>
    <n v="19.174223581093901"/>
    <n v="5.32617321697054"/>
  </r>
  <r>
    <x v="0"/>
    <x v="13"/>
    <x v="4"/>
    <x v="8"/>
    <s v="LV_RigaR"/>
    <x v="25"/>
    <n v="23.613931806316799"/>
    <n v="6.5594255017546796"/>
  </r>
  <r>
    <x v="0"/>
    <x v="13"/>
    <x v="4"/>
    <x v="8"/>
    <s v="LV_RigaR"/>
    <x v="26"/>
    <n v="30.869217554900899"/>
    <n v="8.5747826541391401"/>
  </r>
  <r>
    <x v="0"/>
    <x v="13"/>
    <x v="4"/>
    <x v="8"/>
    <s v="LV_RigaR"/>
    <x v="27"/>
    <n v="20.163995508318798"/>
    <n v="5.6011098634218799"/>
  </r>
  <r>
    <x v="0"/>
    <x v="13"/>
    <x v="4"/>
    <x v="8"/>
    <s v="LV_Rural"/>
    <x v="1"/>
    <n v="35.989199999999997"/>
    <n v="9.9969999999999999"/>
  </r>
  <r>
    <x v="0"/>
    <x v="13"/>
    <x v="4"/>
    <x v="8"/>
    <s v="LV_Rural"/>
    <x v="2"/>
    <n v="48.384"/>
    <n v="13.44"/>
  </r>
  <r>
    <x v="0"/>
    <x v="13"/>
    <x v="4"/>
    <x v="8"/>
    <s v="LV_Rural"/>
    <x v="0"/>
    <n v="42.692399999999999"/>
    <n v="11.859"/>
  </r>
  <r>
    <x v="0"/>
    <x v="13"/>
    <x v="4"/>
    <x v="8"/>
    <s v="LV_Rural"/>
    <x v="3"/>
    <n v="51.633543144067197"/>
    <n v="14.342650873352"/>
  </r>
  <r>
    <x v="0"/>
    <x v="13"/>
    <x v="4"/>
    <x v="8"/>
    <s v="LV_Rural"/>
    <x v="4"/>
    <n v="7.4084241922120802"/>
    <n v="2.0578956089478"/>
  </r>
  <r>
    <x v="0"/>
    <x v="13"/>
    <x v="4"/>
    <x v="8"/>
    <s v="LV_Rural"/>
    <x v="5"/>
    <n v="7.4084241922120802"/>
    <n v="2.0578956089478"/>
  </r>
  <r>
    <x v="0"/>
    <x v="13"/>
    <x v="4"/>
    <x v="8"/>
    <s v="LV_Rural"/>
    <x v="6"/>
    <n v="29.476231795214598"/>
    <n v="8.1878421653373898"/>
  </r>
  <r>
    <x v="0"/>
    <x v="13"/>
    <x v="4"/>
    <x v="8"/>
    <s v="LV_Rural"/>
    <x v="7"/>
    <n v="57.838935220261199"/>
    <n v="16.066370894517"/>
  </r>
  <r>
    <x v="0"/>
    <x v="13"/>
    <x v="4"/>
    <x v="8"/>
    <s v="LV_Rural"/>
    <x v="8"/>
    <n v="57.838935220261199"/>
    <n v="16.066370894517"/>
  </r>
  <r>
    <x v="0"/>
    <x v="13"/>
    <x v="4"/>
    <x v="8"/>
    <s v="LV_Rural"/>
    <x v="9"/>
    <n v="44.803327257663497"/>
    <n v="12.4453686826843"/>
  </r>
  <r>
    <x v="0"/>
    <x v="13"/>
    <x v="4"/>
    <x v="8"/>
    <s v="LV_Rural"/>
    <x v="10"/>
    <n v="54.681226180612903"/>
    <n v="15.1892294946147"/>
  </r>
  <r>
    <x v="0"/>
    <x v="13"/>
    <x v="4"/>
    <x v="8"/>
    <s v="LV_Rural"/>
    <x v="11"/>
    <n v="3.8806031483015802"/>
    <n v="1.07794531897266"/>
  </r>
  <r>
    <x v="0"/>
    <x v="13"/>
    <x v="4"/>
    <x v="8"/>
    <s v="LV_Rural"/>
    <x v="12"/>
    <n v="9.7995028997514597E-2"/>
    <n v="2.72208413881985E-2"/>
  </r>
  <r>
    <x v="0"/>
    <x v="13"/>
    <x v="4"/>
    <x v="8"/>
    <s v="LV_Rural"/>
    <x v="13"/>
    <n v="24.694747307373699"/>
    <n v="6.8596520298260204"/>
  </r>
  <r>
    <x v="0"/>
    <x v="13"/>
    <x v="4"/>
    <x v="8"/>
    <s v="LV_Rural"/>
    <x v="14"/>
    <n v="24.694747307373699"/>
    <n v="6.8596520298260204"/>
  </r>
  <r>
    <x v="0"/>
    <x v="13"/>
    <x v="4"/>
    <x v="8"/>
    <s v="LV_Rural"/>
    <x v="15"/>
    <n v="1.65807589063794"/>
    <n v="0.46057663628831802"/>
  </r>
  <r>
    <x v="0"/>
    <x v="13"/>
    <x v="4"/>
    <x v="8"/>
    <s v="LV_Rural"/>
    <x v="16"/>
    <n v="5.8520524559425198"/>
    <n v="1.6255701266507001"/>
  </r>
  <r>
    <x v="0"/>
    <x v="13"/>
    <x v="4"/>
    <x v="8"/>
    <s v="LV_Rural"/>
    <x v="17"/>
    <n v="9.1244895875632395"/>
    <n v="2.5345804409897901"/>
  </r>
  <r>
    <x v="0"/>
    <x v="13"/>
    <x v="4"/>
    <x v="8"/>
    <s v="LV_Rural"/>
    <x v="18"/>
    <n v="24.694747307373699"/>
    <n v="6.8596520298260204"/>
  </r>
  <r>
    <x v="0"/>
    <x v="13"/>
    <x v="4"/>
    <x v="8"/>
    <s v="LV_Rural"/>
    <x v="19"/>
    <n v="8.1139884009941898"/>
    <n v="2.2538856669428302"/>
  </r>
  <r>
    <x v="0"/>
    <x v="13"/>
    <x v="4"/>
    <x v="8"/>
    <s v="LV_Rural"/>
    <x v="20"/>
    <n v="20.3765303632313"/>
    <n v="5.6601473231197996"/>
  </r>
  <r>
    <x v="0"/>
    <x v="13"/>
    <x v="4"/>
    <x v="8"/>
    <s v="LV_Rural"/>
    <x v="21"/>
    <n v="48.384"/>
    <n v="13.44"/>
  </r>
  <r>
    <x v="0"/>
    <x v="13"/>
    <x v="4"/>
    <x v="8"/>
    <s v="LV_Rural"/>
    <x v="22"/>
    <n v="79.847999999999999"/>
    <n v="22.18"/>
  </r>
  <r>
    <x v="0"/>
    <x v="13"/>
    <x v="4"/>
    <x v="8"/>
    <s v="LV_Rural"/>
    <x v="23"/>
    <n v="0.31515896120488701"/>
    <n v="8.7544155890246306E-2"/>
  </r>
  <r>
    <x v="0"/>
    <x v="13"/>
    <x v="4"/>
    <x v="8"/>
    <s v="LV_Rural"/>
    <x v="24"/>
    <n v="19.174223581093901"/>
    <n v="5.32617321697054"/>
  </r>
  <r>
    <x v="0"/>
    <x v="13"/>
    <x v="4"/>
    <x v="8"/>
    <s v="LV_Rural"/>
    <x v="25"/>
    <n v="23.613931806316799"/>
    <n v="6.5594255017546796"/>
  </r>
  <r>
    <x v="0"/>
    <x v="13"/>
    <x v="4"/>
    <x v="8"/>
    <s v="LV_Rural"/>
    <x v="26"/>
    <n v="30.869217554900899"/>
    <n v="8.5747826541391401"/>
  </r>
  <r>
    <x v="0"/>
    <x v="13"/>
    <x v="4"/>
    <x v="8"/>
    <s v="LV_Rural"/>
    <x v="27"/>
    <n v="20.163995508318798"/>
    <n v="5.6011098634218799"/>
  </r>
  <r>
    <x v="0"/>
    <x v="13"/>
    <x v="5"/>
    <x v="9"/>
    <s v="LT_A"/>
    <x v="1"/>
    <n v="35.989199999999997"/>
    <n v="9.9969999999999999"/>
  </r>
  <r>
    <x v="0"/>
    <x v="13"/>
    <x v="5"/>
    <x v="9"/>
    <s v="LT_A"/>
    <x v="2"/>
    <n v="48.384"/>
    <n v="13.44"/>
  </r>
  <r>
    <x v="0"/>
    <x v="13"/>
    <x v="5"/>
    <x v="9"/>
    <s v="LT_A"/>
    <x v="0"/>
    <n v="42.692399999999999"/>
    <n v="11.859"/>
  </r>
  <r>
    <x v="0"/>
    <x v="13"/>
    <x v="5"/>
    <x v="9"/>
    <s v="LT_A"/>
    <x v="3"/>
    <n v="51.633543144067197"/>
    <n v="14.342650873352"/>
  </r>
  <r>
    <x v="0"/>
    <x v="13"/>
    <x v="5"/>
    <x v="9"/>
    <s v="LT_A"/>
    <x v="4"/>
    <n v="7.4084241922120802"/>
    <n v="2.0578956089478"/>
  </r>
  <r>
    <x v="0"/>
    <x v="13"/>
    <x v="5"/>
    <x v="9"/>
    <s v="LT_A"/>
    <x v="5"/>
    <n v="7.4084241922120802"/>
    <n v="2.0578956089478"/>
  </r>
  <r>
    <x v="0"/>
    <x v="13"/>
    <x v="5"/>
    <x v="9"/>
    <s v="LT_A"/>
    <x v="6"/>
    <n v="29.476231795214598"/>
    <n v="8.1878421653373898"/>
  </r>
  <r>
    <x v="0"/>
    <x v="13"/>
    <x v="5"/>
    <x v="9"/>
    <s v="LT_A"/>
    <x v="7"/>
    <n v="57.838935220261199"/>
    <n v="16.066370894517"/>
  </r>
  <r>
    <x v="0"/>
    <x v="13"/>
    <x v="5"/>
    <x v="9"/>
    <s v="LT_A"/>
    <x v="8"/>
    <n v="57.838935220261199"/>
    <n v="16.066370894517"/>
  </r>
  <r>
    <x v="0"/>
    <x v="13"/>
    <x v="5"/>
    <x v="9"/>
    <s v="LT_A"/>
    <x v="9"/>
    <n v="44.803327257663497"/>
    <n v="12.4453686826843"/>
  </r>
  <r>
    <x v="0"/>
    <x v="13"/>
    <x v="5"/>
    <x v="9"/>
    <s v="LT_A"/>
    <x v="10"/>
    <n v="54.681226180612903"/>
    <n v="15.1892294946147"/>
  </r>
  <r>
    <x v="0"/>
    <x v="13"/>
    <x v="5"/>
    <x v="9"/>
    <s v="LT_A"/>
    <x v="11"/>
    <n v="3.8806031483015802"/>
    <n v="1.07794531897266"/>
  </r>
  <r>
    <x v="0"/>
    <x v="13"/>
    <x v="5"/>
    <x v="9"/>
    <s v="LT_A"/>
    <x v="12"/>
    <n v="9.7995028997514597E-2"/>
    <n v="2.72208413881985E-2"/>
  </r>
  <r>
    <x v="0"/>
    <x v="13"/>
    <x v="5"/>
    <x v="9"/>
    <s v="LT_A"/>
    <x v="13"/>
    <n v="24.694747307373699"/>
    <n v="6.8596520298260204"/>
  </r>
  <r>
    <x v="0"/>
    <x v="13"/>
    <x v="5"/>
    <x v="9"/>
    <s v="LT_A"/>
    <x v="14"/>
    <n v="24.694747307373699"/>
    <n v="6.8596520298260204"/>
  </r>
  <r>
    <x v="0"/>
    <x v="13"/>
    <x v="5"/>
    <x v="9"/>
    <s v="LT_A"/>
    <x v="15"/>
    <n v="1.65807589063794"/>
    <n v="0.46057663628831802"/>
  </r>
  <r>
    <x v="0"/>
    <x v="13"/>
    <x v="5"/>
    <x v="9"/>
    <s v="LT_A"/>
    <x v="16"/>
    <n v="5.8520524559425198"/>
    <n v="1.6255701266507001"/>
  </r>
  <r>
    <x v="0"/>
    <x v="13"/>
    <x v="5"/>
    <x v="9"/>
    <s v="LT_A"/>
    <x v="17"/>
    <n v="9.1244895875632395"/>
    <n v="2.5345804409897901"/>
  </r>
  <r>
    <x v="0"/>
    <x v="13"/>
    <x v="5"/>
    <x v="9"/>
    <s v="LT_A"/>
    <x v="18"/>
    <n v="24.694747307373699"/>
    <n v="6.8596520298260204"/>
  </r>
  <r>
    <x v="0"/>
    <x v="13"/>
    <x v="5"/>
    <x v="9"/>
    <s v="LT_A"/>
    <x v="19"/>
    <n v="8.1139884009941898"/>
    <n v="2.2538856669428302"/>
  </r>
  <r>
    <x v="0"/>
    <x v="13"/>
    <x v="5"/>
    <x v="9"/>
    <s v="LT_A"/>
    <x v="20"/>
    <n v="20.3765303632313"/>
    <n v="5.6601473231197996"/>
  </r>
  <r>
    <x v="0"/>
    <x v="13"/>
    <x v="5"/>
    <x v="9"/>
    <s v="LT_A"/>
    <x v="21"/>
    <n v="48.384"/>
    <n v="13.44"/>
  </r>
  <r>
    <x v="0"/>
    <x v="13"/>
    <x v="5"/>
    <x v="9"/>
    <s v="LT_A"/>
    <x v="22"/>
    <n v="79.847999999999999"/>
    <n v="22.18"/>
  </r>
  <r>
    <x v="0"/>
    <x v="13"/>
    <x v="5"/>
    <x v="9"/>
    <s v="LT_A"/>
    <x v="23"/>
    <n v="0.31515896120488701"/>
    <n v="8.7544155890246306E-2"/>
  </r>
  <r>
    <x v="0"/>
    <x v="13"/>
    <x v="5"/>
    <x v="9"/>
    <s v="LT_A"/>
    <x v="24"/>
    <n v="19.174223581093901"/>
    <n v="5.32617321697054"/>
  </r>
  <r>
    <x v="0"/>
    <x v="13"/>
    <x v="5"/>
    <x v="9"/>
    <s v="LT_A"/>
    <x v="25"/>
    <n v="23.613931806316799"/>
    <n v="6.5594255017546796"/>
  </r>
  <r>
    <x v="0"/>
    <x v="13"/>
    <x v="5"/>
    <x v="9"/>
    <s v="LT_A"/>
    <x v="26"/>
    <n v="30.869217554900899"/>
    <n v="8.5747826541391401"/>
  </r>
  <r>
    <x v="0"/>
    <x v="13"/>
    <x v="5"/>
    <x v="9"/>
    <s v="LT_A"/>
    <x v="27"/>
    <n v="20.163995508318798"/>
    <n v="5.6011098634218799"/>
  </r>
  <r>
    <x v="0"/>
    <x v="13"/>
    <x v="5"/>
    <x v="9"/>
    <s v="LT_KauU"/>
    <x v="1"/>
    <n v="35.989199999999997"/>
    <n v="9.9969999999999999"/>
  </r>
  <r>
    <x v="0"/>
    <x v="13"/>
    <x v="5"/>
    <x v="9"/>
    <s v="LT_KauU"/>
    <x v="2"/>
    <n v="48.384"/>
    <n v="13.44"/>
  </r>
  <r>
    <x v="0"/>
    <x v="13"/>
    <x v="5"/>
    <x v="9"/>
    <s v="LT_KauU"/>
    <x v="0"/>
    <n v="42.692399999999999"/>
    <n v="11.859"/>
  </r>
  <r>
    <x v="0"/>
    <x v="13"/>
    <x v="5"/>
    <x v="9"/>
    <s v="LT_KauU"/>
    <x v="3"/>
    <n v="51.633543144067197"/>
    <n v="14.342650873352"/>
  </r>
  <r>
    <x v="0"/>
    <x v="13"/>
    <x v="5"/>
    <x v="9"/>
    <s v="LT_KauU"/>
    <x v="4"/>
    <n v="7.4084241922120802"/>
    <n v="2.0578956089478"/>
  </r>
  <r>
    <x v="0"/>
    <x v="13"/>
    <x v="5"/>
    <x v="9"/>
    <s v="LT_KauU"/>
    <x v="5"/>
    <n v="7.4084241922120802"/>
    <n v="2.0578956089478"/>
  </r>
  <r>
    <x v="0"/>
    <x v="13"/>
    <x v="5"/>
    <x v="9"/>
    <s v="LT_KauU"/>
    <x v="6"/>
    <n v="29.476231795214598"/>
    <n v="8.1878421653373898"/>
  </r>
  <r>
    <x v="0"/>
    <x v="13"/>
    <x v="5"/>
    <x v="9"/>
    <s v="LT_KauU"/>
    <x v="7"/>
    <n v="57.838935220261199"/>
    <n v="16.066370894517"/>
  </r>
  <r>
    <x v="0"/>
    <x v="13"/>
    <x v="5"/>
    <x v="9"/>
    <s v="LT_KauU"/>
    <x v="8"/>
    <n v="57.838935220261199"/>
    <n v="16.066370894517"/>
  </r>
  <r>
    <x v="0"/>
    <x v="13"/>
    <x v="5"/>
    <x v="9"/>
    <s v="LT_KauU"/>
    <x v="9"/>
    <n v="44.803327257663497"/>
    <n v="12.4453686826843"/>
  </r>
  <r>
    <x v="0"/>
    <x v="13"/>
    <x v="5"/>
    <x v="9"/>
    <s v="LT_KauU"/>
    <x v="10"/>
    <n v="54.681226180612903"/>
    <n v="15.1892294946147"/>
  </r>
  <r>
    <x v="0"/>
    <x v="13"/>
    <x v="5"/>
    <x v="9"/>
    <s v="LT_KauU"/>
    <x v="11"/>
    <n v="3.8806031483015802"/>
    <n v="1.07794531897266"/>
  </r>
  <r>
    <x v="0"/>
    <x v="13"/>
    <x v="5"/>
    <x v="9"/>
    <s v="LT_KauU"/>
    <x v="12"/>
    <n v="9.7995028997514597E-2"/>
    <n v="2.72208413881985E-2"/>
  </r>
  <r>
    <x v="0"/>
    <x v="13"/>
    <x v="5"/>
    <x v="9"/>
    <s v="LT_KauU"/>
    <x v="13"/>
    <n v="24.694747307373699"/>
    <n v="6.8596520298260204"/>
  </r>
  <r>
    <x v="0"/>
    <x v="13"/>
    <x v="5"/>
    <x v="9"/>
    <s v="LT_KauU"/>
    <x v="14"/>
    <n v="24.694747307373699"/>
    <n v="6.8596520298260204"/>
  </r>
  <r>
    <x v="0"/>
    <x v="13"/>
    <x v="5"/>
    <x v="9"/>
    <s v="LT_KauU"/>
    <x v="15"/>
    <n v="1.65807589063794"/>
    <n v="0.46057663628831802"/>
  </r>
  <r>
    <x v="0"/>
    <x v="13"/>
    <x v="5"/>
    <x v="9"/>
    <s v="LT_KauU"/>
    <x v="16"/>
    <n v="5.8520524559425198"/>
    <n v="1.6255701266507001"/>
  </r>
  <r>
    <x v="0"/>
    <x v="13"/>
    <x v="5"/>
    <x v="9"/>
    <s v="LT_KauU"/>
    <x v="17"/>
    <n v="9.1244895875632395"/>
    <n v="2.5345804409897901"/>
  </r>
  <r>
    <x v="0"/>
    <x v="13"/>
    <x v="5"/>
    <x v="9"/>
    <s v="LT_KauU"/>
    <x v="18"/>
    <n v="24.694747307373699"/>
    <n v="6.8596520298260204"/>
  </r>
  <r>
    <x v="0"/>
    <x v="13"/>
    <x v="5"/>
    <x v="9"/>
    <s v="LT_KauU"/>
    <x v="19"/>
    <n v="8.1139884009941898"/>
    <n v="2.2538856669428302"/>
  </r>
  <r>
    <x v="0"/>
    <x v="13"/>
    <x v="5"/>
    <x v="9"/>
    <s v="LT_KauU"/>
    <x v="20"/>
    <n v="20.3765303632313"/>
    <n v="5.6601473231197996"/>
  </r>
  <r>
    <x v="0"/>
    <x v="13"/>
    <x v="5"/>
    <x v="9"/>
    <s v="LT_KauU"/>
    <x v="21"/>
    <n v="48.384"/>
    <n v="13.44"/>
  </r>
  <r>
    <x v="0"/>
    <x v="13"/>
    <x v="5"/>
    <x v="9"/>
    <s v="LT_KauU"/>
    <x v="22"/>
    <n v="79.847999999999999"/>
    <n v="22.18"/>
  </r>
  <r>
    <x v="0"/>
    <x v="13"/>
    <x v="5"/>
    <x v="9"/>
    <s v="LT_KauU"/>
    <x v="23"/>
    <n v="0.31515896120488701"/>
    <n v="8.7544155890246306E-2"/>
  </r>
  <r>
    <x v="0"/>
    <x v="13"/>
    <x v="5"/>
    <x v="9"/>
    <s v="LT_KauU"/>
    <x v="24"/>
    <n v="19.174223581093901"/>
    <n v="5.32617321697054"/>
  </r>
  <r>
    <x v="0"/>
    <x v="13"/>
    <x v="5"/>
    <x v="9"/>
    <s v="LT_KauU"/>
    <x v="25"/>
    <n v="23.613931806316799"/>
    <n v="6.5594255017546796"/>
  </r>
  <r>
    <x v="0"/>
    <x v="13"/>
    <x v="5"/>
    <x v="9"/>
    <s v="LT_KauU"/>
    <x v="26"/>
    <n v="30.869217554900899"/>
    <n v="8.5747826541391401"/>
  </r>
  <r>
    <x v="0"/>
    <x v="13"/>
    <x v="5"/>
    <x v="9"/>
    <s v="LT_KauU"/>
    <x v="27"/>
    <n v="20.163995508318798"/>
    <n v="5.6011098634218799"/>
  </r>
  <r>
    <x v="0"/>
    <x v="13"/>
    <x v="5"/>
    <x v="9"/>
    <s v="LT_KlaU"/>
    <x v="1"/>
    <n v="35.989199999999997"/>
    <n v="9.9969999999999999"/>
  </r>
  <r>
    <x v="0"/>
    <x v="13"/>
    <x v="5"/>
    <x v="9"/>
    <s v="LT_KlaU"/>
    <x v="2"/>
    <n v="48.384"/>
    <n v="13.44"/>
  </r>
  <r>
    <x v="0"/>
    <x v="13"/>
    <x v="5"/>
    <x v="9"/>
    <s v="LT_KlaU"/>
    <x v="0"/>
    <n v="42.692399999999999"/>
    <n v="11.859"/>
  </r>
  <r>
    <x v="0"/>
    <x v="13"/>
    <x v="5"/>
    <x v="9"/>
    <s v="LT_KlaU"/>
    <x v="3"/>
    <n v="51.633543144067197"/>
    <n v="14.342650873352"/>
  </r>
  <r>
    <x v="0"/>
    <x v="13"/>
    <x v="5"/>
    <x v="9"/>
    <s v="LT_KlaU"/>
    <x v="4"/>
    <n v="7.4084241922120802"/>
    <n v="2.0578956089478"/>
  </r>
  <r>
    <x v="0"/>
    <x v="13"/>
    <x v="5"/>
    <x v="9"/>
    <s v="LT_KlaU"/>
    <x v="5"/>
    <n v="7.4084241922120802"/>
    <n v="2.0578956089478"/>
  </r>
  <r>
    <x v="0"/>
    <x v="13"/>
    <x v="5"/>
    <x v="9"/>
    <s v="LT_KlaU"/>
    <x v="6"/>
    <n v="29.476231795214598"/>
    <n v="8.1878421653373898"/>
  </r>
  <r>
    <x v="0"/>
    <x v="13"/>
    <x v="5"/>
    <x v="9"/>
    <s v="LT_KlaU"/>
    <x v="7"/>
    <n v="57.838935220261199"/>
    <n v="16.066370894517"/>
  </r>
  <r>
    <x v="0"/>
    <x v="13"/>
    <x v="5"/>
    <x v="9"/>
    <s v="LT_KlaU"/>
    <x v="8"/>
    <n v="57.838935220261199"/>
    <n v="16.066370894517"/>
  </r>
  <r>
    <x v="0"/>
    <x v="13"/>
    <x v="5"/>
    <x v="9"/>
    <s v="LT_KlaU"/>
    <x v="9"/>
    <n v="44.803327257663497"/>
    <n v="12.4453686826843"/>
  </r>
  <r>
    <x v="0"/>
    <x v="13"/>
    <x v="5"/>
    <x v="9"/>
    <s v="LT_KlaU"/>
    <x v="10"/>
    <n v="54.681226180612903"/>
    <n v="15.1892294946147"/>
  </r>
  <r>
    <x v="0"/>
    <x v="13"/>
    <x v="5"/>
    <x v="9"/>
    <s v="LT_KlaU"/>
    <x v="11"/>
    <n v="3.8806031483015802"/>
    <n v="1.07794531897266"/>
  </r>
  <r>
    <x v="0"/>
    <x v="13"/>
    <x v="5"/>
    <x v="9"/>
    <s v="LT_KlaU"/>
    <x v="12"/>
    <n v="9.7995028997514597E-2"/>
    <n v="2.72208413881985E-2"/>
  </r>
  <r>
    <x v="0"/>
    <x v="13"/>
    <x v="5"/>
    <x v="9"/>
    <s v="LT_KlaU"/>
    <x v="13"/>
    <n v="24.694747307373699"/>
    <n v="6.8596520298260204"/>
  </r>
  <r>
    <x v="0"/>
    <x v="13"/>
    <x v="5"/>
    <x v="9"/>
    <s v="LT_KlaU"/>
    <x v="14"/>
    <n v="24.694747307373699"/>
    <n v="6.8596520298260204"/>
  </r>
  <r>
    <x v="0"/>
    <x v="13"/>
    <x v="5"/>
    <x v="9"/>
    <s v="LT_KlaU"/>
    <x v="15"/>
    <n v="1.65807589063794"/>
    <n v="0.46057663628831802"/>
  </r>
  <r>
    <x v="0"/>
    <x v="13"/>
    <x v="5"/>
    <x v="9"/>
    <s v="LT_KlaU"/>
    <x v="16"/>
    <n v="5.8520524559425198"/>
    <n v="1.6255701266507001"/>
  </r>
  <r>
    <x v="0"/>
    <x v="13"/>
    <x v="5"/>
    <x v="9"/>
    <s v="LT_KlaU"/>
    <x v="17"/>
    <n v="9.1244895875632395"/>
    <n v="2.5345804409897901"/>
  </r>
  <r>
    <x v="0"/>
    <x v="13"/>
    <x v="5"/>
    <x v="9"/>
    <s v="LT_KlaU"/>
    <x v="18"/>
    <n v="24.694747307373699"/>
    <n v="6.8596520298260204"/>
  </r>
  <r>
    <x v="0"/>
    <x v="13"/>
    <x v="5"/>
    <x v="9"/>
    <s v="LT_KlaU"/>
    <x v="19"/>
    <n v="8.1139884009941898"/>
    <n v="2.2538856669428302"/>
  </r>
  <r>
    <x v="0"/>
    <x v="13"/>
    <x v="5"/>
    <x v="9"/>
    <s v="LT_KlaU"/>
    <x v="20"/>
    <n v="20.3765303632313"/>
    <n v="5.6601473231197996"/>
  </r>
  <r>
    <x v="0"/>
    <x v="13"/>
    <x v="5"/>
    <x v="9"/>
    <s v="LT_KlaU"/>
    <x v="21"/>
    <n v="48.384"/>
    <n v="13.44"/>
  </r>
  <r>
    <x v="0"/>
    <x v="13"/>
    <x v="5"/>
    <x v="9"/>
    <s v="LT_KlaU"/>
    <x v="22"/>
    <n v="79.847999999999999"/>
    <n v="22.18"/>
  </r>
  <r>
    <x v="0"/>
    <x v="13"/>
    <x v="5"/>
    <x v="9"/>
    <s v="LT_KlaU"/>
    <x v="23"/>
    <n v="0.31515896120488701"/>
    <n v="8.7544155890246306E-2"/>
  </r>
  <r>
    <x v="0"/>
    <x v="13"/>
    <x v="5"/>
    <x v="9"/>
    <s v="LT_KlaU"/>
    <x v="24"/>
    <n v="19.174223581093901"/>
    <n v="5.32617321697054"/>
  </r>
  <r>
    <x v="0"/>
    <x v="13"/>
    <x v="5"/>
    <x v="9"/>
    <s v="LT_KlaU"/>
    <x v="25"/>
    <n v="23.613931806316799"/>
    <n v="6.5594255017546796"/>
  </r>
  <r>
    <x v="0"/>
    <x v="13"/>
    <x v="5"/>
    <x v="9"/>
    <s v="LT_KlaU"/>
    <x v="26"/>
    <n v="30.869217554900899"/>
    <n v="8.5747826541391401"/>
  </r>
  <r>
    <x v="0"/>
    <x v="13"/>
    <x v="5"/>
    <x v="9"/>
    <s v="LT_KlaU"/>
    <x v="27"/>
    <n v="20.163995508318798"/>
    <n v="5.6011098634218799"/>
  </r>
  <r>
    <x v="0"/>
    <x v="13"/>
    <x v="5"/>
    <x v="9"/>
    <s v="LT_OFFSHORE"/>
    <x v="1"/>
    <n v="35.989199999999997"/>
    <n v="9.9969999999999999"/>
  </r>
  <r>
    <x v="0"/>
    <x v="13"/>
    <x v="5"/>
    <x v="9"/>
    <s v="LT_OFFSHORE"/>
    <x v="2"/>
    <n v="48.384"/>
    <n v="13.44"/>
  </r>
  <r>
    <x v="0"/>
    <x v="13"/>
    <x v="5"/>
    <x v="9"/>
    <s v="LT_OFFSHORE"/>
    <x v="0"/>
    <n v="42.692399999999999"/>
    <n v="11.859"/>
  </r>
  <r>
    <x v="0"/>
    <x v="13"/>
    <x v="5"/>
    <x v="9"/>
    <s v="LT_OFFSHORE"/>
    <x v="3"/>
    <n v="51.633543144067197"/>
    <n v="14.342650873352"/>
  </r>
  <r>
    <x v="0"/>
    <x v="13"/>
    <x v="5"/>
    <x v="9"/>
    <s v="LT_OFFSHORE"/>
    <x v="4"/>
    <n v="7.4084241922120802"/>
    <n v="2.0578956089478"/>
  </r>
  <r>
    <x v="0"/>
    <x v="13"/>
    <x v="5"/>
    <x v="9"/>
    <s v="LT_OFFSHORE"/>
    <x v="5"/>
    <n v="7.4084241922120802"/>
    <n v="2.0578956089478"/>
  </r>
  <r>
    <x v="0"/>
    <x v="13"/>
    <x v="5"/>
    <x v="9"/>
    <s v="LT_OFFSHORE"/>
    <x v="6"/>
    <n v="29.476231795214598"/>
    <n v="8.1878421653373898"/>
  </r>
  <r>
    <x v="0"/>
    <x v="13"/>
    <x v="5"/>
    <x v="9"/>
    <s v="LT_OFFSHORE"/>
    <x v="7"/>
    <n v="57.838935220261199"/>
    <n v="16.066370894517"/>
  </r>
  <r>
    <x v="0"/>
    <x v="13"/>
    <x v="5"/>
    <x v="9"/>
    <s v="LT_OFFSHORE"/>
    <x v="8"/>
    <n v="57.838935220261199"/>
    <n v="16.066370894517"/>
  </r>
  <r>
    <x v="0"/>
    <x v="13"/>
    <x v="5"/>
    <x v="9"/>
    <s v="LT_OFFSHORE"/>
    <x v="9"/>
    <n v="44.803327257663497"/>
    <n v="12.4453686826843"/>
  </r>
  <r>
    <x v="0"/>
    <x v="13"/>
    <x v="5"/>
    <x v="9"/>
    <s v="LT_OFFSHORE"/>
    <x v="10"/>
    <n v="54.681226180612903"/>
    <n v="15.1892294946147"/>
  </r>
  <r>
    <x v="0"/>
    <x v="13"/>
    <x v="5"/>
    <x v="9"/>
    <s v="LT_OFFSHORE"/>
    <x v="11"/>
    <n v="3.8806031483015802"/>
    <n v="1.07794531897266"/>
  </r>
  <r>
    <x v="0"/>
    <x v="13"/>
    <x v="5"/>
    <x v="9"/>
    <s v="LT_OFFSHORE"/>
    <x v="12"/>
    <n v="9.7995028997514597E-2"/>
    <n v="2.72208413881985E-2"/>
  </r>
  <r>
    <x v="0"/>
    <x v="13"/>
    <x v="5"/>
    <x v="9"/>
    <s v="LT_OFFSHORE"/>
    <x v="13"/>
    <n v="24.694747307373699"/>
    <n v="6.8596520298260204"/>
  </r>
  <r>
    <x v="0"/>
    <x v="13"/>
    <x v="5"/>
    <x v="9"/>
    <s v="LT_OFFSHORE"/>
    <x v="14"/>
    <n v="24.694747307373699"/>
    <n v="6.8596520298260204"/>
  </r>
  <r>
    <x v="0"/>
    <x v="13"/>
    <x v="5"/>
    <x v="9"/>
    <s v="LT_OFFSHORE"/>
    <x v="15"/>
    <n v="1.65807589063794"/>
    <n v="0.46057663628831802"/>
  </r>
  <r>
    <x v="0"/>
    <x v="13"/>
    <x v="5"/>
    <x v="9"/>
    <s v="LT_OFFSHORE"/>
    <x v="16"/>
    <n v="5.8520524559425198"/>
    <n v="1.6255701266507001"/>
  </r>
  <r>
    <x v="0"/>
    <x v="13"/>
    <x v="5"/>
    <x v="9"/>
    <s v="LT_OFFSHORE"/>
    <x v="17"/>
    <n v="9.1244895875632395"/>
    <n v="2.5345804409897901"/>
  </r>
  <r>
    <x v="0"/>
    <x v="13"/>
    <x v="5"/>
    <x v="9"/>
    <s v="LT_OFFSHORE"/>
    <x v="18"/>
    <n v="24.694747307373699"/>
    <n v="6.8596520298260204"/>
  </r>
  <r>
    <x v="0"/>
    <x v="13"/>
    <x v="5"/>
    <x v="9"/>
    <s v="LT_OFFSHORE"/>
    <x v="19"/>
    <n v="8.1139884009941898"/>
    <n v="2.2538856669428302"/>
  </r>
  <r>
    <x v="0"/>
    <x v="13"/>
    <x v="5"/>
    <x v="9"/>
    <s v="LT_OFFSHORE"/>
    <x v="20"/>
    <n v="20.3765303632313"/>
    <n v="5.6601473231197996"/>
  </r>
  <r>
    <x v="0"/>
    <x v="13"/>
    <x v="5"/>
    <x v="9"/>
    <s v="LT_OFFSHORE"/>
    <x v="21"/>
    <n v="48.384"/>
    <n v="13.44"/>
  </r>
  <r>
    <x v="0"/>
    <x v="13"/>
    <x v="5"/>
    <x v="9"/>
    <s v="LT_OFFSHORE"/>
    <x v="22"/>
    <n v="79.847999999999999"/>
    <n v="22.18"/>
  </r>
  <r>
    <x v="0"/>
    <x v="13"/>
    <x v="5"/>
    <x v="9"/>
    <s v="LT_OFFSHORE"/>
    <x v="23"/>
    <n v="0.31515896120488701"/>
    <n v="8.7544155890246306E-2"/>
  </r>
  <r>
    <x v="0"/>
    <x v="13"/>
    <x v="5"/>
    <x v="9"/>
    <s v="LT_OFFSHORE"/>
    <x v="24"/>
    <n v="19.174223581093901"/>
    <n v="5.32617321697054"/>
  </r>
  <r>
    <x v="0"/>
    <x v="13"/>
    <x v="5"/>
    <x v="9"/>
    <s v="LT_OFFSHORE"/>
    <x v="25"/>
    <n v="23.613931806316799"/>
    <n v="6.5594255017546796"/>
  </r>
  <r>
    <x v="0"/>
    <x v="13"/>
    <x v="5"/>
    <x v="9"/>
    <s v="LT_OFFSHORE"/>
    <x v="26"/>
    <n v="30.869217554900899"/>
    <n v="8.5747826541391401"/>
  </r>
  <r>
    <x v="0"/>
    <x v="13"/>
    <x v="5"/>
    <x v="9"/>
    <s v="LT_OFFSHORE"/>
    <x v="27"/>
    <n v="20.163995508318798"/>
    <n v="5.6011098634218799"/>
  </r>
  <r>
    <x v="0"/>
    <x v="13"/>
    <x v="5"/>
    <x v="9"/>
    <s v="LT_Other_DH"/>
    <x v="1"/>
    <n v="35.989199999999997"/>
    <n v="9.9969999999999999"/>
  </r>
  <r>
    <x v="0"/>
    <x v="13"/>
    <x v="5"/>
    <x v="9"/>
    <s v="LT_Other_DH"/>
    <x v="2"/>
    <n v="48.384"/>
    <n v="13.44"/>
  </r>
  <r>
    <x v="0"/>
    <x v="13"/>
    <x v="5"/>
    <x v="9"/>
    <s v="LT_Other_DH"/>
    <x v="0"/>
    <n v="42.692399999999999"/>
    <n v="11.859"/>
  </r>
  <r>
    <x v="0"/>
    <x v="13"/>
    <x v="5"/>
    <x v="9"/>
    <s v="LT_Other_DH"/>
    <x v="3"/>
    <n v="51.633543144067197"/>
    <n v="14.342650873352"/>
  </r>
  <r>
    <x v="0"/>
    <x v="13"/>
    <x v="5"/>
    <x v="9"/>
    <s v="LT_Other_DH"/>
    <x v="4"/>
    <n v="7.4084241922120802"/>
    <n v="2.0578956089478"/>
  </r>
  <r>
    <x v="0"/>
    <x v="13"/>
    <x v="5"/>
    <x v="9"/>
    <s v="LT_Other_DH"/>
    <x v="5"/>
    <n v="7.4084241922120802"/>
    <n v="2.0578956089478"/>
  </r>
  <r>
    <x v="0"/>
    <x v="13"/>
    <x v="5"/>
    <x v="9"/>
    <s v="LT_Other_DH"/>
    <x v="6"/>
    <n v="29.476231795214598"/>
    <n v="8.1878421653373898"/>
  </r>
  <r>
    <x v="0"/>
    <x v="13"/>
    <x v="5"/>
    <x v="9"/>
    <s v="LT_Other_DH"/>
    <x v="7"/>
    <n v="57.838935220261199"/>
    <n v="16.066370894517"/>
  </r>
  <r>
    <x v="0"/>
    <x v="13"/>
    <x v="5"/>
    <x v="9"/>
    <s v="LT_Other_DH"/>
    <x v="8"/>
    <n v="57.838935220261199"/>
    <n v="16.066370894517"/>
  </r>
  <r>
    <x v="0"/>
    <x v="13"/>
    <x v="5"/>
    <x v="9"/>
    <s v="LT_Other_DH"/>
    <x v="9"/>
    <n v="44.803327257663497"/>
    <n v="12.4453686826843"/>
  </r>
  <r>
    <x v="0"/>
    <x v="13"/>
    <x v="5"/>
    <x v="9"/>
    <s v="LT_Other_DH"/>
    <x v="10"/>
    <n v="54.681226180612903"/>
    <n v="15.1892294946147"/>
  </r>
  <r>
    <x v="0"/>
    <x v="13"/>
    <x v="5"/>
    <x v="9"/>
    <s v="LT_Other_DH"/>
    <x v="11"/>
    <n v="3.8806031483015802"/>
    <n v="1.07794531897266"/>
  </r>
  <r>
    <x v="0"/>
    <x v="13"/>
    <x v="5"/>
    <x v="9"/>
    <s v="LT_Other_DH"/>
    <x v="12"/>
    <n v="9.7995028997514597E-2"/>
    <n v="2.72208413881985E-2"/>
  </r>
  <r>
    <x v="0"/>
    <x v="13"/>
    <x v="5"/>
    <x v="9"/>
    <s v="LT_Other_DH"/>
    <x v="13"/>
    <n v="24.694747307373699"/>
    <n v="6.8596520298260204"/>
  </r>
  <r>
    <x v="0"/>
    <x v="13"/>
    <x v="5"/>
    <x v="9"/>
    <s v="LT_Other_DH"/>
    <x v="14"/>
    <n v="24.694747307373699"/>
    <n v="6.8596520298260204"/>
  </r>
  <r>
    <x v="0"/>
    <x v="13"/>
    <x v="5"/>
    <x v="9"/>
    <s v="LT_Other_DH"/>
    <x v="15"/>
    <n v="1.65807589063794"/>
    <n v="0.46057663628831802"/>
  </r>
  <r>
    <x v="0"/>
    <x v="13"/>
    <x v="5"/>
    <x v="9"/>
    <s v="LT_Other_DH"/>
    <x v="16"/>
    <n v="5.8520524559425198"/>
    <n v="1.6255701266507001"/>
  </r>
  <r>
    <x v="0"/>
    <x v="13"/>
    <x v="5"/>
    <x v="9"/>
    <s v="LT_Other_DH"/>
    <x v="17"/>
    <n v="9.1244895875632395"/>
    <n v="2.5345804409897901"/>
  </r>
  <r>
    <x v="0"/>
    <x v="13"/>
    <x v="5"/>
    <x v="9"/>
    <s v="LT_Other_DH"/>
    <x v="18"/>
    <n v="24.694747307373699"/>
    <n v="6.8596520298260204"/>
  </r>
  <r>
    <x v="0"/>
    <x v="13"/>
    <x v="5"/>
    <x v="9"/>
    <s v="LT_Other_DH"/>
    <x v="19"/>
    <n v="8.1139884009941898"/>
    <n v="2.2538856669428302"/>
  </r>
  <r>
    <x v="0"/>
    <x v="13"/>
    <x v="5"/>
    <x v="9"/>
    <s v="LT_Other_DH"/>
    <x v="20"/>
    <n v="20.3765303632313"/>
    <n v="5.6601473231197996"/>
  </r>
  <r>
    <x v="0"/>
    <x v="13"/>
    <x v="5"/>
    <x v="9"/>
    <s v="LT_Other_DH"/>
    <x v="21"/>
    <n v="48.384"/>
    <n v="13.44"/>
  </r>
  <r>
    <x v="0"/>
    <x v="13"/>
    <x v="5"/>
    <x v="9"/>
    <s v="LT_Other_DH"/>
    <x v="22"/>
    <n v="79.847999999999999"/>
    <n v="22.18"/>
  </r>
  <r>
    <x v="0"/>
    <x v="13"/>
    <x v="5"/>
    <x v="9"/>
    <s v="LT_Other_DH"/>
    <x v="23"/>
    <n v="0.31515896120488701"/>
    <n v="8.7544155890246306E-2"/>
  </r>
  <r>
    <x v="0"/>
    <x v="13"/>
    <x v="5"/>
    <x v="9"/>
    <s v="LT_Other_DH"/>
    <x v="24"/>
    <n v="19.174223581093901"/>
    <n v="5.32617321697054"/>
  </r>
  <r>
    <x v="0"/>
    <x v="13"/>
    <x v="5"/>
    <x v="9"/>
    <s v="LT_Other_DH"/>
    <x v="25"/>
    <n v="23.613931806316799"/>
    <n v="6.5594255017546796"/>
  </r>
  <r>
    <x v="0"/>
    <x v="13"/>
    <x v="5"/>
    <x v="9"/>
    <s v="LT_Other_DH"/>
    <x v="26"/>
    <n v="30.869217554900899"/>
    <n v="8.5747826541391401"/>
  </r>
  <r>
    <x v="0"/>
    <x v="13"/>
    <x v="5"/>
    <x v="9"/>
    <s v="LT_Other_DH"/>
    <x v="27"/>
    <n v="20.163995508318798"/>
    <n v="5.6011098634218799"/>
  </r>
  <r>
    <x v="0"/>
    <x v="13"/>
    <x v="5"/>
    <x v="9"/>
    <s v="LT_Panevezys"/>
    <x v="1"/>
    <n v="35.989199999999997"/>
    <n v="9.9969999999999999"/>
  </r>
  <r>
    <x v="0"/>
    <x v="13"/>
    <x v="5"/>
    <x v="9"/>
    <s v="LT_Panevezys"/>
    <x v="2"/>
    <n v="48.384"/>
    <n v="13.44"/>
  </r>
  <r>
    <x v="0"/>
    <x v="13"/>
    <x v="5"/>
    <x v="9"/>
    <s v="LT_Panevezys"/>
    <x v="0"/>
    <n v="42.692399999999999"/>
    <n v="11.859"/>
  </r>
  <r>
    <x v="0"/>
    <x v="13"/>
    <x v="5"/>
    <x v="9"/>
    <s v="LT_Panevezys"/>
    <x v="3"/>
    <n v="51.633543144067197"/>
    <n v="14.342650873352"/>
  </r>
  <r>
    <x v="0"/>
    <x v="13"/>
    <x v="5"/>
    <x v="9"/>
    <s v="LT_Panevezys"/>
    <x v="4"/>
    <n v="7.4084241922120802"/>
    <n v="2.0578956089478"/>
  </r>
  <r>
    <x v="0"/>
    <x v="13"/>
    <x v="5"/>
    <x v="9"/>
    <s v="LT_Panevezys"/>
    <x v="5"/>
    <n v="7.4084241922120802"/>
    <n v="2.0578956089478"/>
  </r>
  <r>
    <x v="0"/>
    <x v="13"/>
    <x v="5"/>
    <x v="9"/>
    <s v="LT_Panevezys"/>
    <x v="6"/>
    <n v="29.476231795214598"/>
    <n v="8.1878421653373898"/>
  </r>
  <r>
    <x v="0"/>
    <x v="13"/>
    <x v="5"/>
    <x v="9"/>
    <s v="LT_Panevezys"/>
    <x v="7"/>
    <n v="57.838935220261199"/>
    <n v="16.066370894517"/>
  </r>
  <r>
    <x v="0"/>
    <x v="13"/>
    <x v="5"/>
    <x v="9"/>
    <s v="LT_Panevezys"/>
    <x v="8"/>
    <n v="57.838935220261199"/>
    <n v="16.066370894517"/>
  </r>
  <r>
    <x v="0"/>
    <x v="13"/>
    <x v="5"/>
    <x v="9"/>
    <s v="LT_Panevezys"/>
    <x v="9"/>
    <n v="44.803327257663497"/>
    <n v="12.4453686826843"/>
  </r>
  <r>
    <x v="0"/>
    <x v="13"/>
    <x v="5"/>
    <x v="9"/>
    <s v="LT_Panevezys"/>
    <x v="10"/>
    <n v="54.681226180612903"/>
    <n v="15.1892294946147"/>
  </r>
  <r>
    <x v="0"/>
    <x v="13"/>
    <x v="5"/>
    <x v="9"/>
    <s v="LT_Panevezys"/>
    <x v="11"/>
    <n v="3.8806031483015802"/>
    <n v="1.07794531897266"/>
  </r>
  <r>
    <x v="0"/>
    <x v="13"/>
    <x v="5"/>
    <x v="9"/>
    <s v="LT_Panevezys"/>
    <x v="12"/>
    <n v="9.7995028997514597E-2"/>
    <n v="2.72208413881985E-2"/>
  </r>
  <r>
    <x v="0"/>
    <x v="13"/>
    <x v="5"/>
    <x v="9"/>
    <s v="LT_Panevezys"/>
    <x v="13"/>
    <n v="24.694747307373699"/>
    <n v="6.8596520298260204"/>
  </r>
  <r>
    <x v="0"/>
    <x v="13"/>
    <x v="5"/>
    <x v="9"/>
    <s v="LT_Panevezys"/>
    <x v="14"/>
    <n v="24.694747307373699"/>
    <n v="6.8596520298260204"/>
  </r>
  <r>
    <x v="0"/>
    <x v="13"/>
    <x v="5"/>
    <x v="9"/>
    <s v="LT_Panevezys"/>
    <x v="15"/>
    <n v="1.65807589063794"/>
    <n v="0.46057663628831802"/>
  </r>
  <r>
    <x v="0"/>
    <x v="13"/>
    <x v="5"/>
    <x v="9"/>
    <s v="LT_Panevezys"/>
    <x v="16"/>
    <n v="5.8520524559425198"/>
    <n v="1.6255701266507001"/>
  </r>
  <r>
    <x v="0"/>
    <x v="13"/>
    <x v="5"/>
    <x v="9"/>
    <s v="LT_Panevezys"/>
    <x v="17"/>
    <n v="9.1244895875632395"/>
    <n v="2.5345804409897901"/>
  </r>
  <r>
    <x v="0"/>
    <x v="13"/>
    <x v="5"/>
    <x v="9"/>
    <s v="LT_Panevezys"/>
    <x v="18"/>
    <n v="24.694747307373699"/>
    <n v="6.8596520298260204"/>
  </r>
  <r>
    <x v="0"/>
    <x v="13"/>
    <x v="5"/>
    <x v="9"/>
    <s v="LT_Panevezys"/>
    <x v="19"/>
    <n v="8.1139884009941898"/>
    <n v="2.2538856669428302"/>
  </r>
  <r>
    <x v="0"/>
    <x v="13"/>
    <x v="5"/>
    <x v="9"/>
    <s v="LT_Panevezys"/>
    <x v="20"/>
    <n v="20.3765303632313"/>
    <n v="5.6601473231197996"/>
  </r>
  <r>
    <x v="0"/>
    <x v="13"/>
    <x v="5"/>
    <x v="9"/>
    <s v="LT_Panevezys"/>
    <x v="21"/>
    <n v="48.384"/>
    <n v="13.44"/>
  </r>
  <r>
    <x v="0"/>
    <x v="13"/>
    <x v="5"/>
    <x v="9"/>
    <s v="LT_Panevezys"/>
    <x v="22"/>
    <n v="79.847999999999999"/>
    <n v="22.18"/>
  </r>
  <r>
    <x v="0"/>
    <x v="13"/>
    <x v="5"/>
    <x v="9"/>
    <s v="LT_Panevezys"/>
    <x v="23"/>
    <n v="0.31515896120488701"/>
    <n v="8.7544155890246306E-2"/>
  </r>
  <r>
    <x v="0"/>
    <x v="13"/>
    <x v="5"/>
    <x v="9"/>
    <s v="LT_Panevezys"/>
    <x v="24"/>
    <n v="19.174223581093901"/>
    <n v="5.32617321697054"/>
  </r>
  <r>
    <x v="0"/>
    <x v="13"/>
    <x v="5"/>
    <x v="9"/>
    <s v="LT_Panevezys"/>
    <x v="25"/>
    <n v="23.613931806316799"/>
    <n v="6.5594255017546796"/>
  </r>
  <r>
    <x v="0"/>
    <x v="13"/>
    <x v="5"/>
    <x v="9"/>
    <s v="LT_Panevezys"/>
    <x v="26"/>
    <n v="30.869217554900899"/>
    <n v="8.5747826541391401"/>
  </r>
  <r>
    <x v="0"/>
    <x v="13"/>
    <x v="5"/>
    <x v="9"/>
    <s v="LT_Panevezys"/>
    <x v="27"/>
    <n v="20.163995508318798"/>
    <n v="5.6011098634218799"/>
  </r>
  <r>
    <x v="0"/>
    <x v="13"/>
    <x v="5"/>
    <x v="9"/>
    <s v="LT_Rural"/>
    <x v="1"/>
    <n v="35.989199999999997"/>
    <n v="9.9969999999999999"/>
  </r>
  <r>
    <x v="0"/>
    <x v="13"/>
    <x v="5"/>
    <x v="9"/>
    <s v="LT_Rural"/>
    <x v="2"/>
    <n v="48.384"/>
    <n v="13.44"/>
  </r>
  <r>
    <x v="0"/>
    <x v="13"/>
    <x v="5"/>
    <x v="9"/>
    <s v="LT_Rural"/>
    <x v="0"/>
    <n v="42.692399999999999"/>
    <n v="11.859"/>
  </r>
  <r>
    <x v="0"/>
    <x v="13"/>
    <x v="5"/>
    <x v="9"/>
    <s v="LT_Rural"/>
    <x v="3"/>
    <n v="51.633543144067197"/>
    <n v="14.342650873352"/>
  </r>
  <r>
    <x v="0"/>
    <x v="13"/>
    <x v="5"/>
    <x v="9"/>
    <s v="LT_Rural"/>
    <x v="4"/>
    <n v="7.4084241922120802"/>
    <n v="2.0578956089478"/>
  </r>
  <r>
    <x v="0"/>
    <x v="13"/>
    <x v="5"/>
    <x v="9"/>
    <s v="LT_Rural"/>
    <x v="5"/>
    <n v="7.4084241922120802"/>
    <n v="2.0578956089478"/>
  </r>
  <r>
    <x v="0"/>
    <x v="13"/>
    <x v="5"/>
    <x v="9"/>
    <s v="LT_Rural"/>
    <x v="6"/>
    <n v="29.476231795214598"/>
    <n v="8.1878421653373898"/>
  </r>
  <r>
    <x v="0"/>
    <x v="13"/>
    <x v="5"/>
    <x v="9"/>
    <s v="LT_Rural"/>
    <x v="7"/>
    <n v="57.838935220261199"/>
    <n v="16.066370894517"/>
  </r>
  <r>
    <x v="0"/>
    <x v="13"/>
    <x v="5"/>
    <x v="9"/>
    <s v="LT_Rural"/>
    <x v="8"/>
    <n v="57.838935220261199"/>
    <n v="16.066370894517"/>
  </r>
  <r>
    <x v="0"/>
    <x v="13"/>
    <x v="5"/>
    <x v="9"/>
    <s v="LT_Rural"/>
    <x v="9"/>
    <n v="44.803327257663497"/>
    <n v="12.4453686826843"/>
  </r>
  <r>
    <x v="0"/>
    <x v="13"/>
    <x v="5"/>
    <x v="9"/>
    <s v="LT_Rural"/>
    <x v="10"/>
    <n v="54.681226180612903"/>
    <n v="15.1892294946147"/>
  </r>
  <r>
    <x v="0"/>
    <x v="13"/>
    <x v="5"/>
    <x v="9"/>
    <s v="LT_Rural"/>
    <x v="11"/>
    <n v="3.8806031483015802"/>
    <n v="1.07794531897266"/>
  </r>
  <r>
    <x v="0"/>
    <x v="13"/>
    <x v="5"/>
    <x v="9"/>
    <s v="LT_Rural"/>
    <x v="12"/>
    <n v="9.7995028997514597E-2"/>
    <n v="2.72208413881985E-2"/>
  </r>
  <r>
    <x v="0"/>
    <x v="13"/>
    <x v="5"/>
    <x v="9"/>
    <s v="LT_Rural"/>
    <x v="13"/>
    <n v="24.694747307373699"/>
    <n v="6.8596520298260204"/>
  </r>
  <r>
    <x v="0"/>
    <x v="13"/>
    <x v="5"/>
    <x v="9"/>
    <s v="LT_Rural"/>
    <x v="14"/>
    <n v="24.694747307373699"/>
    <n v="6.8596520298260204"/>
  </r>
  <r>
    <x v="0"/>
    <x v="13"/>
    <x v="5"/>
    <x v="9"/>
    <s v="LT_Rural"/>
    <x v="15"/>
    <n v="1.65807589063794"/>
    <n v="0.46057663628831802"/>
  </r>
  <r>
    <x v="0"/>
    <x v="13"/>
    <x v="5"/>
    <x v="9"/>
    <s v="LT_Rural"/>
    <x v="16"/>
    <n v="5.8520524559425198"/>
    <n v="1.6255701266507001"/>
  </r>
  <r>
    <x v="0"/>
    <x v="13"/>
    <x v="5"/>
    <x v="9"/>
    <s v="LT_Rural"/>
    <x v="17"/>
    <n v="9.1244895875632395"/>
    <n v="2.5345804409897901"/>
  </r>
  <r>
    <x v="0"/>
    <x v="13"/>
    <x v="5"/>
    <x v="9"/>
    <s v="LT_Rural"/>
    <x v="18"/>
    <n v="24.694747307373699"/>
    <n v="6.8596520298260204"/>
  </r>
  <r>
    <x v="0"/>
    <x v="13"/>
    <x v="5"/>
    <x v="9"/>
    <s v="LT_Rural"/>
    <x v="19"/>
    <n v="8.1139884009941898"/>
    <n v="2.2538856669428302"/>
  </r>
  <r>
    <x v="0"/>
    <x v="13"/>
    <x v="5"/>
    <x v="9"/>
    <s v="LT_Rural"/>
    <x v="20"/>
    <n v="20.3765303632313"/>
    <n v="5.6601473231197996"/>
  </r>
  <r>
    <x v="0"/>
    <x v="13"/>
    <x v="5"/>
    <x v="9"/>
    <s v="LT_Rural"/>
    <x v="21"/>
    <n v="48.384"/>
    <n v="13.44"/>
  </r>
  <r>
    <x v="0"/>
    <x v="13"/>
    <x v="5"/>
    <x v="9"/>
    <s v="LT_Rural"/>
    <x v="22"/>
    <n v="79.847999999999999"/>
    <n v="22.18"/>
  </r>
  <r>
    <x v="0"/>
    <x v="13"/>
    <x v="5"/>
    <x v="9"/>
    <s v="LT_Rural"/>
    <x v="23"/>
    <n v="0.31515896120488701"/>
    <n v="8.7544155890246306E-2"/>
  </r>
  <r>
    <x v="0"/>
    <x v="13"/>
    <x v="5"/>
    <x v="9"/>
    <s v="LT_Rural"/>
    <x v="24"/>
    <n v="19.174223581093901"/>
    <n v="5.32617321697054"/>
  </r>
  <r>
    <x v="0"/>
    <x v="13"/>
    <x v="5"/>
    <x v="9"/>
    <s v="LT_Rural"/>
    <x v="25"/>
    <n v="23.613931806316799"/>
    <n v="6.5594255017546796"/>
  </r>
  <r>
    <x v="0"/>
    <x v="13"/>
    <x v="5"/>
    <x v="9"/>
    <s v="LT_Rural"/>
    <x v="26"/>
    <n v="30.869217554900899"/>
    <n v="8.5747826541391401"/>
  </r>
  <r>
    <x v="0"/>
    <x v="13"/>
    <x v="5"/>
    <x v="9"/>
    <s v="LT_Rural"/>
    <x v="27"/>
    <n v="20.163995508318798"/>
    <n v="5.6011098634218799"/>
  </r>
  <r>
    <x v="0"/>
    <x v="13"/>
    <x v="5"/>
    <x v="9"/>
    <s v="LT_SiaU"/>
    <x v="1"/>
    <n v="35.989199999999997"/>
    <n v="9.9969999999999999"/>
  </r>
  <r>
    <x v="0"/>
    <x v="13"/>
    <x v="5"/>
    <x v="9"/>
    <s v="LT_SiaU"/>
    <x v="2"/>
    <n v="48.384"/>
    <n v="13.44"/>
  </r>
  <r>
    <x v="0"/>
    <x v="13"/>
    <x v="5"/>
    <x v="9"/>
    <s v="LT_SiaU"/>
    <x v="0"/>
    <n v="42.692399999999999"/>
    <n v="11.859"/>
  </r>
  <r>
    <x v="0"/>
    <x v="13"/>
    <x v="5"/>
    <x v="9"/>
    <s v="LT_SiaU"/>
    <x v="3"/>
    <n v="51.633543144067197"/>
    <n v="14.342650873352"/>
  </r>
  <r>
    <x v="0"/>
    <x v="13"/>
    <x v="5"/>
    <x v="9"/>
    <s v="LT_SiaU"/>
    <x v="4"/>
    <n v="7.4084241922120802"/>
    <n v="2.0578956089478"/>
  </r>
  <r>
    <x v="0"/>
    <x v="13"/>
    <x v="5"/>
    <x v="9"/>
    <s v="LT_SiaU"/>
    <x v="5"/>
    <n v="7.4084241922120802"/>
    <n v="2.0578956089478"/>
  </r>
  <r>
    <x v="0"/>
    <x v="13"/>
    <x v="5"/>
    <x v="9"/>
    <s v="LT_SiaU"/>
    <x v="6"/>
    <n v="29.476231795214598"/>
    <n v="8.1878421653373898"/>
  </r>
  <r>
    <x v="0"/>
    <x v="13"/>
    <x v="5"/>
    <x v="9"/>
    <s v="LT_SiaU"/>
    <x v="7"/>
    <n v="57.838935220261199"/>
    <n v="16.066370894517"/>
  </r>
  <r>
    <x v="0"/>
    <x v="13"/>
    <x v="5"/>
    <x v="9"/>
    <s v="LT_SiaU"/>
    <x v="8"/>
    <n v="57.838935220261199"/>
    <n v="16.066370894517"/>
  </r>
  <r>
    <x v="0"/>
    <x v="13"/>
    <x v="5"/>
    <x v="9"/>
    <s v="LT_SiaU"/>
    <x v="9"/>
    <n v="44.803327257663497"/>
    <n v="12.4453686826843"/>
  </r>
  <r>
    <x v="0"/>
    <x v="13"/>
    <x v="5"/>
    <x v="9"/>
    <s v="LT_SiaU"/>
    <x v="10"/>
    <n v="54.681226180612903"/>
    <n v="15.1892294946147"/>
  </r>
  <r>
    <x v="0"/>
    <x v="13"/>
    <x v="5"/>
    <x v="9"/>
    <s v="LT_SiaU"/>
    <x v="11"/>
    <n v="3.8806031483015802"/>
    <n v="1.07794531897266"/>
  </r>
  <r>
    <x v="0"/>
    <x v="13"/>
    <x v="5"/>
    <x v="9"/>
    <s v="LT_SiaU"/>
    <x v="12"/>
    <n v="9.7995028997514597E-2"/>
    <n v="2.72208413881985E-2"/>
  </r>
  <r>
    <x v="0"/>
    <x v="13"/>
    <x v="5"/>
    <x v="9"/>
    <s v="LT_SiaU"/>
    <x v="13"/>
    <n v="24.694747307373699"/>
    <n v="6.8596520298260204"/>
  </r>
  <r>
    <x v="0"/>
    <x v="13"/>
    <x v="5"/>
    <x v="9"/>
    <s v="LT_SiaU"/>
    <x v="14"/>
    <n v="24.694747307373699"/>
    <n v="6.8596520298260204"/>
  </r>
  <r>
    <x v="0"/>
    <x v="13"/>
    <x v="5"/>
    <x v="9"/>
    <s v="LT_SiaU"/>
    <x v="15"/>
    <n v="1.65807589063794"/>
    <n v="0.46057663628831802"/>
  </r>
  <r>
    <x v="0"/>
    <x v="13"/>
    <x v="5"/>
    <x v="9"/>
    <s v="LT_SiaU"/>
    <x v="16"/>
    <n v="5.8520524559425198"/>
    <n v="1.6255701266507001"/>
  </r>
  <r>
    <x v="0"/>
    <x v="13"/>
    <x v="5"/>
    <x v="9"/>
    <s v="LT_SiaU"/>
    <x v="17"/>
    <n v="9.1244895875632395"/>
    <n v="2.5345804409897901"/>
  </r>
  <r>
    <x v="0"/>
    <x v="13"/>
    <x v="5"/>
    <x v="9"/>
    <s v="LT_SiaU"/>
    <x v="18"/>
    <n v="24.694747307373699"/>
    <n v="6.8596520298260204"/>
  </r>
  <r>
    <x v="0"/>
    <x v="13"/>
    <x v="5"/>
    <x v="9"/>
    <s v="LT_SiaU"/>
    <x v="19"/>
    <n v="8.1139884009941898"/>
    <n v="2.2538856669428302"/>
  </r>
  <r>
    <x v="0"/>
    <x v="13"/>
    <x v="5"/>
    <x v="9"/>
    <s v="LT_SiaU"/>
    <x v="20"/>
    <n v="20.3765303632313"/>
    <n v="5.6601473231197996"/>
  </r>
  <r>
    <x v="0"/>
    <x v="13"/>
    <x v="5"/>
    <x v="9"/>
    <s v="LT_SiaU"/>
    <x v="21"/>
    <n v="48.384"/>
    <n v="13.44"/>
  </r>
  <r>
    <x v="0"/>
    <x v="13"/>
    <x v="5"/>
    <x v="9"/>
    <s v="LT_SiaU"/>
    <x v="22"/>
    <n v="79.847999999999999"/>
    <n v="22.18"/>
  </r>
  <r>
    <x v="0"/>
    <x v="13"/>
    <x v="5"/>
    <x v="9"/>
    <s v="LT_SiaU"/>
    <x v="23"/>
    <n v="0.31515896120488701"/>
    <n v="8.7544155890246306E-2"/>
  </r>
  <r>
    <x v="0"/>
    <x v="13"/>
    <x v="5"/>
    <x v="9"/>
    <s v="LT_SiaU"/>
    <x v="24"/>
    <n v="19.174223581093901"/>
    <n v="5.32617321697054"/>
  </r>
  <r>
    <x v="0"/>
    <x v="13"/>
    <x v="5"/>
    <x v="9"/>
    <s v="LT_SiaU"/>
    <x v="25"/>
    <n v="23.613931806316799"/>
    <n v="6.5594255017546796"/>
  </r>
  <r>
    <x v="0"/>
    <x v="13"/>
    <x v="5"/>
    <x v="9"/>
    <s v="LT_SiaU"/>
    <x v="26"/>
    <n v="30.869217554900899"/>
    <n v="8.5747826541391401"/>
  </r>
  <r>
    <x v="0"/>
    <x v="13"/>
    <x v="5"/>
    <x v="9"/>
    <s v="LT_SiaU"/>
    <x v="27"/>
    <n v="20.163995508318798"/>
    <n v="5.6011098634218799"/>
  </r>
  <r>
    <x v="0"/>
    <x v="13"/>
    <x v="5"/>
    <x v="9"/>
    <s v="LT_VilU"/>
    <x v="1"/>
    <n v="35.989199999999997"/>
    <n v="9.9969999999999999"/>
  </r>
  <r>
    <x v="0"/>
    <x v="13"/>
    <x v="5"/>
    <x v="9"/>
    <s v="LT_VilU"/>
    <x v="2"/>
    <n v="48.384"/>
    <n v="13.44"/>
  </r>
  <r>
    <x v="0"/>
    <x v="13"/>
    <x v="5"/>
    <x v="9"/>
    <s v="LT_VilU"/>
    <x v="0"/>
    <n v="42.692399999999999"/>
    <n v="11.859"/>
  </r>
  <r>
    <x v="0"/>
    <x v="13"/>
    <x v="5"/>
    <x v="9"/>
    <s v="LT_VilU"/>
    <x v="3"/>
    <n v="51.633543144067197"/>
    <n v="14.342650873352"/>
  </r>
  <r>
    <x v="0"/>
    <x v="13"/>
    <x v="5"/>
    <x v="9"/>
    <s v="LT_VilU"/>
    <x v="4"/>
    <n v="7.4084241922120802"/>
    <n v="2.0578956089478"/>
  </r>
  <r>
    <x v="0"/>
    <x v="13"/>
    <x v="5"/>
    <x v="9"/>
    <s v="LT_VilU"/>
    <x v="5"/>
    <n v="7.4084241922120802"/>
    <n v="2.0578956089478"/>
  </r>
  <r>
    <x v="0"/>
    <x v="13"/>
    <x v="5"/>
    <x v="9"/>
    <s v="LT_VilU"/>
    <x v="6"/>
    <n v="29.476231795214598"/>
    <n v="8.1878421653373898"/>
  </r>
  <r>
    <x v="0"/>
    <x v="13"/>
    <x v="5"/>
    <x v="9"/>
    <s v="LT_VilU"/>
    <x v="7"/>
    <n v="57.838935220261199"/>
    <n v="16.066370894517"/>
  </r>
  <r>
    <x v="0"/>
    <x v="13"/>
    <x v="5"/>
    <x v="9"/>
    <s v="LT_VilU"/>
    <x v="8"/>
    <n v="57.838935220261199"/>
    <n v="16.066370894517"/>
  </r>
  <r>
    <x v="0"/>
    <x v="13"/>
    <x v="5"/>
    <x v="9"/>
    <s v="LT_VilU"/>
    <x v="9"/>
    <n v="44.803327257663497"/>
    <n v="12.4453686826843"/>
  </r>
  <r>
    <x v="0"/>
    <x v="13"/>
    <x v="5"/>
    <x v="9"/>
    <s v="LT_VilU"/>
    <x v="10"/>
    <n v="54.681226180612903"/>
    <n v="15.1892294946147"/>
  </r>
  <r>
    <x v="0"/>
    <x v="13"/>
    <x v="5"/>
    <x v="9"/>
    <s v="LT_VilU"/>
    <x v="11"/>
    <n v="3.8806031483015802"/>
    <n v="1.07794531897266"/>
  </r>
  <r>
    <x v="0"/>
    <x v="13"/>
    <x v="5"/>
    <x v="9"/>
    <s v="LT_VilU"/>
    <x v="12"/>
    <n v="9.7995028997514597E-2"/>
    <n v="2.72208413881985E-2"/>
  </r>
  <r>
    <x v="0"/>
    <x v="13"/>
    <x v="5"/>
    <x v="9"/>
    <s v="LT_VilU"/>
    <x v="13"/>
    <n v="24.694747307373699"/>
    <n v="6.8596520298260204"/>
  </r>
  <r>
    <x v="0"/>
    <x v="13"/>
    <x v="5"/>
    <x v="9"/>
    <s v="LT_VilU"/>
    <x v="14"/>
    <n v="24.694747307373699"/>
    <n v="6.8596520298260204"/>
  </r>
  <r>
    <x v="0"/>
    <x v="13"/>
    <x v="5"/>
    <x v="9"/>
    <s v="LT_VilU"/>
    <x v="15"/>
    <n v="1.65807589063794"/>
    <n v="0.46057663628831802"/>
  </r>
  <r>
    <x v="0"/>
    <x v="13"/>
    <x v="5"/>
    <x v="9"/>
    <s v="LT_VilU"/>
    <x v="16"/>
    <n v="5.8520524559425198"/>
    <n v="1.6255701266507001"/>
  </r>
  <r>
    <x v="0"/>
    <x v="13"/>
    <x v="5"/>
    <x v="9"/>
    <s v="LT_VilU"/>
    <x v="17"/>
    <n v="9.1244895875632395"/>
    <n v="2.5345804409897901"/>
  </r>
  <r>
    <x v="0"/>
    <x v="13"/>
    <x v="5"/>
    <x v="9"/>
    <s v="LT_VilU"/>
    <x v="18"/>
    <n v="24.694747307373699"/>
    <n v="6.8596520298260204"/>
  </r>
  <r>
    <x v="0"/>
    <x v="13"/>
    <x v="5"/>
    <x v="9"/>
    <s v="LT_VilU"/>
    <x v="19"/>
    <n v="8.1139884009941898"/>
    <n v="2.2538856669428302"/>
  </r>
  <r>
    <x v="0"/>
    <x v="13"/>
    <x v="5"/>
    <x v="9"/>
    <s v="LT_VilU"/>
    <x v="20"/>
    <n v="20.3765303632313"/>
    <n v="5.6601473231197996"/>
  </r>
  <r>
    <x v="0"/>
    <x v="13"/>
    <x v="5"/>
    <x v="9"/>
    <s v="LT_VilU"/>
    <x v="21"/>
    <n v="48.384"/>
    <n v="13.44"/>
  </r>
  <r>
    <x v="0"/>
    <x v="13"/>
    <x v="5"/>
    <x v="9"/>
    <s v="LT_VilU"/>
    <x v="22"/>
    <n v="79.847999999999999"/>
    <n v="22.18"/>
  </r>
  <r>
    <x v="0"/>
    <x v="13"/>
    <x v="5"/>
    <x v="9"/>
    <s v="LT_VilU"/>
    <x v="23"/>
    <n v="0.31515896120488701"/>
    <n v="8.7544155890246306E-2"/>
  </r>
  <r>
    <x v="0"/>
    <x v="13"/>
    <x v="5"/>
    <x v="9"/>
    <s v="LT_VilU"/>
    <x v="24"/>
    <n v="19.174223581093901"/>
    <n v="5.32617321697054"/>
  </r>
  <r>
    <x v="0"/>
    <x v="13"/>
    <x v="5"/>
    <x v="9"/>
    <s v="LT_VilU"/>
    <x v="25"/>
    <n v="23.613931806316799"/>
    <n v="6.5594255017546796"/>
  </r>
  <r>
    <x v="0"/>
    <x v="13"/>
    <x v="5"/>
    <x v="9"/>
    <s v="LT_VilU"/>
    <x v="26"/>
    <n v="30.869217554900899"/>
    <n v="8.5747826541391401"/>
  </r>
  <r>
    <x v="0"/>
    <x v="13"/>
    <x v="5"/>
    <x v="9"/>
    <s v="LT_VilU"/>
    <x v="27"/>
    <n v="20.163995508318798"/>
    <n v="5.6011098634218799"/>
  </r>
  <r>
    <x v="0"/>
    <x v="13"/>
    <x v="6"/>
    <x v="10"/>
    <s v="NL_A"/>
    <x v="1"/>
    <n v="35.989199999999997"/>
    <n v="9.9969999999999999"/>
  </r>
  <r>
    <x v="0"/>
    <x v="13"/>
    <x v="6"/>
    <x v="10"/>
    <s v="NL_A"/>
    <x v="2"/>
    <n v="48.384"/>
    <n v="13.44"/>
  </r>
  <r>
    <x v="0"/>
    <x v="13"/>
    <x v="6"/>
    <x v="10"/>
    <s v="NL_A"/>
    <x v="0"/>
    <n v="42.692399999999999"/>
    <n v="11.859"/>
  </r>
  <r>
    <x v="0"/>
    <x v="13"/>
    <x v="6"/>
    <x v="10"/>
    <s v="NL_A"/>
    <x v="3"/>
    <n v="51.633543144067197"/>
    <n v="14.342650873352"/>
  </r>
  <r>
    <x v="0"/>
    <x v="13"/>
    <x v="6"/>
    <x v="10"/>
    <s v="NL_A"/>
    <x v="4"/>
    <n v="7.4084241922120802"/>
    <n v="2.0578956089478"/>
  </r>
  <r>
    <x v="0"/>
    <x v="13"/>
    <x v="6"/>
    <x v="10"/>
    <s v="NL_A"/>
    <x v="5"/>
    <n v="7.4084241922120802"/>
    <n v="2.0578956089478"/>
  </r>
  <r>
    <x v="0"/>
    <x v="13"/>
    <x v="6"/>
    <x v="10"/>
    <s v="NL_A"/>
    <x v="6"/>
    <n v="29.476231795214598"/>
    <n v="8.1878421653373898"/>
  </r>
  <r>
    <x v="0"/>
    <x v="13"/>
    <x v="6"/>
    <x v="10"/>
    <s v="NL_A"/>
    <x v="7"/>
    <n v="57.838935220261199"/>
    <n v="16.066370894517"/>
  </r>
  <r>
    <x v="0"/>
    <x v="13"/>
    <x v="6"/>
    <x v="10"/>
    <s v="NL_A"/>
    <x v="8"/>
    <n v="57.838935220261199"/>
    <n v="16.066370894517"/>
  </r>
  <r>
    <x v="0"/>
    <x v="13"/>
    <x v="6"/>
    <x v="10"/>
    <s v="NL_A"/>
    <x v="9"/>
    <n v="44.803327257663497"/>
    <n v="12.4453686826843"/>
  </r>
  <r>
    <x v="0"/>
    <x v="13"/>
    <x v="6"/>
    <x v="10"/>
    <s v="NL_A"/>
    <x v="10"/>
    <n v="54.681226180612903"/>
    <n v="15.1892294946147"/>
  </r>
  <r>
    <x v="0"/>
    <x v="13"/>
    <x v="6"/>
    <x v="10"/>
    <s v="NL_A"/>
    <x v="11"/>
    <n v="3.8806031483015802"/>
    <n v="1.07794531897266"/>
  </r>
  <r>
    <x v="0"/>
    <x v="13"/>
    <x v="6"/>
    <x v="10"/>
    <s v="NL_A"/>
    <x v="12"/>
    <n v="9.7995028997514597E-2"/>
    <n v="2.72208413881985E-2"/>
  </r>
  <r>
    <x v="0"/>
    <x v="13"/>
    <x v="6"/>
    <x v="10"/>
    <s v="NL_A"/>
    <x v="13"/>
    <n v="24.694747307373699"/>
    <n v="6.8596520298260204"/>
  </r>
  <r>
    <x v="0"/>
    <x v="13"/>
    <x v="6"/>
    <x v="10"/>
    <s v="NL_A"/>
    <x v="14"/>
    <n v="24.694747307373699"/>
    <n v="6.8596520298260204"/>
  </r>
  <r>
    <x v="0"/>
    <x v="13"/>
    <x v="6"/>
    <x v="10"/>
    <s v="NL_A"/>
    <x v="15"/>
    <n v="1.65807589063794"/>
    <n v="0.46057663628831802"/>
  </r>
  <r>
    <x v="0"/>
    <x v="13"/>
    <x v="6"/>
    <x v="10"/>
    <s v="NL_A"/>
    <x v="16"/>
    <n v="5.8520524559425198"/>
    <n v="1.6255701266507001"/>
  </r>
  <r>
    <x v="0"/>
    <x v="13"/>
    <x v="6"/>
    <x v="10"/>
    <s v="NL_A"/>
    <x v="17"/>
    <n v="9.1244895875632395"/>
    <n v="2.5345804409897901"/>
  </r>
  <r>
    <x v="0"/>
    <x v="13"/>
    <x v="6"/>
    <x v="10"/>
    <s v="NL_A"/>
    <x v="18"/>
    <n v="24.694747307373699"/>
    <n v="6.8596520298260204"/>
  </r>
  <r>
    <x v="0"/>
    <x v="13"/>
    <x v="6"/>
    <x v="10"/>
    <s v="NL_A"/>
    <x v="19"/>
    <n v="8.1139884009941898"/>
    <n v="2.2538856669428302"/>
  </r>
  <r>
    <x v="0"/>
    <x v="13"/>
    <x v="6"/>
    <x v="10"/>
    <s v="NL_A"/>
    <x v="20"/>
    <n v="20.3765303632313"/>
    <n v="5.6601473231197996"/>
  </r>
  <r>
    <x v="0"/>
    <x v="13"/>
    <x v="6"/>
    <x v="10"/>
    <s v="NL_A"/>
    <x v="21"/>
    <n v="48.384"/>
    <n v="13.44"/>
  </r>
  <r>
    <x v="0"/>
    <x v="13"/>
    <x v="6"/>
    <x v="10"/>
    <s v="NL_A"/>
    <x v="22"/>
    <n v="79.847999999999999"/>
    <n v="22.18"/>
  </r>
  <r>
    <x v="0"/>
    <x v="13"/>
    <x v="6"/>
    <x v="10"/>
    <s v="NL_A"/>
    <x v="23"/>
    <n v="0.31515896120488701"/>
    <n v="8.7544155890246306E-2"/>
  </r>
  <r>
    <x v="0"/>
    <x v="13"/>
    <x v="6"/>
    <x v="10"/>
    <s v="NL_A"/>
    <x v="24"/>
    <n v="19.174223581093901"/>
    <n v="5.32617321697054"/>
  </r>
  <r>
    <x v="0"/>
    <x v="13"/>
    <x v="6"/>
    <x v="10"/>
    <s v="NL_A"/>
    <x v="25"/>
    <n v="23.613931806316799"/>
    <n v="6.5594255017546796"/>
  </r>
  <r>
    <x v="0"/>
    <x v="13"/>
    <x v="6"/>
    <x v="10"/>
    <s v="NL_A"/>
    <x v="26"/>
    <n v="30.869217554900899"/>
    <n v="8.5747826541391401"/>
  </r>
  <r>
    <x v="0"/>
    <x v="13"/>
    <x v="6"/>
    <x v="10"/>
    <s v="NL_A"/>
    <x v="27"/>
    <n v="20.163995508318798"/>
    <n v="5.6011098634218799"/>
  </r>
  <r>
    <x v="0"/>
    <x v="13"/>
    <x v="6"/>
    <x v="10"/>
    <s v="NL_OFFSHORE"/>
    <x v="1"/>
    <n v="35.989199999999997"/>
    <n v="9.9969999999999999"/>
  </r>
  <r>
    <x v="0"/>
    <x v="13"/>
    <x v="6"/>
    <x v="10"/>
    <s v="NL_OFFSHORE"/>
    <x v="2"/>
    <n v="48.384"/>
    <n v="13.44"/>
  </r>
  <r>
    <x v="0"/>
    <x v="13"/>
    <x v="6"/>
    <x v="10"/>
    <s v="NL_OFFSHORE"/>
    <x v="0"/>
    <n v="42.692399999999999"/>
    <n v="11.859"/>
  </r>
  <r>
    <x v="0"/>
    <x v="13"/>
    <x v="6"/>
    <x v="10"/>
    <s v="NL_OFFSHORE"/>
    <x v="3"/>
    <n v="51.633543144067197"/>
    <n v="14.342650873352"/>
  </r>
  <r>
    <x v="0"/>
    <x v="13"/>
    <x v="6"/>
    <x v="10"/>
    <s v="NL_OFFSHORE"/>
    <x v="4"/>
    <n v="7.4084241922120802"/>
    <n v="2.0578956089478"/>
  </r>
  <r>
    <x v="0"/>
    <x v="13"/>
    <x v="6"/>
    <x v="10"/>
    <s v="NL_OFFSHORE"/>
    <x v="5"/>
    <n v="7.4084241922120802"/>
    <n v="2.0578956089478"/>
  </r>
  <r>
    <x v="0"/>
    <x v="13"/>
    <x v="6"/>
    <x v="10"/>
    <s v="NL_OFFSHORE"/>
    <x v="6"/>
    <n v="29.476231795214598"/>
    <n v="8.1878421653373898"/>
  </r>
  <r>
    <x v="0"/>
    <x v="13"/>
    <x v="6"/>
    <x v="10"/>
    <s v="NL_OFFSHORE"/>
    <x v="7"/>
    <n v="57.838935220261199"/>
    <n v="16.066370894517"/>
  </r>
  <r>
    <x v="0"/>
    <x v="13"/>
    <x v="6"/>
    <x v="10"/>
    <s v="NL_OFFSHORE"/>
    <x v="8"/>
    <n v="57.838935220261199"/>
    <n v="16.066370894517"/>
  </r>
  <r>
    <x v="0"/>
    <x v="13"/>
    <x v="6"/>
    <x v="10"/>
    <s v="NL_OFFSHORE"/>
    <x v="9"/>
    <n v="44.803327257663497"/>
    <n v="12.4453686826843"/>
  </r>
  <r>
    <x v="0"/>
    <x v="13"/>
    <x v="6"/>
    <x v="10"/>
    <s v="NL_OFFSHORE"/>
    <x v="10"/>
    <n v="54.681226180612903"/>
    <n v="15.1892294946147"/>
  </r>
  <r>
    <x v="0"/>
    <x v="13"/>
    <x v="6"/>
    <x v="10"/>
    <s v="NL_OFFSHORE"/>
    <x v="11"/>
    <n v="3.8806031483015802"/>
    <n v="1.07794531897266"/>
  </r>
  <r>
    <x v="0"/>
    <x v="13"/>
    <x v="6"/>
    <x v="10"/>
    <s v="NL_OFFSHORE"/>
    <x v="12"/>
    <n v="9.7995028997514597E-2"/>
    <n v="2.72208413881985E-2"/>
  </r>
  <r>
    <x v="0"/>
    <x v="13"/>
    <x v="6"/>
    <x v="10"/>
    <s v="NL_OFFSHORE"/>
    <x v="13"/>
    <n v="24.694747307373699"/>
    <n v="6.8596520298260204"/>
  </r>
  <r>
    <x v="0"/>
    <x v="13"/>
    <x v="6"/>
    <x v="10"/>
    <s v="NL_OFFSHORE"/>
    <x v="14"/>
    <n v="24.694747307373699"/>
    <n v="6.8596520298260204"/>
  </r>
  <r>
    <x v="0"/>
    <x v="13"/>
    <x v="6"/>
    <x v="10"/>
    <s v="NL_OFFSHORE"/>
    <x v="15"/>
    <n v="1.65807589063794"/>
    <n v="0.46057663628831802"/>
  </r>
  <r>
    <x v="0"/>
    <x v="13"/>
    <x v="6"/>
    <x v="10"/>
    <s v="NL_OFFSHORE"/>
    <x v="16"/>
    <n v="5.8520524559425198"/>
    <n v="1.6255701266507001"/>
  </r>
  <r>
    <x v="0"/>
    <x v="13"/>
    <x v="6"/>
    <x v="10"/>
    <s v="NL_OFFSHORE"/>
    <x v="17"/>
    <n v="9.1244895875632395"/>
    <n v="2.5345804409897901"/>
  </r>
  <r>
    <x v="0"/>
    <x v="13"/>
    <x v="6"/>
    <x v="10"/>
    <s v="NL_OFFSHORE"/>
    <x v="18"/>
    <n v="24.694747307373699"/>
    <n v="6.8596520298260204"/>
  </r>
  <r>
    <x v="0"/>
    <x v="13"/>
    <x v="6"/>
    <x v="10"/>
    <s v="NL_OFFSHORE"/>
    <x v="19"/>
    <n v="8.1139884009941898"/>
    <n v="2.2538856669428302"/>
  </r>
  <r>
    <x v="0"/>
    <x v="13"/>
    <x v="6"/>
    <x v="10"/>
    <s v="NL_OFFSHORE"/>
    <x v="20"/>
    <n v="20.3765303632313"/>
    <n v="5.6601473231197996"/>
  </r>
  <r>
    <x v="0"/>
    <x v="13"/>
    <x v="6"/>
    <x v="10"/>
    <s v="NL_OFFSHORE"/>
    <x v="21"/>
    <n v="48.384"/>
    <n v="13.44"/>
  </r>
  <r>
    <x v="0"/>
    <x v="13"/>
    <x v="6"/>
    <x v="10"/>
    <s v="NL_OFFSHORE"/>
    <x v="22"/>
    <n v="79.847999999999999"/>
    <n v="22.18"/>
  </r>
  <r>
    <x v="0"/>
    <x v="13"/>
    <x v="6"/>
    <x v="10"/>
    <s v="NL_OFFSHORE"/>
    <x v="23"/>
    <n v="0.31515896120488701"/>
    <n v="8.7544155890246306E-2"/>
  </r>
  <r>
    <x v="0"/>
    <x v="13"/>
    <x v="6"/>
    <x v="10"/>
    <s v="NL_OFFSHORE"/>
    <x v="24"/>
    <n v="19.174223581093901"/>
    <n v="5.32617321697054"/>
  </r>
  <r>
    <x v="0"/>
    <x v="13"/>
    <x v="6"/>
    <x v="10"/>
    <s v="NL_OFFSHORE"/>
    <x v="25"/>
    <n v="23.613931806316799"/>
    <n v="6.5594255017546796"/>
  </r>
  <r>
    <x v="0"/>
    <x v="13"/>
    <x v="6"/>
    <x v="10"/>
    <s v="NL_OFFSHORE"/>
    <x v="26"/>
    <n v="30.869217554900899"/>
    <n v="8.5747826541391401"/>
  </r>
  <r>
    <x v="0"/>
    <x v="13"/>
    <x v="6"/>
    <x v="10"/>
    <s v="NL_OFFSHORE"/>
    <x v="27"/>
    <n v="20.163995508318798"/>
    <n v="5.6011098634218799"/>
  </r>
  <r>
    <x v="0"/>
    <x v="13"/>
    <x v="7"/>
    <x v="11"/>
    <s v="NO1_A1"/>
    <x v="1"/>
    <n v="35.989199999999997"/>
    <n v="9.9969999999999999"/>
  </r>
  <r>
    <x v="0"/>
    <x v="13"/>
    <x v="7"/>
    <x v="11"/>
    <s v="NO1_A1"/>
    <x v="2"/>
    <n v="48.384"/>
    <n v="13.44"/>
  </r>
  <r>
    <x v="0"/>
    <x v="13"/>
    <x v="7"/>
    <x v="11"/>
    <s v="NO1_A1"/>
    <x v="0"/>
    <n v="42.692399999999999"/>
    <n v="11.859"/>
  </r>
  <r>
    <x v="0"/>
    <x v="13"/>
    <x v="7"/>
    <x v="11"/>
    <s v="NO1_A1"/>
    <x v="3"/>
    <n v="51.633543144067197"/>
    <n v="14.342650873352"/>
  </r>
  <r>
    <x v="0"/>
    <x v="13"/>
    <x v="7"/>
    <x v="11"/>
    <s v="NO1_A1"/>
    <x v="4"/>
    <n v="7.4084241922120802"/>
    <n v="2.0578956089478"/>
  </r>
  <r>
    <x v="0"/>
    <x v="13"/>
    <x v="7"/>
    <x v="11"/>
    <s v="NO1_A1"/>
    <x v="5"/>
    <n v="7.4084241922120802"/>
    <n v="2.0578956089478"/>
  </r>
  <r>
    <x v="0"/>
    <x v="13"/>
    <x v="7"/>
    <x v="11"/>
    <s v="NO1_A1"/>
    <x v="6"/>
    <n v="29.476231795214598"/>
    <n v="8.1878421653373898"/>
  </r>
  <r>
    <x v="0"/>
    <x v="13"/>
    <x v="7"/>
    <x v="11"/>
    <s v="NO1_A1"/>
    <x v="7"/>
    <n v="57.838935220261199"/>
    <n v="16.066370894517"/>
  </r>
  <r>
    <x v="0"/>
    <x v="13"/>
    <x v="7"/>
    <x v="11"/>
    <s v="NO1_A1"/>
    <x v="8"/>
    <n v="57.838935220261199"/>
    <n v="16.066370894517"/>
  </r>
  <r>
    <x v="0"/>
    <x v="13"/>
    <x v="7"/>
    <x v="11"/>
    <s v="NO1_A1"/>
    <x v="9"/>
    <n v="44.803327257663497"/>
    <n v="12.4453686826843"/>
  </r>
  <r>
    <x v="0"/>
    <x v="13"/>
    <x v="7"/>
    <x v="11"/>
    <s v="NO1_A1"/>
    <x v="10"/>
    <n v="54.681226180612903"/>
    <n v="15.1892294946147"/>
  </r>
  <r>
    <x v="0"/>
    <x v="13"/>
    <x v="7"/>
    <x v="11"/>
    <s v="NO1_A1"/>
    <x v="11"/>
    <n v="3.8806031483015802"/>
    <n v="1.07794531897266"/>
  </r>
  <r>
    <x v="0"/>
    <x v="13"/>
    <x v="7"/>
    <x v="11"/>
    <s v="NO1_A1"/>
    <x v="12"/>
    <n v="9.7995028997514597E-2"/>
    <n v="2.72208413881985E-2"/>
  </r>
  <r>
    <x v="0"/>
    <x v="13"/>
    <x v="7"/>
    <x v="11"/>
    <s v="NO1_A1"/>
    <x v="13"/>
    <n v="24.694747307373699"/>
    <n v="6.8596520298260204"/>
  </r>
  <r>
    <x v="0"/>
    <x v="13"/>
    <x v="7"/>
    <x v="11"/>
    <s v="NO1_A1"/>
    <x v="14"/>
    <n v="24.694747307373699"/>
    <n v="6.8596520298260204"/>
  </r>
  <r>
    <x v="0"/>
    <x v="13"/>
    <x v="7"/>
    <x v="11"/>
    <s v="NO1_A1"/>
    <x v="15"/>
    <n v="1.65807589063794"/>
    <n v="0.46057663628831802"/>
  </r>
  <r>
    <x v="0"/>
    <x v="13"/>
    <x v="7"/>
    <x v="11"/>
    <s v="NO1_A1"/>
    <x v="16"/>
    <n v="5.8520524559425198"/>
    <n v="1.6255701266507001"/>
  </r>
  <r>
    <x v="0"/>
    <x v="13"/>
    <x v="7"/>
    <x v="11"/>
    <s v="NO1_A1"/>
    <x v="17"/>
    <n v="9.1244895875632395"/>
    <n v="2.5345804409897901"/>
  </r>
  <r>
    <x v="0"/>
    <x v="13"/>
    <x v="7"/>
    <x v="11"/>
    <s v="NO1_A1"/>
    <x v="18"/>
    <n v="24.694747307373699"/>
    <n v="6.8596520298260204"/>
  </r>
  <r>
    <x v="0"/>
    <x v="13"/>
    <x v="7"/>
    <x v="11"/>
    <s v="NO1_A1"/>
    <x v="19"/>
    <n v="8.1139884009941898"/>
    <n v="2.2538856669428302"/>
  </r>
  <r>
    <x v="0"/>
    <x v="13"/>
    <x v="7"/>
    <x v="11"/>
    <s v="NO1_A1"/>
    <x v="20"/>
    <n v="20.3765303632313"/>
    <n v="5.6601473231197996"/>
  </r>
  <r>
    <x v="0"/>
    <x v="13"/>
    <x v="7"/>
    <x v="11"/>
    <s v="NO1_A1"/>
    <x v="21"/>
    <n v="48.384"/>
    <n v="13.44"/>
  </r>
  <r>
    <x v="0"/>
    <x v="13"/>
    <x v="7"/>
    <x v="11"/>
    <s v="NO1_A1"/>
    <x v="22"/>
    <n v="79.847999999999999"/>
    <n v="22.18"/>
  </r>
  <r>
    <x v="0"/>
    <x v="13"/>
    <x v="7"/>
    <x v="11"/>
    <s v="NO1_A1"/>
    <x v="23"/>
    <n v="0.31515896120488701"/>
    <n v="8.7544155890246306E-2"/>
  </r>
  <r>
    <x v="0"/>
    <x v="13"/>
    <x v="7"/>
    <x v="11"/>
    <s v="NO1_A1"/>
    <x v="24"/>
    <n v="19.174223581093901"/>
    <n v="5.32617321697054"/>
  </r>
  <r>
    <x v="0"/>
    <x v="13"/>
    <x v="7"/>
    <x v="11"/>
    <s v="NO1_A1"/>
    <x v="25"/>
    <n v="23.613931806316799"/>
    <n v="6.5594255017546796"/>
  </r>
  <r>
    <x v="0"/>
    <x v="13"/>
    <x v="7"/>
    <x v="11"/>
    <s v="NO1_A1"/>
    <x v="26"/>
    <n v="30.869217554900899"/>
    <n v="8.5747826541391401"/>
  </r>
  <r>
    <x v="0"/>
    <x v="13"/>
    <x v="7"/>
    <x v="11"/>
    <s v="NO1_A1"/>
    <x v="27"/>
    <n v="20.163995508318798"/>
    <n v="5.6011098634218799"/>
  </r>
  <r>
    <x v="0"/>
    <x v="13"/>
    <x v="7"/>
    <x v="11"/>
    <s v="NO1_A2"/>
    <x v="1"/>
    <n v="35.989199999999997"/>
    <n v="9.9969999999999999"/>
  </r>
  <r>
    <x v="0"/>
    <x v="13"/>
    <x v="7"/>
    <x v="11"/>
    <s v="NO1_A2"/>
    <x v="2"/>
    <n v="48.384"/>
    <n v="13.44"/>
  </r>
  <r>
    <x v="0"/>
    <x v="13"/>
    <x v="7"/>
    <x v="11"/>
    <s v="NO1_A2"/>
    <x v="0"/>
    <n v="42.692399999999999"/>
    <n v="11.859"/>
  </r>
  <r>
    <x v="0"/>
    <x v="13"/>
    <x v="7"/>
    <x v="11"/>
    <s v="NO1_A2"/>
    <x v="3"/>
    <n v="51.633543144067197"/>
    <n v="14.342650873352"/>
  </r>
  <r>
    <x v="0"/>
    <x v="13"/>
    <x v="7"/>
    <x v="11"/>
    <s v="NO1_A2"/>
    <x v="4"/>
    <n v="7.4084241922120802"/>
    <n v="2.0578956089478"/>
  </r>
  <r>
    <x v="0"/>
    <x v="13"/>
    <x v="7"/>
    <x v="11"/>
    <s v="NO1_A2"/>
    <x v="5"/>
    <n v="7.4084241922120802"/>
    <n v="2.0578956089478"/>
  </r>
  <r>
    <x v="0"/>
    <x v="13"/>
    <x v="7"/>
    <x v="11"/>
    <s v="NO1_A2"/>
    <x v="6"/>
    <n v="29.476231795214598"/>
    <n v="8.1878421653373898"/>
  </r>
  <r>
    <x v="0"/>
    <x v="13"/>
    <x v="7"/>
    <x v="11"/>
    <s v="NO1_A2"/>
    <x v="7"/>
    <n v="57.838935220261199"/>
    <n v="16.066370894517"/>
  </r>
  <r>
    <x v="0"/>
    <x v="13"/>
    <x v="7"/>
    <x v="11"/>
    <s v="NO1_A2"/>
    <x v="8"/>
    <n v="57.838935220261199"/>
    <n v="16.066370894517"/>
  </r>
  <r>
    <x v="0"/>
    <x v="13"/>
    <x v="7"/>
    <x v="11"/>
    <s v="NO1_A2"/>
    <x v="9"/>
    <n v="44.803327257663497"/>
    <n v="12.4453686826843"/>
  </r>
  <r>
    <x v="0"/>
    <x v="13"/>
    <x v="7"/>
    <x v="11"/>
    <s v="NO1_A2"/>
    <x v="10"/>
    <n v="54.681226180612903"/>
    <n v="15.1892294946147"/>
  </r>
  <r>
    <x v="0"/>
    <x v="13"/>
    <x v="7"/>
    <x v="11"/>
    <s v="NO1_A2"/>
    <x v="11"/>
    <n v="3.8806031483015802"/>
    <n v="1.07794531897266"/>
  </r>
  <r>
    <x v="0"/>
    <x v="13"/>
    <x v="7"/>
    <x v="11"/>
    <s v="NO1_A2"/>
    <x v="12"/>
    <n v="9.7995028997514597E-2"/>
    <n v="2.72208413881985E-2"/>
  </r>
  <r>
    <x v="0"/>
    <x v="13"/>
    <x v="7"/>
    <x v="11"/>
    <s v="NO1_A2"/>
    <x v="13"/>
    <n v="24.694747307373699"/>
    <n v="6.8596520298260204"/>
  </r>
  <r>
    <x v="0"/>
    <x v="13"/>
    <x v="7"/>
    <x v="11"/>
    <s v="NO1_A2"/>
    <x v="14"/>
    <n v="24.694747307373699"/>
    <n v="6.8596520298260204"/>
  </r>
  <r>
    <x v="0"/>
    <x v="13"/>
    <x v="7"/>
    <x v="11"/>
    <s v="NO1_A2"/>
    <x v="15"/>
    <n v="1.65807589063794"/>
    <n v="0.46057663628831802"/>
  </r>
  <r>
    <x v="0"/>
    <x v="13"/>
    <x v="7"/>
    <x v="11"/>
    <s v="NO1_A2"/>
    <x v="16"/>
    <n v="5.8520524559425198"/>
    <n v="1.6255701266507001"/>
  </r>
  <r>
    <x v="0"/>
    <x v="13"/>
    <x v="7"/>
    <x v="11"/>
    <s v="NO1_A2"/>
    <x v="17"/>
    <n v="9.1244895875632395"/>
    <n v="2.5345804409897901"/>
  </r>
  <r>
    <x v="0"/>
    <x v="13"/>
    <x v="7"/>
    <x v="11"/>
    <s v="NO1_A2"/>
    <x v="18"/>
    <n v="24.694747307373699"/>
    <n v="6.8596520298260204"/>
  </r>
  <r>
    <x v="0"/>
    <x v="13"/>
    <x v="7"/>
    <x v="11"/>
    <s v="NO1_A2"/>
    <x v="19"/>
    <n v="8.1139884009941898"/>
    <n v="2.2538856669428302"/>
  </r>
  <r>
    <x v="0"/>
    <x v="13"/>
    <x v="7"/>
    <x v="11"/>
    <s v="NO1_A2"/>
    <x v="20"/>
    <n v="20.3765303632313"/>
    <n v="5.6601473231197996"/>
  </r>
  <r>
    <x v="0"/>
    <x v="13"/>
    <x v="7"/>
    <x v="11"/>
    <s v="NO1_A2"/>
    <x v="21"/>
    <n v="48.384"/>
    <n v="13.44"/>
  </r>
  <r>
    <x v="0"/>
    <x v="13"/>
    <x v="7"/>
    <x v="11"/>
    <s v="NO1_A2"/>
    <x v="22"/>
    <n v="79.847999999999999"/>
    <n v="22.18"/>
  </r>
  <r>
    <x v="0"/>
    <x v="13"/>
    <x v="7"/>
    <x v="11"/>
    <s v="NO1_A2"/>
    <x v="23"/>
    <n v="0.31515896120488701"/>
    <n v="8.7544155890246306E-2"/>
  </r>
  <r>
    <x v="0"/>
    <x v="13"/>
    <x v="7"/>
    <x v="11"/>
    <s v="NO1_A2"/>
    <x v="24"/>
    <n v="19.174223581093901"/>
    <n v="5.32617321697054"/>
  </r>
  <r>
    <x v="0"/>
    <x v="13"/>
    <x v="7"/>
    <x v="11"/>
    <s v="NO1_A2"/>
    <x v="25"/>
    <n v="23.613931806316799"/>
    <n v="6.5594255017546796"/>
  </r>
  <r>
    <x v="0"/>
    <x v="13"/>
    <x v="7"/>
    <x v="11"/>
    <s v="NO1_A2"/>
    <x v="26"/>
    <n v="30.869217554900899"/>
    <n v="8.5747826541391401"/>
  </r>
  <r>
    <x v="0"/>
    <x v="13"/>
    <x v="7"/>
    <x v="11"/>
    <s v="NO1_A2"/>
    <x v="27"/>
    <n v="20.163995508318798"/>
    <n v="5.6011098634218799"/>
  </r>
  <r>
    <x v="0"/>
    <x v="13"/>
    <x v="7"/>
    <x v="11"/>
    <s v="NO1_A3"/>
    <x v="1"/>
    <n v="35.989199999999997"/>
    <n v="9.9969999999999999"/>
  </r>
  <r>
    <x v="0"/>
    <x v="13"/>
    <x v="7"/>
    <x v="11"/>
    <s v="NO1_A3"/>
    <x v="2"/>
    <n v="48.384"/>
    <n v="13.44"/>
  </r>
  <r>
    <x v="0"/>
    <x v="13"/>
    <x v="7"/>
    <x v="11"/>
    <s v="NO1_A3"/>
    <x v="0"/>
    <n v="42.692399999999999"/>
    <n v="11.859"/>
  </r>
  <r>
    <x v="0"/>
    <x v="13"/>
    <x v="7"/>
    <x v="11"/>
    <s v="NO1_A3"/>
    <x v="3"/>
    <n v="51.633543144067197"/>
    <n v="14.342650873352"/>
  </r>
  <r>
    <x v="0"/>
    <x v="13"/>
    <x v="7"/>
    <x v="11"/>
    <s v="NO1_A3"/>
    <x v="4"/>
    <n v="7.4084241922120802"/>
    <n v="2.0578956089478"/>
  </r>
  <r>
    <x v="0"/>
    <x v="13"/>
    <x v="7"/>
    <x v="11"/>
    <s v="NO1_A3"/>
    <x v="5"/>
    <n v="7.4084241922120802"/>
    <n v="2.0578956089478"/>
  </r>
  <r>
    <x v="0"/>
    <x v="13"/>
    <x v="7"/>
    <x v="11"/>
    <s v="NO1_A3"/>
    <x v="6"/>
    <n v="29.476231795214598"/>
    <n v="8.1878421653373898"/>
  </r>
  <r>
    <x v="0"/>
    <x v="13"/>
    <x v="7"/>
    <x v="11"/>
    <s v="NO1_A3"/>
    <x v="7"/>
    <n v="57.838935220261199"/>
    <n v="16.066370894517"/>
  </r>
  <r>
    <x v="0"/>
    <x v="13"/>
    <x v="7"/>
    <x v="11"/>
    <s v="NO1_A3"/>
    <x v="8"/>
    <n v="57.838935220261199"/>
    <n v="16.066370894517"/>
  </r>
  <r>
    <x v="0"/>
    <x v="13"/>
    <x v="7"/>
    <x v="11"/>
    <s v="NO1_A3"/>
    <x v="9"/>
    <n v="44.803327257663497"/>
    <n v="12.4453686826843"/>
  </r>
  <r>
    <x v="0"/>
    <x v="13"/>
    <x v="7"/>
    <x v="11"/>
    <s v="NO1_A3"/>
    <x v="10"/>
    <n v="54.681226180612903"/>
    <n v="15.1892294946147"/>
  </r>
  <r>
    <x v="0"/>
    <x v="13"/>
    <x v="7"/>
    <x v="11"/>
    <s v="NO1_A3"/>
    <x v="11"/>
    <n v="3.8806031483015802"/>
    <n v="1.07794531897266"/>
  </r>
  <r>
    <x v="0"/>
    <x v="13"/>
    <x v="7"/>
    <x v="11"/>
    <s v="NO1_A3"/>
    <x v="12"/>
    <n v="9.7995028997514597E-2"/>
    <n v="2.72208413881985E-2"/>
  </r>
  <r>
    <x v="0"/>
    <x v="13"/>
    <x v="7"/>
    <x v="11"/>
    <s v="NO1_A3"/>
    <x v="13"/>
    <n v="24.694747307373699"/>
    <n v="6.8596520298260204"/>
  </r>
  <r>
    <x v="0"/>
    <x v="13"/>
    <x v="7"/>
    <x v="11"/>
    <s v="NO1_A3"/>
    <x v="14"/>
    <n v="24.694747307373699"/>
    <n v="6.8596520298260204"/>
  </r>
  <r>
    <x v="0"/>
    <x v="13"/>
    <x v="7"/>
    <x v="11"/>
    <s v="NO1_A3"/>
    <x v="15"/>
    <n v="1.65807589063794"/>
    <n v="0.46057663628831802"/>
  </r>
  <r>
    <x v="0"/>
    <x v="13"/>
    <x v="7"/>
    <x v="11"/>
    <s v="NO1_A3"/>
    <x v="16"/>
    <n v="5.8520524559425198"/>
    <n v="1.6255701266507001"/>
  </r>
  <r>
    <x v="0"/>
    <x v="13"/>
    <x v="7"/>
    <x v="11"/>
    <s v="NO1_A3"/>
    <x v="17"/>
    <n v="9.1244895875632395"/>
    <n v="2.5345804409897901"/>
  </r>
  <r>
    <x v="0"/>
    <x v="13"/>
    <x v="7"/>
    <x v="11"/>
    <s v="NO1_A3"/>
    <x v="18"/>
    <n v="24.694747307373699"/>
    <n v="6.8596520298260204"/>
  </r>
  <r>
    <x v="0"/>
    <x v="13"/>
    <x v="7"/>
    <x v="11"/>
    <s v="NO1_A3"/>
    <x v="19"/>
    <n v="8.1139884009941898"/>
    <n v="2.2538856669428302"/>
  </r>
  <r>
    <x v="0"/>
    <x v="13"/>
    <x v="7"/>
    <x v="11"/>
    <s v="NO1_A3"/>
    <x v="20"/>
    <n v="20.3765303632313"/>
    <n v="5.6601473231197996"/>
  </r>
  <r>
    <x v="0"/>
    <x v="13"/>
    <x v="7"/>
    <x v="11"/>
    <s v="NO1_A3"/>
    <x v="21"/>
    <n v="48.384"/>
    <n v="13.44"/>
  </r>
  <r>
    <x v="0"/>
    <x v="13"/>
    <x v="7"/>
    <x v="11"/>
    <s v="NO1_A3"/>
    <x v="22"/>
    <n v="79.847999999999999"/>
    <n v="22.18"/>
  </r>
  <r>
    <x v="0"/>
    <x v="13"/>
    <x v="7"/>
    <x v="11"/>
    <s v="NO1_A3"/>
    <x v="23"/>
    <n v="0.31515896120488701"/>
    <n v="8.7544155890246306E-2"/>
  </r>
  <r>
    <x v="0"/>
    <x v="13"/>
    <x v="7"/>
    <x v="11"/>
    <s v="NO1_A3"/>
    <x v="24"/>
    <n v="19.174223581093901"/>
    <n v="5.32617321697054"/>
  </r>
  <r>
    <x v="0"/>
    <x v="13"/>
    <x v="7"/>
    <x v="11"/>
    <s v="NO1_A3"/>
    <x v="25"/>
    <n v="23.613931806316799"/>
    <n v="6.5594255017546796"/>
  </r>
  <r>
    <x v="0"/>
    <x v="13"/>
    <x v="7"/>
    <x v="11"/>
    <s v="NO1_A3"/>
    <x v="26"/>
    <n v="30.869217554900899"/>
    <n v="8.5747826541391401"/>
  </r>
  <r>
    <x v="0"/>
    <x v="13"/>
    <x v="7"/>
    <x v="11"/>
    <s v="NO1_A3"/>
    <x v="27"/>
    <n v="20.163995508318798"/>
    <n v="5.6011098634218799"/>
  </r>
  <r>
    <x v="0"/>
    <x v="13"/>
    <x v="7"/>
    <x v="11"/>
    <s v="NO1_Offshore"/>
    <x v="1"/>
    <n v="35.989199999999997"/>
    <n v="9.9969999999999999"/>
  </r>
  <r>
    <x v="0"/>
    <x v="13"/>
    <x v="7"/>
    <x v="11"/>
    <s v="NO1_Offshore"/>
    <x v="2"/>
    <n v="48.384"/>
    <n v="13.44"/>
  </r>
  <r>
    <x v="0"/>
    <x v="13"/>
    <x v="7"/>
    <x v="11"/>
    <s v="NO1_Offshore"/>
    <x v="0"/>
    <n v="42.692399999999999"/>
    <n v="11.859"/>
  </r>
  <r>
    <x v="0"/>
    <x v="13"/>
    <x v="7"/>
    <x v="11"/>
    <s v="NO1_Offshore"/>
    <x v="3"/>
    <n v="51.633543144067197"/>
    <n v="14.342650873352"/>
  </r>
  <r>
    <x v="0"/>
    <x v="13"/>
    <x v="7"/>
    <x v="11"/>
    <s v="NO1_Offshore"/>
    <x v="4"/>
    <n v="7.4084241922120802"/>
    <n v="2.0578956089478"/>
  </r>
  <r>
    <x v="0"/>
    <x v="13"/>
    <x v="7"/>
    <x v="11"/>
    <s v="NO1_Offshore"/>
    <x v="5"/>
    <n v="7.4084241922120802"/>
    <n v="2.0578956089478"/>
  </r>
  <r>
    <x v="0"/>
    <x v="13"/>
    <x v="7"/>
    <x v="11"/>
    <s v="NO1_Offshore"/>
    <x v="6"/>
    <n v="29.476231795214598"/>
    <n v="8.1878421653373898"/>
  </r>
  <r>
    <x v="0"/>
    <x v="13"/>
    <x v="7"/>
    <x v="11"/>
    <s v="NO1_Offshore"/>
    <x v="7"/>
    <n v="57.838935220261199"/>
    <n v="16.066370894517"/>
  </r>
  <r>
    <x v="0"/>
    <x v="13"/>
    <x v="7"/>
    <x v="11"/>
    <s v="NO1_Offshore"/>
    <x v="8"/>
    <n v="57.838935220261199"/>
    <n v="16.066370894517"/>
  </r>
  <r>
    <x v="0"/>
    <x v="13"/>
    <x v="7"/>
    <x v="11"/>
    <s v="NO1_Offshore"/>
    <x v="9"/>
    <n v="44.803327257663497"/>
    <n v="12.4453686826843"/>
  </r>
  <r>
    <x v="0"/>
    <x v="13"/>
    <x v="7"/>
    <x v="11"/>
    <s v="NO1_Offshore"/>
    <x v="10"/>
    <n v="54.681226180612903"/>
    <n v="15.1892294946147"/>
  </r>
  <r>
    <x v="0"/>
    <x v="13"/>
    <x v="7"/>
    <x v="11"/>
    <s v="NO1_Offshore"/>
    <x v="11"/>
    <n v="3.8806031483015802"/>
    <n v="1.07794531897266"/>
  </r>
  <r>
    <x v="0"/>
    <x v="13"/>
    <x v="7"/>
    <x v="11"/>
    <s v="NO1_Offshore"/>
    <x v="12"/>
    <n v="9.7995028997514597E-2"/>
    <n v="2.72208413881985E-2"/>
  </r>
  <r>
    <x v="0"/>
    <x v="13"/>
    <x v="7"/>
    <x v="11"/>
    <s v="NO1_Offshore"/>
    <x v="13"/>
    <n v="24.694747307373699"/>
    <n v="6.8596520298260204"/>
  </r>
  <r>
    <x v="0"/>
    <x v="13"/>
    <x v="7"/>
    <x v="11"/>
    <s v="NO1_Offshore"/>
    <x v="14"/>
    <n v="24.694747307373699"/>
    <n v="6.8596520298260204"/>
  </r>
  <r>
    <x v="0"/>
    <x v="13"/>
    <x v="7"/>
    <x v="11"/>
    <s v="NO1_Offshore"/>
    <x v="15"/>
    <n v="1.65807589063794"/>
    <n v="0.46057663628831802"/>
  </r>
  <r>
    <x v="0"/>
    <x v="13"/>
    <x v="7"/>
    <x v="11"/>
    <s v="NO1_Offshore"/>
    <x v="16"/>
    <n v="5.8520524559425198"/>
    <n v="1.6255701266507001"/>
  </r>
  <r>
    <x v="0"/>
    <x v="13"/>
    <x v="7"/>
    <x v="11"/>
    <s v="NO1_Offshore"/>
    <x v="17"/>
    <n v="9.1244895875632395"/>
    <n v="2.5345804409897901"/>
  </r>
  <r>
    <x v="0"/>
    <x v="13"/>
    <x v="7"/>
    <x v="11"/>
    <s v="NO1_Offshore"/>
    <x v="18"/>
    <n v="24.694747307373699"/>
    <n v="6.8596520298260204"/>
  </r>
  <r>
    <x v="0"/>
    <x v="13"/>
    <x v="7"/>
    <x v="11"/>
    <s v="NO1_Offshore"/>
    <x v="19"/>
    <n v="8.1139884009941898"/>
    <n v="2.2538856669428302"/>
  </r>
  <r>
    <x v="0"/>
    <x v="13"/>
    <x v="7"/>
    <x v="11"/>
    <s v="NO1_Offshore"/>
    <x v="20"/>
    <n v="20.3765303632313"/>
    <n v="5.6601473231197996"/>
  </r>
  <r>
    <x v="0"/>
    <x v="13"/>
    <x v="7"/>
    <x v="11"/>
    <s v="NO1_Offshore"/>
    <x v="21"/>
    <n v="48.384"/>
    <n v="13.44"/>
  </r>
  <r>
    <x v="0"/>
    <x v="13"/>
    <x v="7"/>
    <x v="11"/>
    <s v="NO1_Offshore"/>
    <x v="22"/>
    <n v="79.847999999999999"/>
    <n v="22.18"/>
  </r>
  <r>
    <x v="0"/>
    <x v="13"/>
    <x v="7"/>
    <x v="11"/>
    <s v="NO1_Offshore"/>
    <x v="23"/>
    <n v="0.31515896120488701"/>
    <n v="8.7544155890246306E-2"/>
  </r>
  <r>
    <x v="0"/>
    <x v="13"/>
    <x v="7"/>
    <x v="11"/>
    <s v="NO1_Offshore"/>
    <x v="24"/>
    <n v="19.174223581093901"/>
    <n v="5.32617321697054"/>
  </r>
  <r>
    <x v="0"/>
    <x v="13"/>
    <x v="7"/>
    <x v="11"/>
    <s v="NO1_Offshore"/>
    <x v="25"/>
    <n v="23.613931806316799"/>
    <n v="6.5594255017546796"/>
  </r>
  <r>
    <x v="0"/>
    <x v="13"/>
    <x v="7"/>
    <x v="11"/>
    <s v="NO1_Offshore"/>
    <x v="26"/>
    <n v="30.869217554900899"/>
    <n v="8.5747826541391401"/>
  </r>
  <r>
    <x v="0"/>
    <x v="13"/>
    <x v="7"/>
    <x v="11"/>
    <s v="NO1_Offshore"/>
    <x v="27"/>
    <n v="20.163995508318798"/>
    <n v="5.6011098634218799"/>
  </r>
  <r>
    <x v="0"/>
    <x v="13"/>
    <x v="7"/>
    <x v="12"/>
    <s v="NO2_A1"/>
    <x v="1"/>
    <n v="35.989199999999997"/>
    <n v="9.9969999999999999"/>
  </r>
  <r>
    <x v="0"/>
    <x v="13"/>
    <x v="7"/>
    <x v="12"/>
    <s v="NO2_A1"/>
    <x v="2"/>
    <n v="48.384"/>
    <n v="13.44"/>
  </r>
  <r>
    <x v="0"/>
    <x v="13"/>
    <x v="7"/>
    <x v="12"/>
    <s v="NO2_A1"/>
    <x v="0"/>
    <n v="42.692399999999999"/>
    <n v="11.859"/>
  </r>
  <r>
    <x v="0"/>
    <x v="13"/>
    <x v="7"/>
    <x v="12"/>
    <s v="NO2_A1"/>
    <x v="3"/>
    <n v="51.633543144067197"/>
    <n v="14.342650873352"/>
  </r>
  <r>
    <x v="0"/>
    <x v="13"/>
    <x v="7"/>
    <x v="12"/>
    <s v="NO2_A1"/>
    <x v="4"/>
    <n v="7.4084241922120802"/>
    <n v="2.0578956089478"/>
  </r>
  <r>
    <x v="0"/>
    <x v="13"/>
    <x v="7"/>
    <x v="12"/>
    <s v="NO2_A1"/>
    <x v="5"/>
    <n v="7.4084241922120802"/>
    <n v="2.0578956089478"/>
  </r>
  <r>
    <x v="0"/>
    <x v="13"/>
    <x v="7"/>
    <x v="12"/>
    <s v="NO2_A1"/>
    <x v="6"/>
    <n v="29.476231795214598"/>
    <n v="8.1878421653373898"/>
  </r>
  <r>
    <x v="0"/>
    <x v="13"/>
    <x v="7"/>
    <x v="12"/>
    <s v="NO2_A1"/>
    <x v="7"/>
    <n v="57.838935220261199"/>
    <n v="16.066370894517"/>
  </r>
  <r>
    <x v="0"/>
    <x v="13"/>
    <x v="7"/>
    <x v="12"/>
    <s v="NO2_A1"/>
    <x v="8"/>
    <n v="57.838935220261199"/>
    <n v="16.066370894517"/>
  </r>
  <r>
    <x v="0"/>
    <x v="13"/>
    <x v="7"/>
    <x v="12"/>
    <s v="NO2_A1"/>
    <x v="9"/>
    <n v="44.803327257663497"/>
    <n v="12.4453686826843"/>
  </r>
  <r>
    <x v="0"/>
    <x v="13"/>
    <x v="7"/>
    <x v="12"/>
    <s v="NO2_A1"/>
    <x v="10"/>
    <n v="54.681226180612903"/>
    <n v="15.1892294946147"/>
  </r>
  <r>
    <x v="0"/>
    <x v="13"/>
    <x v="7"/>
    <x v="12"/>
    <s v="NO2_A1"/>
    <x v="11"/>
    <n v="3.8806031483015802"/>
    <n v="1.07794531897266"/>
  </r>
  <r>
    <x v="0"/>
    <x v="13"/>
    <x v="7"/>
    <x v="12"/>
    <s v="NO2_A1"/>
    <x v="12"/>
    <n v="9.7995028997514597E-2"/>
    <n v="2.72208413881985E-2"/>
  </r>
  <r>
    <x v="0"/>
    <x v="13"/>
    <x v="7"/>
    <x v="12"/>
    <s v="NO2_A1"/>
    <x v="13"/>
    <n v="24.694747307373699"/>
    <n v="6.8596520298260204"/>
  </r>
  <r>
    <x v="0"/>
    <x v="13"/>
    <x v="7"/>
    <x v="12"/>
    <s v="NO2_A1"/>
    <x v="14"/>
    <n v="24.694747307373699"/>
    <n v="6.8596520298260204"/>
  </r>
  <r>
    <x v="0"/>
    <x v="13"/>
    <x v="7"/>
    <x v="12"/>
    <s v="NO2_A1"/>
    <x v="15"/>
    <n v="1.65807589063794"/>
    <n v="0.46057663628831802"/>
  </r>
  <r>
    <x v="0"/>
    <x v="13"/>
    <x v="7"/>
    <x v="12"/>
    <s v="NO2_A1"/>
    <x v="16"/>
    <n v="5.8520524559425198"/>
    <n v="1.6255701266507001"/>
  </r>
  <r>
    <x v="0"/>
    <x v="13"/>
    <x v="7"/>
    <x v="12"/>
    <s v="NO2_A1"/>
    <x v="17"/>
    <n v="9.1244895875632395"/>
    <n v="2.5345804409897901"/>
  </r>
  <r>
    <x v="0"/>
    <x v="13"/>
    <x v="7"/>
    <x v="12"/>
    <s v="NO2_A1"/>
    <x v="18"/>
    <n v="24.694747307373699"/>
    <n v="6.8596520298260204"/>
  </r>
  <r>
    <x v="0"/>
    <x v="13"/>
    <x v="7"/>
    <x v="12"/>
    <s v="NO2_A1"/>
    <x v="19"/>
    <n v="8.1139884009941898"/>
    <n v="2.2538856669428302"/>
  </r>
  <r>
    <x v="0"/>
    <x v="13"/>
    <x v="7"/>
    <x v="12"/>
    <s v="NO2_A1"/>
    <x v="20"/>
    <n v="20.3765303632313"/>
    <n v="5.6601473231197996"/>
  </r>
  <r>
    <x v="0"/>
    <x v="13"/>
    <x v="7"/>
    <x v="12"/>
    <s v="NO2_A1"/>
    <x v="21"/>
    <n v="48.384"/>
    <n v="13.44"/>
  </r>
  <r>
    <x v="0"/>
    <x v="13"/>
    <x v="7"/>
    <x v="12"/>
    <s v="NO2_A1"/>
    <x v="22"/>
    <n v="79.847999999999999"/>
    <n v="22.18"/>
  </r>
  <r>
    <x v="0"/>
    <x v="13"/>
    <x v="7"/>
    <x v="12"/>
    <s v="NO2_A1"/>
    <x v="23"/>
    <n v="0.31515896120488701"/>
    <n v="8.7544155890246306E-2"/>
  </r>
  <r>
    <x v="0"/>
    <x v="13"/>
    <x v="7"/>
    <x v="12"/>
    <s v="NO2_A1"/>
    <x v="24"/>
    <n v="19.174223581093901"/>
    <n v="5.32617321697054"/>
  </r>
  <r>
    <x v="0"/>
    <x v="13"/>
    <x v="7"/>
    <x v="12"/>
    <s v="NO2_A1"/>
    <x v="25"/>
    <n v="23.613931806316799"/>
    <n v="6.5594255017546796"/>
  </r>
  <r>
    <x v="0"/>
    <x v="13"/>
    <x v="7"/>
    <x v="12"/>
    <s v="NO2_A1"/>
    <x v="26"/>
    <n v="30.869217554900899"/>
    <n v="8.5747826541391401"/>
  </r>
  <r>
    <x v="0"/>
    <x v="13"/>
    <x v="7"/>
    <x v="12"/>
    <s v="NO2_A1"/>
    <x v="27"/>
    <n v="20.163995508318798"/>
    <n v="5.6011098634218799"/>
  </r>
  <r>
    <x v="0"/>
    <x v="13"/>
    <x v="7"/>
    <x v="12"/>
    <s v="NO2_A2"/>
    <x v="1"/>
    <n v="35.989199999999997"/>
    <n v="9.9969999999999999"/>
  </r>
  <r>
    <x v="0"/>
    <x v="13"/>
    <x v="7"/>
    <x v="12"/>
    <s v="NO2_A2"/>
    <x v="2"/>
    <n v="48.384"/>
    <n v="13.44"/>
  </r>
  <r>
    <x v="0"/>
    <x v="13"/>
    <x v="7"/>
    <x v="12"/>
    <s v="NO2_A2"/>
    <x v="0"/>
    <n v="42.692399999999999"/>
    <n v="11.859"/>
  </r>
  <r>
    <x v="0"/>
    <x v="13"/>
    <x v="7"/>
    <x v="12"/>
    <s v="NO2_A2"/>
    <x v="3"/>
    <n v="51.633543144067197"/>
    <n v="14.342650873352"/>
  </r>
  <r>
    <x v="0"/>
    <x v="13"/>
    <x v="7"/>
    <x v="12"/>
    <s v="NO2_A2"/>
    <x v="4"/>
    <n v="7.4084241922120802"/>
    <n v="2.0578956089478"/>
  </r>
  <r>
    <x v="0"/>
    <x v="13"/>
    <x v="7"/>
    <x v="12"/>
    <s v="NO2_A2"/>
    <x v="5"/>
    <n v="7.4084241922120802"/>
    <n v="2.0578956089478"/>
  </r>
  <r>
    <x v="0"/>
    <x v="13"/>
    <x v="7"/>
    <x v="12"/>
    <s v="NO2_A2"/>
    <x v="6"/>
    <n v="29.476231795214598"/>
    <n v="8.1878421653373898"/>
  </r>
  <r>
    <x v="0"/>
    <x v="13"/>
    <x v="7"/>
    <x v="12"/>
    <s v="NO2_A2"/>
    <x v="7"/>
    <n v="57.838935220261199"/>
    <n v="16.066370894517"/>
  </r>
  <r>
    <x v="0"/>
    <x v="13"/>
    <x v="7"/>
    <x v="12"/>
    <s v="NO2_A2"/>
    <x v="8"/>
    <n v="57.838935220261199"/>
    <n v="16.066370894517"/>
  </r>
  <r>
    <x v="0"/>
    <x v="13"/>
    <x v="7"/>
    <x v="12"/>
    <s v="NO2_A2"/>
    <x v="9"/>
    <n v="44.803327257663497"/>
    <n v="12.4453686826843"/>
  </r>
  <r>
    <x v="0"/>
    <x v="13"/>
    <x v="7"/>
    <x v="12"/>
    <s v="NO2_A2"/>
    <x v="10"/>
    <n v="54.681226180612903"/>
    <n v="15.1892294946147"/>
  </r>
  <r>
    <x v="0"/>
    <x v="13"/>
    <x v="7"/>
    <x v="12"/>
    <s v="NO2_A2"/>
    <x v="11"/>
    <n v="3.8806031483015802"/>
    <n v="1.07794531897266"/>
  </r>
  <r>
    <x v="0"/>
    <x v="13"/>
    <x v="7"/>
    <x v="12"/>
    <s v="NO2_A2"/>
    <x v="12"/>
    <n v="9.7995028997514597E-2"/>
    <n v="2.72208413881985E-2"/>
  </r>
  <r>
    <x v="0"/>
    <x v="13"/>
    <x v="7"/>
    <x v="12"/>
    <s v="NO2_A2"/>
    <x v="13"/>
    <n v="24.694747307373699"/>
    <n v="6.8596520298260204"/>
  </r>
  <r>
    <x v="0"/>
    <x v="13"/>
    <x v="7"/>
    <x v="12"/>
    <s v="NO2_A2"/>
    <x v="14"/>
    <n v="24.694747307373699"/>
    <n v="6.8596520298260204"/>
  </r>
  <r>
    <x v="0"/>
    <x v="13"/>
    <x v="7"/>
    <x v="12"/>
    <s v="NO2_A2"/>
    <x v="15"/>
    <n v="1.65807589063794"/>
    <n v="0.46057663628831802"/>
  </r>
  <r>
    <x v="0"/>
    <x v="13"/>
    <x v="7"/>
    <x v="12"/>
    <s v="NO2_A2"/>
    <x v="16"/>
    <n v="5.8520524559425198"/>
    <n v="1.6255701266507001"/>
  </r>
  <r>
    <x v="0"/>
    <x v="13"/>
    <x v="7"/>
    <x v="12"/>
    <s v="NO2_A2"/>
    <x v="17"/>
    <n v="9.1244895875632395"/>
    <n v="2.5345804409897901"/>
  </r>
  <r>
    <x v="0"/>
    <x v="13"/>
    <x v="7"/>
    <x v="12"/>
    <s v="NO2_A2"/>
    <x v="18"/>
    <n v="24.694747307373699"/>
    <n v="6.8596520298260204"/>
  </r>
  <r>
    <x v="0"/>
    <x v="13"/>
    <x v="7"/>
    <x v="12"/>
    <s v="NO2_A2"/>
    <x v="19"/>
    <n v="8.1139884009941898"/>
    <n v="2.2538856669428302"/>
  </r>
  <r>
    <x v="0"/>
    <x v="13"/>
    <x v="7"/>
    <x v="12"/>
    <s v="NO2_A2"/>
    <x v="20"/>
    <n v="20.3765303632313"/>
    <n v="5.6601473231197996"/>
  </r>
  <r>
    <x v="0"/>
    <x v="13"/>
    <x v="7"/>
    <x v="12"/>
    <s v="NO2_A2"/>
    <x v="21"/>
    <n v="48.384"/>
    <n v="13.44"/>
  </r>
  <r>
    <x v="0"/>
    <x v="13"/>
    <x v="7"/>
    <x v="12"/>
    <s v="NO2_A2"/>
    <x v="22"/>
    <n v="79.847999999999999"/>
    <n v="22.18"/>
  </r>
  <r>
    <x v="0"/>
    <x v="13"/>
    <x v="7"/>
    <x v="12"/>
    <s v="NO2_A2"/>
    <x v="23"/>
    <n v="0.31515896120488701"/>
    <n v="8.7544155890246306E-2"/>
  </r>
  <r>
    <x v="0"/>
    <x v="13"/>
    <x v="7"/>
    <x v="12"/>
    <s v="NO2_A2"/>
    <x v="24"/>
    <n v="19.174223581093901"/>
    <n v="5.32617321697054"/>
  </r>
  <r>
    <x v="0"/>
    <x v="13"/>
    <x v="7"/>
    <x v="12"/>
    <s v="NO2_A2"/>
    <x v="25"/>
    <n v="23.613931806316799"/>
    <n v="6.5594255017546796"/>
  </r>
  <r>
    <x v="0"/>
    <x v="13"/>
    <x v="7"/>
    <x v="12"/>
    <s v="NO2_A2"/>
    <x v="26"/>
    <n v="30.869217554900899"/>
    <n v="8.5747826541391401"/>
  </r>
  <r>
    <x v="0"/>
    <x v="13"/>
    <x v="7"/>
    <x v="12"/>
    <s v="NO2_A2"/>
    <x v="27"/>
    <n v="20.163995508318798"/>
    <n v="5.6011098634218799"/>
  </r>
  <r>
    <x v="0"/>
    <x v="13"/>
    <x v="7"/>
    <x v="12"/>
    <s v="NO2_Offshore"/>
    <x v="1"/>
    <n v="35.989199999999997"/>
    <n v="9.9969999999999999"/>
  </r>
  <r>
    <x v="0"/>
    <x v="13"/>
    <x v="7"/>
    <x v="12"/>
    <s v="NO2_Offshore"/>
    <x v="2"/>
    <n v="48.384"/>
    <n v="13.44"/>
  </r>
  <r>
    <x v="0"/>
    <x v="13"/>
    <x v="7"/>
    <x v="12"/>
    <s v="NO2_Offshore"/>
    <x v="0"/>
    <n v="42.692399999999999"/>
    <n v="11.859"/>
  </r>
  <r>
    <x v="0"/>
    <x v="13"/>
    <x v="7"/>
    <x v="12"/>
    <s v="NO2_Offshore"/>
    <x v="3"/>
    <n v="51.633543144067197"/>
    <n v="14.342650873352"/>
  </r>
  <r>
    <x v="0"/>
    <x v="13"/>
    <x v="7"/>
    <x v="12"/>
    <s v="NO2_Offshore"/>
    <x v="4"/>
    <n v="7.4084241922120802"/>
    <n v="2.0578956089478"/>
  </r>
  <r>
    <x v="0"/>
    <x v="13"/>
    <x v="7"/>
    <x v="12"/>
    <s v="NO2_Offshore"/>
    <x v="5"/>
    <n v="7.4084241922120802"/>
    <n v="2.0578956089478"/>
  </r>
  <r>
    <x v="0"/>
    <x v="13"/>
    <x v="7"/>
    <x v="12"/>
    <s v="NO2_Offshore"/>
    <x v="6"/>
    <n v="29.476231795214598"/>
    <n v="8.1878421653373898"/>
  </r>
  <r>
    <x v="0"/>
    <x v="13"/>
    <x v="7"/>
    <x v="12"/>
    <s v="NO2_Offshore"/>
    <x v="7"/>
    <n v="57.838935220261199"/>
    <n v="16.066370894517"/>
  </r>
  <r>
    <x v="0"/>
    <x v="13"/>
    <x v="7"/>
    <x v="12"/>
    <s v="NO2_Offshore"/>
    <x v="8"/>
    <n v="57.838935220261199"/>
    <n v="16.066370894517"/>
  </r>
  <r>
    <x v="0"/>
    <x v="13"/>
    <x v="7"/>
    <x v="12"/>
    <s v="NO2_Offshore"/>
    <x v="9"/>
    <n v="44.803327257663497"/>
    <n v="12.4453686826843"/>
  </r>
  <r>
    <x v="0"/>
    <x v="13"/>
    <x v="7"/>
    <x v="12"/>
    <s v="NO2_Offshore"/>
    <x v="10"/>
    <n v="54.681226180612903"/>
    <n v="15.1892294946147"/>
  </r>
  <r>
    <x v="0"/>
    <x v="13"/>
    <x v="7"/>
    <x v="12"/>
    <s v="NO2_Offshore"/>
    <x v="11"/>
    <n v="3.8806031483015802"/>
    <n v="1.07794531897266"/>
  </r>
  <r>
    <x v="0"/>
    <x v="13"/>
    <x v="7"/>
    <x v="12"/>
    <s v="NO2_Offshore"/>
    <x v="12"/>
    <n v="9.7995028997514597E-2"/>
    <n v="2.72208413881985E-2"/>
  </r>
  <r>
    <x v="0"/>
    <x v="13"/>
    <x v="7"/>
    <x v="12"/>
    <s v="NO2_Offshore"/>
    <x v="13"/>
    <n v="24.694747307373699"/>
    <n v="6.8596520298260204"/>
  </r>
  <r>
    <x v="0"/>
    <x v="13"/>
    <x v="7"/>
    <x v="12"/>
    <s v="NO2_Offshore"/>
    <x v="14"/>
    <n v="24.694747307373699"/>
    <n v="6.8596520298260204"/>
  </r>
  <r>
    <x v="0"/>
    <x v="13"/>
    <x v="7"/>
    <x v="12"/>
    <s v="NO2_Offshore"/>
    <x v="15"/>
    <n v="1.65807589063794"/>
    <n v="0.46057663628831802"/>
  </r>
  <r>
    <x v="0"/>
    <x v="13"/>
    <x v="7"/>
    <x v="12"/>
    <s v="NO2_Offshore"/>
    <x v="16"/>
    <n v="5.8520524559425198"/>
    <n v="1.6255701266507001"/>
  </r>
  <r>
    <x v="0"/>
    <x v="13"/>
    <x v="7"/>
    <x v="12"/>
    <s v="NO2_Offshore"/>
    <x v="17"/>
    <n v="9.1244895875632395"/>
    <n v="2.5345804409897901"/>
  </r>
  <r>
    <x v="0"/>
    <x v="13"/>
    <x v="7"/>
    <x v="12"/>
    <s v="NO2_Offshore"/>
    <x v="18"/>
    <n v="24.694747307373699"/>
    <n v="6.8596520298260204"/>
  </r>
  <r>
    <x v="0"/>
    <x v="13"/>
    <x v="7"/>
    <x v="12"/>
    <s v="NO2_Offshore"/>
    <x v="19"/>
    <n v="8.1139884009941898"/>
    <n v="2.2538856669428302"/>
  </r>
  <r>
    <x v="0"/>
    <x v="13"/>
    <x v="7"/>
    <x v="12"/>
    <s v="NO2_Offshore"/>
    <x v="20"/>
    <n v="20.3765303632313"/>
    <n v="5.6601473231197996"/>
  </r>
  <r>
    <x v="0"/>
    <x v="13"/>
    <x v="7"/>
    <x v="12"/>
    <s v="NO2_Offshore"/>
    <x v="21"/>
    <n v="48.384"/>
    <n v="13.44"/>
  </r>
  <r>
    <x v="0"/>
    <x v="13"/>
    <x v="7"/>
    <x v="12"/>
    <s v="NO2_Offshore"/>
    <x v="22"/>
    <n v="79.847999999999999"/>
    <n v="22.18"/>
  </r>
  <r>
    <x v="0"/>
    <x v="13"/>
    <x v="7"/>
    <x v="12"/>
    <s v="NO2_Offshore"/>
    <x v="23"/>
    <n v="0.31515896120488701"/>
    <n v="8.7544155890246306E-2"/>
  </r>
  <r>
    <x v="0"/>
    <x v="13"/>
    <x v="7"/>
    <x v="12"/>
    <s v="NO2_Offshore"/>
    <x v="24"/>
    <n v="19.174223581093901"/>
    <n v="5.32617321697054"/>
  </r>
  <r>
    <x v="0"/>
    <x v="13"/>
    <x v="7"/>
    <x v="12"/>
    <s v="NO2_Offshore"/>
    <x v="25"/>
    <n v="23.613931806316799"/>
    <n v="6.5594255017546796"/>
  </r>
  <r>
    <x v="0"/>
    <x v="13"/>
    <x v="7"/>
    <x v="12"/>
    <s v="NO2_Offshore"/>
    <x v="26"/>
    <n v="30.869217554900899"/>
    <n v="8.5747826541391401"/>
  </r>
  <r>
    <x v="0"/>
    <x v="13"/>
    <x v="7"/>
    <x v="12"/>
    <s v="NO2_Offshore"/>
    <x v="27"/>
    <n v="20.163995508318798"/>
    <n v="5.6011098634218799"/>
  </r>
  <r>
    <x v="0"/>
    <x v="13"/>
    <x v="7"/>
    <x v="13"/>
    <s v="NO3_A1"/>
    <x v="1"/>
    <n v="35.989199999999997"/>
    <n v="9.9969999999999999"/>
  </r>
  <r>
    <x v="0"/>
    <x v="13"/>
    <x v="7"/>
    <x v="13"/>
    <s v="NO3_A1"/>
    <x v="2"/>
    <n v="48.384"/>
    <n v="13.44"/>
  </r>
  <r>
    <x v="0"/>
    <x v="13"/>
    <x v="7"/>
    <x v="13"/>
    <s v="NO3_A1"/>
    <x v="0"/>
    <n v="42.692399999999999"/>
    <n v="11.859"/>
  </r>
  <r>
    <x v="0"/>
    <x v="13"/>
    <x v="7"/>
    <x v="13"/>
    <s v="NO3_A1"/>
    <x v="3"/>
    <n v="51.633543144067197"/>
    <n v="14.342650873352"/>
  </r>
  <r>
    <x v="0"/>
    <x v="13"/>
    <x v="7"/>
    <x v="13"/>
    <s v="NO3_A1"/>
    <x v="4"/>
    <n v="7.4084241922120802"/>
    <n v="2.0578956089478"/>
  </r>
  <r>
    <x v="0"/>
    <x v="13"/>
    <x v="7"/>
    <x v="13"/>
    <s v="NO3_A1"/>
    <x v="5"/>
    <n v="7.4084241922120802"/>
    <n v="2.0578956089478"/>
  </r>
  <r>
    <x v="0"/>
    <x v="13"/>
    <x v="7"/>
    <x v="13"/>
    <s v="NO3_A1"/>
    <x v="6"/>
    <n v="29.476231795214598"/>
    <n v="8.1878421653373898"/>
  </r>
  <r>
    <x v="0"/>
    <x v="13"/>
    <x v="7"/>
    <x v="13"/>
    <s v="NO3_A1"/>
    <x v="7"/>
    <n v="57.838935220261199"/>
    <n v="16.066370894517"/>
  </r>
  <r>
    <x v="0"/>
    <x v="13"/>
    <x v="7"/>
    <x v="13"/>
    <s v="NO3_A1"/>
    <x v="8"/>
    <n v="57.838935220261199"/>
    <n v="16.066370894517"/>
  </r>
  <r>
    <x v="0"/>
    <x v="13"/>
    <x v="7"/>
    <x v="13"/>
    <s v="NO3_A1"/>
    <x v="9"/>
    <n v="44.803327257663497"/>
    <n v="12.4453686826843"/>
  </r>
  <r>
    <x v="0"/>
    <x v="13"/>
    <x v="7"/>
    <x v="13"/>
    <s v="NO3_A1"/>
    <x v="10"/>
    <n v="54.681226180612903"/>
    <n v="15.1892294946147"/>
  </r>
  <r>
    <x v="0"/>
    <x v="13"/>
    <x v="7"/>
    <x v="13"/>
    <s v="NO3_A1"/>
    <x v="11"/>
    <n v="3.8806031483015802"/>
    <n v="1.07794531897266"/>
  </r>
  <r>
    <x v="0"/>
    <x v="13"/>
    <x v="7"/>
    <x v="13"/>
    <s v="NO3_A1"/>
    <x v="12"/>
    <n v="9.7995028997514597E-2"/>
    <n v="2.72208413881985E-2"/>
  </r>
  <r>
    <x v="0"/>
    <x v="13"/>
    <x v="7"/>
    <x v="13"/>
    <s v="NO3_A1"/>
    <x v="13"/>
    <n v="24.694747307373699"/>
    <n v="6.8596520298260204"/>
  </r>
  <r>
    <x v="0"/>
    <x v="13"/>
    <x v="7"/>
    <x v="13"/>
    <s v="NO3_A1"/>
    <x v="14"/>
    <n v="24.694747307373699"/>
    <n v="6.8596520298260204"/>
  </r>
  <r>
    <x v="0"/>
    <x v="13"/>
    <x v="7"/>
    <x v="13"/>
    <s v="NO3_A1"/>
    <x v="15"/>
    <n v="1.65807589063794"/>
    <n v="0.46057663628831802"/>
  </r>
  <r>
    <x v="0"/>
    <x v="13"/>
    <x v="7"/>
    <x v="13"/>
    <s v="NO3_A1"/>
    <x v="16"/>
    <n v="5.8520524559425198"/>
    <n v="1.6255701266507001"/>
  </r>
  <r>
    <x v="0"/>
    <x v="13"/>
    <x v="7"/>
    <x v="13"/>
    <s v="NO3_A1"/>
    <x v="17"/>
    <n v="9.1244895875632395"/>
    <n v="2.5345804409897901"/>
  </r>
  <r>
    <x v="0"/>
    <x v="13"/>
    <x v="7"/>
    <x v="13"/>
    <s v="NO3_A1"/>
    <x v="18"/>
    <n v="24.694747307373699"/>
    <n v="6.8596520298260204"/>
  </r>
  <r>
    <x v="0"/>
    <x v="13"/>
    <x v="7"/>
    <x v="13"/>
    <s v="NO3_A1"/>
    <x v="19"/>
    <n v="8.1139884009941898"/>
    <n v="2.2538856669428302"/>
  </r>
  <r>
    <x v="0"/>
    <x v="13"/>
    <x v="7"/>
    <x v="13"/>
    <s v="NO3_A1"/>
    <x v="20"/>
    <n v="20.3765303632313"/>
    <n v="5.6601473231197996"/>
  </r>
  <r>
    <x v="0"/>
    <x v="13"/>
    <x v="7"/>
    <x v="13"/>
    <s v="NO3_A1"/>
    <x v="21"/>
    <n v="48.384"/>
    <n v="13.44"/>
  </r>
  <r>
    <x v="0"/>
    <x v="13"/>
    <x v="7"/>
    <x v="13"/>
    <s v="NO3_A1"/>
    <x v="22"/>
    <n v="79.847999999999999"/>
    <n v="22.18"/>
  </r>
  <r>
    <x v="0"/>
    <x v="13"/>
    <x v="7"/>
    <x v="13"/>
    <s v="NO3_A1"/>
    <x v="23"/>
    <n v="0.31515896120488701"/>
    <n v="8.7544155890246306E-2"/>
  </r>
  <r>
    <x v="0"/>
    <x v="13"/>
    <x v="7"/>
    <x v="13"/>
    <s v="NO3_A1"/>
    <x v="24"/>
    <n v="19.174223581093901"/>
    <n v="5.32617321697054"/>
  </r>
  <r>
    <x v="0"/>
    <x v="13"/>
    <x v="7"/>
    <x v="13"/>
    <s v="NO3_A1"/>
    <x v="25"/>
    <n v="23.613931806316799"/>
    <n v="6.5594255017546796"/>
  </r>
  <r>
    <x v="0"/>
    <x v="13"/>
    <x v="7"/>
    <x v="13"/>
    <s v="NO3_A1"/>
    <x v="26"/>
    <n v="30.869217554900899"/>
    <n v="8.5747826541391401"/>
  </r>
  <r>
    <x v="0"/>
    <x v="13"/>
    <x v="7"/>
    <x v="13"/>
    <s v="NO3_A1"/>
    <x v="27"/>
    <n v="20.163995508318798"/>
    <n v="5.6011098634218799"/>
  </r>
  <r>
    <x v="0"/>
    <x v="13"/>
    <x v="7"/>
    <x v="13"/>
    <s v="NO3_A2"/>
    <x v="1"/>
    <n v="35.989199999999997"/>
    <n v="9.9969999999999999"/>
  </r>
  <r>
    <x v="0"/>
    <x v="13"/>
    <x v="7"/>
    <x v="13"/>
    <s v="NO3_A2"/>
    <x v="2"/>
    <n v="48.384"/>
    <n v="13.44"/>
  </r>
  <r>
    <x v="0"/>
    <x v="13"/>
    <x v="7"/>
    <x v="13"/>
    <s v="NO3_A2"/>
    <x v="0"/>
    <n v="42.692399999999999"/>
    <n v="11.859"/>
  </r>
  <r>
    <x v="0"/>
    <x v="13"/>
    <x v="7"/>
    <x v="13"/>
    <s v="NO3_A2"/>
    <x v="3"/>
    <n v="51.633543144067197"/>
    <n v="14.342650873352"/>
  </r>
  <r>
    <x v="0"/>
    <x v="13"/>
    <x v="7"/>
    <x v="13"/>
    <s v="NO3_A2"/>
    <x v="4"/>
    <n v="7.4084241922120802"/>
    <n v="2.0578956089478"/>
  </r>
  <r>
    <x v="0"/>
    <x v="13"/>
    <x v="7"/>
    <x v="13"/>
    <s v="NO3_A2"/>
    <x v="5"/>
    <n v="7.4084241922120802"/>
    <n v="2.0578956089478"/>
  </r>
  <r>
    <x v="0"/>
    <x v="13"/>
    <x v="7"/>
    <x v="13"/>
    <s v="NO3_A2"/>
    <x v="6"/>
    <n v="29.476231795214598"/>
    <n v="8.1878421653373898"/>
  </r>
  <r>
    <x v="0"/>
    <x v="13"/>
    <x v="7"/>
    <x v="13"/>
    <s v="NO3_A2"/>
    <x v="7"/>
    <n v="57.838935220261199"/>
    <n v="16.066370894517"/>
  </r>
  <r>
    <x v="0"/>
    <x v="13"/>
    <x v="7"/>
    <x v="13"/>
    <s v="NO3_A2"/>
    <x v="8"/>
    <n v="57.838935220261199"/>
    <n v="16.066370894517"/>
  </r>
  <r>
    <x v="0"/>
    <x v="13"/>
    <x v="7"/>
    <x v="13"/>
    <s v="NO3_A2"/>
    <x v="9"/>
    <n v="44.803327257663497"/>
    <n v="12.4453686826843"/>
  </r>
  <r>
    <x v="0"/>
    <x v="13"/>
    <x v="7"/>
    <x v="13"/>
    <s v="NO3_A2"/>
    <x v="10"/>
    <n v="54.681226180612903"/>
    <n v="15.1892294946147"/>
  </r>
  <r>
    <x v="0"/>
    <x v="13"/>
    <x v="7"/>
    <x v="13"/>
    <s v="NO3_A2"/>
    <x v="11"/>
    <n v="3.8806031483015802"/>
    <n v="1.07794531897266"/>
  </r>
  <r>
    <x v="0"/>
    <x v="13"/>
    <x v="7"/>
    <x v="13"/>
    <s v="NO3_A2"/>
    <x v="12"/>
    <n v="9.7995028997514597E-2"/>
    <n v="2.72208413881985E-2"/>
  </r>
  <r>
    <x v="0"/>
    <x v="13"/>
    <x v="7"/>
    <x v="13"/>
    <s v="NO3_A2"/>
    <x v="13"/>
    <n v="24.694747307373699"/>
    <n v="6.8596520298260204"/>
  </r>
  <r>
    <x v="0"/>
    <x v="13"/>
    <x v="7"/>
    <x v="13"/>
    <s v="NO3_A2"/>
    <x v="14"/>
    <n v="24.694747307373699"/>
    <n v="6.8596520298260204"/>
  </r>
  <r>
    <x v="0"/>
    <x v="13"/>
    <x v="7"/>
    <x v="13"/>
    <s v="NO3_A2"/>
    <x v="15"/>
    <n v="1.65807589063794"/>
    <n v="0.46057663628831802"/>
  </r>
  <r>
    <x v="0"/>
    <x v="13"/>
    <x v="7"/>
    <x v="13"/>
    <s v="NO3_A2"/>
    <x v="16"/>
    <n v="5.8520524559425198"/>
    <n v="1.6255701266507001"/>
  </r>
  <r>
    <x v="0"/>
    <x v="13"/>
    <x v="7"/>
    <x v="13"/>
    <s v="NO3_A2"/>
    <x v="17"/>
    <n v="9.1244895875632395"/>
    <n v="2.5345804409897901"/>
  </r>
  <r>
    <x v="0"/>
    <x v="13"/>
    <x v="7"/>
    <x v="13"/>
    <s v="NO3_A2"/>
    <x v="18"/>
    <n v="24.694747307373699"/>
    <n v="6.8596520298260204"/>
  </r>
  <r>
    <x v="0"/>
    <x v="13"/>
    <x v="7"/>
    <x v="13"/>
    <s v="NO3_A2"/>
    <x v="19"/>
    <n v="8.1139884009941898"/>
    <n v="2.2538856669428302"/>
  </r>
  <r>
    <x v="0"/>
    <x v="13"/>
    <x v="7"/>
    <x v="13"/>
    <s v="NO3_A2"/>
    <x v="20"/>
    <n v="20.3765303632313"/>
    <n v="5.6601473231197996"/>
  </r>
  <r>
    <x v="0"/>
    <x v="13"/>
    <x v="7"/>
    <x v="13"/>
    <s v="NO3_A2"/>
    <x v="21"/>
    <n v="48.384"/>
    <n v="13.44"/>
  </r>
  <r>
    <x v="0"/>
    <x v="13"/>
    <x v="7"/>
    <x v="13"/>
    <s v="NO3_A2"/>
    <x v="22"/>
    <n v="79.847999999999999"/>
    <n v="22.18"/>
  </r>
  <r>
    <x v="0"/>
    <x v="13"/>
    <x v="7"/>
    <x v="13"/>
    <s v="NO3_A2"/>
    <x v="23"/>
    <n v="0.31515896120488701"/>
    <n v="8.7544155890246306E-2"/>
  </r>
  <r>
    <x v="0"/>
    <x v="13"/>
    <x v="7"/>
    <x v="13"/>
    <s v="NO3_A2"/>
    <x v="24"/>
    <n v="19.174223581093901"/>
    <n v="5.32617321697054"/>
  </r>
  <r>
    <x v="0"/>
    <x v="13"/>
    <x v="7"/>
    <x v="13"/>
    <s v="NO3_A2"/>
    <x v="25"/>
    <n v="23.613931806316799"/>
    <n v="6.5594255017546796"/>
  </r>
  <r>
    <x v="0"/>
    <x v="13"/>
    <x v="7"/>
    <x v="13"/>
    <s v="NO3_A2"/>
    <x v="26"/>
    <n v="30.869217554900899"/>
    <n v="8.5747826541391401"/>
  </r>
  <r>
    <x v="0"/>
    <x v="13"/>
    <x v="7"/>
    <x v="13"/>
    <s v="NO3_A2"/>
    <x v="27"/>
    <n v="20.163995508318798"/>
    <n v="5.6011098634218799"/>
  </r>
  <r>
    <x v="0"/>
    <x v="13"/>
    <x v="7"/>
    <x v="13"/>
    <s v="NO3_A3"/>
    <x v="1"/>
    <n v="35.989199999999997"/>
    <n v="9.9969999999999999"/>
  </r>
  <r>
    <x v="0"/>
    <x v="13"/>
    <x v="7"/>
    <x v="13"/>
    <s v="NO3_A3"/>
    <x v="2"/>
    <n v="48.384"/>
    <n v="13.44"/>
  </r>
  <r>
    <x v="0"/>
    <x v="13"/>
    <x v="7"/>
    <x v="13"/>
    <s v="NO3_A3"/>
    <x v="0"/>
    <n v="42.692399999999999"/>
    <n v="11.859"/>
  </r>
  <r>
    <x v="0"/>
    <x v="13"/>
    <x v="7"/>
    <x v="13"/>
    <s v="NO3_A3"/>
    <x v="3"/>
    <n v="51.633543144067197"/>
    <n v="14.342650873352"/>
  </r>
  <r>
    <x v="0"/>
    <x v="13"/>
    <x v="7"/>
    <x v="13"/>
    <s v="NO3_A3"/>
    <x v="4"/>
    <n v="7.4084241922120802"/>
    <n v="2.0578956089478"/>
  </r>
  <r>
    <x v="0"/>
    <x v="13"/>
    <x v="7"/>
    <x v="13"/>
    <s v="NO3_A3"/>
    <x v="5"/>
    <n v="7.4084241922120802"/>
    <n v="2.0578956089478"/>
  </r>
  <r>
    <x v="0"/>
    <x v="13"/>
    <x v="7"/>
    <x v="13"/>
    <s v="NO3_A3"/>
    <x v="6"/>
    <n v="29.476231795214598"/>
    <n v="8.1878421653373898"/>
  </r>
  <r>
    <x v="0"/>
    <x v="13"/>
    <x v="7"/>
    <x v="13"/>
    <s v="NO3_A3"/>
    <x v="7"/>
    <n v="57.838935220261199"/>
    <n v="16.066370894517"/>
  </r>
  <r>
    <x v="0"/>
    <x v="13"/>
    <x v="7"/>
    <x v="13"/>
    <s v="NO3_A3"/>
    <x v="8"/>
    <n v="57.838935220261199"/>
    <n v="16.066370894517"/>
  </r>
  <r>
    <x v="0"/>
    <x v="13"/>
    <x v="7"/>
    <x v="13"/>
    <s v="NO3_A3"/>
    <x v="9"/>
    <n v="44.803327257663497"/>
    <n v="12.4453686826843"/>
  </r>
  <r>
    <x v="0"/>
    <x v="13"/>
    <x v="7"/>
    <x v="13"/>
    <s v="NO3_A3"/>
    <x v="10"/>
    <n v="54.681226180612903"/>
    <n v="15.1892294946147"/>
  </r>
  <r>
    <x v="0"/>
    <x v="13"/>
    <x v="7"/>
    <x v="13"/>
    <s v="NO3_A3"/>
    <x v="11"/>
    <n v="3.8806031483015802"/>
    <n v="1.07794531897266"/>
  </r>
  <r>
    <x v="0"/>
    <x v="13"/>
    <x v="7"/>
    <x v="13"/>
    <s v="NO3_A3"/>
    <x v="12"/>
    <n v="9.7995028997514597E-2"/>
    <n v="2.72208413881985E-2"/>
  </r>
  <r>
    <x v="0"/>
    <x v="13"/>
    <x v="7"/>
    <x v="13"/>
    <s v="NO3_A3"/>
    <x v="13"/>
    <n v="24.694747307373699"/>
    <n v="6.8596520298260204"/>
  </r>
  <r>
    <x v="0"/>
    <x v="13"/>
    <x v="7"/>
    <x v="13"/>
    <s v="NO3_A3"/>
    <x v="14"/>
    <n v="24.694747307373699"/>
    <n v="6.8596520298260204"/>
  </r>
  <r>
    <x v="0"/>
    <x v="13"/>
    <x v="7"/>
    <x v="13"/>
    <s v="NO3_A3"/>
    <x v="15"/>
    <n v="1.65807589063794"/>
    <n v="0.46057663628831802"/>
  </r>
  <r>
    <x v="0"/>
    <x v="13"/>
    <x v="7"/>
    <x v="13"/>
    <s v="NO3_A3"/>
    <x v="16"/>
    <n v="5.8520524559425198"/>
    <n v="1.6255701266507001"/>
  </r>
  <r>
    <x v="0"/>
    <x v="13"/>
    <x v="7"/>
    <x v="13"/>
    <s v="NO3_A3"/>
    <x v="17"/>
    <n v="9.1244895875632395"/>
    <n v="2.5345804409897901"/>
  </r>
  <r>
    <x v="0"/>
    <x v="13"/>
    <x v="7"/>
    <x v="13"/>
    <s v="NO3_A3"/>
    <x v="18"/>
    <n v="24.694747307373699"/>
    <n v="6.8596520298260204"/>
  </r>
  <r>
    <x v="0"/>
    <x v="13"/>
    <x v="7"/>
    <x v="13"/>
    <s v="NO3_A3"/>
    <x v="19"/>
    <n v="8.1139884009941898"/>
    <n v="2.2538856669428302"/>
  </r>
  <r>
    <x v="0"/>
    <x v="13"/>
    <x v="7"/>
    <x v="13"/>
    <s v="NO3_A3"/>
    <x v="20"/>
    <n v="20.3765303632313"/>
    <n v="5.6601473231197996"/>
  </r>
  <r>
    <x v="0"/>
    <x v="13"/>
    <x v="7"/>
    <x v="13"/>
    <s v="NO3_A3"/>
    <x v="21"/>
    <n v="48.384"/>
    <n v="13.44"/>
  </r>
  <r>
    <x v="0"/>
    <x v="13"/>
    <x v="7"/>
    <x v="13"/>
    <s v="NO3_A3"/>
    <x v="22"/>
    <n v="79.847999999999999"/>
    <n v="22.18"/>
  </r>
  <r>
    <x v="0"/>
    <x v="13"/>
    <x v="7"/>
    <x v="13"/>
    <s v="NO3_A3"/>
    <x v="23"/>
    <n v="0.31515896120488701"/>
    <n v="8.7544155890246306E-2"/>
  </r>
  <r>
    <x v="0"/>
    <x v="13"/>
    <x v="7"/>
    <x v="13"/>
    <s v="NO3_A3"/>
    <x v="24"/>
    <n v="19.174223581093901"/>
    <n v="5.32617321697054"/>
  </r>
  <r>
    <x v="0"/>
    <x v="13"/>
    <x v="7"/>
    <x v="13"/>
    <s v="NO3_A3"/>
    <x v="25"/>
    <n v="23.613931806316799"/>
    <n v="6.5594255017546796"/>
  </r>
  <r>
    <x v="0"/>
    <x v="13"/>
    <x v="7"/>
    <x v="13"/>
    <s v="NO3_A3"/>
    <x v="26"/>
    <n v="30.869217554900899"/>
    <n v="8.5747826541391401"/>
  </r>
  <r>
    <x v="0"/>
    <x v="13"/>
    <x v="7"/>
    <x v="13"/>
    <s v="NO3_A3"/>
    <x v="27"/>
    <n v="20.163995508318798"/>
    <n v="5.6011098634218799"/>
  </r>
  <r>
    <x v="0"/>
    <x v="13"/>
    <x v="7"/>
    <x v="13"/>
    <s v="NO3_Offshore"/>
    <x v="1"/>
    <n v="35.989199999999997"/>
    <n v="9.9969999999999999"/>
  </r>
  <r>
    <x v="0"/>
    <x v="13"/>
    <x v="7"/>
    <x v="13"/>
    <s v="NO3_Offshore"/>
    <x v="2"/>
    <n v="48.384"/>
    <n v="13.44"/>
  </r>
  <r>
    <x v="0"/>
    <x v="13"/>
    <x v="7"/>
    <x v="13"/>
    <s v="NO3_Offshore"/>
    <x v="0"/>
    <n v="42.692399999999999"/>
    <n v="11.859"/>
  </r>
  <r>
    <x v="0"/>
    <x v="13"/>
    <x v="7"/>
    <x v="13"/>
    <s v="NO3_Offshore"/>
    <x v="3"/>
    <n v="51.633543144067197"/>
    <n v="14.342650873352"/>
  </r>
  <r>
    <x v="0"/>
    <x v="13"/>
    <x v="7"/>
    <x v="13"/>
    <s v="NO3_Offshore"/>
    <x v="4"/>
    <n v="7.4084241922120802"/>
    <n v="2.0578956089478"/>
  </r>
  <r>
    <x v="0"/>
    <x v="13"/>
    <x v="7"/>
    <x v="13"/>
    <s v="NO3_Offshore"/>
    <x v="5"/>
    <n v="7.4084241922120802"/>
    <n v="2.0578956089478"/>
  </r>
  <r>
    <x v="0"/>
    <x v="13"/>
    <x v="7"/>
    <x v="13"/>
    <s v="NO3_Offshore"/>
    <x v="6"/>
    <n v="29.476231795214598"/>
    <n v="8.1878421653373898"/>
  </r>
  <r>
    <x v="0"/>
    <x v="13"/>
    <x v="7"/>
    <x v="13"/>
    <s v="NO3_Offshore"/>
    <x v="7"/>
    <n v="57.838935220261199"/>
    <n v="16.066370894517"/>
  </r>
  <r>
    <x v="0"/>
    <x v="13"/>
    <x v="7"/>
    <x v="13"/>
    <s v="NO3_Offshore"/>
    <x v="8"/>
    <n v="57.838935220261199"/>
    <n v="16.066370894517"/>
  </r>
  <r>
    <x v="0"/>
    <x v="13"/>
    <x v="7"/>
    <x v="13"/>
    <s v="NO3_Offshore"/>
    <x v="9"/>
    <n v="44.803327257663497"/>
    <n v="12.4453686826843"/>
  </r>
  <r>
    <x v="0"/>
    <x v="13"/>
    <x v="7"/>
    <x v="13"/>
    <s v="NO3_Offshore"/>
    <x v="10"/>
    <n v="54.681226180612903"/>
    <n v="15.1892294946147"/>
  </r>
  <r>
    <x v="0"/>
    <x v="13"/>
    <x v="7"/>
    <x v="13"/>
    <s v="NO3_Offshore"/>
    <x v="11"/>
    <n v="3.8806031483015802"/>
    <n v="1.07794531897266"/>
  </r>
  <r>
    <x v="0"/>
    <x v="13"/>
    <x v="7"/>
    <x v="13"/>
    <s v="NO3_Offshore"/>
    <x v="12"/>
    <n v="9.7995028997514597E-2"/>
    <n v="2.72208413881985E-2"/>
  </r>
  <r>
    <x v="0"/>
    <x v="13"/>
    <x v="7"/>
    <x v="13"/>
    <s v="NO3_Offshore"/>
    <x v="13"/>
    <n v="24.694747307373699"/>
    <n v="6.8596520298260204"/>
  </r>
  <r>
    <x v="0"/>
    <x v="13"/>
    <x v="7"/>
    <x v="13"/>
    <s v="NO3_Offshore"/>
    <x v="14"/>
    <n v="24.694747307373699"/>
    <n v="6.8596520298260204"/>
  </r>
  <r>
    <x v="0"/>
    <x v="13"/>
    <x v="7"/>
    <x v="13"/>
    <s v="NO3_Offshore"/>
    <x v="15"/>
    <n v="1.65807589063794"/>
    <n v="0.46057663628831802"/>
  </r>
  <r>
    <x v="0"/>
    <x v="13"/>
    <x v="7"/>
    <x v="13"/>
    <s v="NO3_Offshore"/>
    <x v="16"/>
    <n v="5.8520524559425198"/>
    <n v="1.6255701266507001"/>
  </r>
  <r>
    <x v="0"/>
    <x v="13"/>
    <x v="7"/>
    <x v="13"/>
    <s v="NO3_Offshore"/>
    <x v="17"/>
    <n v="9.1244895875632395"/>
    <n v="2.5345804409897901"/>
  </r>
  <r>
    <x v="0"/>
    <x v="13"/>
    <x v="7"/>
    <x v="13"/>
    <s v="NO3_Offshore"/>
    <x v="18"/>
    <n v="24.694747307373699"/>
    <n v="6.8596520298260204"/>
  </r>
  <r>
    <x v="0"/>
    <x v="13"/>
    <x v="7"/>
    <x v="13"/>
    <s v="NO3_Offshore"/>
    <x v="19"/>
    <n v="8.1139884009941898"/>
    <n v="2.2538856669428302"/>
  </r>
  <r>
    <x v="0"/>
    <x v="13"/>
    <x v="7"/>
    <x v="13"/>
    <s v="NO3_Offshore"/>
    <x v="20"/>
    <n v="20.3765303632313"/>
    <n v="5.6601473231197996"/>
  </r>
  <r>
    <x v="0"/>
    <x v="13"/>
    <x v="7"/>
    <x v="13"/>
    <s v="NO3_Offshore"/>
    <x v="21"/>
    <n v="48.384"/>
    <n v="13.44"/>
  </r>
  <r>
    <x v="0"/>
    <x v="13"/>
    <x v="7"/>
    <x v="13"/>
    <s v="NO3_Offshore"/>
    <x v="22"/>
    <n v="79.847999999999999"/>
    <n v="22.18"/>
  </r>
  <r>
    <x v="0"/>
    <x v="13"/>
    <x v="7"/>
    <x v="13"/>
    <s v="NO3_Offshore"/>
    <x v="23"/>
    <n v="0.31515896120488701"/>
    <n v="8.7544155890246306E-2"/>
  </r>
  <r>
    <x v="0"/>
    <x v="13"/>
    <x v="7"/>
    <x v="13"/>
    <s v="NO3_Offshore"/>
    <x v="24"/>
    <n v="19.174223581093901"/>
    <n v="5.32617321697054"/>
  </r>
  <r>
    <x v="0"/>
    <x v="13"/>
    <x v="7"/>
    <x v="13"/>
    <s v="NO3_Offshore"/>
    <x v="25"/>
    <n v="23.613931806316799"/>
    <n v="6.5594255017546796"/>
  </r>
  <r>
    <x v="0"/>
    <x v="13"/>
    <x v="7"/>
    <x v="13"/>
    <s v="NO3_Offshore"/>
    <x v="26"/>
    <n v="30.869217554900899"/>
    <n v="8.5747826541391401"/>
  </r>
  <r>
    <x v="0"/>
    <x v="13"/>
    <x v="7"/>
    <x v="13"/>
    <s v="NO3_Offshore"/>
    <x v="27"/>
    <n v="20.163995508318798"/>
    <n v="5.6011098634218799"/>
  </r>
  <r>
    <x v="0"/>
    <x v="13"/>
    <x v="7"/>
    <x v="14"/>
    <s v="NO4_A1"/>
    <x v="1"/>
    <n v="35.989199999999997"/>
    <n v="9.9969999999999999"/>
  </r>
  <r>
    <x v="0"/>
    <x v="13"/>
    <x v="7"/>
    <x v="14"/>
    <s v="NO4_A1"/>
    <x v="2"/>
    <n v="48.384"/>
    <n v="13.44"/>
  </r>
  <r>
    <x v="0"/>
    <x v="13"/>
    <x v="7"/>
    <x v="14"/>
    <s v="NO4_A1"/>
    <x v="0"/>
    <n v="42.692399999999999"/>
    <n v="11.859"/>
  </r>
  <r>
    <x v="0"/>
    <x v="13"/>
    <x v="7"/>
    <x v="14"/>
    <s v="NO4_A1"/>
    <x v="3"/>
    <n v="51.633543144067197"/>
    <n v="14.342650873352"/>
  </r>
  <r>
    <x v="0"/>
    <x v="13"/>
    <x v="7"/>
    <x v="14"/>
    <s v="NO4_A1"/>
    <x v="4"/>
    <n v="7.4084241922120802"/>
    <n v="2.0578956089478"/>
  </r>
  <r>
    <x v="0"/>
    <x v="13"/>
    <x v="7"/>
    <x v="14"/>
    <s v="NO4_A1"/>
    <x v="5"/>
    <n v="7.4084241922120802"/>
    <n v="2.0578956089478"/>
  </r>
  <r>
    <x v="0"/>
    <x v="13"/>
    <x v="7"/>
    <x v="14"/>
    <s v="NO4_A1"/>
    <x v="6"/>
    <n v="29.476231795214598"/>
    <n v="8.1878421653373898"/>
  </r>
  <r>
    <x v="0"/>
    <x v="13"/>
    <x v="7"/>
    <x v="14"/>
    <s v="NO4_A1"/>
    <x v="7"/>
    <n v="57.838935220261199"/>
    <n v="16.066370894517"/>
  </r>
  <r>
    <x v="0"/>
    <x v="13"/>
    <x v="7"/>
    <x v="14"/>
    <s v="NO4_A1"/>
    <x v="8"/>
    <n v="57.838935220261199"/>
    <n v="16.066370894517"/>
  </r>
  <r>
    <x v="0"/>
    <x v="13"/>
    <x v="7"/>
    <x v="14"/>
    <s v="NO4_A1"/>
    <x v="9"/>
    <n v="44.803327257663497"/>
    <n v="12.4453686826843"/>
  </r>
  <r>
    <x v="0"/>
    <x v="13"/>
    <x v="7"/>
    <x v="14"/>
    <s v="NO4_A1"/>
    <x v="10"/>
    <n v="54.681226180612903"/>
    <n v="15.1892294946147"/>
  </r>
  <r>
    <x v="0"/>
    <x v="13"/>
    <x v="7"/>
    <x v="14"/>
    <s v="NO4_A1"/>
    <x v="11"/>
    <n v="3.8806031483015802"/>
    <n v="1.07794531897266"/>
  </r>
  <r>
    <x v="0"/>
    <x v="13"/>
    <x v="7"/>
    <x v="14"/>
    <s v="NO4_A1"/>
    <x v="12"/>
    <n v="9.7995028997514597E-2"/>
    <n v="2.72208413881985E-2"/>
  </r>
  <r>
    <x v="0"/>
    <x v="13"/>
    <x v="7"/>
    <x v="14"/>
    <s v="NO4_A1"/>
    <x v="13"/>
    <n v="24.694747307373699"/>
    <n v="6.8596520298260204"/>
  </r>
  <r>
    <x v="0"/>
    <x v="13"/>
    <x v="7"/>
    <x v="14"/>
    <s v="NO4_A1"/>
    <x v="14"/>
    <n v="24.694747307373699"/>
    <n v="6.8596520298260204"/>
  </r>
  <r>
    <x v="0"/>
    <x v="13"/>
    <x v="7"/>
    <x v="14"/>
    <s v="NO4_A1"/>
    <x v="15"/>
    <n v="1.65807589063794"/>
    <n v="0.46057663628831802"/>
  </r>
  <r>
    <x v="0"/>
    <x v="13"/>
    <x v="7"/>
    <x v="14"/>
    <s v="NO4_A1"/>
    <x v="16"/>
    <n v="5.8520524559425198"/>
    <n v="1.6255701266507001"/>
  </r>
  <r>
    <x v="0"/>
    <x v="13"/>
    <x v="7"/>
    <x v="14"/>
    <s v="NO4_A1"/>
    <x v="17"/>
    <n v="9.1244895875632395"/>
    <n v="2.5345804409897901"/>
  </r>
  <r>
    <x v="0"/>
    <x v="13"/>
    <x v="7"/>
    <x v="14"/>
    <s v="NO4_A1"/>
    <x v="18"/>
    <n v="24.694747307373699"/>
    <n v="6.8596520298260204"/>
  </r>
  <r>
    <x v="0"/>
    <x v="13"/>
    <x v="7"/>
    <x v="14"/>
    <s v="NO4_A1"/>
    <x v="19"/>
    <n v="8.1139884009941898"/>
    <n v="2.2538856669428302"/>
  </r>
  <r>
    <x v="0"/>
    <x v="13"/>
    <x v="7"/>
    <x v="14"/>
    <s v="NO4_A1"/>
    <x v="20"/>
    <n v="20.3765303632313"/>
    <n v="5.6601473231197996"/>
  </r>
  <r>
    <x v="0"/>
    <x v="13"/>
    <x v="7"/>
    <x v="14"/>
    <s v="NO4_A1"/>
    <x v="21"/>
    <n v="48.384"/>
    <n v="13.44"/>
  </r>
  <r>
    <x v="0"/>
    <x v="13"/>
    <x v="7"/>
    <x v="14"/>
    <s v="NO4_A1"/>
    <x v="22"/>
    <n v="79.847999999999999"/>
    <n v="22.18"/>
  </r>
  <r>
    <x v="0"/>
    <x v="13"/>
    <x v="7"/>
    <x v="14"/>
    <s v="NO4_A1"/>
    <x v="23"/>
    <n v="0.31515896120488701"/>
    <n v="8.7544155890246306E-2"/>
  </r>
  <r>
    <x v="0"/>
    <x v="13"/>
    <x v="7"/>
    <x v="14"/>
    <s v="NO4_A1"/>
    <x v="24"/>
    <n v="19.174223581093901"/>
    <n v="5.32617321697054"/>
  </r>
  <r>
    <x v="0"/>
    <x v="13"/>
    <x v="7"/>
    <x v="14"/>
    <s v="NO4_A1"/>
    <x v="25"/>
    <n v="23.613931806316799"/>
    <n v="6.5594255017546796"/>
  </r>
  <r>
    <x v="0"/>
    <x v="13"/>
    <x v="7"/>
    <x v="14"/>
    <s v="NO4_A1"/>
    <x v="26"/>
    <n v="30.869217554900899"/>
    <n v="8.5747826541391401"/>
  </r>
  <r>
    <x v="0"/>
    <x v="13"/>
    <x v="7"/>
    <x v="14"/>
    <s v="NO4_A1"/>
    <x v="27"/>
    <n v="20.163995508318798"/>
    <n v="5.6011098634218799"/>
  </r>
  <r>
    <x v="0"/>
    <x v="13"/>
    <x v="7"/>
    <x v="14"/>
    <s v="NO4_A2"/>
    <x v="1"/>
    <n v="35.989199999999997"/>
    <n v="9.9969999999999999"/>
  </r>
  <r>
    <x v="0"/>
    <x v="13"/>
    <x v="7"/>
    <x v="14"/>
    <s v="NO4_A2"/>
    <x v="2"/>
    <n v="48.384"/>
    <n v="13.44"/>
  </r>
  <r>
    <x v="0"/>
    <x v="13"/>
    <x v="7"/>
    <x v="14"/>
    <s v="NO4_A2"/>
    <x v="0"/>
    <n v="42.692399999999999"/>
    <n v="11.859"/>
  </r>
  <r>
    <x v="0"/>
    <x v="13"/>
    <x v="7"/>
    <x v="14"/>
    <s v="NO4_A2"/>
    <x v="3"/>
    <n v="51.633543144067197"/>
    <n v="14.342650873352"/>
  </r>
  <r>
    <x v="0"/>
    <x v="13"/>
    <x v="7"/>
    <x v="14"/>
    <s v="NO4_A2"/>
    <x v="4"/>
    <n v="7.4084241922120802"/>
    <n v="2.0578956089478"/>
  </r>
  <r>
    <x v="0"/>
    <x v="13"/>
    <x v="7"/>
    <x v="14"/>
    <s v="NO4_A2"/>
    <x v="5"/>
    <n v="7.4084241922120802"/>
    <n v="2.0578956089478"/>
  </r>
  <r>
    <x v="0"/>
    <x v="13"/>
    <x v="7"/>
    <x v="14"/>
    <s v="NO4_A2"/>
    <x v="6"/>
    <n v="29.476231795214598"/>
    <n v="8.1878421653373898"/>
  </r>
  <r>
    <x v="0"/>
    <x v="13"/>
    <x v="7"/>
    <x v="14"/>
    <s v="NO4_A2"/>
    <x v="7"/>
    <n v="57.838935220261199"/>
    <n v="16.066370894517"/>
  </r>
  <r>
    <x v="0"/>
    <x v="13"/>
    <x v="7"/>
    <x v="14"/>
    <s v="NO4_A2"/>
    <x v="8"/>
    <n v="57.838935220261199"/>
    <n v="16.066370894517"/>
  </r>
  <r>
    <x v="0"/>
    <x v="13"/>
    <x v="7"/>
    <x v="14"/>
    <s v="NO4_A2"/>
    <x v="9"/>
    <n v="44.803327257663497"/>
    <n v="12.4453686826843"/>
  </r>
  <r>
    <x v="0"/>
    <x v="13"/>
    <x v="7"/>
    <x v="14"/>
    <s v="NO4_A2"/>
    <x v="10"/>
    <n v="54.681226180612903"/>
    <n v="15.1892294946147"/>
  </r>
  <r>
    <x v="0"/>
    <x v="13"/>
    <x v="7"/>
    <x v="14"/>
    <s v="NO4_A2"/>
    <x v="11"/>
    <n v="3.8806031483015802"/>
    <n v="1.07794531897266"/>
  </r>
  <r>
    <x v="0"/>
    <x v="13"/>
    <x v="7"/>
    <x v="14"/>
    <s v="NO4_A2"/>
    <x v="12"/>
    <n v="9.7995028997514597E-2"/>
    <n v="2.72208413881985E-2"/>
  </r>
  <r>
    <x v="0"/>
    <x v="13"/>
    <x v="7"/>
    <x v="14"/>
    <s v="NO4_A2"/>
    <x v="13"/>
    <n v="24.694747307373699"/>
    <n v="6.8596520298260204"/>
  </r>
  <r>
    <x v="0"/>
    <x v="13"/>
    <x v="7"/>
    <x v="14"/>
    <s v="NO4_A2"/>
    <x v="14"/>
    <n v="24.694747307373699"/>
    <n v="6.8596520298260204"/>
  </r>
  <r>
    <x v="0"/>
    <x v="13"/>
    <x v="7"/>
    <x v="14"/>
    <s v="NO4_A2"/>
    <x v="15"/>
    <n v="1.65807589063794"/>
    <n v="0.46057663628831802"/>
  </r>
  <r>
    <x v="0"/>
    <x v="13"/>
    <x v="7"/>
    <x v="14"/>
    <s v="NO4_A2"/>
    <x v="16"/>
    <n v="5.8520524559425198"/>
    <n v="1.6255701266507001"/>
  </r>
  <r>
    <x v="0"/>
    <x v="13"/>
    <x v="7"/>
    <x v="14"/>
    <s v="NO4_A2"/>
    <x v="17"/>
    <n v="9.1244895875632395"/>
    <n v="2.5345804409897901"/>
  </r>
  <r>
    <x v="0"/>
    <x v="13"/>
    <x v="7"/>
    <x v="14"/>
    <s v="NO4_A2"/>
    <x v="18"/>
    <n v="24.694747307373699"/>
    <n v="6.8596520298260204"/>
  </r>
  <r>
    <x v="0"/>
    <x v="13"/>
    <x v="7"/>
    <x v="14"/>
    <s v="NO4_A2"/>
    <x v="19"/>
    <n v="8.1139884009941898"/>
    <n v="2.2538856669428302"/>
  </r>
  <r>
    <x v="0"/>
    <x v="13"/>
    <x v="7"/>
    <x v="14"/>
    <s v="NO4_A2"/>
    <x v="20"/>
    <n v="20.3765303632313"/>
    <n v="5.6601473231197996"/>
  </r>
  <r>
    <x v="0"/>
    <x v="13"/>
    <x v="7"/>
    <x v="14"/>
    <s v="NO4_A2"/>
    <x v="21"/>
    <n v="48.384"/>
    <n v="13.44"/>
  </r>
  <r>
    <x v="0"/>
    <x v="13"/>
    <x v="7"/>
    <x v="14"/>
    <s v="NO4_A2"/>
    <x v="22"/>
    <n v="79.847999999999999"/>
    <n v="22.18"/>
  </r>
  <r>
    <x v="0"/>
    <x v="13"/>
    <x v="7"/>
    <x v="14"/>
    <s v="NO4_A2"/>
    <x v="23"/>
    <n v="0.31515896120488701"/>
    <n v="8.7544155890246306E-2"/>
  </r>
  <r>
    <x v="0"/>
    <x v="13"/>
    <x v="7"/>
    <x v="14"/>
    <s v="NO4_A2"/>
    <x v="24"/>
    <n v="19.174223581093901"/>
    <n v="5.32617321697054"/>
  </r>
  <r>
    <x v="0"/>
    <x v="13"/>
    <x v="7"/>
    <x v="14"/>
    <s v="NO4_A2"/>
    <x v="25"/>
    <n v="23.613931806316799"/>
    <n v="6.5594255017546796"/>
  </r>
  <r>
    <x v="0"/>
    <x v="13"/>
    <x v="7"/>
    <x v="14"/>
    <s v="NO4_A2"/>
    <x v="26"/>
    <n v="30.869217554900899"/>
    <n v="8.5747826541391401"/>
  </r>
  <r>
    <x v="0"/>
    <x v="13"/>
    <x v="7"/>
    <x v="14"/>
    <s v="NO4_A2"/>
    <x v="27"/>
    <n v="20.163995508318798"/>
    <n v="5.6011098634218799"/>
  </r>
  <r>
    <x v="0"/>
    <x v="13"/>
    <x v="7"/>
    <x v="14"/>
    <s v="NO4_Offshore"/>
    <x v="1"/>
    <n v="35.989199999999997"/>
    <n v="9.9969999999999999"/>
  </r>
  <r>
    <x v="0"/>
    <x v="13"/>
    <x v="7"/>
    <x v="14"/>
    <s v="NO4_Offshore"/>
    <x v="2"/>
    <n v="48.384"/>
    <n v="13.44"/>
  </r>
  <r>
    <x v="0"/>
    <x v="13"/>
    <x v="7"/>
    <x v="14"/>
    <s v="NO4_Offshore"/>
    <x v="0"/>
    <n v="42.692399999999999"/>
    <n v="11.859"/>
  </r>
  <r>
    <x v="0"/>
    <x v="13"/>
    <x v="7"/>
    <x v="14"/>
    <s v="NO4_Offshore"/>
    <x v="3"/>
    <n v="51.633543144067197"/>
    <n v="14.342650873352"/>
  </r>
  <r>
    <x v="0"/>
    <x v="13"/>
    <x v="7"/>
    <x v="14"/>
    <s v="NO4_Offshore"/>
    <x v="4"/>
    <n v="7.4084241922120802"/>
    <n v="2.0578956089478"/>
  </r>
  <r>
    <x v="0"/>
    <x v="13"/>
    <x v="7"/>
    <x v="14"/>
    <s v="NO4_Offshore"/>
    <x v="5"/>
    <n v="7.4084241922120802"/>
    <n v="2.0578956089478"/>
  </r>
  <r>
    <x v="0"/>
    <x v="13"/>
    <x v="7"/>
    <x v="14"/>
    <s v="NO4_Offshore"/>
    <x v="6"/>
    <n v="29.476231795214598"/>
    <n v="8.1878421653373898"/>
  </r>
  <r>
    <x v="0"/>
    <x v="13"/>
    <x v="7"/>
    <x v="14"/>
    <s v="NO4_Offshore"/>
    <x v="7"/>
    <n v="57.838935220261199"/>
    <n v="16.066370894517"/>
  </r>
  <r>
    <x v="0"/>
    <x v="13"/>
    <x v="7"/>
    <x v="14"/>
    <s v="NO4_Offshore"/>
    <x v="8"/>
    <n v="57.838935220261199"/>
    <n v="16.066370894517"/>
  </r>
  <r>
    <x v="0"/>
    <x v="13"/>
    <x v="7"/>
    <x v="14"/>
    <s v="NO4_Offshore"/>
    <x v="9"/>
    <n v="44.803327257663497"/>
    <n v="12.4453686826843"/>
  </r>
  <r>
    <x v="0"/>
    <x v="13"/>
    <x v="7"/>
    <x v="14"/>
    <s v="NO4_Offshore"/>
    <x v="10"/>
    <n v="54.681226180612903"/>
    <n v="15.1892294946147"/>
  </r>
  <r>
    <x v="0"/>
    <x v="13"/>
    <x v="7"/>
    <x v="14"/>
    <s v="NO4_Offshore"/>
    <x v="11"/>
    <n v="3.8806031483015802"/>
    <n v="1.07794531897266"/>
  </r>
  <r>
    <x v="0"/>
    <x v="13"/>
    <x v="7"/>
    <x v="14"/>
    <s v="NO4_Offshore"/>
    <x v="12"/>
    <n v="9.7995028997514597E-2"/>
    <n v="2.72208413881985E-2"/>
  </r>
  <r>
    <x v="0"/>
    <x v="13"/>
    <x v="7"/>
    <x v="14"/>
    <s v="NO4_Offshore"/>
    <x v="13"/>
    <n v="24.694747307373699"/>
    <n v="6.8596520298260204"/>
  </r>
  <r>
    <x v="0"/>
    <x v="13"/>
    <x v="7"/>
    <x v="14"/>
    <s v="NO4_Offshore"/>
    <x v="14"/>
    <n v="24.694747307373699"/>
    <n v="6.8596520298260204"/>
  </r>
  <r>
    <x v="0"/>
    <x v="13"/>
    <x v="7"/>
    <x v="14"/>
    <s v="NO4_Offshore"/>
    <x v="15"/>
    <n v="1.65807589063794"/>
    <n v="0.46057663628831802"/>
  </r>
  <r>
    <x v="0"/>
    <x v="13"/>
    <x v="7"/>
    <x v="14"/>
    <s v="NO4_Offshore"/>
    <x v="16"/>
    <n v="5.8520524559425198"/>
    <n v="1.6255701266507001"/>
  </r>
  <r>
    <x v="0"/>
    <x v="13"/>
    <x v="7"/>
    <x v="14"/>
    <s v="NO4_Offshore"/>
    <x v="17"/>
    <n v="9.1244895875632395"/>
    <n v="2.5345804409897901"/>
  </r>
  <r>
    <x v="0"/>
    <x v="13"/>
    <x v="7"/>
    <x v="14"/>
    <s v="NO4_Offshore"/>
    <x v="18"/>
    <n v="24.694747307373699"/>
    <n v="6.8596520298260204"/>
  </r>
  <r>
    <x v="0"/>
    <x v="13"/>
    <x v="7"/>
    <x v="14"/>
    <s v="NO4_Offshore"/>
    <x v="19"/>
    <n v="8.1139884009941898"/>
    <n v="2.2538856669428302"/>
  </r>
  <r>
    <x v="0"/>
    <x v="13"/>
    <x v="7"/>
    <x v="14"/>
    <s v="NO4_Offshore"/>
    <x v="20"/>
    <n v="20.3765303632313"/>
    <n v="5.6601473231197996"/>
  </r>
  <r>
    <x v="0"/>
    <x v="13"/>
    <x v="7"/>
    <x v="14"/>
    <s v="NO4_Offshore"/>
    <x v="21"/>
    <n v="48.384"/>
    <n v="13.44"/>
  </r>
  <r>
    <x v="0"/>
    <x v="13"/>
    <x v="7"/>
    <x v="14"/>
    <s v="NO4_Offshore"/>
    <x v="22"/>
    <n v="79.847999999999999"/>
    <n v="22.18"/>
  </r>
  <r>
    <x v="0"/>
    <x v="13"/>
    <x v="7"/>
    <x v="14"/>
    <s v="NO4_Offshore"/>
    <x v="23"/>
    <n v="0.31515896120488701"/>
    <n v="8.7544155890246306E-2"/>
  </r>
  <r>
    <x v="0"/>
    <x v="13"/>
    <x v="7"/>
    <x v="14"/>
    <s v="NO4_Offshore"/>
    <x v="24"/>
    <n v="19.174223581093901"/>
    <n v="5.32617321697054"/>
  </r>
  <r>
    <x v="0"/>
    <x v="13"/>
    <x v="7"/>
    <x v="14"/>
    <s v="NO4_Offshore"/>
    <x v="25"/>
    <n v="23.613931806316799"/>
    <n v="6.5594255017546796"/>
  </r>
  <r>
    <x v="0"/>
    <x v="13"/>
    <x v="7"/>
    <x v="14"/>
    <s v="NO4_Offshore"/>
    <x v="26"/>
    <n v="30.869217554900899"/>
    <n v="8.5747826541391401"/>
  </r>
  <r>
    <x v="0"/>
    <x v="13"/>
    <x v="7"/>
    <x v="14"/>
    <s v="NO4_Offshore"/>
    <x v="27"/>
    <n v="20.163995508318798"/>
    <n v="5.6011098634218799"/>
  </r>
  <r>
    <x v="0"/>
    <x v="13"/>
    <x v="7"/>
    <x v="15"/>
    <s v="NO5_A1"/>
    <x v="1"/>
    <n v="35.989199999999997"/>
    <n v="9.9969999999999999"/>
  </r>
  <r>
    <x v="0"/>
    <x v="13"/>
    <x v="7"/>
    <x v="15"/>
    <s v="NO5_A1"/>
    <x v="2"/>
    <n v="48.384"/>
    <n v="13.44"/>
  </r>
  <r>
    <x v="0"/>
    <x v="13"/>
    <x v="7"/>
    <x v="15"/>
    <s v="NO5_A1"/>
    <x v="0"/>
    <n v="42.692399999999999"/>
    <n v="11.859"/>
  </r>
  <r>
    <x v="0"/>
    <x v="13"/>
    <x v="7"/>
    <x v="15"/>
    <s v="NO5_A1"/>
    <x v="3"/>
    <n v="51.633543144067197"/>
    <n v="14.342650873352"/>
  </r>
  <r>
    <x v="0"/>
    <x v="13"/>
    <x v="7"/>
    <x v="15"/>
    <s v="NO5_A1"/>
    <x v="4"/>
    <n v="7.4084241922120802"/>
    <n v="2.0578956089478"/>
  </r>
  <r>
    <x v="0"/>
    <x v="13"/>
    <x v="7"/>
    <x v="15"/>
    <s v="NO5_A1"/>
    <x v="5"/>
    <n v="7.4084241922120802"/>
    <n v="2.0578956089478"/>
  </r>
  <r>
    <x v="0"/>
    <x v="13"/>
    <x v="7"/>
    <x v="15"/>
    <s v="NO5_A1"/>
    <x v="6"/>
    <n v="29.476231795214598"/>
    <n v="8.1878421653373898"/>
  </r>
  <r>
    <x v="0"/>
    <x v="13"/>
    <x v="7"/>
    <x v="15"/>
    <s v="NO5_A1"/>
    <x v="7"/>
    <n v="57.838935220261199"/>
    <n v="16.066370894517"/>
  </r>
  <r>
    <x v="0"/>
    <x v="13"/>
    <x v="7"/>
    <x v="15"/>
    <s v="NO5_A1"/>
    <x v="8"/>
    <n v="57.838935220261199"/>
    <n v="16.066370894517"/>
  </r>
  <r>
    <x v="0"/>
    <x v="13"/>
    <x v="7"/>
    <x v="15"/>
    <s v="NO5_A1"/>
    <x v="9"/>
    <n v="44.803327257663497"/>
    <n v="12.4453686826843"/>
  </r>
  <r>
    <x v="0"/>
    <x v="13"/>
    <x v="7"/>
    <x v="15"/>
    <s v="NO5_A1"/>
    <x v="10"/>
    <n v="54.681226180612903"/>
    <n v="15.1892294946147"/>
  </r>
  <r>
    <x v="0"/>
    <x v="13"/>
    <x v="7"/>
    <x v="15"/>
    <s v="NO5_A1"/>
    <x v="11"/>
    <n v="3.8806031483015802"/>
    <n v="1.07794531897266"/>
  </r>
  <r>
    <x v="0"/>
    <x v="13"/>
    <x v="7"/>
    <x v="15"/>
    <s v="NO5_A1"/>
    <x v="12"/>
    <n v="9.7995028997514597E-2"/>
    <n v="2.72208413881985E-2"/>
  </r>
  <r>
    <x v="0"/>
    <x v="13"/>
    <x v="7"/>
    <x v="15"/>
    <s v="NO5_A1"/>
    <x v="13"/>
    <n v="24.694747307373699"/>
    <n v="6.8596520298260204"/>
  </r>
  <r>
    <x v="0"/>
    <x v="13"/>
    <x v="7"/>
    <x v="15"/>
    <s v="NO5_A1"/>
    <x v="14"/>
    <n v="24.694747307373699"/>
    <n v="6.8596520298260204"/>
  </r>
  <r>
    <x v="0"/>
    <x v="13"/>
    <x v="7"/>
    <x v="15"/>
    <s v="NO5_A1"/>
    <x v="15"/>
    <n v="1.65807589063794"/>
    <n v="0.46057663628831802"/>
  </r>
  <r>
    <x v="0"/>
    <x v="13"/>
    <x v="7"/>
    <x v="15"/>
    <s v="NO5_A1"/>
    <x v="16"/>
    <n v="5.8520524559425198"/>
    <n v="1.6255701266507001"/>
  </r>
  <r>
    <x v="0"/>
    <x v="13"/>
    <x v="7"/>
    <x v="15"/>
    <s v="NO5_A1"/>
    <x v="17"/>
    <n v="9.1244895875632395"/>
    <n v="2.5345804409897901"/>
  </r>
  <r>
    <x v="0"/>
    <x v="13"/>
    <x v="7"/>
    <x v="15"/>
    <s v="NO5_A1"/>
    <x v="18"/>
    <n v="24.694747307373699"/>
    <n v="6.8596520298260204"/>
  </r>
  <r>
    <x v="0"/>
    <x v="13"/>
    <x v="7"/>
    <x v="15"/>
    <s v="NO5_A1"/>
    <x v="19"/>
    <n v="8.1139884009941898"/>
    <n v="2.2538856669428302"/>
  </r>
  <r>
    <x v="0"/>
    <x v="13"/>
    <x v="7"/>
    <x v="15"/>
    <s v="NO5_A1"/>
    <x v="20"/>
    <n v="20.3765303632313"/>
    <n v="5.6601473231197996"/>
  </r>
  <r>
    <x v="0"/>
    <x v="13"/>
    <x v="7"/>
    <x v="15"/>
    <s v="NO5_A1"/>
    <x v="21"/>
    <n v="48.384"/>
    <n v="13.44"/>
  </r>
  <r>
    <x v="0"/>
    <x v="13"/>
    <x v="7"/>
    <x v="15"/>
    <s v="NO5_A1"/>
    <x v="22"/>
    <n v="79.847999999999999"/>
    <n v="22.18"/>
  </r>
  <r>
    <x v="0"/>
    <x v="13"/>
    <x v="7"/>
    <x v="15"/>
    <s v="NO5_A1"/>
    <x v="23"/>
    <n v="0.31515896120488701"/>
    <n v="8.7544155890246306E-2"/>
  </r>
  <r>
    <x v="0"/>
    <x v="13"/>
    <x v="7"/>
    <x v="15"/>
    <s v="NO5_A1"/>
    <x v="24"/>
    <n v="19.174223581093901"/>
    <n v="5.32617321697054"/>
  </r>
  <r>
    <x v="0"/>
    <x v="13"/>
    <x v="7"/>
    <x v="15"/>
    <s v="NO5_A1"/>
    <x v="25"/>
    <n v="23.613931806316799"/>
    <n v="6.5594255017546796"/>
  </r>
  <r>
    <x v="0"/>
    <x v="13"/>
    <x v="7"/>
    <x v="15"/>
    <s v="NO5_A1"/>
    <x v="26"/>
    <n v="30.869217554900899"/>
    <n v="8.5747826541391401"/>
  </r>
  <r>
    <x v="0"/>
    <x v="13"/>
    <x v="7"/>
    <x v="15"/>
    <s v="NO5_A1"/>
    <x v="27"/>
    <n v="20.163995508318798"/>
    <n v="5.6011098634218799"/>
  </r>
  <r>
    <x v="0"/>
    <x v="13"/>
    <x v="7"/>
    <x v="15"/>
    <s v="NO5_A2"/>
    <x v="1"/>
    <n v="35.989199999999997"/>
    <n v="9.9969999999999999"/>
  </r>
  <r>
    <x v="0"/>
    <x v="13"/>
    <x v="7"/>
    <x v="15"/>
    <s v="NO5_A2"/>
    <x v="2"/>
    <n v="48.384"/>
    <n v="13.44"/>
  </r>
  <r>
    <x v="0"/>
    <x v="13"/>
    <x v="7"/>
    <x v="15"/>
    <s v="NO5_A2"/>
    <x v="0"/>
    <n v="42.692399999999999"/>
    <n v="11.859"/>
  </r>
  <r>
    <x v="0"/>
    <x v="13"/>
    <x v="7"/>
    <x v="15"/>
    <s v="NO5_A2"/>
    <x v="3"/>
    <n v="51.633543144067197"/>
    <n v="14.342650873352"/>
  </r>
  <r>
    <x v="0"/>
    <x v="13"/>
    <x v="7"/>
    <x v="15"/>
    <s v="NO5_A2"/>
    <x v="4"/>
    <n v="7.4084241922120802"/>
    <n v="2.0578956089478"/>
  </r>
  <r>
    <x v="0"/>
    <x v="13"/>
    <x v="7"/>
    <x v="15"/>
    <s v="NO5_A2"/>
    <x v="5"/>
    <n v="7.4084241922120802"/>
    <n v="2.0578956089478"/>
  </r>
  <r>
    <x v="0"/>
    <x v="13"/>
    <x v="7"/>
    <x v="15"/>
    <s v="NO5_A2"/>
    <x v="6"/>
    <n v="29.476231795214598"/>
    <n v="8.1878421653373898"/>
  </r>
  <r>
    <x v="0"/>
    <x v="13"/>
    <x v="7"/>
    <x v="15"/>
    <s v="NO5_A2"/>
    <x v="7"/>
    <n v="57.838935220261199"/>
    <n v="16.066370894517"/>
  </r>
  <r>
    <x v="0"/>
    <x v="13"/>
    <x v="7"/>
    <x v="15"/>
    <s v="NO5_A2"/>
    <x v="8"/>
    <n v="57.838935220261199"/>
    <n v="16.066370894517"/>
  </r>
  <r>
    <x v="0"/>
    <x v="13"/>
    <x v="7"/>
    <x v="15"/>
    <s v="NO5_A2"/>
    <x v="9"/>
    <n v="44.803327257663497"/>
    <n v="12.4453686826843"/>
  </r>
  <r>
    <x v="0"/>
    <x v="13"/>
    <x v="7"/>
    <x v="15"/>
    <s v="NO5_A2"/>
    <x v="10"/>
    <n v="54.681226180612903"/>
    <n v="15.1892294946147"/>
  </r>
  <r>
    <x v="0"/>
    <x v="13"/>
    <x v="7"/>
    <x v="15"/>
    <s v="NO5_A2"/>
    <x v="11"/>
    <n v="3.8806031483015802"/>
    <n v="1.07794531897266"/>
  </r>
  <r>
    <x v="0"/>
    <x v="13"/>
    <x v="7"/>
    <x v="15"/>
    <s v="NO5_A2"/>
    <x v="12"/>
    <n v="9.7995028997514597E-2"/>
    <n v="2.72208413881985E-2"/>
  </r>
  <r>
    <x v="0"/>
    <x v="13"/>
    <x v="7"/>
    <x v="15"/>
    <s v="NO5_A2"/>
    <x v="13"/>
    <n v="24.694747307373699"/>
    <n v="6.8596520298260204"/>
  </r>
  <r>
    <x v="0"/>
    <x v="13"/>
    <x v="7"/>
    <x v="15"/>
    <s v="NO5_A2"/>
    <x v="14"/>
    <n v="24.694747307373699"/>
    <n v="6.8596520298260204"/>
  </r>
  <r>
    <x v="0"/>
    <x v="13"/>
    <x v="7"/>
    <x v="15"/>
    <s v="NO5_A2"/>
    <x v="15"/>
    <n v="1.65807589063794"/>
    <n v="0.46057663628831802"/>
  </r>
  <r>
    <x v="0"/>
    <x v="13"/>
    <x v="7"/>
    <x v="15"/>
    <s v="NO5_A2"/>
    <x v="16"/>
    <n v="5.8520524559425198"/>
    <n v="1.6255701266507001"/>
  </r>
  <r>
    <x v="0"/>
    <x v="13"/>
    <x v="7"/>
    <x v="15"/>
    <s v="NO5_A2"/>
    <x v="17"/>
    <n v="9.1244895875632395"/>
    <n v="2.5345804409897901"/>
  </r>
  <r>
    <x v="0"/>
    <x v="13"/>
    <x v="7"/>
    <x v="15"/>
    <s v="NO5_A2"/>
    <x v="18"/>
    <n v="24.694747307373699"/>
    <n v="6.8596520298260204"/>
  </r>
  <r>
    <x v="0"/>
    <x v="13"/>
    <x v="7"/>
    <x v="15"/>
    <s v="NO5_A2"/>
    <x v="19"/>
    <n v="8.1139884009941898"/>
    <n v="2.2538856669428302"/>
  </r>
  <r>
    <x v="0"/>
    <x v="13"/>
    <x v="7"/>
    <x v="15"/>
    <s v="NO5_A2"/>
    <x v="20"/>
    <n v="20.3765303632313"/>
    <n v="5.6601473231197996"/>
  </r>
  <r>
    <x v="0"/>
    <x v="13"/>
    <x v="7"/>
    <x v="15"/>
    <s v="NO5_A2"/>
    <x v="21"/>
    <n v="48.384"/>
    <n v="13.44"/>
  </r>
  <r>
    <x v="0"/>
    <x v="13"/>
    <x v="7"/>
    <x v="15"/>
    <s v="NO5_A2"/>
    <x v="22"/>
    <n v="79.847999999999999"/>
    <n v="22.18"/>
  </r>
  <r>
    <x v="0"/>
    <x v="13"/>
    <x v="7"/>
    <x v="15"/>
    <s v="NO5_A2"/>
    <x v="23"/>
    <n v="0.31515896120488701"/>
    <n v="8.7544155890246306E-2"/>
  </r>
  <r>
    <x v="0"/>
    <x v="13"/>
    <x v="7"/>
    <x v="15"/>
    <s v="NO5_A2"/>
    <x v="24"/>
    <n v="19.174223581093901"/>
    <n v="5.32617321697054"/>
  </r>
  <r>
    <x v="0"/>
    <x v="13"/>
    <x v="7"/>
    <x v="15"/>
    <s v="NO5_A2"/>
    <x v="25"/>
    <n v="23.613931806316799"/>
    <n v="6.5594255017546796"/>
  </r>
  <r>
    <x v="0"/>
    <x v="13"/>
    <x v="7"/>
    <x v="15"/>
    <s v="NO5_A2"/>
    <x v="26"/>
    <n v="30.869217554900899"/>
    <n v="8.5747826541391401"/>
  </r>
  <r>
    <x v="0"/>
    <x v="13"/>
    <x v="7"/>
    <x v="15"/>
    <s v="NO5_A2"/>
    <x v="27"/>
    <n v="20.163995508318798"/>
    <n v="5.6011098634218799"/>
  </r>
  <r>
    <x v="0"/>
    <x v="13"/>
    <x v="7"/>
    <x v="15"/>
    <s v="NO5_Offshore"/>
    <x v="1"/>
    <n v="35.989199999999997"/>
    <n v="9.9969999999999999"/>
  </r>
  <r>
    <x v="0"/>
    <x v="13"/>
    <x v="7"/>
    <x v="15"/>
    <s v="NO5_Offshore"/>
    <x v="2"/>
    <n v="48.384"/>
    <n v="13.44"/>
  </r>
  <r>
    <x v="0"/>
    <x v="13"/>
    <x v="7"/>
    <x v="15"/>
    <s v="NO5_Offshore"/>
    <x v="0"/>
    <n v="42.692399999999999"/>
    <n v="11.859"/>
  </r>
  <r>
    <x v="0"/>
    <x v="13"/>
    <x v="7"/>
    <x v="15"/>
    <s v="NO5_Offshore"/>
    <x v="3"/>
    <n v="51.633543144067197"/>
    <n v="14.342650873352"/>
  </r>
  <r>
    <x v="0"/>
    <x v="13"/>
    <x v="7"/>
    <x v="15"/>
    <s v="NO5_Offshore"/>
    <x v="4"/>
    <n v="7.4084241922120802"/>
    <n v="2.0578956089478"/>
  </r>
  <r>
    <x v="0"/>
    <x v="13"/>
    <x v="7"/>
    <x v="15"/>
    <s v="NO5_Offshore"/>
    <x v="5"/>
    <n v="7.4084241922120802"/>
    <n v="2.0578956089478"/>
  </r>
  <r>
    <x v="0"/>
    <x v="13"/>
    <x v="7"/>
    <x v="15"/>
    <s v="NO5_Offshore"/>
    <x v="6"/>
    <n v="29.476231795214598"/>
    <n v="8.1878421653373898"/>
  </r>
  <r>
    <x v="0"/>
    <x v="13"/>
    <x v="7"/>
    <x v="15"/>
    <s v="NO5_Offshore"/>
    <x v="7"/>
    <n v="57.838935220261199"/>
    <n v="16.066370894517"/>
  </r>
  <r>
    <x v="0"/>
    <x v="13"/>
    <x v="7"/>
    <x v="15"/>
    <s v="NO5_Offshore"/>
    <x v="8"/>
    <n v="57.838935220261199"/>
    <n v="16.066370894517"/>
  </r>
  <r>
    <x v="0"/>
    <x v="13"/>
    <x v="7"/>
    <x v="15"/>
    <s v="NO5_Offshore"/>
    <x v="9"/>
    <n v="44.803327257663497"/>
    <n v="12.4453686826843"/>
  </r>
  <r>
    <x v="0"/>
    <x v="13"/>
    <x v="7"/>
    <x v="15"/>
    <s v="NO5_Offshore"/>
    <x v="10"/>
    <n v="54.681226180612903"/>
    <n v="15.1892294946147"/>
  </r>
  <r>
    <x v="0"/>
    <x v="13"/>
    <x v="7"/>
    <x v="15"/>
    <s v="NO5_Offshore"/>
    <x v="11"/>
    <n v="3.8806031483015802"/>
    <n v="1.07794531897266"/>
  </r>
  <r>
    <x v="0"/>
    <x v="13"/>
    <x v="7"/>
    <x v="15"/>
    <s v="NO5_Offshore"/>
    <x v="12"/>
    <n v="9.7995028997514597E-2"/>
    <n v="2.72208413881985E-2"/>
  </r>
  <r>
    <x v="0"/>
    <x v="13"/>
    <x v="7"/>
    <x v="15"/>
    <s v="NO5_Offshore"/>
    <x v="13"/>
    <n v="24.694747307373699"/>
    <n v="6.8596520298260204"/>
  </r>
  <r>
    <x v="0"/>
    <x v="13"/>
    <x v="7"/>
    <x v="15"/>
    <s v="NO5_Offshore"/>
    <x v="14"/>
    <n v="24.694747307373699"/>
    <n v="6.8596520298260204"/>
  </r>
  <r>
    <x v="0"/>
    <x v="13"/>
    <x v="7"/>
    <x v="15"/>
    <s v="NO5_Offshore"/>
    <x v="15"/>
    <n v="1.65807589063794"/>
    <n v="0.46057663628831802"/>
  </r>
  <r>
    <x v="0"/>
    <x v="13"/>
    <x v="7"/>
    <x v="15"/>
    <s v="NO5_Offshore"/>
    <x v="16"/>
    <n v="5.8520524559425198"/>
    <n v="1.6255701266507001"/>
  </r>
  <r>
    <x v="0"/>
    <x v="13"/>
    <x v="7"/>
    <x v="15"/>
    <s v="NO5_Offshore"/>
    <x v="17"/>
    <n v="9.1244895875632395"/>
    <n v="2.5345804409897901"/>
  </r>
  <r>
    <x v="0"/>
    <x v="13"/>
    <x v="7"/>
    <x v="15"/>
    <s v="NO5_Offshore"/>
    <x v="18"/>
    <n v="24.694747307373699"/>
    <n v="6.8596520298260204"/>
  </r>
  <r>
    <x v="0"/>
    <x v="13"/>
    <x v="7"/>
    <x v="15"/>
    <s v="NO5_Offshore"/>
    <x v="19"/>
    <n v="8.1139884009941898"/>
    <n v="2.2538856669428302"/>
  </r>
  <r>
    <x v="0"/>
    <x v="13"/>
    <x v="7"/>
    <x v="15"/>
    <s v="NO5_Offshore"/>
    <x v="20"/>
    <n v="20.3765303632313"/>
    <n v="5.6601473231197996"/>
  </r>
  <r>
    <x v="0"/>
    <x v="13"/>
    <x v="7"/>
    <x v="15"/>
    <s v="NO5_Offshore"/>
    <x v="21"/>
    <n v="48.384"/>
    <n v="13.44"/>
  </r>
  <r>
    <x v="0"/>
    <x v="13"/>
    <x v="7"/>
    <x v="15"/>
    <s v="NO5_Offshore"/>
    <x v="22"/>
    <n v="79.847999999999999"/>
    <n v="22.18"/>
  </r>
  <r>
    <x v="0"/>
    <x v="13"/>
    <x v="7"/>
    <x v="15"/>
    <s v="NO5_Offshore"/>
    <x v="23"/>
    <n v="0.31515896120488701"/>
    <n v="8.7544155890246306E-2"/>
  </r>
  <r>
    <x v="0"/>
    <x v="13"/>
    <x v="7"/>
    <x v="15"/>
    <s v="NO5_Offshore"/>
    <x v="24"/>
    <n v="19.174223581093901"/>
    <n v="5.32617321697054"/>
  </r>
  <r>
    <x v="0"/>
    <x v="13"/>
    <x v="7"/>
    <x v="15"/>
    <s v="NO5_Offshore"/>
    <x v="25"/>
    <n v="23.613931806316799"/>
    <n v="6.5594255017546796"/>
  </r>
  <r>
    <x v="0"/>
    <x v="13"/>
    <x v="7"/>
    <x v="15"/>
    <s v="NO5_Offshore"/>
    <x v="26"/>
    <n v="30.869217554900899"/>
    <n v="8.5747826541391401"/>
  </r>
  <r>
    <x v="0"/>
    <x v="13"/>
    <x v="7"/>
    <x v="15"/>
    <s v="NO5_Offshore"/>
    <x v="27"/>
    <n v="20.163995508318798"/>
    <n v="5.6011098634218799"/>
  </r>
  <r>
    <x v="0"/>
    <x v="13"/>
    <x v="8"/>
    <x v="16"/>
    <s v="PL_A"/>
    <x v="1"/>
    <n v="35.989199999999997"/>
    <n v="9.9969999999999999"/>
  </r>
  <r>
    <x v="0"/>
    <x v="13"/>
    <x v="8"/>
    <x v="16"/>
    <s v="PL_A"/>
    <x v="2"/>
    <n v="48.384"/>
    <n v="13.44"/>
  </r>
  <r>
    <x v="0"/>
    <x v="13"/>
    <x v="8"/>
    <x v="16"/>
    <s v="PL_A"/>
    <x v="0"/>
    <n v="42.692399999999999"/>
    <n v="11.859"/>
  </r>
  <r>
    <x v="0"/>
    <x v="13"/>
    <x v="8"/>
    <x v="16"/>
    <s v="PL_A"/>
    <x v="3"/>
    <n v="51.633543144067197"/>
    <n v="14.342650873352"/>
  </r>
  <r>
    <x v="0"/>
    <x v="13"/>
    <x v="8"/>
    <x v="16"/>
    <s v="PL_A"/>
    <x v="4"/>
    <n v="7.4084241922120802"/>
    <n v="2.0578956089478"/>
  </r>
  <r>
    <x v="0"/>
    <x v="13"/>
    <x v="8"/>
    <x v="16"/>
    <s v="PL_A"/>
    <x v="5"/>
    <n v="7.4084241922120802"/>
    <n v="2.0578956089478"/>
  </r>
  <r>
    <x v="0"/>
    <x v="13"/>
    <x v="8"/>
    <x v="16"/>
    <s v="PL_A"/>
    <x v="6"/>
    <n v="29.476231795214598"/>
    <n v="8.1878421653373898"/>
  </r>
  <r>
    <x v="0"/>
    <x v="13"/>
    <x v="8"/>
    <x v="16"/>
    <s v="PL_A"/>
    <x v="7"/>
    <n v="57.838935220261199"/>
    <n v="16.066370894517"/>
  </r>
  <r>
    <x v="0"/>
    <x v="13"/>
    <x v="8"/>
    <x v="16"/>
    <s v="PL_A"/>
    <x v="8"/>
    <n v="57.838935220261199"/>
    <n v="16.066370894517"/>
  </r>
  <r>
    <x v="0"/>
    <x v="13"/>
    <x v="8"/>
    <x v="16"/>
    <s v="PL_A"/>
    <x v="9"/>
    <n v="44.803327257663497"/>
    <n v="12.4453686826843"/>
  </r>
  <r>
    <x v="0"/>
    <x v="13"/>
    <x v="8"/>
    <x v="16"/>
    <s v="PL_A"/>
    <x v="10"/>
    <n v="54.681226180612903"/>
    <n v="15.1892294946147"/>
  </r>
  <r>
    <x v="0"/>
    <x v="13"/>
    <x v="8"/>
    <x v="16"/>
    <s v="PL_A"/>
    <x v="11"/>
    <n v="3.8806031483015802"/>
    <n v="1.07794531897266"/>
  </r>
  <r>
    <x v="0"/>
    <x v="13"/>
    <x v="8"/>
    <x v="16"/>
    <s v="PL_A"/>
    <x v="12"/>
    <n v="9.7995028997514597E-2"/>
    <n v="2.72208413881985E-2"/>
  </r>
  <r>
    <x v="0"/>
    <x v="13"/>
    <x v="8"/>
    <x v="16"/>
    <s v="PL_A"/>
    <x v="13"/>
    <n v="24.694747307373699"/>
    <n v="6.8596520298260204"/>
  </r>
  <r>
    <x v="0"/>
    <x v="13"/>
    <x v="8"/>
    <x v="16"/>
    <s v="PL_A"/>
    <x v="14"/>
    <n v="24.694747307373699"/>
    <n v="6.8596520298260204"/>
  </r>
  <r>
    <x v="0"/>
    <x v="13"/>
    <x v="8"/>
    <x v="16"/>
    <s v="PL_A"/>
    <x v="15"/>
    <n v="1.65807589063794"/>
    <n v="0.46057663628831802"/>
  </r>
  <r>
    <x v="0"/>
    <x v="13"/>
    <x v="8"/>
    <x v="16"/>
    <s v="PL_A"/>
    <x v="16"/>
    <n v="5.8520524559425198"/>
    <n v="1.6255701266507001"/>
  </r>
  <r>
    <x v="0"/>
    <x v="13"/>
    <x v="8"/>
    <x v="16"/>
    <s v="PL_A"/>
    <x v="17"/>
    <n v="9.1244895875632395"/>
    <n v="2.5345804409897901"/>
  </r>
  <r>
    <x v="0"/>
    <x v="13"/>
    <x v="8"/>
    <x v="16"/>
    <s v="PL_A"/>
    <x v="18"/>
    <n v="24.694747307373699"/>
    <n v="6.8596520298260204"/>
  </r>
  <r>
    <x v="0"/>
    <x v="13"/>
    <x v="8"/>
    <x v="16"/>
    <s v="PL_A"/>
    <x v="19"/>
    <n v="8.1139884009941898"/>
    <n v="2.2538856669428302"/>
  </r>
  <r>
    <x v="0"/>
    <x v="13"/>
    <x v="8"/>
    <x v="16"/>
    <s v="PL_A"/>
    <x v="20"/>
    <n v="20.3765303632313"/>
    <n v="5.6601473231197996"/>
  </r>
  <r>
    <x v="0"/>
    <x v="13"/>
    <x v="8"/>
    <x v="16"/>
    <s v="PL_A"/>
    <x v="21"/>
    <n v="48.384"/>
    <n v="13.44"/>
  </r>
  <r>
    <x v="0"/>
    <x v="13"/>
    <x v="8"/>
    <x v="16"/>
    <s v="PL_A"/>
    <x v="22"/>
    <n v="79.847999999999999"/>
    <n v="22.18"/>
  </r>
  <r>
    <x v="0"/>
    <x v="13"/>
    <x v="8"/>
    <x v="16"/>
    <s v="PL_A"/>
    <x v="23"/>
    <n v="0.31515896120488701"/>
    <n v="8.7544155890246306E-2"/>
  </r>
  <r>
    <x v="0"/>
    <x v="13"/>
    <x v="8"/>
    <x v="16"/>
    <s v="PL_A"/>
    <x v="24"/>
    <n v="19.174223581093901"/>
    <n v="5.32617321697054"/>
  </r>
  <r>
    <x v="0"/>
    <x v="13"/>
    <x v="8"/>
    <x v="16"/>
    <s v="PL_A"/>
    <x v="25"/>
    <n v="23.613931806316799"/>
    <n v="6.5594255017546796"/>
  </r>
  <r>
    <x v="0"/>
    <x v="13"/>
    <x v="8"/>
    <x v="16"/>
    <s v="PL_A"/>
    <x v="26"/>
    <n v="30.869217554900899"/>
    <n v="8.5747826541391401"/>
  </r>
  <r>
    <x v="0"/>
    <x v="13"/>
    <x v="8"/>
    <x v="16"/>
    <s v="PL_A"/>
    <x v="27"/>
    <n v="20.163995508318798"/>
    <n v="5.6011098634218799"/>
  </r>
  <r>
    <x v="0"/>
    <x v="13"/>
    <x v="8"/>
    <x v="16"/>
    <s v="PL_OFFSHORE"/>
    <x v="1"/>
    <n v="35.989199999999997"/>
    <n v="9.9969999999999999"/>
  </r>
  <r>
    <x v="0"/>
    <x v="13"/>
    <x v="8"/>
    <x v="16"/>
    <s v="PL_OFFSHORE"/>
    <x v="2"/>
    <n v="48.384"/>
    <n v="13.44"/>
  </r>
  <r>
    <x v="0"/>
    <x v="13"/>
    <x v="8"/>
    <x v="16"/>
    <s v="PL_OFFSHORE"/>
    <x v="0"/>
    <n v="42.692399999999999"/>
    <n v="11.859"/>
  </r>
  <r>
    <x v="0"/>
    <x v="13"/>
    <x v="8"/>
    <x v="16"/>
    <s v="PL_OFFSHORE"/>
    <x v="3"/>
    <n v="51.633543144067197"/>
    <n v="14.342650873352"/>
  </r>
  <r>
    <x v="0"/>
    <x v="13"/>
    <x v="8"/>
    <x v="16"/>
    <s v="PL_OFFSHORE"/>
    <x v="4"/>
    <n v="7.4084241922120802"/>
    <n v="2.0578956089478"/>
  </r>
  <r>
    <x v="0"/>
    <x v="13"/>
    <x v="8"/>
    <x v="16"/>
    <s v="PL_OFFSHORE"/>
    <x v="5"/>
    <n v="7.4084241922120802"/>
    <n v="2.0578956089478"/>
  </r>
  <r>
    <x v="0"/>
    <x v="13"/>
    <x v="8"/>
    <x v="16"/>
    <s v="PL_OFFSHORE"/>
    <x v="6"/>
    <n v="29.476231795214598"/>
    <n v="8.1878421653373898"/>
  </r>
  <r>
    <x v="0"/>
    <x v="13"/>
    <x v="8"/>
    <x v="16"/>
    <s v="PL_OFFSHORE"/>
    <x v="7"/>
    <n v="57.838935220261199"/>
    <n v="16.066370894517"/>
  </r>
  <r>
    <x v="0"/>
    <x v="13"/>
    <x v="8"/>
    <x v="16"/>
    <s v="PL_OFFSHORE"/>
    <x v="8"/>
    <n v="57.838935220261199"/>
    <n v="16.066370894517"/>
  </r>
  <r>
    <x v="0"/>
    <x v="13"/>
    <x v="8"/>
    <x v="16"/>
    <s v="PL_OFFSHORE"/>
    <x v="9"/>
    <n v="44.803327257663497"/>
    <n v="12.4453686826843"/>
  </r>
  <r>
    <x v="0"/>
    <x v="13"/>
    <x v="8"/>
    <x v="16"/>
    <s v="PL_OFFSHORE"/>
    <x v="10"/>
    <n v="54.681226180612903"/>
    <n v="15.1892294946147"/>
  </r>
  <r>
    <x v="0"/>
    <x v="13"/>
    <x v="8"/>
    <x v="16"/>
    <s v="PL_OFFSHORE"/>
    <x v="11"/>
    <n v="3.8806031483015802"/>
    <n v="1.07794531897266"/>
  </r>
  <r>
    <x v="0"/>
    <x v="13"/>
    <x v="8"/>
    <x v="16"/>
    <s v="PL_OFFSHORE"/>
    <x v="12"/>
    <n v="9.7995028997514597E-2"/>
    <n v="2.72208413881985E-2"/>
  </r>
  <r>
    <x v="0"/>
    <x v="13"/>
    <x v="8"/>
    <x v="16"/>
    <s v="PL_OFFSHORE"/>
    <x v="13"/>
    <n v="24.694747307373699"/>
    <n v="6.8596520298260204"/>
  </r>
  <r>
    <x v="0"/>
    <x v="13"/>
    <x v="8"/>
    <x v="16"/>
    <s v="PL_OFFSHORE"/>
    <x v="14"/>
    <n v="24.694747307373699"/>
    <n v="6.8596520298260204"/>
  </r>
  <r>
    <x v="0"/>
    <x v="13"/>
    <x v="8"/>
    <x v="16"/>
    <s v="PL_OFFSHORE"/>
    <x v="15"/>
    <n v="1.65807589063794"/>
    <n v="0.46057663628831802"/>
  </r>
  <r>
    <x v="0"/>
    <x v="13"/>
    <x v="8"/>
    <x v="16"/>
    <s v="PL_OFFSHORE"/>
    <x v="16"/>
    <n v="5.8520524559425198"/>
    <n v="1.6255701266507001"/>
  </r>
  <r>
    <x v="0"/>
    <x v="13"/>
    <x v="8"/>
    <x v="16"/>
    <s v="PL_OFFSHORE"/>
    <x v="17"/>
    <n v="9.1244895875632395"/>
    <n v="2.5345804409897901"/>
  </r>
  <r>
    <x v="0"/>
    <x v="13"/>
    <x v="8"/>
    <x v="16"/>
    <s v="PL_OFFSHORE"/>
    <x v="18"/>
    <n v="24.694747307373699"/>
    <n v="6.8596520298260204"/>
  </r>
  <r>
    <x v="0"/>
    <x v="13"/>
    <x v="8"/>
    <x v="16"/>
    <s v="PL_OFFSHORE"/>
    <x v="19"/>
    <n v="8.1139884009941898"/>
    <n v="2.2538856669428302"/>
  </r>
  <r>
    <x v="0"/>
    <x v="13"/>
    <x v="8"/>
    <x v="16"/>
    <s v="PL_OFFSHORE"/>
    <x v="20"/>
    <n v="20.3765303632313"/>
    <n v="5.6601473231197996"/>
  </r>
  <r>
    <x v="0"/>
    <x v="13"/>
    <x v="8"/>
    <x v="16"/>
    <s v="PL_OFFSHORE"/>
    <x v="21"/>
    <n v="48.384"/>
    <n v="13.44"/>
  </r>
  <r>
    <x v="0"/>
    <x v="13"/>
    <x v="8"/>
    <x v="16"/>
    <s v="PL_OFFSHORE"/>
    <x v="22"/>
    <n v="79.847999999999999"/>
    <n v="22.18"/>
  </r>
  <r>
    <x v="0"/>
    <x v="13"/>
    <x v="8"/>
    <x v="16"/>
    <s v="PL_OFFSHORE"/>
    <x v="23"/>
    <n v="0.31515896120488701"/>
    <n v="8.7544155890246306E-2"/>
  </r>
  <r>
    <x v="0"/>
    <x v="13"/>
    <x v="8"/>
    <x v="16"/>
    <s v="PL_OFFSHORE"/>
    <x v="24"/>
    <n v="19.174223581093901"/>
    <n v="5.32617321697054"/>
  </r>
  <r>
    <x v="0"/>
    <x v="13"/>
    <x v="8"/>
    <x v="16"/>
    <s v="PL_OFFSHORE"/>
    <x v="25"/>
    <n v="23.613931806316799"/>
    <n v="6.5594255017546796"/>
  </r>
  <r>
    <x v="0"/>
    <x v="13"/>
    <x v="8"/>
    <x v="16"/>
    <s v="PL_OFFSHORE"/>
    <x v="26"/>
    <n v="30.869217554900899"/>
    <n v="8.5747826541391401"/>
  </r>
  <r>
    <x v="0"/>
    <x v="13"/>
    <x v="8"/>
    <x v="16"/>
    <s v="PL_OFFSHORE"/>
    <x v="27"/>
    <n v="20.163995508318798"/>
    <n v="5.6011098634218799"/>
  </r>
  <r>
    <x v="0"/>
    <x v="13"/>
    <x v="8"/>
    <x v="16"/>
    <s v="PL_Rural"/>
    <x v="1"/>
    <n v="35.989199999999997"/>
    <n v="9.9969999999999999"/>
  </r>
  <r>
    <x v="0"/>
    <x v="13"/>
    <x v="8"/>
    <x v="16"/>
    <s v="PL_Rural"/>
    <x v="2"/>
    <n v="48.384"/>
    <n v="13.44"/>
  </r>
  <r>
    <x v="0"/>
    <x v="13"/>
    <x v="8"/>
    <x v="16"/>
    <s v="PL_Rural"/>
    <x v="0"/>
    <n v="42.692399999999999"/>
    <n v="11.859"/>
  </r>
  <r>
    <x v="0"/>
    <x v="13"/>
    <x v="8"/>
    <x v="16"/>
    <s v="PL_Rural"/>
    <x v="3"/>
    <n v="51.633543144067197"/>
    <n v="14.342650873352"/>
  </r>
  <r>
    <x v="0"/>
    <x v="13"/>
    <x v="8"/>
    <x v="16"/>
    <s v="PL_Rural"/>
    <x v="4"/>
    <n v="7.4084241922120802"/>
    <n v="2.0578956089478"/>
  </r>
  <r>
    <x v="0"/>
    <x v="13"/>
    <x v="8"/>
    <x v="16"/>
    <s v="PL_Rural"/>
    <x v="5"/>
    <n v="7.4084241922120802"/>
    <n v="2.0578956089478"/>
  </r>
  <r>
    <x v="0"/>
    <x v="13"/>
    <x v="8"/>
    <x v="16"/>
    <s v="PL_Rural"/>
    <x v="6"/>
    <n v="29.476231795214598"/>
    <n v="8.1878421653373898"/>
  </r>
  <r>
    <x v="0"/>
    <x v="13"/>
    <x v="8"/>
    <x v="16"/>
    <s v="PL_Rural"/>
    <x v="7"/>
    <n v="57.838935220261199"/>
    <n v="16.066370894517"/>
  </r>
  <r>
    <x v="0"/>
    <x v="13"/>
    <x v="8"/>
    <x v="16"/>
    <s v="PL_Rural"/>
    <x v="8"/>
    <n v="57.838935220261199"/>
    <n v="16.066370894517"/>
  </r>
  <r>
    <x v="0"/>
    <x v="13"/>
    <x v="8"/>
    <x v="16"/>
    <s v="PL_Rural"/>
    <x v="9"/>
    <n v="44.803327257663497"/>
    <n v="12.4453686826843"/>
  </r>
  <r>
    <x v="0"/>
    <x v="13"/>
    <x v="8"/>
    <x v="16"/>
    <s v="PL_Rural"/>
    <x v="10"/>
    <n v="54.681226180612903"/>
    <n v="15.1892294946147"/>
  </r>
  <r>
    <x v="0"/>
    <x v="13"/>
    <x v="8"/>
    <x v="16"/>
    <s v="PL_Rural"/>
    <x v="11"/>
    <n v="3.8806031483015802"/>
    <n v="1.07794531897266"/>
  </r>
  <r>
    <x v="0"/>
    <x v="13"/>
    <x v="8"/>
    <x v="16"/>
    <s v="PL_Rural"/>
    <x v="12"/>
    <n v="9.7995028997514597E-2"/>
    <n v="2.72208413881985E-2"/>
  </r>
  <r>
    <x v="0"/>
    <x v="13"/>
    <x v="8"/>
    <x v="16"/>
    <s v="PL_Rural"/>
    <x v="13"/>
    <n v="24.694747307373699"/>
    <n v="6.8596520298260204"/>
  </r>
  <r>
    <x v="0"/>
    <x v="13"/>
    <x v="8"/>
    <x v="16"/>
    <s v="PL_Rural"/>
    <x v="14"/>
    <n v="24.694747307373699"/>
    <n v="6.8596520298260204"/>
  </r>
  <r>
    <x v="0"/>
    <x v="13"/>
    <x v="8"/>
    <x v="16"/>
    <s v="PL_Rural"/>
    <x v="15"/>
    <n v="1.65807589063794"/>
    <n v="0.46057663628831802"/>
  </r>
  <r>
    <x v="0"/>
    <x v="13"/>
    <x v="8"/>
    <x v="16"/>
    <s v="PL_Rural"/>
    <x v="16"/>
    <n v="5.8520524559425198"/>
    <n v="1.6255701266507001"/>
  </r>
  <r>
    <x v="0"/>
    <x v="13"/>
    <x v="8"/>
    <x v="16"/>
    <s v="PL_Rural"/>
    <x v="17"/>
    <n v="9.1244895875632395"/>
    <n v="2.5345804409897901"/>
  </r>
  <r>
    <x v="0"/>
    <x v="13"/>
    <x v="8"/>
    <x v="16"/>
    <s v="PL_Rural"/>
    <x v="18"/>
    <n v="24.694747307373699"/>
    <n v="6.8596520298260204"/>
  </r>
  <r>
    <x v="0"/>
    <x v="13"/>
    <x v="8"/>
    <x v="16"/>
    <s v="PL_Rural"/>
    <x v="19"/>
    <n v="8.1139884009941898"/>
    <n v="2.2538856669428302"/>
  </r>
  <r>
    <x v="0"/>
    <x v="13"/>
    <x v="8"/>
    <x v="16"/>
    <s v="PL_Rural"/>
    <x v="20"/>
    <n v="20.3765303632313"/>
    <n v="5.6601473231197996"/>
  </r>
  <r>
    <x v="0"/>
    <x v="13"/>
    <x v="8"/>
    <x v="16"/>
    <s v="PL_Rural"/>
    <x v="21"/>
    <n v="48.384"/>
    <n v="13.44"/>
  </r>
  <r>
    <x v="0"/>
    <x v="13"/>
    <x v="8"/>
    <x v="16"/>
    <s v="PL_Rural"/>
    <x v="22"/>
    <n v="79.847999999999999"/>
    <n v="22.18"/>
  </r>
  <r>
    <x v="0"/>
    <x v="13"/>
    <x v="8"/>
    <x v="16"/>
    <s v="PL_Rural"/>
    <x v="23"/>
    <n v="0.31515896120488701"/>
    <n v="8.7544155890246306E-2"/>
  </r>
  <r>
    <x v="0"/>
    <x v="13"/>
    <x v="8"/>
    <x v="16"/>
    <s v="PL_Rural"/>
    <x v="24"/>
    <n v="19.174223581093901"/>
    <n v="5.32617321697054"/>
  </r>
  <r>
    <x v="0"/>
    <x v="13"/>
    <x v="8"/>
    <x v="16"/>
    <s v="PL_Rural"/>
    <x v="25"/>
    <n v="23.613931806316799"/>
    <n v="6.5594255017546796"/>
  </r>
  <r>
    <x v="0"/>
    <x v="13"/>
    <x v="8"/>
    <x v="16"/>
    <s v="PL_Rural"/>
    <x v="26"/>
    <n v="30.869217554900899"/>
    <n v="8.5747826541391401"/>
  </r>
  <r>
    <x v="0"/>
    <x v="13"/>
    <x v="8"/>
    <x v="16"/>
    <s v="PL_Rural"/>
    <x v="27"/>
    <n v="20.163995508318798"/>
    <n v="5.6011098634218799"/>
  </r>
  <r>
    <x v="0"/>
    <x v="13"/>
    <x v="9"/>
    <x v="17"/>
    <s v="SE1A"/>
    <x v="1"/>
    <n v="35.989199999999997"/>
    <n v="9.9969999999999999"/>
  </r>
  <r>
    <x v="0"/>
    <x v="13"/>
    <x v="9"/>
    <x v="17"/>
    <s v="SE1A"/>
    <x v="2"/>
    <n v="48.384"/>
    <n v="13.44"/>
  </r>
  <r>
    <x v="0"/>
    <x v="13"/>
    <x v="9"/>
    <x v="17"/>
    <s v="SE1A"/>
    <x v="0"/>
    <n v="42.692399999999999"/>
    <n v="11.859"/>
  </r>
  <r>
    <x v="0"/>
    <x v="13"/>
    <x v="9"/>
    <x v="17"/>
    <s v="SE1A"/>
    <x v="3"/>
    <n v="51.633543144067197"/>
    <n v="14.342650873352"/>
  </r>
  <r>
    <x v="0"/>
    <x v="13"/>
    <x v="9"/>
    <x v="17"/>
    <s v="SE1A"/>
    <x v="4"/>
    <n v="7.4084241922120802"/>
    <n v="2.0578956089478"/>
  </r>
  <r>
    <x v="0"/>
    <x v="13"/>
    <x v="9"/>
    <x v="17"/>
    <s v="SE1A"/>
    <x v="5"/>
    <n v="7.4084241922120802"/>
    <n v="2.0578956089478"/>
  </r>
  <r>
    <x v="0"/>
    <x v="13"/>
    <x v="9"/>
    <x v="17"/>
    <s v="SE1A"/>
    <x v="6"/>
    <n v="29.476231795214598"/>
    <n v="8.1878421653373898"/>
  </r>
  <r>
    <x v="0"/>
    <x v="13"/>
    <x v="9"/>
    <x v="17"/>
    <s v="SE1A"/>
    <x v="7"/>
    <n v="57.838935220261199"/>
    <n v="16.066370894517"/>
  </r>
  <r>
    <x v="0"/>
    <x v="13"/>
    <x v="9"/>
    <x v="17"/>
    <s v="SE1A"/>
    <x v="8"/>
    <n v="57.838935220261199"/>
    <n v="16.066370894517"/>
  </r>
  <r>
    <x v="0"/>
    <x v="13"/>
    <x v="9"/>
    <x v="17"/>
    <s v="SE1A"/>
    <x v="9"/>
    <n v="44.803327257663497"/>
    <n v="12.4453686826843"/>
  </r>
  <r>
    <x v="0"/>
    <x v="13"/>
    <x v="9"/>
    <x v="17"/>
    <s v="SE1A"/>
    <x v="10"/>
    <n v="54.681226180612903"/>
    <n v="15.1892294946147"/>
  </r>
  <r>
    <x v="0"/>
    <x v="13"/>
    <x v="9"/>
    <x v="17"/>
    <s v="SE1A"/>
    <x v="11"/>
    <n v="3.8806031483015802"/>
    <n v="1.07794531897266"/>
  </r>
  <r>
    <x v="0"/>
    <x v="13"/>
    <x v="9"/>
    <x v="17"/>
    <s v="SE1A"/>
    <x v="12"/>
    <n v="9.7995028997514597E-2"/>
    <n v="2.72208413881985E-2"/>
  </r>
  <r>
    <x v="0"/>
    <x v="13"/>
    <x v="9"/>
    <x v="17"/>
    <s v="SE1A"/>
    <x v="13"/>
    <n v="24.694747307373699"/>
    <n v="6.8596520298260204"/>
  </r>
  <r>
    <x v="0"/>
    <x v="13"/>
    <x v="9"/>
    <x v="17"/>
    <s v="SE1A"/>
    <x v="14"/>
    <n v="24.694747307373699"/>
    <n v="6.8596520298260204"/>
  </r>
  <r>
    <x v="0"/>
    <x v="13"/>
    <x v="9"/>
    <x v="17"/>
    <s v="SE1A"/>
    <x v="15"/>
    <n v="1.65807589063794"/>
    <n v="0.46057663628831802"/>
  </r>
  <r>
    <x v="0"/>
    <x v="13"/>
    <x v="9"/>
    <x v="17"/>
    <s v="SE1A"/>
    <x v="16"/>
    <n v="5.8520524559425198"/>
    <n v="1.6255701266507001"/>
  </r>
  <r>
    <x v="0"/>
    <x v="13"/>
    <x v="9"/>
    <x v="17"/>
    <s v="SE1A"/>
    <x v="17"/>
    <n v="9.1244895875632395"/>
    <n v="2.5345804409897901"/>
  </r>
  <r>
    <x v="0"/>
    <x v="13"/>
    <x v="9"/>
    <x v="17"/>
    <s v="SE1A"/>
    <x v="18"/>
    <n v="24.694747307373699"/>
    <n v="6.8596520298260204"/>
  </r>
  <r>
    <x v="0"/>
    <x v="13"/>
    <x v="9"/>
    <x v="17"/>
    <s v="SE1A"/>
    <x v="19"/>
    <n v="8.1139884009941898"/>
    <n v="2.2538856669428302"/>
  </r>
  <r>
    <x v="0"/>
    <x v="13"/>
    <x v="9"/>
    <x v="17"/>
    <s v="SE1A"/>
    <x v="20"/>
    <n v="20.3765303632313"/>
    <n v="5.6601473231197996"/>
  </r>
  <r>
    <x v="0"/>
    <x v="13"/>
    <x v="9"/>
    <x v="17"/>
    <s v="SE1A"/>
    <x v="21"/>
    <n v="48.384"/>
    <n v="13.44"/>
  </r>
  <r>
    <x v="0"/>
    <x v="13"/>
    <x v="9"/>
    <x v="17"/>
    <s v="SE1A"/>
    <x v="22"/>
    <n v="79.847999999999999"/>
    <n v="22.18"/>
  </r>
  <r>
    <x v="0"/>
    <x v="13"/>
    <x v="9"/>
    <x v="17"/>
    <s v="SE1A"/>
    <x v="23"/>
    <n v="0.31515896120488701"/>
    <n v="8.7544155890246306E-2"/>
  </r>
  <r>
    <x v="0"/>
    <x v="13"/>
    <x v="9"/>
    <x v="17"/>
    <s v="SE1A"/>
    <x v="24"/>
    <n v="19.174223581093901"/>
    <n v="5.32617321697054"/>
  </r>
  <r>
    <x v="0"/>
    <x v="13"/>
    <x v="9"/>
    <x v="17"/>
    <s v="SE1A"/>
    <x v="25"/>
    <n v="23.613931806316799"/>
    <n v="6.5594255017546796"/>
  </r>
  <r>
    <x v="0"/>
    <x v="13"/>
    <x v="9"/>
    <x v="17"/>
    <s v="SE1A"/>
    <x v="26"/>
    <n v="30.869217554900899"/>
    <n v="8.5747826541391401"/>
  </r>
  <r>
    <x v="0"/>
    <x v="13"/>
    <x v="9"/>
    <x v="17"/>
    <s v="SE1A"/>
    <x v="27"/>
    <n v="20.163995508318798"/>
    <n v="5.6011098634218799"/>
  </r>
  <r>
    <x v="0"/>
    <x v="13"/>
    <x v="9"/>
    <x v="17"/>
    <s v="SE1_IND"/>
    <x v="1"/>
    <n v="35.989199999999997"/>
    <n v="9.9969999999999999"/>
  </r>
  <r>
    <x v="0"/>
    <x v="13"/>
    <x v="9"/>
    <x v="17"/>
    <s v="SE1_IND"/>
    <x v="2"/>
    <n v="48.384"/>
    <n v="13.44"/>
  </r>
  <r>
    <x v="0"/>
    <x v="13"/>
    <x v="9"/>
    <x v="17"/>
    <s v="SE1_IND"/>
    <x v="0"/>
    <n v="42.692399999999999"/>
    <n v="11.859"/>
  </r>
  <r>
    <x v="0"/>
    <x v="13"/>
    <x v="9"/>
    <x v="17"/>
    <s v="SE1_IND"/>
    <x v="3"/>
    <n v="51.633543144067197"/>
    <n v="14.342650873352"/>
  </r>
  <r>
    <x v="0"/>
    <x v="13"/>
    <x v="9"/>
    <x v="17"/>
    <s v="SE1_IND"/>
    <x v="4"/>
    <n v="7.4084241922120802"/>
    <n v="2.0578956089478"/>
  </r>
  <r>
    <x v="0"/>
    <x v="13"/>
    <x v="9"/>
    <x v="17"/>
    <s v="SE1_IND"/>
    <x v="5"/>
    <n v="7.4084241922120802"/>
    <n v="2.0578956089478"/>
  </r>
  <r>
    <x v="0"/>
    <x v="13"/>
    <x v="9"/>
    <x v="17"/>
    <s v="SE1_IND"/>
    <x v="6"/>
    <n v="29.476231795214598"/>
    <n v="8.1878421653373898"/>
  </r>
  <r>
    <x v="0"/>
    <x v="13"/>
    <x v="9"/>
    <x v="17"/>
    <s v="SE1_IND"/>
    <x v="7"/>
    <n v="57.838935220261199"/>
    <n v="16.066370894517"/>
  </r>
  <r>
    <x v="0"/>
    <x v="13"/>
    <x v="9"/>
    <x v="17"/>
    <s v="SE1_IND"/>
    <x v="8"/>
    <n v="57.838935220261199"/>
    <n v="16.066370894517"/>
  </r>
  <r>
    <x v="0"/>
    <x v="13"/>
    <x v="9"/>
    <x v="17"/>
    <s v="SE1_IND"/>
    <x v="9"/>
    <n v="44.803327257663497"/>
    <n v="12.4453686826843"/>
  </r>
  <r>
    <x v="0"/>
    <x v="13"/>
    <x v="9"/>
    <x v="17"/>
    <s v="SE1_IND"/>
    <x v="10"/>
    <n v="54.681226180612903"/>
    <n v="15.1892294946147"/>
  </r>
  <r>
    <x v="0"/>
    <x v="13"/>
    <x v="9"/>
    <x v="17"/>
    <s v="SE1_IND"/>
    <x v="11"/>
    <n v="3.8806031483015802"/>
    <n v="1.07794531897266"/>
  </r>
  <r>
    <x v="0"/>
    <x v="13"/>
    <x v="9"/>
    <x v="17"/>
    <s v="SE1_IND"/>
    <x v="12"/>
    <n v="9.7995028997514597E-2"/>
    <n v="2.72208413881985E-2"/>
  </r>
  <r>
    <x v="0"/>
    <x v="13"/>
    <x v="9"/>
    <x v="17"/>
    <s v="SE1_IND"/>
    <x v="13"/>
    <n v="24.694747307373699"/>
    <n v="6.8596520298260204"/>
  </r>
  <r>
    <x v="0"/>
    <x v="13"/>
    <x v="9"/>
    <x v="17"/>
    <s v="SE1_IND"/>
    <x v="14"/>
    <n v="24.694747307373699"/>
    <n v="6.8596520298260204"/>
  </r>
  <r>
    <x v="0"/>
    <x v="13"/>
    <x v="9"/>
    <x v="17"/>
    <s v="SE1_IND"/>
    <x v="15"/>
    <n v="1.65807589063794"/>
    <n v="0.46057663628831802"/>
  </r>
  <r>
    <x v="0"/>
    <x v="13"/>
    <x v="9"/>
    <x v="17"/>
    <s v="SE1_IND"/>
    <x v="16"/>
    <n v="5.8520524559425198"/>
    <n v="1.6255701266507001"/>
  </r>
  <r>
    <x v="0"/>
    <x v="13"/>
    <x v="9"/>
    <x v="17"/>
    <s v="SE1_IND"/>
    <x v="17"/>
    <n v="9.1244895875632395"/>
    <n v="2.5345804409897901"/>
  </r>
  <r>
    <x v="0"/>
    <x v="13"/>
    <x v="9"/>
    <x v="17"/>
    <s v="SE1_IND"/>
    <x v="18"/>
    <n v="24.694747307373699"/>
    <n v="6.8596520298260204"/>
  </r>
  <r>
    <x v="0"/>
    <x v="13"/>
    <x v="9"/>
    <x v="17"/>
    <s v="SE1_IND"/>
    <x v="19"/>
    <n v="8.1139884009941898"/>
    <n v="2.2538856669428302"/>
  </r>
  <r>
    <x v="0"/>
    <x v="13"/>
    <x v="9"/>
    <x v="17"/>
    <s v="SE1_IND"/>
    <x v="20"/>
    <n v="20.3765303632313"/>
    <n v="5.6601473231197996"/>
  </r>
  <r>
    <x v="0"/>
    <x v="13"/>
    <x v="9"/>
    <x v="17"/>
    <s v="SE1_IND"/>
    <x v="21"/>
    <n v="48.384"/>
    <n v="13.44"/>
  </r>
  <r>
    <x v="0"/>
    <x v="13"/>
    <x v="9"/>
    <x v="17"/>
    <s v="SE1_IND"/>
    <x v="22"/>
    <n v="79.847999999999999"/>
    <n v="22.18"/>
  </r>
  <r>
    <x v="0"/>
    <x v="13"/>
    <x v="9"/>
    <x v="17"/>
    <s v="SE1_IND"/>
    <x v="23"/>
    <n v="0.31515896120488701"/>
    <n v="8.7544155890246306E-2"/>
  </r>
  <r>
    <x v="0"/>
    <x v="13"/>
    <x v="9"/>
    <x v="17"/>
    <s v="SE1_IND"/>
    <x v="24"/>
    <n v="19.174223581093901"/>
    <n v="5.32617321697054"/>
  </r>
  <r>
    <x v="0"/>
    <x v="13"/>
    <x v="9"/>
    <x v="17"/>
    <s v="SE1_IND"/>
    <x v="25"/>
    <n v="23.613931806316799"/>
    <n v="6.5594255017546796"/>
  </r>
  <r>
    <x v="0"/>
    <x v="13"/>
    <x v="9"/>
    <x v="17"/>
    <s v="SE1_IND"/>
    <x v="26"/>
    <n v="30.869217554900899"/>
    <n v="8.5747826541391401"/>
  </r>
  <r>
    <x v="0"/>
    <x v="13"/>
    <x v="9"/>
    <x v="17"/>
    <s v="SE1_IND"/>
    <x v="27"/>
    <n v="20.163995508318798"/>
    <n v="5.6011098634218799"/>
  </r>
  <r>
    <x v="0"/>
    <x v="13"/>
    <x v="9"/>
    <x v="17"/>
    <s v="SE1_Offshore"/>
    <x v="1"/>
    <n v="35.989199999999997"/>
    <n v="9.9969999999999999"/>
  </r>
  <r>
    <x v="0"/>
    <x v="13"/>
    <x v="9"/>
    <x v="17"/>
    <s v="SE1_Offshore"/>
    <x v="2"/>
    <n v="48.384"/>
    <n v="13.44"/>
  </r>
  <r>
    <x v="0"/>
    <x v="13"/>
    <x v="9"/>
    <x v="17"/>
    <s v="SE1_Offshore"/>
    <x v="0"/>
    <n v="42.692399999999999"/>
    <n v="11.859"/>
  </r>
  <r>
    <x v="0"/>
    <x v="13"/>
    <x v="9"/>
    <x v="17"/>
    <s v="SE1_Offshore"/>
    <x v="3"/>
    <n v="51.633543144067197"/>
    <n v="14.342650873352"/>
  </r>
  <r>
    <x v="0"/>
    <x v="13"/>
    <x v="9"/>
    <x v="17"/>
    <s v="SE1_Offshore"/>
    <x v="4"/>
    <n v="7.4084241922120802"/>
    <n v="2.0578956089478"/>
  </r>
  <r>
    <x v="0"/>
    <x v="13"/>
    <x v="9"/>
    <x v="17"/>
    <s v="SE1_Offshore"/>
    <x v="5"/>
    <n v="7.4084241922120802"/>
    <n v="2.0578956089478"/>
  </r>
  <r>
    <x v="0"/>
    <x v="13"/>
    <x v="9"/>
    <x v="17"/>
    <s v="SE1_Offshore"/>
    <x v="6"/>
    <n v="29.476231795214598"/>
    <n v="8.1878421653373898"/>
  </r>
  <r>
    <x v="0"/>
    <x v="13"/>
    <x v="9"/>
    <x v="17"/>
    <s v="SE1_Offshore"/>
    <x v="7"/>
    <n v="57.838935220261199"/>
    <n v="16.066370894517"/>
  </r>
  <r>
    <x v="0"/>
    <x v="13"/>
    <x v="9"/>
    <x v="17"/>
    <s v="SE1_Offshore"/>
    <x v="8"/>
    <n v="57.838935220261199"/>
    <n v="16.066370894517"/>
  </r>
  <r>
    <x v="0"/>
    <x v="13"/>
    <x v="9"/>
    <x v="17"/>
    <s v="SE1_Offshore"/>
    <x v="9"/>
    <n v="44.803327257663497"/>
    <n v="12.4453686826843"/>
  </r>
  <r>
    <x v="0"/>
    <x v="13"/>
    <x v="9"/>
    <x v="17"/>
    <s v="SE1_Offshore"/>
    <x v="10"/>
    <n v="54.681226180612903"/>
    <n v="15.1892294946147"/>
  </r>
  <r>
    <x v="0"/>
    <x v="13"/>
    <x v="9"/>
    <x v="17"/>
    <s v="SE1_Offshore"/>
    <x v="11"/>
    <n v="3.8806031483015802"/>
    <n v="1.07794531897266"/>
  </r>
  <r>
    <x v="0"/>
    <x v="13"/>
    <x v="9"/>
    <x v="17"/>
    <s v="SE1_Offshore"/>
    <x v="12"/>
    <n v="9.7995028997514597E-2"/>
    <n v="2.72208413881985E-2"/>
  </r>
  <r>
    <x v="0"/>
    <x v="13"/>
    <x v="9"/>
    <x v="17"/>
    <s v="SE1_Offshore"/>
    <x v="13"/>
    <n v="24.694747307373699"/>
    <n v="6.8596520298260204"/>
  </r>
  <r>
    <x v="0"/>
    <x v="13"/>
    <x v="9"/>
    <x v="17"/>
    <s v="SE1_Offshore"/>
    <x v="14"/>
    <n v="24.694747307373699"/>
    <n v="6.8596520298260204"/>
  </r>
  <r>
    <x v="0"/>
    <x v="13"/>
    <x v="9"/>
    <x v="17"/>
    <s v="SE1_Offshore"/>
    <x v="15"/>
    <n v="1.65807589063794"/>
    <n v="0.46057663628831802"/>
  </r>
  <r>
    <x v="0"/>
    <x v="13"/>
    <x v="9"/>
    <x v="17"/>
    <s v="SE1_Offshore"/>
    <x v="16"/>
    <n v="5.8520524559425198"/>
    <n v="1.6255701266507001"/>
  </r>
  <r>
    <x v="0"/>
    <x v="13"/>
    <x v="9"/>
    <x v="17"/>
    <s v="SE1_Offshore"/>
    <x v="17"/>
    <n v="9.1244895875632395"/>
    <n v="2.5345804409897901"/>
  </r>
  <r>
    <x v="0"/>
    <x v="13"/>
    <x v="9"/>
    <x v="17"/>
    <s v="SE1_Offshore"/>
    <x v="18"/>
    <n v="24.694747307373699"/>
    <n v="6.8596520298260204"/>
  </r>
  <r>
    <x v="0"/>
    <x v="13"/>
    <x v="9"/>
    <x v="17"/>
    <s v="SE1_Offshore"/>
    <x v="19"/>
    <n v="8.1139884009941898"/>
    <n v="2.2538856669428302"/>
  </r>
  <r>
    <x v="0"/>
    <x v="13"/>
    <x v="9"/>
    <x v="17"/>
    <s v="SE1_Offshore"/>
    <x v="20"/>
    <n v="20.3765303632313"/>
    <n v="5.6601473231197996"/>
  </r>
  <r>
    <x v="0"/>
    <x v="13"/>
    <x v="9"/>
    <x v="17"/>
    <s v="SE1_Offshore"/>
    <x v="21"/>
    <n v="48.384"/>
    <n v="13.44"/>
  </r>
  <r>
    <x v="0"/>
    <x v="13"/>
    <x v="9"/>
    <x v="17"/>
    <s v="SE1_Offshore"/>
    <x v="22"/>
    <n v="79.847999999999999"/>
    <n v="22.18"/>
  </r>
  <r>
    <x v="0"/>
    <x v="13"/>
    <x v="9"/>
    <x v="17"/>
    <s v="SE1_Offshore"/>
    <x v="23"/>
    <n v="0.31515896120488701"/>
    <n v="8.7544155890246306E-2"/>
  </r>
  <r>
    <x v="0"/>
    <x v="13"/>
    <x v="9"/>
    <x v="17"/>
    <s v="SE1_Offshore"/>
    <x v="24"/>
    <n v="19.174223581093901"/>
    <n v="5.32617321697054"/>
  </r>
  <r>
    <x v="0"/>
    <x v="13"/>
    <x v="9"/>
    <x v="17"/>
    <s v="SE1_Offshore"/>
    <x v="25"/>
    <n v="23.613931806316799"/>
    <n v="6.5594255017546796"/>
  </r>
  <r>
    <x v="0"/>
    <x v="13"/>
    <x v="9"/>
    <x v="17"/>
    <s v="SE1_Offshore"/>
    <x v="26"/>
    <n v="30.869217554900899"/>
    <n v="8.5747826541391401"/>
  </r>
  <r>
    <x v="0"/>
    <x v="13"/>
    <x v="9"/>
    <x v="17"/>
    <s v="SE1_Offshore"/>
    <x v="27"/>
    <n v="20.163995508318798"/>
    <n v="5.6011098634218799"/>
  </r>
  <r>
    <x v="0"/>
    <x v="13"/>
    <x v="9"/>
    <x v="17"/>
    <s v="SE1_medium"/>
    <x v="1"/>
    <n v="35.989199999999997"/>
    <n v="9.9969999999999999"/>
  </r>
  <r>
    <x v="0"/>
    <x v="13"/>
    <x v="9"/>
    <x v="17"/>
    <s v="SE1_medium"/>
    <x v="2"/>
    <n v="48.384"/>
    <n v="13.44"/>
  </r>
  <r>
    <x v="0"/>
    <x v="13"/>
    <x v="9"/>
    <x v="17"/>
    <s v="SE1_medium"/>
    <x v="0"/>
    <n v="42.692399999999999"/>
    <n v="11.859"/>
  </r>
  <r>
    <x v="0"/>
    <x v="13"/>
    <x v="9"/>
    <x v="17"/>
    <s v="SE1_medium"/>
    <x v="3"/>
    <n v="51.633543144067197"/>
    <n v="14.342650873352"/>
  </r>
  <r>
    <x v="0"/>
    <x v="13"/>
    <x v="9"/>
    <x v="17"/>
    <s v="SE1_medium"/>
    <x v="4"/>
    <n v="7.4084241922120802"/>
    <n v="2.0578956089478"/>
  </r>
  <r>
    <x v="0"/>
    <x v="13"/>
    <x v="9"/>
    <x v="17"/>
    <s v="SE1_medium"/>
    <x v="5"/>
    <n v="7.4084241922120802"/>
    <n v="2.0578956089478"/>
  </r>
  <r>
    <x v="0"/>
    <x v="13"/>
    <x v="9"/>
    <x v="17"/>
    <s v="SE1_medium"/>
    <x v="6"/>
    <n v="29.476231795214598"/>
    <n v="8.1878421653373898"/>
  </r>
  <r>
    <x v="0"/>
    <x v="13"/>
    <x v="9"/>
    <x v="17"/>
    <s v="SE1_medium"/>
    <x v="7"/>
    <n v="57.838935220261199"/>
    <n v="16.066370894517"/>
  </r>
  <r>
    <x v="0"/>
    <x v="13"/>
    <x v="9"/>
    <x v="17"/>
    <s v="SE1_medium"/>
    <x v="8"/>
    <n v="57.838935220261199"/>
    <n v="16.066370894517"/>
  </r>
  <r>
    <x v="0"/>
    <x v="13"/>
    <x v="9"/>
    <x v="17"/>
    <s v="SE1_medium"/>
    <x v="9"/>
    <n v="44.803327257663497"/>
    <n v="12.4453686826843"/>
  </r>
  <r>
    <x v="0"/>
    <x v="13"/>
    <x v="9"/>
    <x v="17"/>
    <s v="SE1_medium"/>
    <x v="10"/>
    <n v="54.681226180612903"/>
    <n v="15.1892294946147"/>
  </r>
  <r>
    <x v="0"/>
    <x v="13"/>
    <x v="9"/>
    <x v="17"/>
    <s v="SE1_medium"/>
    <x v="11"/>
    <n v="3.8806031483015802"/>
    <n v="1.07794531897266"/>
  </r>
  <r>
    <x v="0"/>
    <x v="13"/>
    <x v="9"/>
    <x v="17"/>
    <s v="SE1_medium"/>
    <x v="12"/>
    <n v="9.7995028997514597E-2"/>
    <n v="2.72208413881985E-2"/>
  </r>
  <r>
    <x v="0"/>
    <x v="13"/>
    <x v="9"/>
    <x v="17"/>
    <s v="SE1_medium"/>
    <x v="13"/>
    <n v="24.694747307373699"/>
    <n v="6.8596520298260204"/>
  </r>
  <r>
    <x v="0"/>
    <x v="13"/>
    <x v="9"/>
    <x v="17"/>
    <s v="SE1_medium"/>
    <x v="14"/>
    <n v="24.694747307373699"/>
    <n v="6.8596520298260204"/>
  </r>
  <r>
    <x v="0"/>
    <x v="13"/>
    <x v="9"/>
    <x v="17"/>
    <s v="SE1_medium"/>
    <x v="15"/>
    <n v="1.65807589063794"/>
    <n v="0.46057663628831802"/>
  </r>
  <r>
    <x v="0"/>
    <x v="13"/>
    <x v="9"/>
    <x v="17"/>
    <s v="SE1_medium"/>
    <x v="16"/>
    <n v="5.8520524559425198"/>
    <n v="1.6255701266507001"/>
  </r>
  <r>
    <x v="0"/>
    <x v="13"/>
    <x v="9"/>
    <x v="17"/>
    <s v="SE1_medium"/>
    <x v="17"/>
    <n v="9.1244895875632395"/>
    <n v="2.5345804409897901"/>
  </r>
  <r>
    <x v="0"/>
    <x v="13"/>
    <x v="9"/>
    <x v="17"/>
    <s v="SE1_medium"/>
    <x v="18"/>
    <n v="24.694747307373699"/>
    <n v="6.8596520298260204"/>
  </r>
  <r>
    <x v="0"/>
    <x v="13"/>
    <x v="9"/>
    <x v="17"/>
    <s v="SE1_medium"/>
    <x v="19"/>
    <n v="8.1139884009941898"/>
    <n v="2.2538856669428302"/>
  </r>
  <r>
    <x v="0"/>
    <x v="13"/>
    <x v="9"/>
    <x v="17"/>
    <s v="SE1_medium"/>
    <x v="20"/>
    <n v="20.3765303632313"/>
    <n v="5.6601473231197996"/>
  </r>
  <r>
    <x v="0"/>
    <x v="13"/>
    <x v="9"/>
    <x v="17"/>
    <s v="SE1_medium"/>
    <x v="21"/>
    <n v="48.384"/>
    <n v="13.44"/>
  </r>
  <r>
    <x v="0"/>
    <x v="13"/>
    <x v="9"/>
    <x v="17"/>
    <s v="SE1_medium"/>
    <x v="22"/>
    <n v="79.847999999999999"/>
    <n v="22.18"/>
  </r>
  <r>
    <x v="0"/>
    <x v="13"/>
    <x v="9"/>
    <x v="17"/>
    <s v="SE1_medium"/>
    <x v="23"/>
    <n v="0.31515896120488701"/>
    <n v="8.7544155890246306E-2"/>
  </r>
  <r>
    <x v="0"/>
    <x v="13"/>
    <x v="9"/>
    <x v="17"/>
    <s v="SE1_medium"/>
    <x v="24"/>
    <n v="19.174223581093901"/>
    <n v="5.32617321697054"/>
  </r>
  <r>
    <x v="0"/>
    <x v="13"/>
    <x v="9"/>
    <x v="17"/>
    <s v="SE1_medium"/>
    <x v="25"/>
    <n v="23.613931806316799"/>
    <n v="6.5594255017546796"/>
  </r>
  <r>
    <x v="0"/>
    <x v="13"/>
    <x v="9"/>
    <x v="17"/>
    <s v="SE1_medium"/>
    <x v="26"/>
    <n v="30.869217554900899"/>
    <n v="8.5747826541391401"/>
  </r>
  <r>
    <x v="0"/>
    <x v="13"/>
    <x v="9"/>
    <x v="17"/>
    <s v="SE1_medium"/>
    <x v="27"/>
    <n v="20.163995508318798"/>
    <n v="5.6011098634218799"/>
  </r>
  <r>
    <x v="0"/>
    <x v="13"/>
    <x v="9"/>
    <x v="17"/>
    <s v="SE1_small"/>
    <x v="1"/>
    <n v="35.989199999999997"/>
    <n v="9.9969999999999999"/>
  </r>
  <r>
    <x v="0"/>
    <x v="13"/>
    <x v="9"/>
    <x v="17"/>
    <s v="SE1_small"/>
    <x v="2"/>
    <n v="48.384"/>
    <n v="13.44"/>
  </r>
  <r>
    <x v="0"/>
    <x v="13"/>
    <x v="9"/>
    <x v="17"/>
    <s v="SE1_small"/>
    <x v="0"/>
    <n v="42.692399999999999"/>
    <n v="11.859"/>
  </r>
  <r>
    <x v="0"/>
    <x v="13"/>
    <x v="9"/>
    <x v="17"/>
    <s v="SE1_small"/>
    <x v="3"/>
    <n v="51.633543144067197"/>
    <n v="14.342650873352"/>
  </r>
  <r>
    <x v="0"/>
    <x v="13"/>
    <x v="9"/>
    <x v="17"/>
    <s v="SE1_small"/>
    <x v="4"/>
    <n v="7.4084241922120802"/>
    <n v="2.0578956089478"/>
  </r>
  <r>
    <x v="0"/>
    <x v="13"/>
    <x v="9"/>
    <x v="17"/>
    <s v="SE1_small"/>
    <x v="5"/>
    <n v="7.4084241922120802"/>
    <n v="2.0578956089478"/>
  </r>
  <r>
    <x v="0"/>
    <x v="13"/>
    <x v="9"/>
    <x v="17"/>
    <s v="SE1_small"/>
    <x v="6"/>
    <n v="29.476231795214598"/>
    <n v="8.1878421653373898"/>
  </r>
  <r>
    <x v="0"/>
    <x v="13"/>
    <x v="9"/>
    <x v="17"/>
    <s v="SE1_small"/>
    <x v="7"/>
    <n v="57.838935220261199"/>
    <n v="16.066370894517"/>
  </r>
  <r>
    <x v="0"/>
    <x v="13"/>
    <x v="9"/>
    <x v="17"/>
    <s v="SE1_small"/>
    <x v="8"/>
    <n v="57.838935220261199"/>
    <n v="16.066370894517"/>
  </r>
  <r>
    <x v="0"/>
    <x v="13"/>
    <x v="9"/>
    <x v="17"/>
    <s v="SE1_small"/>
    <x v="9"/>
    <n v="44.803327257663497"/>
    <n v="12.4453686826843"/>
  </r>
  <r>
    <x v="0"/>
    <x v="13"/>
    <x v="9"/>
    <x v="17"/>
    <s v="SE1_small"/>
    <x v="10"/>
    <n v="54.681226180612903"/>
    <n v="15.1892294946147"/>
  </r>
  <r>
    <x v="0"/>
    <x v="13"/>
    <x v="9"/>
    <x v="17"/>
    <s v="SE1_small"/>
    <x v="11"/>
    <n v="3.8806031483015802"/>
    <n v="1.07794531897266"/>
  </r>
  <r>
    <x v="0"/>
    <x v="13"/>
    <x v="9"/>
    <x v="17"/>
    <s v="SE1_small"/>
    <x v="12"/>
    <n v="9.7995028997514597E-2"/>
    <n v="2.72208413881985E-2"/>
  </r>
  <r>
    <x v="0"/>
    <x v="13"/>
    <x v="9"/>
    <x v="17"/>
    <s v="SE1_small"/>
    <x v="13"/>
    <n v="24.694747307373699"/>
    <n v="6.8596520298260204"/>
  </r>
  <r>
    <x v="0"/>
    <x v="13"/>
    <x v="9"/>
    <x v="17"/>
    <s v="SE1_small"/>
    <x v="14"/>
    <n v="24.694747307373699"/>
    <n v="6.8596520298260204"/>
  </r>
  <r>
    <x v="0"/>
    <x v="13"/>
    <x v="9"/>
    <x v="17"/>
    <s v="SE1_small"/>
    <x v="15"/>
    <n v="1.65807589063794"/>
    <n v="0.46057663628831802"/>
  </r>
  <r>
    <x v="0"/>
    <x v="13"/>
    <x v="9"/>
    <x v="17"/>
    <s v="SE1_small"/>
    <x v="16"/>
    <n v="5.8520524559425198"/>
    <n v="1.6255701266507001"/>
  </r>
  <r>
    <x v="0"/>
    <x v="13"/>
    <x v="9"/>
    <x v="17"/>
    <s v="SE1_small"/>
    <x v="17"/>
    <n v="9.1244895875632395"/>
    <n v="2.5345804409897901"/>
  </r>
  <r>
    <x v="0"/>
    <x v="13"/>
    <x v="9"/>
    <x v="17"/>
    <s v="SE1_small"/>
    <x v="18"/>
    <n v="24.694747307373699"/>
    <n v="6.8596520298260204"/>
  </r>
  <r>
    <x v="0"/>
    <x v="13"/>
    <x v="9"/>
    <x v="17"/>
    <s v="SE1_small"/>
    <x v="19"/>
    <n v="8.1139884009941898"/>
    <n v="2.2538856669428302"/>
  </r>
  <r>
    <x v="0"/>
    <x v="13"/>
    <x v="9"/>
    <x v="17"/>
    <s v="SE1_small"/>
    <x v="20"/>
    <n v="20.3765303632313"/>
    <n v="5.6601473231197996"/>
  </r>
  <r>
    <x v="0"/>
    <x v="13"/>
    <x v="9"/>
    <x v="17"/>
    <s v="SE1_small"/>
    <x v="21"/>
    <n v="48.384"/>
    <n v="13.44"/>
  </r>
  <r>
    <x v="0"/>
    <x v="13"/>
    <x v="9"/>
    <x v="17"/>
    <s v="SE1_small"/>
    <x v="22"/>
    <n v="79.847999999999999"/>
    <n v="22.18"/>
  </r>
  <r>
    <x v="0"/>
    <x v="13"/>
    <x v="9"/>
    <x v="17"/>
    <s v="SE1_small"/>
    <x v="23"/>
    <n v="0.31515896120488701"/>
    <n v="8.7544155890246306E-2"/>
  </r>
  <r>
    <x v="0"/>
    <x v="13"/>
    <x v="9"/>
    <x v="17"/>
    <s v="SE1_small"/>
    <x v="24"/>
    <n v="19.174223581093901"/>
    <n v="5.32617321697054"/>
  </r>
  <r>
    <x v="0"/>
    <x v="13"/>
    <x v="9"/>
    <x v="17"/>
    <s v="SE1_small"/>
    <x v="25"/>
    <n v="23.613931806316799"/>
    <n v="6.5594255017546796"/>
  </r>
  <r>
    <x v="0"/>
    <x v="13"/>
    <x v="9"/>
    <x v="17"/>
    <s v="SE1_small"/>
    <x v="26"/>
    <n v="30.869217554900899"/>
    <n v="8.5747826541391401"/>
  </r>
  <r>
    <x v="0"/>
    <x v="13"/>
    <x v="9"/>
    <x v="17"/>
    <s v="SE1_small"/>
    <x v="27"/>
    <n v="20.163995508318798"/>
    <n v="5.6011098634218799"/>
  </r>
  <r>
    <x v="0"/>
    <x v="13"/>
    <x v="9"/>
    <x v="18"/>
    <s v="SE2A"/>
    <x v="1"/>
    <n v="35.989199999999997"/>
    <n v="9.9969999999999999"/>
  </r>
  <r>
    <x v="0"/>
    <x v="13"/>
    <x v="9"/>
    <x v="18"/>
    <s v="SE2A"/>
    <x v="2"/>
    <n v="48.384"/>
    <n v="13.44"/>
  </r>
  <r>
    <x v="0"/>
    <x v="13"/>
    <x v="9"/>
    <x v="18"/>
    <s v="SE2A"/>
    <x v="0"/>
    <n v="42.692399999999999"/>
    <n v="11.859"/>
  </r>
  <r>
    <x v="0"/>
    <x v="13"/>
    <x v="9"/>
    <x v="18"/>
    <s v="SE2A"/>
    <x v="3"/>
    <n v="51.633543144067197"/>
    <n v="14.342650873352"/>
  </r>
  <r>
    <x v="0"/>
    <x v="13"/>
    <x v="9"/>
    <x v="18"/>
    <s v="SE2A"/>
    <x v="4"/>
    <n v="7.4084241922120802"/>
    <n v="2.0578956089478"/>
  </r>
  <r>
    <x v="0"/>
    <x v="13"/>
    <x v="9"/>
    <x v="18"/>
    <s v="SE2A"/>
    <x v="5"/>
    <n v="7.4084241922120802"/>
    <n v="2.0578956089478"/>
  </r>
  <r>
    <x v="0"/>
    <x v="13"/>
    <x v="9"/>
    <x v="18"/>
    <s v="SE2A"/>
    <x v="6"/>
    <n v="29.476231795214598"/>
    <n v="8.1878421653373898"/>
  </r>
  <r>
    <x v="0"/>
    <x v="13"/>
    <x v="9"/>
    <x v="18"/>
    <s v="SE2A"/>
    <x v="7"/>
    <n v="57.838935220261199"/>
    <n v="16.066370894517"/>
  </r>
  <r>
    <x v="0"/>
    <x v="13"/>
    <x v="9"/>
    <x v="18"/>
    <s v="SE2A"/>
    <x v="8"/>
    <n v="57.838935220261199"/>
    <n v="16.066370894517"/>
  </r>
  <r>
    <x v="0"/>
    <x v="13"/>
    <x v="9"/>
    <x v="18"/>
    <s v="SE2A"/>
    <x v="9"/>
    <n v="44.803327257663497"/>
    <n v="12.4453686826843"/>
  </r>
  <r>
    <x v="0"/>
    <x v="13"/>
    <x v="9"/>
    <x v="18"/>
    <s v="SE2A"/>
    <x v="10"/>
    <n v="54.681226180612903"/>
    <n v="15.1892294946147"/>
  </r>
  <r>
    <x v="0"/>
    <x v="13"/>
    <x v="9"/>
    <x v="18"/>
    <s v="SE2A"/>
    <x v="11"/>
    <n v="3.8806031483015802"/>
    <n v="1.07794531897266"/>
  </r>
  <r>
    <x v="0"/>
    <x v="13"/>
    <x v="9"/>
    <x v="18"/>
    <s v="SE2A"/>
    <x v="12"/>
    <n v="9.7995028997514597E-2"/>
    <n v="2.72208413881985E-2"/>
  </r>
  <r>
    <x v="0"/>
    <x v="13"/>
    <x v="9"/>
    <x v="18"/>
    <s v="SE2A"/>
    <x v="13"/>
    <n v="24.694747307373699"/>
    <n v="6.8596520298260204"/>
  </r>
  <r>
    <x v="0"/>
    <x v="13"/>
    <x v="9"/>
    <x v="18"/>
    <s v="SE2A"/>
    <x v="14"/>
    <n v="24.694747307373699"/>
    <n v="6.8596520298260204"/>
  </r>
  <r>
    <x v="0"/>
    <x v="13"/>
    <x v="9"/>
    <x v="18"/>
    <s v="SE2A"/>
    <x v="15"/>
    <n v="1.65807589063794"/>
    <n v="0.46057663628831802"/>
  </r>
  <r>
    <x v="0"/>
    <x v="13"/>
    <x v="9"/>
    <x v="18"/>
    <s v="SE2A"/>
    <x v="16"/>
    <n v="5.8520524559425198"/>
    <n v="1.6255701266507001"/>
  </r>
  <r>
    <x v="0"/>
    <x v="13"/>
    <x v="9"/>
    <x v="18"/>
    <s v="SE2A"/>
    <x v="17"/>
    <n v="9.1244895875632395"/>
    <n v="2.5345804409897901"/>
  </r>
  <r>
    <x v="0"/>
    <x v="13"/>
    <x v="9"/>
    <x v="18"/>
    <s v="SE2A"/>
    <x v="18"/>
    <n v="24.694747307373699"/>
    <n v="6.8596520298260204"/>
  </r>
  <r>
    <x v="0"/>
    <x v="13"/>
    <x v="9"/>
    <x v="18"/>
    <s v="SE2A"/>
    <x v="19"/>
    <n v="8.1139884009941898"/>
    <n v="2.2538856669428302"/>
  </r>
  <r>
    <x v="0"/>
    <x v="13"/>
    <x v="9"/>
    <x v="18"/>
    <s v="SE2A"/>
    <x v="20"/>
    <n v="20.3765303632313"/>
    <n v="5.6601473231197996"/>
  </r>
  <r>
    <x v="0"/>
    <x v="13"/>
    <x v="9"/>
    <x v="18"/>
    <s v="SE2A"/>
    <x v="21"/>
    <n v="48.384"/>
    <n v="13.44"/>
  </r>
  <r>
    <x v="0"/>
    <x v="13"/>
    <x v="9"/>
    <x v="18"/>
    <s v="SE2A"/>
    <x v="22"/>
    <n v="79.847999999999999"/>
    <n v="22.18"/>
  </r>
  <r>
    <x v="0"/>
    <x v="13"/>
    <x v="9"/>
    <x v="18"/>
    <s v="SE2A"/>
    <x v="23"/>
    <n v="0.31515896120488701"/>
    <n v="8.7544155890246306E-2"/>
  </r>
  <r>
    <x v="0"/>
    <x v="13"/>
    <x v="9"/>
    <x v="18"/>
    <s v="SE2A"/>
    <x v="24"/>
    <n v="19.174223581093901"/>
    <n v="5.32617321697054"/>
  </r>
  <r>
    <x v="0"/>
    <x v="13"/>
    <x v="9"/>
    <x v="18"/>
    <s v="SE2A"/>
    <x v="25"/>
    <n v="23.613931806316799"/>
    <n v="6.5594255017546796"/>
  </r>
  <r>
    <x v="0"/>
    <x v="13"/>
    <x v="9"/>
    <x v="18"/>
    <s v="SE2A"/>
    <x v="26"/>
    <n v="30.869217554900899"/>
    <n v="8.5747826541391401"/>
  </r>
  <r>
    <x v="0"/>
    <x v="13"/>
    <x v="9"/>
    <x v="18"/>
    <s v="SE2A"/>
    <x v="27"/>
    <n v="20.163995508318798"/>
    <n v="5.6011098634218799"/>
  </r>
  <r>
    <x v="0"/>
    <x v="13"/>
    <x v="9"/>
    <x v="18"/>
    <s v="SE2_IND"/>
    <x v="1"/>
    <n v="35.989199999999997"/>
    <n v="9.9969999999999999"/>
  </r>
  <r>
    <x v="0"/>
    <x v="13"/>
    <x v="9"/>
    <x v="18"/>
    <s v="SE2_IND"/>
    <x v="2"/>
    <n v="48.384"/>
    <n v="13.44"/>
  </r>
  <r>
    <x v="0"/>
    <x v="13"/>
    <x v="9"/>
    <x v="18"/>
    <s v="SE2_IND"/>
    <x v="0"/>
    <n v="42.692399999999999"/>
    <n v="11.859"/>
  </r>
  <r>
    <x v="0"/>
    <x v="13"/>
    <x v="9"/>
    <x v="18"/>
    <s v="SE2_IND"/>
    <x v="3"/>
    <n v="51.633543144067197"/>
    <n v="14.342650873352"/>
  </r>
  <r>
    <x v="0"/>
    <x v="13"/>
    <x v="9"/>
    <x v="18"/>
    <s v="SE2_IND"/>
    <x v="4"/>
    <n v="7.4084241922120802"/>
    <n v="2.0578956089478"/>
  </r>
  <r>
    <x v="0"/>
    <x v="13"/>
    <x v="9"/>
    <x v="18"/>
    <s v="SE2_IND"/>
    <x v="5"/>
    <n v="7.4084241922120802"/>
    <n v="2.0578956089478"/>
  </r>
  <r>
    <x v="0"/>
    <x v="13"/>
    <x v="9"/>
    <x v="18"/>
    <s v="SE2_IND"/>
    <x v="6"/>
    <n v="29.476231795214598"/>
    <n v="8.1878421653373898"/>
  </r>
  <r>
    <x v="0"/>
    <x v="13"/>
    <x v="9"/>
    <x v="18"/>
    <s v="SE2_IND"/>
    <x v="7"/>
    <n v="57.838935220261199"/>
    <n v="16.066370894517"/>
  </r>
  <r>
    <x v="0"/>
    <x v="13"/>
    <x v="9"/>
    <x v="18"/>
    <s v="SE2_IND"/>
    <x v="8"/>
    <n v="57.838935220261199"/>
    <n v="16.066370894517"/>
  </r>
  <r>
    <x v="0"/>
    <x v="13"/>
    <x v="9"/>
    <x v="18"/>
    <s v="SE2_IND"/>
    <x v="9"/>
    <n v="44.803327257663497"/>
    <n v="12.4453686826843"/>
  </r>
  <r>
    <x v="0"/>
    <x v="13"/>
    <x v="9"/>
    <x v="18"/>
    <s v="SE2_IND"/>
    <x v="10"/>
    <n v="54.681226180612903"/>
    <n v="15.1892294946147"/>
  </r>
  <r>
    <x v="0"/>
    <x v="13"/>
    <x v="9"/>
    <x v="18"/>
    <s v="SE2_IND"/>
    <x v="11"/>
    <n v="3.8806031483015802"/>
    <n v="1.07794531897266"/>
  </r>
  <r>
    <x v="0"/>
    <x v="13"/>
    <x v="9"/>
    <x v="18"/>
    <s v="SE2_IND"/>
    <x v="12"/>
    <n v="9.7995028997514597E-2"/>
    <n v="2.72208413881985E-2"/>
  </r>
  <r>
    <x v="0"/>
    <x v="13"/>
    <x v="9"/>
    <x v="18"/>
    <s v="SE2_IND"/>
    <x v="13"/>
    <n v="24.694747307373699"/>
    <n v="6.8596520298260204"/>
  </r>
  <r>
    <x v="0"/>
    <x v="13"/>
    <x v="9"/>
    <x v="18"/>
    <s v="SE2_IND"/>
    <x v="14"/>
    <n v="24.694747307373699"/>
    <n v="6.8596520298260204"/>
  </r>
  <r>
    <x v="0"/>
    <x v="13"/>
    <x v="9"/>
    <x v="18"/>
    <s v="SE2_IND"/>
    <x v="15"/>
    <n v="1.65807589063794"/>
    <n v="0.46057663628831802"/>
  </r>
  <r>
    <x v="0"/>
    <x v="13"/>
    <x v="9"/>
    <x v="18"/>
    <s v="SE2_IND"/>
    <x v="16"/>
    <n v="5.8520524559425198"/>
    <n v="1.6255701266507001"/>
  </r>
  <r>
    <x v="0"/>
    <x v="13"/>
    <x v="9"/>
    <x v="18"/>
    <s v="SE2_IND"/>
    <x v="17"/>
    <n v="9.1244895875632395"/>
    <n v="2.5345804409897901"/>
  </r>
  <r>
    <x v="0"/>
    <x v="13"/>
    <x v="9"/>
    <x v="18"/>
    <s v="SE2_IND"/>
    <x v="18"/>
    <n v="24.694747307373699"/>
    <n v="6.8596520298260204"/>
  </r>
  <r>
    <x v="0"/>
    <x v="13"/>
    <x v="9"/>
    <x v="18"/>
    <s v="SE2_IND"/>
    <x v="19"/>
    <n v="8.1139884009941898"/>
    <n v="2.2538856669428302"/>
  </r>
  <r>
    <x v="0"/>
    <x v="13"/>
    <x v="9"/>
    <x v="18"/>
    <s v="SE2_IND"/>
    <x v="20"/>
    <n v="20.3765303632313"/>
    <n v="5.6601473231197996"/>
  </r>
  <r>
    <x v="0"/>
    <x v="13"/>
    <x v="9"/>
    <x v="18"/>
    <s v="SE2_IND"/>
    <x v="21"/>
    <n v="48.384"/>
    <n v="13.44"/>
  </r>
  <r>
    <x v="0"/>
    <x v="13"/>
    <x v="9"/>
    <x v="18"/>
    <s v="SE2_IND"/>
    <x v="22"/>
    <n v="79.847999999999999"/>
    <n v="22.18"/>
  </r>
  <r>
    <x v="0"/>
    <x v="13"/>
    <x v="9"/>
    <x v="18"/>
    <s v="SE2_IND"/>
    <x v="23"/>
    <n v="0.31515896120488701"/>
    <n v="8.7544155890246306E-2"/>
  </r>
  <r>
    <x v="0"/>
    <x v="13"/>
    <x v="9"/>
    <x v="18"/>
    <s v="SE2_IND"/>
    <x v="24"/>
    <n v="19.174223581093901"/>
    <n v="5.32617321697054"/>
  </r>
  <r>
    <x v="0"/>
    <x v="13"/>
    <x v="9"/>
    <x v="18"/>
    <s v="SE2_IND"/>
    <x v="25"/>
    <n v="23.613931806316799"/>
    <n v="6.5594255017546796"/>
  </r>
  <r>
    <x v="0"/>
    <x v="13"/>
    <x v="9"/>
    <x v="18"/>
    <s v="SE2_IND"/>
    <x v="26"/>
    <n v="30.869217554900899"/>
    <n v="8.5747826541391401"/>
  </r>
  <r>
    <x v="0"/>
    <x v="13"/>
    <x v="9"/>
    <x v="18"/>
    <s v="SE2_IND"/>
    <x v="27"/>
    <n v="20.163995508318798"/>
    <n v="5.6011098634218799"/>
  </r>
  <r>
    <x v="0"/>
    <x v="13"/>
    <x v="9"/>
    <x v="18"/>
    <s v="SE2_Offshore"/>
    <x v="1"/>
    <n v="35.989199999999997"/>
    <n v="9.9969999999999999"/>
  </r>
  <r>
    <x v="0"/>
    <x v="13"/>
    <x v="9"/>
    <x v="18"/>
    <s v="SE2_Offshore"/>
    <x v="2"/>
    <n v="48.384"/>
    <n v="13.44"/>
  </r>
  <r>
    <x v="0"/>
    <x v="13"/>
    <x v="9"/>
    <x v="18"/>
    <s v="SE2_Offshore"/>
    <x v="0"/>
    <n v="42.692399999999999"/>
    <n v="11.859"/>
  </r>
  <r>
    <x v="0"/>
    <x v="13"/>
    <x v="9"/>
    <x v="18"/>
    <s v="SE2_Offshore"/>
    <x v="3"/>
    <n v="51.633543144067197"/>
    <n v="14.342650873352"/>
  </r>
  <r>
    <x v="0"/>
    <x v="13"/>
    <x v="9"/>
    <x v="18"/>
    <s v="SE2_Offshore"/>
    <x v="4"/>
    <n v="7.4084241922120802"/>
    <n v="2.0578956089478"/>
  </r>
  <r>
    <x v="0"/>
    <x v="13"/>
    <x v="9"/>
    <x v="18"/>
    <s v="SE2_Offshore"/>
    <x v="5"/>
    <n v="7.4084241922120802"/>
    <n v="2.0578956089478"/>
  </r>
  <r>
    <x v="0"/>
    <x v="13"/>
    <x v="9"/>
    <x v="18"/>
    <s v="SE2_Offshore"/>
    <x v="6"/>
    <n v="29.476231795214598"/>
    <n v="8.1878421653373898"/>
  </r>
  <r>
    <x v="0"/>
    <x v="13"/>
    <x v="9"/>
    <x v="18"/>
    <s v="SE2_Offshore"/>
    <x v="7"/>
    <n v="57.838935220261199"/>
    <n v="16.066370894517"/>
  </r>
  <r>
    <x v="0"/>
    <x v="13"/>
    <x v="9"/>
    <x v="18"/>
    <s v="SE2_Offshore"/>
    <x v="8"/>
    <n v="57.838935220261199"/>
    <n v="16.066370894517"/>
  </r>
  <r>
    <x v="0"/>
    <x v="13"/>
    <x v="9"/>
    <x v="18"/>
    <s v="SE2_Offshore"/>
    <x v="9"/>
    <n v="44.803327257663497"/>
    <n v="12.4453686826843"/>
  </r>
  <r>
    <x v="0"/>
    <x v="13"/>
    <x v="9"/>
    <x v="18"/>
    <s v="SE2_Offshore"/>
    <x v="10"/>
    <n v="54.681226180612903"/>
    <n v="15.1892294946147"/>
  </r>
  <r>
    <x v="0"/>
    <x v="13"/>
    <x v="9"/>
    <x v="18"/>
    <s v="SE2_Offshore"/>
    <x v="11"/>
    <n v="3.8806031483015802"/>
    <n v="1.07794531897266"/>
  </r>
  <r>
    <x v="0"/>
    <x v="13"/>
    <x v="9"/>
    <x v="18"/>
    <s v="SE2_Offshore"/>
    <x v="12"/>
    <n v="9.7995028997514597E-2"/>
    <n v="2.72208413881985E-2"/>
  </r>
  <r>
    <x v="0"/>
    <x v="13"/>
    <x v="9"/>
    <x v="18"/>
    <s v="SE2_Offshore"/>
    <x v="13"/>
    <n v="24.694747307373699"/>
    <n v="6.8596520298260204"/>
  </r>
  <r>
    <x v="0"/>
    <x v="13"/>
    <x v="9"/>
    <x v="18"/>
    <s v="SE2_Offshore"/>
    <x v="14"/>
    <n v="24.694747307373699"/>
    <n v="6.8596520298260204"/>
  </r>
  <r>
    <x v="0"/>
    <x v="13"/>
    <x v="9"/>
    <x v="18"/>
    <s v="SE2_Offshore"/>
    <x v="15"/>
    <n v="1.65807589063794"/>
    <n v="0.46057663628831802"/>
  </r>
  <r>
    <x v="0"/>
    <x v="13"/>
    <x v="9"/>
    <x v="18"/>
    <s v="SE2_Offshore"/>
    <x v="16"/>
    <n v="5.8520524559425198"/>
    <n v="1.6255701266507001"/>
  </r>
  <r>
    <x v="0"/>
    <x v="13"/>
    <x v="9"/>
    <x v="18"/>
    <s v="SE2_Offshore"/>
    <x v="17"/>
    <n v="9.1244895875632395"/>
    <n v="2.5345804409897901"/>
  </r>
  <r>
    <x v="0"/>
    <x v="13"/>
    <x v="9"/>
    <x v="18"/>
    <s v="SE2_Offshore"/>
    <x v="18"/>
    <n v="24.694747307373699"/>
    <n v="6.8596520298260204"/>
  </r>
  <r>
    <x v="0"/>
    <x v="13"/>
    <x v="9"/>
    <x v="18"/>
    <s v="SE2_Offshore"/>
    <x v="19"/>
    <n v="8.1139884009941898"/>
    <n v="2.2538856669428302"/>
  </r>
  <r>
    <x v="0"/>
    <x v="13"/>
    <x v="9"/>
    <x v="18"/>
    <s v="SE2_Offshore"/>
    <x v="20"/>
    <n v="20.3765303632313"/>
    <n v="5.6601473231197996"/>
  </r>
  <r>
    <x v="0"/>
    <x v="13"/>
    <x v="9"/>
    <x v="18"/>
    <s v="SE2_Offshore"/>
    <x v="21"/>
    <n v="48.384"/>
    <n v="13.44"/>
  </r>
  <r>
    <x v="0"/>
    <x v="13"/>
    <x v="9"/>
    <x v="18"/>
    <s v="SE2_Offshore"/>
    <x v="22"/>
    <n v="79.847999999999999"/>
    <n v="22.18"/>
  </r>
  <r>
    <x v="0"/>
    <x v="13"/>
    <x v="9"/>
    <x v="18"/>
    <s v="SE2_Offshore"/>
    <x v="23"/>
    <n v="0.31515896120488701"/>
    <n v="8.7544155890246306E-2"/>
  </r>
  <r>
    <x v="0"/>
    <x v="13"/>
    <x v="9"/>
    <x v="18"/>
    <s v="SE2_Offshore"/>
    <x v="24"/>
    <n v="19.174223581093901"/>
    <n v="5.32617321697054"/>
  </r>
  <r>
    <x v="0"/>
    <x v="13"/>
    <x v="9"/>
    <x v="18"/>
    <s v="SE2_Offshore"/>
    <x v="25"/>
    <n v="23.613931806316799"/>
    <n v="6.5594255017546796"/>
  </r>
  <r>
    <x v="0"/>
    <x v="13"/>
    <x v="9"/>
    <x v="18"/>
    <s v="SE2_Offshore"/>
    <x v="26"/>
    <n v="30.869217554900899"/>
    <n v="8.5747826541391401"/>
  </r>
  <r>
    <x v="0"/>
    <x v="13"/>
    <x v="9"/>
    <x v="18"/>
    <s v="SE2_Offshore"/>
    <x v="27"/>
    <n v="20.163995508318798"/>
    <n v="5.6011098634218799"/>
  </r>
  <r>
    <x v="0"/>
    <x v="13"/>
    <x v="9"/>
    <x v="18"/>
    <s v="SE2_medium"/>
    <x v="1"/>
    <n v="35.989199999999997"/>
    <n v="9.9969999999999999"/>
  </r>
  <r>
    <x v="0"/>
    <x v="13"/>
    <x v="9"/>
    <x v="18"/>
    <s v="SE2_medium"/>
    <x v="2"/>
    <n v="48.384"/>
    <n v="13.44"/>
  </r>
  <r>
    <x v="0"/>
    <x v="13"/>
    <x v="9"/>
    <x v="18"/>
    <s v="SE2_medium"/>
    <x v="0"/>
    <n v="42.692399999999999"/>
    <n v="11.859"/>
  </r>
  <r>
    <x v="0"/>
    <x v="13"/>
    <x v="9"/>
    <x v="18"/>
    <s v="SE2_medium"/>
    <x v="3"/>
    <n v="51.633543144067197"/>
    <n v="14.342650873352"/>
  </r>
  <r>
    <x v="0"/>
    <x v="13"/>
    <x v="9"/>
    <x v="18"/>
    <s v="SE2_medium"/>
    <x v="4"/>
    <n v="7.4084241922120802"/>
    <n v="2.0578956089478"/>
  </r>
  <r>
    <x v="0"/>
    <x v="13"/>
    <x v="9"/>
    <x v="18"/>
    <s v="SE2_medium"/>
    <x v="5"/>
    <n v="7.4084241922120802"/>
    <n v="2.0578956089478"/>
  </r>
  <r>
    <x v="0"/>
    <x v="13"/>
    <x v="9"/>
    <x v="18"/>
    <s v="SE2_medium"/>
    <x v="6"/>
    <n v="29.476231795214598"/>
    <n v="8.1878421653373898"/>
  </r>
  <r>
    <x v="0"/>
    <x v="13"/>
    <x v="9"/>
    <x v="18"/>
    <s v="SE2_medium"/>
    <x v="7"/>
    <n v="57.838935220261199"/>
    <n v="16.066370894517"/>
  </r>
  <r>
    <x v="0"/>
    <x v="13"/>
    <x v="9"/>
    <x v="18"/>
    <s v="SE2_medium"/>
    <x v="8"/>
    <n v="57.838935220261199"/>
    <n v="16.066370894517"/>
  </r>
  <r>
    <x v="0"/>
    <x v="13"/>
    <x v="9"/>
    <x v="18"/>
    <s v="SE2_medium"/>
    <x v="9"/>
    <n v="44.803327257663497"/>
    <n v="12.4453686826843"/>
  </r>
  <r>
    <x v="0"/>
    <x v="13"/>
    <x v="9"/>
    <x v="18"/>
    <s v="SE2_medium"/>
    <x v="10"/>
    <n v="54.681226180612903"/>
    <n v="15.1892294946147"/>
  </r>
  <r>
    <x v="0"/>
    <x v="13"/>
    <x v="9"/>
    <x v="18"/>
    <s v="SE2_medium"/>
    <x v="11"/>
    <n v="3.8806031483015802"/>
    <n v="1.07794531897266"/>
  </r>
  <r>
    <x v="0"/>
    <x v="13"/>
    <x v="9"/>
    <x v="18"/>
    <s v="SE2_medium"/>
    <x v="12"/>
    <n v="9.7995028997514597E-2"/>
    <n v="2.72208413881985E-2"/>
  </r>
  <r>
    <x v="0"/>
    <x v="13"/>
    <x v="9"/>
    <x v="18"/>
    <s v="SE2_medium"/>
    <x v="13"/>
    <n v="24.694747307373699"/>
    <n v="6.8596520298260204"/>
  </r>
  <r>
    <x v="0"/>
    <x v="13"/>
    <x v="9"/>
    <x v="18"/>
    <s v="SE2_medium"/>
    <x v="14"/>
    <n v="24.694747307373699"/>
    <n v="6.8596520298260204"/>
  </r>
  <r>
    <x v="0"/>
    <x v="13"/>
    <x v="9"/>
    <x v="18"/>
    <s v="SE2_medium"/>
    <x v="15"/>
    <n v="1.65807589063794"/>
    <n v="0.46057663628831802"/>
  </r>
  <r>
    <x v="0"/>
    <x v="13"/>
    <x v="9"/>
    <x v="18"/>
    <s v="SE2_medium"/>
    <x v="16"/>
    <n v="5.8520524559425198"/>
    <n v="1.6255701266507001"/>
  </r>
  <r>
    <x v="0"/>
    <x v="13"/>
    <x v="9"/>
    <x v="18"/>
    <s v="SE2_medium"/>
    <x v="17"/>
    <n v="9.1244895875632395"/>
    <n v="2.5345804409897901"/>
  </r>
  <r>
    <x v="0"/>
    <x v="13"/>
    <x v="9"/>
    <x v="18"/>
    <s v="SE2_medium"/>
    <x v="18"/>
    <n v="24.694747307373699"/>
    <n v="6.8596520298260204"/>
  </r>
  <r>
    <x v="0"/>
    <x v="13"/>
    <x v="9"/>
    <x v="18"/>
    <s v="SE2_medium"/>
    <x v="19"/>
    <n v="8.1139884009941898"/>
    <n v="2.2538856669428302"/>
  </r>
  <r>
    <x v="0"/>
    <x v="13"/>
    <x v="9"/>
    <x v="18"/>
    <s v="SE2_medium"/>
    <x v="20"/>
    <n v="20.3765303632313"/>
    <n v="5.6601473231197996"/>
  </r>
  <r>
    <x v="0"/>
    <x v="13"/>
    <x v="9"/>
    <x v="18"/>
    <s v="SE2_medium"/>
    <x v="21"/>
    <n v="48.384"/>
    <n v="13.44"/>
  </r>
  <r>
    <x v="0"/>
    <x v="13"/>
    <x v="9"/>
    <x v="18"/>
    <s v="SE2_medium"/>
    <x v="22"/>
    <n v="79.847999999999999"/>
    <n v="22.18"/>
  </r>
  <r>
    <x v="0"/>
    <x v="13"/>
    <x v="9"/>
    <x v="18"/>
    <s v="SE2_medium"/>
    <x v="23"/>
    <n v="0.31515896120488701"/>
    <n v="8.7544155890246306E-2"/>
  </r>
  <r>
    <x v="0"/>
    <x v="13"/>
    <x v="9"/>
    <x v="18"/>
    <s v="SE2_medium"/>
    <x v="24"/>
    <n v="19.174223581093901"/>
    <n v="5.32617321697054"/>
  </r>
  <r>
    <x v="0"/>
    <x v="13"/>
    <x v="9"/>
    <x v="18"/>
    <s v="SE2_medium"/>
    <x v="25"/>
    <n v="23.613931806316799"/>
    <n v="6.5594255017546796"/>
  </r>
  <r>
    <x v="0"/>
    <x v="13"/>
    <x v="9"/>
    <x v="18"/>
    <s v="SE2_medium"/>
    <x v="26"/>
    <n v="30.869217554900899"/>
    <n v="8.5747826541391401"/>
  </r>
  <r>
    <x v="0"/>
    <x v="13"/>
    <x v="9"/>
    <x v="18"/>
    <s v="SE2_medium"/>
    <x v="27"/>
    <n v="20.163995508318798"/>
    <n v="5.6011098634218799"/>
  </r>
  <r>
    <x v="0"/>
    <x v="13"/>
    <x v="9"/>
    <x v="18"/>
    <s v="SE2_small"/>
    <x v="1"/>
    <n v="35.989199999999997"/>
    <n v="9.9969999999999999"/>
  </r>
  <r>
    <x v="0"/>
    <x v="13"/>
    <x v="9"/>
    <x v="18"/>
    <s v="SE2_small"/>
    <x v="2"/>
    <n v="48.384"/>
    <n v="13.44"/>
  </r>
  <r>
    <x v="0"/>
    <x v="13"/>
    <x v="9"/>
    <x v="18"/>
    <s v="SE2_small"/>
    <x v="0"/>
    <n v="42.692399999999999"/>
    <n v="11.859"/>
  </r>
  <r>
    <x v="0"/>
    <x v="13"/>
    <x v="9"/>
    <x v="18"/>
    <s v="SE2_small"/>
    <x v="3"/>
    <n v="51.633543144067197"/>
    <n v="14.342650873352"/>
  </r>
  <r>
    <x v="0"/>
    <x v="13"/>
    <x v="9"/>
    <x v="18"/>
    <s v="SE2_small"/>
    <x v="4"/>
    <n v="7.4084241922120802"/>
    <n v="2.0578956089478"/>
  </r>
  <r>
    <x v="0"/>
    <x v="13"/>
    <x v="9"/>
    <x v="18"/>
    <s v="SE2_small"/>
    <x v="5"/>
    <n v="7.4084241922120802"/>
    <n v="2.0578956089478"/>
  </r>
  <r>
    <x v="0"/>
    <x v="13"/>
    <x v="9"/>
    <x v="18"/>
    <s v="SE2_small"/>
    <x v="6"/>
    <n v="29.476231795214598"/>
    <n v="8.1878421653373898"/>
  </r>
  <r>
    <x v="0"/>
    <x v="13"/>
    <x v="9"/>
    <x v="18"/>
    <s v="SE2_small"/>
    <x v="7"/>
    <n v="57.838935220261199"/>
    <n v="16.066370894517"/>
  </r>
  <r>
    <x v="0"/>
    <x v="13"/>
    <x v="9"/>
    <x v="18"/>
    <s v="SE2_small"/>
    <x v="8"/>
    <n v="57.838935220261199"/>
    <n v="16.066370894517"/>
  </r>
  <r>
    <x v="0"/>
    <x v="13"/>
    <x v="9"/>
    <x v="18"/>
    <s v="SE2_small"/>
    <x v="9"/>
    <n v="44.803327257663497"/>
    <n v="12.4453686826843"/>
  </r>
  <r>
    <x v="0"/>
    <x v="13"/>
    <x v="9"/>
    <x v="18"/>
    <s v="SE2_small"/>
    <x v="10"/>
    <n v="54.681226180612903"/>
    <n v="15.1892294946147"/>
  </r>
  <r>
    <x v="0"/>
    <x v="13"/>
    <x v="9"/>
    <x v="18"/>
    <s v="SE2_small"/>
    <x v="11"/>
    <n v="3.8806031483015802"/>
    <n v="1.07794531897266"/>
  </r>
  <r>
    <x v="0"/>
    <x v="13"/>
    <x v="9"/>
    <x v="18"/>
    <s v="SE2_small"/>
    <x v="12"/>
    <n v="9.7995028997514597E-2"/>
    <n v="2.72208413881985E-2"/>
  </r>
  <r>
    <x v="0"/>
    <x v="13"/>
    <x v="9"/>
    <x v="18"/>
    <s v="SE2_small"/>
    <x v="13"/>
    <n v="24.694747307373699"/>
    <n v="6.8596520298260204"/>
  </r>
  <r>
    <x v="0"/>
    <x v="13"/>
    <x v="9"/>
    <x v="18"/>
    <s v="SE2_small"/>
    <x v="14"/>
    <n v="24.694747307373699"/>
    <n v="6.8596520298260204"/>
  </r>
  <r>
    <x v="0"/>
    <x v="13"/>
    <x v="9"/>
    <x v="18"/>
    <s v="SE2_small"/>
    <x v="15"/>
    <n v="1.65807589063794"/>
    <n v="0.46057663628831802"/>
  </r>
  <r>
    <x v="0"/>
    <x v="13"/>
    <x v="9"/>
    <x v="18"/>
    <s v="SE2_small"/>
    <x v="16"/>
    <n v="5.8520524559425198"/>
    <n v="1.6255701266507001"/>
  </r>
  <r>
    <x v="0"/>
    <x v="13"/>
    <x v="9"/>
    <x v="18"/>
    <s v="SE2_small"/>
    <x v="17"/>
    <n v="9.1244895875632395"/>
    <n v="2.5345804409897901"/>
  </r>
  <r>
    <x v="0"/>
    <x v="13"/>
    <x v="9"/>
    <x v="18"/>
    <s v="SE2_small"/>
    <x v="18"/>
    <n v="24.694747307373699"/>
    <n v="6.8596520298260204"/>
  </r>
  <r>
    <x v="0"/>
    <x v="13"/>
    <x v="9"/>
    <x v="18"/>
    <s v="SE2_small"/>
    <x v="19"/>
    <n v="8.1139884009941898"/>
    <n v="2.2538856669428302"/>
  </r>
  <r>
    <x v="0"/>
    <x v="13"/>
    <x v="9"/>
    <x v="18"/>
    <s v="SE2_small"/>
    <x v="20"/>
    <n v="20.3765303632313"/>
    <n v="5.6601473231197996"/>
  </r>
  <r>
    <x v="0"/>
    <x v="13"/>
    <x v="9"/>
    <x v="18"/>
    <s v="SE2_small"/>
    <x v="21"/>
    <n v="48.384"/>
    <n v="13.44"/>
  </r>
  <r>
    <x v="0"/>
    <x v="13"/>
    <x v="9"/>
    <x v="18"/>
    <s v="SE2_small"/>
    <x v="22"/>
    <n v="79.847999999999999"/>
    <n v="22.18"/>
  </r>
  <r>
    <x v="0"/>
    <x v="13"/>
    <x v="9"/>
    <x v="18"/>
    <s v="SE2_small"/>
    <x v="23"/>
    <n v="0.31515896120488701"/>
    <n v="8.7544155890246306E-2"/>
  </r>
  <r>
    <x v="0"/>
    <x v="13"/>
    <x v="9"/>
    <x v="18"/>
    <s v="SE2_small"/>
    <x v="24"/>
    <n v="19.174223581093901"/>
    <n v="5.32617321697054"/>
  </r>
  <r>
    <x v="0"/>
    <x v="13"/>
    <x v="9"/>
    <x v="18"/>
    <s v="SE2_small"/>
    <x v="25"/>
    <n v="23.613931806316799"/>
    <n v="6.5594255017546796"/>
  </r>
  <r>
    <x v="0"/>
    <x v="13"/>
    <x v="9"/>
    <x v="18"/>
    <s v="SE2_small"/>
    <x v="26"/>
    <n v="30.869217554900899"/>
    <n v="8.5747826541391401"/>
  </r>
  <r>
    <x v="0"/>
    <x v="13"/>
    <x v="9"/>
    <x v="18"/>
    <s v="SE2_small"/>
    <x v="27"/>
    <n v="20.163995508318798"/>
    <n v="5.6011098634218799"/>
  </r>
  <r>
    <x v="0"/>
    <x v="13"/>
    <x v="9"/>
    <x v="19"/>
    <s v="SE3A"/>
    <x v="1"/>
    <n v="35.989199999999997"/>
    <n v="9.9969999999999999"/>
  </r>
  <r>
    <x v="0"/>
    <x v="13"/>
    <x v="9"/>
    <x v="19"/>
    <s v="SE3A"/>
    <x v="2"/>
    <n v="48.384"/>
    <n v="13.44"/>
  </r>
  <r>
    <x v="0"/>
    <x v="13"/>
    <x v="9"/>
    <x v="19"/>
    <s v="SE3A"/>
    <x v="0"/>
    <n v="42.692399999999999"/>
    <n v="11.859"/>
  </r>
  <r>
    <x v="0"/>
    <x v="13"/>
    <x v="9"/>
    <x v="19"/>
    <s v="SE3A"/>
    <x v="3"/>
    <n v="51.633543144067197"/>
    <n v="14.342650873352"/>
  </r>
  <r>
    <x v="0"/>
    <x v="13"/>
    <x v="9"/>
    <x v="19"/>
    <s v="SE3A"/>
    <x v="4"/>
    <n v="7.4084241922120802"/>
    <n v="2.0578956089478"/>
  </r>
  <r>
    <x v="0"/>
    <x v="13"/>
    <x v="9"/>
    <x v="19"/>
    <s v="SE3A"/>
    <x v="5"/>
    <n v="7.4084241922120802"/>
    <n v="2.0578956089478"/>
  </r>
  <r>
    <x v="0"/>
    <x v="13"/>
    <x v="9"/>
    <x v="19"/>
    <s v="SE3A"/>
    <x v="6"/>
    <n v="29.476231795214598"/>
    <n v="8.1878421653373898"/>
  </r>
  <r>
    <x v="0"/>
    <x v="13"/>
    <x v="9"/>
    <x v="19"/>
    <s v="SE3A"/>
    <x v="7"/>
    <n v="57.838935220261199"/>
    <n v="16.066370894517"/>
  </r>
  <r>
    <x v="0"/>
    <x v="13"/>
    <x v="9"/>
    <x v="19"/>
    <s v="SE3A"/>
    <x v="8"/>
    <n v="57.838935220261199"/>
    <n v="16.066370894517"/>
  </r>
  <r>
    <x v="0"/>
    <x v="13"/>
    <x v="9"/>
    <x v="19"/>
    <s v="SE3A"/>
    <x v="9"/>
    <n v="44.803327257663497"/>
    <n v="12.4453686826843"/>
  </r>
  <r>
    <x v="0"/>
    <x v="13"/>
    <x v="9"/>
    <x v="19"/>
    <s v="SE3A"/>
    <x v="10"/>
    <n v="54.681226180612903"/>
    <n v="15.1892294946147"/>
  </r>
  <r>
    <x v="0"/>
    <x v="13"/>
    <x v="9"/>
    <x v="19"/>
    <s v="SE3A"/>
    <x v="11"/>
    <n v="3.8806031483015802"/>
    <n v="1.07794531897266"/>
  </r>
  <r>
    <x v="0"/>
    <x v="13"/>
    <x v="9"/>
    <x v="19"/>
    <s v="SE3A"/>
    <x v="12"/>
    <n v="9.7995028997514597E-2"/>
    <n v="2.72208413881985E-2"/>
  </r>
  <r>
    <x v="0"/>
    <x v="13"/>
    <x v="9"/>
    <x v="19"/>
    <s v="SE3A"/>
    <x v="13"/>
    <n v="24.694747307373699"/>
    <n v="6.8596520298260204"/>
  </r>
  <r>
    <x v="0"/>
    <x v="13"/>
    <x v="9"/>
    <x v="19"/>
    <s v="SE3A"/>
    <x v="14"/>
    <n v="24.694747307373699"/>
    <n v="6.8596520298260204"/>
  </r>
  <r>
    <x v="0"/>
    <x v="13"/>
    <x v="9"/>
    <x v="19"/>
    <s v="SE3A"/>
    <x v="15"/>
    <n v="1.65807589063794"/>
    <n v="0.46057663628831802"/>
  </r>
  <r>
    <x v="0"/>
    <x v="13"/>
    <x v="9"/>
    <x v="19"/>
    <s v="SE3A"/>
    <x v="16"/>
    <n v="5.8520524559425198"/>
    <n v="1.6255701266507001"/>
  </r>
  <r>
    <x v="0"/>
    <x v="13"/>
    <x v="9"/>
    <x v="19"/>
    <s v="SE3A"/>
    <x v="17"/>
    <n v="9.1244895875632395"/>
    <n v="2.5345804409897901"/>
  </r>
  <r>
    <x v="0"/>
    <x v="13"/>
    <x v="9"/>
    <x v="19"/>
    <s v="SE3A"/>
    <x v="18"/>
    <n v="24.694747307373699"/>
    <n v="6.8596520298260204"/>
  </r>
  <r>
    <x v="0"/>
    <x v="13"/>
    <x v="9"/>
    <x v="19"/>
    <s v="SE3A"/>
    <x v="19"/>
    <n v="8.1139884009941898"/>
    <n v="2.2538856669428302"/>
  </r>
  <r>
    <x v="0"/>
    <x v="13"/>
    <x v="9"/>
    <x v="19"/>
    <s v="SE3A"/>
    <x v="20"/>
    <n v="20.3765303632313"/>
    <n v="5.6601473231197996"/>
  </r>
  <r>
    <x v="0"/>
    <x v="13"/>
    <x v="9"/>
    <x v="19"/>
    <s v="SE3A"/>
    <x v="21"/>
    <n v="48.384"/>
    <n v="13.44"/>
  </r>
  <r>
    <x v="0"/>
    <x v="13"/>
    <x v="9"/>
    <x v="19"/>
    <s v="SE3A"/>
    <x v="22"/>
    <n v="79.847999999999999"/>
    <n v="22.18"/>
  </r>
  <r>
    <x v="0"/>
    <x v="13"/>
    <x v="9"/>
    <x v="19"/>
    <s v="SE3A"/>
    <x v="23"/>
    <n v="0.31515896120488701"/>
    <n v="8.7544155890246306E-2"/>
  </r>
  <r>
    <x v="0"/>
    <x v="13"/>
    <x v="9"/>
    <x v="19"/>
    <s v="SE3A"/>
    <x v="24"/>
    <n v="19.174223581093901"/>
    <n v="5.32617321697054"/>
  </r>
  <r>
    <x v="0"/>
    <x v="13"/>
    <x v="9"/>
    <x v="19"/>
    <s v="SE3A"/>
    <x v="25"/>
    <n v="23.613931806316799"/>
    <n v="6.5594255017546796"/>
  </r>
  <r>
    <x v="0"/>
    <x v="13"/>
    <x v="9"/>
    <x v="19"/>
    <s v="SE3A"/>
    <x v="26"/>
    <n v="30.869217554900899"/>
    <n v="8.5747826541391401"/>
  </r>
  <r>
    <x v="0"/>
    <x v="13"/>
    <x v="9"/>
    <x v="19"/>
    <s v="SE3A"/>
    <x v="27"/>
    <n v="20.163995508318798"/>
    <n v="5.6011098634218799"/>
  </r>
  <r>
    <x v="0"/>
    <x v="13"/>
    <x v="9"/>
    <x v="19"/>
    <s v="SE3_IND"/>
    <x v="1"/>
    <n v="35.989199999999997"/>
    <n v="9.9969999999999999"/>
  </r>
  <r>
    <x v="0"/>
    <x v="13"/>
    <x v="9"/>
    <x v="19"/>
    <s v="SE3_IND"/>
    <x v="2"/>
    <n v="48.384"/>
    <n v="13.44"/>
  </r>
  <r>
    <x v="0"/>
    <x v="13"/>
    <x v="9"/>
    <x v="19"/>
    <s v="SE3_IND"/>
    <x v="0"/>
    <n v="42.692399999999999"/>
    <n v="11.859"/>
  </r>
  <r>
    <x v="0"/>
    <x v="13"/>
    <x v="9"/>
    <x v="19"/>
    <s v="SE3_IND"/>
    <x v="3"/>
    <n v="51.633543144067197"/>
    <n v="14.342650873352"/>
  </r>
  <r>
    <x v="0"/>
    <x v="13"/>
    <x v="9"/>
    <x v="19"/>
    <s v="SE3_IND"/>
    <x v="4"/>
    <n v="7.4084241922120802"/>
    <n v="2.0578956089478"/>
  </r>
  <r>
    <x v="0"/>
    <x v="13"/>
    <x v="9"/>
    <x v="19"/>
    <s v="SE3_IND"/>
    <x v="5"/>
    <n v="7.4084241922120802"/>
    <n v="2.0578956089478"/>
  </r>
  <r>
    <x v="0"/>
    <x v="13"/>
    <x v="9"/>
    <x v="19"/>
    <s v="SE3_IND"/>
    <x v="6"/>
    <n v="29.476231795214598"/>
    <n v="8.1878421653373898"/>
  </r>
  <r>
    <x v="0"/>
    <x v="13"/>
    <x v="9"/>
    <x v="19"/>
    <s v="SE3_IND"/>
    <x v="7"/>
    <n v="57.838935220261199"/>
    <n v="16.066370894517"/>
  </r>
  <r>
    <x v="0"/>
    <x v="13"/>
    <x v="9"/>
    <x v="19"/>
    <s v="SE3_IND"/>
    <x v="8"/>
    <n v="57.838935220261199"/>
    <n v="16.066370894517"/>
  </r>
  <r>
    <x v="0"/>
    <x v="13"/>
    <x v="9"/>
    <x v="19"/>
    <s v="SE3_IND"/>
    <x v="9"/>
    <n v="44.803327257663497"/>
    <n v="12.4453686826843"/>
  </r>
  <r>
    <x v="0"/>
    <x v="13"/>
    <x v="9"/>
    <x v="19"/>
    <s v="SE3_IND"/>
    <x v="10"/>
    <n v="54.681226180612903"/>
    <n v="15.1892294946147"/>
  </r>
  <r>
    <x v="0"/>
    <x v="13"/>
    <x v="9"/>
    <x v="19"/>
    <s v="SE3_IND"/>
    <x v="11"/>
    <n v="3.8806031483015802"/>
    <n v="1.07794531897266"/>
  </r>
  <r>
    <x v="0"/>
    <x v="13"/>
    <x v="9"/>
    <x v="19"/>
    <s v="SE3_IND"/>
    <x v="12"/>
    <n v="9.7995028997514597E-2"/>
    <n v="2.72208413881985E-2"/>
  </r>
  <r>
    <x v="0"/>
    <x v="13"/>
    <x v="9"/>
    <x v="19"/>
    <s v="SE3_IND"/>
    <x v="13"/>
    <n v="24.694747307373699"/>
    <n v="6.8596520298260204"/>
  </r>
  <r>
    <x v="0"/>
    <x v="13"/>
    <x v="9"/>
    <x v="19"/>
    <s v="SE3_IND"/>
    <x v="14"/>
    <n v="24.694747307373699"/>
    <n v="6.8596520298260204"/>
  </r>
  <r>
    <x v="0"/>
    <x v="13"/>
    <x v="9"/>
    <x v="19"/>
    <s v="SE3_IND"/>
    <x v="15"/>
    <n v="1.65807589063794"/>
    <n v="0.46057663628831802"/>
  </r>
  <r>
    <x v="0"/>
    <x v="13"/>
    <x v="9"/>
    <x v="19"/>
    <s v="SE3_IND"/>
    <x v="16"/>
    <n v="5.8520524559425198"/>
    <n v="1.6255701266507001"/>
  </r>
  <r>
    <x v="0"/>
    <x v="13"/>
    <x v="9"/>
    <x v="19"/>
    <s v="SE3_IND"/>
    <x v="17"/>
    <n v="9.1244895875632395"/>
    <n v="2.5345804409897901"/>
  </r>
  <r>
    <x v="0"/>
    <x v="13"/>
    <x v="9"/>
    <x v="19"/>
    <s v="SE3_IND"/>
    <x v="18"/>
    <n v="24.694747307373699"/>
    <n v="6.8596520298260204"/>
  </r>
  <r>
    <x v="0"/>
    <x v="13"/>
    <x v="9"/>
    <x v="19"/>
    <s v="SE3_IND"/>
    <x v="19"/>
    <n v="8.1139884009941898"/>
    <n v="2.2538856669428302"/>
  </r>
  <r>
    <x v="0"/>
    <x v="13"/>
    <x v="9"/>
    <x v="19"/>
    <s v="SE3_IND"/>
    <x v="20"/>
    <n v="20.3765303632313"/>
    <n v="5.6601473231197996"/>
  </r>
  <r>
    <x v="0"/>
    <x v="13"/>
    <x v="9"/>
    <x v="19"/>
    <s v="SE3_IND"/>
    <x v="21"/>
    <n v="48.384"/>
    <n v="13.44"/>
  </r>
  <r>
    <x v="0"/>
    <x v="13"/>
    <x v="9"/>
    <x v="19"/>
    <s v="SE3_IND"/>
    <x v="22"/>
    <n v="79.847999999999999"/>
    <n v="22.18"/>
  </r>
  <r>
    <x v="0"/>
    <x v="13"/>
    <x v="9"/>
    <x v="19"/>
    <s v="SE3_IND"/>
    <x v="23"/>
    <n v="0.31515896120488701"/>
    <n v="8.7544155890246306E-2"/>
  </r>
  <r>
    <x v="0"/>
    <x v="13"/>
    <x v="9"/>
    <x v="19"/>
    <s v="SE3_IND"/>
    <x v="24"/>
    <n v="19.174223581093901"/>
    <n v="5.32617321697054"/>
  </r>
  <r>
    <x v="0"/>
    <x v="13"/>
    <x v="9"/>
    <x v="19"/>
    <s v="SE3_IND"/>
    <x v="25"/>
    <n v="23.613931806316799"/>
    <n v="6.5594255017546796"/>
  </r>
  <r>
    <x v="0"/>
    <x v="13"/>
    <x v="9"/>
    <x v="19"/>
    <s v="SE3_IND"/>
    <x v="26"/>
    <n v="30.869217554900899"/>
    <n v="8.5747826541391401"/>
  </r>
  <r>
    <x v="0"/>
    <x v="13"/>
    <x v="9"/>
    <x v="19"/>
    <s v="SE3_IND"/>
    <x v="27"/>
    <n v="20.163995508318798"/>
    <n v="5.6011098634218799"/>
  </r>
  <r>
    <x v="0"/>
    <x v="13"/>
    <x v="9"/>
    <x v="19"/>
    <s v="SE3_Offshore"/>
    <x v="1"/>
    <n v="35.989199999999997"/>
    <n v="9.9969999999999999"/>
  </r>
  <r>
    <x v="0"/>
    <x v="13"/>
    <x v="9"/>
    <x v="19"/>
    <s v="SE3_Offshore"/>
    <x v="2"/>
    <n v="48.384"/>
    <n v="13.44"/>
  </r>
  <r>
    <x v="0"/>
    <x v="13"/>
    <x v="9"/>
    <x v="19"/>
    <s v="SE3_Offshore"/>
    <x v="0"/>
    <n v="42.692399999999999"/>
    <n v="11.859"/>
  </r>
  <r>
    <x v="0"/>
    <x v="13"/>
    <x v="9"/>
    <x v="19"/>
    <s v="SE3_Offshore"/>
    <x v="3"/>
    <n v="51.633543144067197"/>
    <n v="14.342650873352"/>
  </r>
  <r>
    <x v="0"/>
    <x v="13"/>
    <x v="9"/>
    <x v="19"/>
    <s v="SE3_Offshore"/>
    <x v="4"/>
    <n v="7.4084241922120802"/>
    <n v="2.0578956089478"/>
  </r>
  <r>
    <x v="0"/>
    <x v="13"/>
    <x v="9"/>
    <x v="19"/>
    <s v="SE3_Offshore"/>
    <x v="5"/>
    <n v="7.4084241922120802"/>
    <n v="2.0578956089478"/>
  </r>
  <r>
    <x v="0"/>
    <x v="13"/>
    <x v="9"/>
    <x v="19"/>
    <s v="SE3_Offshore"/>
    <x v="6"/>
    <n v="29.476231795214598"/>
    <n v="8.1878421653373898"/>
  </r>
  <r>
    <x v="0"/>
    <x v="13"/>
    <x v="9"/>
    <x v="19"/>
    <s v="SE3_Offshore"/>
    <x v="7"/>
    <n v="57.838935220261199"/>
    <n v="16.066370894517"/>
  </r>
  <r>
    <x v="0"/>
    <x v="13"/>
    <x v="9"/>
    <x v="19"/>
    <s v="SE3_Offshore"/>
    <x v="8"/>
    <n v="57.838935220261199"/>
    <n v="16.066370894517"/>
  </r>
  <r>
    <x v="0"/>
    <x v="13"/>
    <x v="9"/>
    <x v="19"/>
    <s v="SE3_Offshore"/>
    <x v="9"/>
    <n v="44.803327257663497"/>
    <n v="12.4453686826843"/>
  </r>
  <r>
    <x v="0"/>
    <x v="13"/>
    <x v="9"/>
    <x v="19"/>
    <s v="SE3_Offshore"/>
    <x v="10"/>
    <n v="54.681226180612903"/>
    <n v="15.1892294946147"/>
  </r>
  <r>
    <x v="0"/>
    <x v="13"/>
    <x v="9"/>
    <x v="19"/>
    <s v="SE3_Offshore"/>
    <x v="11"/>
    <n v="3.8806031483015802"/>
    <n v="1.07794531897266"/>
  </r>
  <r>
    <x v="0"/>
    <x v="13"/>
    <x v="9"/>
    <x v="19"/>
    <s v="SE3_Offshore"/>
    <x v="12"/>
    <n v="9.7995028997514597E-2"/>
    <n v="2.72208413881985E-2"/>
  </r>
  <r>
    <x v="0"/>
    <x v="13"/>
    <x v="9"/>
    <x v="19"/>
    <s v="SE3_Offshore"/>
    <x v="13"/>
    <n v="24.694747307373699"/>
    <n v="6.8596520298260204"/>
  </r>
  <r>
    <x v="0"/>
    <x v="13"/>
    <x v="9"/>
    <x v="19"/>
    <s v="SE3_Offshore"/>
    <x v="14"/>
    <n v="24.694747307373699"/>
    <n v="6.8596520298260204"/>
  </r>
  <r>
    <x v="0"/>
    <x v="13"/>
    <x v="9"/>
    <x v="19"/>
    <s v="SE3_Offshore"/>
    <x v="15"/>
    <n v="1.65807589063794"/>
    <n v="0.46057663628831802"/>
  </r>
  <r>
    <x v="0"/>
    <x v="13"/>
    <x v="9"/>
    <x v="19"/>
    <s v="SE3_Offshore"/>
    <x v="16"/>
    <n v="5.8520524559425198"/>
    <n v="1.6255701266507001"/>
  </r>
  <r>
    <x v="0"/>
    <x v="13"/>
    <x v="9"/>
    <x v="19"/>
    <s v="SE3_Offshore"/>
    <x v="17"/>
    <n v="9.1244895875632395"/>
    <n v="2.5345804409897901"/>
  </r>
  <r>
    <x v="0"/>
    <x v="13"/>
    <x v="9"/>
    <x v="19"/>
    <s v="SE3_Offshore"/>
    <x v="18"/>
    <n v="24.694747307373699"/>
    <n v="6.8596520298260204"/>
  </r>
  <r>
    <x v="0"/>
    <x v="13"/>
    <x v="9"/>
    <x v="19"/>
    <s v="SE3_Offshore"/>
    <x v="19"/>
    <n v="8.1139884009941898"/>
    <n v="2.2538856669428302"/>
  </r>
  <r>
    <x v="0"/>
    <x v="13"/>
    <x v="9"/>
    <x v="19"/>
    <s v="SE3_Offshore"/>
    <x v="20"/>
    <n v="20.3765303632313"/>
    <n v="5.6601473231197996"/>
  </r>
  <r>
    <x v="0"/>
    <x v="13"/>
    <x v="9"/>
    <x v="19"/>
    <s v="SE3_Offshore"/>
    <x v="21"/>
    <n v="48.384"/>
    <n v="13.44"/>
  </r>
  <r>
    <x v="0"/>
    <x v="13"/>
    <x v="9"/>
    <x v="19"/>
    <s v="SE3_Offshore"/>
    <x v="22"/>
    <n v="79.847999999999999"/>
    <n v="22.18"/>
  </r>
  <r>
    <x v="0"/>
    <x v="13"/>
    <x v="9"/>
    <x v="19"/>
    <s v="SE3_Offshore"/>
    <x v="23"/>
    <n v="0.31515896120488701"/>
    <n v="8.7544155890246306E-2"/>
  </r>
  <r>
    <x v="0"/>
    <x v="13"/>
    <x v="9"/>
    <x v="19"/>
    <s v="SE3_Offshore"/>
    <x v="24"/>
    <n v="19.174223581093901"/>
    <n v="5.32617321697054"/>
  </r>
  <r>
    <x v="0"/>
    <x v="13"/>
    <x v="9"/>
    <x v="19"/>
    <s v="SE3_Offshore"/>
    <x v="25"/>
    <n v="23.613931806316799"/>
    <n v="6.5594255017546796"/>
  </r>
  <r>
    <x v="0"/>
    <x v="13"/>
    <x v="9"/>
    <x v="19"/>
    <s v="SE3_Offshore"/>
    <x v="26"/>
    <n v="30.869217554900899"/>
    <n v="8.5747826541391401"/>
  </r>
  <r>
    <x v="0"/>
    <x v="13"/>
    <x v="9"/>
    <x v="19"/>
    <s v="SE3_Offshore"/>
    <x v="27"/>
    <n v="20.163995508318798"/>
    <n v="5.6011098634218799"/>
  </r>
  <r>
    <x v="0"/>
    <x v="13"/>
    <x v="9"/>
    <x v="19"/>
    <s v="SE3_large"/>
    <x v="1"/>
    <n v="35.989199999999997"/>
    <n v="9.9969999999999999"/>
  </r>
  <r>
    <x v="0"/>
    <x v="13"/>
    <x v="9"/>
    <x v="19"/>
    <s v="SE3_large"/>
    <x v="2"/>
    <n v="48.384"/>
    <n v="13.44"/>
  </r>
  <r>
    <x v="0"/>
    <x v="13"/>
    <x v="9"/>
    <x v="19"/>
    <s v="SE3_large"/>
    <x v="0"/>
    <n v="42.692399999999999"/>
    <n v="11.859"/>
  </r>
  <r>
    <x v="0"/>
    <x v="13"/>
    <x v="9"/>
    <x v="19"/>
    <s v="SE3_large"/>
    <x v="3"/>
    <n v="51.633543144067197"/>
    <n v="14.342650873352"/>
  </r>
  <r>
    <x v="0"/>
    <x v="13"/>
    <x v="9"/>
    <x v="19"/>
    <s v="SE3_large"/>
    <x v="4"/>
    <n v="7.4084241922120802"/>
    <n v="2.0578956089478"/>
  </r>
  <r>
    <x v="0"/>
    <x v="13"/>
    <x v="9"/>
    <x v="19"/>
    <s v="SE3_large"/>
    <x v="5"/>
    <n v="7.4084241922120802"/>
    <n v="2.0578956089478"/>
  </r>
  <r>
    <x v="0"/>
    <x v="13"/>
    <x v="9"/>
    <x v="19"/>
    <s v="SE3_large"/>
    <x v="6"/>
    <n v="29.476231795214598"/>
    <n v="8.1878421653373898"/>
  </r>
  <r>
    <x v="0"/>
    <x v="13"/>
    <x v="9"/>
    <x v="19"/>
    <s v="SE3_large"/>
    <x v="7"/>
    <n v="57.838935220261199"/>
    <n v="16.066370894517"/>
  </r>
  <r>
    <x v="0"/>
    <x v="13"/>
    <x v="9"/>
    <x v="19"/>
    <s v="SE3_large"/>
    <x v="8"/>
    <n v="57.838935220261199"/>
    <n v="16.066370894517"/>
  </r>
  <r>
    <x v="0"/>
    <x v="13"/>
    <x v="9"/>
    <x v="19"/>
    <s v="SE3_large"/>
    <x v="9"/>
    <n v="44.803327257663497"/>
    <n v="12.4453686826843"/>
  </r>
  <r>
    <x v="0"/>
    <x v="13"/>
    <x v="9"/>
    <x v="19"/>
    <s v="SE3_large"/>
    <x v="10"/>
    <n v="54.681226180612903"/>
    <n v="15.1892294946147"/>
  </r>
  <r>
    <x v="0"/>
    <x v="13"/>
    <x v="9"/>
    <x v="19"/>
    <s v="SE3_large"/>
    <x v="11"/>
    <n v="3.8806031483015802"/>
    <n v="1.07794531897266"/>
  </r>
  <r>
    <x v="0"/>
    <x v="13"/>
    <x v="9"/>
    <x v="19"/>
    <s v="SE3_large"/>
    <x v="12"/>
    <n v="9.7995028997514597E-2"/>
    <n v="2.72208413881985E-2"/>
  </r>
  <r>
    <x v="0"/>
    <x v="13"/>
    <x v="9"/>
    <x v="19"/>
    <s v="SE3_large"/>
    <x v="13"/>
    <n v="24.694747307373699"/>
    <n v="6.8596520298260204"/>
  </r>
  <r>
    <x v="0"/>
    <x v="13"/>
    <x v="9"/>
    <x v="19"/>
    <s v="SE3_large"/>
    <x v="14"/>
    <n v="24.694747307373699"/>
    <n v="6.8596520298260204"/>
  </r>
  <r>
    <x v="0"/>
    <x v="13"/>
    <x v="9"/>
    <x v="19"/>
    <s v="SE3_large"/>
    <x v="15"/>
    <n v="1.65807589063794"/>
    <n v="0.46057663628831802"/>
  </r>
  <r>
    <x v="0"/>
    <x v="13"/>
    <x v="9"/>
    <x v="19"/>
    <s v="SE3_large"/>
    <x v="16"/>
    <n v="5.8520524559425198"/>
    <n v="1.6255701266507001"/>
  </r>
  <r>
    <x v="0"/>
    <x v="13"/>
    <x v="9"/>
    <x v="19"/>
    <s v="SE3_large"/>
    <x v="17"/>
    <n v="9.1244895875632395"/>
    <n v="2.5345804409897901"/>
  </r>
  <r>
    <x v="0"/>
    <x v="13"/>
    <x v="9"/>
    <x v="19"/>
    <s v="SE3_large"/>
    <x v="18"/>
    <n v="24.694747307373699"/>
    <n v="6.8596520298260204"/>
  </r>
  <r>
    <x v="0"/>
    <x v="13"/>
    <x v="9"/>
    <x v="19"/>
    <s v="SE3_large"/>
    <x v="19"/>
    <n v="8.1139884009941898"/>
    <n v="2.2538856669428302"/>
  </r>
  <r>
    <x v="0"/>
    <x v="13"/>
    <x v="9"/>
    <x v="19"/>
    <s v="SE3_large"/>
    <x v="20"/>
    <n v="20.3765303632313"/>
    <n v="5.6601473231197996"/>
  </r>
  <r>
    <x v="0"/>
    <x v="13"/>
    <x v="9"/>
    <x v="19"/>
    <s v="SE3_large"/>
    <x v="21"/>
    <n v="48.384"/>
    <n v="13.44"/>
  </r>
  <r>
    <x v="0"/>
    <x v="13"/>
    <x v="9"/>
    <x v="19"/>
    <s v="SE3_large"/>
    <x v="22"/>
    <n v="79.847999999999999"/>
    <n v="22.18"/>
  </r>
  <r>
    <x v="0"/>
    <x v="13"/>
    <x v="9"/>
    <x v="19"/>
    <s v="SE3_large"/>
    <x v="23"/>
    <n v="0.31515896120488701"/>
    <n v="8.7544155890246306E-2"/>
  </r>
  <r>
    <x v="0"/>
    <x v="13"/>
    <x v="9"/>
    <x v="19"/>
    <s v="SE3_large"/>
    <x v="24"/>
    <n v="19.174223581093901"/>
    <n v="5.32617321697054"/>
  </r>
  <r>
    <x v="0"/>
    <x v="13"/>
    <x v="9"/>
    <x v="19"/>
    <s v="SE3_large"/>
    <x v="25"/>
    <n v="23.613931806316799"/>
    <n v="6.5594255017546796"/>
  </r>
  <r>
    <x v="0"/>
    <x v="13"/>
    <x v="9"/>
    <x v="19"/>
    <s v="SE3_large"/>
    <x v="26"/>
    <n v="30.869217554900899"/>
    <n v="8.5747826541391401"/>
  </r>
  <r>
    <x v="0"/>
    <x v="13"/>
    <x v="9"/>
    <x v="19"/>
    <s v="SE3_large"/>
    <x v="27"/>
    <n v="20.163995508318798"/>
    <n v="5.6011098634218799"/>
  </r>
  <r>
    <x v="0"/>
    <x v="13"/>
    <x v="9"/>
    <x v="19"/>
    <s v="SE3_medium"/>
    <x v="1"/>
    <n v="35.989199999999997"/>
    <n v="9.9969999999999999"/>
  </r>
  <r>
    <x v="0"/>
    <x v="13"/>
    <x v="9"/>
    <x v="19"/>
    <s v="SE3_medium"/>
    <x v="2"/>
    <n v="48.384"/>
    <n v="13.44"/>
  </r>
  <r>
    <x v="0"/>
    <x v="13"/>
    <x v="9"/>
    <x v="19"/>
    <s v="SE3_medium"/>
    <x v="0"/>
    <n v="42.692399999999999"/>
    <n v="11.859"/>
  </r>
  <r>
    <x v="0"/>
    <x v="13"/>
    <x v="9"/>
    <x v="19"/>
    <s v="SE3_medium"/>
    <x v="3"/>
    <n v="51.633543144067197"/>
    <n v="14.342650873352"/>
  </r>
  <r>
    <x v="0"/>
    <x v="13"/>
    <x v="9"/>
    <x v="19"/>
    <s v="SE3_medium"/>
    <x v="4"/>
    <n v="7.4084241922120802"/>
    <n v="2.0578956089478"/>
  </r>
  <r>
    <x v="0"/>
    <x v="13"/>
    <x v="9"/>
    <x v="19"/>
    <s v="SE3_medium"/>
    <x v="5"/>
    <n v="7.4084241922120802"/>
    <n v="2.0578956089478"/>
  </r>
  <r>
    <x v="0"/>
    <x v="13"/>
    <x v="9"/>
    <x v="19"/>
    <s v="SE3_medium"/>
    <x v="6"/>
    <n v="29.476231795214598"/>
    <n v="8.1878421653373898"/>
  </r>
  <r>
    <x v="0"/>
    <x v="13"/>
    <x v="9"/>
    <x v="19"/>
    <s v="SE3_medium"/>
    <x v="7"/>
    <n v="57.838935220261199"/>
    <n v="16.066370894517"/>
  </r>
  <r>
    <x v="0"/>
    <x v="13"/>
    <x v="9"/>
    <x v="19"/>
    <s v="SE3_medium"/>
    <x v="8"/>
    <n v="57.838935220261199"/>
    <n v="16.066370894517"/>
  </r>
  <r>
    <x v="0"/>
    <x v="13"/>
    <x v="9"/>
    <x v="19"/>
    <s v="SE3_medium"/>
    <x v="9"/>
    <n v="44.803327257663497"/>
    <n v="12.4453686826843"/>
  </r>
  <r>
    <x v="0"/>
    <x v="13"/>
    <x v="9"/>
    <x v="19"/>
    <s v="SE3_medium"/>
    <x v="10"/>
    <n v="54.681226180612903"/>
    <n v="15.1892294946147"/>
  </r>
  <r>
    <x v="0"/>
    <x v="13"/>
    <x v="9"/>
    <x v="19"/>
    <s v="SE3_medium"/>
    <x v="11"/>
    <n v="3.8806031483015802"/>
    <n v="1.07794531897266"/>
  </r>
  <r>
    <x v="0"/>
    <x v="13"/>
    <x v="9"/>
    <x v="19"/>
    <s v="SE3_medium"/>
    <x v="12"/>
    <n v="9.7995028997514597E-2"/>
    <n v="2.72208413881985E-2"/>
  </r>
  <r>
    <x v="0"/>
    <x v="13"/>
    <x v="9"/>
    <x v="19"/>
    <s v="SE3_medium"/>
    <x v="13"/>
    <n v="24.694747307373699"/>
    <n v="6.8596520298260204"/>
  </r>
  <r>
    <x v="0"/>
    <x v="13"/>
    <x v="9"/>
    <x v="19"/>
    <s v="SE3_medium"/>
    <x v="14"/>
    <n v="24.694747307373699"/>
    <n v="6.8596520298260204"/>
  </r>
  <r>
    <x v="0"/>
    <x v="13"/>
    <x v="9"/>
    <x v="19"/>
    <s v="SE3_medium"/>
    <x v="15"/>
    <n v="1.65807589063794"/>
    <n v="0.46057663628831802"/>
  </r>
  <r>
    <x v="0"/>
    <x v="13"/>
    <x v="9"/>
    <x v="19"/>
    <s v="SE3_medium"/>
    <x v="16"/>
    <n v="5.8520524559425198"/>
    <n v="1.6255701266507001"/>
  </r>
  <r>
    <x v="0"/>
    <x v="13"/>
    <x v="9"/>
    <x v="19"/>
    <s v="SE3_medium"/>
    <x v="17"/>
    <n v="9.1244895875632395"/>
    <n v="2.5345804409897901"/>
  </r>
  <r>
    <x v="0"/>
    <x v="13"/>
    <x v="9"/>
    <x v="19"/>
    <s v="SE3_medium"/>
    <x v="18"/>
    <n v="24.694747307373699"/>
    <n v="6.8596520298260204"/>
  </r>
  <r>
    <x v="0"/>
    <x v="13"/>
    <x v="9"/>
    <x v="19"/>
    <s v="SE3_medium"/>
    <x v="19"/>
    <n v="8.1139884009941898"/>
    <n v="2.2538856669428302"/>
  </r>
  <r>
    <x v="0"/>
    <x v="13"/>
    <x v="9"/>
    <x v="19"/>
    <s v="SE3_medium"/>
    <x v="20"/>
    <n v="20.3765303632313"/>
    <n v="5.6601473231197996"/>
  </r>
  <r>
    <x v="0"/>
    <x v="13"/>
    <x v="9"/>
    <x v="19"/>
    <s v="SE3_medium"/>
    <x v="21"/>
    <n v="48.384"/>
    <n v="13.44"/>
  </r>
  <r>
    <x v="0"/>
    <x v="13"/>
    <x v="9"/>
    <x v="19"/>
    <s v="SE3_medium"/>
    <x v="22"/>
    <n v="79.847999999999999"/>
    <n v="22.18"/>
  </r>
  <r>
    <x v="0"/>
    <x v="13"/>
    <x v="9"/>
    <x v="19"/>
    <s v="SE3_medium"/>
    <x v="23"/>
    <n v="0.31515896120488701"/>
    <n v="8.7544155890246306E-2"/>
  </r>
  <r>
    <x v="0"/>
    <x v="13"/>
    <x v="9"/>
    <x v="19"/>
    <s v="SE3_medium"/>
    <x v="24"/>
    <n v="19.174223581093901"/>
    <n v="5.32617321697054"/>
  </r>
  <r>
    <x v="0"/>
    <x v="13"/>
    <x v="9"/>
    <x v="19"/>
    <s v="SE3_medium"/>
    <x v="25"/>
    <n v="23.613931806316799"/>
    <n v="6.5594255017546796"/>
  </r>
  <r>
    <x v="0"/>
    <x v="13"/>
    <x v="9"/>
    <x v="19"/>
    <s v="SE3_medium"/>
    <x v="26"/>
    <n v="30.869217554900899"/>
    <n v="8.5747826541391401"/>
  </r>
  <r>
    <x v="0"/>
    <x v="13"/>
    <x v="9"/>
    <x v="19"/>
    <s v="SE3_medium"/>
    <x v="27"/>
    <n v="20.163995508318798"/>
    <n v="5.6011098634218799"/>
  </r>
  <r>
    <x v="0"/>
    <x v="13"/>
    <x v="9"/>
    <x v="19"/>
    <s v="SE3_small"/>
    <x v="1"/>
    <n v="35.989199999999997"/>
    <n v="9.9969999999999999"/>
  </r>
  <r>
    <x v="0"/>
    <x v="13"/>
    <x v="9"/>
    <x v="19"/>
    <s v="SE3_small"/>
    <x v="2"/>
    <n v="48.384"/>
    <n v="13.44"/>
  </r>
  <r>
    <x v="0"/>
    <x v="13"/>
    <x v="9"/>
    <x v="19"/>
    <s v="SE3_small"/>
    <x v="0"/>
    <n v="42.692399999999999"/>
    <n v="11.859"/>
  </r>
  <r>
    <x v="0"/>
    <x v="13"/>
    <x v="9"/>
    <x v="19"/>
    <s v="SE3_small"/>
    <x v="3"/>
    <n v="51.633543144067197"/>
    <n v="14.342650873352"/>
  </r>
  <r>
    <x v="0"/>
    <x v="13"/>
    <x v="9"/>
    <x v="19"/>
    <s v="SE3_small"/>
    <x v="4"/>
    <n v="7.4084241922120802"/>
    <n v="2.0578956089478"/>
  </r>
  <r>
    <x v="0"/>
    <x v="13"/>
    <x v="9"/>
    <x v="19"/>
    <s v="SE3_small"/>
    <x v="5"/>
    <n v="7.4084241922120802"/>
    <n v="2.0578956089478"/>
  </r>
  <r>
    <x v="0"/>
    <x v="13"/>
    <x v="9"/>
    <x v="19"/>
    <s v="SE3_small"/>
    <x v="6"/>
    <n v="29.476231795214598"/>
    <n v="8.1878421653373898"/>
  </r>
  <r>
    <x v="0"/>
    <x v="13"/>
    <x v="9"/>
    <x v="19"/>
    <s v="SE3_small"/>
    <x v="7"/>
    <n v="57.838935220261199"/>
    <n v="16.066370894517"/>
  </r>
  <r>
    <x v="0"/>
    <x v="13"/>
    <x v="9"/>
    <x v="19"/>
    <s v="SE3_small"/>
    <x v="8"/>
    <n v="57.838935220261199"/>
    <n v="16.066370894517"/>
  </r>
  <r>
    <x v="0"/>
    <x v="13"/>
    <x v="9"/>
    <x v="19"/>
    <s v="SE3_small"/>
    <x v="9"/>
    <n v="44.803327257663497"/>
    <n v="12.4453686826843"/>
  </r>
  <r>
    <x v="0"/>
    <x v="13"/>
    <x v="9"/>
    <x v="19"/>
    <s v="SE3_small"/>
    <x v="10"/>
    <n v="54.681226180612903"/>
    <n v="15.1892294946147"/>
  </r>
  <r>
    <x v="0"/>
    <x v="13"/>
    <x v="9"/>
    <x v="19"/>
    <s v="SE3_small"/>
    <x v="11"/>
    <n v="3.8806031483015802"/>
    <n v="1.07794531897266"/>
  </r>
  <r>
    <x v="0"/>
    <x v="13"/>
    <x v="9"/>
    <x v="19"/>
    <s v="SE3_small"/>
    <x v="12"/>
    <n v="9.7995028997514597E-2"/>
    <n v="2.72208413881985E-2"/>
  </r>
  <r>
    <x v="0"/>
    <x v="13"/>
    <x v="9"/>
    <x v="19"/>
    <s v="SE3_small"/>
    <x v="13"/>
    <n v="24.694747307373699"/>
    <n v="6.8596520298260204"/>
  </r>
  <r>
    <x v="0"/>
    <x v="13"/>
    <x v="9"/>
    <x v="19"/>
    <s v="SE3_small"/>
    <x v="14"/>
    <n v="24.694747307373699"/>
    <n v="6.8596520298260204"/>
  </r>
  <r>
    <x v="0"/>
    <x v="13"/>
    <x v="9"/>
    <x v="19"/>
    <s v="SE3_small"/>
    <x v="15"/>
    <n v="1.65807589063794"/>
    <n v="0.46057663628831802"/>
  </r>
  <r>
    <x v="0"/>
    <x v="13"/>
    <x v="9"/>
    <x v="19"/>
    <s v="SE3_small"/>
    <x v="16"/>
    <n v="5.8520524559425198"/>
    <n v="1.6255701266507001"/>
  </r>
  <r>
    <x v="0"/>
    <x v="13"/>
    <x v="9"/>
    <x v="19"/>
    <s v="SE3_small"/>
    <x v="17"/>
    <n v="9.1244895875632395"/>
    <n v="2.5345804409897901"/>
  </r>
  <r>
    <x v="0"/>
    <x v="13"/>
    <x v="9"/>
    <x v="19"/>
    <s v="SE3_small"/>
    <x v="18"/>
    <n v="24.694747307373699"/>
    <n v="6.8596520298260204"/>
  </r>
  <r>
    <x v="0"/>
    <x v="13"/>
    <x v="9"/>
    <x v="19"/>
    <s v="SE3_small"/>
    <x v="19"/>
    <n v="8.1139884009941898"/>
    <n v="2.2538856669428302"/>
  </r>
  <r>
    <x v="0"/>
    <x v="13"/>
    <x v="9"/>
    <x v="19"/>
    <s v="SE3_small"/>
    <x v="20"/>
    <n v="20.3765303632313"/>
    <n v="5.6601473231197996"/>
  </r>
  <r>
    <x v="0"/>
    <x v="13"/>
    <x v="9"/>
    <x v="19"/>
    <s v="SE3_small"/>
    <x v="21"/>
    <n v="48.384"/>
    <n v="13.44"/>
  </r>
  <r>
    <x v="0"/>
    <x v="13"/>
    <x v="9"/>
    <x v="19"/>
    <s v="SE3_small"/>
    <x v="22"/>
    <n v="79.847999999999999"/>
    <n v="22.18"/>
  </r>
  <r>
    <x v="0"/>
    <x v="13"/>
    <x v="9"/>
    <x v="19"/>
    <s v="SE3_small"/>
    <x v="23"/>
    <n v="0.31515896120488701"/>
    <n v="8.7544155890246306E-2"/>
  </r>
  <r>
    <x v="0"/>
    <x v="13"/>
    <x v="9"/>
    <x v="19"/>
    <s v="SE3_small"/>
    <x v="24"/>
    <n v="19.174223581093901"/>
    <n v="5.32617321697054"/>
  </r>
  <r>
    <x v="0"/>
    <x v="13"/>
    <x v="9"/>
    <x v="19"/>
    <s v="SE3_small"/>
    <x v="25"/>
    <n v="23.613931806316799"/>
    <n v="6.5594255017546796"/>
  </r>
  <r>
    <x v="0"/>
    <x v="13"/>
    <x v="9"/>
    <x v="19"/>
    <s v="SE3_small"/>
    <x v="26"/>
    <n v="30.869217554900899"/>
    <n v="8.5747826541391401"/>
  </r>
  <r>
    <x v="0"/>
    <x v="13"/>
    <x v="9"/>
    <x v="19"/>
    <s v="SE3_small"/>
    <x v="27"/>
    <n v="20.163995508318798"/>
    <n v="5.6011098634218799"/>
  </r>
  <r>
    <x v="0"/>
    <x v="13"/>
    <x v="9"/>
    <x v="20"/>
    <s v="SE4A"/>
    <x v="1"/>
    <n v="35.989199999999997"/>
    <n v="9.9969999999999999"/>
  </r>
  <r>
    <x v="0"/>
    <x v="13"/>
    <x v="9"/>
    <x v="20"/>
    <s v="SE4A"/>
    <x v="2"/>
    <n v="48.384"/>
    <n v="13.44"/>
  </r>
  <r>
    <x v="0"/>
    <x v="13"/>
    <x v="9"/>
    <x v="20"/>
    <s v="SE4A"/>
    <x v="0"/>
    <n v="42.692399999999999"/>
    <n v="11.859"/>
  </r>
  <r>
    <x v="0"/>
    <x v="13"/>
    <x v="9"/>
    <x v="20"/>
    <s v="SE4A"/>
    <x v="3"/>
    <n v="51.633543144067197"/>
    <n v="14.342650873352"/>
  </r>
  <r>
    <x v="0"/>
    <x v="13"/>
    <x v="9"/>
    <x v="20"/>
    <s v="SE4A"/>
    <x v="4"/>
    <n v="7.4084241922120802"/>
    <n v="2.0578956089478"/>
  </r>
  <r>
    <x v="0"/>
    <x v="13"/>
    <x v="9"/>
    <x v="20"/>
    <s v="SE4A"/>
    <x v="5"/>
    <n v="7.4084241922120802"/>
    <n v="2.0578956089478"/>
  </r>
  <r>
    <x v="0"/>
    <x v="13"/>
    <x v="9"/>
    <x v="20"/>
    <s v="SE4A"/>
    <x v="6"/>
    <n v="29.476231795214598"/>
    <n v="8.1878421653373898"/>
  </r>
  <r>
    <x v="0"/>
    <x v="13"/>
    <x v="9"/>
    <x v="20"/>
    <s v="SE4A"/>
    <x v="7"/>
    <n v="57.838935220261199"/>
    <n v="16.066370894517"/>
  </r>
  <r>
    <x v="0"/>
    <x v="13"/>
    <x v="9"/>
    <x v="20"/>
    <s v="SE4A"/>
    <x v="8"/>
    <n v="57.838935220261199"/>
    <n v="16.066370894517"/>
  </r>
  <r>
    <x v="0"/>
    <x v="13"/>
    <x v="9"/>
    <x v="20"/>
    <s v="SE4A"/>
    <x v="9"/>
    <n v="44.803327257663497"/>
    <n v="12.4453686826843"/>
  </r>
  <r>
    <x v="0"/>
    <x v="13"/>
    <x v="9"/>
    <x v="20"/>
    <s v="SE4A"/>
    <x v="10"/>
    <n v="54.681226180612903"/>
    <n v="15.1892294946147"/>
  </r>
  <r>
    <x v="0"/>
    <x v="13"/>
    <x v="9"/>
    <x v="20"/>
    <s v="SE4A"/>
    <x v="11"/>
    <n v="3.8806031483015802"/>
    <n v="1.07794531897266"/>
  </r>
  <r>
    <x v="0"/>
    <x v="13"/>
    <x v="9"/>
    <x v="20"/>
    <s v="SE4A"/>
    <x v="12"/>
    <n v="9.7995028997514597E-2"/>
    <n v="2.72208413881985E-2"/>
  </r>
  <r>
    <x v="0"/>
    <x v="13"/>
    <x v="9"/>
    <x v="20"/>
    <s v="SE4A"/>
    <x v="13"/>
    <n v="24.694747307373699"/>
    <n v="6.8596520298260204"/>
  </r>
  <r>
    <x v="0"/>
    <x v="13"/>
    <x v="9"/>
    <x v="20"/>
    <s v="SE4A"/>
    <x v="14"/>
    <n v="24.694747307373699"/>
    <n v="6.8596520298260204"/>
  </r>
  <r>
    <x v="0"/>
    <x v="13"/>
    <x v="9"/>
    <x v="20"/>
    <s v="SE4A"/>
    <x v="15"/>
    <n v="1.65807589063794"/>
    <n v="0.46057663628831802"/>
  </r>
  <r>
    <x v="0"/>
    <x v="13"/>
    <x v="9"/>
    <x v="20"/>
    <s v="SE4A"/>
    <x v="16"/>
    <n v="5.8520524559425198"/>
    <n v="1.6255701266507001"/>
  </r>
  <r>
    <x v="0"/>
    <x v="13"/>
    <x v="9"/>
    <x v="20"/>
    <s v="SE4A"/>
    <x v="17"/>
    <n v="9.1244895875632395"/>
    <n v="2.5345804409897901"/>
  </r>
  <r>
    <x v="0"/>
    <x v="13"/>
    <x v="9"/>
    <x v="20"/>
    <s v="SE4A"/>
    <x v="18"/>
    <n v="24.694747307373699"/>
    <n v="6.8596520298260204"/>
  </r>
  <r>
    <x v="0"/>
    <x v="13"/>
    <x v="9"/>
    <x v="20"/>
    <s v="SE4A"/>
    <x v="19"/>
    <n v="8.1139884009941898"/>
    <n v="2.2538856669428302"/>
  </r>
  <r>
    <x v="0"/>
    <x v="13"/>
    <x v="9"/>
    <x v="20"/>
    <s v="SE4A"/>
    <x v="20"/>
    <n v="20.3765303632313"/>
    <n v="5.6601473231197996"/>
  </r>
  <r>
    <x v="0"/>
    <x v="13"/>
    <x v="9"/>
    <x v="20"/>
    <s v="SE4A"/>
    <x v="21"/>
    <n v="48.384"/>
    <n v="13.44"/>
  </r>
  <r>
    <x v="0"/>
    <x v="13"/>
    <x v="9"/>
    <x v="20"/>
    <s v="SE4A"/>
    <x v="22"/>
    <n v="79.847999999999999"/>
    <n v="22.18"/>
  </r>
  <r>
    <x v="0"/>
    <x v="13"/>
    <x v="9"/>
    <x v="20"/>
    <s v="SE4A"/>
    <x v="23"/>
    <n v="0.31515896120488701"/>
    <n v="8.7544155890246306E-2"/>
  </r>
  <r>
    <x v="0"/>
    <x v="13"/>
    <x v="9"/>
    <x v="20"/>
    <s v="SE4A"/>
    <x v="24"/>
    <n v="19.174223581093901"/>
    <n v="5.32617321697054"/>
  </r>
  <r>
    <x v="0"/>
    <x v="13"/>
    <x v="9"/>
    <x v="20"/>
    <s v="SE4A"/>
    <x v="25"/>
    <n v="23.613931806316799"/>
    <n v="6.5594255017546796"/>
  </r>
  <r>
    <x v="0"/>
    <x v="13"/>
    <x v="9"/>
    <x v="20"/>
    <s v="SE4A"/>
    <x v="26"/>
    <n v="30.869217554900899"/>
    <n v="8.5747826541391401"/>
  </r>
  <r>
    <x v="0"/>
    <x v="13"/>
    <x v="9"/>
    <x v="20"/>
    <s v="SE4A"/>
    <x v="27"/>
    <n v="20.163995508318798"/>
    <n v="5.6011098634218799"/>
  </r>
  <r>
    <x v="0"/>
    <x v="13"/>
    <x v="9"/>
    <x v="20"/>
    <s v="SE4_IND"/>
    <x v="1"/>
    <n v="35.989199999999997"/>
    <n v="9.9969999999999999"/>
  </r>
  <r>
    <x v="0"/>
    <x v="13"/>
    <x v="9"/>
    <x v="20"/>
    <s v="SE4_IND"/>
    <x v="2"/>
    <n v="48.384"/>
    <n v="13.44"/>
  </r>
  <r>
    <x v="0"/>
    <x v="13"/>
    <x v="9"/>
    <x v="20"/>
    <s v="SE4_IND"/>
    <x v="0"/>
    <n v="42.692399999999999"/>
    <n v="11.859"/>
  </r>
  <r>
    <x v="0"/>
    <x v="13"/>
    <x v="9"/>
    <x v="20"/>
    <s v="SE4_IND"/>
    <x v="3"/>
    <n v="51.633543144067197"/>
    <n v="14.342650873352"/>
  </r>
  <r>
    <x v="0"/>
    <x v="13"/>
    <x v="9"/>
    <x v="20"/>
    <s v="SE4_IND"/>
    <x v="4"/>
    <n v="7.4084241922120802"/>
    <n v="2.0578956089478"/>
  </r>
  <r>
    <x v="0"/>
    <x v="13"/>
    <x v="9"/>
    <x v="20"/>
    <s v="SE4_IND"/>
    <x v="5"/>
    <n v="7.4084241922120802"/>
    <n v="2.0578956089478"/>
  </r>
  <r>
    <x v="0"/>
    <x v="13"/>
    <x v="9"/>
    <x v="20"/>
    <s v="SE4_IND"/>
    <x v="6"/>
    <n v="29.476231795214598"/>
    <n v="8.1878421653373898"/>
  </r>
  <r>
    <x v="0"/>
    <x v="13"/>
    <x v="9"/>
    <x v="20"/>
    <s v="SE4_IND"/>
    <x v="7"/>
    <n v="57.838935220261199"/>
    <n v="16.066370894517"/>
  </r>
  <r>
    <x v="0"/>
    <x v="13"/>
    <x v="9"/>
    <x v="20"/>
    <s v="SE4_IND"/>
    <x v="8"/>
    <n v="57.838935220261199"/>
    <n v="16.066370894517"/>
  </r>
  <r>
    <x v="0"/>
    <x v="13"/>
    <x v="9"/>
    <x v="20"/>
    <s v="SE4_IND"/>
    <x v="9"/>
    <n v="44.803327257663497"/>
    <n v="12.4453686826843"/>
  </r>
  <r>
    <x v="0"/>
    <x v="13"/>
    <x v="9"/>
    <x v="20"/>
    <s v="SE4_IND"/>
    <x v="10"/>
    <n v="54.681226180612903"/>
    <n v="15.1892294946147"/>
  </r>
  <r>
    <x v="0"/>
    <x v="13"/>
    <x v="9"/>
    <x v="20"/>
    <s v="SE4_IND"/>
    <x v="11"/>
    <n v="3.8806031483015802"/>
    <n v="1.07794531897266"/>
  </r>
  <r>
    <x v="0"/>
    <x v="13"/>
    <x v="9"/>
    <x v="20"/>
    <s v="SE4_IND"/>
    <x v="12"/>
    <n v="9.7995028997514597E-2"/>
    <n v="2.72208413881985E-2"/>
  </r>
  <r>
    <x v="0"/>
    <x v="13"/>
    <x v="9"/>
    <x v="20"/>
    <s v="SE4_IND"/>
    <x v="13"/>
    <n v="24.694747307373699"/>
    <n v="6.8596520298260204"/>
  </r>
  <r>
    <x v="0"/>
    <x v="13"/>
    <x v="9"/>
    <x v="20"/>
    <s v="SE4_IND"/>
    <x v="14"/>
    <n v="24.694747307373699"/>
    <n v="6.8596520298260204"/>
  </r>
  <r>
    <x v="0"/>
    <x v="13"/>
    <x v="9"/>
    <x v="20"/>
    <s v="SE4_IND"/>
    <x v="15"/>
    <n v="1.65807589063794"/>
    <n v="0.46057663628831802"/>
  </r>
  <r>
    <x v="0"/>
    <x v="13"/>
    <x v="9"/>
    <x v="20"/>
    <s v="SE4_IND"/>
    <x v="16"/>
    <n v="5.8520524559425198"/>
    <n v="1.6255701266507001"/>
  </r>
  <r>
    <x v="0"/>
    <x v="13"/>
    <x v="9"/>
    <x v="20"/>
    <s v="SE4_IND"/>
    <x v="17"/>
    <n v="9.1244895875632395"/>
    <n v="2.5345804409897901"/>
  </r>
  <r>
    <x v="0"/>
    <x v="13"/>
    <x v="9"/>
    <x v="20"/>
    <s v="SE4_IND"/>
    <x v="18"/>
    <n v="24.694747307373699"/>
    <n v="6.8596520298260204"/>
  </r>
  <r>
    <x v="0"/>
    <x v="13"/>
    <x v="9"/>
    <x v="20"/>
    <s v="SE4_IND"/>
    <x v="19"/>
    <n v="8.1139884009941898"/>
    <n v="2.2538856669428302"/>
  </r>
  <r>
    <x v="0"/>
    <x v="13"/>
    <x v="9"/>
    <x v="20"/>
    <s v="SE4_IND"/>
    <x v="20"/>
    <n v="20.3765303632313"/>
    <n v="5.6601473231197996"/>
  </r>
  <r>
    <x v="0"/>
    <x v="13"/>
    <x v="9"/>
    <x v="20"/>
    <s v="SE4_IND"/>
    <x v="21"/>
    <n v="48.384"/>
    <n v="13.44"/>
  </r>
  <r>
    <x v="0"/>
    <x v="13"/>
    <x v="9"/>
    <x v="20"/>
    <s v="SE4_IND"/>
    <x v="22"/>
    <n v="79.847999999999999"/>
    <n v="22.18"/>
  </r>
  <r>
    <x v="0"/>
    <x v="13"/>
    <x v="9"/>
    <x v="20"/>
    <s v="SE4_IND"/>
    <x v="23"/>
    <n v="0.31515896120488701"/>
    <n v="8.7544155890246306E-2"/>
  </r>
  <r>
    <x v="0"/>
    <x v="13"/>
    <x v="9"/>
    <x v="20"/>
    <s v="SE4_IND"/>
    <x v="24"/>
    <n v="19.174223581093901"/>
    <n v="5.32617321697054"/>
  </r>
  <r>
    <x v="0"/>
    <x v="13"/>
    <x v="9"/>
    <x v="20"/>
    <s v="SE4_IND"/>
    <x v="25"/>
    <n v="23.613931806316799"/>
    <n v="6.5594255017546796"/>
  </r>
  <r>
    <x v="0"/>
    <x v="13"/>
    <x v="9"/>
    <x v="20"/>
    <s v="SE4_IND"/>
    <x v="26"/>
    <n v="30.869217554900899"/>
    <n v="8.5747826541391401"/>
  </r>
  <r>
    <x v="0"/>
    <x v="13"/>
    <x v="9"/>
    <x v="20"/>
    <s v="SE4_IND"/>
    <x v="27"/>
    <n v="20.163995508318798"/>
    <n v="5.6011098634218799"/>
  </r>
  <r>
    <x v="0"/>
    <x v="13"/>
    <x v="9"/>
    <x v="20"/>
    <s v="SE4_Offshore"/>
    <x v="1"/>
    <n v="35.989199999999997"/>
    <n v="9.9969999999999999"/>
  </r>
  <r>
    <x v="0"/>
    <x v="13"/>
    <x v="9"/>
    <x v="20"/>
    <s v="SE4_Offshore"/>
    <x v="2"/>
    <n v="48.384"/>
    <n v="13.44"/>
  </r>
  <r>
    <x v="0"/>
    <x v="13"/>
    <x v="9"/>
    <x v="20"/>
    <s v="SE4_Offshore"/>
    <x v="0"/>
    <n v="42.692399999999999"/>
    <n v="11.859"/>
  </r>
  <r>
    <x v="0"/>
    <x v="13"/>
    <x v="9"/>
    <x v="20"/>
    <s v="SE4_Offshore"/>
    <x v="3"/>
    <n v="51.633543144067197"/>
    <n v="14.342650873352"/>
  </r>
  <r>
    <x v="0"/>
    <x v="13"/>
    <x v="9"/>
    <x v="20"/>
    <s v="SE4_Offshore"/>
    <x v="4"/>
    <n v="7.4084241922120802"/>
    <n v="2.0578956089478"/>
  </r>
  <r>
    <x v="0"/>
    <x v="13"/>
    <x v="9"/>
    <x v="20"/>
    <s v="SE4_Offshore"/>
    <x v="5"/>
    <n v="7.4084241922120802"/>
    <n v="2.0578956089478"/>
  </r>
  <r>
    <x v="0"/>
    <x v="13"/>
    <x v="9"/>
    <x v="20"/>
    <s v="SE4_Offshore"/>
    <x v="6"/>
    <n v="29.476231795214598"/>
    <n v="8.1878421653373898"/>
  </r>
  <r>
    <x v="0"/>
    <x v="13"/>
    <x v="9"/>
    <x v="20"/>
    <s v="SE4_Offshore"/>
    <x v="7"/>
    <n v="57.838935220261199"/>
    <n v="16.066370894517"/>
  </r>
  <r>
    <x v="0"/>
    <x v="13"/>
    <x v="9"/>
    <x v="20"/>
    <s v="SE4_Offshore"/>
    <x v="8"/>
    <n v="57.838935220261199"/>
    <n v="16.066370894517"/>
  </r>
  <r>
    <x v="0"/>
    <x v="13"/>
    <x v="9"/>
    <x v="20"/>
    <s v="SE4_Offshore"/>
    <x v="9"/>
    <n v="44.803327257663497"/>
    <n v="12.4453686826843"/>
  </r>
  <r>
    <x v="0"/>
    <x v="13"/>
    <x v="9"/>
    <x v="20"/>
    <s v="SE4_Offshore"/>
    <x v="10"/>
    <n v="54.681226180612903"/>
    <n v="15.1892294946147"/>
  </r>
  <r>
    <x v="0"/>
    <x v="13"/>
    <x v="9"/>
    <x v="20"/>
    <s v="SE4_Offshore"/>
    <x v="11"/>
    <n v="3.8806031483015802"/>
    <n v="1.07794531897266"/>
  </r>
  <r>
    <x v="0"/>
    <x v="13"/>
    <x v="9"/>
    <x v="20"/>
    <s v="SE4_Offshore"/>
    <x v="12"/>
    <n v="9.7995028997514597E-2"/>
    <n v="2.72208413881985E-2"/>
  </r>
  <r>
    <x v="0"/>
    <x v="13"/>
    <x v="9"/>
    <x v="20"/>
    <s v="SE4_Offshore"/>
    <x v="13"/>
    <n v="24.694747307373699"/>
    <n v="6.8596520298260204"/>
  </r>
  <r>
    <x v="0"/>
    <x v="13"/>
    <x v="9"/>
    <x v="20"/>
    <s v="SE4_Offshore"/>
    <x v="14"/>
    <n v="24.694747307373699"/>
    <n v="6.8596520298260204"/>
  </r>
  <r>
    <x v="0"/>
    <x v="13"/>
    <x v="9"/>
    <x v="20"/>
    <s v="SE4_Offshore"/>
    <x v="15"/>
    <n v="1.65807589063794"/>
    <n v="0.46057663628831802"/>
  </r>
  <r>
    <x v="0"/>
    <x v="13"/>
    <x v="9"/>
    <x v="20"/>
    <s v="SE4_Offshore"/>
    <x v="16"/>
    <n v="5.8520524559425198"/>
    <n v="1.6255701266507001"/>
  </r>
  <r>
    <x v="0"/>
    <x v="13"/>
    <x v="9"/>
    <x v="20"/>
    <s v="SE4_Offshore"/>
    <x v="17"/>
    <n v="9.1244895875632395"/>
    <n v="2.5345804409897901"/>
  </r>
  <r>
    <x v="0"/>
    <x v="13"/>
    <x v="9"/>
    <x v="20"/>
    <s v="SE4_Offshore"/>
    <x v="18"/>
    <n v="24.694747307373699"/>
    <n v="6.8596520298260204"/>
  </r>
  <r>
    <x v="0"/>
    <x v="13"/>
    <x v="9"/>
    <x v="20"/>
    <s v="SE4_Offshore"/>
    <x v="19"/>
    <n v="8.1139884009941898"/>
    <n v="2.2538856669428302"/>
  </r>
  <r>
    <x v="0"/>
    <x v="13"/>
    <x v="9"/>
    <x v="20"/>
    <s v="SE4_Offshore"/>
    <x v="20"/>
    <n v="20.3765303632313"/>
    <n v="5.6601473231197996"/>
  </r>
  <r>
    <x v="0"/>
    <x v="13"/>
    <x v="9"/>
    <x v="20"/>
    <s v="SE4_Offshore"/>
    <x v="21"/>
    <n v="48.384"/>
    <n v="13.44"/>
  </r>
  <r>
    <x v="0"/>
    <x v="13"/>
    <x v="9"/>
    <x v="20"/>
    <s v="SE4_Offshore"/>
    <x v="22"/>
    <n v="79.847999999999999"/>
    <n v="22.18"/>
  </r>
  <r>
    <x v="0"/>
    <x v="13"/>
    <x v="9"/>
    <x v="20"/>
    <s v="SE4_Offshore"/>
    <x v="23"/>
    <n v="0.31515896120488701"/>
    <n v="8.7544155890246306E-2"/>
  </r>
  <r>
    <x v="0"/>
    <x v="13"/>
    <x v="9"/>
    <x v="20"/>
    <s v="SE4_Offshore"/>
    <x v="24"/>
    <n v="19.174223581093901"/>
    <n v="5.32617321697054"/>
  </r>
  <r>
    <x v="0"/>
    <x v="13"/>
    <x v="9"/>
    <x v="20"/>
    <s v="SE4_Offshore"/>
    <x v="25"/>
    <n v="23.613931806316799"/>
    <n v="6.5594255017546796"/>
  </r>
  <r>
    <x v="0"/>
    <x v="13"/>
    <x v="9"/>
    <x v="20"/>
    <s v="SE4_Offshore"/>
    <x v="26"/>
    <n v="30.869217554900899"/>
    <n v="8.5747826541391401"/>
  </r>
  <r>
    <x v="0"/>
    <x v="13"/>
    <x v="9"/>
    <x v="20"/>
    <s v="SE4_Offshore"/>
    <x v="27"/>
    <n v="20.163995508318798"/>
    <n v="5.6011098634218799"/>
  </r>
  <r>
    <x v="0"/>
    <x v="13"/>
    <x v="9"/>
    <x v="20"/>
    <s v="SE4_large"/>
    <x v="1"/>
    <n v="35.989199999999997"/>
    <n v="9.9969999999999999"/>
  </r>
  <r>
    <x v="0"/>
    <x v="13"/>
    <x v="9"/>
    <x v="20"/>
    <s v="SE4_large"/>
    <x v="2"/>
    <n v="48.384"/>
    <n v="13.44"/>
  </r>
  <r>
    <x v="0"/>
    <x v="13"/>
    <x v="9"/>
    <x v="20"/>
    <s v="SE4_large"/>
    <x v="0"/>
    <n v="42.692399999999999"/>
    <n v="11.859"/>
  </r>
  <r>
    <x v="0"/>
    <x v="13"/>
    <x v="9"/>
    <x v="20"/>
    <s v="SE4_large"/>
    <x v="3"/>
    <n v="51.633543144067197"/>
    <n v="14.342650873352"/>
  </r>
  <r>
    <x v="0"/>
    <x v="13"/>
    <x v="9"/>
    <x v="20"/>
    <s v="SE4_large"/>
    <x v="4"/>
    <n v="7.4084241922120802"/>
    <n v="2.0578956089478"/>
  </r>
  <r>
    <x v="0"/>
    <x v="13"/>
    <x v="9"/>
    <x v="20"/>
    <s v="SE4_large"/>
    <x v="5"/>
    <n v="7.4084241922120802"/>
    <n v="2.0578956089478"/>
  </r>
  <r>
    <x v="0"/>
    <x v="13"/>
    <x v="9"/>
    <x v="20"/>
    <s v="SE4_large"/>
    <x v="6"/>
    <n v="29.476231795214598"/>
    <n v="8.1878421653373898"/>
  </r>
  <r>
    <x v="0"/>
    <x v="13"/>
    <x v="9"/>
    <x v="20"/>
    <s v="SE4_large"/>
    <x v="7"/>
    <n v="57.838935220261199"/>
    <n v="16.066370894517"/>
  </r>
  <r>
    <x v="0"/>
    <x v="13"/>
    <x v="9"/>
    <x v="20"/>
    <s v="SE4_large"/>
    <x v="8"/>
    <n v="57.838935220261199"/>
    <n v="16.066370894517"/>
  </r>
  <r>
    <x v="0"/>
    <x v="13"/>
    <x v="9"/>
    <x v="20"/>
    <s v="SE4_large"/>
    <x v="9"/>
    <n v="44.803327257663497"/>
    <n v="12.4453686826843"/>
  </r>
  <r>
    <x v="0"/>
    <x v="13"/>
    <x v="9"/>
    <x v="20"/>
    <s v="SE4_large"/>
    <x v="10"/>
    <n v="54.681226180612903"/>
    <n v="15.1892294946147"/>
  </r>
  <r>
    <x v="0"/>
    <x v="13"/>
    <x v="9"/>
    <x v="20"/>
    <s v="SE4_large"/>
    <x v="11"/>
    <n v="3.8806031483015802"/>
    <n v="1.07794531897266"/>
  </r>
  <r>
    <x v="0"/>
    <x v="13"/>
    <x v="9"/>
    <x v="20"/>
    <s v="SE4_large"/>
    <x v="12"/>
    <n v="9.7995028997514597E-2"/>
    <n v="2.72208413881985E-2"/>
  </r>
  <r>
    <x v="0"/>
    <x v="13"/>
    <x v="9"/>
    <x v="20"/>
    <s v="SE4_large"/>
    <x v="13"/>
    <n v="24.694747307373699"/>
    <n v="6.8596520298260204"/>
  </r>
  <r>
    <x v="0"/>
    <x v="13"/>
    <x v="9"/>
    <x v="20"/>
    <s v="SE4_large"/>
    <x v="14"/>
    <n v="24.694747307373699"/>
    <n v="6.8596520298260204"/>
  </r>
  <r>
    <x v="0"/>
    <x v="13"/>
    <x v="9"/>
    <x v="20"/>
    <s v="SE4_large"/>
    <x v="15"/>
    <n v="1.65807589063794"/>
    <n v="0.46057663628831802"/>
  </r>
  <r>
    <x v="0"/>
    <x v="13"/>
    <x v="9"/>
    <x v="20"/>
    <s v="SE4_large"/>
    <x v="16"/>
    <n v="5.8520524559425198"/>
    <n v="1.6255701266507001"/>
  </r>
  <r>
    <x v="0"/>
    <x v="13"/>
    <x v="9"/>
    <x v="20"/>
    <s v="SE4_large"/>
    <x v="17"/>
    <n v="9.1244895875632395"/>
    <n v="2.5345804409897901"/>
  </r>
  <r>
    <x v="0"/>
    <x v="13"/>
    <x v="9"/>
    <x v="20"/>
    <s v="SE4_large"/>
    <x v="18"/>
    <n v="24.694747307373699"/>
    <n v="6.8596520298260204"/>
  </r>
  <r>
    <x v="0"/>
    <x v="13"/>
    <x v="9"/>
    <x v="20"/>
    <s v="SE4_large"/>
    <x v="19"/>
    <n v="8.1139884009941898"/>
    <n v="2.2538856669428302"/>
  </r>
  <r>
    <x v="0"/>
    <x v="13"/>
    <x v="9"/>
    <x v="20"/>
    <s v="SE4_large"/>
    <x v="20"/>
    <n v="20.3765303632313"/>
    <n v="5.6601473231197996"/>
  </r>
  <r>
    <x v="0"/>
    <x v="13"/>
    <x v="9"/>
    <x v="20"/>
    <s v="SE4_large"/>
    <x v="21"/>
    <n v="48.384"/>
    <n v="13.44"/>
  </r>
  <r>
    <x v="0"/>
    <x v="13"/>
    <x v="9"/>
    <x v="20"/>
    <s v="SE4_large"/>
    <x v="22"/>
    <n v="79.847999999999999"/>
    <n v="22.18"/>
  </r>
  <r>
    <x v="0"/>
    <x v="13"/>
    <x v="9"/>
    <x v="20"/>
    <s v="SE4_large"/>
    <x v="23"/>
    <n v="0.31515896120488701"/>
    <n v="8.7544155890246306E-2"/>
  </r>
  <r>
    <x v="0"/>
    <x v="13"/>
    <x v="9"/>
    <x v="20"/>
    <s v="SE4_large"/>
    <x v="24"/>
    <n v="19.174223581093901"/>
    <n v="5.32617321697054"/>
  </r>
  <r>
    <x v="0"/>
    <x v="13"/>
    <x v="9"/>
    <x v="20"/>
    <s v="SE4_large"/>
    <x v="25"/>
    <n v="23.613931806316799"/>
    <n v="6.5594255017546796"/>
  </r>
  <r>
    <x v="0"/>
    <x v="13"/>
    <x v="9"/>
    <x v="20"/>
    <s v="SE4_large"/>
    <x v="26"/>
    <n v="30.869217554900899"/>
    <n v="8.5747826541391401"/>
  </r>
  <r>
    <x v="0"/>
    <x v="13"/>
    <x v="9"/>
    <x v="20"/>
    <s v="SE4_large"/>
    <x v="27"/>
    <n v="20.163995508318798"/>
    <n v="5.6011098634218799"/>
  </r>
  <r>
    <x v="0"/>
    <x v="13"/>
    <x v="9"/>
    <x v="20"/>
    <s v="SE4_medium"/>
    <x v="1"/>
    <n v="35.989199999999997"/>
    <n v="9.9969999999999999"/>
  </r>
  <r>
    <x v="0"/>
    <x v="13"/>
    <x v="9"/>
    <x v="20"/>
    <s v="SE4_medium"/>
    <x v="2"/>
    <n v="48.384"/>
    <n v="13.44"/>
  </r>
  <r>
    <x v="0"/>
    <x v="13"/>
    <x v="9"/>
    <x v="20"/>
    <s v="SE4_medium"/>
    <x v="0"/>
    <n v="42.692399999999999"/>
    <n v="11.859"/>
  </r>
  <r>
    <x v="0"/>
    <x v="13"/>
    <x v="9"/>
    <x v="20"/>
    <s v="SE4_medium"/>
    <x v="3"/>
    <n v="51.633543144067197"/>
    <n v="14.342650873352"/>
  </r>
  <r>
    <x v="0"/>
    <x v="13"/>
    <x v="9"/>
    <x v="20"/>
    <s v="SE4_medium"/>
    <x v="4"/>
    <n v="7.4084241922120802"/>
    <n v="2.0578956089478"/>
  </r>
  <r>
    <x v="0"/>
    <x v="13"/>
    <x v="9"/>
    <x v="20"/>
    <s v="SE4_medium"/>
    <x v="5"/>
    <n v="7.4084241922120802"/>
    <n v="2.0578956089478"/>
  </r>
  <r>
    <x v="0"/>
    <x v="13"/>
    <x v="9"/>
    <x v="20"/>
    <s v="SE4_medium"/>
    <x v="6"/>
    <n v="29.476231795214598"/>
    <n v="8.1878421653373898"/>
  </r>
  <r>
    <x v="0"/>
    <x v="13"/>
    <x v="9"/>
    <x v="20"/>
    <s v="SE4_medium"/>
    <x v="7"/>
    <n v="57.838935220261199"/>
    <n v="16.066370894517"/>
  </r>
  <r>
    <x v="0"/>
    <x v="13"/>
    <x v="9"/>
    <x v="20"/>
    <s v="SE4_medium"/>
    <x v="8"/>
    <n v="57.838935220261199"/>
    <n v="16.066370894517"/>
  </r>
  <r>
    <x v="0"/>
    <x v="13"/>
    <x v="9"/>
    <x v="20"/>
    <s v="SE4_medium"/>
    <x v="9"/>
    <n v="44.803327257663497"/>
    <n v="12.4453686826843"/>
  </r>
  <r>
    <x v="0"/>
    <x v="13"/>
    <x v="9"/>
    <x v="20"/>
    <s v="SE4_medium"/>
    <x v="10"/>
    <n v="54.681226180612903"/>
    <n v="15.1892294946147"/>
  </r>
  <r>
    <x v="0"/>
    <x v="13"/>
    <x v="9"/>
    <x v="20"/>
    <s v="SE4_medium"/>
    <x v="11"/>
    <n v="3.8806031483015802"/>
    <n v="1.07794531897266"/>
  </r>
  <r>
    <x v="0"/>
    <x v="13"/>
    <x v="9"/>
    <x v="20"/>
    <s v="SE4_medium"/>
    <x v="12"/>
    <n v="9.7995028997514597E-2"/>
    <n v="2.72208413881985E-2"/>
  </r>
  <r>
    <x v="0"/>
    <x v="13"/>
    <x v="9"/>
    <x v="20"/>
    <s v="SE4_medium"/>
    <x v="13"/>
    <n v="24.694747307373699"/>
    <n v="6.8596520298260204"/>
  </r>
  <r>
    <x v="0"/>
    <x v="13"/>
    <x v="9"/>
    <x v="20"/>
    <s v="SE4_medium"/>
    <x v="14"/>
    <n v="24.694747307373699"/>
    <n v="6.8596520298260204"/>
  </r>
  <r>
    <x v="0"/>
    <x v="13"/>
    <x v="9"/>
    <x v="20"/>
    <s v="SE4_medium"/>
    <x v="15"/>
    <n v="1.65807589063794"/>
    <n v="0.46057663628831802"/>
  </r>
  <r>
    <x v="0"/>
    <x v="13"/>
    <x v="9"/>
    <x v="20"/>
    <s v="SE4_medium"/>
    <x v="16"/>
    <n v="5.8520524559425198"/>
    <n v="1.6255701266507001"/>
  </r>
  <r>
    <x v="0"/>
    <x v="13"/>
    <x v="9"/>
    <x v="20"/>
    <s v="SE4_medium"/>
    <x v="17"/>
    <n v="9.1244895875632395"/>
    <n v="2.5345804409897901"/>
  </r>
  <r>
    <x v="0"/>
    <x v="13"/>
    <x v="9"/>
    <x v="20"/>
    <s v="SE4_medium"/>
    <x v="18"/>
    <n v="24.694747307373699"/>
    <n v="6.8596520298260204"/>
  </r>
  <r>
    <x v="0"/>
    <x v="13"/>
    <x v="9"/>
    <x v="20"/>
    <s v="SE4_medium"/>
    <x v="19"/>
    <n v="8.1139884009941898"/>
    <n v="2.2538856669428302"/>
  </r>
  <r>
    <x v="0"/>
    <x v="13"/>
    <x v="9"/>
    <x v="20"/>
    <s v="SE4_medium"/>
    <x v="20"/>
    <n v="20.3765303632313"/>
    <n v="5.6601473231197996"/>
  </r>
  <r>
    <x v="0"/>
    <x v="13"/>
    <x v="9"/>
    <x v="20"/>
    <s v="SE4_medium"/>
    <x v="21"/>
    <n v="48.384"/>
    <n v="13.44"/>
  </r>
  <r>
    <x v="0"/>
    <x v="13"/>
    <x v="9"/>
    <x v="20"/>
    <s v="SE4_medium"/>
    <x v="22"/>
    <n v="79.847999999999999"/>
    <n v="22.18"/>
  </r>
  <r>
    <x v="0"/>
    <x v="13"/>
    <x v="9"/>
    <x v="20"/>
    <s v="SE4_medium"/>
    <x v="23"/>
    <n v="0.31515896120488701"/>
    <n v="8.7544155890246306E-2"/>
  </r>
  <r>
    <x v="0"/>
    <x v="13"/>
    <x v="9"/>
    <x v="20"/>
    <s v="SE4_medium"/>
    <x v="24"/>
    <n v="19.174223581093901"/>
    <n v="5.32617321697054"/>
  </r>
  <r>
    <x v="0"/>
    <x v="13"/>
    <x v="9"/>
    <x v="20"/>
    <s v="SE4_medium"/>
    <x v="25"/>
    <n v="23.613931806316799"/>
    <n v="6.5594255017546796"/>
  </r>
  <r>
    <x v="0"/>
    <x v="13"/>
    <x v="9"/>
    <x v="20"/>
    <s v="SE4_medium"/>
    <x v="26"/>
    <n v="30.869217554900899"/>
    <n v="8.5747826541391401"/>
  </r>
  <r>
    <x v="0"/>
    <x v="13"/>
    <x v="9"/>
    <x v="20"/>
    <s v="SE4_medium"/>
    <x v="27"/>
    <n v="20.163995508318798"/>
    <n v="5.6011098634218799"/>
  </r>
  <r>
    <x v="0"/>
    <x v="13"/>
    <x v="9"/>
    <x v="20"/>
    <s v="SE4_small"/>
    <x v="1"/>
    <n v="35.989199999999997"/>
    <n v="9.9969999999999999"/>
  </r>
  <r>
    <x v="0"/>
    <x v="13"/>
    <x v="9"/>
    <x v="20"/>
    <s v="SE4_small"/>
    <x v="2"/>
    <n v="48.384"/>
    <n v="13.44"/>
  </r>
  <r>
    <x v="0"/>
    <x v="13"/>
    <x v="9"/>
    <x v="20"/>
    <s v="SE4_small"/>
    <x v="0"/>
    <n v="42.692399999999999"/>
    <n v="11.859"/>
  </r>
  <r>
    <x v="0"/>
    <x v="13"/>
    <x v="9"/>
    <x v="20"/>
    <s v="SE4_small"/>
    <x v="3"/>
    <n v="51.633543144067197"/>
    <n v="14.342650873352"/>
  </r>
  <r>
    <x v="0"/>
    <x v="13"/>
    <x v="9"/>
    <x v="20"/>
    <s v="SE4_small"/>
    <x v="4"/>
    <n v="7.4084241922120802"/>
    <n v="2.0578956089478"/>
  </r>
  <r>
    <x v="0"/>
    <x v="13"/>
    <x v="9"/>
    <x v="20"/>
    <s v="SE4_small"/>
    <x v="5"/>
    <n v="7.4084241922120802"/>
    <n v="2.0578956089478"/>
  </r>
  <r>
    <x v="0"/>
    <x v="13"/>
    <x v="9"/>
    <x v="20"/>
    <s v="SE4_small"/>
    <x v="6"/>
    <n v="29.476231795214598"/>
    <n v="8.1878421653373898"/>
  </r>
  <r>
    <x v="0"/>
    <x v="13"/>
    <x v="9"/>
    <x v="20"/>
    <s v="SE4_small"/>
    <x v="7"/>
    <n v="57.838935220261199"/>
    <n v="16.066370894517"/>
  </r>
  <r>
    <x v="0"/>
    <x v="13"/>
    <x v="9"/>
    <x v="20"/>
    <s v="SE4_small"/>
    <x v="8"/>
    <n v="57.838935220261199"/>
    <n v="16.066370894517"/>
  </r>
  <r>
    <x v="0"/>
    <x v="13"/>
    <x v="9"/>
    <x v="20"/>
    <s v="SE4_small"/>
    <x v="9"/>
    <n v="44.803327257663497"/>
    <n v="12.4453686826843"/>
  </r>
  <r>
    <x v="0"/>
    <x v="13"/>
    <x v="9"/>
    <x v="20"/>
    <s v="SE4_small"/>
    <x v="10"/>
    <n v="54.681226180612903"/>
    <n v="15.1892294946147"/>
  </r>
  <r>
    <x v="0"/>
    <x v="13"/>
    <x v="9"/>
    <x v="20"/>
    <s v="SE4_small"/>
    <x v="11"/>
    <n v="3.8806031483015802"/>
    <n v="1.07794531897266"/>
  </r>
  <r>
    <x v="0"/>
    <x v="13"/>
    <x v="9"/>
    <x v="20"/>
    <s v="SE4_small"/>
    <x v="12"/>
    <n v="9.7995028997514597E-2"/>
    <n v="2.72208413881985E-2"/>
  </r>
  <r>
    <x v="0"/>
    <x v="13"/>
    <x v="9"/>
    <x v="20"/>
    <s v="SE4_small"/>
    <x v="13"/>
    <n v="24.694747307373699"/>
    <n v="6.8596520298260204"/>
  </r>
  <r>
    <x v="0"/>
    <x v="13"/>
    <x v="9"/>
    <x v="20"/>
    <s v="SE4_small"/>
    <x v="14"/>
    <n v="24.694747307373699"/>
    <n v="6.8596520298260204"/>
  </r>
  <r>
    <x v="0"/>
    <x v="13"/>
    <x v="9"/>
    <x v="20"/>
    <s v="SE4_small"/>
    <x v="15"/>
    <n v="1.65807589063794"/>
    <n v="0.46057663628831802"/>
  </r>
  <r>
    <x v="0"/>
    <x v="13"/>
    <x v="9"/>
    <x v="20"/>
    <s v="SE4_small"/>
    <x v="16"/>
    <n v="5.8520524559425198"/>
    <n v="1.6255701266507001"/>
  </r>
  <r>
    <x v="0"/>
    <x v="13"/>
    <x v="9"/>
    <x v="20"/>
    <s v="SE4_small"/>
    <x v="17"/>
    <n v="9.1244895875632395"/>
    <n v="2.5345804409897901"/>
  </r>
  <r>
    <x v="0"/>
    <x v="13"/>
    <x v="9"/>
    <x v="20"/>
    <s v="SE4_small"/>
    <x v="18"/>
    <n v="24.694747307373699"/>
    <n v="6.8596520298260204"/>
  </r>
  <r>
    <x v="0"/>
    <x v="13"/>
    <x v="9"/>
    <x v="20"/>
    <s v="SE4_small"/>
    <x v="19"/>
    <n v="8.1139884009941898"/>
    <n v="2.2538856669428302"/>
  </r>
  <r>
    <x v="0"/>
    <x v="13"/>
    <x v="9"/>
    <x v="20"/>
    <s v="SE4_small"/>
    <x v="20"/>
    <n v="20.3765303632313"/>
    <n v="5.6601473231197996"/>
  </r>
  <r>
    <x v="0"/>
    <x v="13"/>
    <x v="9"/>
    <x v="20"/>
    <s v="SE4_small"/>
    <x v="21"/>
    <n v="48.384"/>
    <n v="13.44"/>
  </r>
  <r>
    <x v="0"/>
    <x v="13"/>
    <x v="9"/>
    <x v="20"/>
    <s v="SE4_small"/>
    <x v="22"/>
    <n v="79.847999999999999"/>
    <n v="22.18"/>
  </r>
  <r>
    <x v="0"/>
    <x v="13"/>
    <x v="9"/>
    <x v="20"/>
    <s v="SE4_small"/>
    <x v="23"/>
    <n v="0.31515896120488701"/>
    <n v="8.7544155890246306E-2"/>
  </r>
  <r>
    <x v="0"/>
    <x v="13"/>
    <x v="9"/>
    <x v="20"/>
    <s v="SE4_small"/>
    <x v="24"/>
    <n v="19.174223581093901"/>
    <n v="5.32617321697054"/>
  </r>
  <r>
    <x v="0"/>
    <x v="13"/>
    <x v="9"/>
    <x v="20"/>
    <s v="SE4_small"/>
    <x v="25"/>
    <n v="23.613931806316799"/>
    <n v="6.5594255017546796"/>
  </r>
  <r>
    <x v="0"/>
    <x v="13"/>
    <x v="9"/>
    <x v="20"/>
    <s v="SE4_small"/>
    <x v="26"/>
    <n v="30.869217554900899"/>
    <n v="8.5747826541391401"/>
  </r>
  <r>
    <x v="0"/>
    <x v="13"/>
    <x v="9"/>
    <x v="20"/>
    <s v="SE4_small"/>
    <x v="27"/>
    <n v="20.163995508318798"/>
    <n v="5.6011098634218799"/>
  </r>
  <r>
    <x v="0"/>
    <x v="13"/>
    <x v="10"/>
    <x v="21"/>
    <s v="UK_A"/>
    <x v="1"/>
    <n v="35.989199999999997"/>
    <n v="9.9969999999999999"/>
  </r>
  <r>
    <x v="0"/>
    <x v="13"/>
    <x v="10"/>
    <x v="21"/>
    <s v="UK_A"/>
    <x v="2"/>
    <n v="48.384"/>
    <n v="13.44"/>
  </r>
  <r>
    <x v="0"/>
    <x v="13"/>
    <x v="10"/>
    <x v="21"/>
    <s v="UK_A"/>
    <x v="0"/>
    <n v="42.692399999999999"/>
    <n v="11.859"/>
  </r>
  <r>
    <x v="0"/>
    <x v="13"/>
    <x v="10"/>
    <x v="21"/>
    <s v="UK_A"/>
    <x v="3"/>
    <n v="51.633543144067197"/>
    <n v="14.342650873352"/>
  </r>
  <r>
    <x v="0"/>
    <x v="13"/>
    <x v="10"/>
    <x v="21"/>
    <s v="UK_A"/>
    <x v="4"/>
    <n v="7.4084241922120802"/>
    <n v="2.0578956089478"/>
  </r>
  <r>
    <x v="0"/>
    <x v="13"/>
    <x v="10"/>
    <x v="21"/>
    <s v="UK_A"/>
    <x v="5"/>
    <n v="7.4084241922120802"/>
    <n v="2.0578956089478"/>
  </r>
  <r>
    <x v="0"/>
    <x v="13"/>
    <x v="10"/>
    <x v="21"/>
    <s v="UK_A"/>
    <x v="6"/>
    <n v="29.476231795214598"/>
    <n v="8.1878421653373898"/>
  </r>
  <r>
    <x v="0"/>
    <x v="13"/>
    <x v="10"/>
    <x v="21"/>
    <s v="UK_A"/>
    <x v="7"/>
    <n v="57.838935220261199"/>
    <n v="16.066370894517"/>
  </r>
  <r>
    <x v="0"/>
    <x v="13"/>
    <x v="10"/>
    <x v="21"/>
    <s v="UK_A"/>
    <x v="8"/>
    <n v="57.838935220261199"/>
    <n v="16.066370894517"/>
  </r>
  <r>
    <x v="0"/>
    <x v="13"/>
    <x v="10"/>
    <x v="21"/>
    <s v="UK_A"/>
    <x v="9"/>
    <n v="44.803327257663497"/>
    <n v="12.4453686826843"/>
  </r>
  <r>
    <x v="0"/>
    <x v="13"/>
    <x v="10"/>
    <x v="21"/>
    <s v="UK_A"/>
    <x v="10"/>
    <n v="54.681226180612903"/>
    <n v="15.1892294946147"/>
  </r>
  <r>
    <x v="0"/>
    <x v="13"/>
    <x v="10"/>
    <x v="21"/>
    <s v="UK_A"/>
    <x v="11"/>
    <n v="3.8806031483015802"/>
    <n v="1.07794531897266"/>
  </r>
  <r>
    <x v="0"/>
    <x v="13"/>
    <x v="10"/>
    <x v="21"/>
    <s v="UK_A"/>
    <x v="12"/>
    <n v="9.7995028997514597E-2"/>
    <n v="2.72208413881985E-2"/>
  </r>
  <r>
    <x v="0"/>
    <x v="13"/>
    <x v="10"/>
    <x v="21"/>
    <s v="UK_A"/>
    <x v="13"/>
    <n v="24.694747307373699"/>
    <n v="6.8596520298260204"/>
  </r>
  <r>
    <x v="0"/>
    <x v="13"/>
    <x v="10"/>
    <x v="21"/>
    <s v="UK_A"/>
    <x v="14"/>
    <n v="24.694747307373699"/>
    <n v="6.8596520298260204"/>
  </r>
  <r>
    <x v="0"/>
    <x v="13"/>
    <x v="10"/>
    <x v="21"/>
    <s v="UK_A"/>
    <x v="15"/>
    <n v="1.65807589063794"/>
    <n v="0.46057663628831802"/>
  </r>
  <r>
    <x v="0"/>
    <x v="13"/>
    <x v="10"/>
    <x v="21"/>
    <s v="UK_A"/>
    <x v="16"/>
    <n v="5.8520524559425198"/>
    <n v="1.6255701266507001"/>
  </r>
  <r>
    <x v="0"/>
    <x v="13"/>
    <x v="10"/>
    <x v="21"/>
    <s v="UK_A"/>
    <x v="17"/>
    <n v="9.1244895875632395"/>
    <n v="2.5345804409897901"/>
  </r>
  <r>
    <x v="0"/>
    <x v="13"/>
    <x v="10"/>
    <x v="21"/>
    <s v="UK_A"/>
    <x v="18"/>
    <n v="24.694747307373699"/>
    <n v="6.8596520298260204"/>
  </r>
  <r>
    <x v="0"/>
    <x v="13"/>
    <x v="10"/>
    <x v="21"/>
    <s v="UK_A"/>
    <x v="19"/>
    <n v="8.1139884009941898"/>
    <n v="2.2538856669428302"/>
  </r>
  <r>
    <x v="0"/>
    <x v="13"/>
    <x v="10"/>
    <x v="21"/>
    <s v="UK_A"/>
    <x v="20"/>
    <n v="20.3765303632313"/>
    <n v="5.6601473231197996"/>
  </r>
  <r>
    <x v="0"/>
    <x v="13"/>
    <x v="10"/>
    <x v="21"/>
    <s v="UK_A"/>
    <x v="21"/>
    <n v="48.384"/>
    <n v="13.44"/>
  </r>
  <r>
    <x v="0"/>
    <x v="13"/>
    <x v="10"/>
    <x v="21"/>
    <s v="UK_A"/>
    <x v="22"/>
    <n v="79.847999999999999"/>
    <n v="22.18"/>
  </r>
  <r>
    <x v="0"/>
    <x v="13"/>
    <x v="10"/>
    <x v="21"/>
    <s v="UK_A"/>
    <x v="23"/>
    <n v="0.31515896120488701"/>
    <n v="8.7544155890246306E-2"/>
  </r>
  <r>
    <x v="0"/>
    <x v="13"/>
    <x v="10"/>
    <x v="21"/>
    <s v="UK_A"/>
    <x v="24"/>
    <n v="19.174223581093901"/>
    <n v="5.32617321697054"/>
  </r>
  <r>
    <x v="0"/>
    <x v="13"/>
    <x v="10"/>
    <x v="21"/>
    <s v="UK_A"/>
    <x v="25"/>
    <n v="23.613931806316799"/>
    <n v="6.5594255017546796"/>
  </r>
  <r>
    <x v="0"/>
    <x v="13"/>
    <x v="10"/>
    <x v="21"/>
    <s v="UK_A"/>
    <x v="26"/>
    <n v="30.869217554900899"/>
    <n v="8.5747826541391401"/>
  </r>
  <r>
    <x v="0"/>
    <x v="13"/>
    <x v="10"/>
    <x v="21"/>
    <s v="UK_A"/>
    <x v="27"/>
    <n v="20.163995508318798"/>
    <n v="5.6011098634218799"/>
  </r>
  <r>
    <x v="0"/>
    <x v="13"/>
    <x v="10"/>
    <x v="21"/>
    <s v="UK_Offshore"/>
    <x v="1"/>
    <n v="35.989199999999997"/>
    <n v="9.9969999999999999"/>
  </r>
  <r>
    <x v="0"/>
    <x v="13"/>
    <x v="10"/>
    <x v="21"/>
    <s v="UK_Offshore"/>
    <x v="2"/>
    <n v="48.384"/>
    <n v="13.44"/>
  </r>
  <r>
    <x v="0"/>
    <x v="13"/>
    <x v="10"/>
    <x v="21"/>
    <s v="UK_Offshore"/>
    <x v="0"/>
    <n v="42.692399999999999"/>
    <n v="11.859"/>
  </r>
  <r>
    <x v="0"/>
    <x v="13"/>
    <x v="10"/>
    <x v="21"/>
    <s v="UK_Offshore"/>
    <x v="3"/>
    <n v="51.633543144067197"/>
    <n v="14.342650873352"/>
  </r>
  <r>
    <x v="0"/>
    <x v="13"/>
    <x v="10"/>
    <x v="21"/>
    <s v="UK_Offshore"/>
    <x v="4"/>
    <n v="7.4084241922120802"/>
    <n v="2.0578956089478"/>
  </r>
  <r>
    <x v="0"/>
    <x v="13"/>
    <x v="10"/>
    <x v="21"/>
    <s v="UK_Offshore"/>
    <x v="5"/>
    <n v="7.4084241922120802"/>
    <n v="2.0578956089478"/>
  </r>
  <r>
    <x v="0"/>
    <x v="13"/>
    <x v="10"/>
    <x v="21"/>
    <s v="UK_Offshore"/>
    <x v="6"/>
    <n v="29.476231795214598"/>
    <n v="8.1878421653373898"/>
  </r>
  <r>
    <x v="0"/>
    <x v="13"/>
    <x v="10"/>
    <x v="21"/>
    <s v="UK_Offshore"/>
    <x v="7"/>
    <n v="57.838935220261199"/>
    <n v="16.066370894517"/>
  </r>
  <r>
    <x v="0"/>
    <x v="13"/>
    <x v="10"/>
    <x v="21"/>
    <s v="UK_Offshore"/>
    <x v="8"/>
    <n v="57.838935220261199"/>
    <n v="16.066370894517"/>
  </r>
  <r>
    <x v="0"/>
    <x v="13"/>
    <x v="10"/>
    <x v="21"/>
    <s v="UK_Offshore"/>
    <x v="9"/>
    <n v="44.803327257663497"/>
    <n v="12.4453686826843"/>
  </r>
  <r>
    <x v="0"/>
    <x v="13"/>
    <x v="10"/>
    <x v="21"/>
    <s v="UK_Offshore"/>
    <x v="10"/>
    <n v="54.681226180612903"/>
    <n v="15.1892294946147"/>
  </r>
  <r>
    <x v="0"/>
    <x v="13"/>
    <x v="10"/>
    <x v="21"/>
    <s v="UK_Offshore"/>
    <x v="11"/>
    <n v="3.8806031483015802"/>
    <n v="1.07794531897266"/>
  </r>
  <r>
    <x v="0"/>
    <x v="13"/>
    <x v="10"/>
    <x v="21"/>
    <s v="UK_Offshore"/>
    <x v="12"/>
    <n v="9.7995028997514597E-2"/>
    <n v="2.72208413881985E-2"/>
  </r>
  <r>
    <x v="0"/>
    <x v="13"/>
    <x v="10"/>
    <x v="21"/>
    <s v="UK_Offshore"/>
    <x v="13"/>
    <n v="24.694747307373699"/>
    <n v="6.8596520298260204"/>
  </r>
  <r>
    <x v="0"/>
    <x v="13"/>
    <x v="10"/>
    <x v="21"/>
    <s v="UK_Offshore"/>
    <x v="14"/>
    <n v="24.694747307373699"/>
    <n v="6.8596520298260204"/>
  </r>
  <r>
    <x v="0"/>
    <x v="13"/>
    <x v="10"/>
    <x v="21"/>
    <s v="UK_Offshore"/>
    <x v="15"/>
    <n v="1.65807589063794"/>
    <n v="0.46057663628831802"/>
  </r>
  <r>
    <x v="0"/>
    <x v="13"/>
    <x v="10"/>
    <x v="21"/>
    <s v="UK_Offshore"/>
    <x v="16"/>
    <n v="5.8520524559425198"/>
    <n v="1.6255701266507001"/>
  </r>
  <r>
    <x v="0"/>
    <x v="13"/>
    <x v="10"/>
    <x v="21"/>
    <s v="UK_Offshore"/>
    <x v="17"/>
    <n v="9.1244895875632395"/>
    <n v="2.5345804409897901"/>
  </r>
  <r>
    <x v="0"/>
    <x v="13"/>
    <x v="10"/>
    <x v="21"/>
    <s v="UK_Offshore"/>
    <x v="18"/>
    <n v="24.694747307373699"/>
    <n v="6.8596520298260204"/>
  </r>
  <r>
    <x v="0"/>
    <x v="13"/>
    <x v="10"/>
    <x v="21"/>
    <s v="UK_Offshore"/>
    <x v="19"/>
    <n v="8.1139884009941898"/>
    <n v="2.2538856669428302"/>
  </r>
  <r>
    <x v="0"/>
    <x v="13"/>
    <x v="10"/>
    <x v="21"/>
    <s v="UK_Offshore"/>
    <x v="20"/>
    <n v="20.3765303632313"/>
    <n v="5.6601473231197996"/>
  </r>
  <r>
    <x v="0"/>
    <x v="13"/>
    <x v="10"/>
    <x v="21"/>
    <s v="UK_Offshore"/>
    <x v="21"/>
    <n v="48.384"/>
    <n v="13.44"/>
  </r>
  <r>
    <x v="0"/>
    <x v="13"/>
    <x v="10"/>
    <x v="21"/>
    <s v="UK_Offshore"/>
    <x v="22"/>
    <n v="79.847999999999999"/>
    <n v="22.18"/>
  </r>
  <r>
    <x v="0"/>
    <x v="13"/>
    <x v="10"/>
    <x v="21"/>
    <s v="UK_Offshore"/>
    <x v="23"/>
    <n v="0.31515896120488701"/>
    <n v="8.7544155890246306E-2"/>
  </r>
  <r>
    <x v="0"/>
    <x v="13"/>
    <x v="10"/>
    <x v="21"/>
    <s v="UK_Offshore"/>
    <x v="24"/>
    <n v="19.174223581093901"/>
    <n v="5.32617321697054"/>
  </r>
  <r>
    <x v="0"/>
    <x v="13"/>
    <x v="10"/>
    <x v="21"/>
    <s v="UK_Offshore"/>
    <x v="25"/>
    <n v="23.613931806316799"/>
    <n v="6.5594255017546796"/>
  </r>
  <r>
    <x v="0"/>
    <x v="13"/>
    <x v="10"/>
    <x v="21"/>
    <s v="UK_Offshore"/>
    <x v="26"/>
    <n v="30.869217554900899"/>
    <n v="8.5747826541391401"/>
  </r>
  <r>
    <x v="0"/>
    <x v="13"/>
    <x v="10"/>
    <x v="21"/>
    <s v="UK_Offshore"/>
    <x v="27"/>
    <n v="20.163995508318798"/>
    <n v="5.6011098634218799"/>
  </r>
  <r>
    <x v="0"/>
    <x v="14"/>
    <x v="0"/>
    <x v="0"/>
    <s v="DK1_Large"/>
    <x v="2"/>
    <n v="48.384"/>
    <n v="13.44"/>
  </r>
  <r>
    <x v="0"/>
    <x v="14"/>
    <x v="0"/>
    <x v="0"/>
    <s v="DK1_Large"/>
    <x v="0"/>
    <n v="42.692399999999999"/>
    <n v="11.859"/>
  </r>
  <r>
    <x v="0"/>
    <x v="14"/>
    <x v="0"/>
    <x v="0"/>
    <s v="DK1_Large"/>
    <x v="21"/>
    <n v="48.384"/>
    <n v="13.44"/>
  </r>
  <r>
    <x v="0"/>
    <x v="14"/>
    <x v="0"/>
    <x v="0"/>
    <s v="DK1_Large"/>
    <x v="22"/>
    <n v="79.847999999999999"/>
    <n v="22.18"/>
  </r>
  <r>
    <x v="0"/>
    <x v="14"/>
    <x v="0"/>
    <x v="0"/>
    <s v="DK1_Large_PHH"/>
    <x v="2"/>
    <n v="48.384"/>
    <n v="13.44"/>
  </r>
  <r>
    <x v="0"/>
    <x v="14"/>
    <x v="0"/>
    <x v="0"/>
    <s v="DK1_Large_PHH"/>
    <x v="0"/>
    <n v="42.692399999999999"/>
    <n v="11.859"/>
  </r>
  <r>
    <x v="0"/>
    <x v="14"/>
    <x v="0"/>
    <x v="0"/>
    <s v="DK1_Large_PHH"/>
    <x v="21"/>
    <n v="48.384"/>
    <n v="13.44"/>
  </r>
  <r>
    <x v="0"/>
    <x v="14"/>
    <x v="0"/>
    <x v="0"/>
    <s v="DK1_Large_PHH"/>
    <x v="22"/>
    <n v="79.847999999999999"/>
    <n v="22.18"/>
  </r>
  <r>
    <x v="0"/>
    <x v="14"/>
    <x v="0"/>
    <x v="0"/>
    <s v="DK1_Large_PHL"/>
    <x v="2"/>
    <n v="48.384"/>
    <n v="13.44"/>
  </r>
  <r>
    <x v="0"/>
    <x v="14"/>
    <x v="0"/>
    <x v="0"/>
    <s v="DK1_Large_PHL"/>
    <x v="0"/>
    <n v="42.692399999999999"/>
    <n v="11.859"/>
  </r>
  <r>
    <x v="0"/>
    <x v="14"/>
    <x v="0"/>
    <x v="0"/>
    <s v="DK1_Large_PHL"/>
    <x v="21"/>
    <n v="48.384"/>
    <n v="13.44"/>
  </r>
  <r>
    <x v="0"/>
    <x v="14"/>
    <x v="0"/>
    <x v="0"/>
    <s v="DK1_Large_PHL"/>
    <x v="22"/>
    <n v="79.847999999999999"/>
    <n v="22.18"/>
  </r>
  <r>
    <x v="0"/>
    <x v="14"/>
    <x v="0"/>
    <x v="0"/>
    <s v="DK1_MedSmall"/>
    <x v="2"/>
    <n v="48.384"/>
    <n v="13.44"/>
  </r>
  <r>
    <x v="0"/>
    <x v="14"/>
    <x v="0"/>
    <x v="0"/>
    <s v="DK1_MedSmall"/>
    <x v="0"/>
    <n v="42.692399999999999"/>
    <n v="11.859"/>
  </r>
  <r>
    <x v="0"/>
    <x v="14"/>
    <x v="0"/>
    <x v="0"/>
    <s v="DK1_MedSmall"/>
    <x v="21"/>
    <n v="48.384"/>
    <n v="13.44"/>
  </r>
  <r>
    <x v="0"/>
    <x v="14"/>
    <x v="0"/>
    <x v="0"/>
    <s v="DK1_MedSmall"/>
    <x v="22"/>
    <n v="79.847999999999999"/>
    <n v="22.18"/>
  </r>
  <r>
    <x v="0"/>
    <x v="14"/>
    <x v="0"/>
    <x v="0"/>
    <s v="DK1_Medium"/>
    <x v="2"/>
    <n v="48.384"/>
    <n v="13.44"/>
  </r>
  <r>
    <x v="0"/>
    <x v="14"/>
    <x v="0"/>
    <x v="0"/>
    <s v="DK1_Medium"/>
    <x v="0"/>
    <n v="42.692399999999999"/>
    <n v="11.859"/>
  </r>
  <r>
    <x v="0"/>
    <x v="14"/>
    <x v="0"/>
    <x v="0"/>
    <s v="DK1_Medium"/>
    <x v="21"/>
    <n v="48.384"/>
    <n v="13.44"/>
  </r>
  <r>
    <x v="0"/>
    <x v="14"/>
    <x v="0"/>
    <x v="0"/>
    <s v="DK1_Medium"/>
    <x v="22"/>
    <n v="79.847999999999999"/>
    <n v="22.18"/>
  </r>
  <r>
    <x v="0"/>
    <x v="14"/>
    <x v="0"/>
    <x v="0"/>
    <s v="DK1_NoDH"/>
    <x v="2"/>
    <n v="48.384"/>
    <n v="13.44"/>
  </r>
  <r>
    <x v="0"/>
    <x v="14"/>
    <x v="0"/>
    <x v="0"/>
    <s v="DK1_NoDH"/>
    <x v="0"/>
    <n v="42.692399999999999"/>
    <n v="11.859"/>
  </r>
  <r>
    <x v="0"/>
    <x v="14"/>
    <x v="0"/>
    <x v="0"/>
    <s v="DK1_NoDH"/>
    <x v="21"/>
    <n v="48.384"/>
    <n v="13.44"/>
  </r>
  <r>
    <x v="0"/>
    <x v="14"/>
    <x v="0"/>
    <x v="0"/>
    <s v="DK1_NoDH"/>
    <x v="22"/>
    <n v="79.847999999999999"/>
    <n v="22.18"/>
  </r>
  <r>
    <x v="0"/>
    <x v="14"/>
    <x v="0"/>
    <x v="0"/>
    <s v="DK1_NoDH_PHH"/>
    <x v="2"/>
    <n v="48.384"/>
    <n v="13.44"/>
  </r>
  <r>
    <x v="0"/>
    <x v="14"/>
    <x v="0"/>
    <x v="0"/>
    <s v="DK1_NoDH_PHH"/>
    <x v="0"/>
    <n v="42.692399999999999"/>
    <n v="11.859"/>
  </r>
  <r>
    <x v="0"/>
    <x v="14"/>
    <x v="0"/>
    <x v="0"/>
    <s v="DK1_NoDH_PHH"/>
    <x v="21"/>
    <n v="48.384"/>
    <n v="13.44"/>
  </r>
  <r>
    <x v="0"/>
    <x v="14"/>
    <x v="0"/>
    <x v="0"/>
    <s v="DK1_NoDH_PHH"/>
    <x v="22"/>
    <n v="79.847999999999999"/>
    <n v="22.18"/>
  </r>
  <r>
    <x v="0"/>
    <x v="14"/>
    <x v="0"/>
    <x v="0"/>
    <s v="DK1_NoDH_PHL"/>
    <x v="2"/>
    <n v="48.384"/>
    <n v="13.44"/>
  </r>
  <r>
    <x v="0"/>
    <x v="14"/>
    <x v="0"/>
    <x v="0"/>
    <s v="DK1_NoDH_PHL"/>
    <x v="0"/>
    <n v="42.692399999999999"/>
    <n v="11.859"/>
  </r>
  <r>
    <x v="0"/>
    <x v="14"/>
    <x v="0"/>
    <x v="0"/>
    <s v="DK1_NoDH_PHL"/>
    <x v="21"/>
    <n v="48.384"/>
    <n v="13.44"/>
  </r>
  <r>
    <x v="0"/>
    <x v="14"/>
    <x v="0"/>
    <x v="0"/>
    <s v="DK1_NoDH_PHL"/>
    <x v="22"/>
    <n v="79.847999999999999"/>
    <n v="22.18"/>
  </r>
  <r>
    <x v="0"/>
    <x v="14"/>
    <x v="0"/>
    <x v="0"/>
    <s v="DK1_Offshore"/>
    <x v="2"/>
    <n v="48.384"/>
    <n v="13.44"/>
  </r>
  <r>
    <x v="0"/>
    <x v="14"/>
    <x v="0"/>
    <x v="0"/>
    <s v="DK1_Offshore"/>
    <x v="0"/>
    <n v="42.692399999999999"/>
    <n v="11.859"/>
  </r>
  <r>
    <x v="0"/>
    <x v="14"/>
    <x v="0"/>
    <x v="0"/>
    <s v="DK1_Offshore"/>
    <x v="21"/>
    <n v="48.384"/>
    <n v="13.44"/>
  </r>
  <r>
    <x v="0"/>
    <x v="14"/>
    <x v="0"/>
    <x v="0"/>
    <s v="DK1_Offshore"/>
    <x v="22"/>
    <n v="79.847999999999999"/>
    <n v="22.18"/>
  </r>
  <r>
    <x v="0"/>
    <x v="14"/>
    <x v="0"/>
    <x v="0"/>
    <s v="DK1_Rural"/>
    <x v="2"/>
    <n v="48.384"/>
    <n v="13.44"/>
  </r>
  <r>
    <x v="0"/>
    <x v="14"/>
    <x v="0"/>
    <x v="0"/>
    <s v="DK1_Rural"/>
    <x v="0"/>
    <n v="42.692399999999999"/>
    <n v="11.859"/>
  </r>
  <r>
    <x v="0"/>
    <x v="14"/>
    <x v="0"/>
    <x v="0"/>
    <s v="DK1_Rural"/>
    <x v="21"/>
    <n v="48.384"/>
    <n v="13.44"/>
  </r>
  <r>
    <x v="0"/>
    <x v="14"/>
    <x v="0"/>
    <x v="0"/>
    <s v="DK1_Rural"/>
    <x v="22"/>
    <n v="79.847999999999999"/>
    <n v="22.18"/>
  </r>
  <r>
    <x v="0"/>
    <x v="14"/>
    <x v="0"/>
    <x v="0"/>
    <s v="DK1_Small"/>
    <x v="2"/>
    <n v="48.384"/>
    <n v="13.44"/>
  </r>
  <r>
    <x v="0"/>
    <x v="14"/>
    <x v="0"/>
    <x v="0"/>
    <s v="DK1_Small"/>
    <x v="0"/>
    <n v="42.692399999999999"/>
    <n v="11.859"/>
  </r>
  <r>
    <x v="0"/>
    <x v="14"/>
    <x v="0"/>
    <x v="0"/>
    <s v="DK1_Small"/>
    <x v="21"/>
    <n v="48.384"/>
    <n v="13.44"/>
  </r>
  <r>
    <x v="0"/>
    <x v="14"/>
    <x v="0"/>
    <x v="0"/>
    <s v="DK1_Small"/>
    <x v="22"/>
    <n v="79.847999999999999"/>
    <n v="22.18"/>
  </r>
  <r>
    <x v="0"/>
    <x v="14"/>
    <x v="0"/>
    <x v="1"/>
    <s v="DK2_Large"/>
    <x v="2"/>
    <n v="48.384"/>
    <n v="13.44"/>
  </r>
  <r>
    <x v="0"/>
    <x v="14"/>
    <x v="0"/>
    <x v="1"/>
    <s v="DK2_Large"/>
    <x v="0"/>
    <n v="42.692399999999999"/>
    <n v="11.859"/>
  </r>
  <r>
    <x v="0"/>
    <x v="14"/>
    <x v="0"/>
    <x v="1"/>
    <s v="DK2_Large"/>
    <x v="21"/>
    <n v="48.384"/>
    <n v="13.44"/>
  </r>
  <r>
    <x v="0"/>
    <x v="14"/>
    <x v="0"/>
    <x v="1"/>
    <s v="DK2_Large"/>
    <x v="22"/>
    <n v="79.847999999999999"/>
    <n v="22.18"/>
  </r>
  <r>
    <x v="0"/>
    <x v="14"/>
    <x v="0"/>
    <x v="1"/>
    <s v="DK2_Large_PHH"/>
    <x v="2"/>
    <n v="48.384"/>
    <n v="13.44"/>
  </r>
  <r>
    <x v="0"/>
    <x v="14"/>
    <x v="0"/>
    <x v="1"/>
    <s v="DK2_Large_PHH"/>
    <x v="0"/>
    <n v="42.692399999999999"/>
    <n v="11.859"/>
  </r>
  <r>
    <x v="0"/>
    <x v="14"/>
    <x v="0"/>
    <x v="1"/>
    <s v="DK2_Large_PHH"/>
    <x v="21"/>
    <n v="48.384"/>
    <n v="13.44"/>
  </r>
  <r>
    <x v="0"/>
    <x v="14"/>
    <x v="0"/>
    <x v="1"/>
    <s v="DK2_Large_PHH"/>
    <x v="22"/>
    <n v="79.847999999999999"/>
    <n v="22.18"/>
  </r>
  <r>
    <x v="0"/>
    <x v="14"/>
    <x v="0"/>
    <x v="1"/>
    <s v="DK2_Large_PHL"/>
    <x v="2"/>
    <n v="48.384"/>
    <n v="13.44"/>
  </r>
  <r>
    <x v="0"/>
    <x v="14"/>
    <x v="0"/>
    <x v="1"/>
    <s v="DK2_Large_PHL"/>
    <x v="0"/>
    <n v="42.692399999999999"/>
    <n v="11.859"/>
  </r>
  <r>
    <x v="0"/>
    <x v="14"/>
    <x v="0"/>
    <x v="1"/>
    <s v="DK2_Large_PHL"/>
    <x v="21"/>
    <n v="48.384"/>
    <n v="13.44"/>
  </r>
  <r>
    <x v="0"/>
    <x v="14"/>
    <x v="0"/>
    <x v="1"/>
    <s v="DK2_Large_PHL"/>
    <x v="22"/>
    <n v="79.847999999999999"/>
    <n v="22.18"/>
  </r>
  <r>
    <x v="0"/>
    <x v="14"/>
    <x v="0"/>
    <x v="1"/>
    <s v="DK2_MedSmall"/>
    <x v="2"/>
    <n v="48.384"/>
    <n v="13.44"/>
  </r>
  <r>
    <x v="0"/>
    <x v="14"/>
    <x v="0"/>
    <x v="1"/>
    <s v="DK2_MedSmall"/>
    <x v="0"/>
    <n v="42.692399999999999"/>
    <n v="11.859"/>
  </r>
  <r>
    <x v="0"/>
    <x v="14"/>
    <x v="0"/>
    <x v="1"/>
    <s v="DK2_MedSmall"/>
    <x v="21"/>
    <n v="48.384"/>
    <n v="13.44"/>
  </r>
  <r>
    <x v="0"/>
    <x v="14"/>
    <x v="0"/>
    <x v="1"/>
    <s v="DK2_MedSmall"/>
    <x v="22"/>
    <n v="79.847999999999999"/>
    <n v="22.18"/>
  </r>
  <r>
    <x v="0"/>
    <x v="14"/>
    <x v="0"/>
    <x v="1"/>
    <s v="DK2_Medium"/>
    <x v="2"/>
    <n v="48.384"/>
    <n v="13.44"/>
  </r>
  <r>
    <x v="0"/>
    <x v="14"/>
    <x v="0"/>
    <x v="1"/>
    <s v="DK2_Medium"/>
    <x v="0"/>
    <n v="42.692399999999999"/>
    <n v="11.859"/>
  </r>
  <r>
    <x v="0"/>
    <x v="14"/>
    <x v="0"/>
    <x v="1"/>
    <s v="DK2_Medium"/>
    <x v="21"/>
    <n v="48.384"/>
    <n v="13.44"/>
  </r>
  <r>
    <x v="0"/>
    <x v="14"/>
    <x v="0"/>
    <x v="1"/>
    <s v="DK2_Medium"/>
    <x v="22"/>
    <n v="79.847999999999999"/>
    <n v="22.18"/>
  </r>
  <r>
    <x v="0"/>
    <x v="14"/>
    <x v="0"/>
    <x v="1"/>
    <s v="DK2_NoDH"/>
    <x v="2"/>
    <n v="48.384"/>
    <n v="13.44"/>
  </r>
  <r>
    <x v="0"/>
    <x v="14"/>
    <x v="0"/>
    <x v="1"/>
    <s v="DK2_NoDH"/>
    <x v="0"/>
    <n v="42.692399999999999"/>
    <n v="11.859"/>
  </r>
  <r>
    <x v="0"/>
    <x v="14"/>
    <x v="0"/>
    <x v="1"/>
    <s v="DK2_NoDH"/>
    <x v="21"/>
    <n v="48.384"/>
    <n v="13.44"/>
  </r>
  <r>
    <x v="0"/>
    <x v="14"/>
    <x v="0"/>
    <x v="1"/>
    <s v="DK2_NoDH"/>
    <x v="22"/>
    <n v="79.847999999999999"/>
    <n v="22.18"/>
  </r>
  <r>
    <x v="0"/>
    <x v="14"/>
    <x v="0"/>
    <x v="1"/>
    <s v="DK2_NoDH_PHH"/>
    <x v="2"/>
    <n v="48.384"/>
    <n v="13.44"/>
  </r>
  <r>
    <x v="0"/>
    <x v="14"/>
    <x v="0"/>
    <x v="1"/>
    <s v="DK2_NoDH_PHH"/>
    <x v="0"/>
    <n v="42.692399999999999"/>
    <n v="11.859"/>
  </r>
  <r>
    <x v="0"/>
    <x v="14"/>
    <x v="0"/>
    <x v="1"/>
    <s v="DK2_NoDH_PHH"/>
    <x v="21"/>
    <n v="48.384"/>
    <n v="13.44"/>
  </r>
  <r>
    <x v="0"/>
    <x v="14"/>
    <x v="0"/>
    <x v="1"/>
    <s v="DK2_NoDH_PHH"/>
    <x v="22"/>
    <n v="79.847999999999999"/>
    <n v="22.18"/>
  </r>
  <r>
    <x v="0"/>
    <x v="14"/>
    <x v="0"/>
    <x v="1"/>
    <s v="DK2_NoDH_PHL"/>
    <x v="2"/>
    <n v="48.384"/>
    <n v="13.44"/>
  </r>
  <r>
    <x v="0"/>
    <x v="14"/>
    <x v="0"/>
    <x v="1"/>
    <s v="DK2_NoDH_PHL"/>
    <x v="0"/>
    <n v="42.692399999999999"/>
    <n v="11.859"/>
  </r>
  <r>
    <x v="0"/>
    <x v="14"/>
    <x v="0"/>
    <x v="1"/>
    <s v="DK2_NoDH_PHL"/>
    <x v="21"/>
    <n v="48.384"/>
    <n v="13.44"/>
  </r>
  <r>
    <x v="0"/>
    <x v="14"/>
    <x v="0"/>
    <x v="1"/>
    <s v="DK2_NoDH_PHL"/>
    <x v="22"/>
    <n v="79.847999999999999"/>
    <n v="22.18"/>
  </r>
  <r>
    <x v="0"/>
    <x v="14"/>
    <x v="0"/>
    <x v="1"/>
    <s v="DK2_Offshore"/>
    <x v="2"/>
    <n v="48.384"/>
    <n v="13.44"/>
  </r>
  <r>
    <x v="0"/>
    <x v="14"/>
    <x v="0"/>
    <x v="1"/>
    <s v="DK2_Offshore"/>
    <x v="0"/>
    <n v="42.692399999999999"/>
    <n v="11.859"/>
  </r>
  <r>
    <x v="0"/>
    <x v="14"/>
    <x v="0"/>
    <x v="1"/>
    <s v="DK2_Offshore"/>
    <x v="21"/>
    <n v="48.384"/>
    <n v="13.44"/>
  </r>
  <r>
    <x v="0"/>
    <x v="14"/>
    <x v="0"/>
    <x v="1"/>
    <s v="DK2_Offshore"/>
    <x v="22"/>
    <n v="79.847999999999999"/>
    <n v="22.18"/>
  </r>
  <r>
    <x v="0"/>
    <x v="14"/>
    <x v="0"/>
    <x v="1"/>
    <s v="DK2_Rural"/>
    <x v="2"/>
    <n v="48.384"/>
    <n v="13.44"/>
  </r>
  <r>
    <x v="0"/>
    <x v="14"/>
    <x v="0"/>
    <x v="1"/>
    <s v="DK2_Rural"/>
    <x v="0"/>
    <n v="42.692399999999999"/>
    <n v="11.859"/>
  </r>
  <r>
    <x v="0"/>
    <x v="14"/>
    <x v="0"/>
    <x v="1"/>
    <s v="DK2_Rural"/>
    <x v="21"/>
    <n v="48.384"/>
    <n v="13.44"/>
  </r>
  <r>
    <x v="0"/>
    <x v="14"/>
    <x v="0"/>
    <x v="1"/>
    <s v="DK2_Rural"/>
    <x v="22"/>
    <n v="79.847999999999999"/>
    <n v="22.18"/>
  </r>
  <r>
    <x v="0"/>
    <x v="14"/>
    <x v="0"/>
    <x v="1"/>
    <s v="DK2_Small"/>
    <x v="2"/>
    <n v="48.384"/>
    <n v="13.44"/>
  </r>
  <r>
    <x v="0"/>
    <x v="14"/>
    <x v="0"/>
    <x v="1"/>
    <s v="DK2_Small"/>
    <x v="0"/>
    <n v="42.692399999999999"/>
    <n v="11.859"/>
  </r>
  <r>
    <x v="0"/>
    <x v="14"/>
    <x v="0"/>
    <x v="1"/>
    <s v="DK2_Small"/>
    <x v="21"/>
    <n v="48.384"/>
    <n v="13.44"/>
  </r>
  <r>
    <x v="0"/>
    <x v="14"/>
    <x v="0"/>
    <x v="1"/>
    <s v="DK2_Small"/>
    <x v="22"/>
    <n v="79.847999999999999"/>
    <n v="22.18"/>
  </r>
  <r>
    <x v="0"/>
    <x v="14"/>
    <x v="1"/>
    <x v="2"/>
    <s v="EE_A"/>
    <x v="2"/>
    <n v="48.384"/>
    <n v="13.44"/>
  </r>
  <r>
    <x v="0"/>
    <x v="14"/>
    <x v="1"/>
    <x v="2"/>
    <s v="EE_A"/>
    <x v="0"/>
    <n v="42.692399999999999"/>
    <n v="11.859"/>
  </r>
  <r>
    <x v="0"/>
    <x v="14"/>
    <x v="1"/>
    <x v="2"/>
    <s v="EE_A"/>
    <x v="21"/>
    <n v="48.384"/>
    <n v="13.44"/>
  </r>
  <r>
    <x v="0"/>
    <x v="14"/>
    <x v="1"/>
    <x v="2"/>
    <s v="EE_A"/>
    <x v="22"/>
    <n v="79.847999999999999"/>
    <n v="22.18"/>
  </r>
  <r>
    <x v="0"/>
    <x v="14"/>
    <x v="1"/>
    <x v="2"/>
    <s v="EE_Enefit"/>
    <x v="2"/>
    <n v="48.384"/>
    <n v="13.44"/>
  </r>
  <r>
    <x v="0"/>
    <x v="14"/>
    <x v="1"/>
    <x v="2"/>
    <s v="EE_Enefit"/>
    <x v="0"/>
    <n v="42.692399999999999"/>
    <n v="11.859"/>
  </r>
  <r>
    <x v="0"/>
    <x v="14"/>
    <x v="1"/>
    <x v="2"/>
    <s v="EE_Enefit"/>
    <x v="21"/>
    <n v="48.384"/>
    <n v="13.44"/>
  </r>
  <r>
    <x v="0"/>
    <x v="14"/>
    <x v="1"/>
    <x v="2"/>
    <s v="EE_Enefit"/>
    <x v="22"/>
    <n v="79.847999999999999"/>
    <n v="22.18"/>
  </r>
  <r>
    <x v="0"/>
    <x v="14"/>
    <x v="1"/>
    <x v="2"/>
    <s v="EE_Industry"/>
    <x v="2"/>
    <n v="48.384"/>
    <n v="13.44"/>
  </r>
  <r>
    <x v="0"/>
    <x v="14"/>
    <x v="1"/>
    <x v="2"/>
    <s v="EE_Industry"/>
    <x v="0"/>
    <n v="42.692399999999999"/>
    <n v="11.859"/>
  </r>
  <r>
    <x v="0"/>
    <x v="14"/>
    <x v="1"/>
    <x v="2"/>
    <s v="EE_Industry"/>
    <x v="21"/>
    <n v="48.384"/>
    <n v="13.44"/>
  </r>
  <r>
    <x v="0"/>
    <x v="14"/>
    <x v="1"/>
    <x v="2"/>
    <s v="EE_Industry"/>
    <x v="22"/>
    <n v="79.847999999999999"/>
    <n v="22.18"/>
  </r>
  <r>
    <x v="0"/>
    <x v="14"/>
    <x v="1"/>
    <x v="2"/>
    <s v="EE_Kohtla_Jarve"/>
    <x v="2"/>
    <n v="48.384"/>
    <n v="13.44"/>
  </r>
  <r>
    <x v="0"/>
    <x v="14"/>
    <x v="1"/>
    <x v="2"/>
    <s v="EE_Kohtla_Jarve"/>
    <x v="0"/>
    <n v="42.692399999999999"/>
    <n v="11.859"/>
  </r>
  <r>
    <x v="0"/>
    <x v="14"/>
    <x v="1"/>
    <x v="2"/>
    <s v="EE_Kohtla_Jarve"/>
    <x v="21"/>
    <n v="48.384"/>
    <n v="13.44"/>
  </r>
  <r>
    <x v="0"/>
    <x v="14"/>
    <x v="1"/>
    <x v="2"/>
    <s v="EE_Kohtla_Jarve"/>
    <x v="22"/>
    <n v="79.847999999999999"/>
    <n v="22.18"/>
  </r>
  <r>
    <x v="0"/>
    <x v="14"/>
    <x v="1"/>
    <x v="2"/>
    <s v="EE_Narva"/>
    <x v="2"/>
    <n v="48.384"/>
    <n v="13.44"/>
  </r>
  <r>
    <x v="0"/>
    <x v="14"/>
    <x v="1"/>
    <x v="2"/>
    <s v="EE_Narva"/>
    <x v="0"/>
    <n v="42.692399999999999"/>
    <n v="11.859"/>
  </r>
  <r>
    <x v="0"/>
    <x v="14"/>
    <x v="1"/>
    <x v="2"/>
    <s v="EE_Narva"/>
    <x v="21"/>
    <n v="48.384"/>
    <n v="13.44"/>
  </r>
  <r>
    <x v="0"/>
    <x v="14"/>
    <x v="1"/>
    <x v="2"/>
    <s v="EE_Narva"/>
    <x v="22"/>
    <n v="79.847999999999999"/>
    <n v="22.18"/>
  </r>
  <r>
    <x v="0"/>
    <x v="14"/>
    <x v="1"/>
    <x v="2"/>
    <s v="EE_OFFSHORE"/>
    <x v="2"/>
    <n v="48.384"/>
    <n v="13.44"/>
  </r>
  <r>
    <x v="0"/>
    <x v="14"/>
    <x v="1"/>
    <x v="2"/>
    <s v="EE_OFFSHORE"/>
    <x v="0"/>
    <n v="42.692399999999999"/>
    <n v="11.859"/>
  </r>
  <r>
    <x v="0"/>
    <x v="14"/>
    <x v="1"/>
    <x v="2"/>
    <s v="EE_OFFSHORE"/>
    <x v="21"/>
    <n v="48.384"/>
    <n v="13.44"/>
  </r>
  <r>
    <x v="0"/>
    <x v="14"/>
    <x v="1"/>
    <x v="2"/>
    <s v="EE_OFFSHORE"/>
    <x v="22"/>
    <n v="79.847999999999999"/>
    <n v="22.18"/>
  </r>
  <r>
    <x v="0"/>
    <x v="14"/>
    <x v="1"/>
    <x v="2"/>
    <s v="EE_Parnu"/>
    <x v="2"/>
    <n v="48.384"/>
    <n v="13.44"/>
  </r>
  <r>
    <x v="0"/>
    <x v="14"/>
    <x v="1"/>
    <x v="2"/>
    <s v="EE_Parnu"/>
    <x v="0"/>
    <n v="42.692399999999999"/>
    <n v="11.859"/>
  </r>
  <r>
    <x v="0"/>
    <x v="14"/>
    <x v="1"/>
    <x v="2"/>
    <s v="EE_Parnu"/>
    <x v="21"/>
    <n v="48.384"/>
    <n v="13.44"/>
  </r>
  <r>
    <x v="0"/>
    <x v="14"/>
    <x v="1"/>
    <x v="2"/>
    <s v="EE_Parnu"/>
    <x v="22"/>
    <n v="79.847999999999999"/>
    <n v="22.18"/>
  </r>
  <r>
    <x v="0"/>
    <x v="14"/>
    <x v="1"/>
    <x v="2"/>
    <s v="EE_Rural"/>
    <x v="2"/>
    <n v="48.384"/>
    <n v="13.44"/>
  </r>
  <r>
    <x v="0"/>
    <x v="14"/>
    <x v="1"/>
    <x v="2"/>
    <s v="EE_Rural"/>
    <x v="0"/>
    <n v="42.692399999999999"/>
    <n v="11.859"/>
  </r>
  <r>
    <x v="0"/>
    <x v="14"/>
    <x v="1"/>
    <x v="2"/>
    <s v="EE_Rural"/>
    <x v="21"/>
    <n v="48.384"/>
    <n v="13.44"/>
  </r>
  <r>
    <x v="0"/>
    <x v="14"/>
    <x v="1"/>
    <x v="2"/>
    <s v="EE_Rural"/>
    <x v="22"/>
    <n v="79.847999999999999"/>
    <n v="22.18"/>
  </r>
  <r>
    <x v="0"/>
    <x v="14"/>
    <x v="1"/>
    <x v="2"/>
    <s v="EE_Sillamae"/>
    <x v="2"/>
    <n v="48.384"/>
    <n v="13.44"/>
  </r>
  <r>
    <x v="0"/>
    <x v="14"/>
    <x v="1"/>
    <x v="2"/>
    <s v="EE_Sillamae"/>
    <x v="0"/>
    <n v="42.692399999999999"/>
    <n v="11.859"/>
  </r>
  <r>
    <x v="0"/>
    <x v="14"/>
    <x v="1"/>
    <x v="2"/>
    <s v="EE_Sillamae"/>
    <x v="21"/>
    <n v="48.384"/>
    <n v="13.44"/>
  </r>
  <r>
    <x v="0"/>
    <x v="14"/>
    <x v="1"/>
    <x v="2"/>
    <s v="EE_Sillamae"/>
    <x v="22"/>
    <n v="79.847999999999999"/>
    <n v="22.18"/>
  </r>
  <r>
    <x v="0"/>
    <x v="14"/>
    <x v="1"/>
    <x v="2"/>
    <s v="EE_Tallinn"/>
    <x v="2"/>
    <n v="48.384"/>
    <n v="13.44"/>
  </r>
  <r>
    <x v="0"/>
    <x v="14"/>
    <x v="1"/>
    <x v="2"/>
    <s v="EE_Tallinn"/>
    <x v="0"/>
    <n v="42.692399999999999"/>
    <n v="11.859"/>
  </r>
  <r>
    <x v="0"/>
    <x v="14"/>
    <x v="1"/>
    <x v="2"/>
    <s v="EE_Tallinn"/>
    <x v="21"/>
    <n v="48.384"/>
    <n v="13.44"/>
  </r>
  <r>
    <x v="0"/>
    <x v="14"/>
    <x v="1"/>
    <x v="2"/>
    <s v="EE_Tallinn"/>
    <x v="22"/>
    <n v="79.847999999999999"/>
    <n v="22.18"/>
  </r>
  <r>
    <x v="0"/>
    <x v="14"/>
    <x v="1"/>
    <x v="2"/>
    <s v="EE_Tartu"/>
    <x v="2"/>
    <n v="48.384"/>
    <n v="13.44"/>
  </r>
  <r>
    <x v="0"/>
    <x v="14"/>
    <x v="1"/>
    <x v="2"/>
    <s v="EE_Tartu"/>
    <x v="0"/>
    <n v="42.692399999999999"/>
    <n v="11.859"/>
  </r>
  <r>
    <x v="0"/>
    <x v="14"/>
    <x v="1"/>
    <x v="2"/>
    <s v="EE_Tartu"/>
    <x v="21"/>
    <n v="48.384"/>
    <n v="13.44"/>
  </r>
  <r>
    <x v="0"/>
    <x v="14"/>
    <x v="1"/>
    <x v="2"/>
    <s v="EE_Tartu"/>
    <x v="22"/>
    <n v="79.847999999999999"/>
    <n v="22.18"/>
  </r>
  <r>
    <x v="0"/>
    <x v="14"/>
    <x v="1"/>
    <x v="2"/>
    <s v="EE_Urban"/>
    <x v="2"/>
    <n v="48.384"/>
    <n v="13.44"/>
  </r>
  <r>
    <x v="0"/>
    <x v="14"/>
    <x v="1"/>
    <x v="2"/>
    <s v="EE_Urban"/>
    <x v="0"/>
    <n v="42.692399999999999"/>
    <n v="11.859"/>
  </r>
  <r>
    <x v="0"/>
    <x v="14"/>
    <x v="1"/>
    <x v="2"/>
    <s v="EE_Urban"/>
    <x v="21"/>
    <n v="48.384"/>
    <n v="13.44"/>
  </r>
  <r>
    <x v="0"/>
    <x v="14"/>
    <x v="1"/>
    <x v="2"/>
    <s v="EE_Urban"/>
    <x v="22"/>
    <n v="79.847999999999999"/>
    <n v="22.18"/>
  </r>
  <r>
    <x v="0"/>
    <x v="14"/>
    <x v="2"/>
    <x v="3"/>
    <s v="FI_IND"/>
    <x v="2"/>
    <n v="48.384"/>
    <n v="13.44"/>
  </r>
  <r>
    <x v="0"/>
    <x v="14"/>
    <x v="2"/>
    <x v="3"/>
    <s v="FI_IND"/>
    <x v="0"/>
    <n v="42.692399999999999"/>
    <n v="11.859"/>
  </r>
  <r>
    <x v="0"/>
    <x v="14"/>
    <x v="2"/>
    <x v="3"/>
    <s v="FI_IND"/>
    <x v="21"/>
    <n v="48.384"/>
    <n v="13.44"/>
  </r>
  <r>
    <x v="0"/>
    <x v="14"/>
    <x v="2"/>
    <x v="3"/>
    <s v="FI_IND"/>
    <x v="22"/>
    <n v="79.847999999999999"/>
    <n v="22.18"/>
  </r>
  <r>
    <x v="0"/>
    <x v="14"/>
    <x v="2"/>
    <x v="3"/>
    <s v="FI_Offshore"/>
    <x v="2"/>
    <n v="48.384"/>
    <n v="13.44"/>
  </r>
  <r>
    <x v="0"/>
    <x v="14"/>
    <x v="2"/>
    <x v="3"/>
    <s v="FI_Offshore"/>
    <x v="0"/>
    <n v="42.692399999999999"/>
    <n v="11.859"/>
  </r>
  <r>
    <x v="0"/>
    <x v="14"/>
    <x v="2"/>
    <x v="3"/>
    <s v="FI_Offshore"/>
    <x v="21"/>
    <n v="48.384"/>
    <n v="13.44"/>
  </r>
  <r>
    <x v="0"/>
    <x v="14"/>
    <x v="2"/>
    <x v="3"/>
    <s v="FI_Offshore"/>
    <x v="22"/>
    <n v="79.847999999999999"/>
    <n v="22.18"/>
  </r>
  <r>
    <x v="0"/>
    <x v="14"/>
    <x v="2"/>
    <x v="3"/>
    <s v="FI_large"/>
    <x v="2"/>
    <n v="48.384"/>
    <n v="13.44"/>
  </r>
  <r>
    <x v="0"/>
    <x v="14"/>
    <x v="2"/>
    <x v="3"/>
    <s v="FI_large"/>
    <x v="0"/>
    <n v="42.692399999999999"/>
    <n v="11.859"/>
  </r>
  <r>
    <x v="0"/>
    <x v="14"/>
    <x v="2"/>
    <x v="3"/>
    <s v="FI_large"/>
    <x v="21"/>
    <n v="48.384"/>
    <n v="13.44"/>
  </r>
  <r>
    <x v="0"/>
    <x v="14"/>
    <x v="2"/>
    <x v="3"/>
    <s v="FI_large"/>
    <x v="22"/>
    <n v="79.847999999999999"/>
    <n v="22.18"/>
  </r>
  <r>
    <x v="0"/>
    <x v="14"/>
    <x v="2"/>
    <x v="3"/>
    <s v="FI_large_gas"/>
    <x v="2"/>
    <n v="48.384"/>
    <n v="13.44"/>
  </r>
  <r>
    <x v="0"/>
    <x v="14"/>
    <x v="2"/>
    <x v="3"/>
    <s v="FI_large_gas"/>
    <x v="0"/>
    <n v="42.692399999999999"/>
    <n v="11.859"/>
  </r>
  <r>
    <x v="0"/>
    <x v="14"/>
    <x v="2"/>
    <x v="3"/>
    <s v="FI_large_gas"/>
    <x v="21"/>
    <n v="48.384"/>
    <n v="13.44"/>
  </r>
  <r>
    <x v="0"/>
    <x v="14"/>
    <x v="2"/>
    <x v="3"/>
    <s v="FI_large_gas"/>
    <x v="22"/>
    <n v="79.847999999999999"/>
    <n v="22.18"/>
  </r>
  <r>
    <x v="0"/>
    <x v="14"/>
    <x v="2"/>
    <x v="3"/>
    <s v="FI_medium"/>
    <x v="2"/>
    <n v="48.384"/>
    <n v="13.44"/>
  </r>
  <r>
    <x v="0"/>
    <x v="14"/>
    <x v="2"/>
    <x v="3"/>
    <s v="FI_medium"/>
    <x v="0"/>
    <n v="42.692399999999999"/>
    <n v="11.859"/>
  </r>
  <r>
    <x v="0"/>
    <x v="14"/>
    <x v="2"/>
    <x v="3"/>
    <s v="FI_medium"/>
    <x v="21"/>
    <n v="48.384"/>
    <n v="13.44"/>
  </r>
  <r>
    <x v="0"/>
    <x v="14"/>
    <x v="2"/>
    <x v="3"/>
    <s v="FI_medium"/>
    <x v="22"/>
    <n v="79.847999999999999"/>
    <n v="22.18"/>
  </r>
  <r>
    <x v="0"/>
    <x v="14"/>
    <x v="2"/>
    <x v="3"/>
    <s v="FI_medium_gas"/>
    <x v="2"/>
    <n v="48.384"/>
    <n v="13.44"/>
  </r>
  <r>
    <x v="0"/>
    <x v="14"/>
    <x v="2"/>
    <x v="3"/>
    <s v="FI_medium_gas"/>
    <x v="0"/>
    <n v="42.692399999999999"/>
    <n v="11.859"/>
  </r>
  <r>
    <x v="0"/>
    <x v="14"/>
    <x v="2"/>
    <x v="3"/>
    <s v="FI_medium_gas"/>
    <x v="21"/>
    <n v="48.384"/>
    <n v="13.44"/>
  </r>
  <r>
    <x v="0"/>
    <x v="14"/>
    <x v="2"/>
    <x v="3"/>
    <s v="FI_medium_gas"/>
    <x v="22"/>
    <n v="79.847999999999999"/>
    <n v="22.18"/>
  </r>
  <r>
    <x v="0"/>
    <x v="14"/>
    <x v="2"/>
    <x v="3"/>
    <s v="FI_small"/>
    <x v="2"/>
    <n v="48.384"/>
    <n v="13.44"/>
  </r>
  <r>
    <x v="0"/>
    <x v="14"/>
    <x v="2"/>
    <x v="3"/>
    <s v="FI_small"/>
    <x v="0"/>
    <n v="42.692399999999999"/>
    <n v="11.859"/>
  </r>
  <r>
    <x v="0"/>
    <x v="14"/>
    <x v="2"/>
    <x v="3"/>
    <s v="FI_small"/>
    <x v="21"/>
    <n v="48.384"/>
    <n v="13.44"/>
  </r>
  <r>
    <x v="0"/>
    <x v="14"/>
    <x v="2"/>
    <x v="3"/>
    <s v="FI_small"/>
    <x v="22"/>
    <n v="79.847999999999999"/>
    <n v="22.18"/>
  </r>
  <r>
    <x v="0"/>
    <x v="14"/>
    <x v="2"/>
    <x v="3"/>
    <s v="FI_small_gas"/>
    <x v="2"/>
    <n v="48.384"/>
    <n v="13.44"/>
  </r>
  <r>
    <x v="0"/>
    <x v="14"/>
    <x v="2"/>
    <x v="3"/>
    <s v="FI_small_gas"/>
    <x v="0"/>
    <n v="42.692399999999999"/>
    <n v="11.859"/>
  </r>
  <r>
    <x v="0"/>
    <x v="14"/>
    <x v="2"/>
    <x v="3"/>
    <s v="FI_small_gas"/>
    <x v="21"/>
    <n v="48.384"/>
    <n v="13.44"/>
  </r>
  <r>
    <x v="0"/>
    <x v="14"/>
    <x v="2"/>
    <x v="3"/>
    <s v="FI_small_gas"/>
    <x v="22"/>
    <n v="79.847999999999999"/>
    <n v="22.18"/>
  </r>
  <r>
    <x v="0"/>
    <x v="14"/>
    <x v="2"/>
    <x v="3"/>
    <s v="FinA"/>
    <x v="2"/>
    <n v="48.384"/>
    <n v="13.44"/>
  </r>
  <r>
    <x v="0"/>
    <x v="14"/>
    <x v="2"/>
    <x v="3"/>
    <s v="FinA"/>
    <x v="0"/>
    <n v="42.692399999999999"/>
    <n v="11.859"/>
  </r>
  <r>
    <x v="0"/>
    <x v="14"/>
    <x v="2"/>
    <x v="3"/>
    <s v="FinA"/>
    <x v="21"/>
    <n v="48.384"/>
    <n v="13.44"/>
  </r>
  <r>
    <x v="0"/>
    <x v="14"/>
    <x v="2"/>
    <x v="3"/>
    <s v="FinA"/>
    <x v="22"/>
    <n v="79.847999999999999"/>
    <n v="22.18"/>
  </r>
  <r>
    <x v="0"/>
    <x v="14"/>
    <x v="3"/>
    <x v="4"/>
    <s v="DE4-E_A"/>
    <x v="2"/>
    <n v="48.384"/>
    <n v="13.44"/>
  </r>
  <r>
    <x v="0"/>
    <x v="14"/>
    <x v="3"/>
    <x v="4"/>
    <s v="DE4-E_A"/>
    <x v="0"/>
    <n v="42.692399999999999"/>
    <n v="11.859"/>
  </r>
  <r>
    <x v="0"/>
    <x v="14"/>
    <x v="3"/>
    <x v="4"/>
    <s v="DE4-E_A"/>
    <x v="21"/>
    <n v="48.384"/>
    <n v="13.44"/>
  </r>
  <r>
    <x v="0"/>
    <x v="14"/>
    <x v="3"/>
    <x v="4"/>
    <s v="DE4-E_A"/>
    <x v="22"/>
    <n v="79.847999999999999"/>
    <n v="22.18"/>
  </r>
  <r>
    <x v="0"/>
    <x v="14"/>
    <x v="3"/>
    <x v="4"/>
    <s v="DE4-E_Offshore_A"/>
    <x v="2"/>
    <n v="48.384"/>
    <n v="13.44"/>
  </r>
  <r>
    <x v="0"/>
    <x v="14"/>
    <x v="3"/>
    <x v="4"/>
    <s v="DE4-E_Offshore_A"/>
    <x v="0"/>
    <n v="42.692399999999999"/>
    <n v="11.859"/>
  </r>
  <r>
    <x v="0"/>
    <x v="14"/>
    <x v="3"/>
    <x v="4"/>
    <s v="DE4-E_Offshore_A"/>
    <x v="21"/>
    <n v="48.384"/>
    <n v="13.44"/>
  </r>
  <r>
    <x v="0"/>
    <x v="14"/>
    <x v="3"/>
    <x v="4"/>
    <s v="DE4-E_Offshore_A"/>
    <x v="22"/>
    <n v="79.847999999999999"/>
    <n v="22.18"/>
  </r>
  <r>
    <x v="0"/>
    <x v="14"/>
    <x v="3"/>
    <x v="5"/>
    <s v="DE4-N_A"/>
    <x v="2"/>
    <n v="48.384"/>
    <n v="13.44"/>
  </r>
  <r>
    <x v="0"/>
    <x v="14"/>
    <x v="3"/>
    <x v="5"/>
    <s v="DE4-N_A"/>
    <x v="0"/>
    <n v="42.692399999999999"/>
    <n v="11.859"/>
  </r>
  <r>
    <x v="0"/>
    <x v="14"/>
    <x v="3"/>
    <x v="5"/>
    <s v="DE4-N_A"/>
    <x v="21"/>
    <n v="48.384"/>
    <n v="13.44"/>
  </r>
  <r>
    <x v="0"/>
    <x v="14"/>
    <x v="3"/>
    <x v="5"/>
    <s v="DE4-N_A"/>
    <x v="22"/>
    <n v="79.847999999999999"/>
    <n v="22.18"/>
  </r>
  <r>
    <x v="0"/>
    <x v="14"/>
    <x v="3"/>
    <x v="5"/>
    <s v="DE4-N_Offshore_A"/>
    <x v="2"/>
    <n v="48.384"/>
    <n v="13.44"/>
  </r>
  <r>
    <x v="0"/>
    <x v="14"/>
    <x v="3"/>
    <x v="5"/>
    <s v="DE4-N_Offshore_A"/>
    <x v="0"/>
    <n v="42.692399999999999"/>
    <n v="11.859"/>
  </r>
  <r>
    <x v="0"/>
    <x v="14"/>
    <x v="3"/>
    <x v="5"/>
    <s v="DE4-N_Offshore_A"/>
    <x v="21"/>
    <n v="48.384"/>
    <n v="13.44"/>
  </r>
  <r>
    <x v="0"/>
    <x v="14"/>
    <x v="3"/>
    <x v="5"/>
    <s v="DE4-N_Offshore_A"/>
    <x v="22"/>
    <n v="79.847999999999999"/>
    <n v="22.18"/>
  </r>
  <r>
    <x v="0"/>
    <x v="14"/>
    <x v="3"/>
    <x v="6"/>
    <s v="DE4-S_A"/>
    <x v="2"/>
    <n v="48.384"/>
    <n v="13.44"/>
  </r>
  <r>
    <x v="0"/>
    <x v="14"/>
    <x v="3"/>
    <x v="6"/>
    <s v="DE4-S_A"/>
    <x v="0"/>
    <n v="42.692399999999999"/>
    <n v="11.859"/>
  </r>
  <r>
    <x v="0"/>
    <x v="14"/>
    <x v="3"/>
    <x v="6"/>
    <s v="DE4-S_A"/>
    <x v="21"/>
    <n v="48.384"/>
    <n v="13.44"/>
  </r>
  <r>
    <x v="0"/>
    <x v="14"/>
    <x v="3"/>
    <x v="6"/>
    <s v="DE4-S_A"/>
    <x v="22"/>
    <n v="79.847999999999999"/>
    <n v="22.18"/>
  </r>
  <r>
    <x v="0"/>
    <x v="14"/>
    <x v="3"/>
    <x v="7"/>
    <s v="DE4-W_A"/>
    <x v="2"/>
    <n v="48.384"/>
    <n v="13.44"/>
  </r>
  <r>
    <x v="0"/>
    <x v="14"/>
    <x v="3"/>
    <x v="7"/>
    <s v="DE4-W_A"/>
    <x v="0"/>
    <n v="42.692399999999999"/>
    <n v="11.859"/>
  </r>
  <r>
    <x v="0"/>
    <x v="14"/>
    <x v="3"/>
    <x v="7"/>
    <s v="DE4-W_A"/>
    <x v="21"/>
    <n v="48.384"/>
    <n v="13.44"/>
  </r>
  <r>
    <x v="0"/>
    <x v="14"/>
    <x v="3"/>
    <x v="7"/>
    <s v="DE4-W_A"/>
    <x v="22"/>
    <n v="79.847999999999999"/>
    <n v="22.18"/>
  </r>
  <r>
    <x v="0"/>
    <x v="14"/>
    <x v="3"/>
    <x v="7"/>
    <s v="DE4-W_Offshore_A"/>
    <x v="2"/>
    <n v="48.384"/>
    <n v="13.44"/>
  </r>
  <r>
    <x v="0"/>
    <x v="14"/>
    <x v="3"/>
    <x v="7"/>
    <s v="DE4-W_Offshore_A"/>
    <x v="0"/>
    <n v="42.692399999999999"/>
    <n v="11.859"/>
  </r>
  <r>
    <x v="0"/>
    <x v="14"/>
    <x v="3"/>
    <x v="7"/>
    <s v="DE4-W_Offshore_A"/>
    <x v="21"/>
    <n v="48.384"/>
    <n v="13.44"/>
  </r>
  <r>
    <x v="0"/>
    <x v="14"/>
    <x v="3"/>
    <x v="7"/>
    <s v="DE4-W_Offshore_A"/>
    <x v="22"/>
    <n v="79.847999999999999"/>
    <n v="22.18"/>
  </r>
  <r>
    <x v="0"/>
    <x v="14"/>
    <x v="4"/>
    <x v="8"/>
    <s v="LV_A"/>
    <x v="2"/>
    <n v="48.384"/>
    <n v="13.44"/>
  </r>
  <r>
    <x v="0"/>
    <x v="14"/>
    <x v="4"/>
    <x v="8"/>
    <s v="LV_A"/>
    <x v="0"/>
    <n v="42.692399999999999"/>
    <n v="11.859"/>
  </r>
  <r>
    <x v="0"/>
    <x v="14"/>
    <x v="4"/>
    <x v="8"/>
    <s v="LV_A"/>
    <x v="21"/>
    <n v="48.384"/>
    <n v="13.44"/>
  </r>
  <r>
    <x v="0"/>
    <x v="14"/>
    <x v="4"/>
    <x v="8"/>
    <s v="LV_A"/>
    <x v="22"/>
    <n v="79.847999999999999"/>
    <n v="22.18"/>
  </r>
  <r>
    <x v="0"/>
    <x v="14"/>
    <x v="4"/>
    <x v="8"/>
    <s v="LV_OFFSHORE"/>
    <x v="2"/>
    <n v="48.384"/>
    <n v="13.44"/>
  </r>
  <r>
    <x v="0"/>
    <x v="14"/>
    <x v="4"/>
    <x v="8"/>
    <s v="LV_OFFSHORE"/>
    <x v="0"/>
    <n v="42.692399999999999"/>
    <n v="11.859"/>
  </r>
  <r>
    <x v="0"/>
    <x v="14"/>
    <x v="4"/>
    <x v="8"/>
    <s v="LV_OFFSHORE"/>
    <x v="21"/>
    <n v="48.384"/>
    <n v="13.44"/>
  </r>
  <r>
    <x v="0"/>
    <x v="14"/>
    <x v="4"/>
    <x v="8"/>
    <s v="LV_OFFSHORE"/>
    <x v="22"/>
    <n v="79.847999999999999"/>
    <n v="22.18"/>
  </r>
  <r>
    <x v="0"/>
    <x v="14"/>
    <x v="4"/>
    <x v="8"/>
    <s v="LV_Other_DH"/>
    <x v="2"/>
    <n v="48.384"/>
    <n v="13.44"/>
  </r>
  <r>
    <x v="0"/>
    <x v="14"/>
    <x v="4"/>
    <x v="8"/>
    <s v="LV_Other_DH"/>
    <x v="0"/>
    <n v="42.692399999999999"/>
    <n v="11.859"/>
  </r>
  <r>
    <x v="0"/>
    <x v="14"/>
    <x v="4"/>
    <x v="8"/>
    <s v="LV_Other_DH"/>
    <x v="21"/>
    <n v="48.384"/>
    <n v="13.44"/>
  </r>
  <r>
    <x v="0"/>
    <x v="14"/>
    <x v="4"/>
    <x v="8"/>
    <s v="LV_Other_DH"/>
    <x v="22"/>
    <n v="79.847999999999999"/>
    <n v="22.18"/>
  </r>
  <r>
    <x v="0"/>
    <x v="14"/>
    <x v="4"/>
    <x v="8"/>
    <s v="LV_RigaR"/>
    <x v="2"/>
    <n v="48.384"/>
    <n v="13.44"/>
  </r>
  <r>
    <x v="0"/>
    <x v="14"/>
    <x v="4"/>
    <x v="8"/>
    <s v="LV_RigaR"/>
    <x v="0"/>
    <n v="42.692399999999999"/>
    <n v="11.859"/>
  </r>
  <r>
    <x v="0"/>
    <x v="14"/>
    <x v="4"/>
    <x v="8"/>
    <s v="LV_RigaR"/>
    <x v="21"/>
    <n v="48.384"/>
    <n v="13.44"/>
  </r>
  <r>
    <x v="0"/>
    <x v="14"/>
    <x v="4"/>
    <x v="8"/>
    <s v="LV_RigaR"/>
    <x v="22"/>
    <n v="79.847999999999999"/>
    <n v="22.18"/>
  </r>
  <r>
    <x v="0"/>
    <x v="14"/>
    <x v="4"/>
    <x v="8"/>
    <s v="LV_Rural"/>
    <x v="2"/>
    <n v="48.384"/>
    <n v="13.44"/>
  </r>
  <r>
    <x v="0"/>
    <x v="14"/>
    <x v="4"/>
    <x v="8"/>
    <s v="LV_Rural"/>
    <x v="0"/>
    <n v="42.692399999999999"/>
    <n v="11.859"/>
  </r>
  <r>
    <x v="0"/>
    <x v="14"/>
    <x v="4"/>
    <x v="8"/>
    <s v="LV_Rural"/>
    <x v="21"/>
    <n v="48.384"/>
    <n v="13.44"/>
  </r>
  <r>
    <x v="0"/>
    <x v="14"/>
    <x v="4"/>
    <x v="8"/>
    <s v="LV_Rural"/>
    <x v="22"/>
    <n v="79.847999999999999"/>
    <n v="22.18"/>
  </r>
  <r>
    <x v="0"/>
    <x v="14"/>
    <x v="5"/>
    <x v="9"/>
    <s v="LT_A"/>
    <x v="2"/>
    <n v="48.384"/>
    <n v="13.44"/>
  </r>
  <r>
    <x v="0"/>
    <x v="14"/>
    <x v="5"/>
    <x v="9"/>
    <s v="LT_A"/>
    <x v="0"/>
    <n v="42.692399999999999"/>
    <n v="11.859"/>
  </r>
  <r>
    <x v="0"/>
    <x v="14"/>
    <x v="5"/>
    <x v="9"/>
    <s v="LT_A"/>
    <x v="21"/>
    <n v="48.384"/>
    <n v="13.44"/>
  </r>
  <r>
    <x v="0"/>
    <x v="14"/>
    <x v="5"/>
    <x v="9"/>
    <s v="LT_A"/>
    <x v="22"/>
    <n v="79.847999999999999"/>
    <n v="22.18"/>
  </r>
  <r>
    <x v="0"/>
    <x v="14"/>
    <x v="5"/>
    <x v="9"/>
    <s v="LT_KauU"/>
    <x v="2"/>
    <n v="48.384"/>
    <n v="13.44"/>
  </r>
  <r>
    <x v="0"/>
    <x v="14"/>
    <x v="5"/>
    <x v="9"/>
    <s v="LT_KauU"/>
    <x v="0"/>
    <n v="42.692399999999999"/>
    <n v="11.859"/>
  </r>
  <r>
    <x v="0"/>
    <x v="14"/>
    <x v="5"/>
    <x v="9"/>
    <s v="LT_KauU"/>
    <x v="21"/>
    <n v="48.384"/>
    <n v="13.44"/>
  </r>
  <r>
    <x v="0"/>
    <x v="14"/>
    <x v="5"/>
    <x v="9"/>
    <s v="LT_KauU"/>
    <x v="22"/>
    <n v="79.847999999999999"/>
    <n v="22.18"/>
  </r>
  <r>
    <x v="0"/>
    <x v="14"/>
    <x v="5"/>
    <x v="9"/>
    <s v="LT_KlaU"/>
    <x v="2"/>
    <n v="48.384"/>
    <n v="13.44"/>
  </r>
  <r>
    <x v="0"/>
    <x v="14"/>
    <x v="5"/>
    <x v="9"/>
    <s v="LT_KlaU"/>
    <x v="0"/>
    <n v="42.692399999999999"/>
    <n v="11.859"/>
  </r>
  <r>
    <x v="0"/>
    <x v="14"/>
    <x v="5"/>
    <x v="9"/>
    <s v="LT_KlaU"/>
    <x v="21"/>
    <n v="48.384"/>
    <n v="13.44"/>
  </r>
  <r>
    <x v="0"/>
    <x v="14"/>
    <x v="5"/>
    <x v="9"/>
    <s v="LT_KlaU"/>
    <x v="22"/>
    <n v="79.847999999999999"/>
    <n v="22.18"/>
  </r>
  <r>
    <x v="0"/>
    <x v="14"/>
    <x v="5"/>
    <x v="9"/>
    <s v="LT_OFFSHORE"/>
    <x v="2"/>
    <n v="48.384"/>
    <n v="13.44"/>
  </r>
  <r>
    <x v="0"/>
    <x v="14"/>
    <x v="5"/>
    <x v="9"/>
    <s v="LT_OFFSHORE"/>
    <x v="0"/>
    <n v="42.692399999999999"/>
    <n v="11.859"/>
  </r>
  <r>
    <x v="0"/>
    <x v="14"/>
    <x v="5"/>
    <x v="9"/>
    <s v="LT_OFFSHORE"/>
    <x v="21"/>
    <n v="48.384"/>
    <n v="13.44"/>
  </r>
  <r>
    <x v="0"/>
    <x v="14"/>
    <x v="5"/>
    <x v="9"/>
    <s v="LT_OFFSHORE"/>
    <x v="22"/>
    <n v="79.847999999999999"/>
    <n v="22.18"/>
  </r>
  <r>
    <x v="0"/>
    <x v="14"/>
    <x v="5"/>
    <x v="9"/>
    <s v="LT_Other_DH"/>
    <x v="2"/>
    <n v="48.384"/>
    <n v="13.44"/>
  </r>
  <r>
    <x v="0"/>
    <x v="14"/>
    <x v="5"/>
    <x v="9"/>
    <s v="LT_Other_DH"/>
    <x v="0"/>
    <n v="42.692399999999999"/>
    <n v="11.859"/>
  </r>
  <r>
    <x v="0"/>
    <x v="14"/>
    <x v="5"/>
    <x v="9"/>
    <s v="LT_Other_DH"/>
    <x v="21"/>
    <n v="48.384"/>
    <n v="13.44"/>
  </r>
  <r>
    <x v="0"/>
    <x v="14"/>
    <x v="5"/>
    <x v="9"/>
    <s v="LT_Other_DH"/>
    <x v="22"/>
    <n v="79.847999999999999"/>
    <n v="22.18"/>
  </r>
  <r>
    <x v="0"/>
    <x v="14"/>
    <x v="5"/>
    <x v="9"/>
    <s v="LT_Panevezys"/>
    <x v="2"/>
    <n v="48.384"/>
    <n v="13.44"/>
  </r>
  <r>
    <x v="0"/>
    <x v="14"/>
    <x v="5"/>
    <x v="9"/>
    <s v="LT_Panevezys"/>
    <x v="0"/>
    <n v="42.692399999999999"/>
    <n v="11.859"/>
  </r>
  <r>
    <x v="0"/>
    <x v="14"/>
    <x v="5"/>
    <x v="9"/>
    <s v="LT_Panevezys"/>
    <x v="21"/>
    <n v="48.384"/>
    <n v="13.44"/>
  </r>
  <r>
    <x v="0"/>
    <x v="14"/>
    <x v="5"/>
    <x v="9"/>
    <s v="LT_Panevezys"/>
    <x v="22"/>
    <n v="79.847999999999999"/>
    <n v="22.18"/>
  </r>
  <r>
    <x v="0"/>
    <x v="14"/>
    <x v="5"/>
    <x v="9"/>
    <s v="LT_Rural"/>
    <x v="2"/>
    <n v="48.384"/>
    <n v="13.44"/>
  </r>
  <r>
    <x v="0"/>
    <x v="14"/>
    <x v="5"/>
    <x v="9"/>
    <s v="LT_Rural"/>
    <x v="0"/>
    <n v="42.692399999999999"/>
    <n v="11.859"/>
  </r>
  <r>
    <x v="0"/>
    <x v="14"/>
    <x v="5"/>
    <x v="9"/>
    <s v="LT_Rural"/>
    <x v="21"/>
    <n v="48.384"/>
    <n v="13.44"/>
  </r>
  <r>
    <x v="0"/>
    <x v="14"/>
    <x v="5"/>
    <x v="9"/>
    <s v="LT_Rural"/>
    <x v="22"/>
    <n v="79.847999999999999"/>
    <n v="22.18"/>
  </r>
  <r>
    <x v="0"/>
    <x v="14"/>
    <x v="5"/>
    <x v="9"/>
    <s v="LT_SiaU"/>
    <x v="2"/>
    <n v="48.384"/>
    <n v="13.44"/>
  </r>
  <r>
    <x v="0"/>
    <x v="14"/>
    <x v="5"/>
    <x v="9"/>
    <s v="LT_SiaU"/>
    <x v="0"/>
    <n v="42.692399999999999"/>
    <n v="11.859"/>
  </r>
  <r>
    <x v="0"/>
    <x v="14"/>
    <x v="5"/>
    <x v="9"/>
    <s v="LT_SiaU"/>
    <x v="21"/>
    <n v="48.384"/>
    <n v="13.44"/>
  </r>
  <r>
    <x v="0"/>
    <x v="14"/>
    <x v="5"/>
    <x v="9"/>
    <s v="LT_SiaU"/>
    <x v="22"/>
    <n v="79.847999999999999"/>
    <n v="22.18"/>
  </r>
  <r>
    <x v="0"/>
    <x v="14"/>
    <x v="5"/>
    <x v="9"/>
    <s v="LT_VilU"/>
    <x v="2"/>
    <n v="48.384"/>
    <n v="13.44"/>
  </r>
  <r>
    <x v="0"/>
    <x v="14"/>
    <x v="5"/>
    <x v="9"/>
    <s v="LT_VilU"/>
    <x v="0"/>
    <n v="42.692399999999999"/>
    <n v="11.859"/>
  </r>
  <r>
    <x v="0"/>
    <x v="14"/>
    <x v="5"/>
    <x v="9"/>
    <s v="LT_VilU"/>
    <x v="21"/>
    <n v="48.384"/>
    <n v="13.44"/>
  </r>
  <r>
    <x v="0"/>
    <x v="14"/>
    <x v="5"/>
    <x v="9"/>
    <s v="LT_VilU"/>
    <x v="22"/>
    <n v="79.847999999999999"/>
    <n v="22.18"/>
  </r>
  <r>
    <x v="0"/>
    <x v="14"/>
    <x v="6"/>
    <x v="10"/>
    <s v="NL_A"/>
    <x v="2"/>
    <n v="48.384"/>
    <n v="13.44"/>
  </r>
  <r>
    <x v="0"/>
    <x v="14"/>
    <x v="6"/>
    <x v="10"/>
    <s v="NL_A"/>
    <x v="0"/>
    <n v="42.692399999999999"/>
    <n v="11.859"/>
  </r>
  <r>
    <x v="0"/>
    <x v="14"/>
    <x v="6"/>
    <x v="10"/>
    <s v="NL_A"/>
    <x v="21"/>
    <n v="48.384"/>
    <n v="13.44"/>
  </r>
  <r>
    <x v="0"/>
    <x v="14"/>
    <x v="6"/>
    <x v="10"/>
    <s v="NL_A"/>
    <x v="22"/>
    <n v="79.847999999999999"/>
    <n v="22.18"/>
  </r>
  <r>
    <x v="0"/>
    <x v="14"/>
    <x v="6"/>
    <x v="10"/>
    <s v="NL_OFFSHORE"/>
    <x v="2"/>
    <n v="48.384"/>
    <n v="13.44"/>
  </r>
  <r>
    <x v="0"/>
    <x v="14"/>
    <x v="6"/>
    <x v="10"/>
    <s v="NL_OFFSHORE"/>
    <x v="0"/>
    <n v="42.692399999999999"/>
    <n v="11.859"/>
  </r>
  <r>
    <x v="0"/>
    <x v="14"/>
    <x v="6"/>
    <x v="10"/>
    <s v="NL_OFFSHORE"/>
    <x v="21"/>
    <n v="48.384"/>
    <n v="13.44"/>
  </r>
  <r>
    <x v="0"/>
    <x v="14"/>
    <x v="6"/>
    <x v="10"/>
    <s v="NL_OFFSHORE"/>
    <x v="22"/>
    <n v="79.847999999999999"/>
    <n v="22.18"/>
  </r>
  <r>
    <x v="0"/>
    <x v="14"/>
    <x v="7"/>
    <x v="11"/>
    <s v="NO1_A1"/>
    <x v="2"/>
    <n v="48.384"/>
    <n v="13.44"/>
  </r>
  <r>
    <x v="0"/>
    <x v="14"/>
    <x v="7"/>
    <x v="11"/>
    <s v="NO1_A1"/>
    <x v="0"/>
    <n v="42.692399999999999"/>
    <n v="11.859"/>
  </r>
  <r>
    <x v="0"/>
    <x v="14"/>
    <x v="7"/>
    <x v="11"/>
    <s v="NO1_A1"/>
    <x v="21"/>
    <n v="48.384"/>
    <n v="13.44"/>
  </r>
  <r>
    <x v="0"/>
    <x v="14"/>
    <x v="7"/>
    <x v="11"/>
    <s v="NO1_A1"/>
    <x v="22"/>
    <n v="79.847999999999999"/>
    <n v="22.18"/>
  </r>
  <r>
    <x v="0"/>
    <x v="14"/>
    <x v="7"/>
    <x v="11"/>
    <s v="NO1_A2"/>
    <x v="2"/>
    <n v="48.384"/>
    <n v="13.44"/>
  </r>
  <r>
    <x v="0"/>
    <x v="14"/>
    <x v="7"/>
    <x v="11"/>
    <s v="NO1_A2"/>
    <x v="0"/>
    <n v="42.692399999999999"/>
    <n v="11.859"/>
  </r>
  <r>
    <x v="0"/>
    <x v="14"/>
    <x v="7"/>
    <x v="11"/>
    <s v="NO1_A2"/>
    <x v="21"/>
    <n v="48.384"/>
    <n v="13.44"/>
  </r>
  <r>
    <x v="0"/>
    <x v="14"/>
    <x v="7"/>
    <x v="11"/>
    <s v="NO1_A2"/>
    <x v="22"/>
    <n v="79.847999999999999"/>
    <n v="22.18"/>
  </r>
  <r>
    <x v="0"/>
    <x v="14"/>
    <x v="7"/>
    <x v="11"/>
    <s v="NO1_A3"/>
    <x v="2"/>
    <n v="48.384"/>
    <n v="13.44"/>
  </r>
  <r>
    <x v="0"/>
    <x v="14"/>
    <x v="7"/>
    <x v="11"/>
    <s v="NO1_A3"/>
    <x v="0"/>
    <n v="42.692399999999999"/>
    <n v="11.859"/>
  </r>
  <r>
    <x v="0"/>
    <x v="14"/>
    <x v="7"/>
    <x v="11"/>
    <s v="NO1_A3"/>
    <x v="21"/>
    <n v="48.384"/>
    <n v="13.44"/>
  </r>
  <r>
    <x v="0"/>
    <x v="14"/>
    <x v="7"/>
    <x v="11"/>
    <s v="NO1_A3"/>
    <x v="22"/>
    <n v="79.847999999999999"/>
    <n v="22.18"/>
  </r>
  <r>
    <x v="0"/>
    <x v="14"/>
    <x v="7"/>
    <x v="11"/>
    <s v="NO1_Offshore"/>
    <x v="2"/>
    <n v="48.384"/>
    <n v="13.44"/>
  </r>
  <r>
    <x v="0"/>
    <x v="14"/>
    <x v="7"/>
    <x v="11"/>
    <s v="NO1_Offshore"/>
    <x v="0"/>
    <n v="42.692399999999999"/>
    <n v="11.859"/>
  </r>
  <r>
    <x v="0"/>
    <x v="14"/>
    <x v="7"/>
    <x v="11"/>
    <s v="NO1_Offshore"/>
    <x v="21"/>
    <n v="48.384"/>
    <n v="13.44"/>
  </r>
  <r>
    <x v="0"/>
    <x v="14"/>
    <x v="7"/>
    <x v="11"/>
    <s v="NO1_Offshore"/>
    <x v="22"/>
    <n v="79.847999999999999"/>
    <n v="22.18"/>
  </r>
  <r>
    <x v="0"/>
    <x v="14"/>
    <x v="7"/>
    <x v="12"/>
    <s v="NO2_A1"/>
    <x v="2"/>
    <n v="48.384"/>
    <n v="13.44"/>
  </r>
  <r>
    <x v="0"/>
    <x v="14"/>
    <x v="7"/>
    <x v="12"/>
    <s v="NO2_A1"/>
    <x v="0"/>
    <n v="42.692399999999999"/>
    <n v="11.859"/>
  </r>
  <r>
    <x v="0"/>
    <x v="14"/>
    <x v="7"/>
    <x v="12"/>
    <s v="NO2_A1"/>
    <x v="21"/>
    <n v="48.384"/>
    <n v="13.44"/>
  </r>
  <r>
    <x v="0"/>
    <x v="14"/>
    <x v="7"/>
    <x v="12"/>
    <s v="NO2_A1"/>
    <x v="22"/>
    <n v="79.847999999999999"/>
    <n v="22.18"/>
  </r>
  <r>
    <x v="0"/>
    <x v="14"/>
    <x v="7"/>
    <x v="12"/>
    <s v="NO2_A2"/>
    <x v="2"/>
    <n v="48.384"/>
    <n v="13.44"/>
  </r>
  <r>
    <x v="0"/>
    <x v="14"/>
    <x v="7"/>
    <x v="12"/>
    <s v="NO2_A2"/>
    <x v="0"/>
    <n v="42.692399999999999"/>
    <n v="11.859"/>
  </r>
  <r>
    <x v="0"/>
    <x v="14"/>
    <x v="7"/>
    <x v="12"/>
    <s v="NO2_A2"/>
    <x v="21"/>
    <n v="48.384"/>
    <n v="13.44"/>
  </r>
  <r>
    <x v="0"/>
    <x v="14"/>
    <x v="7"/>
    <x v="12"/>
    <s v="NO2_A2"/>
    <x v="22"/>
    <n v="79.847999999999999"/>
    <n v="22.18"/>
  </r>
  <r>
    <x v="0"/>
    <x v="14"/>
    <x v="7"/>
    <x v="12"/>
    <s v="NO2_Offshore"/>
    <x v="2"/>
    <n v="48.384"/>
    <n v="13.44"/>
  </r>
  <r>
    <x v="0"/>
    <x v="14"/>
    <x v="7"/>
    <x v="12"/>
    <s v="NO2_Offshore"/>
    <x v="0"/>
    <n v="42.692399999999999"/>
    <n v="11.859"/>
  </r>
  <r>
    <x v="0"/>
    <x v="14"/>
    <x v="7"/>
    <x v="12"/>
    <s v="NO2_Offshore"/>
    <x v="21"/>
    <n v="48.384"/>
    <n v="13.44"/>
  </r>
  <r>
    <x v="0"/>
    <x v="14"/>
    <x v="7"/>
    <x v="12"/>
    <s v="NO2_Offshore"/>
    <x v="22"/>
    <n v="79.847999999999999"/>
    <n v="22.18"/>
  </r>
  <r>
    <x v="0"/>
    <x v="14"/>
    <x v="7"/>
    <x v="13"/>
    <s v="NO3_A1"/>
    <x v="2"/>
    <n v="48.384"/>
    <n v="13.44"/>
  </r>
  <r>
    <x v="0"/>
    <x v="14"/>
    <x v="7"/>
    <x v="13"/>
    <s v="NO3_A1"/>
    <x v="0"/>
    <n v="42.692399999999999"/>
    <n v="11.859"/>
  </r>
  <r>
    <x v="0"/>
    <x v="14"/>
    <x v="7"/>
    <x v="13"/>
    <s v="NO3_A1"/>
    <x v="21"/>
    <n v="48.384"/>
    <n v="13.44"/>
  </r>
  <r>
    <x v="0"/>
    <x v="14"/>
    <x v="7"/>
    <x v="13"/>
    <s v="NO3_A1"/>
    <x v="22"/>
    <n v="79.847999999999999"/>
    <n v="22.18"/>
  </r>
  <r>
    <x v="0"/>
    <x v="14"/>
    <x v="7"/>
    <x v="13"/>
    <s v="NO3_A2"/>
    <x v="2"/>
    <n v="48.384"/>
    <n v="13.44"/>
  </r>
  <r>
    <x v="0"/>
    <x v="14"/>
    <x v="7"/>
    <x v="13"/>
    <s v="NO3_A2"/>
    <x v="0"/>
    <n v="42.692399999999999"/>
    <n v="11.859"/>
  </r>
  <r>
    <x v="0"/>
    <x v="14"/>
    <x v="7"/>
    <x v="13"/>
    <s v="NO3_A2"/>
    <x v="21"/>
    <n v="48.384"/>
    <n v="13.44"/>
  </r>
  <r>
    <x v="0"/>
    <x v="14"/>
    <x v="7"/>
    <x v="13"/>
    <s v="NO3_A2"/>
    <x v="22"/>
    <n v="79.847999999999999"/>
    <n v="22.18"/>
  </r>
  <r>
    <x v="0"/>
    <x v="14"/>
    <x v="7"/>
    <x v="13"/>
    <s v="NO3_A3"/>
    <x v="2"/>
    <n v="48.384"/>
    <n v="13.44"/>
  </r>
  <r>
    <x v="0"/>
    <x v="14"/>
    <x v="7"/>
    <x v="13"/>
    <s v="NO3_A3"/>
    <x v="0"/>
    <n v="42.692399999999999"/>
    <n v="11.859"/>
  </r>
  <r>
    <x v="0"/>
    <x v="14"/>
    <x v="7"/>
    <x v="13"/>
    <s v="NO3_A3"/>
    <x v="21"/>
    <n v="48.384"/>
    <n v="13.44"/>
  </r>
  <r>
    <x v="0"/>
    <x v="14"/>
    <x v="7"/>
    <x v="13"/>
    <s v="NO3_A3"/>
    <x v="22"/>
    <n v="79.847999999999999"/>
    <n v="22.18"/>
  </r>
  <r>
    <x v="0"/>
    <x v="14"/>
    <x v="7"/>
    <x v="13"/>
    <s v="NO3_Offshore"/>
    <x v="2"/>
    <n v="48.384"/>
    <n v="13.44"/>
  </r>
  <r>
    <x v="0"/>
    <x v="14"/>
    <x v="7"/>
    <x v="13"/>
    <s v="NO3_Offshore"/>
    <x v="0"/>
    <n v="42.692399999999999"/>
    <n v="11.859"/>
  </r>
  <r>
    <x v="0"/>
    <x v="14"/>
    <x v="7"/>
    <x v="13"/>
    <s v="NO3_Offshore"/>
    <x v="21"/>
    <n v="48.384"/>
    <n v="13.44"/>
  </r>
  <r>
    <x v="0"/>
    <x v="14"/>
    <x v="7"/>
    <x v="13"/>
    <s v="NO3_Offshore"/>
    <x v="22"/>
    <n v="79.847999999999999"/>
    <n v="22.18"/>
  </r>
  <r>
    <x v="0"/>
    <x v="14"/>
    <x v="7"/>
    <x v="14"/>
    <s v="NO4_A1"/>
    <x v="2"/>
    <n v="48.384"/>
    <n v="13.44"/>
  </r>
  <r>
    <x v="0"/>
    <x v="14"/>
    <x v="7"/>
    <x v="14"/>
    <s v="NO4_A1"/>
    <x v="0"/>
    <n v="42.692399999999999"/>
    <n v="11.859"/>
  </r>
  <r>
    <x v="0"/>
    <x v="14"/>
    <x v="7"/>
    <x v="14"/>
    <s v="NO4_A1"/>
    <x v="21"/>
    <n v="48.384"/>
    <n v="13.44"/>
  </r>
  <r>
    <x v="0"/>
    <x v="14"/>
    <x v="7"/>
    <x v="14"/>
    <s v="NO4_A1"/>
    <x v="22"/>
    <n v="79.847999999999999"/>
    <n v="22.18"/>
  </r>
  <r>
    <x v="0"/>
    <x v="14"/>
    <x v="7"/>
    <x v="14"/>
    <s v="NO4_A2"/>
    <x v="2"/>
    <n v="48.384"/>
    <n v="13.44"/>
  </r>
  <r>
    <x v="0"/>
    <x v="14"/>
    <x v="7"/>
    <x v="14"/>
    <s v="NO4_A2"/>
    <x v="0"/>
    <n v="42.692399999999999"/>
    <n v="11.859"/>
  </r>
  <r>
    <x v="0"/>
    <x v="14"/>
    <x v="7"/>
    <x v="14"/>
    <s v="NO4_A2"/>
    <x v="21"/>
    <n v="48.384"/>
    <n v="13.44"/>
  </r>
  <r>
    <x v="0"/>
    <x v="14"/>
    <x v="7"/>
    <x v="14"/>
    <s v="NO4_A2"/>
    <x v="22"/>
    <n v="79.847999999999999"/>
    <n v="22.18"/>
  </r>
  <r>
    <x v="0"/>
    <x v="14"/>
    <x v="7"/>
    <x v="14"/>
    <s v="NO4_Offshore"/>
    <x v="2"/>
    <n v="48.384"/>
    <n v="13.44"/>
  </r>
  <r>
    <x v="0"/>
    <x v="14"/>
    <x v="7"/>
    <x v="14"/>
    <s v="NO4_Offshore"/>
    <x v="0"/>
    <n v="42.692399999999999"/>
    <n v="11.859"/>
  </r>
  <r>
    <x v="0"/>
    <x v="14"/>
    <x v="7"/>
    <x v="14"/>
    <s v="NO4_Offshore"/>
    <x v="21"/>
    <n v="48.384"/>
    <n v="13.44"/>
  </r>
  <r>
    <x v="0"/>
    <x v="14"/>
    <x v="7"/>
    <x v="14"/>
    <s v="NO4_Offshore"/>
    <x v="22"/>
    <n v="79.847999999999999"/>
    <n v="22.18"/>
  </r>
  <r>
    <x v="0"/>
    <x v="14"/>
    <x v="7"/>
    <x v="15"/>
    <s v="NO5_A1"/>
    <x v="2"/>
    <n v="48.384"/>
    <n v="13.44"/>
  </r>
  <r>
    <x v="0"/>
    <x v="14"/>
    <x v="7"/>
    <x v="15"/>
    <s v="NO5_A1"/>
    <x v="0"/>
    <n v="42.692399999999999"/>
    <n v="11.859"/>
  </r>
  <r>
    <x v="0"/>
    <x v="14"/>
    <x v="7"/>
    <x v="15"/>
    <s v="NO5_A1"/>
    <x v="21"/>
    <n v="48.384"/>
    <n v="13.44"/>
  </r>
  <r>
    <x v="0"/>
    <x v="14"/>
    <x v="7"/>
    <x v="15"/>
    <s v="NO5_A1"/>
    <x v="22"/>
    <n v="79.847999999999999"/>
    <n v="22.18"/>
  </r>
  <r>
    <x v="0"/>
    <x v="14"/>
    <x v="7"/>
    <x v="15"/>
    <s v="NO5_A2"/>
    <x v="2"/>
    <n v="48.384"/>
    <n v="13.44"/>
  </r>
  <r>
    <x v="0"/>
    <x v="14"/>
    <x v="7"/>
    <x v="15"/>
    <s v="NO5_A2"/>
    <x v="0"/>
    <n v="42.692399999999999"/>
    <n v="11.859"/>
  </r>
  <r>
    <x v="0"/>
    <x v="14"/>
    <x v="7"/>
    <x v="15"/>
    <s v="NO5_A2"/>
    <x v="21"/>
    <n v="48.384"/>
    <n v="13.44"/>
  </r>
  <r>
    <x v="0"/>
    <x v="14"/>
    <x v="7"/>
    <x v="15"/>
    <s v="NO5_A2"/>
    <x v="22"/>
    <n v="79.847999999999999"/>
    <n v="22.18"/>
  </r>
  <r>
    <x v="0"/>
    <x v="14"/>
    <x v="7"/>
    <x v="15"/>
    <s v="NO5_Offshore"/>
    <x v="2"/>
    <n v="48.384"/>
    <n v="13.44"/>
  </r>
  <r>
    <x v="0"/>
    <x v="14"/>
    <x v="7"/>
    <x v="15"/>
    <s v="NO5_Offshore"/>
    <x v="0"/>
    <n v="42.692399999999999"/>
    <n v="11.859"/>
  </r>
  <r>
    <x v="0"/>
    <x v="14"/>
    <x v="7"/>
    <x v="15"/>
    <s v="NO5_Offshore"/>
    <x v="21"/>
    <n v="48.384"/>
    <n v="13.44"/>
  </r>
  <r>
    <x v="0"/>
    <x v="14"/>
    <x v="7"/>
    <x v="15"/>
    <s v="NO5_Offshore"/>
    <x v="22"/>
    <n v="79.847999999999999"/>
    <n v="22.18"/>
  </r>
  <r>
    <x v="0"/>
    <x v="14"/>
    <x v="8"/>
    <x v="16"/>
    <s v="PL_A"/>
    <x v="2"/>
    <n v="48.384"/>
    <n v="13.44"/>
  </r>
  <r>
    <x v="0"/>
    <x v="14"/>
    <x v="8"/>
    <x v="16"/>
    <s v="PL_A"/>
    <x v="0"/>
    <n v="42.692399999999999"/>
    <n v="11.859"/>
  </r>
  <r>
    <x v="0"/>
    <x v="14"/>
    <x v="8"/>
    <x v="16"/>
    <s v="PL_A"/>
    <x v="21"/>
    <n v="48.384"/>
    <n v="13.44"/>
  </r>
  <r>
    <x v="0"/>
    <x v="14"/>
    <x v="8"/>
    <x v="16"/>
    <s v="PL_A"/>
    <x v="22"/>
    <n v="79.847999999999999"/>
    <n v="22.18"/>
  </r>
  <r>
    <x v="0"/>
    <x v="14"/>
    <x v="8"/>
    <x v="16"/>
    <s v="PL_OFFSHORE"/>
    <x v="2"/>
    <n v="48.384"/>
    <n v="13.44"/>
  </r>
  <r>
    <x v="0"/>
    <x v="14"/>
    <x v="8"/>
    <x v="16"/>
    <s v="PL_OFFSHORE"/>
    <x v="0"/>
    <n v="42.692399999999999"/>
    <n v="11.859"/>
  </r>
  <r>
    <x v="0"/>
    <x v="14"/>
    <x v="8"/>
    <x v="16"/>
    <s v="PL_OFFSHORE"/>
    <x v="21"/>
    <n v="48.384"/>
    <n v="13.44"/>
  </r>
  <r>
    <x v="0"/>
    <x v="14"/>
    <x v="8"/>
    <x v="16"/>
    <s v="PL_OFFSHORE"/>
    <x v="22"/>
    <n v="79.847999999999999"/>
    <n v="22.18"/>
  </r>
  <r>
    <x v="0"/>
    <x v="14"/>
    <x v="8"/>
    <x v="16"/>
    <s v="PL_Rural"/>
    <x v="2"/>
    <n v="48.384"/>
    <n v="13.44"/>
  </r>
  <r>
    <x v="0"/>
    <x v="14"/>
    <x v="8"/>
    <x v="16"/>
    <s v="PL_Rural"/>
    <x v="0"/>
    <n v="42.692399999999999"/>
    <n v="11.859"/>
  </r>
  <r>
    <x v="0"/>
    <x v="14"/>
    <x v="8"/>
    <x v="16"/>
    <s v="PL_Rural"/>
    <x v="21"/>
    <n v="48.384"/>
    <n v="13.44"/>
  </r>
  <r>
    <x v="0"/>
    <x v="14"/>
    <x v="8"/>
    <x v="16"/>
    <s v="PL_Rural"/>
    <x v="22"/>
    <n v="79.847999999999999"/>
    <n v="22.18"/>
  </r>
  <r>
    <x v="0"/>
    <x v="14"/>
    <x v="9"/>
    <x v="17"/>
    <s v="SE1A"/>
    <x v="2"/>
    <n v="48.384"/>
    <n v="13.44"/>
  </r>
  <r>
    <x v="0"/>
    <x v="14"/>
    <x v="9"/>
    <x v="17"/>
    <s v="SE1A"/>
    <x v="0"/>
    <n v="42.692399999999999"/>
    <n v="11.859"/>
  </r>
  <r>
    <x v="0"/>
    <x v="14"/>
    <x v="9"/>
    <x v="17"/>
    <s v="SE1A"/>
    <x v="21"/>
    <n v="48.384"/>
    <n v="13.44"/>
  </r>
  <r>
    <x v="0"/>
    <x v="14"/>
    <x v="9"/>
    <x v="17"/>
    <s v="SE1A"/>
    <x v="22"/>
    <n v="79.847999999999999"/>
    <n v="22.18"/>
  </r>
  <r>
    <x v="0"/>
    <x v="14"/>
    <x v="9"/>
    <x v="17"/>
    <s v="SE1_IND"/>
    <x v="2"/>
    <n v="48.384"/>
    <n v="13.44"/>
  </r>
  <r>
    <x v="0"/>
    <x v="14"/>
    <x v="9"/>
    <x v="17"/>
    <s v="SE1_IND"/>
    <x v="0"/>
    <n v="42.692399999999999"/>
    <n v="11.859"/>
  </r>
  <r>
    <x v="0"/>
    <x v="14"/>
    <x v="9"/>
    <x v="17"/>
    <s v="SE1_IND"/>
    <x v="21"/>
    <n v="48.384"/>
    <n v="13.44"/>
  </r>
  <r>
    <x v="0"/>
    <x v="14"/>
    <x v="9"/>
    <x v="17"/>
    <s v="SE1_IND"/>
    <x v="22"/>
    <n v="79.847999999999999"/>
    <n v="22.18"/>
  </r>
  <r>
    <x v="0"/>
    <x v="14"/>
    <x v="9"/>
    <x v="17"/>
    <s v="SE1_Offshore"/>
    <x v="2"/>
    <n v="48.384"/>
    <n v="13.44"/>
  </r>
  <r>
    <x v="0"/>
    <x v="14"/>
    <x v="9"/>
    <x v="17"/>
    <s v="SE1_Offshore"/>
    <x v="0"/>
    <n v="42.692399999999999"/>
    <n v="11.859"/>
  </r>
  <r>
    <x v="0"/>
    <x v="14"/>
    <x v="9"/>
    <x v="17"/>
    <s v="SE1_Offshore"/>
    <x v="21"/>
    <n v="48.384"/>
    <n v="13.44"/>
  </r>
  <r>
    <x v="0"/>
    <x v="14"/>
    <x v="9"/>
    <x v="17"/>
    <s v="SE1_Offshore"/>
    <x v="22"/>
    <n v="79.847999999999999"/>
    <n v="22.18"/>
  </r>
  <r>
    <x v="0"/>
    <x v="14"/>
    <x v="9"/>
    <x v="17"/>
    <s v="SE1_medium"/>
    <x v="2"/>
    <n v="48.384"/>
    <n v="13.44"/>
  </r>
  <r>
    <x v="0"/>
    <x v="14"/>
    <x v="9"/>
    <x v="17"/>
    <s v="SE1_medium"/>
    <x v="0"/>
    <n v="42.692399999999999"/>
    <n v="11.859"/>
  </r>
  <r>
    <x v="0"/>
    <x v="14"/>
    <x v="9"/>
    <x v="17"/>
    <s v="SE1_medium"/>
    <x v="21"/>
    <n v="48.384"/>
    <n v="13.44"/>
  </r>
  <r>
    <x v="0"/>
    <x v="14"/>
    <x v="9"/>
    <x v="17"/>
    <s v="SE1_medium"/>
    <x v="22"/>
    <n v="79.847999999999999"/>
    <n v="22.18"/>
  </r>
  <r>
    <x v="0"/>
    <x v="14"/>
    <x v="9"/>
    <x v="17"/>
    <s v="SE1_small"/>
    <x v="2"/>
    <n v="48.384"/>
    <n v="13.44"/>
  </r>
  <r>
    <x v="0"/>
    <x v="14"/>
    <x v="9"/>
    <x v="17"/>
    <s v="SE1_small"/>
    <x v="0"/>
    <n v="42.692399999999999"/>
    <n v="11.859"/>
  </r>
  <r>
    <x v="0"/>
    <x v="14"/>
    <x v="9"/>
    <x v="17"/>
    <s v="SE1_small"/>
    <x v="21"/>
    <n v="48.384"/>
    <n v="13.44"/>
  </r>
  <r>
    <x v="0"/>
    <x v="14"/>
    <x v="9"/>
    <x v="17"/>
    <s v="SE1_small"/>
    <x v="22"/>
    <n v="79.847999999999999"/>
    <n v="22.18"/>
  </r>
  <r>
    <x v="0"/>
    <x v="14"/>
    <x v="9"/>
    <x v="18"/>
    <s v="SE2A"/>
    <x v="2"/>
    <n v="48.384"/>
    <n v="13.44"/>
  </r>
  <r>
    <x v="0"/>
    <x v="14"/>
    <x v="9"/>
    <x v="18"/>
    <s v="SE2A"/>
    <x v="0"/>
    <n v="42.692399999999999"/>
    <n v="11.859"/>
  </r>
  <r>
    <x v="0"/>
    <x v="14"/>
    <x v="9"/>
    <x v="18"/>
    <s v="SE2A"/>
    <x v="21"/>
    <n v="48.384"/>
    <n v="13.44"/>
  </r>
  <r>
    <x v="0"/>
    <x v="14"/>
    <x v="9"/>
    <x v="18"/>
    <s v="SE2A"/>
    <x v="22"/>
    <n v="79.847999999999999"/>
    <n v="22.18"/>
  </r>
  <r>
    <x v="0"/>
    <x v="14"/>
    <x v="9"/>
    <x v="18"/>
    <s v="SE2_IND"/>
    <x v="2"/>
    <n v="48.384"/>
    <n v="13.44"/>
  </r>
  <r>
    <x v="0"/>
    <x v="14"/>
    <x v="9"/>
    <x v="18"/>
    <s v="SE2_IND"/>
    <x v="0"/>
    <n v="42.692399999999999"/>
    <n v="11.859"/>
  </r>
  <r>
    <x v="0"/>
    <x v="14"/>
    <x v="9"/>
    <x v="18"/>
    <s v="SE2_IND"/>
    <x v="21"/>
    <n v="48.384"/>
    <n v="13.44"/>
  </r>
  <r>
    <x v="0"/>
    <x v="14"/>
    <x v="9"/>
    <x v="18"/>
    <s v="SE2_IND"/>
    <x v="22"/>
    <n v="79.847999999999999"/>
    <n v="22.18"/>
  </r>
  <r>
    <x v="0"/>
    <x v="14"/>
    <x v="9"/>
    <x v="18"/>
    <s v="SE2_Offshore"/>
    <x v="2"/>
    <n v="48.384"/>
    <n v="13.44"/>
  </r>
  <r>
    <x v="0"/>
    <x v="14"/>
    <x v="9"/>
    <x v="18"/>
    <s v="SE2_Offshore"/>
    <x v="0"/>
    <n v="42.692399999999999"/>
    <n v="11.859"/>
  </r>
  <r>
    <x v="0"/>
    <x v="14"/>
    <x v="9"/>
    <x v="18"/>
    <s v="SE2_Offshore"/>
    <x v="21"/>
    <n v="48.384"/>
    <n v="13.44"/>
  </r>
  <r>
    <x v="0"/>
    <x v="14"/>
    <x v="9"/>
    <x v="18"/>
    <s v="SE2_Offshore"/>
    <x v="22"/>
    <n v="79.847999999999999"/>
    <n v="22.18"/>
  </r>
  <r>
    <x v="0"/>
    <x v="14"/>
    <x v="9"/>
    <x v="18"/>
    <s v="SE2_medium"/>
    <x v="2"/>
    <n v="48.384"/>
    <n v="13.44"/>
  </r>
  <r>
    <x v="0"/>
    <x v="14"/>
    <x v="9"/>
    <x v="18"/>
    <s v="SE2_medium"/>
    <x v="0"/>
    <n v="42.692399999999999"/>
    <n v="11.859"/>
  </r>
  <r>
    <x v="0"/>
    <x v="14"/>
    <x v="9"/>
    <x v="18"/>
    <s v="SE2_medium"/>
    <x v="21"/>
    <n v="48.384"/>
    <n v="13.44"/>
  </r>
  <r>
    <x v="0"/>
    <x v="14"/>
    <x v="9"/>
    <x v="18"/>
    <s v="SE2_medium"/>
    <x v="22"/>
    <n v="79.847999999999999"/>
    <n v="22.18"/>
  </r>
  <r>
    <x v="0"/>
    <x v="14"/>
    <x v="9"/>
    <x v="18"/>
    <s v="SE2_small"/>
    <x v="2"/>
    <n v="48.384"/>
    <n v="13.44"/>
  </r>
  <r>
    <x v="0"/>
    <x v="14"/>
    <x v="9"/>
    <x v="18"/>
    <s v="SE2_small"/>
    <x v="0"/>
    <n v="42.692399999999999"/>
    <n v="11.859"/>
  </r>
  <r>
    <x v="0"/>
    <x v="14"/>
    <x v="9"/>
    <x v="18"/>
    <s v="SE2_small"/>
    <x v="21"/>
    <n v="48.384"/>
    <n v="13.44"/>
  </r>
  <r>
    <x v="0"/>
    <x v="14"/>
    <x v="9"/>
    <x v="18"/>
    <s v="SE2_small"/>
    <x v="22"/>
    <n v="79.847999999999999"/>
    <n v="22.18"/>
  </r>
  <r>
    <x v="0"/>
    <x v="14"/>
    <x v="9"/>
    <x v="19"/>
    <s v="SE3A"/>
    <x v="2"/>
    <n v="48.384"/>
    <n v="13.44"/>
  </r>
  <r>
    <x v="0"/>
    <x v="14"/>
    <x v="9"/>
    <x v="19"/>
    <s v="SE3A"/>
    <x v="0"/>
    <n v="42.692399999999999"/>
    <n v="11.859"/>
  </r>
  <r>
    <x v="0"/>
    <x v="14"/>
    <x v="9"/>
    <x v="19"/>
    <s v="SE3A"/>
    <x v="21"/>
    <n v="48.384"/>
    <n v="13.44"/>
  </r>
  <r>
    <x v="0"/>
    <x v="14"/>
    <x v="9"/>
    <x v="19"/>
    <s v="SE3A"/>
    <x v="22"/>
    <n v="79.847999999999999"/>
    <n v="22.18"/>
  </r>
  <r>
    <x v="0"/>
    <x v="14"/>
    <x v="9"/>
    <x v="19"/>
    <s v="SE3_IND"/>
    <x v="2"/>
    <n v="48.384"/>
    <n v="13.44"/>
  </r>
  <r>
    <x v="0"/>
    <x v="14"/>
    <x v="9"/>
    <x v="19"/>
    <s v="SE3_IND"/>
    <x v="0"/>
    <n v="42.692399999999999"/>
    <n v="11.859"/>
  </r>
  <r>
    <x v="0"/>
    <x v="14"/>
    <x v="9"/>
    <x v="19"/>
    <s v="SE3_IND"/>
    <x v="21"/>
    <n v="48.384"/>
    <n v="13.44"/>
  </r>
  <r>
    <x v="0"/>
    <x v="14"/>
    <x v="9"/>
    <x v="19"/>
    <s v="SE3_IND"/>
    <x v="22"/>
    <n v="79.847999999999999"/>
    <n v="22.18"/>
  </r>
  <r>
    <x v="0"/>
    <x v="14"/>
    <x v="9"/>
    <x v="19"/>
    <s v="SE3_Offshore"/>
    <x v="2"/>
    <n v="48.384"/>
    <n v="13.44"/>
  </r>
  <r>
    <x v="0"/>
    <x v="14"/>
    <x v="9"/>
    <x v="19"/>
    <s v="SE3_Offshore"/>
    <x v="0"/>
    <n v="42.692399999999999"/>
    <n v="11.859"/>
  </r>
  <r>
    <x v="0"/>
    <x v="14"/>
    <x v="9"/>
    <x v="19"/>
    <s v="SE3_Offshore"/>
    <x v="21"/>
    <n v="48.384"/>
    <n v="13.44"/>
  </r>
  <r>
    <x v="0"/>
    <x v="14"/>
    <x v="9"/>
    <x v="19"/>
    <s v="SE3_Offshore"/>
    <x v="22"/>
    <n v="79.847999999999999"/>
    <n v="22.18"/>
  </r>
  <r>
    <x v="0"/>
    <x v="14"/>
    <x v="9"/>
    <x v="19"/>
    <s v="SE3_large"/>
    <x v="2"/>
    <n v="48.384"/>
    <n v="13.44"/>
  </r>
  <r>
    <x v="0"/>
    <x v="14"/>
    <x v="9"/>
    <x v="19"/>
    <s v="SE3_large"/>
    <x v="0"/>
    <n v="42.692399999999999"/>
    <n v="11.859"/>
  </r>
  <r>
    <x v="0"/>
    <x v="14"/>
    <x v="9"/>
    <x v="19"/>
    <s v="SE3_large"/>
    <x v="21"/>
    <n v="48.384"/>
    <n v="13.44"/>
  </r>
  <r>
    <x v="0"/>
    <x v="14"/>
    <x v="9"/>
    <x v="19"/>
    <s v="SE3_large"/>
    <x v="22"/>
    <n v="79.847999999999999"/>
    <n v="22.18"/>
  </r>
  <r>
    <x v="0"/>
    <x v="14"/>
    <x v="9"/>
    <x v="19"/>
    <s v="SE3_medium"/>
    <x v="2"/>
    <n v="48.384"/>
    <n v="13.44"/>
  </r>
  <r>
    <x v="0"/>
    <x v="14"/>
    <x v="9"/>
    <x v="19"/>
    <s v="SE3_medium"/>
    <x v="0"/>
    <n v="42.692399999999999"/>
    <n v="11.859"/>
  </r>
  <r>
    <x v="0"/>
    <x v="14"/>
    <x v="9"/>
    <x v="19"/>
    <s v="SE3_medium"/>
    <x v="21"/>
    <n v="48.384"/>
    <n v="13.44"/>
  </r>
  <r>
    <x v="0"/>
    <x v="14"/>
    <x v="9"/>
    <x v="19"/>
    <s v="SE3_medium"/>
    <x v="22"/>
    <n v="79.847999999999999"/>
    <n v="22.18"/>
  </r>
  <r>
    <x v="0"/>
    <x v="14"/>
    <x v="9"/>
    <x v="19"/>
    <s v="SE3_small"/>
    <x v="2"/>
    <n v="48.384"/>
    <n v="13.44"/>
  </r>
  <r>
    <x v="0"/>
    <x v="14"/>
    <x v="9"/>
    <x v="19"/>
    <s v="SE3_small"/>
    <x v="0"/>
    <n v="42.692399999999999"/>
    <n v="11.859"/>
  </r>
  <r>
    <x v="0"/>
    <x v="14"/>
    <x v="9"/>
    <x v="19"/>
    <s v="SE3_small"/>
    <x v="21"/>
    <n v="48.384"/>
    <n v="13.44"/>
  </r>
  <r>
    <x v="0"/>
    <x v="14"/>
    <x v="9"/>
    <x v="19"/>
    <s v="SE3_small"/>
    <x v="22"/>
    <n v="79.847999999999999"/>
    <n v="22.18"/>
  </r>
  <r>
    <x v="0"/>
    <x v="14"/>
    <x v="9"/>
    <x v="20"/>
    <s v="SE4A"/>
    <x v="2"/>
    <n v="48.384"/>
    <n v="13.44"/>
  </r>
  <r>
    <x v="0"/>
    <x v="14"/>
    <x v="9"/>
    <x v="20"/>
    <s v="SE4A"/>
    <x v="0"/>
    <n v="42.692399999999999"/>
    <n v="11.859"/>
  </r>
  <r>
    <x v="0"/>
    <x v="14"/>
    <x v="9"/>
    <x v="20"/>
    <s v="SE4A"/>
    <x v="21"/>
    <n v="48.384"/>
    <n v="13.44"/>
  </r>
  <r>
    <x v="0"/>
    <x v="14"/>
    <x v="9"/>
    <x v="20"/>
    <s v="SE4A"/>
    <x v="22"/>
    <n v="79.847999999999999"/>
    <n v="22.18"/>
  </r>
  <r>
    <x v="0"/>
    <x v="14"/>
    <x v="9"/>
    <x v="20"/>
    <s v="SE4_IND"/>
    <x v="2"/>
    <n v="48.384"/>
    <n v="13.44"/>
  </r>
  <r>
    <x v="0"/>
    <x v="14"/>
    <x v="9"/>
    <x v="20"/>
    <s v="SE4_IND"/>
    <x v="0"/>
    <n v="42.692399999999999"/>
    <n v="11.859"/>
  </r>
  <r>
    <x v="0"/>
    <x v="14"/>
    <x v="9"/>
    <x v="20"/>
    <s v="SE4_IND"/>
    <x v="21"/>
    <n v="48.384"/>
    <n v="13.44"/>
  </r>
  <r>
    <x v="0"/>
    <x v="14"/>
    <x v="9"/>
    <x v="20"/>
    <s v="SE4_IND"/>
    <x v="22"/>
    <n v="79.847999999999999"/>
    <n v="22.18"/>
  </r>
  <r>
    <x v="0"/>
    <x v="14"/>
    <x v="9"/>
    <x v="20"/>
    <s v="SE4_Offshore"/>
    <x v="2"/>
    <n v="48.384"/>
    <n v="13.44"/>
  </r>
  <r>
    <x v="0"/>
    <x v="14"/>
    <x v="9"/>
    <x v="20"/>
    <s v="SE4_Offshore"/>
    <x v="0"/>
    <n v="42.692399999999999"/>
    <n v="11.859"/>
  </r>
  <r>
    <x v="0"/>
    <x v="14"/>
    <x v="9"/>
    <x v="20"/>
    <s v="SE4_Offshore"/>
    <x v="21"/>
    <n v="48.384"/>
    <n v="13.44"/>
  </r>
  <r>
    <x v="0"/>
    <x v="14"/>
    <x v="9"/>
    <x v="20"/>
    <s v="SE4_Offshore"/>
    <x v="22"/>
    <n v="79.847999999999999"/>
    <n v="22.18"/>
  </r>
  <r>
    <x v="0"/>
    <x v="14"/>
    <x v="9"/>
    <x v="20"/>
    <s v="SE4_large"/>
    <x v="2"/>
    <n v="48.384"/>
    <n v="13.44"/>
  </r>
  <r>
    <x v="0"/>
    <x v="14"/>
    <x v="9"/>
    <x v="20"/>
    <s v="SE4_large"/>
    <x v="0"/>
    <n v="42.692399999999999"/>
    <n v="11.859"/>
  </r>
  <r>
    <x v="0"/>
    <x v="14"/>
    <x v="9"/>
    <x v="20"/>
    <s v="SE4_large"/>
    <x v="21"/>
    <n v="48.384"/>
    <n v="13.44"/>
  </r>
  <r>
    <x v="0"/>
    <x v="14"/>
    <x v="9"/>
    <x v="20"/>
    <s v="SE4_large"/>
    <x v="22"/>
    <n v="79.847999999999999"/>
    <n v="22.18"/>
  </r>
  <r>
    <x v="0"/>
    <x v="14"/>
    <x v="9"/>
    <x v="20"/>
    <s v="SE4_medium"/>
    <x v="2"/>
    <n v="48.384"/>
    <n v="13.44"/>
  </r>
  <r>
    <x v="0"/>
    <x v="14"/>
    <x v="9"/>
    <x v="20"/>
    <s v="SE4_medium"/>
    <x v="0"/>
    <n v="42.692399999999999"/>
    <n v="11.859"/>
  </r>
  <r>
    <x v="0"/>
    <x v="14"/>
    <x v="9"/>
    <x v="20"/>
    <s v="SE4_medium"/>
    <x v="21"/>
    <n v="48.384"/>
    <n v="13.44"/>
  </r>
  <r>
    <x v="0"/>
    <x v="14"/>
    <x v="9"/>
    <x v="20"/>
    <s v="SE4_medium"/>
    <x v="22"/>
    <n v="79.847999999999999"/>
    <n v="22.18"/>
  </r>
  <r>
    <x v="0"/>
    <x v="14"/>
    <x v="9"/>
    <x v="20"/>
    <s v="SE4_small"/>
    <x v="2"/>
    <n v="48.384"/>
    <n v="13.44"/>
  </r>
  <r>
    <x v="0"/>
    <x v="14"/>
    <x v="9"/>
    <x v="20"/>
    <s v="SE4_small"/>
    <x v="0"/>
    <n v="42.692399999999999"/>
    <n v="11.859"/>
  </r>
  <r>
    <x v="0"/>
    <x v="14"/>
    <x v="9"/>
    <x v="20"/>
    <s v="SE4_small"/>
    <x v="21"/>
    <n v="48.384"/>
    <n v="13.44"/>
  </r>
  <r>
    <x v="0"/>
    <x v="14"/>
    <x v="9"/>
    <x v="20"/>
    <s v="SE4_small"/>
    <x v="22"/>
    <n v="79.847999999999999"/>
    <n v="22.18"/>
  </r>
  <r>
    <x v="0"/>
    <x v="14"/>
    <x v="10"/>
    <x v="21"/>
    <s v="UK_A"/>
    <x v="2"/>
    <n v="48.384"/>
    <n v="13.44"/>
  </r>
  <r>
    <x v="0"/>
    <x v="14"/>
    <x v="10"/>
    <x v="21"/>
    <s v="UK_A"/>
    <x v="0"/>
    <n v="42.692399999999999"/>
    <n v="11.859"/>
  </r>
  <r>
    <x v="0"/>
    <x v="14"/>
    <x v="10"/>
    <x v="21"/>
    <s v="UK_A"/>
    <x v="21"/>
    <n v="48.384"/>
    <n v="13.44"/>
  </r>
  <r>
    <x v="0"/>
    <x v="14"/>
    <x v="10"/>
    <x v="21"/>
    <s v="UK_A"/>
    <x v="22"/>
    <n v="79.847999999999999"/>
    <n v="22.18"/>
  </r>
  <r>
    <x v="0"/>
    <x v="14"/>
    <x v="10"/>
    <x v="21"/>
    <s v="UK_Offshore"/>
    <x v="2"/>
    <n v="48.384"/>
    <n v="13.44"/>
  </r>
  <r>
    <x v="0"/>
    <x v="14"/>
    <x v="10"/>
    <x v="21"/>
    <s v="UK_Offshore"/>
    <x v="0"/>
    <n v="42.692399999999999"/>
    <n v="11.859"/>
  </r>
  <r>
    <x v="0"/>
    <x v="14"/>
    <x v="10"/>
    <x v="21"/>
    <s v="UK_Offshore"/>
    <x v="21"/>
    <n v="48.384"/>
    <n v="13.44"/>
  </r>
  <r>
    <x v="0"/>
    <x v="14"/>
    <x v="10"/>
    <x v="21"/>
    <s v="UK_Offshore"/>
    <x v="22"/>
    <n v="79.847999999999999"/>
    <n v="22.18"/>
  </r>
  <r>
    <x v="0"/>
    <x v="15"/>
    <x v="0"/>
    <x v="0"/>
    <s v="DK1_Large"/>
    <x v="2"/>
    <n v="48.384"/>
    <n v="13.44"/>
  </r>
  <r>
    <x v="0"/>
    <x v="15"/>
    <x v="0"/>
    <x v="0"/>
    <s v="DK1_Large"/>
    <x v="0"/>
    <n v="42.692399999999999"/>
    <n v="11.859"/>
  </r>
  <r>
    <x v="0"/>
    <x v="15"/>
    <x v="0"/>
    <x v="0"/>
    <s v="DK1_Large"/>
    <x v="21"/>
    <n v="48.384"/>
    <n v="13.44"/>
  </r>
  <r>
    <x v="0"/>
    <x v="15"/>
    <x v="0"/>
    <x v="0"/>
    <s v="DK1_Large"/>
    <x v="22"/>
    <n v="79.847999999999999"/>
    <n v="22.18"/>
  </r>
  <r>
    <x v="0"/>
    <x v="15"/>
    <x v="0"/>
    <x v="0"/>
    <s v="DK1_Large_PHH"/>
    <x v="2"/>
    <n v="48.384"/>
    <n v="13.44"/>
  </r>
  <r>
    <x v="0"/>
    <x v="15"/>
    <x v="0"/>
    <x v="0"/>
    <s v="DK1_Large_PHH"/>
    <x v="0"/>
    <n v="42.692399999999999"/>
    <n v="11.859"/>
  </r>
  <r>
    <x v="0"/>
    <x v="15"/>
    <x v="0"/>
    <x v="0"/>
    <s v="DK1_Large_PHH"/>
    <x v="21"/>
    <n v="48.384"/>
    <n v="13.44"/>
  </r>
  <r>
    <x v="0"/>
    <x v="15"/>
    <x v="0"/>
    <x v="0"/>
    <s v="DK1_Large_PHH"/>
    <x v="22"/>
    <n v="79.847999999999999"/>
    <n v="22.18"/>
  </r>
  <r>
    <x v="0"/>
    <x v="15"/>
    <x v="0"/>
    <x v="0"/>
    <s v="DK1_Large_PHL"/>
    <x v="2"/>
    <n v="48.384"/>
    <n v="13.44"/>
  </r>
  <r>
    <x v="0"/>
    <x v="15"/>
    <x v="0"/>
    <x v="0"/>
    <s v="DK1_Large_PHL"/>
    <x v="0"/>
    <n v="42.692399999999999"/>
    <n v="11.859"/>
  </r>
  <r>
    <x v="0"/>
    <x v="15"/>
    <x v="0"/>
    <x v="0"/>
    <s v="DK1_Large_PHL"/>
    <x v="21"/>
    <n v="48.384"/>
    <n v="13.44"/>
  </r>
  <r>
    <x v="0"/>
    <x v="15"/>
    <x v="0"/>
    <x v="0"/>
    <s v="DK1_Large_PHL"/>
    <x v="22"/>
    <n v="79.847999999999999"/>
    <n v="22.18"/>
  </r>
  <r>
    <x v="0"/>
    <x v="15"/>
    <x v="0"/>
    <x v="0"/>
    <s v="DK1_MedSmall"/>
    <x v="2"/>
    <n v="48.384"/>
    <n v="13.44"/>
  </r>
  <r>
    <x v="0"/>
    <x v="15"/>
    <x v="0"/>
    <x v="0"/>
    <s v="DK1_MedSmall"/>
    <x v="0"/>
    <n v="42.692399999999999"/>
    <n v="11.859"/>
  </r>
  <r>
    <x v="0"/>
    <x v="15"/>
    <x v="0"/>
    <x v="0"/>
    <s v="DK1_MedSmall"/>
    <x v="21"/>
    <n v="48.384"/>
    <n v="13.44"/>
  </r>
  <r>
    <x v="0"/>
    <x v="15"/>
    <x v="0"/>
    <x v="0"/>
    <s v="DK1_MedSmall"/>
    <x v="22"/>
    <n v="79.847999999999999"/>
    <n v="22.18"/>
  </r>
  <r>
    <x v="0"/>
    <x v="15"/>
    <x v="0"/>
    <x v="0"/>
    <s v="DK1_Medium"/>
    <x v="2"/>
    <n v="48.384"/>
    <n v="13.44"/>
  </r>
  <r>
    <x v="0"/>
    <x v="15"/>
    <x v="0"/>
    <x v="0"/>
    <s v="DK1_Medium"/>
    <x v="0"/>
    <n v="42.692399999999999"/>
    <n v="11.859"/>
  </r>
  <r>
    <x v="0"/>
    <x v="15"/>
    <x v="0"/>
    <x v="0"/>
    <s v="DK1_Medium"/>
    <x v="21"/>
    <n v="48.384"/>
    <n v="13.44"/>
  </r>
  <r>
    <x v="0"/>
    <x v="15"/>
    <x v="0"/>
    <x v="0"/>
    <s v="DK1_Medium"/>
    <x v="22"/>
    <n v="79.847999999999999"/>
    <n v="22.18"/>
  </r>
  <r>
    <x v="0"/>
    <x v="15"/>
    <x v="0"/>
    <x v="0"/>
    <s v="DK1_NoDH"/>
    <x v="2"/>
    <n v="48.384"/>
    <n v="13.44"/>
  </r>
  <r>
    <x v="0"/>
    <x v="15"/>
    <x v="0"/>
    <x v="0"/>
    <s v="DK1_NoDH"/>
    <x v="0"/>
    <n v="42.692399999999999"/>
    <n v="11.859"/>
  </r>
  <r>
    <x v="0"/>
    <x v="15"/>
    <x v="0"/>
    <x v="0"/>
    <s v="DK1_NoDH"/>
    <x v="21"/>
    <n v="48.384"/>
    <n v="13.44"/>
  </r>
  <r>
    <x v="0"/>
    <x v="15"/>
    <x v="0"/>
    <x v="0"/>
    <s v="DK1_NoDH"/>
    <x v="22"/>
    <n v="79.847999999999999"/>
    <n v="22.18"/>
  </r>
  <r>
    <x v="0"/>
    <x v="15"/>
    <x v="0"/>
    <x v="0"/>
    <s v="DK1_NoDH_PHH"/>
    <x v="2"/>
    <n v="48.384"/>
    <n v="13.44"/>
  </r>
  <r>
    <x v="0"/>
    <x v="15"/>
    <x v="0"/>
    <x v="0"/>
    <s v="DK1_NoDH_PHH"/>
    <x v="0"/>
    <n v="42.692399999999999"/>
    <n v="11.859"/>
  </r>
  <r>
    <x v="0"/>
    <x v="15"/>
    <x v="0"/>
    <x v="0"/>
    <s v="DK1_NoDH_PHH"/>
    <x v="21"/>
    <n v="48.384"/>
    <n v="13.44"/>
  </r>
  <r>
    <x v="0"/>
    <x v="15"/>
    <x v="0"/>
    <x v="0"/>
    <s v="DK1_NoDH_PHH"/>
    <x v="22"/>
    <n v="79.847999999999999"/>
    <n v="22.18"/>
  </r>
  <r>
    <x v="0"/>
    <x v="15"/>
    <x v="0"/>
    <x v="0"/>
    <s v="DK1_NoDH_PHL"/>
    <x v="2"/>
    <n v="48.384"/>
    <n v="13.44"/>
  </r>
  <r>
    <x v="0"/>
    <x v="15"/>
    <x v="0"/>
    <x v="0"/>
    <s v="DK1_NoDH_PHL"/>
    <x v="0"/>
    <n v="42.692399999999999"/>
    <n v="11.859"/>
  </r>
  <r>
    <x v="0"/>
    <x v="15"/>
    <x v="0"/>
    <x v="0"/>
    <s v="DK1_NoDH_PHL"/>
    <x v="21"/>
    <n v="48.384"/>
    <n v="13.44"/>
  </r>
  <r>
    <x v="0"/>
    <x v="15"/>
    <x v="0"/>
    <x v="0"/>
    <s v="DK1_NoDH_PHL"/>
    <x v="22"/>
    <n v="79.847999999999999"/>
    <n v="22.18"/>
  </r>
  <r>
    <x v="0"/>
    <x v="15"/>
    <x v="0"/>
    <x v="0"/>
    <s v="DK1_Offshore"/>
    <x v="2"/>
    <n v="48.384"/>
    <n v="13.44"/>
  </r>
  <r>
    <x v="0"/>
    <x v="15"/>
    <x v="0"/>
    <x v="0"/>
    <s v="DK1_Offshore"/>
    <x v="0"/>
    <n v="42.692399999999999"/>
    <n v="11.859"/>
  </r>
  <r>
    <x v="0"/>
    <x v="15"/>
    <x v="0"/>
    <x v="0"/>
    <s v="DK1_Offshore"/>
    <x v="21"/>
    <n v="48.384"/>
    <n v="13.44"/>
  </r>
  <r>
    <x v="0"/>
    <x v="15"/>
    <x v="0"/>
    <x v="0"/>
    <s v="DK1_Offshore"/>
    <x v="22"/>
    <n v="79.847999999999999"/>
    <n v="22.18"/>
  </r>
  <r>
    <x v="0"/>
    <x v="15"/>
    <x v="0"/>
    <x v="0"/>
    <s v="DK1_Rural"/>
    <x v="2"/>
    <n v="48.384"/>
    <n v="13.44"/>
  </r>
  <r>
    <x v="0"/>
    <x v="15"/>
    <x v="0"/>
    <x v="0"/>
    <s v="DK1_Rural"/>
    <x v="0"/>
    <n v="42.692399999999999"/>
    <n v="11.859"/>
  </r>
  <r>
    <x v="0"/>
    <x v="15"/>
    <x v="0"/>
    <x v="0"/>
    <s v="DK1_Rural"/>
    <x v="21"/>
    <n v="48.384"/>
    <n v="13.44"/>
  </r>
  <r>
    <x v="0"/>
    <x v="15"/>
    <x v="0"/>
    <x v="0"/>
    <s v="DK1_Rural"/>
    <x v="22"/>
    <n v="79.847999999999999"/>
    <n v="22.18"/>
  </r>
  <r>
    <x v="0"/>
    <x v="15"/>
    <x v="0"/>
    <x v="0"/>
    <s v="DK1_Small"/>
    <x v="2"/>
    <n v="48.384"/>
    <n v="13.44"/>
  </r>
  <r>
    <x v="0"/>
    <x v="15"/>
    <x v="0"/>
    <x v="0"/>
    <s v="DK1_Small"/>
    <x v="0"/>
    <n v="42.692399999999999"/>
    <n v="11.859"/>
  </r>
  <r>
    <x v="0"/>
    <x v="15"/>
    <x v="0"/>
    <x v="0"/>
    <s v="DK1_Small"/>
    <x v="21"/>
    <n v="48.384"/>
    <n v="13.44"/>
  </r>
  <r>
    <x v="0"/>
    <x v="15"/>
    <x v="0"/>
    <x v="0"/>
    <s v="DK1_Small"/>
    <x v="22"/>
    <n v="79.847999999999999"/>
    <n v="22.18"/>
  </r>
  <r>
    <x v="0"/>
    <x v="15"/>
    <x v="0"/>
    <x v="1"/>
    <s v="DK2_Large"/>
    <x v="2"/>
    <n v="48.384"/>
    <n v="13.44"/>
  </r>
  <r>
    <x v="0"/>
    <x v="15"/>
    <x v="0"/>
    <x v="1"/>
    <s v="DK2_Large"/>
    <x v="0"/>
    <n v="42.692399999999999"/>
    <n v="11.859"/>
  </r>
  <r>
    <x v="0"/>
    <x v="15"/>
    <x v="0"/>
    <x v="1"/>
    <s v="DK2_Large"/>
    <x v="21"/>
    <n v="48.384"/>
    <n v="13.44"/>
  </r>
  <r>
    <x v="0"/>
    <x v="15"/>
    <x v="0"/>
    <x v="1"/>
    <s v="DK2_Large"/>
    <x v="22"/>
    <n v="79.847999999999999"/>
    <n v="22.18"/>
  </r>
  <r>
    <x v="0"/>
    <x v="15"/>
    <x v="0"/>
    <x v="1"/>
    <s v="DK2_Large_PHH"/>
    <x v="2"/>
    <n v="48.384"/>
    <n v="13.44"/>
  </r>
  <r>
    <x v="0"/>
    <x v="15"/>
    <x v="0"/>
    <x v="1"/>
    <s v="DK2_Large_PHH"/>
    <x v="0"/>
    <n v="42.692399999999999"/>
    <n v="11.859"/>
  </r>
  <r>
    <x v="0"/>
    <x v="15"/>
    <x v="0"/>
    <x v="1"/>
    <s v="DK2_Large_PHH"/>
    <x v="21"/>
    <n v="48.384"/>
    <n v="13.44"/>
  </r>
  <r>
    <x v="0"/>
    <x v="15"/>
    <x v="0"/>
    <x v="1"/>
    <s v="DK2_Large_PHH"/>
    <x v="22"/>
    <n v="79.847999999999999"/>
    <n v="22.18"/>
  </r>
  <r>
    <x v="0"/>
    <x v="15"/>
    <x v="0"/>
    <x v="1"/>
    <s v="DK2_Large_PHL"/>
    <x v="2"/>
    <n v="48.384"/>
    <n v="13.44"/>
  </r>
  <r>
    <x v="0"/>
    <x v="15"/>
    <x v="0"/>
    <x v="1"/>
    <s v="DK2_Large_PHL"/>
    <x v="0"/>
    <n v="42.692399999999999"/>
    <n v="11.859"/>
  </r>
  <r>
    <x v="0"/>
    <x v="15"/>
    <x v="0"/>
    <x v="1"/>
    <s v="DK2_Large_PHL"/>
    <x v="21"/>
    <n v="48.384"/>
    <n v="13.44"/>
  </r>
  <r>
    <x v="0"/>
    <x v="15"/>
    <x v="0"/>
    <x v="1"/>
    <s v="DK2_Large_PHL"/>
    <x v="22"/>
    <n v="79.847999999999999"/>
    <n v="22.18"/>
  </r>
  <r>
    <x v="0"/>
    <x v="15"/>
    <x v="0"/>
    <x v="1"/>
    <s v="DK2_MedSmall"/>
    <x v="2"/>
    <n v="48.384"/>
    <n v="13.44"/>
  </r>
  <r>
    <x v="0"/>
    <x v="15"/>
    <x v="0"/>
    <x v="1"/>
    <s v="DK2_MedSmall"/>
    <x v="0"/>
    <n v="42.692399999999999"/>
    <n v="11.859"/>
  </r>
  <r>
    <x v="0"/>
    <x v="15"/>
    <x v="0"/>
    <x v="1"/>
    <s v="DK2_MedSmall"/>
    <x v="21"/>
    <n v="48.384"/>
    <n v="13.44"/>
  </r>
  <r>
    <x v="0"/>
    <x v="15"/>
    <x v="0"/>
    <x v="1"/>
    <s v="DK2_MedSmall"/>
    <x v="22"/>
    <n v="79.847999999999999"/>
    <n v="22.18"/>
  </r>
  <r>
    <x v="0"/>
    <x v="15"/>
    <x v="0"/>
    <x v="1"/>
    <s v="DK2_Medium"/>
    <x v="2"/>
    <n v="48.384"/>
    <n v="13.44"/>
  </r>
  <r>
    <x v="0"/>
    <x v="15"/>
    <x v="0"/>
    <x v="1"/>
    <s v="DK2_Medium"/>
    <x v="0"/>
    <n v="42.692399999999999"/>
    <n v="11.859"/>
  </r>
  <r>
    <x v="0"/>
    <x v="15"/>
    <x v="0"/>
    <x v="1"/>
    <s v="DK2_Medium"/>
    <x v="21"/>
    <n v="48.384"/>
    <n v="13.44"/>
  </r>
  <r>
    <x v="0"/>
    <x v="15"/>
    <x v="0"/>
    <x v="1"/>
    <s v="DK2_Medium"/>
    <x v="22"/>
    <n v="79.847999999999999"/>
    <n v="22.18"/>
  </r>
  <r>
    <x v="0"/>
    <x v="15"/>
    <x v="0"/>
    <x v="1"/>
    <s v="DK2_NoDH"/>
    <x v="2"/>
    <n v="48.384"/>
    <n v="13.44"/>
  </r>
  <r>
    <x v="0"/>
    <x v="15"/>
    <x v="0"/>
    <x v="1"/>
    <s v="DK2_NoDH"/>
    <x v="0"/>
    <n v="42.692399999999999"/>
    <n v="11.859"/>
  </r>
  <r>
    <x v="0"/>
    <x v="15"/>
    <x v="0"/>
    <x v="1"/>
    <s v="DK2_NoDH"/>
    <x v="21"/>
    <n v="48.384"/>
    <n v="13.44"/>
  </r>
  <r>
    <x v="0"/>
    <x v="15"/>
    <x v="0"/>
    <x v="1"/>
    <s v="DK2_NoDH"/>
    <x v="22"/>
    <n v="79.847999999999999"/>
    <n v="22.18"/>
  </r>
  <r>
    <x v="0"/>
    <x v="15"/>
    <x v="0"/>
    <x v="1"/>
    <s v="DK2_NoDH_PHH"/>
    <x v="2"/>
    <n v="48.384"/>
    <n v="13.44"/>
  </r>
  <r>
    <x v="0"/>
    <x v="15"/>
    <x v="0"/>
    <x v="1"/>
    <s v="DK2_NoDH_PHH"/>
    <x v="0"/>
    <n v="42.692399999999999"/>
    <n v="11.859"/>
  </r>
  <r>
    <x v="0"/>
    <x v="15"/>
    <x v="0"/>
    <x v="1"/>
    <s v="DK2_NoDH_PHH"/>
    <x v="21"/>
    <n v="48.384"/>
    <n v="13.44"/>
  </r>
  <r>
    <x v="0"/>
    <x v="15"/>
    <x v="0"/>
    <x v="1"/>
    <s v="DK2_NoDH_PHH"/>
    <x v="22"/>
    <n v="79.847999999999999"/>
    <n v="22.18"/>
  </r>
  <r>
    <x v="0"/>
    <x v="15"/>
    <x v="0"/>
    <x v="1"/>
    <s v="DK2_NoDH_PHL"/>
    <x v="2"/>
    <n v="48.384"/>
    <n v="13.44"/>
  </r>
  <r>
    <x v="0"/>
    <x v="15"/>
    <x v="0"/>
    <x v="1"/>
    <s v="DK2_NoDH_PHL"/>
    <x v="0"/>
    <n v="42.692399999999999"/>
    <n v="11.859"/>
  </r>
  <r>
    <x v="0"/>
    <x v="15"/>
    <x v="0"/>
    <x v="1"/>
    <s v="DK2_NoDH_PHL"/>
    <x v="21"/>
    <n v="48.384"/>
    <n v="13.44"/>
  </r>
  <r>
    <x v="0"/>
    <x v="15"/>
    <x v="0"/>
    <x v="1"/>
    <s v="DK2_NoDH_PHL"/>
    <x v="22"/>
    <n v="79.847999999999999"/>
    <n v="22.18"/>
  </r>
  <r>
    <x v="0"/>
    <x v="15"/>
    <x v="0"/>
    <x v="1"/>
    <s v="DK2_Offshore"/>
    <x v="2"/>
    <n v="48.384"/>
    <n v="13.44"/>
  </r>
  <r>
    <x v="0"/>
    <x v="15"/>
    <x v="0"/>
    <x v="1"/>
    <s v="DK2_Offshore"/>
    <x v="0"/>
    <n v="42.692399999999999"/>
    <n v="11.859"/>
  </r>
  <r>
    <x v="0"/>
    <x v="15"/>
    <x v="0"/>
    <x v="1"/>
    <s v="DK2_Offshore"/>
    <x v="21"/>
    <n v="48.384"/>
    <n v="13.44"/>
  </r>
  <r>
    <x v="0"/>
    <x v="15"/>
    <x v="0"/>
    <x v="1"/>
    <s v="DK2_Offshore"/>
    <x v="22"/>
    <n v="79.847999999999999"/>
    <n v="22.18"/>
  </r>
  <r>
    <x v="0"/>
    <x v="15"/>
    <x v="0"/>
    <x v="1"/>
    <s v="DK2_Rural"/>
    <x v="2"/>
    <n v="48.384"/>
    <n v="13.44"/>
  </r>
  <r>
    <x v="0"/>
    <x v="15"/>
    <x v="0"/>
    <x v="1"/>
    <s v="DK2_Rural"/>
    <x v="0"/>
    <n v="42.692399999999999"/>
    <n v="11.859"/>
  </r>
  <r>
    <x v="0"/>
    <x v="15"/>
    <x v="0"/>
    <x v="1"/>
    <s v="DK2_Rural"/>
    <x v="21"/>
    <n v="48.384"/>
    <n v="13.44"/>
  </r>
  <r>
    <x v="0"/>
    <x v="15"/>
    <x v="0"/>
    <x v="1"/>
    <s v="DK2_Rural"/>
    <x v="22"/>
    <n v="79.847999999999999"/>
    <n v="22.18"/>
  </r>
  <r>
    <x v="0"/>
    <x v="15"/>
    <x v="0"/>
    <x v="1"/>
    <s v="DK2_Small"/>
    <x v="2"/>
    <n v="48.384"/>
    <n v="13.44"/>
  </r>
  <r>
    <x v="0"/>
    <x v="15"/>
    <x v="0"/>
    <x v="1"/>
    <s v="DK2_Small"/>
    <x v="0"/>
    <n v="42.692399999999999"/>
    <n v="11.859"/>
  </r>
  <r>
    <x v="0"/>
    <x v="15"/>
    <x v="0"/>
    <x v="1"/>
    <s v="DK2_Small"/>
    <x v="21"/>
    <n v="48.384"/>
    <n v="13.44"/>
  </r>
  <r>
    <x v="0"/>
    <x v="15"/>
    <x v="0"/>
    <x v="1"/>
    <s v="DK2_Small"/>
    <x v="22"/>
    <n v="79.847999999999999"/>
    <n v="22.18"/>
  </r>
  <r>
    <x v="0"/>
    <x v="15"/>
    <x v="1"/>
    <x v="2"/>
    <s v="EE_A"/>
    <x v="2"/>
    <n v="48.384"/>
    <n v="13.44"/>
  </r>
  <r>
    <x v="0"/>
    <x v="15"/>
    <x v="1"/>
    <x v="2"/>
    <s v="EE_A"/>
    <x v="0"/>
    <n v="42.692399999999999"/>
    <n v="11.859"/>
  </r>
  <r>
    <x v="0"/>
    <x v="15"/>
    <x v="1"/>
    <x v="2"/>
    <s v="EE_A"/>
    <x v="21"/>
    <n v="48.384"/>
    <n v="13.44"/>
  </r>
  <r>
    <x v="0"/>
    <x v="15"/>
    <x v="1"/>
    <x v="2"/>
    <s v="EE_A"/>
    <x v="22"/>
    <n v="79.847999999999999"/>
    <n v="22.18"/>
  </r>
  <r>
    <x v="0"/>
    <x v="15"/>
    <x v="1"/>
    <x v="2"/>
    <s v="EE_Enefit"/>
    <x v="2"/>
    <n v="48.384"/>
    <n v="13.44"/>
  </r>
  <r>
    <x v="0"/>
    <x v="15"/>
    <x v="1"/>
    <x v="2"/>
    <s v="EE_Enefit"/>
    <x v="0"/>
    <n v="42.692399999999999"/>
    <n v="11.859"/>
  </r>
  <r>
    <x v="0"/>
    <x v="15"/>
    <x v="1"/>
    <x v="2"/>
    <s v="EE_Enefit"/>
    <x v="21"/>
    <n v="48.384"/>
    <n v="13.44"/>
  </r>
  <r>
    <x v="0"/>
    <x v="15"/>
    <x v="1"/>
    <x v="2"/>
    <s v="EE_Enefit"/>
    <x v="22"/>
    <n v="79.847999999999999"/>
    <n v="22.18"/>
  </r>
  <r>
    <x v="0"/>
    <x v="15"/>
    <x v="1"/>
    <x v="2"/>
    <s v="EE_Industry"/>
    <x v="2"/>
    <n v="48.384"/>
    <n v="13.44"/>
  </r>
  <r>
    <x v="0"/>
    <x v="15"/>
    <x v="1"/>
    <x v="2"/>
    <s v="EE_Industry"/>
    <x v="0"/>
    <n v="42.692399999999999"/>
    <n v="11.859"/>
  </r>
  <r>
    <x v="0"/>
    <x v="15"/>
    <x v="1"/>
    <x v="2"/>
    <s v="EE_Industry"/>
    <x v="21"/>
    <n v="48.384"/>
    <n v="13.44"/>
  </r>
  <r>
    <x v="0"/>
    <x v="15"/>
    <x v="1"/>
    <x v="2"/>
    <s v="EE_Industry"/>
    <x v="22"/>
    <n v="79.847999999999999"/>
    <n v="22.18"/>
  </r>
  <r>
    <x v="0"/>
    <x v="15"/>
    <x v="1"/>
    <x v="2"/>
    <s v="EE_Kohtla_Jarve"/>
    <x v="2"/>
    <n v="48.384"/>
    <n v="13.44"/>
  </r>
  <r>
    <x v="0"/>
    <x v="15"/>
    <x v="1"/>
    <x v="2"/>
    <s v="EE_Kohtla_Jarve"/>
    <x v="0"/>
    <n v="42.692399999999999"/>
    <n v="11.859"/>
  </r>
  <r>
    <x v="0"/>
    <x v="15"/>
    <x v="1"/>
    <x v="2"/>
    <s v="EE_Kohtla_Jarve"/>
    <x v="21"/>
    <n v="48.384"/>
    <n v="13.44"/>
  </r>
  <r>
    <x v="0"/>
    <x v="15"/>
    <x v="1"/>
    <x v="2"/>
    <s v="EE_Kohtla_Jarve"/>
    <x v="22"/>
    <n v="79.847999999999999"/>
    <n v="22.18"/>
  </r>
  <r>
    <x v="0"/>
    <x v="15"/>
    <x v="1"/>
    <x v="2"/>
    <s v="EE_Narva"/>
    <x v="2"/>
    <n v="48.384"/>
    <n v="13.44"/>
  </r>
  <r>
    <x v="0"/>
    <x v="15"/>
    <x v="1"/>
    <x v="2"/>
    <s v="EE_Narva"/>
    <x v="0"/>
    <n v="42.692399999999999"/>
    <n v="11.859"/>
  </r>
  <r>
    <x v="0"/>
    <x v="15"/>
    <x v="1"/>
    <x v="2"/>
    <s v="EE_Narva"/>
    <x v="21"/>
    <n v="48.384"/>
    <n v="13.44"/>
  </r>
  <r>
    <x v="0"/>
    <x v="15"/>
    <x v="1"/>
    <x v="2"/>
    <s v="EE_Narva"/>
    <x v="22"/>
    <n v="79.847999999999999"/>
    <n v="22.18"/>
  </r>
  <r>
    <x v="0"/>
    <x v="15"/>
    <x v="1"/>
    <x v="2"/>
    <s v="EE_OFFSHORE"/>
    <x v="2"/>
    <n v="48.384"/>
    <n v="13.44"/>
  </r>
  <r>
    <x v="0"/>
    <x v="15"/>
    <x v="1"/>
    <x v="2"/>
    <s v="EE_OFFSHORE"/>
    <x v="0"/>
    <n v="42.692399999999999"/>
    <n v="11.859"/>
  </r>
  <r>
    <x v="0"/>
    <x v="15"/>
    <x v="1"/>
    <x v="2"/>
    <s v="EE_OFFSHORE"/>
    <x v="21"/>
    <n v="48.384"/>
    <n v="13.44"/>
  </r>
  <r>
    <x v="0"/>
    <x v="15"/>
    <x v="1"/>
    <x v="2"/>
    <s v="EE_OFFSHORE"/>
    <x v="22"/>
    <n v="79.847999999999999"/>
    <n v="22.18"/>
  </r>
  <r>
    <x v="0"/>
    <x v="15"/>
    <x v="1"/>
    <x v="2"/>
    <s v="EE_Parnu"/>
    <x v="2"/>
    <n v="48.384"/>
    <n v="13.44"/>
  </r>
  <r>
    <x v="0"/>
    <x v="15"/>
    <x v="1"/>
    <x v="2"/>
    <s v="EE_Parnu"/>
    <x v="0"/>
    <n v="42.692399999999999"/>
    <n v="11.859"/>
  </r>
  <r>
    <x v="0"/>
    <x v="15"/>
    <x v="1"/>
    <x v="2"/>
    <s v="EE_Parnu"/>
    <x v="21"/>
    <n v="48.384"/>
    <n v="13.44"/>
  </r>
  <r>
    <x v="0"/>
    <x v="15"/>
    <x v="1"/>
    <x v="2"/>
    <s v="EE_Parnu"/>
    <x v="22"/>
    <n v="79.847999999999999"/>
    <n v="22.18"/>
  </r>
  <r>
    <x v="0"/>
    <x v="15"/>
    <x v="1"/>
    <x v="2"/>
    <s v="EE_Rural"/>
    <x v="2"/>
    <n v="48.384"/>
    <n v="13.44"/>
  </r>
  <r>
    <x v="0"/>
    <x v="15"/>
    <x v="1"/>
    <x v="2"/>
    <s v="EE_Rural"/>
    <x v="0"/>
    <n v="42.692399999999999"/>
    <n v="11.859"/>
  </r>
  <r>
    <x v="0"/>
    <x v="15"/>
    <x v="1"/>
    <x v="2"/>
    <s v="EE_Rural"/>
    <x v="21"/>
    <n v="48.384"/>
    <n v="13.44"/>
  </r>
  <r>
    <x v="0"/>
    <x v="15"/>
    <x v="1"/>
    <x v="2"/>
    <s v="EE_Rural"/>
    <x v="22"/>
    <n v="79.847999999999999"/>
    <n v="22.18"/>
  </r>
  <r>
    <x v="0"/>
    <x v="15"/>
    <x v="1"/>
    <x v="2"/>
    <s v="EE_Sillamae"/>
    <x v="2"/>
    <n v="48.384"/>
    <n v="13.44"/>
  </r>
  <r>
    <x v="0"/>
    <x v="15"/>
    <x v="1"/>
    <x v="2"/>
    <s v="EE_Sillamae"/>
    <x v="0"/>
    <n v="42.692399999999999"/>
    <n v="11.859"/>
  </r>
  <r>
    <x v="0"/>
    <x v="15"/>
    <x v="1"/>
    <x v="2"/>
    <s v="EE_Sillamae"/>
    <x v="21"/>
    <n v="48.384"/>
    <n v="13.44"/>
  </r>
  <r>
    <x v="0"/>
    <x v="15"/>
    <x v="1"/>
    <x v="2"/>
    <s v="EE_Sillamae"/>
    <x v="22"/>
    <n v="79.847999999999999"/>
    <n v="22.18"/>
  </r>
  <r>
    <x v="0"/>
    <x v="15"/>
    <x v="1"/>
    <x v="2"/>
    <s v="EE_Tallinn"/>
    <x v="2"/>
    <n v="48.384"/>
    <n v="13.44"/>
  </r>
  <r>
    <x v="0"/>
    <x v="15"/>
    <x v="1"/>
    <x v="2"/>
    <s v="EE_Tallinn"/>
    <x v="0"/>
    <n v="42.692399999999999"/>
    <n v="11.859"/>
  </r>
  <r>
    <x v="0"/>
    <x v="15"/>
    <x v="1"/>
    <x v="2"/>
    <s v="EE_Tallinn"/>
    <x v="21"/>
    <n v="48.384"/>
    <n v="13.44"/>
  </r>
  <r>
    <x v="0"/>
    <x v="15"/>
    <x v="1"/>
    <x v="2"/>
    <s v="EE_Tallinn"/>
    <x v="22"/>
    <n v="79.847999999999999"/>
    <n v="22.18"/>
  </r>
  <r>
    <x v="0"/>
    <x v="15"/>
    <x v="1"/>
    <x v="2"/>
    <s v="EE_Tartu"/>
    <x v="2"/>
    <n v="48.384"/>
    <n v="13.44"/>
  </r>
  <r>
    <x v="0"/>
    <x v="15"/>
    <x v="1"/>
    <x v="2"/>
    <s v="EE_Tartu"/>
    <x v="0"/>
    <n v="42.692399999999999"/>
    <n v="11.859"/>
  </r>
  <r>
    <x v="0"/>
    <x v="15"/>
    <x v="1"/>
    <x v="2"/>
    <s v="EE_Tartu"/>
    <x v="21"/>
    <n v="48.384"/>
    <n v="13.44"/>
  </r>
  <r>
    <x v="0"/>
    <x v="15"/>
    <x v="1"/>
    <x v="2"/>
    <s v="EE_Tartu"/>
    <x v="22"/>
    <n v="79.847999999999999"/>
    <n v="22.18"/>
  </r>
  <r>
    <x v="0"/>
    <x v="15"/>
    <x v="1"/>
    <x v="2"/>
    <s v="EE_Urban"/>
    <x v="2"/>
    <n v="48.384"/>
    <n v="13.44"/>
  </r>
  <r>
    <x v="0"/>
    <x v="15"/>
    <x v="1"/>
    <x v="2"/>
    <s v="EE_Urban"/>
    <x v="0"/>
    <n v="42.692399999999999"/>
    <n v="11.859"/>
  </r>
  <r>
    <x v="0"/>
    <x v="15"/>
    <x v="1"/>
    <x v="2"/>
    <s v="EE_Urban"/>
    <x v="21"/>
    <n v="48.384"/>
    <n v="13.44"/>
  </r>
  <r>
    <x v="0"/>
    <x v="15"/>
    <x v="1"/>
    <x v="2"/>
    <s v="EE_Urban"/>
    <x v="22"/>
    <n v="79.847999999999999"/>
    <n v="22.18"/>
  </r>
  <r>
    <x v="0"/>
    <x v="15"/>
    <x v="2"/>
    <x v="3"/>
    <s v="FI_IND"/>
    <x v="2"/>
    <n v="48.384"/>
    <n v="13.44"/>
  </r>
  <r>
    <x v="0"/>
    <x v="15"/>
    <x v="2"/>
    <x v="3"/>
    <s v="FI_IND"/>
    <x v="0"/>
    <n v="42.692399999999999"/>
    <n v="11.859"/>
  </r>
  <r>
    <x v="0"/>
    <x v="15"/>
    <x v="2"/>
    <x v="3"/>
    <s v="FI_IND"/>
    <x v="21"/>
    <n v="48.384"/>
    <n v="13.44"/>
  </r>
  <r>
    <x v="0"/>
    <x v="15"/>
    <x v="2"/>
    <x v="3"/>
    <s v="FI_IND"/>
    <x v="22"/>
    <n v="79.847999999999999"/>
    <n v="22.18"/>
  </r>
  <r>
    <x v="0"/>
    <x v="15"/>
    <x v="2"/>
    <x v="3"/>
    <s v="FI_Offshore"/>
    <x v="2"/>
    <n v="48.384"/>
    <n v="13.44"/>
  </r>
  <r>
    <x v="0"/>
    <x v="15"/>
    <x v="2"/>
    <x v="3"/>
    <s v="FI_Offshore"/>
    <x v="0"/>
    <n v="42.692399999999999"/>
    <n v="11.859"/>
  </r>
  <r>
    <x v="0"/>
    <x v="15"/>
    <x v="2"/>
    <x v="3"/>
    <s v="FI_Offshore"/>
    <x v="21"/>
    <n v="48.384"/>
    <n v="13.44"/>
  </r>
  <r>
    <x v="0"/>
    <x v="15"/>
    <x v="2"/>
    <x v="3"/>
    <s v="FI_Offshore"/>
    <x v="22"/>
    <n v="79.847999999999999"/>
    <n v="22.18"/>
  </r>
  <r>
    <x v="0"/>
    <x v="15"/>
    <x v="2"/>
    <x v="3"/>
    <s v="FI_large"/>
    <x v="2"/>
    <n v="48.384"/>
    <n v="13.44"/>
  </r>
  <r>
    <x v="0"/>
    <x v="15"/>
    <x v="2"/>
    <x v="3"/>
    <s v="FI_large"/>
    <x v="0"/>
    <n v="42.692399999999999"/>
    <n v="11.859"/>
  </r>
  <r>
    <x v="0"/>
    <x v="15"/>
    <x v="2"/>
    <x v="3"/>
    <s v="FI_large"/>
    <x v="21"/>
    <n v="48.384"/>
    <n v="13.44"/>
  </r>
  <r>
    <x v="0"/>
    <x v="15"/>
    <x v="2"/>
    <x v="3"/>
    <s v="FI_large"/>
    <x v="22"/>
    <n v="79.847999999999999"/>
    <n v="22.18"/>
  </r>
  <r>
    <x v="0"/>
    <x v="15"/>
    <x v="2"/>
    <x v="3"/>
    <s v="FI_large_gas"/>
    <x v="2"/>
    <n v="48.384"/>
    <n v="13.44"/>
  </r>
  <r>
    <x v="0"/>
    <x v="15"/>
    <x v="2"/>
    <x v="3"/>
    <s v="FI_large_gas"/>
    <x v="0"/>
    <n v="42.692399999999999"/>
    <n v="11.859"/>
  </r>
  <r>
    <x v="0"/>
    <x v="15"/>
    <x v="2"/>
    <x v="3"/>
    <s v="FI_large_gas"/>
    <x v="21"/>
    <n v="48.384"/>
    <n v="13.44"/>
  </r>
  <r>
    <x v="0"/>
    <x v="15"/>
    <x v="2"/>
    <x v="3"/>
    <s v="FI_large_gas"/>
    <x v="22"/>
    <n v="79.847999999999999"/>
    <n v="22.18"/>
  </r>
  <r>
    <x v="0"/>
    <x v="15"/>
    <x v="2"/>
    <x v="3"/>
    <s v="FI_medium"/>
    <x v="2"/>
    <n v="48.384"/>
    <n v="13.44"/>
  </r>
  <r>
    <x v="0"/>
    <x v="15"/>
    <x v="2"/>
    <x v="3"/>
    <s v="FI_medium"/>
    <x v="0"/>
    <n v="42.692399999999999"/>
    <n v="11.859"/>
  </r>
  <r>
    <x v="0"/>
    <x v="15"/>
    <x v="2"/>
    <x v="3"/>
    <s v="FI_medium"/>
    <x v="21"/>
    <n v="48.384"/>
    <n v="13.44"/>
  </r>
  <r>
    <x v="0"/>
    <x v="15"/>
    <x v="2"/>
    <x v="3"/>
    <s v="FI_medium"/>
    <x v="22"/>
    <n v="79.847999999999999"/>
    <n v="22.18"/>
  </r>
  <r>
    <x v="0"/>
    <x v="15"/>
    <x v="2"/>
    <x v="3"/>
    <s v="FI_medium_gas"/>
    <x v="2"/>
    <n v="48.384"/>
    <n v="13.44"/>
  </r>
  <r>
    <x v="0"/>
    <x v="15"/>
    <x v="2"/>
    <x v="3"/>
    <s v="FI_medium_gas"/>
    <x v="0"/>
    <n v="42.692399999999999"/>
    <n v="11.859"/>
  </r>
  <r>
    <x v="0"/>
    <x v="15"/>
    <x v="2"/>
    <x v="3"/>
    <s v="FI_medium_gas"/>
    <x v="21"/>
    <n v="48.384"/>
    <n v="13.44"/>
  </r>
  <r>
    <x v="0"/>
    <x v="15"/>
    <x v="2"/>
    <x v="3"/>
    <s v="FI_medium_gas"/>
    <x v="22"/>
    <n v="79.847999999999999"/>
    <n v="22.18"/>
  </r>
  <r>
    <x v="0"/>
    <x v="15"/>
    <x v="2"/>
    <x v="3"/>
    <s v="FI_small"/>
    <x v="2"/>
    <n v="48.384"/>
    <n v="13.44"/>
  </r>
  <r>
    <x v="0"/>
    <x v="15"/>
    <x v="2"/>
    <x v="3"/>
    <s v="FI_small"/>
    <x v="0"/>
    <n v="42.692399999999999"/>
    <n v="11.859"/>
  </r>
  <r>
    <x v="0"/>
    <x v="15"/>
    <x v="2"/>
    <x v="3"/>
    <s v="FI_small"/>
    <x v="21"/>
    <n v="48.384"/>
    <n v="13.44"/>
  </r>
  <r>
    <x v="0"/>
    <x v="15"/>
    <x v="2"/>
    <x v="3"/>
    <s v="FI_small"/>
    <x v="22"/>
    <n v="79.847999999999999"/>
    <n v="22.18"/>
  </r>
  <r>
    <x v="0"/>
    <x v="15"/>
    <x v="2"/>
    <x v="3"/>
    <s v="FI_small_gas"/>
    <x v="2"/>
    <n v="48.384"/>
    <n v="13.44"/>
  </r>
  <r>
    <x v="0"/>
    <x v="15"/>
    <x v="2"/>
    <x v="3"/>
    <s v="FI_small_gas"/>
    <x v="0"/>
    <n v="42.692399999999999"/>
    <n v="11.859"/>
  </r>
  <r>
    <x v="0"/>
    <x v="15"/>
    <x v="2"/>
    <x v="3"/>
    <s v="FI_small_gas"/>
    <x v="21"/>
    <n v="48.384"/>
    <n v="13.44"/>
  </r>
  <r>
    <x v="0"/>
    <x v="15"/>
    <x v="2"/>
    <x v="3"/>
    <s v="FI_small_gas"/>
    <x v="22"/>
    <n v="79.847999999999999"/>
    <n v="22.18"/>
  </r>
  <r>
    <x v="0"/>
    <x v="15"/>
    <x v="2"/>
    <x v="3"/>
    <s v="FinA"/>
    <x v="2"/>
    <n v="48.384"/>
    <n v="13.44"/>
  </r>
  <r>
    <x v="0"/>
    <x v="15"/>
    <x v="2"/>
    <x v="3"/>
    <s v="FinA"/>
    <x v="0"/>
    <n v="42.692399999999999"/>
    <n v="11.859"/>
  </r>
  <r>
    <x v="0"/>
    <x v="15"/>
    <x v="2"/>
    <x v="3"/>
    <s v="FinA"/>
    <x v="21"/>
    <n v="48.384"/>
    <n v="13.44"/>
  </r>
  <r>
    <x v="0"/>
    <x v="15"/>
    <x v="2"/>
    <x v="3"/>
    <s v="FinA"/>
    <x v="22"/>
    <n v="79.847999999999999"/>
    <n v="22.18"/>
  </r>
  <r>
    <x v="0"/>
    <x v="15"/>
    <x v="3"/>
    <x v="4"/>
    <s v="DE4-E_A"/>
    <x v="2"/>
    <n v="48.384"/>
    <n v="13.44"/>
  </r>
  <r>
    <x v="0"/>
    <x v="15"/>
    <x v="3"/>
    <x v="4"/>
    <s v="DE4-E_A"/>
    <x v="0"/>
    <n v="42.692399999999999"/>
    <n v="11.859"/>
  </r>
  <r>
    <x v="0"/>
    <x v="15"/>
    <x v="3"/>
    <x v="4"/>
    <s v="DE4-E_A"/>
    <x v="21"/>
    <n v="48.384"/>
    <n v="13.44"/>
  </r>
  <r>
    <x v="0"/>
    <x v="15"/>
    <x v="3"/>
    <x v="4"/>
    <s v="DE4-E_A"/>
    <x v="22"/>
    <n v="79.847999999999999"/>
    <n v="22.18"/>
  </r>
  <r>
    <x v="0"/>
    <x v="15"/>
    <x v="3"/>
    <x v="4"/>
    <s v="DE4-E_Offshore_A"/>
    <x v="2"/>
    <n v="48.384"/>
    <n v="13.44"/>
  </r>
  <r>
    <x v="0"/>
    <x v="15"/>
    <x v="3"/>
    <x v="4"/>
    <s v="DE4-E_Offshore_A"/>
    <x v="0"/>
    <n v="42.692399999999999"/>
    <n v="11.859"/>
  </r>
  <r>
    <x v="0"/>
    <x v="15"/>
    <x v="3"/>
    <x v="4"/>
    <s v="DE4-E_Offshore_A"/>
    <x v="21"/>
    <n v="48.384"/>
    <n v="13.44"/>
  </r>
  <r>
    <x v="0"/>
    <x v="15"/>
    <x v="3"/>
    <x v="4"/>
    <s v="DE4-E_Offshore_A"/>
    <x v="22"/>
    <n v="79.847999999999999"/>
    <n v="22.18"/>
  </r>
  <r>
    <x v="0"/>
    <x v="15"/>
    <x v="3"/>
    <x v="5"/>
    <s v="DE4-N_A"/>
    <x v="2"/>
    <n v="48.384"/>
    <n v="13.44"/>
  </r>
  <r>
    <x v="0"/>
    <x v="15"/>
    <x v="3"/>
    <x v="5"/>
    <s v="DE4-N_A"/>
    <x v="0"/>
    <n v="42.692399999999999"/>
    <n v="11.859"/>
  </r>
  <r>
    <x v="0"/>
    <x v="15"/>
    <x v="3"/>
    <x v="5"/>
    <s v="DE4-N_A"/>
    <x v="21"/>
    <n v="48.384"/>
    <n v="13.44"/>
  </r>
  <r>
    <x v="0"/>
    <x v="15"/>
    <x v="3"/>
    <x v="5"/>
    <s v="DE4-N_A"/>
    <x v="22"/>
    <n v="79.847999999999999"/>
    <n v="22.18"/>
  </r>
  <r>
    <x v="0"/>
    <x v="15"/>
    <x v="3"/>
    <x v="5"/>
    <s v="DE4-N_Offshore_A"/>
    <x v="2"/>
    <n v="48.384"/>
    <n v="13.44"/>
  </r>
  <r>
    <x v="0"/>
    <x v="15"/>
    <x v="3"/>
    <x v="5"/>
    <s v="DE4-N_Offshore_A"/>
    <x v="0"/>
    <n v="42.692399999999999"/>
    <n v="11.859"/>
  </r>
  <r>
    <x v="0"/>
    <x v="15"/>
    <x v="3"/>
    <x v="5"/>
    <s v="DE4-N_Offshore_A"/>
    <x v="21"/>
    <n v="48.384"/>
    <n v="13.44"/>
  </r>
  <r>
    <x v="0"/>
    <x v="15"/>
    <x v="3"/>
    <x v="5"/>
    <s v="DE4-N_Offshore_A"/>
    <x v="22"/>
    <n v="79.847999999999999"/>
    <n v="22.18"/>
  </r>
  <r>
    <x v="0"/>
    <x v="15"/>
    <x v="3"/>
    <x v="6"/>
    <s v="DE4-S_A"/>
    <x v="2"/>
    <n v="48.384"/>
    <n v="13.44"/>
  </r>
  <r>
    <x v="0"/>
    <x v="15"/>
    <x v="3"/>
    <x v="6"/>
    <s v="DE4-S_A"/>
    <x v="0"/>
    <n v="42.692399999999999"/>
    <n v="11.859"/>
  </r>
  <r>
    <x v="0"/>
    <x v="15"/>
    <x v="3"/>
    <x v="6"/>
    <s v="DE4-S_A"/>
    <x v="21"/>
    <n v="48.384"/>
    <n v="13.44"/>
  </r>
  <r>
    <x v="0"/>
    <x v="15"/>
    <x v="3"/>
    <x v="6"/>
    <s v="DE4-S_A"/>
    <x v="22"/>
    <n v="79.847999999999999"/>
    <n v="22.18"/>
  </r>
  <r>
    <x v="0"/>
    <x v="15"/>
    <x v="3"/>
    <x v="7"/>
    <s v="DE4-W_A"/>
    <x v="2"/>
    <n v="48.384"/>
    <n v="13.44"/>
  </r>
  <r>
    <x v="0"/>
    <x v="15"/>
    <x v="3"/>
    <x v="7"/>
    <s v="DE4-W_A"/>
    <x v="0"/>
    <n v="42.692399999999999"/>
    <n v="11.859"/>
  </r>
  <r>
    <x v="0"/>
    <x v="15"/>
    <x v="3"/>
    <x v="7"/>
    <s v="DE4-W_A"/>
    <x v="21"/>
    <n v="48.384"/>
    <n v="13.44"/>
  </r>
  <r>
    <x v="0"/>
    <x v="15"/>
    <x v="3"/>
    <x v="7"/>
    <s v="DE4-W_A"/>
    <x v="22"/>
    <n v="79.847999999999999"/>
    <n v="22.18"/>
  </r>
  <r>
    <x v="0"/>
    <x v="15"/>
    <x v="3"/>
    <x v="7"/>
    <s v="DE4-W_Offshore_A"/>
    <x v="2"/>
    <n v="48.384"/>
    <n v="13.44"/>
  </r>
  <r>
    <x v="0"/>
    <x v="15"/>
    <x v="3"/>
    <x v="7"/>
    <s v="DE4-W_Offshore_A"/>
    <x v="0"/>
    <n v="42.692399999999999"/>
    <n v="11.859"/>
  </r>
  <r>
    <x v="0"/>
    <x v="15"/>
    <x v="3"/>
    <x v="7"/>
    <s v="DE4-W_Offshore_A"/>
    <x v="21"/>
    <n v="48.384"/>
    <n v="13.44"/>
  </r>
  <r>
    <x v="0"/>
    <x v="15"/>
    <x v="3"/>
    <x v="7"/>
    <s v="DE4-W_Offshore_A"/>
    <x v="22"/>
    <n v="79.847999999999999"/>
    <n v="22.18"/>
  </r>
  <r>
    <x v="0"/>
    <x v="15"/>
    <x v="4"/>
    <x v="8"/>
    <s v="LV_A"/>
    <x v="2"/>
    <n v="48.384"/>
    <n v="13.44"/>
  </r>
  <r>
    <x v="0"/>
    <x v="15"/>
    <x v="4"/>
    <x v="8"/>
    <s v="LV_A"/>
    <x v="0"/>
    <n v="42.692399999999999"/>
    <n v="11.859"/>
  </r>
  <r>
    <x v="0"/>
    <x v="15"/>
    <x v="4"/>
    <x v="8"/>
    <s v="LV_A"/>
    <x v="21"/>
    <n v="48.384"/>
    <n v="13.44"/>
  </r>
  <r>
    <x v="0"/>
    <x v="15"/>
    <x v="4"/>
    <x v="8"/>
    <s v="LV_A"/>
    <x v="22"/>
    <n v="79.847999999999999"/>
    <n v="22.18"/>
  </r>
  <r>
    <x v="0"/>
    <x v="15"/>
    <x v="4"/>
    <x v="8"/>
    <s v="LV_OFFSHORE"/>
    <x v="2"/>
    <n v="48.384"/>
    <n v="13.44"/>
  </r>
  <r>
    <x v="0"/>
    <x v="15"/>
    <x v="4"/>
    <x v="8"/>
    <s v="LV_OFFSHORE"/>
    <x v="0"/>
    <n v="42.692399999999999"/>
    <n v="11.859"/>
  </r>
  <r>
    <x v="0"/>
    <x v="15"/>
    <x v="4"/>
    <x v="8"/>
    <s v="LV_OFFSHORE"/>
    <x v="21"/>
    <n v="48.384"/>
    <n v="13.44"/>
  </r>
  <r>
    <x v="0"/>
    <x v="15"/>
    <x v="4"/>
    <x v="8"/>
    <s v="LV_OFFSHORE"/>
    <x v="22"/>
    <n v="79.847999999999999"/>
    <n v="22.18"/>
  </r>
  <r>
    <x v="0"/>
    <x v="15"/>
    <x v="4"/>
    <x v="8"/>
    <s v="LV_Other_DH"/>
    <x v="2"/>
    <n v="48.384"/>
    <n v="13.44"/>
  </r>
  <r>
    <x v="0"/>
    <x v="15"/>
    <x v="4"/>
    <x v="8"/>
    <s v="LV_Other_DH"/>
    <x v="0"/>
    <n v="42.692399999999999"/>
    <n v="11.859"/>
  </r>
  <r>
    <x v="0"/>
    <x v="15"/>
    <x v="4"/>
    <x v="8"/>
    <s v="LV_Other_DH"/>
    <x v="21"/>
    <n v="48.384"/>
    <n v="13.44"/>
  </r>
  <r>
    <x v="0"/>
    <x v="15"/>
    <x v="4"/>
    <x v="8"/>
    <s v="LV_Other_DH"/>
    <x v="22"/>
    <n v="79.847999999999999"/>
    <n v="22.18"/>
  </r>
  <r>
    <x v="0"/>
    <x v="15"/>
    <x v="4"/>
    <x v="8"/>
    <s v="LV_RigaR"/>
    <x v="2"/>
    <n v="48.384"/>
    <n v="13.44"/>
  </r>
  <r>
    <x v="0"/>
    <x v="15"/>
    <x v="4"/>
    <x v="8"/>
    <s v="LV_RigaR"/>
    <x v="0"/>
    <n v="42.692399999999999"/>
    <n v="11.859"/>
  </r>
  <r>
    <x v="0"/>
    <x v="15"/>
    <x v="4"/>
    <x v="8"/>
    <s v="LV_RigaR"/>
    <x v="21"/>
    <n v="48.384"/>
    <n v="13.44"/>
  </r>
  <r>
    <x v="0"/>
    <x v="15"/>
    <x v="4"/>
    <x v="8"/>
    <s v="LV_RigaR"/>
    <x v="22"/>
    <n v="79.847999999999999"/>
    <n v="22.18"/>
  </r>
  <r>
    <x v="0"/>
    <x v="15"/>
    <x v="4"/>
    <x v="8"/>
    <s v="LV_Rural"/>
    <x v="2"/>
    <n v="48.384"/>
    <n v="13.44"/>
  </r>
  <r>
    <x v="0"/>
    <x v="15"/>
    <x v="4"/>
    <x v="8"/>
    <s v="LV_Rural"/>
    <x v="0"/>
    <n v="42.692399999999999"/>
    <n v="11.859"/>
  </r>
  <r>
    <x v="0"/>
    <x v="15"/>
    <x v="4"/>
    <x v="8"/>
    <s v="LV_Rural"/>
    <x v="21"/>
    <n v="48.384"/>
    <n v="13.44"/>
  </r>
  <r>
    <x v="0"/>
    <x v="15"/>
    <x v="4"/>
    <x v="8"/>
    <s v="LV_Rural"/>
    <x v="22"/>
    <n v="79.847999999999999"/>
    <n v="22.18"/>
  </r>
  <r>
    <x v="0"/>
    <x v="15"/>
    <x v="5"/>
    <x v="9"/>
    <s v="LT_A"/>
    <x v="2"/>
    <n v="48.384"/>
    <n v="13.44"/>
  </r>
  <r>
    <x v="0"/>
    <x v="15"/>
    <x v="5"/>
    <x v="9"/>
    <s v="LT_A"/>
    <x v="0"/>
    <n v="42.692399999999999"/>
    <n v="11.859"/>
  </r>
  <r>
    <x v="0"/>
    <x v="15"/>
    <x v="5"/>
    <x v="9"/>
    <s v="LT_A"/>
    <x v="21"/>
    <n v="48.384"/>
    <n v="13.44"/>
  </r>
  <r>
    <x v="0"/>
    <x v="15"/>
    <x v="5"/>
    <x v="9"/>
    <s v="LT_A"/>
    <x v="22"/>
    <n v="79.847999999999999"/>
    <n v="22.18"/>
  </r>
  <r>
    <x v="0"/>
    <x v="15"/>
    <x v="5"/>
    <x v="9"/>
    <s v="LT_KauU"/>
    <x v="2"/>
    <n v="48.384"/>
    <n v="13.44"/>
  </r>
  <r>
    <x v="0"/>
    <x v="15"/>
    <x v="5"/>
    <x v="9"/>
    <s v="LT_KauU"/>
    <x v="0"/>
    <n v="42.692399999999999"/>
    <n v="11.859"/>
  </r>
  <r>
    <x v="0"/>
    <x v="15"/>
    <x v="5"/>
    <x v="9"/>
    <s v="LT_KauU"/>
    <x v="21"/>
    <n v="48.384"/>
    <n v="13.44"/>
  </r>
  <r>
    <x v="0"/>
    <x v="15"/>
    <x v="5"/>
    <x v="9"/>
    <s v="LT_KauU"/>
    <x v="22"/>
    <n v="79.847999999999999"/>
    <n v="22.18"/>
  </r>
  <r>
    <x v="0"/>
    <x v="15"/>
    <x v="5"/>
    <x v="9"/>
    <s v="LT_KlaU"/>
    <x v="2"/>
    <n v="48.384"/>
    <n v="13.44"/>
  </r>
  <r>
    <x v="0"/>
    <x v="15"/>
    <x v="5"/>
    <x v="9"/>
    <s v="LT_KlaU"/>
    <x v="0"/>
    <n v="42.692399999999999"/>
    <n v="11.859"/>
  </r>
  <r>
    <x v="0"/>
    <x v="15"/>
    <x v="5"/>
    <x v="9"/>
    <s v="LT_KlaU"/>
    <x v="21"/>
    <n v="48.384"/>
    <n v="13.44"/>
  </r>
  <r>
    <x v="0"/>
    <x v="15"/>
    <x v="5"/>
    <x v="9"/>
    <s v="LT_KlaU"/>
    <x v="22"/>
    <n v="79.847999999999999"/>
    <n v="22.18"/>
  </r>
  <r>
    <x v="0"/>
    <x v="15"/>
    <x v="5"/>
    <x v="9"/>
    <s v="LT_OFFSHORE"/>
    <x v="2"/>
    <n v="48.384"/>
    <n v="13.44"/>
  </r>
  <r>
    <x v="0"/>
    <x v="15"/>
    <x v="5"/>
    <x v="9"/>
    <s v="LT_OFFSHORE"/>
    <x v="0"/>
    <n v="42.692399999999999"/>
    <n v="11.859"/>
  </r>
  <r>
    <x v="0"/>
    <x v="15"/>
    <x v="5"/>
    <x v="9"/>
    <s v="LT_OFFSHORE"/>
    <x v="21"/>
    <n v="48.384"/>
    <n v="13.44"/>
  </r>
  <r>
    <x v="0"/>
    <x v="15"/>
    <x v="5"/>
    <x v="9"/>
    <s v="LT_OFFSHORE"/>
    <x v="22"/>
    <n v="79.847999999999999"/>
    <n v="22.18"/>
  </r>
  <r>
    <x v="0"/>
    <x v="15"/>
    <x v="5"/>
    <x v="9"/>
    <s v="LT_Other_DH"/>
    <x v="2"/>
    <n v="48.384"/>
    <n v="13.44"/>
  </r>
  <r>
    <x v="0"/>
    <x v="15"/>
    <x v="5"/>
    <x v="9"/>
    <s v="LT_Other_DH"/>
    <x v="0"/>
    <n v="42.692399999999999"/>
    <n v="11.859"/>
  </r>
  <r>
    <x v="0"/>
    <x v="15"/>
    <x v="5"/>
    <x v="9"/>
    <s v="LT_Other_DH"/>
    <x v="21"/>
    <n v="48.384"/>
    <n v="13.44"/>
  </r>
  <r>
    <x v="0"/>
    <x v="15"/>
    <x v="5"/>
    <x v="9"/>
    <s v="LT_Other_DH"/>
    <x v="22"/>
    <n v="79.847999999999999"/>
    <n v="22.18"/>
  </r>
  <r>
    <x v="0"/>
    <x v="15"/>
    <x v="5"/>
    <x v="9"/>
    <s v="LT_Panevezys"/>
    <x v="2"/>
    <n v="48.384"/>
    <n v="13.44"/>
  </r>
  <r>
    <x v="0"/>
    <x v="15"/>
    <x v="5"/>
    <x v="9"/>
    <s v="LT_Panevezys"/>
    <x v="0"/>
    <n v="42.692399999999999"/>
    <n v="11.859"/>
  </r>
  <r>
    <x v="0"/>
    <x v="15"/>
    <x v="5"/>
    <x v="9"/>
    <s v="LT_Panevezys"/>
    <x v="21"/>
    <n v="48.384"/>
    <n v="13.44"/>
  </r>
  <r>
    <x v="0"/>
    <x v="15"/>
    <x v="5"/>
    <x v="9"/>
    <s v="LT_Panevezys"/>
    <x v="22"/>
    <n v="79.847999999999999"/>
    <n v="22.18"/>
  </r>
  <r>
    <x v="0"/>
    <x v="15"/>
    <x v="5"/>
    <x v="9"/>
    <s v="LT_Rural"/>
    <x v="2"/>
    <n v="48.384"/>
    <n v="13.44"/>
  </r>
  <r>
    <x v="0"/>
    <x v="15"/>
    <x v="5"/>
    <x v="9"/>
    <s v="LT_Rural"/>
    <x v="0"/>
    <n v="42.692399999999999"/>
    <n v="11.859"/>
  </r>
  <r>
    <x v="0"/>
    <x v="15"/>
    <x v="5"/>
    <x v="9"/>
    <s v="LT_Rural"/>
    <x v="21"/>
    <n v="48.384"/>
    <n v="13.44"/>
  </r>
  <r>
    <x v="0"/>
    <x v="15"/>
    <x v="5"/>
    <x v="9"/>
    <s v="LT_Rural"/>
    <x v="22"/>
    <n v="79.847999999999999"/>
    <n v="22.18"/>
  </r>
  <r>
    <x v="0"/>
    <x v="15"/>
    <x v="5"/>
    <x v="9"/>
    <s v="LT_SiaU"/>
    <x v="2"/>
    <n v="48.384"/>
    <n v="13.44"/>
  </r>
  <r>
    <x v="0"/>
    <x v="15"/>
    <x v="5"/>
    <x v="9"/>
    <s v="LT_SiaU"/>
    <x v="0"/>
    <n v="42.692399999999999"/>
    <n v="11.859"/>
  </r>
  <r>
    <x v="0"/>
    <x v="15"/>
    <x v="5"/>
    <x v="9"/>
    <s v="LT_SiaU"/>
    <x v="21"/>
    <n v="48.384"/>
    <n v="13.44"/>
  </r>
  <r>
    <x v="0"/>
    <x v="15"/>
    <x v="5"/>
    <x v="9"/>
    <s v="LT_SiaU"/>
    <x v="22"/>
    <n v="79.847999999999999"/>
    <n v="22.18"/>
  </r>
  <r>
    <x v="0"/>
    <x v="15"/>
    <x v="5"/>
    <x v="9"/>
    <s v="LT_VilU"/>
    <x v="2"/>
    <n v="48.384"/>
    <n v="13.44"/>
  </r>
  <r>
    <x v="0"/>
    <x v="15"/>
    <x v="5"/>
    <x v="9"/>
    <s v="LT_VilU"/>
    <x v="0"/>
    <n v="42.692399999999999"/>
    <n v="11.859"/>
  </r>
  <r>
    <x v="0"/>
    <x v="15"/>
    <x v="5"/>
    <x v="9"/>
    <s v="LT_VilU"/>
    <x v="21"/>
    <n v="48.384"/>
    <n v="13.44"/>
  </r>
  <r>
    <x v="0"/>
    <x v="15"/>
    <x v="5"/>
    <x v="9"/>
    <s v="LT_VilU"/>
    <x v="22"/>
    <n v="79.847999999999999"/>
    <n v="22.18"/>
  </r>
  <r>
    <x v="0"/>
    <x v="15"/>
    <x v="6"/>
    <x v="10"/>
    <s v="NL_A"/>
    <x v="2"/>
    <n v="48.384"/>
    <n v="13.44"/>
  </r>
  <r>
    <x v="0"/>
    <x v="15"/>
    <x v="6"/>
    <x v="10"/>
    <s v="NL_A"/>
    <x v="0"/>
    <n v="42.692399999999999"/>
    <n v="11.859"/>
  </r>
  <r>
    <x v="0"/>
    <x v="15"/>
    <x v="6"/>
    <x v="10"/>
    <s v="NL_A"/>
    <x v="21"/>
    <n v="48.384"/>
    <n v="13.44"/>
  </r>
  <r>
    <x v="0"/>
    <x v="15"/>
    <x v="6"/>
    <x v="10"/>
    <s v="NL_A"/>
    <x v="22"/>
    <n v="79.847999999999999"/>
    <n v="22.18"/>
  </r>
  <r>
    <x v="0"/>
    <x v="15"/>
    <x v="6"/>
    <x v="10"/>
    <s v="NL_OFFSHORE"/>
    <x v="2"/>
    <n v="48.384"/>
    <n v="13.44"/>
  </r>
  <r>
    <x v="0"/>
    <x v="15"/>
    <x v="6"/>
    <x v="10"/>
    <s v="NL_OFFSHORE"/>
    <x v="0"/>
    <n v="42.692399999999999"/>
    <n v="11.859"/>
  </r>
  <r>
    <x v="0"/>
    <x v="15"/>
    <x v="6"/>
    <x v="10"/>
    <s v="NL_OFFSHORE"/>
    <x v="21"/>
    <n v="48.384"/>
    <n v="13.44"/>
  </r>
  <r>
    <x v="0"/>
    <x v="15"/>
    <x v="6"/>
    <x v="10"/>
    <s v="NL_OFFSHORE"/>
    <x v="22"/>
    <n v="79.847999999999999"/>
    <n v="22.18"/>
  </r>
  <r>
    <x v="0"/>
    <x v="15"/>
    <x v="7"/>
    <x v="11"/>
    <s v="NO1_A1"/>
    <x v="2"/>
    <n v="48.384"/>
    <n v="13.44"/>
  </r>
  <r>
    <x v="0"/>
    <x v="15"/>
    <x v="7"/>
    <x v="11"/>
    <s v="NO1_A1"/>
    <x v="0"/>
    <n v="42.692399999999999"/>
    <n v="11.859"/>
  </r>
  <r>
    <x v="0"/>
    <x v="15"/>
    <x v="7"/>
    <x v="11"/>
    <s v="NO1_A1"/>
    <x v="21"/>
    <n v="48.384"/>
    <n v="13.44"/>
  </r>
  <r>
    <x v="0"/>
    <x v="15"/>
    <x v="7"/>
    <x v="11"/>
    <s v="NO1_A1"/>
    <x v="22"/>
    <n v="79.847999999999999"/>
    <n v="22.18"/>
  </r>
  <r>
    <x v="0"/>
    <x v="15"/>
    <x v="7"/>
    <x v="11"/>
    <s v="NO1_A2"/>
    <x v="2"/>
    <n v="48.384"/>
    <n v="13.44"/>
  </r>
  <r>
    <x v="0"/>
    <x v="15"/>
    <x v="7"/>
    <x v="11"/>
    <s v="NO1_A2"/>
    <x v="0"/>
    <n v="42.692399999999999"/>
    <n v="11.859"/>
  </r>
  <r>
    <x v="0"/>
    <x v="15"/>
    <x v="7"/>
    <x v="11"/>
    <s v="NO1_A2"/>
    <x v="21"/>
    <n v="48.384"/>
    <n v="13.44"/>
  </r>
  <r>
    <x v="0"/>
    <x v="15"/>
    <x v="7"/>
    <x v="11"/>
    <s v="NO1_A2"/>
    <x v="22"/>
    <n v="79.847999999999999"/>
    <n v="22.18"/>
  </r>
  <r>
    <x v="0"/>
    <x v="15"/>
    <x v="7"/>
    <x v="11"/>
    <s v="NO1_A3"/>
    <x v="2"/>
    <n v="48.384"/>
    <n v="13.44"/>
  </r>
  <r>
    <x v="0"/>
    <x v="15"/>
    <x v="7"/>
    <x v="11"/>
    <s v="NO1_A3"/>
    <x v="0"/>
    <n v="42.692399999999999"/>
    <n v="11.859"/>
  </r>
  <r>
    <x v="0"/>
    <x v="15"/>
    <x v="7"/>
    <x v="11"/>
    <s v="NO1_A3"/>
    <x v="21"/>
    <n v="48.384"/>
    <n v="13.44"/>
  </r>
  <r>
    <x v="0"/>
    <x v="15"/>
    <x v="7"/>
    <x v="11"/>
    <s v="NO1_A3"/>
    <x v="22"/>
    <n v="79.847999999999999"/>
    <n v="22.18"/>
  </r>
  <r>
    <x v="0"/>
    <x v="15"/>
    <x v="7"/>
    <x v="11"/>
    <s v="NO1_Offshore"/>
    <x v="2"/>
    <n v="48.384"/>
    <n v="13.44"/>
  </r>
  <r>
    <x v="0"/>
    <x v="15"/>
    <x v="7"/>
    <x v="11"/>
    <s v="NO1_Offshore"/>
    <x v="0"/>
    <n v="42.692399999999999"/>
    <n v="11.859"/>
  </r>
  <r>
    <x v="0"/>
    <x v="15"/>
    <x v="7"/>
    <x v="11"/>
    <s v="NO1_Offshore"/>
    <x v="21"/>
    <n v="48.384"/>
    <n v="13.44"/>
  </r>
  <r>
    <x v="0"/>
    <x v="15"/>
    <x v="7"/>
    <x v="11"/>
    <s v="NO1_Offshore"/>
    <x v="22"/>
    <n v="79.847999999999999"/>
    <n v="22.18"/>
  </r>
  <r>
    <x v="0"/>
    <x v="15"/>
    <x v="7"/>
    <x v="12"/>
    <s v="NO2_A1"/>
    <x v="2"/>
    <n v="48.384"/>
    <n v="13.44"/>
  </r>
  <r>
    <x v="0"/>
    <x v="15"/>
    <x v="7"/>
    <x v="12"/>
    <s v="NO2_A1"/>
    <x v="0"/>
    <n v="42.692399999999999"/>
    <n v="11.859"/>
  </r>
  <r>
    <x v="0"/>
    <x v="15"/>
    <x v="7"/>
    <x v="12"/>
    <s v="NO2_A1"/>
    <x v="21"/>
    <n v="48.384"/>
    <n v="13.44"/>
  </r>
  <r>
    <x v="0"/>
    <x v="15"/>
    <x v="7"/>
    <x v="12"/>
    <s v="NO2_A1"/>
    <x v="22"/>
    <n v="79.847999999999999"/>
    <n v="22.18"/>
  </r>
  <r>
    <x v="0"/>
    <x v="15"/>
    <x v="7"/>
    <x v="12"/>
    <s v="NO2_A2"/>
    <x v="2"/>
    <n v="48.384"/>
    <n v="13.44"/>
  </r>
  <r>
    <x v="0"/>
    <x v="15"/>
    <x v="7"/>
    <x v="12"/>
    <s v="NO2_A2"/>
    <x v="0"/>
    <n v="42.692399999999999"/>
    <n v="11.859"/>
  </r>
  <r>
    <x v="0"/>
    <x v="15"/>
    <x v="7"/>
    <x v="12"/>
    <s v="NO2_A2"/>
    <x v="21"/>
    <n v="48.384"/>
    <n v="13.44"/>
  </r>
  <r>
    <x v="0"/>
    <x v="15"/>
    <x v="7"/>
    <x v="12"/>
    <s v="NO2_A2"/>
    <x v="22"/>
    <n v="79.847999999999999"/>
    <n v="22.18"/>
  </r>
  <r>
    <x v="0"/>
    <x v="15"/>
    <x v="7"/>
    <x v="12"/>
    <s v="NO2_Offshore"/>
    <x v="2"/>
    <n v="48.384"/>
    <n v="13.44"/>
  </r>
  <r>
    <x v="0"/>
    <x v="15"/>
    <x v="7"/>
    <x v="12"/>
    <s v="NO2_Offshore"/>
    <x v="0"/>
    <n v="42.692399999999999"/>
    <n v="11.859"/>
  </r>
  <r>
    <x v="0"/>
    <x v="15"/>
    <x v="7"/>
    <x v="12"/>
    <s v="NO2_Offshore"/>
    <x v="21"/>
    <n v="48.384"/>
    <n v="13.44"/>
  </r>
  <r>
    <x v="0"/>
    <x v="15"/>
    <x v="7"/>
    <x v="12"/>
    <s v="NO2_Offshore"/>
    <x v="22"/>
    <n v="79.847999999999999"/>
    <n v="22.18"/>
  </r>
  <r>
    <x v="0"/>
    <x v="15"/>
    <x v="7"/>
    <x v="13"/>
    <s v="NO3_A1"/>
    <x v="2"/>
    <n v="48.384"/>
    <n v="13.44"/>
  </r>
  <r>
    <x v="0"/>
    <x v="15"/>
    <x v="7"/>
    <x v="13"/>
    <s v="NO3_A1"/>
    <x v="0"/>
    <n v="42.692399999999999"/>
    <n v="11.859"/>
  </r>
  <r>
    <x v="0"/>
    <x v="15"/>
    <x v="7"/>
    <x v="13"/>
    <s v="NO3_A1"/>
    <x v="21"/>
    <n v="48.384"/>
    <n v="13.44"/>
  </r>
  <r>
    <x v="0"/>
    <x v="15"/>
    <x v="7"/>
    <x v="13"/>
    <s v="NO3_A1"/>
    <x v="22"/>
    <n v="79.847999999999999"/>
    <n v="22.18"/>
  </r>
  <r>
    <x v="0"/>
    <x v="15"/>
    <x v="7"/>
    <x v="13"/>
    <s v="NO3_A2"/>
    <x v="2"/>
    <n v="48.384"/>
    <n v="13.44"/>
  </r>
  <r>
    <x v="0"/>
    <x v="15"/>
    <x v="7"/>
    <x v="13"/>
    <s v="NO3_A2"/>
    <x v="0"/>
    <n v="42.692399999999999"/>
    <n v="11.859"/>
  </r>
  <r>
    <x v="0"/>
    <x v="15"/>
    <x v="7"/>
    <x v="13"/>
    <s v="NO3_A2"/>
    <x v="21"/>
    <n v="48.384"/>
    <n v="13.44"/>
  </r>
  <r>
    <x v="0"/>
    <x v="15"/>
    <x v="7"/>
    <x v="13"/>
    <s v="NO3_A2"/>
    <x v="22"/>
    <n v="79.847999999999999"/>
    <n v="22.18"/>
  </r>
  <r>
    <x v="0"/>
    <x v="15"/>
    <x v="7"/>
    <x v="13"/>
    <s v="NO3_A3"/>
    <x v="2"/>
    <n v="48.384"/>
    <n v="13.44"/>
  </r>
  <r>
    <x v="0"/>
    <x v="15"/>
    <x v="7"/>
    <x v="13"/>
    <s v="NO3_A3"/>
    <x v="0"/>
    <n v="42.692399999999999"/>
    <n v="11.859"/>
  </r>
  <r>
    <x v="0"/>
    <x v="15"/>
    <x v="7"/>
    <x v="13"/>
    <s v="NO3_A3"/>
    <x v="21"/>
    <n v="48.384"/>
    <n v="13.44"/>
  </r>
  <r>
    <x v="0"/>
    <x v="15"/>
    <x v="7"/>
    <x v="13"/>
    <s v="NO3_A3"/>
    <x v="22"/>
    <n v="79.847999999999999"/>
    <n v="22.18"/>
  </r>
  <r>
    <x v="0"/>
    <x v="15"/>
    <x v="7"/>
    <x v="13"/>
    <s v="NO3_Offshore"/>
    <x v="2"/>
    <n v="48.384"/>
    <n v="13.44"/>
  </r>
  <r>
    <x v="0"/>
    <x v="15"/>
    <x v="7"/>
    <x v="13"/>
    <s v="NO3_Offshore"/>
    <x v="0"/>
    <n v="42.692399999999999"/>
    <n v="11.859"/>
  </r>
  <r>
    <x v="0"/>
    <x v="15"/>
    <x v="7"/>
    <x v="13"/>
    <s v="NO3_Offshore"/>
    <x v="21"/>
    <n v="48.384"/>
    <n v="13.44"/>
  </r>
  <r>
    <x v="0"/>
    <x v="15"/>
    <x v="7"/>
    <x v="13"/>
    <s v="NO3_Offshore"/>
    <x v="22"/>
    <n v="79.847999999999999"/>
    <n v="22.18"/>
  </r>
  <r>
    <x v="0"/>
    <x v="15"/>
    <x v="7"/>
    <x v="14"/>
    <s v="NO4_A1"/>
    <x v="2"/>
    <n v="48.384"/>
    <n v="13.44"/>
  </r>
  <r>
    <x v="0"/>
    <x v="15"/>
    <x v="7"/>
    <x v="14"/>
    <s v="NO4_A1"/>
    <x v="0"/>
    <n v="42.692399999999999"/>
    <n v="11.859"/>
  </r>
  <r>
    <x v="0"/>
    <x v="15"/>
    <x v="7"/>
    <x v="14"/>
    <s v="NO4_A1"/>
    <x v="21"/>
    <n v="48.384"/>
    <n v="13.44"/>
  </r>
  <r>
    <x v="0"/>
    <x v="15"/>
    <x v="7"/>
    <x v="14"/>
    <s v="NO4_A1"/>
    <x v="22"/>
    <n v="79.847999999999999"/>
    <n v="22.18"/>
  </r>
  <r>
    <x v="0"/>
    <x v="15"/>
    <x v="7"/>
    <x v="14"/>
    <s v="NO4_A2"/>
    <x v="2"/>
    <n v="48.384"/>
    <n v="13.44"/>
  </r>
  <r>
    <x v="0"/>
    <x v="15"/>
    <x v="7"/>
    <x v="14"/>
    <s v="NO4_A2"/>
    <x v="0"/>
    <n v="42.692399999999999"/>
    <n v="11.859"/>
  </r>
  <r>
    <x v="0"/>
    <x v="15"/>
    <x v="7"/>
    <x v="14"/>
    <s v="NO4_A2"/>
    <x v="21"/>
    <n v="48.384"/>
    <n v="13.44"/>
  </r>
  <r>
    <x v="0"/>
    <x v="15"/>
    <x v="7"/>
    <x v="14"/>
    <s v="NO4_A2"/>
    <x v="22"/>
    <n v="79.847999999999999"/>
    <n v="22.18"/>
  </r>
  <r>
    <x v="0"/>
    <x v="15"/>
    <x v="7"/>
    <x v="14"/>
    <s v="NO4_Offshore"/>
    <x v="2"/>
    <n v="48.384"/>
    <n v="13.44"/>
  </r>
  <r>
    <x v="0"/>
    <x v="15"/>
    <x v="7"/>
    <x v="14"/>
    <s v="NO4_Offshore"/>
    <x v="0"/>
    <n v="42.692399999999999"/>
    <n v="11.859"/>
  </r>
  <r>
    <x v="0"/>
    <x v="15"/>
    <x v="7"/>
    <x v="14"/>
    <s v="NO4_Offshore"/>
    <x v="21"/>
    <n v="48.384"/>
    <n v="13.44"/>
  </r>
  <r>
    <x v="0"/>
    <x v="15"/>
    <x v="7"/>
    <x v="14"/>
    <s v="NO4_Offshore"/>
    <x v="22"/>
    <n v="79.847999999999999"/>
    <n v="22.18"/>
  </r>
  <r>
    <x v="0"/>
    <x v="15"/>
    <x v="7"/>
    <x v="15"/>
    <s v="NO5_A1"/>
    <x v="2"/>
    <n v="48.384"/>
    <n v="13.44"/>
  </r>
  <r>
    <x v="0"/>
    <x v="15"/>
    <x v="7"/>
    <x v="15"/>
    <s v="NO5_A1"/>
    <x v="0"/>
    <n v="42.692399999999999"/>
    <n v="11.859"/>
  </r>
  <r>
    <x v="0"/>
    <x v="15"/>
    <x v="7"/>
    <x v="15"/>
    <s v="NO5_A1"/>
    <x v="21"/>
    <n v="48.384"/>
    <n v="13.44"/>
  </r>
  <r>
    <x v="0"/>
    <x v="15"/>
    <x v="7"/>
    <x v="15"/>
    <s v="NO5_A1"/>
    <x v="22"/>
    <n v="79.847999999999999"/>
    <n v="22.18"/>
  </r>
  <r>
    <x v="0"/>
    <x v="15"/>
    <x v="7"/>
    <x v="15"/>
    <s v="NO5_A2"/>
    <x v="2"/>
    <n v="48.384"/>
    <n v="13.44"/>
  </r>
  <r>
    <x v="0"/>
    <x v="15"/>
    <x v="7"/>
    <x v="15"/>
    <s v="NO5_A2"/>
    <x v="0"/>
    <n v="42.692399999999999"/>
    <n v="11.859"/>
  </r>
  <r>
    <x v="0"/>
    <x v="15"/>
    <x v="7"/>
    <x v="15"/>
    <s v="NO5_A2"/>
    <x v="21"/>
    <n v="48.384"/>
    <n v="13.44"/>
  </r>
  <r>
    <x v="0"/>
    <x v="15"/>
    <x v="7"/>
    <x v="15"/>
    <s v="NO5_A2"/>
    <x v="22"/>
    <n v="79.847999999999999"/>
    <n v="22.18"/>
  </r>
  <r>
    <x v="0"/>
    <x v="15"/>
    <x v="7"/>
    <x v="15"/>
    <s v="NO5_Offshore"/>
    <x v="2"/>
    <n v="48.384"/>
    <n v="13.44"/>
  </r>
  <r>
    <x v="0"/>
    <x v="15"/>
    <x v="7"/>
    <x v="15"/>
    <s v="NO5_Offshore"/>
    <x v="0"/>
    <n v="42.692399999999999"/>
    <n v="11.859"/>
  </r>
  <r>
    <x v="0"/>
    <x v="15"/>
    <x v="7"/>
    <x v="15"/>
    <s v="NO5_Offshore"/>
    <x v="21"/>
    <n v="48.384"/>
    <n v="13.44"/>
  </r>
  <r>
    <x v="0"/>
    <x v="15"/>
    <x v="7"/>
    <x v="15"/>
    <s v="NO5_Offshore"/>
    <x v="22"/>
    <n v="79.847999999999999"/>
    <n v="22.18"/>
  </r>
  <r>
    <x v="0"/>
    <x v="15"/>
    <x v="8"/>
    <x v="16"/>
    <s v="PL_A"/>
    <x v="2"/>
    <n v="48.384"/>
    <n v="13.44"/>
  </r>
  <r>
    <x v="0"/>
    <x v="15"/>
    <x v="8"/>
    <x v="16"/>
    <s v="PL_A"/>
    <x v="0"/>
    <n v="42.692399999999999"/>
    <n v="11.859"/>
  </r>
  <r>
    <x v="0"/>
    <x v="15"/>
    <x v="8"/>
    <x v="16"/>
    <s v="PL_A"/>
    <x v="21"/>
    <n v="48.384"/>
    <n v="13.44"/>
  </r>
  <r>
    <x v="0"/>
    <x v="15"/>
    <x v="8"/>
    <x v="16"/>
    <s v="PL_A"/>
    <x v="22"/>
    <n v="79.847999999999999"/>
    <n v="22.18"/>
  </r>
  <r>
    <x v="0"/>
    <x v="15"/>
    <x v="8"/>
    <x v="16"/>
    <s v="PL_OFFSHORE"/>
    <x v="2"/>
    <n v="48.384"/>
    <n v="13.44"/>
  </r>
  <r>
    <x v="0"/>
    <x v="15"/>
    <x v="8"/>
    <x v="16"/>
    <s v="PL_OFFSHORE"/>
    <x v="0"/>
    <n v="42.692399999999999"/>
    <n v="11.859"/>
  </r>
  <r>
    <x v="0"/>
    <x v="15"/>
    <x v="8"/>
    <x v="16"/>
    <s v="PL_OFFSHORE"/>
    <x v="21"/>
    <n v="48.384"/>
    <n v="13.44"/>
  </r>
  <r>
    <x v="0"/>
    <x v="15"/>
    <x v="8"/>
    <x v="16"/>
    <s v="PL_OFFSHORE"/>
    <x v="22"/>
    <n v="79.847999999999999"/>
    <n v="22.18"/>
  </r>
  <r>
    <x v="0"/>
    <x v="15"/>
    <x v="8"/>
    <x v="16"/>
    <s v="PL_Rural"/>
    <x v="2"/>
    <n v="48.384"/>
    <n v="13.44"/>
  </r>
  <r>
    <x v="0"/>
    <x v="15"/>
    <x v="8"/>
    <x v="16"/>
    <s v="PL_Rural"/>
    <x v="0"/>
    <n v="42.692399999999999"/>
    <n v="11.859"/>
  </r>
  <r>
    <x v="0"/>
    <x v="15"/>
    <x v="8"/>
    <x v="16"/>
    <s v="PL_Rural"/>
    <x v="21"/>
    <n v="48.384"/>
    <n v="13.44"/>
  </r>
  <r>
    <x v="0"/>
    <x v="15"/>
    <x v="8"/>
    <x v="16"/>
    <s v="PL_Rural"/>
    <x v="22"/>
    <n v="79.847999999999999"/>
    <n v="22.18"/>
  </r>
  <r>
    <x v="0"/>
    <x v="15"/>
    <x v="9"/>
    <x v="17"/>
    <s v="SE1A"/>
    <x v="2"/>
    <n v="48.384"/>
    <n v="13.44"/>
  </r>
  <r>
    <x v="0"/>
    <x v="15"/>
    <x v="9"/>
    <x v="17"/>
    <s v="SE1A"/>
    <x v="0"/>
    <n v="42.692399999999999"/>
    <n v="11.859"/>
  </r>
  <r>
    <x v="0"/>
    <x v="15"/>
    <x v="9"/>
    <x v="17"/>
    <s v="SE1A"/>
    <x v="21"/>
    <n v="48.384"/>
    <n v="13.44"/>
  </r>
  <r>
    <x v="0"/>
    <x v="15"/>
    <x v="9"/>
    <x v="17"/>
    <s v="SE1A"/>
    <x v="22"/>
    <n v="79.847999999999999"/>
    <n v="22.18"/>
  </r>
  <r>
    <x v="0"/>
    <x v="15"/>
    <x v="9"/>
    <x v="17"/>
    <s v="SE1_IND"/>
    <x v="2"/>
    <n v="48.384"/>
    <n v="13.44"/>
  </r>
  <r>
    <x v="0"/>
    <x v="15"/>
    <x v="9"/>
    <x v="17"/>
    <s v="SE1_IND"/>
    <x v="0"/>
    <n v="42.692399999999999"/>
    <n v="11.859"/>
  </r>
  <r>
    <x v="0"/>
    <x v="15"/>
    <x v="9"/>
    <x v="17"/>
    <s v="SE1_IND"/>
    <x v="21"/>
    <n v="48.384"/>
    <n v="13.44"/>
  </r>
  <r>
    <x v="0"/>
    <x v="15"/>
    <x v="9"/>
    <x v="17"/>
    <s v="SE1_IND"/>
    <x v="22"/>
    <n v="79.847999999999999"/>
    <n v="22.18"/>
  </r>
  <r>
    <x v="0"/>
    <x v="15"/>
    <x v="9"/>
    <x v="17"/>
    <s v="SE1_Offshore"/>
    <x v="2"/>
    <n v="48.384"/>
    <n v="13.44"/>
  </r>
  <r>
    <x v="0"/>
    <x v="15"/>
    <x v="9"/>
    <x v="17"/>
    <s v="SE1_Offshore"/>
    <x v="0"/>
    <n v="42.692399999999999"/>
    <n v="11.859"/>
  </r>
  <r>
    <x v="0"/>
    <x v="15"/>
    <x v="9"/>
    <x v="17"/>
    <s v="SE1_Offshore"/>
    <x v="21"/>
    <n v="48.384"/>
    <n v="13.44"/>
  </r>
  <r>
    <x v="0"/>
    <x v="15"/>
    <x v="9"/>
    <x v="17"/>
    <s v="SE1_Offshore"/>
    <x v="22"/>
    <n v="79.847999999999999"/>
    <n v="22.18"/>
  </r>
  <r>
    <x v="0"/>
    <x v="15"/>
    <x v="9"/>
    <x v="17"/>
    <s v="SE1_medium"/>
    <x v="2"/>
    <n v="48.384"/>
    <n v="13.44"/>
  </r>
  <r>
    <x v="0"/>
    <x v="15"/>
    <x v="9"/>
    <x v="17"/>
    <s v="SE1_medium"/>
    <x v="0"/>
    <n v="42.692399999999999"/>
    <n v="11.859"/>
  </r>
  <r>
    <x v="0"/>
    <x v="15"/>
    <x v="9"/>
    <x v="17"/>
    <s v="SE1_medium"/>
    <x v="21"/>
    <n v="48.384"/>
    <n v="13.44"/>
  </r>
  <r>
    <x v="0"/>
    <x v="15"/>
    <x v="9"/>
    <x v="17"/>
    <s v="SE1_medium"/>
    <x v="22"/>
    <n v="79.847999999999999"/>
    <n v="22.18"/>
  </r>
  <r>
    <x v="0"/>
    <x v="15"/>
    <x v="9"/>
    <x v="17"/>
    <s v="SE1_small"/>
    <x v="2"/>
    <n v="48.384"/>
    <n v="13.44"/>
  </r>
  <r>
    <x v="0"/>
    <x v="15"/>
    <x v="9"/>
    <x v="17"/>
    <s v="SE1_small"/>
    <x v="0"/>
    <n v="42.692399999999999"/>
    <n v="11.859"/>
  </r>
  <r>
    <x v="0"/>
    <x v="15"/>
    <x v="9"/>
    <x v="17"/>
    <s v="SE1_small"/>
    <x v="21"/>
    <n v="48.384"/>
    <n v="13.44"/>
  </r>
  <r>
    <x v="0"/>
    <x v="15"/>
    <x v="9"/>
    <x v="17"/>
    <s v="SE1_small"/>
    <x v="22"/>
    <n v="79.847999999999999"/>
    <n v="22.18"/>
  </r>
  <r>
    <x v="0"/>
    <x v="15"/>
    <x v="9"/>
    <x v="18"/>
    <s v="SE2A"/>
    <x v="2"/>
    <n v="48.384"/>
    <n v="13.44"/>
  </r>
  <r>
    <x v="0"/>
    <x v="15"/>
    <x v="9"/>
    <x v="18"/>
    <s v="SE2A"/>
    <x v="0"/>
    <n v="42.692399999999999"/>
    <n v="11.859"/>
  </r>
  <r>
    <x v="0"/>
    <x v="15"/>
    <x v="9"/>
    <x v="18"/>
    <s v="SE2A"/>
    <x v="21"/>
    <n v="48.384"/>
    <n v="13.44"/>
  </r>
  <r>
    <x v="0"/>
    <x v="15"/>
    <x v="9"/>
    <x v="18"/>
    <s v="SE2A"/>
    <x v="22"/>
    <n v="79.847999999999999"/>
    <n v="22.18"/>
  </r>
  <r>
    <x v="0"/>
    <x v="15"/>
    <x v="9"/>
    <x v="18"/>
    <s v="SE2_IND"/>
    <x v="2"/>
    <n v="48.384"/>
    <n v="13.44"/>
  </r>
  <r>
    <x v="0"/>
    <x v="15"/>
    <x v="9"/>
    <x v="18"/>
    <s v="SE2_IND"/>
    <x v="0"/>
    <n v="42.692399999999999"/>
    <n v="11.859"/>
  </r>
  <r>
    <x v="0"/>
    <x v="15"/>
    <x v="9"/>
    <x v="18"/>
    <s v="SE2_IND"/>
    <x v="21"/>
    <n v="48.384"/>
    <n v="13.44"/>
  </r>
  <r>
    <x v="0"/>
    <x v="15"/>
    <x v="9"/>
    <x v="18"/>
    <s v="SE2_IND"/>
    <x v="22"/>
    <n v="79.847999999999999"/>
    <n v="22.18"/>
  </r>
  <r>
    <x v="0"/>
    <x v="15"/>
    <x v="9"/>
    <x v="18"/>
    <s v="SE2_Offshore"/>
    <x v="2"/>
    <n v="48.384"/>
    <n v="13.44"/>
  </r>
  <r>
    <x v="0"/>
    <x v="15"/>
    <x v="9"/>
    <x v="18"/>
    <s v="SE2_Offshore"/>
    <x v="0"/>
    <n v="42.692399999999999"/>
    <n v="11.859"/>
  </r>
  <r>
    <x v="0"/>
    <x v="15"/>
    <x v="9"/>
    <x v="18"/>
    <s v="SE2_Offshore"/>
    <x v="21"/>
    <n v="48.384"/>
    <n v="13.44"/>
  </r>
  <r>
    <x v="0"/>
    <x v="15"/>
    <x v="9"/>
    <x v="18"/>
    <s v="SE2_Offshore"/>
    <x v="22"/>
    <n v="79.847999999999999"/>
    <n v="22.18"/>
  </r>
  <r>
    <x v="0"/>
    <x v="15"/>
    <x v="9"/>
    <x v="18"/>
    <s v="SE2_medium"/>
    <x v="2"/>
    <n v="48.384"/>
    <n v="13.44"/>
  </r>
  <r>
    <x v="0"/>
    <x v="15"/>
    <x v="9"/>
    <x v="18"/>
    <s v="SE2_medium"/>
    <x v="0"/>
    <n v="42.692399999999999"/>
    <n v="11.859"/>
  </r>
  <r>
    <x v="0"/>
    <x v="15"/>
    <x v="9"/>
    <x v="18"/>
    <s v="SE2_medium"/>
    <x v="21"/>
    <n v="48.384"/>
    <n v="13.44"/>
  </r>
  <r>
    <x v="0"/>
    <x v="15"/>
    <x v="9"/>
    <x v="18"/>
    <s v="SE2_medium"/>
    <x v="22"/>
    <n v="79.847999999999999"/>
    <n v="22.18"/>
  </r>
  <r>
    <x v="0"/>
    <x v="15"/>
    <x v="9"/>
    <x v="18"/>
    <s v="SE2_small"/>
    <x v="2"/>
    <n v="48.384"/>
    <n v="13.44"/>
  </r>
  <r>
    <x v="0"/>
    <x v="15"/>
    <x v="9"/>
    <x v="18"/>
    <s v="SE2_small"/>
    <x v="0"/>
    <n v="42.692399999999999"/>
    <n v="11.859"/>
  </r>
  <r>
    <x v="0"/>
    <x v="15"/>
    <x v="9"/>
    <x v="18"/>
    <s v="SE2_small"/>
    <x v="21"/>
    <n v="48.384"/>
    <n v="13.44"/>
  </r>
  <r>
    <x v="0"/>
    <x v="15"/>
    <x v="9"/>
    <x v="18"/>
    <s v="SE2_small"/>
    <x v="22"/>
    <n v="79.847999999999999"/>
    <n v="22.18"/>
  </r>
  <r>
    <x v="0"/>
    <x v="15"/>
    <x v="9"/>
    <x v="19"/>
    <s v="SE3A"/>
    <x v="2"/>
    <n v="48.384"/>
    <n v="13.44"/>
  </r>
  <r>
    <x v="0"/>
    <x v="15"/>
    <x v="9"/>
    <x v="19"/>
    <s v="SE3A"/>
    <x v="0"/>
    <n v="42.692399999999999"/>
    <n v="11.859"/>
  </r>
  <r>
    <x v="0"/>
    <x v="15"/>
    <x v="9"/>
    <x v="19"/>
    <s v="SE3A"/>
    <x v="21"/>
    <n v="48.384"/>
    <n v="13.44"/>
  </r>
  <r>
    <x v="0"/>
    <x v="15"/>
    <x v="9"/>
    <x v="19"/>
    <s v="SE3A"/>
    <x v="22"/>
    <n v="79.847999999999999"/>
    <n v="22.18"/>
  </r>
  <r>
    <x v="0"/>
    <x v="15"/>
    <x v="9"/>
    <x v="19"/>
    <s v="SE3_IND"/>
    <x v="2"/>
    <n v="48.384"/>
    <n v="13.44"/>
  </r>
  <r>
    <x v="0"/>
    <x v="15"/>
    <x v="9"/>
    <x v="19"/>
    <s v="SE3_IND"/>
    <x v="0"/>
    <n v="42.692399999999999"/>
    <n v="11.859"/>
  </r>
  <r>
    <x v="0"/>
    <x v="15"/>
    <x v="9"/>
    <x v="19"/>
    <s v="SE3_IND"/>
    <x v="21"/>
    <n v="48.384"/>
    <n v="13.44"/>
  </r>
  <r>
    <x v="0"/>
    <x v="15"/>
    <x v="9"/>
    <x v="19"/>
    <s v="SE3_IND"/>
    <x v="22"/>
    <n v="79.847999999999999"/>
    <n v="22.18"/>
  </r>
  <r>
    <x v="0"/>
    <x v="15"/>
    <x v="9"/>
    <x v="19"/>
    <s v="SE3_Offshore"/>
    <x v="2"/>
    <n v="48.384"/>
    <n v="13.44"/>
  </r>
  <r>
    <x v="0"/>
    <x v="15"/>
    <x v="9"/>
    <x v="19"/>
    <s v="SE3_Offshore"/>
    <x v="0"/>
    <n v="42.692399999999999"/>
    <n v="11.859"/>
  </r>
  <r>
    <x v="0"/>
    <x v="15"/>
    <x v="9"/>
    <x v="19"/>
    <s v="SE3_Offshore"/>
    <x v="21"/>
    <n v="48.384"/>
    <n v="13.44"/>
  </r>
  <r>
    <x v="0"/>
    <x v="15"/>
    <x v="9"/>
    <x v="19"/>
    <s v="SE3_Offshore"/>
    <x v="22"/>
    <n v="79.847999999999999"/>
    <n v="22.18"/>
  </r>
  <r>
    <x v="0"/>
    <x v="15"/>
    <x v="9"/>
    <x v="19"/>
    <s v="SE3_large"/>
    <x v="2"/>
    <n v="48.384"/>
    <n v="13.44"/>
  </r>
  <r>
    <x v="0"/>
    <x v="15"/>
    <x v="9"/>
    <x v="19"/>
    <s v="SE3_large"/>
    <x v="0"/>
    <n v="42.692399999999999"/>
    <n v="11.859"/>
  </r>
  <r>
    <x v="0"/>
    <x v="15"/>
    <x v="9"/>
    <x v="19"/>
    <s v="SE3_large"/>
    <x v="21"/>
    <n v="48.384"/>
    <n v="13.44"/>
  </r>
  <r>
    <x v="0"/>
    <x v="15"/>
    <x v="9"/>
    <x v="19"/>
    <s v="SE3_large"/>
    <x v="22"/>
    <n v="79.847999999999999"/>
    <n v="22.18"/>
  </r>
  <r>
    <x v="0"/>
    <x v="15"/>
    <x v="9"/>
    <x v="19"/>
    <s v="SE3_medium"/>
    <x v="2"/>
    <n v="48.384"/>
    <n v="13.44"/>
  </r>
  <r>
    <x v="0"/>
    <x v="15"/>
    <x v="9"/>
    <x v="19"/>
    <s v="SE3_medium"/>
    <x v="0"/>
    <n v="42.692399999999999"/>
    <n v="11.859"/>
  </r>
  <r>
    <x v="0"/>
    <x v="15"/>
    <x v="9"/>
    <x v="19"/>
    <s v="SE3_medium"/>
    <x v="21"/>
    <n v="48.384"/>
    <n v="13.44"/>
  </r>
  <r>
    <x v="0"/>
    <x v="15"/>
    <x v="9"/>
    <x v="19"/>
    <s v="SE3_medium"/>
    <x v="22"/>
    <n v="79.847999999999999"/>
    <n v="22.18"/>
  </r>
  <r>
    <x v="0"/>
    <x v="15"/>
    <x v="9"/>
    <x v="19"/>
    <s v="SE3_small"/>
    <x v="2"/>
    <n v="48.384"/>
    <n v="13.44"/>
  </r>
  <r>
    <x v="0"/>
    <x v="15"/>
    <x v="9"/>
    <x v="19"/>
    <s v="SE3_small"/>
    <x v="0"/>
    <n v="42.692399999999999"/>
    <n v="11.859"/>
  </r>
  <r>
    <x v="0"/>
    <x v="15"/>
    <x v="9"/>
    <x v="19"/>
    <s v="SE3_small"/>
    <x v="21"/>
    <n v="48.384"/>
    <n v="13.44"/>
  </r>
  <r>
    <x v="0"/>
    <x v="15"/>
    <x v="9"/>
    <x v="19"/>
    <s v="SE3_small"/>
    <x v="22"/>
    <n v="79.847999999999999"/>
    <n v="22.18"/>
  </r>
  <r>
    <x v="0"/>
    <x v="15"/>
    <x v="9"/>
    <x v="20"/>
    <s v="SE4A"/>
    <x v="2"/>
    <n v="48.384"/>
    <n v="13.44"/>
  </r>
  <r>
    <x v="0"/>
    <x v="15"/>
    <x v="9"/>
    <x v="20"/>
    <s v="SE4A"/>
    <x v="0"/>
    <n v="42.692399999999999"/>
    <n v="11.859"/>
  </r>
  <r>
    <x v="0"/>
    <x v="15"/>
    <x v="9"/>
    <x v="20"/>
    <s v="SE4A"/>
    <x v="21"/>
    <n v="48.384"/>
    <n v="13.44"/>
  </r>
  <r>
    <x v="0"/>
    <x v="15"/>
    <x v="9"/>
    <x v="20"/>
    <s v="SE4A"/>
    <x v="22"/>
    <n v="79.847999999999999"/>
    <n v="22.18"/>
  </r>
  <r>
    <x v="0"/>
    <x v="15"/>
    <x v="9"/>
    <x v="20"/>
    <s v="SE4_IND"/>
    <x v="2"/>
    <n v="48.384"/>
    <n v="13.44"/>
  </r>
  <r>
    <x v="0"/>
    <x v="15"/>
    <x v="9"/>
    <x v="20"/>
    <s v="SE4_IND"/>
    <x v="0"/>
    <n v="42.692399999999999"/>
    <n v="11.859"/>
  </r>
  <r>
    <x v="0"/>
    <x v="15"/>
    <x v="9"/>
    <x v="20"/>
    <s v="SE4_IND"/>
    <x v="21"/>
    <n v="48.384"/>
    <n v="13.44"/>
  </r>
  <r>
    <x v="0"/>
    <x v="15"/>
    <x v="9"/>
    <x v="20"/>
    <s v="SE4_IND"/>
    <x v="22"/>
    <n v="79.847999999999999"/>
    <n v="22.18"/>
  </r>
  <r>
    <x v="0"/>
    <x v="15"/>
    <x v="9"/>
    <x v="20"/>
    <s v="SE4_Offshore"/>
    <x v="2"/>
    <n v="48.384"/>
    <n v="13.44"/>
  </r>
  <r>
    <x v="0"/>
    <x v="15"/>
    <x v="9"/>
    <x v="20"/>
    <s v="SE4_Offshore"/>
    <x v="0"/>
    <n v="42.692399999999999"/>
    <n v="11.859"/>
  </r>
  <r>
    <x v="0"/>
    <x v="15"/>
    <x v="9"/>
    <x v="20"/>
    <s v="SE4_Offshore"/>
    <x v="21"/>
    <n v="48.384"/>
    <n v="13.44"/>
  </r>
  <r>
    <x v="0"/>
    <x v="15"/>
    <x v="9"/>
    <x v="20"/>
    <s v="SE4_Offshore"/>
    <x v="22"/>
    <n v="79.847999999999999"/>
    <n v="22.18"/>
  </r>
  <r>
    <x v="0"/>
    <x v="15"/>
    <x v="9"/>
    <x v="20"/>
    <s v="SE4_large"/>
    <x v="2"/>
    <n v="48.384"/>
    <n v="13.44"/>
  </r>
  <r>
    <x v="0"/>
    <x v="15"/>
    <x v="9"/>
    <x v="20"/>
    <s v="SE4_large"/>
    <x v="0"/>
    <n v="42.692399999999999"/>
    <n v="11.859"/>
  </r>
  <r>
    <x v="0"/>
    <x v="15"/>
    <x v="9"/>
    <x v="20"/>
    <s v="SE4_large"/>
    <x v="21"/>
    <n v="48.384"/>
    <n v="13.44"/>
  </r>
  <r>
    <x v="0"/>
    <x v="15"/>
    <x v="9"/>
    <x v="20"/>
    <s v="SE4_large"/>
    <x v="22"/>
    <n v="79.847999999999999"/>
    <n v="22.18"/>
  </r>
  <r>
    <x v="0"/>
    <x v="15"/>
    <x v="9"/>
    <x v="20"/>
    <s v="SE4_medium"/>
    <x v="2"/>
    <n v="48.384"/>
    <n v="13.44"/>
  </r>
  <r>
    <x v="0"/>
    <x v="15"/>
    <x v="9"/>
    <x v="20"/>
    <s v="SE4_medium"/>
    <x v="0"/>
    <n v="42.692399999999999"/>
    <n v="11.859"/>
  </r>
  <r>
    <x v="0"/>
    <x v="15"/>
    <x v="9"/>
    <x v="20"/>
    <s v="SE4_medium"/>
    <x v="21"/>
    <n v="48.384"/>
    <n v="13.44"/>
  </r>
  <r>
    <x v="0"/>
    <x v="15"/>
    <x v="9"/>
    <x v="20"/>
    <s v="SE4_medium"/>
    <x v="22"/>
    <n v="79.847999999999999"/>
    <n v="22.18"/>
  </r>
  <r>
    <x v="0"/>
    <x v="15"/>
    <x v="9"/>
    <x v="20"/>
    <s v="SE4_small"/>
    <x v="2"/>
    <n v="48.384"/>
    <n v="13.44"/>
  </r>
  <r>
    <x v="0"/>
    <x v="15"/>
    <x v="9"/>
    <x v="20"/>
    <s v="SE4_small"/>
    <x v="0"/>
    <n v="42.692399999999999"/>
    <n v="11.859"/>
  </r>
  <r>
    <x v="0"/>
    <x v="15"/>
    <x v="9"/>
    <x v="20"/>
    <s v="SE4_small"/>
    <x v="21"/>
    <n v="48.384"/>
    <n v="13.44"/>
  </r>
  <r>
    <x v="0"/>
    <x v="15"/>
    <x v="9"/>
    <x v="20"/>
    <s v="SE4_small"/>
    <x v="22"/>
    <n v="79.847999999999999"/>
    <n v="22.18"/>
  </r>
  <r>
    <x v="0"/>
    <x v="15"/>
    <x v="10"/>
    <x v="21"/>
    <s v="UK_A"/>
    <x v="2"/>
    <n v="48.384"/>
    <n v="13.44"/>
  </r>
  <r>
    <x v="0"/>
    <x v="15"/>
    <x v="10"/>
    <x v="21"/>
    <s v="UK_A"/>
    <x v="0"/>
    <n v="42.692399999999999"/>
    <n v="11.859"/>
  </r>
  <r>
    <x v="0"/>
    <x v="15"/>
    <x v="10"/>
    <x v="21"/>
    <s v="UK_A"/>
    <x v="21"/>
    <n v="48.384"/>
    <n v="13.44"/>
  </r>
  <r>
    <x v="0"/>
    <x v="15"/>
    <x v="10"/>
    <x v="21"/>
    <s v="UK_A"/>
    <x v="22"/>
    <n v="79.847999999999999"/>
    <n v="22.18"/>
  </r>
  <r>
    <x v="0"/>
    <x v="15"/>
    <x v="10"/>
    <x v="21"/>
    <s v="UK_Offshore"/>
    <x v="2"/>
    <n v="48.384"/>
    <n v="13.44"/>
  </r>
  <r>
    <x v="0"/>
    <x v="15"/>
    <x v="10"/>
    <x v="21"/>
    <s v="UK_Offshore"/>
    <x v="0"/>
    <n v="42.692399999999999"/>
    <n v="11.859"/>
  </r>
  <r>
    <x v="0"/>
    <x v="15"/>
    <x v="10"/>
    <x v="21"/>
    <s v="UK_Offshore"/>
    <x v="21"/>
    <n v="48.384"/>
    <n v="13.44"/>
  </r>
  <r>
    <x v="0"/>
    <x v="15"/>
    <x v="10"/>
    <x v="21"/>
    <s v="UK_Offshore"/>
    <x v="22"/>
    <n v="79.847999999999999"/>
    <n v="22.18"/>
  </r>
  <r>
    <x v="0"/>
    <x v="16"/>
    <x v="0"/>
    <x v="0"/>
    <s v="DK1_Large"/>
    <x v="2"/>
    <n v="48.384"/>
    <n v="13.44"/>
  </r>
  <r>
    <x v="0"/>
    <x v="16"/>
    <x v="0"/>
    <x v="0"/>
    <s v="DK1_Large"/>
    <x v="0"/>
    <n v="42.692399999999999"/>
    <n v="11.859"/>
  </r>
  <r>
    <x v="0"/>
    <x v="16"/>
    <x v="0"/>
    <x v="0"/>
    <s v="DK1_Large"/>
    <x v="21"/>
    <n v="48.384"/>
    <n v="13.44"/>
  </r>
  <r>
    <x v="0"/>
    <x v="16"/>
    <x v="0"/>
    <x v="0"/>
    <s v="DK1_Large"/>
    <x v="22"/>
    <n v="79.847999999999999"/>
    <n v="22.18"/>
  </r>
  <r>
    <x v="0"/>
    <x v="16"/>
    <x v="0"/>
    <x v="0"/>
    <s v="DK1_Large_PHH"/>
    <x v="2"/>
    <n v="48.384"/>
    <n v="13.44"/>
  </r>
  <r>
    <x v="0"/>
    <x v="16"/>
    <x v="0"/>
    <x v="0"/>
    <s v="DK1_Large_PHH"/>
    <x v="0"/>
    <n v="42.692399999999999"/>
    <n v="11.859"/>
  </r>
  <r>
    <x v="0"/>
    <x v="16"/>
    <x v="0"/>
    <x v="0"/>
    <s v="DK1_Large_PHH"/>
    <x v="21"/>
    <n v="48.384"/>
    <n v="13.44"/>
  </r>
  <r>
    <x v="0"/>
    <x v="16"/>
    <x v="0"/>
    <x v="0"/>
    <s v="DK1_Large_PHH"/>
    <x v="22"/>
    <n v="79.847999999999999"/>
    <n v="22.18"/>
  </r>
  <r>
    <x v="0"/>
    <x v="16"/>
    <x v="0"/>
    <x v="0"/>
    <s v="DK1_Large_PHL"/>
    <x v="2"/>
    <n v="48.384"/>
    <n v="13.44"/>
  </r>
  <r>
    <x v="0"/>
    <x v="16"/>
    <x v="0"/>
    <x v="0"/>
    <s v="DK1_Large_PHL"/>
    <x v="0"/>
    <n v="42.692399999999999"/>
    <n v="11.859"/>
  </r>
  <r>
    <x v="0"/>
    <x v="16"/>
    <x v="0"/>
    <x v="0"/>
    <s v="DK1_Large_PHL"/>
    <x v="21"/>
    <n v="48.384"/>
    <n v="13.44"/>
  </r>
  <r>
    <x v="0"/>
    <x v="16"/>
    <x v="0"/>
    <x v="0"/>
    <s v="DK1_Large_PHL"/>
    <x v="22"/>
    <n v="79.847999999999999"/>
    <n v="22.18"/>
  </r>
  <r>
    <x v="0"/>
    <x v="16"/>
    <x v="0"/>
    <x v="0"/>
    <s v="DK1_MedSmall"/>
    <x v="2"/>
    <n v="48.384"/>
    <n v="13.44"/>
  </r>
  <r>
    <x v="0"/>
    <x v="16"/>
    <x v="0"/>
    <x v="0"/>
    <s v="DK1_MedSmall"/>
    <x v="0"/>
    <n v="42.692399999999999"/>
    <n v="11.859"/>
  </r>
  <r>
    <x v="0"/>
    <x v="16"/>
    <x v="0"/>
    <x v="0"/>
    <s v="DK1_MedSmall"/>
    <x v="21"/>
    <n v="48.384"/>
    <n v="13.44"/>
  </r>
  <r>
    <x v="0"/>
    <x v="16"/>
    <x v="0"/>
    <x v="0"/>
    <s v="DK1_MedSmall"/>
    <x v="22"/>
    <n v="79.847999999999999"/>
    <n v="22.18"/>
  </r>
  <r>
    <x v="0"/>
    <x v="16"/>
    <x v="0"/>
    <x v="0"/>
    <s v="DK1_Medium"/>
    <x v="2"/>
    <n v="48.384"/>
    <n v="13.44"/>
  </r>
  <r>
    <x v="0"/>
    <x v="16"/>
    <x v="0"/>
    <x v="0"/>
    <s v="DK1_Medium"/>
    <x v="0"/>
    <n v="42.692399999999999"/>
    <n v="11.859"/>
  </r>
  <r>
    <x v="0"/>
    <x v="16"/>
    <x v="0"/>
    <x v="0"/>
    <s v="DK1_Medium"/>
    <x v="21"/>
    <n v="48.384"/>
    <n v="13.44"/>
  </r>
  <r>
    <x v="0"/>
    <x v="16"/>
    <x v="0"/>
    <x v="0"/>
    <s v="DK1_Medium"/>
    <x v="22"/>
    <n v="79.847999999999999"/>
    <n v="22.18"/>
  </r>
  <r>
    <x v="0"/>
    <x v="16"/>
    <x v="0"/>
    <x v="0"/>
    <s v="DK1_NoDH"/>
    <x v="2"/>
    <n v="48.384"/>
    <n v="13.44"/>
  </r>
  <r>
    <x v="0"/>
    <x v="16"/>
    <x v="0"/>
    <x v="0"/>
    <s v="DK1_NoDH"/>
    <x v="0"/>
    <n v="42.692399999999999"/>
    <n v="11.859"/>
  </r>
  <r>
    <x v="0"/>
    <x v="16"/>
    <x v="0"/>
    <x v="0"/>
    <s v="DK1_NoDH"/>
    <x v="21"/>
    <n v="48.384"/>
    <n v="13.44"/>
  </r>
  <r>
    <x v="0"/>
    <x v="16"/>
    <x v="0"/>
    <x v="0"/>
    <s v="DK1_NoDH"/>
    <x v="22"/>
    <n v="79.847999999999999"/>
    <n v="22.18"/>
  </r>
  <r>
    <x v="0"/>
    <x v="16"/>
    <x v="0"/>
    <x v="0"/>
    <s v="DK1_NoDH_PHH"/>
    <x v="2"/>
    <n v="48.384"/>
    <n v="13.44"/>
  </r>
  <r>
    <x v="0"/>
    <x v="16"/>
    <x v="0"/>
    <x v="0"/>
    <s v="DK1_NoDH_PHH"/>
    <x v="0"/>
    <n v="42.692399999999999"/>
    <n v="11.859"/>
  </r>
  <r>
    <x v="0"/>
    <x v="16"/>
    <x v="0"/>
    <x v="0"/>
    <s v="DK1_NoDH_PHH"/>
    <x v="21"/>
    <n v="48.384"/>
    <n v="13.44"/>
  </r>
  <r>
    <x v="0"/>
    <x v="16"/>
    <x v="0"/>
    <x v="0"/>
    <s v="DK1_NoDH_PHH"/>
    <x v="22"/>
    <n v="79.847999999999999"/>
    <n v="22.18"/>
  </r>
  <r>
    <x v="0"/>
    <x v="16"/>
    <x v="0"/>
    <x v="0"/>
    <s v="DK1_NoDH_PHL"/>
    <x v="2"/>
    <n v="48.384"/>
    <n v="13.44"/>
  </r>
  <r>
    <x v="0"/>
    <x v="16"/>
    <x v="0"/>
    <x v="0"/>
    <s v="DK1_NoDH_PHL"/>
    <x v="0"/>
    <n v="42.692399999999999"/>
    <n v="11.859"/>
  </r>
  <r>
    <x v="0"/>
    <x v="16"/>
    <x v="0"/>
    <x v="0"/>
    <s v="DK1_NoDH_PHL"/>
    <x v="21"/>
    <n v="48.384"/>
    <n v="13.44"/>
  </r>
  <r>
    <x v="0"/>
    <x v="16"/>
    <x v="0"/>
    <x v="0"/>
    <s v="DK1_NoDH_PHL"/>
    <x v="22"/>
    <n v="79.847999999999999"/>
    <n v="22.18"/>
  </r>
  <r>
    <x v="0"/>
    <x v="16"/>
    <x v="0"/>
    <x v="0"/>
    <s v="DK1_Offshore"/>
    <x v="2"/>
    <n v="48.384"/>
    <n v="13.44"/>
  </r>
  <r>
    <x v="0"/>
    <x v="16"/>
    <x v="0"/>
    <x v="0"/>
    <s v="DK1_Offshore"/>
    <x v="0"/>
    <n v="42.692399999999999"/>
    <n v="11.859"/>
  </r>
  <r>
    <x v="0"/>
    <x v="16"/>
    <x v="0"/>
    <x v="0"/>
    <s v="DK1_Offshore"/>
    <x v="21"/>
    <n v="48.384"/>
    <n v="13.44"/>
  </r>
  <r>
    <x v="0"/>
    <x v="16"/>
    <x v="0"/>
    <x v="0"/>
    <s v="DK1_Offshore"/>
    <x v="22"/>
    <n v="79.847999999999999"/>
    <n v="22.18"/>
  </r>
  <r>
    <x v="0"/>
    <x v="16"/>
    <x v="0"/>
    <x v="0"/>
    <s v="DK1_Rural"/>
    <x v="2"/>
    <n v="48.384"/>
    <n v="13.44"/>
  </r>
  <r>
    <x v="0"/>
    <x v="16"/>
    <x v="0"/>
    <x v="0"/>
    <s v="DK1_Rural"/>
    <x v="0"/>
    <n v="42.692399999999999"/>
    <n v="11.859"/>
  </r>
  <r>
    <x v="0"/>
    <x v="16"/>
    <x v="0"/>
    <x v="0"/>
    <s v="DK1_Rural"/>
    <x v="21"/>
    <n v="48.384"/>
    <n v="13.44"/>
  </r>
  <r>
    <x v="0"/>
    <x v="16"/>
    <x v="0"/>
    <x v="0"/>
    <s v="DK1_Rural"/>
    <x v="22"/>
    <n v="79.847999999999999"/>
    <n v="22.18"/>
  </r>
  <r>
    <x v="0"/>
    <x v="16"/>
    <x v="0"/>
    <x v="0"/>
    <s v="DK1_Small"/>
    <x v="2"/>
    <n v="48.384"/>
    <n v="13.44"/>
  </r>
  <r>
    <x v="0"/>
    <x v="16"/>
    <x v="0"/>
    <x v="0"/>
    <s v="DK1_Small"/>
    <x v="0"/>
    <n v="42.692399999999999"/>
    <n v="11.859"/>
  </r>
  <r>
    <x v="0"/>
    <x v="16"/>
    <x v="0"/>
    <x v="0"/>
    <s v="DK1_Small"/>
    <x v="21"/>
    <n v="48.384"/>
    <n v="13.44"/>
  </r>
  <r>
    <x v="0"/>
    <x v="16"/>
    <x v="0"/>
    <x v="0"/>
    <s v="DK1_Small"/>
    <x v="22"/>
    <n v="79.847999999999999"/>
    <n v="22.18"/>
  </r>
  <r>
    <x v="0"/>
    <x v="16"/>
    <x v="0"/>
    <x v="1"/>
    <s v="DK2_Large"/>
    <x v="2"/>
    <n v="48.384"/>
    <n v="13.44"/>
  </r>
  <r>
    <x v="0"/>
    <x v="16"/>
    <x v="0"/>
    <x v="1"/>
    <s v="DK2_Large"/>
    <x v="0"/>
    <n v="42.692399999999999"/>
    <n v="11.859"/>
  </r>
  <r>
    <x v="0"/>
    <x v="16"/>
    <x v="0"/>
    <x v="1"/>
    <s v="DK2_Large"/>
    <x v="21"/>
    <n v="48.384"/>
    <n v="13.44"/>
  </r>
  <r>
    <x v="0"/>
    <x v="16"/>
    <x v="0"/>
    <x v="1"/>
    <s v="DK2_Large"/>
    <x v="22"/>
    <n v="79.847999999999999"/>
    <n v="22.18"/>
  </r>
  <r>
    <x v="0"/>
    <x v="16"/>
    <x v="0"/>
    <x v="1"/>
    <s v="DK2_Large_PHH"/>
    <x v="2"/>
    <n v="48.384"/>
    <n v="13.44"/>
  </r>
  <r>
    <x v="0"/>
    <x v="16"/>
    <x v="0"/>
    <x v="1"/>
    <s v="DK2_Large_PHH"/>
    <x v="0"/>
    <n v="42.692399999999999"/>
    <n v="11.859"/>
  </r>
  <r>
    <x v="0"/>
    <x v="16"/>
    <x v="0"/>
    <x v="1"/>
    <s v="DK2_Large_PHH"/>
    <x v="21"/>
    <n v="48.384"/>
    <n v="13.44"/>
  </r>
  <r>
    <x v="0"/>
    <x v="16"/>
    <x v="0"/>
    <x v="1"/>
    <s v="DK2_Large_PHH"/>
    <x v="22"/>
    <n v="79.847999999999999"/>
    <n v="22.18"/>
  </r>
  <r>
    <x v="0"/>
    <x v="16"/>
    <x v="0"/>
    <x v="1"/>
    <s v="DK2_Large_PHL"/>
    <x v="2"/>
    <n v="48.384"/>
    <n v="13.44"/>
  </r>
  <r>
    <x v="0"/>
    <x v="16"/>
    <x v="0"/>
    <x v="1"/>
    <s v="DK2_Large_PHL"/>
    <x v="0"/>
    <n v="42.692399999999999"/>
    <n v="11.859"/>
  </r>
  <r>
    <x v="0"/>
    <x v="16"/>
    <x v="0"/>
    <x v="1"/>
    <s v="DK2_Large_PHL"/>
    <x v="21"/>
    <n v="48.384"/>
    <n v="13.44"/>
  </r>
  <r>
    <x v="0"/>
    <x v="16"/>
    <x v="0"/>
    <x v="1"/>
    <s v="DK2_Large_PHL"/>
    <x v="22"/>
    <n v="79.847999999999999"/>
    <n v="22.18"/>
  </r>
  <r>
    <x v="0"/>
    <x v="16"/>
    <x v="0"/>
    <x v="1"/>
    <s v="DK2_MedSmall"/>
    <x v="2"/>
    <n v="48.384"/>
    <n v="13.44"/>
  </r>
  <r>
    <x v="0"/>
    <x v="16"/>
    <x v="0"/>
    <x v="1"/>
    <s v="DK2_MedSmall"/>
    <x v="0"/>
    <n v="42.692399999999999"/>
    <n v="11.859"/>
  </r>
  <r>
    <x v="0"/>
    <x v="16"/>
    <x v="0"/>
    <x v="1"/>
    <s v="DK2_MedSmall"/>
    <x v="21"/>
    <n v="48.384"/>
    <n v="13.44"/>
  </r>
  <r>
    <x v="0"/>
    <x v="16"/>
    <x v="0"/>
    <x v="1"/>
    <s v="DK2_MedSmall"/>
    <x v="22"/>
    <n v="79.847999999999999"/>
    <n v="22.18"/>
  </r>
  <r>
    <x v="0"/>
    <x v="16"/>
    <x v="0"/>
    <x v="1"/>
    <s v="DK2_Medium"/>
    <x v="2"/>
    <n v="48.384"/>
    <n v="13.44"/>
  </r>
  <r>
    <x v="0"/>
    <x v="16"/>
    <x v="0"/>
    <x v="1"/>
    <s v="DK2_Medium"/>
    <x v="0"/>
    <n v="42.692399999999999"/>
    <n v="11.859"/>
  </r>
  <r>
    <x v="0"/>
    <x v="16"/>
    <x v="0"/>
    <x v="1"/>
    <s v="DK2_Medium"/>
    <x v="21"/>
    <n v="48.384"/>
    <n v="13.44"/>
  </r>
  <r>
    <x v="0"/>
    <x v="16"/>
    <x v="0"/>
    <x v="1"/>
    <s v="DK2_Medium"/>
    <x v="22"/>
    <n v="79.847999999999999"/>
    <n v="22.18"/>
  </r>
  <r>
    <x v="0"/>
    <x v="16"/>
    <x v="0"/>
    <x v="1"/>
    <s v="DK2_NoDH"/>
    <x v="2"/>
    <n v="48.384"/>
    <n v="13.44"/>
  </r>
  <r>
    <x v="0"/>
    <x v="16"/>
    <x v="0"/>
    <x v="1"/>
    <s v="DK2_NoDH"/>
    <x v="0"/>
    <n v="42.692399999999999"/>
    <n v="11.859"/>
  </r>
  <r>
    <x v="0"/>
    <x v="16"/>
    <x v="0"/>
    <x v="1"/>
    <s v="DK2_NoDH"/>
    <x v="21"/>
    <n v="48.384"/>
    <n v="13.44"/>
  </r>
  <r>
    <x v="0"/>
    <x v="16"/>
    <x v="0"/>
    <x v="1"/>
    <s v="DK2_NoDH"/>
    <x v="22"/>
    <n v="79.847999999999999"/>
    <n v="22.18"/>
  </r>
  <r>
    <x v="0"/>
    <x v="16"/>
    <x v="0"/>
    <x v="1"/>
    <s v="DK2_NoDH_PHH"/>
    <x v="2"/>
    <n v="48.384"/>
    <n v="13.44"/>
  </r>
  <r>
    <x v="0"/>
    <x v="16"/>
    <x v="0"/>
    <x v="1"/>
    <s v="DK2_NoDH_PHH"/>
    <x v="0"/>
    <n v="42.692399999999999"/>
    <n v="11.859"/>
  </r>
  <r>
    <x v="0"/>
    <x v="16"/>
    <x v="0"/>
    <x v="1"/>
    <s v="DK2_NoDH_PHH"/>
    <x v="21"/>
    <n v="48.384"/>
    <n v="13.44"/>
  </r>
  <r>
    <x v="0"/>
    <x v="16"/>
    <x v="0"/>
    <x v="1"/>
    <s v="DK2_NoDH_PHH"/>
    <x v="22"/>
    <n v="79.847999999999999"/>
    <n v="22.18"/>
  </r>
  <r>
    <x v="0"/>
    <x v="16"/>
    <x v="0"/>
    <x v="1"/>
    <s v="DK2_NoDH_PHL"/>
    <x v="2"/>
    <n v="48.384"/>
    <n v="13.44"/>
  </r>
  <r>
    <x v="0"/>
    <x v="16"/>
    <x v="0"/>
    <x v="1"/>
    <s v="DK2_NoDH_PHL"/>
    <x v="0"/>
    <n v="42.692399999999999"/>
    <n v="11.859"/>
  </r>
  <r>
    <x v="0"/>
    <x v="16"/>
    <x v="0"/>
    <x v="1"/>
    <s v="DK2_NoDH_PHL"/>
    <x v="21"/>
    <n v="48.384"/>
    <n v="13.44"/>
  </r>
  <r>
    <x v="0"/>
    <x v="16"/>
    <x v="0"/>
    <x v="1"/>
    <s v="DK2_NoDH_PHL"/>
    <x v="22"/>
    <n v="79.847999999999999"/>
    <n v="22.18"/>
  </r>
  <r>
    <x v="0"/>
    <x v="16"/>
    <x v="0"/>
    <x v="1"/>
    <s v="DK2_Offshore"/>
    <x v="2"/>
    <n v="48.384"/>
    <n v="13.44"/>
  </r>
  <r>
    <x v="0"/>
    <x v="16"/>
    <x v="0"/>
    <x v="1"/>
    <s v="DK2_Offshore"/>
    <x v="0"/>
    <n v="42.692399999999999"/>
    <n v="11.859"/>
  </r>
  <r>
    <x v="0"/>
    <x v="16"/>
    <x v="0"/>
    <x v="1"/>
    <s v="DK2_Offshore"/>
    <x v="21"/>
    <n v="48.384"/>
    <n v="13.44"/>
  </r>
  <r>
    <x v="0"/>
    <x v="16"/>
    <x v="0"/>
    <x v="1"/>
    <s v="DK2_Offshore"/>
    <x v="22"/>
    <n v="79.847999999999999"/>
    <n v="22.18"/>
  </r>
  <r>
    <x v="0"/>
    <x v="16"/>
    <x v="0"/>
    <x v="1"/>
    <s v="DK2_Rural"/>
    <x v="2"/>
    <n v="48.384"/>
    <n v="13.44"/>
  </r>
  <r>
    <x v="0"/>
    <x v="16"/>
    <x v="0"/>
    <x v="1"/>
    <s v="DK2_Rural"/>
    <x v="0"/>
    <n v="42.692399999999999"/>
    <n v="11.859"/>
  </r>
  <r>
    <x v="0"/>
    <x v="16"/>
    <x v="0"/>
    <x v="1"/>
    <s v="DK2_Rural"/>
    <x v="21"/>
    <n v="48.384"/>
    <n v="13.44"/>
  </r>
  <r>
    <x v="0"/>
    <x v="16"/>
    <x v="0"/>
    <x v="1"/>
    <s v="DK2_Rural"/>
    <x v="22"/>
    <n v="79.847999999999999"/>
    <n v="22.18"/>
  </r>
  <r>
    <x v="0"/>
    <x v="16"/>
    <x v="0"/>
    <x v="1"/>
    <s v="DK2_Small"/>
    <x v="2"/>
    <n v="48.384"/>
    <n v="13.44"/>
  </r>
  <r>
    <x v="0"/>
    <x v="16"/>
    <x v="0"/>
    <x v="1"/>
    <s v="DK2_Small"/>
    <x v="0"/>
    <n v="42.692399999999999"/>
    <n v="11.859"/>
  </r>
  <r>
    <x v="0"/>
    <x v="16"/>
    <x v="0"/>
    <x v="1"/>
    <s v="DK2_Small"/>
    <x v="21"/>
    <n v="48.384"/>
    <n v="13.44"/>
  </r>
  <r>
    <x v="0"/>
    <x v="16"/>
    <x v="0"/>
    <x v="1"/>
    <s v="DK2_Small"/>
    <x v="22"/>
    <n v="79.847999999999999"/>
    <n v="22.18"/>
  </r>
  <r>
    <x v="0"/>
    <x v="16"/>
    <x v="1"/>
    <x v="2"/>
    <s v="EE_A"/>
    <x v="2"/>
    <n v="48.384"/>
    <n v="13.44"/>
  </r>
  <r>
    <x v="0"/>
    <x v="16"/>
    <x v="1"/>
    <x v="2"/>
    <s v="EE_A"/>
    <x v="0"/>
    <n v="42.692399999999999"/>
    <n v="11.859"/>
  </r>
  <r>
    <x v="0"/>
    <x v="16"/>
    <x v="1"/>
    <x v="2"/>
    <s v="EE_A"/>
    <x v="21"/>
    <n v="48.384"/>
    <n v="13.44"/>
  </r>
  <r>
    <x v="0"/>
    <x v="16"/>
    <x v="1"/>
    <x v="2"/>
    <s v="EE_A"/>
    <x v="22"/>
    <n v="79.847999999999999"/>
    <n v="22.18"/>
  </r>
  <r>
    <x v="0"/>
    <x v="16"/>
    <x v="1"/>
    <x v="2"/>
    <s v="EE_Enefit"/>
    <x v="2"/>
    <n v="48.384"/>
    <n v="13.44"/>
  </r>
  <r>
    <x v="0"/>
    <x v="16"/>
    <x v="1"/>
    <x v="2"/>
    <s v="EE_Enefit"/>
    <x v="0"/>
    <n v="42.692399999999999"/>
    <n v="11.859"/>
  </r>
  <r>
    <x v="0"/>
    <x v="16"/>
    <x v="1"/>
    <x v="2"/>
    <s v="EE_Enefit"/>
    <x v="21"/>
    <n v="48.384"/>
    <n v="13.44"/>
  </r>
  <r>
    <x v="0"/>
    <x v="16"/>
    <x v="1"/>
    <x v="2"/>
    <s v="EE_Enefit"/>
    <x v="22"/>
    <n v="79.847999999999999"/>
    <n v="22.18"/>
  </r>
  <r>
    <x v="0"/>
    <x v="16"/>
    <x v="1"/>
    <x v="2"/>
    <s v="EE_Industry"/>
    <x v="2"/>
    <n v="48.384"/>
    <n v="13.44"/>
  </r>
  <r>
    <x v="0"/>
    <x v="16"/>
    <x v="1"/>
    <x v="2"/>
    <s v="EE_Industry"/>
    <x v="0"/>
    <n v="42.692399999999999"/>
    <n v="11.859"/>
  </r>
  <r>
    <x v="0"/>
    <x v="16"/>
    <x v="1"/>
    <x v="2"/>
    <s v="EE_Industry"/>
    <x v="21"/>
    <n v="48.384"/>
    <n v="13.44"/>
  </r>
  <r>
    <x v="0"/>
    <x v="16"/>
    <x v="1"/>
    <x v="2"/>
    <s v="EE_Industry"/>
    <x v="22"/>
    <n v="79.847999999999999"/>
    <n v="22.18"/>
  </r>
  <r>
    <x v="0"/>
    <x v="16"/>
    <x v="1"/>
    <x v="2"/>
    <s v="EE_Kohtla_Jarve"/>
    <x v="2"/>
    <n v="48.384"/>
    <n v="13.44"/>
  </r>
  <r>
    <x v="0"/>
    <x v="16"/>
    <x v="1"/>
    <x v="2"/>
    <s v="EE_Kohtla_Jarve"/>
    <x v="0"/>
    <n v="42.692399999999999"/>
    <n v="11.859"/>
  </r>
  <r>
    <x v="0"/>
    <x v="16"/>
    <x v="1"/>
    <x v="2"/>
    <s v="EE_Kohtla_Jarve"/>
    <x v="21"/>
    <n v="48.384"/>
    <n v="13.44"/>
  </r>
  <r>
    <x v="0"/>
    <x v="16"/>
    <x v="1"/>
    <x v="2"/>
    <s v="EE_Kohtla_Jarve"/>
    <x v="22"/>
    <n v="79.847999999999999"/>
    <n v="22.18"/>
  </r>
  <r>
    <x v="0"/>
    <x v="16"/>
    <x v="1"/>
    <x v="2"/>
    <s v="EE_Narva"/>
    <x v="2"/>
    <n v="48.384"/>
    <n v="13.44"/>
  </r>
  <r>
    <x v="0"/>
    <x v="16"/>
    <x v="1"/>
    <x v="2"/>
    <s v="EE_Narva"/>
    <x v="0"/>
    <n v="42.692399999999999"/>
    <n v="11.859"/>
  </r>
  <r>
    <x v="0"/>
    <x v="16"/>
    <x v="1"/>
    <x v="2"/>
    <s v="EE_Narva"/>
    <x v="21"/>
    <n v="48.384"/>
    <n v="13.44"/>
  </r>
  <r>
    <x v="0"/>
    <x v="16"/>
    <x v="1"/>
    <x v="2"/>
    <s v="EE_Narva"/>
    <x v="22"/>
    <n v="79.847999999999999"/>
    <n v="22.18"/>
  </r>
  <r>
    <x v="0"/>
    <x v="16"/>
    <x v="1"/>
    <x v="2"/>
    <s v="EE_OFFSHORE"/>
    <x v="2"/>
    <n v="48.384"/>
    <n v="13.44"/>
  </r>
  <r>
    <x v="0"/>
    <x v="16"/>
    <x v="1"/>
    <x v="2"/>
    <s v="EE_OFFSHORE"/>
    <x v="0"/>
    <n v="42.692399999999999"/>
    <n v="11.859"/>
  </r>
  <r>
    <x v="0"/>
    <x v="16"/>
    <x v="1"/>
    <x v="2"/>
    <s v="EE_OFFSHORE"/>
    <x v="21"/>
    <n v="48.384"/>
    <n v="13.44"/>
  </r>
  <r>
    <x v="0"/>
    <x v="16"/>
    <x v="1"/>
    <x v="2"/>
    <s v="EE_OFFSHORE"/>
    <x v="22"/>
    <n v="79.847999999999999"/>
    <n v="22.18"/>
  </r>
  <r>
    <x v="0"/>
    <x v="16"/>
    <x v="1"/>
    <x v="2"/>
    <s v="EE_Parnu"/>
    <x v="2"/>
    <n v="48.384"/>
    <n v="13.44"/>
  </r>
  <r>
    <x v="0"/>
    <x v="16"/>
    <x v="1"/>
    <x v="2"/>
    <s v="EE_Parnu"/>
    <x v="0"/>
    <n v="42.692399999999999"/>
    <n v="11.859"/>
  </r>
  <r>
    <x v="0"/>
    <x v="16"/>
    <x v="1"/>
    <x v="2"/>
    <s v="EE_Parnu"/>
    <x v="21"/>
    <n v="48.384"/>
    <n v="13.44"/>
  </r>
  <r>
    <x v="0"/>
    <x v="16"/>
    <x v="1"/>
    <x v="2"/>
    <s v="EE_Parnu"/>
    <x v="22"/>
    <n v="79.847999999999999"/>
    <n v="22.18"/>
  </r>
  <r>
    <x v="0"/>
    <x v="16"/>
    <x v="1"/>
    <x v="2"/>
    <s v="EE_Rural"/>
    <x v="2"/>
    <n v="48.384"/>
    <n v="13.44"/>
  </r>
  <r>
    <x v="0"/>
    <x v="16"/>
    <x v="1"/>
    <x v="2"/>
    <s v="EE_Rural"/>
    <x v="0"/>
    <n v="42.692399999999999"/>
    <n v="11.859"/>
  </r>
  <r>
    <x v="0"/>
    <x v="16"/>
    <x v="1"/>
    <x v="2"/>
    <s v="EE_Rural"/>
    <x v="21"/>
    <n v="48.384"/>
    <n v="13.44"/>
  </r>
  <r>
    <x v="0"/>
    <x v="16"/>
    <x v="1"/>
    <x v="2"/>
    <s v="EE_Rural"/>
    <x v="22"/>
    <n v="79.847999999999999"/>
    <n v="22.18"/>
  </r>
  <r>
    <x v="0"/>
    <x v="16"/>
    <x v="1"/>
    <x v="2"/>
    <s v="EE_Sillamae"/>
    <x v="2"/>
    <n v="48.384"/>
    <n v="13.44"/>
  </r>
  <r>
    <x v="0"/>
    <x v="16"/>
    <x v="1"/>
    <x v="2"/>
    <s v="EE_Sillamae"/>
    <x v="0"/>
    <n v="42.692399999999999"/>
    <n v="11.859"/>
  </r>
  <r>
    <x v="0"/>
    <x v="16"/>
    <x v="1"/>
    <x v="2"/>
    <s v="EE_Sillamae"/>
    <x v="21"/>
    <n v="48.384"/>
    <n v="13.44"/>
  </r>
  <r>
    <x v="0"/>
    <x v="16"/>
    <x v="1"/>
    <x v="2"/>
    <s v="EE_Sillamae"/>
    <x v="22"/>
    <n v="79.847999999999999"/>
    <n v="22.18"/>
  </r>
  <r>
    <x v="0"/>
    <x v="16"/>
    <x v="1"/>
    <x v="2"/>
    <s v="EE_Tallinn"/>
    <x v="2"/>
    <n v="48.384"/>
    <n v="13.44"/>
  </r>
  <r>
    <x v="0"/>
    <x v="16"/>
    <x v="1"/>
    <x v="2"/>
    <s v="EE_Tallinn"/>
    <x v="0"/>
    <n v="42.692399999999999"/>
    <n v="11.859"/>
  </r>
  <r>
    <x v="0"/>
    <x v="16"/>
    <x v="1"/>
    <x v="2"/>
    <s v="EE_Tallinn"/>
    <x v="21"/>
    <n v="48.384"/>
    <n v="13.44"/>
  </r>
  <r>
    <x v="0"/>
    <x v="16"/>
    <x v="1"/>
    <x v="2"/>
    <s v="EE_Tallinn"/>
    <x v="22"/>
    <n v="79.847999999999999"/>
    <n v="22.18"/>
  </r>
  <r>
    <x v="0"/>
    <x v="16"/>
    <x v="1"/>
    <x v="2"/>
    <s v="EE_Tartu"/>
    <x v="2"/>
    <n v="48.384"/>
    <n v="13.44"/>
  </r>
  <r>
    <x v="0"/>
    <x v="16"/>
    <x v="1"/>
    <x v="2"/>
    <s v="EE_Tartu"/>
    <x v="0"/>
    <n v="42.692399999999999"/>
    <n v="11.859"/>
  </r>
  <r>
    <x v="0"/>
    <x v="16"/>
    <x v="1"/>
    <x v="2"/>
    <s v="EE_Tartu"/>
    <x v="21"/>
    <n v="48.384"/>
    <n v="13.44"/>
  </r>
  <r>
    <x v="0"/>
    <x v="16"/>
    <x v="1"/>
    <x v="2"/>
    <s v="EE_Tartu"/>
    <x v="22"/>
    <n v="79.847999999999999"/>
    <n v="22.18"/>
  </r>
  <r>
    <x v="0"/>
    <x v="16"/>
    <x v="1"/>
    <x v="2"/>
    <s v="EE_Urban"/>
    <x v="2"/>
    <n v="48.384"/>
    <n v="13.44"/>
  </r>
  <r>
    <x v="0"/>
    <x v="16"/>
    <x v="1"/>
    <x v="2"/>
    <s v="EE_Urban"/>
    <x v="0"/>
    <n v="42.692399999999999"/>
    <n v="11.859"/>
  </r>
  <r>
    <x v="0"/>
    <x v="16"/>
    <x v="1"/>
    <x v="2"/>
    <s v="EE_Urban"/>
    <x v="21"/>
    <n v="48.384"/>
    <n v="13.44"/>
  </r>
  <r>
    <x v="0"/>
    <x v="16"/>
    <x v="1"/>
    <x v="2"/>
    <s v="EE_Urban"/>
    <x v="22"/>
    <n v="79.847999999999999"/>
    <n v="22.18"/>
  </r>
  <r>
    <x v="0"/>
    <x v="16"/>
    <x v="2"/>
    <x v="3"/>
    <s v="FI_IND"/>
    <x v="2"/>
    <n v="48.384"/>
    <n v="13.44"/>
  </r>
  <r>
    <x v="0"/>
    <x v="16"/>
    <x v="2"/>
    <x v="3"/>
    <s v="FI_IND"/>
    <x v="0"/>
    <n v="42.692399999999999"/>
    <n v="11.859"/>
  </r>
  <r>
    <x v="0"/>
    <x v="16"/>
    <x v="2"/>
    <x v="3"/>
    <s v="FI_IND"/>
    <x v="21"/>
    <n v="48.384"/>
    <n v="13.44"/>
  </r>
  <r>
    <x v="0"/>
    <x v="16"/>
    <x v="2"/>
    <x v="3"/>
    <s v="FI_IND"/>
    <x v="22"/>
    <n v="79.847999999999999"/>
    <n v="22.18"/>
  </r>
  <r>
    <x v="0"/>
    <x v="16"/>
    <x v="2"/>
    <x v="3"/>
    <s v="FI_Offshore"/>
    <x v="2"/>
    <n v="48.384"/>
    <n v="13.44"/>
  </r>
  <r>
    <x v="0"/>
    <x v="16"/>
    <x v="2"/>
    <x v="3"/>
    <s v="FI_Offshore"/>
    <x v="0"/>
    <n v="42.692399999999999"/>
    <n v="11.859"/>
  </r>
  <r>
    <x v="0"/>
    <x v="16"/>
    <x v="2"/>
    <x v="3"/>
    <s v="FI_Offshore"/>
    <x v="21"/>
    <n v="48.384"/>
    <n v="13.44"/>
  </r>
  <r>
    <x v="0"/>
    <x v="16"/>
    <x v="2"/>
    <x v="3"/>
    <s v="FI_Offshore"/>
    <x v="22"/>
    <n v="79.847999999999999"/>
    <n v="22.18"/>
  </r>
  <r>
    <x v="0"/>
    <x v="16"/>
    <x v="2"/>
    <x v="3"/>
    <s v="FI_large"/>
    <x v="2"/>
    <n v="48.384"/>
    <n v="13.44"/>
  </r>
  <r>
    <x v="0"/>
    <x v="16"/>
    <x v="2"/>
    <x v="3"/>
    <s v="FI_large"/>
    <x v="0"/>
    <n v="42.692399999999999"/>
    <n v="11.859"/>
  </r>
  <r>
    <x v="0"/>
    <x v="16"/>
    <x v="2"/>
    <x v="3"/>
    <s v="FI_large"/>
    <x v="21"/>
    <n v="48.384"/>
    <n v="13.44"/>
  </r>
  <r>
    <x v="0"/>
    <x v="16"/>
    <x v="2"/>
    <x v="3"/>
    <s v="FI_large"/>
    <x v="22"/>
    <n v="79.847999999999999"/>
    <n v="22.18"/>
  </r>
  <r>
    <x v="0"/>
    <x v="16"/>
    <x v="2"/>
    <x v="3"/>
    <s v="FI_large_gas"/>
    <x v="2"/>
    <n v="48.384"/>
    <n v="13.44"/>
  </r>
  <r>
    <x v="0"/>
    <x v="16"/>
    <x v="2"/>
    <x v="3"/>
    <s v="FI_large_gas"/>
    <x v="0"/>
    <n v="42.692399999999999"/>
    <n v="11.859"/>
  </r>
  <r>
    <x v="0"/>
    <x v="16"/>
    <x v="2"/>
    <x v="3"/>
    <s v="FI_large_gas"/>
    <x v="21"/>
    <n v="48.384"/>
    <n v="13.44"/>
  </r>
  <r>
    <x v="0"/>
    <x v="16"/>
    <x v="2"/>
    <x v="3"/>
    <s v="FI_large_gas"/>
    <x v="22"/>
    <n v="79.847999999999999"/>
    <n v="22.18"/>
  </r>
  <r>
    <x v="0"/>
    <x v="16"/>
    <x v="2"/>
    <x v="3"/>
    <s v="FI_medium"/>
    <x v="2"/>
    <n v="48.384"/>
    <n v="13.44"/>
  </r>
  <r>
    <x v="0"/>
    <x v="16"/>
    <x v="2"/>
    <x v="3"/>
    <s v="FI_medium"/>
    <x v="0"/>
    <n v="42.692399999999999"/>
    <n v="11.859"/>
  </r>
  <r>
    <x v="0"/>
    <x v="16"/>
    <x v="2"/>
    <x v="3"/>
    <s v="FI_medium"/>
    <x v="21"/>
    <n v="48.384"/>
    <n v="13.44"/>
  </r>
  <r>
    <x v="0"/>
    <x v="16"/>
    <x v="2"/>
    <x v="3"/>
    <s v="FI_medium"/>
    <x v="22"/>
    <n v="79.847999999999999"/>
    <n v="22.18"/>
  </r>
  <r>
    <x v="0"/>
    <x v="16"/>
    <x v="2"/>
    <x v="3"/>
    <s v="FI_medium_gas"/>
    <x v="2"/>
    <n v="48.384"/>
    <n v="13.44"/>
  </r>
  <r>
    <x v="0"/>
    <x v="16"/>
    <x v="2"/>
    <x v="3"/>
    <s v="FI_medium_gas"/>
    <x v="0"/>
    <n v="42.692399999999999"/>
    <n v="11.859"/>
  </r>
  <r>
    <x v="0"/>
    <x v="16"/>
    <x v="2"/>
    <x v="3"/>
    <s v="FI_medium_gas"/>
    <x v="21"/>
    <n v="48.384"/>
    <n v="13.44"/>
  </r>
  <r>
    <x v="0"/>
    <x v="16"/>
    <x v="2"/>
    <x v="3"/>
    <s v="FI_medium_gas"/>
    <x v="22"/>
    <n v="79.847999999999999"/>
    <n v="22.18"/>
  </r>
  <r>
    <x v="0"/>
    <x v="16"/>
    <x v="2"/>
    <x v="3"/>
    <s v="FI_small"/>
    <x v="2"/>
    <n v="48.384"/>
    <n v="13.44"/>
  </r>
  <r>
    <x v="0"/>
    <x v="16"/>
    <x v="2"/>
    <x v="3"/>
    <s v="FI_small"/>
    <x v="0"/>
    <n v="42.692399999999999"/>
    <n v="11.859"/>
  </r>
  <r>
    <x v="0"/>
    <x v="16"/>
    <x v="2"/>
    <x v="3"/>
    <s v="FI_small"/>
    <x v="21"/>
    <n v="48.384"/>
    <n v="13.44"/>
  </r>
  <r>
    <x v="0"/>
    <x v="16"/>
    <x v="2"/>
    <x v="3"/>
    <s v="FI_small"/>
    <x v="22"/>
    <n v="79.847999999999999"/>
    <n v="22.18"/>
  </r>
  <r>
    <x v="0"/>
    <x v="16"/>
    <x v="2"/>
    <x v="3"/>
    <s v="FI_small_gas"/>
    <x v="2"/>
    <n v="48.384"/>
    <n v="13.44"/>
  </r>
  <r>
    <x v="0"/>
    <x v="16"/>
    <x v="2"/>
    <x v="3"/>
    <s v="FI_small_gas"/>
    <x v="0"/>
    <n v="42.692399999999999"/>
    <n v="11.859"/>
  </r>
  <r>
    <x v="0"/>
    <x v="16"/>
    <x v="2"/>
    <x v="3"/>
    <s v="FI_small_gas"/>
    <x v="21"/>
    <n v="48.384"/>
    <n v="13.44"/>
  </r>
  <r>
    <x v="0"/>
    <x v="16"/>
    <x v="2"/>
    <x v="3"/>
    <s v="FI_small_gas"/>
    <x v="22"/>
    <n v="79.847999999999999"/>
    <n v="22.18"/>
  </r>
  <r>
    <x v="0"/>
    <x v="16"/>
    <x v="2"/>
    <x v="3"/>
    <s v="FinA"/>
    <x v="2"/>
    <n v="48.384"/>
    <n v="13.44"/>
  </r>
  <r>
    <x v="0"/>
    <x v="16"/>
    <x v="2"/>
    <x v="3"/>
    <s v="FinA"/>
    <x v="0"/>
    <n v="42.692399999999999"/>
    <n v="11.859"/>
  </r>
  <r>
    <x v="0"/>
    <x v="16"/>
    <x v="2"/>
    <x v="3"/>
    <s v="FinA"/>
    <x v="21"/>
    <n v="48.384"/>
    <n v="13.44"/>
  </r>
  <r>
    <x v="0"/>
    <x v="16"/>
    <x v="2"/>
    <x v="3"/>
    <s v="FinA"/>
    <x v="22"/>
    <n v="79.847999999999999"/>
    <n v="22.18"/>
  </r>
  <r>
    <x v="0"/>
    <x v="16"/>
    <x v="3"/>
    <x v="4"/>
    <s v="DE4-E_A"/>
    <x v="2"/>
    <n v="48.384"/>
    <n v="13.44"/>
  </r>
  <r>
    <x v="0"/>
    <x v="16"/>
    <x v="3"/>
    <x v="4"/>
    <s v="DE4-E_A"/>
    <x v="0"/>
    <n v="42.692399999999999"/>
    <n v="11.859"/>
  </r>
  <r>
    <x v="0"/>
    <x v="16"/>
    <x v="3"/>
    <x v="4"/>
    <s v="DE4-E_A"/>
    <x v="21"/>
    <n v="48.384"/>
    <n v="13.44"/>
  </r>
  <r>
    <x v="0"/>
    <x v="16"/>
    <x v="3"/>
    <x v="4"/>
    <s v="DE4-E_A"/>
    <x v="22"/>
    <n v="79.847999999999999"/>
    <n v="22.18"/>
  </r>
  <r>
    <x v="0"/>
    <x v="16"/>
    <x v="3"/>
    <x v="4"/>
    <s v="DE4-E_Offshore_A"/>
    <x v="2"/>
    <n v="48.384"/>
    <n v="13.44"/>
  </r>
  <r>
    <x v="0"/>
    <x v="16"/>
    <x v="3"/>
    <x v="4"/>
    <s v="DE4-E_Offshore_A"/>
    <x v="0"/>
    <n v="42.692399999999999"/>
    <n v="11.859"/>
  </r>
  <r>
    <x v="0"/>
    <x v="16"/>
    <x v="3"/>
    <x v="4"/>
    <s v="DE4-E_Offshore_A"/>
    <x v="21"/>
    <n v="48.384"/>
    <n v="13.44"/>
  </r>
  <r>
    <x v="0"/>
    <x v="16"/>
    <x v="3"/>
    <x v="4"/>
    <s v="DE4-E_Offshore_A"/>
    <x v="22"/>
    <n v="79.847999999999999"/>
    <n v="22.18"/>
  </r>
  <r>
    <x v="0"/>
    <x v="16"/>
    <x v="3"/>
    <x v="5"/>
    <s v="DE4-N_A"/>
    <x v="2"/>
    <n v="48.384"/>
    <n v="13.44"/>
  </r>
  <r>
    <x v="0"/>
    <x v="16"/>
    <x v="3"/>
    <x v="5"/>
    <s v="DE4-N_A"/>
    <x v="0"/>
    <n v="42.692399999999999"/>
    <n v="11.859"/>
  </r>
  <r>
    <x v="0"/>
    <x v="16"/>
    <x v="3"/>
    <x v="5"/>
    <s v="DE4-N_A"/>
    <x v="21"/>
    <n v="48.384"/>
    <n v="13.44"/>
  </r>
  <r>
    <x v="0"/>
    <x v="16"/>
    <x v="3"/>
    <x v="5"/>
    <s v="DE4-N_A"/>
    <x v="22"/>
    <n v="79.847999999999999"/>
    <n v="22.18"/>
  </r>
  <r>
    <x v="0"/>
    <x v="16"/>
    <x v="3"/>
    <x v="5"/>
    <s v="DE4-N_Offshore_A"/>
    <x v="2"/>
    <n v="48.384"/>
    <n v="13.44"/>
  </r>
  <r>
    <x v="0"/>
    <x v="16"/>
    <x v="3"/>
    <x v="5"/>
    <s v="DE4-N_Offshore_A"/>
    <x v="0"/>
    <n v="42.692399999999999"/>
    <n v="11.859"/>
  </r>
  <r>
    <x v="0"/>
    <x v="16"/>
    <x v="3"/>
    <x v="5"/>
    <s v="DE4-N_Offshore_A"/>
    <x v="21"/>
    <n v="48.384"/>
    <n v="13.44"/>
  </r>
  <r>
    <x v="0"/>
    <x v="16"/>
    <x v="3"/>
    <x v="5"/>
    <s v="DE4-N_Offshore_A"/>
    <x v="22"/>
    <n v="79.847999999999999"/>
    <n v="22.18"/>
  </r>
  <r>
    <x v="0"/>
    <x v="16"/>
    <x v="3"/>
    <x v="6"/>
    <s v="DE4-S_A"/>
    <x v="2"/>
    <n v="48.384"/>
    <n v="13.44"/>
  </r>
  <r>
    <x v="0"/>
    <x v="16"/>
    <x v="3"/>
    <x v="6"/>
    <s v="DE4-S_A"/>
    <x v="0"/>
    <n v="42.692399999999999"/>
    <n v="11.859"/>
  </r>
  <r>
    <x v="0"/>
    <x v="16"/>
    <x v="3"/>
    <x v="6"/>
    <s v="DE4-S_A"/>
    <x v="21"/>
    <n v="48.384"/>
    <n v="13.44"/>
  </r>
  <r>
    <x v="0"/>
    <x v="16"/>
    <x v="3"/>
    <x v="6"/>
    <s v="DE4-S_A"/>
    <x v="22"/>
    <n v="79.847999999999999"/>
    <n v="22.18"/>
  </r>
  <r>
    <x v="0"/>
    <x v="16"/>
    <x v="3"/>
    <x v="7"/>
    <s v="DE4-W_A"/>
    <x v="2"/>
    <n v="48.384"/>
    <n v="13.44"/>
  </r>
  <r>
    <x v="0"/>
    <x v="16"/>
    <x v="3"/>
    <x v="7"/>
    <s v="DE4-W_A"/>
    <x v="0"/>
    <n v="42.692399999999999"/>
    <n v="11.859"/>
  </r>
  <r>
    <x v="0"/>
    <x v="16"/>
    <x v="3"/>
    <x v="7"/>
    <s v="DE4-W_A"/>
    <x v="21"/>
    <n v="48.384"/>
    <n v="13.44"/>
  </r>
  <r>
    <x v="0"/>
    <x v="16"/>
    <x v="3"/>
    <x v="7"/>
    <s v="DE4-W_A"/>
    <x v="22"/>
    <n v="79.847999999999999"/>
    <n v="22.18"/>
  </r>
  <r>
    <x v="0"/>
    <x v="16"/>
    <x v="3"/>
    <x v="7"/>
    <s v="DE4-W_Offshore_A"/>
    <x v="2"/>
    <n v="48.384"/>
    <n v="13.44"/>
  </r>
  <r>
    <x v="0"/>
    <x v="16"/>
    <x v="3"/>
    <x v="7"/>
    <s v="DE4-W_Offshore_A"/>
    <x v="0"/>
    <n v="42.692399999999999"/>
    <n v="11.859"/>
  </r>
  <r>
    <x v="0"/>
    <x v="16"/>
    <x v="3"/>
    <x v="7"/>
    <s v="DE4-W_Offshore_A"/>
    <x v="21"/>
    <n v="48.384"/>
    <n v="13.44"/>
  </r>
  <r>
    <x v="0"/>
    <x v="16"/>
    <x v="3"/>
    <x v="7"/>
    <s v="DE4-W_Offshore_A"/>
    <x v="22"/>
    <n v="79.847999999999999"/>
    <n v="22.18"/>
  </r>
  <r>
    <x v="0"/>
    <x v="16"/>
    <x v="4"/>
    <x v="8"/>
    <s v="LV_A"/>
    <x v="2"/>
    <n v="48.384"/>
    <n v="13.44"/>
  </r>
  <r>
    <x v="0"/>
    <x v="16"/>
    <x v="4"/>
    <x v="8"/>
    <s v="LV_A"/>
    <x v="0"/>
    <n v="42.692399999999999"/>
    <n v="11.859"/>
  </r>
  <r>
    <x v="0"/>
    <x v="16"/>
    <x v="4"/>
    <x v="8"/>
    <s v="LV_A"/>
    <x v="21"/>
    <n v="48.384"/>
    <n v="13.44"/>
  </r>
  <r>
    <x v="0"/>
    <x v="16"/>
    <x v="4"/>
    <x v="8"/>
    <s v="LV_A"/>
    <x v="22"/>
    <n v="79.847999999999999"/>
    <n v="22.18"/>
  </r>
  <r>
    <x v="0"/>
    <x v="16"/>
    <x v="4"/>
    <x v="8"/>
    <s v="LV_OFFSHORE"/>
    <x v="2"/>
    <n v="48.384"/>
    <n v="13.44"/>
  </r>
  <r>
    <x v="0"/>
    <x v="16"/>
    <x v="4"/>
    <x v="8"/>
    <s v="LV_OFFSHORE"/>
    <x v="0"/>
    <n v="42.692399999999999"/>
    <n v="11.859"/>
  </r>
  <r>
    <x v="0"/>
    <x v="16"/>
    <x v="4"/>
    <x v="8"/>
    <s v="LV_OFFSHORE"/>
    <x v="21"/>
    <n v="48.384"/>
    <n v="13.44"/>
  </r>
  <r>
    <x v="0"/>
    <x v="16"/>
    <x v="4"/>
    <x v="8"/>
    <s v="LV_OFFSHORE"/>
    <x v="22"/>
    <n v="79.847999999999999"/>
    <n v="22.18"/>
  </r>
  <r>
    <x v="0"/>
    <x v="16"/>
    <x v="4"/>
    <x v="8"/>
    <s v="LV_Other_DH"/>
    <x v="2"/>
    <n v="48.384"/>
    <n v="13.44"/>
  </r>
  <r>
    <x v="0"/>
    <x v="16"/>
    <x v="4"/>
    <x v="8"/>
    <s v="LV_Other_DH"/>
    <x v="0"/>
    <n v="42.692399999999999"/>
    <n v="11.859"/>
  </r>
  <r>
    <x v="0"/>
    <x v="16"/>
    <x v="4"/>
    <x v="8"/>
    <s v="LV_Other_DH"/>
    <x v="21"/>
    <n v="48.384"/>
    <n v="13.44"/>
  </r>
  <r>
    <x v="0"/>
    <x v="16"/>
    <x v="4"/>
    <x v="8"/>
    <s v="LV_Other_DH"/>
    <x v="22"/>
    <n v="79.847999999999999"/>
    <n v="22.18"/>
  </r>
  <r>
    <x v="0"/>
    <x v="16"/>
    <x v="4"/>
    <x v="8"/>
    <s v="LV_RigaR"/>
    <x v="2"/>
    <n v="48.384"/>
    <n v="13.44"/>
  </r>
  <r>
    <x v="0"/>
    <x v="16"/>
    <x v="4"/>
    <x v="8"/>
    <s v="LV_RigaR"/>
    <x v="0"/>
    <n v="42.692399999999999"/>
    <n v="11.859"/>
  </r>
  <r>
    <x v="0"/>
    <x v="16"/>
    <x v="4"/>
    <x v="8"/>
    <s v="LV_RigaR"/>
    <x v="21"/>
    <n v="48.384"/>
    <n v="13.44"/>
  </r>
  <r>
    <x v="0"/>
    <x v="16"/>
    <x v="4"/>
    <x v="8"/>
    <s v="LV_RigaR"/>
    <x v="22"/>
    <n v="79.847999999999999"/>
    <n v="22.18"/>
  </r>
  <r>
    <x v="0"/>
    <x v="16"/>
    <x v="4"/>
    <x v="8"/>
    <s v="LV_Rural"/>
    <x v="2"/>
    <n v="48.384"/>
    <n v="13.44"/>
  </r>
  <r>
    <x v="0"/>
    <x v="16"/>
    <x v="4"/>
    <x v="8"/>
    <s v="LV_Rural"/>
    <x v="0"/>
    <n v="42.692399999999999"/>
    <n v="11.859"/>
  </r>
  <r>
    <x v="0"/>
    <x v="16"/>
    <x v="4"/>
    <x v="8"/>
    <s v="LV_Rural"/>
    <x v="21"/>
    <n v="48.384"/>
    <n v="13.44"/>
  </r>
  <r>
    <x v="0"/>
    <x v="16"/>
    <x v="4"/>
    <x v="8"/>
    <s v="LV_Rural"/>
    <x v="22"/>
    <n v="79.847999999999999"/>
    <n v="22.18"/>
  </r>
  <r>
    <x v="0"/>
    <x v="16"/>
    <x v="5"/>
    <x v="9"/>
    <s v="LT_A"/>
    <x v="2"/>
    <n v="48.384"/>
    <n v="13.44"/>
  </r>
  <r>
    <x v="0"/>
    <x v="16"/>
    <x v="5"/>
    <x v="9"/>
    <s v="LT_A"/>
    <x v="0"/>
    <n v="42.692399999999999"/>
    <n v="11.859"/>
  </r>
  <r>
    <x v="0"/>
    <x v="16"/>
    <x v="5"/>
    <x v="9"/>
    <s v="LT_A"/>
    <x v="21"/>
    <n v="48.384"/>
    <n v="13.44"/>
  </r>
  <r>
    <x v="0"/>
    <x v="16"/>
    <x v="5"/>
    <x v="9"/>
    <s v="LT_A"/>
    <x v="22"/>
    <n v="79.847999999999999"/>
    <n v="22.18"/>
  </r>
  <r>
    <x v="0"/>
    <x v="16"/>
    <x v="5"/>
    <x v="9"/>
    <s v="LT_KauU"/>
    <x v="2"/>
    <n v="48.384"/>
    <n v="13.44"/>
  </r>
  <r>
    <x v="0"/>
    <x v="16"/>
    <x v="5"/>
    <x v="9"/>
    <s v="LT_KauU"/>
    <x v="0"/>
    <n v="42.692399999999999"/>
    <n v="11.859"/>
  </r>
  <r>
    <x v="0"/>
    <x v="16"/>
    <x v="5"/>
    <x v="9"/>
    <s v="LT_KauU"/>
    <x v="21"/>
    <n v="48.384"/>
    <n v="13.44"/>
  </r>
  <r>
    <x v="0"/>
    <x v="16"/>
    <x v="5"/>
    <x v="9"/>
    <s v="LT_KauU"/>
    <x v="22"/>
    <n v="79.847999999999999"/>
    <n v="22.18"/>
  </r>
  <r>
    <x v="0"/>
    <x v="16"/>
    <x v="5"/>
    <x v="9"/>
    <s v="LT_KlaU"/>
    <x v="2"/>
    <n v="48.384"/>
    <n v="13.44"/>
  </r>
  <r>
    <x v="0"/>
    <x v="16"/>
    <x v="5"/>
    <x v="9"/>
    <s v="LT_KlaU"/>
    <x v="0"/>
    <n v="42.692399999999999"/>
    <n v="11.859"/>
  </r>
  <r>
    <x v="0"/>
    <x v="16"/>
    <x v="5"/>
    <x v="9"/>
    <s v="LT_KlaU"/>
    <x v="21"/>
    <n v="48.384"/>
    <n v="13.44"/>
  </r>
  <r>
    <x v="0"/>
    <x v="16"/>
    <x v="5"/>
    <x v="9"/>
    <s v="LT_KlaU"/>
    <x v="22"/>
    <n v="79.847999999999999"/>
    <n v="22.18"/>
  </r>
  <r>
    <x v="0"/>
    <x v="16"/>
    <x v="5"/>
    <x v="9"/>
    <s v="LT_OFFSHORE"/>
    <x v="2"/>
    <n v="48.384"/>
    <n v="13.44"/>
  </r>
  <r>
    <x v="0"/>
    <x v="16"/>
    <x v="5"/>
    <x v="9"/>
    <s v="LT_OFFSHORE"/>
    <x v="0"/>
    <n v="42.692399999999999"/>
    <n v="11.859"/>
  </r>
  <r>
    <x v="0"/>
    <x v="16"/>
    <x v="5"/>
    <x v="9"/>
    <s v="LT_OFFSHORE"/>
    <x v="21"/>
    <n v="48.384"/>
    <n v="13.44"/>
  </r>
  <r>
    <x v="0"/>
    <x v="16"/>
    <x v="5"/>
    <x v="9"/>
    <s v="LT_OFFSHORE"/>
    <x v="22"/>
    <n v="79.847999999999999"/>
    <n v="22.18"/>
  </r>
  <r>
    <x v="0"/>
    <x v="16"/>
    <x v="5"/>
    <x v="9"/>
    <s v="LT_Other_DH"/>
    <x v="2"/>
    <n v="48.384"/>
    <n v="13.44"/>
  </r>
  <r>
    <x v="0"/>
    <x v="16"/>
    <x v="5"/>
    <x v="9"/>
    <s v="LT_Other_DH"/>
    <x v="0"/>
    <n v="42.692399999999999"/>
    <n v="11.859"/>
  </r>
  <r>
    <x v="0"/>
    <x v="16"/>
    <x v="5"/>
    <x v="9"/>
    <s v="LT_Other_DH"/>
    <x v="21"/>
    <n v="48.384"/>
    <n v="13.44"/>
  </r>
  <r>
    <x v="0"/>
    <x v="16"/>
    <x v="5"/>
    <x v="9"/>
    <s v="LT_Other_DH"/>
    <x v="22"/>
    <n v="79.847999999999999"/>
    <n v="22.18"/>
  </r>
  <r>
    <x v="0"/>
    <x v="16"/>
    <x v="5"/>
    <x v="9"/>
    <s v="LT_Panevezys"/>
    <x v="2"/>
    <n v="48.384"/>
    <n v="13.44"/>
  </r>
  <r>
    <x v="0"/>
    <x v="16"/>
    <x v="5"/>
    <x v="9"/>
    <s v="LT_Panevezys"/>
    <x v="0"/>
    <n v="42.692399999999999"/>
    <n v="11.859"/>
  </r>
  <r>
    <x v="0"/>
    <x v="16"/>
    <x v="5"/>
    <x v="9"/>
    <s v="LT_Panevezys"/>
    <x v="21"/>
    <n v="48.384"/>
    <n v="13.44"/>
  </r>
  <r>
    <x v="0"/>
    <x v="16"/>
    <x v="5"/>
    <x v="9"/>
    <s v="LT_Panevezys"/>
    <x v="22"/>
    <n v="79.847999999999999"/>
    <n v="22.18"/>
  </r>
  <r>
    <x v="0"/>
    <x v="16"/>
    <x v="5"/>
    <x v="9"/>
    <s v="LT_Rural"/>
    <x v="2"/>
    <n v="48.384"/>
    <n v="13.44"/>
  </r>
  <r>
    <x v="0"/>
    <x v="16"/>
    <x v="5"/>
    <x v="9"/>
    <s v="LT_Rural"/>
    <x v="0"/>
    <n v="42.692399999999999"/>
    <n v="11.859"/>
  </r>
  <r>
    <x v="0"/>
    <x v="16"/>
    <x v="5"/>
    <x v="9"/>
    <s v="LT_Rural"/>
    <x v="21"/>
    <n v="48.384"/>
    <n v="13.44"/>
  </r>
  <r>
    <x v="0"/>
    <x v="16"/>
    <x v="5"/>
    <x v="9"/>
    <s v="LT_Rural"/>
    <x v="22"/>
    <n v="79.847999999999999"/>
    <n v="22.18"/>
  </r>
  <r>
    <x v="0"/>
    <x v="16"/>
    <x v="5"/>
    <x v="9"/>
    <s v="LT_SiaU"/>
    <x v="2"/>
    <n v="48.384"/>
    <n v="13.44"/>
  </r>
  <r>
    <x v="0"/>
    <x v="16"/>
    <x v="5"/>
    <x v="9"/>
    <s v="LT_SiaU"/>
    <x v="0"/>
    <n v="42.692399999999999"/>
    <n v="11.859"/>
  </r>
  <r>
    <x v="0"/>
    <x v="16"/>
    <x v="5"/>
    <x v="9"/>
    <s v="LT_SiaU"/>
    <x v="21"/>
    <n v="48.384"/>
    <n v="13.44"/>
  </r>
  <r>
    <x v="0"/>
    <x v="16"/>
    <x v="5"/>
    <x v="9"/>
    <s v="LT_SiaU"/>
    <x v="22"/>
    <n v="79.847999999999999"/>
    <n v="22.18"/>
  </r>
  <r>
    <x v="0"/>
    <x v="16"/>
    <x v="5"/>
    <x v="9"/>
    <s v="LT_VilU"/>
    <x v="2"/>
    <n v="48.384"/>
    <n v="13.44"/>
  </r>
  <r>
    <x v="0"/>
    <x v="16"/>
    <x v="5"/>
    <x v="9"/>
    <s v="LT_VilU"/>
    <x v="0"/>
    <n v="42.692399999999999"/>
    <n v="11.859"/>
  </r>
  <r>
    <x v="0"/>
    <x v="16"/>
    <x v="5"/>
    <x v="9"/>
    <s v="LT_VilU"/>
    <x v="21"/>
    <n v="48.384"/>
    <n v="13.44"/>
  </r>
  <r>
    <x v="0"/>
    <x v="16"/>
    <x v="5"/>
    <x v="9"/>
    <s v="LT_VilU"/>
    <x v="22"/>
    <n v="79.847999999999999"/>
    <n v="22.18"/>
  </r>
  <r>
    <x v="0"/>
    <x v="16"/>
    <x v="6"/>
    <x v="10"/>
    <s v="NL_A"/>
    <x v="2"/>
    <n v="48.384"/>
    <n v="13.44"/>
  </r>
  <r>
    <x v="0"/>
    <x v="16"/>
    <x v="6"/>
    <x v="10"/>
    <s v="NL_A"/>
    <x v="0"/>
    <n v="42.692399999999999"/>
    <n v="11.859"/>
  </r>
  <r>
    <x v="0"/>
    <x v="16"/>
    <x v="6"/>
    <x v="10"/>
    <s v="NL_A"/>
    <x v="21"/>
    <n v="48.384"/>
    <n v="13.44"/>
  </r>
  <r>
    <x v="0"/>
    <x v="16"/>
    <x v="6"/>
    <x v="10"/>
    <s v="NL_A"/>
    <x v="22"/>
    <n v="79.847999999999999"/>
    <n v="22.18"/>
  </r>
  <r>
    <x v="0"/>
    <x v="16"/>
    <x v="6"/>
    <x v="10"/>
    <s v="NL_OFFSHORE"/>
    <x v="2"/>
    <n v="48.384"/>
    <n v="13.44"/>
  </r>
  <r>
    <x v="0"/>
    <x v="16"/>
    <x v="6"/>
    <x v="10"/>
    <s v="NL_OFFSHORE"/>
    <x v="0"/>
    <n v="42.692399999999999"/>
    <n v="11.859"/>
  </r>
  <r>
    <x v="0"/>
    <x v="16"/>
    <x v="6"/>
    <x v="10"/>
    <s v="NL_OFFSHORE"/>
    <x v="21"/>
    <n v="48.384"/>
    <n v="13.44"/>
  </r>
  <r>
    <x v="0"/>
    <x v="16"/>
    <x v="6"/>
    <x v="10"/>
    <s v="NL_OFFSHORE"/>
    <x v="22"/>
    <n v="79.847999999999999"/>
    <n v="22.18"/>
  </r>
  <r>
    <x v="0"/>
    <x v="16"/>
    <x v="7"/>
    <x v="11"/>
    <s v="NO1_A1"/>
    <x v="2"/>
    <n v="48.384"/>
    <n v="13.44"/>
  </r>
  <r>
    <x v="0"/>
    <x v="16"/>
    <x v="7"/>
    <x v="11"/>
    <s v="NO1_A1"/>
    <x v="0"/>
    <n v="42.692399999999999"/>
    <n v="11.859"/>
  </r>
  <r>
    <x v="0"/>
    <x v="16"/>
    <x v="7"/>
    <x v="11"/>
    <s v="NO1_A1"/>
    <x v="21"/>
    <n v="48.384"/>
    <n v="13.44"/>
  </r>
  <r>
    <x v="0"/>
    <x v="16"/>
    <x v="7"/>
    <x v="11"/>
    <s v="NO1_A1"/>
    <x v="22"/>
    <n v="79.847999999999999"/>
    <n v="22.18"/>
  </r>
  <r>
    <x v="0"/>
    <x v="16"/>
    <x v="7"/>
    <x v="11"/>
    <s v="NO1_A2"/>
    <x v="2"/>
    <n v="48.384"/>
    <n v="13.44"/>
  </r>
  <r>
    <x v="0"/>
    <x v="16"/>
    <x v="7"/>
    <x v="11"/>
    <s v="NO1_A2"/>
    <x v="0"/>
    <n v="42.692399999999999"/>
    <n v="11.859"/>
  </r>
  <r>
    <x v="0"/>
    <x v="16"/>
    <x v="7"/>
    <x v="11"/>
    <s v="NO1_A2"/>
    <x v="21"/>
    <n v="48.384"/>
    <n v="13.44"/>
  </r>
  <r>
    <x v="0"/>
    <x v="16"/>
    <x v="7"/>
    <x v="11"/>
    <s v="NO1_A2"/>
    <x v="22"/>
    <n v="79.847999999999999"/>
    <n v="22.18"/>
  </r>
  <r>
    <x v="0"/>
    <x v="16"/>
    <x v="7"/>
    <x v="11"/>
    <s v="NO1_A3"/>
    <x v="2"/>
    <n v="48.384"/>
    <n v="13.44"/>
  </r>
  <r>
    <x v="0"/>
    <x v="16"/>
    <x v="7"/>
    <x v="11"/>
    <s v="NO1_A3"/>
    <x v="0"/>
    <n v="42.692399999999999"/>
    <n v="11.859"/>
  </r>
  <r>
    <x v="0"/>
    <x v="16"/>
    <x v="7"/>
    <x v="11"/>
    <s v="NO1_A3"/>
    <x v="21"/>
    <n v="48.384"/>
    <n v="13.44"/>
  </r>
  <r>
    <x v="0"/>
    <x v="16"/>
    <x v="7"/>
    <x v="11"/>
    <s v="NO1_A3"/>
    <x v="22"/>
    <n v="79.847999999999999"/>
    <n v="22.18"/>
  </r>
  <r>
    <x v="0"/>
    <x v="16"/>
    <x v="7"/>
    <x v="11"/>
    <s v="NO1_Offshore"/>
    <x v="2"/>
    <n v="48.384"/>
    <n v="13.44"/>
  </r>
  <r>
    <x v="0"/>
    <x v="16"/>
    <x v="7"/>
    <x v="11"/>
    <s v="NO1_Offshore"/>
    <x v="0"/>
    <n v="42.692399999999999"/>
    <n v="11.859"/>
  </r>
  <r>
    <x v="0"/>
    <x v="16"/>
    <x v="7"/>
    <x v="11"/>
    <s v="NO1_Offshore"/>
    <x v="21"/>
    <n v="48.384"/>
    <n v="13.44"/>
  </r>
  <r>
    <x v="0"/>
    <x v="16"/>
    <x v="7"/>
    <x v="11"/>
    <s v="NO1_Offshore"/>
    <x v="22"/>
    <n v="79.847999999999999"/>
    <n v="22.18"/>
  </r>
  <r>
    <x v="0"/>
    <x v="16"/>
    <x v="7"/>
    <x v="12"/>
    <s v="NO2_A1"/>
    <x v="2"/>
    <n v="48.384"/>
    <n v="13.44"/>
  </r>
  <r>
    <x v="0"/>
    <x v="16"/>
    <x v="7"/>
    <x v="12"/>
    <s v="NO2_A1"/>
    <x v="0"/>
    <n v="42.692399999999999"/>
    <n v="11.859"/>
  </r>
  <r>
    <x v="0"/>
    <x v="16"/>
    <x v="7"/>
    <x v="12"/>
    <s v="NO2_A1"/>
    <x v="21"/>
    <n v="48.384"/>
    <n v="13.44"/>
  </r>
  <r>
    <x v="0"/>
    <x v="16"/>
    <x v="7"/>
    <x v="12"/>
    <s v="NO2_A1"/>
    <x v="22"/>
    <n v="79.847999999999999"/>
    <n v="22.18"/>
  </r>
  <r>
    <x v="0"/>
    <x v="16"/>
    <x v="7"/>
    <x v="12"/>
    <s v="NO2_A2"/>
    <x v="2"/>
    <n v="48.384"/>
    <n v="13.44"/>
  </r>
  <r>
    <x v="0"/>
    <x v="16"/>
    <x v="7"/>
    <x v="12"/>
    <s v="NO2_A2"/>
    <x v="0"/>
    <n v="42.692399999999999"/>
    <n v="11.859"/>
  </r>
  <r>
    <x v="0"/>
    <x v="16"/>
    <x v="7"/>
    <x v="12"/>
    <s v="NO2_A2"/>
    <x v="21"/>
    <n v="48.384"/>
    <n v="13.44"/>
  </r>
  <r>
    <x v="0"/>
    <x v="16"/>
    <x v="7"/>
    <x v="12"/>
    <s v="NO2_A2"/>
    <x v="22"/>
    <n v="79.847999999999999"/>
    <n v="22.18"/>
  </r>
  <r>
    <x v="0"/>
    <x v="16"/>
    <x v="7"/>
    <x v="12"/>
    <s v="NO2_Offshore"/>
    <x v="2"/>
    <n v="48.384"/>
    <n v="13.44"/>
  </r>
  <r>
    <x v="0"/>
    <x v="16"/>
    <x v="7"/>
    <x v="12"/>
    <s v="NO2_Offshore"/>
    <x v="0"/>
    <n v="42.692399999999999"/>
    <n v="11.859"/>
  </r>
  <r>
    <x v="0"/>
    <x v="16"/>
    <x v="7"/>
    <x v="12"/>
    <s v="NO2_Offshore"/>
    <x v="21"/>
    <n v="48.384"/>
    <n v="13.44"/>
  </r>
  <r>
    <x v="0"/>
    <x v="16"/>
    <x v="7"/>
    <x v="12"/>
    <s v="NO2_Offshore"/>
    <x v="22"/>
    <n v="79.847999999999999"/>
    <n v="22.18"/>
  </r>
  <r>
    <x v="0"/>
    <x v="16"/>
    <x v="7"/>
    <x v="13"/>
    <s v="NO3_A1"/>
    <x v="2"/>
    <n v="48.384"/>
    <n v="13.44"/>
  </r>
  <r>
    <x v="0"/>
    <x v="16"/>
    <x v="7"/>
    <x v="13"/>
    <s v="NO3_A1"/>
    <x v="0"/>
    <n v="42.692399999999999"/>
    <n v="11.859"/>
  </r>
  <r>
    <x v="0"/>
    <x v="16"/>
    <x v="7"/>
    <x v="13"/>
    <s v="NO3_A1"/>
    <x v="21"/>
    <n v="48.384"/>
    <n v="13.44"/>
  </r>
  <r>
    <x v="0"/>
    <x v="16"/>
    <x v="7"/>
    <x v="13"/>
    <s v="NO3_A1"/>
    <x v="22"/>
    <n v="79.847999999999999"/>
    <n v="22.18"/>
  </r>
  <r>
    <x v="0"/>
    <x v="16"/>
    <x v="7"/>
    <x v="13"/>
    <s v="NO3_A2"/>
    <x v="2"/>
    <n v="48.384"/>
    <n v="13.44"/>
  </r>
  <r>
    <x v="0"/>
    <x v="16"/>
    <x v="7"/>
    <x v="13"/>
    <s v="NO3_A2"/>
    <x v="0"/>
    <n v="42.692399999999999"/>
    <n v="11.859"/>
  </r>
  <r>
    <x v="0"/>
    <x v="16"/>
    <x v="7"/>
    <x v="13"/>
    <s v="NO3_A2"/>
    <x v="21"/>
    <n v="48.384"/>
    <n v="13.44"/>
  </r>
  <r>
    <x v="0"/>
    <x v="16"/>
    <x v="7"/>
    <x v="13"/>
    <s v="NO3_A2"/>
    <x v="22"/>
    <n v="79.847999999999999"/>
    <n v="22.18"/>
  </r>
  <r>
    <x v="0"/>
    <x v="16"/>
    <x v="7"/>
    <x v="13"/>
    <s v="NO3_A3"/>
    <x v="2"/>
    <n v="48.384"/>
    <n v="13.44"/>
  </r>
  <r>
    <x v="0"/>
    <x v="16"/>
    <x v="7"/>
    <x v="13"/>
    <s v="NO3_A3"/>
    <x v="0"/>
    <n v="42.692399999999999"/>
    <n v="11.859"/>
  </r>
  <r>
    <x v="0"/>
    <x v="16"/>
    <x v="7"/>
    <x v="13"/>
    <s v="NO3_A3"/>
    <x v="21"/>
    <n v="48.384"/>
    <n v="13.44"/>
  </r>
  <r>
    <x v="0"/>
    <x v="16"/>
    <x v="7"/>
    <x v="13"/>
    <s v="NO3_A3"/>
    <x v="22"/>
    <n v="79.847999999999999"/>
    <n v="22.18"/>
  </r>
  <r>
    <x v="0"/>
    <x v="16"/>
    <x v="7"/>
    <x v="13"/>
    <s v="NO3_Offshore"/>
    <x v="2"/>
    <n v="48.384"/>
    <n v="13.44"/>
  </r>
  <r>
    <x v="0"/>
    <x v="16"/>
    <x v="7"/>
    <x v="13"/>
    <s v="NO3_Offshore"/>
    <x v="0"/>
    <n v="42.692399999999999"/>
    <n v="11.859"/>
  </r>
  <r>
    <x v="0"/>
    <x v="16"/>
    <x v="7"/>
    <x v="13"/>
    <s v="NO3_Offshore"/>
    <x v="21"/>
    <n v="48.384"/>
    <n v="13.44"/>
  </r>
  <r>
    <x v="0"/>
    <x v="16"/>
    <x v="7"/>
    <x v="13"/>
    <s v="NO3_Offshore"/>
    <x v="22"/>
    <n v="79.847999999999999"/>
    <n v="22.18"/>
  </r>
  <r>
    <x v="0"/>
    <x v="16"/>
    <x v="7"/>
    <x v="14"/>
    <s v="NO4_A1"/>
    <x v="2"/>
    <n v="48.384"/>
    <n v="13.44"/>
  </r>
  <r>
    <x v="0"/>
    <x v="16"/>
    <x v="7"/>
    <x v="14"/>
    <s v="NO4_A1"/>
    <x v="0"/>
    <n v="42.692399999999999"/>
    <n v="11.859"/>
  </r>
  <r>
    <x v="0"/>
    <x v="16"/>
    <x v="7"/>
    <x v="14"/>
    <s v="NO4_A1"/>
    <x v="21"/>
    <n v="48.384"/>
    <n v="13.44"/>
  </r>
  <r>
    <x v="0"/>
    <x v="16"/>
    <x v="7"/>
    <x v="14"/>
    <s v="NO4_A1"/>
    <x v="22"/>
    <n v="79.847999999999999"/>
    <n v="22.18"/>
  </r>
  <r>
    <x v="0"/>
    <x v="16"/>
    <x v="7"/>
    <x v="14"/>
    <s v="NO4_A2"/>
    <x v="2"/>
    <n v="48.384"/>
    <n v="13.44"/>
  </r>
  <r>
    <x v="0"/>
    <x v="16"/>
    <x v="7"/>
    <x v="14"/>
    <s v="NO4_A2"/>
    <x v="0"/>
    <n v="42.692399999999999"/>
    <n v="11.859"/>
  </r>
  <r>
    <x v="0"/>
    <x v="16"/>
    <x v="7"/>
    <x v="14"/>
    <s v="NO4_A2"/>
    <x v="21"/>
    <n v="48.384"/>
    <n v="13.44"/>
  </r>
  <r>
    <x v="0"/>
    <x v="16"/>
    <x v="7"/>
    <x v="14"/>
    <s v="NO4_A2"/>
    <x v="22"/>
    <n v="79.847999999999999"/>
    <n v="22.18"/>
  </r>
  <r>
    <x v="0"/>
    <x v="16"/>
    <x v="7"/>
    <x v="14"/>
    <s v="NO4_Offshore"/>
    <x v="2"/>
    <n v="48.384"/>
    <n v="13.44"/>
  </r>
  <r>
    <x v="0"/>
    <x v="16"/>
    <x v="7"/>
    <x v="14"/>
    <s v="NO4_Offshore"/>
    <x v="0"/>
    <n v="42.692399999999999"/>
    <n v="11.859"/>
  </r>
  <r>
    <x v="0"/>
    <x v="16"/>
    <x v="7"/>
    <x v="14"/>
    <s v="NO4_Offshore"/>
    <x v="21"/>
    <n v="48.384"/>
    <n v="13.44"/>
  </r>
  <r>
    <x v="0"/>
    <x v="16"/>
    <x v="7"/>
    <x v="14"/>
    <s v="NO4_Offshore"/>
    <x v="22"/>
    <n v="79.847999999999999"/>
    <n v="22.18"/>
  </r>
  <r>
    <x v="0"/>
    <x v="16"/>
    <x v="7"/>
    <x v="15"/>
    <s v="NO5_A1"/>
    <x v="2"/>
    <n v="48.384"/>
    <n v="13.44"/>
  </r>
  <r>
    <x v="0"/>
    <x v="16"/>
    <x v="7"/>
    <x v="15"/>
    <s v="NO5_A1"/>
    <x v="0"/>
    <n v="42.692399999999999"/>
    <n v="11.859"/>
  </r>
  <r>
    <x v="0"/>
    <x v="16"/>
    <x v="7"/>
    <x v="15"/>
    <s v="NO5_A1"/>
    <x v="21"/>
    <n v="48.384"/>
    <n v="13.44"/>
  </r>
  <r>
    <x v="0"/>
    <x v="16"/>
    <x v="7"/>
    <x v="15"/>
    <s v="NO5_A1"/>
    <x v="22"/>
    <n v="79.847999999999999"/>
    <n v="22.18"/>
  </r>
  <r>
    <x v="0"/>
    <x v="16"/>
    <x v="7"/>
    <x v="15"/>
    <s v="NO5_A2"/>
    <x v="2"/>
    <n v="48.384"/>
    <n v="13.44"/>
  </r>
  <r>
    <x v="0"/>
    <x v="16"/>
    <x v="7"/>
    <x v="15"/>
    <s v="NO5_A2"/>
    <x v="0"/>
    <n v="42.692399999999999"/>
    <n v="11.859"/>
  </r>
  <r>
    <x v="0"/>
    <x v="16"/>
    <x v="7"/>
    <x v="15"/>
    <s v="NO5_A2"/>
    <x v="21"/>
    <n v="48.384"/>
    <n v="13.44"/>
  </r>
  <r>
    <x v="0"/>
    <x v="16"/>
    <x v="7"/>
    <x v="15"/>
    <s v="NO5_A2"/>
    <x v="22"/>
    <n v="79.847999999999999"/>
    <n v="22.18"/>
  </r>
  <r>
    <x v="0"/>
    <x v="16"/>
    <x v="7"/>
    <x v="15"/>
    <s v="NO5_Offshore"/>
    <x v="2"/>
    <n v="48.384"/>
    <n v="13.44"/>
  </r>
  <r>
    <x v="0"/>
    <x v="16"/>
    <x v="7"/>
    <x v="15"/>
    <s v="NO5_Offshore"/>
    <x v="0"/>
    <n v="42.692399999999999"/>
    <n v="11.859"/>
  </r>
  <r>
    <x v="0"/>
    <x v="16"/>
    <x v="7"/>
    <x v="15"/>
    <s v="NO5_Offshore"/>
    <x v="21"/>
    <n v="48.384"/>
    <n v="13.44"/>
  </r>
  <r>
    <x v="0"/>
    <x v="16"/>
    <x v="7"/>
    <x v="15"/>
    <s v="NO5_Offshore"/>
    <x v="22"/>
    <n v="79.847999999999999"/>
    <n v="22.18"/>
  </r>
  <r>
    <x v="0"/>
    <x v="16"/>
    <x v="8"/>
    <x v="16"/>
    <s v="PL_A"/>
    <x v="2"/>
    <n v="48.384"/>
    <n v="13.44"/>
  </r>
  <r>
    <x v="0"/>
    <x v="16"/>
    <x v="8"/>
    <x v="16"/>
    <s v="PL_A"/>
    <x v="0"/>
    <n v="42.692399999999999"/>
    <n v="11.859"/>
  </r>
  <r>
    <x v="0"/>
    <x v="16"/>
    <x v="8"/>
    <x v="16"/>
    <s v="PL_A"/>
    <x v="21"/>
    <n v="48.384"/>
    <n v="13.44"/>
  </r>
  <r>
    <x v="0"/>
    <x v="16"/>
    <x v="8"/>
    <x v="16"/>
    <s v="PL_A"/>
    <x v="22"/>
    <n v="79.847999999999999"/>
    <n v="22.18"/>
  </r>
  <r>
    <x v="0"/>
    <x v="16"/>
    <x v="8"/>
    <x v="16"/>
    <s v="PL_OFFSHORE"/>
    <x v="2"/>
    <n v="48.384"/>
    <n v="13.44"/>
  </r>
  <r>
    <x v="0"/>
    <x v="16"/>
    <x v="8"/>
    <x v="16"/>
    <s v="PL_OFFSHORE"/>
    <x v="0"/>
    <n v="42.692399999999999"/>
    <n v="11.859"/>
  </r>
  <r>
    <x v="0"/>
    <x v="16"/>
    <x v="8"/>
    <x v="16"/>
    <s v="PL_OFFSHORE"/>
    <x v="21"/>
    <n v="48.384"/>
    <n v="13.44"/>
  </r>
  <r>
    <x v="0"/>
    <x v="16"/>
    <x v="8"/>
    <x v="16"/>
    <s v="PL_OFFSHORE"/>
    <x v="22"/>
    <n v="79.847999999999999"/>
    <n v="22.18"/>
  </r>
  <r>
    <x v="0"/>
    <x v="16"/>
    <x v="8"/>
    <x v="16"/>
    <s v="PL_Rural"/>
    <x v="2"/>
    <n v="48.384"/>
    <n v="13.44"/>
  </r>
  <r>
    <x v="0"/>
    <x v="16"/>
    <x v="8"/>
    <x v="16"/>
    <s v="PL_Rural"/>
    <x v="0"/>
    <n v="42.692399999999999"/>
    <n v="11.859"/>
  </r>
  <r>
    <x v="0"/>
    <x v="16"/>
    <x v="8"/>
    <x v="16"/>
    <s v="PL_Rural"/>
    <x v="21"/>
    <n v="48.384"/>
    <n v="13.44"/>
  </r>
  <r>
    <x v="0"/>
    <x v="16"/>
    <x v="8"/>
    <x v="16"/>
    <s v="PL_Rural"/>
    <x v="22"/>
    <n v="79.847999999999999"/>
    <n v="22.18"/>
  </r>
  <r>
    <x v="0"/>
    <x v="16"/>
    <x v="9"/>
    <x v="17"/>
    <s v="SE1A"/>
    <x v="2"/>
    <n v="48.384"/>
    <n v="13.44"/>
  </r>
  <r>
    <x v="0"/>
    <x v="16"/>
    <x v="9"/>
    <x v="17"/>
    <s v="SE1A"/>
    <x v="0"/>
    <n v="42.692399999999999"/>
    <n v="11.859"/>
  </r>
  <r>
    <x v="0"/>
    <x v="16"/>
    <x v="9"/>
    <x v="17"/>
    <s v="SE1A"/>
    <x v="21"/>
    <n v="48.384"/>
    <n v="13.44"/>
  </r>
  <r>
    <x v="0"/>
    <x v="16"/>
    <x v="9"/>
    <x v="17"/>
    <s v="SE1A"/>
    <x v="22"/>
    <n v="79.847999999999999"/>
    <n v="22.18"/>
  </r>
  <r>
    <x v="0"/>
    <x v="16"/>
    <x v="9"/>
    <x v="17"/>
    <s v="SE1_IND"/>
    <x v="2"/>
    <n v="48.384"/>
    <n v="13.44"/>
  </r>
  <r>
    <x v="0"/>
    <x v="16"/>
    <x v="9"/>
    <x v="17"/>
    <s v="SE1_IND"/>
    <x v="0"/>
    <n v="42.692399999999999"/>
    <n v="11.859"/>
  </r>
  <r>
    <x v="0"/>
    <x v="16"/>
    <x v="9"/>
    <x v="17"/>
    <s v="SE1_IND"/>
    <x v="21"/>
    <n v="48.384"/>
    <n v="13.44"/>
  </r>
  <r>
    <x v="0"/>
    <x v="16"/>
    <x v="9"/>
    <x v="17"/>
    <s v="SE1_IND"/>
    <x v="22"/>
    <n v="79.847999999999999"/>
    <n v="22.18"/>
  </r>
  <r>
    <x v="0"/>
    <x v="16"/>
    <x v="9"/>
    <x v="17"/>
    <s v="SE1_Offshore"/>
    <x v="2"/>
    <n v="48.384"/>
    <n v="13.44"/>
  </r>
  <r>
    <x v="0"/>
    <x v="16"/>
    <x v="9"/>
    <x v="17"/>
    <s v="SE1_Offshore"/>
    <x v="0"/>
    <n v="42.692399999999999"/>
    <n v="11.859"/>
  </r>
  <r>
    <x v="0"/>
    <x v="16"/>
    <x v="9"/>
    <x v="17"/>
    <s v="SE1_Offshore"/>
    <x v="21"/>
    <n v="48.384"/>
    <n v="13.44"/>
  </r>
  <r>
    <x v="0"/>
    <x v="16"/>
    <x v="9"/>
    <x v="17"/>
    <s v="SE1_Offshore"/>
    <x v="22"/>
    <n v="79.847999999999999"/>
    <n v="22.18"/>
  </r>
  <r>
    <x v="0"/>
    <x v="16"/>
    <x v="9"/>
    <x v="17"/>
    <s v="SE1_medium"/>
    <x v="2"/>
    <n v="48.384"/>
    <n v="13.44"/>
  </r>
  <r>
    <x v="0"/>
    <x v="16"/>
    <x v="9"/>
    <x v="17"/>
    <s v="SE1_medium"/>
    <x v="0"/>
    <n v="42.692399999999999"/>
    <n v="11.859"/>
  </r>
  <r>
    <x v="0"/>
    <x v="16"/>
    <x v="9"/>
    <x v="17"/>
    <s v="SE1_medium"/>
    <x v="21"/>
    <n v="48.384"/>
    <n v="13.44"/>
  </r>
  <r>
    <x v="0"/>
    <x v="16"/>
    <x v="9"/>
    <x v="17"/>
    <s v="SE1_medium"/>
    <x v="22"/>
    <n v="79.847999999999999"/>
    <n v="22.18"/>
  </r>
  <r>
    <x v="0"/>
    <x v="16"/>
    <x v="9"/>
    <x v="17"/>
    <s v="SE1_small"/>
    <x v="2"/>
    <n v="48.384"/>
    <n v="13.44"/>
  </r>
  <r>
    <x v="0"/>
    <x v="16"/>
    <x v="9"/>
    <x v="17"/>
    <s v="SE1_small"/>
    <x v="0"/>
    <n v="42.692399999999999"/>
    <n v="11.859"/>
  </r>
  <r>
    <x v="0"/>
    <x v="16"/>
    <x v="9"/>
    <x v="17"/>
    <s v="SE1_small"/>
    <x v="21"/>
    <n v="48.384"/>
    <n v="13.44"/>
  </r>
  <r>
    <x v="0"/>
    <x v="16"/>
    <x v="9"/>
    <x v="17"/>
    <s v="SE1_small"/>
    <x v="22"/>
    <n v="79.847999999999999"/>
    <n v="22.18"/>
  </r>
  <r>
    <x v="0"/>
    <x v="16"/>
    <x v="9"/>
    <x v="18"/>
    <s v="SE2A"/>
    <x v="2"/>
    <n v="48.384"/>
    <n v="13.44"/>
  </r>
  <r>
    <x v="0"/>
    <x v="16"/>
    <x v="9"/>
    <x v="18"/>
    <s v="SE2A"/>
    <x v="0"/>
    <n v="42.692399999999999"/>
    <n v="11.859"/>
  </r>
  <r>
    <x v="0"/>
    <x v="16"/>
    <x v="9"/>
    <x v="18"/>
    <s v="SE2A"/>
    <x v="21"/>
    <n v="48.384"/>
    <n v="13.44"/>
  </r>
  <r>
    <x v="0"/>
    <x v="16"/>
    <x v="9"/>
    <x v="18"/>
    <s v="SE2A"/>
    <x v="22"/>
    <n v="79.847999999999999"/>
    <n v="22.18"/>
  </r>
  <r>
    <x v="0"/>
    <x v="16"/>
    <x v="9"/>
    <x v="18"/>
    <s v="SE2_IND"/>
    <x v="2"/>
    <n v="48.384"/>
    <n v="13.44"/>
  </r>
  <r>
    <x v="0"/>
    <x v="16"/>
    <x v="9"/>
    <x v="18"/>
    <s v="SE2_IND"/>
    <x v="0"/>
    <n v="42.692399999999999"/>
    <n v="11.859"/>
  </r>
  <r>
    <x v="0"/>
    <x v="16"/>
    <x v="9"/>
    <x v="18"/>
    <s v="SE2_IND"/>
    <x v="21"/>
    <n v="48.384"/>
    <n v="13.44"/>
  </r>
  <r>
    <x v="0"/>
    <x v="16"/>
    <x v="9"/>
    <x v="18"/>
    <s v="SE2_IND"/>
    <x v="22"/>
    <n v="79.847999999999999"/>
    <n v="22.18"/>
  </r>
  <r>
    <x v="0"/>
    <x v="16"/>
    <x v="9"/>
    <x v="18"/>
    <s v="SE2_Offshore"/>
    <x v="2"/>
    <n v="48.384"/>
    <n v="13.44"/>
  </r>
  <r>
    <x v="0"/>
    <x v="16"/>
    <x v="9"/>
    <x v="18"/>
    <s v="SE2_Offshore"/>
    <x v="0"/>
    <n v="42.692399999999999"/>
    <n v="11.859"/>
  </r>
  <r>
    <x v="0"/>
    <x v="16"/>
    <x v="9"/>
    <x v="18"/>
    <s v="SE2_Offshore"/>
    <x v="21"/>
    <n v="48.384"/>
    <n v="13.44"/>
  </r>
  <r>
    <x v="0"/>
    <x v="16"/>
    <x v="9"/>
    <x v="18"/>
    <s v="SE2_Offshore"/>
    <x v="22"/>
    <n v="79.847999999999999"/>
    <n v="22.18"/>
  </r>
  <r>
    <x v="0"/>
    <x v="16"/>
    <x v="9"/>
    <x v="18"/>
    <s v="SE2_medium"/>
    <x v="2"/>
    <n v="48.384"/>
    <n v="13.44"/>
  </r>
  <r>
    <x v="0"/>
    <x v="16"/>
    <x v="9"/>
    <x v="18"/>
    <s v="SE2_medium"/>
    <x v="0"/>
    <n v="42.692399999999999"/>
    <n v="11.859"/>
  </r>
  <r>
    <x v="0"/>
    <x v="16"/>
    <x v="9"/>
    <x v="18"/>
    <s v="SE2_medium"/>
    <x v="21"/>
    <n v="48.384"/>
    <n v="13.44"/>
  </r>
  <r>
    <x v="0"/>
    <x v="16"/>
    <x v="9"/>
    <x v="18"/>
    <s v="SE2_medium"/>
    <x v="22"/>
    <n v="79.847999999999999"/>
    <n v="22.18"/>
  </r>
  <r>
    <x v="0"/>
    <x v="16"/>
    <x v="9"/>
    <x v="18"/>
    <s v="SE2_small"/>
    <x v="2"/>
    <n v="48.384"/>
    <n v="13.44"/>
  </r>
  <r>
    <x v="0"/>
    <x v="16"/>
    <x v="9"/>
    <x v="18"/>
    <s v="SE2_small"/>
    <x v="0"/>
    <n v="42.692399999999999"/>
    <n v="11.859"/>
  </r>
  <r>
    <x v="0"/>
    <x v="16"/>
    <x v="9"/>
    <x v="18"/>
    <s v="SE2_small"/>
    <x v="21"/>
    <n v="48.384"/>
    <n v="13.44"/>
  </r>
  <r>
    <x v="0"/>
    <x v="16"/>
    <x v="9"/>
    <x v="18"/>
    <s v="SE2_small"/>
    <x v="22"/>
    <n v="79.847999999999999"/>
    <n v="22.18"/>
  </r>
  <r>
    <x v="0"/>
    <x v="16"/>
    <x v="9"/>
    <x v="19"/>
    <s v="SE3A"/>
    <x v="2"/>
    <n v="48.384"/>
    <n v="13.44"/>
  </r>
  <r>
    <x v="0"/>
    <x v="16"/>
    <x v="9"/>
    <x v="19"/>
    <s v="SE3A"/>
    <x v="0"/>
    <n v="42.692399999999999"/>
    <n v="11.859"/>
  </r>
  <r>
    <x v="0"/>
    <x v="16"/>
    <x v="9"/>
    <x v="19"/>
    <s v="SE3A"/>
    <x v="21"/>
    <n v="48.384"/>
    <n v="13.44"/>
  </r>
  <r>
    <x v="0"/>
    <x v="16"/>
    <x v="9"/>
    <x v="19"/>
    <s v="SE3A"/>
    <x v="22"/>
    <n v="79.847999999999999"/>
    <n v="22.18"/>
  </r>
  <r>
    <x v="0"/>
    <x v="16"/>
    <x v="9"/>
    <x v="19"/>
    <s v="SE3_IND"/>
    <x v="2"/>
    <n v="48.384"/>
    <n v="13.44"/>
  </r>
  <r>
    <x v="0"/>
    <x v="16"/>
    <x v="9"/>
    <x v="19"/>
    <s v="SE3_IND"/>
    <x v="0"/>
    <n v="42.692399999999999"/>
    <n v="11.859"/>
  </r>
  <r>
    <x v="0"/>
    <x v="16"/>
    <x v="9"/>
    <x v="19"/>
    <s v="SE3_IND"/>
    <x v="21"/>
    <n v="48.384"/>
    <n v="13.44"/>
  </r>
  <r>
    <x v="0"/>
    <x v="16"/>
    <x v="9"/>
    <x v="19"/>
    <s v="SE3_IND"/>
    <x v="22"/>
    <n v="79.847999999999999"/>
    <n v="22.18"/>
  </r>
  <r>
    <x v="0"/>
    <x v="16"/>
    <x v="9"/>
    <x v="19"/>
    <s v="SE3_Offshore"/>
    <x v="2"/>
    <n v="48.384"/>
    <n v="13.44"/>
  </r>
  <r>
    <x v="0"/>
    <x v="16"/>
    <x v="9"/>
    <x v="19"/>
    <s v="SE3_Offshore"/>
    <x v="0"/>
    <n v="42.692399999999999"/>
    <n v="11.859"/>
  </r>
  <r>
    <x v="0"/>
    <x v="16"/>
    <x v="9"/>
    <x v="19"/>
    <s v="SE3_Offshore"/>
    <x v="21"/>
    <n v="48.384"/>
    <n v="13.44"/>
  </r>
  <r>
    <x v="0"/>
    <x v="16"/>
    <x v="9"/>
    <x v="19"/>
    <s v="SE3_Offshore"/>
    <x v="22"/>
    <n v="79.847999999999999"/>
    <n v="22.18"/>
  </r>
  <r>
    <x v="0"/>
    <x v="16"/>
    <x v="9"/>
    <x v="19"/>
    <s v="SE3_large"/>
    <x v="2"/>
    <n v="48.384"/>
    <n v="13.44"/>
  </r>
  <r>
    <x v="0"/>
    <x v="16"/>
    <x v="9"/>
    <x v="19"/>
    <s v="SE3_large"/>
    <x v="0"/>
    <n v="42.692399999999999"/>
    <n v="11.859"/>
  </r>
  <r>
    <x v="0"/>
    <x v="16"/>
    <x v="9"/>
    <x v="19"/>
    <s v="SE3_large"/>
    <x v="21"/>
    <n v="48.384"/>
    <n v="13.44"/>
  </r>
  <r>
    <x v="0"/>
    <x v="16"/>
    <x v="9"/>
    <x v="19"/>
    <s v="SE3_large"/>
    <x v="22"/>
    <n v="79.847999999999999"/>
    <n v="22.18"/>
  </r>
  <r>
    <x v="0"/>
    <x v="16"/>
    <x v="9"/>
    <x v="19"/>
    <s v="SE3_medium"/>
    <x v="2"/>
    <n v="48.384"/>
    <n v="13.44"/>
  </r>
  <r>
    <x v="0"/>
    <x v="16"/>
    <x v="9"/>
    <x v="19"/>
    <s v="SE3_medium"/>
    <x v="0"/>
    <n v="42.692399999999999"/>
    <n v="11.859"/>
  </r>
  <r>
    <x v="0"/>
    <x v="16"/>
    <x v="9"/>
    <x v="19"/>
    <s v="SE3_medium"/>
    <x v="21"/>
    <n v="48.384"/>
    <n v="13.44"/>
  </r>
  <r>
    <x v="0"/>
    <x v="16"/>
    <x v="9"/>
    <x v="19"/>
    <s v="SE3_medium"/>
    <x v="22"/>
    <n v="79.847999999999999"/>
    <n v="22.18"/>
  </r>
  <r>
    <x v="0"/>
    <x v="16"/>
    <x v="9"/>
    <x v="19"/>
    <s v="SE3_small"/>
    <x v="2"/>
    <n v="48.384"/>
    <n v="13.44"/>
  </r>
  <r>
    <x v="0"/>
    <x v="16"/>
    <x v="9"/>
    <x v="19"/>
    <s v="SE3_small"/>
    <x v="0"/>
    <n v="42.692399999999999"/>
    <n v="11.859"/>
  </r>
  <r>
    <x v="0"/>
    <x v="16"/>
    <x v="9"/>
    <x v="19"/>
    <s v="SE3_small"/>
    <x v="21"/>
    <n v="48.384"/>
    <n v="13.44"/>
  </r>
  <r>
    <x v="0"/>
    <x v="16"/>
    <x v="9"/>
    <x v="19"/>
    <s v="SE3_small"/>
    <x v="22"/>
    <n v="79.847999999999999"/>
    <n v="22.18"/>
  </r>
  <r>
    <x v="0"/>
    <x v="16"/>
    <x v="9"/>
    <x v="20"/>
    <s v="SE4A"/>
    <x v="2"/>
    <n v="48.384"/>
    <n v="13.44"/>
  </r>
  <r>
    <x v="0"/>
    <x v="16"/>
    <x v="9"/>
    <x v="20"/>
    <s v="SE4A"/>
    <x v="0"/>
    <n v="42.692399999999999"/>
    <n v="11.859"/>
  </r>
  <r>
    <x v="0"/>
    <x v="16"/>
    <x v="9"/>
    <x v="20"/>
    <s v="SE4A"/>
    <x v="21"/>
    <n v="48.384"/>
    <n v="13.44"/>
  </r>
  <r>
    <x v="0"/>
    <x v="16"/>
    <x v="9"/>
    <x v="20"/>
    <s v="SE4A"/>
    <x v="22"/>
    <n v="79.847999999999999"/>
    <n v="22.18"/>
  </r>
  <r>
    <x v="0"/>
    <x v="16"/>
    <x v="9"/>
    <x v="20"/>
    <s v="SE4_IND"/>
    <x v="2"/>
    <n v="48.384"/>
    <n v="13.44"/>
  </r>
  <r>
    <x v="0"/>
    <x v="16"/>
    <x v="9"/>
    <x v="20"/>
    <s v="SE4_IND"/>
    <x v="0"/>
    <n v="42.692399999999999"/>
    <n v="11.859"/>
  </r>
  <r>
    <x v="0"/>
    <x v="16"/>
    <x v="9"/>
    <x v="20"/>
    <s v="SE4_IND"/>
    <x v="21"/>
    <n v="48.384"/>
    <n v="13.44"/>
  </r>
  <r>
    <x v="0"/>
    <x v="16"/>
    <x v="9"/>
    <x v="20"/>
    <s v="SE4_IND"/>
    <x v="22"/>
    <n v="79.847999999999999"/>
    <n v="22.18"/>
  </r>
  <r>
    <x v="0"/>
    <x v="16"/>
    <x v="9"/>
    <x v="20"/>
    <s v="SE4_Offshore"/>
    <x v="2"/>
    <n v="48.384"/>
    <n v="13.44"/>
  </r>
  <r>
    <x v="0"/>
    <x v="16"/>
    <x v="9"/>
    <x v="20"/>
    <s v="SE4_Offshore"/>
    <x v="0"/>
    <n v="42.692399999999999"/>
    <n v="11.859"/>
  </r>
  <r>
    <x v="0"/>
    <x v="16"/>
    <x v="9"/>
    <x v="20"/>
    <s v="SE4_Offshore"/>
    <x v="21"/>
    <n v="48.384"/>
    <n v="13.44"/>
  </r>
  <r>
    <x v="0"/>
    <x v="16"/>
    <x v="9"/>
    <x v="20"/>
    <s v="SE4_Offshore"/>
    <x v="22"/>
    <n v="79.847999999999999"/>
    <n v="22.18"/>
  </r>
  <r>
    <x v="0"/>
    <x v="16"/>
    <x v="9"/>
    <x v="20"/>
    <s v="SE4_large"/>
    <x v="2"/>
    <n v="48.384"/>
    <n v="13.44"/>
  </r>
  <r>
    <x v="0"/>
    <x v="16"/>
    <x v="9"/>
    <x v="20"/>
    <s v="SE4_large"/>
    <x v="0"/>
    <n v="42.692399999999999"/>
    <n v="11.859"/>
  </r>
  <r>
    <x v="0"/>
    <x v="16"/>
    <x v="9"/>
    <x v="20"/>
    <s v="SE4_large"/>
    <x v="21"/>
    <n v="48.384"/>
    <n v="13.44"/>
  </r>
  <r>
    <x v="0"/>
    <x v="16"/>
    <x v="9"/>
    <x v="20"/>
    <s v="SE4_large"/>
    <x v="22"/>
    <n v="79.847999999999999"/>
    <n v="22.18"/>
  </r>
  <r>
    <x v="0"/>
    <x v="16"/>
    <x v="9"/>
    <x v="20"/>
    <s v="SE4_medium"/>
    <x v="2"/>
    <n v="48.384"/>
    <n v="13.44"/>
  </r>
  <r>
    <x v="0"/>
    <x v="16"/>
    <x v="9"/>
    <x v="20"/>
    <s v="SE4_medium"/>
    <x v="0"/>
    <n v="42.692399999999999"/>
    <n v="11.859"/>
  </r>
  <r>
    <x v="0"/>
    <x v="16"/>
    <x v="9"/>
    <x v="20"/>
    <s v="SE4_medium"/>
    <x v="21"/>
    <n v="48.384"/>
    <n v="13.44"/>
  </r>
  <r>
    <x v="0"/>
    <x v="16"/>
    <x v="9"/>
    <x v="20"/>
    <s v="SE4_medium"/>
    <x v="22"/>
    <n v="79.847999999999999"/>
    <n v="22.18"/>
  </r>
  <r>
    <x v="0"/>
    <x v="16"/>
    <x v="9"/>
    <x v="20"/>
    <s v="SE4_small"/>
    <x v="2"/>
    <n v="48.384"/>
    <n v="13.44"/>
  </r>
  <r>
    <x v="0"/>
    <x v="16"/>
    <x v="9"/>
    <x v="20"/>
    <s v="SE4_small"/>
    <x v="0"/>
    <n v="42.692399999999999"/>
    <n v="11.859"/>
  </r>
  <r>
    <x v="0"/>
    <x v="16"/>
    <x v="9"/>
    <x v="20"/>
    <s v="SE4_small"/>
    <x v="21"/>
    <n v="48.384"/>
    <n v="13.44"/>
  </r>
  <r>
    <x v="0"/>
    <x v="16"/>
    <x v="9"/>
    <x v="20"/>
    <s v="SE4_small"/>
    <x v="22"/>
    <n v="79.847999999999999"/>
    <n v="22.18"/>
  </r>
  <r>
    <x v="0"/>
    <x v="16"/>
    <x v="10"/>
    <x v="21"/>
    <s v="UK_A"/>
    <x v="2"/>
    <n v="48.384"/>
    <n v="13.44"/>
  </r>
  <r>
    <x v="0"/>
    <x v="16"/>
    <x v="10"/>
    <x v="21"/>
    <s v="UK_A"/>
    <x v="0"/>
    <n v="42.692399999999999"/>
    <n v="11.859"/>
  </r>
  <r>
    <x v="0"/>
    <x v="16"/>
    <x v="10"/>
    <x v="21"/>
    <s v="UK_A"/>
    <x v="21"/>
    <n v="48.384"/>
    <n v="13.44"/>
  </r>
  <r>
    <x v="0"/>
    <x v="16"/>
    <x v="10"/>
    <x v="21"/>
    <s v="UK_A"/>
    <x v="22"/>
    <n v="79.847999999999999"/>
    <n v="22.18"/>
  </r>
  <r>
    <x v="0"/>
    <x v="16"/>
    <x v="10"/>
    <x v="21"/>
    <s v="UK_Offshore"/>
    <x v="2"/>
    <n v="48.384"/>
    <n v="13.44"/>
  </r>
  <r>
    <x v="0"/>
    <x v="16"/>
    <x v="10"/>
    <x v="21"/>
    <s v="UK_Offshore"/>
    <x v="0"/>
    <n v="42.692399999999999"/>
    <n v="11.859"/>
  </r>
  <r>
    <x v="0"/>
    <x v="16"/>
    <x v="10"/>
    <x v="21"/>
    <s v="UK_Offshore"/>
    <x v="21"/>
    <n v="48.384"/>
    <n v="13.44"/>
  </r>
  <r>
    <x v="0"/>
    <x v="16"/>
    <x v="10"/>
    <x v="21"/>
    <s v="UK_Offshore"/>
    <x v="22"/>
    <n v="79.847999999999999"/>
    <n v="22.18"/>
  </r>
  <r>
    <x v="0"/>
    <x v="17"/>
    <x v="0"/>
    <x v="0"/>
    <s v="DK1_Large"/>
    <x v="2"/>
    <n v="48.384"/>
    <n v="13.44"/>
  </r>
  <r>
    <x v="0"/>
    <x v="17"/>
    <x v="0"/>
    <x v="0"/>
    <s v="DK1_Large"/>
    <x v="0"/>
    <n v="42.692399999999999"/>
    <n v="11.859"/>
  </r>
  <r>
    <x v="0"/>
    <x v="17"/>
    <x v="0"/>
    <x v="0"/>
    <s v="DK1_Large"/>
    <x v="21"/>
    <n v="48.384"/>
    <n v="13.44"/>
  </r>
  <r>
    <x v="0"/>
    <x v="17"/>
    <x v="0"/>
    <x v="0"/>
    <s v="DK1_Large"/>
    <x v="22"/>
    <n v="79.847999999999999"/>
    <n v="22.18"/>
  </r>
  <r>
    <x v="0"/>
    <x v="17"/>
    <x v="0"/>
    <x v="0"/>
    <s v="DK1_Large_PHH"/>
    <x v="2"/>
    <n v="48.384"/>
    <n v="13.44"/>
  </r>
  <r>
    <x v="0"/>
    <x v="17"/>
    <x v="0"/>
    <x v="0"/>
    <s v="DK1_Large_PHH"/>
    <x v="0"/>
    <n v="42.692399999999999"/>
    <n v="11.859"/>
  </r>
  <r>
    <x v="0"/>
    <x v="17"/>
    <x v="0"/>
    <x v="0"/>
    <s v="DK1_Large_PHH"/>
    <x v="21"/>
    <n v="48.384"/>
    <n v="13.44"/>
  </r>
  <r>
    <x v="0"/>
    <x v="17"/>
    <x v="0"/>
    <x v="0"/>
    <s v="DK1_Large_PHH"/>
    <x v="22"/>
    <n v="79.847999999999999"/>
    <n v="22.18"/>
  </r>
  <r>
    <x v="0"/>
    <x v="17"/>
    <x v="0"/>
    <x v="0"/>
    <s v="DK1_Large_PHL"/>
    <x v="2"/>
    <n v="48.384"/>
    <n v="13.44"/>
  </r>
  <r>
    <x v="0"/>
    <x v="17"/>
    <x v="0"/>
    <x v="0"/>
    <s v="DK1_Large_PHL"/>
    <x v="0"/>
    <n v="42.692399999999999"/>
    <n v="11.859"/>
  </r>
  <r>
    <x v="0"/>
    <x v="17"/>
    <x v="0"/>
    <x v="0"/>
    <s v="DK1_Large_PHL"/>
    <x v="21"/>
    <n v="48.384"/>
    <n v="13.44"/>
  </r>
  <r>
    <x v="0"/>
    <x v="17"/>
    <x v="0"/>
    <x v="0"/>
    <s v="DK1_Large_PHL"/>
    <x v="22"/>
    <n v="79.847999999999999"/>
    <n v="22.18"/>
  </r>
  <r>
    <x v="0"/>
    <x v="17"/>
    <x v="0"/>
    <x v="0"/>
    <s v="DK1_MedSmall"/>
    <x v="2"/>
    <n v="48.384"/>
    <n v="13.44"/>
  </r>
  <r>
    <x v="0"/>
    <x v="17"/>
    <x v="0"/>
    <x v="0"/>
    <s v="DK1_MedSmall"/>
    <x v="0"/>
    <n v="42.692399999999999"/>
    <n v="11.859"/>
  </r>
  <r>
    <x v="0"/>
    <x v="17"/>
    <x v="0"/>
    <x v="0"/>
    <s v="DK1_MedSmall"/>
    <x v="21"/>
    <n v="48.384"/>
    <n v="13.44"/>
  </r>
  <r>
    <x v="0"/>
    <x v="17"/>
    <x v="0"/>
    <x v="0"/>
    <s v="DK1_MedSmall"/>
    <x v="22"/>
    <n v="79.847999999999999"/>
    <n v="22.18"/>
  </r>
  <r>
    <x v="0"/>
    <x v="17"/>
    <x v="0"/>
    <x v="0"/>
    <s v="DK1_Medium"/>
    <x v="2"/>
    <n v="48.384"/>
    <n v="13.44"/>
  </r>
  <r>
    <x v="0"/>
    <x v="17"/>
    <x v="0"/>
    <x v="0"/>
    <s v="DK1_Medium"/>
    <x v="0"/>
    <n v="42.692399999999999"/>
    <n v="11.859"/>
  </r>
  <r>
    <x v="0"/>
    <x v="17"/>
    <x v="0"/>
    <x v="0"/>
    <s v="DK1_Medium"/>
    <x v="21"/>
    <n v="48.384"/>
    <n v="13.44"/>
  </r>
  <r>
    <x v="0"/>
    <x v="17"/>
    <x v="0"/>
    <x v="0"/>
    <s v="DK1_Medium"/>
    <x v="22"/>
    <n v="79.847999999999999"/>
    <n v="22.18"/>
  </r>
  <r>
    <x v="0"/>
    <x v="17"/>
    <x v="0"/>
    <x v="0"/>
    <s v="DK1_NoDH"/>
    <x v="2"/>
    <n v="48.384"/>
    <n v="13.44"/>
  </r>
  <r>
    <x v="0"/>
    <x v="17"/>
    <x v="0"/>
    <x v="0"/>
    <s v="DK1_NoDH"/>
    <x v="0"/>
    <n v="42.692399999999999"/>
    <n v="11.859"/>
  </r>
  <r>
    <x v="0"/>
    <x v="17"/>
    <x v="0"/>
    <x v="0"/>
    <s v="DK1_NoDH"/>
    <x v="21"/>
    <n v="48.384"/>
    <n v="13.44"/>
  </r>
  <r>
    <x v="0"/>
    <x v="17"/>
    <x v="0"/>
    <x v="0"/>
    <s v="DK1_NoDH"/>
    <x v="22"/>
    <n v="79.847999999999999"/>
    <n v="22.18"/>
  </r>
  <r>
    <x v="0"/>
    <x v="17"/>
    <x v="0"/>
    <x v="0"/>
    <s v="DK1_NoDH_PHH"/>
    <x v="2"/>
    <n v="48.384"/>
    <n v="13.44"/>
  </r>
  <r>
    <x v="0"/>
    <x v="17"/>
    <x v="0"/>
    <x v="0"/>
    <s v="DK1_NoDH_PHH"/>
    <x v="0"/>
    <n v="42.692399999999999"/>
    <n v="11.859"/>
  </r>
  <r>
    <x v="0"/>
    <x v="17"/>
    <x v="0"/>
    <x v="0"/>
    <s v="DK1_NoDH_PHH"/>
    <x v="21"/>
    <n v="48.384"/>
    <n v="13.44"/>
  </r>
  <r>
    <x v="0"/>
    <x v="17"/>
    <x v="0"/>
    <x v="0"/>
    <s v="DK1_NoDH_PHH"/>
    <x v="22"/>
    <n v="79.847999999999999"/>
    <n v="22.18"/>
  </r>
  <r>
    <x v="0"/>
    <x v="17"/>
    <x v="0"/>
    <x v="0"/>
    <s v="DK1_NoDH_PHL"/>
    <x v="2"/>
    <n v="48.384"/>
    <n v="13.44"/>
  </r>
  <r>
    <x v="0"/>
    <x v="17"/>
    <x v="0"/>
    <x v="0"/>
    <s v="DK1_NoDH_PHL"/>
    <x v="0"/>
    <n v="42.692399999999999"/>
    <n v="11.859"/>
  </r>
  <r>
    <x v="0"/>
    <x v="17"/>
    <x v="0"/>
    <x v="0"/>
    <s v="DK1_NoDH_PHL"/>
    <x v="21"/>
    <n v="48.384"/>
    <n v="13.44"/>
  </r>
  <r>
    <x v="0"/>
    <x v="17"/>
    <x v="0"/>
    <x v="0"/>
    <s v="DK1_NoDH_PHL"/>
    <x v="22"/>
    <n v="79.847999999999999"/>
    <n v="22.18"/>
  </r>
  <r>
    <x v="0"/>
    <x v="17"/>
    <x v="0"/>
    <x v="0"/>
    <s v="DK1_Offshore"/>
    <x v="2"/>
    <n v="48.384"/>
    <n v="13.44"/>
  </r>
  <r>
    <x v="0"/>
    <x v="17"/>
    <x v="0"/>
    <x v="0"/>
    <s v="DK1_Offshore"/>
    <x v="0"/>
    <n v="42.692399999999999"/>
    <n v="11.859"/>
  </r>
  <r>
    <x v="0"/>
    <x v="17"/>
    <x v="0"/>
    <x v="0"/>
    <s v="DK1_Offshore"/>
    <x v="21"/>
    <n v="48.384"/>
    <n v="13.44"/>
  </r>
  <r>
    <x v="0"/>
    <x v="17"/>
    <x v="0"/>
    <x v="0"/>
    <s v="DK1_Offshore"/>
    <x v="22"/>
    <n v="79.847999999999999"/>
    <n v="22.18"/>
  </r>
  <r>
    <x v="0"/>
    <x v="17"/>
    <x v="0"/>
    <x v="0"/>
    <s v="DK1_Rural"/>
    <x v="2"/>
    <n v="48.384"/>
    <n v="13.44"/>
  </r>
  <r>
    <x v="0"/>
    <x v="17"/>
    <x v="0"/>
    <x v="0"/>
    <s v="DK1_Rural"/>
    <x v="0"/>
    <n v="42.692399999999999"/>
    <n v="11.859"/>
  </r>
  <r>
    <x v="0"/>
    <x v="17"/>
    <x v="0"/>
    <x v="0"/>
    <s v="DK1_Rural"/>
    <x v="21"/>
    <n v="48.384"/>
    <n v="13.44"/>
  </r>
  <r>
    <x v="0"/>
    <x v="17"/>
    <x v="0"/>
    <x v="0"/>
    <s v="DK1_Rural"/>
    <x v="22"/>
    <n v="79.847999999999999"/>
    <n v="22.18"/>
  </r>
  <r>
    <x v="0"/>
    <x v="17"/>
    <x v="0"/>
    <x v="0"/>
    <s v="DK1_Small"/>
    <x v="2"/>
    <n v="48.384"/>
    <n v="13.44"/>
  </r>
  <r>
    <x v="0"/>
    <x v="17"/>
    <x v="0"/>
    <x v="0"/>
    <s v="DK1_Small"/>
    <x v="0"/>
    <n v="42.692399999999999"/>
    <n v="11.859"/>
  </r>
  <r>
    <x v="0"/>
    <x v="17"/>
    <x v="0"/>
    <x v="0"/>
    <s v="DK1_Small"/>
    <x v="21"/>
    <n v="48.384"/>
    <n v="13.44"/>
  </r>
  <r>
    <x v="0"/>
    <x v="17"/>
    <x v="0"/>
    <x v="0"/>
    <s v="DK1_Small"/>
    <x v="22"/>
    <n v="79.847999999999999"/>
    <n v="22.18"/>
  </r>
  <r>
    <x v="0"/>
    <x v="17"/>
    <x v="0"/>
    <x v="1"/>
    <s v="DK2_Large"/>
    <x v="2"/>
    <n v="48.384"/>
    <n v="13.44"/>
  </r>
  <r>
    <x v="0"/>
    <x v="17"/>
    <x v="0"/>
    <x v="1"/>
    <s v="DK2_Large"/>
    <x v="0"/>
    <n v="42.692399999999999"/>
    <n v="11.859"/>
  </r>
  <r>
    <x v="0"/>
    <x v="17"/>
    <x v="0"/>
    <x v="1"/>
    <s v="DK2_Large"/>
    <x v="21"/>
    <n v="48.384"/>
    <n v="13.44"/>
  </r>
  <r>
    <x v="0"/>
    <x v="17"/>
    <x v="0"/>
    <x v="1"/>
    <s v="DK2_Large"/>
    <x v="22"/>
    <n v="79.847999999999999"/>
    <n v="22.18"/>
  </r>
  <r>
    <x v="0"/>
    <x v="17"/>
    <x v="0"/>
    <x v="1"/>
    <s v="DK2_Large_PHH"/>
    <x v="2"/>
    <n v="48.384"/>
    <n v="13.44"/>
  </r>
  <r>
    <x v="0"/>
    <x v="17"/>
    <x v="0"/>
    <x v="1"/>
    <s v="DK2_Large_PHH"/>
    <x v="0"/>
    <n v="42.692399999999999"/>
    <n v="11.859"/>
  </r>
  <r>
    <x v="0"/>
    <x v="17"/>
    <x v="0"/>
    <x v="1"/>
    <s v="DK2_Large_PHH"/>
    <x v="21"/>
    <n v="48.384"/>
    <n v="13.44"/>
  </r>
  <r>
    <x v="0"/>
    <x v="17"/>
    <x v="0"/>
    <x v="1"/>
    <s v="DK2_Large_PHH"/>
    <x v="22"/>
    <n v="79.847999999999999"/>
    <n v="22.18"/>
  </r>
  <r>
    <x v="0"/>
    <x v="17"/>
    <x v="0"/>
    <x v="1"/>
    <s v="DK2_Large_PHL"/>
    <x v="2"/>
    <n v="48.384"/>
    <n v="13.44"/>
  </r>
  <r>
    <x v="0"/>
    <x v="17"/>
    <x v="0"/>
    <x v="1"/>
    <s v="DK2_Large_PHL"/>
    <x v="0"/>
    <n v="42.692399999999999"/>
    <n v="11.859"/>
  </r>
  <r>
    <x v="0"/>
    <x v="17"/>
    <x v="0"/>
    <x v="1"/>
    <s v="DK2_Large_PHL"/>
    <x v="21"/>
    <n v="48.384"/>
    <n v="13.44"/>
  </r>
  <r>
    <x v="0"/>
    <x v="17"/>
    <x v="0"/>
    <x v="1"/>
    <s v="DK2_Large_PHL"/>
    <x v="22"/>
    <n v="79.847999999999999"/>
    <n v="22.18"/>
  </r>
  <r>
    <x v="0"/>
    <x v="17"/>
    <x v="0"/>
    <x v="1"/>
    <s v="DK2_MedSmall"/>
    <x v="2"/>
    <n v="48.384"/>
    <n v="13.44"/>
  </r>
  <r>
    <x v="0"/>
    <x v="17"/>
    <x v="0"/>
    <x v="1"/>
    <s v="DK2_MedSmall"/>
    <x v="0"/>
    <n v="42.692399999999999"/>
    <n v="11.859"/>
  </r>
  <r>
    <x v="0"/>
    <x v="17"/>
    <x v="0"/>
    <x v="1"/>
    <s v="DK2_MedSmall"/>
    <x v="21"/>
    <n v="48.384"/>
    <n v="13.44"/>
  </r>
  <r>
    <x v="0"/>
    <x v="17"/>
    <x v="0"/>
    <x v="1"/>
    <s v="DK2_MedSmall"/>
    <x v="22"/>
    <n v="79.847999999999999"/>
    <n v="22.18"/>
  </r>
  <r>
    <x v="0"/>
    <x v="17"/>
    <x v="0"/>
    <x v="1"/>
    <s v="DK2_Medium"/>
    <x v="2"/>
    <n v="48.384"/>
    <n v="13.44"/>
  </r>
  <r>
    <x v="0"/>
    <x v="17"/>
    <x v="0"/>
    <x v="1"/>
    <s v="DK2_Medium"/>
    <x v="0"/>
    <n v="42.692399999999999"/>
    <n v="11.859"/>
  </r>
  <r>
    <x v="0"/>
    <x v="17"/>
    <x v="0"/>
    <x v="1"/>
    <s v="DK2_Medium"/>
    <x v="21"/>
    <n v="48.384"/>
    <n v="13.44"/>
  </r>
  <r>
    <x v="0"/>
    <x v="17"/>
    <x v="0"/>
    <x v="1"/>
    <s v="DK2_Medium"/>
    <x v="22"/>
    <n v="79.847999999999999"/>
    <n v="22.18"/>
  </r>
  <r>
    <x v="0"/>
    <x v="17"/>
    <x v="0"/>
    <x v="1"/>
    <s v="DK2_NoDH"/>
    <x v="2"/>
    <n v="48.384"/>
    <n v="13.44"/>
  </r>
  <r>
    <x v="0"/>
    <x v="17"/>
    <x v="0"/>
    <x v="1"/>
    <s v="DK2_NoDH"/>
    <x v="0"/>
    <n v="42.692399999999999"/>
    <n v="11.859"/>
  </r>
  <r>
    <x v="0"/>
    <x v="17"/>
    <x v="0"/>
    <x v="1"/>
    <s v="DK2_NoDH"/>
    <x v="21"/>
    <n v="48.384"/>
    <n v="13.44"/>
  </r>
  <r>
    <x v="0"/>
    <x v="17"/>
    <x v="0"/>
    <x v="1"/>
    <s v="DK2_NoDH"/>
    <x v="22"/>
    <n v="79.847999999999999"/>
    <n v="22.18"/>
  </r>
  <r>
    <x v="0"/>
    <x v="17"/>
    <x v="0"/>
    <x v="1"/>
    <s v="DK2_NoDH_PHH"/>
    <x v="2"/>
    <n v="48.384"/>
    <n v="13.44"/>
  </r>
  <r>
    <x v="0"/>
    <x v="17"/>
    <x v="0"/>
    <x v="1"/>
    <s v="DK2_NoDH_PHH"/>
    <x v="0"/>
    <n v="42.692399999999999"/>
    <n v="11.859"/>
  </r>
  <r>
    <x v="0"/>
    <x v="17"/>
    <x v="0"/>
    <x v="1"/>
    <s v="DK2_NoDH_PHH"/>
    <x v="21"/>
    <n v="48.384"/>
    <n v="13.44"/>
  </r>
  <r>
    <x v="0"/>
    <x v="17"/>
    <x v="0"/>
    <x v="1"/>
    <s v="DK2_NoDH_PHH"/>
    <x v="22"/>
    <n v="79.847999999999999"/>
    <n v="22.18"/>
  </r>
  <r>
    <x v="0"/>
    <x v="17"/>
    <x v="0"/>
    <x v="1"/>
    <s v="DK2_NoDH_PHL"/>
    <x v="2"/>
    <n v="48.384"/>
    <n v="13.44"/>
  </r>
  <r>
    <x v="0"/>
    <x v="17"/>
    <x v="0"/>
    <x v="1"/>
    <s v="DK2_NoDH_PHL"/>
    <x v="0"/>
    <n v="42.692399999999999"/>
    <n v="11.859"/>
  </r>
  <r>
    <x v="0"/>
    <x v="17"/>
    <x v="0"/>
    <x v="1"/>
    <s v="DK2_NoDH_PHL"/>
    <x v="21"/>
    <n v="48.384"/>
    <n v="13.44"/>
  </r>
  <r>
    <x v="0"/>
    <x v="17"/>
    <x v="0"/>
    <x v="1"/>
    <s v="DK2_NoDH_PHL"/>
    <x v="22"/>
    <n v="79.847999999999999"/>
    <n v="22.18"/>
  </r>
  <r>
    <x v="0"/>
    <x v="17"/>
    <x v="0"/>
    <x v="1"/>
    <s v="DK2_Offshore"/>
    <x v="2"/>
    <n v="48.384"/>
    <n v="13.44"/>
  </r>
  <r>
    <x v="0"/>
    <x v="17"/>
    <x v="0"/>
    <x v="1"/>
    <s v="DK2_Offshore"/>
    <x v="0"/>
    <n v="42.692399999999999"/>
    <n v="11.859"/>
  </r>
  <r>
    <x v="0"/>
    <x v="17"/>
    <x v="0"/>
    <x v="1"/>
    <s v="DK2_Offshore"/>
    <x v="21"/>
    <n v="48.384"/>
    <n v="13.44"/>
  </r>
  <r>
    <x v="0"/>
    <x v="17"/>
    <x v="0"/>
    <x v="1"/>
    <s v="DK2_Offshore"/>
    <x v="22"/>
    <n v="79.847999999999999"/>
    <n v="22.18"/>
  </r>
  <r>
    <x v="0"/>
    <x v="17"/>
    <x v="0"/>
    <x v="1"/>
    <s v="DK2_Rural"/>
    <x v="2"/>
    <n v="48.384"/>
    <n v="13.44"/>
  </r>
  <r>
    <x v="0"/>
    <x v="17"/>
    <x v="0"/>
    <x v="1"/>
    <s v="DK2_Rural"/>
    <x v="0"/>
    <n v="42.692399999999999"/>
    <n v="11.859"/>
  </r>
  <r>
    <x v="0"/>
    <x v="17"/>
    <x v="0"/>
    <x v="1"/>
    <s v="DK2_Rural"/>
    <x v="21"/>
    <n v="48.384"/>
    <n v="13.44"/>
  </r>
  <r>
    <x v="0"/>
    <x v="17"/>
    <x v="0"/>
    <x v="1"/>
    <s v="DK2_Rural"/>
    <x v="22"/>
    <n v="79.847999999999999"/>
    <n v="22.18"/>
  </r>
  <r>
    <x v="0"/>
    <x v="17"/>
    <x v="0"/>
    <x v="1"/>
    <s v="DK2_Small"/>
    <x v="2"/>
    <n v="48.384"/>
    <n v="13.44"/>
  </r>
  <r>
    <x v="0"/>
    <x v="17"/>
    <x v="0"/>
    <x v="1"/>
    <s v="DK2_Small"/>
    <x v="0"/>
    <n v="42.692399999999999"/>
    <n v="11.859"/>
  </r>
  <r>
    <x v="0"/>
    <x v="17"/>
    <x v="0"/>
    <x v="1"/>
    <s v="DK2_Small"/>
    <x v="21"/>
    <n v="48.384"/>
    <n v="13.44"/>
  </r>
  <r>
    <x v="0"/>
    <x v="17"/>
    <x v="0"/>
    <x v="1"/>
    <s v="DK2_Small"/>
    <x v="22"/>
    <n v="79.847999999999999"/>
    <n v="22.18"/>
  </r>
  <r>
    <x v="0"/>
    <x v="17"/>
    <x v="1"/>
    <x v="2"/>
    <s v="EE_A"/>
    <x v="2"/>
    <n v="48.384"/>
    <n v="13.44"/>
  </r>
  <r>
    <x v="0"/>
    <x v="17"/>
    <x v="1"/>
    <x v="2"/>
    <s v="EE_A"/>
    <x v="0"/>
    <n v="42.692399999999999"/>
    <n v="11.859"/>
  </r>
  <r>
    <x v="0"/>
    <x v="17"/>
    <x v="1"/>
    <x v="2"/>
    <s v="EE_A"/>
    <x v="21"/>
    <n v="48.384"/>
    <n v="13.44"/>
  </r>
  <r>
    <x v="0"/>
    <x v="17"/>
    <x v="1"/>
    <x v="2"/>
    <s v="EE_A"/>
    <x v="22"/>
    <n v="79.847999999999999"/>
    <n v="22.18"/>
  </r>
  <r>
    <x v="0"/>
    <x v="17"/>
    <x v="1"/>
    <x v="2"/>
    <s v="EE_Enefit"/>
    <x v="2"/>
    <n v="48.384"/>
    <n v="13.44"/>
  </r>
  <r>
    <x v="0"/>
    <x v="17"/>
    <x v="1"/>
    <x v="2"/>
    <s v="EE_Enefit"/>
    <x v="0"/>
    <n v="42.692399999999999"/>
    <n v="11.859"/>
  </r>
  <r>
    <x v="0"/>
    <x v="17"/>
    <x v="1"/>
    <x v="2"/>
    <s v="EE_Enefit"/>
    <x v="21"/>
    <n v="48.384"/>
    <n v="13.44"/>
  </r>
  <r>
    <x v="0"/>
    <x v="17"/>
    <x v="1"/>
    <x v="2"/>
    <s v="EE_Enefit"/>
    <x v="22"/>
    <n v="79.847999999999999"/>
    <n v="22.18"/>
  </r>
  <r>
    <x v="0"/>
    <x v="17"/>
    <x v="1"/>
    <x v="2"/>
    <s v="EE_Industry"/>
    <x v="2"/>
    <n v="48.384"/>
    <n v="13.44"/>
  </r>
  <r>
    <x v="0"/>
    <x v="17"/>
    <x v="1"/>
    <x v="2"/>
    <s v="EE_Industry"/>
    <x v="0"/>
    <n v="42.692399999999999"/>
    <n v="11.859"/>
  </r>
  <r>
    <x v="0"/>
    <x v="17"/>
    <x v="1"/>
    <x v="2"/>
    <s v="EE_Industry"/>
    <x v="21"/>
    <n v="48.384"/>
    <n v="13.44"/>
  </r>
  <r>
    <x v="0"/>
    <x v="17"/>
    <x v="1"/>
    <x v="2"/>
    <s v="EE_Industry"/>
    <x v="22"/>
    <n v="79.847999999999999"/>
    <n v="22.18"/>
  </r>
  <r>
    <x v="0"/>
    <x v="17"/>
    <x v="1"/>
    <x v="2"/>
    <s v="EE_Kohtla_Jarve"/>
    <x v="2"/>
    <n v="48.384"/>
    <n v="13.44"/>
  </r>
  <r>
    <x v="0"/>
    <x v="17"/>
    <x v="1"/>
    <x v="2"/>
    <s v="EE_Kohtla_Jarve"/>
    <x v="0"/>
    <n v="42.692399999999999"/>
    <n v="11.859"/>
  </r>
  <r>
    <x v="0"/>
    <x v="17"/>
    <x v="1"/>
    <x v="2"/>
    <s v="EE_Kohtla_Jarve"/>
    <x v="21"/>
    <n v="48.384"/>
    <n v="13.44"/>
  </r>
  <r>
    <x v="0"/>
    <x v="17"/>
    <x v="1"/>
    <x v="2"/>
    <s v="EE_Kohtla_Jarve"/>
    <x v="22"/>
    <n v="79.847999999999999"/>
    <n v="22.18"/>
  </r>
  <r>
    <x v="0"/>
    <x v="17"/>
    <x v="1"/>
    <x v="2"/>
    <s v="EE_Narva"/>
    <x v="2"/>
    <n v="48.384"/>
    <n v="13.44"/>
  </r>
  <r>
    <x v="0"/>
    <x v="17"/>
    <x v="1"/>
    <x v="2"/>
    <s v="EE_Narva"/>
    <x v="0"/>
    <n v="42.692399999999999"/>
    <n v="11.859"/>
  </r>
  <r>
    <x v="0"/>
    <x v="17"/>
    <x v="1"/>
    <x v="2"/>
    <s v="EE_Narva"/>
    <x v="21"/>
    <n v="48.384"/>
    <n v="13.44"/>
  </r>
  <r>
    <x v="0"/>
    <x v="17"/>
    <x v="1"/>
    <x v="2"/>
    <s v="EE_Narva"/>
    <x v="22"/>
    <n v="79.847999999999999"/>
    <n v="22.18"/>
  </r>
  <r>
    <x v="0"/>
    <x v="17"/>
    <x v="1"/>
    <x v="2"/>
    <s v="EE_OFFSHORE"/>
    <x v="2"/>
    <n v="48.384"/>
    <n v="13.44"/>
  </r>
  <r>
    <x v="0"/>
    <x v="17"/>
    <x v="1"/>
    <x v="2"/>
    <s v="EE_OFFSHORE"/>
    <x v="0"/>
    <n v="42.692399999999999"/>
    <n v="11.859"/>
  </r>
  <r>
    <x v="0"/>
    <x v="17"/>
    <x v="1"/>
    <x v="2"/>
    <s v="EE_OFFSHORE"/>
    <x v="21"/>
    <n v="48.384"/>
    <n v="13.44"/>
  </r>
  <r>
    <x v="0"/>
    <x v="17"/>
    <x v="1"/>
    <x v="2"/>
    <s v="EE_OFFSHORE"/>
    <x v="22"/>
    <n v="79.847999999999999"/>
    <n v="22.18"/>
  </r>
  <r>
    <x v="0"/>
    <x v="17"/>
    <x v="1"/>
    <x v="2"/>
    <s v="EE_Parnu"/>
    <x v="2"/>
    <n v="48.384"/>
    <n v="13.44"/>
  </r>
  <r>
    <x v="0"/>
    <x v="17"/>
    <x v="1"/>
    <x v="2"/>
    <s v="EE_Parnu"/>
    <x v="0"/>
    <n v="42.692399999999999"/>
    <n v="11.859"/>
  </r>
  <r>
    <x v="0"/>
    <x v="17"/>
    <x v="1"/>
    <x v="2"/>
    <s v="EE_Parnu"/>
    <x v="21"/>
    <n v="48.384"/>
    <n v="13.44"/>
  </r>
  <r>
    <x v="0"/>
    <x v="17"/>
    <x v="1"/>
    <x v="2"/>
    <s v="EE_Parnu"/>
    <x v="22"/>
    <n v="79.847999999999999"/>
    <n v="22.18"/>
  </r>
  <r>
    <x v="0"/>
    <x v="17"/>
    <x v="1"/>
    <x v="2"/>
    <s v="EE_Rural"/>
    <x v="2"/>
    <n v="48.384"/>
    <n v="13.44"/>
  </r>
  <r>
    <x v="0"/>
    <x v="17"/>
    <x v="1"/>
    <x v="2"/>
    <s v="EE_Rural"/>
    <x v="0"/>
    <n v="42.692399999999999"/>
    <n v="11.859"/>
  </r>
  <r>
    <x v="0"/>
    <x v="17"/>
    <x v="1"/>
    <x v="2"/>
    <s v="EE_Rural"/>
    <x v="21"/>
    <n v="48.384"/>
    <n v="13.44"/>
  </r>
  <r>
    <x v="0"/>
    <x v="17"/>
    <x v="1"/>
    <x v="2"/>
    <s v="EE_Rural"/>
    <x v="22"/>
    <n v="79.847999999999999"/>
    <n v="22.18"/>
  </r>
  <r>
    <x v="0"/>
    <x v="17"/>
    <x v="1"/>
    <x v="2"/>
    <s v="EE_Sillamae"/>
    <x v="2"/>
    <n v="48.384"/>
    <n v="13.44"/>
  </r>
  <r>
    <x v="0"/>
    <x v="17"/>
    <x v="1"/>
    <x v="2"/>
    <s v="EE_Sillamae"/>
    <x v="0"/>
    <n v="42.692399999999999"/>
    <n v="11.859"/>
  </r>
  <r>
    <x v="0"/>
    <x v="17"/>
    <x v="1"/>
    <x v="2"/>
    <s v="EE_Sillamae"/>
    <x v="21"/>
    <n v="48.384"/>
    <n v="13.44"/>
  </r>
  <r>
    <x v="0"/>
    <x v="17"/>
    <x v="1"/>
    <x v="2"/>
    <s v="EE_Sillamae"/>
    <x v="22"/>
    <n v="79.847999999999999"/>
    <n v="22.18"/>
  </r>
  <r>
    <x v="0"/>
    <x v="17"/>
    <x v="1"/>
    <x v="2"/>
    <s v="EE_Tallinn"/>
    <x v="2"/>
    <n v="48.384"/>
    <n v="13.44"/>
  </r>
  <r>
    <x v="0"/>
    <x v="17"/>
    <x v="1"/>
    <x v="2"/>
    <s v="EE_Tallinn"/>
    <x v="0"/>
    <n v="42.692399999999999"/>
    <n v="11.859"/>
  </r>
  <r>
    <x v="0"/>
    <x v="17"/>
    <x v="1"/>
    <x v="2"/>
    <s v="EE_Tallinn"/>
    <x v="21"/>
    <n v="48.384"/>
    <n v="13.44"/>
  </r>
  <r>
    <x v="0"/>
    <x v="17"/>
    <x v="1"/>
    <x v="2"/>
    <s v="EE_Tallinn"/>
    <x v="22"/>
    <n v="79.847999999999999"/>
    <n v="22.18"/>
  </r>
  <r>
    <x v="0"/>
    <x v="17"/>
    <x v="1"/>
    <x v="2"/>
    <s v="EE_Tartu"/>
    <x v="2"/>
    <n v="48.384"/>
    <n v="13.44"/>
  </r>
  <r>
    <x v="0"/>
    <x v="17"/>
    <x v="1"/>
    <x v="2"/>
    <s v="EE_Tartu"/>
    <x v="0"/>
    <n v="42.692399999999999"/>
    <n v="11.859"/>
  </r>
  <r>
    <x v="0"/>
    <x v="17"/>
    <x v="1"/>
    <x v="2"/>
    <s v="EE_Tartu"/>
    <x v="21"/>
    <n v="48.384"/>
    <n v="13.44"/>
  </r>
  <r>
    <x v="0"/>
    <x v="17"/>
    <x v="1"/>
    <x v="2"/>
    <s v="EE_Tartu"/>
    <x v="22"/>
    <n v="79.847999999999999"/>
    <n v="22.18"/>
  </r>
  <r>
    <x v="0"/>
    <x v="17"/>
    <x v="1"/>
    <x v="2"/>
    <s v="EE_Urban"/>
    <x v="2"/>
    <n v="48.384"/>
    <n v="13.44"/>
  </r>
  <r>
    <x v="0"/>
    <x v="17"/>
    <x v="1"/>
    <x v="2"/>
    <s v="EE_Urban"/>
    <x v="0"/>
    <n v="42.692399999999999"/>
    <n v="11.859"/>
  </r>
  <r>
    <x v="0"/>
    <x v="17"/>
    <x v="1"/>
    <x v="2"/>
    <s v="EE_Urban"/>
    <x v="21"/>
    <n v="48.384"/>
    <n v="13.44"/>
  </r>
  <r>
    <x v="0"/>
    <x v="17"/>
    <x v="1"/>
    <x v="2"/>
    <s v="EE_Urban"/>
    <x v="22"/>
    <n v="79.847999999999999"/>
    <n v="22.18"/>
  </r>
  <r>
    <x v="0"/>
    <x v="17"/>
    <x v="2"/>
    <x v="3"/>
    <s v="FI_IND"/>
    <x v="2"/>
    <n v="48.384"/>
    <n v="13.44"/>
  </r>
  <r>
    <x v="0"/>
    <x v="17"/>
    <x v="2"/>
    <x v="3"/>
    <s v="FI_IND"/>
    <x v="0"/>
    <n v="42.692399999999999"/>
    <n v="11.859"/>
  </r>
  <r>
    <x v="0"/>
    <x v="17"/>
    <x v="2"/>
    <x v="3"/>
    <s v="FI_IND"/>
    <x v="21"/>
    <n v="48.384"/>
    <n v="13.44"/>
  </r>
  <r>
    <x v="0"/>
    <x v="17"/>
    <x v="2"/>
    <x v="3"/>
    <s v="FI_IND"/>
    <x v="22"/>
    <n v="79.847999999999999"/>
    <n v="22.18"/>
  </r>
  <r>
    <x v="0"/>
    <x v="17"/>
    <x v="2"/>
    <x v="3"/>
    <s v="FI_Offshore"/>
    <x v="2"/>
    <n v="48.384"/>
    <n v="13.44"/>
  </r>
  <r>
    <x v="0"/>
    <x v="17"/>
    <x v="2"/>
    <x v="3"/>
    <s v="FI_Offshore"/>
    <x v="0"/>
    <n v="42.692399999999999"/>
    <n v="11.859"/>
  </r>
  <r>
    <x v="0"/>
    <x v="17"/>
    <x v="2"/>
    <x v="3"/>
    <s v="FI_Offshore"/>
    <x v="21"/>
    <n v="48.384"/>
    <n v="13.44"/>
  </r>
  <r>
    <x v="0"/>
    <x v="17"/>
    <x v="2"/>
    <x v="3"/>
    <s v="FI_Offshore"/>
    <x v="22"/>
    <n v="79.847999999999999"/>
    <n v="22.18"/>
  </r>
  <r>
    <x v="0"/>
    <x v="17"/>
    <x v="2"/>
    <x v="3"/>
    <s v="FI_large"/>
    <x v="2"/>
    <n v="48.384"/>
    <n v="13.44"/>
  </r>
  <r>
    <x v="0"/>
    <x v="17"/>
    <x v="2"/>
    <x v="3"/>
    <s v="FI_large"/>
    <x v="0"/>
    <n v="42.692399999999999"/>
    <n v="11.859"/>
  </r>
  <r>
    <x v="0"/>
    <x v="17"/>
    <x v="2"/>
    <x v="3"/>
    <s v="FI_large"/>
    <x v="21"/>
    <n v="48.384"/>
    <n v="13.44"/>
  </r>
  <r>
    <x v="0"/>
    <x v="17"/>
    <x v="2"/>
    <x v="3"/>
    <s v="FI_large"/>
    <x v="22"/>
    <n v="79.847999999999999"/>
    <n v="22.18"/>
  </r>
  <r>
    <x v="0"/>
    <x v="17"/>
    <x v="2"/>
    <x v="3"/>
    <s v="FI_large_gas"/>
    <x v="2"/>
    <n v="48.384"/>
    <n v="13.44"/>
  </r>
  <r>
    <x v="0"/>
    <x v="17"/>
    <x v="2"/>
    <x v="3"/>
    <s v="FI_large_gas"/>
    <x v="0"/>
    <n v="42.692399999999999"/>
    <n v="11.859"/>
  </r>
  <r>
    <x v="0"/>
    <x v="17"/>
    <x v="2"/>
    <x v="3"/>
    <s v="FI_large_gas"/>
    <x v="21"/>
    <n v="48.384"/>
    <n v="13.44"/>
  </r>
  <r>
    <x v="0"/>
    <x v="17"/>
    <x v="2"/>
    <x v="3"/>
    <s v="FI_large_gas"/>
    <x v="22"/>
    <n v="79.847999999999999"/>
    <n v="22.18"/>
  </r>
  <r>
    <x v="0"/>
    <x v="17"/>
    <x v="2"/>
    <x v="3"/>
    <s v="FI_medium"/>
    <x v="2"/>
    <n v="48.384"/>
    <n v="13.44"/>
  </r>
  <r>
    <x v="0"/>
    <x v="17"/>
    <x v="2"/>
    <x v="3"/>
    <s v="FI_medium"/>
    <x v="0"/>
    <n v="42.692399999999999"/>
    <n v="11.859"/>
  </r>
  <r>
    <x v="0"/>
    <x v="17"/>
    <x v="2"/>
    <x v="3"/>
    <s v="FI_medium"/>
    <x v="21"/>
    <n v="48.384"/>
    <n v="13.44"/>
  </r>
  <r>
    <x v="0"/>
    <x v="17"/>
    <x v="2"/>
    <x v="3"/>
    <s v="FI_medium"/>
    <x v="22"/>
    <n v="79.847999999999999"/>
    <n v="22.18"/>
  </r>
  <r>
    <x v="0"/>
    <x v="17"/>
    <x v="2"/>
    <x v="3"/>
    <s v="FI_medium_gas"/>
    <x v="2"/>
    <n v="48.384"/>
    <n v="13.44"/>
  </r>
  <r>
    <x v="0"/>
    <x v="17"/>
    <x v="2"/>
    <x v="3"/>
    <s v="FI_medium_gas"/>
    <x v="0"/>
    <n v="42.692399999999999"/>
    <n v="11.859"/>
  </r>
  <r>
    <x v="0"/>
    <x v="17"/>
    <x v="2"/>
    <x v="3"/>
    <s v="FI_medium_gas"/>
    <x v="21"/>
    <n v="48.384"/>
    <n v="13.44"/>
  </r>
  <r>
    <x v="0"/>
    <x v="17"/>
    <x v="2"/>
    <x v="3"/>
    <s v="FI_medium_gas"/>
    <x v="22"/>
    <n v="79.847999999999999"/>
    <n v="22.18"/>
  </r>
  <r>
    <x v="0"/>
    <x v="17"/>
    <x v="2"/>
    <x v="3"/>
    <s v="FI_small"/>
    <x v="2"/>
    <n v="48.384"/>
    <n v="13.44"/>
  </r>
  <r>
    <x v="0"/>
    <x v="17"/>
    <x v="2"/>
    <x v="3"/>
    <s v="FI_small"/>
    <x v="0"/>
    <n v="42.692399999999999"/>
    <n v="11.859"/>
  </r>
  <r>
    <x v="0"/>
    <x v="17"/>
    <x v="2"/>
    <x v="3"/>
    <s v="FI_small"/>
    <x v="21"/>
    <n v="48.384"/>
    <n v="13.44"/>
  </r>
  <r>
    <x v="0"/>
    <x v="17"/>
    <x v="2"/>
    <x v="3"/>
    <s v="FI_small"/>
    <x v="22"/>
    <n v="79.847999999999999"/>
    <n v="22.18"/>
  </r>
  <r>
    <x v="0"/>
    <x v="17"/>
    <x v="2"/>
    <x v="3"/>
    <s v="FI_small_gas"/>
    <x v="2"/>
    <n v="48.384"/>
    <n v="13.44"/>
  </r>
  <r>
    <x v="0"/>
    <x v="17"/>
    <x v="2"/>
    <x v="3"/>
    <s v="FI_small_gas"/>
    <x v="0"/>
    <n v="42.692399999999999"/>
    <n v="11.859"/>
  </r>
  <r>
    <x v="0"/>
    <x v="17"/>
    <x v="2"/>
    <x v="3"/>
    <s v="FI_small_gas"/>
    <x v="21"/>
    <n v="48.384"/>
    <n v="13.44"/>
  </r>
  <r>
    <x v="0"/>
    <x v="17"/>
    <x v="2"/>
    <x v="3"/>
    <s v="FI_small_gas"/>
    <x v="22"/>
    <n v="79.847999999999999"/>
    <n v="22.18"/>
  </r>
  <r>
    <x v="0"/>
    <x v="17"/>
    <x v="2"/>
    <x v="3"/>
    <s v="FinA"/>
    <x v="2"/>
    <n v="48.384"/>
    <n v="13.44"/>
  </r>
  <r>
    <x v="0"/>
    <x v="17"/>
    <x v="2"/>
    <x v="3"/>
    <s v="FinA"/>
    <x v="0"/>
    <n v="42.692399999999999"/>
    <n v="11.859"/>
  </r>
  <r>
    <x v="0"/>
    <x v="17"/>
    <x v="2"/>
    <x v="3"/>
    <s v="FinA"/>
    <x v="21"/>
    <n v="48.384"/>
    <n v="13.44"/>
  </r>
  <r>
    <x v="0"/>
    <x v="17"/>
    <x v="2"/>
    <x v="3"/>
    <s v="FinA"/>
    <x v="22"/>
    <n v="79.847999999999999"/>
    <n v="22.18"/>
  </r>
  <r>
    <x v="0"/>
    <x v="17"/>
    <x v="3"/>
    <x v="4"/>
    <s v="DE4-E_A"/>
    <x v="2"/>
    <n v="48.384"/>
    <n v="13.44"/>
  </r>
  <r>
    <x v="0"/>
    <x v="17"/>
    <x v="3"/>
    <x v="4"/>
    <s v="DE4-E_A"/>
    <x v="0"/>
    <n v="42.692399999999999"/>
    <n v="11.859"/>
  </r>
  <r>
    <x v="0"/>
    <x v="17"/>
    <x v="3"/>
    <x v="4"/>
    <s v="DE4-E_A"/>
    <x v="21"/>
    <n v="48.384"/>
    <n v="13.44"/>
  </r>
  <r>
    <x v="0"/>
    <x v="17"/>
    <x v="3"/>
    <x v="4"/>
    <s v="DE4-E_A"/>
    <x v="22"/>
    <n v="79.847999999999999"/>
    <n v="22.18"/>
  </r>
  <r>
    <x v="0"/>
    <x v="17"/>
    <x v="3"/>
    <x v="4"/>
    <s v="DE4-E_Offshore_A"/>
    <x v="2"/>
    <n v="48.384"/>
    <n v="13.44"/>
  </r>
  <r>
    <x v="0"/>
    <x v="17"/>
    <x v="3"/>
    <x v="4"/>
    <s v="DE4-E_Offshore_A"/>
    <x v="0"/>
    <n v="42.692399999999999"/>
    <n v="11.859"/>
  </r>
  <r>
    <x v="0"/>
    <x v="17"/>
    <x v="3"/>
    <x v="4"/>
    <s v="DE4-E_Offshore_A"/>
    <x v="21"/>
    <n v="48.384"/>
    <n v="13.44"/>
  </r>
  <r>
    <x v="0"/>
    <x v="17"/>
    <x v="3"/>
    <x v="4"/>
    <s v="DE4-E_Offshore_A"/>
    <x v="22"/>
    <n v="79.847999999999999"/>
    <n v="22.18"/>
  </r>
  <r>
    <x v="0"/>
    <x v="17"/>
    <x v="3"/>
    <x v="5"/>
    <s v="DE4-N_A"/>
    <x v="2"/>
    <n v="48.384"/>
    <n v="13.44"/>
  </r>
  <r>
    <x v="0"/>
    <x v="17"/>
    <x v="3"/>
    <x v="5"/>
    <s v="DE4-N_A"/>
    <x v="0"/>
    <n v="42.692399999999999"/>
    <n v="11.859"/>
  </r>
  <r>
    <x v="0"/>
    <x v="17"/>
    <x v="3"/>
    <x v="5"/>
    <s v="DE4-N_A"/>
    <x v="21"/>
    <n v="48.384"/>
    <n v="13.44"/>
  </r>
  <r>
    <x v="0"/>
    <x v="17"/>
    <x v="3"/>
    <x v="5"/>
    <s v="DE4-N_A"/>
    <x v="22"/>
    <n v="79.847999999999999"/>
    <n v="22.18"/>
  </r>
  <r>
    <x v="0"/>
    <x v="17"/>
    <x v="3"/>
    <x v="5"/>
    <s v="DE4-N_Offshore_A"/>
    <x v="2"/>
    <n v="48.384"/>
    <n v="13.44"/>
  </r>
  <r>
    <x v="0"/>
    <x v="17"/>
    <x v="3"/>
    <x v="5"/>
    <s v="DE4-N_Offshore_A"/>
    <x v="0"/>
    <n v="42.692399999999999"/>
    <n v="11.859"/>
  </r>
  <r>
    <x v="0"/>
    <x v="17"/>
    <x v="3"/>
    <x v="5"/>
    <s v="DE4-N_Offshore_A"/>
    <x v="21"/>
    <n v="48.384"/>
    <n v="13.44"/>
  </r>
  <r>
    <x v="0"/>
    <x v="17"/>
    <x v="3"/>
    <x v="5"/>
    <s v="DE4-N_Offshore_A"/>
    <x v="22"/>
    <n v="79.847999999999999"/>
    <n v="22.18"/>
  </r>
  <r>
    <x v="0"/>
    <x v="17"/>
    <x v="3"/>
    <x v="6"/>
    <s v="DE4-S_A"/>
    <x v="2"/>
    <n v="48.384"/>
    <n v="13.44"/>
  </r>
  <r>
    <x v="0"/>
    <x v="17"/>
    <x v="3"/>
    <x v="6"/>
    <s v="DE4-S_A"/>
    <x v="0"/>
    <n v="42.692399999999999"/>
    <n v="11.859"/>
  </r>
  <r>
    <x v="0"/>
    <x v="17"/>
    <x v="3"/>
    <x v="6"/>
    <s v="DE4-S_A"/>
    <x v="21"/>
    <n v="48.384"/>
    <n v="13.44"/>
  </r>
  <r>
    <x v="0"/>
    <x v="17"/>
    <x v="3"/>
    <x v="6"/>
    <s v="DE4-S_A"/>
    <x v="22"/>
    <n v="79.847999999999999"/>
    <n v="22.18"/>
  </r>
  <r>
    <x v="0"/>
    <x v="17"/>
    <x v="3"/>
    <x v="7"/>
    <s v="DE4-W_A"/>
    <x v="2"/>
    <n v="48.384"/>
    <n v="13.44"/>
  </r>
  <r>
    <x v="0"/>
    <x v="17"/>
    <x v="3"/>
    <x v="7"/>
    <s v="DE4-W_A"/>
    <x v="0"/>
    <n v="42.692399999999999"/>
    <n v="11.859"/>
  </r>
  <r>
    <x v="0"/>
    <x v="17"/>
    <x v="3"/>
    <x v="7"/>
    <s v="DE4-W_A"/>
    <x v="21"/>
    <n v="48.384"/>
    <n v="13.44"/>
  </r>
  <r>
    <x v="0"/>
    <x v="17"/>
    <x v="3"/>
    <x v="7"/>
    <s v="DE4-W_A"/>
    <x v="22"/>
    <n v="79.847999999999999"/>
    <n v="22.18"/>
  </r>
  <r>
    <x v="0"/>
    <x v="17"/>
    <x v="3"/>
    <x v="7"/>
    <s v="DE4-W_Offshore_A"/>
    <x v="2"/>
    <n v="48.384"/>
    <n v="13.44"/>
  </r>
  <r>
    <x v="0"/>
    <x v="17"/>
    <x v="3"/>
    <x v="7"/>
    <s v="DE4-W_Offshore_A"/>
    <x v="0"/>
    <n v="42.692399999999999"/>
    <n v="11.859"/>
  </r>
  <r>
    <x v="0"/>
    <x v="17"/>
    <x v="3"/>
    <x v="7"/>
    <s v="DE4-W_Offshore_A"/>
    <x v="21"/>
    <n v="48.384"/>
    <n v="13.44"/>
  </r>
  <r>
    <x v="0"/>
    <x v="17"/>
    <x v="3"/>
    <x v="7"/>
    <s v="DE4-W_Offshore_A"/>
    <x v="22"/>
    <n v="79.847999999999999"/>
    <n v="22.18"/>
  </r>
  <r>
    <x v="0"/>
    <x v="17"/>
    <x v="4"/>
    <x v="8"/>
    <s v="LV_A"/>
    <x v="2"/>
    <n v="48.384"/>
    <n v="13.44"/>
  </r>
  <r>
    <x v="0"/>
    <x v="17"/>
    <x v="4"/>
    <x v="8"/>
    <s v="LV_A"/>
    <x v="0"/>
    <n v="42.692399999999999"/>
    <n v="11.859"/>
  </r>
  <r>
    <x v="0"/>
    <x v="17"/>
    <x v="4"/>
    <x v="8"/>
    <s v="LV_A"/>
    <x v="21"/>
    <n v="48.384"/>
    <n v="13.44"/>
  </r>
  <r>
    <x v="0"/>
    <x v="17"/>
    <x v="4"/>
    <x v="8"/>
    <s v="LV_A"/>
    <x v="22"/>
    <n v="79.847999999999999"/>
    <n v="22.18"/>
  </r>
  <r>
    <x v="0"/>
    <x v="17"/>
    <x v="4"/>
    <x v="8"/>
    <s v="LV_OFFSHORE"/>
    <x v="2"/>
    <n v="48.384"/>
    <n v="13.44"/>
  </r>
  <r>
    <x v="0"/>
    <x v="17"/>
    <x v="4"/>
    <x v="8"/>
    <s v="LV_OFFSHORE"/>
    <x v="0"/>
    <n v="42.692399999999999"/>
    <n v="11.859"/>
  </r>
  <r>
    <x v="0"/>
    <x v="17"/>
    <x v="4"/>
    <x v="8"/>
    <s v="LV_OFFSHORE"/>
    <x v="21"/>
    <n v="48.384"/>
    <n v="13.44"/>
  </r>
  <r>
    <x v="0"/>
    <x v="17"/>
    <x v="4"/>
    <x v="8"/>
    <s v="LV_OFFSHORE"/>
    <x v="22"/>
    <n v="79.847999999999999"/>
    <n v="22.18"/>
  </r>
  <r>
    <x v="0"/>
    <x v="17"/>
    <x v="4"/>
    <x v="8"/>
    <s v="LV_Other_DH"/>
    <x v="2"/>
    <n v="48.384"/>
    <n v="13.44"/>
  </r>
  <r>
    <x v="0"/>
    <x v="17"/>
    <x v="4"/>
    <x v="8"/>
    <s v="LV_Other_DH"/>
    <x v="0"/>
    <n v="42.692399999999999"/>
    <n v="11.859"/>
  </r>
  <r>
    <x v="0"/>
    <x v="17"/>
    <x v="4"/>
    <x v="8"/>
    <s v="LV_Other_DH"/>
    <x v="21"/>
    <n v="48.384"/>
    <n v="13.44"/>
  </r>
  <r>
    <x v="0"/>
    <x v="17"/>
    <x v="4"/>
    <x v="8"/>
    <s v="LV_Other_DH"/>
    <x v="22"/>
    <n v="79.847999999999999"/>
    <n v="22.18"/>
  </r>
  <r>
    <x v="0"/>
    <x v="17"/>
    <x v="4"/>
    <x v="8"/>
    <s v="LV_RigaR"/>
    <x v="2"/>
    <n v="48.384"/>
    <n v="13.44"/>
  </r>
  <r>
    <x v="0"/>
    <x v="17"/>
    <x v="4"/>
    <x v="8"/>
    <s v="LV_RigaR"/>
    <x v="0"/>
    <n v="42.692399999999999"/>
    <n v="11.859"/>
  </r>
  <r>
    <x v="0"/>
    <x v="17"/>
    <x v="4"/>
    <x v="8"/>
    <s v="LV_RigaR"/>
    <x v="21"/>
    <n v="48.384"/>
    <n v="13.44"/>
  </r>
  <r>
    <x v="0"/>
    <x v="17"/>
    <x v="4"/>
    <x v="8"/>
    <s v="LV_RigaR"/>
    <x v="22"/>
    <n v="79.847999999999999"/>
    <n v="22.18"/>
  </r>
  <r>
    <x v="0"/>
    <x v="17"/>
    <x v="4"/>
    <x v="8"/>
    <s v="LV_Rural"/>
    <x v="2"/>
    <n v="48.384"/>
    <n v="13.44"/>
  </r>
  <r>
    <x v="0"/>
    <x v="17"/>
    <x v="4"/>
    <x v="8"/>
    <s v="LV_Rural"/>
    <x v="0"/>
    <n v="42.692399999999999"/>
    <n v="11.859"/>
  </r>
  <r>
    <x v="0"/>
    <x v="17"/>
    <x v="4"/>
    <x v="8"/>
    <s v="LV_Rural"/>
    <x v="21"/>
    <n v="48.384"/>
    <n v="13.44"/>
  </r>
  <r>
    <x v="0"/>
    <x v="17"/>
    <x v="4"/>
    <x v="8"/>
    <s v="LV_Rural"/>
    <x v="22"/>
    <n v="79.847999999999999"/>
    <n v="22.18"/>
  </r>
  <r>
    <x v="0"/>
    <x v="17"/>
    <x v="5"/>
    <x v="9"/>
    <s v="LT_A"/>
    <x v="2"/>
    <n v="48.384"/>
    <n v="13.44"/>
  </r>
  <r>
    <x v="0"/>
    <x v="17"/>
    <x v="5"/>
    <x v="9"/>
    <s v="LT_A"/>
    <x v="0"/>
    <n v="42.692399999999999"/>
    <n v="11.859"/>
  </r>
  <r>
    <x v="0"/>
    <x v="17"/>
    <x v="5"/>
    <x v="9"/>
    <s v="LT_A"/>
    <x v="21"/>
    <n v="48.384"/>
    <n v="13.44"/>
  </r>
  <r>
    <x v="0"/>
    <x v="17"/>
    <x v="5"/>
    <x v="9"/>
    <s v="LT_A"/>
    <x v="22"/>
    <n v="79.847999999999999"/>
    <n v="22.18"/>
  </r>
  <r>
    <x v="0"/>
    <x v="17"/>
    <x v="5"/>
    <x v="9"/>
    <s v="LT_KauU"/>
    <x v="2"/>
    <n v="48.384"/>
    <n v="13.44"/>
  </r>
  <r>
    <x v="0"/>
    <x v="17"/>
    <x v="5"/>
    <x v="9"/>
    <s v="LT_KauU"/>
    <x v="0"/>
    <n v="42.692399999999999"/>
    <n v="11.859"/>
  </r>
  <r>
    <x v="0"/>
    <x v="17"/>
    <x v="5"/>
    <x v="9"/>
    <s v="LT_KauU"/>
    <x v="21"/>
    <n v="48.384"/>
    <n v="13.44"/>
  </r>
  <r>
    <x v="0"/>
    <x v="17"/>
    <x v="5"/>
    <x v="9"/>
    <s v="LT_KauU"/>
    <x v="22"/>
    <n v="79.847999999999999"/>
    <n v="22.18"/>
  </r>
  <r>
    <x v="0"/>
    <x v="17"/>
    <x v="5"/>
    <x v="9"/>
    <s v="LT_KlaU"/>
    <x v="2"/>
    <n v="48.384"/>
    <n v="13.44"/>
  </r>
  <r>
    <x v="0"/>
    <x v="17"/>
    <x v="5"/>
    <x v="9"/>
    <s v="LT_KlaU"/>
    <x v="0"/>
    <n v="42.692399999999999"/>
    <n v="11.859"/>
  </r>
  <r>
    <x v="0"/>
    <x v="17"/>
    <x v="5"/>
    <x v="9"/>
    <s v="LT_KlaU"/>
    <x v="21"/>
    <n v="48.384"/>
    <n v="13.44"/>
  </r>
  <r>
    <x v="0"/>
    <x v="17"/>
    <x v="5"/>
    <x v="9"/>
    <s v="LT_KlaU"/>
    <x v="22"/>
    <n v="79.847999999999999"/>
    <n v="22.18"/>
  </r>
  <r>
    <x v="0"/>
    <x v="17"/>
    <x v="5"/>
    <x v="9"/>
    <s v="LT_OFFSHORE"/>
    <x v="2"/>
    <n v="48.384"/>
    <n v="13.44"/>
  </r>
  <r>
    <x v="0"/>
    <x v="17"/>
    <x v="5"/>
    <x v="9"/>
    <s v="LT_OFFSHORE"/>
    <x v="0"/>
    <n v="42.692399999999999"/>
    <n v="11.859"/>
  </r>
  <r>
    <x v="0"/>
    <x v="17"/>
    <x v="5"/>
    <x v="9"/>
    <s v="LT_OFFSHORE"/>
    <x v="21"/>
    <n v="48.384"/>
    <n v="13.44"/>
  </r>
  <r>
    <x v="0"/>
    <x v="17"/>
    <x v="5"/>
    <x v="9"/>
    <s v="LT_OFFSHORE"/>
    <x v="22"/>
    <n v="79.847999999999999"/>
    <n v="22.18"/>
  </r>
  <r>
    <x v="0"/>
    <x v="17"/>
    <x v="5"/>
    <x v="9"/>
    <s v="LT_Other_DH"/>
    <x v="2"/>
    <n v="48.384"/>
    <n v="13.44"/>
  </r>
  <r>
    <x v="0"/>
    <x v="17"/>
    <x v="5"/>
    <x v="9"/>
    <s v="LT_Other_DH"/>
    <x v="0"/>
    <n v="42.692399999999999"/>
    <n v="11.859"/>
  </r>
  <r>
    <x v="0"/>
    <x v="17"/>
    <x v="5"/>
    <x v="9"/>
    <s v="LT_Other_DH"/>
    <x v="21"/>
    <n v="48.384"/>
    <n v="13.44"/>
  </r>
  <r>
    <x v="0"/>
    <x v="17"/>
    <x v="5"/>
    <x v="9"/>
    <s v="LT_Other_DH"/>
    <x v="22"/>
    <n v="79.847999999999999"/>
    <n v="22.18"/>
  </r>
  <r>
    <x v="0"/>
    <x v="17"/>
    <x v="5"/>
    <x v="9"/>
    <s v="LT_Panevezys"/>
    <x v="2"/>
    <n v="48.384"/>
    <n v="13.44"/>
  </r>
  <r>
    <x v="0"/>
    <x v="17"/>
    <x v="5"/>
    <x v="9"/>
    <s v="LT_Panevezys"/>
    <x v="0"/>
    <n v="42.692399999999999"/>
    <n v="11.859"/>
  </r>
  <r>
    <x v="0"/>
    <x v="17"/>
    <x v="5"/>
    <x v="9"/>
    <s v="LT_Panevezys"/>
    <x v="21"/>
    <n v="48.384"/>
    <n v="13.44"/>
  </r>
  <r>
    <x v="0"/>
    <x v="17"/>
    <x v="5"/>
    <x v="9"/>
    <s v="LT_Panevezys"/>
    <x v="22"/>
    <n v="79.847999999999999"/>
    <n v="22.18"/>
  </r>
  <r>
    <x v="0"/>
    <x v="17"/>
    <x v="5"/>
    <x v="9"/>
    <s v="LT_Rural"/>
    <x v="2"/>
    <n v="48.384"/>
    <n v="13.44"/>
  </r>
  <r>
    <x v="0"/>
    <x v="17"/>
    <x v="5"/>
    <x v="9"/>
    <s v="LT_Rural"/>
    <x v="0"/>
    <n v="42.692399999999999"/>
    <n v="11.859"/>
  </r>
  <r>
    <x v="0"/>
    <x v="17"/>
    <x v="5"/>
    <x v="9"/>
    <s v="LT_Rural"/>
    <x v="21"/>
    <n v="48.384"/>
    <n v="13.44"/>
  </r>
  <r>
    <x v="0"/>
    <x v="17"/>
    <x v="5"/>
    <x v="9"/>
    <s v="LT_Rural"/>
    <x v="22"/>
    <n v="79.847999999999999"/>
    <n v="22.18"/>
  </r>
  <r>
    <x v="0"/>
    <x v="17"/>
    <x v="5"/>
    <x v="9"/>
    <s v="LT_SiaU"/>
    <x v="2"/>
    <n v="48.384"/>
    <n v="13.44"/>
  </r>
  <r>
    <x v="0"/>
    <x v="17"/>
    <x v="5"/>
    <x v="9"/>
    <s v="LT_SiaU"/>
    <x v="0"/>
    <n v="42.692399999999999"/>
    <n v="11.859"/>
  </r>
  <r>
    <x v="0"/>
    <x v="17"/>
    <x v="5"/>
    <x v="9"/>
    <s v="LT_SiaU"/>
    <x v="21"/>
    <n v="48.384"/>
    <n v="13.44"/>
  </r>
  <r>
    <x v="0"/>
    <x v="17"/>
    <x v="5"/>
    <x v="9"/>
    <s v="LT_SiaU"/>
    <x v="22"/>
    <n v="79.847999999999999"/>
    <n v="22.18"/>
  </r>
  <r>
    <x v="0"/>
    <x v="17"/>
    <x v="5"/>
    <x v="9"/>
    <s v="LT_VilU"/>
    <x v="2"/>
    <n v="48.384"/>
    <n v="13.44"/>
  </r>
  <r>
    <x v="0"/>
    <x v="17"/>
    <x v="5"/>
    <x v="9"/>
    <s v="LT_VilU"/>
    <x v="0"/>
    <n v="42.692399999999999"/>
    <n v="11.859"/>
  </r>
  <r>
    <x v="0"/>
    <x v="17"/>
    <x v="5"/>
    <x v="9"/>
    <s v="LT_VilU"/>
    <x v="21"/>
    <n v="48.384"/>
    <n v="13.44"/>
  </r>
  <r>
    <x v="0"/>
    <x v="17"/>
    <x v="5"/>
    <x v="9"/>
    <s v="LT_VilU"/>
    <x v="22"/>
    <n v="79.847999999999999"/>
    <n v="22.18"/>
  </r>
  <r>
    <x v="0"/>
    <x v="17"/>
    <x v="6"/>
    <x v="10"/>
    <s v="NL_A"/>
    <x v="2"/>
    <n v="48.384"/>
    <n v="13.44"/>
  </r>
  <r>
    <x v="0"/>
    <x v="17"/>
    <x v="6"/>
    <x v="10"/>
    <s v="NL_A"/>
    <x v="0"/>
    <n v="42.692399999999999"/>
    <n v="11.859"/>
  </r>
  <r>
    <x v="0"/>
    <x v="17"/>
    <x v="6"/>
    <x v="10"/>
    <s v="NL_A"/>
    <x v="21"/>
    <n v="48.384"/>
    <n v="13.44"/>
  </r>
  <r>
    <x v="0"/>
    <x v="17"/>
    <x v="6"/>
    <x v="10"/>
    <s v="NL_A"/>
    <x v="22"/>
    <n v="79.847999999999999"/>
    <n v="22.18"/>
  </r>
  <r>
    <x v="0"/>
    <x v="17"/>
    <x v="6"/>
    <x v="10"/>
    <s v="NL_OFFSHORE"/>
    <x v="2"/>
    <n v="48.384"/>
    <n v="13.44"/>
  </r>
  <r>
    <x v="0"/>
    <x v="17"/>
    <x v="6"/>
    <x v="10"/>
    <s v="NL_OFFSHORE"/>
    <x v="0"/>
    <n v="42.692399999999999"/>
    <n v="11.859"/>
  </r>
  <r>
    <x v="0"/>
    <x v="17"/>
    <x v="6"/>
    <x v="10"/>
    <s v="NL_OFFSHORE"/>
    <x v="21"/>
    <n v="48.384"/>
    <n v="13.44"/>
  </r>
  <r>
    <x v="0"/>
    <x v="17"/>
    <x v="6"/>
    <x v="10"/>
    <s v="NL_OFFSHORE"/>
    <x v="22"/>
    <n v="79.847999999999999"/>
    <n v="22.18"/>
  </r>
  <r>
    <x v="0"/>
    <x v="17"/>
    <x v="7"/>
    <x v="11"/>
    <s v="NO1_A1"/>
    <x v="2"/>
    <n v="48.384"/>
    <n v="13.44"/>
  </r>
  <r>
    <x v="0"/>
    <x v="17"/>
    <x v="7"/>
    <x v="11"/>
    <s v="NO1_A1"/>
    <x v="0"/>
    <n v="42.692399999999999"/>
    <n v="11.859"/>
  </r>
  <r>
    <x v="0"/>
    <x v="17"/>
    <x v="7"/>
    <x v="11"/>
    <s v="NO1_A1"/>
    <x v="21"/>
    <n v="48.384"/>
    <n v="13.44"/>
  </r>
  <r>
    <x v="0"/>
    <x v="17"/>
    <x v="7"/>
    <x v="11"/>
    <s v="NO1_A1"/>
    <x v="22"/>
    <n v="79.847999999999999"/>
    <n v="22.18"/>
  </r>
  <r>
    <x v="0"/>
    <x v="17"/>
    <x v="7"/>
    <x v="11"/>
    <s v="NO1_A2"/>
    <x v="2"/>
    <n v="48.384"/>
    <n v="13.44"/>
  </r>
  <r>
    <x v="0"/>
    <x v="17"/>
    <x v="7"/>
    <x v="11"/>
    <s v="NO1_A2"/>
    <x v="0"/>
    <n v="42.692399999999999"/>
    <n v="11.859"/>
  </r>
  <r>
    <x v="0"/>
    <x v="17"/>
    <x v="7"/>
    <x v="11"/>
    <s v="NO1_A2"/>
    <x v="21"/>
    <n v="48.384"/>
    <n v="13.44"/>
  </r>
  <r>
    <x v="0"/>
    <x v="17"/>
    <x v="7"/>
    <x v="11"/>
    <s v="NO1_A2"/>
    <x v="22"/>
    <n v="79.847999999999999"/>
    <n v="22.18"/>
  </r>
  <r>
    <x v="0"/>
    <x v="17"/>
    <x v="7"/>
    <x v="11"/>
    <s v="NO1_A3"/>
    <x v="2"/>
    <n v="48.384"/>
    <n v="13.44"/>
  </r>
  <r>
    <x v="0"/>
    <x v="17"/>
    <x v="7"/>
    <x v="11"/>
    <s v="NO1_A3"/>
    <x v="0"/>
    <n v="42.692399999999999"/>
    <n v="11.859"/>
  </r>
  <r>
    <x v="0"/>
    <x v="17"/>
    <x v="7"/>
    <x v="11"/>
    <s v="NO1_A3"/>
    <x v="21"/>
    <n v="48.384"/>
    <n v="13.44"/>
  </r>
  <r>
    <x v="0"/>
    <x v="17"/>
    <x v="7"/>
    <x v="11"/>
    <s v="NO1_A3"/>
    <x v="22"/>
    <n v="79.847999999999999"/>
    <n v="22.18"/>
  </r>
  <r>
    <x v="0"/>
    <x v="17"/>
    <x v="7"/>
    <x v="11"/>
    <s v="NO1_Offshore"/>
    <x v="2"/>
    <n v="48.384"/>
    <n v="13.44"/>
  </r>
  <r>
    <x v="0"/>
    <x v="17"/>
    <x v="7"/>
    <x v="11"/>
    <s v="NO1_Offshore"/>
    <x v="0"/>
    <n v="42.692399999999999"/>
    <n v="11.859"/>
  </r>
  <r>
    <x v="0"/>
    <x v="17"/>
    <x v="7"/>
    <x v="11"/>
    <s v="NO1_Offshore"/>
    <x v="21"/>
    <n v="48.384"/>
    <n v="13.44"/>
  </r>
  <r>
    <x v="0"/>
    <x v="17"/>
    <x v="7"/>
    <x v="11"/>
    <s v="NO1_Offshore"/>
    <x v="22"/>
    <n v="79.847999999999999"/>
    <n v="22.18"/>
  </r>
  <r>
    <x v="0"/>
    <x v="17"/>
    <x v="7"/>
    <x v="12"/>
    <s v="NO2_A1"/>
    <x v="2"/>
    <n v="48.384"/>
    <n v="13.44"/>
  </r>
  <r>
    <x v="0"/>
    <x v="17"/>
    <x v="7"/>
    <x v="12"/>
    <s v="NO2_A1"/>
    <x v="0"/>
    <n v="42.692399999999999"/>
    <n v="11.859"/>
  </r>
  <r>
    <x v="0"/>
    <x v="17"/>
    <x v="7"/>
    <x v="12"/>
    <s v="NO2_A1"/>
    <x v="21"/>
    <n v="48.384"/>
    <n v="13.44"/>
  </r>
  <r>
    <x v="0"/>
    <x v="17"/>
    <x v="7"/>
    <x v="12"/>
    <s v="NO2_A1"/>
    <x v="22"/>
    <n v="79.847999999999999"/>
    <n v="22.18"/>
  </r>
  <r>
    <x v="0"/>
    <x v="17"/>
    <x v="7"/>
    <x v="12"/>
    <s v="NO2_A2"/>
    <x v="2"/>
    <n v="48.384"/>
    <n v="13.44"/>
  </r>
  <r>
    <x v="0"/>
    <x v="17"/>
    <x v="7"/>
    <x v="12"/>
    <s v="NO2_A2"/>
    <x v="0"/>
    <n v="42.692399999999999"/>
    <n v="11.859"/>
  </r>
  <r>
    <x v="0"/>
    <x v="17"/>
    <x v="7"/>
    <x v="12"/>
    <s v="NO2_A2"/>
    <x v="21"/>
    <n v="48.384"/>
    <n v="13.44"/>
  </r>
  <r>
    <x v="0"/>
    <x v="17"/>
    <x v="7"/>
    <x v="12"/>
    <s v="NO2_A2"/>
    <x v="22"/>
    <n v="79.847999999999999"/>
    <n v="22.18"/>
  </r>
  <r>
    <x v="0"/>
    <x v="17"/>
    <x v="7"/>
    <x v="12"/>
    <s v="NO2_Offshore"/>
    <x v="2"/>
    <n v="48.384"/>
    <n v="13.44"/>
  </r>
  <r>
    <x v="0"/>
    <x v="17"/>
    <x v="7"/>
    <x v="12"/>
    <s v="NO2_Offshore"/>
    <x v="0"/>
    <n v="42.692399999999999"/>
    <n v="11.859"/>
  </r>
  <r>
    <x v="0"/>
    <x v="17"/>
    <x v="7"/>
    <x v="12"/>
    <s v="NO2_Offshore"/>
    <x v="21"/>
    <n v="48.384"/>
    <n v="13.44"/>
  </r>
  <r>
    <x v="0"/>
    <x v="17"/>
    <x v="7"/>
    <x v="12"/>
    <s v="NO2_Offshore"/>
    <x v="22"/>
    <n v="79.847999999999999"/>
    <n v="22.18"/>
  </r>
  <r>
    <x v="0"/>
    <x v="17"/>
    <x v="7"/>
    <x v="13"/>
    <s v="NO3_A1"/>
    <x v="2"/>
    <n v="48.384"/>
    <n v="13.44"/>
  </r>
  <r>
    <x v="0"/>
    <x v="17"/>
    <x v="7"/>
    <x v="13"/>
    <s v="NO3_A1"/>
    <x v="0"/>
    <n v="42.692399999999999"/>
    <n v="11.859"/>
  </r>
  <r>
    <x v="0"/>
    <x v="17"/>
    <x v="7"/>
    <x v="13"/>
    <s v="NO3_A1"/>
    <x v="21"/>
    <n v="48.384"/>
    <n v="13.44"/>
  </r>
  <r>
    <x v="0"/>
    <x v="17"/>
    <x v="7"/>
    <x v="13"/>
    <s v="NO3_A1"/>
    <x v="22"/>
    <n v="79.847999999999999"/>
    <n v="22.18"/>
  </r>
  <r>
    <x v="0"/>
    <x v="17"/>
    <x v="7"/>
    <x v="13"/>
    <s v="NO3_A2"/>
    <x v="2"/>
    <n v="48.384"/>
    <n v="13.44"/>
  </r>
  <r>
    <x v="0"/>
    <x v="17"/>
    <x v="7"/>
    <x v="13"/>
    <s v="NO3_A2"/>
    <x v="0"/>
    <n v="42.692399999999999"/>
    <n v="11.859"/>
  </r>
  <r>
    <x v="0"/>
    <x v="17"/>
    <x v="7"/>
    <x v="13"/>
    <s v="NO3_A2"/>
    <x v="21"/>
    <n v="48.384"/>
    <n v="13.44"/>
  </r>
  <r>
    <x v="0"/>
    <x v="17"/>
    <x v="7"/>
    <x v="13"/>
    <s v="NO3_A2"/>
    <x v="22"/>
    <n v="79.847999999999999"/>
    <n v="22.18"/>
  </r>
  <r>
    <x v="0"/>
    <x v="17"/>
    <x v="7"/>
    <x v="13"/>
    <s v="NO3_A3"/>
    <x v="2"/>
    <n v="48.384"/>
    <n v="13.44"/>
  </r>
  <r>
    <x v="0"/>
    <x v="17"/>
    <x v="7"/>
    <x v="13"/>
    <s v="NO3_A3"/>
    <x v="0"/>
    <n v="42.692399999999999"/>
    <n v="11.859"/>
  </r>
  <r>
    <x v="0"/>
    <x v="17"/>
    <x v="7"/>
    <x v="13"/>
    <s v="NO3_A3"/>
    <x v="21"/>
    <n v="48.384"/>
    <n v="13.44"/>
  </r>
  <r>
    <x v="0"/>
    <x v="17"/>
    <x v="7"/>
    <x v="13"/>
    <s v="NO3_A3"/>
    <x v="22"/>
    <n v="79.847999999999999"/>
    <n v="22.18"/>
  </r>
  <r>
    <x v="0"/>
    <x v="17"/>
    <x v="7"/>
    <x v="13"/>
    <s v="NO3_Offshore"/>
    <x v="2"/>
    <n v="48.384"/>
    <n v="13.44"/>
  </r>
  <r>
    <x v="0"/>
    <x v="17"/>
    <x v="7"/>
    <x v="13"/>
    <s v="NO3_Offshore"/>
    <x v="0"/>
    <n v="42.692399999999999"/>
    <n v="11.859"/>
  </r>
  <r>
    <x v="0"/>
    <x v="17"/>
    <x v="7"/>
    <x v="13"/>
    <s v="NO3_Offshore"/>
    <x v="21"/>
    <n v="48.384"/>
    <n v="13.44"/>
  </r>
  <r>
    <x v="0"/>
    <x v="17"/>
    <x v="7"/>
    <x v="13"/>
    <s v="NO3_Offshore"/>
    <x v="22"/>
    <n v="79.847999999999999"/>
    <n v="22.18"/>
  </r>
  <r>
    <x v="0"/>
    <x v="17"/>
    <x v="7"/>
    <x v="14"/>
    <s v="NO4_A1"/>
    <x v="2"/>
    <n v="48.384"/>
    <n v="13.44"/>
  </r>
  <r>
    <x v="0"/>
    <x v="17"/>
    <x v="7"/>
    <x v="14"/>
    <s v="NO4_A1"/>
    <x v="0"/>
    <n v="42.692399999999999"/>
    <n v="11.859"/>
  </r>
  <r>
    <x v="0"/>
    <x v="17"/>
    <x v="7"/>
    <x v="14"/>
    <s v="NO4_A1"/>
    <x v="21"/>
    <n v="48.384"/>
    <n v="13.44"/>
  </r>
  <r>
    <x v="0"/>
    <x v="17"/>
    <x v="7"/>
    <x v="14"/>
    <s v="NO4_A1"/>
    <x v="22"/>
    <n v="79.847999999999999"/>
    <n v="22.18"/>
  </r>
  <r>
    <x v="0"/>
    <x v="17"/>
    <x v="7"/>
    <x v="14"/>
    <s v="NO4_A2"/>
    <x v="2"/>
    <n v="48.384"/>
    <n v="13.44"/>
  </r>
  <r>
    <x v="0"/>
    <x v="17"/>
    <x v="7"/>
    <x v="14"/>
    <s v="NO4_A2"/>
    <x v="0"/>
    <n v="42.692399999999999"/>
    <n v="11.859"/>
  </r>
  <r>
    <x v="0"/>
    <x v="17"/>
    <x v="7"/>
    <x v="14"/>
    <s v="NO4_A2"/>
    <x v="21"/>
    <n v="48.384"/>
    <n v="13.44"/>
  </r>
  <r>
    <x v="0"/>
    <x v="17"/>
    <x v="7"/>
    <x v="14"/>
    <s v="NO4_A2"/>
    <x v="22"/>
    <n v="79.847999999999999"/>
    <n v="22.18"/>
  </r>
  <r>
    <x v="0"/>
    <x v="17"/>
    <x v="7"/>
    <x v="14"/>
    <s v="NO4_Offshore"/>
    <x v="2"/>
    <n v="48.384"/>
    <n v="13.44"/>
  </r>
  <r>
    <x v="0"/>
    <x v="17"/>
    <x v="7"/>
    <x v="14"/>
    <s v="NO4_Offshore"/>
    <x v="0"/>
    <n v="42.692399999999999"/>
    <n v="11.859"/>
  </r>
  <r>
    <x v="0"/>
    <x v="17"/>
    <x v="7"/>
    <x v="14"/>
    <s v="NO4_Offshore"/>
    <x v="21"/>
    <n v="48.384"/>
    <n v="13.44"/>
  </r>
  <r>
    <x v="0"/>
    <x v="17"/>
    <x v="7"/>
    <x v="14"/>
    <s v="NO4_Offshore"/>
    <x v="22"/>
    <n v="79.847999999999999"/>
    <n v="22.18"/>
  </r>
  <r>
    <x v="0"/>
    <x v="17"/>
    <x v="7"/>
    <x v="15"/>
    <s v="NO5_A1"/>
    <x v="2"/>
    <n v="48.384"/>
    <n v="13.44"/>
  </r>
  <r>
    <x v="0"/>
    <x v="17"/>
    <x v="7"/>
    <x v="15"/>
    <s v="NO5_A1"/>
    <x v="0"/>
    <n v="42.692399999999999"/>
    <n v="11.859"/>
  </r>
  <r>
    <x v="0"/>
    <x v="17"/>
    <x v="7"/>
    <x v="15"/>
    <s v="NO5_A1"/>
    <x v="21"/>
    <n v="48.384"/>
    <n v="13.44"/>
  </r>
  <r>
    <x v="0"/>
    <x v="17"/>
    <x v="7"/>
    <x v="15"/>
    <s v="NO5_A1"/>
    <x v="22"/>
    <n v="79.847999999999999"/>
    <n v="22.18"/>
  </r>
  <r>
    <x v="0"/>
    <x v="17"/>
    <x v="7"/>
    <x v="15"/>
    <s v="NO5_A2"/>
    <x v="2"/>
    <n v="48.384"/>
    <n v="13.44"/>
  </r>
  <r>
    <x v="0"/>
    <x v="17"/>
    <x v="7"/>
    <x v="15"/>
    <s v="NO5_A2"/>
    <x v="0"/>
    <n v="42.692399999999999"/>
    <n v="11.859"/>
  </r>
  <r>
    <x v="0"/>
    <x v="17"/>
    <x v="7"/>
    <x v="15"/>
    <s v="NO5_A2"/>
    <x v="21"/>
    <n v="48.384"/>
    <n v="13.44"/>
  </r>
  <r>
    <x v="0"/>
    <x v="17"/>
    <x v="7"/>
    <x v="15"/>
    <s v="NO5_A2"/>
    <x v="22"/>
    <n v="79.847999999999999"/>
    <n v="22.18"/>
  </r>
  <r>
    <x v="0"/>
    <x v="17"/>
    <x v="7"/>
    <x v="15"/>
    <s v="NO5_Offshore"/>
    <x v="2"/>
    <n v="48.384"/>
    <n v="13.44"/>
  </r>
  <r>
    <x v="0"/>
    <x v="17"/>
    <x v="7"/>
    <x v="15"/>
    <s v="NO5_Offshore"/>
    <x v="0"/>
    <n v="42.692399999999999"/>
    <n v="11.859"/>
  </r>
  <r>
    <x v="0"/>
    <x v="17"/>
    <x v="7"/>
    <x v="15"/>
    <s v="NO5_Offshore"/>
    <x v="21"/>
    <n v="48.384"/>
    <n v="13.44"/>
  </r>
  <r>
    <x v="0"/>
    <x v="17"/>
    <x v="7"/>
    <x v="15"/>
    <s v="NO5_Offshore"/>
    <x v="22"/>
    <n v="79.847999999999999"/>
    <n v="22.18"/>
  </r>
  <r>
    <x v="0"/>
    <x v="17"/>
    <x v="8"/>
    <x v="16"/>
    <s v="PL_A"/>
    <x v="2"/>
    <n v="48.384"/>
    <n v="13.44"/>
  </r>
  <r>
    <x v="0"/>
    <x v="17"/>
    <x v="8"/>
    <x v="16"/>
    <s v="PL_A"/>
    <x v="0"/>
    <n v="42.692399999999999"/>
    <n v="11.859"/>
  </r>
  <r>
    <x v="0"/>
    <x v="17"/>
    <x v="8"/>
    <x v="16"/>
    <s v="PL_A"/>
    <x v="21"/>
    <n v="48.384"/>
    <n v="13.44"/>
  </r>
  <r>
    <x v="0"/>
    <x v="17"/>
    <x v="8"/>
    <x v="16"/>
    <s v="PL_A"/>
    <x v="22"/>
    <n v="79.847999999999999"/>
    <n v="22.18"/>
  </r>
  <r>
    <x v="0"/>
    <x v="17"/>
    <x v="8"/>
    <x v="16"/>
    <s v="PL_OFFSHORE"/>
    <x v="2"/>
    <n v="48.384"/>
    <n v="13.44"/>
  </r>
  <r>
    <x v="0"/>
    <x v="17"/>
    <x v="8"/>
    <x v="16"/>
    <s v="PL_OFFSHORE"/>
    <x v="0"/>
    <n v="42.692399999999999"/>
    <n v="11.859"/>
  </r>
  <r>
    <x v="0"/>
    <x v="17"/>
    <x v="8"/>
    <x v="16"/>
    <s v="PL_OFFSHORE"/>
    <x v="21"/>
    <n v="48.384"/>
    <n v="13.44"/>
  </r>
  <r>
    <x v="0"/>
    <x v="17"/>
    <x v="8"/>
    <x v="16"/>
    <s v="PL_OFFSHORE"/>
    <x v="22"/>
    <n v="79.847999999999999"/>
    <n v="22.18"/>
  </r>
  <r>
    <x v="0"/>
    <x v="17"/>
    <x v="8"/>
    <x v="16"/>
    <s v="PL_Rural"/>
    <x v="2"/>
    <n v="48.384"/>
    <n v="13.44"/>
  </r>
  <r>
    <x v="0"/>
    <x v="17"/>
    <x v="8"/>
    <x v="16"/>
    <s v="PL_Rural"/>
    <x v="0"/>
    <n v="42.692399999999999"/>
    <n v="11.859"/>
  </r>
  <r>
    <x v="0"/>
    <x v="17"/>
    <x v="8"/>
    <x v="16"/>
    <s v="PL_Rural"/>
    <x v="21"/>
    <n v="48.384"/>
    <n v="13.44"/>
  </r>
  <r>
    <x v="0"/>
    <x v="17"/>
    <x v="8"/>
    <x v="16"/>
    <s v="PL_Rural"/>
    <x v="22"/>
    <n v="79.847999999999999"/>
    <n v="22.18"/>
  </r>
  <r>
    <x v="0"/>
    <x v="17"/>
    <x v="9"/>
    <x v="17"/>
    <s v="SE1A"/>
    <x v="2"/>
    <n v="48.384"/>
    <n v="13.44"/>
  </r>
  <r>
    <x v="0"/>
    <x v="17"/>
    <x v="9"/>
    <x v="17"/>
    <s v="SE1A"/>
    <x v="0"/>
    <n v="42.692399999999999"/>
    <n v="11.859"/>
  </r>
  <r>
    <x v="0"/>
    <x v="17"/>
    <x v="9"/>
    <x v="17"/>
    <s v="SE1A"/>
    <x v="21"/>
    <n v="48.384"/>
    <n v="13.44"/>
  </r>
  <r>
    <x v="0"/>
    <x v="17"/>
    <x v="9"/>
    <x v="17"/>
    <s v="SE1A"/>
    <x v="22"/>
    <n v="79.847999999999999"/>
    <n v="22.18"/>
  </r>
  <r>
    <x v="0"/>
    <x v="17"/>
    <x v="9"/>
    <x v="17"/>
    <s v="SE1_IND"/>
    <x v="2"/>
    <n v="48.384"/>
    <n v="13.44"/>
  </r>
  <r>
    <x v="0"/>
    <x v="17"/>
    <x v="9"/>
    <x v="17"/>
    <s v="SE1_IND"/>
    <x v="0"/>
    <n v="42.692399999999999"/>
    <n v="11.859"/>
  </r>
  <r>
    <x v="0"/>
    <x v="17"/>
    <x v="9"/>
    <x v="17"/>
    <s v="SE1_IND"/>
    <x v="21"/>
    <n v="48.384"/>
    <n v="13.44"/>
  </r>
  <r>
    <x v="0"/>
    <x v="17"/>
    <x v="9"/>
    <x v="17"/>
    <s v="SE1_IND"/>
    <x v="22"/>
    <n v="79.847999999999999"/>
    <n v="22.18"/>
  </r>
  <r>
    <x v="0"/>
    <x v="17"/>
    <x v="9"/>
    <x v="17"/>
    <s v="SE1_Offshore"/>
    <x v="2"/>
    <n v="48.384"/>
    <n v="13.44"/>
  </r>
  <r>
    <x v="0"/>
    <x v="17"/>
    <x v="9"/>
    <x v="17"/>
    <s v="SE1_Offshore"/>
    <x v="0"/>
    <n v="42.692399999999999"/>
    <n v="11.859"/>
  </r>
  <r>
    <x v="0"/>
    <x v="17"/>
    <x v="9"/>
    <x v="17"/>
    <s v="SE1_Offshore"/>
    <x v="21"/>
    <n v="48.384"/>
    <n v="13.44"/>
  </r>
  <r>
    <x v="0"/>
    <x v="17"/>
    <x v="9"/>
    <x v="17"/>
    <s v="SE1_Offshore"/>
    <x v="22"/>
    <n v="79.847999999999999"/>
    <n v="22.18"/>
  </r>
  <r>
    <x v="0"/>
    <x v="17"/>
    <x v="9"/>
    <x v="17"/>
    <s v="SE1_medium"/>
    <x v="2"/>
    <n v="48.384"/>
    <n v="13.44"/>
  </r>
  <r>
    <x v="0"/>
    <x v="17"/>
    <x v="9"/>
    <x v="17"/>
    <s v="SE1_medium"/>
    <x v="0"/>
    <n v="42.692399999999999"/>
    <n v="11.859"/>
  </r>
  <r>
    <x v="0"/>
    <x v="17"/>
    <x v="9"/>
    <x v="17"/>
    <s v="SE1_medium"/>
    <x v="21"/>
    <n v="48.384"/>
    <n v="13.44"/>
  </r>
  <r>
    <x v="0"/>
    <x v="17"/>
    <x v="9"/>
    <x v="17"/>
    <s v="SE1_medium"/>
    <x v="22"/>
    <n v="79.847999999999999"/>
    <n v="22.18"/>
  </r>
  <r>
    <x v="0"/>
    <x v="17"/>
    <x v="9"/>
    <x v="17"/>
    <s v="SE1_small"/>
    <x v="2"/>
    <n v="48.384"/>
    <n v="13.44"/>
  </r>
  <r>
    <x v="0"/>
    <x v="17"/>
    <x v="9"/>
    <x v="17"/>
    <s v="SE1_small"/>
    <x v="0"/>
    <n v="42.692399999999999"/>
    <n v="11.859"/>
  </r>
  <r>
    <x v="0"/>
    <x v="17"/>
    <x v="9"/>
    <x v="17"/>
    <s v="SE1_small"/>
    <x v="21"/>
    <n v="48.384"/>
    <n v="13.44"/>
  </r>
  <r>
    <x v="0"/>
    <x v="17"/>
    <x v="9"/>
    <x v="17"/>
    <s v="SE1_small"/>
    <x v="22"/>
    <n v="79.847999999999999"/>
    <n v="22.18"/>
  </r>
  <r>
    <x v="0"/>
    <x v="17"/>
    <x v="9"/>
    <x v="18"/>
    <s v="SE2A"/>
    <x v="2"/>
    <n v="48.384"/>
    <n v="13.44"/>
  </r>
  <r>
    <x v="0"/>
    <x v="17"/>
    <x v="9"/>
    <x v="18"/>
    <s v="SE2A"/>
    <x v="0"/>
    <n v="42.692399999999999"/>
    <n v="11.859"/>
  </r>
  <r>
    <x v="0"/>
    <x v="17"/>
    <x v="9"/>
    <x v="18"/>
    <s v="SE2A"/>
    <x v="21"/>
    <n v="48.384"/>
    <n v="13.44"/>
  </r>
  <r>
    <x v="0"/>
    <x v="17"/>
    <x v="9"/>
    <x v="18"/>
    <s v="SE2A"/>
    <x v="22"/>
    <n v="79.847999999999999"/>
    <n v="22.18"/>
  </r>
  <r>
    <x v="0"/>
    <x v="17"/>
    <x v="9"/>
    <x v="18"/>
    <s v="SE2_IND"/>
    <x v="2"/>
    <n v="48.384"/>
    <n v="13.44"/>
  </r>
  <r>
    <x v="0"/>
    <x v="17"/>
    <x v="9"/>
    <x v="18"/>
    <s v="SE2_IND"/>
    <x v="0"/>
    <n v="42.692399999999999"/>
    <n v="11.859"/>
  </r>
  <r>
    <x v="0"/>
    <x v="17"/>
    <x v="9"/>
    <x v="18"/>
    <s v="SE2_IND"/>
    <x v="21"/>
    <n v="48.384"/>
    <n v="13.44"/>
  </r>
  <r>
    <x v="0"/>
    <x v="17"/>
    <x v="9"/>
    <x v="18"/>
    <s v="SE2_IND"/>
    <x v="22"/>
    <n v="79.847999999999999"/>
    <n v="22.18"/>
  </r>
  <r>
    <x v="0"/>
    <x v="17"/>
    <x v="9"/>
    <x v="18"/>
    <s v="SE2_Offshore"/>
    <x v="2"/>
    <n v="48.384"/>
    <n v="13.44"/>
  </r>
  <r>
    <x v="0"/>
    <x v="17"/>
    <x v="9"/>
    <x v="18"/>
    <s v="SE2_Offshore"/>
    <x v="0"/>
    <n v="42.692399999999999"/>
    <n v="11.859"/>
  </r>
  <r>
    <x v="0"/>
    <x v="17"/>
    <x v="9"/>
    <x v="18"/>
    <s v="SE2_Offshore"/>
    <x v="21"/>
    <n v="48.384"/>
    <n v="13.44"/>
  </r>
  <r>
    <x v="0"/>
    <x v="17"/>
    <x v="9"/>
    <x v="18"/>
    <s v="SE2_Offshore"/>
    <x v="22"/>
    <n v="79.847999999999999"/>
    <n v="22.18"/>
  </r>
  <r>
    <x v="0"/>
    <x v="17"/>
    <x v="9"/>
    <x v="18"/>
    <s v="SE2_medium"/>
    <x v="2"/>
    <n v="48.384"/>
    <n v="13.44"/>
  </r>
  <r>
    <x v="0"/>
    <x v="17"/>
    <x v="9"/>
    <x v="18"/>
    <s v="SE2_medium"/>
    <x v="0"/>
    <n v="42.692399999999999"/>
    <n v="11.859"/>
  </r>
  <r>
    <x v="0"/>
    <x v="17"/>
    <x v="9"/>
    <x v="18"/>
    <s v="SE2_medium"/>
    <x v="21"/>
    <n v="48.384"/>
    <n v="13.44"/>
  </r>
  <r>
    <x v="0"/>
    <x v="17"/>
    <x v="9"/>
    <x v="18"/>
    <s v="SE2_medium"/>
    <x v="22"/>
    <n v="79.847999999999999"/>
    <n v="22.18"/>
  </r>
  <r>
    <x v="0"/>
    <x v="17"/>
    <x v="9"/>
    <x v="18"/>
    <s v="SE2_small"/>
    <x v="2"/>
    <n v="48.384"/>
    <n v="13.44"/>
  </r>
  <r>
    <x v="0"/>
    <x v="17"/>
    <x v="9"/>
    <x v="18"/>
    <s v="SE2_small"/>
    <x v="0"/>
    <n v="42.692399999999999"/>
    <n v="11.859"/>
  </r>
  <r>
    <x v="0"/>
    <x v="17"/>
    <x v="9"/>
    <x v="18"/>
    <s v="SE2_small"/>
    <x v="21"/>
    <n v="48.384"/>
    <n v="13.44"/>
  </r>
  <r>
    <x v="0"/>
    <x v="17"/>
    <x v="9"/>
    <x v="18"/>
    <s v="SE2_small"/>
    <x v="22"/>
    <n v="79.847999999999999"/>
    <n v="22.18"/>
  </r>
  <r>
    <x v="0"/>
    <x v="17"/>
    <x v="9"/>
    <x v="19"/>
    <s v="SE3A"/>
    <x v="2"/>
    <n v="48.384"/>
    <n v="13.44"/>
  </r>
  <r>
    <x v="0"/>
    <x v="17"/>
    <x v="9"/>
    <x v="19"/>
    <s v="SE3A"/>
    <x v="0"/>
    <n v="42.692399999999999"/>
    <n v="11.859"/>
  </r>
  <r>
    <x v="0"/>
    <x v="17"/>
    <x v="9"/>
    <x v="19"/>
    <s v="SE3A"/>
    <x v="21"/>
    <n v="48.384"/>
    <n v="13.44"/>
  </r>
  <r>
    <x v="0"/>
    <x v="17"/>
    <x v="9"/>
    <x v="19"/>
    <s v="SE3A"/>
    <x v="22"/>
    <n v="79.847999999999999"/>
    <n v="22.18"/>
  </r>
  <r>
    <x v="0"/>
    <x v="17"/>
    <x v="9"/>
    <x v="19"/>
    <s v="SE3_IND"/>
    <x v="2"/>
    <n v="48.384"/>
    <n v="13.44"/>
  </r>
  <r>
    <x v="0"/>
    <x v="17"/>
    <x v="9"/>
    <x v="19"/>
    <s v="SE3_IND"/>
    <x v="0"/>
    <n v="42.692399999999999"/>
    <n v="11.859"/>
  </r>
  <r>
    <x v="0"/>
    <x v="17"/>
    <x v="9"/>
    <x v="19"/>
    <s v="SE3_IND"/>
    <x v="21"/>
    <n v="48.384"/>
    <n v="13.44"/>
  </r>
  <r>
    <x v="0"/>
    <x v="17"/>
    <x v="9"/>
    <x v="19"/>
    <s v="SE3_IND"/>
    <x v="22"/>
    <n v="79.847999999999999"/>
    <n v="22.18"/>
  </r>
  <r>
    <x v="0"/>
    <x v="17"/>
    <x v="9"/>
    <x v="19"/>
    <s v="SE3_Offshore"/>
    <x v="2"/>
    <n v="48.384"/>
    <n v="13.44"/>
  </r>
  <r>
    <x v="0"/>
    <x v="17"/>
    <x v="9"/>
    <x v="19"/>
    <s v="SE3_Offshore"/>
    <x v="0"/>
    <n v="42.692399999999999"/>
    <n v="11.859"/>
  </r>
  <r>
    <x v="0"/>
    <x v="17"/>
    <x v="9"/>
    <x v="19"/>
    <s v="SE3_Offshore"/>
    <x v="21"/>
    <n v="48.384"/>
    <n v="13.44"/>
  </r>
  <r>
    <x v="0"/>
    <x v="17"/>
    <x v="9"/>
    <x v="19"/>
    <s v="SE3_Offshore"/>
    <x v="22"/>
    <n v="79.847999999999999"/>
    <n v="22.18"/>
  </r>
  <r>
    <x v="0"/>
    <x v="17"/>
    <x v="9"/>
    <x v="19"/>
    <s v="SE3_large"/>
    <x v="2"/>
    <n v="48.384"/>
    <n v="13.44"/>
  </r>
  <r>
    <x v="0"/>
    <x v="17"/>
    <x v="9"/>
    <x v="19"/>
    <s v="SE3_large"/>
    <x v="0"/>
    <n v="42.692399999999999"/>
    <n v="11.859"/>
  </r>
  <r>
    <x v="0"/>
    <x v="17"/>
    <x v="9"/>
    <x v="19"/>
    <s v="SE3_large"/>
    <x v="21"/>
    <n v="48.384"/>
    <n v="13.44"/>
  </r>
  <r>
    <x v="0"/>
    <x v="17"/>
    <x v="9"/>
    <x v="19"/>
    <s v="SE3_large"/>
    <x v="22"/>
    <n v="79.847999999999999"/>
    <n v="22.18"/>
  </r>
  <r>
    <x v="0"/>
    <x v="17"/>
    <x v="9"/>
    <x v="19"/>
    <s v="SE3_medium"/>
    <x v="2"/>
    <n v="48.384"/>
    <n v="13.44"/>
  </r>
  <r>
    <x v="0"/>
    <x v="17"/>
    <x v="9"/>
    <x v="19"/>
    <s v="SE3_medium"/>
    <x v="0"/>
    <n v="42.692399999999999"/>
    <n v="11.859"/>
  </r>
  <r>
    <x v="0"/>
    <x v="17"/>
    <x v="9"/>
    <x v="19"/>
    <s v="SE3_medium"/>
    <x v="21"/>
    <n v="48.384"/>
    <n v="13.44"/>
  </r>
  <r>
    <x v="0"/>
    <x v="17"/>
    <x v="9"/>
    <x v="19"/>
    <s v="SE3_medium"/>
    <x v="22"/>
    <n v="79.847999999999999"/>
    <n v="22.18"/>
  </r>
  <r>
    <x v="0"/>
    <x v="17"/>
    <x v="9"/>
    <x v="19"/>
    <s v="SE3_small"/>
    <x v="2"/>
    <n v="48.384"/>
    <n v="13.44"/>
  </r>
  <r>
    <x v="0"/>
    <x v="17"/>
    <x v="9"/>
    <x v="19"/>
    <s v="SE3_small"/>
    <x v="0"/>
    <n v="42.692399999999999"/>
    <n v="11.859"/>
  </r>
  <r>
    <x v="0"/>
    <x v="17"/>
    <x v="9"/>
    <x v="19"/>
    <s v="SE3_small"/>
    <x v="21"/>
    <n v="48.384"/>
    <n v="13.44"/>
  </r>
  <r>
    <x v="0"/>
    <x v="17"/>
    <x v="9"/>
    <x v="19"/>
    <s v="SE3_small"/>
    <x v="22"/>
    <n v="79.847999999999999"/>
    <n v="22.18"/>
  </r>
  <r>
    <x v="0"/>
    <x v="17"/>
    <x v="9"/>
    <x v="20"/>
    <s v="SE4A"/>
    <x v="2"/>
    <n v="48.384"/>
    <n v="13.44"/>
  </r>
  <r>
    <x v="0"/>
    <x v="17"/>
    <x v="9"/>
    <x v="20"/>
    <s v="SE4A"/>
    <x v="0"/>
    <n v="42.692399999999999"/>
    <n v="11.859"/>
  </r>
  <r>
    <x v="0"/>
    <x v="17"/>
    <x v="9"/>
    <x v="20"/>
    <s v="SE4A"/>
    <x v="21"/>
    <n v="48.384"/>
    <n v="13.44"/>
  </r>
  <r>
    <x v="0"/>
    <x v="17"/>
    <x v="9"/>
    <x v="20"/>
    <s v="SE4A"/>
    <x v="22"/>
    <n v="79.847999999999999"/>
    <n v="22.18"/>
  </r>
  <r>
    <x v="0"/>
    <x v="17"/>
    <x v="9"/>
    <x v="20"/>
    <s v="SE4_IND"/>
    <x v="2"/>
    <n v="48.384"/>
    <n v="13.44"/>
  </r>
  <r>
    <x v="0"/>
    <x v="17"/>
    <x v="9"/>
    <x v="20"/>
    <s v="SE4_IND"/>
    <x v="0"/>
    <n v="42.692399999999999"/>
    <n v="11.859"/>
  </r>
  <r>
    <x v="0"/>
    <x v="17"/>
    <x v="9"/>
    <x v="20"/>
    <s v="SE4_IND"/>
    <x v="21"/>
    <n v="48.384"/>
    <n v="13.44"/>
  </r>
  <r>
    <x v="0"/>
    <x v="17"/>
    <x v="9"/>
    <x v="20"/>
    <s v="SE4_IND"/>
    <x v="22"/>
    <n v="79.847999999999999"/>
    <n v="22.18"/>
  </r>
  <r>
    <x v="0"/>
    <x v="17"/>
    <x v="9"/>
    <x v="20"/>
    <s v="SE4_Offshore"/>
    <x v="2"/>
    <n v="48.384"/>
    <n v="13.44"/>
  </r>
  <r>
    <x v="0"/>
    <x v="17"/>
    <x v="9"/>
    <x v="20"/>
    <s v="SE4_Offshore"/>
    <x v="0"/>
    <n v="42.692399999999999"/>
    <n v="11.859"/>
  </r>
  <r>
    <x v="0"/>
    <x v="17"/>
    <x v="9"/>
    <x v="20"/>
    <s v="SE4_Offshore"/>
    <x v="21"/>
    <n v="48.384"/>
    <n v="13.44"/>
  </r>
  <r>
    <x v="0"/>
    <x v="17"/>
    <x v="9"/>
    <x v="20"/>
    <s v="SE4_Offshore"/>
    <x v="22"/>
    <n v="79.847999999999999"/>
    <n v="22.18"/>
  </r>
  <r>
    <x v="0"/>
    <x v="17"/>
    <x v="9"/>
    <x v="20"/>
    <s v="SE4_large"/>
    <x v="2"/>
    <n v="48.384"/>
    <n v="13.44"/>
  </r>
  <r>
    <x v="0"/>
    <x v="17"/>
    <x v="9"/>
    <x v="20"/>
    <s v="SE4_large"/>
    <x v="0"/>
    <n v="42.692399999999999"/>
    <n v="11.859"/>
  </r>
  <r>
    <x v="0"/>
    <x v="17"/>
    <x v="9"/>
    <x v="20"/>
    <s v="SE4_large"/>
    <x v="21"/>
    <n v="48.384"/>
    <n v="13.44"/>
  </r>
  <r>
    <x v="0"/>
    <x v="17"/>
    <x v="9"/>
    <x v="20"/>
    <s v="SE4_large"/>
    <x v="22"/>
    <n v="79.847999999999999"/>
    <n v="22.18"/>
  </r>
  <r>
    <x v="0"/>
    <x v="17"/>
    <x v="9"/>
    <x v="20"/>
    <s v="SE4_medium"/>
    <x v="2"/>
    <n v="48.384"/>
    <n v="13.44"/>
  </r>
  <r>
    <x v="0"/>
    <x v="17"/>
    <x v="9"/>
    <x v="20"/>
    <s v="SE4_medium"/>
    <x v="0"/>
    <n v="42.692399999999999"/>
    <n v="11.859"/>
  </r>
  <r>
    <x v="0"/>
    <x v="17"/>
    <x v="9"/>
    <x v="20"/>
    <s v="SE4_medium"/>
    <x v="21"/>
    <n v="48.384"/>
    <n v="13.44"/>
  </r>
  <r>
    <x v="0"/>
    <x v="17"/>
    <x v="9"/>
    <x v="20"/>
    <s v="SE4_medium"/>
    <x v="22"/>
    <n v="79.847999999999999"/>
    <n v="22.18"/>
  </r>
  <r>
    <x v="0"/>
    <x v="17"/>
    <x v="9"/>
    <x v="20"/>
    <s v="SE4_small"/>
    <x v="2"/>
    <n v="48.384"/>
    <n v="13.44"/>
  </r>
  <r>
    <x v="0"/>
    <x v="17"/>
    <x v="9"/>
    <x v="20"/>
    <s v="SE4_small"/>
    <x v="0"/>
    <n v="42.692399999999999"/>
    <n v="11.859"/>
  </r>
  <r>
    <x v="0"/>
    <x v="17"/>
    <x v="9"/>
    <x v="20"/>
    <s v="SE4_small"/>
    <x v="21"/>
    <n v="48.384"/>
    <n v="13.44"/>
  </r>
  <r>
    <x v="0"/>
    <x v="17"/>
    <x v="9"/>
    <x v="20"/>
    <s v="SE4_small"/>
    <x v="22"/>
    <n v="79.847999999999999"/>
    <n v="22.18"/>
  </r>
  <r>
    <x v="0"/>
    <x v="17"/>
    <x v="10"/>
    <x v="21"/>
    <s v="UK_A"/>
    <x v="2"/>
    <n v="48.384"/>
    <n v="13.44"/>
  </r>
  <r>
    <x v="0"/>
    <x v="17"/>
    <x v="10"/>
    <x v="21"/>
    <s v="UK_A"/>
    <x v="0"/>
    <n v="42.692399999999999"/>
    <n v="11.859"/>
  </r>
  <r>
    <x v="0"/>
    <x v="17"/>
    <x v="10"/>
    <x v="21"/>
    <s v="UK_A"/>
    <x v="21"/>
    <n v="48.384"/>
    <n v="13.44"/>
  </r>
  <r>
    <x v="0"/>
    <x v="17"/>
    <x v="10"/>
    <x v="21"/>
    <s v="UK_A"/>
    <x v="22"/>
    <n v="79.847999999999999"/>
    <n v="22.18"/>
  </r>
  <r>
    <x v="0"/>
    <x v="17"/>
    <x v="10"/>
    <x v="21"/>
    <s v="UK_Offshore"/>
    <x v="2"/>
    <n v="48.384"/>
    <n v="13.44"/>
  </r>
  <r>
    <x v="0"/>
    <x v="17"/>
    <x v="10"/>
    <x v="21"/>
    <s v="UK_Offshore"/>
    <x v="0"/>
    <n v="42.692399999999999"/>
    <n v="11.859"/>
  </r>
  <r>
    <x v="0"/>
    <x v="17"/>
    <x v="10"/>
    <x v="21"/>
    <s v="UK_Offshore"/>
    <x v="21"/>
    <n v="48.384"/>
    <n v="13.44"/>
  </r>
  <r>
    <x v="0"/>
    <x v="17"/>
    <x v="10"/>
    <x v="21"/>
    <s v="UK_Offshore"/>
    <x v="22"/>
    <n v="79.847999999999999"/>
    <n v="22.18"/>
  </r>
  <r>
    <x v="0"/>
    <x v="18"/>
    <x v="0"/>
    <x v="0"/>
    <s v="DK1_Large"/>
    <x v="1"/>
    <n v="35.989199999999997"/>
    <n v="9.9969999999999999"/>
  </r>
  <r>
    <x v="0"/>
    <x v="18"/>
    <x v="0"/>
    <x v="0"/>
    <s v="DK1_Large"/>
    <x v="2"/>
    <n v="38.5092"/>
    <n v="10.696999999999999"/>
  </r>
  <r>
    <x v="0"/>
    <x v="18"/>
    <x v="0"/>
    <x v="0"/>
    <s v="DK1_Large"/>
    <x v="0"/>
    <n v="42.692399999999999"/>
    <n v="11.859"/>
  </r>
  <r>
    <x v="0"/>
    <x v="18"/>
    <x v="0"/>
    <x v="0"/>
    <s v="DK1_Large"/>
    <x v="3"/>
    <n v="51.633543144067197"/>
    <n v="14.342650873352"/>
  </r>
  <r>
    <x v="0"/>
    <x v="18"/>
    <x v="0"/>
    <x v="0"/>
    <s v="DK1_Large"/>
    <x v="4"/>
    <n v="15.1696304888152"/>
    <n v="4.21378624689312"/>
  </r>
  <r>
    <x v="0"/>
    <x v="18"/>
    <x v="0"/>
    <x v="0"/>
    <s v="DK1_Large"/>
    <x v="5"/>
    <n v="15.1696304888152"/>
    <n v="4.21378624689312"/>
  </r>
  <r>
    <x v="0"/>
    <x v="18"/>
    <x v="0"/>
    <x v="0"/>
    <s v="DK1_Large"/>
    <x v="6"/>
    <n v="29.476231795214598"/>
    <n v="8.1878421653373898"/>
  </r>
  <r>
    <x v="0"/>
    <x v="18"/>
    <x v="0"/>
    <x v="0"/>
    <s v="DK1_Large"/>
    <x v="7"/>
    <n v="57.838935220261199"/>
    <n v="16.066370894517"/>
  </r>
  <r>
    <x v="0"/>
    <x v="18"/>
    <x v="0"/>
    <x v="0"/>
    <s v="DK1_Large"/>
    <x v="8"/>
    <n v="57.838935220261199"/>
    <n v="16.066370894517"/>
  </r>
  <r>
    <x v="0"/>
    <x v="18"/>
    <x v="0"/>
    <x v="0"/>
    <s v="DK1_Large"/>
    <x v="9"/>
    <n v="51.506187241093599"/>
    <n v="14.3072742336371"/>
  </r>
  <r>
    <x v="0"/>
    <x v="18"/>
    <x v="0"/>
    <x v="0"/>
    <s v="DK1_Large"/>
    <x v="10"/>
    <n v="72.320331400165799"/>
    <n v="20.088980944490501"/>
  </r>
  <r>
    <x v="0"/>
    <x v="18"/>
    <x v="0"/>
    <x v="0"/>
    <s v="DK1_Large"/>
    <x v="11"/>
    <n v="8.1139884009941898"/>
    <n v="2.2538856669428302"/>
  </r>
  <r>
    <x v="0"/>
    <x v="18"/>
    <x v="0"/>
    <x v="0"/>
    <s v="DK1_Large"/>
    <x v="12"/>
    <n v="9.7995028997514597E-2"/>
    <n v="2.72208413881985E-2"/>
  </r>
  <r>
    <x v="0"/>
    <x v="18"/>
    <x v="0"/>
    <x v="0"/>
    <s v="DK1_Large"/>
    <x v="13"/>
    <n v="24.3419652029826"/>
    <n v="6.7616570008285004"/>
  </r>
  <r>
    <x v="0"/>
    <x v="18"/>
    <x v="0"/>
    <x v="0"/>
    <s v="DK1_Large"/>
    <x v="14"/>
    <n v="24.3419652029826"/>
    <n v="6.7616570008285004"/>
  </r>
  <r>
    <x v="0"/>
    <x v="18"/>
    <x v="0"/>
    <x v="0"/>
    <s v="DK1_Large"/>
    <x v="15"/>
    <n v="1.65807589063794"/>
    <n v="0.46057663628831802"/>
  </r>
  <r>
    <x v="0"/>
    <x v="18"/>
    <x v="0"/>
    <x v="0"/>
    <s v="DK1_Large"/>
    <x v="16"/>
    <n v="6.7156619979650802"/>
    <n v="1.8654616661014101"/>
  </r>
  <r>
    <x v="0"/>
    <x v="18"/>
    <x v="0"/>
    <x v="0"/>
    <s v="DK1_Large"/>
    <x v="17"/>
    <n v="9.1244895875632395"/>
    <n v="2.5345804409897901"/>
  </r>
  <r>
    <x v="0"/>
    <x v="18"/>
    <x v="0"/>
    <x v="0"/>
    <s v="DK1_Large"/>
    <x v="18"/>
    <n v="24.3419652029826"/>
    <n v="6.7616570008285004"/>
  </r>
  <r>
    <x v="0"/>
    <x v="18"/>
    <x v="0"/>
    <x v="0"/>
    <s v="DK1_Large"/>
    <x v="19"/>
    <n v="8.1139884009941898"/>
    <n v="2.2538856669428302"/>
  </r>
  <r>
    <x v="0"/>
    <x v="18"/>
    <x v="0"/>
    <x v="0"/>
    <s v="DK1_Large"/>
    <x v="20"/>
    <n v="21.431396138420201"/>
    <n v="5.9531655940056103"/>
  </r>
  <r>
    <x v="0"/>
    <x v="18"/>
    <x v="0"/>
    <x v="0"/>
    <s v="DK1_Large"/>
    <x v="28"/>
    <n v="41.38758"/>
    <n v="11.496549999999999"/>
  </r>
  <r>
    <x v="0"/>
    <x v="18"/>
    <x v="0"/>
    <x v="0"/>
    <s v="DK1_Large"/>
    <x v="21"/>
    <n v="48.24"/>
    <n v="13.4"/>
  </r>
  <r>
    <x v="0"/>
    <x v="18"/>
    <x v="0"/>
    <x v="0"/>
    <s v="DK1_Large"/>
    <x v="22"/>
    <n v="67.680000000000007"/>
    <n v="18.8"/>
  </r>
  <r>
    <x v="0"/>
    <x v="18"/>
    <x v="0"/>
    <x v="0"/>
    <s v="DK1_Large"/>
    <x v="23"/>
    <n v="0.31515896120488701"/>
    <n v="8.7544155890246306E-2"/>
  </r>
  <r>
    <x v="0"/>
    <x v="18"/>
    <x v="0"/>
    <x v="0"/>
    <s v="DK1_Large"/>
    <x v="24"/>
    <n v="19.174223581093901"/>
    <n v="5.32617321697054"/>
  </r>
  <r>
    <x v="0"/>
    <x v="18"/>
    <x v="0"/>
    <x v="0"/>
    <s v="DK1_Large"/>
    <x v="26"/>
    <n v="32.516643167392601"/>
    <n v="9.03240087983127"/>
  </r>
  <r>
    <x v="0"/>
    <x v="18"/>
    <x v="0"/>
    <x v="0"/>
    <s v="DK1_Large"/>
    <x v="27"/>
    <n v="20.163995508318798"/>
    <n v="5.6011098634218799"/>
  </r>
  <r>
    <x v="0"/>
    <x v="18"/>
    <x v="0"/>
    <x v="0"/>
    <s v="DK1_Large_PHH"/>
    <x v="1"/>
    <n v="35.989199999999997"/>
    <n v="9.9969999999999999"/>
  </r>
  <r>
    <x v="0"/>
    <x v="18"/>
    <x v="0"/>
    <x v="0"/>
    <s v="DK1_Large_PHH"/>
    <x v="2"/>
    <n v="38.5092"/>
    <n v="10.696999999999999"/>
  </r>
  <r>
    <x v="0"/>
    <x v="18"/>
    <x v="0"/>
    <x v="0"/>
    <s v="DK1_Large_PHH"/>
    <x v="0"/>
    <n v="42.692399999999999"/>
    <n v="11.859"/>
  </r>
  <r>
    <x v="0"/>
    <x v="18"/>
    <x v="0"/>
    <x v="0"/>
    <s v="DK1_Large_PHH"/>
    <x v="3"/>
    <n v="51.633543144067197"/>
    <n v="14.342650873352"/>
  </r>
  <r>
    <x v="0"/>
    <x v="18"/>
    <x v="0"/>
    <x v="0"/>
    <s v="DK1_Large_PHH"/>
    <x v="4"/>
    <n v="15.1696304888152"/>
    <n v="4.21378624689312"/>
  </r>
  <r>
    <x v="0"/>
    <x v="18"/>
    <x v="0"/>
    <x v="0"/>
    <s v="DK1_Large_PHH"/>
    <x v="5"/>
    <n v="15.1696304888152"/>
    <n v="4.21378624689312"/>
  </r>
  <r>
    <x v="0"/>
    <x v="18"/>
    <x v="0"/>
    <x v="0"/>
    <s v="DK1_Large_PHH"/>
    <x v="6"/>
    <n v="29.476231795214598"/>
    <n v="8.1878421653373898"/>
  </r>
  <r>
    <x v="0"/>
    <x v="18"/>
    <x v="0"/>
    <x v="0"/>
    <s v="DK1_Large_PHH"/>
    <x v="7"/>
    <n v="57.838935220261199"/>
    <n v="16.066370894517"/>
  </r>
  <r>
    <x v="0"/>
    <x v="18"/>
    <x v="0"/>
    <x v="0"/>
    <s v="DK1_Large_PHH"/>
    <x v="8"/>
    <n v="57.838935220261199"/>
    <n v="16.066370894517"/>
  </r>
  <r>
    <x v="0"/>
    <x v="18"/>
    <x v="0"/>
    <x v="0"/>
    <s v="DK1_Large_PHH"/>
    <x v="9"/>
    <n v="51.506187241093599"/>
    <n v="14.3072742336371"/>
  </r>
  <r>
    <x v="0"/>
    <x v="18"/>
    <x v="0"/>
    <x v="0"/>
    <s v="DK1_Large_PHH"/>
    <x v="10"/>
    <n v="72.320331400165799"/>
    <n v="20.088980944490501"/>
  </r>
  <r>
    <x v="0"/>
    <x v="18"/>
    <x v="0"/>
    <x v="0"/>
    <s v="DK1_Large_PHH"/>
    <x v="11"/>
    <n v="8.1139884009941898"/>
    <n v="2.2538856669428302"/>
  </r>
  <r>
    <x v="0"/>
    <x v="18"/>
    <x v="0"/>
    <x v="0"/>
    <s v="DK1_Large_PHH"/>
    <x v="12"/>
    <n v="9.7995028997514597E-2"/>
    <n v="2.72208413881985E-2"/>
  </r>
  <r>
    <x v="0"/>
    <x v="18"/>
    <x v="0"/>
    <x v="0"/>
    <s v="DK1_Large_PHH"/>
    <x v="13"/>
    <n v="24.3419652029826"/>
    <n v="6.7616570008285004"/>
  </r>
  <r>
    <x v="0"/>
    <x v="18"/>
    <x v="0"/>
    <x v="0"/>
    <s v="DK1_Large_PHH"/>
    <x v="14"/>
    <n v="24.3419652029826"/>
    <n v="6.7616570008285004"/>
  </r>
  <r>
    <x v="0"/>
    <x v="18"/>
    <x v="0"/>
    <x v="0"/>
    <s v="DK1_Large_PHH"/>
    <x v="15"/>
    <n v="1.65807589063794"/>
    <n v="0.46057663628831802"/>
  </r>
  <r>
    <x v="0"/>
    <x v="18"/>
    <x v="0"/>
    <x v="0"/>
    <s v="DK1_Large_PHH"/>
    <x v="16"/>
    <n v="6.7156619979650802"/>
    <n v="1.8654616661014101"/>
  </r>
  <r>
    <x v="0"/>
    <x v="18"/>
    <x v="0"/>
    <x v="0"/>
    <s v="DK1_Large_PHH"/>
    <x v="17"/>
    <n v="9.1244895875632395"/>
    <n v="2.5345804409897901"/>
  </r>
  <r>
    <x v="0"/>
    <x v="18"/>
    <x v="0"/>
    <x v="0"/>
    <s v="DK1_Large_PHH"/>
    <x v="18"/>
    <n v="24.3419652029826"/>
    <n v="6.7616570008285004"/>
  </r>
  <r>
    <x v="0"/>
    <x v="18"/>
    <x v="0"/>
    <x v="0"/>
    <s v="DK1_Large_PHH"/>
    <x v="19"/>
    <n v="8.1139884009941898"/>
    <n v="2.2538856669428302"/>
  </r>
  <r>
    <x v="0"/>
    <x v="18"/>
    <x v="0"/>
    <x v="0"/>
    <s v="DK1_Large_PHH"/>
    <x v="20"/>
    <n v="21.431396138420201"/>
    <n v="5.9531655940056103"/>
  </r>
  <r>
    <x v="0"/>
    <x v="18"/>
    <x v="0"/>
    <x v="0"/>
    <s v="DK1_Large_PHH"/>
    <x v="28"/>
    <n v="41.38758"/>
    <n v="11.496549999999999"/>
  </r>
  <r>
    <x v="0"/>
    <x v="18"/>
    <x v="0"/>
    <x v="0"/>
    <s v="DK1_Large_PHH"/>
    <x v="21"/>
    <n v="48.24"/>
    <n v="13.4"/>
  </r>
  <r>
    <x v="0"/>
    <x v="18"/>
    <x v="0"/>
    <x v="0"/>
    <s v="DK1_Large_PHH"/>
    <x v="22"/>
    <n v="67.680000000000007"/>
    <n v="18.8"/>
  </r>
  <r>
    <x v="0"/>
    <x v="18"/>
    <x v="0"/>
    <x v="0"/>
    <s v="DK1_Large_PHH"/>
    <x v="23"/>
    <n v="0.31515896120488701"/>
    <n v="8.7544155890246306E-2"/>
  </r>
  <r>
    <x v="0"/>
    <x v="18"/>
    <x v="0"/>
    <x v="0"/>
    <s v="DK1_Large_PHH"/>
    <x v="24"/>
    <n v="19.174223581093901"/>
    <n v="5.32617321697054"/>
  </r>
  <r>
    <x v="0"/>
    <x v="18"/>
    <x v="0"/>
    <x v="0"/>
    <s v="DK1_Large_PHH"/>
    <x v="26"/>
    <n v="32.516643167392601"/>
    <n v="9.03240087983127"/>
  </r>
  <r>
    <x v="0"/>
    <x v="18"/>
    <x v="0"/>
    <x v="0"/>
    <s v="DK1_Large_PHH"/>
    <x v="27"/>
    <n v="20.163995508318798"/>
    <n v="5.6011098634218799"/>
  </r>
  <r>
    <x v="0"/>
    <x v="18"/>
    <x v="0"/>
    <x v="0"/>
    <s v="DK1_Large_PHL"/>
    <x v="1"/>
    <n v="35.989199999999997"/>
    <n v="9.9969999999999999"/>
  </r>
  <r>
    <x v="0"/>
    <x v="18"/>
    <x v="0"/>
    <x v="0"/>
    <s v="DK1_Large_PHL"/>
    <x v="2"/>
    <n v="38.5092"/>
    <n v="10.696999999999999"/>
  </r>
  <r>
    <x v="0"/>
    <x v="18"/>
    <x v="0"/>
    <x v="0"/>
    <s v="DK1_Large_PHL"/>
    <x v="0"/>
    <n v="42.692399999999999"/>
    <n v="11.859"/>
  </r>
  <r>
    <x v="0"/>
    <x v="18"/>
    <x v="0"/>
    <x v="0"/>
    <s v="DK1_Large_PHL"/>
    <x v="3"/>
    <n v="51.633543144067197"/>
    <n v="14.342650873352"/>
  </r>
  <r>
    <x v="0"/>
    <x v="18"/>
    <x v="0"/>
    <x v="0"/>
    <s v="DK1_Large_PHL"/>
    <x v="4"/>
    <n v="15.1696304888152"/>
    <n v="4.21378624689312"/>
  </r>
  <r>
    <x v="0"/>
    <x v="18"/>
    <x v="0"/>
    <x v="0"/>
    <s v="DK1_Large_PHL"/>
    <x v="5"/>
    <n v="15.1696304888152"/>
    <n v="4.21378624689312"/>
  </r>
  <r>
    <x v="0"/>
    <x v="18"/>
    <x v="0"/>
    <x v="0"/>
    <s v="DK1_Large_PHL"/>
    <x v="6"/>
    <n v="29.476231795214598"/>
    <n v="8.1878421653373898"/>
  </r>
  <r>
    <x v="0"/>
    <x v="18"/>
    <x v="0"/>
    <x v="0"/>
    <s v="DK1_Large_PHL"/>
    <x v="7"/>
    <n v="57.838935220261199"/>
    <n v="16.066370894517"/>
  </r>
  <r>
    <x v="0"/>
    <x v="18"/>
    <x v="0"/>
    <x v="0"/>
    <s v="DK1_Large_PHL"/>
    <x v="8"/>
    <n v="57.838935220261199"/>
    <n v="16.066370894517"/>
  </r>
  <r>
    <x v="0"/>
    <x v="18"/>
    <x v="0"/>
    <x v="0"/>
    <s v="DK1_Large_PHL"/>
    <x v="9"/>
    <n v="51.506187241093599"/>
    <n v="14.3072742336371"/>
  </r>
  <r>
    <x v="0"/>
    <x v="18"/>
    <x v="0"/>
    <x v="0"/>
    <s v="DK1_Large_PHL"/>
    <x v="10"/>
    <n v="72.320331400165799"/>
    <n v="20.088980944490501"/>
  </r>
  <r>
    <x v="0"/>
    <x v="18"/>
    <x v="0"/>
    <x v="0"/>
    <s v="DK1_Large_PHL"/>
    <x v="11"/>
    <n v="8.1139884009941898"/>
    <n v="2.2538856669428302"/>
  </r>
  <r>
    <x v="0"/>
    <x v="18"/>
    <x v="0"/>
    <x v="0"/>
    <s v="DK1_Large_PHL"/>
    <x v="12"/>
    <n v="9.7995028997514597E-2"/>
    <n v="2.72208413881985E-2"/>
  </r>
  <r>
    <x v="0"/>
    <x v="18"/>
    <x v="0"/>
    <x v="0"/>
    <s v="DK1_Large_PHL"/>
    <x v="13"/>
    <n v="24.3419652029826"/>
    <n v="6.7616570008285004"/>
  </r>
  <r>
    <x v="0"/>
    <x v="18"/>
    <x v="0"/>
    <x v="0"/>
    <s v="DK1_Large_PHL"/>
    <x v="14"/>
    <n v="24.3419652029826"/>
    <n v="6.7616570008285004"/>
  </r>
  <r>
    <x v="0"/>
    <x v="18"/>
    <x v="0"/>
    <x v="0"/>
    <s v="DK1_Large_PHL"/>
    <x v="15"/>
    <n v="1.65807589063794"/>
    <n v="0.46057663628831802"/>
  </r>
  <r>
    <x v="0"/>
    <x v="18"/>
    <x v="0"/>
    <x v="0"/>
    <s v="DK1_Large_PHL"/>
    <x v="16"/>
    <n v="6.7156619979650802"/>
    <n v="1.8654616661014101"/>
  </r>
  <r>
    <x v="0"/>
    <x v="18"/>
    <x v="0"/>
    <x v="0"/>
    <s v="DK1_Large_PHL"/>
    <x v="17"/>
    <n v="9.1244895875632395"/>
    <n v="2.5345804409897901"/>
  </r>
  <r>
    <x v="0"/>
    <x v="18"/>
    <x v="0"/>
    <x v="0"/>
    <s v="DK1_Large_PHL"/>
    <x v="18"/>
    <n v="24.3419652029826"/>
    <n v="6.7616570008285004"/>
  </r>
  <r>
    <x v="0"/>
    <x v="18"/>
    <x v="0"/>
    <x v="0"/>
    <s v="DK1_Large_PHL"/>
    <x v="19"/>
    <n v="8.1139884009941898"/>
    <n v="2.2538856669428302"/>
  </r>
  <r>
    <x v="0"/>
    <x v="18"/>
    <x v="0"/>
    <x v="0"/>
    <s v="DK1_Large_PHL"/>
    <x v="20"/>
    <n v="21.431396138420201"/>
    <n v="5.9531655940056103"/>
  </r>
  <r>
    <x v="0"/>
    <x v="18"/>
    <x v="0"/>
    <x v="0"/>
    <s v="DK1_Large_PHL"/>
    <x v="28"/>
    <n v="41.38758"/>
    <n v="11.496549999999999"/>
  </r>
  <r>
    <x v="0"/>
    <x v="18"/>
    <x v="0"/>
    <x v="0"/>
    <s v="DK1_Large_PHL"/>
    <x v="21"/>
    <n v="48.24"/>
    <n v="13.4"/>
  </r>
  <r>
    <x v="0"/>
    <x v="18"/>
    <x v="0"/>
    <x v="0"/>
    <s v="DK1_Large_PHL"/>
    <x v="22"/>
    <n v="67.680000000000007"/>
    <n v="18.8"/>
  </r>
  <r>
    <x v="0"/>
    <x v="18"/>
    <x v="0"/>
    <x v="0"/>
    <s v="DK1_Large_PHL"/>
    <x v="23"/>
    <n v="0.31515896120488701"/>
    <n v="8.7544155890246306E-2"/>
  </r>
  <r>
    <x v="0"/>
    <x v="18"/>
    <x v="0"/>
    <x v="0"/>
    <s v="DK1_Large_PHL"/>
    <x v="24"/>
    <n v="19.174223581093901"/>
    <n v="5.32617321697054"/>
  </r>
  <r>
    <x v="0"/>
    <x v="18"/>
    <x v="0"/>
    <x v="0"/>
    <s v="DK1_Large_PHL"/>
    <x v="26"/>
    <n v="32.516643167392601"/>
    <n v="9.03240087983127"/>
  </r>
  <r>
    <x v="0"/>
    <x v="18"/>
    <x v="0"/>
    <x v="0"/>
    <s v="DK1_Large_PHL"/>
    <x v="27"/>
    <n v="20.163995508318798"/>
    <n v="5.6011098634218799"/>
  </r>
  <r>
    <x v="0"/>
    <x v="18"/>
    <x v="0"/>
    <x v="0"/>
    <s v="DK1_MedSmall"/>
    <x v="1"/>
    <n v="35.989199999999997"/>
    <n v="9.9969999999999999"/>
  </r>
  <r>
    <x v="0"/>
    <x v="18"/>
    <x v="0"/>
    <x v="0"/>
    <s v="DK1_MedSmall"/>
    <x v="2"/>
    <n v="38.5092"/>
    <n v="10.696999999999999"/>
  </r>
  <r>
    <x v="0"/>
    <x v="18"/>
    <x v="0"/>
    <x v="0"/>
    <s v="DK1_MedSmall"/>
    <x v="0"/>
    <n v="42.692399999999999"/>
    <n v="11.859"/>
  </r>
  <r>
    <x v="0"/>
    <x v="18"/>
    <x v="0"/>
    <x v="0"/>
    <s v="DK1_MedSmall"/>
    <x v="3"/>
    <n v="51.633543144067197"/>
    <n v="14.342650873352"/>
  </r>
  <r>
    <x v="0"/>
    <x v="18"/>
    <x v="0"/>
    <x v="0"/>
    <s v="DK1_MedSmall"/>
    <x v="4"/>
    <n v="15.1696304888152"/>
    <n v="4.21378624689312"/>
  </r>
  <r>
    <x v="0"/>
    <x v="18"/>
    <x v="0"/>
    <x v="0"/>
    <s v="DK1_MedSmall"/>
    <x v="5"/>
    <n v="15.1696304888152"/>
    <n v="4.21378624689312"/>
  </r>
  <r>
    <x v="0"/>
    <x v="18"/>
    <x v="0"/>
    <x v="0"/>
    <s v="DK1_MedSmall"/>
    <x v="6"/>
    <n v="29.476231795214598"/>
    <n v="8.1878421653373898"/>
  </r>
  <r>
    <x v="0"/>
    <x v="18"/>
    <x v="0"/>
    <x v="0"/>
    <s v="DK1_MedSmall"/>
    <x v="7"/>
    <n v="57.838935220261199"/>
    <n v="16.066370894517"/>
  </r>
  <r>
    <x v="0"/>
    <x v="18"/>
    <x v="0"/>
    <x v="0"/>
    <s v="DK1_MedSmall"/>
    <x v="8"/>
    <n v="57.838935220261199"/>
    <n v="16.066370894517"/>
  </r>
  <r>
    <x v="0"/>
    <x v="18"/>
    <x v="0"/>
    <x v="0"/>
    <s v="DK1_MedSmall"/>
    <x v="9"/>
    <n v="51.506187241093599"/>
    <n v="14.3072742336371"/>
  </r>
  <r>
    <x v="0"/>
    <x v="18"/>
    <x v="0"/>
    <x v="0"/>
    <s v="DK1_MedSmall"/>
    <x v="10"/>
    <n v="72.320331400165799"/>
    <n v="20.088980944490501"/>
  </r>
  <r>
    <x v="0"/>
    <x v="18"/>
    <x v="0"/>
    <x v="0"/>
    <s v="DK1_MedSmall"/>
    <x v="11"/>
    <n v="8.1139884009941898"/>
    <n v="2.2538856669428302"/>
  </r>
  <r>
    <x v="0"/>
    <x v="18"/>
    <x v="0"/>
    <x v="0"/>
    <s v="DK1_MedSmall"/>
    <x v="12"/>
    <n v="9.7995028997514597E-2"/>
    <n v="2.72208413881985E-2"/>
  </r>
  <r>
    <x v="0"/>
    <x v="18"/>
    <x v="0"/>
    <x v="0"/>
    <s v="DK1_MedSmall"/>
    <x v="13"/>
    <n v="24.3419652029826"/>
    <n v="6.7616570008285004"/>
  </r>
  <r>
    <x v="0"/>
    <x v="18"/>
    <x v="0"/>
    <x v="0"/>
    <s v="DK1_MedSmall"/>
    <x v="14"/>
    <n v="24.3419652029826"/>
    <n v="6.7616570008285004"/>
  </r>
  <r>
    <x v="0"/>
    <x v="18"/>
    <x v="0"/>
    <x v="0"/>
    <s v="DK1_MedSmall"/>
    <x v="15"/>
    <n v="1.65807589063794"/>
    <n v="0.46057663628831802"/>
  </r>
  <r>
    <x v="0"/>
    <x v="18"/>
    <x v="0"/>
    <x v="0"/>
    <s v="DK1_MedSmall"/>
    <x v="16"/>
    <n v="6.7156619979650802"/>
    <n v="1.8654616661014101"/>
  </r>
  <r>
    <x v="0"/>
    <x v="18"/>
    <x v="0"/>
    <x v="0"/>
    <s v="DK1_MedSmall"/>
    <x v="17"/>
    <n v="9.1244895875632395"/>
    <n v="2.5345804409897901"/>
  </r>
  <r>
    <x v="0"/>
    <x v="18"/>
    <x v="0"/>
    <x v="0"/>
    <s v="DK1_MedSmall"/>
    <x v="18"/>
    <n v="24.3419652029826"/>
    <n v="6.7616570008285004"/>
  </r>
  <r>
    <x v="0"/>
    <x v="18"/>
    <x v="0"/>
    <x v="0"/>
    <s v="DK1_MedSmall"/>
    <x v="19"/>
    <n v="8.1139884009941898"/>
    <n v="2.2538856669428302"/>
  </r>
  <r>
    <x v="0"/>
    <x v="18"/>
    <x v="0"/>
    <x v="0"/>
    <s v="DK1_MedSmall"/>
    <x v="20"/>
    <n v="21.431396138420201"/>
    <n v="5.9531655940056103"/>
  </r>
  <r>
    <x v="0"/>
    <x v="18"/>
    <x v="0"/>
    <x v="0"/>
    <s v="DK1_MedSmall"/>
    <x v="28"/>
    <n v="41.38758"/>
    <n v="11.496549999999999"/>
  </r>
  <r>
    <x v="0"/>
    <x v="18"/>
    <x v="0"/>
    <x v="0"/>
    <s v="DK1_MedSmall"/>
    <x v="21"/>
    <n v="48.24"/>
    <n v="13.4"/>
  </r>
  <r>
    <x v="0"/>
    <x v="18"/>
    <x v="0"/>
    <x v="0"/>
    <s v="DK1_MedSmall"/>
    <x v="22"/>
    <n v="67.680000000000007"/>
    <n v="18.8"/>
  </r>
  <r>
    <x v="0"/>
    <x v="18"/>
    <x v="0"/>
    <x v="0"/>
    <s v="DK1_MedSmall"/>
    <x v="23"/>
    <n v="0.31515896120488701"/>
    <n v="8.7544155890246306E-2"/>
  </r>
  <r>
    <x v="0"/>
    <x v="18"/>
    <x v="0"/>
    <x v="0"/>
    <s v="DK1_MedSmall"/>
    <x v="24"/>
    <n v="19.174223581093901"/>
    <n v="5.32617321697054"/>
  </r>
  <r>
    <x v="0"/>
    <x v="18"/>
    <x v="0"/>
    <x v="0"/>
    <s v="DK1_MedSmall"/>
    <x v="26"/>
    <n v="32.516643167392601"/>
    <n v="9.03240087983127"/>
  </r>
  <r>
    <x v="0"/>
    <x v="18"/>
    <x v="0"/>
    <x v="0"/>
    <s v="DK1_MedSmall"/>
    <x v="27"/>
    <n v="20.163995508318798"/>
    <n v="5.6011098634218799"/>
  </r>
  <r>
    <x v="0"/>
    <x v="18"/>
    <x v="0"/>
    <x v="0"/>
    <s v="DK1_Medium"/>
    <x v="1"/>
    <n v="35.989199999999997"/>
    <n v="9.9969999999999999"/>
  </r>
  <r>
    <x v="0"/>
    <x v="18"/>
    <x v="0"/>
    <x v="0"/>
    <s v="DK1_Medium"/>
    <x v="2"/>
    <n v="38.5092"/>
    <n v="10.696999999999999"/>
  </r>
  <r>
    <x v="0"/>
    <x v="18"/>
    <x v="0"/>
    <x v="0"/>
    <s v="DK1_Medium"/>
    <x v="0"/>
    <n v="42.692399999999999"/>
    <n v="11.859"/>
  </r>
  <r>
    <x v="0"/>
    <x v="18"/>
    <x v="0"/>
    <x v="0"/>
    <s v="DK1_Medium"/>
    <x v="3"/>
    <n v="51.633543144067197"/>
    <n v="14.342650873352"/>
  </r>
  <r>
    <x v="0"/>
    <x v="18"/>
    <x v="0"/>
    <x v="0"/>
    <s v="DK1_Medium"/>
    <x v="4"/>
    <n v="15.1696304888152"/>
    <n v="4.21378624689312"/>
  </r>
  <r>
    <x v="0"/>
    <x v="18"/>
    <x v="0"/>
    <x v="0"/>
    <s v="DK1_Medium"/>
    <x v="5"/>
    <n v="15.1696304888152"/>
    <n v="4.21378624689312"/>
  </r>
  <r>
    <x v="0"/>
    <x v="18"/>
    <x v="0"/>
    <x v="0"/>
    <s v="DK1_Medium"/>
    <x v="6"/>
    <n v="29.476231795214598"/>
    <n v="8.1878421653373898"/>
  </r>
  <r>
    <x v="0"/>
    <x v="18"/>
    <x v="0"/>
    <x v="0"/>
    <s v="DK1_Medium"/>
    <x v="7"/>
    <n v="57.838935220261199"/>
    <n v="16.066370894517"/>
  </r>
  <r>
    <x v="0"/>
    <x v="18"/>
    <x v="0"/>
    <x v="0"/>
    <s v="DK1_Medium"/>
    <x v="8"/>
    <n v="57.838935220261199"/>
    <n v="16.066370894517"/>
  </r>
  <r>
    <x v="0"/>
    <x v="18"/>
    <x v="0"/>
    <x v="0"/>
    <s v="DK1_Medium"/>
    <x v="9"/>
    <n v="51.506187241093599"/>
    <n v="14.3072742336371"/>
  </r>
  <r>
    <x v="0"/>
    <x v="18"/>
    <x v="0"/>
    <x v="0"/>
    <s v="DK1_Medium"/>
    <x v="10"/>
    <n v="72.320331400165799"/>
    <n v="20.088980944490501"/>
  </r>
  <r>
    <x v="0"/>
    <x v="18"/>
    <x v="0"/>
    <x v="0"/>
    <s v="DK1_Medium"/>
    <x v="11"/>
    <n v="8.1139884009941898"/>
    <n v="2.2538856669428302"/>
  </r>
  <r>
    <x v="0"/>
    <x v="18"/>
    <x v="0"/>
    <x v="0"/>
    <s v="DK1_Medium"/>
    <x v="12"/>
    <n v="9.7995028997514597E-2"/>
    <n v="2.72208413881985E-2"/>
  </r>
  <r>
    <x v="0"/>
    <x v="18"/>
    <x v="0"/>
    <x v="0"/>
    <s v="DK1_Medium"/>
    <x v="13"/>
    <n v="24.3419652029826"/>
    <n v="6.7616570008285004"/>
  </r>
  <r>
    <x v="0"/>
    <x v="18"/>
    <x v="0"/>
    <x v="0"/>
    <s v="DK1_Medium"/>
    <x v="14"/>
    <n v="24.3419652029826"/>
    <n v="6.7616570008285004"/>
  </r>
  <r>
    <x v="0"/>
    <x v="18"/>
    <x v="0"/>
    <x v="0"/>
    <s v="DK1_Medium"/>
    <x v="15"/>
    <n v="1.65807589063794"/>
    <n v="0.46057663628831802"/>
  </r>
  <r>
    <x v="0"/>
    <x v="18"/>
    <x v="0"/>
    <x v="0"/>
    <s v="DK1_Medium"/>
    <x v="16"/>
    <n v="6.7156619979650802"/>
    <n v="1.8654616661014101"/>
  </r>
  <r>
    <x v="0"/>
    <x v="18"/>
    <x v="0"/>
    <x v="0"/>
    <s v="DK1_Medium"/>
    <x v="17"/>
    <n v="9.1244895875632395"/>
    <n v="2.5345804409897901"/>
  </r>
  <r>
    <x v="0"/>
    <x v="18"/>
    <x v="0"/>
    <x v="0"/>
    <s v="DK1_Medium"/>
    <x v="18"/>
    <n v="24.3419652029826"/>
    <n v="6.7616570008285004"/>
  </r>
  <r>
    <x v="0"/>
    <x v="18"/>
    <x v="0"/>
    <x v="0"/>
    <s v="DK1_Medium"/>
    <x v="19"/>
    <n v="8.1139884009941898"/>
    <n v="2.2538856669428302"/>
  </r>
  <r>
    <x v="0"/>
    <x v="18"/>
    <x v="0"/>
    <x v="0"/>
    <s v="DK1_Medium"/>
    <x v="20"/>
    <n v="21.431396138420201"/>
    <n v="5.9531655940056103"/>
  </r>
  <r>
    <x v="0"/>
    <x v="18"/>
    <x v="0"/>
    <x v="0"/>
    <s v="DK1_Medium"/>
    <x v="28"/>
    <n v="41.38758"/>
    <n v="11.496549999999999"/>
  </r>
  <r>
    <x v="0"/>
    <x v="18"/>
    <x v="0"/>
    <x v="0"/>
    <s v="DK1_Medium"/>
    <x v="21"/>
    <n v="48.24"/>
    <n v="13.4"/>
  </r>
  <r>
    <x v="0"/>
    <x v="18"/>
    <x v="0"/>
    <x v="0"/>
    <s v="DK1_Medium"/>
    <x v="22"/>
    <n v="67.680000000000007"/>
    <n v="18.8"/>
  </r>
  <r>
    <x v="0"/>
    <x v="18"/>
    <x v="0"/>
    <x v="0"/>
    <s v="DK1_Medium"/>
    <x v="23"/>
    <n v="0.31515896120488701"/>
    <n v="8.7544155890246306E-2"/>
  </r>
  <r>
    <x v="0"/>
    <x v="18"/>
    <x v="0"/>
    <x v="0"/>
    <s v="DK1_Medium"/>
    <x v="24"/>
    <n v="19.174223581093901"/>
    <n v="5.32617321697054"/>
  </r>
  <r>
    <x v="0"/>
    <x v="18"/>
    <x v="0"/>
    <x v="0"/>
    <s v="DK1_Medium"/>
    <x v="26"/>
    <n v="32.516643167392601"/>
    <n v="9.03240087983127"/>
  </r>
  <r>
    <x v="0"/>
    <x v="18"/>
    <x v="0"/>
    <x v="0"/>
    <s v="DK1_Medium"/>
    <x v="27"/>
    <n v="20.163995508318798"/>
    <n v="5.6011098634218799"/>
  </r>
  <r>
    <x v="0"/>
    <x v="18"/>
    <x v="0"/>
    <x v="0"/>
    <s v="DK1_NoDH"/>
    <x v="1"/>
    <n v="35.989199999999997"/>
    <n v="9.9969999999999999"/>
  </r>
  <r>
    <x v="0"/>
    <x v="18"/>
    <x v="0"/>
    <x v="0"/>
    <s v="DK1_NoDH"/>
    <x v="2"/>
    <n v="38.5092"/>
    <n v="10.696999999999999"/>
  </r>
  <r>
    <x v="0"/>
    <x v="18"/>
    <x v="0"/>
    <x v="0"/>
    <s v="DK1_NoDH"/>
    <x v="0"/>
    <n v="42.692399999999999"/>
    <n v="11.859"/>
  </r>
  <r>
    <x v="0"/>
    <x v="18"/>
    <x v="0"/>
    <x v="0"/>
    <s v="DK1_NoDH"/>
    <x v="3"/>
    <n v="51.633543144067197"/>
    <n v="14.342650873352"/>
  </r>
  <r>
    <x v="0"/>
    <x v="18"/>
    <x v="0"/>
    <x v="0"/>
    <s v="DK1_NoDH"/>
    <x v="4"/>
    <n v="15.1696304888152"/>
    <n v="4.21378624689312"/>
  </r>
  <r>
    <x v="0"/>
    <x v="18"/>
    <x v="0"/>
    <x v="0"/>
    <s v="DK1_NoDH"/>
    <x v="5"/>
    <n v="15.1696304888152"/>
    <n v="4.21378624689312"/>
  </r>
  <r>
    <x v="0"/>
    <x v="18"/>
    <x v="0"/>
    <x v="0"/>
    <s v="DK1_NoDH"/>
    <x v="6"/>
    <n v="29.476231795214598"/>
    <n v="8.1878421653373898"/>
  </r>
  <r>
    <x v="0"/>
    <x v="18"/>
    <x v="0"/>
    <x v="0"/>
    <s v="DK1_NoDH"/>
    <x v="7"/>
    <n v="57.838935220261199"/>
    <n v="16.066370894517"/>
  </r>
  <r>
    <x v="0"/>
    <x v="18"/>
    <x v="0"/>
    <x v="0"/>
    <s v="DK1_NoDH"/>
    <x v="8"/>
    <n v="57.838935220261199"/>
    <n v="16.066370894517"/>
  </r>
  <r>
    <x v="0"/>
    <x v="18"/>
    <x v="0"/>
    <x v="0"/>
    <s v="DK1_NoDH"/>
    <x v="9"/>
    <n v="51.506187241093599"/>
    <n v="14.3072742336371"/>
  </r>
  <r>
    <x v="0"/>
    <x v="18"/>
    <x v="0"/>
    <x v="0"/>
    <s v="DK1_NoDH"/>
    <x v="10"/>
    <n v="72.320331400165799"/>
    <n v="20.088980944490501"/>
  </r>
  <r>
    <x v="0"/>
    <x v="18"/>
    <x v="0"/>
    <x v="0"/>
    <s v="DK1_NoDH"/>
    <x v="11"/>
    <n v="8.1139884009941898"/>
    <n v="2.2538856669428302"/>
  </r>
  <r>
    <x v="0"/>
    <x v="18"/>
    <x v="0"/>
    <x v="0"/>
    <s v="DK1_NoDH"/>
    <x v="12"/>
    <n v="9.7995028997514597E-2"/>
    <n v="2.72208413881985E-2"/>
  </r>
  <r>
    <x v="0"/>
    <x v="18"/>
    <x v="0"/>
    <x v="0"/>
    <s v="DK1_NoDH"/>
    <x v="13"/>
    <n v="24.3419652029826"/>
    <n v="6.7616570008285004"/>
  </r>
  <r>
    <x v="0"/>
    <x v="18"/>
    <x v="0"/>
    <x v="0"/>
    <s v="DK1_NoDH"/>
    <x v="14"/>
    <n v="24.3419652029826"/>
    <n v="6.7616570008285004"/>
  </r>
  <r>
    <x v="0"/>
    <x v="18"/>
    <x v="0"/>
    <x v="0"/>
    <s v="DK1_NoDH"/>
    <x v="15"/>
    <n v="1.65807589063794"/>
    <n v="0.46057663628831802"/>
  </r>
  <r>
    <x v="0"/>
    <x v="18"/>
    <x v="0"/>
    <x v="0"/>
    <s v="DK1_NoDH"/>
    <x v="16"/>
    <n v="6.7156619979650802"/>
    <n v="1.8654616661014101"/>
  </r>
  <r>
    <x v="0"/>
    <x v="18"/>
    <x v="0"/>
    <x v="0"/>
    <s v="DK1_NoDH"/>
    <x v="17"/>
    <n v="9.1244895875632395"/>
    <n v="2.5345804409897901"/>
  </r>
  <r>
    <x v="0"/>
    <x v="18"/>
    <x v="0"/>
    <x v="0"/>
    <s v="DK1_NoDH"/>
    <x v="18"/>
    <n v="24.3419652029826"/>
    <n v="6.7616570008285004"/>
  </r>
  <r>
    <x v="0"/>
    <x v="18"/>
    <x v="0"/>
    <x v="0"/>
    <s v="DK1_NoDH"/>
    <x v="19"/>
    <n v="8.1139884009941898"/>
    <n v="2.2538856669428302"/>
  </r>
  <r>
    <x v="0"/>
    <x v="18"/>
    <x v="0"/>
    <x v="0"/>
    <s v="DK1_NoDH"/>
    <x v="20"/>
    <n v="21.431396138420201"/>
    <n v="5.9531655940056103"/>
  </r>
  <r>
    <x v="0"/>
    <x v="18"/>
    <x v="0"/>
    <x v="0"/>
    <s v="DK1_NoDH"/>
    <x v="28"/>
    <n v="41.38758"/>
    <n v="11.496549999999999"/>
  </r>
  <r>
    <x v="0"/>
    <x v="18"/>
    <x v="0"/>
    <x v="0"/>
    <s v="DK1_NoDH"/>
    <x v="21"/>
    <n v="48.24"/>
    <n v="13.4"/>
  </r>
  <r>
    <x v="0"/>
    <x v="18"/>
    <x v="0"/>
    <x v="0"/>
    <s v="DK1_NoDH"/>
    <x v="22"/>
    <n v="67.680000000000007"/>
    <n v="18.8"/>
  </r>
  <r>
    <x v="0"/>
    <x v="18"/>
    <x v="0"/>
    <x v="0"/>
    <s v="DK1_NoDH"/>
    <x v="23"/>
    <n v="0.31515896120488701"/>
    <n v="8.7544155890246306E-2"/>
  </r>
  <r>
    <x v="0"/>
    <x v="18"/>
    <x v="0"/>
    <x v="0"/>
    <s v="DK1_NoDH"/>
    <x v="24"/>
    <n v="19.174223581093901"/>
    <n v="5.32617321697054"/>
  </r>
  <r>
    <x v="0"/>
    <x v="18"/>
    <x v="0"/>
    <x v="0"/>
    <s v="DK1_NoDH"/>
    <x v="26"/>
    <n v="32.516643167392601"/>
    <n v="9.03240087983127"/>
  </r>
  <r>
    <x v="0"/>
    <x v="18"/>
    <x v="0"/>
    <x v="0"/>
    <s v="DK1_NoDH"/>
    <x v="27"/>
    <n v="20.163995508318798"/>
    <n v="5.6011098634218799"/>
  </r>
  <r>
    <x v="0"/>
    <x v="18"/>
    <x v="0"/>
    <x v="0"/>
    <s v="DK1_NoDH_PHH"/>
    <x v="1"/>
    <n v="35.989199999999997"/>
    <n v="9.9969999999999999"/>
  </r>
  <r>
    <x v="0"/>
    <x v="18"/>
    <x v="0"/>
    <x v="0"/>
    <s v="DK1_NoDH_PHH"/>
    <x v="2"/>
    <n v="38.5092"/>
    <n v="10.696999999999999"/>
  </r>
  <r>
    <x v="0"/>
    <x v="18"/>
    <x v="0"/>
    <x v="0"/>
    <s v="DK1_NoDH_PHH"/>
    <x v="0"/>
    <n v="42.692399999999999"/>
    <n v="11.859"/>
  </r>
  <r>
    <x v="0"/>
    <x v="18"/>
    <x v="0"/>
    <x v="0"/>
    <s v="DK1_NoDH_PHH"/>
    <x v="3"/>
    <n v="51.633543144067197"/>
    <n v="14.342650873352"/>
  </r>
  <r>
    <x v="0"/>
    <x v="18"/>
    <x v="0"/>
    <x v="0"/>
    <s v="DK1_NoDH_PHH"/>
    <x v="4"/>
    <n v="15.1696304888152"/>
    <n v="4.21378624689312"/>
  </r>
  <r>
    <x v="0"/>
    <x v="18"/>
    <x v="0"/>
    <x v="0"/>
    <s v="DK1_NoDH_PHH"/>
    <x v="5"/>
    <n v="15.1696304888152"/>
    <n v="4.21378624689312"/>
  </r>
  <r>
    <x v="0"/>
    <x v="18"/>
    <x v="0"/>
    <x v="0"/>
    <s v="DK1_NoDH_PHH"/>
    <x v="6"/>
    <n v="29.476231795214598"/>
    <n v="8.1878421653373898"/>
  </r>
  <r>
    <x v="0"/>
    <x v="18"/>
    <x v="0"/>
    <x v="0"/>
    <s v="DK1_NoDH_PHH"/>
    <x v="7"/>
    <n v="57.838935220261199"/>
    <n v="16.066370894517"/>
  </r>
  <r>
    <x v="0"/>
    <x v="18"/>
    <x v="0"/>
    <x v="0"/>
    <s v="DK1_NoDH_PHH"/>
    <x v="8"/>
    <n v="57.838935220261199"/>
    <n v="16.066370894517"/>
  </r>
  <r>
    <x v="0"/>
    <x v="18"/>
    <x v="0"/>
    <x v="0"/>
    <s v="DK1_NoDH_PHH"/>
    <x v="9"/>
    <n v="51.506187241093599"/>
    <n v="14.3072742336371"/>
  </r>
  <r>
    <x v="0"/>
    <x v="18"/>
    <x v="0"/>
    <x v="0"/>
    <s v="DK1_NoDH_PHH"/>
    <x v="10"/>
    <n v="72.320331400165799"/>
    <n v="20.088980944490501"/>
  </r>
  <r>
    <x v="0"/>
    <x v="18"/>
    <x v="0"/>
    <x v="0"/>
    <s v="DK1_NoDH_PHH"/>
    <x v="11"/>
    <n v="8.1139884009941898"/>
    <n v="2.2538856669428302"/>
  </r>
  <r>
    <x v="0"/>
    <x v="18"/>
    <x v="0"/>
    <x v="0"/>
    <s v="DK1_NoDH_PHH"/>
    <x v="12"/>
    <n v="9.7995028997514597E-2"/>
    <n v="2.72208413881985E-2"/>
  </r>
  <r>
    <x v="0"/>
    <x v="18"/>
    <x v="0"/>
    <x v="0"/>
    <s v="DK1_NoDH_PHH"/>
    <x v="13"/>
    <n v="24.3419652029826"/>
    <n v="6.7616570008285004"/>
  </r>
  <r>
    <x v="0"/>
    <x v="18"/>
    <x v="0"/>
    <x v="0"/>
    <s v="DK1_NoDH_PHH"/>
    <x v="14"/>
    <n v="24.3419652029826"/>
    <n v="6.7616570008285004"/>
  </r>
  <r>
    <x v="0"/>
    <x v="18"/>
    <x v="0"/>
    <x v="0"/>
    <s v="DK1_NoDH_PHH"/>
    <x v="15"/>
    <n v="1.65807589063794"/>
    <n v="0.46057663628831802"/>
  </r>
  <r>
    <x v="0"/>
    <x v="18"/>
    <x v="0"/>
    <x v="0"/>
    <s v="DK1_NoDH_PHH"/>
    <x v="16"/>
    <n v="6.7156619979650802"/>
    <n v="1.8654616661014101"/>
  </r>
  <r>
    <x v="0"/>
    <x v="18"/>
    <x v="0"/>
    <x v="0"/>
    <s v="DK1_NoDH_PHH"/>
    <x v="17"/>
    <n v="9.1244895875632395"/>
    <n v="2.5345804409897901"/>
  </r>
  <r>
    <x v="0"/>
    <x v="18"/>
    <x v="0"/>
    <x v="0"/>
    <s v="DK1_NoDH_PHH"/>
    <x v="18"/>
    <n v="24.3419652029826"/>
    <n v="6.7616570008285004"/>
  </r>
  <r>
    <x v="0"/>
    <x v="18"/>
    <x v="0"/>
    <x v="0"/>
    <s v="DK1_NoDH_PHH"/>
    <x v="19"/>
    <n v="8.1139884009941898"/>
    <n v="2.2538856669428302"/>
  </r>
  <r>
    <x v="0"/>
    <x v="18"/>
    <x v="0"/>
    <x v="0"/>
    <s v="DK1_NoDH_PHH"/>
    <x v="20"/>
    <n v="21.431396138420201"/>
    <n v="5.9531655940056103"/>
  </r>
  <r>
    <x v="0"/>
    <x v="18"/>
    <x v="0"/>
    <x v="0"/>
    <s v="DK1_NoDH_PHH"/>
    <x v="28"/>
    <n v="41.38758"/>
    <n v="11.496549999999999"/>
  </r>
  <r>
    <x v="0"/>
    <x v="18"/>
    <x v="0"/>
    <x v="0"/>
    <s v="DK1_NoDH_PHH"/>
    <x v="21"/>
    <n v="48.24"/>
    <n v="13.4"/>
  </r>
  <r>
    <x v="0"/>
    <x v="18"/>
    <x v="0"/>
    <x v="0"/>
    <s v="DK1_NoDH_PHH"/>
    <x v="22"/>
    <n v="67.680000000000007"/>
    <n v="18.8"/>
  </r>
  <r>
    <x v="0"/>
    <x v="18"/>
    <x v="0"/>
    <x v="0"/>
    <s v="DK1_NoDH_PHH"/>
    <x v="23"/>
    <n v="0.31515896120488701"/>
    <n v="8.7544155890246306E-2"/>
  </r>
  <r>
    <x v="0"/>
    <x v="18"/>
    <x v="0"/>
    <x v="0"/>
    <s v="DK1_NoDH_PHH"/>
    <x v="24"/>
    <n v="19.174223581093901"/>
    <n v="5.32617321697054"/>
  </r>
  <r>
    <x v="0"/>
    <x v="18"/>
    <x v="0"/>
    <x v="0"/>
    <s v="DK1_NoDH_PHH"/>
    <x v="26"/>
    <n v="32.516643167392601"/>
    <n v="9.03240087983127"/>
  </r>
  <r>
    <x v="0"/>
    <x v="18"/>
    <x v="0"/>
    <x v="0"/>
    <s v="DK1_NoDH_PHH"/>
    <x v="27"/>
    <n v="20.163995508318798"/>
    <n v="5.6011098634218799"/>
  </r>
  <r>
    <x v="0"/>
    <x v="18"/>
    <x v="0"/>
    <x v="0"/>
    <s v="DK1_NoDH_PHL"/>
    <x v="1"/>
    <n v="35.989199999999997"/>
    <n v="9.9969999999999999"/>
  </r>
  <r>
    <x v="0"/>
    <x v="18"/>
    <x v="0"/>
    <x v="0"/>
    <s v="DK1_NoDH_PHL"/>
    <x v="2"/>
    <n v="38.5092"/>
    <n v="10.696999999999999"/>
  </r>
  <r>
    <x v="0"/>
    <x v="18"/>
    <x v="0"/>
    <x v="0"/>
    <s v="DK1_NoDH_PHL"/>
    <x v="0"/>
    <n v="42.692399999999999"/>
    <n v="11.859"/>
  </r>
  <r>
    <x v="0"/>
    <x v="18"/>
    <x v="0"/>
    <x v="0"/>
    <s v="DK1_NoDH_PHL"/>
    <x v="3"/>
    <n v="51.633543144067197"/>
    <n v="14.342650873352"/>
  </r>
  <r>
    <x v="0"/>
    <x v="18"/>
    <x v="0"/>
    <x v="0"/>
    <s v="DK1_NoDH_PHL"/>
    <x v="4"/>
    <n v="15.1696304888152"/>
    <n v="4.21378624689312"/>
  </r>
  <r>
    <x v="0"/>
    <x v="18"/>
    <x v="0"/>
    <x v="0"/>
    <s v="DK1_NoDH_PHL"/>
    <x v="5"/>
    <n v="15.1696304888152"/>
    <n v="4.21378624689312"/>
  </r>
  <r>
    <x v="0"/>
    <x v="18"/>
    <x v="0"/>
    <x v="0"/>
    <s v="DK1_NoDH_PHL"/>
    <x v="6"/>
    <n v="29.476231795214598"/>
    <n v="8.1878421653373898"/>
  </r>
  <r>
    <x v="0"/>
    <x v="18"/>
    <x v="0"/>
    <x v="0"/>
    <s v="DK1_NoDH_PHL"/>
    <x v="7"/>
    <n v="57.838935220261199"/>
    <n v="16.066370894517"/>
  </r>
  <r>
    <x v="0"/>
    <x v="18"/>
    <x v="0"/>
    <x v="0"/>
    <s v="DK1_NoDH_PHL"/>
    <x v="8"/>
    <n v="57.838935220261199"/>
    <n v="16.066370894517"/>
  </r>
  <r>
    <x v="0"/>
    <x v="18"/>
    <x v="0"/>
    <x v="0"/>
    <s v="DK1_NoDH_PHL"/>
    <x v="9"/>
    <n v="51.506187241093599"/>
    <n v="14.3072742336371"/>
  </r>
  <r>
    <x v="0"/>
    <x v="18"/>
    <x v="0"/>
    <x v="0"/>
    <s v="DK1_NoDH_PHL"/>
    <x v="10"/>
    <n v="72.320331400165799"/>
    <n v="20.088980944490501"/>
  </r>
  <r>
    <x v="0"/>
    <x v="18"/>
    <x v="0"/>
    <x v="0"/>
    <s v="DK1_NoDH_PHL"/>
    <x v="11"/>
    <n v="8.1139884009941898"/>
    <n v="2.2538856669428302"/>
  </r>
  <r>
    <x v="0"/>
    <x v="18"/>
    <x v="0"/>
    <x v="0"/>
    <s v="DK1_NoDH_PHL"/>
    <x v="12"/>
    <n v="9.7995028997514597E-2"/>
    <n v="2.72208413881985E-2"/>
  </r>
  <r>
    <x v="0"/>
    <x v="18"/>
    <x v="0"/>
    <x v="0"/>
    <s v="DK1_NoDH_PHL"/>
    <x v="13"/>
    <n v="24.3419652029826"/>
    <n v="6.7616570008285004"/>
  </r>
  <r>
    <x v="0"/>
    <x v="18"/>
    <x v="0"/>
    <x v="0"/>
    <s v="DK1_NoDH_PHL"/>
    <x v="14"/>
    <n v="24.3419652029826"/>
    <n v="6.7616570008285004"/>
  </r>
  <r>
    <x v="0"/>
    <x v="18"/>
    <x v="0"/>
    <x v="0"/>
    <s v="DK1_NoDH_PHL"/>
    <x v="15"/>
    <n v="1.65807589063794"/>
    <n v="0.46057663628831802"/>
  </r>
  <r>
    <x v="0"/>
    <x v="18"/>
    <x v="0"/>
    <x v="0"/>
    <s v="DK1_NoDH_PHL"/>
    <x v="16"/>
    <n v="6.7156619979650802"/>
    <n v="1.8654616661014101"/>
  </r>
  <r>
    <x v="0"/>
    <x v="18"/>
    <x v="0"/>
    <x v="0"/>
    <s v="DK1_NoDH_PHL"/>
    <x v="17"/>
    <n v="9.1244895875632395"/>
    <n v="2.5345804409897901"/>
  </r>
  <r>
    <x v="0"/>
    <x v="18"/>
    <x v="0"/>
    <x v="0"/>
    <s v="DK1_NoDH_PHL"/>
    <x v="18"/>
    <n v="24.3419652029826"/>
    <n v="6.7616570008285004"/>
  </r>
  <r>
    <x v="0"/>
    <x v="18"/>
    <x v="0"/>
    <x v="0"/>
    <s v="DK1_NoDH_PHL"/>
    <x v="19"/>
    <n v="8.1139884009941898"/>
    <n v="2.2538856669428302"/>
  </r>
  <r>
    <x v="0"/>
    <x v="18"/>
    <x v="0"/>
    <x v="0"/>
    <s v="DK1_NoDH_PHL"/>
    <x v="20"/>
    <n v="21.431396138420201"/>
    <n v="5.9531655940056103"/>
  </r>
  <r>
    <x v="0"/>
    <x v="18"/>
    <x v="0"/>
    <x v="0"/>
    <s v="DK1_NoDH_PHL"/>
    <x v="28"/>
    <n v="41.38758"/>
    <n v="11.496549999999999"/>
  </r>
  <r>
    <x v="0"/>
    <x v="18"/>
    <x v="0"/>
    <x v="0"/>
    <s v="DK1_NoDH_PHL"/>
    <x v="21"/>
    <n v="48.24"/>
    <n v="13.4"/>
  </r>
  <r>
    <x v="0"/>
    <x v="18"/>
    <x v="0"/>
    <x v="0"/>
    <s v="DK1_NoDH_PHL"/>
    <x v="22"/>
    <n v="67.680000000000007"/>
    <n v="18.8"/>
  </r>
  <r>
    <x v="0"/>
    <x v="18"/>
    <x v="0"/>
    <x v="0"/>
    <s v="DK1_NoDH_PHL"/>
    <x v="23"/>
    <n v="0.31515896120488701"/>
    <n v="8.7544155890246306E-2"/>
  </r>
  <r>
    <x v="0"/>
    <x v="18"/>
    <x v="0"/>
    <x v="0"/>
    <s v="DK1_NoDH_PHL"/>
    <x v="24"/>
    <n v="19.174223581093901"/>
    <n v="5.32617321697054"/>
  </r>
  <r>
    <x v="0"/>
    <x v="18"/>
    <x v="0"/>
    <x v="0"/>
    <s v="DK1_NoDH_PHL"/>
    <x v="26"/>
    <n v="32.516643167392601"/>
    <n v="9.03240087983127"/>
  </r>
  <r>
    <x v="0"/>
    <x v="18"/>
    <x v="0"/>
    <x v="0"/>
    <s v="DK1_NoDH_PHL"/>
    <x v="27"/>
    <n v="20.163995508318798"/>
    <n v="5.6011098634218799"/>
  </r>
  <r>
    <x v="0"/>
    <x v="18"/>
    <x v="0"/>
    <x v="0"/>
    <s v="DK1_Offshore"/>
    <x v="1"/>
    <n v="35.989199999999997"/>
    <n v="9.9969999999999999"/>
  </r>
  <r>
    <x v="0"/>
    <x v="18"/>
    <x v="0"/>
    <x v="0"/>
    <s v="DK1_Offshore"/>
    <x v="2"/>
    <n v="38.5092"/>
    <n v="10.696999999999999"/>
  </r>
  <r>
    <x v="0"/>
    <x v="18"/>
    <x v="0"/>
    <x v="0"/>
    <s v="DK1_Offshore"/>
    <x v="0"/>
    <n v="42.692399999999999"/>
    <n v="11.859"/>
  </r>
  <r>
    <x v="0"/>
    <x v="18"/>
    <x v="0"/>
    <x v="0"/>
    <s v="DK1_Offshore"/>
    <x v="3"/>
    <n v="51.633543144067197"/>
    <n v="14.342650873352"/>
  </r>
  <r>
    <x v="0"/>
    <x v="18"/>
    <x v="0"/>
    <x v="0"/>
    <s v="DK1_Offshore"/>
    <x v="4"/>
    <n v="15.1696304888152"/>
    <n v="4.21378624689312"/>
  </r>
  <r>
    <x v="0"/>
    <x v="18"/>
    <x v="0"/>
    <x v="0"/>
    <s v="DK1_Offshore"/>
    <x v="5"/>
    <n v="15.1696304888152"/>
    <n v="4.21378624689312"/>
  </r>
  <r>
    <x v="0"/>
    <x v="18"/>
    <x v="0"/>
    <x v="0"/>
    <s v="DK1_Offshore"/>
    <x v="6"/>
    <n v="29.476231795214598"/>
    <n v="8.1878421653373898"/>
  </r>
  <r>
    <x v="0"/>
    <x v="18"/>
    <x v="0"/>
    <x v="0"/>
    <s v="DK1_Offshore"/>
    <x v="7"/>
    <n v="57.838935220261199"/>
    <n v="16.066370894517"/>
  </r>
  <r>
    <x v="0"/>
    <x v="18"/>
    <x v="0"/>
    <x v="0"/>
    <s v="DK1_Offshore"/>
    <x v="8"/>
    <n v="57.838935220261199"/>
    <n v="16.066370894517"/>
  </r>
  <r>
    <x v="0"/>
    <x v="18"/>
    <x v="0"/>
    <x v="0"/>
    <s v="DK1_Offshore"/>
    <x v="9"/>
    <n v="51.506187241093599"/>
    <n v="14.3072742336371"/>
  </r>
  <r>
    <x v="0"/>
    <x v="18"/>
    <x v="0"/>
    <x v="0"/>
    <s v="DK1_Offshore"/>
    <x v="10"/>
    <n v="72.320331400165799"/>
    <n v="20.088980944490501"/>
  </r>
  <r>
    <x v="0"/>
    <x v="18"/>
    <x v="0"/>
    <x v="0"/>
    <s v="DK1_Offshore"/>
    <x v="11"/>
    <n v="8.1139884009941898"/>
    <n v="2.2538856669428302"/>
  </r>
  <r>
    <x v="0"/>
    <x v="18"/>
    <x v="0"/>
    <x v="0"/>
    <s v="DK1_Offshore"/>
    <x v="12"/>
    <n v="9.7995028997514597E-2"/>
    <n v="2.72208413881985E-2"/>
  </r>
  <r>
    <x v="0"/>
    <x v="18"/>
    <x v="0"/>
    <x v="0"/>
    <s v="DK1_Offshore"/>
    <x v="13"/>
    <n v="24.3419652029826"/>
    <n v="6.7616570008285004"/>
  </r>
  <r>
    <x v="0"/>
    <x v="18"/>
    <x v="0"/>
    <x v="0"/>
    <s v="DK1_Offshore"/>
    <x v="14"/>
    <n v="24.3419652029826"/>
    <n v="6.7616570008285004"/>
  </r>
  <r>
    <x v="0"/>
    <x v="18"/>
    <x v="0"/>
    <x v="0"/>
    <s v="DK1_Offshore"/>
    <x v="15"/>
    <n v="1.65807589063794"/>
    <n v="0.46057663628831802"/>
  </r>
  <r>
    <x v="0"/>
    <x v="18"/>
    <x v="0"/>
    <x v="0"/>
    <s v="DK1_Offshore"/>
    <x v="16"/>
    <n v="6.7156619979650802"/>
    <n v="1.8654616661014101"/>
  </r>
  <r>
    <x v="0"/>
    <x v="18"/>
    <x v="0"/>
    <x v="0"/>
    <s v="DK1_Offshore"/>
    <x v="17"/>
    <n v="9.1244895875632395"/>
    <n v="2.5345804409897901"/>
  </r>
  <r>
    <x v="0"/>
    <x v="18"/>
    <x v="0"/>
    <x v="0"/>
    <s v="DK1_Offshore"/>
    <x v="18"/>
    <n v="24.3419652029826"/>
    <n v="6.7616570008285004"/>
  </r>
  <r>
    <x v="0"/>
    <x v="18"/>
    <x v="0"/>
    <x v="0"/>
    <s v="DK1_Offshore"/>
    <x v="19"/>
    <n v="8.1139884009941898"/>
    <n v="2.2538856669428302"/>
  </r>
  <r>
    <x v="0"/>
    <x v="18"/>
    <x v="0"/>
    <x v="0"/>
    <s v="DK1_Offshore"/>
    <x v="20"/>
    <n v="21.431396138420201"/>
    <n v="5.9531655940056103"/>
  </r>
  <r>
    <x v="0"/>
    <x v="18"/>
    <x v="0"/>
    <x v="0"/>
    <s v="DK1_Offshore"/>
    <x v="28"/>
    <n v="41.38758"/>
    <n v="11.496549999999999"/>
  </r>
  <r>
    <x v="0"/>
    <x v="18"/>
    <x v="0"/>
    <x v="0"/>
    <s v="DK1_Offshore"/>
    <x v="21"/>
    <n v="48.24"/>
    <n v="13.4"/>
  </r>
  <r>
    <x v="0"/>
    <x v="18"/>
    <x v="0"/>
    <x v="0"/>
    <s v="DK1_Offshore"/>
    <x v="22"/>
    <n v="67.680000000000007"/>
    <n v="18.8"/>
  </r>
  <r>
    <x v="0"/>
    <x v="18"/>
    <x v="0"/>
    <x v="0"/>
    <s v="DK1_Offshore"/>
    <x v="23"/>
    <n v="0.31515896120488701"/>
    <n v="8.7544155890246306E-2"/>
  </r>
  <r>
    <x v="0"/>
    <x v="18"/>
    <x v="0"/>
    <x v="0"/>
    <s v="DK1_Offshore"/>
    <x v="24"/>
    <n v="19.174223581093901"/>
    <n v="5.32617321697054"/>
  </r>
  <r>
    <x v="0"/>
    <x v="18"/>
    <x v="0"/>
    <x v="0"/>
    <s v="DK1_Offshore"/>
    <x v="26"/>
    <n v="32.516643167392601"/>
    <n v="9.03240087983127"/>
  </r>
  <r>
    <x v="0"/>
    <x v="18"/>
    <x v="0"/>
    <x v="0"/>
    <s v="DK1_Offshore"/>
    <x v="27"/>
    <n v="20.163995508318798"/>
    <n v="5.6011098634218799"/>
  </r>
  <r>
    <x v="0"/>
    <x v="18"/>
    <x v="0"/>
    <x v="0"/>
    <s v="DK1_Rural"/>
    <x v="1"/>
    <n v="35.989199999999997"/>
    <n v="9.9969999999999999"/>
  </r>
  <r>
    <x v="0"/>
    <x v="18"/>
    <x v="0"/>
    <x v="0"/>
    <s v="DK1_Rural"/>
    <x v="2"/>
    <n v="38.5092"/>
    <n v="10.696999999999999"/>
  </r>
  <r>
    <x v="0"/>
    <x v="18"/>
    <x v="0"/>
    <x v="0"/>
    <s v="DK1_Rural"/>
    <x v="0"/>
    <n v="42.692399999999999"/>
    <n v="11.859"/>
  </r>
  <r>
    <x v="0"/>
    <x v="18"/>
    <x v="0"/>
    <x v="0"/>
    <s v="DK1_Rural"/>
    <x v="3"/>
    <n v="51.633543144067197"/>
    <n v="14.342650873352"/>
  </r>
  <r>
    <x v="0"/>
    <x v="18"/>
    <x v="0"/>
    <x v="0"/>
    <s v="DK1_Rural"/>
    <x v="4"/>
    <n v="15.1696304888152"/>
    <n v="4.21378624689312"/>
  </r>
  <r>
    <x v="0"/>
    <x v="18"/>
    <x v="0"/>
    <x v="0"/>
    <s v="DK1_Rural"/>
    <x v="5"/>
    <n v="15.1696304888152"/>
    <n v="4.21378624689312"/>
  </r>
  <r>
    <x v="0"/>
    <x v="18"/>
    <x v="0"/>
    <x v="0"/>
    <s v="DK1_Rural"/>
    <x v="6"/>
    <n v="29.476231795214598"/>
    <n v="8.1878421653373898"/>
  </r>
  <r>
    <x v="0"/>
    <x v="18"/>
    <x v="0"/>
    <x v="0"/>
    <s v="DK1_Rural"/>
    <x v="7"/>
    <n v="57.838935220261199"/>
    <n v="16.066370894517"/>
  </r>
  <r>
    <x v="0"/>
    <x v="18"/>
    <x v="0"/>
    <x v="0"/>
    <s v="DK1_Rural"/>
    <x v="8"/>
    <n v="57.838935220261199"/>
    <n v="16.066370894517"/>
  </r>
  <r>
    <x v="0"/>
    <x v="18"/>
    <x v="0"/>
    <x v="0"/>
    <s v="DK1_Rural"/>
    <x v="9"/>
    <n v="51.506187241093599"/>
    <n v="14.3072742336371"/>
  </r>
  <r>
    <x v="0"/>
    <x v="18"/>
    <x v="0"/>
    <x v="0"/>
    <s v="DK1_Rural"/>
    <x v="10"/>
    <n v="72.320331400165799"/>
    <n v="20.088980944490501"/>
  </r>
  <r>
    <x v="0"/>
    <x v="18"/>
    <x v="0"/>
    <x v="0"/>
    <s v="DK1_Rural"/>
    <x v="11"/>
    <n v="8.1139884009941898"/>
    <n v="2.2538856669428302"/>
  </r>
  <r>
    <x v="0"/>
    <x v="18"/>
    <x v="0"/>
    <x v="0"/>
    <s v="DK1_Rural"/>
    <x v="12"/>
    <n v="9.7995028997514597E-2"/>
    <n v="2.72208413881985E-2"/>
  </r>
  <r>
    <x v="0"/>
    <x v="18"/>
    <x v="0"/>
    <x v="0"/>
    <s v="DK1_Rural"/>
    <x v="13"/>
    <n v="24.3419652029826"/>
    <n v="6.7616570008285004"/>
  </r>
  <r>
    <x v="0"/>
    <x v="18"/>
    <x v="0"/>
    <x v="0"/>
    <s v="DK1_Rural"/>
    <x v="14"/>
    <n v="24.3419652029826"/>
    <n v="6.7616570008285004"/>
  </r>
  <r>
    <x v="0"/>
    <x v="18"/>
    <x v="0"/>
    <x v="0"/>
    <s v="DK1_Rural"/>
    <x v="15"/>
    <n v="1.65807589063794"/>
    <n v="0.46057663628831802"/>
  </r>
  <r>
    <x v="0"/>
    <x v="18"/>
    <x v="0"/>
    <x v="0"/>
    <s v="DK1_Rural"/>
    <x v="16"/>
    <n v="6.7156619979650802"/>
    <n v="1.8654616661014101"/>
  </r>
  <r>
    <x v="0"/>
    <x v="18"/>
    <x v="0"/>
    <x v="0"/>
    <s v="DK1_Rural"/>
    <x v="17"/>
    <n v="9.1244895875632395"/>
    <n v="2.5345804409897901"/>
  </r>
  <r>
    <x v="0"/>
    <x v="18"/>
    <x v="0"/>
    <x v="0"/>
    <s v="DK1_Rural"/>
    <x v="18"/>
    <n v="24.3419652029826"/>
    <n v="6.7616570008285004"/>
  </r>
  <r>
    <x v="0"/>
    <x v="18"/>
    <x v="0"/>
    <x v="0"/>
    <s v="DK1_Rural"/>
    <x v="19"/>
    <n v="8.1139884009941898"/>
    <n v="2.2538856669428302"/>
  </r>
  <r>
    <x v="0"/>
    <x v="18"/>
    <x v="0"/>
    <x v="0"/>
    <s v="DK1_Rural"/>
    <x v="20"/>
    <n v="21.431396138420201"/>
    <n v="5.9531655940056103"/>
  </r>
  <r>
    <x v="0"/>
    <x v="18"/>
    <x v="0"/>
    <x v="0"/>
    <s v="DK1_Rural"/>
    <x v="28"/>
    <n v="41.38758"/>
    <n v="11.496549999999999"/>
  </r>
  <r>
    <x v="0"/>
    <x v="18"/>
    <x v="0"/>
    <x v="0"/>
    <s v="DK1_Rural"/>
    <x v="21"/>
    <n v="48.24"/>
    <n v="13.4"/>
  </r>
  <r>
    <x v="0"/>
    <x v="18"/>
    <x v="0"/>
    <x v="0"/>
    <s v="DK1_Rural"/>
    <x v="22"/>
    <n v="67.680000000000007"/>
    <n v="18.8"/>
  </r>
  <r>
    <x v="0"/>
    <x v="18"/>
    <x v="0"/>
    <x v="0"/>
    <s v="DK1_Rural"/>
    <x v="23"/>
    <n v="0.31515896120488701"/>
    <n v="8.7544155890246306E-2"/>
  </r>
  <r>
    <x v="0"/>
    <x v="18"/>
    <x v="0"/>
    <x v="0"/>
    <s v="DK1_Rural"/>
    <x v="24"/>
    <n v="19.174223581093901"/>
    <n v="5.32617321697054"/>
  </r>
  <r>
    <x v="0"/>
    <x v="18"/>
    <x v="0"/>
    <x v="0"/>
    <s v="DK1_Rural"/>
    <x v="26"/>
    <n v="32.516643167392601"/>
    <n v="9.03240087983127"/>
  </r>
  <r>
    <x v="0"/>
    <x v="18"/>
    <x v="0"/>
    <x v="0"/>
    <s v="DK1_Rural"/>
    <x v="27"/>
    <n v="20.163995508318798"/>
    <n v="5.6011098634218799"/>
  </r>
  <r>
    <x v="0"/>
    <x v="18"/>
    <x v="0"/>
    <x v="0"/>
    <s v="DK1_Small"/>
    <x v="1"/>
    <n v="35.989199999999997"/>
    <n v="9.9969999999999999"/>
  </r>
  <r>
    <x v="0"/>
    <x v="18"/>
    <x v="0"/>
    <x v="0"/>
    <s v="DK1_Small"/>
    <x v="2"/>
    <n v="38.5092"/>
    <n v="10.696999999999999"/>
  </r>
  <r>
    <x v="0"/>
    <x v="18"/>
    <x v="0"/>
    <x v="0"/>
    <s v="DK1_Small"/>
    <x v="0"/>
    <n v="42.692399999999999"/>
    <n v="11.859"/>
  </r>
  <r>
    <x v="0"/>
    <x v="18"/>
    <x v="0"/>
    <x v="0"/>
    <s v="DK1_Small"/>
    <x v="3"/>
    <n v="51.633543144067197"/>
    <n v="14.342650873352"/>
  </r>
  <r>
    <x v="0"/>
    <x v="18"/>
    <x v="0"/>
    <x v="0"/>
    <s v="DK1_Small"/>
    <x v="4"/>
    <n v="15.1696304888152"/>
    <n v="4.21378624689312"/>
  </r>
  <r>
    <x v="0"/>
    <x v="18"/>
    <x v="0"/>
    <x v="0"/>
    <s v="DK1_Small"/>
    <x v="5"/>
    <n v="15.1696304888152"/>
    <n v="4.21378624689312"/>
  </r>
  <r>
    <x v="0"/>
    <x v="18"/>
    <x v="0"/>
    <x v="0"/>
    <s v="DK1_Small"/>
    <x v="6"/>
    <n v="29.476231795214598"/>
    <n v="8.1878421653373898"/>
  </r>
  <r>
    <x v="0"/>
    <x v="18"/>
    <x v="0"/>
    <x v="0"/>
    <s v="DK1_Small"/>
    <x v="7"/>
    <n v="57.838935220261199"/>
    <n v="16.066370894517"/>
  </r>
  <r>
    <x v="0"/>
    <x v="18"/>
    <x v="0"/>
    <x v="0"/>
    <s v="DK1_Small"/>
    <x v="8"/>
    <n v="57.838935220261199"/>
    <n v="16.066370894517"/>
  </r>
  <r>
    <x v="0"/>
    <x v="18"/>
    <x v="0"/>
    <x v="0"/>
    <s v="DK1_Small"/>
    <x v="9"/>
    <n v="51.506187241093599"/>
    <n v="14.3072742336371"/>
  </r>
  <r>
    <x v="0"/>
    <x v="18"/>
    <x v="0"/>
    <x v="0"/>
    <s v="DK1_Small"/>
    <x v="10"/>
    <n v="72.320331400165799"/>
    <n v="20.088980944490501"/>
  </r>
  <r>
    <x v="0"/>
    <x v="18"/>
    <x v="0"/>
    <x v="0"/>
    <s v="DK1_Small"/>
    <x v="11"/>
    <n v="8.1139884009941898"/>
    <n v="2.2538856669428302"/>
  </r>
  <r>
    <x v="0"/>
    <x v="18"/>
    <x v="0"/>
    <x v="0"/>
    <s v="DK1_Small"/>
    <x v="12"/>
    <n v="9.7995028997514597E-2"/>
    <n v="2.72208413881985E-2"/>
  </r>
  <r>
    <x v="0"/>
    <x v="18"/>
    <x v="0"/>
    <x v="0"/>
    <s v="DK1_Small"/>
    <x v="13"/>
    <n v="24.3419652029826"/>
    <n v="6.7616570008285004"/>
  </r>
  <r>
    <x v="0"/>
    <x v="18"/>
    <x v="0"/>
    <x v="0"/>
    <s v="DK1_Small"/>
    <x v="14"/>
    <n v="24.3419652029826"/>
    <n v="6.7616570008285004"/>
  </r>
  <r>
    <x v="0"/>
    <x v="18"/>
    <x v="0"/>
    <x v="0"/>
    <s v="DK1_Small"/>
    <x v="15"/>
    <n v="1.65807589063794"/>
    <n v="0.46057663628831802"/>
  </r>
  <r>
    <x v="0"/>
    <x v="18"/>
    <x v="0"/>
    <x v="0"/>
    <s v="DK1_Small"/>
    <x v="16"/>
    <n v="6.7156619979650802"/>
    <n v="1.8654616661014101"/>
  </r>
  <r>
    <x v="0"/>
    <x v="18"/>
    <x v="0"/>
    <x v="0"/>
    <s v="DK1_Small"/>
    <x v="17"/>
    <n v="9.1244895875632395"/>
    <n v="2.5345804409897901"/>
  </r>
  <r>
    <x v="0"/>
    <x v="18"/>
    <x v="0"/>
    <x v="0"/>
    <s v="DK1_Small"/>
    <x v="18"/>
    <n v="24.3419652029826"/>
    <n v="6.7616570008285004"/>
  </r>
  <r>
    <x v="0"/>
    <x v="18"/>
    <x v="0"/>
    <x v="0"/>
    <s v="DK1_Small"/>
    <x v="19"/>
    <n v="8.1139884009941898"/>
    <n v="2.2538856669428302"/>
  </r>
  <r>
    <x v="0"/>
    <x v="18"/>
    <x v="0"/>
    <x v="0"/>
    <s v="DK1_Small"/>
    <x v="20"/>
    <n v="21.431396138420201"/>
    <n v="5.9531655940056103"/>
  </r>
  <r>
    <x v="0"/>
    <x v="18"/>
    <x v="0"/>
    <x v="0"/>
    <s v="DK1_Small"/>
    <x v="28"/>
    <n v="41.38758"/>
    <n v="11.496549999999999"/>
  </r>
  <r>
    <x v="0"/>
    <x v="18"/>
    <x v="0"/>
    <x v="0"/>
    <s v="DK1_Small"/>
    <x v="21"/>
    <n v="48.24"/>
    <n v="13.4"/>
  </r>
  <r>
    <x v="0"/>
    <x v="18"/>
    <x v="0"/>
    <x v="0"/>
    <s v="DK1_Small"/>
    <x v="22"/>
    <n v="67.680000000000007"/>
    <n v="18.8"/>
  </r>
  <r>
    <x v="0"/>
    <x v="18"/>
    <x v="0"/>
    <x v="0"/>
    <s v="DK1_Small"/>
    <x v="23"/>
    <n v="0.31515896120488701"/>
    <n v="8.7544155890246306E-2"/>
  </r>
  <r>
    <x v="0"/>
    <x v="18"/>
    <x v="0"/>
    <x v="0"/>
    <s v="DK1_Small"/>
    <x v="24"/>
    <n v="19.174223581093901"/>
    <n v="5.32617321697054"/>
  </r>
  <r>
    <x v="0"/>
    <x v="18"/>
    <x v="0"/>
    <x v="0"/>
    <s v="DK1_Small"/>
    <x v="26"/>
    <n v="32.516643167392601"/>
    <n v="9.03240087983127"/>
  </r>
  <r>
    <x v="0"/>
    <x v="18"/>
    <x v="0"/>
    <x v="0"/>
    <s v="DK1_Small"/>
    <x v="27"/>
    <n v="20.163995508318798"/>
    <n v="5.6011098634218799"/>
  </r>
  <r>
    <x v="0"/>
    <x v="18"/>
    <x v="0"/>
    <x v="1"/>
    <s v="DK2_Large"/>
    <x v="1"/>
    <n v="35.989199999999997"/>
    <n v="9.9969999999999999"/>
  </r>
  <r>
    <x v="0"/>
    <x v="18"/>
    <x v="0"/>
    <x v="1"/>
    <s v="DK2_Large"/>
    <x v="2"/>
    <n v="2.52"/>
    <n v="0.7"/>
  </r>
  <r>
    <x v="0"/>
    <x v="18"/>
    <x v="0"/>
    <x v="1"/>
    <s v="DK2_Large"/>
    <x v="0"/>
    <n v="42.692399999999999"/>
    <n v="11.859"/>
  </r>
  <r>
    <x v="0"/>
    <x v="18"/>
    <x v="0"/>
    <x v="1"/>
    <s v="DK2_Large"/>
    <x v="3"/>
    <n v="51.633543144067197"/>
    <n v="14.342650873352"/>
  </r>
  <r>
    <x v="0"/>
    <x v="18"/>
    <x v="0"/>
    <x v="1"/>
    <s v="DK2_Large"/>
    <x v="4"/>
    <n v="15.1696304888152"/>
    <n v="4.21378624689312"/>
  </r>
  <r>
    <x v="0"/>
    <x v="18"/>
    <x v="0"/>
    <x v="1"/>
    <s v="DK2_Large"/>
    <x v="5"/>
    <n v="15.1696304888152"/>
    <n v="4.21378624689312"/>
  </r>
  <r>
    <x v="0"/>
    <x v="18"/>
    <x v="0"/>
    <x v="1"/>
    <s v="DK2_Large"/>
    <x v="6"/>
    <n v="29.476231795214598"/>
    <n v="8.1878421653373898"/>
  </r>
  <r>
    <x v="0"/>
    <x v="18"/>
    <x v="0"/>
    <x v="1"/>
    <s v="DK2_Large"/>
    <x v="7"/>
    <n v="57.838935220261199"/>
    <n v="16.066370894517"/>
  </r>
  <r>
    <x v="0"/>
    <x v="18"/>
    <x v="0"/>
    <x v="1"/>
    <s v="DK2_Large"/>
    <x v="8"/>
    <n v="57.838935220261199"/>
    <n v="16.066370894517"/>
  </r>
  <r>
    <x v="0"/>
    <x v="18"/>
    <x v="0"/>
    <x v="1"/>
    <s v="DK2_Large"/>
    <x v="9"/>
    <n v="51.506187241093599"/>
    <n v="14.3072742336371"/>
  </r>
  <r>
    <x v="0"/>
    <x v="18"/>
    <x v="0"/>
    <x v="1"/>
    <s v="DK2_Large"/>
    <x v="10"/>
    <n v="72.320331400165799"/>
    <n v="20.088980944490501"/>
  </r>
  <r>
    <x v="0"/>
    <x v="18"/>
    <x v="0"/>
    <x v="1"/>
    <s v="DK2_Large"/>
    <x v="11"/>
    <n v="8.1139884009941898"/>
    <n v="2.2538856669428302"/>
  </r>
  <r>
    <x v="0"/>
    <x v="18"/>
    <x v="0"/>
    <x v="1"/>
    <s v="DK2_Large"/>
    <x v="12"/>
    <n v="9.7995028997514597E-2"/>
    <n v="2.72208413881985E-2"/>
  </r>
  <r>
    <x v="0"/>
    <x v="18"/>
    <x v="0"/>
    <x v="1"/>
    <s v="DK2_Large"/>
    <x v="13"/>
    <n v="24.3419652029826"/>
    <n v="6.7616570008285004"/>
  </r>
  <r>
    <x v="0"/>
    <x v="18"/>
    <x v="0"/>
    <x v="1"/>
    <s v="DK2_Large"/>
    <x v="14"/>
    <n v="24.3419652029826"/>
    <n v="6.7616570008285004"/>
  </r>
  <r>
    <x v="0"/>
    <x v="18"/>
    <x v="0"/>
    <x v="1"/>
    <s v="DK2_Large"/>
    <x v="15"/>
    <n v="1.65807589063794"/>
    <n v="0.46057663628831802"/>
  </r>
  <r>
    <x v="0"/>
    <x v="18"/>
    <x v="0"/>
    <x v="1"/>
    <s v="DK2_Large"/>
    <x v="16"/>
    <n v="6.7156619979650802"/>
    <n v="1.8654616661014101"/>
  </r>
  <r>
    <x v="0"/>
    <x v="18"/>
    <x v="0"/>
    <x v="1"/>
    <s v="DK2_Large"/>
    <x v="17"/>
    <n v="9.1244895875632395"/>
    <n v="2.5345804409897901"/>
  </r>
  <r>
    <x v="0"/>
    <x v="18"/>
    <x v="0"/>
    <x v="1"/>
    <s v="DK2_Large"/>
    <x v="18"/>
    <n v="24.3419652029826"/>
    <n v="6.7616570008285004"/>
  </r>
  <r>
    <x v="0"/>
    <x v="18"/>
    <x v="0"/>
    <x v="1"/>
    <s v="DK2_Large"/>
    <x v="19"/>
    <n v="8.1139884009941898"/>
    <n v="2.2538856669428302"/>
  </r>
  <r>
    <x v="0"/>
    <x v="18"/>
    <x v="0"/>
    <x v="1"/>
    <s v="DK2_Large"/>
    <x v="20"/>
    <n v="21.431396138420201"/>
    <n v="5.9531655940056103"/>
  </r>
  <r>
    <x v="0"/>
    <x v="18"/>
    <x v="0"/>
    <x v="1"/>
    <s v="DK2_Large"/>
    <x v="28"/>
    <n v="41.38758"/>
    <n v="11.496549999999999"/>
  </r>
  <r>
    <x v="0"/>
    <x v="18"/>
    <x v="0"/>
    <x v="1"/>
    <s v="DK2_Large"/>
    <x v="21"/>
    <n v="48.24"/>
    <n v="13.4"/>
  </r>
  <r>
    <x v="0"/>
    <x v="18"/>
    <x v="0"/>
    <x v="1"/>
    <s v="DK2_Large"/>
    <x v="22"/>
    <n v="67.680000000000007"/>
    <n v="18.8"/>
  </r>
  <r>
    <x v="0"/>
    <x v="18"/>
    <x v="0"/>
    <x v="1"/>
    <s v="DK2_Large"/>
    <x v="23"/>
    <n v="0.31515896120488701"/>
    <n v="8.7544155890246306E-2"/>
  </r>
  <r>
    <x v="0"/>
    <x v="18"/>
    <x v="0"/>
    <x v="1"/>
    <s v="DK2_Large"/>
    <x v="24"/>
    <n v="19.174223581093901"/>
    <n v="5.32617321697054"/>
  </r>
  <r>
    <x v="0"/>
    <x v="18"/>
    <x v="0"/>
    <x v="1"/>
    <s v="DK2_Large"/>
    <x v="26"/>
    <n v="32.516643167392601"/>
    <n v="9.03240087983127"/>
  </r>
  <r>
    <x v="0"/>
    <x v="18"/>
    <x v="0"/>
    <x v="1"/>
    <s v="DK2_Large"/>
    <x v="27"/>
    <n v="20.163995508318798"/>
    <n v="5.6011098634218799"/>
  </r>
  <r>
    <x v="0"/>
    <x v="18"/>
    <x v="0"/>
    <x v="1"/>
    <s v="DK2_Large_PHH"/>
    <x v="1"/>
    <n v="35.989199999999997"/>
    <n v="9.9969999999999999"/>
  </r>
  <r>
    <x v="0"/>
    <x v="18"/>
    <x v="0"/>
    <x v="1"/>
    <s v="DK2_Large_PHH"/>
    <x v="2"/>
    <n v="2.52"/>
    <n v="0.7"/>
  </r>
  <r>
    <x v="0"/>
    <x v="18"/>
    <x v="0"/>
    <x v="1"/>
    <s v="DK2_Large_PHH"/>
    <x v="0"/>
    <n v="42.692399999999999"/>
    <n v="11.859"/>
  </r>
  <r>
    <x v="0"/>
    <x v="18"/>
    <x v="0"/>
    <x v="1"/>
    <s v="DK2_Large_PHH"/>
    <x v="3"/>
    <n v="51.633543144067197"/>
    <n v="14.342650873352"/>
  </r>
  <r>
    <x v="0"/>
    <x v="18"/>
    <x v="0"/>
    <x v="1"/>
    <s v="DK2_Large_PHH"/>
    <x v="4"/>
    <n v="15.1696304888152"/>
    <n v="4.21378624689312"/>
  </r>
  <r>
    <x v="0"/>
    <x v="18"/>
    <x v="0"/>
    <x v="1"/>
    <s v="DK2_Large_PHH"/>
    <x v="5"/>
    <n v="15.1696304888152"/>
    <n v="4.21378624689312"/>
  </r>
  <r>
    <x v="0"/>
    <x v="18"/>
    <x v="0"/>
    <x v="1"/>
    <s v="DK2_Large_PHH"/>
    <x v="6"/>
    <n v="29.476231795214598"/>
    <n v="8.1878421653373898"/>
  </r>
  <r>
    <x v="0"/>
    <x v="18"/>
    <x v="0"/>
    <x v="1"/>
    <s v="DK2_Large_PHH"/>
    <x v="7"/>
    <n v="57.838935220261199"/>
    <n v="16.066370894517"/>
  </r>
  <r>
    <x v="0"/>
    <x v="18"/>
    <x v="0"/>
    <x v="1"/>
    <s v="DK2_Large_PHH"/>
    <x v="8"/>
    <n v="57.838935220261199"/>
    <n v="16.066370894517"/>
  </r>
  <r>
    <x v="0"/>
    <x v="18"/>
    <x v="0"/>
    <x v="1"/>
    <s v="DK2_Large_PHH"/>
    <x v="9"/>
    <n v="51.506187241093599"/>
    <n v="14.3072742336371"/>
  </r>
  <r>
    <x v="0"/>
    <x v="18"/>
    <x v="0"/>
    <x v="1"/>
    <s v="DK2_Large_PHH"/>
    <x v="10"/>
    <n v="72.320331400165799"/>
    <n v="20.088980944490501"/>
  </r>
  <r>
    <x v="0"/>
    <x v="18"/>
    <x v="0"/>
    <x v="1"/>
    <s v="DK2_Large_PHH"/>
    <x v="11"/>
    <n v="8.1139884009941898"/>
    <n v="2.2538856669428302"/>
  </r>
  <r>
    <x v="0"/>
    <x v="18"/>
    <x v="0"/>
    <x v="1"/>
    <s v="DK2_Large_PHH"/>
    <x v="12"/>
    <n v="9.7995028997514597E-2"/>
    <n v="2.72208413881985E-2"/>
  </r>
  <r>
    <x v="0"/>
    <x v="18"/>
    <x v="0"/>
    <x v="1"/>
    <s v="DK2_Large_PHH"/>
    <x v="13"/>
    <n v="24.3419652029826"/>
    <n v="6.7616570008285004"/>
  </r>
  <r>
    <x v="0"/>
    <x v="18"/>
    <x v="0"/>
    <x v="1"/>
    <s v="DK2_Large_PHH"/>
    <x v="14"/>
    <n v="24.3419652029826"/>
    <n v="6.7616570008285004"/>
  </r>
  <r>
    <x v="0"/>
    <x v="18"/>
    <x v="0"/>
    <x v="1"/>
    <s v="DK2_Large_PHH"/>
    <x v="15"/>
    <n v="1.65807589063794"/>
    <n v="0.46057663628831802"/>
  </r>
  <r>
    <x v="0"/>
    <x v="18"/>
    <x v="0"/>
    <x v="1"/>
    <s v="DK2_Large_PHH"/>
    <x v="16"/>
    <n v="6.7156619979650802"/>
    <n v="1.8654616661014101"/>
  </r>
  <r>
    <x v="0"/>
    <x v="18"/>
    <x v="0"/>
    <x v="1"/>
    <s v="DK2_Large_PHH"/>
    <x v="17"/>
    <n v="9.1244895875632395"/>
    <n v="2.5345804409897901"/>
  </r>
  <r>
    <x v="0"/>
    <x v="18"/>
    <x v="0"/>
    <x v="1"/>
    <s v="DK2_Large_PHH"/>
    <x v="18"/>
    <n v="24.3419652029826"/>
    <n v="6.7616570008285004"/>
  </r>
  <r>
    <x v="0"/>
    <x v="18"/>
    <x v="0"/>
    <x v="1"/>
    <s v="DK2_Large_PHH"/>
    <x v="19"/>
    <n v="8.1139884009941898"/>
    <n v="2.2538856669428302"/>
  </r>
  <r>
    <x v="0"/>
    <x v="18"/>
    <x v="0"/>
    <x v="1"/>
    <s v="DK2_Large_PHH"/>
    <x v="20"/>
    <n v="21.431396138420201"/>
    <n v="5.9531655940056103"/>
  </r>
  <r>
    <x v="0"/>
    <x v="18"/>
    <x v="0"/>
    <x v="1"/>
    <s v="DK2_Large_PHH"/>
    <x v="28"/>
    <n v="41.38758"/>
    <n v="11.496549999999999"/>
  </r>
  <r>
    <x v="0"/>
    <x v="18"/>
    <x v="0"/>
    <x v="1"/>
    <s v="DK2_Large_PHH"/>
    <x v="21"/>
    <n v="48.24"/>
    <n v="13.4"/>
  </r>
  <r>
    <x v="0"/>
    <x v="18"/>
    <x v="0"/>
    <x v="1"/>
    <s v="DK2_Large_PHH"/>
    <x v="22"/>
    <n v="67.680000000000007"/>
    <n v="18.8"/>
  </r>
  <r>
    <x v="0"/>
    <x v="18"/>
    <x v="0"/>
    <x v="1"/>
    <s v="DK2_Large_PHH"/>
    <x v="23"/>
    <n v="0.31515896120488701"/>
    <n v="8.7544155890246306E-2"/>
  </r>
  <r>
    <x v="0"/>
    <x v="18"/>
    <x v="0"/>
    <x v="1"/>
    <s v="DK2_Large_PHH"/>
    <x v="24"/>
    <n v="19.174223581093901"/>
    <n v="5.32617321697054"/>
  </r>
  <r>
    <x v="0"/>
    <x v="18"/>
    <x v="0"/>
    <x v="1"/>
    <s v="DK2_Large_PHH"/>
    <x v="26"/>
    <n v="32.516643167392601"/>
    <n v="9.03240087983127"/>
  </r>
  <r>
    <x v="0"/>
    <x v="18"/>
    <x v="0"/>
    <x v="1"/>
    <s v="DK2_Large_PHH"/>
    <x v="27"/>
    <n v="20.163995508318798"/>
    <n v="5.6011098634218799"/>
  </r>
  <r>
    <x v="0"/>
    <x v="18"/>
    <x v="0"/>
    <x v="1"/>
    <s v="DK2_Large_PHL"/>
    <x v="1"/>
    <n v="35.989199999999997"/>
    <n v="9.9969999999999999"/>
  </r>
  <r>
    <x v="0"/>
    <x v="18"/>
    <x v="0"/>
    <x v="1"/>
    <s v="DK2_Large_PHL"/>
    <x v="2"/>
    <n v="2.52"/>
    <n v="0.7"/>
  </r>
  <r>
    <x v="0"/>
    <x v="18"/>
    <x v="0"/>
    <x v="1"/>
    <s v="DK2_Large_PHL"/>
    <x v="0"/>
    <n v="42.692399999999999"/>
    <n v="11.859"/>
  </r>
  <r>
    <x v="0"/>
    <x v="18"/>
    <x v="0"/>
    <x v="1"/>
    <s v="DK2_Large_PHL"/>
    <x v="3"/>
    <n v="51.633543144067197"/>
    <n v="14.342650873352"/>
  </r>
  <r>
    <x v="0"/>
    <x v="18"/>
    <x v="0"/>
    <x v="1"/>
    <s v="DK2_Large_PHL"/>
    <x v="4"/>
    <n v="15.1696304888152"/>
    <n v="4.21378624689312"/>
  </r>
  <r>
    <x v="0"/>
    <x v="18"/>
    <x v="0"/>
    <x v="1"/>
    <s v="DK2_Large_PHL"/>
    <x v="5"/>
    <n v="15.1696304888152"/>
    <n v="4.21378624689312"/>
  </r>
  <r>
    <x v="0"/>
    <x v="18"/>
    <x v="0"/>
    <x v="1"/>
    <s v="DK2_Large_PHL"/>
    <x v="6"/>
    <n v="29.476231795214598"/>
    <n v="8.1878421653373898"/>
  </r>
  <r>
    <x v="0"/>
    <x v="18"/>
    <x v="0"/>
    <x v="1"/>
    <s v="DK2_Large_PHL"/>
    <x v="7"/>
    <n v="57.838935220261199"/>
    <n v="16.066370894517"/>
  </r>
  <r>
    <x v="0"/>
    <x v="18"/>
    <x v="0"/>
    <x v="1"/>
    <s v="DK2_Large_PHL"/>
    <x v="8"/>
    <n v="57.838935220261199"/>
    <n v="16.066370894517"/>
  </r>
  <r>
    <x v="0"/>
    <x v="18"/>
    <x v="0"/>
    <x v="1"/>
    <s v="DK2_Large_PHL"/>
    <x v="9"/>
    <n v="51.506187241093599"/>
    <n v="14.3072742336371"/>
  </r>
  <r>
    <x v="0"/>
    <x v="18"/>
    <x v="0"/>
    <x v="1"/>
    <s v="DK2_Large_PHL"/>
    <x v="10"/>
    <n v="72.320331400165799"/>
    <n v="20.088980944490501"/>
  </r>
  <r>
    <x v="0"/>
    <x v="18"/>
    <x v="0"/>
    <x v="1"/>
    <s v="DK2_Large_PHL"/>
    <x v="11"/>
    <n v="8.1139884009941898"/>
    <n v="2.2538856669428302"/>
  </r>
  <r>
    <x v="0"/>
    <x v="18"/>
    <x v="0"/>
    <x v="1"/>
    <s v="DK2_Large_PHL"/>
    <x v="12"/>
    <n v="9.7995028997514597E-2"/>
    <n v="2.72208413881985E-2"/>
  </r>
  <r>
    <x v="0"/>
    <x v="18"/>
    <x v="0"/>
    <x v="1"/>
    <s v="DK2_Large_PHL"/>
    <x v="13"/>
    <n v="24.3419652029826"/>
    <n v="6.7616570008285004"/>
  </r>
  <r>
    <x v="0"/>
    <x v="18"/>
    <x v="0"/>
    <x v="1"/>
    <s v="DK2_Large_PHL"/>
    <x v="14"/>
    <n v="24.3419652029826"/>
    <n v="6.7616570008285004"/>
  </r>
  <r>
    <x v="0"/>
    <x v="18"/>
    <x v="0"/>
    <x v="1"/>
    <s v="DK2_Large_PHL"/>
    <x v="15"/>
    <n v="1.65807589063794"/>
    <n v="0.46057663628831802"/>
  </r>
  <r>
    <x v="0"/>
    <x v="18"/>
    <x v="0"/>
    <x v="1"/>
    <s v="DK2_Large_PHL"/>
    <x v="16"/>
    <n v="6.7156619979650802"/>
    <n v="1.8654616661014101"/>
  </r>
  <r>
    <x v="0"/>
    <x v="18"/>
    <x v="0"/>
    <x v="1"/>
    <s v="DK2_Large_PHL"/>
    <x v="17"/>
    <n v="9.1244895875632395"/>
    <n v="2.5345804409897901"/>
  </r>
  <r>
    <x v="0"/>
    <x v="18"/>
    <x v="0"/>
    <x v="1"/>
    <s v="DK2_Large_PHL"/>
    <x v="18"/>
    <n v="24.3419652029826"/>
    <n v="6.7616570008285004"/>
  </r>
  <r>
    <x v="0"/>
    <x v="18"/>
    <x v="0"/>
    <x v="1"/>
    <s v="DK2_Large_PHL"/>
    <x v="19"/>
    <n v="8.1139884009941898"/>
    <n v="2.2538856669428302"/>
  </r>
  <r>
    <x v="0"/>
    <x v="18"/>
    <x v="0"/>
    <x v="1"/>
    <s v="DK2_Large_PHL"/>
    <x v="20"/>
    <n v="21.431396138420201"/>
    <n v="5.9531655940056103"/>
  </r>
  <r>
    <x v="0"/>
    <x v="18"/>
    <x v="0"/>
    <x v="1"/>
    <s v="DK2_Large_PHL"/>
    <x v="28"/>
    <n v="41.38758"/>
    <n v="11.496549999999999"/>
  </r>
  <r>
    <x v="0"/>
    <x v="18"/>
    <x v="0"/>
    <x v="1"/>
    <s v="DK2_Large_PHL"/>
    <x v="21"/>
    <n v="48.24"/>
    <n v="13.4"/>
  </r>
  <r>
    <x v="0"/>
    <x v="18"/>
    <x v="0"/>
    <x v="1"/>
    <s v="DK2_Large_PHL"/>
    <x v="22"/>
    <n v="67.680000000000007"/>
    <n v="18.8"/>
  </r>
  <r>
    <x v="0"/>
    <x v="18"/>
    <x v="0"/>
    <x v="1"/>
    <s v="DK2_Large_PHL"/>
    <x v="23"/>
    <n v="0.31515896120488701"/>
    <n v="8.7544155890246306E-2"/>
  </r>
  <r>
    <x v="0"/>
    <x v="18"/>
    <x v="0"/>
    <x v="1"/>
    <s v="DK2_Large_PHL"/>
    <x v="24"/>
    <n v="19.174223581093901"/>
    <n v="5.32617321697054"/>
  </r>
  <r>
    <x v="0"/>
    <x v="18"/>
    <x v="0"/>
    <x v="1"/>
    <s v="DK2_Large_PHL"/>
    <x v="26"/>
    <n v="32.516643167392601"/>
    <n v="9.03240087983127"/>
  </r>
  <r>
    <x v="0"/>
    <x v="18"/>
    <x v="0"/>
    <x v="1"/>
    <s v="DK2_Large_PHL"/>
    <x v="27"/>
    <n v="20.163995508318798"/>
    <n v="5.6011098634218799"/>
  </r>
  <r>
    <x v="0"/>
    <x v="18"/>
    <x v="0"/>
    <x v="1"/>
    <s v="DK2_MedSmall"/>
    <x v="1"/>
    <n v="35.989199999999997"/>
    <n v="9.9969999999999999"/>
  </r>
  <r>
    <x v="0"/>
    <x v="18"/>
    <x v="0"/>
    <x v="1"/>
    <s v="DK2_MedSmall"/>
    <x v="2"/>
    <n v="2.52"/>
    <n v="0.7"/>
  </r>
  <r>
    <x v="0"/>
    <x v="18"/>
    <x v="0"/>
    <x v="1"/>
    <s v="DK2_MedSmall"/>
    <x v="0"/>
    <n v="42.692399999999999"/>
    <n v="11.859"/>
  </r>
  <r>
    <x v="0"/>
    <x v="18"/>
    <x v="0"/>
    <x v="1"/>
    <s v="DK2_MedSmall"/>
    <x v="3"/>
    <n v="51.633543144067197"/>
    <n v="14.342650873352"/>
  </r>
  <r>
    <x v="0"/>
    <x v="18"/>
    <x v="0"/>
    <x v="1"/>
    <s v="DK2_MedSmall"/>
    <x v="4"/>
    <n v="15.1696304888152"/>
    <n v="4.21378624689312"/>
  </r>
  <r>
    <x v="0"/>
    <x v="18"/>
    <x v="0"/>
    <x v="1"/>
    <s v="DK2_MedSmall"/>
    <x v="5"/>
    <n v="15.1696304888152"/>
    <n v="4.21378624689312"/>
  </r>
  <r>
    <x v="0"/>
    <x v="18"/>
    <x v="0"/>
    <x v="1"/>
    <s v="DK2_MedSmall"/>
    <x v="6"/>
    <n v="29.476231795214598"/>
    <n v="8.1878421653373898"/>
  </r>
  <r>
    <x v="0"/>
    <x v="18"/>
    <x v="0"/>
    <x v="1"/>
    <s v="DK2_MedSmall"/>
    <x v="7"/>
    <n v="57.838935220261199"/>
    <n v="16.066370894517"/>
  </r>
  <r>
    <x v="0"/>
    <x v="18"/>
    <x v="0"/>
    <x v="1"/>
    <s v="DK2_MedSmall"/>
    <x v="8"/>
    <n v="57.838935220261199"/>
    <n v="16.066370894517"/>
  </r>
  <r>
    <x v="0"/>
    <x v="18"/>
    <x v="0"/>
    <x v="1"/>
    <s v="DK2_MedSmall"/>
    <x v="9"/>
    <n v="51.506187241093599"/>
    <n v="14.3072742336371"/>
  </r>
  <r>
    <x v="0"/>
    <x v="18"/>
    <x v="0"/>
    <x v="1"/>
    <s v="DK2_MedSmall"/>
    <x v="10"/>
    <n v="72.320331400165799"/>
    <n v="20.088980944490501"/>
  </r>
  <r>
    <x v="0"/>
    <x v="18"/>
    <x v="0"/>
    <x v="1"/>
    <s v="DK2_MedSmall"/>
    <x v="11"/>
    <n v="8.1139884009941898"/>
    <n v="2.2538856669428302"/>
  </r>
  <r>
    <x v="0"/>
    <x v="18"/>
    <x v="0"/>
    <x v="1"/>
    <s v="DK2_MedSmall"/>
    <x v="12"/>
    <n v="9.7995028997514597E-2"/>
    <n v="2.72208413881985E-2"/>
  </r>
  <r>
    <x v="0"/>
    <x v="18"/>
    <x v="0"/>
    <x v="1"/>
    <s v="DK2_MedSmall"/>
    <x v="13"/>
    <n v="24.3419652029826"/>
    <n v="6.7616570008285004"/>
  </r>
  <r>
    <x v="0"/>
    <x v="18"/>
    <x v="0"/>
    <x v="1"/>
    <s v="DK2_MedSmall"/>
    <x v="14"/>
    <n v="24.3419652029826"/>
    <n v="6.7616570008285004"/>
  </r>
  <r>
    <x v="0"/>
    <x v="18"/>
    <x v="0"/>
    <x v="1"/>
    <s v="DK2_MedSmall"/>
    <x v="15"/>
    <n v="1.65807589063794"/>
    <n v="0.46057663628831802"/>
  </r>
  <r>
    <x v="0"/>
    <x v="18"/>
    <x v="0"/>
    <x v="1"/>
    <s v="DK2_MedSmall"/>
    <x v="16"/>
    <n v="6.7156619979650802"/>
    <n v="1.8654616661014101"/>
  </r>
  <r>
    <x v="0"/>
    <x v="18"/>
    <x v="0"/>
    <x v="1"/>
    <s v="DK2_MedSmall"/>
    <x v="17"/>
    <n v="9.1244895875632395"/>
    <n v="2.5345804409897901"/>
  </r>
  <r>
    <x v="0"/>
    <x v="18"/>
    <x v="0"/>
    <x v="1"/>
    <s v="DK2_MedSmall"/>
    <x v="18"/>
    <n v="24.3419652029826"/>
    <n v="6.7616570008285004"/>
  </r>
  <r>
    <x v="0"/>
    <x v="18"/>
    <x v="0"/>
    <x v="1"/>
    <s v="DK2_MedSmall"/>
    <x v="19"/>
    <n v="8.1139884009941898"/>
    <n v="2.2538856669428302"/>
  </r>
  <r>
    <x v="0"/>
    <x v="18"/>
    <x v="0"/>
    <x v="1"/>
    <s v="DK2_MedSmall"/>
    <x v="20"/>
    <n v="21.431396138420201"/>
    <n v="5.9531655940056103"/>
  </r>
  <r>
    <x v="0"/>
    <x v="18"/>
    <x v="0"/>
    <x v="1"/>
    <s v="DK2_MedSmall"/>
    <x v="28"/>
    <n v="41.38758"/>
    <n v="11.496549999999999"/>
  </r>
  <r>
    <x v="0"/>
    <x v="18"/>
    <x v="0"/>
    <x v="1"/>
    <s v="DK2_MedSmall"/>
    <x v="21"/>
    <n v="48.24"/>
    <n v="13.4"/>
  </r>
  <r>
    <x v="0"/>
    <x v="18"/>
    <x v="0"/>
    <x v="1"/>
    <s v="DK2_MedSmall"/>
    <x v="22"/>
    <n v="67.680000000000007"/>
    <n v="18.8"/>
  </r>
  <r>
    <x v="0"/>
    <x v="18"/>
    <x v="0"/>
    <x v="1"/>
    <s v="DK2_MedSmall"/>
    <x v="23"/>
    <n v="0.31515896120488701"/>
    <n v="8.7544155890246306E-2"/>
  </r>
  <r>
    <x v="0"/>
    <x v="18"/>
    <x v="0"/>
    <x v="1"/>
    <s v="DK2_MedSmall"/>
    <x v="24"/>
    <n v="19.174223581093901"/>
    <n v="5.32617321697054"/>
  </r>
  <r>
    <x v="0"/>
    <x v="18"/>
    <x v="0"/>
    <x v="1"/>
    <s v="DK2_MedSmall"/>
    <x v="26"/>
    <n v="32.516643167392601"/>
    <n v="9.03240087983127"/>
  </r>
  <r>
    <x v="0"/>
    <x v="18"/>
    <x v="0"/>
    <x v="1"/>
    <s v="DK2_MedSmall"/>
    <x v="27"/>
    <n v="20.163995508318798"/>
    <n v="5.6011098634218799"/>
  </r>
  <r>
    <x v="0"/>
    <x v="18"/>
    <x v="0"/>
    <x v="1"/>
    <s v="DK2_Medium"/>
    <x v="1"/>
    <n v="35.989199999999997"/>
    <n v="9.9969999999999999"/>
  </r>
  <r>
    <x v="0"/>
    <x v="18"/>
    <x v="0"/>
    <x v="1"/>
    <s v="DK2_Medium"/>
    <x v="2"/>
    <n v="2.52"/>
    <n v="0.7"/>
  </r>
  <r>
    <x v="0"/>
    <x v="18"/>
    <x v="0"/>
    <x v="1"/>
    <s v="DK2_Medium"/>
    <x v="0"/>
    <n v="42.692399999999999"/>
    <n v="11.859"/>
  </r>
  <r>
    <x v="0"/>
    <x v="18"/>
    <x v="0"/>
    <x v="1"/>
    <s v="DK2_Medium"/>
    <x v="3"/>
    <n v="51.633543144067197"/>
    <n v="14.342650873352"/>
  </r>
  <r>
    <x v="0"/>
    <x v="18"/>
    <x v="0"/>
    <x v="1"/>
    <s v="DK2_Medium"/>
    <x v="4"/>
    <n v="15.1696304888152"/>
    <n v="4.21378624689312"/>
  </r>
  <r>
    <x v="0"/>
    <x v="18"/>
    <x v="0"/>
    <x v="1"/>
    <s v="DK2_Medium"/>
    <x v="5"/>
    <n v="15.1696304888152"/>
    <n v="4.21378624689312"/>
  </r>
  <r>
    <x v="0"/>
    <x v="18"/>
    <x v="0"/>
    <x v="1"/>
    <s v="DK2_Medium"/>
    <x v="6"/>
    <n v="29.476231795214598"/>
    <n v="8.1878421653373898"/>
  </r>
  <r>
    <x v="0"/>
    <x v="18"/>
    <x v="0"/>
    <x v="1"/>
    <s v="DK2_Medium"/>
    <x v="7"/>
    <n v="57.838935220261199"/>
    <n v="16.066370894517"/>
  </r>
  <r>
    <x v="0"/>
    <x v="18"/>
    <x v="0"/>
    <x v="1"/>
    <s v="DK2_Medium"/>
    <x v="8"/>
    <n v="57.838935220261199"/>
    <n v="16.066370894517"/>
  </r>
  <r>
    <x v="0"/>
    <x v="18"/>
    <x v="0"/>
    <x v="1"/>
    <s v="DK2_Medium"/>
    <x v="9"/>
    <n v="51.506187241093599"/>
    <n v="14.3072742336371"/>
  </r>
  <r>
    <x v="0"/>
    <x v="18"/>
    <x v="0"/>
    <x v="1"/>
    <s v="DK2_Medium"/>
    <x v="10"/>
    <n v="72.320331400165799"/>
    <n v="20.088980944490501"/>
  </r>
  <r>
    <x v="0"/>
    <x v="18"/>
    <x v="0"/>
    <x v="1"/>
    <s v="DK2_Medium"/>
    <x v="11"/>
    <n v="8.1139884009941898"/>
    <n v="2.2538856669428302"/>
  </r>
  <r>
    <x v="0"/>
    <x v="18"/>
    <x v="0"/>
    <x v="1"/>
    <s v="DK2_Medium"/>
    <x v="12"/>
    <n v="9.7995028997514597E-2"/>
    <n v="2.72208413881985E-2"/>
  </r>
  <r>
    <x v="0"/>
    <x v="18"/>
    <x v="0"/>
    <x v="1"/>
    <s v="DK2_Medium"/>
    <x v="13"/>
    <n v="24.3419652029826"/>
    <n v="6.7616570008285004"/>
  </r>
  <r>
    <x v="0"/>
    <x v="18"/>
    <x v="0"/>
    <x v="1"/>
    <s v="DK2_Medium"/>
    <x v="14"/>
    <n v="24.3419652029826"/>
    <n v="6.7616570008285004"/>
  </r>
  <r>
    <x v="0"/>
    <x v="18"/>
    <x v="0"/>
    <x v="1"/>
    <s v="DK2_Medium"/>
    <x v="15"/>
    <n v="1.65807589063794"/>
    <n v="0.46057663628831802"/>
  </r>
  <r>
    <x v="0"/>
    <x v="18"/>
    <x v="0"/>
    <x v="1"/>
    <s v="DK2_Medium"/>
    <x v="16"/>
    <n v="6.7156619979650802"/>
    <n v="1.8654616661014101"/>
  </r>
  <r>
    <x v="0"/>
    <x v="18"/>
    <x v="0"/>
    <x v="1"/>
    <s v="DK2_Medium"/>
    <x v="17"/>
    <n v="9.1244895875632395"/>
    <n v="2.5345804409897901"/>
  </r>
  <r>
    <x v="0"/>
    <x v="18"/>
    <x v="0"/>
    <x v="1"/>
    <s v="DK2_Medium"/>
    <x v="18"/>
    <n v="24.3419652029826"/>
    <n v="6.7616570008285004"/>
  </r>
  <r>
    <x v="0"/>
    <x v="18"/>
    <x v="0"/>
    <x v="1"/>
    <s v="DK2_Medium"/>
    <x v="19"/>
    <n v="8.1139884009941898"/>
    <n v="2.2538856669428302"/>
  </r>
  <r>
    <x v="0"/>
    <x v="18"/>
    <x v="0"/>
    <x v="1"/>
    <s v="DK2_Medium"/>
    <x v="20"/>
    <n v="21.431396138420201"/>
    <n v="5.9531655940056103"/>
  </r>
  <r>
    <x v="0"/>
    <x v="18"/>
    <x v="0"/>
    <x v="1"/>
    <s v="DK2_Medium"/>
    <x v="28"/>
    <n v="41.38758"/>
    <n v="11.496549999999999"/>
  </r>
  <r>
    <x v="0"/>
    <x v="18"/>
    <x v="0"/>
    <x v="1"/>
    <s v="DK2_Medium"/>
    <x v="21"/>
    <n v="48.24"/>
    <n v="13.4"/>
  </r>
  <r>
    <x v="0"/>
    <x v="18"/>
    <x v="0"/>
    <x v="1"/>
    <s v="DK2_Medium"/>
    <x v="22"/>
    <n v="67.680000000000007"/>
    <n v="18.8"/>
  </r>
  <r>
    <x v="0"/>
    <x v="18"/>
    <x v="0"/>
    <x v="1"/>
    <s v="DK2_Medium"/>
    <x v="23"/>
    <n v="0.31515896120488701"/>
    <n v="8.7544155890246306E-2"/>
  </r>
  <r>
    <x v="0"/>
    <x v="18"/>
    <x v="0"/>
    <x v="1"/>
    <s v="DK2_Medium"/>
    <x v="24"/>
    <n v="19.174223581093901"/>
    <n v="5.32617321697054"/>
  </r>
  <r>
    <x v="0"/>
    <x v="18"/>
    <x v="0"/>
    <x v="1"/>
    <s v="DK2_Medium"/>
    <x v="26"/>
    <n v="32.516643167392601"/>
    <n v="9.03240087983127"/>
  </r>
  <r>
    <x v="0"/>
    <x v="18"/>
    <x v="0"/>
    <x v="1"/>
    <s v="DK2_Medium"/>
    <x v="27"/>
    <n v="20.163995508318798"/>
    <n v="5.6011098634218799"/>
  </r>
  <r>
    <x v="0"/>
    <x v="18"/>
    <x v="0"/>
    <x v="1"/>
    <s v="DK2_NoDH"/>
    <x v="1"/>
    <n v="35.989199999999997"/>
    <n v="9.9969999999999999"/>
  </r>
  <r>
    <x v="0"/>
    <x v="18"/>
    <x v="0"/>
    <x v="1"/>
    <s v="DK2_NoDH"/>
    <x v="2"/>
    <n v="2.52"/>
    <n v="0.7"/>
  </r>
  <r>
    <x v="0"/>
    <x v="18"/>
    <x v="0"/>
    <x v="1"/>
    <s v="DK2_NoDH"/>
    <x v="0"/>
    <n v="42.692399999999999"/>
    <n v="11.859"/>
  </r>
  <r>
    <x v="0"/>
    <x v="18"/>
    <x v="0"/>
    <x v="1"/>
    <s v="DK2_NoDH"/>
    <x v="3"/>
    <n v="51.633543144067197"/>
    <n v="14.342650873352"/>
  </r>
  <r>
    <x v="0"/>
    <x v="18"/>
    <x v="0"/>
    <x v="1"/>
    <s v="DK2_NoDH"/>
    <x v="4"/>
    <n v="15.1696304888152"/>
    <n v="4.21378624689312"/>
  </r>
  <r>
    <x v="0"/>
    <x v="18"/>
    <x v="0"/>
    <x v="1"/>
    <s v="DK2_NoDH"/>
    <x v="5"/>
    <n v="15.1696304888152"/>
    <n v="4.21378624689312"/>
  </r>
  <r>
    <x v="0"/>
    <x v="18"/>
    <x v="0"/>
    <x v="1"/>
    <s v="DK2_NoDH"/>
    <x v="6"/>
    <n v="29.476231795214598"/>
    <n v="8.1878421653373898"/>
  </r>
  <r>
    <x v="0"/>
    <x v="18"/>
    <x v="0"/>
    <x v="1"/>
    <s v="DK2_NoDH"/>
    <x v="7"/>
    <n v="57.838935220261199"/>
    <n v="16.066370894517"/>
  </r>
  <r>
    <x v="0"/>
    <x v="18"/>
    <x v="0"/>
    <x v="1"/>
    <s v="DK2_NoDH"/>
    <x v="8"/>
    <n v="57.838935220261199"/>
    <n v="16.066370894517"/>
  </r>
  <r>
    <x v="0"/>
    <x v="18"/>
    <x v="0"/>
    <x v="1"/>
    <s v="DK2_NoDH"/>
    <x v="9"/>
    <n v="51.506187241093599"/>
    <n v="14.3072742336371"/>
  </r>
  <r>
    <x v="0"/>
    <x v="18"/>
    <x v="0"/>
    <x v="1"/>
    <s v="DK2_NoDH"/>
    <x v="10"/>
    <n v="72.320331400165799"/>
    <n v="20.088980944490501"/>
  </r>
  <r>
    <x v="0"/>
    <x v="18"/>
    <x v="0"/>
    <x v="1"/>
    <s v="DK2_NoDH"/>
    <x v="11"/>
    <n v="8.1139884009941898"/>
    <n v="2.2538856669428302"/>
  </r>
  <r>
    <x v="0"/>
    <x v="18"/>
    <x v="0"/>
    <x v="1"/>
    <s v="DK2_NoDH"/>
    <x v="12"/>
    <n v="9.7995028997514597E-2"/>
    <n v="2.72208413881985E-2"/>
  </r>
  <r>
    <x v="0"/>
    <x v="18"/>
    <x v="0"/>
    <x v="1"/>
    <s v="DK2_NoDH"/>
    <x v="13"/>
    <n v="24.3419652029826"/>
    <n v="6.7616570008285004"/>
  </r>
  <r>
    <x v="0"/>
    <x v="18"/>
    <x v="0"/>
    <x v="1"/>
    <s v="DK2_NoDH"/>
    <x v="14"/>
    <n v="24.3419652029826"/>
    <n v="6.7616570008285004"/>
  </r>
  <r>
    <x v="0"/>
    <x v="18"/>
    <x v="0"/>
    <x v="1"/>
    <s v="DK2_NoDH"/>
    <x v="15"/>
    <n v="1.65807589063794"/>
    <n v="0.46057663628831802"/>
  </r>
  <r>
    <x v="0"/>
    <x v="18"/>
    <x v="0"/>
    <x v="1"/>
    <s v="DK2_NoDH"/>
    <x v="16"/>
    <n v="6.7156619979650802"/>
    <n v="1.8654616661014101"/>
  </r>
  <r>
    <x v="0"/>
    <x v="18"/>
    <x v="0"/>
    <x v="1"/>
    <s v="DK2_NoDH"/>
    <x v="17"/>
    <n v="9.1244895875632395"/>
    <n v="2.5345804409897901"/>
  </r>
  <r>
    <x v="0"/>
    <x v="18"/>
    <x v="0"/>
    <x v="1"/>
    <s v="DK2_NoDH"/>
    <x v="18"/>
    <n v="24.3419652029826"/>
    <n v="6.7616570008285004"/>
  </r>
  <r>
    <x v="0"/>
    <x v="18"/>
    <x v="0"/>
    <x v="1"/>
    <s v="DK2_NoDH"/>
    <x v="19"/>
    <n v="8.1139884009941898"/>
    <n v="2.2538856669428302"/>
  </r>
  <r>
    <x v="0"/>
    <x v="18"/>
    <x v="0"/>
    <x v="1"/>
    <s v="DK2_NoDH"/>
    <x v="20"/>
    <n v="21.431396138420201"/>
    <n v="5.9531655940056103"/>
  </r>
  <r>
    <x v="0"/>
    <x v="18"/>
    <x v="0"/>
    <x v="1"/>
    <s v="DK2_NoDH"/>
    <x v="28"/>
    <n v="41.38758"/>
    <n v="11.496549999999999"/>
  </r>
  <r>
    <x v="0"/>
    <x v="18"/>
    <x v="0"/>
    <x v="1"/>
    <s v="DK2_NoDH"/>
    <x v="21"/>
    <n v="48.24"/>
    <n v="13.4"/>
  </r>
  <r>
    <x v="0"/>
    <x v="18"/>
    <x v="0"/>
    <x v="1"/>
    <s v="DK2_NoDH"/>
    <x v="22"/>
    <n v="67.680000000000007"/>
    <n v="18.8"/>
  </r>
  <r>
    <x v="0"/>
    <x v="18"/>
    <x v="0"/>
    <x v="1"/>
    <s v="DK2_NoDH"/>
    <x v="23"/>
    <n v="0.31515896120488701"/>
    <n v="8.7544155890246306E-2"/>
  </r>
  <r>
    <x v="0"/>
    <x v="18"/>
    <x v="0"/>
    <x v="1"/>
    <s v="DK2_NoDH"/>
    <x v="24"/>
    <n v="19.174223581093901"/>
    <n v="5.32617321697054"/>
  </r>
  <r>
    <x v="0"/>
    <x v="18"/>
    <x v="0"/>
    <x v="1"/>
    <s v="DK2_NoDH"/>
    <x v="26"/>
    <n v="32.516643167392601"/>
    <n v="9.03240087983127"/>
  </r>
  <r>
    <x v="0"/>
    <x v="18"/>
    <x v="0"/>
    <x v="1"/>
    <s v="DK2_NoDH"/>
    <x v="27"/>
    <n v="20.163995508318798"/>
    <n v="5.6011098634218799"/>
  </r>
  <r>
    <x v="0"/>
    <x v="18"/>
    <x v="0"/>
    <x v="1"/>
    <s v="DK2_NoDH_PHH"/>
    <x v="1"/>
    <n v="35.989199999999997"/>
    <n v="9.9969999999999999"/>
  </r>
  <r>
    <x v="0"/>
    <x v="18"/>
    <x v="0"/>
    <x v="1"/>
    <s v="DK2_NoDH_PHH"/>
    <x v="2"/>
    <n v="2.52"/>
    <n v="0.7"/>
  </r>
  <r>
    <x v="0"/>
    <x v="18"/>
    <x v="0"/>
    <x v="1"/>
    <s v="DK2_NoDH_PHH"/>
    <x v="0"/>
    <n v="42.692399999999999"/>
    <n v="11.859"/>
  </r>
  <r>
    <x v="0"/>
    <x v="18"/>
    <x v="0"/>
    <x v="1"/>
    <s v="DK2_NoDH_PHH"/>
    <x v="3"/>
    <n v="51.633543144067197"/>
    <n v="14.342650873352"/>
  </r>
  <r>
    <x v="0"/>
    <x v="18"/>
    <x v="0"/>
    <x v="1"/>
    <s v="DK2_NoDH_PHH"/>
    <x v="4"/>
    <n v="15.1696304888152"/>
    <n v="4.21378624689312"/>
  </r>
  <r>
    <x v="0"/>
    <x v="18"/>
    <x v="0"/>
    <x v="1"/>
    <s v="DK2_NoDH_PHH"/>
    <x v="5"/>
    <n v="15.1696304888152"/>
    <n v="4.21378624689312"/>
  </r>
  <r>
    <x v="0"/>
    <x v="18"/>
    <x v="0"/>
    <x v="1"/>
    <s v="DK2_NoDH_PHH"/>
    <x v="6"/>
    <n v="29.476231795214598"/>
    <n v="8.1878421653373898"/>
  </r>
  <r>
    <x v="0"/>
    <x v="18"/>
    <x v="0"/>
    <x v="1"/>
    <s v="DK2_NoDH_PHH"/>
    <x v="7"/>
    <n v="57.838935220261199"/>
    <n v="16.066370894517"/>
  </r>
  <r>
    <x v="0"/>
    <x v="18"/>
    <x v="0"/>
    <x v="1"/>
    <s v="DK2_NoDH_PHH"/>
    <x v="8"/>
    <n v="57.838935220261199"/>
    <n v="16.066370894517"/>
  </r>
  <r>
    <x v="0"/>
    <x v="18"/>
    <x v="0"/>
    <x v="1"/>
    <s v="DK2_NoDH_PHH"/>
    <x v="9"/>
    <n v="51.506187241093599"/>
    <n v="14.3072742336371"/>
  </r>
  <r>
    <x v="0"/>
    <x v="18"/>
    <x v="0"/>
    <x v="1"/>
    <s v="DK2_NoDH_PHH"/>
    <x v="10"/>
    <n v="72.320331400165799"/>
    <n v="20.088980944490501"/>
  </r>
  <r>
    <x v="0"/>
    <x v="18"/>
    <x v="0"/>
    <x v="1"/>
    <s v="DK2_NoDH_PHH"/>
    <x v="11"/>
    <n v="8.1139884009941898"/>
    <n v="2.2538856669428302"/>
  </r>
  <r>
    <x v="0"/>
    <x v="18"/>
    <x v="0"/>
    <x v="1"/>
    <s v="DK2_NoDH_PHH"/>
    <x v="12"/>
    <n v="9.7995028997514597E-2"/>
    <n v="2.72208413881985E-2"/>
  </r>
  <r>
    <x v="0"/>
    <x v="18"/>
    <x v="0"/>
    <x v="1"/>
    <s v="DK2_NoDH_PHH"/>
    <x v="13"/>
    <n v="24.3419652029826"/>
    <n v="6.7616570008285004"/>
  </r>
  <r>
    <x v="0"/>
    <x v="18"/>
    <x v="0"/>
    <x v="1"/>
    <s v="DK2_NoDH_PHH"/>
    <x v="14"/>
    <n v="24.3419652029826"/>
    <n v="6.7616570008285004"/>
  </r>
  <r>
    <x v="0"/>
    <x v="18"/>
    <x v="0"/>
    <x v="1"/>
    <s v="DK2_NoDH_PHH"/>
    <x v="15"/>
    <n v="1.65807589063794"/>
    <n v="0.46057663628831802"/>
  </r>
  <r>
    <x v="0"/>
    <x v="18"/>
    <x v="0"/>
    <x v="1"/>
    <s v="DK2_NoDH_PHH"/>
    <x v="16"/>
    <n v="6.7156619979650802"/>
    <n v="1.8654616661014101"/>
  </r>
  <r>
    <x v="0"/>
    <x v="18"/>
    <x v="0"/>
    <x v="1"/>
    <s v="DK2_NoDH_PHH"/>
    <x v="17"/>
    <n v="9.1244895875632395"/>
    <n v="2.5345804409897901"/>
  </r>
  <r>
    <x v="0"/>
    <x v="18"/>
    <x v="0"/>
    <x v="1"/>
    <s v="DK2_NoDH_PHH"/>
    <x v="18"/>
    <n v="24.3419652029826"/>
    <n v="6.7616570008285004"/>
  </r>
  <r>
    <x v="0"/>
    <x v="18"/>
    <x v="0"/>
    <x v="1"/>
    <s v="DK2_NoDH_PHH"/>
    <x v="19"/>
    <n v="8.1139884009941898"/>
    <n v="2.2538856669428302"/>
  </r>
  <r>
    <x v="0"/>
    <x v="18"/>
    <x v="0"/>
    <x v="1"/>
    <s v="DK2_NoDH_PHH"/>
    <x v="20"/>
    <n v="21.431396138420201"/>
    <n v="5.9531655940056103"/>
  </r>
  <r>
    <x v="0"/>
    <x v="18"/>
    <x v="0"/>
    <x v="1"/>
    <s v="DK2_NoDH_PHH"/>
    <x v="28"/>
    <n v="41.38758"/>
    <n v="11.496549999999999"/>
  </r>
  <r>
    <x v="0"/>
    <x v="18"/>
    <x v="0"/>
    <x v="1"/>
    <s v="DK2_NoDH_PHH"/>
    <x v="21"/>
    <n v="48.24"/>
    <n v="13.4"/>
  </r>
  <r>
    <x v="0"/>
    <x v="18"/>
    <x v="0"/>
    <x v="1"/>
    <s v="DK2_NoDH_PHH"/>
    <x v="22"/>
    <n v="67.680000000000007"/>
    <n v="18.8"/>
  </r>
  <r>
    <x v="0"/>
    <x v="18"/>
    <x v="0"/>
    <x v="1"/>
    <s v="DK2_NoDH_PHH"/>
    <x v="23"/>
    <n v="0.31515896120488701"/>
    <n v="8.7544155890246306E-2"/>
  </r>
  <r>
    <x v="0"/>
    <x v="18"/>
    <x v="0"/>
    <x v="1"/>
    <s v="DK2_NoDH_PHH"/>
    <x v="24"/>
    <n v="19.174223581093901"/>
    <n v="5.32617321697054"/>
  </r>
  <r>
    <x v="0"/>
    <x v="18"/>
    <x v="0"/>
    <x v="1"/>
    <s v="DK2_NoDH_PHH"/>
    <x v="26"/>
    <n v="32.516643167392601"/>
    <n v="9.03240087983127"/>
  </r>
  <r>
    <x v="0"/>
    <x v="18"/>
    <x v="0"/>
    <x v="1"/>
    <s v="DK2_NoDH_PHH"/>
    <x v="27"/>
    <n v="20.163995508318798"/>
    <n v="5.6011098634218799"/>
  </r>
  <r>
    <x v="0"/>
    <x v="18"/>
    <x v="0"/>
    <x v="1"/>
    <s v="DK2_NoDH_PHL"/>
    <x v="1"/>
    <n v="35.989199999999997"/>
    <n v="9.9969999999999999"/>
  </r>
  <r>
    <x v="0"/>
    <x v="18"/>
    <x v="0"/>
    <x v="1"/>
    <s v="DK2_NoDH_PHL"/>
    <x v="2"/>
    <n v="2.52"/>
    <n v="0.7"/>
  </r>
  <r>
    <x v="0"/>
    <x v="18"/>
    <x v="0"/>
    <x v="1"/>
    <s v="DK2_NoDH_PHL"/>
    <x v="0"/>
    <n v="42.692399999999999"/>
    <n v="11.859"/>
  </r>
  <r>
    <x v="0"/>
    <x v="18"/>
    <x v="0"/>
    <x v="1"/>
    <s v="DK2_NoDH_PHL"/>
    <x v="3"/>
    <n v="51.633543144067197"/>
    <n v="14.342650873352"/>
  </r>
  <r>
    <x v="0"/>
    <x v="18"/>
    <x v="0"/>
    <x v="1"/>
    <s v="DK2_NoDH_PHL"/>
    <x v="4"/>
    <n v="15.1696304888152"/>
    <n v="4.21378624689312"/>
  </r>
  <r>
    <x v="0"/>
    <x v="18"/>
    <x v="0"/>
    <x v="1"/>
    <s v="DK2_NoDH_PHL"/>
    <x v="5"/>
    <n v="15.1696304888152"/>
    <n v="4.21378624689312"/>
  </r>
  <r>
    <x v="0"/>
    <x v="18"/>
    <x v="0"/>
    <x v="1"/>
    <s v="DK2_NoDH_PHL"/>
    <x v="6"/>
    <n v="29.476231795214598"/>
    <n v="8.1878421653373898"/>
  </r>
  <r>
    <x v="0"/>
    <x v="18"/>
    <x v="0"/>
    <x v="1"/>
    <s v="DK2_NoDH_PHL"/>
    <x v="7"/>
    <n v="57.838935220261199"/>
    <n v="16.066370894517"/>
  </r>
  <r>
    <x v="0"/>
    <x v="18"/>
    <x v="0"/>
    <x v="1"/>
    <s v="DK2_NoDH_PHL"/>
    <x v="8"/>
    <n v="57.838935220261199"/>
    <n v="16.066370894517"/>
  </r>
  <r>
    <x v="0"/>
    <x v="18"/>
    <x v="0"/>
    <x v="1"/>
    <s v="DK2_NoDH_PHL"/>
    <x v="9"/>
    <n v="51.506187241093599"/>
    <n v="14.3072742336371"/>
  </r>
  <r>
    <x v="0"/>
    <x v="18"/>
    <x v="0"/>
    <x v="1"/>
    <s v="DK2_NoDH_PHL"/>
    <x v="10"/>
    <n v="72.320331400165799"/>
    <n v="20.088980944490501"/>
  </r>
  <r>
    <x v="0"/>
    <x v="18"/>
    <x v="0"/>
    <x v="1"/>
    <s v="DK2_NoDH_PHL"/>
    <x v="11"/>
    <n v="8.1139884009941898"/>
    <n v="2.2538856669428302"/>
  </r>
  <r>
    <x v="0"/>
    <x v="18"/>
    <x v="0"/>
    <x v="1"/>
    <s v="DK2_NoDH_PHL"/>
    <x v="12"/>
    <n v="9.7995028997514597E-2"/>
    <n v="2.72208413881985E-2"/>
  </r>
  <r>
    <x v="0"/>
    <x v="18"/>
    <x v="0"/>
    <x v="1"/>
    <s v="DK2_NoDH_PHL"/>
    <x v="13"/>
    <n v="24.3419652029826"/>
    <n v="6.7616570008285004"/>
  </r>
  <r>
    <x v="0"/>
    <x v="18"/>
    <x v="0"/>
    <x v="1"/>
    <s v="DK2_NoDH_PHL"/>
    <x v="14"/>
    <n v="24.3419652029826"/>
    <n v="6.7616570008285004"/>
  </r>
  <r>
    <x v="0"/>
    <x v="18"/>
    <x v="0"/>
    <x v="1"/>
    <s v="DK2_NoDH_PHL"/>
    <x v="15"/>
    <n v="1.65807589063794"/>
    <n v="0.46057663628831802"/>
  </r>
  <r>
    <x v="0"/>
    <x v="18"/>
    <x v="0"/>
    <x v="1"/>
    <s v="DK2_NoDH_PHL"/>
    <x v="16"/>
    <n v="6.7156619979650802"/>
    <n v="1.8654616661014101"/>
  </r>
  <r>
    <x v="0"/>
    <x v="18"/>
    <x v="0"/>
    <x v="1"/>
    <s v="DK2_NoDH_PHL"/>
    <x v="17"/>
    <n v="9.1244895875632395"/>
    <n v="2.5345804409897901"/>
  </r>
  <r>
    <x v="0"/>
    <x v="18"/>
    <x v="0"/>
    <x v="1"/>
    <s v="DK2_NoDH_PHL"/>
    <x v="18"/>
    <n v="24.3419652029826"/>
    <n v="6.7616570008285004"/>
  </r>
  <r>
    <x v="0"/>
    <x v="18"/>
    <x v="0"/>
    <x v="1"/>
    <s v="DK2_NoDH_PHL"/>
    <x v="19"/>
    <n v="8.1139884009941898"/>
    <n v="2.2538856669428302"/>
  </r>
  <r>
    <x v="0"/>
    <x v="18"/>
    <x v="0"/>
    <x v="1"/>
    <s v="DK2_NoDH_PHL"/>
    <x v="20"/>
    <n v="21.431396138420201"/>
    <n v="5.9531655940056103"/>
  </r>
  <r>
    <x v="0"/>
    <x v="18"/>
    <x v="0"/>
    <x v="1"/>
    <s v="DK2_NoDH_PHL"/>
    <x v="28"/>
    <n v="41.38758"/>
    <n v="11.496549999999999"/>
  </r>
  <r>
    <x v="0"/>
    <x v="18"/>
    <x v="0"/>
    <x v="1"/>
    <s v="DK2_NoDH_PHL"/>
    <x v="21"/>
    <n v="48.24"/>
    <n v="13.4"/>
  </r>
  <r>
    <x v="0"/>
    <x v="18"/>
    <x v="0"/>
    <x v="1"/>
    <s v="DK2_NoDH_PHL"/>
    <x v="22"/>
    <n v="67.680000000000007"/>
    <n v="18.8"/>
  </r>
  <r>
    <x v="0"/>
    <x v="18"/>
    <x v="0"/>
    <x v="1"/>
    <s v="DK2_NoDH_PHL"/>
    <x v="23"/>
    <n v="0.31515896120488701"/>
    <n v="8.7544155890246306E-2"/>
  </r>
  <r>
    <x v="0"/>
    <x v="18"/>
    <x v="0"/>
    <x v="1"/>
    <s v="DK2_NoDH_PHL"/>
    <x v="24"/>
    <n v="19.174223581093901"/>
    <n v="5.32617321697054"/>
  </r>
  <r>
    <x v="0"/>
    <x v="18"/>
    <x v="0"/>
    <x v="1"/>
    <s v="DK2_NoDH_PHL"/>
    <x v="26"/>
    <n v="32.516643167392601"/>
    <n v="9.03240087983127"/>
  </r>
  <r>
    <x v="0"/>
    <x v="18"/>
    <x v="0"/>
    <x v="1"/>
    <s v="DK2_NoDH_PHL"/>
    <x v="27"/>
    <n v="20.163995508318798"/>
    <n v="5.6011098634218799"/>
  </r>
  <r>
    <x v="0"/>
    <x v="18"/>
    <x v="0"/>
    <x v="1"/>
    <s v="DK2_Offshore"/>
    <x v="1"/>
    <n v="35.989199999999997"/>
    <n v="9.9969999999999999"/>
  </r>
  <r>
    <x v="0"/>
    <x v="18"/>
    <x v="0"/>
    <x v="1"/>
    <s v="DK2_Offshore"/>
    <x v="2"/>
    <n v="2.52"/>
    <n v="0.7"/>
  </r>
  <r>
    <x v="0"/>
    <x v="18"/>
    <x v="0"/>
    <x v="1"/>
    <s v="DK2_Offshore"/>
    <x v="0"/>
    <n v="42.692399999999999"/>
    <n v="11.859"/>
  </r>
  <r>
    <x v="0"/>
    <x v="18"/>
    <x v="0"/>
    <x v="1"/>
    <s v="DK2_Offshore"/>
    <x v="3"/>
    <n v="51.633543144067197"/>
    <n v="14.342650873352"/>
  </r>
  <r>
    <x v="0"/>
    <x v="18"/>
    <x v="0"/>
    <x v="1"/>
    <s v="DK2_Offshore"/>
    <x v="4"/>
    <n v="15.1696304888152"/>
    <n v="4.21378624689312"/>
  </r>
  <r>
    <x v="0"/>
    <x v="18"/>
    <x v="0"/>
    <x v="1"/>
    <s v="DK2_Offshore"/>
    <x v="5"/>
    <n v="15.1696304888152"/>
    <n v="4.21378624689312"/>
  </r>
  <r>
    <x v="0"/>
    <x v="18"/>
    <x v="0"/>
    <x v="1"/>
    <s v="DK2_Offshore"/>
    <x v="6"/>
    <n v="29.476231795214598"/>
    <n v="8.1878421653373898"/>
  </r>
  <r>
    <x v="0"/>
    <x v="18"/>
    <x v="0"/>
    <x v="1"/>
    <s v="DK2_Offshore"/>
    <x v="7"/>
    <n v="57.838935220261199"/>
    <n v="16.066370894517"/>
  </r>
  <r>
    <x v="0"/>
    <x v="18"/>
    <x v="0"/>
    <x v="1"/>
    <s v="DK2_Offshore"/>
    <x v="8"/>
    <n v="57.838935220261199"/>
    <n v="16.066370894517"/>
  </r>
  <r>
    <x v="0"/>
    <x v="18"/>
    <x v="0"/>
    <x v="1"/>
    <s v="DK2_Offshore"/>
    <x v="9"/>
    <n v="51.506187241093599"/>
    <n v="14.3072742336371"/>
  </r>
  <r>
    <x v="0"/>
    <x v="18"/>
    <x v="0"/>
    <x v="1"/>
    <s v="DK2_Offshore"/>
    <x v="10"/>
    <n v="72.320331400165799"/>
    <n v="20.088980944490501"/>
  </r>
  <r>
    <x v="0"/>
    <x v="18"/>
    <x v="0"/>
    <x v="1"/>
    <s v="DK2_Offshore"/>
    <x v="11"/>
    <n v="8.1139884009941898"/>
    <n v="2.2538856669428302"/>
  </r>
  <r>
    <x v="0"/>
    <x v="18"/>
    <x v="0"/>
    <x v="1"/>
    <s v="DK2_Offshore"/>
    <x v="12"/>
    <n v="9.7995028997514597E-2"/>
    <n v="2.72208413881985E-2"/>
  </r>
  <r>
    <x v="0"/>
    <x v="18"/>
    <x v="0"/>
    <x v="1"/>
    <s v="DK2_Offshore"/>
    <x v="13"/>
    <n v="24.3419652029826"/>
    <n v="6.7616570008285004"/>
  </r>
  <r>
    <x v="0"/>
    <x v="18"/>
    <x v="0"/>
    <x v="1"/>
    <s v="DK2_Offshore"/>
    <x v="14"/>
    <n v="24.3419652029826"/>
    <n v="6.7616570008285004"/>
  </r>
  <r>
    <x v="0"/>
    <x v="18"/>
    <x v="0"/>
    <x v="1"/>
    <s v="DK2_Offshore"/>
    <x v="15"/>
    <n v="1.65807589063794"/>
    <n v="0.46057663628831802"/>
  </r>
  <r>
    <x v="0"/>
    <x v="18"/>
    <x v="0"/>
    <x v="1"/>
    <s v="DK2_Offshore"/>
    <x v="16"/>
    <n v="6.7156619979650802"/>
    <n v="1.8654616661014101"/>
  </r>
  <r>
    <x v="0"/>
    <x v="18"/>
    <x v="0"/>
    <x v="1"/>
    <s v="DK2_Offshore"/>
    <x v="17"/>
    <n v="9.1244895875632395"/>
    <n v="2.5345804409897901"/>
  </r>
  <r>
    <x v="0"/>
    <x v="18"/>
    <x v="0"/>
    <x v="1"/>
    <s v="DK2_Offshore"/>
    <x v="18"/>
    <n v="24.3419652029826"/>
    <n v="6.7616570008285004"/>
  </r>
  <r>
    <x v="0"/>
    <x v="18"/>
    <x v="0"/>
    <x v="1"/>
    <s v="DK2_Offshore"/>
    <x v="19"/>
    <n v="8.1139884009941898"/>
    <n v="2.2538856669428302"/>
  </r>
  <r>
    <x v="0"/>
    <x v="18"/>
    <x v="0"/>
    <x v="1"/>
    <s v="DK2_Offshore"/>
    <x v="20"/>
    <n v="21.431396138420201"/>
    <n v="5.9531655940056103"/>
  </r>
  <r>
    <x v="0"/>
    <x v="18"/>
    <x v="0"/>
    <x v="1"/>
    <s v="DK2_Offshore"/>
    <x v="28"/>
    <n v="41.38758"/>
    <n v="11.496549999999999"/>
  </r>
  <r>
    <x v="0"/>
    <x v="18"/>
    <x v="0"/>
    <x v="1"/>
    <s v="DK2_Offshore"/>
    <x v="21"/>
    <n v="48.24"/>
    <n v="13.4"/>
  </r>
  <r>
    <x v="0"/>
    <x v="18"/>
    <x v="0"/>
    <x v="1"/>
    <s v="DK2_Offshore"/>
    <x v="22"/>
    <n v="67.680000000000007"/>
    <n v="18.8"/>
  </r>
  <r>
    <x v="0"/>
    <x v="18"/>
    <x v="0"/>
    <x v="1"/>
    <s v="DK2_Offshore"/>
    <x v="23"/>
    <n v="0.31515896120488701"/>
    <n v="8.7544155890246306E-2"/>
  </r>
  <r>
    <x v="0"/>
    <x v="18"/>
    <x v="0"/>
    <x v="1"/>
    <s v="DK2_Offshore"/>
    <x v="24"/>
    <n v="19.174223581093901"/>
    <n v="5.32617321697054"/>
  </r>
  <r>
    <x v="0"/>
    <x v="18"/>
    <x v="0"/>
    <x v="1"/>
    <s v="DK2_Offshore"/>
    <x v="26"/>
    <n v="32.516643167392601"/>
    <n v="9.03240087983127"/>
  </r>
  <r>
    <x v="0"/>
    <x v="18"/>
    <x v="0"/>
    <x v="1"/>
    <s v="DK2_Offshore"/>
    <x v="27"/>
    <n v="20.163995508318798"/>
    <n v="5.6011098634218799"/>
  </r>
  <r>
    <x v="0"/>
    <x v="18"/>
    <x v="0"/>
    <x v="1"/>
    <s v="DK2_Rural"/>
    <x v="1"/>
    <n v="35.989199999999997"/>
    <n v="9.9969999999999999"/>
  </r>
  <r>
    <x v="0"/>
    <x v="18"/>
    <x v="0"/>
    <x v="1"/>
    <s v="DK2_Rural"/>
    <x v="2"/>
    <n v="2.52"/>
    <n v="0.7"/>
  </r>
  <r>
    <x v="0"/>
    <x v="18"/>
    <x v="0"/>
    <x v="1"/>
    <s v="DK2_Rural"/>
    <x v="0"/>
    <n v="42.692399999999999"/>
    <n v="11.859"/>
  </r>
  <r>
    <x v="0"/>
    <x v="18"/>
    <x v="0"/>
    <x v="1"/>
    <s v="DK2_Rural"/>
    <x v="3"/>
    <n v="51.633543144067197"/>
    <n v="14.342650873352"/>
  </r>
  <r>
    <x v="0"/>
    <x v="18"/>
    <x v="0"/>
    <x v="1"/>
    <s v="DK2_Rural"/>
    <x v="4"/>
    <n v="15.1696304888152"/>
    <n v="4.21378624689312"/>
  </r>
  <r>
    <x v="0"/>
    <x v="18"/>
    <x v="0"/>
    <x v="1"/>
    <s v="DK2_Rural"/>
    <x v="5"/>
    <n v="15.1696304888152"/>
    <n v="4.21378624689312"/>
  </r>
  <r>
    <x v="0"/>
    <x v="18"/>
    <x v="0"/>
    <x v="1"/>
    <s v="DK2_Rural"/>
    <x v="6"/>
    <n v="29.476231795214598"/>
    <n v="8.1878421653373898"/>
  </r>
  <r>
    <x v="0"/>
    <x v="18"/>
    <x v="0"/>
    <x v="1"/>
    <s v="DK2_Rural"/>
    <x v="7"/>
    <n v="57.838935220261199"/>
    <n v="16.066370894517"/>
  </r>
  <r>
    <x v="0"/>
    <x v="18"/>
    <x v="0"/>
    <x v="1"/>
    <s v="DK2_Rural"/>
    <x v="8"/>
    <n v="57.838935220261199"/>
    <n v="16.066370894517"/>
  </r>
  <r>
    <x v="0"/>
    <x v="18"/>
    <x v="0"/>
    <x v="1"/>
    <s v="DK2_Rural"/>
    <x v="9"/>
    <n v="51.506187241093599"/>
    <n v="14.3072742336371"/>
  </r>
  <r>
    <x v="0"/>
    <x v="18"/>
    <x v="0"/>
    <x v="1"/>
    <s v="DK2_Rural"/>
    <x v="10"/>
    <n v="72.320331400165799"/>
    <n v="20.088980944490501"/>
  </r>
  <r>
    <x v="0"/>
    <x v="18"/>
    <x v="0"/>
    <x v="1"/>
    <s v="DK2_Rural"/>
    <x v="11"/>
    <n v="8.1139884009941898"/>
    <n v="2.2538856669428302"/>
  </r>
  <r>
    <x v="0"/>
    <x v="18"/>
    <x v="0"/>
    <x v="1"/>
    <s v="DK2_Rural"/>
    <x v="12"/>
    <n v="9.7995028997514597E-2"/>
    <n v="2.72208413881985E-2"/>
  </r>
  <r>
    <x v="0"/>
    <x v="18"/>
    <x v="0"/>
    <x v="1"/>
    <s v="DK2_Rural"/>
    <x v="13"/>
    <n v="24.3419652029826"/>
    <n v="6.7616570008285004"/>
  </r>
  <r>
    <x v="0"/>
    <x v="18"/>
    <x v="0"/>
    <x v="1"/>
    <s v="DK2_Rural"/>
    <x v="14"/>
    <n v="24.3419652029826"/>
    <n v="6.7616570008285004"/>
  </r>
  <r>
    <x v="0"/>
    <x v="18"/>
    <x v="0"/>
    <x v="1"/>
    <s v="DK2_Rural"/>
    <x v="15"/>
    <n v="1.65807589063794"/>
    <n v="0.46057663628831802"/>
  </r>
  <r>
    <x v="0"/>
    <x v="18"/>
    <x v="0"/>
    <x v="1"/>
    <s v="DK2_Rural"/>
    <x v="16"/>
    <n v="6.7156619979650802"/>
    <n v="1.8654616661014101"/>
  </r>
  <r>
    <x v="0"/>
    <x v="18"/>
    <x v="0"/>
    <x v="1"/>
    <s v="DK2_Rural"/>
    <x v="17"/>
    <n v="9.1244895875632395"/>
    <n v="2.5345804409897901"/>
  </r>
  <r>
    <x v="0"/>
    <x v="18"/>
    <x v="0"/>
    <x v="1"/>
    <s v="DK2_Rural"/>
    <x v="18"/>
    <n v="24.3419652029826"/>
    <n v="6.7616570008285004"/>
  </r>
  <r>
    <x v="0"/>
    <x v="18"/>
    <x v="0"/>
    <x v="1"/>
    <s v="DK2_Rural"/>
    <x v="19"/>
    <n v="8.1139884009941898"/>
    <n v="2.2538856669428302"/>
  </r>
  <r>
    <x v="0"/>
    <x v="18"/>
    <x v="0"/>
    <x v="1"/>
    <s v="DK2_Rural"/>
    <x v="20"/>
    <n v="21.431396138420201"/>
    <n v="5.9531655940056103"/>
  </r>
  <r>
    <x v="0"/>
    <x v="18"/>
    <x v="0"/>
    <x v="1"/>
    <s v="DK2_Rural"/>
    <x v="28"/>
    <n v="41.38758"/>
    <n v="11.496549999999999"/>
  </r>
  <r>
    <x v="0"/>
    <x v="18"/>
    <x v="0"/>
    <x v="1"/>
    <s v="DK2_Rural"/>
    <x v="21"/>
    <n v="48.24"/>
    <n v="13.4"/>
  </r>
  <r>
    <x v="0"/>
    <x v="18"/>
    <x v="0"/>
    <x v="1"/>
    <s v="DK2_Rural"/>
    <x v="22"/>
    <n v="67.680000000000007"/>
    <n v="18.8"/>
  </r>
  <r>
    <x v="0"/>
    <x v="18"/>
    <x v="0"/>
    <x v="1"/>
    <s v="DK2_Rural"/>
    <x v="23"/>
    <n v="0.31515896120488701"/>
    <n v="8.7544155890246306E-2"/>
  </r>
  <r>
    <x v="0"/>
    <x v="18"/>
    <x v="0"/>
    <x v="1"/>
    <s v="DK2_Rural"/>
    <x v="24"/>
    <n v="19.174223581093901"/>
    <n v="5.32617321697054"/>
  </r>
  <r>
    <x v="0"/>
    <x v="18"/>
    <x v="0"/>
    <x v="1"/>
    <s v="DK2_Rural"/>
    <x v="26"/>
    <n v="32.516643167392601"/>
    <n v="9.03240087983127"/>
  </r>
  <r>
    <x v="0"/>
    <x v="18"/>
    <x v="0"/>
    <x v="1"/>
    <s v="DK2_Rural"/>
    <x v="27"/>
    <n v="20.163995508318798"/>
    <n v="5.6011098634218799"/>
  </r>
  <r>
    <x v="0"/>
    <x v="18"/>
    <x v="0"/>
    <x v="1"/>
    <s v="DK2_Small"/>
    <x v="1"/>
    <n v="35.989199999999997"/>
    <n v="9.9969999999999999"/>
  </r>
  <r>
    <x v="0"/>
    <x v="18"/>
    <x v="0"/>
    <x v="1"/>
    <s v="DK2_Small"/>
    <x v="2"/>
    <n v="2.52"/>
    <n v="0.7"/>
  </r>
  <r>
    <x v="0"/>
    <x v="18"/>
    <x v="0"/>
    <x v="1"/>
    <s v="DK2_Small"/>
    <x v="0"/>
    <n v="42.692399999999999"/>
    <n v="11.859"/>
  </r>
  <r>
    <x v="0"/>
    <x v="18"/>
    <x v="0"/>
    <x v="1"/>
    <s v="DK2_Small"/>
    <x v="3"/>
    <n v="51.633543144067197"/>
    <n v="14.342650873352"/>
  </r>
  <r>
    <x v="0"/>
    <x v="18"/>
    <x v="0"/>
    <x v="1"/>
    <s v="DK2_Small"/>
    <x v="4"/>
    <n v="15.1696304888152"/>
    <n v="4.21378624689312"/>
  </r>
  <r>
    <x v="0"/>
    <x v="18"/>
    <x v="0"/>
    <x v="1"/>
    <s v="DK2_Small"/>
    <x v="5"/>
    <n v="15.1696304888152"/>
    <n v="4.21378624689312"/>
  </r>
  <r>
    <x v="0"/>
    <x v="18"/>
    <x v="0"/>
    <x v="1"/>
    <s v="DK2_Small"/>
    <x v="6"/>
    <n v="29.476231795214598"/>
    <n v="8.1878421653373898"/>
  </r>
  <r>
    <x v="0"/>
    <x v="18"/>
    <x v="0"/>
    <x v="1"/>
    <s v="DK2_Small"/>
    <x v="7"/>
    <n v="57.838935220261199"/>
    <n v="16.066370894517"/>
  </r>
  <r>
    <x v="0"/>
    <x v="18"/>
    <x v="0"/>
    <x v="1"/>
    <s v="DK2_Small"/>
    <x v="8"/>
    <n v="57.838935220261199"/>
    <n v="16.066370894517"/>
  </r>
  <r>
    <x v="0"/>
    <x v="18"/>
    <x v="0"/>
    <x v="1"/>
    <s v="DK2_Small"/>
    <x v="9"/>
    <n v="51.506187241093599"/>
    <n v="14.3072742336371"/>
  </r>
  <r>
    <x v="0"/>
    <x v="18"/>
    <x v="0"/>
    <x v="1"/>
    <s v="DK2_Small"/>
    <x v="10"/>
    <n v="72.320331400165799"/>
    <n v="20.088980944490501"/>
  </r>
  <r>
    <x v="0"/>
    <x v="18"/>
    <x v="0"/>
    <x v="1"/>
    <s v="DK2_Small"/>
    <x v="11"/>
    <n v="8.1139884009941898"/>
    <n v="2.2538856669428302"/>
  </r>
  <r>
    <x v="0"/>
    <x v="18"/>
    <x v="0"/>
    <x v="1"/>
    <s v="DK2_Small"/>
    <x v="12"/>
    <n v="9.7995028997514597E-2"/>
    <n v="2.72208413881985E-2"/>
  </r>
  <r>
    <x v="0"/>
    <x v="18"/>
    <x v="0"/>
    <x v="1"/>
    <s v="DK2_Small"/>
    <x v="13"/>
    <n v="24.3419652029826"/>
    <n v="6.7616570008285004"/>
  </r>
  <r>
    <x v="0"/>
    <x v="18"/>
    <x v="0"/>
    <x v="1"/>
    <s v="DK2_Small"/>
    <x v="14"/>
    <n v="24.3419652029826"/>
    <n v="6.7616570008285004"/>
  </r>
  <r>
    <x v="0"/>
    <x v="18"/>
    <x v="0"/>
    <x v="1"/>
    <s v="DK2_Small"/>
    <x v="15"/>
    <n v="1.65807589063794"/>
    <n v="0.46057663628831802"/>
  </r>
  <r>
    <x v="0"/>
    <x v="18"/>
    <x v="0"/>
    <x v="1"/>
    <s v="DK2_Small"/>
    <x v="16"/>
    <n v="6.7156619979650802"/>
    <n v="1.8654616661014101"/>
  </r>
  <r>
    <x v="0"/>
    <x v="18"/>
    <x v="0"/>
    <x v="1"/>
    <s v="DK2_Small"/>
    <x v="17"/>
    <n v="9.1244895875632395"/>
    <n v="2.5345804409897901"/>
  </r>
  <r>
    <x v="0"/>
    <x v="18"/>
    <x v="0"/>
    <x v="1"/>
    <s v="DK2_Small"/>
    <x v="18"/>
    <n v="24.3419652029826"/>
    <n v="6.7616570008285004"/>
  </r>
  <r>
    <x v="0"/>
    <x v="18"/>
    <x v="0"/>
    <x v="1"/>
    <s v="DK2_Small"/>
    <x v="19"/>
    <n v="8.1139884009941898"/>
    <n v="2.2538856669428302"/>
  </r>
  <r>
    <x v="0"/>
    <x v="18"/>
    <x v="0"/>
    <x v="1"/>
    <s v="DK2_Small"/>
    <x v="20"/>
    <n v="21.431396138420201"/>
    <n v="5.9531655940056103"/>
  </r>
  <r>
    <x v="0"/>
    <x v="18"/>
    <x v="0"/>
    <x v="1"/>
    <s v="DK2_Small"/>
    <x v="28"/>
    <n v="41.38758"/>
    <n v="11.496549999999999"/>
  </r>
  <r>
    <x v="0"/>
    <x v="18"/>
    <x v="0"/>
    <x v="1"/>
    <s v="DK2_Small"/>
    <x v="21"/>
    <n v="48.24"/>
    <n v="13.4"/>
  </r>
  <r>
    <x v="0"/>
    <x v="18"/>
    <x v="0"/>
    <x v="1"/>
    <s v="DK2_Small"/>
    <x v="22"/>
    <n v="67.680000000000007"/>
    <n v="18.8"/>
  </r>
  <r>
    <x v="0"/>
    <x v="18"/>
    <x v="0"/>
    <x v="1"/>
    <s v="DK2_Small"/>
    <x v="23"/>
    <n v="0.31515896120488701"/>
    <n v="8.7544155890246306E-2"/>
  </r>
  <r>
    <x v="0"/>
    <x v="18"/>
    <x v="0"/>
    <x v="1"/>
    <s v="DK2_Small"/>
    <x v="24"/>
    <n v="19.174223581093901"/>
    <n v="5.32617321697054"/>
  </r>
  <r>
    <x v="0"/>
    <x v="18"/>
    <x v="0"/>
    <x v="1"/>
    <s v="DK2_Small"/>
    <x v="26"/>
    <n v="32.516643167392601"/>
    <n v="9.03240087983127"/>
  </r>
  <r>
    <x v="0"/>
    <x v="18"/>
    <x v="0"/>
    <x v="1"/>
    <s v="DK2_Small"/>
    <x v="27"/>
    <n v="20.163995508318798"/>
    <n v="5.6011098634218799"/>
  </r>
  <r>
    <x v="0"/>
    <x v="18"/>
    <x v="1"/>
    <x v="2"/>
    <s v="EE_A"/>
    <x v="1"/>
    <n v="35.989199999999997"/>
    <n v="9.9969999999999999"/>
  </r>
  <r>
    <x v="0"/>
    <x v="18"/>
    <x v="1"/>
    <x v="2"/>
    <s v="EE_A"/>
    <x v="2"/>
    <n v="2.52"/>
    <n v="0.7"/>
  </r>
  <r>
    <x v="0"/>
    <x v="18"/>
    <x v="1"/>
    <x v="2"/>
    <s v="EE_A"/>
    <x v="0"/>
    <n v="42.692399999999999"/>
    <n v="11.859"/>
  </r>
  <r>
    <x v="0"/>
    <x v="18"/>
    <x v="1"/>
    <x v="2"/>
    <s v="EE_A"/>
    <x v="3"/>
    <n v="51.633543144067197"/>
    <n v="14.342650873352"/>
  </r>
  <r>
    <x v="0"/>
    <x v="18"/>
    <x v="1"/>
    <x v="2"/>
    <s v="EE_A"/>
    <x v="4"/>
    <n v="15.1696304888152"/>
    <n v="4.21378624689312"/>
  </r>
  <r>
    <x v="0"/>
    <x v="18"/>
    <x v="1"/>
    <x v="2"/>
    <s v="EE_A"/>
    <x v="5"/>
    <n v="15.1696304888152"/>
    <n v="4.21378624689312"/>
  </r>
  <r>
    <x v="0"/>
    <x v="18"/>
    <x v="1"/>
    <x v="2"/>
    <s v="EE_A"/>
    <x v="6"/>
    <n v="29.476231795214598"/>
    <n v="8.1878421653373898"/>
  </r>
  <r>
    <x v="0"/>
    <x v="18"/>
    <x v="1"/>
    <x v="2"/>
    <s v="EE_A"/>
    <x v="7"/>
    <n v="57.838935220261199"/>
    <n v="16.066370894517"/>
  </r>
  <r>
    <x v="0"/>
    <x v="18"/>
    <x v="1"/>
    <x v="2"/>
    <s v="EE_A"/>
    <x v="8"/>
    <n v="57.838935220261199"/>
    <n v="16.066370894517"/>
  </r>
  <r>
    <x v="0"/>
    <x v="18"/>
    <x v="1"/>
    <x v="2"/>
    <s v="EE_A"/>
    <x v="9"/>
    <n v="51.506187241093599"/>
    <n v="14.3072742336371"/>
  </r>
  <r>
    <x v="0"/>
    <x v="18"/>
    <x v="1"/>
    <x v="2"/>
    <s v="EE_A"/>
    <x v="10"/>
    <n v="72.320331400165799"/>
    <n v="20.088980944490501"/>
  </r>
  <r>
    <x v="0"/>
    <x v="18"/>
    <x v="1"/>
    <x v="2"/>
    <s v="EE_A"/>
    <x v="11"/>
    <n v="8.1139884009941898"/>
    <n v="2.2538856669428302"/>
  </r>
  <r>
    <x v="0"/>
    <x v="18"/>
    <x v="1"/>
    <x v="2"/>
    <s v="EE_A"/>
    <x v="12"/>
    <n v="9.7995028997514597E-2"/>
    <n v="2.72208413881985E-2"/>
  </r>
  <r>
    <x v="0"/>
    <x v="18"/>
    <x v="1"/>
    <x v="2"/>
    <s v="EE_A"/>
    <x v="13"/>
    <n v="24.3419652029826"/>
    <n v="6.7616570008285004"/>
  </r>
  <r>
    <x v="0"/>
    <x v="18"/>
    <x v="1"/>
    <x v="2"/>
    <s v="EE_A"/>
    <x v="14"/>
    <n v="24.3419652029826"/>
    <n v="6.7616570008285004"/>
  </r>
  <r>
    <x v="0"/>
    <x v="18"/>
    <x v="1"/>
    <x v="2"/>
    <s v="EE_A"/>
    <x v="15"/>
    <n v="1.65807589063794"/>
    <n v="0.46057663628831802"/>
  </r>
  <r>
    <x v="0"/>
    <x v="18"/>
    <x v="1"/>
    <x v="2"/>
    <s v="EE_A"/>
    <x v="16"/>
    <n v="6.7156619979650802"/>
    <n v="1.8654616661014101"/>
  </r>
  <r>
    <x v="0"/>
    <x v="18"/>
    <x v="1"/>
    <x v="2"/>
    <s v="EE_A"/>
    <x v="17"/>
    <n v="9.1244895875632395"/>
    <n v="2.5345804409897901"/>
  </r>
  <r>
    <x v="0"/>
    <x v="18"/>
    <x v="1"/>
    <x v="2"/>
    <s v="EE_A"/>
    <x v="18"/>
    <n v="24.3419652029826"/>
    <n v="6.7616570008285004"/>
  </r>
  <r>
    <x v="0"/>
    <x v="18"/>
    <x v="1"/>
    <x v="2"/>
    <s v="EE_A"/>
    <x v="19"/>
    <n v="8.1139884009941898"/>
    <n v="2.2538856669428302"/>
  </r>
  <r>
    <x v="0"/>
    <x v="18"/>
    <x v="1"/>
    <x v="2"/>
    <s v="EE_A"/>
    <x v="20"/>
    <n v="21.431396138420201"/>
    <n v="5.9531655940056103"/>
  </r>
  <r>
    <x v="0"/>
    <x v="18"/>
    <x v="1"/>
    <x v="2"/>
    <s v="EE_A"/>
    <x v="28"/>
    <n v="41.38758"/>
    <n v="11.496549999999999"/>
  </r>
  <r>
    <x v="0"/>
    <x v="18"/>
    <x v="1"/>
    <x v="2"/>
    <s v="EE_A"/>
    <x v="21"/>
    <n v="48.24"/>
    <n v="13.4"/>
  </r>
  <r>
    <x v="0"/>
    <x v="18"/>
    <x v="1"/>
    <x v="2"/>
    <s v="EE_A"/>
    <x v="22"/>
    <n v="67.680000000000007"/>
    <n v="18.8"/>
  </r>
  <r>
    <x v="0"/>
    <x v="18"/>
    <x v="1"/>
    <x v="2"/>
    <s v="EE_A"/>
    <x v="23"/>
    <n v="0.31515896120488701"/>
    <n v="8.7544155890246306E-2"/>
  </r>
  <r>
    <x v="0"/>
    <x v="18"/>
    <x v="1"/>
    <x v="2"/>
    <s v="EE_A"/>
    <x v="24"/>
    <n v="19.174223581093901"/>
    <n v="5.32617321697054"/>
  </r>
  <r>
    <x v="0"/>
    <x v="18"/>
    <x v="1"/>
    <x v="2"/>
    <s v="EE_A"/>
    <x v="25"/>
    <n v="25.064747068787099"/>
    <n v="6.9624297413297498"/>
  </r>
  <r>
    <x v="0"/>
    <x v="18"/>
    <x v="1"/>
    <x v="2"/>
    <s v="EE_A"/>
    <x v="26"/>
    <n v="32.516643167392601"/>
    <n v="9.03240087983127"/>
  </r>
  <r>
    <x v="0"/>
    <x v="18"/>
    <x v="1"/>
    <x v="2"/>
    <s v="EE_A"/>
    <x v="27"/>
    <n v="20.163995508318798"/>
    <n v="5.6011098634218799"/>
  </r>
  <r>
    <x v="0"/>
    <x v="18"/>
    <x v="1"/>
    <x v="2"/>
    <s v="EE_Enefit"/>
    <x v="1"/>
    <n v="35.989199999999997"/>
    <n v="9.9969999999999999"/>
  </r>
  <r>
    <x v="0"/>
    <x v="18"/>
    <x v="1"/>
    <x v="2"/>
    <s v="EE_Enefit"/>
    <x v="2"/>
    <n v="2.52"/>
    <n v="0.7"/>
  </r>
  <r>
    <x v="0"/>
    <x v="18"/>
    <x v="1"/>
    <x v="2"/>
    <s v="EE_Enefit"/>
    <x v="0"/>
    <n v="42.692399999999999"/>
    <n v="11.859"/>
  </r>
  <r>
    <x v="0"/>
    <x v="18"/>
    <x v="1"/>
    <x v="2"/>
    <s v="EE_Enefit"/>
    <x v="3"/>
    <n v="51.633543144067197"/>
    <n v="14.342650873352"/>
  </r>
  <r>
    <x v="0"/>
    <x v="18"/>
    <x v="1"/>
    <x v="2"/>
    <s v="EE_Enefit"/>
    <x v="4"/>
    <n v="15.1696304888152"/>
    <n v="4.21378624689312"/>
  </r>
  <r>
    <x v="0"/>
    <x v="18"/>
    <x v="1"/>
    <x v="2"/>
    <s v="EE_Enefit"/>
    <x v="5"/>
    <n v="15.1696304888152"/>
    <n v="4.21378624689312"/>
  </r>
  <r>
    <x v="0"/>
    <x v="18"/>
    <x v="1"/>
    <x v="2"/>
    <s v="EE_Enefit"/>
    <x v="6"/>
    <n v="29.476231795214598"/>
    <n v="8.1878421653373898"/>
  </r>
  <r>
    <x v="0"/>
    <x v="18"/>
    <x v="1"/>
    <x v="2"/>
    <s v="EE_Enefit"/>
    <x v="7"/>
    <n v="57.838935220261199"/>
    <n v="16.066370894517"/>
  </r>
  <r>
    <x v="0"/>
    <x v="18"/>
    <x v="1"/>
    <x v="2"/>
    <s v="EE_Enefit"/>
    <x v="8"/>
    <n v="57.838935220261199"/>
    <n v="16.066370894517"/>
  </r>
  <r>
    <x v="0"/>
    <x v="18"/>
    <x v="1"/>
    <x v="2"/>
    <s v="EE_Enefit"/>
    <x v="9"/>
    <n v="51.506187241093599"/>
    <n v="14.3072742336371"/>
  </r>
  <r>
    <x v="0"/>
    <x v="18"/>
    <x v="1"/>
    <x v="2"/>
    <s v="EE_Enefit"/>
    <x v="10"/>
    <n v="72.320331400165799"/>
    <n v="20.088980944490501"/>
  </r>
  <r>
    <x v="0"/>
    <x v="18"/>
    <x v="1"/>
    <x v="2"/>
    <s v="EE_Enefit"/>
    <x v="11"/>
    <n v="8.1139884009941898"/>
    <n v="2.2538856669428302"/>
  </r>
  <r>
    <x v="0"/>
    <x v="18"/>
    <x v="1"/>
    <x v="2"/>
    <s v="EE_Enefit"/>
    <x v="12"/>
    <n v="9.7995028997514597E-2"/>
    <n v="2.72208413881985E-2"/>
  </r>
  <r>
    <x v="0"/>
    <x v="18"/>
    <x v="1"/>
    <x v="2"/>
    <s v="EE_Enefit"/>
    <x v="13"/>
    <n v="24.3419652029826"/>
    <n v="6.7616570008285004"/>
  </r>
  <r>
    <x v="0"/>
    <x v="18"/>
    <x v="1"/>
    <x v="2"/>
    <s v="EE_Enefit"/>
    <x v="14"/>
    <n v="24.3419652029826"/>
    <n v="6.7616570008285004"/>
  </r>
  <r>
    <x v="0"/>
    <x v="18"/>
    <x v="1"/>
    <x v="2"/>
    <s v="EE_Enefit"/>
    <x v="15"/>
    <n v="1.65807589063794"/>
    <n v="0.46057663628831802"/>
  </r>
  <r>
    <x v="0"/>
    <x v="18"/>
    <x v="1"/>
    <x v="2"/>
    <s v="EE_Enefit"/>
    <x v="16"/>
    <n v="6.7156619979650802"/>
    <n v="1.8654616661014101"/>
  </r>
  <r>
    <x v="0"/>
    <x v="18"/>
    <x v="1"/>
    <x v="2"/>
    <s v="EE_Enefit"/>
    <x v="17"/>
    <n v="9.1244895875632395"/>
    <n v="2.5345804409897901"/>
  </r>
  <r>
    <x v="0"/>
    <x v="18"/>
    <x v="1"/>
    <x v="2"/>
    <s v="EE_Enefit"/>
    <x v="18"/>
    <n v="24.3419652029826"/>
    <n v="6.7616570008285004"/>
  </r>
  <r>
    <x v="0"/>
    <x v="18"/>
    <x v="1"/>
    <x v="2"/>
    <s v="EE_Enefit"/>
    <x v="19"/>
    <n v="8.1139884009941898"/>
    <n v="2.2538856669428302"/>
  </r>
  <r>
    <x v="0"/>
    <x v="18"/>
    <x v="1"/>
    <x v="2"/>
    <s v="EE_Enefit"/>
    <x v="20"/>
    <n v="21.431396138420201"/>
    <n v="5.9531655940056103"/>
  </r>
  <r>
    <x v="0"/>
    <x v="18"/>
    <x v="1"/>
    <x v="2"/>
    <s v="EE_Enefit"/>
    <x v="28"/>
    <n v="41.38758"/>
    <n v="11.496549999999999"/>
  </r>
  <r>
    <x v="0"/>
    <x v="18"/>
    <x v="1"/>
    <x v="2"/>
    <s v="EE_Enefit"/>
    <x v="21"/>
    <n v="48.24"/>
    <n v="13.4"/>
  </r>
  <r>
    <x v="0"/>
    <x v="18"/>
    <x v="1"/>
    <x v="2"/>
    <s v="EE_Enefit"/>
    <x v="22"/>
    <n v="67.680000000000007"/>
    <n v="18.8"/>
  </r>
  <r>
    <x v="0"/>
    <x v="18"/>
    <x v="1"/>
    <x v="2"/>
    <s v="EE_Enefit"/>
    <x v="23"/>
    <n v="0.31515896120488701"/>
    <n v="8.7544155890246306E-2"/>
  </r>
  <r>
    <x v="0"/>
    <x v="18"/>
    <x v="1"/>
    <x v="2"/>
    <s v="EE_Enefit"/>
    <x v="24"/>
    <n v="19.174223581093901"/>
    <n v="5.32617321697054"/>
  </r>
  <r>
    <x v="0"/>
    <x v="18"/>
    <x v="1"/>
    <x v="2"/>
    <s v="EE_Enefit"/>
    <x v="25"/>
    <n v="25.064747068787099"/>
    <n v="6.9624297413297498"/>
  </r>
  <r>
    <x v="0"/>
    <x v="18"/>
    <x v="1"/>
    <x v="2"/>
    <s v="EE_Enefit"/>
    <x v="26"/>
    <n v="32.516643167392601"/>
    <n v="9.03240087983127"/>
  </r>
  <r>
    <x v="0"/>
    <x v="18"/>
    <x v="1"/>
    <x v="2"/>
    <s v="EE_Enefit"/>
    <x v="27"/>
    <n v="20.163995508318798"/>
    <n v="5.6011098634218799"/>
  </r>
  <r>
    <x v="0"/>
    <x v="18"/>
    <x v="1"/>
    <x v="2"/>
    <s v="EE_Industry"/>
    <x v="1"/>
    <n v="35.989199999999997"/>
    <n v="9.9969999999999999"/>
  </r>
  <r>
    <x v="0"/>
    <x v="18"/>
    <x v="1"/>
    <x v="2"/>
    <s v="EE_Industry"/>
    <x v="2"/>
    <n v="2.52"/>
    <n v="0.7"/>
  </r>
  <r>
    <x v="0"/>
    <x v="18"/>
    <x v="1"/>
    <x v="2"/>
    <s v="EE_Industry"/>
    <x v="0"/>
    <n v="42.692399999999999"/>
    <n v="11.859"/>
  </r>
  <r>
    <x v="0"/>
    <x v="18"/>
    <x v="1"/>
    <x v="2"/>
    <s v="EE_Industry"/>
    <x v="3"/>
    <n v="51.633543144067197"/>
    <n v="14.342650873352"/>
  </r>
  <r>
    <x v="0"/>
    <x v="18"/>
    <x v="1"/>
    <x v="2"/>
    <s v="EE_Industry"/>
    <x v="4"/>
    <n v="15.1696304888152"/>
    <n v="4.21378624689312"/>
  </r>
  <r>
    <x v="0"/>
    <x v="18"/>
    <x v="1"/>
    <x v="2"/>
    <s v="EE_Industry"/>
    <x v="5"/>
    <n v="15.1696304888152"/>
    <n v="4.21378624689312"/>
  </r>
  <r>
    <x v="0"/>
    <x v="18"/>
    <x v="1"/>
    <x v="2"/>
    <s v="EE_Industry"/>
    <x v="6"/>
    <n v="29.476231795214598"/>
    <n v="8.1878421653373898"/>
  </r>
  <r>
    <x v="0"/>
    <x v="18"/>
    <x v="1"/>
    <x v="2"/>
    <s v="EE_Industry"/>
    <x v="7"/>
    <n v="57.838935220261199"/>
    <n v="16.066370894517"/>
  </r>
  <r>
    <x v="0"/>
    <x v="18"/>
    <x v="1"/>
    <x v="2"/>
    <s v="EE_Industry"/>
    <x v="8"/>
    <n v="57.838935220261199"/>
    <n v="16.066370894517"/>
  </r>
  <r>
    <x v="0"/>
    <x v="18"/>
    <x v="1"/>
    <x v="2"/>
    <s v="EE_Industry"/>
    <x v="9"/>
    <n v="51.506187241093599"/>
    <n v="14.3072742336371"/>
  </r>
  <r>
    <x v="0"/>
    <x v="18"/>
    <x v="1"/>
    <x v="2"/>
    <s v="EE_Industry"/>
    <x v="10"/>
    <n v="72.320331400165799"/>
    <n v="20.088980944490501"/>
  </r>
  <r>
    <x v="0"/>
    <x v="18"/>
    <x v="1"/>
    <x v="2"/>
    <s v="EE_Industry"/>
    <x v="11"/>
    <n v="8.1139884009941898"/>
    <n v="2.2538856669428302"/>
  </r>
  <r>
    <x v="0"/>
    <x v="18"/>
    <x v="1"/>
    <x v="2"/>
    <s v="EE_Industry"/>
    <x v="12"/>
    <n v="9.7995028997514597E-2"/>
    <n v="2.72208413881985E-2"/>
  </r>
  <r>
    <x v="0"/>
    <x v="18"/>
    <x v="1"/>
    <x v="2"/>
    <s v="EE_Industry"/>
    <x v="13"/>
    <n v="24.3419652029826"/>
    <n v="6.7616570008285004"/>
  </r>
  <r>
    <x v="0"/>
    <x v="18"/>
    <x v="1"/>
    <x v="2"/>
    <s v="EE_Industry"/>
    <x v="14"/>
    <n v="24.3419652029826"/>
    <n v="6.7616570008285004"/>
  </r>
  <r>
    <x v="0"/>
    <x v="18"/>
    <x v="1"/>
    <x v="2"/>
    <s v="EE_Industry"/>
    <x v="15"/>
    <n v="1.65807589063794"/>
    <n v="0.46057663628831802"/>
  </r>
  <r>
    <x v="0"/>
    <x v="18"/>
    <x v="1"/>
    <x v="2"/>
    <s v="EE_Industry"/>
    <x v="16"/>
    <n v="6.7156619979650802"/>
    <n v="1.8654616661014101"/>
  </r>
  <r>
    <x v="0"/>
    <x v="18"/>
    <x v="1"/>
    <x v="2"/>
    <s v="EE_Industry"/>
    <x v="17"/>
    <n v="9.1244895875632395"/>
    <n v="2.5345804409897901"/>
  </r>
  <r>
    <x v="0"/>
    <x v="18"/>
    <x v="1"/>
    <x v="2"/>
    <s v="EE_Industry"/>
    <x v="18"/>
    <n v="24.3419652029826"/>
    <n v="6.7616570008285004"/>
  </r>
  <r>
    <x v="0"/>
    <x v="18"/>
    <x v="1"/>
    <x v="2"/>
    <s v="EE_Industry"/>
    <x v="19"/>
    <n v="8.1139884009941898"/>
    <n v="2.2538856669428302"/>
  </r>
  <r>
    <x v="0"/>
    <x v="18"/>
    <x v="1"/>
    <x v="2"/>
    <s v="EE_Industry"/>
    <x v="20"/>
    <n v="21.431396138420201"/>
    <n v="5.9531655940056103"/>
  </r>
  <r>
    <x v="0"/>
    <x v="18"/>
    <x v="1"/>
    <x v="2"/>
    <s v="EE_Industry"/>
    <x v="28"/>
    <n v="41.38758"/>
    <n v="11.496549999999999"/>
  </r>
  <r>
    <x v="0"/>
    <x v="18"/>
    <x v="1"/>
    <x v="2"/>
    <s v="EE_Industry"/>
    <x v="21"/>
    <n v="48.24"/>
    <n v="13.4"/>
  </r>
  <r>
    <x v="0"/>
    <x v="18"/>
    <x v="1"/>
    <x v="2"/>
    <s v="EE_Industry"/>
    <x v="22"/>
    <n v="67.680000000000007"/>
    <n v="18.8"/>
  </r>
  <r>
    <x v="0"/>
    <x v="18"/>
    <x v="1"/>
    <x v="2"/>
    <s v="EE_Industry"/>
    <x v="23"/>
    <n v="0.31515896120488701"/>
    <n v="8.7544155890246306E-2"/>
  </r>
  <r>
    <x v="0"/>
    <x v="18"/>
    <x v="1"/>
    <x v="2"/>
    <s v="EE_Industry"/>
    <x v="24"/>
    <n v="19.174223581093901"/>
    <n v="5.32617321697054"/>
  </r>
  <r>
    <x v="0"/>
    <x v="18"/>
    <x v="1"/>
    <x v="2"/>
    <s v="EE_Industry"/>
    <x v="25"/>
    <n v="25.064747068787099"/>
    <n v="6.9624297413297498"/>
  </r>
  <r>
    <x v="0"/>
    <x v="18"/>
    <x v="1"/>
    <x v="2"/>
    <s v="EE_Industry"/>
    <x v="26"/>
    <n v="32.516643167392601"/>
    <n v="9.03240087983127"/>
  </r>
  <r>
    <x v="0"/>
    <x v="18"/>
    <x v="1"/>
    <x v="2"/>
    <s v="EE_Industry"/>
    <x v="27"/>
    <n v="20.163995508318798"/>
    <n v="5.6011098634218799"/>
  </r>
  <r>
    <x v="0"/>
    <x v="18"/>
    <x v="1"/>
    <x v="2"/>
    <s v="EE_Kohtla_Jarve"/>
    <x v="1"/>
    <n v="35.989199999999997"/>
    <n v="9.9969999999999999"/>
  </r>
  <r>
    <x v="0"/>
    <x v="18"/>
    <x v="1"/>
    <x v="2"/>
    <s v="EE_Kohtla_Jarve"/>
    <x v="2"/>
    <n v="2.52"/>
    <n v="0.7"/>
  </r>
  <r>
    <x v="0"/>
    <x v="18"/>
    <x v="1"/>
    <x v="2"/>
    <s v="EE_Kohtla_Jarve"/>
    <x v="0"/>
    <n v="42.692399999999999"/>
    <n v="11.859"/>
  </r>
  <r>
    <x v="0"/>
    <x v="18"/>
    <x v="1"/>
    <x v="2"/>
    <s v="EE_Kohtla_Jarve"/>
    <x v="3"/>
    <n v="51.633543144067197"/>
    <n v="14.342650873352"/>
  </r>
  <r>
    <x v="0"/>
    <x v="18"/>
    <x v="1"/>
    <x v="2"/>
    <s v="EE_Kohtla_Jarve"/>
    <x v="4"/>
    <n v="15.1696304888152"/>
    <n v="4.21378624689312"/>
  </r>
  <r>
    <x v="0"/>
    <x v="18"/>
    <x v="1"/>
    <x v="2"/>
    <s v="EE_Kohtla_Jarve"/>
    <x v="5"/>
    <n v="15.1696304888152"/>
    <n v="4.21378624689312"/>
  </r>
  <r>
    <x v="0"/>
    <x v="18"/>
    <x v="1"/>
    <x v="2"/>
    <s v="EE_Kohtla_Jarve"/>
    <x v="6"/>
    <n v="29.476231795214598"/>
    <n v="8.1878421653373898"/>
  </r>
  <r>
    <x v="0"/>
    <x v="18"/>
    <x v="1"/>
    <x v="2"/>
    <s v="EE_Kohtla_Jarve"/>
    <x v="7"/>
    <n v="57.838935220261199"/>
    <n v="16.066370894517"/>
  </r>
  <r>
    <x v="0"/>
    <x v="18"/>
    <x v="1"/>
    <x v="2"/>
    <s v="EE_Kohtla_Jarve"/>
    <x v="8"/>
    <n v="57.838935220261199"/>
    <n v="16.066370894517"/>
  </r>
  <r>
    <x v="0"/>
    <x v="18"/>
    <x v="1"/>
    <x v="2"/>
    <s v="EE_Kohtla_Jarve"/>
    <x v="9"/>
    <n v="51.506187241093599"/>
    <n v="14.3072742336371"/>
  </r>
  <r>
    <x v="0"/>
    <x v="18"/>
    <x v="1"/>
    <x v="2"/>
    <s v="EE_Kohtla_Jarve"/>
    <x v="10"/>
    <n v="72.320331400165799"/>
    <n v="20.088980944490501"/>
  </r>
  <r>
    <x v="0"/>
    <x v="18"/>
    <x v="1"/>
    <x v="2"/>
    <s v="EE_Kohtla_Jarve"/>
    <x v="11"/>
    <n v="8.1139884009941898"/>
    <n v="2.2538856669428302"/>
  </r>
  <r>
    <x v="0"/>
    <x v="18"/>
    <x v="1"/>
    <x v="2"/>
    <s v="EE_Kohtla_Jarve"/>
    <x v="12"/>
    <n v="9.7995028997514597E-2"/>
    <n v="2.72208413881985E-2"/>
  </r>
  <r>
    <x v="0"/>
    <x v="18"/>
    <x v="1"/>
    <x v="2"/>
    <s v="EE_Kohtla_Jarve"/>
    <x v="13"/>
    <n v="24.3419652029826"/>
    <n v="6.7616570008285004"/>
  </r>
  <r>
    <x v="0"/>
    <x v="18"/>
    <x v="1"/>
    <x v="2"/>
    <s v="EE_Kohtla_Jarve"/>
    <x v="14"/>
    <n v="24.3419652029826"/>
    <n v="6.7616570008285004"/>
  </r>
  <r>
    <x v="0"/>
    <x v="18"/>
    <x v="1"/>
    <x v="2"/>
    <s v="EE_Kohtla_Jarve"/>
    <x v="15"/>
    <n v="1.65807589063794"/>
    <n v="0.46057663628831802"/>
  </r>
  <r>
    <x v="0"/>
    <x v="18"/>
    <x v="1"/>
    <x v="2"/>
    <s v="EE_Kohtla_Jarve"/>
    <x v="16"/>
    <n v="6.7156619979650802"/>
    <n v="1.8654616661014101"/>
  </r>
  <r>
    <x v="0"/>
    <x v="18"/>
    <x v="1"/>
    <x v="2"/>
    <s v="EE_Kohtla_Jarve"/>
    <x v="17"/>
    <n v="9.1244895875632395"/>
    <n v="2.5345804409897901"/>
  </r>
  <r>
    <x v="0"/>
    <x v="18"/>
    <x v="1"/>
    <x v="2"/>
    <s v="EE_Kohtla_Jarve"/>
    <x v="18"/>
    <n v="24.3419652029826"/>
    <n v="6.7616570008285004"/>
  </r>
  <r>
    <x v="0"/>
    <x v="18"/>
    <x v="1"/>
    <x v="2"/>
    <s v="EE_Kohtla_Jarve"/>
    <x v="19"/>
    <n v="8.1139884009941898"/>
    <n v="2.2538856669428302"/>
  </r>
  <r>
    <x v="0"/>
    <x v="18"/>
    <x v="1"/>
    <x v="2"/>
    <s v="EE_Kohtla_Jarve"/>
    <x v="20"/>
    <n v="21.431396138420201"/>
    <n v="5.9531655940056103"/>
  </r>
  <r>
    <x v="0"/>
    <x v="18"/>
    <x v="1"/>
    <x v="2"/>
    <s v="EE_Kohtla_Jarve"/>
    <x v="28"/>
    <n v="41.38758"/>
    <n v="11.496549999999999"/>
  </r>
  <r>
    <x v="0"/>
    <x v="18"/>
    <x v="1"/>
    <x v="2"/>
    <s v="EE_Kohtla_Jarve"/>
    <x v="21"/>
    <n v="48.24"/>
    <n v="13.4"/>
  </r>
  <r>
    <x v="0"/>
    <x v="18"/>
    <x v="1"/>
    <x v="2"/>
    <s v="EE_Kohtla_Jarve"/>
    <x v="22"/>
    <n v="67.680000000000007"/>
    <n v="18.8"/>
  </r>
  <r>
    <x v="0"/>
    <x v="18"/>
    <x v="1"/>
    <x v="2"/>
    <s v="EE_Kohtla_Jarve"/>
    <x v="23"/>
    <n v="0.31515896120488701"/>
    <n v="8.7544155890246306E-2"/>
  </r>
  <r>
    <x v="0"/>
    <x v="18"/>
    <x v="1"/>
    <x v="2"/>
    <s v="EE_Kohtla_Jarve"/>
    <x v="24"/>
    <n v="19.174223581093901"/>
    <n v="5.32617321697054"/>
  </r>
  <r>
    <x v="0"/>
    <x v="18"/>
    <x v="1"/>
    <x v="2"/>
    <s v="EE_Kohtla_Jarve"/>
    <x v="25"/>
    <n v="25.064747068787099"/>
    <n v="6.9624297413297498"/>
  </r>
  <r>
    <x v="0"/>
    <x v="18"/>
    <x v="1"/>
    <x v="2"/>
    <s v="EE_Kohtla_Jarve"/>
    <x v="26"/>
    <n v="32.516643167392601"/>
    <n v="9.03240087983127"/>
  </r>
  <r>
    <x v="0"/>
    <x v="18"/>
    <x v="1"/>
    <x v="2"/>
    <s v="EE_Kohtla_Jarve"/>
    <x v="27"/>
    <n v="20.163995508318798"/>
    <n v="5.6011098634218799"/>
  </r>
  <r>
    <x v="0"/>
    <x v="18"/>
    <x v="1"/>
    <x v="2"/>
    <s v="EE_Narva"/>
    <x v="1"/>
    <n v="35.989199999999997"/>
    <n v="9.9969999999999999"/>
  </r>
  <r>
    <x v="0"/>
    <x v="18"/>
    <x v="1"/>
    <x v="2"/>
    <s v="EE_Narva"/>
    <x v="2"/>
    <n v="2.52"/>
    <n v="0.7"/>
  </r>
  <r>
    <x v="0"/>
    <x v="18"/>
    <x v="1"/>
    <x v="2"/>
    <s v="EE_Narva"/>
    <x v="0"/>
    <n v="42.692399999999999"/>
    <n v="11.859"/>
  </r>
  <r>
    <x v="0"/>
    <x v="18"/>
    <x v="1"/>
    <x v="2"/>
    <s v="EE_Narva"/>
    <x v="3"/>
    <n v="51.633543144067197"/>
    <n v="14.342650873352"/>
  </r>
  <r>
    <x v="0"/>
    <x v="18"/>
    <x v="1"/>
    <x v="2"/>
    <s v="EE_Narva"/>
    <x v="4"/>
    <n v="15.1696304888152"/>
    <n v="4.21378624689312"/>
  </r>
  <r>
    <x v="0"/>
    <x v="18"/>
    <x v="1"/>
    <x v="2"/>
    <s v="EE_Narva"/>
    <x v="5"/>
    <n v="15.1696304888152"/>
    <n v="4.21378624689312"/>
  </r>
  <r>
    <x v="0"/>
    <x v="18"/>
    <x v="1"/>
    <x v="2"/>
    <s v="EE_Narva"/>
    <x v="6"/>
    <n v="29.476231795214598"/>
    <n v="8.1878421653373898"/>
  </r>
  <r>
    <x v="0"/>
    <x v="18"/>
    <x v="1"/>
    <x v="2"/>
    <s v="EE_Narva"/>
    <x v="7"/>
    <n v="57.838935220261199"/>
    <n v="16.066370894517"/>
  </r>
  <r>
    <x v="0"/>
    <x v="18"/>
    <x v="1"/>
    <x v="2"/>
    <s v="EE_Narva"/>
    <x v="8"/>
    <n v="57.838935220261199"/>
    <n v="16.066370894517"/>
  </r>
  <r>
    <x v="0"/>
    <x v="18"/>
    <x v="1"/>
    <x v="2"/>
    <s v="EE_Narva"/>
    <x v="9"/>
    <n v="51.506187241093599"/>
    <n v="14.3072742336371"/>
  </r>
  <r>
    <x v="0"/>
    <x v="18"/>
    <x v="1"/>
    <x v="2"/>
    <s v="EE_Narva"/>
    <x v="10"/>
    <n v="72.320331400165799"/>
    <n v="20.088980944490501"/>
  </r>
  <r>
    <x v="0"/>
    <x v="18"/>
    <x v="1"/>
    <x v="2"/>
    <s v="EE_Narva"/>
    <x v="11"/>
    <n v="8.1139884009941898"/>
    <n v="2.2538856669428302"/>
  </r>
  <r>
    <x v="0"/>
    <x v="18"/>
    <x v="1"/>
    <x v="2"/>
    <s v="EE_Narva"/>
    <x v="12"/>
    <n v="9.7995028997514597E-2"/>
    <n v="2.72208413881985E-2"/>
  </r>
  <r>
    <x v="0"/>
    <x v="18"/>
    <x v="1"/>
    <x v="2"/>
    <s v="EE_Narva"/>
    <x v="13"/>
    <n v="24.3419652029826"/>
    <n v="6.7616570008285004"/>
  </r>
  <r>
    <x v="0"/>
    <x v="18"/>
    <x v="1"/>
    <x v="2"/>
    <s v="EE_Narva"/>
    <x v="14"/>
    <n v="24.3419652029826"/>
    <n v="6.7616570008285004"/>
  </r>
  <r>
    <x v="0"/>
    <x v="18"/>
    <x v="1"/>
    <x v="2"/>
    <s v="EE_Narva"/>
    <x v="15"/>
    <n v="1.65807589063794"/>
    <n v="0.46057663628831802"/>
  </r>
  <r>
    <x v="0"/>
    <x v="18"/>
    <x v="1"/>
    <x v="2"/>
    <s v="EE_Narva"/>
    <x v="16"/>
    <n v="6.7156619979650802"/>
    <n v="1.8654616661014101"/>
  </r>
  <r>
    <x v="0"/>
    <x v="18"/>
    <x v="1"/>
    <x v="2"/>
    <s v="EE_Narva"/>
    <x v="17"/>
    <n v="9.1244895875632395"/>
    <n v="2.5345804409897901"/>
  </r>
  <r>
    <x v="0"/>
    <x v="18"/>
    <x v="1"/>
    <x v="2"/>
    <s v="EE_Narva"/>
    <x v="18"/>
    <n v="24.3419652029826"/>
    <n v="6.7616570008285004"/>
  </r>
  <r>
    <x v="0"/>
    <x v="18"/>
    <x v="1"/>
    <x v="2"/>
    <s v="EE_Narva"/>
    <x v="19"/>
    <n v="8.1139884009941898"/>
    <n v="2.2538856669428302"/>
  </r>
  <r>
    <x v="0"/>
    <x v="18"/>
    <x v="1"/>
    <x v="2"/>
    <s v="EE_Narva"/>
    <x v="20"/>
    <n v="21.431396138420201"/>
    <n v="5.9531655940056103"/>
  </r>
  <r>
    <x v="0"/>
    <x v="18"/>
    <x v="1"/>
    <x v="2"/>
    <s v="EE_Narva"/>
    <x v="28"/>
    <n v="41.38758"/>
    <n v="11.496549999999999"/>
  </r>
  <r>
    <x v="0"/>
    <x v="18"/>
    <x v="1"/>
    <x v="2"/>
    <s v="EE_Narva"/>
    <x v="21"/>
    <n v="48.24"/>
    <n v="13.4"/>
  </r>
  <r>
    <x v="0"/>
    <x v="18"/>
    <x v="1"/>
    <x v="2"/>
    <s v="EE_Narva"/>
    <x v="22"/>
    <n v="67.680000000000007"/>
    <n v="18.8"/>
  </r>
  <r>
    <x v="0"/>
    <x v="18"/>
    <x v="1"/>
    <x v="2"/>
    <s v="EE_Narva"/>
    <x v="23"/>
    <n v="0.31515896120488701"/>
    <n v="8.7544155890246306E-2"/>
  </r>
  <r>
    <x v="0"/>
    <x v="18"/>
    <x v="1"/>
    <x v="2"/>
    <s v="EE_Narva"/>
    <x v="24"/>
    <n v="19.174223581093901"/>
    <n v="5.32617321697054"/>
  </r>
  <r>
    <x v="0"/>
    <x v="18"/>
    <x v="1"/>
    <x v="2"/>
    <s v="EE_Narva"/>
    <x v="25"/>
    <n v="25.064747068787099"/>
    <n v="6.9624297413297498"/>
  </r>
  <r>
    <x v="0"/>
    <x v="18"/>
    <x v="1"/>
    <x v="2"/>
    <s v="EE_Narva"/>
    <x v="26"/>
    <n v="32.516643167392601"/>
    <n v="9.03240087983127"/>
  </r>
  <r>
    <x v="0"/>
    <x v="18"/>
    <x v="1"/>
    <x v="2"/>
    <s v="EE_Narva"/>
    <x v="27"/>
    <n v="20.163995508318798"/>
    <n v="5.6011098634218799"/>
  </r>
  <r>
    <x v="0"/>
    <x v="18"/>
    <x v="1"/>
    <x v="2"/>
    <s v="EE_OFFSHORE"/>
    <x v="1"/>
    <n v="35.989199999999997"/>
    <n v="9.9969999999999999"/>
  </r>
  <r>
    <x v="0"/>
    <x v="18"/>
    <x v="1"/>
    <x v="2"/>
    <s v="EE_OFFSHORE"/>
    <x v="2"/>
    <n v="2.52"/>
    <n v="0.7"/>
  </r>
  <r>
    <x v="0"/>
    <x v="18"/>
    <x v="1"/>
    <x v="2"/>
    <s v="EE_OFFSHORE"/>
    <x v="0"/>
    <n v="42.692399999999999"/>
    <n v="11.859"/>
  </r>
  <r>
    <x v="0"/>
    <x v="18"/>
    <x v="1"/>
    <x v="2"/>
    <s v="EE_OFFSHORE"/>
    <x v="3"/>
    <n v="51.633543144067197"/>
    <n v="14.342650873352"/>
  </r>
  <r>
    <x v="0"/>
    <x v="18"/>
    <x v="1"/>
    <x v="2"/>
    <s v="EE_OFFSHORE"/>
    <x v="4"/>
    <n v="15.1696304888152"/>
    <n v="4.21378624689312"/>
  </r>
  <r>
    <x v="0"/>
    <x v="18"/>
    <x v="1"/>
    <x v="2"/>
    <s v="EE_OFFSHORE"/>
    <x v="5"/>
    <n v="15.1696304888152"/>
    <n v="4.21378624689312"/>
  </r>
  <r>
    <x v="0"/>
    <x v="18"/>
    <x v="1"/>
    <x v="2"/>
    <s v="EE_OFFSHORE"/>
    <x v="6"/>
    <n v="29.476231795214598"/>
    <n v="8.1878421653373898"/>
  </r>
  <r>
    <x v="0"/>
    <x v="18"/>
    <x v="1"/>
    <x v="2"/>
    <s v="EE_OFFSHORE"/>
    <x v="7"/>
    <n v="57.838935220261199"/>
    <n v="16.066370894517"/>
  </r>
  <r>
    <x v="0"/>
    <x v="18"/>
    <x v="1"/>
    <x v="2"/>
    <s v="EE_OFFSHORE"/>
    <x v="8"/>
    <n v="57.838935220261199"/>
    <n v="16.066370894517"/>
  </r>
  <r>
    <x v="0"/>
    <x v="18"/>
    <x v="1"/>
    <x v="2"/>
    <s v="EE_OFFSHORE"/>
    <x v="9"/>
    <n v="51.506187241093599"/>
    <n v="14.3072742336371"/>
  </r>
  <r>
    <x v="0"/>
    <x v="18"/>
    <x v="1"/>
    <x v="2"/>
    <s v="EE_OFFSHORE"/>
    <x v="10"/>
    <n v="72.320331400165799"/>
    <n v="20.088980944490501"/>
  </r>
  <r>
    <x v="0"/>
    <x v="18"/>
    <x v="1"/>
    <x v="2"/>
    <s v="EE_OFFSHORE"/>
    <x v="11"/>
    <n v="8.1139884009941898"/>
    <n v="2.2538856669428302"/>
  </r>
  <r>
    <x v="0"/>
    <x v="18"/>
    <x v="1"/>
    <x v="2"/>
    <s v="EE_OFFSHORE"/>
    <x v="12"/>
    <n v="9.7995028997514597E-2"/>
    <n v="2.72208413881985E-2"/>
  </r>
  <r>
    <x v="0"/>
    <x v="18"/>
    <x v="1"/>
    <x v="2"/>
    <s v="EE_OFFSHORE"/>
    <x v="13"/>
    <n v="24.3419652029826"/>
    <n v="6.7616570008285004"/>
  </r>
  <r>
    <x v="0"/>
    <x v="18"/>
    <x v="1"/>
    <x v="2"/>
    <s v="EE_OFFSHORE"/>
    <x v="14"/>
    <n v="24.3419652029826"/>
    <n v="6.7616570008285004"/>
  </r>
  <r>
    <x v="0"/>
    <x v="18"/>
    <x v="1"/>
    <x v="2"/>
    <s v="EE_OFFSHORE"/>
    <x v="15"/>
    <n v="1.65807589063794"/>
    <n v="0.46057663628831802"/>
  </r>
  <r>
    <x v="0"/>
    <x v="18"/>
    <x v="1"/>
    <x v="2"/>
    <s v="EE_OFFSHORE"/>
    <x v="16"/>
    <n v="6.7156619979650802"/>
    <n v="1.8654616661014101"/>
  </r>
  <r>
    <x v="0"/>
    <x v="18"/>
    <x v="1"/>
    <x v="2"/>
    <s v="EE_OFFSHORE"/>
    <x v="17"/>
    <n v="9.1244895875632395"/>
    <n v="2.5345804409897901"/>
  </r>
  <r>
    <x v="0"/>
    <x v="18"/>
    <x v="1"/>
    <x v="2"/>
    <s v="EE_OFFSHORE"/>
    <x v="18"/>
    <n v="24.3419652029826"/>
    <n v="6.7616570008285004"/>
  </r>
  <r>
    <x v="0"/>
    <x v="18"/>
    <x v="1"/>
    <x v="2"/>
    <s v="EE_OFFSHORE"/>
    <x v="19"/>
    <n v="8.1139884009941898"/>
    <n v="2.2538856669428302"/>
  </r>
  <r>
    <x v="0"/>
    <x v="18"/>
    <x v="1"/>
    <x v="2"/>
    <s v="EE_OFFSHORE"/>
    <x v="20"/>
    <n v="21.431396138420201"/>
    <n v="5.9531655940056103"/>
  </r>
  <r>
    <x v="0"/>
    <x v="18"/>
    <x v="1"/>
    <x v="2"/>
    <s v="EE_OFFSHORE"/>
    <x v="28"/>
    <n v="41.38758"/>
    <n v="11.496549999999999"/>
  </r>
  <r>
    <x v="0"/>
    <x v="18"/>
    <x v="1"/>
    <x v="2"/>
    <s v="EE_OFFSHORE"/>
    <x v="21"/>
    <n v="48.24"/>
    <n v="13.4"/>
  </r>
  <r>
    <x v="0"/>
    <x v="18"/>
    <x v="1"/>
    <x v="2"/>
    <s v="EE_OFFSHORE"/>
    <x v="22"/>
    <n v="67.680000000000007"/>
    <n v="18.8"/>
  </r>
  <r>
    <x v="0"/>
    <x v="18"/>
    <x v="1"/>
    <x v="2"/>
    <s v="EE_OFFSHORE"/>
    <x v="23"/>
    <n v="0.31515896120488701"/>
    <n v="8.7544155890246306E-2"/>
  </r>
  <r>
    <x v="0"/>
    <x v="18"/>
    <x v="1"/>
    <x v="2"/>
    <s v="EE_OFFSHORE"/>
    <x v="24"/>
    <n v="19.174223581093901"/>
    <n v="5.32617321697054"/>
  </r>
  <r>
    <x v="0"/>
    <x v="18"/>
    <x v="1"/>
    <x v="2"/>
    <s v="EE_OFFSHORE"/>
    <x v="25"/>
    <n v="25.064747068787099"/>
    <n v="6.9624297413297498"/>
  </r>
  <r>
    <x v="0"/>
    <x v="18"/>
    <x v="1"/>
    <x v="2"/>
    <s v="EE_OFFSHORE"/>
    <x v="26"/>
    <n v="32.516643167392601"/>
    <n v="9.03240087983127"/>
  </r>
  <r>
    <x v="0"/>
    <x v="18"/>
    <x v="1"/>
    <x v="2"/>
    <s v="EE_OFFSHORE"/>
    <x v="27"/>
    <n v="20.163995508318798"/>
    <n v="5.6011098634218799"/>
  </r>
  <r>
    <x v="0"/>
    <x v="18"/>
    <x v="1"/>
    <x v="2"/>
    <s v="EE_Parnu"/>
    <x v="1"/>
    <n v="35.989199999999997"/>
    <n v="9.9969999999999999"/>
  </r>
  <r>
    <x v="0"/>
    <x v="18"/>
    <x v="1"/>
    <x v="2"/>
    <s v="EE_Parnu"/>
    <x v="2"/>
    <n v="2.52"/>
    <n v="0.7"/>
  </r>
  <r>
    <x v="0"/>
    <x v="18"/>
    <x v="1"/>
    <x v="2"/>
    <s v="EE_Parnu"/>
    <x v="0"/>
    <n v="42.692399999999999"/>
    <n v="11.859"/>
  </r>
  <r>
    <x v="0"/>
    <x v="18"/>
    <x v="1"/>
    <x v="2"/>
    <s v="EE_Parnu"/>
    <x v="3"/>
    <n v="51.633543144067197"/>
    <n v="14.342650873352"/>
  </r>
  <r>
    <x v="0"/>
    <x v="18"/>
    <x v="1"/>
    <x v="2"/>
    <s v="EE_Parnu"/>
    <x v="4"/>
    <n v="15.1696304888152"/>
    <n v="4.21378624689312"/>
  </r>
  <r>
    <x v="0"/>
    <x v="18"/>
    <x v="1"/>
    <x v="2"/>
    <s v="EE_Parnu"/>
    <x v="5"/>
    <n v="15.1696304888152"/>
    <n v="4.21378624689312"/>
  </r>
  <r>
    <x v="0"/>
    <x v="18"/>
    <x v="1"/>
    <x v="2"/>
    <s v="EE_Parnu"/>
    <x v="6"/>
    <n v="29.476231795214598"/>
    <n v="8.1878421653373898"/>
  </r>
  <r>
    <x v="0"/>
    <x v="18"/>
    <x v="1"/>
    <x v="2"/>
    <s v="EE_Parnu"/>
    <x v="7"/>
    <n v="57.838935220261199"/>
    <n v="16.066370894517"/>
  </r>
  <r>
    <x v="0"/>
    <x v="18"/>
    <x v="1"/>
    <x v="2"/>
    <s v="EE_Parnu"/>
    <x v="8"/>
    <n v="57.838935220261199"/>
    <n v="16.066370894517"/>
  </r>
  <r>
    <x v="0"/>
    <x v="18"/>
    <x v="1"/>
    <x v="2"/>
    <s v="EE_Parnu"/>
    <x v="9"/>
    <n v="51.506187241093599"/>
    <n v="14.3072742336371"/>
  </r>
  <r>
    <x v="0"/>
    <x v="18"/>
    <x v="1"/>
    <x v="2"/>
    <s v="EE_Parnu"/>
    <x v="10"/>
    <n v="72.320331400165799"/>
    <n v="20.088980944490501"/>
  </r>
  <r>
    <x v="0"/>
    <x v="18"/>
    <x v="1"/>
    <x v="2"/>
    <s v="EE_Parnu"/>
    <x v="11"/>
    <n v="8.1139884009941898"/>
    <n v="2.2538856669428302"/>
  </r>
  <r>
    <x v="0"/>
    <x v="18"/>
    <x v="1"/>
    <x v="2"/>
    <s v="EE_Parnu"/>
    <x v="12"/>
    <n v="9.7995028997514597E-2"/>
    <n v="2.72208413881985E-2"/>
  </r>
  <r>
    <x v="0"/>
    <x v="18"/>
    <x v="1"/>
    <x v="2"/>
    <s v="EE_Parnu"/>
    <x v="13"/>
    <n v="24.3419652029826"/>
    <n v="6.7616570008285004"/>
  </r>
  <r>
    <x v="0"/>
    <x v="18"/>
    <x v="1"/>
    <x v="2"/>
    <s v="EE_Parnu"/>
    <x v="14"/>
    <n v="24.3419652029826"/>
    <n v="6.7616570008285004"/>
  </r>
  <r>
    <x v="0"/>
    <x v="18"/>
    <x v="1"/>
    <x v="2"/>
    <s v="EE_Parnu"/>
    <x v="15"/>
    <n v="1.65807589063794"/>
    <n v="0.46057663628831802"/>
  </r>
  <r>
    <x v="0"/>
    <x v="18"/>
    <x v="1"/>
    <x v="2"/>
    <s v="EE_Parnu"/>
    <x v="16"/>
    <n v="6.7156619979650802"/>
    <n v="1.8654616661014101"/>
  </r>
  <r>
    <x v="0"/>
    <x v="18"/>
    <x v="1"/>
    <x v="2"/>
    <s v="EE_Parnu"/>
    <x v="17"/>
    <n v="9.1244895875632395"/>
    <n v="2.5345804409897901"/>
  </r>
  <r>
    <x v="0"/>
    <x v="18"/>
    <x v="1"/>
    <x v="2"/>
    <s v="EE_Parnu"/>
    <x v="18"/>
    <n v="24.3419652029826"/>
    <n v="6.7616570008285004"/>
  </r>
  <r>
    <x v="0"/>
    <x v="18"/>
    <x v="1"/>
    <x v="2"/>
    <s v="EE_Parnu"/>
    <x v="19"/>
    <n v="8.1139884009941898"/>
    <n v="2.2538856669428302"/>
  </r>
  <r>
    <x v="0"/>
    <x v="18"/>
    <x v="1"/>
    <x v="2"/>
    <s v="EE_Parnu"/>
    <x v="20"/>
    <n v="21.431396138420201"/>
    <n v="5.9531655940056103"/>
  </r>
  <r>
    <x v="0"/>
    <x v="18"/>
    <x v="1"/>
    <x v="2"/>
    <s v="EE_Parnu"/>
    <x v="28"/>
    <n v="41.38758"/>
    <n v="11.496549999999999"/>
  </r>
  <r>
    <x v="0"/>
    <x v="18"/>
    <x v="1"/>
    <x v="2"/>
    <s v="EE_Parnu"/>
    <x v="21"/>
    <n v="48.24"/>
    <n v="13.4"/>
  </r>
  <r>
    <x v="0"/>
    <x v="18"/>
    <x v="1"/>
    <x v="2"/>
    <s v="EE_Parnu"/>
    <x v="22"/>
    <n v="67.680000000000007"/>
    <n v="18.8"/>
  </r>
  <r>
    <x v="0"/>
    <x v="18"/>
    <x v="1"/>
    <x v="2"/>
    <s v="EE_Parnu"/>
    <x v="23"/>
    <n v="0.31515896120488701"/>
    <n v="8.7544155890246306E-2"/>
  </r>
  <r>
    <x v="0"/>
    <x v="18"/>
    <x v="1"/>
    <x v="2"/>
    <s v="EE_Parnu"/>
    <x v="24"/>
    <n v="19.174223581093901"/>
    <n v="5.32617321697054"/>
  </r>
  <r>
    <x v="0"/>
    <x v="18"/>
    <x v="1"/>
    <x v="2"/>
    <s v="EE_Parnu"/>
    <x v="25"/>
    <n v="25.064747068787099"/>
    <n v="6.9624297413297498"/>
  </r>
  <r>
    <x v="0"/>
    <x v="18"/>
    <x v="1"/>
    <x v="2"/>
    <s v="EE_Parnu"/>
    <x v="26"/>
    <n v="32.516643167392601"/>
    <n v="9.03240087983127"/>
  </r>
  <r>
    <x v="0"/>
    <x v="18"/>
    <x v="1"/>
    <x v="2"/>
    <s v="EE_Parnu"/>
    <x v="27"/>
    <n v="20.163995508318798"/>
    <n v="5.6011098634218799"/>
  </r>
  <r>
    <x v="0"/>
    <x v="18"/>
    <x v="1"/>
    <x v="2"/>
    <s v="EE_Rural"/>
    <x v="1"/>
    <n v="35.989199999999997"/>
    <n v="9.9969999999999999"/>
  </r>
  <r>
    <x v="0"/>
    <x v="18"/>
    <x v="1"/>
    <x v="2"/>
    <s v="EE_Rural"/>
    <x v="2"/>
    <n v="2.52"/>
    <n v="0.7"/>
  </r>
  <r>
    <x v="0"/>
    <x v="18"/>
    <x v="1"/>
    <x v="2"/>
    <s v="EE_Rural"/>
    <x v="0"/>
    <n v="42.692399999999999"/>
    <n v="11.859"/>
  </r>
  <r>
    <x v="0"/>
    <x v="18"/>
    <x v="1"/>
    <x v="2"/>
    <s v="EE_Rural"/>
    <x v="3"/>
    <n v="51.633543144067197"/>
    <n v="14.342650873352"/>
  </r>
  <r>
    <x v="0"/>
    <x v="18"/>
    <x v="1"/>
    <x v="2"/>
    <s v="EE_Rural"/>
    <x v="4"/>
    <n v="15.1696304888152"/>
    <n v="4.21378624689312"/>
  </r>
  <r>
    <x v="0"/>
    <x v="18"/>
    <x v="1"/>
    <x v="2"/>
    <s v="EE_Rural"/>
    <x v="5"/>
    <n v="15.1696304888152"/>
    <n v="4.21378624689312"/>
  </r>
  <r>
    <x v="0"/>
    <x v="18"/>
    <x v="1"/>
    <x v="2"/>
    <s v="EE_Rural"/>
    <x v="6"/>
    <n v="29.476231795214598"/>
    <n v="8.1878421653373898"/>
  </r>
  <r>
    <x v="0"/>
    <x v="18"/>
    <x v="1"/>
    <x v="2"/>
    <s v="EE_Rural"/>
    <x v="7"/>
    <n v="57.838935220261199"/>
    <n v="16.066370894517"/>
  </r>
  <r>
    <x v="0"/>
    <x v="18"/>
    <x v="1"/>
    <x v="2"/>
    <s v="EE_Rural"/>
    <x v="8"/>
    <n v="57.838935220261199"/>
    <n v="16.066370894517"/>
  </r>
  <r>
    <x v="0"/>
    <x v="18"/>
    <x v="1"/>
    <x v="2"/>
    <s v="EE_Rural"/>
    <x v="9"/>
    <n v="51.506187241093599"/>
    <n v="14.3072742336371"/>
  </r>
  <r>
    <x v="0"/>
    <x v="18"/>
    <x v="1"/>
    <x v="2"/>
    <s v="EE_Rural"/>
    <x v="10"/>
    <n v="72.320331400165799"/>
    <n v="20.088980944490501"/>
  </r>
  <r>
    <x v="0"/>
    <x v="18"/>
    <x v="1"/>
    <x v="2"/>
    <s v="EE_Rural"/>
    <x v="11"/>
    <n v="8.1139884009941898"/>
    <n v="2.2538856669428302"/>
  </r>
  <r>
    <x v="0"/>
    <x v="18"/>
    <x v="1"/>
    <x v="2"/>
    <s v="EE_Rural"/>
    <x v="12"/>
    <n v="9.7995028997514597E-2"/>
    <n v="2.72208413881985E-2"/>
  </r>
  <r>
    <x v="0"/>
    <x v="18"/>
    <x v="1"/>
    <x v="2"/>
    <s v="EE_Rural"/>
    <x v="13"/>
    <n v="24.3419652029826"/>
    <n v="6.7616570008285004"/>
  </r>
  <r>
    <x v="0"/>
    <x v="18"/>
    <x v="1"/>
    <x v="2"/>
    <s v="EE_Rural"/>
    <x v="14"/>
    <n v="24.3419652029826"/>
    <n v="6.7616570008285004"/>
  </r>
  <r>
    <x v="0"/>
    <x v="18"/>
    <x v="1"/>
    <x v="2"/>
    <s v="EE_Rural"/>
    <x v="15"/>
    <n v="1.65807589063794"/>
    <n v="0.46057663628831802"/>
  </r>
  <r>
    <x v="0"/>
    <x v="18"/>
    <x v="1"/>
    <x v="2"/>
    <s v="EE_Rural"/>
    <x v="16"/>
    <n v="6.7156619979650802"/>
    <n v="1.8654616661014101"/>
  </r>
  <r>
    <x v="0"/>
    <x v="18"/>
    <x v="1"/>
    <x v="2"/>
    <s v="EE_Rural"/>
    <x v="17"/>
    <n v="9.1244895875632395"/>
    <n v="2.5345804409897901"/>
  </r>
  <r>
    <x v="0"/>
    <x v="18"/>
    <x v="1"/>
    <x v="2"/>
    <s v="EE_Rural"/>
    <x v="18"/>
    <n v="24.3419652029826"/>
    <n v="6.7616570008285004"/>
  </r>
  <r>
    <x v="0"/>
    <x v="18"/>
    <x v="1"/>
    <x v="2"/>
    <s v="EE_Rural"/>
    <x v="19"/>
    <n v="8.1139884009941898"/>
    <n v="2.2538856669428302"/>
  </r>
  <r>
    <x v="0"/>
    <x v="18"/>
    <x v="1"/>
    <x v="2"/>
    <s v="EE_Rural"/>
    <x v="20"/>
    <n v="21.431396138420201"/>
    <n v="5.9531655940056103"/>
  </r>
  <r>
    <x v="0"/>
    <x v="18"/>
    <x v="1"/>
    <x v="2"/>
    <s v="EE_Rural"/>
    <x v="28"/>
    <n v="41.38758"/>
    <n v="11.496549999999999"/>
  </r>
  <r>
    <x v="0"/>
    <x v="18"/>
    <x v="1"/>
    <x v="2"/>
    <s v="EE_Rural"/>
    <x v="21"/>
    <n v="48.24"/>
    <n v="13.4"/>
  </r>
  <r>
    <x v="0"/>
    <x v="18"/>
    <x v="1"/>
    <x v="2"/>
    <s v="EE_Rural"/>
    <x v="22"/>
    <n v="67.680000000000007"/>
    <n v="18.8"/>
  </r>
  <r>
    <x v="0"/>
    <x v="18"/>
    <x v="1"/>
    <x v="2"/>
    <s v="EE_Rural"/>
    <x v="23"/>
    <n v="0.31515896120488701"/>
    <n v="8.7544155890246306E-2"/>
  </r>
  <r>
    <x v="0"/>
    <x v="18"/>
    <x v="1"/>
    <x v="2"/>
    <s v="EE_Rural"/>
    <x v="24"/>
    <n v="19.174223581093901"/>
    <n v="5.32617321697054"/>
  </r>
  <r>
    <x v="0"/>
    <x v="18"/>
    <x v="1"/>
    <x v="2"/>
    <s v="EE_Rural"/>
    <x v="25"/>
    <n v="25.064747068787099"/>
    <n v="6.9624297413297498"/>
  </r>
  <r>
    <x v="0"/>
    <x v="18"/>
    <x v="1"/>
    <x v="2"/>
    <s v="EE_Rural"/>
    <x v="26"/>
    <n v="32.516643167392601"/>
    <n v="9.03240087983127"/>
  </r>
  <r>
    <x v="0"/>
    <x v="18"/>
    <x v="1"/>
    <x v="2"/>
    <s v="EE_Rural"/>
    <x v="27"/>
    <n v="20.163995508318798"/>
    <n v="5.6011098634218799"/>
  </r>
  <r>
    <x v="0"/>
    <x v="18"/>
    <x v="1"/>
    <x v="2"/>
    <s v="EE_Sillamae"/>
    <x v="1"/>
    <n v="35.989199999999997"/>
    <n v="9.9969999999999999"/>
  </r>
  <r>
    <x v="0"/>
    <x v="18"/>
    <x v="1"/>
    <x v="2"/>
    <s v="EE_Sillamae"/>
    <x v="2"/>
    <n v="2.52"/>
    <n v="0.7"/>
  </r>
  <r>
    <x v="0"/>
    <x v="18"/>
    <x v="1"/>
    <x v="2"/>
    <s v="EE_Sillamae"/>
    <x v="0"/>
    <n v="42.692399999999999"/>
    <n v="11.859"/>
  </r>
  <r>
    <x v="0"/>
    <x v="18"/>
    <x v="1"/>
    <x v="2"/>
    <s v="EE_Sillamae"/>
    <x v="3"/>
    <n v="51.633543144067197"/>
    <n v="14.342650873352"/>
  </r>
  <r>
    <x v="0"/>
    <x v="18"/>
    <x v="1"/>
    <x v="2"/>
    <s v="EE_Sillamae"/>
    <x v="4"/>
    <n v="15.1696304888152"/>
    <n v="4.21378624689312"/>
  </r>
  <r>
    <x v="0"/>
    <x v="18"/>
    <x v="1"/>
    <x v="2"/>
    <s v="EE_Sillamae"/>
    <x v="5"/>
    <n v="15.1696304888152"/>
    <n v="4.21378624689312"/>
  </r>
  <r>
    <x v="0"/>
    <x v="18"/>
    <x v="1"/>
    <x v="2"/>
    <s v="EE_Sillamae"/>
    <x v="6"/>
    <n v="29.476231795214598"/>
    <n v="8.1878421653373898"/>
  </r>
  <r>
    <x v="0"/>
    <x v="18"/>
    <x v="1"/>
    <x v="2"/>
    <s v="EE_Sillamae"/>
    <x v="7"/>
    <n v="57.838935220261199"/>
    <n v="16.066370894517"/>
  </r>
  <r>
    <x v="0"/>
    <x v="18"/>
    <x v="1"/>
    <x v="2"/>
    <s v="EE_Sillamae"/>
    <x v="8"/>
    <n v="57.838935220261199"/>
    <n v="16.066370894517"/>
  </r>
  <r>
    <x v="0"/>
    <x v="18"/>
    <x v="1"/>
    <x v="2"/>
    <s v="EE_Sillamae"/>
    <x v="9"/>
    <n v="51.506187241093599"/>
    <n v="14.3072742336371"/>
  </r>
  <r>
    <x v="0"/>
    <x v="18"/>
    <x v="1"/>
    <x v="2"/>
    <s v="EE_Sillamae"/>
    <x v="10"/>
    <n v="72.320331400165799"/>
    <n v="20.088980944490501"/>
  </r>
  <r>
    <x v="0"/>
    <x v="18"/>
    <x v="1"/>
    <x v="2"/>
    <s v="EE_Sillamae"/>
    <x v="11"/>
    <n v="8.1139884009941898"/>
    <n v="2.2538856669428302"/>
  </r>
  <r>
    <x v="0"/>
    <x v="18"/>
    <x v="1"/>
    <x v="2"/>
    <s v="EE_Sillamae"/>
    <x v="12"/>
    <n v="9.7995028997514597E-2"/>
    <n v="2.72208413881985E-2"/>
  </r>
  <r>
    <x v="0"/>
    <x v="18"/>
    <x v="1"/>
    <x v="2"/>
    <s v="EE_Sillamae"/>
    <x v="13"/>
    <n v="24.3419652029826"/>
    <n v="6.7616570008285004"/>
  </r>
  <r>
    <x v="0"/>
    <x v="18"/>
    <x v="1"/>
    <x v="2"/>
    <s v="EE_Sillamae"/>
    <x v="14"/>
    <n v="24.3419652029826"/>
    <n v="6.7616570008285004"/>
  </r>
  <r>
    <x v="0"/>
    <x v="18"/>
    <x v="1"/>
    <x v="2"/>
    <s v="EE_Sillamae"/>
    <x v="15"/>
    <n v="1.65807589063794"/>
    <n v="0.46057663628831802"/>
  </r>
  <r>
    <x v="0"/>
    <x v="18"/>
    <x v="1"/>
    <x v="2"/>
    <s v="EE_Sillamae"/>
    <x v="16"/>
    <n v="6.7156619979650802"/>
    <n v="1.8654616661014101"/>
  </r>
  <r>
    <x v="0"/>
    <x v="18"/>
    <x v="1"/>
    <x v="2"/>
    <s v="EE_Sillamae"/>
    <x v="17"/>
    <n v="9.1244895875632395"/>
    <n v="2.5345804409897901"/>
  </r>
  <r>
    <x v="0"/>
    <x v="18"/>
    <x v="1"/>
    <x v="2"/>
    <s v="EE_Sillamae"/>
    <x v="18"/>
    <n v="24.3419652029826"/>
    <n v="6.7616570008285004"/>
  </r>
  <r>
    <x v="0"/>
    <x v="18"/>
    <x v="1"/>
    <x v="2"/>
    <s v="EE_Sillamae"/>
    <x v="19"/>
    <n v="8.1139884009941898"/>
    <n v="2.2538856669428302"/>
  </r>
  <r>
    <x v="0"/>
    <x v="18"/>
    <x v="1"/>
    <x v="2"/>
    <s v="EE_Sillamae"/>
    <x v="20"/>
    <n v="21.431396138420201"/>
    <n v="5.9531655940056103"/>
  </r>
  <r>
    <x v="0"/>
    <x v="18"/>
    <x v="1"/>
    <x v="2"/>
    <s v="EE_Sillamae"/>
    <x v="28"/>
    <n v="41.38758"/>
    <n v="11.496549999999999"/>
  </r>
  <r>
    <x v="0"/>
    <x v="18"/>
    <x v="1"/>
    <x v="2"/>
    <s v="EE_Sillamae"/>
    <x v="21"/>
    <n v="48.24"/>
    <n v="13.4"/>
  </r>
  <r>
    <x v="0"/>
    <x v="18"/>
    <x v="1"/>
    <x v="2"/>
    <s v="EE_Sillamae"/>
    <x v="22"/>
    <n v="67.680000000000007"/>
    <n v="18.8"/>
  </r>
  <r>
    <x v="0"/>
    <x v="18"/>
    <x v="1"/>
    <x v="2"/>
    <s v="EE_Sillamae"/>
    <x v="23"/>
    <n v="0.31515896120488701"/>
    <n v="8.7544155890246306E-2"/>
  </r>
  <r>
    <x v="0"/>
    <x v="18"/>
    <x v="1"/>
    <x v="2"/>
    <s v="EE_Sillamae"/>
    <x v="24"/>
    <n v="19.174223581093901"/>
    <n v="5.32617321697054"/>
  </r>
  <r>
    <x v="0"/>
    <x v="18"/>
    <x v="1"/>
    <x v="2"/>
    <s v="EE_Sillamae"/>
    <x v="25"/>
    <n v="25.064747068787099"/>
    <n v="6.9624297413297498"/>
  </r>
  <r>
    <x v="0"/>
    <x v="18"/>
    <x v="1"/>
    <x v="2"/>
    <s v="EE_Sillamae"/>
    <x v="26"/>
    <n v="32.516643167392601"/>
    <n v="9.03240087983127"/>
  </r>
  <r>
    <x v="0"/>
    <x v="18"/>
    <x v="1"/>
    <x v="2"/>
    <s v="EE_Sillamae"/>
    <x v="27"/>
    <n v="20.163995508318798"/>
    <n v="5.6011098634218799"/>
  </r>
  <r>
    <x v="0"/>
    <x v="18"/>
    <x v="1"/>
    <x v="2"/>
    <s v="EE_Tallinn"/>
    <x v="1"/>
    <n v="35.989199999999997"/>
    <n v="9.9969999999999999"/>
  </r>
  <r>
    <x v="0"/>
    <x v="18"/>
    <x v="1"/>
    <x v="2"/>
    <s v="EE_Tallinn"/>
    <x v="2"/>
    <n v="2.52"/>
    <n v="0.7"/>
  </r>
  <r>
    <x v="0"/>
    <x v="18"/>
    <x v="1"/>
    <x v="2"/>
    <s v="EE_Tallinn"/>
    <x v="0"/>
    <n v="42.692399999999999"/>
    <n v="11.859"/>
  </r>
  <r>
    <x v="0"/>
    <x v="18"/>
    <x v="1"/>
    <x v="2"/>
    <s v="EE_Tallinn"/>
    <x v="3"/>
    <n v="51.633543144067197"/>
    <n v="14.342650873352"/>
  </r>
  <r>
    <x v="0"/>
    <x v="18"/>
    <x v="1"/>
    <x v="2"/>
    <s v="EE_Tallinn"/>
    <x v="4"/>
    <n v="15.1696304888152"/>
    <n v="4.21378624689312"/>
  </r>
  <r>
    <x v="0"/>
    <x v="18"/>
    <x v="1"/>
    <x v="2"/>
    <s v="EE_Tallinn"/>
    <x v="5"/>
    <n v="15.1696304888152"/>
    <n v="4.21378624689312"/>
  </r>
  <r>
    <x v="0"/>
    <x v="18"/>
    <x v="1"/>
    <x v="2"/>
    <s v="EE_Tallinn"/>
    <x v="6"/>
    <n v="29.476231795214598"/>
    <n v="8.1878421653373898"/>
  </r>
  <r>
    <x v="0"/>
    <x v="18"/>
    <x v="1"/>
    <x v="2"/>
    <s v="EE_Tallinn"/>
    <x v="7"/>
    <n v="57.838935220261199"/>
    <n v="16.066370894517"/>
  </r>
  <r>
    <x v="0"/>
    <x v="18"/>
    <x v="1"/>
    <x v="2"/>
    <s v="EE_Tallinn"/>
    <x v="8"/>
    <n v="57.838935220261199"/>
    <n v="16.066370894517"/>
  </r>
  <r>
    <x v="0"/>
    <x v="18"/>
    <x v="1"/>
    <x v="2"/>
    <s v="EE_Tallinn"/>
    <x v="9"/>
    <n v="51.506187241093599"/>
    <n v="14.3072742336371"/>
  </r>
  <r>
    <x v="0"/>
    <x v="18"/>
    <x v="1"/>
    <x v="2"/>
    <s v="EE_Tallinn"/>
    <x v="10"/>
    <n v="72.320331400165799"/>
    <n v="20.088980944490501"/>
  </r>
  <r>
    <x v="0"/>
    <x v="18"/>
    <x v="1"/>
    <x v="2"/>
    <s v="EE_Tallinn"/>
    <x v="11"/>
    <n v="8.1139884009941898"/>
    <n v="2.2538856669428302"/>
  </r>
  <r>
    <x v="0"/>
    <x v="18"/>
    <x v="1"/>
    <x v="2"/>
    <s v="EE_Tallinn"/>
    <x v="12"/>
    <n v="9.7995028997514597E-2"/>
    <n v="2.72208413881985E-2"/>
  </r>
  <r>
    <x v="0"/>
    <x v="18"/>
    <x v="1"/>
    <x v="2"/>
    <s v="EE_Tallinn"/>
    <x v="13"/>
    <n v="24.3419652029826"/>
    <n v="6.7616570008285004"/>
  </r>
  <r>
    <x v="0"/>
    <x v="18"/>
    <x v="1"/>
    <x v="2"/>
    <s v="EE_Tallinn"/>
    <x v="14"/>
    <n v="24.3419652029826"/>
    <n v="6.7616570008285004"/>
  </r>
  <r>
    <x v="0"/>
    <x v="18"/>
    <x v="1"/>
    <x v="2"/>
    <s v="EE_Tallinn"/>
    <x v="15"/>
    <n v="1.65807589063794"/>
    <n v="0.46057663628831802"/>
  </r>
  <r>
    <x v="0"/>
    <x v="18"/>
    <x v="1"/>
    <x v="2"/>
    <s v="EE_Tallinn"/>
    <x v="16"/>
    <n v="6.7156619979650802"/>
    <n v="1.8654616661014101"/>
  </r>
  <r>
    <x v="0"/>
    <x v="18"/>
    <x v="1"/>
    <x v="2"/>
    <s v="EE_Tallinn"/>
    <x v="17"/>
    <n v="9.1244895875632395"/>
    <n v="2.5345804409897901"/>
  </r>
  <r>
    <x v="0"/>
    <x v="18"/>
    <x v="1"/>
    <x v="2"/>
    <s v="EE_Tallinn"/>
    <x v="18"/>
    <n v="24.3419652029826"/>
    <n v="6.7616570008285004"/>
  </r>
  <r>
    <x v="0"/>
    <x v="18"/>
    <x v="1"/>
    <x v="2"/>
    <s v="EE_Tallinn"/>
    <x v="19"/>
    <n v="8.1139884009941898"/>
    <n v="2.2538856669428302"/>
  </r>
  <r>
    <x v="0"/>
    <x v="18"/>
    <x v="1"/>
    <x v="2"/>
    <s v="EE_Tallinn"/>
    <x v="20"/>
    <n v="21.431396138420201"/>
    <n v="5.9531655940056103"/>
  </r>
  <r>
    <x v="0"/>
    <x v="18"/>
    <x v="1"/>
    <x v="2"/>
    <s v="EE_Tallinn"/>
    <x v="28"/>
    <n v="41.38758"/>
    <n v="11.496549999999999"/>
  </r>
  <r>
    <x v="0"/>
    <x v="18"/>
    <x v="1"/>
    <x v="2"/>
    <s v="EE_Tallinn"/>
    <x v="21"/>
    <n v="48.24"/>
    <n v="13.4"/>
  </r>
  <r>
    <x v="0"/>
    <x v="18"/>
    <x v="1"/>
    <x v="2"/>
    <s v="EE_Tallinn"/>
    <x v="22"/>
    <n v="67.680000000000007"/>
    <n v="18.8"/>
  </r>
  <r>
    <x v="0"/>
    <x v="18"/>
    <x v="1"/>
    <x v="2"/>
    <s v="EE_Tallinn"/>
    <x v="23"/>
    <n v="0.31515896120488701"/>
    <n v="8.7544155890246306E-2"/>
  </r>
  <r>
    <x v="0"/>
    <x v="18"/>
    <x v="1"/>
    <x v="2"/>
    <s v="EE_Tallinn"/>
    <x v="24"/>
    <n v="19.174223581093901"/>
    <n v="5.32617321697054"/>
  </r>
  <r>
    <x v="0"/>
    <x v="18"/>
    <x v="1"/>
    <x v="2"/>
    <s v="EE_Tallinn"/>
    <x v="25"/>
    <n v="25.064747068787099"/>
    <n v="6.9624297413297498"/>
  </r>
  <r>
    <x v="0"/>
    <x v="18"/>
    <x v="1"/>
    <x v="2"/>
    <s v="EE_Tallinn"/>
    <x v="26"/>
    <n v="32.516643167392601"/>
    <n v="9.03240087983127"/>
  </r>
  <r>
    <x v="0"/>
    <x v="18"/>
    <x v="1"/>
    <x v="2"/>
    <s v="EE_Tallinn"/>
    <x v="27"/>
    <n v="20.163995508318798"/>
    <n v="5.6011098634218799"/>
  </r>
  <r>
    <x v="0"/>
    <x v="18"/>
    <x v="1"/>
    <x v="2"/>
    <s v="EE_Tartu"/>
    <x v="1"/>
    <n v="35.989199999999997"/>
    <n v="9.9969999999999999"/>
  </r>
  <r>
    <x v="0"/>
    <x v="18"/>
    <x v="1"/>
    <x v="2"/>
    <s v="EE_Tartu"/>
    <x v="2"/>
    <n v="2.52"/>
    <n v="0.7"/>
  </r>
  <r>
    <x v="0"/>
    <x v="18"/>
    <x v="1"/>
    <x v="2"/>
    <s v="EE_Tartu"/>
    <x v="0"/>
    <n v="42.692399999999999"/>
    <n v="11.859"/>
  </r>
  <r>
    <x v="0"/>
    <x v="18"/>
    <x v="1"/>
    <x v="2"/>
    <s v="EE_Tartu"/>
    <x v="3"/>
    <n v="51.633543144067197"/>
    <n v="14.342650873352"/>
  </r>
  <r>
    <x v="0"/>
    <x v="18"/>
    <x v="1"/>
    <x v="2"/>
    <s v="EE_Tartu"/>
    <x v="4"/>
    <n v="15.1696304888152"/>
    <n v="4.21378624689312"/>
  </r>
  <r>
    <x v="0"/>
    <x v="18"/>
    <x v="1"/>
    <x v="2"/>
    <s v="EE_Tartu"/>
    <x v="5"/>
    <n v="15.1696304888152"/>
    <n v="4.21378624689312"/>
  </r>
  <r>
    <x v="0"/>
    <x v="18"/>
    <x v="1"/>
    <x v="2"/>
    <s v="EE_Tartu"/>
    <x v="6"/>
    <n v="29.476231795214598"/>
    <n v="8.1878421653373898"/>
  </r>
  <r>
    <x v="0"/>
    <x v="18"/>
    <x v="1"/>
    <x v="2"/>
    <s v="EE_Tartu"/>
    <x v="7"/>
    <n v="57.838935220261199"/>
    <n v="16.066370894517"/>
  </r>
  <r>
    <x v="0"/>
    <x v="18"/>
    <x v="1"/>
    <x v="2"/>
    <s v="EE_Tartu"/>
    <x v="8"/>
    <n v="57.838935220261199"/>
    <n v="16.066370894517"/>
  </r>
  <r>
    <x v="0"/>
    <x v="18"/>
    <x v="1"/>
    <x v="2"/>
    <s v="EE_Tartu"/>
    <x v="9"/>
    <n v="51.506187241093599"/>
    <n v="14.3072742336371"/>
  </r>
  <r>
    <x v="0"/>
    <x v="18"/>
    <x v="1"/>
    <x v="2"/>
    <s v="EE_Tartu"/>
    <x v="10"/>
    <n v="72.320331400165799"/>
    <n v="20.088980944490501"/>
  </r>
  <r>
    <x v="0"/>
    <x v="18"/>
    <x v="1"/>
    <x v="2"/>
    <s v="EE_Tartu"/>
    <x v="11"/>
    <n v="8.1139884009941898"/>
    <n v="2.2538856669428302"/>
  </r>
  <r>
    <x v="0"/>
    <x v="18"/>
    <x v="1"/>
    <x v="2"/>
    <s v="EE_Tartu"/>
    <x v="12"/>
    <n v="9.7995028997514597E-2"/>
    <n v="2.72208413881985E-2"/>
  </r>
  <r>
    <x v="0"/>
    <x v="18"/>
    <x v="1"/>
    <x v="2"/>
    <s v="EE_Tartu"/>
    <x v="13"/>
    <n v="24.3419652029826"/>
    <n v="6.7616570008285004"/>
  </r>
  <r>
    <x v="0"/>
    <x v="18"/>
    <x v="1"/>
    <x v="2"/>
    <s v="EE_Tartu"/>
    <x v="14"/>
    <n v="24.3419652029826"/>
    <n v="6.7616570008285004"/>
  </r>
  <r>
    <x v="0"/>
    <x v="18"/>
    <x v="1"/>
    <x v="2"/>
    <s v="EE_Tartu"/>
    <x v="15"/>
    <n v="1.65807589063794"/>
    <n v="0.46057663628831802"/>
  </r>
  <r>
    <x v="0"/>
    <x v="18"/>
    <x v="1"/>
    <x v="2"/>
    <s v="EE_Tartu"/>
    <x v="16"/>
    <n v="6.7156619979650802"/>
    <n v="1.8654616661014101"/>
  </r>
  <r>
    <x v="0"/>
    <x v="18"/>
    <x v="1"/>
    <x v="2"/>
    <s v="EE_Tartu"/>
    <x v="17"/>
    <n v="9.1244895875632395"/>
    <n v="2.5345804409897901"/>
  </r>
  <r>
    <x v="0"/>
    <x v="18"/>
    <x v="1"/>
    <x v="2"/>
    <s v="EE_Tartu"/>
    <x v="18"/>
    <n v="24.3419652029826"/>
    <n v="6.7616570008285004"/>
  </r>
  <r>
    <x v="0"/>
    <x v="18"/>
    <x v="1"/>
    <x v="2"/>
    <s v="EE_Tartu"/>
    <x v="19"/>
    <n v="8.1139884009941898"/>
    <n v="2.2538856669428302"/>
  </r>
  <r>
    <x v="0"/>
    <x v="18"/>
    <x v="1"/>
    <x v="2"/>
    <s v="EE_Tartu"/>
    <x v="20"/>
    <n v="21.431396138420201"/>
    <n v="5.9531655940056103"/>
  </r>
  <r>
    <x v="0"/>
    <x v="18"/>
    <x v="1"/>
    <x v="2"/>
    <s v="EE_Tartu"/>
    <x v="28"/>
    <n v="41.38758"/>
    <n v="11.496549999999999"/>
  </r>
  <r>
    <x v="0"/>
    <x v="18"/>
    <x v="1"/>
    <x v="2"/>
    <s v="EE_Tartu"/>
    <x v="21"/>
    <n v="48.24"/>
    <n v="13.4"/>
  </r>
  <r>
    <x v="0"/>
    <x v="18"/>
    <x v="1"/>
    <x v="2"/>
    <s v="EE_Tartu"/>
    <x v="22"/>
    <n v="67.680000000000007"/>
    <n v="18.8"/>
  </r>
  <r>
    <x v="0"/>
    <x v="18"/>
    <x v="1"/>
    <x v="2"/>
    <s v="EE_Tartu"/>
    <x v="23"/>
    <n v="0.31515896120488701"/>
    <n v="8.7544155890246306E-2"/>
  </r>
  <r>
    <x v="0"/>
    <x v="18"/>
    <x v="1"/>
    <x v="2"/>
    <s v="EE_Tartu"/>
    <x v="24"/>
    <n v="19.174223581093901"/>
    <n v="5.32617321697054"/>
  </r>
  <r>
    <x v="0"/>
    <x v="18"/>
    <x v="1"/>
    <x v="2"/>
    <s v="EE_Tartu"/>
    <x v="25"/>
    <n v="25.064747068787099"/>
    <n v="6.9624297413297498"/>
  </r>
  <r>
    <x v="0"/>
    <x v="18"/>
    <x v="1"/>
    <x v="2"/>
    <s v="EE_Tartu"/>
    <x v="26"/>
    <n v="32.516643167392601"/>
    <n v="9.03240087983127"/>
  </r>
  <r>
    <x v="0"/>
    <x v="18"/>
    <x v="1"/>
    <x v="2"/>
    <s v="EE_Tartu"/>
    <x v="27"/>
    <n v="20.163995508318798"/>
    <n v="5.6011098634218799"/>
  </r>
  <r>
    <x v="0"/>
    <x v="18"/>
    <x v="1"/>
    <x v="2"/>
    <s v="EE_Urban"/>
    <x v="1"/>
    <n v="35.989199999999997"/>
    <n v="9.9969999999999999"/>
  </r>
  <r>
    <x v="0"/>
    <x v="18"/>
    <x v="1"/>
    <x v="2"/>
    <s v="EE_Urban"/>
    <x v="2"/>
    <n v="2.52"/>
    <n v="0.7"/>
  </r>
  <r>
    <x v="0"/>
    <x v="18"/>
    <x v="1"/>
    <x v="2"/>
    <s v="EE_Urban"/>
    <x v="0"/>
    <n v="42.692399999999999"/>
    <n v="11.859"/>
  </r>
  <r>
    <x v="0"/>
    <x v="18"/>
    <x v="1"/>
    <x v="2"/>
    <s v="EE_Urban"/>
    <x v="3"/>
    <n v="51.633543144067197"/>
    <n v="14.342650873352"/>
  </r>
  <r>
    <x v="0"/>
    <x v="18"/>
    <x v="1"/>
    <x v="2"/>
    <s v="EE_Urban"/>
    <x v="4"/>
    <n v="15.1696304888152"/>
    <n v="4.21378624689312"/>
  </r>
  <r>
    <x v="0"/>
    <x v="18"/>
    <x v="1"/>
    <x v="2"/>
    <s v="EE_Urban"/>
    <x v="5"/>
    <n v="15.1696304888152"/>
    <n v="4.21378624689312"/>
  </r>
  <r>
    <x v="0"/>
    <x v="18"/>
    <x v="1"/>
    <x v="2"/>
    <s v="EE_Urban"/>
    <x v="6"/>
    <n v="29.476231795214598"/>
    <n v="8.1878421653373898"/>
  </r>
  <r>
    <x v="0"/>
    <x v="18"/>
    <x v="1"/>
    <x v="2"/>
    <s v="EE_Urban"/>
    <x v="7"/>
    <n v="57.838935220261199"/>
    <n v="16.066370894517"/>
  </r>
  <r>
    <x v="0"/>
    <x v="18"/>
    <x v="1"/>
    <x v="2"/>
    <s v="EE_Urban"/>
    <x v="8"/>
    <n v="57.838935220261199"/>
    <n v="16.066370894517"/>
  </r>
  <r>
    <x v="0"/>
    <x v="18"/>
    <x v="1"/>
    <x v="2"/>
    <s v="EE_Urban"/>
    <x v="9"/>
    <n v="51.506187241093599"/>
    <n v="14.3072742336371"/>
  </r>
  <r>
    <x v="0"/>
    <x v="18"/>
    <x v="1"/>
    <x v="2"/>
    <s v="EE_Urban"/>
    <x v="10"/>
    <n v="72.320331400165799"/>
    <n v="20.088980944490501"/>
  </r>
  <r>
    <x v="0"/>
    <x v="18"/>
    <x v="1"/>
    <x v="2"/>
    <s v="EE_Urban"/>
    <x v="11"/>
    <n v="8.1139884009941898"/>
    <n v="2.2538856669428302"/>
  </r>
  <r>
    <x v="0"/>
    <x v="18"/>
    <x v="1"/>
    <x v="2"/>
    <s v="EE_Urban"/>
    <x v="12"/>
    <n v="9.7995028997514597E-2"/>
    <n v="2.72208413881985E-2"/>
  </r>
  <r>
    <x v="0"/>
    <x v="18"/>
    <x v="1"/>
    <x v="2"/>
    <s v="EE_Urban"/>
    <x v="13"/>
    <n v="24.3419652029826"/>
    <n v="6.7616570008285004"/>
  </r>
  <r>
    <x v="0"/>
    <x v="18"/>
    <x v="1"/>
    <x v="2"/>
    <s v="EE_Urban"/>
    <x v="14"/>
    <n v="24.3419652029826"/>
    <n v="6.7616570008285004"/>
  </r>
  <r>
    <x v="0"/>
    <x v="18"/>
    <x v="1"/>
    <x v="2"/>
    <s v="EE_Urban"/>
    <x v="15"/>
    <n v="1.65807589063794"/>
    <n v="0.46057663628831802"/>
  </r>
  <r>
    <x v="0"/>
    <x v="18"/>
    <x v="1"/>
    <x v="2"/>
    <s v="EE_Urban"/>
    <x v="16"/>
    <n v="6.7156619979650802"/>
    <n v="1.8654616661014101"/>
  </r>
  <r>
    <x v="0"/>
    <x v="18"/>
    <x v="1"/>
    <x v="2"/>
    <s v="EE_Urban"/>
    <x v="17"/>
    <n v="9.1244895875632395"/>
    <n v="2.5345804409897901"/>
  </r>
  <r>
    <x v="0"/>
    <x v="18"/>
    <x v="1"/>
    <x v="2"/>
    <s v="EE_Urban"/>
    <x v="18"/>
    <n v="24.3419652029826"/>
    <n v="6.7616570008285004"/>
  </r>
  <r>
    <x v="0"/>
    <x v="18"/>
    <x v="1"/>
    <x v="2"/>
    <s v="EE_Urban"/>
    <x v="19"/>
    <n v="8.1139884009941898"/>
    <n v="2.2538856669428302"/>
  </r>
  <r>
    <x v="0"/>
    <x v="18"/>
    <x v="1"/>
    <x v="2"/>
    <s v="EE_Urban"/>
    <x v="20"/>
    <n v="21.431396138420201"/>
    <n v="5.9531655940056103"/>
  </r>
  <r>
    <x v="0"/>
    <x v="18"/>
    <x v="1"/>
    <x v="2"/>
    <s v="EE_Urban"/>
    <x v="28"/>
    <n v="41.38758"/>
    <n v="11.496549999999999"/>
  </r>
  <r>
    <x v="0"/>
    <x v="18"/>
    <x v="1"/>
    <x v="2"/>
    <s v="EE_Urban"/>
    <x v="21"/>
    <n v="48.24"/>
    <n v="13.4"/>
  </r>
  <r>
    <x v="0"/>
    <x v="18"/>
    <x v="1"/>
    <x v="2"/>
    <s v="EE_Urban"/>
    <x v="22"/>
    <n v="67.680000000000007"/>
    <n v="18.8"/>
  </r>
  <r>
    <x v="0"/>
    <x v="18"/>
    <x v="1"/>
    <x v="2"/>
    <s v="EE_Urban"/>
    <x v="23"/>
    <n v="0.31515896120488701"/>
    <n v="8.7544155890246306E-2"/>
  </r>
  <r>
    <x v="0"/>
    <x v="18"/>
    <x v="1"/>
    <x v="2"/>
    <s v="EE_Urban"/>
    <x v="24"/>
    <n v="19.174223581093901"/>
    <n v="5.32617321697054"/>
  </r>
  <r>
    <x v="0"/>
    <x v="18"/>
    <x v="1"/>
    <x v="2"/>
    <s v="EE_Urban"/>
    <x v="25"/>
    <n v="25.064747068787099"/>
    <n v="6.9624297413297498"/>
  </r>
  <r>
    <x v="0"/>
    <x v="18"/>
    <x v="1"/>
    <x v="2"/>
    <s v="EE_Urban"/>
    <x v="26"/>
    <n v="32.516643167392601"/>
    <n v="9.03240087983127"/>
  </r>
  <r>
    <x v="0"/>
    <x v="18"/>
    <x v="1"/>
    <x v="2"/>
    <s v="EE_Urban"/>
    <x v="27"/>
    <n v="20.163995508318798"/>
    <n v="5.6011098634218799"/>
  </r>
  <r>
    <x v="0"/>
    <x v="18"/>
    <x v="2"/>
    <x v="3"/>
    <s v="FI_IND"/>
    <x v="1"/>
    <n v="35.989199999999997"/>
    <n v="9.9969999999999999"/>
  </r>
  <r>
    <x v="0"/>
    <x v="18"/>
    <x v="2"/>
    <x v="3"/>
    <s v="FI_IND"/>
    <x v="2"/>
    <n v="2.52"/>
    <n v="0.7"/>
  </r>
  <r>
    <x v="0"/>
    <x v="18"/>
    <x v="2"/>
    <x v="3"/>
    <s v="FI_IND"/>
    <x v="0"/>
    <n v="42.692399999999999"/>
    <n v="11.859"/>
  </r>
  <r>
    <x v="0"/>
    <x v="18"/>
    <x v="2"/>
    <x v="3"/>
    <s v="FI_IND"/>
    <x v="3"/>
    <n v="51.633543144067197"/>
    <n v="14.342650873352"/>
  </r>
  <r>
    <x v="0"/>
    <x v="18"/>
    <x v="2"/>
    <x v="3"/>
    <s v="FI_IND"/>
    <x v="4"/>
    <n v="15.1696304888152"/>
    <n v="4.21378624689312"/>
  </r>
  <r>
    <x v="0"/>
    <x v="18"/>
    <x v="2"/>
    <x v="3"/>
    <s v="FI_IND"/>
    <x v="5"/>
    <n v="15.1696304888152"/>
    <n v="4.21378624689312"/>
  </r>
  <r>
    <x v="0"/>
    <x v="18"/>
    <x v="2"/>
    <x v="3"/>
    <s v="FI_IND"/>
    <x v="6"/>
    <n v="29.476231795214598"/>
    <n v="8.1878421653373898"/>
  </r>
  <r>
    <x v="0"/>
    <x v="18"/>
    <x v="2"/>
    <x v="3"/>
    <s v="FI_IND"/>
    <x v="7"/>
    <n v="57.838935220261199"/>
    <n v="16.066370894517"/>
  </r>
  <r>
    <x v="0"/>
    <x v="18"/>
    <x v="2"/>
    <x v="3"/>
    <s v="FI_IND"/>
    <x v="8"/>
    <n v="57.838935220261199"/>
    <n v="16.066370894517"/>
  </r>
  <r>
    <x v="0"/>
    <x v="18"/>
    <x v="2"/>
    <x v="3"/>
    <s v="FI_IND"/>
    <x v="9"/>
    <n v="51.506187241093599"/>
    <n v="14.3072742336371"/>
  </r>
  <r>
    <x v="0"/>
    <x v="18"/>
    <x v="2"/>
    <x v="3"/>
    <s v="FI_IND"/>
    <x v="10"/>
    <n v="72.320331400165799"/>
    <n v="20.088980944490501"/>
  </r>
  <r>
    <x v="0"/>
    <x v="18"/>
    <x v="2"/>
    <x v="3"/>
    <s v="FI_IND"/>
    <x v="11"/>
    <n v="8.1139884009941898"/>
    <n v="2.2538856669428302"/>
  </r>
  <r>
    <x v="0"/>
    <x v="18"/>
    <x v="2"/>
    <x v="3"/>
    <s v="FI_IND"/>
    <x v="12"/>
    <n v="9.7995028997514597E-2"/>
    <n v="2.72208413881985E-2"/>
  </r>
  <r>
    <x v="0"/>
    <x v="18"/>
    <x v="2"/>
    <x v="3"/>
    <s v="FI_IND"/>
    <x v="13"/>
    <n v="24.3419652029826"/>
    <n v="6.7616570008285004"/>
  </r>
  <r>
    <x v="0"/>
    <x v="18"/>
    <x v="2"/>
    <x v="3"/>
    <s v="FI_IND"/>
    <x v="14"/>
    <n v="24.3419652029826"/>
    <n v="6.7616570008285004"/>
  </r>
  <r>
    <x v="0"/>
    <x v="18"/>
    <x v="2"/>
    <x v="3"/>
    <s v="FI_IND"/>
    <x v="15"/>
    <n v="1.65807589063794"/>
    <n v="0.46057663628831802"/>
  </r>
  <r>
    <x v="0"/>
    <x v="18"/>
    <x v="2"/>
    <x v="3"/>
    <s v="FI_IND"/>
    <x v="16"/>
    <n v="6.7156619979650802"/>
    <n v="1.8654616661014101"/>
  </r>
  <r>
    <x v="0"/>
    <x v="18"/>
    <x v="2"/>
    <x v="3"/>
    <s v="FI_IND"/>
    <x v="17"/>
    <n v="9.1244895875632395"/>
    <n v="2.5345804409897901"/>
  </r>
  <r>
    <x v="0"/>
    <x v="18"/>
    <x v="2"/>
    <x v="3"/>
    <s v="FI_IND"/>
    <x v="18"/>
    <n v="24.3419652029826"/>
    <n v="6.7616570008285004"/>
  </r>
  <r>
    <x v="0"/>
    <x v="18"/>
    <x v="2"/>
    <x v="3"/>
    <s v="FI_IND"/>
    <x v="19"/>
    <n v="8.1139884009941898"/>
    <n v="2.2538856669428302"/>
  </r>
  <r>
    <x v="0"/>
    <x v="18"/>
    <x v="2"/>
    <x v="3"/>
    <s v="FI_IND"/>
    <x v="20"/>
    <n v="21.431396138420201"/>
    <n v="5.9531655940056103"/>
  </r>
  <r>
    <x v="0"/>
    <x v="18"/>
    <x v="2"/>
    <x v="3"/>
    <s v="FI_IND"/>
    <x v="28"/>
    <n v="41.38758"/>
    <n v="11.496549999999999"/>
  </r>
  <r>
    <x v="0"/>
    <x v="18"/>
    <x v="2"/>
    <x v="3"/>
    <s v="FI_IND"/>
    <x v="21"/>
    <n v="48.24"/>
    <n v="13.4"/>
  </r>
  <r>
    <x v="0"/>
    <x v="18"/>
    <x v="2"/>
    <x v="3"/>
    <s v="FI_IND"/>
    <x v="22"/>
    <n v="67.680000000000007"/>
    <n v="18.8"/>
  </r>
  <r>
    <x v="0"/>
    <x v="18"/>
    <x v="2"/>
    <x v="3"/>
    <s v="FI_IND"/>
    <x v="23"/>
    <n v="0.31515896120488701"/>
    <n v="8.7544155890246306E-2"/>
  </r>
  <r>
    <x v="0"/>
    <x v="18"/>
    <x v="2"/>
    <x v="3"/>
    <s v="FI_IND"/>
    <x v="24"/>
    <n v="19.174223581093901"/>
    <n v="5.32617321697054"/>
  </r>
  <r>
    <x v="0"/>
    <x v="18"/>
    <x v="2"/>
    <x v="3"/>
    <s v="FI_IND"/>
    <x v="25"/>
    <n v="25.064747068787099"/>
    <n v="6.9624297413297498"/>
  </r>
  <r>
    <x v="0"/>
    <x v="18"/>
    <x v="2"/>
    <x v="3"/>
    <s v="FI_IND"/>
    <x v="26"/>
    <n v="32.516643167392601"/>
    <n v="9.03240087983127"/>
  </r>
  <r>
    <x v="0"/>
    <x v="18"/>
    <x v="2"/>
    <x v="3"/>
    <s v="FI_IND"/>
    <x v="27"/>
    <n v="20.163995508318798"/>
    <n v="5.6011098634218799"/>
  </r>
  <r>
    <x v="0"/>
    <x v="18"/>
    <x v="2"/>
    <x v="3"/>
    <s v="FI_Offshore"/>
    <x v="1"/>
    <n v="35.989199999999997"/>
    <n v="9.9969999999999999"/>
  </r>
  <r>
    <x v="0"/>
    <x v="18"/>
    <x v="2"/>
    <x v="3"/>
    <s v="FI_Offshore"/>
    <x v="2"/>
    <n v="2.52"/>
    <n v="0.7"/>
  </r>
  <r>
    <x v="0"/>
    <x v="18"/>
    <x v="2"/>
    <x v="3"/>
    <s v="FI_Offshore"/>
    <x v="0"/>
    <n v="42.692399999999999"/>
    <n v="11.859"/>
  </r>
  <r>
    <x v="0"/>
    <x v="18"/>
    <x v="2"/>
    <x v="3"/>
    <s v="FI_Offshore"/>
    <x v="3"/>
    <n v="51.633543144067197"/>
    <n v="14.342650873352"/>
  </r>
  <r>
    <x v="0"/>
    <x v="18"/>
    <x v="2"/>
    <x v="3"/>
    <s v="FI_Offshore"/>
    <x v="4"/>
    <n v="15.1696304888152"/>
    <n v="4.21378624689312"/>
  </r>
  <r>
    <x v="0"/>
    <x v="18"/>
    <x v="2"/>
    <x v="3"/>
    <s v="FI_Offshore"/>
    <x v="5"/>
    <n v="15.1696304888152"/>
    <n v="4.21378624689312"/>
  </r>
  <r>
    <x v="0"/>
    <x v="18"/>
    <x v="2"/>
    <x v="3"/>
    <s v="FI_Offshore"/>
    <x v="6"/>
    <n v="29.476231795214598"/>
    <n v="8.1878421653373898"/>
  </r>
  <r>
    <x v="0"/>
    <x v="18"/>
    <x v="2"/>
    <x v="3"/>
    <s v="FI_Offshore"/>
    <x v="7"/>
    <n v="57.838935220261199"/>
    <n v="16.066370894517"/>
  </r>
  <r>
    <x v="0"/>
    <x v="18"/>
    <x v="2"/>
    <x v="3"/>
    <s v="FI_Offshore"/>
    <x v="8"/>
    <n v="57.838935220261199"/>
    <n v="16.066370894517"/>
  </r>
  <r>
    <x v="0"/>
    <x v="18"/>
    <x v="2"/>
    <x v="3"/>
    <s v="FI_Offshore"/>
    <x v="9"/>
    <n v="51.506187241093599"/>
    <n v="14.3072742336371"/>
  </r>
  <r>
    <x v="0"/>
    <x v="18"/>
    <x v="2"/>
    <x v="3"/>
    <s v="FI_Offshore"/>
    <x v="10"/>
    <n v="72.320331400165799"/>
    <n v="20.088980944490501"/>
  </r>
  <r>
    <x v="0"/>
    <x v="18"/>
    <x v="2"/>
    <x v="3"/>
    <s v="FI_Offshore"/>
    <x v="11"/>
    <n v="8.1139884009941898"/>
    <n v="2.2538856669428302"/>
  </r>
  <r>
    <x v="0"/>
    <x v="18"/>
    <x v="2"/>
    <x v="3"/>
    <s v="FI_Offshore"/>
    <x v="12"/>
    <n v="9.7995028997514597E-2"/>
    <n v="2.72208413881985E-2"/>
  </r>
  <r>
    <x v="0"/>
    <x v="18"/>
    <x v="2"/>
    <x v="3"/>
    <s v="FI_Offshore"/>
    <x v="13"/>
    <n v="24.3419652029826"/>
    <n v="6.7616570008285004"/>
  </r>
  <r>
    <x v="0"/>
    <x v="18"/>
    <x v="2"/>
    <x v="3"/>
    <s v="FI_Offshore"/>
    <x v="14"/>
    <n v="24.3419652029826"/>
    <n v="6.7616570008285004"/>
  </r>
  <r>
    <x v="0"/>
    <x v="18"/>
    <x v="2"/>
    <x v="3"/>
    <s v="FI_Offshore"/>
    <x v="15"/>
    <n v="1.65807589063794"/>
    <n v="0.46057663628831802"/>
  </r>
  <r>
    <x v="0"/>
    <x v="18"/>
    <x v="2"/>
    <x v="3"/>
    <s v="FI_Offshore"/>
    <x v="16"/>
    <n v="6.7156619979650802"/>
    <n v="1.8654616661014101"/>
  </r>
  <r>
    <x v="0"/>
    <x v="18"/>
    <x v="2"/>
    <x v="3"/>
    <s v="FI_Offshore"/>
    <x v="17"/>
    <n v="9.1244895875632395"/>
    <n v="2.5345804409897901"/>
  </r>
  <r>
    <x v="0"/>
    <x v="18"/>
    <x v="2"/>
    <x v="3"/>
    <s v="FI_Offshore"/>
    <x v="18"/>
    <n v="24.3419652029826"/>
    <n v="6.7616570008285004"/>
  </r>
  <r>
    <x v="0"/>
    <x v="18"/>
    <x v="2"/>
    <x v="3"/>
    <s v="FI_Offshore"/>
    <x v="19"/>
    <n v="8.1139884009941898"/>
    <n v="2.2538856669428302"/>
  </r>
  <r>
    <x v="0"/>
    <x v="18"/>
    <x v="2"/>
    <x v="3"/>
    <s v="FI_Offshore"/>
    <x v="20"/>
    <n v="21.431396138420201"/>
    <n v="5.9531655940056103"/>
  </r>
  <r>
    <x v="0"/>
    <x v="18"/>
    <x v="2"/>
    <x v="3"/>
    <s v="FI_Offshore"/>
    <x v="28"/>
    <n v="41.38758"/>
    <n v="11.496549999999999"/>
  </r>
  <r>
    <x v="0"/>
    <x v="18"/>
    <x v="2"/>
    <x v="3"/>
    <s v="FI_Offshore"/>
    <x v="21"/>
    <n v="48.24"/>
    <n v="13.4"/>
  </r>
  <r>
    <x v="0"/>
    <x v="18"/>
    <x v="2"/>
    <x v="3"/>
    <s v="FI_Offshore"/>
    <x v="22"/>
    <n v="67.680000000000007"/>
    <n v="18.8"/>
  </r>
  <r>
    <x v="0"/>
    <x v="18"/>
    <x v="2"/>
    <x v="3"/>
    <s v="FI_Offshore"/>
    <x v="23"/>
    <n v="0.31515896120488701"/>
    <n v="8.7544155890246306E-2"/>
  </r>
  <r>
    <x v="0"/>
    <x v="18"/>
    <x v="2"/>
    <x v="3"/>
    <s v="FI_Offshore"/>
    <x v="24"/>
    <n v="19.174223581093901"/>
    <n v="5.32617321697054"/>
  </r>
  <r>
    <x v="0"/>
    <x v="18"/>
    <x v="2"/>
    <x v="3"/>
    <s v="FI_Offshore"/>
    <x v="25"/>
    <n v="25.064747068787099"/>
    <n v="6.9624297413297498"/>
  </r>
  <r>
    <x v="0"/>
    <x v="18"/>
    <x v="2"/>
    <x v="3"/>
    <s v="FI_Offshore"/>
    <x v="26"/>
    <n v="32.516643167392601"/>
    <n v="9.03240087983127"/>
  </r>
  <r>
    <x v="0"/>
    <x v="18"/>
    <x v="2"/>
    <x v="3"/>
    <s v="FI_Offshore"/>
    <x v="27"/>
    <n v="20.163995508318798"/>
    <n v="5.6011098634218799"/>
  </r>
  <r>
    <x v="0"/>
    <x v="18"/>
    <x v="2"/>
    <x v="3"/>
    <s v="FI_large"/>
    <x v="1"/>
    <n v="35.989199999999997"/>
    <n v="9.9969999999999999"/>
  </r>
  <r>
    <x v="0"/>
    <x v="18"/>
    <x v="2"/>
    <x v="3"/>
    <s v="FI_large"/>
    <x v="2"/>
    <n v="2.52"/>
    <n v="0.7"/>
  </r>
  <r>
    <x v="0"/>
    <x v="18"/>
    <x v="2"/>
    <x v="3"/>
    <s v="FI_large"/>
    <x v="0"/>
    <n v="42.692399999999999"/>
    <n v="11.859"/>
  </r>
  <r>
    <x v="0"/>
    <x v="18"/>
    <x v="2"/>
    <x v="3"/>
    <s v="FI_large"/>
    <x v="3"/>
    <n v="51.633543144067197"/>
    <n v="14.342650873352"/>
  </r>
  <r>
    <x v="0"/>
    <x v="18"/>
    <x v="2"/>
    <x v="3"/>
    <s v="FI_large"/>
    <x v="4"/>
    <n v="15.1696304888152"/>
    <n v="4.21378624689312"/>
  </r>
  <r>
    <x v="0"/>
    <x v="18"/>
    <x v="2"/>
    <x v="3"/>
    <s v="FI_large"/>
    <x v="5"/>
    <n v="15.1696304888152"/>
    <n v="4.21378624689312"/>
  </r>
  <r>
    <x v="0"/>
    <x v="18"/>
    <x v="2"/>
    <x v="3"/>
    <s v="FI_large"/>
    <x v="6"/>
    <n v="29.476231795214598"/>
    <n v="8.1878421653373898"/>
  </r>
  <r>
    <x v="0"/>
    <x v="18"/>
    <x v="2"/>
    <x v="3"/>
    <s v="FI_large"/>
    <x v="7"/>
    <n v="57.838935220261199"/>
    <n v="16.066370894517"/>
  </r>
  <r>
    <x v="0"/>
    <x v="18"/>
    <x v="2"/>
    <x v="3"/>
    <s v="FI_large"/>
    <x v="8"/>
    <n v="57.838935220261199"/>
    <n v="16.066370894517"/>
  </r>
  <r>
    <x v="0"/>
    <x v="18"/>
    <x v="2"/>
    <x v="3"/>
    <s v="FI_large"/>
    <x v="9"/>
    <n v="51.506187241093599"/>
    <n v="14.3072742336371"/>
  </r>
  <r>
    <x v="0"/>
    <x v="18"/>
    <x v="2"/>
    <x v="3"/>
    <s v="FI_large"/>
    <x v="10"/>
    <n v="72.320331400165799"/>
    <n v="20.088980944490501"/>
  </r>
  <r>
    <x v="0"/>
    <x v="18"/>
    <x v="2"/>
    <x v="3"/>
    <s v="FI_large"/>
    <x v="11"/>
    <n v="8.1139884009941898"/>
    <n v="2.2538856669428302"/>
  </r>
  <r>
    <x v="0"/>
    <x v="18"/>
    <x v="2"/>
    <x v="3"/>
    <s v="FI_large"/>
    <x v="12"/>
    <n v="9.7995028997514597E-2"/>
    <n v="2.72208413881985E-2"/>
  </r>
  <r>
    <x v="0"/>
    <x v="18"/>
    <x v="2"/>
    <x v="3"/>
    <s v="FI_large"/>
    <x v="13"/>
    <n v="24.3419652029826"/>
    <n v="6.7616570008285004"/>
  </r>
  <r>
    <x v="0"/>
    <x v="18"/>
    <x v="2"/>
    <x v="3"/>
    <s v="FI_large"/>
    <x v="14"/>
    <n v="24.3419652029826"/>
    <n v="6.7616570008285004"/>
  </r>
  <r>
    <x v="0"/>
    <x v="18"/>
    <x v="2"/>
    <x v="3"/>
    <s v="FI_large"/>
    <x v="15"/>
    <n v="1.65807589063794"/>
    <n v="0.46057663628831802"/>
  </r>
  <r>
    <x v="0"/>
    <x v="18"/>
    <x v="2"/>
    <x v="3"/>
    <s v="FI_large"/>
    <x v="16"/>
    <n v="6.7156619979650802"/>
    <n v="1.8654616661014101"/>
  </r>
  <r>
    <x v="0"/>
    <x v="18"/>
    <x v="2"/>
    <x v="3"/>
    <s v="FI_large"/>
    <x v="17"/>
    <n v="9.1244895875632395"/>
    <n v="2.5345804409897901"/>
  </r>
  <r>
    <x v="0"/>
    <x v="18"/>
    <x v="2"/>
    <x v="3"/>
    <s v="FI_large"/>
    <x v="18"/>
    <n v="24.3419652029826"/>
    <n v="6.7616570008285004"/>
  </r>
  <r>
    <x v="0"/>
    <x v="18"/>
    <x v="2"/>
    <x v="3"/>
    <s v="FI_large"/>
    <x v="19"/>
    <n v="8.1139884009941898"/>
    <n v="2.2538856669428302"/>
  </r>
  <r>
    <x v="0"/>
    <x v="18"/>
    <x v="2"/>
    <x v="3"/>
    <s v="FI_large"/>
    <x v="20"/>
    <n v="21.431396138420201"/>
    <n v="5.9531655940056103"/>
  </r>
  <r>
    <x v="0"/>
    <x v="18"/>
    <x v="2"/>
    <x v="3"/>
    <s v="FI_large"/>
    <x v="28"/>
    <n v="41.38758"/>
    <n v="11.496549999999999"/>
  </r>
  <r>
    <x v="0"/>
    <x v="18"/>
    <x v="2"/>
    <x v="3"/>
    <s v="FI_large"/>
    <x v="21"/>
    <n v="48.24"/>
    <n v="13.4"/>
  </r>
  <r>
    <x v="0"/>
    <x v="18"/>
    <x v="2"/>
    <x v="3"/>
    <s v="FI_large"/>
    <x v="22"/>
    <n v="67.680000000000007"/>
    <n v="18.8"/>
  </r>
  <r>
    <x v="0"/>
    <x v="18"/>
    <x v="2"/>
    <x v="3"/>
    <s v="FI_large"/>
    <x v="23"/>
    <n v="0.31515896120488701"/>
    <n v="8.7544155890246306E-2"/>
  </r>
  <r>
    <x v="0"/>
    <x v="18"/>
    <x v="2"/>
    <x v="3"/>
    <s v="FI_large"/>
    <x v="24"/>
    <n v="19.174223581093901"/>
    <n v="5.32617321697054"/>
  </r>
  <r>
    <x v="0"/>
    <x v="18"/>
    <x v="2"/>
    <x v="3"/>
    <s v="FI_large"/>
    <x v="25"/>
    <n v="25.064747068787099"/>
    <n v="6.9624297413297498"/>
  </r>
  <r>
    <x v="0"/>
    <x v="18"/>
    <x v="2"/>
    <x v="3"/>
    <s v="FI_large"/>
    <x v="26"/>
    <n v="32.516643167392601"/>
    <n v="9.03240087983127"/>
  </r>
  <r>
    <x v="0"/>
    <x v="18"/>
    <x v="2"/>
    <x v="3"/>
    <s v="FI_large"/>
    <x v="27"/>
    <n v="20.163995508318798"/>
    <n v="5.6011098634218799"/>
  </r>
  <r>
    <x v="0"/>
    <x v="18"/>
    <x v="2"/>
    <x v="3"/>
    <s v="FI_large_gas"/>
    <x v="1"/>
    <n v="35.989199999999997"/>
    <n v="9.9969999999999999"/>
  </r>
  <r>
    <x v="0"/>
    <x v="18"/>
    <x v="2"/>
    <x v="3"/>
    <s v="FI_large_gas"/>
    <x v="2"/>
    <n v="2.52"/>
    <n v="0.7"/>
  </r>
  <r>
    <x v="0"/>
    <x v="18"/>
    <x v="2"/>
    <x v="3"/>
    <s v="FI_large_gas"/>
    <x v="0"/>
    <n v="42.692399999999999"/>
    <n v="11.859"/>
  </r>
  <r>
    <x v="0"/>
    <x v="18"/>
    <x v="2"/>
    <x v="3"/>
    <s v="FI_large_gas"/>
    <x v="3"/>
    <n v="51.633543144067197"/>
    <n v="14.342650873352"/>
  </r>
  <r>
    <x v="0"/>
    <x v="18"/>
    <x v="2"/>
    <x v="3"/>
    <s v="FI_large_gas"/>
    <x v="4"/>
    <n v="15.1696304888152"/>
    <n v="4.21378624689312"/>
  </r>
  <r>
    <x v="0"/>
    <x v="18"/>
    <x v="2"/>
    <x v="3"/>
    <s v="FI_large_gas"/>
    <x v="5"/>
    <n v="15.1696304888152"/>
    <n v="4.21378624689312"/>
  </r>
  <r>
    <x v="0"/>
    <x v="18"/>
    <x v="2"/>
    <x v="3"/>
    <s v="FI_large_gas"/>
    <x v="6"/>
    <n v="29.476231795214598"/>
    <n v="8.1878421653373898"/>
  </r>
  <r>
    <x v="0"/>
    <x v="18"/>
    <x v="2"/>
    <x v="3"/>
    <s v="FI_large_gas"/>
    <x v="7"/>
    <n v="57.838935220261199"/>
    <n v="16.066370894517"/>
  </r>
  <r>
    <x v="0"/>
    <x v="18"/>
    <x v="2"/>
    <x v="3"/>
    <s v="FI_large_gas"/>
    <x v="8"/>
    <n v="57.838935220261199"/>
    <n v="16.066370894517"/>
  </r>
  <r>
    <x v="0"/>
    <x v="18"/>
    <x v="2"/>
    <x v="3"/>
    <s v="FI_large_gas"/>
    <x v="9"/>
    <n v="51.506187241093599"/>
    <n v="14.3072742336371"/>
  </r>
  <r>
    <x v="0"/>
    <x v="18"/>
    <x v="2"/>
    <x v="3"/>
    <s v="FI_large_gas"/>
    <x v="10"/>
    <n v="72.320331400165799"/>
    <n v="20.088980944490501"/>
  </r>
  <r>
    <x v="0"/>
    <x v="18"/>
    <x v="2"/>
    <x v="3"/>
    <s v="FI_large_gas"/>
    <x v="11"/>
    <n v="8.1139884009941898"/>
    <n v="2.2538856669428302"/>
  </r>
  <r>
    <x v="0"/>
    <x v="18"/>
    <x v="2"/>
    <x v="3"/>
    <s v="FI_large_gas"/>
    <x v="12"/>
    <n v="9.7995028997514597E-2"/>
    <n v="2.72208413881985E-2"/>
  </r>
  <r>
    <x v="0"/>
    <x v="18"/>
    <x v="2"/>
    <x v="3"/>
    <s v="FI_large_gas"/>
    <x v="13"/>
    <n v="24.3419652029826"/>
    <n v="6.7616570008285004"/>
  </r>
  <r>
    <x v="0"/>
    <x v="18"/>
    <x v="2"/>
    <x v="3"/>
    <s v="FI_large_gas"/>
    <x v="14"/>
    <n v="24.3419652029826"/>
    <n v="6.7616570008285004"/>
  </r>
  <r>
    <x v="0"/>
    <x v="18"/>
    <x v="2"/>
    <x v="3"/>
    <s v="FI_large_gas"/>
    <x v="15"/>
    <n v="1.65807589063794"/>
    <n v="0.46057663628831802"/>
  </r>
  <r>
    <x v="0"/>
    <x v="18"/>
    <x v="2"/>
    <x v="3"/>
    <s v="FI_large_gas"/>
    <x v="16"/>
    <n v="6.7156619979650802"/>
    <n v="1.8654616661014101"/>
  </r>
  <r>
    <x v="0"/>
    <x v="18"/>
    <x v="2"/>
    <x v="3"/>
    <s v="FI_large_gas"/>
    <x v="17"/>
    <n v="9.1244895875632395"/>
    <n v="2.5345804409897901"/>
  </r>
  <r>
    <x v="0"/>
    <x v="18"/>
    <x v="2"/>
    <x v="3"/>
    <s v="FI_large_gas"/>
    <x v="18"/>
    <n v="24.3419652029826"/>
    <n v="6.7616570008285004"/>
  </r>
  <r>
    <x v="0"/>
    <x v="18"/>
    <x v="2"/>
    <x v="3"/>
    <s v="FI_large_gas"/>
    <x v="19"/>
    <n v="8.1139884009941898"/>
    <n v="2.2538856669428302"/>
  </r>
  <r>
    <x v="0"/>
    <x v="18"/>
    <x v="2"/>
    <x v="3"/>
    <s v="FI_large_gas"/>
    <x v="20"/>
    <n v="21.431396138420201"/>
    <n v="5.9531655940056103"/>
  </r>
  <r>
    <x v="0"/>
    <x v="18"/>
    <x v="2"/>
    <x v="3"/>
    <s v="FI_large_gas"/>
    <x v="28"/>
    <n v="41.38758"/>
    <n v="11.496549999999999"/>
  </r>
  <r>
    <x v="0"/>
    <x v="18"/>
    <x v="2"/>
    <x v="3"/>
    <s v="FI_large_gas"/>
    <x v="21"/>
    <n v="48.24"/>
    <n v="13.4"/>
  </r>
  <r>
    <x v="0"/>
    <x v="18"/>
    <x v="2"/>
    <x v="3"/>
    <s v="FI_large_gas"/>
    <x v="22"/>
    <n v="67.680000000000007"/>
    <n v="18.8"/>
  </r>
  <r>
    <x v="0"/>
    <x v="18"/>
    <x v="2"/>
    <x v="3"/>
    <s v="FI_large_gas"/>
    <x v="23"/>
    <n v="0.31515896120488701"/>
    <n v="8.7544155890246306E-2"/>
  </r>
  <r>
    <x v="0"/>
    <x v="18"/>
    <x v="2"/>
    <x v="3"/>
    <s v="FI_large_gas"/>
    <x v="24"/>
    <n v="19.174223581093901"/>
    <n v="5.32617321697054"/>
  </r>
  <r>
    <x v="0"/>
    <x v="18"/>
    <x v="2"/>
    <x v="3"/>
    <s v="FI_large_gas"/>
    <x v="25"/>
    <n v="25.064747068787099"/>
    <n v="6.9624297413297498"/>
  </r>
  <r>
    <x v="0"/>
    <x v="18"/>
    <x v="2"/>
    <x v="3"/>
    <s v="FI_large_gas"/>
    <x v="26"/>
    <n v="32.516643167392601"/>
    <n v="9.03240087983127"/>
  </r>
  <r>
    <x v="0"/>
    <x v="18"/>
    <x v="2"/>
    <x v="3"/>
    <s v="FI_large_gas"/>
    <x v="27"/>
    <n v="20.163995508318798"/>
    <n v="5.6011098634218799"/>
  </r>
  <r>
    <x v="0"/>
    <x v="18"/>
    <x v="2"/>
    <x v="3"/>
    <s v="FI_medium"/>
    <x v="1"/>
    <n v="35.989199999999997"/>
    <n v="9.9969999999999999"/>
  </r>
  <r>
    <x v="0"/>
    <x v="18"/>
    <x v="2"/>
    <x v="3"/>
    <s v="FI_medium"/>
    <x v="2"/>
    <n v="2.52"/>
    <n v="0.7"/>
  </r>
  <r>
    <x v="0"/>
    <x v="18"/>
    <x v="2"/>
    <x v="3"/>
    <s v="FI_medium"/>
    <x v="0"/>
    <n v="42.692399999999999"/>
    <n v="11.859"/>
  </r>
  <r>
    <x v="0"/>
    <x v="18"/>
    <x v="2"/>
    <x v="3"/>
    <s v="FI_medium"/>
    <x v="3"/>
    <n v="51.633543144067197"/>
    <n v="14.342650873352"/>
  </r>
  <r>
    <x v="0"/>
    <x v="18"/>
    <x v="2"/>
    <x v="3"/>
    <s v="FI_medium"/>
    <x v="4"/>
    <n v="15.1696304888152"/>
    <n v="4.21378624689312"/>
  </r>
  <r>
    <x v="0"/>
    <x v="18"/>
    <x v="2"/>
    <x v="3"/>
    <s v="FI_medium"/>
    <x v="5"/>
    <n v="15.1696304888152"/>
    <n v="4.21378624689312"/>
  </r>
  <r>
    <x v="0"/>
    <x v="18"/>
    <x v="2"/>
    <x v="3"/>
    <s v="FI_medium"/>
    <x v="6"/>
    <n v="29.476231795214598"/>
    <n v="8.1878421653373898"/>
  </r>
  <r>
    <x v="0"/>
    <x v="18"/>
    <x v="2"/>
    <x v="3"/>
    <s v="FI_medium"/>
    <x v="7"/>
    <n v="57.838935220261199"/>
    <n v="16.066370894517"/>
  </r>
  <r>
    <x v="0"/>
    <x v="18"/>
    <x v="2"/>
    <x v="3"/>
    <s v="FI_medium"/>
    <x v="8"/>
    <n v="57.838935220261199"/>
    <n v="16.066370894517"/>
  </r>
  <r>
    <x v="0"/>
    <x v="18"/>
    <x v="2"/>
    <x v="3"/>
    <s v="FI_medium"/>
    <x v="9"/>
    <n v="51.506187241093599"/>
    <n v="14.3072742336371"/>
  </r>
  <r>
    <x v="0"/>
    <x v="18"/>
    <x v="2"/>
    <x v="3"/>
    <s v="FI_medium"/>
    <x v="10"/>
    <n v="72.320331400165799"/>
    <n v="20.088980944490501"/>
  </r>
  <r>
    <x v="0"/>
    <x v="18"/>
    <x v="2"/>
    <x v="3"/>
    <s v="FI_medium"/>
    <x v="11"/>
    <n v="8.1139884009941898"/>
    <n v="2.2538856669428302"/>
  </r>
  <r>
    <x v="0"/>
    <x v="18"/>
    <x v="2"/>
    <x v="3"/>
    <s v="FI_medium"/>
    <x v="12"/>
    <n v="9.7995028997514597E-2"/>
    <n v="2.72208413881985E-2"/>
  </r>
  <r>
    <x v="0"/>
    <x v="18"/>
    <x v="2"/>
    <x v="3"/>
    <s v="FI_medium"/>
    <x v="13"/>
    <n v="24.3419652029826"/>
    <n v="6.7616570008285004"/>
  </r>
  <r>
    <x v="0"/>
    <x v="18"/>
    <x v="2"/>
    <x v="3"/>
    <s v="FI_medium"/>
    <x v="14"/>
    <n v="24.3419652029826"/>
    <n v="6.7616570008285004"/>
  </r>
  <r>
    <x v="0"/>
    <x v="18"/>
    <x v="2"/>
    <x v="3"/>
    <s v="FI_medium"/>
    <x v="15"/>
    <n v="1.65807589063794"/>
    <n v="0.46057663628831802"/>
  </r>
  <r>
    <x v="0"/>
    <x v="18"/>
    <x v="2"/>
    <x v="3"/>
    <s v="FI_medium"/>
    <x v="16"/>
    <n v="6.7156619979650802"/>
    <n v="1.8654616661014101"/>
  </r>
  <r>
    <x v="0"/>
    <x v="18"/>
    <x v="2"/>
    <x v="3"/>
    <s v="FI_medium"/>
    <x v="17"/>
    <n v="9.1244895875632395"/>
    <n v="2.5345804409897901"/>
  </r>
  <r>
    <x v="0"/>
    <x v="18"/>
    <x v="2"/>
    <x v="3"/>
    <s v="FI_medium"/>
    <x v="18"/>
    <n v="24.3419652029826"/>
    <n v="6.7616570008285004"/>
  </r>
  <r>
    <x v="0"/>
    <x v="18"/>
    <x v="2"/>
    <x v="3"/>
    <s v="FI_medium"/>
    <x v="19"/>
    <n v="8.1139884009941898"/>
    <n v="2.2538856669428302"/>
  </r>
  <r>
    <x v="0"/>
    <x v="18"/>
    <x v="2"/>
    <x v="3"/>
    <s v="FI_medium"/>
    <x v="20"/>
    <n v="21.431396138420201"/>
    <n v="5.9531655940056103"/>
  </r>
  <r>
    <x v="0"/>
    <x v="18"/>
    <x v="2"/>
    <x v="3"/>
    <s v="FI_medium"/>
    <x v="28"/>
    <n v="41.38758"/>
    <n v="11.496549999999999"/>
  </r>
  <r>
    <x v="0"/>
    <x v="18"/>
    <x v="2"/>
    <x v="3"/>
    <s v="FI_medium"/>
    <x v="21"/>
    <n v="48.24"/>
    <n v="13.4"/>
  </r>
  <r>
    <x v="0"/>
    <x v="18"/>
    <x v="2"/>
    <x v="3"/>
    <s v="FI_medium"/>
    <x v="22"/>
    <n v="67.680000000000007"/>
    <n v="18.8"/>
  </r>
  <r>
    <x v="0"/>
    <x v="18"/>
    <x v="2"/>
    <x v="3"/>
    <s v="FI_medium"/>
    <x v="23"/>
    <n v="0.31515896120488701"/>
    <n v="8.7544155890246306E-2"/>
  </r>
  <r>
    <x v="0"/>
    <x v="18"/>
    <x v="2"/>
    <x v="3"/>
    <s v="FI_medium"/>
    <x v="24"/>
    <n v="19.174223581093901"/>
    <n v="5.32617321697054"/>
  </r>
  <r>
    <x v="0"/>
    <x v="18"/>
    <x v="2"/>
    <x v="3"/>
    <s v="FI_medium"/>
    <x v="25"/>
    <n v="25.064747068787099"/>
    <n v="6.9624297413297498"/>
  </r>
  <r>
    <x v="0"/>
    <x v="18"/>
    <x v="2"/>
    <x v="3"/>
    <s v="FI_medium"/>
    <x v="26"/>
    <n v="32.516643167392601"/>
    <n v="9.03240087983127"/>
  </r>
  <r>
    <x v="0"/>
    <x v="18"/>
    <x v="2"/>
    <x v="3"/>
    <s v="FI_medium"/>
    <x v="27"/>
    <n v="20.163995508318798"/>
    <n v="5.6011098634218799"/>
  </r>
  <r>
    <x v="0"/>
    <x v="18"/>
    <x v="2"/>
    <x v="3"/>
    <s v="FI_medium_gas"/>
    <x v="1"/>
    <n v="35.989199999999997"/>
    <n v="9.9969999999999999"/>
  </r>
  <r>
    <x v="0"/>
    <x v="18"/>
    <x v="2"/>
    <x v="3"/>
    <s v="FI_medium_gas"/>
    <x v="2"/>
    <n v="2.52"/>
    <n v="0.7"/>
  </r>
  <r>
    <x v="0"/>
    <x v="18"/>
    <x v="2"/>
    <x v="3"/>
    <s v="FI_medium_gas"/>
    <x v="0"/>
    <n v="42.692399999999999"/>
    <n v="11.859"/>
  </r>
  <r>
    <x v="0"/>
    <x v="18"/>
    <x v="2"/>
    <x v="3"/>
    <s v="FI_medium_gas"/>
    <x v="3"/>
    <n v="51.633543144067197"/>
    <n v="14.342650873352"/>
  </r>
  <r>
    <x v="0"/>
    <x v="18"/>
    <x v="2"/>
    <x v="3"/>
    <s v="FI_medium_gas"/>
    <x v="4"/>
    <n v="15.1696304888152"/>
    <n v="4.21378624689312"/>
  </r>
  <r>
    <x v="0"/>
    <x v="18"/>
    <x v="2"/>
    <x v="3"/>
    <s v="FI_medium_gas"/>
    <x v="5"/>
    <n v="15.1696304888152"/>
    <n v="4.21378624689312"/>
  </r>
  <r>
    <x v="0"/>
    <x v="18"/>
    <x v="2"/>
    <x v="3"/>
    <s v="FI_medium_gas"/>
    <x v="6"/>
    <n v="29.476231795214598"/>
    <n v="8.1878421653373898"/>
  </r>
  <r>
    <x v="0"/>
    <x v="18"/>
    <x v="2"/>
    <x v="3"/>
    <s v="FI_medium_gas"/>
    <x v="7"/>
    <n v="57.838935220261199"/>
    <n v="16.066370894517"/>
  </r>
  <r>
    <x v="0"/>
    <x v="18"/>
    <x v="2"/>
    <x v="3"/>
    <s v="FI_medium_gas"/>
    <x v="8"/>
    <n v="57.838935220261199"/>
    <n v="16.066370894517"/>
  </r>
  <r>
    <x v="0"/>
    <x v="18"/>
    <x v="2"/>
    <x v="3"/>
    <s v="FI_medium_gas"/>
    <x v="9"/>
    <n v="51.506187241093599"/>
    <n v="14.3072742336371"/>
  </r>
  <r>
    <x v="0"/>
    <x v="18"/>
    <x v="2"/>
    <x v="3"/>
    <s v="FI_medium_gas"/>
    <x v="10"/>
    <n v="72.320331400165799"/>
    <n v="20.088980944490501"/>
  </r>
  <r>
    <x v="0"/>
    <x v="18"/>
    <x v="2"/>
    <x v="3"/>
    <s v="FI_medium_gas"/>
    <x v="11"/>
    <n v="8.1139884009941898"/>
    <n v="2.2538856669428302"/>
  </r>
  <r>
    <x v="0"/>
    <x v="18"/>
    <x v="2"/>
    <x v="3"/>
    <s v="FI_medium_gas"/>
    <x v="12"/>
    <n v="9.7995028997514597E-2"/>
    <n v="2.72208413881985E-2"/>
  </r>
  <r>
    <x v="0"/>
    <x v="18"/>
    <x v="2"/>
    <x v="3"/>
    <s v="FI_medium_gas"/>
    <x v="13"/>
    <n v="24.3419652029826"/>
    <n v="6.7616570008285004"/>
  </r>
  <r>
    <x v="0"/>
    <x v="18"/>
    <x v="2"/>
    <x v="3"/>
    <s v="FI_medium_gas"/>
    <x v="14"/>
    <n v="24.3419652029826"/>
    <n v="6.7616570008285004"/>
  </r>
  <r>
    <x v="0"/>
    <x v="18"/>
    <x v="2"/>
    <x v="3"/>
    <s v="FI_medium_gas"/>
    <x v="15"/>
    <n v="1.65807589063794"/>
    <n v="0.46057663628831802"/>
  </r>
  <r>
    <x v="0"/>
    <x v="18"/>
    <x v="2"/>
    <x v="3"/>
    <s v="FI_medium_gas"/>
    <x v="16"/>
    <n v="6.7156619979650802"/>
    <n v="1.8654616661014101"/>
  </r>
  <r>
    <x v="0"/>
    <x v="18"/>
    <x v="2"/>
    <x v="3"/>
    <s v="FI_medium_gas"/>
    <x v="17"/>
    <n v="9.1244895875632395"/>
    <n v="2.5345804409897901"/>
  </r>
  <r>
    <x v="0"/>
    <x v="18"/>
    <x v="2"/>
    <x v="3"/>
    <s v="FI_medium_gas"/>
    <x v="18"/>
    <n v="24.3419652029826"/>
    <n v="6.7616570008285004"/>
  </r>
  <r>
    <x v="0"/>
    <x v="18"/>
    <x v="2"/>
    <x v="3"/>
    <s v="FI_medium_gas"/>
    <x v="19"/>
    <n v="8.1139884009941898"/>
    <n v="2.2538856669428302"/>
  </r>
  <r>
    <x v="0"/>
    <x v="18"/>
    <x v="2"/>
    <x v="3"/>
    <s v="FI_medium_gas"/>
    <x v="20"/>
    <n v="21.431396138420201"/>
    <n v="5.9531655940056103"/>
  </r>
  <r>
    <x v="0"/>
    <x v="18"/>
    <x v="2"/>
    <x v="3"/>
    <s v="FI_medium_gas"/>
    <x v="28"/>
    <n v="41.38758"/>
    <n v="11.496549999999999"/>
  </r>
  <r>
    <x v="0"/>
    <x v="18"/>
    <x v="2"/>
    <x v="3"/>
    <s v="FI_medium_gas"/>
    <x v="21"/>
    <n v="48.24"/>
    <n v="13.4"/>
  </r>
  <r>
    <x v="0"/>
    <x v="18"/>
    <x v="2"/>
    <x v="3"/>
    <s v="FI_medium_gas"/>
    <x v="22"/>
    <n v="67.680000000000007"/>
    <n v="18.8"/>
  </r>
  <r>
    <x v="0"/>
    <x v="18"/>
    <x v="2"/>
    <x v="3"/>
    <s v="FI_medium_gas"/>
    <x v="23"/>
    <n v="0.31515896120488701"/>
    <n v="8.7544155890246306E-2"/>
  </r>
  <r>
    <x v="0"/>
    <x v="18"/>
    <x v="2"/>
    <x v="3"/>
    <s v="FI_medium_gas"/>
    <x v="24"/>
    <n v="19.174223581093901"/>
    <n v="5.32617321697054"/>
  </r>
  <r>
    <x v="0"/>
    <x v="18"/>
    <x v="2"/>
    <x v="3"/>
    <s v="FI_medium_gas"/>
    <x v="25"/>
    <n v="25.064747068787099"/>
    <n v="6.9624297413297498"/>
  </r>
  <r>
    <x v="0"/>
    <x v="18"/>
    <x v="2"/>
    <x v="3"/>
    <s v="FI_medium_gas"/>
    <x v="26"/>
    <n v="32.516643167392601"/>
    <n v="9.03240087983127"/>
  </r>
  <r>
    <x v="0"/>
    <x v="18"/>
    <x v="2"/>
    <x v="3"/>
    <s v="FI_medium_gas"/>
    <x v="27"/>
    <n v="20.163995508318798"/>
    <n v="5.6011098634218799"/>
  </r>
  <r>
    <x v="0"/>
    <x v="18"/>
    <x v="2"/>
    <x v="3"/>
    <s v="FI_small"/>
    <x v="1"/>
    <n v="35.989199999999997"/>
    <n v="9.9969999999999999"/>
  </r>
  <r>
    <x v="0"/>
    <x v="18"/>
    <x v="2"/>
    <x v="3"/>
    <s v="FI_small"/>
    <x v="2"/>
    <n v="2.52"/>
    <n v="0.7"/>
  </r>
  <r>
    <x v="0"/>
    <x v="18"/>
    <x v="2"/>
    <x v="3"/>
    <s v="FI_small"/>
    <x v="0"/>
    <n v="42.692399999999999"/>
    <n v="11.859"/>
  </r>
  <r>
    <x v="0"/>
    <x v="18"/>
    <x v="2"/>
    <x v="3"/>
    <s v="FI_small"/>
    <x v="3"/>
    <n v="51.633543144067197"/>
    <n v="14.342650873352"/>
  </r>
  <r>
    <x v="0"/>
    <x v="18"/>
    <x v="2"/>
    <x v="3"/>
    <s v="FI_small"/>
    <x v="4"/>
    <n v="15.1696304888152"/>
    <n v="4.21378624689312"/>
  </r>
  <r>
    <x v="0"/>
    <x v="18"/>
    <x v="2"/>
    <x v="3"/>
    <s v="FI_small"/>
    <x v="5"/>
    <n v="15.1696304888152"/>
    <n v="4.21378624689312"/>
  </r>
  <r>
    <x v="0"/>
    <x v="18"/>
    <x v="2"/>
    <x v="3"/>
    <s v="FI_small"/>
    <x v="6"/>
    <n v="29.476231795214598"/>
    <n v="8.1878421653373898"/>
  </r>
  <r>
    <x v="0"/>
    <x v="18"/>
    <x v="2"/>
    <x v="3"/>
    <s v="FI_small"/>
    <x v="7"/>
    <n v="57.838935220261199"/>
    <n v="16.066370894517"/>
  </r>
  <r>
    <x v="0"/>
    <x v="18"/>
    <x v="2"/>
    <x v="3"/>
    <s v="FI_small"/>
    <x v="8"/>
    <n v="57.838935220261199"/>
    <n v="16.066370894517"/>
  </r>
  <r>
    <x v="0"/>
    <x v="18"/>
    <x v="2"/>
    <x v="3"/>
    <s v="FI_small"/>
    <x v="9"/>
    <n v="51.506187241093599"/>
    <n v="14.3072742336371"/>
  </r>
  <r>
    <x v="0"/>
    <x v="18"/>
    <x v="2"/>
    <x v="3"/>
    <s v="FI_small"/>
    <x v="10"/>
    <n v="72.320331400165799"/>
    <n v="20.088980944490501"/>
  </r>
  <r>
    <x v="0"/>
    <x v="18"/>
    <x v="2"/>
    <x v="3"/>
    <s v="FI_small"/>
    <x v="11"/>
    <n v="8.1139884009941898"/>
    <n v="2.2538856669428302"/>
  </r>
  <r>
    <x v="0"/>
    <x v="18"/>
    <x v="2"/>
    <x v="3"/>
    <s v="FI_small"/>
    <x v="12"/>
    <n v="9.7995028997514597E-2"/>
    <n v="2.72208413881985E-2"/>
  </r>
  <r>
    <x v="0"/>
    <x v="18"/>
    <x v="2"/>
    <x v="3"/>
    <s v="FI_small"/>
    <x v="13"/>
    <n v="24.3419652029826"/>
    <n v="6.7616570008285004"/>
  </r>
  <r>
    <x v="0"/>
    <x v="18"/>
    <x v="2"/>
    <x v="3"/>
    <s v="FI_small"/>
    <x v="14"/>
    <n v="24.3419652029826"/>
    <n v="6.7616570008285004"/>
  </r>
  <r>
    <x v="0"/>
    <x v="18"/>
    <x v="2"/>
    <x v="3"/>
    <s v="FI_small"/>
    <x v="15"/>
    <n v="1.65807589063794"/>
    <n v="0.46057663628831802"/>
  </r>
  <r>
    <x v="0"/>
    <x v="18"/>
    <x v="2"/>
    <x v="3"/>
    <s v="FI_small"/>
    <x v="16"/>
    <n v="6.7156619979650802"/>
    <n v="1.8654616661014101"/>
  </r>
  <r>
    <x v="0"/>
    <x v="18"/>
    <x v="2"/>
    <x v="3"/>
    <s v="FI_small"/>
    <x v="17"/>
    <n v="9.1244895875632395"/>
    <n v="2.5345804409897901"/>
  </r>
  <r>
    <x v="0"/>
    <x v="18"/>
    <x v="2"/>
    <x v="3"/>
    <s v="FI_small"/>
    <x v="18"/>
    <n v="24.3419652029826"/>
    <n v="6.7616570008285004"/>
  </r>
  <r>
    <x v="0"/>
    <x v="18"/>
    <x v="2"/>
    <x v="3"/>
    <s v="FI_small"/>
    <x v="19"/>
    <n v="8.1139884009941898"/>
    <n v="2.2538856669428302"/>
  </r>
  <r>
    <x v="0"/>
    <x v="18"/>
    <x v="2"/>
    <x v="3"/>
    <s v="FI_small"/>
    <x v="20"/>
    <n v="21.431396138420201"/>
    <n v="5.9531655940056103"/>
  </r>
  <r>
    <x v="0"/>
    <x v="18"/>
    <x v="2"/>
    <x v="3"/>
    <s v="FI_small"/>
    <x v="28"/>
    <n v="41.38758"/>
    <n v="11.496549999999999"/>
  </r>
  <r>
    <x v="0"/>
    <x v="18"/>
    <x v="2"/>
    <x v="3"/>
    <s v="FI_small"/>
    <x v="21"/>
    <n v="48.24"/>
    <n v="13.4"/>
  </r>
  <r>
    <x v="0"/>
    <x v="18"/>
    <x v="2"/>
    <x v="3"/>
    <s v="FI_small"/>
    <x v="22"/>
    <n v="67.680000000000007"/>
    <n v="18.8"/>
  </r>
  <r>
    <x v="0"/>
    <x v="18"/>
    <x v="2"/>
    <x v="3"/>
    <s v="FI_small"/>
    <x v="23"/>
    <n v="0.31515896120488701"/>
    <n v="8.7544155890246306E-2"/>
  </r>
  <r>
    <x v="0"/>
    <x v="18"/>
    <x v="2"/>
    <x v="3"/>
    <s v="FI_small"/>
    <x v="24"/>
    <n v="19.174223581093901"/>
    <n v="5.32617321697054"/>
  </r>
  <r>
    <x v="0"/>
    <x v="18"/>
    <x v="2"/>
    <x v="3"/>
    <s v="FI_small"/>
    <x v="25"/>
    <n v="25.064747068787099"/>
    <n v="6.9624297413297498"/>
  </r>
  <r>
    <x v="0"/>
    <x v="18"/>
    <x v="2"/>
    <x v="3"/>
    <s v="FI_small"/>
    <x v="26"/>
    <n v="32.516643167392601"/>
    <n v="9.03240087983127"/>
  </r>
  <r>
    <x v="0"/>
    <x v="18"/>
    <x v="2"/>
    <x v="3"/>
    <s v="FI_small"/>
    <x v="27"/>
    <n v="20.163995508318798"/>
    <n v="5.6011098634218799"/>
  </r>
  <r>
    <x v="0"/>
    <x v="18"/>
    <x v="2"/>
    <x v="3"/>
    <s v="FI_small_gas"/>
    <x v="1"/>
    <n v="35.989199999999997"/>
    <n v="9.9969999999999999"/>
  </r>
  <r>
    <x v="0"/>
    <x v="18"/>
    <x v="2"/>
    <x v="3"/>
    <s v="FI_small_gas"/>
    <x v="2"/>
    <n v="2.52"/>
    <n v="0.7"/>
  </r>
  <r>
    <x v="0"/>
    <x v="18"/>
    <x v="2"/>
    <x v="3"/>
    <s v="FI_small_gas"/>
    <x v="0"/>
    <n v="42.692399999999999"/>
    <n v="11.859"/>
  </r>
  <r>
    <x v="0"/>
    <x v="18"/>
    <x v="2"/>
    <x v="3"/>
    <s v="FI_small_gas"/>
    <x v="3"/>
    <n v="51.633543144067197"/>
    <n v="14.342650873352"/>
  </r>
  <r>
    <x v="0"/>
    <x v="18"/>
    <x v="2"/>
    <x v="3"/>
    <s v="FI_small_gas"/>
    <x v="4"/>
    <n v="15.1696304888152"/>
    <n v="4.21378624689312"/>
  </r>
  <r>
    <x v="0"/>
    <x v="18"/>
    <x v="2"/>
    <x v="3"/>
    <s v="FI_small_gas"/>
    <x v="5"/>
    <n v="15.1696304888152"/>
    <n v="4.21378624689312"/>
  </r>
  <r>
    <x v="0"/>
    <x v="18"/>
    <x v="2"/>
    <x v="3"/>
    <s v="FI_small_gas"/>
    <x v="6"/>
    <n v="29.476231795214598"/>
    <n v="8.1878421653373898"/>
  </r>
  <r>
    <x v="0"/>
    <x v="18"/>
    <x v="2"/>
    <x v="3"/>
    <s v="FI_small_gas"/>
    <x v="7"/>
    <n v="57.838935220261199"/>
    <n v="16.066370894517"/>
  </r>
  <r>
    <x v="0"/>
    <x v="18"/>
    <x v="2"/>
    <x v="3"/>
    <s v="FI_small_gas"/>
    <x v="8"/>
    <n v="57.838935220261199"/>
    <n v="16.066370894517"/>
  </r>
  <r>
    <x v="0"/>
    <x v="18"/>
    <x v="2"/>
    <x v="3"/>
    <s v="FI_small_gas"/>
    <x v="9"/>
    <n v="51.506187241093599"/>
    <n v="14.3072742336371"/>
  </r>
  <r>
    <x v="0"/>
    <x v="18"/>
    <x v="2"/>
    <x v="3"/>
    <s v="FI_small_gas"/>
    <x v="10"/>
    <n v="72.320331400165799"/>
    <n v="20.088980944490501"/>
  </r>
  <r>
    <x v="0"/>
    <x v="18"/>
    <x v="2"/>
    <x v="3"/>
    <s v="FI_small_gas"/>
    <x v="11"/>
    <n v="8.1139884009941898"/>
    <n v="2.2538856669428302"/>
  </r>
  <r>
    <x v="0"/>
    <x v="18"/>
    <x v="2"/>
    <x v="3"/>
    <s v="FI_small_gas"/>
    <x v="12"/>
    <n v="9.7995028997514597E-2"/>
    <n v="2.72208413881985E-2"/>
  </r>
  <r>
    <x v="0"/>
    <x v="18"/>
    <x v="2"/>
    <x v="3"/>
    <s v="FI_small_gas"/>
    <x v="13"/>
    <n v="24.3419652029826"/>
    <n v="6.7616570008285004"/>
  </r>
  <r>
    <x v="0"/>
    <x v="18"/>
    <x v="2"/>
    <x v="3"/>
    <s v="FI_small_gas"/>
    <x v="14"/>
    <n v="24.3419652029826"/>
    <n v="6.7616570008285004"/>
  </r>
  <r>
    <x v="0"/>
    <x v="18"/>
    <x v="2"/>
    <x v="3"/>
    <s v="FI_small_gas"/>
    <x v="15"/>
    <n v="1.65807589063794"/>
    <n v="0.46057663628831802"/>
  </r>
  <r>
    <x v="0"/>
    <x v="18"/>
    <x v="2"/>
    <x v="3"/>
    <s v="FI_small_gas"/>
    <x v="16"/>
    <n v="6.7156619979650802"/>
    <n v="1.8654616661014101"/>
  </r>
  <r>
    <x v="0"/>
    <x v="18"/>
    <x v="2"/>
    <x v="3"/>
    <s v="FI_small_gas"/>
    <x v="17"/>
    <n v="9.1244895875632395"/>
    <n v="2.5345804409897901"/>
  </r>
  <r>
    <x v="0"/>
    <x v="18"/>
    <x v="2"/>
    <x v="3"/>
    <s v="FI_small_gas"/>
    <x v="18"/>
    <n v="24.3419652029826"/>
    <n v="6.7616570008285004"/>
  </r>
  <r>
    <x v="0"/>
    <x v="18"/>
    <x v="2"/>
    <x v="3"/>
    <s v="FI_small_gas"/>
    <x v="19"/>
    <n v="8.1139884009941898"/>
    <n v="2.2538856669428302"/>
  </r>
  <r>
    <x v="0"/>
    <x v="18"/>
    <x v="2"/>
    <x v="3"/>
    <s v="FI_small_gas"/>
    <x v="20"/>
    <n v="21.431396138420201"/>
    <n v="5.9531655940056103"/>
  </r>
  <r>
    <x v="0"/>
    <x v="18"/>
    <x v="2"/>
    <x v="3"/>
    <s v="FI_small_gas"/>
    <x v="28"/>
    <n v="41.38758"/>
    <n v="11.496549999999999"/>
  </r>
  <r>
    <x v="0"/>
    <x v="18"/>
    <x v="2"/>
    <x v="3"/>
    <s v="FI_small_gas"/>
    <x v="21"/>
    <n v="48.24"/>
    <n v="13.4"/>
  </r>
  <r>
    <x v="0"/>
    <x v="18"/>
    <x v="2"/>
    <x v="3"/>
    <s v="FI_small_gas"/>
    <x v="22"/>
    <n v="67.680000000000007"/>
    <n v="18.8"/>
  </r>
  <r>
    <x v="0"/>
    <x v="18"/>
    <x v="2"/>
    <x v="3"/>
    <s v="FI_small_gas"/>
    <x v="23"/>
    <n v="0.31515896120488701"/>
    <n v="8.7544155890246306E-2"/>
  </r>
  <r>
    <x v="0"/>
    <x v="18"/>
    <x v="2"/>
    <x v="3"/>
    <s v="FI_small_gas"/>
    <x v="24"/>
    <n v="19.174223581093901"/>
    <n v="5.32617321697054"/>
  </r>
  <r>
    <x v="0"/>
    <x v="18"/>
    <x v="2"/>
    <x v="3"/>
    <s v="FI_small_gas"/>
    <x v="25"/>
    <n v="25.064747068787099"/>
    <n v="6.9624297413297498"/>
  </r>
  <r>
    <x v="0"/>
    <x v="18"/>
    <x v="2"/>
    <x v="3"/>
    <s v="FI_small_gas"/>
    <x v="26"/>
    <n v="32.516643167392601"/>
    <n v="9.03240087983127"/>
  </r>
  <r>
    <x v="0"/>
    <x v="18"/>
    <x v="2"/>
    <x v="3"/>
    <s v="FI_small_gas"/>
    <x v="27"/>
    <n v="20.163995508318798"/>
    <n v="5.6011098634218799"/>
  </r>
  <r>
    <x v="0"/>
    <x v="18"/>
    <x v="2"/>
    <x v="3"/>
    <s v="FinA"/>
    <x v="1"/>
    <n v="35.989199999999997"/>
    <n v="9.9969999999999999"/>
  </r>
  <r>
    <x v="0"/>
    <x v="18"/>
    <x v="2"/>
    <x v="3"/>
    <s v="FinA"/>
    <x v="2"/>
    <n v="2.52"/>
    <n v="0.7"/>
  </r>
  <r>
    <x v="0"/>
    <x v="18"/>
    <x v="2"/>
    <x v="3"/>
    <s v="FinA"/>
    <x v="0"/>
    <n v="42.692399999999999"/>
    <n v="11.859"/>
  </r>
  <r>
    <x v="0"/>
    <x v="18"/>
    <x v="2"/>
    <x v="3"/>
    <s v="FinA"/>
    <x v="3"/>
    <n v="51.633543144067197"/>
    <n v="14.342650873352"/>
  </r>
  <r>
    <x v="0"/>
    <x v="18"/>
    <x v="2"/>
    <x v="3"/>
    <s v="FinA"/>
    <x v="4"/>
    <n v="15.1696304888152"/>
    <n v="4.21378624689312"/>
  </r>
  <r>
    <x v="0"/>
    <x v="18"/>
    <x v="2"/>
    <x v="3"/>
    <s v="FinA"/>
    <x v="5"/>
    <n v="15.1696304888152"/>
    <n v="4.21378624689312"/>
  </r>
  <r>
    <x v="0"/>
    <x v="18"/>
    <x v="2"/>
    <x v="3"/>
    <s v="FinA"/>
    <x v="6"/>
    <n v="29.476231795214598"/>
    <n v="8.1878421653373898"/>
  </r>
  <r>
    <x v="0"/>
    <x v="18"/>
    <x v="2"/>
    <x v="3"/>
    <s v="FinA"/>
    <x v="7"/>
    <n v="57.838935220261199"/>
    <n v="16.066370894517"/>
  </r>
  <r>
    <x v="0"/>
    <x v="18"/>
    <x v="2"/>
    <x v="3"/>
    <s v="FinA"/>
    <x v="8"/>
    <n v="57.838935220261199"/>
    <n v="16.066370894517"/>
  </r>
  <r>
    <x v="0"/>
    <x v="18"/>
    <x v="2"/>
    <x v="3"/>
    <s v="FinA"/>
    <x v="9"/>
    <n v="51.506187241093599"/>
    <n v="14.3072742336371"/>
  </r>
  <r>
    <x v="0"/>
    <x v="18"/>
    <x v="2"/>
    <x v="3"/>
    <s v="FinA"/>
    <x v="10"/>
    <n v="72.320331400165799"/>
    <n v="20.088980944490501"/>
  </r>
  <r>
    <x v="0"/>
    <x v="18"/>
    <x v="2"/>
    <x v="3"/>
    <s v="FinA"/>
    <x v="11"/>
    <n v="8.1139884009941898"/>
    <n v="2.2538856669428302"/>
  </r>
  <r>
    <x v="0"/>
    <x v="18"/>
    <x v="2"/>
    <x v="3"/>
    <s v="FinA"/>
    <x v="12"/>
    <n v="9.7995028997514597E-2"/>
    <n v="2.72208413881985E-2"/>
  </r>
  <r>
    <x v="0"/>
    <x v="18"/>
    <x v="2"/>
    <x v="3"/>
    <s v="FinA"/>
    <x v="13"/>
    <n v="24.3419652029826"/>
    <n v="6.7616570008285004"/>
  </r>
  <r>
    <x v="0"/>
    <x v="18"/>
    <x v="2"/>
    <x v="3"/>
    <s v="FinA"/>
    <x v="14"/>
    <n v="24.3419652029826"/>
    <n v="6.7616570008285004"/>
  </r>
  <r>
    <x v="0"/>
    <x v="18"/>
    <x v="2"/>
    <x v="3"/>
    <s v="FinA"/>
    <x v="15"/>
    <n v="1.65807589063794"/>
    <n v="0.46057663628831802"/>
  </r>
  <r>
    <x v="0"/>
    <x v="18"/>
    <x v="2"/>
    <x v="3"/>
    <s v="FinA"/>
    <x v="16"/>
    <n v="6.7156619979650802"/>
    <n v="1.8654616661014101"/>
  </r>
  <r>
    <x v="0"/>
    <x v="18"/>
    <x v="2"/>
    <x v="3"/>
    <s v="FinA"/>
    <x v="17"/>
    <n v="9.1244895875632395"/>
    <n v="2.5345804409897901"/>
  </r>
  <r>
    <x v="0"/>
    <x v="18"/>
    <x v="2"/>
    <x v="3"/>
    <s v="FinA"/>
    <x v="18"/>
    <n v="24.3419652029826"/>
    <n v="6.7616570008285004"/>
  </r>
  <r>
    <x v="0"/>
    <x v="18"/>
    <x v="2"/>
    <x v="3"/>
    <s v="FinA"/>
    <x v="19"/>
    <n v="8.1139884009941898"/>
    <n v="2.2538856669428302"/>
  </r>
  <r>
    <x v="0"/>
    <x v="18"/>
    <x v="2"/>
    <x v="3"/>
    <s v="FinA"/>
    <x v="20"/>
    <n v="21.431396138420201"/>
    <n v="5.9531655940056103"/>
  </r>
  <r>
    <x v="0"/>
    <x v="18"/>
    <x v="2"/>
    <x v="3"/>
    <s v="FinA"/>
    <x v="28"/>
    <n v="41.38758"/>
    <n v="11.496549999999999"/>
  </r>
  <r>
    <x v="0"/>
    <x v="18"/>
    <x v="2"/>
    <x v="3"/>
    <s v="FinA"/>
    <x v="21"/>
    <n v="48.24"/>
    <n v="13.4"/>
  </r>
  <r>
    <x v="0"/>
    <x v="18"/>
    <x v="2"/>
    <x v="3"/>
    <s v="FinA"/>
    <x v="22"/>
    <n v="67.680000000000007"/>
    <n v="18.8"/>
  </r>
  <r>
    <x v="0"/>
    <x v="18"/>
    <x v="2"/>
    <x v="3"/>
    <s v="FinA"/>
    <x v="23"/>
    <n v="0.31515896120488701"/>
    <n v="8.7544155890246306E-2"/>
  </r>
  <r>
    <x v="0"/>
    <x v="18"/>
    <x v="2"/>
    <x v="3"/>
    <s v="FinA"/>
    <x v="24"/>
    <n v="19.174223581093901"/>
    <n v="5.32617321697054"/>
  </r>
  <r>
    <x v="0"/>
    <x v="18"/>
    <x v="2"/>
    <x v="3"/>
    <s v="FinA"/>
    <x v="25"/>
    <n v="25.064747068787099"/>
    <n v="6.9624297413297498"/>
  </r>
  <r>
    <x v="0"/>
    <x v="18"/>
    <x v="2"/>
    <x v="3"/>
    <s v="FinA"/>
    <x v="26"/>
    <n v="32.516643167392601"/>
    <n v="9.03240087983127"/>
  </r>
  <r>
    <x v="0"/>
    <x v="18"/>
    <x v="2"/>
    <x v="3"/>
    <s v="FinA"/>
    <x v="27"/>
    <n v="20.163995508318798"/>
    <n v="5.6011098634218799"/>
  </r>
  <r>
    <x v="0"/>
    <x v="18"/>
    <x v="3"/>
    <x v="4"/>
    <s v="DE4-E_A"/>
    <x v="1"/>
    <n v="35.989199999999997"/>
    <n v="9.9969999999999999"/>
  </r>
  <r>
    <x v="0"/>
    <x v="18"/>
    <x v="3"/>
    <x v="4"/>
    <s v="DE4-E_A"/>
    <x v="2"/>
    <n v="2.52"/>
    <n v="0.7"/>
  </r>
  <r>
    <x v="0"/>
    <x v="18"/>
    <x v="3"/>
    <x v="4"/>
    <s v="DE4-E_A"/>
    <x v="0"/>
    <n v="42.692399999999999"/>
    <n v="11.859"/>
  </r>
  <r>
    <x v="0"/>
    <x v="18"/>
    <x v="3"/>
    <x v="4"/>
    <s v="DE4-E_A"/>
    <x v="3"/>
    <n v="51.633543144067197"/>
    <n v="14.342650873352"/>
  </r>
  <r>
    <x v="0"/>
    <x v="18"/>
    <x v="3"/>
    <x v="4"/>
    <s v="DE4-E_A"/>
    <x v="4"/>
    <n v="15.1696304888152"/>
    <n v="4.21378624689312"/>
  </r>
  <r>
    <x v="0"/>
    <x v="18"/>
    <x v="3"/>
    <x v="4"/>
    <s v="DE4-E_A"/>
    <x v="5"/>
    <n v="15.1696304888152"/>
    <n v="4.21378624689312"/>
  </r>
  <r>
    <x v="0"/>
    <x v="18"/>
    <x v="3"/>
    <x v="4"/>
    <s v="DE4-E_A"/>
    <x v="6"/>
    <n v="29.476231795214598"/>
    <n v="8.1878421653373898"/>
  </r>
  <r>
    <x v="0"/>
    <x v="18"/>
    <x v="3"/>
    <x v="4"/>
    <s v="DE4-E_A"/>
    <x v="7"/>
    <n v="57.838935220261199"/>
    <n v="16.066370894517"/>
  </r>
  <r>
    <x v="0"/>
    <x v="18"/>
    <x v="3"/>
    <x v="4"/>
    <s v="DE4-E_A"/>
    <x v="8"/>
    <n v="57.838935220261199"/>
    <n v="16.066370894517"/>
  </r>
  <r>
    <x v="0"/>
    <x v="18"/>
    <x v="3"/>
    <x v="4"/>
    <s v="DE4-E_A"/>
    <x v="9"/>
    <n v="51.506187241093599"/>
    <n v="14.3072742336371"/>
  </r>
  <r>
    <x v="0"/>
    <x v="18"/>
    <x v="3"/>
    <x v="4"/>
    <s v="DE4-E_A"/>
    <x v="10"/>
    <n v="72.320331400165799"/>
    <n v="20.088980944490501"/>
  </r>
  <r>
    <x v="0"/>
    <x v="18"/>
    <x v="3"/>
    <x v="4"/>
    <s v="DE4-E_A"/>
    <x v="11"/>
    <n v="8.1139884009941898"/>
    <n v="2.2538856669428302"/>
  </r>
  <r>
    <x v="0"/>
    <x v="18"/>
    <x v="3"/>
    <x v="4"/>
    <s v="DE4-E_A"/>
    <x v="12"/>
    <n v="9.7995028997514597E-2"/>
    <n v="2.72208413881985E-2"/>
  </r>
  <r>
    <x v="0"/>
    <x v="18"/>
    <x v="3"/>
    <x v="4"/>
    <s v="DE4-E_A"/>
    <x v="13"/>
    <n v="24.3419652029826"/>
    <n v="6.7616570008285004"/>
  </r>
  <r>
    <x v="0"/>
    <x v="18"/>
    <x v="3"/>
    <x v="4"/>
    <s v="DE4-E_A"/>
    <x v="14"/>
    <n v="24.3419652029826"/>
    <n v="6.7616570008285004"/>
  </r>
  <r>
    <x v="0"/>
    <x v="18"/>
    <x v="3"/>
    <x v="4"/>
    <s v="DE4-E_A"/>
    <x v="15"/>
    <n v="1.65807589063794"/>
    <n v="0.46057663628831802"/>
  </r>
  <r>
    <x v="0"/>
    <x v="18"/>
    <x v="3"/>
    <x v="4"/>
    <s v="DE4-E_A"/>
    <x v="16"/>
    <n v="6.7156619979650802"/>
    <n v="1.8654616661014101"/>
  </r>
  <r>
    <x v="0"/>
    <x v="18"/>
    <x v="3"/>
    <x v="4"/>
    <s v="DE4-E_A"/>
    <x v="17"/>
    <n v="9.1244895875632395"/>
    <n v="2.5345804409897901"/>
  </r>
  <r>
    <x v="0"/>
    <x v="18"/>
    <x v="3"/>
    <x v="4"/>
    <s v="DE4-E_A"/>
    <x v="18"/>
    <n v="24.3419652029826"/>
    <n v="6.7616570008285004"/>
  </r>
  <r>
    <x v="0"/>
    <x v="18"/>
    <x v="3"/>
    <x v="4"/>
    <s v="DE4-E_A"/>
    <x v="19"/>
    <n v="8.1139884009941898"/>
    <n v="2.2538856669428302"/>
  </r>
  <r>
    <x v="0"/>
    <x v="18"/>
    <x v="3"/>
    <x v="4"/>
    <s v="DE4-E_A"/>
    <x v="20"/>
    <n v="21.431396138420201"/>
    <n v="5.9531655940056103"/>
  </r>
  <r>
    <x v="0"/>
    <x v="18"/>
    <x v="3"/>
    <x v="4"/>
    <s v="DE4-E_A"/>
    <x v="28"/>
    <n v="41.38758"/>
    <n v="11.496549999999999"/>
  </r>
  <r>
    <x v="0"/>
    <x v="18"/>
    <x v="3"/>
    <x v="4"/>
    <s v="DE4-E_A"/>
    <x v="21"/>
    <n v="48.24"/>
    <n v="13.4"/>
  </r>
  <r>
    <x v="0"/>
    <x v="18"/>
    <x v="3"/>
    <x v="4"/>
    <s v="DE4-E_A"/>
    <x v="22"/>
    <n v="67.680000000000007"/>
    <n v="18.8"/>
  </r>
  <r>
    <x v="0"/>
    <x v="18"/>
    <x v="3"/>
    <x v="4"/>
    <s v="DE4-E_A"/>
    <x v="23"/>
    <n v="0.31515896120488701"/>
    <n v="8.7544155890246306E-2"/>
  </r>
  <r>
    <x v="0"/>
    <x v="18"/>
    <x v="3"/>
    <x v="4"/>
    <s v="DE4-E_A"/>
    <x v="24"/>
    <n v="19.174223581093901"/>
    <n v="5.32617321697054"/>
  </r>
  <r>
    <x v="0"/>
    <x v="18"/>
    <x v="3"/>
    <x v="4"/>
    <s v="DE4-E_A"/>
    <x v="25"/>
    <n v="25.064747068787099"/>
    <n v="6.9624297413297498"/>
  </r>
  <r>
    <x v="0"/>
    <x v="18"/>
    <x v="3"/>
    <x v="4"/>
    <s v="DE4-E_A"/>
    <x v="26"/>
    <n v="32.516643167392601"/>
    <n v="9.03240087983127"/>
  </r>
  <r>
    <x v="0"/>
    <x v="18"/>
    <x v="3"/>
    <x v="4"/>
    <s v="DE4-E_A"/>
    <x v="27"/>
    <n v="20.163995508318798"/>
    <n v="5.6011098634218799"/>
  </r>
  <r>
    <x v="0"/>
    <x v="18"/>
    <x v="3"/>
    <x v="4"/>
    <s v="DE4-E_Offshore_A"/>
    <x v="1"/>
    <n v="35.989199999999997"/>
    <n v="9.9969999999999999"/>
  </r>
  <r>
    <x v="0"/>
    <x v="18"/>
    <x v="3"/>
    <x v="4"/>
    <s v="DE4-E_Offshore_A"/>
    <x v="2"/>
    <n v="2.52"/>
    <n v="0.7"/>
  </r>
  <r>
    <x v="0"/>
    <x v="18"/>
    <x v="3"/>
    <x v="4"/>
    <s v="DE4-E_Offshore_A"/>
    <x v="0"/>
    <n v="42.692399999999999"/>
    <n v="11.859"/>
  </r>
  <r>
    <x v="0"/>
    <x v="18"/>
    <x v="3"/>
    <x v="4"/>
    <s v="DE4-E_Offshore_A"/>
    <x v="3"/>
    <n v="51.633543144067197"/>
    <n v="14.342650873352"/>
  </r>
  <r>
    <x v="0"/>
    <x v="18"/>
    <x v="3"/>
    <x v="4"/>
    <s v="DE4-E_Offshore_A"/>
    <x v="4"/>
    <n v="15.1696304888152"/>
    <n v="4.21378624689312"/>
  </r>
  <r>
    <x v="0"/>
    <x v="18"/>
    <x v="3"/>
    <x v="4"/>
    <s v="DE4-E_Offshore_A"/>
    <x v="5"/>
    <n v="15.1696304888152"/>
    <n v="4.21378624689312"/>
  </r>
  <r>
    <x v="0"/>
    <x v="18"/>
    <x v="3"/>
    <x v="4"/>
    <s v="DE4-E_Offshore_A"/>
    <x v="6"/>
    <n v="29.476231795214598"/>
    <n v="8.1878421653373898"/>
  </r>
  <r>
    <x v="0"/>
    <x v="18"/>
    <x v="3"/>
    <x v="4"/>
    <s v="DE4-E_Offshore_A"/>
    <x v="7"/>
    <n v="57.838935220261199"/>
    <n v="16.066370894517"/>
  </r>
  <r>
    <x v="0"/>
    <x v="18"/>
    <x v="3"/>
    <x v="4"/>
    <s v="DE4-E_Offshore_A"/>
    <x v="8"/>
    <n v="57.838935220261199"/>
    <n v="16.066370894517"/>
  </r>
  <r>
    <x v="0"/>
    <x v="18"/>
    <x v="3"/>
    <x v="4"/>
    <s v="DE4-E_Offshore_A"/>
    <x v="9"/>
    <n v="51.506187241093599"/>
    <n v="14.3072742336371"/>
  </r>
  <r>
    <x v="0"/>
    <x v="18"/>
    <x v="3"/>
    <x v="4"/>
    <s v="DE4-E_Offshore_A"/>
    <x v="10"/>
    <n v="72.320331400165799"/>
    <n v="20.088980944490501"/>
  </r>
  <r>
    <x v="0"/>
    <x v="18"/>
    <x v="3"/>
    <x v="4"/>
    <s v="DE4-E_Offshore_A"/>
    <x v="11"/>
    <n v="8.1139884009941898"/>
    <n v="2.2538856669428302"/>
  </r>
  <r>
    <x v="0"/>
    <x v="18"/>
    <x v="3"/>
    <x v="4"/>
    <s v="DE4-E_Offshore_A"/>
    <x v="12"/>
    <n v="9.7995028997514597E-2"/>
    <n v="2.72208413881985E-2"/>
  </r>
  <r>
    <x v="0"/>
    <x v="18"/>
    <x v="3"/>
    <x v="4"/>
    <s v="DE4-E_Offshore_A"/>
    <x v="13"/>
    <n v="24.3419652029826"/>
    <n v="6.7616570008285004"/>
  </r>
  <r>
    <x v="0"/>
    <x v="18"/>
    <x v="3"/>
    <x v="4"/>
    <s v="DE4-E_Offshore_A"/>
    <x v="14"/>
    <n v="24.3419652029826"/>
    <n v="6.7616570008285004"/>
  </r>
  <r>
    <x v="0"/>
    <x v="18"/>
    <x v="3"/>
    <x v="4"/>
    <s v="DE4-E_Offshore_A"/>
    <x v="15"/>
    <n v="1.65807589063794"/>
    <n v="0.46057663628831802"/>
  </r>
  <r>
    <x v="0"/>
    <x v="18"/>
    <x v="3"/>
    <x v="4"/>
    <s v="DE4-E_Offshore_A"/>
    <x v="16"/>
    <n v="6.7156619979650802"/>
    <n v="1.8654616661014101"/>
  </r>
  <r>
    <x v="0"/>
    <x v="18"/>
    <x v="3"/>
    <x v="4"/>
    <s v="DE4-E_Offshore_A"/>
    <x v="17"/>
    <n v="9.1244895875632395"/>
    <n v="2.5345804409897901"/>
  </r>
  <r>
    <x v="0"/>
    <x v="18"/>
    <x v="3"/>
    <x v="4"/>
    <s v="DE4-E_Offshore_A"/>
    <x v="18"/>
    <n v="24.3419652029826"/>
    <n v="6.7616570008285004"/>
  </r>
  <r>
    <x v="0"/>
    <x v="18"/>
    <x v="3"/>
    <x v="4"/>
    <s v="DE4-E_Offshore_A"/>
    <x v="19"/>
    <n v="8.1139884009941898"/>
    <n v="2.2538856669428302"/>
  </r>
  <r>
    <x v="0"/>
    <x v="18"/>
    <x v="3"/>
    <x v="4"/>
    <s v="DE4-E_Offshore_A"/>
    <x v="20"/>
    <n v="21.431396138420201"/>
    <n v="5.9531655940056103"/>
  </r>
  <r>
    <x v="0"/>
    <x v="18"/>
    <x v="3"/>
    <x v="4"/>
    <s v="DE4-E_Offshore_A"/>
    <x v="28"/>
    <n v="41.38758"/>
    <n v="11.496549999999999"/>
  </r>
  <r>
    <x v="0"/>
    <x v="18"/>
    <x v="3"/>
    <x v="4"/>
    <s v="DE4-E_Offshore_A"/>
    <x v="21"/>
    <n v="48.24"/>
    <n v="13.4"/>
  </r>
  <r>
    <x v="0"/>
    <x v="18"/>
    <x v="3"/>
    <x v="4"/>
    <s v="DE4-E_Offshore_A"/>
    <x v="22"/>
    <n v="67.680000000000007"/>
    <n v="18.8"/>
  </r>
  <r>
    <x v="0"/>
    <x v="18"/>
    <x v="3"/>
    <x v="4"/>
    <s v="DE4-E_Offshore_A"/>
    <x v="23"/>
    <n v="0.31515896120488701"/>
    <n v="8.7544155890246306E-2"/>
  </r>
  <r>
    <x v="0"/>
    <x v="18"/>
    <x v="3"/>
    <x v="4"/>
    <s v="DE4-E_Offshore_A"/>
    <x v="24"/>
    <n v="19.174223581093901"/>
    <n v="5.32617321697054"/>
  </r>
  <r>
    <x v="0"/>
    <x v="18"/>
    <x v="3"/>
    <x v="4"/>
    <s v="DE4-E_Offshore_A"/>
    <x v="25"/>
    <n v="25.064747068787099"/>
    <n v="6.9624297413297498"/>
  </r>
  <r>
    <x v="0"/>
    <x v="18"/>
    <x v="3"/>
    <x v="4"/>
    <s v="DE4-E_Offshore_A"/>
    <x v="26"/>
    <n v="32.516643167392601"/>
    <n v="9.03240087983127"/>
  </r>
  <r>
    <x v="0"/>
    <x v="18"/>
    <x v="3"/>
    <x v="4"/>
    <s v="DE4-E_Offshore_A"/>
    <x v="27"/>
    <n v="20.163995508318798"/>
    <n v="5.6011098634218799"/>
  </r>
  <r>
    <x v="0"/>
    <x v="18"/>
    <x v="3"/>
    <x v="5"/>
    <s v="DE4-N_A"/>
    <x v="1"/>
    <n v="35.989199999999997"/>
    <n v="9.9969999999999999"/>
  </r>
  <r>
    <x v="0"/>
    <x v="18"/>
    <x v="3"/>
    <x v="5"/>
    <s v="DE4-N_A"/>
    <x v="2"/>
    <n v="2.52"/>
    <n v="0.7"/>
  </r>
  <r>
    <x v="0"/>
    <x v="18"/>
    <x v="3"/>
    <x v="5"/>
    <s v="DE4-N_A"/>
    <x v="0"/>
    <n v="42.692399999999999"/>
    <n v="11.859"/>
  </r>
  <r>
    <x v="0"/>
    <x v="18"/>
    <x v="3"/>
    <x v="5"/>
    <s v="DE4-N_A"/>
    <x v="3"/>
    <n v="51.633543144067197"/>
    <n v="14.342650873352"/>
  </r>
  <r>
    <x v="0"/>
    <x v="18"/>
    <x v="3"/>
    <x v="5"/>
    <s v="DE4-N_A"/>
    <x v="4"/>
    <n v="15.1696304888152"/>
    <n v="4.21378624689312"/>
  </r>
  <r>
    <x v="0"/>
    <x v="18"/>
    <x v="3"/>
    <x v="5"/>
    <s v="DE4-N_A"/>
    <x v="5"/>
    <n v="15.1696304888152"/>
    <n v="4.21378624689312"/>
  </r>
  <r>
    <x v="0"/>
    <x v="18"/>
    <x v="3"/>
    <x v="5"/>
    <s v="DE4-N_A"/>
    <x v="6"/>
    <n v="29.476231795214598"/>
    <n v="8.1878421653373898"/>
  </r>
  <r>
    <x v="0"/>
    <x v="18"/>
    <x v="3"/>
    <x v="5"/>
    <s v="DE4-N_A"/>
    <x v="7"/>
    <n v="57.838935220261199"/>
    <n v="16.066370894517"/>
  </r>
  <r>
    <x v="0"/>
    <x v="18"/>
    <x v="3"/>
    <x v="5"/>
    <s v="DE4-N_A"/>
    <x v="8"/>
    <n v="57.838935220261199"/>
    <n v="16.066370894517"/>
  </r>
  <r>
    <x v="0"/>
    <x v="18"/>
    <x v="3"/>
    <x v="5"/>
    <s v="DE4-N_A"/>
    <x v="9"/>
    <n v="51.506187241093599"/>
    <n v="14.3072742336371"/>
  </r>
  <r>
    <x v="0"/>
    <x v="18"/>
    <x v="3"/>
    <x v="5"/>
    <s v="DE4-N_A"/>
    <x v="10"/>
    <n v="72.320331400165799"/>
    <n v="20.088980944490501"/>
  </r>
  <r>
    <x v="0"/>
    <x v="18"/>
    <x v="3"/>
    <x v="5"/>
    <s v="DE4-N_A"/>
    <x v="11"/>
    <n v="8.1139884009941898"/>
    <n v="2.2538856669428302"/>
  </r>
  <r>
    <x v="0"/>
    <x v="18"/>
    <x v="3"/>
    <x v="5"/>
    <s v="DE4-N_A"/>
    <x v="12"/>
    <n v="9.7995028997514597E-2"/>
    <n v="2.72208413881985E-2"/>
  </r>
  <r>
    <x v="0"/>
    <x v="18"/>
    <x v="3"/>
    <x v="5"/>
    <s v="DE4-N_A"/>
    <x v="13"/>
    <n v="24.3419652029826"/>
    <n v="6.7616570008285004"/>
  </r>
  <r>
    <x v="0"/>
    <x v="18"/>
    <x v="3"/>
    <x v="5"/>
    <s v="DE4-N_A"/>
    <x v="14"/>
    <n v="24.3419652029826"/>
    <n v="6.7616570008285004"/>
  </r>
  <r>
    <x v="0"/>
    <x v="18"/>
    <x v="3"/>
    <x v="5"/>
    <s v="DE4-N_A"/>
    <x v="15"/>
    <n v="1.65807589063794"/>
    <n v="0.46057663628831802"/>
  </r>
  <r>
    <x v="0"/>
    <x v="18"/>
    <x v="3"/>
    <x v="5"/>
    <s v="DE4-N_A"/>
    <x v="16"/>
    <n v="6.7156619979650802"/>
    <n v="1.8654616661014101"/>
  </r>
  <r>
    <x v="0"/>
    <x v="18"/>
    <x v="3"/>
    <x v="5"/>
    <s v="DE4-N_A"/>
    <x v="17"/>
    <n v="9.1244895875632395"/>
    <n v="2.5345804409897901"/>
  </r>
  <r>
    <x v="0"/>
    <x v="18"/>
    <x v="3"/>
    <x v="5"/>
    <s v="DE4-N_A"/>
    <x v="18"/>
    <n v="24.3419652029826"/>
    <n v="6.7616570008285004"/>
  </r>
  <r>
    <x v="0"/>
    <x v="18"/>
    <x v="3"/>
    <x v="5"/>
    <s v="DE4-N_A"/>
    <x v="19"/>
    <n v="8.1139884009941898"/>
    <n v="2.2538856669428302"/>
  </r>
  <r>
    <x v="0"/>
    <x v="18"/>
    <x v="3"/>
    <x v="5"/>
    <s v="DE4-N_A"/>
    <x v="20"/>
    <n v="21.431396138420201"/>
    <n v="5.9531655940056103"/>
  </r>
  <r>
    <x v="0"/>
    <x v="18"/>
    <x v="3"/>
    <x v="5"/>
    <s v="DE4-N_A"/>
    <x v="28"/>
    <n v="41.38758"/>
    <n v="11.496549999999999"/>
  </r>
  <r>
    <x v="0"/>
    <x v="18"/>
    <x v="3"/>
    <x v="5"/>
    <s v="DE4-N_A"/>
    <x v="21"/>
    <n v="48.24"/>
    <n v="13.4"/>
  </r>
  <r>
    <x v="0"/>
    <x v="18"/>
    <x v="3"/>
    <x v="5"/>
    <s v="DE4-N_A"/>
    <x v="22"/>
    <n v="67.680000000000007"/>
    <n v="18.8"/>
  </r>
  <r>
    <x v="0"/>
    <x v="18"/>
    <x v="3"/>
    <x v="5"/>
    <s v="DE4-N_A"/>
    <x v="23"/>
    <n v="0.31515896120488701"/>
    <n v="8.7544155890246306E-2"/>
  </r>
  <r>
    <x v="0"/>
    <x v="18"/>
    <x v="3"/>
    <x v="5"/>
    <s v="DE4-N_A"/>
    <x v="24"/>
    <n v="19.174223581093901"/>
    <n v="5.32617321697054"/>
  </r>
  <r>
    <x v="0"/>
    <x v="18"/>
    <x v="3"/>
    <x v="5"/>
    <s v="DE4-N_A"/>
    <x v="25"/>
    <n v="25.064747068787099"/>
    <n v="6.9624297413297498"/>
  </r>
  <r>
    <x v="0"/>
    <x v="18"/>
    <x v="3"/>
    <x v="5"/>
    <s v="DE4-N_A"/>
    <x v="26"/>
    <n v="32.516643167392601"/>
    <n v="9.03240087983127"/>
  </r>
  <r>
    <x v="0"/>
    <x v="18"/>
    <x v="3"/>
    <x v="5"/>
    <s v="DE4-N_A"/>
    <x v="27"/>
    <n v="20.163995508318798"/>
    <n v="5.6011098634218799"/>
  </r>
  <r>
    <x v="0"/>
    <x v="18"/>
    <x v="3"/>
    <x v="5"/>
    <s v="DE4-N_Offshore_A"/>
    <x v="1"/>
    <n v="35.989199999999997"/>
    <n v="9.9969999999999999"/>
  </r>
  <r>
    <x v="0"/>
    <x v="18"/>
    <x v="3"/>
    <x v="5"/>
    <s v="DE4-N_Offshore_A"/>
    <x v="2"/>
    <n v="2.52"/>
    <n v="0.7"/>
  </r>
  <r>
    <x v="0"/>
    <x v="18"/>
    <x v="3"/>
    <x v="5"/>
    <s v="DE4-N_Offshore_A"/>
    <x v="0"/>
    <n v="42.692399999999999"/>
    <n v="11.859"/>
  </r>
  <r>
    <x v="0"/>
    <x v="18"/>
    <x v="3"/>
    <x v="5"/>
    <s v="DE4-N_Offshore_A"/>
    <x v="3"/>
    <n v="51.633543144067197"/>
    <n v="14.342650873352"/>
  </r>
  <r>
    <x v="0"/>
    <x v="18"/>
    <x v="3"/>
    <x v="5"/>
    <s v="DE4-N_Offshore_A"/>
    <x v="4"/>
    <n v="15.1696304888152"/>
    <n v="4.21378624689312"/>
  </r>
  <r>
    <x v="0"/>
    <x v="18"/>
    <x v="3"/>
    <x v="5"/>
    <s v="DE4-N_Offshore_A"/>
    <x v="5"/>
    <n v="15.1696304888152"/>
    <n v="4.21378624689312"/>
  </r>
  <r>
    <x v="0"/>
    <x v="18"/>
    <x v="3"/>
    <x v="5"/>
    <s v="DE4-N_Offshore_A"/>
    <x v="6"/>
    <n v="29.476231795214598"/>
    <n v="8.1878421653373898"/>
  </r>
  <r>
    <x v="0"/>
    <x v="18"/>
    <x v="3"/>
    <x v="5"/>
    <s v="DE4-N_Offshore_A"/>
    <x v="7"/>
    <n v="57.838935220261199"/>
    <n v="16.066370894517"/>
  </r>
  <r>
    <x v="0"/>
    <x v="18"/>
    <x v="3"/>
    <x v="5"/>
    <s v="DE4-N_Offshore_A"/>
    <x v="8"/>
    <n v="57.838935220261199"/>
    <n v="16.066370894517"/>
  </r>
  <r>
    <x v="0"/>
    <x v="18"/>
    <x v="3"/>
    <x v="5"/>
    <s v="DE4-N_Offshore_A"/>
    <x v="9"/>
    <n v="51.506187241093599"/>
    <n v="14.3072742336371"/>
  </r>
  <r>
    <x v="0"/>
    <x v="18"/>
    <x v="3"/>
    <x v="5"/>
    <s v="DE4-N_Offshore_A"/>
    <x v="10"/>
    <n v="72.320331400165799"/>
    <n v="20.088980944490501"/>
  </r>
  <r>
    <x v="0"/>
    <x v="18"/>
    <x v="3"/>
    <x v="5"/>
    <s v="DE4-N_Offshore_A"/>
    <x v="11"/>
    <n v="8.1139884009941898"/>
    <n v="2.2538856669428302"/>
  </r>
  <r>
    <x v="0"/>
    <x v="18"/>
    <x v="3"/>
    <x v="5"/>
    <s v="DE4-N_Offshore_A"/>
    <x v="12"/>
    <n v="9.7995028997514597E-2"/>
    <n v="2.72208413881985E-2"/>
  </r>
  <r>
    <x v="0"/>
    <x v="18"/>
    <x v="3"/>
    <x v="5"/>
    <s v="DE4-N_Offshore_A"/>
    <x v="13"/>
    <n v="24.3419652029826"/>
    <n v="6.7616570008285004"/>
  </r>
  <r>
    <x v="0"/>
    <x v="18"/>
    <x v="3"/>
    <x v="5"/>
    <s v="DE4-N_Offshore_A"/>
    <x v="14"/>
    <n v="24.3419652029826"/>
    <n v="6.7616570008285004"/>
  </r>
  <r>
    <x v="0"/>
    <x v="18"/>
    <x v="3"/>
    <x v="5"/>
    <s v="DE4-N_Offshore_A"/>
    <x v="15"/>
    <n v="1.65807589063794"/>
    <n v="0.46057663628831802"/>
  </r>
  <r>
    <x v="0"/>
    <x v="18"/>
    <x v="3"/>
    <x v="5"/>
    <s v="DE4-N_Offshore_A"/>
    <x v="16"/>
    <n v="6.7156619979650802"/>
    <n v="1.8654616661014101"/>
  </r>
  <r>
    <x v="0"/>
    <x v="18"/>
    <x v="3"/>
    <x v="5"/>
    <s v="DE4-N_Offshore_A"/>
    <x v="17"/>
    <n v="9.1244895875632395"/>
    <n v="2.5345804409897901"/>
  </r>
  <r>
    <x v="0"/>
    <x v="18"/>
    <x v="3"/>
    <x v="5"/>
    <s v="DE4-N_Offshore_A"/>
    <x v="18"/>
    <n v="24.3419652029826"/>
    <n v="6.7616570008285004"/>
  </r>
  <r>
    <x v="0"/>
    <x v="18"/>
    <x v="3"/>
    <x v="5"/>
    <s v="DE4-N_Offshore_A"/>
    <x v="19"/>
    <n v="8.1139884009941898"/>
    <n v="2.2538856669428302"/>
  </r>
  <r>
    <x v="0"/>
    <x v="18"/>
    <x v="3"/>
    <x v="5"/>
    <s v="DE4-N_Offshore_A"/>
    <x v="20"/>
    <n v="21.431396138420201"/>
    <n v="5.9531655940056103"/>
  </r>
  <r>
    <x v="0"/>
    <x v="18"/>
    <x v="3"/>
    <x v="5"/>
    <s v="DE4-N_Offshore_A"/>
    <x v="28"/>
    <n v="41.38758"/>
    <n v="11.496549999999999"/>
  </r>
  <r>
    <x v="0"/>
    <x v="18"/>
    <x v="3"/>
    <x v="5"/>
    <s v="DE4-N_Offshore_A"/>
    <x v="21"/>
    <n v="48.24"/>
    <n v="13.4"/>
  </r>
  <r>
    <x v="0"/>
    <x v="18"/>
    <x v="3"/>
    <x v="5"/>
    <s v="DE4-N_Offshore_A"/>
    <x v="22"/>
    <n v="67.680000000000007"/>
    <n v="18.8"/>
  </r>
  <r>
    <x v="0"/>
    <x v="18"/>
    <x v="3"/>
    <x v="5"/>
    <s v="DE4-N_Offshore_A"/>
    <x v="23"/>
    <n v="0.31515896120488701"/>
    <n v="8.7544155890246306E-2"/>
  </r>
  <r>
    <x v="0"/>
    <x v="18"/>
    <x v="3"/>
    <x v="5"/>
    <s v="DE4-N_Offshore_A"/>
    <x v="24"/>
    <n v="19.174223581093901"/>
    <n v="5.32617321697054"/>
  </r>
  <r>
    <x v="0"/>
    <x v="18"/>
    <x v="3"/>
    <x v="5"/>
    <s v="DE4-N_Offshore_A"/>
    <x v="25"/>
    <n v="25.064747068787099"/>
    <n v="6.9624297413297498"/>
  </r>
  <r>
    <x v="0"/>
    <x v="18"/>
    <x v="3"/>
    <x v="5"/>
    <s v="DE4-N_Offshore_A"/>
    <x v="26"/>
    <n v="32.516643167392601"/>
    <n v="9.03240087983127"/>
  </r>
  <r>
    <x v="0"/>
    <x v="18"/>
    <x v="3"/>
    <x v="5"/>
    <s v="DE4-N_Offshore_A"/>
    <x v="27"/>
    <n v="20.163995508318798"/>
    <n v="5.6011098634218799"/>
  </r>
  <r>
    <x v="0"/>
    <x v="18"/>
    <x v="3"/>
    <x v="6"/>
    <s v="DE4-S_A"/>
    <x v="1"/>
    <n v="35.989199999999997"/>
    <n v="9.9969999999999999"/>
  </r>
  <r>
    <x v="0"/>
    <x v="18"/>
    <x v="3"/>
    <x v="6"/>
    <s v="DE4-S_A"/>
    <x v="2"/>
    <n v="2.52"/>
    <n v="0.7"/>
  </r>
  <r>
    <x v="0"/>
    <x v="18"/>
    <x v="3"/>
    <x v="6"/>
    <s v="DE4-S_A"/>
    <x v="0"/>
    <n v="42.692399999999999"/>
    <n v="11.859"/>
  </r>
  <r>
    <x v="0"/>
    <x v="18"/>
    <x v="3"/>
    <x v="6"/>
    <s v="DE4-S_A"/>
    <x v="3"/>
    <n v="51.633543144067197"/>
    <n v="14.342650873352"/>
  </r>
  <r>
    <x v="0"/>
    <x v="18"/>
    <x v="3"/>
    <x v="6"/>
    <s v="DE4-S_A"/>
    <x v="4"/>
    <n v="15.1696304888152"/>
    <n v="4.21378624689312"/>
  </r>
  <r>
    <x v="0"/>
    <x v="18"/>
    <x v="3"/>
    <x v="6"/>
    <s v="DE4-S_A"/>
    <x v="5"/>
    <n v="15.1696304888152"/>
    <n v="4.21378624689312"/>
  </r>
  <r>
    <x v="0"/>
    <x v="18"/>
    <x v="3"/>
    <x v="6"/>
    <s v="DE4-S_A"/>
    <x v="6"/>
    <n v="29.476231795214598"/>
    <n v="8.1878421653373898"/>
  </r>
  <r>
    <x v="0"/>
    <x v="18"/>
    <x v="3"/>
    <x v="6"/>
    <s v="DE4-S_A"/>
    <x v="7"/>
    <n v="57.838935220261199"/>
    <n v="16.066370894517"/>
  </r>
  <r>
    <x v="0"/>
    <x v="18"/>
    <x v="3"/>
    <x v="6"/>
    <s v="DE4-S_A"/>
    <x v="8"/>
    <n v="57.838935220261199"/>
    <n v="16.066370894517"/>
  </r>
  <r>
    <x v="0"/>
    <x v="18"/>
    <x v="3"/>
    <x v="6"/>
    <s v="DE4-S_A"/>
    <x v="9"/>
    <n v="51.506187241093599"/>
    <n v="14.3072742336371"/>
  </r>
  <r>
    <x v="0"/>
    <x v="18"/>
    <x v="3"/>
    <x v="6"/>
    <s v="DE4-S_A"/>
    <x v="10"/>
    <n v="72.320331400165799"/>
    <n v="20.088980944490501"/>
  </r>
  <r>
    <x v="0"/>
    <x v="18"/>
    <x v="3"/>
    <x v="6"/>
    <s v="DE4-S_A"/>
    <x v="11"/>
    <n v="8.1139884009941898"/>
    <n v="2.2538856669428302"/>
  </r>
  <r>
    <x v="0"/>
    <x v="18"/>
    <x v="3"/>
    <x v="6"/>
    <s v="DE4-S_A"/>
    <x v="12"/>
    <n v="9.7995028997514597E-2"/>
    <n v="2.72208413881985E-2"/>
  </r>
  <r>
    <x v="0"/>
    <x v="18"/>
    <x v="3"/>
    <x v="6"/>
    <s v="DE4-S_A"/>
    <x v="13"/>
    <n v="24.3419652029826"/>
    <n v="6.7616570008285004"/>
  </r>
  <r>
    <x v="0"/>
    <x v="18"/>
    <x v="3"/>
    <x v="6"/>
    <s v="DE4-S_A"/>
    <x v="14"/>
    <n v="24.3419652029826"/>
    <n v="6.7616570008285004"/>
  </r>
  <r>
    <x v="0"/>
    <x v="18"/>
    <x v="3"/>
    <x v="6"/>
    <s v="DE4-S_A"/>
    <x v="15"/>
    <n v="1.65807589063794"/>
    <n v="0.46057663628831802"/>
  </r>
  <r>
    <x v="0"/>
    <x v="18"/>
    <x v="3"/>
    <x v="6"/>
    <s v="DE4-S_A"/>
    <x v="16"/>
    <n v="6.7156619979650802"/>
    <n v="1.8654616661014101"/>
  </r>
  <r>
    <x v="0"/>
    <x v="18"/>
    <x v="3"/>
    <x v="6"/>
    <s v="DE4-S_A"/>
    <x v="17"/>
    <n v="9.1244895875632395"/>
    <n v="2.5345804409897901"/>
  </r>
  <r>
    <x v="0"/>
    <x v="18"/>
    <x v="3"/>
    <x v="6"/>
    <s v="DE4-S_A"/>
    <x v="18"/>
    <n v="24.3419652029826"/>
    <n v="6.7616570008285004"/>
  </r>
  <r>
    <x v="0"/>
    <x v="18"/>
    <x v="3"/>
    <x v="6"/>
    <s v="DE4-S_A"/>
    <x v="19"/>
    <n v="8.1139884009941898"/>
    <n v="2.2538856669428302"/>
  </r>
  <r>
    <x v="0"/>
    <x v="18"/>
    <x v="3"/>
    <x v="6"/>
    <s v="DE4-S_A"/>
    <x v="20"/>
    <n v="21.431396138420201"/>
    <n v="5.9531655940056103"/>
  </r>
  <r>
    <x v="0"/>
    <x v="18"/>
    <x v="3"/>
    <x v="6"/>
    <s v="DE4-S_A"/>
    <x v="28"/>
    <n v="41.38758"/>
    <n v="11.496549999999999"/>
  </r>
  <r>
    <x v="0"/>
    <x v="18"/>
    <x v="3"/>
    <x v="6"/>
    <s v="DE4-S_A"/>
    <x v="21"/>
    <n v="48.24"/>
    <n v="13.4"/>
  </r>
  <r>
    <x v="0"/>
    <x v="18"/>
    <x v="3"/>
    <x v="6"/>
    <s v="DE4-S_A"/>
    <x v="22"/>
    <n v="67.680000000000007"/>
    <n v="18.8"/>
  </r>
  <r>
    <x v="0"/>
    <x v="18"/>
    <x v="3"/>
    <x v="6"/>
    <s v="DE4-S_A"/>
    <x v="23"/>
    <n v="0.31515896120488701"/>
    <n v="8.7544155890246306E-2"/>
  </r>
  <r>
    <x v="0"/>
    <x v="18"/>
    <x v="3"/>
    <x v="6"/>
    <s v="DE4-S_A"/>
    <x v="24"/>
    <n v="19.174223581093901"/>
    <n v="5.32617321697054"/>
  </r>
  <r>
    <x v="0"/>
    <x v="18"/>
    <x v="3"/>
    <x v="6"/>
    <s v="DE4-S_A"/>
    <x v="25"/>
    <n v="25.064747068787099"/>
    <n v="6.9624297413297498"/>
  </r>
  <r>
    <x v="0"/>
    <x v="18"/>
    <x v="3"/>
    <x v="6"/>
    <s v="DE4-S_A"/>
    <x v="26"/>
    <n v="32.516643167392601"/>
    <n v="9.03240087983127"/>
  </r>
  <r>
    <x v="0"/>
    <x v="18"/>
    <x v="3"/>
    <x v="6"/>
    <s v="DE4-S_A"/>
    <x v="27"/>
    <n v="20.163995508318798"/>
    <n v="5.6011098634218799"/>
  </r>
  <r>
    <x v="0"/>
    <x v="18"/>
    <x v="3"/>
    <x v="7"/>
    <s v="DE4-W_A"/>
    <x v="1"/>
    <n v="35.989199999999997"/>
    <n v="9.9969999999999999"/>
  </r>
  <r>
    <x v="0"/>
    <x v="18"/>
    <x v="3"/>
    <x v="7"/>
    <s v="DE4-W_A"/>
    <x v="2"/>
    <n v="2.52"/>
    <n v="0.7"/>
  </r>
  <r>
    <x v="0"/>
    <x v="18"/>
    <x v="3"/>
    <x v="7"/>
    <s v="DE4-W_A"/>
    <x v="0"/>
    <n v="42.692399999999999"/>
    <n v="11.859"/>
  </r>
  <r>
    <x v="0"/>
    <x v="18"/>
    <x v="3"/>
    <x v="7"/>
    <s v="DE4-W_A"/>
    <x v="3"/>
    <n v="51.633543144067197"/>
    <n v="14.342650873352"/>
  </r>
  <r>
    <x v="0"/>
    <x v="18"/>
    <x v="3"/>
    <x v="7"/>
    <s v="DE4-W_A"/>
    <x v="4"/>
    <n v="15.1696304888152"/>
    <n v="4.21378624689312"/>
  </r>
  <r>
    <x v="0"/>
    <x v="18"/>
    <x v="3"/>
    <x v="7"/>
    <s v="DE4-W_A"/>
    <x v="5"/>
    <n v="15.1696304888152"/>
    <n v="4.21378624689312"/>
  </r>
  <r>
    <x v="0"/>
    <x v="18"/>
    <x v="3"/>
    <x v="7"/>
    <s v="DE4-W_A"/>
    <x v="6"/>
    <n v="29.476231795214598"/>
    <n v="8.1878421653373898"/>
  </r>
  <r>
    <x v="0"/>
    <x v="18"/>
    <x v="3"/>
    <x v="7"/>
    <s v="DE4-W_A"/>
    <x v="7"/>
    <n v="57.838935220261199"/>
    <n v="16.066370894517"/>
  </r>
  <r>
    <x v="0"/>
    <x v="18"/>
    <x v="3"/>
    <x v="7"/>
    <s v="DE4-W_A"/>
    <x v="8"/>
    <n v="57.838935220261199"/>
    <n v="16.066370894517"/>
  </r>
  <r>
    <x v="0"/>
    <x v="18"/>
    <x v="3"/>
    <x v="7"/>
    <s v="DE4-W_A"/>
    <x v="9"/>
    <n v="51.506187241093599"/>
    <n v="14.3072742336371"/>
  </r>
  <r>
    <x v="0"/>
    <x v="18"/>
    <x v="3"/>
    <x v="7"/>
    <s v="DE4-W_A"/>
    <x v="10"/>
    <n v="72.320331400165799"/>
    <n v="20.088980944490501"/>
  </r>
  <r>
    <x v="0"/>
    <x v="18"/>
    <x v="3"/>
    <x v="7"/>
    <s v="DE4-W_A"/>
    <x v="11"/>
    <n v="8.1139884009941898"/>
    <n v="2.2538856669428302"/>
  </r>
  <r>
    <x v="0"/>
    <x v="18"/>
    <x v="3"/>
    <x v="7"/>
    <s v="DE4-W_A"/>
    <x v="12"/>
    <n v="9.7995028997514597E-2"/>
    <n v="2.72208413881985E-2"/>
  </r>
  <r>
    <x v="0"/>
    <x v="18"/>
    <x v="3"/>
    <x v="7"/>
    <s v="DE4-W_A"/>
    <x v="13"/>
    <n v="24.3419652029826"/>
    <n v="6.7616570008285004"/>
  </r>
  <r>
    <x v="0"/>
    <x v="18"/>
    <x v="3"/>
    <x v="7"/>
    <s v="DE4-W_A"/>
    <x v="14"/>
    <n v="24.3419652029826"/>
    <n v="6.7616570008285004"/>
  </r>
  <r>
    <x v="0"/>
    <x v="18"/>
    <x v="3"/>
    <x v="7"/>
    <s v="DE4-W_A"/>
    <x v="15"/>
    <n v="1.65807589063794"/>
    <n v="0.46057663628831802"/>
  </r>
  <r>
    <x v="0"/>
    <x v="18"/>
    <x v="3"/>
    <x v="7"/>
    <s v="DE4-W_A"/>
    <x v="16"/>
    <n v="6.7156619979650802"/>
    <n v="1.8654616661014101"/>
  </r>
  <r>
    <x v="0"/>
    <x v="18"/>
    <x v="3"/>
    <x v="7"/>
    <s v="DE4-W_A"/>
    <x v="17"/>
    <n v="9.1244895875632395"/>
    <n v="2.5345804409897901"/>
  </r>
  <r>
    <x v="0"/>
    <x v="18"/>
    <x v="3"/>
    <x v="7"/>
    <s v="DE4-W_A"/>
    <x v="18"/>
    <n v="24.3419652029826"/>
    <n v="6.7616570008285004"/>
  </r>
  <r>
    <x v="0"/>
    <x v="18"/>
    <x v="3"/>
    <x v="7"/>
    <s v="DE4-W_A"/>
    <x v="19"/>
    <n v="8.1139884009941898"/>
    <n v="2.2538856669428302"/>
  </r>
  <r>
    <x v="0"/>
    <x v="18"/>
    <x v="3"/>
    <x v="7"/>
    <s v="DE4-W_A"/>
    <x v="20"/>
    <n v="21.431396138420201"/>
    <n v="5.9531655940056103"/>
  </r>
  <r>
    <x v="0"/>
    <x v="18"/>
    <x v="3"/>
    <x v="7"/>
    <s v="DE4-W_A"/>
    <x v="28"/>
    <n v="41.38758"/>
    <n v="11.496549999999999"/>
  </r>
  <r>
    <x v="0"/>
    <x v="18"/>
    <x v="3"/>
    <x v="7"/>
    <s v="DE4-W_A"/>
    <x v="21"/>
    <n v="48.24"/>
    <n v="13.4"/>
  </r>
  <r>
    <x v="0"/>
    <x v="18"/>
    <x v="3"/>
    <x v="7"/>
    <s v="DE4-W_A"/>
    <x v="22"/>
    <n v="67.680000000000007"/>
    <n v="18.8"/>
  </r>
  <r>
    <x v="0"/>
    <x v="18"/>
    <x v="3"/>
    <x v="7"/>
    <s v="DE4-W_A"/>
    <x v="23"/>
    <n v="0.31515896120488701"/>
    <n v="8.7544155890246306E-2"/>
  </r>
  <r>
    <x v="0"/>
    <x v="18"/>
    <x v="3"/>
    <x v="7"/>
    <s v="DE4-W_A"/>
    <x v="24"/>
    <n v="19.174223581093901"/>
    <n v="5.32617321697054"/>
  </r>
  <r>
    <x v="0"/>
    <x v="18"/>
    <x v="3"/>
    <x v="7"/>
    <s v="DE4-W_A"/>
    <x v="25"/>
    <n v="25.064747068787099"/>
    <n v="6.9624297413297498"/>
  </r>
  <r>
    <x v="0"/>
    <x v="18"/>
    <x v="3"/>
    <x v="7"/>
    <s v="DE4-W_A"/>
    <x v="26"/>
    <n v="32.516643167392601"/>
    <n v="9.03240087983127"/>
  </r>
  <r>
    <x v="0"/>
    <x v="18"/>
    <x v="3"/>
    <x v="7"/>
    <s v="DE4-W_A"/>
    <x v="27"/>
    <n v="20.163995508318798"/>
    <n v="5.6011098634218799"/>
  </r>
  <r>
    <x v="0"/>
    <x v="18"/>
    <x v="3"/>
    <x v="7"/>
    <s v="DE4-W_Offshore_A"/>
    <x v="1"/>
    <n v="35.989199999999997"/>
    <n v="9.9969999999999999"/>
  </r>
  <r>
    <x v="0"/>
    <x v="18"/>
    <x v="3"/>
    <x v="7"/>
    <s v="DE4-W_Offshore_A"/>
    <x v="2"/>
    <n v="2.52"/>
    <n v="0.7"/>
  </r>
  <r>
    <x v="0"/>
    <x v="18"/>
    <x v="3"/>
    <x v="7"/>
    <s v="DE4-W_Offshore_A"/>
    <x v="0"/>
    <n v="42.692399999999999"/>
    <n v="11.859"/>
  </r>
  <r>
    <x v="0"/>
    <x v="18"/>
    <x v="3"/>
    <x v="7"/>
    <s v="DE4-W_Offshore_A"/>
    <x v="3"/>
    <n v="51.633543144067197"/>
    <n v="14.342650873352"/>
  </r>
  <r>
    <x v="0"/>
    <x v="18"/>
    <x v="3"/>
    <x v="7"/>
    <s v="DE4-W_Offshore_A"/>
    <x v="4"/>
    <n v="15.1696304888152"/>
    <n v="4.21378624689312"/>
  </r>
  <r>
    <x v="0"/>
    <x v="18"/>
    <x v="3"/>
    <x v="7"/>
    <s v="DE4-W_Offshore_A"/>
    <x v="5"/>
    <n v="15.1696304888152"/>
    <n v="4.21378624689312"/>
  </r>
  <r>
    <x v="0"/>
    <x v="18"/>
    <x v="3"/>
    <x v="7"/>
    <s v="DE4-W_Offshore_A"/>
    <x v="6"/>
    <n v="29.476231795214598"/>
    <n v="8.1878421653373898"/>
  </r>
  <r>
    <x v="0"/>
    <x v="18"/>
    <x v="3"/>
    <x v="7"/>
    <s v="DE4-W_Offshore_A"/>
    <x v="7"/>
    <n v="57.838935220261199"/>
    <n v="16.066370894517"/>
  </r>
  <r>
    <x v="0"/>
    <x v="18"/>
    <x v="3"/>
    <x v="7"/>
    <s v="DE4-W_Offshore_A"/>
    <x v="8"/>
    <n v="57.838935220261199"/>
    <n v="16.066370894517"/>
  </r>
  <r>
    <x v="0"/>
    <x v="18"/>
    <x v="3"/>
    <x v="7"/>
    <s v="DE4-W_Offshore_A"/>
    <x v="9"/>
    <n v="51.506187241093599"/>
    <n v="14.3072742336371"/>
  </r>
  <r>
    <x v="0"/>
    <x v="18"/>
    <x v="3"/>
    <x v="7"/>
    <s v="DE4-W_Offshore_A"/>
    <x v="10"/>
    <n v="72.320331400165799"/>
    <n v="20.088980944490501"/>
  </r>
  <r>
    <x v="0"/>
    <x v="18"/>
    <x v="3"/>
    <x v="7"/>
    <s v="DE4-W_Offshore_A"/>
    <x v="11"/>
    <n v="8.1139884009941898"/>
    <n v="2.2538856669428302"/>
  </r>
  <r>
    <x v="0"/>
    <x v="18"/>
    <x v="3"/>
    <x v="7"/>
    <s v="DE4-W_Offshore_A"/>
    <x v="12"/>
    <n v="9.7995028997514597E-2"/>
    <n v="2.72208413881985E-2"/>
  </r>
  <r>
    <x v="0"/>
    <x v="18"/>
    <x v="3"/>
    <x v="7"/>
    <s v="DE4-W_Offshore_A"/>
    <x v="13"/>
    <n v="24.3419652029826"/>
    <n v="6.7616570008285004"/>
  </r>
  <r>
    <x v="0"/>
    <x v="18"/>
    <x v="3"/>
    <x v="7"/>
    <s v="DE4-W_Offshore_A"/>
    <x v="14"/>
    <n v="24.3419652029826"/>
    <n v="6.7616570008285004"/>
  </r>
  <r>
    <x v="0"/>
    <x v="18"/>
    <x v="3"/>
    <x v="7"/>
    <s v="DE4-W_Offshore_A"/>
    <x v="15"/>
    <n v="1.65807589063794"/>
    <n v="0.46057663628831802"/>
  </r>
  <r>
    <x v="0"/>
    <x v="18"/>
    <x v="3"/>
    <x v="7"/>
    <s v="DE4-W_Offshore_A"/>
    <x v="16"/>
    <n v="6.7156619979650802"/>
    <n v="1.8654616661014101"/>
  </r>
  <r>
    <x v="0"/>
    <x v="18"/>
    <x v="3"/>
    <x v="7"/>
    <s v="DE4-W_Offshore_A"/>
    <x v="17"/>
    <n v="9.1244895875632395"/>
    <n v="2.5345804409897901"/>
  </r>
  <r>
    <x v="0"/>
    <x v="18"/>
    <x v="3"/>
    <x v="7"/>
    <s v="DE4-W_Offshore_A"/>
    <x v="18"/>
    <n v="24.3419652029826"/>
    <n v="6.7616570008285004"/>
  </r>
  <r>
    <x v="0"/>
    <x v="18"/>
    <x v="3"/>
    <x v="7"/>
    <s v="DE4-W_Offshore_A"/>
    <x v="19"/>
    <n v="8.1139884009941898"/>
    <n v="2.2538856669428302"/>
  </r>
  <r>
    <x v="0"/>
    <x v="18"/>
    <x v="3"/>
    <x v="7"/>
    <s v="DE4-W_Offshore_A"/>
    <x v="20"/>
    <n v="21.431396138420201"/>
    <n v="5.9531655940056103"/>
  </r>
  <r>
    <x v="0"/>
    <x v="18"/>
    <x v="3"/>
    <x v="7"/>
    <s v="DE4-W_Offshore_A"/>
    <x v="28"/>
    <n v="41.38758"/>
    <n v="11.496549999999999"/>
  </r>
  <r>
    <x v="0"/>
    <x v="18"/>
    <x v="3"/>
    <x v="7"/>
    <s v="DE4-W_Offshore_A"/>
    <x v="21"/>
    <n v="48.24"/>
    <n v="13.4"/>
  </r>
  <r>
    <x v="0"/>
    <x v="18"/>
    <x v="3"/>
    <x v="7"/>
    <s v="DE4-W_Offshore_A"/>
    <x v="22"/>
    <n v="67.680000000000007"/>
    <n v="18.8"/>
  </r>
  <r>
    <x v="0"/>
    <x v="18"/>
    <x v="3"/>
    <x v="7"/>
    <s v="DE4-W_Offshore_A"/>
    <x v="23"/>
    <n v="0.31515896120488701"/>
    <n v="8.7544155890246306E-2"/>
  </r>
  <r>
    <x v="0"/>
    <x v="18"/>
    <x v="3"/>
    <x v="7"/>
    <s v="DE4-W_Offshore_A"/>
    <x v="24"/>
    <n v="19.174223581093901"/>
    <n v="5.32617321697054"/>
  </r>
  <r>
    <x v="0"/>
    <x v="18"/>
    <x v="3"/>
    <x v="7"/>
    <s v="DE4-W_Offshore_A"/>
    <x v="25"/>
    <n v="25.064747068787099"/>
    <n v="6.9624297413297498"/>
  </r>
  <r>
    <x v="0"/>
    <x v="18"/>
    <x v="3"/>
    <x v="7"/>
    <s v="DE4-W_Offshore_A"/>
    <x v="26"/>
    <n v="32.516643167392601"/>
    <n v="9.03240087983127"/>
  </r>
  <r>
    <x v="0"/>
    <x v="18"/>
    <x v="3"/>
    <x v="7"/>
    <s v="DE4-W_Offshore_A"/>
    <x v="27"/>
    <n v="20.163995508318798"/>
    <n v="5.6011098634218799"/>
  </r>
  <r>
    <x v="0"/>
    <x v="18"/>
    <x v="4"/>
    <x v="8"/>
    <s v="LV_A"/>
    <x v="1"/>
    <n v="35.989199999999997"/>
    <n v="9.9969999999999999"/>
  </r>
  <r>
    <x v="0"/>
    <x v="18"/>
    <x v="4"/>
    <x v="8"/>
    <s v="LV_A"/>
    <x v="2"/>
    <n v="2.52"/>
    <n v="0.7"/>
  </r>
  <r>
    <x v="0"/>
    <x v="18"/>
    <x v="4"/>
    <x v="8"/>
    <s v="LV_A"/>
    <x v="0"/>
    <n v="42.692399999999999"/>
    <n v="11.859"/>
  </r>
  <r>
    <x v="0"/>
    <x v="18"/>
    <x v="4"/>
    <x v="8"/>
    <s v="LV_A"/>
    <x v="3"/>
    <n v="51.633543144067197"/>
    <n v="14.342650873352"/>
  </r>
  <r>
    <x v="0"/>
    <x v="18"/>
    <x v="4"/>
    <x v="8"/>
    <s v="LV_A"/>
    <x v="4"/>
    <n v="15.1696304888152"/>
    <n v="4.21378624689312"/>
  </r>
  <r>
    <x v="0"/>
    <x v="18"/>
    <x v="4"/>
    <x v="8"/>
    <s v="LV_A"/>
    <x v="5"/>
    <n v="15.1696304888152"/>
    <n v="4.21378624689312"/>
  </r>
  <r>
    <x v="0"/>
    <x v="18"/>
    <x v="4"/>
    <x v="8"/>
    <s v="LV_A"/>
    <x v="6"/>
    <n v="29.476231795214598"/>
    <n v="8.1878421653373898"/>
  </r>
  <r>
    <x v="0"/>
    <x v="18"/>
    <x v="4"/>
    <x v="8"/>
    <s v="LV_A"/>
    <x v="7"/>
    <n v="57.838935220261199"/>
    <n v="16.066370894517"/>
  </r>
  <r>
    <x v="0"/>
    <x v="18"/>
    <x v="4"/>
    <x v="8"/>
    <s v="LV_A"/>
    <x v="8"/>
    <n v="57.838935220261199"/>
    <n v="16.066370894517"/>
  </r>
  <r>
    <x v="0"/>
    <x v="18"/>
    <x v="4"/>
    <x v="8"/>
    <s v="LV_A"/>
    <x v="9"/>
    <n v="51.506187241093599"/>
    <n v="14.3072742336371"/>
  </r>
  <r>
    <x v="0"/>
    <x v="18"/>
    <x v="4"/>
    <x v="8"/>
    <s v="LV_A"/>
    <x v="10"/>
    <n v="72.320331400165799"/>
    <n v="20.088980944490501"/>
  </r>
  <r>
    <x v="0"/>
    <x v="18"/>
    <x v="4"/>
    <x v="8"/>
    <s v="LV_A"/>
    <x v="11"/>
    <n v="8.1139884009941898"/>
    <n v="2.2538856669428302"/>
  </r>
  <r>
    <x v="0"/>
    <x v="18"/>
    <x v="4"/>
    <x v="8"/>
    <s v="LV_A"/>
    <x v="12"/>
    <n v="9.7995028997514597E-2"/>
    <n v="2.72208413881985E-2"/>
  </r>
  <r>
    <x v="0"/>
    <x v="18"/>
    <x v="4"/>
    <x v="8"/>
    <s v="LV_A"/>
    <x v="13"/>
    <n v="24.3419652029826"/>
    <n v="6.7616570008285004"/>
  </r>
  <r>
    <x v="0"/>
    <x v="18"/>
    <x v="4"/>
    <x v="8"/>
    <s v="LV_A"/>
    <x v="14"/>
    <n v="24.3419652029826"/>
    <n v="6.7616570008285004"/>
  </r>
  <r>
    <x v="0"/>
    <x v="18"/>
    <x v="4"/>
    <x v="8"/>
    <s v="LV_A"/>
    <x v="15"/>
    <n v="1.65807589063794"/>
    <n v="0.46057663628831802"/>
  </r>
  <r>
    <x v="0"/>
    <x v="18"/>
    <x v="4"/>
    <x v="8"/>
    <s v="LV_A"/>
    <x v="16"/>
    <n v="6.7156619979650802"/>
    <n v="1.8654616661014101"/>
  </r>
  <r>
    <x v="0"/>
    <x v="18"/>
    <x v="4"/>
    <x v="8"/>
    <s v="LV_A"/>
    <x v="17"/>
    <n v="9.1244895875632395"/>
    <n v="2.5345804409897901"/>
  </r>
  <r>
    <x v="0"/>
    <x v="18"/>
    <x v="4"/>
    <x v="8"/>
    <s v="LV_A"/>
    <x v="18"/>
    <n v="24.3419652029826"/>
    <n v="6.7616570008285004"/>
  </r>
  <r>
    <x v="0"/>
    <x v="18"/>
    <x v="4"/>
    <x v="8"/>
    <s v="LV_A"/>
    <x v="19"/>
    <n v="8.1139884009941898"/>
    <n v="2.2538856669428302"/>
  </r>
  <r>
    <x v="0"/>
    <x v="18"/>
    <x v="4"/>
    <x v="8"/>
    <s v="LV_A"/>
    <x v="20"/>
    <n v="21.431396138420201"/>
    <n v="5.9531655940056103"/>
  </r>
  <r>
    <x v="0"/>
    <x v="18"/>
    <x v="4"/>
    <x v="8"/>
    <s v="LV_A"/>
    <x v="28"/>
    <n v="41.38758"/>
    <n v="11.496549999999999"/>
  </r>
  <r>
    <x v="0"/>
    <x v="18"/>
    <x v="4"/>
    <x v="8"/>
    <s v="LV_A"/>
    <x v="21"/>
    <n v="48.24"/>
    <n v="13.4"/>
  </r>
  <r>
    <x v="0"/>
    <x v="18"/>
    <x v="4"/>
    <x v="8"/>
    <s v="LV_A"/>
    <x v="22"/>
    <n v="67.680000000000007"/>
    <n v="18.8"/>
  </r>
  <r>
    <x v="0"/>
    <x v="18"/>
    <x v="4"/>
    <x v="8"/>
    <s v="LV_A"/>
    <x v="23"/>
    <n v="0.31515896120488701"/>
    <n v="8.7544155890246306E-2"/>
  </r>
  <r>
    <x v="0"/>
    <x v="18"/>
    <x v="4"/>
    <x v="8"/>
    <s v="LV_A"/>
    <x v="24"/>
    <n v="19.174223581093901"/>
    <n v="5.32617321697054"/>
  </r>
  <r>
    <x v="0"/>
    <x v="18"/>
    <x v="4"/>
    <x v="8"/>
    <s v="LV_A"/>
    <x v="25"/>
    <n v="25.064747068787099"/>
    <n v="6.9624297413297498"/>
  </r>
  <r>
    <x v="0"/>
    <x v="18"/>
    <x v="4"/>
    <x v="8"/>
    <s v="LV_A"/>
    <x v="26"/>
    <n v="32.516643167392601"/>
    <n v="9.03240087983127"/>
  </r>
  <r>
    <x v="0"/>
    <x v="18"/>
    <x v="4"/>
    <x v="8"/>
    <s v="LV_A"/>
    <x v="27"/>
    <n v="20.163995508318798"/>
    <n v="5.6011098634218799"/>
  </r>
  <r>
    <x v="0"/>
    <x v="18"/>
    <x v="4"/>
    <x v="8"/>
    <s v="LV_OFFSHORE"/>
    <x v="1"/>
    <n v="35.989199999999997"/>
    <n v="9.9969999999999999"/>
  </r>
  <r>
    <x v="0"/>
    <x v="18"/>
    <x v="4"/>
    <x v="8"/>
    <s v="LV_OFFSHORE"/>
    <x v="2"/>
    <n v="2.52"/>
    <n v="0.7"/>
  </r>
  <r>
    <x v="0"/>
    <x v="18"/>
    <x v="4"/>
    <x v="8"/>
    <s v="LV_OFFSHORE"/>
    <x v="0"/>
    <n v="42.692399999999999"/>
    <n v="11.859"/>
  </r>
  <r>
    <x v="0"/>
    <x v="18"/>
    <x v="4"/>
    <x v="8"/>
    <s v="LV_OFFSHORE"/>
    <x v="3"/>
    <n v="51.633543144067197"/>
    <n v="14.342650873352"/>
  </r>
  <r>
    <x v="0"/>
    <x v="18"/>
    <x v="4"/>
    <x v="8"/>
    <s v="LV_OFFSHORE"/>
    <x v="4"/>
    <n v="15.1696304888152"/>
    <n v="4.21378624689312"/>
  </r>
  <r>
    <x v="0"/>
    <x v="18"/>
    <x v="4"/>
    <x v="8"/>
    <s v="LV_OFFSHORE"/>
    <x v="5"/>
    <n v="15.1696304888152"/>
    <n v="4.21378624689312"/>
  </r>
  <r>
    <x v="0"/>
    <x v="18"/>
    <x v="4"/>
    <x v="8"/>
    <s v="LV_OFFSHORE"/>
    <x v="6"/>
    <n v="29.476231795214598"/>
    <n v="8.1878421653373898"/>
  </r>
  <r>
    <x v="0"/>
    <x v="18"/>
    <x v="4"/>
    <x v="8"/>
    <s v="LV_OFFSHORE"/>
    <x v="7"/>
    <n v="57.838935220261199"/>
    <n v="16.066370894517"/>
  </r>
  <r>
    <x v="0"/>
    <x v="18"/>
    <x v="4"/>
    <x v="8"/>
    <s v="LV_OFFSHORE"/>
    <x v="8"/>
    <n v="57.838935220261199"/>
    <n v="16.066370894517"/>
  </r>
  <r>
    <x v="0"/>
    <x v="18"/>
    <x v="4"/>
    <x v="8"/>
    <s v="LV_OFFSHORE"/>
    <x v="9"/>
    <n v="51.506187241093599"/>
    <n v="14.3072742336371"/>
  </r>
  <r>
    <x v="0"/>
    <x v="18"/>
    <x v="4"/>
    <x v="8"/>
    <s v="LV_OFFSHORE"/>
    <x v="10"/>
    <n v="72.320331400165799"/>
    <n v="20.088980944490501"/>
  </r>
  <r>
    <x v="0"/>
    <x v="18"/>
    <x v="4"/>
    <x v="8"/>
    <s v="LV_OFFSHORE"/>
    <x v="11"/>
    <n v="8.1139884009941898"/>
    <n v="2.2538856669428302"/>
  </r>
  <r>
    <x v="0"/>
    <x v="18"/>
    <x v="4"/>
    <x v="8"/>
    <s v="LV_OFFSHORE"/>
    <x v="12"/>
    <n v="9.7995028997514597E-2"/>
    <n v="2.72208413881985E-2"/>
  </r>
  <r>
    <x v="0"/>
    <x v="18"/>
    <x v="4"/>
    <x v="8"/>
    <s v="LV_OFFSHORE"/>
    <x v="13"/>
    <n v="24.3419652029826"/>
    <n v="6.7616570008285004"/>
  </r>
  <r>
    <x v="0"/>
    <x v="18"/>
    <x v="4"/>
    <x v="8"/>
    <s v="LV_OFFSHORE"/>
    <x v="14"/>
    <n v="24.3419652029826"/>
    <n v="6.7616570008285004"/>
  </r>
  <r>
    <x v="0"/>
    <x v="18"/>
    <x v="4"/>
    <x v="8"/>
    <s v="LV_OFFSHORE"/>
    <x v="15"/>
    <n v="1.65807589063794"/>
    <n v="0.46057663628831802"/>
  </r>
  <r>
    <x v="0"/>
    <x v="18"/>
    <x v="4"/>
    <x v="8"/>
    <s v="LV_OFFSHORE"/>
    <x v="16"/>
    <n v="6.7156619979650802"/>
    <n v="1.8654616661014101"/>
  </r>
  <r>
    <x v="0"/>
    <x v="18"/>
    <x v="4"/>
    <x v="8"/>
    <s v="LV_OFFSHORE"/>
    <x v="17"/>
    <n v="9.1244895875632395"/>
    <n v="2.5345804409897901"/>
  </r>
  <r>
    <x v="0"/>
    <x v="18"/>
    <x v="4"/>
    <x v="8"/>
    <s v="LV_OFFSHORE"/>
    <x v="18"/>
    <n v="24.3419652029826"/>
    <n v="6.7616570008285004"/>
  </r>
  <r>
    <x v="0"/>
    <x v="18"/>
    <x v="4"/>
    <x v="8"/>
    <s v="LV_OFFSHORE"/>
    <x v="19"/>
    <n v="8.1139884009941898"/>
    <n v="2.2538856669428302"/>
  </r>
  <r>
    <x v="0"/>
    <x v="18"/>
    <x v="4"/>
    <x v="8"/>
    <s v="LV_OFFSHORE"/>
    <x v="20"/>
    <n v="21.431396138420201"/>
    <n v="5.9531655940056103"/>
  </r>
  <r>
    <x v="0"/>
    <x v="18"/>
    <x v="4"/>
    <x v="8"/>
    <s v="LV_OFFSHORE"/>
    <x v="28"/>
    <n v="41.38758"/>
    <n v="11.496549999999999"/>
  </r>
  <r>
    <x v="0"/>
    <x v="18"/>
    <x v="4"/>
    <x v="8"/>
    <s v="LV_OFFSHORE"/>
    <x v="21"/>
    <n v="48.24"/>
    <n v="13.4"/>
  </r>
  <r>
    <x v="0"/>
    <x v="18"/>
    <x v="4"/>
    <x v="8"/>
    <s v="LV_OFFSHORE"/>
    <x v="22"/>
    <n v="67.680000000000007"/>
    <n v="18.8"/>
  </r>
  <r>
    <x v="0"/>
    <x v="18"/>
    <x v="4"/>
    <x v="8"/>
    <s v="LV_OFFSHORE"/>
    <x v="23"/>
    <n v="0.31515896120488701"/>
    <n v="8.7544155890246306E-2"/>
  </r>
  <r>
    <x v="0"/>
    <x v="18"/>
    <x v="4"/>
    <x v="8"/>
    <s v="LV_OFFSHORE"/>
    <x v="24"/>
    <n v="19.174223581093901"/>
    <n v="5.32617321697054"/>
  </r>
  <r>
    <x v="0"/>
    <x v="18"/>
    <x v="4"/>
    <x v="8"/>
    <s v="LV_OFFSHORE"/>
    <x v="25"/>
    <n v="25.064747068787099"/>
    <n v="6.9624297413297498"/>
  </r>
  <r>
    <x v="0"/>
    <x v="18"/>
    <x v="4"/>
    <x v="8"/>
    <s v="LV_OFFSHORE"/>
    <x v="26"/>
    <n v="32.516643167392601"/>
    <n v="9.03240087983127"/>
  </r>
  <r>
    <x v="0"/>
    <x v="18"/>
    <x v="4"/>
    <x v="8"/>
    <s v="LV_OFFSHORE"/>
    <x v="27"/>
    <n v="20.163995508318798"/>
    <n v="5.6011098634218799"/>
  </r>
  <r>
    <x v="0"/>
    <x v="18"/>
    <x v="4"/>
    <x v="8"/>
    <s v="LV_Other_DH"/>
    <x v="1"/>
    <n v="35.989199999999997"/>
    <n v="9.9969999999999999"/>
  </r>
  <r>
    <x v="0"/>
    <x v="18"/>
    <x v="4"/>
    <x v="8"/>
    <s v="LV_Other_DH"/>
    <x v="2"/>
    <n v="2.52"/>
    <n v="0.7"/>
  </r>
  <r>
    <x v="0"/>
    <x v="18"/>
    <x v="4"/>
    <x v="8"/>
    <s v="LV_Other_DH"/>
    <x v="0"/>
    <n v="42.692399999999999"/>
    <n v="11.859"/>
  </r>
  <r>
    <x v="0"/>
    <x v="18"/>
    <x v="4"/>
    <x v="8"/>
    <s v="LV_Other_DH"/>
    <x v="3"/>
    <n v="51.633543144067197"/>
    <n v="14.342650873352"/>
  </r>
  <r>
    <x v="0"/>
    <x v="18"/>
    <x v="4"/>
    <x v="8"/>
    <s v="LV_Other_DH"/>
    <x v="4"/>
    <n v="15.1696304888152"/>
    <n v="4.21378624689312"/>
  </r>
  <r>
    <x v="0"/>
    <x v="18"/>
    <x v="4"/>
    <x v="8"/>
    <s v="LV_Other_DH"/>
    <x v="5"/>
    <n v="15.1696304888152"/>
    <n v="4.21378624689312"/>
  </r>
  <r>
    <x v="0"/>
    <x v="18"/>
    <x v="4"/>
    <x v="8"/>
    <s v="LV_Other_DH"/>
    <x v="6"/>
    <n v="29.476231795214598"/>
    <n v="8.1878421653373898"/>
  </r>
  <r>
    <x v="0"/>
    <x v="18"/>
    <x v="4"/>
    <x v="8"/>
    <s v="LV_Other_DH"/>
    <x v="7"/>
    <n v="57.838935220261199"/>
    <n v="16.066370894517"/>
  </r>
  <r>
    <x v="0"/>
    <x v="18"/>
    <x v="4"/>
    <x v="8"/>
    <s v="LV_Other_DH"/>
    <x v="8"/>
    <n v="57.838935220261199"/>
    <n v="16.066370894517"/>
  </r>
  <r>
    <x v="0"/>
    <x v="18"/>
    <x v="4"/>
    <x v="8"/>
    <s v="LV_Other_DH"/>
    <x v="9"/>
    <n v="51.506187241093599"/>
    <n v="14.3072742336371"/>
  </r>
  <r>
    <x v="0"/>
    <x v="18"/>
    <x v="4"/>
    <x v="8"/>
    <s v="LV_Other_DH"/>
    <x v="10"/>
    <n v="72.320331400165799"/>
    <n v="20.088980944490501"/>
  </r>
  <r>
    <x v="0"/>
    <x v="18"/>
    <x v="4"/>
    <x v="8"/>
    <s v="LV_Other_DH"/>
    <x v="11"/>
    <n v="8.1139884009941898"/>
    <n v="2.2538856669428302"/>
  </r>
  <r>
    <x v="0"/>
    <x v="18"/>
    <x v="4"/>
    <x v="8"/>
    <s v="LV_Other_DH"/>
    <x v="12"/>
    <n v="9.7995028997514597E-2"/>
    <n v="2.72208413881985E-2"/>
  </r>
  <r>
    <x v="0"/>
    <x v="18"/>
    <x v="4"/>
    <x v="8"/>
    <s v="LV_Other_DH"/>
    <x v="13"/>
    <n v="24.3419652029826"/>
    <n v="6.7616570008285004"/>
  </r>
  <r>
    <x v="0"/>
    <x v="18"/>
    <x v="4"/>
    <x v="8"/>
    <s v="LV_Other_DH"/>
    <x v="14"/>
    <n v="24.3419652029826"/>
    <n v="6.7616570008285004"/>
  </r>
  <r>
    <x v="0"/>
    <x v="18"/>
    <x v="4"/>
    <x v="8"/>
    <s v="LV_Other_DH"/>
    <x v="15"/>
    <n v="1.65807589063794"/>
    <n v="0.46057663628831802"/>
  </r>
  <r>
    <x v="0"/>
    <x v="18"/>
    <x v="4"/>
    <x v="8"/>
    <s v="LV_Other_DH"/>
    <x v="16"/>
    <n v="6.7156619979650802"/>
    <n v="1.8654616661014101"/>
  </r>
  <r>
    <x v="0"/>
    <x v="18"/>
    <x v="4"/>
    <x v="8"/>
    <s v="LV_Other_DH"/>
    <x v="17"/>
    <n v="9.1244895875632395"/>
    <n v="2.5345804409897901"/>
  </r>
  <r>
    <x v="0"/>
    <x v="18"/>
    <x v="4"/>
    <x v="8"/>
    <s v="LV_Other_DH"/>
    <x v="18"/>
    <n v="24.3419652029826"/>
    <n v="6.7616570008285004"/>
  </r>
  <r>
    <x v="0"/>
    <x v="18"/>
    <x v="4"/>
    <x v="8"/>
    <s v="LV_Other_DH"/>
    <x v="19"/>
    <n v="8.1139884009941898"/>
    <n v="2.2538856669428302"/>
  </r>
  <r>
    <x v="0"/>
    <x v="18"/>
    <x v="4"/>
    <x v="8"/>
    <s v="LV_Other_DH"/>
    <x v="20"/>
    <n v="21.431396138420201"/>
    <n v="5.9531655940056103"/>
  </r>
  <r>
    <x v="0"/>
    <x v="18"/>
    <x v="4"/>
    <x v="8"/>
    <s v="LV_Other_DH"/>
    <x v="28"/>
    <n v="41.38758"/>
    <n v="11.496549999999999"/>
  </r>
  <r>
    <x v="0"/>
    <x v="18"/>
    <x v="4"/>
    <x v="8"/>
    <s v="LV_Other_DH"/>
    <x v="21"/>
    <n v="48.24"/>
    <n v="13.4"/>
  </r>
  <r>
    <x v="0"/>
    <x v="18"/>
    <x v="4"/>
    <x v="8"/>
    <s v="LV_Other_DH"/>
    <x v="22"/>
    <n v="67.680000000000007"/>
    <n v="18.8"/>
  </r>
  <r>
    <x v="0"/>
    <x v="18"/>
    <x v="4"/>
    <x v="8"/>
    <s v="LV_Other_DH"/>
    <x v="23"/>
    <n v="0.31515896120488701"/>
    <n v="8.7544155890246306E-2"/>
  </r>
  <r>
    <x v="0"/>
    <x v="18"/>
    <x v="4"/>
    <x v="8"/>
    <s v="LV_Other_DH"/>
    <x v="24"/>
    <n v="19.174223581093901"/>
    <n v="5.32617321697054"/>
  </r>
  <r>
    <x v="0"/>
    <x v="18"/>
    <x v="4"/>
    <x v="8"/>
    <s v="LV_Other_DH"/>
    <x v="25"/>
    <n v="25.064747068787099"/>
    <n v="6.9624297413297498"/>
  </r>
  <r>
    <x v="0"/>
    <x v="18"/>
    <x v="4"/>
    <x v="8"/>
    <s v="LV_Other_DH"/>
    <x v="26"/>
    <n v="32.516643167392601"/>
    <n v="9.03240087983127"/>
  </r>
  <r>
    <x v="0"/>
    <x v="18"/>
    <x v="4"/>
    <x v="8"/>
    <s v="LV_Other_DH"/>
    <x v="27"/>
    <n v="20.163995508318798"/>
    <n v="5.6011098634218799"/>
  </r>
  <r>
    <x v="0"/>
    <x v="18"/>
    <x v="4"/>
    <x v="8"/>
    <s v="LV_RigaR"/>
    <x v="1"/>
    <n v="35.989199999999997"/>
    <n v="9.9969999999999999"/>
  </r>
  <r>
    <x v="0"/>
    <x v="18"/>
    <x v="4"/>
    <x v="8"/>
    <s v="LV_RigaR"/>
    <x v="2"/>
    <n v="2.52"/>
    <n v="0.7"/>
  </r>
  <r>
    <x v="0"/>
    <x v="18"/>
    <x v="4"/>
    <x v="8"/>
    <s v="LV_RigaR"/>
    <x v="0"/>
    <n v="42.692399999999999"/>
    <n v="11.859"/>
  </r>
  <r>
    <x v="0"/>
    <x v="18"/>
    <x v="4"/>
    <x v="8"/>
    <s v="LV_RigaR"/>
    <x v="3"/>
    <n v="51.633543144067197"/>
    <n v="14.342650873352"/>
  </r>
  <r>
    <x v="0"/>
    <x v="18"/>
    <x v="4"/>
    <x v="8"/>
    <s v="LV_RigaR"/>
    <x v="4"/>
    <n v="15.1696304888152"/>
    <n v="4.21378624689312"/>
  </r>
  <r>
    <x v="0"/>
    <x v="18"/>
    <x v="4"/>
    <x v="8"/>
    <s v="LV_RigaR"/>
    <x v="5"/>
    <n v="15.1696304888152"/>
    <n v="4.21378624689312"/>
  </r>
  <r>
    <x v="0"/>
    <x v="18"/>
    <x v="4"/>
    <x v="8"/>
    <s v="LV_RigaR"/>
    <x v="6"/>
    <n v="29.476231795214598"/>
    <n v="8.1878421653373898"/>
  </r>
  <r>
    <x v="0"/>
    <x v="18"/>
    <x v="4"/>
    <x v="8"/>
    <s v="LV_RigaR"/>
    <x v="7"/>
    <n v="57.838935220261199"/>
    <n v="16.066370894517"/>
  </r>
  <r>
    <x v="0"/>
    <x v="18"/>
    <x v="4"/>
    <x v="8"/>
    <s v="LV_RigaR"/>
    <x v="8"/>
    <n v="57.838935220261199"/>
    <n v="16.066370894517"/>
  </r>
  <r>
    <x v="0"/>
    <x v="18"/>
    <x v="4"/>
    <x v="8"/>
    <s v="LV_RigaR"/>
    <x v="9"/>
    <n v="51.506187241093599"/>
    <n v="14.3072742336371"/>
  </r>
  <r>
    <x v="0"/>
    <x v="18"/>
    <x v="4"/>
    <x v="8"/>
    <s v="LV_RigaR"/>
    <x v="10"/>
    <n v="72.320331400165799"/>
    <n v="20.088980944490501"/>
  </r>
  <r>
    <x v="0"/>
    <x v="18"/>
    <x v="4"/>
    <x v="8"/>
    <s v="LV_RigaR"/>
    <x v="11"/>
    <n v="8.1139884009941898"/>
    <n v="2.2538856669428302"/>
  </r>
  <r>
    <x v="0"/>
    <x v="18"/>
    <x v="4"/>
    <x v="8"/>
    <s v="LV_RigaR"/>
    <x v="12"/>
    <n v="9.7995028997514597E-2"/>
    <n v="2.72208413881985E-2"/>
  </r>
  <r>
    <x v="0"/>
    <x v="18"/>
    <x v="4"/>
    <x v="8"/>
    <s v="LV_RigaR"/>
    <x v="13"/>
    <n v="24.3419652029826"/>
    <n v="6.7616570008285004"/>
  </r>
  <r>
    <x v="0"/>
    <x v="18"/>
    <x v="4"/>
    <x v="8"/>
    <s v="LV_RigaR"/>
    <x v="14"/>
    <n v="24.3419652029826"/>
    <n v="6.7616570008285004"/>
  </r>
  <r>
    <x v="0"/>
    <x v="18"/>
    <x v="4"/>
    <x v="8"/>
    <s v="LV_RigaR"/>
    <x v="15"/>
    <n v="1.65807589063794"/>
    <n v="0.46057663628831802"/>
  </r>
  <r>
    <x v="0"/>
    <x v="18"/>
    <x v="4"/>
    <x v="8"/>
    <s v="LV_RigaR"/>
    <x v="16"/>
    <n v="6.7156619979650802"/>
    <n v="1.8654616661014101"/>
  </r>
  <r>
    <x v="0"/>
    <x v="18"/>
    <x v="4"/>
    <x v="8"/>
    <s v="LV_RigaR"/>
    <x v="17"/>
    <n v="9.1244895875632395"/>
    <n v="2.5345804409897901"/>
  </r>
  <r>
    <x v="0"/>
    <x v="18"/>
    <x v="4"/>
    <x v="8"/>
    <s v="LV_RigaR"/>
    <x v="18"/>
    <n v="24.3419652029826"/>
    <n v="6.7616570008285004"/>
  </r>
  <r>
    <x v="0"/>
    <x v="18"/>
    <x v="4"/>
    <x v="8"/>
    <s v="LV_RigaR"/>
    <x v="19"/>
    <n v="8.1139884009941898"/>
    <n v="2.2538856669428302"/>
  </r>
  <r>
    <x v="0"/>
    <x v="18"/>
    <x v="4"/>
    <x v="8"/>
    <s v="LV_RigaR"/>
    <x v="20"/>
    <n v="21.431396138420201"/>
    <n v="5.9531655940056103"/>
  </r>
  <r>
    <x v="0"/>
    <x v="18"/>
    <x v="4"/>
    <x v="8"/>
    <s v="LV_RigaR"/>
    <x v="28"/>
    <n v="41.38758"/>
    <n v="11.496549999999999"/>
  </r>
  <r>
    <x v="0"/>
    <x v="18"/>
    <x v="4"/>
    <x v="8"/>
    <s v="LV_RigaR"/>
    <x v="21"/>
    <n v="48.24"/>
    <n v="13.4"/>
  </r>
  <r>
    <x v="0"/>
    <x v="18"/>
    <x v="4"/>
    <x v="8"/>
    <s v="LV_RigaR"/>
    <x v="22"/>
    <n v="67.680000000000007"/>
    <n v="18.8"/>
  </r>
  <r>
    <x v="0"/>
    <x v="18"/>
    <x v="4"/>
    <x v="8"/>
    <s v="LV_RigaR"/>
    <x v="23"/>
    <n v="0.31515896120488701"/>
    <n v="8.7544155890246306E-2"/>
  </r>
  <r>
    <x v="0"/>
    <x v="18"/>
    <x v="4"/>
    <x v="8"/>
    <s v="LV_RigaR"/>
    <x v="24"/>
    <n v="19.174223581093901"/>
    <n v="5.32617321697054"/>
  </r>
  <r>
    <x v="0"/>
    <x v="18"/>
    <x v="4"/>
    <x v="8"/>
    <s v="LV_RigaR"/>
    <x v="25"/>
    <n v="25.064747068787099"/>
    <n v="6.9624297413297498"/>
  </r>
  <r>
    <x v="0"/>
    <x v="18"/>
    <x v="4"/>
    <x v="8"/>
    <s v="LV_RigaR"/>
    <x v="26"/>
    <n v="32.516643167392601"/>
    <n v="9.03240087983127"/>
  </r>
  <r>
    <x v="0"/>
    <x v="18"/>
    <x v="4"/>
    <x v="8"/>
    <s v="LV_RigaR"/>
    <x v="27"/>
    <n v="20.163995508318798"/>
    <n v="5.6011098634218799"/>
  </r>
  <r>
    <x v="0"/>
    <x v="18"/>
    <x v="4"/>
    <x v="8"/>
    <s v="LV_Rural"/>
    <x v="1"/>
    <n v="35.989199999999997"/>
    <n v="9.9969999999999999"/>
  </r>
  <r>
    <x v="0"/>
    <x v="18"/>
    <x v="4"/>
    <x v="8"/>
    <s v="LV_Rural"/>
    <x v="2"/>
    <n v="2.52"/>
    <n v="0.7"/>
  </r>
  <r>
    <x v="0"/>
    <x v="18"/>
    <x v="4"/>
    <x v="8"/>
    <s v="LV_Rural"/>
    <x v="0"/>
    <n v="42.692399999999999"/>
    <n v="11.859"/>
  </r>
  <r>
    <x v="0"/>
    <x v="18"/>
    <x v="4"/>
    <x v="8"/>
    <s v="LV_Rural"/>
    <x v="3"/>
    <n v="51.633543144067197"/>
    <n v="14.342650873352"/>
  </r>
  <r>
    <x v="0"/>
    <x v="18"/>
    <x v="4"/>
    <x v="8"/>
    <s v="LV_Rural"/>
    <x v="4"/>
    <n v="15.1696304888152"/>
    <n v="4.21378624689312"/>
  </r>
  <r>
    <x v="0"/>
    <x v="18"/>
    <x v="4"/>
    <x v="8"/>
    <s v="LV_Rural"/>
    <x v="5"/>
    <n v="15.1696304888152"/>
    <n v="4.21378624689312"/>
  </r>
  <r>
    <x v="0"/>
    <x v="18"/>
    <x v="4"/>
    <x v="8"/>
    <s v="LV_Rural"/>
    <x v="6"/>
    <n v="29.476231795214598"/>
    <n v="8.1878421653373898"/>
  </r>
  <r>
    <x v="0"/>
    <x v="18"/>
    <x v="4"/>
    <x v="8"/>
    <s v="LV_Rural"/>
    <x v="7"/>
    <n v="57.838935220261199"/>
    <n v="16.066370894517"/>
  </r>
  <r>
    <x v="0"/>
    <x v="18"/>
    <x v="4"/>
    <x v="8"/>
    <s v="LV_Rural"/>
    <x v="8"/>
    <n v="57.838935220261199"/>
    <n v="16.066370894517"/>
  </r>
  <r>
    <x v="0"/>
    <x v="18"/>
    <x v="4"/>
    <x v="8"/>
    <s v="LV_Rural"/>
    <x v="9"/>
    <n v="51.506187241093599"/>
    <n v="14.3072742336371"/>
  </r>
  <r>
    <x v="0"/>
    <x v="18"/>
    <x v="4"/>
    <x v="8"/>
    <s v="LV_Rural"/>
    <x v="10"/>
    <n v="72.320331400165799"/>
    <n v="20.088980944490501"/>
  </r>
  <r>
    <x v="0"/>
    <x v="18"/>
    <x v="4"/>
    <x v="8"/>
    <s v="LV_Rural"/>
    <x v="11"/>
    <n v="8.1139884009941898"/>
    <n v="2.2538856669428302"/>
  </r>
  <r>
    <x v="0"/>
    <x v="18"/>
    <x v="4"/>
    <x v="8"/>
    <s v="LV_Rural"/>
    <x v="12"/>
    <n v="9.7995028997514597E-2"/>
    <n v="2.72208413881985E-2"/>
  </r>
  <r>
    <x v="0"/>
    <x v="18"/>
    <x v="4"/>
    <x v="8"/>
    <s v="LV_Rural"/>
    <x v="13"/>
    <n v="24.3419652029826"/>
    <n v="6.7616570008285004"/>
  </r>
  <r>
    <x v="0"/>
    <x v="18"/>
    <x v="4"/>
    <x v="8"/>
    <s v="LV_Rural"/>
    <x v="14"/>
    <n v="24.3419652029826"/>
    <n v="6.7616570008285004"/>
  </r>
  <r>
    <x v="0"/>
    <x v="18"/>
    <x v="4"/>
    <x v="8"/>
    <s v="LV_Rural"/>
    <x v="15"/>
    <n v="1.65807589063794"/>
    <n v="0.46057663628831802"/>
  </r>
  <r>
    <x v="0"/>
    <x v="18"/>
    <x v="4"/>
    <x v="8"/>
    <s v="LV_Rural"/>
    <x v="16"/>
    <n v="6.7156619979650802"/>
    <n v="1.8654616661014101"/>
  </r>
  <r>
    <x v="0"/>
    <x v="18"/>
    <x v="4"/>
    <x v="8"/>
    <s v="LV_Rural"/>
    <x v="17"/>
    <n v="9.1244895875632395"/>
    <n v="2.5345804409897901"/>
  </r>
  <r>
    <x v="0"/>
    <x v="18"/>
    <x v="4"/>
    <x v="8"/>
    <s v="LV_Rural"/>
    <x v="18"/>
    <n v="24.3419652029826"/>
    <n v="6.7616570008285004"/>
  </r>
  <r>
    <x v="0"/>
    <x v="18"/>
    <x v="4"/>
    <x v="8"/>
    <s v="LV_Rural"/>
    <x v="19"/>
    <n v="8.1139884009941898"/>
    <n v="2.2538856669428302"/>
  </r>
  <r>
    <x v="0"/>
    <x v="18"/>
    <x v="4"/>
    <x v="8"/>
    <s v="LV_Rural"/>
    <x v="20"/>
    <n v="21.431396138420201"/>
    <n v="5.9531655940056103"/>
  </r>
  <r>
    <x v="0"/>
    <x v="18"/>
    <x v="4"/>
    <x v="8"/>
    <s v="LV_Rural"/>
    <x v="28"/>
    <n v="41.38758"/>
    <n v="11.496549999999999"/>
  </r>
  <r>
    <x v="0"/>
    <x v="18"/>
    <x v="4"/>
    <x v="8"/>
    <s v="LV_Rural"/>
    <x v="21"/>
    <n v="48.24"/>
    <n v="13.4"/>
  </r>
  <r>
    <x v="0"/>
    <x v="18"/>
    <x v="4"/>
    <x v="8"/>
    <s v="LV_Rural"/>
    <x v="22"/>
    <n v="67.680000000000007"/>
    <n v="18.8"/>
  </r>
  <r>
    <x v="0"/>
    <x v="18"/>
    <x v="4"/>
    <x v="8"/>
    <s v="LV_Rural"/>
    <x v="23"/>
    <n v="0.31515896120488701"/>
    <n v="8.7544155890246306E-2"/>
  </r>
  <r>
    <x v="0"/>
    <x v="18"/>
    <x v="4"/>
    <x v="8"/>
    <s v="LV_Rural"/>
    <x v="24"/>
    <n v="19.174223581093901"/>
    <n v="5.32617321697054"/>
  </r>
  <r>
    <x v="0"/>
    <x v="18"/>
    <x v="4"/>
    <x v="8"/>
    <s v="LV_Rural"/>
    <x v="25"/>
    <n v="25.064747068787099"/>
    <n v="6.9624297413297498"/>
  </r>
  <r>
    <x v="0"/>
    <x v="18"/>
    <x v="4"/>
    <x v="8"/>
    <s v="LV_Rural"/>
    <x v="26"/>
    <n v="32.516643167392601"/>
    <n v="9.03240087983127"/>
  </r>
  <r>
    <x v="0"/>
    <x v="18"/>
    <x v="4"/>
    <x v="8"/>
    <s v="LV_Rural"/>
    <x v="27"/>
    <n v="20.163995508318798"/>
    <n v="5.6011098634218799"/>
  </r>
  <r>
    <x v="0"/>
    <x v="18"/>
    <x v="5"/>
    <x v="9"/>
    <s v="LT_A"/>
    <x v="1"/>
    <n v="35.989199999999997"/>
    <n v="9.9969999999999999"/>
  </r>
  <r>
    <x v="0"/>
    <x v="18"/>
    <x v="5"/>
    <x v="9"/>
    <s v="LT_A"/>
    <x v="2"/>
    <n v="2.52"/>
    <n v="0.7"/>
  </r>
  <r>
    <x v="0"/>
    <x v="18"/>
    <x v="5"/>
    <x v="9"/>
    <s v="LT_A"/>
    <x v="0"/>
    <n v="42.692399999999999"/>
    <n v="11.859"/>
  </r>
  <r>
    <x v="0"/>
    <x v="18"/>
    <x v="5"/>
    <x v="9"/>
    <s v="LT_A"/>
    <x v="3"/>
    <n v="51.633543144067197"/>
    <n v="14.342650873352"/>
  </r>
  <r>
    <x v="0"/>
    <x v="18"/>
    <x v="5"/>
    <x v="9"/>
    <s v="LT_A"/>
    <x v="4"/>
    <n v="15.1696304888152"/>
    <n v="4.21378624689312"/>
  </r>
  <r>
    <x v="0"/>
    <x v="18"/>
    <x v="5"/>
    <x v="9"/>
    <s v="LT_A"/>
    <x v="5"/>
    <n v="15.1696304888152"/>
    <n v="4.21378624689312"/>
  </r>
  <r>
    <x v="0"/>
    <x v="18"/>
    <x v="5"/>
    <x v="9"/>
    <s v="LT_A"/>
    <x v="6"/>
    <n v="29.476231795214598"/>
    <n v="8.1878421653373898"/>
  </r>
  <r>
    <x v="0"/>
    <x v="18"/>
    <x v="5"/>
    <x v="9"/>
    <s v="LT_A"/>
    <x v="7"/>
    <n v="57.838935220261199"/>
    <n v="16.066370894517"/>
  </r>
  <r>
    <x v="0"/>
    <x v="18"/>
    <x v="5"/>
    <x v="9"/>
    <s v="LT_A"/>
    <x v="8"/>
    <n v="57.838935220261199"/>
    <n v="16.066370894517"/>
  </r>
  <r>
    <x v="0"/>
    <x v="18"/>
    <x v="5"/>
    <x v="9"/>
    <s v="LT_A"/>
    <x v="9"/>
    <n v="51.506187241093599"/>
    <n v="14.3072742336371"/>
  </r>
  <r>
    <x v="0"/>
    <x v="18"/>
    <x v="5"/>
    <x v="9"/>
    <s v="LT_A"/>
    <x v="10"/>
    <n v="72.320331400165799"/>
    <n v="20.088980944490501"/>
  </r>
  <r>
    <x v="0"/>
    <x v="18"/>
    <x v="5"/>
    <x v="9"/>
    <s v="LT_A"/>
    <x v="11"/>
    <n v="8.1139884009941898"/>
    <n v="2.2538856669428302"/>
  </r>
  <r>
    <x v="0"/>
    <x v="18"/>
    <x v="5"/>
    <x v="9"/>
    <s v="LT_A"/>
    <x v="12"/>
    <n v="9.7995028997514597E-2"/>
    <n v="2.72208413881985E-2"/>
  </r>
  <r>
    <x v="0"/>
    <x v="18"/>
    <x v="5"/>
    <x v="9"/>
    <s v="LT_A"/>
    <x v="13"/>
    <n v="24.3419652029826"/>
    <n v="6.7616570008285004"/>
  </r>
  <r>
    <x v="0"/>
    <x v="18"/>
    <x v="5"/>
    <x v="9"/>
    <s v="LT_A"/>
    <x v="14"/>
    <n v="24.3419652029826"/>
    <n v="6.7616570008285004"/>
  </r>
  <r>
    <x v="0"/>
    <x v="18"/>
    <x v="5"/>
    <x v="9"/>
    <s v="LT_A"/>
    <x v="15"/>
    <n v="1.65807589063794"/>
    <n v="0.46057663628831802"/>
  </r>
  <r>
    <x v="0"/>
    <x v="18"/>
    <x v="5"/>
    <x v="9"/>
    <s v="LT_A"/>
    <x v="16"/>
    <n v="6.7156619979650802"/>
    <n v="1.8654616661014101"/>
  </r>
  <r>
    <x v="0"/>
    <x v="18"/>
    <x v="5"/>
    <x v="9"/>
    <s v="LT_A"/>
    <x v="17"/>
    <n v="9.1244895875632395"/>
    <n v="2.5345804409897901"/>
  </r>
  <r>
    <x v="0"/>
    <x v="18"/>
    <x v="5"/>
    <x v="9"/>
    <s v="LT_A"/>
    <x v="18"/>
    <n v="24.3419652029826"/>
    <n v="6.7616570008285004"/>
  </r>
  <r>
    <x v="0"/>
    <x v="18"/>
    <x v="5"/>
    <x v="9"/>
    <s v="LT_A"/>
    <x v="19"/>
    <n v="8.1139884009941898"/>
    <n v="2.2538856669428302"/>
  </r>
  <r>
    <x v="0"/>
    <x v="18"/>
    <x v="5"/>
    <x v="9"/>
    <s v="LT_A"/>
    <x v="20"/>
    <n v="21.431396138420201"/>
    <n v="5.9531655940056103"/>
  </r>
  <r>
    <x v="0"/>
    <x v="18"/>
    <x v="5"/>
    <x v="9"/>
    <s v="LT_A"/>
    <x v="28"/>
    <n v="41.38758"/>
    <n v="11.496549999999999"/>
  </r>
  <r>
    <x v="0"/>
    <x v="18"/>
    <x v="5"/>
    <x v="9"/>
    <s v="LT_A"/>
    <x v="21"/>
    <n v="48.24"/>
    <n v="13.4"/>
  </r>
  <r>
    <x v="0"/>
    <x v="18"/>
    <x v="5"/>
    <x v="9"/>
    <s v="LT_A"/>
    <x v="22"/>
    <n v="67.680000000000007"/>
    <n v="18.8"/>
  </r>
  <r>
    <x v="0"/>
    <x v="18"/>
    <x v="5"/>
    <x v="9"/>
    <s v="LT_A"/>
    <x v="23"/>
    <n v="0.31515896120488701"/>
    <n v="8.7544155890246306E-2"/>
  </r>
  <r>
    <x v="0"/>
    <x v="18"/>
    <x v="5"/>
    <x v="9"/>
    <s v="LT_A"/>
    <x v="24"/>
    <n v="19.174223581093901"/>
    <n v="5.32617321697054"/>
  </r>
  <r>
    <x v="0"/>
    <x v="18"/>
    <x v="5"/>
    <x v="9"/>
    <s v="LT_A"/>
    <x v="25"/>
    <n v="25.064747068787099"/>
    <n v="6.9624297413297498"/>
  </r>
  <r>
    <x v="0"/>
    <x v="18"/>
    <x v="5"/>
    <x v="9"/>
    <s v="LT_A"/>
    <x v="26"/>
    <n v="32.516643167392601"/>
    <n v="9.03240087983127"/>
  </r>
  <r>
    <x v="0"/>
    <x v="18"/>
    <x v="5"/>
    <x v="9"/>
    <s v="LT_A"/>
    <x v="27"/>
    <n v="20.163995508318798"/>
    <n v="5.6011098634218799"/>
  </r>
  <r>
    <x v="0"/>
    <x v="18"/>
    <x v="5"/>
    <x v="9"/>
    <s v="LT_KauU"/>
    <x v="1"/>
    <n v="35.989199999999997"/>
    <n v="9.9969999999999999"/>
  </r>
  <r>
    <x v="0"/>
    <x v="18"/>
    <x v="5"/>
    <x v="9"/>
    <s v="LT_KauU"/>
    <x v="2"/>
    <n v="2.52"/>
    <n v="0.7"/>
  </r>
  <r>
    <x v="0"/>
    <x v="18"/>
    <x v="5"/>
    <x v="9"/>
    <s v="LT_KauU"/>
    <x v="0"/>
    <n v="42.692399999999999"/>
    <n v="11.859"/>
  </r>
  <r>
    <x v="0"/>
    <x v="18"/>
    <x v="5"/>
    <x v="9"/>
    <s v="LT_KauU"/>
    <x v="3"/>
    <n v="51.633543144067197"/>
    <n v="14.342650873352"/>
  </r>
  <r>
    <x v="0"/>
    <x v="18"/>
    <x v="5"/>
    <x v="9"/>
    <s v="LT_KauU"/>
    <x v="4"/>
    <n v="15.1696304888152"/>
    <n v="4.21378624689312"/>
  </r>
  <r>
    <x v="0"/>
    <x v="18"/>
    <x v="5"/>
    <x v="9"/>
    <s v="LT_KauU"/>
    <x v="5"/>
    <n v="15.1696304888152"/>
    <n v="4.21378624689312"/>
  </r>
  <r>
    <x v="0"/>
    <x v="18"/>
    <x v="5"/>
    <x v="9"/>
    <s v="LT_KauU"/>
    <x v="6"/>
    <n v="29.476231795214598"/>
    <n v="8.1878421653373898"/>
  </r>
  <r>
    <x v="0"/>
    <x v="18"/>
    <x v="5"/>
    <x v="9"/>
    <s v="LT_KauU"/>
    <x v="7"/>
    <n v="57.838935220261199"/>
    <n v="16.066370894517"/>
  </r>
  <r>
    <x v="0"/>
    <x v="18"/>
    <x v="5"/>
    <x v="9"/>
    <s v="LT_KauU"/>
    <x v="8"/>
    <n v="57.838935220261199"/>
    <n v="16.066370894517"/>
  </r>
  <r>
    <x v="0"/>
    <x v="18"/>
    <x v="5"/>
    <x v="9"/>
    <s v="LT_KauU"/>
    <x v="9"/>
    <n v="51.506187241093599"/>
    <n v="14.3072742336371"/>
  </r>
  <r>
    <x v="0"/>
    <x v="18"/>
    <x v="5"/>
    <x v="9"/>
    <s v="LT_KauU"/>
    <x v="10"/>
    <n v="72.320331400165799"/>
    <n v="20.088980944490501"/>
  </r>
  <r>
    <x v="0"/>
    <x v="18"/>
    <x v="5"/>
    <x v="9"/>
    <s v="LT_KauU"/>
    <x v="11"/>
    <n v="8.1139884009941898"/>
    <n v="2.2538856669428302"/>
  </r>
  <r>
    <x v="0"/>
    <x v="18"/>
    <x v="5"/>
    <x v="9"/>
    <s v="LT_KauU"/>
    <x v="12"/>
    <n v="9.7995028997514597E-2"/>
    <n v="2.72208413881985E-2"/>
  </r>
  <r>
    <x v="0"/>
    <x v="18"/>
    <x v="5"/>
    <x v="9"/>
    <s v="LT_KauU"/>
    <x v="13"/>
    <n v="24.3419652029826"/>
    <n v="6.7616570008285004"/>
  </r>
  <r>
    <x v="0"/>
    <x v="18"/>
    <x v="5"/>
    <x v="9"/>
    <s v="LT_KauU"/>
    <x v="14"/>
    <n v="24.3419652029826"/>
    <n v="6.7616570008285004"/>
  </r>
  <r>
    <x v="0"/>
    <x v="18"/>
    <x v="5"/>
    <x v="9"/>
    <s v="LT_KauU"/>
    <x v="15"/>
    <n v="1.65807589063794"/>
    <n v="0.46057663628831802"/>
  </r>
  <r>
    <x v="0"/>
    <x v="18"/>
    <x v="5"/>
    <x v="9"/>
    <s v="LT_KauU"/>
    <x v="16"/>
    <n v="6.7156619979650802"/>
    <n v="1.8654616661014101"/>
  </r>
  <r>
    <x v="0"/>
    <x v="18"/>
    <x v="5"/>
    <x v="9"/>
    <s v="LT_KauU"/>
    <x v="17"/>
    <n v="9.1244895875632395"/>
    <n v="2.5345804409897901"/>
  </r>
  <r>
    <x v="0"/>
    <x v="18"/>
    <x v="5"/>
    <x v="9"/>
    <s v="LT_KauU"/>
    <x v="18"/>
    <n v="24.3419652029826"/>
    <n v="6.7616570008285004"/>
  </r>
  <r>
    <x v="0"/>
    <x v="18"/>
    <x v="5"/>
    <x v="9"/>
    <s v="LT_KauU"/>
    <x v="19"/>
    <n v="8.1139884009941898"/>
    <n v="2.2538856669428302"/>
  </r>
  <r>
    <x v="0"/>
    <x v="18"/>
    <x v="5"/>
    <x v="9"/>
    <s v="LT_KauU"/>
    <x v="20"/>
    <n v="21.431396138420201"/>
    <n v="5.9531655940056103"/>
  </r>
  <r>
    <x v="0"/>
    <x v="18"/>
    <x v="5"/>
    <x v="9"/>
    <s v="LT_KauU"/>
    <x v="28"/>
    <n v="41.38758"/>
    <n v="11.496549999999999"/>
  </r>
  <r>
    <x v="0"/>
    <x v="18"/>
    <x v="5"/>
    <x v="9"/>
    <s v="LT_KauU"/>
    <x v="21"/>
    <n v="48.24"/>
    <n v="13.4"/>
  </r>
  <r>
    <x v="0"/>
    <x v="18"/>
    <x v="5"/>
    <x v="9"/>
    <s v="LT_KauU"/>
    <x v="22"/>
    <n v="67.680000000000007"/>
    <n v="18.8"/>
  </r>
  <r>
    <x v="0"/>
    <x v="18"/>
    <x v="5"/>
    <x v="9"/>
    <s v="LT_KauU"/>
    <x v="23"/>
    <n v="0.31515896120488701"/>
    <n v="8.7544155890246306E-2"/>
  </r>
  <r>
    <x v="0"/>
    <x v="18"/>
    <x v="5"/>
    <x v="9"/>
    <s v="LT_KauU"/>
    <x v="24"/>
    <n v="19.174223581093901"/>
    <n v="5.32617321697054"/>
  </r>
  <r>
    <x v="0"/>
    <x v="18"/>
    <x v="5"/>
    <x v="9"/>
    <s v="LT_KauU"/>
    <x v="25"/>
    <n v="25.064747068787099"/>
    <n v="6.9624297413297498"/>
  </r>
  <r>
    <x v="0"/>
    <x v="18"/>
    <x v="5"/>
    <x v="9"/>
    <s v="LT_KauU"/>
    <x v="26"/>
    <n v="32.516643167392601"/>
    <n v="9.03240087983127"/>
  </r>
  <r>
    <x v="0"/>
    <x v="18"/>
    <x v="5"/>
    <x v="9"/>
    <s v="LT_KauU"/>
    <x v="27"/>
    <n v="20.163995508318798"/>
    <n v="5.6011098634218799"/>
  </r>
  <r>
    <x v="0"/>
    <x v="18"/>
    <x v="5"/>
    <x v="9"/>
    <s v="LT_KlaU"/>
    <x v="1"/>
    <n v="35.989199999999997"/>
    <n v="9.9969999999999999"/>
  </r>
  <r>
    <x v="0"/>
    <x v="18"/>
    <x v="5"/>
    <x v="9"/>
    <s v="LT_KlaU"/>
    <x v="2"/>
    <n v="2.52"/>
    <n v="0.7"/>
  </r>
  <r>
    <x v="0"/>
    <x v="18"/>
    <x v="5"/>
    <x v="9"/>
    <s v="LT_KlaU"/>
    <x v="0"/>
    <n v="42.692399999999999"/>
    <n v="11.859"/>
  </r>
  <r>
    <x v="0"/>
    <x v="18"/>
    <x v="5"/>
    <x v="9"/>
    <s v="LT_KlaU"/>
    <x v="3"/>
    <n v="51.633543144067197"/>
    <n v="14.342650873352"/>
  </r>
  <r>
    <x v="0"/>
    <x v="18"/>
    <x v="5"/>
    <x v="9"/>
    <s v="LT_KlaU"/>
    <x v="4"/>
    <n v="15.1696304888152"/>
    <n v="4.21378624689312"/>
  </r>
  <r>
    <x v="0"/>
    <x v="18"/>
    <x v="5"/>
    <x v="9"/>
    <s v="LT_KlaU"/>
    <x v="5"/>
    <n v="15.1696304888152"/>
    <n v="4.21378624689312"/>
  </r>
  <r>
    <x v="0"/>
    <x v="18"/>
    <x v="5"/>
    <x v="9"/>
    <s v="LT_KlaU"/>
    <x v="6"/>
    <n v="29.476231795214598"/>
    <n v="8.1878421653373898"/>
  </r>
  <r>
    <x v="0"/>
    <x v="18"/>
    <x v="5"/>
    <x v="9"/>
    <s v="LT_KlaU"/>
    <x v="7"/>
    <n v="57.838935220261199"/>
    <n v="16.066370894517"/>
  </r>
  <r>
    <x v="0"/>
    <x v="18"/>
    <x v="5"/>
    <x v="9"/>
    <s v="LT_KlaU"/>
    <x v="8"/>
    <n v="57.838935220261199"/>
    <n v="16.066370894517"/>
  </r>
  <r>
    <x v="0"/>
    <x v="18"/>
    <x v="5"/>
    <x v="9"/>
    <s v="LT_KlaU"/>
    <x v="9"/>
    <n v="51.506187241093599"/>
    <n v="14.3072742336371"/>
  </r>
  <r>
    <x v="0"/>
    <x v="18"/>
    <x v="5"/>
    <x v="9"/>
    <s v="LT_KlaU"/>
    <x v="10"/>
    <n v="72.320331400165799"/>
    <n v="20.088980944490501"/>
  </r>
  <r>
    <x v="0"/>
    <x v="18"/>
    <x v="5"/>
    <x v="9"/>
    <s v="LT_KlaU"/>
    <x v="11"/>
    <n v="8.1139884009941898"/>
    <n v="2.2538856669428302"/>
  </r>
  <r>
    <x v="0"/>
    <x v="18"/>
    <x v="5"/>
    <x v="9"/>
    <s v="LT_KlaU"/>
    <x v="12"/>
    <n v="9.7995028997514597E-2"/>
    <n v="2.72208413881985E-2"/>
  </r>
  <r>
    <x v="0"/>
    <x v="18"/>
    <x v="5"/>
    <x v="9"/>
    <s v="LT_KlaU"/>
    <x v="13"/>
    <n v="24.3419652029826"/>
    <n v="6.7616570008285004"/>
  </r>
  <r>
    <x v="0"/>
    <x v="18"/>
    <x v="5"/>
    <x v="9"/>
    <s v="LT_KlaU"/>
    <x v="14"/>
    <n v="24.3419652029826"/>
    <n v="6.7616570008285004"/>
  </r>
  <r>
    <x v="0"/>
    <x v="18"/>
    <x v="5"/>
    <x v="9"/>
    <s v="LT_KlaU"/>
    <x v="15"/>
    <n v="1.65807589063794"/>
    <n v="0.46057663628831802"/>
  </r>
  <r>
    <x v="0"/>
    <x v="18"/>
    <x v="5"/>
    <x v="9"/>
    <s v="LT_KlaU"/>
    <x v="16"/>
    <n v="6.7156619979650802"/>
    <n v="1.8654616661014101"/>
  </r>
  <r>
    <x v="0"/>
    <x v="18"/>
    <x v="5"/>
    <x v="9"/>
    <s v="LT_KlaU"/>
    <x v="17"/>
    <n v="9.1244895875632395"/>
    <n v="2.5345804409897901"/>
  </r>
  <r>
    <x v="0"/>
    <x v="18"/>
    <x v="5"/>
    <x v="9"/>
    <s v="LT_KlaU"/>
    <x v="18"/>
    <n v="24.3419652029826"/>
    <n v="6.7616570008285004"/>
  </r>
  <r>
    <x v="0"/>
    <x v="18"/>
    <x v="5"/>
    <x v="9"/>
    <s v="LT_KlaU"/>
    <x v="19"/>
    <n v="8.1139884009941898"/>
    <n v="2.2538856669428302"/>
  </r>
  <r>
    <x v="0"/>
    <x v="18"/>
    <x v="5"/>
    <x v="9"/>
    <s v="LT_KlaU"/>
    <x v="20"/>
    <n v="21.431396138420201"/>
    <n v="5.9531655940056103"/>
  </r>
  <r>
    <x v="0"/>
    <x v="18"/>
    <x v="5"/>
    <x v="9"/>
    <s v="LT_KlaU"/>
    <x v="28"/>
    <n v="41.38758"/>
    <n v="11.496549999999999"/>
  </r>
  <r>
    <x v="0"/>
    <x v="18"/>
    <x v="5"/>
    <x v="9"/>
    <s v="LT_KlaU"/>
    <x v="21"/>
    <n v="48.24"/>
    <n v="13.4"/>
  </r>
  <r>
    <x v="0"/>
    <x v="18"/>
    <x v="5"/>
    <x v="9"/>
    <s v="LT_KlaU"/>
    <x v="22"/>
    <n v="67.680000000000007"/>
    <n v="18.8"/>
  </r>
  <r>
    <x v="0"/>
    <x v="18"/>
    <x v="5"/>
    <x v="9"/>
    <s v="LT_KlaU"/>
    <x v="23"/>
    <n v="0.31515896120488701"/>
    <n v="8.7544155890246306E-2"/>
  </r>
  <r>
    <x v="0"/>
    <x v="18"/>
    <x v="5"/>
    <x v="9"/>
    <s v="LT_KlaU"/>
    <x v="24"/>
    <n v="19.174223581093901"/>
    <n v="5.32617321697054"/>
  </r>
  <r>
    <x v="0"/>
    <x v="18"/>
    <x v="5"/>
    <x v="9"/>
    <s v="LT_KlaU"/>
    <x v="25"/>
    <n v="25.064747068787099"/>
    <n v="6.9624297413297498"/>
  </r>
  <r>
    <x v="0"/>
    <x v="18"/>
    <x v="5"/>
    <x v="9"/>
    <s v="LT_KlaU"/>
    <x v="26"/>
    <n v="32.516643167392601"/>
    <n v="9.03240087983127"/>
  </r>
  <r>
    <x v="0"/>
    <x v="18"/>
    <x v="5"/>
    <x v="9"/>
    <s v="LT_KlaU"/>
    <x v="27"/>
    <n v="20.163995508318798"/>
    <n v="5.6011098634218799"/>
  </r>
  <r>
    <x v="0"/>
    <x v="18"/>
    <x v="5"/>
    <x v="9"/>
    <s v="LT_OFFSHORE"/>
    <x v="1"/>
    <n v="35.989199999999997"/>
    <n v="9.9969999999999999"/>
  </r>
  <r>
    <x v="0"/>
    <x v="18"/>
    <x v="5"/>
    <x v="9"/>
    <s v="LT_OFFSHORE"/>
    <x v="2"/>
    <n v="2.52"/>
    <n v="0.7"/>
  </r>
  <r>
    <x v="0"/>
    <x v="18"/>
    <x v="5"/>
    <x v="9"/>
    <s v="LT_OFFSHORE"/>
    <x v="0"/>
    <n v="42.692399999999999"/>
    <n v="11.859"/>
  </r>
  <r>
    <x v="0"/>
    <x v="18"/>
    <x v="5"/>
    <x v="9"/>
    <s v="LT_OFFSHORE"/>
    <x v="3"/>
    <n v="51.633543144067197"/>
    <n v="14.342650873352"/>
  </r>
  <r>
    <x v="0"/>
    <x v="18"/>
    <x v="5"/>
    <x v="9"/>
    <s v="LT_OFFSHORE"/>
    <x v="4"/>
    <n v="15.1696304888152"/>
    <n v="4.21378624689312"/>
  </r>
  <r>
    <x v="0"/>
    <x v="18"/>
    <x v="5"/>
    <x v="9"/>
    <s v="LT_OFFSHORE"/>
    <x v="5"/>
    <n v="15.1696304888152"/>
    <n v="4.21378624689312"/>
  </r>
  <r>
    <x v="0"/>
    <x v="18"/>
    <x v="5"/>
    <x v="9"/>
    <s v="LT_OFFSHORE"/>
    <x v="6"/>
    <n v="29.476231795214598"/>
    <n v="8.1878421653373898"/>
  </r>
  <r>
    <x v="0"/>
    <x v="18"/>
    <x v="5"/>
    <x v="9"/>
    <s v="LT_OFFSHORE"/>
    <x v="7"/>
    <n v="57.838935220261199"/>
    <n v="16.066370894517"/>
  </r>
  <r>
    <x v="0"/>
    <x v="18"/>
    <x v="5"/>
    <x v="9"/>
    <s v="LT_OFFSHORE"/>
    <x v="8"/>
    <n v="57.838935220261199"/>
    <n v="16.066370894517"/>
  </r>
  <r>
    <x v="0"/>
    <x v="18"/>
    <x v="5"/>
    <x v="9"/>
    <s v="LT_OFFSHORE"/>
    <x v="9"/>
    <n v="51.506187241093599"/>
    <n v="14.3072742336371"/>
  </r>
  <r>
    <x v="0"/>
    <x v="18"/>
    <x v="5"/>
    <x v="9"/>
    <s v="LT_OFFSHORE"/>
    <x v="10"/>
    <n v="72.320331400165799"/>
    <n v="20.088980944490501"/>
  </r>
  <r>
    <x v="0"/>
    <x v="18"/>
    <x v="5"/>
    <x v="9"/>
    <s v="LT_OFFSHORE"/>
    <x v="11"/>
    <n v="8.1139884009941898"/>
    <n v="2.2538856669428302"/>
  </r>
  <r>
    <x v="0"/>
    <x v="18"/>
    <x v="5"/>
    <x v="9"/>
    <s v="LT_OFFSHORE"/>
    <x v="12"/>
    <n v="9.7995028997514597E-2"/>
    <n v="2.72208413881985E-2"/>
  </r>
  <r>
    <x v="0"/>
    <x v="18"/>
    <x v="5"/>
    <x v="9"/>
    <s v="LT_OFFSHORE"/>
    <x v="13"/>
    <n v="24.3419652029826"/>
    <n v="6.7616570008285004"/>
  </r>
  <r>
    <x v="0"/>
    <x v="18"/>
    <x v="5"/>
    <x v="9"/>
    <s v="LT_OFFSHORE"/>
    <x v="14"/>
    <n v="24.3419652029826"/>
    <n v="6.7616570008285004"/>
  </r>
  <r>
    <x v="0"/>
    <x v="18"/>
    <x v="5"/>
    <x v="9"/>
    <s v="LT_OFFSHORE"/>
    <x v="15"/>
    <n v="1.65807589063794"/>
    <n v="0.46057663628831802"/>
  </r>
  <r>
    <x v="0"/>
    <x v="18"/>
    <x v="5"/>
    <x v="9"/>
    <s v="LT_OFFSHORE"/>
    <x v="16"/>
    <n v="6.7156619979650802"/>
    <n v="1.8654616661014101"/>
  </r>
  <r>
    <x v="0"/>
    <x v="18"/>
    <x v="5"/>
    <x v="9"/>
    <s v="LT_OFFSHORE"/>
    <x v="17"/>
    <n v="9.1244895875632395"/>
    <n v="2.5345804409897901"/>
  </r>
  <r>
    <x v="0"/>
    <x v="18"/>
    <x v="5"/>
    <x v="9"/>
    <s v="LT_OFFSHORE"/>
    <x v="18"/>
    <n v="24.3419652029826"/>
    <n v="6.7616570008285004"/>
  </r>
  <r>
    <x v="0"/>
    <x v="18"/>
    <x v="5"/>
    <x v="9"/>
    <s v="LT_OFFSHORE"/>
    <x v="19"/>
    <n v="8.1139884009941898"/>
    <n v="2.2538856669428302"/>
  </r>
  <r>
    <x v="0"/>
    <x v="18"/>
    <x v="5"/>
    <x v="9"/>
    <s v="LT_OFFSHORE"/>
    <x v="20"/>
    <n v="21.431396138420201"/>
    <n v="5.9531655940056103"/>
  </r>
  <r>
    <x v="0"/>
    <x v="18"/>
    <x v="5"/>
    <x v="9"/>
    <s v="LT_OFFSHORE"/>
    <x v="28"/>
    <n v="41.38758"/>
    <n v="11.496549999999999"/>
  </r>
  <r>
    <x v="0"/>
    <x v="18"/>
    <x v="5"/>
    <x v="9"/>
    <s v="LT_OFFSHORE"/>
    <x v="21"/>
    <n v="48.24"/>
    <n v="13.4"/>
  </r>
  <r>
    <x v="0"/>
    <x v="18"/>
    <x v="5"/>
    <x v="9"/>
    <s v="LT_OFFSHORE"/>
    <x v="22"/>
    <n v="67.680000000000007"/>
    <n v="18.8"/>
  </r>
  <r>
    <x v="0"/>
    <x v="18"/>
    <x v="5"/>
    <x v="9"/>
    <s v="LT_OFFSHORE"/>
    <x v="23"/>
    <n v="0.31515896120488701"/>
    <n v="8.7544155890246306E-2"/>
  </r>
  <r>
    <x v="0"/>
    <x v="18"/>
    <x v="5"/>
    <x v="9"/>
    <s v="LT_OFFSHORE"/>
    <x v="24"/>
    <n v="19.174223581093901"/>
    <n v="5.32617321697054"/>
  </r>
  <r>
    <x v="0"/>
    <x v="18"/>
    <x v="5"/>
    <x v="9"/>
    <s v="LT_OFFSHORE"/>
    <x v="25"/>
    <n v="25.064747068787099"/>
    <n v="6.9624297413297498"/>
  </r>
  <r>
    <x v="0"/>
    <x v="18"/>
    <x v="5"/>
    <x v="9"/>
    <s v="LT_OFFSHORE"/>
    <x v="26"/>
    <n v="32.516643167392601"/>
    <n v="9.03240087983127"/>
  </r>
  <r>
    <x v="0"/>
    <x v="18"/>
    <x v="5"/>
    <x v="9"/>
    <s v="LT_OFFSHORE"/>
    <x v="27"/>
    <n v="20.163995508318798"/>
    <n v="5.6011098634218799"/>
  </r>
  <r>
    <x v="0"/>
    <x v="18"/>
    <x v="5"/>
    <x v="9"/>
    <s v="LT_Other_DH"/>
    <x v="1"/>
    <n v="35.989199999999997"/>
    <n v="9.9969999999999999"/>
  </r>
  <r>
    <x v="0"/>
    <x v="18"/>
    <x v="5"/>
    <x v="9"/>
    <s v="LT_Other_DH"/>
    <x v="2"/>
    <n v="2.52"/>
    <n v="0.7"/>
  </r>
  <r>
    <x v="0"/>
    <x v="18"/>
    <x v="5"/>
    <x v="9"/>
    <s v="LT_Other_DH"/>
    <x v="0"/>
    <n v="42.692399999999999"/>
    <n v="11.859"/>
  </r>
  <r>
    <x v="0"/>
    <x v="18"/>
    <x v="5"/>
    <x v="9"/>
    <s v="LT_Other_DH"/>
    <x v="3"/>
    <n v="51.633543144067197"/>
    <n v="14.342650873352"/>
  </r>
  <r>
    <x v="0"/>
    <x v="18"/>
    <x v="5"/>
    <x v="9"/>
    <s v="LT_Other_DH"/>
    <x v="4"/>
    <n v="15.1696304888152"/>
    <n v="4.21378624689312"/>
  </r>
  <r>
    <x v="0"/>
    <x v="18"/>
    <x v="5"/>
    <x v="9"/>
    <s v="LT_Other_DH"/>
    <x v="5"/>
    <n v="15.1696304888152"/>
    <n v="4.21378624689312"/>
  </r>
  <r>
    <x v="0"/>
    <x v="18"/>
    <x v="5"/>
    <x v="9"/>
    <s v="LT_Other_DH"/>
    <x v="6"/>
    <n v="29.476231795214598"/>
    <n v="8.1878421653373898"/>
  </r>
  <r>
    <x v="0"/>
    <x v="18"/>
    <x v="5"/>
    <x v="9"/>
    <s v="LT_Other_DH"/>
    <x v="7"/>
    <n v="57.838935220261199"/>
    <n v="16.066370894517"/>
  </r>
  <r>
    <x v="0"/>
    <x v="18"/>
    <x v="5"/>
    <x v="9"/>
    <s v="LT_Other_DH"/>
    <x v="8"/>
    <n v="57.838935220261199"/>
    <n v="16.066370894517"/>
  </r>
  <r>
    <x v="0"/>
    <x v="18"/>
    <x v="5"/>
    <x v="9"/>
    <s v="LT_Other_DH"/>
    <x v="9"/>
    <n v="51.506187241093599"/>
    <n v="14.3072742336371"/>
  </r>
  <r>
    <x v="0"/>
    <x v="18"/>
    <x v="5"/>
    <x v="9"/>
    <s v="LT_Other_DH"/>
    <x v="10"/>
    <n v="72.320331400165799"/>
    <n v="20.088980944490501"/>
  </r>
  <r>
    <x v="0"/>
    <x v="18"/>
    <x v="5"/>
    <x v="9"/>
    <s v="LT_Other_DH"/>
    <x v="11"/>
    <n v="8.1139884009941898"/>
    <n v="2.2538856669428302"/>
  </r>
  <r>
    <x v="0"/>
    <x v="18"/>
    <x v="5"/>
    <x v="9"/>
    <s v="LT_Other_DH"/>
    <x v="12"/>
    <n v="9.7995028997514597E-2"/>
    <n v="2.72208413881985E-2"/>
  </r>
  <r>
    <x v="0"/>
    <x v="18"/>
    <x v="5"/>
    <x v="9"/>
    <s v="LT_Other_DH"/>
    <x v="13"/>
    <n v="24.3419652029826"/>
    <n v="6.7616570008285004"/>
  </r>
  <r>
    <x v="0"/>
    <x v="18"/>
    <x v="5"/>
    <x v="9"/>
    <s v="LT_Other_DH"/>
    <x v="14"/>
    <n v="24.3419652029826"/>
    <n v="6.7616570008285004"/>
  </r>
  <r>
    <x v="0"/>
    <x v="18"/>
    <x v="5"/>
    <x v="9"/>
    <s v="LT_Other_DH"/>
    <x v="15"/>
    <n v="1.65807589063794"/>
    <n v="0.46057663628831802"/>
  </r>
  <r>
    <x v="0"/>
    <x v="18"/>
    <x v="5"/>
    <x v="9"/>
    <s v="LT_Other_DH"/>
    <x v="16"/>
    <n v="6.7156619979650802"/>
    <n v="1.8654616661014101"/>
  </r>
  <r>
    <x v="0"/>
    <x v="18"/>
    <x v="5"/>
    <x v="9"/>
    <s v="LT_Other_DH"/>
    <x v="17"/>
    <n v="9.1244895875632395"/>
    <n v="2.5345804409897901"/>
  </r>
  <r>
    <x v="0"/>
    <x v="18"/>
    <x v="5"/>
    <x v="9"/>
    <s v="LT_Other_DH"/>
    <x v="18"/>
    <n v="24.3419652029826"/>
    <n v="6.7616570008285004"/>
  </r>
  <r>
    <x v="0"/>
    <x v="18"/>
    <x v="5"/>
    <x v="9"/>
    <s v="LT_Other_DH"/>
    <x v="19"/>
    <n v="8.1139884009941898"/>
    <n v="2.2538856669428302"/>
  </r>
  <r>
    <x v="0"/>
    <x v="18"/>
    <x v="5"/>
    <x v="9"/>
    <s v="LT_Other_DH"/>
    <x v="20"/>
    <n v="21.431396138420201"/>
    <n v="5.9531655940056103"/>
  </r>
  <r>
    <x v="0"/>
    <x v="18"/>
    <x v="5"/>
    <x v="9"/>
    <s v="LT_Other_DH"/>
    <x v="28"/>
    <n v="41.38758"/>
    <n v="11.496549999999999"/>
  </r>
  <r>
    <x v="0"/>
    <x v="18"/>
    <x v="5"/>
    <x v="9"/>
    <s v="LT_Other_DH"/>
    <x v="21"/>
    <n v="48.24"/>
    <n v="13.4"/>
  </r>
  <r>
    <x v="0"/>
    <x v="18"/>
    <x v="5"/>
    <x v="9"/>
    <s v="LT_Other_DH"/>
    <x v="22"/>
    <n v="67.680000000000007"/>
    <n v="18.8"/>
  </r>
  <r>
    <x v="0"/>
    <x v="18"/>
    <x v="5"/>
    <x v="9"/>
    <s v="LT_Other_DH"/>
    <x v="23"/>
    <n v="0.31515896120488701"/>
    <n v="8.7544155890246306E-2"/>
  </r>
  <r>
    <x v="0"/>
    <x v="18"/>
    <x v="5"/>
    <x v="9"/>
    <s v="LT_Other_DH"/>
    <x v="24"/>
    <n v="19.174223581093901"/>
    <n v="5.32617321697054"/>
  </r>
  <r>
    <x v="0"/>
    <x v="18"/>
    <x v="5"/>
    <x v="9"/>
    <s v="LT_Other_DH"/>
    <x v="25"/>
    <n v="25.064747068787099"/>
    <n v="6.9624297413297498"/>
  </r>
  <r>
    <x v="0"/>
    <x v="18"/>
    <x v="5"/>
    <x v="9"/>
    <s v="LT_Other_DH"/>
    <x v="26"/>
    <n v="32.516643167392601"/>
    <n v="9.03240087983127"/>
  </r>
  <r>
    <x v="0"/>
    <x v="18"/>
    <x v="5"/>
    <x v="9"/>
    <s v="LT_Other_DH"/>
    <x v="27"/>
    <n v="20.163995508318798"/>
    <n v="5.6011098634218799"/>
  </r>
  <r>
    <x v="0"/>
    <x v="18"/>
    <x v="5"/>
    <x v="9"/>
    <s v="LT_Panevezys"/>
    <x v="1"/>
    <n v="35.989199999999997"/>
    <n v="9.9969999999999999"/>
  </r>
  <r>
    <x v="0"/>
    <x v="18"/>
    <x v="5"/>
    <x v="9"/>
    <s v="LT_Panevezys"/>
    <x v="2"/>
    <n v="2.52"/>
    <n v="0.7"/>
  </r>
  <r>
    <x v="0"/>
    <x v="18"/>
    <x v="5"/>
    <x v="9"/>
    <s v="LT_Panevezys"/>
    <x v="0"/>
    <n v="42.692399999999999"/>
    <n v="11.859"/>
  </r>
  <r>
    <x v="0"/>
    <x v="18"/>
    <x v="5"/>
    <x v="9"/>
    <s v="LT_Panevezys"/>
    <x v="3"/>
    <n v="51.633543144067197"/>
    <n v="14.342650873352"/>
  </r>
  <r>
    <x v="0"/>
    <x v="18"/>
    <x v="5"/>
    <x v="9"/>
    <s v="LT_Panevezys"/>
    <x v="4"/>
    <n v="15.1696304888152"/>
    <n v="4.21378624689312"/>
  </r>
  <r>
    <x v="0"/>
    <x v="18"/>
    <x v="5"/>
    <x v="9"/>
    <s v="LT_Panevezys"/>
    <x v="5"/>
    <n v="15.1696304888152"/>
    <n v="4.21378624689312"/>
  </r>
  <r>
    <x v="0"/>
    <x v="18"/>
    <x v="5"/>
    <x v="9"/>
    <s v="LT_Panevezys"/>
    <x v="6"/>
    <n v="29.476231795214598"/>
    <n v="8.1878421653373898"/>
  </r>
  <r>
    <x v="0"/>
    <x v="18"/>
    <x v="5"/>
    <x v="9"/>
    <s v="LT_Panevezys"/>
    <x v="7"/>
    <n v="57.838935220261199"/>
    <n v="16.066370894517"/>
  </r>
  <r>
    <x v="0"/>
    <x v="18"/>
    <x v="5"/>
    <x v="9"/>
    <s v="LT_Panevezys"/>
    <x v="8"/>
    <n v="57.838935220261199"/>
    <n v="16.066370894517"/>
  </r>
  <r>
    <x v="0"/>
    <x v="18"/>
    <x v="5"/>
    <x v="9"/>
    <s v="LT_Panevezys"/>
    <x v="9"/>
    <n v="51.506187241093599"/>
    <n v="14.3072742336371"/>
  </r>
  <r>
    <x v="0"/>
    <x v="18"/>
    <x v="5"/>
    <x v="9"/>
    <s v="LT_Panevezys"/>
    <x v="10"/>
    <n v="72.320331400165799"/>
    <n v="20.088980944490501"/>
  </r>
  <r>
    <x v="0"/>
    <x v="18"/>
    <x v="5"/>
    <x v="9"/>
    <s v="LT_Panevezys"/>
    <x v="11"/>
    <n v="8.1139884009941898"/>
    <n v="2.2538856669428302"/>
  </r>
  <r>
    <x v="0"/>
    <x v="18"/>
    <x v="5"/>
    <x v="9"/>
    <s v="LT_Panevezys"/>
    <x v="12"/>
    <n v="9.7995028997514597E-2"/>
    <n v="2.72208413881985E-2"/>
  </r>
  <r>
    <x v="0"/>
    <x v="18"/>
    <x v="5"/>
    <x v="9"/>
    <s v="LT_Panevezys"/>
    <x v="13"/>
    <n v="24.3419652029826"/>
    <n v="6.7616570008285004"/>
  </r>
  <r>
    <x v="0"/>
    <x v="18"/>
    <x v="5"/>
    <x v="9"/>
    <s v="LT_Panevezys"/>
    <x v="14"/>
    <n v="24.3419652029826"/>
    <n v="6.7616570008285004"/>
  </r>
  <r>
    <x v="0"/>
    <x v="18"/>
    <x v="5"/>
    <x v="9"/>
    <s v="LT_Panevezys"/>
    <x v="15"/>
    <n v="1.65807589063794"/>
    <n v="0.46057663628831802"/>
  </r>
  <r>
    <x v="0"/>
    <x v="18"/>
    <x v="5"/>
    <x v="9"/>
    <s v="LT_Panevezys"/>
    <x v="16"/>
    <n v="6.7156619979650802"/>
    <n v="1.8654616661014101"/>
  </r>
  <r>
    <x v="0"/>
    <x v="18"/>
    <x v="5"/>
    <x v="9"/>
    <s v="LT_Panevezys"/>
    <x v="17"/>
    <n v="9.1244895875632395"/>
    <n v="2.5345804409897901"/>
  </r>
  <r>
    <x v="0"/>
    <x v="18"/>
    <x v="5"/>
    <x v="9"/>
    <s v="LT_Panevezys"/>
    <x v="18"/>
    <n v="24.3419652029826"/>
    <n v="6.7616570008285004"/>
  </r>
  <r>
    <x v="0"/>
    <x v="18"/>
    <x v="5"/>
    <x v="9"/>
    <s v="LT_Panevezys"/>
    <x v="19"/>
    <n v="8.1139884009941898"/>
    <n v="2.2538856669428302"/>
  </r>
  <r>
    <x v="0"/>
    <x v="18"/>
    <x v="5"/>
    <x v="9"/>
    <s v="LT_Panevezys"/>
    <x v="20"/>
    <n v="21.431396138420201"/>
    <n v="5.9531655940056103"/>
  </r>
  <r>
    <x v="0"/>
    <x v="18"/>
    <x v="5"/>
    <x v="9"/>
    <s v="LT_Panevezys"/>
    <x v="28"/>
    <n v="41.38758"/>
    <n v="11.496549999999999"/>
  </r>
  <r>
    <x v="0"/>
    <x v="18"/>
    <x v="5"/>
    <x v="9"/>
    <s v="LT_Panevezys"/>
    <x v="21"/>
    <n v="48.24"/>
    <n v="13.4"/>
  </r>
  <r>
    <x v="0"/>
    <x v="18"/>
    <x v="5"/>
    <x v="9"/>
    <s v="LT_Panevezys"/>
    <x v="22"/>
    <n v="67.680000000000007"/>
    <n v="18.8"/>
  </r>
  <r>
    <x v="0"/>
    <x v="18"/>
    <x v="5"/>
    <x v="9"/>
    <s v="LT_Panevezys"/>
    <x v="23"/>
    <n v="0.31515896120488701"/>
    <n v="8.7544155890246306E-2"/>
  </r>
  <r>
    <x v="0"/>
    <x v="18"/>
    <x v="5"/>
    <x v="9"/>
    <s v="LT_Panevezys"/>
    <x v="24"/>
    <n v="19.174223581093901"/>
    <n v="5.32617321697054"/>
  </r>
  <r>
    <x v="0"/>
    <x v="18"/>
    <x v="5"/>
    <x v="9"/>
    <s v="LT_Panevezys"/>
    <x v="25"/>
    <n v="25.064747068787099"/>
    <n v="6.9624297413297498"/>
  </r>
  <r>
    <x v="0"/>
    <x v="18"/>
    <x v="5"/>
    <x v="9"/>
    <s v="LT_Panevezys"/>
    <x v="26"/>
    <n v="32.516643167392601"/>
    <n v="9.03240087983127"/>
  </r>
  <r>
    <x v="0"/>
    <x v="18"/>
    <x v="5"/>
    <x v="9"/>
    <s v="LT_Panevezys"/>
    <x v="27"/>
    <n v="20.163995508318798"/>
    <n v="5.6011098634218799"/>
  </r>
  <r>
    <x v="0"/>
    <x v="18"/>
    <x v="5"/>
    <x v="9"/>
    <s v="LT_Rural"/>
    <x v="1"/>
    <n v="35.989199999999997"/>
    <n v="9.9969999999999999"/>
  </r>
  <r>
    <x v="0"/>
    <x v="18"/>
    <x v="5"/>
    <x v="9"/>
    <s v="LT_Rural"/>
    <x v="2"/>
    <n v="2.52"/>
    <n v="0.7"/>
  </r>
  <r>
    <x v="0"/>
    <x v="18"/>
    <x v="5"/>
    <x v="9"/>
    <s v="LT_Rural"/>
    <x v="0"/>
    <n v="42.692399999999999"/>
    <n v="11.859"/>
  </r>
  <r>
    <x v="0"/>
    <x v="18"/>
    <x v="5"/>
    <x v="9"/>
    <s v="LT_Rural"/>
    <x v="3"/>
    <n v="51.633543144067197"/>
    <n v="14.342650873352"/>
  </r>
  <r>
    <x v="0"/>
    <x v="18"/>
    <x v="5"/>
    <x v="9"/>
    <s v="LT_Rural"/>
    <x v="4"/>
    <n v="15.1696304888152"/>
    <n v="4.21378624689312"/>
  </r>
  <r>
    <x v="0"/>
    <x v="18"/>
    <x v="5"/>
    <x v="9"/>
    <s v="LT_Rural"/>
    <x v="5"/>
    <n v="15.1696304888152"/>
    <n v="4.21378624689312"/>
  </r>
  <r>
    <x v="0"/>
    <x v="18"/>
    <x v="5"/>
    <x v="9"/>
    <s v="LT_Rural"/>
    <x v="6"/>
    <n v="29.476231795214598"/>
    <n v="8.1878421653373898"/>
  </r>
  <r>
    <x v="0"/>
    <x v="18"/>
    <x v="5"/>
    <x v="9"/>
    <s v="LT_Rural"/>
    <x v="7"/>
    <n v="57.838935220261199"/>
    <n v="16.066370894517"/>
  </r>
  <r>
    <x v="0"/>
    <x v="18"/>
    <x v="5"/>
    <x v="9"/>
    <s v="LT_Rural"/>
    <x v="8"/>
    <n v="57.838935220261199"/>
    <n v="16.066370894517"/>
  </r>
  <r>
    <x v="0"/>
    <x v="18"/>
    <x v="5"/>
    <x v="9"/>
    <s v="LT_Rural"/>
    <x v="9"/>
    <n v="51.506187241093599"/>
    <n v="14.3072742336371"/>
  </r>
  <r>
    <x v="0"/>
    <x v="18"/>
    <x v="5"/>
    <x v="9"/>
    <s v="LT_Rural"/>
    <x v="10"/>
    <n v="72.320331400165799"/>
    <n v="20.088980944490501"/>
  </r>
  <r>
    <x v="0"/>
    <x v="18"/>
    <x v="5"/>
    <x v="9"/>
    <s v="LT_Rural"/>
    <x v="11"/>
    <n v="8.1139884009941898"/>
    <n v="2.2538856669428302"/>
  </r>
  <r>
    <x v="0"/>
    <x v="18"/>
    <x v="5"/>
    <x v="9"/>
    <s v="LT_Rural"/>
    <x v="12"/>
    <n v="9.7995028997514597E-2"/>
    <n v="2.72208413881985E-2"/>
  </r>
  <r>
    <x v="0"/>
    <x v="18"/>
    <x v="5"/>
    <x v="9"/>
    <s v="LT_Rural"/>
    <x v="13"/>
    <n v="24.3419652029826"/>
    <n v="6.7616570008285004"/>
  </r>
  <r>
    <x v="0"/>
    <x v="18"/>
    <x v="5"/>
    <x v="9"/>
    <s v="LT_Rural"/>
    <x v="14"/>
    <n v="24.3419652029826"/>
    <n v="6.7616570008285004"/>
  </r>
  <r>
    <x v="0"/>
    <x v="18"/>
    <x v="5"/>
    <x v="9"/>
    <s v="LT_Rural"/>
    <x v="15"/>
    <n v="1.65807589063794"/>
    <n v="0.46057663628831802"/>
  </r>
  <r>
    <x v="0"/>
    <x v="18"/>
    <x v="5"/>
    <x v="9"/>
    <s v="LT_Rural"/>
    <x v="16"/>
    <n v="6.7156619979650802"/>
    <n v="1.8654616661014101"/>
  </r>
  <r>
    <x v="0"/>
    <x v="18"/>
    <x v="5"/>
    <x v="9"/>
    <s v="LT_Rural"/>
    <x v="17"/>
    <n v="9.1244895875632395"/>
    <n v="2.5345804409897901"/>
  </r>
  <r>
    <x v="0"/>
    <x v="18"/>
    <x v="5"/>
    <x v="9"/>
    <s v="LT_Rural"/>
    <x v="18"/>
    <n v="24.3419652029826"/>
    <n v="6.7616570008285004"/>
  </r>
  <r>
    <x v="0"/>
    <x v="18"/>
    <x v="5"/>
    <x v="9"/>
    <s v="LT_Rural"/>
    <x v="19"/>
    <n v="8.1139884009941898"/>
    <n v="2.2538856669428302"/>
  </r>
  <r>
    <x v="0"/>
    <x v="18"/>
    <x v="5"/>
    <x v="9"/>
    <s v="LT_Rural"/>
    <x v="20"/>
    <n v="21.431396138420201"/>
    <n v="5.9531655940056103"/>
  </r>
  <r>
    <x v="0"/>
    <x v="18"/>
    <x v="5"/>
    <x v="9"/>
    <s v="LT_Rural"/>
    <x v="28"/>
    <n v="41.38758"/>
    <n v="11.496549999999999"/>
  </r>
  <r>
    <x v="0"/>
    <x v="18"/>
    <x v="5"/>
    <x v="9"/>
    <s v="LT_Rural"/>
    <x v="21"/>
    <n v="48.24"/>
    <n v="13.4"/>
  </r>
  <r>
    <x v="0"/>
    <x v="18"/>
    <x v="5"/>
    <x v="9"/>
    <s v="LT_Rural"/>
    <x v="22"/>
    <n v="67.680000000000007"/>
    <n v="18.8"/>
  </r>
  <r>
    <x v="0"/>
    <x v="18"/>
    <x v="5"/>
    <x v="9"/>
    <s v="LT_Rural"/>
    <x v="23"/>
    <n v="0.31515896120488701"/>
    <n v="8.7544155890246306E-2"/>
  </r>
  <r>
    <x v="0"/>
    <x v="18"/>
    <x v="5"/>
    <x v="9"/>
    <s v="LT_Rural"/>
    <x v="24"/>
    <n v="19.174223581093901"/>
    <n v="5.32617321697054"/>
  </r>
  <r>
    <x v="0"/>
    <x v="18"/>
    <x v="5"/>
    <x v="9"/>
    <s v="LT_Rural"/>
    <x v="25"/>
    <n v="25.064747068787099"/>
    <n v="6.9624297413297498"/>
  </r>
  <r>
    <x v="0"/>
    <x v="18"/>
    <x v="5"/>
    <x v="9"/>
    <s v="LT_Rural"/>
    <x v="26"/>
    <n v="32.516643167392601"/>
    <n v="9.03240087983127"/>
  </r>
  <r>
    <x v="0"/>
    <x v="18"/>
    <x v="5"/>
    <x v="9"/>
    <s v="LT_Rural"/>
    <x v="27"/>
    <n v="20.163995508318798"/>
    <n v="5.6011098634218799"/>
  </r>
  <r>
    <x v="0"/>
    <x v="18"/>
    <x v="5"/>
    <x v="9"/>
    <s v="LT_SiaU"/>
    <x v="1"/>
    <n v="35.989199999999997"/>
    <n v="9.9969999999999999"/>
  </r>
  <r>
    <x v="0"/>
    <x v="18"/>
    <x v="5"/>
    <x v="9"/>
    <s v="LT_SiaU"/>
    <x v="2"/>
    <n v="2.52"/>
    <n v="0.7"/>
  </r>
  <r>
    <x v="0"/>
    <x v="18"/>
    <x v="5"/>
    <x v="9"/>
    <s v="LT_SiaU"/>
    <x v="0"/>
    <n v="42.692399999999999"/>
    <n v="11.859"/>
  </r>
  <r>
    <x v="0"/>
    <x v="18"/>
    <x v="5"/>
    <x v="9"/>
    <s v="LT_SiaU"/>
    <x v="3"/>
    <n v="51.633543144067197"/>
    <n v="14.342650873352"/>
  </r>
  <r>
    <x v="0"/>
    <x v="18"/>
    <x v="5"/>
    <x v="9"/>
    <s v="LT_SiaU"/>
    <x v="4"/>
    <n v="15.1696304888152"/>
    <n v="4.21378624689312"/>
  </r>
  <r>
    <x v="0"/>
    <x v="18"/>
    <x v="5"/>
    <x v="9"/>
    <s v="LT_SiaU"/>
    <x v="5"/>
    <n v="15.1696304888152"/>
    <n v="4.21378624689312"/>
  </r>
  <r>
    <x v="0"/>
    <x v="18"/>
    <x v="5"/>
    <x v="9"/>
    <s v="LT_SiaU"/>
    <x v="6"/>
    <n v="29.476231795214598"/>
    <n v="8.1878421653373898"/>
  </r>
  <r>
    <x v="0"/>
    <x v="18"/>
    <x v="5"/>
    <x v="9"/>
    <s v="LT_SiaU"/>
    <x v="7"/>
    <n v="57.838935220261199"/>
    <n v="16.066370894517"/>
  </r>
  <r>
    <x v="0"/>
    <x v="18"/>
    <x v="5"/>
    <x v="9"/>
    <s v="LT_SiaU"/>
    <x v="8"/>
    <n v="57.838935220261199"/>
    <n v="16.066370894517"/>
  </r>
  <r>
    <x v="0"/>
    <x v="18"/>
    <x v="5"/>
    <x v="9"/>
    <s v="LT_SiaU"/>
    <x v="9"/>
    <n v="51.506187241093599"/>
    <n v="14.3072742336371"/>
  </r>
  <r>
    <x v="0"/>
    <x v="18"/>
    <x v="5"/>
    <x v="9"/>
    <s v="LT_SiaU"/>
    <x v="10"/>
    <n v="72.320331400165799"/>
    <n v="20.088980944490501"/>
  </r>
  <r>
    <x v="0"/>
    <x v="18"/>
    <x v="5"/>
    <x v="9"/>
    <s v="LT_SiaU"/>
    <x v="11"/>
    <n v="8.1139884009941898"/>
    <n v="2.2538856669428302"/>
  </r>
  <r>
    <x v="0"/>
    <x v="18"/>
    <x v="5"/>
    <x v="9"/>
    <s v="LT_SiaU"/>
    <x v="12"/>
    <n v="9.7995028997514597E-2"/>
    <n v="2.72208413881985E-2"/>
  </r>
  <r>
    <x v="0"/>
    <x v="18"/>
    <x v="5"/>
    <x v="9"/>
    <s v="LT_SiaU"/>
    <x v="13"/>
    <n v="24.3419652029826"/>
    <n v="6.7616570008285004"/>
  </r>
  <r>
    <x v="0"/>
    <x v="18"/>
    <x v="5"/>
    <x v="9"/>
    <s v="LT_SiaU"/>
    <x v="14"/>
    <n v="24.3419652029826"/>
    <n v="6.7616570008285004"/>
  </r>
  <r>
    <x v="0"/>
    <x v="18"/>
    <x v="5"/>
    <x v="9"/>
    <s v="LT_SiaU"/>
    <x v="15"/>
    <n v="1.65807589063794"/>
    <n v="0.46057663628831802"/>
  </r>
  <r>
    <x v="0"/>
    <x v="18"/>
    <x v="5"/>
    <x v="9"/>
    <s v="LT_SiaU"/>
    <x v="16"/>
    <n v="6.7156619979650802"/>
    <n v="1.8654616661014101"/>
  </r>
  <r>
    <x v="0"/>
    <x v="18"/>
    <x v="5"/>
    <x v="9"/>
    <s v="LT_SiaU"/>
    <x v="17"/>
    <n v="9.1244895875632395"/>
    <n v="2.5345804409897901"/>
  </r>
  <r>
    <x v="0"/>
    <x v="18"/>
    <x v="5"/>
    <x v="9"/>
    <s v="LT_SiaU"/>
    <x v="18"/>
    <n v="24.3419652029826"/>
    <n v="6.7616570008285004"/>
  </r>
  <r>
    <x v="0"/>
    <x v="18"/>
    <x v="5"/>
    <x v="9"/>
    <s v="LT_SiaU"/>
    <x v="19"/>
    <n v="8.1139884009941898"/>
    <n v="2.2538856669428302"/>
  </r>
  <r>
    <x v="0"/>
    <x v="18"/>
    <x v="5"/>
    <x v="9"/>
    <s v="LT_SiaU"/>
    <x v="20"/>
    <n v="21.431396138420201"/>
    <n v="5.9531655940056103"/>
  </r>
  <r>
    <x v="0"/>
    <x v="18"/>
    <x v="5"/>
    <x v="9"/>
    <s v="LT_SiaU"/>
    <x v="28"/>
    <n v="41.38758"/>
    <n v="11.496549999999999"/>
  </r>
  <r>
    <x v="0"/>
    <x v="18"/>
    <x v="5"/>
    <x v="9"/>
    <s v="LT_SiaU"/>
    <x v="21"/>
    <n v="48.24"/>
    <n v="13.4"/>
  </r>
  <r>
    <x v="0"/>
    <x v="18"/>
    <x v="5"/>
    <x v="9"/>
    <s v="LT_SiaU"/>
    <x v="22"/>
    <n v="67.680000000000007"/>
    <n v="18.8"/>
  </r>
  <r>
    <x v="0"/>
    <x v="18"/>
    <x v="5"/>
    <x v="9"/>
    <s v="LT_SiaU"/>
    <x v="23"/>
    <n v="0.31515896120488701"/>
    <n v="8.7544155890246306E-2"/>
  </r>
  <r>
    <x v="0"/>
    <x v="18"/>
    <x v="5"/>
    <x v="9"/>
    <s v="LT_SiaU"/>
    <x v="24"/>
    <n v="19.174223581093901"/>
    <n v="5.32617321697054"/>
  </r>
  <r>
    <x v="0"/>
    <x v="18"/>
    <x v="5"/>
    <x v="9"/>
    <s v="LT_SiaU"/>
    <x v="25"/>
    <n v="25.064747068787099"/>
    <n v="6.9624297413297498"/>
  </r>
  <r>
    <x v="0"/>
    <x v="18"/>
    <x v="5"/>
    <x v="9"/>
    <s v="LT_SiaU"/>
    <x v="26"/>
    <n v="32.516643167392601"/>
    <n v="9.03240087983127"/>
  </r>
  <r>
    <x v="0"/>
    <x v="18"/>
    <x v="5"/>
    <x v="9"/>
    <s v="LT_SiaU"/>
    <x v="27"/>
    <n v="20.163995508318798"/>
    <n v="5.6011098634218799"/>
  </r>
  <r>
    <x v="0"/>
    <x v="18"/>
    <x v="5"/>
    <x v="9"/>
    <s v="LT_VilU"/>
    <x v="1"/>
    <n v="35.989199999999997"/>
    <n v="9.9969999999999999"/>
  </r>
  <r>
    <x v="0"/>
    <x v="18"/>
    <x v="5"/>
    <x v="9"/>
    <s v="LT_VilU"/>
    <x v="2"/>
    <n v="2.52"/>
    <n v="0.7"/>
  </r>
  <r>
    <x v="0"/>
    <x v="18"/>
    <x v="5"/>
    <x v="9"/>
    <s v="LT_VilU"/>
    <x v="0"/>
    <n v="42.692399999999999"/>
    <n v="11.859"/>
  </r>
  <r>
    <x v="0"/>
    <x v="18"/>
    <x v="5"/>
    <x v="9"/>
    <s v="LT_VilU"/>
    <x v="3"/>
    <n v="51.633543144067197"/>
    <n v="14.342650873352"/>
  </r>
  <r>
    <x v="0"/>
    <x v="18"/>
    <x v="5"/>
    <x v="9"/>
    <s v="LT_VilU"/>
    <x v="4"/>
    <n v="15.1696304888152"/>
    <n v="4.21378624689312"/>
  </r>
  <r>
    <x v="0"/>
    <x v="18"/>
    <x v="5"/>
    <x v="9"/>
    <s v="LT_VilU"/>
    <x v="5"/>
    <n v="15.1696304888152"/>
    <n v="4.21378624689312"/>
  </r>
  <r>
    <x v="0"/>
    <x v="18"/>
    <x v="5"/>
    <x v="9"/>
    <s v="LT_VilU"/>
    <x v="6"/>
    <n v="29.476231795214598"/>
    <n v="8.1878421653373898"/>
  </r>
  <r>
    <x v="0"/>
    <x v="18"/>
    <x v="5"/>
    <x v="9"/>
    <s v="LT_VilU"/>
    <x v="7"/>
    <n v="57.838935220261199"/>
    <n v="16.066370894517"/>
  </r>
  <r>
    <x v="0"/>
    <x v="18"/>
    <x v="5"/>
    <x v="9"/>
    <s v="LT_VilU"/>
    <x v="8"/>
    <n v="57.838935220261199"/>
    <n v="16.066370894517"/>
  </r>
  <r>
    <x v="0"/>
    <x v="18"/>
    <x v="5"/>
    <x v="9"/>
    <s v="LT_VilU"/>
    <x v="9"/>
    <n v="51.506187241093599"/>
    <n v="14.3072742336371"/>
  </r>
  <r>
    <x v="0"/>
    <x v="18"/>
    <x v="5"/>
    <x v="9"/>
    <s v="LT_VilU"/>
    <x v="10"/>
    <n v="72.320331400165799"/>
    <n v="20.088980944490501"/>
  </r>
  <r>
    <x v="0"/>
    <x v="18"/>
    <x v="5"/>
    <x v="9"/>
    <s v="LT_VilU"/>
    <x v="11"/>
    <n v="8.1139884009941898"/>
    <n v="2.2538856669428302"/>
  </r>
  <r>
    <x v="0"/>
    <x v="18"/>
    <x v="5"/>
    <x v="9"/>
    <s v="LT_VilU"/>
    <x v="12"/>
    <n v="9.7995028997514597E-2"/>
    <n v="2.72208413881985E-2"/>
  </r>
  <r>
    <x v="0"/>
    <x v="18"/>
    <x v="5"/>
    <x v="9"/>
    <s v="LT_VilU"/>
    <x v="13"/>
    <n v="24.3419652029826"/>
    <n v="6.7616570008285004"/>
  </r>
  <r>
    <x v="0"/>
    <x v="18"/>
    <x v="5"/>
    <x v="9"/>
    <s v="LT_VilU"/>
    <x v="14"/>
    <n v="24.3419652029826"/>
    <n v="6.7616570008285004"/>
  </r>
  <r>
    <x v="0"/>
    <x v="18"/>
    <x v="5"/>
    <x v="9"/>
    <s v="LT_VilU"/>
    <x v="15"/>
    <n v="1.65807589063794"/>
    <n v="0.46057663628831802"/>
  </r>
  <r>
    <x v="0"/>
    <x v="18"/>
    <x v="5"/>
    <x v="9"/>
    <s v="LT_VilU"/>
    <x v="16"/>
    <n v="6.7156619979650802"/>
    <n v="1.8654616661014101"/>
  </r>
  <r>
    <x v="0"/>
    <x v="18"/>
    <x v="5"/>
    <x v="9"/>
    <s v="LT_VilU"/>
    <x v="17"/>
    <n v="9.1244895875632395"/>
    <n v="2.5345804409897901"/>
  </r>
  <r>
    <x v="0"/>
    <x v="18"/>
    <x v="5"/>
    <x v="9"/>
    <s v="LT_VilU"/>
    <x v="18"/>
    <n v="24.3419652029826"/>
    <n v="6.7616570008285004"/>
  </r>
  <r>
    <x v="0"/>
    <x v="18"/>
    <x v="5"/>
    <x v="9"/>
    <s v="LT_VilU"/>
    <x v="19"/>
    <n v="8.1139884009941898"/>
    <n v="2.2538856669428302"/>
  </r>
  <r>
    <x v="0"/>
    <x v="18"/>
    <x v="5"/>
    <x v="9"/>
    <s v="LT_VilU"/>
    <x v="20"/>
    <n v="21.431396138420201"/>
    <n v="5.9531655940056103"/>
  </r>
  <r>
    <x v="0"/>
    <x v="18"/>
    <x v="5"/>
    <x v="9"/>
    <s v="LT_VilU"/>
    <x v="28"/>
    <n v="41.38758"/>
    <n v="11.496549999999999"/>
  </r>
  <r>
    <x v="0"/>
    <x v="18"/>
    <x v="5"/>
    <x v="9"/>
    <s v="LT_VilU"/>
    <x v="21"/>
    <n v="48.24"/>
    <n v="13.4"/>
  </r>
  <r>
    <x v="0"/>
    <x v="18"/>
    <x v="5"/>
    <x v="9"/>
    <s v="LT_VilU"/>
    <x v="22"/>
    <n v="67.680000000000007"/>
    <n v="18.8"/>
  </r>
  <r>
    <x v="0"/>
    <x v="18"/>
    <x v="5"/>
    <x v="9"/>
    <s v="LT_VilU"/>
    <x v="23"/>
    <n v="0.31515896120488701"/>
    <n v="8.7544155890246306E-2"/>
  </r>
  <r>
    <x v="0"/>
    <x v="18"/>
    <x v="5"/>
    <x v="9"/>
    <s v="LT_VilU"/>
    <x v="24"/>
    <n v="19.174223581093901"/>
    <n v="5.32617321697054"/>
  </r>
  <r>
    <x v="0"/>
    <x v="18"/>
    <x v="5"/>
    <x v="9"/>
    <s v="LT_VilU"/>
    <x v="25"/>
    <n v="25.064747068787099"/>
    <n v="6.9624297413297498"/>
  </r>
  <r>
    <x v="0"/>
    <x v="18"/>
    <x v="5"/>
    <x v="9"/>
    <s v="LT_VilU"/>
    <x v="26"/>
    <n v="32.516643167392601"/>
    <n v="9.03240087983127"/>
  </r>
  <r>
    <x v="0"/>
    <x v="18"/>
    <x v="5"/>
    <x v="9"/>
    <s v="LT_VilU"/>
    <x v="27"/>
    <n v="20.163995508318798"/>
    <n v="5.6011098634218799"/>
  </r>
  <r>
    <x v="0"/>
    <x v="18"/>
    <x v="6"/>
    <x v="10"/>
    <s v="NL_A"/>
    <x v="1"/>
    <n v="35.989199999999997"/>
    <n v="9.9969999999999999"/>
  </r>
  <r>
    <x v="0"/>
    <x v="18"/>
    <x v="6"/>
    <x v="10"/>
    <s v="NL_A"/>
    <x v="2"/>
    <n v="2.52"/>
    <n v="0.7"/>
  </r>
  <r>
    <x v="0"/>
    <x v="18"/>
    <x v="6"/>
    <x v="10"/>
    <s v="NL_A"/>
    <x v="0"/>
    <n v="42.692399999999999"/>
    <n v="11.859"/>
  </r>
  <r>
    <x v="0"/>
    <x v="18"/>
    <x v="6"/>
    <x v="10"/>
    <s v="NL_A"/>
    <x v="3"/>
    <n v="51.633543144067197"/>
    <n v="14.342650873352"/>
  </r>
  <r>
    <x v="0"/>
    <x v="18"/>
    <x v="6"/>
    <x v="10"/>
    <s v="NL_A"/>
    <x v="4"/>
    <n v="15.1696304888152"/>
    <n v="4.21378624689312"/>
  </r>
  <r>
    <x v="0"/>
    <x v="18"/>
    <x v="6"/>
    <x v="10"/>
    <s v="NL_A"/>
    <x v="5"/>
    <n v="15.1696304888152"/>
    <n v="4.21378624689312"/>
  </r>
  <r>
    <x v="0"/>
    <x v="18"/>
    <x v="6"/>
    <x v="10"/>
    <s v="NL_A"/>
    <x v="6"/>
    <n v="29.476231795214598"/>
    <n v="8.1878421653373898"/>
  </r>
  <r>
    <x v="0"/>
    <x v="18"/>
    <x v="6"/>
    <x v="10"/>
    <s v="NL_A"/>
    <x v="7"/>
    <n v="57.838935220261199"/>
    <n v="16.066370894517"/>
  </r>
  <r>
    <x v="0"/>
    <x v="18"/>
    <x v="6"/>
    <x v="10"/>
    <s v="NL_A"/>
    <x v="8"/>
    <n v="57.838935220261199"/>
    <n v="16.066370894517"/>
  </r>
  <r>
    <x v="0"/>
    <x v="18"/>
    <x v="6"/>
    <x v="10"/>
    <s v="NL_A"/>
    <x v="9"/>
    <n v="51.506187241093599"/>
    <n v="14.3072742336371"/>
  </r>
  <r>
    <x v="0"/>
    <x v="18"/>
    <x v="6"/>
    <x v="10"/>
    <s v="NL_A"/>
    <x v="10"/>
    <n v="72.320331400165799"/>
    <n v="20.088980944490501"/>
  </r>
  <r>
    <x v="0"/>
    <x v="18"/>
    <x v="6"/>
    <x v="10"/>
    <s v="NL_A"/>
    <x v="11"/>
    <n v="8.1139884009941898"/>
    <n v="2.2538856669428302"/>
  </r>
  <r>
    <x v="0"/>
    <x v="18"/>
    <x v="6"/>
    <x v="10"/>
    <s v="NL_A"/>
    <x v="12"/>
    <n v="9.7995028997514597E-2"/>
    <n v="2.72208413881985E-2"/>
  </r>
  <r>
    <x v="0"/>
    <x v="18"/>
    <x v="6"/>
    <x v="10"/>
    <s v="NL_A"/>
    <x v="13"/>
    <n v="24.3419652029826"/>
    <n v="6.7616570008285004"/>
  </r>
  <r>
    <x v="0"/>
    <x v="18"/>
    <x v="6"/>
    <x v="10"/>
    <s v="NL_A"/>
    <x v="14"/>
    <n v="24.3419652029826"/>
    <n v="6.7616570008285004"/>
  </r>
  <r>
    <x v="0"/>
    <x v="18"/>
    <x v="6"/>
    <x v="10"/>
    <s v="NL_A"/>
    <x v="15"/>
    <n v="1.65807589063794"/>
    <n v="0.46057663628831802"/>
  </r>
  <r>
    <x v="0"/>
    <x v="18"/>
    <x v="6"/>
    <x v="10"/>
    <s v="NL_A"/>
    <x v="16"/>
    <n v="6.7156619979650802"/>
    <n v="1.8654616661014101"/>
  </r>
  <r>
    <x v="0"/>
    <x v="18"/>
    <x v="6"/>
    <x v="10"/>
    <s v="NL_A"/>
    <x v="17"/>
    <n v="9.1244895875632395"/>
    <n v="2.5345804409897901"/>
  </r>
  <r>
    <x v="0"/>
    <x v="18"/>
    <x v="6"/>
    <x v="10"/>
    <s v="NL_A"/>
    <x v="18"/>
    <n v="24.3419652029826"/>
    <n v="6.7616570008285004"/>
  </r>
  <r>
    <x v="0"/>
    <x v="18"/>
    <x v="6"/>
    <x v="10"/>
    <s v="NL_A"/>
    <x v="19"/>
    <n v="8.1139884009941898"/>
    <n v="2.2538856669428302"/>
  </r>
  <r>
    <x v="0"/>
    <x v="18"/>
    <x v="6"/>
    <x v="10"/>
    <s v="NL_A"/>
    <x v="20"/>
    <n v="21.431396138420201"/>
    <n v="5.9531655940056103"/>
  </r>
  <r>
    <x v="0"/>
    <x v="18"/>
    <x v="6"/>
    <x v="10"/>
    <s v="NL_A"/>
    <x v="28"/>
    <n v="41.38758"/>
    <n v="11.496549999999999"/>
  </r>
  <r>
    <x v="0"/>
    <x v="18"/>
    <x v="6"/>
    <x v="10"/>
    <s v="NL_A"/>
    <x v="21"/>
    <n v="48.24"/>
    <n v="13.4"/>
  </r>
  <r>
    <x v="0"/>
    <x v="18"/>
    <x v="6"/>
    <x v="10"/>
    <s v="NL_A"/>
    <x v="22"/>
    <n v="67.680000000000007"/>
    <n v="18.8"/>
  </r>
  <r>
    <x v="0"/>
    <x v="18"/>
    <x v="6"/>
    <x v="10"/>
    <s v="NL_A"/>
    <x v="23"/>
    <n v="0.31515896120488701"/>
    <n v="8.7544155890246306E-2"/>
  </r>
  <r>
    <x v="0"/>
    <x v="18"/>
    <x v="6"/>
    <x v="10"/>
    <s v="NL_A"/>
    <x v="24"/>
    <n v="19.174223581093901"/>
    <n v="5.32617321697054"/>
  </r>
  <r>
    <x v="0"/>
    <x v="18"/>
    <x v="6"/>
    <x v="10"/>
    <s v="NL_A"/>
    <x v="25"/>
    <n v="25.064747068787099"/>
    <n v="6.9624297413297498"/>
  </r>
  <r>
    <x v="0"/>
    <x v="18"/>
    <x v="6"/>
    <x v="10"/>
    <s v="NL_A"/>
    <x v="26"/>
    <n v="32.516643167392601"/>
    <n v="9.03240087983127"/>
  </r>
  <r>
    <x v="0"/>
    <x v="18"/>
    <x v="6"/>
    <x v="10"/>
    <s v="NL_A"/>
    <x v="27"/>
    <n v="20.163995508318798"/>
    <n v="5.6011098634218799"/>
  </r>
  <r>
    <x v="0"/>
    <x v="18"/>
    <x v="6"/>
    <x v="10"/>
    <s v="NL_OFFSHORE"/>
    <x v="1"/>
    <n v="35.989199999999997"/>
    <n v="9.9969999999999999"/>
  </r>
  <r>
    <x v="0"/>
    <x v="18"/>
    <x v="6"/>
    <x v="10"/>
    <s v="NL_OFFSHORE"/>
    <x v="2"/>
    <n v="2.52"/>
    <n v="0.7"/>
  </r>
  <r>
    <x v="0"/>
    <x v="18"/>
    <x v="6"/>
    <x v="10"/>
    <s v="NL_OFFSHORE"/>
    <x v="0"/>
    <n v="42.692399999999999"/>
    <n v="11.859"/>
  </r>
  <r>
    <x v="0"/>
    <x v="18"/>
    <x v="6"/>
    <x v="10"/>
    <s v="NL_OFFSHORE"/>
    <x v="3"/>
    <n v="51.633543144067197"/>
    <n v="14.342650873352"/>
  </r>
  <r>
    <x v="0"/>
    <x v="18"/>
    <x v="6"/>
    <x v="10"/>
    <s v="NL_OFFSHORE"/>
    <x v="4"/>
    <n v="15.1696304888152"/>
    <n v="4.21378624689312"/>
  </r>
  <r>
    <x v="0"/>
    <x v="18"/>
    <x v="6"/>
    <x v="10"/>
    <s v="NL_OFFSHORE"/>
    <x v="5"/>
    <n v="15.1696304888152"/>
    <n v="4.21378624689312"/>
  </r>
  <r>
    <x v="0"/>
    <x v="18"/>
    <x v="6"/>
    <x v="10"/>
    <s v="NL_OFFSHORE"/>
    <x v="6"/>
    <n v="29.476231795214598"/>
    <n v="8.1878421653373898"/>
  </r>
  <r>
    <x v="0"/>
    <x v="18"/>
    <x v="6"/>
    <x v="10"/>
    <s v="NL_OFFSHORE"/>
    <x v="7"/>
    <n v="57.838935220261199"/>
    <n v="16.066370894517"/>
  </r>
  <r>
    <x v="0"/>
    <x v="18"/>
    <x v="6"/>
    <x v="10"/>
    <s v="NL_OFFSHORE"/>
    <x v="8"/>
    <n v="57.838935220261199"/>
    <n v="16.066370894517"/>
  </r>
  <r>
    <x v="0"/>
    <x v="18"/>
    <x v="6"/>
    <x v="10"/>
    <s v="NL_OFFSHORE"/>
    <x v="9"/>
    <n v="51.506187241093599"/>
    <n v="14.3072742336371"/>
  </r>
  <r>
    <x v="0"/>
    <x v="18"/>
    <x v="6"/>
    <x v="10"/>
    <s v="NL_OFFSHORE"/>
    <x v="10"/>
    <n v="72.320331400165799"/>
    <n v="20.088980944490501"/>
  </r>
  <r>
    <x v="0"/>
    <x v="18"/>
    <x v="6"/>
    <x v="10"/>
    <s v="NL_OFFSHORE"/>
    <x v="11"/>
    <n v="8.1139884009941898"/>
    <n v="2.2538856669428302"/>
  </r>
  <r>
    <x v="0"/>
    <x v="18"/>
    <x v="6"/>
    <x v="10"/>
    <s v="NL_OFFSHORE"/>
    <x v="12"/>
    <n v="9.7995028997514597E-2"/>
    <n v="2.72208413881985E-2"/>
  </r>
  <r>
    <x v="0"/>
    <x v="18"/>
    <x v="6"/>
    <x v="10"/>
    <s v="NL_OFFSHORE"/>
    <x v="13"/>
    <n v="24.3419652029826"/>
    <n v="6.7616570008285004"/>
  </r>
  <r>
    <x v="0"/>
    <x v="18"/>
    <x v="6"/>
    <x v="10"/>
    <s v="NL_OFFSHORE"/>
    <x v="14"/>
    <n v="24.3419652029826"/>
    <n v="6.7616570008285004"/>
  </r>
  <r>
    <x v="0"/>
    <x v="18"/>
    <x v="6"/>
    <x v="10"/>
    <s v="NL_OFFSHORE"/>
    <x v="15"/>
    <n v="1.65807589063794"/>
    <n v="0.46057663628831802"/>
  </r>
  <r>
    <x v="0"/>
    <x v="18"/>
    <x v="6"/>
    <x v="10"/>
    <s v="NL_OFFSHORE"/>
    <x v="16"/>
    <n v="6.7156619979650802"/>
    <n v="1.8654616661014101"/>
  </r>
  <r>
    <x v="0"/>
    <x v="18"/>
    <x v="6"/>
    <x v="10"/>
    <s v="NL_OFFSHORE"/>
    <x v="17"/>
    <n v="9.1244895875632395"/>
    <n v="2.5345804409897901"/>
  </r>
  <r>
    <x v="0"/>
    <x v="18"/>
    <x v="6"/>
    <x v="10"/>
    <s v="NL_OFFSHORE"/>
    <x v="18"/>
    <n v="24.3419652029826"/>
    <n v="6.7616570008285004"/>
  </r>
  <r>
    <x v="0"/>
    <x v="18"/>
    <x v="6"/>
    <x v="10"/>
    <s v="NL_OFFSHORE"/>
    <x v="19"/>
    <n v="8.1139884009941898"/>
    <n v="2.2538856669428302"/>
  </r>
  <r>
    <x v="0"/>
    <x v="18"/>
    <x v="6"/>
    <x v="10"/>
    <s v="NL_OFFSHORE"/>
    <x v="20"/>
    <n v="21.431396138420201"/>
    <n v="5.9531655940056103"/>
  </r>
  <r>
    <x v="0"/>
    <x v="18"/>
    <x v="6"/>
    <x v="10"/>
    <s v="NL_OFFSHORE"/>
    <x v="28"/>
    <n v="41.38758"/>
    <n v="11.496549999999999"/>
  </r>
  <r>
    <x v="0"/>
    <x v="18"/>
    <x v="6"/>
    <x v="10"/>
    <s v="NL_OFFSHORE"/>
    <x v="21"/>
    <n v="48.24"/>
    <n v="13.4"/>
  </r>
  <r>
    <x v="0"/>
    <x v="18"/>
    <x v="6"/>
    <x v="10"/>
    <s v="NL_OFFSHORE"/>
    <x v="22"/>
    <n v="67.680000000000007"/>
    <n v="18.8"/>
  </r>
  <r>
    <x v="0"/>
    <x v="18"/>
    <x v="6"/>
    <x v="10"/>
    <s v="NL_OFFSHORE"/>
    <x v="23"/>
    <n v="0.31515896120488701"/>
    <n v="8.7544155890246306E-2"/>
  </r>
  <r>
    <x v="0"/>
    <x v="18"/>
    <x v="6"/>
    <x v="10"/>
    <s v="NL_OFFSHORE"/>
    <x v="24"/>
    <n v="19.174223581093901"/>
    <n v="5.32617321697054"/>
  </r>
  <r>
    <x v="0"/>
    <x v="18"/>
    <x v="6"/>
    <x v="10"/>
    <s v="NL_OFFSHORE"/>
    <x v="25"/>
    <n v="25.064747068787099"/>
    <n v="6.9624297413297498"/>
  </r>
  <r>
    <x v="0"/>
    <x v="18"/>
    <x v="6"/>
    <x v="10"/>
    <s v="NL_OFFSHORE"/>
    <x v="26"/>
    <n v="32.516643167392601"/>
    <n v="9.03240087983127"/>
  </r>
  <r>
    <x v="0"/>
    <x v="18"/>
    <x v="6"/>
    <x v="10"/>
    <s v="NL_OFFSHORE"/>
    <x v="27"/>
    <n v="20.163995508318798"/>
    <n v="5.6011098634218799"/>
  </r>
  <r>
    <x v="0"/>
    <x v="18"/>
    <x v="7"/>
    <x v="11"/>
    <s v="NO1_A1"/>
    <x v="1"/>
    <n v="35.989199999999997"/>
    <n v="9.9969999999999999"/>
  </r>
  <r>
    <x v="0"/>
    <x v="18"/>
    <x v="7"/>
    <x v="11"/>
    <s v="NO1_A1"/>
    <x v="2"/>
    <n v="2.52"/>
    <n v="0.7"/>
  </r>
  <r>
    <x v="0"/>
    <x v="18"/>
    <x v="7"/>
    <x v="11"/>
    <s v="NO1_A1"/>
    <x v="0"/>
    <n v="42.692399999999999"/>
    <n v="11.859"/>
  </r>
  <r>
    <x v="0"/>
    <x v="18"/>
    <x v="7"/>
    <x v="11"/>
    <s v="NO1_A1"/>
    <x v="3"/>
    <n v="51.633543144067197"/>
    <n v="14.342650873352"/>
  </r>
  <r>
    <x v="0"/>
    <x v="18"/>
    <x v="7"/>
    <x v="11"/>
    <s v="NO1_A1"/>
    <x v="4"/>
    <n v="15.1696304888152"/>
    <n v="4.21378624689312"/>
  </r>
  <r>
    <x v="0"/>
    <x v="18"/>
    <x v="7"/>
    <x v="11"/>
    <s v="NO1_A1"/>
    <x v="5"/>
    <n v="15.1696304888152"/>
    <n v="4.21378624689312"/>
  </r>
  <r>
    <x v="0"/>
    <x v="18"/>
    <x v="7"/>
    <x v="11"/>
    <s v="NO1_A1"/>
    <x v="6"/>
    <n v="29.476231795214598"/>
    <n v="8.1878421653373898"/>
  </r>
  <r>
    <x v="0"/>
    <x v="18"/>
    <x v="7"/>
    <x v="11"/>
    <s v="NO1_A1"/>
    <x v="7"/>
    <n v="57.838935220261199"/>
    <n v="16.066370894517"/>
  </r>
  <r>
    <x v="0"/>
    <x v="18"/>
    <x v="7"/>
    <x v="11"/>
    <s v="NO1_A1"/>
    <x v="8"/>
    <n v="57.838935220261199"/>
    <n v="16.066370894517"/>
  </r>
  <r>
    <x v="0"/>
    <x v="18"/>
    <x v="7"/>
    <x v="11"/>
    <s v="NO1_A1"/>
    <x v="9"/>
    <n v="51.506187241093599"/>
    <n v="14.3072742336371"/>
  </r>
  <r>
    <x v="0"/>
    <x v="18"/>
    <x v="7"/>
    <x v="11"/>
    <s v="NO1_A1"/>
    <x v="10"/>
    <n v="72.320331400165799"/>
    <n v="20.088980944490501"/>
  </r>
  <r>
    <x v="0"/>
    <x v="18"/>
    <x v="7"/>
    <x v="11"/>
    <s v="NO1_A1"/>
    <x v="11"/>
    <n v="8.1139884009941898"/>
    <n v="2.2538856669428302"/>
  </r>
  <r>
    <x v="0"/>
    <x v="18"/>
    <x v="7"/>
    <x v="11"/>
    <s v="NO1_A1"/>
    <x v="12"/>
    <n v="9.7995028997514597E-2"/>
    <n v="2.72208413881985E-2"/>
  </r>
  <r>
    <x v="0"/>
    <x v="18"/>
    <x v="7"/>
    <x v="11"/>
    <s v="NO1_A1"/>
    <x v="13"/>
    <n v="24.3419652029826"/>
    <n v="6.7616570008285004"/>
  </r>
  <r>
    <x v="0"/>
    <x v="18"/>
    <x v="7"/>
    <x v="11"/>
    <s v="NO1_A1"/>
    <x v="14"/>
    <n v="24.3419652029826"/>
    <n v="6.7616570008285004"/>
  </r>
  <r>
    <x v="0"/>
    <x v="18"/>
    <x v="7"/>
    <x v="11"/>
    <s v="NO1_A1"/>
    <x v="15"/>
    <n v="1.65807589063794"/>
    <n v="0.46057663628831802"/>
  </r>
  <r>
    <x v="0"/>
    <x v="18"/>
    <x v="7"/>
    <x v="11"/>
    <s v="NO1_A1"/>
    <x v="16"/>
    <n v="6.7156619979650802"/>
    <n v="1.8654616661014101"/>
  </r>
  <r>
    <x v="0"/>
    <x v="18"/>
    <x v="7"/>
    <x v="11"/>
    <s v="NO1_A1"/>
    <x v="17"/>
    <n v="9.1244895875632395"/>
    <n v="2.5345804409897901"/>
  </r>
  <r>
    <x v="0"/>
    <x v="18"/>
    <x v="7"/>
    <x v="11"/>
    <s v="NO1_A1"/>
    <x v="18"/>
    <n v="24.3419652029826"/>
    <n v="6.7616570008285004"/>
  </r>
  <r>
    <x v="0"/>
    <x v="18"/>
    <x v="7"/>
    <x v="11"/>
    <s v="NO1_A1"/>
    <x v="19"/>
    <n v="8.1139884009941898"/>
    <n v="2.2538856669428302"/>
  </r>
  <r>
    <x v="0"/>
    <x v="18"/>
    <x v="7"/>
    <x v="11"/>
    <s v="NO1_A1"/>
    <x v="20"/>
    <n v="21.431396138420201"/>
    <n v="5.9531655940056103"/>
  </r>
  <r>
    <x v="0"/>
    <x v="18"/>
    <x v="7"/>
    <x v="11"/>
    <s v="NO1_A1"/>
    <x v="28"/>
    <n v="41.38758"/>
    <n v="11.496549999999999"/>
  </r>
  <r>
    <x v="0"/>
    <x v="18"/>
    <x v="7"/>
    <x v="11"/>
    <s v="NO1_A1"/>
    <x v="21"/>
    <n v="48.24"/>
    <n v="13.4"/>
  </r>
  <r>
    <x v="0"/>
    <x v="18"/>
    <x v="7"/>
    <x v="11"/>
    <s v="NO1_A1"/>
    <x v="22"/>
    <n v="67.680000000000007"/>
    <n v="18.8"/>
  </r>
  <r>
    <x v="0"/>
    <x v="18"/>
    <x v="7"/>
    <x v="11"/>
    <s v="NO1_A1"/>
    <x v="23"/>
    <n v="0.31515896120488701"/>
    <n v="8.7544155890246306E-2"/>
  </r>
  <r>
    <x v="0"/>
    <x v="18"/>
    <x v="7"/>
    <x v="11"/>
    <s v="NO1_A1"/>
    <x v="24"/>
    <n v="19.174223581093901"/>
    <n v="5.32617321697054"/>
  </r>
  <r>
    <x v="0"/>
    <x v="18"/>
    <x v="7"/>
    <x v="11"/>
    <s v="NO1_A1"/>
    <x v="25"/>
    <n v="25.064747068787099"/>
    <n v="6.9624297413297498"/>
  </r>
  <r>
    <x v="0"/>
    <x v="18"/>
    <x v="7"/>
    <x v="11"/>
    <s v="NO1_A1"/>
    <x v="26"/>
    <n v="32.516643167392601"/>
    <n v="9.03240087983127"/>
  </r>
  <r>
    <x v="0"/>
    <x v="18"/>
    <x v="7"/>
    <x v="11"/>
    <s v="NO1_A1"/>
    <x v="27"/>
    <n v="20.163995508318798"/>
    <n v="5.6011098634218799"/>
  </r>
  <r>
    <x v="0"/>
    <x v="18"/>
    <x v="7"/>
    <x v="11"/>
    <s v="NO1_A2"/>
    <x v="1"/>
    <n v="35.989199999999997"/>
    <n v="9.9969999999999999"/>
  </r>
  <r>
    <x v="0"/>
    <x v="18"/>
    <x v="7"/>
    <x v="11"/>
    <s v="NO1_A2"/>
    <x v="2"/>
    <n v="2.52"/>
    <n v="0.7"/>
  </r>
  <r>
    <x v="0"/>
    <x v="18"/>
    <x v="7"/>
    <x v="11"/>
    <s v="NO1_A2"/>
    <x v="0"/>
    <n v="42.692399999999999"/>
    <n v="11.859"/>
  </r>
  <r>
    <x v="0"/>
    <x v="18"/>
    <x v="7"/>
    <x v="11"/>
    <s v="NO1_A2"/>
    <x v="3"/>
    <n v="51.633543144067197"/>
    <n v="14.342650873352"/>
  </r>
  <r>
    <x v="0"/>
    <x v="18"/>
    <x v="7"/>
    <x v="11"/>
    <s v="NO1_A2"/>
    <x v="4"/>
    <n v="15.1696304888152"/>
    <n v="4.21378624689312"/>
  </r>
  <r>
    <x v="0"/>
    <x v="18"/>
    <x v="7"/>
    <x v="11"/>
    <s v="NO1_A2"/>
    <x v="5"/>
    <n v="15.1696304888152"/>
    <n v="4.21378624689312"/>
  </r>
  <r>
    <x v="0"/>
    <x v="18"/>
    <x v="7"/>
    <x v="11"/>
    <s v="NO1_A2"/>
    <x v="6"/>
    <n v="29.476231795214598"/>
    <n v="8.1878421653373898"/>
  </r>
  <r>
    <x v="0"/>
    <x v="18"/>
    <x v="7"/>
    <x v="11"/>
    <s v="NO1_A2"/>
    <x v="7"/>
    <n v="57.838935220261199"/>
    <n v="16.066370894517"/>
  </r>
  <r>
    <x v="0"/>
    <x v="18"/>
    <x v="7"/>
    <x v="11"/>
    <s v="NO1_A2"/>
    <x v="8"/>
    <n v="57.838935220261199"/>
    <n v="16.066370894517"/>
  </r>
  <r>
    <x v="0"/>
    <x v="18"/>
    <x v="7"/>
    <x v="11"/>
    <s v="NO1_A2"/>
    <x v="9"/>
    <n v="51.506187241093599"/>
    <n v="14.3072742336371"/>
  </r>
  <r>
    <x v="0"/>
    <x v="18"/>
    <x v="7"/>
    <x v="11"/>
    <s v="NO1_A2"/>
    <x v="10"/>
    <n v="72.320331400165799"/>
    <n v="20.088980944490501"/>
  </r>
  <r>
    <x v="0"/>
    <x v="18"/>
    <x v="7"/>
    <x v="11"/>
    <s v="NO1_A2"/>
    <x v="11"/>
    <n v="8.1139884009941898"/>
    <n v="2.2538856669428302"/>
  </r>
  <r>
    <x v="0"/>
    <x v="18"/>
    <x v="7"/>
    <x v="11"/>
    <s v="NO1_A2"/>
    <x v="12"/>
    <n v="9.7995028997514597E-2"/>
    <n v="2.72208413881985E-2"/>
  </r>
  <r>
    <x v="0"/>
    <x v="18"/>
    <x v="7"/>
    <x v="11"/>
    <s v="NO1_A2"/>
    <x v="13"/>
    <n v="24.3419652029826"/>
    <n v="6.7616570008285004"/>
  </r>
  <r>
    <x v="0"/>
    <x v="18"/>
    <x v="7"/>
    <x v="11"/>
    <s v="NO1_A2"/>
    <x v="14"/>
    <n v="24.3419652029826"/>
    <n v="6.7616570008285004"/>
  </r>
  <r>
    <x v="0"/>
    <x v="18"/>
    <x v="7"/>
    <x v="11"/>
    <s v="NO1_A2"/>
    <x v="15"/>
    <n v="1.65807589063794"/>
    <n v="0.46057663628831802"/>
  </r>
  <r>
    <x v="0"/>
    <x v="18"/>
    <x v="7"/>
    <x v="11"/>
    <s v="NO1_A2"/>
    <x v="16"/>
    <n v="6.7156619979650802"/>
    <n v="1.8654616661014101"/>
  </r>
  <r>
    <x v="0"/>
    <x v="18"/>
    <x v="7"/>
    <x v="11"/>
    <s v="NO1_A2"/>
    <x v="17"/>
    <n v="9.1244895875632395"/>
    <n v="2.5345804409897901"/>
  </r>
  <r>
    <x v="0"/>
    <x v="18"/>
    <x v="7"/>
    <x v="11"/>
    <s v="NO1_A2"/>
    <x v="18"/>
    <n v="24.3419652029826"/>
    <n v="6.7616570008285004"/>
  </r>
  <r>
    <x v="0"/>
    <x v="18"/>
    <x v="7"/>
    <x v="11"/>
    <s v="NO1_A2"/>
    <x v="19"/>
    <n v="8.1139884009941898"/>
    <n v="2.2538856669428302"/>
  </r>
  <r>
    <x v="0"/>
    <x v="18"/>
    <x v="7"/>
    <x v="11"/>
    <s v="NO1_A2"/>
    <x v="20"/>
    <n v="21.431396138420201"/>
    <n v="5.9531655940056103"/>
  </r>
  <r>
    <x v="0"/>
    <x v="18"/>
    <x v="7"/>
    <x v="11"/>
    <s v="NO1_A2"/>
    <x v="28"/>
    <n v="41.38758"/>
    <n v="11.496549999999999"/>
  </r>
  <r>
    <x v="0"/>
    <x v="18"/>
    <x v="7"/>
    <x v="11"/>
    <s v="NO1_A2"/>
    <x v="21"/>
    <n v="48.24"/>
    <n v="13.4"/>
  </r>
  <r>
    <x v="0"/>
    <x v="18"/>
    <x v="7"/>
    <x v="11"/>
    <s v="NO1_A2"/>
    <x v="22"/>
    <n v="67.680000000000007"/>
    <n v="18.8"/>
  </r>
  <r>
    <x v="0"/>
    <x v="18"/>
    <x v="7"/>
    <x v="11"/>
    <s v="NO1_A2"/>
    <x v="23"/>
    <n v="0.31515896120488701"/>
    <n v="8.7544155890246306E-2"/>
  </r>
  <r>
    <x v="0"/>
    <x v="18"/>
    <x v="7"/>
    <x v="11"/>
    <s v="NO1_A2"/>
    <x v="24"/>
    <n v="19.174223581093901"/>
    <n v="5.32617321697054"/>
  </r>
  <r>
    <x v="0"/>
    <x v="18"/>
    <x v="7"/>
    <x v="11"/>
    <s v="NO1_A2"/>
    <x v="25"/>
    <n v="25.064747068787099"/>
    <n v="6.9624297413297498"/>
  </r>
  <r>
    <x v="0"/>
    <x v="18"/>
    <x v="7"/>
    <x v="11"/>
    <s v="NO1_A2"/>
    <x v="26"/>
    <n v="32.516643167392601"/>
    <n v="9.03240087983127"/>
  </r>
  <r>
    <x v="0"/>
    <x v="18"/>
    <x v="7"/>
    <x v="11"/>
    <s v="NO1_A2"/>
    <x v="27"/>
    <n v="20.163995508318798"/>
    <n v="5.6011098634218799"/>
  </r>
  <r>
    <x v="0"/>
    <x v="18"/>
    <x v="7"/>
    <x v="11"/>
    <s v="NO1_A3"/>
    <x v="1"/>
    <n v="35.989199999999997"/>
    <n v="9.9969999999999999"/>
  </r>
  <r>
    <x v="0"/>
    <x v="18"/>
    <x v="7"/>
    <x v="11"/>
    <s v="NO1_A3"/>
    <x v="2"/>
    <n v="2.52"/>
    <n v="0.7"/>
  </r>
  <r>
    <x v="0"/>
    <x v="18"/>
    <x v="7"/>
    <x v="11"/>
    <s v="NO1_A3"/>
    <x v="0"/>
    <n v="42.692399999999999"/>
    <n v="11.859"/>
  </r>
  <r>
    <x v="0"/>
    <x v="18"/>
    <x v="7"/>
    <x v="11"/>
    <s v="NO1_A3"/>
    <x v="3"/>
    <n v="51.633543144067197"/>
    <n v="14.342650873352"/>
  </r>
  <r>
    <x v="0"/>
    <x v="18"/>
    <x v="7"/>
    <x v="11"/>
    <s v="NO1_A3"/>
    <x v="4"/>
    <n v="15.1696304888152"/>
    <n v="4.21378624689312"/>
  </r>
  <r>
    <x v="0"/>
    <x v="18"/>
    <x v="7"/>
    <x v="11"/>
    <s v="NO1_A3"/>
    <x v="5"/>
    <n v="15.1696304888152"/>
    <n v="4.21378624689312"/>
  </r>
  <r>
    <x v="0"/>
    <x v="18"/>
    <x v="7"/>
    <x v="11"/>
    <s v="NO1_A3"/>
    <x v="6"/>
    <n v="29.476231795214598"/>
    <n v="8.1878421653373898"/>
  </r>
  <r>
    <x v="0"/>
    <x v="18"/>
    <x v="7"/>
    <x v="11"/>
    <s v="NO1_A3"/>
    <x v="7"/>
    <n v="57.838935220261199"/>
    <n v="16.066370894517"/>
  </r>
  <r>
    <x v="0"/>
    <x v="18"/>
    <x v="7"/>
    <x v="11"/>
    <s v="NO1_A3"/>
    <x v="8"/>
    <n v="57.838935220261199"/>
    <n v="16.066370894517"/>
  </r>
  <r>
    <x v="0"/>
    <x v="18"/>
    <x v="7"/>
    <x v="11"/>
    <s v="NO1_A3"/>
    <x v="9"/>
    <n v="51.506187241093599"/>
    <n v="14.3072742336371"/>
  </r>
  <r>
    <x v="0"/>
    <x v="18"/>
    <x v="7"/>
    <x v="11"/>
    <s v="NO1_A3"/>
    <x v="10"/>
    <n v="72.320331400165799"/>
    <n v="20.088980944490501"/>
  </r>
  <r>
    <x v="0"/>
    <x v="18"/>
    <x v="7"/>
    <x v="11"/>
    <s v="NO1_A3"/>
    <x v="11"/>
    <n v="8.1139884009941898"/>
    <n v="2.2538856669428302"/>
  </r>
  <r>
    <x v="0"/>
    <x v="18"/>
    <x v="7"/>
    <x v="11"/>
    <s v="NO1_A3"/>
    <x v="12"/>
    <n v="9.7995028997514597E-2"/>
    <n v="2.72208413881985E-2"/>
  </r>
  <r>
    <x v="0"/>
    <x v="18"/>
    <x v="7"/>
    <x v="11"/>
    <s v="NO1_A3"/>
    <x v="13"/>
    <n v="24.3419652029826"/>
    <n v="6.7616570008285004"/>
  </r>
  <r>
    <x v="0"/>
    <x v="18"/>
    <x v="7"/>
    <x v="11"/>
    <s v="NO1_A3"/>
    <x v="14"/>
    <n v="24.3419652029826"/>
    <n v="6.7616570008285004"/>
  </r>
  <r>
    <x v="0"/>
    <x v="18"/>
    <x v="7"/>
    <x v="11"/>
    <s v="NO1_A3"/>
    <x v="15"/>
    <n v="1.65807589063794"/>
    <n v="0.46057663628831802"/>
  </r>
  <r>
    <x v="0"/>
    <x v="18"/>
    <x v="7"/>
    <x v="11"/>
    <s v="NO1_A3"/>
    <x v="16"/>
    <n v="6.7156619979650802"/>
    <n v="1.8654616661014101"/>
  </r>
  <r>
    <x v="0"/>
    <x v="18"/>
    <x v="7"/>
    <x v="11"/>
    <s v="NO1_A3"/>
    <x v="17"/>
    <n v="9.1244895875632395"/>
    <n v="2.5345804409897901"/>
  </r>
  <r>
    <x v="0"/>
    <x v="18"/>
    <x v="7"/>
    <x v="11"/>
    <s v="NO1_A3"/>
    <x v="18"/>
    <n v="24.3419652029826"/>
    <n v="6.7616570008285004"/>
  </r>
  <r>
    <x v="0"/>
    <x v="18"/>
    <x v="7"/>
    <x v="11"/>
    <s v="NO1_A3"/>
    <x v="19"/>
    <n v="8.1139884009941898"/>
    <n v="2.2538856669428302"/>
  </r>
  <r>
    <x v="0"/>
    <x v="18"/>
    <x v="7"/>
    <x v="11"/>
    <s v="NO1_A3"/>
    <x v="20"/>
    <n v="21.431396138420201"/>
    <n v="5.9531655940056103"/>
  </r>
  <r>
    <x v="0"/>
    <x v="18"/>
    <x v="7"/>
    <x v="11"/>
    <s v="NO1_A3"/>
    <x v="28"/>
    <n v="41.38758"/>
    <n v="11.496549999999999"/>
  </r>
  <r>
    <x v="0"/>
    <x v="18"/>
    <x v="7"/>
    <x v="11"/>
    <s v="NO1_A3"/>
    <x v="21"/>
    <n v="48.24"/>
    <n v="13.4"/>
  </r>
  <r>
    <x v="0"/>
    <x v="18"/>
    <x v="7"/>
    <x v="11"/>
    <s v="NO1_A3"/>
    <x v="22"/>
    <n v="67.680000000000007"/>
    <n v="18.8"/>
  </r>
  <r>
    <x v="0"/>
    <x v="18"/>
    <x v="7"/>
    <x v="11"/>
    <s v="NO1_A3"/>
    <x v="23"/>
    <n v="0.31515896120488701"/>
    <n v="8.7544155890246306E-2"/>
  </r>
  <r>
    <x v="0"/>
    <x v="18"/>
    <x v="7"/>
    <x v="11"/>
    <s v="NO1_A3"/>
    <x v="24"/>
    <n v="19.174223581093901"/>
    <n v="5.32617321697054"/>
  </r>
  <r>
    <x v="0"/>
    <x v="18"/>
    <x v="7"/>
    <x v="11"/>
    <s v="NO1_A3"/>
    <x v="25"/>
    <n v="25.064747068787099"/>
    <n v="6.9624297413297498"/>
  </r>
  <r>
    <x v="0"/>
    <x v="18"/>
    <x v="7"/>
    <x v="11"/>
    <s v="NO1_A3"/>
    <x v="26"/>
    <n v="32.516643167392601"/>
    <n v="9.03240087983127"/>
  </r>
  <r>
    <x v="0"/>
    <x v="18"/>
    <x v="7"/>
    <x v="11"/>
    <s v="NO1_A3"/>
    <x v="27"/>
    <n v="20.163995508318798"/>
    <n v="5.6011098634218799"/>
  </r>
  <r>
    <x v="0"/>
    <x v="18"/>
    <x v="7"/>
    <x v="11"/>
    <s v="NO1_Offshore"/>
    <x v="1"/>
    <n v="35.989199999999997"/>
    <n v="9.9969999999999999"/>
  </r>
  <r>
    <x v="0"/>
    <x v="18"/>
    <x v="7"/>
    <x v="11"/>
    <s v="NO1_Offshore"/>
    <x v="2"/>
    <n v="2.52"/>
    <n v="0.7"/>
  </r>
  <r>
    <x v="0"/>
    <x v="18"/>
    <x v="7"/>
    <x v="11"/>
    <s v="NO1_Offshore"/>
    <x v="0"/>
    <n v="42.692399999999999"/>
    <n v="11.859"/>
  </r>
  <r>
    <x v="0"/>
    <x v="18"/>
    <x v="7"/>
    <x v="11"/>
    <s v="NO1_Offshore"/>
    <x v="3"/>
    <n v="51.633543144067197"/>
    <n v="14.342650873352"/>
  </r>
  <r>
    <x v="0"/>
    <x v="18"/>
    <x v="7"/>
    <x v="11"/>
    <s v="NO1_Offshore"/>
    <x v="4"/>
    <n v="15.1696304888152"/>
    <n v="4.21378624689312"/>
  </r>
  <r>
    <x v="0"/>
    <x v="18"/>
    <x v="7"/>
    <x v="11"/>
    <s v="NO1_Offshore"/>
    <x v="5"/>
    <n v="15.1696304888152"/>
    <n v="4.21378624689312"/>
  </r>
  <r>
    <x v="0"/>
    <x v="18"/>
    <x v="7"/>
    <x v="11"/>
    <s v="NO1_Offshore"/>
    <x v="6"/>
    <n v="29.476231795214598"/>
    <n v="8.1878421653373898"/>
  </r>
  <r>
    <x v="0"/>
    <x v="18"/>
    <x v="7"/>
    <x v="11"/>
    <s v="NO1_Offshore"/>
    <x v="7"/>
    <n v="57.838935220261199"/>
    <n v="16.066370894517"/>
  </r>
  <r>
    <x v="0"/>
    <x v="18"/>
    <x v="7"/>
    <x v="11"/>
    <s v="NO1_Offshore"/>
    <x v="8"/>
    <n v="57.838935220261199"/>
    <n v="16.066370894517"/>
  </r>
  <r>
    <x v="0"/>
    <x v="18"/>
    <x v="7"/>
    <x v="11"/>
    <s v="NO1_Offshore"/>
    <x v="9"/>
    <n v="51.506187241093599"/>
    <n v="14.3072742336371"/>
  </r>
  <r>
    <x v="0"/>
    <x v="18"/>
    <x v="7"/>
    <x v="11"/>
    <s v="NO1_Offshore"/>
    <x v="10"/>
    <n v="72.320331400165799"/>
    <n v="20.088980944490501"/>
  </r>
  <r>
    <x v="0"/>
    <x v="18"/>
    <x v="7"/>
    <x v="11"/>
    <s v="NO1_Offshore"/>
    <x v="11"/>
    <n v="8.1139884009941898"/>
    <n v="2.2538856669428302"/>
  </r>
  <r>
    <x v="0"/>
    <x v="18"/>
    <x v="7"/>
    <x v="11"/>
    <s v="NO1_Offshore"/>
    <x v="12"/>
    <n v="9.7995028997514597E-2"/>
    <n v="2.72208413881985E-2"/>
  </r>
  <r>
    <x v="0"/>
    <x v="18"/>
    <x v="7"/>
    <x v="11"/>
    <s v="NO1_Offshore"/>
    <x v="13"/>
    <n v="24.3419652029826"/>
    <n v="6.7616570008285004"/>
  </r>
  <r>
    <x v="0"/>
    <x v="18"/>
    <x v="7"/>
    <x v="11"/>
    <s v="NO1_Offshore"/>
    <x v="14"/>
    <n v="24.3419652029826"/>
    <n v="6.7616570008285004"/>
  </r>
  <r>
    <x v="0"/>
    <x v="18"/>
    <x v="7"/>
    <x v="11"/>
    <s v="NO1_Offshore"/>
    <x v="15"/>
    <n v="1.65807589063794"/>
    <n v="0.46057663628831802"/>
  </r>
  <r>
    <x v="0"/>
    <x v="18"/>
    <x v="7"/>
    <x v="11"/>
    <s v="NO1_Offshore"/>
    <x v="16"/>
    <n v="6.7156619979650802"/>
    <n v="1.8654616661014101"/>
  </r>
  <r>
    <x v="0"/>
    <x v="18"/>
    <x v="7"/>
    <x v="11"/>
    <s v="NO1_Offshore"/>
    <x v="17"/>
    <n v="9.1244895875632395"/>
    <n v="2.5345804409897901"/>
  </r>
  <r>
    <x v="0"/>
    <x v="18"/>
    <x v="7"/>
    <x v="11"/>
    <s v="NO1_Offshore"/>
    <x v="18"/>
    <n v="24.3419652029826"/>
    <n v="6.7616570008285004"/>
  </r>
  <r>
    <x v="0"/>
    <x v="18"/>
    <x v="7"/>
    <x v="11"/>
    <s v="NO1_Offshore"/>
    <x v="19"/>
    <n v="8.1139884009941898"/>
    <n v="2.2538856669428302"/>
  </r>
  <r>
    <x v="0"/>
    <x v="18"/>
    <x v="7"/>
    <x v="11"/>
    <s v="NO1_Offshore"/>
    <x v="20"/>
    <n v="21.431396138420201"/>
    <n v="5.9531655940056103"/>
  </r>
  <r>
    <x v="0"/>
    <x v="18"/>
    <x v="7"/>
    <x v="11"/>
    <s v="NO1_Offshore"/>
    <x v="28"/>
    <n v="41.38758"/>
    <n v="11.496549999999999"/>
  </r>
  <r>
    <x v="0"/>
    <x v="18"/>
    <x v="7"/>
    <x v="11"/>
    <s v="NO1_Offshore"/>
    <x v="21"/>
    <n v="48.24"/>
    <n v="13.4"/>
  </r>
  <r>
    <x v="0"/>
    <x v="18"/>
    <x v="7"/>
    <x v="11"/>
    <s v="NO1_Offshore"/>
    <x v="22"/>
    <n v="67.680000000000007"/>
    <n v="18.8"/>
  </r>
  <r>
    <x v="0"/>
    <x v="18"/>
    <x v="7"/>
    <x v="11"/>
    <s v="NO1_Offshore"/>
    <x v="23"/>
    <n v="0.31515896120488701"/>
    <n v="8.7544155890246306E-2"/>
  </r>
  <r>
    <x v="0"/>
    <x v="18"/>
    <x v="7"/>
    <x v="11"/>
    <s v="NO1_Offshore"/>
    <x v="24"/>
    <n v="19.174223581093901"/>
    <n v="5.32617321697054"/>
  </r>
  <r>
    <x v="0"/>
    <x v="18"/>
    <x v="7"/>
    <x v="11"/>
    <s v="NO1_Offshore"/>
    <x v="25"/>
    <n v="25.064747068787099"/>
    <n v="6.9624297413297498"/>
  </r>
  <r>
    <x v="0"/>
    <x v="18"/>
    <x v="7"/>
    <x v="11"/>
    <s v="NO1_Offshore"/>
    <x v="26"/>
    <n v="32.516643167392601"/>
    <n v="9.03240087983127"/>
  </r>
  <r>
    <x v="0"/>
    <x v="18"/>
    <x v="7"/>
    <x v="11"/>
    <s v="NO1_Offshore"/>
    <x v="27"/>
    <n v="20.163995508318798"/>
    <n v="5.6011098634218799"/>
  </r>
  <r>
    <x v="0"/>
    <x v="18"/>
    <x v="7"/>
    <x v="12"/>
    <s v="NO2_A1"/>
    <x v="1"/>
    <n v="35.989199999999997"/>
    <n v="9.9969999999999999"/>
  </r>
  <r>
    <x v="0"/>
    <x v="18"/>
    <x v="7"/>
    <x v="12"/>
    <s v="NO2_A1"/>
    <x v="2"/>
    <n v="2.52"/>
    <n v="0.7"/>
  </r>
  <r>
    <x v="0"/>
    <x v="18"/>
    <x v="7"/>
    <x v="12"/>
    <s v="NO2_A1"/>
    <x v="0"/>
    <n v="42.692399999999999"/>
    <n v="11.859"/>
  </r>
  <r>
    <x v="0"/>
    <x v="18"/>
    <x v="7"/>
    <x v="12"/>
    <s v="NO2_A1"/>
    <x v="3"/>
    <n v="51.633543144067197"/>
    <n v="14.342650873352"/>
  </r>
  <r>
    <x v="0"/>
    <x v="18"/>
    <x v="7"/>
    <x v="12"/>
    <s v="NO2_A1"/>
    <x v="4"/>
    <n v="15.1696304888152"/>
    <n v="4.21378624689312"/>
  </r>
  <r>
    <x v="0"/>
    <x v="18"/>
    <x v="7"/>
    <x v="12"/>
    <s v="NO2_A1"/>
    <x v="5"/>
    <n v="15.1696304888152"/>
    <n v="4.21378624689312"/>
  </r>
  <r>
    <x v="0"/>
    <x v="18"/>
    <x v="7"/>
    <x v="12"/>
    <s v="NO2_A1"/>
    <x v="6"/>
    <n v="29.476231795214598"/>
    <n v="8.1878421653373898"/>
  </r>
  <r>
    <x v="0"/>
    <x v="18"/>
    <x v="7"/>
    <x v="12"/>
    <s v="NO2_A1"/>
    <x v="7"/>
    <n v="57.838935220261199"/>
    <n v="16.066370894517"/>
  </r>
  <r>
    <x v="0"/>
    <x v="18"/>
    <x v="7"/>
    <x v="12"/>
    <s v="NO2_A1"/>
    <x v="8"/>
    <n v="57.838935220261199"/>
    <n v="16.066370894517"/>
  </r>
  <r>
    <x v="0"/>
    <x v="18"/>
    <x v="7"/>
    <x v="12"/>
    <s v="NO2_A1"/>
    <x v="9"/>
    <n v="51.506187241093599"/>
    <n v="14.3072742336371"/>
  </r>
  <r>
    <x v="0"/>
    <x v="18"/>
    <x v="7"/>
    <x v="12"/>
    <s v="NO2_A1"/>
    <x v="10"/>
    <n v="72.320331400165799"/>
    <n v="20.088980944490501"/>
  </r>
  <r>
    <x v="0"/>
    <x v="18"/>
    <x v="7"/>
    <x v="12"/>
    <s v="NO2_A1"/>
    <x v="11"/>
    <n v="8.1139884009941898"/>
    <n v="2.2538856669428302"/>
  </r>
  <r>
    <x v="0"/>
    <x v="18"/>
    <x v="7"/>
    <x v="12"/>
    <s v="NO2_A1"/>
    <x v="12"/>
    <n v="9.7995028997514597E-2"/>
    <n v="2.72208413881985E-2"/>
  </r>
  <r>
    <x v="0"/>
    <x v="18"/>
    <x v="7"/>
    <x v="12"/>
    <s v="NO2_A1"/>
    <x v="13"/>
    <n v="24.3419652029826"/>
    <n v="6.7616570008285004"/>
  </r>
  <r>
    <x v="0"/>
    <x v="18"/>
    <x v="7"/>
    <x v="12"/>
    <s v="NO2_A1"/>
    <x v="14"/>
    <n v="24.3419652029826"/>
    <n v="6.7616570008285004"/>
  </r>
  <r>
    <x v="0"/>
    <x v="18"/>
    <x v="7"/>
    <x v="12"/>
    <s v="NO2_A1"/>
    <x v="15"/>
    <n v="1.65807589063794"/>
    <n v="0.46057663628831802"/>
  </r>
  <r>
    <x v="0"/>
    <x v="18"/>
    <x v="7"/>
    <x v="12"/>
    <s v="NO2_A1"/>
    <x v="16"/>
    <n v="6.7156619979650802"/>
    <n v="1.8654616661014101"/>
  </r>
  <r>
    <x v="0"/>
    <x v="18"/>
    <x v="7"/>
    <x v="12"/>
    <s v="NO2_A1"/>
    <x v="17"/>
    <n v="9.1244895875632395"/>
    <n v="2.5345804409897901"/>
  </r>
  <r>
    <x v="0"/>
    <x v="18"/>
    <x v="7"/>
    <x v="12"/>
    <s v="NO2_A1"/>
    <x v="18"/>
    <n v="24.3419652029826"/>
    <n v="6.7616570008285004"/>
  </r>
  <r>
    <x v="0"/>
    <x v="18"/>
    <x v="7"/>
    <x v="12"/>
    <s v="NO2_A1"/>
    <x v="19"/>
    <n v="8.1139884009941898"/>
    <n v="2.2538856669428302"/>
  </r>
  <r>
    <x v="0"/>
    <x v="18"/>
    <x v="7"/>
    <x v="12"/>
    <s v="NO2_A1"/>
    <x v="20"/>
    <n v="21.431396138420201"/>
    <n v="5.9531655940056103"/>
  </r>
  <r>
    <x v="0"/>
    <x v="18"/>
    <x v="7"/>
    <x v="12"/>
    <s v="NO2_A1"/>
    <x v="28"/>
    <n v="41.38758"/>
    <n v="11.496549999999999"/>
  </r>
  <r>
    <x v="0"/>
    <x v="18"/>
    <x v="7"/>
    <x v="12"/>
    <s v="NO2_A1"/>
    <x v="21"/>
    <n v="48.24"/>
    <n v="13.4"/>
  </r>
  <r>
    <x v="0"/>
    <x v="18"/>
    <x v="7"/>
    <x v="12"/>
    <s v="NO2_A1"/>
    <x v="22"/>
    <n v="67.680000000000007"/>
    <n v="18.8"/>
  </r>
  <r>
    <x v="0"/>
    <x v="18"/>
    <x v="7"/>
    <x v="12"/>
    <s v="NO2_A1"/>
    <x v="23"/>
    <n v="0.31515896120488701"/>
    <n v="8.7544155890246306E-2"/>
  </r>
  <r>
    <x v="0"/>
    <x v="18"/>
    <x v="7"/>
    <x v="12"/>
    <s v="NO2_A1"/>
    <x v="24"/>
    <n v="19.174223581093901"/>
    <n v="5.32617321697054"/>
  </r>
  <r>
    <x v="0"/>
    <x v="18"/>
    <x v="7"/>
    <x v="12"/>
    <s v="NO2_A1"/>
    <x v="25"/>
    <n v="25.064747068787099"/>
    <n v="6.9624297413297498"/>
  </r>
  <r>
    <x v="0"/>
    <x v="18"/>
    <x v="7"/>
    <x v="12"/>
    <s v="NO2_A1"/>
    <x v="26"/>
    <n v="32.516643167392601"/>
    <n v="9.03240087983127"/>
  </r>
  <r>
    <x v="0"/>
    <x v="18"/>
    <x v="7"/>
    <x v="12"/>
    <s v="NO2_A1"/>
    <x v="27"/>
    <n v="20.163995508318798"/>
    <n v="5.6011098634218799"/>
  </r>
  <r>
    <x v="0"/>
    <x v="18"/>
    <x v="7"/>
    <x v="12"/>
    <s v="NO2_A2"/>
    <x v="1"/>
    <n v="35.989199999999997"/>
    <n v="9.9969999999999999"/>
  </r>
  <r>
    <x v="0"/>
    <x v="18"/>
    <x v="7"/>
    <x v="12"/>
    <s v="NO2_A2"/>
    <x v="2"/>
    <n v="2.52"/>
    <n v="0.7"/>
  </r>
  <r>
    <x v="0"/>
    <x v="18"/>
    <x v="7"/>
    <x v="12"/>
    <s v="NO2_A2"/>
    <x v="0"/>
    <n v="42.692399999999999"/>
    <n v="11.859"/>
  </r>
  <r>
    <x v="0"/>
    <x v="18"/>
    <x v="7"/>
    <x v="12"/>
    <s v="NO2_A2"/>
    <x v="3"/>
    <n v="51.633543144067197"/>
    <n v="14.342650873352"/>
  </r>
  <r>
    <x v="0"/>
    <x v="18"/>
    <x v="7"/>
    <x v="12"/>
    <s v="NO2_A2"/>
    <x v="4"/>
    <n v="15.1696304888152"/>
    <n v="4.21378624689312"/>
  </r>
  <r>
    <x v="0"/>
    <x v="18"/>
    <x v="7"/>
    <x v="12"/>
    <s v="NO2_A2"/>
    <x v="5"/>
    <n v="15.1696304888152"/>
    <n v="4.21378624689312"/>
  </r>
  <r>
    <x v="0"/>
    <x v="18"/>
    <x v="7"/>
    <x v="12"/>
    <s v="NO2_A2"/>
    <x v="6"/>
    <n v="29.476231795214598"/>
    <n v="8.1878421653373898"/>
  </r>
  <r>
    <x v="0"/>
    <x v="18"/>
    <x v="7"/>
    <x v="12"/>
    <s v="NO2_A2"/>
    <x v="7"/>
    <n v="57.838935220261199"/>
    <n v="16.066370894517"/>
  </r>
  <r>
    <x v="0"/>
    <x v="18"/>
    <x v="7"/>
    <x v="12"/>
    <s v="NO2_A2"/>
    <x v="8"/>
    <n v="57.838935220261199"/>
    <n v="16.066370894517"/>
  </r>
  <r>
    <x v="0"/>
    <x v="18"/>
    <x v="7"/>
    <x v="12"/>
    <s v="NO2_A2"/>
    <x v="9"/>
    <n v="51.506187241093599"/>
    <n v="14.3072742336371"/>
  </r>
  <r>
    <x v="0"/>
    <x v="18"/>
    <x v="7"/>
    <x v="12"/>
    <s v="NO2_A2"/>
    <x v="10"/>
    <n v="72.320331400165799"/>
    <n v="20.088980944490501"/>
  </r>
  <r>
    <x v="0"/>
    <x v="18"/>
    <x v="7"/>
    <x v="12"/>
    <s v="NO2_A2"/>
    <x v="11"/>
    <n v="8.1139884009941898"/>
    <n v="2.2538856669428302"/>
  </r>
  <r>
    <x v="0"/>
    <x v="18"/>
    <x v="7"/>
    <x v="12"/>
    <s v="NO2_A2"/>
    <x v="12"/>
    <n v="9.7995028997514597E-2"/>
    <n v="2.72208413881985E-2"/>
  </r>
  <r>
    <x v="0"/>
    <x v="18"/>
    <x v="7"/>
    <x v="12"/>
    <s v="NO2_A2"/>
    <x v="13"/>
    <n v="24.3419652029826"/>
    <n v="6.7616570008285004"/>
  </r>
  <r>
    <x v="0"/>
    <x v="18"/>
    <x v="7"/>
    <x v="12"/>
    <s v="NO2_A2"/>
    <x v="14"/>
    <n v="24.3419652029826"/>
    <n v="6.7616570008285004"/>
  </r>
  <r>
    <x v="0"/>
    <x v="18"/>
    <x v="7"/>
    <x v="12"/>
    <s v="NO2_A2"/>
    <x v="15"/>
    <n v="1.65807589063794"/>
    <n v="0.46057663628831802"/>
  </r>
  <r>
    <x v="0"/>
    <x v="18"/>
    <x v="7"/>
    <x v="12"/>
    <s v="NO2_A2"/>
    <x v="16"/>
    <n v="6.7156619979650802"/>
    <n v="1.8654616661014101"/>
  </r>
  <r>
    <x v="0"/>
    <x v="18"/>
    <x v="7"/>
    <x v="12"/>
    <s v="NO2_A2"/>
    <x v="17"/>
    <n v="9.1244895875632395"/>
    <n v="2.5345804409897901"/>
  </r>
  <r>
    <x v="0"/>
    <x v="18"/>
    <x v="7"/>
    <x v="12"/>
    <s v="NO2_A2"/>
    <x v="18"/>
    <n v="24.3419652029826"/>
    <n v="6.7616570008285004"/>
  </r>
  <r>
    <x v="0"/>
    <x v="18"/>
    <x v="7"/>
    <x v="12"/>
    <s v="NO2_A2"/>
    <x v="19"/>
    <n v="8.1139884009941898"/>
    <n v="2.2538856669428302"/>
  </r>
  <r>
    <x v="0"/>
    <x v="18"/>
    <x v="7"/>
    <x v="12"/>
    <s v="NO2_A2"/>
    <x v="20"/>
    <n v="21.431396138420201"/>
    <n v="5.9531655940056103"/>
  </r>
  <r>
    <x v="0"/>
    <x v="18"/>
    <x v="7"/>
    <x v="12"/>
    <s v="NO2_A2"/>
    <x v="28"/>
    <n v="41.38758"/>
    <n v="11.496549999999999"/>
  </r>
  <r>
    <x v="0"/>
    <x v="18"/>
    <x v="7"/>
    <x v="12"/>
    <s v="NO2_A2"/>
    <x v="21"/>
    <n v="48.24"/>
    <n v="13.4"/>
  </r>
  <r>
    <x v="0"/>
    <x v="18"/>
    <x v="7"/>
    <x v="12"/>
    <s v="NO2_A2"/>
    <x v="22"/>
    <n v="67.680000000000007"/>
    <n v="18.8"/>
  </r>
  <r>
    <x v="0"/>
    <x v="18"/>
    <x v="7"/>
    <x v="12"/>
    <s v="NO2_A2"/>
    <x v="23"/>
    <n v="0.31515896120488701"/>
    <n v="8.7544155890246306E-2"/>
  </r>
  <r>
    <x v="0"/>
    <x v="18"/>
    <x v="7"/>
    <x v="12"/>
    <s v="NO2_A2"/>
    <x v="24"/>
    <n v="19.174223581093901"/>
    <n v="5.32617321697054"/>
  </r>
  <r>
    <x v="0"/>
    <x v="18"/>
    <x v="7"/>
    <x v="12"/>
    <s v="NO2_A2"/>
    <x v="25"/>
    <n v="25.064747068787099"/>
    <n v="6.9624297413297498"/>
  </r>
  <r>
    <x v="0"/>
    <x v="18"/>
    <x v="7"/>
    <x v="12"/>
    <s v="NO2_A2"/>
    <x v="26"/>
    <n v="32.516643167392601"/>
    <n v="9.03240087983127"/>
  </r>
  <r>
    <x v="0"/>
    <x v="18"/>
    <x v="7"/>
    <x v="12"/>
    <s v="NO2_A2"/>
    <x v="27"/>
    <n v="20.163995508318798"/>
    <n v="5.6011098634218799"/>
  </r>
  <r>
    <x v="0"/>
    <x v="18"/>
    <x v="7"/>
    <x v="12"/>
    <s v="NO2_Offshore"/>
    <x v="1"/>
    <n v="35.989199999999997"/>
    <n v="9.9969999999999999"/>
  </r>
  <r>
    <x v="0"/>
    <x v="18"/>
    <x v="7"/>
    <x v="12"/>
    <s v="NO2_Offshore"/>
    <x v="2"/>
    <n v="2.52"/>
    <n v="0.7"/>
  </r>
  <r>
    <x v="0"/>
    <x v="18"/>
    <x v="7"/>
    <x v="12"/>
    <s v="NO2_Offshore"/>
    <x v="0"/>
    <n v="42.692399999999999"/>
    <n v="11.859"/>
  </r>
  <r>
    <x v="0"/>
    <x v="18"/>
    <x v="7"/>
    <x v="12"/>
    <s v="NO2_Offshore"/>
    <x v="3"/>
    <n v="51.633543144067197"/>
    <n v="14.342650873352"/>
  </r>
  <r>
    <x v="0"/>
    <x v="18"/>
    <x v="7"/>
    <x v="12"/>
    <s v="NO2_Offshore"/>
    <x v="4"/>
    <n v="15.1696304888152"/>
    <n v="4.21378624689312"/>
  </r>
  <r>
    <x v="0"/>
    <x v="18"/>
    <x v="7"/>
    <x v="12"/>
    <s v="NO2_Offshore"/>
    <x v="5"/>
    <n v="15.1696304888152"/>
    <n v="4.21378624689312"/>
  </r>
  <r>
    <x v="0"/>
    <x v="18"/>
    <x v="7"/>
    <x v="12"/>
    <s v="NO2_Offshore"/>
    <x v="6"/>
    <n v="29.476231795214598"/>
    <n v="8.1878421653373898"/>
  </r>
  <r>
    <x v="0"/>
    <x v="18"/>
    <x v="7"/>
    <x v="12"/>
    <s v="NO2_Offshore"/>
    <x v="7"/>
    <n v="57.838935220261199"/>
    <n v="16.066370894517"/>
  </r>
  <r>
    <x v="0"/>
    <x v="18"/>
    <x v="7"/>
    <x v="12"/>
    <s v="NO2_Offshore"/>
    <x v="8"/>
    <n v="57.838935220261199"/>
    <n v="16.066370894517"/>
  </r>
  <r>
    <x v="0"/>
    <x v="18"/>
    <x v="7"/>
    <x v="12"/>
    <s v="NO2_Offshore"/>
    <x v="9"/>
    <n v="51.506187241093599"/>
    <n v="14.3072742336371"/>
  </r>
  <r>
    <x v="0"/>
    <x v="18"/>
    <x v="7"/>
    <x v="12"/>
    <s v="NO2_Offshore"/>
    <x v="10"/>
    <n v="72.320331400165799"/>
    <n v="20.088980944490501"/>
  </r>
  <r>
    <x v="0"/>
    <x v="18"/>
    <x v="7"/>
    <x v="12"/>
    <s v="NO2_Offshore"/>
    <x v="11"/>
    <n v="8.1139884009941898"/>
    <n v="2.2538856669428302"/>
  </r>
  <r>
    <x v="0"/>
    <x v="18"/>
    <x v="7"/>
    <x v="12"/>
    <s v="NO2_Offshore"/>
    <x v="12"/>
    <n v="9.7995028997514597E-2"/>
    <n v="2.72208413881985E-2"/>
  </r>
  <r>
    <x v="0"/>
    <x v="18"/>
    <x v="7"/>
    <x v="12"/>
    <s v="NO2_Offshore"/>
    <x v="13"/>
    <n v="24.3419652029826"/>
    <n v="6.7616570008285004"/>
  </r>
  <r>
    <x v="0"/>
    <x v="18"/>
    <x v="7"/>
    <x v="12"/>
    <s v="NO2_Offshore"/>
    <x v="14"/>
    <n v="24.3419652029826"/>
    <n v="6.7616570008285004"/>
  </r>
  <r>
    <x v="0"/>
    <x v="18"/>
    <x v="7"/>
    <x v="12"/>
    <s v="NO2_Offshore"/>
    <x v="15"/>
    <n v="1.65807589063794"/>
    <n v="0.46057663628831802"/>
  </r>
  <r>
    <x v="0"/>
    <x v="18"/>
    <x v="7"/>
    <x v="12"/>
    <s v="NO2_Offshore"/>
    <x v="16"/>
    <n v="6.7156619979650802"/>
    <n v="1.8654616661014101"/>
  </r>
  <r>
    <x v="0"/>
    <x v="18"/>
    <x v="7"/>
    <x v="12"/>
    <s v="NO2_Offshore"/>
    <x v="17"/>
    <n v="9.1244895875632395"/>
    <n v="2.5345804409897901"/>
  </r>
  <r>
    <x v="0"/>
    <x v="18"/>
    <x v="7"/>
    <x v="12"/>
    <s v="NO2_Offshore"/>
    <x v="18"/>
    <n v="24.3419652029826"/>
    <n v="6.7616570008285004"/>
  </r>
  <r>
    <x v="0"/>
    <x v="18"/>
    <x v="7"/>
    <x v="12"/>
    <s v="NO2_Offshore"/>
    <x v="19"/>
    <n v="8.1139884009941898"/>
    <n v="2.2538856669428302"/>
  </r>
  <r>
    <x v="0"/>
    <x v="18"/>
    <x v="7"/>
    <x v="12"/>
    <s v="NO2_Offshore"/>
    <x v="20"/>
    <n v="21.431396138420201"/>
    <n v="5.9531655940056103"/>
  </r>
  <r>
    <x v="0"/>
    <x v="18"/>
    <x v="7"/>
    <x v="12"/>
    <s v="NO2_Offshore"/>
    <x v="28"/>
    <n v="41.38758"/>
    <n v="11.496549999999999"/>
  </r>
  <r>
    <x v="0"/>
    <x v="18"/>
    <x v="7"/>
    <x v="12"/>
    <s v="NO2_Offshore"/>
    <x v="21"/>
    <n v="48.24"/>
    <n v="13.4"/>
  </r>
  <r>
    <x v="0"/>
    <x v="18"/>
    <x v="7"/>
    <x v="12"/>
    <s v="NO2_Offshore"/>
    <x v="22"/>
    <n v="67.680000000000007"/>
    <n v="18.8"/>
  </r>
  <r>
    <x v="0"/>
    <x v="18"/>
    <x v="7"/>
    <x v="12"/>
    <s v="NO2_Offshore"/>
    <x v="23"/>
    <n v="0.31515896120488701"/>
    <n v="8.7544155890246306E-2"/>
  </r>
  <r>
    <x v="0"/>
    <x v="18"/>
    <x v="7"/>
    <x v="12"/>
    <s v="NO2_Offshore"/>
    <x v="24"/>
    <n v="19.174223581093901"/>
    <n v="5.32617321697054"/>
  </r>
  <r>
    <x v="0"/>
    <x v="18"/>
    <x v="7"/>
    <x v="12"/>
    <s v="NO2_Offshore"/>
    <x v="25"/>
    <n v="25.064747068787099"/>
    <n v="6.9624297413297498"/>
  </r>
  <r>
    <x v="0"/>
    <x v="18"/>
    <x v="7"/>
    <x v="12"/>
    <s v="NO2_Offshore"/>
    <x v="26"/>
    <n v="32.516643167392601"/>
    <n v="9.03240087983127"/>
  </r>
  <r>
    <x v="0"/>
    <x v="18"/>
    <x v="7"/>
    <x v="12"/>
    <s v="NO2_Offshore"/>
    <x v="27"/>
    <n v="20.163995508318798"/>
    <n v="5.6011098634218799"/>
  </r>
  <r>
    <x v="0"/>
    <x v="18"/>
    <x v="7"/>
    <x v="13"/>
    <s v="NO3_A1"/>
    <x v="1"/>
    <n v="35.989199999999997"/>
    <n v="9.9969999999999999"/>
  </r>
  <r>
    <x v="0"/>
    <x v="18"/>
    <x v="7"/>
    <x v="13"/>
    <s v="NO3_A1"/>
    <x v="2"/>
    <n v="2.52"/>
    <n v="0.7"/>
  </r>
  <r>
    <x v="0"/>
    <x v="18"/>
    <x v="7"/>
    <x v="13"/>
    <s v="NO3_A1"/>
    <x v="0"/>
    <n v="42.692399999999999"/>
    <n v="11.859"/>
  </r>
  <r>
    <x v="0"/>
    <x v="18"/>
    <x v="7"/>
    <x v="13"/>
    <s v="NO3_A1"/>
    <x v="3"/>
    <n v="51.633543144067197"/>
    <n v="14.342650873352"/>
  </r>
  <r>
    <x v="0"/>
    <x v="18"/>
    <x v="7"/>
    <x v="13"/>
    <s v="NO3_A1"/>
    <x v="4"/>
    <n v="15.1696304888152"/>
    <n v="4.21378624689312"/>
  </r>
  <r>
    <x v="0"/>
    <x v="18"/>
    <x v="7"/>
    <x v="13"/>
    <s v="NO3_A1"/>
    <x v="5"/>
    <n v="15.1696304888152"/>
    <n v="4.21378624689312"/>
  </r>
  <r>
    <x v="0"/>
    <x v="18"/>
    <x v="7"/>
    <x v="13"/>
    <s v="NO3_A1"/>
    <x v="6"/>
    <n v="29.476231795214598"/>
    <n v="8.1878421653373898"/>
  </r>
  <r>
    <x v="0"/>
    <x v="18"/>
    <x v="7"/>
    <x v="13"/>
    <s v="NO3_A1"/>
    <x v="7"/>
    <n v="57.838935220261199"/>
    <n v="16.066370894517"/>
  </r>
  <r>
    <x v="0"/>
    <x v="18"/>
    <x v="7"/>
    <x v="13"/>
    <s v="NO3_A1"/>
    <x v="8"/>
    <n v="57.838935220261199"/>
    <n v="16.066370894517"/>
  </r>
  <r>
    <x v="0"/>
    <x v="18"/>
    <x v="7"/>
    <x v="13"/>
    <s v="NO3_A1"/>
    <x v="9"/>
    <n v="51.506187241093599"/>
    <n v="14.3072742336371"/>
  </r>
  <r>
    <x v="0"/>
    <x v="18"/>
    <x v="7"/>
    <x v="13"/>
    <s v="NO3_A1"/>
    <x v="10"/>
    <n v="72.320331400165799"/>
    <n v="20.088980944490501"/>
  </r>
  <r>
    <x v="0"/>
    <x v="18"/>
    <x v="7"/>
    <x v="13"/>
    <s v="NO3_A1"/>
    <x v="11"/>
    <n v="8.1139884009941898"/>
    <n v="2.2538856669428302"/>
  </r>
  <r>
    <x v="0"/>
    <x v="18"/>
    <x v="7"/>
    <x v="13"/>
    <s v="NO3_A1"/>
    <x v="12"/>
    <n v="9.7995028997514597E-2"/>
    <n v="2.72208413881985E-2"/>
  </r>
  <r>
    <x v="0"/>
    <x v="18"/>
    <x v="7"/>
    <x v="13"/>
    <s v="NO3_A1"/>
    <x v="13"/>
    <n v="24.3419652029826"/>
    <n v="6.7616570008285004"/>
  </r>
  <r>
    <x v="0"/>
    <x v="18"/>
    <x v="7"/>
    <x v="13"/>
    <s v="NO3_A1"/>
    <x v="14"/>
    <n v="24.3419652029826"/>
    <n v="6.7616570008285004"/>
  </r>
  <r>
    <x v="0"/>
    <x v="18"/>
    <x v="7"/>
    <x v="13"/>
    <s v="NO3_A1"/>
    <x v="15"/>
    <n v="1.65807589063794"/>
    <n v="0.46057663628831802"/>
  </r>
  <r>
    <x v="0"/>
    <x v="18"/>
    <x v="7"/>
    <x v="13"/>
    <s v="NO3_A1"/>
    <x v="16"/>
    <n v="6.7156619979650802"/>
    <n v="1.8654616661014101"/>
  </r>
  <r>
    <x v="0"/>
    <x v="18"/>
    <x v="7"/>
    <x v="13"/>
    <s v="NO3_A1"/>
    <x v="17"/>
    <n v="9.1244895875632395"/>
    <n v="2.5345804409897901"/>
  </r>
  <r>
    <x v="0"/>
    <x v="18"/>
    <x v="7"/>
    <x v="13"/>
    <s v="NO3_A1"/>
    <x v="18"/>
    <n v="24.3419652029826"/>
    <n v="6.7616570008285004"/>
  </r>
  <r>
    <x v="0"/>
    <x v="18"/>
    <x v="7"/>
    <x v="13"/>
    <s v="NO3_A1"/>
    <x v="19"/>
    <n v="8.1139884009941898"/>
    <n v="2.2538856669428302"/>
  </r>
  <r>
    <x v="0"/>
    <x v="18"/>
    <x v="7"/>
    <x v="13"/>
    <s v="NO3_A1"/>
    <x v="20"/>
    <n v="21.431396138420201"/>
    <n v="5.9531655940056103"/>
  </r>
  <r>
    <x v="0"/>
    <x v="18"/>
    <x v="7"/>
    <x v="13"/>
    <s v="NO3_A1"/>
    <x v="28"/>
    <n v="41.38758"/>
    <n v="11.496549999999999"/>
  </r>
  <r>
    <x v="0"/>
    <x v="18"/>
    <x v="7"/>
    <x v="13"/>
    <s v="NO3_A1"/>
    <x v="21"/>
    <n v="48.24"/>
    <n v="13.4"/>
  </r>
  <r>
    <x v="0"/>
    <x v="18"/>
    <x v="7"/>
    <x v="13"/>
    <s v="NO3_A1"/>
    <x v="22"/>
    <n v="67.680000000000007"/>
    <n v="18.8"/>
  </r>
  <r>
    <x v="0"/>
    <x v="18"/>
    <x v="7"/>
    <x v="13"/>
    <s v="NO3_A1"/>
    <x v="23"/>
    <n v="0.31515896120488701"/>
    <n v="8.7544155890246306E-2"/>
  </r>
  <r>
    <x v="0"/>
    <x v="18"/>
    <x v="7"/>
    <x v="13"/>
    <s v="NO3_A1"/>
    <x v="24"/>
    <n v="19.174223581093901"/>
    <n v="5.32617321697054"/>
  </r>
  <r>
    <x v="0"/>
    <x v="18"/>
    <x v="7"/>
    <x v="13"/>
    <s v="NO3_A1"/>
    <x v="25"/>
    <n v="25.064747068787099"/>
    <n v="6.9624297413297498"/>
  </r>
  <r>
    <x v="0"/>
    <x v="18"/>
    <x v="7"/>
    <x v="13"/>
    <s v="NO3_A1"/>
    <x v="26"/>
    <n v="32.516643167392601"/>
    <n v="9.03240087983127"/>
  </r>
  <r>
    <x v="0"/>
    <x v="18"/>
    <x v="7"/>
    <x v="13"/>
    <s v="NO3_A1"/>
    <x v="27"/>
    <n v="20.163995508318798"/>
    <n v="5.6011098634218799"/>
  </r>
  <r>
    <x v="0"/>
    <x v="18"/>
    <x v="7"/>
    <x v="13"/>
    <s v="NO3_A2"/>
    <x v="1"/>
    <n v="35.989199999999997"/>
    <n v="9.9969999999999999"/>
  </r>
  <r>
    <x v="0"/>
    <x v="18"/>
    <x v="7"/>
    <x v="13"/>
    <s v="NO3_A2"/>
    <x v="2"/>
    <n v="2.52"/>
    <n v="0.7"/>
  </r>
  <r>
    <x v="0"/>
    <x v="18"/>
    <x v="7"/>
    <x v="13"/>
    <s v="NO3_A2"/>
    <x v="0"/>
    <n v="42.692399999999999"/>
    <n v="11.859"/>
  </r>
  <r>
    <x v="0"/>
    <x v="18"/>
    <x v="7"/>
    <x v="13"/>
    <s v="NO3_A2"/>
    <x v="3"/>
    <n v="51.633543144067197"/>
    <n v="14.342650873352"/>
  </r>
  <r>
    <x v="0"/>
    <x v="18"/>
    <x v="7"/>
    <x v="13"/>
    <s v="NO3_A2"/>
    <x v="4"/>
    <n v="15.1696304888152"/>
    <n v="4.21378624689312"/>
  </r>
  <r>
    <x v="0"/>
    <x v="18"/>
    <x v="7"/>
    <x v="13"/>
    <s v="NO3_A2"/>
    <x v="5"/>
    <n v="15.1696304888152"/>
    <n v="4.21378624689312"/>
  </r>
  <r>
    <x v="0"/>
    <x v="18"/>
    <x v="7"/>
    <x v="13"/>
    <s v="NO3_A2"/>
    <x v="6"/>
    <n v="29.476231795214598"/>
    <n v="8.1878421653373898"/>
  </r>
  <r>
    <x v="0"/>
    <x v="18"/>
    <x v="7"/>
    <x v="13"/>
    <s v="NO3_A2"/>
    <x v="7"/>
    <n v="57.838935220261199"/>
    <n v="16.066370894517"/>
  </r>
  <r>
    <x v="0"/>
    <x v="18"/>
    <x v="7"/>
    <x v="13"/>
    <s v="NO3_A2"/>
    <x v="8"/>
    <n v="57.838935220261199"/>
    <n v="16.066370894517"/>
  </r>
  <r>
    <x v="0"/>
    <x v="18"/>
    <x v="7"/>
    <x v="13"/>
    <s v="NO3_A2"/>
    <x v="9"/>
    <n v="51.506187241093599"/>
    <n v="14.3072742336371"/>
  </r>
  <r>
    <x v="0"/>
    <x v="18"/>
    <x v="7"/>
    <x v="13"/>
    <s v="NO3_A2"/>
    <x v="10"/>
    <n v="72.320331400165799"/>
    <n v="20.088980944490501"/>
  </r>
  <r>
    <x v="0"/>
    <x v="18"/>
    <x v="7"/>
    <x v="13"/>
    <s v="NO3_A2"/>
    <x v="11"/>
    <n v="8.1139884009941898"/>
    <n v="2.2538856669428302"/>
  </r>
  <r>
    <x v="0"/>
    <x v="18"/>
    <x v="7"/>
    <x v="13"/>
    <s v="NO3_A2"/>
    <x v="12"/>
    <n v="9.7995028997514597E-2"/>
    <n v="2.72208413881985E-2"/>
  </r>
  <r>
    <x v="0"/>
    <x v="18"/>
    <x v="7"/>
    <x v="13"/>
    <s v="NO3_A2"/>
    <x v="13"/>
    <n v="24.3419652029826"/>
    <n v="6.7616570008285004"/>
  </r>
  <r>
    <x v="0"/>
    <x v="18"/>
    <x v="7"/>
    <x v="13"/>
    <s v="NO3_A2"/>
    <x v="14"/>
    <n v="24.3419652029826"/>
    <n v="6.7616570008285004"/>
  </r>
  <r>
    <x v="0"/>
    <x v="18"/>
    <x v="7"/>
    <x v="13"/>
    <s v="NO3_A2"/>
    <x v="15"/>
    <n v="1.65807589063794"/>
    <n v="0.46057663628831802"/>
  </r>
  <r>
    <x v="0"/>
    <x v="18"/>
    <x v="7"/>
    <x v="13"/>
    <s v="NO3_A2"/>
    <x v="16"/>
    <n v="6.7156619979650802"/>
    <n v="1.8654616661014101"/>
  </r>
  <r>
    <x v="0"/>
    <x v="18"/>
    <x v="7"/>
    <x v="13"/>
    <s v="NO3_A2"/>
    <x v="17"/>
    <n v="9.1244895875632395"/>
    <n v="2.5345804409897901"/>
  </r>
  <r>
    <x v="0"/>
    <x v="18"/>
    <x v="7"/>
    <x v="13"/>
    <s v="NO3_A2"/>
    <x v="18"/>
    <n v="24.3419652029826"/>
    <n v="6.7616570008285004"/>
  </r>
  <r>
    <x v="0"/>
    <x v="18"/>
    <x v="7"/>
    <x v="13"/>
    <s v="NO3_A2"/>
    <x v="19"/>
    <n v="8.1139884009941898"/>
    <n v="2.2538856669428302"/>
  </r>
  <r>
    <x v="0"/>
    <x v="18"/>
    <x v="7"/>
    <x v="13"/>
    <s v="NO3_A2"/>
    <x v="20"/>
    <n v="21.431396138420201"/>
    <n v="5.9531655940056103"/>
  </r>
  <r>
    <x v="0"/>
    <x v="18"/>
    <x v="7"/>
    <x v="13"/>
    <s v="NO3_A2"/>
    <x v="28"/>
    <n v="41.38758"/>
    <n v="11.496549999999999"/>
  </r>
  <r>
    <x v="0"/>
    <x v="18"/>
    <x v="7"/>
    <x v="13"/>
    <s v="NO3_A2"/>
    <x v="21"/>
    <n v="48.24"/>
    <n v="13.4"/>
  </r>
  <r>
    <x v="0"/>
    <x v="18"/>
    <x v="7"/>
    <x v="13"/>
    <s v="NO3_A2"/>
    <x v="22"/>
    <n v="67.680000000000007"/>
    <n v="18.8"/>
  </r>
  <r>
    <x v="0"/>
    <x v="18"/>
    <x v="7"/>
    <x v="13"/>
    <s v="NO3_A2"/>
    <x v="23"/>
    <n v="0.31515896120488701"/>
    <n v="8.7544155890246306E-2"/>
  </r>
  <r>
    <x v="0"/>
    <x v="18"/>
    <x v="7"/>
    <x v="13"/>
    <s v="NO3_A2"/>
    <x v="24"/>
    <n v="19.174223581093901"/>
    <n v="5.32617321697054"/>
  </r>
  <r>
    <x v="0"/>
    <x v="18"/>
    <x v="7"/>
    <x v="13"/>
    <s v="NO3_A2"/>
    <x v="25"/>
    <n v="25.064747068787099"/>
    <n v="6.9624297413297498"/>
  </r>
  <r>
    <x v="0"/>
    <x v="18"/>
    <x v="7"/>
    <x v="13"/>
    <s v="NO3_A2"/>
    <x v="26"/>
    <n v="32.516643167392601"/>
    <n v="9.03240087983127"/>
  </r>
  <r>
    <x v="0"/>
    <x v="18"/>
    <x v="7"/>
    <x v="13"/>
    <s v="NO3_A2"/>
    <x v="27"/>
    <n v="20.163995508318798"/>
    <n v="5.6011098634218799"/>
  </r>
  <r>
    <x v="0"/>
    <x v="18"/>
    <x v="7"/>
    <x v="13"/>
    <s v="NO3_A3"/>
    <x v="1"/>
    <n v="35.989199999999997"/>
    <n v="9.9969999999999999"/>
  </r>
  <r>
    <x v="0"/>
    <x v="18"/>
    <x v="7"/>
    <x v="13"/>
    <s v="NO3_A3"/>
    <x v="2"/>
    <n v="2.52"/>
    <n v="0.7"/>
  </r>
  <r>
    <x v="0"/>
    <x v="18"/>
    <x v="7"/>
    <x v="13"/>
    <s v="NO3_A3"/>
    <x v="0"/>
    <n v="42.692399999999999"/>
    <n v="11.859"/>
  </r>
  <r>
    <x v="0"/>
    <x v="18"/>
    <x v="7"/>
    <x v="13"/>
    <s v="NO3_A3"/>
    <x v="3"/>
    <n v="51.633543144067197"/>
    <n v="14.342650873352"/>
  </r>
  <r>
    <x v="0"/>
    <x v="18"/>
    <x v="7"/>
    <x v="13"/>
    <s v="NO3_A3"/>
    <x v="4"/>
    <n v="15.1696304888152"/>
    <n v="4.21378624689312"/>
  </r>
  <r>
    <x v="0"/>
    <x v="18"/>
    <x v="7"/>
    <x v="13"/>
    <s v="NO3_A3"/>
    <x v="5"/>
    <n v="15.1696304888152"/>
    <n v="4.21378624689312"/>
  </r>
  <r>
    <x v="0"/>
    <x v="18"/>
    <x v="7"/>
    <x v="13"/>
    <s v="NO3_A3"/>
    <x v="6"/>
    <n v="29.476231795214598"/>
    <n v="8.1878421653373898"/>
  </r>
  <r>
    <x v="0"/>
    <x v="18"/>
    <x v="7"/>
    <x v="13"/>
    <s v="NO3_A3"/>
    <x v="7"/>
    <n v="57.838935220261199"/>
    <n v="16.066370894517"/>
  </r>
  <r>
    <x v="0"/>
    <x v="18"/>
    <x v="7"/>
    <x v="13"/>
    <s v="NO3_A3"/>
    <x v="8"/>
    <n v="57.838935220261199"/>
    <n v="16.066370894517"/>
  </r>
  <r>
    <x v="0"/>
    <x v="18"/>
    <x v="7"/>
    <x v="13"/>
    <s v="NO3_A3"/>
    <x v="9"/>
    <n v="51.506187241093599"/>
    <n v="14.3072742336371"/>
  </r>
  <r>
    <x v="0"/>
    <x v="18"/>
    <x v="7"/>
    <x v="13"/>
    <s v="NO3_A3"/>
    <x v="10"/>
    <n v="72.320331400165799"/>
    <n v="20.088980944490501"/>
  </r>
  <r>
    <x v="0"/>
    <x v="18"/>
    <x v="7"/>
    <x v="13"/>
    <s v="NO3_A3"/>
    <x v="11"/>
    <n v="8.1139884009941898"/>
    <n v="2.2538856669428302"/>
  </r>
  <r>
    <x v="0"/>
    <x v="18"/>
    <x v="7"/>
    <x v="13"/>
    <s v="NO3_A3"/>
    <x v="12"/>
    <n v="9.7995028997514597E-2"/>
    <n v="2.72208413881985E-2"/>
  </r>
  <r>
    <x v="0"/>
    <x v="18"/>
    <x v="7"/>
    <x v="13"/>
    <s v="NO3_A3"/>
    <x v="13"/>
    <n v="24.3419652029826"/>
    <n v="6.7616570008285004"/>
  </r>
  <r>
    <x v="0"/>
    <x v="18"/>
    <x v="7"/>
    <x v="13"/>
    <s v="NO3_A3"/>
    <x v="14"/>
    <n v="24.3419652029826"/>
    <n v="6.7616570008285004"/>
  </r>
  <r>
    <x v="0"/>
    <x v="18"/>
    <x v="7"/>
    <x v="13"/>
    <s v="NO3_A3"/>
    <x v="15"/>
    <n v="1.65807589063794"/>
    <n v="0.46057663628831802"/>
  </r>
  <r>
    <x v="0"/>
    <x v="18"/>
    <x v="7"/>
    <x v="13"/>
    <s v="NO3_A3"/>
    <x v="16"/>
    <n v="6.7156619979650802"/>
    <n v="1.8654616661014101"/>
  </r>
  <r>
    <x v="0"/>
    <x v="18"/>
    <x v="7"/>
    <x v="13"/>
    <s v="NO3_A3"/>
    <x v="17"/>
    <n v="9.1244895875632395"/>
    <n v="2.5345804409897901"/>
  </r>
  <r>
    <x v="0"/>
    <x v="18"/>
    <x v="7"/>
    <x v="13"/>
    <s v="NO3_A3"/>
    <x v="18"/>
    <n v="24.3419652029826"/>
    <n v="6.7616570008285004"/>
  </r>
  <r>
    <x v="0"/>
    <x v="18"/>
    <x v="7"/>
    <x v="13"/>
    <s v="NO3_A3"/>
    <x v="19"/>
    <n v="8.1139884009941898"/>
    <n v="2.2538856669428302"/>
  </r>
  <r>
    <x v="0"/>
    <x v="18"/>
    <x v="7"/>
    <x v="13"/>
    <s v="NO3_A3"/>
    <x v="20"/>
    <n v="21.431396138420201"/>
    <n v="5.9531655940056103"/>
  </r>
  <r>
    <x v="0"/>
    <x v="18"/>
    <x v="7"/>
    <x v="13"/>
    <s v="NO3_A3"/>
    <x v="28"/>
    <n v="41.38758"/>
    <n v="11.496549999999999"/>
  </r>
  <r>
    <x v="0"/>
    <x v="18"/>
    <x v="7"/>
    <x v="13"/>
    <s v="NO3_A3"/>
    <x v="21"/>
    <n v="48.24"/>
    <n v="13.4"/>
  </r>
  <r>
    <x v="0"/>
    <x v="18"/>
    <x v="7"/>
    <x v="13"/>
    <s v="NO3_A3"/>
    <x v="22"/>
    <n v="67.680000000000007"/>
    <n v="18.8"/>
  </r>
  <r>
    <x v="0"/>
    <x v="18"/>
    <x v="7"/>
    <x v="13"/>
    <s v="NO3_A3"/>
    <x v="23"/>
    <n v="0.31515896120488701"/>
    <n v="8.7544155890246306E-2"/>
  </r>
  <r>
    <x v="0"/>
    <x v="18"/>
    <x v="7"/>
    <x v="13"/>
    <s v="NO3_A3"/>
    <x v="24"/>
    <n v="19.174223581093901"/>
    <n v="5.32617321697054"/>
  </r>
  <r>
    <x v="0"/>
    <x v="18"/>
    <x v="7"/>
    <x v="13"/>
    <s v="NO3_A3"/>
    <x v="25"/>
    <n v="25.064747068787099"/>
    <n v="6.9624297413297498"/>
  </r>
  <r>
    <x v="0"/>
    <x v="18"/>
    <x v="7"/>
    <x v="13"/>
    <s v="NO3_A3"/>
    <x v="26"/>
    <n v="32.516643167392601"/>
    <n v="9.03240087983127"/>
  </r>
  <r>
    <x v="0"/>
    <x v="18"/>
    <x v="7"/>
    <x v="13"/>
    <s v="NO3_A3"/>
    <x v="27"/>
    <n v="20.163995508318798"/>
    <n v="5.6011098634218799"/>
  </r>
  <r>
    <x v="0"/>
    <x v="18"/>
    <x v="7"/>
    <x v="13"/>
    <s v="NO3_Offshore"/>
    <x v="1"/>
    <n v="35.989199999999997"/>
    <n v="9.9969999999999999"/>
  </r>
  <r>
    <x v="0"/>
    <x v="18"/>
    <x v="7"/>
    <x v="13"/>
    <s v="NO3_Offshore"/>
    <x v="2"/>
    <n v="2.52"/>
    <n v="0.7"/>
  </r>
  <r>
    <x v="0"/>
    <x v="18"/>
    <x v="7"/>
    <x v="13"/>
    <s v="NO3_Offshore"/>
    <x v="0"/>
    <n v="42.692399999999999"/>
    <n v="11.859"/>
  </r>
  <r>
    <x v="0"/>
    <x v="18"/>
    <x v="7"/>
    <x v="13"/>
    <s v="NO3_Offshore"/>
    <x v="3"/>
    <n v="51.633543144067197"/>
    <n v="14.342650873352"/>
  </r>
  <r>
    <x v="0"/>
    <x v="18"/>
    <x v="7"/>
    <x v="13"/>
    <s v="NO3_Offshore"/>
    <x v="4"/>
    <n v="15.1696304888152"/>
    <n v="4.21378624689312"/>
  </r>
  <r>
    <x v="0"/>
    <x v="18"/>
    <x v="7"/>
    <x v="13"/>
    <s v="NO3_Offshore"/>
    <x v="5"/>
    <n v="15.1696304888152"/>
    <n v="4.21378624689312"/>
  </r>
  <r>
    <x v="0"/>
    <x v="18"/>
    <x v="7"/>
    <x v="13"/>
    <s v="NO3_Offshore"/>
    <x v="6"/>
    <n v="29.476231795214598"/>
    <n v="8.1878421653373898"/>
  </r>
  <r>
    <x v="0"/>
    <x v="18"/>
    <x v="7"/>
    <x v="13"/>
    <s v="NO3_Offshore"/>
    <x v="7"/>
    <n v="57.838935220261199"/>
    <n v="16.066370894517"/>
  </r>
  <r>
    <x v="0"/>
    <x v="18"/>
    <x v="7"/>
    <x v="13"/>
    <s v="NO3_Offshore"/>
    <x v="8"/>
    <n v="57.838935220261199"/>
    <n v="16.066370894517"/>
  </r>
  <r>
    <x v="0"/>
    <x v="18"/>
    <x v="7"/>
    <x v="13"/>
    <s v="NO3_Offshore"/>
    <x v="9"/>
    <n v="51.506187241093599"/>
    <n v="14.3072742336371"/>
  </r>
  <r>
    <x v="0"/>
    <x v="18"/>
    <x v="7"/>
    <x v="13"/>
    <s v="NO3_Offshore"/>
    <x v="10"/>
    <n v="72.320331400165799"/>
    <n v="20.088980944490501"/>
  </r>
  <r>
    <x v="0"/>
    <x v="18"/>
    <x v="7"/>
    <x v="13"/>
    <s v="NO3_Offshore"/>
    <x v="11"/>
    <n v="8.1139884009941898"/>
    <n v="2.2538856669428302"/>
  </r>
  <r>
    <x v="0"/>
    <x v="18"/>
    <x v="7"/>
    <x v="13"/>
    <s v="NO3_Offshore"/>
    <x v="12"/>
    <n v="9.7995028997514597E-2"/>
    <n v="2.72208413881985E-2"/>
  </r>
  <r>
    <x v="0"/>
    <x v="18"/>
    <x v="7"/>
    <x v="13"/>
    <s v="NO3_Offshore"/>
    <x v="13"/>
    <n v="24.3419652029826"/>
    <n v="6.7616570008285004"/>
  </r>
  <r>
    <x v="0"/>
    <x v="18"/>
    <x v="7"/>
    <x v="13"/>
    <s v="NO3_Offshore"/>
    <x v="14"/>
    <n v="24.3419652029826"/>
    <n v="6.7616570008285004"/>
  </r>
  <r>
    <x v="0"/>
    <x v="18"/>
    <x v="7"/>
    <x v="13"/>
    <s v="NO3_Offshore"/>
    <x v="15"/>
    <n v="1.65807589063794"/>
    <n v="0.46057663628831802"/>
  </r>
  <r>
    <x v="0"/>
    <x v="18"/>
    <x v="7"/>
    <x v="13"/>
    <s v="NO3_Offshore"/>
    <x v="16"/>
    <n v="6.7156619979650802"/>
    <n v="1.8654616661014101"/>
  </r>
  <r>
    <x v="0"/>
    <x v="18"/>
    <x v="7"/>
    <x v="13"/>
    <s v="NO3_Offshore"/>
    <x v="17"/>
    <n v="9.1244895875632395"/>
    <n v="2.5345804409897901"/>
  </r>
  <r>
    <x v="0"/>
    <x v="18"/>
    <x v="7"/>
    <x v="13"/>
    <s v="NO3_Offshore"/>
    <x v="18"/>
    <n v="24.3419652029826"/>
    <n v="6.7616570008285004"/>
  </r>
  <r>
    <x v="0"/>
    <x v="18"/>
    <x v="7"/>
    <x v="13"/>
    <s v="NO3_Offshore"/>
    <x v="19"/>
    <n v="8.1139884009941898"/>
    <n v="2.2538856669428302"/>
  </r>
  <r>
    <x v="0"/>
    <x v="18"/>
    <x v="7"/>
    <x v="13"/>
    <s v="NO3_Offshore"/>
    <x v="20"/>
    <n v="21.431396138420201"/>
    <n v="5.9531655940056103"/>
  </r>
  <r>
    <x v="0"/>
    <x v="18"/>
    <x v="7"/>
    <x v="13"/>
    <s v="NO3_Offshore"/>
    <x v="28"/>
    <n v="41.38758"/>
    <n v="11.496549999999999"/>
  </r>
  <r>
    <x v="0"/>
    <x v="18"/>
    <x v="7"/>
    <x v="13"/>
    <s v="NO3_Offshore"/>
    <x v="21"/>
    <n v="48.24"/>
    <n v="13.4"/>
  </r>
  <r>
    <x v="0"/>
    <x v="18"/>
    <x v="7"/>
    <x v="13"/>
    <s v="NO3_Offshore"/>
    <x v="22"/>
    <n v="67.680000000000007"/>
    <n v="18.8"/>
  </r>
  <r>
    <x v="0"/>
    <x v="18"/>
    <x v="7"/>
    <x v="13"/>
    <s v="NO3_Offshore"/>
    <x v="23"/>
    <n v="0.31515896120488701"/>
    <n v="8.7544155890246306E-2"/>
  </r>
  <r>
    <x v="0"/>
    <x v="18"/>
    <x v="7"/>
    <x v="13"/>
    <s v="NO3_Offshore"/>
    <x v="24"/>
    <n v="19.174223581093901"/>
    <n v="5.32617321697054"/>
  </r>
  <r>
    <x v="0"/>
    <x v="18"/>
    <x v="7"/>
    <x v="13"/>
    <s v="NO3_Offshore"/>
    <x v="25"/>
    <n v="25.064747068787099"/>
    <n v="6.9624297413297498"/>
  </r>
  <r>
    <x v="0"/>
    <x v="18"/>
    <x v="7"/>
    <x v="13"/>
    <s v="NO3_Offshore"/>
    <x v="26"/>
    <n v="32.516643167392601"/>
    <n v="9.03240087983127"/>
  </r>
  <r>
    <x v="0"/>
    <x v="18"/>
    <x v="7"/>
    <x v="13"/>
    <s v="NO3_Offshore"/>
    <x v="27"/>
    <n v="20.163995508318798"/>
    <n v="5.6011098634218799"/>
  </r>
  <r>
    <x v="0"/>
    <x v="18"/>
    <x v="7"/>
    <x v="14"/>
    <s v="NO4_A1"/>
    <x v="1"/>
    <n v="35.989199999999997"/>
    <n v="9.9969999999999999"/>
  </r>
  <r>
    <x v="0"/>
    <x v="18"/>
    <x v="7"/>
    <x v="14"/>
    <s v="NO4_A1"/>
    <x v="2"/>
    <n v="2.52"/>
    <n v="0.7"/>
  </r>
  <r>
    <x v="0"/>
    <x v="18"/>
    <x v="7"/>
    <x v="14"/>
    <s v="NO4_A1"/>
    <x v="0"/>
    <n v="42.692399999999999"/>
    <n v="11.859"/>
  </r>
  <r>
    <x v="0"/>
    <x v="18"/>
    <x v="7"/>
    <x v="14"/>
    <s v="NO4_A1"/>
    <x v="3"/>
    <n v="51.633543144067197"/>
    <n v="14.342650873352"/>
  </r>
  <r>
    <x v="0"/>
    <x v="18"/>
    <x v="7"/>
    <x v="14"/>
    <s v="NO4_A1"/>
    <x v="4"/>
    <n v="15.1696304888152"/>
    <n v="4.21378624689312"/>
  </r>
  <r>
    <x v="0"/>
    <x v="18"/>
    <x v="7"/>
    <x v="14"/>
    <s v="NO4_A1"/>
    <x v="5"/>
    <n v="15.1696304888152"/>
    <n v="4.21378624689312"/>
  </r>
  <r>
    <x v="0"/>
    <x v="18"/>
    <x v="7"/>
    <x v="14"/>
    <s v="NO4_A1"/>
    <x v="6"/>
    <n v="29.476231795214598"/>
    <n v="8.1878421653373898"/>
  </r>
  <r>
    <x v="0"/>
    <x v="18"/>
    <x v="7"/>
    <x v="14"/>
    <s v="NO4_A1"/>
    <x v="7"/>
    <n v="57.838935220261199"/>
    <n v="16.066370894517"/>
  </r>
  <r>
    <x v="0"/>
    <x v="18"/>
    <x v="7"/>
    <x v="14"/>
    <s v="NO4_A1"/>
    <x v="8"/>
    <n v="57.838935220261199"/>
    <n v="16.066370894517"/>
  </r>
  <r>
    <x v="0"/>
    <x v="18"/>
    <x v="7"/>
    <x v="14"/>
    <s v="NO4_A1"/>
    <x v="9"/>
    <n v="51.506187241093599"/>
    <n v="14.3072742336371"/>
  </r>
  <r>
    <x v="0"/>
    <x v="18"/>
    <x v="7"/>
    <x v="14"/>
    <s v="NO4_A1"/>
    <x v="10"/>
    <n v="72.320331400165799"/>
    <n v="20.088980944490501"/>
  </r>
  <r>
    <x v="0"/>
    <x v="18"/>
    <x v="7"/>
    <x v="14"/>
    <s v="NO4_A1"/>
    <x v="11"/>
    <n v="8.1139884009941898"/>
    <n v="2.2538856669428302"/>
  </r>
  <r>
    <x v="0"/>
    <x v="18"/>
    <x v="7"/>
    <x v="14"/>
    <s v="NO4_A1"/>
    <x v="12"/>
    <n v="9.7995028997514597E-2"/>
    <n v="2.72208413881985E-2"/>
  </r>
  <r>
    <x v="0"/>
    <x v="18"/>
    <x v="7"/>
    <x v="14"/>
    <s v="NO4_A1"/>
    <x v="13"/>
    <n v="24.3419652029826"/>
    <n v="6.7616570008285004"/>
  </r>
  <r>
    <x v="0"/>
    <x v="18"/>
    <x v="7"/>
    <x v="14"/>
    <s v="NO4_A1"/>
    <x v="14"/>
    <n v="24.3419652029826"/>
    <n v="6.7616570008285004"/>
  </r>
  <r>
    <x v="0"/>
    <x v="18"/>
    <x v="7"/>
    <x v="14"/>
    <s v="NO4_A1"/>
    <x v="15"/>
    <n v="1.65807589063794"/>
    <n v="0.46057663628831802"/>
  </r>
  <r>
    <x v="0"/>
    <x v="18"/>
    <x v="7"/>
    <x v="14"/>
    <s v="NO4_A1"/>
    <x v="16"/>
    <n v="6.7156619979650802"/>
    <n v="1.8654616661014101"/>
  </r>
  <r>
    <x v="0"/>
    <x v="18"/>
    <x v="7"/>
    <x v="14"/>
    <s v="NO4_A1"/>
    <x v="17"/>
    <n v="9.1244895875632395"/>
    <n v="2.5345804409897901"/>
  </r>
  <r>
    <x v="0"/>
    <x v="18"/>
    <x v="7"/>
    <x v="14"/>
    <s v="NO4_A1"/>
    <x v="18"/>
    <n v="24.3419652029826"/>
    <n v="6.7616570008285004"/>
  </r>
  <r>
    <x v="0"/>
    <x v="18"/>
    <x v="7"/>
    <x v="14"/>
    <s v="NO4_A1"/>
    <x v="19"/>
    <n v="8.1139884009941898"/>
    <n v="2.2538856669428302"/>
  </r>
  <r>
    <x v="0"/>
    <x v="18"/>
    <x v="7"/>
    <x v="14"/>
    <s v="NO4_A1"/>
    <x v="20"/>
    <n v="21.431396138420201"/>
    <n v="5.9531655940056103"/>
  </r>
  <r>
    <x v="0"/>
    <x v="18"/>
    <x v="7"/>
    <x v="14"/>
    <s v="NO4_A1"/>
    <x v="28"/>
    <n v="41.38758"/>
    <n v="11.496549999999999"/>
  </r>
  <r>
    <x v="0"/>
    <x v="18"/>
    <x v="7"/>
    <x v="14"/>
    <s v="NO4_A1"/>
    <x v="21"/>
    <n v="48.24"/>
    <n v="13.4"/>
  </r>
  <r>
    <x v="0"/>
    <x v="18"/>
    <x v="7"/>
    <x v="14"/>
    <s v="NO4_A1"/>
    <x v="22"/>
    <n v="67.680000000000007"/>
    <n v="18.8"/>
  </r>
  <r>
    <x v="0"/>
    <x v="18"/>
    <x v="7"/>
    <x v="14"/>
    <s v="NO4_A1"/>
    <x v="23"/>
    <n v="0.31515896120488701"/>
    <n v="8.7544155890246306E-2"/>
  </r>
  <r>
    <x v="0"/>
    <x v="18"/>
    <x v="7"/>
    <x v="14"/>
    <s v="NO4_A1"/>
    <x v="24"/>
    <n v="19.174223581093901"/>
    <n v="5.32617321697054"/>
  </r>
  <r>
    <x v="0"/>
    <x v="18"/>
    <x v="7"/>
    <x v="14"/>
    <s v="NO4_A1"/>
    <x v="25"/>
    <n v="25.064747068787099"/>
    <n v="6.9624297413297498"/>
  </r>
  <r>
    <x v="0"/>
    <x v="18"/>
    <x v="7"/>
    <x v="14"/>
    <s v="NO4_A1"/>
    <x v="26"/>
    <n v="32.516643167392601"/>
    <n v="9.03240087983127"/>
  </r>
  <r>
    <x v="0"/>
    <x v="18"/>
    <x v="7"/>
    <x v="14"/>
    <s v="NO4_A1"/>
    <x v="27"/>
    <n v="20.163995508318798"/>
    <n v="5.6011098634218799"/>
  </r>
  <r>
    <x v="0"/>
    <x v="18"/>
    <x v="7"/>
    <x v="14"/>
    <s v="NO4_A2"/>
    <x v="1"/>
    <n v="35.989199999999997"/>
    <n v="9.9969999999999999"/>
  </r>
  <r>
    <x v="0"/>
    <x v="18"/>
    <x v="7"/>
    <x v="14"/>
    <s v="NO4_A2"/>
    <x v="2"/>
    <n v="2.52"/>
    <n v="0.7"/>
  </r>
  <r>
    <x v="0"/>
    <x v="18"/>
    <x v="7"/>
    <x v="14"/>
    <s v="NO4_A2"/>
    <x v="0"/>
    <n v="42.692399999999999"/>
    <n v="11.859"/>
  </r>
  <r>
    <x v="0"/>
    <x v="18"/>
    <x v="7"/>
    <x v="14"/>
    <s v="NO4_A2"/>
    <x v="3"/>
    <n v="51.633543144067197"/>
    <n v="14.342650873352"/>
  </r>
  <r>
    <x v="0"/>
    <x v="18"/>
    <x v="7"/>
    <x v="14"/>
    <s v="NO4_A2"/>
    <x v="4"/>
    <n v="15.1696304888152"/>
    <n v="4.21378624689312"/>
  </r>
  <r>
    <x v="0"/>
    <x v="18"/>
    <x v="7"/>
    <x v="14"/>
    <s v="NO4_A2"/>
    <x v="5"/>
    <n v="15.1696304888152"/>
    <n v="4.21378624689312"/>
  </r>
  <r>
    <x v="0"/>
    <x v="18"/>
    <x v="7"/>
    <x v="14"/>
    <s v="NO4_A2"/>
    <x v="6"/>
    <n v="29.476231795214598"/>
    <n v="8.1878421653373898"/>
  </r>
  <r>
    <x v="0"/>
    <x v="18"/>
    <x v="7"/>
    <x v="14"/>
    <s v="NO4_A2"/>
    <x v="7"/>
    <n v="57.838935220261199"/>
    <n v="16.066370894517"/>
  </r>
  <r>
    <x v="0"/>
    <x v="18"/>
    <x v="7"/>
    <x v="14"/>
    <s v="NO4_A2"/>
    <x v="8"/>
    <n v="57.838935220261199"/>
    <n v="16.066370894517"/>
  </r>
  <r>
    <x v="0"/>
    <x v="18"/>
    <x v="7"/>
    <x v="14"/>
    <s v="NO4_A2"/>
    <x v="9"/>
    <n v="51.506187241093599"/>
    <n v="14.3072742336371"/>
  </r>
  <r>
    <x v="0"/>
    <x v="18"/>
    <x v="7"/>
    <x v="14"/>
    <s v="NO4_A2"/>
    <x v="10"/>
    <n v="72.320331400165799"/>
    <n v="20.088980944490501"/>
  </r>
  <r>
    <x v="0"/>
    <x v="18"/>
    <x v="7"/>
    <x v="14"/>
    <s v="NO4_A2"/>
    <x v="11"/>
    <n v="8.1139884009941898"/>
    <n v="2.2538856669428302"/>
  </r>
  <r>
    <x v="0"/>
    <x v="18"/>
    <x v="7"/>
    <x v="14"/>
    <s v="NO4_A2"/>
    <x v="12"/>
    <n v="9.7995028997514597E-2"/>
    <n v="2.72208413881985E-2"/>
  </r>
  <r>
    <x v="0"/>
    <x v="18"/>
    <x v="7"/>
    <x v="14"/>
    <s v="NO4_A2"/>
    <x v="13"/>
    <n v="24.3419652029826"/>
    <n v="6.7616570008285004"/>
  </r>
  <r>
    <x v="0"/>
    <x v="18"/>
    <x v="7"/>
    <x v="14"/>
    <s v="NO4_A2"/>
    <x v="14"/>
    <n v="24.3419652029826"/>
    <n v="6.7616570008285004"/>
  </r>
  <r>
    <x v="0"/>
    <x v="18"/>
    <x v="7"/>
    <x v="14"/>
    <s v="NO4_A2"/>
    <x v="15"/>
    <n v="1.65807589063794"/>
    <n v="0.46057663628831802"/>
  </r>
  <r>
    <x v="0"/>
    <x v="18"/>
    <x v="7"/>
    <x v="14"/>
    <s v="NO4_A2"/>
    <x v="16"/>
    <n v="6.7156619979650802"/>
    <n v="1.8654616661014101"/>
  </r>
  <r>
    <x v="0"/>
    <x v="18"/>
    <x v="7"/>
    <x v="14"/>
    <s v="NO4_A2"/>
    <x v="17"/>
    <n v="9.1244895875632395"/>
    <n v="2.5345804409897901"/>
  </r>
  <r>
    <x v="0"/>
    <x v="18"/>
    <x v="7"/>
    <x v="14"/>
    <s v="NO4_A2"/>
    <x v="18"/>
    <n v="24.3419652029826"/>
    <n v="6.7616570008285004"/>
  </r>
  <r>
    <x v="0"/>
    <x v="18"/>
    <x v="7"/>
    <x v="14"/>
    <s v="NO4_A2"/>
    <x v="19"/>
    <n v="8.1139884009941898"/>
    <n v="2.2538856669428302"/>
  </r>
  <r>
    <x v="0"/>
    <x v="18"/>
    <x v="7"/>
    <x v="14"/>
    <s v="NO4_A2"/>
    <x v="20"/>
    <n v="21.431396138420201"/>
    <n v="5.9531655940056103"/>
  </r>
  <r>
    <x v="0"/>
    <x v="18"/>
    <x v="7"/>
    <x v="14"/>
    <s v="NO4_A2"/>
    <x v="28"/>
    <n v="41.38758"/>
    <n v="11.496549999999999"/>
  </r>
  <r>
    <x v="0"/>
    <x v="18"/>
    <x v="7"/>
    <x v="14"/>
    <s v="NO4_A2"/>
    <x v="21"/>
    <n v="48.24"/>
    <n v="13.4"/>
  </r>
  <r>
    <x v="0"/>
    <x v="18"/>
    <x v="7"/>
    <x v="14"/>
    <s v="NO4_A2"/>
    <x v="22"/>
    <n v="67.680000000000007"/>
    <n v="18.8"/>
  </r>
  <r>
    <x v="0"/>
    <x v="18"/>
    <x v="7"/>
    <x v="14"/>
    <s v="NO4_A2"/>
    <x v="23"/>
    <n v="0.31515896120488701"/>
    <n v="8.7544155890246306E-2"/>
  </r>
  <r>
    <x v="0"/>
    <x v="18"/>
    <x v="7"/>
    <x v="14"/>
    <s v="NO4_A2"/>
    <x v="24"/>
    <n v="19.174223581093901"/>
    <n v="5.32617321697054"/>
  </r>
  <r>
    <x v="0"/>
    <x v="18"/>
    <x v="7"/>
    <x v="14"/>
    <s v="NO4_A2"/>
    <x v="25"/>
    <n v="25.064747068787099"/>
    <n v="6.9624297413297498"/>
  </r>
  <r>
    <x v="0"/>
    <x v="18"/>
    <x v="7"/>
    <x v="14"/>
    <s v="NO4_A2"/>
    <x v="26"/>
    <n v="32.516643167392601"/>
    <n v="9.03240087983127"/>
  </r>
  <r>
    <x v="0"/>
    <x v="18"/>
    <x v="7"/>
    <x v="14"/>
    <s v="NO4_A2"/>
    <x v="27"/>
    <n v="20.163995508318798"/>
    <n v="5.6011098634218799"/>
  </r>
  <r>
    <x v="0"/>
    <x v="18"/>
    <x v="7"/>
    <x v="14"/>
    <s v="NO4_Offshore"/>
    <x v="1"/>
    <n v="35.989199999999997"/>
    <n v="9.9969999999999999"/>
  </r>
  <r>
    <x v="0"/>
    <x v="18"/>
    <x v="7"/>
    <x v="14"/>
    <s v="NO4_Offshore"/>
    <x v="2"/>
    <n v="2.52"/>
    <n v="0.7"/>
  </r>
  <r>
    <x v="0"/>
    <x v="18"/>
    <x v="7"/>
    <x v="14"/>
    <s v="NO4_Offshore"/>
    <x v="0"/>
    <n v="42.692399999999999"/>
    <n v="11.859"/>
  </r>
  <r>
    <x v="0"/>
    <x v="18"/>
    <x v="7"/>
    <x v="14"/>
    <s v="NO4_Offshore"/>
    <x v="3"/>
    <n v="51.633543144067197"/>
    <n v="14.342650873352"/>
  </r>
  <r>
    <x v="0"/>
    <x v="18"/>
    <x v="7"/>
    <x v="14"/>
    <s v="NO4_Offshore"/>
    <x v="4"/>
    <n v="15.1696304888152"/>
    <n v="4.21378624689312"/>
  </r>
  <r>
    <x v="0"/>
    <x v="18"/>
    <x v="7"/>
    <x v="14"/>
    <s v="NO4_Offshore"/>
    <x v="5"/>
    <n v="15.1696304888152"/>
    <n v="4.21378624689312"/>
  </r>
  <r>
    <x v="0"/>
    <x v="18"/>
    <x v="7"/>
    <x v="14"/>
    <s v="NO4_Offshore"/>
    <x v="6"/>
    <n v="29.476231795214598"/>
    <n v="8.1878421653373898"/>
  </r>
  <r>
    <x v="0"/>
    <x v="18"/>
    <x v="7"/>
    <x v="14"/>
    <s v="NO4_Offshore"/>
    <x v="7"/>
    <n v="57.838935220261199"/>
    <n v="16.066370894517"/>
  </r>
  <r>
    <x v="0"/>
    <x v="18"/>
    <x v="7"/>
    <x v="14"/>
    <s v="NO4_Offshore"/>
    <x v="8"/>
    <n v="57.838935220261199"/>
    <n v="16.066370894517"/>
  </r>
  <r>
    <x v="0"/>
    <x v="18"/>
    <x v="7"/>
    <x v="14"/>
    <s v="NO4_Offshore"/>
    <x v="9"/>
    <n v="51.506187241093599"/>
    <n v="14.3072742336371"/>
  </r>
  <r>
    <x v="0"/>
    <x v="18"/>
    <x v="7"/>
    <x v="14"/>
    <s v="NO4_Offshore"/>
    <x v="10"/>
    <n v="72.320331400165799"/>
    <n v="20.088980944490501"/>
  </r>
  <r>
    <x v="0"/>
    <x v="18"/>
    <x v="7"/>
    <x v="14"/>
    <s v="NO4_Offshore"/>
    <x v="11"/>
    <n v="8.1139884009941898"/>
    <n v="2.2538856669428302"/>
  </r>
  <r>
    <x v="0"/>
    <x v="18"/>
    <x v="7"/>
    <x v="14"/>
    <s v="NO4_Offshore"/>
    <x v="12"/>
    <n v="9.7995028997514597E-2"/>
    <n v="2.72208413881985E-2"/>
  </r>
  <r>
    <x v="0"/>
    <x v="18"/>
    <x v="7"/>
    <x v="14"/>
    <s v="NO4_Offshore"/>
    <x v="13"/>
    <n v="24.3419652029826"/>
    <n v="6.7616570008285004"/>
  </r>
  <r>
    <x v="0"/>
    <x v="18"/>
    <x v="7"/>
    <x v="14"/>
    <s v="NO4_Offshore"/>
    <x v="14"/>
    <n v="24.3419652029826"/>
    <n v="6.7616570008285004"/>
  </r>
  <r>
    <x v="0"/>
    <x v="18"/>
    <x v="7"/>
    <x v="14"/>
    <s v="NO4_Offshore"/>
    <x v="15"/>
    <n v="1.65807589063794"/>
    <n v="0.46057663628831802"/>
  </r>
  <r>
    <x v="0"/>
    <x v="18"/>
    <x v="7"/>
    <x v="14"/>
    <s v="NO4_Offshore"/>
    <x v="16"/>
    <n v="6.7156619979650802"/>
    <n v="1.8654616661014101"/>
  </r>
  <r>
    <x v="0"/>
    <x v="18"/>
    <x v="7"/>
    <x v="14"/>
    <s v="NO4_Offshore"/>
    <x v="17"/>
    <n v="9.1244895875632395"/>
    <n v="2.5345804409897901"/>
  </r>
  <r>
    <x v="0"/>
    <x v="18"/>
    <x v="7"/>
    <x v="14"/>
    <s v="NO4_Offshore"/>
    <x v="18"/>
    <n v="24.3419652029826"/>
    <n v="6.7616570008285004"/>
  </r>
  <r>
    <x v="0"/>
    <x v="18"/>
    <x v="7"/>
    <x v="14"/>
    <s v="NO4_Offshore"/>
    <x v="19"/>
    <n v="8.1139884009941898"/>
    <n v="2.2538856669428302"/>
  </r>
  <r>
    <x v="0"/>
    <x v="18"/>
    <x v="7"/>
    <x v="14"/>
    <s v="NO4_Offshore"/>
    <x v="20"/>
    <n v="21.431396138420201"/>
    <n v="5.9531655940056103"/>
  </r>
  <r>
    <x v="0"/>
    <x v="18"/>
    <x v="7"/>
    <x v="14"/>
    <s v="NO4_Offshore"/>
    <x v="28"/>
    <n v="41.38758"/>
    <n v="11.496549999999999"/>
  </r>
  <r>
    <x v="0"/>
    <x v="18"/>
    <x v="7"/>
    <x v="14"/>
    <s v="NO4_Offshore"/>
    <x v="21"/>
    <n v="48.24"/>
    <n v="13.4"/>
  </r>
  <r>
    <x v="0"/>
    <x v="18"/>
    <x v="7"/>
    <x v="14"/>
    <s v="NO4_Offshore"/>
    <x v="22"/>
    <n v="67.680000000000007"/>
    <n v="18.8"/>
  </r>
  <r>
    <x v="0"/>
    <x v="18"/>
    <x v="7"/>
    <x v="14"/>
    <s v="NO4_Offshore"/>
    <x v="23"/>
    <n v="0.31515896120488701"/>
    <n v="8.7544155890246306E-2"/>
  </r>
  <r>
    <x v="0"/>
    <x v="18"/>
    <x v="7"/>
    <x v="14"/>
    <s v="NO4_Offshore"/>
    <x v="24"/>
    <n v="19.174223581093901"/>
    <n v="5.32617321697054"/>
  </r>
  <r>
    <x v="0"/>
    <x v="18"/>
    <x v="7"/>
    <x v="14"/>
    <s v="NO4_Offshore"/>
    <x v="25"/>
    <n v="25.064747068787099"/>
    <n v="6.9624297413297498"/>
  </r>
  <r>
    <x v="0"/>
    <x v="18"/>
    <x v="7"/>
    <x v="14"/>
    <s v="NO4_Offshore"/>
    <x v="26"/>
    <n v="32.516643167392601"/>
    <n v="9.03240087983127"/>
  </r>
  <r>
    <x v="0"/>
    <x v="18"/>
    <x v="7"/>
    <x v="14"/>
    <s v="NO4_Offshore"/>
    <x v="27"/>
    <n v="20.163995508318798"/>
    <n v="5.6011098634218799"/>
  </r>
  <r>
    <x v="0"/>
    <x v="18"/>
    <x v="7"/>
    <x v="15"/>
    <s v="NO5_A1"/>
    <x v="1"/>
    <n v="35.989199999999997"/>
    <n v="9.9969999999999999"/>
  </r>
  <r>
    <x v="0"/>
    <x v="18"/>
    <x v="7"/>
    <x v="15"/>
    <s v="NO5_A1"/>
    <x v="2"/>
    <n v="2.52"/>
    <n v="0.7"/>
  </r>
  <r>
    <x v="0"/>
    <x v="18"/>
    <x v="7"/>
    <x v="15"/>
    <s v="NO5_A1"/>
    <x v="0"/>
    <n v="42.692399999999999"/>
    <n v="11.859"/>
  </r>
  <r>
    <x v="0"/>
    <x v="18"/>
    <x v="7"/>
    <x v="15"/>
    <s v="NO5_A1"/>
    <x v="3"/>
    <n v="51.633543144067197"/>
    <n v="14.342650873352"/>
  </r>
  <r>
    <x v="0"/>
    <x v="18"/>
    <x v="7"/>
    <x v="15"/>
    <s v="NO5_A1"/>
    <x v="4"/>
    <n v="15.1696304888152"/>
    <n v="4.21378624689312"/>
  </r>
  <r>
    <x v="0"/>
    <x v="18"/>
    <x v="7"/>
    <x v="15"/>
    <s v="NO5_A1"/>
    <x v="5"/>
    <n v="15.1696304888152"/>
    <n v="4.21378624689312"/>
  </r>
  <r>
    <x v="0"/>
    <x v="18"/>
    <x v="7"/>
    <x v="15"/>
    <s v="NO5_A1"/>
    <x v="6"/>
    <n v="29.476231795214598"/>
    <n v="8.1878421653373898"/>
  </r>
  <r>
    <x v="0"/>
    <x v="18"/>
    <x v="7"/>
    <x v="15"/>
    <s v="NO5_A1"/>
    <x v="7"/>
    <n v="57.838935220261199"/>
    <n v="16.066370894517"/>
  </r>
  <r>
    <x v="0"/>
    <x v="18"/>
    <x v="7"/>
    <x v="15"/>
    <s v="NO5_A1"/>
    <x v="8"/>
    <n v="57.838935220261199"/>
    <n v="16.066370894517"/>
  </r>
  <r>
    <x v="0"/>
    <x v="18"/>
    <x v="7"/>
    <x v="15"/>
    <s v="NO5_A1"/>
    <x v="9"/>
    <n v="51.506187241093599"/>
    <n v="14.3072742336371"/>
  </r>
  <r>
    <x v="0"/>
    <x v="18"/>
    <x v="7"/>
    <x v="15"/>
    <s v="NO5_A1"/>
    <x v="10"/>
    <n v="72.320331400165799"/>
    <n v="20.088980944490501"/>
  </r>
  <r>
    <x v="0"/>
    <x v="18"/>
    <x v="7"/>
    <x v="15"/>
    <s v="NO5_A1"/>
    <x v="11"/>
    <n v="8.1139884009941898"/>
    <n v="2.2538856669428302"/>
  </r>
  <r>
    <x v="0"/>
    <x v="18"/>
    <x v="7"/>
    <x v="15"/>
    <s v="NO5_A1"/>
    <x v="12"/>
    <n v="9.7995028997514597E-2"/>
    <n v="2.72208413881985E-2"/>
  </r>
  <r>
    <x v="0"/>
    <x v="18"/>
    <x v="7"/>
    <x v="15"/>
    <s v="NO5_A1"/>
    <x v="13"/>
    <n v="24.3419652029826"/>
    <n v="6.7616570008285004"/>
  </r>
  <r>
    <x v="0"/>
    <x v="18"/>
    <x v="7"/>
    <x v="15"/>
    <s v="NO5_A1"/>
    <x v="14"/>
    <n v="24.3419652029826"/>
    <n v="6.7616570008285004"/>
  </r>
  <r>
    <x v="0"/>
    <x v="18"/>
    <x v="7"/>
    <x v="15"/>
    <s v="NO5_A1"/>
    <x v="15"/>
    <n v="1.65807589063794"/>
    <n v="0.46057663628831802"/>
  </r>
  <r>
    <x v="0"/>
    <x v="18"/>
    <x v="7"/>
    <x v="15"/>
    <s v="NO5_A1"/>
    <x v="16"/>
    <n v="6.7156619979650802"/>
    <n v="1.8654616661014101"/>
  </r>
  <r>
    <x v="0"/>
    <x v="18"/>
    <x v="7"/>
    <x v="15"/>
    <s v="NO5_A1"/>
    <x v="17"/>
    <n v="9.1244895875632395"/>
    <n v="2.5345804409897901"/>
  </r>
  <r>
    <x v="0"/>
    <x v="18"/>
    <x v="7"/>
    <x v="15"/>
    <s v="NO5_A1"/>
    <x v="18"/>
    <n v="24.3419652029826"/>
    <n v="6.7616570008285004"/>
  </r>
  <r>
    <x v="0"/>
    <x v="18"/>
    <x v="7"/>
    <x v="15"/>
    <s v="NO5_A1"/>
    <x v="19"/>
    <n v="8.1139884009941898"/>
    <n v="2.2538856669428302"/>
  </r>
  <r>
    <x v="0"/>
    <x v="18"/>
    <x v="7"/>
    <x v="15"/>
    <s v="NO5_A1"/>
    <x v="20"/>
    <n v="21.431396138420201"/>
    <n v="5.9531655940056103"/>
  </r>
  <r>
    <x v="0"/>
    <x v="18"/>
    <x v="7"/>
    <x v="15"/>
    <s v="NO5_A1"/>
    <x v="28"/>
    <n v="41.38758"/>
    <n v="11.496549999999999"/>
  </r>
  <r>
    <x v="0"/>
    <x v="18"/>
    <x v="7"/>
    <x v="15"/>
    <s v="NO5_A1"/>
    <x v="21"/>
    <n v="48.24"/>
    <n v="13.4"/>
  </r>
  <r>
    <x v="0"/>
    <x v="18"/>
    <x v="7"/>
    <x v="15"/>
    <s v="NO5_A1"/>
    <x v="22"/>
    <n v="67.680000000000007"/>
    <n v="18.8"/>
  </r>
  <r>
    <x v="0"/>
    <x v="18"/>
    <x v="7"/>
    <x v="15"/>
    <s v="NO5_A1"/>
    <x v="23"/>
    <n v="0.31515896120488701"/>
    <n v="8.7544155890246306E-2"/>
  </r>
  <r>
    <x v="0"/>
    <x v="18"/>
    <x v="7"/>
    <x v="15"/>
    <s v="NO5_A1"/>
    <x v="24"/>
    <n v="19.174223581093901"/>
    <n v="5.32617321697054"/>
  </r>
  <r>
    <x v="0"/>
    <x v="18"/>
    <x v="7"/>
    <x v="15"/>
    <s v="NO5_A1"/>
    <x v="25"/>
    <n v="25.064747068787099"/>
    <n v="6.9624297413297498"/>
  </r>
  <r>
    <x v="0"/>
    <x v="18"/>
    <x v="7"/>
    <x v="15"/>
    <s v="NO5_A1"/>
    <x v="26"/>
    <n v="32.516643167392601"/>
    <n v="9.03240087983127"/>
  </r>
  <r>
    <x v="0"/>
    <x v="18"/>
    <x v="7"/>
    <x v="15"/>
    <s v="NO5_A1"/>
    <x v="27"/>
    <n v="20.163995508318798"/>
    <n v="5.6011098634218799"/>
  </r>
  <r>
    <x v="0"/>
    <x v="18"/>
    <x v="7"/>
    <x v="15"/>
    <s v="NO5_A2"/>
    <x v="1"/>
    <n v="35.989199999999997"/>
    <n v="9.9969999999999999"/>
  </r>
  <r>
    <x v="0"/>
    <x v="18"/>
    <x v="7"/>
    <x v="15"/>
    <s v="NO5_A2"/>
    <x v="2"/>
    <n v="2.52"/>
    <n v="0.7"/>
  </r>
  <r>
    <x v="0"/>
    <x v="18"/>
    <x v="7"/>
    <x v="15"/>
    <s v="NO5_A2"/>
    <x v="0"/>
    <n v="42.692399999999999"/>
    <n v="11.859"/>
  </r>
  <r>
    <x v="0"/>
    <x v="18"/>
    <x v="7"/>
    <x v="15"/>
    <s v="NO5_A2"/>
    <x v="3"/>
    <n v="51.633543144067197"/>
    <n v="14.342650873352"/>
  </r>
  <r>
    <x v="0"/>
    <x v="18"/>
    <x v="7"/>
    <x v="15"/>
    <s v="NO5_A2"/>
    <x v="4"/>
    <n v="15.1696304888152"/>
    <n v="4.21378624689312"/>
  </r>
  <r>
    <x v="0"/>
    <x v="18"/>
    <x v="7"/>
    <x v="15"/>
    <s v="NO5_A2"/>
    <x v="5"/>
    <n v="15.1696304888152"/>
    <n v="4.21378624689312"/>
  </r>
  <r>
    <x v="0"/>
    <x v="18"/>
    <x v="7"/>
    <x v="15"/>
    <s v="NO5_A2"/>
    <x v="6"/>
    <n v="29.476231795214598"/>
    <n v="8.1878421653373898"/>
  </r>
  <r>
    <x v="0"/>
    <x v="18"/>
    <x v="7"/>
    <x v="15"/>
    <s v="NO5_A2"/>
    <x v="7"/>
    <n v="57.838935220261199"/>
    <n v="16.066370894517"/>
  </r>
  <r>
    <x v="0"/>
    <x v="18"/>
    <x v="7"/>
    <x v="15"/>
    <s v="NO5_A2"/>
    <x v="8"/>
    <n v="57.838935220261199"/>
    <n v="16.066370894517"/>
  </r>
  <r>
    <x v="0"/>
    <x v="18"/>
    <x v="7"/>
    <x v="15"/>
    <s v="NO5_A2"/>
    <x v="9"/>
    <n v="51.506187241093599"/>
    <n v="14.3072742336371"/>
  </r>
  <r>
    <x v="0"/>
    <x v="18"/>
    <x v="7"/>
    <x v="15"/>
    <s v="NO5_A2"/>
    <x v="10"/>
    <n v="72.320331400165799"/>
    <n v="20.088980944490501"/>
  </r>
  <r>
    <x v="0"/>
    <x v="18"/>
    <x v="7"/>
    <x v="15"/>
    <s v="NO5_A2"/>
    <x v="11"/>
    <n v="8.1139884009941898"/>
    <n v="2.2538856669428302"/>
  </r>
  <r>
    <x v="0"/>
    <x v="18"/>
    <x v="7"/>
    <x v="15"/>
    <s v="NO5_A2"/>
    <x v="12"/>
    <n v="9.7995028997514597E-2"/>
    <n v="2.72208413881985E-2"/>
  </r>
  <r>
    <x v="0"/>
    <x v="18"/>
    <x v="7"/>
    <x v="15"/>
    <s v="NO5_A2"/>
    <x v="13"/>
    <n v="24.3419652029826"/>
    <n v="6.7616570008285004"/>
  </r>
  <r>
    <x v="0"/>
    <x v="18"/>
    <x v="7"/>
    <x v="15"/>
    <s v="NO5_A2"/>
    <x v="14"/>
    <n v="24.3419652029826"/>
    <n v="6.7616570008285004"/>
  </r>
  <r>
    <x v="0"/>
    <x v="18"/>
    <x v="7"/>
    <x v="15"/>
    <s v="NO5_A2"/>
    <x v="15"/>
    <n v="1.65807589063794"/>
    <n v="0.46057663628831802"/>
  </r>
  <r>
    <x v="0"/>
    <x v="18"/>
    <x v="7"/>
    <x v="15"/>
    <s v="NO5_A2"/>
    <x v="16"/>
    <n v="6.7156619979650802"/>
    <n v="1.8654616661014101"/>
  </r>
  <r>
    <x v="0"/>
    <x v="18"/>
    <x v="7"/>
    <x v="15"/>
    <s v="NO5_A2"/>
    <x v="17"/>
    <n v="9.1244895875632395"/>
    <n v="2.5345804409897901"/>
  </r>
  <r>
    <x v="0"/>
    <x v="18"/>
    <x v="7"/>
    <x v="15"/>
    <s v="NO5_A2"/>
    <x v="18"/>
    <n v="24.3419652029826"/>
    <n v="6.7616570008285004"/>
  </r>
  <r>
    <x v="0"/>
    <x v="18"/>
    <x v="7"/>
    <x v="15"/>
    <s v="NO5_A2"/>
    <x v="19"/>
    <n v="8.1139884009941898"/>
    <n v="2.2538856669428302"/>
  </r>
  <r>
    <x v="0"/>
    <x v="18"/>
    <x v="7"/>
    <x v="15"/>
    <s v="NO5_A2"/>
    <x v="20"/>
    <n v="21.431396138420201"/>
    <n v="5.9531655940056103"/>
  </r>
  <r>
    <x v="0"/>
    <x v="18"/>
    <x v="7"/>
    <x v="15"/>
    <s v="NO5_A2"/>
    <x v="28"/>
    <n v="41.38758"/>
    <n v="11.496549999999999"/>
  </r>
  <r>
    <x v="0"/>
    <x v="18"/>
    <x v="7"/>
    <x v="15"/>
    <s v="NO5_A2"/>
    <x v="21"/>
    <n v="48.24"/>
    <n v="13.4"/>
  </r>
  <r>
    <x v="0"/>
    <x v="18"/>
    <x v="7"/>
    <x v="15"/>
    <s v="NO5_A2"/>
    <x v="22"/>
    <n v="67.680000000000007"/>
    <n v="18.8"/>
  </r>
  <r>
    <x v="0"/>
    <x v="18"/>
    <x v="7"/>
    <x v="15"/>
    <s v="NO5_A2"/>
    <x v="23"/>
    <n v="0.31515896120488701"/>
    <n v="8.7544155890246306E-2"/>
  </r>
  <r>
    <x v="0"/>
    <x v="18"/>
    <x v="7"/>
    <x v="15"/>
    <s v="NO5_A2"/>
    <x v="24"/>
    <n v="19.174223581093901"/>
    <n v="5.32617321697054"/>
  </r>
  <r>
    <x v="0"/>
    <x v="18"/>
    <x v="7"/>
    <x v="15"/>
    <s v="NO5_A2"/>
    <x v="25"/>
    <n v="25.064747068787099"/>
    <n v="6.9624297413297498"/>
  </r>
  <r>
    <x v="0"/>
    <x v="18"/>
    <x v="7"/>
    <x v="15"/>
    <s v="NO5_A2"/>
    <x v="26"/>
    <n v="32.516643167392601"/>
    <n v="9.03240087983127"/>
  </r>
  <r>
    <x v="0"/>
    <x v="18"/>
    <x v="7"/>
    <x v="15"/>
    <s v="NO5_A2"/>
    <x v="27"/>
    <n v="20.163995508318798"/>
    <n v="5.6011098634218799"/>
  </r>
  <r>
    <x v="0"/>
    <x v="18"/>
    <x v="7"/>
    <x v="15"/>
    <s v="NO5_Offshore"/>
    <x v="1"/>
    <n v="35.989199999999997"/>
    <n v="9.9969999999999999"/>
  </r>
  <r>
    <x v="0"/>
    <x v="18"/>
    <x v="7"/>
    <x v="15"/>
    <s v="NO5_Offshore"/>
    <x v="2"/>
    <n v="2.52"/>
    <n v="0.7"/>
  </r>
  <r>
    <x v="0"/>
    <x v="18"/>
    <x v="7"/>
    <x v="15"/>
    <s v="NO5_Offshore"/>
    <x v="0"/>
    <n v="42.692399999999999"/>
    <n v="11.859"/>
  </r>
  <r>
    <x v="0"/>
    <x v="18"/>
    <x v="7"/>
    <x v="15"/>
    <s v="NO5_Offshore"/>
    <x v="3"/>
    <n v="51.633543144067197"/>
    <n v="14.342650873352"/>
  </r>
  <r>
    <x v="0"/>
    <x v="18"/>
    <x v="7"/>
    <x v="15"/>
    <s v="NO5_Offshore"/>
    <x v="4"/>
    <n v="15.1696304888152"/>
    <n v="4.21378624689312"/>
  </r>
  <r>
    <x v="0"/>
    <x v="18"/>
    <x v="7"/>
    <x v="15"/>
    <s v="NO5_Offshore"/>
    <x v="5"/>
    <n v="15.1696304888152"/>
    <n v="4.21378624689312"/>
  </r>
  <r>
    <x v="0"/>
    <x v="18"/>
    <x v="7"/>
    <x v="15"/>
    <s v="NO5_Offshore"/>
    <x v="6"/>
    <n v="29.476231795214598"/>
    <n v="8.1878421653373898"/>
  </r>
  <r>
    <x v="0"/>
    <x v="18"/>
    <x v="7"/>
    <x v="15"/>
    <s v="NO5_Offshore"/>
    <x v="7"/>
    <n v="57.838935220261199"/>
    <n v="16.066370894517"/>
  </r>
  <r>
    <x v="0"/>
    <x v="18"/>
    <x v="7"/>
    <x v="15"/>
    <s v="NO5_Offshore"/>
    <x v="8"/>
    <n v="57.838935220261199"/>
    <n v="16.066370894517"/>
  </r>
  <r>
    <x v="0"/>
    <x v="18"/>
    <x v="7"/>
    <x v="15"/>
    <s v="NO5_Offshore"/>
    <x v="9"/>
    <n v="51.506187241093599"/>
    <n v="14.3072742336371"/>
  </r>
  <r>
    <x v="0"/>
    <x v="18"/>
    <x v="7"/>
    <x v="15"/>
    <s v="NO5_Offshore"/>
    <x v="10"/>
    <n v="72.320331400165799"/>
    <n v="20.088980944490501"/>
  </r>
  <r>
    <x v="0"/>
    <x v="18"/>
    <x v="7"/>
    <x v="15"/>
    <s v="NO5_Offshore"/>
    <x v="11"/>
    <n v="8.1139884009941898"/>
    <n v="2.2538856669428302"/>
  </r>
  <r>
    <x v="0"/>
    <x v="18"/>
    <x v="7"/>
    <x v="15"/>
    <s v="NO5_Offshore"/>
    <x v="12"/>
    <n v="9.7995028997514597E-2"/>
    <n v="2.72208413881985E-2"/>
  </r>
  <r>
    <x v="0"/>
    <x v="18"/>
    <x v="7"/>
    <x v="15"/>
    <s v="NO5_Offshore"/>
    <x v="13"/>
    <n v="24.3419652029826"/>
    <n v="6.7616570008285004"/>
  </r>
  <r>
    <x v="0"/>
    <x v="18"/>
    <x v="7"/>
    <x v="15"/>
    <s v="NO5_Offshore"/>
    <x v="14"/>
    <n v="24.3419652029826"/>
    <n v="6.7616570008285004"/>
  </r>
  <r>
    <x v="0"/>
    <x v="18"/>
    <x v="7"/>
    <x v="15"/>
    <s v="NO5_Offshore"/>
    <x v="15"/>
    <n v="1.65807589063794"/>
    <n v="0.46057663628831802"/>
  </r>
  <r>
    <x v="0"/>
    <x v="18"/>
    <x v="7"/>
    <x v="15"/>
    <s v="NO5_Offshore"/>
    <x v="16"/>
    <n v="6.7156619979650802"/>
    <n v="1.8654616661014101"/>
  </r>
  <r>
    <x v="0"/>
    <x v="18"/>
    <x v="7"/>
    <x v="15"/>
    <s v="NO5_Offshore"/>
    <x v="17"/>
    <n v="9.1244895875632395"/>
    <n v="2.5345804409897901"/>
  </r>
  <r>
    <x v="0"/>
    <x v="18"/>
    <x v="7"/>
    <x v="15"/>
    <s v="NO5_Offshore"/>
    <x v="18"/>
    <n v="24.3419652029826"/>
    <n v="6.7616570008285004"/>
  </r>
  <r>
    <x v="0"/>
    <x v="18"/>
    <x v="7"/>
    <x v="15"/>
    <s v="NO5_Offshore"/>
    <x v="19"/>
    <n v="8.1139884009941898"/>
    <n v="2.2538856669428302"/>
  </r>
  <r>
    <x v="0"/>
    <x v="18"/>
    <x v="7"/>
    <x v="15"/>
    <s v="NO5_Offshore"/>
    <x v="20"/>
    <n v="21.431396138420201"/>
    <n v="5.9531655940056103"/>
  </r>
  <r>
    <x v="0"/>
    <x v="18"/>
    <x v="7"/>
    <x v="15"/>
    <s v="NO5_Offshore"/>
    <x v="28"/>
    <n v="41.38758"/>
    <n v="11.496549999999999"/>
  </r>
  <r>
    <x v="0"/>
    <x v="18"/>
    <x v="7"/>
    <x v="15"/>
    <s v="NO5_Offshore"/>
    <x v="21"/>
    <n v="48.24"/>
    <n v="13.4"/>
  </r>
  <r>
    <x v="0"/>
    <x v="18"/>
    <x v="7"/>
    <x v="15"/>
    <s v="NO5_Offshore"/>
    <x v="22"/>
    <n v="67.680000000000007"/>
    <n v="18.8"/>
  </r>
  <r>
    <x v="0"/>
    <x v="18"/>
    <x v="7"/>
    <x v="15"/>
    <s v="NO5_Offshore"/>
    <x v="23"/>
    <n v="0.31515896120488701"/>
    <n v="8.7544155890246306E-2"/>
  </r>
  <r>
    <x v="0"/>
    <x v="18"/>
    <x v="7"/>
    <x v="15"/>
    <s v="NO5_Offshore"/>
    <x v="24"/>
    <n v="19.174223581093901"/>
    <n v="5.32617321697054"/>
  </r>
  <r>
    <x v="0"/>
    <x v="18"/>
    <x v="7"/>
    <x v="15"/>
    <s v="NO5_Offshore"/>
    <x v="25"/>
    <n v="25.064747068787099"/>
    <n v="6.9624297413297498"/>
  </r>
  <r>
    <x v="0"/>
    <x v="18"/>
    <x v="7"/>
    <x v="15"/>
    <s v="NO5_Offshore"/>
    <x v="26"/>
    <n v="32.516643167392601"/>
    <n v="9.03240087983127"/>
  </r>
  <r>
    <x v="0"/>
    <x v="18"/>
    <x v="7"/>
    <x v="15"/>
    <s v="NO5_Offshore"/>
    <x v="27"/>
    <n v="20.163995508318798"/>
    <n v="5.6011098634218799"/>
  </r>
  <r>
    <x v="0"/>
    <x v="18"/>
    <x v="8"/>
    <x v="16"/>
    <s v="PL_A"/>
    <x v="1"/>
    <n v="35.989199999999997"/>
    <n v="9.9969999999999999"/>
  </r>
  <r>
    <x v="0"/>
    <x v="18"/>
    <x v="8"/>
    <x v="16"/>
    <s v="PL_A"/>
    <x v="2"/>
    <n v="2.52"/>
    <n v="0.7"/>
  </r>
  <r>
    <x v="0"/>
    <x v="18"/>
    <x v="8"/>
    <x v="16"/>
    <s v="PL_A"/>
    <x v="0"/>
    <n v="42.692399999999999"/>
    <n v="11.859"/>
  </r>
  <r>
    <x v="0"/>
    <x v="18"/>
    <x v="8"/>
    <x v="16"/>
    <s v="PL_A"/>
    <x v="3"/>
    <n v="51.633543144067197"/>
    <n v="14.342650873352"/>
  </r>
  <r>
    <x v="0"/>
    <x v="18"/>
    <x v="8"/>
    <x v="16"/>
    <s v="PL_A"/>
    <x v="4"/>
    <n v="15.1696304888152"/>
    <n v="4.21378624689312"/>
  </r>
  <r>
    <x v="0"/>
    <x v="18"/>
    <x v="8"/>
    <x v="16"/>
    <s v="PL_A"/>
    <x v="5"/>
    <n v="15.1696304888152"/>
    <n v="4.21378624689312"/>
  </r>
  <r>
    <x v="0"/>
    <x v="18"/>
    <x v="8"/>
    <x v="16"/>
    <s v="PL_A"/>
    <x v="6"/>
    <n v="29.476231795214598"/>
    <n v="8.1878421653373898"/>
  </r>
  <r>
    <x v="0"/>
    <x v="18"/>
    <x v="8"/>
    <x v="16"/>
    <s v="PL_A"/>
    <x v="7"/>
    <n v="57.838935220261199"/>
    <n v="16.066370894517"/>
  </r>
  <r>
    <x v="0"/>
    <x v="18"/>
    <x v="8"/>
    <x v="16"/>
    <s v="PL_A"/>
    <x v="8"/>
    <n v="57.838935220261199"/>
    <n v="16.066370894517"/>
  </r>
  <r>
    <x v="0"/>
    <x v="18"/>
    <x v="8"/>
    <x v="16"/>
    <s v="PL_A"/>
    <x v="9"/>
    <n v="51.506187241093599"/>
    <n v="14.3072742336371"/>
  </r>
  <r>
    <x v="0"/>
    <x v="18"/>
    <x v="8"/>
    <x v="16"/>
    <s v="PL_A"/>
    <x v="10"/>
    <n v="72.320331400165799"/>
    <n v="20.088980944490501"/>
  </r>
  <r>
    <x v="0"/>
    <x v="18"/>
    <x v="8"/>
    <x v="16"/>
    <s v="PL_A"/>
    <x v="11"/>
    <n v="8.1139884009941898"/>
    <n v="2.2538856669428302"/>
  </r>
  <r>
    <x v="0"/>
    <x v="18"/>
    <x v="8"/>
    <x v="16"/>
    <s v="PL_A"/>
    <x v="12"/>
    <n v="9.7995028997514597E-2"/>
    <n v="2.72208413881985E-2"/>
  </r>
  <r>
    <x v="0"/>
    <x v="18"/>
    <x v="8"/>
    <x v="16"/>
    <s v="PL_A"/>
    <x v="13"/>
    <n v="24.3419652029826"/>
    <n v="6.7616570008285004"/>
  </r>
  <r>
    <x v="0"/>
    <x v="18"/>
    <x v="8"/>
    <x v="16"/>
    <s v="PL_A"/>
    <x v="14"/>
    <n v="24.3419652029826"/>
    <n v="6.7616570008285004"/>
  </r>
  <r>
    <x v="0"/>
    <x v="18"/>
    <x v="8"/>
    <x v="16"/>
    <s v="PL_A"/>
    <x v="15"/>
    <n v="1.65807589063794"/>
    <n v="0.46057663628831802"/>
  </r>
  <r>
    <x v="0"/>
    <x v="18"/>
    <x v="8"/>
    <x v="16"/>
    <s v="PL_A"/>
    <x v="16"/>
    <n v="6.7156619979650802"/>
    <n v="1.8654616661014101"/>
  </r>
  <r>
    <x v="0"/>
    <x v="18"/>
    <x v="8"/>
    <x v="16"/>
    <s v="PL_A"/>
    <x v="17"/>
    <n v="9.1244895875632395"/>
    <n v="2.5345804409897901"/>
  </r>
  <r>
    <x v="0"/>
    <x v="18"/>
    <x v="8"/>
    <x v="16"/>
    <s v="PL_A"/>
    <x v="18"/>
    <n v="24.3419652029826"/>
    <n v="6.7616570008285004"/>
  </r>
  <r>
    <x v="0"/>
    <x v="18"/>
    <x v="8"/>
    <x v="16"/>
    <s v="PL_A"/>
    <x v="19"/>
    <n v="8.1139884009941898"/>
    <n v="2.2538856669428302"/>
  </r>
  <r>
    <x v="0"/>
    <x v="18"/>
    <x v="8"/>
    <x v="16"/>
    <s v="PL_A"/>
    <x v="20"/>
    <n v="21.431396138420201"/>
    <n v="5.9531655940056103"/>
  </r>
  <r>
    <x v="0"/>
    <x v="18"/>
    <x v="8"/>
    <x v="16"/>
    <s v="PL_A"/>
    <x v="28"/>
    <n v="41.38758"/>
    <n v="11.496549999999999"/>
  </r>
  <r>
    <x v="0"/>
    <x v="18"/>
    <x v="8"/>
    <x v="16"/>
    <s v="PL_A"/>
    <x v="21"/>
    <n v="48.24"/>
    <n v="13.4"/>
  </r>
  <r>
    <x v="0"/>
    <x v="18"/>
    <x v="8"/>
    <x v="16"/>
    <s v="PL_A"/>
    <x v="22"/>
    <n v="67.680000000000007"/>
    <n v="18.8"/>
  </r>
  <r>
    <x v="0"/>
    <x v="18"/>
    <x v="8"/>
    <x v="16"/>
    <s v="PL_A"/>
    <x v="23"/>
    <n v="0.31515896120488701"/>
    <n v="8.7544155890246306E-2"/>
  </r>
  <r>
    <x v="0"/>
    <x v="18"/>
    <x v="8"/>
    <x v="16"/>
    <s v="PL_A"/>
    <x v="24"/>
    <n v="19.174223581093901"/>
    <n v="5.32617321697054"/>
  </r>
  <r>
    <x v="0"/>
    <x v="18"/>
    <x v="8"/>
    <x v="16"/>
    <s v="PL_A"/>
    <x v="25"/>
    <n v="25.064747068787099"/>
    <n v="6.9624297413297498"/>
  </r>
  <r>
    <x v="0"/>
    <x v="18"/>
    <x v="8"/>
    <x v="16"/>
    <s v="PL_A"/>
    <x v="26"/>
    <n v="32.516643167392601"/>
    <n v="9.03240087983127"/>
  </r>
  <r>
    <x v="0"/>
    <x v="18"/>
    <x v="8"/>
    <x v="16"/>
    <s v="PL_A"/>
    <x v="27"/>
    <n v="20.163995508318798"/>
    <n v="5.6011098634218799"/>
  </r>
  <r>
    <x v="0"/>
    <x v="18"/>
    <x v="8"/>
    <x v="16"/>
    <s v="PL_OFFSHORE"/>
    <x v="1"/>
    <n v="35.989199999999997"/>
    <n v="9.9969999999999999"/>
  </r>
  <r>
    <x v="0"/>
    <x v="18"/>
    <x v="8"/>
    <x v="16"/>
    <s v="PL_OFFSHORE"/>
    <x v="2"/>
    <n v="2.52"/>
    <n v="0.7"/>
  </r>
  <r>
    <x v="0"/>
    <x v="18"/>
    <x v="8"/>
    <x v="16"/>
    <s v="PL_OFFSHORE"/>
    <x v="0"/>
    <n v="42.692399999999999"/>
    <n v="11.859"/>
  </r>
  <r>
    <x v="0"/>
    <x v="18"/>
    <x v="8"/>
    <x v="16"/>
    <s v="PL_OFFSHORE"/>
    <x v="3"/>
    <n v="51.633543144067197"/>
    <n v="14.342650873352"/>
  </r>
  <r>
    <x v="0"/>
    <x v="18"/>
    <x v="8"/>
    <x v="16"/>
    <s v="PL_OFFSHORE"/>
    <x v="4"/>
    <n v="15.1696304888152"/>
    <n v="4.21378624689312"/>
  </r>
  <r>
    <x v="0"/>
    <x v="18"/>
    <x v="8"/>
    <x v="16"/>
    <s v="PL_OFFSHORE"/>
    <x v="5"/>
    <n v="15.1696304888152"/>
    <n v="4.21378624689312"/>
  </r>
  <r>
    <x v="0"/>
    <x v="18"/>
    <x v="8"/>
    <x v="16"/>
    <s v="PL_OFFSHORE"/>
    <x v="6"/>
    <n v="29.476231795214598"/>
    <n v="8.1878421653373898"/>
  </r>
  <r>
    <x v="0"/>
    <x v="18"/>
    <x v="8"/>
    <x v="16"/>
    <s v="PL_OFFSHORE"/>
    <x v="7"/>
    <n v="57.838935220261199"/>
    <n v="16.066370894517"/>
  </r>
  <r>
    <x v="0"/>
    <x v="18"/>
    <x v="8"/>
    <x v="16"/>
    <s v="PL_OFFSHORE"/>
    <x v="8"/>
    <n v="57.838935220261199"/>
    <n v="16.066370894517"/>
  </r>
  <r>
    <x v="0"/>
    <x v="18"/>
    <x v="8"/>
    <x v="16"/>
    <s v="PL_OFFSHORE"/>
    <x v="9"/>
    <n v="51.506187241093599"/>
    <n v="14.3072742336371"/>
  </r>
  <r>
    <x v="0"/>
    <x v="18"/>
    <x v="8"/>
    <x v="16"/>
    <s v="PL_OFFSHORE"/>
    <x v="10"/>
    <n v="72.320331400165799"/>
    <n v="20.088980944490501"/>
  </r>
  <r>
    <x v="0"/>
    <x v="18"/>
    <x v="8"/>
    <x v="16"/>
    <s v="PL_OFFSHORE"/>
    <x v="11"/>
    <n v="8.1139884009941898"/>
    <n v="2.2538856669428302"/>
  </r>
  <r>
    <x v="0"/>
    <x v="18"/>
    <x v="8"/>
    <x v="16"/>
    <s v="PL_OFFSHORE"/>
    <x v="12"/>
    <n v="9.7995028997514597E-2"/>
    <n v="2.72208413881985E-2"/>
  </r>
  <r>
    <x v="0"/>
    <x v="18"/>
    <x v="8"/>
    <x v="16"/>
    <s v="PL_OFFSHORE"/>
    <x v="13"/>
    <n v="24.3419652029826"/>
    <n v="6.7616570008285004"/>
  </r>
  <r>
    <x v="0"/>
    <x v="18"/>
    <x v="8"/>
    <x v="16"/>
    <s v="PL_OFFSHORE"/>
    <x v="14"/>
    <n v="24.3419652029826"/>
    <n v="6.7616570008285004"/>
  </r>
  <r>
    <x v="0"/>
    <x v="18"/>
    <x v="8"/>
    <x v="16"/>
    <s v="PL_OFFSHORE"/>
    <x v="15"/>
    <n v="1.65807589063794"/>
    <n v="0.46057663628831802"/>
  </r>
  <r>
    <x v="0"/>
    <x v="18"/>
    <x v="8"/>
    <x v="16"/>
    <s v="PL_OFFSHORE"/>
    <x v="16"/>
    <n v="6.7156619979650802"/>
    <n v="1.8654616661014101"/>
  </r>
  <r>
    <x v="0"/>
    <x v="18"/>
    <x v="8"/>
    <x v="16"/>
    <s v="PL_OFFSHORE"/>
    <x v="17"/>
    <n v="9.1244895875632395"/>
    <n v="2.5345804409897901"/>
  </r>
  <r>
    <x v="0"/>
    <x v="18"/>
    <x v="8"/>
    <x v="16"/>
    <s v="PL_OFFSHORE"/>
    <x v="18"/>
    <n v="24.3419652029826"/>
    <n v="6.7616570008285004"/>
  </r>
  <r>
    <x v="0"/>
    <x v="18"/>
    <x v="8"/>
    <x v="16"/>
    <s v="PL_OFFSHORE"/>
    <x v="19"/>
    <n v="8.1139884009941898"/>
    <n v="2.2538856669428302"/>
  </r>
  <r>
    <x v="0"/>
    <x v="18"/>
    <x v="8"/>
    <x v="16"/>
    <s v="PL_OFFSHORE"/>
    <x v="20"/>
    <n v="21.431396138420201"/>
    <n v="5.9531655940056103"/>
  </r>
  <r>
    <x v="0"/>
    <x v="18"/>
    <x v="8"/>
    <x v="16"/>
    <s v="PL_OFFSHORE"/>
    <x v="28"/>
    <n v="41.38758"/>
    <n v="11.496549999999999"/>
  </r>
  <r>
    <x v="0"/>
    <x v="18"/>
    <x v="8"/>
    <x v="16"/>
    <s v="PL_OFFSHORE"/>
    <x v="21"/>
    <n v="48.24"/>
    <n v="13.4"/>
  </r>
  <r>
    <x v="0"/>
    <x v="18"/>
    <x v="8"/>
    <x v="16"/>
    <s v="PL_OFFSHORE"/>
    <x v="22"/>
    <n v="67.680000000000007"/>
    <n v="18.8"/>
  </r>
  <r>
    <x v="0"/>
    <x v="18"/>
    <x v="8"/>
    <x v="16"/>
    <s v="PL_OFFSHORE"/>
    <x v="23"/>
    <n v="0.31515896120488701"/>
    <n v="8.7544155890246306E-2"/>
  </r>
  <r>
    <x v="0"/>
    <x v="18"/>
    <x v="8"/>
    <x v="16"/>
    <s v="PL_OFFSHORE"/>
    <x v="24"/>
    <n v="19.174223581093901"/>
    <n v="5.32617321697054"/>
  </r>
  <r>
    <x v="0"/>
    <x v="18"/>
    <x v="8"/>
    <x v="16"/>
    <s v="PL_OFFSHORE"/>
    <x v="25"/>
    <n v="25.064747068787099"/>
    <n v="6.9624297413297498"/>
  </r>
  <r>
    <x v="0"/>
    <x v="18"/>
    <x v="8"/>
    <x v="16"/>
    <s v="PL_OFFSHORE"/>
    <x v="26"/>
    <n v="32.516643167392601"/>
    <n v="9.03240087983127"/>
  </r>
  <r>
    <x v="0"/>
    <x v="18"/>
    <x v="8"/>
    <x v="16"/>
    <s v="PL_OFFSHORE"/>
    <x v="27"/>
    <n v="20.163995508318798"/>
    <n v="5.6011098634218799"/>
  </r>
  <r>
    <x v="0"/>
    <x v="18"/>
    <x v="8"/>
    <x v="16"/>
    <s v="PL_Rural"/>
    <x v="1"/>
    <n v="35.989199999999997"/>
    <n v="9.9969999999999999"/>
  </r>
  <r>
    <x v="0"/>
    <x v="18"/>
    <x v="8"/>
    <x v="16"/>
    <s v="PL_Rural"/>
    <x v="2"/>
    <n v="2.52"/>
    <n v="0.7"/>
  </r>
  <r>
    <x v="0"/>
    <x v="18"/>
    <x v="8"/>
    <x v="16"/>
    <s v="PL_Rural"/>
    <x v="0"/>
    <n v="42.692399999999999"/>
    <n v="11.859"/>
  </r>
  <r>
    <x v="0"/>
    <x v="18"/>
    <x v="8"/>
    <x v="16"/>
    <s v="PL_Rural"/>
    <x v="3"/>
    <n v="51.633543144067197"/>
    <n v="14.342650873352"/>
  </r>
  <r>
    <x v="0"/>
    <x v="18"/>
    <x v="8"/>
    <x v="16"/>
    <s v="PL_Rural"/>
    <x v="4"/>
    <n v="15.1696304888152"/>
    <n v="4.21378624689312"/>
  </r>
  <r>
    <x v="0"/>
    <x v="18"/>
    <x v="8"/>
    <x v="16"/>
    <s v="PL_Rural"/>
    <x v="5"/>
    <n v="15.1696304888152"/>
    <n v="4.21378624689312"/>
  </r>
  <r>
    <x v="0"/>
    <x v="18"/>
    <x v="8"/>
    <x v="16"/>
    <s v="PL_Rural"/>
    <x v="6"/>
    <n v="29.476231795214598"/>
    <n v="8.1878421653373898"/>
  </r>
  <r>
    <x v="0"/>
    <x v="18"/>
    <x v="8"/>
    <x v="16"/>
    <s v="PL_Rural"/>
    <x v="7"/>
    <n v="57.838935220261199"/>
    <n v="16.066370894517"/>
  </r>
  <r>
    <x v="0"/>
    <x v="18"/>
    <x v="8"/>
    <x v="16"/>
    <s v="PL_Rural"/>
    <x v="8"/>
    <n v="57.838935220261199"/>
    <n v="16.066370894517"/>
  </r>
  <r>
    <x v="0"/>
    <x v="18"/>
    <x v="8"/>
    <x v="16"/>
    <s v="PL_Rural"/>
    <x v="9"/>
    <n v="51.506187241093599"/>
    <n v="14.3072742336371"/>
  </r>
  <r>
    <x v="0"/>
    <x v="18"/>
    <x v="8"/>
    <x v="16"/>
    <s v="PL_Rural"/>
    <x v="10"/>
    <n v="72.320331400165799"/>
    <n v="20.088980944490501"/>
  </r>
  <r>
    <x v="0"/>
    <x v="18"/>
    <x v="8"/>
    <x v="16"/>
    <s v="PL_Rural"/>
    <x v="11"/>
    <n v="8.1139884009941898"/>
    <n v="2.2538856669428302"/>
  </r>
  <r>
    <x v="0"/>
    <x v="18"/>
    <x v="8"/>
    <x v="16"/>
    <s v="PL_Rural"/>
    <x v="12"/>
    <n v="9.7995028997514597E-2"/>
    <n v="2.72208413881985E-2"/>
  </r>
  <r>
    <x v="0"/>
    <x v="18"/>
    <x v="8"/>
    <x v="16"/>
    <s v="PL_Rural"/>
    <x v="13"/>
    <n v="24.3419652029826"/>
    <n v="6.7616570008285004"/>
  </r>
  <r>
    <x v="0"/>
    <x v="18"/>
    <x v="8"/>
    <x v="16"/>
    <s v="PL_Rural"/>
    <x v="14"/>
    <n v="24.3419652029826"/>
    <n v="6.7616570008285004"/>
  </r>
  <r>
    <x v="0"/>
    <x v="18"/>
    <x v="8"/>
    <x v="16"/>
    <s v="PL_Rural"/>
    <x v="15"/>
    <n v="1.65807589063794"/>
    <n v="0.46057663628831802"/>
  </r>
  <r>
    <x v="0"/>
    <x v="18"/>
    <x v="8"/>
    <x v="16"/>
    <s v="PL_Rural"/>
    <x v="16"/>
    <n v="6.7156619979650802"/>
    <n v="1.8654616661014101"/>
  </r>
  <r>
    <x v="0"/>
    <x v="18"/>
    <x v="8"/>
    <x v="16"/>
    <s v="PL_Rural"/>
    <x v="17"/>
    <n v="9.1244895875632395"/>
    <n v="2.5345804409897901"/>
  </r>
  <r>
    <x v="0"/>
    <x v="18"/>
    <x v="8"/>
    <x v="16"/>
    <s v="PL_Rural"/>
    <x v="18"/>
    <n v="24.3419652029826"/>
    <n v="6.7616570008285004"/>
  </r>
  <r>
    <x v="0"/>
    <x v="18"/>
    <x v="8"/>
    <x v="16"/>
    <s v="PL_Rural"/>
    <x v="19"/>
    <n v="8.1139884009941898"/>
    <n v="2.2538856669428302"/>
  </r>
  <r>
    <x v="0"/>
    <x v="18"/>
    <x v="8"/>
    <x v="16"/>
    <s v="PL_Rural"/>
    <x v="20"/>
    <n v="21.431396138420201"/>
    <n v="5.9531655940056103"/>
  </r>
  <r>
    <x v="0"/>
    <x v="18"/>
    <x v="8"/>
    <x v="16"/>
    <s v="PL_Rural"/>
    <x v="28"/>
    <n v="41.38758"/>
    <n v="11.496549999999999"/>
  </r>
  <r>
    <x v="0"/>
    <x v="18"/>
    <x v="8"/>
    <x v="16"/>
    <s v="PL_Rural"/>
    <x v="21"/>
    <n v="48.24"/>
    <n v="13.4"/>
  </r>
  <r>
    <x v="0"/>
    <x v="18"/>
    <x v="8"/>
    <x v="16"/>
    <s v="PL_Rural"/>
    <x v="22"/>
    <n v="67.680000000000007"/>
    <n v="18.8"/>
  </r>
  <r>
    <x v="0"/>
    <x v="18"/>
    <x v="8"/>
    <x v="16"/>
    <s v="PL_Rural"/>
    <x v="23"/>
    <n v="0.31515896120488701"/>
    <n v="8.7544155890246306E-2"/>
  </r>
  <r>
    <x v="0"/>
    <x v="18"/>
    <x v="8"/>
    <x v="16"/>
    <s v="PL_Rural"/>
    <x v="24"/>
    <n v="19.174223581093901"/>
    <n v="5.32617321697054"/>
  </r>
  <r>
    <x v="0"/>
    <x v="18"/>
    <x v="8"/>
    <x v="16"/>
    <s v="PL_Rural"/>
    <x v="25"/>
    <n v="25.064747068787099"/>
    <n v="6.9624297413297498"/>
  </r>
  <r>
    <x v="0"/>
    <x v="18"/>
    <x v="8"/>
    <x v="16"/>
    <s v="PL_Rural"/>
    <x v="26"/>
    <n v="32.516643167392601"/>
    <n v="9.03240087983127"/>
  </r>
  <r>
    <x v="0"/>
    <x v="18"/>
    <x v="8"/>
    <x v="16"/>
    <s v="PL_Rural"/>
    <x v="27"/>
    <n v="20.163995508318798"/>
    <n v="5.6011098634218799"/>
  </r>
  <r>
    <x v="0"/>
    <x v="18"/>
    <x v="9"/>
    <x v="17"/>
    <s v="SE1A"/>
    <x v="1"/>
    <n v="35.989199999999997"/>
    <n v="9.9969999999999999"/>
  </r>
  <r>
    <x v="0"/>
    <x v="18"/>
    <x v="9"/>
    <x v="17"/>
    <s v="SE1A"/>
    <x v="2"/>
    <n v="2.52"/>
    <n v="0.7"/>
  </r>
  <r>
    <x v="0"/>
    <x v="18"/>
    <x v="9"/>
    <x v="17"/>
    <s v="SE1A"/>
    <x v="0"/>
    <n v="42.692399999999999"/>
    <n v="11.859"/>
  </r>
  <r>
    <x v="0"/>
    <x v="18"/>
    <x v="9"/>
    <x v="17"/>
    <s v="SE1A"/>
    <x v="3"/>
    <n v="51.633543144067197"/>
    <n v="14.342650873352"/>
  </r>
  <r>
    <x v="0"/>
    <x v="18"/>
    <x v="9"/>
    <x v="17"/>
    <s v="SE1A"/>
    <x v="4"/>
    <n v="15.1696304888152"/>
    <n v="4.21378624689312"/>
  </r>
  <r>
    <x v="0"/>
    <x v="18"/>
    <x v="9"/>
    <x v="17"/>
    <s v="SE1A"/>
    <x v="5"/>
    <n v="15.1696304888152"/>
    <n v="4.21378624689312"/>
  </r>
  <r>
    <x v="0"/>
    <x v="18"/>
    <x v="9"/>
    <x v="17"/>
    <s v="SE1A"/>
    <x v="6"/>
    <n v="29.476231795214598"/>
    <n v="8.1878421653373898"/>
  </r>
  <r>
    <x v="0"/>
    <x v="18"/>
    <x v="9"/>
    <x v="17"/>
    <s v="SE1A"/>
    <x v="7"/>
    <n v="57.838935220261199"/>
    <n v="16.066370894517"/>
  </r>
  <r>
    <x v="0"/>
    <x v="18"/>
    <x v="9"/>
    <x v="17"/>
    <s v="SE1A"/>
    <x v="8"/>
    <n v="57.838935220261199"/>
    <n v="16.066370894517"/>
  </r>
  <r>
    <x v="0"/>
    <x v="18"/>
    <x v="9"/>
    <x v="17"/>
    <s v="SE1A"/>
    <x v="9"/>
    <n v="51.506187241093599"/>
    <n v="14.3072742336371"/>
  </r>
  <r>
    <x v="0"/>
    <x v="18"/>
    <x v="9"/>
    <x v="17"/>
    <s v="SE1A"/>
    <x v="10"/>
    <n v="72.320331400165799"/>
    <n v="20.088980944490501"/>
  </r>
  <r>
    <x v="0"/>
    <x v="18"/>
    <x v="9"/>
    <x v="17"/>
    <s v="SE1A"/>
    <x v="11"/>
    <n v="8.1139884009941898"/>
    <n v="2.2538856669428302"/>
  </r>
  <r>
    <x v="0"/>
    <x v="18"/>
    <x v="9"/>
    <x v="17"/>
    <s v="SE1A"/>
    <x v="12"/>
    <n v="9.7995028997514597E-2"/>
    <n v="2.72208413881985E-2"/>
  </r>
  <r>
    <x v="0"/>
    <x v="18"/>
    <x v="9"/>
    <x v="17"/>
    <s v="SE1A"/>
    <x v="13"/>
    <n v="24.3419652029826"/>
    <n v="6.7616570008285004"/>
  </r>
  <r>
    <x v="0"/>
    <x v="18"/>
    <x v="9"/>
    <x v="17"/>
    <s v="SE1A"/>
    <x v="14"/>
    <n v="24.3419652029826"/>
    <n v="6.7616570008285004"/>
  </r>
  <r>
    <x v="0"/>
    <x v="18"/>
    <x v="9"/>
    <x v="17"/>
    <s v="SE1A"/>
    <x v="15"/>
    <n v="1.65807589063794"/>
    <n v="0.46057663628831802"/>
  </r>
  <r>
    <x v="0"/>
    <x v="18"/>
    <x v="9"/>
    <x v="17"/>
    <s v="SE1A"/>
    <x v="16"/>
    <n v="6.7156619979650802"/>
    <n v="1.8654616661014101"/>
  </r>
  <r>
    <x v="0"/>
    <x v="18"/>
    <x v="9"/>
    <x v="17"/>
    <s v="SE1A"/>
    <x v="17"/>
    <n v="9.1244895875632395"/>
    <n v="2.5345804409897901"/>
  </r>
  <r>
    <x v="0"/>
    <x v="18"/>
    <x v="9"/>
    <x v="17"/>
    <s v="SE1A"/>
    <x v="18"/>
    <n v="24.3419652029826"/>
    <n v="6.7616570008285004"/>
  </r>
  <r>
    <x v="0"/>
    <x v="18"/>
    <x v="9"/>
    <x v="17"/>
    <s v="SE1A"/>
    <x v="19"/>
    <n v="8.1139884009941898"/>
    <n v="2.2538856669428302"/>
  </r>
  <r>
    <x v="0"/>
    <x v="18"/>
    <x v="9"/>
    <x v="17"/>
    <s v="SE1A"/>
    <x v="20"/>
    <n v="21.431396138420201"/>
    <n v="5.9531655940056103"/>
  </r>
  <r>
    <x v="0"/>
    <x v="18"/>
    <x v="9"/>
    <x v="17"/>
    <s v="SE1A"/>
    <x v="28"/>
    <n v="41.38758"/>
    <n v="11.496549999999999"/>
  </r>
  <r>
    <x v="0"/>
    <x v="18"/>
    <x v="9"/>
    <x v="17"/>
    <s v="SE1A"/>
    <x v="21"/>
    <n v="48.24"/>
    <n v="13.4"/>
  </r>
  <r>
    <x v="0"/>
    <x v="18"/>
    <x v="9"/>
    <x v="17"/>
    <s v="SE1A"/>
    <x v="22"/>
    <n v="67.680000000000007"/>
    <n v="18.8"/>
  </r>
  <r>
    <x v="0"/>
    <x v="18"/>
    <x v="9"/>
    <x v="17"/>
    <s v="SE1A"/>
    <x v="23"/>
    <n v="0.31515896120488701"/>
    <n v="8.7544155890246306E-2"/>
  </r>
  <r>
    <x v="0"/>
    <x v="18"/>
    <x v="9"/>
    <x v="17"/>
    <s v="SE1A"/>
    <x v="24"/>
    <n v="19.174223581093901"/>
    <n v="5.32617321697054"/>
  </r>
  <r>
    <x v="0"/>
    <x v="18"/>
    <x v="9"/>
    <x v="17"/>
    <s v="SE1A"/>
    <x v="25"/>
    <n v="25.064747068787099"/>
    <n v="6.9624297413297498"/>
  </r>
  <r>
    <x v="0"/>
    <x v="18"/>
    <x v="9"/>
    <x v="17"/>
    <s v="SE1A"/>
    <x v="26"/>
    <n v="32.516643167392601"/>
    <n v="9.03240087983127"/>
  </r>
  <r>
    <x v="0"/>
    <x v="18"/>
    <x v="9"/>
    <x v="17"/>
    <s v="SE1A"/>
    <x v="27"/>
    <n v="20.163995508318798"/>
    <n v="5.6011098634218799"/>
  </r>
  <r>
    <x v="0"/>
    <x v="18"/>
    <x v="9"/>
    <x v="17"/>
    <s v="SE1_IND"/>
    <x v="1"/>
    <n v="35.989199999999997"/>
    <n v="9.9969999999999999"/>
  </r>
  <r>
    <x v="0"/>
    <x v="18"/>
    <x v="9"/>
    <x v="17"/>
    <s v="SE1_IND"/>
    <x v="2"/>
    <n v="2.52"/>
    <n v="0.7"/>
  </r>
  <r>
    <x v="0"/>
    <x v="18"/>
    <x v="9"/>
    <x v="17"/>
    <s v="SE1_IND"/>
    <x v="0"/>
    <n v="42.692399999999999"/>
    <n v="11.859"/>
  </r>
  <r>
    <x v="0"/>
    <x v="18"/>
    <x v="9"/>
    <x v="17"/>
    <s v="SE1_IND"/>
    <x v="3"/>
    <n v="51.633543144067197"/>
    <n v="14.342650873352"/>
  </r>
  <r>
    <x v="0"/>
    <x v="18"/>
    <x v="9"/>
    <x v="17"/>
    <s v="SE1_IND"/>
    <x v="4"/>
    <n v="15.1696304888152"/>
    <n v="4.21378624689312"/>
  </r>
  <r>
    <x v="0"/>
    <x v="18"/>
    <x v="9"/>
    <x v="17"/>
    <s v="SE1_IND"/>
    <x v="5"/>
    <n v="15.1696304888152"/>
    <n v="4.21378624689312"/>
  </r>
  <r>
    <x v="0"/>
    <x v="18"/>
    <x v="9"/>
    <x v="17"/>
    <s v="SE1_IND"/>
    <x v="6"/>
    <n v="29.476231795214598"/>
    <n v="8.1878421653373898"/>
  </r>
  <r>
    <x v="0"/>
    <x v="18"/>
    <x v="9"/>
    <x v="17"/>
    <s v="SE1_IND"/>
    <x v="7"/>
    <n v="57.838935220261199"/>
    <n v="16.066370894517"/>
  </r>
  <r>
    <x v="0"/>
    <x v="18"/>
    <x v="9"/>
    <x v="17"/>
    <s v="SE1_IND"/>
    <x v="8"/>
    <n v="57.838935220261199"/>
    <n v="16.066370894517"/>
  </r>
  <r>
    <x v="0"/>
    <x v="18"/>
    <x v="9"/>
    <x v="17"/>
    <s v="SE1_IND"/>
    <x v="9"/>
    <n v="51.506187241093599"/>
    <n v="14.3072742336371"/>
  </r>
  <r>
    <x v="0"/>
    <x v="18"/>
    <x v="9"/>
    <x v="17"/>
    <s v="SE1_IND"/>
    <x v="10"/>
    <n v="72.320331400165799"/>
    <n v="20.088980944490501"/>
  </r>
  <r>
    <x v="0"/>
    <x v="18"/>
    <x v="9"/>
    <x v="17"/>
    <s v="SE1_IND"/>
    <x v="11"/>
    <n v="8.1139884009941898"/>
    <n v="2.2538856669428302"/>
  </r>
  <r>
    <x v="0"/>
    <x v="18"/>
    <x v="9"/>
    <x v="17"/>
    <s v="SE1_IND"/>
    <x v="12"/>
    <n v="9.7995028997514597E-2"/>
    <n v="2.72208413881985E-2"/>
  </r>
  <r>
    <x v="0"/>
    <x v="18"/>
    <x v="9"/>
    <x v="17"/>
    <s v="SE1_IND"/>
    <x v="13"/>
    <n v="24.3419652029826"/>
    <n v="6.7616570008285004"/>
  </r>
  <r>
    <x v="0"/>
    <x v="18"/>
    <x v="9"/>
    <x v="17"/>
    <s v="SE1_IND"/>
    <x v="14"/>
    <n v="24.3419652029826"/>
    <n v="6.7616570008285004"/>
  </r>
  <r>
    <x v="0"/>
    <x v="18"/>
    <x v="9"/>
    <x v="17"/>
    <s v="SE1_IND"/>
    <x v="15"/>
    <n v="1.65807589063794"/>
    <n v="0.46057663628831802"/>
  </r>
  <r>
    <x v="0"/>
    <x v="18"/>
    <x v="9"/>
    <x v="17"/>
    <s v="SE1_IND"/>
    <x v="16"/>
    <n v="6.7156619979650802"/>
    <n v="1.8654616661014101"/>
  </r>
  <r>
    <x v="0"/>
    <x v="18"/>
    <x v="9"/>
    <x v="17"/>
    <s v="SE1_IND"/>
    <x v="17"/>
    <n v="9.1244895875632395"/>
    <n v="2.5345804409897901"/>
  </r>
  <r>
    <x v="0"/>
    <x v="18"/>
    <x v="9"/>
    <x v="17"/>
    <s v="SE1_IND"/>
    <x v="18"/>
    <n v="24.3419652029826"/>
    <n v="6.7616570008285004"/>
  </r>
  <r>
    <x v="0"/>
    <x v="18"/>
    <x v="9"/>
    <x v="17"/>
    <s v="SE1_IND"/>
    <x v="19"/>
    <n v="8.1139884009941898"/>
    <n v="2.2538856669428302"/>
  </r>
  <r>
    <x v="0"/>
    <x v="18"/>
    <x v="9"/>
    <x v="17"/>
    <s v="SE1_IND"/>
    <x v="20"/>
    <n v="21.431396138420201"/>
    <n v="5.9531655940056103"/>
  </r>
  <r>
    <x v="0"/>
    <x v="18"/>
    <x v="9"/>
    <x v="17"/>
    <s v="SE1_IND"/>
    <x v="28"/>
    <n v="41.38758"/>
    <n v="11.496549999999999"/>
  </r>
  <r>
    <x v="0"/>
    <x v="18"/>
    <x v="9"/>
    <x v="17"/>
    <s v="SE1_IND"/>
    <x v="21"/>
    <n v="48.24"/>
    <n v="13.4"/>
  </r>
  <r>
    <x v="0"/>
    <x v="18"/>
    <x v="9"/>
    <x v="17"/>
    <s v="SE1_IND"/>
    <x v="22"/>
    <n v="67.680000000000007"/>
    <n v="18.8"/>
  </r>
  <r>
    <x v="0"/>
    <x v="18"/>
    <x v="9"/>
    <x v="17"/>
    <s v="SE1_IND"/>
    <x v="23"/>
    <n v="0.31515896120488701"/>
    <n v="8.7544155890246306E-2"/>
  </r>
  <r>
    <x v="0"/>
    <x v="18"/>
    <x v="9"/>
    <x v="17"/>
    <s v="SE1_IND"/>
    <x v="24"/>
    <n v="19.174223581093901"/>
    <n v="5.32617321697054"/>
  </r>
  <r>
    <x v="0"/>
    <x v="18"/>
    <x v="9"/>
    <x v="17"/>
    <s v="SE1_IND"/>
    <x v="25"/>
    <n v="25.064747068787099"/>
    <n v="6.9624297413297498"/>
  </r>
  <r>
    <x v="0"/>
    <x v="18"/>
    <x v="9"/>
    <x v="17"/>
    <s v="SE1_IND"/>
    <x v="26"/>
    <n v="32.516643167392601"/>
    <n v="9.03240087983127"/>
  </r>
  <r>
    <x v="0"/>
    <x v="18"/>
    <x v="9"/>
    <x v="17"/>
    <s v="SE1_IND"/>
    <x v="27"/>
    <n v="20.163995508318798"/>
    <n v="5.6011098634218799"/>
  </r>
  <r>
    <x v="0"/>
    <x v="18"/>
    <x v="9"/>
    <x v="17"/>
    <s v="SE1_Offshore"/>
    <x v="1"/>
    <n v="35.989199999999997"/>
    <n v="9.9969999999999999"/>
  </r>
  <r>
    <x v="0"/>
    <x v="18"/>
    <x v="9"/>
    <x v="17"/>
    <s v="SE1_Offshore"/>
    <x v="2"/>
    <n v="2.52"/>
    <n v="0.7"/>
  </r>
  <r>
    <x v="0"/>
    <x v="18"/>
    <x v="9"/>
    <x v="17"/>
    <s v="SE1_Offshore"/>
    <x v="0"/>
    <n v="42.692399999999999"/>
    <n v="11.859"/>
  </r>
  <r>
    <x v="0"/>
    <x v="18"/>
    <x v="9"/>
    <x v="17"/>
    <s v="SE1_Offshore"/>
    <x v="3"/>
    <n v="51.633543144067197"/>
    <n v="14.342650873352"/>
  </r>
  <r>
    <x v="0"/>
    <x v="18"/>
    <x v="9"/>
    <x v="17"/>
    <s v="SE1_Offshore"/>
    <x v="4"/>
    <n v="15.1696304888152"/>
    <n v="4.21378624689312"/>
  </r>
  <r>
    <x v="0"/>
    <x v="18"/>
    <x v="9"/>
    <x v="17"/>
    <s v="SE1_Offshore"/>
    <x v="5"/>
    <n v="15.1696304888152"/>
    <n v="4.21378624689312"/>
  </r>
  <r>
    <x v="0"/>
    <x v="18"/>
    <x v="9"/>
    <x v="17"/>
    <s v="SE1_Offshore"/>
    <x v="6"/>
    <n v="29.476231795214598"/>
    <n v="8.1878421653373898"/>
  </r>
  <r>
    <x v="0"/>
    <x v="18"/>
    <x v="9"/>
    <x v="17"/>
    <s v="SE1_Offshore"/>
    <x v="7"/>
    <n v="57.838935220261199"/>
    <n v="16.066370894517"/>
  </r>
  <r>
    <x v="0"/>
    <x v="18"/>
    <x v="9"/>
    <x v="17"/>
    <s v="SE1_Offshore"/>
    <x v="8"/>
    <n v="57.838935220261199"/>
    <n v="16.066370894517"/>
  </r>
  <r>
    <x v="0"/>
    <x v="18"/>
    <x v="9"/>
    <x v="17"/>
    <s v="SE1_Offshore"/>
    <x v="9"/>
    <n v="51.506187241093599"/>
    <n v="14.3072742336371"/>
  </r>
  <r>
    <x v="0"/>
    <x v="18"/>
    <x v="9"/>
    <x v="17"/>
    <s v="SE1_Offshore"/>
    <x v="10"/>
    <n v="72.320331400165799"/>
    <n v="20.088980944490501"/>
  </r>
  <r>
    <x v="0"/>
    <x v="18"/>
    <x v="9"/>
    <x v="17"/>
    <s v="SE1_Offshore"/>
    <x v="11"/>
    <n v="8.1139884009941898"/>
    <n v="2.2538856669428302"/>
  </r>
  <r>
    <x v="0"/>
    <x v="18"/>
    <x v="9"/>
    <x v="17"/>
    <s v="SE1_Offshore"/>
    <x v="12"/>
    <n v="9.7995028997514597E-2"/>
    <n v="2.72208413881985E-2"/>
  </r>
  <r>
    <x v="0"/>
    <x v="18"/>
    <x v="9"/>
    <x v="17"/>
    <s v="SE1_Offshore"/>
    <x v="13"/>
    <n v="24.3419652029826"/>
    <n v="6.7616570008285004"/>
  </r>
  <r>
    <x v="0"/>
    <x v="18"/>
    <x v="9"/>
    <x v="17"/>
    <s v="SE1_Offshore"/>
    <x v="14"/>
    <n v="24.3419652029826"/>
    <n v="6.7616570008285004"/>
  </r>
  <r>
    <x v="0"/>
    <x v="18"/>
    <x v="9"/>
    <x v="17"/>
    <s v="SE1_Offshore"/>
    <x v="15"/>
    <n v="1.65807589063794"/>
    <n v="0.46057663628831802"/>
  </r>
  <r>
    <x v="0"/>
    <x v="18"/>
    <x v="9"/>
    <x v="17"/>
    <s v="SE1_Offshore"/>
    <x v="16"/>
    <n v="6.7156619979650802"/>
    <n v="1.8654616661014101"/>
  </r>
  <r>
    <x v="0"/>
    <x v="18"/>
    <x v="9"/>
    <x v="17"/>
    <s v="SE1_Offshore"/>
    <x v="17"/>
    <n v="9.1244895875632395"/>
    <n v="2.5345804409897901"/>
  </r>
  <r>
    <x v="0"/>
    <x v="18"/>
    <x v="9"/>
    <x v="17"/>
    <s v="SE1_Offshore"/>
    <x v="18"/>
    <n v="24.3419652029826"/>
    <n v="6.7616570008285004"/>
  </r>
  <r>
    <x v="0"/>
    <x v="18"/>
    <x v="9"/>
    <x v="17"/>
    <s v="SE1_Offshore"/>
    <x v="19"/>
    <n v="8.1139884009941898"/>
    <n v="2.2538856669428302"/>
  </r>
  <r>
    <x v="0"/>
    <x v="18"/>
    <x v="9"/>
    <x v="17"/>
    <s v="SE1_Offshore"/>
    <x v="20"/>
    <n v="21.431396138420201"/>
    <n v="5.9531655940056103"/>
  </r>
  <r>
    <x v="0"/>
    <x v="18"/>
    <x v="9"/>
    <x v="17"/>
    <s v="SE1_Offshore"/>
    <x v="28"/>
    <n v="41.38758"/>
    <n v="11.496549999999999"/>
  </r>
  <r>
    <x v="0"/>
    <x v="18"/>
    <x v="9"/>
    <x v="17"/>
    <s v="SE1_Offshore"/>
    <x v="21"/>
    <n v="48.24"/>
    <n v="13.4"/>
  </r>
  <r>
    <x v="0"/>
    <x v="18"/>
    <x v="9"/>
    <x v="17"/>
    <s v="SE1_Offshore"/>
    <x v="22"/>
    <n v="67.680000000000007"/>
    <n v="18.8"/>
  </r>
  <r>
    <x v="0"/>
    <x v="18"/>
    <x v="9"/>
    <x v="17"/>
    <s v="SE1_Offshore"/>
    <x v="23"/>
    <n v="0.31515896120488701"/>
    <n v="8.7544155890246306E-2"/>
  </r>
  <r>
    <x v="0"/>
    <x v="18"/>
    <x v="9"/>
    <x v="17"/>
    <s v="SE1_Offshore"/>
    <x v="24"/>
    <n v="19.174223581093901"/>
    <n v="5.32617321697054"/>
  </r>
  <r>
    <x v="0"/>
    <x v="18"/>
    <x v="9"/>
    <x v="17"/>
    <s v="SE1_Offshore"/>
    <x v="25"/>
    <n v="25.064747068787099"/>
    <n v="6.9624297413297498"/>
  </r>
  <r>
    <x v="0"/>
    <x v="18"/>
    <x v="9"/>
    <x v="17"/>
    <s v="SE1_Offshore"/>
    <x v="26"/>
    <n v="32.516643167392601"/>
    <n v="9.03240087983127"/>
  </r>
  <r>
    <x v="0"/>
    <x v="18"/>
    <x v="9"/>
    <x v="17"/>
    <s v="SE1_Offshore"/>
    <x v="27"/>
    <n v="20.163995508318798"/>
    <n v="5.6011098634218799"/>
  </r>
  <r>
    <x v="0"/>
    <x v="18"/>
    <x v="9"/>
    <x v="17"/>
    <s v="SE1_medium"/>
    <x v="1"/>
    <n v="35.989199999999997"/>
    <n v="9.9969999999999999"/>
  </r>
  <r>
    <x v="0"/>
    <x v="18"/>
    <x v="9"/>
    <x v="17"/>
    <s v="SE1_medium"/>
    <x v="2"/>
    <n v="2.52"/>
    <n v="0.7"/>
  </r>
  <r>
    <x v="0"/>
    <x v="18"/>
    <x v="9"/>
    <x v="17"/>
    <s v="SE1_medium"/>
    <x v="0"/>
    <n v="42.692399999999999"/>
    <n v="11.859"/>
  </r>
  <r>
    <x v="0"/>
    <x v="18"/>
    <x v="9"/>
    <x v="17"/>
    <s v="SE1_medium"/>
    <x v="3"/>
    <n v="51.633543144067197"/>
    <n v="14.342650873352"/>
  </r>
  <r>
    <x v="0"/>
    <x v="18"/>
    <x v="9"/>
    <x v="17"/>
    <s v="SE1_medium"/>
    <x v="4"/>
    <n v="15.1696304888152"/>
    <n v="4.21378624689312"/>
  </r>
  <r>
    <x v="0"/>
    <x v="18"/>
    <x v="9"/>
    <x v="17"/>
    <s v="SE1_medium"/>
    <x v="5"/>
    <n v="15.1696304888152"/>
    <n v="4.21378624689312"/>
  </r>
  <r>
    <x v="0"/>
    <x v="18"/>
    <x v="9"/>
    <x v="17"/>
    <s v="SE1_medium"/>
    <x v="6"/>
    <n v="29.476231795214598"/>
    <n v="8.1878421653373898"/>
  </r>
  <r>
    <x v="0"/>
    <x v="18"/>
    <x v="9"/>
    <x v="17"/>
    <s v="SE1_medium"/>
    <x v="7"/>
    <n v="57.838935220261199"/>
    <n v="16.066370894517"/>
  </r>
  <r>
    <x v="0"/>
    <x v="18"/>
    <x v="9"/>
    <x v="17"/>
    <s v="SE1_medium"/>
    <x v="8"/>
    <n v="57.838935220261199"/>
    <n v="16.066370894517"/>
  </r>
  <r>
    <x v="0"/>
    <x v="18"/>
    <x v="9"/>
    <x v="17"/>
    <s v="SE1_medium"/>
    <x v="9"/>
    <n v="51.506187241093599"/>
    <n v="14.3072742336371"/>
  </r>
  <r>
    <x v="0"/>
    <x v="18"/>
    <x v="9"/>
    <x v="17"/>
    <s v="SE1_medium"/>
    <x v="10"/>
    <n v="72.320331400165799"/>
    <n v="20.088980944490501"/>
  </r>
  <r>
    <x v="0"/>
    <x v="18"/>
    <x v="9"/>
    <x v="17"/>
    <s v="SE1_medium"/>
    <x v="11"/>
    <n v="8.1139884009941898"/>
    <n v="2.2538856669428302"/>
  </r>
  <r>
    <x v="0"/>
    <x v="18"/>
    <x v="9"/>
    <x v="17"/>
    <s v="SE1_medium"/>
    <x v="12"/>
    <n v="9.7995028997514597E-2"/>
    <n v="2.72208413881985E-2"/>
  </r>
  <r>
    <x v="0"/>
    <x v="18"/>
    <x v="9"/>
    <x v="17"/>
    <s v="SE1_medium"/>
    <x v="13"/>
    <n v="24.3419652029826"/>
    <n v="6.7616570008285004"/>
  </r>
  <r>
    <x v="0"/>
    <x v="18"/>
    <x v="9"/>
    <x v="17"/>
    <s v="SE1_medium"/>
    <x v="14"/>
    <n v="24.3419652029826"/>
    <n v="6.7616570008285004"/>
  </r>
  <r>
    <x v="0"/>
    <x v="18"/>
    <x v="9"/>
    <x v="17"/>
    <s v="SE1_medium"/>
    <x v="15"/>
    <n v="1.65807589063794"/>
    <n v="0.46057663628831802"/>
  </r>
  <r>
    <x v="0"/>
    <x v="18"/>
    <x v="9"/>
    <x v="17"/>
    <s v="SE1_medium"/>
    <x v="16"/>
    <n v="6.7156619979650802"/>
    <n v="1.8654616661014101"/>
  </r>
  <r>
    <x v="0"/>
    <x v="18"/>
    <x v="9"/>
    <x v="17"/>
    <s v="SE1_medium"/>
    <x v="17"/>
    <n v="9.1244895875632395"/>
    <n v="2.5345804409897901"/>
  </r>
  <r>
    <x v="0"/>
    <x v="18"/>
    <x v="9"/>
    <x v="17"/>
    <s v="SE1_medium"/>
    <x v="18"/>
    <n v="24.3419652029826"/>
    <n v="6.7616570008285004"/>
  </r>
  <r>
    <x v="0"/>
    <x v="18"/>
    <x v="9"/>
    <x v="17"/>
    <s v="SE1_medium"/>
    <x v="19"/>
    <n v="8.1139884009941898"/>
    <n v="2.2538856669428302"/>
  </r>
  <r>
    <x v="0"/>
    <x v="18"/>
    <x v="9"/>
    <x v="17"/>
    <s v="SE1_medium"/>
    <x v="20"/>
    <n v="21.431396138420201"/>
    <n v="5.9531655940056103"/>
  </r>
  <r>
    <x v="0"/>
    <x v="18"/>
    <x v="9"/>
    <x v="17"/>
    <s v="SE1_medium"/>
    <x v="28"/>
    <n v="41.38758"/>
    <n v="11.496549999999999"/>
  </r>
  <r>
    <x v="0"/>
    <x v="18"/>
    <x v="9"/>
    <x v="17"/>
    <s v="SE1_medium"/>
    <x v="21"/>
    <n v="48.24"/>
    <n v="13.4"/>
  </r>
  <r>
    <x v="0"/>
    <x v="18"/>
    <x v="9"/>
    <x v="17"/>
    <s v="SE1_medium"/>
    <x v="22"/>
    <n v="67.680000000000007"/>
    <n v="18.8"/>
  </r>
  <r>
    <x v="0"/>
    <x v="18"/>
    <x v="9"/>
    <x v="17"/>
    <s v="SE1_medium"/>
    <x v="23"/>
    <n v="0.31515896120488701"/>
    <n v="8.7544155890246306E-2"/>
  </r>
  <r>
    <x v="0"/>
    <x v="18"/>
    <x v="9"/>
    <x v="17"/>
    <s v="SE1_medium"/>
    <x v="24"/>
    <n v="19.174223581093901"/>
    <n v="5.32617321697054"/>
  </r>
  <r>
    <x v="0"/>
    <x v="18"/>
    <x v="9"/>
    <x v="17"/>
    <s v="SE1_medium"/>
    <x v="25"/>
    <n v="25.064747068787099"/>
    <n v="6.9624297413297498"/>
  </r>
  <r>
    <x v="0"/>
    <x v="18"/>
    <x v="9"/>
    <x v="17"/>
    <s v="SE1_medium"/>
    <x v="26"/>
    <n v="32.516643167392601"/>
    <n v="9.03240087983127"/>
  </r>
  <r>
    <x v="0"/>
    <x v="18"/>
    <x v="9"/>
    <x v="17"/>
    <s v="SE1_medium"/>
    <x v="27"/>
    <n v="20.163995508318798"/>
    <n v="5.6011098634218799"/>
  </r>
  <r>
    <x v="0"/>
    <x v="18"/>
    <x v="9"/>
    <x v="17"/>
    <s v="SE1_small"/>
    <x v="1"/>
    <n v="35.989199999999997"/>
    <n v="9.9969999999999999"/>
  </r>
  <r>
    <x v="0"/>
    <x v="18"/>
    <x v="9"/>
    <x v="17"/>
    <s v="SE1_small"/>
    <x v="2"/>
    <n v="2.52"/>
    <n v="0.7"/>
  </r>
  <r>
    <x v="0"/>
    <x v="18"/>
    <x v="9"/>
    <x v="17"/>
    <s v="SE1_small"/>
    <x v="0"/>
    <n v="42.692399999999999"/>
    <n v="11.859"/>
  </r>
  <r>
    <x v="0"/>
    <x v="18"/>
    <x v="9"/>
    <x v="17"/>
    <s v="SE1_small"/>
    <x v="3"/>
    <n v="51.633543144067197"/>
    <n v="14.342650873352"/>
  </r>
  <r>
    <x v="0"/>
    <x v="18"/>
    <x v="9"/>
    <x v="17"/>
    <s v="SE1_small"/>
    <x v="4"/>
    <n v="15.1696304888152"/>
    <n v="4.21378624689312"/>
  </r>
  <r>
    <x v="0"/>
    <x v="18"/>
    <x v="9"/>
    <x v="17"/>
    <s v="SE1_small"/>
    <x v="5"/>
    <n v="15.1696304888152"/>
    <n v="4.21378624689312"/>
  </r>
  <r>
    <x v="0"/>
    <x v="18"/>
    <x v="9"/>
    <x v="17"/>
    <s v="SE1_small"/>
    <x v="6"/>
    <n v="29.476231795214598"/>
    <n v="8.1878421653373898"/>
  </r>
  <r>
    <x v="0"/>
    <x v="18"/>
    <x v="9"/>
    <x v="17"/>
    <s v="SE1_small"/>
    <x v="7"/>
    <n v="57.838935220261199"/>
    <n v="16.066370894517"/>
  </r>
  <r>
    <x v="0"/>
    <x v="18"/>
    <x v="9"/>
    <x v="17"/>
    <s v="SE1_small"/>
    <x v="8"/>
    <n v="57.838935220261199"/>
    <n v="16.066370894517"/>
  </r>
  <r>
    <x v="0"/>
    <x v="18"/>
    <x v="9"/>
    <x v="17"/>
    <s v="SE1_small"/>
    <x v="9"/>
    <n v="51.506187241093599"/>
    <n v="14.3072742336371"/>
  </r>
  <r>
    <x v="0"/>
    <x v="18"/>
    <x v="9"/>
    <x v="17"/>
    <s v="SE1_small"/>
    <x v="10"/>
    <n v="72.320331400165799"/>
    <n v="20.088980944490501"/>
  </r>
  <r>
    <x v="0"/>
    <x v="18"/>
    <x v="9"/>
    <x v="17"/>
    <s v="SE1_small"/>
    <x v="11"/>
    <n v="8.1139884009941898"/>
    <n v="2.2538856669428302"/>
  </r>
  <r>
    <x v="0"/>
    <x v="18"/>
    <x v="9"/>
    <x v="17"/>
    <s v="SE1_small"/>
    <x v="12"/>
    <n v="9.7995028997514597E-2"/>
    <n v="2.72208413881985E-2"/>
  </r>
  <r>
    <x v="0"/>
    <x v="18"/>
    <x v="9"/>
    <x v="17"/>
    <s v="SE1_small"/>
    <x v="13"/>
    <n v="24.3419652029826"/>
    <n v="6.7616570008285004"/>
  </r>
  <r>
    <x v="0"/>
    <x v="18"/>
    <x v="9"/>
    <x v="17"/>
    <s v="SE1_small"/>
    <x v="14"/>
    <n v="24.3419652029826"/>
    <n v="6.7616570008285004"/>
  </r>
  <r>
    <x v="0"/>
    <x v="18"/>
    <x v="9"/>
    <x v="17"/>
    <s v="SE1_small"/>
    <x v="15"/>
    <n v="1.65807589063794"/>
    <n v="0.46057663628831802"/>
  </r>
  <r>
    <x v="0"/>
    <x v="18"/>
    <x v="9"/>
    <x v="17"/>
    <s v="SE1_small"/>
    <x v="16"/>
    <n v="6.7156619979650802"/>
    <n v="1.8654616661014101"/>
  </r>
  <r>
    <x v="0"/>
    <x v="18"/>
    <x v="9"/>
    <x v="17"/>
    <s v="SE1_small"/>
    <x v="17"/>
    <n v="9.1244895875632395"/>
    <n v="2.5345804409897901"/>
  </r>
  <r>
    <x v="0"/>
    <x v="18"/>
    <x v="9"/>
    <x v="17"/>
    <s v="SE1_small"/>
    <x v="18"/>
    <n v="24.3419652029826"/>
    <n v="6.7616570008285004"/>
  </r>
  <r>
    <x v="0"/>
    <x v="18"/>
    <x v="9"/>
    <x v="17"/>
    <s v="SE1_small"/>
    <x v="19"/>
    <n v="8.1139884009941898"/>
    <n v="2.2538856669428302"/>
  </r>
  <r>
    <x v="0"/>
    <x v="18"/>
    <x v="9"/>
    <x v="17"/>
    <s v="SE1_small"/>
    <x v="20"/>
    <n v="21.431396138420201"/>
    <n v="5.9531655940056103"/>
  </r>
  <r>
    <x v="0"/>
    <x v="18"/>
    <x v="9"/>
    <x v="17"/>
    <s v="SE1_small"/>
    <x v="28"/>
    <n v="41.38758"/>
    <n v="11.496549999999999"/>
  </r>
  <r>
    <x v="0"/>
    <x v="18"/>
    <x v="9"/>
    <x v="17"/>
    <s v="SE1_small"/>
    <x v="21"/>
    <n v="48.24"/>
    <n v="13.4"/>
  </r>
  <r>
    <x v="0"/>
    <x v="18"/>
    <x v="9"/>
    <x v="17"/>
    <s v="SE1_small"/>
    <x v="22"/>
    <n v="67.680000000000007"/>
    <n v="18.8"/>
  </r>
  <r>
    <x v="0"/>
    <x v="18"/>
    <x v="9"/>
    <x v="17"/>
    <s v="SE1_small"/>
    <x v="23"/>
    <n v="0.31515896120488701"/>
    <n v="8.7544155890246306E-2"/>
  </r>
  <r>
    <x v="0"/>
    <x v="18"/>
    <x v="9"/>
    <x v="17"/>
    <s v="SE1_small"/>
    <x v="24"/>
    <n v="19.174223581093901"/>
    <n v="5.32617321697054"/>
  </r>
  <r>
    <x v="0"/>
    <x v="18"/>
    <x v="9"/>
    <x v="17"/>
    <s v="SE1_small"/>
    <x v="25"/>
    <n v="25.064747068787099"/>
    <n v="6.9624297413297498"/>
  </r>
  <r>
    <x v="0"/>
    <x v="18"/>
    <x v="9"/>
    <x v="17"/>
    <s v="SE1_small"/>
    <x v="26"/>
    <n v="32.516643167392601"/>
    <n v="9.03240087983127"/>
  </r>
  <r>
    <x v="0"/>
    <x v="18"/>
    <x v="9"/>
    <x v="17"/>
    <s v="SE1_small"/>
    <x v="27"/>
    <n v="20.163995508318798"/>
    <n v="5.6011098634218799"/>
  </r>
  <r>
    <x v="0"/>
    <x v="18"/>
    <x v="9"/>
    <x v="18"/>
    <s v="SE2A"/>
    <x v="1"/>
    <n v="35.989199999999997"/>
    <n v="9.9969999999999999"/>
  </r>
  <r>
    <x v="0"/>
    <x v="18"/>
    <x v="9"/>
    <x v="18"/>
    <s v="SE2A"/>
    <x v="2"/>
    <n v="2.52"/>
    <n v="0.7"/>
  </r>
  <r>
    <x v="0"/>
    <x v="18"/>
    <x v="9"/>
    <x v="18"/>
    <s v="SE2A"/>
    <x v="0"/>
    <n v="42.692399999999999"/>
    <n v="11.859"/>
  </r>
  <r>
    <x v="0"/>
    <x v="18"/>
    <x v="9"/>
    <x v="18"/>
    <s v="SE2A"/>
    <x v="3"/>
    <n v="51.633543144067197"/>
    <n v="14.342650873352"/>
  </r>
  <r>
    <x v="0"/>
    <x v="18"/>
    <x v="9"/>
    <x v="18"/>
    <s v="SE2A"/>
    <x v="4"/>
    <n v="15.1696304888152"/>
    <n v="4.21378624689312"/>
  </r>
  <r>
    <x v="0"/>
    <x v="18"/>
    <x v="9"/>
    <x v="18"/>
    <s v="SE2A"/>
    <x v="5"/>
    <n v="15.1696304888152"/>
    <n v="4.21378624689312"/>
  </r>
  <r>
    <x v="0"/>
    <x v="18"/>
    <x v="9"/>
    <x v="18"/>
    <s v="SE2A"/>
    <x v="6"/>
    <n v="29.476231795214598"/>
    <n v="8.1878421653373898"/>
  </r>
  <r>
    <x v="0"/>
    <x v="18"/>
    <x v="9"/>
    <x v="18"/>
    <s v="SE2A"/>
    <x v="7"/>
    <n v="57.838935220261199"/>
    <n v="16.066370894517"/>
  </r>
  <r>
    <x v="0"/>
    <x v="18"/>
    <x v="9"/>
    <x v="18"/>
    <s v="SE2A"/>
    <x v="8"/>
    <n v="57.838935220261199"/>
    <n v="16.066370894517"/>
  </r>
  <r>
    <x v="0"/>
    <x v="18"/>
    <x v="9"/>
    <x v="18"/>
    <s v="SE2A"/>
    <x v="9"/>
    <n v="51.506187241093599"/>
    <n v="14.3072742336371"/>
  </r>
  <r>
    <x v="0"/>
    <x v="18"/>
    <x v="9"/>
    <x v="18"/>
    <s v="SE2A"/>
    <x v="10"/>
    <n v="72.320331400165799"/>
    <n v="20.088980944490501"/>
  </r>
  <r>
    <x v="0"/>
    <x v="18"/>
    <x v="9"/>
    <x v="18"/>
    <s v="SE2A"/>
    <x v="11"/>
    <n v="8.1139884009941898"/>
    <n v="2.2538856669428302"/>
  </r>
  <r>
    <x v="0"/>
    <x v="18"/>
    <x v="9"/>
    <x v="18"/>
    <s v="SE2A"/>
    <x v="12"/>
    <n v="9.7995028997514597E-2"/>
    <n v="2.72208413881985E-2"/>
  </r>
  <r>
    <x v="0"/>
    <x v="18"/>
    <x v="9"/>
    <x v="18"/>
    <s v="SE2A"/>
    <x v="13"/>
    <n v="24.3419652029826"/>
    <n v="6.7616570008285004"/>
  </r>
  <r>
    <x v="0"/>
    <x v="18"/>
    <x v="9"/>
    <x v="18"/>
    <s v="SE2A"/>
    <x v="14"/>
    <n v="24.3419652029826"/>
    <n v="6.7616570008285004"/>
  </r>
  <r>
    <x v="0"/>
    <x v="18"/>
    <x v="9"/>
    <x v="18"/>
    <s v="SE2A"/>
    <x v="15"/>
    <n v="1.65807589063794"/>
    <n v="0.46057663628831802"/>
  </r>
  <r>
    <x v="0"/>
    <x v="18"/>
    <x v="9"/>
    <x v="18"/>
    <s v="SE2A"/>
    <x v="16"/>
    <n v="6.7156619979650802"/>
    <n v="1.8654616661014101"/>
  </r>
  <r>
    <x v="0"/>
    <x v="18"/>
    <x v="9"/>
    <x v="18"/>
    <s v="SE2A"/>
    <x v="17"/>
    <n v="9.1244895875632395"/>
    <n v="2.5345804409897901"/>
  </r>
  <r>
    <x v="0"/>
    <x v="18"/>
    <x v="9"/>
    <x v="18"/>
    <s v="SE2A"/>
    <x v="18"/>
    <n v="24.3419652029826"/>
    <n v="6.7616570008285004"/>
  </r>
  <r>
    <x v="0"/>
    <x v="18"/>
    <x v="9"/>
    <x v="18"/>
    <s v="SE2A"/>
    <x v="19"/>
    <n v="8.1139884009941898"/>
    <n v="2.2538856669428302"/>
  </r>
  <r>
    <x v="0"/>
    <x v="18"/>
    <x v="9"/>
    <x v="18"/>
    <s v="SE2A"/>
    <x v="20"/>
    <n v="21.431396138420201"/>
    <n v="5.9531655940056103"/>
  </r>
  <r>
    <x v="0"/>
    <x v="18"/>
    <x v="9"/>
    <x v="18"/>
    <s v="SE2A"/>
    <x v="28"/>
    <n v="41.38758"/>
    <n v="11.496549999999999"/>
  </r>
  <r>
    <x v="0"/>
    <x v="18"/>
    <x v="9"/>
    <x v="18"/>
    <s v="SE2A"/>
    <x v="21"/>
    <n v="48.24"/>
    <n v="13.4"/>
  </r>
  <r>
    <x v="0"/>
    <x v="18"/>
    <x v="9"/>
    <x v="18"/>
    <s v="SE2A"/>
    <x v="22"/>
    <n v="67.680000000000007"/>
    <n v="18.8"/>
  </r>
  <r>
    <x v="0"/>
    <x v="18"/>
    <x v="9"/>
    <x v="18"/>
    <s v="SE2A"/>
    <x v="23"/>
    <n v="0.31515896120488701"/>
    <n v="8.7544155890246306E-2"/>
  </r>
  <r>
    <x v="0"/>
    <x v="18"/>
    <x v="9"/>
    <x v="18"/>
    <s v="SE2A"/>
    <x v="24"/>
    <n v="19.174223581093901"/>
    <n v="5.32617321697054"/>
  </r>
  <r>
    <x v="0"/>
    <x v="18"/>
    <x v="9"/>
    <x v="18"/>
    <s v="SE2A"/>
    <x v="25"/>
    <n v="25.064747068787099"/>
    <n v="6.9624297413297498"/>
  </r>
  <r>
    <x v="0"/>
    <x v="18"/>
    <x v="9"/>
    <x v="18"/>
    <s v="SE2A"/>
    <x v="26"/>
    <n v="32.516643167392601"/>
    <n v="9.03240087983127"/>
  </r>
  <r>
    <x v="0"/>
    <x v="18"/>
    <x v="9"/>
    <x v="18"/>
    <s v="SE2A"/>
    <x v="27"/>
    <n v="20.163995508318798"/>
    <n v="5.6011098634218799"/>
  </r>
  <r>
    <x v="0"/>
    <x v="18"/>
    <x v="9"/>
    <x v="18"/>
    <s v="SE2_IND"/>
    <x v="1"/>
    <n v="35.989199999999997"/>
    <n v="9.9969999999999999"/>
  </r>
  <r>
    <x v="0"/>
    <x v="18"/>
    <x v="9"/>
    <x v="18"/>
    <s v="SE2_IND"/>
    <x v="2"/>
    <n v="2.52"/>
    <n v="0.7"/>
  </r>
  <r>
    <x v="0"/>
    <x v="18"/>
    <x v="9"/>
    <x v="18"/>
    <s v="SE2_IND"/>
    <x v="0"/>
    <n v="42.692399999999999"/>
    <n v="11.859"/>
  </r>
  <r>
    <x v="0"/>
    <x v="18"/>
    <x v="9"/>
    <x v="18"/>
    <s v="SE2_IND"/>
    <x v="3"/>
    <n v="51.633543144067197"/>
    <n v="14.342650873352"/>
  </r>
  <r>
    <x v="0"/>
    <x v="18"/>
    <x v="9"/>
    <x v="18"/>
    <s v="SE2_IND"/>
    <x v="4"/>
    <n v="15.1696304888152"/>
    <n v="4.21378624689312"/>
  </r>
  <r>
    <x v="0"/>
    <x v="18"/>
    <x v="9"/>
    <x v="18"/>
    <s v="SE2_IND"/>
    <x v="5"/>
    <n v="15.1696304888152"/>
    <n v="4.21378624689312"/>
  </r>
  <r>
    <x v="0"/>
    <x v="18"/>
    <x v="9"/>
    <x v="18"/>
    <s v="SE2_IND"/>
    <x v="6"/>
    <n v="29.476231795214598"/>
    <n v="8.1878421653373898"/>
  </r>
  <r>
    <x v="0"/>
    <x v="18"/>
    <x v="9"/>
    <x v="18"/>
    <s v="SE2_IND"/>
    <x v="7"/>
    <n v="57.838935220261199"/>
    <n v="16.066370894517"/>
  </r>
  <r>
    <x v="0"/>
    <x v="18"/>
    <x v="9"/>
    <x v="18"/>
    <s v="SE2_IND"/>
    <x v="8"/>
    <n v="57.838935220261199"/>
    <n v="16.066370894517"/>
  </r>
  <r>
    <x v="0"/>
    <x v="18"/>
    <x v="9"/>
    <x v="18"/>
    <s v="SE2_IND"/>
    <x v="9"/>
    <n v="51.506187241093599"/>
    <n v="14.3072742336371"/>
  </r>
  <r>
    <x v="0"/>
    <x v="18"/>
    <x v="9"/>
    <x v="18"/>
    <s v="SE2_IND"/>
    <x v="10"/>
    <n v="72.320331400165799"/>
    <n v="20.088980944490501"/>
  </r>
  <r>
    <x v="0"/>
    <x v="18"/>
    <x v="9"/>
    <x v="18"/>
    <s v="SE2_IND"/>
    <x v="11"/>
    <n v="8.1139884009941898"/>
    <n v="2.2538856669428302"/>
  </r>
  <r>
    <x v="0"/>
    <x v="18"/>
    <x v="9"/>
    <x v="18"/>
    <s v="SE2_IND"/>
    <x v="12"/>
    <n v="9.7995028997514597E-2"/>
    <n v="2.72208413881985E-2"/>
  </r>
  <r>
    <x v="0"/>
    <x v="18"/>
    <x v="9"/>
    <x v="18"/>
    <s v="SE2_IND"/>
    <x v="13"/>
    <n v="24.3419652029826"/>
    <n v="6.7616570008285004"/>
  </r>
  <r>
    <x v="0"/>
    <x v="18"/>
    <x v="9"/>
    <x v="18"/>
    <s v="SE2_IND"/>
    <x v="14"/>
    <n v="24.3419652029826"/>
    <n v="6.7616570008285004"/>
  </r>
  <r>
    <x v="0"/>
    <x v="18"/>
    <x v="9"/>
    <x v="18"/>
    <s v="SE2_IND"/>
    <x v="15"/>
    <n v="1.65807589063794"/>
    <n v="0.46057663628831802"/>
  </r>
  <r>
    <x v="0"/>
    <x v="18"/>
    <x v="9"/>
    <x v="18"/>
    <s v="SE2_IND"/>
    <x v="16"/>
    <n v="6.7156619979650802"/>
    <n v="1.8654616661014101"/>
  </r>
  <r>
    <x v="0"/>
    <x v="18"/>
    <x v="9"/>
    <x v="18"/>
    <s v="SE2_IND"/>
    <x v="17"/>
    <n v="9.1244895875632395"/>
    <n v="2.5345804409897901"/>
  </r>
  <r>
    <x v="0"/>
    <x v="18"/>
    <x v="9"/>
    <x v="18"/>
    <s v="SE2_IND"/>
    <x v="18"/>
    <n v="24.3419652029826"/>
    <n v="6.7616570008285004"/>
  </r>
  <r>
    <x v="0"/>
    <x v="18"/>
    <x v="9"/>
    <x v="18"/>
    <s v="SE2_IND"/>
    <x v="19"/>
    <n v="8.1139884009941898"/>
    <n v="2.2538856669428302"/>
  </r>
  <r>
    <x v="0"/>
    <x v="18"/>
    <x v="9"/>
    <x v="18"/>
    <s v="SE2_IND"/>
    <x v="20"/>
    <n v="21.431396138420201"/>
    <n v="5.9531655940056103"/>
  </r>
  <r>
    <x v="0"/>
    <x v="18"/>
    <x v="9"/>
    <x v="18"/>
    <s v="SE2_IND"/>
    <x v="28"/>
    <n v="41.38758"/>
    <n v="11.496549999999999"/>
  </r>
  <r>
    <x v="0"/>
    <x v="18"/>
    <x v="9"/>
    <x v="18"/>
    <s v="SE2_IND"/>
    <x v="21"/>
    <n v="48.24"/>
    <n v="13.4"/>
  </r>
  <r>
    <x v="0"/>
    <x v="18"/>
    <x v="9"/>
    <x v="18"/>
    <s v="SE2_IND"/>
    <x v="22"/>
    <n v="67.680000000000007"/>
    <n v="18.8"/>
  </r>
  <r>
    <x v="0"/>
    <x v="18"/>
    <x v="9"/>
    <x v="18"/>
    <s v="SE2_IND"/>
    <x v="23"/>
    <n v="0.31515896120488701"/>
    <n v="8.7544155890246306E-2"/>
  </r>
  <r>
    <x v="0"/>
    <x v="18"/>
    <x v="9"/>
    <x v="18"/>
    <s v="SE2_IND"/>
    <x v="24"/>
    <n v="19.174223581093901"/>
    <n v="5.32617321697054"/>
  </r>
  <r>
    <x v="0"/>
    <x v="18"/>
    <x v="9"/>
    <x v="18"/>
    <s v="SE2_IND"/>
    <x v="25"/>
    <n v="25.064747068787099"/>
    <n v="6.9624297413297498"/>
  </r>
  <r>
    <x v="0"/>
    <x v="18"/>
    <x v="9"/>
    <x v="18"/>
    <s v="SE2_IND"/>
    <x v="26"/>
    <n v="32.516643167392601"/>
    <n v="9.03240087983127"/>
  </r>
  <r>
    <x v="0"/>
    <x v="18"/>
    <x v="9"/>
    <x v="18"/>
    <s v="SE2_IND"/>
    <x v="27"/>
    <n v="20.163995508318798"/>
    <n v="5.6011098634218799"/>
  </r>
  <r>
    <x v="0"/>
    <x v="18"/>
    <x v="9"/>
    <x v="18"/>
    <s v="SE2_Offshore"/>
    <x v="1"/>
    <n v="35.989199999999997"/>
    <n v="9.9969999999999999"/>
  </r>
  <r>
    <x v="0"/>
    <x v="18"/>
    <x v="9"/>
    <x v="18"/>
    <s v="SE2_Offshore"/>
    <x v="2"/>
    <n v="2.52"/>
    <n v="0.7"/>
  </r>
  <r>
    <x v="0"/>
    <x v="18"/>
    <x v="9"/>
    <x v="18"/>
    <s v="SE2_Offshore"/>
    <x v="0"/>
    <n v="42.692399999999999"/>
    <n v="11.859"/>
  </r>
  <r>
    <x v="0"/>
    <x v="18"/>
    <x v="9"/>
    <x v="18"/>
    <s v="SE2_Offshore"/>
    <x v="3"/>
    <n v="51.633543144067197"/>
    <n v="14.342650873352"/>
  </r>
  <r>
    <x v="0"/>
    <x v="18"/>
    <x v="9"/>
    <x v="18"/>
    <s v="SE2_Offshore"/>
    <x v="4"/>
    <n v="15.1696304888152"/>
    <n v="4.21378624689312"/>
  </r>
  <r>
    <x v="0"/>
    <x v="18"/>
    <x v="9"/>
    <x v="18"/>
    <s v="SE2_Offshore"/>
    <x v="5"/>
    <n v="15.1696304888152"/>
    <n v="4.21378624689312"/>
  </r>
  <r>
    <x v="0"/>
    <x v="18"/>
    <x v="9"/>
    <x v="18"/>
    <s v="SE2_Offshore"/>
    <x v="6"/>
    <n v="29.476231795214598"/>
    <n v="8.1878421653373898"/>
  </r>
  <r>
    <x v="0"/>
    <x v="18"/>
    <x v="9"/>
    <x v="18"/>
    <s v="SE2_Offshore"/>
    <x v="7"/>
    <n v="57.838935220261199"/>
    <n v="16.066370894517"/>
  </r>
  <r>
    <x v="0"/>
    <x v="18"/>
    <x v="9"/>
    <x v="18"/>
    <s v="SE2_Offshore"/>
    <x v="8"/>
    <n v="57.838935220261199"/>
    <n v="16.066370894517"/>
  </r>
  <r>
    <x v="0"/>
    <x v="18"/>
    <x v="9"/>
    <x v="18"/>
    <s v="SE2_Offshore"/>
    <x v="9"/>
    <n v="51.506187241093599"/>
    <n v="14.3072742336371"/>
  </r>
  <r>
    <x v="0"/>
    <x v="18"/>
    <x v="9"/>
    <x v="18"/>
    <s v="SE2_Offshore"/>
    <x v="10"/>
    <n v="72.320331400165799"/>
    <n v="20.088980944490501"/>
  </r>
  <r>
    <x v="0"/>
    <x v="18"/>
    <x v="9"/>
    <x v="18"/>
    <s v="SE2_Offshore"/>
    <x v="11"/>
    <n v="8.1139884009941898"/>
    <n v="2.2538856669428302"/>
  </r>
  <r>
    <x v="0"/>
    <x v="18"/>
    <x v="9"/>
    <x v="18"/>
    <s v="SE2_Offshore"/>
    <x v="12"/>
    <n v="9.7995028997514597E-2"/>
    <n v="2.72208413881985E-2"/>
  </r>
  <r>
    <x v="0"/>
    <x v="18"/>
    <x v="9"/>
    <x v="18"/>
    <s v="SE2_Offshore"/>
    <x v="13"/>
    <n v="24.3419652029826"/>
    <n v="6.7616570008285004"/>
  </r>
  <r>
    <x v="0"/>
    <x v="18"/>
    <x v="9"/>
    <x v="18"/>
    <s v="SE2_Offshore"/>
    <x v="14"/>
    <n v="24.3419652029826"/>
    <n v="6.7616570008285004"/>
  </r>
  <r>
    <x v="0"/>
    <x v="18"/>
    <x v="9"/>
    <x v="18"/>
    <s v="SE2_Offshore"/>
    <x v="15"/>
    <n v="1.65807589063794"/>
    <n v="0.46057663628831802"/>
  </r>
  <r>
    <x v="0"/>
    <x v="18"/>
    <x v="9"/>
    <x v="18"/>
    <s v="SE2_Offshore"/>
    <x v="16"/>
    <n v="6.7156619979650802"/>
    <n v="1.8654616661014101"/>
  </r>
  <r>
    <x v="0"/>
    <x v="18"/>
    <x v="9"/>
    <x v="18"/>
    <s v="SE2_Offshore"/>
    <x v="17"/>
    <n v="9.1244895875632395"/>
    <n v="2.5345804409897901"/>
  </r>
  <r>
    <x v="0"/>
    <x v="18"/>
    <x v="9"/>
    <x v="18"/>
    <s v="SE2_Offshore"/>
    <x v="18"/>
    <n v="24.3419652029826"/>
    <n v="6.7616570008285004"/>
  </r>
  <r>
    <x v="0"/>
    <x v="18"/>
    <x v="9"/>
    <x v="18"/>
    <s v="SE2_Offshore"/>
    <x v="19"/>
    <n v="8.1139884009941898"/>
    <n v="2.2538856669428302"/>
  </r>
  <r>
    <x v="0"/>
    <x v="18"/>
    <x v="9"/>
    <x v="18"/>
    <s v="SE2_Offshore"/>
    <x v="20"/>
    <n v="21.431396138420201"/>
    <n v="5.9531655940056103"/>
  </r>
  <r>
    <x v="0"/>
    <x v="18"/>
    <x v="9"/>
    <x v="18"/>
    <s v="SE2_Offshore"/>
    <x v="28"/>
    <n v="41.38758"/>
    <n v="11.496549999999999"/>
  </r>
  <r>
    <x v="0"/>
    <x v="18"/>
    <x v="9"/>
    <x v="18"/>
    <s v="SE2_Offshore"/>
    <x v="21"/>
    <n v="48.24"/>
    <n v="13.4"/>
  </r>
  <r>
    <x v="0"/>
    <x v="18"/>
    <x v="9"/>
    <x v="18"/>
    <s v="SE2_Offshore"/>
    <x v="22"/>
    <n v="67.680000000000007"/>
    <n v="18.8"/>
  </r>
  <r>
    <x v="0"/>
    <x v="18"/>
    <x v="9"/>
    <x v="18"/>
    <s v="SE2_Offshore"/>
    <x v="23"/>
    <n v="0.31515896120488701"/>
    <n v="8.7544155890246306E-2"/>
  </r>
  <r>
    <x v="0"/>
    <x v="18"/>
    <x v="9"/>
    <x v="18"/>
    <s v="SE2_Offshore"/>
    <x v="24"/>
    <n v="19.174223581093901"/>
    <n v="5.32617321697054"/>
  </r>
  <r>
    <x v="0"/>
    <x v="18"/>
    <x v="9"/>
    <x v="18"/>
    <s v="SE2_Offshore"/>
    <x v="25"/>
    <n v="25.064747068787099"/>
    <n v="6.9624297413297498"/>
  </r>
  <r>
    <x v="0"/>
    <x v="18"/>
    <x v="9"/>
    <x v="18"/>
    <s v="SE2_Offshore"/>
    <x v="26"/>
    <n v="32.516643167392601"/>
    <n v="9.03240087983127"/>
  </r>
  <r>
    <x v="0"/>
    <x v="18"/>
    <x v="9"/>
    <x v="18"/>
    <s v="SE2_Offshore"/>
    <x v="27"/>
    <n v="20.163995508318798"/>
    <n v="5.6011098634218799"/>
  </r>
  <r>
    <x v="0"/>
    <x v="18"/>
    <x v="9"/>
    <x v="18"/>
    <s v="SE2_medium"/>
    <x v="1"/>
    <n v="35.989199999999997"/>
    <n v="9.9969999999999999"/>
  </r>
  <r>
    <x v="0"/>
    <x v="18"/>
    <x v="9"/>
    <x v="18"/>
    <s v="SE2_medium"/>
    <x v="2"/>
    <n v="2.52"/>
    <n v="0.7"/>
  </r>
  <r>
    <x v="0"/>
    <x v="18"/>
    <x v="9"/>
    <x v="18"/>
    <s v="SE2_medium"/>
    <x v="0"/>
    <n v="42.692399999999999"/>
    <n v="11.859"/>
  </r>
  <r>
    <x v="0"/>
    <x v="18"/>
    <x v="9"/>
    <x v="18"/>
    <s v="SE2_medium"/>
    <x v="3"/>
    <n v="51.633543144067197"/>
    <n v="14.342650873352"/>
  </r>
  <r>
    <x v="0"/>
    <x v="18"/>
    <x v="9"/>
    <x v="18"/>
    <s v="SE2_medium"/>
    <x v="4"/>
    <n v="15.1696304888152"/>
    <n v="4.21378624689312"/>
  </r>
  <r>
    <x v="0"/>
    <x v="18"/>
    <x v="9"/>
    <x v="18"/>
    <s v="SE2_medium"/>
    <x v="5"/>
    <n v="15.1696304888152"/>
    <n v="4.21378624689312"/>
  </r>
  <r>
    <x v="0"/>
    <x v="18"/>
    <x v="9"/>
    <x v="18"/>
    <s v="SE2_medium"/>
    <x v="6"/>
    <n v="29.476231795214598"/>
    <n v="8.1878421653373898"/>
  </r>
  <r>
    <x v="0"/>
    <x v="18"/>
    <x v="9"/>
    <x v="18"/>
    <s v="SE2_medium"/>
    <x v="7"/>
    <n v="57.838935220261199"/>
    <n v="16.066370894517"/>
  </r>
  <r>
    <x v="0"/>
    <x v="18"/>
    <x v="9"/>
    <x v="18"/>
    <s v="SE2_medium"/>
    <x v="8"/>
    <n v="57.838935220261199"/>
    <n v="16.066370894517"/>
  </r>
  <r>
    <x v="0"/>
    <x v="18"/>
    <x v="9"/>
    <x v="18"/>
    <s v="SE2_medium"/>
    <x v="9"/>
    <n v="51.506187241093599"/>
    <n v="14.3072742336371"/>
  </r>
  <r>
    <x v="0"/>
    <x v="18"/>
    <x v="9"/>
    <x v="18"/>
    <s v="SE2_medium"/>
    <x v="10"/>
    <n v="72.320331400165799"/>
    <n v="20.088980944490501"/>
  </r>
  <r>
    <x v="0"/>
    <x v="18"/>
    <x v="9"/>
    <x v="18"/>
    <s v="SE2_medium"/>
    <x v="11"/>
    <n v="8.1139884009941898"/>
    <n v="2.2538856669428302"/>
  </r>
  <r>
    <x v="0"/>
    <x v="18"/>
    <x v="9"/>
    <x v="18"/>
    <s v="SE2_medium"/>
    <x v="12"/>
    <n v="9.7995028997514597E-2"/>
    <n v="2.72208413881985E-2"/>
  </r>
  <r>
    <x v="0"/>
    <x v="18"/>
    <x v="9"/>
    <x v="18"/>
    <s v="SE2_medium"/>
    <x v="13"/>
    <n v="24.3419652029826"/>
    <n v="6.7616570008285004"/>
  </r>
  <r>
    <x v="0"/>
    <x v="18"/>
    <x v="9"/>
    <x v="18"/>
    <s v="SE2_medium"/>
    <x v="14"/>
    <n v="24.3419652029826"/>
    <n v="6.7616570008285004"/>
  </r>
  <r>
    <x v="0"/>
    <x v="18"/>
    <x v="9"/>
    <x v="18"/>
    <s v="SE2_medium"/>
    <x v="15"/>
    <n v="1.65807589063794"/>
    <n v="0.46057663628831802"/>
  </r>
  <r>
    <x v="0"/>
    <x v="18"/>
    <x v="9"/>
    <x v="18"/>
    <s v="SE2_medium"/>
    <x v="16"/>
    <n v="6.7156619979650802"/>
    <n v="1.8654616661014101"/>
  </r>
  <r>
    <x v="0"/>
    <x v="18"/>
    <x v="9"/>
    <x v="18"/>
    <s v="SE2_medium"/>
    <x v="17"/>
    <n v="9.1244895875632395"/>
    <n v="2.5345804409897901"/>
  </r>
  <r>
    <x v="0"/>
    <x v="18"/>
    <x v="9"/>
    <x v="18"/>
    <s v="SE2_medium"/>
    <x v="18"/>
    <n v="24.3419652029826"/>
    <n v="6.7616570008285004"/>
  </r>
  <r>
    <x v="0"/>
    <x v="18"/>
    <x v="9"/>
    <x v="18"/>
    <s v="SE2_medium"/>
    <x v="19"/>
    <n v="8.1139884009941898"/>
    <n v="2.2538856669428302"/>
  </r>
  <r>
    <x v="0"/>
    <x v="18"/>
    <x v="9"/>
    <x v="18"/>
    <s v="SE2_medium"/>
    <x v="20"/>
    <n v="21.431396138420201"/>
    <n v="5.9531655940056103"/>
  </r>
  <r>
    <x v="0"/>
    <x v="18"/>
    <x v="9"/>
    <x v="18"/>
    <s v="SE2_medium"/>
    <x v="28"/>
    <n v="41.38758"/>
    <n v="11.496549999999999"/>
  </r>
  <r>
    <x v="0"/>
    <x v="18"/>
    <x v="9"/>
    <x v="18"/>
    <s v="SE2_medium"/>
    <x v="21"/>
    <n v="48.24"/>
    <n v="13.4"/>
  </r>
  <r>
    <x v="0"/>
    <x v="18"/>
    <x v="9"/>
    <x v="18"/>
    <s v="SE2_medium"/>
    <x v="22"/>
    <n v="67.680000000000007"/>
    <n v="18.8"/>
  </r>
  <r>
    <x v="0"/>
    <x v="18"/>
    <x v="9"/>
    <x v="18"/>
    <s v="SE2_medium"/>
    <x v="23"/>
    <n v="0.31515896120488701"/>
    <n v="8.7544155890246306E-2"/>
  </r>
  <r>
    <x v="0"/>
    <x v="18"/>
    <x v="9"/>
    <x v="18"/>
    <s v="SE2_medium"/>
    <x v="24"/>
    <n v="19.174223581093901"/>
    <n v="5.32617321697054"/>
  </r>
  <r>
    <x v="0"/>
    <x v="18"/>
    <x v="9"/>
    <x v="18"/>
    <s v="SE2_medium"/>
    <x v="25"/>
    <n v="25.064747068787099"/>
    <n v="6.9624297413297498"/>
  </r>
  <r>
    <x v="0"/>
    <x v="18"/>
    <x v="9"/>
    <x v="18"/>
    <s v="SE2_medium"/>
    <x v="26"/>
    <n v="32.516643167392601"/>
    <n v="9.03240087983127"/>
  </r>
  <r>
    <x v="0"/>
    <x v="18"/>
    <x v="9"/>
    <x v="18"/>
    <s v="SE2_medium"/>
    <x v="27"/>
    <n v="20.163995508318798"/>
    <n v="5.6011098634218799"/>
  </r>
  <r>
    <x v="0"/>
    <x v="18"/>
    <x v="9"/>
    <x v="18"/>
    <s v="SE2_small"/>
    <x v="1"/>
    <n v="35.989199999999997"/>
    <n v="9.9969999999999999"/>
  </r>
  <r>
    <x v="0"/>
    <x v="18"/>
    <x v="9"/>
    <x v="18"/>
    <s v="SE2_small"/>
    <x v="2"/>
    <n v="2.52"/>
    <n v="0.7"/>
  </r>
  <r>
    <x v="0"/>
    <x v="18"/>
    <x v="9"/>
    <x v="18"/>
    <s v="SE2_small"/>
    <x v="0"/>
    <n v="42.692399999999999"/>
    <n v="11.859"/>
  </r>
  <r>
    <x v="0"/>
    <x v="18"/>
    <x v="9"/>
    <x v="18"/>
    <s v="SE2_small"/>
    <x v="3"/>
    <n v="51.633543144067197"/>
    <n v="14.342650873352"/>
  </r>
  <r>
    <x v="0"/>
    <x v="18"/>
    <x v="9"/>
    <x v="18"/>
    <s v="SE2_small"/>
    <x v="4"/>
    <n v="15.1696304888152"/>
    <n v="4.21378624689312"/>
  </r>
  <r>
    <x v="0"/>
    <x v="18"/>
    <x v="9"/>
    <x v="18"/>
    <s v="SE2_small"/>
    <x v="5"/>
    <n v="15.1696304888152"/>
    <n v="4.21378624689312"/>
  </r>
  <r>
    <x v="0"/>
    <x v="18"/>
    <x v="9"/>
    <x v="18"/>
    <s v="SE2_small"/>
    <x v="6"/>
    <n v="29.476231795214598"/>
    <n v="8.1878421653373898"/>
  </r>
  <r>
    <x v="0"/>
    <x v="18"/>
    <x v="9"/>
    <x v="18"/>
    <s v="SE2_small"/>
    <x v="7"/>
    <n v="57.838935220261199"/>
    <n v="16.066370894517"/>
  </r>
  <r>
    <x v="0"/>
    <x v="18"/>
    <x v="9"/>
    <x v="18"/>
    <s v="SE2_small"/>
    <x v="8"/>
    <n v="57.838935220261199"/>
    <n v="16.066370894517"/>
  </r>
  <r>
    <x v="0"/>
    <x v="18"/>
    <x v="9"/>
    <x v="18"/>
    <s v="SE2_small"/>
    <x v="9"/>
    <n v="51.506187241093599"/>
    <n v="14.3072742336371"/>
  </r>
  <r>
    <x v="0"/>
    <x v="18"/>
    <x v="9"/>
    <x v="18"/>
    <s v="SE2_small"/>
    <x v="10"/>
    <n v="72.320331400165799"/>
    <n v="20.088980944490501"/>
  </r>
  <r>
    <x v="0"/>
    <x v="18"/>
    <x v="9"/>
    <x v="18"/>
    <s v="SE2_small"/>
    <x v="11"/>
    <n v="8.1139884009941898"/>
    <n v="2.2538856669428302"/>
  </r>
  <r>
    <x v="0"/>
    <x v="18"/>
    <x v="9"/>
    <x v="18"/>
    <s v="SE2_small"/>
    <x v="12"/>
    <n v="9.7995028997514597E-2"/>
    <n v="2.72208413881985E-2"/>
  </r>
  <r>
    <x v="0"/>
    <x v="18"/>
    <x v="9"/>
    <x v="18"/>
    <s v="SE2_small"/>
    <x v="13"/>
    <n v="24.3419652029826"/>
    <n v="6.7616570008285004"/>
  </r>
  <r>
    <x v="0"/>
    <x v="18"/>
    <x v="9"/>
    <x v="18"/>
    <s v="SE2_small"/>
    <x v="14"/>
    <n v="24.3419652029826"/>
    <n v="6.7616570008285004"/>
  </r>
  <r>
    <x v="0"/>
    <x v="18"/>
    <x v="9"/>
    <x v="18"/>
    <s v="SE2_small"/>
    <x v="15"/>
    <n v="1.65807589063794"/>
    <n v="0.46057663628831802"/>
  </r>
  <r>
    <x v="0"/>
    <x v="18"/>
    <x v="9"/>
    <x v="18"/>
    <s v="SE2_small"/>
    <x v="16"/>
    <n v="6.7156619979650802"/>
    <n v="1.8654616661014101"/>
  </r>
  <r>
    <x v="0"/>
    <x v="18"/>
    <x v="9"/>
    <x v="18"/>
    <s v="SE2_small"/>
    <x v="17"/>
    <n v="9.1244895875632395"/>
    <n v="2.5345804409897901"/>
  </r>
  <r>
    <x v="0"/>
    <x v="18"/>
    <x v="9"/>
    <x v="18"/>
    <s v="SE2_small"/>
    <x v="18"/>
    <n v="24.3419652029826"/>
    <n v="6.7616570008285004"/>
  </r>
  <r>
    <x v="0"/>
    <x v="18"/>
    <x v="9"/>
    <x v="18"/>
    <s v="SE2_small"/>
    <x v="19"/>
    <n v="8.1139884009941898"/>
    <n v="2.2538856669428302"/>
  </r>
  <r>
    <x v="0"/>
    <x v="18"/>
    <x v="9"/>
    <x v="18"/>
    <s v="SE2_small"/>
    <x v="20"/>
    <n v="21.431396138420201"/>
    <n v="5.9531655940056103"/>
  </r>
  <r>
    <x v="0"/>
    <x v="18"/>
    <x v="9"/>
    <x v="18"/>
    <s v="SE2_small"/>
    <x v="28"/>
    <n v="41.38758"/>
    <n v="11.496549999999999"/>
  </r>
  <r>
    <x v="0"/>
    <x v="18"/>
    <x v="9"/>
    <x v="18"/>
    <s v="SE2_small"/>
    <x v="21"/>
    <n v="48.24"/>
    <n v="13.4"/>
  </r>
  <r>
    <x v="0"/>
    <x v="18"/>
    <x v="9"/>
    <x v="18"/>
    <s v="SE2_small"/>
    <x v="22"/>
    <n v="67.680000000000007"/>
    <n v="18.8"/>
  </r>
  <r>
    <x v="0"/>
    <x v="18"/>
    <x v="9"/>
    <x v="18"/>
    <s v="SE2_small"/>
    <x v="23"/>
    <n v="0.31515896120488701"/>
    <n v="8.7544155890246306E-2"/>
  </r>
  <r>
    <x v="0"/>
    <x v="18"/>
    <x v="9"/>
    <x v="18"/>
    <s v="SE2_small"/>
    <x v="24"/>
    <n v="19.174223581093901"/>
    <n v="5.32617321697054"/>
  </r>
  <r>
    <x v="0"/>
    <x v="18"/>
    <x v="9"/>
    <x v="18"/>
    <s v="SE2_small"/>
    <x v="25"/>
    <n v="25.064747068787099"/>
    <n v="6.9624297413297498"/>
  </r>
  <r>
    <x v="0"/>
    <x v="18"/>
    <x v="9"/>
    <x v="18"/>
    <s v="SE2_small"/>
    <x v="26"/>
    <n v="32.516643167392601"/>
    <n v="9.03240087983127"/>
  </r>
  <r>
    <x v="0"/>
    <x v="18"/>
    <x v="9"/>
    <x v="18"/>
    <s v="SE2_small"/>
    <x v="27"/>
    <n v="20.163995508318798"/>
    <n v="5.6011098634218799"/>
  </r>
  <r>
    <x v="0"/>
    <x v="18"/>
    <x v="9"/>
    <x v="19"/>
    <s v="SE3A"/>
    <x v="1"/>
    <n v="35.989199999999997"/>
    <n v="9.9969999999999999"/>
  </r>
  <r>
    <x v="0"/>
    <x v="18"/>
    <x v="9"/>
    <x v="19"/>
    <s v="SE3A"/>
    <x v="2"/>
    <n v="2.52"/>
    <n v="0.7"/>
  </r>
  <r>
    <x v="0"/>
    <x v="18"/>
    <x v="9"/>
    <x v="19"/>
    <s v="SE3A"/>
    <x v="0"/>
    <n v="42.692399999999999"/>
    <n v="11.859"/>
  </r>
  <r>
    <x v="0"/>
    <x v="18"/>
    <x v="9"/>
    <x v="19"/>
    <s v="SE3A"/>
    <x v="3"/>
    <n v="51.633543144067197"/>
    <n v="14.342650873352"/>
  </r>
  <r>
    <x v="0"/>
    <x v="18"/>
    <x v="9"/>
    <x v="19"/>
    <s v="SE3A"/>
    <x v="4"/>
    <n v="15.1696304888152"/>
    <n v="4.21378624689312"/>
  </r>
  <r>
    <x v="0"/>
    <x v="18"/>
    <x v="9"/>
    <x v="19"/>
    <s v="SE3A"/>
    <x v="5"/>
    <n v="15.1696304888152"/>
    <n v="4.21378624689312"/>
  </r>
  <r>
    <x v="0"/>
    <x v="18"/>
    <x v="9"/>
    <x v="19"/>
    <s v="SE3A"/>
    <x v="6"/>
    <n v="29.476231795214598"/>
    <n v="8.1878421653373898"/>
  </r>
  <r>
    <x v="0"/>
    <x v="18"/>
    <x v="9"/>
    <x v="19"/>
    <s v="SE3A"/>
    <x v="7"/>
    <n v="57.838935220261199"/>
    <n v="16.066370894517"/>
  </r>
  <r>
    <x v="0"/>
    <x v="18"/>
    <x v="9"/>
    <x v="19"/>
    <s v="SE3A"/>
    <x v="8"/>
    <n v="57.838935220261199"/>
    <n v="16.066370894517"/>
  </r>
  <r>
    <x v="0"/>
    <x v="18"/>
    <x v="9"/>
    <x v="19"/>
    <s v="SE3A"/>
    <x v="9"/>
    <n v="51.506187241093599"/>
    <n v="14.3072742336371"/>
  </r>
  <r>
    <x v="0"/>
    <x v="18"/>
    <x v="9"/>
    <x v="19"/>
    <s v="SE3A"/>
    <x v="10"/>
    <n v="72.320331400165799"/>
    <n v="20.088980944490501"/>
  </r>
  <r>
    <x v="0"/>
    <x v="18"/>
    <x v="9"/>
    <x v="19"/>
    <s v="SE3A"/>
    <x v="11"/>
    <n v="8.1139884009941898"/>
    <n v="2.2538856669428302"/>
  </r>
  <r>
    <x v="0"/>
    <x v="18"/>
    <x v="9"/>
    <x v="19"/>
    <s v="SE3A"/>
    <x v="12"/>
    <n v="9.7995028997514597E-2"/>
    <n v="2.72208413881985E-2"/>
  </r>
  <r>
    <x v="0"/>
    <x v="18"/>
    <x v="9"/>
    <x v="19"/>
    <s v="SE3A"/>
    <x v="13"/>
    <n v="24.3419652029826"/>
    <n v="6.7616570008285004"/>
  </r>
  <r>
    <x v="0"/>
    <x v="18"/>
    <x v="9"/>
    <x v="19"/>
    <s v="SE3A"/>
    <x v="14"/>
    <n v="24.3419652029826"/>
    <n v="6.7616570008285004"/>
  </r>
  <r>
    <x v="0"/>
    <x v="18"/>
    <x v="9"/>
    <x v="19"/>
    <s v="SE3A"/>
    <x v="15"/>
    <n v="1.65807589063794"/>
    <n v="0.46057663628831802"/>
  </r>
  <r>
    <x v="0"/>
    <x v="18"/>
    <x v="9"/>
    <x v="19"/>
    <s v="SE3A"/>
    <x v="16"/>
    <n v="6.7156619979650802"/>
    <n v="1.8654616661014101"/>
  </r>
  <r>
    <x v="0"/>
    <x v="18"/>
    <x v="9"/>
    <x v="19"/>
    <s v="SE3A"/>
    <x v="17"/>
    <n v="9.1244895875632395"/>
    <n v="2.5345804409897901"/>
  </r>
  <r>
    <x v="0"/>
    <x v="18"/>
    <x v="9"/>
    <x v="19"/>
    <s v="SE3A"/>
    <x v="18"/>
    <n v="24.3419652029826"/>
    <n v="6.7616570008285004"/>
  </r>
  <r>
    <x v="0"/>
    <x v="18"/>
    <x v="9"/>
    <x v="19"/>
    <s v="SE3A"/>
    <x v="19"/>
    <n v="8.1139884009941898"/>
    <n v="2.2538856669428302"/>
  </r>
  <r>
    <x v="0"/>
    <x v="18"/>
    <x v="9"/>
    <x v="19"/>
    <s v="SE3A"/>
    <x v="20"/>
    <n v="21.431396138420201"/>
    <n v="5.9531655940056103"/>
  </r>
  <r>
    <x v="0"/>
    <x v="18"/>
    <x v="9"/>
    <x v="19"/>
    <s v="SE3A"/>
    <x v="28"/>
    <n v="41.38758"/>
    <n v="11.496549999999999"/>
  </r>
  <r>
    <x v="0"/>
    <x v="18"/>
    <x v="9"/>
    <x v="19"/>
    <s v="SE3A"/>
    <x v="21"/>
    <n v="48.24"/>
    <n v="13.4"/>
  </r>
  <r>
    <x v="0"/>
    <x v="18"/>
    <x v="9"/>
    <x v="19"/>
    <s v="SE3A"/>
    <x v="22"/>
    <n v="67.680000000000007"/>
    <n v="18.8"/>
  </r>
  <r>
    <x v="0"/>
    <x v="18"/>
    <x v="9"/>
    <x v="19"/>
    <s v="SE3A"/>
    <x v="23"/>
    <n v="0.31515896120488701"/>
    <n v="8.7544155890246306E-2"/>
  </r>
  <r>
    <x v="0"/>
    <x v="18"/>
    <x v="9"/>
    <x v="19"/>
    <s v="SE3A"/>
    <x v="24"/>
    <n v="19.174223581093901"/>
    <n v="5.32617321697054"/>
  </r>
  <r>
    <x v="0"/>
    <x v="18"/>
    <x v="9"/>
    <x v="19"/>
    <s v="SE3A"/>
    <x v="25"/>
    <n v="25.064747068787099"/>
    <n v="6.9624297413297498"/>
  </r>
  <r>
    <x v="0"/>
    <x v="18"/>
    <x v="9"/>
    <x v="19"/>
    <s v="SE3A"/>
    <x v="26"/>
    <n v="32.516643167392601"/>
    <n v="9.03240087983127"/>
  </r>
  <r>
    <x v="0"/>
    <x v="18"/>
    <x v="9"/>
    <x v="19"/>
    <s v="SE3A"/>
    <x v="27"/>
    <n v="20.163995508318798"/>
    <n v="5.6011098634218799"/>
  </r>
  <r>
    <x v="0"/>
    <x v="18"/>
    <x v="9"/>
    <x v="19"/>
    <s v="SE3_IND"/>
    <x v="1"/>
    <n v="35.989199999999997"/>
    <n v="9.9969999999999999"/>
  </r>
  <r>
    <x v="0"/>
    <x v="18"/>
    <x v="9"/>
    <x v="19"/>
    <s v="SE3_IND"/>
    <x v="2"/>
    <n v="2.52"/>
    <n v="0.7"/>
  </r>
  <r>
    <x v="0"/>
    <x v="18"/>
    <x v="9"/>
    <x v="19"/>
    <s v="SE3_IND"/>
    <x v="0"/>
    <n v="42.692399999999999"/>
    <n v="11.859"/>
  </r>
  <r>
    <x v="0"/>
    <x v="18"/>
    <x v="9"/>
    <x v="19"/>
    <s v="SE3_IND"/>
    <x v="3"/>
    <n v="51.633543144067197"/>
    <n v="14.342650873352"/>
  </r>
  <r>
    <x v="0"/>
    <x v="18"/>
    <x v="9"/>
    <x v="19"/>
    <s v="SE3_IND"/>
    <x v="4"/>
    <n v="15.1696304888152"/>
    <n v="4.21378624689312"/>
  </r>
  <r>
    <x v="0"/>
    <x v="18"/>
    <x v="9"/>
    <x v="19"/>
    <s v="SE3_IND"/>
    <x v="5"/>
    <n v="15.1696304888152"/>
    <n v="4.21378624689312"/>
  </r>
  <r>
    <x v="0"/>
    <x v="18"/>
    <x v="9"/>
    <x v="19"/>
    <s v="SE3_IND"/>
    <x v="6"/>
    <n v="29.476231795214598"/>
    <n v="8.1878421653373898"/>
  </r>
  <r>
    <x v="0"/>
    <x v="18"/>
    <x v="9"/>
    <x v="19"/>
    <s v="SE3_IND"/>
    <x v="7"/>
    <n v="57.838935220261199"/>
    <n v="16.066370894517"/>
  </r>
  <r>
    <x v="0"/>
    <x v="18"/>
    <x v="9"/>
    <x v="19"/>
    <s v="SE3_IND"/>
    <x v="8"/>
    <n v="57.838935220261199"/>
    <n v="16.066370894517"/>
  </r>
  <r>
    <x v="0"/>
    <x v="18"/>
    <x v="9"/>
    <x v="19"/>
    <s v="SE3_IND"/>
    <x v="9"/>
    <n v="51.506187241093599"/>
    <n v="14.3072742336371"/>
  </r>
  <r>
    <x v="0"/>
    <x v="18"/>
    <x v="9"/>
    <x v="19"/>
    <s v="SE3_IND"/>
    <x v="10"/>
    <n v="72.320331400165799"/>
    <n v="20.088980944490501"/>
  </r>
  <r>
    <x v="0"/>
    <x v="18"/>
    <x v="9"/>
    <x v="19"/>
    <s v="SE3_IND"/>
    <x v="11"/>
    <n v="8.1139884009941898"/>
    <n v="2.2538856669428302"/>
  </r>
  <r>
    <x v="0"/>
    <x v="18"/>
    <x v="9"/>
    <x v="19"/>
    <s v="SE3_IND"/>
    <x v="12"/>
    <n v="9.7995028997514597E-2"/>
    <n v="2.72208413881985E-2"/>
  </r>
  <r>
    <x v="0"/>
    <x v="18"/>
    <x v="9"/>
    <x v="19"/>
    <s v="SE3_IND"/>
    <x v="13"/>
    <n v="24.3419652029826"/>
    <n v="6.7616570008285004"/>
  </r>
  <r>
    <x v="0"/>
    <x v="18"/>
    <x v="9"/>
    <x v="19"/>
    <s v="SE3_IND"/>
    <x v="14"/>
    <n v="24.3419652029826"/>
    <n v="6.7616570008285004"/>
  </r>
  <r>
    <x v="0"/>
    <x v="18"/>
    <x v="9"/>
    <x v="19"/>
    <s v="SE3_IND"/>
    <x v="15"/>
    <n v="1.65807589063794"/>
    <n v="0.46057663628831802"/>
  </r>
  <r>
    <x v="0"/>
    <x v="18"/>
    <x v="9"/>
    <x v="19"/>
    <s v="SE3_IND"/>
    <x v="16"/>
    <n v="6.7156619979650802"/>
    <n v="1.8654616661014101"/>
  </r>
  <r>
    <x v="0"/>
    <x v="18"/>
    <x v="9"/>
    <x v="19"/>
    <s v="SE3_IND"/>
    <x v="17"/>
    <n v="9.1244895875632395"/>
    <n v="2.5345804409897901"/>
  </r>
  <r>
    <x v="0"/>
    <x v="18"/>
    <x v="9"/>
    <x v="19"/>
    <s v="SE3_IND"/>
    <x v="18"/>
    <n v="24.3419652029826"/>
    <n v="6.7616570008285004"/>
  </r>
  <r>
    <x v="0"/>
    <x v="18"/>
    <x v="9"/>
    <x v="19"/>
    <s v="SE3_IND"/>
    <x v="19"/>
    <n v="8.1139884009941898"/>
    <n v="2.2538856669428302"/>
  </r>
  <r>
    <x v="0"/>
    <x v="18"/>
    <x v="9"/>
    <x v="19"/>
    <s v="SE3_IND"/>
    <x v="20"/>
    <n v="21.431396138420201"/>
    <n v="5.9531655940056103"/>
  </r>
  <r>
    <x v="0"/>
    <x v="18"/>
    <x v="9"/>
    <x v="19"/>
    <s v="SE3_IND"/>
    <x v="28"/>
    <n v="41.38758"/>
    <n v="11.496549999999999"/>
  </r>
  <r>
    <x v="0"/>
    <x v="18"/>
    <x v="9"/>
    <x v="19"/>
    <s v="SE3_IND"/>
    <x v="21"/>
    <n v="48.24"/>
    <n v="13.4"/>
  </r>
  <r>
    <x v="0"/>
    <x v="18"/>
    <x v="9"/>
    <x v="19"/>
    <s v="SE3_IND"/>
    <x v="22"/>
    <n v="67.680000000000007"/>
    <n v="18.8"/>
  </r>
  <r>
    <x v="0"/>
    <x v="18"/>
    <x v="9"/>
    <x v="19"/>
    <s v="SE3_IND"/>
    <x v="23"/>
    <n v="0.31515896120488701"/>
    <n v="8.7544155890246306E-2"/>
  </r>
  <r>
    <x v="0"/>
    <x v="18"/>
    <x v="9"/>
    <x v="19"/>
    <s v="SE3_IND"/>
    <x v="24"/>
    <n v="19.174223581093901"/>
    <n v="5.32617321697054"/>
  </r>
  <r>
    <x v="0"/>
    <x v="18"/>
    <x v="9"/>
    <x v="19"/>
    <s v="SE3_IND"/>
    <x v="25"/>
    <n v="25.064747068787099"/>
    <n v="6.9624297413297498"/>
  </r>
  <r>
    <x v="0"/>
    <x v="18"/>
    <x v="9"/>
    <x v="19"/>
    <s v="SE3_IND"/>
    <x v="26"/>
    <n v="32.516643167392601"/>
    <n v="9.03240087983127"/>
  </r>
  <r>
    <x v="0"/>
    <x v="18"/>
    <x v="9"/>
    <x v="19"/>
    <s v="SE3_IND"/>
    <x v="27"/>
    <n v="20.163995508318798"/>
    <n v="5.6011098634218799"/>
  </r>
  <r>
    <x v="0"/>
    <x v="18"/>
    <x v="9"/>
    <x v="19"/>
    <s v="SE3_Offshore"/>
    <x v="1"/>
    <n v="35.989199999999997"/>
    <n v="9.9969999999999999"/>
  </r>
  <r>
    <x v="0"/>
    <x v="18"/>
    <x v="9"/>
    <x v="19"/>
    <s v="SE3_Offshore"/>
    <x v="2"/>
    <n v="2.52"/>
    <n v="0.7"/>
  </r>
  <r>
    <x v="0"/>
    <x v="18"/>
    <x v="9"/>
    <x v="19"/>
    <s v="SE3_Offshore"/>
    <x v="0"/>
    <n v="42.692399999999999"/>
    <n v="11.859"/>
  </r>
  <r>
    <x v="0"/>
    <x v="18"/>
    <x v="9"/>
    <x v="19"/>
    <s v="SE3_Offshore"/>
    <x v="3"/>
    <n v="51.633543144067197"/>
    <n v="14.342650873352"/>
  </r>
  <r>
    <x v="0"/>
    <x v="18"/>
    <x v="9"/>
    <x v="19"/>
    <s v="SE3_Offshore"/>
    <x v="4"/>
    <n v="15.1696304888152"/>
    <n v="4.21378624689312"/>
  </r>
  <r>
    <x v="0"/>
    <x v="18"/>
    <x v="9"/>
    <x v="19"/>
    <s v="SE3_Offshore"/>
    <x v="5"/>
    <n v="15.1696304888152"/>
    <n v="4.21378624689312"/>
  </r>
  <r>
    <x v="0"/>
    <x v="18"/>
    <x v="9"/>
    <x v="19"/>
    <s v="SE3_Offshore"/>
    <x v="6"/>
    <n v="29.476231795214598"/>
    <n v="8.1878421653373898"/>
  </r>
  <r>
    <x v="0"/>
    <x v="18"/>
    <x v="9"/>
    <x v="19"/>
    <s v="SE3_Offshore"/>
    <x v="7"/>
    <n v="57.838935220261199"/>
    <n v="16.066370894517"/>
  </r>
  <r>
    <x v="0"/>
    <x v="18"/>
    <x v="9"/>
    <x v="19"/>
    <s v="SE3_Offshore"/>
    <x v="8"/>
    <n v="57.838935220261199"/>
    <n v="16.066370894517"/>
  </r>
  <r>
    <x v="0"/>
    <x v="18"/>
    <x v="9"/>
    <x v="19"/>
    <s v="SE3_Offshore"/>
    <x v="9"/>
    <n v="51.506187241093599"/>
    <n v="14.3072742336371"/>
  </r>
  <r>
    <x v="0"/>
    <x v="18"/>
    <x v="9"/>
    <x v="19"/>
    <s v="SE3_Offshore"/>
    <x v="10"/>
    <n v="72.320331400165799"/>
    <n v="20.088980944490501"/>
  </r>
  <r>
    <x v="0"/>
    <x v="18"/>
    <x v="9"/>
    <x v="19"/>
    <s v="SE3_Offshore"/>
    <x v="11"/>
    <n v="8.1139884009941898"/>
    <n v="2.2538856669428302"/>
  </r>
  <r>
    <x v="0"/>
    <x v="18"/>
    <x v="9"/>
    <x v="19"/>
    <s v="SE3_Offshore"/>
    <x v="12"/>
    <n v="9.7995028997514597E-2"/>
    <n v="2.72208413881985E-2"/>
  </r>
  <r>
    <x v="0"/>
    <x v="18"/>
    <x v="9"/>
    <x v="19"/>
    <s v="SE3_Offshore"/>
    <x v="13"/>
    <n v="24.3419652029826"/>
    <n v="6.7616570008285004"/>
  </r>
  <r>
    <x v="0"/>
    <x v="18"/>
    <x v="9"/>
    <x v="19"/>
    <s v="SE3_Offshore"/>
    <x v="14"/>
    <n v="24.3419652029826"/>
    <n v="6.7616570008285004"/>
  </r>
  <r>
    <x v="0"/>
    <x v="18"/>
    <x v="9"/>
    <x v="19"/>
    <s v="SE3_Offshore"/>
    <x v="15"/>
    <n v="1.65807589063794"/>
    <n v="0.46057663628831802"/>
  </r>
  <r>
    <x v="0"/>
    <x v="18"/>
    <x v="9"/>
    <x v="19"/>
    <s v="SE3_Offshore"/>
    <x v="16"/>
    <n v="6.7156619979650802"/>
    <n v="1.8654616661014101"/>
  </r>
  <r>
    <x v="0"/>
    <x v="18"/>
    <x v="9"/>
    <x v="19"/>
    <s v="SE3_Offshore"/>
    <x v="17"/>
    <n v="9.1244895875632395"/>
    <n v="2.5345804409897901"/>
  </r>
  <r>
    <x v="0"/>
    <x v="18"/>
    <x v="9"/>
    <x v="19"/>
    <s v="SE3_Offshore"/>
    <x v="18"/>
    <n v="24.3419652029826"/>
    <n v="6.7616570008285004"/>
  </r>
  <r>
    <x v="0"/>
    <x v="18"/>
    <x v="9"/>
    <x v="19"/>
    <s v="SE3_Offshore"/>
    <x v="19"/>
    <n v="8.1139884009941898"/>
    <n v="2.2538856669428302"/>
  </r>
  <r>
    <x v="0"/>
    <x v="18"/>
    <x v="9"/>
    <x v="19"/>
    <s v="SE3_Offshore"/>
    <x v="20"/>
    <n v="21.431396138420201"/>
    <n v="5.9531655940056103"/>
  </r>
  <r>
    <x v="0"/>
    <x v="18"/>
    <x v="9"/>
    <x v="19"/>
    <s v="SE3_Offshore"/>
    <x v="28"/>
    <n v="41.38758"/>
    <n v="11.496549999999999"/>
  </r>
  <r>
    <x v="0"/>
    <x v="18"/>
    <x v="9"/>
    <x v="19"/>
    <s v="SE3_Offshore"/>
    <x v="21"/>
    <n v="48.24"/>
    <n v="13.4"/>
  </r>
  <r>
    <x v="0"/>
    <x v="18"/>
    <x v="9"/>
    <x v="19"/>
    <s v="SE3_Offshore"/>
    <x v="22"/>
    <n v="67.680000000000007"/>
    <n v="18.8"/>
  </r>
  <r>
    <x v="0"/>
    <x v="18"/>
    <x v="9"/>
    <x v="19"/>
    <s v="SE3_Offshore"/>
    <x v="23"/>
    <n v="0.31515896120488701"/>
    <n v="8.7544155890246306E-2"/>
  </r>
  <r>
    <x v="0"/>
    <x v="18"/>
    <x v="9"/>
    <x v="19"/>
    <s v="SE3_Offshore"/>
    <x v="24"/>
    <n v="19.174223581093901"/>
    <n v="5.32617321697054"/>
  </r>
  <r>
    <x v="0"/>
    <x v="18"/>
    <x v="9"/>
    <x v="19"/>
    <s v="SE3_Offshore"/>
    <x v="25"/>
    <n v="25.064747068787099"/>
    <n v="6.9624297413297498"/>
  </r>
  <r>
    <x v="0"/>
    <x v="18"/>
    <x v="9"/>
    <x v="19"/>
    <s v="SE3_Offshore"/>
    <x v="26"/>
    <n v="32.516643167392601"/>
    <n v="9.03240087983127"/>
  </r>
  <r>
    <x v="0"/>
    <x v="18"/>
    <x v="9"/>
    <x v="19"/>
    <s v="SE3_Offshore"/>
    <x v="27"/>
    <n v="20.163995508318798"/>
    <n v="5.6011098634218799"/>
  </r>
  <r>
    <x v="0"/>
    <x v="18"/>
    <x v="9"/>
    <x v="19"/>
    <s v="SE3_large"/>
    <x v="1"/>
    <n v="35.989199999999997"/>
    <n v="9.9969999999999999"/>
  </r>
  <r>
    <x v="0"/>
    <x v="18"/>
    <x v="9"/>
    <x v="19"/>
    <s v="SE3_large"/>
    <x v="2"/>
    <n v="2.52"/>
    <n v="0.7"/>
  </r>
  <r>
    <x v="0"/>
    <x v="18"/>
    <x v="9"/>
    <x v="19"/>
    <s v="SE3_large"/>
    <x v="0"/>
    <n v="42.692399999999999"/>
    <n v="11.859"/>
  </r>
  <r>
    <x v="0"/>
    <x v="18"/>
    <x v="9"/>
    <x v="19"/>
    <s v="SE3_large"/>
    <x v="3"/>
    <n v="51.633543144067197"/>
    <n v="14.342650873352"/>
  </r>
  <r>
    <x v="0"/>
    <x v="18"/>
    <x v="9"/>
    <x v="19"/>
    <s v="SE3_large"/>
    <x v="4"/>
    <n v="15.1696304888152"/>
    <n v="4.21378624689312"/>
  </r>
  <r>
    <x v="0"/>
    <x v="18"/>
    <x v="9"/>
    <x v="19"/>
    <s v="SE3_large"/>
    <x v="5"/>
    <n v="15.1696304888152"/>
    <n v="4.21378624689312"/>
  </r>
  <r>
    <x v="0"/>
    <x v="18"/>
    <x v="9"/>
    <x v="19"/>
    <s v="SE3_large"/>
    <x v="6"/>
    <n v="29.476231795214598"/>
    <n v="8.1878421653373898"/>
  </r>
  <r>
    <x v="0"/>
    <x v="18"/>
    <x v="9"/>
    <x v="19"/>
    <s v="SE3_large"/>
    <x v="7"/>
    <n v="57.838935220261199"/>
    <n v="16.066370894517"/>
  </r>
  <r>
    <x v="0"/>
    <x v="18"/>
    <x v="9"/>
    <x v="19"/>
    <s v="SE3_large"/>
    <x v="8"/>
    <n v="57.838935220261199"/>
    <n v="16.066370894517"/>
  </r>
  <r>
    <x v="0"/>
    <x v="18"/>
    <x v="9"/>
    <x v="19"/>
    <s v="SE3_large"/>
    <x v="9"/>
    <n v="51.506187241093599"/>
    <n v="14.3072742336371"/>
  </r>
  <r>
    <x v="0"/>
    <x v="18"/>
    <x v="9"/>
    <x v="19"/>
    <s v="SE3_large"/>
    <x v="10"/>
    <n v="72.320331400165799"/>
    <n v="20.088980944490501"/>
  </r>
  <r>
    <x v="0"/>
    <x v="18"/>
    <x v="9"/>
    <x v="19"/>
    <s v="SE3_large"/>
    <x v="11"/>
    <n v="8.1139884009941898"/>
    <n v="2.2538856669428302"/>
  </r>
  <r>
    <x v="0"/>
    <x v="18"/>
    <x v="9"/>
    <x v="19"/>
    <s v="SE3_large"/>
    <x v="12"/>
    <n v="9.7995028997514597E-2"/>
    <n v="2.72208413881985E-2"/>
  </r>
  <r>
    <x v="0"/>
    <x v="18"/>
    <x v="9"/>
    <x v="19"/>
    <s v="SE3_large"/>
    <x v="13"/>
    <n v="24.3419652029826"/>
    <n v="6.7616570008285004"/>
  </r>
  <r>
    <x v="0"/>
    <x v="18"/>
    <x v="9"/>
    <x v="19"/>
    <s v="SE3_large"/>
    <x v="14"/>
    <n v="24.3419652029826"/>
    <n v="6.7616570008285004"/>
  </r>
  <r>
    <x v="0"/>
    <x v="18"/>
    <x v="9"/>
    <x v="19"/>
    <s v="SE3_large"/>
    <x v="15"/>
    <n v="1.65807589063794"/>
    <n v="0.46057663628831802"/>
  </r>
  <r>
    <x v="0"/>
    <x v="18"/>
    <x v="9"/>
    <x v="19"/>
    <s v="SE3_large"/>
    <x v="16"/>
    <n v="6.7156619979650802"/>
    <n v="1.8654616661014101"/>
  </r>
  <r>
    <x v="0"/>
    <x v="18"/>
    <x v="9"/>
    <x v="19"/>
    <s v="SE3_large"/>
    <x v="17"/>
    <n v="9.1244895875632395"/>
    <n v="2.5345804409897901"/>
  </r>
  <r>
    <x v="0"/>
    <x v="18"/>
    <x v="9"/>
    <x v="19"/>
    <s v="SE3_large"/>
    <x v="18"/>
    <n v="24.3419652029826"/>
    <n v="6.7616570008285004"/>
  </r>
  <r>
    <x v="0"/>
    <x v="18"/>
    <x v="9"/>
    <x v="19"/>
    <s v="SE3_large"/>
    <x v="19"/>
    <n v="8.1139884009941898"/>
    <n v="2.2538856669428302"/>
  </r>
  <r>
    <x v="0"/>
    <x v="18"/>
    <x v="9"/>
    <x v="19"/>
    <s v="SE3_large"/>
    <x v="20"/>
    <n v="21.431396138420201"/>
    <n v="5.9531655940056103"/>
  </r>
  <r>
    <x v="0"/>
    <x v="18"/>
    <x v="9"/>
    <x v="19"/>
    <s v="SE3_large"/>
    <x v="28"/>
    <n v="41.38758"/>
    <n v="11.496549999999999"/>
  </r>
  <r>
    <x v="0"/>
    <x v="18"/>
    <x v="9"/>
    <x v="19"/>
    <s v="SE3_large"/>
    <x v="21"/>
    <n v="48.24"/>
    <n v="13.4"/>
  </r>
  <r>
    <x v="0"/>
    <x v="18"/>
    <x v="9"/>
    <x v="19"/>
    <s v="SE3_large"/>
    <x v="22"/>
    <n v="67.680000000000007"/>
    <n v="18.8"/>
  </r>
  <r>
    <x v="0"/>
    <x v="18"/>
    <x v="9"/>
    <x v="19"/>
    <s v="SE3_large"/>
    <x v="23"/>
    <n v="0.31515896120488701"/>
    <n v="8.7544155890246306E-2"/>
  </r>
  <r>
    <x v="0"/>
    <x v="18"/>
    <x v="9"/>
    <x v="19"/>
    <s v="SE3_large"/>
    <x v="24"/>
    <n v="19.174223581093901"/>
    <n v="5.32617321697054"/>
  </r>
  <r>
    <x v="0"/>
    <x v="18"/>
    <x v="9"/>
    <x v="19"/>
    <s v="SE3_large"/>
    <x v="25"/>
    <n v="25.064747068787099"/>
    <n v="6.9624297413297498"/>
  </r>
  <r>
    <x v="0"/>
    <x v="18"/>
    <x v="9"/>
    <x v="19"/>
    <s v="SE3_large"/>
    <x v="26"/>
    <n v="32.516643167392601"/>
    <n v="9.03240087983127"/>
  </r>
  <r>
    <x v="0"/>
    <x v="18"/>
    <x v="9"/>
    <x v="19"/>
    <s v="SE3_large"/>
    <x v="27"/>
    <n v="20.163995508318798"/>
    <n v="5.6011098634218799"/>
  </r>
  <r>
    <x v="0"/>
    <x v="18"/>
    <x v="9"/>
    <x v="19"/>
    <s v="SE3_medium"/>
    <x v="1"/>
    <n v="35.989199999999997"/>
    <n v="9.9969999999999999"/>
  </r>
  <r>
    <x v="0"/>
    <x v="18"/>
    <x v="9"/>
    <x v="19"/>
    <s v="SE3_medium"/>
    <x v="2"/>
    <n v="2.52"/>
    <n v="0.7"/>
  </r>
  <r>
    <x v="0"/>
    <x v="18"/>
    <x v="9"/>
    <x v="19"/>
    <s v="SE3_medium"/>
    <x v="0"/>
    <n v="42.692399999999999"/>
    <n v="11.859"/>
  </r>
  <r>
    <x v="0"/>
    <x v="18"/>
    <x v="9"/>
    <x v="19"/>
    <s v="SE3_medium"/>
    <x v="3"/>
    <n v="51.633543144067197"/>
    <n v="14.342650873352"/>
  </r>
  <r>
    <x v="0"/>
    <x v="18"/>
    <x v="9"/>
    <x v="19"/>
    <s v="SE3_medium"/>
    <x v="4"/>
    <n v="15.1696304888152"/>
    <n v="4.21378624689312"/>
  </r>
  <r>
    <x v="0"/>
    <x v="18"/>
    <x v="9"/>
    <x v="19"/>
    <s v="SE3_medium"/>
    <x v="5"/>
    <n v="15.1696304888152"/>
    <n v="4.21378624689312"/>
  </r>
  <r>
    <x v="0"/>
    <x v="18"/>
    <x v="9"/>
    <x v="19"/>
    <s v="SE3_medium"/>
    <x v="6"/>
    <n v="29.476231795214598"/>
    <n v="8.1878421653373898"/>
  </r>
  <r>
    <x v="0"/>
    <x v="18"/>
    <x v="9"/>
    <x v="19"/>
    <s v="SE3_medium"/>
    <x v="7"/>
    <n v="57.838935220261199"/>
    <n v="16.066370894517"/>
  </r>
  <r>
    <x v="0"/>
    <x v="18"/>
    <x v="9"/>
    <x v="19"/>
    <s v="SE3_medium"/>
    <x v="8"/>
    <n v="57.838935220261199"/>
    <n v="16.066370894517"/>
  </r>
  <r>
    <x v="0"/>
    <x v="18"/>
    <x v="9"/>
    <x v="19"/>
    <s v="SE3_medium"/>
    <x v="9"/>
    <n v="51.506187241093599"/>
    <n v="14.3072742336371"/>
  </r>
  <r>
    <x v="0"/>
    <x v="18"/>
    <x v="9"/>
    <x v="19"/>
    <s v="SE3_medium"/>
    <x v="10"/>
    <n v="72.320331400165799"/>
    <n v="20.088980944490501"/>
  </r>
  <r>
    <x v="0"/>
    <x v="18"/>
    <x v="9"/>
    <x v="19"/>
    <s v="SE3_medium"/>
    <x v="11"/>
    <n v="8.1139884009941898"/>
    <n v="2.2538856669428302"/>
  </r>
  <r>
    <x v="0"/>
    <x v="18"/>
    <x v="9"/>
    <x v="19"/>
    <s v="SE3_medium"/>
    <x v="12"/>
    <n v="9.7995028997514597E-2"/>
    <n v="2.72208413881985E-2"/>
  </r>
  <r>
    <x v="0"/>
    <x v="18"/>
    <x v="9"/>
    <x v="19"/>
    <s v="SE3_medium"/>
    <x v="13"/>
    <n v="24.3419652029826"/>
    <n v="6.7616570008285004"/>
  </r>
  <r>
    <x v="0"/>
    <x v="18"/>
    <x v="9"/>
    <x v="19"/>
    <s v="SE3_medium"/>
    <x v="14"/>
    <n v="24.3419652029826"/>
    <n v="6.7616570008285004"/>
  </r>
  <r>
    <x v="0"/>
    <x v="18"/>
    <x v="9"/>
    <x v="19"/>
    <s v="SE3_medium"/>
    <x v="15"/>
    <n v="1.65807589063794"/>
    <n v="0.46057663628831802"/>
  </r>
  <r>
    <x v="0"/>
    <x v="18"/>
    <x v="9"/>
    <x v="19"/>
    <s v="SE3_medium"/>
    <x v="16"/>
    <n v="6.7156619979650802"/>
    <n v="1.8654616661014101"/>
  </r>
  <r>
    <x v="0"/>
    <x v="18"/>
    <x v="9"/>
    <x v="19"/>
    <s v="SE3_medium"/>
    <x v="17"/>
    <n v="9.1244895875632395"/>
    <n v="2.5345804409897901"/>
  </r>
  <r>
    <x v="0"/>
    <x v="18"/>
    <x v="9"/>
    <x v="19"/>
    <s v="SE3_medium"/>
    <x v="18"/>
    <n v="24.3419652029826"/>
    <n v="6.7616570008285004"/>
  </r>
  <r>
    <x v="0"/>
    <x v="18"/>
    <x v="9"/>
    <x v="19"/>
    <s v="SE3_medium"/>
    <x v="19"/>
    <n v="8.1139884009941898"/>
    <n v="2.2538856669428302"/>
  </r>
  <r>
    <x v="0"/>
    <x v="18"/>
    <x v="9"/>
    <x v="19"/>
    <s v="SE3_medium"/>
    <x v="20"/>
    <n v="21.431396138420201"/>
    <n v="5.9531655940056103"/>
  </r>
  <r>
    <x v="0"/>
    <x v="18"/>
    <x v="9"/>
    <x v="19"/>
    <s v="SE3_medium"/>
    <x v="28"/>
    <n v="41.38758"/>
    <n v="11.496549999999999"/>
  </r>
  <r>
    <x v="0"/>
    <x v="18"/>
    <x v="9"/>
    <x v="19"/>
    <s v="SE3_medium"/>
    <x v="21"/>
    <n v="48.24"/>
    <n v="13.4"/>
  </r>
  <r>
    <x v="0"/>
    <x v="18"/>
    <x v="9"/>
    <x v="19"/>
    <s v="SE3_medium"/>
    <x v="22"/>
    <n v="67.680000000000007"/>
    <n v="18.8"/>
  </r>
  <r>
    <x v="0"/>
    <x v="18"/>
    <x v="9"/>
    <x v="19"/>
    <s v="SE3_medium"/>
    <x v="23"/>
    <n v="0.31515896120488701"/>
    <n v="8.7544155890246306E-2"/>
  </r>
  <r>
    <x v="0"/>
    <x v="18"/>
    <x v="9"/>
    <x v="19"/>
    <s v="SE3_medium"/>
    <x v="24"/>
    <n v="19.174223581093901"/>
    <n v="5.32617321697054"/>
  </r>
  <r>
    <x v="0"/>
    <x v="18"/>
    <x v="9"/>
    <x v="19"/>
    <s v="SE3_medium"/>
    <x v="25"/>
    <n v="25.064747068787099"/>
    <n v="6.9624297413297498"/>
  </r>
  <r>
    <x v="0"/>
    <x v="18"/>
    <x v="9"/>
    <x v="19"/>
    <s v="SE3_medium"/>
    <x v="26"/>
    <n v="32.516643167392601"/>
    <n v="9.03240087983127"/>
  </r>
  <r>
    <x v="0"/>
    <x v="18"/>
    <x v="9"/>
    <x v="19"/>
    <s v="SE3_medium"/>
    <x v="27"/>
    <n v="20.163995508318798"/>
    <n v="5.6011098634218799"/>
  </r>
  <r>
    <x v="0"/>
    <x v="18"/>
    <x v="9"/>
    <x v="19"/>
    <s v="SE3_small"/>
    <x v="1"/>
    <n v="35.989199999999997"/>
    <n v="9.9969999999999999"/>
  </r>
  <r>
    <x v="0"/>
    <x v="18"/>
    <x v="9"/>
    <x v="19"/>
    <s v="SE3_small"/>
    <x v="2"/>
    <n v="2.52"/>
    <n v="0.7"/>
  </r>
  <r>
    <x v="0"/>
    <x v="18"/>
    <x v="9"/>
    <x v="19"/>
    <s v="SE3_small"/>
    <x v="0"/>
    <n v="42.692399999999999"/>
    <n v="11.859"/>
  </r>
  <r>
    <x v="0"/>
    <x v="18"/>
    <x v="9"/>
    <x v="19"/>
    <s v="SE3_small"/>
    <x v="3"/>
    <n v="51.633543144067197"/>
    <n v="14.342650873352"/>
  </r>
  <r>
    <x v="0"/>
    <x v="18"/>
    <x v="9"/>
    <x v="19"/>
    <s v="SE3_small"/>
    <x v="4"/>
    <n v="15.1696304888152"/>
    <n v="4.21378624689312"/>
  </r>
  <r>
    <x v="0"/>
    <x v="18"/>
    <x v="9"/>
    <x v="19"/>
    <s v="SE3_small"/>
    <x v="5"/>
    <n v="15.1696304888152"/>
    <n v="4.21378624689312"/>
  </r>
  <r>
    <x v="0"/>
    <x v="18"/>
    <x v="9"/>
    <x v="19"/>
    <s v="SE3_small"/>
    <x v="6"/>
    <n v="29.476231795214598"/>
    <n v="8.1878421653373898"/>
  </r>
  <r>
    <x v="0"/>
    <x v="18"/>
    <x v="9"/>
    <x v="19"/>
    <s v="SE3_small"/>
    <x v="7"/>
    <n v="57.838935220261199"/>
    <n v="16.066370894517"/>
  </r>
  <r>
    <x v="0"/>
    <x v="18"/>
    <x v="9"/>
    <x v="19"/>
    <s v="SE3_small"/>
    <x v="8"/>
    <n v="57.838935220261199"/>
    <n v="16.066370894517"/>
  </r>
  <r>
    <x v="0"/>
    <x v="18"/>
    <x v="9"/>
    <x v="19"/>
    <s v="SE3_small"/>
    <x v="9"/>
    <n v="51.506187241093599"/>
    <n v="14.3072742336371"/>
  </r>
  <r>
    <x v="0"/>
    <x v="18"/>
    <x v="9"/>
    <x v="19"/>
    <s v="SE3_small"/>
    <x v="10"/>
    <n v="72.320331400165799"/>
    <n v="20.088980944490501"/>
  </r>
  <r>
    <x v="0"/>
    <x v="18"/>
    <x v="9"/>
    <x v="19"/>
    <s v="SE3_small"/>
    <x v="11"/>
    <n v="8.1139884009941898"/>
    <n v="2.2538856669428302"/>
  </r>
  <r>
    <x v="0"/>
    <x v="18"/>
    <x v="9"/>
    <x v="19"/>
    <s v="SE3_small"/>
    <x v="12"/>
    <n v="9.7995028997514597E-2"/>
    <n v="2.72208413881985E-2"/>
  </r>
  <r>
    <x v="0"/>
    <x v="18"/>
    <x v="9"/>
    <x v="19"/>
    <s v="SE3_small"/>
    <x v="13"/>
    <n v="24.3419652029826"/>
    <n v="6.7616570008285004"/>
  </r>
  <r>
    <x v="0"/>
    <x v="18"/>
    <x v="9"/>
    <x v="19"/>
    <s v="SE3_small"/>
    <x v="14"/>
    <n v="24.3419652029826"/>
    <n v="6.7616570008285004"/>
  </r>
  <r>
    <x v="0"/>
    <x v="18"/>
    <x v="9"/>
    <x v="19"/>
    <s v="SE3_small"/>
    <x v="15"/>
    <n v="1.65807589063794"/>
    <n v="0.46057663628831802"/>
  </r>
  <r>
    <x v="0"/>
    <x v="18"/>
    <x v="9"/>
    <x v="19"/>
    <s v="SE3_small"/>
    <x v="16"/>
    <n v="6.7156619979650802"/>
    <n v="1.8654616661014101"/>
  </r>
  <r>
    <x v="0"/>
    <x v="18"/>
    <x v="9"/>
    <x v="19"/>
    <s v="SE3_small"/>
    <x v="17"/>
    <n v="9.1244895875632395"/>
    <n v="2.5345804409897901"/>
  </r>
  <r>
    <x v="0"/>
    <x v="18"/>
    <x v="9"/>
    <x v="19"/>
    <s v="SE3_small"/>
    <x v="18"/>
    <n v="24.3419652029826"/>
    <n v="6.7616570008285004"/>
  </r>
  <r>
    <x v="0"/>
    <x v="18"/>
    <x v="9"/>
    <x v="19"/>
    <s v="SE3_small"/>
    <x v="19"/>
    <n v="8.1139884009941898"/>
    <n v="2.2538856669428302"/>
  </r>
  <r>
    <x v="0"/>
    <x v="18"/>
    <x v="9"/>
    <x v="19"/>
    <s v="SE3_small"/>
    <x v="20"/>
    <n v="21.431396138420201"/>
    <n v="5.9531655940056103"/>
  </r>
  <r>
    <x v="0"/>
    <x v="18"/>
    <x v="9"/>
    <x v="19"/>
    <s v="SE3_small"/>
    <x v="28"/>
    <n v="41.38758"/>
    <n v="11.496549999999999"/>
  </r>
  <r>
    <x v="0"/>
    <x v="18"/>
    <x v="9"/>
    <x v="19"/>
    <s v="SE3_small"/>
    <x v="21"/>
    <n v="48.24"/>
    <n v="13.4"/>
  </r>
  <r>
    <x v="0"/>
    <x v="18"/>
    <x v="9"/>
    <x v="19"/>
    <s v="SE3_small"/>
    <x v="22"/>
    <n v="67.680000000000007"/>
    <n v="18.8"/>
  </r>
  <r>
    <x v="0"/>
    <x v="18"/>
    <x v="9"/>
    <x v="19"/>
    <s v="SE3_small"/>
    <x v="23"/>
    <n v="0.31515896120488701"/>
    <n v="8.7544155890246306E-2"/>
  </r>
  <r>
    <x v="0"/>
    <x v="18"/>
    <x v="9"/>
    <x v="19"/>
    <s v="SE3_small"/>
    <x v="24"/>
    <n v="19.174223581093901"/>
    <n v="5.32617321697054"/>
  </r>
  <r>
    <x v="0"/>
    <x v="18"/>
    <x v="9"/>
    <x v="19"/>
    <s v="SE3_small"/>
    <x v="25"/>
    <n v="25.064747068787099"/>
    <n v="6.9624297413297498"/>
  </r>
  <r>
    <x v="0"/>
    <x v="18"/>
    <x v="9"/>
    <x v="19"/>
    <s v="SE3_small"/>
    <x v="26"/>
    <n v="32.516643167392601"/>
    <n v="9.03240087983127"/>
  </r>
  <r>
    <x v="0"/>
    <x v="18"/>
    <x v="9"/>
    <x v="19"/>
    <s v="SE3_small"/>
    <x v="27"/>
    <n v="20.163995508318798"/>
    <n v="5.6011098634218799"/>
  </r>
  <r>
    <x v="0"/>
    <x v="18"/>
    <x v="9"/>
    <x v="20"/>
    <s v="SE4A"/>
    <x v="1"/>
    <n v="35.989199999999997"/>
    <n v="9.9969999999999999"/>
  </r>
  <r>
    <x v="0"/>
    <x v="18"/>
    <x v="9"/>
    <x v="20"/>
    <s v="SE4A"/>
    <x v="2"/>
    <n v="2.52"/>
    <n v="0.7"/>
  </r>
  <r>
    <x v="0"/>
    <x v="18"/>
    <x v="9"/>
    <x v="20"/>
    <s v="SE4A"/>
    <x v="0"/>
    <n v="42.692399999999999"/>
    <n v="11.859"/>
  </r>
  <r>
    <x v="0"/>
    <x v="18"/>
    <x v="9"/>
    <x v="20"/>
    <s v="SE4A"/>
    <x v="3"/>
    <n v="51.633543144067197"/>
    <n v="14.342650873352"/>
  </r>
  <r>
    <x v="0"/>
    <x v="18"/>
    <x v="9"/>
    <x v="20"/>
    <s v="SE4A"/>
    <x v="4"/>
    <n v="15.1696304888152"/>
    <n v="4.21378624689312"/>
  </r>
  <r>
    <x v="0"/>
    <x v="18"/>
    <x v="9"/>
    <x v="20"/>
    <s v="SE4A"/>
    <x v="5"/>
    <n v="15.1696304888152"/>
    <n v="4.21378624689312"/>
  </r>
  <r>
    <x v="0"/>
    <x v="18"/>
    <x v="9"/>
    <x v="20"/>
    <s v="SE4A"/>
    <x v="6"/>
    <n v="29.476231795214598"/>
    <n v="8.1878421653373898"/>
  </r>
  <r>
    <x v="0"/>
    <x v="18"/>
    <x v="9"/>
    <x v="20"/>
    <s v="SE4A"/>
    <x v="7"/>
    <n v="57.838935220261199"/>
    <n v="16.066370894517"/>
  </r>
  <r>
    <x v="0"/>
    <x v="18"/>
    <x v="9"/>
    <x v="20"/>
    <s v="SE4A"/>
    <x v="8"/>
    <n v="57.838935220261199"/>
    <n v="16.066370894517"/>
  </r>
  <r>
    <x v="0"/>
    <x v="18"/>
    <x v="9"/>
    <x v="20"/>
    <s v="SE4A"/>
    <x v="9"/>
    <n v="51.506187241093599"/>
    <n v="14.3072742336371"/>
  </r>
  <r>
    <x v="0"/>
    <x v="18"/>
    <x v="9"/>
    <x v="20"/>
    <s v="SE4A"/>
    <x v="10"/>
    <n v="72.320331400165799"/>
    <n v="20.088980944490501"/>
  </r>
  <r>
    <x v="0"/>
    <x v="18"/>
    <x v="9"/>
    <x v="20"/>
    <s v="SE4A"/>
    <x v="11"/>
    <n v="8.1139884009941898"/>
    <n v="2.2538856669428302"/>
  </r>
  <r>
    <x v="0"/>
    <x v="18"/>
    <x v="9"/>
    <x v="20"/>
    <s v="SE4A"/>
    <x v="12"/>
    <n v="9.7995028997514597E-2"/>
    <n v="2.72208413881985E-2"/>
  </r>
  <r>
    <x v="0"/>
    <x v="18"/>
    <x v="9"/>
    <x v="20"/>
    <s v="SE4A"/>
    <x v="13"/>
    <n v="24.3419652029826"/>
    <n v="6.7616570008285004"/>
  </r>
  <r>
    <x v="0"/>
    <x v="18"/>
    <x v="9"/>
    <x v="20"/>
    <s v="SE4A"/>
    <x v="14"/>
    <n v="24.3419652029826"/>
    <n v="6.7616570008285004"/>
  </r>
  <r>
    <x v="0"/>
    <x v="18"/>
    <x v="9"/>
    <x v="20"/>
    <s v="SE4A"/>
    <x v="15"/>
    <n v="1.65807589063794"/>
    <n v="0.46057663628831802"/>
  </r>
  <r>
    <x v="0"/>
    <x v="18"/>
    <x v="9"/>
    <x v="20"/>
    <s v="SE4A"/>
    <x v="16"/>
    <n v="6.7156619979650802"/>
    <n v="1.8654616661014101"/>
  </r>
  <r>
    <x v="0"/>
    <x v="18"/>
    <x v="9"/>
    <x v="20"/>
    <s v="SE4A"/>
    <x v="17"/>
    <n v="9.1244895875632395"/>
    <n v="2.5345804409897901"/>
  </r>
  <r>
    <x v="0"/>
    <x v="18"/>
    <x v="9"/>
    <x v="20"/>
    <s v="SE4A"/>
    <x v="18"/>
    <n v="24.3419652029826"/>
    <n v="6.7616570008285004"/>
  </r>
  <r>
    <x v="0"/>
    <x v="18"/>
    <x v="9"/>
    <x v="20"/>
    <s v="SE4A"/>
    <x v="19"/>
    <n v="8.1139884009941898"/>
    <n v="2.2538856669428302"/>
  </r>
  <r>
    <x v="0"/>
    <x v="18"/>
    <x v="9"/>
    <x v="20"/>
    <s v="SE4A"/>
    <x v="20"/>
    <n v="21.431396138420201"/>
    <n v="5.9531655940056103"/>
  </r>
  <r>
    <x v="0"/>
    <x v="18"/>
    <x v="9"/>
    <x v="20"/>
    <s v="SE4A"/>
    <x v="28"/>
    <n v="41.38758"/>
    <n v="11.496549999999999"/>
  </r>
  <r>
    <x v="0"/>
    <x v="18"/>
    <x v="9"/>
    <x v="20"/>
    <s v="SE4A"/>
    <x v="21"/>
    <n v="48.24"/>
    <n v="13.4"/>
  </r>
  <r>
    <x v="0"/>
    <x v="18"/>
    <x v="9"/>
    <x v="20"/>
    <s v="SE4A"/>
    <x v="22"/>
    <n v="67.680000000000007"/>
    <n v="18.8"/>
  </r>
  <r>
    <x v="0"/>
    <x v="18"/>
    <x v="9"/>
    <x v="20"/>
    <s v="SE4A"/>
    <x v="23"/>
    <n v="0.31515896120488701"/>
    <n v="8.7544155890246306E-2"/>
  </r>
  <r>
    <x v="0"/>
    <x v="18"/>
    <x v="9"/>
    <x v="20"/>
    <s v="SE4A"/>
    <x v="24"/>
    <n v="19.174223581093901"/>
    <n v="5.32617321697054"/>
  </r>
  <r>
    <x v="0"/>
    <x v="18"/>
    <x v="9"/>
    <x v="20"/>
    <s v="SE4A"/>
    <x v="25"/>
    <n v="25.064747068787099"/>
    <n v="6.9624297413297498"/>
  </r>
  <r>
    <x v="0"/>
    <x v="18"/>
    <x v="9"/>
    <x v="20"/>
    <s v="SE4A"/>
    <x v="26"/>
    <n v="32.516643167392601"/>
    <n v="9.03240087983127"/>
  </r>
  <r>
    <x v="0"/>
    <x v="18"/>
    <x v="9"/>
    <x v="20"/>
    <s v="SE4A"/>
    <x v="27"/>
    <n v="20.163995508318798"/>
    <n v="5.6011098634218799"/>
  </r>
  <r>
    <x v="0"/>
    <x v="18"/>
    <x v="9"/>
    <x v="20"/>
    <s v="SE4_IND"/>
    <x v="1"/>
    <n v="35.989199999999997"/>
    <n v="9.9969999999999999"/>
  </r>
  <r>
    <x v="0"/>
    <x v="18"/>
    <x v="9"/>
    <x v="20"/>
    <s v="SE4_IND"/>
    <x v="2"/>
    <n v="2.52"/>
    <n v="0.7"/>
  </r>
  <r>
    <x v="0"/>
    <x v="18"/>
    <x v="9"/>
    <x v="20"/>
    <s v="SE4_IND"/>
    <x v="0"/>
    <n v="42.692399999999999"/>
    <n v="11.859"/>
  </r>
  <r>
    <x v="0"/>
    <x v="18"/>
    <x v="9"/>
    <x v="20"/>
    <s v="SE4_IND"/>
    <x v="3"/>
    <n v="51.633543144067197"/>
    <n v="14.342650873352"/>
  </r>
  <r>
    <x v="0"/>
    <x v="18"/>
    <x v="9"/>
    <x v="20"/>
    <s v="SE4_IND"/>
    <x v="4"/>
    <n v="15.1696304888152"/>
    <n v="4.21378624689312"/>
  </r>
  <r>
    <x v="0"/>
    <x v="18"/>
    <x v="9"/>
    <x v="20"/>
    <s v="SE4_IND"/>
    <x v="5"/>
    <n v="15.1696304888152"/>
    <n v="4.21378624689312"/>
  </r>
  <r>
    <x v="0"/>
    <x v="18"/>
    <x v="9"/>
    <x v="20"/>
    <s v="SE4_IND"/>
    <x v="6"/>
    <n v="29.476231795214598"/>
    <n v="8.1878421653373898"/>
  </r>
  <r>
    <x v="0"/>
    <x v="18"/>
    <x v="9"/>
    <x v="20"/>
    <s v="SE4_IND"/>
    <x v="7"/>
    <n v="57.838935220261199"/>
    <n v="16.066370894517"/>
  </r>
  <r>
    <x v="0"/>
    <x v="18"/>
    <x v="9"/>
    <x v="20"/>
    <s v="SE4_IND"/>
    <x v="8"/>
    <n v="57.838935220261199"/>
    <n v="16.066370894517"/>
  </r>
  <r>
    <x v="0"/>
    <x v="18"/>
    <x v="9"/>
    <x v="20"/>
    <s v="SE4_IND"/>
    <x v="9"/>
    <n v="51.506187241093599"/>
    <n v="14.3072742336371"/>
  </r>
  <r>
    <x v="0"/>
    <x v="18"/>
    <x v="9"/>
    <x v="20"/>
    <s v="SE4_IND"/>
    <x v="10"/>
    <n v="72.320331400165799"/>
    <n v="20.088980944490501"/>
  </r>
  <r>
    <x v="0"/>
    <x v="18"/>
    <x v="9"/>
    <x v="20"/>
    <s v="SE4_IND"/>
    <x v="11"/>
    <n v="8.1139884009941898"/>
    <n v="2.2538856669428302"/>
  </r>
  <r>
    <x v="0"/>
    <x v="18"/>
    <x v="9"/>
    <x v="20"/>
    <s v="SE4_IND"/>
    <x v="12"/>
    <n v="9.7995028997514597E-2"/>
    <n v="2.72208413881985E-2"/>
  </r>
  <r>
    <x v="0"/>
    <x v="18"/>
    <x v="9"/>
    <x v="20"/>
    <s v="SE4_IND"/>
    <x v="13"/>
    <n v="24.3419652029826"/>
    <n v="6.7616570008285004"/>
  </r>
  <r>
    <x v="0"/>
    <x v="18"/>
    <x v="9"/>
    <x v="20"/>
    <s v="SE4_IND"/>
    <x v="14"/>
    <n v="24.3419652029826"/>
    <n v="6.7616570008285004"/>
  </r>
  <r>
    <x v="0"/>
    <x v="18"/>
    <x v="9"/>
    <x v="20"/>
    <s v="SE4_IND"/>
    <x v="15"/>
    <n v="1.65807589063794"/>
    <n v="0.46057663628831802"/>
  </r>
  <r>
    <x v="0"/>
    <x v="18"/>
    <x v="9"/>
    <x v="20"/>
    <s v="SE4_IND"/>
    <x v="16"/>
    <n v="6.7156619979650802"/>
    <n v="1.8654616661014101"/>
  </r>
  <r>
    <x v="0"/>
    <x v="18"/>
    <x v="9"/>
    <x v="20"/>
    <s v="SE4_IND"/>
    <x v="17"/>
    <n v="9.1244895875632395"/>
    <n v="2.5345804409897901"/>
  </r>
  <r>
    <x v="0"/>
    <x v="18"/>
    <x v="9"/>
    <x v="20"/>
    <s v="SE4_IND"/>
    <x v="18"/>
    <n v="24.3419652029826"/>
    <n v="6.7616570008285004"/>
  </r>
  <r>
    <x v="0"/>
    <x v="18"/>
    <x v="9"/>
    <x v="20"/>
    <s v="SE4_IND"/>
    <x v="19"/>
    <n v="8.1139884009941898"/>
    <n v="2.2538856669428302"/>
  </r>
  <r>
    <x v="0"/>
    <x v="18"/>
    <x v="9"/>
    <x v="20"/>
    <s v="SE4_IND"/>
    <x v="20"/>
    <n v="21.431396138420201"/>
    <n v="5.9531655940056103"/>
  </r>
  <r>
    <x v="0"/>
    <x v="18"/>
    <x v="9"/>
    <x v="20"/>
    <s v="SE4_IND"/>
    <x v="28"/>
    <n v="41.38758"/>
    <n v="11.496549999999999"/>
  </r>
  <r>
    <x v="0"/>
    <x v="18"/>
    <x v="9"/>
    <x v="20"/>
    <s v="SE4_IND"/>
    <x v="21"/>
    <n v="48.24"/>
    <n v="13.4"/>
  </r>
  <r>
    <x v="0"/>
    <x v="18"/>
    <x v="9"/>
    <x v="20"/>
    <s v="SE4_IND"/>
    <x v="22"/>
    <n v="67.680000000000007"/>
    <n v="18.8"/>
  </r>
  <r>
    <x v="0"/>
    <x v="18"/>
    <x v="9"/>
    <x v="20"/>
    <s v="SE4_IND"/>
    <x v="23"/>
    <n v="0.31515896120488701"/>
    <n v="8.7544155890246306E-2"/>
  </r>
  <r>
    <x v="0"/>
    <x v="18"/>
    <x v="9"/>
    <x v="20"/>
    <s v="SE4_IND"/>
    <x v="24"/>
    <n v="19.174223581093901"/>
    <n v="5.32617321697054"/>
  </r>
  <r>
    <x v="0"/>
    <x v="18"/>
    <x v="9"/>
    <x v="20"/>
    <s v="SE4_IND"/>
    <x v="25"/>
    <n v="25.064747068787099"/>
    <n v="6.9624297413297498"/>
  </r>
  <r>
    <x v="0"/>
    <x v="18"/>
    <x v="9"/>
    <x v="20"/>
    <s v="SE4_IND"/>
    <x v="26"/>
    <n v="32.516643167392601"/>
    <n v="9.03240087983127"/>
  </r>
  <r>
    <x v="0"/>
    <x v="18"/>
    <x v="9"/>
    <x v="20"/>
    <s v="SE4_IND"/>
    <x v="27"/>
    <n v="20.163995508318798"/>
    <n v="5.6011098634218799"/>
  </r>
  <r>
    <x v="0"/>
    <x v="18"/>
    <x v="9"/>
    <x v="20"/>
    <s v="SE4_Offshore"/>
    <x v="1"/>
    <n v="35.989199999999997"/>
    <n v="9.9969999999999999"/>
  </r>
  <r>
    <x v="0"/>
    <x v="18"/>
    <x v="9"/>
    <x v="20"/>
    <s v="SE4_Offshore"/>
    <x v="2"/>
    <n v="2.52"/>
    <n v="0.7"/>
  </r>
  <r>
    <x v="0"/>
    <x v="18"/>
    <x v="9"/>
    <x v="20"/>
    <s v="SE4_Offshore"/>
    <x v="0"/>
    <n v="42.692399999999999"/>
    <n v="11.859"/>
  </r>
  <r>
    <x v="0"/>
    <x v="18"/>
    <x v="9"/>
    <x v="20"/>
    <s v="SE4_Offshore"/>
    <x v="3"/>
    <n v="51.633543144067197"/>
    <n v="14.342650873352"/>
  </r>
  <r>
    <x v="0"/>
    <x v="18"/>
    <x v="9"/>
    <x v="20"/>
    <s v="SE4_Offshore"/>
    <x v="4"/>
    <n v="15.1696304888152"/>
    <n v="4.21378624689312"/>
  </r>
  <r>
    <x v="0"/>
    <x v="18"/>
    <x v="9"/>
    <x v="20"/>
    <s v="SE4_Offshore"/>
    <x v="5"/>
    <n v="15.1696304888152"/>
    <n v="4.21378624689312"/>
  </r>
  <r>
    <x v="0"/>
    <x v="18"/>
    <x v="9"/>
    <x v="20"/>
    <s v="SE4_Offshore"/>
    <x v="6"/>
    <n v="29.476231795214598"/>
    <n v="8.1878421653373898"/>
  </r>
  <r>
    <x v="0"/>
    <x v="18"/>
    <x v="9"/>
    <x v="20"/>
    <s v="SE4_Offshore"/>
    <x v="7"/>
    <n v="57.838935220261199"/>
    <n v="16.066370894517"/>
  </r>
  <r>
    <x v="0"/>
    <x v="18"/>
    <x v="9"/>
    <x v="20"/>
    <s v="SE4_Offshore"/>
    <x v="8"/>
    <n v="57.838935220261199"/>
    <n v="16.066370894517"/>
  </r>
  <r>
    <x v="0"/>
    <x v="18"/>
    <x v="9"/>
    <x v="20"/>
    <s v="SE4_Offshore"/>
    <x v="9"/>
    <n v="51.506187241093599"/>
    <n v="14.3072742336371"/>
  </r>
  <r>
    <x v="0"/>
    <x v="18"/>
    <x v="9"/>
    <x v="20"/>
    <s v="SE4_Offshore"/>
    <x v="10"/>
    <n v="72.320331400165799"/>
    <n v="20.088980944490501"/>
  </r>
  <r>
    <x v="0"/>
    <x v="18"/>
    <x v="9"/>
    <x v="20"/>
    <s v="SE4_Offshore"/>
    <x v="11"/>
    <n v="8.1139884009941898"/>
    <n v="2.2538856669428302"/>
  </r>
  <r>
    <x v="0"/>
    <x v="18"/>
    <x v="9"/>
    <x v="20"/>
    <s v="SE4_Offshore"/>
    <x v="12"/>
    <n v="9.7995028997514597E-2"/>
    <n v="2.72208413881985E-2"/>
  </r>
  <r>
    <x v="0"/>
    <x v="18"/>
    <x v="9"/>
    <x v="20"/>
    <s v="SE4_Offshore"/>
    <x v="13"/>
    <n v="24.3419652029826"/>
    <n v="6.7616570008285004"/>
  </r>
  <r>
    <x v="0"/>
    <x v="18"/>
    <x v="9"/>
    <x v="20"/>
    <s v="SE4_Offshore"/>
    <x v="14"/>
    <n v="24.3419652029826"/>
    <n v="6.7616570008285004"/>
  </r>
  <r>
    <x v="0"/>
    <x v="18"/>
    <x v="9"/>
    <x v="20"/>
    <s v="SE4_Offshore"/>
    <x v="15"/>
    <n v="1.65807589063794"/>
    <n v="0.46057663628831802"/>
  </r>
  <r>
    <x v="0"/>
    <x v="18"/>
    <x v="9"/>
    <x v="20"/>
    <s v="SE4_Offshore"/>
    <x v="16"/>
    <n v="6.7156619979650802"/>
    <n v="1.8654616661014101"/>
  </r>
  <r>
    <x v="0"/>
    <x v="18"/>
    <x v="9"/>
    <x v="20"/>
    <s v="SE4_Offshore"/>
    <x v="17"/>
    <n v="9.1244895875632395"/>
    <n v="2.5345804409897901"/>
  </r>
  <r>
    <x v="0"/>
    <x v="18"/>
    <x v="9"/>
    <x v="20"/>
    <s v="SE4_Offshore"/>
    <x v="18"/>
    <n v="24.3419652029826"/>
    <n v="6.7616570008285004"/>
  </r>
  <r>
    <x v="0"/>
    <x v="18"/>
    <x v="9"/>
    <x v="20"/>
    <s v="SE4_Offshore"/>
    <x v="19"/>
    <n v="8.1139884009941898"/>
    <n v="2.2538856669428302"/>
  </r>
  <r>
    <x v="0"/>
    <x v="18"/>
    <x v="9"/>
    <x v="20"/>
    <s v="SE4_Offshore"/>
    <x v="20"/>
    <n v="21.431396138420201"/>
    <n v="5.9531655940056103"/>
  </r>
  <r>
    <x v="0"/>
    <x v="18"/>
    <x v="9"/>
    <x v="20"/>
    <s v="SE4_Offshore"/>
    <x v="28"/>
    <n v="41.38758"/>
    <n v="11.496549999999999"/>
  </r>
  <r>
    <x v="0"/>
    <x v="18"/>
    <x v="9"/>
    <x v="20"/>
    <s v="SE4_Offshore"/>
    <x v="21"/>
    <n v="48.24"/>
    <n v="13.4"/>
  </r>
  <r>
    <x v="0"/>
    <x v="18"/>
    <x v="9"/>
    <x v="20"/>
    <s v="SE4_Offshore"/>
    <x v="22"/>
    <n v="67.680000000000007"/>
    <n v="18.8"/>
  </r>
  <r>
    <x v="0"/>
    <x v="18"/>
    <x v="9"/>
    <x v="20"/>
    <s v="SE4_Offshore"/>
    <x v="23"/>
    <n v="0.31515896120488701"/>
    <n v="8.7544155890246306E-2"/>
  </r>
  <r>
    <x v="0"/>
    <x v="18"/>
    <x v="9"/>
    <x v="20"/>
    <s v="SE4_Offshore"/>
    <x v="24"/>
    <n v="19.174223581093901"/>
    <n v="5.32617321697054"/>
  </r>
  <r>
    <x v="0"/>
    <x v="18"/>
    <x v="9"/>
    <x v="20"/>
    <s v="SE4_Offshore"/>
    <x v="25"/>
    <n v="25.064747068787099"/>
    <n v="6.9624297413297498"/>
  </r>
  <r>
    <x v="0"/>
    <x v="18"/>
    <x v="9"/>
    <x v="20"/>
    <s v="SE4_Offshore"/>
    <x v="26"/>
    <n v="32.516643167392601"/>
    <n v="9.03240087983127"/>
  </r>
  <r>
    <x v="0"/>
    <x v="18"/>
    <x v="9"/>
    <x v="20"/>
    <s v="SE4_Offshore"/>
    <x v="27"/>
    <n v="20.163995508318798"/>
    <n v="5.6011098634218799"/>
  </r>
  <r>
    <x v="0"/>
    <x v="18"/>
    <x v="9"/>
    <x v="20"/>
    <s v="SE4_large"/>
    <x v="1"/>
    <n v="35.989199999999997"/>
    <n v="9.9969999999999999"/>
  </r>
  <r>
    <x v="0"/>
    <x v="18"/>
    <x v="9"/>
    <x v="20"/>
    <s v="SE4_large"/>
    <x v="2"/>
    <n v="2.52"/>
    <n v="0.7"/>
  </r>
  <r>
    <x v="0"/>
    <x v="18"/>
    <x v="9"/>
    <x v="20"/>
    <s v="SE4_large"/>
    <x v="0"/>
    <n v="42.692399999999999"/>
    <n v="11.859"/>
  </r>
  <r>
    <x v="0"/>
    <x v="18"/>
    <x v="9"/>
    <x v="20"/>
    <s v="SE4_large"/>
    <x v="3"/>
    <n v="51.633543144067197"/>
    <n v="14.342650873352"/>
  </r>
  <r>
    <x v="0"/>
    <x v="18"/>
    <x v="9"/>
    <x v="20"/>
    <s v="SE4_large"/>
    <x v="4"/>
    <n v="15.1696304888152"/>
    <n v="4.21378624689312"/>
  </r>
  <r>
    <x v="0"/>
    <x v="18"/>
    <x v="9"/>
    <x v="20"/>
    <s v="SE4_large"/>
    <x v="5"/>
    <n v="15.1696304888152"/>
    <n v="4.21378624689312"/>
  </r>
  <r>
    <x v="0"/>
    <x v="18"/>
    <x v="9"/>
    <x v="20"/>
    <s v="SE4_large"/>
    <x v="6"/>
    <n v="29.476231795214598"/>
    <n v="8.1878421653373898"/>
  </r>
  <r>
    <x v="0"/>
    <x v="18"/>
    <x v="9"/>
    <x v="20"/>
    <s v="SE4_large"/>
    <x v="7"/>
    <n v="57.838935220261199"/>
    <n v="16.066370894517"/>
  </r>
  <r>
    <x v="0"/>
    <x v="18"/>
    <x v="9"/>
    <x v="20"/>
    <s v="SE4_large"/>
    <x v="8"/>
    <n v="57.838935220261199"/>
    <n v="16.066370894517"/>
  </r>
  <r>
    <x v="0"/>
    <x v="18"/>
    <x v="9"/>
    <x v="20"/>
    <s v="SE4_large"/>
    <x v="9"/>
    <n v="51.506187241093599"/>
    <n v="14.3072742336371"/>
  </r>
  <r>
    <x v="0"/>
    <x v="18"/>
    <x v="9"/>
    <x v="20"/>
    <s v="SE4_large"/>
    <x v="10"/>
    <n v="72.320331400165799"/>
    <n v="20.088980944490501"/>
  </r>
  <r>
    <x v="0"/>
    <x v="18"/>
    <x v="9"/>
    <x v="20"/>
    <s v="SE4_large"/>
    <x v="11"/>
    <n v="8.1139884009941898"/>
    <n v="2.2538856669428302"/>
  </r>
  <r>
    <x v="0"/>
    <x v="18"/>
    <x v="9"/>
    <x v="20"/>
    <s v="SE4_large"/>
    <x v="12"/>
    <n v="9.7995028997514597E-2"/>
    <n v="2.72208413881985E-2"/>
  </r>
  <r>
    <x v="0"/>
    <x v="18"/>
    <x v="9"/>
    <x v="20"/>
    <s v="SE4_large"/>
    <x v="13"/>
    <n v="24.3419652029826"/>
    <n v="6.7616570008285004"/>
  </r>
  <r>
    <x v="0"/>
    <x v="18"/>
    <x v="9"/>
    <x v="20"/>
    <s v="SE4_large"/>
    <x v="14"/>
    <n v="24.3419652029826"/>
    <n v="6.7616570008285004"/>
  </r>
  <r>
    <x v="0"/>
    <x v="18"/>
    <x v="9"/>
    <x v="20"/>
    <s v="SE4_large"/>
    <x v="15"/>
    <n v="1.65807589063794"/>
    <n v="0.46057663628831802"/>
  </r>
  <r>
    <x v="0"/>
    <x v="18"/>
    <x v="9"/>
    <x v="20"/>
    <s v="SE4_large"/>
    <x v="16"/>
    <n v="6.7156619979650802"/>
    <n v="1.8654616661014101"/>
  </r>
  <r>
    <x v="0"/>
    <x v="18"/>
    <x v="9"/>
    <x v="20"/>
    <s v="SE4_large"/>
    <x v="17"/>
    <n v="9.1244895875632395"/>
    <n v="2.5345804409897901"/>
  </r>
  <r>
    <x v="0"/>
    <x v="18"/>
    <x v="9"/>
    <x v="20"/>
    <s v="SE4_large"/>
    <x v="18"/>
    <n v="24.3419652029826"/>
    <n v="6.7616570008285004"/>
  </r>
  <r>
    <x v="0"/>
    <x v="18"/>
    <x v="9"/>
    <x v="20"/>
    <s v="SE4_large"/>
    <x v="19"/>
    <n v="8.1139884009941898"/>
    <n v="2.2538856669428302"/>
  </r>
  <r>
    <x v="0"/>
    <x v="18"/>
    <x v="9"/>
    <x v="20"/>
    <s v="SE4_large"/>
    <x v="20"/>
    <n v="21.431396138420201"/>
    <n v="5.9531655940056103"/>
  </r>
  <r>
    <x v="0"/>
    <x v="18"/>
    <x v="9"/>
    <x v="20"/>
    <s v="SE4_large"/>
    <x v="28"/>
    <n v="41.38758"/>
    <n v="11.496549999999999"/>
  </r>
  <r>
    <x v="0"/>
    <x v="18"/>
    <x v="9"/>
    <x v="20"/>
    <s v="SE4_large"/>
    <x v="21"/>
    <n v="48.24"/>
    <n v="13.4"/>
  </r>
  <r>
    <x v="0"/>
    <x v="18"/>
    <x v="9"/>
    <x v="20"/>
    <s v="SE4_large"/>
    <x v="22"/>
    <n v="67.680000000000007"/>
    <n v="18.8"/>
  </r>
  <r>
    <x v="0"/>
    <x v="18"/>
    <x v="9"/>
    <x v="20"/>
    <s v="SE4_large"/>
    <x v="23"/>
    <n v="0.31515896120488701"/>
    <n v="8.7544155890246306E-2"/>
  </r>
  <r>
    <x v="0"/>
    <x v="18"/>
    <x v="9"/>
    <x v="20"/>
    <s v="SE4_large"/>
    <x v="24"/>
    <n v="19.174223581093901"/>
    <n v="5.32617321697054"/>
  </r>
  <r>
    <x v="0"/>
    <x v="18"/>
    <x v="9"/>
    <x v="20"/>
    <s v="SE4_large"/>
    <x v="25"/>
    <n v="25.064747068787099"/>
    <n v="6.9624297413297498"/>
  </r>
  <r>
    <x v="0"/>
    <x v="18"/>
    <x v="9"/>
    <x v="20"/>
    <s v="SE4_large"/>
    <x v="26"/>
    <n v="32.516643167392601"/>
    <n v="9.03240087983127"/>
  </r>
  <r>
    <x v="0"/>
    <x v="18"/>
    <x v="9"/>
    <x v="20"/>
    <s v="SE4_large"/>
    <x v="27"/>
    <n v="20.163995508318798"/>
    <n v="5.6011098634218799"/>
  </r>
  <r>
    <x v="0"/>
    <x v="18"/>
    <x v="9"/>
    <x v="20"/>
    <s v="SE4_medium"/>
    <x v="1"/>
    <n v="35.989199999999997"/>
    <n v="9.9969999999999999"/>
  </r>
  <r>
    <x v="0"/>
    <x v="18"/>
    <x v="9"/>
    <x v="20"/>
    <s v="SE4_medium"/>
    <x v="2"/>
    <n v="2.52"/>
    <n v="0.7"/>
  </r>
  <r>
    <x v="0"/>
    <x v="18"/>
    <x v="9"/>
    <x v="20"/>
    <s v="SE4_medium"/>
    <x v="0"/>
    <n v="42.692399999999999"/>
    <n v="11.859"/>
  </r>
  <r>
    <x v="0"/>
    <x v="18"/>
    <x v="9"/>
    <x v="20"/>
    <s v="SE4_medium"/>
    <x v="3"/>
    <n v="51.633543144067197"/>
    <n v="14.342650873352"/>
  </r>
  <r>
    <x v="0"/>
    <x v="18"/>
    <x v="9"/>
    <x v="20"/>
    <s v="SE4_medium"/>
    <x v="4"/>
    <n v="15.1696304888152"/>
    <n v="4.21378624689312"/>
  </r>
  <r>
    <x v="0"/>
    <x v="18"/>
    <x v="9"/>
    <x v="20"/>
    <s v="SE4_medium"/>
    <x v="5"/>
    <n v="15.1696304888152"/>
    <n v="4.21378624689312"/>
  </r>
  <r>
    <x v="0"/>
    <x v="18"/>
    <x v="9"/>
    <x v="20"/>
    <s v="SE4_medium"/>
    <x v="6"/>
    <n v="29.476231795214598"/>
    <n v="8.1878421653373898"/>
  </r>
  <r>
    <x v="0"/>
    <x v="18"/>
    <x v="9"/>
    <x v="20"/>
    <s v="SE4_medium"/>
    <x v="7"/>
    <n v="57.838935220261199"/>
    <n v="16.066370894517"/>
  </r>
  <r>
    <x v="0"/>
    <x v="18"/>
    <x v="9"/>
    <x v="20"/>
    <s v="SE4_medium"/>
    <x v="8"/>
    <n v="57.838935220261199"/>
    <n v="16.066370894517"/>
  </r>
  <r>
    <x v="0"/>
    <x v="18"/>
    <x v="9"/>
    <x v="20"/>
    <s v="SE4_medium"/>
    <x v="9"/>
    <n v="51.506187241093599"/>
    <n v="14.3072742336371"/>
  </r>
  <r>
    <x v="0"/>
    <x v="18"/>
    <x v="9"/>
    <x v="20"/>
    <s v="SE4_medium"/>
    <x v="10"/>
    <n v="72.320331400165799"/>
    <n v="20.088980944490501"/>
  </r>
  <r>
    <x v="0"/>
    <x v="18"/>
    <x v="9"/>
    <x v="20"/>
    <s v="SE4_medium"/>
    <x v="11"/>
    <n v="8.1139884009941898"/>
    <n v="2.2538856669428302"/>
  </r>
  <r>
    <x v="0"/>
    <x v="18"/>
    <x v="9"/>
    <x v="20"/>
    <s v="SE4_medium"/>
    <x v="12"/>
    <n v="9.7995028997514597E-2"/>
    <n v="2.72208413881985E-2"/>
  </r>
  <r>
    <x v="0"/>
    <x v="18"/>
    <x v="9"/>
    <x v="20"/>
    <s v="SE4_medium"/>
    <x v="13"/>
    <n v="24.3419652029826"/>
    <n v="6.7616570008285004"/>
  </r>
  <r>
    <x v="0"/>
    <x v="18"/>
    <x v="9"/>
    <x v="20"/>
    <s v="SE4_medium"/>
    <x v="14"/>
    <n v="24.3419652029826"/>
    <n v="6.7616570008285004"/>
  </r>
  <r>
    <x v="0"/>
    <x v="18"/>
    <x v="9"/>
    <x v="20"/>
    <s v="SE4_medium"/>
    <x v="15"/>
    <n v="1.65807589063794"/>
    <n v="0.46057663628831802"/>
  </r>
  <r>
    <x v="0"/>
    <x v="18"/>
    <x v="9"/>
    <x v="20"/>
    <s v="SE4_medium"/>
    <x v="16"/>
    <n v="6.7156619979650802"/>
    <n v="1.8654616661014101"/>
  </r>
  <r>
    <x v="0"/>
    <x v="18"/>
    <x v="9"/>
    <x v="20"/>
    <s v="SE4_medium"/>
    <x v="17"/>
    <n v="9.1244895875632395"/>
    <n v="2.5345804409897901"/>
  </r>
  <r>
    <x v="0"/>
    <x v="18"/>
    <x v="9"/>
    <x v="20"/>
    <s v="SE4_medium"/>
    <x v="18"/>
    <n v="24.3419652029826"/>
    <n v="6.7616570008285004"/>
  </r>
  <r>
    <x v="0"/>
    <x v="18"/>
    <x v="9"/>
    <x v="20"/>
    <s v="SE4_medium"/>
    <x v="19"/>
    <n v="8.1139884009941898"/>
    <n v="2.2538856669428302"/>
  </r>
  <r>
    <x v="0"/>
    <x v="18"/>
    <x v="9"/>
    <x v="20"/>
    <s v="SE4_medium"/>
    <x v="20"/>
    <n v="21.431396138420201"/>
    <n v="5.9531655940056103"/>
  </r>
  <r>
    <x v="0"/>
    <x v="18"/>
    <x v="9"/>
    <x v="20"/>
    <s v="SE4_medium"/>
    <x v="28"/>
    <n v="41.38758"/>
    <n v="11.496549999999999"/>
  </r>
  <r>
    <x v="0"/>
    <x v="18"/>
    <x v="9"/>
    <x v="20"/>
    <s v="SE4_medium"/>
    <x v="21"/>
    <n v="48.24"/>
    <n v="13.4"/>
  </r>
  <r>
    <x v="0"/>
    <x v="18"/>
    <x v="9"/>
    <x v="20"/>
    <s v="SE4_medium"/>
    <x v="22"/>
    <n v="67.680000000000007"/>
    <n v="18.8"/>
  </r>
  <r>
    <x v="0"/>
    <x v="18"/>
    <x v="9"/>
    <x v="20"/>
    <s v="SE4_medium"/>
    <x v="23"/>
    <n v="0.31515896120488701"/>
    <n v="8.7544155890246306E-2"/>
  </r>
  <r>
    <x v="0"/>
    <x v="18"/>
    <x v="9"/>
    <x v="20"/>
    <s v="SE4_medium"/>
    <x v="24"/>
    <n v="19.174223581093901"/>
    <n v="5.32617321697054"/>
  </r>
  <r>
    <x v="0"/>
    <x v="18"/>
    <x v="9"/>
    <x v="20"/>
    <s v="SE4_medium"/>
    <x v="25"/>
    <n v="25.064747068787099"/>
    <n v="6.9624297413297498"/>
  </r>
  <r>
    <x v="0"/>
    <x v="18"/>
    <x v="9"/>
    <x v="20"/>
    <s v="SE4_medium"/>
    <x v="26"/>
    <n v="32.516643167392601"/>
    <n v="9.03240087983127"/>
  </r>
  <r>
    <x v="0"/>
    <x v="18"/>
    <x v="9"/>
    <x v="20"/>
    <s v="SE4_medium"/>
    <x v="27"/>
    <n v="20.163995508318798"/>
    <n v="5.6011098634218799"/>
  </r>
  <r>
    <x v="0"/>
    <x v="18"/>
    <x v="9"/>
    <x v="20"/>
    <s v="SE4_small"/>
    <x v="1"/>
    <n v="35.989199999999997"/>
    <n v="9.9969999999999999"/>
  </r>
  <r>
    <x v="0"/>
    <x v="18"/>
    <x v="9"/>
    <x v="20"/>
    <s v="SE4_small"/>
    <x v="2"/>
    <n v="2.52"/>
    <n v="0.7"/>
  </r>
  <r>
    <x v="0"/>
    <x v="18"/>
    <x v="9"/>
    <x v="20"/>
    <s v="SE4_small"/>
    <x v="0"/>
    <n v="42.692399999999999"/>
    <n v="11.859"/>
  </r>
  <r>
    <x v="0"/>
    <x v="18"/>
    <x v="9"/>
    <x v="20"/>
    <s v="SE4_small"/>
    <x v="3"/>
    <n v="51.633543144067197"/>
    <n v="14.342650873352"/>
  </r>
  <r>
    <x v="0"/>
    <x v="18"/>
    <x v="9"/>
    <x v="20"/>
    <s v="SE4_small"/>
    <x v="4"/>
    <n v="15.1696304888152"/>
    <n v="4.21378624689312"/>
  </r>
  <r>
    <x v="0"/>
    <x v="18"/>
    <x v="9"/>
    <x v="20"/>
    <s v="SE4_small"/>
    <x v="5"/>
    <n v="15.1696304888152"/>
    <n v="4.21378624689312"/>
  </r>
  <r>
    <x v="0"/>
    <x v="18"/>
    <x v="9"/>
    <x v="20"/>
    <s v="SE4_small"/>
    <x v="6"/>
    <n v="29.476231795214598"/>
    <n v="8.1878421653373898"/>
  </r>
  <r>
    <x v="0"/>
    <x v="18"/>
    <x v="9"/>
    <x v="20"/>
    <s v="SE4_small"/>
    <x v="7"/>
    <n v="57.838935220261199"/>
    <n v="16.066370894517"/>
  </r>
  <r>
    <x v="0"/>
    <x v="18"/>
    <x v="9"/>
    <x v="20"/>
    <s v="SE4_small"/>
    <x v="8"/>
    <n v="57.838935220261199"/>
    <n v="16.066370894517"/>
  </r>
  <r>
    <x v="0"/>
    <x v="18"/>
    <x v="9"/>
    <x v="20"/>
    <s v="SE4_small"/>
    <x v="9"/>
    <n v="51.506187241093599"/>
    <n v="14.3072742336371"/>
  </r>
  <r>
    <x v="0"/>
    <x v="18"/>
    <x v="9"/>
    <x v="20"/>
    <s v="SE4_small"/>
    <x v="10"/>
    <n v="72.320331400165799"/>
    <n v="20.088980944490501"/>
  </r>
  <r>
    <x v="0"/>
    <x v="18"/>
    <x v="9"/>
    <x v="20"/>
    <s v="SE4_small"/>
    <x v="11"/>
    <n v="8.1139884009941898"/>
    <n v="2.2538856669428302"/>
  </r>
  <r>
    <x v="0"/>
    <x v="18"/>
    <x v="9"/>
    <x v="20"/>
    <s v="SE4_small"/>
    <x v="12"/>
    <n v="9.7995028997514597E-2"/>
    <n v="2.72208413881985E-2"/>
  </r>
  <r>
    <x v="0"/>
    <x v="18"/>
    <x v="9"/>
    <x v="20"/>
    <s v="SE4_small"/>
    <x v="13"/>
    <n v="24.3419652029826"/>
    <n v="6.7616570008285004"/>
  </r>
  <r>
    <x v="0"/>
    <x v="18"/>
    <x v="9"/>
    <x v="20"/>
    <s v="SE4_small"/>
    <x v="14"/>
    <n v="24.3419652029826"/>
    <n v="6.7616570008285004"/>
  </r>
  <r>
    <x v="0"/>
    <x v="18"/>
    <x v="9"/>
    <x v="20"/>
    <s v="SE4_small"/>
    <x v="15"/>
    <n v="1.65807589063794"/>
    <n v="0.46057663628831802"/>
  </r>
  <r>
    <x v="0"/>
    <x v="18"/>
    <x v="9"/>
    <x v="20"/>
    <s v="SE4_small"/>
    <x v="16"/>
    <n v="6.7156619979650802"/>
    <n v="1.8654616661014101"/>
  </r>
  <r>
    <x v="0"/>
    <x v="18"/>
    <x v="9"/>
    <x v="20"/>
    <s v="SE4_small"/>
    <x v="17"/>
    <n v="9.1244895875632395"/>
    <n v="2.5345804409897901"/>
  </r>
  <r>
    <x v="0"/>
    <x v="18"/>
    <x v="9"/>
    <x v="20"/>
    <s v="SE4_small"/>
    <x v="18"/>
    <n v="24.3419652029826"/>
    <n v="6.7616570008285004"/>
  </r>
  <r>
    <x v="0"/>
    <x v="18"/>
    <x v="9"/>
    <x v="20"/>
    <s v="SE4_small"/>
    <x v="19"/>
    <n v="8.1139884009941898"/>
    <n v="2.2538856669428302"/>
  </r>
  <r>
    <x v="0"/>
    <x v="18"/>
    <x v="9"/>
    <x v="20"/>
    <s v="SE4_small"/>
    <x v="20"/>
    <n v="21.431396138420201"/>
    <n v="5.9531655940056103"/>
  </r>
  <r>
    <x v="0"/>
    <x v="18"/>
    <x v="9"/>
    <x v="20"/>
    <s v="SE4_small"/>
    <x v="28"/>
    <n v="41.38758"/>
    <n v="11.496549999999999"/>
  </r>
  <r>
    <x v="0"/>
    <x v="18"/>
    <x v="9"/>
    <x v="20"/>
    <s v="SE4_small"/>
    <x v="21"/>
    <n v="48.24"/>
    <n v="13.4"/>
  </r>
  <r>
    <x v="0"/>
    <x v="18"/>
    <x v="9"/>
    <x v="20"/>
    <s v="SE4_small"/>
    <x v="22"/>
    <n v="67.680000000000007"/>
    <n v="18.8"/>
  </r>
  <r>
    <x v="0"/>
    <x v="18"/>
    <x v="9"/>
    <x v="20"/>
    <s v="SE4_small"/>
    <x v="23"/>
    <n v="0.31515896120488701"/>
    <n v="8.7544155890246306E-2"/>
  </r>
  <r>
    <x v="0"/>
    <x v="18"/>
    <x v="9"/>
    <x v="20"/>
    <s v="SE4_small"/>
    <x v="24"/>
    <n v="19.174223581093901"/>
    <n v="5.32617321697054"/>
  </r>
  <r>
    <x v="0"/>
    <x v="18"/>
    <x v="9"/>
    <x v="20"/>
    <s v="SE4_small"/>
    <x v="25"/>
    <n v="25.064747068787099"/>
    <n v="6.9624297413297498"/>
  </r>
  <r>
    <x v="0"/>
    <x v="18"/>
    <x v="9"/>
    <x v="20"/>
    <s v="SE4_small"/>
    <x v="26"/>
    <n v="32.516643167392601"/>
    <n v="9.03240087983127"/>
  </r>
  <r>
    <x v="0"/>
    <x v="18"/>
    <x v="9"/>
    <x v="20"/>
    <s v="SE4_small"/>
    <x v="27"/>
    <n v="20.163995508318798"/>
    <n v="5.6011098634218799"/>
  </r>
  <r>
    <x v="0"/>
    <x v="18"/>
    <x v="10"/>
    <x v="21"/>
    <s v="UK_A"/>
    <x v="1"/>
    <n v="35.989199999999997"/>
    <n v="9.9969999999999999"/>
  </r>
  <r>
    <x v="0"/>
    <x v="18"/>
    <x v="10"/>
    <x v="21"/>
    <s v="UK_A"/>
    <x v="2"/>
    <n v="2.52"/>
    <n v="0.7"/>
  </r>
  <r>
    <x v="0"/>
    <x v="18"/>
    <x v="10"/>
    <x v="21"/>
    <s v="UK_A"/>
    <x v="0"/>
    <n v="42.692399999999999"/>
    <n v="11.859"/>
  </r>
  <r>
    <x v="0"/>
    <x v="18"/>
    <x v="10"/>
    <x v="21"/>
    <s v="UK_A"/>
    <x v="3"/>
    <n v="51.633543144067197"/>
    <n v="14.342650873352"/>
  </r>
  <r>
    <x v="0"/>
    <x v="18"/>
    <x v="10"/>
    <x v="21"/>
    <s v="UK_A"/>
    <x v="4"/>
    <n v="15.1696304888152"/>
    <n v="4.21378624689312"/>
  </r>
  <r>
    <x v="0"/>
    <x v="18"/>
    <x v="10"/>
    <x v="21"/>
    <s v="UK_A"/>
    <x v="5"/>
    <n v="15.1696304888152"/>
    <n v="4.21378624689312"/>
  </r>
  <r>
    <x v="0"/>
    <x v="18"/>
    <x v="10"/>
    <x v="21"/>
    <s v="UK_A"/>
    <x v="6"/>
    <n v="29.476231795214598"/>
    <n v="8.1878421653373898"/>
  </r>
  <r>
    <x v="0"/>
    <x v="18"/>
    <x v="10"/>
    <x v="21"/>
    <s v="UK_A"/>
    <x v="7"/>
    <n v="57.838935220261199"/>
    <n v="16.066370894517"/>
  </r>
  <r>
    <x v="0"/>
    <x v="18"/>
    <x v="10"/>
    <x v="21"/>
    <s v="UK_A"/>
    <x v="8"/>
    <n v="57.838935220261199"/>
    <n v="16.066370894517"/>
  </r>
  <r>
    <x v="0"/>
    <x v="18"/>
    <x v="10"/>
    <x v="21"/>
    <s v="UK_A"/>
    <x v="9"/>
    <n v="51.506187241093599"/>
    <n v="14.3072742336371"/>
  </r>
  <r>
    <x v="0"/>
    <x v="18"/>
    <x v="10"/>
    <x v="21"/>
    <s v="UK_A"/>
    <x v="10"/>
    <n v="72.320331400165799"/>
    <n v="20.088980944490501"/>
  </r>
  <r>
    <x v="0"/>
    <x v="18"/>
    <x v="10"/>
    <x v="21"/>
    <s v="UK_A"/>
    <x v="11"/>
    <n v="8.1139884009941898"/>
    <n v="2.2538856669428302"/>
  </r>
  <r>
    <x v="0"/>
    <x v="18"/>
    <x v="10"/>
    <x v="21"/>
    <s v="UK_A"/>
    <x v="12"/>
    <n v="9.7995028997514597E-2"/>
    <n v="2.72208413881985E-2"/>
  </r>
  <r>
    <x v="0"/>
    <x v="18"/>
    <x v="10"/>
    <x v="21"/>
    <s v="UK_A"/>
    <x v="13"/>
    <n v="24.3419652029826"/>
    <n v="6.7616570008285004"/>
  </r>
  <r>
    <x v="0"/>
    <x v="18"/>
    <x v="10"/>
    <x v="21"/>
    <s v="UK_A"/>
    <x v="14"/>
    <n v="24.3419652029826"/>
    <n v="6.7616570008285004"/>
  </r>
  <r>
    <x v="0"/>
    <x v="18"/>
    <x v="10"/>
    <x v="21"/>
    <s v="UK_A"/>
    <x v="15"/>
    <n v="1.65807589063794"/>
    <n v="0.46057663628831802"/>
  </r>
  <r>
    <x v="0"/>
    <x v="18"/>
    <x v="10"/>
    <x v="21"/>
    <s v="UK_A"/>
    <x v="16"/>
    <n v="6.7156619979650802"/>
    <n v="1.8654616661014101"/>
  </r>
  <r>
    <x v="0"/>
    <x v="18"/>
    <x v="10"/>
    <x v="21"/>
    <s v="UK_A"/>
    <x v="17"/>
    <n v="9.1244895875632395"/>
    <n v="2.5345804409897901"/>
  </r>
  <r>
    <x v="0"/>
    <x v="18"/>
    <x v="10"/>
    <x v="21"/>
    <s v="UK_A"/>
    <x v="18"/>
    <n v="24.3419652029826"/>
    <n v="6.7616570008285004"/>
  </r>
  <r>
    <x v="0"/>
    <x v="18"/>
    <x v="10"/>
    <x v="21"/>
    <s v="UK_A"/>
    <x v="19"/>
    <n v="8.1139884009941898"/>
    <n v="2.2538856669428302"/>
  </r>
  <r>
    <x v="0"/>
    <x v="18"/>
    <x v="10"/>
    <x v="21"/>
    <s v="UK_A"/>
    <x v="20"/>
    <n v="21.431396138420201"/>
    <n v="5.9531655940056103"/>
  </r>
  <r>
    <x v="0"/>
    <x v="18"/>
    <x v="10"/>
    <x v="21"/>
    <s v="UK_A"/>
    <x v="28"/>
    <n v="41.38758"/>
    <n v="11.496549999999999"/>
  </r>
  <r>
    <x v="0"/>
    <x v="18"/>
    <x v="10"/>
    <x v="21"/>
    <s v="UK_A"/>
    <x v="21"/>
    <n v="48.24"/>
    <n v="13.4"/>
  </r>
  <r>
    <x v="0"/>
    <x v="18"/>
    <x v="10"/>
    <x v="21"/>
    <s v="UK_A"/>
    <x v="22"/>
    <n v="67.680000000000007"/>
    <n v="18.8"/>
  </r>
  <r>
    <x v="0"/>
    <x v="18"/>
    <x v="10"/>
    <x v="21"/>
    <s v="UK_A"/>
    <x v="23"/>
    <n v="0.31515896120488701"/>
    <n v="8.7544155890246306E-2"/>
  </r>
  <r>
    <x v="0"/>
    <x v="18"/>
    <x v="10"/>
    <x v="21"/>
    <s v="UK_A"/>
    <x v="24"/>
    <n v="19.174223581093901"/>
    <n v="5.32617321697054"/>
  </r>
  <r>
    <x v="0"/>
    <x v="18"/>
    <x v="10"/>
    <x v="21"/>
    <s v="UK_A"/>
    <x v="25"/>
    <n v="25.064747068787099"/>
    <n v="6.9624297413297498"/>
  </r>
  <r>
    <x v="0"/>
    <x v="18"/>
    <x v="10"/>
    <x v="21"/>
    <s v="UK_A"/>
    <x v="26"/>
    <n v="32.516643167392601"/>
    <n v="9.03240087983127"/>
  </r>
  <r>
    <x v="0"/>
    <x v="18"/>
    <x v="10"/>
    <x v="21"/>
    <s v="UK_A"/>
    <x v="27"/>
    <n v="20.163995508318798"/>
    <n v="5.6011098634218799"/>
  </r>
  <r>
    <x v="0"/>
    <x v="18"/>
    <x v="10"/>
    <x v="21"/>
    <s v="UK_Offshore"/>
    <x v="1"/>
    <n v="35.989199999999997"/>
    <n v="9.9969999999999999"/>
  </r>
  <r>
    <x v="0"/>
    <x v="18"/>
    <x v="10"/>
    <x v="21"/>
    <s v="UK_Offshore"/>
    <x v="2"/>
    <n v="2.52"/>
    <n v="0.7"/>
  </r>
  <r>
    <x v="0"/>
    <x v="18"/>
    <x v="10"/>
    <x v="21"/>
    <s v="UK_Offshore"/>
    <x v="0"/>
    <n v="42.692399999999999"/>
    <n v="11.859"/>
  </r>
  <r>
    <x v="0"/>
    <x v="18"/>
    <x v="10"/>
    <x v="21"/>
    <s v="UK_Offshore"/>
    <x v="3"/>
    <n v="51.633543144067197"/>
    <n v="14.342650873352"/>
  </r>
  <r>
    <x v="0"/>
    <x v="18"/>
    <x v="10"/>
    <x v="21"/>
    <s v="UK_Offshore"/>
    <x v="4"/>
    <n v="15.1696304888152"/>
    <n v="4.21378624689312"/>
  </r>
  <r>
    <x v="0"/>
    <x v="18"/>
    <x v="10"/>
    <x v="21"/>
    <s v="UK_Offshore"/>
    <x v="5"/>
    <n v="15.1696304888152"/>
    <n v="4.21378624689312"/>
  </r>
  <r>
    <x v="0"/>
    <x v="18"/>
    <x v="10"/>
    <x v="21"/>
    <s v="UK_Offshore"/>
    <x v="6"/>
    <n v="29.476231795214598"/>
    <n v="8.1878421653373898"/>
  </r>
  <r>
    <x v="0"/>
    <x v="18"/>
    <x v="10"/>
    <x v="21"/>
    <s v="UK_Offshore"/>
    <x v="7"/>
    <n v="57.838935220261199"/>
    <n v="16.066370894517"/>
  </r>
  <r>
    <x v="0"/>
    <x v="18"/>
    <x v="10"/>
    <x v="21"/>
    <s v="UK_Offshore"/>
    <x v="8"/>
    <n v="57.838935220261199"/>
    <n v="16.066370894517"/>
  </r>
  <r>
    <x v="0"/>
    <x v="18"/>
    <x v="10"/>
    <x v="21"/>
    <s v="UK_Offshore"/>
    <x v="9"/>
    <n v="51.506187241093599"/>
    <n v="14.3072742336371"/>
  </r>
  <r>
    <x v="0"/>
    <x v="18"/>
    <x v="10"/>
    <x v="21"/>
    <s v="UK_Offshore"/>
    <x v="10"/>
    <n v="72.320331400165799"/>
    <n v="20.088980944490501"/>
  </r>
  <r>
    <x v="0"/>
    <x v="18"/>
    <x v="10"/>
    <x v="21"/>
    <s v="UK_Offshore"/>
    <x v="11"/>
    <n v="8.1139884009941898"/>
    <n v="2.2538856669428302"/>
  </r>
  <r>
    <x v="0"/>
    <x v="18"/>
    <x v="10"/>
    <x v="21"/>
    <s v="UK_Offshore"/>
    <x v="12"/>
    <n v="9.7995028997514597E-2"/>
    <n v="2.72208413881985E-2"/>
  </r>
  <r>
    <x v="0"/>
    <x v="18"/>
    <x v="10"/>
    <x v="21"/>
    <s v="UK_Offshore"/>
    <x v="13"/>
    <n v="24.3419652029826"/>
    <n v="6.7616570008285004"/>
  </r>
  <r>
    <x v="0"/>
    <x v="18"/>
    <x v="10"/>
    <x v="21"/>
    <s v="UK_Offshore"/>
    <x v="14"/>
    <n v="24.3419652029826"/>
    <n v="6.7616570008285004"/>
  </r>
  <r>
    <x v="0"/>
    <x v="18"/>
    <x v="10"/>
    <x v="21"/>
    <s v="UK_Offshore"/>
    <x v="15"/>
    <n v="1.65807589063794"/>
    <n v="0.46057663628831802"/>
  </r>
  <r>
    <x v="0"/>
    <x v="18"/>
    <x v="10"/>
    <x v="21"/>
    <s v="UK_Offshore"/>
    <x v="16"/>
    <n v="6.7156619979650802"/>
    <n v="1.8654616661014101"/>
  </r>
  <r>
    <x v="0"/>
    <x v="18"/>
    <x v="10"/>
    <x v="21"/>
    <s v="UK_Offshore"/>
    <x v="17"/>
    <n v="9.1244895875632395"/>
    <n v="2.5345804409897901"/>
  </r>
  <r>
    <x v="0"/>
    <x v="18"/>
    <x v="10"/>
    <x v="21"/>
    <s v="UK_Offshore"/>
    <x v="18"/>
    <n v="24.3419652029826"/>
    <n v="6.7616570008285004"/>
  </r>
  <r>
    <x v="0"/>
    <x v="18"/>
    <x v="10"/>
    <x v="21"/>
    <s v="UK_Offshore"/>
    <x v="19"/>
    <n v="8.1139884009941898"/>
    <n v="2.2538856669428302"/>
  </r>
  <r>
    <x v="0"/>
    <x v="18"/>
    <x v="10"/>
    <x v="21"/>
    <s v="UK_Offshore"/>
    <x v="20"/>
    <n v="21.431396138420201"/>
    <n v="5.9531655940056103"/>
  </r>
  <r>
    <x v="0"/>
    <x v="18"/>
    <x v="10"/>
    <x v="21"/>
    <s v="UK_Offshore"/>
    <x v="28"/>
    <n v="41.38758"/>
    <n v="11.496549999999999"/>
  </r>
  <r>
    <x v="0"/>
    <x v="18"/>
    <x v="10"/>
    <x v="21"/>
    <s v="UK_Offshore"/>
    <x v="21"/>
    <n v="48.24"/>
    <n v="13.4"/>
  </r>
  <r>
    <x v="0"/>
    <x v="18"/>
    <x v="10"/>
    <x v="21"/>
    <s v="UK_Offshore"/>
    <x v="22"/>
    <n v="67.680000000000007"/>
    <n v="18.8"/>
  </r>
  <r>
    <x v="0"/>
    <x v="18"/>
    <x v="10"/>
    <x v="21"/>
    <s v="UK_Offshore"/>
    <x v="23"/>
    <n v="0.31515896120488701"/>
    <n v="8.7544155890246306E-2"/>
  </r>
  <r>
    <x v="0"/>
    <x v="18"/>
    <x v="10"/>
    <x v="21"/>
    <s v="UK_Offshore"/>
    <x v="24"/>
    <n v="19.174223581093901"/>
    <n v="5.32617321697054"/>
  </r>
  <r>
    <x v="0"/>
    <x v="18"/>
    <x v="10"/>
    <x v="21"/>
    <s v="UK_Offshore"/>
    <x v="25"/>
    <n v="25.064747068787099"/>
    <n v="6.9624297413297498"/>
  </r>
  <r>
    <x v="0"/>
    <x v="18"/>
    <x v="10"/>
    <x v="21"/>
    <s v="UK_Offshore"/>
    <x v="26"/>
    <n v="32.516643167392601"/>
    <n v="9.03240087983127"/>
  </r>
  <r>
    <x v="0"/>
    <x v="18"/>
    <x v="10"/>
    <x v="21"/>
    <s v="UK_Offshore"/>
    <x v="27"/>
    <n v="20.163995508318798"/>
    <n v="5.6011098634218799"/>
  </r>
  <r>
    <x v="0"/>
    <x v="19"/>
    <x v="0"/>
    <x v="0"/>
    <s v="DK1_Large"/>
    <x v="0"/>
    <n v="42.692399999999999"/>
    <n v="11.859"/>
  </r>
  <r>
    <x v="0"/>
    <x v="19"/>
    <x v="0"/>
    <x v="0"/>
    <s v="DK1_Large_PHH"/>
    <x v="0"/>
    <n v="42.692399999999999"/>
    <n v="11.859"/>
  </r>
  <r>
    <x v="0"/>
    <x v="19"/>
    <x v="0"/>
    <x v="0"/>
    <s v="DK1_Large_PHL"/>
    <x v="0"/>
    <n v="42.692399999999999"/>
    <n v="11.859"/>
  </r>
  <r>
    <x v="0"/>
    <x v="19"/>
    <x v="0"/>
    <x v="0"/>
    <s v="DK1_MedSmall"/>
    <x v="0"/>
    <n v="42.692399999999999"/>
    <n v="11.859"/>
  </r>
  <r>
    <x v="0"/>
    <x v="19"/>
    <x v="0"/>
    <x v="0"/>
    <s v="DK1_Medium"/>
    <x v="0"/>
    <n v="42.692399999999999"/>
    <n v="11.859"/>
  </r>
  <r>
    <x v="0"/>
    <x v="19"/>
    <x v="0"/>
    <x v="0"/>
    <s v="DK1_NoDH"/>
    <x v="0"/>
    <n v="42.692399999999999"/>
    <n v="11.859"/>
  </r>
  <r>
    <x v="0"/>
    <x v="19"/>
    <x v="0"/>
    <x v="0"/>
    <s v="DK1_NoDH_PHH"/>
    <x v="0"/>
    <n v="42.692399999999999"/>
    <n v="11.859"/>
  </r>
  <r>
    <x v="0"/>
    <x v="19"/>
    <x v="0"/>
    <x v="0"/>
    <s v="DK1_NoDH_PHL"/>
    <x v="0"/>
    <n v="42.692399999999999"/>
    <n v="11.859"/>
  </r>
  <r>
    <x v="0"/>
    <x v="19"/>
    <x v="0"/>
    <x v="0"/>
    <s v="DK1_Offshore"/>
    <x v="0"/>
    <n v="42.692399999999999"/>
    <n v="11.859"/>
  </r>
  <r>
    <x v="0"/>
    <x v="19"/>
    <x v="0"/>
    <x v="0"/>
    <s v="DK1_Rural"/>
    <x v="0"/>
    <n v="42.692399999999999"/>
    <n v="11.859"/>
  </r>
  <r>
    <x v="0"/>
    <x v="19"/>
    <x v="0"/>
    <x v="0"/>
    <s v="DK1_Small"/>
    <x v="0"/>
    <n v="42.692399999999999"/>
    <n v="11.859"/>
  </r>
  <r>
    <x v="0"/>
    <x v="19"/>
    <x v="0"/>
    <x v="1"/>
    <s v="DK2_Large"/>
    <x v="0"/>
    <n v="42.692399999999999"/>
    <n v="11.859"/>
  </r>
  <r>
    <x v="0"/>
    <x v="19"/>
    <x v="0"/>
    <x v="1"/>
    <s v="DK2_Large_PHH"/>
    <x v="0"/>
    <n v="42.692399999999999"/>
    <n v="11.859"/>
  </r>
  <r>
    <x v="0"/>
    <x v="19"/>
    <x v="0"/>
    <x v="1"/>
    <s v="DK2_Large_PHL"/>
    <x v="0"/>
    <n v="42.692399999999999"/>
    <n v="11.859"/>
  </r>
  <r>
    <x v="0"/>
    <x v="19"/>
    <x v="0"/>
    <x v="1"/>
    <s v="DK2_MedSmall"/>
    <x v="0"/>
    <n v="42.692399999999999"/>
    <n v="11.859"/>
  </r>
  <r>
    <x v="0"/>
    <x v="19"/>
    <x v="0"/>
    <x v="1"/>
    <s v="DK2_Medium"/>
    <x v="0"/>
    <n v="42.692399999999999"/>
    <n v="11.859"/>
  </r>
  <r>
    <x v="0"/>
    <x v="19"/>
    <x v="0"/>
    <x v="1"/>
    <s v="DK2_NoDH"/>
    <x v="0"/>
    <n v="42.692399999999999"/>
    <n v="11.859"/>
  </r>
  <r>
    <x v="0"/>
    <x v="19"/>
    <x v="0"/>
    <x v="1"/>
    <s v="DK2_NoDH_PHH"/>
    <x v="0"/>
    <n v="42.692399999999999"/>
    <n v="11.859"/>
  </r>
  <r>
    <x v="0"/>
    <x v="19"/>
    <x v="0"/>
    <x v="1"/>
    <s v="DK2_NoDH_PHL"/>
    <x v="0"/>
    <n v="42.692399999999999"/>
    <n v="11.859"/>
  </r>
  <r>
    <x v="0"/>
    <x v="19"/>
    <x v="0"/>
    <x v="1"/>
    <s v="DK2_Offshore"/>
    <x v="0"/>
    <n v="42.692399999999999"/>
    <n v="11.859"/>
  </r>
  <r>
    <x v="0"/>
    <x v="19"/>
    <x v="0"/>
    <x v="1"/>
    <s v="DK2_Rural"/>
    <x v="0"/>
    <n v="42.692399999999999"/>
    <n v="11.859"/>
  </r>
  <r>
    <x v="0"/>
    <x v="19"/>
    <x v="0"/>
    <x v="1"/>
    <s v="DK2_Small"/>
    <x v="0"/>
    <n v="42.692399999999999"/>
    <n v="11.859"/>
  </r>
  <r>
    <x v="0"/>
    <x v="19"/>
    <x v="1"/>
    <x v="2"/>
    <s v="EE_A"/>
    <x v="0"/>
    <n v="42.692399999999999"/>
    <n v="11.859"/>
  </r>
  <r>
    <x v="0"/>
    <x v="19"/>
    <x v="1"/>
    <x v="2"/>
    <s v="EE_Enefit"/>
    <x v="0"/>
    <n v="42.692399999999999"/>
    <n v="11.859"/>
  </r>
  <r>
    <x v="0"/>
    <x v="19"/>
    <x v="1"/>
    <x v="2"/>
    <s v="EE_Industry"/>
    <x v="0"/>
    <n v="42.692399999999999"/>
    <n v="11.859"/>
  </r>
  <r>
    <x v="0"/>
    <x v="19"/>
    <x v="1"/>
    <x v="2"/>
    <s v="EE_Kohtla_Jarve"/>
    <x v="0"/>
    <n v="42.692399999999999"/>
    <n v="11.859"/>
  </r>
  <r>
    <x v="0"/>
    <x v="19"/>
    <x v="1"/>
    <x v="2"/>
    <s v="EE_Narva"/>
    <x v="0"/>
    <n v="42.692399999999999"/>
    <n v="11.859"/>
  </r>
  <r>
    <x v="0"/>
    <x v="19"/>
    <x v="1"/>
    <x v="2"/>
    <s v="EE_OFFSHORE"/>
    <x v="0"/>
    <n v="42.692399999999999"/>
    <n v="11.859"/>
  </r>
  <r>
    <x v="0"/>
    <x v="19"/>
    <x v="1"/>
    <x v="2"/>
    <s v="EE_Parnu"/>
    <x v="0"/>
    <n v="42.692399999999999"/>
    <n v="11.859"/>
  </r>
  <r>
    <x v="0"/>
    <x v="19"/>
    <x v="1"/>
    <x v="2"/>
    <s v="EE_Rural"/>
    <x v="0"/>
    <n v="42.692399999999999"/>
    <n v="11.859"/>
  </r>
  <r>
    <x v="0"/>
    <x v="19"/>
    <x v="1"/>
    <x v="2"/>
    <s v="EE_Sillamae"/>
    <x v="0"/>
    <n v="42.692399999999999"/>
    <n v="11.859"/>
  </r>
  <r>
    <x v="0"/>
    <x v="19"/>
    <x v="1"/>
    <x v="2"/>
    <s v="EE_Tallinn"/>
    <x v="0"/>
    <n v="42.692399999999999"/>
    <n v="11.859"/>
  </r>
  <r>
    <x v="0"/>
    <x v="19"/>
    <x v="1"/>
    <x v="2"/>
    <s v="EE_Tartu"/>
    <x v="0"/>
    <n v="42.692399999999999"/>
    <n v="11.859"/>
  </r>
  <r>
    <x v="0"/>
    <x v="19"/>
    <x v="1"/>
    <x v="2"/>
    <s v="EE_Urban"/>
    <x v="0"/>
    <n v="42.692399999999999"/>
    <n v="11.859"/>
  </r>
  <r>
    <x v="0"/>
    <x v="19"/>
    <x v="2"/>
    <x v="3"/>
    <s v="FI_IND"/>
    <x v="0"/>
    <n v="42.692399999999999"/>
    <n v="11.859"/>
  </r>
  <r>
    <x v="0"/>
    <x v="19"/>
    <x v="2"/>
    <x v="3"/>
    <s v="FI_Offshore"/>
    <x v="0"/>
    <n v="42.692399999999999"/>
    <n v="11.859"/>
  </r>
  <r>
    <x v="0"/>
    <x v="19"/>
    <x v="2"/>
    <x v="3"/>
    <s v="FI_large"/>
    <x v="0"/>
    <n v="42.692399999999999"/>
    <n v="11.859"/>
  </r>
  <r>
    <x v="0"/>
    <x v="19"/>
    <x v="2"/>
    <x v="3"/>
    <s v="FI_large_gas"/>
    <x v="0"/>
    <n v="42.692399999999999"/>
    <n v="11.859"/>
  </r>
  <r>
    <x v="0"/>
    <x v="19"/>
    <x v="2"/>
    <x v="3"/>
    <s v="FI_medium"/>
    <x v="0"/>
    <n v="42.692399999999999"/>
    <n v="11.859"/>
  </r>
  <r>
    <x v="0"/>
    <x v="19"/>
    <x v="2"/>
    <x v="3"/>
    <s v="FI_medium_gas"/>
    <x v="0"/>
    <n v="42.692399999999999"/>
    <n v="11.859"/>
  </r>
  <r>
    <x v="0"/>
    <x v="19"/>
    <x v="2"/>
    <x v="3"/>
    <s v="FI_small"/>
    <x v="0"/>
    <n v="42.692399999999999"/>
    <n v="11.859"/>
  </r>
  <r>
    <x v="0"/>
    <x v="19"/>
    <x v="2"/>
    <x v="3"/>
    <s v="FI_small_gas"/>
    <x v="0"/>
    <n v="42.692399999999999"/>
    <n v="11.859"/>
  </r>
  <r>
    <x v="0"/>
    <x v="19"/>
    <x v="2"/>
    <x v="3"/>
    <s v="FinA"/>
    <x v="0"/>
    <n v="42.692399999999999"/>
    <n v="11.859"/>
  </r>
  <r>
    <x v="0"/>
    <x v="19"/>
    <x v="3"/>
    <x v="4"/>
    <s v="DE4-E_A"/>
    <x v="0"/>
    <n v="42.692399999999999"/>
    <n v="11.859"/>
  </r>
  <r>
    <x v="0"/>
    <x v="19"/>
    <x v="3"/>
    <x v="4"/>
    <s v="DE4-E_Offshore_A"/>
    <x v="0"/>
    <n v="42.692399999999999"/>
    <n v="11.859"/>
  </r>
  <r>
    <x v="0"/>
    <x v="19"/>
    <x v="3"/>
    <x v="5"/>
    <s v="DE4-N_A"/>
    <x v="0"/>
    <n v="42.692399999999999"/>
    <n v="11.859"/>
  </r>
  <r>
    <x v="0"/>
    <x v="19"/>
    <x v="3"/>
    <x v="5"/>
    <s v="DE4-N_Offshore_A"/>
    <x v="0"/>
    <n v="42.692399999999999"/>
    <n v="11.859"/>
  </r>
  <r>
    <x v="0"/>
    <x v="19"/>
    <x v="3"/>
    <x v="6"/>
    <s v="DE4-S_A"/>
    <x v="0"/>
    <n v="42.692399999999999"/>
    <n v="11.859"/>
  </r>
  <r>
    <x v="0"/>
    <x v="19"/>
    <x v="3"/>
    <x v="7"/>
    <s v="DE4-W_A"/>
    <x v="0"/>
    <n v="42.692399999999999"/>
    <n v="11.859"/>
  </r>
  <r>
    <x v="0"/>
    <x v="19"/>
    <x v="3"/>
    <x v="7"/>
    <s v="DE4-W_Offshore_A"/>
    <x v="0"/>
    <n v="42.692399999999999"/>
    <n v="11.859"/>
  </r>
  <r>
    <x v="0"/>
    <x v="19"/>
    <x v="4"/>
    <x v="8"/>
    <s v="LV_A"/>
    <x v="0"/>
    <n v="42.692399999999999"/>
    <n v="11.859"/>
  </r>
  <r>
    <x v="0"/>
    <x v="19"/>
    <x v="4"/>
    <x v="8"/>
    <s v="LV_OFFSHORE"/>
    <x v="0"/>
    <n v="42.692399999999999"/>
    <n v="11.859"/>
  </r>
  <r>
    <x v="0"/>
    <x v="19"/>
    <x v="4"/>
    <x v="8"/>
    <s v="LV_Other_DH"/>
    <x v="0"/>
    <n v="42.692399999999999"/>
    <n v="11.859"/>
  </r>
  <r>
    <x v="0"/>
    <x v="19"/>
    <x v="4"/>
    <x v="8"/>
    <s v="LV_RigaR"/>
    <x v="0"/>
    <n v="42.692399999999999"/>
    <n v="11.859"/>
  </r>
  <r>
    <x v="0"/>
    <x v="19"/>
    <x v="4"/>
    <x v="8"/>
    <s v="LV_Rural"/>
    <x v="0"/>
    <n v="42.692399999999999"/>
    <n v="11.859"/>
  </r>
  <r>
    <x v="0"/>
    <x v="19"/>
    <x v="5"/>
    <x v="9"/>
    <s v="LT_A"/>
    <x v="0"/>
    <n v="42.692399999999999"/>
    <n v="11.859"/>
  </r>
  <r>
    <x v="0"/>
    <x v="19"/>
    <x v="5"/>
    <x v="9"/>
    <s v="LT_KauU"/>
    <x v="0"/>
    <n v="42.692399999999999"/>
    <n v="11.859"/>
  </r>
  <r>
    <x v="0"/>
    <x v="19"/>
    <x v="5"/>
    <x v="9"/>
    <s v="LT_KlaU"/>
    <x v="0"/>
    <n v="42.692399999999999"/>
    <n v="11.859"/>
  </r>
  <r>
    <x v="0"/>
    <x v="19"/>
    <x v="5"/>
    <x v="9"/>
    <s v="LT_OFFSHORE"/>
    <x v="0"/>
    <n v="42.692399999999999"/>
    <n v="11.859"/>
  </r>
  <r>
    <x v="0"/>
    <x v="19"/>
    <x v="5"/>
    <x v="9"/>
    <s v="LT_Other_DH"/>
    <x v="0"/>
    <n v="42.692399999999999"/>
    <n v="11.859"/>
  </r>
  <r>
    <x v="0"/>
    <x v="19"/>
    <x v="5"/>
    <x v="9"/>
    <s v="LT_Panevezys"/>
    <x v="0"/>
    <n v="42.692399999999999"/>
    <n v="11.859"/>
  </r>
  <r>
    <x v="0"/>
    <x v="19"/>
    <x v="5"/>
    <x v="9"/>
    <s v="LT_Rural"/>
    <x v="0"/>
    <n v="42.692399999999999"/>
    <n v="11.859"/>
  </r>
  <r>
    <x v="0"/>
    <x v="19"/>
    <x v="5"/>
    <x v="9"/>
    <s v="LT_SiaU"/>
    <x v="0"/>
    <n v="42.692399999999999"/>
    <n v="11.859"/>
  </r>
  <r>
    <x v="0"/>
    <x v="19"/>
    <x v="5"/>
    <x v="9"/>
    <s v="LT_VilU"/>
    <x v="0"/>
    <n v="42.692399999999999"/>
    <n v="11.859"/>
  </r>
  <r>
    <x v="0"/>
    <x v="19"/>
    <x v="6"/>
    <x v="10"/>
    <s v="NL_A"/>
    <x v="0"/>
    <n v="42.692399999999999"/>
    <n v="11.859"/>
  </r>
  <r>
    <x v="0"/>
    <x v="19"/>
    <x v="6"/>
    <x v="10"/>
    <s v="NL_OFFSHORE"/>
    <x v="0"/>
    <n v="42.692399999999999"/>
    <n v="11.859"/>
  </r>
  <r>
    <x v="0"/>
    <x v="19"/>
    <x v="7"/>
    <x v="11"/>
    <s v="NO1_A1"/>
    <x v="0"/>
    <n v="42.692399999999999"/>
    <n v="11.859"/>
  </r>
  <r>
    <x v="0"/>
    <x v="19"/>
    <x v="7"/>
    <x v="11"/>
    <s v="NO1_A2"/>
    <x v="0"/>
    <n v="42.692399999999999"/>
    <n v="11.859"/>
  </r>
  <r>
    <x v="0"/>
    <x v="19"/>
    <x v="7"/>
    <x v="11"/>
    <s v="NO1_A3"/>
    <x v="0"/>
    <n v="42.692399999999999"/>
    <n v="11.859"/>
  </r>
  <r>
    <x v="0"/>
    <x v="19"/>
    <x v="7"/>
    <x v="11"/>
    <s v="NO1_Offshore"/>
    <x v="0"/>
    <n v="42.692399999999999"/>
    <n v="11.859"/>
  </r>
  <r>
    <x v="0"/>
    <x v="19"/>
    <x v="7"/>
    <x v="12"/>
    <s v="NO2_A1"/>
    <x v="0"/>
    <n v="42.692399999999999"/>
    <n v="11.859"/>
  </r>
  <r>
    <x v="0"/>
    <x v="19"/>
    <x v="7"/>
    <x v="12"/>
    <s v="NO2_A2"/>
    <x v="0"/>
    <n v="42.692399999999999"/>
    <n v="11.859"/>
  </r>
  <r>
    <x v="0"/>
    <x v="19"/>
    <x v="7"/>
    <x v="12"/>
    <s v="NO2_Offshore"/>
    <x v="0"/>
    <n v="42.692399999999999"/>
    <n v="11.859"/>
  </r>
  <r>
    <x v="0"/>
    <x v="19"/>
    <x v="7"/>
    <x v="13"/>
    <s v="NO3_A1"/>
    <x v="0"/>
    <n v="42.692399999999999"/>
    <n v="11.859"/>
  </r>
  <r>
    <x v="0"/>
    <x v="19"/>
    <x v="7"/>
    <x v="13"/>
    <s v="NO3_A2"/>
    <x v="0"/>
    <n v="42.692399999999999"/>
    <n v="11.859"/>
  </r>
  <r>
    <x v="0"/>
    <x v="19"/>
    <x v="7"/>
    <x v="13"/>
    <s v="NO3_A3"/>
    <x v="0"/>
    <n v="42.692399999999999"/>
    <n v="11.859"/>
  </r>
  <r>
    <x v="0"/>
    <x v="19"/>
    <x v="7"/>
    <x v="13"/>
    <s v="NO3_Offshore"/>
    <x v="0"/>
    <n v="42.692399999999999"/>
    <n v="11.859"/>
  </r>
  <r>
    <x v="0"/>
    <x v="19"/>
    <x v="7"/>
    <x v="14"/>
    <s v="NO4_A1"/>
    <x v="0"/>
    <n v="42.692399999999999"/>
    <n v="11.859"/>
  </r>
  <r>
    <x v="0"/>
    <x v="19"/>
    <x v="7"/>
    <x v="14"/>
    <s v="NO4_A2"/>
    <x v="0"/>
    <n v="42.692399999999999"/>
    <n v="11.859"/>
  </r>
  <r>
    <x v="0"/>
    <x v="19"/>
    <x v="7"/>
    <x v="14"/>
    <s v="NO4_Offshore"/>
    <x v="0"/>
    <n v="42.692399999999999"/>
    <n v="11.859"/>
  </r>
  <r>
    <x v="0"/>
    <x v="19"/>
    <x v="7"/>
    <x v="15"/>
    <s v="NO5_A1"/>
    <x v="0"/>
    <n v="42.692399999999999"/>
    <n v="11.859"/>
  </r>
  <r>
    <x v="0"/>
    <x v="19"/>
    <x v="7"/>
    <x v="15"/>
    <s v="NO5_A2"/>
    <x v="0"/>
    <n v="42.692399999999999"/>
    <n v="11.859"/>
  </r>
  <r>
    <x v="0"/>
    <x v="19"/>
    <x v="7"/>
    <x v="15"/>
    <s v="NO5_Offshore"/>
    <x v="0"/>
    <n v="42.692399999999999"/>
    <n v="11.859"/>
  </r>
  <r>
    <x v="0"/>
    <x v="19"/>
    <x v="8"/>
    <x v="16"/>
    <s v="PL_A"/>
    <x v="0"/>
    <n v="42.692399999999999"/>
    <n v="11.859"/>
  </r>
  <r>
    <x v="0"/>
    <x v="19"/>
    <x v="8"/>
    <x v="16"/>
    <s v="PL_OFFSHORE"/>
    <x v="0"/>
    <n v="42.692399999999999"/>
    <n v="11.859"/>
  </r>
  <r>
    <x v="0"/>
    <x v="19"/>
    <x v="8"/>
    <x v="16"/>
    <s v="PL_Rural"/>
    <x v="0"/>
    <n v="42.692399999999999"/>
    <n v="11.859"/>
  </r>
  <r>
    <x v="0"/>
    <x v="19"/>
    <x v="9"/>
    <x v="17"/>
    <s v="SE1A"/>
    <x v="0"/>
    <n v="42.692399999999999"/>
    <n v="11.859"/>
  </r>
  <r>
    <x v="0"/>
    <x v="19"/>
    <x v="9"/>
    <x v="17"/>
    <s v="SE1_IND"/>
    <x v="0"/>
    <n v="42.692399999999999"/>
    <n v="11.859"/>
  </r>
  <r>
    <x v="0"/>
    <x v="19"/>
    <x v="9"/>
    <x v="17"/>
    <s v="SE1_Offshore"/>
    <x v="0"/>
    <n v="42.692399999999999"/>
    <n v="11.859"/>
  </r>
  <r>
    <x v="0"/>
    <x v="19"/>
    <x v="9"/>
    <x v="17"/>
    <s v="SE1_medium"/>
    <x v="0"/>
    <n v="42.692399999999999"/>
    <n v="11.859"/>
  </r>
  <r>
    <x v="0"/>
    <x v="19"/>
    <x v="9"/>
    <x v="17"/>
    <s v="SE1_small"/>
    <x v="0"/>
    <n v="42.692399999999999"/>
    <n v="11.859"/>
  </r>
  <r>
    <x v="0"/>
    <x v="19"/>
    <x v="9"/>
    <x v="18"/>
    <s v="SE2A"/>
    <x v="0"/>
    <n v="42.692399999999999"/>
    <n v="11.859"/>
  </r>
  <r>
    <x v="0"/>
    <x v="19"/>
    <x v="9"/>
    <x v="18"/>
    <s v="SE2_IND"/>
    <x v="0"/>
    <n v="42.692399999999999"/>
    <n v="11.859"/>
  </r>
  <r>
    <x v="0"/>
    <x v="19"/>
    <x v="9"/>
    <x v="18"/>
    <s v="SE2_Offshore"/>
    <x v="0"/>
    <n v="42.692399999999999"/>
    <n v="11.859"/>
  </r>
  <r>
    <x v="0"/>
    <x v="19"/>
    <x v="9"/>
    <x v="18"/>
    <s v="SE2_medium"/>
    <x v="0"/>
    <n v="42.692399999999999"/>
    <n v="11.859"/>
  </r>
  <r>
    <x v="0"/>
    <x v="19"/>
    <x v="9"/>
    <x v="18"/>
    <s v="SE2_small"/>
    <x v="0"/>
    <n v="42.692399999999999"/>
    <n v="11.859"/>
  </r>
  <r>
    <x v="0"/>
    <x v="19"/>
    <x v="9"/>
    <x v="19"/>
    <s v="SE3A"/>
    <x v="0"/>
    <n v="42.692399999999999"/>
    <n v="11.859"/>
  </r>
  <r>
    <x v="0"/>
    <x v="19"/>
    <x v="9"/>
    <x v="19"/>
    <s v="SE3_IND"/>
    <x v="0"/>
    <n v="42.692399999999999"/>
    <n v="11.859"/>
  </r>
  <r>
    <x v="0"/>
    <x v="19"/>
    <x v="9"/>
    <x v="19"/>
    <s v="SE3_Offshore"/>
    <x v="0"/>
    <n v="42.692399999999999"/>
    <n v="11.859"/>
  </r>
  <r>
    <x v="0"/>
    <x v="19"/>
    <x v="9"/>
    <x v="19"/>
    <s v="SE3_large"/>
    <x v="0"/>
    <n v="42.692399999999999"/>
    <n v="11.859"/>
  </r>
  <r>
    <x v="0"/>
    <x v="19"/>
    <x v="9"/>
    <x v="19"/>
    <s v="SE3_medium"/>
    <x v="0"/>
    <n v="42.692399999999999"/>
    <n v="11.859"/>
  </r>
  <r>
    <x v="0"/>
    <x v="19"/>
    <x v="9"/>
    <x v="19"/>
    <s v="SE3_small"/>
    <x v="0"/>
    <n v="42.692399999999999"/>
    <n v="11.859"/>
  </r>
  <r>
    <x v="0"/>
    <x v="19"/>
    <x v="9"/>
    <x v="20"/>
    <s v="SE4A"/>
    <x v="0"/>
    <n v="42.692399999999999"/>
    <n v="11.859"/>
  </r>
  <r>
    <x v="0"/>
    <x v="19"/>
    <x v="9"/>
    <x v="20"/>
    <s v="SE4_IND"/>
    <x v="0"/>
    <n v="42.692399999999999"/>
    <n v="11.859"/>
  </r>
  <r>
    <x v="0"/>
    <x v="19"/>
    <x v="9"/>
    <x v="20"/>
    <s v="SE4_Offshore"/>
    <x v="0"/>
    <n v="42.692399999999999"/>
    <n v="11.859"/>
  </r>
  <r>
    <x v="0"/>
    <x v="19"/>
    <x v="9"/>
    <x v="20"/>
    <s v="SE4_large"/>
    <x v="0"/>
    <n v="42.692399999999999"/>
    <n v="11.859"/>
  </r>
  <r>
    <x v="0"/>
    <x v="19"/>
    <x v="9"/>
    <x v="20"/>
    <s v="SE4_medium"/>
    <x v="0"/>
    <n v="42.692399999999999"/>
    <n v="11.859"/>
  </r>
  <r>
    <x v="0"/>
    <x v="19"/>
    <x v="9"/>
    <x v="20"/>
    <s v="SE4_small"/>
    <x v="0"/>
    <n v="42.692399999999999"/>
    <n v="11.859"/>
  </r>
  <r>
    <x v="0"/>
    <x v="19"/>
    <x v="10"/>
    <x v="21"/>
    <s v="UK_A"/>
    <x v="0"/>
    <n v="42.692399999999999"/>
    <n v="11.859"/>
  </r>
  <r>
    <x v="0"/>
    <x v="19"/>
    <x v="10"/>
    <x v="21"/>
    <s v="UK_Offshore"/>
    <x v="0"/>
    <n v="42.692399999999999"/>
    <n v="11.859"/>
  </r>
  <r>
    <x v="0"/>
    <x v="20"/>
    <x v="0"/>
    <x v="0"/>
    <s v="DK1_Large"/>
    <x v="0"/>
    <n v="42.692399999999999"/>
    <n v="11.859"/>
  </r>
  <r>
    <x v="0"/>
    <x v="20"/>
    <x v="0"/>
    <x v="0"/>
    <s v="DK1_Large_PHH"/>
    <x v="0"/>
    <n v="42.692399999999999"/>
    <n v="11.859"/>
  </r>
  <r>
    <x v="0"/>
    <x v="20"/>
    <x v="0"/>
    <x v="0"/>
    <s v="DK1_Large_PHL"/>
    <x v="0"/>
    <n v="42.692399999999999"/>
    <n v="11.859"/>
  </r>
  <r>
    <x v="0"/>
    <x v="20"/>
    <x v="0"/>
    <x v="0"/>
    <s v="DK1_MedSmall"/>
    <x v="0"/>
    <n v="42.692399999999999"/>
    <n v="11.859"/>
  </r>
  <r>
    <x v="0"/>
    <x v="20"/>
    <x v="0"/>
    <x v="0"/>
    <s v="DK1_Medium"/>
    <x v="0"/>
    <n v="42.692399999999999"/>
    <n v="11.859"/>
  </r>
  <r>
    <x v="0"/>
    <x v="20"/>
    <x v="0"/>
    <x v="0"/>
    <s v="DK1_NoDH"/>
    <x v="0"/>
    <n v="42.692399999999999"/>
    <n v="11.859"/>
  </r>
  <r>
    <x v="0"/>
    <x v="20"/>
    <x v="0"/>
    <x v="0"/>
    <s v="DK1_NoDH_PHH"/>
    <x v="0"/>
    <n v="42.692399999999999"/>
    <n v="11.859"/>
  </r>
  <r>
    <x v="0"/>
    <x v="20"/>
    <x v="0"/>
    <x v="0"/>
    <s v="DK1_NoDH_PHL"/>
    <x v="0"/>
    <n v="42.692399999999999"/>
    <n v="11.859"/>
  </r>
  <r>
    <x v="0"/>
    <x v="20"/>
    <x v="0"/>
    <x v="0"/>
    <s v="DK1_Offshore"/>
    <x v="0"/>
    <n v="42.692399999999999"/>
    <n v="11.859"/>
  </r>
  <r>
    <x v="0"/>
    <x v="20"/>
    <x v="0"/>
    <x v="0"/>
    <s v="DK1_Rural"/>
    <x v="0"/>
    <n v="42.692399999999999"/>
    <n v="11.859"/>
  </r>
  <r>
    <x v="0"/>
    <x v="20"/>
    <x v="0"/>
    <x v="0"/>
    <s v="DK1_Small"/>
    <x v="0"/>
    <n v="42.692399999999999"/>
    <n v="11.859"/>
  </r>
  <r>
    <x v="0"/>
    <x v="20"/>
    <x v="0"/>
    <x v="1"/>
    <s v="DK2_Large"/>
    <x v="0"/>
    <n v="42.692399999999999"/>
    <n v="11.859"/>
  </r>
  <r>
    <x v="0"/>
    <x v="20"/>
    <x v="0"/>
    <x v="1"/>
    <s v="DK2_Large_PHH"/>
    <x v="0"/>
    <n v="42.692399999999999"/>
    <n v="11.859"/>
  </r>
  <r>
    <x v="0"/>
    <x v="20"/>
    <x v="0"/>
    <x v="1"/>
    <s v="DK2_Large_PHL"/>
    <x v="0"/>
    <n v="42.692399999999999"/>
    <n v="11.859"/>
  </r>
  <r>
    <x v="0"/>
    <x v="20"/>
    <x v="0"/>
    <x v="1"/>
    <s v="DK2_MedSmall"/>
    <x v="0"/>
    <n v="42.692399999999999"/>
    <n v="11.859"/>
  </r>
  <r>
    <x v="0"/>
    <x v="20"/>
    <x v="0"/>
    <x v="1"/>
    <s v="DK2_Medium"/>
    <x v="0"/>
    <n v="42.692399999999999"/>
    <n v="11.859"/>
  </r>
  <r>
    <x v="0"/>
    <x v="20"/>
    <x v="0"/>
    <x v="1"/>
    <s v="DK2_NoDH"/>
    <x v="0"/>
    <n v="42.692399999999999"/>
    <n v="11.859"/>
  </r>
  <r>
    <x v="0"/>
    <x v="20"/>
    <x v="0"/>
    <x v="1"/>
    <s v="DK2_NoDH_PHH"/>
    <x v="0"/>
    <n v="42.692399999999999"/>
    <n v="11.859"/>
  </r>
  <r>
    <x v="0"/>
    <x v="20"/>
    <x v="0"/>
    <x v="1"/>
    <s v="DK2_NoDH_PHL"/>
    <x v="0"/>
    <n v="42.692399999999999"/>
    <n v="11.859"/>
  </r>
  <r>
    <x v="0"/>
    <x v="20"/>
    <x v="0"/>
    <x v="1"/>
    <s v="DK2_Offshore"/>
    <x v="0"/>
    <n v="42.692399999999999"/>
    <n v="11.859"/>
  </r>
  <r>
    <x v="0"/>
    <x v="20"/>
    <x v="0"/>
    <x v="1"/>
    <s v="DK2_Rural"/>
    <x v="0"/>
    <n v="42.692399999999999"/>
    <n v="11.859"/>
  </r>
  <r>
    <x v="0"/>
    <x v="20"/>
    <x v="0"/>
    <x v="1"/>
    <s v="DK2_Small"/>
    <x v="0"/>
    <n v="42.692399999999999"/>
    <n v="11.859"/>
  </r>
  <r>
    <x v="0"/>
    <x v="20"/>
    <x v="1"/>
    <x v="2"/>
    <s v="EE_A"/>
    <x v="0"/>
    <n v="42.692399999999999"/>
    <n v="11.859"/>
  </r>
  <r>
    <x v="0"/>
    <x v="20"/>
    <x v="1"/>
    <x v="2"/>
    <s v="EE_Enefit"/>
    <x v="0"/>
    <n v="42.692399999999999"/>
    <n v="11.859"/>
  </r>
  <r>
    <x v="0"/>
    <x v="20"/>
    <x v="1"/>
    <x v="2"/>
    <s v="EE_Industry"/>
    <x v="0"/>
    <n v="42.692399999999999"/>
    <n v="11.859"/>
  </r>
  <r>
    <x v="0"/>
    <x v="20"/>
    <x v="1"/>
    <x v="2"/>
    <s v="EE_Kohtla_Jarve"/>
    <x v="0"/>
    <n v="42.692399999999999"/>
    <n v="11.859"/>
  </r>
  <r>
    <x v="0"/>
    <x v="20"/>
    <x v="1"/>
    <x v="2"/>
    <s v="EE_Narva"/>
    <x v="0"/>
    <n v="42.692399999999999"/>
    <n v="11.859"/>
  </r>
  <r>
    <x v="0"/>
    <x v="20"/>
    <x v="1"/>
    <x v="2"/>
    <s v="EE_OFFSHORE"/>
    <x v="0"/>
    <n v="42.692399999999999"/>
    <n v="11.859"/>
  </r>
  <r>
    <x v="0"/>
    <x v="20"/>
    <x v="1"/>
    <x v="2"/>
    <s v="EE_Parnu"/>
    <x v="0"/>
    <n v="42.692399999999999"/>
    <n v="11.859"/>
  </r>
  <r>
    <x v="0"/>
    <x v="20"/>
    <x v="1"/>
    <x v="2"/>
    <s v="EE_Rural"/>
    <x v="0"/>
    <n v="42.692399999999999"/>
    <n v="11.859"/>
  </r>
  <r>
    <x v="0"/>
    <x v="20"/>
    <x v="1"/>
    <x v="2"/>
    <s v="EE_Sillamae"/>
    <x v="0"/>
    <n v="42.692399999999999"/>
    <n v="11.859"/>
  </r>
  <r>
    <x v="0"/>
    <x v="20"/>
    <x v="1"/>
    <x v="2"/>
    <s v="EE_Tallinn"/>
    <x v="0"/>
    <n v="42.692399999999999"/>
    <n v="11.859"/>
  </r>
  <r>
    <x v="0"/>
    <x v="20"/>
    <x v="1"/>
    <x v="2"/>
    <s v="EE_Tartu"/>
    <x v="0"/>
    <n v="42.692399999999999"/>
    <n v="11.859"/>
  </r>
  <r>
    <x v="0"/>
    <x v="20"/>
    <x v="1"/>
    <x v="2"/>
    <s v="EE_Urban"/>
    <x v="0"/>
    <n v="42.692399999999999"/>
    <n v="11.859"/>
  </r>
  <r>
    <x v="0"/>
    <x v="20"/>
    <x v="2"/>
    <x v="3"/>
    <s v="FI_IND"/>
    <x v="0"/>
    <n v="42.692399999999999"/>
    <n v="11.859"/>
  </r>
  <r>
    <x v="0"/>
    <x v="20"/>
    <x v="2"/>
    <x v="3"/>
    <s v="FI_Offshore"/>
    <x v="0"/>
    <n v="42.692399999999999"/>
    <n v="11.859"/>
  </r>
  <r>
    <x v="0"/>
    <x v="20"/>
    <x v="2"/>
    <x v="3"/>
    <s v="FI_large"/>
    <x v="0"/>
    <n v="42.692399999999999"/>
    <n v="11.859"/>
  </r>
  <r>
    <x v="0"/>
    <x v="20"/>
    <x v="2"/>
    <x v="3"/>
    <s v="FI_large_gas"/>
    <x v="0"/>
    <n v="42.692399999999999"/>
    <n v="11.859"/>
  </r>
  <r>
    <x v="0"/>
    <x v="20"/>
    <x v="2"/>
    <x v="3"/>
    <s v="FI_medium"/>
    <x v="0"/>
    <n v="42.692399999999999"/>
    <n v="11.859"/>
  </r>
  <r>
    <x v="0"/>
    <x v="20"/>
    <x v="2"/>
    <x v="3"/>
    <s v="FI_medium_gas"/>
    <x v="0"/>
    <n v="42.692399999999999"/>
    <n v="11.859"/>
  </r>
  <r>
    <x v="0"/>
    <x v="20"/>
    <x v="2"/>
    <x v="3"/>
    <s v="FI_small"/>
    <x v="0"/>
    <n v="42.692399999999999"/>
    <n v="11.859"/>
  </r>
  <r>
    <x v="0"/>
    <x v="20"/>
    <x v="2"/>
    <x v="3"/>
    <s v="FI_small_gas"/>
    <x v="0"/>
    <n v="42.692399999999999"/>
    <n v="11.859"/>
  </r>
  <r>
    <x v="0"/>
    <x v="20"/>
    <x v="2"/>
    <x v="3"/>
    <s v="FinA"/>
    <x v="0"/>
    <n v="42.692399999999999"/>
    <n v="11.859"/>
  </r>
  <r>
    <x v="0"/>
    <x v="20"/>
    <x v="3"/>
    <x v="4"/>
    <s v="DE4-E_A"/>
    <x v="0"/>
    <n v="42.692399999999999"/>
    <n v="11.859"/>
  </r>
  <r>
    <x v="0"/>
    <x v="20"/>
    <x v="3"/>
    <x v="4"/>
    <s v="DE4-E_Offshore_A"/>
    <x v="0"/>
    <n v="42.692399999999999"/>
    <n v="11.859"/>
  </r>
  <r>
    <x v="0"/>
    <x v="20"/>
    <x v="3"/>
    <x v="5"/>
    <s v="DE4-N_A"/>
    <x v="0"/>
    <n v="42.692399999999999"/>
    <n v="11.859"/>
  </r>
  <r>
    <x v="0"/>
    <x v="20"/>
    <x v="3"/>
    <x v="5"/>
    <s v="DE4-N_Offshore_A"/>
    <x v="0"/>
    <n v="42.692399999999999"/>
    <n v="11.859"/>
  </r>
  <r>
    <x v="0"/>
    <x v="20"/>
    <x v="3"/>
    <x v="6"/>
    <s v="DE4-S_A"/>
    <x v="0"/>
    <n v="42.692399999999999"/>
    <n v="11.859"/>
  </r>
  <r>
    <x v="0"/>
    <x v="20"/>
    <x v="3"/>
    <x v="7"/>
    <s v="DE4-W_A"/>
    <x v="0"/>
    <n v="42.692399999999999"/>
    <n v="11.859"/>
  </r>
  <r>
    <x v="0"/>
    <x v="20"/>
    <x v="3"/>
    <x v="7"/>
    <s v="DE4-W_Offshore_A"/>
    <x v="0"/>
    <n v="42.692399999999999"/>
    <n v="11.859"/>
  </r>
  <r>
    <x v="0"/>
    <x v="20"/>
    <x v="4"/>
    <x v="8"/>
    <s v="LV_A"/>
    <x v="0"/>
    <n v="42.692399999999999"/>
    <n v="11.859"/>
  </r>
  <r>
    <x v="0"/>
    <x v="20"/>
    <x v="4"/>
    <x v="8"/>
    <s v="LV_OFFSHORE"/>
    <x v="0"/>
    <n v="42.692399999999999"/>
    <n v="11.859"/>
  </r>
  <r>
    <x v="0"/>
    <x v="20"/>
    <x v="4"/>
    <x v="8"/>
    <s v="LV_Other_DH"/>
    <x v="0"/>
    <n v="42.692399999999999"/>
    <n v="11.859"/>
  </r>
  <r>
    <x v="0"/>
    <x v="20"/>
    <x v="4"/>
    <x v="8"/>
    <s v="LV_RigaR"/>
    <x v="0"/>
    <n v="42.692399999999999"/>
    <n v="11.859"/>
  </r>
  <r>
    <x v="0"/>
    <x v="20"/>
    <x v="4"/>
    <x v="8"/>
    <s v="LV_Rural"/>
    <x v="0"/>
    <n v="42.692399999999999"/>
    <n v="11.859"/>
  </r>
  <r>
    <x v="0"/>
    <x v="20"/>
    <x v="5"/>
    <x v="9"/>
    <s v="LT_A"/>
    <x v="0"/>
    <n v="42.692399999999999"/>
    <n v="11.859"/>
  </r>
  <r>
    <x v="0"/>
    <x v="20"/>
    <x v="5"/>
    <x v="9"/>
    <s v="LT_KauU"/>
    <x v="0"/>
    <n v="42.692399999999999"/>
    <n v="11.859"/>
  </r>
  <r>
    <x v="0"/>
    <x v="20"/>
    <x v="5"/>
    <x v="9"/>
    <s v="LT_KlaU"/>
    <x v="0"/>
    <n v="42.692399999999999"/>
    <n v="11.859"/>
  </r>
  <r>
    <x v="0"/>
    <x v="20"/>
    <x v="5"/>
    <x v="9"/>
    <s v="LT_OFFSHORE"/>
    <x v="0"/>
    <n v="42.692399999999999"/>
    <n v="11.859"/>
  </r>
  <r>
    <x v="0"/>
    <x v="20"/>
    <x v="5"/>
    <x v="9"/>
    <s v="LT_Other_DH"/>
    <x v="0"/>
    <n v="42.692399999999999"/>
    <n v="11.859"/>
  </r>
  <r>
    <x v="0"/>
    <x v="20"/>
    <x v="5"/>
    <x v="9"/>
    <s v="LT_Panevezys"/>
    <x v="0"/>
    <n v="42.692399999999999"/>
    <n v="11.859"/>
  </r>
  <r>
    <x v="0"/>
    <x v="20"/>
    <x v="5"/>
    <x v="9"/>
    <s v="LT_Rural"/>
    <x v="0"/>
    <n v="42.692399999999999"/>
    <n v="11.859"/>
  </r>
  <r>
    <x v="0"/>
    <x v="20"/>
    <x v="5"/>
    <x v="9"/>
    <s v="LT_SiaU"/>
    <x v="0"/>
    <n v="42.692399999999999"/>
    <n v="11.859"/>
  </r>
  <r>
    <x v="0"/>
    <x v="20"/>
    <x v="5"/>
    <x v="9"/>
    <s v="LT_VilU"/>
    <x v="0"/>
    <n v="42.692399999999999"/>
    <n v="11.859"/>
  </r>
  <r>
    <x v="0"/>
    <x v="20"/>
    <x v="6"/>
    <x v="10"/>
    <s v="NL_A"/>
    <x v="0"/>
    <n v="42.692399999999999"/>
    <n v="11.859"/>
  </r>
  <r>
    <x v="0"/>
    <x v="20"/>
    <x v="6"/>
    <x v="10"/>
    <s v="NL_OFFSHORE"/>
    <x v="0"/>
    <n v="42.692399999999999"/>
    <n v="11.859"/>
  </r>
  <r>
    <x v="0"/>
    <x v="20"/>
    <x v="7"/>
    <x v="11"/>
    <s v="NO1_A1"/>
    <x v="0"/>
    <n v="42.692399999999999"/>
    <n v="11.859"/>
  </r>
  <r>
    <x v="0"/>
    <x v="20"/>
    <x v="7"/>
    <x v="11"/>
    <s v="NO1_A2"/>
    <x v="0"/>
    <n v="42.692399999999999"/>
    <n v="11.859"/>
  </r>
  <r>
    <x v="0"/>
    <x v="20"/>
    <x v="7"/>
    <x v="11"/>
    <s v="NO1_A3"/>
    <x v="0"/>
    <n v="42.692399999999999"/>
    <n v="11.859"/>
  </r>
  <r>
    <x v="0"/>
    <x v="20"/>
    <x v="7"/>
    <x v="11"/>
    <s v="NO1_Offshore"/>
    <x v="0"/>
    <n v="42.692399999999999"/>
    <n v="11.859"/>
  </r>
  <r>
    <x v="0"/>
    <x v="20"/>
    <x v="7"/>
    <x v="12"/>
    <s v="NO2_A1"/>
    <x v="0"/>
    <n v="42.692399999999999"/>
    <n v="11.859"/>
  </r>
  <r>
    <x v="0"/>
    <x v="20"/>
    <x v="7"/>
    <x v="12"/>
    <s v="NO2_A2"/>
    <x v="0"/>
    <n v="42.692399999999999"/>
    <n v="11.859"/>
  </r>
  <r>
    <x v="0"/>
    <x v="20"/>
    <x v="7"/>
    <x v="12"/>
    <s v="NO2_Offshore"/>
    <x v="0"/>
    <n v="42.692399999999999"/>
    <n v="11.859"/>
  </r>
  <r>
    <x v="0"/>
    <x v="20"/>
    <x v="7"/>
    <x v="13"/>
    <s v="NO3_A1"/>
    <x v="0"/>
    <n v="42.692399999999999"/>
    <n v="11.859"/>
  </r>
  <r>
    <x v="0"/>
    <x v="20"/>
    <x v="7"/>
    <x v="13"/>
    <s v="NO3_A2"/>
    <x v="0"/>
    <n v="42.692399999999999"/>
    <n v="11.859"/>
  </r>
  <r>
    <x v="0"/>
    <x v="20"/>
    <x v="7"/>
    <x v="13"/>
    <s v="NO3_A3"/>
    <x v="0"/>
    <n v="42.692399999999999"/>
    <n v="11.859"/>
  </r>
  <r>
    <x v="0"/>
    <x v="20"/>
    <x v="7"/>
    <x v="13"/>
    <s v="NO3_Offshore"/>
    <x v="0"/>
    <n v="42.692399999999999"/>
    <n v="11.859"/>
  </r>
  <r>
    <x v="0"/>
    <x v="20"/>
    <x v="7"/>
    <x v="14"/>
    <s v="NO4_A1"/>
    <x v="0"/>
    <n v="42.692399999999999"/>
    <n v="11.859"/>
  </r>
  <r>
    <x v="0"/>
    <x v="20"/>
    <x v="7"/>
    <x v="14"/>
    <s v="NO4_A2"/>
    <x v="0"/>
    <n v="42.692399999999999"/>
    <n v="11.859"/>
  </r>
  <r>
    <x v="0"/>
    <x v="20"/>
    <x v="7"/>
    <x v="14"/>
    <s v="NO4_Offshore"/>
    <x v="0"/>
    <n v="42.692399999999999"/>
    <n v="11.859"/>
  </r>
  <r>
    <x v="0"/>
    <x v="20"/>
    <x v="7"/>
    <x v="15"/>
    <s v="NO5_A1"/>
    <x v="0"/>
    <n v="42.692399999999999"/>
    <n v="11.859"/>
  </r>
  <r>
    <x v="0"/>
    <x v="20"/>
    <x v="7"/>
    <x v="15"/>
    <s v="NO5_A2"/>
    <x v="0"/>
    <n v="42.692399999999999"/>
    <n v="11.859"/>
  </r>
  <r>
    <x v="0"/>
    <x v="20"/>
    <x v="7"/>
    <x v="15"/>
    <s v="NO5_Offshore"/>
    <x v="0"/>
    <n v="42.692399999999999"/>
    <n v="11.859"/>
  </r>
  <r>
    <x v="0"/>
    <x v="20"/>
    <x v="8"/>
    <x v="16"/>
    <s v="PL_A"/>
    <x v="0"/>
    <n v="42.692399999999999"/>
    <n v="11.859"/>
  </r>
  <r>
    <x v="0"/>
    <x v="20"/>
    <x v="8"/>
    <x v="16"/>
    <s v="PL_OFFSHORE"/>
    <x v="0"/>
    <n v="42.692399999999999"/>
    <n v="11.859"/>
  </r>
  <r>
    <x v="0"/>
    <x v="20"/>
    <x v="8"/>
    <x v="16"/>
    <s v="PL_Rural"/>
    <x v="0"/>
    <n v="42.692399999999999"/>
    <n v="11.859"/>
  </r>
  <r>
    <x v="0"/>
    <x v="20"/>
    <x v="9"/>
    <x v="17"/>
    <s v="SE1A"/>
    <x v="0"/>
    <n v="42.692399999999999"/>
    <n v="11.859"/>
  </r>
  <r>
    <x v="0"/>
    <x v="20"/>
    <x v="9"/>
    <x v="17"/>
    <s v="SE1_IND"/>
    <x v="0"/>
    <n v="42.692399999999999"/>
    <n v="11.859"/>
  </r>
  <r>
    <x v="0"/>
    <x v="20"/>
    <x v="9"/>
    <x v="17"/>
    <s v="SE1_Offshore"/>
    <x v="0"/>
    <n v="42.692399999999999"/>
    <n v="11.859"/>
  </r>
  <r>
    <x v="0"/>
    <x v="20"/>
    <x v="9"/>
    <x v="17"/>
    <s v="SE1_medium"/>
    <x v="0"/>
    <n v="42.692399999999999"/>
    <n v="11.859"/>
  </r>
  <r>
    <x v="0"/>
    <x v="20"/>
    <x v="9"/>
    <x v="17"/>
    <s v="SE1_small"/>
    <x v="0"/>
    <n v="42.692399999999999"/>
    <n v="11.859"/>
  </r>
  <r>
    <x v="0"/>
    <x v="20"/>
    <x v="9"/>
    <x v="18"/>
    <s v="SE2A"/>
    <x v="0"/>
    <n v="42.692399999999999"/>
    <n v="11.859"/>
  </r>
  <r>
    <x v="0"/>
    <x v="20"/>
    <x v="9"/>
    <x v="18"/>
    <s v="SE2_IND"/>
    <x v="0"/>
    <n v="42.692399999999999"/>
    <n v="11.859"/>
  </r>
  <r>
    <x v="0"/>
    <x v="20"/>
    <x v="9"/>
    <x v="18"/>
    <s v="SE2_Offshore"/>
    <x v="0"/>
    <n v="42.692399999999999"/>
    <n v="11.859"/>
  </r>
  <r>
    <x v="0"/>
    <x v="20"/>
    <x v="9"/>
    <x v="18"/>
    <s v="SE2_medium"/>
    <x v="0"/>
    <n v="42.692399999999999"/>
    <n v="11.859"/>
  </r>
  <r>
    <x v="0"/>
    <x v="20"/>
    <x v="9"/>
    <x v="18"/>
    <s v="SE2_small"/>
    <x v="0"/>
    <n v="42.692399999999999"/>
    <n v="11.859"/>
  </r>
  <r>
    <x v="0"/>
    <x v="20"/>
    <x v="9"/>
    <x v="19"/>
    <s v="SE3A"/>
    <x v="0"/>
    <n v="42.692399999999999"/>
    <n v="11.859"/>
  </r>
  <r>
    <x v="0"/>
    <x v="20"/>
    <x v="9"/>
    <x v="19"/>
    <s v="SE3_IND"/>
    <x v="0"/>
    <n v="42.692399999999999"/>
    <n v="11.859"/>
  </r>
  <r>
    <x v="0"/>
    <x v="20"/>
    <x v="9"/>
    <x v="19"/>
    <s v="SE3_Offshore"/>
    <x v="0"/>
    <n v="42.692399999999999"/>
    <n v="11.859"/>
  </r>
  <r>
    <x v="0"/>
    <x v="20"/>
    <x v="9"/>
    <x v="19"/>
    <s v="SE3_large"/>
    <x v="0"/>
    <n v="42.692399999999999"/>
    <n v="11.859"/>
  </r>
  <r>
    <x v="0"/>
    <x v="20"/>
    <x v="9"/>
    <x v="19"/>
    <s v="SE3_medium"/>
    <x v="0"/>
    <n v="42.692399999999999"/>
    <n v="11.859"/>
  </r>
  <r>
    <x v="0"/>
    <x v="20"/>
    <x v="9"/>
    <x v="19"/>
    <s v="SE3_small"/>
    <x v="0"/>
    <n v="42.692399999999999"/>
    <n v="11.859"/>
  </r>
  <r>
    <x v="0"/>
    <x v="20"/>
    <x v="9"/>
    <x v="20"/>
    <s v="SE4A"/>
    <x v="0"/>
    <n v="42.692399999999999"/>
    <n v="11.859"/>
  </r>
  <r>
    <x v="0"/>
    <x v="20"/>
    <x v="9"/>
    <x v="20"/>
    <s v="SE4_IND"/>
    <x v="0"/>
    <n v="42.692399999999999"/>
    <n v="11.859"/>
  </r>
  <r>
    <x v="0"/>
    <x v="20"/>
    <x v="9"/>
    <x v="20"/>
    <s v="SE4_Offshore"/>
    <x v="0"/>
    <n v="42.692399999999999"/>
    <n v="11.859"/>
  </r>
  <r>
    <x v="0"/>
    <x v="20"/>
    <x v="9"/>
    <x v="20"/>
    <s v="SE4_large"/>
    <x v="0"/>
    <n v="42.692399999999999"/>
    <n v="11.859"/>
  </r>
  <r>
    <x v="0"/>
    <x v="20"/>
    <x v="9"/>
    <x v="20"/>
    <s v="SE4_medium"/>
    <x v="0"/>
    <n v="42.692399999999999"/>
    <n v="11.859"/>
  </r>
  <r>
    <x v="0"/>
    <x v="20"/>
    <x v="9"/>
    <x v="20"/>
    <s v="SE4_small"/>
    <x v="0"/>
    <n v="42.692399999999999"/>
    <n v="11.859"/>
  </r>
  <r>
    <x v="0"/>
    <x v="20"/>
    <x v="10"/>
    <x v="21"/>
    <s v="UK_A"/>
    <x v="0"/>
    <n v="42.692399999999999"/>
    <n v="11.859"/>
  </r>
  <r>
    <x v="0"/>
    <x v="20"/>
    <x v="10"/>
    <x v="21"/>
    <s v="UK_Offshore"/>
    <x v="0"/>
    <n v="42.692399999999999"/>
    <n v="11.859"/>
  </r>
  <r>
    <x v="0"/>
    <x v="21"/>
    <x v="0"/>
    <x v="0"/>
    <s v="DK1_Large"/>
    <x v="0"/>
    <n v="42.692399999999999"/>
    <n v="11.859"/>
  </r>
  <r>
    <x v="0"/>
    <x v="21"/>
    <x v="0"/>
    <x v="0"/>
    <s v="DK1_Large_PHH"/>
    <x v="0"/>
    <n v="42.692399999999999"/>
    <n v="11.859"/>
  </r>
  <r>
    <x v="0"/>
    <x v="21"/>
    <x v="0"/>
    <x v="0"/>
    <s v="DK1_Large_PHL"/>
    <x v="0"/>
    <n v="42.692399999999999"/>
    <n v="11.859"/>
  </r>
  <r>
    <x v="0"/>
    <x v="21"/>
    <x v="0"/>
    <x v="0"/>
    <s v="DK1_MedSmall"/>
    <x v="0"/>
    <n v="42.692399999999999"/>
    <n v="11.859"/>
  </r>
  <r>
    <x v="0"/>
    <x v="21"/>
    <x v="0"/>
    <x v="0"/>
    <s v="DK1_Medium"/>
    <x v="0"/>
    <n v="42.692399999999999"/>
    <n v="11.859"/>
  </r>
  <r>
    <x v="0"/>
    <x v="21"/>
    <x v="0"/>
    <x v="0"/>
    <s v="DK1_NoDH"/>
    <x v="0"/>
    <n v="42.692399999999999"/>
    <n v="11.859"/>
  </r>
  <r>
    <x v="0"/>
    <x v="21"/>
    <x v="0"/>
    <x v="0"/>
    <s v="DK1_NoDH_PHH"/>
    <x v="0"/>
    <n v="42.692399999999999"/>
    <n v="11.859"/>
  </r>
  <r>
    <x v="0"/>
    <x v="21"/>
    <x v="0"/>
    <x v="0"/>
    <s v="DK1_NoDH_PHL"/>
    <x v="0"/>
    <n v="42.692399999999999"/>
    <n v="11.859"/>
  </r>
  <r>
    <x v="0"/>
    <x v="21"/>
    <x v="0"/>
    <x v="0"/>
    <s v="DK1_Offshore"/>
    <x v="0"/>
    <n v="42.692399999999999"/>
    <n v="11.859"/>
  </r>
  <r>
    <x v="0"/>
    <x v="21"/>
    <x v="0"/>
    <x v="0"/>
    <s v="DK1_Rural"/>
    <x v="0"/>
    <n v="42.692399999999999"/>
    <n v="11.859"/>
  </r>
  <r>
    <x v="0"/>
    <x v="21"/>
    <x v="0"/>
    <x v="0"/>
    <s v="DK1_Small"/>
    <x v="0"/>
    <n v="42.692399999999999"/>
    <n v="11.859"/>
  </r>
  <r>
    <x v="0"/>
    <x v="21"/>
    <x v="0"/>
    <x v="1"/>
    <s v="DK2_Large"/>
    <x v="0"/>
    <n v="42.692399999999999"/>
    <n v="11.859"/>
  </r>
  <r>
    <x v="0"/>
    <x v="21"/>
    <x v="0"/>
    <x v="1"/>
    <s v="DK2_Large_PHH"/>
    <x v="0"/>
    <n v="42.692399999999999"/>
    <n v="11.859"/>
  </r>
  <r>
    <x v="0"/>
    <x v="21"/>
    <x v="0"/>
    <x v="1"/>
    <s v="DK2_Large_PHL"/>
    <x v="0"/>
    <n v="42.692399999999999"/>
    <n v="11.859"/>
  </r>
  <r>
    <x v="0"/>
    <x v="21"/>
    <x v="0"/>
    <x v="1"/>
    <s v="DK2_MedSmall"/>
    <x v="0"/>
    <n v="42.692399999999999"/>
    <n v="11.859"/>
  </r>
  <r>
    <x v="0"/>
    <x v="21"/>
    <x v="0"/>
    <x v="1"/>
    <s v="DK2_Medium"/>
    <x v="0"/>
    <n v="42.692399999999999"/>
    <n v="11.859"/>
  </r>
  <r>
    <x v="0"/>
    <x v="21"/>
    <x v="0"/>
    <x v="1"/>
    <s v="DK2_NoDH"/>
    <x v="0"/>
    <n v="42.692399999999999"/>
    <n v="11.859"/>
  </r>
  <r>
    <x v="0"/>
    <x v="21"/>
    <x v="0"/>
    <x v="1"/>
    <s v="DK2_NoDH_PHH"/>
    <x v="0"/>
    <n v="42.692399999999999"/>
    <n v="11.859"/>
  </r>
  <r>
    <x v="0"/>
    <x v="21"/>
    <x v="0"/>
    <x v="1"/>
    <s v="DK2_NoDH_PHL"/>
    <x v="0"/>
    <n v="42.692399999999999"/>
    <n v="11.859"/>
  </r>
  <r>
    <x v="0"/>
    <x v="21"/>
    <x v="0"/>
    <x v="1"/>
    <s v="DK2_Offshore"/>
    <x v="0"/>
    <n v="42.692399999999999"/>
    <n v="11.859"/>
  </r>
  <r>
    <x v="0"/>
    <x v="21"/>
    <x v="0"/>
    <x v="1"/>
    <s v="DK2_Rural"/>
    <x v="0"/>
    <n v="42.692399999999999"/>
    <n v="11.859"/>
  </r>
  <r>
    <x v="0"/>
    <x v="21"/>
    <x v="0"/>
    <x v="1"/>
    <s v="DK2_Small"/>
    <x v="0"/>
    <n v="42.692399999999999"/>
    <n v="11.859"/>
  </r>
  <r>
    <x v="0"/>
    <x v="21"/>
    <x v="1"/>
    <x v="2"/>
    <s v="EE_A"/>
    <x v="0"/>
    <n v="42.692399999999999"/>
    <n v="11.859"/>
  </r>
  <r>
    <x v="0"/>
    <x v="21"/>
    <x v="1"/>
    <x v="2"/>
    <s v="EE_Enefit"/>
    <x v="0"/>
    <n v="42.692399999999999"/>
    <n v="11.859"/>
  </r>
  <r>
    <x v="0"/>
    <x v="21"/>
    <x v="1"/>
    <x v="2"/>
    <s v="EE_Industry"/>
    <x v="0"/>
    <n v="42.692399999999999"/>
    <n v="11.859"/>
  </r>
  <r>
    <x v="0"/>
    <x v="21"/>
    <x v="1"/>
    <x v="2"/>
    <s v="EE_Kohtla_Jarve"/>
    <x v="0"/>
    <n v="42.692399999999999"/>
    <n v="11.859"/>
  </r>
  <r>
    <x v="0"/>
    <x v="21"/>
    <x v="1"/>
    <x v="2"/>
    <s v="EE_Narva"/>
    <x v="0"/>
    <n v="42.692399999999999"/>
    <n v="11.859"/>
  </r>
  <r>
    <x v="0"/>
    <x v="21"/>
    <x v="1"/>
    <x v="2"/>
    <s v="EE_OFFSHORE"/>
    <x v="0"/>
    <n v="42.692399999999999"/>
    <n v="11.859"/>
  </r>
  <r>
    <x v="0"/>
    <x v="21"/>
    <x v="1"/>
    <x v="2"/>
    <s v="EE_Parnu"/>
    <x v="0"/>
    <n v="42.692399999999999"/>
    <n v="11.859"/>
  </r>
  <r>
    <x v="0"/>
    <x v="21"/>
    <x v="1"/>
    <x v="2"/>
    <s v="EE_Rural"/>
    <x v="0"/>
    <n v="42.692399999999999"/>
    <n v="11.859"/>
  </r>
  <r>
    <x v="0"/>
    <x v="21"/>
    <x v="1"/>
    <x v="2"/>
    <s v="EE_Sillamae"/>
    <x v="0"/>
    <n v="42.692399999999999"/>
    <n v="11.859"/>
  </r>
  <r>
    <x v="0"/>
    <x v="21"/>
    <x v="1"/>
    <x v="2"/>
    <s v="EE_Tallinn"/>
    <x v="0"/>
    <n v="42.692399999999999"/>
    <n v="11.859"/>
  </r>
  <r>
    <x v="0"/>
    <x v="21"/>
    <x v="1"/>
    <x v="2"/>
    <s v="EE_Tartu"/>
    <x v="0"/>
    <n v="42.692399999999999"/>
    <n v="11.859"/>
  </r>
  <r>
    <x v="0"/>
    <x v="21"/>
    <x v="1"/>
    <x v="2"/>
    <s v="EE_Urban"/>
    <x v="0"/>
    <n v="42.692399999999999"/>
    <n v="11.859"/>
  </r>
  <r>
    <x v="0"/>
    <x v="21"/>
    <x v="2"/>
    <x v="3"/>
    <s v="FI_IND"/>
    <x v="0"/>
    <n v="42.692399999999999"/>
    <n v="11.859"/>
  </r>
  <r>
    <x v="0"/>
    <x v="21"/>
    <x v="2"/>
    <x v="3"/>
    <s v="FI_Offshore"/>
    <x v="0"/>
    <n v="42.692399999999999"/>
    <n v="11.859"/>
  </r>
  <r>
    <x v="0"/>
    <x v="21"/>
    <x v="2"/>
    <x v="3"/>
    <s v="FI_large"/>
    <x v="0"/>
    <n v="42.692399999999999"/>
    <n v="11.859"/>
  </r>
  <r>
    <x v="0"/>
    <x v="21"/>
    <x v="2"/>
    <x v="3"/>
    <s v="FI_large_gas"/>
    <x v="0"/>
    <n v="42.692399999999999"/>
    <n v="11.859"/>
  </r>
  <r>
    <x v="0"/>
    <x v="21"/>
    <x v="2"/>
    <x v="3"/>
    <s v="FI_medium"/>
    <x v="0"/>
    <n v="42.692399999999999"/>
    <n v="11.859"/>
  </r>
  <r>
    <x v="0"/>
    <x v="21"/>
    <x v="2"/>
    <x v="3"/>
    <s v="FI_medium_gas"/>
    <x v="0"/>
    <n v="42.692399999999999"/>
    <n v="11.859"/>
  </r>
  <r>
    <x v="0"/>
    <x v="21"/>
    <x v="2"/>
    <x v="3"/>
    <s v="FI_small"/>
    <x v="0"/>
    <n v="42.692399999999999"/>
    <n v="11.859"/>
  </r>
  <r>
    <x v="0"/>
    <x v="21"/>
    <x v="2"/>
    <x v="3"/>
    <s v="FI_small_gas"/>
    <x v="0"/>
    <n v="42.692399999999999"/>
    <n v="11.859"/>
  </r>
  <r>
    <x v="0"/>
    <x v="21"/>
    <x v="2"/>
    <x v="3"/>
    <s v="FinA"/>
    <x v="0"/>
    <n v="42.692399999999999"/>
    <n v="11.859"/>
  </r>
  <r>
    <x v="0"/>
    <x v="21"/>
    <x v="3"/>
    <x v="4"/>
    <s v="DE4-E_A"/>
    <x v="0"/>
    <n v="42.692399999999999"/>
    <n v="11.859"/>
  </r>
  <r>
    <x v="0"/>
    <x v="21"/>
    <x v="3"/>
    <x v="4"/>
    <s v="DE4-E_Offshore_A"/>
    <x v="0"/>
    <n v="42.692399999999999"/>
    <n v="11.859"/>
  </r>
  <r>
    <x v="0"/>
    <x v="21"/>
    <x v="3"/>
    <x v="5"/>
    <s v="DE4-N_A"/>
    <x v="0"/>
    <n v="42.692399999999999"/>
    <n v="11.859"/>
  </r>
  <r>
    <x v="0"/>
    <x v="21"/>
    <x v="3"/>
    <x v="5"/>
    <s v="DE4-N_Offshore_A"/>
    <x v="0"/>
    <n v="42.692399999999999"/>
    <n v="11.859"/>
  </r>
  <r>
    <x v="0"/>
    <x v="21"/>
    <x v="3"/>
    <x v="6"/>
    <s v="DE4-S_A"/>
    <x v="0"/>
    <n v="42.692399999999999"/>
    <n v="11.859"/>
  </r>
  <r>
    <x v="0"/>
    <x v="21"/>
    <x v="3"/>
    <x v="7"/>
    <s v="DE4-W_A"/>
    <x v="0"/>
    <n v="42.692399999999999"/>
    <n v="11.859"/>
  </r>
  <r>
    <x v="0"/>
    <x v="21"/>
    <x v="3"/>
    <x v="7"/>
    <s v="DE4-W_Offshore_A"/>
    <x v="0"/>
    <n v="42.692399999999999"/>
    <n v="11.859"/>
  </r>
  <r>
    <x v="0"/>
    <x v="21"/>
    <x v="4"/>
    <x v="8"/>
    <s v="LV_A"/>
    <x v="0"/>
    <n v="42.692399999999999"/>
    <n v="11.859"/>
  </r>
  <r>
    <x v="0"/>
    <x v="21"/>
    <x v="4"/>
    <x v="8"/>
    <s v="LV_OFFSHORE"/>
    <x v="0"/>
    <n v="42.692399999999999"/>
    <n v="11.859"/>
  </r>
  <r>
    <x v="0"/>
    <x v="21"/>
    <x v="4"/>
    <x v="8"/>
    <s v="LV_Other_DH"/>
    <x v="0"/>
    <n v="42.692399999999999"/>
    <n v="11.859"/>
  </r>
  <r>
    <x v="0"/>
    <x v="21"/>
    <x v="4"/>
    <x v="8"/>
    <s v="LV_RigaR"/>
    <x v="0"/>
    <n v="42.692399999999999"/>
    <n v="11.859"/>
  </r>
  <r>
    <x v="0"/>
    <x v="21"/>
    <x v="4"/>
    <x v="8"/>
    <s v="LV_Rural"/>
    <x v="0"/>
    <n v="42.692399999999999"/>
    <n v="11.859"/>
  </r>
  <r>
    <x v="0"/>
    <x v="21"/>
    <x v="5"/>
    <x v="9"/>
    <s v="LT_A"/>
    <x v="0"/>
    <n v="42.692399999999999"/>
    <n v="11.859"/>
  </r>
  <r>
    <x v="0"/>
    <x v="21"/>
    <x v="5"/>
    <x v="9"/>
    <s v="LT_KauU"/>
    <x v="0"/>
    <n v="42.692399999999999"/>
    <n v="11.859"/>
  </r>
  <r>
    <x v="0"/>
    <x v="21"/>
    <x v="5"/>
    <x v="9"/>
    <s v="LT_KlaU"/>
    <x v="0"/>
    <n v="42.692399999999999"/>
    <n v="11.859"/>
  </r>
  <r>
    <x v="0"/>
    <x v="21"/>
    <x v="5"/>
    <x v="9"/>
    <s v="LT_OFFSHORE"/>
    <x v="0"/>
    <n v="42.692399999999999"/>
    <n v="11.859"/>
  </r>
  <r>
    <x v="0"/>
    <x v="21"/>
    <x v="5"/>
    <x v="9"/>
    <s v="LT_Other_DH"/>
    <x v="0"/>
    <n v="42.692399999999999"/>
    <n v="11.859"/>
  </r>
  <r>
    <x v="0"/>
    <x v="21"/>
    <x v="5"/>
    <x v="9"/>
    <s v="LT_Panevezys"/>
    <x v="0"/>
    <n v="42.692399999999999"/>
    <n v="11.859"/>
  </r>
  <r>
    <x v="0"/>
    <x v="21"/>
    <x v="5"/>
    <x v="9"/>
    <s v="LT_Rural"/>
    <x v="0"/>
    <n v="42.692399999999999"/>
    <n v="11.859"/>
  </r>
  <r>
    <x v="0"/>
    <x v="21"/>
    <x v="5"/>
    <x v="9"/>
    <s v="LT_SiaU"/>
    <x v="0"/>
    <n v="42.692399999999999"/>
    <n v="11.859"/>
  </r>
  <r>
    <x v="0"/>
    <x v="21"/>
    <x v="5"/>
    <x v="9"/>
    <s v="LT_VilU"/>
    <x v="0"/>
    <n v="42.692399999999999"/>
    <n v="11.859"/>
  </r>
  <r>
    <x v="0"/>
    <x v="21"/>
    <x v="6"/>
    <x v="10"/>
    <s v="NL_A"/>
    <x v="0"/>
    <n v="42.692399999999999"/>
    <n v="11.859"/>
  </r>
  <r>
    <x v="0"/>
    <x v="21"/>
    <x v="6"/>
    <x v="10"/>
    <s v="NL_OFFSHORE"/>
    <x v="0"/>
    <n v="42.692399999999999"/>
    <n v="11.859"/>
  </r>
  <r>
    <x v="0"/>
    <x v="21"/>
    <x v="7"/>
    <x v="11"/>
    <s v="NO1_A1"/>
    <x v="0"/>
    <n v="42.692399999999999"/>
    <n v="11.859"/>
  </r>
  <r>
    <x v="0"/>
    <x v="21"/>
    <x v="7"/>
    <x v="11"/>
    <s v="NO1_A2"/>
    <x v="0"/>
    <n v="42.692399999999999"/>
    <n v="11.859"/>
  </r>
  <r>
    <x v="0"/>
    <x v="21"/>
    <x v="7"/>
    <x v="11"/>
    <s v="NO1_A3"/>
    <x v="0"/>
    <n v="42.692399999999999"/>
    <n v="11.859"/>
  </r>
  <r>
    <x v="0"/>
    <x v="21"/>
    <x v="7"/>
    <x v="11"/>
    <s v="NO1_Offshore"/>
    <x v="0"/>
    <n v="42.692399999999999"/>
    <n v="11.859"/>
  </r>
  <r>
    <x v="0"/>
    <x v="21"/>
    <x v="7"/>
    <x v="12"/>
    <s v="NO2_A1"/>
    <x v="0"/>
    <n v="42.692399999999999"/>
    <n v="11.859"/>
  </r>
  <r>
    <x v="0"/>
    <x v="21"/>
    <x v="7"/>
    <x v="12"/>
    <s v="NO2_A2"/>
    <x v="0"/>
    <n v="42.692399999999999"/>
    <n v="11.859"/>
  </r>
  <r>
    <x v="0"/>
    <x v="21"/>
    <x v="7"/>
    <x v="12"/>
    <s v="NO2_Offshore"/>
    <x v="0"/>
    <n v="42.692399999999999"/>
    <n v="11.859"/>
  </r>
  <r>
    <x v="0"/>
    <x v="21"/>
    <x v="7"/>
    <x v="13"/>
    <s v="NO3_A1"/>
    <x v="0"/>
    <n v="42.692399999999999"/>
    <n v="11.859"/>
  </r>
  <r>
    <x v="0"/>
    <x v="21"/>
    <x v="7"/>
    <x v="13"/>
    <s v="NO3_A2"/>
    <x v="0"/>
    <n v="42.692399999999999"/>
    <n v="11.859"/>
  </r>
  <r>
    <x v="0"/>
    <x v="21"/>
    <x v="7"/>
    <x v="13"/>
    <s v="NO3_A3"/>
    <x v="0"/>
    <n v="42.692399999999999"/>
    <n v="11.859"/>
  </r>
  <r>
    <x v="0"/>
    <x v="21"/>
    <x v="7"/>
    <x v="13"/>
    <s v="NO3_Offshore"/>
    <x v="0"/>
    <n v="42.692399999999999"/>
    <n v="11.859"/>
  </r>
  <r>
    <x v="0"/>
    <x v="21"/>
    <x v="7"/>
    <x v="14"/>
    <s v="NO4_A1"/>
    <x v="0"/>
    <n v="42.692399999999999"/>
    <n v="11.859"/>
  </r>
  <r>
    <x v="0"/>
    <x v="21"/>
    <x v="7"/>
    <x v="14"/>
    <s v="NO4_A2"/>
    <x v="0"/>
    <n v="42.692399999999999"/>
    <n v="11.859"/>
  </r>
  <r>
    <x v="0"/>
    <x v="21"/>
    <x v="7"/>
    <x v="14"/>
    <s v="NO4_Offshore"/>
    <x v="0"/>
    <n v="42.692399999999999"/>
    <n v="11.859"/>
  </r>
  <r>
    <x v="0"/>
    <x v="21"/>
    <x v="7"/>
    <x v="15"/>
    <s v="NO5_A1"/>
    <x v="0"/>
    <n v="42.692399999999999"/>
    <n v="11.859"/>
  </r>
  <r>
    <x v="0"/>
    <x v="21"/>
    <x v="7"/>
    <x v="15"/>
    <s v="NO5_A2"/>
    <x v="0"/>
    <n v="42.692399999999999"/>
    <n v="11.859"/>
  </r>
  <r>
    <x v="0"/>
    <x v="21"/>
    <x v="7"/>
    <x v="15"/>
    <s v="NO5_Offshore"/>
    <x v="0"/>
    <n v="42.692399999999999"/>
    <n v="11.859"/>
  </r>
  <r>
    <x v="0"/>
    <x v="21"/>
    <x v="8"/>
    <x v="16"/>
    <s v="PL_A"/>
    <x v="0"/>
    <n v="42.692399999999999"/>
    <n v="11.859"/>
  </r>
  <r>
    <x v="0"/>
    <x v="21"/>
    <x v="8"/>
    <x v="16"/>
    <s v="PL_OFFSHORE"/>
    <x v="0"/>
    <n v="42.692399999999999"/>
    <n v="11.859"/>
  </r>
  <r>
    <x v="0"/>
    <x v="21"/>
    <x v="8"/>
    <x v="16"/>
    <s v="PL_Rural"/>
    <x v="0"/>
    <n v="42.692399999999999"/>
    <n v="11.859"/>
  </r>
  <r>
    <x v="0"/>
    <x v="21"/>
    <x v="9"/>
    <x v="17"/>
    <s v="SE1A"/>
    <x v="0"/>
    <n v="42.692399999999999"/>
    <n v="11.859"/>
  </r>
  <r>
    <x v="0"/>
    <x v="21"/>
    <x v="9"/>
    <x v="17"/>
    <s v="SE1_IND"/>
    <x v="0"/>
    <n v="42.692399999999999"/>
    <n v="11.859"/>
  </r>
  <r>
    <x v="0"/>
    <x v="21"/>
    <x v="9"/>
    <x v="17"/>
    <s v="SE1_Offshore"/>
    <x v="0"/>
    <n v="42.692399999999999"/>
    <n v="11.859"/>
  </r>
  <r>
    <x v="0"/>
    <x v="21"/>
    <x v="9"/>
    <x v="17"/>
    <s v="SE1_medium"/>
    <x v="0"/>
    <n v="42.692399999999999"/>
    <n v="11.859"/>
  </r>
  <r>
    <x v="0"/>
    <x v="21"/>
    <x v="9"/>
    <x v="17"/>
    <s v="SE1_small"/>
    <x v="0"/>
    <n v="42.692399999999999"/>
    <n v="11.859"/>
  </r>
  <r>
    <x v="0"/>
    <x v="21"/>
    <x v="9"/>
    <x v="18"/>
    <s v="SE2A"/>
    <x v="0"/>
    <n v="42.692399999999999"/>
    <n v="11.859"/>
  </r>
  <r>
    <x v="0"/>
    <x v="21"/>
    <x v="9"/>
    <x v="18"/>
    <s v="SE2_IND"/>
    <x v="0"/>
    <n v="42.692399999999999"/>
    <n v="11.859"/>
  </r>
  <r>
    <x v="0"/>
    <x v="21"/>
    <x v="9"/>
    <x v="18"/>
    <s v="SE2_Offshore"/>
    <x v="0"/>
    <n v="42.692399999999999"/>
    <n v="11.859"/>
  </r>
  <r>
    <x v="0"/>
    <x v="21"/>
    <x v="9"/>
    <x v="18"/>
    <s v="SE2_medium"/>
    <x v="0"/>
    <n v="42.692399999999999"/>
    <n v="11.859"/>
  </r>
  <r>
    <x v="0"/>
    <x v="21"/>
    <x v="9"/>
    <x v="18"/>
    <s v="SE2_small"/>
    <x v="0"/>
    <n v="42.692399999999999"/>
    <n v="11.859"/>
  </r>
  <r>
    <x v="0"/>
    <x v="21"/>
    <x v="9"/>
    <x v="19"/>
    <s v="SE3A"/>
    <x v="0"/>
    <n v="42.692399999999999"/>
    <n v="11.859"/>
  </r>
  <r>
    <x v="0"/>
    <x v="21"/>
    <x v="9"/>
    <x v="19"/>
    <s v="SE3_IND"/>
    <x v="0"/>
    <n v="42.692399999999999"/>
    <n v="11.859"/>
  </r>
  <r>
    <x v="0"/>
    <x v="21"/>
    <x v="9"/>
    <x v="19"/>
    <s v="SE3_Offshore"/>
    <x v="0"/>
    <n v="42.692399999999999"/>
    <n v="11.859"/>
  </r>
  <r>
    <x v="0"/>
    <x v="21"/>
    <x v="9"/>
    <x v="19"/>
    <s v="SE3_large"/>
    <x v="0"/>
    <n v="42.692399999999999"/>
    <n v="11.859"/>
  </r>
  <r>
    <x v="0"/>
    <x v="21"/>
    <x v="9"/>
    <x v="19"/>
    <s v="SE3_medium"/>
    <x v="0"/>
    <n v="42.692399999999999"/>
    <n v="11.859"/>
  </r>
  <r>
    <x v="0"/>
    <x v="21"/>
    <x v="9"/>
    <x v="19"/>
    <s v="SE3_small"/>
    <x v="0"/>
    <n v="42.692399999999999"/>
    <n v="11.859"/>
  </r>
  <r>
    <x v="0"/>
    <x v="21"/>
    <x v="9"/>
    <x v="20"/>
    <s v="SE4A"/>
    <x v="0"/>
    <n v="42.692399999999999"/>
    <n v="11.859"/>
  </r>
  <r>
    <x v="0"/>
    <x v="21"/>
    <x v="9"/>
    <x v="20"/>
    <s v="SE4_IND"/>
    <x v="0"/>
    <n v="42.692399999999999"/>
    <n v="11.859"/>
  </r>
  <r>
    <x v="0"/>
    <x v="21"/>
    <x v="9"/>
    <x v="20"/>
    <s v="SE4_Offshore"/>
    <x v="0"/>
    <n v="42.692399999999999"/>
    <n v="11.859"/>
  </r>
  <r>
    <x v="0"/>
    <x v="21"/>
    <x v="9"/>
    <x v="20"/>
    <s v="SE4_large"/>
    <x v="0"/>
    <n v="42.692399999999999"/>
    <n v="11.859"/>
  </r>
  <r>
    <x v="0"/>
    <x v="21"/>
    <x v="9"/>
    <x v="20"/>
    <s v="SE4_medium"/>
    <x v="0"/>
    <n v="42.692399999999999"/>
    <n v="11.859"/>
  </r>
  <r>
    <x v="0"/>
    <x v="21"/>
    <x v="9"/>
    <x v="20"/>
    <s v="SE4_small"/>
    <x v="0"/>
    <n v="42.692399999999999"/>
    <n v="11.859"/>
  </r>
  <r>
    <x v="0"/>
    <x v="21"/>
    <x v="10"/>
    <x v="21"/>
    <s v="UK_A"/>
    <x v="0"/>
    <n v="42.692399999999999"/>
    <n v="11.859"/>
  </r>
  <r>
    <x v="0"/>
    <x v="21"/>
    <x v="10"/>
    <x v="21"/>
    <s v="UK_Offshore"/>
    <x v="0"/>
    <n v="42.692399999999999"/>
    <n v="11.859"/>
  </r>
  <r>
    <x v="0"/>
    <x v="22"/>
    <x v="0"/>
    <x v="0"/>
    <s v="DK1_Large"/>
    <x v="0"/>
    <n v="42.692399999999999"/>
    <n v="11.859"/>
  </r>
  <r>
    <x v="0"/>
    <x v="22"/>
    <x v="0"/>
    <x v="0"/>
    <s v="DK1_Large_PHH"/>
    <x v="0"/>
    <n v="42.692399999999999"/>
    <n v="11.859"/>
  </r>
  <r>
    <x v="0"/>
    <x v="22"/>
    <x v="0"/>
    <x v="0"/>
    <s v="DK1_Large_PHL"/>
    <x v="0"/>
    <n v="42.692399999999999"/>
    <n v="11.859"/>
  </r>
  <r>
    <x v="0"/>
    <x v="22"/>
    <x v="0"/>
    <x v="0"/>
    <s v="DK1_MedSmall"/>
    <x v="0"/>
    <n v="42.692399999999999"/>
    <n v="11.859"/>
  </r>
  <r>
    <x v="0"/>
    <x v="22"/>
    <x v="0"/>
    <x v="0"/>
    <s v="DK1_Medium"/>
    <x v="0"/>
    <n v="42.692399999999999"/>
    <n v="11.859"/>
  </r>
  <r>
    <x v="0"/>
    <x v="22"/>
    <x v="0"/>
    <x v="0"/>
    <s v="DK1_NoDH"/>
    <x v="0"/>
    <n v="42.692399999999999"/>
    <n v="11.859"/>
  </r>
  <r>
    <x v="0"/>
    <x v="22"/>
    <x v="0"/>
    <x v="0"/>
    <s v="DK1_NoDH_PHH"/>
    <x v="0"/>
    <n v="42.692399999999999"/>
    <n v="11.859"/>
  </r>
  <r>
    <x v="0"/>
    <x v="22"/>
    <x v="0"/>
    <x v="0"/>
    <s v="DK1_NoDH_PHL"/>
    <x v="0"/>
    <n v="42.692399999999999"/>
    <n v="11.859"/>
  </r>
  <r>
    <x v="0"/>
    <x v="22"/>
    <x v="0"/>
    <x v="0"/>
    <s v="DK1_Offshore"/>
    <x v="0"/>
    <n v="42.692399999999999"/>
    <n v="11.859"/>
  </r>
  <r>
    <x v="0"/>
    <x v="22"/>
    <x v="0"/>
    <x v="0"/>
    <s v="DK1_Rural"/>
    <x v="0"/>
    <n v="42.692399999999999"/>
    <n v="11.859"/>
  </r>
  <r>
    <x v="0"/>
    <x v="22"/>
    <x v="0"/>
    <x v="0"/>
    <s v="DK1_Small"/>
    <x v="0"/>
    <n v="42.692399999999999"/>
    <n v="11.859"/>
  </r>
  <r>
    <x v="0"/>
    <x v="22"/>
    <x v="0"/>
    <x v="1"/>
    <s v="DK2_Large"/>
    <x v="0"/>
    <n v="42.692399999999999"/>
    <n v="11.859"/>
  </r>
  <r>
    <x v="0"/>
    <x v="22"/>
    <x v="0"/>
    <x v="1"/>
    <s v="DK2_Large_PHH"/>
    <x v="0"/>
    <n v="42.692399999999999"/>
    <n v="11.859"/>
  </r>
  <r>
    <x v="0"/>
    <x v="22"/>
    <x v="0"/>
    <x v="1"/>
    <s v="DK2_Large_PHL"/>
    <x v="0"/>
    <n v="42.692399999999999"/>
    <n v="11.859"/>
  </r>
  <r>
    <x v="0"/>
    <x v="22"/>
    <x v="0"/>
    <x v="1"/>
    <s v="DK2_MedSmall"/>
    <x v="0"/>
    <n v="42.692399999999999"/>
    <n v="11.859"/>
  </r>
  <r>
    <x v="0"/>
    <x v="22"/>
    <x v="0"/>
    <x v="1"/>
    <s v="DK2_Medium"/>
    <x v="0"/>
    <n v="42.692399999999999"/>
    <n v="11.859"/>
  </r>
  <r>
    <x v="0"/>
    <x v="22"/>
    <x v="0"/>
    <x v="1"/>
    <s v="DK2_NoDH"/>
    <x v="0"/>
    <n v="42.692399999999999"/>
    <n v="11.859"/>
  </r>
  <r>
    <x v="0"/>
    <x v="22"/>
    <x v="0"/>
    <x v="1"/>
    <s v="DK2_NoDH_PHH"/>
    <x v="0"/>
    <n v="42.692399999999999"/>
    <n v="11.859"/>
  </r>
  <r>
    <x v="0"/>
    <x v="22"/>
    <x v="0"/>
    <x v="1"/>
    <s v="DK2_NoDH_PHL"/>
    <x v="0"/>
    <n v="42.692399999999999"/>
    <n v="11.859"/>
  </r>
  <r>
    <x v="0"/>
    <x v="22"/>
    <x v="0"/>
    <x v="1"/>
    <s v="DK2_Offshore"/>
    <x v="0"/>
    <n v="42.692399999999999"/>
    <n v="11.859"/>
  </r>
  <r>
    <x v="0"/>
    <x v="22"/>
    <x v="0"/>
    <x v="1"/>
    <s v="DK2_Rural"/>
    <x v="0"/>
    <n v="42.692399999999999"/>
    <n v="11.859"/>
  </r>
  <r>
    <x v="0"/>
    <x v="22"/>
    <x v="0"/>
    <x v="1"/>
    <s v="DK2_Small"/>
    <x v="0"/>
    <n v="42.692399999999999"/>
    <n v="11.859"/>
  </r>
  <r>
    <x v="0"/>
    <x v="22"/>
    <x v="1"/>
    <x v="2"/>
    <s v="EE_A"/>
    <x v="0"/>
    <n v="42.692399999999999"/>
    <n v="11.859"/>
  </r>
  <r>
    <x v="0"/>
    <x v="22"/>
    <x v="1"/>
    <x v="2"/>
    <s v="EE_Enefit"/>
    <x v="0"/>
    <n v="42.692399999999999"/>
    <n v="11.859"/>
  </r>
  <r>
    <x v="0"/>
    <x v="22"/>
    <x v="1"/>
    <x v="2"/>
    <s v="EE_Industry"/>
    <x v="0"/>
    <n v="42.692399999999999"/>
    <n v="11.859"/>
  </r>
  <r>
    <x v="0"/>
    <x v="22"/>
    <x v="1"/>
    <x v="2"/>
    <s v="EE_Kohtla_Jarve"/>
    <x v="0"/>
    <n v="42.692399999999999"/>
    <n v="11.859"/>
  </r>
  <r>
    <x v="0"/>
    <x v="22"/>
    <x v="1"/>
    <x v="2"/>
    <s v="EE_Narva"/>
    <x v="0"/>
    <n v="42.692399999999999"/>
    <n v="11.859"/>
  </r>
  <r>
    <x v="0"/>
    <x v="22"/>
    <x v="1"/>
    <x v="2"/>
    <s v="EE_OFFSHORE"/>
    <x v="0"/>
    <n v="42.692399999999999"/>
    <n v="11.859"/>
  </r>
  <r>
    <x v="0"/>
    <x v="22"/>
    <x v="1"/>
    <x v="2"/>
    <s v="EE_Parnu"/>
    <x v="0"/>
    <n v="42.692399999999999"/>
    <n v="11.859"/>
  </r>
  <r>
    <x v="0"/>
    <x v="22"/>
    <x v="1"/>
    <x v="2"/>
    <s v="EE_Rural"/>
    <x v="0"/>
    <n v="42.692399999999999"/>
    <n v="11.859"/>
  </r>
  <r>
    <x v="0"/>
    <x v="22"/>
    <x v="1"/>
    <x v="2"/>
    <s v="EE_Sillamae"/>
    <x v="0"/>
    <n v="42.692399999999999"/>
    <n v="11.859"/>
  </r>
  <r>
    <x v="0"/>
    <x v="22"/>
    <x v="1"/>
    <x v="2"/>
    <s v="EE_Tallinn"/>
    <x v="0"/>
    <n v="42.692399999999999"/>
    <n v="11.859"/>
  </r>
  <r>
    <x v="0"/>
    <x v="22"/>
    <x v="1"/>
    <x v="2"/>
    <s v="EE_Tartu"/>
    <x v="0"/>
    <n v="42.692399999999999"/>
    <n v="11.859"/>
  </r>
  <r>
    <x v="0"/>
    <x v="22"/>
    <x v="1"/>
    <x v="2"/>
    <s v="EE_Urban"/>
    <x v="0"/>
    <n v="42.692399999999999"/>
    <n v="11.859"/>
  </r>
  <r>
    <x v="0"/>
    <x v="22"/>
    <x v="2"/>
    <x v="3"/>
    <s v="FI_IND"/>
    <x v="0"/>
    <n v="42.692399999999999"/>
    <n v="11.859"/>
  </r>
  <r>
    <x v="0"/>
    <x v="22"/>
    <x v="2"/>
    <x v="3"/>
    <s v="FI_Offshore"/>
    <x v="0"/>
    <n v="42.692399999999999"/>
    <n v="11.859"/>
  </r>
  <r>
    <x v="0"/>
    <x v="22"/>
    <x v="2"/>
    <x v="3"/>
    <s v="FI_large"/>
    <x v="0"/>
    <n v="42.692399999999999"/>
    <n v="11.859"/>
  </r>
  <r>
    <x v="0"/>
    <x v="22"/>
    <x v="2"/>
    <x v="3"/>
    <s v="FI_large_gas"/>
    <x v="0"/>
    <n v="42.692399999999999"/>
    <n v="11.859"/>
  </r>
  <r>
    <x v="0"/>
    <x v="22"/>
    <x v="2"/>
    <x v="3"/>
    <s v="FI_medium"/>
    <x v="0"/>
    <n v="42.692399999999999"/>
    <n v="11.859"/>
  </r>
  <r>
    <x v="0"/>
    <x v="22"/>
    <x v="2"/>
    <x v="3"/>
    <s v="FI_medium_gas"/>
    <x v="0"/>
    <n v="42.692399999999999"/>
    <n v="11.859"/>
  </r>
  <r>
    <x v="0"/>
    <x v="22"/>
    <x v="2"/>
    <x v="3"/>
    <s v="FI_small"/>
    <x v="0"/>
    <n v="42.692399999999999"/>
    <n v="11.859"/>
  </r>
  <r>
    <x v="0"/>
    <x v="22"/>
    <x v="2"/>
    <x v="3"/>
    <s v="FI_small_gas"/>
    <x v="0"/>
    <n v="42.692399999999999"/>
    <n v="11.859"/>
  </r>
  <r>
    <x v="0"/>
    <x v="22"/>
    <x v="2"/>
    <x v="3"/>
    <s v="FinA"/>
    <x v="0"/>
    <n v="42.692399999999999"/>
    <n v="11.859"/>
  </r>
  <r>
    <x v="0"/>
    <x v="22"/>
    <x v="3"/>
    <x v="4"/>
    <s v="DE4-E_A"/>
    <x v="0"/>
    <n v="42.692399999999999"/>
    <n v="11.859"/>
  </r>
  <r>
    <x v="0"/>
    <x v="22"/>
    <x v="3"/>
    <x v="4"/>
    <s v="DE4-E_Offshore_A"/>
    <x v="0"/>
    <n v="42.692399999999999"/>
    <n v="11.859"/>
  </r>
  <r>
    <x v="0"/>
    <x v="22"/>
    <x v="3"/>
    <x v="5"/>
    <s v="DE4-N_A"/>
    <x v="0"/>
    <n v="42.692399999999999"/>
    <n v="11.859"/>
  </r>
  <r>
    <x v="0"/>
    <x v="22"/>
    <x v="3"/>
    <x v="5"/>
    <s v="DE4-N_Offshore_A"/>
    <x v="0"/>
    <n v="42.692399999999999"/>
    <n v="11.859"/>
  </r>
  <r>
    <x v="0"/>
    <x v="22"/>
    <x v="3"/>
    <x v="6"/>
    <s v="DE4-S_A"/>
    <x v="0"/>
    <n v="42.692399999999999"/>
    <n v="11.859"/>
  </r>
  <r>
    <x v="0"/>
    <x v="22"/>
    <x v="3"/>
    <x v="7"/>
    <s v="DE4-W_A"/>
    <x v="0"/>
    <n v="42.692399999999999"/>
    <n v="11.859"/>
  </r>
  <r>
    <x v="0"/>
    <x v="22"/>
    <x v="3"/>
    <x v="7"/>
    <s v="DE4-W_Offshore_A"/>
    <x v="0"/>
    <n v="42.692399999999999"/>
    <n v="11.859"/>
  </r>
  <r>
    <x v="0"/>
    <x v="22"/>
    <x v="4"/>
    <x v="8"/>
    <s v="LV_A"/>
    <x v="0"/>
    <n v="42.692399999999999"/>
    <n v="11.859"/>
  </r>
  <r>
    <x v="0"/>
    <x v="22"/>
    <x v="4"/>
    <x v="8"/>
    <s v="LV_OFFSHORE"/>
    <x v="0"/>
    <n v="42.692399999999999"/>
    <n v="11.859"/>
  </r>
  <r>
    <x v="0"/>
    <x v="22"/>
    <x v="4"/>
    <x v="8"/>
    <s v="LV_Other_DH"/>
    <x v="0"/>
    <n v="42.692399999999999"/>
    <n v="11.859"/>
  </r>
  <r>
    <x v="0"/>
    <x v="22"/>
    <x v="4"/>
    <x v="8"/>
    <s v="LV_RigaR"/>
    <x v="0"/>
    <n v="42.692399999999999"/>
    <n v="11.859"/>
  </r>
  <r>
    <x v="0"/>
    <x v="22"/>
    <x v="4"/>
    <x v="8"/>
    <s v="LV_Rural"/>
    <x v="0"/>
    <n v="42.692399999999999"/>
    <n v="11.859"/>
  </r>
  <r>
    <x v="0"/>
    <x v="22"/>
    <x v="5"/>
    <x v="9"/>
    <s v="LT_A"/>
    <x v="0"/>
    <n v="42.692399999999999"/>
    <n v="11.859"/>
  </r>
  <r>
    <x v="0"/>
    <x v="22"/>
    <x v="5"/>
    <x v="9"/>
    <s v="LT_KauU"/>
    <x v="0"/>
    <n v="42.692399999999999"/>
    <n v="11.859"/>
  </r>
  <r>
    <x v="0"/>
    <x v="22"/>
    <x v="5"/>
    <x v="9"/>
    <s v="LT_KlaU"/>
    <x v="0"/>
    <n v="42.692399999999999"/>
    <n v="11.859"/>
  </r>
  <r>
    <x v="0"/>
    <x v="22"/>
    <x v="5"/>
    <x v="9"/>
    <s v="LT_OFFSHORE"/>
    <x v="0"/>
    <n v="42.692399999999999"/>
    <n v="11.859"/>
  </r>
  <r>
    <x v="0"/>
    <x v="22"/>
    <x v="5"/>
    <x v="9"/>
    <s v="LT_Other_DH"/>
    <x v="0"/>
    <n v="42.692399999999999"/>
    <n v="11.859"/>
  </r>
  <r>
    <x v="0"/>
    <x v="22"/>
    <x v="5"/>
    <x v="9"/>
    <s v="LT_Panevezys"/>
    <x v="0"/>
    <n v="42.692399999999999"/>
    <n v="11.859"/>
  </r>
  <r>
    <x v="0"/>
    <x v="22"/>
    <x v="5"/>
    <x v="9"/>
    <s v="LT_Rural"/>
    <x v="0"/>
    <n v="42.692399999999999"/>
    <n v="11.859"/>
  </r>
  <r>
    <x v="0"/>
    <x v="22"/>
    <x v="5"/>
    <x v="9"/>
    <s v="LT_SiaU"/>
    <x v="0"/>
    <n v="42.692399999999999"/>
    <n v="11.859"/>
  </r>
  <r>
    <x v="0"/>
    <x v="22"/>
    <x v="5"/>
    <x v="9"/>
    <s v="LT_VilU"/>
    <x v="0"/>
    <n v="42.692399999999999"/>
    <n v="11.859"/>
  </r>
  <r>
    <x v="0"/>
    <x v="22"/>
    <x v="6"/>
    <x v="10"/>
    <s v="NL_A"/>
    <x v="0"/>
    <n v="42.692399999999999"/>
    <n v="11.859"/>
  </r>
  <r>
    <x v="0"/>
    <x v="22"/>
    <x v="6"/>
    <x v="10"/>
    <s v="NL_OFFSHORE"/>
    <x v="0"/>
    <n v="42.692399999999999"/>
    <n v="11.859"/>
  </r>
  <r>
    <x v="0"/>
    <x v="22"/>
    <x v="7"/>
    <x v="11"/>
    <s v="NO1_A1"/>
    <x v="0"/>
    <n v="42.692399999999999"/>
    <n v="11.859"/>
  </r>
  <r>
    <x v="0"/>
    <x v="22"/>
    <x v="7"/>
    <x v="11"/>
    <s v="NO1_A2"/>
    <x v="0"/>
    <n v="42.692399999999999"/>
    <n v="11.859"/>
  </r>
  <r>
    <x v="0"/>
    <x v="22"/>
    <x v="7"/>
    <x v="11"/>
    <s v="NO1_A3"/>
    <x v="0"/>
    <n v="42.692399999999999"/>
    <n v="11.859"/>
  </r>
  <r>
    <x v="0"/>
    <x v="22"/>
    <x v="7"/>
    <x v="11"/>
    <s v="NO1_Offshore"/>
    <x v="0"/>
    <n v="42.692399999999999"/>
    <n v="11.859"/>
  </r>
  <r>
    <x v="0"/>
    <x v="22"/>
    <x v="7"/>
    <x v="12"/>
    <s v="NO2_A1"/>
    <x v="0"/>
    <n v="42.692399999999999"/>
    <n v="11.859"/>
  </r>
  <r>
    <x v="0"/>
    <x v="22"/>
    <x v="7"/>
    <x v="12"/>
    <s v="NO2_A2"/>
    <x v="0"/>
    <n v="42.692399999999999"/>
    <n v="11.859"/>
  </r>
  <r>
    <x v="0"/>
    <x v="22"/>
    <x v="7"/>
    <x v="12"/>
    <s v="NO2_Offshore"/>
    <x v="0"/>
    <n v="42.692399999999999"/>
    <n v="11.859"/>
  </r>
  <r>
    <x v="0"/>
    <x v="22"/>
    <x v="7"/>
    <x v="13"/>
    <s v="NO3_A1"/>
    <x v="0"/>
    <n v="42.692399999999999"/>
    <n v="11.859"/>
  </r>
  <r>
    <x v="0"/>
    <x v="22"/>
    <x v="7"/>
    <x v="13"/>
    <s v="NO3_A2"/>
    <x v="0"/>
    <n v="42.692399999999999"/>
    <n v="11.859"/>
  </r>
  <r>
    <x v="0"/>
    <x v="22"/>
    <x v="7"/>
    <x v="13"/>
    <s v="NO3_A3"/>
    <x v="0"/>
    <n v="42.692399999999999"/>
    <n v="11.859"/>
  </r>
  <r>
    <x v="0"/>
    <x v="22"/>
    <x v="7"/>
    <x v="13"/>
    <s v="NO3_Offshore"/>
    <x v="0"/>
    <n v="42.692399999999999"/>
    <n v="11.859"/>
  </r>
  <r>
    <x v="0"/>
    <x v="22"/>
    <x v="7"/>
    <x v="14"/>
    <s v="NO4_A1"/>
    <x v="0"/>
    <n v="42.692399999999999"/>
    <n v="11.859"/>
  </r>
  <r>
    <x v="0"/>
    <x v="22"/>
    <x v="7"/>
    <x v="14"/>
    <s v="NO4_A2"/>
    <x v="0"/>
    <n v="42.692399999999999"/>
    <n v="11.859"/>
  </r>
  <r>
    <x v="0"/>
    <x v="22"/>
    <x v="7"/>
    <x v="14"/>
    <s v="NO4_Offshore"/>
    <x v="0"/>
    <n v="42.692399999999999"/>
    <n v="11.859"/>
  </r>
  <r>
    <x v="0"/>
    <x v="22"/>
    <x v="7"/>
    <x v="15"/>
    <s v="NO5_A1"/>
    <x v="0"/>
    <n v="42.692399999999999"/>
    <n v="11.859"/>
  </r>
  <r>
    <x v="0"/>
    <x v="22"/>
    <x v="7"/>
    <x v="15"/>
    <s v="NO5_A2"/>
    <x v="0"/>
    <n v="42.692399999999999"/>
    <n v="11.859"/>
  </r>
  <r>
    <x v="0"/>
    <x v="22"/>
    <x v="7"/>
    <x v="15"/>
    <s v="NO5_Offshore"/>
    <x v="0"/>
    <n v="42.692399999999999"/>
    <n v="11.859"/>
  </r>
  <r>
    <x v="0"/>
    <x v="22"/>
    <x v="8"/>
    <x v="16"/>
    <s v="PL_A"/>
    <x v="0"/>
    <n v="42.692399999999999"/>
    <n v="11.859"/>
  </r>
  <r>
    <x v="0"/>
    <x v="22"/>
    <x v="8"/>
    <x v="16"/>
    <s v="PL_OFFSHORE"/>
    <x v="0"/>
    <n v="42.692399999999999"/>
    <n v="11.859"/>
  </r>
  <r>
    <x v="0"/>
    <x v="22"/>
    <x v="8"/>
    <x v="16"/>
    <s v="PL_Rural"/>
    <x v="0"/>
    <n v="42.692399999999999"/>
    <n v="11.859"/>
  </r>
  <r>
    <x v="0"/>
    <x v="22"/>
    <x v="9"/>
    <x v="17"/>
    <s v="SE1A"/>
    <x v="0"/>
    <n v="42.692399999999999"/>
    <n v="11.859"/>
  </r>
  <r>
    <x v="0"/>
    <x v="22"/>
    <x v="9"/>
    <x v="17"/>
    <s v="SE1_IND"/>
    <x v="0"/>
    <n v="42.692399999999999"/>
    <n v="11.859"/>
  </r>
  <r>
    <x v="0"/>
    <x v="22"/>
    <x v="9"/>
    <x v="17"/>
    <s v="SE1_Offshore"/>
    <x v="0"/>
    <n v="42.692399999999999"/>
    <n v="11.859"/>
  </r>
  <r>
    <x v="0"/>
    <x v="22"/>
    <x v="9"/>
    <x v="17"/>
    <s v="SE1_medium"/>
    <x v="0"/>
    <n v="42.692399999999999"/>
    <n v="11.859"/>
  </r>
  <r>
    <x v="0"/>
    <x v="22"/>
    <x v="9"/>
    <x v="17"/>
    <s v="SE1_small"/>
    <x v="0"/>
    <n v="42.692399999999999"/>
    <n v="11.859"/>
  </r>
  <r>
    <x v="0"/>
    <x v="22"/>
    <x v="9"/>
    <x v="18"/>
    <s v="SE2A"/>
    <x v="0"/>
    <n v="42.692399999999999"/>
    <n v="11.859"/>
  </r>
  <r>
    <x v="0"/>
    <x v="22"/>
    <x v="9"/>
    <x v="18"/>
    <s v="SE2_IND"/>
    <x v="0"/>
    <n v="42.692399999999999"/>
    <n v="11.859"/>
  </r>
  <r>
    <x v="0"/>
    <x v="22"/>
    <x v="9"/>
    <x v="18"/>
    <s v="SE2_Offshore"/>
    <x v="0"/>
    <n v="42.692399999999999"/>
    <n v="11.859"/>
  </r>
  <r>
    <x v="0"/>
    <x v="22"/>
    <x v="9"/>
    <x v="18"/>
    <s v="SE2_medium"/>
    <x v="0"/>
    <n v="42.692399999999999"/>
    <n v="11.859"/>
  </r>
  <r>
    <x v="0"/>
    <x v="22"/>
    <x v="9"/>
    <x v="18"/>
    <s v="SE2_small"/>
    <x v="0"/>
    <n v="42.692399999999999"/>
    <n v="11.859"/>
  </r>
  <r>
    <x v="0"/>
    <x v="22"/>
    <x v="9"/>
    <x v="19"/>
    <s v="SE3A"/>
    <x v="0"/>
    <n v="42.692399999999999"/>
    <n v="11.859"/>
  </r>
  <r>
    <x v="0"/>
    <x v="22"/>
    <x v="9"/>
    <x v="19"/>
    <s v="SE3_IND"/>
    <x v="0"/>
    <n v="42.692399999999999"/>
    <n v="11.859"/>
  </r>
  <r>
    <x v="0"/>
    <x v="22"/>
    <x v="9"/>
    <x v="19"/>
    <s v="SE3_Offshore"/>
    <x v="0"/>
    <n v="42.692399999999999"/>
    <n v="11.859"/>
  </r>
  <r>
    <x v="0"/>
    <x v="22"/>
    <x v="9"/>
    <x v="19"/>
    <s v="SE3_large"/>
    <x v="0"/>
    <n v="42.692399999999999"/>
    <n v="11.859"/>
  </r>
  <r>
    <x v="0"/>
    <x v="22"/>
    <x v="9"/>
    <x v="19"/>
    <s v="SE3_medium"/>
    <x v="0"/>
    <n v="42.692399999999999"/>
    <n v="11.859"/>
  </r>
  <r>
    <x v="0"/>
    <x v="22"/>
    <x v="9"/>
    <x v="19"/>
    <s v="SE3_small"/>
    <x v="0"/>
    <n v="42.692399999999999"/>
    <n v="11.859"/>
  </r>
  <r>
    <x v="0"/>
    <x v="22"/>
    <x v="9"/>
    <x v="20"/>
    <s v="SE4A"/>
    <x v="0"/>
    <n v="42.692399999999999"/>
    <n v="11.859"/>
  </r>
  <r>
    <x v="0"/>
    <x v="22"/>
    <x v="9"/>
    <x v="20"/>
    <s v="SE4_IND"/>
    <x v="0"/>
    <n v="42.692399999999999"/>
    <n v="11.859"/>
  </r>
  <r>
    <x v="0"/>
    <x v="22"/>
    <x v="9"/>
    <x v="20"/>
    <s v="SE4_Offshore"/>
    <x v="0"/>
    <n v="42.692399999999999"/>
    <n v="11.859"/>
  </r>
  <r>
    <x v="0"/>
    <x v="22"/>
    <x v="9"/>
    <x v="20"/>
    <s v="SE4_large"/>
    <x v="0"/>
    <n v="42.692399999999999"/>
    <n v="11.859"/>
  </r>
  <r>
    <x v="0"/>
    <x v="22"/>
    <x v="9"/>
    <x v="20"/>
    <s v="SE4_medium"/>
    <x v="0"/>
    <n v="42.692399999999999"/>
    <n v="11.859"/>
  </r>
  <r>
    <x v="0"/>
    <x v="22"/>
    <x v="9"/>
    <x v="20"/>
    <s v="SE4_small"/>
    <x v="0"/>
    <n v="42.692399999999999"/>
    <n v="11.859"/>
  </r>
  <r>
    <x v="0"/>
    <x v="22"/>
    <x v="10"/>
    <x v="21"/>
    <s v="UK_A"/>
    <x v="0"/>
    <n v="42.692399999999999"/>
    <n v="11.859"/>
  </r>
  <r>
    <x v="0"/>
    <x v="22"/>
    <x v="10"/>
    <x v="21"/>
    <s v="UK_Offshore"/>
    <x v="0"/>
    <n v="42.692399999999999"/>
    <n v="11.859"/>
  </r>
  <r>
    <x v="0"/>
    <x v="23"/>
    <x v="0"/>
    <x v="0"/>
    <s v="DK1_Large"/>
    <x v="1"/>
    <n v="35.989199999999997"/>
    <n v="9.9969999999999999"/>
  </r>
  <r>
    <x v="0"/>
    <x v="23"/>
    <x v="0"/>
    <x v="0"/>
    <s v="DK1_Large"/>
    <x v="2"/>
    <n v="46.08"/>
    <n v="12.8"/>
  </r>
  <r>
    <x v="0"/>
    <x v="23"/>
    <x v="0"/>
    <x v="0"/>
    <s v="DK1_Large"/>
    <x v="0"/>
    <n v="42.692399999999999"/>
    <n v="11.859"/>
  </r>
  <r>
    <x v="0"/>
    <x v="23"/>
    <x v="0"/>
    <x v="0"/>
    <s v="DK1_Large"/>
    <x v="3"/>
    <n v="51.633543144067197"/>
    <n v="14.342650873352"/>
  </r>
  <r>
    <x v="0"/>
    <x v="23"/>
    <x v="0"/>
    <x v="0"/>
    <s v="DK1_Large"/>
    <x v="4"/>
    <n v="10.7598541839271"/>
    <n v="2.9888483844241902"/>
  </r>
  <r>
    <x v="0"/>
    <x v="23"/>
    <x v="0"/>
    <x v="0"/>
    <s v="DK1_Large"/>
    <x v="5"/>
    <n v="10.7598541839271"/>
    <n v="2.9888483844241902"/>
  </r>
  <r>
    <x v="0"/>
    <x v="23"/>
    <x v="0"/>
    <x v="0"/>
    <s v="DK1_Large"/>
    <x v="6"/>
    <n v="29.476231795214598"/>
    <n v="8.1878421653373898"/>
  </r>
  <r>
    <x v="0"/>
    <x v="23"/>
    <x v="0"/>
    <x v="0"/>
    <s v="DK1_Large"/>
    <x v="7"/>
    <n v="57.838935220261199"/>
    <n v="16.066370894517"/>
  </r>
  <r>
    <x v="0"/>
    <x v="23"/>
    <x v="0"/>
    <x v="0"/>
    <s v="DK1_Large"/>
    <x v="8"/>
    <n v="57.838935220261199"/>
    <n v="16.066370894517"/>
  </r>
  <r>
    <x v="0"/>
    <x v="23"/>
    <x v="0"/>
    <x v="0"/>
    <s v="DK1_Large"/>
    <x v="9"/>
    <n v="47.978366197183199"/>
    <n v="13.327323943662"/>
  </r>
  <r>
    <x v="0"/>
    <x v="23"/>
    <x v="0"/>
    <x v="0"/>
    <s v="DK1_Large"/>
    <x v="10"/>
    <n v="63.1479966859984"/>
    <n v="17.541110190555099"/>
  </r>
  <r>
    <x v="0"/>
    <x v="23"/>
    <x v="0"/>
    <x v="0"/>
    <s v="DK1_Large"/>
    <x v="11"/>
    <n v="5.9972957746478999"/>
    <n v="1.66591549295775"/>
  </r>
  <r>
    <x v="0"/>
    <x v="23"/>
    <x v="0"/>
    <x v="0"/>
    <s v="DK1_Large"/>
    <x v="12"/>
    <n v="9.7995028997514597E-2"/>
    <n v="2.72208413881985E-2"/>
  </r>
  <r>
    <x v="0"/>
    <x v="23"/>
    <x v="0"/>
    <x v="0"/>
    <s v="DK1_Large"/>
    <x v="13"/>
    <n v="26.987830985915501"/>
    <n v="7.4966197183098604"/>
  </r>
  <r>
    <x v="0"/>
    <x v="23"/>
    <x v="0"/>
    <x v="0"/>
    <s v="DK1_Large"/>
    <x v="14"/>
    <n v="26.987830985915501"/>
    <n v="7.4966197183098604"/>
  </r>
  <r>
    <x v="0"/>
    <x v="23"/>
    <x v="0"/>
    <x v="0"/>
    <s v="DK1_Large"/>
    <x v="15"/>
    <n v="1.65807589063794"/>
    <n v="0.46057663628831802"/>
  </r>
  <r>
    <x v="0"/>
    <x v="23"/>
    <x v="0"/>
    <x v="0"/>
    <s v="DK1_Large"/>
    <x v="16"/>
    <n v="6.6307647887493104"/>
    <n v="1.84187910798592"/>
  </r>
  <r>
    <x v="0"/>
    <x v="23"/>
    <x v="0"/>
    <x v="0"/>
    <s v="DK1_Large"/>
    <x v="17"/>
    <n v="9.1244895875632395"/>
    <n v="2.5345804409897901"/>
  </r>
  <r>
    <x v="0"/>
    <x v="23"/>
    <x v="0"/>
    <x v="0"/>
    <s v="DK1_Large"/>
    <x v="18"/>
    <n v="26.987830985915501"/>
    <n v="7.4966197183098604"/>
  </r>
  <r>
    <x v="0"/>
    <x v="23"/>
    <x v="0"/>
    <x v="0"/>
    <s v="DK1_Large"/>
    <x v="19"/>
    <n v="8.1139884009941898"/>
    <n v="2.2538856669428302"/>
  </r>
  <r>
    <x v="0"/>
    <x v="23"/>
    <x v="0"/>
    <x v="0"/>
    <s v="DK1_Large"/>
    <x v="20"/>
    <n v="21.7877183939536"/>
    <n v="6.0521439983204397"/>
  </r>
  <r>
    <x v="0"/>
    <x v="23"/>
    <x v="0"/>
    <x v="0"/>
    <s v="DK1_Large"/>
    <x v="21"/>
    <n v="48.24"/>
    <n v="13.4"/>
  </r>
  <r>
    <x v="0"/>
    <x v="23"/>
    <x v="0"/>
    <x v="0"/>
    <s v="DK1_Large"/>
    <x v="22"/>
    <n v="67.680000000000007"/>
    <n v="18.8"/>
  </r>
  <r>
    <x v="0"/>
    <x v="23"/>
    <x v="0"/>
    <x v="0"/>
    <s v="DK1_Large"/>
    <x v="23"/>
    <n v="0.31515896120488701"/>
    <n v="8.7544155890246306E-2"/>
  </r>
  <r>
    <x v="0"/>
    <x v="23"/>
    <x v="0"/>
    <x v="0"/>
    <s v="DK1_Large"/>
    <x v="24"/>
    <n v="19.174223581093901"/>
    <n v="5.32617321697054"/>
  </r>
  <r>
    <x v="0"/>
    <x v="23"/>
    <x v="0"/>
    <x v="0"/>
    <s v="DK1_Large"/>
    <x v="25"/>
    <n v="25.6652953012922"/>
    <n v="7.1292486948033904"/>
  </r>
  <r>
    <x v="0"/>
    <x v="23"/>
    <x v="0"/>
    <x v="0"/>
    <s v="DK1_Large"/>
    <x v="26"/>
    <n v="32.971098611263102"/>
    <n v="9.1586385031286301"/>
  </r>
  <r>
    <x v="0"/>
    <x v="23"/>
    <x v="0"/>
    <x v="0"/>
    <s v="DK1_Large"/>
    <x v="27"/>
    <n v="20.163995508318798"/>
    <n v="5.6011098634218799"/>
  </r>
  <r>
    <x v="0"/>
    <x v="23"/>
    <x v="0"/>
    <x v="0"/>
    <s v="DK1_Large_PHH"/>
    <x v="1"/>
    <n v="35.989199999999997"/>
    <n v="9.9969999999999999"/>
  </r>
  <r>
    <x v="0"/>
    <x v="23"/>
    <x v="0"/>
    <x v="0"/>
    <s v="DK1_Large_PHH"/>
    <x v="2"/>
    <n v="46.08"/>
    <n v="12.8"/>
  </r>
  <r>
    <x v="0"/>
    <x v="23"/>
    <x v="0"/>
    <x v="0"/>
    <s v="DK1_Large_PHH"/>
    <x v="0"/>
    <n v="42.692399999999999"/>
    <n v="11.859"/>
  </r>
  <r>
    <x v="0"/>
    <x v="23"/>
    <x v="0"/>
    <x v="0"/>
    <s v="DK1_Large_PHH"/>
    <x v="3"/>
    <n v="51.633543144067197"/>
    <n v="14.342650873352"/>
  </r>
  <r>
    <x v="0"/>
    <x v="23"/>
    <x v="0"/>
    <x v="0"/>
    <s v="DK1_Large_PHH"/>
    <x v="4"/>
    <n v="10.7598541839271"/>
    <n v="2.9888483844241902"/>
  </r>
  <r>
    <x v="0"/>
    <x v="23"/>
    <x v="0"/>
    <x v="0"/>
    <s v="DK1_Large_PHH"/>
    <x v="5"/>
    <n v="10.7598541839271"/>
    <n v="2.9888483844241902"/>
  </r>
  <r>
    <x v="0"/>
    <x v="23"/>
    <x v="0"/>
    <x v="0"/>
    <s v="DK1_Large_PHH"/>
    <x v="6"/>
    <n v="29.476231795214598"/>
    <n v="8.1878421653373898"/>
  </r>
  <r>
    <x v="0"/>
    <x v="23"/>
    <x v="0"/>
    <x v="0"/>
    <s v="DK1_Large_PHH"/>
    <x v="7"/>
    <n v="57.838935220261199"/>
    <n v="16.066370894517"/>
  </r>
  <r>
    <x v="0"/>
    <x v="23"/>
    <x v="0"/>
    <x v="0"/>
    <s v="DK1_Large_PHH"/>
    <x v="8"/>
    <n v="57.838935220261199"/>
    <n v="16.066370894517"/>
  </r>
  <r>
    <x v="0"/>
    <x v="23"/>
    <x v="0"/>
    <x v="0"/>
    <s v="DK1_Large_PHH"/>
    <x v="9"/>
    <n v="47.978366197183199"/>
    <n v="13.327323943662"/>
  </r>
  <r>
    <x v="0"/>
    <x v="23"/>
    <x v="0"/>
    <x v="0"/>
    <s v="DK1_Large_PHH"/>
    <x v="10"/>
    <n v="63.1479966859984"/>
    <n v="17.541110190555099"/>
  </r>
  <r>
    <x v="0"/>
    <x v="23"/>
    <x v="0"/>
    <x v="0"/>
    <s v="DK1_Large_PHH"/>
    <x v="11"/>
    <n v="5.9972957746478999"/>
    <n v="1.66591549295775"/>
  </r>
  <r>
    <x v="0"/>
    <x v="23"/>
    <x v="0"/>
    <x v="0"/>
    <s v="DK1_Large_PHH"/>
    <x v="12"/>
    <n v="9.7995028997514597E-2"/>
    <n v="2.72208413881985E-2"/>
  </r>
  <r>
    <x v="0"/>
    <x v="23"/>
    <x v="0"/>
    <x v="0"/>
    <s v="DK1_Large_PHH"/>
    <x v="13"/>
    <n v="26.987830985915501"/>
    <n v="7.4966197183098604"/>
  </r>
  <r>
    <x v="0"/>
    <x v="23"/>
    <x v="0"/>
    <x v="0"/>
    <s v="DK1_Large_PHH"/>
    <x v="14"/>
    <n v="26.987830985915501"/>
    <n v="7.4966197183098604"/>
  </r>
  <r>
    <x v="0"/>
    <x v="23"/>
    <x v="0"/>
    <x v="0"/>
    <s v="DK1_Large_PHH"/>
    <x v="15"/>
    <n v="1.65807589063794"/>
    <n v="0.46057663628831802"/>
  </r>
  <r>
    <x v="0"/>
    <x v="23"/>
    <x v="0"/>
    <x v="0"/>
    <s v="DK1_Large_PHH"/>
    <x v="16"/>
    <n v="6.6307647887493104"/>
    <n v="1.84187910798592"/>
  </r>
  <r>
    <x v="0"/>
    <x v="23"/>
    <x v="0"/>
    <x v="0"/>
    <s v="DK1_Large_PHH"/>
    <x v="17"/>
    <n v="9.1244895875632395"/>
    <n v="2.5345804409897901"/>
  </r>
  <r>
    <x v="0"/>
    <x v="23"/>
    <x v="0"/>
    <x v="0"/>
    <s v="DK1_Large_PHH"/>
    <x v="18"/>
    <n v="26.987830985915501"/>
    <n v="7.4966197183098604"/>
  </r>
  <r>
    <x v="0"/>
    <x v="23"/>
    <x v="0"/>
    <x v="0"/>
    <s v="DK1_Large_PHH"/>
    <x v="19"/>
    <n v="8.1139884009941898"/>
    <n v="2.2538856669428302"/>
  </r>
  <r>
    <x v="0"/>
    <x v="23"/>
    <x v="0"/>
    <x v="0"/>
    <s v="DK1_Large_PHH"/>
    <x v="20"/>
    <n v="21.7877183939536"/>
    <n v="6.0521439983204397"/>
  </r>
  <r>
    <x v="0"/>
    <x v="23"/>
    <x v="0"/>
    <x v="0"/>
    <s v="DK1_Large_PHH"/>
    <x v="21"/>
    <n v="48.24"/>
    <n v="13.4"/>
  </r>
  <r>
    <x v="0"/>
    <x v="23"/>
    <x v="0"/>
    <x v="0"/>
    <s v="DK1_Large_PHH"/>
    <x v="22"/>
    <n v="67.680000000000007"/>
    <n v="18.8"/>
  </r>
  <r>
    <x v="0"/>
    <x v="23"/>
    <x v="0"/>
    <x v="0"/>
    <s v="DK1_Large_PHH"/>
    <x v="23"/>
    <n v="0.31515896120488701"/>
    <n v="8.7544155890246306E-2"/>
  </r>
  <r>
    <x v="0"/>
    <x v="23"/>
    <x v="0"/>
    <x v="0"/>
    <s v="DK1_Large_PHH"/>
    <x v="24"/>
    <n v="19.174223581093901"/>
    <n v="5.32617321697054"/>
  </r>
  <r>
    <x v="0"/>
    <x v="23"/>
    <x v="0"/>
    <x v="0"/>
    <s v="DK1_Large_PHH"/>
    <x v="25"/>
    <n v="25.6652953012922"/>
    <n v="7.1292486948033904"/>
  </r>
  <r>
    <x v="0"/>
    <x v="23"/>
    <x v="0"/>
    <x v="0"/>
    <s v="DK1_Large_PHH"/>
    <x v="26"/>
    <n v="32.971098611263102"/>
    <n v="9.1586385031286301"/>
  </r>
  <r>
    <x v="0"/>
    <x v="23"/>
    <x v="0"/>
    <x v="0"/>
    <s v="DK1_Large_PHH"/>
    <x v="27"/>
    <n v="20.163995508318798"/>
    <n v="5.6011098634218799"/>
  </r>
  <r>
    <x v="0"/>
    <x v="23"/>
    <x v="0"/>
    <x v="0"/>
    <s v="DK1_Large_PHL"/>
    <x v="1"/>
    <n v="35.989199999999997"/>
    <n v="9.9969999999999999"/>
  </r>
  <r>
    <x v="0"/>
    <x v="23"/>
    <x v="0"/>
    <x v="0"/>
    <s v="DK1_Large_PHL"/>
    <x v="2"/>
    <n v="46.08"/>
    <n v="12.8"/>
  </r>
  <r>
    <x v="0"/>
    <x v="23"/>
    <x v="0"/>
    <x v="0"/>
    <s v="DK1_Large_PHL"/>
    <x v="0"/>
    <n v="42.692399999999999"/>
    <n v="11.859"/>
  </r>
  <r>
    <x v="0"/>
    <x v="23"/>
    <x v="0"/>
    <x v="0"/>
    <s v="DK1_Large_PHL"/>
    <x v="3"/>
    <n v="51.633543144067197"/>
    <n v="14.342650873352"/>
  </r>
  <r>
    <x v="0"/>
    <x v="23"/>
    <x v="0"/>
    <x v="0"/>
    <s v="DK1_Large_PHL"/>
    <x v="4"/>
    <n v="10.7598541839271"/>
    <n v="2.9888483844241902"/>
  </r>
  <r>
    <x v="0"/>
    <x v="23"/>
    <x v="0"/>
    <x v="0"/>
    <s v="DK1_Large_PHL"/>
    <x v="5"/>
    <n v="10.7598541839271"/>
    <n v="2.9888483844241902"/>
  </r>
  <r>
    <x v="0"/>
    <x v="23"/>
    <x v="0"/>
    <x v="0"/>
    <s v="DK1_Large_PHL"/>
    <x v="6"/>
    <n v="29.476231795214598"/>
    <n v="8.1878421653373898"/>
  </r>
  <r>
    <x v="0"/>
    <x v="23"/>
    <x v="0"/>
    <x v="0"/>
    <s v="DK1_Large_PHL"/>
    <x v="7"/>
    <n v="57.838935220261199"/>
    <n v="16.066370894517"/>
  </r>
  <r>
    <x v="0"/>
    <x v="23"/>
    <x v="0"/>
    <x v="0"/>
    <s v="DK1_Large_PHL"/>
    <x v="8"/>
    <n v="57.838935220261199"/>
    <n v="16.066370894517"/>
  </r>
  <r>
    <x v="0"/>
    <x v="23"/>
    <x v="0"/>
    <x v="0"/>
    <s v="DK1_Large_PHL"/>
    <x v="9"/>
    <n v="47.978366197183199"/>
    <n v="13.327323943662"/>
  </r>
  <r>
    <x v="0"/>
    <x v="23"/>
    <x v="0"/>
    <x v="0"/>
    <s v="DK1_Large_PHL"/>
    <x v="10"/>
    <n v="63.1479966859984"/>
    <n v="17.541110190555099"/>
  </r>
  <r>
    <x v="0"/>
    <x v="23"/>
    <x v="0"/>
    <x v="0"/>
    <s v="DK1_Large_PHL"/>
    <x v="11"/>
    <n v="5.9972957746478999"/>
    <n v="1.66591549295775"/>
  </r>
  <r>
    <x v="0"/>
    <x v="23"/>
    <x v="0"/>
    <x v="0"/>
    <s v="DK1_Large_PHL"/>
    <x v="12"/>
    <n v="9.7995028997514597E-2"/>
    <n v="2.72208413881985E-2"/>
  </r>
  <r>
    <x v="0"/>
    <x v="23"/>
    <x v="0"/>
    <x v="0"/>
    <s v="DK1_Large_PHL"/>
    <x v="13"/>
    <n v="26.987830985915501"/>
    <n v="7.4966197183098604"/>
  </r>
  <r>
    <x v="0"/>
    <x v="23"/>
    <x v="0"/>
    <x v="0"/>
    <s v="DK1_Large_PHL"/>
    <x v="14"/>
    <n v="26.987830985915501"/>
    <n v="7.4966197183098604"/>
  </r>
  <r>
    <x v="0"/>
    <x v="23"/>
    <x v="0"/>
    <x v="0"/>
    <s v="DK1_Large_PHL"/>
    <x v="15"/>
    <n v="1.65807589063794"/>
    <n v="0.46057663628831802"/>
  </r>
  <r>
    <x v="0"/>
    <x v="23"/>
    <x v="0"/>
    <x v="0"/>
    <s v="DK1_Large_PHL"/>
    <x v="16"/>
    <n v="6.6307647887493104"/>
    <n v="1.84187910798592"/>
  </r>
  <r>
    <x v="0"/>
    <x v="23"/>
    <x v="0"/>
    <x v="0"/>
    <s v="DK1_Large_PHL"/>
    <x v="17"/>
    <n v="9.1244895875632395"/>
    <n v="2.5345804409897901"/>
  </r>
  <r>
    <x v="0"/>
    <x v="23"/>
    <x v="0"/>
    <x v="0"/>
    <s v="DK1_Large_PHL"/>
    <x v="18"/>
    <n v="26.987830985915501"/>
    <n v="7.4966197183098604"/>
  </r>
  <r>
    <x v="0"/>
    <x v="23"/>
    <x v="0"/>
    <x v="0"/>
    <s v="DK1_Large_PHL"/>
    <x v="19"/>
    <n v="8.1139884009941898"/>
    <n v="2.2538856669428302"/>
  </r>
  <r>
    <x v="0"/>
    <x v="23"/>
    <x v="0"/>
    <x v="0"/>
    <s v="DK1_Large_PHL"/>
    <x v="20"/>
    <n v="21.7877183939536"/>
    <n v="6.0521439983204397"/>
  </r>
  <r>
    <x v="0"/>
    <x v="23"/>
    <x v="0"/>
    <x v="0"/>
    <s v="DK1_Large_PHL"/>
    <x v="21"/>
    <n v="48.24"/>
    <n v="13.4"/>
  </r>
  <r>
    <x v="0"/>
    <x v="23"/>
    <x v="0"/>
    <x v="0"/>
    <s v="DK1_Large_PHL"/>
    <x v="22"/>
    <n v="67.680000000000007"/>
    <n v="18.8"/>
  </r>
  <r>
    <x v="0"/>
    <x v="23"/>
    <x v="0"/>
    <x v="0"/>
    <s v="DK1_Large_PHL"/>
    <x v="23"/>
    <n v="0.31515896120488701"/>
    <n v="8.7544155890246306E-2"/>
  </r>
  <r>
    <x v="0"/>
    <x v="23"/>
    <x v="0"/>
    <x v="0"/>
    <s v="DK1_Large_PHL"/>
    <x v="24"/>
    <n v="19.174223581093901"/>
    <n v="5.32617321697054"/>
  </r>
  <r>
    <x v="0"/>
    <x v="23"/>
    <x v="0"/>
    <x v="0"/>
    <s v="DK1_Large_PHL"/>
    <x v="25"/>
    <n v="25.6652953012922"/>
    <n v="7.1292486948033904"/>
  </r>
  <r>
    <x v="0"/>
    <x v="23"/>
    <x v="0"/>
    <x v="0"/>
    <s v="DK1_Large_PHL"/>
    <x v="26"/>
    <n v="32.971098611263102"/>
    <n v="9.1586385031286301"/>
  </r>
  <r>
    <x v="0"/>
    <x v="23"/>
    <x v="0"/>
    <x v="0"/>
    <s v="DK1_Large_PHL"/>
    <x v="27"/>
    <n v="20.163995508318798"/>
    <n v="5.6011098634218799"/>
  </r>
  <r>
    <x v="0"/>
    <x v="23"/>
    <x v="0"/>
    <x v="0"/>
    <s v="DK1_MedSmall"/>
    <x v="1"/>
    <n v="35.989199999999997"/>
    <n v="9.9969999999999999"/>
  </r>
  <r>
    <x v="0"/>
    <x v="23"/>
    <x v="0"/>
    <x v="0"/>
    <s v="DK1_MedSmall"/>
    <x v="2"/>
    <n v="46.08"/>
    <n v="12.8"/>
  </r>
  <r>
    <x v="0"/>
    <x v="23"/>
    <x v="0"/>
    <x v="0"/>
    <s v="DK1_MedSmall"/>
    <x v="0"/>
    <n v="42.692399999999999"/>
    <n v="11.859"/>
  </r>
  <r>
    <x v="0"/>
    <x v="23"/>
    <x v="0"/>
    <x v="0"/>
    <s v="DK1_MedSmall"/>
    <x v="3"/>
    <n v="51.633543144067197"/>
    <n v="14.342650873352"/>
  </r>
  <r>
    <x v="0"/>
    <x v="23"/>
    <x v="0"/>
    <x v="0"/>
    <s v="DK1_MedSmall"/>
    <x v="4"/>
    <n v="10.7598541839271"/>
    <n v="2.9888483844241902"/>
  </r>
  <r>
    <x v="0"/>
    <x v="23"/>
    <x v="0"/>
    <x v="0"/>
    <s v="DK1_MedSmall"/>
    <x v="5"/>
    <n v="10.7598541839271"/>
    <n v="2.9888483844241902"/>
  </r>
  <r>
    <x v="0"/>
    <x v="23"/>
    <x v="0"/>
    <x v="0"/>
    <s v="DK1_MedSmall"/>
    <x v="6"/>
    <n v="29.476231795214598"/>
    <n v="8.1878421653373898"/>
  </r>
  <r>
    <x v="0"/>
    <x v="23"/>
    <x v="0"/>
    <x v="0"/>
    <s v="DK1_MedSmall"/>
    <x v="7"/>
    <n v="57.838935220261199"/>
    <n v="16.066370894517"/>
  </r>
  <r>
    <x v="0"/>
    <x v="23"/>
    <x v="0"/>
    <x v="0"/>
    <s v="DK1_MedSmall"/>
    <x v="8"/>
    <n v="57.838935220261199"/>
    <n v="16.066370894517"/>
  </r>
  <r>
    <x v="0"/>
    <x v="23"/>
    <x v="0"/>
    <x v="0"/>
    <s v="DK1_MedSmall"/>
    <x v="9"/>
    <n v="47.978366197183199"/>
    <n v="13.327323943662"/>
  </r>
  <r>
    <x v="0"/>
    <x v="23"/>
    <x v="0"/>
    <x v="0"/>
    <s v="DK1_MedSmall"/>
    <x v="10"/>
    <n v="63.1479966859984"/>
    <n v="17.541110190555099"/>
  </r>
  <r>
    <x v="0"/>
    <x v="23"/>
    <x v="0"/>
    <x v="0"/>
    <s v="DK1_MedSmall"/>
    <x v="11"/>
    <n v="5.9972957746478999"/>
    <n v="1.66591549295775"/>
  </r>
  <r>
    <x v="0"/>
    <x v="23"/>
    <x v="0"/>
    <x v="0"/>
    <s v="DK1_MedSmall"/>
    <x v="12"/>
    <n v="9.7995028997514597E-2"/>
    <n v="2.72208413881985E-2"/>
  </r>
  <r>
    <x v="0"/>
    <x v="23"/>
    <x v="0"/>
    <x v="0"/>
    <s v="DK1_MedSmall"/>
    <x v="13"/>
    <n v="26.987830985915501"/>
    <n v="7.4966197183098604"/>
  </r>
  <r>
    <x v="0"/>
    <x v="23"/>
    <x v="0"/>
    <x v="0"/>
    <s v="DK1_MedSmall"/>
    <x v="14"/>
    <n v="26.987830985915501"/>
    <n v="7.4966197183098604"/>
  </r>
  <r>
    <x v="0"/>
    <x v="23"/>
    <x v="0"/>
    <x v="0"/>
    <s v="DK1_MedSmall"/>
    <x v="15"/>
    <n v="1.65807589063794"/>
    <n v="0.46057663628831802"/>
  </r>
  <r>
    <x v="0"/>
    <x v="23"/>
    <x v="0"/>
    <x v="0"/>
    <s v="DK1_MedSmall"/>
    <x v="16"/>
    <n v="6.6307647887493104"/>
    <n v="1.84187910798592"/>
  </r>
  <r>
    <x v="0"/>
    <x v="23"/>
    <x v="0"/>
    <x v="0"/>
    <s v="DK1_MedSmall"/>
    <x v="17"/>
    <n v="9.1244895875632395"/>
    <n v="2.5345804409897901"/>
  </r>
  <r>
    <x v="0"/>
    <x v="23"/>
    <x v="0"/>
    <x v="0"/>
    <s v="DK1_MedSmall"/>
    <x v="18"/>
    <n v="26.987830985915501"/>
    <n v="7.4966197183098604"/>
  </r>
  <r>
    <x v="0"/>
    <x v="23"/>
    <x v="0"/>
    <x v="0"/>
    <s v="DK1_MedSmall"/>
    <x v="19"/>
    <n v="8.1139884009941898"/>
    <n v="2.2538856669428302"/>
  </r>
  <r>
    <x v="0"/>
    <x v="23"/>
    <x v="0"/>
    <x v="0"/>
    <s v="DK1_MedSmall"/>
    <x v="20"/>
    <n v="21.7877183939536"/>
    <n v="6.0521439983204397"/>
  </r>
  <r>
    <x v="0"/>
    <x v="23"/>
    <x v="0"/>
    <x v="0"/>
    <s v="DK1_MedSmall"/>
    <x v="21"/>
    <n v="48.24"/>
    <n v="13.4"/>
  </r>
  <r>
    <x v="0"/>
    <x v="23"/>
    <x v="0"/>
    <x v="0"/>
    <s v="DK1_MedSmall"/>
    <x v="22"/>
    <n v="67.680000000000007"/>
    <n v="18.8"/>
  </r>
  <r>
    <x v="0"/>
    <x v="23"/>
    <x v="0"/>
    <x v="0"/>
    <s v="DK1_MedSmall"/>
    <x v="23"/>
    <n v="0.31515896120488701"/>
    <n v="8.7544155890246306E-2"/>
  </r>
  <r>
    <x v="0"/>
    <x v="23"/>
    <x v="0"/>
    <x v="0"/>
    <s v="DK1_MedSmall"/>
    <x v="24"/>
    <n v="19.174223581093901"/>
    <n v="5.32617321697054"/>
  </r>
  <r>
    <x v="0"/>
    <x v="23"/>
    <x v="0"/>
    <x v="0"/>
    <s v="DK1_MedSmall"/>
    <x v="25"/>
    <n v="25.6652953012922"/>
    <n v="7.1292486948033904"/>
  </r>
  <r>
    <x v="0"/>
    <x v="23"/>
    <x v="0"/>
    <x v="0"/>
    <s v="DK1_MedSmall"/>
    <x v="26"/>
    <n v="32.971098611263102"/>
    <n v="9.1586385031286301"/>
  </r>
  <r>
    <x v="0"/>
    <x v="23"/>
    <x v="0"/>
    <x v="0"/>
    <s v="DK1_MedSmall"/>
    <x v="27"/>
    <n v="20.163995508318798"/>
    <n v="5.6011098634218799"/>
  </r>
  <r>
    <x v="0"/>
    <x v="23"/>
    <x v="0"/>
    <x v="0"/>
    <s v="DK1_Medium"/>
    <x v="1"/>
    <n v="35.989199999999997"/>
    <n v="9.9969999999999999"/>
  </r>
  <r>
    <x v="0"/>
    <x v="23"/>
    <x v="0"/>
    <x v="0"/>
    <s v="DK1_Medium"/>
    <x v="2"/>
    <n v="46.08"/>
    <n v="12.8"/>
  </r>
  <r>
    <x v="0"/>
    <x v="23"/>
    <x v="0"/>
    <x v="0"/>
    <s v="DK1_Medium"/>
    <x v="0"/>
    <n v="42.692399999999999"/>
    <n v="11.859"/>
  </r>
  <r>
    <x v="0"/>
    <x v="23"/>
    <x v="0"/>
    <x v="0"/>
    <s v="DK1_Medium"/>
    <x v="3"/>
    <n v="51.633543144067197"/>
    <n v="14.342650873352"/>
  </r>
  <r>
    <x v="0"/>
    <x v="23"/>
    <x v="0"/>
    <x v="0"/>
    <s v="DK1_Medium"/>
    <x v="4"/>
    <n v="10.7598541839271"/>
    <n v="2.9888483844241902"/>
  </r>
  <r>
    <x v="0"/>
    <x v="23"/>
    <x v="0"/>
    <x v="0"/>
    <s v="DK1_Medium"/>
    <x v="5"/>
    <n v="10.7598541839271"/>
    <n v="2.9888483844241902"/>
  </r>
  <r>
    <x v="0"/>
    <x v="23"/>
    <x v="0"/>
    <x v="0"/>
    <s v="DK1_Medium"/>
    <x v="6"/>
    <n v="29.476231795214598"/>
    <n v="8.1878421653373898"/>
  </r>
  <r>
    <x v="0"/>
    <x v="23"/>
    <x v="0"/>
    <x v="0"/>
    <s v="DK1_Medium"/>
    <x v="7"/>
    <n v="57.838935220261199"/>
    <n v="16.066370894517"/>
  </r>
  <r>
    <x v="0"/>
    <x v="23"/>
    <x v="0"/>
    <x v="0"/>
    <s v="DK1_Medium"/>
    <x v="8"/>
    <n v="57.838935220261199"/>
    <n v="16.066370894517"/>
  </r>
  <r>
    <x v="0"/>
    <x v="23"/>
    <x v="0"/>
    <x v="0"/>
    <s v="DK1_Medium"/>
    <x v="9"/>
    <n v="47.978366197183199"/>
    <n v="13.327323943662"/>
  </r>
  <r>
    <x v="0"/>
    <x v="23"/>
    <x v="0"/>
    <x v="0"/>
    <s v="DK1_Medium"/>
    <x v="10"/>
    <n v="63.1479966859984"/>
    <n v="17.541110190555099"/>
  </r>
  <r>
    <x v="0"/>
    <x v="23"/>
    <x v="0"/>
    <x v="0"/>
    <s v="DK1_Medium"/>
    <x v="11"/>
    <n v="5.9972957746478999"/>
    <n v="1.66591549295775"/>
  </r>
  <r>
    <x v="0"/>
    <x v="23"/>
    <x v="0"/>
    <x v="0"/>
    <s v="DK1_Medium"/>
    <x v="12"/>
    <n v="9.7995028997514597E-2"/>
    <n v="2.72208413881985E-2"/>
  </r>
  <r>
    <x v="0"/>
    <x v="23"/>
    <x v="0"/>
    <x v="0"/>
    <s v="DK1_Medium"/>
    <x v="13"/>
    <n v="26.987830985915501"/>
    <n v="7.4966197183098604"/>
  </r>
  <r>
    <x v="0"/>
    <x v="23"/>
    <x v="0"/>
    <x v="0"/>
    <s v="DK1_Medium"/>
    <x v="14"/>
    <n v="26.987830985915501"/>
    <n v="7.4966197183098604"/>
  </r>
  <r>
    <x v="0"/>
    <x v="23"/>
    <x v="0"/>
    <x v="0"/>
    <s v="DK1_Medium"/>
    <x v="15"/>
    <n v="1.65807589063794"/>
    <n v="0.46057663628831802"/>
  </r>
  <r>
    <x v="0"/>
    <x v="23"/>
    <x v="0"/>
    <x v="0"/>
    <s v="DK1_Medium"/>
    <x v="16"/>
    <n v="6.6307647887493104"/>
    <n v="1.84187910798592"/>
  </r>
  <r>
    <x v="0"/>
    <x v="23"/>
    <x v="0"/>
    <x v="0"/>
    <s v="DK1_Medium"/>
    <x v="17"/>
    <n v="9.1244895875632395"/>
    <n v="2.5345804409897901"/>
  </r>
  <r>
    <x v="0"/>
    <x v="23"/>
    <x v="0"/>
    <x v="0"/>
    <s v="DK1_Medium"/>
    <x v="18"/>
    <n v="26.987830985915501"/>
    <n v="7.4966197183098604"/>
  </r>
  <r>
    <x v="0"/>
    <x v="23"/>
    <x v="0"/>
    <x v="0"/>
    <s v="DK1_Medium"/>
    <x v="19"/>
    <n v="8.1139884009941898"/>
    <n v="2.2538856669428302"/>
  </r>
  <r>
    <x v="0"/>
    <x v="23"/>
    <x v="0"/>
    <x v="0"/>
    <s v="DK1_Medium"/>
    <x v="20"/>
    <n v="21.7877183939536"/>
    <n v="6.0521439983204397"/>
  </r>
  <r>
    <x v="0"/>
    <x v="23"/>
    <x v="0"/>
    <x v="0"/>
    <s v="DK1_Medium"/>
    <x v="21"/>
    <n v="48.24"/>
    <n v="13.4"/>
  </r>
  <r>
    <x v="0"/>
    <x v="23"/>
    <x v="0"/>
    <x v="0"/>
    <s v="DK1_Medium"/>
    <x v="22"/>
    <n v="67.680000000000007"/>
    <n v="18.8"/>
  </r>
  <r>
    <x v="0"/>
    <x v="23"/>
    <x v="0"/>
    <x v="0"/>
    <s v="DK1_Medium"/>
    <x v="23"/>
    <n v="0.31515896120488701"/>
    <n v="8.7544155890246306E-2"/>
  </r>
  <r>
    <x v="0"/>
    <x v="23"/>
    <x v="0"/>
    <x v="0"/>
    <s v="DK1_Medium"/>
    <x v="24"/>
    <n v="19.174223581093901"/>
    <n v="5.32617321697054"/>
  </r>
  <r>
    <x v="0"/>
    <x v="23"/>
    <x v="0"/>
    <x v="0"/>
    <s v="DK1_Medium"/>
    <x v="25"/>
    <n v="25.6652953012922"/>
    <n v="7.1292486948033904"/>
  </r>
  <r>
    <x v="0"/>
    <x v="23"/>
    <x v="0"/>
    <x v="0"/>
    <s v="DK1_Medium"/>
    <x v="26"/>
    <n v="32.971098611263102"/>
    <n v="9.1586385031286301"/>
  </r>
  <r>
    <x v="0"/>
    <x v="23"/>
    <x v="0"/>
    <x v="0"/>
    <s v="DK1_Medium"/>
    <x v="27"/>
    <n v="20.163995508318798"/>
    <n v="5.6011098634218799"/>
  </r>
  <r>
    <x v="0"/>
    <x v="23"/>
    <x v="0"/>
    <x v="0"/>
    <s v="DK1_NoDH"/>
    <x v="1"/>
    <n v="35.989199999999997"/>
    <n v="9.9969999999999999"/>
  </r>
  <r>
    <x v="0"/>
    <x v="23"/>
    <x v="0"/>
    <x v="0"/>
    <s v="DK1_NoDH"/>
    <x v="2"/>
    <n v="46.08"/>
    <n v="12.8"/>
  </r>
  <r>
    <x v="0"/>
    <x v="23"/>
    <x v="0"/>
    <x v="0"/>
    <s v="DK1_NoDH"/>
    <x v="0"/>
    <n v="42.692399999999999"/>
    <n v="11.859"/>
  </r>
  <r>
    <x v="0"/>
    <x v="23"/>
    <x v="0"/>
    <x v="0"/>
    <s v="DK1_NoDH"/>
    <x v="3"/>
    <n v="51.633543144067197"/>
    <n v="14.342650873352"/>
  </r>
  <r>
    <x v="0"/>
    <x v="23"/>
    <x v="0"/>
    <x v="0"/>
    <s v="DK1_NoDH"/>
    <x v="4"/>
    <n v="10.7598541839271"/>
    <n v="2.9888483844241902"/>
  </r>
  <r>
    <x v="0"/>
    <x v="23"/>
    <x v="0"/>
    <x v="0"/>
    <s v="DK1_NoDH"/>
    <x v="5"/>
    <n v="10.7598541839271"/>
    <n v="2.9888483844241902"/>
  </r>
  <r>
    <x v="0"/>
    <x v="23"/>
    <x v="0"/>
    <x v="0"/>
    <s v="DK1_NoDH"/>
    <x v="6"/>
    <n v="29.476231795214598"/>
    <n v="8.1878421653373898"/>
  </r>
  <r>
    <x v="0"/>
    <x v="23"/>
    <x v="0"/>
    <x v="0"/>
    <s v="DK1_NoDH"/>
    <x v="7"/>
    <n v="57.838935220261199"/>
    <n v="16.066370894517"/>
  </r>
  <r>
    <x v="0"/>
    <x v="23"/>
    <x v="0"/>
    <x v="0"/>
    <s v="DK1_NoDH"/>
    <x v="8"/>
    <n v="57.838935220261199"/>
    <n v="16.066370894517"/>
  </r>
  <r>
    <x v="0"/>
    <x v="23"/>
    <x v="0"/>
    <x v="0"/>
    <s v="DK1_NoDH"/>
    <x v="9"/>
    <n v="47.978366197183199"/>
    <n v="13.327323943662"/>
  </r>
  <r>
    <x v="0"/>
    <x v="23"/>
    <x v="0"/>
    <x v="0"/>
    <s v="DK1_NoDH"/>
    <x v="10"/>
    <n v="63.1479966859984"/>
    <n v="17.541110190555099"/>
  </r>
  <r>
    <x v="0"/>
    <x v="23"/>
    <x v="0"/>
    <x v="0"/>
    <s v="DK1_NoDH"/>
    <x v="11"/>
    <n v="5.9972957746478999"/>
    <n v="1.66591549295775"/>
  </r>
  <r>
    <x v="0"/>
    <x v="23"/>
    <x v="0"/>
    <x v="0"/>
    <s v="DK1_NoDH"/>
    <x v="12"/>
    <n v="9.7995028997514597E-2"/>
    <n v="2.72208413881985E-2"/>
  </r>
  <r>
    <x v="0"/>
    <x v="23"/>
    <x v="0"/>
    <x v="0"/>
    <s v="DK1_NoDH"/>
    <x v="13"/>
    <n v="26.987830985915501"/>
    <n v="7.4966197183098604"/>
  </r>
  <r>
    <x v="0"/>
    <x v="23"/>
    <x v="0"/>
    <x v="0"/>
    <s v="DK1_NoDH"/>
    <x v="14"/>
    <n v="26.987830985915501"/>
    <n v="7.4966197183098604"/>
  </r>
  <r>
    <x v="0"/>
    <x v="23"/>
    <x v="0"/>
    <x v="0"/>
    <s v="DK1_NoDH"/>
    <x v="15"/>
    <n v="1.65807589063794"/>
    <n v="0.46057663628831802"/>
  </r>
  <r>
    <x v="0"/>
    <x v="23"/>
    <x v="0"/>
    <x v="0"/>
    <s v="DK1_NoDH"/>
    <x v="16"/>
    <n v="6.6307647887493104"/>
    <n v="1.84187910798592"/>
  </r>
  <r>
    <x v="0"/>
    <x v="23"/>
    <x v="0"/>
    <x v="0"/>
    <s v="DK1_NoDH"/>
    <x v="17"/>
    <n v="9.1244895875632395"/>
    <n v="2.5345804409897901"/>
  </r>
  <r>
    <x v="0"/>
    <x v="23"/>
    <x v="0"/>
    <x v="0"/>
    <s v="DK1_NoDH"/>
    <x v="18"/>
    <n v="26.987830985915501"/>
    <n v="7.4966197183098604"/>
  </r>
  <r>
    <x v="0"/>
    <x v="23"/>
    <x v="0"/>
    <x v="0"/>
    <s v="DK1_NoDH"/>
    <x v="19"/>
    <n v="8.1139884009941898"/>
    <n v="2.2538856669428302"/>
  </r>
  <r>
    <x v="0"/>
    <x v="23"/>
    <x v="0"/>
    <x v="0"/>
    <s v="DK1_NoDH"/>
    <x v="20"/>
    <n v="21.7877183939536"/>
    <n v="6.0521439983204397"/>
  </r>
  <r>
    <x v="0"/>
    <x v="23"/>
    <x v="0"/>
    <x v="0"/>
    <s v="DK1_NoDH"/>
    <x v="21"/>
    <n v="48.24"/>
    <n v="13.4"/>
  </r>
  <r>
    <x v="0"/>
    <x v="23"/>
    <x v="0"/>
    <x v="0"/>
    <s v="DK1_NoDH"/>
    <x v="22"/>
    <n v="67.680000000000007"/>
    <n v="18.8"/>
  </r>
  <r>
    <x v="0"/>
    <x v="23"/>
    <x v="0"/>
    <x v="0"/>
    <s v="DK1_NoDH"/>
    <x v="23"/>
    <n v="0.31515896120488701"/>
    <n v="8.7544155890246306E-2"/>
  </r>
  <r>
    <x v="0"/>
    <x v="23"/>
    <x v="0"/>
    <x v="0"/>
    <s v="DK1_NoDH"/>
    <x v="24"/>
    <n v="19.174223581093901"/>
    <n v="5.32617321697054"/>
  </r>
  <r>
    <x v="0"/>
    <x v="23"/>
    <x v="0"/>
    <x v="0"/>
    <s v="DK1_NoDH"/>
    <x v="25"/>
    <n v="25.6652953012922"/>
    <n v="7.1292486948033904"/>
  </r>
  <r>
    <x v="0"/>
    <x v="23"/>
    <x v="0"/>
    <x v="0"/>
    <s v="DK1_NoDH"/>
    <x v="26"/>
    <n v="32.971098611263102"/>
    <n v="9.1586385031286301"/>
  </r>
  <r>
    <x v="0"/>
    <x v="23"/>
    <x v="0"/>
    <x v="0"/>
    <s v="DK1_NoDH"/>
    <x v="27"/>
    <n v="20.163995508318798"/>
    <n v="5.6011098634218799"/>
  </r>
  <r>
    <x v="0"/>
    <x v="23"/>
    <x v="0"/>
    <x v="0"/>
    <s v="DK1_NoDH_PHH"/>
    <x v="1"/>
    <n v="35.989199999999997"/>
    <n v="9.9969999999999999"/>
  </r>
  <r>
    <x v="0"/>
    <x v="23"/>
    <x v="0"/>
    <x v="0"/>
    <s v="DK1_NoDH_PHH"/>
    <x v="2"/>
    <n v="46.08"/>
    <n v="12.8"/>
  </r>
  <r>
    <x v="0"/>
    <x v="23"/>
    <x v="0"/>
    <x v="0"/>
    <s v="DK1_NoDH_PHH"/>
    <x v="0"/>
    <n v="42.692399999999999"/>
    <n v="11.859"/>
  </r>
  <r>
    <x v="0"/>
    <x v="23"/>
    <x v="0"/>
    <x v="0"/>
    <s v="DK1_NoDH_PHH"/>
    <x v="3"/>
    <n v="51.633543144067197"/>
    <n v="14.342650873352"/>
  </r>
  <r>
    <x v="0"/>
    <x v="23"/>
    <x v="0"/>
    <x v="0"/>
    <s v="DK1_NoDH_PHH"/>
    <x v="4"/>
    <n v="10.7598541839271"/>
    <n v="2.9888483844241902"/>
  </r>
  <r>
    <x v="0"/>
    <x v="23"/>
    <x v="0"/>
    <x v="0"/>
    <s v="DK1_NoDH_PHH"/>
    <x v="5"/>
    <n v="10.7598541839271"/>
    <n v="2.9888483844241902"/>
  </r>
  <r>
    <x v="0"/>
    <x v="23"/>
    <x v="0"/>
    <x v="0"/>
    <s v="DK1_NoDH_PHH"/>
    <x v="6"/>
    <n v="29.476231795214598"/>
    <n v="8.1878421653373898"/>
  </r>
  <r>
    <x v="0"/>
    <x v="23"/>
    <x v="0"/>
    <x v="0"/>
    <s v="DK1_NoDH_PHH"/>
    <x v="7"/>
    <n v="57.838935220261199"/>
    <n v="16.066370894517"/>
  </r>
  <r>
    <x v="0"/>
    <x v="23"/>
    <x v="0"/>
    <x v="0"/>
    <s v="DK1_NoDH_PHH"/>
    <x v="8"/>
    <n v="57.838935220261199"/>
    <n v="16.066370894517"/>
  </r>
  <r>
    <x v="0"/>
    <x v="23"/>
    <x v="0"/>
    <x v="0"/>
    <s v="DK1_NoDH_PHH"/>
    <x v="9"/>
    <n v="47.978366197183199"/>
    <n v="13.327323943662"/>
  </r>
  <r>
    <x v="0"/>
    <x v="23"/>
    <x v="0"/>
    <x v="0"/>
    <s v="DK1_NoDH_PHH"/>
    <x v="10"/>
    <n v="63.1479966859984"/>
    <n v="17.541110190555099"/>
  </r>
  <r>
    <x v="0"/>
    <x v="23"/>
    <x v="0"/>
    <x v="0"/>
    <s v="DK1_NoDH_PHH"/>
    <x v="11"/>
    <n v="5.9972957746478999"/>
    <n v="1.66591549295775"/>
  </r>
  <r>
    <x v="0"/>
    <x v="23"/>
    <x v="0"/>
    <x v="0"/>
    <s v="DK1_NoDH_PHH"/>
    <x v="12"/>
    <n v="9.7995028997514597E-2"/>
    <n v="2.72208413881985E-2"/>
  </r>
  <r>
    <x v="0"/>
    <x v="23"/>
    <x v="0"/>
    <x v="0"/>
    <s v="DK1_NoDH_PHH"/>
    <x v="13"/>
    <n v="26.987830985915501"/>
    <n v="7.4966197183098604"/>
  </r>
  <r>
    <x v="0"/>
    <x v="23"/>
    <x v="0"/>
    <x v="0"/>
    <s v="DK1_NoDH_PHH"/>
    <x v="14"/>
    <n v="26.987830985915501"/>
    <n v="7.4966197183098604"/>
  </r>
  <r>
    <x v="0"/>
    <x v="23"/>
    <x v="0"/>
    <x v="0"/>
    <s v="DK1_NoDH_PHH"/>
    <x v="15"/>
    <n v="1.65807589063794"/>
    <n v="0.46057663628831802"/>
  </r>
  <r>
    <x v="0"/>
    <x v="23"/>
    <x v="0"/>
    <x v="0"/>
    <s v="DK1_NoDH_PHH"/>
    <x v="16"/>
    <n v="6.6307647887493104"/>
    <n v="1.84187910798592"/>
  </r>
  <r>
    <x v="0"/>
    <x v="23"/>
    <x v="0"/>
    <x v="0"/>
    <s v="DK1_NoDH_PHH"/>
    <x v="17"/>
    <n v="9.1244895875632395"/>
    <n v="2.5345804409897901"/>
  </r>
  <r>
    <x v="0"/>
    <x v="23"/>
    <x v="0"/>
    <x v="0"/>
    <s v="DK1_NoDH_PHH"/>
    <x v="18"/>
    <n v="26.987830985915501"/>
    <n v="7.4966197183098604"/>
  </r>
  <r>
    <x v="0"/>
    <x v="23"/>
    <x v="0"/>
    <x v="0"/>
    <s v="DK1_NoDH_PHH"/>
    <x v="19"/>
    <n v="8.1139884009941898"/>
    <n v="2.2538856669428302"/>
  </r>
  <r>
    <x v="0"/>
    <x v="23"/>
    <x v="0"/>
    <x v="0"/>
    <s v="DK1_NoDH_PHH"/>
    <x v="20"/>
    <n v="21.7877183939536"/>
    <n v="6.0521439983204397"/>
  </r>
  <r>
    <x v="0"/>
    <x v="23"/>
    <x v="0"/>
    <x v="0"/>
    <s v="DK1_NoDH_PHH"/>
    <x v="21"/>
    <n v="48.24"/>
    <n v="13.4"/>
  </r>
  <r>
    <x v="0"/>
    <x v="23"/>
    <x v="0"/>
    <x v="0"/>
    <s v="DK1_NoDH_PHH"/>
    <x v="22"/>
    <n v="67.680000000000007"/>
    <n v="18.8"/>
  </r>
  <r>
    <x v="0"/>
    <x v="23"/>
    <x v="0"/>
    <x v="0"/>
    <s v="DK1_NoDH_PHH"/>
    <x v="23"/>
    <n v="0.31515896120488701"/>
    <n v="8.7544155890246306E-2"/>
  </r>
  <r>
    <x v="0"/>
    <x v="23"/>
    <x v="0"/>
    <x v="0"/>
    <s v="DK1_NoDH_PHH"/>
    <x v="24"/>
    <n v="19.174223581093901"/>
    <n v="5.32617321697054"/>
  </r>
  <r>
    <x v="0"/>
    <x v="23"/>
    <x v="0"/>
    <x v="0"/>
    <s v="DK1_NoDH_PHH"/>
    <x v="25"/>
    <n v="25.6652953012922"/>
    <n v="7.1292486948033904"/>
  </r>
  <r>
    <x v="0"/>
    <x v="23"/>
    <x v="0"/>
    <x v="0"/>
    <s v="DK1_NoDH_PHH"/>
    <x v="26"/>
    <n v="32.971098611263102"/>
    <n v="9.1586385031286301"/>
  </r>
  <r>
    <x v="0"/>
    <x v="23"/>
    <x v="0"/>
    <x v="0"/>
    <s v="DK1_NoDH_PHH"/>
    <x v="27"/>
    <n v="20.163995508318798"/>
    <n v="5.6011098634218799"/>
  </r>
  <r>
    <x v="0"/>
    <x v="23"/>
    <x v="0"/>
    <x v="0"/>
    <s v="DK1_NoDH_PHL"/>
    <x v="1"/>
    <n v="35.989199999999997"/>
    <n v="9.9969999999999999"/>
  </r>
  <r>
    <x v="0"/>
    <x v="23"/>
    <x v="0"/>
    <x v="0"/>
    <s v="DK1_NoDH_PHL"/>
    <x v="2"/>
    <n v="46.08"/>
    <n v="12.8"/>
  </r>
  <r>
    <x v="0"/>
    <x v="23"/>
    <x v="0"/>
    <x v="0"/>
    <s v="DK1_NoDH_PHL"/>
    <x v="0"/>
    <n v="42.692399999999999"/>
    <n v="11.859"/>
  </r>
  <r>
    <x v="0"/>
    <x v="23"/>
    <x v="0"/>
    <x v="0"/>
    <s v="DK1_NoDH_PHL"/>
    <x v="3"/>
    <n v="51.633543144067197"/>
    <n v="14.342650873352"/>
  </r>
  <r>
    <x v="0"/>
    <x v="23"/>
    <x v="0"/>
    <x v="0"/>
    <s v="DK1_NoDH_PHL"/>
    <x v="4"/>
    <n v="10.7598541839271"/>
    <n v="2.9888483844241902"/>
  </r>
  <r>
    <x v="0"/>
    <x v="23"/>
    <x v="0"/>
    <x v="0"/>
    <s v="DK1_NoDH_PHL"/>
    <x v="5"/>
    <n v="10.7598541839271"/>
    <n v="2.9888483844241902"/>
  </r>
  <r>
    <x v="0"/>
    <x v="23"/>
    <x v="0"/>
    <x v="0"/>
    <s v="DK1_NoDH_PHL"/>
    <x v="6"/>
    <n v="29.476231795214598"/>
    <n v="8.1878421653373898"/>
  </r>
  <r>
    <x v="0"/>
    <x v="23"/>
    <x v="0"/>
    <x v="0"/>
    <s v="DK1_NoDH_PHL"/>
    <x v="7"/>
    <n v="57.838935220261199"/>
    <n v="16.066370894517"/>
  </r>
  <r>
    <x v="0"/>
    <x v="23"/>
    <x v="0"/>
    <x v="0"/>
    <s v="DK1_NoDH_PHL"/>
    <x v="8"/>
    <n v="57.838935220261199"/>
    <n v="16.066370894517"/>
  </r>
  <r>
    <x v="0"/>
    <x v="23"/>
    <x v="0"/>
    <x v="0"/>
    <s v="DK1_NoDH_PHL"/>
    <x v="9"/>
    <n v="47.978366197183199"/>
    <n v="13.327323943662"/>
  </r>
  <r>
    <x v="0"/>
    <x v="23"/>
    <x v="0"/>
    <x v="0"/>
    <s v="DK1_NoDH_PHL"/>
    <x v="10"/>
    <n v="63.1479966859984"/>
    <n v="17.541110190555099"/>
  </r>
  <r>
    <x v="0"/>
    <x v="23"/>
    <x v="0"/>
    <x v="0"/>
    <s v="DK1_NoDH_PHL"/>
    <x v="11"/>
    <n v="5.9972957746478999"/>
    <n v="1.66591549295775"/>
  </r>
  <r>
    <x v="0"/>
    <x v="23"/>
    <x v="0"/>
    <x v="0"/>
    <s v="DK1_NoDH_PHL"/>
    <x v="12"/>
    <n v="9.7995028997514597E-2"/>
    <n v="2.72208413881985E-2"/>
  </r>
  <r>
    <x v="0"/>
    <x v="23"/>
    <x v="0"/>
    <x v="0"/>
    <s v="DK1_NoDH_PHL"/>
    <x v="13"/>
    <n v="26.987830985915501"/>
    <n v="7.4966197183098604"/>
  </r>
  <r>
    <x v="0"/>
    <x v="23"/>
    <x v="0"/>
    <x v="0"/>
    <s v="DK1_NoDH_PHL"/>
    <x v="14"/>
    <n v="26.987830985915501"/>
    <n v="7.4966197183098604"/>
  </r>
  <r>
    <x v="0"/>
    <x v="23"/>
    <x v="0"/>
    <x v="0"/>
    <s v="DK1_NoDH_PHL"/>
    <x v="15"/>
    <n v="1.65807589063794"/>
    <n v="0.46057663628831802"/>
  </r>
  <r>
    <x v="0"/>
    <x v="23"/>
    <x v="0"/>
    <x v="0"/>
    <s v="DK1_NoDH_PHL"/>
    <x v="16"/>
    <n v="6.6307647887493104"/>
    <n v="1.84187910798592"/>
  </r>
  <r>
    <x v="0"/>
    <x v="23"/>
    <x v="0"/>
    <x v="0"/>
    <s v="DK1_NoDH_PHL"/>
    <x v="17"/>
    <n v="9.1244895875632395"/>
    <n v="2.5345804409897901"/>
  </r>
  <r>
    <x v="0"/>
    <x v="23"/>
    <x v="0"/>
    <x v="0"/>
    <s v="DK1_NoDH_PHL"/>
    <x v="18"/>
    <n v="26.987830985915501"/>
    <n v="7.4966197183098604"/>
  </r>
  <r>
    <x v="0"/>
    <x v="23"/>
    <x v="0"/>
    <x v="0"/>
    <s v="DK1_NoDH_PHL"/>
    <x v="19"/>
    <n v="8.1139884009941898"/>
    <n v="2.2538856669428302"/>
  </r>
  <r>
    <x v="0"/>
    <x v="23"/>
    <x v="0"/>
    <x v="0"/>
    <s v="DK1_NoDH_PHL"/>
    <x v="20"/>
    <n v="21.7877183939536"/>
    <n v="6.0521439983204397"/>
  </r>
  <r>
    <x v="0"/>
    <x v="23"/>
    <x v="0"/>
    <x v="0"/>
    <s v="DK1_NoDH_PHL"/>
    <x v="21"/>
    <n v="48.24"/>
    <n v="13.4"/>
  </r>
  <r>
    <x v="0"/>
    <x v="23"/>
    <x v="0"/>
    <x v="0"/>
    <s v="DK1_NoDH_PHL"/>
    <x v="22"/>
    <n v="67.680000000000007"/>
    <n v="18.8"/>
  </r>
  <r>
    <x v="0"/>
    <x v="23"/>
    <x v="0"/>
    <x v="0"/>
    <s v="DK1_NoDH_PHL"/>
    <x v="23"/>
    <n v="0.31515896120488701"/>
    <n v="8.7544155890246306E-2"/>
  </r>
  <r>
    <x v="0"/>
    <x v="23"/>
    <x v="0"/>
    <x v="0"/>
    <s v="DK1_NoDH_PHL"/>
    <x v="24"/>
    <n v="19.174223581093901"/>
    <n v="5.32617321697054"/>
  </r>
  <r>
    <x v="0"/>
    <x v="23"/>
    <x v="0"/>
    <x v="0"/>
    <s v="DK1_NoDH_PHL"/>
    <x v="25"/>
    <n v="25.6652953012922"/>
    <n v="7.1292486948033904"/>
  </r>
  <r>
    <x v="0"/>
    <x v="23"/>
    <x v="0"/>
    <x v="0"/>
    <s v="DK1_NoDH_PHL"/>
    <x v="26"/>
    <n v="32.971098611263102"/>
    <n v="9.1586385031286301"/>
  </r>
  <r>
    <x v="0"/>
    <x v="23"/>
    <x v="0"/>
    <x v="0"/>
    <s v="DK1_NoDH_PHL"/>
    <x v="27"/>
    <n v="20.163995508318798"/>
    <n v="5.6011098634218799"/>
  </r>
  <r>
    <x v="0"/>
    <x v="23"/>
    <x v="0"/>
    <x v="0"/>
    <s v="DK1_Offshore"/>
    <x v="1"/>
    <n v="35.989199999999997"/>
    <n v="9.9969999999999999"/>
  </r>
  <r>
    <x v="0"/>
    <x v="23"/>
    <x v="0"/>
    <x v="0"/>
    <s v="DK1_Offshore"/>
    <x v="2"/>
    <n v="46.08"/>
    <n v="12.8"/>
  </r>
  <r>
    <x v="0"/>
    <x v="23"/>
    <x v="0"/>
    <x v="0"/>
    <s v="DK1_Offshore"/>
    <x v="0"/>
    <n v="42.692399999999999"/>
    <n v="11.859"/>
  </r>
  <r>
    <x v="0"/>
    <x v="23"/>
    <x v="0"/>
    <x v="0"/>
    <s v="DK1_Offshore"/>
    <x v="3"/>
    <n v="51.633543144067197"/>
    <n v="14.342650873352"/>
  </r>
  <r>
    <x v="0"/>
    <x v="23"/>
    <x v="0"/>
    <x v="0"/>
    <s v="DK1_Offshore"/>
    <x v="4"/>
    <n v="10.7598541839271"/>
    <n v="2.9888483844241902"/>
  </r>
  <r>
    <x v="0"/>
    <x v="23"/>
    <x v="0"/>
    <x v="0"/>
    <s v="DK1_Offshore"/>
    <x v="5"/>
    <n v="10.7598541839271"/>
    <n v="2.9888483844241902"/>
  </r>
  <r>
    <x v="0"/>
    <x v="23"/>
    <x v="0"/>
    <x v="0"/>
    <s v="DK1_Offshore"/>
    <x v="6"/>
    <n v="29.476231795214598"/>
    <n v="8.1878421653373898"/>
  </r>
  <r>
    <x v="0"/>
    <x v="23"/>
    <x v="0"/>
    <x v="0"/>
    <s v="DK1_Offshore"/>
    <x v="7"/>
    <n v="57.838935220261199"/>
    <n v="16.066370894517"/>
  </r>
  <r>
    <x v="0"/>
    <x v="23"/>
    <x v="0"/>
    <x v="0"/>
    <s v="DK1_Offshore"/>
    <x v="8"/>
    <n v="57.838935220261199"/>
    <n v="16.066370894517"/>
  </r>
  <r>
    <x v="0"/>
    <x v="23"/>
    <x v="0"/>
    <x v="0"/>
    <s v="DK1_Offshore"/>
    <x v="9"/>
    <n v="47.978366197183199"/>
    <n v="13.327323943662"/>
  </r>
  <r>
    <x v="0"/>
    <x v="23"/>
    <x v="0"/>
    <x v="0"/>
    <s v="DK1_Offshore"/>
    <x v="10"/>
    <n v="63.1479966859984"/>
    <n v="17.541110190555099"/>
  </r>
  <r>
    <x v="0"/>
    <x v="23"/>
    <x v="0"/>
    <x v="0"/>
    <s v="DK1_Offshore"/>
    <x v="11"/>
    <n v="5.9972957746478999"/>
    <n v="1.66591549295775"/>
  </r>
  <r>
    <x v="0"/>
    <x v="23"/>
    <x v="0"/>
    <x v="0"/>
    <s v="DK1_Offshore"/>
    <x v="12"/>
    <n v="9.7995028997514597E-2"/>
    <n v="2.72208413881985E-2"/>
  </r>
  <r>
    <x v="0"/>
    <x v="23"/>
    <x v="0"/>
    <x v="0"/>
    <s v="DK1_Offshore"/>
    <x v="13"/>
    <n v="26.987830985915501"/>
    <n v="7.4966197183098604"/>
  </r>
  <r>
    <x v="0"/>
    <x v="23"/>
    <x v="0"/>
    <x v="0"/>
    <s v="DK1_Offshore"/>
    <x v="14"/>
    <n v="26.987830985915501"/>
    <n v="7.4966197183098604"/>
  </r>
  <r>
    <x v="0"/>
    <x v="23"/>
    <x v="0"/>
    <x v="0"/>
    <s v="DK1_Offshore"/>
    <x v="15"/>
    <n v="1.65807589063794"/>
    <n v="0.46057663628831802"/>
  </r>
  <r>
    <x v="0"/>
    <x v="23"/>
    <x v="0"/>
    <x v="0"/>
    <s v="DK1_Offshore"/>
    <x v="16"/>
    <n v="6.6307647887493104"/>
    <n v="1.84187910798592"/>
  </r>
  <r>
    <x v="0"/>
    <x v="23"/>
    <x v="0"/>
    <x v="0"/>
    <s v="DK1_Offshore"/>
    <x v="17"/>
    <n v="9.1244895875632395"/>
    <n v="2.5345804409897901"/>
  </r>
  <r>
    <x v="0"/>
    <x v="23"/>
    <x v="0"/>
    <x v="0"/>
    <s v="DK1_Offshore"/>
    <x v="18"/>
    <n v="26.987830985915501"/>
    <n v="7.4966197183098604"/>
  </r>
  <r>
    <x v="0"/>
    <x v="23"/>
    <x v="0"/>
    <x v="0"/>
    <s v="DK1_Offshore"/>
    <x v="19"/>
    <n v="8.1139884009941898"/>
    <n v="2.2538856669428302"/>
  </r>
  <r>
    <x v="0"/>
    <x v="23"/>
    <x v="0"/>
    <x v="0"/>
    <s v="DK1_Offshore"/>
    <x v="20"/>
    <n v="21.7877183939536"/>
    <n v="6.0521439983204397"/>
  </r>
  <r>
    <x v="0"/>
    <x v="23"/>
    <x v="0"/>
    <x v="0"/>
    <s v="DK1_Offshore"/>
    <x v="21"/>
    <n v="48.24"/>
    <n v="13.4"/>
  </r>
  <r>
    <x v="0"/>
    <x v="23"/>
    <x v="0"/>
    <x v="0"/>
    <s v="DK1_Offshore"/>
    <x v="22"/>
    <n v="67.680000000000007"/>
    <n v="18.8"/>
  </r>
  <r>
    <x v="0"/>
    <x v="23"/>
    <x v="0"/>
    <x v="0"/>
    <s v="DK1_Offshore"/>
    <x v="23"/>
    <n v="0.31515896120488701"/>
    <n v="8.7544155890246306E-2"/>
  </r>
  <r>
    <x v="0"/>
    <x v="23"/>
    <x v="0"/>
    <x v="0"/>
    <s v="DK1_Offshore"/>
    <x v="24"/>
    <n v="19.174223581093901"/>
    <n v="5.32617321697054"/>
  </r>
  <r>
    <x v="0"/>
    <x v="23"/>
    <x v="0"/>
    <x v="0"/>
    <s v="DK1_Offshore"/>
    <x v="25"/>
    <n v="25.6652953012922"/>
    <n v="7.1292486948033904"/>
  </r>
  <r>
    <x v="0"/>
    <x v="23"/>
    <x v="0"/>
    <x v="0"/>
    <s v="DK1_Offshore"/>
    <x v="26"/>
    <n v="32.971098611263102"/>
    <n v="9.1586385031286301"/>
  </r>
  <r>
    <x v="0"/>
    <x v="23"/>
    <x v="0"/>
    <x v="0"/>
    <s v="DK1_Offshore"/>
    <x v="27"/>
    <n v="20.163995508318798"/>
    <n v="5.6011098634218799"/>
  </r>
  <r>
    <x v="0"/>
    <x v="23"/>
    <x v="0"/>
    <x v="0"/>
    <s v="DK1_Rural"/>
    <x v="1"/>
    <n v="35.989199999999997"/>
    <n v="9.9969999999999999"/>
  </r>
  <r>
    <x v="0"/>
    <x v="23"/>
    <x v="0"/>
    <x v="0"/>
    <s v="DK1_Rural"/>
    <x v="2"/>
    <n v="46.08"/>
    <n v="12.8"/>
  </r>
  <r>
    <x v="0"/>
    <x v="23"/>
    <x v="0"/>
    <x v="0"/>
    <s v="DK1_Rural"/>
    <x v="0"/>
    <n v="42.692399999999999"/>
    <n v="11.859"/>
  </r>
  <r>
    <x v="0"/>
    <x v="23"/>
    <x v="0"/>
    <x v="0"/>
    <s v="DK1_Rural"/>
    <x v="3"/>
    <n v="51.633543144067197"/>
    <n v="14.342650873352"/>
  </r>
  <r>
    <x v="0"/>
    <x v="23"/>
    <x v="0"/>
    <x v="0"/>
    <s v="DK1_Rural"/>
    <x v="4"/>
    <n v="10.7598541839271"/>
    <n v="2.9888483844241902"/>
  </r>
  <r>
    <x v="0"/>
    <x v="23"/>
    <x v="0"/>
    <x v="0"/>
    <s v="DK1_Rural"/>
    <x v="5"/>
    <n v="10.7598541839271"/>
    <n v="2.9888483844241902"/>
  </r>
  <r>
    <x v="0"/>
    <x v="23"/>
    <x v="0"/>
    <x v="0"/>
    <s v="DK1_Rural"/>
    <x v="6"/>
    <n v="29.476231795214598"/>
    <n v="8.1878421653373898"/>
  </r>
  <r>
    <x v="0"/>
    <x v="23"/>
    <x v="0"/>
    <x v="0"/>
    <s v="DK1_Rural"/>
    <x v="7"/>
    <n v="57.838935220261199"/>
    <n v="16.066370894517"/>
  </r>
  <r>
    <x v="0"/>
    <x v="23"/>
    <x v="0"/>
    <x v="0"/>
    <s v="DK1_Rural"/>
    <x v="8"/>
    <n v="57.838935220261199"/>
    <n v="16.066370894517"/>
  </r>
  <r>
    <x v="0"/>
    <x v="23"/>
    <x v="0"/>
    <x v="0"/>
    <s v="DK1_Rural"/>
    <x v="9"/>
    <n v="47.978366197183199"/>
    <n v="13.327323943662"/>
  </r>
  <r>
    <x v="0"/>
    <x v="23"/>
    <x v="0"/>
    <x v="0"/>
    <s v="DK1_Rural"/>
    <x v="10"/>
    <n v="63.1479966859984"/>
    <n v="17.541110190555099"/>
  </r>
  <r>
    <x v="0"/>
    <x v="23"/>
    <x v="0"/>
    <x v="0"/>
    <s v="DK1_Rural"/>
    <x v="11"/>
    <n v="5.9972957746478999"/>
    <n v="1.66591549295775"/>
  </r>
  <r>
    <x v="0"/>
    <x v="23"/>
    <x v="0"/>
    <x v="0"/>
    <s v="DK1_Rural"/>
    <x v="12"/>
    <n v="9.7995028997514597E-2"/>
    <n v="2.72208413881985E-2"/>
  </r>
  <r>
    <x v="0"/>
    <x v="23"/>
    <x v="0"/>
    <x v="0"/>
    <s v="DK1_Rural"/>
    <x v="13"/>
    <n v="26.987830985915501"/>
    <n v="7.4966197183098604"/>
  </r>
  <r>
    <x v="0"/>
    <x v="23"/>
    <x v="0"/>
    <x v="0"/>
    <s v="DK1_Rural"/>
    <x v="14"/>
    <n v="26.987830985915501"/>
    <n v="7.4966197183098604"/>
  </r>
  <r>
    <x v="0"/>
    <x v="23"/>
    <x v="0"/>
    <x v="0"/>
    <s v="DK1_Rural"/>
    <x v="15"/>
    <n v="1.65807589063794"/>
    <n v="0.46057663628831802"/>
  </r>
  <r>
    <x v="0"/>
    <x v="23"/>
    <x v="0"/>
    <x v="0"/>
    <s v="DK1_Rural"/>
    <x v="16"/>
    <n v="6.6307647887493104"/>
    <n v="1.84187910798592"/>
  </r>
  <r>
    <x v="0"/>
    <x v="23"/>
    <x v="0"/>
    <x v="0"/>
    <s v="DK1_Rural"/>
    <x v="17"/>
    <n v="9.1244895875632395"/>
    <n v="2.5345804409897901"/>
  </r>
  <r>
    <x v="0"/>
    <x v="23"/>
    <x v="0"/>
    <x v="0"/>
    <s v="DK1_Rural"/>
    <x v="18"/>
    <n v="26.987830985915501"/>
    <n v="7.4966197183098604"/>
  </r>
  <r>
    <x v="0"/>
    <x v="23"/>
    <x v="0"/>
    <x v="0"/>
    <s v="DK1_Rural"/>
    <x v="19"/>
    <n v="8.1139884009941898"/>
    <n v="2.2538856669428302"/>
  </r>
  <r>
    <x v="0"/>
    <x v="23"/>
    <x v="0"/>
    <x v="0"/>
    <s v="DK1_Rural"/>
    <x v="20"/>
    <n v="21.7877183939536"/>
    <n v="6.0521439983204397"/>
  </r>
  <r>
    <x v="0"/>
    <x v="23"/>
    <x v="0"/>
    <x v="0"/>
    <s v="DK1_Rural"/>
    <x v="21"/>
    <n v="48.24"/>
    <n v="13.4"/>
  </r>
  <r>
    <x v="0"/>
    <x v="23"/>
    <x v="0"/>
    <x v="0"/>
    <s v="DK1_Rural"/>
    <x v="22"/>
    <n v="67.680000000000007"/>
    <n v="18.8"/>
  </r>
  <r>
    <x v="0"/>
    <x v="23"/>
    <x v="0"/>
    <x v="0"/>
    <s v="DK1_Rural"/>
    <x v="23"/>
    <n v="0.31515896120488701"/>
    <n v="8.7544155890246306E-2"/>
  </r>
  <r>
    <x v="0"/>
    <x v="23"/>
    <x v="0"/>
    <x v="0"/>
    <s v="DK1_Rural"/>
    <x v="24"/>
    <n v="19.174223581093901"/>
    <n v="5.32617321697054"/>
  </r>
  <r>
    <x v="0"/>
    <x v="23"/>
    <x v="0"/>
    <x v="0"/>
    <s v="DK1_Rural"/>
    <x v="25"/>
    <n v="25.6652953012922"/>
    <n v="7.1292486948033904"/>
  </r>
  <r>
    <x v="0"/>
    <x v="23"/>
    <x v="0"/>
    <x v="0"/>
    <s v="DK1_Rural"/>
    <x v="26"/>
    <n v="32.971098611263102"/>
    <n v="9.1586385031286301"/>
  </r>
  <r>
    <x v="0"/>
    <x v="23"/>
    <x v="0"/>
    <x v="0"/>
    <s v="DK1_Rural"/>
    <x v="27"/>
    <n v="20.163995508318798"/>
    <n v="5.6011098634218799"/>
  </r>
  <r>
    <x v="0"/>
    <x v="23"/>
    <x v="0"/>
    <x v="0"/>
    <s v="DK1_Small"/>
    <x v="1"/>
    <n v="35.989199999999997"/>
    <n v="9.9969999999999999"/>
  </r>
  <r>
    <x v="0"/>
    <x v="23"/>
    <x v="0"/>
    <x v="0"/>
    <s v="DK1_Small"/>
    <x v="2"/>
    <n v="46.08"/>
    <n v="12.8"/>
  </r>
  <r>
    <x v="0"/>
    <x v="23"/>
    <x v="0"/>
    <x v="0"/>
    <s v="DK1_Small"/>
    <x v="0"/>
    <n v="42.692399999999999"/>
    <n v="11.859"/>
  </r>
  <r>
    <x v="0"/>
    <x v="23"/>
    <x v="0"/>
    <x v="0"/>
    <s v="DK1_Small"/>
    <x v="3"/>
    <n v="51.633543144067197"/>
    <n v="14.342650873352"/>
  </r>
  <r>
    <x v="0"/>
    <x v="23"/>
    <x v="0"/>
    <x v="0"/>
    <s v="DK1_Small"/>
    <x v="4"/>
    <n v="10.7598541839271"/>
    <n v="2.9888483844241902"/>
  </r>
  <r>
    <x v="0"/>
    <x v="23"/>
    <x v="0"/>
    <x v="0"/>
    <s v="DK1_Small"/>
    <x v="5"/>
    <n v="10.7598541839271"/>
    <n v="2.9888483844241902"/>
  </r>
  <r>
    <x v="0"/>
    <x v="23"/>
    <x v="0"/>
    <x v="0"/>
    <s v="DK1_Small"/>
    <x v="6"/>
    <n v="29.476231795214598"/>
    <n v="8.1878421653373898"/>
  </r>
  <r>
    <x v="0"/>
    <x v="23"/>
    <x v="0"/>
    <x v="0"/>
    <s v="DK1_Small"/>
    <x v="7"/>
    <n v="57.838935220261199"/>
    <n v="16.066370894517"/>
  </r>
  <r>
    <x v="0"/>
    <x v="23"/>
    <x v="0"/>
    <x v="0"/>
    <s v="DK1_Small"/>
    <x v="8"/>
    <n v="57.838935220261199"/>
    <n v="16.066370894517"/>
  </r>
  <r>
    <x v="0"/>
    <x v="23"/>
    <x v="0"/>
    <x v="0"/>
    <s v="DK1_Small"/>
    <x v="9"/>
    <n v="47.978366197183199"/>
    <n v="13.327323943662"/>
  </r>
  <r>
    <x v="0"/>
    <x v="23"/>
    <x v="0"/>
    <x v="0"/>
    <s v="DK1_Small"/>
    <x v="10"/>
    <n v="63.1479966859984"/>
    <n v="17.541110190555099"/>
  </r>
  <r>
    <x v="0"/>
    <x v="23"/>
    <x v="0"/>
    <x v="0"/>
    <s v="DK1_Small"/>
    <x v="11"/>
    <n v="5.9972957746478999"/>
    <n v="1.66591549295775"/>
  </r>
  <r>
    <x v="0"/>
    <x v="23"/>
    <x v="0"/>
    <x v="0"/>
    <s v="DK1_Small"/>
    <x v="12"/>
    <n v="9.7995028997514597E-2"/>
    <n v="2.72208413881985E-2"/>
  </r>
  <r>
    <x v="0"/>
    <x v="23"/>
    <x v="0"/>
    <x v="0"/>
    <s v="DK1_Small"/>
    <x v="13"/>
    <n v="26.987830985915501"/>
    <n v="7.4966197183098604"/>
  </r>
  <r>
    <x v="0"/>
    <x v="23"/>
    <x v="0"/>
    <x v="0"/>
    <s v="DK1_Small"/>
    <x v="14"/>
    <n v="26.987830985915501"/>
    <n v="7.4966197183098604"/>
  </r>
  <r>
    <x v="0"/>
    <x v="23"/>
    <x v="0"/>
    <x v="0"/>
    <s v="DK1_Small"/>
    <x v="15"/>
    <n v="1.65807589063794"/>
    <n v="0.46057663628831802"/>
  </r>
  <r>
    <x v="0"/>
    <x v="23"/>
    <x v="0"/>
    <x v="0"/>
    <s v="DK1_Small"/>
    <x v="16"/>
    <n v="6.6307647887493104"/>
    <n v="1.84187910798592"/>
  </r>
  <r>
    <x v="0"/>
    <x v="23"/>
    <x v="0"/>
    <x v="0"/>
    <s v="DK1_Small"/>
    <x v="17"/>
    <n v="9.1244895875632395"/>
    <n v="2.5345804409897901"/>
  </r>
  <r>
    <x v="0"/>
    <x v="23"/>
    <x v="0"/>
    <x v="0"/>
    <s v="DK1_Small"/>
    <x v="18"/>
    <n v="26.987830985915501"/>
    <n v="7.4966197183098604"/>
  </r>
  <r>
    <x v="0"/>
    <x v="23"/>
    <x v="0"/>
    <x v="0"/>
    <s v="DK1_Small"/>
    <x v="19"/>
    <n v="8.1139884009941898"/>
    <n v="2.2538856669428302"/>
  </r>
  <r>
    <x v="0"/>
    <x v="23"/>
    <x v="0"/>
    <x v="0"/>
    <s v="DK1_Small"/>
    <x v="20"/>
    <n v="21.7877183939536"/>
    <n v="6.0521439983204397"/>
  </r>
  <r>
    <x v="0"/>
    <x v="23"/>
    <x v="0"/>
    <x v="0"/>
    <s v="DK1_Small"/>
    <x v="21"/>
    <n v="48.24"/>
    <n v="13.4"/>
  </r>
  <r>
    <x v="0"/>
    <x v="23"/>
    <x v="0"/>
    <x v="0"/>
    <s v="DK1_Small"/>
    <x v="22"/>
    <n v="67.680000000000007"/>
    <n v="18.8"/>
  </r>
  <r>
    <x v="0"/>
    <x v="23"/>
    <x v="0"/>
    <x v="0"/>
    <s v="DK1_Small"/>
    <x v="23"/>
    <n v="0.31515896120488701"/>
    <n v="8.7544155890246306E-2"/>
  </r>
  <r>
    <x v="0"/>
    <x v="23"/>
    <x v="0"/>
    <x v="0"/>
    <s v="DK1_Small"/>
    <x v="24"/>
    <n v="19.174223581093901"/>
    <n v="5.32617321697054"/>
  </r>
  <r>
    <x v="0"/>
    <x v="23"/>
    <x v="0"/>
    <x v="0"/>
    <s v="DK1_Small"/>
    <x v="25"/>
    <n v="25.6652953012922"/>
    <n v="7.1292486948033904"/>
  </r>
  <r>
    <x v="0"/>
    <x v="23"/>
    <x v="0"/>
    <x v="0"/>
    <s v="DK1_Small"/>
    <x v="26"/>
    <n v="32.971098611263102"/>
    <n v="9.1586385031286301"/>
  </r>
  <r>
    <x v="0"/>
    <x v="23"/>
    <x v="0"/>
    <x v="0"/>
    <s v="DK1_Small"/>
    <x v="27"/>
    <n v="20.163995508318798"/>
    <n v="5.6011098634218799"/>
  </r>
  <r>
    <x v="0"/>
    <x v="23"/>
    <x v="0"/>
    <x v="1"/>
    <s v="DK2_Large"/>
    <x v="1"/>
    <n v="35.989199999999997"/>
    <n v="9.9969999999999999"/>
  </r>
  <r>
    <x v="0"/>
    <x v="23"/>
    <x v="0"/>
    <x v="1"/>
    <s v="DK2_Large"/>
    <x v="2"/>
    <n v="46.08"/>
    <n v="12.8"/>
  </r>
  <r>
    <x v="0"/>
    <x v="23"/>
    <x v="0"/>
    <x v="1"/>
    <s v="DK2_Large"/>
    <x v="0"/>
    <n v="42.692399999999999"/>
    <n v="11.859"/>
  </r>
  <r>
    <x v="0"/>
    <x v="23"/>
    <x v="0"/>
    <x v="1"/>
    <s v="DK2_Large"/>
    <x v="3"/>
    <n v="51.633543144067197"/>
    <n v="14.342650873352"/>
  </r>
  <r>
    <x v="0"/>
    <x v="23"/>
    <x v="0"/>
    <x v="1"/>
    <s v="DK2_Large"/>
    <x v="4"/>
    <n v="10.7598541839271"/>
    <n v="2.9888483844241902"/>
  </r>
  <r>
    <x v="0"/>
    <x v="23"/>
    <x v="0"/>
    <x v="1"/>
    <s v="DK2_Large"/>
    <x v="5"/>
    <n v="10.7598541839271"/>
    <n v="2.9888483844241902"/>
  </r>
  <r>
    <x v="0"/>
    <x v="23"/>
    <x v="0"/>
    <x v="1"/>
    <s v="DK2_Large"/>
    <x v="6"/>
    <n v="29.476231795214598"/>
    <n v="8.1878421653373898"/>
  </r>
  <r>
    <x v="0"/>
    <x v="23"/>
    <x v="0"/>
    <x v="1"/>
    <s v="DK2_Large"/>
    <x v="7"/>
    <n v="57.838935220261199"/>
    <n v="16.066370894517"/>
  </r>
  <r>
    <x v="0"/>
    <x v="23"/>
    <x v="0"/>
    <x v="1"/>
    <s v="DK2_Large"/>
    <x v="8"/>
    <n v="57.838935220261199"/>
    <n v="16.066370894517"/>
  </r>
  <r>
    <x v="0"/>
    <x v="23"/>
    <x v="0"/>
    <x v="1"/>
    <s v="DK2_Large"/>
    <x v="9"/>
    <n v="47.978366197183199"/>
    <n v="13.327323943662"/>
  </r>
  <r>
    <x v="0"/>
    <x v="23"/>
    <x v="0"/>
    <x v="1"/>
    <s v="DK2_Large"/>
    <x v="10"/>
    <n v="63.1479966859984"/>
    <n v="17.541110190555099"/>
  </r>
  <r>
    <x v="0"/>
    <x v="23"/>
    <x v="0"/>
    <x v="1"/>
    <s v="DK2_Large"/>
    <x v="11"/>
    <n v="5.9972957746478999"/>
    <n v="1.66591549295775"/>
  </r>
  <r>
    <x v="0"/>
    <x v="23"/>
    <x v="0"/>
    <x v="1"/>
    <s v="DK2_Large"/>
    <x v="12"/>
    <n v="9.7995028997514597E-2"/>
    <n v="2.72208413881985E-2"/>
  </r>
  <r>
    <x v="0"/>
    <x v="23"/>
    <x v="0"/>
    <x v="1"/>
    <s v="DK2_Large"/>
    <x v="13"/>
    <n v="26.987830985915501"/>
    <n v="7.4966197183098604"/>
  </r>
  <r>
    <x v="0"/>
    <x v="23"/>
    <x v="0"/>
    <x v="1"/>
    <s v="DK2_Large"/>
    <x v="14"/>
    <n v="26.987830985915501"/>
    <n v="7.4966197183098604"/>
  </r>
  <r>
    <x v="0"/>
    <x v="23"/>
    <x v="0"/>
    <x v="1"/>
    <s v="DK2_Large"/>
    <x v="15"/>
    <n v="1.65807589063794"/>
    <n v="0.46057663628831802"/>
  </r>
  <r>
    <x v="0"/>
    <x v="23"/>
    <x v="0"/>
    <x v="1"/>
    <s v="DK2_Large"/>
    <x v="16"/>
    <n v="6.6307647887493104"/>
    <n v="1.84187910798592"/>
  </r>
  <r>
    <x v="0"/>
    <x v="23"/>
    <x v="0"/>
    <x v="1"/>
    <s v="DK2_Large"/>
    <x v="17"/>
    <n v="9.1244895875632395"/>
    <n v="2.5345804409897901"/>
  </r>
  <r>
    <x v="0"/>
    <x v="23"/>
    <x v="0"/>
    <x v="1"/>
    <s v="DK2_Large"/>
    <x v="18"/>
    <n v="26.987830985915501"/>
    <n v="7.4966197183098604"/>
  </r>
  <r>
    <x v="0"/>
    <x v="23"/>
    <x v="0"/>
    <x v="1"/>
    <s v="DK2_Large"/>
    <x v="19"/>
    <n v="8.1139884009941898"/>
    <n v="2.2538856669428302"/>
  </r>
  <r>
    <x v="0"/>
    <x v="23"/>
    <x v="0"/>
    <x v="1"/>
    <s v="DK2_Large"/>
    <x v="20"/>
    <n v="21.7877183939536"/>
    <n v="6.0521439983204397"/>
  </r>
  <r>
    <x v="0"/>
    <x v="23"/>
    <x v="0"/>
    <x v="1"/>
    <s v="DK2_Large"/>
    <x v="21"/>
    <n v="48.24"/>
    <n v="13.4"/>
  </r>
  <r>
    <x v="0"/>
    <x v="23"/>
    <x v="0"/>
    <x v="1"/>
    <s v="DK2_Large"/>
    <x v="22"/>
    <n v="67.680000000000007"/>
    <n v="18.8"/>
  </r>
  <r>
    <x v="0"/>
    <x v="23"/>
    <x v="0"/>
    <x v="1"/>
    <s v="DK2_Large"/>
    <x v="23"/>
    <n v="0.31515896120488701"/>
    <n v="8.7544155890246306E-2"/>
  </r>
  <r>
    <x v="0"/>
    <x v="23"/>
    <x v="0"/>
    <x v="1"/>
    <s v="DK2_Large"/>
    <x v="24"/>
    <n v="19.174223581093901"/>
    <n v="5.32617321697054"/>
  </r>
  <r>
    <x v="0"/>
    <x v="23"/>
    <x v="0"/>
    <x v="1"/>
    <s v="DK2_Large"/>
    <x v="25"/>
    <n v="25.6652953012922"/>
    <n v="7.1292486948033904"/>
  </r>
  <r>
    <x v="0"/>
    <x v="23"/>
    <x v="0"/>
    <x v="1"/>
    <s v="DK2_Large"/>
    <x v="26"/>
    <n v="32.971098611263102"/>
    <n v="9.1586385031286301"/>
  </r>
  <r>
    <x v="0"/>
    <x v="23"/>
    <x v="0"/>
    <x v="1"/>
    <s v="DK2_Large"/>
    <x v="27"/>
    <n v="20.163995508318798"/>
    <n v="5.6011098634218799"/>
  </r>
  <r>
    <x v="0"/>
    <x v="23"/>
    <x v="0"/>
    <x v="1"/>
    <s v="DK2_Large_PHH"/>
    <x v="1"/>
    <n v="35.989199999999997"/>
    <n v="9.9969999999999999"/>
  </r>
  <r>
    <x v="0"/>
    <x v="23"/>
    <x v="0"/>
    <x v="1"/>
    <s v="DK2_Large_PHH"/>
    <x v="2"/>
    <n v="46.08"/>
    <n v="12.8"/>
  </r>
  <r>
    <x v="0"/>
    <x v="23"/>
    <x v="0"/>
    <x v="1"/>
    <s v="DK2_Large_PHH"/>
    <x v="0"/>
    <n v="42.692399999999999"/>
    <n v="11.859"/>
  </r>
  <r>
    <x v="0"/>
    <x v="23"/>
    <x v="0"/>
    <x v="1"/>
    <s v="DK2_Large_PHH"/>
    <x v="3"/>
    <n v="51.633543144067197"/>
    <n v="14.342650873352"/>
  </r>
  <r>
    <x v="0"/>
    <x v="23"/>
    <x v="0"/>
    <x v="1"/>
    <s v="DK2_Large_PHH"/>
    <x v="4"/>
    <n v="10.7598541839271"/>
    <n v="2.9888483844241902"/>
  </r>
  <r>
    <x v="0"/>
    <x v="23"/>
    <x v="0"/>
    <x v="1"/>
    <s v="DK2_Large_PHH"/>
    <x v="5"/>
    <n v="10.7598541839271"/>
    <n v="2.9888483844241902"/>
  </r>
  <r>
    <x v="0"/>
    <x v="23"/>
    <x v="0"/>
    <x v="1"/>
    <s v="DK2_Large_PHH"/>
    <x v="6"/>
    <n v="29.476231795214598"/>
    <n v="8.1878421653373898"/>
  </r>
  <r>
    <x v="0"/>
    <x v="23"/>
    <x v="0"/>
    <x v="1"/>
    <s v="DK2_Large_PHH"/>
    <x v="7"/>
    <n v="57.838935220261199"/>
    <n v="16.066370894517"/>
  </r>
  <r>
    <x v="0"/>
    <x v="23"/>
    <x v="0"/>
    <x v="1"/>
    <s v="DK2_Large_PHH"/>
    <x v="8"/>
    <n v="57.838935220261199"/>
    <n v="16.066370894517"/>
  </r>
  <r>
    <x v="0"/>
    <x v="23"/>
    <x v="0"/>
    <x v="1"/>
    <s v="DK2_Large_PHH"/>
    <x v="9"/>
    <n v="47.978366197183199"/>
    <n v="13.327323943662"/>
  </r>
  <r>
    <x v="0"/>
    <x v="23"/>
    <x v="0"/>
    <x v="1"/>
    <s v="DK2_Large_PHH"/>
    <x v="10"/>
    <n v="63.1479966859984"/>
    <n v="17.541110190555099"/>
  </r>
  <r>
    <x v="0"/>
    <x v="23"/>
    <x v="0"/>
    <x v="1"/>
    <s v="DK2_Large_PHH"/>
    <x v="11"/>
    <n v="5.9972957746478999"/>
    <n v="1.66591549295775"/>
  </r>
  <r>
    <x v="0"/>
    <x v="23"/>
    <x v="0"/>
    <x v="1"/>
    <s v="DK2_Large_PHH"/>
    <x v="12"/>
    <n v="9.7995028997514597E-2"/>
    <n v="2.72208413881985E-2"/>
  </r>
  <r>
    <x v="0"/>
    <x v="23"/>
    <x v="0"/>
    <x v="1"/>
    <s v="DK2_Large_PHH"/>
    <x v="13"/>
    <n v="26.987830985915501"/>
    <n v="7.4966197183098604"/>
  </r>
  <r>
    <x v="0"/>
    <x v="23"/>
    <x v="0"/>
    <x v="1"/>
    <s v="DK2_Large_PHH"/>
    <x v="14"/>
    <n v="26.987830985915501"/>
    <n v="7.4966197183098604"/>
  </r>
  <r>
    <x v="0"/>
    <x v="23"/>
    <x v="0"/>
    <x v="1"/>
    <s v="DK2_Large_PHH"/>
    <x v="15"/>
    <n v="1.65807589063794"/>
    <n v="0.46057663628831802"/>
  </r>
  <r>
    <x v="0"/>
    <x v="23"/>
    <x v="0"/>
    <x v="1"/>
    <s v="DK2_Large_PHH"/>
    <x v="16"/>
    <n v="6.6307647887493104"/>
    <n v="1.84187910798592"/>
  </r>
  <r>
    <x v="0"/>
    <x v="23"/>
    <x v="0"/>
    <x v="1"/>
    <s v="DK2_Large_PHH"/>
    <x v="17"/>
    <n v="9.1244895875632395"/>
    <n v="2.5345804409897901"/>
  </r>
  <r>
    <x v="0"/>
    <x v="23"/>
    <x v="0"/>
    <x v="1"/>
    <s v="DK2_Large_PHH"/>
    <x v="18"/>
    <n v="26.987830985915501"/>
    <n v="7.4966197183098604"/>
  </r>
  <r>
    <x v="0"/>
    <x v="23"/>
    <x v="0"/>
    <x v="1"/>
    <s v="DK2_Large_PHH"/>
    <x v="19"/>
    <n v="8.1139884009941898"/>
    <n v="2.2538856669428302"/>
  </r>
  <r>
    <x v="0"/>
    <x v="23"/>
    <x v="0"/>
    <x v="1"/>
    <s v="DK2_Large_PHH"/>
    <x v="20"/>
    <n v="21.7877183939536"/>
    <n v="6.0521439983204397"/>
  </r>
  <r>
    <x v="0"/>
    <x v="23"/>
    <x v="0"/>
    <x v="1"/>
    <s v="DK2_Large_PHH"/>
    <x v="21"/>
    <n v="48.24"/>
    <n v="13.4"/>
  </r>
  <r>
    <x v="0"/>
    <x v="23"/>
    <x v="0"/>
    <x v="1"/>
    <s v="DK2_Large_PHH"/>
    <x v="22"/>
    <n v="67.680000000000007"/>
    <n v="18.8"/>
  </r>
  <r>
    <x v="0"/>
    <x v="23"/>
    <x v="0"/>
    <x v="1"/>
    <s v="DK2_Large_PHH"/>
    <x v="23"/>
    <n v="0.31515896120488701"/>
    <n v="8.7544155890246306E-2"/>
  </r>
  <r>
    <x v="0"/>
    <x v="23"/>
    <x v="0"/>
    <x v="1"/>
    <s v="DK2_Large_PHH"/>
    <x v="24"/>
    <n v="19.174223581093901"/>
    <n v="5.32617321697054"/>
  </r>
  <r>
    <x v="0"/>
    <x v="23"/>
    <x v="0"/>
    <x v="1"/>
    <s v="DK2_Large_PHH"/>
    <x v="25"/>
    <n v="25.6652953012922"/>
    <n v="7.1292486948033904"/>
  </r>
  <r>
    <x v="0"/>
    <x v="23"/>
    <x v="0"/>
    <x v="1"/>
    <s v="DK2_Large_PHH"/>
    <x v="26"/>
    <n v="32.971098611263102"/>
    <n v="9.1586385031286301"/>
  </r>
  <r>
    <x v="0"/>
    <x v="23"/>
    <x v="0"/>
    <x v="1"/>
    <s v="DK2_Large_PHH"/>
    <x v="27"/>
    <n v="20.163995508318798"/>
    <n v="5.6011098634218799"/>
  </r>
  <r>
    <x v="0"/>
    <x v="23"/>
    <x v="0"/>
    <x v="1"/>
    <s v="DK2_Large_PHL"/>
    <x v="1"/>
    <n v="35.989199999999997"/>
    <n v="9.9969999999999999"/>
  </r>
  <r>
    <x v="0"/>
    <x v="23"/>
    <x v="0"/>
    <x v="1"/>
    <s v="DK2_Large_PHL"/>
    <x v="2"/>
    <n v="46.08"/>
    <n v="12.8"/>
  </r>
  <r>
    <x v="0"/>
    <x v="23"/>
    <x v="0"/>
    <x v="1"/>
    <s v="DK2_Large_PHL"/>
    <x v="0"/>
    <n v="42.692399999999999"/>
    <n v="11.859"/>
  </r>
  <r>
    <x v="0"/>
    <x v="23"/>
    <x v="0"/>
    <x v="1"/>
    <s v="DK2_Large_PHL"/>
    <x v="3"/>
    <n v="51.633543144067197"/>
    <n v="14.342650873352"/>
  </r>
  <r>
    <x v="0"/>
    <x v="23"/>
    <x v="0"/>
    <x v="1"/>
    <s v="DK2_Large_PHL"/>
    <x v="4"/>
    <n v="10.7598541839271"/>
    <n v="2.9888483844241902"/>
  </r>
  <r>
    <x v="0"/>
    <x v="23"/>
    <x v="0"/>
    <x v="1"/>
    <s v="DK2_Large_PHL"/>
    <x v="5"/>
    <n v="10.7598541839271"/>
    <n v="2.9888483844241902"/>
  </r>
  <r>
    <x v="0"/>
    <x v="23"/>
    <x v="0"/>
    <x v="1"/>
    <s v="DK2_Large_PHL"/>
    <x v="6"/>
    <n v="29.476231795214598"/>
    <n v="8.1878421653373898"/>
  </r>
  <r>
    <x v="0"/>
    <x v="23"/>
    <x v="0"/>
    <x v="1"/>
    <s v="DK2_Large_PHL"/>
    <x v="7"/>
    <n v="57.838935220261199"/>
    <n v="16.066370894517"/>
  </r>
  <r>
    <x v="0"/>
    <x v="23"/>
    <x v="0"/>
    <x v="1"/>
    <s v="DK2_Large_PHL"/>
    <x v="8"/>
    <n v="57.838935220261199"/>
    <n v="16.066370894517"/>
  </r>
  <r>
    <x v="0"/>
    <x v="23"/>
    <x v="0"/>
    <x v="1"/>
    <s v="DK2_Large_PHL"/>
    <x v="9"/>
    <n v="47.978366197183199"/>
    <n v="13.327323943662"/>
  </r>
  <r>
    <x v="0"/>
    <x v="23"/>
    <x v="0"/>
    <x v="1"/>
    <s v="DK2_Large_PHL"/>
    <x v="10"/>
    <n v="63.1479966859984"/>
    <n v="17.541110190555099"/>
  </r>
  <r>
    <x v="0"/>
    <x v="23"/>
    <x v="0"/>
    <x v="1"/>
    <s v="DK2_Large_PHL"/>
    <x v="11"/>
    <n v="5.9972957746478999"/>
    <n v="1.66591549295775"/>
  </r>
  <r>
    <x v="0"/>
    <x v="23"/>
    <x v="0"/>
    <x v="1"/>
    <s v="DK2_Large_PHL"/>
    <x v="12"/>
    <n v="9.7995028997514597E-2"/>
    <n v="2.72208413881985E-2"/>
  </r>
  <r>
    <x v="0"/>
    <x v="23"/>
    <x v="0"/>
    <x v="1"/>
    <s v="DK2_Large_PHL"/>
    <x v="13"/>
    <n v="26.987830985915501"/>
    <n v="7.4966197183098604"/>
  </r>
  <r>
    <x v="0"/>
    <x v="23"/>
    <x v="0"/>
    <x v="1"/>
    <s v="DK2_Large_PHL"/>
    <x v="14"/>
    <n v="26.987830985915501"/>
    <n v="7.4966197183098604"/>
  </r>
  <r>
    <x v="0"/>
    <x v="23"/>
    <x v="0"/>
    <x v="1"/>
    <s v="DK2_Large_PHL"/>
    <x v="15"/>
    <n v="1.65807589063794"/>
    <n v="0.46057663628831802"/>
  </r>
  <r>
    <x v="0"/>
    <x v="23"/>
    <x v="0"/>
    <x v="1"/>
    <s v="DK2_Large_PHL"/>
    <x v="16"/>
    <n v="6.6307647887493104"/>
    <n v="1.84187910798592"/>
  </r>
  <r>
    <x v="0"/>
    <x v="23"/>
    <x v="0"/>
    <x v="1"/>
    <s v="DK2_Large_PHL"/>
    <x v="17"/>
    <n v="9.1244895875632395"/>
    <n v="2.5345804409897901"/>
  </r>
  <r>
    <x v="0"/>
    <x v="23"/>
    <x v="0"/>
    <x v="1"/>
    <s v="DK2_Large_PHL"/>
    <x v="18"/>
    <n v="26.987830985915501"/>
    <n v="7.4966197183098604"/>
  </r>
  <r>
    <x v="0"/>
    <x v="23"/>
    <x v="0"/>
    <x v="1"/>
    <s v="DK2_Large_PHL"/>
    <x v="19"/>
    <n v="8.1139884009941898"/>
    <n v="2.2538856669428302"/>
  </r>
  <r>
    <x v="0"/>
    <x v="23"/>
    <x v="0"/>
    <x v="1"/>
    <s v="DK2_Large_PHL"/>
    <x v="20"/>
    <n v="21.7877183939536"/>
    <n v="6.0521439983204397"/>
  </r>
  <r>
    <x v="0"/>
    <x v="23"/>
    <x v="0"/>
    <x v="1"/>
    <s v="DK2_Large_PHL"/>
    <x v="21"/>
    <n v="48.24"/>
    <n v="13.4"/>
  </r>
  <r>
    <x v="0"/>
    <x v="23"/>
    <x v="0"/>
    <x v="1"/>
    <s v="DK2_Large_PHL"/>
    <x v="22"/>
    <n v="67.680000000000007"/>
    <n v="18.8"/>
  </r>
  <r>
    <x v="0"/>
    <x v="23"/>
    <x v="0"/>
    <x v="1"/>
    <s v="DK2_Large_PHL"/>
    <x v="23"/>
    <n v="0.31515896120488701"/>
    <n v="8.7544155890246306E-2"/>
  </r>
  <r>
    <x v="0"/>
    <x v="23"/>
    <x v="0"/>
    <x v="1"/>
    <s v="DK2_Large_PHL"/>
    <x v="24"/>
    <n v="19.174223581093901"/>
    <n v="5.32617321697054"/>
  </r>
  <r>
    <x v="0"/>
    <x v="23"/>
    <x v="0"/>
    <x v="1"/>
    <s v="DK2_Large_PHL"/>
    <x v="25"/>
    <n v="25.6652953012922"/>
    <n v="7.1292486948033904"/>
  </r>
  <r>
    <x v="0"/>
    <x v="23"/>
    <x v="0"/>
    <x v="1"/>
    <s v="DK2_Large_PHL"/>
    <x v="26"/>
    <n v="32.971098611263102"/>
    <n v="9.1586385031286301"/>
  </r>
  <r>
    <x v="0"/>
    <x v="23"/>
    <x v="0"/>
    <x v="1"/>
    <s v="DK2_Large_PHL"/>
    <x v="27"/>
    <n v="20.163995508318798"/>
    <n v="5.6011098634218799"/>
  </r>
  <r>
    <x v="0"/>
    <x v="23"/>
    <x v="0"/>
    <x v="1"/>
    <s v="DK2_MedSmall"/>
    <x v="1"/>
    <n v="35.989199999999997"/>
    <n v="9.9969999999999999"/>
  </r>
  <r>
    <x v="0"/>
    <x v="23"/>
    <x v="0"/>
    <x v="1"/>
    <s v="DK2_MedSmall"/>
    <x v="2"/>
    <n v="46.08"/>
    <n v="12.8"/>
  </r>
  <r>
    <x v="0"/>
    <x v="23"/>
    <x v="0"/>
    <x v="1"/>
    <s v="DK2_MedSmall"/>
    <x v="0"/>
    <n v="42.692399999999999"/>
    <n v="11.859"/>
  </r>
  <r>
    <x v="0"/>
    <x v="23"/>
    <x v="0"/>
    <x v="1"/>
    <s v="DK2_MedSmall"/>
    <x v="3"/>
    <n v="51.633543144067197"/>
    <n v="14.342650873352"/>
  </r>
  <r>
    <x v="0"/>
    <x v="23"/>
    <x v="0"/>
    <x v="1"/>
    <s v="DK2_MedSmall"/>
    <x v="4"/>
    <n v="10.7598541839271"/>
    <n v="2.9888483844241902"/>
  </r>
  <r>
    <x v="0"/>
    <x v="23"/>
    <x v="0"/>
    <x v="1"/>
    <s v="DK2_MedSmall"/>
    <x v="5"/>
    <n v="10.7598541839271"/>
    <n v="2.9888483844241902"/>
  </r>
  <r>
    <x v="0"/>
    <x v="23"/>
    <x v="0"/>
    <x v="1"/>
    <s v="DK2_MedSmall"/>
    <x v="6"/>
    <n v="29.476231795214598"/>
    <n v="8.1878421653373898"/>
  </r>
  <r>
    <x v="0"/>
    <x v="23"/>
    <x v="0"/>
    <x v="1"/>
    <s v="DK2_MedSmall"/>
    <x v="7"/>
    <n v="57.838935220261199"/>
    <n v="16.066370894517"/>
  </r>
  <r>
    <x v="0"/>
    <x v="23"/>
    <x v="0"/>
    <x v="1"/>
    <s v="DK2_MedSmall"/>
    <x v="8"/>
    <n v="57.838935220261199"/>
    <n v="16.066370894517"/>
  </r>
  <r>
    <x v="0"/>
    <x v="23"/>
    <x v="0"/>
    <x v="1"/>
    <s v="DK2_MedSmall"/>
    <x v="9"/>
    <n v="47.978366197183199"/>
    <n v="13.327323943662"/>
  </r>
  <r>
    <x v="0"/>
    <x v="23"/>
    <x v="0"/>
    <x v="1"/>
    <s v="DK2_MedSmall"/>
    <x v="10"/>
    <n v="63.1479966859984"/>
    <n v="17.541110190555099"/>
  </r>
  <r>
    <x v="0"/>
    <x v="23"/>
    <x v="0"/>
    <x v="1"/>
    <s v="DK2_MedSmall"/>
    <x v="11"/>
    <n v="5.9972957746478999"/>
    <n v="1.66591549295775"/>
  </r>
  <r>
    <x v="0"/>
    <x v="23"/>
    <x v="0"/>
    <x v="1"/>
    <s v="DK2_MedSmall"/>
    <x v="12"/>
    <n v="9.7995028997514597E-2"/>
    <n v="2.72208413881985E-2"/>
  </r>
  <r>
    <x v="0"/>
    <x v="23"/>
    <x v="0"/>
    <x v="1"/>
    <s v="DK2_MedSmall"/>
    <x v="13"/>
    <n v="26.987830985915501"/>
    <n v="7.4966197183098604"/>
  </r>
  <r>
    <x v="0"/>
    <x v="23"/>
    <x v="0"/>
    <x v="1"/>
    <s v="DK2_MedSmall"/>
    <x v="14"/>
    <n v="26.987830985915501"/>
    <n v="7.4966197183098604"/>
  </r>
  <r>
    <x v="0"/>
    <x v="23"/>
    <x v="0"/>
    <x v="1"/>
    <s v="DK2_MedSmall"/>
    <x v="15"/>
    <n v="1.65807589063794"/>
    <n v="0.46057663628831802"/>
  </r>
  <r>
    <x v="0"/>
    <x v="23"/>
    <x v="0"/>
    <x v="1"/>
    <s v="DK2_MedSmall"/>
    <x v="16"/>
    <n v="6.6307647887493104"/>
    <n v="1.84187910798592"/>
  </r>
  <r>
    <x v="0"/>
    <x v="23"/>
    <x v="0"/>
    <x v="1"/>
    <s v="DK2_MedSmall"/>
    <x v="17"/>
    <n v="9.1244895875632395"/>
    <n v="2.5345804409897901"/>
  </r>
  <r>
    <x v="0"/>
    <x v="23"/>
    <x v="0"/>
    <x v="1"/>
    <s v="DK2_MedSmall"/>
    <x v="18"/>
    <n v="26.987830985915501"/>
    <n v="7.4966197183098604"/>
  </r>
  <r>
    <x v="0"/>
    <x v="23"/>
    <x v="0"/>
    <x v="1"/>
    <s v="DK2_MedSmall"/>
    <x v="19"/>
    <n v="8.1139884009941898"/>
    <n v="2.2538856669428302"/>
  </r>
  <r>
    <x v="0"/>
    <x v="23"/>
    <x v="0"/>
    <x v="1"/>
    <s v="DK2_MedSmall"/>
    <x v="20"/>
    <n v="21.7877183939536"/>
    <n v="6.0521439983204397"/>
  </r>
  <r>
    <x v="0"/>
    <x v="23"/>
    <x v="0"/>
    <x v="1"/>
    <s v="DK2_MedSmall"/>
    <x v="21"/>
    <n v="48.24"/>
    <n v="13.4"/>
  </r>
  <r>
    <x v="0"/>
    <x v="23"/>
    <x v="0"/>
    <x v="1"/>
    <s v="DK2_MedSmall"/>
    <x v="22"/>
    <n v="67.680000000000007"/>
    <n v="18.8"/>
  </r>
  <r>
    <x v="0"/>
    <x v="23"/>
    <x v="0"/>
    <x v="1"/>
    <s v="DK2_MedSmall"/>
    <x v="23"/>
    <n v="0.31515896120488701"/>
    <n v="8.7544155890246306E-2"/>
  </r>
  <r>
    <x v="0"/>
    <x v="23"/>
    <x v="0"/>
    <x v="1"/>
    <s v="DK2_MedSmall"/>
    <x v="24"/>
    <n v="19.174223581093901"/>
    <n v="5.32617321697054"/>
  </r>
  <r>
    <x v="0"/>
    <x v="23"/>
    <x v="0"/>
    <x v="1"/>
    <s v="DK2_MedSmall"/>
    <x v="25"/>
    <n v="25.6652953012922"/>
    <n v="7.1292486948033904"/>
  </r>
  <r>
    <x v="0"/>
    <x v="23"/>
    <x v="0"/>
    <x v="1"/>
    <s v="DK2_MedSmall"/>
    <x v="26"/>
    <n v="32.971098611263102"/>
    <n v="9.1586385031286301"/>
  </r>
  <r>
    <x v="0"/>
    <x v="23"/>
    <x v="0"/>
    <x v="1"/>
    <s v="DK2_MedSmall"/>
    <x v="27"/>
    <n v="20.163995508318798"/>
    <n v="5.6011098634218799"/>
  </r>
  <r>
    <x v="0"/>
    <x v="23"/>
    <x v="0"/>
    <x v="1"/>
    <s v="DK2_Medium"/>
    <x v="1"/>
    <n v="35.989199999999997"/>
    <n v="9.9969999999999999"/>
  </r>
  <r>
    <x v="0"/>
    <x v="23"/>
    <x v="0"/>
    <x v="1"/>
    <s v="DK2_Medium"/>
    <x v="2"/>
    <n v="46.08"/>
    <n v="12.8"/>
  </r>
  <r>
    <x v="0"/>
    <x v="23"/>
    <x v="0"/>
    <x v="1"/>
    <s v="DK2_Medium"/>
    <x v="0"/>
    <n v="42.692399999999999"/>
    <n v="11.859"/>
  </r>
  <r>
    <x v="0"/>
    <x v="23"/>
    <x v="0"/>
    <x v="1"/>
    <s v="DK2_Medium"/>
    <x v="3"/>
    <n v="51.633543144067197"/>
    <n v="14.342650873352"/>
  </r>
  <r>
    <x v="0"/>
    <x v="23"/>
    <x v="0"/>
    <x v="1"/>
    <s v="DK2_Medium"/>
    <x v="4"/>
    <n v="10.7598541839271"/>
    <n v="2.9888483844241902"/>
  </r>
  <r>
    <x v="0"/>
    <x v="23"/>
    <x v="0"/>
    <x v="1"/>
    <s v="DK2_Medium"/>
    <x v="5"/>
    <n v="10.7598541839271"/>
    <n v="2.9888483844241902"/>
  </r>
  <r>
    <x v="0"/>
    <x v="23"/>
    <x v="0"/>
    <x v="1"/>
    <s v="DK2_Medium"/>
    <x v="6"/>
    <n v="29.476231795214598"/>
    <n v="8.1878421653373898"/>
  </r>
  <r>
    <x v="0"/>
    <x v="23"/>
    <x v="0"/>
    <x v="1"/>
    <s v="DK2_Medium"/>
    <x v="7"/>
    <n v="57.838935220261199"/>
    <n v="16.066370894517"/>
  </r>
  <r>
    <x v="0"/>
    <x v="23"/>
    <x v="0"/>
    <x v="1"/>
    <s v="DK2_Medium"/>
    <x v="8"/>
    <n v="57.838935220261199"/>
    <n v="16.066370894517"/>
  </r>
  <r>
    <x v="0"/>
    <x v="23"/>
    <x v="0"/>
    <x v="1"/>
    <s v="DK2_Medium"/>
    <x v="9"/>
    <n v="47.978366197183199"/>
    <n v="13.327323943662"/>
  </r>
  <r>
    <x v="0"/>
    <x v="23"/>
    <x v="0"/>
    <x v="1"/>
    <s v="DK2_Medium"/>
    <x v="10"/>
    <n v="63.1479966859984"/>
    <n v="17.541110190555099"/>
  </r>
  <r>
    <x v="0"/>
    <x v="23"/>
    <x v="0"/>
    <x v="1"/>
    <s v="DK2_Medium"/>
    <x v="11"/>
    <n v="5.9972957746478999"/>
    <n v="1.66591549295775"/>
  </r>
  <r>
    <x v="0"/>
    <x v="23"/>
    <x v="0"/>
    <x v="1"/>
    <s v="DK2_Medium"/>
    <x v="12"/>
    <n v="9.7995028997514597E-2"/>
    <n v="2.72208413881985E-2"/>
  </r>
  <r>
    <x v="0"/>
    <x v="23"/>
    <x v="0"/>
    <x v="1"/>
    <s v="DK2_Medium"/>
    <x v="13"/>
    <n v="26.987830985915501"/>
    <n v="7.4966197183098604"/>
  </r>
  <r>
    <x v="0"/>
    <x v="23"/>
    <x v="0"/>
    <x v="1"/>
    <s v="DK2_Medium"/>
    <x v="14"/>
    <n v="26.987830985915501"/>
    <n v="7.4966197183098604"/>
  </r>
  <r>
    <x v="0"/>
    <x v="23"/>
    <x v="0"/>
    <x v="1"/>
    <s v="DK2_Medium"/>
    <x v="15"/>
    <n v="1.65807589063794"/>
    <n v="0.46057663628831802"/>
  </r>
  <r>
    <x v="0"/>
    <x v="23"/>
    <x v="0"/>
    <x v="1"/>
    <s v="DK2_Medium"/>
    <x v="16"/>
    <n v="6.6307647887493104"/>
    <n v="1.84187910798592"/>
  </r>
  <r>
    <x v="0"/>
    <x v="23"/>
    <x v="0"/>
    <x v="1"/>
    <s v="DK2_Medium"/>
    <x v="17"/>
    <n v="9.1244895875632395"/>
    <n v="2.5345804409897901"/>
  </r>
  <r>
    <x v="0"/>
    <x v="23"/>
    <x v="0"/>
    <x v="1"/>
    <s v="DK2_Medium"/>
    <x v="18"/>
    <n v="26.987830985915501"/>
    <n v="7.4966197183098604"/>
  </r>
  <r>
    <x v="0"/>
    <x v="23"/>
    <x v="0"/>
    <x v="1"/>
    <s v="DK2_Medium"/>
    <x v="19"/>
    <n v="8.1139884009941898"/>
    <n v="2.2538856669428302"/>
  </r>
  <r>
    <x v="0"/>
    <x v="23"/>
    <x v="0"/>
    <x v="1"/>
    <s v="DK2_Medium"/>
    <x v="20"/>
    <n v="21.7877183939536"/>
    <n v="6.0521439983204397"/>
  </r>
  <r>
    <x v="0"/>
    <x v="23"/>
    <x v="0"/>
    <x v="1"/>
    <s v="DK2_Medium"/>
    <x v="21"/>
    <n v="48.24"/>
    <n v="13.4"/>
  </r>
  <r>
    <x v="0"/>
    <x v="23"/>
    <x v="0"/>
    <x v="1"/>
    <s v="DK2_Medium"/>
    <x v="22"/>
    <n v="67.680000000000007"/>
    <n v="18.8"/>
  </r>
  <r>
    <x v="0"/>
    <x v="23"/>
    <x v="0"/>
    <x v="1"/>
    <s v="DK2_Medium"/>
    <x v="23"/>
    <n v="0.31515896120488701"/>
    <n v="8.7544155890246306E-2"/>
  </r>
  <r>
    <x v="0"/>
    <x v="23"/>
    <x v="0"/>
    <x v="1"/>
    <s v="DK2_Medium"/>
    <x v="24"/>
    <n v="19.174223581093901"/>
    <n v="5.32617321697054"/>
  </r>
  <r>
    <x v="0"/>
    <x v="23"/>
    <x v="0"/>
    <x v="1"/>
    <s v="DK2_Medium"/>
    <x v="25"/>
    <n v="25.6652953012922"/>
    <n v="7.1292486948033904"/>
  </r>
  <r>
    <x v="0"/>
    <x v="23"/>
    <x v="0"/>
    <x v="1"/>
    <s v="DK2_Medium"/>
    <x v="26"/>
    <n v="32.971098611263102"/>
    <n v="9.1586385031286301"/>
  </r>
  <r>
    <x v="0"/>
    <x v="23"/>
    <x v="0"/>
    <x v="1"/>
    <s v="DK2_Medium"/>
    <x v="27"/>
    <n v="20.163995508318798"/>
    <n v="5.6011098634218799"/>
  </r>
  <r>
    <x v="0"/>
    <x v="23"/>
    <x v="0"/>
    <x v="1"/>
    <s v="DK2_NoDH"/>
    <x v="1"/>
    <n v="35.989199999999997"/>
    <n v="9.9969999999999999"/>
  </r>
  <r>
    <x v="0"/>
    <x v="23"/>
    <x v="0"/>
    <x v="1"/>
    <s v="DK2_NoDH"/>
    <x v="2"/>
    <n v="46.08"/>
    <n v="12.8"/>
  </r>
  <r>
    <x v="0"/>
    <x v="23"/>
    <x v="0"/>
    <x v="1"/>
    <s v="DK2_NoDH"/>
    <x v="0"/>
    <n v="42.692399999999999"/>
    <n v="11.859"/>
  </r>
  <r>
    <x v="0"/>
    <x v="23"/>
    <x v="0"/>
    <x v="1"/>
    <s v="DK2_NoDH"/>
    <x v="3"/>
    <n v="51.633543144067197"/>
    <n v="14.342650873352"/>
  </r>
  <r>
    <x v="0"/>
    <x v="23"/>
    <x v="0"/>
    <x v="1"/>
    <s v="DK2_NoDH"/>
    <x v="4"/>
    <n v="10.7598541839271"/>
    <n v="2.9888483844241902"/>
  </r>
  <r>
    <x v="0"/>
    <x v="23"/>
    <x v="0"/>
    <x v="1"/>
    <s v="DK2_NoDH"/>
    <x v="5"/>
    <n v="10.7598541839271"/>
    <n v="2.9888483844241902"/>
  </r>
  <r>
    <x v="0"/>
    <x v="23"/>
    <x v="0"/>
    <x v="1"/>
    <s v="DK2_NoDH"/>
    <x v="6"/>
    <n v="29.476231795214598"/>
    <n v="8.1878421653373898"/>
  </r>
  <r>
    <x v="0"/>
    <x v="23"/>
    <x v="0"/>
    <x v="1"/>
    <s v="DK2_NoDH"/>
    <x v="7"/>
    <n v="57.838935220261199"/>
    <n v="16.066370894517"/>
  </r>
  <r>
    <x v="0"/>
    <x v="23"/>
    <x v="0"/>
    <x v="1"/>
    <s v="DK2_NoDH"/>
    <x v="8"/>
    <n v="57.838935220261199"/>
    <n v="16.066370894517"/>
  </r>
  <r>
    <x v="0"/>
    <x v="23"/>
    <x v="0"/>
    <x v="1"/>
    <s v="DK2_NoDH"/>
    <x v="9"/>
    <n v="47.978366197183199"/>
    <n v="13.327323943662"/>
  </r>
  <r>
    <x v="0"/>
    <x v="23"/>
    <x v="0"/>
    <x v="1"/>
    <s v="DK2_NoDH"/>
    <x v="10"/>
    <n v="63.1479966859984"/>
    <n v="17.541110190555099"/>
  </r>
  <r>
    <x v="0"/>
    <x v="23"/>
    <x v="0"/>
    <x v="1"/>
    <s v="DK2_NoDH"/>
    <x v="11"/>
    <n v="5.9972957746478999"/>
    <n v="1.66591549295775"/>
  </r>
  <r>
    <x v="0"/>
    <x v="23"/>
    <x v="0"/>
    <x v="1"/>
    <s v="DK2_NoDH"/>
    <x v="12"/>
    <n v="9.7995028997514597E-2"/>
    <n v="2.72208413881985E-2"/>
  </r>
  <r>
    <x v="0"/>
    <x v="23"/>
    <x v="0"/>
    <x v="1"/>
    <s v="DK2_NoDH"/>
    <x v="13"/>
    <n v="26.987830985915501"/>
    <n v="7.4966197183098604"/>
  </r>
  <r>
    <x v="0"/>
    <x v="23"/>
    <x v="0"/>
    <x v="1"/>
    <s v="DK2_NoDH"/>
    <x v="14"/>
    <n v="26.987830985915501"/>
    <n v="7.4966197183098604"/>
  </r>
  <r>
    <x v="0"/>
    <x v="23"/>
    <x v="0"/>
    <x v="1"/>
    <s v="DK2_NoDH"/>
    <x v="15"/>
    <n v="1.65807589063794"/>
    <n v="0.46057663628831802"/>
  </r>
  <r>
    <x v="0"/>
    <x v="23"/>
    <x v="0"/>
    <x v="1"/>
    <s v="DK2_NoDH"/>
    <x v="16"/>
    <n v="6.6307647887493104"/>
    <n v="1.84187910798592"/>
  </r>
  <r>
    <x v="0"/>
    <x v="23"/>
    <x v="0"/>
    <x v="1"/>
    <s v="DK2_NoDH"/>
    <x v="17"/>
    <n v="9.1244895875632395"/>
    <n v="2.5345804409897901"/>
  </r>
  <r>
    <x v="0"/>
    <x v="23"/>
    <x v="0"/>
    <x v="1"/>
    <s v="DK2_NoDH"/>
    <x v="18"/>
    <n v="26.987830985915501"/>
    <n v="7.4966197183098604"/>
  </r>
  <r>
    <x v="0"/>
    <x v="23"/>
    <x v="0"/>
    <x v="1"/>
    <s v="DK2_NoDH"/>
    <x v="19"/>
    <n v="8.1139884009941898"/>
    <n v="2.2538856669428302"/>
  </r>
  <r>
    <x v="0"/>
    <x v="23"/>
    <x v="0"/>
    <x v="1"/>
    <s v="DK2_NoDH"/>
    <x v="20"/>
    <n v="21.7877183939536"/>
    <n v="6.0521439983204397"/>
  </r>
  <r>
    <x v="0"/>
    <x v="23"/>
    <x v="0"/>
    <x v="1"/>
    <s v="DK2_NoDH"/>
    <x v="21"/>
    <n v="48.24"/>
    <n v="13.4"/>
  </r>
  <r>
    <x v="0"/>
    <x v="23"/>
    <x v="0"/>
    <x v="1"/>
    <s v="DK2_NoDH"/>
    <x v="22"/>
    <n v="67.680000000000007"/>
    <n v="18.8"/>
  </r>
  <r>
    <x v="0"/>
    <x v="23"/>
    <x v="0"/>
    <x v="1"/>
    <s v="DK2_NoDH"/>
    <x v="23"/>
    <n v="0.31515896120488701"/>
    <n v="8.7544155890246306E-2"/>
  </r>
  <r>
    <x v="0"/>
    <x v="23"/>
    <x v="0"/>
    <x v="1"/>
    <s v="DK2_NoDH"/>
    <x v="24"/>
    <n v="19.174223581093901"/>
    <n v="5.32617321697054"/>
  </r>
  <r>
    <x v="0"/>
    <x v="23"/>
    <x v="0"/>
    <x v="1"/>
    <s v="DK2_NoDH"/>
    <x v="25"/>
    <n v="25.6652953012922"/>
    <n v="7.1292486948033904"/>
  </r>
  <r>
    <x v="0"/>
    <x v="23"/>
    <x v="0"/>
    <x v="1"/>
    <s v="DK2_NoDH"/>
    <x v="26"/>
    <n v="32.971098611263102"/>
    <n v="9.1586385031286301"/>
  </r>
  <r>
    <x v="0"/>
    <x v="23"/>
    <x v="0"/>
    <x v="1"/>
    <s v="DK2_NoDH"/>
    <x v="27"/>
    <n v="20.163995508318798"/>
    <n v="5.6011098634218799"/>
  </r>
  <r>
    <x v="0"/>
    <x v="23"/>
    <x v="0"/>
    <x v="1"/>
    <s v="DK2_NoDH_PHH"/>
    <x v="1"/>
    <n v="35.989199999999997"/>
    <n v="9.9969999999999999"/>
  </r>
  <r>
    <x v="0"/>
    <x v="23"/>
    <x v="0"/>
    <x v="1"/>
    <s v="DK2_NoDH_PHH"/>
    <x v="2"/>
    <n v="46.08"/>
    <n v="12.8"/>
  </r>
  <r>
    <x v="0"/>
    <x v="23"/>
    <x v="0"/>
    <x v="1"/>
    <s v="DK2_NoDH_PHH"/>
    <x v="0"/>
    <n v="42.692399999999999"/>
    <n v="11.859"/>
  </r>
  <r>
    <x v="0"/>
    <x v="23"/>
    <x v="0"/>
    <x v="1"/>
    <s v="DK2_NoDH_PHH"/>
    <x v="3"/>
    <n v="51.633543144067197"/>
    <n v="14.342650873352"/>
  </r>
  <r>
    <x v="0"/>
    <x v="23"/>
    <x v="0"/>
    <x v="1"/>
    <s v="DK2_NoDH_PHH"/>
    <x v="4"/>
    <n v="10.7598541839271"/>
    <n v="2.9888483844241902"/>
  </r>
  <r>
    <x v="0"/>
    <x v="23"/>
    <x v="0"/>
    <x v="1"/>
    <s v="DK2_NoDH_PHH"/>
    <x v="5"/>
    <n v="10.7598541839271"/>
    <n v="2.9888483844241902"/>
  </r>
  <r>
    <x v="0"/>
    <x v="23"/>
    <x v="0"/>
    <x v="1"/>
    <s v="DK2_NoDH_PHH"/>
    <x v="6"/>
    <n v="29.476231795214598"/>
    <n v="8.1878421653373898"/>
  </r>
  <r>
    <x v="0"/>
    <x v="23"/>
    <x v="0"/>
    <x v="1"/>
    <s v="DK2_NoDH_PHH"/>
    <x v="7"/>
    <n v="57.838935220261199"/>
    <n v="16.066370894517"/>
  </r>
  <r>
    <x v="0"/>
    <x v="23"/>
    <x v="0"/>
    <x v="1"/>
    <s v="DK2_NoDH_PHH"/>
    <x v="8"/>
    <n v="57.838935220261199"/>
    <n v="16.066370894517"/>
  </r>
  <r>
    <x v="0"/>
    <x v="23"/>
    <x v="0"/>
    <x v="1"/>
    <s v="DK2_NoDH_PHH"/>
    <x v="9"/>
    <n v="47.978366197183199"/>
    <n v="13.327323943662"/>
  </r>
  <r>
    <x v="0"/>
    <x v="23"/>
    <x v="0"/>
    <x v="1"/>
    <s v="DK2_NoDH_PHH"/>
    <x v="10"/>
    <n v="63.1479966859984"/>
    <n v="17.541110190555099"/>
  </r>
  <r>
    <x v="0"/>
    <x v="23"/>
    <x v="0"/>
    <x v="1"/>
    <s v="DK2_NoDH_PHH"/>
    <x v="11"/>
    <n v="5.9972957746478999"/>
    <n v="1.66591549295775"/>
  </r>
  <r>
    <x v="0"/>
    <x v="23"/>
    <x v="0"/>
    <x v="1"/>
    <s v="DK2_NoDH_PHH"/>
    <x v="12"/>
    <n v="9.7995028997514597E-2"/>
    <n v="2.72208413881985E-2"/>
  </r>
  <r>
    <x v="0"/>
    <x v="23"/>
    <x v="0"/>
    <x v="1"/>
    <s v="DK2_NoDH_PHH"/>
    <x v="13"/>
    <n v="26.987830985915501"/>
    <n v="7.4966197183098604"/>
  </r>
  <r>
    <x v="0"/>
    <x v="23"/>
    <x v="0"/>
    <x v="1"/>
    <s v="DK2_NoDH_PHH"/>
    <x v="14"/>
    <n v="26.987830985915501"/>
    <n v="7.4966197183098604"/>
  </r>
  <r>
    <x v="0"/>
    <x v="23"/>
    <x v="0"/>
    <x v="1"/>
    <s v="DK2_NoDH_PHH"/>
    <x v="15"/>
    <n v="1.65807589063794"/>
    <n v="0.46057663628831802"/>
  </r>
  <r>
    <x v="0"/>
    <x v="23"/>
    <x v="0"/>
    <x v="1"/>
    <s v="DK2_NoDH_PHH"/>
    <x v="16"/>
    <n v="6.6307647887493104"/>
    <n v="1.84187910798592"/>
  </r>
  <r>
    <x v="0"/>
    <x v="23"/>
    <x v="0"/>
    <x v="1"/>
    <s v="DK2_NoDH_PHH"/>
    <x v="17"/>
    <n v="9.1244895875632395"/>
    <n v="2.5345804409897901"/>
  </r>
  <r>
    <x v="0"/>
    <x v="23"/>
    <x v="0"/>
    <x v="1"/>
    <s v="DK2_NoDH_PHH"/>
    <x v="18"/>
    <n v="26.987830985915501"/>
    <n v="7.4966197183098604"/>
  </r>
  <r>
    <x v="0"/>
    <x v="23"/>
    <x v="0"/>
    <x v="1"/>
    <s v="DK2_NoDH_PHH"/>
    <x v="19"/>
    <n v="8.1139884009941898"/>
    <n v="2.2538856669428302"/>
  </r>
  <r>
    <x v="0"/>
    <x v="23"/>
    <x v="0"/>
    <x v="1"/>
    <s v="DK2_NoDH_PHH"/>
    <x v="20"/>
    <n v="21.7877183939536"/>
    <n v="6.0521439983204397"/>
  </r>
  <r>
    <x v="0"/>
    <x v="23"/>
    <x v="0"/>
    <x v="1"/>
    <s v="DK2_NoDH_PHH"/>
    <x v="21"/>
    <n v="48.24"/>
    <n v="13.4"/>
  </r>
  <r>
    <x v="0"/>
    <x v="23"/>
    <x v="0"/>
    <x v="1"/>
    <s v="DK2_NoDH_PHH"/>
    <x v="22"/>
    <n v="67.680000000000007"/>
    <n v="18.8"/>
  </r>
  <r>
    <x v="0"/>
    <x v="23"/>
    <x v="0"/>
    <x v="1"/>
    <s v="DK2_NoDH_PHH"/>
    <x v="23"/>
    <n v="0.31515896120488701"/>
    <n v="8.7544155890246306E-2"/>
  </r>
  <r>
    <x v="0"/>
    <x v="23"/>
    <x v="0"/>
    <x v="1"/>
    <s v="DK2_NoDH_PHH"/>
    <x v="24"/>
    <n v="19.174223581093901"/>
    <n v="5.32617321697054"/>
  </r>
  <r>
    <x v="0"/>
    <x v="23"/>
    <x v="0"/>
    <x v="1"/>
    <s v="DK2_NoDH_PHH"/>
    <x v="25"/>
    <n v="25.6652953012922"/>
    <n v="7.1292486948033904"/>
  </r>
  <r>
    <x v="0"/>
    <x v="23"/>
    <x v="0"/>
    <x v="1"/>
    <s v="DK2_NoDH_PHH"/>
    <x v="26"/>
    <n v="32.971098611263102"/>
    <n v="9.1586385031286301"/>
  </r>
  <r>
    <x v="0"/>
    <x v="23"/>
    <x v="0"/>
    <x v="1"/>
    <s v="DK2_NoDH_PHH"/>
    <x v="27"/>
    <n v="20.163995508318798"/>
    <n v="5.6011098634218799"/>
  </r>
  <r>
    <x v="0"/>
    <x v="23"/>
    <x v="0"/>
    <x v="1"/>
    <s v="DK2_NoDH_PHL"/>
    <x v="1"/>
    <n v="35.989199999999997"/>
    <n v="9.9969999999999999"/>
  </r>
  <r>
    <x v="0"/>
    <x v="23"/>
    <x v="0"/>
    <x v="1"/>
    <s v="DK2_NoDH_PHL"/>
    <x v="2"/>
    <n v="46.08"/>
    <n v="12.8"/>
  </r>
  <r>
    <x v="0"/>
    <x v="23"/>
    <x v="0"/>
    <x v="1"/>
    <s v="DK2_NoDH_PHL"/>
    <x v="0"/>
    <n v="42.692399999999999"/>
    <n v="11.859"/>
  </r>
  <r>
    <x v="0"/>
    <x v="23"/>
    <x v="0"/>
    <x v="1"/>
    <s v="DK2_NoDH_PHL"/>
    <x v="3"/>
    <n v="51.633543144067197"/>
    <n v="14.342650873352"/>
  </r>
  <r>
    <x v="0"/>
    <x v="23"/>
    <x v="0"/>
    <x v="1"/>
    <s v="DK2_NoDH_PHL"/>
    <x v="4"/>
    <n v="10.7598541839271"/>
    <n v="2.9888483844241902"/>
  </r>
  <r>
    <x v="0"/>
    <x v="23"/>
    <x v="0"/>
    <x v="1"/>
    <s v="DK2_NoDH_PHL"/>
    <x v="5"/>
    <n v="10.7598541839271"/>
    <n v="2.9888483844241902"/>
  </r>
  <r>
    <x v="0"/>
    <x v="23"/>
    <x v="0"/>
    <x v="1"/>
    <s v="DK2_NoDH_PHL"/>
    <x v="6"/>
    <n v="29.476231795214598"/>
    <n v="8.1878421653373898"/>
  </r>
  <r>
    <x v="0"/>
    <x v="23"/>
    <x v="0"/>
    <x v="1"/>
    <s v="DK2_NoDH_PHL"/>
    <x v="7"/>
    <n v="57.838935220261199"/>
    <n v="16.066370894517"/>
  </r>
  <r>
    <x v="0"/>
    <x v="23"/>
    <x v="0"/>
    <x v="1"/>
    <s v="DK2_NoDH_PHL"/>
    <x v="8"/>
    <n v="57.838935220261199"/>
    <n v="16.066370894517"/>
  </r>
  <r>
    <x v="0"/>
    <x v="23"/>
    <x v="0"/>
    <x v="1"/>
    <s v="DK2_NoDH_PHL"/>
    <x v="9"/>
    <n v="47.978366197183199"/>
    <n v="13.327323943662"/>
  </r>
  <r>
    <x v="0"/>
    <x v="23"/>
    <x v="0"/>
    <x v="1"/>
    <s v="DK2_NoDH_PHL"/>
    <x v="10"/>
    <n v="63.1479966859984"/>
    <n v="17.541110190555099"/>
  </r>
  <r>
    <x v="0"/>
    <x v="23"/>
    <x v="0"/>
    <x v="1"/>
    <s v="DK2_NoDH_PHL"/>
    <x v="11"/>
    <n v="5.9972957746478999"/>
    <n v="1.66591549295775"/>
  </r>
  <r>
    <x v="0"/>
    <x v="23"/>
    <x v="0"/>
    <x v="1"/>
    <s v="DK2_NoDH_PHL"/>
    <x v="12"/>
    <n v="9.7995028997514597E-2"/>
    <n v="2.72208413881985E-2"/>
  </r>
  <r>
    <x v="0"/>
    <x v="23"/>
    <x v="0"/>
    <x v="1"/>
    <s v="DK2_NoDH_PHL"/>
    <x v="13"/>
    <n v="26.987830985915501"/>
    <n v="7.4966197183098604"/>
  </r>
  <r>
    <x v="0"/>
    <x v="23"/>
    <x v="0"/>
    <x v="1"/>
    <s v="DK2_NoDH_PHL"/>
    <x v="14"/>
    <n v="26.987830985915501"/>
    <n v="7.4966197183098604"/>
  </r>
  <r>
    <x v="0"/>
    <x v="23"/>
    <x v="0"/>
    <x v="1"/>
    <s v="DK2_NoDH_PHL"/>
    <x v="15"/>
    <n v="1.65807589063794"/>
    <n v="0.46057663628831802"/>
  </r>
  <r>
    <x v="0"/>
    <x v="23"/>
    <x v="0"/>
    <x v="1"/>
    <s v="DK2_NoDH_PHL"/>
    <x v="16"/>
    <n v="6.6307647887493104"/>
    <n v="1.84187910798592"/>
  </r>
  <r>
    <x v="0"/>
    <x v="23"/>
    <x v="0"/>
    <x v="1"/>
    <s v="DK2_NoDH_PHL"/>
    <x v="17"/>
    <n v="9.1244895875632395"/>
    <n v="2.5345804409897901"/>
  </r>
  <r>
    <x v="0"/>
    <x v="23"/>
    <x v="0"/>
    <x v="1"/>
    <s v="DK2_NoDH_PHL"/>
    <x v="18"/>
    <n v="26.987830985915501"/>
    <n v="7.4966197183098604"/>
  </r>
  <r>
    <x v="0"/>
    <x v="23"/>
    <x v="0"/>
    <x v="1"/>
    <s v="DK2_NoDH_PHL"/>
    <x v="19"/>
    <n v="8.1139884009941898"/>
    <n v="2.2538856669428302"/>
  </r>
  <r>
    <x v="0"/>
    <x v="23"/>
    <x v="0"/>
    <x v="1"/>
    <s v="DK2_NoDH_PHL"/>
    <x v="20"/>
    <n v="21.7877183939536"/>
    <n v="6.0521439983204397"/>
  </r>
  <r>
    <x v="0"/>
    <x v="23"/>
    <x v="0"/>
    <x v="1"/>
    <s v="DK2_NoDH_PHL"/>
    <x v="21"/>
    <n v="48.24"/>
    <n v="13.4"/>
  </r>
  <r>
    <x v="0"/>
    <x v="23"/>
    <x v="0"/>
    <x v="1"/>
    <s v="DK2_NoDH_PHL"/>
    <x v="22"/>
    <n v="67.680000000000007"/>
    <n v="18.8"/>
  </r>
  <r>
    <x v="0"/>
    <x v="23"/>
    <x v="0"/>
    <x v="1"/>
    <s v="DK2_NoDH_PHL"/>
    <x v="23"/>
    <n v="0.31515896120488701"/>
    <n v="8.7544155890246306E-2"/>
  </r>
  <r>
    <x v="0"/>
    <x v="23"/>
    <x v="0"/>
    <x v="1"/>
    <s v="DK2_NoDH_PHL"/>
    <x v="24"/>
    <n v="19.174223581093901"/>
    <n v="5.32617321697054"/>
  </r>
  <r>
    <x v="0"/>
    <x v="23"/>
    <x v="0"/>
    <x v="1"/>
    <s v="DK2_NoDH_PHL"/>
    <x v="25"/>
    <n v="25.6652953012922"/>
    <n v="7.1292486948033904"/>
  </r>
  <r>
    <x v="0"/>
    <x v="23"/>
    <x v="0"/>
    <x v="1"/>
    <s v="DK2_NoDH_PHL"/>
    <x v="26"/>
    <n v="32.971098611263102"/>
    <n v="9.1586385031286301"/>
  </r>
  <r>
    <x v="0"/>
    <x v="23"/>
    <x v="0"/>
    <x v="1"/>
    <s v="DK2_NoDH_PHL"/>
    <x v="27"/>
    <n v="20.163995508318798"/>
    <n v="5.6011098634218799"/>
  </r>
  <r>
    <x v="0"/>
    <x v="23"/>
    <x v="0"/>
    <x v="1"/>
    <s v="DK2_Offshore"/>
    <x v="1"/>
    <n v="35.989199999999997"/>
    <n v="9.9969999999999999"/>
  </r>
  <r>
    <x v="0"/>
    <x v="23"/>
    <x v="0"/>
    <x v="1"/>
    <s v="DK2_Offshore"/>
    <x v="2"/>
    <n v="46.08"/>
    <n v="12.8"/>
  </r>
  <r>
    <x v="0"/>
    <x v="23"/>
    <x v="0"/>
    <x v="1"/>
    <s v="DK2_Offshore"/>
    <x v="0"/>
    <n v="42.692399999999999"/>
    <n v="11.859"/>
  </r>
  <r>
    <x v="0"/>
    <x v="23"/>
    <x v="0"/>
    <x v="1"/>
    <s v="DK2_Offshore"/>
    <x v="3"/>
    <n v="51.633543144067197"/>
    <n v="14.342650873352"/>
  </r>
  <r>
    <x v="0"/>
    <x v="23"/>
    <x v="0"/>
    <x v="1"/>
    <s v="DK2_Offshore"/>
    <x v="4"/>
    <n v="10.7598541839271"/>
    <n v="2.9888483844241902"/>
  </r>
  <r>
    <x v="0"/>
    <x v="23"/>
    <x v="0"/>
    <x v="1"/>
    <s v="DK2_Offshore"/>
    <x v="5"/>
    <n v="10.7598541839271"/>
    <n v="2.9888483844241902"/>
  </r>
  <r>
    <x v="0"/>
    <x v="23"/>
    <x v="0"/>
    <x v="1"/>
    <s v="DK2_Offshore"/>
    <x v="6"/>
    <n v="29.476231795214598"/>
    <n v="8.1878421653373898"/>
  </r>
  <r>
    <x v="0"/>
    <x v="23"/>
    <x v="0"/>
    <x v="1"/>
    <s v="DK2_Offshore"/>
    <x v="7"/>
    <n v="57.838935220261199"/>
    <n v="16.066370894517"/>
  </r>
  <r>
    <x v="0"/>
    <x v="23"/>
    <x v="0"/>
    <x v="1"/>
    <s v="DK2_Offshore"/>
    <x v="8"/>
    <n v="57.838935220261199"/>
    <n v="16.066370894517"/>
  </r>
  <r>
    <x v="0"/>
    <x v="23"/>
    <x v="0"/>
    <x v="1"/>
    <s v="DK2_Offshore"/>
    <x v="9"/>
    <n v="47.978366197183199"/>
    <n v="13.327323943662"/>
  </r>
  <r>
    <x v="0"/>
    <x v="23"/>
    <x v="0"/>
    <x v="1"/>
    <s v="DK2_Offshore"/>
    <x v="10"/>
    <n v="63.1479966859984"/>
    <n v="17.541110190555099"/>
  </r>
  <r>
    <x v="0"/>
    <x v="23"/>
    <x v="0"/>
    <x v="1"/>
    <s v="DK2_Offshore"/>
    <x v="11"/>
    <n v="5.9972957746478999"/>
    <n v="1.66591549295775"/>
  </r>
  <r>
    <x v="0"/>
    <x v="23"/>
    <x v="0"/>
    <x v="1"/>
    <s v="DK2_Offshore"/>
    <x v="12"/>
    <n v="9.7995028997514597E-2"/>
    <n v="2.72208413881985E-2"/>
  </r>
  <r>
    <x v="0"/>
    <x v="23"/>
    <x v="0"/>
    <x v="1"/>
    <s v="DK2_Offshore"/>
    <x v="13"/>
    <n v="26.987830985915501"/>
    <n v="7.4966197183098604"/>
  </r>
  <r>
    <x v="0"/>
    <x v="23"/>
    <x v="0"/>
    <x v="1"/>
    <s v="DK2_Offshore"/>
    <x v="14"/>
    <n v="26.987830985915501"/>
    <n v="7.4966197183098604"/>
  </r>
  <r>
    <x v="0"/>
    <x v="23"/>
    <x v="0"/>
    <x v="1"/>
    <s v="DK2_Offshore"/>
    <x v="15"/>
    <n v="1.65807589063794"/>
    <n v="0.46057663628831802"/>
  </r>
  <r>
    <x v="0"/>
    <x v="23"/>
    <x v="0"/>
    <x v="1"/>
    <s v="DK2_Offshore"/>
    <x v="16"/>
    <n v="6.6307647887493104"/>
    <n v="1.84187910798592"/>
  </r>
  <r>
    <x v="0"/>
    <x v="23"/>
    <x v="0"/>
    <x v="1"/>
    <s v="DK2_Offshore"/>
    <x v="17"/>
    <n v="9.1244895875632395"/>
    <n v="2.5345804409897901"/>
  </r>
  <r>
    <x v="0"/>
    <x v="23"/>
    <x v="0"/>
    <x v="1"/>
    <s v="DK2_Offshore"/>
    <x v="18"/>
    <n v="26.987830985915501"/>
    <n v="7.4966197183098604"/>
  </r>
  <r>
    <x v="0"/>
    <x v="23"/>
    <x v="0"/>
    <x v="1"/>
    <s v="DK2_Offshore"/>
    <x v="19"/>
    <n v="8.1139884009941898"/>
    <n v="2.2538856669428302"/>
  </r>
  <r>
    <x v="0"/>
    <x v="23"/>
    <x v="0"/>
    <x v="1"/>
    <s v="DK2_Offshore"/>
    <x v="20"/>
    <n v="21.7877183939536"/>
    <n v="6.0521439983204397"/>
  </r>
  <r>
    <x v="0"/>
    <x v="23"/>
    <x v="0"/>
    <x v="1"/>
    <s v="DK2_Offshore"/>
    <x v="21"/>
    <n v="48.24"/>
    <n v="13.4"/>
  </r>
  <r>
    <x v="0"/>
    <x v="23"/>
    <x v="0"/>
    <x v="1"/>
    <s v="DK2_Offshore"/>
    <x v="22"/>
    <n v="67.680000000000007"/>
    <n v="18.8"/>
  </r>
  <r>
    <x v="0"/>
    <x v="23"/>
    <x v="0"/>
    <x v="1"/>
    <s v="DK2_Offshore"/>
    <x v="23"/>
    <n v="0.31515896120488701"/>
    <n v="8.7544155890246306E-2"/>
  </r>
  <r>
    <x v="0"/>
    <x v="23"/>
    <x v="0"/>
    <x v="1"/>
    <s v="DK2_Offshore"/>
    <x v="24"/>
    <n v="19.174223581093901"/>
    <n v="5.32617321697054"/>
  </r>
  <r>
    <x v="0"/>
    <x v="23"/>
    <x v="0"/>
    <x v="1"/>
    <s v="DK2_Offshore"/>
    <x v="25"/>
    <n v="25.6652953012922"/>
    <n v="7.1292486948033904"/>
  </r>
  <r>
    <x v="0"/>
    <x v="23"/>
    <x v="0"/>
    <x v="1"/>
    <s v="DK2_Offshore"/>
    <x v="26"/>
    <n v="32.971098611263102"/>
    <n v="9.1586385031286301"/>
  </r>
  <r>
    <x v="0"/>
    <x v="23"/>
    <x v="0"/>
    <x v="1"/>
    <s v="DK2_Offshore"/>
    <x v="27"/>
    <n v="20.163995508318798"/>
    <n v="5.6011098634218799"/>
  </r>
  <r>
    <x v="0"/>
    <x v="23"/>
    <x v="0"/>
    <x v="1"/>
    <s v="DK2_Rural"/>
    <x v="1"/>
    <n v="35.989199999999997"/>
    <n v="9.9969999999999999"/>
  </r>
  <r>
    <x v="0"/>
    <x v="23"/>
    <x v="0"/>
    <x v="1"/>
    <s v="DK2_Rural"/>
    <x v="2"/>
    <n v="46.08"/>
    <n v="12.8"/>
  </r>
  <r>
    <x v="0"/>
    <x v="23"/>
    <x v="0"/>
    <x v="1"/>
    <s v="DK2_Rural"/>
    <x v="0"/>
    <n v="42.692399999999999"/>
    <n v="11.859"/>
  </r>
  <r>
    <x v="0"/>
    <x v="23"/>
    <x v="0"/>
    <x v="1"/>
    <s v="DK2_Rural"/>
    <x v="3"/>
    <n v="51.633543144067197"/>
    <n v="14.342650873352"/>
  </r>
  <r>
    <x v="0"/>
    <x v="23"/>
    <x v="0"/>
    <x v="1"/>
    <s v="DK2_Rural"/>
    <x v="4"/>
    <n v="10.7598541839271"/>
    <n v="2.9888483844241902"/>
  </r>
  <r>
    <x v="0"/>
    <x v="23"/>
    <x v="0"/>
    <x v="1"/>
    <s v="DK2_Rural"/>
    <x v="5"/>
    <n v="10.7598541839271"/>
    <n v="2.9888483844241902"/>
  </r>
  <r>
    <x v="0"/>
    <x v="23"/>
    <x v="0"/>
    <x v="1"/>
    <s v="DK2_Rural"/>
    <x v="6"/>
    <n v="29.476231795214598"/>
    <n v="8.1878421653373898"/>
  </r>
  <r>
    <x v="0"/>
    <x v="23"/>
    <x v="0"/>
    <x v="1"/>
    <s v="DK2_Rural"/>
    <x v="7"/>
    <n v="57.838935220261199"/>
    <n v="16.066370894517"/>
  </r>
  <r>
    <x v="0"/>
    <x v="23"/>
    <x v="0"/>
    <x v="1"/>
    <s v="DK2_Rural"/>
    <x v="8"/>
    <n v="57.838935220261199"/>
    <n v="16.066370894517"/>
  </r>
  <r>
    <x v="0"/>
    <x v="23"/>
    <x v="0"/>
    <x v="1"/>
    <s v="DK2_Rural"/>
    <x v="9"/>
    <n v="47.978366197183199"/>
    <n v="13.327323943662"/>
  </r>
  <r>
    <x v="0"/>
    <x v="23"/>
    <x v="0"/>
    <x v="1"/>
    <s v="DK2_Rural"/>
    <x v="10"/>
    <n v="63.1479966859984"/>
    <n v="17.541110190555099"/>
  </r>
  <r>
    <x v="0"/>
    <x v="23"/>
    <x v="0"/>
    <x v="1"/>
    <s v="DK2_Rural"/>
    <x v="11"/>
    <n v="5.9972957746478999"/>
    <n v="1.66591549295775"/>
  </r>
  <r>
    <x v="0"/>
    <x v="23"/>
    <x v="0"/>
    <x v="1"/>
    <s v="DK2_Rural"/>
    <x v="12"/>
    <n v="9.7995028997514597E-2"/>
    <n v="2.72208413881985E-2"/>
  </r>
  <r>
    <x v="0"/>
    <x v="23"/>
    <x v="0"/>
    <x v="1"/>
    <s v="DK2_Rural"/>
    <x v="13"/>
    <n v="26.987830985915501"/>
    <n v="7.4966197183098604"/>
  </r>
  <r>
    <x v="0"/>
    <x v="23"/>
    <x v="0"/>
    <x v="1"/>
    <s v="DK2_Rural"/>
    <x v="14"/>
    <n v="26.987830985915501"/>
    <n v="7.4966197183098604"/>
  </r>
  <r>
    <x v="0"/>
    <x v="23"/>
    <x v="0"/>
    <x v="1"/>
    <s v="DK2_Rural"/>
    <x v="15"/>
    <n v="1.65807589063794"/>
    <n v="0.46057663628831802"/>
  </r>
  <r>
    <x v="0"/>
    <x v="23"/>
    <x v="0"/>
    <x v="1"/>
    <s v="DK2_Rural"/>
    <x v="16"/>
    <n v="6.6307647887493104"/>
    <n v="1.84187910798592"/>
  </r>
  <r>
    <x v="0"/>
    <x v="23"/>
    <x v="0"/>
    <x v="1"/>
    <s v="DK2_Rural"/>
    <x v="17"/>
    <n v="9.1244895875632395"/>
    <n v="2.5345804409897901"/>
  </r>
  <r>
    <x v="0"/>
    <x v="23"/>
    <x v="0"/>
    <x v="1"/>
    <s v="DK2_Rural"/>
    <x v="18"/>
    <n v="26.987830985915501"/>
    <n v="7.4966197183098604"/>
  </r>
  <r>
    <x v="0"/>
    <x v="23"/>
    <x v="0"/>
    <x v="1"/>
    <s v="DK2_Rural"/>
    <x v="19"/>
    <n v="8.1139884009941898"/>
    <n v="2.2538856669428302"/>
  </r>
  <r>
    <x v="0"/>
    <x v="23"/>
    <x v="0"/>
    <x v="1"/>
    <s v="DK2_Rural"/>
    <x v="20"/>
    <n v="21.7877183939536"/>
    <n v="6.0521439983204397"/>
  </r>
  <r>
    <x v="0"/>
    <x v="23"/>
    <x v="0"/>
    <x v="1"/>
    <s v="DK2_Rural"/>
    <x v="21"/>
    <n v="48.24"/>
    <n v="13.4"/>
  </r>
  <r>
    <x v="0"/>
    <x v="23"/>
    <x v="0"/>
    <x v="1"/>
    <s v="DK2_Rural"/>
    <x v="22"/>
    <n v="67.680000000000007"/>
    <n v="18.8"/>
  </r>
  <r>
    <x v="0"/>
    <x v="23"/>
    <x v="0"/>
    <x v="1"/>
    <s v="DK2_Rural"/>
    <x v="23"/>
    <n v="0.31515896120488701"/>
    <n v="8.7544155890246306E-2"/>
  </r>
  <r>
    <x v="0"/>
    <x v="23"/>
    <x v="0"/>
    <x v="1"/>
    <s v="DK2_Rural"/>
    <x v="24"/>
    <n v="19.174223581093901"/>
    <n v="5.32617321697054"/>
  </r>
  <r>
    <x v="0"/>
    <x v="23"/>
    <x v="0"/>
    <x v="1"/>
    <s v="DK2_Rural"/>
    <x v="25"/>
    <n v="25.6652953012922"/>
    <n v="7.1292486948033904"/>
  </r>
  <r>
    <x v="0"/>
    <x v="23"/>
    <x v="0"/>
    <x v="1"/>
    <s v="DK2_Rural"/>
    <x v="26"/>
    <n v="32.971098611263102"/>
    <n v="9.1586385031286301"/>
  </r>
  <r>
    <x v="0"/>
    <x v="23"/>
    <x v="0"/>
    <x v="1"/>
    <s v="DK2_Rural"/>
    <x v="27"/>
    <n v="20.163995508318798"/>
    <n v="5.6011098634218799"/>
  </r>
  <r>
    <x v="0"/>
    <x v="23"/>
    <x v="0"/>
    <x v="1"/>
    <s v="DK2_Small"/>
    <x v="1"/>
    <n v="35.989199999999997"/>
    <n v="9.9969999999999999"/>
  </r>
  <r>
    <x v="0"/>
    <x v="23"/>
    <x v="0"/>
    <x v="1"/>
    <s v="DK2_Small"/>
    <x v="2"/>
    <n v="46.08"/>
    <n v="12.8"/>
  </r>
  <r>
    <x v="0"/>
    <x v="23"/>
    <x v="0"/>
    <x v="1"/>
    <s v="DK2_Small"/>
    <x v="0"/>
    <n v="42.692399999999999"/>
    <n v="11.859"/>
  </r>
  <r>
    <x v="0"/>
    <x v="23"/>
    <x v="0"/>
    <x v="1"/>
    <s v="DK2_Small"/>
    <x v="3"/>
    <n v="51.633543144067197"/>
    <n v="14.342650873352"/>
  </r>
  <r>
    <x v="0"/>
    <x v="23"/>
    <x v="0"/>
    <x v="1"/>
    <s v="DK2_Small"/>
    <x v="4"/>
    <n v="10.7598541839271"/>
    <n v="2.9888483844241902"/>
  </r>
  <r>
    <x v="0"/>
    <x v="23"/>
    <x v="0"/>
    <x v="1"/>
    <s v="DK2_Small"/>
    <x v="5"/>
    <n v="10.7598541839271"/>
    <n v="2.9888483844241902"/>
  </r>
  <r>
    <x v="0"/>
    <x v="23"/>
    <x v="0"/>
    <x v="1"/>
    <s v="DK2_Small"/>
    <x v="6"/>
    <n v="29.476231795214598"/>
    <n v="8.1878421653373898"/>
  </r>
  <r>
    <x v="0"/>
    <x v="23"/>
    <x v="0"/>
    <x v="1"/>
    <s v="DK2_Small"/>
    <x v="7"/>
    <n v="57.838935220261199"/>
    <n v="16.066370894517"/>
  </r>
  <r>
    <x v="0"/>
    <x v="23"/>
    <x v="0"/>
    <x v="1"/>
    <s v="DK2_Small"/>
    <x v="8"/>
    <n v="57.838935220261199"/>
    <n v="16.066370894517"/>
  </r>
  <r>
    <x v="0"/>
    <x v="23"/>
    <x v="0"/>
    <x v="1"/>
    <s v="DK2_Small"/>
    <x v="9"/>
    <n v="47.978366197183199"/>
    <n v="13.327323943662"/>
  </r>
  <r>
    <x v="0"/>
    <x v="23"/>
    <x v="0"/>
    <x v="1"/>
    <s v="DK2_Small"/>
    <x v="10"/>
    <n v="63.1479966859984"/>
    <n v="17.541110190555099"/>
  </r>
  <r>
    <x v="0"/>
    <x v="23"/>
    <x v="0"/>
    <x v="1"/>
    <s v="DK2_Small"/>
    <x v="11"/>
    <n v="5.9972957746478999"/>
    <n v="1.66591549295775"/>
  </r>
  <r>
    <x v="0"/>
    <x v="23"/>
    <x v="0"/>
    <x v="1"/>
    <s v="DK2_Small"/>
    <x v="12"/>
    <n v="9.7995028997514597E-2"/>
    <n v="2.72208413881985E-2"/>
  </r>
  <r>
    <x v="0"/>
    <x v="23"/>
    <x v="0"/>
    <x v="1"/>
    <s v="DK2_Small"/>
    <x v="13"/>
    <n v="26.987830985915501"/>
    <n v="7.4966197183098604"/>
  </r>
  <r>
    <x v="0"/>
    <x v="23"/>
    <x v="0"/>
    <x v="1"/>
    <s v="DK2_Small"/>
    <x v="14"/>
    <n v="26.987830985915501"/>
    <n v="7.4966197183098604"/>
  </r>
  <r>
    <x v="0"/>
    <x v="23"/>
    <x v="0"/>
    <x v="1"/>
    <s v="DK2_Small"/>
    <x v="15"/>
    <n v="1.65807589063794"/>
    <n v="0.46057663628831802"/>
  </r>
  <r>
    <x v="0"/>
    <x v="23"/>
    <x v="0"/>
    <x v="1"/>
    <s v="DK2_Small"/>
    <x v="16"/>
    <n v="6.6307647887493104"/>
    <n v="1.84187910798592"/>
  </r>
  <r>
    <x v="0"/>
    <x v="23"/>
    <x v="0"/>
    <x v="1"/>
    <s v="DK2_Small"/>
    <x v="17"/>
    <n v="9.1244895875632395"/>
    <n v="2.5345804409897901"/>
  </r>
  <r>
    <x v="0"/>
    <x v="23"/>
    <x v="0"/>
    <x v="1"/>
    <s v="DK2_Small"/>
    <x v="18"/>
    <n v="26.987830985915501"/>
    <n v="7.4966197183098604"/>
  </r>
  <r>
    <x v="0"/>
    <x v="23"/>
    <x v="0"/>
    <x v="1"/>
    <s v="DK2_Small"/>
    <x v="19"/>
    <n v="8.1139884009941898"/>
    <n v="2.2538856669428302"/>
  </r>
  <r>
    <x v="0"/>
    <x v="23"/>
    <x v="0"/>
    <x v="1"/>
    <s v="DK2_Small"/>
    <x v="20"/>
    <n v="21.7877183939536"/>
    <n v="6.0521439983204397"/>
  </r>
  <r>
    <x v="0"/>
    <x v="23"/>
    <x v="0"/>
    <x v="1"/>
    <s v="DK2_Small"/>
    <x v="21"/>
    <n v="48.24"/>
    <n v="13.4"/>
  </r>
  <r>
    <x v="0"/>
    <x v="23"/>
    <x v="0"/>
    <x v="1"/>
    <s v="DK2_Small"/>
    <x v="22"/>
    <n v="67.680000000000007"/>
    <n v="18.8"/>
  </r>
  <r>
    <x v="0"/>
    <x v="23"/>
    <x v="0"/>
    <x v="1"/>
    <s v="DK2_Small"/>
    <x v="23"/>
    <n v="0.31515896120488701"/>
    <n v="8.7544155890246306E-2"/>
  </r>
  <r>
    <x v="0"/>
    <x v="23"/>
    <x v="0"/>
    <x v="1"/>
    <s v="DK2_Small"/>
    <x v="24"/>
    <n v="19.174223581093901"/>
    <n v="5.32617321697054"/>
  </r>
  <r>
    <x v="0"/>
    <x v="23"/>
    <x v="0"/>
    <x v="1"/>
    <s v="DK2_Small"/>
    <x v="25"/>
    <n v="25.6652953012922"/>
    <n v="7.1292486948033904"/>
  </r>
  <r>
    <x v="0"/>
    <x v="23"/>
    <x v="0"/>
    <x v="1"/>
    <s v="DK2_Small"/>
    <x v="26"/>
    <n v="32.971098611263102"/>
    <n v="9.1586385031286301"/>
  </r>
  <r>
    <x v="0"/>
    <x v="23"/>
    <x v="0"/>
    <x v="1"/>
    <s v="DK2_Small"/>
    <x v="27"/>
    <n v="20.163995508318798"/>
    <n v="5.6011098634218799"/>
  </r>
  <r>
    <x v="0"/>
    <x v="23"/>
    <x v="1"/>
    <x v="2"/>
    <s v="EE_A"/>
    <x v="1"/>
    <n v="35.989199999999997"/>
    <n v="9.9969999999999999"/>
  </r>
  <r>
    <x v="0"/>
    <x v="23"/>
    <x v="1"/>
    <x v="2"/>
    <s v="EE_A"/>
    <x v="2"/>
    <n v="46.08"/>
    <n v="12.8"/>
  </r>
  <r>
    <x v="0"/>
    <x v="23"/>
    <x v="1"/>
    <x v="2"/>
    <s v="EE_A"/>
    <x v="0"/>
    <n v="42.692399999999999"/>
    <n v="11.859"/>
  </r>
  <r>
    <x v="0"/>
    <x v="23"/>
    <x v="1"/>
    <x v="2"/>
    <s v="EE_A"/>
    <x v="3"/>
    <n v="51.633543144067197"/>
    <n v="14.342650873352"/>
  </r>
  <r>
    <x v="0"/>
    <x v="23"/>
    <x v="1"/>
    <x v="2"/>
    <s v="EE_A"/>
    <x v="4"/>
    <n v="10.7598541839271"/>
    <n v="2.9888483844241902"/>
  </r>
  <r>
    <x v="0"/>
    <x v="23"/>
    <x v="1"/>
    <x v="2"/>
    <s v="EE_A"/>
    <x v="5"/>
    <n v="10.7598541839271"/>
    <n v="2.9888483844241902"/>
  </r>
  <r>
    <x v="0"/>
    <x v="23"/>
    <x v="1"/>
    <x v="2"/>
    <s v="EE_A"/>
    <x v="6"/>
    <n v="29.476231795214598"/>
    <n v="8.1878421653373898"/>
  </r>
  <r>
    <x v="0"/>
    <x v="23"/>
    <x v="1"/>
    <x v="2"/>
    <s v="EE_A"/>
    <x v="7"/>
    <n v="57.838935220261199"/>
    <n v="16.066370894517"/>
  </r>
  <r>
    <x v="0"/>
    <x v="23"/>
    <x v="1"/>
    <x v="2"/>
    <s v="EE_A"/>
    <x v="8"/>
    <n v="57.838935220261199"/>
    <n v="16.066370894517"/>
  </r>
  <r>
    <x v="0"/>
    <x v="23"/>
    <x v="1"/>
    <x v="2"/>
    <s v="EE_A"/>
    <x v="9"/>
    <n v="47.978366197183199"/>
    <n v="13.327323943662"/>
  </r>
  <r>
    <x v="0"/>
    <x v="23"/>
    <x v="1"/>
    <x v="2"/>
    <s v="EE_A"/>
    <x v="10"/>
    <n v="63.1479966859984"/>
    <n v="17.541110190555099"/>
  </r>
  <r>
    <x v="0"/>
    <x v="23"/>
    <x v="1"/>
    <x v="2"/>
    <s v="EE_A"/>
    <x v="11"/>
    <n v="5.9972957746478999"/>
    <n v="1.66591549295775"/>
  </r>
  <r>
    <x v="0"/>
    <x v="23"/>
    <x v="1"/>
    <x v="2"/>
    <s v="EE_A"/>
    <x v="12"/>
    <n v="9.7995028997514597E-2"/>
    <n v="2.72208413881985E-2"/>
  </r>
  <r>
    <x v="0"/>
    <x v="23"/>
    <x v="1"/>
    <x v="2"/>
    <s v="EE_A"/>
    <x v="13"/>
    <n v="26.987830985915501"/>
    <n v="7.4966197183098604"/>
  </r>
  <r>
    <x v="0"/>
    <x v="23"/>
    <x v="1"/>
    <x v="2"/>
    <s v="EE_A"/>
    <x v="14"/>
    <n v="26.987830985915501"/>
    <n v="7.4966197183098604"/>
  </r>
  <r>
    <x v="0"/>
    <x v="23"/>
    <x v="1"/>
    <x v="2"/>
    <s v="EE_A"/>
    <x v="15"/>
    <n v="1.65807589063794"/>
    <n v="0.46057663628831802"/>
  </r>
  <r>
    <x v="0"/>
    <x v="23"/>
    <x v="1"/>
    <x v="2"/>
    <s v="EE_A"/>
    <x v="16"/>
    <n v="6.6307647887493104"/>
    <n v="1.84187910798592"/>
  </r>
  <r>
    <x v="0"/>
    <x v="23"/>
    <x v="1"/>
    <x v="2"/>
    <s v="EE_A"/>
    <x v="17"/>
    <n v="9.1244895875632395"/>
    <n v="2.5345804409897901"/>
  </r>
  <r>
    <x v="0"/>
    <x v="23"/>
    <x v="1"/>
    <x v="2"/>
    <s v="EE_A"/>
    <x v="18"/>
    <n v="26.987830985915501"/>
    <n v="7.4966197183098604"/>
  </r>
  <r>
    <x v="0"/>
    <x v="23"/>
    <x v="1"/>
    <x v="2"/>
    <s v="EE_A"/>
    <x v="19"/>
    <n v="8.1139884009941898"/>
    <n v="2.2538856669428302"/>
  </r>
  <r>
    <x v="0"/>
    <x v="23"/>
    <x v="1"/>
    <x v="2"/>
    <s v="EE_A"/>
    <x v="20"/>
    <n v="21.7877183939536"/>
    <n v="6.0521439983204397"/>
  </r>
  <r>
    <x v="0"/>
    <x v="23"/>
    <x v="1"/>
    <x v="2"/>
    <s v="EE_A"/>
    <x v="21"/>
    <n v="48.24"/>
    <n v="13.4"/>
  </r>
  <r>
    <x v="0"/>
    <x v="23"/>
    <x v="1"/>
    <x v="2"/>
    <s v="EE_A"/>
    <x v="22"/>
    <n v="67.680000000000007"/>
    <n v="18.8"/>
  </r>
  <r>
    <x v="0"/>
    <x v="23"/>
    <x v="1"/>
    <x v="2"/>
    <s v="EE_A"/>
    <x v="23"/>
    <n v="0.31515896120488701"/>
    <n v="8.7544155890246306E-2"/>
  </r>
  <r>
    <x v="0"/>
    <x v="23"/>
    <x v="1"/>
    <x v="2"/>
    <s v="EE_A"/>
    <x v="24"/>
    <n v="19.174223581093901"/>
    <n v="5.32617321697054"/>
  </r>
  <r>
    <x v="0"/>
    <x v="23"/>
    <x v="1"/>
    <x v="2"/>
    <s v="EE_A"/>
    <x v="25"/>
    <n v="25.6652953012922"/>
    <n v="7.1292486948033904"/>
  </r>
  <r>
    <x v="0"/>
    <x v="23"/>
    <x v="1"/>
    <x v="2"/>
    <s v="EE_A"/>
    <x v="26"/>
    <n v="32.971098611263102"/>
    <n v="9.1586385031286301"/>
  </r>
  <r>
    <x v="0"/>
    <x v="23"/>
    <x v="1"/>
    <x v="2"/>
    <s v="EE_A"/>
    <x v="27"/>
    <n v="20.163995508318798"/>
    <n v="5.6011098634218799"/>
  </r>
  <r>
    <x v="0"/>
    <x v="23"/>
    <x v="1"/>
    <x v="2"/>
    <s v="EE_Enefit"/>
    <x v="1"/>
    <n v="35.989199999999997"/>
    <n v="9.9969999999999999"/>
  </r>
  <r>
    <x v="0"/>
    <x v="23"/>
    <x v="1"/>
    <x v="2"/>
    <s v="EE_Enefit"/>
    <x v="2"/>
    <n v="46.08"/>
    <n v="12.8"/>
  </r>
  <r>
    <x v="0"/>
    <x v="23"/>
    <x v="1"/>
    <x v="2"/>
    <s v="EE_Enefit"/>
    <x v="0"/>
    <n v="42.692399999999999"/>
    <n v="11.859"/>
  </r>
  <r>
    <x v="0"/>
    <x v="23"/>
    <x v="1"/>
    <x v="2"/>
    <s v="EE_Enefit"/>
    <x v="3"/>
    <n v="51.633543144067197"/>
    <n v="14.342650873352"/>
  </r>
  <r>
    <x v="0"/>
    <x v="23"/>
    <x v="1"/>
    <x v="2"/>
    <s v="EE_Enefit"/>
    <x v="4"/>
    <n v="10.7598541839271"/>
    <n v="2.9888483844241902"/>
  </r>
  <r>
    <x v="0"/>
    <x v="23"/>
    <x v="1"/>
    <x v="2"/>
    <s v="EE_Enefit"/>
    <x v="5"/>
    <n v="10.7598541839271"/>
    <n v="2.9888483844241902"/>
  </r>
  <r>
    <x v="0"/>
    <x v="23"/>
    <x v="1"/>
    <x v="2"/>
    <s v="EE_Enefit"/>
    <x v="6"/>
    <n v="29.476231795214598"/>
    <n v="8.1878421653373898"/>
  </r>
  <r>
    <x v="0"/>
    <x v="23"/>
    <x v="1"/>
    <x v="2"/>
    <s v="EE_Enefit"/>
    <x v="7"/>
    <n v="57.838935220261199"/>
    <n v="16.066370894517"/>
  </r>
  <r>
    <x v="0"/>
    <x v="23"/>
    <x v="1"/>
    <x v="2"/>
    <s v="EE_Enefit"/>
    <x v="8"/>
    <n v="57.838935220261199"/>
    <n v="16.066370894517"/>
  </r>
  <r>
    <x v="0"/>
    <x v="23"/>
    <x v="1"/>
    <x v="2"/>
    <s v="EE_Enefit"/>
    <x v="9"/>
    <n v="47.978366197183199"/>
    <n v="13.327323943662"/>
  </r>
  <r>
    <x v="0"/>
    <x v="23"/>
    <x v="1"/>
    <x v="2"/>
    <s v="EE_Enefit"/>
    <x v="10"/>
    <n v="63.1479966859984"/>
    <n v="17.541110190555099"/>
  </r>
  <r>
    <x v="0"/>
    <x v="23"/>
    <x v="1"/>
    <x v="2"/>
    <s v="EE_Enefit"/>
    <x v="11"/>
    <n v="5.9972957746478999"/>
    <n v="1.66591549295775"/>
  </r>
  <r>
    <x v="0"/>
    <x v="23"/>
    <x v="1"/>
    <x v="2"/>
    <s v="EE_Enefit"/>
    <x v="12"/>
    <n v="9.7995028997514597E-2"/>
    <n v="2.72208413881985E-2"/>
  </r>
  <r>
    <x v="0"/>
    <x v="23"/>
    <x v="1"/>
    <x v="2"/>
    <s v="EE_Enefit"/>
    <x v="13"/>
    <n v="26.987830985915501"/>
    <n v="7.4966197183098604"/>
  </r>
  <r>
    <x v="0"/>
    <x v="23"/>
    <x v="1"/>
    <x v="2"/>
    <s v="EE_Enefit"/>
    <x v="14"/>
    <n v="26.987830985915501"/>
    <n v="7.4966197183098604"/>
  </r>
  <r>
    <x v="0"/>
    <x v="23"/>
    <x v="1"/>
    <x v="2"/>
    <s v="EE_Enefit"/>
    <x v="15"/>
    <n v="1.65807589063794"/>
    <n v="0.46057663628831802"/>
  </r>
  <r>
    <x v="0"/>
    <x v="23"/>
    <x v="1"/>
    <x v="2"/>
    <s v="EE_Enefit"/>
    <x v="16"/>
    <n v="6.6307647887493104"/>
    <n v="1.84187910798592"/>
  </r>
  <r>
    <x v="0"/>
    <x v="23"/>
    <x v="1"/>
    <x v="2"/>
    <s v="EE_Enefit"/>
    <x v="17"/>
    <n v="9.1244895875632395"/>
    <n v="2.5345804409897901"/>
  </r>
  <r>
    <x v="0"/>
    <x v="23"/>
    <x v="1"/>
    <x v="2"/>
    <s v="EE_Enefit"/>
    <x v="18"/>
    <n v="26.987830985915501"/>
    <n v="7.4966197183098604"/>
  </r>
  <r>
    <x v="0"/>
    <x v="23"/>
    <x v="1"/>
    <x v="2"/>
    <s v="EE_Enefit"/>
    <x v="19"/>
    <n v="8.1139884009941898"/>
    <n v="2.2538856669428302"/>
  </r>
  <r>
    <x v="0"/>
    <x v="23"/>
    <x v="1"/>
    <x v="2"/>
    <s v="EE_Enefit"/>
    <x v="20"/>
    <n v="21.7877183939536"/>
    <n v="6.0521439983204397"/>
  </r>
  <r>
    <x v="0"/>
    <x v="23"/>
    <x v="1"/>
    <x v="2"/>
    <s v="EE_Enefit"/>
    <x v="21"/>
    <n v="48.24"/>
    <n v="13.4"/>
  </r>
  <r>
    <x v="0"/>
    <x v="23"/>
    <x v="1"/>
    <x v="2"/>
    <s v="EE_Enefit"/>
    <x v="22"/>
    <n v="67.680000000000007"/>
    <n v="18.8"/>
  </r>
  <r>
    <x v="0"/>
    <x v="23"/>
    <x v="1"/>
    <x v="2"/>
    <s v="EE_Enefit"/>
    <x v="23"/>
    <n v="0.31515896120488701"/>
    <n v="8.7544155890246306E-2"/>
  </r>
  <r>
    <x v="0"/>
    <x v="23"/>
    <x v="1"/>
    <x v="2"/>
    <s v="EE_Enefit"/>
    <x v="24"/>
    <n v="19.174223581093901"/>
    <n v="5.32617321697054"/>
  </r>
  <r>
    <x v="0"/>
    <x v="23"/>
    <x v="1"/>
    <x v="2"/>
    <s v="EE_Enefit"/>
    <x v="25"/>
    <n v="25.6652953012922"/>
    <n v="7.1292486948033904"/>
  </r>
  <r>
    <x v="0"/>
    <x v="23"/>
    <x v="1"/>
    <x v="2"/>
    <s v="EE_Enefit"/>
    <x v="26"/>
    <n v="32.971098611263102"/>
    <n v="9.1586385031286301"/>
  </r>
  <r>
    <x v="0"/>
    <x v="23"/>
    <x v="1"/>
    <x v="2"/>
    <s v="EE_Enefit"/>
    <x v="27"/>
    <n v="20.163995508318798"/>
    <n v="5.6011098634218799"/>
  </r>
  <r>
    <x v="0"/>
    <x v="23"/>
    <x v="1"/>
    <x v="2"/>
    <s v="EE_Industry"/>
    <x v="1"/>
    <n v="35.989199999999997"/>
    <n v="9.9969999999999999"/>
  </r>
  <r>
    <x v="0"/>
    <x v="23"/>
    <x v="1"/>
    <x v="2"/>
    <s v="EE_Industry"/>
    <x v="2"/>
    <n v="46.08"/>
    <n v="12.8"/>
  </r>
  <r>
    <x v="0"/>
    <x v="23"/>
    <x v="1"/>
    <x v="2"/>
    <s v="EE_Industry"/>
    <x v="0"/>
    <n v="42.692399999999999"/>
    <n v="11.859"/>
  </r>
  <r>
    <x v="0"/>
    <x v="23"/>
    <x v="1"/>
    <x v="2"/>
    <s v="EE_Industry"/>
    <x v="3"/>
    <n v="51.633543144067197"/>
    <n v="14.342650873352"/>
  </r>
  <r>
    <x v="0"/>
    <x v="23"/>
    <x v="1"/>
    <x v="2"/>
    <s v="EE_Industry"/>
    <x v="4"/>
    <n v="10.7598541839271"/>
    <n v="2.9888483844241902"/>
  </r>
  <r>
    <x v="0"/>
    <x v="23"/>
    <x v="1"/>
    <x v="2"/>
    <s v="EE_Industry"/>
    <x v="5"/>
    <n v="10.7598541839271"/>
    <n v="2.9888483844241902"/>
  </r>
  <r>
    <x v="0"/>
    <x v="23"/>
    <x v="1"/>
    <x v="2"/>
    <s v="EE_Industry"/>
    <x v="6"/>
    <n v="29.476231795214598"/>
    <n v="8.1878421653373898"/>
  </r>
  <r>
    <x v="0"/>
    <x v="23"/>
    <x v="1"/>
    <x v="2"/>
    <s v="EE_Industry"/>
    <x v="7"/>
    <n v="57.838935220261199"/>
    <n v="16.066370894517"/>
  </r>
  <r>
    <x v="0"/>
    <x v="23"/>
    <x v="1"/>
    <x v="2"/>
    <s v="EE_Industry"/>
    <x v="8"/>
    <n v="57.838935220261199"/>
    <n v="16.066370894517"/>
  </r>
  <r>
    <x v="0"/>
    <x v="23"/>
    <x v="1"/>
    <x v="2"/>
    <s v="EE_Industry"/>
    <x v="9"/>
    <n v="47.978366197183199"/>
    <n v="13.327323943662"/>
  </r>
  <r>
    <x v="0"/>
    <x v="23"/>
    <x v="1"/>
    <x v="2"/>
    <s v="EE_Industry"/>
    <x v="10"/>
    <n v="63.1479966859984"/>
    <n v="17.541110190555099"/>
  </r>
  <r>
    <x v="0"/>
    <x v="23"/>
    <x v="1"/>
    <x v="2"/>
    <s v="EE_Industry"/>
    <x v="11"/>
    <n v="5.9972957746478999"/>
    <n v="1.66591549295775"/>
  </r>
  <r>
    <x v="0"/>
    <x v="23"/>
    <x v="1"/>
    <x v="2"/>
    <s v="EE_Industry"/>
    <x v="12"/>
    <n v="9.7995028997514597E-2"/>
    <n v="2.72208413881985E-2"/>
  </r>
  <r>
    <x v="0"/>
    <x v="23"/>
    <x v="1"/>
    <x v="2"/>
    <s v="EE_Industry"/>
    <x v="13"/>
    <n v="26.987830985915501"/>
    <n v="7.4966197183098604"/>
  </r>
  <r>
    <x v="0"/>
    <x v="23"/>
    <x v="1"/>
    <x v="2"/>
    <s v="EE_Industry"/>
    <x v="14"/>
    <n v="26.987830985915501"/>
    <n v="7.4966197183098604"/>
  </r>
  <r>
    <x v="0"/>
    <x v="23"/>
    <x v="1"/>
    <x v="2"/>
    <s v="EE_Industry"/>
    <x v="15"/>
    <n v="1.65807589063794"/>
    <n v="0.46057663628831802"/>
  </r>
  <r>
    <x v="0"/>
    <x v="23"/>
    <x v="1"/>
    <x v="2"/>
    <s v="EE_Industry"/>
    <x v="16"/>
    <n v="6.6307647887493104"/>
    <n v="1.84187910798592"/>
  </r>
  <r>
    <x v="0"/>
    <x v="23"/>
    <x v="1"/>
    <x v="2"/>
    <s v="EE_Industry"/>
    <x v="17"/>
    <n v="9.1244895875632395"/>
    <n v="2.5345804409897901"/>
  </r>
  <r>
    <x v="0"/>
    <x v="23"/>
    <x v="1"/>
    <x v="2"/>
    <s v="EE_Industry"/>
    <x v="18"/>
    <n v="26.987830985915501"/>
    <n v="7.4966197183098604"/>
  </r>
  <r>
    <x v="0"/>
    <x v="23"/>
    <x v="1"/>
    <x v="2"/>
    <s v="EE_Industry"/>
    <x v="19"/>
    <n v="8.1139884009941898"/>
    <n v="2.2538856669428302"/>
  </r>
  <r>
    <x v="0"/>
    <x v="23"/>
    <x v="1"/>
    <x v="2"/>
    <s v="EE_Industry"/>
    <x v="20"/>
    <n v="21.7877183939536"/>
    <n v="6.0521439983204397"/>
  </r>
  <r>
    <x v="0"/>
    <x v="23"/>
    <x v="1"/>
    <x v="2"/>
    <s v="EE_Industry"/>
    <x v="21"/>
    <n v="48.24"/>
    <n v="13.4"/>
  </r>
  <r>
    <x v="0"/>
    <x v="23"/>
    <x v="1"/>
    <x v="2"/>
    <s v="EE_Industry"/>
    <x v="22"/>
    <n v="67.680000000000007"/>
    <n v="18.8"/>
  </r>
  <r>
    <x v="0"/>
    <x v="23"/>
    <x v="1"/>
    <x v="2"/>
    <s v="EE_Industry"/>
    <x v="23"/>
    <n v="0.31515896120488701"/>
    <n v="8.7544155890246306E-2"/>
  </r>
  <r>
    <x v="0"/>
    <x v="23"/>
    <x v="1"/>
    <x v="2"/>
    <s v="EE_Industry"/>
    <x v="24"/>
    <n v="19.174223581093901"/>
    <n v="5.32617321697054"/>
  </r>
  <r>
    <x v="0"/>
    <x v="23"/>
    <x v="1"/>
    <x v="2"/>
    <s v="EE_Industry"/>
    <x v="25"/>
    <n v="25.6652953012922"/>
    <n v="7.1292486948033904"/>
  </r>
  <r>
    <x v="0"/>
    <x v="23"/>
    <x v="1"/>
    <x v="2"/>
    <s v="EE_Industry"/>
    <x v="26"/>
    <n v="32.971098611263102"/>
    <n v="9.1586385031286301"/>
  </r>
  <r>
    <x v="0"/>
    <x v="23"/>
    <x v="1"/>
    <x v="2"/>
    <s v="EE_Industry"/>
    <x v="27"/>
    <n v="20.163995508318798"/>
    <n v="5.6011098634218799"/>
  </r>
  <r>
    <x v="0"/>
    <x v="23"/>
    <x v="1"/>
    <x v="2"/>
    <s v="EE_Kohtla_Jarve"/>
    <x v="1"/>
    <n v="35.989199999999997"/>
    <n v="9.9969999999999999"/>
  </r>
  <r>
    <x v="0"/>
    <x v="23"/>
    <x v="1"/>
    <x v="2"/>
    <s v="EE_Kohtla_Jarve"/>
    <x v="2"/>
    <n v="46.08"/>
    <n v="12.8"/>
  </r>
  <r>
    <x v="0"/>
    <x v="23"/>
    <x v="1"/>
    <x v="2"/>
    <s v="EE_Kohtla_Jarve"/>
    <x v="0"/>
    <n v="42.692399999999999"/>
    <n v="11.859"/>
  </r>
  <r>
    <x v="0"/>
    <x v="23"/>
    <x v="1"/>
    <x v="2"/>
    <s v="EE_Kohtla_Jarve"/>
    <x v="3"/>
    <n v="51.633543144067197"/>
    <n v="14.342650873352"/>
  </r>
  <r>
    <x v="0"/>
    <x v="23"/>
    <x v="1"/>
    <x v="2"/>
    <s v="EE_Kohtla_Jarve"/>
    <x v="4"/>
    <n v="10.7598541839271"/>
    <n v="2.9888483844241902"/>
  </r>
  <r>
    <x v="0"/>
    <x v="23"/>
    <x v="1"/>
    <x v="2"/>
    <s v="EE_Kohtla_Jarve"/>
    <x v="5"/>
    <n v="10.7598541839271"/>
    <n v="2.9888483844241902"/>
  </r>
  <r>
    <x v="0"/>
    <x v="23"/>
    <x v="1"/>
    <x v="2"/>
    <s v="EE_Kohtla_Jarve"/>
    <x v="6"/>
    <n v="29.476231795214598"/>
    <n v="8.1878421653373898"/>
  </r>
  <r>
    <x v="0"/>
    <x v="23"/>
    <x v="1"/>
    <x v="2"/>
    <s v="EE_Kohtla_Jarve"/>
    <x v="7"/>
    <n v="57.838935220261199"/>
    <n v="16.066370894517"/>
  </r>
  <r>
    <x v="0"/>
    <x v="23"/>
    <x v="1"/>
    <x v="2"/>
    <s v="EE_Kohtla_Jarve"/>
    <x v="8"/>
    <n v="57.838935220261199"/>
    <n v="16.066370894517"/>
  </r>
  <r>
    <x v="0"/>
    <x v="23"/>
    <x v="1"/>
    <x v="2"/>
    <s v="EE_Kohtla_Jarve"/>
    <x v="9"/>
    <n v="47.978366197183199"/>
    <n v="13.327323943662"/>
  </r>
  <r>
    <x v="0"/>
    <x v="23"/>
    <x v="1"/>
    <x v="2"/>
    <s v="EE_Kohtla_Jarve"/>
    <x v="10"/>
    <n v="63.1479966859984"/>
    <n v="17.541110190555099"/>
  </r>
  <r>
    <x v="0"/>
    <x v="23"/>
    <x v="1"/>
    <x v="2"/>
    <s v="EE_Kohtla_Jarve"/>
    <x v="11"/>
    <n v="5.9972957746478999"/>
    <n v="1.66591549295775"/>
  </r>
  <r>
    <x v="0"/>
    <x v="23"/>
    <x v="1"/>
    <x v="2"/>
    <s v="EE_Kohtla_Jarve"/>
    <x v="12"/>
    <n v="9.7995028997514597E-2"/>
    <n v="2.72208413881985E-2"/>
  </r>
  <r>
    <x v="0"/>
    <x v="23"/>
    <x v="1"/>
    <x v="2"/>
    <s v="EE_Kohtla_Jarve"/>
    <x v="13"/>
    <n v="26.987830985915501"/>
    <n v="7.4966197183098604"/>
  </r>
  <r>
    <x v="0"/>
    <x v="23"/>
    <x v="1"/>
    <x v="2"/>
    <s v="EE_Kohtla_Jarve"/>
    <x v="14"/>
    <n v="26.987830985915501"/>
    <n v="7.4966197183098604"/>
  </r>
  <r>
    <x v="0"/>
    <x v="23"/>
    <x v="1"/>
    <x v="2"/>
    <s v="EE_Kohtla_Jarve"/>
    <x v="15"/>
    <n v="1.65807589063794"/>
    <n v="0.46057663628831802"/>
  </r>
  <r>
    <x v="0"/>
    <x v="23"/>
    <x v="1"/>
    <x v="2"/>
    <s v="EE_Kohtla_Jarve"/>
    <x v="16"/>
    <n v="6.6307647887493104"/>
    <n v="1.84187910798592"/>
  </r>
  <r>
    <x v="0"/>
    <x v="23"/>
    <x v="1"/>
    <x v="2"/>
    <s v="EE_Kohtla_Jarve"/>
    <x v="17"/>
    <n v="9.1244895875632395"/>
    <n v="2.5345804409897901"/>
  </r>
  <r>
    <x v="0"/>
    <x v="23"/>
    <x v="1"/>
    <x v="2"/>
    <s v="EE_Kohtla_Jarve"/>
    <x v="18"/>
    <n v="26.987830985915501"/>
    <n v="7.4966197183098604"/>
  </r>
  <r>
    <x v="0"/>
    <x v="23"/>
    <x v="1"/>
    <x v="2"/>
    <s v="EE_Kohtla_Jarve"/>
    <x v="19"/>
    <n v="8.1139884009941898"/>
    <n v="2.2538856669428302"/>
  </r>
  <r>
    <x v="0"/>
    <x v="23"/>
    <x v="1"/>
    <x v="2"/>
    <s v="EE_Kohtla_Jarve"/>
    <x v="20"/>
    <n v="21.7877183939536"/>
    <n v="6.0521439983204397"/>
  </r>
  <r>
    <x v="0"/>
    <x v="23"/>
    <x v="1"/>
    <x v="2"/>
    <s v="EE_Kohtla_Jarve"/>
    <x v="21"/>
    <n v="48.24"/>
    <n v="13.4"/>
  </r>
  <r>
    <x v="0"/>
    <x v="23"/>
    <x v="1"/>
    <x v="2"/>
    <s v="EE_Kohtla_Jarve"/>
    <x v="22"/>
    <n v="67.680000000000007"/>
    <n v="18.8"/>
  </r>
  <r>
    <x v="0"/>
    <x v="23"/>
    <x v="1"/>
    <x v="2"/>
    <s v="EE_Kohtla_Jarve"/>
    <x v="23"/>
    <n v="0.31515896120488701"/>
    <n v="8.7544155890246306E-2"/>
  </r>
  <r>
    <x v="0"/>
    <x v="23"/>
    <x v="1"/>
    <x v="2"/>
    <s v="EE_Kohtla_Jarve"/>
    <x v="24"/>
    <n v="19.174223581093901"/>
    <n v="5.32617321697054"/>
  </r>
  <r>
    <x v="0"/>
    <x v="23"/>
    <x v="1"/>
    <x v="2"/>
    <s v="EE_Kohtla_Jarve"/>
    <x v="25"/>
    <n v="25.6652953012922"/>
    <n v="7.1292486948033904"/>
  </r>
  <r>
    <x v="0"/>
    <x v="23"/>
    <x v="1"/>
    <x v="2"/>
    <s v="EE_Kohtla_Jarve"/>
    <x v="26"/>
    <n v="32.971098611263102"/>
    <n v="9.1586385031286301"/>
  </r>
  <r>
    <x v="0"/>
    <x v="23"/>
    <x v="1"/>
    <x v="2"/>
    <s v="EE_Kohtla_Jarve"/>
    <x v="27"/>
    <n v="20.163995508318798"/>
    <n v="5.6011098634218799"/>
  </r>
  <r>
    <x v="0"/>
    <x v="23"/>
    <x v="1"/>
    <x v="2"/>
    <s v="EE_Narva"/>
    <x v="1"/>
    <n v="35.989199999999997"/>
    <n v="9.9969999999999999"/>
  </r>
  <r>
    <x v="0"/>
    <x v="23"/>
    <x v="1"/>
    <x v="2"/>
    <s v="EE_Narva"/>
    <x v="2"/>
    <n v="46.08"/>
    <n v="12.8"/>
  </r>
  <r>
    <x v="0"/>
    <x v="23"/>
    <x v="1"/>
    <x v="2"/>
    <s v="EE_Narva"/>
    <x v="0"/>
    <n v="42.692399999999999"/>
    <n v="11.859"/>
  </r>
  <r>
    <x v="0"/>
    <x v="23"/>
    <x v="1"/>
    <x v="2"/>
    <s v="EE_Narva"/>
    <x v="3"/>
    <n v="51.633543144067197"/>
    <n v="14.342650873352"/>
  </r>
  <r>
    <x v="0"/>
    <x v="23"/>
    <x v="1"/>
    <x v="2"/>
    <s v="EE_Narva"/>
    <x v="4"/>
    <n v="10.7598541839271"/>
    <n v="2.9888483844241902"/>
  </r>
  <r>
    <x v="0"/>
    <x v="23"/>
    <x v="1"/>
    <x v="2"/>
    <s v="EE_Narva"/>
    <x v="5"/>
    <n v="10.7598541839271"/>
    <n v="2.9888483844241902"/>
  </r>
  <r>
    <x v="0"/>
    <x v="23"/>
    <x v="1"/>
    <x v="2"/>
    <s v="EE_Narva"/>
    <x v="6"/>
    <n v="29.476231795214598"/>
    <n v="8.1878421653373898"/>
  </r>
  <r>
    <x v="0"/>
    <x v="23"/>
    <x v="1"/>
    <x v="2"/>
    <s v="EE_Narva"/>
    <x v="7"/>
    <n v="57.838935220261199"/>
    <n v="16.066370894517"/>
  </r>
  <r>
    <x v="0"/>
    <x v="23"/>
    <x v="1"/>
    <x v="2"/>
    <s v="EE_Narva"/>
    <x v="8"/>
    <n v="57.838935220261199"/>
    <n v="16.066370894517"/>
  </r>
  <r>
    <x v="0"/>
    <x v="23"/>
    <x v="1"/>
    <x v="2"/>
    <s v="EE_Narva"/>
    <x v="9"/>
    <n v="47.978366197183199"/>
    <n v="13.327323943662"/>
  </r>
  <r>
    <x v="0"/>
    <x v="23"/>
    <x v="1"/>
    <x v="2"/>
    <s v="EE_Narva"/>
    <x v="10"/>
    <n v="63.1479966859984"/>
    <n v="17.541110190555099"/>
  </r>
  <r>
    <x v="0"/>
    <x v="23"/>
    <x v="1"/>
    <x v="2"/>
    <s v="EE_Narva"/>
    <x v="11"/>
    <n v="5.9972957746478999"/>
    <n v="1.66591549295775"/>
  </r>
  <r>
    <x v="0"/>
    <x v="23"/>
    <x v="1"/>
    <x v="2"/>
    <s v="EE_Narva"/>
    <x v="12"/>
    <n v="9.7995028997514597E-2"/>
    <n v="2.72208413881985E-2"/>
  </r>
  <r>
    <x v="0"/>
    <x v="23"/>
    <x v="1"/>
    <x v="2"/>
    <s v="EE_Narva"/>
    <x v="13"/>
    <n v="26.987830985915501"/>
    <n v="7.4966197183098604"/>
  </r>
  <r>
    <x v="0"/>
    <x v="23"/>
    <x v="1"/>
    <x v="2"/>
    <s v="EE_Narva"/>
    <x v="14"/>
    <n v="26.987830985915501"/>
    <n v="7.4966197183098604"/>
  </r>
  <r>
    <x v="0"/>
    <x v="23"/>
    <x v="1"/>
    <x v="2"/>
    <s v="EE_Narva"/>
    <x v="15"/>
    <n v="1.65807589063794"/>
    <n v="0.46057663628831802"/>
  </r>
  <r>
    <x v="0"/>
    <x v="23"/>
    <x v="1"/>
    <x v="2"/>
    <s v="EE_Narva"/>
    <x v="16"/>
    <n v="6.6307647887493104"/>
    <n v="1.84187910798592"/>
  </r>
  <r>
    <x v="0"/>
    <x v="23"/>
    <x v="1"/>
    <x v="2"/>
    <s v="EE_Narva"/>
    <x v="17"/>
    <n v="9.1244895875632395"/>
    <n v="2.5345804409897901"/>
  </r>
  <r>
    <x v="0"/>
    <x v="23"/>
    <x v="1"/>
    <x v="2"/>
    <s v="EE_Narva"/>
    <x v="18"/>
    <n v="26.987830985915501"/>
    <n v="7.4966197183098604"/>
  </r>
  <r>
    <x v="0"/>
    <x v="23"/>
    <x v="1"/>
    <x v="2"/>
    <s v="EE_Narva"/>
    <x v="19"/>
    <n v="8.1139884009941898"/>
    <n v="2.2538856669428302"/>
  </r>
  <r>
    <x v="0"/>
    <x v="23"/>
    <x v="1"/>
    <x v="2"/>
    <s v="EE_Narva"/>
    <x v="20"/>
    <n v="21.7877183939536"/>
    <n v="6.0521439983204397"/>
  </r>
  <r>
    <x v="0"/>
    <x v="23"/>
    <x v="1"/>
    <x v="2"/>
    <s v="EE_Narva"/>
    <x v="21"/>
    <n v="48.24"/>
    <n v="13.4"/>
  </r>
  <r>
    <x v="0"/>
    <x v="23"/>
    <x v="1"/>
    <x v="2"/>
    <s v="EE_Narva"/>
    <x v="22"/>
    <n v="67.680000000000007"/>
    <n v="18.8"/>
  </r>
  <r>
    <x v="0"/>
    <x v="23"/>
    <x v="1"/>
    <x v="2"/>
    <s v="EE_Narva"/>
    <x v="23"/>
    <n v="0.31515896120488701"/>
    <n v="8.7544155890246306E-2"/>
  </r>
  <r>
    <x v="0"/>
    <x v="23"/>
    <x v="1"/>
    <x v="2"/>
    <s v="EE_Narva"/>
    <x v="24"/>
    <n v="19.174223581093901"/>
    <n v="5.32617321697054"/>
  </r>
  <r>
    <x v="0"/>
    <x v="23"/>
    <x v="1"/>
    <x v="2"/>
    <s v="EE_Narva"/>
    <x v="25"/>
    <n v="25.6652953012922"/>
    <n v="7.1292486948033904"/>
  </r>
  <r>
    <x v="0"/>
    <x v="23"/>
    <x v="1"/>
    <x v="2"/>
    <s v="EE_Narva"/>
    <x v="26"/>
    <n v="32.971098611263102"/>
    <n v="9.1586385031286301"/>
  </r>
  <r>
    <x v="0"/>
    <x v="23"/>
    <x v="1"/>
    <x v="2"/>
    <s v="EE_Narva"/>
    <x v="27"/>
    <n v="20.163995508318798"/>
    <n v="5.6011098634218799"/>
  </r>
  <r>
    <x v="0"/>
    <x v="23"/>
    <x v="1"/>
    <x v="2"/>
    <s v="EE_OFFSHORE"/>
    <x v="1"/>
    <n v="35.989199999999997"/>
    <n v="9.9969999999999999"/>
  </r>
  <r>
    <x v="0"/>
    <x v="23"/>
    <x v="1"/>
    <x v="2"/>
    <s v="EE_OFFSHORE"/>
    <x v="2"/>
    <n v="46.08"/>
    <n v="12.8"/>
  </r>
  <r>
    <x v="0"/>
    <x v="23"/>
    <x v="1"/>
    <x v="2"/>
    <s v="EE_OFFSHORE"/>
    <x v="0"/>
    <n v="42.692399999999999"/>
    <n v="11.859"/>
  </r>
  <r>
    <x v="0"/>
    <x v="23"/>
    <x v="1"/>
    <x v="2"/>
    <s v="EE_OFFSHORE"/>
    <x v="3"/>
    <n v="51.633543144067197"/>
    <n v="14.342650873352"/>
  </r>
  <r>
    <x v="0"/>
    <x v="23"/>
    <x v="1"/>
    <x v="2"/>
    <s v="EE_OFFSHORE"/>
    <x v="4"/>
    <n v="10.7598541839271"/>
    <n v="2.9888483844241902"/>
  </r>
  <r>
    <x v="0"/>
    <x v="23"/>
    <x v="1"/>
    <x v="2"/>
    <s v="EE_OFFSHORE"/>
    <x v="5"/>
    <n v="10.7598541839271"/>
    <n v="2.9888483844241902"/>
  </r>
  <r>
    <x v="0"/>
    <x v="23"/>
    <x v="1"/>
    <x v="2"/>
    <s v="EE_OFFSHORE"/>
    <x v="6"/>
    <n v="29.476231795214598"/>
    <n v="8.1878421653373898"/>
  </r>
  <r>
    <x v="0"/>
    <x v="23"/>
    <x v="1"/>
    <x v="2"/>
    <s v="EE_OFFSHORE"/>
    <x v="7"/>
    <n v="57.838935220261199"/>
    <n v="16.066370894517"/>
  </r>
  <r>
    <x v="0"/>
    <x v="23"/>
    <x v="1"/>
    <x v="2"/>
    <s v="EE_OFFSHORE"/>
    <x v="8"/>
    <n v="57.838935220261199"/>
    <n v="16.066370894517"/>
  </r>
  <r>
    <x v="0"/>
    <x v="23"/>
    <x v="1"/>
    <x v="2"/>
    <s v="EE_OFFSHORE"/>
    <x v="9"/>
    <n v="47.978366197183199"/>
    <n v="13.327323943662"/>
  </r>
  <r>
    <x v="0"/>
    <x v="23"/>
    <x v="1"/>
    <x v="2"/>
    <s v="EE_OFFSHORE"/>
    <x v="10"/>
    <n v="63.1479966859984"/>
    <n v="17.541110190555099"/>
  </r>
  <r>
    <x v="0"/>
    <x v="23"/>
    <x v="1"/>
    <x v="2"/>
    <s v="EE_OFFSHORE"/>
    <x v="11"/>
    <n v="5.9972957746478999"/>
    <n v="1.66591549295775"/>
  </r>
  <r>
    <x v="0"/>
    <x v="23"/>
    <x v="1"/>
    <x v="2"/>
    <s v="EE_OFFSHORE"/>
    <x v="12"/>
    <n v="9.7995028997514597E-2"/>
    <n v="2.72208413881985E-2"/>
  </r>
  <r>
    <x v="0"/>
    <x v="23"/>
    <x v="1"/>
    <x v="2"/>
    <s v="EE_OFFSHORE"/>
    <x v="13"/>
    <n v="26.987830985915501"/>
    <n v="7.4966197183098604"/>
  </r>
  <r>
    <x v="0"/>
    <x v="23"/>
    <x v="1"/>
    <x v="2"/>
    <s v="EE_OFFSHORE"/>
    <x v="14"/>
    <n v="26.987830985915501"/>
    <n v="7.4966197183098604"/>
  </r>
  <r>
    <x v="0"/>
    <x v="23"/>
    <x v="1"/>
    <x v="2"/>
    <s v="EE_OFFSHORE"/>
    <x v="15"/>
    <n v="1.65807589063794"/>
    <n v="0.46057663628831802"/>
  </r>
  <r>
    <x v="0"/>
    <x v="23"/>
    <x v="1"/>
    <x v="2"/>
    <s v="EE_OFFSHORE"/>
    <x v="16"/>
    <n v="6.6307647887493104"/>
    <n v="1.84187910798592"/>
  </r>
  <r>
    <x v="0"/>
    <x v="23"/>
    <x v="1"/>
    <x v="2"/>
    <s v="EE_OFFSHORE"/>
    <x v="17"/>
    <n v="9.1244895875632395"/>
    <n v="2.5345804409897901"/>
  </r>
  <r>
    <x v="0"/>
    <x v="23"/>
    <x v="1"/>
    <x v="2"/>
    <s v="EE_OFFSHORE"/>
    <x v="18"/>
    <n v="26.987830985915501"/>
    <n v="7.4966197183098604"/>
  </r>
  <r>
    <x v="0"/>
    <x v="23"/>
    <x v="1"/>
    <x v="2"/>
    <s v="EE_OFFSHORE"/>
    <x v="19"/>
    <n v="8.1139884009941898"/>
    <n v="2.2538856669428302"/>
  </r>
  <r>
    <x v="0"/>
    <x v="23"/>
    <x v="1"/>
    <x v="2"/>
    <s v="EE_OFFSHORE"/>
    <x v="20"/>
    <n v="21.7877183939536"/>
    <n v="6.0521439983204397"/>
  </r>
  <r>
    <x v="0"/>
    <x v="23"/>
    <x v="1"/>
    <x v="2"/>
    <s v="EE_OFFSHORE"/>
    <x v="21"/>
    <n v="48.24"/>
    <n v="13.4"/>
  </r>
  <r>
    <x v="0"/>
    <x v="23"/>
    <x v="1"/>
    <x v="2"/>
    <s v="EE_OFFSHORE"/>
    <x v="22"/>
    <n v="67.680000000000007"/>
    <n v="18.8"/>
  </r>
  <r>
    <x v="0"/>
    <x v="23"/>
    <x v="1"/>
    <x v="2"/>
    <s v="EE_OFFSHORE"/>
    <x v="23"/>
    <n v="0.31515896120488701"/>
    <n v="8.7544155890246306E-2"/>
  </r>
  <r>
    <x v="0"/>
    <x v="23"/>
    <x v="1"/>
    <x v="2"/>
    <s v="EE_OFFSHORE"/>
    <x v="24"/>
    <n v="19.174223581093901"/>
    <n v="5.32617321697054"/>
  </r>
  <r>
    <x v="0"/>
    <x v="23"/>
    <x v="1"/>
    <x v="2"/>
    <s v="EE_OFFSHORE"/>
    <x v="25"/>
    <n v="25.6652953012922"/>
    <n v="7.1292486948033904"/>
  </r>
  <r>
    <x v="0"/>
    <x v="23"/>
    <x v="1"/>
    <x v="2"/>
    <s v="EE_OFFSHORE"/>
    <x v="26"/>
    <n v="32.971098611263102"/>
    <n v="9.1586385031286301"/>
  </r>
  <r>
    <x v="0"/>
    <x v="23"/>
    <x v="1"/>
    <x v="2"/>
    <s v="EE_OFFSHORE"/>
    <x v="27"/>
    <n v="20.163995508318798"/>
    <n v="5.6011098634218799"/>
  </r>
  <r>
    <x v="0"/>
    <x v="23"/>
    <x v="1"/>
    <x v="2"/>
    <s v="EE_Parnu"/>
    <x v="1"/>
    <n v="35.989199999999997"/>
    <n v="9.9969999999999999"/>
  </r>
  <r>
    <x v="0"/>
    <x v="23"/>
    <x v="1"/>
    <x v="2"/>
    <s v="EE_Parnu"/>
    <x v="2"/>
    <n v="46.08"/>
    <n v="12.8"/>
  </r>
  <r>
    <x v="0"/>
    <x v="23"/>
    <x v="1"/>
    <x v="2"/>
    <s v="EE_Parnu"/>
    <x v="0"/>
    <n v="42.692399999999999"/>
    <n v="11.859"/>
  </r>
  <r>
    <x v="0"/>
    <x v="23"/>
    <x v="1"/>
    <x v="2"/>
    <s v="EE_Parnu"/>
    <x v="3"/>
    <n v="51.633543144067197"/>
    <n v="14.342650873352"/>
  </r>
  <r>
    <x v="0"/>
    <x v="23"/>
    <x v="1"/>
    <x v="2"/>
    <s v="EE_Parnu"/>
    <x v="4"/>
    <n v="10.7598541839271"/>
    <n v="2.9888483844241902"/>
  </r>
  <r>
    <x v="0"/>
    <x v="23"/>
    <x v="1"/>
    <x v="2"/>
    <s v="EE_Parnu"/>
    <x v="5"/>
    <n v="10.7598541839271"/>
    <n v="2.9888483844241902"/>
  </r>
  <r>
    <x v="0"/>
    <x v="23"/>
    <x v="1"/>
    <x v="2"/>
    <s v="EE_Parnu"/>
    <x v="6"/>
    <n v="29.476231795214598"/>
    <n v="8.1878421653373898"/>
  </r>
  <r>
    <x v="0"/>
    <x v="23"/>
    <x v="1"/>
    <x v="2"/>
    <s v="EE_Parnu"/>
    <x v="7"/>
    <n v="57.838935220261199"/>
    <n v="16.066370894517"/>
  </r>
  <r>
    <x v="0"/>
    <x v="23"/>
    <x v="1"/>
    <x v="2"/>
    <s v="EE_Parnu"/>
    <x v="8"/>
    <n v="57.838935220261199"/>
    <n v="16.066370894517"/>
  </r>
  <r>
    <x v="0"/>
    <x v="23"/>
    <x v="1"/>
    <x v="2"/>
    <s v="EE_Parnu"/>
    <x v="9"/>
    <n v="47.978366197183199"/>
    <n v="13.327323943662"/>
  </r>
  <r>
    <x v="0"/>
    <x v="23"/>
    <x v="1"/>
    <x v="2"/>
    <s v="EE_Parnu"/>
    <x v="10"/>
    <n v="63.1479966859984"/>
    <n v="17.541110190555099"/>
  </r>
  <r>
    <x v="0"/>
    <x v="23"/>
    <x v="1"/>
    <x v="2"/>
    <s v="EE_Parnu"/>
    <x v="11"/>
    <n v="5.9972957746478999"/>
    <n v="1.66591549295775"/>
  </r>
  <r>
    <x v="0"/>
    <x v="23"/>
    <x v="1"/>
    <x v="2"/>
    <s v="EE_Parnu"/>
    <x v="12"/>
    <n v="9.7995028997514597E-2"/>
    <n v="2.72208413881985E-2"/>
  </r>
  <r>
    <x v="0"/>
    <x v="23"/>
    <x v="1"/>
    <x v="2"/>
    <s v="EE_Parnu"/>
    <x v="13"/>
    <n v="26.987830985915501"/>
    <n v="7.4966197183098604"/>
  </r>
  <r>
    <x v="0"/>
    <x v="23"/>
    <x v="1"/>
    <x v="2"/>
    <s v="EE_Parnu"/>
    <x v="14"/>
    <n v="26.987830985915501"/>
    <n v="7.4966197183098604"/>
  </r>
  <r>
    <x v="0"/>
    <x v="23"/>
    <x v="1"/>
    <x v="2"/>
    <s v="EE_Parnu"/>
    <x v="15"/>
    <n v="1.65807589063794"/>
    <n v="0.46057663628831802"/>
  </r>
  <r>
    <x v="0"/>
    <x v="23"/>
    <x v="1"/>
    <x v="2"/>
    <s v="EE_Parnu"/>
    <x v="16"/>
    <n v="6.6307647887493104"/>
    <n v="1.84187910798592"/>
  </r>
  <r>
    <x v="0"/>
    <x v="23"/>
    <x v="1"/>
    <x v="2"/>
    <s v="EE_Parnu"/>
    <x v="17"/>
    <n v="9.1244895875632395"/>
    <n v="2.5345804409897901"/>
  </r>
  <r>
    <x v="0"/>
    <x v="23"/>
    <x v="1"/>
    <x v="2"/>
    <s v="EE_Parnu"/>
    <x v="18"/>
    <n v="26.987830985915501"/>
    <n v="7.4966197183098604"/>
  </r>
  <r>
    <x v="0"/>
    <x v="23"/>
    <x v="1"/>
    <x v="2"/>
    <s v="EE_Parnu"/>
    <x v="19"/>
    <n v="8.1139884009941898"/>
    <n v="2.2538856669428302"/>
  </r>
  <r>
    <x v="0"/>
    <x v="23"/>
    <x v="1"/>
    <x v="2"/>
    <s v="EE_Parnu"/>
    <x v="20"/>
    <n v="21.7877183939536"/>
    <n v="6.0521439983204397"/>
  </r>
  <r>
    <x v="0"/>
    <x v="23"/>
    <x v="1"/>
    <x v="2"/>
    <s v="EE_Parnu"/>
    <x v="21"/>
    <n v="48.24"/>
    <n v="13.4"/>
  </r>
  <r>
    <x v="0"/>
    <x v="23"/>
    <x v="1"/>
    <x v="2"/>
    <s v="EE_Parnu"/>
    <x v="22"/>
    <n v="67.680000000000007"/>
    <n v="18.8"/>
  </r>
  <r>
    <x v="0"/>
    <x v="23"/>
    <x v="1"/>
    <x v="2"/>
    <s v="EE_Parnu"/>
    <x v="23"/>
    <n v="0.31515896120488701"/>
    <n v="8.7544155890246306E-2"/>
  </r>
  <r>
    <x v="0"/>
    <x v="23"/>
    <x v="1"/>
    <x v="2"/>
    <s v="EE_Parnu"/>
    <x v="24"/>
    <n v="19.174223581093901"/>
    <n v="5.32617321697054"/>
  </r>
  <r>
    <x v="0"/>
    <x v="23"/>
    <x v="1"/>
    <x v="2"/>
    <s v="EE_Parnu"/>
    <x v="25"/>
    <n v="25.6652953012922"/>
    <n v="7.1292486948033904"/>
  </r>
  <r>
    <x v="0"/>
    <x v="23"/>
    <x v="1"/>
    <x v="2"/>
    <s v="EE_Parnu"/>
    <x v="26"/>
    <n v="32.971098611263102"/>
    <n v="9.1586385031286301"/>
  </r>
  <r>
    <x v="0"/>
    <x v="23"/>
    <x v="1"/>
    <x v="2"/>
    <s v="EE_Parnu"/>
    <x v="27"/>
    <n v="20.163995508318798"/>
    <n v="5.6011098634218799"/>
  </r>
  <r>
    <x v="0"/>
    <x v="23"/>
    <x v="1"/>
    <x v="2"/>
    <s v="EE_Rural"/>
    <x v="1"/>
    <n v="35.989199999999997"/>
    <n v="9.9969999999999999"/>
  </r>
  <r>
    <x v="0"/>
    <x v="23"/>
    <x v="1"/>
    <x v="2"/>
    <s v="EE_Rural"/>
    <x v="2"/>
    <n v="46.08"/>
    <n v="12.8"/>
  </r>
  <r>
    <x v="0"/>
    <x v="23"/>
    <x v="1"/>
    <x v="2"/>
    <s v="EE_Rural"/>
    <x v="0"/>
    <n v="42.692399999999999"/>
    <n v="11.859"/>
  </r>
  <r>
    <x v="0"/>
    <x v="23"/>
    <x v="1"/>
    <x v="2"/>
    <s v="EE_Rural"/>
    <x v="3"/>
    <n v="51.633543144067197"/>
    <n v="14.342650873352"/>
  </r>
  <r>
    <x v="0"/>
    <x v="23"/>
    <x v="1"/>
    <x v="2"/>
    <s v="EE_Rural"/>
    <x v="4"/>
    <n v="10.7598541839271"/>
    <n v="2.9888483844241902"/>
  </r>
  <r>
    <x v="0"/>
    <x v="23"/>
    <x v="1"/>
    <x v="2"/>
    <s v="EE_Rural"/>
    <x v="5"/>
    <n v="10.7598541839271"/>
    <n v="2.9888483844241902"/>
  </r>
  <r>
    <x v="0"/>
    <x v="23"/>
    <x v="1"/>
    <x v="2"/>
    <s v="EE_Rural"/>
    <x v="6"/>
    <n v="29.476231795214598"/>
    <n v="8.1878421653373898"/>
  </r>
  <r>
    <x v="0"/>
    <x v="23"/>
    <x v="1"/>
    <x v="2"/>
    <s v="EE_Rural"/>
    <x v="7"/>
    <n v="57.838935220261199"/>
    <n v="16.066370894517"/>
  </r>
  <r>
    <x v="0"/>
    <x v="23"/>
    <x v="1"/>
    <x v="2"/>
    <s v="EE_Rural"/>
    <x v="8"/>
    <n v="57.838935220261199"/>
    <n v="16.066370894517"/>
  </r>
  <r>
    <x v="0"/>
    <x v="23"/>
    <x v="1"/>
    <x v="2"/>
    <s v="EE_Rural"/>
    <x v="9"/>
    <n v="47.978366197183199"/>
    <n v="13.327323943662"/>
  </r>
  <r>
    <x v="0"/>
    <x v="23"/>
    <x v="1"/>
    <x v="2"/>
    <s v="EE_Rural"/>
    <x v="10"/>
    <n v="63.1479966859984"/>
    <n v="17.541110190555099"/>
  </r>
  <r>
    <x v="0"/>
    <x v="23"/>
    <x v="1"/>
    <x v="2"/>
    <s v="EE_Rural"/>
    <x v="11"/>
    <n v="5.9972957746478999"/>
    <n v="1.66591549295775"/>
  </r>
  <r>
    <x v="0"/>
    <x v="23"/>
    <x v="1"/>
    <x v="2"/>
    <s v="EE_Rural"/>
    <x v="12"/>
    <n v="9.7995028997514597E-2"/>
    <n v="2.72208413881985E-2"/>
  </r>
  <r>
    <x v="0"/>
    <x v="23"/>
    <x v="1"/>
    <x v="2"/>
    <s v="EE_Rural"/>
    <x v="13"/>
    <n v="26.987830985915501"/>
    <n v="7.4966197183098604"/>
  </r>
  <r>
    <x v="0"/>
    <x v="23"/>
    <x v="1"/>
    <x v="2"/>
    <s v="EE_Rural"/>
    <x v="14"/>
    <n v="26.987830985915501"/>
    <n v="7.4966197183098604"/>
  </r>
  <r>
    <x v="0"/>
    <x v="23"/>
    <x v="1"/>
    <x v="2"/>
    <s v="EE_Rural"/>
    <x v="15"/>
    <n v="1.65807589063794"/>
    <n v="0.46057663628831802"/>
  </r>
  <r>
    <x v="0"/>
    <x v="23"/>
    <x v="1"/>
    <x v="2"/>
    <s v="EE_Rural"/>
    <x v="16"/>
    <n v="6.6307647887493104"/>
    <n v="1.84187910798592"/>
  </r>
  <r>
    <x v="0"/>
    <x v="23"/>
    <x v="1"/>
    <x v="2"/>
    <s v="EE_Rural"/>
    <x v="17"/>
    <n v="9.1244895875632395"/>
    <n v="2.5345804409897901"/>
  </r>
  <r>
    <x v="0"/>
    <x v="23"/>
    <x v="1"/>
    <x v="2"/>
    <s v="EE_Rural"/>
    <x v="18"/>
    <n v="26.987830985915501"/>
    <n v="7.4966197183098604"/>
  </r>
  <r>
    <x v="0"/>
    <x v="23"/>
    <x v="1"/>
    <x v="2"/>
    <s v="EE_Rural"/>
    <x v="19"/>
    <n v="8.1139884009941898"/>
    <n v="2.2538856669428302"/>
  </r>
  <r>
    <x v="0"/>
    <x v="23"/>
    <x v="1"/>
    <x v="2"/>
    <s v="EE_Rural"/>
    <x v="20"/>
    <n v="21.7877183939536"/>
    <n v="6.0521439983204397"/>
  </r>
  <r>
    <x v="0"/>
    <x v="23"/>
    <x v="1"/>
    <x v="2"/>
    <s v="EE_Rural"/>
    <x v="21"/>
    <n v="48.24"/>
    <n v="13.4"/>
  </r>
  <r>
    <x v="0"/>
    <x v="23"/>
    <x v="1"/>
    <x v="2"/>
    <s v="EE_Rural"/>
    <x v="22"/>
    <n v="67.680000000000007"/>
    <n v="18.8"/>
  </r>
  <r>
    <x v="0"/>
    <x v="23"/>
    <x v="1"/>
    <x v="2"/>
    <s v="EE_Rural"/>
    <x v="23"/>
    <n v="0.31515896120488701"/>
    <n v="8.7544155890246306E-2"/>
  </r>
  <r>
    <x v="0"/>
    <x v="23"/>
    <x v="1"/>
    <x v="2"/>
    <s v="EE_Rural"/>
    <x v="24"/>
    <n v="19.174223581093901"/>
    <n v="5.32617321697054"/>
  </r>
  <r>
    <x v="0"/>
    <x v="23"/>
    <x v="1"/>
    <x v="2"/>
    <s v="EE_Rural"/>
    <x v="25"/>
    <n v="25.6652953012922"/>
    <n v="7.1292486948033904"/>
  </r>
  <r>
    <x v="0"/>
    <x v="23"/>
    <x v="1"/>
    <x v="2"/>
    <s v="EE_Rural"/>
    <x v="26"/>
    <n v="32.971098611263102"/>
    <n v="9.1586385031286301"/>
  </r>
  <r>
    <x v="0"/>
    <x v="23"/>
    <x v="1"/>
    <x v="2"/>
    <s v="EE_Rural"/>
    <x v="27"/>
    <n v="20.163995508318798"/>
    <n v="5.6011098634218799"/>
  </r>
  <r>
    <x v="0"/>
    <x v="23"/>
    <x v="1"/>
    <x v="2"/>
    <s v="EE_Sillamae"/>
    <x v="1"/>
    <n v="35.989199999999997"/>
    <n v="9.9969999999999999"/>
  </r>
  <r>
    <x v="0"/>
    <x v="23"/>
    <x v="1"/>
    <x v="2"/>
    <s v="EE_Sillamae"/>
    <x v="2"/>
    <n v="46.08"/>
    <n v="12.8"/>
  </r>
  <r>
    <x v="0"/>
    <x v="23"/>
    <x v="1"/>
    <x v="2"/>
    <s v="EE_Sillamae"/>
    <x v="0"/>
    <n v="42.692399999999999"/>
    <n v="11.859"/>
  </r>
  <r>
    <x v="0"/>
    <x v="23"/>
    <x v="1"/>
    <x v="2"/>
    <s v="EE_Sillamae"/>
    <x v="3"/>
    <n v="51.633543144067197"/>
    <n v="14.342650873352"/>
  </r>
  <r>
    <x v="0"/>
    <x v="23"/>
    <x v="1"/>
    <x v="2"/>
    <s v="EE_Sillamae"/>
    <x v="4"/>
    <n v="10.7598541839271"/>
    <n v="2.9888483844241902"/>
  </r>
  <r>
    <x v="0"/>
    <x v="23"/>
    <x v="1"/>
    <x v="2"/>
    <s v="EE_Sillamae"/>
    <x v="5"/>
    <n v="10.7598541839271"/>
    <n v="2.9888483844241902"/>
  </r>
  <r>
    <x v="0"/>
    <x v="23"/>
    <x v="1"/>
    <x v="2"/>
    <s v="EE_Sillamae"/>
    <x v="6"/>
    <n v="29.476231795214598"/>
    <n v="8.1878421653373898"/>
  </r>
  <r>
    <x v="0"/>
    <x v="23"/>
    <x v="1"/>
    <x v="2"/>
    <s v="EE_Sillamae"/>
    <x v="7"/>
    <n v="57.838935220261199"/>
    <n v="16.066370894517"/>
  </r>
  <r>
    <x v="0"/>
    <x v="23"/>
    <x v="1"/>
    <x v="2"/>
    <s v="EE_Sillamae"/>
    <x v="8"/>
    <n v="57.838935220261199"/>
    <n v="16.066370894517"/>
  </r>
  <r>
    <x v="0"/>
    <x v="23"/>
    <x v="1"/>
    <x v="2"/>
    <s v="EE_Sillamae"/>
    <x v="9"/>
    <n v="47.978366197183199"/>
    <n v="13.327323943662"/>
  </r>
  <r>
    <x v="0"/>
    <x v="23"/>
    <x v="1"/>
    <x v="2"/>
    <s v="EE_Sillamae"/>
    <x v="10"/>
    <n v="63.1479966859984"/>
    <n v="17.541110190555099"/>
  </r>
  <r>
    <x v="0"/>
    <x v="23"/>
    <x v="1"/>
    <x v="2"/>
    <s v="EE_Sillamae"/>
    <x v="11"/>
    <n v="5.9972957746478999"/>
    <n v="1.66591549295775"/>
  </r>
  <r>
    <x v="0"/>
    <x v="23"/>
    <x v="1"/>
    <x v="2"/>
    <s v="EE_Sillamae"/>
    <x v="12"/>
    <n v="9.7995028997514597E-2"/>
    <n v="2.72208413881985E-2"/>
  </r>
  <r>
    <x v="0"/>
    <x v="23"/>
    <x v="1"/>
    <x v="2"/>
    <s v="EE_Sillamae"/>
    <x v="13"/>
    <n v="26.987830985915501"/>
    <n v="7.4966197183098604"/>
  </r>
  <r>
    <x v="0"/>
    <x v="23"/>
    <x v="1"/>
    <x v="2"/>
    <s v="EE_Sillamae"/>
    <x v="14"/>
    <n v="26.987830985915501"/>
    <n v="7.4966197183098604"/>
  </r>
  <r>
    <x v="0"/>
    <x v="23"/>
    <x v="1"/>
    <x v="2"/>
    <s v="EE_Sillamae"/>
    <x v="15"/>
    <n v="1.65807589063794"/>
    <n v="0.46057663628831802"/>
  </r>
  <r>
    <x v="0"/>
    <x v="23"/>
    <x v="1"/>
    <x v="2"/>
    <s v="EE_Sillamae"/>
    <x v="16"/>
    <n v="6.6307647887493104"/>
    <n v="1.84187910798592"/>
  </r>
  <r>
    <x v="0"/>
    <x v="23"/>
    <x v="1"/>
    <x v="2"/>
    <s v="EE_Sillamae"/>
    <x v="17"/>
    <n v="9.1244895875632395"/>
    <n v="2.5345804409897901"/>
  </r>
  <r>
    <x v="0"/>
    <x v="23"/>
    <x v="1"/>
    <x v="2"/>
    <s v="EE_Sillamae"/>
    <x v="18"/>
    <n v="26.987830985915501"/>
    <n v="7.4966197183098604"/>
  </r>
  <r>
    <x v="0"/>
    <x v="23"/>
    <x v="1"/>
    <x v="2"/>
    <s v="EE_Sillamae"/>
    <x v="19"/>
    <n v="8.1139884009941898"/>
    <n v="2.2538856669428302"/>
  </r>
  <r>
    <x v="0"/>
    <x v="23"/>
    <x v="1"/>
    <x v="2"/>
    <s v="EE_Sillamae"/>
    <x v="20"/>
    <n v="21.7877183939536"/>
    <n v="6.0521439983204397"/>
  </r>
  <r>
    <x v="0"/>
    <x v="23"/>
    <x v="1"/>
    <x v="2"/>
    <s v="EE_Sillamae"/>
    <x v="21"/>
    <n v="48.24"/>
    <n v="13.4"/>
  </r>
  <r>
    <x v="0"/>
    <x v="23"/>
    <x v="1"/>
    <x v="2"/>
    <s v="EE_Sillamae"/>
    <x v="22"/>
    <n v="67.680000000000007"/>
    <n v="18.8"/>
  </r>
  <r>
    <x v="0"/>
    <x v="23"/>
    <x v="1"/>
    <x v="2"/>
    <s v="EE_Sillamae"/>
    <x v="23"/>
    <n v="0.31515896120488701"/>
    <n v="8.7544155890246306E-2"/>
  </r>
  <r>
    <x v="0"/>
    <x v="23"/>
    <x v="1"/>
    <x v="2"/>
    <s v="EE_Sillamae"/>
    <x v="24"/>
    <n v="19.174223581093901"/>
    <n v="5.32617321697054"/>
  </r>
  <r>
    <x v="0"/>
    <x v="23"/>
    <x v="1"/>
    <x v="2"/>
    <s v="EE_Sillamae"/>
    <x v="25"/>
    <n v="25.6652953012922"/>
    <n v="7.1292486948033904"/>
  </r>
  <r>
    <x v="0"/>
    <x v="23"/>
    <x v="1"/>
    <x v="2"/>
    <s v="EE_Sillamae"/>
    <x v="26"/>
    <n v="32.971098611263102"/>
    <n v="9.1586385031286301"/>
  </r>
  <r>
    <x v="0"/>
    <x v="23"/>
    <x v="1"/>
    <x v="2"/>
    <s v="EE_Sillamae"/>
    <x v="27"/>
    <n v="20.163995508318798"/>
    <n v="5.6011098634218799"/>
  </r>
  <r>
    <x v="0"/>
    <x v="23"/>
    <x v="1"/>
    <x v="2"/>
    <s v="EE_Tallinn"/>
    <x v="1"/>
    <n v="35.989199999999997"/>
    <n v="9.9969999999999999"/>
  </r>
  <r>
    <x v="0"/>
    <x v="23"/>
    <x v="1"/>
    <x v="2"/>
    <s v="EE_Tallinn"/>
    <x v="2"/>
    <n v="46.08"/>
    <n v="12.8"/>
  </r>
  <r>
    <x v="0"/>
    <x v="23"/>
    <x v="1"/>
    <x v="2"/>
    <s v="EE_Tallinn"/>
    <x v="0"/>
    <n v="42.692399999999999"/>
    <n v="11.859"/>
  </r>
  <r>
    <x v="0"/>
    <x v="23"/>
    <x v="1"/>
    <x v="2"/>
    <s v="EE_Tallinn"/>
    <x v="3"/>
    <n v="51.633543144067197"/>
    <n v="14.342650873352"/>
  </r>
  <r>
    <x v="0"/>
    <x v="23"/>
    <x v="1"/>
    <x v="2"/>
    <s v="EE_Tallinn"/>
    <x v="4"/>
    <n v="10.7598541839271"/>
    <n v="2.9888483844241902"/>
  </r>
  <r>
    <x v="0"/>
    <x v="23"/>
    <x v="1"/>
    <x v="2"/>
    <s v="EE_Tallinn"/>
    <x v="5"/>
    <n v="10.7598541839271"/>
    <n v="2.9888483844241902"/>
  </r>
  <r>
    <x v="0"/>
    <x v="23"/>
    <x v="1"/>
    <x v="2"/>
    <s v="EE_Tallinn"/>
    <x v="6"/>
    <n v="29.476231795214598"/>
    <n v="8.1878421653373898"/>
  </r>
  <r>
    <x v="0"/>
    <x v="23"/>
    <x v="1"/>
    <x v="2"/>
    <s v="EE_Tallinn"/>
    <x v="7"/>
    <n v="57.838935220261199"/>
    <n v="16.066370894517"/>
  </r>
  <r>
    <x v="0"/>
    <x v="23"/>
    <x v="1"/>
    <x v="2"/>
    <s v="EE_Tallinn"/>
    <x v="8"/>
    <n v="57.838935220261199"/>
    <n v="16.066370894517"/>
  </r>
  <r>
    <x v="0"/>
    <x v="23"/>
    <x v="1"/>
    <x v="2"/>
    <s v="EE_Tallinn"/>
    <x v="9"/>
    <n v="47.978366197183199"/>
    <n v="13.327323943662"/>
  </r>
  <r>
    <x v="0"/>
    <x v="23"/>
    <x v="1"/>
    <x v="2"/>
    <s v="EE_Tallinn"/>
    <x v="10"/>
    <n v="63.1479966859984"/>
    <n v="17.541110190555099"/>
  </r>
  <r>
    <x v="0"/>
    <x v="23"/>
    <x v="1"/>
    <x v="2"/>
    <s v="EE_Tallinn"/>
    <x v="11"/>
    <n v="5.9972957746478999"/>
    <n v="1.66591549295775"/>
  </r>
  <r>
    <x v="0"/>
    <x v="23"/>
    <x v="1"/>
    <x v="2"/>
    <s v="EE_Tallinn"/>
    <x v="12"/>
    <n v="9.7995028997514597E-2"/>
    <n v="2.72208413881985E-2"/>
  </r>
  <r>
    <x v="0"/>
    <x v="23"/>
    <x v="1"/>
    <x v="2"/>
    <s v="EE_Tallinn"/>
    <x v="13"/>
    <n v="26.987830985915501"/>
    <n v="7.4966197183098604"/>
  </r>
  <r>
    <x v="0"/>
    <x v="23"/>
    <x v="1"/>
    <x v="2"/>
    <s v="EE_Tallinn"/>
    <x v="14"/>
    <n v="26.987830985915501"/>
    <n v="7.4966197183098604"/>
  </r>
  <r>
    <x v="0"/>
    <x v="23"/>
    <x v="1"/>
    <x v="2"/>
    <s v="EE_Tallinn"/>
    <x v="15"/>
    <n v="1.65807589063794"/>
    <n v="0.46057663628831802"/>
  </r>
  <r>
    <x v="0"/>
    <x v="23"/>
    <x v="1"/>
    <x v="2"/>
    <s v="EE_Tallinn"/>
    <x v="16"/>
    <n v="6.6307647887493104"/>
    <n v="1.84187910798592"/>
  </r>
  <r>
    <x v="0"/>
    <x v="23"/>
    <x v="1"/>
    <x v="2"/>
    <s v="EE_Tallinn"/>
    <x v="17"/>
    <n v="9.1244895875632395"/>
    <n v="2.5345804409897901"/>
  </r>
  <r>
    <x v="0"/>
    <x v="23"/>
    <x v="1"/>
    <x v="2"/>
    <s v="EE_Tallinn"/>
    <x v="18"/>
    <n v="26.987830985915501"/>
    <n v="7.4966197183098604"/>
  </r>
  <r>
    <x v="0"/>
    <x v="23"/>
    <x v="1"/>
    <x v="2"/>
    <s v="EE_Tallinn"/>
    <x v="19"/>
    <n v="8.1139884009941898"/>
    <n v="2.2538856669428302"/>
  </r>
  <r>
    <x v="0"/>
    <x v="23"/>
    <x v="1"/>
    <x v="2"/>
    <s v="EE_Tallinn"/>
    <x v="20"/>
    <n v="21.7877183939536"/>
    <n v="6.0521439983204397"/>
  </r>
  <r>
    <x v="0"/>
    <x v="23"/>
    <x v="1"/>
    <x v="2"/>
    <s v="EE_Tallinn"/>
    <x v="21"/>
    <n v="48.24"/>
    <n v="13.4"/>
  </r>
  <r>
    <x v="0"/>
    <x v="23"/>
    <x v="1"/>
    <x v="2"/>
    <s v="EE_Tallinn"/>
    <x v="22"/>
    <n v="67.680000000000007"/>
    <n v="18.8"/>
  </r>
  <r>
    <x v="0"/>
    <x v="23"/>
    <x v="1"/>
    <x v="2"/>
    <s v="EE_Tallinn"/>
    <x v="23"/>
    <n v="0.31515896120488701"/>
    <n v="8.7544155890246306E-2"/>
  </r>
  <r>
    <x v="0"/>
    <x v="23"/>
    <x v="1"/>
    <x v="2"/>
    <s v="EE_Tallinn"/>
    <x v="24"/>
    <n v="19.174223581093901"/>
    <n v="5.32617321697054"/>
  </r>
  <r>
    <x v="0"/>
    <x v="23"/>
    <x v="1"/>
    <x v="2"/>
    <s v="EE_Tallinn"/>
    <x v="25"/>
    <n v="25.6652953012922"/>
    <n v="7.1292486948033904"/>
  </r>
  <r>
    <x v="0"/>
    <x v="23"/>
    <x v="1"/>
    <x v="2"/>
    <s v="EE_Tallinn"/>
    <x v="26"/>
    <n v="32.971098611263102"/>
    <n v="9.1586385031286301"/>
  </r>
  <r>
    <x v="0"/>
    <x v="23"/>
    <x v="1"/>
    <x v="2"/>
    <s v="EE_Tallinn"/>
    <x v="27"/>
    <n v="20.163995508318798"/>
    <n v="5.6011098634218799"/>
  </r>
  <r>
    <x v="0"/>
    <x v="23"/>
    <x v="1"/>
    <x v="2"/>
    <s v="EE_Tartu"/>
    <x v="1"/>
    <n v="35.989199999999997"/>
    <n v="9.9969999999999999"/>
  </r>
  <r>
    <x v="0"/>
    <x v="23"/>
    <x v="1"/>
    <x v="2"/>
    <s v="EE_Tartu"/>
    <x v="2"/>
    <n v="46.08"/>
    <n v="12.8"/>
  </r>
  <r>
    <x v="0"/>
    <x v="23"/>
    <x v="1"/>
    <x v="2"/>
    <s v="EE_Tartu"/>
    <x v="0"/>
    <n v="42.692399999999999"/>
    <n v="11.859"/>
  </r>
  <r>
    <x v="0"/>
    <x v="23"/>
    <x v="1"/>
    <x v="2"/>
    <s v="EE_Tartu"/>
    <x v="3"/>
    <n v="51.633543144067197"/>
    <n v="14.342650873352"/>
  </r>
  <r>
    <x v="0"/>
    <x v="23"/>
    <x v="1"/>
    <x v="2"/>
    <s v="EE_Tartu"/>
    <x v="4"/>
    <n v="10.7598541839271"/>
    <n v="2.9888483844241902"/>
  </r>
  <r>
    <x v="0"/>
    <x v="23"/>
    <x v="1"/>
    <x v="2"/>
    <s v="EE_Tartu"/>
    <x v="5"/>
    <n v="10.7598541839271"/>
    <n v="2.9888483844241902"/>
  </r>
  <r>
    <x v="0"/>
    <x v="23"/>
    <x v="1"/>
    <x v="2"/>
    <s v="EE_Tartu"/>
    <x v="6"/>
    <n v="29.476231795214598"/>
    <n v="8.1878421653373898"/>
  </r>
  <r>
    <x v="0"/>
    <x v="23"/>
    <x v="1"/>
    <x v="2"/>
    <s v="EE_Tartu"/>
    <x v="7"/>
    <n v="57.838935220261199"/>
    <n v="16.066370894517"/>
  </r>
  <r>
    <x v="0"/>
    <x v="23"/>
    <x v="1"/>
    <x v="2"/>
    <s v="EE_Tartu"/>
    <x v="8"/>
    <n v="57.838935220261199"/>
    <n v="16.066370894517"/>
  </r>
  <r>
    <x v="0"/>
    <x v="23"/>
    <x v="1"/>
    <x v="2"/>
    <s v="EE_Tartu"/>
    <x v="9"/>
    <n v="47.978366197183199"/>
    <n v="13.327323943662"/>
  </r>
  <r>
    <x v="0"/>
    <x v="23"/>
    <x v="1"/>
    <x v="2"/>
    <s v="EE_Tartu"/>
    <x v="10"/>
    <n v="63.1479966859984"/>
    <n v="17.541110190555099"/>
  </r>
  <r>
    <x v="0"/>
    <x v="23"/>
    <x v="1"/>
    <x v="2"/>
    <s v="EE_Tartu"/>
    <x v="11"/>
    <n v="5.9972957746478999"/>
    <n v="1.66591549295775"/>
  </r>
  <r>
    <x v="0"/>
    <x v="23"/>
    <x v="1"/>
    <x v="2"/>
    <s v="EE_Tartu"/>
    <x v="12"/>
    <n v="9.7995028997514597E-2"/>
    <n v="2.72208413881985E-2"/>
  </r>
  <r>
    <x v="0"/>
    <x v="23"/>
    <x v="1"/>
    <x v="2"/>
    <s v="EE_Tartu"/>
    <x v="13"/>
    <n v="26.987830985915501"/>
    <n v="7.4966197183098604"/>
  </r>
  <r>
    <x v="0"/>
    <x v="23"/>
    <x v="1"/>
    <x v="2"/>
    <s v="EE_Tartu"/>
    <x v="14"/>
    <n v="26.987830985915501"/>
    <n v="7.4966197183098604"/>
  </r>
  <r>
    <x v="0"/>
    <x v="23"/>
    <x v="1"/>
    <x v="2"/>
    <s v="EE_Tartu"/>
    <x v="15"/>
    <n v="1.65807589063794"/>
    <n v="0.46057663628831802"/>
  </r>
  <r>
    <x v="0"/>
    <x v="23"/>
    <x v="1"/>
    <x v="2"/>
    <s v="EE_Tartu"/>
    <x v="16"/>
    <n v="6.6307647887493104"/>
    <n v="1.84187910798592"/>
  </r>
  <r>
    <x v="0"/>
    <x v="23"/>
    <x v="1"/>
    <x v="2"/>
    <s v="EE_Tartu"/>
    <x v="17"/>
    <n v="9.1244895875632395"/>
    <n v="2.5345804409897901"/>
  </r>
  <r>
    <x v="0"/>
    <x v="23"/>
    <x v="1"/>
    <x v="2"/>
    <s v="EE_Tartu"/>
    <x v="18"/>
    <n v="26.987830985915501"/>
    <n v="7.4966197183098604"/>
  </r>
  <r>
    <x v="0"/>
    <x v="23"/>
    <x v="1"/>
    <x v="2"/>
    <s v="EE_Tartu"/>
    <x v="19"/>
    <n v="8.1139884009941898"/>
    <n v="2.2538856669428302"/>
  </r>
  <r>
    <x v="0"/>
    <x v="23"/>
    <x v="1"/>
    <x v="2"/>
    <s v="EE_Tartu"/>
    <x v="20"/>
    <n v="21.7877183939536"/>
    <n v="6.0521439983204397"/>
  </r>
  <r>
    <x v="0"/>
    <x v="23"/>
    <x v="1"/>
    <x v="2"/>
    <s v="EE_Tartu"/>
    <x v="21"/>
    <n v="48.24"/>
    <n v="13.4"/>
  </r>
  <r>
    <x v="0"/>
    <x v="23"/>
    <x v="1"/>
    <x v="2"/>
    <s v="EE_Tartu"/>
    <x v="22"/>
    <n v="67.680000000000007"/>
    <n v="18.8"/>
  </r>
  <r>
    <x v="0"/>
    <x v="23"/>
    <x v="1"/>
    <x v="2"/>
    <s v="EE_Tartu"/>
    <x v="23"/>
    <n v="0.31515896120488701"/>
    <n v="8.7544155890246306E-2"/>
  </r>
  <r>
    <x v="0"/>
    <x v="23"/>
    <x v="1"/>
    <x v="2"/>
    <s v="EE_Tartu"/>
    <x v="24"/>
    <n v="19.174223581093901"/>
    <n v="5.32617321697054"/>
  </r>
  <r>
    <x v="0"/>
    <x v="23"/>
    <x v="1"/>
    <x v="2"/>
    <s v="EE_Tartu"/>
    <x v="25"/>
    <n v="25.6652953012922"/>
    <n v="7.1292486948033904"/>
  </r>
  <r>
    <x v="0"/>
    <x v="23"/>
    <x v="1"/>
    <x v="2"/>
    <s v="EE_Tartu"/>
    <x v="26"/>
    <n v="32.971098611263102"/>
    <n v="9.1586385031286301"/>
  </r>
  <r>
    <x v="0"/>
    <x v="23"/>
    <x v="1"/>
    <x v="2"/>
    <s v="EE_Tartu"/>
    <x v="27"/>
    <n v="20.163995508318798"/>
    <n v="5.6011098634218799"/>
  </r>
  <r>
    <x v="0"/>
    <x v="23"/>
    <x v="1"/>
    <x v="2"/>
    <s v="EE_Urban"/>
    <x v="1"/>
    <n v="35.989199999999997"/>
    <n v="9.9969999999999999"/>
  </r>
  <r>
    <x v="0"/>
    <x v="23"/>
    <x v="1"/>
    <x v="2"/>
    <s v="EE_Urban"/>
    <x v="2"/>
    <n v="46.08"/>
    <n v="12.8"/>
  </r>
  <r>
    <x v="0"/>
    <x v="23"/>
    <x v="1"/>
    <x v="2"/>
    <s v="EE_Urban"/>
    <x v="0"/>
    <n v="42.692399999999999"/>
    <n v="11.859"/>
  </r>
  <r>
    <x v="0"/>
    <x v="23"/>
    <x v="1"/>
    <x v="2"/>
    <s v="EE_Urban"/>
    <x v="3"/>
    <n v="51.633543144067197"/>
    <n v="14.342650873352"/>
  </r>
  <r>
    <x v="0"/>
    <x v="23"/>
    <x v="1"/>
    <x v="2"/>
    <s v="EE_Urban"/>
    <x v="4"/>
    <n v="10.7598541839271"/>
    <n v="2.9888483844241902"/>
  </r>
  <r>
    <x v="0"/>
    <x v="23"/>
    <x v="1"/>
    <x v="2"/>
    <s v="EE_Urban"/>
    <x v="5"/>
    <n v="10.7598541839271"/>
    <n v="2.9888483844241902"/>
  </r>
  <r>
    <x v="0"/>
    <x v="23"/>
    <x v="1"/>
    <x v="2"/>
    <s v="EE_Urban"/>
    <x v="6"/>
    <n v="29.476231795214598"/>
    <n v="8.1878421653373898"/>
  </r>
  <r>
    <x v="0"/>
    <x v="23"/>
    <x v="1"/>
    <x v="2"/>
    <s v="EE_Urban"/>
    <x v="7"/>
    <n v="57.838935220261199"/>
    <n v="16.066370894517"/>
  </r>
  <r>
    <x v="0"/>
    <x v="23"/>
    <x v="1"/>
    <x v="2"/>
    <s v="EE_Urban"/>
    <x v="8"/>
    <n v="57.838935220261199"/>
    <n v="16.066370894517"/>
  </r>
  <r>
    <x v="0"/>
    <x v="23"/>
    <x v="1"/>
    <x v="2"/>
    <s v="EE_Urban"/>
    <x v="9"/>
    <n v="47.978366197183199"/>
    <n v="13.327323943662"/>
  </r>
  <r>
    <x v="0"/>
    <x v="23"/>
    <x v="1"/>
    <x v="2"/>
    <s v="EE_Urban"/>
    <x v="10"/>
    <n v="63.1479966859984"/>
    <n v="17.541110190555099"/>
  </r>
  <r>
    <x v="0"/>
    <x v="23"/>
    <x v="1"/>
    <x v="2"/>
    <s v="EE_Urban"/>
    <x v="11"/>
    <n v="5.9972957746478999"/>
    <n v="1.66591549295775"/>
  </r>
  <r>
    <x v="0"/>
    <x v="23"/>
    <x v="1"/>
    <x v="2"/>
    <s v="EE_Urban"/>
    <x v="12"/>
    <n v="9.7995028997514597E-2"/>
    <n v="2.72208413881985E-2"/>
  </r>
  <r>
    <x v="0"/>
    <x v="23"/>
    <x v="1"/>
    <x v="2"/>
    <s v="EE_Urban"/>
    <x v="13"/>
    <n v="26.987830985915501"/>
    <n v="7.4966197183098604"/>
  </r>
  <r>
    <x v="0"/>
    <x v="23"/>
    <x v="1"/>
    <x v="2"/>
    <s v="EE_Urban"/>
    <x v="14"/>
    <n v="26.987830985915501"/>
    <n v="7.4966197183098604"/>
  </r>
  <r>
    <x v="0"/>
    <x v="23"/>
    <x v="1"/>
    <x v="2"/>
    <s v="EE_Urban"/>
    <x v="15"/>
    <n v="1.65807589063794"/>
    <n v="0.46057663628831802"/>
  </r>
  <r>
    <x v="0"/>
    <x v="23"/>
    <x v="1"/>
    <x v="2"/>
    <s v="EE_Urban"/>
    <x v="16"/>
    <n v="6.6307647887493104"/>
    <n v="1.84187910798592"/>
  </r>
  <r>
    <x v="0"/>
    <x v="23"/>
    <x v="1"/>
    <x v="2"/>
    <s v="EE_Urban"/>
    <x v="17"/>
    <n v="9.1244895875632395"/>
    <n v="2.5345804409897901"/>
  </r>
  <r>
    <x v="0"/>
    <x v="23"/>
    <x v="1"/>
    <x v="2"/>
    <s v="EE_Urban"/>
    <x v="18"/>
    <n v="26.987830985915501"/>
    <n v="7.4966197183098604"/>
  </r>
  <r>
    <x v="0"/>
    <x v="23"/>
    <x v="1"/>
    <x v="2"/>
    <s v="EE_Urban"/>
    <x v="19"/>
    <n v="8.1139884009941898"/>
    <n v="2.2538856669428302"/>
  </r>
  <r>
    <x v="0"/>
    <x v="23"/>
    <x v="1"/>
    <x v="2"/>
    <s v="EE_Urban"/>
    <x v="20"/>
    <n v="21.7877183939536"/>
    <n v="6.0521439983204397"/>
  </r>
  <r>
    <x v="0"/>
    <x v="23"/>
    <x v="1"/>
    <x v="2"/>
    <s v="EE_Urban"/>
    <x v="21"/>
    <n v="48.24"/>
    <n v="13.4"/>
  </r>
  <r>
    <x v="0"/>
    <x v="23"/>
    <x v="1"/>
    <x v="2"/>
    <s v="EE_Urban"/>
    <x v="22"/>
    <n v="67.680000000000007"/>
    <n v="18.8"/>
  </r>
  <r>
    <x v="0"/>
    <x v="23"/>
    <x v="1"/>
    <x v="2"/>
    <s v="EE_Urban"/>
    <x v="23"/>
    <n v="0.31515896120488701"/>
    <n v="8.7544155890246306E-2"/>
  </r>
  <r>
    <x v="0"/>
    <x v="23"/>
    <x v="1"/>
    <x v="2"/>
    <s v="EE_Urban"/>
    <x v="24"/>
    <n v="19.174223581093901"/>
    <n v="5.32617321697054"/>
  </r>
  <r>
    <x v="0"/>
    <x v="23"/>
    <x v="1"/>
    <x v="2"/>
    <s v="EE_Urban"/>
    <x v="25"/>
    <n v="25.6652953012922"/>
    <n v="7.1292486948033904"/>
  </r>
  <r>
    <x v="0"/>
    <x v="23"/>
    <x v="1"/>
    <x v="2"/>
    <s v="EE_Urban"/>
    <x v="26"/>
    <n v="32.971098611263102"/>
    <n v="9.1586385031286301"/>
  </r>
  <r>
    <x v="0"/>
    <x v="23"/>
    <x v="1"/>
    <x v="2"/>
    <s v="EE_Urban"/>
    <x v="27"/>
    <n v="20.163995508318798"/>
    <n v="5.6011098634218799"/>
  </r>
  <r>
    <x v="0"/>
    <x v="23"/>
    <x v="2"/>
    <x v="3"/>
    <s v="FI_IND"/>
    <x v="1"/>
    <n v="35.989199999999997"/>
    <n v="9.9969999999999999"/>
  </r>
  <r>
    <x v="0"/>
    <x v="23"/>
    <x v="2"/>
    <x v="3"/>
    <s v="FI_IND"/>
    <x v="2"/>
    <n v="46.08"/>
    <n v="12.8"/>
  </r>
  <r>
    <x v="0"/>
    <x v="23"/>
    <x v="2"/>
    <x v="3"/>
    <s v="FI_IND"/>
    <x v="0"/>
    <n v="42.692399999999999"/>
    <n v="11.859"/>
  </r>
  <r>
    <x v="0"/>
    <x v="23"/>
    <x v="2"/>
    <x v="3"/>
    <s v="FI_IND"/>
    <x v="3"/>
    <n v="51.633543144067197"/>
    <n v="14.342650873352"/>
  </r>
  <r>
    <x v="0"/>
    <x v="23"/>
    <x v="2"/>
    <x v="3"/>
    <s v="FI_IND"/>
    <x v="4"/>
    <n v="10.7598541839271"/>
    <n v="2.9888483844241902"/>
  </r>
  <r>
    <x v="0"/>
    <x v="23"/>
    <x v="2"/>
    <x v="3"/>
    <s v="FI_IND"/>
    <x v="5"/>
    <n v="10.7598541839271"/>
    <n v="2.9888483844241902"/>
  </r>
  <r>
    <x v="0"/>
    <x v="23"/>
    <x v="2"/>
    <x v="3"/>
    <s v="FI_IND"/>
    <x v="6"/>
    <n v="29.476231795214598"/>
    <n v="8.1878421653373898"/>
  </r>
  <r>
    <x v="0"/>
    <x v="23"/>
    <x v="2"/>
    <x v="3"/>
    <s v="FI_IND"/>
    <x v="7"/>
    <n v="57.838935220261199"/>
    <n v="16.066370894517"/>
  </r>
  <r>
    <x v="0"/>
    <x v="23"/>
    <x v="2"/>
    <x v="3"/>
    <s v="FI_IND"/>
    <x v="8"/>
    <n v="57.838935220261199"/>
    <n v="16.066370894517"/>
  </r>
  <r>
    <x v="0"/>
    <x v="23"/>
    <x v="2"/>
    <x v="3"/>
    <s v="FI_IND"/>
    <x v="9"/>
    <n v="47.978366197183199"/>
    <n v="13.327323943662"/>
  </r>
  <r>
    <x v="0"/>
    <x v="23"/>
    <x v="2"/>
    <x v="3"/>
    <s v="FI_IND"/>
    <x v="10"/>
    <n v="63.1479966859984"/>
    <n v="17.541110190555099"/>
  </r>
  <r>
    <x v="0"/>
    <x v="23"/>
    <x v="2"/>
    <x v="3"/>
    <s v="FI_IND"/>
    <x v="11"/>
    <n v="5.9972957746478999"/>
    <n v="1.66591549295775"/>
  </r>
  <r>
    <x v="0"/>
    <x v="23"/>
    <x v="2"/>
    <x v="3"/>
    <s v="FI_IND"/>
    <x v="12"/>
    <n v="9.7995028997514597E-2"/>
    <n v="2.72208413881985E-2"/>
  </r>
  <r>
    <x v="0"/>
    <x v="23"/>
    <x v="2"/>
    <x v="3"/>
    <s v="FI_IND"/>
    <x v="13"/>
    <n v="26.987830985915501"/>
    <n v="7.4966197183098604"/>
  </r>
  <r>
    <x v="0"/>
    <x v="23"/>
    <x v="2"/>
    <x v="3"/>
    <s v="FI_IND"/>
    <x v="14"/>
    <n v="26.987830985915501"/>
    <n v="7.4966197183098604"/>
  </r>
  <r>
    <x v="0"/>
    <x v="23"/>
    <x v="2"/>
    <x v="3"/>
    <s v="FI_IND"/>
    <x v="15"/>
    <n v="1.65807589063794"/>
    <n v="0.46057663628831802"/>
  </r>
  <r>
    <x v="0"/>
    <x v="23"/>
    <x v="2"/>
    <x v="3"/>
    <s v="FI_IND"/>
    <x v="16"/>
    <n v="6.6307647887493104"/>
    <n v="1.84187910798592"/>
  </r>
  <r>
    <x v="0"/>
    <x v="23"/>
    <x v="2"/>
    <x v="3"/>
    <s v="FI_IND"/>
    <x v="17"/>
    <n v="9.1244895875632395"/>
    <n v="2.5345804409897901"/>
  </r>
  <r>
    <x v="0"/>
    <x v="23"/>
    <x v="2"/>
    <x v="3"/>
    <s v="FI_IND"/>
    <x v="18"/>
    <n v="26.987830985915501"/>
    <n v="7.4966197183098604"/>
  </r>
  <r>
    <x v="0"/>
    <x v="23"/>
    <x v="2"/>
    <x v="3"/>
    <s v="FI_IND"/>
    <x v="19"/>
    <n v="8.1139884009941898"/>
    <n v="2.2538856669428302"/>
  </r>
  <r>
    <x v="0"/>
    <x v="23"/>
    <x v="2"/>
    <x v="3"/>
    <s v="FI_IND"/>
    <x v="20"/>
    <n v="21.7877183939536"/>
    <n v="6.0521439983204397"/>
  </r>
  <r>
    <x v="0"/>
    <x v="23"/>
    <x v="2"/>
    <x v="3"/>
    <s v="FI_IND"/>
    <x v="21"/>
    <n v="48.24"/>
    <n v="13.4"/>
  </r>
  <r>
    <x v="0"/>
    <x v="23"/>
    <x v="2"/>
    <x v="3"/>
    <s v="FI_IND"/>
    <x v="22"/>
    <n v="67.680000000000007"/>
    <n v="18.8"/>
  </r>
  <r>
    <x v="0"/>
    <x v="23"/>
    <x v="2"/>
    <x v="3"/>
    <s v="FI_IND"/>
    <x v="23"/>
    <n v="0.31515896120488701"/>
    <n v="8.7544155890246306E-2"/>
  </r>
  <r>
    <x v="0"/>
    <x v="23"/>
    <x v="2"/>
    <x v="3"/>
    <s v="FI_IND"/>
    <x v="24"/>
    <n v="19.174223581093901"/>
    <n v="5.32617321697054"/>
  </r>
  <r>
    <x v="0"/>
    <x v="23"/>
    <x v="2"/>
    <x v="3"/>
    <s v="FI_IND"/>
    <x v="25"/>
    <n v="25.6652953012922"/>
    <n v="7.1292486948033904"/>
  </r>
  <r>
    <x v="0"/>
    <x v="23"/>
    <x v="2"/>
    <x v="3"/>
    <s v="FI_IND"/>
    <x v="26"/>
    <n v="32.971098611263102"/>
    <n v="9.1586385031286301"/>
  </r>
  <r>
    <x v="0"/>
    <x v="23"/>
    <x v="2"/>
    <x v="3"/>
    <s v="FI_IND"/>
    <x v="27"/>
    <n v="20.163995508318798"/>
    <n v="5.6011098634218799"/>
  </r>
  <r>
    <x v="0"/>
    <x v="23"/>
    <x v="2"/>
    <x v="3"/>
    <s v="FI_Offshore"/>
    <x v="1"/>
    <n v="35.989199999999997"/>
    <n v="9.9969999999999999"/>
  </r>
  <r>
    <x v="0"/>
    <x v="23"/>
    <x v="2"/>
    <x v="3"/>
    <s v="FI_Offshore"/>
    <x v="2"/>
    <n v="46.08"/>
    <n v="12.8"/>
  </r>
  <r>
    <x v="0"/>
    <x v="23"/>
    <x v="2"/>
    <x v="3"/>
    <s v="FI_Offshore"/>
    <x v="0"/>
    <n v="42.692399999999999"/>
    <n v="11.859"/>
  </r>
  <r>
    <x v="0"/>
    <x v="23"/>
    <x v="2"/>
    <x v="3"/>
    <s v="FI_Offshore"/>
    <x v="3"/>
    <n v="51.633543144067197"/>
    <n v="14.342650873352"/>
  </r>
  <r>
    <x v="0"/>
    <x v="23"/>
    <x v="2"/>
    <x v="3"/>
    <s v="FI_Offshore"/>
    <x v="4"/>
    <n v="10.7598541839271"/>
    <n v="2.9888483844241902"/>
  </r>
  <r>
    <x v="0"/>
    <x v="23"/>
    <x v="2"/>
    <x v="3"/>
    <s v="FI_Offshore"/>
    <x v="5"/>
    <n v="10.7598541839271"/>
    <n v="2.9888483844241902"/>
  </r>
  <r>
    <x v="0"/>
    <x v="23"/>
    <x v="2"/>
    <x v="3"/>
    <s v="FI_Offshore"/>
    <x v="6"/>
    <n v="29.476231795214598"/>
    <n v="8.1878421653373898"/>
  </r>
  <r>
    <x v="0"/>
    <x v="23"/>
    <x v="2"/>
    <x v="3"/>
    <s v="FI_Offshore"/>
    <x v="7"/>
    <n v="57.838935220261199"/>
    <n v="16.066370894517"/>
  </r>
  <r>
    <x v="0"/>
    <x v="23"/>
    <x v="2"/>
    <x v="3"/>
    <s v="FI_Offshore"/>
    <x v="8"/>
    <n v="57.838935220261199"/>
    <n v="16.066370894517"/>
  </r>
  <r>
    <x v="0"/>
    <x v="23"/>
    <x v="2"/>
    <x v="3"/>
    <s v="FI_Offshore"/>
    <x v="9"/>
    <n v="47.978366197183199"/>
    <n v="13.327323943662"/>
  </r>
  <r>
    <x v="0"/>
    <x v="23"/>
    <x v="2"/>
    <x v="3"/>
    <s v="FI_Offshore"/>
    <x v="10"/>
    <n v="63.1479966859984"/>
    <n v="17.541110190555099"/>
  </r>
  <r>
    <x v="0"/>
    <x v="23"/>
    <x v="2"/>
    <x v="3"/>
    <s v="FI_Offshore"/>
    <x v="11"/>
    <n v="5.9972957746478999"/>
    <n v="1.66591549295775"/>
  </r>
  <r>
    <x v="0"/>
    <x v="23"/>
    <x v="2"/>
    <x v="3"/>
    <s v="FI_Offshore"/>
    <x v="12"/>
    <n v="9.7995028997514597E-2"/>
    <n v="2.72208413881985E-2"/>
  </r>
  <r>
    <x v="0"/>
    <x v="23"/>
    <x v="2"/>
    <x v="3"/>
    <s v="FI_Offshore"/>
    <x v="13"/>
    <n v="26.987830985915501"/>
    <n v="7.4966197183098604"/>
  </r>
  <r>
    <x v="0"/>
    <x v="23"/>
    <x v="2"/>
    <x v="3"/>
    <s v="FI_Offshore"/>
    <x v="14"/>
    <n v="26.987830985915501"/>
    <n v="7.4966197183098604"/>
  </r>
  <r>
    <x v="0"/>
    <x v="23"/>
    <x v="2"/>
    <x v="3"/>
    <s v="FI_Offshore"/>
    <x v="15"/>
    <n v="1.65807589063794"/>
    <n v="0.46057663628831802"/>
  </r>
  <r>
    <x v="0"/>
    <x v="23"/>
    <x v="2"/>
    <x v="3"/>
    <s v="FI_Offshore"/>
    <x v="16"/>
    <n v="6.6307647887493104"/>
    <n v="1.84187910798592"/>
  </r>
  <r>
    <x v="0"/>
    <x v="23"/>
    <x v="2"/>
    <x v="3"/>
    <s v="FI_Offshore"/>
    <x v="17"/>
    <n v="9.1244895875632395"/>
    <n v="2.5345804409897901"/>
  </r>
  <r>
    <x v="0"/>
    <x v="23"/>
    <x v="2"/>
    <x v="3"/>
    <s v="FI_Offshore"/>
    <x v="18"/>
    <n v="26.987830985915501"/>
    <n v="7.4966197183098604"/>
  </r>
  <r>
    <x v="0"/>
    <x v="23"/>
    <x v="2"/>
    <x v="3"/>
    <s v="FI_Offshore"/>
    <x v="19"/>
    <n v="8.1139884009941898"/>
    <n v="2.2538856669428302"/>
  </r>
  <r>
    <x v="0"/>
    <x v="23"/>
    <x v="2"/>
    <x v="3"/>
    <s v="FI_Offshore"/>
    <x v="20"/>
    <n v="21.7877183939536"/>
    <n v="6.0521439983204397"/>
  </r>
  <r>
    <x v="0"/>
    <x v="23"/>
    <x v="2"/>
    <x v="3"/>
    <s v="FI_Offshore"/>
    <x v="21"/>
    <n v="48.24"/>
    <n v="13.4"/>
  </r>
  <r>
    <x v="0"/>
    <x v="23"/>
    <x v="2"/>
    <x v="3"/>
    <s v="FI_Offshore"/>
    <x v="22"/>
    <n v="67.680000000000007"/>
    <n v="18.8"/>
  </r>
  <r>
    <x v="0"/>
    <x v="23"/>
    <x v="2"/>
    <x v="3"/>
    <s v="FI_Offshore"/>
    <x v="23"/>
    <n v="0.31515896120488701"/>
    <n v="8.7544155890246306E-2"/>
  </r>
  <r>
    <x v="0"/>
    <x v="23"/>
    <x v="2"/>
    <x v="3"/>
    <s v="FI_Offshore"/>
    <x v="24"/>
    <n v="19.174223581093901"/>
    <n v="5.32617321697054"/>
  </r>
  <r>
    <x v="0"/>
    <x v="23"/>
    <x v="2"/>
    <x v="3"/>
    <s v="FI_Offshore"/>
    <x v="25"/>
    <n v="25.6652953012922"/>
    <n v="7.1292486948033904"/>
  </r>
  <r>
    <x v="0"/>
    <x v="23"/>
    <x v="2"/>
    <x v="3"/>
    <s v="FI_Offshore"/>
    <x v="26"/>
    <n v="32.971098611263102"/>
    <n v="9.1586385031286301"/>
  </r>
  <r>
    <x v="0"/>
    <x v="23"/>
    <x v="2"/>
    <x v="3"/>
    <s v="FI_Offshore"/>
    <x v="27"/>
    <n v="20.163995508318798"/>
    <n v="5.6011098634218799"/>
  </r>
  <r>
    <x v="0"/>
    <x v="23"/>
    <x v="2"/>
    <x v="3"/>
    <s v="FI_large"/>
    <x v="1"/>
    <n v="35.989199999999997"/>
    <n v="9.9969999999999999"/>
  </r>
  <r>
    <x v="0"/>
    <x v="23"/>
    <x v="2"/>
    <x v="3"/>
    <s v="FI_large"/>
    <x v="2"/>
    <n v="46.08"/>
    <n v="12.8"/>
  </r>
  <r>
    <x v="0"/>
    <x v="23"/>
    <x v="2"/>
    <x v="3"/>
    <s v="FI_large"/>
    <x v="0"/>
    <n v="42.692399999999999"/>
    <n v="11.859"/>
  </r>
  <r>
    <x v="0"/>
    <x v="23"/>
    <x v="2"/>
    <x v="3"/>
    <s v="FI_large"/>
    <x v="3"/>
    <n v="51.633543144067197"/>
    <n v="14.342650873352"/>
  </r>
  <r>
    <x v="0"/>
    <x v="23"/>
    <x v="2"/>
    <x v="3"/>
    <s v="FI_large"/>
    <x v="4"/>
    <n v="10.7598541839271"/>
    <n v="2.9888483844241902"/>
  </r>
  <r>
    <x v="0"/>
    <x v="23"/>
    <x v="2"/>
    <x v="3"/>
    <s v="FI_large"/>
    <x v="5"/>
    <n v="10.7598541839271"/>
    <n v="2.9888483844241902"/>
  </r>
  <r>
    <x v="0"/>
    <x v="23"/>
    <x v="2"/>
    <x v="3"/>
    <s v="FI_large"/>
    <x v="6"/>
    <n v="29.476231795214598"/>
    <n v="8.1878421653373898"/>
  </r>
  <r>
    <x v="0"/>
    <x v="23"/>
    <x v="2"/>
    <x v="3"/>
    <s v="FI_large"/>
    <x v="7"/>
    <n v="57.838935220261199"/>
    <n v="16.066370894517"/>
  </r>
  <r>
    <x v="0"/>
    <x v="23"/>
    <x v="2"/>
    <x v="3"/>
    <s v="FI_large"/>
    <x v="8"/>
    <n v="57.838935220261199"/>
    <n v="16.066370894517"/>
  </r>
  <r>
    <x v="0"/>
    <x v="23"/>
    <x v="2"/>
    <x v="3"/>
    <s v="FI_large"/>
    <x v="9"/>
    <n v="47.978366197183199"/>
    <n v="13.327323943662"/>
  </r>
  <r>
    <x v="0"/>
    <x v="23"/>
    <x v="2"/>
    <x v="3"/>
    <s v="FI_large"/>
    <x v="10"/>
    <n v="63.1479966859984"/>
    <n v="17.541110190555099"/>
  </r>
  <r>
    <x v="0"/>
    <x v="23"/>
    <x v="2"/>
    <x v="3"/>
    <s v="FI_large"/>
    <x v="11"/>
    <n v="5.9972957746478999"/>
    <n v="1.66591549295775"/>
  </r>
  <r>
    <x v="0"/>
    <x v="23"/>
    <x v="2"/>
    <x v="3"/>
    <s v="FI_large"/>
    <x v="12"/>
    <n v="9.7995028997514597E-2"/>
    <n v="2.72208413881985E-2"/>
  </r>
  <r>
    <x v="0"/>
    <x v="23"/>
    <x v="2"/>
    <x v="3"/>
    <s v="FI_large"/>
    <x v="13"/>
    <n v="26.987830985915501"/>
    <n v="7.4966197183098604"/>
  </r>
  <r>
    <x v="0"/>
    <x v="23"/>
    <x v="2"/>
    <x v="3"/>
    <s v="FI_large"/>
    <x v="14"/>
    <n v="26.987830985915501"/>
    <n v="7.4966197183098604"/>
  </r>
  <r>
    <x v="0"/>
    <x v="23"/>
    <x v="2"/>
    <x v="3"/>
    <s v="FI_large"/>
    <x v="15"/>
    <n v="1.65807589063794"/>
    <n v="0.46057663628831802"/>
  </r>
  <r>
    <x v="0"/>
    <x v="23"/>
    <x v="2"/>
    <x v="3"/>
    <s v="FI_large"/>
    <x v="16"/>
    <n v="6.6307647887493104"/>
    <n v="1.84187910798592"/>
  </r>
  <r>
    <x v="0"/>
    <x v="23"/>
    <x v="2"/>
    <x v="3"/>
    <s v="FI_large"/>
    <x v="17"/>
    <n v="9.1244895875632395"/>
    <n v="2.5345804409897901"/>
  </r>
  <r>
    <x v="0"/>
    <x v="23"/>
    <x v="2"/>
    <x v="3"/>
    <s v="FI_large"/>
    <x v="18"/>
    <n v="26.987830985915501"/>
    <n v="7.4966197183098604"/>
  </r>
  <r>
    <x v="0"/>
    <x v="23"/>
    <x v="2"/>
    <x v="3"/>
    <s v="FI_large"/>
    <x v="19"/>
    <n v="8.1139884009941898"/>
    <n v="2.2538856669428302"/>
  </r>
  <r>
    <x v="0"/>
    <x v="23"/>
    <x v="2"/>
    <x v="3"/>
    <s v="FI_large"/>
    <x v="20"/>
    <n v="21.7877183939536"/>
    <n v="6.0521439983204397"/>
  </r>
  <r>
    <x v="0"/>
    <x v="23"/>
    <x v="2"/>
    <x v="3"/>
    <s v="FI_large"/>
    <x v="21"/>
    <n v="48.24"/>
    <n v="13.4"/>
  </r>
  <r>
    <x v="0"/>
    <x v="23"/>
    <x v="2"/>
    <x v="3"/>
    <s v="FI_large"/>
    <x v="22"/>
    <n v="67.680000000000007"/>
    <n v="18.8"/>
  </r>
  <r>
    <x v="0"/>
    <x v="23"/>
    <x v="2"/>
    <x v="3"/>
    <s v="FI_large"/>
    <x v="23"/>
    <n v="0.31515896120488701"/>
    <n v="8.7544155890246306E-2"/>
  </r>
  <r>
    <x v="0"/>
    <x v="23"/>
    <x v="2"/>
    <x v="3"/>
    <s v="FI_large"/>
    <x v="24"/>
    <n v="19.174223581093901"/>
    <n v="5.32617321697054"/>
  </r>
  <r>
    <x v="0"/>
    <x v="23"/>
    <x v="2"/>
    <x v="3"/>
    <s v="FI_large"/>
    <x v="25"/>
    <n v="25.6652953012922"/>
    <n v="7.1292486948033904"/>
  </r>
  <r>
    <x v="0"/>
    <x v="23"/>
    <x v="2"/>
    <x v="3"/>
    <s v="FI_large"/>
    <x v="26"/>
    <n v="32.971098611263102"/>
    <n v="9.1586385031286301"/>
  </r>
  <r>
    <x v="0"/>
    <x v="23"/>
    <x v="2"/>
    <x v="3"/>
    <s v="FI_large"/>
    <x v="27"/>
    <n v="20.163995508318798"/>
    <n v="5.6011098634218799"/>
  </r>
  <r>
    <x v="0"/>
    <x v="23"/>
    <x v="2"/>
    <x v="3"/>
    <s v="FI_large_gas"/>
    <x v="1"/>
    <n v="35.989199999999997"/>
    <n v="9.9969999999999999"/>
  </r>
  <r>
    <x v="0"/>
    <x v="23"/>
    <x v="2"/>
    <x v="3"/>
    <s v="FI_large_gas"/>
    <x v="2"/>
    <n v="46.08"/>
    <n v="12.8"/>
  </r>
  <r>
    <x v="0"/>
    <x v="23"/>
    <x v="2"/>
    <x v="3"/>
    <s v="FI_large_gas"/>
    <x v="0"/>
    <n v="42.692399999999999"/>
    <n v="11.859"/>
  </r>
  <r>
    <x v="0"/>
    <x v="23"/>
    <x v="2"/>
    <x v="3"/>
    <s v="FI_large_gas"/>
    <x v="3"/>
    <n v="51.633543144067197"/>
    <n v="14.342650873352"/>
  </r>
  <r>
    <x v="0"/>
    <x v="23"/>
    <x v="2"/>
    <x v="3"/>
    <s v="FI_large_gas"/>
    <x v="4"/>
    <n v="10.7598541839271"/>
    <n v="2.9888483844241902"/>
  </r>
  <r>
    <x v="0"/>
    <x v="23"/>
    <x v="2"/>
    <x v="3"/>
    <s v="FI_large_gas"/>
    <x v="5"/>
    <n v="10.7598541839271"/>
    <n v="2.9888483844241902"/>
  </r>
  <r>
    <x v="0"/>
    <x v="23"/>
    <x v="2"/>
    <x v="3"/>
    <s v="FI_large_gas"/>
    <x v="6"/>
    <n v="29.476231795214598"/>
    <n v="8.1878421653373898"/>
  </r>
  <r>
    <x v="0"/>
    <x v="23"/>
    <x v="2"/>
    <x v="3"/>
    <s v="FI_large_gas"/>
    <x v="7"/>
    <n v="57.838935220261199"/>
    <n v="16.066370894517"/>
  </r>
  <r>
    <x v="0"/>
    <x v="23"/>
    <x v="2"/>
    <x v="3"/>
    <s v="FI_large_gas"/>
    <x v="8"/>
    <n v="57.838935220261199"/>
    <n v="16.066370894517"/>
  </r>
  <r>
    <x v="0"/>
    <x v="23"/>
    <x v="2"/>
    <x v="3"/>
    <s v="FI_large_gas"/>
    <x v="9"/>
    <n v="47.978366197183199"/>
    <n v="13.327323943662"/>
  </r>
  <r>
    <x v="0"/>
    <x v="23"/>
    <x v="2"/>
    <x v="3"/>
    <s v="FI_large_gas"/>
    <x v="10"/>
    <n v="63.1479966859984"/>
    <n v="17.541110190555099"/>
  </r>
  <r>
    <x v="0"/>
    <x v="23"/>
    <x v="2"/>
    <x v="3"/>
    <s v="FI_large_gas"/>
    <x v="11"/>
    <n v="5.9972957746478999"/>
    <n v="1.66591549295775"/>
  </r>
  <r>
    <x v="0"/>
    <x v="23"/>
    <x v="2"/>
    <x v="3"/>
    <s v="FI_large_gas"/>
    <x v="12"/>
    <n v="9.7995028997514597E-2"/>
    <n v="2.72208413881985E-2"/>
  </r>
  <r>
    <x v="0"/>
    <x v="23"/>
    <x v="2"/>
    <x v="3"/>
    <s v="FI_large_gas"/>
    <x v="13"/>
    <n v="26.987830985915501"/>
    <n v="7.4966197183098604"/>
  </r>
  <r>
    <x v="0"/>
    <x v="23"/>
    <x v="2"/>
    <x v="3"/>
    <s v="FI_large_gas"/>
    <x v="14"/>
    <n v="26.987830985915501"/>
    <n v="7.4966197183098604"/>
  </r>
  <r>
    <x v="0"/>
    <x v="23"/>
    <x v="2"/>
    <x v="3"/>
    <s v="FI_large_gas"/>
    <x v="15"/>
    <n v="1.65807589063794"/>
    <n v="0.46057663628831802"/>
  </r>
  <r>
    <x v="0"/>
    <x v="23"/>
    <x v="2"/>
    <x v="3"/>
    <s v="FI_large_gas"/>
    <x v="16"/>
    <n v="6.6307647887493104"/>
    <n v="1.84187910798592"/>
  </r>
  <r>
    <x v="0"/>
    <x v="23"/>
    <x v="2"/>
    <x v="3"/>
    <s v="FI_large_gas"/>
    <x v="17"/>
    <n v="9.1244895875632395"/>
    <n v="2.5345804409897901"/>
  </r>
  <r>
    <x v="0"/>
    <x v="23"/>
    <x v="2"/>
    <x v="3"/>
    <s v="FI_large_gas"/>
    <x v="18"/>
    <n v="26.987830985915501"/>
    <n v="7.4966197183098604"/>
  </r>
  <r>
    <x v="0"/>
    <x v="23"/>
    <x v="2"/>
    <x v="3"/>
    <s v="FI_large_gas"/>
    <x v="19"/>
    <n v="8.1139884009941898"/>
    <n v="2.2538856669428302"/>
  </r>
  <r>
    <x v="0"/>
    <x v="23"/>
    <x v="2"/>
    <x v="3"/>
    <s v="FI_large_gas"/>
    <x v="20"/>
    <n v="21.7877183939536"/>
    <n v="6.0521439983204397"/>
  </r>
  <r>
    <x v="0"/>
    <x v="23"/>
    <x v="2"/>
    <x v="3"/>
    <s v="FI_large_gas"/>
    <x v="21"/>
    <n v="48.24"/>
    <n v="13.4"/>
  </r>
  <r>
    <x v="0"/>
    <x v="23"/>
    <x v="2"/>
    <x v="3"/>
    <s v="FI_large_gas"/>
    <x v="22"/>
    <n v="67.680000000000007"/>
    <n v="18.8"/>
  </r>
  <r>
    <x v="0"/>
    <x v="23"/>
    <x v="2"/>
    <x v="3"/>
    <s v="FI_large_gas"/>
    <x v="23"/>
    <n v="0.31515896120488701"/>
    <n v="8.7544155890246306E-2"/>
  </r>
  <r>
    <x v="0"/>
    <x v="23"/>
    <x v="2"/>
    <x v="3"/>
    <s v="FI_large_gas"/>
    <x v="24"/>
    <n v="19.174223581093901"/>
    <n v="5.32617321697054"/>
  </r>
  <r>
    <x v="0"/>
    <x v="23"/>
    <x v="2"/>
    <x v="3"/>
    <s v="FI_large_gas"/>
    <x v="25"/>
    <n v="25.6652953012922"/>
    <n v="7.1292486948033904"/>
  </r>
  <r>
    <x v="0"/>
    <x v="23"/>
    <x v="2"/>
    <x v="3"/>
    <s v="FI_large_gas"/>
    <x v="26"/>
    <n v="32.971098611263102"/>
    <n v="9.1586385031286301"/>
  </r>
  <r>
    <x v="0"/>
    <x v="23"/>
    <x v="2"/>
    <x v="3"/>
    <s v="FI_large_gas"/>
    <x v="27"/>
    <n v="20.163995508318798"/>
    <n v="5.6011098634218799"/>
  </r>
  <r>
    <x v="0"/>
    <x v="23"/>
    <x v="2"/>
    <x v="3"/>
    <s v="FI_medium"/>
    <x v="1"/>
    <n v="35.989199999999997"/>
    <n v="9.9969999999999999"/>
  </r>
  <r>
    <x v="0"/>
    <x v="23"/>
    <x v="2"/>
    <x v="3"/>
    <s v="FI_medium"/>
    <x v="2"/>
    <n v="46.08"/>
    <n v="12.8"/>
  </r>
  <r>
    <x v="0"/>
    <x v="23"/>
    <x v="2"/>
    <x v="3"/>
    <s v="FI_medium"/>
    <x v="0"/>
    <n v="42.692399999999999"/>
    <n v="11.859"/>
  </r>
  <r>
    <x v="0"/>
    <x v="23"/>
    <x v="2"/>
    <x v="3"/>
    <s v="FI_medium"/>
    <x v="3"/>
    <n v="51.633543144067197"/>
    <n v="14.342650873352"/>
  </r>
  <r>
    <x v="0"/>
    <x v="23"/>
    <x v="2"/>
    <x v="3"/>
    <s v="FI_medium"/>
    <x v="4"/>
    <n v="10.7598541839271"/>
    <n v="2.9888483844241902"/>
  </r>
  <r>
    <x v="0"/>
    <x v="23"/>
    <x v="2"/>
    <x v="3"/>
    <s v="FI_medium"/>
    <x v="5"/>
    <n v="10.7598541839271"/>
    <n v="2.9888483844241902"/>
  </r>
  <r>
    <x v="0"/>
    <x v="23"/>
    <x v="2"/>
    <x v="3"/>
    <s v="FI_medium"/>
    <x v="6"/>
    <n v="29.476231795214598"/>
    <n v="8.1878421653373898"/>
  </r>
  <r>
    <x v="0"/>
    <x v="23"/>
    <x v="2"/>
    <x v="3"/>
    <s v="FI_medium"/>
    <x v="7"/>
    <n v="57.838935220261199"/>
    <n v="16.066370894517"/>
  </r>
  <r>
    <x v="0"/>
    <x v="23"/>
    <x v="2"/>
    <x v="3"/>
    <s v="FI_medium"/>
    <x v="8"/>
    <n v="57.838935220261199"/>
    <n v="16.066370894517"/>
  </r>
  <r>
    <x v="0"/>
    <x v="23"/>
    <x v="2"/>
    <x v="3"/>
    <s v="FI_medium"/>
    <x v="9"/>
    <n v="47.978366197183199"/>
    <n v="13.327323943662"/>
  </r>
  <r>
    <x v="0"/>
    <x v="23"/>
    <x v="2"/>
    <x v="3"/>
    <s v="FI_medium"/>
    <x v="10"/>
    <n v="63.1479966859984"/>
    <n v="17.541110190555099"/>
  </r>
  <r>
    <x v="0"/>
    <x v="23"/>
    <x v="2"/>
    <x v="3"/>
    <s v="FI_medium"/>
    <x v="11"/>
    <n v="5.9972957746478999"/>
    <n v="1.66591549295775"/>
  </r>
  <r>
    <x v="0"/>
    <x v="23"/>
    <x v="2"/>
    <x v="3"/>
    <s v="FI_medium"/>
    <x v="12"/>
    <n v="9.7995028997514597E-2"/>
    <n v="2.72208413881985E-2"/>
  </r>
  <r>
    <x v="0"/>
    <x v="23"/>
    <x v="2"/>
    <x v="3"/>
    <s v="FI_medium"/>
    <x v="13"/>
    <n v="26.987830985915501"/>
    <n v="7.4966197183098604"/>
  </r>
  <r>
    <x v="0"/>
    <x v="23"/>
    <x v="2"/>
    <x v="3"/>
    <s v="FI_medium"/>
    <x v="14"/>
    <n v="26.987830985915501"/>
    <n v="7.4966197183098604"/>
  </r>
  <r>
    <x v="0"/>
    <x v="23"/>
    <x v="2"/>
    <x v="3"/>
    <s v="FI_medium"/>
    <x v="15"/>
    <n v="1.65807589063794"/>
    <n v="0.46057663628831802"/>
  </r>
  <r>
    <x v="0"/>
    <x v="23"/>
    <x v="2"/>
    <x v="3"/>
    <s v="FI_medium"/>
    <x v="16"/>
    <n v="6.6307647887493104"/>
    <n v="1.84187910798592"/>
  </r>
  <r>
    <x v="0"/>
    <x v="23"/>
    <x v="2"/>
    <x v="3"/>
    <s v="FI_medium"/>
    <x v="17"/>
    <n v="9.1244895875632395"/>
    <n v="2.5345804409897901"/>
  </r>
  <r>
    <x v="0"/>
    <x v="23"/>
    <x v="2"/>
    <x v="3"/>
    <s v="FI_medium"/>
    <x v="18"/>
    <n v="26.987830985915501"/>
    <n v="7.4966197183098604"/>
  </r>
  <r>
    <x v="0"/>
    <x v="23"/>
    <x v="2"/>
    <x v="3"/>
    <s v="FI_medium"/>
    <x v="19"/>
    <n v="8.1139884009941898"/>
    <n v="2.2538856669428302"/>
  </r>
  <r>
    <x v="0"/>
    <x v="23"/>
    <x v="2"/>
    <x v="3"/>
    <s v="FI_medium"/>
    <x v="20"/>
    <n v="21.7877183939536"/>
    <n v="6.0521439983204397"/>
  </r>
  <r>
    <x v="0"/>
    <x v="23"/>
    <x v="2"/>
    <x v="3"/>
    <s v="FI_medium"/>
    <x v="21"/>
    <n v="48.24"/>
    <n v="13.4"/>
  </r>
  <r>
    <x v="0"/>
    <x v="23"/>
    <x v="2"/>
    <x v="3"/>
    <s v="FI_medium"/>
    <x v="22"/>
    <n v="67.680000000000007"/>
    <n v="18.8"/>
  </r>
  <r>
    <x v="0"/>
    <x v="23"/>
    <x v="2"/>
    <x v="3"/>
    <s v="FI_medium"/>
    <x v="23"/>
    <n v="0.31515896120488701"/>
    <n v="8.7544155890246306E-2"/>
  </r>
  <r>
    <x v="0"/>
    <x v="23"/>
    <x v="2"/>
    <x v="3"/>
    <s v="FI_medium"/>
    <x v="24"/>
    <n v="19.174223581093901"/>
    <n v="5.32617321697054"/>
  </r>
  <r>
    <x v="0"/>
    <x v="23"/>
    <x v="2"/>
    <x v="3"/>
    <s v="FI_medium"/>
    <x v="25"/>
    <n v="25.6652953012922"/>
    <n v="7.1292486948033904"/>
  </r>
  <r>
    <x v="0"/>
    <x v="23"/>
    <x v="2"/>
    <x v="3"/>
    <s v="FI_medium"/>
    <x v="26"/>
    <n v="32.971098611263102"/>
    <n v="9.1586385031286301"/>
  </r>
  <r>
    <x v="0"/>
    <x v="23"/>
    <x v="2"/>
    <x v="3"/>
    <s v="FI_medium"/>
    <x v="27"/>
    <n v="20.163995508318798"/>
    <n v="5.6011098634218799"/>
  </r>
  <r>
    <x v="0"/>
    <x v="23"/>
    <x v="2"/>
    <x v="3"/>
    <s v="FI_medium_gas"/>
    <x v="1"/>
    <n v="35.989199999999997"/>
    <n v="9.9969999999999999"/>
  </r>
  <r>
    <x v="0"/>
    <x v="23"/>
    <x v="2"/>
    <x v="3"/>
    <s v="FI_medium_gas"/>
    <x v="2"/>
    <n v="46.08"/>
    <n v="12.8"/>
  </r>
  <r>
    <x v="0"/>
    <x v="23"/>
    <x v="2"/>
    <x v="3"/>
    <s v="FI_medium_gas"/>
    <x v="0"/>
    <n v="42.692399999999999"/>
    <n v="11.859"/>
  </r>
  <r>
    <x v="0"/>
    <x v="23"/>
    <x v="2"/>
    <x v="3"/>
    <s v="FI_medium_gas"/>
    <x v="3"/>
    <n v="51.633543144067197"/>
    <n v="14.342650873352"/>
  </r>
  <r>
    <x v="0"/>
    <x v="23"/>
    <x v="2"/>
    <x v="3"/>
    <s v="FI_medium_gas"/>
    <x v="4"/>
    <n v="10.7598541839271"/>
    <n v="2.9888483844241902"/>
  </r>
  <r>
    <x v="0"/>
    <x v="23"/>
    <x v="2"/>
    <x v="3"/>
    <s v="FI_medium_gas"/>
    <x v="5"/>
    <n v="10.7598541839271"/>
    <n v="2.9888483844241902"/>
  </r>
  <r>
    <x v="0"/>
    <x v="23"/>
    <x v="2"/>
    <x v="3"/>
    <s v="FI_medium_gas"/>
    <x v="6"/>
    <n v="29.476231795214598"/>
    <n v="8.1878421653373898"/>
  </r>
  <r>
    <x v="0"/>
    <x v="23"/>
    <x v="2"/>
    <x v="3"/>
    <s v="FI_medium_gas"/>
    <x v="7"/>
    <n v="57.838935220261199"/>
    <n v="16.066370894517"/>
  </r>
  <r>
    <x v="0"/>
    <x v="23"/>
    <x v="2"/>
    <x v="3"/>
    <s v="FI_medium_gas"/>
    <x v="8"/>
    <n v="57.838935220261199"/>
    <n v="16.066370894517"/>
  </r>
  <r>
    <x v="0"/>
    <x v="23"/>
    <x v="2"/>
    <x v="3"/>
    <s v="FI_medium_gas"/>
    <x v="9"/>
    <n v="47.978366197183199"/>
    <n v="13.327323943662"/>
  </r>
  <r>
    <x v="0"/>
    <x v="23"/>
    <x v="2"/>
    <x v="3"/>
    <s v="FI_medium_gas"/>
    <x v="10"/>
    <n v="63.1479966859984"/>
    <n v="17.541110190555099"/>
  </r>
  <r>
    <x v="0"/>
    <x v="23"/>
    <x v="2"/>
    <x v="3"/>
    <s v="FI_medium_gas"/>
    <x v="11"/>
    <n v="5.9972957746478999"/>
    <n v="1.66591549295775"/>
  </r>
  <r>
    <x v="0"/>
    <x v="23"/>
    <x v="2"/>
    <x v="3"/>
    <s v="FI_medium_gas"/>
    <x v="12"/>
    <n v="9.7995028997514597E-2"/>
    <n v="2.72208413881985E-2"/>
  </r>
  <r>
    <x v="0"/>
    <x v="23"/>
    <x v="2"/>
    <x v="3"/>
    <s v="FI_medium_gas"/>
    <x v="13"/>
    <n v="26.987830985915501"/>
    <n v="7.4966197183098604"/>
  </r>
  <r>
    <x v="0"/>
    <x v="23"/>
    <x v="2"/>
    <x v="3"/>
    <s v="FI_medium_gas"/>
    <x v="14"/>
    <n v="26.987830985915501"/>
    <n v="7.4966197183098604"/>
  </r>
  <r>
    <x v="0"/>
    <x v="23"/>
    <x v="2"/>
    <x v="3"/>
    <s v="FI_medium_gas"/>
    <x v="15"/>
    <n v="1.65807589063794"/>
    <n v="0.46057663628831802"/>
  </r>
  <r>
    <x v="0"/>
    <x v="23"/>
    <x v="2"/>
    <x v="3"/>
    <s v="FI_medium_gas"/>
    <x v="16"/>
    <n v="6.6307647887493104"/>
    <n v="1.84187910798592"/>
  </r>
  <r>
    <x v="0"/>
    <x v="23"/>
    <x v="2"/>
    <x v="3"/>
    <s v="FI_medium_gas"/>
    <x v="17"/>
    <n v="9.1244895875632395"/>
    <n v="2.5345804409897901"/>
  </r>
  <r>
    <x v="0"/>
    <x v="23"/>
    <x v="2"/>
    <x v="3"/>
    <s v="FI_medium_gas"/>
    <x v="18"/>
    <n v="26.987830985915501"/>
    <n v="7.4966197183098604"/>
  </r>
  <r>
    <x v="0"/>
    <x v="23"/>
    <x v="2"/>
    <x v="3"/>
    <s v="FI_medium_gas"/>
    <x v="19"/>
    <n v="8.1139884009941898"/>
    <n v="2.2538856669428302"/>
  </r>
  <r>
    <x v="0"/>
    <x v="23"/>
    <x v="2"/>
    <x v="3"/>
    <s v="FI_medium_gas"/>
    <x v="20"/>
    <n v="21.7877183939536"/>
    <n v="6.0521439983204397"/>
  </r>
  <r>
    <x v="0"/>
    <x v="23"/>
    <x v="2"/>
    <x v="3"/>
    <s v="FI_medium_gas"/>
    <x v="21"/>
    <n v="48.24"/>
    <n v="13.4"/>
  </r>
  <r>
    <x v="0"/>
    <x v="23"/>
    <x v="2"/>
    <x v="3"/>
    <s v="FI_medium_gas"/>
    <x v="22"/>
    <n v="67.680000000000007"/>
    <n v="18.8"/>
  </r>
  <r>
    <x v="0"/>
    <x v="23"/>
    <x v="2"/>
    <x v="3"/>
    <s v="FI_medium_gas"/>
    <x v="23"/>
    <n v="0.31515896120488701"/>
    <n v="8.7544155890246306E-2"/>
  </r>
  <r>
    <x v="0"/>
    <x v="23"/>
    <x v="2"/>
    <x v="3"/>
    <s v="FI_medium_gas"/>
    <x v="24"/>
    <n v="19.174223581093901"/>
    <n v="5.32617321697054"/>
  </r>
  <r>
    <x v="0"/>
    <x v="23"/>
    <x v="2"/>
    <x v="3"/>
    <s v="FI_medium_gas"/>
    <x v="25"/>
    <n v="25.6652953012922"/>
    <n v="7.1292486948033904"/>
  </r>
  <r>
    <x v="0"/>
    <x v="23"/>
    <x v="2"/>
    <x v="3"/>
    <s v="FI_medium_gas"/>
    <x v="26"/>
    <n v="32.971098611263102"/>
    <n v="9.1586385031286301"/>
  </r>
  <r>
    <x v="0"/>
    <x v="23"/>
    <x v="2"/>
    <x v="3"/>
    <s v="FI_medium_gas"/>
    <x v="27"/>
    <n v="20.163995508318798"/>
    <n v="5.6011098634218799"/>
  </r>
  <r>
    <x v="0"/>
    <x v="23"/>
    <x v="2"/>
    <x v="3"/>
    <s v="FI_small"/>
    <x v="1"/>
    <n v="35.989199999999997"/>
    <n v="9.9969999999999999"/>
  </r>
  <r>
    <x v="0"/>
    <x v="23"/>
    <x v="2"/>
    <x v="3"/>
    <s v="FI_small"/>
    <x v="2"/>
    <n v="46.08"/>
    <n v="12.8"/>
  </r>
  <r>
    <x v="0"/>
    <x v="23"/>
    <x v="2"/>
    <x v="3"/>
    <s v="FI_small"/>
    <x v="0"/>
    <n v="42.692399999999999"/>
    <n v="11.859"/>
  </r>
  <r>
    <x v="0"/>
    <x v="23"/>
    <x v="2"/>
    <x v="3"/>
    <s v="FI_small"/>
    <x v="3"/>
    <n v="51.633543144067197"/>
    <n v="14.342650873352"/>
  </r>
  <r>
    <x v="0"/>
    <x v="23"/>
    <x v="2"/>
    <x v="3"/>
    <s v="FI_small"/>
    <x v="4"/>
    <n v="10.7598541839271"/>
    <n v="2.9888483844241902"/>
  </r>
  <r>
    <x v="0"/>
    <x v="23"/>
    <x v="2"/>
    <x v="3"/>
    <s v="FI_small"/>
    <x v="5"/>
    <n v="10.7598541839271"/>
    <n v="2.9888483844241902"/>
  </r>
  <r>
    <x v="0"/>
    <x v="23"/>
    <x v="2"/>
    <x v="3"/>
    <s v="FI_small"/>
    <x v="6"/>
    <n v="29.476231795214598"/>
    <n v="8.1878421653373898"/>
  </r>
  <r>
    <x v="0"/>
    <x v="23"/>
    <x v="2"/>
    <x v="3"/>
    <s v="FI_small"/>
    <x v="7"/>
    <n v="57.838935220261199"/>
    <n v="16.066370894517"/>
  </r>
  <r>
    <x v="0"/>
    <x v="23"/>
    <x v="2"/>
    <x v="3"/>
    <s v="FI_small"/>
    <x v="8"/>
    <n v="57.838935220261199"/>
    <n v="16.066370894517"/>
  </r>
  <r>
    <x v="0"/>
    <x v="23"/>
    <x v="2"/>
    <x v="3"/>
    <s v="FI_small"/>
    <x v="9"/>
    <n v="47.978366197183199"/>
    <n v="13.327323943662"/>
  </r>
  <r>
    <x v="0"/>
    <x v="23"/>
    <x v="2"/>
    <x v="3"/>
    <s v="FI_small"/>
    <x v="10"/>
    <n v="63.1479966859984"/>
    <n v="17.541110190555099"/>
  </r>
  <r>
    <x v="0"/>
    <x v="23"/>
    <x v="2"/>
    <x v="3"/>
    <s v="FI_small"/>
    <x v="11"/>
    <n v="5.9972957746478999"/>
    <n v="1.66591549295775"/>
  </r>
  <r>
    <x v="0"/>
    <x v="23"/>
    <x v="2"/>
    <x v="3"/>
    <s v="FI_small"/>
    <x v="12"/>
    <n v="9.7995028997514597E-2"/>
    <n v="2.72208413881985E-2"/>
  </r>
  <r>
    <x v="0"/>
    <x v="23"/>
    <x v="2"/>
    <x v="3"/>
    <s v="FI_small"/>
    <x v="13"/>
    <n v="26.987830985915501"/>
    <n v="7.4966197183098604"/>
  </r>
  <r>
    <x v="0"/>
    <x v="23"/>
    <x v="2"/>
    <x v="3"/>
    <s v="FI_small"/>
    <x v="14"/>
    <n v="26.987830985915501"/>
    <n v="7.4966197183098604"/>
  </r>
  <r>
    <x v="0"/>
    <x v="23"/>
    <x v="2"/>
    <x v="3"/>
    <s v="FI_small"/>
    <x v="15"/>
    <n v="1.65807589063794"/>
    <n v="0.46057663628831802"/>
  </r>
  <r>
    <x v="0"/>
    <x v="23"/>
    <x v="2"/>
    <x v="3"/>
    <s v="FI_small"/>
    <x v="16"/>
    <n v="6.6307647887493104"/>
    <n v="1.84187910798592"/>
  </r>
  <r>
    <x v="0"/>
    <x v="23"/>
    <x v="2"/>
    <x v="3"/>
    <s v="FI_small"/>
    <x v="17"/>
    <n v="9.1244895875632395"/>
    <n v="2.5345804409897901"/>
  </r>
  <r>
    <x v="0"/>
    <x v="23"/>
    <x v="2"/>
    <x v="3"/>
    <s v="FI_small"/>
    <x v="18"/>
    <n v="26.987830985915501"/>
    <n v="7.4966197183098604"/>
  </r>
  <r>
    <x v="0"/>
    <x v="23"/>
    <x v="2"/>
    <x v="3"/>
    <s v="FI_small"/>
    <x v="19"/>
    <n v="8.1139884009941898"/>
    <n v="2.2538856669428302"/>
  </r>
  <r>
    <x v="0"/>
    <x v="23"/>
    <x v="2"/>
    <x v="3"/>
    <s v="FI_small"/>
    <x v="20"/>
    <n v="21.7877183939536"/>
    <n v="6.0521439983204397"/>
  </r>
  <r>
    <x v="0"/>
    <x v="23"/>
    <x v="2"/>
    <x v="3"/>
    <s v="FI_small"/>
    <x v="21"/>
    <n v="48.24"/>
    <n v="13.4"/>
  </r>
  <r>
    <x v="0"/>
    <x v="23"/>
    <x v="2"/>
    <x v="3"/>
    <s v="FI_small"/>
    <x v="22"/>
    <n v="67.680000000000007"/>
    <n v="18.8"/>
  </r>
  <r>
    <x v="0"/>
    <x v="23"/>
    <x v="2"/>
    <x v="3"/>
    <s v="FI_small"/>
    <x v="23"/>
    <n v="0.31515896120488701"/>
    <n v="8.7544155890246306E-2"/>
  </r>
  <r>
    <x v="0"/>
    <x v="23"/>
    <x v="2"/>
    <x v="3"/>
    <s v="FI_small"/>
    <x v="24"/>
    <n v="19.174223581093901"/>
    <n v="5.32617321697054"/>
  </r>
  <r>
    <x v="0"/>
    <x v="23"/>
    <x v="2"/>
    <x v="3"/>
    <s v="FI_small"/>
    <x v="25"/>
    <n v="25.6652953012922"/>
    <n v="7.1292486948033904"/>
  </r>
  <r>
    <x v="0"/>
    <x v="23"/>
    <x v="2"/>
    <x v="3"/>
    <s v="FI_small"/>
    <x v="26"/>
    <n v="32.971098611263102"/>
    <n v="9.1586385031286301"/>
  </r>
  <r>
    <x v="0"/>
    <x v="23"/>
    <x v="2"/>
    <x v="3"/>
    <s v="FI_small"/>
    <x v="27"/>
    <n v="20.163995508318798"/>
    <n v="5.6011098634218799"/>
  </r>
  <r>
    <x v="0"/>
    <x v="23"/>
    <x v="2"/>
    <x v="3"/>
    <s v="FI_small_gas"/>
    <x v="1"/>
    <n v="35.989199999999997"/>
    <n v="9.9969999999999999"/>
  </r>
  <r>
    <x v="0"/>
    <x v="23"/>
    <x v="2"/>
    <x v="3"/>
    <s v="FI_small_gas"/>
    <x v="2"/>
    <n v="46.08"/>
    <n v="12.8"/>
  </r>
  <r>
    <x v="0"/>
    <x v="23"/>
    <x v="2"/>
    <x v="3"/>
    <s v="FI_small_gas"/>
    <x v="0"/>
    <n v="42.692399999999999"/>
    <n v="11.859"/>
  </r>
  <r>
    <x v="0"/>
    <x v="23"/>
    <x v="2"/>
    <x v="3"/>
    <s v="FI_small_gas"/>
    <x v="3"/>
    <n v="51.633543144067197"/>
    <n v="14.342650873352"/>
  </r>
  <r>
    <x v="0"/>
    <x v="23"/>
    <x v="2"/>
    <x v="3"/>
    <s v="FI_small_gas"/>
    <x v="4"/>
    <n v="10.7598541839271"/>
    <n v="2.9888483844241902"/>
  </r>
  <r>
    <x v="0"/>
    <x v="23"/>
    <x v="2"/>
    <x v="3"/>
    <s v="FI_small_gas"/>
    <x v="5"/>
    <n v="10.7598541839271"/>
    <n v="2.9888483844241902"/>
  </r>
  <r>
    <x v="0"/>
    <x v="23"/>
    <x v="2"/>
    <x v="3"/>
    <s v="FI_small_gas"/>
    <x v="6"/>
    <n v="29.476231795214598"/>
    <n v="8.1878421653373898"/>
  </r>
  <r>
    <x v="0"/>
    <x v="23"/>
    <x v="2"/>
    <x v="3"/>
    <s v="FI_small_gas"/>
    <x v="7"/>
    <n v="57.838935220261199"/>
    <n v="16.066370894517"/>
  </r>
  <r>
    <x v="0"/>
    <x v="23"/>
    <x v="2"/>
    <x v="3"/>
    <s v="FI_small_gas"/>
    <x v="8"/>
    <n v="57.838935220261199"/>
    <n v="16.066370894517"/>
  </r>
  <r>
    <x v="0"/>
    <x v="23"/>
    <x v="2"/>
    <x v="3"/>
    <s v="FI_small_gas"/>
    <x v="9"/>
    <n v="47.978366197183199"/>
    <n v="13.327323943662"/>
  </r>
  <r>
    <x v="0"/>
    <x v="23"/>
    <x v="2"/>
    <x v="3"/>
    <s v="FI_small_gas"/>
    <x v="10"/>
    <n v="63.1479966859984"/>
    <n v="17.541110190555099"/>
  </r>
  <r>
    <x v="0"/>
    <x v="23"/>
    <x v="2"/>
    <x v="3"/>
    <s v="FI_small_gas"/>
    <x v="11"/>
    <n v="5.9972957746478999"/>
    <n v="1.66591549295775"/>
  </r>
  <r>
    <x v="0"/>
    <x v="23"/>
    <x v="2"/>
    <x v="3"/>
    <s v="FI_small_gas"/>
    <x v="12"/>
    <n v="9.7995028997514597E-2"/>
    <n v="2.72208413881985E-2"/>
  </r>
  <r>
    <x v="0"/>
    <x v="23"/>
    <x v="2"/>
    <x v="3"/>
    <s v="FI_small_gas"/>
    <x v="13"/>
    <n v="26.987830985915501"/>
    <n v="7.4966197183098604"/>
  </r>
  <r>
    <x v="0"/>
    <x v="23"/>
    <x v="2"/>
    <x v="3"/>
    <s v="FI_small_gas"/>
    <x v="14"/>
    <n v="26.987830985915501"/>
    <n v="7.4966197183098604"/>
  </r>
  <r>
    <x v="0"/>
    <x v="23"/>
    <x v="2"/>
    <x v="3"/>
    <s v="FI_small_gas"/>
    <x v="15"/>
    <n v="1.65807589063794"/>
    <n v="0.46057663628831802"/>
  </r>
  <r>
    <x v="0"/>
    <x v="23"/>
    <x v="2"/>
    <x v="3"/>
    <s v="FI_small_gas"/>
    <x v="16"/>
    <n v="6.6307647887493104"/>
    <n v="1.84187910798592"/>
  </r>
  <r>
    <x v="0"/>
    <x v="23"/>
    <x v="2"/>
    <x v="3"/>
    <s v="FI_small_gas"/>
    <x v="17"/>
    <n v="9.1244895875632395"/>
    <n v="2.5345804409897901"/>
  </r>
  <r>
    <x v="0"/>
    <x v="23"/>
    <x v="2"/>
    <x v="3"/>
    <s v="FI_small_gas"/>
    <x v="18"/>
    <n v="26.987830985915501"/>
    <n v="7.4966197183098604"/>
  </r>
  <r>
    <x v="0"/>
    <x v="23"/>
    <x v="2"/>
    <x v="3"/>
    <s v="FI_small_gas"/>
    <x v="19"/>
    <n v="8.1139884009941898"/>
    <n v="2.2538856669428302"/>
  </r>
  <r>
    <x v="0"/>
    <x v="23"/>
    <x v="2"/>
    <x v="3"/>
    <s v="FI_small_gas"/>
    <x v="20"/>
    <n v="21.7877183939536"/>
    <n v="6.0521439983204397"/>
  </r>
  <r>
    <x v="0"/>
    <x v="23"/>
    <x v="2"/>
    <x v="3"/>
    <s v="FI_small_gas"/>
    <x v="21"/>
    <n v="48.24"/>
    <n v="13.4"/>
  </r>
  <r>
    <x v="0"/>
    <x v="23"/>
    <x v="2"/>
    <x v="3"/>
    <s v="FI_small_gas"/>
    <x v="22"/>
    <n v="67.680000000000007"/>
    <n v="18.8"/>
  </r>
  <r>
    <x v="0"/>
    <x v="23"/>
    <x v="2"/>
    <x v="3"/>
    <s v="FI_small_gas"/>
    <x v="23"/>
    <n v="0.31515896120488701"/>
    <n v="8.7544155890246306E-2"/>
  </r>
  <r>
    <x v="0"/>
    <x v="23"/>
    <x v="2"/>
    <x v="3"/>
    <s v="FI_small_gas"/>
    <x v="24"/>
    <n v="19.174223581093901"/>
    <n v="5.32617321697054"/>
  </r>
  <r>
    <x v="0"/>
    <x v="23"/>
    <x v="2"/>
    <x v="3"/>
    <s v="FI_small_gas"/>
    <x v="25"/>
    <n v="25.6652953012922"/>
    <n v="7.1292486948033904"/>
  </r>
  <r>
    <x v="0"/>
    <x v="23"/>
    <x v="2"/>
    <x v="3"/>
    <s v="FI_small_gas"/>
    <x v="26"/>
    <n v="32.971098611263102"/>
    <n v="9.1586385031286301"/>
  </r>
  <r>
    <x v="0"/>
    <x v="23"/>
    <x v="2"/>
    <x v="3"/>
    <s v="FI_small_gas"/>
    <x v="27"/>
    <n v="20.163995508318798"/>
    <n v="5.6011098634218799"/>
  </r>
  <r>
    <x v="0"/>
    <x v="23"/>
    <x v="2"/>
    <x v="3"/>
    <s v="FinA"/>
    <x v="1"/>
    <n v="35.989199999999997"/>
    <n v="9.9969999999999999"/>
  </r>
  <r>
    <x v="0"/>
    <x v="23"/>
    <x v="2"/>
    <x v="3"/>
    <s v="FinA"/>
    <x v="2"/>
    <n v="46.08"/>
    <n v="12.8"/>
  </r>
  <r>
    <x v="0"/>
    <x v="23"/>
    <x v="2"/>
    <x v="3"/>
    <s v="FinA"/>
    <x v="0"/>
    <n v="42.692399999999999"/>
    <n v="11.859"/>
  </r>
  <r>
    <x v="0"/>
    <x v="23"/>
    <x v="2"/>
    <x v="3"/>
    <s v="FinA"/>
    <x v="3"/>
    <n v="51.633543144067197"/>
    <n v="14.342650873352"/>
  </r>
  <r>
    <x v="0"/>
    <x v="23"/>
    <x v="2"/>
    <x v="3"/>
    <s v="FinA"/>
    <x v="4"/>
    <n v="10.7598541839271"/>
    <n v="2.9888483844241902"/>
  </r>
  <r>
    <x v="0"/>
    <x v="23"/>
    <x v="2"/>
    <x v="3"/>
    <s v="FinA"/>
    <x v="5"/>
    <n v="10.7598541839271"/>
    <n v="2.9888483844241902"/>
  </r>
  <r>
    <x v="0"/>
    <x v="23"/>
    <x v="2"/>
    <x v="3"/>
    <s v="FinA"/>
    <x v="6"/>
    <n v="29.476231795214598"/>
    <n v="8.1878421653373898"/>
  </r>
  <r>
    <x v="0"/>
    <x v="23"/>
    <x v="2"/>
    <x v="3"/>
    <s v="FinA"/>
    <x v="7"/>
    <n v="57.838935220261199"/>
    <n v="16.066370894517"/>
  </r>
  <r>
    <x v="0"/>
    <x v="23"/>
    <x v="2"/>
    <x v="3"/>
    <s v="FinA"/>
    <x v="8"/>
    <n v="57.838935220261199"/>
    <n v="16.066370894517"/>
  </r>
  <r>
    <x v="0"/>
    <x v="23"/>
    <x v="2"/>
    <x v="3"/>
    <s v="FinA"/>
    <x v="9"/>
    <n v="47.978366197183199"/>
    <n v="13.327323943662"/>
  </r>
  <r>
    <x v="0"/>
    <x v="23"/>
    <x v="2"/>
    <x v="3"/>
    <s v="FinA"/>
    <x v="10"/>
    <n v="63.1479966859984"/>
    <n v="17.541110190555099"/>
  </r>
  <r>
    <x v="0"/>
    <x v="23"/>
    <x v="2"/>
    <x v="3"/>
    <s v="FinA"/>
    <x v="11"/>
    <n v="5.9972957746478999"/>
    <n v="1.66591549295775"/>
  </r>
  <r>
    <x v="0"/>
    <x v="23"/>
    <x v="2"/>
    <x v="3"/>
    <s v="FinA"/>
    <x v="12"/>
    <n v="9.7995028997514597E-2"/>
    <n v="2.72208413881985E-2"/>
  </r>
  <r>
    <x v="0"/>
    <x v="23"/>
    <x v="2"/>
    <x v="3"/>
    <s v="FinA"/>
    <x v="13"/>
    <n v="26.987830985915501"/>
    <n v="7.4966197183098604"/>
  </r>
  <r>
    <x v="0"/>
    <x v="23"/>
    <x v="2"/>
    <x v="3"/>
    <s v="FinA"/>
    <x v="14"/>
    <n v="26.987830985915501"/>
    <n v="7.4966197183098604"/>
  </r>
  <r>
    <x v="0"/>
    <x v="23"/>
    <x v="2"/>
    <x v="3"/>
    <s v="FinA"/>
    <x v="15"/>
    <n v="1.65807589063794"/>
    <n v="0.46057663628831802"/>
  </r>
  <r>
    <x v="0"/>
    <x v="23"/>
    <x v="2"/>
    <x v="3"/>
    <s v="FinA"/>
    <x v="16"/>
    <n v="6.6307647887493104"/>
    <n v="1.84187910798592"/>
  </r>
  <r>
    <x v="0"/>
    <x v="23"/>
    <x v="2"/>
    <x v="3"/>
    <s v="FinA"/>
    <x v="17"/>
    <n v="9.1244895875632395"/>
    <n v="2.5345804409897901"/>
  </r>
  <r>
    <x v="0"/>
    <x v="23"/>
    <x v="2"/>
    <x v="3"/>
    <s v="FinA"/>
    <x v="18"/>
    <n v="26.987830985915501"/>
    <n v="7.4966197183098604"/>
  </r>
  <r>
    <x v="0"/>
    <x v="23"/>
    <x v="2"/>
    <x v="3"/>
    <s v="FinA"/>
    <x v="19"/>
    <n v="8.1139884009941898"/>
    <n v="2.2538856669428302"/>
  </r>
  <r>
    <x v="0"/>
    <x v="23"/>
    <x v="2"/>
    <x v="3"/>
    <s v="FinA"/>
    <x v="20"/>
    <n v="21.7877183939536"/>
    <n v="6.0521439983204397"/>
  </r>
  <r>
    <x v="0"/>
    <x v="23"/>
    <x v="2"/>
    <x v="3"/>
    <s v="FinA"/>
    <x v="21"/>
    <n v="48.24"/>
    <n v="13.4"/>
  </r>
  <r>
    <x v="0"/>
    <x v="23"/>
    <x v="2"/>
    <x v="3"/>
    <s v="FinA"/>
    <x v="22"/>
    <n v="67.680000000000007"/>
    <n v="18.8"/>
  </r>
  <r>
    <x v="0"/>
    <x v="23"/>
    <x v="2"/>
    <x v="3"/>
    <s v="FinA"/>
    <x v="23"/>
    <n v="0.31515896120488701"/>
    <n v="8.7544155890246306E-2"/>
  </r>
  <r>
    <x v="0"/>
    <x v="23"/>
    <x v="2"/>
    <x v="3"/>
    <s v="FinA"/>
    <x v="24"/>
    <n v="19.174223581093901"/>
    <n v="5.32617321697054"/>
  </r>
  <r>
    <x v="0"/>
    <x v="23"/>
    <x v="2"/>
    <x v="3"/>
    <s v="FinA"/>
    <x v="25"/>
    <n v="25.6652953012922"/>
    <n v="7.1292486948033904"/>
  </r>
  <r>
    <x v="0"/>
    <x v="23"/>
    <x v="2"/>
    <x v="3"/>
    <s v="FinA"/>
    <x v="26"/>
    <n v="32.971098611263102"/>
    <n v="9.1586385031286301"/>
  </r>
  <r>
    <x v="0"/>
    <x v="23"/>
    <x v="2"/>
    <x v="3"/>
    <s v="FinA"/>
    <x v="27"/>
    <n v="20.163995508318798"/>
    <n v="5.6011098634218799"/>
  </r>
  <r>
    <x v="0"/>
    <x v="23"/>
    <x v="3"/>
    <x v="4"/>
    <s v="DE4-E_A"/>
    <x v="1"/>
    <n v="35.989199999999997"/>
    <n v="9.9969999999999999"/>
  </r>
  <r>
    <x v="0"/>
    <x v="23"/>
    <x v="3"/>
    <x v="4"/>
    <s v="DE4-E_A"/>
    <x v="2"/>
    <n v="46.08"/>
    <n v="12.8"/>
  </r>
  <r>
    <x v="0"/>
    <x v="23"/>
    <x v="3"/>
    <x v="4"/>
    <s v="DE4-E_A"/>
    <x v="0"/>
    <n v="42.692399999999999"/>
    <n v="11.859"/>
  </r>
  <r>
    <x v="0"/>
    <x v="23"/>
    <x v="3"/>
    <x v="4"/>
    <s v="DE4-E_A"/>
    <x v="3"/>
    <n v="51.633543144067197"/>
    <n v="14.342650873352"/>
  </r>
  <r>
    <x v="0"/>
    <x v="23"/>
    <x v="3"/>
    <x v="4"/>
    <s v="DE4-E_A"/>
    <x v="4"/>
    <n v="10.7598541839271"/>
    <n v="2.9888483844241902"/>
  </r>
  <r>
    <x v="0"/>
    <x v="23"/>
    <x v="3"/>
    <x v="4"/>
    <s v="DE4-E_A"/>
    <x v="5"/>
    <n v="10.7598541839271"/>
    <n v="2.9888483844241902"/>
  </r>
  <r>
    <x v="0"/>
    <x v="23"/>
    <x v="3"/>
    <x v="4"/>
    <s v="DE4-E_A"/>
    <x v="6"/>
    <n v="29.476231795214598"/>
    <n v="8.1878421653373898"/>
  </r>
  <r>
    <x v="0"/>
    <x v="23"/>
    <x v="3"/>
    <x v="4"/>
    <s v="DE4-E_A"/>
    <x v="7"/>
    <n v="57.838935220261199"/>
    <n v="16.066370894517"/>
  </r>
  <r>
    <x v="0"/>
    <x v="23"/>
    <x v="3"/>
    <x v="4"/>
    <s v="DE4-E_A"/>
    <x v="8"/>
    <n v="57.838935220261199"/>
    <n v="16.066370894517"/>
  </r>
  <r>
    <x v="0"/>
    <x v="23"/>
    <x v="3"/>
    <x v="4"/>
    <s v="DE4-E_A"/>
    <x v="9"/>
    <n v="47.978366197183199"/>
    <n v="13.327323943662"/>
  </r>
  <r>
    <x v="0"/>
    <x v="23"/>
    <x v="3"/>
    <x v="4"/>
    <s v="DE4-E_A"/>
    <x v="10"/>
    <n v="63.1479966859984"/>
    <n v="17.541110190555099"/>
  </r>
  <r>
    <x v="0"/>
    <x v="23"/>
    <x v="3"/>
    <x v="4"/>
    <s v="DE4-E_A"/>
    <x v="11"/>
    <n v="5.9972957746478999"/>
    <n v="1.66591549295775"/>
  </r>
  <r>
    <x v="0"/>
    <x v="23"/>
    <x v="3"/>
    <x v="4"/>
    <s v="DE4-E_A"/>
    <x v="12"/>
    <n v="9.7995028997514597E-2"/>
    <n v="2.72208413881985E-2"/>
  </r>
  <r>
    <x v="0"/>
    <x v="23"/>
    <x v="3"/>
    <x v="4"/>
    <s v="DE4-E_A"/>
    <x v="13"/>
    <n v="26.987830985915501"/>
    <n v="7.4966197183098604"/>
  </r>
  <r>
    <x v="0"/>
    <x v="23"/>
    <x v="3"/>
    <x v="4"/>
    <s v="DE4-E_A"/>
    <x v="14"/>
    <n v="26.987830985915501"/>
    <n v="7.4966197183098604"/>
  </r>
  <r>
    <x v="0"/>
    <x v="23"/>
    <x v="3"/>
    <x v="4"/>
    <s v="DE4-E_A"/>
    <x v="15"/>
    <n v="1.65807589063794"/>
    <n v="0.46057663628831802"/>
  </r>
  <r>
    <x v="0"/>
    <x v="23"/>
    <x v="3"/>
    <x v="4"/>
    <s v="DE4-E_A"/>
    <x v="16"/>
    <n v="6.6307647887493104"/>
    <n v="1.84187910798592"/>
  </r>
  <r>
    <x v="0"/>
    <x v="23"/>
    <x v="3"/>
    <x v="4"/>
    <s v="DE4-E_A"/>
    <x v="17"/>
    <n v="9.1244895875632395"/>
    <n v="2.5345804409897901"/>
  </r>
  <r>
    <x v="0"/>
    <x v="23"/>
    <x v="3"/>
    <x v="4"/>
    <s v="DE4-E_A"/>
    <x v="18"/>
    <n v="26.987830985915501"/>
    <n v="7.4966197183098604"/>
  </r>
  <r>
    <x v="0"/>
    <x v="23"/>
    <x v="3"/>
    <x v="4"/>
    <s v="DE4-E_A"/>
    <x v="19"/>
    <n v="8.1139884009941898"/>
    <n v="2.2538856669428302"/>
  </r>
  <r>
    <x v="0"/>
    <x v="23"/>
    <x v="3"/>
    <x v="4"/>
    <s v="DE4-E_A"/>
    <x v="20"/>
    <n v="21.7877183939536"/>
    <n v="6.0521439983204397"/>
  </r>
  <r>
    <x v="0"/>
    <x v="23"/>
    <x v="3"/>
    <x v="4"/>
    <s v="DE4-E_A"/>
    <x v="21"/>
    <n v="48.24"/>
    <n v="13.4"/>
  </r>
  <r>
    <x v="0"/>
    <x v="23"/>
    <x v="3"/>
    <x v="4"/>
    <s v="DE4-E_A"/>
    <x v="22"/>
    <n v="67.680000000000007"/>
    <n v="18.8"/>
  </r>
  <r>
    <x v="0"/>
    <x v="23"/>
    <x v="3"/>
    <x v="4"/>
    <s v="DE4-E_A"/>
    <x v="23"/>
    <n v="0.31515896120488701"/>
    <n v="8.7544155890246306E-2"/>
  </r>
  <r>
    <x v="0"/>
    <x v="23"/>
    <x v="3"/>
    <x v="4"/>
    <s v="DE4-E_A"/>
    <x v="24"/>
    <n v="19.174223581093901"/>
    <n v="5.32617321697054"/>
  </r>
  <r>
    <x v="0"/>
    <x v="23"/>
    <x v="3"/>
    <x v="4"/>
    <s v="DE4-E_A"/>
    <x v="25"/>
    <n v="25.6652953012922"/>
    <n v="7.1292486948033904"/>
  </r>
  <r>
    <x v="0"/>
    <x v="23"/>
    <x v="3"/>
    <x v="4"/>
    <s v="DE4-E_A"/>
    <x v="26"/>
    <n v="32.971098611263102"/>
    <n v="9.1586385031286301"/>
  </r>
  <r>
    <x v="0"/>
    <x v="23"/>
    <x v="3"/>
    <x v="4"/>
    <s v="DE4-E_A"/>
    <x v="27"/>
    <n v="20.163995508318798"/>
    <n v="5.6011098634218799"/>
  </r>
  <r>
    <x v="0"/>
    <x v="23"/>
    <x v="3"/>
    <x v="4"/>
    <s v="DE4-E_Offshore_A"/>
    <x v="1"/>
    <n v="35.989199999999997"/>
    <n v="9.9969999999999999"/>
  </r>
  <r>
    <x v="0"/>
    <x v="23"/>
    <x v="3"/>
    <x v="4"/>
    <s v="DE4-E_Offshore_A"/>
    <x v="2"/>
    <n v="46.08"/>
    <n v="12.8"/>
  </r>
  <r>
    <x v="0"/>
    <x v="23"/>
    <x v="3"/>
    <x v="4"/>
    <s v="DE4-E_Offshore_A"/>
    <x v="0"/>
    <n v="42.692399999999999"/>
    <n v="11.859"/>
  </r>
  <r>
    <x v="0"/>
    <x v="23"/>
    <x v="3"/>
    <x v="4"/>
    <s v="DE4-E_Offshore_A"/>
    <x v="3"/>
    <n v="51.633543144067197"/>
    <n v="14.342650873352"/>
  </r>
  <r>
    <x v="0"/>
    <x v="23"/>
    <x v="3"/>
    <x v="4"/>
    <s v="DE4-E_Offshore_A"/>
    <x v="4"/>
    <n v="10.7598541839271"/>
    <n v="2.9888483844241902"/>
  </r>
  <r>
    <x v="0"/>
    <x v="23"/>
    <x v="3"/>
    <x v="4"/>
    <s v="DE4-E_Offshore_A"/>
    <x v="5"/>
    <n v="10.7598541839271"/>
    <n v="2.9888483844241902"/>
  </r>
  <r>
    <x v="0"/>
    <x v="23"/>
    <x v="3"/>
    <x v="4"/>
    <s v="DE4-E_Offshore_A"/>
    <x v="6"/>
    <n v="29.476231795214598"/>
    <n v="8.1878421653373898"/>
  </r>
  <r>
    <x v="0"/>
    <x v="23"/>
    <x v="3"/>
    <x v="4"/>
    <s v="DE4-E_Offshore_A"/>
    <x v="7"/>
    <n v="57.838935220261199"/>
    <n v="16.066370894517"/>
  </r>
  <r>
    <x v="0"/>
    <x v="23"/>
    <x v="3"/>
    <x v="4"/>
    <s v="DE4-E_Offshore_A"/>
    <x v="8"/>
    <n v="57.838935220261199"/>
    <n v="16.066370894517"/>
  </r>
  <r>
    <x v="0"/>
    <x v="23"/>
    <x v="3"/>
    <x v="4"/>
    <s v="DE4-E_Offshore_A"/>
    <x v="9"/>
    <n v="47.978366197183199"/>
    <n v="13.327323943662"/>
  </r>
  <r>
    <x v="0"/>
    <x v="23"/>
    <x v="3"/>
    <x v="4"/>
    <s v="DE4-E_Offshore_A"/>
    <x v="10"/>
    <n v="63.1479966859984"/>
    <n v="17.541110190555099"/>
  </r>
  <r>
    <x v="0"/>
    <x v="23"/>
    <x v="3"/>
    <x v="4"/>
    <s v="DE4-E_Offshore_A"/>
    <x v="11"/>
    <n v="5.9972957746478999"/>
    <n v="1.66591549295775"/>
  </r>
  <r>
    <x v="0"/>
    <x v="23"/>
    <x v="3"/>
    <x v="4"/>
    <s v="DE4-E_Offshore_A"/>
    <x v="12"/>
    <n v="9.7995028997514597E-2"/>
    <n v="2.72208413881985E-2"/>
  </r>
  <r>
    <x v="0"/>
    <x v="23"/>
    <x v="3"/>
    <x v="4"/>
    <s v="DE4-E_Offshore_A"/>
    <x v="13"/>
    <n v="26.987830985915501"/>
    <n v="7.4966197183098604"/>
  </r>
  <r>
    <x v="0"/>
    <x v="23"/>
    <x v="3"/>
    <x v="4"/>
    <s v="DE4-E_Offshore_A"/>
    <x v="14"/>
    <n v="26.987830985915501"/>
    <n v="7.4966197183098604"/>
  </r>
  <r>
    <x v="0"/>
    <x v="23"/>
    <x v="3"/>
    <x v="4"/>
    <s v="DE4-E_Offshore_A"/>
    <x v="15"/>
    <n v="1.65807589063794"/>
    <n v="0.46057663628831802"/>
  </r>
  <r>
    <x v="0"/>
    <x v="23"/>
    <x v="3"/>
    <x v="4"/>
    <s v="DE4-E_Offshore_A"/>
    <x v="16"/>
    <n v="6.6307647887493104"/>
    <n v="1.84187910798592"/>
  </r>
  <r>
    <x v="0"/>
    <x v="23"/>
    <x v="3"/>
    <x v="4"/>
    <s v="DE4-E_Offshore_A"/>
    <x v="17"/>
    <n v="9.1244895875632395"/>
    <n v="2.5345804409897901"/>
  </r>
  <r>
    <x v="0"/>
    <x v="23"/>
    <x v="3"/>
    <x v="4"/>
    <s v="DE4-E_Offshore_A"/>
    <x v="18"/>
    <n v="26.987830985915501"/>
    <n v="7.4966197183098604"/>
  </r>
  <r>
    <x v="0"/>
    <x v="23"/>
    <x v="3"/>
    <x v="4"/>
    <s v="DE4-E_Offshore_A"/>
    <x v="19"/>
    <n v="8.1139884009941898"/>
    <n v="2.2538856669428302"/>
  </r>
  <r>
    <x v="0"/>
    <x v="23"/>
    <x v="3"/>
    <x v="4"/>
    <s v="DE4-E_Offshore_A"/>
    <x v="20"/>
    <n v="21.7877183939536"/>
    <n v="6.0521439983204397"/>
  </r>
  <r>
    <x v="0"/>
    <x v="23"/>
    <x v="3"/>
    <x v="4"/>
    <s v="DE4-E_Offshore_A"/>
    <x v="21"/>
    <n v="48.24"/>
    <n v="13.4"/>
  </r>
  <r>
    <x v="0"/>
    <x v="23"/>
    <x v="3"/>
    <x v="4"/>
    <s v="DE4-E_Offshore_A"/>
    <x v="22"/>
    <n v="67.680000000000007"/>
    <n v="18.8"/>
  </r>
  <r>
    <x v="0"/>
    <x v="23"/>
    <x v="3"/>
    <x v="4"/>
    <s v="DE4-E_Offshore_A"/>
    <x v="23"/>
    <n v="0.31515896120488701"/>
    <n v="8.7544155890246306E-2"/>
  </r>
  <r>
    <x v="0"/>
    <x v="23"/>
    <x v="3"/>
    <x v="4"/>
    <s v="DE4-E_Offshore_A"/>
    <x v="24"/>
    <n v="19.174223581093901"/>
    <n v="5.32617321697054"/>
  </r>
  <r>
    <x v="0"/>
    <x v="23"/>
    <x v="3"/>
    <x v="4"/>
    <s v="DE4-E_Offshore_A"/>
    <x v="25"/>
    <n v="25.6652953012922"/>
    <n v="7.1292486948033904"/>
  </r>
  <r>
    <x v="0"/>
    <x v="23"/>
    <x v="3"/>
    <x v="4"/>
    <s v="DE4-E_Offshore_A"/>
    <x v="26"/>
    <n v="32.971098611263102"/>
    <n v="9.1586385031286301"/>
  </r>
  <r>
    <x v="0"/>
    <x v="23"/>
    <x v="3"/>
    <x v="4"/>
    <s v="DE4-E_Offshore_A"/>
    <x v="27"/>
    <n v="20.163995508318798"/>
    <n v="5.6011098634218799"/>
  </r>
  <r>
    <x v="0"/>
    <x v="23"/>
    <x v="3"/>
    <x v="5"/>
    <s v="DE4-N_A"/>
    <x v="1"/>
    <n v="35.989199999999997"/>
    <n v="9.9969999999999999"/>
  </r>
  <r>
    <x v="0"/>
    <x v="23"/>
    <x v="3"/>
    <x v="5"/>
    <s v="DE4-N_A"/>
    <x v="2"/>
    <n v="46.08"/>
    <n v="12.8"/>
  </r>
  <r>
    <x v="0"/>
    <x v="23"/>
    <x v="3"/>
    <x v="5"/>
    <s v="DE4-N_A"/>
    <x v="0"/>
    <n v="42.692399999999999"/>
    <n v="11.859"/>
  </r>
  <r>
    <x v="0"/>
    <x v="23"/>
    <x v="3"/>
    <x v="5"/>
    <s v="DE4-N_A"/>
    <x v="3"/>
    <n v="51.633543144067197"/>
    <n v="14.342650873352"/>
  </r>
  <r>
    <x v="0"/>
    <x v="23"/>
    <x v="3"/>
    <x v="5"/>
    <s v="DE4-N_A"/>
    <x v="4"/>
    <n v="10.7598541839271"/>
    <n v="2.9888483844241902"/>
  </r>
  <r>
    <x v="0"/>
    <x v="23"/>
    <x v="3"/>
    <x v="5"/>
    <s v="DE4-N_A"/>
    <x v="5"/>
    <n v="10.7598541839271"/>
    <n v="2.9888483844241902"/>
  </r>
  <r>
    <x v="0"/>
    <x v="23"/>
    <x v="3"/>
    <x v="5"/>
    <s v="DE4-N_A"/>
    <x v="6"/>
    <n v="29.476231795214598"/>
    <n v="8.1878421653373898"/>
  </r>
  <r>
    <x v="0"/>
    <x v="23"/>
    <x v="3"/>
    <x v="5"/>
    <s v="DE4-N_A"/>
    <x v="7"/>
    <n v="57.838935220261199"/>
    <n v="16.066370894517"/>
  </r>
  <r>
    <x v="0"/>
    <x v="23"/>
    <x v="3"/>
    <x v="5"/>
    <s v="DE4-N_A"/>
    <x v="8"/>
    <n v="57.838935220261199"/>
    <n v="16.066370894517"/>
  </r>
  <r>
    <x v="0"/>
    <x v="23"/>
    <x v="3"/>
    <x v="5"/>
    <s v="DE4-N_A"/>
    <x v="9"/>
    <n v="47.978366197183199"/>
    <n v="13.327323943662"/>
  </r>
  <r>
    <x v="0"/>
    <x v="23"/>
    <x v="3"/>
    <x v="5"/>
    <s v="DE4-N_A"/>
    <x v="10"/>
    <n v="63.1479966859984"/>
    <n v="17.541110190555099"/>
  </r>
  <r>
    <x v="0"/>
    <x v="23"/>
    <x v="3"/>
    <x v="5"/>
    <s v="DE4-N_A"/>
    <x v="11"/>
    <n v="5.9972957746478999"/>
    <n v="1.66591549295775"/>
  </r>
  <r>
    <x v="0"/>
    <x v="23"/>
    <x v="3"/>
    <x v="5"/>
    <s v="DE4-N_A"/>
    <x v="12"/>
    <n v="9.7995028997514597E-2"/>
    <n v="2.72208413881985E-2"/>
  </r>
  <r>
    <x v="0"/>
    <x v="23"/>
    <x v="3"/>
    <x v="5"/>
    <s v="DE4-N_A"/>
    <x v="13"/>
    <n v="26.987830985915501"/>
    <n v="7.4966197183098604"/>
  </r>
  <r>
    <x v="0"/>
    <x v="23"/>
    <x v="3"/>
    <x v="5"/>
    <s v="DE4-N_A"/>
    <x v="14"/>
    <n v="26.987830985915501"/>
    <n v="7.4966197183098604"/>
  </r>
  <r>
    <x v="0"/>
    <x v="23"/>
    <x v="3"/>
    <x v="5"/>
    <s v="DE4-N_A"/>
    <x v="15"/>
    <n v="1.65807589063794"/>
    <n v="0.46057663628831802"/>
  </r>
  <r>
    <x v="0"/>
    <x v="23"/>
    <x v="3"/>
    <x v="5"/>
    <s v="DE4-N_A"/>
    <x v="16"/>
    <n v="6.6307647887493104"/>
    <n v="1.84187910798592"/>
  </r>
  <r>
    <x v="0"/>
    <x v="23"/>
    <x v="3"/>
    <x v="5"/>
    <s v="DE4-N_A"/>
    <x v="17"/>
    <n v="9.1244895875632395"/>
    <n v="2.5345804409897901"/>
  </r>
  <r>
    <x v="0"/>
    <x v="23"/>
    <x v="3"/>
    <x v="5"/>
    <s v="DE4-N_A"/>
    <x v="18"/>
    <n v="26.987830985915501"/>
    <n v="7.4966197183098604"/>
  </r>
  <r>
    <x v="0"/>
    <x v="23"/>
    <x v="3"/>
    <x v="5"/>
    <s v="DE4-N_A"/>
    <x v="19"/>
    <n v="8.1139884009941898"/>
    <n v="2.2538856669428302"/>
  </r>
  <r>
    <x v="0"/>
    <x v="23"/>
    <x v="3"/>
    <x v="5"/>
    <s v="DE4-N_A"/>
    <x v="20"/>
    <n v="21.7877183939536"/>
    <n v="6.0521439983204397"/>
  </r>
  <r>
    <x v="0"/>
    <x v="23"/>
    <x v="3"/>
    <x v="5"/>
    <s v="DE4-N_A"/>
    <x v="21"/>
    <n v="48.24"/>
    <n v="13.4"/>
  </r>
  <r>
    <x v="0"/>
    <x v="23"/>
    <x v="3"/>
    <x v="5"/>
    <s v="DE4-N_A"/>
    <x v="22"/>
    <n v="67.680000000000007"/>
    <n v="18.8"/>
  </r>
  <r>
    <x v="0"/>
    <x v="23"/>
    <x v="3"/>
    <x v="5"/>
    <s v="DE4-N_A"/>
    <x v="23"/>
    <n v="0.31515896120488701"/>
    <n v="8.7544155890246306E-2"/>
  </r>
  <r>
    <x v="0"/>
    <x v="23"/>
    <x v="3"/>
    <x v="5"/>
    <s v="DE4-N_A"/>
    <x v="24"/>
    <n v="19.174223581093901"/>
    <n v="5.32617321697054"/>
  </r>
  <r>
    <x v="0"/>
    <x v="23"/>
    <x v="3"/>
    <x v="5"/>
    <s v="DE4-N_A"/>
    <x v="25"/>
    <n v="25.6652953012922"/>
    <n v="7.1292486948033904"/>
  </r>
  <r>
    <x v="0"/>
    <x v="23"/>
    <x v="3"/>
    <x v="5"/>
    <s v="DE4-N_A"/>
    <x v="26"/>
    <n v="32.971098611263102"/>
    <n v="9.1586385031286301"/>
  </r>
  <r>
    <x v="0"/>
    <x v="23"/>
    <x v="3"/>
    <x v="5"/>
    <s v="DE4-N_A"/>
    <x v="27"/>
    <n v="20.163995508318798"/>
    <n v="5.6011098634218799"/>
  </r>
  <r>
    <x v="0"/>
    <x v="23"/>
    <x v="3"/>
    <x v="5"/>
    <s v="DE4-N_Offshore_A"/>
    <x v="1"/>
    <n v="35.989199999999997"/>
    <n v="9.9969999999999999"/>
  </r>
  <r>
    <x v="0"/>
    <x v="23"/>
    <x v="3"/>
    <x v="5"/>
    <s v="DE4-N_Offshore_A"/>
    <x v="2"/>
    <n v="46.08"/>
    <n v="12.8"/>
  </r>
  <r>
    <x v="0"/>
    <x v="23"/>
    <x v="3"/>
    <x v="5"/>
    <s v="DE4-N_Offshore_A"/>
    <x v="0"/>
    <n v="42.692399999999999"/>
    <n v="11.859"/>
  </r>
  <r>
    <x v="0"/>
    <x v="23"/>
    <x v="3"/>
    <x v="5"/>
    <s v="DE4-N_Offshore_A"/>
    <x v="3"/>
    <n v="51.633543144067197"/>
    <n v="14.342650873352"/>
  </r>
  <r>
    <x v="0"/>
    <x v="23"/>
    <x v="3"/>
    <x v="5"/>
    <s v="DE4-N_Offshore_A"/>
    <x v="4"/>
    <n v="10.7598541839271"/>
    <n v="2.9888483844241902"/>
  </r>
  <r>
    <x v="0"/>
    <x v="23"/>
    <x v="3"/>
    <x v="5"/>
    <s v="DE4-N_Offshore_A"/>
    <x v="5"/>
    <n v="10.7598541839271"/>
    <n v="2.9888483844241902"/>
  </r>
  <r>
    <x v="0"/>
    <x v="23"/>
    <x v="3"/>
    <x v="5"/>
    <s v="DE4-N_Offshore_A"/>
    <x v="6"/>
    <n v="29.476231795214598"/>
    <n v="8.1878421653373898"/>
  </r>
  <r>
    <x v="0"/>
    <x v="23"/>
    <x v="3"/>
    <x v="5"/>
    <s v="DE4-N_Offshore_A"/>
    <x v="7"/>
    <n v="57.838935220261199"/>
    <n v="16.066370894517"/>
  </r>
  <r>
    <x v="0"/>
    <x v="23"/>
    <x v="3"/>
    <x v="5"/>
    <s v="DE4-N_Offshore_A"/>
    <x v="8"/>
    <n v="57.838935220261199"/>
    <n v="16.066370894517"/>
  </r>
  <r>
    <x v="0"/>
    <x v="23"/>
    <x v="3"/>
    <x v="5"/>
    <s v="DE4-N_Offshore_A"/>
    <x v="9"/>
    <n v="47.978366197183199"/>
    <n v="13.327323943662"/>
  </r>
  <r>
    <x v="0"/>
    <x v="23"/>
    <x v="3"/>
    <x v="5"/>
    <s v="DE4-N_Offshore_A"/>
    <x v="10"/>
    <n v="63.1479966859984"/>
    <n v="17.541110190555099"/>
  </r>
  <r>
    <x v="0"/>
    <x v="23"/>
    <x v="3"/>
    <x v="5"/>
    <s v="DE4-N_Offshore_A"/>
    <x v="11"/>
    <n v="5.9972957746478999"/>
    <n v="1.66591549295775"/>
  </r>
  <r>
    <x v="0"/>
    <x v="23"/>
    <x v="3"/>
    <x v="5"/>
    <s v="DE4-N_Offshore_A"/>
    <x v="12"/>
    <n v="9.7995028997514597E-2"/>
    <n v="2.72208413881985E-2"/>
  </r>
  <r>
    <x v="0"/>
    <x v="23"/>
    <x v="3"/>
    <x v="5"/>
    <s v="DE4-N_Offshore_A"/>
    <x v="13"/>
    <n v="26.987830985915501"/>
    <n v="7.4966197183098604"/>
  </r>
  <r>
    <x v="0"/>
    <x v="23"/>
    <x v="3"/>
    <x v="5"/>
    <s v="DE4-N_Offshore_A"/>
    <x v="14"/>
    <n v="26.987830985915501"/>
    <n v="7.4966197183098604"/>
  </r>
  <r>
    <x v="0"/>
    <x v="23"/>
    <x v="3"/>
    <x v="5"/>
    <s v="DE4-N_Offshore_A"/>
    <x v="15"/>
    <n v="1.65807589063794"/>
    <n v="0.46057663628831802"/>
  </r>
  <r>
    <x v="0"/>
    <x v="23"/>
    <x v="3"/>
    <x v="5"/>
    <s v="DE4-N_Offshore_A"/>
    <x v="16"/>
    <n v="6.6307647887493104"/>
    <n v="1.84187910798592"/>
  </r>
  <r>
    <x v="0"/>
    <x v="23"/>
    <x v="3"/>
    <x v="5"/>
    <s v="DE4-N_Offshore_A"/>
    <x v="17"/>
    <n v="9.1244895875632395"/>
    <n v="2.5345804409897901"/>
  </r>
  <r>
    <x v="0"/>
    <x v="23"/>
    <x v="3"/>
    <x v="5"/>
    <s v="DE4-N_Offshore_A"/>
    <x v="18"/>
    <n v="26.987830985915501"/>
    <n v="7.4966197183098604"/>
  </r>
  <r>
    <x v="0"/>
    <x v="23"/>
    <x v="3"/>
    <x v="5"/>
    <s v="DE4-N_Offshore_A"/>
    <x v="19"/>
    <n v="8.1139884009941898"/>
    <n v="2.2538856669428302"/>
  </r>
  <r>
    <x v="0"/>
    <x v="23"/>
    <x v="3"/>
    <x v="5"/>
    <s v="DE4-N_Offshore_A"/>
    <x v="20"/>
    <n v="21.7877183939536"/>
    <n v="6.0521439983204397"/>
  </r>
  <r>
    <x v="0"/>
    <x v="23"/>
    <x v="3"/>
    <x v="5"/>
    <s v="DE4-N_Offshore_A"/>
    <x v="21"/>
    <n v="48.24"/>
    <n v="13.4"/>
  </r>
  <r>
    <x v="0"/>
    <x v="23"/>
    <x v="3"/>
    <x v="5"/>
    <s v="DE4-N_Offshore_A"/>
    <x v="22"/>
    <n v="67.680000000000007"/>
    <n v="18.8"/>
  </r>
  <r>
    <x v="0"/>
    <x v="23"/>
    <x v="3"/>
    <x v="5"/>
    <s v="DE4-N_Offshore_A"/>
    <x v="23"/>
    <n v="0.31515896120488701"/>
    <n v="8.7544155890246306E-2"/>
  </r>
  <r>
    <x v="0"/>
    <x v="23"/>
    <x v="3"/>
    <x v="5"/>
    <s v="DE4-N_Offshore_A"/>
    <x v="24"/>
    <n v="19.174223581093901"/>
    <n v="5.32617321697054"/>
  </r>
  <r>
    <x v="0"/>
    <x v="23"/>
    <x v="3"/>
    <x v="5"/>
    <s v="DE4-N_Offshore_A"/>
    <x v="25"/>
    <n v="25.6652953012922"/>
    <n v="7.1292486948033904"/>
  </r>
  <r>
    <x v="0"/>
    <x v="23"/>
    <x v="3"/>
    <x v="5"/>
    <s v="DE4-N_Offshore_A"/>
    <x v="26"/>
    <n v="32.971098611263102"/>
    <n v="9.1586385031286301"/>
  </r>
  <r>
    <x v="0"/>
    <x v="23"/>
    <x v="3"/>
    <x v="5"/>
    <s v="DE4-N_Offshore_A"/>
    <x v="27"/>
    <n v="20.163995508318798"/>
    <n v="5.6011098634218799"/>
  </r>
  <r>
    <x v="0"/>
    <x v="23"/>
    <x v="3"/>
    <x v="6"/>
    <s v="DE4-S_A"/>
    <x v="1"/>
    <n v="35.989199999999997"/>
    <n v="9.9969999999999999"/>
  </r>
  <r>
    <x v="0"/>
    <x v="23"/>
    <x v="3"/>
    <x v="6"/>
    <s v="DE4-S_A"/>
    <x v="2"/>
    <n v="46.08"/>
    <n v="12.8"/>
  </r>
  <r>
    <x v="0"/>
    <x v="23"/>
    <x v="3"/>
    <x v="6"/>
    <s v="DE4-S_A"/>
    <x v="0"/>
    <n v="42.692399999999999"/>
    <n v="11.859"/>
  </r>
  <r>
    <x v="0"/>
    <x v="23"/>
    <x v="3"/>
    <x v="6"/>
    <s v="DE4-S_A"/>
    <x v="3"/>
    <n v="51.633543144067197"/>
    <n v="14.342650873352"/>
  </r>
  <r>
    <x v="0"/>
    <x v="23"/>
    <x v="3"/>
    <x v="6"/>
    <s v="DE4-S_A"/>
    <x v="4"/>
    <n v="10.7598541839271"/>
    <n v="2.9888483844241902"/>
  </r>
  <r>
    <x v="0"/>
    <x v="23"/>
    <x v="3"/>
    <x v="6"/>
    <s v="DE4-S_A"/>
    <x v="5"/>
    <n v="10.7598541839271"/>
    <n v="2.9888483844241902"/>
  </r>
  <r>
    <x v="0"/>
    <x v="23"/>
    <x v="3"/>
    <x v="6"/>
    <s v="DE4-S_A"/>
    <x v="6"/>
    <n v="29.476231795214598"/>
    <n v="8.1878421653373898"/>
  </r>
  <r>
    <x v="0"/>
    <x v="23"/>
    <x v="3"/>
    <x v="6"/>
    <s v="DE4-S_A"/>
    <x v="7"/>
    <n v="57.838935220261199"/>
    <n v="16.066370894517"/>
  </r>
  <r>
    <x v="0"/>
    <x v="23"/>
    <x v="3"/>
    <x v="6"/>
    <s v="DE4-S_A"/>
    <x v="8"/>
    <n v="57.838935220261199"/>
    <n v="16.066370894517"/>
  </r>
  <r>
    <x v="0"/>
    <x v="23"/>
    <x v="3"/>
    <x v="6"/>
    <s v="DE4-S_A"/>
    <x v="9"/>
    <n v="47.978366197183199"/>
    <n v="13.327323943662"/>
  </r>
  <r>
    <x v="0"/>
    <x v="23"/>
    <x v="3"/>
    <x v="6"/>
    <s v="DE4-S_A"/>
    <x v="10"/>
    <n v="63.1479966859984"/>
    <n v="17.541110190555099"/>
  </r>
  <r>
    <x v="0"/>
    <x v="23"/>
    <x v="3"/>
    <x v="6"/>
    <s v="DE4-S_A"/>
    <x v="11"/>
    <n v="5.9972957746478999"/>
    <n v="1.66591549295775"/>
  </r>
  <r>
    <x v="0"/>
    <x v="23"/>
    <x v="3"/>
    <x v="6"/>
    <s v="DE4-S_A"/>
    <x v="12"/>
    <n v="9.7995028997514597E-2"/>
    <n v="2.72208413881985E-2"/>
  </r>
  <r>
    <x v="0"/>
    <x v="23"/>
    <x v="3"/>
    <x v="6"/>
    <s v="DE4-S_A"/>
    <x v="13"/>
    <n v="26.987830985915501"/>
    <n v="7.4966197183098604"/>
  </r>
  <r>
    <x v="0"/>
    <x v="23"/>
    <x v="3"/>
    <x v="6"/>
    <s v="DE4-S_A"/>
    <x v="14"/>
    <n v="26.987830985915501"/>
    <n v="7.4966197183098604"/>
  </r>
  <r>
    <x v="0"/>
    <x v="23"/>
    <x v="3"/>
    <x v="6"/>
    <s v="DE4-S_A"/>
    <x v="15"/>
    <n v="1.65807589063794"/>
    <n v="0.46057663628831802"/>
  </r>
  <r>
    <x v="0"/>
    <x v="23"/>
    <x v="3"/>
    <x v="6"/>
    <s v="DE4-S_A"/>
    <x v="16"/>
    <n v="6.6307647887493104"/>
    <n v="1.84187910798592"/>
  </r>
  <r>
    <x v="0"/>
    <x v="23"/>
    <x v="3"/>
    <x v="6"/>
    <s v="DE4-S_A"/>
    <x v="17"/>
    <n v="9.1244895875632395"/>
    <n v="2.5345804409897901"/>
  </r>
  <r>
    <x v="0"/>
    <x v="23"/>
    <x v="3"/>
    <x v="6"/>
    <s v="DE4-S_A"/>
    <x v="18"/>
    <n v="26.987830985915501"/>
    <n v="7.4966197183098604"/>
  </r>
  <r>
    <x v="0"/>
    <x v="23"/>
    <x v="3"/>
    <x v="6"/>
    <s v="DE4-S_A"/>
    <x v="19"/>
    <n v="8.1139884009941898"/>
    <n v="2.2538856669428302"/>
  </r>
  <r>
    <x v="0"/>
    <x v="23"/>
    <x v="3"/>
    <x v="6"/>
    <s v="DE4-S_A"/>
    <x v="20"/>
    <n v="21.7877183939536"/>
    <n v="6.0521439983204397"/>
  </r>
  <r>
    <x v="0"/>
    <x v="23"/>
    <x v="3"/>
    <x v="6"/>
    <s v="DE4-S_A"/>
    <x v="21"/>
    <n v="48.24"/>
    <n v="13.4"/>
  </r>
  <r>
    <x v="0"/>
    <x v="23"/>
    <x v="3"/>
    <x v="6"/>
    <s v="DE4-S_A"/>
    <x v="22"/>
    <n v="67.680000000000007"/>
    <n v="18.8"/>
  </r>
  <r>
    <x v="0"/>
    <x v="23"/>
    <x v="3"/>
    <x v="6"/>
    <s v="DE4-S_A"/>
    <x v="23"/>
    <n v="0.31515896120488701"/>
    <n v="8.7544155890246306E-2"/>
  </r>
  <r>
    <x v="0"/>
    <x v="23"/>
    <x v="3"/>
    <x v="6"/>
    <s v="DE4-S_A"/>
    <x v="24"/>
    <n v="19.174223581093901"/>
    <n v="5.32617321697054"/>
  </r>
  <r>
    <x v="0"/>
    <x v="23"/>
    <x v="3"/>
    <x v="6"/>
    <s v="DE4-S_A"/>
    <x v="25"/>
    <n v="25.6652953012922"/>
    <n v="7.1292486948033904"/>
  </r>
  <r>
    <x v="0"/>
    <x v="23"/>
    <x v="3"/>
    <x v="6"/>
    <s v="DE4-S_A"/>
    <x v="26"/>
    <n v="32.971098611263102"/>
    <n v="9.1586385031286301"/>
  </r>
  <r>
    <x v="0"/>
    <x v="23"/>
    <x v="3"/>
    <x v="6"/>
    <s v="DE4-S_A"/>
    <x v="27"/>
    <n v="20.163995508318798"/>
    <n v="5.6011098634218799"/>
  </r>
  <r>
    <x v="0"/>
    <x v="23"/>
    <x v="3"/>
    <x v="7"/>
    <s v="DE4-W_A"/>
    <x v="1"/>
    <n v="35.989199999999997"/>
    <n v="9.9969999999999999"/>
  </r>
  <r>
    <x v="0"/>
    <x v="23"/>
    <x v="3"/>
    <x v="7"/>
    <s v="DE4-W_A"/>
    <x v="2"/>
    <n v="46.08"/>
    <n v="12.8"/>
  </r>
  <r>
    <x v="0"/>
    <x v="23"/>
    <x v="3"/>
    <x v="7"/>
    <s v="DE4-W_A"/>
    <x v="0"/>
    <n v="42.692399999999999"/>
    <n v="11.859"/>
  </r>
  <r>
    <x v="0"/>
    <x v="23"/>
    <x v="3"/>
    <x v="7"/>
    <s v="DE4-W_A"/>
    <x v="3"/>
    <n v="51.633543144067197"/>
    <n v="14.342650873352"/>
  </r>
  <r>
    <x v="0"/>
    <x v="23"/>
    <x v="3"/>
    <x v="7"/>
    <s v="DE4-W_A"/>
    <x v="4"/>
    <n v="10.7598541839271"/>
    <n v="2.9888483844241902"/>
  </r>
  <r>
    <x v="0"/>
    <x v="23"/>
    <x v="3"/>
    <x v="7"/>
    <s v="DE4-W_A"/>
    <x v="5"/>
    <n v="10.7598541839271"/>
    <n v="2.9888483844241902"/>
  </r>
  <r>
    <x v="0"/>
    <x v="23"/>
    <x v="3"/>
    <x v="7"/>
    <s v="DE4-W_A"/>
    <x v="6"/>
    <n v="29.476231795214598"/>
    <n v="8.1878421653373898"/>
  </r>
  <r>
    <x v="0"/>
    <x v="23"/>
    <x v="3"/>
    <x v="7"/>
    <s v="DE4-W_A"/>
    <x v="7"/>
    <n v="57.838935220261199"/>
    <n v="16.066370894517"/>
  </r>
  <r>
    <x v="0"/>
    <x v="23"/>
    <x v="3"/>
    <x v="7"/>
    <s v="DE4-W_A"/>
    <x v="8"/>
    <n v="57.838935220261199"/>
    <n v="16.066370894517"/>
  </r>
  <r>
    <x v="0"/>
    <x v="23"/>
    <x v="3"/>
    <x v="7"/>
    <s v="DE4-W_A"/>
    <x v="9"/>
    <n v="47.978366197183199"/>
    <n v="13.327323943662"/>
  </r>
  <r>
    <x v="0"/>
    <x v="23"/>
    <x v="3"/>
    <x v="7"/>
    <s v="DE4-W_A"/>
    <x v="10"/>
    <n v="63.1479966859984"/>
    <n v="17.541110190555099"/>
  </r>
  <r>
    <x v="0"/>
    <x v="23"/>
    <x v="3"/>
    <x v="7"/>
    <s v="DE4-W_A"/>
    <x v="11"/>
    <n v="5.9972957746478999"/>
    <n v="1.66591549295775"/>
  </r>
  <r>
    <x v="0"/>
    <x v="23"/>
    <x v="3"/>
    <x v="7"/>
    <s v="DE4-W_A"/>
    <x v="12"/>
    <n v="9.7995028997514597E-2"/>
    <n v="2.72208413881985E-2"/>
  </r>
  <r>
    <x v="0"/>
    <x v="23"/>
    <x v="3"/>
    <x v="7"/>
    <s v="DE4-W_A"/>
    <x v="13"/>
    <n v="26.987830985915501"/>
    <n v="7.4966197183098604"/>
  </r>
  <r>
    <x v="0"/>
    <x v="23"/>
    <x v="3"/>
    <x v="7"/>
    <s v="DE4-W_A"/>
    <x v="14"/>
    <n v="26.987830985915501"/>
    <n v="7.4966197183098604"/>
  </r>
  <r>
    <x v="0"/>
    <x v="23"/>
    <x v="3"/>
    <x v="7"/>
    <s v="DE4-W_A"/>
    <x v="15"/>
    <n v="1.65807589063794"/>
    <n v="0.46057663628831802"/>
  </r>
  <r>
    <x v="0"/>
    <x v="23"/>
    <x v="3"/>
    <x v="7"/>
    <s v="DE4-W_A"/>
    <x v="16"/>
    <n v="6.6307647887493104"/>
    <n v="1.84187910798592"/>
  </r>
  <r>
    <x v="0"/>
    <x v="23"/>
    <x v="3"/>
    <x v="7"/>
    <s v="DE4-W_A"/>
    <x v="17"/>
    <n v="9.1244895875632395"/>
    <n v="2.5345804409897901"/>
  </r>
  <r>
    <x v="0"/>
    <x v="23"/>
    <x v="3"/>
    <x v="7"/>
    <s v="DE4-W_A"/>
    <x v="18"/>
    <n v="26.987830985915501"/>
    <n v="7.4966197183098604"/>
  </r>
  <r>
    <x v="0"/>
    <x v="23"/>
    <x v="3"/>
    <x v="7"/>
    <s v="DE4-W_A"/>
    <x v="19"/>
    <n v="8.1139884009941898"/>
    <n v="2.2538856669428302"/>
  </r>
  <r>
    <x v="0"/>
    <x v="23"/>
    <x v="3"/>
    <x v="7"/>
    <s v="DE4-W_A"/>
    <x v="20"/>
    <n v="21.7877183939536"/>
    <n v="6.0521439983204397"/>
  </r>
  <r>
    <x v="0"/>
    <x v="23"/>
    <x v="3"/>
    <x v="7"/>
    <s v="DE4-W_A"/>
    <x v="21"/>
    <n v="48.24"/>
    <n v="13.4"/>
  </r>
  <r>
    <x v="0"/>
    <x v="23"/>
    <x v="3"/>
    <x v="7"/>
    <s v="DE4-W_A"/>
    <x v="22"/>
    <n v="67.680000000000007"/>
    <n v="18.8"/>
  </r>
  <r>
    <x v="0"/>
    <x v="23"/>
    <x v="3"/>
    <x v="7"/>
    <s v="DE4-W_A"/>
    <x v="23"/>
    <n v="0.31515896120488701"/>
    <n v="8.7544155890246306E-2"/>
  </r>
  <r>
    <x v="0"/>
    <x v="23"/>
    <x v="3"/>
    <x v="7"/>
    <s v="DE4-W_A"/>
    <x v="24"/>
    <n v="19.174223581093901"/>
    <n v="5.32617321697054"/>
  </r>
  <r>
    <x v="0"/>
    <x v="23"/>
    <x v="3"/>
    <x v="7"/>
    <s v="DE4-W_A"/>
    <x v="25"/>
    <n v="25.6652953012922"/>
    <n v="7.1292486948033904"/>
  </r>
  <r>
    <x v="0"/>
    <x v="23"/>
    <x v="3"/>
    <x v="7"/>
    <s v="DE4-W_A"/>
    <x v="26"/>
    <n v="32.971098611263102"/>
    <n v="9.1586385031286301"/>
  </r>
  <r>
    <x v="0"/>
    <x v="23"/>
    <x v="3"/>
    <x v="7"/>
    <s v="DE4-W_A"/>
    <x v="27"/>
    <n v="20.163995508318798"/>
    <n v="5.6011098634218799"/>
  </r>
  <r>
    <x v="0"/>
    <x v="23"/>
    <x v="3"/>
    <x v="7"/>
    <s v="DE4-W_Offshore_A"/>
    <x v="1"/>
    <n v="35.989199999999997"/>
    <n v="9.9969999999999999"/>
  </r>
  <r>
    <x v="0"/>
    <x v="23"/>
    <x v="3"/>
    <x v="7"/>
    <s v="DE4-W_Offshore_A"/>
    <x v="2"/>
    <n v="46.08"/>
    <n v="12.8"/>
  </r>
  <r>
    <x v="0"/>
    <x v="23"/>
    <x v="3"/>
    <x v="7"/>
    <s v="DE4-W_Offshore_A"/>
    <x v="0"/>
    <n v="42.692399999999999"/>
    <n v="11.859"/>
  </r>
  <r>
    <x v="0"/>
    <x v="23"/>
    <x v="3"/>
    <x v="7"/>
    <s v="DE4-W_Offshore_A"/>
    <x v="3"/>
    <n v="51.633543144067197"/>
    <n v="14.342650873352"/>
  </r>
  <r>
    <x v="0"/>
    <x v="23"/>
    <x v="3"/>
    <x v="7"/>
    <s v="DE4-W_Offshore_A"/>
    <x v="4"/>
    <n v="10.7598541839271"/>
    <n v="2.9888483844241902"/>
  </r>
  <r>
    <x v="0"/>
    <x v="23"/>
    <x v="3"/>
    <x v="7"/>
    <s v="DE4-W_Offshore_A"/>
    <x v="5"/>
    <n v="10.7598541839271"/>
    <n v="2.9888483844241902"/>
  </r>
  <r>
    <x v="0"/>
    <x v="23"/>
    <x v="3"/>
    <x v="7"/>
    <s v="DE4-W_Offshore_A"/>
    <x v="6"/>
    <n v="29.476231795214598"/>
    <n v="8.1878421653373898"/>
  </r>
  <r>
    <x v="0"/>
    <x v="23"/>
    <x v="3"/>
    <x v="7"/>
    <s v="DE4-W_Offshore_A"/>
    <x v="7"/>
    <n v="57.838935220261199"/>
    <n v="16.066370894517"/>
  </r>
  <r>
    <x v="0"/>
    <x v="23"/>
    <x v="3"/>
    <x v="7"/>
    <s v="DE4-W_Offshore_A"/>
    <x v="8"/>
    <n v="57.838935220261199"/>
    <n v="16.066370894517"/>
  </r>
  <r>
    <x v="0"/>
    <x v="23"/>
    <x v="3"/>
    <x v="7"/>
    <s v="DE4-W_Offshore_A"/>
    <x v="9"/>
    <n v="47.978366197183199"/>
    <n v="13.327323943662"/>
  </r>
  <r>
    <x v="0"/>
    <x v="23"/>
    <x v="3"/>
    <x v="7"/>
    <s v="DE4-W_Offshore_A"/>
    <x v="10"/>
    <n v="63.1479966859984"/>
    <n v="17.541110190555099"/>
  </r>
  <r>
    <x v="0"/>
    <x v="23"/>
    <x v="3"/>
    <x v="7"/>
    <s v="DE4-W_Offshore_A"/>
    <x v="11"/>
    <n v="5.9972957746478999"/>
    <n v="1.66591549295775"/>
  </r>
  <r>
    <x v="0"/>
    <x v="23"/>
    <x v="3"/>
    <x v="7"/>
    <s v="DE4-W_Offshore_A"/>
    <x v="12"/>
    <n v="9.7995028997514597E-2"/>
    <n v="2.72208413881985E-2"/>
  </r>
  <r>
    <x v="0"/>
    <x v="23"/>
    <x v="3"/>
    <x v="7"/>
    <s v="DE4-W_Offshore_A"/>
    <x v="13"/>
    <n v="26.987830985915501"/>
    <n v="7.4966197183098604"/>
  </r>
  <r>
    <x v="0"/>
    <x v="23"/>
    <x v="3"/>
    <x v="7"/>
    <s v="DE4-W_Offshore_A"/>
    <x v="14"/>
    <n v="26.987830985915501"/>
    <n v="7.4966197183098604"/>
  </r>
  <r>
    <x v="0"/>
    <x v="23"/>
    <x v="3"/>
    <x v="7"/>
    <s v="DE4-W_Offshore_A"/>
    <x v="15"/>
    <n v="1.65807589063794"/>
    <n v="0.46057663628831802"/>
  </r>
  <r>
    <x v="0"/>
    <x v="23"/>
    <x v="3"/>
    <x v="7"/>
    <s v="DE4-W_Offshore_A"/>
    <x v="16"/>
    <n v="6.6307647887493104"/>
    <n v="1.84187910798592"/>
  </r>
  <r>
    <x v="0"/>
    <x v="23"/>
    <x v="3"/>
    <x v="7"/>
    <s v="DE4-W_Offshore_A"/>
    <x v="17"/>
    <n v="9.1244895875632395"/>
    <n v="2.5345804409897901"/>
  </r>
  <r>
    <x v="0"/>
    <x v="23"/>
    <x v="3"/>
    <x v="7"/>
    <s v="DE4-W_Offshore_A"/>
    <x v="18"/>
    <n v="26.987830985915501"/>
    <n v="7.4966197183098604"/>
  </r>
  <r>
    <x v="0"/>
    <x v="23"/>
    <x v="3"/>
    <x v="7"/>
    <s v="DE4-W_Offshore_A"/>
    <x v="19"/>
    <n v="8.1139884009941898"/>
    <n v="2.2538856669428302"/>
  </r>
  <r>
    <x v="0"/>
    <x v="23"/>
    <x v="3"/>
    <x v="7"/>
    <s v="DE4-W_Offshore_A"/>
    <x v="20"/>
    <n v="21.7877183939536"/>
    <n v="6.0521439983204397"/>
  </r>
  <r>
    <x v="0"/>
    <x v="23"/>
    <x v="3"/>
    <x v="7"/>
    <s v="DE4-W_Offshore_A"/>
    <x v="21"/>
    <n v="48.24"/>
    <n v="13.4"/>
  </r>
  <r>
    <x v="0"/>
    <x v="23"/>
    <x v="3"/>
    <x v="7"/>
    <s v="DE4-W_Offshore_A"/>
    <x v="22"/>
    <n v="67.680000000000007"/>
    <n v="18.8"/>
  </r>
  <r>
    <x v="0"/>
    <x v="23"/>
    <x v="3"/>
    <x v="7"/>
    <s v="DE4-W_Offshore_A"/>
    <x v="23"/>
    <n v="0.31515896120488701"/>
    <n v="8.7544155890246306E-2"/>
  </r>
  <r>
    <x v="0"/>
    <x v="23"/>
    <x v="3"/>
    <x v="7"/>
    <s v="DE4-W_Offshore_A"/>
    <x v="24"/>
    <n v="19.174223581093901"/>
    <n v="5.32617321697054"/>
  </r>
  <r>
    <x v="0"/>
    <x v="23"/>
    <x v="3"/>
    <x v="7"/>
    <s v="DE4-W_Offshore_A"/>
    <x v="25"/>
    <n v="25.6652953012922"/>
    <n v="7.1292486948033904"/>
  </r>
  <r>
    <x v="0"/>
    <x v="23"/>
    <x v="3"/>
    <x v="7"/>
    <s v="DE4-W_Offshore_A"/>
    <x v="26"/>
    <n v="32.971098611263102"/>
    <n v="9.1586385031286301"/>
  </r>
  <r>
    <x v="0"/>
    <x v="23"/>
    <x v="3"/>
    <x v="7"/>
    <s v="DE4-W_Offshore_A"/>
    <x v="27"/>
    <n v="20.163995508318798"/>
    <n v="5.6011098634218799"/>
  </r>
  <r>
    <x v="0"/>
    <x v="23"/>
    <x v="4"/>
    <x v="8"/>
    <s v="LV_A"/>
    <x v="1"/>
    <n v="35.989199999999997"/>
    <n v="9.9969999999999999"/>
  </r>
  <r>
    <x v="0"/>
    <x v="23"/>
    <x v="4"/>
    <x v="8"/>
    <s v="LV_A"/>
    <x v="2"/>
    <n v="46.08"/>
    <n v="12.8"/>
  </r>
  <r>
    <x v="0"/>
    <x v="23"/>
    <x v="4"/>
    <x v="8"/>
    <s v="LV_A"/>
    <x v="0"/>
    <n v="42.692399999999999"/>
    <n v="11.859"/>
  </r>
  <r>
    <x v="0"/>
    <x v="23"/>
    <x v="4"/>
    <x v="8"/>
    <s v="LV_A"/>
    <x v="3"/>
    <n v="51.633543144067197"/>
    <n v="14.342650873352"/>
  </r>
  <r>
    <x v="0"/>
    <x v="23"/>
    <x v="4"/>
    <x v="8"/>
    <s v="LV_A"/>
    <x v="4"/>
    <n v="10.7598541839271"/>
    <n v="2.9888483844241902"/>
  </r>
  <r>
    <x v="0"/>
    <x v="23"/>
    <x v="4"/>
    <x v="8"/>
    <s v="LV_A"/>
    <x v="5"/>
    <n v="10.7598541839271"/>
    <n v="2.9888483844241902"/>
  </r>
  <r>
    <x v="0"/>
    <x v="23"/>
    <x v="4"/>
    <x v="8"/>
    <s v="LV_A"/>
    <x v="6"/>
    <n v="29.476231795214598"/>
    <n v="8.1878421653373898"/>
  </r>
  <r>
    <x v="0"/>
    <x v="23"/>
    <x v="4"/>
    <x v="8"/>
    <s v="LV_A"/>
    <x v="7"/>
    <n v="57.838935220261199"/>
    <n v="16.066370894517"/>
  </r>
  <r>
    <x v="0"/>
    <x v="23"/>
    <x v="4"/>
    <x v="8"/>
    <s v="LV_A"/>
    <x v="8"/>
    <n v="57.838935220261199"/>
    <n v="16.066370894517"/>
  </r>
  <r>
    <x v="0"/>
    <x v="23"/>
    <x v="4"/>
    <x v="8"/>
    <s v="LV_A"/>
    <x v="9"/>
    <n v="47.978366197183199"/>
    <n v="13.327323943662"/>
  </r>
  <r>
    <x v="0"/>
    <x v="23"/>
    <x v="4"/>
    <x v="8"/>
    <s v="LV_A"/>
    <x v="10"/>
    <n v="63.1479966859984"/>
    <n v="17.541110190555099"/>
  </r>
  <r>
    <x v="0"/>
    <x v="23"/>
    <x v="4"/>
    <x v="8"/>
    <s v="LV_A"/>
    <x v="11"/>
    <n v="5.9972957746478999"/>
    <n v="1.66591549295775"/>
  </r>
  <r>
    <x v="0"/>
    <x v="23"/>
    <x v="4"/>
    <x v="8"/>
    <s v="LV_A"/>
    <x v="12"/>
    <n v="9.7995028997514597E-2"/>
    <n v="2.72208413881985E-2"/>
  </r>
  <r>
    <x v="0"/>
    <x v="23"/>
    <x v="4"/>
    <x v="8"/>
    <s v="LV_A"/>
    <x v="13"/>
    <n v="26.987830985915501"/>
    <n v="7.4966197183098604"/>
  </r>
  <r>
    <x v="0"/>
    <x v="23"/>
    <x v="4"/>
    <x v="8"/>
    <s v="LV_A"/>
    <x v="14"/>
    <n v="26.987830985915501"/>
    <n v="7.4966197183098604"/>
  </r>
  <r>
    <x v="0"/>
    <x v="23"/>
    <x v="4"/>
    <x v="8"/>
    <s v="LV_A"/>
    <x v="15"/>
    <n v="1.65807589063794"/>
    <n v="0.46057663628831802"/>
  </r>
  <r>
    <x v="0"/>
    <x v="23"/>
    <x v="4"/>
    <x v="8"/>
    <s v="LV_A"/>
    <x v="16"/>
    <n v="6.6307647887493104"/>
    <n v="1.84187910798592"/>
  </r>
  <r>
    <x v="0"/>
    <x v="23"/>
    <x v="4"/>
    <x v="8"/>
    <s v="LV_A"/>
    <x v="17"/>
    <n v="9.1244895875632395"/>
    <n v="2.5345804409897901"/>
  </r>
  <r>
    <x v="0"/>
    <x v="23"/>
    <x v="4"/>
    <x v="8"/>
    <s v="LV_A"/>
    <x v="18"/>
    <n v="26.987830985915501"/>
    <n v="7.4966197183098604"/>
  </r>
  <r>
    <x v="0"/>
    <x v="23"/>
    <x v="4"/>
    <x v="8"/>
    <s v="LV_A"/>
    <x v="19"/>
    <n v="8.1139884009941898"/>
    <n v="2.2538856669428302"/>
  </r>
  <r>
    <x v="0"/>
    <x v="23"/>
    <x v="4"/>
    <x v="8"/>
    <s v="LV_A"/>
    <x v="20"/>
    <n v="21.7877183939536"/>
    <n v="6.0521439983204397"/>
  </r>
  <r>
    <x v="0"/>
    <x v="23"/>
    <x v="4"/>
    <x v="8"/>
    <s v="LV_A"/>
    <x v="21"/>
    <n v="48.24"/>
    <n v="13.4"/>
  </r>
  <r>
    <x v="0"/>
    <x v="23"/>
    <x v="4"/>
    <x v="8"/>
    <s v="LV_A"/>
    <x v="22"/>
    <n v="67.680000000000007"/>
    <n v="18.8"/>
  </r>
  <r>
    <x v="0"/>
    <x v="23"/>
    <x v="4"/>
    <x v="8"/>
    <s v="LV_A"/>
    <x v="23"/>
    <n v="0.31515896120488701"/>
    <n v="8.7544155890246306E-2"/>
  </r>
  <r>
    <x v="0"/>
    <x v="23"/>
    <x v="4"/>
    <x v="8"/>
    <s v="LV_A"/>
    <x v="24"/>
    <n v="19.174223581093901"/>
    <n v="5.32617321697054"/>
  </r>
  <r>
    <x v="0"/>
    <x v="23"/>
    <x v="4"/>
    <x v="8"/>
    <s v="LV_A"/>
    <x v="25"/>
    <n v="25.6652953012922"/>
    <n v="7.1292486948033904"/>
  </r>
  <r>
    <x v="0"/>
    <x v="23"/>
    <x v="4"/>
    <x v="8"/>
    <s v="LV_A"/>
    <x v="26"/>
    <n v="32.971098611263102"/>
    <n v="9.1586385031286301"/>
  </r>
  <r>
    <x v="0"/>
    <x v="23"/>
    <x v="4"/>
    <x v="8"/>
    <s v="LV_A"/>
    <x v="27"/>
    <n v="20.163995508318798"/>
    <n v="5.6011098634218799"/>
  </r>
  <r>
    <x v="0"/>
    <x v="23"/>
    <x v="4"/>
    <x v="8"/>
    <s v="LV_OFFSHORE"/>
    <x v="1"/>
    <n v="35.989199999999997"/>
    <n v="9.9969999999999999"/>
  </r>
  <r>
    <x v="0"/>
    <x v="23"/>
    <x v="4"/>
    <x v="8"/>
    <s v="LV_OFFSHORE"/>
    <x v="2"/>
    <n v="46.08"/>
    <n v="12.8"/>
  </r>
  <r>
    <x v="0"/>
    <x v="23"/>
    <x v="4"/>
    <x v="8"/>
    <s v="LV_OFFSHORE"/>
    <x v="0"/>
    <n v="42.692399999999999"/>
    <n v="11.859"/>
  </r>
  <r>
    <x v="0"/>
    <x v="23"/>
    <x v="4"/>
    <x v="8"/>
    <s v="LV_OFFSHORE"/>
    <x v="3"/>
    <n v="51.633543144067197"/>
    <n v="14.342650873352"/>
  </r>
  <r>
    <x v="0"/>
    <x v="23"/>
    <x v="4"/>
    <x v="8"/>
    <s v="LV_OFFSHORE"/>
    <x v="4"/>
    <n v="10.7598541839271"/>
    <n v="2.9888483844241902"/>
  </r>
  <r>
    <x v="0"/>
    <x v="23"/>
    <x v="4"/>
    <x v="8"/>
    <s v="LV_OFFSHORE"/>
    <x v="5"/>
    <n v="10.7598541839271"/>
    <n v="2.9888483844241902"/>
  </r>
  <r>
    <x v="0"/>
    <x v="23"/>
    <x v="4"/>
    <x v="8"/>
    <s v="LV_OFFSHORE"/>
    <x v="6"/>
    <n v="29.476231795214598"/>
    <n v="8.1878421653373898"/>
  </r>
  <r>
    <x v="0"/>
    <x v="23"/>
    <x v="4"/>
    <x v="8"/>
    <s v="LV_OFFSHORE"/>
    <x v="7"/>
    <n v="57.838935220261199"/>
    <n v="16.066370894517"/>
  </r>
  <r>
    <x v="0"/>
    <x v="23"/>
    <x v="4"/>
    <x v="8"/>
    <s v="LV_OFFSHORE"/>
    <x v="8"/>
    <n v="57.838935220261199"/>
    <n v="16.066370894517"/>
  </r>
  <r>
    <x v="0"/>
    <x v="23"/>
    <x v="4"/>
    <x v="8"/>
    <s v="LV_OFFSHORE"/>
    <x v="9"/>
    <n v="47.978366197183199"/>
    <n v="13.327323943662"/>
  </r>
  <r>
    <x v="0"/>
    <x v="23"/>
    <x v="4"/>
    <x v="8"/>
    <s v="LV_OFFSHORE"/>
    <x v="10"/>
    <n v="63.1479966859984"/>
    <n v="17.541110190555099"/>
  </r>
  <r>
    <x v="0"/>
    <x v="23"/>
    <x v="4"/>
    <x v="8"/>
    <s v="LV_OFFSHORE"/>
    <x v="11"/>
    <n v="5.9972957746478999"/>
    <n v="1.66591549295775"/>
  </r>
  <r>
    <x v="0"/>
    <x v="23"/>
    <x v="4"/>
    <x v="8"/>
    <s v="LV_OFFSHORE"/>
    <x v="12"/>
    <n v="9.7995028997514597E-2"/>
    <n v="2.72208413881985E-2"/>
  </r>
  <r>
    <x v="0"/>
    <x v="23"/>
    <x v="4"/>
    <x v="8"/>
    <s v="LV_OFFSHORE"/>
    <x v="13"/>
    <n v="26.987830985915501"/>
    <n v="7.4966197183098604"/>
  </r>
  <r>
    <x v="0"/>
    <x v="23"/>
    <x v="4"/>
    <x v="8"/>
    <s v="LV_OFFSHORE"/>
    <x v="14"/>
    <n v="26.987830985915501"/>
    <n v="7.4966197183098604"/>
  </r>
  <r>
    <x v="0"/>
    <x v="23"/>
    <x v="4"/>
    <x v="8"/>
    <s v="LV_OFFSHORE"/>
    <x v="15"/>
    <n v="1.65807589063794"/>
    <n v="0.46057663628831802"/>
  </r>
  <r>
    <x v="0"/>
    <x v="23"/>
    <x v="4"/>
    <x v="8"/>
    <s v="LV_OFFSHORE"/>
    <x v="16"/>
    <n v="6.6307647887493104"/>
    <n v="1.84187910798592"/>
  </r>
  <r>
    <x v="0"/>
    <x v="23"/>
    <x v="4"/>
    <x v="8"/>
    <s v="LV_OFFSHORE"/>
    <x v="17"/>
    <n v="9.1244895875632395"/>
    <n v="2.5345804409897901"/>
  </r>
  <r>
    <x v="0"/>
    <x v="23"/>
    <x v="4"/>
    <x v="8"/>
    <s v="LV_OFFSHORE"/>
    <x v="18"/>
    <n v="26.987830985915501"/>
    <n v="7.4966197183098604"/>
  </r>
  <r>
    <x v="0"/>
    <x v="23"/>
    <x v="4"/>
    <x v="8"/>
    <s v="LV_OFFSHORE"/>
    <x v="19"/>
    <n v="8.1139884009941898"/>
    <n v="2.2538856669428302"/>
  </r>
  <r>
    <x v="0"/>
    <x v="23"/>
    <x v="4"/>
    <x v="8"/>
    <s v="LV_OFFSHORE"/>
    <x v="20"/>
    <n v="21.7877183939536"/>
    <n v="6.0521439983204397"/>
  </r>
  <r>
    <x v="0"/>
    <x v="23"/>
    <x v="4"/>
    <x v="8"/>
    <s v="LV_OFFSHORE"/>
    <x v="21"/>
    <n v="48.24"/>
    <n v="13.4"/>
  </r>
  <r>
    <x v="0"/>
    <x v="23"/>
    <x v="4"/>
    <x v="8"/>
    <s v="LV_OFFSHORE"/>
    <x v="22"/>
    <n v="67.680000000000007"/>
    <n v="18.8"/>
  </r>
  <r>
    <x v="0"/>
    <x v="23"/>
    <x v="4"/>
    <x v="8"/>
    <s v="LV_OFFSHORE"/>
    <x v="23"/>
    <n v="0.31515896120488701"/>
    <n v="8.7544155890246306E-2"/>
  </r>
  <r>
    <x v="0"/>
    <x v="23"/>
    <x v="4"/>
    <x v="8"/>
    <s v="LV_OFFSHORE"/>
    <x v="24"/>
    <n v="19.174223581093901"/>
    <n v="5.32617321697054"/>
  </r>
  <r>
    <x v="0"/>
    <x v="23"/>
    <x v="4"/>
    <x v="8"/>
    <s v="LV_OFFSHORE"/>
    <x v="25"/>
    <n v="25.6652953012922"/>
    <n v="7.1292486948033904"/>
  </r>
  <r>
    <x v="0"/>
    <x v="23"/>
    <x v="4"/>
    <x v="8"/>
    <s v="LV_OFFSHORE"/>
    <x v="26"/>
    <n v="32.971098611263102"/>
    <n v="9.1586385031286301"/>
  </r>
  <r>
    <x v="0"/>
    <x v="23"/>
    <x v="4"/>
    <x v="8"/>
    <s v="LV_OFFSHORE"/>
    <x v="27"/>
    <n v="20.163995508318798"/>
    <n v="5.6011098634218799"/>
  </r>
  <r>
    <x v="0"/>
    <x v="23"/>
    <x v="4"/>
    <x v="8"/>
    <s v="LV_Other_DH"/>
    <x v="1"/>
    <n v="35.989199999999997"/>
    <n v="9.9969999999999999"/>
  </r>
  <r>
    <x v="0"/>
    <x v="23"/>
    <x v="4"/>
    <x v="8"/>
    <s v="LV_Other_DH"/>
    <x v="2"/>
    <n v="46.08"/>
    <n v="12.8"/>
  </r>
  <r>
    <x v="0"/>
    <x v="23"/>
    <x v="4"/>
    <x v="8"/>
    <s v="LV_Other_DH"/>
    <x v="0"/>
    <n v="42.692399999999999"/>
    <n v="11.859"/>
  </r>
  <r>
    <x v="0"/>
    <x v="23"/>
    <x v="4"/>
    <x v="8"/>
    <s v="LV_Other_DH"/>
    <x v="3"/>
    <n v="51.633543144067197"/>
    <n v="14.342650873352"/>
  </r>
  <r>
    <x v="0"/>
    <x v="23"/>
    <x v="4"/>
    <x v="8"/>
    <s v="LV_Other_DH"/>
    <x v="4"/>
    <n v="10.7598541839271"/>
    <n v="2.9888483844241902"/>
  </r>
  <r>
    <x v="0"/>
    <x v="23"/>
    <x v="4"/>
    <x v="8"/>
    <s v="LV_Other_DH"/>
    <x v="5"/>
    <n v="10.7598541839271"/>
    <n v="2.9888483844241902"/>
  </r>
  <r>
    <x v="0"/>
    <x v="23"/>
    <x v="4"/>
    <x v="8"/>
    <s v="LV_Other_DH"/>
    <x v="6"/>
    <n v="29.476231795214598"/>
    <n v="8.1878421653373898"/>
  </r>
  <r>
    <x v="0"/>
    <x v="23"/>
    <x v="4"/>
    <x v="8"/>
    <s v="LV_Other_DH"/>
    <x v="7"/>
    <n v="57.838935220261199"/>
    <n v="16.066370894517"/>
  </r>
  <r>
    <x v="0"/>
    <x v="23"/>
    <x v="4"/>
    <x v="8"/>
    <s v="LV_Other_DH"/>
    <x v="8"/>
    <n v="57.838935220261199"/>
    <n v="16.066370894517"/>
  </r>
  <r>
    <x v="0"/>
    <x v="23"/>
    <x v="4"/>
    <x v="8"/>
    <s v="LV_Other_DH"/>
    <x v="9"/>
    <n v="47.978366197183199"/>
    <n v="13.327323943662"/>
  </r>
  <r>
    <x v="0"/>
    <x v="23"/>
    <x v="4"/>
    <x v="8"/>
    <s v="LV_Other_DH"/>
    <x v="10"/>
    <n v="63.1479966859984"/>
    <n v="17.541110190555099"/>
  </r>
  <r>
    <x v="0"/>
    <x v="23"/>
    <x v="4"/>
    <x v="8"/>
    <s v="LV_Other_DH"/>
    <x v="11"/>
    <n v="5.9972957746478999"/>
    <n v="1.66591549295775"/>
  </r>
  <r>
    <x v="0"/>
    <x v="23"/>
    <x v="4"/>
    <x v="8"/>
    <s v="LV_Other_DH"/>
    <x v="12"/>
    <n v="9.7995028997514597E-2"/>
    <n v="2.72208413881985E-2"/>
  </r>
  <r>
    <x v="0"/>
    <x v="23"/>
    <x v="4"/>
    <x v="8"/>
    <s v="LV_Other_DH"/>
    <x v="13"/>
    <n v="26.987830985915501"/>
    <n v="7.4966197183098604"/>
  </r>
  <r>
    <x v="0"/>
    <x v="23"/>
    <x v="4"/>
    <x v="8"/>
    <s v="LV_Other_DH"/>
    <x v="14"/>
    <n v="26.987830985915501"/>
    <n v="7.4966197183098604"/>
  </r>
  <r>
    <x v="0"/>
    <x v="23"/>
    <x v="4"/>
    <x v="8"/>
    <s v="LV_Other_DH"/>
    <x v="15"/>
    <n v="1.65807589063794"/>
    <n v="0.46057663628831802"/>
  </r>
  <r>
    <x v="0"/>
    <x v="23"/>
    <x v="4"/>
    <x v="8"/>
    <s v="LV_Other_DH"/>
    <x v="16"/>
    <n v="6.6307647887493104"/>
    <n v="1.84187910798592"/>
  </r>
  <r>
    <x v="0"/>
    <x v="23"/>
    <x v="4"/>
    <x v="8"/>
    <s v="LV_Other_DH"/>
    <x v="17"/>
    <n v="9.1244895875632395"/>
    <n v="2.5345804409897901"/>
  </r>
  <r>
    <x v="0"/>
    <x v="23"/>
    <x v="4"/>
    <x v="8"/>
    <s v="LV_Other_DH"/>
    <x v="18"/>
    <n v="26.987830985915501"/>
    <n v="7.4966197183098604"/>
  </r>
  <r>
    <x v="0"/>
    <x v="23"/>
    <x v="4"/>
    <x v="8"/>
    <s v="LV_Other_DH"/>
    <x v="19"/>
    <n v="8.1139884009941898"/>
    <n v="2.2538856669428302"/>
  </r>
  <r>
    <x v="0"/>
    <x v="23"/>
    <x v="4"/>
    <x v="8"/>
    <s v="LV_Other_DH"/>
    <x v="20"/>
    <n v="21.7877183939536"/>
    <n v="6.0521439983204397"/>
  </r>
  <r>
    <x v="0"/>
    <x v="23"/>
    <x v="4"/>
    <x v="8"/>
    <s v="LV_Other_DH"/>
    <x v="21"/>
    <n v="48.24"/>
    <n v="13.4"/>
  </r>
  <r>
    <x v="0"/>
    <x v="23"/>
    <x v="4"/>
    <x v="8"/>
    <s v="LV_Other_DH"/>
    <x v="22"/>
    <n v="67.680000000000007"/>
    <n v="18.8"/>
  </r>
  <r>
    <x v="0"/>
    <x v="23"/>
    <x v="4"/>
    <x v="8"/>
    <s v="LV_Other_DH"/>
    <x v="23"/>
    <n v="0.31515896120488701"/>
    <n v="8.7544155890246306E-2"/>
  </r>
  <r>
    <x v="0"/>
    <x v="23"/>
    <x v="4"/>
    <x v="8"/>
    <s v="LV_Other_DH"/>
    <x v="24"/>
    <n v="19.174223581093901"/>
    <n v="5.32617321697054"/>
  </r>
  <r>
    <x v="0"/>
    <x v="23"/>
    <x v="4"/>
    <x v="8"/>
    <s v="LV_Other_DH"/>
    <x v="25"/>
    <n v="25.6652953012922"/>
    <n v="7.1292486948033904"/>
  </r>
  <r>
    <x v="0"/>
    <x v="23"/>
    <x v="4"/>
    <x v="8"/>
    <s v="LV_Other_DH"/>
    <x v="26"/>
    <n v="32.971098611263102"/>
    <n v="9.1586385031286301"/>
  </r>
  <r>
    <x v="0"/>
    <x v="23"/>
    <x v="4"/>
    <x v="8"/>
    <s v="LV_Other_DH"/>
    <x v="27"/>
    <n v="20.163995508318798"/>
    <n v="5.6011098634218799"/>
  </r>
  <r>
    <x v="0"/>
    <x v="23"/>
    <x v="4"/>
    <x v="8"/>
    <s v="LV_RigaR"/>
    <x v="1"/>
    <n v="35.989199999999997"/>
    <n v="9.9969999999999999"/>
  </r>
  <r>
    <x v="0"/>
    <x v="23"/>
    <x v="4"/>
    <x v="8"/>
    <s v="LV_RigaR"/>
    <x v="2"/>
    <n v="46.08"/>
    <n v="12.8"/>
  </r>
  <r>
    <x v="0"/>
    <x v="23"/>
    <x v="4"/>
    <x v="8"/>
    <s v="LV_RigaR"/>
    <x v="0"/>
    <n v="42.692399999999999"/>
    <n v="11.859"/>
  </r>
  <r>
    <x v="0"/>
    <x v="23"/>
    <x v="4"/>
    <x v="8"/>
    <s v="LV_RigaR"/>
    <x v="3"/>
    <n v="51.633543144067197"/>
    <n v="14.342650873352"/>
  </r>
  <r>
    <x v="0"/>
    <x v="23"/>
    <x v="4"/>
    <x v="8"/>
    <s v="LV_RigaR"/>
    <x v="4"/>
    <n v="10.7598541839271"/>
    <n v="2.9888483844241902"/>
  </r>
  <r>
    <x v="0"/>
    <x v="23"/>
    <x v="4"/>
    <x v="8"/>
    <s v="LV_RigaR"/>
    <x v="5"/>
    <n v="10.7598541839271"/>
    <n v="2.9888483844241902"/>
  </r>
  <r>
    <x v="0"/>
    <x v="23"/>
    <x v="4"/>
    <x v="8"/>
    <s v="LV_RigaR"/>
    <x v="6"/>
    <n v="29.476231795214598"/>
    <n v="8.1878421653373898"/>
  </r>
  <r>
    <x v="0"/>
    <x v="23"/>
    <x v="4"/>
    <x v="8"/>
    <s v="LV_RigaR"/>
    <x v="7"/>
    <n v="57.838935220261199"/>
    <n v="16.066370894517"/>
  </r>
  <r>
    <x v="0"/>
    <x v="23"/>
    <x v="4"/>
    <x v="8"/>
    <s v="LV_RigaR"/>
    <x v="8"/>
    <n v="57.838935220261199"/>
    <n v="16.066370894517"/>
  </r>
  <r>
    <x v="0"/>
    <x v="23"/>
    <x v="4"/>
    <x v="8"/>
    <s v="LV_RigaR"/>
    <x v="9"/>
    <n v="47.978366197183199"/>
    <n v="13.327323943662"/>
  </r>
  <r>
    <x v="0"/>
    <x v="23"/>
    <x v="4"/>
    <x v="8"/>
    <s v="LV_RigaR"/>
    <x v="10"/>
    <n v="63.1479966859984"/>
    <n v="17.541110190555099"/>
  </r>
  <r>
    <x v="0"/>
    <x v="23"/>
    <x v="4"/>
    <x v="8"/>
    <s v="LV_RigaR"/>
    <x v="11"/>
    <n v="5.9972957746478999"/>
    <n v="1.66591549295775"/>
  </r>
  <r>
    <x v="0"/>
    <x v="23"/>
    <x v="4"/>
    <x v="8"/>
    <s v="LV_RigaR"/>
    <x v="12"/>
    <n v="9.7995028997514597E-2"/>
    <n v="2.72208413881985E-2"/>
  </r>
  <r>
    <x v="0"/>
    <x v="23"/>
    <x v="4"/>
    <x v="8"/>
    <s v="LV_RigaR"/>
    <x v="13"/>
    <n v="26.987830985915501"/>
    <n v="7.4966197183098604"/>
  </r>
  <r>
    <x v="0"/>
    <x v="23"/>
    <x v="4"/>
    <x v="8"/>
    <s v="LV_RigaR"/>
    <x v="14"/>
    <n v="26.987830985915501"/>
    <n v="7.4966197183098604"/>
  </r>
  <r>
    <x v="0"/>
    <x v="23"/>
    <x v="4"/>
    <x v="8"/>
    <s v="LV_RigaR"/>
    <x v="15"/>
    <n v="1.65807589063794"/>
    <n v="0.46057663628831802"/>
  </r>
  <r>
    <x v="0"/>
    <x v="23"/>
    <x v="4"/>
    <x v="8"/>
    <s v="LV_RigaR"/>
    <x v="16"/>
    <n v="6.6307647887493104"/>
    <n v="1.84187910798592"/>
  </r>
  <r>
    <x v="0"/>
    <x v="23"/>
    <x v="4"/>
    <x v="8"/>
    <s v="LV_RigaR"/>
    <x v="17"/>
    <n v="9.1244895875632395"/>
    <n v="2.5345804409897901"/>
  </r>
  <r>
    <x v="0"/>
    <x v="23"/>
    <x v="4"/>
    <x v="8"/>
    <s v="LV_RigaR"/>
    <x v="18"/>
    <n v="26.987830985915501"/>
    <n v="7.4966197183098604"/>
  </r>
  <r>
    <x v="0"/>
    <x v="23"/>
    <x v="4"/>
    <x v="8"/>
    <s v="LV_RigaR"/>
    <x v="19"/>
    <n v="8.1139884009941898"/>
    <n v="2.2538856669428302"/>
  </r>
  <r>
    <x v="0"/>
    <x v="23"/>
    <x v="4"/>
    <x v="8"/>
    <s v="LV_RigaR"/>
    <x v="20"/>
    <n v="21.7877183939536"/>
    <n v="6.0521439983204397"/>
  </r>
  <r>
    <x v="0"/>
    <x v="23"/>
    <x v="4"/>
    <x v="8"/>
    <s v="LV_RigaR"/>
    <x v="21"/>
    <n v="48.24"/>
    <n v="13.4"/>
  </r>
  <r>
    <x v="0"/>
    <x v="23"/>
    <x v="4"/>
    <x v="8"/>
    <s v="LV_RigaR"/>
    <x v="22"/>
    <n v="67.680000000000007"/>
    <n v="18.8"/>
  </r>
  <r>
    <x v="0"/>
    <x v="23"/>
    <x v="4"/>
    <x v="8"/>
    <s v="LV_RigaR"/>
    <x v="23"/>
    <n v="0.31515896120488701"/>
    <n v="8.7544155890246306E-2"/>
  </r>
  <r>
    <x v="0"/>
    <x v="23"/>
    <x v="4"/>
    <x v="8"/>
    <s v="LV_RigaR"/>
    <x v="24"/>
    <n v="19.174223581093901"/>
    <n v="5.32617321697054"/>
  </r>
  <r>
    <x v="0"/>
    <x v="23"/>
    <x v="4"/>
    <x v="8"/>
    <s v="LV_RigaR"/>
    <x v="25"/>
    <n v="25.6652953012922"/>
    <n v="7.1292486948033904"/>
  </r>
  <r>
    <x v="0"/>
    <x v="23"/>
    <x v="4"/>
    <x v="8"/>
    <s v="LV_RigaR"/>
    <x v="26"/>
    <n v="32.971098611263102"/>
    <n v="9.1586385031286301"/>
  </r>
  <r>
    <x v="0"/>
    <x v="23"/>
    <x v="4"/>
    <x v="8"/>
    <s v="LV_RigaR"/>
    <x v="27"/>
    <n v="20.163995508318798"/>
    <n v="5.6011098634218799"/>
  </r>
  <r>
    <x v="0"/>
    <x v="23"/>
    <x v="4"/>
    <x v="8"/>
    <s v="LV_Rural"/>
    <x v="1"/>
    <n v="35.989199999999997"/>
    <n v="9.9969999999999999"/>
  </r>
  <r>
    <x v="0"/>
    <x v="23"/>
    <x v="4"/>
    <x v="8"/>
    <s v="LV_Rural"/>
    <x v="2"/>
    <n v="46.08"/>
    <n v="12.8"/>
  </r>
  <r>
    <x v="0"/>
    <x v="23"/>
    <x v="4"/>
    <x v="8"/>
    <s v="LV_Rural"/>
    <x v="0"/>
    <n v="42.692399999999999"/>
    <n v="11.859"/>
  </r>
  <r>
    <x v="0"/>
    <x v="23"/>
    <x v="4"/>
    <x v="8"/>
    <s v="LV_Rural"/>
    <x v="3"/>
    <n v="51.633543144067197"/>
    <n v="14.342650873352"/>
  </r>
  <r>
    <x v="0"/>
    <x v="23"/>
    <x v="4"/>
    <x v="8"/>
    <s v="LV_Rural"/>
    <x v="4"/>
    <n v="10.7598541839271"/>
    <n v="2.9888483844241902"/>
  </r>
  <r>
    <x v="0"/>
    <x v="23"/>
    <x v="4"/>
    <x v="8"/>
    <s v="LV_Rural"/>
    <x v="5"/>
    <n v="10.7598541839271"/>
    <n v="2.9888483844241902"/>
  </r>
  <r>
    <x v="0"/>
    <x v="23"/>
    <x v="4"/>
    <x v="8"/>
    <s v="LV_Rural"/>
    <x v="6"/>
    <n v="29.476231795214598"/>
    <n v="8.1878421653373898"/>
  </r>
  <r>
    <x v="0"/>
    <x v="23"/>
    <x v="4"/>
    <x v="8"/>
    <s v="LV_Rural"/>
    <x v="7"/>
    <n v="57.838935220261199"/>
    <n v="16.066370894517"/>
  </r>
  <r>
    <x v="0"/>
    <x v="23"/>
    <x v="4"/>
    <x v="8"/>
    <s v="LV_Rural"/>
    <x v="8"/>
    <n v="57.838935220261199"/>
    <n v="16.066370894517"/>
  </r>
  <r>
    <x v="0"/>
    <x v="23"/>
    <x v="4"/>
    <x v="8"/>
    <s v="LV_Rural"/>
    <x v="9"/>
    <n v="47.978366197183199"/>
    <n v="13.327323943662"/>
  </r>
  <r>
    <x v="0"/>
    <x v="23"/>
    <x v="4"/>
    <x v="8"/>
    <s v="LV_Rural"/>
    <x v="10"/>
    <n v="63.1479966859984"/>
    <n v="17.541110190555099"/>
  </r>
  <r>
    <x v="0"/>
    <x v="23"/>
    <x v="4"/>
    <x v="8"/>
    <s v="LV_Rural"/>
    <x v="11"/>
    <n v="5.9972957746478999"/>
    <n v="1.66591549295775"/>
  </r>
  <r>
    <x v="0"/>
    <x v="23"/>
    <x v="4"/>
    <x v="8"/>
    <s v="LV_Rural"/>
    <x v="12"/>
    <n v="9.7995028997514597E-2"/>
    <n v="2.72208413881985E-2"/>
  </r>
  <r>
    <x v="0"/>
    <x v="23"/>
    <x v="4"/>
    <x v="8"/>
    <s v="LV_Rural"/>
    <x v="13"/>
    <n v="26.987830985915501"/>
    <n v="7.4966197183098604"/>
  </r>
  <r>
    <x v="0"/>
    <x v="23"/>
    <x v="4"/>
    <x v="8"/>
    <s v="LV_Rural"/>
    <x v="14"/>
    <n v="26.987830985915501"/>
    <n v="7.4966197183098604"/>
  </r>
  <r>
    <x v="0"/>
    <x v="23"/>
    <x v="4"/>
    <x v="8"/>
    <s v="LV_Rural"/>
    <x v="15"/>
    <n v="1.65807589063794"/>
    <n v="0.46057663628831802"/>
  </r>
  <r>
    <x v="0"/>
    <x v="23"/>
    <x v="4"/>
    <x v="8"/>
    <s v="LV_Rural"/>
    <x v="16"/>
    <n v="6.6307647887493104"/>
    <n v="1.84187910798592"/>
  </r>
  <r>
    <x v="0"/>
    <x v="23"/>
    <x v="4"/>
    <x v="8"/>
    <s v="LV_Rural"/>
    <x v="17"/>
    <n v="9.1244895875632395"/>
    <n v="2.5345804409897901"/>
  </r>
  <r>
    <x v="0"/>
    <x v="23"/>
    <x v="4"/>
    <x v="8"/>
    <s v="LV_Rural"/>
    <x v="18"/>
    <n v="26.987830985915501"/>
    <n v="7.4966197183098604"/>
  </r>
  <r>
    <x v="0"/>
    <x v="23"/>
    <x v="4"/>
    <x v="8"/>
    <s v="LV_Rural"/>
    <x v="19"/>
    <n v="8.1139884009941898"/>
    <n v="2.2538856669428302"/>
  </r>
  <r>
    <x v="0"/>
    <x v="23"/>
    <x v="4"/>
    <x v="8"/>
    <s v="LV_Rural"/>
    <x v="20"/>
    <n v="21.7877183939536"/>
    <n v="6.0521439983204397"/>
  </r>
  <r>
    <x v="0"/>
    <x v="23"/>
    <x v="4"/>
    <x v="8"/>
    <s v="LV_Rural"/>
    <x v="21"/>
    <n v="48.24"/>
    <n v="13.4"/>
  </r>
  <r>
    <x v="0"/>
    <x v="23"/>
    <x v="4"/>
    <x v="8"/>
    <s v="LV_Rural"/>
    <x v="22"/>
    <n v="67.680000000000007"/>
    <n v="18.8"/>
  </r>
  <r>
    <x v="0"/>
    <x v="23"/>
    <x v="4"/>
    <x v="8"/>
    <s v="LV_Rural"/>
    <x v="23"/>
    <n v="0.31515896120488701"/>
    <n v="8.7544155890246306E-2"/>
  </r>
  <r>
    <x v="0"/>
    <x v="23"/>
    <x v="4"/>
    <x v="8"/>
    <s v="LV_Rural"/>
    <x v="24"/>
    <n v="19.174223581093901"/>
    <n v="5.32617321697054"/>
  </r>
  <r>
    <x v="0"/>
    <x v="23"/>
    <x v="4"/>
    <x v="8"/>
    <s v="LV_Rural"/>
    <x v="25"/>
    <n v="25.6652953012922"/>
    <n v="7.1292486948033904"/>
  </r>
  <r>
    <x v="0"/>
    <x v="23"/>
    <x v="4"/>
    <x v="8"/>
    <s v="LV_Rural"/>
    <x v="26"/>
    <n v="32.971098611263102"/>
    <n v="9.1586385031286301"/>
  </r>
  <r>
    <x v="0"/>
    <x v="23"/>
    <x v="4"/>
    <x v="8"/>
    <s v="LV_Rural"/>
    <x v="27"/>
    <n v="20.163995508318798"/>
    <n v="5.6011098634218799"/>
  </r>
  <r>
    <x v="0"/>
    <x v="23"/>
    <x v="5"/>
    <x v="9"/>
    <s v="LT_A"/>
    <x v="1"/>
    <n v="35.989199999999997"/>
    <n v="9.9969999999999999"/>
  </r>
  <r>
    <x v="0"/>
    <x v="23"/>
    <x v="5"/>
    <x v="9"/>
    <s v="LT_A"/>
    <x v="2"/>
    <n v="46.08"/>
    <n v="12.8"/>
  </r>
  <r>
    <x v="0"/>
    <x v="23"/>
    <x v="5"/>
    <x v="9"/>
    <s v="LT_A"/>
    <x v="0"/>
    <n v="42.692399999999999"/>
    <n v="11.859"/>
  </r>
  <r>
    <x v="0"/>
    <x v="23"/>
    <x v="5"/>
    <x v="9"/>
    <s v="LT_A"/>
    <x v="3"/>
    <n v="51.633543144067197"/>
    <n v="14.342650873352"/>
  </r>
  <r>
    <x v="0"/>
    <x v="23"/>
    <x v="5"/>
    <x v="9"/>
    <s v="LT_A"/>
    <x v="4"/>
    <n v="10.7598541839271"/>
    <n v="2.9888483844241902"/>
  </r>
  <r>
    <x v="0"/>
    <x v="23"/>
    <x v="5"/>
    <x v="9"/>
    <s v="LT_A"/>
    <x v="5"/>
    <n v="10.7598541839271"/>
    <n v="2.9888483844241902"/>
  </r>
  <r>
    <x v="0"/>
    <x v="23"/>
    <x v="5"/>
    <x v="9"/>
    <s v="LT_A"/>
    <x v="6"/>
    <n v="29.476231795214598"/>
    <n v="8.1878421653373898"/>
  </r>
  <r>
    <x v="0"/>
    <x v="23"/>
    <x v="5"/>
    <x v="9"/>
    <s v="LT_A"/>
    <x v="7"/>
    <n v="57.838935220261199"/>
    <n v="16.066370894517"/>
  </r>
  <r>
    <x v="0"/>
    <x v="23"/>
    <x v="5"/>
    <x v="9"/>
    <s v="LT_A"/>
    <x v="8"/>
    <n v="57.838935220261199"/>
    <n v="16.066370894517"/>
  </r>
  <r>
    <x v="0"/>
    <x v="23"/>
    <x v="5"/>
    <x v="9"/>
    <s v="LT_A"/>
    <x v="9"/>
    <n v="47.978366197183199"/>
    <n v="13.327323943662"/>
  </r>
  <r>
    <x v="0"/>
    <x v="23"/>
    <x v="5"/>
    <x v="9"/>
    <s v="LT_A"/>
    <x v="10"/>
    <n v="63.1479966859984"/>
    <n v="17.541110190555099"/>
  </r>
  <r>
    <x v="0"/>
    <x v="23"/>
    <x v="5"/>
    <x v="9"/>
    <s v="LT_A"/>
    <x v="11"/>
    <n v="5.9972957746478999"/>
    <n v="1.66591549295775"/>
  </r>
  <r>
    <x v="0"/>
    <x v="23"/>
    <x v="5"/>
    <x v="9"/>
    <s v="LT_A"/>
    <x v="12"/>
    <n v="9.7995028997514597E-2"/>
    <n v="2.72208413881985E-2"/>
  </r>
  <r>
    <x v="0"/>
    <x v="23"/>
    <x v="5"/>
    <x v="9"/>
    <s v="LT_A"/>
    <x v="13"/>
    <n v="26.987830985915501"/>
    <n v="7.4966197183098604"/>
  </r>
  <r>
    <x v="0"/>
    <x v="23"/>
    <x v="5"/>
    <x v="9"/>
    <s v="LT_A"/>
    <x v="14"/>
    <n v="26.987830985915501"/>
    <n v="7.4966197183098604"/>
  </r>
  <r>
    <x v="0"/>
    <x v="23"/>
    <x v="5"/>
    <x v="9"/>
    <s v="LT_A"/>
    <x v="15"/>
    <n v="1.65807589063794"/>
    <n v="0.46057663628831802"/>
  </r>
  <r>
    <x v="0"/>
    <x v="23"/>
    <x v="5"/>
    <x v="9"/>
    <s v="LT_A"/>
    <x v="16"/>
    <n v="6.6307647887493104"/>
    <n v="1.84187910798592"/>
  </r>
  <r>
    <x v="0"/>
    <x v="23"/>
    <x v="5"/>
    <x v="9"/>
    <s v="LT_A"/>
    <x v="17"/>
    <n v="9.1244895875632395"/>
    <n v="2.5345804409897901"/>
  </r>
  <r>
    <x v="0"/>
    <x v="23"/>
    <x v="5"/>
    <x v="9"/>
    <s v="LT_A"/>
    <x v="18"/>
    <n v="26.987830985915501"/>
    <n v="7.4966197183098604"/>
  </r>
  <r>
    <x v="0"/>
    <x v="23"/>
    <x v="5"/>
    <x v="9"/>
    <s v="LT_A"/>
    <x v="19"/>
    <n v="8.1139884009941898"/>
    <n v="2.2538856669428302"/>
  </r>
  <r>
    <x v="0"/>
    <x v="23"/>
    <x v="5"/>
    <x v="9"/>
    <s v="LT_A"/>
    <x v="20"/>
    <n v="21.7877183939536"/>
    <n v="6.0521439983204397"/>
  </r>
  <r>
    <x v="0"/>
    <x v="23"/>
    <x v="5"/>
    <x v="9"/>
    <s v="LT_A"/>
    <x v="21"/>
    <n v="48.24"/>
    <n v="13.4"/>
  </r>
  <r>
    <x v="0"/>
    <x v="23"/>
    <x v="5"/>
    <x v="9"/>
    <s v="LT_A"/>
    <x v="22"/>
    <n v="67.680000000000007"/>
    <n v="18.8"/>
  </r>
  <r>
    <x v="0"/>
    <x v="23"/>
    <x v="5"/>
    <x v="9"/>
    <s v="LT_A"/>
    <x v="23"/>
    <n v="0.31515896120488701"/>
    <n v="8.7544155890246306E-2"/>
  </r>
  <r>
    <x v="0"/>
    <x v="23"/>
    <x v="5"/>
    <x v="9"/>
    <s v="LT_A"/>
    <x v="24"/>
    <n v="19.174223581093901"/>
    <n v="5.32617321697054"/>
  </r>
  <r>
    <x v="0"/>
    <x v="23"/>
    <x v="5"/>
    <x v="9"/>
    <s v="LT_A"/>
    <x v="25"/>
    <n v="25.6652953012922"/>
    <n v="7.1292486948033904"/>
  </r>
  <r>
    <x v="0"/>
    <x v="23"/>
    <x v="5"/>
    <x v="9"/>
    <s v="LT_A"/>
    <x v="26"/>
    <n v="32.971098611263102"/>
    <n v="9.1586385031286301"/>
  </r>
  <r>
    <x v="0"/>
    <x v="23"/>
    <x v="5"/>
    <x v="9"/>
    <s v="LT_A"/>
    <x v="27"/>
    <n v="20.163995508318798"/>
    <n v="5.6011098634218799"/>
  </r>
  <r>
    <x v="0"/>
    <x v="23"/>
    <x v="5"/>
    <x v="9"/>
    <s v="LT_KauU"/>
    <x v="1"/>
    <n v="35.989199999999997"/>
    <n v="9.9969999999999999"/>
  </r>
  <r>
    <x v="0"/>
    <x v="23"/>
    <x v="5"/>
    <x v="9"/>
    <s v="LT_KauU"/>
    <x v="2"/>
    <n v="46.08"/>
    <n v="12.8"/>
  </r>
  <r>
    <x v="0"/>
    <x v="23"/>
    <x v="5"/>
    <x v="9"/>
    <s v="LT_KauU"/>
    <x v="0"/>
    <n v="42.692399999999999"/>
    <n v="11.859"/>
  </r>
  <r>
    <x v="0"/>
    <x v="23"/>
    <x v="5"/>
    <x v="9"/>
    <s v="LT_KauU"/>
    <x v="3"/>
    <n v="51.633543144067197"/>
    <n v="14.342650873352"/>
  </r>
  <r>
    <x v="0"/>
    <x v="23"/>
    <x v="5"/>
    <x v="9"/>
    <s v="LT_KauU"/>
    <x v="4"/>
    <n v="10.7598541839271"/>
    <n v="2.9888483844241902"/>
  </r>
  <r>
    <x v="0"/>
    <x v="23"/>
    <x v="5"/>
    <x v="9"/>
    <s v="LT_KauU"/>
    <x v="5"/>
    <n v="10.7598541839271"/>
    <n v="2.9888483844241902"/>
  </r>
  <r>
    <x v="0"/>
    <x v="23"/>
    <x v="5"/>
    <x v="9"/>
    <s v="LT_KauU"/>
    <x v="6"/>
    <n v="29.476231795214598"/>
    <n v="8.1878421653373898"/>
  </r>
  <r>
    <x v="0"/>
    <x v="23"/>
    <x v="5"/>
    <x v="9"/>
    <s v="LT_KauU"/>
    <x v="7"/>
    <n v="57.838935220261199"/>
    <n v="16.066370894517"/>
  </r>
  <r>
    <x v="0"/>
    <x v="23"/>
    <x v="5"/>
    <x v="9"/>
    <s v="LT_KauU"/>
    <x v="8"/>
    <n v="57.838935220261199"/>
    <n v="16.066370894517"/>
  </r>
  <r>
    <x v="0"/>
    <x v="23"/>
    <x v="5"/>
    <x v="9"/>
    <s v="LT_KauU"/>
    <x v="9"/>
    <n v="47.978366197183199"/>
    <n v="13.327323943662"/>
  </r>
  <r>
    <x v="0"/>
    <x v="23"/>
    <x v="5"/>
    <x v="9"/>
    <s v="LT_KauU"/>
    <x v="10"/>
    <n v="63.1479966859984"/>
    <n v="17.541110190555099"/>
  </r>
  <r>
    <x v="0"/>
    <x v="23"/>
    <x v="5"/>
    <x v="9"/>
    <s v="LT_KauU"/>
    <x v="11"/>
    <n v="5.9972957746478999"/>
    <n v="1.66591549295775"/>
  </r>
  <r>
    <x v="0"/>
    <x v="23"/>
    <x v="5"/>
    <x v="9"/>
    <s v="LT_KauU"/>
    <x v="12"/>
    <n v="9.7995028997514597E-2"/>
    <n v="2.72208413881985E-2"/>
  </r>
  <r>
    <x v="0"/>
    <x v="23"/>
    <x v="5"/>
    <x v="9"/>
    <s v="LT_KauU"/>
    <x v="13"/>
    <n v="26.987830985915501"/>
    <n v="7.4966197183098604"/>
  </r>
  <r>
    <x v="0"/>
    <x v="23"/>
    <x v="5"/>
    <x v="9"/>
    <s v="LT_KauU"/>
    <x v="14"/>
    <n v="26.987830985915501"/>
    <n v="7.4966197183098604"/>
  </r>
  <r>
    <x v="0"/>
    <x v="23"/>
    <x v="5"/>
    <x v="9"/>
    <s v="LT_KauU"/>
    <x v="15"/>
    <n v="1.65807589063794"/>
    <n v="0.46057663628831802"/>
  </r>
  <r>
    <x v="0"/>
    <x v="23"/>
    <x v="5"/>
    <x v="9"/>
    <s v="LT_KauU"/>
    <x v="16"/>
    <n v="6.6307647887493104"/>
    <n v="1.84187910798592"/>
  </r>
  <r>
    <x v="0"/>
    <x v="23"/>
    <x v="5"/>
    <x v="9"/>
    <s v="LT_KauU"/>
    <x v="17"/>
    <n v="9.1244895875632395"/>
    <n v="2.5345804409897901"/>
  </r>
  <r>
    <x v="0"/>
    <x v="23"/>
    <x v="5"/>
    <x v="9"/>
    <s v="LT_KauU"/>
    <x v="18"/>
    <n v="26.987830985915501"/>
    <n v="7.4966197183098604"/>
  </r>
  <r>
    <x v="0"/>
    <x v="23"/>
    <x v="5"/>
    <x v="9"/>
    <s v="LT_KauU"/>
    <x v="19"/>
    <n v="8.1139884009941898"/>
    <n v="2.2538856669428302"/>
  </r>
  <r>
    <x v="0"/>
    <x v="23"/>
    <x v="5"/>
    <x v="9"/>
    <s v="LT_KauU"/>
    <x v="20"/>
    <n v="21.7877183939536"/>
    <n v="6.0521439983204397"/>
  </r>
  <r>
    <x v="0"/>
    <x v="23"/>
    <x v="5"/>
    <x v="9"/>
    <s v="LT_KauU"/>
    <x v="21"/>
    <n v="48.24"/>
    <n v="13.4"/>
  </r>
  <r>
    <x v="0"/>
    <x v="23"/>
    <x v="5"/>
    <x v="9"/>
    <s v="LT_KauU"/>
    <x v="22"/>
    <n v="67.680000000000007"/>
    <n v="18.8"/>
  </r>
  <r>
    <x v="0"/>
    <x v="23"/>
    <x v="5"/>
    <x v="9"/>
    <s v="LT_KauU"/>
    <x v="23"/>
    <n v="0.31515896120488701"/>
    <n v="8.7544155890246306E-2"/>
  </r>
  <r>
    <x v="0"/>
    <x v="23"/>
    <x v="5"/>
    <x v="9"/>
    <s v="LT_KauU"/>
    <x v="24"/>
    <n v="19.174223581093901"/>
    <n v="5.32617321697054"/>
  </r>
  <r>
    <x v="0"/>
    <x v="23"/>
    <x v="5"/>
    <x v="9"/>
    <s v="LT_KauU"/>
    <x v="25"/>
    <n v="25.6652953012922"/>
    <n v="7.1292486948033904"/>
  </r>
  <r>
    <x v="0"/>
    <x v="23"/>
    <x v="5"/>
    <x v="9"/>
    <s v="LT_KauU"/>
    <x v="26"/>
    <n v="32.971098611263102"/>
    <n v="9.1586385031286301"/>
  </r>
  <r>
    <x v="0"/>
    <x v="23"/>
    <x v="5"/>
    <x v="9"/>
    <s v="LT_KauU"/>
    <x v="27"/>
    <n v="20.163995508318798"/>
    <n v="5.6011098634218799"/>
  </r>
  <r>
    <x v="0"/>
    <x v="23"/>
    <x v="5"/>
    <x v="9"/>
    <s v="LT_KlaU"/>
    <x v="1"/>
    <n v="35.989199999999997"/>
    <n v="9.9969999999999999"/>
  </r>
  <r>
    <x v="0"/>
    <x v="23"/>
    <x v="5"/>
    <x v="9"/>
    <s v="LT_KlaU"/>
    <x v="2"/>
    <n v="46.08"/>
    <n v="12.8"/>
  </r>
  <r>
    <x v="0"/>
    <x v="23"/>
    <x v="5"/>
    <x v="9"/>
    <s v="LT_KlaU"/>
    <x v="0"/>
    <n v="42.692399999999999"/>
    <n v="11.859"/>
  </r>
  <r>
    <x v="0"/>
    <x v="23"/>
    <x v="5"/>
    <x v="9"/>
    <s v="LT_KlaU"/>
    <x v="3"/>
    <n v="51.633543144067197"/>
    <n v="14.342650873352"/>
  </r>
  <r>
    <x v="0"/>
    <x v="23"/>
    <x v="5"/>
    <x v="9"/>
    <s v="LT_KlaU"/>
    <x v="4"/>
    <n v="10.7598541839271"/>
    <n v="2.9888483844241902"/>
  </r>
  <r>
    <x v="0"/>
    <x v="23"/>
    <x v="5"/>
    <x v="9"/>
    <s v="LT_KlaU"/>
    <x v="5"/>
    <n v="10.7598541839271"/>
    <n v="2.9888483844241902"/>
  </r>
  <r>
    <x v="0"/>
    <x v="23"/>
    <x v="5"/>
    <x v="9"/>
    <s v="LT_KlaU"/>
    <x v="6"/>
    <n v="29.476231795214598"/>
    <n v="8.1878421653373898"/>
  </r>
  <r>
    <x v="0"/>
    <x v="23"/>
    <x v="5"/>
    <x v="9"/>
    <s v="LT_KlaU"/>
    <x v="7"/>
    <n v="57.838935220261199"/>
    <n v="16.066370894517"/>
  </r>
  <r>
    <x v="0"/>
    <x v="23"/>
    <x v="5"/>
    <x v="9"/>
    <s v="LT_KlaU"/>
    <x v="8"/>
    <n v="57.838935220261199"/>
    <n v="16.066370894517"/>
  </r>
  <r>
    <x v="0"/>
    <x v="23"/>
    <x v="5"/>
    <x v="9"/>
    <s v="LT_KlaU"/>
    <x v="9"/>
    <n v="47.978366197183199"/>
    <n v="13.327323943662"/>
  </r>
  <r>
    <x v="0"/>
    <x v="23"/>
    <x v="5"/>
    <x v="9"/>
    <s v="LT_KlaU"/>
    <x v="10"/>
    <n v="63.1479966859984"/>
    <n v="17.541110190555099"/>
  </r>
  <r>
    <x v="0"/>
    <x v="23"/>
    <x v="5"/>
    <x v="9"/>
    <s v="LT_KlaU"/>
    <x v="11"/>
    <n v="5.9972957746478999"/>
    <n v="1.66591549295775"/>
  </r>
  <r>
    <x v="0"/>
    <x v="23"/>
    <x v="5"/>
    <x v="9"/>
    <s v="LT_KlaU"/>
    <x v="12"/>
    <n v="9.7995028997514597E-2"/>
    <n v="2.72208413881985E-2"/>
  </r>
  <r>
    <x v="0"/>
    <x v="23"/>
    <x v="5"/>
    <x v="9"/>
    <s v="LT_KlaU"/>
    <x v="13"/>
    <n v="26.987830985915501"/>
    <n v="7.4966197183098604"/>
  </r>
  <r>
    <x v="0"/>
    <x v="23"/>
    <x v="5"/>
    <x v="9"/>
    <s v="LT_KlaU"/>
    <x v="14"/>
    <n v="26.987830985915501"/>
    <n v="7.4966197183098604"/>
  </r>
  <r>
    <x v="0"/>
    <x v="23"/>
    <x v="5"/>
    <x v="9"/>
    <s v="LT_KlaU"/>
    <x v="15"/>
    <n v="1.65807589063794"/>
    <n v="0.46057663628831802"/>
  </r>
  <r>
    <x v="0"/>
    <x v="23"/>
    <x v="5"/>
    <x v="9"/>
    <s v="LT_KlaU"/>
    <x v="16"/>
    <n v="6.6307647887493104"/>
    <n v="1.84187910798592"/>
  </r>
  <r>
    <x v="0"/>
    <x v="23"/>
    <x v="5"/>
    <x v="9"/>
    <s v="LT_KlaU"/>
    <x v="17"/>
    <n v="9.1244895875632395"/>
    <n v="2.5345804409897901"/>
  </r>
  <r>
    <x v="0"/>
    <x v="23"/>
    <x v="5"/>
    <x v="9"/>
    <s v="LT_KlaU"/>
    <x v="18"/>
    <n v="26.987830985915501"/>
    <n v="7.4966197183098604"/>
  </r>
  <r>
    <x v="0"/>
    <x v="23"/>
    <x v="5"/>
    <x v="9"/>
    <s v="LT_KlaU"/>
    <x v="19"/>
    <n v="8.1139884009941898"/>
    <n v="2.2538856669428302"/>
  </r>
  <r>
    <x v="0"/>
    <x v="23"/>
    <x v="5"/>
    <x v="9"/>
    <s v="LT_KlaU"/>
    <x v="20"/>
    <n v="21.7877183939536"/>
    <n v="6.0521439983204397"/>
  </r>
  <r>
    <x v="0"/>
    <x v="23"/>
    <x v="5"/>
    <x v="9"/>
    <s v="LT_KlaU"/>
    <x v="21"/>
    <n v="48.24"/>
    <n v="13.4"/>
  </r>
  <r>
    <x v="0"/>
    <x v="23"/>
    <x v="5"/>
    <x v="9"/>
    <s v="LT_KlaU"/>
    <x v="22"/>
    <n v="67.680000000000007"/>
    <n v="18.8"/>
  </r>
  <r>
    <x v="0"/>
    <x v="23"/>
    <x v="5"/>
    <x v="9"/>
    <s v="LT_KlaU"/>
    <x v="23"/>
    <n v="0.31515896120488701"/>
    <n v="8.7544155890246306E-2"/>
  </r>
  <r>
    <x v="0"/>
    <x v="23"/>
    <x v="5"/>
    <x v="9"/>
    <s v="LT_KlaU"/>
    <x v="24"/>
    <n v="19.174223581093901"/>
    <n v="5.32617321697054"/>
  </r>
  <r>
    <x v="0"/>
    <x v="23"/>
    <x v="5"/>
    <x v="9"/>
    <s v="LT_KlaU"/>
    <x v="25"/>
    <n v="25.6652953012922"/>
    <n v="7.1292486948033904"/>
  </r>
  <r>
    <x v="0"/>
    <x v="23"/>
    <x v="5"/>
    <x v="9"/>
    <s v="LT_KlaU"/>
    <x v="26"/>
    <n v="32.971098611263102"/>
    <n v="9.1586385031286301"/>
  </r>
  <r>
    <x v="0"/>
    <x v="23"/>
    <x v="5"/>
    <x v="9"/>
    <s v="LT_KlaU"/>
    <x v="27"/>
    <n v="20.163995508318798"/>
    <n v="5.6011098634218799"/>
  </r>
  <r>
    <x v="0"/>
    <x v="23"/>
    <x v="5"/>
    <x v="9"/>
    <s v="LT_OFFSHORE"/>
    <x v="1"/>
    <n v="35.989199999999997"/>
    <n v="9.9969999999999999"/>
  </r>
  <r>
    <x v="0"/>
    <x v="23"/>
    <x v="5"/>
    <x v="9"/>
    <s v="LT_OFFSHORE"/>
    <x v="2"/>
    <n v="46.08"/>
    <n v="12.8"/>
  </r>
  <r>
    <x v="0"/>
    <x v="23"/>
    <x v="5"/>
    <x v="9"/>
    <s v="LT_OFFSHORE"/>
    <x v="0"/>
    <n v="42.692399999999999"/>
    <n v="11.859"/>
  </r>
  <r>
    <x v="0"/>
    <x v="23"/>
    <x v="5"/>
    <x v="9"/>
    <s v="LT_OFFSHORE"/>
    <x v="3"/>
    <n v="51.633543144067197"/>
    <n v="14.342650873352"/>
  </r>
  <r>
    <x v="0"/>
    <x v="23"/>
    <x v="5"/>
    <x v="9"/>
    <s v="LT_OFFSHORE"/>
    <x v="4"/>
    <n v="10.7598541839271"/>
    <n v="2.9888483844241902"/>
  </r>
  <r>
    <x v="0"/>
    <x v="23"/>
    <x v="5"/>
    <x v="9"/>
    <s v="LT_OFFSHORE"/>
    <x v="5"/>
    <n v="10.7598541839271"/>
    <n v="2.9888483844241902"/>
  </r>
  <r>
    <x v="0"/>
    <x v="23"/>
    <x v="5"/>
    <x v="9"/>
    <s v="LT_OFFSHORE"/>
    <x v="6"/>
    <n v="29.476231795214598"/>
    <n v="8.1878421653373898"/>
  </r>
  <r>
    <x v="0"/>
    <x v="23"/>
    <x v="5"/>
    <x v="9"/>
    <s v="LT_OFFSHORE"/>
    <x v="7"/>
    <n v="57.838935220261199"/>
    <n v="16.066370894517"/>
  </r>
  <r>
    <x v="0"/>
    <x v="23"/>
    <x v="5"/>
    <x v="9"/>
    <s v="LT_OFFSHORE"/>
    <x v="8"/>
    <n v="57.838935220261199"/>
    <n v="16.066370894517"/>
  </r>
  <r>
    <x v="0"/>
    <x v="23"/>
    <x v="5"/>
    <x v="9"/>
    <s v="LT_OFFSHORE"/>
    <x v="9"/>
    <n v="47.978366197183199"/>
    <n v="13.327323943662"/>
  </r>
  <r>
    <x v="0"/>
    <x v="23"/>
    <x v="5"/>
    <x v="9"/>
    <s v="LT_OFFSHORE"/>
    <x v="10"/>
    <n v="63.1479966859984"/>
    <n v="17.541110190555099"/>
  </r>
  <r>
    <x v="0"/>
    <x v="23"/>
    <x v="5"/>
    <x v="9"/>
    <s v="LT_OFFSHORE"/>
    <x v="11"/>
    <n v="5.9972957746478999"/>
    <n v="1.66591549295775"/>
  </r>
  <r>
    <x v="0"/>
    <x v="23"/>
    <x v="5"/>
    <x v="9"/>
    <s v="LT_OFFSHORE"/>
    <x v="12"/>
    <n v="9.7995028997514597E-2"/>
    <n v="2.72208413881985E-2"/>
  </r>
  <r>
    <x v="0"/>
    <x v="23"/>
    <x v="5"/>
    <x v="9"/>
    <s v="LT_OFFSHORE"/>
    <x v="13"/>
    <n v="26.987830985915501"/>
    <n v="7.4966197183098604"/>
  </r>
  <r>
    <x v="0"/>
    <x v="23"/>
    <x v="5"/>
    <x v="9"/>
    <s v="LT_OFFSHORE"/>
    <x v="14"/>
    <n v="26.987830985915501"/>
    <n v="7.4966197183098604"/>
  </r>
  <r>
    <x v="0"/>
    <x v="23"/>
    <x v="5"/>
    <x v="9"/>
    <s v="LT_OFFSHORE"/>
    <x v="15"/>
    <n v="1.65807589063794"/>
    <n v="0.46057663628831802"/>
  </r>
  <r>
    <x v="0"/>
    <x v="23"/>
    <x v="5"/>
    <x v="9"/>
    <s v="LT_OFFSHORE"/>
    <x v="16"/>
    <n v="6.6307647887493104"/>
    <n v="1.84187910798592"/>
  </r>
  <r>
    <x v="0"/>
    <x v="23"/>
    <x v="5"/>
    <x v="9"/>
    <s v="LT_OFFSHORE"/>
    <x v="17"/>
    <n v="9.1244895875632395"/>
    <n v="2.5345804409897901"/>
  </r>
  <r>
    <x v="0"/>
    <x v="23"/>
    <x v="5"/>
    <x v="9"/>
    <s v="LT_OFFSHORE"/>
    <x v="18"/>
    <n v="26.987830985915501"/>
    <n v="7.4966197183098604"/>
  </r>
  <r>
    <x v="0"/>
    <x v="23"/>
    <x v="5"/>
    <x v="9"/>
    <s v="LT_OFFSHORE"/>
    <x v="19"/>
    <n v="8.1139884009941898"/>
    <n v="2.2538856669428302"/>
  </r>
  <r>
    <x v="0"/>
    <x v="23"/>
    <x v="5"/>
    <x v="9"/>
    <s v="LT_OFFSHORE"/>
    <x v="20"/>
    <n v="21.7877183939536"/>
    <n v="6.0521439983204397"/>
  </r>
  <r>
    <x v="0"/>
    <x v="23"/>
    <x v="5"/>
    <x v="9"/>
    <s v="LT_OFFSHORE"/>
    <x v="21"/>
    <n v="48.24"/>
    <n v="13.4"/>
  </r>
  <r>
    <x v="0"/>
    <x v="23"/>
    <x v="5"/>
    <x v="9"/>
    <s v="LT_OFFSHORE"/>
    <x v="22"/>
    <n v="67.680000000000007"/>
    <n v="18.8"/>
  </r>
  <r>
    <x v="0"/>
    <x v="23"/>
    <x v="5"/>
    <x v="9"/>
    <s v="LT_OFFSHORE"/>
    <x v="23"/>
    <n v="0.31515896120488701"/>
    <n v="8.7544155890246306E-2"/>
  </r>
  <r>
    <x v="0"/>
    <x v="23"/>
    <x v="5"/>
    <x v="9"/>
    <s v="LT_OFFSHORE"/>
    <x v="24"/>
    <n v="19.174223581093901"/>
    <n v="5.32617321697054"/>
  </r>
  <r>
    <x v="0"/>
    <x v="23"/>
    <x v="5"/>
    <x v="9"/>
    <s v="LT_OFFSHORE"/>
    <x v="25"/>
    <n v="25.6652953012922"/>
    <n v="7.1292486948033904"/>
  </r>
  <r>
    <x v="0"/>
    <x v="23"/>
    <x v="5"/>
    <x v="9"/>
    <s v="LT_OFFSHORE"/>
    <x v="26"/>
    <n v="32.971098611263102"/>
    <n v="9.1586385031286301"/>
  </r>
  <r>
    <x v="0"/>
    <x v="23"/>
    <x v="5"/>
    <x v="9"/>
    <s v="LT_OFFSHORE"/>
    <x v="27"/>
    <n v="20.163995508318798"/>
    <n v="5.6011098634218799"/>
  </r>
  <r>
    <x v="0"/>
    <x v="23"/>
    <x v="5"/>
    <x v="9"/>
    <s v="LT_Other_DH"/>
    <x v="1"/>
    <n v="35.989199999999997"/>
    <n v="9.9969999999999999"/>
  </r>
  <r>
    <x v="0"/>
    <x v="23"/>
    <x v="5"/>
    <x v="9"/>
    <s v="LT_Other_DH"/>
    <x v="2"/>
    <n v="46.08"/>
    <n v="12.8"/>
  </r>
  <r>
    <x v="0"/>
    <x v="23"/>
    <x v="5"/>
    <x v="9"/>
    <s v="LT_Other_DH"/>
    <x v="0"/>
    <n v="42.692399999999999"/>
    <n v="11.859"/>
  </r>
  <r>
    <x v="0"/>
    <x v="23"/>
    <x v="5"/>
    <x v="9"/>
    <s v="LT_Other_DH"/>
    <x v="3"/>
    <n v="51.633543144067197"/>
    <n v="14.342650873352"/>
  </r>
  <r>
    <x v="0"/>
    <x v="23"/>
    <x v="5"/>
    <x v="9"/>
    <s v="LT_Other_DH"/>
    <x v="4"/>
    <n v="10.7598541839271"/>
    <n v="2.9888483844241902"/>
  </r>
  <r>
    <x v="0"/>
    <x v="23"/>
    <x v="5"/>
    <x v="9"/>
    <s v="LT_Other_DH"/>
    <x v="5"/>
    <n v="10.7598541839271"/>
    <n v="2.9888483844241902"/>
  </r>
  <r>
    <x v="0"/>
    <x v="23"/>
    <x v="5"/>
    <x v="9"/>
    <s v="LT_Other_DH"/>
    <x v="6"/>
    <n v="29.476231795214598"/>
    <n v="8.1878421653373898"/>
  </r>
  <r>
    <x v="0"/>
    <x v="23"/>
    <x v="5"/>
    <x v="9"/>
    <s v="LT_Other_DH"/>
    <x v="7"/>
    <n v="57.838935220261199"/>
    <n v="16.066370894517"/>
  </r>
  <r>
    <x v="0"/>
    <x v="23"/>
    <x v="5"/>
    <x v="9"/>
    <s v="LT_Other_DH"/>
    <x v="8"/>
    <n v="57.838935220261199"/>
    <n v="16.066370894517"/>
  </r>
  <r>
    <x v="0"/>
    <x v="23"/>
    <x v="5"/>
    <x v="9"/>
    <s v="LT_Other_DH"/>
    <x v="9"/>
    <n v="47.978366197183199"/>
    <n v="13.327323943662"/>
  </r>
  <r>
    <x v="0"/>
    <x v="23"/>
    <x v="5"/>
    <x v="9"/>
    <s v="LT_Other_DH"/>
    <x v="10"/>
    <n v="63.1479966859984"/>
    <n v="17.541110190555099"/>
  </r>
  <r>
    <x v="0"/>
    <x v="23"/>
    <x v="5"/>
    <x v="9"/>
    <s v="LT_Other_DH"/>
    <x v="11"/>
    <n v="5.9972957746478999"/>
    <n v="1.66591549295775"/>
  </r>
  <r>
    <x v="0"/>
    <x v="23"/>
    <x v="5"/>
    <x v="9"/>
    <s v="LT_Other_DH"/>
    <x v="12"/>
    <n v="9.7995028997514597E-2"/>
    <n v="2.72208413881985E-2"/>
  </r>
  <r>
    <x v="0"/>
    <x v="23"/>
    <x v="5"/>
    <x v="9"/>
    <s v="LT_Other_DH"/>
    <x v="13"/>
    <n v="26.987830985915501"/>
    <n v="7.4966197183098604"/>
  </r>
  <r>
    <x v="0"/>
    <x v="23"/>
    <x v="5"/>
    <x v="9"/>
    <s v="LT_Other_DH"/>
    <x v="14"/>
    <n v="26.987830985915501"/>
    <n v="7.4966197183098604"/>
  </r>
  <r>
    <x v="0"/>
    <x v="23"/>
    <x v="5"/>
    <x v="9"/>
    <s v="LT_Other_DH"/>
    <x v="15"/>
    <n v="1.65807589063794"/>
    <n v="0.46057663628831802"/>
  </r>
  <r>
    <x v="0"/>
    <x v="23"/>
    <x v="5"/>
    <x v="9"/>
    <s v="LT_Other_DH"/>
    <x v="16"/>
    <n v="6.6307647887493104"/>
    <n v="1.84187910798592"/>
  </r>
  <r>
    <x v="0"/>
    <x v="23"/>
    <x v="5"/>
    <x v="9"/>
    <s v="LT_Other_DH"/>
    <x v="17"/>
    <n v="9.1244895875632395"/>
    <n v="2.5345804409897901"/>
  </r>
  <r>
    <x v="0"/>
    <x v="23"/>
    <x v="5"/>
    <x v="9"/>
    <s v="LT_Other_DH"/>
    <x v="18"/>
    <n v="26.987830985915501"/>
    <n v="7.4966197183098604"/>
  </r>
  <r>
    <x v="0"/>
    <x v="23"/>
    <x v="5"/>
    <x v="9"/>
    <s v="LT_Other_DH"/>
    <x v="19"/>
    <n v="8.1139884009941898"/>
    <n v="2.2538856669428302"/>
  </r>
  <r>
    <x v="0"/>
    <x v="23"/>
    <x v="5"/>
    <x v="9"/>
    <s v="LT_Other_DH"/>
    <x v="20"/>
    <n v="21.7877183939536"/>
    <n v="6.0521439983204397"/>
  </r>
  <r>
    <x v="0"/>
    <x v="23"/>
    <x v="5"/>
    <x v="9"/>
    <s v="LT_Other_DH"/>
    <x v="21"/>
    <n v="48.24"/>
    <n v="13.4"/>
  </r>
  <r>
    <x v="0"/>
    <x v="23"/>
    <x v="5"/>
    <x v="9"/>
    <s v="LT_Other_DH"/>
    <x v="22"/>
    <n v="67.680000000000007"/>
    <n v="18.8"/>
  </r>
  <r>
    <x v="0"/>
    <x v="23"/>
    <x v="5"/>
    <x v="9"/>
    <s v="LT_Other_DH"/>
    <x v="23"/>
    <n v="0.31515896120488701"/>
    <n v="8.7544155890246306E-2"/>
  </r>
  <r>
    <x v="0"/>
    <x v="23"/>
    <x v="5"/>
    <x v="9"/>
    <s v="LT_Other_DH"/>
    <x v="24"/>
    <n v="19.174223581093901"/>
    <n v="5.32617321697054"/>
  </r>
  <r>
    <x v="0"/>
    <x v="23"/>
    <x v="5"/>
    <x v="9"/>
    <s v="LT_Other_DH"/>
    <x v="25"/>
    <n v="25.6652953012922"/>
    <n v="7.1292486948033904"/>
  </r>
  <r>
    <x v="0"/>
    <x v="23"/>
    <x v="5"/>
    <x v="9"/>
    <s v="LT_Other_DH"/>
    <x v="26"/>
    <n v="32.971098611263102"/>
    <n v="9.1586385031286301"/>
  </r>
  <r>
    <x v="0"/>
    <x v="23"/>
    <x v="5"/>
    <x v="9"/>
    <s v="LT_Other_DH"/>
    <x v="27"/>
    <n v="20.163995508318798"/>
    <n v="5.6011098634218799"/>
  </r>
  <r>
    <x v="0"/>
    <x v="23"/>
    <x v="5"/>
    <x v="9"/>
    <s v="LT_Panevezys"/>
    <x v="1"/>
    <n v="35.989199999999997"/>
    <n v="9.9969999999999999"/>
  </r>
  <r>
    <x v="0"/>
    <x v="23"/>
    <x v="5"/>
    <x v="9"/>
    <s v="LT_Panevezys"/>
    <x v="2"/>
    <n v="46.08"/>
    <n v="12.8"/>
  </r>
  <r>
    <x v="0"/>
    <x v="23"/>
    <x v="5"/>
    <x v="9"/>
    <s v="LT_Panevezys"/>
    <x v="0"/>
    <n v="42.692399999999999"/>
    <n v="11.859"/>
  </r>
  <r>
    <x v="0"/>
    <x v="23"/>
    <x v="5"/>
    <x v="9"/>
    <s v="LT_Panevezys"/>
    <x v="3"/>
    <n v="51.633543144067197"/>
    <n v="14.342650873352"/>
  </r>
  <r>
    <x v="0"/>
    <x v="23"/>
    <x v="5"/>
    <x v="9"/>
    <s v="LT_Panevezys"/>
    <x v="4"/>
    <n v="10.7598541839271"/>
    <n v="2.9888483844241902"/>
  </r>
  <r>
    <x v="0"/>
    <x v="23"/>
    <x v="5"/>
    <x v="9"/>
    <s v="LT_Panevezys"/>
    <x v="5"/>
    <n v="10.7598541839271"/>
    <n v="2.9888483844241902"/>
  </r>
  <r>
    <x v="0"/>
    <x v="23"/>
    <x v="5"/>
    <x v="9"/>
    <s v="LT_Panevezys"/>
    <x v="6"/>
    <n v="29.476231795214598"/>
    <n v="8.1878421653373898"/>
  </r>
  <r>
    <x v="0"/>
    <x v="23"/>
    <x v="5"/>
    <x v="9"/>
    <s v="LT_Panevezys"/>
    <x v="7"/>
    <n v="57.838935220261199"/>
    <n v="16.066370894517"/>
  </r>
  <r>
    <x v="0"/>
    <x v="23"/>
    <x v="5"/>
    <x v="9"/>
    <s v="LT_Panevezys"/>
    <x v="8"/>
    <n v="57.838935220261199"/>
    <n v="16.066370894517"/>
  </r>
  <r>
    <x v="0"/>
    <x v="23"/>
    <x v="5"/>
    <x v="9"/>
    <s v="LT_Panevezys"/>
    <x v="9"/>
    <n v="47.978366197183199"/>
    <n v="13.327323943662"/>
  </r>
  <r>
    <x v="0"/>
    <x v="23"/>
    <x v="5"/>
    <x v="9"/>
    <s v="LT_Panevezys"/>
    <x v="10"/>
    <n v="63.1479966859984"/>
    <n v="17.541110190555099"/>
  </r>
  <r>
    <x v="0"/>
    <x v="23"/>
    <x v="5"/>
    <x v="9"/>
    <s v="LT_Panevezys"/>
    <x v="11"/>
    <n v="5.9972957746478999"/>
    <n v="1.66591549295775"/>
  </r>
  <r>
    <x v="0"/>
    <x v="23"/>
    <x v="5"/>
    <x v="9"/>
    <s v="LT_Panevezys"/>
    <x v="12"/>
    <n v="9.7995028997514597E-2"/>
    <n v="2.72208413881985E-2"/>
  </r>
  <r>
    <x v="0"/>
    <x v="23"/>
    <x v="5"/>
    <x v="9"/>
    <s v="LT_Panevezys"/>
    <x v="13"/>
    <n v="26.987830985915501"/>
    <n v="7.4966197183098604"/>
  </r>
  <r>
    <x v="0"/>
    <x v="23"/>
    <x v="5"/>
    <x v="9"/>
    <s v="LT_Panevezys"/>
    <x v="14"/>
    <n v="26.987830985915501"/>
    <n v="7.4966197183098604"/>
  </r>
  <r>
    <x v="0"/>
    <x v="23"/>
    <x v="5"/>
    <x v="9"/>
    <s v="LT_Panevezys"/>
    <x v="15"/>
    <n v="1.65807589063794"/>
    <n v="0.46057663628831802"/>
  </r>
  <r>
    <x v="0"/>
    <x v="23"/>
    <x v="5"/>
    <x v="9"/>
    <s v="LT_Panevezys"/>
    <x v="16"/>
    <n v="6.6307647887493104"/>
    <n v="1.84187910798592"/>
  </r>
  <r>
    <x v="0"/>
    <x v="23"/>
    <x v="5"/>
    <x v="9"/>
    <s v="LT_Panevezys"/>
    <x v="17"/>
    <n v="9.1244895875632395"/>
    <n v="2.5345804409897901"/>
  </r>
  <r>
    <x v="0"/>
    <x v="23"/>
    <x v="5"/>
    <x v="9"/>
    <s v="LT_Panevezys"/>
    <x v="18"/>
    <n v="26.987830985915501"/>
    <n v="7.4966197183098604"/>
  </r>
  <r>
    <x v="0"/>
    <x v="23"/>
    <x v="5"/>
    <x v="9"/>
    <s v="LT_Panevezys"/>
    <x v="19"/>
    <n v="8.1139884009941898"/>
    <n v="2.2538856669428302"/>
  </r>
  <r>
    <x v="0"/>
    <x v="23"/>
    <x v="5"/>
    <x v="9"/>
    <s v="LT_Panevezys"/>
    <x v="20"/>
    <n v="21.7877183939536"/>
    <n v="6.0521439983204397"/>
  </r>
  <r>
    <x v="0"/>
    <x v="23"/>
    <x v="5"/>
    <x v="9"/>
    <s v="LT_Panevezys"/>
    <x v="21"/>
    <n v="48.24"/>
    <n v="13.4"/>
  </r>
  <r>
    <x v="0"/>
    <x v="23"/>
    <x v="5"/>
    <x v="9"/>
    <s v="LT_Panevezys"/>
    <x v="22"/>
    <n v="67.680000000000007"/>
    <n v="18.8"/>
  </r>
  <r>
    <x v="0"/>
    <x v="23"/>
    <x v="5"/>
    <x v="9"/>
    <s v="LT_Panevezys"/>
    <x v="23"/>
    <n v="0.31515896120488701"/>
    <n v="8.7544155890246306E-2"/>
  </r>
  <r>
    <x v="0"/>
    <x v="23"/>
    <x v="5"/>
    <x v="9"/>
    <s v="LT_Panevezys"/>
    <x v="24"/>
    <n v="19.174223581093901"/>
    <n v="5.32617321697054"/>
  </r>
  <r>
    <x v="0"/>
    <x v="23"/>
    <x v="5"/>
    <x v="9"/>
    <s v="LT_Panevezys"/>
    <x v="25"/>
    <n v="25.6652953012922"/>
    <n v="7.1292486948033904"/>
  </r>
  <r>
    <x v="0"/>
    <x v="23"/>
    <x v="5"/>
    <x v="9"/>
    <s v="LT_Panevezys"/>
    <x v="26"/>
    <n v="32.971098611263102"/>
    <n v="9.1586385031286301"/>
  </r>
  <r>
    <x v="0"/>
    <x v="23"/>
    <x v="5"/>
    <x v="9"/>
    <s v="LT_Panevezys"/>
    <x v="27"/>
    <n v="20.163995508318798"/>
    <n v="5.6011098634218799"/>
  </r>
  <r>
    <x v="0"/>
    <x v="23"/>
    <x v="5"/>
    <x v="9"/>
    <s v="LT_Rural"/>
    <x v="1"/>
    <n v="35.989199999999997"/>
    <n v="9.9969999999999999"/>
  </r>
  <r>
    <x v="0"/>
    <x v="23"/>
    <x v="5"/>
    <x v="9"/>
    <s v="LT_Rural"/>
    <x v="2"/>
    <n v="46.08"/>
    <n v="12.8"/>
  </r>
  <r>
    <x v="0"/>
    <x v="23"/>
    <x v="5"/>
    <x v="9"/>
    <s v="LT_Rural"/>
    <x v="0"/>
    <n v="42.692399999999999"/>
    <n v="11.859"/>
  </r>
  <r>
    <x v="0"/>
    <x v="23"/>
    <x v="5"/>
    <x v="9"/>
    <s v="LT_Rural"/>
    <x v="3"/>
    <n v="51.633543144067197"/>
    <n v="14.342650873352"/>
  </r>
  <r>
    <x v="0"/>
    <x v="23"/>
    <x v="5"/>
    <x v="9"/>
    <s v="LT_Rural"/>
    <x v="4"/>
    <n v="10.7598541839271"/>
    <n v="2.9888483844241902"/>
  </r>
  <r>
    <x v="0"/>
    <x v="23"/>
    <x v="5"/>
    <x v="9"/>
    <s v="LT_Rural"/>
    <x v="5"/>
    <n v="10.7598541839271"/>
    <n v="2.9888483844241902"/>
  </r>
  <r>
    <x v="0"/>
    <x v="23"/>
    <x v="5"/>
    <x v="9"/>
    <s v="LT_Rural"/>
    <x v="6"/>
    <n v="29.476231795214598"/>
    <n v="8.1878421653373898"/>
  </r>
  <r>
    <x v="0"/>
    <x v="23"/>
    <x v="5"/>
    <x v="9"/>
    <s v="LT_Rural"/>
    <x v="7"/>
    <n v="57.838935220261199"/>
    <n v="16.066370894517"/>
  </r>
  <r>
    <x v="0"/>
    <x v="23"/>
    <x v="5"/>
    <x v="9"/>
    <s v="LT_Rural"/>
    <x v="8"/>
    <n v="57.838935220261199"/>
    <n v="16.066370894517"/>
  </r>
  <r>
    <x v="0"/>
    <x v="23"/>
    <x v="5"/>
    <x v="9"/>
    <s v="LT_Rural"/>
    <x v="9"/>
    <n v="47.978366197183199"/>
    <n v="13.327323943662"/>
  </r>
  <r>
    <x v="0"/>
    <x v="23"/>
    <x v="5"/>
    <x v="9"/>
    <s v="LT_Rural"/>
    <x v="10"/>
    <n v="63.1479966859984"/>
    <n v="17.541110190555099"/>
  </r>
  <r>
    <x v="0"/>
    <x v="23"/>
    <x v="5"/>
    <x v="9"/>
    <s v="LT_Rural"/>
    <x v="11"/>
    <n v="5.9972957746478999"/>
    <n v="1.66591549295775"/>
  </r>
  <r>
    <x v="0"/>
    <x v="23"/>
    <x v="5"/>
    <x v="9"/>
    <s v="LT_Rural"/>
    <x v="12"/>
    <n v="9.7995028997514597E-2"/>
    <n v="2.72208413881985E-2"/>
  </r>
  <r>
    <x v="0"/>
    <x v="23"/>
    <x v="5"/>
    <x v="9"/>
    <s v="LT_Rural"/>
    <x v="13"/>
    <n v="26.987830985915501"/>
    <n v="7.4966197183098604"/>
  </r>
  <r>
    <x v="0"/>
    <x v="23"/>
    <x v="5"/>
    <x v="9"/>
    <s v="LT_Rural"/>
    <x v="14"/>
    <n v="26.987830985915501"/>
    <n v="7.4966197183098604"/>
  </r>
  <r>
    <x v="0"/>
    <x v="23"/>
    <x v="5"/>
    <x v="9"/>
    <s v="LT_Rural"/>
    <x v="15"/>
    <n v="1.65807589063794"/>
    <n v="0.46057663628831802"/>
  </r>
  <r>
    <x v="0"/>
    <x v="23"/>
    <x v="5"/>
    <x v="9"/>
    <s v="LT_Rural"/>
    <x v="16"/>
    <n v="6.6307647887493104"/>
    <n v="1.84187910798592"/>
  </r>
  <r>
    <x v="0"/>
    <x v="23"/>
    <x v="5"/>
    <x v="9"/>
    <s v="LT_Rural"/>
    <x v="17"/>
    <n v="9.1244895875632395"/>
    <n v="2.5345804409897901"/>
  </r>
  <r>
    <x v="0"/>
    <x v="23"/>
    <x v="5"/>
    <x v="9"/>
    <s v="LT_Rural"/>
    <x v="18"/>
    <n v="26.987830985915501"/>
    <n v="7.4966197183098604"/>
  </r>
  <r>
    <x v="0"/>
    <x v="23"/>
    <x v="5"/>
    <x v="9"/>
    <s v="LT_Rural"/>
    <x v="19"/>
    <n v="8.1139884009941898"/>
    <n v="2.2538856669428302"/>
  </r>
  <r>
    <x v="0"/>
    <x v="23"/>
    <x v="5"/>
    <x v="9"/>
    <s v="LT_Rural"/>
    <x v="20"/>
    <n v="21.7877183939536"/>
    <n v="6.0521439983204397"/>
  </r>
  <r>
    <x v="0"/>
    <x v="23"/>
    <x v="5"/>
    <x v="9"/>
    <s v="LT_Rural"/>
    <x v="21"/>
    <n v="48.24"/>
    <n v="13.4"/>
  </r>
  <r>
    <x v="0"/>
    <x v="23"/>
    <x v="5"/>
    <x v="9"/>
    <s v="LT_Rural"/>
    <x v="22"/>
    <n v="67.680000000000007"/>
    <n v="18.8"/>
  </r>
  <r>
    <x v="0"/>
    <x v="23"/>
    <x v="5"/>
    <x v="9"/>
    <s v="LT_Rural"/>
    <x v="23"/>
    <n v="0.31515896120488701"/>
    <n v="8.7544155890246306E-2"/>
  </r>
  <r>
    <x v="0"/>
    <x v="23"/>
    <x v="5"/>
    <x v="9"/>
    <s v="LT_Rural"/>
    <x v="24"/>
    <n v="19.174223581093901"/>
    <n v="5.32617321697054"/>
  </r>
  <r>
    <x v="0"/>
    <x v="23"/>
    <x v="5"/>
    <x v="9"/>
    <s v="LT_Rural"/>
    <x v="25"/>
    <n v="25.6652953012922"/>
    <n v="7.1292486948033904"/>
  </r>
  <r>
    <x v="0"/>
    <x v="23"/>
    <x v="5"/>
    <x v="9"/>
    <s v="LT_Rural"/>
    <x v="26"/>
    <n v="32.971098611263102"/>
    <n v="9.1586385031286301"/>
  </r>
  <r>
    <x v="0"/>
    <x v="23"/>
    <x v="5"/>
    <x v="9"/>
    <s v="LT_Rural"/>
    <x v="27"/>
    <n v="20.163995508318798"/>
    <n v="5.6011098634218799"/>
  </r>
  <r>
    <x v="0"/>
    <x v="23"/>
    <x v="5"/>
    <x v="9"/>
    <s v="LT_SiaU"/>
    <x v="1"/>
    <n v="35.989199999999997"/>
    <n v="9.9969999999999999"/>
  </r>
  <r>
    <x v="0"/>
    <x v="23"/>
    <x v="5"/>
    <x v="9"/>
    <s v="LT_SiaU"/>
    <x v="2"/>
    <n v="46.08"/>
    <n v="12.8"/>
  </r>
  <r>
    <x v="0"/>
    <x v="23"/>
    <x v="5"/>
    <x v="9"/>
    <s v="LT_SiaU"/>
    <x v="0"/>
    <n v="42.692399999999999"/>
    <n v="11.859"/>
  </r>
  <r>
    <x v="0"/>
    <x v="23"/>
    <x v="5"/>
    <x v="9"/>
    <s v="LT_SiaU"/>
    <x v="3"/>
    <n v="51.633543144067197"/>
    <n v="14.342650873352"/>
  </r>
  <r>
    <x v="0"/>
    <x v="23"/>
    <x v="5"/>
    <x v="9"/>
    <s v="LT_SiaU"/>
    <x v="4"/>
    <n v="10.7598541839271"/>
    <n v="2.9888483844241902"/>
  </r>
  <r>
    <x v="0"/>
    <x v="23"/>
    <x v="5"/>
    <x v="9"/>
    <s v="LT_SiaU"/>
    <x v="5"/>
    <n v="10.7598541839271"/>
    <n v="2.9888483844241902"/>
  </r>
  <r>
    <x v="0"/>
    <x v="23"/>
    <x v="5"/>
    <x v="9"/>
    <s v="LT_SiaU"/>
    <x v="6"/>
    <n v="29.476231795214598"/>
    <n v="8.1878421653373898"/>
  </r>
  <r>
    <x v="0"/>
    <x v="23"/>
    <x v="5"/>
    <x v="9"/>
    <s v="LT_SiaU"/>
    <x v="7"/>
    <n v="57.838935220261199"/>
    <n v="16.066370894517"/>
  </r>
  <r>
    <x v="0"/>
    <x v="23"/>
    <x v="5"/>
    <x v="9"/>
    <s v="LT_SiaU"/>
    <x v="8"/>
    <n v="57.838935220261199"/>
    <n v="16.066370894517"/>
  </r>
  <r>
    <x v="0"/>
    <x v="23"/>
    <x v="5"/>
    <x v="9"/>
    <s v="LT_SiaU"/>
    <x v="9"/>
    <n v="47.978366197183199"/>
    <n v="13.327323943662"/>
  </r>
  <r>
    <x v="0"/>
    <x v="23"/>
    <x v="5"/>
    <x v="9"/>
    <s v="LT_SiaU"/>
    <x v="10"/>
    <n v="63.1479966859984"/>
    <n v="17.541110190555099"/>
  </r>
  <r>
    <x v="0"/>
    <x v="23"/>
    <x v="5"/>
    <x v="9"/>
    <s v="LT_SiaU"/>
    <x v="11"/>
    <n v="5.9972957746478999"/>
    <n v="1.66591549295775"/>
  </r>
  <r>
    <x v="0"/>
    <x v="23"/>
    <x v="5"/>
    <x v="9"/>
    <s v="LT_SiaU"/>
    <x v="12"/>
    <n v="9.7995028997514597E-2"/>
    <n v="2.72208413881985E-2"/>
  </r>
  <r>
    <x v="0"/>
    <x v="23"/>
    <x v="5"/>
    <x v="9"/>
    <s v="LT_SiaU"/>
    <x v="13"/>
    <n v="26.987830985915501"/>
    <n v="7.4966197183098604"/>
  </r>
  <r>
    <x v="0"/>
    <x v="23"/>
    <x v="5"/>
    <x v="9"/>
    <s v="LT_SiaU"/>
    <x v="14"/>
    <n v="26.987830985915501"/>
    <n v="7.4966197183098604"/>
  </r>
  <r>
    <x v="0"/>
    <x v="23"/>
    <x v="5"/>
    <x v="9"/>
    <s v="LT_SiaU"/>
    <x v="15"/>
    <n v="1.65807589063794"/>
    <n v="0.46057663628831802"/>
  </r>
  <r>
    <x v="0"/>
    <x v="23"/>
    <x v="5"/>
    <x v="9"/>
    <s v="LT_SiaU"/>
    <x v="16"/>
    <n v="6.6307647887493104"/>
    <n v="1.84187910798592"/>
  </r>
  <r>
    <x v="0"/>
    <x v="23"/>
    <x v="5"/>
    <x v="9"/>
    <s v="LT_SiaU"/>
    <x v="17"/>
    <n v="9.1244895875632395"/>
    <n v="2.5345804409897901"/>
  </r>
  <r>
    <x v="0"/>
    <x v="23"/>
    <x v="5"/>
    <x v="9"/>
    <s v="LT_SiaU"/>
    <x v="18"/>
    <n v="26.987830985915501"/>
    <n v="7.4966197183098604"/>
  </r>
  <r>
    <x v="0"/>
    <x v="23"/>
    <x v="5"/>
    <x v="9"/>
    <s v="LT_SiaU"/>
    <x v="19"/>
    <n v="8.1139884009941898"/>
    <n v="2.2538856669428302"/>
  </r>
  <r>
    <x v="0"/>
    <x v="23"/>
    <x v="5"/>
    <x v="9"/>
    <s v="LT_SiaU"/>
    <x v="20"/>
    <n v="21.7877183939536"/>
    <n v="6.0521439983204397"/>
  </r>
  <r>
    <x v="0"/>
    <x v="23"/>
    <x v="5"/>
    <x v="9"/>
    <s v="LT_SiaU"/>
    <x v="21"/>
    <n v="48.24"/>
    <n v="13.4"/>
  </r>
  <r>
    <x v="0"/>
    <x v="23"/>
    <x v="5"/>
    <x v="9"/>
    <s v="LT_SiaU"/>
    <x v="22"/>
    <n v="67.680000000000007"/>
    <n v="18.8"/>
  </r>
  <r>
    <x v="0"/>
    <x v="23"/>
    <x v="5"/>
    <x v="9"/>
    <s v="LT_SiaU"/>
    <x v="23"/>
    <n v="0.31515896120488701"/>
    <n v="8.7544155890246306E-2"/>
  </r>
  <r>
    <x v="0"/>
    <x v="23"/>
    <x v="5"/>
    <x v="9"/>
    <s v="LT_SiaU"/>
    <x v="24"/>
    <n v="19.174223581093901"/>
    <n v="5.32617321697054"/>
  </r>
  <r>
    <x v="0"/>
    <x v="23"/>
    <x v="5"/>
    <x v="9"/>
    <s v="LT_SiaU"/>
    <x v="25"/>
    <n v="25.6652953012922"/>
    <n v="7.1292486948033904"/>
  </r>
  <r>
    <x v="0"/>
    <x v="23"/>
    <x v="5"/>
    <x v="9"/>
    <s v="LT_SiaU"/>
    <x v="26"/>
    <n v="32.971098611263102"/>
    <n v="9.1586385031286301"/>
  </r>
  <r>
    <x v="0"/>
    <x v="23"/>
    <x v="5"/>
    <x v="9"/>
    <s v="LT_SiaU"/>
    <x v="27"/>
    <n v="20.163995508318798"/>
    <n v="5.6011098634218799"/>
  </r>
  <r>
    <x v="0"/>
    <x v="23"/>
    <x v="5"/>
    <x v="9"/>
    <s v="LT_VilU"/>
    <x v="1"/>
    <n v="35.989199999999997"/>
    <n v="9.9969999999999999"/>
  </r>
  <r>
    <x v="0"/>
    <x v="23"/>
    <x v="5"/>
    <x v="9"/>
    <s v="LT_VilU"/>
    <x v="2"/>
    <n v="46.08"/>
    <n v="12.8"/>
  </r>
  <r>
    <x v="0"/>
    <x v="23"/>
    <x v="5"/>
    <x v="9"/>
    <s v="LT_VilU"/>
    <x v="0"/>
    <n v="42.692399999999999"/>
    <n v="11.859"/>
  </r>
  <r>
    <x v="0"/>
    <x v="23"/>
    <x v="5"/>
    <x v="9"/>
    <s v="LT_VilU"/>
    <x v="3"/>
    <n v="51.633543144067197"/>
    <n v="14.342650873352"/>
  </r>
  <r>
    <x v="0"/>
    <x v="23"/>
    <x v="5"/>
    <x v="9"/>
    <s v="LT_VilU"/>
    <x v="4"/>
    <n v="10.7598541839271"/>
    <n v="2.9888483844241902"/>
  </r>
  <r>
    <x v="0"/>
    <x v="23"/>
    <x v="5"/>
    <x v="9"/>
    <s v="LT_VilU"/>
    <x v="5"/>
    <n v="10.7598541839271"/>
    <n v="2.9888483844241902"/>
  </r>
  <r>
    <x v="0"/>
    <x v="23"/>
    <x v="5"/>
    <x v="9"/>
    <s v="LT_VilU"/>
    <x v="6"/>
    <n v="29.476231795214598"/>
    <n v="8.1878421653373898"/>
  </r>
  <r>
    <x v="0"/>
    <x v="23"/>
    <x v="5"/>
    <x v="9"/>
    <s v="LT_VilU"/>
    <x v="7"/>
    <n v="57.838935220261199"/>
    <n v="16.066370894517"/>
  </r>
  <r>
    <x v="0"/>
    <x v="23"/>
    <x v="5"/>
    <x v="9"/>
    <s v="LT_VilU"/>
    <x v="8"/>
    <n v="57.838935220261199"/>
    <n v="16.066370894517"/>
  </r>
  <r>
    <x v="0"/>
    <x v="23"/>
    <x v="5"/>
    <x v="9"/>
    <s v="LT_VilU"/>
    <x v="9"/>
    <n v="47.978366197183199"/>
    <n v="13.327323943662"/>
  </r>
  <r>
    <x v="0"/>
    <x v="23"/>
    <x v="5"/>
    <x v="9"/>
    <s v="LT_VilU"/>
    <x v="10"/>
    <n v="63.1479966859984"/>
    <n v="17.541110190555099"/>
  </r>
  <r>
    <x v="0"/>
    <x v="23"/>
    <x v="5"/>
    <x v="9"/>
    <s v="LT_VilU"/>
    <x v="11"/>
    <n v="5.9972957746478999"/>
    <n v="1.66591549295775"/>
  </r>
  <r>
    <x v="0"/>
    <x v="23"/>
    <x v="5"/>
    <x v="9"/>
    <s v="LT_VilU"/>
    <x v="12"/>
    <n v="9.7995028997514597E-2"/>
    <n v="2.72208413881985E-2"/>
  </r>
  <r>
    <x v="0"/>
    <x v="23"/>
    <x v="5"/>
    <x v="9"/>
    <s v="LT_VilU"/>
    <x v="13"/>
    <n v="26.987830985915501"/>
    <n v="7.4966197183098604"/>
  </r>
  <r>
    <x v="0"/>
    <x v="23"/>
    <x v="5"/>
    <x v="9"/>
    <s v="LT_VilU"/>
    <x v="14"/>
    <n v="26.987830985915501"/>
    <n v="7.4966197183098604"/>
  </r>
  <r>
    <x v="0"/>
    <x v="23"/>
    <x v="5"/>
    <x v="9"/>
    <s v="LT_VilU"/>
    <x v="15"/>
    <n v="1.65807589063794"/>
    <n v="0.46057663628831802"/>
  </r>
  <r>
    <x v="0"/>
    <x v="23"/>
    <x v="5"/>
    <x v="9"/>
    <s v="LT_VilU"/>
    <x v="16"/>
    <n v="6.6307647887493104"/>
    <n v="1.84187910798592"/>
  </r>
  <r>
    <x v="0"/>
    <x v="23"/>
    <x v="5"/>
    <x v="9"/>
    <s v="LT_VilU"/>
    <x v="17"/>
    <n v="9.1244895875632395"/>
    <n v="2.5345804409897901"/>
  </r>
  <r>
    <x v="0"/>
    <x v="23"/>
    <x v="5"/>
    <x v="9"/>
    <s v="LT_VilU"/>
    <x v="18"/>
    <n v="26.987830985915501"/>
    <n v="7.4966197183098604"/>
  </r>
  <r>
    <x v="0"/>
    <x v="23"/>
    <x v="5"/>
    <x v="9"/>
    <s v="LT_VilU"/>
    <x v="19"/>
    <n v="8.1139884009941898"/>
    <n v="2.2538856669428302"/>
  </r>
  <r>
    <x v="0"/>
    <x v="23"/>
    <x v="5"/>
    <x v="9"/>
    <s v="LT_VilU"/>
    <x v="20"/>
    <n v="21.7877183939536"/>
    <n v="6.0521439983204397"/>
  </r>
  <r>
    <x v="0"/>
    <x v="23"/>
    <x v="5"/>
    <x v="9"/>
    <s v="LT_VilU"/>
    <x v="21"/>
    <n v="48.24"/>
    <n v="13.4"/>
  </r>
  <r>
    <x v="0"/>
    <x v="23"/>
    <x v="5"/>
    <x v="9"/>
    <s v="LT_VilU"/>
    <x v="22"/>
    <n v="67.680000000000007"/>
    <n v="18.8"/>
  </r>
  <r>
    <x v="0"/>
    <x v="23"/>
    <x v="5"/>
    <x v="9"/>
    <s v="LT_VilU"/>
    <x v="23"/>
    <n v="0.31515896120488701"/>
    <n v="8.7544155890246306E-2"/>
  </r>
  <r>
    <x v="0"/>
    <x v="23"/>
    <x v="5"/>
    <x v="9"/>
    <s v="LT_VilU"/>
    <x v="24"/>
    <n v="19.174223581093901"/>
    <n v="5.32617321697054"/>
  </r>
  <r>
    <x v="0"/>
    <x v="23"/>
    <x v="5"/>
    <x v="9"/>
    <s v="LT_VilU"/>
    <x v="25"/>
    <n v="25.6652953012922"/>
    <n v="7.1292486948033904"/>
  </r>
  <r>
    <x v="0"/>
    <x v="23"/>
    <x v="5"/>
    <x v="9"/>
    <s v="LT_VilU"/>
    <x v="26"/>
    <n v="32.971098611263102"/>
    <n v="9.1586385031286301"/>
  </r>
  <r>
    <x v="0"/>
    <x v="23"/>
    <x v="5"/>
    <x v="9"/>
    <s v="LT_VilU"/>
    <x v="27"/>
    <n v="20.163995508318798"/>
    <n v="5.6011098634218799"/>
  </r>
  <r>
    <x v="0"/>
    <x v="23"/>
    <x v="6"/>
    <x v="10"/>
    <s v="NL_A"/>
    <x v="1"/>
    <n v="35.989199999999997"/>
    <n v="9.9969999999999999"/>
  </r>
  <r>
    <x v="0"/>
    <x v="23"/>
    <x v="6"/>
    <x v="10"/>
    <s v="NL_A"/>
    <x v="2"/>
    <n v="46.08"/>
    <n v="12.8"/>
  </r>
  <r>
    <x v="0"/>
    <x v="23"/>
    <x v="6"/>
    <x v="10"/>
    <s v="NL_A"/>
    <x v="0"/>
    <n v="42.692399999999999"/>
    <n v="11.859"/>
  </r>
  <r>
    <x v="0"/>
    <x v="23"/>
    <x v="6"/>
    <x v="10"/>
    <s v="NL_A"/>
    <x v="3"/>
    <n v="51.633543144067197"/>
    <n v="14.342650873352"/>
  </r>
  <r>
    <x v="0"/>
    <x v="23"/>
    <x v="6"/>
    <x v="10"/>
    <s v="NL_A"/>
    <x v="4"/>
    <n v="10.7598541839271"/>
    <n v="2.9888483844241902"/>
  </r>
  <r>
    <x v="0"/>
    <x v="23"/>
    <x v="6"/>
    <x v="10"/>
    <s v="NL_A"/>
    <x v="5"/>
    <n v="10.7598541839271"/>
    <n v="2.9888483844241902"/>
  </r>
  <r>
    <x v="0"/>
    <x v="23"/>
    <x v="6"/>
    <x v="10"/>
    <s v="NL_A"/>
    <x v="6"/>
    <n v="29.476231795214598"/>
    <n v="8.1878421653373898"/>
  </r>
  <r>
    <x v="0"/>
    <x v="23"/>
    <x v="6"/>
    <x v="10"/>
    <s v="NL_A"/>
    <x v="7"/>
    <n v="57.838935220261199"/>
    <n v="16.066370894517"/>
  </r>
  <r>
    <x v="0"/>
    <x v="23"/>
    <x v="6"/>
    <x v="10"/>
    <s v="NL_A"/>
    <x v="8"/>
    <n v="57.838935220261199"/>
    <n v="16.066370894517"/>
  </r>
  <r>
    <x v="0"/>
    <x v="23"/>
    <x v="6"/>
    <x v="10"/>
    <s v="NL_A"/>
    <x v="9"/>
    <n v="47.978366197183199"/>
    <n v="13.327323943662"/>
  </r>
  <r>
    <x v="0"/>
    <x v="23"/>
    <x v="6"/>
    <x v="10"/>
    <s v="NL_A"/>
    <x v="10"/>
    <n v="63.1479966859984"/>
    <n v="17.541110190555099"/>
  </r>
  <r>
    <x v="0"/>
    <x v="23"/>
    <x v="6"/>
    <x v="10"/>
    <s v="NL_A"/>
    <x v="11"/>
    <n v="5.9972957746478999"/>
    <n v="1.66591549295775"/>
  </r>
  <r>
    <x v="0"/>
    <x v="23"/>
    <x v="6"/>
    <x v="10"/>
    <s v="NL_A"/>
    <x v="12"/>
    <n v="9.7995028997514597E-2"/>
    <n v="2.72208413881985E-2"/>
  </r>
  <r>
    <x v="0"/>
    <x v="23"/>
    <x v="6"/>
    <x v="10"/>
    <s v="NL_A"/>
    <x v="13"/>
    <n v="26.987830985915501"/>
    <n v="7.4966197183098604"/>
  </r>
  <r>
    <x v="0"/>
    <x v="23"/>
    <x v="6"/>
    <x v="10"/>
    <s v="NL_A"/>
    <x v="14"/>
    <n v="26.987830985915501"/>
    <n v="7.4966197183098604"/>
  </r>
  <r>
    <x v="0"/>
    <x v="23"/>
    <x v="6"/>
    <x v="10"/>
    <s v="NL_A"/>
    <x v="15"/>
    <n v="1.65807589063794"/>
    <n v="0.46057663628831802"/>
  </r>
  <r>
    <x v="0"/>
    <x v="23"/>
    <x v="6"/>
    <x v="10"/>
    <s v="NL_A"/>
    <x v="16"/>
    <n v="6.6307647887493104"/>
    <n v="1.84187910798592"/>
  </r>
  <r>
    <x v="0"/>
    <x v="23"/>
    <x v="6"/>
    <x v="10"/>
    <s v="NL_A"/>
    <x v="17"/>
    <n v="9.1244895875632395"/>
    <n v="2.5345804409897901"/>
  </r>
  <r>
    <x v="0"/>
    <x v="23"/>
    <x v="6"/>
    <x v="10"/>
    <s v="NL_A"/>
    <x v="18"/>
    <n v="26.987830985915501"/>
    <n v="7.4966197183098604"/>
  </r>
  <r>
    <x v="0"/>
    <x v="23"/>
    <x v="6"/>
    <x v="10"/>
    <s v="NL_A"/>
    <x v="19"/>
    <n v="8.1139884009941898"/>
    <n v="2.2538856669428302"/>
  </r>
  <r>
    <x v="0"/>
    <x v="23"/>
    <x v="6"/>
    <x v="10"/>
    <s v="NL_A"/>
    <x v="20"/>
    <n v="21.7877183939536"/>
    <n v="6.0521439983204397"/>
  </r>
  <r>
    <x v="0"/>
    <x v="23"/>
    <x v="6"/>
    <x v="10"/>
    <s v="NL_A"/>
    <x v="21"/>
    <n v="48.24"/>
    <n v="13.4"/>
  </r>
  <r>
    <x v="0"/>
    <x v="23"/>
    <x v="6"/>
    <x v="10"/>
    <s v="NL_A"/>
    <x v="22"/>
    <n v="67.680000000000007"/>
    <n v="18.8"/>
  </r>
  <r>
    <x v="0"/>
    <x v="23"/>
    <x v="6"/>
    <x v="10"/>
    <s v="NL_A"/>
    <x v="23"/>
    <n v="0.31515896120488701"/>
    <n v="8.7544155890246306E-2"/>
  </r>
  <r>
    <x v="0"/>
    <x v="23"/>
    <x v="6"/>
    <x v="10"/>
    <s v="NL_A"/>
    <x v="24"/>
    <n v="19.174223581093901"/>
    <n v="5.32617321697054"/>
  </r>
  <r>
    <x v="0"/>
    <x v="23"/>
    <x v="6"/>
    <x v="10"/>
    <s v="NL_A"/>
    <x v="25"/>
    <n v="25.6652953012922"/>
    <n v="7.1292486948033904"/>
  </r>
  <r>
    <x v="0"/>
    <x v="23"/>
    <x v="6"/>
    <x v="10"/>
    <s v="NL_A"/>
    <x v="26"/>
    <n v="32.971098611263102"/>
    <n v="9.1586385031286301"/>
  </r>
  <r>
    <x v="0"/>
    <x v="23"/>
    <x v="6"/>
    <x v="10"/>
    <s v="NL_A"/>
    <x v="27"/>
    <n v="20.163995508318798"/>
    <n v="5.6011098634218799"/>
  </r>
  <r>
    <x v="0"/>
    <x v="23"/>
    <x v="6"/>
    <x v="10"/>
    <s v="NL_OFFSHORE"/>
    <x v="1"/>
    <n v="35.989199999999997"/>
    <n v="9.9969999999999999"/>
  </r>
  <r>
    <x v="0"/>
    <x v="23"/>
    <x v="6"/>
    <x v="10"/>
    <s v="NL_OFFSHORE"/>
    <x v="2"/>
    <n v="46.08"/>
    <n v="12.8"/>
  </r>
  <r>
    <x v="0"/>
    <x v="23"/>
    <x v="6"/>
    <x v="10"/>
    <s v="NL_OFFSHORE"/>
    <x v="0"/>
    <n v="42.692399999999999"/>
    <n v="11.859"/>
  </r>
  <r>
    <x v="0"/>
    <x v="23"/>
    <x v="6"/>
    <x v="10"/>
    <s v="NL_OFFSHORE"/>
    <x v="3"/>
    <n v="51.633543144067197"/>
    <n v="14.342650873352"/>
  </r>
  <r>
    <x v="0"/>
    <x v="23"/>
    <x v="6"/>
    <x v="10"/>
    <s v="NL_OFFSHORE"/>
    <x v="4"/>
    <n v="10.7598541839271"/>
    <n v="2.9888483844241902"/>
  </r>
  <r>
    <x v="0"/>
    <x v="23"/>
    <x v="6"/>
    <x v="10"/>
    <s v="NL_OFFSHORE"/>
    <x v="5"/>
    <n v="10.7598541839271"/>
    <n v="2.9888483844241902"/>
  </r>
  <r>
    <x v="0"/>
    <x v="23"/>
    <x v="6"/>
    <x v="10"/>
    <s v="NL_OFFSHORE"/>
    <x v="6"/>
    <n v="29.476231795214598"/>
    <n v="8.1878421653373898"/>
  </r>
  <r>
    <x v="0"/>
    <x v="23"/>
    <x v="6"/>
    <x v="10"/>
    <s v="NL_OFFSHORE"/>
    <x v="7"/>
    <n v="57.838935220261199"/>
    <n v="16.066370894517"/>
  </r>
  <r>
    <x v="0"/>
    <x v="23"/>
    <x v="6"/>
    <x v="10"/>
    <s v="NL_OFFSHORE"/>
    <x v="8"/>
    <n v="57.838935220261199"/>
    <n v="16.066370894517"/>
  </r>
  <r>
    <x v="0"/>
    <x v="23"/>
    <x v="6"/>
    <x v="10"/>
    <s v="NL_OFFSHORE"/>
    <x v="9"/>
    <n v="47.978366197183199"/>
    <n v="13.327323943662"/>
  </r>
  <r>
    <x v="0"/>
    <x v="23"/>
    <x v="6"/>
    <x v="10"/>
    <s v="NL_OFFSHORE"/>
    <x v="10"/>
    <n v="63.1479966859984"/>
    <n v="17.541110190555099"/>
  </r>
  <r>
    <x v="0"/>
    <x v="23"/>
    <x v="6"/>
    <x v="10"/>
    <s v="NL_OFFSHORE"/>
    <x v="11"/>
    <n v="5.9972957746478999"/>
    <n v="1.66591549295775"/>
  </r>
  <r>
    <x v="0"/>
    <x v="23"/>
    <x v="6"/>
    <x v="10"/>
    <s v="NL_OFFSHORE"/>
    <x v="12"/>
    <n v="9.7995028997514597E-2"/>
    <n v="2.72208413881985E-2"/>
  </r>
  <r>
    <x v="0"/>
    <x v="23"/>
    <x v="6"/>
    <x v="10"/>
    <s v="NL_OFFSHORE"/>
    <x v="13"/>
    <n v="26.987830985915501"/>
    <n v="7.4966197183098604"/>
  </r>
  <r>
    <x v="0"/>
    <x v="23"/>
    <x v="6"/>
    <x v="10"/>
    <s v="NL_OFFSHORE"/>
    <x v="14"/>
    <n v="26.987830985915501"/>
    <n v="7.4966197183098604"/>
  </r>
  <r>
    <x v="0"/>
    <x v="23"/>
    <x v="6"/>
    <x v="10"/>
    <s v="NL_OFFSHORE"/>
    <x v="15"/>
    <n v="1.65807589063794"/>
    <n v="0.46057663628831802"/>
  </r>
  <r>
    <x v="0"/>
    <x v="23"/>
    <x v="6"/>
    <x v="10"/>
    <s v="NL_OFFSHORE"/>
    <x v="16"/>
    <n v="6.6307647887493104"/>
    <n v="1.84187910798592"/>
  </r>
  <r>
    <x v="0"/>
    <x v="23"/>
    <x v="6"/>
    <x v="10"/>
    <s v="NL_OFFSHORE"/>
    <x v="17"/>
    <n v="9.1244895875632395"/>
    <n v="2.5345804409897901"/>
  </r>
  <r>
    <x v="0"/>
    <x v="23"/>
    <x v="6"/>
    <x v="10"/>
    <s v="NL_OFFSHORE"/>
    <x v="18"/>
    <n v="26.987830985915501"/>
    <n v="7.4966197183098604"/>
  </r>
  <r>
    <x v="0"/>
    <x v="23"/>
    <x v="6"/>
    <x v="10"/>
    <s v="NL_OFFSHORE"/>
    <x v="19"/>
    <n v="8.1139884009941898"/>
    <n v="2.2538856669428302"/>
  </r>
  <r>
    <x v="0"/>
    <x v="23"/>
    <x v="6"/>
    <x v="10"/>
    <s v="NL_OFFSHORE"/>
    <x v="20"/>
    <n v="21.7877183939536"/>
    <n v="6.0521439983204397"/>
  </r>
  <r>
    <x v="0"/>
    <x v="23"/>
    <x v="6"/>
    <x v="10"/>
    <s v="NL_OFFSHORE"/>
    <x v="21"/>
    <n v="48.24"/>
    <n v="13.4"/>
  </r>
  <r>
    <x v="0"/>
    <x v="23"/>
    <x v="6"/>
    <x v="10"/>
    <s v="NL_OFFSHORE"/>
    <x v="22"/>
    <n v="67.680000000000007"/>
    <n v="18.8"/>
  </r>
  <r>
    <x v="0"/>
    <x v="23"/>
    <x v="6"/>
    <x v="10"/>
    <s v="NL_OFFSHORE"/>
    <x v="23"/>
    <n v="0.31515896120488701"/>
    <n v="8.7544155890246306E-2"/>
  </r>
  <r>
    <x v="0"/>
    <x v="23"/>
    <x v="6"/>
    <x v="10"/>
    <s v="NL_OFFSHORE"/>
    <x v="24"/>
    <n v="19.174223581093901"/>
    <n v="5.32617321697054"/>
  </r>
  <r>
    <x v="0"/>
    <x v="23"/>
    <x v="6"/>
    <x v="10"/>
    <s v="NL_OFFSHORE"/>
    <x v="25"/>
    <n v="25.6652953012922"/>
    <n v="7.1292486948033904"/>
  </r>
  <r>
    <x v="0"/>
    <x v="23"/>
    <x v="6"/>
    <x v="10"/>
    <s v="NL_OFFSHORE"/>
    <x v="26"/>
    <n v="32.971098611263102"/>
    <n v="9.1586385031286301"/>
  </r>
  <r>
    <x v="0"/>
    <x v="23"/>
    <x v="6"/>
    <x v="10"/>
    <s v="NL_OFFSHORE"/>
    <x v="27"/>
    <n v="20.163995508318798"/>
    <n v="5.6011098634218799"/>
  </r>
  <r>
    <x v="0"/>
    <x v="23"/>
    <x v="7"/>
    <x v="11"/>
    <s v="NO1_A1"/>
    <x v="1"/>
    <n v="35.989199999999997"/>
    <n v="9.9969999999999999"/>
  </r>
  <r>
    <x v="0"/>
    <x v="23"/>
    <x v="7"/>
    <x v="11"/>
    <s v="NO1_A1"/>
    <x v="2"/>
    <n v="46.08"/>
    <n v="12.8"/>
  </r>
  <r>
    <x v="0"/>
    <x v="23"/>
    <x v="7"/>
    <x v="11"/>
    <s v="NO1_A1"/>
    <x v="0"/>
    <n v="42.692399999999999"/>
    <n v="11.859"/>
  </r>
  <r>
    <x v="0"/>
    <x v="23"/>
    <x v="7"/>
    <x v="11"/>
    <s v="NO1_A1"/>
    <x v="3"/>
    <n v="51.633543144067197"/>
    <n v="14.342650873352"/>
  </r>
  <r>
    <x v="0"/>
    <x v="23"/>
    <x v="7"/>
    <x v="11"/>
    <s v="NO1_A1"/>
    <x v="4"/>
    <n v="10.7598541839271"/>
    <n v="2.9888483844241902"/>
  </r>
  <r>
    <x v="0"/>
    <x v="23"/>
    <x v="7"/>
    <x v="11"/>
    <s v="NO1_A1"/>
    <x v="5"/>
    <n v="10.7598541839271"/>
    <n v="2.9888483844241902"/>
  </r>
  <r>
    <x v="0"/>
    <x v="23"/>
    <x v="7"/>
    <x v="11"/>
    <s v="NO1_A1"/>
    <x v="6"/>
    <n v="29.476231795214598"/>
    <n v="8.1878421653373898"/>
  </r>
  <r>
    <x v="0"/>
    <x v="23"/>
    <x v="7"/>
    <x v="11"/>
    <s v="NO1_A1"/>
    <x v="7"/>
    <n v="57.838935220261199"/>
    <n v="16.066370894517"/>
  </r>
  <r>
    <x v="0"/>
    <x v="23"/>
    <x v="7"/>
    <x v="11"/>
    <s v="NO1_A1"/>
    <x v="8"/>
    <n v="57.838935220261199"/>
    <n v="16.066370894517"/>
  </r>
  <r>
    <x v="0"/>
    <x v="23"/>
    <x v="7"/>
    <x v="11"/>
    <s v="NO1_A1"/>
    <x v="9"/>
    <n v="47.978366197183199"/>
    <n v="13.327323943662"/>
  </r>
  <r>
    <x v="0"/>
    <x v="23"/>
    <x v="7"/>
    <x v="11"/>
    <s v="NO1_A1"/>
    <x v="10"/>
    <n v="63.1479966859984"/>
    <n v="17.541110190555099"/>
  </r>
  <r>
    <x v="0"/>
    <x v="23"/>
    <x v="7"/>
    <x v="11"/>
    <s v="NO1_A1"/>
    <x v="11"/>
    <n v="5.9972957746478999"/>
    <n v="1.66591549295775"/>
  </r>
  <r>
    <x v="0"/>
    <x v="23"/>
    <x v="7"/>
    <x v="11"/>
    <s v="NO1_A1"/>
    <x v="12"/>
    <n v="9.7995028997514597E-2"/>
    <n v="2.72208413881985E-2"/>
  </r>
  <r>
    <x v="0"/>
    <x v="23"/>
    <x v="7"/>
    <x v="11"/>
    <s v="NO1_A1"/>
    <x v="13"/>
    <n v="26.987830985915501"/>
    <n v="7.4966197183098604"/>
  </r>
  <r>
    <x v="0"/>
    <x v="23"/>
    <x v="7"/>
    <x v="11"/>
    <s v="NO1_A1"/>
    <x v="14"/>
    <n v="26.987830985915501"/>
    <n v="7.4966197183098604"/>
  </r>
  <r>
    <x v="0"/>
    <x v="23"/>
    <x v="7"/>
    <x v="11"/>
    <s v="NO1_A1"/>
    <x v="15"/>
    <n v="1.65807589063794"/>
    <n v="0.46057663628831802"/>
  </r>
  <r>
    <x v="0"/>
    <x v="23"/>
    <x v="7"/>
    <x v="11"/>
    <s v="NO1_A1"/>
    <x v="16"/>
    <n v="6.6307647887493104"/>
    <n v="1.84187910798592"/>
  </r>
  <r>
    <x v="0"/>
    <x v="23"/>
    <x v="7"/>
    <x v="11"/>
    <s v="NO1_A1"/>
    <x v="17"/>
    <n v="9.1244895875632395"/>
    <n v="2.5345804409897901"/>
  </r>
  <r>
    <x v="0"/>
    <x v="23"/>
    <x v="7"/>
    <x v="11"/>
    <s v="NO1_A1"/>
    <x v="18"/>
    <n v="26.987830985915501"/>
    <n v="7.4966197183098604"/>
  </r>
  <r>
    <x v="0"/>
    <x v="23"/>
    <x v="7"/>
    <x v="11"/>
    <s v="NO1_A1"/>
    <x v="19"/>
    <n v="8.1139884009941898"/>
    <n v="2.2538856669428302"/>
  </r>
  <r>
    <x v="0"/>
    <x v="23"/>
    <x v="7"/>
    <x v="11"/>
    <s v="NO1_A1"/>
    <x v="20"/>
    <n v="21.7877183939536"/>
    <n v="6.0521439983204397"/>
  </r>
  <r>
    <x v="0"/>
    <x v="23"/>
    <x v="7"/>
    <x v="11"/>
    <s v="NO1_A1"/>
    <x v="21"/>
    <n v="48.24"/>
    <n v="13.4"/>
  </r>
  <r>
    <x v="0"/>
    <x v="23"/>
    <x v="7"/>
    <x v="11"/>
    <s v="NO1_A1"/>
    <x v="22"/>
    <n v="67.680000000000007"/>
    <n v="18.8"/>
  </r>
  <r>
    <x v="0"/>
    <x v="23"/>
    <x v="7"/>
    <x v="11"/>
    <s v="NO1_A1"/>
    <x v="23"/>
    <n v="0.31515896120488701"/>
    <n v="8.7544155890246306E-2"/>
  </r>
  <r>
    <x v="0"/>
    <x v="23"/>
    <x v="7"/>
    <x v="11"/>
    <s v="NO1_A1"/>
    <x v="24"/>
    <n v="19.174223581093901"/>
    <n v="5.32617321697054"/>
  </r>
  <r>
    <x v="0"/>
    <x v="23"/>
    <x v="7"/>
    <x v="11"/>
    <s v="NO1_A1"/>
    <x v="25"/>
    <n v="25.6652953012922"/>
    <n v="7.1292486948033904"/>
  </r>
  <r>
    <x v="0"/>
    <x v="23"/>
    <x v="7"/>
    <x v="11"/>
    <s v="NO1_A1"/>
    <x v="26"/>
    <n v="32.971098611263102"/>
    <n v="9.1586385031286301"/>
  </r>
  <r>
    <x v="0"/>
    <x v="23"/>
    <x v="7"/>
    <x v="11"/>
    <s v="NO1_A1"/>
    <x v="27"/>
    <n v="20.163995508318798"/>
    <n v="5.6011098634218799"/>
  </r>
  <r>
    <x v="0"/>
    <x v="23"/>
    <x v="7"/>
    <x v="11"/>
    <s v="NO1_A2"/>
    <x v="1"/>
    <n v="35.989199999999997"/>
    <n v="9.9969999999999999"/>
  </r>
  <r>
    <x v="0"/>
    <x v="23"/>
    <x v="7"/>
    <x v="11"/>
    <s v="NO1_A2"/>
    <x v="2"/>
    <n v="46.08"/>
    <n v="12.8"/>
  </r>
  <r>
    <x v="0"/>
    <x v="23"/>
    <x v="7"/>
    <x v="11"/>
    <s v="NO1_A2"/>
    <x v="0"/>
    <n v="42.692399999999999"/>
    <n v="11.859"/>
  </r>
  <r>
    <x v="0"/>
    <x v="23"/>
    <x v="7"/>
    <x v="11"/>
    <s v="NO1_A2"/>
    <x v="3"/>
    <n v="51.633543144067197"/>
    <n v="14.342650873352"/>
  </r>
  <r>
    <x v="0"/>
    <x v="23"/>
    <x v="7"/>
    <x v="11"/>
    <s v="NO1_A2"/>
    <x v="4"/>
    <n v="10.7598541839271"/>
    <n v="2.9888483844241902"/>
  </r>
  <r>
    <x v="0"/>
    <x v="23"/>
    <x v="7"/>
    <x v="11"/>
    <s v="NO1_A2"/>
    <x v="5"/>
    <n v="10.7598541839271"/>
    <n v="2.9888483844241902"/>
  </r>
  <r>
    <x v="0"/>
    <x v="23"/>
    <x v="7"/>
    <x v="11"/>
    <s v="NO1_A2"/>
    <x v="6"/>
    <n v="29.476231795214598"/>
    <n v="8.1878421653373898"/>
  </r>
  <r>
    <x v="0"/>
    <x v="23"/>
    <x v="7"/>
    <x v="11"/>
    <s v="NO1_A2"/>
    <x v="7"/>
    <n v="57.838935220261199"/>
    <n v="16.066370894517"/>
  </r>
  <r>
    <x v="0"/>
    <x v="23"/>
    <x v="7"/>
    <x v="11"/>
    <s v="NO1_A2"/>
    <x v="8"/>
    <n v="57.838935220261199"/>
    <n v="16.066370894517"/>
  </r>
  <r>
    <x v="0"/>
    <x v="23"/>
    <x v="7"/>
    <x v="11"/>
    <s v="NO1_A2"/>
    <x v="9"/>
    <n v="47.978366197183199"/>
    <n v="13.327323943662"/>
  </r>
  <r>
    <x v="0"/>
    <x v="23"/>
    <x v="7"/>
    <x v="11"/>
    <s v="NO1_A2"/>
    <x v="10"/>
    <n v="63.1479966859984"/>
    <n v="17.541110190555099"/>
  </r>
  <r>
    <x v="0"/>
    <x v="23"/>
    <x v="7"/>
    <x v="11"/>
    <s v="NO1_A2"/>
    <x v="11"/>
    <n v="5.9972957746478999"/>
    <n v="1.66591549295775"/>
  </r>
  <r>
    <x v="0"/>
    <x v="23"/>
    <x v="7"/>
    <x v="11"/>
    <s v="NO1_A2"/>
    <x v="12"/>
    <n v="9.7995028997514597E-2"/>
    <n v="2.72208413881985E-2"/>
  </r>
  <r>
    <x v="0"/>
    <x v="23"/>
    <x v="7"/>
    <x v="11"/>
    <s v="NO1_A2"/>
    <x v="13"/>
    <n v="26.987830985915501"/>
    <n v="7.4966197183098604"/>
  </r>
  <r>
    <x v="0"/>
    <x v="23"/>
    <x v="7"/>
    <x v="11"/>
    <s v="NO1_A2"/>
    <x v="14"/>
    <n v="26.987830985915501"/>
    <n v="7.4966197183098604"/>
  </r>
  <r>
    <x v="0"/>
    <x v="23"/>
    <x v="7"/>
    <x v="11"/>
    <s v="NO1_A2"/>
    <x v="15"/>
    <n v="1.65807589063794"/>
    <n v="0.46057663628831802"/>
  </r>
  <r>
    <x v="0"/>
    <x v="23"/>
    <x v="7"/>
    <x v="11"/>
    <s v="NO1_A2"/>
    <x v="16"/>
    <n v="6.6307647887493104"/>
    <n v="1.84187910798592"/>
  </r>
  <r>
    <x v="0"/>
    <x v="23"/>
    <x v="7"/>
    <x v="11"/>
    <s v="NO1_A2"/>
    <x v="17"/>
    <n v="9.1244895875632395"/>
    <n v="2.5345804409897901"/>
  </r>
  <r>
    <x v="0"/>
    <x v="23"/>
    <x v="7"/>
    <x v="11"/>
    <s v="NO1_A2"/>
    <x v="18"/>
    <n v="26.987830985915501"/>
    <n v="7.4966197183098604"/>
  </r>
  <r>
    <x v="0"/>
    <x v="23"/>
    <x v="7"/>
    <x v="11"/>
    <s v="NO1_A2"/>
    <x v="19"/>
    <n v="8.1139884009941898"/>
    <n v="2.2538856669428302"/>
  </r>
  <r>
    <x v="0"/>
    <x v="23"/>
    <x v="7"/>
    <x v="11"/>
    <s v="NO1_A2"/>
    <x v="20"/>
    <n v="21.7877183939536"/>
    <n v="6.0521439983204397"/>
  </r>
  <r>
    <x v="0"/>
    <x v="23"/>
    <x v="7"/>
    <x v="11"/>
    <s v="NO1_A2"/>
    <x v="21"/>
    <n v="48.24"/>
    <n v="13.4"/>
  </r>
  <r>
    <x v="0"/>
    <x v="23"/>
    <x v="7"/>
    <x v="11"/>
    <s v="NO1_A2"/>
    <x v="22"/>
    <n v="67.680000000000007"/>
    <n v="18.8"/>
  </r>
  <r>
    <x v="0"/>
    <x v="23"/>
    <x v="7"/>
    <x v="11"/>
    <s v="NO1_A2"/>
    <x v="23"/>
    <n v="0.31515896120488701"/>
    <n v="8.7544155890246306E-2"/>
  </r>
  <r>
    <x v="0"/>
    <x v="23"/>
    <x v="7"/>
    <x v="11"/>
    <s v="NO1_A2"/>
    <x v="24"/>
    <n v="19.174223581093901"/>
    <n v="5.32617321697054"/>
  </r>
  <r>
    <x v="0"/>
    <x v="23"/>
    <x v="7"/>
    <x v="11"/>
    <s v="NO1_A2"/>
    <x v="25"/>
    <n v="25.6652953012922"/>
    <n v="7.1292486948033904"/>
  </r>
  <r>
    <x v="0"/>
    <x v="23"/>
    <x v="7"/>
    <x v="11"/>
    <s v="NO1_A2"/>
    <x v="26"/>
    <n v="32.971098611263102"/>
    <n v="9.1586385031286301"/>
  </r>
  <r>
    <x v="0"/>
    <x v="23"/>
    <x v="7"/>
    <x v="11"/>
    <s v="NO1_A2"/>
    <x v="27"/>
    <n v="20.163995508318798"/>
    <n v="5.6011098634218799"/>
  </r>
  <r>
    <x v="0"/>
    <x v="23"/>
    <x v="7"/>
    <x v="11"/>
    <s v="NO1_A3"/>
    <x v="1"/>
    <n v="35.989199999999997"/>
    <n v="9.9969999999999999"/>
  </r>
  <r>
    <x v="0"/>
    <x v="23"/>
    <x v="7"/>
    <x v="11"/>
    <s v="NO1_A3"/>
    <x v="2"/>
    <n v="46.08"/>
    <n v="12.8"/>
  </r>
  <r>
    <x v="0"/>
    <x v="23"/>
    <x v="7"/>
    <x v="11"/>
    <s v="NO1_A3"/>
    <x v="0"/>
    <n v="42.692399999999999"/>
    <n v="11.859"/>
  </r>
  <r>
    <x v="0"/>
    <x v="23"/>
    <x v="7"/>
    <x v="11"/>
    <s v="NO1_A3"/>
    <x v="3"/>
    <n v="51.633543144067197"/>
    <n v="14.342650873352"/>
  </r>
  <r>
    <x v="0"/>
    <x v="23"/>
    <x v="7"/>
    <x v="11"/>
    <s v="NO1_A3"/>
    <x v="4"/>
    <n v="10.7598541839271"/>
    <n v="2.9888483844241902"/>
  </r>
  <r>
    <x v="0"/>
    <x v="23"/>
    <x v="7"/>
    <x v="11"/>
    <s v="NO1_A3"/>
    <x v="5"/>
    <n v="10.7598541839271"/>
    <n v="2.9888483844241902"/>
  </r>
  <r>
    <x v="0"/>
    <x v="23"/>
    <x v="7"/>
    <x v="11"/>
    <s v="NO1_A3"/>
    <x v="6"/>
    <n v="29.476231795214598"/>
    <n v="8.1878421653373898"/>
  </r>
  <r>
    <x v="0"/>
    <x v="23"/>
    <x v="7"/>
    <x v="11"/>
    <s v="NO1_A3"/>
    <x v="7"/>
    <n v="57.838935220261199"/>
    <n v="16.066370894517"/>
  </r>
  <r>
    <x v="0"/>
    <x v="23"/>
    <x v="7"/>
    <x v="11"/>
    <s v="NO1_A3"/>
    <x v="8"/>
    <n v="57.838935220261199"/>
    <n v="16.066370894517"/>
  </r>
  <r>
    <x v="0"/>
    <x v="23"/>
    <x v="7"/>
    <x v="11"/>
    <s v="NO1_A3"/>
    <x v="9"/>
    <n v="47.978366197183199"/>
    <n v="13.327323943662"/>
  </r>
  <r>
    <x v="0"/>
    <x v="23"/>
    <x v="7"/>
    <x v="11"/>
    <s v="NO1_A3"/>
    <x v="10"/>
    <n v="63.1479966859984"/>
    <n v="17.541110190555099"/>
  </r>
  <r>
    <x v="0"/>
    <x v="23"/>
    <x v="7"/>
    <x v="11"/>
    <s v="NO1_A3"/>
    <x v="11"/>
    <n v="5.9972957746478999"/>
    <n v="1.66591549295775"/>
  </r>
  <r>
    <x v="0"/>
    <x v="23"/>
    <x v="7"/>
    <x v="11"/>
    <s v="NO1_A3"/>
    <x v="12"/>
    <n v="9.7995028997514597E-2"/>
    <n v="2.72208413881985E-2"/>
  </r>
  <r>
    <x v="0"/>
    <x v="23"/>
    <x v="7"/>
    <x v="11"/>
    <s v="NO1_A3"/>
    <x v="13"/>
    <n v="26.987830985915501"/>
    <n v="7.4966197183098604"/>
  </r>
  <r>
    <x v="0"/>
    <x v="23"/>
    <x v="7"/>
    <x v="11"/>
    <s v="NO1_A3"/>
    <x v="14"/>
    <n v="26.987830985915501"/>
    <n v="7.4966197183098604"/>
  </r>
  <r>
    <x v="0"/>
    <x v="23"/>
    <x v="7"/>
    <x v="11"/>
    <s v="NO1_A3"/>
    <x v="15"/>
    <n v="1.65807589063794"/>
    <n v="0.46057663628831802"/>
  </r>
  <r>
    <x v="0"/>
    <x v="23"/>
    <x v="7"/>
    <x v="11"/>
    <s v="NO1_A3"/>
    <x v="16"/>
    <n v="6.6307647887493104"/>
    <n v="1.84187910798592"/>
  </r>
  <r>
    <x v="0"/>
    <x v="23"/>
    <x v="7"/>
    <x v="11"/>
    <s v="NO1_A3"/>
    <x v="17"/>
    <n v="9.1244895875632395"/>
    <n v="2.5345804409897901"/>
  </r>
  <r>
    <x v="0"/>
    <x v="23"/>
    <x v="7"/>
    <x v="11"/>
    <s v="NO1_A3"/>
    <x v="18"/>
    <n v="26.987830985915501"/>
    <n v="7.4966197183098604"/>
  </r>
  <r>
    <x v="0"/>
    <x v="23"/>
    <x v="7"/>
    <x v="11"/>
    <s v="NO1_A3"/>
    <x v="19"/>
    <n v="8.1139884009941898"/>
    <n v="2.2538856669428302"/>
  </r>
  <r>
    <x v="0"/>
    <x v="23"/>
    <x v="7"/>
    <x v="11"/>
    <s v="NO1_A3"/>
    <x v="20"/>
    <n v="21.7877183939536"/>
    <n v="6.0521439983204397"/>
  </r>
  <r>
    <x v="0"/>
    <x v="23"/>
    <x v="7"/>
    <x v="11"/>
    <s v="NO1_A3"/>
    <x v="21"/>
    <n v="48.24"/>
    <n v="13.4"/>
  </r>
  <r>
    <x v="0"/>
    <x v="23"/>
    <x v="7"/>
    <x v="11"/>
    <s v="NO1_A3"/>
    <x v="22"/>
    <n v="67.680000000000007"/>
    <n v="18.8"/>
  </r>
  <r>
    <x v="0"/>
    <x v="23"/>
    <x v="7"/>
    <x v="11"/>
    <s v="NO1_A3"/>
    <x v="23"/>
    <n v="0.31515896120488701"/>
    <n v="8.7544155890246306E-2"/>
  </r>
  <r>
    <x v="0"/>
    <x v="23"/>
    <x v="7"/>
    <x v="11"/>
    <s v="NO1_A3"/>
    <x v="24"/>
    <n v="19.174223581093901"/>
    <n v="5.32617321697054"/>
  </r>
  <r>
    <x v="0"/>
    <x v="23"/>
    <x v="7"/>
    <x v="11"/>
    <s v="NO1_A3"/>
    <x v="25"/>
    <n v="25.6652953012922"/>
    <n v="7.1292486948033904"/>
  </r>
  <r>
    <x v="0"/>
    <x v="23"/>
    <x v="7"/>
    <x v="11"/>
    <s v="NO1_A3"/>
    <x v="26"/>
    <n v="32.971098611263102"/>
    <n v="9.1586385031286301"/>
  </r>
  <r>
    <x v="0"/>
    <x v="23"/>
    <x v="7"/>
    <x v="11"/>
    <s v="NO1_A3"/>
    <x v="27"/>
    <n v="20.163995508318798"/>
    <n v="5.6011098634218799"/>
  </r>
  <r>
    <x v="0"/>
    <x v="23"/>
    <x v="7"/>
    <x v="11"/>
    <s v="NO1_Offshore"/>
    <x v="1"/>
    <n v="35.989199999999997"/>
    <n v="9.9969999999999999"/>
  </r>
  <r>
    <x v="0"/>
    <x v="23"/>
    <x v="7"/>
    <x v="11"/>
    <s v="NO1_Offshore"/>
    <x v="2"/>
    <n v="46.08"/>
    <n v="12.8"/>
  </r>
  <r>
    <x v="0"/>
    <x v="23"/>
    <x v="7"/>
    <x v="11"/>
    <s v="NO1_Offshore"/>
    <x v="0"/>
    <n v="42.692399999999999"/>
    <n v="11.859"/>
  </r>
  <r>
    <x v="0"/>
    <x v="23"/>
    <x v="7"/>
    <x v="11"/>
    <s v="NO1_Offshore"/>
    <x v="3"/>
    <n v="51.633543144067197"/>
    <n v="14.342650873352"/>
  </r>
  <r>
    <x v="0"/>
    <x v="23"/>
    <x v="7"/>
    <x v="11"/>
    <s v="NO1_Offshore"/>
    <x v="4"/>
    <n v="10.7598541839271"/>
    <n v="2.9888483844241902"/>
  </r>
  <r>
    <x v="0"/>
    <x v="23"/>
    <x v="7"/>
    <x v="11"/>
    <s v="NO1_Offshore"/>
    <x v="5"/>
    <n v="10.7598541839271"/>
    <n v="2.9888483844241902"/>
  </r>
  <r>
    <x v="0"/>
    <x v="23"/>
    <x v="7"/>
    <x v="11"/>
    <s v="NO1_Offshore"/>
    <x v="6"/>
    <n v="29.476231795214598"/>
    <n v="8.1878421653373898"/>
  </r>
  <r>
    <x v="0"/>
    <x v="23"/>
    <x v="7"/>
    <x v="11"/>
    <s v="NO1_Offshore"/>
    <x v="7"/>
    <n v="57.838935220261199"/>
    <n v="16.066370894517"/>
  </r>
  <r>
    <x v="0"/>
    <x v="23"/>
    <x v="7"/>
    <x v="11"/>
    <s v="NO1_Offshore"/>
    <x v="8"/>
    <n v="57.838935220261199"/>
    <n v="16.066370894517"/>
  </r>
  <r>
    <x v="0"/>
    <x v="23"/>
    <x v="7"/>
    <x v="11"/>
    <s v="NO1_Offshore"/>
    <x v="9"/>
    <n v="47.978366197183199"/>
    <n v="13.327323943662"/>
  </r>
  <r>
    <x v="0"/>
    <x v="23"/>
    <x v="7"/>
    <x v="11"/>
    <s v="NO1_Offshore"/>
    <x v="10"/>
    <n v="63.1479966859984"/>
    <n v="17.541110190555099"/>
  </r>
  <r>
    <x v="0"/>
    <x v="23"/>
    <x v="7"/>
    <x v="11"/>
    <s v="NO1_Offshore"/>
    <x v="11"/>
    <n v="5.9972957746478999"/>
    <n v="1.66591549295775"/>
  </r>
  <r>
    <x v="0"/>
    <x v="23"/>
    <x v="7"/>
    <x v="11"/>
    <s v="NO1_Offshore"/>
    <x v="12"/>
    <n v="9.7995028997514597E-2"/>
    <n v="2.72208413881985E-2"/>
  </r>
  <r>
    <x v="0"/>
    <x v="23"/>
    <x v="7"/>
    <x v="11"/>
    <s v="NO1_Offshore"/>
    <x v="13"/>
    <n v="26.987830985915501"/>
    <n v="7.4966197183098604"/>
  </r>
  <r>
    <x v="0"/>
    <x v="23"/>
    <x v="7"/>
    <x v="11"/>
    <s v="NO1_Offshore"/>
    <x v="14"/>
    <n v="26.987830985915501"/>
    <n v="7.4966197183098604"/>
  </r>
  <r>
    <x v="0"/>
    <x v="23"/>
    <x v="7"/>
    <x v="11"/>
    <s v="NO1_Offshore"/>
    <x v="15"/>
    <n v="1.65807589063794"/>
    <n v="0.46057663628831802"/>
  </r>
  <r>
    <x v="0"/>
    <x v="23"/>
    <x v="7"/>
    <x v="11"/>
    <s v="NO1_Offshore"/>
    <x v="16"/>
    <n v="6.6307647887493104"/>
    <n v="1.84187910798592"/>
  </r>
  <r>
    <x v="0"/>
    <x v="23"/>
    <x v="7"/>
    <x v="11"/>
    <s v="NO1_Offshore"/>
    <x v="17"/>
    <n v="9.1244895875632395"/>
    <n v="2.5345804409897901"/>
  </r>
  <r>
    <x v="0"/>
    <x v="23"/>
    <x v="7"/>
    <x v="11"/>
    <s v="NO1_Offshore"/>
    <x v="18"/>
    <n v="26.987830985915501"/>
    <n v="7.4966197183098604"/>
  </r>
  <r>
    <x v="0"/>
    <x v="23"/>
    <x v="7"/>
    <x v="11"/>
    <s v="NO1_Offshore"/>
    <x v="19"/>
    <n v="8.1139884009941898"/>
    <n v="2.2538856669428302"/>
  </r>
  <r>
    <x v="0"/>
    <x v="23"/>
    <x v="7"/>
    <x v="11"/>
    <s v="NO1_Offshore"/>
    <x v="20"/>
    <n v="21.7877183939536"/>
    <n v="6.0521439983204397"/>
  </r>
  <r>
    <x v="0"/>
    <x v="23"/>
    <x v="7"/>
    <x v="11"/>
    <s v="NO1_Offshore"/>
    <x v="21"/>
    <n v="48.24"/>
    <n v="13.4"/>
  </r>
  <r>
    <x v="0"/>
    <x v="23"/>
    <x v="7"/>
    <x v="11"/>
    <s v="NO1_Offshore"/>
    <x v="22"/>
    <n v="67.680000000000007"/>
    <n v="18.8"/>
  </r>
  <r>
    <x v="0"/>
    <x v="23"/>
    <x v="7"/>
    <x v="11"/>
    <s v="NO1_Offshore"/>
    <x v="23"/>
    <n v="0.31515896120488701"/>
    <n v="8.7544155890246306E-2"/>
  </r>
  <r>
    <x v="0"/>
    <x v="23"/>
    <x v="7"/>
    <x v="11"/>
    <s v="NO1_Offshore"/>
    <x v="24"/>
    <n v="19.174223581093901"/>
    <n v="5.32617321697054"/>
  </r>
  <r>
    <x v="0"/>
    <x v="23"/>
    <x v="7"/>
    <x v="11"/>
    <s v="NO1_Offshore"/>
    <x v="25"/>
    <n v="25.6652953012922"/>
    <n v="7.1292486948033904"/>
  </r>
  <r>
    <x v="0"/>
    <x v="23"/>
    <x v="7"/>
    <x v="11"/>
    <s v="NO1_Offshore"/>
    <x v="26"/>
    <n v="32.971098611263102"/>
    <n v="9.1586385031286301"/>
  </r>
  <r>
    <x v="0"/>
    <x v="23"/>
    <x v="7"/>
    <x v="11"/>
    <s v="NO1_Offshore"/>
    <x v="27"/>
    <n v="20.163995508318798"/>
    <n v="5.6011098634218799"/>
  </r>
  <r>
    <x v="0"/>
    <x v="23"/>
    <x v="7"/>
    <x v="12"/>
    <s v="NO2_A1"/>
    <x v="1"/>
    <n v="35.989199999999997"/>
    <n v="9.9969999999999999"/>
  </r>
  <r>
    <x v="0"/>
    <x v="23"/>
    <x v="7"/>
    <x v="12"/>
    <s v="NO2_A1"/>
    <x v="2"/>
    <n v="46.08"/>
    <n v="12.8"/>
  </r>
  <r>
    <x v="0"/>
    <x v="23"/>
    <x v="7"/>
    <x v="12"/>
    <s v="NO2_A1"/>
    <x v="0"/>
    <n v="42.692399999999999"/>
    <n v="11.859"/>
  </r>
  <r>
    <x v="0"/>
    <x v="23"/>
    <x v="7"/>
    <x v="12"/>
    <s v="NO2_A1"/>
    <x v="3"/>
    <n v="51.633543144067197"/>
    <n v="14.342650873352"/>
  </r>
  <r>
    <x v="0"/>
    <x v="23"/>
    <x v="7"/>
    <x v="12"/>
    <s v="NO2_A1"/>
    <x v="4"/>
    <n v="10.7598541839271"/>
    <n v="2.9888483844241902"/>
  </r>
  <r>
    <x v="0"/>
    <x v="23"/>
    <x v="7"/>
    <x v="12"/>
    <s v="NO2_A1"/>
    <x v="5"/>
    <n v="10.7598541839271"/>
    <n v="2.9888483844241902"/>
  </r>
  <r>
    <x v="0"/>
    <x v="23"/>
    <x v="7"/>
    <x v="12"/>
    <s v="NO2_A1"/>
    <x v="6"/>
    <n v="29.476231795214598"/>
    <n v="8.1878421653373898"/>
  </r>
  <r>
    <x v="0"/>
    <x v="23"/>
    <x v="7"/>
    <x v="12"/>
    <s v="NO2_A1"/>
    <x v="7"/>
    <n v="57.838935220261199"/>
    <n v="16.066370894517"/>
  </r>
  <r>
    <x v="0"/>
    <x v="23"/>
    <x v="7"/>
    <x v="12"/>
    <s v="NO2_A1"/>
    <x v="8"/>
    <n v="57.838935220261199"/>
    <n v="16.066370894517"/>
  </r>
  <r>
    <x v="0"/>
    <x v="23"/>
    <x v="7"/>
    <x v="12"/>
    <s v="NO2_A1"/>
    <x v="9"/>
    <n v="47.978366197183199"/>
    <n v="13.327323943662"/>
  </r>
  <r>
    <x v="0"/>
    <x v="23"/>
    <x v="7"/>
    <x v="12"/>
    <s v="NO2_A1"/>
    <x v="10"/>
    <n v="63.1479966859984"/>
    <n v="17.541110190555099"/>
  </r>
  <r>
    <x v="0"/>
    <x v="23"/>
    <x v="7"/>
    <x v="12"/>
    <s v="NO2_A1"/>
    <x v="11"/>
    <n v="5.9972957746478999"/>
    <n v="1.66591549295775"/>
  </r>
  <r>
    <x v="0"/>
    <x v="23"/>
    <x v="7"/>
    <x v="12"/>
    <s v="NO2_A1"/>
    <x v="12"/>
    <n v="9.7995028997514597E-2"/>
    <n v="2.72208413881985E-2"/>
  </r>
  <r>
    <x v="0"/>
    <x v="23"/>
    <x v="7"/>
    <x v="12"/>
    <s v="NO2_A1"/>
    <x v="13"/>
    <n v="26.987830985915501"/>
    <n v="7.4966197183098604"/>
  </r>
  <r>
    <x v="0"/>
    <x v="23"/>
    <x v="7"/>
    <x v="12"/>
    <s v="NO2_A1"/>
    <x v="14"/>
    <n v="26.987830985915501"/>
    <n v="7.4966197183098604"/>
  </r>
  <r>
    <x v="0"/>
    <x v="23"/>
    <x v="7"/>
    <x v="12"/>
    <s v="NO2_A1"/>
    <x v="15"/>
    <n v="1.65807589063794"/>
    <n v="0.46057663628831802"/>
  </r>
  <r>
    <x v="0"/>
    <x v="23"/>
    <x v="7"/>
    <x v="12"/>
    <s v="NO2_A1"/>
    <x v="16"/>
    <n v="6.6307647887493104"/>
    <n v="1.84187910798592"/>
  </r>
  <r>
    <x v="0"/>
    <x v="23"/>
    <x v="7"/>
    <x v="12"/>
    <s v="NO2_A1"/>
    <x v="17"/>
    <n v="9.1244895875632395"/>
    <n v="2.5345804409897901"/>
  </r>
  <r>
    <x v="0"/>
    <x v="23"/>
    <x v="7"/>
    <x v="12"/>
    <s v="NO2_A1"/>
    <x v="18"/>
    <n v="26.987830985915501"/>
    <n v="7.4966197183098604"/>
  </r>
  <r>
    <x v="0"/>
    <x v="23"/>
    <x v="7"/>
    <x v="12"/>
    <s v="NO2_A1"/>
    <x v="19"/>
    <n v="8.1139884009941898"/>
    <n v="2.2538856669428302"/>
  </r>
  <r>
    <x v="0"/>
    <x v="23"/>
    <x v="7"/>
    <x v="12"/>
    <s v="NO2_A1"/>
    <x v="20"/>
    <n v="21.7877183939536"/>
    <n v="6.0521439983204397"/>
  </r>
  <r>
    <x v="0"/>
    <x v="23"/>
    <x v="7"/>
    <x v="12"/>
    <s v="NO2_A1"/>
    <x v="21"/>
    <n v="48.24"/>
    <n v="13.4"/>
  </r>
  <r>
    <x v="0"/>
    <x v="23"/>
    <x v="7"/>
    <x v="12"/>
    <s v="NO2_A1"/>
    <x v="22"/>
    <n v="67.680000000000007"/>
    <n v="18.8"/>
  </r>
  <r>
    <x v="0"/>
    <x v="23"/>
    <x v="7"/>
    <x v="12"/>
    <s v="NO2_A1"/>
    <x v="23"/>
    <n v="0.31515896120488701"/>
    <n v="8.7544155890246306E-2"/>
  </r>
  <r>
    <x v="0"/>
    <x v="23"/>
    <x v="7"/>
    <x v="12"/>
    <s v="NO2_A1"/>
    <x v="24"/>
    <n v="19.174223581093901"/>
    <n v="5.32617321697054"/>
  </r>
  <r>
    <x v="0"/>
    <x v="23"/>
    <x v="7"/>
    <x v="12"/>
    <s v="NO2_A1"/>
    <x v="25"/>
    <n v="25.6652953012922"/>
    <n v="7.1292486948033904"/>
  </r>
  <r>
    <x v="0"/>
    <x v="23"/>
    <x v="7"/>
    <x v="12"/>
    <s v="NO2_A1"/>
    <x v="26"/>
    <n v="32.971098611263102"/>
    <n v="9.1586385031286301"/>
  </r>
  <r>
    <x v="0"/>
    <x v="23"/>
    <x v="7"/>
    <x v="12"/>
    <s v="NO2_A1"/>
    <x v="27"/>
    <n v="20.163995508318798"/>
    <n v="5.6011098634218799"/>
  </r>
  <r>
    <x v="0"/>
    <x v="23"/>
    <x v="7"/>
    <x v="12"/>
    <s v="NO2_A2"/>
    <x v="1"/>
    <n v="35.989199999999997"/>
    <n v="9.9969999999999999"/>
  </r>
  <r>
    <x v="0"/>
    <x v="23"/>
    <x v="7"/>
    <x v="12"/>
    <s v="NO2_A2"/>
    <x v="2"/>
    <n v="46.08"/>
    <n v="12.8"/>
  </r>
  <r>
    <x v="0"/>
    <x v="23"/>
    <x v="7"/>
    <x v="12"/>
    <s v="NO2_A2"/>
    <x v="0"/>
    <n v="42.692399999999999"/>
    <n v="11.859"/>
  </r>
  <r>
    <x v="0"/>
    <x v="23"/>
    <x v="7"/>
    <x v="12"/>
    <s v="NO2_A2"/>
    <x v="3"/>
    <n v="51.633543144067197"/>
    <n v="14.342650873352"/>
  </r>
  <r>
    <x v="0"/>
    <x v="23"/>
    <x v="7"/>
    <x v="12"/>
    <s v="NO2_A2"/>
    <x v="4"/>
    <n v="10.7598541839271"/>
    <n v="2.9888483844241902"/>
  </r>
  <r>
    <x v="0"/>
    <x v="23"/>
    <x v="7"/>
    <x v="12"/>
    <s v="NO2_A2"/>
    <x v="5"/>
    <n v="10.7598541839271"/>
    <n v="2.9888483844241902"/>
  </r>
  <r>
    <x v="0"/>
    <x v="23"/>
    <x v="7"/>
    <x v="12"/>
    <s v="NO2_A2"/>
    <x v="6"/>
    <n v="29.476231795214598"/>
    <n v="8.1878421653373898"/>
  </r>
  <r>
    <x v="0"/>
    <x v="23"/>
    <x v="7"/>
    <x v="12"/>
    <s v="NO2_A2"/>
    <x v="7"/>
    <n v="57.838935220261199"/>
    <n v="16.066370894517"/>
  </r>
  <r>
    <x v="0"/>
    <x v="23"/>
    <x v="7"/>
    <x v="12"/>
    <s v="NO2_A2"/>
    <x v="8"/>
    <n v="57.838935220261199"/>
    <n v="16.066370894517"/>
  </r>
  <r>
    <x v="0"/>
    <x v="23"/>
    <x v="7"/>
    <x v="12"/>
    <s v="NO2_A2"/>
    <x v="9"/>
    <n v="47.978366197183199"/>
    <n v="13.327323943662"/>
  </r>
  <r>
    <x v="0"/>
    <x v="23"/>
    <x v="7"/>
    <x v="12"/>
    <s v="NO2_A2"/>
    <x v="10"/>
    <n v="63.1479966859984"/>
    <n v="17.541110190555099"/>
  </r>
  <r>
    <x v="0"/>
    <x v="23"/>
    <x v="7"/>
    <x v="12"/>
    <s v="NO2_A2"/>
    <x v="11"/>
    <n v="5.9972957746478999"/>
    <n v="1.66591549295775"/>
  </r>
  <r>
    <x v="0"/>
    <x v="23"/>
    <x v="7"/>
    <x v="12"/>
    <s v="NO2_A2"/>
    <x v="12"/>
    <n v="9.7995028997514597E-2"/>
    <n v="2.72208413881985E-2"/>
  </r>
  <r>
    <x v="0"/>
    <x v="23"/>
    <x v="7"/>
    <x v="12"/>
    <s v="NO2_A2"/>
    <x v="13"/>
    <n v="26.987830985915501"/>
    <n v="7.4966197183098604"/>
  </r>
  <r>
    <x v="0"/>
    <x v="23"/>
    <x v="7"/>
    <x v="12"/>
    <s v="NO2_A2"/>
    <x v="14"/>
    <n v="26.987830985915501"/>
    <n v="7.4966197183098604"/>
  </r>
  <r>
    <x v="0"/>
    <x v="23"/>
    <x v="7"/>
    <x v="12"/>
    <s v="NO2_A2"/>
    <x v="15"/>
    <n v="1.65807589063794"/>
    <n v="0.46057663628831802"/>
  </r>
  <r>
    <x v="0"/>
    <x v="23"/>
    <x v="7"/>
    <x v="12"/>
    <s v="NO2_A2"/>
    <x v="16"/>
    <n v="6.6307647887493104"/>
    <n v="1.84187910798592"/>
  </r>
  <r>
    <x v="0"/>
    <x v="23"/>
    <x v="7"/>
    <x v="12"/>
    <s v="NO2_A2"/>
    <x v="17"/>
    <n v="9.1244895875632395"/>
    <n v="2.5345804409897901"/>
  </r>
  <r>
    <x v="0"/>
    <x v="23"/>
    <x v="7"/>
    <x v="12"/>
    <s v="NO2_A2"/>
    <x v="18"/>
    <n v="26.987830985915501"/>
    <n v="7.4966197183098604"/>
  </r>
  <r>
    <x v="0"/>
    <x v="23"/>
    <x v="7"/>
    <x v="12"/>
    <s v="NO2_A2"/>
    <x v="19"/>
    <n v="8.1139884009941898"/>
    <n v="2.2538856669428302"/>
  </r>
  <r>
    <x v="0"/>
    <x v="23"/>
    <x v="7"/>
    <x v="12"/>
    <s v="NO2_A2"/>
    <x v="20"/>
    <n v="21.7877183939536"/>
    <n v="6.0521439983204397"/>
  </r>
  <r>
    <x v="0"/>
    <x v="23"/>
    <x v="7"/>
    <x v="12"/>
    <s v="NO2_A2"/>
    <x v="21"/>
    <n v="48.24"/>
    <n v="13.4"/>
  </r>
  <r>
    <x v="0"/>
    <x v="23"/>
    <x v="7"/>
    <x v="12"/>
    <s v="NO2_A2"/>
    <x v="22"/>
    <n v="67.680000000000007"/>
    <n v="18.8"/>
  </r>
  <r>
    <x v="0"/>
    <x v="23"/>
    <x v="7"/>
    <x v="12"/>
    <s v="NO2_A2"/>
    <x v="23"/>
    <n v="0.31515896120488701"/>
    <n v="8.7544155890246306E-2"/>
  </r>
  <r>
    <x v="0"/>
    <x v="23"/>
    <x v="7"/>
    <x v="12"/>
    <s v="NO2_A2"/>
    <x v="24"/>
    <n v="19.174223581093901"/>
    <n v="5.32617321697054"/>
  </r>
  <r>
    <x v="0"/>
    <x v="23"/>
    <x v="7"/>
    <x v="12"/>
    <s v="NO2_A2"/>
    <x v="25"/>
    <n v="25.6652953012922"/>
    <n v="7.1292486948033904"/>
  </r>
  <r>
    <x v="0"/>
    <x v="23"/>
    <x v="7"/>
    <x v="12"/>
    <s v="NO2_A2"/>
    <x v="26"/>
    <n v="32.971098611263102"/>
    <n v="9.1586385031286301"/>
  </r>
  <r>
    <x v="0"/>
    <x v="23"/>
    <x v="7"/>
    <x v="12"/>
    <s v="NO2_A2"/>
    <x v="27"/>
    <n v="20.163995508318798"/>
    <n v="5.6011098634218799"/>
  </r>
  <r>
    <x v="0"/>
    <x v="23"/>
    <x v="7"/>
    <x v="12"/>
    <s v="NO2_Offshore"/>
    <x v="1"/>
    <n v="35.989199999999997"/>
    <n v="9.9969999999999999"/>
  </r>
  <r>
    <x v="0"/>
    <x v="23"/>
    <x v="7"/>
    <x v="12"/>
    <s v="NO2_Offshore"/>
    <x v="2"/>
    <n v="46.08"/>
    <n v="12.8"/>
  </r>
  <r>
    <x v="0"/>
    <x v="23"/>
    <x v="7"/>
    <x v="12"/>
    <s v="NO2_Offshore"/>
    <x v="0"/>
    <n v="42.692399999999999"/>
    <n v="11.859"/>
  </r>
  <r>
    <x v="0"/>
    <x v="23"/>
    <x v="7"/>
    <x v="12"/>
    <s v="NO2_Offshore"/>
    <x v="3"/>
    <n v="51.633543144067197"/>
    <n v="14.342650873352"/>
  </r>
  <r>
    <x v="0"/>
    <x v="23"/>
    <x v="7"/>
    <x v="12"/>
    <s v="NO2_Offshore"/>
    <x v="4"/>
    <n v="10.7598541839271"/>
    <n v="2.9888483844241902"/>
  </r>
  <r>
    <x v="0"/>
    <x v="23"/>
    <x v="7"/>
    <x v="12"/>
    <s v="NO2_Offshore"/>
    <x v="5"/>
    <n v="10.7598541839271"/>
    <n v="2.9888483844241902"/>
  </r>
  <r>
    <x v="0"/>
    <x v="23"/>
    <x v="7"/>
    <x v="12"/>
    <s v="NO2_Offshore"/>
    <x v="6"/>
    <n v="29.476231795214598"/>
    <n v="8.1878421653373898"/>
  </r>
  <r>
    <x v="0"/>
    <x v="23"/>
    <x v="7"/>
    <x v="12"/>
    <s v="NO2_Offshore"/>
    <x v="7"/>
    <n v="57.838935220261199"/>
    <n v="16.066370894517"/>
  </r>
  <r>
    <x v="0"/>
    <x v="23"/>
    <x v="7"/>
    <x v="12"/>
    <s v="NO2_Offshore"/>
    <x v="8"/>
    <n v="57.838935220261199"/>
    <n v="16.066370894517"/>
  </r>
  <r>
    <x v="0"/>
    <x v="23"/>
    <x v="7"/>
    <x v="12"/>
    <s v="NO2_Offshore"/>
    <x v="9"/>
    <n v="47.978366197183199"/>
    <n v="13.327323943662"/>
  </r>
  <r>
    <x v="0"/>
    <x v="23"/>
    <x v="7"/>
    <x v="12"/>
    <s v="NO2_Offshore"/>
    <x v="10"/>
    <n v="63.1479966859984"/>
    <n v="17.541110190555099"/>
  </r>
  <r>
    <x v="0"/>
    <x v="23"/>
    <x v="7"/>
    <x v="12"/>
    <s v="NO2_Offshore"/>
    <x v="11"/>
    <n v="5.9972957746478999"/>
    <n v="1.66591549295775"/>
  </r>
  <r>
    <x v="0"/>
    <x v="23"/>
    <x v="7"/>
    <x v="12"/>
    <s v="NO2_Offshore"/>
    <x v="12"/>
    <n v="9.7995028997514597E-2"/>
    <n v="2.72208413881985E-2"/>
  </r>
  <r>
    <x v="0"/>
    <x v="23"/>
    <x v="7"/>
    <x v="12"/>
    <s v="NO2_Offshore"/>
    <x v="13"/>
    <n v="26.987830985915501"/>
    <n v="7.4966197183098604"/>
  </r>
  <r>
    <x v="0"/>
    <x v="23"/>
    <x v="7"/>
    <x v="12"/>
    <s v="NO2_Offshore"/>
    <x v="14"/>
    <n v="26.987830985915501"/>
    <n v="7.4966197183098604"/>
  </r>
  <r>
    <x v="0"/>
    <x v="23"/>
    <x v="7"/>
    <x v="12"/>
    <s v="NO2_Offshore"/>
    <x v="15"/>
    <n v="1.65807589063794"/>
    <n v="0.46057663628831802"/>
  </r>
  <r>
    <x v="0"/>
    <x v="23"/>
    <x v="7"/>
    <x v="12"/>
    <s v="NO2_Offshore"/>
    <x v="16"/>
    <n v="6.6307647887493104"/>
    <n v="1.84187910798592"/>
  </r>
  <r>
    <x v="0"/>
    <x v="23"/>
    <x v="7"/>
    <x v="12"/>
    <s v="NO2_Offshore"/>
    <x v="17"/>
    <n v="9.1244895875632395"/>
    <n v="2.5345804409897901"/>
  </r>
  <r>
    <x v="0"/>
    <x v="23"/>
    <x v="7"/>
    <x v="12"/>
    <s v="NO2_Offshore"/>
    <x v="18"/>
    <n v="26.987830985915501"/>
    <n v="7.4966197183098604"/>
  </r>
  <r>
    <x v="0"/>
    <x v="23"/>
    <x v="7"/>
    <x v="12"/>
    <s v="NO2_Offshore"/>
    <x v="19"/>
    <n v="8.1139884009941898"/>
    <n v="2.2538856669428302"/>
  </r>
  <r>
    <x v="0"/>
    <x v="23"/>
    <x v="7"/>
    <x v="12"/>
    <s v="NO2_Offshore"/>
    <x v="20"/>
    <n v="21.7877183939536"/>
    <n v="6.0521439983204397"/>
  </r>
  <r>
    <x v="0"/>
    <x v="23"/>
    <x v="7"/>
    <x v="12"/>
    <s v="NO2_Offshore"/>
    <x v="21"/>
    <n v="48.24"/>
    <n v="13.4"/>
  </r>
  <r>
    <x v="0"/>
    <x v="23"/>
    <x v="7"/>
    <x v="12"/>
    <s v="NO2_Offshore"/>
    <x v="22"/>
    <n v="67.680000000000007"/>
    <n v="18.8"/>
  </r>
  <r>
    <x v="0"/>
    <x v="23"/>
    <x v="7"/>
    <x v="12"/>
    <s v="NO2_Offshore"/>
    <x v="23"/>
    <n v="0.31515896120488701"/>
    <n v="8.7544155890246306E-2"/>
  </r>
  <r>
    <x v="0"/>
    <x v="23"/>
    <x v="7"/>
    <x v="12"/>
    <s v="NO2_Offshore"/>
    <x v="24"/>
    <n v="19.174223581093901"/>
    <n v="5.32617321697054"/>
  </r>
  <r>
    <x v="0"/>
    <x v="23"/>
    <x v="7"/>
    <x v="12"/>
    <s v="NO2_Offshore"/>
    <x v="25"/>
    <n v="25.6652953012922"/>
    <n v="7.1292486948033904"/>
  </r>
  <r>
    <x v="0"/>
    <x v="23"/>
    <x v="7"/>
    <x v="12"/>
    <s v="NO2_Offshore"/>
    <x v="26"/>
    <n v="32.971098611263102"/>
    <n v="9.1586385031286301"/>
  </r>
  <r>
    <x v="0"/>
    <x v="23"/>
    <x v="7"/>
    <x v="12"/>
    <s v="NO2_Offshore"/>
    <x v="27"/>
    <n v="20.163995508318798"/>
    <n v="5.6011098634218799"/>
  </r>
  <r>
    <x v="0"/>
    <x v="23"/>
    <x v="7"/>
    <x v="13"/>
    <s v="NO3_A1"/>
    <x v="1"/>
    <n v="35.989199999999997"/>
    <n v="9.9969999999999999"/>
  </r>
  <r>
    <x v="0"/>
    <x v="23"/>
    <x v="7"/>
    <x v="13"/>
    <s v="NO3_A1"/>
    <x v="2"/>
    <n v="46.08"/>
    <n v="12.8"/>
  </r>
  <r>
    <x v="0"/>
    <x v="23"/>
    <x v="7"/>
    <x v="13"/>
    <s v="NO3_A1"/>
    <x v="0"/>
    <n v="42.692399999999999"/>
    <n v="11.859"/>
  </r>
  <r>
    <x v="0"/>
    <x v="23"/>
    <x v="7"/>
    <x v="13"/>
    <s v="NO3_A1"/>
    <x v="3"/>
    <n v="51.633543144067197"/>
    <n v="14.342650873352"/>
  </r>
  <r>
    <x v="0"/>
    <x v="23"/>
    <x v="7"/>
    <x v="13"/>
    <s v="NO3_A1"/>
    <x v="4"/>
    <n v="10.7598541839271"/>
    <n v="2.9888483844241902"/>
  </r>
  <r>
    <x v="0"/>
    <x v="23"/>
    <x v="7"/>
    <x v="13"/>
    <s v="NO3_A1"/>
    <x v="5"/>
    <n v="10.7598541839271"/>
    <n v="2.9888483844241902"/>
  </r>
  <r>
    <x v="0"/>
    <x v="23"/>
    <x v="7"/>
    <x v="13"/>
    <s v="NO3_A1"/>
    <x v="6"/>
    <n v="29.476231795214598"/>
    <n v="8.1878421653373898"/>
  </r>
  <r>
    <x v="0"/>
    <x v="23"/>
    <x v="7"/>
    <x v="13"/>
    <s v="NO3_A1"/>
    <x v="7"/>
    <n v="57.838935220261199"/>
    <n v="16.066370894517"/>
  </r>
  <r>
    <x v="0"/>
    <x v="23"/>
    <x v="7"/>
    <x v="13"/>
    <s v="NO3_A1"/>
    <x v="8"/>
    <n v="57.838935220261199"/>
    <n v="16.066370894517"/>
  </r>
  <r>
    <x v="0"/>
    <x v="23"/>
    <x v="7"/>
    <x v="13"/>
    <s v="NO3_A1"/>
    <x v="9"/>
    <n v="47.978366197183199"/>
    <n v="13.327323943662"/>
  </r>
  <r>
    <x v="0"/>
    <x v="23"/>
    <x v="7"/>
    <x v="13"/>
    <s v="NO3_A1"/>
    <x v="10"/>
    <n v="63.1479966859984"/>
    <n v="17.541110190555099"/>
  </r>
  <r>
    <x v="0"/>
    <x v="23"/>
    <x v="7"/>
    <x v="13"/>
    <s v="NO3_A1"/>
    <x v="11"/>
    <n v="5.9972957746478999"/>
    <n v="1.66591549295775"/>
  </r>
  <r>
    <x v="0"/>
    <x v="23"/>
    <x v="7"/>
    <x v="13"/>
    <s v="NO3_A1"/>
    <x v="12"/>
    <n v="9.7995028997514597E-2"/>
    <n v="2.72208413881985E-2"/>
  </r>
  <r>
    <x v="0"/>
    <x v="23"/>
    <x v="7"/>
    <x v="13"/>
    <s v="NO3_A1"/>
    <x v="13"/>
    <n v="26.987830985915501"/>
    <n v="7.4966197183098604"/>
  </r>
  <r>
    <x v="0"/>
    <x v="23"/>
    <x v="7"/>
    <x v="13"/>
    <s v="NO3_A1"/>
    <x v="14"/>
    <n v="26.987830985915501"/>
    <n v="7.4966197183098604"/>
  </r>
  <r>
    <x v="0"/>
    <x v="23"/>
    <x v="7"/>
    <x v="13"/>
    <s v="NO3_A1"/>
    <x v="15"/>
    <n v="1.65807589063794"/>
    <n v="0.46057663628831802"/>
  </r>
  <r>
    <x v="0"/>
    <x v="23"/>
    <x v="7"/>
    <x v="13"/>
    <s v="NO3_A1"/>
    <x v="16"/>
    <n v="6.6307647887493104"/>
    <n v="1.84187910798592"/>
  </r>
  <r>
    <x v="0"/>
    <x v="23"/>
    <x v="7"/>
    <x v="13"/>
    <s v="NO3_A1"/>
    <x v="17"/>
    <n v="9.1244895875632395"/>
    <n v="2.5345804409897901"/>
  </r>
  <r>
    <x v="0"/>
    <x v="23"/>
    <x v="7"/>
    <x v="13"/>
    <s v="NO3_A1"/>
    <x v="18"/>
    <n v="26.987830985915501"/>
    <n v="7.4966197183098604"/>
  </r>
  <r>
    <x v="0"/>
    <x v="23"/>
    <x v="7"/>
    <x v="13"/>
    <s v="NO3_A1"/>
    <x v="19"/>
    <n v="8.1139884009941898"/>
    <n v="2.2538856669428302"/>
  </r>
  <r>
    <x v="0"/>
    <x v="23"/>
    <x v="7"/>
    <x v="13"/>
    <s v="NO3_A1"/>
    <x v="20"/>
    <n v="21.7877183939536"/>
    <n v="6.0521439983204397"/>
  </r>
  <r>
    <x v="0"/>
    <x v="23"/>
    <x v="7"/>
    <x v="13"/>
    <s v="NO3_A1"/>
    <x v="21"/>
    <n v="48.24"/>
    <n v="13.4"/>
  </r>
  <r>
    <x v="0"/>
    <x v="23"/>
    <x v="7"/>
    <x v="13"/>
    <s v="NO3_A1"/>
    <x v="22"/>
    <n v="67.680000000000007"/>
    <n v="18.8"/>
  </r>
  <r>
    <x v="0"/>
    <x v="23"/>
    <x v="7"/>
    <x v="13"/>
    <s v="NO3_A1"/>
    <x v="23"/>
    <n v="0.31515896120488701"/>
    <n v="8.7544155890246306E-2"/>
  </r>
  <r>
    <x v="0"/>
    <x v="23"/>
    <x v="7"/>
    <x v="13"/>
    <s v="NO3_A1"/>
    <x v="24"/>
    <n v="19.174223581093901"/>
    <n v="5.32617321697054"/>
  </r>
  <r>
    <x v="0"/>
    <x v="23"/>
    <x v="7"/>
    <x v="13"/>
    <s v="NO3_A1"/>
    <x v="25"/>
    <n v="25.6652953012922"/>
    <n v="7.1292486948033904"/>
  </r>
  <r>
    <x v="0"/>
    <x v="23"/>
    <x v="7"/>
    <x v="13"/>
    <s v="NO3_A1"/>
    <x v="26"/>
    <n v="32.971098611263102"/>
    <n v="9.1586385031286301"/>
  </r>
  <r>
    <x v="0"/>
    <x v="23"/>
    <x v="7"/>
    <x v="13"/>
    <s v="NO3_A1"/>
    <x v="27"/>
    <n v="20.163995508318798"/>
    <n v="5.6011098634218799"/>
  </r>
  <r>
    <x v="0"/>
    <x v="23"/>
    <x v="7"/>
    <x v="13"/>
    <s v="NO3_A2"/>
    <x v="1"/>
    <n v="35.989199999999997"/>
    <n v="9.9969999999999999"/>
  </r>
  <r>
    <x v="0"/>
    <x v="23"/>
    <x v="7"/>
    <x v="13"/>
    <s v="NO3_A2"/>
    <x v="2"/>
    <n v="46.08"/>
    <n v="12.8"/>
  </r>
  <r>
    <x v="0"/>
    <x v="23"/>
    <x v="7"/>
    <x v="13"/>
    <s v="NO3_A2"/>
    <x v="0"/>
    <n v="42.692399999999999"/>
    <n v="11.859"/>
  </r>
  <r>
    <x v="0"/>
    <x v="23"/>
    <x v="7"/>
    <x v="13"/>
    <s v="NO3_A2"/>
    <x v="3"/>
    <n v="51.633543144067197"/>
    <n v="14.342650873352"/>
  </r>
  <r>
    <x v="0"/>
    <x v="23"/>
    <x v="7"/>
    <x v="13"/>
    <s v="NO3_A2"/>
    <x v="4"/>
    <n v="10.7598541839271"/>
    <n v="2.9888483844241902"/>
  </r>
  <r>
    <x v="0"/>
    <x v="23"/>
    <x v="7"/>
    <x v="13"/>
    <s v="NO3_A2"/>
    <x v="5"/>
    <n v="10.7598541839271"/>
    <n v="2.9888483844241902"/>
  </r>
  <r>
    <x v="0"/>
    <x v="23"/>
    <x v="7"/>
    <x v="13"/>
    <s v="NO3_A2"/>
    <x v="6"/>
    <n v="29.476231795214598"/>
    <n v="8.1878421653373898"/>
  </r>
  <r>
    <x v="0"/>
    <x v="23"/>
    <x v="7"/>
    <x v="13"/>
    <s v="NO3_A2"/>
    <x v="7"/>
    <n v="57.838935220261199"/>
    <n v="16.066370894517"/>
  </r>
  <r>
    <x v="0"/>
    <x v="23"/>
    <x v="7"/>
    <x v="13"/>
    <s v="NO3_A2"/>
    <x v="8"/>
    <n v="57.838935220261199"/>
    <n v="16.066370894517"/>
  </r>
  <r>
    <x v="0"/>
    <x v="23"/>
    <x v="7"/>
    <x v="13"/>
    <s v="NO3_A2"/>
    <x v="9"/>
    <n v="47.978366197183199"/>
    <n v="13.327323943662"/>
  </r>
  <r>
    <x v="0"/>
    <x v="23"/>
    <x v="7"/>
    <x v="13"/>
    <s v="NO3_A2"/>
    <x v="10"/>
    <n v="63.1479966859984"/>
    <n v="17.541110190555099"/>
  </r>
  <r>
    <x v="0"/>
    <x v="23"/>
    <x v="7"/>
    <x v="13"/>
    <s v="NO3_A2"/>
    <x v="11"/>
    <n v="5.9972957746478999"/>
    <n v="1.66591549295775"/>
  </r>
  <r>
    <x v="0"/>
    <x v="23"/>
    <x v="7"/>
    <x v="13"/>
    <s v="NO3_A2"/>
    <x v="12"/>
    <n v="9.7995028997514597E-2"/>
    <n v="2.72208413881985E-2"/>
  </r>
  <r>
    <x v="0"/>
    <x v="23"/>
    <x v="7"/>
    <x v="13"/>
    <s v="NO3_A2"/>
    <x v="13"/>
    <n v="26.987830985915501"/>
    <n v="7.4966197183098604"/>
  </r>
  <r>
    <x v="0"/>
    <x v="23"/>
    <x v="7"/>
    <x v="13"/>
    <s v="NO3_A2"/>
    <x v="14"/>
    <n v="26.987830985915501"/>
    <n v="7.4966197183098604"/>
  </r>
  <r>
    <x v="0"/>
    <x v="23"/>
    <x v="7"/>
    <x v="13"/>
    <s v="NO3_A2"/>
    <x v="15"/>
    <n v="1.65807589063794"/>
    <n v="0.46057663628831802"/>
  </r>
  <r>
    <x v="0"/>
    <x v="23"/>
    <x v="7"/>
    <x v="13"/>
    <s v="NO3_A2"/>
    <x v="16"/>
    <n v="6.6307647887493104"/>
    <n v="1.84187910798592"/>
  </r>
  <r>
    <x v="0"/>
    <x v="23"/>
    <x v="7"/>
    <x v="13"/>
    <s v="NO3_A2"/>
    <x v="17"/>
    <n v="9.1244895875632395"/>
    <n v="2.5345804409897901"/>
  </r>
  <r>
    <x v="0"/>
    <x v="23"/>
    <x v="7"/>
    <x v="13"/>
    <s v="NO3_A2"/>
    <x v="18"/>
    <n v="26.987830985915501"/>
    <n v="7.4966197183098604"/>
  </r>
  <r>
    <x v="0"/>
    <x v="23"/>
    <x v="7"/>
    <x v="13"/>
    <s v="NO3_A2"/>
    <x v="19"/>
    <n v="8.1139884009941898"/>
    <n v="2.2538856669428302"/>
  </r>
  <r>
    <x v="0"/>
    <x v="23"/>
    <x v="7"/>
    <x v="13"/>
    <s v="NO3_A2"/>
    <x v="20"/>
    <n v="21.7877183939536"/>
    <n v="6.0521439983204397"/>
  </r>
  <r>
    <x v="0"/>
    <x v="23"/>
    <x v="7"/>
    <x v="13"/>
    <s v="NO3_A2"/>
    <x v="21"/>
    <n v="48.24"/>
    <n v="13.4"/>
  </r>
  <r>
    <x v="0"/>
    <x v="23"/>
    <x v="7"/>
    <x v="13"/>
    <s v="NO3_A2"/>
    <x v="22"/>
    <n v="67.680000000000007"/>
    <n v="18.8"/>
  </r>
  <r>
    <x v="0"/>
    <x v="23"/>
    <x v="7"/>
    <x v="13"/>
    <s v="NO3_A2"/>
    <x v="23"/>
    <n v="0.31515896120488701"/>
    <n v="8.7544155890246306E-2"/>
  </r>
  <r>
    <x v="0"/>
    <x v="23"/>
    <x v="7"/>
    <x v="13"/>
    <s v="NO3_A2"/>
    <x v="24"/>
    <n v="19.174223581093901"/>
    <n v="5.32617321697054"/>
  </r>
  <r>
    <x v="0"/>
    <x v="23"/>
    <x v="7"/>
    <x v="13"/>
    <s v="NO3_A2"/>
    <x v="25"/>
    <n v="25.6652953012922"/>
    <n v="7.1292486948033904"/>
  </r>
  <r>
    <x v="0"/>
    <x v="23"/>
    <x v="7"/>
    <x v="13"/>
    <s v="NO3_A2"/>
    <x v="26"/>
    <n v="32.971098611263102"/>
    <n v="9.1586385031286301"/>
  </r>
  <r>
    <x v="0"/>
    <x v="23"/>
    <x v="7"/>
    <x v="13"/>
    <s v="NO3_A2"/>
    <x v="27"/>
    <n v="20.163995508318798"/>
    <n v="5.6011098634218799"/>
  </r>
  <r>
    <x v="0"/>
    <x v="23"/>
    <x v="7"/>
    <x v="13"/>
    <s v="NO3_A3"/>
    <x v="1"/>
    <n v="35.989199999999997"/>
    <n v="9.9969999999999999"/>
  </r>
  <r>
    <x v="0"/>
    <x v="23"/>
    <x v="7"/>
    <x v="13"/>
    <s v="NO3_A3"/>
    <x v="2"/>
    <n v="46.08"/>
    <n v="12.8"/>
  </r>
  <r>
    <x v="0"/>
    <x v="23"/>
    <x v="7"/>
    <x v="13"/>
    <s v="NO3_A3"/>
    <x v="0"/>
    <n v="42.692399999999999"/>
    <n v="11.859"/>
  </r>
  <r>
    <x v="0"/>
    <x v="23"/>
    <x v="7"/>
    <x v="13"/>
    <s v="NO3_A3"/>
    <x v="3"/>
    <n v="51.633543144067197"/>
    <n v="14.342650873352"/>
  </r>
  <r>
    <x v="0"/>
    <x v="23"/>
    <x v="7"/>
    <x v="13"/>
    <s v="NO3_A3"/>
    <x v="4"/>
    <n v="10.7598541839271"/>
    <n v="2.9888483844241902"/>
  </r>
  <r>
    <x v="0"/>
    <x v="23"/>
    <x v="7"/>
    <x v="13"/>
    <s v="NO3_A3"/>
    <x v="5"/>
    <n v="10.7598541839271"/>
    <n v="2.9888483844241902"/>
  </r>
  <r>
    <x v="0"/>
    <x v="23"/>
    <x v="7"/>
    <x v="13"/>
    <s v="NO3_A3"/>
    <x v="6"/>
    <n v="29.476231795214598"/>
    <n v="8.1878421653373898"/>
  </r>
  <r>
    <x v="0"/>
    <x v="23"/>
    <x v="7"/>
    <x v="13"/>
    <s v="NO3_A3"/>
    <x v="7"/>
    <n v="57.838935220261199"/>
    <n v="16.066370894517"/>
  </r>
  <r>
    <x v="0"/>
    <x v="23"/>
    <x v="7"/>
    <x v="13"/>
    <s v="NO3_A3"/>
    <x v="8"/>
    <n v="57.838935220261199"/>
    <n v="16.066370894517"/>
  </r>
  <r>
    <x v="0"/>
    <x v="23"/>
    <x v="7"/>
    <x v="13"/>
    <s v="NO3_A3"/>
    <x v="9"/>
    <n v="47.978366197183199"/>
    <n v="13.327323943662"/>
  </r>
  <r>
    <x v="0"/>
    <x v="23"/>
    <x v="7"/>
    <x v="13"/>
    <s v="NO3_A3"/>
    <x v="10"/>
    <n v="63.1479966859984"/>
    <n v="17.541110190555099"/>
  </r>
  <r>
    <x v="0"/>
    <x v="23"/>
    <x v="7"/>
    <x v="13"/>
    <s v="NO3_A3"/>
    <x v="11"/>
    <n v="5.9972957746478999"/>
    <n v="1.66591549295775"/>
  </r>
  <r>
    <x v="0"/>
    <x v="23"/>
    <x v="7"/>
    <x v="13"/>
    <s v="NO3_A3"/>
    <x v="12"/>
    <n v="9.7995028997514597E-2"/>
    <n v="2.72208413881985E-2"/>
  </r>
  <r>
    <x v="0"/>
    <x v="23"/>
    <x v="7"/>
    <x v="13"/>
    <s v="NO3_A3"/>
    <x v="13"/>
    <n v="26.987830985915501"/>
    <n v="7.4966197183098604"/>
  </r>
  <r>
    <x v="0"/>
    <x v="23"/>
    <x v="7"/>
    <x v="13"/>
    <s v="NO3_A3"/>
    <x v="14"/>
    <n v="26.987830985915501"/>
    <n v="7.4966197183098604"/>
  </r>
  <r>
    <x v="0"/>
    <x v="23"/>
    <x v="7"/>
    <x v="13"/>
    <s v="NO3_A3"/>
    <x v="15"/>
    <n v="1.65807589063794"/>
    <n v="0.46057663628831802"/>
  </r>
  <r>
    <x v="0"/>
    <x v="23"/>
    <x v="7"/>
    <x v="13"/>
    <s v="NO3_A3"/>
    <x v="16"/>
    <n v="6.6307647887493104"/>
    <n v="1.84187910798592"/>
  </r>
  <r>
    <x v="0"/>
    <x v="23"/>
    <x v="7"/>
    <x v="13"/>
    <s v="NO3_A3"/>
    <x v="17"/>
    <n v="9.1244895875632395"/>
    <n v="2.5345804409897901"/>
  </r>
  <r>
    <x v="0"/>
    <x v="23"/>
    <x v="7"/>
    <x v="13"/>
    <s v="NO3_A3"/>
    <x v="18"/>
    <n v="26.987830985915501"/>
    <n v="7.4966197183098604"/>
  </r>
  <r>
    <x v="0"/>
    <x v="23"/>
    <x v="7"/>
    <x v="13"/>
    <s v="NO3_A3"/>
    <x v="19"/>
    <n v="8.1139884009941898"/>
    <n v="2.2538856669428302"/>
  </r>
  <r>
    <x v="0"/>
    <x v="23"/>
    <x v="7"/>
    <x v="13"/>
    <s v="NO3_A3"/>
    <x v="20"/>
    <n v="21.7877183939536"/>
    <n v="6.0521439983204397"/>
  </r>
  <r>
    <x v="0"/>
    <x v="23"/>
    <x v="7"/>
    <x v="13"/>
    <s v="NO3_A3"/>
    <x v="21"/>
    <n v="48.24"/>
    <n v="13.4"/>
  </r>
  <r>
    <x v="0"/>
    <x v="23"/>
    <x v="7"/>
    <x v="13"/>
    <s v="NO3_A3"/>
    <x v="22"/>
    <n v="67.680000000000007"/>
    <n v="18.8"/>
  </r>
  <r>
    <x v="0"/>
    <x v="23"/>
    <x v="7"/>
    <x v="13"/>
    <s v="NO3_A3"/>
    <x v="23"/>
    <n v="0.31515896120488701"/>
    <n v="8.7544155890246306E-2"/>
  </r>
  <r>
    <x v="0"/>
    <x v="23"/>
    <x v="7"/>
    <x v="13"/>
    <s v="NO3_A3"/>
    <x v="24"/>
    <n v="19.174223581093901"/>
    <n v="5.32617321697054"/>
  </r>
  <r>
    <x v="0"/>
    <x v="23"/>
    <x v="7"/>
    <x v="13"/>
    <s v="NO3_A3"/>
    <x v="25"/>
    <n v="25.6652953012922"/>
    <n v="7.1292486948033904"/>
  </r>
  <r>
    <x v="0"/>
    <x v="23"/>
    <x v="7"/>
    <x v="13"/>
    <s v="NO3_A3"/>
    <x v="26"/>
    <n v="32.971098611263102"/>
    <n v="9.1586385031286301"/>
  </r>
  <r>
    <x v="0"/>
    <x v="23"/>
    <x v="7"/>
    <x v="13"/>
    <s v="NO3_A3"/>
    <x v="27"/>
    <n v="20.163995508318798"/>
    <n v="5.6011098634218799"/>
  </r>
  <r>
    <x v="0"/>
    <x v="23"/>
    <x v="7"/>
    <x v="13"/>
    <s v="NO3_Offshore"/>
    <x v="1"/>
    <n v="35.989199999999997"/>
    <n v="9.9969999999999999"/>
  </r>
  <r>
    <x v="0"/>
    <x v="23"/>
    <x v="7"/>
    <x v="13"/>
    <s v="NO3_Offshore"/>
    <x v="2"/>
    <n v="46.08"/>
    <n v="12.8"/>
  </r>
  <r>
    <x v="0"/>
    <x v="23"/>
    <x v="7"/>
    <x v="13"/>
    <s v="NO3_Offshore"/>
    <x v="0"/>
    <n v="42.692399999999999"/>
    <n v="11.859"/>
  </r>
  <r>
    <x v="0"/>
    <x v="23"/>
    <x v="7"/>
    <x v="13"/>
    <s v="NO3_Offshore"/>
    <x v="3"/>
    <n v="51.633543144067197"/>
    <n v="14.342650873352"/>
  </r>
  <r>
    <x v="0"/>
    <x v="23"/>
    <x v="7"/>
    <x v="13"/>
    <s v="NO3_Offshore"/>
    <x v="4"/>
    <n v="10.7598541839271"/>
    <n v="2.9888483844241902"/>
  </r>
  <r>
    <x v="0"/>
    <x v="23"/>
    <x v="7"/>
    <x v="13"/>
    <s v="NO3_Offshore"/>
    <x v="5"/>
    <n v="10.7598541839271"/>
    <n v="2.9888483844241902"/>
  </r>
  <r>
    <x v="0"/>
    <x v="23"/>
    <x v="7"/>
    <x v="13"/>
    <s v="NO3_Offshore"/>
    <x v="6"/>
    <n v="29.476231795214598"/>
    <n v="8.1878421653373898"/>
  </r>
  <r>
    <x v="0"/>
    <x v="23"/>
    <x v="7"/>
    <x v="13"/>
    <s v="NO3_Offshore"/>
    <x v="7"/>
    <n v="57.838935220261199"/>
    <n v="16.066370894517"/>
  </r>
  <r>
    <x v="0"/>
    <x v="23"/>
    <x v="7"/>
    <x v="13"/>
    <s v="NO3_Offshore"/>
    <x v="8"/>
    <n v="57.838935220261199"/>
    <n v="16.066370894517"/>
  </r>
  <r>
    <x v="0"/>
    <x v="23"/>
    <x v="7"/>
    <x v="13"/>
    <s v="NO3_Offshore"/>
    <x v="9"/>
    <n v="47.978366197183199"/>
    <n v="13.327323943662"/>
  </r>
  <r>
    <x v="0"/>
    <x v="23"/>
    <x v="7"/>
    <x v="13"/>
    <s v="NO3_Offshore"/>
    <x v="10"/>
    <n v="63.1479966859984"/>
    <n v="17.541110190555099"/>
  </r>
  <r>
    <x v="0"/>
    <x v="23"/>
    <x v="7"/>
    <x v="13"/>
    <s v="NO3_Offshore"/>
    <x v="11"/>
    <n v="5.9972957746478999"/>
    <n v="1.66591549295775"/>
  </r>
  <r>
    <x v="0"/>
    <x v="23"/>
    <x v="7"/>
    <x v="13"/>
    <s v="NO3_Offshore"/>
    <x v="12"/>
    <n v="9.7995028997514597E-2"/>
    <n v="2.72208413881985E-2"/>
  </r>
  <r>
    <x v="0"/>
    <x v="23"/>
    <x v="7"/>
    <x v="13"/>
    <s v="NO3_Offshore"/>
    <x v="13"/>
    <n v="26.987830985915501"/>
    <n v="7.4966197183098604"/>
  </r>
  <r>
    <x v="0"/>
    <x v="23"/>
    <x v="7"/>
    <x v="13"/>
    <s v="NO3_Offshore"/>
    <x v="14"/>
    <n v="26.987830985915501"/>
    <n v="7.4966197183098604"/>
  </r>
  <r>
    <x v="0"/>
    <x v="23"/>
    <x v="7"/>
    <x v="13"/>
    <s v="NO3_Offshore"/>
    <x v="15"/>
    <n v="1.65807589063794"/>
    <n v="0.46057663628831802"/>
  </r>
  <r>
    <x v="0"/>
    <x v="23"/>
    <x v="7"/>
    <x v="13"/>
    <s v="NO3_Offshore"/>
    <x v="16"/>
    <n v="6.6307647887493104"/>
    <n v="1.84187910798592"/>
  </r>
  <r>
    <x v="0"/>
    <x v="23"/>
    <x v="7"/>
    <x v="13"/>
    <s v="NO3_Offshore"/>
    <x v="17"/>
    <n v="9.1244895875632395"/>
    <n v="2.5345804409897901"/>
  </r>
  <r>
    <x v="0"/>
    <x v="23"/>
    <x v="7"/>
    <x v="13"/>
    <s v="NO3_Offshore"/>
    <x v="18"/>
    <n v="26.987830985915501"/>
    <n v="7.4966197183098604"/>
  </r>
  <r>
    <x v="0"/>
    <x v="23"/>
    <x v="7"/>
    <x v="13"/>
    <s v="NO3_Offshore"/>
    <x v="19"/>
    <n v="8.1139884009941898"/>
    <n v="2.2538856669428302"/>
  </r>
  <r>
    <x v="0"/>
    <x v="23"/>
    <x v="7"/>
    <x v="13"/>
    <s v="NO3_Offshore"/>
    <x v="20"/>
    <n v="21.7877183939536"/>
    <n v="6.0521439983204397"/>
  </r>
  <r>
    <x v="0"/>
    <x v="23"/>
    <x v="7"/>
    <x v="13"/>
    <s v="NO3_Offshore"/>
    <x v="21"/>
    <n v="48.24"/>
    <n v="13.4"/>
  </r>
  <r>
    <x v="0"/>
    <x v="23"/>
    <x v="7"/>
    <x v="13"/>
    <s v="NO3_Offshore"/>
    <x v="22"/>
    <n v="67.680000000000007"/>
    <n v="18.8"/>
  </r>
  <r>
    <x v="0"/>
    <x v="23"/>
    <x v="7"/>
    <x v="13"/>
    <s v="NO3_Offshore"/>
    <x v="23"/>
    <n v="0.31515896120488701"/>
    <n v="8.7544155890246306E-2"/>
  </r>
  <r>
    <x v="0"/>
    <x v="23"/>
    <x v="7"/>
    <x v="13"/>
    <s v="NO3_Offshore"/>
    <x v="24"/>
    <n v="19.174223581093901"/>
    <n v="5.32617321697054"/>
  </r>
  <r>
    <x v="0"/>
    <x v="23"/>
    <x v="7"/>
    <x v="13"/>
    <s v="NO3_Offshore"/>
    <x v="25"/>
    <n v="25.6652953012922"/>
    <n v="7.1292486948033904"/>
  </r>
  <r>
    <x v="0"/>
    <x v="23"/>
    <x v="7"/>
    <x v="13"/>
    <s v="NO3_Offshore"/>
    <x v="26"/>
    <n v="32.971098611263102"/>
    <n v="9.1586385031286301"/>
  </r>
  <r>
    <x v="0"/>
    <x v="23"/>
    <x v="7"/>
    <x v="13"/>
    <s v="NO3_Offshore"/>
    <x v="27"/>
    <n v="20.163995508318798"/>
    <n v="5.6011098634218799"/>
  </r>
  <r>
    <x v="0"/>
    <x v="23"/>
    <x v="7"/>
    <x v="14"/>
    <s v="NO4_A1"/>
    <x v="1"/>
    <n v="35.989199999999997"/>
    <n v="9.9969999999999999"/>
  </r>
  <r>
    <x v="0"/>
    <x v="23"/>
    <x v="7"/>
    <x v="14"/>
    <s v="NO4_A1"/>
    <x v="2"/>
    <n v="46.08"/>
    <n v="12.8"/>
  </r>
  <r>
    <x v="0"/>
    <x v="23"/>
    <x v="7"/>
    <x v="14"/>
    <s v="NO4_A1"/>
    <x v="0"/>
    <n v="42.692399999999999"/>
    <n v="11.859"/>
  </r>
  <r>
    <x v="0"/>
    <x v="23"/>
    <x v="7"/>
    <x v="14"/>
    <s v="NO4_A1"/>
    <x v="3"/>
    <n v="51.633543144067197"/>
    <n v="14.342650873352"/>
  </r>
  <r>
    <x v="0"/>
    <x v="23"/>
    <x v="7"/>
    <x v="14"/>
    <s v="NO4_A1"/>
    <x v="4"/>
    <n v="10.7598541839271"/>
    <n v="2.9888483844241902"/>
  </r>
  <r>
    <x v="0"/>
    <x v="23"/>
    <x v="7"/>
    <x v="14"/>
    <s v="NO4_A1"/>
    <x v="5"/>
    <n v="10.7598541839271"/>
    <n v="2.9888483844241902"/>
  </r>
  <r>
    <x v="0"/>
    <x v="23"/>
    <x v="7"/>
    <x v="14"/>
    <s v="NO4_A1"/>
    <x v="6"/>
    <n v="29.476231795214598"/>
    <n v="8.1878421653373898"/>
  </r>
  <r>
    <x v="0"/>
    <x v="23"/>
    <x v="7"/>
    <x v="14"/>
    <s v="NO4_A1"/>
    <x v="7"/>
    <n v="57.838935220261199"/>
    <n v="16.066370894517"/>
  </r>
  <r>
    <x v="0"/>
    <x v="23"/>
    <x v="7"/>
    <x v="14"/>
    <s v="NO4_A1"/>
    <x v="8"/>
    <n v="57.838935220261199"/>
    <n v="16.066370894517"/>
  </r>
  <r>
    <x v="0"/>
    <x v="23"/>
    <x v="7"/>
    <x v="14"/>
    <s v="NO4_A1"/>
    <x v="9"/>
    <n v="47.978366197183199"/>
    <n v="13.327323943662"/>
  </r>
  <r>
    <x v="0"/>
    <x v="23"/>
    <x v="7"/>
    <x v="14"/>
    <s v="NO4_A1"/>
    <x v="10"/>
    <n v="63.1479966859984"/>
    <n v="17.541110190555099"/>
  </r>
  <r>
    <x v="0"/>
    <x v="23"/>
    <x v="7"/>
    <x v="14"/>
    <s v="NO4_A1"/>
    <x v="11"/>
    <n v="5.9972957746478999"/>
    <n v="1.66591549295775"/>
  </r>
  <r>
    <x v="0"/>
    <x v="23"/>
    <x v="7"/>
    <x v="14"/>
    <s v="NO4_A1"/>
    <x v="12"/>
    <n v="9.7995028997514597E-2"/>
    <n v="2.72208413881985E-2"/>
  </r>
  <r>
    <x v="0"/>
    <x v="23"/>
    <x v="7"/>
    <x v="14"/>
    <s v="NO4_A1"/>
    <x v="13"/>
    <n v="26.987830985915501"/>
    <n v="7.4966197183098604"/>
  </r>
  <r>
    <x v="0"/>
    <x v="23"/>
    <x v="7"/>
    <x v="14"/>
    <s v="NO4_A1"/>
    <x v="14"/>
    <n v="26.987830985915501"/>
    <n v="7.4966197183098604"/>
  </r>
  <r>
    <x v="0"/>
    <x v="23"/>
    <x v="7"/>
    <x v="14"/>
    <s v="NO4_A1"/>
    <x v="15"/>
    <n v="1.65807589063794"/>
    <n v="0.46057663628831802"/>
  </r>
  <r>
    <x v="0"/>
    <x v="23"/>
    <x v="7"/>
    <x v="14"/>
    <s v="NO4_A1"/>
    <x v="16"/>
    <n v="6.6307647887493104"/>
    <n v="1.84187910798592"/>
  </r>
  <r>
    <x v="0"/>
    <x v="23"/>
    <x v="7"/>
    <x v="14"/>
    <s v="NO4_A1"/>
    <x v="17"/>
    <n v="9.1244895875632395"/>
    <n v="2.5345804409897901"/>
  </r>
  <r>
    <x v="0"/>
    <x v="23"/>
    <x v="7"/>
    <x v="14"/>
    <s v="NO4_A1"/>
    <x v="18"/>
    <n v="26.987830985915501"/>
    <n v="7.4966197183098604"/>
  </r>
  <r>
    <x v="0"/>
    <x v="23"/>
    <x v="7"/>
    <x v="14"/>
    <s v="NO4_A1"/>
    <x v="19"/>
    <n v="8.1139884009941898"/>
    <n v="2.2538856669428302"/>
  </r>
  <r>
    <x v="0"/>
    <x v="23"/>
    <x v="7"/>
    <x v="14"/>
    <s v="NO4_A1"/>
    <x v="20"/>
    <n v="21.7877183939536"/>
    <n v="6.0521439983204397"/>
  </r>
  <r>
    <x v="0"/>
    <x v="23"/>
    <x v="7"/>
    <x v="14"/>
    <s v="NO4_A1"/>
    <x v="21"/>
    <n v="48.24"/>
    <n v="13.4"/>
  </r>
  <r>
    <x v="0"/>
    <x v="23"/>
    <x v="7"/>
    <x v="14"/>
    <s v="NO4_A1"/>
    <x v="22"/>
    <n v="67.680000000000007"/>
    <n v="18.8"/>
  </r>
  <r>
    <x v="0"/>
    <x v="23"/>
    <x v="7"/>
    <x v="14"/>
    <s v="NO4_A1"/>
    <x v="23"/>
    <n v="0.31515896120488701"/>
    <n v="8.7544155890246306E-2"/>
  </r>
  <r>
    <x v="0"/>
    <x v="23"/>
    <x v="7"/>
    <x v="14"/>
    <s v="NO4_A1"/>
    <x v="24"/>
    <n v="19.174223581093901"/>
    <n v="5.32617321697054"/>
  </r>
  <r>
    <x v="0"/>
    <x v="23"/>
    <x v="7"/>
    <x v="14"/>
    <s v="NO4_A1"/>
    <x v="25"/>
    <n v="25.6652953012922"/>
    <n v="7.1292486948033904"/>
  </r>
  <r>
    <x v="0"/>
    <x v="23"/>
    <x v="7"/>
    <x v="14"/>
    <s v="NO4_A1"/>
    <x v="26"/>
    <n v="32.971098611263102"/>
    <n v="9.1586385031286301"/>
  </r>
  <r>
    <x v="0"/>
    <x v="23"/>
    <x v="7"/>
    <x v="14"/>
    <s v="NO4_A1"/>
    <x v="27"/>
    <n v="20.163995508318798"/>
    <n v="5.6011098634218799"/>
  </r>
  <r>
    <x v="0"/>
    <x v="23"/>
    <x v="7"/>
    <x v="14"/>
    <s v="NO4_A2"/>
    <x v="1"/>
    <n v="35.989199999999997"/>
    <n v="9.9969999999999999"/>
  </r>
  <r>
    <x v="0"/>
    <x v="23"/>
    <x v="7"/>
    <x v="14"/>
    <s v="NO4_A2"/>
    <x v="2"/>
    <n v="46.08"/>
    <n v="12.8"/>
  </r>
  <r>
    <x v="0"/>
    <x v="23"/>
    <x v="7"/>
    <x v="14"/>
    <s v="NO4_A2"/>
    <x v="0"/>
    <n v="42.692399999999999"/>
    <n v="11.859"/>
  </r>
  <r>
    <x v="0"/>
    <x v="23"/>
    <x v="7"/>
    <x v="14"/>
    <s v="NO4_A2"/>
    <x v="3"/>
    <n v="51.633543144067197"/>
    <n v="14.342650873352"/>
  </r>
  <r>
    <x v="0"/>
    <x v="23"/>
    <x v="7"/>
    <x v="14"/>
    <s v="NO4_A2"/>
    <x v="4"/>
    <n v="10.7598541839271"/>
    <n v="2.9888483844241902"/>
  </r>
  <r>
    <x v="0"/>
    <x v="23"/>
    <x v="7"/>
    <x v="14"/>
    <s v="NO4_A2"/>
    <x v="5"/>
    <n v="10.7598541839271"/>
    <n v="2.9888483844241902"/>
  </r>
  <r>
    <x v="0"/>
    <x v="23"/>
    <x v="7"/>
    <x v="14"/>
    <s v="NO4_A2"/>
    <x v="6"/>
    <n v="29.476231795214598"/>
    <n v="8.1878421653373898"/>
  </r>
  <r>
    <x v="0"/>
    <x v="23"/>
    <x v="7"/>
    <x v="14"/>
    <s v="NO4_A2"/>
    <x v="7"/>
    <n v="57.838935220261199"/>
    <n v="16.066370894517"/>
  </r>
  <r>
    <x v="0"/>
    <x v="23"/>
    <x v="7"/>
    <x v="14"/>
    <s v="NO4_A2"/>
    <x v="8"/>
    <n v="57.838935220261199"/>
    <n v="16.066370894517"/>
  </r>
  <r>
    <x v="0"/>
    <x v="23"/>
    <x v="7"/>
    <x v="14"/>
    <s v="NO4_A2"/>
    <x v="9"/>
    <n v="47.978366197183199"/>
    <n v="13.327323943662"/>
  </r>
  <r>
    <x v="0"/>
    <x v="23"/>
    <x v="7"/>
    <x v="14"/>
    <s v="NO4_A2"/>
    <x v="10"/>
    <n v="63.1479966859984"/>
    <n v="17.541110190555099"/>
  </r>
  <r>
    <x v="0"/>
    <x v="23"/>
    <x v="7"/>
    <x v="14"/>
    <s v="NO4_A2"/>
    <x v="11"/>
    <n v="5.9972957746478999"/>
    <n v="1.66591549295775"/>
  </r>
  <r>
    <x v="0"/>
    <x v="23"/>
    <x v="7"/>
    <x v="14"/>
    <s v="NO4_A2"/>
    <x v="12"/>
    <n v="9.7995028997514597E-2"/>
    <n v="2.72208413881985E-2"/>
  </r>
  <r>
    <x v="0"/>
    <x v="23"/>
    <x v="7"/>
    <x v="14"/>
    <s v="NO4_A2"/>
    <x v="13"/>
    <n v="26.987830985915501"/>
    <n v="7.4966197183098604"/>
  </r>
  <r>
    <x v="0"/>
    <x v="23"/>
    <x v="7"/>
    <x v="14"/>
    <s v="NO4_A2"/>
    <x v="14"/>
    <n v="26.987830985915501"/>
    <n v="7.4966197183098604"/>
  </r>
  <r>
    <x v="0"/>
    <x v="23"/>
    <x v="7"/>
    <x v="14"/>
    <s v="NO4_A2"/>
    <x v="15"/>
    <n v="1.65807589063794"/>
    <n v="0.46057663628831802"/>
  </r>
  <r>
    <x v="0"/>
    <x v="23"/>
    <x v="7"/>
    <x v="14"/>
    <s v="NO4_A2"/>
    <x v="16"/>
    <n v="6.6307647887493104"/>
    <n v="1.84187910798592"/>
  </r>
  <r>
    <x v="0"/>
    <x v="23"/>
    <x v="7"/>
    <x v="14"/>
    <s v="NO4_A2"/>
    <x v="17"/>
    <n v="9.1244895875632395"/>
    <n v="2.5345804409897901"/>
  </r>
  <r>
    <x v="0"/>
    <x v="23"/>
    <x v="7"/>
    <x v="14"/>
    <s v="NO4_A2"/>
    <x v="18"/>
    <n v="26.987830985915501"/>
    <n v="7.4966197183098604"/>
  </r>
  <r>
    <x v="0"/>
    <x v="23"/>
    <x v="7"/>
    <x v="14"/>
    <s v="NO4_A2"/>
    <x v="19"/>
    <n v="8.1139884009941898"/>
    <n v="2.2538856669428302"/>
  </r>
  <r>
    <x v="0"/>
    <x v="23"/>
    <x v="7"/>
    <x v="14"/>
    <s v="NO4_A2"/>
    <x v="20"/>
    <n v="21.7877183939536"/>
    <n v="6.0521439983204397"/>
  </r>
  <r>
    <x v="0"/>
    <x v="23"/>
    <x v="7"/>
    <x v="14"/>
    <s v="NO4_A2"/>
    <x v="21"/>
    <n v="48.24"/>
    <n v="13.4"/>
  </r>
  <r>
    <x v="0"/>
    <x v="23"/>
    <x v="7"/>
    <x v="14"/>
    <s v="NO4_A2"/>
    <x v="22"/>
    <n v="67.680000000000007"/>
    <n v="18.8"/>
  </r>
  <r>
    <x v="0"/>
    <x v="23"/>
    <x v="7"/>
    <x v="14"/>
    <s v="NO4_A2"/>
    <x v="23"/>
    <n v="0.31515896120488701"/>
    <n v="8.7544155890246306E-2"/>
  </r>
  <r>
    <x v="0"/>
    <x v="23"/>
    <x v="7"/>
    <x v="14"/>
    <s v="NO4_A2"/>
    <x v="24"/>
    <n v="19.174223581093901"/>
    <n v="5.32617321697054"/>
  </r>
  <r>
    <x v="0"/>
    <x v="23"/>
    <x v="7"/>
    <x v="14"/>
    <s v="NO4_A2"/>
    <x v="25"/>
    <n v="25.6652953012922"/>
    <n v="7.1292486948033904"/>
  </r>
  <r>
    <x v="0"/>
    <x v="23"/>
    <x v="7"/>
    <x v="14"/>
    <s v="NO4_A2"/>
    <x v="26"/>
    <n v="32.971098611263102"/>
    <n v="9.1586385031286301"/>
  </r>
  <r>
    <x v="0"/>
    <x v="23"/>
    <x v="7"/>
    <x v="14"/>
    <s v="NO4_A2"/>
    <x v="27"/>
    <n v="20.163995508318798"/>
    <n v="5.6011098634218799"/>
  </r>
  <r>
    <x v="0"/>
    <x v="23"/>
    <x v="7"/>
    <x v="14"/>
    <s v="NO4_Offshore"/>
    <x v="1"/>
    <n v="35.989199999999997"/>
    <n v="9.9969999999999999"/>
  </r>
  <r>
    <x v="0"/>
    <x v="23"/>
    <x v="7"/>
    <x v="14"/>
    <s v="NO4_Offshore"/>
    <x v="2"/>
    <n v="46.08"/>
    <n v="12.8"/>
  </r>
  <r>
    <x v="0"/>
    <x v="23"/>
    <x v="7"/>
    <x v="14"/>
    <s v="NO4_Offshore"/>
    <x v="0"/>
    <n v="42.692399999999999"/>
    <n v="11.859"/>
  </r>
  <r>
    <x v="0"/>
    <x v="23"/>
    <x v="7"/>
    <x v="14"/>
    <s v="NO4_Offshore"/>
    <x v="3"/>
    <n v="51.633543144067197"/>
    <n v="14.342650873352"/>
  </r>
  <r>
    <x v="0"/>
    <x v="23"/>
    <x v="7"/>
    <x v="14"/>
    <s v="NO4_Offshore"/>
    <x v="4"/>
    <n v="10.7598541839271"/>
    <n v="2.9888483844241902"/>
  </r>
  <r>
    <x v="0"/>
    <x v="23"/>
    <x v="7"/>
    <x v="14"/>
    <s v="NO4_Offshore"/>
    <x v="5"/>
    <n v="10.7598541839271"/>
    <n v="2.9888483844241902"/>
  </r>
  <r>
    <x v="0"/>
    <x v="23"/>
    <x v="7"/>
    <x v="14"/>
    <s v="NO4_Offshore"/>
    <x v="6"/>
    <n v="29.476231795214598"/>
    <n v="8.1878421653373898"/>
  </r>
  <r>
    <x v="0"/>
    <x v="23"/>
    <x v="7"/>
    <x v="14"/>
    <s v="NO4_Offshore"/>
    <x v="7"/>
    <n v="57.838935220261199"/>
    <n v="16.066370894517"/>
  </r>
  <r>
    <x v="0"/>
    <x v="23"/>
    <x v="7"/>
    <x v="14"/>
    <s v="NO4_Offshore"/>
    <x v="8"/>
    <n v="57.838935220261199"/>
    <n v="16.066370894517"/>
  </r>
  <r>
    <x v="0"/>
    <x v="23"/>
    <x v="7"/>
    <x v="14"/>
    <s v="NO4_Offshore"/>
    <x v="9"/>
    <n v="47.978366197183199"/>
    <n v="13.327323943662"/>
  </r>
  <r>
    <x v="0"/>
    <x v="23"/>
    <x v="7"/>
    <x v="14"/>
    <s v="NO4_Offshore"/>
    <x v="10"/>
    <n v="63.1479966859984"/>
    <n v="17.541110190555099"/>
  </r>
  <r>
    <x v="0"/>
    <x v="23"/>
    <x v="7"/>
    <x v="14"/>
    <s v="NO4_Offshore"/>
    <x v="11"/>
    <n v="5.9972957746478999"/>
    <n v="1.66591549295775"/>
  </r>
  <r>
    <x v="0"/>
    <x v="23"/>
    <x v="7"/>
    <x v="14"/>
    <s v="NO4_Offshore"/>
    <x v="12"/>
    <n v="9.7995028997514597E-2"/>
    <n v="2.72208413881985E-2"/>
  </r>
  <r>
    <x v="0"/>
    <x v="23"/>
    <x v="7"/>
    <x v="14"/>
    <s v="NO4_Offshore"/>
    <x v="13"/>
    <n v="26.987830985915501"/>
    <n v="7.4966197183098604"/>
  </r>
  <r>
    <x v="0"/>
    <x v="23"/>
    <x v="7"/>
    <x v="14"/>
    <s v="NO4_Offshore"/>
    <x v="14"/>
    <n v="26.987830985915501"/>
    <n v="7.4966197183098604"/>
  </r>
  <r>
    <x v="0"/>
    <x v="23"/>
    <x v="7"/>
    <x v="14"/>
    <s v="NO4_Offshore"/>
    <x v="15"/>
    <n v="1.65807589063794"/>
    <n v="0.46057663628831802"/>
  </r>
  <r>
    <x v="0"/>
    <x v="23"/>
    <x v="7"/>
    <x v="14"/>
    <s v="NO4_Offshore"/>
    <x v="16"/>
    <n v="6.6307647887493104"/>
    <n v="1.84187910798592"/>
  </r>
  <r>
    <x v="0"/>
    <x v="23"/>
    <x v="7"/>
    <x v="14"/>
    <s v="NO4_Offshore"/>
    <x v="17"/>
    <n v="9.1244895875632395"/>
    <n v="2.5345804409897901"/>
  </r>
  <r>
    <x v="0"/>
    <x v="23"/>
    <x v="7"/>
    <x v="14"/>
    <s v="NO4_Offshore"/>
    <x v="18"/>
    <n v="26.987830985915501"/>
    <n v="7.4966197183098604"/>
  </r>
  <r>
    <x v="0"/>
    <x v="23"/>
    <x v="7"/>
    <x v="14"/>
    <s v="NO4_Offshore"/>
    <x v="19"/>
    <n v="8.1139884009941898"/>
    <n v="2.2538856669428302"/>
  </r>
  <r>
    <x v="0"/>
    <x v="23"/>
    <x v="7"/>
    <x v="14"/>
    <s v="NO4_Offshore"/>
    <x v="20"/>
    <n v="21.7877183939536"/>
    <n v="6.0521439983204397"/>
  </r>
  <r>
    <x v="0"/>
    <x v="23"/>
    <x v="7"/>
    <x v="14"/>
    <s v="NO4_Offshore"/>
    <x v="21"/>
    <n v="48.24"/>
    <n v="13.4"/>
  </r>
  <r>
    <x v="0"/>
    <x v="23"/>
    <x v="7"/>
    <x v="14"/>
    <s v="NO4_Offshore"/>
    <x v="22"/>
    <n v="67.680000000000007"/>
    <n v="18.8"/>
  </r>
  <r>
    <x v="0"/>
    <x v="23"/>
    <x v="7"/>
    <x v="14"/>
    <s v="NO4_Offshore"/>
    <x v="23"/>
    <n v="0.31515896120488701"/>
    <n v="8.7544155890246306E-2"/>
  </r>
  <r>
    <x v="0"/>
    <x v="23"/>
    <x v="7"/>
    <x v="14"/>
    <s v="NO4_Offshore"/>
    <x v="24"/>
    <n v="19.174223581093901"/>
    <n v="5.32617321697054"/>
  </r>
  <r>
    <x v="0"/>
    <x v="23"/>
    <x v="7"/>
    <x v="14"/>
    <s v="NO4_Offshore"/>
    <x v="25"/>
    <n v="25.6652953012922"/>
    <n v="7.1292486948033904"/>
  </r>
  <r>
    <x v="0"/>
    <x v="23"/>
    <x v="7"/>
    <x v="14"/>
    <s v="NO4_Offshore"/>
    <x v="26"/>
    <n v="32.971098611263102"/>
    <n v="9.1586385031286301"/>
  </r>
  <r>
    <x v="0"/>
    <x v="23"/>
    <x v="7"/>
    <x v="14"/>
    <s v="NO4_Offshore"/>
    <x v="27"/>
    <n v="20.163995508318798"/>
    <n v="5.6011098634218799"/>
  </r>
  <r>
    <x v="0"/>
    <x v="23"/>
    <x v="7"/>
    <x v="15"/>
    <s v="NO5_A1"/>
    <x v="1"/>
    <n v="35.989199999999997"/>
    <n v="9.9969999999999999"/>
  </r>
  <r>
    <x v="0"/>
    <x v="23"/>
    <x v="7"/>
    <x v="15"/>
    <s v="NO5_A1"/>
    <x v="2"/>
    <n v="46.08"/>
    <n v="12.8"/>
  </r>
  <r>
    <x v="0"/>
    <x v="23"/>
    <x v="7"/>
    <x v="15"/>
    <s v="NO5_A1"/>
    <x v="0"/>
    <n v="42.692399999999999"/>
    <n v="11.859"/>
  </r>
  <r>
    <x v="0"/>
    <x v="23"/>
    <x v="7"/>
    <x v="15"/>
    <s v="NO5_A1"/>
    <x v="3"/>
    <n v="51.633543144067197"/>
    <n v="14.342650873352"/>
  </r>
  <r>
    <x v="0"/>
    <x v="23"/>
    <x v="7"/>
    <x v="15"/>
    <s v="NO5_A1"/>
    <x v="4"/>
    <n v="10.7598541839271"/>
    <n v="2.9888483844241902"/>
  </r>
  <r>
    <x v="0"/>
    <x v="23"/>
    <x v="7"/>
    <x v="15"/>
    <s v="NO5_A1"/>
    <x v="5"/>
    <n v="10.7598541839271"/>
    <n v="2.9888483844241902"/>
  </r>
  <r>
    <x v="0"/>
    <x v="23"/>
    <x v="7"/>
    <x v="15"/>
    <s v="NO5_A1"/>
    <x v="6"/>
    <n v="29.476231795214598"/>
    <n v="8.1878421653373898"/>
  </r>
  <r>
    <x v="0"/>
    <x v="23"/>
    <x v="7"/>
    <x v="15"/>
    <s v="NO5_A1"/>
    <x v="7"/>
    <n v="57.838935220261199"/>
    <n v="16.066370894517"/>
  </r>
  <r>
    <x v="0"/>
    <x v="23"/>
    <x v="7"/>
    <x v="15"/>
    <s v="NO5_A1"/>
    <x v="8"/>
    <n v="57.838935220261199"/>
    <n v="16.066370894517"/>
  </r>
  <r>
    <x v="0"/>
    <x v="23"/>
    <x v="7"/>
    <x v="15"/>
    <s v="NO5_A1"/>
    <x v="9"/>
    <n v="47.978366197183199"/>
    <n v="13.327323943662"/>
  </r>
  <r>
    <x v="0"/>
    <x v="23"/>
    <x v="7"/>
    <x v="15"/>
    <s v="NO5_A1"/>
    <x v="10"/>
    <n v="63.1479966859984"/>
    <n v="17.541110190555099"/>
  </r>
  <r>
    <x v="0"/>
    <x v="23"/>
    <x v="7"/>
    <x v="15"/>
    <s v="NO5_A1"/>
    <x v="11"/>
    <n v="5.9972957746478999"/>
    <n v="1.66591549295775"/>
  </r>
  <r>
    <x v="0"/>
    <x v="23"/>
    <x v="7"/>
    <x v="15"/>
    <s v="NO5_A1"/>
    <x v="12"/>
    <n v="9.7995028997514597E-2"/>
    <n v="2.72208413881985E-2"/>
  </r>
  <r>
    <x v="0"/>
    <x v="23"/>
    <x v="7"/>
    <x v="15"/>
    <s v="NO5_A1"/>
    <x v="13"/>
    <n v="26.987830985915501"/>
    <n v="7.4966197183098604"/>
  </r>
  <r>
    <x v="0"/>
    <x v="23"/>
    <x v="7"/>
    <x v="15"/>
    <s v="NO5_A1"/>
    <x v="14"/>
    <n v="26.987830985915501"/>
    <n v="7.4966197183098604"/>
  </r>
  <r>
    <x v="0"/>
    <x v="23"/>
    <x v="7"/>
    <x v="15"/>
    <s v="NO5_A1"/>
    <x v="15"/>
    <n v="1.65807589063794"/>
    <n v="0.46057663628831802"/>
  </r>
  <r>
    <x v="0"/>
    <x v="23"/>
    <x v="7"/>
    <x v="15"/>
    <s v="NO5_A1"/>
    <x v="16"/>
    <n v="6.6307647887493104"/>
    <n v="1.84187910798592"/>
  </r>
  <r>
    <x v="0"/>
    <x v="23"/>
    <x v="7"/>
    <x v="15"/>
    <s v="NO5_A1"/>
    <x v="17"/>
    <n v="9.1244895875632395"/>
    <n v="2.5345804409897901"/>
  </r>
  <r>
    <x v="0"/>
    <x v="23"/>
    <x v="7"/>
    <x v="15"/>
    <s v="NO5_A1"/>
    <x v="18"/>
    <n v="26.987830985915501"/>
    <n v="7.4966197183098604"/>
  </r>
  <r>
    <x v="0"/>
    <x v="23"/>
    <x v="7"/>
    <x v="15"/>
    <s v="NO5_A1"/>
    <x v="19"/>
    <n v="8.1139884009941898"/>
    <n v="2.2538856669428302"/>
  </r>
  <r>
    <x v="0"/>
    <x v="23"/>
    <x v="7"/>
    <x v="15"/>
    <s v="NO5_A1"/>
    <x v="20"/>
    <n v="21.7877183939536"/>
    <n v="6.0521439983204397"/>
  </r>
  <r>
    <x v="0"/>
    <x v="23"/>
    <x v="7"/>
    <x v="15"/>
    <s v="NO5_A1"/>
    <x v="21"/>
    <n v="48.24"/>
    <n v="13.4"/>
  </r>
  <r>
    <x v="0"/>
    <x v="23"/>
    <x v="7"/>
    <x v="15"/>
    <s v="NO5_A1"/>
    <x v="22"/>
    <n v="67.680000000000007"/>
    <n v="18.8"/>
  </r>
  <r>
    <x v="0"/>
    <x v="23"/>
    <x v="7"/>
    <x v="15"/>
    <s v="NO5_A1"/>
    <x v="23"/>
    <n v="0.31515896120488701"/>
    <n v="8.7544155890246306E-2"/>
  </r>
  <r>
    <x v="0"/>
    <x v="23"/>
    <x v="7"/>
    <x v="15"/>
    <s v="NO5_A1"/>
    <x v="24"/>
    <n v="19.174223581093901"/>
    <n v="5.32617321697054"/>
  </r>
  <r>
    <x v="0"/>
    <x v="23"/>
    <x v="7"/>
    <x v="15"/>
    <s v="NO5_A1"/>
    <x v="25"/>
    <n v="25.6652953012922"/>
    <n v="7.1292486948033904"/>
  </r>
  <r>
    <x v="0"/>
    <x v="23"/>
    <x v="7"/>
    <x v="15"/>
    <s v="NO5_A1"/>
    <x v="26"/>
    <n v="32.971098611263102"/>
    <n v="9.1586385031286301"/>
  </r>
  <r>
    <x v="0"/>
    <x v="23"/>
    <x v="7"/>
    <x v="15"/>
    <s v="NO5_A1"/>
    <x v="27"/>
    <n v="20.163995508318798"/>
    <n v="5.6011098634218799"/>
  </r>
  <r>
    <x v="0"/>
    <x v="23"/>
    <x v="7"/>
    <x v="15"/>
    <s v="NO5_A2"/>
    <x v="1"/>
    <n v="35.989199999999997"/>
    <n v="9.9969999999999999"/>
  </r>
  <r>
    <x v="0"/>
    <x v="23"/>
    <x v="7"/>
    <x v="15"/>
    <s v="NO5_A2"/>
    <x v="2"/>
    <n v="46.08"/>
    <n v="12.8"/>
  </r>
  <r>
    <x v="0"/>
    <x v="23"/>
    <x v="7"/>
    <x v="15"/>
    <s v="NO5_A2"/>
    <x v="0"/>
    <n v="42.692399999999999"/>
    <n v="11.859"/>
  </r>
  <r>
    <x v="0"/>
    <x v="23"/>
    <x v="7"/>
    <x v="15"/>
    <s v="NO5_A2"/>
    <x v="3"/>
    <n v="51.633543144067197"/>
    <n v="14.342650873352"/>
  </r>
  <r>
    <x v="0"/>
    <x v="23"/>
    <x v="7"/>
    <x v="15"/>
    <s v="NO5_A2"/>
    <x v="4"/>
    <n v="10.7598541839271"/>
    <n v="2.9888483844241902"/>
  </r>
  <r>
    <x v="0"/>
    <x v="23"/>
    <x v="7"/>
    <x v="15"/>
    <s v="NO5_A2"/>
    <x v="5"/>
    <n v="10.7598541839271"/>
    <n v="2.9888483844241902"/>
  </r>
  <r>
    <x v="0"/>
    <x v="23"/>
    <x v="7"/>
    <x v="15"/>
    <s v="NO5_A2"/>
    <x v="6"/>
    <n v="29.476231795214598"/>
    <n v="8.1878421653373898"/>
  </r>
  <r>
    <x v="0"/>
    <x v="23"/>
    <x v="7"/>
    <x v="15"/>
    <s v="NO5_A2"/>
    <x v="7"/>
    <n v="57.838935220261199"/>
    <n v="16.066370894517"/>
  </r>
  <r>
    <x v="0"/>
    <x v="23"/>
    <x v="7"/>
    <x v="15"/>
    <s v="NO5_A2"/>
    <x v="8"/>
    <n v="57.838935220261199"/>
    <n v="16.066370894517"/>
  </r>
  <r>
    <x v="0"/>
    <x v="23"/>
    <x v="7"/>
    <x v="15"/>
    <s v="NO5_A2"/>
    <x v="9"/>
    <n v="47.978366197183199"/>
    <n v="13.327323943662"/>
  </r>
  <r>
    <x v="0"/>
    <x v="23"/>
    <x v="7"/>
    <x v="15"/>
    <s v="NO5_A2"/>
    <x v="10"/>
    <n v="63.1479966859984"/>
    <n v="17.541110190555099"/>
  </r>
  <r>
    <x v="0"/>
    <x v="23"/>
    <x v="7"/>
    <x v="15"/>
    <s v="NO5_A2"/>
    <x v="11"/>
    <n v="5.9972957746478999"/>
    <n v="1.66591549295775"/>
  </r>
  <r>
    <x v="0"/>
    <x v="23"/>
    <x v="7"/>
    <x v="15"/>
    <s v="NO5_A2"/>
    <x v="12"/>
    <n v="9.7995028997514597E-2"/>
    <n v="2.72208413881985E-2"/>
  </r>
  <r>
    <x v="0"/>
    <x v="23"/>
    <x v="7"/>
    <x v="15"/>
    <s v="NO5_A2"/>
    <x v="13"/>
    <n v="26.987830985915501"/>
    <n v="7.4966197183098604"/>
  </r>
  <r>
    <x v="0"/>
    <x v="23"/>
    <x v="7"/>
    <x v="15"/>
    <s v="NO5_A2"/>
    <x v="14"/>
    <n v="26.987830985915501"/>
    <n v="7.4966197183098604"/>
  </r>
  <r>
    <x v="0"/>
    <x v="23"/>
    <x v="7"/>
    <x v="15"/>
    <s v="NO5_A2"/>
    <x v="15"/>
    <n v="1.65807589063794"/>
    <n v="0.46057663628831802"/>
  </r>
  <r>
    <x v="0"/>
    <x v="23"/>
    <x v="7"/>
    <x v="15"/>
    <s v="NO5_A2"/>
    <x v="16"/>
    <n v="6.6307647887493104"/>
    <n v="1.84187910798592"/>
  </r>
  <r>
    <x v="0"/>
    <x v="23"/>
    <x v="7"/>
    <x v="15"/>
    <s v="NO5_A2"/>
    <x v="17"/>
    <n v="9.1244895875632395"/>
    <n v="2.5345804409897901"/>
  </r>
  <r>
    <x v="0"/>
    <x v="23"/>
    <x v="7"/>
    <x v="15"/>
    <s v="NO5_A2"/>
    <x v="18"/>
    <n v="26.987830985915501"/>
    <n v="7.4966197183098604"/>
  </r>
  <r>
    <x v="0"/>
    <x v="23"/>
    <x v="7"/>
    <x v="15"/>
    <s v="NO5_A2"/>
    <x v="19"/>
    <n v="8.1139884009941898"/>
    <n v="2.2538856669428302"/>
  </r>
  <r>
    <x v="0"/>
    <x v="23"/>
    <x v="7"/>
    <x v="15"/>
    <s v="NO5_A2"/>
    <x v="20"/>
    <n v="21.7877183939536"/>
    <n v="6.0521439983204397"/>
  </r>
  <r>
    <x v="0"/>
    <x v="23"/>
    <x v="7"/>
    <x v="15"/>
    <s v="NO5_A2"/>
    <x v="21"/>
    <n v="48.24"/>
    <n v="13.4"/>
  </r>
  <r>
    <x v="0"/>
    <x v="23"/>
    <x v="7"/>
    <x v="15"/>
    <s v="NO5_A2"/>
    <x v="22"/>
    <n v="67.680000000000007"/>
    <n v="18.8"/>
  </r>
  <r>
    <x v="0"/>
    <x v="23"/>
    <x v="7"/>
    <x v="15"/>
    <s v="NO5_A2"/>
    <x v="23"/>
    <n v="0.31515896120488701"/>
    <n v="8.7544155890246306E-2"/>
  </r>
  <r>
    <x v="0"/>
    <x v="23"/>
    <x v="7"/>
    <x v="15"/>
    <s v="NO5_A2"/>
    <x v="24"/>
    <n v="19.174223581093901"/>
    <n v="5.32617321697054"/>
  </r>
  <r>
    <x v="0"/>
    <x v="23"/>
    <x v="7"/>
    <x v="15"/>
    <s v="NO5_A2"/>
    <x v="25"/>
    <n v="25.6652953012922"/>
    <n v="7.1292486948033904"/>
  </r>
  <r>
    <x v="0"/>
    <x v="23"/>
    <x v="7"/>
    <x v="15"/>
    <s v="NO5_A2"/>
    <x v="26"/>
    <n v="32.971098611263102"/>
    <n v="9.1586385031286301"/>
  </r>
  <r>
    <x v="0"/>
    <x v="23"/>
    <x v="7"/>
    <x v="15"/>
    <s v="NO5_A2"/>
    <x v="27"/>
    <n v="20.163995508318798"/>
    <n v="5.6011098634218799"/>
  </r>
  <r>
    <x v="0"/>
    <x v="23"/>
    <x v="7"/>
    <x v="15"/>
    <s v="NO5_Offshore"/>
    <x v="1"/>
    <n v="35.989199999999997"/>
    <n v="9.9969999999999999"/>
  </r>
  <r>
    <x v="0"/>
    <x v="23"/>
    <x v="7"/>
    <x v="15"/>
    <s v="NO5_Offshore"/>
    <x v="2"/>
    <n v="46.08"/>
    <n v="12.8"/>
  </r>
  <r>
    <x v="0"/>
    <x v="23"/>
    <x v="7"/>
    <x v="15"/>
    <s v="NO5_Offshore"/>
    <x v="0"/>
    <n v="42.692399999999999"/>
    <n v="11.859"/>
  </r>
  <r>
    <x v="0"/>
    <x v="23"/>
    <x v="7"/>
    <x v="15"/>
    <s v="NO5_Offshore"/>
    <x v="3"/>
    <n v="51.633543144067197"/>
    <n v="14.342650873352"/>
  </r>
  <r>
    <x v="0"/>
    <x v="23"/>
    <x v="7"/>
    <x v="15"/>
    <s v="NO5_Offshore"/>
    <x v="4"/>
    <n v="10.7598541839271"/>
    <n v="2.9888483844241902"/>
  </r>
  <r>
    <x v="0"/>
    <x v="23"/>
    <x v="7"/>
    <x v="15"/>
    <s v="NO5_Offshore"/>
    <x v="5"/>
    <n v="10.7598541839271"/>
    <n v="2.9888483844241902"/>
  </r>
  <r>
    <x v="0"/>
    <x v="23"/>
    <x v="7"/>
    <x v="15"/>
    <s v="NO5_Offshore"/>
    <x v="6"/>
    <n v="29.476231795214598"/>
    <n v="8.1878421653373898"/>
  </r>
  <r>
    <x v="0"/>
    <x v="23"/>
    <x v="7"/>
    <x v="15"/>
    <s v="NO5_Offshore"/>
    <x v="7"/>
    <n v="57.838935220261199"/>
    <n v="16.066370894517"/>
  </r>
  <r>
    <x v="0"/>
    <x v="23"/>
    <x v="7"/>
    <x v="15"/>
    <s v="NO5_Offshore"/>
    <x v="8"/>
    <n v="57.838935220261199"/>
    <n v="16.066370894517"/>
  </r>
  <r>
    <x v="0"/>
    <x v="23"/>
    <x v="7"/>
    <x v="15"/>
    <s v="NO5_Offshore"/>
    <x v="9"/>
    <n v="47.978366197183199"/>
    <n v="13.327323943662"/>
  </r>
  <r>
    <x v="0"/>
    <x v="23"/>
    <x v="7"/>
    <x v="15"/>
    <s v="NO5_Offshore"/>
    <x v="10"/>
    <n v="63.1479966859984"/>
    <n v="17.541110190555099"/>
  </r>
  <r>
    <x v="0"/>
    <x v="23"/>
    <x v="7"/>
    <x v="15"/>
    <s v="NO5_Offshore"/>
    <x v="11"/>
    <n v="5.9972957746478999"/>
    <n v="1.66591549295775"/>
  </r>
  <r>
    <x v="0"/>
    <x v="23"/>
    <x v="7"/>
    <x v="15"/>
    <s v="NO5_Offshore"/>
    <x v="12"/>
    <n v="9.7995028997514597E-2"/>
    <n v="2.72208413881985E-2"/>
  </r>
  <r>
    <x v="0"/>
    <x v="23"/>
    <x v="7"/>
    <x v="15"/>
    <s v="NO5_Offshore"/>
    <x v="13"/>
    <n v="26.987830985915501"/>
    <n v="7.4966197183098604"/>
  </r>
  <r>
    <x v="0"/>
    <x v="23"/>
    <x v="7"/>
    <x v="15"/>
    <s v="NO5_Offshore"/>
    <x v="14"/>
    <n v="26.987830985915501"/>
    <n v="7.4966197183098604"/>
  </r>
  <r>
    <x v="0"/>
    <x v="23"/>
    <x v="7"/>
    <x v="15"/>
    <s v="NO5_Offshore"/>
    <x v="15"/>
    <n v="1.65807589063794"/>
    <n v="0.46057663628831802"/>
  </r>
  <r>
    <x v="0"/>
    <x v="23"/>
    <x v="7"/>
    <x v="15"/>
    <s v="NO5_Offshore"/>
    <x v="16"/>
    <n v="6.6307647887493104"/>
    <n v="1.84187910798592"/>
  </r>
  <r>
    <x v="0"/>
    <x v="23"/>
    <x v="7"/>
    <x v="15"/>
    <s v="NO5_Offshore"/>
    <x v="17"/>
    <n v="9.1244895875632395"/>
    <n v="2.5345804409897901"/>
  </r>
  <r>
    <x v="0"/>
    <x v="23"/>
    <x v="7"/>
    <x v="15"/>
    <s v="NO5_Offshore"/>
    <x v="18"/>
    <n v="26.987830985915501"/>
    <n v="7.4966197183098604"/>
  </r>
  <r>
    <x v="0"/>
    <x v="23"/>
    <x v="7"/>
    <x v="15"/>
    <s v="NO5_Offshore"/>
    <x v="19"/>
    <n v="8.1139884009941898"/>
    <n v="2.2538856669428302"/>
  </r>
  <r>
    <x v="0"/>
    <x v="23"/>
    <x v="7"/>
    <x v="15"/>
    <s v="NO5_Offshore"/>
    <x v="20"/>
    <n v="21.7877183939536"/>
    <n v="6.0521439983204397"/>
  </r>
  <r>
    <x v="0"/>
    <x v="23"/>
    <x v="7"/>
    <x v="15"/>
    <s v="NO5_Offshore"/>
    <x v="21"/>
    <n v="48.24"/>
    <n v="13.4"/>
  </r>
  <r>
    <x v="0"/>
    <x v="23"/>
    <x v="7"/>
    <x v="15"/>
    <s v="NO5_Offshore"/>
    <x v="22"/>
    <n v="67.680000000000007"/>
    <n v="18.8"/>
  </r>
  <r>
    <x v="0"/>
    <x v="23"/>
    <x v="7"/>
    <x v="15"/>
    <s v="NO5_Offshore"/>
    <x v="23"/>
    <n v="0.31515896120488701"/>
    <n v="8.7544155890246306E-2"/>
  </r>
  <r>
    <x v="0"/>
    <x v="23"/>
    <x v="7"/>
    <x v="15"/>
    <s v="NO5_Offshore"/>
    <x v="24"/>
    <n v="19.174223581093901"/>
    <n v="5.32617321697054"/>
  </r>
  <r>
    <x v="0"/>
    <x v="23"/>
    <x v="7"/>
    <x v="15"/>
    <s v="NO5_Offshore"/>
    <x v="25"/>
    <n v="25.6652953012922"/>
    <n v="7.1292486948033904"/>
  </r>
  <r>
    <x v="0"/>
    <x v="23"/>
    <x v="7"/>
    <x v="15"/>
    <s v="NO5_Offshore"/>
    <x v="26"/>
    <n v="32.971098611263102"/>
    <n v="9.1586385031286301"/>
  </r>
  <r>
    <x v="0"/>
    <x v="23"/>
    <x v="7"/>
    <x v="15"/>
    <s v="NO5_Offshore"/>
    <x v="27"/>
    <n v="20.163995508318798"/>
    <n v="5.6011098634218799"/>
  </r>
  <r>
    <x v="0"/>
    <x v="23"/>
    <x v="8"/>
    <x v="16"/>
    <s v="PL_A"/>
    <x v="1"/>
    <n v="35.989199999999997"/>
    <n v="9.9969999999999999"/>
  </r>
  <r>
    <x v="0"/>
    <x v="23"/>
    <x v="8"/>
    <x v="16"/>
    <s v="PL_A"/>
    <x v="2"/>
    <n v="46.08"/>
    <n v="12.8"/>
  </r>
  <r>
    <x v="0"/>
    <x v="23"/>
    <x v="8"/>
    <x v="16"/>
    <s v="PL_A"/>
    <x v="0"/>
    <n v="42.692399999999999"/>
    <n v="11.859"/>
  </r>
  <r>
    <x v="0"/>
    <x v="23"/>
    <x v="8"/>
    <x v="16"/>
    <s v="PL_A"/>
    <x v="3"/>
    <n v="51.633543144067197"/>
    <n v="14.342650873352"/>
  </r>
  <r>
    <x v="0"/>
    <x v="23"/>
    <x v="8"/>
    <x v="16"/>
    <s v="PL_A"/>
    <x v="4"/>
    <n v="10.7598541839271"/>
    <n v="2.9888483844241902"/>
  </r>
  <r>
    <x v="0"/>
    <x v="23"/>
    <x v="8"/>
    <x v="16"/>
    <s v="PL_A"/>
    <x v="5"/>
    <n v="10.7598541839271"/>
    <n v="2.9888483844241902"/>
  </r>
  <r>
    <x v="0"/>
    <x v="23"/>
    <x v="8"/>
    <x v="16"/>
    <s v="PL_A"/>
    <x v="6"/>
    <n v="29.476231795214598"/>
    <n v="8.1878421653373898"/>
  </r>
  <r>
    <x v="0"/>
    <x v="23"/>
    <x v="8"/>
    <x v="16"/>
    <s v="PL_A"/>
    <x v="7"/>
    <n v="57.838935220261199"/>
    <n v="16.066370894517"/>
  </r>
  <r>
    <x v="0"/>
    <x v="23"/>
    <x v="8"/>
    <x v="16"/>
    <s v="PL_A"/>
    <x v="8"/>
    <n v="57.838935220261199"/>
    <n v="16.066370894517"/>
  </r>
  <r>
    <x v="0"/>
    <x v="23"/>
    <x v="8"/>
    <x v="16"/>
    <s v="PL_A"/>
    <x v="9"/>
    <n v="47.978366197183199"/>
    <n v="13.327323943662"/>
  </r>
  <r>
    <x v="0"/>
    <x v="23"/>
    <x v="8"/>
    <x v="16"/>
    <s v="PL_A"/>
    <x v="10"/>
    <n v="63.1479966859984"/>
    <n v="17.541110190555099"/>
  </r>
  <r>
    <x v="0"/>
    <x v="23"/>
    <x v="8"/>
    <x v="16"/>
    <s v="PL_A"/>
    <x v="11"/>
    <n v="5.9972957746478999"/>
    <n v="1.66591549295775"/>
  </r>
  <r>
    <x v="0"/>
    <x v="23"/>
    <x v="8"/>
    <x v="16"/>
    <s v="PL_A"/>
    <x v="12"/>
    <n v="9.7995028997514597E-2"/>
    <n v="2.72208413881985E-2"/>
  </r>
  <r>
    <x v="0"/>
    <x v="23"/>
    <x v="8"/>
    <x v="16"/>
    <s v="PL_A"/>
    <x v="13"/>
    <n v="26.987830985915501"/>
    <n v="7.4966197183098604"/>
  </r>
  <r>
    <x v="0"/>
    <x v="23"/>
    <x v="8"/>
    <x v="16"/>
    <s v="PL_A"/>
    <x v="14"/>
    <n v="26.987830985915501"/>
    <n v="7.4966197183098604"/>
  </r>
  <r>
    <x v="0"/>
    <x v="23"/>
    <x v="8"/>
    <x v="16"/>
    <s v="PL_A"/>
    <x v="15"/>
    <n v="1.65807589063794"/>
    <n v="0.46057663628831802"/>
  </r>
  <r>
    <x v="0"/>
    <x v="23"/>
    <x v="8"/>
    <x v="16"/>
    <s v="PL_A"/>
    <x v="16"/>
    <n v="6.6307647887493104"/>
    <n v="1.84187910798592"/>
  </r>
  <r>
    <x v="0"/>
    <x v="23"/>
    <x v="8"/>
    <x v="16"/>
    <s v="PL_A"/>
    <x v="17"/>
    <n v="9.1244895875632395"/>
    <n v="2.5345804409897901"/>
  </r>
  <r>
    <x v="0"/>
    <x v="23"/>
    <x v="8"/>
    <x v="16"/>
    <s v="PL_A"/>
    <x v="18"/>
    <n v="26.987830985915501"/>
    <n v="7.4966197183098604"/>
  </r>
  <r>
    <x v="0"/>
    <x v="23"/>
    <x v="8"/>
    <x v="16"/>
    <s v="PL_A"/>
    <x v="19"/>
    <n v="8.1139884009941898"/>
    <n v="2.2538856669428302"/>
  </r>
  <r>
    <x v="0"/>
    <x v="23"/>
    <x v="8"/>
    <x v="16"/>
    <s v="PL_A"/>
    <x v="20"/>
    <n v="21.7877183939536"/>
    <n v="6.0521439983204397"/>
  </r>
  <r>
    <x v="0"/>
    <x v="23"/>
    <x v="8"/>
    <x v="16"/>
    <s v="PL_A"/>
    <x v="21"/>
    <n v="48.24"/>
    <n v="13.4"/>
  </r>
  <r>
    <x v="0"/>
    <x v="23"/>
    <x v="8"/>
    <x v="16"/>
    <s v="PL_A"/>
    <x v="22"/>
    <n v="67.680000000000007"/>
    <n v="18.8"/>
  </r>
  <r>
    <x v="0"/>
    <x v="23"/>
    <x v="8"/>
    <x v="16"/>
    <s v="PL_A"/>
    <x v="23"/>
    <n v="0.31515896120488701"/>
    <n v="8.7544155890246306E-2"/>
  </r>
  <r>
    <x v="0"/>
    <x v="23"/>
    <x v="8"/>
    <x v="16"/>
    <s v="PL_A"/>
    <x v="24"/>
    <n v="19.174223581093901"/>
    <n v="5.32617321697054"/>
  </r>
  <r>
    <x v="0"/>
    <x v="23"/>
    <x v="8"/>
    <x v="16"/>
    <s v="PL_A"/>
    <x v="25"/>
    <n v="25.6652953012922"/>
    <n v="7.1292486948033904"/>
  </r>
  <r>
    <x v="0"/>
    <x v="23"/>
    <x v="8"/>
    <x v="16"/>
    <s v="PL_A"/>
    <x v="26"/>
    <n v="32.971098611263102"/>
    <n v="9.1586385031286301"/>
  </r>
  <r>
    <x v="0"/>
    <x v="23"/>
    <x v="8"/>
    <x v="16"/>
    <s v="PL_A"/>
    <x v="27"/>
    <n v="20.163995508318798"/>
    <n v="5.6011098634218799"/>
  </r>
  <r>
    <x v="0"/>
    <x v="23"/>
    <x v="8"/>
    <x v="16"/>
    <s v="PL_OFFSHORE"/>
    <x v="1"/>
    <n v="35.989199999999997"/>
    <n v="9.9969999999999999"/>
  </r>
  <r>
    <x v="0"/>
    <x v="23"/>
    <x v="8"/>
    <x v="16"/>
    <s v="PL_OFFSHORE"/>
    <x v="2"/>
    <n v="46.08"/>
    <n v="12.8"/>
  </r>
  <r>
    <x v="0"/>
    <x v="23"/>
    <x v="8"/>
    <x v="16"/>
    <s v="PL_OFFSHORE"/>
    <x v="0"/>
    <n v="42.692399999999999"/>
    <n v="11.859"/>
  </r>
  <r>
    <x v="0"/>
    <x v="23"/>
    <x v="8"/>
    <x v="16"/>
    <s v="PL_OFFSHORE"/>
    <x v="3"/>
    <n v="51.633543144067197"/>
    <n v="14.342650873352"/>
  </r>
  <r>
    <x v="0"/>
    <x v="23"/>
    <x v="8"/>
    <x v="16"/>
    <s v="PL_OFFSHORE"/>
    <x v="4"/>
    <n v="10.7598541839271"/>
    <n v="2.9888483844241902"/>
  </r>
  <r>
    <x v="0"/>
    <x v="23"/>
    <x v="8"/>
    <x v="16"/>
    <s v="PL_OFFSHORE"/>
    <x v="5"/>
    <n v="10.7598541839271"/>
    <n v="2.9888483844241902"/>
  </r>
  <r>
    <x v="0"/>
    <x v="23"/>
    <x v="8"/>
    <x v="16"/>
    <s v="PL_OFFSHORE"/>
    <x v="6"/>
    <n v="29.476231795214598"/>
    <n v="8.1878421653373898"/>
  </r>
  <r>
    <x v="0"/>
    <x v="23"/>
    <x v="8"/>
    <x v="16"/>
    <s v="PL_OFFSHORE"/>
    <x v="7"/>
    <n v="57.838935220261199"/>
    <n v="16.066370894517"/>
  </r>
  <r>
    <x v="0"/>
    <x v="23"/>
    <x v="8"/>
    <x v="16"/>
    <s v="PL_OFFSHORE"/>
    <x v="8"/>
    <n v="57.838935220261199"/>
    <n v="16.066370894517"/>
  </r>
  <r>
    <x v="0"/>
    <x v="23"/>
    <x v="8"/>
    <x v="16"/>
    <s v="PL_OFFSHORE"/>
    <x v="9"/>
    <n v="47.978366197183199"/>
    <n v="13.327323943662"/>
  </r>
  <r>
    <x v="0"/>
    <x v="23"/>
    <x v="8"/>
    <x v="16"/>
    <s v="PL_OFFSHORE"/>
    <x v="10"/>
    <n v="63.1479966859984"/>
    <n v="17.541110190555099"/>
  </r>
  <r>
    <x v="0"/>
    <x v="23"/>
    <x v="8"/>
    <x v="16"/>
    <s v="PL_OFFSHORE"/>
    <x v="11"/>
    <n v="5.9972957746478999"/>
    <n v="1.66591549295775"/>
  </r>
  <r>
    <x v="0"/>
    <x v="23"/>
    <x v="8"/>
    <x v="16"/>
    <s v="PL_OFFSHORE"/>
    <x v="12"/>
    <n v="9.7995028997514597E-2"/>
    <n v="2.72208413881985E-2"/>
  </r>
  <r>
    <x v="0"/>
    <x v="23"/>
    <x v="8"/>
    <x v="16"/>
    <s v="PL_OFFSHORE"/>
    <x v="13"/>
    <n v="26.987830985915501"/>
    <n v="7.4966197183098604"/>
  </r>
  <r>
    <x v="0"/>
    <x v="23"/>
    <x v="8"/>
    <x v="16"/>
    <s v="PL_OFFSHORE"/>
    <x v="14"/>
    <n v="26.987830985915501"/>
    <n v="7.4966197183098604"/>
  </r>
  <r>
    <x v="0"/>
    <x v="23"/>
    <x v="8"/>
    <x v="16"/>
    <s v="PL_OFFSHORE"/>
    <x v="15"/>
    <n v="1.65807589063794"/>
    <n v="0.46057663628831802"/>
  </r>
  <r>
    <x v="0"/>
    <x v="23"/>
    <x v="8"/>
    <x v="16"/>
    <s v="PL_OFFSHORE"/>
    <x v="16"/>
    <n v="6.6307647887493104"/>
    <n v="1.84187910798592"/>
  </r>
  <r>
    <x v="0"/>
    <x v="23"/>
    <x v="8"/>
    <x v="16"/>
    <s v="PL_OFFSHORE"/>
    <x v="17"/>
    <n v="9.1244895875632395"/>
    <n v="2.5345804409897901"/>
  </r>
  <r>
    <x v="0"/>
    <x v="23"/>
    <x v="8"/>
    <x v="16"/>
    <s v="PL_OFFSHORE"/>
    <x v="18"/>
    <n v="26.987830985915501"/>
    <n v="7.4966197183098604"/>
  </r>
  <r>
    <x v="0"/>
    <x v="23"/>
    <x v="8"/>
    <x v="16"/>
    <s v="PL_OFFSHORE"/>
    <x v="19"/>
    <n v="8.1139884009941898"/>
    <n v="2.2538856669428302"/>
  </r>
  <r>
    <x v="0"/>
    <x v="23"/>
    <x v="8"/>
    <x v="16"/>
    <s v="PL_OFFSHORE"/>
    <x v="20"/>
    <n v="21.7877183939536"/>
    <n v="6.0521439983204397"/>
  </r>
  <r>
    <x v="0"/>
    <x v="23"/>
    <x v="8"/>
    <x v="16"/>
    <s v="PL_OFFSHORE"/>
    <x v="21"/>
    <n v="48.24"/>
    <n v="13.4"/>
  </r>
  <r>
    <x v="0"/>
    <x v="23"/>
    <x v="8"/>
    <x v="16"/>
    <s v="PL_OFFSHORE"/>
    <x v="22"/>
    <n v="67.680000000000007"/>
    <n v="18.8"/>
  </r>
  <r>
    <x v="0"/>
    <x v="23"/>
    <x v="8"/>
    <x v="16"/>
    <s v="PL_OFFSHORE"/>
    <x v="23"/>
    <n v="0.31515896120488701"/>
    <n v="8.7544155890246306E-2"/>
  </r>
  <r>
    <x v="0"/>
    <x v="23"/>
    <x v="8"/>
    <x v="16"/>
    <s v="PL_OFFSHORE"/>
    <x v="24"/>
    <n v="19.174223581093901"/>
    <n v="5.32617321697054"/>
  </r>
  <r>
    <x v="0"/>
    <x v="23"/>
    <x v="8"/>
    <x v="16"/>
    <s v="PL_OFFSHORE"/>
    <x v="25"/>
    <n v="25.6652953012922"/>
    <n v="7.1292486948033904"/>
  </r>
  <r>
    <x v="0"/>
    <x v="23"/>
    <x v="8"/>
    <x v="16"/>
    <s v="PL_OFFSHORE"/>
    <x v="26"/>
    <n v="32.971098611263102"/>
    <n v="9.1586385031286301"/>
  </r>
  <r>
    <x v="0"/>
    <x v="23"/>
    <x v="8"/>
    <x v="16"/>
    <s v="PL_OFFSHORE"/>
    <x v="27"/>
    <n v="20.163995508318798"/>
    <n v="5.6011098634218799"/>
  </r>
  <r>
    <x v="0"/>
    <x v="23"/>
    <x v="8"/>
    <x v="16"/>
    <s v="PL_Rural"/>
    <x v="1"/>
    <n v="35.989199999999997"/>
    <n v="9.9969999999999999"/>
  </r>
  <r>
    <x v="0"/>
    <x v="23"/>
    <x v="8"/>
    <x v="16"/>
    <s v="PL_Rural"/>
    <x v="2"/>
    <n v="46.08"/>
    <n v="12.8"/>
  </r>
  <r>
    <x v="0"/>
    <x v="23"/>
    <x v="8"/>
    <x v="16"/>
    <s v="PL_Rural"/>
    <x v="0"/>
    <n v="42.692399999999999"/>
    <n v="11.859"/>
  </r>
  <r>
    <x v="0"/>
    <x v="23"/>
    <x v="8"/>
    <x v="16"/>
    <s v="PL_Rural"/>
    <x v="3"/>
    <n v="51.633543144067197"/>
    <n v="14.342650873352"/>
  </r>
  <r>
    <x v="0"/>
    <x v="23"/>
    <x v="8"/>
    <x v="16"/>
    <s v="PL_Rural"/>
    <x v="4"/>
    <n v="10.7598541839271"/>
    <n v="2.9888483844241902"/>
  </r>
  <r>
    <x v="0"/>
    <x v="23"/>
    <x v="8"/>
    <x v="16"/>
    <s v="PL_Rural"/>
    <x v="5"/>
    <n v="10.7598541839271"/>
    <n v="2.9888483844241902"/>
  </r>
  <r>
    <x v="0"/>
    <x v="23"/>
    <x v="8"/>
    <x v="16"/>
    <s v="PL_Rural"/>
    <x v="6"/>
    <n v="29.476231795214598"/>
    <n v="8.1878421653373898"/>
  </r>
  <r>
    <x v="0"/>
    <x v="23"/>
    <x v="8"/>
    <x v="16"/>
    <s v="PL_Rural"/>
    <x v="7"/>
    <n v="57.838935220261199"/>
    <n v="16.066370894517"/>
  </r>
  <r>
    <x v="0"/>
    <x v="23"/>
    <x v="8"/>
    <x v="16"/>
    <s v="PL_Rural"/>
    <x v="8"/>
    <n v="57.838935220261199"/>
    <n v="16.066370894517"/>
  </r>
  <r>
    <x v="0"/>
    <x v="23"/>
    <x v="8"/>
    <x v="16"/>
    <s v="PL_Rural"/>
    <x v="9"/>
    <n v="47.978366197183199"/>
    <n v="13.327323943662"/>
  </r>
  <r>
    <x v="0"/>
    <x v="23"/>
    <x v="8"/>
    <x v="16"/>
    <s v="PL_Rural"/>
    <x v="10"/>
    <n v="63.1479966859984"/>
    <n v="17.541110190555099"/>
  </r>
  <r>
    <x v="0"/>
    <x v="23"/>
    <x v="8"/>
    <x v="16"/>
    <s v="PL_Rural"/>
    <x v="11"/>
    <n v="5.9972957746478999"/>
    <n v="1.66591549295775"/>
  </r>
  <r>
    <x v="0"/>
    <x v="23"/>
    <x v="8"/>
    <x v="16"/>
    <s v="PL_Rural"/>
    <x v="12"/>
    <n v="9.7995028997514597E-2"/>
    <n v="2.72208413881985E-2"/>
  </r>
  <r>
    <x v="0"/>
    <x v="23"/>
    <x v="8"/>
    <x v="16"/>
    <s v="PL_Rural"/>
    <x v="13"/>
    <n v="26.987830985915501"/>
    <n v="7.4966197183098604"/>
  </r>
  <r>
    <x v="0"/>
    <x v="23"/>
    <x v="8"/>
    <x v="16"/>
    <s v="PL_Rural"/>
    <x v="14"/>
    <n v="26.987830985915501"/>
    <n v="7.4966197183098604"/>
  </r>
  <r>
    <x v="0"/>
    <x v="23"/>
    <x v="8"/>
    <x v="16"/>
    <s v="PL_Rural"/>
    <x v="15"/>
    <n v="1.65807589063794"/>
    <n v="0.46057663628831802"/>
  </r>
  <r>
    <x v="0"/>
    <x v="23"/>
    <x v="8"/>
    <x v="16"/>
    <s v="PL_Rural"/>
    <x v="16"/>
    <n v="6.6307647887493104"/>
    <n v="1.84187910798592"/>
  </r>
  <r>
    <x v="0"/>
    <x v="23"/>
    <x v="8"/>
    <x v="16"/>
    <s v="PL_Rural"/>
    <x v="17"/>
    <n v="9.1244895875632395"/>
    <n v="2.5345804409897901"/>
  </r>
  <r>
    <x v="0"/>
    <x v="23"/>
    <x v="8"/>
    <x v="16"/>
    <s v="PL_Rural"/>
    <x v="18"/>
    <n v="26.987830985915501"/>
    <n v="7.4966197183098604"/>
  </r>
  <r>
    <x v="0"/>
    <x v="23"/>
    <x v="8"/>
    <x v="16"/>
    <s v="PL_Rural"/>
    <x v="19"/>
    <n v="8.1139884009941898"/>
    <n v="2.2538856669428302"/>
  </r>
  <r>
    <x v="0"/>
    <x v="23"/>
    <x v="8"/>
    <x v="16"/>
    <s v="PL_Rural"/>
    <x v="20"/>
    <n v="21.7877183939536"/>
    <n v="6.0521439983204397"/>
  </r>
  <r>
    <x v="0"/>
    <x v="23"/>
    <x v="8"/>
    <x v="16"/>
    <s v="PL_Rural"/>
    <x v="21"/>
    <n v="48.24"/>
    <n v="13.4"/>
  </r>
  <r>
    <x v="0"/>
    <x v="23"/>
    <x v="8"/>
    <x v="16"/>
    <s v="PL_Rural"/>
    <x v="22"/>
    <n v="67.680000000000007"/>
    <n v="18.8"/>
  </r>
  <r>
    <x v="0"/>
    <x v="23"/>
    <x v="8"/>
    <x v="16"/>
    <s v="PL_Rural"/>
    <x v="23"/>
    <n v="0.31515896120488701"/>
    <n v="8.7544155890246306E-2"/>
  </r>
  <r>
    <x v="0"/>
    <x v="23"/>
    <x v="8"/>
    <x v="16"/>
    <s v="PL_Rural"/>
    <x v="24"/>
    <n v="19.174223581093901"/>
    <n v="5.32617321697054"/>
  </r>
  <r>
    <x v="0"/>
    <x v="23"/>
    <x v="8"/>
    <x v="16"/>
    <s v="PL_Rural"/>
    <x v="25"/>
    <n v="25.6652953012922"/>
    <n v="7.1292486948033904"/>
  </r>
  <r>
    <x v="0"/>
    <x v="23"/>
    <x v="8"/>
    <x v="16"/>
    <s v="PL_Rural"/>
    <x v="26"/>
    <n v="32.971098611263102"/>
    <n v="9.1586385031286301"/>
  </r>
  <r>
    <x v="0"/>
    <x v="23"/>
    <x v="8"/>
    <x v="16"/>
    <s v="PL_Rural"/>
    <x v="27"/>
    <n v="20.163995508318798"/>
    <n v="5.6011098634218799"/>
  </r>
  <r>
    <x v="0"/>
    <x v="23"/>
    <x v="9"/>
    <x v="17"/>
    <s v="SE1A"/>
    <x v="1"/>
    <n v="35.989199999999997"/>
    <n v="9.9969999999999999"/>
  </r>
  <r>
    <x v="0"/>
    <x v="23"/>
    <x v="9"/>
    <x v="17"/>
    <s v="SE1A"/>
    <x v="2"/>
    <n v="46.08"/>
    <n v="12.8"/>
  </r>
  <r>
    <x v="0"/>
    <x v="23"/>
    <x v="9"/>
    <x v="17"/>
    <s v="SE1A"/>
    <x v="0"/>
    <n v="42.692399999999999"/>
    <n v="11.859"/>
  </r>
  <r>
    <x v="0"/>
    <x v="23"/>
    <x v="9"/>
    <x v="17"/>
    <s v="SE1A"/>
    <x v="3"/>
    <n v="51.633543144067197"/>
    <n v="14.342650873352"/>
  </r>
  <r>
    <x v="0"/>
    <x v="23"/>
    <x v="9"/>
    <x v="17"/>
    <s v="SE1A"/>
    <x v="4"/>
    <n v="10.7598541839271"/>
    <n v="2.9888483844241902"/>
  </r>
  <r>
    <x v="0"/>
    <x v="23"/>
    <x v="9"/>
    <x v="17"/>
    <s v="SE1A"/>
    <x v="5"/>
    <n v="10.7598541839271"/>
    <n v="2.9888483844241902"/>
  </r>
  <r>
    <x v="0"/>
    <x v="23"/>
    <x v="9"/>
    <x v="17"/>
    <s v="SE1A"/>
    <x v="6"/>
    <n v="29.476231795214598"/>
    <n v="8.1878421653373898"/>
  </r>
  <r>
    <x v="0"/>
    <x v="23"/>
    <x v="9"/>
    <x v="17"/>
    <s v="SE1A"/>
    <x v="7"/>
    <n v="57.838935220261199"/>
    <n v="16.066370894517"/>
  </r>
  <r>
    <x v="0"/>
    <x v="23"/>
    <x v="9"/>
    <x v="17"/>
    <s v="SE1A"/>
    <x v="8"/>
    <n v="57.838935220261199"/>
    <n v="16.066370894517"/>
  </r>
  <r>
    <x v="0"/>
    <x v="23"/>
    <x v="9"/>
    <x v="17"/>
    <s v="SE1A"/>
    <x v="9"/>
    <n v="47.978366197183199"/>
    <n v="13.327323943662"/>
  </r>
  <r>
    <x v="0"/>
    <x v="23"/>
    <x v="9"/>
    <x v="17"/>
    <s v="SE1A"/>
    <x v="10"/>
    <n v="63.1479966859984"/>
    <n v="17.541110190555099"/>
  </r>
  <r>
    <x v="0"/>
    <x v="23"/>
    <x v="9"/>
    <x v="17"/>
    <s v="SE1A"/>
    <x v="11"/>
    <n v="5.9972957746478999"/>
    <n v="1.66591549295775"/>
  </r>
  <r>
    <x v="0"/>
    <x v="23"/>
    <x v="9"/>
    <x v="17"/>
    <s v="SE1A"/>
    <x v="12"/>
    <n v="9.7995028997514597E-2"/>
    <n v="2.72208413881985E-2"/>
  </r>
  <r>
    <x v="0"/>
    <x v="23"/>
    <x v="9"/>
    <x v="17"/>
    <s v="SE1A"/>
    <x v="13"/>
    <n v="26.987830985915501"/>
    <n v="7.4966197183098604"/>
  </r>
  <r>
    <x v="0"/>
    <x v="23"/>
    <x v="9"/>
    <x v="17"/>
    <s v="SE1A"/>
    <x v="14"/>
    <n v="26.987830985915501"/>
    <n v="7.4966197183098604"/>
  </r>
  <r>
    <x v="0"/>
    <x v="23"/>
    <x v="9"/>
    <x v="17"/>
    <s v="SE1A"/>
    <x v="15"/>
    <n v="1.65807589063794"/>
    <n v="0.46057663628831802"/>
  </r>
  <r>
    <x v="0"/>
    <x v="23"/>
    <x v="9"/>
    <x v="17"/>
    <s v="SE1A"/>
    <x v="16"/>
    <n v="6.6307647887493104"/>
    <n v="1.84187910798592"/>
  </r>
  <r>
    <x v="0"/>
    <x v="23"/>
    <x v="9"/>
    <x v="17"/>
    <s v="SE1A"/>
    <x v="17"/>
    <n v="9.1244895875632395"/>
    <n v="2.5345804409897901"/>
  </r>
  <r>
    <x v="0"/>
    <x v="23"/>
    <x v="9"/>
    <x v="17"/>
    <s v="SE1A"/>
    <x v="18"/>
    <n v="26.987830985915501"/>
    <n v="7.4966197183098604"/>
  </r>
  <r>
    <x v="0"/>
    <x v="23"/>
    <x v="9"/>
    <x v="17"/>
    <s v="SE1A"/>
    <x v="19"/>
    <n v="8.1139884009941898"/>
    <n v="2.2538856669428302"/>
  </r>
  <r>
    <x v="0"/>
    <x v="23"/>
    <x v="9"/>
    <x v="17"/>
    <s v="SE1A"/>
    <x v="20"/>
    <n v="21.7877183939536"/>
    <n v="6.0521439983204397"/>
  </r>
  <r>
    <x v="0"/>
    <x v="23"/>
    <x v="9"/>
    <x v="17"/>
    <s v="SE1A"/>
    <x v="21"/>
    <n v="48.24"/>
    <n v="13.4"/>
  </r>
  <r>
    <x v="0"/>
    <x v="23"/>
    <x v="9"/>
    <x v="17"/>
    <s v="SE1A"/>
    <x v="22"/>
    <n v="67.680000000000007"/>
    <n v="18.8"/>
  </r>
  <r>
    <x v="0"/>
    <x v="23"/>
    <x v="9"/>
    <x v="17"/>
    <s v="SE1A"/>
    <x v="23"/>
    <n v="0.31515896120488701"/>
    <n v="8.7544155890246306E-2"/>
  </r>
  <r>
    <x v="0"/>
    <x v="23"/>
    <x v="9"/>
    <x v="17"/>
    <s v="SE1A"/>
    <x v="24"/>
    <n v="19.174223581093901"/>
    <n v="5.32617321697054"/>
  </r>
  <r>
    <x v="0"/>
    <x v="23"/>
    <x v="9"/>
    <x v="17"/>
    <s v="SE1A"/>
    <x v="25"/>
    <n v="25.6652953012922"/>
    <n v="7.1292486948033904"/>
  </r>
  <r>
    <x v="0"/>
    <x v="23"/>
    <x v="9"/>
    <x v="17"/>
    <s v="SE1A"/>
    <x v="26"/>
    <n v="32.971098611263102"/>
    <n v="9.1586385031286301"/>
  </r>
  <r>
    <x v="0"/>
    <x v="23"/>
    <x v="9"/>
    <x v="17"/>
    <s v="SE1A"/>
    <x v="27"/>
    <n v="20.163995508318798"/>
    <n v="5.6011098634218799"/>
  </r>
  <r>
    <x v="0"/>
    <x v="23"/>
    <x v="9"/>
    <x v="17"/>
    <s v="SE1_IND"/>
    <x v="1"/>
    <n v="35.989199999999997"/>
    <n v="9.9969999999999999"/>
  </r>
  <r>
    <x v="0"/>
    <x v="23"/>
    <x v="9"/>
    <x v="17"/>
    <s v="SE1_IND"/>
    <x v="2"/>
    <n v="46.08"/>
    <n v="12.8"/>
  </r>
  <r>
    <x v="0"/>
    <x v="23"/>
    <x v="9"/>
    <x v="17"/>
    <s v="SE1_IND"/>
    <x v="0"/>
    <n v="42.692399999999999"/>
    <n v="11.859"/>
  </r>
  <r>
    <x v="0"/>
    <x v="23"/>
    <x v="9"/>
    <x v="17"/>
    <s v="SE1_IND"/>
    <x v="3"/>
    <n v="51.633543144067197"/>
    <n v="14.342650873352"/>
  </r>
  <r>
    <x v="0"/>
    <x v="23"/>
    <x v="9"/>
    <x v="17"/>
    <s v="SE1_IND"/>
    <x v="4"/>
    <n v="10.7598541839271"/>
    <n v="2.9888483844241902"/>
  </r>
  <r>
    <x v="0"/>
    <x v="23"/>
    <x v="9"/>
    <x v="17"/>
    <s v="SE1_IND"/>
    <x v="5"/>
    <n v="10.7598541839271"/>
    <n v="2.9888483844241902"/>
  </r>
  <r>
    <x v="0"/>
    <x v="23"/>
    <x v="9"/>
    <x v="17"/>
    <s v="SE1_IND"/>
    <x v="6"/>
    <n v="29.476231795214598"/>
    <n v="8.1878421653373898"/>
  </r>
  <r>
    <x v="0"/>
    <x v="23"/>
    <x v="9"/>
    <x v="17"/>
    <s v="SE1_IND"/>
    <x v="7"/>
    <n v="57.838935220261199"/>
    <n v="16.066370894517"/>
  </r>
  <r>
    <x v="0"/>
    <x v="23"/>
    <x v="9"/>
    <x v="17"/>
    <s v="SE1_IND"/>
    <x v="8"/>
    <n v="57.838935220261199"/>
    <n v="16.066370894517"/>
  </r>
  <r>
    <x v="0"/>
    <x v="23"/>
    <x v="9"/>
    <x v="17"/>
    <s v="SE1_IND"/>
    <x v="9"/>
    <n v="47.978366197183199"/>
    <n v="13.327323943662"/>
  </r>
  <r>
    <x v="0"/>
    <x v="23"/>
    <x v="9"/>
    <x v="17"/>
    <s v="SE1_IND"/>
    <x v="10"/>
    <n v="63.1479966859984"/>
    <n v="17.541110190555099"/>
  </r>
  <r>
    <x v="0"/>
    <x v="23"/>
    <x v="9"/>
    <x v="17"/>
    <s v="SE1_IND"/>
    <x v="11"/>
    <n v="5.9972957746478999"/>
    <n v="1.66591549295775"/>
  </r>
  <r>
    <x v="0"/>
    <x v="23"/>
    <x v="9"/>
    <x v="17"/>
    <s v="SE1_IND"/>
    <x v="12"/>
    <n v="9.7995028997514597E-2"/>
    <n v="2.72208413881985E-2"/>
  </r>
  <r>
    <x v="0"/>
    <x v="23"/>
    <x v="9"/>
    <x v="17"/>
    <s v="SE1_IND"/>
    <x v="13"/>
    <n v="26.987830985915501"/>
    <n v="7.4966197183098604"/>
  </r>
  <r>
    <x v="0"/>
    <x v="23"/>
    <x v="9"/>
    <x v="17"/>
    <s v="SE1_IND"/>
    <x v="14"/>
    <n v="26.987830985915501"/>
    <n v="7.4966197183098604"/>
  </r>
  <r>
    <x v="0"/>
    <x v="23"/>
    <x v="9"/>
    <x v="17"/>
    <s v="SE1_IND"/>
    <x v="15"/>
    <n v="1.65807589063794"/>
    <n v="0.46057663628831802"/>
  </r>
  <r>
    <x v="0"/>
    <x v="23"/>
    <x v="9"/>
    <x v="17"/>
    <s v="SE1_IND"/>
    <x v="16"/>
    <n v="6.6307647887493104"/>
    <n v="1.84187910798592"/>
  </r>
  <r>
    <x v="0"/>
    <x v="23"/>
    <x v="9"/>
    <x v="17"/>
    <s v="SE1_IND"/>
    <x v="17"/>
    <n v="9.1244895875632395"/>
    <n v="2.5345804409897901"/>
  </r>
  <r>
    <x v="0"/>
    <x v="23"/>
    <x v="9"/>
    <x v="17"/>
    <s v="SE1_IND"/>
    <x v="18"/>
    <n v="26.987830985915501"/>
    <n v="7.4966197183098604"/>
  </r>
  <r>
    <x v="0"/>
    <x v="23"/>
    <x v="9"/>
    <x v="17"/>
    <s v="SE1_IND"/>
    <x v="19"/>
    <n v="8.1139884009941898"/>
    <n v="2.2538856669428302"/>
  </r>
  <r>
    <x v="0"/>
    <x v="23"/>
    <x v="9"/>
    <x v="17"/>
    <s v="SE1_IND"/>
    <x v="20"/>
    <n v="21.7877183939536"/>
    <n v="6.0521439983204397"/>
  </r>
  <r>
    <x v="0"/>
    <x v="23"/>
    <x v="9"/>
    <x v="17"/>
    <s v="SE1_IND"/>
    <x v="21"/>
    <n v="48.24"/>
    <n v="13.4"/>
  </r>
  <r>
    <x v="0"/>
    <x v="23"/>
    <x v="9"/>
    <x v="17"/>
    <s v="SE1_IND"/>
    <x v="22"/>
    <n v="67.680000000000007"/>
    <n v="18.8"/>
  </r>
  <r>
    <x v="0"/>
    <x v="23"/>
    <x v="9"/>
    <x v="17"/>
    <s v="SE1_IND"/>
    <x v="23"/>
    <n v="0.31515896120488701"/>
    <n v="8.7544155890246306E-2"/>
  </r>
  <r>
    <x v="0"/>
    <x v="23"/>
    <x v="9"/>
    <x v="17"/>
    <s v="SE1_IND"/>
    <x v="24"/>
    <n v="19.174223581093901"/>
    <n v="5.32617321697054"/>
  </r>
  <r>
    <x v="0"/>
    <x v="23"/>
    <x v="9"/>
    <x v="17"/>
    <s v="SE1_IND"/>
    <x v="25"/>
    <n v="25.6652953012922"/>
    <n v="7.1292486948033904"/>
  </r>
  <r>
    <x v="0"/>
    <x v="23"/>
    <x v="9"/>
    <x v="17"/>
    <s v="SE1_IND"/>
    <x v="26"/>
    <n v="32.971098611263102"/>
    <n v="9.1586385031286301"/>
  </r>
  <r>
    <x v="0"/>
    <x v="23"/>
    <x v="9"/>
    <x v="17"/>
    <s v="SE1_IND"/>
    <x v="27"/>
    <n v="20.163995508318798"/>
    <n v="5.6011098634218799"/>
  </r>
  <r>
    <x v="0"/>
    <x v="23"/>
    <x v="9"/>
    <x v="17"/>
    <s v="SE1_Offshore"/>
    <x v="1"/>
    <n v="35.989199999999997"/>
    <n v="9.9969999999999999"/>
  </r>
  <r>
    <x v="0"/>
    <x v="23"/>
    <x v="9"/>
    <x v="17"/>
    <s v="SE1_Offshore"/>
    <x v="2"/>
    <n v="46.08"/>
    <n v="12.8"/>
  </r>
  <r>
    <x v="0"/>
    <x v="23"/>
    <x v="9"/>
    <x v="17"/>
    <s v="SE1_Offshore"/>
    <x v="0"/>
    <n v="42.692399999999999"/>
    <n v="11.859"/>
  </r>
  <r>
    <x v="0"/>
    <x v="23"/>
    <x v="9"/>
    <x v="17"/>
    <s v="SE1_Offshore"/>
    <x v="3"/>
    <n v="51.633543144067197"/>
    <n v="14.342650873352"/>
  </r>
  <r>
    <x v="0"/>
    <x v="23"/>
    <x v="9"/>
    <x v="17"/>
    <s v="SE1_Offshore"/>
    <x v="4"/>
    <n v="10.7598541839271"/>
    <n v="2.9888483844241902"/>
  </r>
  <r>
    <x v="0"/>
    <x v="23"/>
    <x v="9"/>
    <x v="17"/>
    <s v="SE1_Offshore"/>
    <x v="5"/>
    <n v="10.7598541839271"/>
    <n v="2.9888483844241902"/>
  </r>
  <r>
    <x v="0"/>
    <x v="23"/>
    <x v="9"/>
    <x v="17"/>
    <s v="SE1_Offshore"/>
    <x v="6"/>
    <n v="29.476231795214598"/>
    <n v="8.1878421653373898"/>
  </r>
  <r>
    <x v="0"/>
    <x v="23"/>
    <x v="9"/>
    <x v="17"/>
    <s v="SE1_Offshore"/>
    <x v="7"/>
    <n v="57.838935220261199"/>
    <n v="16.066370894517"/>
  </r>
  <r>
    <x v="0"/>
    <x v="23"/>
    <x v="9"/>
    <x v="17"/>
    <s v="SE1_Offshore"/>
    <x v="8"/>
    <n v="57.838935220261199"/>
    <n v="16.066370894517"/>
  </r>
  <r>
    <x v="0"/>
    <x v="23"/>
    <x v="9"/>
    <x v="17"/>
    <s v="SE1_Offshore"/>
    <x v="9"/>
    <n v="47.978366197183199"/>
    <n v="13.327323943662"/>
  </r>
  <r>
    <x v="0"/>
    <x v="23"/>
    <x v="9"/>
    <x v="17"/>
    <s v="SE1_Offshore"/>
    <x v="10"/>
    <n v="63.1479966859984"/>
    <n v="17.541110190555099"/>
  </r>
  <r>
    <x v="0"/>
    <x v="23"/>
    <x v="9"/>
    <x v="17"/>
    <s v="SE1_Offshore"/>
    <x v="11"/>
    <n v="5.9972957746478999"/>
    <n v="1.66591549295775"/>
  </r>
  <r>
    <x v="0"/>
    <x v="23"/>
    <x v="9"/>
    <x v="17"/>
    <s v="SE1_Offshore"/>
    <x v="12"/>
    <n v="9.7995028997514597E-2"/>
    <n v="2.72208413881985E-2"/>
  </r>
  <r>
    <x v="0"/>
    <x v="23"/>
    <x v="9"/>
    <x v="17"/>
    <s v="SE1_Offshore"/>
    <x v="13"/>
    <n v="26.987830985915501"/>
    <n v="7.4966197183098604"/>
  </r>
  <r>
    <x v="0"/>
    <x v="23"/>
    <x v="9"/>
    <x v="17"/>
    <s v="SE1_Offshore"/>
    <x v="14"/>
    <n v="26.987830985915501"/>
    <n v="7.4966197183098604"/>
  </r>
  <r>
    <x v="0"/>
    <x v="23"/>
    <x v="9"/>
    <x v="17"/>
    <s v="SE1_Offshore"/>
    <x v="15"/>
    <n v="1.65807589063794"/>
    <n v="0.46057663628831802"/>
  </r>
  <r>
    <x v="0"/>
    <x v="23"/>
    <x v="9"/>
    <x v="17"/>
    <s v="SE1_Offshore"/>
    <x v="16"/>
    <n v="6.6307647887493104"/>
    <n v="1.84187910798592"/>
  </r>
  <r>
    <x v="0"/>
    <x v="23"/>
    <x v="9"/>
    <x v="17"/>
    <s v="SE1_Offshore"/>
    <x v="17"/>
    <n v="9.1244895875632395"/>
    <n v="2.5345804409897901"/>
  </r>
  <r>
    <x v="0"/>
    <x v="23"/>
    <x v="9"/>
    <x v="17"/>
    <s v="SE1_Offshore"/>
    <x v="18"/>
    <n v="26.987830985915501"/>
    <n v="7.4966197183098604"/>
  </r>
  <r>
    <x v="0"/>
    <x v="23"/>
    <x v="9"/>
    <x v="17"/>
    <s v="SE1_Offshore"/>
    <x v="19"/>
    <n v="8.1139884009941898"/>
    <n v="2.2538856669428302"/>
  </r>
  <r>
    <x v="0"/>
    <x v="23"/>
    <x v="9"/>
    <x v="17"/>
    <s v="SE1_Offshore"/>
    <x v="20"/>
    <n v="21.7877183939536"/>
    <n v="6.0521439983204397"/>
  </r>
  <r>
    <x v="0"/>
    <x v="23"/>
    <x v="9"/>
    <x v="17"/>
    <s v="SE1_Offshore"/>
    <x v="21"/>
    <n v="48.24"/>
    <n v="13.4"/>
  </r>
  <r>
    <x v="0"/>
    <x v="23"/>
    <x v="9"/>
    <x v="17"/>
    <s v="SE1_Offshore"/>
    <x v="22"/>
    <n v="67.680000000000007"/>
    <n v="18.8"/>
  </r>
  <r>
    <x v="0"/>
    <x v="23"/>
    <x v="9"/>
    <x v="17"/>
    <s v="SE1_Offshore"/>
    <x v="23"/>
    <n v="0.31515896120488701"/>
    <n v="8.7544155890246306E-2"/>
  </r>
  <r>
    <x v="0"/>
    <x v="23"/>
    <x v="9"/>
    <x v="17"/>
    <s v="SE1_Offshore"/>
    <x v="24"/>
    <n v="19.174223581093901"/>
    <n v="5.32617321697054"/>
  </r>
  <r>
    <x v="0"/>
    <x v="23"/>
    <x v="9"/>
    <x v="17"/>
    <s v="SE1_Offshore"/>
    <x v="25"/>
    <n v="25.6652953012922"/>
    <n v="7.1292486948033904"/>
  </r>
  <r>
    <x v="0"/>
    <x v="23"/>
    <x v="9"/>
    <x v="17"/>
    <s v="SE1_Offshore"/>
    <x v="26"/>
    <n v="32.971098611263102"/>
    <n v="9.1586385031286301"/>
  </r>
  <r>
    <x v="0"/>
    <x v="23"/>
    <x v="9"/>
    <x v="17"/>
    <s v="SE1_Offshore"/>
    <x v="27"/>
    <n v="20.163995508318798"/>
    <n v="5.6011098634218799"/>
  </r>
  <r>
    <x v="0"/>
    <x v="23"/>
    <x v="9"/>
    <x v="17"/>
    <s v="SE1_medium"/>
    <x v="1"/>
    <n v="35.989199999999997"/>
    <n v="9.9969999999999999"/>
  </r>
  <r>
    <x v="0"/>
    <x v="23"/>
    <x v="9"/>
    <x v="17"/>
    <s v="SE1_medium"/>
    <x v="2"/>
    <n v="46.08"/>
    <n v="12.8"/>
  </r>
  <r>
    <x v="0"/>
    <x v="23"/>
    <x v="9"/>
    <x v="17"/>
    <s v="SE1_medium"/>
    <x v="0"/>
    <n v="42.692399999999999"/>
    <n v="11.859"/>
  </r>
  <r>
    <x v="0"/>
    <x v="23"/>
    <x v="9"/>
    <x v="17"/>
    <s v="SE1_medium"/>
    <x v="3"/>
    <n v="51.633543144067197"/>
    <n v="14.342650873352"/>
  </r>
  <r>
    <x v="0"/>
    <x v="23"/>
    <x v="9"/>
    <x v="17"/>
    <s v="SE1_medium"/>
    <x v="4"/>
    <n v="10.7598541839271"/>
    <n v="2.9888483844241902"/>
  </r>
  <r>
    <x v="0"/>
    <x v="23"/>
    <x v="9"/>
    <x v="17"/>
    <s v="SE1_medium"/>
    <x v="5"/>
    <n v="10.7598541839271"/>
    <n v="2.9888483844241902"/>
  </r>
  <r>
    <x v="0"/>
    <x v="23"/>
    <x v="9"/>
    <x v="17"/>
    <s v="SE1_medium"/>
    <x v="6"/>
    <n v="29.476231795214598"/>
    <n v="8.1878421653373898"/>
  </r>
  <r>
    <x v="0"/>
    <x v="23"/>
    <x v="9"/>
    <x v="17"/>
    <s v="SE1_medium"/>
    <x v="7"/>
    <n v="57.838935220261199"/>
    <n v="16.066370894517"/>
  </r>
  <r>
    <x v="0"/>
    <x v="23"/>
    <x v="9"/>
    <x v="17"/>
    <s v="SE1_medium"/>
    <x v="8"/>
    <n v="57.838935220261199"/>
    <n v="16.066370894517"/>
  </r>
  <r>
    <x v="0"/>
    <x v="23"/>
    <x v="9"/>
    <x v="17"/>
    <s v="SE1_medium"/>
    <x v="9"/>
    <n v="47.978366197183199"/>
    <n v="13.327323943662"/>
  </r>
  <r>
    <x v="0"/>
    <x v="23"/>
    <x v="9"/>
    <x v="17"/>
    <s v="SE1_medium"/>
    <x v="10"/>
    <n v="63.1479966859984"/>
    <n v="17.541110190555099"/>
  </r>
  <r>
    <x v="0"/>
    <x v="23"/>
    <x v="9"/>
    <x v="17"/>
    <s v="SE1_medium"/>
    <x v="11"/>
    <n v="5.9972957746478999"/>
    <n v="1.66591549295775"/>
  </r>
  <r>
    <x v="0"/>
    <x v="23"/>
    <x v="9"/>
    <x v="17"/>
    <s v="SE1_medium"/>
    <x v="12"/>
    <n v="9.7995028997514597E-2"/>
    <n v="2.72208413881985E-2"/>
  </r>
  <r>
    <x v="0"/>
    <x v="23"/>
    <x v="9"/>
    <x v="17"/>
    <s v="SE1_medium"/>
    <x v="13"/>
    <n v="26.987830985915501"/>
    <n v="7.4966197183098604"/>
  </r>
  <r>
    <x v="0"/>
    <x v="23"/>
    <x v="9"/>
    <x v="17"/>
    <s v="SE1_medium"/>
    <x v="14"/>
    <n v="26.987830985915501"/>
    <n v="7.4966197183098604"/>
  </r>
  <r>
    <x v="0"/>
    <x v="23"/>
    <x v="9"/>
    <x v="17"/>
    <s v="SE1_medium"/>
    <x v="15"/>
    <n v="1.65807589063794"/>
    <n v="0.46057663628831802"/>
  </r>
  <r>
    <x v="0"/>
    <x v="23"/>
    <x v="9"/>
    <x v="17"/>
    <s v="SE1_medium"/>
    <x v="16"/>
    <n v="6.6307647887493104"/>
    <n v="1.84187910798592"/>
  </r>
  <r>
    <x v="0"/>
    <x v="23"/>
    <x v="9"/>
    <x v="17"/>
    <s v="SE1_medium"/>
    <x v="17"/>
    <n v="9.1244895875632395"/>
    <n v="2.5345804409897901"/>
  </r>
  <r>
    <x v="0"/>
    <x v="23"/>
    <x v="9"/>
    <x v="17"/>
    <s v="SE1_medium"/>
    <x v="18"/>
    <n v="26.987830985915501"/>
    <n v="7.4966197183098604"/>
  </r>
  <r>
    <x v="0"/>
    <x v="23"/>
    <x v="9"/>
    <x v="17"/>
    <s v="SE1_medium"/>
    <x v="19"/>
    <n v="8.1139884009941898"/>
    <n v="2.2538856669428302"/>
  </r>
  <r>
    <x v="0"/>
    <x v="23"/>
    <x v="9"/>
    <x v="17"/>
    <s v="SE1_medium"/>
    <x v="20"/>
    <n v="21.7877183939536"/>
    <n v="6.0521439983204397"/>
  </r>
  <r>
    <x v="0"/>
    <x v="23"/>
    <x v="9"/>
    <x v="17"/>
    <s v="SE1_medium"/>
    <x v="21"/>
    <n v="48.24"/>
    <n v="13.4"/>
  </r>
  <r>
    <x v="0"/>
    <x v="23"/>
    <x v="9"/>
    <x v="17"/>
    <s v="SE1_medium"/>
    <x v="22"/>
    <n v="67.680000000000007"/>
    <n v="18.8"/>
  </r>
  <r>
    <x v="0"/>
    <x v="23"/>
    <x v="9"/>
    <x v="17"/>
    <s v="SE1_medium"/>
    <x v="23"/>
    <n v="0.31515896120488701"/>
    <n v="8.7544155890246306E-2"/>
  </r>
  <r>
    <x v="0"/>
    <x v="23"/>
    <x v="9"/>
    <x v="17"/>
    <s v="SE1_medium"/>
    <x v="24"/>
    <n v="19.174223581093901"/>
    <n v="5.32617321697054"/>
  </r>
  <r>
    <x v="0"/>
    <x v="23"/>
    <x v="9"/>
    <x v="17"/>
    <s v="SE1_medium"/>
    <x v="25"/>
    <n v="25.6652953012922"/>
    <n v="7.1292486948033904"/>
  </r>
  <r>
    <x v="0"/>
    <x v="23"/>
    <x v="9"/>
    <x v="17"/>
    <s v="SE1_medium"/>
    <x v="26"/>
    <n v="32.971098611263102"/>
    <n v="9.1586385031286301"/>
  </r>
  <r>
    <x v="0"/>
    <x v="23"/>
    <x v="9"/>
    <x v="17"/>
    <s v="SE1_medium"/>
    <x v="27"/>
    <n v="20.163995508318798"/>
    <n v="5.6011098634218799"/>
  </r>
  <r>
    <x v="0"/>
    <x v="23"/>
    <x v="9"/>
    <x v="17"/>
    <s v="SE1_small"/>
    <x v="1"/>
    <n v="35.989199999999997"/>
    <n v="9.9969999999999999"/>
  </r>
  <r>
    <x v="0"/>
    <x v="23"/>
    <x v="9"/>
    <x v="17"/>
    <s v="SE1_small"/>
    <x v="2"/>
    <n v="46.08"/>
    <n v="12.8"/>
  </r>
  <r>
    <x v="0"/>
    <x v="23"/>
    <x v="9"/>
    <x v="17"/>
    <s v="SE1_small"/>
    <x v="0"/>
    <n v="42.692399999999999"/>
    <n v="11.859"/>
  </r>
  <r>
    <x v="0"/>
    <x v="23"/>
    <x v="9"/>
    <x v="17"/>
    <s v="SE1_small"/>
    <x v="3"/>
    <n v="51.633543144067197"/>
    <n v="14.342650873352"/>
  </r>
  <r>
    <x v="0"/>
    <x v="23"/>
    <x v="9"/>
    <x v="17"/>
    <s v="SE1_small"/>
    <x v="4"/>
    <n v="10.7598541839271"/>
    <n v="2.9888483844241902"/>
  </r>
  <r>
    <x v="0"/>
    <x v="23"/>
    <x v="9"/>
    <x v="17"/>
    <s v="SE1_small"/>
    <x v="5"/>
    <n v="10.7598541839271"/>
    <n v="2.9888483844241902"/>
  </r>
  <r>
    <x v="0"/>
    <x v="23"/>
    <x v="9"/>
    <x v="17"/>
    <s v="SE1_small"/>
    <x v="6"/>
    <n v="29.476231795214598"/>
    <n v="8.1878421653373898"/>
  </r>
  <r>
    <x v="0"/>
    <x v="23"/>
    <x v="9"/>
    <x v="17"/>
    <s v="SE1_small"/>
    <x v="7"/>
    <n v="57.838935220261199"/>
    <n v="16.066370894517"/>
  </r>
  <r>
    <x v="0"/>
    <x v="23"/>
    <x v="9"/>
    <x v="17"/>
    <s v="SE1_small"/>
    <x v="8"/>
    <n v="57.838935220261199"/>
    <n v="16.066370894517"/>
  </r>
  <r>
    <x v="0"/>
    <x v="23"/>
    <x v="9"/>
    <x v="17"/>
    <s v="SE1_small"/>
    <x v="9"/>
    <n v="47.978366197183199"/>
    <n v="13.327323943662"/>
  </r>
  <r>
    <x v="0"/>
    <x v="23"/>
    <x v="9"/>
    <x v="17"/>
    <s v="SE1_small"/>
    <x v="10"/>
    <n v="63.1479966859984"/>
    <n v="17.541110190555099"/>
  </r>
  <r>
    <x v="0"/>
    <x v="23"/>
    <x v="9"/>
    <x v="17"/>
    <s v="SE1_small"/>
    <x v="11"/>
    <n v="5.9972957746478999"/>
    <n v="1.66591549295775"/>
  </r>
  <r>
    <x v="0"/>
    <x v="23"/>
    <x v="9"/>
    <x v="17"/>
    <s v="SE1_small"/>
    <x v="12"/>
    <n v="9.7995028997514597E-2"/>
    <n v="2.72208413881985E-2"/>
  </r>
  <r>
    <x v="0"/>
    <x v="23"/>
    <x v="9"/>
    <x v="17"/>
    <s v="SE1_small"/>
    <x v="13"/>
    <n v="26.987830985915501"/>
    <n v="7.4966197183098604"/>
  </r>
  <r>
    <x v="0"/>
    <x v="23"/>
    <x v="9"/>
    <x v="17"/>
    <s v="SE1_small"/>
    <x v="14"/>
    <n v="26.987830985915501"/>
    <n v="7.4966197183098604"/>
  </r>
  <r>
    <x v="0"/>
    <x v="23"/>
    <x v="9"/>
    <x v="17"/>
    <s v="SE1_small"/>
    <x v="15"/>
    <n v="1.65807589063794"/>
    <n v="0.46057663628831802"/>
  </r>
  <r>
    <x v="0"/>
    <x v="23"/>
    <x v="9"/>
    <x v="17"/>
    <s v="SE1_small"/>
    <x v="16"/>
    <n v="6.6307647887493104"/>
    <n v="1.84187910798592"/>
  </r>
  <r>
    <x v="0"/>
    <x v="23"/>
    <x v="9"/>
    <x v="17"/>
    <s v="SE1_small"/>
    <x v="17"/>
    <n v="9.1244895875632395"/>
    <n v="2.5345804409897901"/>
  </r>
  <r>
    <x v="0"/>
    <x v="23"/>
    <x v="9"/>
    <x v="17"/>
    <s v="SE1_small"/>
    <x v="18"/>
    <n v="26.987830985915501"/>
    <n v="7.4966197183098604"/>
  </r>
  <r>
    <x v="0"/>
    <x v="23"/>
    <x v="9"/>
    <x v="17"/>
    <s v="SE1_small"/>
    <x v="19"/>
    <n v="8.1139884009941898"/>
    <n v="2.2538856669428302"/>
  </r>
  <r>
    <x v="0"/>
    <x v="23"/>
    <x v="9"/>
    <x v="17"/>
    <s v="SE1_small"/>
    <x v="20"/>
    <n v="21.7877183939536"/>
    <n v="6.0521439983204397"/>
  </r>
  <r>
    <x v="0"/>
    <x v="23"/>
    <x v="9"/>
    <x v="17"/>
    <s v="SE1_small"/>
    <x v="21"/>
    <n v="48.24"/>
    <n v="13.4"/>
  </r>
  <r>
    <x v="0"/>
    <x v="23"/>
    <x v="9"/>
    <x v="17"/>
    <s v="SE1_small"/>
    <x v="22"/>
    <n v="67.680000000000007"/>
    <n v="18.8"/>
  </r>
  <r>
    <x v="0"/>
    <x v="23"/>
    <x v="9"/>
    <x v="17"/>
    <s v="SE1_small"/>
    <x v="23"/>
    <n v="0.31515896120488701"/>
    <n v="8.7544155890246306E-2"/>
  </r>
  <r>
    <x v="0"/>
    <x v="23"/>
    <x v="9"/>
    <x v="17"/>
    <s v="SE1_small"/>
    <x v="24"/>
    <n v="19.174223581093901"/>
    <n v="5.32617321697054"/>
  </r>
  <r>
    <x v="0"/>
    <x v="23"/>
    <x v="9"/>
    <x v="17"/>
    <s v="SE1_small"/>
    <x v="25"/>
    <n v="25.6652953012922"/>
    <n v="7.1292486948033904"/>
  </r>
  <r>
    <x v="0"/>
    <x v="23"/>
    <x v="9"/>
    <x v="17"/>
    <s v="SE1_small"/>
    <x v="26"/>
    <n v="32.971098611263102"/>
    <n v="9.1586385031286301"/>
  </r>
  <r>
    <x v="0"/>
    <x v="23"/>
    <x v="9"/>
    <x v="17"/>
    <s v="SE1_small"/>
    <x v="27"/>
    <n v="20.163995508318798"/>
    <n v="5.6011098634218799"/>
  </r>
  <r>
    <x v="0"/>
    <x v="23"/>
    <x v="9"/>
    <x v="18"/>
    <s v="SE2A"/>
    <x v="1"/>
    <n v="35.989199999999997"/>
    <n v="9.9969999999999999"/>
  </r>
  <r>
    <x v="0"/>
    <x v="23"/>
    <x v="9"/>
    <x v="18"/>
    <s v="SE2A"/>
    <x v="2"/>
    <n v="46.08"/>
    <n v="12.8"/>
  </r>
  <r>
    <x v="0"/>
    <x v="23"/>
    <x v="9"/>
    <x v="18"/>
    <s v="SE2A"/>
    <x v="0"/>
    <n v="42.692399999999999"/>
    <n v="11.859"/>
  </r>
  <r>
    <x v="0"/>
    <x v="23"/>
    <x v="9"/>
    <x v="18"/>
    <s v="SE2A"/>
    <x v="3"/>
    <n v="51.633543144067197"/>
    <n v="14.342650873352"/>
  </r>
  <r>
    <x v="0"/>
    <x v="23"/>
    <x v="9"/>
    <x v="18"/>
    <s v="SE2A"/>
    <x v="4"/>
    <n v="10.7598541839271"/>
    <n v="2.9888483844241902"/>
  </r>
  <r>
    <x v="0"/>
    <x v="23"/>
    <x v="9"/>
    <x v="18"/>
    <s v="SE2A"/>
    <x v="5"/>
    <n v="10.7598541839271"/>
    <n v="2.9888483844241902"/>
  </r>
  <r>
    <x v="0"/>
    <x v="23"/>
    <x v="9"/>
    <x v="18"/>
    <s v="SE2A"/>
    <x v="6"/>
    <n v="29.476231795214598"/>
    <n v="8.1878421653373898"/>
  </r>
  <r>
    <x v="0"/>
    <x v="23"/>
    <x v="9"/>
    <x v="18"/>
    <s v="SE2A"/>
    <x v="7"/>
    <n v="57.838935220261199"/>
    <n v="16.066370894517"/>
  </r>
  <r>
    <x v="0"/>
    <x v="23"/>
    <x v="9"/>
    <x v="18"/>
    <s v="SE2A"/>
    <x v="8"/>
    <n v="57.838935220261199"/>
    <n v="16.066370894517"/>
  </r>
  <r>
    <x v="0"/>
    <x v="23"/>
    <x v="9"/>
    <x v="18"/>
    <s v="SE2A"/>
    <x v="9"/>
    <n v="47.978366197183199"/>
    <n v="13.327323943662"/>
  </r>
  <r>
    <x v="0"/>
    <x v="23"/>
    <x v="9"/>
    <x v="18"/>
    <s v="SE2A"/>
    <x v="10"/>
    <n v="63.1479966859984"/>
    <n v="17.541110190555099"/>
  </r>
  <r>
    <x v="0"/>
    <x v="23"/>
    <x v="9"/>
    <x v="18"/>
    <s v="SE2A"/>
    <x v="11"/>
    <n v="5.9972957746478999"/>
    <n v="1.66591549295775"/>
  </r>
  <r>
    <x v="0"/>
    <x v="23"/>
    <x v="9"/>
    <x v="18"/>
    <s v="SE2A"/>
    <x v="12"/>
    <n v="9.7995028997514597E-2"/>
    <n v="2.72208413881985E-2"/>
  </r>
  <r>
    <x v="0"/>
    <x v="23"/>
    <x v="9"/>
    <x v="18"/>
    <s v="SE2A"/>
    <x v="13"/>
    <n v="26.987830985915501"/>
    <n v="7.4966197183098604"/>
  </r>
  <r>
    <x v="0"/>
    <x v="23"/>
    <x v="9"/>
    <x v="18"/>
    <s v="SE2A"/>
    <x v="14"/>
    <n v="26.987830985915501"/>
    <n v="7.4966197183098604"/>
  </r>
  <r>
    <x v="0"/>
    <x v="23"/>
    <x v="9"/>
    <x v="18"/>
    <s v="SE2A"/>
    <x v="15"/>
    <n v="1.65807589063794"/>
    <n v="0.46057663628831802"/>
  </r>
  <r>
    <x v="0"/>
    <x v="23"/>
    <x v="9"/>
    <x v="18"/>
    <s v="SE2A"/>
    <x v="16"/>
    <n v="6.6307647887493104"/>
    <n v="1.84187910798592"/>
  </r>
  <r>
    <x v="0"/>
    <x v="23"/>
    <x v="9"/>
    <x v="18"/>
    <s v="SE2A"/>
    <x v="17"/>
    <n v="9.1244895875632395"/>
    <n v="2.5345804409897901"/>
  </r>
  <r>
    <x v="0"/>
    <x v="23"/>
    <x v="9"/>
    <x v="18"/>
    <s v="SE2A"/>
    <x v="18"/>
    <n v="26.987830985915501"/>
    <n v="7.4966197183098604"/>
  </r>
  <r>
    <x v="0"/>
    <x v="23"/>
    <x v="9"/>
    <x v="18"/>
    <s v="SE2A"/>
    <x v="19"/>
    <n v="8.1139884009941898"/>
    <n v="2.2538856669428302"/>
  </r>
  <r>
    <x v="0"/>
    <x v="23"/>
    <x v="9"/>
    <x v="18"/>
    <s v="SE2A"/>
    <x v="20"/>
    <n v="21.7877183939536"/>
    <n v="6.0521439983204397"/>
  </r>
  <r>
    <x v="0"/>
    <x v="23"/>
    <x v="9"/>
    <x v="18"/>
    <s v="SE2A"/>
    <x v="21"/>
    <n v="48.24"/>
    <n v="13.4"/>
  </r>
  <r>
    <x v="0"/>
    <x v="23"/>
    <x v="9"/>
    <x v="18"/>
    <s v="SE2A"/>
    <x v="22"/>
    <n v="67.680000000000007"/>
    <n v="18.8"/>
  </r>
  <r>
    <x v="0"/>
    <x v="23"/>
    <x v="9"/>
    <x v="18"/>
    <s v="SE2A"/>
    <x v="23"/>
    <n v="0.31515896120488701"/>
    <n v="8.7544155890246306E-2"/>
  </r>
  <r>
    <x v="0"/>
    <x v="23"/>
    <x v="9"/>
    <x v="18"/>
    <s v="SE2A"/>
    <x v="24"/>
    <n v="19.174223581093901"/>
    <n v="5.32617321697054"/>
  </r>
  <r>
    <x v="0"/>
    <x v="23"/>
    <x v="9"/>
    <x v="18"/>
    <s v="SE2A"/>
    <x v="25"/>
    <n v="25.6652953012922"/>
    <n v="7.1292486948033904"/>
  </r>
  <r>
    <x v="0"/>
    <x v="23"/>
    <x v="9"/>
    <x v="18"/>
    <s v="SE2A"/>
    <x v="26"/>
    <n v="32.971098611263102"/>
    <n v="9.1586385031286301"/>
  </r>
  <r>
    <x v="0"/>
    <x v="23"/>
    <x v="9"/>
    <x v="18"/>
    <s v="SE2A"/>
    <x v="27"/>
    <n v="20.163995508318798"/>
    <n v="5.6011098634218799"/>
  </r>
  <r>
    <x v="0"/>
    <x v="23"/>
    <x v="9"/>
    <x v="18"/>
    <s v="SE2_IND"/>
    <x v="1"/>
    <n v="35.989199999999997"/>
    <n v="9.9969999999999999"/>
  </r>
  <r>
    <x v="0"/>
    <x v="23"/>
    <x v="9"/>
    <x v="18"/>
    <s v="SE2_IND"/>
    <x v="2"/>
    <n v="46.08"/>
    <n v="12.8"/>
  </r>
  <r>
    <x v="0"/>
    <x v="23"/>
    <x v="9"/>
    <x v="18"/>
    <s v="SE2_IND"/>
    <x v="0"/>
    <n v="42.692399999999999"/>
    <n v="11.859"/>
  </r>
  <r>
    <x v="0"/>
    <x v="23"/>
    <x v="9"/>
    <x v="18"/>
    <s v="SE2_IND"/>
    <x v="3"/>
    <n v="51.633543144067197"/>
    <n v="14.342650873352"/>
  </r>
  <r>
    <x v="0"/>
    <x v="23"/>
    <x v="9"/>
    <x v="18"/>
    <s v="SE2_IND"/>
    <x v="4"/>
    <n v="10.7598541839271"/>
    <n v="2.9888483844241902"/>
  </r>
  <r>
    <x v="0"/>
    <x v="23"/>
    <x v="9"/>
    <x v="18"/>
    <s v="SE2_IND"/>
    <x v="5"/>
    <n v="10.7598541839271"/>
    <n v="2.9888483844241902"/>
  </r>
  <r>
    <x v="0"/>
    <x v="23"/>
    <x v="9"/>
    <x v="18"/>
    <s v="SE2_IND"/>
    <x v="6"/>
    <n v="29.476231795214598"/>
    <n v="8.1878421653373898"/>
  </r>
  <r>
    <x v="0"/>
    <x v="23"/>
    <x v="9"/>
    <x v="18"/>
    <s v="SE2_IND"/>
    <x v="7"/>
    <n v="57.838935220261199"/>
    <n v="16.066370894517"/>
  </r>
  <r>
    <x v="0"/>
    <x v="23"/>
    <x v="9"/>
    <x v="18"/>
    <s v="SE2_IND"/>
    <x v="8"/>
    <n v="57.838935220261199"/>
    <n v="16.066370894517"/>
  </r>
  <r>
    <x v="0"/>
    <x v="23"/>
    <x v="9"/>
    <x v="18"/>
    <s v="SE2_IND"/>
    <x v="9"/>
    <n v="47.978366197183199"/>
    <n v="13.327323943662"/>
  </r>
  <r>
    <x v="0"/>
    <x v="23"/>
    <x v="9"/>
    <x v="18"/>
    <s v="SE2_IND"/>
    <x v="10"/>
    <n v="63.1479966859984"/>
    <n v="17.541110190555099"/>
  </r>
  <r>
    <x v="0"/>
    <x v="23"/>
    <x v="9"/>
    <x v="18"/>
    <s v="SE2_IND"/>
    <x v="11"/>
    <n v="5.9972957746478999"/>
    <n v="1.66591549295775"/>
  </r>
  <r>
    <x v="0"/>
    <x v="23"/>
    <x v="9"/>
    <x v="18"/>
    <s v="SE2_IND"/>
    <x v="12"/>
    <n v="9.7995028997514597E-2"/>
    <n v="2.72208413881985E-2"/>
  </r>
  <r>
    <x v="0"/>
    <x v="23"/>
    <x v="9"/>
    <x v="18"/>
    <s v="SE2_IND"/>
    <x v="13"/>
    <n v="26.987830985915501"/>
    <n v="7.4966197183098604"/>
  </r>
  <r>
    <x v="0"/>
    <x v="23"/>
    <x v="9"/>
    <x v="18"/>
    <s v="SE2_IND"/>
    <x v="14"/>
    <n v="26.987830985915501"/>
    <n v="7.4966197183098604"/>
  </r>
  <r>
    <x v="0"/>
    <x v="23"/>
    <x v="9"/>
    <x v="18"/>
    <s v="SE2_IND"/>
    <x v="15"/>
    <n v="1.65807589063794"/>
    <n v="0.46057663628831802"/>
  </r>
  <r>
    <x v="0"/>
    <x v="23"/>
    <x v="9"/>
    <x v="18"/>
    <s v="SE2_IND"/>
    <x v="16"/>
    <n v="6.6307647887493104"/>
    <n v="1.84187910798592"/>
  </r>
  <r>
    <x v="0"/>
    <x v="23"/>
    <x v="9"/>
    <x v="18"/>
    <s v="SE2_IND"/>
    <x v="17"/>
    <n v="9.1244895875632395"/>
    <n v="2.5345804409897901"/>
  </r>
  <r>
    <x v="0"/>
    <x v="23"/>
    <x v="9"/>
    <x v="18"/>
    <s v="SE2_IND"/>
    <x v="18"/>
    <n v="26.987830985915501"/>
    <n v="7.4966197183098604"/>
  </r>
  <r>
    <x v="0"/>
    <x v="23"/>
    <x v="9"/>
    <x v="18"/>
    <s v="SE2_IND"/>
    <x v="19"/>
    <n v="8.1139884009941898"/>
    <n v="2.2538856669428302"/>
  </r>
  <r>
    <x v="0"/>
    <x v="23"/>
    <x v="9"/>
    <x v="18"/>
    <s v="SE2_IND"/>
    <x v="20"/>
    <n v="21.7877183939536"/>
    <n v="6.0521439983204397"/>
  </r>
  <r>
    <x v="0"/>
    <x v="23"/>
    <x v="9"/>
    <x v="18"/>
    <s v="SE2_IND"/>
    <x v="21"/>
    <n v="48.24"/>
    <n v="13.4"/>
  </r>
  <r>
    <x v="0"/>
    <x v="23"/>
    <x v="9"/>
    <x v="18"/>
    <s v="SE2_IND"/>
    <x v="22"/>
    <n v="67.680000000000007"/>
    <n v="18.8"/>
  </r>
  <r>
    <x v="0"/>
    <x v="23"/>
    <x v="9"/>
    <x v="18"/>
    <s v="SE2_IND"/>
    <x v="23"/>
    <n v="0.31515896120488701"/>
    <n v="8.7544155890246306E-2"/>
  </r>
  <r>
    <x v="0"/>
    <x v="23"/>
    <x v="9"/>
    <x v="18"/>
    <s v="SE2_IND"/>
    <x v="24"/>
    <n v="19.174223581093901"/>
    <n v="5.32617321697054"/>
  </r>
  <r>
    <x v="0"/>
    <x v="23"/>
    <x v="9"/>
    <x v="18"/>
    <s v="SE2_IND"/>
    <x v="25"/>
    <n v="25.6652953012922"/>
    <n v="7.1292486948033904"/>
  </r>
  <r>
    <x v="0"/>
    <x v="23"/>
    <x v="9"/>
    <x v="18"/>
    <s v="SE2_IND"/>
    <x v="26"/>
    <n v="32.971098611263102"/>
    <n v="9.1586385031286301"/>
  </r>
  <r>
    <x v="0"/>
    <x v="23"/>
    <x v="9"/>
    <x v="18"/>
    <s v="SE2_IND"/>
    <x v="27"/>
    <n v="20.163995508318798"/>
    <n v="5.6011098634218799"/>
  </r>
  <r>
    <x v="0"/>
    <x v="23"/>
    <x v="9"/>
    <x v="18"/>
    <s v="SE2_Offshore"/>
    <x v="1"/>
    <n v="35.989199999999997"/>
    <n v="9.9969999999999999"/>
  </r>
  <r>
    <x v="0"/>
    <x v="23"/>
    <x v="9"/>
    <x v="18"/>
    <s v="SE2_Offshore"/>
    <x v="2"/>
    <n v="46.08"/>
    <n v="12.8"/>
  </r>
  <r>
    <x v="0"/>
    <x v="23"/>
    <x v="9"/>
    <x v="18"/>
    <s v="SE2_Offshore"/>
    <x v="0"/>
    <n v="42.692399999999999"/>
    <n v="11.859"/>
  </r>
  <r>
    <x v="0"/>
    <x v="23"/>
    <x v="9"/>
    <x v="18"/>
    <s v="SE2_Offshore"/>
    <x v="3"/>
    <n v="51.633543144067197"/>
    <n v="14.342650873352"/>
  </r>
  <r>
    <x v="0"/>
    <x v="23"/>
    <x v="9"/>
    <x v="18"/>
    <s v="SE2_Offshore"/>
    <x v="4"/>
    <n v="10.7598541839271"/>
    <n v="2.9888483844241902"/>
  </r>
  <r>
    <x v="0"/>
    <x v="23"/>
    <x v="9"/>
    <x v="18"/>
    <s v="SE2_Offshore"/>
    <x v="5"/>
    <n v="10.7598541839271"/>
    <n v="2.9888483844241902"/>
  </r>
  <r>
    <x v="0"/>
    <x v="23"/>
    <x v="9"/>
    <x v="18"/>
    <s v="SE2_Offshore"/>
    <x v="6"/>
    <n v="29.476231795214598"/>
    <n v="8.1878421653373898"/>
  </r>
  <r>
    <x v="0"/>
    <x v="23"/>
    <x v="9"/>
    <x v="18"/>
    <s v="SE2_Offshore"/>
    <x v="7"/>
    <n v="57.838935220261199"/>
    <n v="16.066370894517"/>
  </r>
  <r>
    <x v="0"/>
    <x v="23"/>
    <x v="9"/>
    <x v="18"/>
    <s v="SE2_Offshore"/>
    <x v="8"/>
    <n v="57.838935220261199"/>
    <n v="16.066370894517"/>
  </r>
  <r>
    <x v="0"/>
    <x v="23"/>
    <x v="9"/>
    <x v="18"/>
    <s v="SE2_Offshore"/>
    <x v="9"/>
    <n v="47.978366197183199"/>
    <n v="13.327323943662"/>
  </r>
  <r>
    <x v="0"/>
    <x v="23"/>
    <x v="9"/>
    <x v="18"/>
    <s v="SE2_Offshore"/>
    <x v="10"/>
    <n v="63.1479966859984"/>
    <n v="17.541110190555099"/>
  </r>
  <r>
    <x v="0"/>
    <x v="23"/>
    <x v="9"/>
    <x v="18"/>
    <s v="SE2_Offshore"/>
    <x v="11"/>
    <n v="5.9972957746478999"/>
    <n v="1.66591549295775"/>
  </r>
  <r>
    <x v="0"/>
    <x v="23"/>
    <x v="9"/>
    <x v="18"/>
    <s v="SE2_Offshore"/>
    <x v="12"/>
    <n v="9.7995028997514597E-2"/>
    <n v="2.72208413881985E-2"/>
  </r>
  <r>
    <x v="0"/>
    <x v="23"/>
    <x v="9"/>
    <x v="18"/>
    <s v="SE2_Offshore"/>
    <x v="13"/>
    <n v="26.987830985915501"/>
    <n v="7.4966197183098604"/>
  </r>
  <r>
    <x v="0"/>
    <x v="23"/>
    <x v="9"/>
    <x v="18"/>
    <s v="SE2_Offshore"/>
    <x v="14"/>
    <n v="26.987830985915501"/>
    <n v="7.4966197183098604"/>
  </r>
  <r>
    <x v="0"/>
    <x v="23"/>
    <x v="9"/>
    <x v="18"/>
    <s v="SE2_Offshore"/>
    <x v="15"/>
    <n v="1.65807589063794"/>
    <n v="0.46057663628831802"/>
  </r>
  <r>
    <x v="0"/>
    <x v="23"/>
    <x v="9"/>
    <x v="18"/>
    <s v="SE2_Offshore"/>
    <x v="16"/>
    <n v="6.6307647887493104"/>
    <n v="1.84187910798592"/>
  </r>
  <r>
    <x v="0"/>
    <x v="23"/>
    <x v="9"/>
    <x v="18"/>
    <s v="SE2_Offshore"/>
    <x v="17"/>
    <n v="9.1244895875632395"/>
    <n v="2.5345804409897901"/>
  </r>
  <r>
    <x v="0"/>
    <x v="23"/>
    <x v="9"/>
    <x v="18"/>
    <s v="SE2_Offshore"/>
    <x v="18"/>
    <n v="26.987830985915501"/>
    <n v="7.4966197183098604"/>
  </r>
  <r>
    <x v="0"/>
    <x v="23"/>
    <x v="9"/>
    <x v="18"/>
    <s v="SE2_Offshore"/>
    <x v="19"/>
    <n v="8.1139884009941898"/>
    <n v="2.2538856669428302"/>
  </r>
  <r>
    <x v="0"/>
    <x v="23"/>
    <x v="9"/>
    <x v="18"/>
    <s v="SE2_Offshore"/>
    <x v="20"/>
    <n v="21.7877183939536"/>
    <n v="6.0521439983204397"/>
  </r>
  <r>
    <x v="0"/>
    <x v="23"/>
    <x v="9"/>
    <x v="18"/>
    <s v="SE2_Offshore"/>
    <x v="21"/>
    <n v="48.24"/>
    <n v="13.4"/>
  </r>
  <r>
    <x v="0"/>
    <x v="23"/>
    <x v="9"/>
    <x v="18"/>
    <s v="SE2_Offshore"/>
    <x v="22"/>
    <n v="67.680000000000007"/>
    <n v="18.8"/>
  </r>
  <r>
    <x v="0"/>
    <x v="23"/>
    <x v="9"/>
    <x v="18"/>
    <s v="SE2_Offshore"/>
    <x v="23"/>
    <n v="0.31515896120488701"/>
    <n v="8.7544155890246306E-2"/>
  </r>
  <r>
    <x v="0"/>
    <x v="23"/>
    <x v="9"/>
    <x v="18"/>
    <s v="SE2_Offshore"/>
    <x v="24"/>
    <n v="19.174223581093901"/>
    <n v="5.32617321697054"/>
  </r>
  <r>
    <x v="0"/>
    <x v="23"/>
    <x v="9"/>
    <x v="18"/>
    <s v="SE2_Offshore"/>
    <x v="25"/>
    <n v="25.6652953012922"/>
    <n v="7.1292486948033904"/>
  </r>
  <r>
    <x v="0"/>
    <x v="23"/>
    <x v="9"/>
    <x v="18"/>
    <s v="SE2_Offshore"/>
    <x v="26"/>
    <n v="32.971098611263102"/>
    <n v="9.1586385031286301"/>
  </r>
  <r>
    <x v="0"/>
    <x v="23"/>
    <x v="9"/>
    <x v="18"/>
    <s v="SE2_Offshore"/>
    <x v="27"/>
    <n v="20.163995508318798"/>
    <n v="5.6011098634218799"/>
  </r>
  <r>
    <x v="0"/>
    <x v="23"/>
    <x v="9"/>
    <x v="18"/>
    <s v="SE2_medium"/>
    <x v="1"/>
    <n v="35.989199999999997"/>
    <n v="9.9969999999999999"/>
  </r>
  <r>
    <x v="0"/>
    <x v="23"/>
    <x v="9"/>
    <x v="18"/>
    <s v="SE2_medium"/>
    <x v="2"/>
    <n v="46.08"/>
    <n v="12.8"/>
  </r>
  <r>
    <x v="0"/>
    <x v="23"/>
    <x v="9"/>
    <x v="18"/>
    <s v="SE2_medium"/>
    <x v="0"/>
    <n v="42.692399999999999"/>
    <n v="11.859"/>
  </r>
  <r>
    <x v="0"/>
    <x v="23"/>
    <x v="9"/>
    <x v="18"/>
    <s v="SE2_medium"/>
    <x v="3"/>
    <n v="51.633543144067197"/>
    <n v="14.342650873352"/>
  </r>
  <r>
    <x v="0"/>
    <x v="23"/>
    <x v="9"/>
    <x v="18"/>
    <s v="SE2_medium"/>
    <x v="4"/>
    <n v="10.7598541839271"/>
    <n v="2.9888483844241902"/>
  </r>
  <r>
    <x v="0"/>
    <x v="23"/>
    <x v="9"/>
    <x v="18"/>
    <s v="SE2_medium"/>
    <x v="5"/>
    <n v="10.7598541839271"/>
    <n v="2.9888483844241902"/>
  </r>
  <r>
    <x v="0"/>
    <x v="23"/>
    <x v="9"/>
    <x v="18"/>
    <s v="SE2_medium"/>
    <x v="6"/>
    <n v="29.476231795214598"/>
    <n v="8.1878421653373898"/>
  </r>
  <r>
    <x v="0"/>
    <x v="23"/>
    <x v="9"/>
    <x v="18"/>
    <s v="SE2_medium"/>
    <x v="7"/>
    <n v="57.838935220261199"/>
    <n v="16.066370894517"/>
  </r>
  <r>
    <x v="0"/>
    <x v="23"/>
    <x v="9"/>
    <x v="18"/>
    <s v="SE2_medium"/>
    <x v="8"/>
    <n v="57.838935220261199"/>
    <n v="16.066370894517"/>
  </r>
  <r>
    <x v="0"/>
    <x v="23"/>
    <x v="9"/>
    <x v="18"/>
    <s v="SE2_medium"/>
    <x v="9"/>
    <n v="47.978366197183199"/>
    <n v="13.327323943662"/>
  </r>
  <r>
    <x v="0"/>
    <x v="23"/>
    <x v="9"/>
    <x v="18"/>
    <s v="SE2_medium"/>
    <x v="10"/>
    <n v="63.1479966859984"/>
    <n v="17.541110190555099"/>
  </r>
  <r>
    <x v="0"/>
    <x v="23"/>
    <x v="9"/>
    <x v="18"/>
    <s v="SE2_medium"/>
    <x v="11"/>
    <n v="5.9972957746478999"/>
    <n v="1.66591549295775"/>
  </r>
  <r>
    <x v="0"/>
    <x v="23"/>
    <x v="9"/>
    <x v="18"/>
    <s v="SE2_medium"/>
    <x v="12"/>
    <n v="9.7995028997514597E-2"/>
    <n v="2.72208413881985E-2"/>
  </r>
  <r>
    <x v="0"/>
    <x v="23"/>
    <x v="9"/>
    <x v="18"/>
    <s v="SE2_medium"/>
    <x v="13"/>
    <n v="26.987830985915501"/>
    <n v="7.4966197183098604"/>
  </r>
  <r>
    <x v="0"/>
    <x v="23"/>
    <x v="9"/>
    <x v="18"/>
    <s v="SE2_medium"/>
    <x v="14"/>
    <n v="26.987830985915501"/>
    <n v="7.4966197183098604"/>
  </r>
  <r>
    <x v="0"/>
    <x v="23"/>
    <x v="9"/>
    <x v="18"/>
    <s v="SE2_medium"/>
    <x v="15"/>
    <n v="1.65807589063794"/>
    <n v="0.46057663628831802"/>
  </r>
  <r>
    <x v="0"/>
    <x v="23"/>
    <x v="9"/>
    <x v="18"/>
    <s v="SE2_medium"/>
    <x v="16"/>
    <n v="6.6307647887493104"/>
    <n v="1.84187910798592"/>
  </r>
  <r>
    <x v="0"/>
    <x v="23"/>
    <x v="9"/>
    <x v="18"/>
    <s v="SE2_medium"/>
    <x v="17"/>
    <n v="9.1244895875632395"/>
    <n v="2.5345804409897901"/>
  </r>
  <r>
    <x v="0"/>
    <x v="23"/>
    <x v="9"/>
    <x v="18"/>
    <s v="SE2_medium"/>
    <x v="18"/>
    <n v="26.987830985915501"/>
    <n v="7.4966197183098604"/>
  </r>
  <r>
    <x v="0"/>
    <x v="23"/>
    <x v="9"/>
    <x v="18"/>
    <s v="SE2_medium"/>
    <x v="19"/>
    <n v="8.1139884009941898"/>
    <n v="2.2538856669428302"/>
  </r>
  <r>
    <x v="0"/>
    <x v="23"/>
    <x v="9"/>
    <x v="18"/>
    <s v="SE2_medium"/>
    <x v="20"/>
    <n v="21.7877183939536"/>
    <n v="6.0521439983204397"/>
  </r>
  <r>
    <x v="0"/>
    <x v="23"/>
    <x v="9"/>
    <x v="18"/>
    <s v="SE2_medium"/>
    <x v="21"/>
    <n v="48.24"/>
    <n v="13.4"/>
  </r>
  <r>
    <x v="0"/>
    <x v="23"/>
    <x v="9"/>
    <x v="18"/>
    <s v="SE2_medium"/>
    <x v="22"/>
    <n v="67.680000000000007"/>
    <n v="18.8"/>
  </r>
  <r>
    <x v="0"/>
    <x v="23"/>
    <x v="9"/>
    <x v="18"/>
    <s v="SE2_medium"/>
    <x v="23"/>
    <n v="0.31515896120488701"/>
    <n v="8.7544155890246306E-2"/>
  </r>
  <r>
    <x v="0"/>
    <x v="23"/>
    <x v="9"/>
    <x v="18"/>
    <s v="SE2_medium"/>
    <x v="24"/>
    <n v="19.174223581093901"/>
    <n v="5.32617321697054"/>
  </r>
  <r>
    <x v="0"/>
    <x v="23"/>
    <x v="9"/>
    <x v="18"/>
    <s v="SE2_medium"/>
    <x v="25"/>
    <n v="25.6652953012922"/>
    <n v="7.1292486948033904"/>
  </r>
  <r>
    <x v="0"/>
    <x v="23"/>
    <x v="9"/>
    <x v="18"/>
    <s v="SE2_medium"/>
    <x v="26"/>
    <n v="32.971098611263102"/>
    <n v="9.1586385031286301"/>
  </r>
  <r>
    <x v="0"/>
    <x v="23"/>
    <x v="9"/>
    <x v="18"/>
    <s v="SE2_medium"/>
    <x v="27"/>
    <n v="20.163995508318798"/>
    <n v="5.6011098634218799"/>
  </r>
  <r>
    <x v="0"/>
    <x v="23"/>
    <x v="9"/>
    <x v="18"/>
    <s v="SE2_small"/>
    <x v="1"/>
    <n v="35.989199999999997"/>
    <n v="9.9969999999999999"/>
  </r>
  <r>
    <x v="0"/>
    <x v="23"/>
    <x v="9"/>
    <x v="18"/>
    <s v="SE2_small"/>
    <x v="2"/>
    <n v="46.08"/>
    <n v="12.8"/>
  </r>
  <r>
    <x v="0"/>
    <x v="23"/>
    <x v="9"/>
    <x v="18"/>
    <s v="SE2_small"/>
    <x v="0"/>
    <n v="42.692399999999999"/>
    <n v="11.859"/>
  </r>
  <r>
    <x v="0"/>
    <x v="23"/>
    <x v="9"/>
    <x v="18"/>
    <s v="SE2_small"/>
    <x v="3"/>
    <n v="51.633543144067197"/>
    <n v="14.342650873352"/>
  </r>
  <r>
    <x v="0"/>
    <x v="23"/>
    <x v="9"/>
    <x v="18"/>
    <s v="SE2_small"/>
    <x v="4"/>
    <n v="10.7598541839271"/>
    <n v="2.9888483844241902"/>
  </r>
  <r>
    <x v="0"/>
    <x v="23"/>
    <x v="9"/>
    <x v="18"/>
    <s v="SE2_small"/>
    <x v="5"/>
    <n v="10.7598541839271"/>
    <n v="2.9888483844241902"/>
  </r>
  <r>
    <x v="0"/>
    <x v="23"/>
    <x v="9"/>
    <x v="18"/>
    <s v="SE2_small"/>
    <x v="6"/>
    <n v="29.476231795214598"/>
    <n v="8.1878421653373898"/>
  </r>
  <r>
    <x v="0"/>
    <x v="23"/>
    <x v="9"/>
    <x v="18"/>
    <s v="SE2_small"/>
    <x v="7"/>
    <n v="57.838935220261199"/>
    <n v="16.066370894517"/>
  </r>
  <r>
    <x v="0"/>
    <x v="23"/>
    <x v="9"/>
    <x v="18"/>
    <s v="SE2_small"/>
    <x v="8"/>
    <n v="57.838935220261199"/>
    <n v="16.066370894517"/>
  </r>
  <r>
    <x v="0"/>
    <x v="23"/>
    <x v="9"/>
    <x v="18"/>
    <s v="SE2_small"/>
    <x v="9"/>
    <n v="47.978366197183199"/>
    <n v="13.327323943662"/>
  </r>
  <r>
    <x v="0"/>
    <x v="23"/>
    <x v="9"/>
    <x v="18"/>
    <s v="SE2_small"/>
    <x v="10"/>
    <n v="63.1479966859984"/>
    <n v="17.541110190555099"/>
  </r>
  <r>
    <x v="0"/>
    <x v="23"/>
    <x v="9"/>
    <x v="18"/>
    <s v="SE2_small"/>
    <x v="11"/>
    <n v="5.9972957746478999"/>
    <n v="1.66591549295775"/>
  </r>
  <r>
    <x v="0"/>
    <x v="23"/>
    <x v="9"/>
    <x v="18"/>
    <s v="SE2_small"/>
    <x v="12"/>
    <n v="9.7995028997514597E-2"/>
    <n v="2.72208413881985E-2"/>
  </r>
  <r>
    <x v="0"/>
    <x v="23"/>
    <x v="9"/>
    <x v="18"/>
    <s v="SE2_small"/>
    <x v="13"/>
    <n v="26.987830985915501"/>
    <n v="7.4966197183098604"/>
  </r>
  <r>
    <x v="0"/>
    <x v="23"/>
    <x v="9"/>
    <x v="18"/>
    <s v="SE2_small"/>
    <x v="14"/>
    <n v="26.987830985915501"/>
    <n v="7.4966197183098604"/>
  </r>
  <r>
    <x v="0"/>
    <x v="23"/>
    <x v="9"/>
    <x v="18"/>
    <s v="SE2_small"/>
    <x v="15"/>
    <n v="1.65807589063794"/>
    <n v="0.46057663628831802"/>
  </r>
  <r>
    <x v="0"/>
    <x v="23"/>
    <x v="9"/>
    <x v="18"/>
    <s v="SE2_small"/>
    <x v="16"/>
    <n v="6.6307647887493104"/>
    <n v="1.84187910798592"/>
  </r>
  <r>
    <x v="0"/>
    <x v="23"/>
    <x v="9"/>
    <x v="18"/>
    <s v="SE2_small"/>
    <x v="17"/>
    <n v="9.1244895875632395"/>
    <n v="2.5345804409897901"/>
  </r>
  <r>
    <x v="0"/>
    <x v="23"/>
    <x v="9"/>
    <x v="18"/>
    <s v="SE2_small"/>
    <x v="18"/>
    <n v="26.987830985915501"/>
    <n v="7.4966197183098604"/>
  </r>
  <r>
    <x v="0"/>
    <x v="23"/>
    <x v="9"/>
    <x v="18"/>
    <s v="SE2_small"/>
    <x v="19"/>
    <n v="8.1139884009941898"/>
    <n v="2.2538856669428302"/>
  </r>
  <r>
    <x v="0"/>
    <x v="23"/>
    <x v="9"/>
    <x v="18"/>
    <s v="SE2_small"/>
    <x v="20"/>
    <n v="21.7877183939536"/>
    <n v="6.0521439983204397"/>
  </r>
  <r>
    <x v="0"/>
    <x v="23"/>
    <x v="9"/>
    <x v="18"/>
    <s v="SE2_small"/>
    <x v="21"/>
    <n v="48.24"/>
    <n v="13.4"/>
  </r>
  <r>
    <x v="0"/>
    <x v="23"/>
    <x v="9"/>
    <x v="18"/>
    <s v="SE2_small"/>
    <x v="22"/>
    <n v="67.680000000000007"/>
    <n v="18.8"/>
  </r>
  <r>
    <x v="0"/>
    <x v="23"/>
    <x v="9"/>
    <x v="18"/>
    <s v="SE2_small"/>
    <x v="23"/>
    <n v="0.31515896120488701"/>
    <n v="8.7544155890246306E-2"/>
  </r>
  <r>
    <x v="0"/>
    <x v="23"/>
    <x v="9"/>
    <x v="18"/>
    <s v="SE2_small"/>
    <x v="24"/>
    <n v="19.174223581093901"/>
    <n v="5.32617321697054"/>
  </r>
  <r>
    <x v="0"/>
    <x v="23"/>
    <x v="9"/>
    <x v="18"/>
    <s v="SE2_small"/>
    <x v="25"/>
    <n v="25.6652953012922"/>
    <n v="7.1292486948033904"/>
  </r>
  <r>
    <x v="0"/>
    <x v="23"/>
    <x v="9"/>
    <x v="18"/>
    <s v="SE2_small"/>
    <x v="26"/>
    <n v="32.971098611263102"/>
    <n v="9.1586385031286301"/>
  </r>
  <r>
    <x v="0"/>
    <x v="23"/>
    <x v="9"/>
    <x v="18"/>
    <s v="SE2_small"/>
    <x v="27"/>
    <n v="20.163995508318798"/>
    <n v="5.6011098634218799"/>
  </r>
  <r>
    <x v="0"/>
    <x v="23"/>
    <x v="9"/>
    <x v="19"/>
    <s v="SE3A"/>
    <x v="1"/>
    <n v="35.989199999999997"/>
    <n v="9.9969999999999999"/>
  </r>
  <r>
    <x v="0"/>
    <x v="23"/>
    <x v="9"/>
    <x v="19"/>
    <s v="SE3A"/>
    <x v="2"/>
    <n v="46.08"/>
    <n v="12.8"/>
  </r>
  <r>
    <x v="0"/>
    <x v="23"/>
    <x v="9"/>
    <x v="19"/>
    <s v="SE3A"/>
    <x v="0"/>
    <n v="42.692399999999999"/>
    <n v="11.859"/>
  </r>
  <r>
    <x v="0"/>
    <x v="23"/>
    <x v="9"/>
    <x v="19"/>
    <s v="SE3A"/>
    <x v="3"/>
    <n v="51.633543144067197"/>
    <n v="14.342650873352"/>
  </r>
  <r>
    <x v="0"/>
    <x v="23"/>
    <x v="9"/>
    <x v="19"/>
    <s v="SE3A"/>
    <x v="4"/>
    <n v="10.7598541839271"/>
    <n v="2.9888483844241902"/>
  </r>
  <r>
    <x v="0"/>
    <x v="23"/>
    <x v="9"/>
    <x v="19"/>
    <s v="SE3A"/>
    <x v="5"/>
    <n v="10.7598541839271"/>
    <n v="2.9888483844241902"/>
  </r>
  <r>
    <x v="0"/>
    <x v="23"/>
    <x v="9"/>
    <x v="19"/>
    <s v="SE3A"/>
    <x v="6"/>
    <n v="29.476231795214598"/>
    <n v="8.1878421653373898"/>
  </r>
  <r>
    <x v="0"/>
    <x v="23"/>
    <x v="9"/>
    <x v="19"/>
    <s v="SE3A"/>
    <x v="7"/>
    <n v="57.838935220261199"/>
    <n v="16.066370894517"/>
  </r>
  <r>
    <x v="0"/>
    <x v="23"/>
    <x v="9"/>
    <x v="19"/>
    <s v="SE3A"/>
    <x v="8"/>
    <n v="57.838935220261199"/>
    <n v="16.066370894517"/>
  </r>
  <r>
    <x v="0"/>
    <x v="23"/>
    <x v="9"/>
    <x v="19"/>
    <s v="SE3A"/>
    <x v="9"/>
    <n v="47.978366197183199"/>
    <n v="13.327323943662"/>
  </r>
  <r>
    <x v="0"/>
    <x v="23"/>
    <x v="9"/>
    <x v="19"/>
    <s v="SE3A"/>
    <x v="10"/>
    <n v="63.1479966859984"/>
    <n v="17.541110190555099"/>
  </r>
  <r>
    <x v="0"/>
    <x v="23"/>
    <x v="9"/>
    <x v="19"/>
    <s v="SE3A"/>
    <x v="11"/>
    <n v="5.9972957746478999"/>
    <n v="1.66591549295775"/>
  </r>
  <r>
    <x v="0"/>
    <x v="23"/>
    <x v="9"/>
    <x v="19"/>
    <s v="SE3A"/>
    <x v="12"/>
    <n v="9.7995028997514597E-2"/>
    <n v="2.72208413881985E-2"/>
  </r>
  <r>
    <x v="0"/>
    <x v="23"/>
    <x v="9"/>
    <x v="19"/>
    <s v="SE3A"/>
    <x v="13"/>
    <n v="26.987830985915501"/>
    <n v="7.4966197183098604"/>
  </r>
  <r>
    <x v="0"/>
    <x v="23"/>
    <x v="9"/>
    <x v="19"/>
    <s v="SE3A"/>
    <x v="14"/>
    <n v="26.987830985915501"/>
    <n v="7.4966197183098604"/>
  </r>
  <r>
    <x v="0"/>
    <x v="23"/>
    <x v="9"/>
    <x v="19"/>
    <s v="SE3A"/>
    <x v="15"/>
    <n v="1.65807589063794"/>
    <n v="0.46057663628831802"/>
  </r>
  <r>
    <x v="0"/>
    <x v="23"/>
    <x v="9"/>
    <x v="19"/>
    <s v="SE3A"/>
    <x v="16"/>
    <n v="6.6307647887493104"/>
    <n v="1.84187910798592"/>
  </r>
  <r>
    <x v="0"/>
    <x v="23"/>
    <x v="9"/>
    <x v="19"/>
    <s v="SE3A"/>
    <x v="17"/>
    <n v="9.1244895875632395"/>
    <n v="2.5345804409897901"/>
  </r>
  <r>
    <x v="0"/>
    <x v="23"/>
    <x v="9"/>
    <x v="19"/>
    <s v="SE3A"/>
    <x v="18"/>
    <n v="26.987830985915501"/>
    <n v="7.4966197183098604"/>
  </r>
  <r>
    <x v="0"/>
    <x v="23"/>
    <x v="9"/>
    <x v="19"/>
    <s v="SE3A"/>
    <x v="19"/>
    <n v="8.1139884009941898"/>
    <n v="2.2538856669428302"/>
  </r>
  <r>
    <x v="0"/>
    <x v="23"/>
    <x v="9"/>
    <x v="19"/>
    <s v="SE3A"/>
    <x v="20"/>
    <n v="21.7877183939536"/>
    <n v="6.0521439983204397"/>
  </r>
  <r>
    <x v="0"/>
    <x v="23"/>
    <x v="9"/>
    <x v="19"/>
    <s v="SE3A"/>
    <x v="21"/>
    <n v="48.24"/>
    <n v="13.4"/>
  </r>
  <r>
    <x v="0"/>
    <x v="23"/>
    <x v="9"/>
    <x v="19"/>
    <s v="SE3A"/>
    <x v="22"/>
    <n v="67.680000000000007"/>
    <n v="18.8"/>
  </r>
  <r>
    <x v="0"/>
    <x v="23"/>
    <x v="9"/>
    <x v="19"/>
    <s v="SE3A"/>
    <x v="23"/>
    <n v="0.31515896120488701"/>
    <n v="8.7544155890246306E-2"/>
  </r>
  <r>
    <x v="0"/>
    <x v="23"/>
    <x v="9"/>
    <x v="19"/>
    <s v="SE3A"/>
    <x v="24"/>
    <n v="19.174223581093901"/>
    <n v="5.32617321697054"/>
  </r>
  <r>
    <x v="0"/>
    <x v="23"/>
    <x v="9"/>
    <x v="19"/>
    <s v="SE3A"/>
    <x v="25"/>
    <n v="25.6652953012922"/>
    <n v="7.1292486948033904"/>
  </r>
  <r>
    <x v="0"/>
    <x v="23"/>
    <x v="9"/>
    <x v="19"/>
    <s v="SE3A"/>
    <x v="26"/>
    <n v="32.971098611263102"/>
    <n v="9.1586385031286301"/>
  </r>
  <r>
    <x v="0"/>
    <x v="23"/>
    <x v="9"/>
    <x v="19"/>
    <s v="SE3A"/>
    <x v="27"/>
    <n v="20.163995508318798"/>
    <n v="5.6011098634218799"/>
  </r>
  <r>
    <x v="0"/>
    <x v="23"/>
    <x v="9"/>
    <x v="19"/>
    <s v="SE3_IND"/>
    <x v="1"/>
    <n v="35.989199999999997"/>
    <n v="9.9969999999999999"/>
  </r>
  <r>
    <x v="0"/>
    <x v="23"/>
    <x v="9"/>
    <x v="19"/>
    <s v="SE3_IND"/>
    <x v="2"/>
    <n v="46.08"/>
    <n v="12.8"/>
  </r>
  <r>
    <x v="0"/>
    <x v="23"/>
    <x v="9"/>
    <x v="19"/>
    <s v="SE3_IND"/>
    <x v="0"/>
    <n v="42.692399999999999"/>
    <n v="11.859"/>
  </r>
  <r>
    <x v="0"/>
    <x v="23"/>
    <x v="9"/>
    <x v="19"/>
    <s v="SE3_IND"/>
    <x v="3"/>
    <n v="51.633543144067197"/>
    <n v="14.342650873352"/>
  </r>
  <r>
    <x v="0"/>
    <x v="23"/>
    <x v="9"/>
    <x v="19"/>
    <s v="SE3_IND"/>
    <x v="4"/>
    <n v="10.7598541839271"/>
    <n v="2.9888483844241902"/>
  </r>
  <r>
    <x v="0"/>
    <x v="23"/>
    <x v="9"/>
    <x v="19"/>
    <s v="SE3_IND"/>
    <x v="5"/>
    <n v="10.7598541839271"/>
    <n v="2.9888483844241902"/>
  </r>
  <r>
    <x v="0"/>
    <x v="23"/>
    <x v="9"/>
    <x v="19"/>
    <s v="SE3_IND"/>
    <x v="6"/>
    <n v="29.476231795214598"/>
    <n v="8.1878421653373898"/>
  </r>
  <r>
    <x v="0"/>
    <x v="23"/>
    <x v="9"/>
    <x v="19"/>
    <s v="SE3_IND"/>
    <x v="7"/>
    <n v="57.838935220261199"/>
    <n v="16.066370894517"/>
  </r>
  <r>
    <x v="0"/>
    <x v="23"/>
    <x v="9"/>
    <x v="19"/>
    <s v="SE3_IND"/>
    <x v="8"/>
    <n v="57.838935220261199"/>
    <n v="16.066370894517"/>
  </r>
  <r>
    <x v="0"/>
    <x v="23"/>
    <x v="9"/>
    <x v="19"/>
    <s v="SE3_IND"/>
    <x v="9"/>
    <n v="47.978366197183199"/>
    <n v="13.327323943662"/>
  </r>
  <r>
    <x v="0"/>
    <x v="23"/>
    <x v="9"/>
    <x v="19"/>
    <s v="SE3_IND"/>
    <x v="10"/>
    <n v="63.1479966859984"/>
    <n v="17.541110190555099"/>
  </r>
  <r>
    <x v="0"/>
    <x v="23"/>
    <x v="9"/>
    <x v="19"/>
    <s v="SE3_IND"/>
    <x v="11"/>
    <n v="5.9972957746478999"/>
    <n v="1.66591549295775"/>
  </r>
  <r>
    <x v="0"/>
    <x v="23"/>
    <x v="9"/>
    <x v="19"/>
    <s v="SE3_IND"/>
    <x v="12"/>
    <n v="9.7995028997514597E-2"/>
    <n v="2.72208413881985E-2"/>
  </r>
  <r>
    <x v="0"/>
    <x v="23"/>
    <x v="9"/>
    <x v="19"/>
    <s v="SE3_IND"/>
    <x v="13"/>
    <n v="26.987830985915501"/>
    <n v="7.4966197183098604"/>
  </r>
  <r>
    <x v="0"/>
    <x v="23"/>
    <x v="9"/>
    <x v="19"/>
    <s v="SE3_IND"/>
    <x v="14"/>
    <n v="26.987830985915501"/>
    <n v="7.4966197183098604"/>
  </r>
  <r>
    <x v="0"/>
    <x v="23"/>
    <x v="9"/>
    <x v="19"/>
    <s v="SE3_IND"/>
    <x v="15"/>
    <n v="1.65807589063794"/>
    <n v="0.46057663628831802"/>
  </r>
  <r>
    <x v="0"/>
    <x v="23"/>
    <x v="9"/>
    <x v="19"/>
    <s v="SE3_IND"/>
    <x v="16"/>
    <n v="6.6307647887493104"/>
    <n v="1.84187910798592"/>
  </r>
  <r>
    <x v="0"/>
    <x v="23"/>
    <x v="9"/>
    <x v="19"/>
    <s v="SE3_IND"/>
    <x v="17"/>
    <n v="9.1244895875632395"/>
    <n v="2.5345804409897901"/>
  </r>
  <r>
    <x v="0"/>
    <x v="23"/>
    <x v="9"/>
    <x v="19"/>
    <s v="SE3_IND"/>
    <x v="18"/>
    <n v="26.987830985915501"/>
    <n v="7.4966197183098604"/>
  </r>
  <r>
    <x v="0"/>
    <x v="23"/>
    <x v="9"/>
    <x v="19"/>
    <s v="SE3_IND"/>
    <x v="19"/>
    <n v="8.1139884009941898"/>
    <n v="2.2538856669428302"/>
  </r>
  <r>
    <x v="0"/>
    <x v="23"/>
    <x v="9"/>
    <x v="19"/>
    <s v="SE3_IND"/>
    <x v="20"/>
    <n v="21.7877183939536"/>
    <n v="6.0521439983204397"/>
  </r>
  <r>
    <x v="0"/>
    <x v="23"/>
    <x v="9"/>
    <x v="19"/>
    <s v="SE3_IND"/>
    <x v="21"/>
    <n v="48.24"/>
    <n v="13.4"/>
  </r>
  <r>
    <x v="0"/>
    <x v="23"/>
    <x v="9"/>
    <x v="19"/>
    <s v="SE3_IND"/>
    <x v="22"/>
    <n v="67.680000000000007"/>
    <n v="18.8"/>
  </r>
  <r>
    <x v="0"/>
    <x v="23"/>
    <x v="9"/>
    <x v="19"/>
    <s v="SE3_IND"/>
    <x v="23"/>
    <n v="0.31515896120488701"/>
    <n v="8.7544155890246306E-2"/>
  </r>
  <r>
    <x v="0"/>
    <x v="23"/>
    <x v="9"/>
    <x v="19"/>
    <s v="SE3_IND"/>
    <x v="24"/>
    <n v="19.174223581093901"/>
    <n v="5.32617321697054"/>
  </r>
  <r>
    <x v="0"/>
    <x v="23"/>
    <x v="9"/>
    <x v="19"/>
    <s v="SE3_IND"/>
    <x v="25"/>
    <n v="25.6652953012922"/>
    <n v="7.1292486948033904"/>
  </r>
  <r>
    <x v="0"/>
    <x v="23"/>
    <x v="9"/>
    <x v="19"/>
    <s v="SE3_IND"/>
    <x v="26"/>
    <n v="32.971098611263102"/>
    <n v="9.1586385031286301"/>
  </r>
  <r>
    <x v="0"/>
    <x v="23"/>
    <x v="9"/>
    <x v="19"/>
    <s v="SE3_IND"/>
    <x v="27"/>
    <n v="20.163995508318798"/>
    <n v="5.6011098634218799"/>
  </r>
  <r>
    <x v="0"/>
    <x v="23"/>
    <x v="9"/>
    <x v="19"/>
    <s v="SE3_Offshore"/>
    <x v="1"/>
    <n v="35.989199999999997"/>
    <n v="9.9969999999999999"/>
  </r>
  <r>
    <x v="0"/>
    <x v="23"/>
    <x v="9"/>
    <x v="19"/>
    <s v="SE3_Offshore"/>
    <x v="2"/>
    <n v="46.08"/>
    <n v="12.8"/>
  </r>
  <r>
    <x v="0"/>
    <x v="23"/>
    <x v="9"/>
    <x v="19"/>
    <s v="SE3_Offshore"/>
    <x v="0"/>
    <n v="42.692399999999999"/>
    <n v="11.859"/>
  </r>
  <r>
    <x v="0"/>
    <x v="23"/>
    <x v="9"/>
    <x v="19"/>
    <s v="SE3_Offshore"/>
    <x v="3"/>
    <n v="51.633543144067197"/>
    <n v="14.342650873352"/>
  </r>
  <r>
    <x v="0"/>
    <x v="23"/>
    <x v="9"/>
    <x v="19"/>
    <s v="SE3_Offshore"/>
    <x v="4"/>
    <n v="10.7598541839271"/>
    <n v="2.9888483844241902"/>
  </r>
  <r>
    <x v="0"/>
    <x v="23"/>
    <x v="9"/>
    <x v="19"/>
    <s v="SE3_Offshore"/>
    <x v="5"/>
    <n v="10.7598541839271"/>
    <n v="2.9888483844241902"/>
  </r>
  <r>
    <x v="0"/>
    <x v="23"/>
    <x v="9"/>
    <x v="19"/>
    <s v="SE3_Offshore"/>
    <x v="6"/>
    <n v="29.476231795214598"/>
    <n v="8.1878421653373898"/>
  </r>
  <r>
    <x v="0"/>
    <x v="23"/>
    <x v="9"/>
    <x v="19"/>
    <s v="SE3_Offshore"/>
    <x v="7"/>
    <n v="57.838935220261199"/>
    <n v="16.066370894517"/>
  </r>
  <r>
    <x v="0"/>
    <x v="23"/>
    <x v="9"/>
    <x v="19"/>
    <s v="SE3_Offshore"/>
    <x v="8"/>
    <n v="57.838935220261199"/>
    <n v="16.066370894517"/>
  </r>
  <r>
    <x v="0"/>
    <x v="23"/>
    <x v="9"/>
    <x v="19"/>
    <s v="SE3_Offshore"/>
    <x v="9"/>
    <n v="47.978366197183199"/>
    <n v="13.327323943662"/>
  </r>
  <r>
    <x v="0"/>
    <x v="23"/>
    <x v="9"/>
    <x v="19"/>
    <s v="SE3_Offshore"/>
    <x v="10"/>
    <n v="63.1479966859984"/>
    <n v="17.541110190555099"/>
  </r>
  <r>
    <x v="0"/>
    <x v="23"/>
    <x v="9"/>
    <x v="19"/>
    <s v="SE3_Offshore"/>
    <x v="11"/>
    <n v="5.9972957746478999"/>
    <n v="1.66591549295775"/>
  </r>
  <r>
    <x v="0"/>
    <x v="23"/>
    <x v="9"/>
    <x v="19"/>
    <s v="SE3_Offshore"/>
    <x v="12"/>
    <n v="9.7995028997514597E-2"/>
    <n v="2.72208413881985E-2"/>
  </r>
  <r>
    <x v="0"/>
    <x v="23"/>
    <x v="9"/>
    <x v="19"/>
    <s v="SE3_Offshore"/>
    <x v="13"/>
    <n v="26.987830985915501"/>
    <n v="7.4966197183098604"/>
  </r>
  <r>
    <x v="0"/>
    <x v="23"/>
    <x v="9"/>
    <x v="19"/>
    <s v="SE3_Offshore"/>
    <x v="14"/>
    <n v="26.987830985915501"/>
    <n v="7.4966197183098604"/>
  </r>
  <r>
    <x v="0"/>
    <x v="23"/>
    <x v="9"/>
    <x v="19"/>
    <s v="SE3_Offshore"/>
    <x v="15"/>
    <n v="1.65807589063794"/>
    <n v="0.46057663628831802"/>
  </r>
  <r>
    <x v="0"/>
    <x v="23"/>
    <x v="9"/>
    <x v="19"/>
    <s v="SE3_Offshore"/>
    <x v="16"/>
    <n v="6.6307647887493104"/>
    <n v="1.84187910798592"/>
  </r>
  <r>
    <x v="0"/>
    <x v="23"/>
    <x v="9"/>
    <x v="19"/>
    <s v="SE3_Offshore"/>
    <x v="17"/>
    <n v="9.1244895875632395"/>
    <n v="2.5345804409897901"/>
  </r>
  <r>
    <x v="0"/>
    <x v="23"/>
    <x v="9"/>
    <x v="19"/>
    <s v="SE3_Offshore"/>
    <x v="18"/>
    <n v="26.987830985915501"/>
    <n v="7.4966197183098604"/>
  </r>
  <r>
    <x v="0"/>
    <x v="23"/>
    <x v="9"/>
    <x v="19"/>
    <s v="SE3_Offshore"/>
    <x v="19"/>
    <n v="8.1139884009941898"/>
    <n v="2.2538856669428302"/>
  </r>
  <r>
    <x v="0"/>
    <x v="23"/>
    <x v="9"/>
    <x v="19"/>
    <s v="SE3_Offshore"/>
    <x v="20"/>
    <n v="21.7877183939536"/>
    <n v="6.0521439983204397"/>
  </r>
  <r>
    <x v="0"/>
    <x v="23"/>
    <x v="9"/>
    <x v="19"/>
    <s v="SE3_Offshore"/>
    <x v="21"/>
    <n v="48.24"/>
    <n v="13.4"/>
  </r>
  <r>
    <x v="0"/>
    <x v="23"/>
    <x v="9"/>
    <x v="19"/>
    <s v="SE3_Offshore"/>
    <x v="22"/>
    <n v="67.680000000000007"/>
    <n v="18.8"/>
  </r>
  <r>
    <x v="0"/>
    <x v="23"/>
    <x v="9"/>
    <x v="19"/>
    <s v="SE3_Offshore"/>
    <x v="23"/>
    <n v="0.31515896120488701"/>
    <n v="8.7544155890246306E-2"/>
  </r>
  <r>
    <x v="0"/>
    <x v="23"/>
    <x v="9"/>
    <x v="19"/>
    <s v="SE3_Offshore"/>
    <x v="24"/>
    <n v="19.174223581093901"/>
    <n v="5.32617321697054"/>
  </r>
  <r>
    <x v="0"/>
    <x v="23"/>
    <x v="9"/>
    <x v="19"/>
    <s v="SE3_Offshore"/>
    <x v="25"/>
    <n v="25.6652953012922"/>
    <n v="7.1292486948033904"/>
  </r>
  <r>
    <x v="0"/>
    <x v="23"/>
    <x v="9"/>
    <x v="19"/>
    <s v="SE3_Offshore"/>
    <x v="26"/>
    <n v="32.971098611263102"/>
    <n v="9.1586385031286301"/>
  </r>
  <r>
    <x v="0"/>
    <x v="23"/>
    <x v="9"/>
    <x v="19"/>
    <s v="SE3_Offshore"/>
    <x v="27"/>
    <n v="20.163995508318798"/>
    <n v="5.6011098634218799"/>
  </r>
  <r>
    <x v="0"/>
    <x v="23"/>
    <x v="9"/>
    <x v="19"/>
    <s v="SE3_large"/>
    <x v="1"/>
    <n v="35.989199999999997"/>
    <n v="9.9969999999999999"/>
  </r>
  <r>
    <x v="0"/>
    <x v="23"/>
    <x v="9"/>
    <x v="19"/>
    <s v="SE3_large"/>
    <x v="2"/>
    <n v="46.08"/>
    <n v="12.8"/>
  </r>
  <r>
    <x v="0"/>
    <x v="23"/>
    <x v="9"/>
    <x v="19"/>
    <s v="SE3_large"/>
    <x v="0"/>
    <n v="42.692399999999999"/>
    <n v="11.859"/>
  </r>
  <r>
    <x v="0"/>
    <x v="23"/>
    <x v="9"/>
    <x v="19"/>
    <s v="SE3_large"/>
    <x v="3"/>
    <n v="51.633543144067197"/>
    <n v="14.342650873352"/>
  </r>
  <r>
    <x v="0"/>
    <x v="23"/>
    <x v="9"/>
    <x v="19"/>
    <s v="SE3_large"/>
    <x v="4"/>
    <n v="10.7598541839271"/>
    <n v="2.9888483844241902"/>
  </r>
  <r>
    <x v="0"/>
    <x v="23"/>
    <x v="9"/>
    <x v="19"/>
    <s v="SE3_large"/>
    <x v="5"/>
    <n v="10.7598541839271"/>
    <n v="2.9888483844241902"/>
  </r>
  <r>
    <x v="0"/>
    <x v="23"/>
    <x v="9"/>
    <x v="19"/>
    <s v="SE3_large"/>
    <x v="6"/>
    <n v="29.476231795214598"/>
    <n v="8.1878421653373898"/>
  </r>
  <r>
    <x v="0"/>
    <x v="23"/>
    <x v="9"/>
    <x v="19"/>
    <s v="SE3_large"/>
    <x v="7"/>
    <n v="57.838935220261199"/>
    <n v="16.066370894517"/>
  </r>
  <r>
    <x v="0"/>
    <x v="23"/>
    <x v="9"/>
    <x v="19"/>
    <s v="SE3_large"/>
    <x v="8"/>
    <n v="57.838935220261199"/>
    <n v="16.066370894517"/>
  </r>
  <r>
    <x v="0"/>
    <x v="23"/>
    <x v="9"/>
    <x v="19"/>
    <s v="SE3_large"/>
    <x v="9"/>
    <n v="47.978366197183199"/>
    <n v="13.327323943662"/>
  </r>
  <r>
    <x v="0"/>
    <x v="23"/>
    <x v="9"/>
    <x v="19"/>
    <s v="SE3_large"/>
    <x v="10"/>
    <n v="63.1479966859984"/>
    <n v="17.541110190555099"/>
  </r>
  <r>
    <x v="0"/>
    <x v="23"/>
    <x v="9"/>
    <x v="19"/>
    <s v="SE3_large"/>
    <x v="11"/>
    <n v="5.9972957746478999"/>
    <n v="1.66591549295775"/>
  </r>
  <r>
    <x v="0"/>
    <x v="23"/>
    <x v="9"/>
    <x v="19"/>
    <s v="SE3_large"/>
    <x v="12"/>
    <n v="9.7995028997514597E-2"/>
    <n v="2.72208413881985E-2"/>
  </r>
  <r>
    <x v="0"/>
    <x v="23"/>
    <x v="9"/>
    <x v="19"/>
    <s v="SE3_large"/>
    <x v="13"/>
    <n v="26.987830985915501"/>
    <n v="7.4966197183098604"/>
  </r>
  <r>
    <x v="0"/>
    <x v="23"/>
    <x v="9"/>
    <x v="19"/>
    <s v="SE3_large"/>
    <x v="14"/>
    <n v="26.987830985915501"/>
    <n v="7.4966197183098604"/>
  </r>
  <r>
    <x v="0"/>
    <x v="23"/>
    <x v="9"/>
    <x v="19"/>
    <s v="SE3_large"/>
    <x v="15"/>
    <n v="1.65807589063794"/>
    <n v="0.46057663628831802"/>
  </r>
  <r>
    <x v="0"/>
    <x v="23"/>
    <x v="9"/>
    <x v="19"/>
    <s v="SE3_large"/>
    <x v="16"/>
    <n v="6.6307647887493104"/>
    <n v="1.84187910798592"/>
  </r>
  <r>
    <x v="0"/>
    <x v="23"/>
    <x v="9"/>
    <x v="19"/>
    <s v="SE3_large"/>
    <x v="17"/>
    <n v="9.1244895875632395"/>
    <n v="2.5345804409897901"/>
  </r>
  <r>
    <x v="0"/>
    <x v="23"/>
    <x v="9"/>
    <x v="19"/>
    <s v="SE3_large"/>
    <x v="18"/>
    <n v="26.987830985915501"/>
    <n v="7.4966197183098604"/>
  </r>
  <r>
    <x v="0"/>
    <x v="23"/>
    <x v="9"/>
    <x v="19"/>
    <s v="SE3_large"/>
    <x v="19"/>
    <n v="8.1139884009941898"/>
    <n v="2.2538856669428302"/>
  </r>
  <r>
    <x v="0"/>
    <x v="23"/>
    <x v="9"/>
    <x v="19"/>
    <s v="SE3_large"/>
    <x v="20"/>
    <n v="21.7877183939536"/>
    <n v="6.0521439983204397"/>
  </r>
  <r>
    <x v="0"/>
    <x v="23"/>
    <x v="9"/>
    <x v="19"/>
    <s v="SE3_large"/>
    <x v="21"/>
    <n v="48.24"/>
    <n v="13.4"/>
  </r>
  <r>
    <x v="0"/>
    <x v="23"/>
    <x v="9"/>
    <x v="19"/>
    <s v="SE3_large"/>
    <x v="22"/>
    <n v="67.680000000000007"/>
    <n v="18.8"/>
  </r>
  <r>
    <x v="0"/>
    <x v="23"/>
    <x v="9"/>
    <x v="19"/>
    <s v="SE3_large"/>
    <x v="23"/>
    <n v="0.31515896120488701"/>
    <n v="8.7544155890246306E-2"/>
  </r>
  <r>
    <x v="0"/>
    <x v="23"/>
    <x v="9"/>
    <x v="19"/>
    <s v="SE3_large"/>
    <x v="24"/>
    <n v="19.174223581093901"/>
    <n v="5.32617321697054"/>
  </r>
  <r>
    <x v="0"/>
    <x v="23"/>
    <x v="9"/>
    <x v="19"/>
    <s v="SE3_large"/>
    <x v="25"/>
    <n v="25.6652953012922"/>
    <n v="7.1292486948033904"/>
  </r>
  <r>
    <x v="0"/>
    <x v="23"/>
    <x v="9"/>
    <x v="19"/>
    <s v="SE3_large"/>
    <x v="26"/>
    <n v="32.971098611263102"/>
    <n v="9.1586385031286301"/>
  </r>
  <r>
    <x v="0"/>
    <x v="23"/>
    <x v="9"/>
    <x v="19"/>
    <s v="SE3_large"/>
    <x v="27"/>
    <n v="20.163995508318798"/>
    <n v="5.6011098634218799"/>
  </r>
  <r>
    <x v="0"/>
    <x v="23"/>
    <x v="9"/>
    <x v="19"/>
    <s v="SE3_medium"/>
    <x v="1"/>
    <n v="35.989199999999997"/>
    <n v="9.9969999999999999"/>
  </r>
  <r>
    <x v="0"/>
    <x v="23"/>
    <x v="9"/>
    <x v="19"/>
    <s v="SE3_medium"/>
    <x v="2"/>
    <n v="46.08"/>
    <n v="12.8"/>
  </r>
  <r>
    <x v="0"/>
    <x v="23"/>
    <x v="9"/>
    <x v="19"/>
    <s v="SE3_medium"/>
    <x v="0"/>
    <n v="42.692399999999999"/>
    <n v="11.859"/>
  </r>
  <r>
    <x v="0"/>
    <x v="23"/>
    <x v="9"/>
    <x v="19"/>
    <s v="SE3_medium"/>
    <x v="3"/>
    <n v="51.633543144067197"/>
    <n v="14.342650873352"/>
  </r>
  <r>
    <x v="0"/>
    <x v="23"/>
    <x v="9"/>
    <x v="19"/>
    <s v="SE3_medium"/>
    <x v="4"/>
    <n v="10.7598541839271"/>
    <n v="2.9888483844241902"/>
  </r>
  <r>
    <x v="0"/>
    <x v="23"/>
    <x v="9"/>
    <x v="19"/>
    <s v="SE3_medium"/>
    <x v="5"/>
    <n v="10.7598541839271"/>
    <n v="2.9888483844241902"/>
  </r>
  <r>
    <x v="0"/>
    <x v="23"/>
    <x v="9"/>
    <x v="19"/>
    <s v="SE3_medium"/>
    <x v="6"/>
    <n v="29.476231795214598"/>
    <n v="8.1878421653373898"/>
  </r>
  <r>
    <x v="0"/>
    <x v="23"/>
    <x v="9"/>
    <x v="19"/>
    <s v="SE3_medium"/>
    <x v="7"/>
    <n v="57.838935220261199"/>
    <n v="16.066370894517"/>
  </r>
  <r>
    <x v="0"/>
    <x v="23"/>
    <x v="9"/>
    <x v="19"/>
    <s v="SE3_medium"/>
    <x v="8"/>
    <n v="57.838935220261199"/>
    <n v="16.066370894517"/>
  </r>
  <r>
    <x v="0"/>
    <x v="23"/>
    <x v="9"/>
    <x v="19"/>
    <s v="SE3_medium"/>
    <x v="9"/>
    <n v="47.978366197183199"/>
    <n v="13.327323943662"/>
  </r>
  <r>
    <x v="0"/>
    <x v="23"/>
    <x v="9"/>
    <x v="19"/>
    <s v="SE3_medium"/>
    <x v="10"/>
    <n v="63.1479966859984"/>
    <n v="17.541110190555099"/>
  </r>
  <r>
    <x v="0"/>
    <x v="23"/>
    <x v="9"/>
    <x v="19"/>
    <s v="SE3_medium"/>
    <x v="11"/>
    <n v="5.9972957746478999"/>
    <n v="1.66591549295775"/>
  </r>
  <r>
    <x v="0"/>
    <x v="23"/>
    <x v="9"/>
    <x v="19"/>
    <s v="SE3_medium"/>
    <x v="12"/>
    <n v="9.7995028997514597E-2"/>
    <n v="2.72208413881985E-2"/>
  </r>
  <r>
    <x v="0"/>
    <x v="23"/>
    <x v="9"/>
    <x v="19"/>
    <s v="SE3_medium"/>
    <x v="13"/>
    <n v="26.987830985915501"/>
    <n v="7.4966197183098604"/>
  </r>
  <r>
    <x v="0"/>
    <x v="23"/>
    <x v="9"/>
    <x v="19"/>
    <s v="SE3_medium"/>
    <x v="14"/>
    <n v="26.987830985915501"/>
    <n v="7.4966197183098604"/>
  </r>
  <r>
    <x v="0"/>
    <x v="23"/>
    <x v="9"/>
    <x v="19"/>
    <s v="SE3_medium"/>
    <x v="15"/>
    <n v="1.65807589063794"/>
    <n v="0.46057663628831802"/>
  </r>
  <r>
    <x v="0"/>
    <x v="23"/>
    <x v="9"/>
    <x v="19"/>
    <s v="SE3_medium"/>
    <x v="16"/>
    <n v="6.6307647887493104"/>
    <n v="1.84187910798592"/>
  </r>
  <r>
    <x v="0"/>
    <x v="23"/>
    <x v="9"/>
    <x v="19"/>
    <s v="SE3_medium"/>
    <x v="17"/>
    <n v="9.1244895875632395"/>
    <n v="2.5345804409897901"/>
  </r>
  <r>
    <x v="0"/>
    <x v="23"/>
    <x v="9"/>
    <x v="19"/>
    <s v="SE3_medium"/>
    <x v="18"/>
    <n v="26.987830985915501"/>
    <n v="7.4966197183098604"/>
  </r>
  <r>
    <x v="0"/>
    <x v="23"/>
    <x v="9"/>
    <x v="19"/>
    <s v="SE3_medium"/>
    <x v="19"/>
    <n v="8.1139884009941898"/>
    <n v="2.2538856669428302"/>
  </r>
  <r>
    <x v="0"/>
    <x v="23"/>
    <x v="9"/>
    <x v="19"/>
    <s v="SE3_medium"/>
    <x v="20"/>
    <n v="21.7877183939536"/>
    <n v="6.0521439983204397"/>
  </r>
  <r>
    <x v="0"/>
    <x v="23"/>
    <x v="9"/>
    <x v="19"/>
    <s v="SE3_medium"/>
    <x v="21"/>
    <n v="48.24"/>
    <n v="13.4"/>
  </r>
  <r>
    <x v="0"/>
    <x v="23"/>
    <x v="9"/>
    <x v="19"/>
    <s v="SE3_medium"/>
    <x v="22"/>
    <n v="67.680000000000007"/>
    <n v="18.8"/>
  </r>
  <r>
    <x v="0"/>
    <x v="23"/>
    <x v="9"/>
    <x v="19"/>
    <s v="SE3_medium"/>
    <x v="23"/>
    <n v="0.31515896120488701"/>
    <n v="8.7544155890246306E-2"/>
  </r>
  <r>
    <x v="0"/>
    <x v="23"/>
    <x v="9"/>
    <x v="19"/>
    <s v="SE3_medium"/>
    <x v="24"/>
    <n v="19.174223581093901"/>
    <n v="5.32617321697054"/>
  </r>
  <r>
    <x v="0"/>
    <x v="23"/>
    <x v="9"/>
    <x v="19"/>
    <s v="SE3_medium"/>
    <x v="25"/>
    <n v="25.6652953012922"/>
    <n v="7.1292486948033904"/>
  </r>
  <r>
    <x v="0"/>
    <x v="23"/>
    <x v="9"/>
    <x v="19"/>
    <s v="SE3_medium"/>
    <x v="26"/>
    <n v="32.971098611263102"/>
    <n v="9.1586385031286301"/>
  </r>
  <r>
    <x v="0"/>
    <x v="23"/>
    <x v="9"/>
    <x v="19"/>
    <s v="SE3_medium"/>
    <x v="27"/>
    <n v="20.163995508318798"/>
    <n v="5.6011098634218799"/>
  </r>
  <r>
    <x v="0"/>
    <x v="23"/>
    <x v="9"/>
    <x v="19"/>
    <s v="SE3_small"/>
    <x v="1"/>
    <n v="35.989199999999997"/>
    <n v="9.9969999999999999"/>
  </r>
  <r>
    <x v="0"/>
    <x v="23"/>
    <x v="9"/>
    <x v="19"/>
    <s v="SE3_small"/>
    <x v="2"/>
    <n v="46.08"/>
    <n v="12.8"/>
  </r>
  <r>
    <x v="0"/>
    <x v="23"/>
    <x v="9"/>
    <x v="19"/>
    <s v="SE3_small"/>
    <x v="0"/>
    <n v="42.692399999999999"/>
    <n v="11.859"/>
  </r>
  <r>
    <x v="0"/>
    <x v="23"/>
    <x v="9"/>
    <x v="19"/>
    <s v="SE3_small"/>
    <x v="3"/>
    <n v="51.633543144067197"/>
    <n v="14.342650873352"/>
  </r>
  <r>
    <x v="0"/>
    <x v="23"/>
    <x v="9"/>
    <x v="19"/>
    <s v="SE3_small"/>
    <x v="4"/>
    <n v="10.7598541839271"/>
    <n v="2.9888483844241902"/>
  </r>
  <r>
    <x v="0"/>
    <x v="23"/>
    <x v="9"/>
    <x v="19"/>
    <s v="SE3_small"/>
    <x v="5"/>
    <n v="10.7598541839271"/>
    <n v="2.9888483844241902"/>
  </r>
  <r>
    <x v="0"/>
    <x v="23"/>
    <x v="9"/>
    <x v="19"/>
    <s v="SE3_small"/>
    <x v="6"/>
    <n v="29.476231795214598"/>
    <n v="8.1878421653373898"/>
  </r>
  <r>
    <x v="0"/>
    <x v="23"/>
    <x v="9"/>
    <x v="19"/>
    <s v="SE3_small"/>
    <x v="7"/>
    <n v="57.838935220261199"/>
    <n v="16.066370894517"/>
  </r>
  <r>
    <x v="0"/>
    <x v="23"/>
    <x v="9"/>
    <x v="19"/>
    <s v="SE3_small"/>
    <x v="8"/>
    <n v="57.838935220261199"/>
    <n v="16.066370894517"/>
  </r>
  <r>
    <x v="0"/>
    <x v="23"/>
    <x v="9"/>
    <x v="19"/>
    <s v="SE3_small"/>
    <x v="9"/>
    <n v="47.978366197183199"/>
    <n v="13.327323943662"/>
  </r>
  <r>
    <x v="0"/>
    <x v="23"/>
    <x v="9"/>
    <x v="19"/>
    <s v="SE3_small"/>
    <x v="10"/>
    <n v="63.1479966859984"/>
    <n v="17.541110190555099"/>
  </r>
  <r>
    <x v="0"/>
    <x v="23"/>
    <x v="9"/>
    <x v="19"/>
    <s v="SE3_small"/>
    <x v="11"/>
    <n v="5.9972957746478999"/>
    <n v="1.66591549295775"/>
  </r>
  <r>
    <x v="0"/>
    <x v="23"/>
    <x v="9"/>
    <x v="19"/>
    <s v="SE3_small"/>
    <x v="12"/>
    <n v="9.7995028997514597E-2"/>
    <n v="2.72208413881985E-2"/>
  </r>
  <r>
    <x v="0"/>
    <x v="23"/>
    <x v="9"/>
    <x v="19"/>
    <s v="SE3_small"/>
    <x v="13"/>
    <n v="26.987830985915501"/>
    <n v="7.4966197183098604"/>
  </r>
  <r>
    <x v="0"/>
    <x v="23"/>
    <x v="9"/>
    <x v="19"/>
    <s v="SE3_small"/>
    <x v="14"/>
    <n v="26.987830985915501"/>
    <n v="7.4966197183098604"/>
  </r>
  <r>
    <x v="0"/>
    <x v="23"/>
    <x v="9"/>
    <x v="19"/>
    <s v="SE3_small"/>
    <x v="15"/>
    <n v="1.65807589063794"/>
    <n v="0.46057663628831802"/>
  </r>
  <r>
    <x v="0"/>
    <x v="23"/>
    <x v="9"/>
    <x v="19"/>
    <s v="SE3_small"/>
    <x v="16"/>
    <n v="6.6307647887493104"/>
    <n v="1.84187910798592"/>
  </r>
  <r>
    <x v="0"/>
    <x v="23"/>
    <x v="9"/>
    <x v="19"/>
    <s v="SE3_small"/>
    <x v="17"/>
    <n v="9.1244895875632395"/>
    <n v="2.5345804409897901"/>
  </r>
  <r>
    <x v="0"/>
    <x v="23"/>
    <x v="9"/>
    <x v="19"/>
    <s v="SE3_small"/>
    <x v="18"/>
    <n v="26.987830985915501"/>
    <n v="7.4966197183098604"/>
  </r>
  <r>
    <x v="0"/>
    <x v="23"/>
    <x v="9"/>
    <x v="19"/>
    <s v="SE3_small"/>
    <x v="19"/>
    <n v="8.1139884009941898"/>
    <n v="2.2538856669428302"/>
  </r>
  <r>
    <x v="0"/>
    <x v="23"/>
    <x v="9"/>
    <x v="19"/>
    <s v="SE3_small"/>
    <x v="20"/>
    <n v="21.7877183939536"/>
    <n v="6.0521439983204397"/>
  </r>
  <r>
    <x v="0"/>
    <x v="23"/>
    <x v="9"/>
    <x v="19"/>
    <s v="SE3_small"/>
    <x v="21"/>
    <n v="48.24"/>
    <n v="13.4"/>
  </r>
  <r>
    <x v="0"/>
    <x v="23"/>
    <x v="9"/>
    <x v="19"/>
    <s v="SE3_small"/>
    <x v="22"/>
    <n v="67.680000000000007"/>
    <n v="18.8"/>
  </r>
  <r>
    <x v="0"/>
    <x v="23"/>
    <x v="9"/>
    <x v="19"/>
    <s v="SE3_small"/>
    <x v="23"/>
    <n v="0.31515896120488701"/>
    <n v="8.7544155890246306E-2"/>
  </r>
  <r>
    <x v="0"/>
    <x v="23"/>
    <x v="9"/>
    <x v="19"/>
    <s v="SE3_small"/>
    <x v="24"/>
    <n v="19.174223581093901"/>
    <n v="5.32617321697054"/>
  </r>
  <r>
    <x v="0"/>
    <x v="23"/>
    <x v="9"/>
    <x v="19"/>
    <s v="SE3_small"/>
    <x v="25"/>
    <n v="25.6652953012922"/>
    <n v="7.1292486948033904"/>
  </r>
  <r>
    <x v="0"/>
    <x v="23"/>
    <x v="9"/>
    <x v="19"/>
    <s v="SE3_small"/>
    <x v="26"/>
    <n v="32.971098611263102"/>
    <n v="9.1586385031286301"/>
  </r>
  <r>
    <x v="0"/>
    <x v="23"/>
    <x v="9"/>
    <x v="19"/>
    <s v="SE3_small"/>
    <x v="27"/>
    <n v="20.163995508318798"/>
    <n v="5.6011098634218799"/>
  </r>
  <r>
    <x v="0"/>
    <x v="23"/>
    <x v="9"/>
    <x v="20"/>
    <s v="SE4A"/>
    <x v="1"/>
    <n v="35.989199999999997"/>
    <n v="9.9969999999999999"/>
  </r>
  <r>
    <x v="0"/>
    <x v="23"/>
    <x v="9"/>
    <x v="20"/>
    <s v="SE4A"/>
    <x v="2"/>
    <n v="46.08"/>
    <n v="12.8"/>
  </r>
  <r>
    <x v="0"/>
    <x v="23"/>
    <x v="9"/>
    <x v="20"/>
    <s v="SE4A"/>
    <x v="0"/>
    <n v="42.692399999999999"/>
    <n v="11.859"/>
  </r>
  <r>
    <x v="0"/>
    <x v="23"/>
    <x v="9"/>
    <x v="20"/>
    <s v="SE4A"/>
    <x v="3"/>
    <n v="51.633543144067197"/>
    <n v="14.342650873352"/>
  </r>
  <r>
    <x v="0"/>
    <x v="23"/>
    <x v="9"/>
    <x v="20"/>
    <s v="SE4A"/>
    <x v="4"/>
    <n v="10.7598541839271"/>
    <n v="2.9888483844241902"/>
  </r>
  <r>
    <x v="0"/>
    <x v="23"/>
    <x v="9"/>
    <x v="20"/>
    <s v="SE4A"/>
    <x v="5"/>
    <n v="10.7598541839271"/>
    <n v="2.9888483844241902"/>
  </r>
  <r>
    <x v="0"/>
    <x v="23"/>
    <x v="9"/>
    <x v="20"/>
    <s v="SE4A"/>
    <x v="6"/>
    <n v="29.476231795214598"/>
    <n v="8.1878421653373898"/>
  </r>
  <r>
    <x v="0"/>
    <x v="23"/>
    <x v="9"/>
    <x v="20"/>
    <s v="SE4A"/>
    <x v="7"/>
    <n v="57.838935220261199"/>
    <n v="16.066370894517"/>
  </r>
  <r>
    <x v="0"/>
    <x v="23"/>
    <x v="9"/>
    <x v="20"/>
    <s v="SE4A"/>
    <x v="8"/>
    <n v="57.838935220261199"/>
    <n v="16.066370894517"/>
  </r>
  <r>
    <x v="0"/>
    <x v="23"/>
    <x v="9"/>
    <x v="20"/>
    <s v="SE4A"/>
    <x v="9"/>
    <n v="47.978366197183199"/>
    <n v="13.327323943662"/>
  </r>
  <r>
    <x v="0"/>
    <x v="23"/>
    <x v="9"/>
    <x v="20"/>
    <s v="SE4A"/>
    <x v="10"/>
    <n v="63.1479966859984"/>
    <n v="17.541110190555099"/>
  </r>
  <r>
    <x v="0"/>
    <x v="23"/>
    <x v="9"/>
    <x v="20"/>
    <s v="SE4A"/>
    <x v="11"/>
    <n v="5.9972957746478999"/>
    <n v="1.66591549295775"/>
  </r>
  <r>
    <x v="0"/>
    <x v="23"/>
    <x v="9"/>
    <x v="20"/>
    <s v="SE4A"/>
    <x v="12"/>
    <n v="9.7995028997514597E-2"/>
    <n v="2.72208413881985E-2"/>
  </r>
  <r>
    <x v="0"/>
    <x v="23"/>
    <x v="9"/>
    <x v="20"/>
    <s v="SE4A"/>
    <x v="13"/>
    <n v="26.987830985915501"/>
    <n v="7.4966197183098604"/>
  </r>
  <r>
    <x v="0"/>
    <x v="23"/>
    <x v="9"/>
    <x v="20"/>
    <s v="SE4A"/>
    <x v="14"/>
    <n v="26.987830985915501"/>
    <n v="7.4966197183098604"/>
  </r>
  <r>
    <x v="0"/>
    <x v="23"/>
    <x v="9"/>
    <x v="20"/>
    <s v="SE4A"/>
    <x v="15"/>
    <n v="1.65807589063794"/>
    <n v="0.46057663628831802"/>
  </r>
  <r>
    <x v="0"/>
    <x v="23"/>
    <x v="9"/>
    <x v="20"/>
    <s v="SE4A"/>
    <x v="16"/>
    <n v="6.6307647887493104"/>
    <n v="1.84187910798592"/>
  </r>
  <r>
    <x v="0"/>
    <x v="23"/>
    <x v="9"/>
    <x v="20"/>
    <s v="SE4A"/>
    <x v="17"/>
    <n v="9.1244895875632395"/>
    <n v="2.5345804409897901"/>
  </r>
  <r>
    <x v="0"/>
    <x v="23"/>
    <x v="9"/>
    <x v="20"/>
    <s v="SE4A"/>
    <x v="18"/>
    <n v="26.987830985915501"/>
    <n v="7.4966197183098604"/>
  </r>
  <r>
    <x v="0"/>
    <x v="23"/>
    <x v="9"/>
    <x v="20"/>
    <s v="SE4A"/>
    <x v="19"/>
    <n v="8.1139884009941898"/>
    <n v="2.2538856669428302"/>
  </r>
  <r>
    <x v="0"/>
    <x v="23"/>
    <x v="9"/>
    <x v="20"/>
    <s v="SE4A"/>
    <x v="20"/>
    <n v="21.7877183939536"/>
    <n v="6.0521439983204397"/>
  </r>
  <r>
    <x v="0"/>
    <x v="23"/>
    <x v="9"/>
    <x v="20"/>
    <s v="SE4A"/>
    <x v="21"/>
    <n v="48.24"/>
    <n v="13.4"/>
  </r>
  <r>
    <x v="0"/>
    <x v="23"/>
    <x v="9"/>
    <x v="20"/>
    <s v="SE4A"/>
    <x v="22"/>
    <n v="67.680000000000007"/>
    <n v="18.8"/>
  </r>
  <r>
    <x v="0"/>
    <x v="23"/>
    <x v="9"/>
    <x v="20"/>
    <s v="SE4A"/>
    <x v="23"/>
    <n v="0.31515896120488701"/>
    <n v="8.7544155890246306E-2"/>
  </r>
  <r>
    <x v="0"/>
    <x v="23"/>
    <x v="9"/>
    <x v="20"/>
    <s v="SE4A"/>
    <x v="24"/>
    <n v="19.174223581093901"/>
    <n v="5.32617321697054"/>
  </r>
  <r>
    <x v="0"/>
    <x v="23"/>
    <x v="9"/>
    <x v="20"/>
    <s v="SE4A"/>
    <x v="25"/>
    <n v="25.6652953012922"/>
    <n v="7.1292486948033904"/>
  </r>
  <r>
    <x v="0"/>
    <x v="23"/>
    <x v="9"/>
    <x v="20"/>
    <s v="SE4A"/>
    <x v="26"/>
    <n v="32.971098611263102"/>
    <n v="9.1586385031286301"/>
  </r>
  <r>
    <x v="0"/>
    <x v="23"/>
    <x v="9"/>
    <x v="20"/>
    <s v="SE4A"/>
    <x v="27"/>
    <n v="20.163995508318798"/>
    <n v="5.6011098634218799"/>
  </r>
  <r>
    <x v="0"/>
    <x v="23"/>
    <x v="9"/>
    <x v="20"/>
    <s v="SE4_IND"/>
    <x v="1"/>
    <n v="35.989199999999997"/>
    <n v="9.9969999999999999"/>
  </r>
  <r>
    <x v="0"/>
    <x v="23"/>
    <x v="9"/>
    <x v="20"/>
    <s v="SE4_IND"/>
    <x v="2"/>
    <n v="46.08"/>
    <n v="12.8"/>
  </r>
  <r>
    <x v="0"/>
    <x v="23"/>
    <x v="9"/>
    <x v="20"/>
    <s v="SE4_IND"/>
    <x v="0"/>
    <n v="42.692399999999999"/>
    <n v="11.859"/>
  </r>
  <r>
    <x v="0"/>
    <x v="23"/>
    <x v="9"/>
    <x v="20"/>
    <s v="SE4_IND"/>
    <x v="3"/>
    <n v="51.633543144067197"/>
    <n v="14.342650873352"/>
  </r>
  <r>
    <x v="0"/>
    <x v="23"/>
    <x v="9"/>
    <x v="20"/>
    <s v="SE4_IND"/>
    <x v="4"/>
    <n v="10.7598541839271"/>
    <n v="2.9888483844241902"/>
  </r>
  <r>
    <x v="0"/>
    <x v="23"/>
    <x v="9"/>
    <x v="20"/>
    <s v="SE4_IND"/>
    <x v="5"/>
    <n v="10.7598541839271"/>
    <n v="2.9888483844241902"/>
  </r>
  <r>
    <x v="0"/>
    <x v="23"/>
    <x v="9"/>
    <x v="20"/>
    <s v="SE4_IND"/>
    <x v="6"/>
    <n v="29.476231795214598"/>
    <n v="8.1878421653373898"/>
  </r>
  <r>
    <x v="0"/>
    <x v="23"/>
    <x v="9"/>
    <x v="20"/>
    <s v="SE4_IND"/>
    <x v="7"/>
    <n v="57.838935220261199"/>
    <n v="16.066370894517"/>
  </r>
  <r>
    <x v="0"/>
    <x v="23"/>
    <x v="9"/>
    <x v="20"/>
    <s v="SE4_IND"/>
    <x v="8"/>
    <n v="57.838935220261199"/>
    <n v="16.066370894517"/>
  </r>
  <r>
    <x v="0"/>
    <x v="23"/>
    <x v="9"/>
    <x v="20"/>
    <s v="SE4_IND"/>
    <x v="9"/>
    <n v="47.978366197183199"/>
    <n v="13.327323943662"/>
  </r>
  <r>
    <x v="0"/>
    <x v="23"/>
    <x v="9"/>
    <x v="20"/>
    <s v="SE4_IND"/>
    <x v="10"/>
    <n v="63.1479966859984"/>
    <n v="17.541110190555099"/>
  </r>
  <r>
    <x v="0"/>
    <x v="23"/>
    <x v="9"/>
    <x v="20"/>
    <s v="SE4_IND"/>
    <x v="11"/>
    <n v="5.9972957746478999"/>
    <n v="1.66591549295775"/>
  </r>
  <r>
    <x v="0"/>
    <x v="23"/>
    <x v="9"/>
    <x v="20"/>
    <s v="SE4_IND"/>
    <x v="12"/>
    <n v="9.7995028997514597E-2"/>
    <n v="2.72208413881985E-2"/>
  </r>
  <r>
    <x v="0"/>
    <x v="23"/>
    <x v="9"/>
    <x v="20"/>
    <s v="SE4_IND"/>
    <x v="13"/>
    <n v="26.987830985915501"/>
    <n v="7.4966197183098604"/>
  </r>
  <r>
    <x v="0"/>
    <x v="23"/>
    <x v="9"/>
    <x v="20"/>
    <s v="SE4_IND"/>
    <x v="14"/>
    <n v="26.987830985915501"/>
    <n v="7.4966197183098604"/>
  </r>
  <r>
    <x v="0"/>
    <x v="23"/>
    <x v="9"/>
    <x v="20"/>
    <s v="SE4_IND"/>
    <x v="15"/>
    <n v="1.65807589063794"/>
    <n v="0.46057663628831802"/>
  </r>
  <r>
    <x v="0"/>
    <x v="23"/>
    <x v="9"/>
    <x v="20"/>
    <s v="SE4_IND"/>
    <x v="16"/>
    <n v="6.6307647887493104"/>
    <n v="1.84187910798592"/>
  </r>
  <r>
    <x v="0"/>
    <x v="23"/>
    <x v="9"/>
    <x v="20"/>
    <s v="SE4_IND"/>
    <x v="17"/>
    <n v="9.1244895875632395"/>
    <n v="2.5345804409897901"/>
  </r>
  <r>
    <x v="0"/>
    <x v="23"/>
    <x v="9"/>
    <x v="20"/>
    <s v="SE4_IND"/>
    <x v="18"/>
    <n v="26.987830985915501"/>
    <n v="7.4966197183098604"/>
  </r>
  <r>
    <x v="0"/>
    <x v="23"/>
    <x v="9"/>
    <x v="20"/>
    <s v="SE4_IND"/>
    <x v="19"/>
    <n v="8.1139884009941898"/>
    <n v="2.2538856669428302"/>
  </r>
  <r>
    <x v="0"/>
    <x v="23"/>
    <x v="9"/>
    <x v="20"/>
    <s v="SE4_IND"/>
    <x v="20"/>
    <n v="21.7877183939536"/>
    <n v="6.0521439983204397"/>
  </r>
  <r>
    <x v="0"/>
    <x v="23"/>
    <x v="9"/>
    <x v="20"/>
    <s v="SE4_IND"/>
    <x v="21"/>
    <n v="48.24"/>
    <n v="13.4"/>
  </r>
  <r>
    <x v="0"/>
    <x v="23"/>
    <x v="9"/>
    <x v="20"/>
    <s v="SE4_IND"/>
    <x v="22"/>
    <n v="67.680000000000007"/>
    <n v="18.8"/>
  </r>
  <r>
    <x v="0"/>
    <x v="23"/>
    <x v="9"/>
    <x v="20"/>
    <s v="SE4_IND"/>
    <x v="23"/>
    <n v="0.31515896120488701"/>
    <n v="8.7544155890246306E-2"/>
  </r>
  <r>
    <x v="0"/>
    <x v="23"/>
    <x v="9"/>
    <x v="20"/>
    <s v="SE4_IND"/>
    <x v="24"/>
    <n v="19.174223581093901"/>
    <n v="5.32617321697054"/>
  </r>
  <r>
    <x v="0"/>
    <x v="23"/>
    <x v="9"/>
    <x v="20"/>
    <s v="SE4_IND"/>
    <x v="25"/>
    <n v="25.6652953012922"/>
    <n v="7.1292486948033904"/>
  </r>
  <r>
    <x v="0"/>
    <x v="23"/>
    <x v="9"/>
    <x v="20"/>
    <s v="SE4_IND"/>
    <x v="26"/>
    <n v="32.971098611263102"/>
    <n v="9.1586385031286301"/>
  </r>
  <r>
    <x v="0"/>
    <x v="23"/>
    <x v="9"/>
    <x v="20"/>
    <s v="SE4_IND"/>
    <x v="27"/>
    <n v="20.163995508318798"/>
    <n v="5.6011098634218799"/>
  </r>
  <r>
    <x v="0"/>
    <x v="23"/>
    <x v="9"/>
    <x v="20"/>
    <s v="SE4_Offshore"/>
    <x v="1"/>
    <n v="35.989199999999997"/>
    <n v="9.9969999999999999"/>
  </r>
  <r>
    <x v="0"/>
    <x v="23"/>
    <x v="9"/>
    <x v="20"/>
    <s v="SE4_Offshore"/>
    <x v="2"/>
    <n v="46.08"/>
    <n v="12.8"/>
  </r>
  <r>
    <x v="0"/>
    <x v="23"/>
    <x v="9"/>
    <x v="20"/>
    <s v="SE4_Offshore"/>
    <x v="0"/>
    <n v="42.692399999999999"/>
    <n v="11.859"/>
  </r>
  <r>
    <x v="0"/>
    <x v="23"/>
    <x v="9"/>
    <x v="20"/>
    <s v="SE4_Offshore"/>
    <x v="3"/>
    <n v="51.633543144067197"/>
    <n v="14.342650873352"/>
  </r>
  <r>
    <x v="0"/>
    <x v="23"/>
    <x v="9"/>
    <x v="20"/>
    <s v="SE4_Offshore"/>
    <x v="4"/>
    <n v="10.7598541839271"/>
    <n v="2.9888483844241902"/>
  </r>
  <r>
    <x v="0"/>
    <x v="23"/>
    <x v="9"/>
    <x v="20"/>
    <s v="SE4_Offshore"/>
    <x v="5"/>
    <n v="10.7598541839271"/>
    <n v="2.9888483844241902"/>
  </r>
  <r>
    <x v="0"/>
    <x v="23"/>
    <x v="9"/>
    <x v="20"/>
    <s v="SE4_Offshore"/>
    <x v="6"/>
    <n v="29.476231795214598"/>
    <n v="8.1878421653373898"/>
  </r>
  <r>
    <x v="0"/>
    <x v="23"/>
    <x v="9"/>
    <x v="20"/>
    <s v="SE4_Offshore"/>
    <x v="7"/>
    <n v="57.838935220261199"/>
    <n v="16.066370894517"/>
  </r>
  <r>
    <x v="0"/>
    <x v="23"/>
    <x v="9"/>
    <x v="20"/>
    <s v="SE4_Offshore"/>
    <x v="8"/>
    <n v="57.838935220261199"/>
    <n v="16.066370894517"/>
  </r>
  <r>
    <x v="0"/>
    <x v="23"/>
    <x v="9"/>
    <x v="20"/>
    <s v="SE4_Offshore"/>
    <x v="9"/>
    <n v="47.978366197183199"/>
    <n v="13.327323943662"/>
  </r>
  <r>
    <x v="0"/>
    <x v="23"/>
    <x v="9"/>
    <x v="20"/>
    <s v="SE4_Offshore"/>
    <x v="10"/>
    <n v="63.1479966859984"/>
    <n v="17.541110190555099"/>
  </r>
  <r>
    <x v="0"/>
    <x v="23"/>
    <x v="9"/>
    <x v="20"/>
    <s v="SE4_Offshore"/>
    <x v="11"/>
    <n v="5.9972957746478999"/>
    <n v="1.66591549295775"/>
  </r>
  <r>
    <x v="0"/>
    <x v="23"/>
    <x v="9"/>
    <x v="20"/>
    <s v="SE4_Offshore"/>
    <x v="12"/>
    <n v="9.7995028997514597E-2"/>
    <n v="2.72208413881985E-2"/>
  </r>
  <r>
    <x v="0"/>
    <x v="23"/>
    <x v="9"/>
    <x v="20"/>
    <s v="SE4_Offshore"/>
    <x v="13"/>
    <n v="26.987830985915501"/>
    <n v="7.4966197183098604"/>
  </r>
  <r>
    <x v="0"/>
    <x v="23"/>
    <x v="9"/>
    <x v="20"/>
    <s v="SE4_Offshore"/>
    <x v="14"/>
    <n v="26.987830985915501"/>
    <n v="7.4966197183098604"/>
  </r>
  <r>
    <x v="0"/>
    <x v="23"/>
    <x v="9"/>
    <x v="20"/>
    <s v="SE4_Offshore"/>
    <x v="15"/>
    <n v="1.65807589063794"/>
    <n v="0.46057663628831802"/>
  </r>
  <r>
    <x v="0"/>
    <x v="23"/>
    <x v="9"/>
    <x v="20"/>
    <s v="SE4_Offshore"/>
    <x v="16"/>
    <n v="6.6307647887493104"/>
    <n v="1.84187910798592"/>
  </r>
  <r>
    <x v="0"/>
    <x v="23"/>
    <x v="9"/>
    <x v="20"/>
    <s v="SE4_Offshore"/>
    <x v="17"/>
    <n v="9.1244895875632395"/>
    <n v="2.5345804409897901"/>
  </r>
  <r>
    <x v="0"/>
    <x v="23"/>
    <x v="9"/>
    <x v="20"/>
    <s v="SE4_Offshore"/>
    <x v="18"/>
    <n v="26.987830985915501"/>
    <n v="7.4966197183098604"/>
  </r>
  <r>
    <x v="0"/>
    <x v="23"/>
    <x v="9"/>
    <x v="20"/>
    <s v="SE4_Offshore"/>
    <x v="19"/>
    <n v="8.1139884009941898"/>
    <n v="2.2538856669428302"/>
  </r>
  <r>
    <x v="0"/>
    <x v="23"/>
    <x v="9"/>
    <x v="20"/>
    <s v="SE4_Offshore"/>
    <x v="20"/>
    <n v="21.7877183939536"/>
    <n v="6.0521439983204397"/>
  </r>
  <r>
    <x v="0"/>
    <x v="23"/>
    <x v="9"/>
    <x v="20"/>
    <s v="SE4_Offshore"/>
    <x v="21"/>
    <n v="48.24"/>
    <n v="13.4"/>
  </r>
  <r>
    <x v="0"/>
    <x v="23"/>
    <x v="9"/>
    <x v="20"/>
    <s v="SE4_Offshore"/>
    <x v="22"/>
    <n v="67.680000000000007"/>
    <n v="18.8"/>
  </r>
  <r>
    <x v="0"/>
    <x v="23"/>
    <x v="9"/>
    <x v="20"/>
    <s v="SE4_Offshore"/>
    <x v="23"/>
    <n v="0.31515896120488701"/>
    <n v="8.7544155890246306E-2"/>
  </r>
  <r>
    <x v="0"/>
    <x v="23"/>
    <x v="9"/>
    <x v="20"/>
    <s v="SE4_Offshore"/>
    <x v="24"/>
    <n v="19.174223581093901"/>
    <n v="5.32617321697054"/>
  </r>
  <r>
    <x v="0"/>
    <x v="23"/>
    <x v="9"/>
    <x v="20"/>
    <s v="SE4_Offshore"/>
    <x v="25"/>
    <n v="25.6652953012922"/>
    <n v="7.1292486948033904"/>
  </r>
  <r>
    <x v="0"/>
    <x v="23"/>
    <x v="9"/>
    <x v="20"/>
    <s v="SE4_Offshore"/>
    <x v="26"/>
    <n v="32.971098611263102"/>
    <n v="9.1586385031286301"/>
  </r>
  <r>
    <x v="0"/>
    <x v="23"/>
    <x v="9"/>
    <x v="20"/>
    <s v="SE4_Offshore"/>
    <x v="27"/>
    <n v="20.163995508318798"/>
    <n v="5.6011098634218799"/>
  </r>
  <r>
    <x v="0"/>
    <x v="23"/>
    <x v="9"/>
    <x v="20"/>
    <s v="SE4_large"/>
    <x v="1"/>
    <n v="35.989199999999997"/>
    <n v="9.9969999999999999"/>
  </r>
  <r>
    <x v="0"/>
    <x v="23"/>
    <x v="9"/>
    <x v="20"/>
    <s v="SE4_large"/>
    <x v="2"/>
    <n v="46.08"/>
    <n v="12.8"/>
  </r>
  <r>
    <x v="0"/>
    <x v="23"/>
    <x v="9"/>
    <x v="20"/>
    <s v="SE4_large"/>
    <x v="0"/>
    <n v="42.692399999999999"/>
    <n v="11.859"/>
  </r>
  <r>
    <x v="0"/>
    <x v="23"/>
    <x v="9"/>
    <x v="20"/>
    <s v="SE4_large"/>
    <x v="3"/>
    <n v="51.633543144067197"/>
    <n v="14.342650873352"/>
  </r>
  <r>
    <x v="0"/>
    <x v="23"/>
    <x v="9"/>
    <x v="20"/>
    <s v="SE4_large"/>
    <x v="4"/>
    <n v="10.7598541839271"/>
    <n v="2.9888483844241902"/>
  </r>
  <r>
    <x v="0"/>
    <x v="23"/>
    <x v="9"/>
    <x v="20"/>
    <s v="SE4_large"/>
    <x v="5"/>
    <n v="10.7598541839271"/>
    <n v="2.9888483844241902"/>
  </r>
  <r>
    <x v="0"/>
    <x v="23"/>
    <x v="9"/>
    <x v="20"/>
    <s v="SE4_large"/>
    <x v="6"/>
    <n v="29.476231795214598"/>
    <n v="8.1878421653373898"/>
  </r>
  <r>
    <x v="0"/>
    <x v="23"/>
    <x v="9"/>
    <x v="20"/>
    <s v="SE4_large"/>
    <x v="7"/>
    <n v="57.838935220261199"/>
    <n v="16.066370894517"/>
  </r>
  <r>
    <x v="0"/>
    <x v="23"/>
    <x v="9"/>
    <x v="20"/>
    <s v="SE4_large"/>
    <x v="8"/>
    <n v="57.838935220261199"/>
    <n v="16.066370894517"/>
  </r>
  <r>
    <x v="0"/>
    <x v="23"/>
    <x v="9"/>
    <x v="20"/>
    <s v="SE4_large"/>
    <x v="9"/>
    <n v="47.978366197183199"/>
    <n v="13.327323943662"/>
  </r>
  <r>
    <x v="0"/>
    <x v="23"/>
    <x v="9"/>
    <x v="20"/>
    <s v="SE4_large"/>
    <x v="10"/>
    <n v="63.1479966859984"/>
    <n v="17.541110190555099"/>
  </r>
  <r>
    <x v="0"/>
    <x v="23"/>
    <x v="9"/>
    <x v="20"/>
    <s v="SE4_large"/>
    <x v="11"/>
    <n v="5.9972957746478999"/>
    <n v="1.66591549295775"/>
  </r>
  <r>
    <x v="0"/>
    <x v="23"/>
    <x v="9"/>
    <x v="20"/>
    <s v="SE4_large"/>
    <x v="12"/>
    <n v="9.7995028997514597E-2"/>
    <n v="2.72208413881985E-2"/>
  </r>
  <r>
    <x v="0"/>
    <x v="23"/>
    <x v="9"/>
    <x v="20"/>
    <s v="SE4_large"/>
    <x v="13"/>
    <n v="26.987830985915501"/>
    <n v="7.4966197183098604"/>
  </r>
  <r>
    <x v="0"/>
    <x v="23"/>
    <x v="9"/>
    <x v="20"/>
    <s v="SE4_large"/>
    <x v="14"/>
    <n v="26.987830985915501"/>
    <n v="7.4966197183098604"/>
  </r>
  <r>
    <x v="0"/>
    <x v="23"/>
    <x v="9"/>
    <x v="20"/>
    <s v="SE4_large"/>
    <x v="15"/>
    <n v="1.65807589063794"/>
    <n v="0.46057663628831802"/>
  </r>
  <r>
    <x v="0"/>
    <x v="23"/>
    <x v="9"/>
    <x v="20"/>
    <s v="SE4_large"/>
    <x v="16"/>
    <n v="6.6307647887493104"/>
    <n v="1.84187910798592"/>
  </r>
  <r>
    <x v="0"/>
    <x v="23"/>
    <x v="9"/>
    <x v="20"/>
    <s v="SE4_large"/>
    <x v="17"/>
    <n v="9.1244895875632395"/>
    <n v="2.5345804409897901"/>
  </r>
  <r>
    <x v="0"/>
    <x v="23"/>
    <x v="9"/>
    <x v="20"/>
    <s v="SE4_large"/>
    <x v="18"/>
    <n v="26.987830985915501"/>
    <n v="7.4966197183098604"/>
  </r>
  <r>
    <x v="0"/>
    <x v="23"/>
    <x v="9"/>
    <x v="20"/>
    <s v="SE4_large"/>
    <x v="19"/>
    <n v="8.1139884009941898"/>
    <n v="2.2538856669428302"/>
  </r>
  <r>
    <x v="0"/>
    <x v="23"/>
    <x v="9"/>
    <x v="20"/>
    <s v="SE4_large"/>
    <x v="20"/>
    <n v="21.7877183939536"/>
    <n v="6.0521439983204397"/>
  </r>
  <r>
    <x v="0"/>
    <x v="23"/>
    <x v="9"/>
    <x v="20"/>
    <s v="SE4_large"/>
    <x v="21"/>
    <n v="48.24"/>
    <n v="13.4"/>
  </r>
  <r>
    <x v="0"/>
    <x v="23"/>
    <x v="9"/>
    <x v="20"/>
    <s v="SE4_large"/>
    <x v="22"/>
    <n v="67.680000000000007"/>
    <n v="18.8"/>
  </r>
  <r>
    <x v="0"/>
    <x v="23"/>
    <x v="9"/>
    <x v="20"/>
    <s v="SE4_large"/>
    <x v="23"/>
    <n v="0.31515896120488701"/>
    <n v="8.7544155890246306E-2"/>
  </r>
  <r>
    <x v="0"/>
    <x v="23"/>
    <x v="9"/>
    <x v="20"/>
    <s v="SE4_large"/>
    <x v="24"/>
    <n v="19.174223581093901"/>
    <n v="5.32617321697054"/>
  </r>
  <r>
    <x v="0"/>
    <x v="23"/>
    <x v="9"/>
    <x v="20"/>
    <s v="SE4_large"/>
    <x v="25"/>
    <n v="25.6652953012922"/>
    <n v="7.1292486948033904"/>
  </r>
  <r>
    <x v="0"/>
    <x v="23"/>
    <x v="9"/>
    <x v="20"/>
    <s v="SE4_large"/>
    <x v="26"/>
    <n v="32.971098611263102"/>
    <n v="9.1586385031286301"/>
  </r>
  <r>
    <x v="0"/>
    <x v="23"/>
    <x v="9"/>
    <x v="20"/>
    <s v="SE4_large"/>
    <x v="27"/>
    <n v="20.163995508318798"/>
    <n v="5.6011098634218799"/>
  </r>
  <r>
    <x v="0"/>
    <x v="23"/>
    <x v="9"/>
    <x v="20"/>
    <s v="SE4_medium"/>
    <x v="1"/>
    <n v="35.989199999999997"/>
    <n v="9.9969999999999999"/>
  </r>
  <r>
    <x v="0"/>
    <x v="23"/>
    <x v="9"/>
    <x v="20"/>
    <s v="SE4_medium"/>
    <x v="2"/>
    <n v="46.08"/>
    <n v="12.8"/>
  </r>
  <r>
    <x v="0"/>
    <x v="23"/>
    <x v="9"/>
    <x v="20"/>
    <s v="SE4_medium"/>
    <x v="0"/>
    <n v="42.692399999999999"/>
    <n v="11.859"/>
  </r>
  <r>
    <x v="0"/>
    <x v="23"/>
    <x v="9"/>
    <x v="20"/>
    <s v="SE4_medium"/>
    <x v="3"/>
    <n v="51.633543144067197"/>
    <n v="14.342650873352"/>
  </r>
  <r>
    <x v="0"/>
    <x v="23"/>
    <x v="9"/>
    <x v="20"/>
    <s v="SE4_medium"/>
    <x v="4"/>
    <n v="10.7598541839271"/>
    <n v="2.9888483844241902"/>
  </r>
  <r>
    <x v="0"/>
    <x v="23"/>
    <x v="9"/>
    <x v="20"/>
    <s v="SE4_medium"/>
    <x v="5"/>
    <n v="10.7598541839271"/>
    <n v="2.9888483844241902"/>
  </r>
  <r>
    <x v="0"/>
    <x v="23"/>
    <x v="9"/>
    <x v="20"/>
    <s v="SE4_medium"/>
    <x v="6"/>
    <n v="29.476231795214598"/>
    <n v="8.1878421653373898"/>
  </r>
  <r>
    <x v="0"/>
    <x v="23"/>
    <x v="9"/>
    <x v="20"/>
    <s v="SE4_medium"/>
    <x v="7"/>
    <n v="57.838935220261199"/>
    <n v="16.066370894517"/>
  </r>
  <r>
    <x v="0"/>
    <x v="23"/>
    <x v="9"/>
    <x v="20"/>
    <s v="SE4_medium"/>
    <x v="8"/>
    <n v="57.838935220261199"/>
    <n v="16.066370894517"/>
  </r>
  <r>
    <x v="0"/>
    <x v="23"/>
    <x v="9"/>
    <x v="20"/>
    <s v="SE4_medium"/>
    <x v="9"/>
    <n v="47.978366197183199"/>
    <n v="13.327323943662"/>
  </r>
  <r>
    <x v="0"/>
    <x v="23"/>
    <x v="9"/>
    <x v="20"/>
    <s v="SE4_medium"/>
    <x v="10"/>
    <n v="63.1479966859984"/>
    <n v="17.541110190555099"/>
  </r>
  <r>
    <x v="0"/>
    <x v="23"/>
    <x v="9"/>
    <x v="20"/>
    <s v="SE4_medium"/>
    <x v="11"/>
    <n v="5.9972957746478999"/>
    <n v="1.66591549295775"/>
  </r>
  <r>
    <x v="0"/>
    <x v="23"/>
    <x v="9"/>
    <x v="20"/>
    <s v="SE4_medium"/>
    <x v="12"/>
    <n v="9.7995028997514597E-2"/>
    <n v="2.72208413881985E-2"/>
  </r>
  <r>
    <x v="0"/>
    <x v="23"/>
    <x v="9"/>
    <x v="20"/>
    <s v="SE4_medium"/>
    <x v="13"/>
    <n v="26.987830985915501"/>
    <n v="7.4966197183098604"/>
  </r>
  <r>
    <x v="0"/>
    <x v="23"/>
    <x v="9"/>
    <x v="20"/>
    <s v="SE4_medium"/>
    <x v="14"/>
    <n v="26.987830985915501"/>
    <n v="7.4966197183098604"/>
  </r>
  <r>
    <x v="0"/>
    <x v="23"/>
    <x v="9"/>
    <x v="20"/>
    <s v="SE4_medium"/>
    <x v="15"/>
    <n v="1.65807589063794"/>
    <n v="0.46057663628831802"/>
  </r>
  <r>
    <x v="0"/>
    <x v="23"/>
    <x v="9"/>
    <x v="20"/>
    <s v="SE4_medium"/>
    <x v="16"/>
    <n v="6.6307647887493104"/>
    <n v="1.84187910798592"/>
  </r>
  <r>
    <x v="0"/>
    <x v="23"/>
    <x v="9"/>
    <x v="20"/>
    <s v="SE4_medium"/>
    <x v="17"/>
    <n v="9.1244895875632395"/>
    <n v="2.5345804409897901"/>
  </r>
  <r>
    <x v="0"/>
    <x v="23"/>
    <x v="9"/>
    <x v="20"/>
    <s v="SE4_medium"/>
    <x v="18"/>
    <n v="26.987830985915501"/>
    <n v="7.4966197183098604"/>
  </r>
  <r>
    <x v="0"/>
    <x v="23"/>
    <x v="9"/>
    <x v="20"/>
    <s v="SE4_medium"/>
    <x v="19"/>
    <n v="8.1139884009941898"/>
    <n v="2.2538856669428302"/>
  </r>
  <r>
    <x v="0"/>
    <x v="23"/>
    <x v="9"/>
    <x v="20"/>
    <s v="SE4_medium"/>
    <x v="20"/>
    <n v="21.7877183939536"/>
    <n v="6.0521439983204397"/>
  </r>
  <r>
    <x v="0"/>
    <x v="23"/>
    <x v="9"/>
    <x v="20"/>
    <s v="SE4_medium"/>
    <x v="21"/>
    <n v="48.24"/>
    <n v="13.4"/>
  </r>
  <r>
    <x v="0"/>
    <x v="23"/>
    <x v="9"/>
    <x v="20"/>
    <s v="SE4_medium"/>
    <x v="22"/>
    <n v="67.680000000000007"/>
    <n v="18.8"/>
  </r>
  <r>
    <x v="0"/>
    <x v="23"/>
    <x v="9"/>
    <x v="20"/>
    <s v="SE4_medium"/>
    <x v="23"/>
    <n v="0.31515896120488701"/>
    <n v="8.7544155890246306E-2"/>
  </r>
  <r>
    <x v="0"/>
    <x v="23"/>
    <x v="9"/>
    <x v="20"/>
    <s v="SE4_medium"/>
    <x v="24"/>
    <n v="19.174223581093901"/>
    <n v="5.32617321697054"/>
  </r>
  <r>
    <x v="0"/>
    <x v="23"/>
    <x v="9"/>
    <x v="20"/>
    <s v="SE4_medium"/>
    <x v="25"/>
    <n v="25.6652953012922"/>
    <n v="7.1292486948033904"/>
  </r>
  <r>
    <x v="0"/>
    <x v="23"/>
    <x v="9"/>
    <x v="20"/>
    <s v="SE4_medium"/>
    <x v="26"/>
    <n v="32.971098611263102"/>
    <n v="9.1586385031286301"/>
  </r>
  <r>
    <x v="0"/>
    <x v="23"/>
    <x v="9"/>
    <x v="20"/>
    <s v="SE4_medium"/>
    <x v="27"/>
    <n v="20.163995508318798"/>
    <n v="5.6011098634218799"/>
  </r>
  <r>
    <x v="0"/>
    <x v="23"/>
    <x v="9"/>
    <x v="20"/>
    <s v="SE4_small"/>
    <x v="1"/>
    <n v="35.989199999999997"/>
    <n v="9.9969999999999999"/>
  </r>
  <r>
    <x v="0"/>
    <x v="23"/>
    <x v="9"/>
    <x v="20"/>
    <s v="SE4_small"/>
    <x v="2"/>
    <n v="46.08"/>
    <n v="12.8"/>
  </r>
  <r>
    <x v="0"/>
    <x v="23"/>
    <x v="9"/>
    <x v="20"/>
    <s v="SE4_small"/>
    <x v="0"/>
    <n v="42.692399999999999"/>
    <n v="11.859"/>
  </r>
  <r>
    <x v="0"/>
    <x v="23"/>
    <x v="9"/>
    <x v="20"/>
    <s v="SE4_small"/>
    <x v="3"/>
    <n v="51.633543144067197"/>
    <n v="14.342650873352"/>
  </r>
  <r>
    <x v="0"/>
    <x v="23"/>
    <x v="9"/>
    <x v="20"/>
    <s v="SE4_small"/>
    <x v="4"/>
    <n v="10.7598541839271"/>
    <n v="2.9888483844241902"/>
  </r>
  <r>
    <x v="0"/>
    <x v="23"/>
    <x v="9"/>
    <x v="20"/>
    <s v="SE4_small"/>
    <x v="5"/>
    <n v="10.7598541839271"/>
    <n v="2.9888483844241902"/>
  </r>
  <r>
    <x v="0"/>
    <x v="23"/>
    <x v="9"/>
    <x v="20"/>
    <s v="SE4_small"/>
    <x v="6"/>
    <n v="29.476231795214598"/>
    <n v="8.1878421653373898"/>
  </r>
  <r>
    <x v="0"/>
    <x v="23"/>
    <x v="9"/>
    <x v="20"/>
    <s v="SE4_small"/>
    <x v="7"/>
    <n v="57.838935220261199"/>
    <n v="16.066370894517"/>
  </r>
  <r>
    <x v="0"/>
    <x v="23"/>
    <x v="9"/>
    <x v="20"/>
    <s v="SE4_small"/>
    <x v="8"/>
    <n v="57.838935220261199"/>
    <n v="16.066370894517"/>
  </r>
  <r>
    <x v="0"/>
    <x v="23"/>
    <x v="9"/>
    <x v="20"/>
    <s v="SE4_small"/>
    <x v="9"/>
    <n v="47.978366197183199"/>
    <n v="13.327323943662"/>
  </r>
  <r>
    <x v="0"/>
    <x v="23"/>
    <x v="9"/>
    <x v="20"/>
    <s v="SE4_small"/>
    <x v="10"/>
    <n v="63.1479966859984"/>
    <n v="17.541110190555099"/>
  </r>
  <r>
    <x v="0"/>
    <x v="23"/>
    <x v="9"/>
    <x v="20"/>
    <s v="SE4_small"/>
    <x v="11"/>
    <n v="5.9972957746478999"/>
    <n v="1.66591549295775"/>
  </r>
  <r>
    <x v="0"/>
    <x v="23"/>
    <x v="9"/>
    <x v="20"/>
    <s v="SE4_small"/>
    <x v="12"/>
    <n v="9.7995028997514597E-2"/>
    <n v="2.72208413881985E-2"/>
  </r>
  <r>
    <x v="0"/>
    <x v="23"/>
    <x v="9"/>
    <x v="20"/>
    <s v="SE4_small"/>
    <x v="13"/>
    <n v="26.987830985915501"/>
    <n v="7.4966197183098604"/>
  </r>
  <r>
    <x v="0"/>
    <x v="23"/>
    <x v="9"/>
    <x v="20"/>
    <s v="SE4_small"/>
    <x v="14"/>
    <n v="26.987830985915501"/>
    <n v="7.4966197183098604"/>
  </r>
  <r>
    <x v="0"/>
    <x v="23"/>
    <x v="9"/>
    <x v="20"/>
    <s v="SE4_small"/>
    <x v="15"/>
    <n v="1.65807589063794"/>
    <n v="0.46057663628831802"/>
  </r>
  <r>
    <x v="0"/>
    <x v="23"/>
    <x v="9"/>
    <x v="20"/>
    <s v="SE4_small"/>
    <x v="16"/>
    <n v="6.6307647887493104"/>
    <n v="1.84187910798592"/>
  </r>
  <r>
    <x v="0"/>
    <x v="23"/>
    <x v="9"/>
    <x v="20"/>
    <s v="SE4_small"/>
    <x v="17"/>
    <n v="9.1244895875632395"/>
    <n v="2.5345804409897901"/>
  </r>
  <r>
    <x v="0"/>
    <x v="23"/>
    <x v="9"/>
    <x v="20"/>
    <s v="SE4_small"/>
    <x v="18"/>
    <n v="26.987830985915501"/>
    <n v="7.4966197183098604"/>
  </r>
  <r>
    <x v="0"/>
    <x v="23"/>
    <x v="9"/>
    <x v="20"/>
    <s v="SE4_small"/>
    <x v="19"/>
    <n v="8.1139884009941898"/>
    <n v="2.2538856669428302"/>
  </r>
  <r>
    <x v="0"/>
    <x v="23"/>
    <x v="9"/>
    <x v="20"/>
    <s v="SE4_small"/>
    <x v="20"/>
    <n v="21.7877183939536"/>
    <n v="6.0521439983204397"/>
  </r>
  <r>
    <x v="0"/>
    <x v="23"/>
    <x v="9"/>
    <x v="20"/>
    <s v="SE4_small"/>
    <x v="21"/>
    <n v="48.24"/>
    <n v="13.4"/>
  </r>
  <r>
    <x v="0"/>
    <x v="23"/>
    <x v="9"/>
    <x v="20"/>
    <s v="SE4_small"/>
    <x v="22"/>
    <n v="67.680000000000007"/>
    <n v="18.8"/>
  </r>
  <r>
    <x v="0"/>
    <x v="23"/>
    <x v="9"/>
    <x v="20"/>
    <s v="SE4_small"/>
    <x v="23"/>
    <n v="0.31515896120488701"/>
    <n v="8.7544155890246306E-2"/>
  </r>
  <r>
    <x v="0"/>
    <x v="23"/>
    <x v="9"/>
    <x v="20"/>
    <s v="SE4_small"/>
    <x v="24"/>
    <n v="19.174223581093901"/>
    <n v="5.32617321697054"/>
  </r>
  <r>
    <x v="0"/>
    <x v="23"/>
    <x v="9"/>
    <x v="20"/>
    <s v="SE4_small"/>
    <x v="25"/>
    <n v="25.6652953012922"/>
    <n v="7.1292486948033904"/>
  </r>
  <r>
    <x v="0"/>
    <x v="23"/>
    <x v="9"/>
    <x v="20"/>
    <s v="SE4_small"/>
    <x v="26"/>
    <n v="32.971098611263102"/>
    <n v="9.1586385031286301"/>
  </r>
  <r>
    <x v="0"/>
    <x v="23"/>
    <x v="9"/>
    <x v="20"/>
    <s v="SE4_small"/>
    <x v="27"/>
    <n v="20.163995508318798"/>
    <n v="5.6011098634218799"/>
  </r>
  <r>
    <x v="0"/>
    <x v="23"/>
    <x v="10"/>
    <x v="21"/>
    <s v="UK_A"/>
    <x v="1"/>
    <n v="35.989199999999997"/>
    <n v="9.9969999999999999"/>
  </r>
  <r>
    <x v="0"/>
    <x v="23"/>
    <x v="10"/>
    <x v="21"/>
    <s v="UK_A"/>
    <x v="2"/>
    <n v="46.08"/>
    <n v="12.8"/>
  </r>
  <r>
    <x v="0"/>
    <x v="23"/>
    <x v="10"/>
    <x v="21"/>
    <s v="UK_A"/>
    <x v="0"/>
    <n v="42.692399999999999"/>
    <n v="11.859"/>
  </r>
  <r>
    <x v="0"/>
    <x v="23"/>
    <x v="10"/>
    <x v="21"/>
    <s v="UK_A"/>
    <x v="3"/>
    <n v="51.633543144067197"/>
    <n v="14.342650873352"/>
  </r>
  <r>
    <x v="0"/>
    <x v="23"/>
    <x v="10"/>
    <x v="21"/>
    <s v="UK_A"/>
    <x v="4"/>
    <n v="10.7598541839271"/>
    <n v="2.9888483844241902"/>
  </r>
  <r>
    <x v="0"/>
    <x v="23"/>
    <x v="10"/>
    <x v="21"/>
    <s v="UK_A"/>
    <x v="5"/>
    <n v="10.7598541839271"/>
    <n v="2.9888483844241902"/>
  </r>
  <r>
    <x v="0"/>
    <x v="23"/>
    <x v="10"/>
    <x v="21"/>
    <s v="UK_A"/>
    <x v="6"/>
    <n v="29.476231795214598"/>
    <n v="8.1878421653373898"/>
  </r>
  <r>
    <x v="0"/>
    <x v="23"/>
    <x v="10"/>
    <x v="21"/>
    <s v="UK_A"/>
    <x v="7"/>
    <n v="57.838935220261199"/>
    <n v="16.066370894517"/>
  </r>
  <r>
    <x v="0"/>
    <x v="23"/>
    <x v="10"/>
    <x v="21"/>
    <s v="UK_A"/>
    <x v="8"/>
    <n v="57.838935220261199"/>
    <n v="16.066370894517"/>
  </r>
  <r>
    <x v="0"/>
    <x v="23"/>
    <x v="10"/>
    <x v="21"/>
    <s v="UK_A"/>
    <x v="9"/>
    <n v="47.978366197183199"/>
    <n v="13.327323943662"/>
  </r>
  <r>
    <x v="0"/>
    <x v="23"/>
    <x v="10"/>
    <x v="21"/>
    <s v="UK_A"/>
    <x v="10"/>
    <n v="63.1479966859984"/>
    <n v="17.541110190555099"/>
  </r>
  <r>
    <x v="0"/>
    <x v="23"/>
    <x v="10"/>
    <x v="21"/>
    <s v="UK_A"/>
    <x v="11"/>
    <n v="5.9972957746478999"/>
    <n v="1.66591549295775"/>
  </r>
  <r>
    <x v="0"/>
    <x v="23"/>
    <x v="10"/>
    <x v="21"/>
    <s v="UK_A"/>
    <x v="12"/>
    <n v="9.7995028997514597E-2"/>
    <n v="2.72208413881985E-2"/>
  </r>
  <r>
    <x v="0"/>
    <x v="23"/>
    <x v="10"/>
    <x v="21"/>
    <s v="UK_A"/>
    <x v="13"/>
    <n v="26.987830985915501"/>
    <n v="7.4966197183098604"/>
  </r>
  <r>
    <x v="0"/>
    <x v="23"/>
    <x v="10"/>
    <x v="21"/>
    <s v="UK_A"/>
    <x v="14"/>
    <n v="26.987830985915501"/>
    <n v="7.4966197183098604"/>
  </r>
  <r>
    <x v="0"/>
    <x v="23"/>
    <x v="10"/>
    <x v="21"/>
    <s v="UK_A"/>
    <x v="15"/>
    <n v="1.65807589063794"/>
    <n v="0.46057663628831802"/>
  </r>
  <r>
    <x v="0"/>
    <x v="23"/>
    <x v="10"/>
    <x v="21"/>
    <s v="UK_A"/>
    <x v="16"/>
    <n v="6.6307647887493104"/>
    <n v="1.84187910798592"/>
  </r>
  <r>
    <x v="0"/>
    <x v="23"/>
    <x v="10"/>
    <x v="21"/>
    <s v="UK_A"/>
    <x v="17"/>
    <n v="9.1244895875632395"/>
    <n v="2.5345804409897901"/>
  </r>
  <r>
    <x v="0"/>
    <x v="23"/>
    <x v="10"/>
    <x v="21"/>
    <s v="UK_A"/>
    <x v="18"/>
    <n v="26.987830985915501"/>
    <n v="7.4966197183098604"/>
  </r>
  <r>
    <x v="0"/>
    <x v="23"/>
    <x v="10"/>
    <x v="21"/>
    <s v="UK_A"/>
    <x v="19"/>
    <n v="8.1139884009941898"/>
    <n v="2.2538856669428302"/>
  </r>
  <r>
    <x v="0"/>
    <x v="23"/>
    <x v="10"/>
    <x v="21"/>
    <s v="UK_A"/>
    <x v="20"/>
    <n v="21.7877183939536"/>
    <n v="6.0521439983204397"/>
  </r>
  <r>
    <x v="0"/>
    <x v="23"/>
    <x v="10"/>
    <x v="21"/>
    <s v="UK_A"/>
    <x v="21"/>
    <n v="48.24"/>
    <n v="13.4"/>
  </r>
  <r>
    <x v="0"/>
    <x v="23"/>
    <x v="10"/>
    <x v="21"/>
    <s v="UK_A"/>
    <x v="22"/>
    <n v="67.680000000000007"/>
    <n v="18.8"/>
  </r>
  <r>
    <x v="0"/>
    <x v="23"/>
    <x v="10"/>
    <x v="21"/>
    <s v="UK_A"/>
    <x v="23"/>
    <n v="0.31515896120488701"/>
    <n v="8.7544155890246306E-2"/>
  </r>
  <r>
    <x v="0"/>
    <x v="23"/>
    <x v="10"/>
    <x v="21"/>
    <s v="UK_A"/>
    <x v="24"/>
    <n v="19.174223581093901"/>
    <n v="5.32617321697054"/>
  </r>
  <r>
    <x v="0"/>
    <x v="23"/>
    <x v="10"/>
    <x v="21"/>
    <s v="UK_A"/>
    <x v="25"/>
    <n v="25.6652953012922"/>
    <n v="7.1292486948033904"/>
  </r>
  <r>
    <x v="0"/>
    <x v="23"/>
    <x v="10"/>
    <x v="21"/>
    <s v="UK_A"/>
    <x v="26"/>
    <n v="32.971098611263102"/>
    <n v="9.1586385031286301"/>
  </r>
  <r>
    <x v="0"/>
    <x v="23"/>
    <x v="10"/>
    <x v="21"/>
    <s v="UK_A"/>
    <x v="27"/>
    <n v="20.163995508318798"/>
    <n v="5.6011098634218799"/>
  </r>
  <r>
    <x v="0"/>
    <x v="23"/>
    <x v="10"/>
    <x v="21"/>
    <s v="UK_Offshore"/>
    <x v="1"/>
    <n v="35.989199999999997"/>
    <n v="9.9969999999999999"/>
  </r>
  <r>
    <x v="0"/>
    <x v="23"/>
    <x v="10"/>
    <x v="21"/>
    <s v="UK_Offshore"/>
    <x v="2"/>
    <n v="46.08"/>
    <n v="12.8"/>
  </r>
  <r>
    <x v="0"/>
    <x v="23"/>
    <x v="10"/>
    <x v="21"/>
    <s v="UK_Offshore"/>
    <x v="0"/>
    <n v="42.692399999999999"/>
    <n v="11.859"/>
  </r>
  <r>
    <x v="0"/>
    <x v="23"/>
    <x v="10"/>
    <x v="21"/>
    <s v="UK_Offshore"/>
    <x v="3"/>
    <n v="51.633543144067197"/>
    <n v="14.342650873352"/>
  </r>
  <r>
    <x v="0"/>
    <x v="23"/>
    <x v="10"/>
    <x v="21"/>
    <s v="UK_Offshore"/>
    <x v="4"/>
    <n v="10.7598541839271"/>
    <n v="2.9888483844241902"/>
  </r>
  <r>
    <x v="0"/>
    <x v="23"/>
    <x v="10"/>
    <x v="21"/>
    <s v="UK_Offshore"/>
    <x v="5"/>
    <n v="10.7598541839271"/>
    <n v="2.9888483844241902"/>
  </r>
  <r>
    <x v="0"/>
    <x v="23"/>
    <x v="10"/>
    <x v="21"/>
    <s v="UK_Offshore"/>
    <x v="6"/>
    <n v="29.476231795214598"/>
    <n v="8.1878421653373898"/>
  </r>
  <r>
    <x v="0"/>
    <x v="23"/>
    <x v="10"/>
    <x v="21"/>
    <s v="UK_Offshore"/>
    <x v="7"/>
    <n v="57.838935220261199"/>
    <n v="16.066370894517"/>
  </r>
  <r>
    <x v="0"/>
    <x v="23"/>
    <x v="10"/>
    <x v="21"/>
    <s v="UK_Offshore"/>
    <x v="8"/>
    <n v="57.838935220261199"/>
    <n v="16.066370894517"/>
  </r>
  <r>
    <x v="0"/>
    <x v="23"/>
    <x v="10"/>
    <x v="21"/>
    <s v="UK_Offshore"/>
    <x v="9"/>
    <n v="47.978366197183199"/>
    <n v="13.327323943662"/>
  </r>
  <r>
    <x v="0"/>
    <x v="23"/>
    <x v="10"/>
    <x v="21"/>
    <s v="UK_Offshore"/>
    <x v="10"/>
    <n v="63.1479966859984"/>
    <n v="17.541110190555099"/>
  </r>
  <r>
    <x v="0"/>
    <x v="23"/>
    <x v="10"/>
    <x v="21"/>
    <s v="UK_Offshore"/>
    <x v="11"/>
    <n v="5.9972957746478999"/>
    <n v="1.66591549295775"/>
  </r>
  <r>
    <x v="0"/>
    <x v="23"/>
    <x v="10"/>
    <x v="21"/>
    <s v="UK_Offshore"/>
    <x v="12"/>
    <n v="9.7995028997514597E-2"/>
    <n v="2.72208413881985E-2"/>
  </r>
  <r>
    <x v="0"/>
    <x v="23"/>
    <x v="10"/>
    <x v="21"/>
    <s v="UK_Offshore"/>
    <x v="13"/>
    <n v="26.987830985915501"/>
    <n v="7.4966197183098604"/>
  </r>
  <r>
    <x v="0"/>
    <x v="23"/>
    <x v="10"/>
    <x v="21"/>
    <s v="UK_Offshore"/>
    <x v="14"/>
    <n v="26.987830985915501"/>
    <n v="7.4966197183098604"/>
  </r>
  <r>
    <x v="0"/>
    <x v="23"/>
    <x v="10"/>
    <x v="21"/>
    <s v="UK_Offshore"/>
    <x v="15"/>
    <n v="1.65807589063794"/>
    <n v="0.46057663628831802"/>
  </r>
  <r>
    <x v="0"/>
    <x v="23"/>
    <x v="10"/>
    <x v="21"/>
    <s v="UK_Offshore"/>
    <x v="16"/>
    <n v="6.6307647887493104"/>
    <n v="1.84187910798592"/>
  </r>
  <r>
    <x v="0"/>
    <x v="23"/>
    <x v="10"/>
    <x v="21"/>
    <s v="UK_Offshore"/>
    <x v="17"/>
    <n v="9.1244895875632395"/>
    <n v="2.5345804409897901"/>
  </r>
  <r>
    <x v="0"/>
    <x v="23"/>
    <x v="10"/>
    <x v="21"/>
    <s v="UK_Offshore"/>
    <x v="18"/>
    <n v="26.987830985915501"/>
    <n v="7.4966197183098604"/>
  </r>
  <r>
    <x v="0"/>
    <x v="23"/>
    <x v="10"/>
    <x v="21"/>
    <s v="UK_Offshore"/>
    <x v="19"/>
    <n v="8.1139884009941898"/>
    <n v="2.2538856669428302"/>
  </r>
  <r>
    <x v="0"/>
    <x v="23"/>
    <x v="10"/>
    <x v="21"/>
    <s v="UK_Offshore"/>
    <x v="20"/>
    <n v="21.7877183939536"/>
    <n v="6.0521439983204397"/>
  </r>
  <r>
    <x v="0"/>
    <x v="23"/>
    <x v="10"/>
    <x v="21"/>
    <s v="UK_Offshore"/>
    <x v="21"/>
    <n v="48.24"/>
    <n v="13.4"/>
  </r>
  <r>
    <x v="0"/>
    <x v="23"/>
    <x v="10"/>
    <x v="21"/>
    <s v="UK_Offshore"/>
    <x v="22"/>
    <n v="67.680000000000007"/>
    <n v="18.8"/>
  </r>
  <r>
    <x v="0"/>
    <x v="23"/>
    <x v="10"/>
    <x v="21"/>
    <s v="UK_Offshore"/>
    <x v="23"/>
    <n v="0.31515896120488701"/>
    <n v="8.7544155890246306E-2"/>
  </r>
  <r>
    <x v="0"/>
    <x v="23"/>
    <x v="10"/>
    <x v="21"/>
    <s v="UK_Offshore"/>
    <x v="24"/>
    <n v="19.174223581093901"/>
    <n v="5.32617321697054"/>
  </r>
  <r>
    <x v="0"/>
    <x v="23"/>
    <x v="10"/>
    <x v="21"/>
    <s v="UK_Offshore"/>
    <x v="25"/>
    <n v="25.6652953012922"/>
    <n v="7.1292486948033904"/>
  </r>
  <r>
    <x v="0"/>
    <x v="23"/>
    <x v="10"/>
    <x v="21"/>
    <s v="UK_Offshore"/>
    <x v="26"/>
    <n v="32.971098611263102"/>
    <n v="9.1586385031286301"/>
  </r>
  <r>
    <x v="0"/>
    <x v="23"/>
    <x v="10"/>
    <x v="21"/>
    <s v="UK_Offshore"/>
    <x v="27"/>
    <n v="20.163995508318798"/>
    <n v="5.6011098634218799"/>
  </r>
  <r>
    <x v="0"/>
    <x v="24"/>
    <x v="0"/>
    <x v="0"/>
    <s v="DK1_Large"/>
    <x v="0"/>
    <n v="42.692399999999999"/>
    <n v="11.859"/>
  </r>
  <r>
    <x v="0"/>
    <x v="24"/>
    <x v="0"/>
    <x v="0"/>
    <s v="DK1_Large_PHH"/>
    <x v="0"/>
    <n v="42.692399999999999"/>
    <n v="11.859"/>
  </r>
  <r>
    <x v="0"/>
    <x v="24"/>
    <x v="0"/>
    <x v="0"/>
    <s v="DK1_Large_PHL"/>
    <x v="0"/>
    <n v="42.692399999999999"/>
    <n v="11.859"/>
  </r>
  <r>
    <x v="0"/>
    <x v="24"/>
    <x v="0"/>
    <x v="0"/>
    <s v="DK1_MedSmall"/>
    <x v="0"/>
    <n v="42.692399999999999"/>
    <n v="11.859"/>
  </r>
  <r>
    <x v="0"/>
    <x v="24"/>
    <x v="0"/>
    <x v="0"/>
    <s v="DK1_Medium"/>
    <x v="0"/>
    <n v="42.692399999999999"/>
    <n v="11.859"/>
  </r>
  <r>
    <x v="0"/>
    <x v="24"/>
    <x v="0"/>
    <x v="0"/>
    <s v="DK1_NoDH"/>
    <x v="0"/>
    <n v="42.692399999999999"/>
    <n v="11.859"/>
  </r>
  <r>
    <x v="0"/>
    <x v="24"/>
    <x v="0"/>
    <x v="0"/>
    <s v="DK1_NoDH_PHH"/>
    <x v="0"/>
    <n v="42.692399999999999"/>
    <n v="11.859"/>
  </r>
  <r>
    <x v="0"/>
    <x v="24"/>
    <x v="0"/>
    <x v="0"/>
    <s v="DK1_NoDH_PHL"/>
    <x v="0"/>
    <n v="42.692399999999999"/>
    <n v="11.859"/>
  </r>
  <r>
    <x v="0"/>
    <x v="24"/>
    <x v="0"/>
    <x v="0"/>
    <s v="DK1_Offshore"/>
    <x v="0"/>
    <n v="42.692399999999999"/>
    <n v="11.859"/>
  </r>
  <r>
    <x v="0"/>
    <x v="24"/>
    <x v="0"/>
    <x v="0"/>
    <s v="DK1_Rural"/>
    <x v="0"/>
    <n v="42.692399999999999"/>
    <n v="11.859"/>
  </r>
  <r>
    <x v="0"/>
    <x v="24"/>
    <x v="0"/>
    <x v="0"/>
    <s v="DK1_Small"/>
    <x v="0"/>
    <n v="42.692399999999999"/>
    <n v="11.859"/>
  </r>
  <r>
    <x v="0"/>
    <x v="24"/>
    <x v="0"/>
    <x v="1"/>
    <s v="DK2_Large"/>
    <x v="0"/>
    <n v="42.692399999999999"/>
    <n v="11.859"/>
  </r>
  <r>
    <x v="0"/>
    <x v="24"/>
    <x v="0"/>
    <x v="1"/>
    <s v="DK2_Large_PHH"/>
    <x v="0"/>
    <n v="42.692399999999999"/>
    <n v="11.859"/>
  </r>
  <r>
    <x v="0"/>
    <x v="24"/>
    <x v="0"/>
    <x v="1"/>
    <s v="DK2_Large_PHL"/>
    <x v="0"/>
    <n v="42.692399999999999"/>
    <n v="11.859"/>
  </r>
  <r>
    <x v="0"/>
    <x v="24"/>
    <x v="0"/>
    <x v="1"/>
    <s v="DK2_MedSmall"/>
    <x v="0"/>
    <n v="42.692399999999999"/>
    <n v="11.859"/>
  </r>
  <r>
    <x v="0"/>
    <x v="24"/>
    <x v="0"/>
    <x v="1"/>
    <s v="DK2_Medium"/>
    <x v="0"/>
    <n v="42.692399999999999"/>
    <n v="11.859"/>
  </r>
  <r>
    <x v="0"/>
    <x v="24"/>
    <x v="0"/>
    <x v="1"/>
    <s v="DK2_NoDH"/>
    <x v="0"/>
    <n v="42.692399999999999"/>
    <n v="11.859"/>
  </r>
  <r>
    <x v="0"/>
    <x v="24"/>
    <x v="0"/>
    <x v="1"/>
    <s v="DK2_NoDH_PHH"/>
    <x v="0"/>
    <n v="42.692399999999999"/>
    <n v="11.859"/>
  </r>
  <r>
    <x v="0"/>
    <x v="24"/>
    <x v="0"/>
    <x v="1"/>
    <s v="DK2_NoDH_PHL"/>
    <x v="0"/>
    <n v="42.692399999999999"/>
    <n v="11.859"/>
  </r>
  <r>
    <x v="0"/>
    <x v="24"/>
    <x v="0"/>
    <x v="1"/>
    <s v="DK2_Offshore"/>
    <x v="0"/>
    <n v="42.692399999999999"/>
    <n v="11.859"/>
  </r>
  <r>
    <x v="0"/>
    <x v="24"/>
    <x v="0"/>
    <x v="1"/>
    <s v="DK2_Rural"/>
    <x v="0"/>
    <n v="42.692399999999999"/>
    <n v="11.859"/>
  </r>
  <r>
    <x v="0"/>
    <x v="24"/>
    <x v="0"/>
    <x v="1"/>
    <s v="DK2_Small"/>
    <x v="0"/>
    <n v="42.692399999999999"/>
    <n v="11.859"/>
  </r>
  <r>
    <x v="0"/>
    <x v="24"/>
    <x v="1"/>
    <x v="2"/>
    <s v="EE_A"/>
    <x v="0"/>
    <n v="42.692399999999999"/>
    <n v="11.859"/>
  </r>
  <r>
    <x v="0"/>
    <x v="24"/>
    <x v="1"/>
    <x v="2"/>
    <s v="EE_Enefit"/>
    <x v="0"/>
    <n v="42.692399999999999"/>
    <n v="11.859"/>
  </r>
  <r>
    <x v="0"/>
    <x v="24"/>
    <x v="1"/>
    <x v="2"/>
    <s v="EE_Industry"/>
    <x v="0"/>
    <n v="42.692399999999999"/>
    <n v="11.859"/>
  </r>
  <r>
    <x v="0"/>
    <x v="24"/>
    <x v="1"/>
    <x v="2"/>
    <s v="EE_Kohtla_Jarve"/>
    <x v="0"/>
    <n v="42.692399999999999"/>
    <n v="11.859"/>
  </r>
  <r>
    <x v="0"/>
    <x v="24"/>
    <x v="1"/>
    <x v="2"/>
    <s v="EE_Narva"/>
    <x v="0"/>
    <n v="42.692399999999999"/>
    <n v="11.859"/>
  </r>
  <r>
    <x v="0"/>
    <x v="24"/>
    <x v="1"/>
    <x v="2"/>
    <s v="EE_OFFSHORE"/>
    <x v="0"/>
    <n v="42.692399999999999"/>
    <n v="11.859"/>
  </r>
  <r>
    <x v="0"/>
    <x v="24"/>
    <x v="1"/>
    <x v="2"/>
    <s v="EE_Parnu"/>
    <x v="0"/>
    <n v="42.692399999999999"/>
    <n v="11.859"/>
  </r>
  <r>
    <x v="0"/>
    <x v="24"/>
    <x v="1"/>
    <x v="2"/>
    <s v="EE_Rural"/>
    <x v="0"/>
    <n v="42.692399999999999"/>
    <n v="11.859"/>
  </r>
  <r>
    <x v="0"/>
    <x v="24"/>
    <x v="1"/>
    <x v="2"/>
    <s v="EE_Sillamae"/>
    <x v="0"/>
    <n v="42.692399999999999"/>
    <n v="11.859"/>
  </r>
  <r>
    <x v="0"/>
    <x v="24"/>
    <x v="1"/>
    <x v="2"/>
    <s v="EE_Tallinn"/>
    <x v="0"/>
    <n v="42.692399999999999"/>
    <n v="11.859"/>
  </r>
  <r>
    <x v="0"/>
    <x v="24"/>
    <x v="1"/>
    <x v="2"/>
    <s v="EE_Tartu"/>
    <x v="0"/>
    <n v="42.692399999999999"/>
    <n v="11.859"/>
  </r>
  <r>
    <x v="0"/>
    <x v="24"/>
    <x v="1"/>
    <x v="2"/>
    <s v="EE_Urban"/>
    <x v="0"/>
    <n v="42.692399999999999"/>
    <n v="11.859"/>
  </r>
  <r>
    <x v="0"/>
    <x v="24"/>
    <x v="2"/>
    <x v="3"/>
    <s v="FI_IND"/>
    <x v="0"/>
    <n v="42.692399999999999"/>
    <n v="11.859"/>
  </r>
  <r>
    <x v="0"/>
    <x v="24"/>
    <x v="2"/>
    <x v="3"/>
    <s v="FI_Offshore"/>
    <x v="0"/>
    <n v="42.692399999999999"/>
    <n v="11.859"/>
  </r>
  <r>
    <x v="0"/>
    <x v="24"/>
    <x v="2"/>
    <x v="3"/>
    <s v="FI_large"/>
    <x v="0"/>
    <n v="42.692399999999999"/>
    <n v="11.859"/>
  </r>
  <r>
    <x v="0"/>
    <x v="24"/>
    <x v="2"/>
    <x v="3"/>
    <s v="FI_large_gas"/>
    <x v="0"/>
    <n v="42.692399999999999"/>
    <n v="11.859"/>
  </r>
  <r>
    <x v="0"/>
    <x v="24"/>
    <x v="2"/>
    <x v="3"/>
    <s v="FI_medium"/>
    <x v="0"/>
    <n v="42.692399999999999"/>
    <n v="11.859"/>
  </r>
  <r>
    <x v="0"/>
    <x v="24"/>
    <x v="2"/>
    <x v="3"/>
    <s v="FI_medium_gas"/>
    <x v="0"/>
    <n v="42.692399999999999"/>
    <n v="11.859"/>
  </r>
  <r>
    <x v="0"/>
    <x v="24"/>
    <x v="2"/>
    <x v="3"/>
    <s v="FI_small"/>
    <x v="0"/>
    <n v="42.692399999999999"/>
    <n v="11.859"/>
  </r>
  <r>
    <x v="0"/>
    <x v="24"/>
    <x v="2"/>
    <x v="3"/>
    <s v="FI_small_gas"/>
    <x v="0"/>
    <n v="42.692399999999999"/>
    <n v="11.859"/>
  </r>
  <r>
    <x v="0"/>
    <x v="24"/>
    <x v="2"/>
    <x v="3"/>
    <s v="FinA"/>
    <x v="0"/>
    <n v="42.692399999999999"/>
    <n v="11.859"/>
  </r>
  <r>
    <x v="0"/>
    <x v="24"/>
    <x v="3"/>
    <x v="4"/>
    <s v="DE4-E_A"/>
    <x v="0"/>
    <n v="42.692399999999999"/>
    <n v="11.859"/>
  </r>
  <r>
    <x v="0"/>
    <x v="24"/>
    <x v="3"/>
    <x v="4"/>
    <s v="DE4-E_Offshore_A"/>
    <x v="0"/>
    <n v="42.692399999999999"/>
    <n v="11.859"/>
  </r>
  <r>
    <x v="0"/>
    <x v="24"/>
    <x v="3"/>
    <x v="5"/>
    <s v="DE4-N_A"/>
    <x v="0"/>
    <n v="42.692399999999999"/>
    <n v="11.859"/>
  </r>
  <r>
    <x v="0"/>
    <x v="24"/>
    <x v="3"/>
    <x v="5"/>
    <s v="DE4-N_Offshore_A"/>
    <x v="0"/>
    <n v="42.692399999999999"/>
    <n v="11.859"/>
  </r>
  <r>
    <x v="0"/>
    <x v="24"/>
    <x v="3"/>
    <x v="6"/>
    <s v="DE4-S_A"/>
    <x v="0"/>
    <n v="42.692399999999999"/>
    <n v="11.859"/>
  </r>
  <r>
    <x v="0"/>
    <x v="24"/>
    <x v="3"/>
    <x v="7"/>
    <s v="DE4-W_A"/>
    <x v="0"/>
    <n v="42.692399999999999"/>
    <n v="11.859"/>
  </r>
  <r>
    <x v="0"/>
    <x v="24"/>
    <x v="3"/>
    <x v="7"/>
    <s v="DE4-W_Offshore_A"/>
    <x v="0"/>
    <n v="42.692399999999999"/>
    <n v="11.859"/>
  </r>
  <r>
    <x v="0"/>
    <x v="24"/>
    <x v="4"/>
    <x v="8"/>
    <s v="LV_A"/>
    <x v="0"/>
    <n v="42.692399999999999"/>
    <n v="11.859"/>
  </r>
  <r>
    <x v="0"/>
    <x v="24"/>
    <x v="4"/>
    <x v="8"/>
    <s v="LV_OFFSHORE"/>
    <x v="0"/>
    <n v="42.692399999999999"/>
    <n v="11.859"/>
  </r>
  <r>
    <x v="0"/>
    <x v="24"/>
    <x v="4"/>
    <x v="8"/>
    <s v="LV_Other_DH"/>
    <x v="0"/>
    <n v="42.692399999999999"/>
    <n v="11.859"/>
  </r>
  <r>
    <x v="0"/>
    <x v="24"/>
    <x v="4"/>
    <x v="8"/>
    <s v="LV_RigaR"/>
    <x v="0"/>
    <n v="42.692399999999999"/>
    <n v="11.859"/>
  </r>
  <r>
    <x v="0"/>
    <x v="24"/>
    <x v="4"/>
    <x v="8"/>
    <s v="LV_Rural"/>
    <x v="0"/>
    <n v="42.692399999999999"/>
    <n v="11.859"/>
  </r>
  <r>
    <x v="0"/>
    <x v="24"/>
    <x v="5"/>
    <x v="9"/>
    <s v="LT_A"/>
    <x v="0"/>
    <n v="42.692399999999999"/>
    <n v="11.859"/>
  </r>
  <r>
    <x v="0"/>
    <x v="24"/>
    <x v="5"/>
    <x v="9"/>
    <s v="LT_KauU"/>
    <x v="0"/>
    <n v="42.692399999999999"/>
    <n v="11.859"/>
  </r>
  <r>
    <x v="0"/>
    <x v="24"/>
    <x v="5"/>
    <x v="9"/>
    <s v="LT_KlaU"/>
    <x v="0"/>
    <n v="42.692399999999999"/>
    <n v="11.859"/>
  </r>
  <r>
    <x v="0"/>
    <x v="24"/>
    <x v="5"/>
    <x v="9"/>
    <s v="LT_OFFSHORE"/>
    <x v="0"/>
    <n v="42.692399999999999"/>
    <n v="11.859"/>
  </r>
  <r>
    <x v="0"/>
    <x v="24"/>
    <x v="5"/>
    <x v="9"/>
    <s v="LT_Other_DH"/>
    <x v="0"/>
    <n v="42.692399999999999"/>
    <n v="11.859"/>
  </r>
  <r>
    <x v="0"/>
    <x v="24"/>
    <x v="5"/>
    <x v="9"/>
    <s v="LT_Panevezys"/>
    <x v="0"/>
    <n v="42.692399999999999"/>
    <n v="11.859"/>
  </r>
  <r>
    <x v="0"/>
    <x v="24"/>
    <x v="5"/>
    <x v="9"/>
    <s v="LT_Rural"/>
    <x v="0"/>
    <n v="42.692399999999999"/>
    <n v="11.859"/>
  </r>
  <r>
    <x v="0"/>
    <x v="24"/>
    <x v="5"/>
    <x v="9"/>
    <s v="LT_SiaU"/>
    <x v="0"/>
    <n v="42.692399999999999"/>
    <n v="11.859"/>
  </r>
  <r>
    <x v="0"/>
    <x v="24"/>
    <x v="5"/>
    <x v="9"/>
    <s v="LT_VilU"/>
    <x v="0"/>
    <n v="42.692399999999999"/>
    <n v="11.859"/>
  </r>
  <r>
    <x v="0"/>
    <x v="24"/>
    <x v="6"/>
    <x v="10"/>
    <s v="NL_A"/>
    <x v="0"/>
    <n v="42.692399999999999"/>
    <n v="11.859"/>
  </r>
  <r>
    <x v="0"/>
    <x v="24"/>
    <x v="6"/>
    <x v="10"/>
    <s v="NL_OFFSHORE"/>
    <x v="0"/>
    <n v="42.692399999999999"/>
    <n v="11.859"/>
  </r>
  <r>
    <x v="0"/>
    <x v="24"/>
    <x v="7"/>
    <x v="11"/>
    <s v="NO1_A1"/>
    <x v="0"/>
    <n v="42.692399999999999"/>
    <n v="11.859"/>
  </r>
  <r>
    <x v="0"/>
    <x v="24"/>
    <x v="7"/>
    <x v="11"/>
    <s v="NO1_A2"/>
    <x v="0"/>
    <n v="42.692399999999999"/>
    <n v="11.859"/>
  </r>
  <r>
    <x v="0"/>
    <x v="24"/>
    <x v="7"/>
    <x v="11"/>
    <s v="NO1_A3"/>
    <x v="0"/>
    <n v="42.692399999999999"/>
    <n v="11.859"/>
  </r>
  <r>
    <x v="0"/>
    <x v="24"/>
    <x v="7"/>
    <x v="11"/>
    <s v="NO1_Offshore"/>
    <x v="0"/>
    <n v="42.692399999999999"/>
    <n v="11.859"/>
  </r>
  <r>
    <x v="0"/>
    <x v="24"/>
    <x v="7"/>
    <x v="12"/>
    <s v="NO2_A1"/>
    <x v="0"/>
    <n v="42.692399999999999"/>
    <n v="11.859"/>
  </r>
  <r>
    <x v="0"/>
    <x v="24"/>
    <x v="7"/>
    <x v="12"/>
    <s v="NO2_A2"/>
    <x v="0"/>
    <n v="42.692399999999999"/>
    <n v="11.859"/>
  </r>
  <r>
    <x v="0"/>
    <x v="24"/>
    <x v="7"/>
    <x v="12"/>
    <s v="NO2_Offshore"/>
    <x v="0"/>
    <n v="42.692399999999999"/>
    <n v="11.859"/>
  </r>
  <r>
    <x v="0"/>
    <x v="24"/>
    <x v="7"/>
    <x v="13"/>
    <s v="NO3_A1"/>
    <x v="0"/>
    <n v="42.692399999999999"/>
    <n v="11.859"/>
  </r>
  <r>
    <x v="0"/>
    <x v="24"/>
    <x v="7"/>
    <x v="13"/>
    <s v="NO3_A2"/>
    <x v="0"/>
    <n v="42.692399999999999"/>
    <n v="11.859"/>
  </r>
  <r>
    <x v="0"/>
    <x v="24"/>
    <x v="7"/>
    <x v="13"/>
    <s v="NO3_A3"/>
    <x v="0"/>
    <n v="42.692399999999999"/>
    <n v="11.859"/>
  </r>
  <r>
    <x v="0"/>
    <x v="24"/>
    <x v="7"/>
    <x v="13"/>
    <s v="NO3_Offshore"/>
    <x v="0"/>
    <n v="42.692399999999999"/>
    <n v="11.859"/>
  </r>
  <r>
    <x v="0"/>
    <x v="24"/>
    <x v="7"/>
    <x v="14"/>
    <s v="NO4_A1"/>
    <x v="0"/>
    <n v="42.692399999999999"/>
    <n v="11.859"/>
  </r>
  <r>
    <x v="0"/>
    <x v="24"/>
    <x v="7"/>
    <x v="14"/>
    <s v="NO4_A2"/>
    <x v="0"/>
    <n v="42.692399999999999"/>
    <n v="11.859"/>
  </r>
  <r>
    <x v="0"/>
    <x v="24"/>
    <x v="7"/>
    <x v="14"/>
    <s v="NO4_Offshore"/>
    <x v="0"/>
    <n v="42.692399999999999"/>
    <n v="11.859"/>
  </r>
  <r>
    <x v="0"/>
    <x v="24"/>
    <x v="7"/>
    <x v="15"/>
    <s v="NO5_A1"/>
    <x v="0"/>
    <n v="42.692399999999999"/>
    <n v="11.859"/>
  </r>
  <r>
    <x v="0"/>
    <x v="24"/>
    <x v="7"/>
    <x v="15"/>
    <s v="NO5_A2"/>
    <x v="0"/>
    <n v="42.692399999999999"/>
    <n v="11.859"/>
  </r>
  <r>
    <x v="0"/>
    <x v="24"/>
    <x v="7"/>
    <x v="15"/>
    <s v="NO5_Offshore"/>
    <x v="0"/>
    <n v="42.692399999999999"/>
    <n v="11.859"/>
  </r>
  <r>
    <x v="0"/>
    <x v="24"/>
    <x v="8"/>
    <x v="16"/>
    <s v="PL_A"/>
    <x v="0"/>
    <n v="42.692399999999999"/>
    <n v="11.859"/>
  </r>
  <r>
    <x v="0"/>
    <x v="24"/>
    <x v="8"/>
    <x v="16"/>
    <s v="PL_OFFSHORE"/>
    <x v="0"/>
    <n v="42.692399999999999"/>
    <n v="11.859"/>
  </r>
  <r>
    <x v="0"/>
    <x v="24"/>
    <x v="8"/>
    <x v="16"/>
    <s v="PL_Rural"/>
    <x v="0"/>
    <n v="42.692399999999999"/>
    <n v="11.859"/>
  </r>
  <r>
    <x v="0"/>
    <x v="24"/>
    <x v="9"/>
    <x v="17"/>
    <s v="SE1A"/>
    <x v="0"/>
    <n v="42.692399999999999"/>
    <n v="11.859"/>
  </r>
  <r>
    <x v="0"/>
    <x v="24"/>
    <x v="9"/>
    <x v="17"/>
    <s v="SE1_IND"/>
    <x v="0"/>
    <n v="42.692399999999999"/>
    <n v="11.859"/>
  </r>
  <r>
    <x v="0"/>
    <x v="24"/>
    <x v="9"/>
    <x v="17"/>
    <s v="SE1_Offshore"/>
    <x v="0"/>
    <n v="42.692399999999999"/>
    <n v="11.859"/>
  </r>
  <r>
    <x v="0"/>
    <x v="24"/>
    <x v="9"/>
    <x v="17"/>
    <s v="SE1_medium"/>
    <x v="0"/>
    <n v="42.692399999999999"/>
    <n v="11.859"/>
  </r>
  <r>
    <x v="0"/>
    <x v="24"/>
    <x v="9"/>
    <x v="17"/>
    <s v="SE1_small"/>
    <x v="0"/>
    <n v="42.692399999999999"/>
    <n v="11.859"/>
  </r>
  <r>
    <x v="0"/>
    <x v="24"/>
    <x v="9"/>
    <x v="18"/>
    <s v="SE2A"/>
    <x v="0"/>
    <n v="42.692399999999999"/>
    <n v="11.859"/>
  </r>
  <r>
    <x v="0"/>
    <x v="24"/>
    <x v="9"/>
    <x v="18"/>
    <s v="SE2_IND"/>
    <x v="0"/>
    <n v="42.692399999999999"/>
    <n v="11.859"/>
  </r>
  <r>
    <x v="0"/>
    <x v="24"/>
    <x v="9"/>
    <x v="18"/>
    <s v="SE2_Offshore"/>
    <x v="0"/>
    <n v="42.692399999999999"/>
    <n v="11.859"/>
  </r>
  <r>
    <x v="0"/>
    <x v="24"/>
    <x v="9"/>
    <x v="18"/>
    <s v="SE2_medium"/>
    <x v="0"/>
    <n v="42.692399999999999"/>
    <n v="11.859"/>
  </r>
  <r>
    <x v="0"/>
    <x v="24"/>
    <x v="9"/>
    <x v="18"/>
    <s v="SE2_small"/>
    <x v="0"/>
    <n v="42.692399999999999"/>
    <n v="11.859"/>
  </r>
  <r>
    <x v="0"/>
    <x v="24"/>
    <x v="9"/>
    <x v="19"/>
    <s v="SE3A"/>
    <x v="0"/>
    <n v="42.692399999999999"/>
    <n v="11.859"/>
  </r>
  <r>
    <x v="0"/>
    <x v="24"/>
    <x v="9"/>
    <x v="19"/>
    <s v="SE3_IND"/>
    <x v="0"/>
    <n v="42.692399999999999"/>
    <n v="11.859"/>
  </r>
  <r>
    <x v="0"/>
    <x v="24"/>
    <x v="9"/>
    <x v="19"/>
    <s v="SE3_Offshore"/>
    <x v="0"/>
    <n v="42.692399999999999"/>
    <n v="11.859"/>
  </r>
  <r>
    <x v="0"/>
    <x v="24"/>
    <x v="9"/>
    <x v="19"/>
    <s v="SE3_large"/>
    <x v="0"/>
    <n v="42.692399999999999"/>
    <n v="11.859"/>
  </r>
  <r>
    <x v="0"/>
    <x v="24"/>
    <x v="9"/>
    <x v="19"/>
    <s v="SE3_medium"/>
    <x v="0"/>
    <n v="42.692399999999999"/>
    <n v="11.859"/>
  </r>
  <r>
    <x v="0"/>
    <x v="24"/>
    <x v="9"/>
    <x v="19"/>
    <s v="SE3_small"/>
    <x v="0"/>
    <n v="42.692399999999999"/>
    <n v="11.859"/>
  </r>
  <r>
    <x v="0"/>
    <x v="24"/>
    <x v="9"/>
    <x v="20"/>
    <s v="SE4A"/>
    <x v="0"/>
    <n v="42.692399999999999"/>
    <n v="11.859"/>
  </r>
  <r>
    <x v="0"/>
    <x v="24"/>
    <x v="9"/>
    <x v="20"/>
    <s v="SE4_IND"/>
    <x v="0"/>
    <n v="42.692399999999999"/>
    <n v="11.859"/>
  </r>
  <r>
    <x v="0"/>
    <x v="24"/>
    <x v="9"/>
    <x v="20"/>
    <s v="SE4_Offshore"/>
    <x v="0"/>
    <n v="42.692399999999999"/>
    <n v="11.859"/>
  </r>
  <r>
    <x v="0"/>
    <x v="24"/>
    <x v="9"/>
    <x v="20"/>
    <s v="SE4_large"/>
    <x v="0"/>
    <n v="42.692399999999999"/>
    <n v="11.859"/>
  </r>
  <r>
    <x v="0"/>
    <x v="24"/>
    <x v="9"/>
    <x v="20"/>
    <s v="SE4_medium"/>
    <x v="0"/>
    <n v="42.692399999999999"/>
    <n v="11.859"/>
  </r>
  <r>
    <x v="0"/>
    <x v="24"/>
    <x v="9"/>
    <x v="20"/>
    <s v="SE4_small"/>
    <x v="0"/>
    <n v="42.692399999999999"/>
    <n v="11.859"/>
  </r>
  <r>
    <x v="0"/>
    <x v="24"/>
    <x v="10"/>
    <x v="21"/>
    <s v="UK_A"/>
    <x v="0"/>
    <n v="42.692399999999999"/>
    <n v="11.859"/>
  </r>
  <r>
    <x v="0"/>
    <x v="24"/>
    <x v="10"/>
    <x v="21"/>
    <s v="UK_Offshore"/>
    <x v="0"/>
    <n v="42.692399999999999"/>
    <n v="11.859"/>
  </r>
  <r>
    <x v="0"/>
    <x v="25"/>
    <x v="0"/>
    <x v="0"/>
    <s v="DK1_Large"/>
    <x v="0"/>
    <n v="42.692399999999999"/>
    <n v="11.859"/>
  </r>
  <r>
    <x v="0"/>
    <x v="25"/>
    <x v="0"/>
    <x v="0"/>
    <s v="DK1_Large_PHH"/>
    <x v="0"/>
    <n v="42.692399999999999"/>
    <n v="11.859"/>
  </r>
  <r>
    <x v="0"/>
    <x v="25"/>
    <x v="0"/>
    <x v="0"/>
    <s v="DK1_Large_PHL"/>
    <x v="0"/>
    <n v="42.692399999999999"/>
    <n v="11.859"/>
  </r>
  <r>
    <x v="0"/>
    <x v="25"/>
    <x v="0"/>
    <x v="0"/>
    <s v="DK1_MedSmall"/>
    <x v="0"/>
    <n v="42.692399999999999"/>
    <n v="11.859"/>
  </r>
  <r>
    <x v="0"/>
    <x v="25"/>
    <x v="0"/>
    <x v="0"/>
    <s v="DK1_Medium"/>
    <x v="0"/>
    <n v="42.692399999999999"/>
    <n v="11.859"/>
  </r>
  <r>
    <x v="0"/>
    <x v="25"/>
    <x v="0"/>
    <x v="0"/>
    <s v="DK1_NoDH"/>
    <x v="0"/>
    <n v="42.692399999999999"/>
    <n v="11.859"/>
  </r>
  <r>
    <x v="0"/>
    <x v="25"/>
    <x v="0"/>
    <x v="0"/>
    <s v="DK1_NoDH_PHH"/>
    <x v="0"/>
    <n v="42.692399999999999"/>
    <n v="11.859"/>
  </r>
  <r>
    <x v="0"/>
    <x v="25"/>
    <x v="0"/>
    <x v="0"/>
    <s v="DK1_NoDH_PHL"/>
    <x v="0"/>
    <n v="42.692399999999999"/>
    <n v="11.859"/>
  </r>
  <r>
    <x v="0"/>
    <x v="25"/>
    <x v="0"/>
    <x v="0"/>
    <s v="DK1_Offshore"/>
    <x v="0"/>
    <n v="42.692399999999999"/>
    <n v="11.859"/>
  </r>
  <r>
    <x v="0"/>
    <x v="25"/>
    <x v="0"/>
    <x v="0"/>
    <s v="DK1_Rural"/>
    <x v="0"/>
    <n v="42.692399999999999"/>
    <n v="11.859"/>
  </r>
  <r>
    <x v="0"/>
    <x v="25"/>
    <x v="0"/>
    <x v="0"/>
    <s v="DK1_Small"/>
    <x v="0"/>
    <n v="42.692399999999999"/>
    <n v="11.859"/>
  </r>
  <r>
    <x v="0"/>
    <x v="25"/>
    <x v="0"/>
    <x v="1"/>
    <s v="DK2_Large"/>
    <x v="0"/>
    <n v="42.692399999999999"/>
    <n v="11.859"/>
  </r>
  <r>
    <x v="0"/>
    <x v="25"/>
    <x v="0"/>
    <x v="1"/>
    <s v="DK2_Large_PHH"/>
    <x v="0"/>
    <n v="42.692399999999999"/>
    <n v="11.859"/>
  </r>
  <r>
    <x v="0"/>
    <x v="25"/>
    <x v="0"/>
    <x v="1"/>
    <s v="DK2_Large_PHL"/>
    <x v="0"/>
    <n v="42.692399999999999"/>
    <n v="11.859"/>
  </r>
  <r>
    <x v="0"/>
    <x v="25"/>
    <x v="0"/>
    <x v="1"/>
    <s v="DK2_MedSmall"/>
    <x v="0"/>
    <n v="42.692399999999999"/>
    <n v="11.859"/>
  </r>
  <r>
    <x v="0"/>
    <x v="25"/>
    <x v="0"/>
    <x v="1"/>
    <s v="DK2_Medium"/>
    <x v="0"/>
    <n v="42.692399999999999"/>
    <n v="11.859"/>
  </r>
  <r>
    <x v="0"/>
    <x v="25"/>
    <x v="0"/>
    <x v="1"/>
    <s v="DK2_NoDH"/>
    <x v="0"/>
    <n v="42.692399999999999"/>
    <n v="11.859"/>
  </r>
  <r>
    <x v="0"/>
    <x v="25"/>
    <x v="0"/>
    <x v="1"/>
    <s v="DK2_NoDH_PHH"/>
    <x v="0"/>
    <n v="42.692399999999999"/>
    <n v="11.859"/>
  </r>
  <r>
    <x v="0"/>
    <x v="25"/>
    <x v="0"/>
    <x v="1"/>
    <s v="DK2_NoDH_PHL"/>
    <x v="0"/>
    <n v="42.692399999999999"/>
    <n v="11.859"/>
  </r>
  <r>
    <x v="0"/>
    <x v="25"/>
    <x v="0"/>
    <x v="1"/>
    <s v="DK2_Offshore"/>
    <x v="0"/>
    <n v="42.692399999999999"/>
    <n v="11.859"/>
  </r>
  <r>
    <x v="0"/>
    <x v="25"/>
    <x v="0"/>
    <x v="1"/>
    <s v="DK2_Rural"/>
    <x v="0"/>
    <n v="42.692399999999999"/>
    <n v="11.859"/>
  </r>
  <r>
    <x v="0"/>
    <x v="25"/>
    <x v="0"/>
    <x v="1"/>
    <s v="DK2_Small"/>
    <x v="0"/>
    <n v="42.692399999999999"/>
    <n v="11.859"/>
  </r>
  <r>
    <x v="0"/>
    <x v="25"/>
    <x v="1"/>
    <x v="2"/>
    <s v="EE_A"/>
    <x v="0"/>
    <n v="42.692399999999999"/>
    <n v="11.859"/>
  </r>
  <r>
    <x v="0"/>
    <x v="25"/>
    <x v="1"/>
    <x v="2"/>
    <s v="EE_Enefit"/>
    <x v="0"/>
    <n v="42.692399999999999"/>
    <n v="11.859"/>
  </r>
  <r>
    <x v="0"/>
    <x v="25"/>
    <x v="1"/>
    <x v="2"/>
    <s v="EE_Industry"/>
    <x v="0"/>
    <n v="42.692399999999999"/>
    <n v="11.859"/>
  </r>
  <r>
    <x v="0"/>
    <x v="25"/>
    <x v="1"/>
    <x v="2"/>
    <s v="EE_Kohtla_Jarve"/>
    <x v="0"/>
    <n v="42.692399999999999"/>
    <n v="11.859"/>
  </r>
  <r>
    <x v="0"/>
    <x v="25"/>
    <x v="1"/>
    <x v="2"/>
    <s v="EE_Narva"/>
    <x v="0"/>
    <n v="42.692399999999999"/>
    <n v="11.859"/>
  </r>
  <r>
    <x v="0"/>
    <x v="25"/>
    <x v="1"/>
    <x v="2"/>
    <s v="EE_OFFSHORE"/>
    <x v="0"/>
    <n v="42.692399999999999"/>
    <n v="11.859"/>
  </r>
  <r>
    <x v="0"/>
    <x v="25"/>
    <x v="1"/>
    <x v="2"/>
    <s v="EE_Parnu"/>
    <x v="0"/>
    <n v="42.692399999999999"/>
    <n v="11.859"/>
  </r>
  <r>
    <x v="0"/>
    <x v="25"/>
    <x v="1"/>
    <x v="2"/>
    <s v="EE_Rural"/>
    <x v="0"/>
    <n v="42.692399999999999"/>
    <n v="11.859"/>
  </r>
  <r>
    <x v="0"/>
    <x v="25"/>
    <x v="1"/>
    <x v="2"/>
    <s v="EE_Sillamae"/>
    <x v="0"/>
    <n v="42.692399999999999"/>
    <n v="11.859"/>
  </r>
  <r>
    <x v="0"/>
    <x v="25"/>
    <x v="1"/>
    <x v="2"/>
    <s v="EE_Tallinn"/>
    <x v="0"/>
    <n v="42.692399999999999"/>
    <n v="11.859"/>
  </r>
  <r>
    <x v="0"/>
    <x v="25"/>
    <x v="1"/>
    <x v="2"/>
    <s v="EE_Tartu"/>
    <x v="0"/>
    <n v="42.692399999999999"/>
    <n v="11.859"/>
  </r>
  <r>
    <x v="0"/>
    <x v="25"/>
    <x v="1"/>
    <x v="2"/>
    <s v="EE_Urban"/>
    <x v="0"/>
    <n v="42.692399999999999"/>
    <n v="11.859"/>
  </r>
  <r>
    <x v="0"/>
    <x v="25"/>
    <x v="2"/>
    <x v="3"/>
    <s v="FI_IND"/>
    <x v="0"/>
    <n v="42.692399999999999"/>
    <n v="11.859"/>
  </r>
  <r>
    <x v="0"/>
    <x v="25"/>
    <x v="2"/>
    <x v="3"/>
    <s v="FI_Offshore"/>
    <x v="0"/>
    <n v="42.692399999999999"/>
    <n v="11.859"/>
  </r>
  <r>
    <x v="0"/>
    <x v="25"/>
    <x v="2"/>
    <x v="3"/>
    <s v="FI_large"/>
    <x v="0"/>
    <n v="42.692399999999999"/>
    <n v="11.859"/>
  </r>
  <r>
    <x v="0"/>
    <x v="25"/>
    <x v="2"/>
    <x v="3"/>
    <s v="FI_large_gas"/>
    <x v="0"/>
    <n v="42.692399999999999"/>
    <n v="11.859"/>
  </r>
  <r>
    <x v="0"/>
    <x v="25"/>
    <x v="2"/>
    <x v="3"/>
    <s v="FI_medium"/>
    <x v="0"/>
    <n v="42.692399999999999"/>
    <n v="11.859"/>
  </r>
  <r>
    <x v="0"/>
    <x v="25"/>
    <x v="2"/>
    <x v="3"/>
    <s v="FI_medium_gas"/>
    <x v="0"/>
    <n v="42.692399999999999"/>
    <n v="11.859"/>
  </r>
  <r>
    <x v="0"/>
    <x v="25"/>
    <x v="2"/>
    <x v="3"/>
    <s v="FI_small"/>
    <x v="0"/>
    <n v="42.692399999999999"/>
    <n v="11.859"/>
  </r>
  <r>
    <x v="0"/>
    <x v="25"/>
    <x v="2"/>
    <x v="3"/>
    <s v="FI_small_gas"/>
    <x v="0"/>
    <n v="42.692399999999999"/>
    <n v="11.859"/>
  </r>
  <r>
    <x v="0"/>
    <x v="25"/>
    <x v="2"/>
    <x v="3"/>
    <s v="FinA"/>
    <x v="0"/>
    <n v="42.692399999999999"/>
    <n v="11.859"/>
  </r>
  <r>
    <x v="0"/>
    <x v="25"/>
    <x v="3"/>
    <x v="4"/>
    <s v="DE4-E_A"/>
    <x v="0"/>
    <n v="42.692399999999999"/>
    <n v="11.859"/>
  </r>
  <r>
    <x v="0"/>
    <x v="25"/>
    <x v="3"/>
    <x v="4"/>
    <s v="DE4-E_Offshore_A"/>
    <x v="0"/>
    <n v="42.692399999999999"/>
    <n v="11.859"/>
  </r>
  <r>
    <x v="0"/>
    <x v="25"/>
    <x v="3"/>
    <x v="5"/>
    <s v="DE4-N_A"/>
    <x v="0"/>
    <n v="42.692399999999999"/>
    <n v="11.859"/>
  </r>
  <r>
    <x v="0"/>
    <x v="25"/>
    <x v="3"/>
    <x v="5"/>
    <s v="DE4-N_Offshore_A"/>
    <x v="0"/>
    <n v="42.692399999999999"/>
    <n v="11.859"/>
  </r>
  <r>
    <x v="0"/>
    <x v="25"/>
    <x v="3"/>
    <x v="6"/>
    <s v="DE4-S_A"/>
    <x v="0"/>
    <n v="42.692399999999999"/>
    <n v="11.859"/>
  </r>
  <r>
    <x v="0"/>
    <x v="25"/>
    <x v="3"/>
    <x v="7"/>
    <s v="DE4-W_A"/>
    <x v="0"/>
    <n v="42.692399999999999"/>
    <n v="11.859"/>
  </r>
  <r>
    <x v="0"/>
    <x v="25"/>
    <x v="3"/>
    <x v="7"/>
    <s v="DE4-W_Offshore_A"/>
    <x v="0"/>
    <n v="42.692399999999999"/>
    <n v="11.859"/>
  </r>
  <r>
    <x v="0"/>
    <x v="25"/>
    <x v="4"/>
    <x v="8"/>
    <s v="LV_A"/>
    <x v="0"/>
    <n v="42.692399999999999"/>
    <n v="11.859"/>
  </r>
  <r>
    <x v="0"/>
    <x v="25"/>
    <x v="4"/>
    <x v="8"/>
    <s v="LV_OFFSHORE"/>
    <x v="0"/>
    <n v="42.692399999999999"/>
    <n v="11.859"/>
  </r>
  <r>
    <x v="0"/>
    <x v="25"/>
    <x v="4"/>
    <x v="8"/>
    <s v="LV_Other_DH"/>
    <x v="0"/>
    <n v="42.692399999999999"/>
    <n v="11.859"/>
  </r>
  <r>
    <x v="0"/>
    <x v="25"/>
    <x v="4"/>
    <x v="8"/>
    <s v="LV_RigaR"/>
    <x v="0"/>
    <n v="42.692399999999999"/>
    <n v="11.859"/>
  </r>
  <r>
    <x v="0"/>
    <x v="25"/>
    <x v="4"/>
    <x v="8"/>
    <s v="LV_Rural"/>
    <x v="0"/>
    <n v="42.692399999999999"/>
    <n v="11.859"/>
  </r>
  <r>
    <x v="0"/>
    <x v="25"/>
    <x v="5"/>
    <x v="9"/>
    <s v="LT_A"/>
    <x v="0"/>
    <n v="42.692399999999999"/>
    <n v="11.859"/>
  </r>
  <r>
    <x v="0"/>
    <x v="25"/>
    <x v="5"/>
    <x v="9"/>
    <s v="LT_KauU"/>
    <x v="0"/>
    <n v="42.692399999999999"/>
    <n v="11.859"/>
  </r>
  <r>
    <x v="0"/>
    <x v="25"/>
    <x v="5"/>
    <x v="9"/>
    <s v="LT_KlaU"/>
    <x v="0"/>
    <n v="42.692399999999999"/>
    <n v="11.859"/>
  </r>
  <r>
    <x v="0"/>
    <x v="25"/>
    <x v="5"/>
    <x v="9"/>
    <s v="LT_OFFSHORE"/>
    <x v="0"/>
    <n v="42.692399999999999"/>
    <n v="11.859"/>
  </r>
  <r>
    <x v="0"/>
    <x v="25"/>
    <x v="5"/>
    <x v="9"/>
    <s v="LT_Other_DH"/>
    <x v="0"/>
    <n v="42.692399999999999"/>
    <n v="11.859"/>
  </r>
  <r>
    <x v="0"/>
    <x v="25"/>
    <x v="5"/>
    <x v="9"/>
    <s v="LT_Panevezys"/>
    <x v="0"/>
    <n v="42.692399999999999"/>
    <n v="11.859"/>
  </r>
  <r>
    <x v="0"/>
    <x v="25"/>
    <x v="5"/>
    <x v="9"/>
    <s v="LT_Rural"/>
    <x v="0"/>
    <n v="42.692399999999999"/>
    <n v="11.859"/>
  </r>
  <r>
    <x v="0"/>
    <x v="25"/>
    <x v="5"/>
    <x v="9"/>
    <s v="LT_SiaU"/>
    <x v="0"/>
    <n v="42.692399999999999"/>
    <n v="11.859"/>
  </r>
  <r>
    <x v="0"/>
    <x v="25"/>
    <x v="5"/>
    <x v="9"/>
    <s v="LT_VilU"/>
    <x v="0"/>
    <n v="42.692399999999999"/>
    <n v="11.859"/>
  </r>
  <r>
    <x v="0"/>
    <x v="25"/>
    <x v="6"/>
    <x v="10"/>
    <s v="NL_A"/>
    <x v="0"/>
    <n v="42.692399999999999"/>
    <n v="11.859"/>
  </r>
  <r>
    <x v="0"/>
    <x v="25"/>
    <x v="6"/>
    <x v="10"/>
    <s v="NL_OFFSHORE"/>
    <x v="0"/>
    <n v="42.692399999999999"/>
    <n v="11.859"/>
  </r>
  <r>
    <x v="0"/>
    <x v="25"/>
    <x v="7"/>
    <x v="11"/>
    <s v="NO1_A1"/>
    <x v="0"/>
    <n v="42.692399999999999"/>
    <n v="11.859"/>
  </r>
  <r>
    <x v="0"/>
    <x v="25"/>
    <x v="7"/>
    <x v="11"/>
    <s v="NO1_A2"/>
    <x v="0"/>
    <n v="42.692399999999999"/>
    <n v="11.859"/>
  </r>
  <r>
    <x v="0"/>
    <x v="25"/>
    <x v="7"/>
    <x v="11"/>
    <s v="NO1_A3"/>
    <x v="0"/>
    <n v="42.692399999999999"/>
    <n v="11.859"/>
  </r>
  <r>
    <x v="0"/>
    <x v="25"/>
    <x v="7"/>
    <x v="11"/>
    <s v="NO1_Offshore"/>
    <x v="0"/>
    <n v="42.692399999999999"/>
    <n v="11.859"/>
  </r>
  <r>
    <x v="0"/>
    <x v="25"/>
    <x v="7"/>
    <x v="12"/>
    <s v="NO2_A1"/>
    <x v="0"/>
    <n v="42.692399999999999"/>
    <n v="11.859"/>
  </r>
  <r>
    <x v="0"/>
    <x v="25"/>
    <x v="7"/>
    <x v="12"/>
    <s v="NO2_A2"/>
    <x v="0"/>
    <n v="42.692399999999999"/>
    <n v="11.859"/>
  </r>
  <r>
    <x v="0"/>
    <x v="25"/>
    <x v="7"/>
    <x v="12"/>
    <s v="NO2_Offshore"/>
    <x v="0"/>
    <n v="42.692399999999999"/>
    <n v="11.859"/>
  </r>
  <r>
    <x v="0"/>
    <x v="25"/>
    <x v="7"/>
    <x v="13"/>
    <s v="NO3_A1"/>
    <x v="0"/>
    <n v="42.692399999999999"/>
    <n v="11.859"/>
  </r>
  <r>
    <x v="0"/>
    <x v="25"/>
    <x v="7"/>
    <x v="13"/>
    <s v="NO3_A2"/>
    <x v="0"/>
    <n v="42.692399999999999"/>
    <n v="11.859"/>
  </r>
  <r>
    <x v="0"/>
    <x v="25"/>
    <x v="7"/>
    <x v="13"/>
    <s v="NO3_A3"/>
    <x v="0"/>
    <n v="42.692399999999999"/>
    <n v="11.859"/>
  </r>
  <r>
    <x v="0"/>
    <x v="25"/>
    <x v="7"/>
    <x v="13"/>
    <s v="NO3_Offshore"/>
    <x v="0"/>
    <n v="42.692399999999999"/>
    <n v="11.859"/>
  </r>
  <r>
    <x v="0"/>
    <x v="25"/>
    <x v="7"/>
    <x v="14"/>
    <s v="NO4_A1"/>
    <x v="0"/>
    <n v="42.692399999999999"/>
    <n v="11.859"/>
  </r>
  <r>
    <x v="0"/>
    <x v="25"/>
    <x v="7"/>
    <x v="14"/>
    <s v="NO4_A2"/>
    <x v="0"/>
    <n v="42.692399999999999"/>
    <n v="11.859"/>
  </r>
  <r>
    <x v="0"/>
    <x v="25"/>
    <x v="7"/>
    <x v="14"/>
    <s v="NO4_Offshore"/>
    <x v="0"/>
    <n v="42.692399999999999"/>
    <n v="11.859"/>
  </r>
  <r>
    <x v="0"/>
    <x v="25"/>
    <x v="7"/>
    <x v="15"/>
    <s v="NO5_A1"/>
    <x v="0"/>
    <n v="42.692399999999999"/>
    <n v="11.859"/>
  </r>
  <r>
    <x v="0"/>
    <x v="25"/>
    <x v="7"/>
    <x v="15"/>
    <s v="NO5_A2"/>
    <x v="0"/>
    <n v="42.692399999999999"/>
    <n v="11.859"/>
  </r>
  <r>
    <x v="0"/>
    <x v="25"/>
    <x v="7"/>
    <x v="15"/>
    <s v="NO5_Offshore"/>
    <x v="0"/>
    <n v="42.692399999999999"/>
    <n v="11.859"/>
  </r>
  <r>
    <x v="0"/>
    <x v="25"/>
    <x v="8"/>
    <x v="16"/>
    <s v="PL_A"/>
    <x v="0"/>
    <n v="42.692399999999999"/>
    <n v="11.859"/>
  </r>
  <r>
    <x v="0"/>
    <x v="25"/>
    <x v="8"/>
    <x v="16"/>
    <s v="PL_OFFSHORE"/>
    <x v="0"/>
    <n v="42.692399999999999"/>
    <n v="11.859"/>
  </r>
  <r>
    <x v="0"/>
    <x v="25"/>
    <x v="8"/>
    <x v="16"/>
    <s v="PL_Rural"/>
    <x v="0"/>
    <n v="42.692399999999999"/>
    <n v="11.859"/>
  </r>
  <r>
    <x v="0"/>
    <x v="25"/>
    <x v="9"/>
    <x v="17"/>
    <s v="SE1A"/>
    <x v="0"/>
    <n v="42.692399999999999"/>
    <n v="11.859"/>
  </r>
  <r>
    <x v="0"/>
    <x v="25"/>
    <x v="9"/>
    <x v="17"/>
    <s v="SE1_IND"/>
    <x v="0"/>
    <n v="42.692399999999999"/>
    <n v="11.859"/>
  </r>
  <r>
    <x v="0"/>
    <x v="25"/>
    <x v="9"/>
    <x v="17"/>
    <s v="SE1_Offshore"/>
    <x v="0"/>
    <n v="42.692399999999999"/>
    <n v="11.859"/>
  </r>
  <r>
    <x v="0"/>
    <x v="25"/>
    <x v="9"/>
    <x v="17"/>
    <s v="SE1_medium"/>
    <x v="0"/>
    <n v="42.692399999999999"/>
    <n v="11.859"/>
  </r>
  <r>
    <x v="0"/>
    <x v="25"/>
    <x v="9"/>
    <x v="17"/>
    <s v="SE1_small"/>
    <x v="0"/>
    <n v="42.692399999999999"/>
    <n v="11.859"/>
  </r>
  <r>
    <x v="0"/>
    <x v="25"/>
    <x v="9"/>
    <x v="18"/>
    <s v="SE2A"/>
    <x v="0"/>
    <n v="42.692399999999999"/>
    <n v="11.859"/>
  </r>
  <r>
    <x v="0"/>
    <x v="25"/>
    <x v="9"/>
    <x v="18"/>
    <s v="SE2_IND"/>
    <x v="0"/>
    <n v="42.692399999999999"/>
    <n v="11.859"/>
  </r>
  <r>
    <x v="0"/>
    <x v="25"/>
    <x v="9"/>
    <x v="18"/>
    <s v="SE2_Offshore"/>
    <x v="0"/>
    <n v="42.692399999999999"/>
    <n v="11.859"/>
  </r>
  <r>
    <x v="0"/>
    <x v="25"/>
    <x v="9"/>
    <x v="18"/>
    <s v="SE2_medium"/>
    <x v="0"/>
    <n v="42.692399999999999"/>
    <n v="11.859"/>
  </r>
  <r>
    <x v="0"/>
    <x v="25"/>
    <x v="9"/>
    <x v="18"/>
    <s v="SE2_small"/>
    <x v="0"/>
    <n v="42.692399999999999"/>
    <n v="11.859"/>
  </r>
  <r>
    <x v="0"/>
    <x v="25"/>
    <x v="9"/>
    <x v="19"/>
    <s v="SE3A"/>
    <x v="0"/>
    <n v="42.692399999999999"/>
    <n v="11.859"/>
  </r>
  <r>
    <x v="0"/>
    <x v="25"/>
    <x v="9"/>
    <x v="19"/>
    <s v="SE3_IND"/>
    <x v="0"/>
    <n v="42.692399999999999"/>
    <n v="11.859"/>
  </r>
  <r>
    <x v="0"/>
    <x v="25"/>
    <x v="9"/>
    <x v="19"/>
    <s v="SE3_Offshore"/>
    <x v="0"/>
    <n v="42.692399999999999"/>
    <n v="11.859"/>
  </r>
  <r>
    <x v="0"/>
    <x v="25"/>
    <x v="9"/>
    <x v="19"/>
    <s v="SE3_large"/>
    <x v="0"/>
    <n v="42.692399999999999"/>
    <n v="11.859"/>
  </r>
  <r>
    <x v="0"/>
    <x v="25"/>
    <x v="9"/>
    <x v="19"/>
    <s v="SE3_medium"/>
    <x v="0"/>
    <n v="42.692399999999999"/>
    <n v="11.859"/>
  </r>
  <r>
    <x v="0"/>
    <x v="25"/>
    <x v="9"/>
    <x v="19"/>
    <s v="SE3_small"/>
    <x v="0"/>
    <n v="42.692399999999999"/>
    <n v="11.859"/>
  </r>
  <r>
    <x v="0"/>
    <x v="25"/>
    <x v="9"/>
    <x v="20"/>
    <s v="SE4A"/>
    <x v="0"/>
    <n v="42.692399999999999"/>
    <n v="11.859"/>
  </r>
  <r>
    <x v="0"/>
    <x v="25"/>
    <x v="9"/>
    <x v="20"/>
    <s v="SE4_IND"/>
    <x v="0"/>
    <n v="42.692399999999999"/>
    <n v="11.859"/>
  </r>
  <r>
    <x v="0"/>
    <x v="25"/>
    <x v="9"/>
    <x v="20"/>
    <s v="SE4_Offshore"/>
    <x v="0"/>
    <n v="42.692399999999999"/>
    <n v="11.859"/>
  </r>
  <r>
    <x v="0"/>
    <x v="25"/>
    <x v="9"/>
    <x v="20"/>
    <s v="SE4_large"/>
    <x v="0"/>
    <n v="42.692399999999999"/>
    <n v="11.859"/>
  </r>
  <r>
    <x v="0"/>
    <x v="25"/>
    <x v="9"/>
    <x v="20"/>
    <s v="SE4_medium"/>
    <x v="0"/>
    <n v="42.692399999999999"/>
    <n v="11.859"/>
  </r>
  <r>
    <x v="0"/>
    <x v="25"/>
    <x v="9"/>
    <x v="20"/>
    <s v="SE4_small"/>
    <x v="0"/>
    <n v="42.692399999999999"/>
    <n v="11.859"/>
  </r>
  <r>
    <x v="0"/>
    <x v="25"/>
    <x v="10"/>
    <x v="21"/>
    <s v="UK_A"/>
    <x v="0"/>
    <n v="42.692399999999999"/>
    <n v="11.859"/>
  </r>
  <r>
    <x v="0"/>
    <x v="25"/>
    <x v="10"/>
    <x v="21"/>
    <s v="UK_Offshore"/>
    <x v="0"/>
    <n v="42.692399999999999"/>
    <n v="11.859"/>
  </r>
  <r>
    <x v="0"/>
    <x v="26"/>
    <x v="0"/>
    <x v="0"/>
    <s v="DK1_Large"/>
    <x v="0"/>
    <n v="42.692399999999999"/>
    <n v="11.859"/>
  </r>
  <r>
    <x v="0"/>
    <x v="26"/>
    <x v="0"/>
    <x v="0"/>
    <s v="DK1_Large_PHH"/>
    <x v="0"/>
    <n v="42.692399999999999"/>
    <n v="11.859"/>
  </r>
  <r>
    <x v="0"/>
    <x v="26"/>
    <x v="0"/>
    <x v="0"/>
    <s v="DK1_Large_PHL"/>
    <x v="0"/>
    <n v="42.692399999999999"/>
    <n v="11.859"/>
  </r>
  <r>
    <x v="0"/>
    <x v="26"/>
    <x v="0"/>
    <x v="0"/>
    <s v="DK1_MedSmall"/>
    <x v="0"/>
    <n v="42.692399999999999"/>
    <n v="11.859"/>
  </r>
  <r>
    <x v="0"/>
    <x v="26"/>
    <x v="0"/>
    <x v="0"/>
    <s v="DK1_Medium"/>
    <x v="0"/>
    <n v="42.692399999999999"/>
    <n v="11.859"/>
  </r>
  <r>
    <x v="0"/>
    <x v="26"/>
    <x v="0"/>
    <x v="0"/>
    <s v="DK1_NoDH"/>
    <x v="0"/>
    <n v="42.692399999999999"/>
    <n v="11.859"/>
  </r>
  <r>
    <x v="0"/>
    <x v="26"/>
    <x v="0"/>
    <x v="0"/>
    <s v="DK1_NoDH_PHH"/>
    <x v="0"/>
    <n v="42.692399999999999"/>
    <n v="11.859"/>
  </r>
  <r>
    <x v="0"/>
    <x v="26"/>
    <x v="0"/>
    <x v="0"/>
    <s v="DK1_NoDH_PHL"/>
    <x v="0"/>
    <n v="42.692399999999999"/>
    <n v="11.859"/>
  </r>
  <r>
    <x v="0"/>
    <x v="26"/>
    <x v="0"/>
    <x v="0"/>
    <s v="DK1_Offshore"/>
    <x v="0"/>
    <n v="42.692399999999999"/>
    <n v="11.859"/>
  </r>
  <r>
    <x v="0"/>
    <x v="26"/>
    <x v="0"/>
    <x v="0"/>
    <s v="DK1_Rural"/>
    <x v="0"/>
    <n v="42.692399999999999"/>
    <n v="11.859"/>
  </r>
  <r>
    <x v="0"/>
    <x v="26"/>
    <x v="0"/>
    <x v="0"/>
    <s v="DK1_Small"/>
    <x v="0"/>
    <n v="42.692399999999999"/>
    <n v="11.859"/>
  </r>
  <r>
    <x v="0"/>
    <x v="26"/>
    <x v="0"/>
    <x v="1"/>
    <s v="DK2_Large"/>
    <x v="0"/>
    <n v="42.692399999999999"/>
    <n v="11.859"/>
  </r>
  <r>
    <x v="0"/>
    <x v="26"/>
    <x v="0"/>
    <x v="1"/>
    <s v="DK2_Large_PHH"/>
    <x v="0"/>
    <n v="42.692399999999999"/>
    <n v="11.859"/>
  </r>
  <r>
    <x v="0"/>
    <x v="26"/>
    <x v="0"/>
    <x v="1"/>
    <s v="DK2_Large_PHL"/>
    <x v="0"/>
    <n v="42.692399999999999"/>
    <n v="11.859"/>
  </r>
  <r>
    <x v="0"/>
    <x v="26"/>
    <x v="0"/>
    <x v="1"/>
    <s v="DK2_MedSmall"/>
    <x v="0"/>
    <n v="42.692399999999999"/>
    <n v="11.859"/>
  </r>
  <r>
    <x v="0"/>
    <x v="26"/>
    <x v="0"/>
    <x v="1"/>
    <s v="DK2_Medium"/>
    <x v="0"/>
    <n v="42.692399999999999"/>
    <n v="11.859"/>
  </r>
  <r>
    <x v="0"/>
    <x v="26"/>
    <x v="0"/>
    <x v="1"/>
    <s v="DK2_NoDH"/>
    <x v="0"/>
    <n v="42.692399999999999"/>
    <n v="11.859"/>
  </r>
  <r>
    <x v="0"/>
    <x v="26"/>
    <x v="0"/>
    <x v="1"/>
    <s v="DK2_NoDH_PHH"/>
    <x v="0"/>
    <n v="42.692399999999999"/>
    <n v="11.859"/>
  </r>
  <r>
    <x v="0"/>
    <x v="26"/>
    <x v="0"/>
    <x v="1"/>
    <s v="DK2_NoDH_PHL"/>
    <x v="0"/>
    <n v="42.692399999999999"/>
    <n v="11.859"/>
  </r>
  <r>
    <x v="0"/>
    <x v="26"/>
    <x v="0"/>
    <x v="1"/>
    <s v="DK2_Offshore"/>
    <x v="0"/>
    <n v="42.692399999999999"/>
    <n v="11.859"/>
  </r>
  <r>
    <x v="0"/>
    <x v="26"/>
    <x v="0"/>
    <x v="1"/>
    <s v="DK2_Rural"/>
    <x v="0"/>
    <n v="42.692399999999999"/>
    <n v="11.859"/>
  </r>
  <r>
    <x v="0"/>
    <x v="26"/>
    <x v="0"/>
    <x v="1"/>
    <s v="DK2_Small"/>
    <x v="0"/>
    <n v="42.692399999999999"/>
    <n v="11.859"/>
  </r>
  <r>
    <x v="0"/>
    <x v="26"/>
    <x v="1"/>
    <x v="2"/>
    <s v="EE_A"/>
    <x v="0"/>
    <n v="42.692399999999999"/>
    <n v="11.859"/>
  </r>
  <r>
    <x v="0"/>
    <x v="26"/>
    <x v="1"/>
    <x v="2"/>
    <s v="EE_Enefit"/>
    <x v="0"/>
    <n v="42.692399999999999"/>
    <n v="11.859"/>
  </r>
  <r>
    <x v="0"/>
    <x v="26"/>
    <x v="1"/>
    <x v="2"/>
    <s v="EE_Industry"/>
    <x v="0"/>
    <n v="42.692399999999999"/>
    <n v="11.859"/>
  </r>
  <r>
    <x v="0"/>
    <x v="26"/>
    <x v="1"/>
    <x v="2"/>
    <s v="EE_Kohtla_Jarve"/>
    <x v="0"/>
    <n v="42.692399999999999"/>
    <n v="11.859"/>
  </r>
  <r>
    <x v="0"/>
    <x v="26"/>
    <x v="1"/>
    <x v="2"/>
    <s v="EE_Narva"/>
    <x v="0"/>
    <n v="42.692399999999999"/>
    <n v="11.859"/>
  </r>
  <r>
    <x v="0"/>
    <x v="26"/>
    <x v="1"/>
    <x v="2"/>
    <s v="EE_OFFSHORE"/>
    <x v="0"/>
    <n v="42.692399999999999"/>
    <n v="11.859"/>
  </r>
  <r>
    <x v="0"/>
    <x v="26"/>
    <x v="1"/>
    <x v="2"/>
    <s v="EE_Parnu"/>
    <x v="0"/>
    <n v="42.692399999999999"/>
    <n v="11.859"/>
  </r>
  <r>
    <x v="0"/>
    <x v="26"/>
    <x v="1"/>
    <x v="2"/>
    <s v="EE_Rural"/>
    <x v="0"/>
    <n v="42.692399999999999"/>
    <n v="11.859"/>
  </r>
  <r>
    <x v="0"/>
    <x v="26"/>
    <x v="1"/>
    <x v="2"/>
    <s v="EE_Sillamae"/>
    <x v="0"/>
    <n v="42.692399999999999"/>
    <n v="11.859"/>
  </r>
  <r>
    <x v="0"/>
    <x v="26"/>
    <x v="1"/>
    <x v="2"/>
    <s v="EE_Tallinn"/>
    <x v="0"/>
    <n v="42.692399999999999"/>
    <n v="11.859"/>
  </r>
  <r>
    <x v="0"/>
    <x v="26"/>
    <x v="1"/>
    <x v="2"/>
    <s v="EE_Tartu"/>
    <x v="0"/>
    <n v="42.692399999999999"/>
    <n v="11.859"/>
  </r>
  <r>
    <x v="0"/>
    <x v="26"/>
    <x v="1"/>
    <x v="2"/>
    <s v="EE_Urban"/>
    <x v="0"/>
    <n v="42.692399999999999"/>
    <n v="11.859"/>
  </r>
  <r>
    <x v="0"/>
    <x v="26"/>
    <x v="2"/>
    <x v="3"/>
    <s v="FI_IND"/>
    <x v="0"/>
    <n v="42.692399999999999"/>
    <n v="11.859"/>
  </r>
  <r>
    <x v="0"/>
    <x v="26"/>
    <x v="2"/>
    <x v="3"/>
    <s v="FI_Offshore"/>
    <x v="0"/>
    <n v="42.692399999999999"/>
    <n v="11.859"/>
  </r>
  <r>
    <x v="0"/>
    <x v="26"/>
    <x v="2"/>
    <x v="3"/>
    <s v="FI_large"/>
    <x v="0"/>
    <n v="42.692399999999999"/>
    <n v="11.859"/>
  </r>
  <r>
    <x v="0"/>
    <x v="26"/>
    <x v="2"/>
    <x v="3"/>
    <s v="FI_large_gas"/>
    <x v="0"/>
    <n v="42.692399999999999"/>
    <n v="11.859"/>
  </r>
  <r>
    <x v="0"/>
    <x v="26"/>
    <x v="2"/>
    <x v="3"/>
    <s v="FI_medium"/>
    <x v="0"/>
    <n v="42.692399999999999"/>
    <n v="11.859"/>
  </r>
  <r>
    <x v="0"/>
    <x v="26"/>
    <x v="2"/>
    <x v="3"/>
    <s v="FI_medium_gas"/>
    <x v="0"/>
    <n v="42.692399999999999"/>
    <n v="11.859"/>
  </r>
  <r>
    <x v="0"/>
    <x v="26"/>
    <x v="2"/>
    <x v="3"/>
    <s v="FI_small"/>
    <x v="0"/>
    <n v="42.692399999999999"/>
    <n v="11.859"/>
  </r>
  <r>
    <x v="0"/>
    <x v="26"/>
    <x v="2"/>
    <x v="3"/>
    <s v="FI_small_gas"/>
    <x v="0"/>
    <n v="42.692399999999999"/>
    <n v="11.859"/>
  </r>
  <r>
    <x v="0"/>
    <x v="26"/>
    <x v="2"/>
    <x v="3"/>
    <s v="FinA"/>
    <x v="0"/>
    <n v="42.692399999999999"/>
    <n v="11.859"/>
  </r>
  <r>
    <x v="0"/>
    <x v="26"/>
    <x v="3"/>
    <x v="4"/>
    <s v="DE4-E_A"/>
    <x v="0"/>
    <n v="42.692399999999999"/>
    <n v="11.859"/>
  </r>
  <r>
    <x v="0"/>
    <x v="26"/>
    <x v="3"/>
    <x v="4"/>
    <s v="DE4-E_Offshore_A"/>
    <x v="0"/>
    <n v="42.692399999999999"/>
    <n v="11.859"/>
  </r>
  <r>
    <x v="0"/>
    <x v="26"/>
    <x v="3"/>
    <x v="5"/>
    <s v="DE4-N_A"/>
    <x v="0"/>
    <n v="42.692399999999999"/>
    <n v="11.859"/>
  </r>
  <r>
    <x v="0"/>
    <x v="26"/>
    <x v="3"/>
    <x v="5"/>
    <s v="DE4-N_Offshore_A"/>
    <x v="0"/>
    <n v="42.692399999999999"/>
    <n v="11.859"/>
  </r>
  <r>
    <x v="0"/>
    <x v="26"/>
    <x v="3"/>
    <x v="6"/>
    <s v="DE4-S_A"/>
    <x v="0"/>
    <n v="42.692399999999999"/>
    <n v="11.859"/>
  </r>
  <r>
    <x v="0"/>
    <x v="26"/>
    <x v="3"/>
    <x v="7"/>
    <s v="DE4-W_A"/>
    <x v="0"/>
    <n v="42.692399999999999"/>
    <n v="11.859"/>
  </r>
  <r>
    <x v="0"/>
    <x v="26"/>
    <x v="3"/>
    <x v="7"/>
    <s v="DE4-W_Offshore_A"/>
    <x v="0"/>
    <n v="42.692399999999999"/>
    <n v="11.859"/>
  </r>
  <r>
    <x v="0"/>
    <x v="26"/>
    <x v="4"/>
    <x v="8"/>
    <s v="LV_A"/>
    <x v="0"/>
    <n v="42.692399999999999"/>
    <n v="11.859"/>
  </r>
  <r>
    <x v="0"/>
    <x v="26"/>
    <x v="4"/>
    <x v="8"/>
    <s v="LV_OFFSHORE"/>
    <x v="0"/>
    <n v="42.692399999999999"/>
    <n v="11.859"/>
  </r>
  <r>
    <x v="0"/>
    <x v="26"/>
    <x v="4"/>
    <x v="8"/>
    <s v="LV_Other_DH"/>
    <x v="0"/>
    <n v="42.692399999999999"/>
    <n v="11.859"/>
  </r>
  <r>
    <x v="0"/>
    <x v="26"/>
    <x v="4"/>
    <x v="8"/>
    <s v="LV_RigaR"/>
    <x v="0"/>
    <n v="42.692399999999999"/>
    <n v="11.859"/>
  </r>
  <r>
    <x v="0"/>
    <x v="26"/>
    <x v="4"/>
    <x v="8"/>
    <s v="LV_Rural"/>
    <x v="0"/>
    <n v="42.692399999999999"/>
    <n v="11.859"/>
  </r>
  <r>
    <x v="0"/>
    <x v="26"/>
    <x v="5"/>
    <x v="9"/>
    <s v="LT_A"/>
    <x v="0"/>
    <n v="42.692399999999999"/>
    <n v="11.859"/>
  </r>
  <r>
    <x v="0"/>
    <x v="26"/>
    <x v="5"/>
    <x v="9"/>
    <s v="LT_KauU"/>
    <x v="0"/>
    <n v="42.692399999999999"/>
    <n v="11.859"/>
  </r>
  <r>
    <x v="0"/>
    <x v="26"/>
    <x v="5"/>
    <x v="9"/>
    <s v="LT_KlaU"/>
    <x v="0"/>
    <n v="42.692399999999999"/>
    <n v="11.859"/>
  </r>
  <r>
    <x v="0"/>
    <x v="26"/>
    <x v="5"/>
    <x v="9"/>
    <s v="LT_OFFSHORE"/>
    <x v="0"/>
    <n v="42.692399999999999"/>
    <n v="11.859"/>
  </r>
  <r>
    <x v="0"/>
    <x v="26"/>
    <x v="5"/>
    <x v="9"/>
    <s v="LT_Other_DH"/>
    <x v="0"/>
    <n v="42.692399999999999"/>
    <n v="11.859"/>
  </r>
  <r>
    <x v="0"/>
    <x v="26"/>
    <x v="5"/>
    <x v="9"/>
    <s v="LT_Panevezys"/>
    <x v="0"/>
    <n v="42.692399999999999"/>
    <n v="11.859"/>
  </r>
  <r>
    <x v="0"/>
    <x v="26"/>
    <x v="5"/>
    <x v="9"/>
    <s v="LT_Rural"/>
    <x v="0"/>
    <n v="42.692399999999999"/>
    <n v="11.859"/>
  </r>
  <r>
    <x v="0"/>
    <x v="26"/>
    <x v="5"/>
    <x v="9"/>
    <s v="LT_SiaU"/>
    <x v="0"/>
    <n v="42.692399999999999"/>
    <n v="11.859"/>
  </r>
  <r>
    <x v="0"/>
    <x v="26"/>
    <x v="5"/>
    <x v="9"/>
    <s v="LT_VilU"/>
    <x v="0"/>
    <n v="42.692399999999999"/>
    <n v="11.859"/>
  </r>
  <r>
    <x v="0"/>
    <x v="26"/>
    <x v="6"/>
    <x v="10"/>
    <s v="NL_A"/>
    <x v="0"/>
    <n v="42.692399999999999"/>
    <n v="11.859"/>
  </r>
  <r>
    <x v="0"/>
    <x v="26"/>
    <x v="6"/>
    <x v="10"/>
    <s v="NL_OFFSHORE"/>
    <x v="0"/>
    <n v="42.692399999999999"/>
    <n v="11.859"/>
  </r>
  <r>
    <x v="0"/>
    <x v="26"/>
    <x v="7"/>
    <x v="11"/>
    <s v="NO1_A1"/>
    <x v="0"/>
    <n v="42.692399999999999"/>
    <n v="11.859"/>
  </r>
  <r>
    <x v="0"/>
    <x v="26"/>
    <x v="7"/>
    <x v="11"/>
    <s v="NO1_A2"/>
    <x v="0"/>
    <n v="42.692399999999999"/>
    <n v="11.859"/>
  </r>
  <r>
    <x v="0"/>
    <x v="26"/>
    <x v="7"/>
    <x v="11"/>
    <s v="NO1_A3"/>
    <x v="0"/>
    <n v="42.692399999999999"/>
    <n v="11.859"/>
  </r>
  <r>
    <x v="0"/>
    <x v="26"/>
    <x v="7"/>
    <x v="11"/>
    <s v="NO1_Offshore"/>
    <x v="0"/>
    <n v="42.692399999999999"/>
    <n v="11.859"/>
  </r>
  <r>
    <x v="0"/>
    <x v="26"/>
    <x v="7"/>
    <x v="12"/>
    <s v="NO2_A1"/>
    <x v="0"/>
    <n v="42.692399999999999"/>
    <n v="11.859"/>
  </r>
  <r>
    <x v="0"/>
    <x v="26"/>
    <x v="7"/>
    <x v="12"/>
    <s v="NO2_A2"/>
    <x v="0"/>
    <n v="42.692399999999999"/>
    <n v="11.859"/>
  </r>
  <r>
    <x v="0"/>
    <x v="26"/>
    <x v="7"/>
    <x v="12"/>
    <s v="NO2_Offshore"/>
    <x v="0"/>
    <n v="42.692399999999999"/>
    <n v="11.859"/>
  </r>
  <r>
    <x v="0"/>
    <x v="26"/>
    <x v="7"/>
    <x v="13"/>
    <s v="NO3_A1"/>
    <x v="0"/>
    <n v="42.692399999999999"/>
    <n v="11.859"/>
  </r>
  <r>
    <x v="0"/>
    <x v="26"/>
    <x v="7"/>
    <x v="13"/>
    <s v="NO3_A2"/>
    <x v="0"/>
    <n v="42.692399999999999"/>
    <n v="11.859"/>
  </r>
  <r>
    <x v="0"/>
    <x v="26"/>
    <x v="7"/>
    <x v="13"/>
    <s v="NO3_A3"/>
    <x v="0"/>
    <n v="42.692399999999999"/>
    <n v="11.859"/>
  </r>
  <r>
    <x v="0"/>
    <x v="26"/>
    <x v="7"/>
    <x v="13"/>
    <s v="NO3_Offshore"/>
    <x v="0"/>
    <n v="42.692399999999999"/>
    <n v="11.859"/>
  </r>
  <r>
    <x v="0"/>
    <x v="26"/>
    <x v="7"/>
    <x v="14"/>
    <s v="NO4_A1"/>
    <x v="0"/>
    <n v="42.692399999999999"/>
    <n v="11.859"/>
  </r>
  <r>
    <x v="0"/>
    <x v="26"/>
    <x v="7"/>
    <x v="14"/>
    <s v="NO4_A2"/>
    <x v="0"/>
    <n v="42.692399999999999"/>
    <n v="11.859"/>
  </r>
  <r>
    <x v="0"/>
    <x v="26"/>
    <x v="7"/>
    <x v="14"/>
    <s v="NO4_Offshore"/>
    <x v="0"/>
    <n v="42.692399999999999"/>
    <n v="11.859"/>
  </r>
  <r>
    <x v="0"/>
    <x v="26"/>
    <x v="7"/>
    <x v="15"/>
    <s v="NO5_A1"/>
    <x v="0"/>
    <n v="42.692399999999999"/>
    <n v="11.859"/>
  </r>
  <r>
    <x v="0"/>
    <x v="26"/>
    <x v="7"/>
    <x v="15"/>
    <s v="NO5_A2"/>
    <x v="0"/>
    <n v="42.692399999999999"/>
    <n v="11.859"/>
  </r>
  <r>
    <x v="0"/>
    <x v="26"/>
    <x v="7"/>
    <x v="15"/>
    <s v="NO5_Offshore"/>
    <x v="0"/>
    <n v="42.692399999999999"/>
    <n v="11.859"/>
  </r>
  <r>
    <x v="0"/>
    <x v="26"/>
    <x v="8"/>
    <x v="16"/>
    <s v="PL_A"/>
    <x v="0"/>
    <n v="42.692399999999999"/>
    <n v="11.859"/>
  </r>
  <r>
    <x v="0"/>
    <x v="26"/>
    <x v="8"/>
    <x v="16"/>
    <s v="PL_OFFSHORE"/>
    <x v="0"/>
    <n v="42.692399999999999"/>
    <n v="11.859"/>
  </r>
  <r>
    <x v="0"/>
    <x v="26"/>
    <x v="8"/>
    <x v="16"/>
    <s v="PL_Rural"/>
    <x v="0"/>
    <n v="42.692399999999999"/>
    <n v="11.859"/>
  </r>
  <r>
    <x v="0"/>
    <x v="26"/>
    <x v="9"/>
    <x v="17"/>
    <s v="SE1A"/>
    <x v="0"/>
    <n v="42.692399999999999"/>
    <n v="11.859"/>
  </r>
  <r>
    <x v="0"/>
    <x v="26"/>
    <x v="9"/>
    <x v="17"/>
    <s v="SE1_IND"/>
    <x v="0"/>
    <n v="42.692399999999999"/>
    <n v="11.859"/>
  </r>
  <r>
    <x v="0"/>
    <x v="26"/>
    <x v="9"/>
    <x v="17"/>
    <s v="SE1_Offshore"/>
    <x v="0"/>
    <n v="42.692399999999999"/>
    <n v="11.859"/>
  </r>
  <r>
    <x v="0"/>
    <x v="26"/>
    <x v="9"/>
    <x v="17"/>
    <s v="SE1_medium"/>
    <x v="0"/>
    <n v="42.692399999999999"/>
    <n v="11.859"/>
  </r>
  <r>
    <x v="0"/>
    <x v="26"/>
    <x v="9"/>
    <x v="17"/>
    <s v="SE1_small"/>
    <x v="0"/>
    <n v="42.692399999999999"/>
    <n v="11.859"/>
  </r>
  <r>
    <x v="0"/>
    <x v="26"/>
    <x v="9"/>
    <x v="18"/>
    <s v="SE2A"/>
    <x v="0"/>
    <n v="42.692399999999999"/>
    <n v="11.859"/>
  </r>
  <r>
    <x v="0"/>
    <x v="26"/>
    <x v="9"/>
    <x v="18"/>
    <s v="SE2_IND"/>
    <x v="0"/>
    <n v="42.692399999999999"/>
    <n v="11.859"/>
  </r>
  <r>
    <x v="0"/>
    <x v="26"/>
    <x v="9"/>
    <x v="18"/>
    <s v="SE2_Offshore"/>
    <x v="0"/>
    <n v="42.692399999999999"/>
    <n v="11.859"/>
  </r>
  <r>
    <x v="0"/>
    <x v="26"/>
    <x v="9"/>
    <x v="18"/>
    <s v="SE2_medium"/>
    <x v="0"/>
    <n v="42.692399999999999"/>
    <n v="11.859"/>
  </r>
  <r>
    <x v="0"/>
    <x v="26"/>
    <x v="9"/>
    <x v="18"/>
    <s v="SE2_small"/>
    <x v="0"/>
    <n v="42.692399999999999"/>
    <n v="11.859"/>
  </r>
  <r>
    <x v="0"/>
    <x v="26"/>
    <x v="9"/>
    <x v="19"/>
    <s v="SE3A"/>
    <x v="0"/>
    <n v="42.692399999999999"/>
    <n v="11.859"/>
  </r>
  <r>
    <x v="0"/>
    <x v="26"/>
    <x v="9"/>
    <x v="19"/>
    <s v="SE3_IND"/>
    <x v="0"/>
    <n v="42.692399999999999"/>
    <n v="11.859"/>
  </r>
  <r>
    <x v="0"/>
    <x v="26"/>
    <x v="9"/>
    <x v="19"/>
    <s v="SE3_Offshore"/>
    <x v="0"/>
    <n v="42.692399999999999"/>
    <n v="11.859"/>
  </r>
  <r>
    <x v="0"/>
    <x v="26"/>
    <x v="9"/>
    <x v="19"/>
    <s v="SE3_large"/>
    <x v="0"/>
    <n v="42.692399999999999"/>
    <n v="11.859"/>
  </r>
  <r>
    <x v="0"/>
    <x v="26"/>
    <x v="9"/>
    <x v="19"/>
    <s v="SE3_medium"/>
    <x v="0"/>
    <n v="42.692399999999999"/>
    <n v="11.859"/>
  </r>
  <r>
    <x v="0"/>
    <x v="26"/>
    <x v="9"/>
    <x v="19"/>
    <s v="SE3_small"/>
    <x v="0"/>
    <n v="42.692399999999999"/>
    <n v="11.859"/>
  </r>
  <r>
    <x v="0"/>
    <x v="26"/>
    <x v="9"/>
    <x v="20"/>
    <s v="SE4A"/>
    <x v="0"/>
    <n v="42.692399999999999"/>
    <n v="11.859"/>
  </r>
  <r>
    <x v="0"/>
    <x v="26"/>
    <x v="9"/>
    <x v="20"/>
    <s v="SE4_IND"/>
    <x v="0"/>
    <n v="42.692399999999999"/>
    <n v="11.859"/>
  </r>
  <r>
    <x v="0"/>
    <x v="26"/>
    <x v="9"/>
    <x v="20"/>
    <s v="SE4_Offshore"/>
    <x v="0"/>
    <n v="42.692399999999999"/>
    <n v="11.859"/>
  </r>
  <r>
    <x v="0"/>
    <x v="26"/>
    <x v="9"/>
    <x v="20"/>
    <s v="SE4_large"/>
    <x v="0"/>
    <n v="42.692399999999999"/>
    <n v="11.859"/>
  </r>
  <r>
    <x v="0"/>
    <x v="26"/>
    <x v="9"/>
    <x v="20"/>
    <s v="SE4_medium"/>
    <x v="0"/>
    <n v="42.692399999999999"/>
    <n v="11.859"/>
  </r>
  <r>
    <x v="0"/>
    <x v="26"/>
    <x v="9"/>
    <x v="20"/>
    <s v="SE4_small"/>
    <x v="0"/>
    <n v="42.692399999999999"/>
    <n v="11.859"/>
  </r>
  <r>
    <x v="0"/>
    <x v="26"/>
    <x v="10"/>
    <x v="21"/>
    <s v="UK_A"/>
    <x v="0"/>
    <n v="42.692399999999999"/>
    <n v="11.859"/>
  </r>
  <r>
    <x v="0"/>
    <x v="26"/>
    <x v="10"/>
    <x v="21"/>
    <s v="UK_Offshore"/>
    <x v="0"/>
    <n v="42.692399999999999"/>
    <n v="11.859"/>
  </r>
  <r>
    <x v="0"/>
    <x v="27"/>
    <x v="0"/>
    <x v="0"/>
    <s v="DK1_Large"/>
    <x v="0"/>
    <n v="42.692399999999999"/>
    <n v="11.859"/>
  </r>
  <r>
    <x v="0"/>
    <x v="27"/>
    <x v="0"/>
    <x v="0"/>
    <s v="DK1_Large_PHH"/>
    <x v="0"/>
    <n v="42.692399999999999"/>
    <n v="11.859"/>
  </r>
  <r>
    <x v="0"/>
    <x v="27"/>
    <x v="0"/>
    <x v="0"/>
    <s v="DK1_Large_PHL"/>
    <x v="0"/>
    <n v="42.692399999999999"/>
    <n v="11.859"/>
  </r>
  <r>
    <x v="0"/>
    <x v="27"/>
    <x v="0"/>
    <x v="0"/>
    <s v="DK1_MedSmall"/>
    <x v="0"/>
    <n v="42.692399999999999"/>
    <n v="11.859"/>
  </r>
  <r>
    <x v="0"/>
    <x v="27"/>
    <x v="0"/>
    <x v="0"/>
    <s v="DK1_Medium"/>
    <x v="0"/>
    <n v="42.692399999999999"/>
    <n v="11.859"/>
  </r>
  <r>
    <x v="0"/>
    <x v="27"/>
    <x v="0"/>
    <x v="0"/>
    <s v="DK1_NoDH"/>
    <x v="0"/>
    <n v="42.692399999999999"/>
    <n v="11.859"/>
  </r>
  <r>
    <x v="0"/>
    <x v="27"/>
    <x v="0"/>
    <x v="0"/>
    <s v="DK1_NoDH_PHH"/>
    <x v="0"/>
    <n v="42.692399999999999"/>
    <n v="11.859"/>
  </r>
  <r>
    <x v="0"/>
    <x v="27"/>
    <x v="0"/>
    <x v="0"/>
    <s v="DK1_NoDH_PHL"/>
    <x v="0"/>
    <n v="42.692399999999999"/>
    <n v="11.859"/>
  </r>
  <r>
    <x v="0"/>
    <x v="27"/>
    <x v="0"/>
    <x v="0"/>
    <s v="DK1_Offshore"/>
    <x v="0"/>
    <n v="42.692399999999999"/>
    <n v="11.859"/>
  </r>
  <r>
    <x v="0"/>
    <x v="27"/>
    <x v="0"/>
    <x v="0"/>
    <s v="DK1_Rural"/>
    <x v="0"/>
    <n v="42.692399999999999"/>
    <n v="11.859"/>
  </r>
  <r>
    <x v="0"/>
    <x v="27"/>
    <x v="0"/>
    <x v="0"/>
    <s v="DK1_Small"/>
    <x v="0"/>
    <n v="42.692399999999999"/>
    <n v="11.859"/>
  </r>
  <r>
    <x v="0"/>
    <x v="27"/>
    <x v="0"/>
    <x v="1"/>
    <s v="DK2_Large"/>
    <x v="0"/>
    <n v="42.692399999999999"/>
    <n v="11.859"/>
  </r>
  <r>
    <x v="0"/>
    <x v="27"/>
    <x v="0"/>
    <x v="1"/>
    <s v="DK2_Large_PHH"/>
    <x v="0"/>
    <n v="42.692399999999999"/>
    <n v="11.859"/>
  </r>
  <r>
    <x v="0"/>
    <x v="27"/>
    <x v="0"/>
    <x v="1"/>
    <s v="DK2_Large_PHL"/>
    <x v="0"/>
    <n v="42.692399999999999"/>
    <n v="11.859"/>
  </r>
  <r>
    <x v="0"/>
    <x v="27"/>
    <x v="0"/>
    <x v="1"/>
    <s v="DK2_MedSmall"/>
    <x v="0"/>
    <n v="42.692399999999999"/>
    <n v="11.859"/>
  </r>
  <r>
    <x v="0"/>
    <x v="27"/>
    <x v="0"/>
    <x v="1"/>
    <s v="DK2_Medium"/>
    <x v="0"/>
    <n v="42.692399999999999"/>
    <n v="11.859"/>
  </r>
  <r>
    <x v="0"/>
    <x v="27"/>
    <x v="0"/>
    <x v="1"/>
    <s v="DK2_NoDH"/>
    <x v="0"/>
    <n v="42.692399999999999"/>
    <n v="11.859"/>
  </r>
  <r>
    <x v="0"/>
    <x v="27"/>
    <x v="0"/>
    <x v="1"/>
    <s v="DK2_NoDH_PHH"/>
    <x v="0"/>
    <n v="42.692399999999999"/>
    <n v="11.859"/>
  </r>
  <r>
    <x v="0"/>
    <x v="27"/>
    <x v="0"/>
    <x v="1"/>
    <s v="DK2_NoDH_PHL"/>
    <x v="0"/>
    <n v="42.692399999999999"/>
    <n v="11.859"/>
  </r>
  <r>
    <x v="0"/>
    <x v="27"/>
    <x v="0"/>
    <x v="1"/>
    <s v="DK2_Offshore"/>
    <x v="0"/>
    <n v="42.692399999999999"/>
    <n v="11.859"/>
  </r>
  <r>
    <x v="0"/>
    <x v="27"/>
    <x v="0"/>
    <x v="1"/>
    <s v="DK2_Rural"/>
    <x v="0"/>
    <n v="42.692399999999999"/>
    <n v="11.859"/>
  </r>
  <r>
    <x v="0"/>
    <x v="27"/>
    <x v="0"/>
    <x v="1"/>
    <s v="DK2_Small"/>
    <x v="0"/>
    <n v="42.692399999999999"/>
    <n v="11.859"/>
  </r>
  <r>
    <x v="0"/>
    <x v="27"/>
    <x v="1"/>
    <x v="2"/>
    <s v="EE_A"/>
    <x v="0"/>
    <n v="42.692399999999999"/>
    <n v="11.859"/>
  </r>
  <r>
    <x v="0"/>
    <x v="27"/>
    <x v="1"/>
    <x v="2"/>
    <s v="EE_Enefit"/>
    <x v="0"/>
    <n v="42.692399999999999"/>
    <n v="11.859"/>
  </r>
  <r>
    <x v="0"/>
    <x v="27"/>
    <x v="1"/>
    <x v="2"/>
    <s v="EE_Industry"/>
    <x v="0"/>
    <n v="42.692399999999999"/>
    <n v="11.859"/>
  </r>
  <r>
    <x v="0"/>
    <x v="27"/>
    <x v="1"/>
    <x v="2"/>
    <s v="EE_Kohtla_Jarve"/>
    <x v="0"/>
    <n v="42.692399999999999"/>
    <n v="11.859"/>
  </r>
  <r>
    <x v="0"/>
    <x v="27"/>
    <x v="1"/>
    <x v="2"/>
    <s v="EE_Narva"/>
    <x v="0"/>
    <n v="42.692399999999999"/>
    <n v="11.859"/>
  </r>
  <r>
    <x v="0"/>
    <x v="27"/>
    <x v="1"/>
    <x v="2"/>
    <s v="EE_OFFSHORE"/>
    <x v="0"/>
    <n v="42.692399999999999"/>
    <n v="11.859"/>
  </r>
  <r>
    <x v="0"/>
    <x v="27"/>
    <x v="1"/>
    <x v="2"/>
    <s v="EE_Parnu"/>
    <x v="0"/>
    <n v="42.692399999999999"/>
    <n v="11.859"/>
  </r>
  <r>
    <x v="0"/>
    <x v="27"/>
    <x v="1"/>
    <x v="2"/>
    <s v="EE_Rural"/>
    <x v="0"/>
    <n v="42.692399999999999"/>
    <n v="11.859"/>
  </r>
  <r>
    <x v="0"/>
    <x v="27"/>
    <x v="1"/>
    <x v="2"/>
    <s v="EE_Sillamae"/>
    <x v="0"/>
    <n v="42.692399999999999"/>
    <n v="11.859"/>
  </r>
  <r>
    <x v="0"/>
    <x v="27"/>
    <x v="1"/>
    <x v="2"/>
    <s v="EE_Tallinn"/>
    <x v="0"/>
    <n v="42.692399999999999"/>
    <n v="11.859"/>
  </r>
  <r>
    <x v="0"/>
    <x v="27"/>
    <x v="1"/>
    <x v="2"/>
    <s v="EE_Tartu"/>
    <x v="0"/>
    <n v="42.692399999999999"/>
    <n v="11.859"/>
  </r>
  <r>
    <x v="0"/>
    <x v="27"/>
    <x v="1"/>
    <x v="2"/>
    <s v="EE_Urban"/>
    <x v="0"/>
    <n v="42.692399999999999"/>
    <n v="11.859"/>
  </r>
  <r>
    <x v="0"/>
    <x v="27"/>
    <x v="2"/>
    <x v="3"/>
    <s v="FI_IND"/>
    <x v="0"/>
    <n v="42.692399999999999"/>
    <n v="11.859"/>
  </r>
  <r>
    <x v="0"/>
    <x v="27"/>
    <x v="2"/>
    <x v="3"/>
    <s v="FI_Offshore"/>
    <x v="0"/>
    <n v="42.692399999999999"/>
    <n v="11.859"/>
  </r>
  <r>
    <x v="0"/>
    <x v="27"/>
    <x v="2"/>
    <x v="3"/>
    <s v="FI_large"/>
    <x v="0"/>
    <n v="42.692399999999999"/>
    <n v="11.859"/>
  </r>
  <r>
    <x v="0"/>
    <x v="27"/>
    <x v="2"/>
    <x v="3"/>
    <s v="FI_large_gas"/>
    <x v="0"/>
    <n v="42.692399999999999"/>
    <n v="11.859"/>
  </r>
  <r>
    <x v="0"/>
    <x v="27"/>
    <x v="2"/>
    <x v="3"/>
    <s v="FI_medium"/>
    <x v="0"/>
    <n v="42.692399999999999"/>
    <n v="11.859"/>
  </r>
  <r>
    <x v="0"/>
    <x v="27"/>
    <x v="2"/>
    <x v="3"/>
    <s v="FI_medium_gas"/>
    <x v="0"/>
    <n v="42.692399999999999"/>
    <n v="11.859"/>
  </r>
  <r>
    <x v="0"/>
    <x v="27"/>
    <x v="2"/>
    <x v="3"/>
    <s v="FI_small"/>
    <x v="0"/>
    <n v="42.692399999999999"/>
    <n v="11.859"/>
  </r>
  <r>
    <x v="0"/>
    <x v="27"/>
    <x v="2"/>
    <x v="3"/>
    <s v="FI_small_gas"/>
    <x v="0"/>
    <n v="42.692399999999999"/>
    <n v="11.859"/>
  </r>
  <r>
    <x v="0"/>
    <x v="27"/>
    <x v="2"/>
    <x v="3"/>
    <s v="FinA"/>
    <x v="0"/>
    <n v="42.692399999999999"/>
    <n v="11.859"/>
  </r>
  <r>
    <x v="0"/>
    <x v="27"/>
    <x v="3"/>
    <x v="4"/>
    <s v="DE4-E_A"/>
    <x v="0"/>
    <n v="42.692399999999999"/>
    <n v="11.859"/>
  </r>
  <r>
    <x v="0"/>
    <x v="27"/>
    <x v="3"/>
    <x v="4"/>
    <s v="DE4-E_Offshore_A"/>
    <x v="0"/>
    <n v="42.692399999999999"/>
    <n v="11.859"/>
  </r>
  <r>
    <x v="0"/>
    <x v="27"/>
    <x v="3"/>
    <x v="5"/>
    <s v="DE4-N_A"/>
    <x v="0"/>
    <n v="42.692399999999999"/>
    <n v="11.859"/>
  </r>
  <r>
    <x v="0"/>
    <x v="27"/>
    <x v="3"/>
    <x v="5"/>
    <s v="DE4-N_Offshore_A"/>
    <x v="0"/>
    <n v="42.692399999999999"/>
    <n v="11.859"/>
  </r>
  <r>
    <x v="0"/>
    <x v="27"/>
    <x v="3"/>
    <x v="6"/>
    <s v="DE4-S_A"/>
    <x v="0"/>
    <n v="42.692399999999999"/>
    <n v="11.859"/>
  </r>
  <r>
    <x v="0"/>
    <x v="27"/>
    <x v="3"/>
    <x v="7"/>
    <s v="DE4-W_A"/>
    <x v="0"/>
    <n v="42.692399999999999"/>
    <n v="11.859"/>
  </r>
  <r>
    <x v="0"/>
    <x v="27"/>
    <x v="3"/>
    <x v="7"/>
    <s v="DE4-W_Offshore_A"/>
    <x v="0"/>
    <n v="42.692399999999999"/>
    <n v="11.859"/>
  </r>
  <r>
    <x v="0"/>
    <x v="27"/>
    <x v="4"/>
    <x v="8"/>
    <s v="LV_A"/>
    <x v="0"/>
    <n v="42.692399999999999"/>
    <n v="11.859"/>
  </r>
  <r>
    <x v="0"/>
    <x v="27"/>
    <x v="4"/>
    <x v="8"/>
    <s v="LV_OFFSHORE"/>
    <x v="0"/>
    <n v="42.692399999999999"/>
    <n v="11.859"/>
  </r>
  <r>
    <x v="0"/>
    <x v="27"/>
    <x v="4"/>
    <x v="8"/>
    <s v="LV_Other_DH"/>
    <x v="0"/>
    <n v="42.692399999999999"/>
    <n v="11.859"/>
  </r>
  <r>
    <x v="0"/>
    <x v="27"/>
    <x v="4"/>
    <x v="8"/>
    <s v="LV_RigaR"/>
    <x v="0"/>
    <n v="42.692399999999999"/>
    <n v="11.859"/>
  </r>
  <r>
    <x v="0"/>
    <x v="27"/>
    <x v="4"/>
    <x v="8"/>
    <s v="LV_Rural"/>
    <x v="0"/>
    <n v="42.692399999999999"/>
    <n v="11.859"/>
  </r>
  <r>
    <x v="0"/>
    <x v="27"/>
    <x v="5"/>
    <x v="9"/>
    <s v="LT_A"/>
    <x v="0"/>
    <n v="42.692399999999999"/>
    <n v="11.859"/>
  </r>
  <r>
    <x v="0"/>
    <x v="27"/>
    <x v="5"/>
    <x v="9"/>
    <s v="LT_KauU"/>
    <x v="0"/>
    <n v="42.692399999999999"/>
    <n v="11.859"/>
  </r>
  <r>
    <x v="0"/>
    <x v="27"/>
    <x v="5"/>
    <x v="9"/>
    <s v="LT_KlaU"/>
    <x v="0"/>
    <n v="42.692399999999999"/>
    <n v="11.859"/>
  </r>
  <r>
    <x v="0"/>
    <x v="27"/>
    <x v="5"/>
    <x v="9"/>
    <s v="LT_OFFSHORE"/>
    <x v="0"/>
    <n v="42.692399999999999"/>
    <n v="11.859"/>
  </r>
  <r>
    <x v="0"/>
    <x v="27"/>
    <x v="5"/>
    <x v="9"/>
    <s v="LT_Other_DH"/>
    <x v="0"/>
    <n v="42.692399999999999"/>
    <n v="11.859"/>
  </r>
  <r>
    <x v="0"/>
    <x v="27"/>
    <x v="5"/>
    <x v="9"/>
    <s v="LT_Panevezys"/>
    <x v="0"/>
    <n v="42.692399999999999"/>
    <n v="11.859"/>
  </r>
  <r>
    <x v="0"/>
    <x v="27"/>
    <x v="5"/>
    <x v="9"/>
    <s v="LT_Rural"/>
    <x v="0"/>
    <n v="42.692399999999999"/>
    <n v="11.859"/>
  </r>
  <r>
    <x v="0"/>
    <x v="27"/>
    <x v="5"/>
    <x v="9"/>
    <s v="LT_SiaU"/>
    <x v="0"/>
    <n v="42.692399999999999"/>
    <n v="11.859"/>
  </r>
  <r>
    <x v="0"/>
    <x v="27"/>
    <x v="5"/>
    <x v="9"/>
    <s v="LT_VilU"/>
    <x v="0"/>
    <n v="42.692399999999999"/>
    <n v="11.859"/>
  </r>
  <r>
    <x v="0"/>
    <x v="27"/>
    <x v="6"/>
    <x v="10"/>
    <s v="NL_A"/>
    <x v="0"/>
    <n v="42.692399999999999"/>
    <n v="11.859"/>
  </r>
  <r>
    <x v="0"/>
    <x v="27"/>
    <x v="6"/>
    <x v="10"/>
    <s v="NL_OFFSHORE"/>
    <x v="0"/>
    <n v="42.692399999999999"/>
    <n v="11.859"/>
  </r>
  <r>
    <x v="0"/>
    <x v="27"/>
    <x v="7"/>
    <x v="11"/>
    <s v="NO1_A1"/>
    <x v="0"/>
    <n v="42.692399999999999"/>
    <n v="11.859"/>
  </r>
  <r>
    <x v="0"/>
    <x v="27"/>
    <x v="7"/>
    <x v="11"/>
    <s v="NO1_A2"/>
    <x v="0"/>
    <n v="42.692399999999999"/>
    <n v="11.859"/>
  </r>
  <r>
    <x v="0"/>
    <x v="27"/>
    <x v="7"/>
    <x v="11"/>
    <s v="NO1_A3"/>
    <x v="0"/>
    <n v="42.692399999999999"/>
    <n v="11.859"/>
  </r>
  <r>
    <x v="0"/>
    <x v="27"/>
    <x v="7"/>
    <x v="11"/>
    <s v="NO1_Offshore"/>
    <x v="0"/>
    <n v="42.692399999999999"/>
    <n v="11.859"/>
  </r>
  <r>
    <x v="0"/>
    <x v="27"/>
    <x v="7"/>
    <x v="12"/>
    <s v="NO2_A1"/>
    <x v="0"/>
    <n v="42.692399999999999"/>
    <n v="11.859"/>
  </r>
  <r>
    <x v="0"/>
    <x v="27"/>
    <x v="7"/>
    <x v="12"/>
    <s v="NO2_A2"/>
    <x v="0"/>
    <n v="42.692399999999999"/>
    <n v="11.859"/>
  </r>
  <r>
    <x v="0"/>
    <x v="27"/>
    <x v="7"/>
    <x v="12"/>
    <s v="NO2_Offshore"/>
    <x v="0"/>
    <n v="42.692399999999999"/>
    <n v="11.859"/>
  </r>
  <r>
    <x v="0"/>
    <x v="27"/>
    <x v="7"/>
    <x v="13"/>
    <s v="NO3_A1"/>
    <x v="0"/>
    <n v="42.692399999999999"/>
    <n v="11.859"/>
  </r>
  <r>
    <x v="0"/>
    <x v="27"/>
    <x v="7"/>
    <x v="13"/>
    <s v="NO3_A2"/>
    <x v="0"/>
    <n v="42.692399999999999"/>
    <n v="11.859"/>
  </r>
  <r>
    <x v="0"/>
    <x v="27"/>
    <x v="7"/>
    <x v="13"/>
    <s v="NO3_A3"/>
    <x v="0"/>
    <n v="42.692399999999999"/>
    <n v="11.859"/>
  </r>
  <r>
    <x v="0"/>
    <x v="27"/>
    <x v="7"/>
    <x v="13"/>
    <s v="NO3_Offshore"/>
    <x v="0"/>
    <n v="42.692399999999999"/>
    <n v="11.859"/>
  </r>
  <r>
    <x v="0"/>
    <x v="27"/>
    <x v="7"/>
    <x v="14"/>
    <s v="NO4_A1"/>
    <x v="0"/>
    <n v="42.692399999999999"/>
    <n v="11.859"/>
  </r>
  <r>
    <x v="0"/>
    <x v="27"/>
    <x v="7"/>
    <x v="14"/>
    <s v="NO4_A2"/>
    <x v="0"/>
    <n v="42.692399999999999"/>
    <n v="11.859"/>
  </r>
  <r>
    <x v="0"/>
    <x v="27"/>
    <x v="7"/>
    <x v="14"/>
    <s v="NO4_Offshore"/>
    <x v="0"/>
    <n v="42.692399999999999"/>
    <n v="11.859"/>
  </r>
  <r>
    <x v="0"/>
    <x v="27"/>
    <x v="7"/>
    <x v="15"/>
    <s v="NO5_A1"/>
    <x v="0"/>
    <n v="42.692399999999999"/>
    <n v="11.859"/>
  </r>
  <r>
    <x v="0"/>
    <x v="27"/>
    <x v="7"/>
    <x v="15"/>
    <s v="NO5_A2"/>
    <x v="0"/>
    <n v="42.692399999999999"/>
    <n v="11.859"/>
  </r>
  <r>
    <x v="0"/>
    <x v="27"/>
    <x v="7"/>
    <x v="15"/>
    <s v="NO5_Offshore"/>
    <x v="0"/>
    <n v="42.692399999999999"/>
    <n v="11.859"/>
  </r>
  <r>
    <x v="0"/>
    <x v="27"/>
    <x v="8"/>
    <x v="16"/>
    <s v="PL_A"/>
    <x v="0"/>
    <n v="42.692399999999999"/>
    <n v="11.859"/>
  </r>
  <r>
    <x v="0"/>
    <x v="27"/>
    <x v="8"/>
    <x v="16"/>
    <s v="PL_OFFSHORE"/>
    <x v="0"/>
    <n v="42.692399999999999"/>
    <n v="11.859"/>
  </r>
  <r>
    <x v="0"/>
    <x v="27"/>
    <x v="8"/>
    <x v="16"/>
    <s v="PL_Rural"/>
    <x v="0"/>
    <n v="42.692399999999999"/>
    <n v="11.859"/>
  </r>
  <r>
    <x v="0"/>
    <x v="27"/>
    <x v="9"/>
    <x v="17"/>
    <s v="SE1A"/>
    <x v="0"/>
    <n v="42.692399999999999"/>
    <n v="11.859"/>
  </r>
  <r>
    <x v="0"/>
    <x v="27"/>
    <x v="9"/>
    <x v="17"/>
    <s v="SE1_IND"/>
    <x v="0"/>
    <n v="42.692399999999999"/>
    <n v="11.859"/>
  </r>
  <r>
    <x v="0"/>
    <x v="27"/>
    <x v="9"/>
    <x v="17"/>
    <s v="SE1_Offshore"/>
    <x v="0"/>
    <n v="42.692399999999999"/>
    <n v="11.859"/>
  </r>
  <r>
    <x v="0"/>
    <x v="27"/>
    <x v="9"/>
    <x v="17"/>
    <s v="SE1_medium"/>
    <x v="0"/>
    <n v="42.692399999999999"/>
    <n v="11.859"/>
  </r>
  <r>
    <x v="0"/>
    <x v="27"/>
    <x v="9"/>
    <x v="17"/>
    <s v="SE1_small"/>
    <x v="0"/>
    <n v="42.692399999999999"/>
    <n v="11.859"/>
  </r>
  <r>
    <x v="0"/>
    <x v="27"/>
    <x v="9"/>
    <x v="18"/>
    <s v="SE2A"/>
    <x v="0"/>
    <n v="42.692399999999999"/>
    <n v="11.859"/>
  </r>
  <r>
    <x v="0"/>
    <x v="27"/>
    <x v="9"/>
    <x v="18"/>
    <s v="SE2_IND"/>
    <x v="0"/>
    <n v="42.692399999999999"/>
    <n v="11.859"/>
  </r>
  <r>
    <x v="0"/>
    <x v="27"/>
    <x v="9"/>
    <x v="18"/>
    <s v="SE2_Offshore"/>
    <x v="0"/>
    <n v="42.692399999999999"/>
    <n v="11.859"/>
  </r>
  <r>
    <x v="0"/>
    <x v="27"/>
    <x v="9"/>
    <x v="18"/>
    <s v="SE2_medium"/>
    <x v="0"/>
    <n v="42.692399999999999"/>
    <n v="11.859"/>
  </r>
  <r>
    <x v="0"/>
    <x v="27"/>
    <x v="9"/>
    <x v="18"/>
    <s v="SE2_small"/>
    <x v="0"/>
    <n v="42.692399999999999"/>
    <n v="11.859"/>
  </r>
  <r>
    <x v="0"/>
    <x v="27"/>
    <x v="9"/>
    <x v="19"/>
    <s v="SE3A"/>
    <x v="0"/>
    <n v="42.692399999999999"/>
    <n v="11.859"/>
  </r>
  <r>
    <x v="0"/>
    <x v="27"/>
    <x v="9"/>
    <x v="19"/>
    <s v="SE3_IND"/>
    <x v="0"/>
    <n v="42.692399999999999"/>
    <n v="11.859"/>
  </r>
  <r>
    <x v="0"/>
    <x v="27"/>
    <x v="9"/>
    <x v="19"/>
    <s v="SE3_Offshore"/>
    <x v="0"/>
    <n v="42.692399999999999"/>
    <n v="11.859"/>
  </r>
  <r>
    <x v="0"/>
    <x v="27"/>
    <x v="9"/>
    <x v="19"/>
    <s v="SE3_large"/>
    <x v="0"/>
    <n v="42.692399999999999"/>
    <n v="11.859"/>
  </r>
  <r>
    <x v="0"/>
    <x v="27"/>
    <x v="9"/>
    <x v="19"/>
    <s v="SE3_medium"/>
    <x v="0"/>
    <n v="42.692399999999999"/>
    <n v="11.859"/>
  </r>
  <r>
    <x v="0"/>
    <x v="27"/>
    <x v="9"/>
    <x v="19"/>
    <s v="SE3_small"/>
    <x v="0"/>
    <n v="42.692399999999999"/>
    <n v="11.859"/>
  </r>
  <r>
    <x v="0"/>
    <x v="27"/>
    <x v="9"/>
    <x v="20"/>
    <s v="SE4A"/>
    <x v="0"/>
    <n v="42.692399999999999"/>
    <n v="11.859"/>
  </r>
  <r>
    <x v="0"/>
    <x v="27"/>
    <x v="9"/>
    <x v="20"/>
    <s v="SE4_IND"/>
    <x v="0"/>
    <n v="42.692399999999999"/>
    <n v="11.859"/>
  </r>
  <r>
    <x v="0"/>
    <x v="27"/>
    <x v="9"/>
    <x v="20"/>
    <s v="SE4_Offshore"/>
    <x v="0"/>
    <n v="42.692399999999999"/>
    <n v="11.859"/>
  </r>
  <r>
    <x v="0"/>
    <x v="27"/>
    <x v="9"/>
    <x v="20"/>
    <s v="SE4_large"/>
    <x v="0"/>
    <n v="42.692399999999999"/>
    <n v="11.859"/>
  </r>
  <r>
    <x v="0"/>
    <x v="27"/>
    <x v="9"/>
    <x v="20"/>
    <s v="SE4_medium"/>
    <x v="0"/>
    <n v="42.692399999999999"/>
    <n v="11.859"/>
  </r>
  <r>
    <x v="0"/>
    <x v="27"/>
    <x v="9"/>
    <x v="20"/>
    <s v="SE4_small"/>
    <x v="0"/>
    <n v="42.692399999999999"/>
    <n v="11.859"/>
  </r>
  <r>
    <x v="0"/>
    <x v="27"/>
    <x v="10"/>
    <x v="21"/>
    <s v="UK_A"/>
    <x v="0"/>
    <n v="42.692399999999999"/>
    <n v="11.859"/>
  </r>
  <r>
    <x v="0"/>
    <x v="27"/>
    <x v="10"/>
    <x v="21"/>
    <s v="UK_Offshore"/>
    <x v="0"/>
    <n v="42.692399999999999"/>
    <n v="11.859"/>
  </r>
  <r>
    <x v="0"/>
    <x v="28"/>
    <x v="0"/>
    <x v="0"/>
    <s v="DK1_Large"/>
    <x v="1"/>
    <n v="35.989199999999997"/>
    <n v="9.9969999999999999"/>
  </r>
  <r>
    <x v="0"/>
    <x v="28"/>
    <x v="0"/>
    <x v="0"/>
    <s v="DK1_Large"/>
    <x v="2"/>
    <n v="46.08"/>
    <n v="12.8"/>
  </r>
  <r>
    <x v="0"/>
    <x v="28"/>
    <x v="0"/>
    <x v="0"/>
    <s v="DK1_Large"/>
    <x v="0"/>
    <n v="42.692399999999999"/>
    <n v="11.859"/>
  </r>
  <r>
    <x v="0"/>
    <x v="28"/>
    <x v="0"/>
    <x v="0"/>
    <s v="DK1_Large"/>
    <x v="3"/>
    <n v="51.633543144067197"/>
    <n v="14.342650873352"/>
  </r>
  <r>
    <x v="0"/>
    <x v="28"/>
    <x v="0"/>
    <x v="0"/>
    <s v="DK1_Large"/>
    <x v="4"/>
    <n v="6.3500778790389401"/>
    <n v="1.76391052195526"/>
  </r>
  <r>
    <x v="0"/>
    <x v="28"/>
    <x v="0"/>
    <x v="0"/>
    <s v="DK1_Large"/>
    <x v="5"/>
    <n v="6.3500778790389401"/>
    <n v="1.76391052195526"/>
  </r>
  <r>
    <x v="0"/>
    <x v="28"/>
    <x v="0"/>
    <x v="0"/>
    <s v="DK1_Large"/>
    <x v="6"/>
    <n v="29.476231795214598"/>
    <n v="8.1878421653373898"/>
  </r>
  <r>
    <x v="0"/>
    <x v="28"/>
    <x v="0"/>
    <x v="0"/>
    <s v="DK1_Large"/>
    <x v="7"/>
    <n v="57.838935220261199"/>
    <n v="16.066370894517"/>
  </r>
  <r>
    <x v="0"/>
    <x v="28"/>
    <x v="0"/>
    <x v="0"/>
    <s v="DK1_Large"/>
    <x v="8"/>
    <n v="57.838935220261199"/>
    <n v="16.066370894517"/>
  </r>
  <r>
    <x v="0"/>
    <x v="28"/>
    <x v="0"/>
    <x v="0"/>
    <s v="DK1_Large"/>
    <x v="9"/>
    <n v="44.4505451532725"/>
    <n v="12.3473736536868"/>
  </r>
  <r>
    <x v="0"/>
    <x v="28"/>
    <x v="0"/>
    <x v="0"/>
    <s v="DK1_Large"/>
    <x v="10"/>
    <n v="53.975661971830903"/>
    <n v="14.993239436619699"/>
  </r>
  <r>
    <x v="0"/>
    <x v="28"/>
    <x v="0"/>
    <x v="0"/>
    <s v="DK1_Large"/>
    <x v="11"/>
    <n v="3.8806031483015802"/>
    <n v="1.07794531897266"/>
  </r>
  <r>
    <x v="0"/>
    <x v="28"/>
    <x v="0"/>
    <x v="0"/>
    <s v="DK1_Large"/>
    <x v="12"/>
    <n v="9.7995028997514597E-2"/>
    <n v="2.72208413881985E-2"/>
  </r>
  <r>
    <x v="0"/>
    <x v="28"/>
    <x v="0"/>
    <x v="0"/>
    <s v="DK1_Large"/>
    <x v="13"/>
    <n v="29.633696768848399"/>
    <n v="8.2315824357912195"/>
  </r>
  <r>
    <x v="0"/>
    <x v="28"/>
    <x v="0"/>
    <x v="0"/>
    <s v="DK1_Large"/>
    <x v="14"/>
    <n v="29.633696768848399"/>
    <n v="8.2315824357912195"/>
  </r>
  <r>
    <x v="0"/>
    <x v="28"/>
    <x v="0"/>
    <x v="0"/>
    <s v="DK1_Large"/>
    <x v="15"/>
    <n v="1.65807589063794"/>
    <n v="0.46057663628831802"/>
  </r>
  <r>
    <x v="0"/>
    <x v="28"/>
    <x v="0"/>
    <x v="0"/>
    <s v="DK1_Large"/>
    <x v="16"/>
    <n v="6.5458675795335104"/>
    <n v="1.81829654987042"/>
  </r>
  <r>
    <x v="0"/>
    <x v="28"/>
    <x v="0"/>
    <x v="0"/>
    <s v="DK1_Large"/>
    <x v="17"/>
    <n v="9.1244895875632395"/>
    <n v="2.5345804409897901"/>
  </r>
  <r>
    <x v="0"/>
    <x v="28"/>
    <x v="0"/>
    <x v="0"/>
    <s v="DK1_Large"/>
    <x v="18"/>
    <n v="29.633696768848399"/>
    <n v="8.2315824357912195"/>
  </r>
  <r>
    <x v="0"/>
    <x v="28"/>
    <x v="0"/>
    <x v="0"/>
    <s v="DK1_Large"/>
    <x v="19"/>
    <n v="8.1139884009941898"/>
    <n v="2.2538856669428302"/>
  </r>
  <r>
    <x v="0"/>
    <x v="28"/>
    <x v="0"/>
    <x v="0"/>
    <s v="DK1_Large"/>
    <x v="20"/>
    <n v="22.109183021311601"/>
    <n v="6.1414397281420996"/>
  </r>
  <r>
    <x v="0"/>
    <x v="28"/>
    <x v="0"/>
    <x v="0"/>
    <s v="DK1_Large"/>
    <x v="21"/>
    <n v="48.24"/>
    <n v="13.4"/>
  </r>
  <r>
    <x v="0"/>
    <x v="28"/>
    <x v="0"/>
    <x v="0"/>
    <s v="DK1_Large"/>
    <x v="22"/>
    <n v="67.680000000000007"/>
    <n v="18.8"/>
  </r>
  <r>
    <x v="0"/>
    <x v="28"/>
    <x v="0"/>
    <x v="0"/>
    <s v="DK1_Large"/>
    <x v="23"/>
    <n v="0.31515896120488701"/>
    <n v="8.7544155890246306E-2"/>
  </r>
  <r>
    <x v="0"/>
    <x v="28"/>
    <x v="0"/>
    <x v="0"/>
    <s v="DK1_Large"/>
    <x v="24"/>
    <n v="19.174223581093901"/>
    <n v="5.32617321697054"/>
  </r>
  <r>
    <x v="0"/>
    <x v="28"/>
    <x v="0"/>
    <x v="0"/>
    <s v="DK1_Large"/>
    <x v="25"/>
    <n v="26.209507293842599"/>
    <n v="7.2804186927340497"/>
  </r>
  <r>
    <x v="0"/>
    <x v="28"/>
    <x v="0"/>
    <x v="0"/>
    <s v="DK1_Large"/>
    <x v="26"/>
    <n v="33.320887798496699"/>
    <n v="9.2558021662490795"/>
  </r>
  <r>
    <x v="0"/>
    <x v="28"/>
    <x v="0"/>
    <x v="0"/>
    <s v="DK1_Large"/>
    <x v="27"/>
    <n v="20.163995508318798"/>
    <n v="5.6011098634218799"/>
  </r>
  <r>
    <x v="0"/>
    <x v="28"/>
    <x v="0"/>
    <x v="0"/>
    <s v="DK1_Large_PHH"/>
    <x v="1"/>
    <n v="35.989199999999997"/>
    <n v="9.9969999999999999"/>
  </r>
  <r>
    <x v="0"/>
    <x v="28"/>
    <x v="0"/>
    <x v="0"/>
    <s v="DK1_Large_PHH"/>
    <x v="2"/>
    <n v="46.08"/>
    <n v="12.8"/>
  </r>
  <r>
    <x v="0"/>
    <x v="28"/>
    <x v="0"/>
    <x v="0"/>
    <s v="DK1_Large_PHH"/>
    <x v="0"/>
    <n v="42.692399999999999"/>
    <n v="11.859"/>
  </r>
  <r>
    <x v="0"/>
    <x v="28"/>
    <x v="0"/>
    <x v="0"/>
    <s v="DK1_Large_PHH"/>
    <x v="3"/>
    <n v="51.633543144067197"/>
    <n v="14.342650873352"/>
  </r>
  <r>
    <x v="0"/>
    <x v="28"/>
    <x v="0"/>
    <x v="0"/>
    <s v="DK1_Large_PHH"/>
    <x v="4"/>
    <n v="6.3500778790389401"/>
    <n v="1.76391052195526"/>
  </r>
  <r>
    <x v="0"/>
    <x v="28"/>
    <x v="0"/>
    <x v="0"/>
    <s v="DK1_Large_PHH"/>
    <x v="5"/>
    <n v="6.3500778790389401"/>
    <n v="1.76391052195526"/>
  </r>
  <r>
    <x v="0"/>
    <x v="28"/>
    <x v="0"/>
    <x v="0"/>
    <s v="DK1_Large_PHH"/>
    <x v="6"/>
    <n v="29.476231795214598"/>
    <n v="8.1878421653373898"/>
  </r>
  <r>
    <x v="0"/>
    <x v="28"/>
    <x v="0"/>
    <x v="0"/>
    <s v="DK1_Large_PHH"/>
    <x v="7"/>
    <n v="57.838935220261199"/>
    <n v="16.066370894517"/>
  </r>
  <r>
    <x v="0"/>
    <x v="28"/>
    <x v="0"/>
    <x v="0"/>
    <s v="DK1_Large_PHH"/>
    <x v="8"/>
    <n v="57.838935220261199"/>
    <n v="16.066370894517"/>
  </r>
  <r>
    <x v="0"/>
    <x v="28"/>
    <x v="0"/>
    <x v="0"/>
    <s v="DK1_Large_PHH"/>
    <x v="9"/>
    <n v="44.4505451532725"/>
    <n v="12.3473736536868"/>
  </r>
  <r>
    <x v="0"/>
    <x v="28"/>
    <x v="0"/>
    <x v="0"/>
    <s v="DK1_Large_PHH"/>
    <x v="10"/>
    <n v="53.975661971830903"/>
    <n v="14.993239436619699"/>
  </r>
  <r>
    <x v="0"/>
    <x v="28"/>
    <x v="0"/>
    <x v="0"/>
    <s v="DK1_Large_PHH"/>
    <x v="11"/>
    <n v="3.8806031483015802"/>
    <n v="1.07794531897266"/>
  </r>
  <r>
    <x v="0"/>
    <x v="28"/>
    <x v="0"/>
    <x v="0"/>
    <s v="DK1_Large_PHH"/>
    <x v="12"/>
    <n v="9.7995028997514597E-2"/>
    <n v="2.72208413881985E-2"/>
  </r>
  <r>
    <x v="0"/>
    <x v="28"/>
    <x v="0"/>
    <x v="0"/>
    <s v="DK1_Large_PHH"/>
    <x v="13"/>
    <n v="29.633696768848399"/>
    <n v="8.2315824357912195"/>
  </r>
  <r>
    <x v="0"/>
    <x v="28"/>
    <x v="0"/>
    <x v="0"/>
    <s v="DK1_Large_PHH"/>
    <x v="14"/>
    <n v="29.633696768848399"/>
    <n v="8.2315824357912195"/>
  </r>
  <r>
    <x v="0"/>
    <x v="28"/>
    <x v="0"/>
    <x v="0"/>
    <s v="DK1_Large_PHH"/>
    <x v="15"/>
    <n v="1.65807589063794"/>
    <n v="0.46057663628831802"/>
  </r>
  <r>
    <x v="0"/>
    <x v="28"/>
    <x v="0"/>
    <x v="0"/>
    <s v="DK1_Large_PHH"/>
    <x v="16"/>
    <n v="6.5458675795335104"/>
    <n v="1.81829654987042"/>
  </r>
  <r>
    <x v="0"/>
    <x v="28"/>
    <x v="0"/>
    <x v="0"/>
    <s v="DK1_Large_PHH"/>
    <x v="17"/>
    <n v="9.1244895875632395"/>
    <n v="2.5345804409897901"/>
  </r>
  <r>
    <x v="0"/>
    <x v="28"/>
    <x v="0"/>
    <x v="0"/>
    <s v="DK1_Large_PHH"/>
    <x v="18"/>
    <n v="29.633696768848399"/>
    <n v="8.2315824357912195"/>
  </r>
  <r>
    <x v="0"/>
    <x v="28"/>
    <x v="0"/>
    <x v="0"/>
    <s v="DK1_Large_PHH"/>
    <x v="19"/>
    <n v="8.1139884009941898"/>
    <n v="2.2538856669428302"/>
  </r>
  <r>
    <x v="0"/>
    <x v="28"/>
    <x v="0"/>
    <x v="0"/>
    <s v="DK1_Large_PHH"/>
    <x v="20"/>
    <n v="22.109183021311601"/>
    <n v="6.1414397281420996"/>
  </r>
  <r>
    <x v="0"/>
    <x v="28"/>
    <x v="0"/>
    <x v="0"/>
    <s v="DK1_Large_PHH"/>
    <x v="21"/>
    <n v="48.24"/>
    <n v="13.4"/>
  </r>
  <r>
    <x v="0"/>
    <x v="28"/>
    <x v="0"/>
    <x v="0"/>
    <s v="DK1_Large_PHH"/>
    <x v="22"/>
    <n v="67.680000000000007"/>
    <n v="18.8"/>
  </r>
  <r>
    <x v="0"/>
    <x v="28"/>
    <x v="0"/>
    <x v="0"/>
    <s v="DK1_Large_PHH"/>
    <x v="23"/>
    <n v="0.31515896120488701"/>
    <n v="8.7544155890246306E-2"/>
  </r>
  <r>
    <x v="0"/>
    <x v="28"/>
    <x v="0"/>
    <x v="0"/>
    <s v="DK1_Large_PHH"/>
    <x v="24"/>
    <n v="19.174223581093901"/>
    <n v="5.32617321697054"/>
  </r>
  <r>
    <x v="0"/>
    <x v="28"/>
    <x v="0"/>
    <x v="0"/>
    <s v="DK1_Large_PHH"/>
    <x v="25"/>
    <n v="26.209507293842599"/>
    <n v="7.2804186927340497"/>
  </r>
  <r>
    <x v="0"/>
    <x v="28"/>
    <x v="0"/>
    <x v="0"/>
    <s v="DK1_Large_PHH"/>
    <x v="26"/>
    <n v="33.320887798496699"/>
    <n v="9.2558021662490795"/>
  </r>
  <r>
    <x v="0"/>
    <x v="28"/>
    <x v="0"/>
    <x v="0"/>
    <s v="DK1_Large_PHH"/>
    <x v="27"/>
    <n v="20.163995508318798"/>
    <n v="5.6011098634218799"/>
  </r>
  <r>
    <x v="0"/>
    <x v="28"/>
    <x v="0"/>
    <x v="0"/>
    <s v="DK1_Large_PHL"/>
    <x v="1"/>
    <n v="35.989199999999997"/>
    <n v="9.9969999999999999"/>
  </r>
  <r>
    <x v="0"/>
    <x v="28"/>
    <x v="0"/>
    <x v="0"/>
    <s v="DK1_Large_PHL"/>
    <x v="2"/>
    <n v="46.08"/>
    <n v="12.8"/>
  </r>
  <r>
    <x v="0"/>
    <x v="28"/>
    <x v="0"/>
    <x v="0"/>
    <s v="DK1_Large_PHL"/>
    <x v="0"/>
    <n v="42.692399999999999"/>
    <n v="11.859"/>
  </r>
  <r>
    <x v="0"/>
    <x v="28"/>
    <x v="0"/>
    <x v="0"/>
    <s v="DK1_Large_PHL"/>
    <x v="3"/>
    <n v="51.633543144067197"/>
    <n v="14.342650873352"/>
  </r>
  <r>
    <x v="0"/>
    <x v="28"/>
    <x v="0"/>
    <x v="0"/>
    <s v="DK1_Large_PHL"/>
    <x v="4"/>
    <n v="6.3500778790389401"/>
    <n v="1.76391052195526"/>
  </r>
  <r>
    <x v="0"/>
    <x v="28"/>
    <x v="0"/>
    <x v="0"/>
    <s v="DK1_Large_PHL"/>
    <x v="5"/>
    <n v="6.3500778790389401"/>
    <n v="1.76391052195526"/>
  </r>
  <r>
    <x v="0"/>
    <x v="28"/>
    <x v="0"/>
    <x v="0"/>
    <s v="DK1_Large_PHL"/>
    <x v="6"/>
    <n v="29.476231795214598"/>
    <n v="8.1878421653373898"/>
  </r>
  <r>
    <x v="0"/>
    <x v="28"/>
    <x v="0"/>
    <x v="0"/>
    <s v="DK1_Large_PHL"/>
    <x v="7"/>
    <n v="57.838935220261199"/>
    <n v="16.066370894517"/>
  </r>
  <r>
    <x v="0"/>
    <x v="28"/>
    <x v="0"/>
    <x v="0"/>
    <s v="DK1_Large_PHL"/>
    <x v="8"/>
    <n v="57.838935220261199"/>
    <n v="16.066370894517"/>
  </r>
  <r>
    <x v="0"/>
    <x v="28"/>
    <x v="0"/>
    <x v="0"/>
    <s v="DK1_Large_PHL"/>
    <x v="9"/>
    <n v="44.4505451532725"/>
    <n v="12.3473736536868"/>
  </r>
  <r>
    <x v="0"/>
    <x v="28"/>
    <x v="0"/>
    <x v="0"/>
    <s v="DK1_Large_PHL"/>
    <x v="10"/>
    <n v="53.975661971830903"/>
    <n v="14.993239436619699"/>
  </r>
  <r>
    <x v="0"/>
    <x v="28"/>
    <x v="0"/>
    <x v="0"/>
    <s v="DK1_Large_PHL"/>
    <x v="11"/>
    <n v="3.8806031483015802"/>
    <n v="1.07794531897266"/>
  </r>
  <r>
    <x v="0"/>
    <x v="28"/>
    <x v="0"/>
    <x v="0"/>
    <s v="DK1_Large_PHL"/>
    <x v="12"/>
    <n v="9.7995028997514597E-2"/>
    <n v="2.72208413881985E-2"/>
  </r>
  <r>
    <x v="0"/>
    <x v="28"/>
    <x v="0"/>
    <x v="0"/>
    <s v="DK1_Large_PHL"/>
    <x v="13"/>
    <n v="29.633696768848399"/>
    <n v="8.2315824357912195"/>
  </r>
  <r>
    <x v="0"/>
    <x v="28"/>
    <x v="0"/>
    <x v="0"/>
    <s v="DK1_Large_PHL"/>
    <x v="14"/>
    <n v="29.633696768848399"/>
    <n v="8.2315824357912195"/>
  </r>
  <r>
    <x v="0"/>
    <x v="28"/>
    <x v="0"/>
    <x v="0"/>
    <s v="DK1_Large_PHL"/>
    <x v="15"/>
    <n v="1.65807589063794"/>
    <n v="0.46057663628831802"/>
  </r>
  <r>
    <x v="0"/>
    <x v="28"/>
    <x v="0"/>
    <x v="0"/>
    <s v="DK1_Large_PHL"/>
    <x v="16"/>
    <n v="6.5458675795335104"/>
    <n v="1.81829654987042"/>
  </r>
  <r>
    <x v="0"/>
    <x v="28"/>
    <x v="0"/>
    <x v="0"/>
    <s v="DK1_Large_PHL"/>
    <x v="17"/>
    <n v="9.1244895875632395"/>
    <n v="2.5345804409897901"/>
  </r>
  <r>
    <x v="0"/>
    <x v="28"/>
    <x v="0"/>
    <x v="0"/>
    <s v="DK1_Large_PHL"/>
    <x v="18"/>
    <n v="29.633696768848399"/>
    <n v="8.2315824357912195"/>
  </r>
  <r>
    <x v="0"/>
    <x v="28"/>
    <x v="0"/>
    <x v="0"/>
    <s v="DK1_Large_PHL"/>
    <x v="19"/>
    <n v="8.1139884009941898"/>
    <n v="2.2538856669428302"/>
  </r>
  <r>
    <x v="0"/>
    <x v="28"/>
    <x v="0"/>
    <x v="0"/>
    <s v="DK1_Large_PHL"/>
    <x v="20"/>
    <n v="22.109183021311601"/>
    <n v="6.1414397281420996"/>
  </r>
  <r>
    <x v="0"/>
    <x v="28"/>
    <x v="0"/>
    <x v="0"/>
    <s v="DK1_Large_PHL"/>
    <x v="21"/>
    <n v="48.24"/>
    <n v="13.4"/>
  </r>
  <r>
    <x v="0"/>
    <x v="28"/>
    <x v="0"/>
    <x v="0"/>
    <s v="DK1_Large_PHL"/>
    <x v="22"/>
    <n v="67.680000000000007"/>
    <n v="18.8"/>
  </r>
  <r>
    <x v="0"/>
    <x v="28"/>
    <x v="0"/>
    <x v="0"/>
    <s v="DK1_Large_PHL"/>
    <x v="23"/>
    <n v="0.31515896120488701"/>
    <n v="8.7544155890246306E-2"/>
  </r>
  <r>
    <x v="0"/>
    <x v="28"/>
    <x v="0"/>
    <x v="0"/>
    <s v="DK1_Large_PHL"/>
    <x v="24"/>
    <n v="19.174223581093901"/>
    <n v="5.32617321697054"/>
  </r>
  <r>
    <x v="0"/>
    <x v="28"/>
    <x v="0"/>
    <x v="0"/>
    <s v="DK1_Large_PHL"/>
    <x v="25"/>
    <n v="26.209507293842599"/>
    <n v="7.2804186927340497"/>
  </r>
  <r>
    <x v="0"/>
    <x v="28"/>
    <x v="0"/>
    <x v="0"/>
    <s v="DK1_Large_PHL"/>
    <x v="26"/>
    <n v="33.320887798496699"/>
    <n v="9.2558021662490795"/>
  </r>
  <r>
    <x v="0"/>
    <x v="28"/>
    <x v="0"/>
    <x v="0"/>
    <s v="DK1_Large_PHL"/>
    <x v="27"/>
    <n v="20.163995508318798"/>
    <n v="5.6011098634218799"/>
  </r>
  <r>
    <x v="0"/>
    <x v="28"/>
    <x v="0"/>
    <x v="0"/>
    <s v="DK1_MedSmall"/>
    <x v="1"/>
    <n v="35.989199999999997"/>
    <n v="9.9969999999999999"/>
  </r>
  <r>
    <x v="0"/>
    <x v="28"/>
    <x v="0"/>
    <x v="0"/>
    <s v="DK1_MedSmall"/>
    <x v="2"/>
    <n v="46.08"/>
    <n v="12.8"/>
  </r>
  <r>
    <x v="0"/>
    <x v="28"/>
    <x v="0"/>
    <x v="0"/>
    <s v="DK1_MedSmall"/>
    <x v="0"/>
    <n v="42.692399999999999"/>
    <n v="11.859"/>
  </r>
  <r>
    <x v="0"/>
    <x v="28"/>
    <x v="0"/>
    <x v="0"/>
    <s v="DK1_MedSmall"/>
    <x v="3"/>
    <n v="51.633543144067197"/>
    <n v="14.342650873352"/>
  </r>
  <r>
    <x v="0"/>
    <x v="28"/>
    <x v="0"/>
    <x v="0"/>
    <s v="DK1_MedSmall"/>
    <x v="4"/>
    <n v="6.3500778790389401"/>
    <n v="1.76391052195526"/>
  </r>
  <r>
    <x v="0"/>
    <x v="28"/>
    <x v="0"/>
    <x v="0"/>
    <s v="DK1_MedSmall"/>
    <x v="5"/>
    <n v="6.3500778790389401"/>
    <n v="1.76391052195526"/>
  </r>
  <r>
    <x v="0"/>
    <x v="28"/>
    <x v="0"/>
    <x v="0"/>
    <s v="DK1_MedSmall"/>
    <x v="6"/>
    <n v="29.476231795214598"/>
    <n v="8.1878421653373898"/>
  </r>
  <r>
    <x v="0"/>
    <x v="28"/>
    <x v="0"/>
    <x v="0"/>
    <s v="DK1_MedSmall"/>
    <x v="7"/>
    <n v="57.838935220261199"/>
    <n v="16.066370894517"/>
  </r>
  <r>
    <x v="0"/>
    <x v="28"/>
    <x v="0"/>
    <x v="0"/>
    <s v="DK1_MedSmall"/>
    <x v="8"/>
    <n v="57.838935220261199"/>
    <n v="16.066370894517"/>
  </r>
  <r>
    <x v="0"/>
    <x v="28"/>
    <x v="0"/>
    <x v="0"/>
    <s v="DK1_MedSmall"/>
    <x v="9"/>
    <n v="44.4505451532725"/>
    <n v="12.3473736536868"/>
  </r>
  <r>
    <x v="0"/>
    <x v="28"/>
    <x v="0"/>
    <x v="0"/>
    <s v="DK1_MedSmall"/>
    <x v="10"/>
    <n v="53.975661971830903"/>
    <n v="14.993239436619699"/>
  </r>
  <r>
    <x v="0"/>
    <x v="28"/>
    <x v="0"/>
    <x v="0"/>
    <s v="DK1_MedSmall"/>
    <x v="11"/>
    <n v="3.8806031483015802"/>
    <n v="1.07794531897266"/>
  </r>
  <r>
    <x v="0"/>
    <x v="28"/>
    <x v="0"/>
    <x v="0"/>
    <s v="DK1_MedSmall"/>
    <x v="12"/>
    <n v="9.7995028997514597E-2"/>
    <n v="2.72208413881985E-2"/>
  </r>
  <r>
    <x v="0"/>
    <x v="28"/>
    <x v="0"/>
    <x v="0"/>
    <s v="DK1_MedSmall"/>
    <x v="13"/>
    <n v="29.633696768848399"/>
    <n v="8.2315824357912195"/>
  </r>
  <r>
    <x v="0"/>
    <x v="28"/>
    <x v="0"/>
    <x v="0"/>
    <s v="DK1_MedSmall"/>
    <x v="14"/>
    <n v="29.633696768848399"/>
    <n v="8.2315824357912195"/>
  </r>
  <r>
    <x v="0"/>
    <x v="28"/>
    <x v="0"/>
    <x v="0"/>
    <s v="DK1_MedSmall"/>
    <x v="15"/>
    <n v="1.65807589063794"/>
    <n v="0.46057663628831802"/>
  </r>
  <r>
    <x v="0"/>
    <x v="28"/>
    <x v="0"/>
    <x v="0"/>
    <s v="DK1_MedSmall"/>
    <x v="16"/>
    <n v="6.5458675795335104"/>
    <n v="1.81829654987042"/>
  </r>
  <r>
    <x v="0"/>
    <x v="28"/>
    <x v="0"/>
    <x v="0"/>
    <s v="DK1_MedSmall"/>
    <x v="17"/>
    <n v="9.1244895875632395"/>
    <n v="2.5345804409897901"/>
  </r>
  <r>
    <x v="0"/>
    <x v="28"/>
    <x v="0"/>
    <x v="0"/>
    <s v="DK1_MedSmall"/>
    <x v="18"/>
    <n v="29.633696768848399"/>
    <n v="8.2315824357912195"/>
  </r>
  <r>
    <x v="0"/>
    <x v="28"/>
    <x v="0"/>
    <x v="0"/>
    <s v="DK1_MedSmall"/>
    <x v="19"/>
    <n v="8.1139884009941898"/>
    <n v="2.2538856669428302"/>
  </r>
  <r>
    <x v="0"/>
    <x v="28"/>
    <x v="0"/>
    <x v="0"/>
    <s v="DK1_MedSmall"/>
    <x v="20"/>
    <n v="22.109183021311601"/>
    <n v="6.1414397281420996"/>
  </r>
  <r>
    <x v="0"/>
    <x v="28"/>
    <x v="0"/>
    <x v="0"/>
    <s v="DK1_MedSmall"/>
    <x v="21"/>
    <n v="48.24"/>
    <n v="13.4"/>
  </r>
  <r>
    <x v="0"/>
    <x v="28"/>
    <x v="0"/>
    <x v="0"/>
    <s v="DK1_MedSmall"/>
    <x v="22"/>
    <n v="67.680000000000007"/>
    <n v="18.8"/>
  </r>
  <r>
    <x v="0"/>
    <x v="28"/>
    <x v="0"/>
    <x v="0"/>
    <s v="DK1_MedSmall"/>
    <x v="23"/>
    <n v="0.31515896120488701"/>
    <n v="8.7544155890246306E-2"/>
  </r>
  <r>
    <x v="0"/>
    <x v="28"/>
    <x v="0"/>
    <x v="0"/>
    <s v="DK1_MedSmall"/>
    <x v="24"/>
    <n v="19.174223581093901"/>
    <n v="5.32617321697054"/>
  </r>
  <r>
    <x v="0"/>
    <x v="28"/>
    <x v="0"/>
    <x v="0"/>
    <s v="DK1_MedSmall"/>
    <x v="25"/>
    <n v="26.209507293842599"/>
    <n v="7.2804186927340497"/>
  </r>
  <r>
    <x v="0"/>
    <x v="28"/>
    <x v="0"/>
    <x v="0"/>
    <s v="DK1_MedSmall"/>
    <x v="26"/>
    <n v="33.320887798496699"/>
    <n v="9.2558021662490795"/>
  </r>
  <r>
    <x v="0"/>
    <x v="28"/>
    <x v="0"/>
    <x v="0"/>
    <s v="DK1_MedSmall"/>
    <x v="27"/>
    <n v="20.163995508318798"/>
    <n v="5.6011098634218799"/>
  </r>
  <r>
    <x v="0"/>
    <x v="28"/>
    <x v="0"/>
    <x v="0"/>
    <s v="DK1_Medium"/>
    <x v="1"/>
    <n v="35.989199999999997"/>
    <n v="9.9969999999999999"/>
  </r>
  <r>
    <x v="0"/>
    <x v="28"/>
    <x v="0"/>
    <x v="0"/>
    <s v="DK1_Medium"/>
    <x v="2"/>
    <n v="46.08"/>
    <n v="12.8"/>
  </r>
  <r>
    <x v="0"/>
    <x v="28"/>
    <x v="0"/>
    <x v="0"/>
    <s v="DK1_Medium"/>
    <x v="0"/>
    <n v="42.692399999999999"/>
    <n v="11.859"/>
  </r>
  <r>
    <x v="0"/>
    <x v="28"/>
    <x v="0"/>
    <x v="0"/>
    <s v="DK1_Medium"/>
    <x v="3"/>
    <n v="51.633543144067197"/>
    <n v="14.342650873352"/>
  </r>
  <r>
    <x v="0"/>
    <x v="28"/>
    <x v="0"/>
    <x v="0"/>
    <s v="DK1_Medium"/>
    <x v="4"/>
    <n v="6.3500778790389401"/>
    <n v="1.76391052195526"/>
  </r>
  <r>
    <x v="0"/>
    <x v="28"/>
    <x v="0"/>
    <x v="0"/>
    <s v="DK1_Medium"/>
    <x v="5"/>
    <n v="6.3500778790389401"/>
    <n v="1.76391052195526"/>
  </r>
  <r>
    <x v="0"/>
    <x v="28"/>
    <x v="0"/>
    <x v="0"/>
    <s v="DK1_Medium"/>
    <x v="6"/>
    <n v="29.476231795214598"/>
    <n v="8.1878421653373898"/>
  </r>
  <r>
    <x v="0"/>
    <x v="28"/>
    <x v="0"/>
    <x v="0"/>
    <s v="DK1_Medium"/>
    <x v="7"/>
    <n v="57.838935220261199"/>
    <n v="16.066370894517"/>
  </r>
  <r>
    <x v="0"/>
    <x v="28"/>
    <x v="0"/>
    <x v="0"/>
    <s v="DK1_Medium"/>
    <x v="8"/>
    <n v="57.838935220261199"/>
    <n v="16.066370894517"/>
  </r>
  <r>
    <x v="0"/>
    <x v="28"/>
    <x v="0"/>
    <x v="0"/>
    <s v="DK1_Medium"/>
    <x v="9"/>
    <n v="44.4505451532725"/>
    <n v="12.3473736536868"/>
  </r>
  <r>
    <x v="0"/>
    <x v="28"/>
    <x v="0"/>
    <x v="0"/>
    <s v="DK1_Medium"/>
    <x v="10"/>
    <n v="53.975661971830903"/>
    <n v="14.993239436619699"/>
  </r>
  <r>
    <x v="0"/>
    <x v="28"/>
    <x v="0"/>
    <x v="0"/>
    <s v="DK1_Medium"/>
    <x v="11"/>
    <n v="3.8806031483015802"/>
    <n v="1.07794531897266"/>
  </r>
  <r>
    <x v="0"/>
    <x v="28"/>
    <x v="0"/>
    <x v="0"/>
    <s v="DK1_Medium"/>
    <x v="12"/>
    <n v="9.7995028997514597E-2"/>
    <n v="2.72208413881985E-2"/>
  </r>
  <r>
    <x v="0"/>
    <x v="28"/>
    <x v="0"/>
    <x v="0"/>
    <s v="DK1_Medium"/>
    <x v="13"/>
    <n v="29.633696768848399"/>
    <n v="8.2315824357912195"/>
  </r>
  <r>
    <x v="0"/>
    <x v="28"/>
    <x v="0"/>
    <x v="0"/>
    <s v="DK1_Medium"/>
    <x v="14"/>
    <n v="29.633696768848399"/>
    <n v="8.2315824357912195"/>
  </r>
  <r>
    <x v="0"/>
    <x v="28"/>
    <x v="0"/>
    <x v="0"/>
    <s v="DK1_Medium"/>
    <x v="15"/>
    <n v="1.65807589063794"/>
    <n v="0.46057663628831802"/>
  </r>
  <r>
    <x v="0"/>
    <x v="28"/>
    <x v="0"/>
    <x v="0"/>
    <s v="DK1_Medium"/>
    <x v="16"/>
    <n v="6.5458675795335104"/>
    <n v="1.81829654987042"/>
  </r>
  <r>
    <x v="0"/>
    <x v="28"/>
    <x v="0"/>
    <x v="0"/>
    <s v="DK1_Medium"/>
    <x v="17"/>
    <n v="9.1244895875632395"/>
    <n v="2.5345804409897901"/>
  </r>
  <r>
    <x v="0"/>
    <x v="28"/>
    <x v="0"/>
    <x v="0"/>
    <s v="DK1_Medium"/>
    <x v="18"/>
    <n v="29.633696768848399"/>
    <n v="8.2315824357912195"/>
  </r>
  <r>
    <x v="0"/>
    <x v="28"/>
    <x v="0"/>
    <x v="0"/>
    <s v="DK1_Medium"/>
    <x v="19"/>
    <n v="8.1139884009941898"/>
    <n v="2.2538856669428302"/>
  </r>
  <r>
    <x v="0"/>
    <x v="28"/>
    <x v="0"/>
    <x v="0"/>
    <s v="DK1_Medium"/>
    <x v="20"/>
    <n v="22.109183021311601"/>
    <n v="6.1414397281420996"/>
  </r>
  <r>
    <x v="0"/>
    <x v="28"/>
    <x v="0"/>
    <x v="0"/>
    <s v="DK1_Medium"/>
    <x v="21"/>
    <n v="48.24"/>
    <n v="13.4"/>
  </r>
  <r>
    <x v="0"/>
    <x v="28"/>
    <x v="0"/>
    <x v="0"/>
    <s v="DK1_Medium"/>
    <x v="22"/>
    <n v="67.680000000000007"/>
    <n v="18.8"/>
  </r>
  <r>
    <x v="0"/>
    <x v="28"/>
    <x v="0"/>
    <x v="0"/>
    <s v="DK1_Medium"/>
    <x v="23"/>
    <n v="0.31515896120488701"/>
    <n v="8.7544155890246306E-2"/>
  </r>
  <r>
    <x v="0"/>
    <x v="28"/>
    <x v="0"/>
    <x v="0"/>
    <s v="DK1_Medium"/>
    <x v="24"/>
    <n v="19.174223581093901"/>
    <n v="5.32617321697054"/>
  </r>
  <r>
    <x v="0"/>
    <x v="28"/>
    <x v="0"/>
    <x v="0"/>
    <s v="DK1_Medium"/>
    <x v="25"/>
    <n v="26.209507293842599"/>
    <n v="7.2804186927340497"/>
  </r>
  <r>
    <x v="0"/>
    <x v="28"/>
    <x v="0"/>
    <x v="0"/>
    <s v="DK1_Medium"/>
    <x v="26"/>
    <n v="33.320887798496699"/>
    <n v="9.2558021662490795"/>
  </r>
  <r>
    <x v="0"/>
    <x v="28"/>
    <x v="0"/>
    <x v="0"/>
    <s v="DK1_Medium"/>
    <x v="27"/>
    <n v="20.163995508318798"/>
    <n v="5.6011098634218799"/>
  </r>
  <r>
    <x v="0"/>
    <x v="28"/>
    <x v="0"/>
    <x v="0"/>
    <s v="DK1_NoDH"/>
    <x v="1"/>
    <n v="35.989199999999997"/>
    <n v="9.9969999999999999"/>
  </r>
  <r>
    <x v="0"/>
    <x v="28"/>
    <x v="0"/>
    <x v="0"/>
    <s v="DK1_NoDH"/>
    <x v="2"/>
    <n v="46.08"/>
    <n v="12.8"/>
  </r>
  <r>
    <x v="0"/>
    <x v="28"/>
    <x v="0"/>
    <x v="0"/>
    <s v="DK1_NoDH"/>
    <x v="0"/>
    <n v="42.692399999999999"/>
    <n v="11.859"/>
  </r>
  <r>
    <x v="0"/>
    <x v="28"/>
    <x v="0"/>
    <x v="0"/>
    <s v="DK1_NoDH"/>
    <x v="3"/>
    <n v="51.633543144067197"/>
    <n v="14.342650873352"/>
  </r>
  <r>
    <x v="0"/>
    <x v="28"/>
    <x v="0"/>
    <x v="0"/>
    <s v="DK1_NoDH"/>
    <x v="4"/>
    <n v="6.3500778790389401"/>
    <n v="1.76391052195526"/>
  </r>
  <r>
    <x v="0"/>
    <x v="28"/>
    <x v="0"/>
    <x v="0"/>
    <s v="DK1_NoDH"/>
    <x v="5"/>
    <n v="6.3500778790389401"/>
    <n v="1.76391052195526"/>
  </r>
  <r>
    <x v="0"/>
    <x v="28"/>
    <x v="0"/>
    <x v="0"/>
    <s v="DK1_NoDH"/>
    <x v="6"/>
    <n v="29.476231795214598"/>
    <n v="8.1878421653373898"/>
  </r>
  <r>
    <x v="0"/>
    <x v="28"/>
    <x v="0"/>
    <x v="0"/>
    <s v="DK1_NoDH"/>
    <x v="7"/>
    <n v="57.838935220261199"/>
    <n v="16.066370894517"/>
  </r>
  <r>
    <x v="0"/>
    <x v="28"/>
    <x v="0"/>
    <x v="0"/>
    <s v="DK1_NoDH"/>
    <x v="8"/>
    <n v="57.838935220261199"/>
    <n v="16.066370894517"/>
  </r>
  <r>
    <x v="0"/>
    <x v="28"/>
    <x v="0"/>
    <x v="0"/>
    <s v="DK1_NoDH"/>
    <x v="9"/>
    <n v="44.4505451532725"/>
    <n v="12.3473736536868"/>
  </r>
  <r>
    <x v="0"/>
    <x v="28"/>
    <x v="0"/>
    <x v="0"/>
    <s v="DK1_NoDH"/>
    <x v="10"/>
    <n v="53.975661971830903"/>
    <n v="14.993239436619699"/>
  </r>
  <r>
    <x v="0"/>
    <x v="28"/>
    <x v="0"/>
    <x v="0"/>
    <s v="DK1_NoDH"/>
    <x v="11"/>
    <n v="3.8806031483015802"/>
    <n v="1.07794531897266"/>
  </r>
  <r>
    <x v="0"/>
    <x v="28"/>
    <x v="0"/>
    <x v="0"/>
    <s v="DK1_NoDH"/>
    <x v="12"/>
    <n v="9.7995028997514597E-2"/>
    <n v="2.72208413881985E-2"/>
  </r>
  <r>
    <x v="0"/>
    <x v="28"/>
    <x v="0"/>
    <x v="0"/>
    <s v="DK1_NoDH"/>
    <x v="13"/>
    <n v="29.633696768848399"/>
    <n v="8.2315824357912195"/>
  </r>
  <r>
    <x v="0"/>
    <x v="28"/>
    <x v="0"/>
    <x v="0"/>
    <s v="DK1_NoDH"/>
    <x v="14"/>
    <n v="29.633696768848399"/>
    <n v="8.2315824357912195"/>
  </r>
  <r>
    <x v="0"/>
    <x v="28"/>
    <x v="0"/>
    <x v="0"/>
    <s v="DK1_NoDH"/>
    <x v="15"/>
    <n v="1.65807589063794"/>
    <n v="0.46057663628831802"/>
  </r>
  <r>
    <x v="0"/>
    <x v="28"/>
    <x v="0"/>
    <x v="0"/>
    <s v="DK1_NoDH"/>
    <x v="16"/>
    <n v="6.5458675795335104"/>
    <n v="1.81829654987042"/>
  </r>
  <r>
    <x v="0"/>
    <x v="28"/>
    <x v="0"/>
    <x v="0"/>
    <s v="DK1_NoDH"/>
    <x v="17"/>
    <n v="9.1244895875632395"/>
    <n v="2.5345804409897901"/>
  </r>
  <r>
    <x v="0"/>
    <x v="28"/>
    <x v="0"/>
    <x v="0"/>
    <s v="DK1_NoDH"/>
    <x v="18"/>
    <n v="29.633696768848399"/>
    <n v="8.2315824357912195"/>
  </r>
  <r>
    <x v="0"/>
    <x v="28"/>
    <x v="0"/>
    <x v="0"/>
    <s v="DK1_NoDH"/>
    <x v="19"/>
    <n v="8.1139884009941898"/>
    <n v="2.2538856669428302"/>
  </r>
  <r>
    <x v="0"/>
    <x v="28"/>
    <x v="0"/>
    <x v="0"/>
    <s v="DK1_NoDH"/>
    <x v="20"/>
    <n v="22.109183021311601"/>
    <n v="6.1414397281420996"/>
  </r>
  <r>
    <x v="0"/>
    <x v="28"/>
    <x v="0"/>
    <x v="0"/>
    <s v="DK1_NoDH"/>
    <x v="21"/>
    <n v="48.24"/>
    <n v="13.4"/>
  </r>
  <r>
    <x v="0"/>
    <x v="28"/>
    <x v="0"/>
    <x v="0"/>
    <s v="DK1_NoDH"/>
    <x v="22"/>
    <n v="67.680000000000007"/>
    <n v="18.8"/>
  </r>
  <r>
    <x v="0"/>
    <x v="28"/>
    <x v="0"/>
    <x v="0"/>
    <s v="DK1_NoDH"/>
    <x v="23"/>
    <n v="0.31515896120488701"/>
    <n v="8.7544155890246306E-2"/>
  </r>
  <r>
    <x v="0"/>
    <x v="28"/>
    <x v="0"/>
    <x v="0"/>
    <s v="DK1_NoDH"/>
    <x v="24"/>
    <n v="19.174223581093901"/>
    <n v="5.32617321697054"/>
  </r>
  <r>
    <x v="0"/>
    <x v="28"/>
    <x v="0"/>
    <x v="0"/>
    <s v="DK1_NoDH"/>
    <x v="25"/>
    <n v="26.209507293842599"/>
    <n v="7.2804186927340497"/>
  </r>
  <r>
    <x v="0"/>
    <x v="28"/>
    <x v="0"/>
    <x v="0"/>
    <s v="DK1_NoDH"/>
    <x v="26"/>
    <n v="33.320887798496699"/>
    <n v="9.2558021662490795"/>
  </r>
  <r>
    <x v="0"/>
    <x v="28"/>
    <x v="0"/>
    <x v="0"/>
    <s v="DK1_NoDH"/>
    <x v="27"/>
    <n v="20.163995508318798"/>
    <n v="5.6011098634218799"/>
  </r>
  <r>
    <x v="0"/>
    <x v="28"/>
    <x v="0"/>
    <x v="0"/>
    <s v="DK1_NoDH_PHH"/>
    <x v="1"/>
    <n v="35.989199999999997"/>
    <n v="9.9969999999999999"/>
  </r>
  <r>
    <x v="0"/>
    <x v="28"/>
    <x v="0"/>
    <x v="0"/>
    <s v="DK1_NoDH_PHH"/>
    <x v="2"/>
    <n v="46.08"/>
    <n v="12.8"/>
  </r>
  <r>
    <x v="0"/>
    <x v="28"/>
    <x v="0"/>
    <x v="0"/>
    <s v="DK1_NoDH_PHH"/>
    <x v="0"/>
    <n v="42.692399999999999"/>
    <n v="11.859"/>
  </r>
  <r>
    <x v="0"/>
    <x v="28"/>
    <x v="0"/>
    <x v="0"/>
    <s v="DK1_NoDH_PHH"/>
    <x v="3"/>
    <n v="51.633543144067197"/>
    <n v="14.342650873352"/>
  </r>
  <r>
    <x v="0"/>
    <x v="28"/>
    <x v="0"/>
    <x v="0"/>
    <s v="DK1_NoDH_PHH"/>
    <x v="4"/>
    <n v="6.3500778790389401"/>
    <n v="1.76391052195526"/>
  </r>
  <r>
    <x v="0"/>
    <x v="28"/>
    <x v="0"/>
    <x v="0"/>
    <s v="DK1_NoDH_PHH"/>
    <x v="5"/>
    <n v="6.3500778790389401"/>
    <n v="1.76391052195526"/>
  </r>
  <r>
    <x v="0"/>
    <x v="28"/>
    <x v="0"/>
    <x v="0"/>
    <s v="DK1_NoDH_PHH"/>
    <x v="6"/>
    <n v="29.476231795214598"/>
    <n v="8.1878421653373898"/>
  </r>
  <r>
    <x v="0"/>
    <x v="28"/>
    <x v="0"/>
    <x v="0"/>
    <s v="DK1_NoDH_PHH"/>
    <x v="7"/>
    <n v="57.838935220261199"/>
    <n v="16.066370894517"/>
  </r>
  <r>
    <x v="0"/>
    <x v="28"/>
    <x v="0"/>
    <x v="0"/>
    <s v="DK1_NoDH_PHH"/>
    <x v="8"/>
    <n v="57.838935220261199"/>
    <n v="16.066370894517"/>
  </r>
  <r>
    <x v="0"/>
    <x v="28"/>
    <x v="0"/>
    <x v="0"/>
    <s v="DK1_NoDH_PHH"/>
    <x v="9"/>
    <n v="44.4505451532725"/>
    <n v="12.3473736536868"/>
  </r>
  <r>
    <x v="0"/>
    <x v="28"/>
    <x v="0"/>
    <x v="0"/>
    <s v="DK1_NoDH_PHH"/>
    <x v="10"/>
    <n v="53.975661971830903"/>
    <n v="14.993239436619699"/>
  </r>
  <r>
    <x v="0"/>
    <x v="28"/>
    <x v="0"/>
    <x v="0"/>
    <s v="DK1_NoDH_PHH"/>
    <x v="11"/>
    <n v="3.8806031483015802"/>
    <n v="1.07794531897266"/>
  </r>
  <r>
    <x v="0"/>
    <x v="28"/>
    <x v="0"/>
    <x v="0"/>
    <s v="DK1_NoDH_PHH"/>
    <x v="12"/>
    <n v="9.7995028997514597E-2"/>
    <n v="2.72208413881985E-2"/>
  </r>
  <r>
    <x v="0"/>
    <x v="28"/>
    <x v="0"/>
    <x v="0"/>
    <s v="DK1_NoDH_PHH"/>
    <x v="13"/>
    <n v="29.633696768848399"/>
    <n v="8.2315824357912195"/>
  </r>
  <r>
    <x v="0"/>
    <x v="28"/>
    <x v="0"/>
    <x v="0"/>
    <s v="DK1_NoDH_PHH"/>
    <x v="14"/>
    <n v="29.633696768848399"/>
    <n v="8.2315824357912195"/>
  </r>
  <r>
    <x v="0"/>
    <x v="28"/>
    <x v="0"/>
    <x v="0"/>
    <s v="DK1_NoDH_PHH"/>
    <x v="15"/>
    <n v="1.65807589063794"/>
    <n v="0.46057663628831802"/>
  </r>
  <r>
    <x v="0"/>
    <x v="28"/>
    <x v="0"/>
    <x v="0"/>
    <s v="DK1_NoDH_PHH"/>
    <x v="16"/>
    <n v="6.5458675795335104"/>
    <n v="1.81829654987042"/>
  </r>
  <r>
    <x v="0"/>
    <x v="28"/>
    <x v="0"/>
    <x v="0"/>
    <s v="DK1_NoDH_PHH"/>
    <x v="17"/>
    <n v="9.1244895875632395"/>
    <n v="2.5345804409897901"/>
  </r>
  <r>
    <x v="0"/>
    <x v="28"/>
    <x v="0"/>
    <x v="0"/>
    <s v="DK1_NoDH_PHH"/>
    <x v="18"/>
    <n v="29.633696768848399"/>
    <n v="8.2315824357912195"/>
  </r>
  <r>
    <x v="0"/>
    <x v="28"/>
    <x v="0"/>
    <x v="0"/>
    <s v="DK1_NoDH_PHH"/>
    <x v="19"/>
    <n v="8.1139884009941898"/>
    <n v="2.2538856669428302"/>
  </r>
  <r>
    <x v="0"/>
    <x v="28"/>
    <x v="0"/>
    <x v="0"/>
    <s v="DK1_NoDH_PHH"/>
    <x v="20"/>
    <n v="22.109183021311601"/>
    <n v="6.1414397281420996"/>
  </r>
  <r>
    <x v="0"/>
    <x v="28"/>
    <x v="0"/>
    <x v="0"/>
    <s v="DK1_NoDH_PHH"/>
    <x v="21"/>
    <n v="48.24"/>
    <n v="13.4"/>
  </r>
  <r>
    <x v="0"/>
    <x v="28"/>
    <x v="0"/>
    <x v="0"/>
    <s v="DK1_NoDH_PHH"/>
    <x v="22"/>
    <n v="67.680000000000007"/>
    <n v="18.8"/>
  </r>
  <r>
    <x v="0"/>
    <x v="28"/>
    <x v="0"/>
    <x v="0"/>
    <s v="DK1_NoDH_PHH"/>
    <x v="23"/>
    <n v="0.31515896120488701"/>
    <n v="8.7544155890246306E-2"/>
  </r>
  <r>
    <x v="0"/>
    <x v="28"/>
    <x v="0"/>
    <x v="0"/>
    <s v="DK1_NoDH_PHH"/>
    <x v="24"/>
    <n v="19.174223581093901"/>
    <n v="5.32617321697054"/>
  </r>
  <r>
    <x v="0"/>
    <x v="28"/>
    <x v="0"/>
    <x v="0"/>
    <s v="DK1_NoDH_PHH"/>
    <x v="25"/>
    <n v="26.209507293842599"/>
    <n v="7.2804186927340497"/>
  </r>
  <r>
    <x v="0"/>
    <x v="28"/>
    <x v="0"/>
    <x v="0"/>
    <s v="DK1_NoDH_PHH"/>
    <x v="26"/>
    <n v="33.320887798496699"/>
    <n v="9.2558021662490795"/>
  </r>
  <r>
    <x v="0"/>
    <x v="28"/>
    <x v="0"/>
    <x v="0"/>
    <s v="DK1_NoDH_PHH"/>
    <x v="27"/>
    <n v="20.163995508318798"/>
    <n v="5.6011098634218799"/>
  </r>
  <r>
    <x v="0"/>
    <x v="28"/>
    <x v="0"/>
    <x v="0"/>
    <s v="DK1_NoDH_PHL"/>
    <x v="1"/>
    <n v="35.989199999999997"/>
    <n v="9.9969999999999999"/>
  </r>
  <r>
    <x v="0"/>
    <x v="28"/>
    <x v="0"/>
    <x v="0"/>
    <s v="DK1_NoDH_PHL"/>
    <x v="2"/>
    <n v="46.08"/>
    <n v="12.8"/>
  </r>
  <r>
    <x v="0"/>
    <x v="28"/>
    <x v="0"/>
    <x v="0"/>
    <s v="DK1_NoDH_PHL"/>
    <x v="0"/>
    <n v="42.692399999999999"/>
    <n v="11.859"/>
  </r>
  <r>
    <x v="0"/>
    <x v="28"/>
    <x v="0"/>
    <x v="0"/>
    <s v="DK1_NoDH_PHL"/>
    <x v="3"/>
    <n v="51.633543144067197"/>
    <n v="14.342650873352"/>
  </r>
  <r>
    <x v="0"/>
    <x v="28"/>
    <x v="0"/>
    <x v="0"/>
    <s v="DK1_NoDH_PHL"/>
    <x v="4"/>
    <n v="6.3500778790389401"/>
    <n v="1.76391052195526"/>
  </r>
  <r>
    <x v="0"/>
    <x v="28"/>
    <x v="0"/>
    <x v="0"/>
    <s v="DK1_NoDH_PHL"/>
    <x v="5"/>
    <n v="6.3500778790389401"/>
    <n v="1.76391052195526"/>
  </r>
  <r>
    <x v="0"/>
    <x v="28"/>
    <x v="0"/>
    <x v="0"/>
    <s v="DK1_NoDH_PHL"/>
    <x v="6"/>
    <n v="29.476231795214598"/>
    <n v="8.1878421653373898"/>
  </r>
  <r>
    <x v="0"/>
    <x v="28"/>
    <x v="0"/>
    <x v="0"/>
    <s v="DK1_NoDH_PHL"/>
    <x v="7"/>
    <n v="57.838935220261199"/>
    <n v="16.066370894517"/>
  </r>
  <r>
    <x v="0"/>
    <x v="28"/>
    <x v="0"/>
    <x v="0"/>
    <s v="DK1_NoDH_PHL"/>
    <x v="8"/>
    <n v="57.838935220261199"/>
    <n v="16.066370894517"/>
  </r>
  <r>
    <x v="0"/>
    <x v="28"/>
    <x v="0"/>
    <x v="0"/>
    <s v="DK1_NoDH_PHL"/>
    <x v="9"/>
    <n v="44.4505451532725"/>
    <n v="12.3473736536868"/>
  </r>
  <r>
    <x v="0"/>
    <x v="28"/>
    <x v="0"/>
    <x v="0"/>
    <s v="DK1_NoDH_PHL"/>
    <x v="10"/>
    <n v="53.975661971830903"/>
    <n v="14.993239436619699"/>
  </r>
  <r>
    <x v="0"/>
    <x v="28"/>
    <x v="0"/>
    <x v="0"/>
    <s v="DK1_NoDH_PHL"/>
    <x v="11"/>
    <n v="3.8806031483015802"/>
    <n v="1.07794531897266"/>
  </r>
  <r>
    <x v="0"/>
    <x v="28"/>
    <x v="0"/>
    <x v="0"/>
    <s v="DK1_NoDH_PHL"/>
    <x v="12"/>
    <n v="9.7995028997514597E-2"/>
    <n v="2.72208413881985E-2"/>
  </r>
  <r>
    <x v="0"/>
    <x v="28"/>
    <x v="0"/>
    <x v="0"/>
    <s v="DK1_NoDH_PHL"/>
    <x v="13"/>
    <n v="29.633696768848399"/>
    <n v="8.2315824357912195"/>
  </r>
  <r>
    <x v="0"/>
    <x v="28"/>
    <x v="0"/>
    <x v="0"/>
    <s v="DK1_NoDH_PHL"/>
    <x v="14"/>
    <n v="29.633696768848399"/>
    <n v="8.2315824357912195"/>
  </r>
  <r>
    <x v="0"/>
    <x v="28"/>
    <x v="0"/>
    <x v="0"/>
    <s v="DK1_NoDH_PHL"/>
    <x v="15"/>
    <n v="1.65807589063794"/>
    <n v="0.46057663628831802"/>
  </r>
  <r>
    <x v="0"/>
    <x v="28"/>
    <x v="0"/>
    <x v="0"/>
    <s v="DK1_NoDH_PHL"/>
    <x v="16"/>
    <n v="6.5458675795335104"/>
    <n v="1.81829654987042"/>
  </r>
  <r>
    <x v="0"/>
    <x v="28"/>
    <x v="0"/>
    <x v="0"/>
    <s v="DK1_NoDH_PHL"/>
    <x v="17"/>
    <n v="9.1244895875632395"/>
    <n v="2.5345804409897901"/>
  </r>
  <r>
    <x v="0"/>
    <x v="28"/>
    <x v="0"/>
    <x v="0"/>
    <s v="DK1_NoDH_PHL"/>
    <x v="18"/>
    <n v="29.633696768848399"/>
    <n v="8.2315824357912195"/>
  </r>
  <r>
    <x v="0"/>
    <x v="28"/>
    <x v="0"/>
    <x v="0"/>
    <s v="DK1_NoDH_PHL"/>
    <x v="19"/>
    <n v="8.1139884009941898"/>
    <n v="2.2538856669428302"/>
  </r>
  <r>
    <x v="0"/>
    <x v="28"/>
    <x v="0"/>
    <x v="0"/>
    <s v="DK1_NoDH_PHL"/>
    <x v="20"/>
    <n v="22.109183021311601"/>
    <n v="6.1414397281420996"/>
  </r>
  <r>
    <x v="0"/>
    <x v="28"/>
    <x v="0"/>
    <x v="0"/>
    <s v="DK1_NoDH_PHL"/>
    <x v="21"/>
    <n v="48.24"/>
    <n v="13.4"/>
  </r>
  <r>
    <x v="0"/>
    <x v="28"/>
    <x v="0"/>
    <x v="0"/>
    <s v="DK1_NoDH_PHL"/>
    <x v="22"/>
    <n v="67.680000000000007"/>
    <n v="18.8"/>
  </r>
  <r>
    <x v="0"/>
    <x v="28"/>
    <x v="0"/>
    <x v="0"/>
    <s v="DK1_NoDH_PHL"/>
    <x v="23"/>
    <n v="0.31515896120488701"/>
    <n v="8.7544155890246306E-2"/>
  </r>
  <r>
    <x v="0"/>
    <x v="28"/>
    <x v="0"/>
    <x v="0"/>
    <s v="DK1_NoDH_PHL"/>
    <x v="24"/>
    <n v="19.174223581093901"/>
    <n v="5.32617321697054"/>
  </r>
  <r>
    <x v="0"/>
    <x v="28"/>
    <x v="0"/>
    <x v="0"/>
    <s v="DK1_NoDH_PHL"/>
    <x v="25"/>
    <n v="26.209507293842599"/>
    <n v="7.2804186927340497"/>
  </r>
  <r>
    <x v="0"/>
    <x v="28"/>
    <x v="0"/>
    <x v="0"/>
    <s v="DK1_NoDH_PHL"/>
    <x v="26"/>
    <n v="33.320887798496699"/>
    <n v="9.2558021662490795"/>
  </r>
  <r>
    <x v="0"/>
    <x v="28"/>
    <x v="0"/>
    <x v="0"/>
    <s v="DK1_NoDH_PHL"/>
    <x v="27"/>
    <n v="20.163995508318798"/>
    <n v="5.6011098634218799"/>
  </r>
  <r>
    <x v="0"/>
    <x v="28"/>
    <x v="0"/>
    <x v="0"/>
    <s v="DK1_Offshore"/>
    <x v="1"/>
    <n v="35.989199999999997"/>
    <n v="9.9969999999999999"/>
  </r>
  <r>
    <x v="0"/>
    <x v="28"/>
    <x v="0"/>
    <x v="0"/>
    <s v="DK1_Offshore"/>
    <x v="2"/>
    <n v="46.08"/>
    <n v="12.8"/>
  </r>
  <r>
    <x v="0"/>
    <x v="28"/>
    <x v="0"/>
    <x v="0"/>
    <s v="DK1_Offshore"/>
    <x v="0"/>
    <n v="42.692399999999999"/>
    <n v="11.859"/>
  </r>
  <r>
    <x v="0"/>
    <x v="28"/>
    <x v="0"/>
    <x v="0"/>
    <s v="DK1_Offshore"/>
    <x v="3"/>
    <n v="51.633543144067197"/>
    <n v="14.342650873352"/>
  </r>
  <r>
    <x v="0"/>
    <x v="28"/>
    <x v="0"/>
    <x v="0"/>
    <s v="DK1_Offshore"/>
    <x v="4"/>
    <n v="6.3500778790389401"/>
    <n v="1.76391052195526"/>
  </r>
  <r>
    <x v="0"/>
    <x v="28"/>
    <x v="0"/>
    <x v="0"/>
    <s v="DK1_Offshore"/>
    <x v="5"/>
    <n v="6.3500778790389401"/>
    <n v="1.76391052195526"/>
  </r>
  <r>
    <x v="0"/>
    <x v="28"/>
    <x v="0"/>
    <x v="0"/>
    <s v="DK1_Offshore"/>
    <x v="6"/>
    <n v="29.476231795214598"/>
    <n v="8.1878421653373898"/>
  </r>
  <r>
    <x v="0"/>
    <x v="28"/>
    <x v="0"/>
    <x v="0"/>
    <s v="DK1_Offshore"/>
    <x v="7"/>
    <n v="57.838935220261199"/>
    <n v="16.066370894517"/>
  </r>
  <r>
    <x v="0"/>
    <x v="28"/>
    <x v="0"/>
    <x v="0"/>
    <s v="DK1_Offshore"/>
    <x v="8"/>
    <n v="57.838935220261199"/>
    <n v="16.066370894517"/>
  </r>
  <r>
    <x v="0"/>
    <x v="28"/>
    <x v="0"/>
    <x v="0"/>
    <s v="DK1_Offshore"/>
    <x v="9"/>
    <n v="44.4505451532725"/>
    <n v="12.3473736536868"/>
  </r>
  <r>
    <x v="0"/>
    <x v="28"/>
    <x v="0"/>
    <x v="0"/>
    <s v="DK1_Offshore"/>
    <x v="10"/>
    <n v="53.975661971830903"/>
    <n v="14.993239436619699"/>
  </r>
  <r>
    <x v="0"/>
    <x v="28"/>
    <x v="0"/>
    <x v="0"/>
    <s v="DK1_Offshore"/>
    <x v="11"/>
    <n v="3.8806031483015802"/>
    <n v="1.07794531897266"/>
  </r>
  <r>
    <x v="0"/>
    <x v="28"/>
    <x v="0"/>
    <x v="0"/>
    <s v="DK1_Offshore"/>
    <x v="12"/>
    <n v="9.7995028997514597E-2"/>
    <n v="2.72208413881985E-2"/>
  </r>
  <r>
    <x v="0"/>
    <x v="28"/>
    <x v="0"/>
    <x v="0"/>
    <s v="DK1_Offshore"/>
    <x v="13"/>
    <n v="29.633696768848399"/>
    <n v="8.2315824357912195"/>
  </r>
  <r>
    <x v="0"/>
    <x v="28"/>
    <x v="0"/>
    <x v="0"/>
    <s v="DK1_Offshore"/>
    <x v="14"/>
    <n v="29.633696768848399"/>
    <n v="8.2315824357912195"/>
  </r>
  <r>
    <x v="0"/>
    <x v="28"/>
    <x v="0"/>
    <x v="0"/>
    <s v="DK1_Offshore"/>
    <x v="15"/>
    <n v="1.65807589063794"/>
    <n v="0.46057663628831802"/>
  </r>
  <r>
    <x v="0"/>
    <x v="28"/>
    <x v="0"/>
    <x v="0"/>
    <s v="DK1_Offshore"/>
    <x v="16"/>
    <n v="6.5458675795335104"/>
    <n v="1.81829654987042"/>
  </r>
  <r>
    <x v="0"/>
    <x v="28"/>
    <x v="0"/>
    <x v="0"/>
    <s v="DK1_Offshore"/>
    <x v="17"/>
    <n v="9.1244895875632395"/>
    <n v="2.5345804409897901"/>
  </r>
  <r>
    <x v="0"/>
    <x v="28"/>
    <x v="0"/>
    <x v="0"/>
    <s v="DK1_Offshore"/>
    <x v="18"/>
    <n v="29.633696768848399"/>
    <n v="8.2315824357912195"/>
  </r>
  <r>
    <x v="0"/>
    <x v="28"/>
    <x v="0"/>
    <x v="0"/>
    <s v="DK1_Offshore"/>
    <x v="19"/>
    <n v="8.1139884009941898"/>
    <n v="2.2538856669428302"/>
  </r>
  <r>
    <x v="0"/>
    <x v="28"/>
    <x v="0"/>
    <x v="0"/>
    <s v="DK1_Offshore"/>
    <x v="20"/>
    <n v="22.109183021311601"/>
    <n v="6.1414397281420996"/>
  </r>
  <r>
    <x v="0"/>
    <x v="28"/>
    <x v="0"/>
    <x v="0"/>
    <s v="DK1_Offshore"/>
    <x v="21"/>
    <n v="48.24"/>
    <n v="13.4"/>
  </r>
  <r>
    <x v="0"/>
    <x v="28"/>
    <x v="0"/>
    <x v="0"/>
    <s v="DK1_Offshore"/>
    <x v="22"/>
    <n v="67.680000000000007"/>
    <n v="18.8"/>
  </r>
  <r>
    <x v="0"/>
    <x v="28"/>
    <x v="0"/>
    <x v="0"/>
    <s v="DK1_Offshore"/>
    <x v="23"/>
    <n v="0.31515896120488701"/>
    <n v="8.7544155890246306E-2"/>
  </r>
  <r>
    <x v="0"/>
    <x v="28"/>
    <x v="0"/>
    <x v="0"/>
    <s v="DK1_Offshore"/>
    <x v="24"/>
    <n v="19.174223581093901"/>
    <n v="5.32617321697054"/>
  </r>
  <r>
    <x v="0"/>
    <x v="28"/>
    <x v="0"/>
    <x v="0"/>
    <s v="DK1_Offshore"/>
    <x v="25"/>
    <n v="26.209507293842599"/>
    <n v="7.2804186927340497"/>
  </r>
  <r>
    <x v="0"/>
    <x v="28"/>
    <x v="0"/>
    <x v="0"/>
    <s v="DK1_Offshore"/>
    <x v="26"/>
    <n v="33.320887798496699"/>
    <n v="9.2558021662490795"/>
  </r>
  <r>
    <x v="0"/>
    <x v="28"/>
    <x v="0"/>
    <x v="0"/>
    <s v="DK1_Offshore"/>
    <x v="27"/>
    <n v="20.163995508318798"/>
    <n v="5.6011098634218799"/>
  </r>
  <r>
    <x v="0"/>
    <x v="28"/>
    <x v="0"/>
    <x v="0"/>
    <s v="DK1_Rural"/>
    <x v="1"/>
    <n v="35.989199999999997"/>
    <n v="9.9969999999999999"/>
  </r>
  <r>
    <x v="0"/>
    <x v="28"/>
    <x v="0"/>
    <x v="0"/>
    <s v="DK1_Rural"/>
    <x v="2"/>
    <n v="46.08"/>
    <n v="12.8"/>
  </r>
  <r>
    <x v="0"/>
    <x v="28"/>
    <x v="0"/>
    <x v="0"/>
    <s v="DK1_Rural"/>
    <x v="0"/>
    <n v="42.692399999999999"/>
    <n v="11.859"/>
  </r>
  <r>
    <x v="0"/>
    <x v="28"/>
    <x v="0"/>
    <x v="0"/>
    <s v="DK1_Rural"/>
    <x v="3"/>
    <n v="51.633543144067197"/>
    <n v="14.342650873352"/>
  </r>
  <r>
    <x v="0"/>
    <x v="28"/>
    <x v="0"/>
    <x v="0"/>
    <s v="DK1_Rural"/>
    <x v="4"/>
    <n v="6.3500778790389401"/>
    <n v="1.76391052195526"/>
  </r>
  <r>
    <x v="0"/>
    <x v="28"/>
    <x v="0"/>
    <x v="0"/>
    <s v="DK1_Rural"/>
    <x v="5"/>
    <n v="6.3500778790389401"/>
    <n v="1.76391052195526"/>
  </r>
  <r>
    <x v="0"/>
    <x v="28"/>
    <x v="0"/>
    <x v="0"/>
    <s v="DK1_Rural"/>
    <x v="6"/>
    <n v="29.476231795214598"/>
    <n v="8.1878421653373898"/>
  </r>
  <r>
    <x v="0"/>
    <x v="28"/>
    <x v="0"/>
    <x v="0"/>
    <s v="DK1_Rural"/>
    <x v="7"/>
    <n v="57.838935220261199"/>
    <n v="16.066370894517"/>
  </r>
  <r>
    <x v="0"/>
    <x v="28"/>
    <x v="0"/>
    <x v="0"/>
    <s v="DK1_Rural"/>
    <x v="8"/>
    <n v="57.838935220261199"/>
    <n v="16.066370894517"/>
  </r>
  <r>
    <x v="0"/>
    <x v="28"/>
    <x v="0"/>
    <x v="0"/>
    <s v="DK1_Rural"/>
    <x v="9"/>
    <n v="44.4505451532725"/>
    <n v="12.3473736536868"/>
  </r>
  <r>
    <x v="0"/>
    <x v="28"/>
    <x v="0"/>
    <x v="0"/>
    <s v="DK1_Rural"/>
    <x v="10"/>
    <n v="53.975661971830903"/>
    <n v="14.993239436619699"/>
  </r>
  <r>
    <x v="0"/>
    <x v="28"/>
    <x v="0"/>
    <x v="0"/>
    <s v="DK1_Rural"/>
    <x v="11"/>
    <n v="3.8806031483015802"/>
    <n v="1.07794531897266"/>
  </r>
  <r>
    <x v="0"/>
    <x v="28"/>
    <x v="0"/>
    <x v="0"/>
    <s v="DK1_Rural"/>
    <x v="12"/>
    <n v="9.7995028997514597E-2"/>
    <n v="2.72208413881985E-2"/>
  </r>
  <r>
    <x v="0"/>
    <x v="28"/>
    <x v="0"/>
    <x v="0"/>
    <s v="DK1_Rural"/>
    <x v="13"/>
    <n v="29.633696768848399"/>
    <n v="8.2315824357912195"/>
  </r>
  <r>
    <x v="0"/>
    <x v="28"/>
    <x v="0"/>
    <x v="0"/>
    <s v="DK1_Rural"/>
    <x v="14"/>
    <n v="29.633696768848399"/>
    <n v="8.2315824357912195"/>
  </r>
  <r>
    <x v="0"/>
    <x v="28"/>
    <x v="0"/>
    <x v="0"/>
    <s v="DK1_Rural"/>
    <x v="15"/>
    <n v="1.65807589063794"/>
    <n v="0.46057663628831802"/>
  </r>
  <r>
    <x v="0"/>
    <x v="28"/>
    <x v="0"/>
    <x v="0"/>
    <s v="DK1_Rural"/>
    <x v="16"/>
    <n v="6.5458675795335104"/>
    <n v="1.81829654987042"/>
  </r>
  <r>
    <x v="0"/>
    <x v="28"/>
    <x v="0"/>
    <x v="0"/>
    <s v="DK1_Rural"/>
    <x v="17"/>
    <n v="9.1244895875632395"/>
    <n v="2.5345804409897901"/>
  </r>
  <r>
    <x v="0"/>
    <x v="28"/>
    <x v="0"/>
    <x v="0"/>
    <s v="DK1_Rural"/>
    <x v="18"/>
    <n v="29.633696768848399"/>
    <n v="8.2315824357912195"/>
  </r>
  <r>
    <x v="0"/>
    <x v="28"/>
    <x v="0"/>
    <x v="0"/>
    <s v="DK1_Rural"/>
    <x v="19"/>
    <n v="8.1139884009941898"/>
    <n v="2.2538856669428302"/>
  </r>
  <r>
    <x v="0"/>
    <x v="28"/>
    <x v="0"/>
    <x v="0"/>
    <s v="DK1_Rural"/>
    <x v="20"/>
    <n v="22.109183021311601"/>
    <n v="6.1414397281420996"/>
  </r>
  <r>
    <x v="0"/>
    <x v="28"/>
    <x v="0"/>
    <x v="0"/>
    <s v="DK1_Rural"/>
    <x v="21"/>
    <n v="48.24"/>
    <n v="13.4"/>
  </r>
  <r>
    <x v="0"/>
    <x v="28"/>
    <x v="0"/>
    <x v="0"/>
    <s v="DK1_Rural"/>
    <x v="22"/>
    <n v="67.680000000000007"/>
    <n v="18.8"/>
  </r>
  <r>
    <x v="0"/>
    <x v="28"/>
    <x v="0"/>
    <x v="0"/>
    <s v="DK1_Rural"/>
    <x v="23"/>
    <n v="0.31515896120488701"/>
    <n v="8.7544155890246306E-2"/>
  </r>
  <r>
    <x v="0"/>
    <x v="28"/>
    <x v="0"/>
    <x v="0"/>
    <s v="DK1_Rural"/>
    <x v="24"/>
    <n v="19.174223581093901"/>
    <n v="5.32617321697054"/>
  </r>
  <r>
    <x v="0"/>
    <x v="28"/>
    <x v="0"/>
    <x v="0"/>
    <s v="DK1_Rural"/>
    <x v="25"/>
    <n v="26.209507293842599"/>
    <n v="7.2804186927340497"/>
  </r>
  <r>
    <x v="0"/>
    <x v="28"/>
    <x v="0"/>
    <x v="0"/>
    <s v="DK1_Rural"/>
    <x v="26"/>
    <n v="33.320887798496699"/>
    <n v="9.2558021662490795"/>
  </r>
  <r>
    <x v="0"/>
    <x v="28"/>
    <x v="0"/>
    <x v="0"/>
    <s v="DK1_Rural"/>
    <x v="27"/>
    <n v="20.163995508318798"/>
    <n v="5.6011098634218799"/>
  </r>
  <r>
    <x v="0"/>
    <x v="28"/>
    <x v="0"/>
    <x v="0"/>
    <s v="DK1_Small"/>
    <x v="1"/>
    <n v="35.989199999999997"/>
    <n v="9.9969999999999999"/>
  </r>
  <r>
    <x v="0"/>
    <x v="28"/>
    <x v="0"/>
    <x v="0"/>
    <s v="DK1_Small"/>
    <x v="2"/>
    <n v="46.08"/>
    <n v="12.8"/>
  </r>
  <r>
    <x v="0"/>
    <x v="28"/>
    <x v="0"/>
    <x v="0"/>
    <s v="DK1_Small"/>
    <x v="0"/>
    <n v="42.692399999999999"/>
    <n v="11.859"/>
  </r>
  <r>
    <x v="0"/>
    <x v="28"/>
    <x v="0"/>
    <x v="0"/>
    <s v="DK1_Small"/>
    <x v="3"/>
    <n v="51.633543144067197"/>
    <n v="14.342650873352"/>
  </r>
  <r>
    <x v="0"/>
    <x v="28"/>
    <x v="0"/>
    <x v="0"/>
    <s v="DK1_Small"/>
    <x v="4"/>
    <n v="6.3500778790389401"/>
    <n v="1.76391052195526"/>
  </r>
  <r>
    <x v="0"/>
    <x v="28"/>
    <x v="0"/>
    <x v="0"/>
    <s v="DK1_Small"/>
    <x v="5"/>
    <n v="6.3500778790389401"/>
    <n v="1.76391052195526"/>
  </r>
  <r>
    <x v="0"/>
    <x v="28"/>
    <x v="0"/>
    <x v="0"/>
    <s v="DK1_Small"/>
    <x v="6"/>
    <n v="29.476231795214598"/>
    <n v="8.1878421653373898"/>
  </r>
  <r>
    <x v="0"/>
    <x v="28"/>
    <x v="0"/>
    <x v="0"/>
    <s v="DK1_Small"/>
    <x v="7"/>
    <n v="57.838935220261199"/>
    <n v="16.066370894517"/>
  </r>
  <r>
    <x v="0"/>
    <x v="28"/>
    <x v="0"/>
    <x v="0"/>
    <s v="DK1_Small"/>
    <x v="8"/>
    <n v="57.838935220261199"/>
    <n v="16.066370894517"/>
  </r>
  <r>
    <x v="0"/>
    <x v="28"/>
    <x v="0"/>
    <x v="0"/>
    <s v="DK1_Small"/>
    <x v="9"/>
    <n v="44.4505451532725"/>
    <n v="12.3473736536868"/>
  </r>
  <r>
    <x v="0"/>
    <x v="28"/>
    <x v="0"/>
    <x v="0"/>
    <s v="DK1_Small"/>
    <x v="10"/>
    <n v="53.975661971830903"/>
    <n v="14.993239436619699"/>
  </r>
  <r>
    <x v="0"/>
    <x v="28"/>
    <x v="0"/>
    <x v="0"/>
    <s v="DK1_Small"/>
    <x v="11"/>
    <n v="3.8806031483015802"/>
    <n v="1.07794531897266"/>
  </r>
  <r>
    <x v="0"/>
    <x v="28"/>
    <x v="0"/>
    <x v="0"/>
    <s v="DK1_Small"/>
    <x v="12"/>
    <n v="9.7995028997514597E-2"/>
    <n v="2.72208413881985E-2"/>
  </r>
  <r>
    <x v="0"/>
    <x v="28"/>
    <x v="0"/>
    <x v="0"/>
    <s v="DK1_Small"/>
    <x v="13"/>
    <n v="29.633696768848399"/>
    <n v="8.2315824357912195"/>
  </r>
  <r>
    <x v="0"/>
    <x v="28"/>
    <x v="0"/>
    <x v="0"/>
    <s v="DK1_Small"/>
    <x v="14"/>
    <n v="29.633696768848399"/>
    <n v="8.2315824357912195"/>
  </r>
  <r>
    <x v="0"/>
    <x v="28"/>
    <x v="0"/>
    <x v="0"/>
    <s v="DK1_Small"/>
    <x v="15"/>
    <n v="1.65807589063794"/>
    <n v="0.46057663628831802"/>
  </r>
  <r>
    <x v="0"/>
    <x v="28"/>
    <x v="0"/>
    <x v="0"/>
    <s v="DK1_Small"/>
    <x v="16"/>
    <n v="6.5458675795335104"/>
    <n v="1.81829654987042"/>
  </r>
  <r>
    <x v="0"/>
    <x v="28"/>
    <x v="0"/>
    <x v="0"/>
    <s v="DK1_Small"/>
    <x v="17"/>
    <n v="9.1244895875632395"/>
    <n v="2.5345804409897901"/>
  </r>
  <r>
    <x v="0"/>
    <x v="28"/>
    <x v="0"/>
    <x v="0"/>
    <s v="DK1_Small"/>
    <x v="18"/>
    <n v="29.633696768848399"/>
    <n v="8.2315824357912195"/>
  </r>
  <r>
    <x v="0"/>
    <x v="28"/>
    <x v="0"/>
    <x v="0"/>
    <s v="DK1_Small"/>
    <x v="19"/>
    <n v="8.1139884009941898"/>
    <n v="2.2538856669428302"/>
  </r>
  <r>
    <x v="0"/>
    <x v="28"/>
    <x v="0"/>
    <x v="0"/>
    <s v="DK1_Small"/>
    <x v="20"/>
    <n v="22.109183021311601"/>
    <n v="6.1414397281420996"/>
  </r>
  <r>
    <x v="0"/>
    <x v="28"/>
    <x v="0"/>
    <x v="0"/>
    <s v="DK1_Small"/>
    <x v="21"/>
    <n v="48.24"/>
    <n v="13.4"/>
  </r>
  <r>
    <x v="0"/>
    <x v="28"/>
    <x v="0"/>
    <x v="0"/>
    <s v="DK1_Small"/>
    <x v="22"/>
    <n v="67.680000000000007"/>
    <n v="18.8"/>
  </r>
  <r>
    <x v="0"/>
    <x v="28"/>
    <x v="0"/>
    <x v="0"/>
    <s v="DK1_Small"/>
    <x v="23"/>
    <n v="0.31515896120488701"/>
    <n v="8.7544155890246306E-2"/>
  </r>
  <r>
    <x v="0"/>
    <x v="28"/>
    <x v="0"/>
    <x v="0"/>
    <s v="DK1_Small"/>
    <x v="24"/>
    <n v="19.174223581093901"/>
    <n v="5.32617321697054"/>
  </r>
  <r>
    <x v="0"/>
    <x v="28"/>
    <x v="0"/>
    <x v="0"/>
    <s v="DK1_Small"/>
    <x v="25"/>
    <n v="26.209507293842599"/>
    <n v="7.2804186927340497"/>
  </r>
  <r>
    <x v="0"/>
    <x v="28"/>
    <x v="0"/>
    <x v="0"/>
    <s v="DK1_Small"/>
    <x v="26"/>
    <n v="33.320887798496699"/>
    <n v="9.2558021662490795"/>
  </r>
  <r>
    <x v="0"/>
    <x v="28"/>
    <x v="0"/>
    <x v="0"/>
    <s v="DK1_Small"/>
    <x v="27"/>
    <n v="20.163995508318798"/>
    <n v="5.6011098634218799"/>
  </r>
  <r>
    <x v="0"/>
    <x v="28"/>
    <x v="0"/>
    <x v="1"/>
    <s v="DK2_Large"/>
    <x v="1"/>
    <n v="35.989199999999997"/>
    <n v="9.9969999999999999"/>
  </r>
  <r>
    <x v="0"/>
    <x v="28"/>
    <x v="0"/>
    <x v="1"/>
    <s v="DK2_Large"/>
    <x v="2"/>
    <n v="46.08"/>
    <n v="12.8"/>
  </r>
  <r>
    <x v="0"/>
    <x v="28"/>
    <x v="0"/>
    <x v="1"/>
    <s v="DK2_Large"/>
    <x v="0"/>
    <n v="42.692399999999999"/>
    <n v="11.859"/>
  </r>
  <r>
    <x v="0"/>
    <x v="28"/>
    <x v="0"/>
    <x v="1"/>
    <s v="DK2_Large"/>
    <x v="3"/>
    <n v="51.633543144067197"/>
    <n v="14.342650873352"/>
  </r>
  <r>
    <x v="0"/>
    <x v="28"/>
    <x v="0"/>
    <x v="1"/>
    <s v="DK2_Large"/>
    <x v="4"/>
    <n v="6.3500778790389401"/>
    <n v="1.76391052195526"/>
  </r>
  <r>
    <x v="0"/>
    <x v="28"/>
    <x v="0"/>
    <x v="1"/>
    <s v="DK2_Large"/>
    <x v="5"/>
    <n v="6.3500778790389401"/>
    <n v="1.76391052195526"/>
  </r>
  <r>
    <x v="0"/>
    <x v="28"/>
    <x v="0"/>
    <x v="1"/>
    <s v="DK2_Large"/>
    <x v="6"/>
    <n v="29.476231795214598"/>
    <n v="8.1878421653373898"/>
  </r>
  <r>
    <x v="0"/>
    <x v="28"/>
    <x v="0"/>
    <x v="1"/>
    <s v="DK2_Large"/>
    <x v="7"/>
    <n v="57.838935220261199"/>
    <n v="16.066370894517"/>
  </r>
  <r>
    <x v="0"/>
    <x v="28"/>
    <x v="0"/>
    <x v="1"/>
    <s v="DK2_Large"/>
    <x v="8"/>
    <n v="57.838935220261199"/>
    <n v="16.066370894517"/>
  </r>
  <r>
    <x v="0"/>
    <x v="28"/>
    <x v="0"/>
    <x v="1"/>
    <s v="DK2_Large"/>
    <x v="9"/>
    <n v="44.4505451532725"/>
    <n v="12.3473736536868"/>
  </r>
  <r>
    <x v="0"/>
    <x v="28"/>
    <x v="0"/>
    <x v="1"/>
    <s v="DK2_Large"/>
    <x v="10"/>
    <n v="53.975661971830903"/>
    <n v="14.993239436619699"/>
  </r>
  <r>
    <x v="0"/>
    <x v="28"/>
    <x v="0"/>
    <x v="1"/>
    <s v="DK2_Large"/>
    <x v="11"/>
    <n v="3.8806031483015802"/>
    <n v="1.07794531897266"/>
  </r>
  <r>
    <x v="0"/>
    <x v="28"/>
    <x v="0"/>
    <x v="1"/>
    <s v="DK2_Large"/>
    <x v="12"/>
    <n v="9.7995028997514597E-2"/>
    <n v="2.72208413881985E-2"/>
  </r>
  <r>
    <x v="0"/>
    <x v="28"/>
    <x v="0"/>
    <x v="1"/>
    <s v="DK2_Large"/>
    <x v="13"/>
    <n v="29.633696768848399"/>
    <n v="8.2315824357912195"/>
  </r>
  <r>
    <x v="0"/>
    <x v="28"/>
    <x v="0"/>
    <x v="1"/>
    <s v="DK2_Large"/>
    <x v="14"/>
    <n v="29.633696768848399"/>
    <n v="8.2315824357912195"/>
  </r>
  <r>
    <x v="0"/>
    <x v="28"/>
    <x v="0"/>
    <x v="1"/>
    <s v="DK2_Large"/>
    <x v="15"/>
    <n v="1.65807589063794"/>
    <n v="0.46057663628831802"/>
  </r>
  <r>
    <x v="0"/>
    <x v="28"/>
    <x v="0"/>
    <x v="1"/>
    <s v="DK2_Large"/>
    <x v="16"/>
    <n v="6.5458675795335104"/>
    <n v="1.81829654987042"/>
  </r>
  <r>
    <x v="0"/>
    <x v="28"/>
    <x v="0"/>
    <x v="1"/>
    <s v="DK2_Large"/>
    <x v="17"/>
    <n v="9.1244895875632395"/>
    <n v="2.5345804409897901"/>
  </r>
  <r>
    <x v="0"/>
    <x v="28"/>
    <x v="0"/>
    <x v="1"/>
    <s v="DK2_Large"/>
    <x v="18"/>
    <n v="29.633696768848399"/>
    <n v="8.2315824357912195"/>
  </r>
  <r>
    <x v="0"/>
    <x v="28"/>
    <x v="0"/>
    <x v="1"/>
    <s v="DK2_Large"/>
    <x v="19"/>
    <n v="8.1139884009941898"/>
    <n v="2.2538856669428302"/>
  </r>
  <r>
    <x v="0"/>
    <x v="28"/>
    <x v="0"/>
    <x v="1"/>
    <s v="DK2_Large"/>
    <x v="20"/>
    <n v="22.109183021311601"/>
    <n v="6.1414397281420996"/>
  </r>
  <r>
    <x v="0"/>
    <x v="28"/>
    <x v="0"/>
    <x v="1"/>
    <s v="DK2_Large"/>
    <x v="21"/>
    <n v="48.24"/>
    <n v="13.4"/>
  </r>
  <r>
    <x v="0"/>
    <x v="28"/>
    <x v="0"/>
    <x v="1"/>
    <s v="DK2_Large"/>
    <x v="22"/>
    <n v="67.680000000000007"/>
    <n v="18.8"/>
  </r>
  <r>
    <x v="0"/>
    <x v="28"/>
    <x v="0"/>
    <x v="1"/>
    <s v="DK2_Large"/>
    <x v="23"/>
    <n v="0.31515896120488701"/>
    <n v="8.7544155890246306E-2"/>
  </r>
  <r>
    <x v="0"/>
    <x v="28"/>
    <x v="0"/>
    <x v="1"/>
    <s v="DK2_Large"/>
    <x v="24"/>
    <n v="19.174223581093901"/>
    <n v="5.32617321697054"/>
  </r>
  <r>
    <x v="0"/>
    <x v="28"/>
    <x v="0"/>
    <x v="1"/>
    <s v="DK2_Large"/>
    <x v="25"/>
    <n v="26.209507293842599"/>
    <n v="7.2804186927340497"/>
  </r>
  <r>
    <x v="0"/>
    <x v="28"/>
    <x v="0"/>
    <x v="1"/>
    <s v="DK2_Large"/>
    <x v="26"/>
    <n v="33.320887798496699"/>
    <n v="9.2558021662490795"/>
  </r>
  <r>
    <x v="0"/>
    <x v="28"/>
    <x v="0"/>
    <x v="1"/>
    <s v="DK2_Large"/>
    <x v="27"/>
    <n v="20.163995508318798"/>
    <n v="5.6011098634218799"/>
  </r>
  <r>
    <x v="0"/>
    <x v="28"/>
    <x v="0"/>
    <x v="1"/>
    <s v="DK2_Large_PHH"/>
    <x v="1"/>
    <n v="35.989199999999997"/>
    <n v="9.9969999999999999"/>
  </r>
  <r>
    <x v="0"/>
    <x v="28"/>
    <x v="0"/>
    <x v="1"/>
    <s v="DK2_Large_PHH"/>
    <x v="2"/>
    <n v="46.08"/>
    <n v="12.8"/>
  </r>
  <r>
    <x v="0"/>
    <x v="28"/>
    <x v="0"/>
    <x v="1"/>
    <s v="DK2_Large_PHH"/>
    <x v="0"/>
    <n v="42.692399999999999"/>
    <n v="11.859"/>
  </r>
  <r>
    <x v="0"/>
    <x v="28"/>
    <x v="0"/>
    <x v="1"/>
    <s v="DK2_Large_PHH"/>
    <x v="3"/>
    <n v="51.633543144067197"/>
    <n v="14.342650873352"/>
  </r>
  <r>
    <x v="0"/>
    <x v="28"/>
    <x v="0"/>
    <x v="1"/>
    <s v="DK2_Large_PHH"/>
    <x v="4"/>
    <n v="6.3500778790389401"/>
    <n v="1.76391052195526"/>
  </r>
  <r>
    <x v="0"/>
    <x v="28"/>
    <x v="0"/>
    <x v="1"/>
    <s v="DK2_Large_PHH"/>
    <x v="5"/>
    <n v="6.3500778790389401"/>
    <n v="1.76391052195526"/>
  </r>
  <r>
    <x v="0"/>
    <x v="28"/>
    <x v="0"/>
    <x v="1"/>
    <s v="DK2_Large_PHH"/>
    <x v="6"/>
    <n v="29.476231795214598"/>
    <n v="8.1878421653373898"/>
  </r>
  <r>
    <x v="0"/>
    <x v="28"/>
    <x v="0"/>
    <x v="1"/>
    <s v="DK2_Large_PHH"/>
    <x v="7"/>
    <n v="57.838935220261199"/>
    <n v="16.066370894517"/>
  </r>
  <r>
    <x v="0"/>
    <x v="28"/>
    <x v="0"/>
    <x v="1"/>
    <s v="DK2_Large_PHH"/>
    <x v="8"/>
    <n v="57.838935220261199"/>
    <n v="16.066370894517"/>
  </r>
  <r>
    <x v="0"/>
    <x v="28"/>
    <x v="0"/>
    <x v="1"/>
    <s v="DK2_Large_PHH"/>
    <x v="9"/>
    <n v="44.4505451532725"/>
    <n v="12.3473736536868"/>
  </r>
  <r>
    <x v="0"/>
    <x v="28"/>
    <x v="0"/>
    <x v="1"/>
    <s v="DK2_Large_PHH"/>
    <x v="10"/>
    <n v="53.975661971830903"/>
    <n v="14.993239436619699"/>
  </r>
  <r>
    <x v="0"/>
    <x v="28"/>
    <x v="0"/>
    <x v="1"/>
    <s v="DK2_Large_PHH"/>
    <x v="11"/>
    <n v="3.8806031483015802"/>
    <n v="1.07794531897266"/>
  </r>
  <r>
    <x v="0"/>
    <x v="28"/>
    <x v="0"/>
    <x v="1"/>
    <s v="DK2_Large_PHH"/>
    <x v="12"/>
    <n v="9.7995028997514597E-2"/>
    <n v="2.72208413881985E-2"/>
  </r>
  <r>
    <x v="0"/>
    <x v="28"/>
    <x v="0"/>
    <x v="1"/>
    <s v="DK2_Large_PHH"/>
    <x v="13"/>
    <n v="29.633696768848399"/>
    <n v="8.2315824357912195"/>
  </r>
  <r>
    <x v="0"/>
    <x v="28"/>
    <x v="0"/>
    <x v="1"/>
    <s v="DK2_Large_PHH"/>
    <x v="14"/>
    <n v="29.633696768848399"/>
    <n v="8.2315824357912195"/>
  </r>
  <r>
    <x v="0"/>
    <x v="28"/>
    <x v="0"/>
    <x v="1"/>
    <s v="DK2_Large_PHH"/>
    <x v="15"/>
    <n v="1.65807589063794"/>
    <n v="0.46057663628831802"/>
  </r>
  <r>
    <x v="0"/>
    <x v="28"/>
    <x v="0"/>
    <x v="1"/>
    <s v="DK2_Large_PHH"/>
    <x v="16"/>
    <n v="6.5458675795335104"/>
    <n v="1.81829654987042"/>
  </r>
  <r>
    <x v="0"/>
    <x v="28"/>
    <x v="0"/>
    <x v="1"/>
    <s v="DK2_Large_PHH"/>
    <x v="17"/>
    <n v="9.1244895875632395"/>
    <n v="2.5345804409897901"/>
  </r>
  <r>
    <x v="0"/>
    <x v="28"/>
    <x v="0"/>
    <x v="1"/>
    <s v="DK2_Large_PHH"/>
    <x v="18"/>
    <n v="29.633696768848399"/>
    <n v="8.2315824357912195"/>
  </r>
  <r>
    <x v="0"/>
    <x v="28"/>
    <x v="0"/>
    <x v="1"/>
    <s v="DK2_Large_PHH"/>
    <x v="19"/>
    <n v="8.1139884009941898"/>
    <n v="2.2538856669428302"/>
  </r>
  <r>
    <x v="0"/>
    <x v="28"/>
    <x v="0"/>
    <x v="1"/>
    <s v="DK2_Large_PHH"/>
    <x v="20"/>
    <n v="22.109183021311601"/>
    <n v="6.1414397281420996"/>
  </r>
  <r>
    <x v="0"/>
    <x v="28"/>
    <x v="0"/>
    <x v="1"/>
    <s v="DK2_Large_PHH"/>
    <x v="21"/>
    <n v="48.24"/>
    <n v="13.4"/>
  </r>
  <r>
    <x v="0"/>
    <x v="28"/>
    <x v="0"/>
    <x v="1"/>
    <s v="DK2_Large_PHH"/>
    <x v="22"/>
    <n v="67.680000000000007"/>
    <n v="18.8"/>
  </r>
  <r>
    <x v="0"/>
    <x v="28"/>
    <x v="0"/>
    <x v="1"/>
    <s v="DK2_Large_PHH"/>
    <x v="23"/>
    <n v="0.31515896120488701"/>
    <n v="8.7544155890246306E-2"/>
  </r>
  <r>
    <x v="0"/>
    <x v="28"/>
    <x v="0"/>
    <x v="1"/>
    <s v="DK2_Large_PHH"/>
    <x v="24"/>
    <n v="19.174223581093901"/>
    <n v="5.32617321697054"/>
  </r>
  <r>
    <x v="0"/>
    <x v="28"/>
    <x v="0"/>
    <x v="1"/>
    <s v="DK2_Large_PHH"/>
    <x v="25"/>
    <n v="26.209507293842599"/>
    <n v="7.2804186927340497"/>
  </r>
  <r>
    <x v="0"/>
    <x v="28"/>
    <x v="0"/>
    <x v="1"/>
    <s v="DK2_Large_PHH"/>
    <x v="26"/>
    <n v="33.320887798496699"/>
    <n v="9.2558021662490795"/>
  </r>
  <r>
    <x v="0"/>
    <x v="28"/>
    <x v="0"/>
    <x v="1"/>
    <s v="DK2_Large_PHH"/>
    <x v="27"/>
    <n v="20.163995508318798"/>
    <n v="5.6011098634218799"/>
  </r>
  <r>
    <x v="0"/>
    <x v="28"/>
    <x v="0"/>
    <x v="1"/>
    <s v="DK2_Large_PHL"/>
    <x v="1"/>
    <n v="35.989199999999997"/>
    <n v="9.9969999999999999"/>
  </r>
  <r>
    <x v="0"/>
    <x v="28"/>
    <x v="0"/>
    <x v="1"/>
    <s v="DK2_Large_PHL"/>
    <x v="2"/>
    <n v="46.08"/>
    <n v="12.8"/>
  </r>
  <r>
    <x v="0"/>
    <x v="28"/>
    <x v="0"/>
    <x v="1"/>
    <s v="DK2_Large_PHL"/>
    <x v="0"/>
    <n v="42.692399999999999"/>
    <n v="11.859"/>
  </r>
  <r>
    <x v="0"/>
    <x v="28"/>
    <x v="0"/>
    <x v="1"/>
    <s v="DK2_Large_PHL"/>
    <x v="3"/>
    <n v="51.633543144067197"/>
    <n v="14.342650873352"/>
  </r>
  <r>
    <x v="0"/>
    <x v="28"/>
    <x v="0"/>
    <x v="1"/>
    <s v="DK2_Large_PHL"/>
    <x v="4"/>
    <n v="6.3500778790389401"/>
    <n v="1.76391052195526"/>
  </r>
  <r>
    <x v="0"/>
    <x v="28"/>
    <x v="0"/>
    <x v="1"/>
    <s v="DK2_Large_PHL"/>
    <x v="5"/>
    <n v="6.3500778790389401"/>
    <n v="1.76391052195526"/>
  </r>
  <r>
    <x v="0"/>
    <x v="28"/>
    <x v="0"/>
    <x v="1"/>
    <s v="DK2_Large_PHL"/>
    <x v="6"/>
    <n v="29.476231795214598"/>
    <n v="8.1878421653373898"/>
  </r>
  <r>
    <x v="0"/>
    <x v="28"/>
    <x v="0"/>
    <x v="1"/>
    <s v="DK2_Large_PHL"/>
    <x v="7"/>
    <n v="57.838935220261199"/>
    <n v="16.066370894517"/>
  </r>
  <r>
    <x v="0"/>
    <x v="28"/>
    <x v="0"/>
    <x v="1"/>
    <s v="DK2_Large_PHL"/>
    <x v="8"/>
    <n v="57.838935220261199"/>
    <n v="16.066370894517"/>
  </r>
  <r>
    <x v="0"/>
    <x v="28"/>
    <x v="0"/>
    <x v="1"/>
    <s v="DK2_Large_PHL"/>
    <x v="9"/>
    <n v="44.4505451532725"/>
    <n v="12.3473736536868"/>
  </r>
  <r>
    <x v="0"/>
    <x v="28"/>
    <x v="0"/>
    <x v="1"/>
    <s v="DK2_Large_PHL"/>
    <x v="10"/>
    <n v="53.975661971830903"/>
    <n v="14.993239436619699"/>
  </r>
  <r>
    <x v="0"/>
    <x v="28"/>
    <x v="0"/>
    <x v="1"/>
    <s v="DK2_Large_PHL"/>
    <x v="11"/>
    <n v="3.8806031483015802"/>
    <n v="1.07794531897266"/>
  </r>
  <r>
    <x v="0"/>
    <x v="28"/>
    <x v="0"/>
    <x v="1"/>
    <s v="DK2_Large_PHL"/>
    <x v="12"/>
    <n v="9.7995028997514597E-2"/>
    <n v="2.72208413881985E-2"/>
  </r>
  <r>
    <x v="0"/>
    <x v="28"/>
    <x v="0"/>
    <x v="1"/>
    <s v="DK2_Large_PHL"/>
    <x v="13"/>
    <n v="29.633696768848399"/>
    <n v="8.2315824357912195"/>
  </r>
  <r>
    <x v="0"/>
    <x v="28"/>
    <x v="0"/>
    <x v="1"/>
    <s v="DK2_Large_PHL"/>
    <x v="14"/>
    <n v="29.633696768848399"/>
    <n v="8.2315824357912195"/>
  </r>
  <r>
    <x v="0"/>
    <x v="28"/>
    <x v="0"/>
    <x v="1"/>
    <s v="DK2_Large_PHL"/>
    <x v="15"/>
    <n v="1.65807589063794"/>
    <n v="0.46057663628831802"/>
  </r>
  <r>
    <x v="0"/>
    <x v="28"/>
    <x v="0"/>
    <x v="1"/>
    <s v="DK2_Large_PHL"/>
    <x v="16"/>
    <n v="6.5458675795335104"/>
    <n v="1.81829654987042"/>
  </r>
  <r>
    <x v="0"/>
    <x v="28"/>
    <x v="0"/>
    <x v="1"/>
    <s v="DK2_Large_PHL"/>
    <x v="17"/>
    <n v="9.1244895875632395"/>
    <n v="2.5345804409897901"/>
  </r>
  <r>
    <x v="0"/>
    <x v="28"/>
    <x v="0"/>
    <x v="1"/>
    <s v="DK2_Large_PHL"/>
    <x v="18"/>
    <n v="29.633696768848399"/>
    <n v="8.2315824357912195"/>
  </r>
  <r>
    <x v="0"/>
    <x v="28"/>
    <x v="0"/>
    <x v="1"/>
    <s v="DK2_Large_PHL"/>
    <x v="19"/>
    <n v="8.1139884009941898"/>
    <n v="2.2538856669428302"/>
  </r>
  <r>
    <x v="0"/>
    <x v="28"/>
    <x v="0"/>
    <x v="1"/>
    <s v="DK2_Large_PHL"/>
    <x v="20"/>
    <n v="22.109183021311601"/>
    <n v="6.1414397281420996"/>
  </r>
  <r>
    <x v="0"/>
    <x v="28"/>
    <x v="0"/>
    <x v="1"/>
    <s v="DK2_Large_PHL"/>
    <x v="21"/>
    <n v="48.24"/>
    <n v="13.4"/>
  </r>
  <r>
    <x v="0"/>
    <x v="28"/>
    <x v="0"/>
    <x v="1"/>
    <s v="DK2_Large_PHL"/>
    <x v="22"/>
    <n v="67.680000000000007"/>
    <n v="18.8"/>
  </r>
  <r>
    <x v="0"/>
    <x v="28"/>
    <x v="0"/>
    <x v="1"/>
    <s v="DK2_Large_PHL"/>
    <x v="23"/>
    <n v="0.31515896120488701"/>
    <n v="8.7544155890246306E-2"/>
  </r>
  <r>
    <x v="0"/>
    <x v="28"/>
    <x v="0"/>
    <x v="1"/>
    <s v="DK2_Large_PHL"/>
    <x v="24"/>
    <n v="19.174223581093901"/>
    <n v="5.32617321697054"/>
  </r>
  <r>
    <x v="0"/>
    <x v="28"/>
    <x v="0"/>
    <x v="1"/>
    <s v="DK2_Large_PHL"/>
    <x v="25"/>
    <n v="26.209507293842599"/>
    <n v="7.2804186927340497"/>
  </r>
  <r>
    <x v="0"/>
    <x v="28"/>
    <x v="0"/>
    <x v="1"/>
    <s v="DK2_Large_PHL"/>
    <x v="26"/>
    <n v="33.320887798496699"/>
    <n v="9.2558021662490795"/>
  </r>
  <r>
    <x v="0"/>
    <x v="28"/>
    <x v="0"/>
    <x v="1"/>
    <s v="DK2_Large_PHL"/>
    <x v="27"/>
    <n v="20.163995508318798"/>
    <n v="5.6011098634218799"/>
  </r>
  <r>
    <x v="0"/>
    <x v="28"/>
    <x v="0"/>
    <x v="1"/>
    <s v="DK2_MedSmall"/>
    <x v="1"/>
    <n v="35.989199999999997"/>
    <n v="9.9969999999999999"/>
  </r>
  <r>
    <x v="0"/>
    <x v="28"/>
    <x v="0"/>
    <x v="1"/>
    <s v="DK2_MedSmall"/>
    <x v="2"/>
    <n v="46.08"/>
    <n v="12.8"/>
  </r>
  <r>
    <x v="0"/>
    <x v="28"/>
    <x v="0"/>
    <x v="1"/>
    <s v="DK2_MedSmall"/>
    <x v="0"/>
    <n v="42.692399999999999"/>
    <n v="11.859"/>
  </r>
  <r>
    <x v="0"/>
    <x v="28"/>
    <x v="0"/>
    <x v="1"/>
    <s v="DK2_MedSmall"/>
    <x v="3"/>
    <n v="51.633543144067197"/>
    <n v="14.342650873352"/>
  </r>
  <r>
    <x v="0"/>
    <x v="28"/>
    <x v="0"/>
    <x v="1"/>
    <s v="DK2_MedSmall"/>
    <x v="4"/>
    <n v="6.3500778790389401"/>
    <n v="1.76391052195526"/>
  </r>
  <r>
    <x v="0"/>
    <x v="28"/>
    <x v="0"/>
    <x v="1"/>
    <s v="DK2_MedSmall"/>
    <x v="5"/>
    <n v="6.3500778790389401"/>
    <n v="1.76391052195526"/>
  </r>
  <r>
    <x v="0"/>
    <x v="28"/>
    <x v="0"/>
    <x v="1"/>
    <s v="DK2_MedSmall"/>
    <x v="6"/>
    <n v="29.476231795214598"/>
    <n v="8.1878421653373898"/>
  </r>
  <r>
    <x v="0"/>
    <x v="28"/>
    <x v="0"/>
    <x v="1"/>
    <s v="DK2_MedSmall"/>
    <x v="7"/>
    <n v="57.838935220261199"/>
    <n v="16.066370894517"/>
  </r>
  <r>
    <x v="0"/>
    <x v="28"/>
    <x v="0"/>
    <x v="1"/>
    <s v="DK2_MedSmall"/>
    <x v="8"/>
    <n v="57.838935220261199"/>
    <n v="16.066370894517"/>
  </r>
  <r>
    <x v="0"/>
    <x v="28"/>
    <x v="0"/>
    <x v="1"/>
    <s v="DK2_MedSmall"/>
    <x v="9"/>
    <n v="44.4505451532725"/>
    <n v="12.3473736536868"/>
  </r>
  <r>
    <x v="0"/>
    <x v="28"/>
    <x v="0"/>
    <x v="1"/>
    <s v="DK2_MedSmall"/>
    <x v="10"/>
    <n v="53.975661971830903"/>
    <n v="14.993239436619699"/>
  </r>
  <r>
    <x v="0"/>
    <x v="28"/>
    <x v="0"/>
    <x v="1"/>
    <s v="DK2_MedSmall"/>
    <x v="11"/>
    <n v="3.8806031483015802"/>
    <n v="1.07794531897266"/>
  </r>
  <r>
    <x v="0"/>
    <x v="28"/>
    <x v="0"/>
    <x v="1"/>
    <s v="DK2_MedSmall"/>
    <x v="12"/>
    <n v="9.7995028997514597E-2"/>
    <n v="2.72208413881985E-2"/>
  </r>
  <r>
    <x v="0"/>
    <x v="28"/>
    <x v="0"/>
    <x v="1"/>
    <s v="DK2_MedSmall"/>
    <x v="13"/>
    <n v="29.633696768848399"/>
    <n v="8.2315824357912195"/>
  </r>
  <r>
    <x v="0"/>
    <x v="28"/>
    <x v="0"/>
    <x v="1"/>
    <s v="DK2_MedSmall"/>
    <x v="14"/>
    <n v="29.633696768848399"/>
    <n v="8.2315824357912195"/>
  </r>
  <r>
    <x v="0"/>
    <x v="28"/>
    <x v="0"/>
    <x v="1"/>
    <s v="DK2_MedSmall"/>
    <x v="15"/>
    <n v="1.65807589063794"/>
    <n v="0.46057663628831802"/>
  </r>
  <r>
    <x v="0"/>
    <x v="28"/>
    <x v="0"/>
    <x v="1"/>
    <s v="DK2_MedSmall"/>
    <x v="16"/>
    <n v="6.5458675795335104"/>
    <n v="1.81829654987042"/>
  </r>
  <r>
    <x v="0"/>
    <x v="28"/>
    <x v="0"/>
    <x v="1"/>
    <s v="DK2_MedSmall"/>
    <x v="17"/>
    <n v="9.1244895875632395"/>
    <n v="2.5345804409897901"/>
  </r>
  <r>
    <x v="0"/>
    <x v="28"/>
    <x v="0"/>
    <x v="1"/>
    <s v="DK2_MedSmall"/>
    <x v="18"/>
    <n v="29.633696768848399"/>
    <n v="8.2315824357912195"/>
  </r>
  <r>
    <x v="0"/>
    <x v="28"/>
    <x v="0"/>
    <x v="1"/>
    <s v="DK2_MedSmall"/>
    <x v="19"/>
    <n v="8.1139884009941898"/>
    <n v="2.2538856669428302"/>
  </r>
  <r>
    <x v="0"/>
    <x v="28"/>
    <x v="0"/>
    <x v="1"/>
    <s v="DK2_MedSmall"/>
    <x v="20"/>
    <n v="22.109183021311601"/>
    <n v="6.1414397281420996"/>
  </r>
  <r>
    <x v="0"/>
    <x v="28"/>
    <x v="0"/>
    <x v="1"/>
    <s v="DK2_MedSmall"/>
    <x v="21"/>
    <n v="48.24"/>
    <n v="13.4"/>
  </r>
  <r>
    <x v="0"/>
    <x v="28"/>
    <x v="0"/>
    <x v="1"/>
    <s v="DK2_MedSmall"/>
    <x v="22"/>
    <n v="67.680000000000007"/>
    <n v="18.8"/>
  </r>
  <r>
    <x v="0"/>
    <x v="28"/>
    <x v="0"/>
    <x v="1"/>
    <s v="DK2_MedSmall"/>
    <x v="23"/>
    <n v="0.31515896120488701"/>
    <n v="8.7544155890246306E-2"/>
  </r>
  <r>
    <x v="0"/>
    <x v="28"/>
    <x v="0"/>
    <x v="1"/>
    <s v="DK2_MedSmall"/>
    <x v="24"/>
    <n v="19.174223581093901"/>
    <n v="5.32617321697054"/>
  </r>
  <r>
    <x v="0"/>
    <x v="28"/>
    <x v="0"/>
    <x v="1"/>
    <s v="DK2_MedSmall"/>
    <x v="25"/>
    <n v="26.209507293842599"/>
    <n v="7.2804186927340497"/>
  </r>
  <r>
    <x v="0"/>
    <x v="28"/>
    <x v="0"/>
    <x v="1"/>
    <s v="DK2_MedSmall"/>
    <x v="26"/>
    <n v="33.320887798496699"/>
    <n v="9.2558021662490795"/>
  </r>
  <r>
    <x v="0"/>
    <x v="28"/>
    <x v="0"/>
    <x v="1"/>
    <s v="DK2_MedSmall"/>
    <x v="27"/>
    <n v="20.163995508318798"/>
    <n v="5.6011098634218799"/>
  </r>
  <r>
    <x v="0"/>
    <x v="28"/>
    <x v="0"/>
    <x v="1"/>
    <s v="DK2_Medium"/>
    <x v="1"/>
    <n v="35.989199999999997"/>
    <n v="9.9969999999999999"/>
  </r>
  <r>
    <x v="0"/>
    <x v="28"/>
    <x v="0"/>
    <x v="1"/>
    <s v="DK2_Medium"/>
    <x v="2"/>
    <n v="46.08"/>
    <n v="12.8"/>
  </r>
  <r>
    <x v="0"/>
    <x v="28"/>
    <x v="0"/>
    <x v="1"/>
    <s v="DK2_Medium"/>
    <x v="0"/>
    <n v="42.692399999999999"/>
    <n v="11.859"/>
  </r>
  <r>
    <x v="0"/>
    <x v="28"/>
    <x v="0"/>
    <x v="1"/>
    <s v="DK2_Medium"/>
    <x v="3"/>
    <n v="51.633543144067197"/>
    <n v="14.342650873352"/>
  </r>
  <r>
    <x v="0"/>
    <x v="28"/>
    <x v="0"/>
    <x v="1"/>
    <s v="DK2_Medium"/>
    <x v="4"/>
    <n v="6.3500778790389401"/>
    <n v="1.76391052195526"/>
  </r>
  <r>
    <x v="0"/>
    <x v="28"/>
    <x v="0"/>
    <x v="1"/>
    <s v="DK2_Medium"/>
    <x v="5"/>
    <n v="6.3500778790389401"/>
    <n v="1.76391052195526"/>
  </r>
  <r>
    <x v="0"/>
    <x v="28"/>
    <x v="0"/>
    <x v="1"/>
    <s v="DK2_Medium"/>
    <x v="6"/>
    <n v="29.476231795214598"/>
    <n v="8.1878421653373898"/>
  </r>
  <r>
    <x v="0"/>
    <x v="28"/>
    <x v="0"/>
    <x v="1"/>
    <s v="DK2_Medium"/>
    <x v="7"/>
    <n v="57.838935220261199"/>
    <n v="16.066370894517"/>
  </r>
  <r>
    <x v="0"/>
    <x v="28"/>
    <x v="0"/>
    <x v="1"/>
    <s v="DK2_Medium"/>
    <x v="8"/>
    <n v="57.838935220261199"/>
    <n v="16.066370894517"/>
  </r>
  <r>
    <x v="0"/>
    <x v="28"/>
    <x v="0"/>
    <x v="1"/>
    <s v="DK2_Medium"/>
    <x v="9"/>
    <n v="44.4505451532725"/>
    <n v="12.3473736536868"/>
  </r>
  <r>
    <x v="0"/>
    <x v="28"/>
    <x v="0"/>
    <x v="1"/>
    <s v="DK2_Medium"/>
    <x v="10"/>
    <n v="53.975661971830903"/>
    <n v="14.993239436619699"/>
  </r>
  <r>
    <x v="0"/>
    <x v="28"/>
    <x v="0"/>
    <x v="1"/>
    <s v="DK2_Medium"/>
    <x v="11"/>
    <n v="3.8806031483015802"/>
    <n v="1.07794531897266"/>
  </r>
  <r>
    <x v="0"/>
    <x v="28"/>
    <x v="0"/>
    <x v="1"/>
    <s v="DK2_Medium"/>
    <x v="12"/>
    <n v="9.7995028997514597E-2"/>
    <n v="2.72208413881985E-2"/>
  </r>
  <r>
    <x v="0"/>
    <x v="28"/>
    <x v="0"/>
    <x v="1"/>
    <s v="DK2_Medium"/>
    <x v="13"/>
    <n v="29.633696768848399"/>
    <n v="8.2315824357912195"/>
  </r>
  <r>
    <x v="0"/>
    <x v="28"/>
    <x v="0"/>
    <x v="1"/>
    <s v="DK2_Medium"/>
    <x v="14"/>
    <n v="29.633696768848399"/>
    <n v="8.2315824357912195"/>
  </r>
  <r>
    <x v="0"/>
    <x v="28"/>
    <x v="0"/>
    <x v="1"/>
    <s v="DK2_Medium"/>
    <x v="15"/>
    <n v="1.65807589063794"/>
    <n v="0.46057663628831802"/>
  </r>
  <r>
    <x v="0"/>
    <x v="28"/>
    <x v="0"/>
    <x v="1"/>
    <s v="DK2_Medium"/>
    <x v="16"/>
    <n v="6.5458675795335104"/>
    <n v="1.81829654987042"/>
  </r>
  <r>
    <x v="0"/>
    <x v="28"/>
    <x v="0"/>
    <x v="1"/>
    <s v="DK2_Medium"/>
    <x v="17"/>
    <n v="9.1244895875632395"/>
    <n v="2.5345804409897901"/>
  </r>
  <r>
    <x v="0"/>
    <x v="28"/>
    <x v="0"/>
    <x v="1"/>
    <s v="DK2_Medium"/>
    <x v="18"/>
    <n v="29.633696768848399"/>
    <n v="8.2315824357912195"/>
  </r>
  <r>
    <x v="0"/>
    <x v="28"/>
    <x v="0"/>
    <x v="1"/>
    <s v="DK2_Medium"/>
    <x v="19"/>
    <n v="8.1139884009941898"/>
    <n v="2.2538856669428302"/>
  </r>
  <r>
    <x v="0"/>
    <x v="28"/>
    <x v="0"/>
    <x v="1"/>
    <s v="DK2_Medium"/>
    <x v="20"/>
    <n v="22.109183021311601"/>
    <n v="6.1414397281420996"/>
  </r>
  <r>
    <x v="0"/>
    <x v="28"/>
    <x v="0"/>
    <x v="1"/>
    <s v="DK2_Medium"/>
    <x v="21"/>
    <n v="48.24"/>
    <n v="13.4"/>
  </r>
  <r>
    <x v="0"/>
    <x v="28"/>
    <x v="0"/>
    <x v="1"/>
    <s v="DK2_Medium"/>
    <x v="22"/>
    <n v="67.680000000000007"/>
    <n v="18.8"/>
  </r>
  <r>
    <x v="0"/>
    <x v="28"/>
    <x v="0"/>
    <x v="1"/>
    <s v="DK2_Medium"/>
    <x v="23"/>
    <n v="0.31515896120488701"/>
    <n v="8.7544155890246306E-2"/>
  </r>
  <r>
    <x v="0"/>
    <x v="28"/>
    <x v="0"/>
    <x v="1"/>
    <s v="DK2_Medium"/>
    <x v="24"/>
    <n v="19.174223581093901"/>
    <n v="5.32617321697054"/>
  </r>
  <r>
    <x v="0"/>
    <x v="28"/>
    <x v="0"/>
    <x v="1"/>
    <s v="DK2_Medium"/>
    <x v="25"/>
    <n v="26.209507293842599"/>
    <n v="7.2804186927340497"/>
  </r>
  <r>
    <x v="0"/>
    <x v="28"/>
    <x v="0"/>
    <x v="1"/>
    <s v="DK2_Medium"/>
    <x v="26"/>
    <n v="33.320887798496699"/>
    <n v="9.2558021662490795"/>
  </r>
  <r>
    <x v="0"/>
    <x v="28"/>
    <x v="0"/>
    <x v="1"/>
    <s v="DK2_Medium"/>
    <x v="27"/>
    <n v="20.163995508318798"/>
    <n v="5.6011098634218799"/>
  </r>
  <r>
    <x v="0"/>
    <x v="28"/>
    <x v="0"/>
    <x v="1"/>
    <s v="DK2_NoDH"/>
    <x v="1"/>
    <n v="35.989199999999997"/>
    <n v="9.9969999999999999"/>
  </r>
  <r>
    <x v="0"/>
    <x v="28"/>
    <x v="0"/>
    <x v="1"/>
    <s v="DK2_NoDH"/>
    <x v="2"/>
    <n v="46.08"/>
    <n v="12.8"/>
  </r>
  <r>
    <x v="0"/>
    <x v="28"/>
    <x v="0"/>
    <x v="1"/>
    <s v="DK2_NoDH"/>
    <x v="0"/>
    <n v="42.692399999999999"/>
    <n v="11.859"/>
  </r>
  <r>
    <x v="0"/>
    <x v="28"/>
    <x v="0"/>
    <x v="1"/>
    <s v="DK2_NoDH"/>
    <x v="3"/>
    <n v="51.633543144067197"/>
    <n v="14.342650873352"/>
  </r>
  <r>
    <x v="0"/>
    <x v="28"/>
    <x v="0"/>
    <x v="1"/>
    <s v="DK2_NoDH"/>
    <x v="4"/>
    <n v="6.3500778790389401"/>
    <n v="1.76391052195526"/>
  </r>
  <r>
    <x v="0"/>
    <x v="28"/>
    <x v="0"/>
    <x v="1"/>
    <s v="DK2_NoDH"/>
    <x v="5"/>
    <n v="6.3500778790389401"/>
    <n v="1.76391052195526"/>
  </r>
  <r>
    <x v="0"/>
    <x v="28"/>
    <x v="0"/>
    <x v="1"/>
    <s v="DK2_NoDH"/>
    <x v="6"/>
    <n v="29.476231795214598"/>
    <n v="8.1878421653373898"/>
  </r>
  <r>
    <x v="0"/>
    <x v="28"/>
    <x v="0"/>
    <x v="1"/>
    <s v="DK2_NoDH"/>
    <x v="7"/>
    <n v="57.838935220261199"/>
    <n v="16.066370894517"/>
  </r>
  <r>
    <x v="0"/>
    <x v="28"/>
    <x v="0"/>
    <x v="1"/>
    <s v="DK2_NoDH"/>
    <x v="8"/>
    <n v="57.838935220261199"/>
    <n v="16.066370894517"/>
  </r>
  <r>
    <x v="0"/>
    <x v="28"/>
    <x v="0"/>
    <x v="1"/>
    <s v="DK2_NoDH"/>
    <x v="9"/>
    <n v="44.4505451532725"/>
    <n v="12.3473736536868"/>
  </r>
  <r>
    <x v="0"/>
    <x v="28"/>
    <x v="0"/>
    <x v="1"/>
    <s v="DK2_NoDH"/>
    <x v="10"/>
    <n v="53.975661971830903"/>
    <n v="14.993239436619699"/>
  </r>
  <r>
    <x v="0"/>
    <x v="28"/>
    <x v="0"/>
    <x v="1"/>
    <s v="DK2_NoDH"/>
    <x v="11"/>
    <n v="3.8806031483015802"/>
    <n v="1.07794531897266"/>
  </r>
  <r>
    <x v="0"/>
    <x v="28"/>
    <x v="0"/>
    <x v="1"/>
    <s v="DK2_NoDH"/>
    <x v="12"/>
    <n v="9.7995028997514597E-2"/>
    <n v="2.72208413881985E-2"/>
  </r>
  <r>
    <x v="0"/>
    <x v="28"/>
    <x v="0"/>
    <x v="1"/>
    <s v="DK2_NoDH"/>
    <x v="13"/>
    <n v="29.633696768848399"/>
    <n v="8.2315824357912195"/>
  </r>
  <r>
    <x v="0"/>
    <x v="28"/>
    <x v="0"/>
    <x v="1"/>
    <s v="DK2_NoDH"/>
    <x v="14"/>
    <n v="29.633696768848399"/>
    <n v="8.2315824357912195"/>
  </r>
  <r>
    <x v="0"/>
    <x v="28"/>
    <x v="0"/>
    <x v="1"/>
    <s v="DK2_NoDH"/>
    <x v="15"/>
    <n v="1.65807589063794"/>
    <n v="0.46057663628831802"/>
  </r>
  <r>
    <x v="0"/>
    <x v="28"/>
    <x v="0"/>
    <x v="1"/>
    <s v="DK2_NoDH"/>
    <x v="16"/>
    <n v="6.5458675795335104"/>
    <n v="1.81829654987042"/>
  </r>
  <r>
    <x v="0"/>
    <x v="28"/>
    <x v="0"/>
    <x v="1"/>
    <s v="DK2_NoDH"/>
    <x v="17"/>
    <n v="9.1244895875632395"/>
    <n v="2.5345804409897901"/>
  </r>
  <r>
    <x v="0"/>
    <x v="28"/>
    <x v="0"/>
    <x v="1"/>
    <s v="DK2_NoDH"/>
    <x v="18"/>
    <n v="29.633696768848399"/>
    <n v="8.2315824357912195"/>
  </r>
  <r>
    <x v="0"/>
    <x v="28"/>
    <x v="0"/>
    <x v="1"/>
    <s v="DK2_NoDH"/>
    <x v="19"/>
    <n v="8.1139884009941898"/>
    <n v="2.2538856669428302"/>
  </r>
  <r>
    <x v="0"/>
    <x v="28"/>
    <x v="0"/>
    <x v="1"/>
    <s v="DK2_NoDH"/>
    <x v="20"/>
    <n v="22.109183021311601"/>
    <n v="6.1414397281420996"/>
  </r>
  <r>
    <x v="0"/>
    <x v="28"/>
    <x v="0"/>
    <x v="1"/>
    <s v="DK2_NoDH"/>
    <x v="21"/>
    <n v="48.24"/>
    <n v="13.4"/>
  </r>
  <r>
    <x v="0"/>
    <x v="28"/>
    <x v="0"/>
    <x v="1"/>
    <s v="DK2_NoDH"/>
    <x v="22"/>
    <n v="67.680000000000007"/>
    <n v="18.8"/>
  </r>
  <r>
    <x v="0"/>
    <x v="28"/>
    <x v="0"/>
    <x v="1"/>
    <s v="DK2_NoDH"/>
    <x v="23"/>
    <n v="0.31515896120488701"/>
    <n v="8.7544155890246306E-2"/>
  </r>
  <r>
    <x v="0"/>
    <x v="28"/>
    <x v="0"/>
    <x v="1"/>
    <s v="DK2_NoDH"/>
    <x v="24"/>
    <n v="19.174223581093901"/>
    <n v="5.32617321697054"/>
  </r>
  <r>
    <x v="0"/>
    <x v="28"/>
    <x v="0"/>
    <x v="1"/>
    <s v="DK2_NoDH"/>
    <x v="25"/>
    <n v="26.209507293842599"/>
    <n v="7.2804186927340497"/>
  </r>
  <r>
    <x v="0"/>
    <x v="28"/>
    <x v="0"/>
    <x v="1"/>
    <s v="DK2_NoDH"/>
    <x v="26"/>
    <n v="33.320887798496699"/>
    <n v="9.2558021662490795"/>
  </r>
  <r>
    <x v="0"/>
    <x v="28"/>
    <x v="0"/>
    <x v="1"/>
    <s v="DK2_NoDH"/>
    <x v="27"/>
    <n v="20.163995508318798"/>
    <n v="5.6011098634218799"/>
  </r>
  <r>
    <x v="0"/>
    <x v="28"/>
    <x v="0"/>
    <x v="1"/>
    <s v="DK2_NoDH_PHH"/>
    <x v="1"/>
    <n v="35.989199999999997"/>
    <n v="9.9969999999999999"/>
  </r>
  <r>
    <x v="0"/>
    <x v="28"/>
    <x v="0"/>
    <x v="1"/>
    <s v="DK2_NoDH_PHH"/>
    <x v="2"/>
    <n v="46.08"/>
    <n v="12.8"/>
  </r>
  <r>
    <x v="0"/>
    <x v="28"/>
    <x v="0"/>
    <x v="1"/>
    <s v="DK2_NoDH_PHH"/>
    <x v="0"/>
    <n v="42.692399999999999"/>
    <n v="11.859"/>
  </r>
  <r>
    <x v="0"/>
    <x v="28"/>
    <x v="0"/>
    <x v="1"/>
    <s v="DK2_NoDH_PHH"/>
    <x v="3"/>
    <n v="51.633543144067197"/>
    <n v="14.342650873352"/>
  </r>
  <r>
    <x v="0"/>
    <x v="28"/>
    <x v="0"/>
    <x v="1"/>
    <s v="DK2_NoDH_PHH"/>
    <x v="4"/>
    <n v="6.3500778790389401"/>
    <n v="1.76391052195526"/>
  </r>
  <r>
    <x v="0"/>
    <x v="28"/>
    <x v="0"/>
    <x v="1"/>
    <s v="DK2_NoDH_PHH"/>
    <x v="5"/>
    <n v="6.3500778790389401"/>
    <n v="1.76391052195526"/>
  </r>
  <r>
    <x v="0"/>
    <x v="28"/>
    <x v="0"/>
    <x v="1"/>
    <s v="DK2_NoDH_PHH"/>
    <x v="6"/>
    <n v="29.476231795214598"/>
    <n v="8.1878421653373898"/>
  </r>
  <r>
    <x v="0"/>
    <x v="28"/>
    <x v="0"/>
    <x v="1"/>
    <s v="DK2_NoDH_PHH"/>
    <x v="7"/>
    <n v="57.838935220261199"/>
    <n v="16.066370894517"/>
  </r>
  <r>
    <x v="0"/>
    <x v="28"/>
    <x v="0"/>
    <x v="1"/>
    <s v="DK2_NoDH_PHH"/>
    <x v="8"/>
    <n v="57.838935220261199"/>
    <n v="16.066370894517"/>
  </r>
  <r>
    <x v="0"/>
    <x v="28"/>
    <x v="0"/>
    <x v="1"/>
    <s v="DK2_NoDH_PHH"/>
    <x v="9"/>
    <n v="44.4505451532725"/>
    <n v="12.3473736536868"/>
  </r>
  <r>
    <x v="0"/>
    <x v="28"/>
    <x v="0"/>
    <x v="1"/>
    <s v="DK2_NoDH_PHH"/>
    <x v="10"/>
    <n v="53.975661971830903"/>
    <n v="14.993239436619699"/>
  </r>
  <r>
    <x v="0"/>
    <x v="28"/>
    <x v="0"/>
    <x v="1"/>
    <s v="DK2_NoDH_PHH"/>
    <x v="11"/>
    <n v="3.8806031483015802"/>
    <n v="1.07794531897266"/>
  </r>
  <r>
    <x v="0"/>
    <x v="28"/>
    <x v="0"/>
    <x v="1"/>
    <s v="DK2_NoDH_PHH"/>
    <x v="12"/>
    <n v="9.7995028997514597E-2"/>
    <n v="2.72208413881985E-2"/>
  </r>
  <r>
    <x v="0"/>
    <x v="28"/>
    <x v="0"/>
    <x v="1"/>
    <s v="DK2_NoDH_PHH"/>
    <x v="13"/>
    <n v="29.633696768848399"/>
    <n v="8.2315824357912195"/>
  </r>
  <r>
    <x v="0"/>
    <x v="28"/>
    <x v="0"/>
    <x v="1"/>
    <s v="DK2_NoDH_PHH"/>
    <x v="14"/>
    <n v="29.633696768848399"/>
    <n v="8.2315824357912195"/>
  </r>
  <r>
    <x v="0"/>
    <x v="28"/>
    <x v="0"/>
    <x v="1"/>
    <s v="DK2_NoDH_PHH"/>
    <x v="15"/>
    <n v="1.65807589063794"/>
    <n v="0.46057663628831802"/>
  </r>
  <r>
    <x v="0"/>
    <x v="28"/>
    <x v="0"/>
    <x v="1"/>
    <s v="DK2_NoDH_PHH"/>
    <x v="16"/>
    <n v="6.5458675795335104"/>
    <n v="1.81829654987042"/>
  </r>
  <r>
    <x v="0"/>
    <x v="28"/>
    <x v="0"/>
    <x v="1"/>
    <s v="DK2_NoDH_PHH"/>
    <x v="17"/>
    <n v="9.1244895875632395"/>
    <n v="2.5345804409897901"/>
  </r>
  <r>
    <x v="0"/>
    <x v="28"/>
    <x v="0"/>
    <x v="1"/>
    <s v="DK2_NoDH_PHH"/>
    <x v="18"/>
    <n v="29.633696768848399"/>
    <n v="8.2315824357912195"/>
  </r>
  <r>
    <x v="0"/>
    <x v="28"/>
    <x v="0"/>
    <x v="1"/>
    <s v="DK2_NoDH_PHH"/>
    <x v="19"/>
    <n v="8.1139884009941898"/>
    <n v="2.2538856669428302"/>
  </r>
  <r>
    <x v="0"/>
    <x v="28"/>
    <x v="0"/>
    <x v="1"/>
    <s v="DK2_NoDH_PHH"/>
    <x v="20"/>
    <n v="22.109183021311601"/>
    <n v="6.1414397281420996"/>
  </r>
  <r>
    <x v="0"/>
    <x v="28"/>
    <x v="0"/>
    <x v="1"/>
    <s v="DK2_NoDH_PHH"/>
    <x v="21"/>
    <n v="48.24"/>
    <n v="13.4"/>
  </r>
  <r>
    <x v="0"/>
    <x v="28"/>
    <x v="0"/>
    <x v="1"/>
    <s v="DK2_NoDH_PHH"/>
    <x v="22"/>
    <n v="67.680000000000007"/>
    <n v="18.8"/>
  </r>
  <r>
    <x v="0"/>
    <x v="28"/>
    <x v="0"/>
    <x v="1"/>
    <s v="DK2_NoDH_PHH"/>
    <x v="23"/>
    <n v="0.31515896120488701"/>
    <n v="8.7544155890246306E-2"/>
  </r>
  <r>
    <x v="0"/>
    <x v="28"/>
    <x v="0"/>
    <x v="1"/>
    <s v="DK2_NoDH_PHH"/>
    <x v="24"/>
    <n v="19.174223581093901"/>
    <n v="5.32617321697054"/>
  </r>
  <r>
    <x v="0"/>
    <x v="28"/>
    <x v="0"/>
    <x v="1"/>
    <s v="DK2_NoDH_PHH"/>
    <x v="25"/>
    <n v="26.209507293842599"/>
    <n v="7.2804186927340497"/>
  </r>
  <r>
    <x v="0"/>
    <x v="28"/>
    <x v="0"/>
    <x v="1"/>
    <s v="DK2_NoDH_PHH"/>
    <x v="26"/>
    <n v="33.320887798496699"/>
    <n v="9.2558021662490795"/>
  </r>
  <r>
    <x v="0"/>
    <x v="28"/>
    <x v="0"/>
    <x v="1"/>
    <s v="DK2_NoDH_PHH"/>
    <x v="27"/>
    <n v="20.163995508318798"/>
    <n v="5.6011098634218799"/>
  </r>
  <r>
    <x v="0"/>
    <x v="28"/>
    <x v="0"/>
    <x v="1"/>
    <s v="DK2_NoDH_PHL"/>
    <x v="1"/>
    <n v="35.989199999999997"/>
    <n v="9.9969999999999999"/>
  </r>
  <r>
    <x v="0"/>
    <x v="28"/>
    <x v="0"/>
    <x v="1"/>
    <s v="DK2_NoDH_PHL"/>
    <x v="2"/>
    <n v="46.08"/>
    <n v="12.8"/>
  </r>
  <r>
    <x v="0"/>
    <x v="28"/>
    <x v="0"/>
    <x v="1"/>
    <s v="DK2_NoDH_PHL"/>
    <x v="0"/>
    <n v="42.692399999999999"/>
    <n v="11.859"/>
  </r>
  <r>
    <x v="0"/>
    <x v="28"/>
    <x v="0"/>
    <x v="1"/>
    <s v="DK2_NoDH_PHL"/>
    <x v="3"/>
    <n v="51.633543144067197"/>
    <n v="14.342650873352"/>
  </r>
  <r>
    <x v="0"/>
    <x v="28"/>
    <x v="0"/>
    <x v="1"/>
    <s v="DK2_NoDH_PHL"/>
    <x v="4"/>
    <n v="6.3500778790389401"/>
    <n v="1.76391052195526"/>
  </r>
  <r>
    <x v="0"/>
    <x v="28"/>
    <x v="0"/>
    <x v="1"/>
    <s v="DK2_NoDH_PHL"/>
    <x v="5"/>
    <n v="6.3500778790389401"/>
    <n v="1.76391052195526"/>
  </r>
  <r>
    <x v="0"/>
    <x v="28"/>
    <x v="0"/>
    <x v="1"/>
    <s v="DK2_NoDH_PHL"/>
    <x v="6"/>
    <n v="29.476231795214598"/>
    <n v="8.1878421653373898"/>
  </r>
  <r>
    <x v="0"/>
    <x v="28"/>
    <x v="0"/>
    <x v="1"/>
    <s v="DK2_NoDH_PHL"/>
    <x v="7"/>
    <n v="57.838935220261199"/>
    <n v="16.066370894517"/>
  </r>
  <r>
    <x v="0"/>
    <x v="28"/>
    <x v="0"/>
    <x v="1"/>
    <s v="DK2_NoDH_PHL"/>
    <x v="8"/>
    <n v="57.838935220261199"/>
    <n v="16.066370894517"/>
  </r>
  <r>
    <x v="0"/>
    <x v="28"/>
    <x v="0"/>
    <x v="1"/>
    <s v="DK2_NoDH_PHL"/>
    <x v="9"/>
    <n v="44.4505451532725"/>
    <n v="12.3473736536868"/>
  </r>
  <r>
    <x v="0"/>
    <x v="28"/>
    <x v="0"/>
    <x v="1"/>
    <s v="DK2_NoDH_PHL"/>
    <x v="10"/>
    <n v="53.975661971830903"/>
    <n v="14.993239436619699"/>
  </r>
  <r>
    <x v="0"/>
    <x v="28"/>
    <x v="0"/>
    <x v="1"/>
    <s v="DK2_NoDH_PHL"/>
    <x v="11"/>
    <n v="3.8806031483015802"/>
    <n v="1.07794531897266"/>
  </r>
  <r>
    <x v="0"/>
    <x v="28"/>
    <x v="0"/>
    <x v="1"/>
    <s v="DK2_NoDH_PHL"/>
    <x v="12"/>
    <n v="9.7995028997514597E-2"/>
    <n v="2.72208413881985E-2"/>
  </r>
  <r>
    <x v="0"/>
    <x v="28"/>
    <x v="0"/>
    <x v="1"/>
    <s v="DK2_NoDH_PHL"/>
    <x v="13"/>
    <n v="29.633696768848399"/>
    <n v="8.2315824357912195"/>
  </r>
  <r>
    <x v="0"/>
    <x v="28"/>
    <x v="0"/>
    <x v="1"/>
    <s v="DK2_NoDH_PHL"/>
    <x v="14"/>
    <n v="29.633696768848399"/>
    <n v="8.2315824357912195"/>
  </r>
  <r>
    <x v="0"/>
    <x v="28"/>
    <x v="0"/>
    <x v="1"/>
    <s v="DK2_NoDH_PHL"/>
    <x v="15"/>
    <n v="1.65807589063794"/>
    <n v="0.46057663628831802"/>
  </r>
  <r>
    <x v="0"/>
    <x v="28"/>
    <x v="0"/>
    <x v="1"/>
    <s v="DK2_NoDH_PHL"/>
    <x v="16"/>
    <n v="6.5458675795335104"/>
    <n v="1.81829654987042"/>
  </r>
  <r>
    <x v="0"/>
    <x v="28"/>
    <x v="0"/>
    <x v="1"/>
    <s v="DK2_NoDH_PHL"/>
    <x v="17"/>
    <n v="9.1244895875632395"/>
    <n v="2.5345804409897901"/>
  </r>
  <r>
    <x v="0"/>
    <x v="28"/>
    <x v="0"/>
    <x v="1"/>
    <s v="DK2_NoDH_PHL"/>
    <x v="18"/>
    <n v="29.633696768848399"/>
    <n v="8.2315824357912195"/>
  </r>
  <r>
    <x v="0"/>
    <x v="28"/>
    <x v="0"/>
    <x v="1"/>
    <s v="DK2_NoDH_PHL"/>
    <x v="19"/>
    <n v="8.1139884009941898"/>
    <n v="2.2538856669428302"/>
  </r>
  <r>
    <x v="0"/>
    <x v="28"/>
    <x v="0"/>
    <x v="1"/>
    <s v="DK2_NoDH_PHL"/>
    <x v="20"/>
    <n v="22.109183021311601"/>
    <n v="6.1414397281420996"/>
  </r>
  <r>
    <x v="0"/>
    <x v="28"/>
    <x v="0"/>
    <x v="1"/>
    <s v="DK2_NoDH_PHL"/>
    <x v="21"/>
    <n v="48.24"/>
    <n v="13.4"/>
  </r>
  <r>
    <x v="0"/>
    <x v="28"/>
    <x v="0"/>
    <x v="1"/>
    <s v="DK2_NoDH_PHL"/>
    <x v="22"/>
    <n v="67.680000000000007"/>
    <n v="18.8"/>
  </r>
  <r>
    <x v="0"/>
    <x v="28"/>
    <x v="0"/>
    <x v="1"/>
    <s v="DK2_NoDH_PHL"/>
    <x v="23"/>
    <n v="0.31515896120488701"/>
    <n v="8.7544155890246306E-2"/>
  </r>
  <r>
    <x v="0"/>
    <x v="28"/>
    <x v="0"/>
    <x v="1"/>
    <s v="DK2_NoDH_PHL"/>
    <x v="24"/>
    <n v="19.174223581093901"/>
    <n v="5.32617321697054"/>
  </r>
  <r>
    <x v="0"/>
    <x v="28"/>
    <x v="0"/>
    <x v="1"/>
    <s v="DK2_NoDH_PHL"/>
    <x v="25"/>
    <n v="26.209507293842599"/>
    <n v="7.2804186927340497"/>
  </r>
  <r>
    <x v="0"/>
    <x v="28"/>
    <x v="0"/>
    <x v="1"/>
    <s v="DK2_NoDH_PHL"/>
    <x v="26"/>
    <n v="33.320887798496699"/>
    <n v="9.2558021662490795"/>
  </r>
  <r>
    <x v="0"/>
    <x v="28"/>
    <x v="0"/>
    <x v="1"/>
    <s v="DK2_NoDH_PHL"/>
    <x v="27"/>
    <n v="20.163995508318798"/>
    <n v="5.6011098634218799"/>
  </r>
  <r>
    <x v="0"/>
    <x v="28"/>
    <x v="0"/>
    <x v="1"/>
    <s v="DK2_Offshore"/>
    <x v="1"/>
    <n v="35.989199999999997"/>
    <n v="9.9969999999999999"/>
  </r>
  <r>
    <x v="0"/>
    <x v="28"/>
    <x v="0"/>
    <x v="1"/>
    <s v="DK2_Offshore"/>
    <x v="2"/>
    <n v="46.08"/>
    <n v="12.8"/>
  </r>
  <r>
    <x v="0"/>
    <x v="28"/>
    <x v="0"/>
    <x v="1"/>
    <s v="DK2_Offshore"/>
    <x v="0"/>
    <n v="42.692399999999999"/>
    <n v="11.859"/>
  </r>
  <r>
    <x v="0"/>
    <x v="28"/>
    <x v="0"/>
    <x v="1"/>
    <s v="DK2_Offshore"/>
    <x v="3"/>
    <n v="51.633543144067197"/>
    <n v="14.342650873352"/>
  </r>
  <r>
    <x v="0"/>
    <x v="28"/>
    <x v="0"/>
    <x v="1"/>
    <s v="DK2_Offshore"/>
    <x v="4"/>
    <n v="6.3500778790389401"/>
    <n v="1.76391052195526"/>
  </r>
  <r>
    <x v="0"/>
    <x v="28"/>
    <x v="0"/>
    <x v="1"/>
    <s v="DK2_Offshore"/>
    <x v="5"/>
    <n v="6.3500778790389401"/>
    <n v="1.76391052195526"/>
  </r>
  <r>
    <x v="0"/>
    <x v="28"/>
    <x v="0"/>
    <x v="1"/>
    <s v="DK2_Offshore"/>
    <x v="6"/>
    <n v="29.476231795214598"/>
    <n v="8.1878421653373898"/>
  </r>
  <r>
    <x v="0"/>
    <x v="28"/>
    <x v="0"/>
    <x v="1"/>
    <s v="DK2_Offshore"/>
    <x v="7"/>
    <n v="57.838935220261199"/>
    <n v="16.066370894517"/>
  </r>
  <r>
    <x v="0"/>
    <x v="28"/>
    <x v="0"/>
    <x v="1"/>
    <s v="DK2_Offshore"/>
    <x v="8"/>
    <n v="57.838935220261199"/>
    <n v="16.066370894517"/>
  </r>
  <r>
    <x v="0"/>
    <x v="28"/>
    <x v="0"/>
    <x v="1"/>
    <s v="DK2_Offshore"/>
    <x v="9"/>
    <n v="44.4505451532725"/>
    <n v="12.3473736536868"/>
  </r>
  <r>
    <x v="0"/>
    <x v="28"/>
    <x v="0"/>
    <x v="1"/>
    <s v="DK2_Offshore"/>
    <x v="10"/>
    <n v="53.975661971830903"/>
    <n v="14.993239436619699"/>
  </r>
  <r>
    <x v="0"/>
    <x v="28"/>
    <x v="0"/>
    <x v="1"/>
    <s v="DK2_Offshore"/>
    <x v="11"/>
    <n v="3.8806031483015802"/>
    <n v="1.07794531897266"/>
  </r>
  <r>
    <x v="0"/>
    <x v="28"/>
    <x v="0"/>
    <x v="1"/>
    <s v="DK2_Offshore"/>
    <x v="12"/>
    <n v="9.7995028997514597E-2"/>
    <n v="2.72208413881985E-2"/>
  </r>
  <r>
    <x v="0"/>
    <x v="28"/>
    <x v="0"/>
    <x v="1"/>
    <s v="DK2_Offshore"/>
    <x v="13"/>
    <n v="29.633696768848399"/>
    <n v="8.2315824357912195"/>
  </r>
  <r>
    <x v="0"/>
    <x v="28"/>
    <x v="0"/>
    <x v="1"/>
    <s v="DK2_Offshore"/>
    <x v="14"/>
    <n v="29.633696768848399"/>
    <n v="8.2315824357912195"/>
  </r>
  <r>
    <x v="0"/>
    <x v="28"/>
    <x v="0"/>
    <x v="1"/>
    <s v="DK2_Offshore"/>
    <x v="15"/>
    <n v="1.65807589063794"/>
    <n v="0.46057663628831802"/>
  </r>
  <r>
    <x v="0"/>
    <x v="28"/>
    <x v="0"/>
    <x v="1"/>
    <s v="DK2_Offshore"/>
    <x v="16"/>
    <n v="6.5458675795335104"/>
    <n v="1.81829654987042"/>
  </r>
  <r>
    <x v="0"/>
    <x v="28"/>
    <x v="0"/>
    <x v="1"/>
    <s v="DK2_Offshore"/>
    <x v="17"/>
    <n v="9.1244895875632395"/>
    <n v="2.5345804409897901"/>
  </r>
  <r>
    <x v="0"/>
    <x v="28"/>
    <x v="0"/>
    <x v="1"/>
    <s v="DK2_Offshore"/>
    <x v="18"/>
    <n v="29.633696768848399"/>
    <n v="8.2315824357912195"/>
  </r>
  <r>
    <x v="0"/>
    <x v="28"/>
    <x v="0"/>
    <x v="1"/>
    <s v="DK2_Offshore"/>
    <x v="19"/>
    <n v="8.1139884009941898"/>
    <n v="2.2538856669428302"/>
  </r>
  <r>
    <x v="0"/>
    <x v="28"/>
    <x v="0"/>
    <x v="1"/>
    <s v="DK2_Offshore"/>
    <x v="20"/>
    <n v="22.109183021311601"/>
    <n v="6.1414397281420996"/>
  </r>
  <r>
    <x v="0"/>
    <x v="28"/>
    <x v="0"/>
    <x v="1"/>
    <s v="DK2_Offshore"/>
    <x v="21"/>
    <n v="48.24"/>
    <n v="13.4"/>
  </r>
  <r>
    <x v="0"/>
    <x v="28"/>
    <x v="0"/>
    <x v="1"/>
    <s v="DK2_Offshore"/>
    <x v="22"/>
    <n v="67.680000000000007"/>
    <n v="18.8"/>
  </r>
  <r>
    <x v="0"/>
    <x v="28"/>
    <x v="0"/>
    <x v="1"/>
    <s v="DK2_Offshore"/>
    <x v="23"/>
    <n v="0.31515896120488701"/>
    <n v="8.7544155890246306E-2"/>
  </r>
  <r>
    <x v="0"/>
    <x v="28"/>
    <x v="0"/>
    <x v="1"/>
    <s v="DK2_Offshore"/>
    <x v="24"/>
    <n v="19.174223581093901"/>
    <n v="5.32617321697054"/>
  </r>
  <r>
    <x v="0"/>
    <x v="28"/>
    <x v="0"/>
    <x v="1"/>
    <s v="DK2_Offshore"/>
    <x v="25"/>
    <n v="26.209507293842599"/>
    <n v="7.2804186927340497"/>
  </r>
  <r>
    <x v="0"/>
    <x v="28"/>
    <x v="0"/>
    <x v="1"/>
    <s v="DK2_Offshore"/>
    <x v="26"/>
    <n v="33.320887798496699"/>
    <n v="9.2558021662490795"/>
  </r>
  <r>
    <x v="0"/>
    <x v="28"/>
    <x v="0"/>
    <x v="1"/>
    <s v="DK2_Offshore"/>
    <x v="27"/>
    <n v="20.163995508318798"/>
    <n v="5.6011098634218799"/>
  </r>
  <r>
    <x v="0"/>
    <x v="28"/>
    <x v="0"/>
    <x v="1"/>
    <s v="DK2_Rural"/>
    <x v="1"/>
    <n v="35.989199999999997"/>
    <n v="9.9969999999999999"/>
  </r>
  <r>
    <x v="0"/>
    <x v="28"/>
    <x v="0"/>
    <x v="1"/>
    <s v="DK2_Rural"/>
    <x v="2"/>
    <n v="46.08"/>
    <n v="12.8"/>
  </r>
  <r>
    <x v="0"/>
    <x v="28"/>
    <x v="0"/>
    <x v="1"/>
    <s v="DK2_Rural"/>
    <x v="0"/>
    <n v="42.692399999999999"/>
    <n v="11.859"/>
  </r>
  <r>
    <x v="0"/>
    <x v="28"/>
    <x v="0"/>
    <x v="1"/>
    <s v="DK2_Rural"/>
    <x v="3"/>
    <n v="51.633543144067197"/>
    <n v="14.342650873352"/>
  </r>
  <r>
    <x v="0"/>
    <x v="28"/>
    <x v="0"/>
    <x v="1"/>
    <s v="DK2_Rural"/>
    <x v="4"/>
    <n v="6.3500778790389401"/>
    <n v="1.76391052195526"/>
  </r>
  <r>
    <x v="0"/>
    <x v="28"/>
    <x v="0"/>
    <x v="1"/>
    <s v="DK2_Rural"/>
    <x v="5"/>
    <n v="6.3500778790389401"/>
    <n v="1.76391052195526"/>
  </r>
  <r>
    <x v="0"/>
    <x v="28"/>
    <x v="0"/>
    <x v="1"/>
    <s v="DK2_Rural"/>
    <x v="6"/>
    <n v="29.476231795214598"/>
    <n v="8.1878421653373898"/>
  </r>
  <r>
    <x v="0"/>
    <x v="28"/>
    <x v="0"/>
    <x v="1"/>
    <s v="DK2_Rural"/>
    <x v="7"/>
    <n v="57.838935220261199"/>
    <n v="16.066370894517"/>
  </r>
  <r>
    <x v="0"/>
    <x v="28"/>
    <x v="0"/>
    <x v="1"/>
    <s v="DK2_Rural"/>
    <x v="8"/>
    <n v="57.838935220261199"/>
    <n v="16.066370894517"/>
  </r>
  <r>
    <x v="0"/>
    <x v="28"/>
    <x v="0"/>
    <x v="1"/>
    <s v="DK2_Rural"/>
    <x v="9"/>
    <n v="44.4505451532725"/>
    <n v="12.3473736536868"/>
  </r>
  <r>
    <x v="0"/>
    <x v="28"/>
    <x v="0"/>
    <x v="1"/>
    <s v="DK2_Rural"/>
    <x v="10"/>
    <n v="53.975661971830903"/>
    <n v="14.993239436619699"/>
  </r>
  <r>
    <x v="0"/>
    <x v="28"/>
    <x v="0"/>
    <x v="1"/>
    <s v="DK2_Rural"/>
    <x v="11"/>
    <n v="3.8806031483015802"/>
    <n v="1.07794531897266"/>
  </r>
  <r>
    <x v="0"/>
    <x v="28"/>
    <x v="0"/>
    <x v="1"/>
    <s v="DK2_Rural"/>
    <x v="12"/>
    <n v="9.7995028997514597E-2"/>
    <n v="2.72208413881985E-2"/>
  </r>
  <r>
    <x v="0"/>
    <x v="28"/>
    <x v="0"/>
    <x v="1"/>
    <s v="DK2_Rural"/>
    <x v="13"/>
    <n v="29.633696768848399"/>
    <n v="8.2315824357912195"/>
  </r>
  <r>
    <x v="0"/>
    <x v="28"/>
    <x v="0"/>
    <x v="1"/>
    <s v="DK2_Rural"/>
    <x v="14"/>
    <n v="29.633696768848399"/>
    <n v="8.2315824357912195"/>
  </r>
  <r>
    <x v="0"/>
    <x v="28"/>
    <x v="0"/>
    <x v="1"/>
    <s v="DK2_Rural"/>
    <x v="15"/>
    <n v="1.65807589063794"/>
    <n v="0.46057663628831802"/>
  </r>
  <r>
    <x v="0"/>
    <x v="28"/>
    <x v="0"/>
    <x v="1"/>
    <s v="DK2_Rural"/>
    <x v="16"/>
    <n v="6.5458675795335104"/>
    <n v="1.81829654987042"/>
  </r>
  <r>
    <x v="0"/>
    <x v="28"/>
    <x v="0"/>
    <x v="1"/>
    <s v="DK2_Rural"/>
    <x v="17"/>
    <n v="9.1244895875632395"/>
    <n v="2.5345804409897901"/>
  </r>
  <r>
    <x v="0"/>
    <x v="28"/>
    <x v="0"/>
    <x v="1"/>
    <s v="DK2_Rural"/>
    <x v="18"/>
    <n v="29.633696768848399"/>
    <n v="8.2315824357912195"/>
  </r>
  <r>
    <x v="0"/>
    <x v="28"/>
    <x v="0"/>
    <x v="1"/>
    <s v="DK2_Rural"/>
    <x v="19"/>
    <n v="8.1139884009941898"/>
    <n v="2.2538856669428302"/>
  </r>
  <r>
    <x v="0"/>
    <x v="28"/>
    <x v="0"/>
    <x v="1"/>
    <s v="DK2_Rural"/>
    <x v="20"/>
    <n v="22.109183021311601"/>
    <n v="6.1414397281420996"/>
  </r>
  <r>
    <x v="0"/>
    <x v="28"/>
    <x v="0"/>
    <x v="1"/>
    <s v="DK2_Rural"/>
    <x v="21"/>
    <n v="48.24"/>
    <n v="13.4"/>
  </r>
  <r>
    <x v="0"/>
    <x v="28"/>
    <x v="0"/>
    <x v="1"/>
    <s v="DK2_Rural"/>
    <x v="22"/>
    <n v="67.680000000000007"/>
    <n v="18.8"/>
  </r>
  <r>
    <x v="0"/>
    <x v="28"/>
    <x v="0"/>
    <x v="1"/>
    <s v="DK2_Rural"/>
    <x v="23"/>
    <n v="0.31515896120488701"/>
    <n v="8.7544155890246306E-2"/>
  </r>
  <r>
    <x v="0"/>
    <x v="28"/>
    <x v="0"/>
    <x v="1"/>
    <s v="DK2_Rural"/>
    <x v="24"/>
    <n v="19.174223581093901"/>
    <n v="5.32617321697054"/>
  </r>
  <r>
    <x v="0"/>
    <x v="28"/>
    <x v="0"/>
    <x v="1"/>
    <s v="DK2_Rural"/>
    <x v="25"/>
    <n v="26.209507293842599"/>
    <n v="7.2804186927340497"/>
  </r>
  <r>
    <x v="0"/>
    <x v="28"/>
    <x v="0"/>
    <x v="1"/>
    <s v="DK2_Rural"/>
    <x v="26"/>
    <n v="33.320887798496699"/>
    <n v="9.2558021662490795"/>
  </r>
  <r>
    <x v="0"/>
    <x v="28"/>
    <x v="0"/>
    <x v="1"/>
    <s v="DK2_Rural"/>
    <x v="27"/>
    <n v="20.163995508318798"/>
    <n v="5.6011098634218799"/>
  </r>
  <r>
    <x v="0"/>
    <x v="28"/>
    <x v="0"/>
    <x v="1"/>
    <s v="DK2_Small"/>
    <x v="1"/>
    <n v="35.989199999999997"/>
    <n v="9.9969999999999999"/>
  </r>
  <r>
    <x v="0"/>
    <x v="28"/>
    <x v="0"/>
    <x v="1"/>
    <s v="DK2_Small"/>
    <x v="2"/>
    <n v="46.08"/>
    <n v="12.8"/>
  </r>
  <r>
    <x v="0"/>
    <x v="28"/>
    <x v="0"/>
    <x v="1"/>
    <s v="DK2_Small"/>
    <x v="0"/>
    <n v="42.692399999999999"/>
    <n v="11.859"/>
  </r>
  <r>
    <x v="0"/>
    <x v="28"/>
    <x v="0"/>
    <x v="1"/>
    <s v="DK2_Small"/>
    <x v="3"/>
    <n v="51.633543144067197"/>
    <n v="14.342650873352"/>
  </r>
  <r>
    <x v="0"/>
    <x v="28"/>
    <x v="0"/>
    <x v="1"/>
    <s v="DK2_Small"/>
    <x v="4"/>
    <n v="6.3500778790389401"/>
    <n v="1.76391052195526"/>
  </r>
  <r>
    <x v="0"/>
    <x v="28"/>
    <x v="0"/>
    <x v="1"/>
    <s v="DK2_Small"/>
    <x v="5"/>
    <n v="6.3500778790389401"/>
    <n v="1.76391052195526"/>
  </r>
  <r>
    <x v="0"/>
    <x v="28"/>
    <x v="0"/>
    <x v="1"/>
    <s v="DK2_Small"/>
    <x v="6"/>
    <n v="29.476231795214598"/>
    <n v="8.1878421653373898"/>
  </r>
  <r>
    <x v="0"/>
    <x v="28"/>
    <x v="0"/>
    <x v="1"/>
    <s v="DK2_Small"/>
    <x v="7"/>
    <n v="57.838935220261199"/>
    <n v="16.066370894517"/>
  </r>
  <r>
    <x v="0"/>
    <x v="28"/>
    <x v="0"/>
    <x v="1"/>
    <s v="DK2_Small"/>
    <x v="8"/>
    <n v="57.838935220261199"/>
    <n v="16.066370894517"/>
  </r>
  <r>
    <x v="0"/>
    <x v="28"/>
    <x v="0"/>
    <x v="1"/>
    <s v="DK2_Small"/>
    <x v="9"/>
    <n v="44.4505451532725"/>
    <n v="12.3473736536868"/>
  </r>
  <r>
    <x v="0"/>
    <x v="28"/>
    <x v="0"/>
    <x v="1"/>
    <s v="DK2_Small"/>
    <x v="10"/>
    <n v="53.975661971830903"/>
    <n v="14.993239436619699"/>
  </r>
  <r>
    <x v="0"/>
    <x v="28"/>
    <x v="0"/>
    <x v="1"/>
    <s v="DK2_Small"/>
    <x v="11"/>
    <n v="3.8806031483015802"/>
    <n v="1.07794531897266"/>
  </r>
  <r>
    <x v="0"/>
    <x v="28"/>
    <x v="0"/>
    <x v="1"/>
    <s v="DK2_Small"/>
    <x v="12"/>
    <n v="9.7995028997514597E-2"/>
    <n v="2.72208413881985E-2"/>
  </r>
  <r>
    <x v="0"/>
    <x v="28"/>
    <x v="0"/>
    <x v="1"/>
    <s v="DK2_Small"/>
    <x v="13"/>
    <n v="29.633696768848399"/>
    <n v="8.2315824357912195"/>
  </r>
  <r>
    <x v="0"/>
    <x v="28"/>
    <x v="0"/>
    <x v="1"/>
    <s v="DK2_Small"/>
    <x v="14"/>
    <n v="29.633696768848399"/>
    <n v="8.2315824357912195"/>
  </r>
  <r>
    <x v="0"/>
    <x v="28"/>
    <x v="0"/>
    <x v="1"/>
    <s v="DK2_Small"/>
    <x v="15"/>
    <n v="1.65807589063794"/>
    <n v="0.46057663628831802"/>
  </r>
  <r>
    <x v="0"/>
    <x v="28"/>
    <x v="0"/>
    <x v="1"/>
    <s v="DK2_Small"/>
    <x v="16"/>
    <n v="6.5458675795335104"/>
    <n v="1.81829654987042"/>
  </r>
  <r>
    <x v="0"/>
    <x v="28"/>
    <x v="0"/>
    <x v="1"/>
    <s v="DK2_Small"/>
    <x v="17"/>
    <n v="9.1244895875632395"/>
    <n v="2.5345804409897901"/>
  </r>
  <r>
    <x v="0"/>
    <x v="28"/>
    <x v="0"/>
    <x v="1"/>
    <s v="DK2_Small"/>
    <x v="18"/>
    <n v="29.633696768848399"/>
    <n v="8.2315824357912195"/>
  </r>
  <r>
    <x v="0"/>
    <x v="28"/>
    <x v="0"/>
    <x v="1"/>
    <s v="DK2_Small"/>
    <x v="19"/>
    <n v="8.1139884009941898"/>
    <n v="2.2538856669428302"/>
  </r>
  <r>
    <x v="0"/>
    <x v="28"/>
    <x v="0"/>
    <x v="1"/>
    <s v="DK2_Small"/>
    <x v="20"/>
    <n v="22.109183021311601"/>
    <n v="6.1414397281420996"/>
  </r>
  <r>
    <x v="0"/>
    <x v="28"/>
    <x v="0"/>
    <x v="1"/>
    <s v="DK2_Small"/>
    <x v="21"/>
    <n v="48.24"/>
    <n v="13.4"/>
  </r>
  <r>
    <x v="0"/>
    <x v="28"/>
    <x v="0"/>
    <x v="1"/>
    <s v="DK2_Small"/>
    <x v="22"/>
    <n v="67.680000000000007"/>
    <n v="18.8"/>
  </r>
  <r>
    <x v="0"/>
    <x v="28"/>
    <x v="0"/>
    <x v="1"/>
    <s v="DK2_Small"/>
    <x v="23"/>
    <n v="0.31515896120488701"/>
    <n v="8.7544155890246306E-2"/>
  </r>
  <r>
    <x v="0"/>
    <x v="28"/>
    <x v="0"/>
    <x v="1"/>
    <s v="DK2_Small"/>
    <x v="24"/>
    <n v="19.174223581093901"/>
    <n v="5.32617321697054"/>
  </r>
  <r>
    <x v="0"/>
    <x v="28"/>
    <x v="0"/>
    <x v="1"/>
    <s v="DK2_Small"/>
    <x v="25"/>
    <n v="26.209507293842599"/>
    <n v="7.2804186927340497"/>
  </r>
  <r>
    <x v="0"/>
    <x v="28"/>
    <x v="0"/>
    <x v="1"/>
    <s v="DK2_Small"/>
    <x v="26"/>
    <n v="33.320887798496699"/>
    <n v="9.2558021662490795"/>
  </r>
  <r>
    <x v="0"/>
    <x v="28"/>
    <x v="0"/>
    <x v="1"/>
    <s v="DK2_Small"/>
    <x v="27"/>
    <n v="20.163995508318798"/>
    <n v="5.6011098634218799"/>
  </r>
  <r>
    <x v="0"/>
    <x v="28"/>
    <x v="1"/>
    <x v="2"/>
    <s v="EE_A"/>
    <x v="1"/>
    <n v="35.989199999999997"/>
    <n v="9.9969999999999999"/>
  </r>
  <r>
    <x v="0"/>
    <x v="28"/>
    <x v="1"/>
    <x v="2"/>
    <s v="EE_A"/>
    <x v="2"/>
    <n v="46.08"/>
    <n v="12.8"/>
  </r>
  <r>
    <x v="0"/>
    <x v="28"/>
    <x v="1"/>
    <x v="2"/>
    <s v="EE_A"/>
    <x v="0"/>
    <n v="42.692399999999999"/>
    <n v="11.859"/>
  </r>
  <r>
    <x v="0"/>
    <x v="28"/>
    <x v="1"/>
    <x v="2"/>
    <s v="EE_A"/>
    <x v="3"/>
    <n v="51.633543144067197"/>
    <n v="14.342650873352"/>
  </r>
  <r>
    <x v="0"/>
    <x v="28"/>
    <x v="1"/>
    <x v="2"/>
    <s v="EE_A"/>
    <x v="4"/>
    <n v="6.3500778790389401"/>
    <n v="1.76391052195526"/>
  </r>
  <r>
    <x v="0"/>
    <x v="28"/>
    <x v="1"/>
    <x v="2"/>
    <s v="EE_A"/>
    <x v="5"/>
    <n v="6.3500778790389401"/>
    <n v="1.76391052195526"/>
  </r>
  <r>
    <x v="0"/>
    <x v="28"/>
    <x v="1"/>
    <x v="2"/>
    <s v="EE_A"/>
    <x v="6"/>
    <n v="29.476231795214598"/>
    <n v="8.1878421653373898"/>
  </r>
  <r>
    <x v="0"/>
    <x v="28"/>
    <x v="1"/>
    <x v="2"/>
    <s v="EE_A"/>
    <x v="7"/>
    <n v="57.838935220261199"/>
    <n v="16.066370894517"/>
  </r>
  <r>
    <x v="0"/>
    <x v="28"/>
    <x v="1"/>
    <x v="2"/>
    <s v="EE_A"/>
    <x v="8"/>
    <n v="57.838935220261199"/>
    <n v="16.066370894517"/>
  </r>
  <r>
    <x v="0"/>
    <x v="28"/>
    <x v="1"/>
    <x v="2"/>
    <s v="EE_A"/>
    <x v="9"/>
    <n v="44.4505451532725"/>
    <n v="12.3473736536868"/>
  </r>
  <r>
    <x v="0"/>
    <x v="28"/>
    <x v="1"/>
    <x v="2"/>
    <s v="EE_A"/>
    <x v="10"/>
    <n v="53.975661971830903"/>
    <n v="14.993239436619699"/>
  </r>
  <r>
    <x v="0"/>
    <x v="28"/>
    <x v="1"/>
    <x v="2"/>
    <s v="EE_A"/>
    <x v="11"/>
    <n v="3.8806031483015802"/>
    <n v="1.07794531897266"/>
  </r>
  <r>
    <x v="0"/>
    <x v="28"/>
    <x v="1"/>
    <x v="2"/>
    <s v="EE_A"/>
    <x v="12"/>
    <n v="9.7995028997514597E-2"/>
    <n v="2.72208413881985E-2"/>
  </r>
  <r>
    <x v="0"/>
    <x v="28"/>
    <x v="1"/>
    <x v="2"/>
    <s v="EE_A"/>
    <x v="13"/>
    <n v="29.633696768848399"/>
    <n v="8.2315824357912195"/>
  </r>
  <r>
    <x v="0"/>
    <x v="28"/>
    <x v="1"/>
    <x v="2"/>
    <s v="EE_A"/>
    <x v="14"/>
    <n v="29.633696768848399"/>
    <n v="8.2315824357912195"/>
  </r>
  <r>
    <x v="0"/>
    <x v="28"/>
    <x v="1"/>
    <x v="2"/>
    <s v="EE_A"/>
    <x v="15"/>
    <n v="1.65807589063794"/>
    <n v="0.46057663628831802"/>
  </r>
  <r>
    <x v="0"/>
    <x v="28"/>
    <x v="1"/>
    <x v="2"/>
    <s v="EE_A"/>
    <x v="16"/>
    <n v="6.5458675795335104"/>
    <n v="1.81829654987042"/>
  </r>
  <r>
    <x v="0"/>
    <x v="28"/>
    <x v="1"/>
    <x v="2"/>
    <s v="EE_A"/>
    <x v="17"/>
    <n v="9.1244895875632395"/>
    <n v="2.5345804409897901"/>
  </r>
  <r>
    <x v="0"/>
    <x v="28"/>
    <x v="1"/>
    <x v="2"/>
    <s v="EE_A"/>
    <x v="18"/>
    <n v="29.633696768848399"/>
    <n v="8.2315824357912195"/>
  </r>
  <r>
    <x v="0"/>
    <x v="28"/>
    <x v="1"/>
    <x v="2"/>
    <s v="EE_A"/>
    <x v="19"/>
    <n v="8.1139884009941898"/>
    <n v="2.2538856669428302"/>
  </r>
  <r>
    <x v="0"/>
    <x v="28"/>
    <x v="1"/>
    <x v="2"/>
    <s v="EE_A"/>
    <x v="20"/>
    <n v="22.109183021311601"/>
    <n v="6.1414397281420996"/>
  </r>
  <r>
    <x v="0"/>
    <x v="28"/>
    <x v="1"/>
    <x v="2"/>
    <s v="EE_A"/>
    <x v="21"/>
    <n v="48.24"/>
    <n v="13.4"/>
  </r>
  <r>
    <x v="0"/>
    <x v="28"/>
    <x v="1"/>
    <x v="2"/>
    <s v="EE_A"/>
    <x v="22"/>
    <n v="67.680000000000007"/>
    <n v="18.8"/>
  </r>
  <r>
    <x v="0"/>
    <x v="28"/>
    <x v="1"/>
    <x v="2"/>
    <s v="EE_A"/>
    <x v="23"/>
    <n v="0.31515896120488701"/>
    <n v="8.7544155890246306E-2"/>
  </r>
  <r>
    <x v="0"/>
    <x v="28"/>
    <x v="1"/>
    <x v="2"/>
    <s v="EE_A"/>
    <x v="24"/>
    <n v="19.174223581093901"/>
    <n v="5.32617321697054"/>
  </r>
  <r>
    <x v="0"/>
    <x v="28"/>
    <x v="1"/>
    <x v="2"/>
    <s v="EE_A"/>
    <x v="25"/>
    <n v="26.209507293842599"/>
    <n v="7.2804186927340497"/>
  </r>
  <r>
    <x v="0"/>
    <x v="28"/>
    <x v="1"/>
    <x v="2"/>
    <s v="EE_A"/>
    <x v="26"/>
    <n v="33.320887798496699"/>
    <n v="9.2558021662490795"/>
  </r>
  <r>
    <x v="0"/>
    <x v="28"/>
    <x v="1"/>
    <x v="2"/>
    <s v="EE_A"/>
    <x v="27"/>
    <n v="20.163995508318798"/>
    <n v="5.6011098634218799"/>
  </r>
  <r>
    <x v="0"/>
    <x v="28"/>
    <x v="1"/>
    <x v="2"/>
    <s v="EE_Enefit"/>
    <x v="1"/>
    <n v="35.989199999999997"/>
    <n v="9.9969999999999999"/>
  </r>
  <r>
    <x v="0"/>
    <x v="28"/>
    <x v="1"/>
    <x v="2"/>
    <s v="EE_Enefit"/>
    <x v="2"/>
    <n v="46.08"/>
    <n v="12.8"/>
  </r>
  <r>
    <x v="0"/>
    <x v="28"/>
    <x v="1"/>
    <x v="2"/>
    <s v="EE_Enefit"/>
    <x v="0"/>
    <n v="42.692399999999999"/>
    <n v="11.859"/>
  </r>
  <r>
    <x v="0"/>
    <x v="28"/>
    <x v="1"/>
    <x v="2"/>
    <s v="EE_Enefit"/>
    <x v="3"/>
    <n v="51.633543144067197"/>
    <n v="14.342650873352"/>
  </r>
  <r>
    <x v="0"/>
    <x v="28"/>
    <x v="1"/>
    <x v="2"/>
    <s v="EE_Enefit"/>
    <x v="4"/>
    <n v="6.3500778790389401"/>
    <n v="1.76391052195526"/>
  </r>
  <r>
    <x v="0"/>
    <x v="28"/>
    <x v="1"/>
    <x v="2"/>
    <s v="EE_Enefit"/>
    <x v="5"/>
    <n v="6.3500778790389401"/>
    <n v="1.76391052195526"/>
  </r>
  <r>
    <x v="0"/>
    <x v="28"/>
    <x v="1"/>
    <x v="2"/>
    <s v="EE_Enefit"/>
    <x v="6"/>
    <n v="29.476231795214598"/>
    <n v="8.1878421653373898"/>
  </r>
  <r>
    <x v="0"/>
    <x v="28"/>
    <x v="1"/>
    <x v="2"/>
    <s v="EE_Enefit"/>
    <x v="7"/>
    <n v="57.838935220261199"/>
    <n v="16.066370894517"/>
  </r>
  <r>
    <x v="0"/>
    <x v="28"/>
    <x v="1"/>
    <x v="2"/>
    <s v="EE_Enefit"/>
    <x v="8"/>
    <n v="57.838935220261199"/>
    <n v="16.066370894517"/>
  </r>
  <r>
    <x v="0"/>
    <x v="28"/>
    <x v="1"/>
    <x v="2"/>
    <s v="EE_Enefit"/>
    <x v="9"/>
    <n v="44.4505451532725"/>
    <n v="12.3473736536868"/>
  </r>
  <r>
    <x v="0"/>
    <x v="28"/>
    <x v="1"/>
    <x v="2"/>
    <s v="EE_Enefit"/>
    <x v="10"/>
    <n v="53.975661971830903"/>
    <n v="14.993239436619699"/>
  </r>
  <r>
    <x v="0"/>
    <x v="28"/>
    <x v="1"/>
    <x v="2"/>
    <s v="EE_Enefit"/>
    <x v="11"/>
    <n v="3.8806031483015802"/>
    <n v="1.07794531897266"/>
  </r>
  <r>
    <x v="0"/>
    <x v="28"/>
    <x v="1"/>
    <x v="2"/>
    <s v="EE_Enefit"/>
    <x v="12"/>
    <n v="9.7995028997514597E-2"/>
    <n v="2.72208413881985E-2"/>
  </r>
  <r>
    <x v="0"/>
    <x v="28"/>
    <x v="1"/>
    <x v="2"/>
    <s v="EE_Enefit"/>
    <x v="13"/>
    <n v="29.633696768848399"/>
    <n v="8.2315824357912195"/>
  </r>
  <r>
    <x v="0"/>
    <x v="28"/>
    <x v="1"/>
    <x v="2"/>
    <s v="EE_Enefit"/>
    <x v="14"/>
    <n v="29.633696768848399"/>
    <n v="8.2315824357912195"/>
  </r>
  <r>
    <x v="0"/>
    <x v="28"/>
    <x v="1"/>
    <x v="2"/>
    <s v="EE_Enefit"/>
    <x v="15"/>
    <n v="1.65807589063794"/>
    <n v="0.46057663628831802"/>
  </r>
  <r>
    <x v="0"/>
    <x v="28"/>
    <x v="1"/>
    <x v="2"/>
    <s v="EE_Enefit"/>
    <x v="16"/>
    <n v="6.5458675795335104"/>
    <n v="1.81829654987042"/>
  </r>
  <r>
    <x v="0"/>
    <x v="28"/>
    <x v="1"/>
    <x v="2"/>
    <s v="EE_Enefit"/>
    <x v="17"/>
    <n v="9.1244895875632395"/>
    <n v="2.5345804409897901"/>
  </r>
  <r>
    <x v="0"/>
    <x v="28"/>
    <x v="1"/>
    <x v="2"/>
    <s v="EE_Enefit"/>
    <x v="18"/>
    <n v="29.633696768848399"/>
    <n v="8.2315824357912195"/>
  </r>
  <r>
    <x v="0"/>
    <x v="28"/>
    <x v="1"/>
    <x v="2"/>
    <s v="EE_Enefit"/>
    <x v="19"/>
    <n v="8.1139884009941898"/>
    <n v="2.2538856669428302"/>
  </r>
  <r>
    <x v="0"/>
    <x v="28"/>
    <x v="1"/>
    <x v="2"/>
    <s v="EE_Enefit"/>
    <x v="20"/>
    <n v="22.109183021311601"/>
    <n v="6.1414397281420996"/>
  </r>
  <r>
    <x v="0"/>
    <x v="28"/>
    <x v="1"/>
    <x v="2"/>
    <s v="EE_Enefit"/>
    <x v="21"/>
    <n v="48.24"/>
    <n v="13.4"/>
  </r>
  <r>
    <x v="0"/>
    <x v="28"/>
    <x v="1"/>
    <x v="2"/>
    <s v="EE_Enefit"/>
    <x v="22"/>
    <n v="67.680000000000007"/>
    <n v="18.8"/>
  </r>
  <r>
    <x v="0"/>
    <x v="28"/>
    <x v="1"/>
    <x v="2"/>
    <s v="EE_Enefit"/>
    <x v="23"/>
    <n v="0.31515896120488701"/>
    <n v="8.7544155890246306E-2"/>
  </r>
  <r>
    <x v="0"/>
    <x v="28"/>
    <x v="1"/>
    <x v="2"/>
    <s v="EE_Enefit"/>
    <x v="24"/>
    <n v="19.174223581093901"/>
    <n v="5.32617321697054"/>
  </r>
  <r>
    <x v="0"/>
    <x v="28"/>
    <x v="1"/>
    <x v="2"/>
    <s v="EE_Enefit"/>
    <x v="25"/>
    <n v="26.209507293842599"/>
    <n v="7.2804186927340497"/>
  </r>
  <r>
    <x v="0"/>
    <x v="28"/>
    <x v="1"/>
    <x v="2"/>
    <s v="EE_Enefit"/>
    <x v="26"/>
    <n v="33.320887798496699"/>
    <n v="9.2558021662490795"/>
  </r>
  <r>
    <x v="0"/>
    <x v="28"/>
    <x v="1"/>
    <x v="2"/>
    <s v="EE_Enefit"/>
    <x v="27"/>
    <n v="20.163995508318798"/>
    <n v="5.6011098634218799"/>
  </r>
  <r>
    <x v="0"/>
    <x v="28"/>
    <x v="1"/>
    <x v="2"/>
    <s v="EE_Industry"/>
    <x v="1"/>
    <n v="35.989199999999997"/>
    <n v="9.9969999999999999"/>
  </r>
  <r>
    <x v="0"/>
    <x v="28"/>
    <x v="1"/>
    <x v="2"/>
    <s v="EE_Industry"/>
    <x v="2"/>
    <n v="46.08"/>
    <n v="12.8"/>
  </r>
  <r>
    <x v="0"/>
    <x v="28"/>
    <x v="1"/>
    <x v="2"/>
    <s v="EE_Industry"/>
    <x v="0"/>
    <n v="42.692399999999999"/>
    <n v="11.859"/>
  </r>
  <r>
    <x v="0"/>
    <x v="28"/>
    <x v="1"/>
    <x v="2"/>
    <s v="EE_Industry"/>
    <x v="3"/>
    <n v="51.633543144067197"/>
    <n v="14.342650873352"/>
  </r>
  <r>
    <x v="0"/>
    <x v="28"/>
    <x v="1"/>
    <x v="2"/>
    <s v="EE_Industry"/>
    <x v="4"/>
    <n v="6.3500778790389401"/>
    <n v="1.76391052195526"/>
  </r>
  <r>
    <x v="0"/>
    <x v="28"/>
    <x v="1"/>
    <x v="2"/>
    <s v="EE_Industry"/>
    <x v="5"/>
    <n v="6.3500778790389401"/>
    <n v="1.76391052195526"/>
  </r>
  <r>
    <x v="0"/>
    <x v="28"/>
    <x v="1"/>
    <x v="2"/>
    <s v="EE_Industry"/>
    <x v="6"/>
    <n v="29.476231795214598"/>
    <n v="8.1878421653373898"/>
  </r>
  <r>
    <x v="0"/>
    <x v="28"/>
    <x v="1"/>
    <x v="2"/>
    <s v="EE_Industry"/>
    <x v="7"/>
    <n v="57.838935220261199"/>
    <n v="16.066370894517"/>
  </r>
  <r>
    <x v="0"/>
    <x v="28"/>
    <x v="1"/>
    <x v="2"/>
    <s v="EE_Industry"/>
    <x v="8"/>
    <n v="57.838935220261199"/>
    <n v="16.066370894517"/>
  </r>
  <r>
    <x v="0"/>
    <x v="28"/>
    <x v="1"/>
    <x v="2"/>
    <s v="EE_Industry"/>
    <x v="9"/>
    <n v="44.4505451532725"/>
    <n v="12.3473736536868"/>
  </r>
  <r>
    <x v="0"/>
    <x v="28"/>
    <x v="1"/>
    <x v="2"/>
    <s v="EE_Industry"/>
    <x v="10"/>
    <n v="53.975661971830903"/>
    <n v="14.993239436619699"/>
  </r>
  <r>
    <x v="0"/>
    <x v="28"/>
    <x v="1"/>
    <x v="2"/>
    <s v="EE_Industry"/>
    <x v="11"/>
    <n v="3.8806031483015802"/>
    <n v="1.07794531897266"/>
  </r>
  <r>
    <x v="0"/>
    <x v="28"/>
    <x v="1"/>
    <x v="2"/>
    <s v="EE_Industry"/>
    <x v="12"/>
    <n v="9.7995028997514597E-2"/>
    <n v="2.72208413881985E-2"/>
  </r>
  <r>
    <x v="0"/>
    <x v="28"/>
    <x v="1"/>
    <x v="2"/>
    <s v="EE_Industry"/>
    <x v="13"/>
    <n v="29.633696768848399"/>
    <n v="8.2315824357912195"/>
  </r>
  <r>
    <x v="0"/>
    <x v="28"/>
    <x v="1"/>
    <x v="2"/>
    <s v="EE_Industry"/>
    <x v="14"/>
    <n v="29.633696768848399"/>
    <n v="8.2315824357912195"/>
  </r>
  <r>
    <x v="0"/>
    <x v="28"/>
    <x v="1"/>
    <x v="2"/>
    <s v="EE_Industry"/>
    <x v="15"/>
    <n v="1.65807589063794"/>
    <n v="0.46057663628831802"/>
  </r>
  <r>
    <x v="0"/>
    <x v="28"/>
    <x v="1"/>
    <x v="2"/>
    <s v="EE_Industry"/>
    <x v="16"/>
    <n v="6.5458675795335104"/>
    <n v="1.81829654987042"/>
  </r>
  <r>
    <x v="0"/>
    <x v="28"/>
    <x v="1"/>
    <x v="2"/>
    <s v="EE_Industry"/>
    <x v="17"/>
    <n v="9.1244895875632395"/>
    <n v="2.5345804409897901"/>
  </r>
  <r>
    <x v="0"/>
    <x v="28"/>
    <x v="1"/>
    <x v="2"/>
    <s v="EE_Industry"/>
    <x v="18"/>
    <n v="29.633696768848399"/>
    <n v="8.2315824357912195"/>
  </r>
  <r>
    <x v="0"/>
    <x v="28"/>
    <x v="1"/>
    <x v="2"/>
    <s v="EE_Industry"/>
    <x v="19"/>
    <n v="8.1139884009941898"/>
    <n v="2.2538856669428302"/>
  </r>
  <r>
    <x v="0"/>
    <x v="28"/>
    <x v="1"/>
    <x v="2"/>
    <s v="EE_Industry"/>
    <x v="20"/>
    <n v="22.109183021311601"/>
    <n v="6.1414397281420996"/>
  </r>
  <r>
    <x v="0"/>
    <x v="28"/>
    <x v="1"/>
    <x v="2"/>
    <s v="EE_Industry"/>
    <x v="21"/>
    <n v="48.24"/>
    <n v="13.4"/>
  </r>
  <r>
    <x v="0"/>
    <x v="28"/>
    <x v="1"/>
    <x v="2"/>
    <s v="EE_Industry"/>
    <x v="22"/>
    <n v="67.680000000000007"/>
    <n v="18.8"/>
  </r>
  <r>
    <x v="0"/>
    <x v="28"/>
    <x v="1"/>
    <x v="2"/>
    <s v="EE_Industry"/>
    <x v="23"/>
    <n v="0.31515896120488701"/>
    <n v="8.7544155890246306E-2"/>
  </r>
  <r>
    <x v="0"/>
    <x v="28"/>
    <x v="1"/>
    <x v="2"/>
    <s v="EE_Industry"/>
    <x v="24"/>
    <n v="19.174223581093901"/>
    <n v="5.32617321697054"/>
  </r>
  <r>
    <x v="0"/>
    <x v="28"/>
    <x v="1"/>
    <x v="2"/>
    <s v="EE_Industry"/>
    <x v="25"/>
    <n v="26.209507293842599"/>
    <n v="7.2804186927340497"/>
  </r>
  <r>
    <x v="0"/>
    <x v="28"/>
    <x v="1"/>
    <x v="2"/>
    <s v="EE_Industry"/>
    <x v="26"/>
    <n v="33.320887798496699"/>
    <n v="9.2558021662490795"/>
  </r>
  <r>
    <x v="0"/>
    <x v="28"/>
    <x v="1"/>
    <x v="2"/>
    <s v="EE_Industry"/>
    <x v="27"/>
    <n v="20.163995508318798"/>
    <n v="5.6011098634218799"/>
  </r>
  <r>
    <x v="0"/>
    <x v="28"/>
    <x v="1"/>
    <x v="2"/>
    <s v="EE_Kohtla_Jarve"/>
    <x v="1"/>
    <n v="35.989199999999997"/>
    <n v="9.9969999999999999"/>
  </r>
  <r>
    <x v="0"/>
    <x v="28"/>
    <x v="1"/>
    <x v="2"/>
    <s v="EE_Kohtla_Jarve"/>
    <x v="2"/>
    <n v="46.08"/>
    <n v="12.8"/>
  </r>
  <r>
    <x v="0"/>
    <x v="28"/>
    <x v="1"/>
    <x v="2"/>
    <s v="EE_Kohtla_Jarve"/>
    <x v="0"/>
    <n v="42.692399999999999"/>
    <n v="11.859"/>
  </r>
  <r>
    <x v="0"/>
    <x v="28"/>
    <x v="1"/>
    <x v="2"/>
    <s v="EE_Kohtla_Jarve"/>
    <x v="3"/>
    <n v="51.633543144067197"/>
    <n v="14.342650873352"/>
  </r>
  <r>
    <x v="0"/>
    <x v="28"/>
    <x v="1"/>
    <x v="2"/>
    <s v="EE_Kohtla_Jarve"/>
    <x v="4"/>
    <n v="6.3500778790389401"/>
    <n v="1.76391052195526"/>
  </r>
  <r>
    <x v="0"/>
    <x v="28"/>
    <x v="1"/>
    <x v="2"/>
    <s v="EE_Kohtla_Jarve"/>
    <x v="5"/>
    <n v="6.3500778790389401"/>
    <n v="1.76391052195526"/>
  </r>
  <r>
    <x v="0"/>
    <x v="28"/>
    <x v="1"/>
    <x v="2"/>
    <s v="EE_Kohtla_Jarve"/>
    <x v="6"/>
    <n v="29.476231795214598"/>
    <n v="8.1878421653373898"/>
  </r>
  <r>
    <x v="0"/>
    <x v="28"/>
    <x v="1"/>
    <x v="2"/>
    <s v="EE_Kohtla_Jarve"/>
    <x v="7"/>
    <n v="57.838935220261199"/>
    <n v="16.066370894517"/>
  </r>
  <r>
    <x v="0"/>
    <x v="28"/>
    <x v="1"/>
    <x v="2"/>
    <s v="EE_Kohtla_Jarve"/>
    <x v="8"/>
    <n v="57.838935220261199"/>
    <n v="16.066370894517"/>
  </r>
  <r>
    <x v="0"/>
    <x v="28"/>
    <x v="1"/>
    <x v="2"/>
    <s v="EE_Kohtla_Jarve"/>
    <x v="9"/>
    <n v="44.4505451532725"/>
    <n v="12.3473736536868"/>
  </r>
  <r>
    <x v="0"/>
    <x v="28"/>
    <x v="1"/>
    <x v="2"/>
    <s v="EE_Kohtla_Jarve"/>
    <x v="10"/>
    <n v="53.975661971830903"/>
    <n v="14.993239436619699"/>
  </r>
  <r>
    <x v="0"/>
    <x v="28"/>
    <x v="1"/>
    <x v="2"/>
    <s v="EE_Kohtla_Jarve"/>
    <x v="11"/>
    <n v="3.8806031483015802"/>
    <n v="1.07794531897266"/>
  </r>
  <r>
    <x v="0"/>
    <x v="28"/>
    <x v="1"/>
    <x v="2"/>
    <s v="EE_Kohtla_Jarve"/>
    <x v="12"/>
    <n v="9.7995028997514597E-2"/>
    <n v="2.72208413881985E-2"/>
  </r>
  <r>
    <x v="0"/>
    <x v="28"/>
    <x v="1"/>
    <x v="2"/>
    <s v="EE_Kohtla_Jarve"/>
    <x v="13"/>
    <n v="29.633696768848399"/>
    <n v="8.2315824357912195"/>
  </r>
  <r>
    <x v="0"/>
    <x v="28"/>
    <x v="1"/>
    <x v="2"/>
    <s v="EE_Kohtla_Jarve"/>
    <x v="14"/>
    <n v="29.633696768848399"/>
    <n v="8.2315824357912195"/>
  </r>
  <r>
    <x v="0"/>
    <x v="28"/>
    <x v="1"/>
    <x v="2"/>
    <s v="EE_Kohtla_Jarve"/>
    <x v="15"/>
    <n v="1.65807589063794"/>
    <n v="0.46057663628831802"/>
  </r>
  <r>
    <x v="0"/>
    <x v="28"/>
    <x v="1"/>
    <x v="2"/>
    <s v="EE_Kohtla_Jarve"/>
    <x v="16"/>
    <n v="6.5458675795335104"/>
    <n v="1.81829654987042"/>
  </r>
  <r>
    <x v="0"/>
    <x v="28"/>
    <x v="1"/>
    <x v="2"/>
    <s v="EE_Kohtla_Jarve"/>
    <x v="17"/>
    <n v="9.1244895875632395"/>
    <n v="2.5345804409897901"/>
  </r>
  <r>
    <x v="0"/>
    <x v="28"/>
    <x v="1"/>
    <x v="2"/>
    <s v="EE_Kohtla_Jarve"/>
    <x v="18"/>
    <n v="29.633696768848399"/>
    <n v="8.2315824357912195"/>
  </r>
  <r>
    <x v="0"/>
    <x v="28"/>
    <x v="1"/>
    <x v="2"/>
    <s v="EE_Kohtla_Jarve"/>
    <x v="19"/>
    <n v="8.1139884009941898"/>
    <n v="2.2538856669428302"/>
  </r>
  <r>
    <x v="0"/>
    <x v="28"/>
    <x v="1"/>
    <x v="2"/>
    <s v="EE_Kohtla_Jarve"/>
    <x v="20"/>
    <n v="22.109183021311601"/>
    <n v="6.1414397281420996"/>
  </r>
  <r>
    <x v="0"/>
    <x v="28"/>
    <x v="1"/>
    <x v="2"/>
    <s v="EE_Kohtla_Jarve"/>
    <x v="21"/>
    <n v="48.24"/>
    <n v="13.4"/>
  </r>
  <r>
    <x v="0"/>
    <x v="28"/>
    <x v="1"/>
    <x v="2"/>
    <s v="EE_Kohtla_Jarve"/>
    <x v="22"/>
    <n v="67.680000000000007"/>
    <n v="18.8"/>
  </r>
  <r>
    <x v="0"/>
    <x v="28"/>
    <x v="1"/>
    <x v="2"/>
    <s v="EE_Kohtla_Jarve"/>
    <x v="23"/>
    <n v="0.31515896120488701"/>
    <n v="8.7544155890246306E-2"/>
  </r>
  <r>
    <x v="0"/>
    <x v="28"/>
    <x v="1"/>
    <x v="2"/>
    <s v="EE_Kohtla_Jarve"/>
    <x v="24"/>
    <n v="19.174223581093901"/>
    <n v="5.32617321697054"/>
  </r>
  <r>
    <x v="0"/>
    <x v="28"/>
    <x v="1"/>
    <x v="2"/>
    <s v="EE_Kohtla_Jarve"/>
    <x v="25"/>
    <n v="26.209507293842599"/>
    <n v="7.2804186927340497"/>
  </r>
  <r>
    <x v="0"/>
    <x v="28"/>
    <x v="1"/>
    <x v="2"/>
    <s v="EE_Kohtla_Jarve"/>
    <x v="26"/>
    <n v="33.320887798496699"/>
    <n v="9.2558021662490795"/>
  </r>
  <r>
    <x v="0"/>
    <x v="28"/>
    <x v="1"/>
    <x v="2"/>
    <s v="EE_Kohtla_Jarve"/>
    <x v="27"/>
    <n v="20.163995508318798"/>
    <n v="5.6011098634218799"/>
  </r>
  <r>
    <x v="0"/>
    <x v="28"/>
    <x v="1"/>
    <x v="2"/>
    <s v="EE_Narva"/>
    <x v="1"/>
    <n v="35.989199999999997"/>
    <n v="9.9969999999999999"/>
  </r>
  <r>
    <x v="0"/>
    <x v="28"/>
    <x v="1"/>
    <x v="2"/>
    <s v="EE_Narva"/>
    <x v="2"/>
    <n v="46.08"/>
    <n v="12.8"/>
  </r>
  <r>
    <x v="0"/>
    <x v="28"/>
    <x v="1"/>
    <x v="2"/>
    <s v="EE_Narva"/>
    <x v="0"/>
    <n v="42.692399999999999"/>
    <n v="11.859"/>
  </r>
  <r>
    <x v="0"/>
    <x v="28"/>
    <x v="1"/>
    <x v="2"/>
    <s v="EE_Narva"/>
    <x v="3"/>
    <n v="51.633543144067197"/>
    <n v="14.342650873352"/>
  </r>
  <r>
    <x v="0"/>
    <x v="28"/>
    <x v="1"/>
    <x v="2"/>
    <s v="EE_Narva"/>
    <x v="4"/>
    <n v="6.3500778790389401"/>
    <n v="1.76391052195526"/>
  </r>
  <r>
    <x v="0"/>
    <x v="28"/>
    <x v="1"/>
    <x v="2"/>
    <s v="EE_Narva"/>
    <x v="5"/>
    <n v="6.3500778790389401"/>
    <n v="1.76391052195526"/>
  </r>
  <r>
    <x v="0"/>
    <x v="28"/>
    <x v="1"/>
    <x v="2"/>
    <s v="EE_Narva"/>
    <x v="6"/>
    <n v="29.476231795214598"/>
    <n v="8.1878421653373898"/>
  </r>
  <r>
    <x v="0"/>
    <x v="28"/>
    <x v="1"/>
    <x v="2"/>
    <s v="EE_Narva"/>
    <x v="7"/>
    <n v="57.838935220261199"/>
    <n v="16.066370894517"/>
  </r>
  <r>
    <x v="0"/>
    <x v="28"/>
    <x v="1"/>
    <x v="2"/>
    <s v="EE_Narva"/>
    <x v="8"/>
    <n v="57.838935220261199"/>
    <n v="16.066370894517"/>
  </r>
  <r>
    <x v="0"/>
    <x v="28"/>
    <x v="1"/>
    <x v="2"/>
    <s v="EE_Narva"/>
    <x v="9"/>
    <n v="44.4505451532725"/>
    <n v="12.3473736536868"/>
  </r>
  <r>
    <x v="0"/>
    <x v="28"/>
    <x v="1"/>
    <x v="2"/>
    <s v="EE_Narva"/>
    <x v="10"/>
    <n v="53.975661971830903"/>
    <n v="14.993239436619699"/>
  </r>
  <r>
    <x v="0"/>
    <x v="28"/>
    <x v="1"/>
    <x v="2"/>
    <s v="EE_Narva"/>
    <x v="11"/>
    <n v="3.8806031483015802"/>
    <n v="1.07794531897266"/>
  </r>
  <r>
    <x v="0"/>
    <x v="28"/>
    <x v="1"/>
    <x v="2"/>
    <s v="EE_Narva"/>
    <x v="12"/>
    <n v="9.7995028997514597E-2"/>
    <n v="2.72208413881985E-2"/>
  </r>
  <r>
    <x v="0"/>
    <x v="28"/>
    <x v="1"/>
    <x v="2"/>
    <s v="EE_Narva"/>
    <x v="13"/>
    <n v="29.633696768848399"/>
    <n v="8.2315824357912195"/>
  </r>
  <r>
    <x v="0"/>
    <x v="28"/>
    <x v="1"/>
    <x v="2"/>
    <s v="EE_Narva"/>
    <x v="14"/>
    <n v="29.633696768848399"/>
    <n v="8.2315824357912195"/>
  </r>
  <r>
    <x v="0"/>
    <x v="28"/>
    <x v="1"/>
    <x v="2"/>
    <s v="EE_Narva"/>
    <x v="15"/>
    <n v="1.65807589063794"/>
    <n v="0.46057663628831802"/>
  </r>
  <r>
    <x v="0"/>
    <x v="28"/>
    <x v="1"/>
    <x v="2"/>
    <s v="EE_Narva"/>
    <x v="16"/>
    <n v="6.5458675795335104"/>
    <n v="1.81829654987042"/>
  </r>
  <r>
    <x v="0"/>
    <x v="28"/>
    <x v="1"/>
    <x v="2"/>
    <s v="EE_Narva"/>
    <x v="17"/>
    <n v="9.1244895875632395"/>
    <n v="2.5345804409897901"/>
  </r>
  <r>
    <x v="0"/>
    <x v="28"/>
    <x v="1"/>
    <x v="2"/>
    <s v="EE_Narva"/>
    <x v="18"/>
    <n v="29.633696768848399"/>
    <n v="8.2315824357912195"/>
  </r>
  <r>
    <x v="0"/>
    <x v="28"/>
    <x v="1"/>
    <x v="2"/>
    <s v="EE_Narva"/>
    <x v="19"/>
    <n v="8.1139884009941898"/>
    <n v="2.2538856669428302"/>
  </r>
  <r>
    <x v="0"/>
    <x v="28"/>
    <x v="1"/>
    <x v="2"/>
    <s v="EE_Narva"/>
    <x v="20"/>
    <n v="22.109183021311601"/>
    <n v="6.1414397281420996"/>
  </r>
  <r>
    <x v="0"/>
    <x v="28"/>
    <x v="1"/>
    <x v="2"/>
    <s v="EE_Narva"/>
    <x v="21"/>
    <n v="48.24"/>
    <n v="13.4"/>
  </r>
  <r>
    <x v="0"/>
    <x v="28"/>
    <x v="1"/>
    <x v="2"/>
    <s v="EE_Narva"/>
    <x v="22"/>
    <n v="67.680000000000007"/>
    <n v="18.8"/>
  </r>
  <r>
    <x v="0"/>
    <x v="28"/>
    <x v="1"/>
    <x v="2"/>
    <s v="EE_Narva"/>
    <x v="23"/>
    <n v="0.31515896120488701"/>
    <n v="8.7544155890246306E-2"/>
  </r>
  <r>
    <x v="0"/>
    <x v="28"/>
    <x v="1"/>
    <x v="2"/>
    <s v="EE_Narva"/>
    <x v="24"/>
    <n v="19.174223581093901"/>
    <n v="5.32617321697054"/>
  </r>
  <r>
    <x v="0"/>
    <x v="28"/>
    <x v="1"/>
    <x v="2"/>
    <s v="EE_Narva"/>
    <x v="25"/>
    <n v="26.209507293842599"/>
    <n v="7.2804186927340497"/>
  </r>
  <r>
    <x v="0"/>
    <x v="28"/>
    <x v="1"/>
    <x v="2"/>
    <s v="EE_Narva"/>
    <x v="26"/>
    <n v="33.320887798496699"/>
    <n v="9.2558021662490795"/>
  </r>
  <r>
    <x v="0"/>
    <x v="28"/>
    <x v="1"/>
    <x v="2"/>
    <s v="EE_Narva"/>
    <x v="27"/>
    <n v="20.163995508318798"/>
    <n v="5.6011098634218799"/>
  </r>
  <r>
    <x v="0"/>
    <x v="28"/>
    <x v="1"/>
    <x v="2"/>
    <s v="EE_OFFSHORE"/>
    <x v="1"/>
    <n v="35.989199999999997"/>
    <n v="9.9969999999999999"/>
  </r>
  <r>
    <x v="0"/>
    <x v="28"/>
    <x v="1"/>
    <x v="2"/>
    <s v="EE_OFFSHORE"/>
    <x v="2"/>
    <n v="46.08"/>
    <n v="12.8"/>
  </r>
  <r>
    <x v="0"/>
    <x v="28"/>
    <x v="1"/>
    <x v="2"/>
    <s v="EE_OFFSHORE"/>
    <x v="0"/>
    <n v="42.692399999999999"/>
    <n v="11.859"/>
  </r>
  <r>
    <x v="0"/>
    <x v="28"/>
    <x v="1"/>
    <x v="2"/>
    <s v="EE_OFFSHORE"/>
    <x v="3"/>
    <n v="51.633543144067197"/>
    <n v="14.342650873352"/>
  </r>
  <r>
    <x v="0"/>
    <x v="28"/>
    <x v="1"/>
    <x v="2"/>
    <s v="EE_OFFSHORE"/>
    <x v="4"/>
    <n v="6.3500778790389401"/>
    <n v="1.76391052195526"/>
  </r>
  <r>
    <x v="0"/>
    <x v="28"/>
    <x v="1"/>
    <x v="2"/>
    <s v="EE_OFFSHORE"/>
    <x v="5"/>
    <n v="6.3500778790389401"/>
    <n v="1.76391052195526"/>
  </r>
  <r>
    <x v="0"/>
    <x v="28"/>
    <x v="1"/>
    <x v="2"/>
    <s v="EE_OFFSHORE"/>
    <x v="6"/>
    <n v="29.476231795214598"/>
    <n v="8.1878421653373898"/>
  </r>
  <r>
    <x v="0"/>
    <x v="28"/>
    <x v="1"/>
    <x v="2"/>
    <s v="EE_OFFSHORE"/>
    <x v="7"/>
    <n v="57.838935220261199"/>
    <n v="16.066370894517"/>
  </r>
  <r>
    <x v="0"/>
    <x v="28"/>
    <x v="1"/>
    <x v="2"/>
    <s v="EE_OFFSHORE"/>
    <x v="8"/>
    <n v="57.838935220261199"/>
    <n v="16.066370894517"/>
  </r>
  <r>
    <x v="0"/>
    <x v="28"/>
    <x v="1"/>
    <x v="2"/>
    <s v="EE_OFFSHORE"/>
    <x v="9"/>
    <n v="44.4505451532725"/>
    <n v="12.3473736536868"/>
  </r>
  <r>
    <x v="0"/>
    <x v="28"/>
    <x v="1"/>
    <x v="2"/>
    <s v="EE_OFFSHORE"/>
    <x v="10"/>
    <n v="53.975661971830903"/>
    <n v="14.993239436619699"/>
  </r>
  <r>
    <x v="0"/>
    <x v="28"/>
    <x v="1"/>
    <x v="2"/>
    <s v="EE_OFFSHORE"/>
    <x v="11"/>
    <n v="3.8806031483015802"/>
    <n v="1.07794531897266"/>
  </r>
  <r>
    <x v="0"/>
    <x v="28"/>
    <x v="1"/>
    <x v="2"/>
    <s v="EE_OFFSHORE"/>
    <x v="12"/>
    <n v="9.7995028997514597E-2"/>
    <n v="2.72208413881985E-2"/>
  </r>
  <r>
    <x v="0"/>
    <x v="28"/>
    <x v="1"/>
    <x v="2"/>
    <s v="EE_OFFSHORE"/>
    <x v="13"/>
    <n v="29.633696768848399"/>
    <n v="8.2315824357912195"/>
  </r>
  <r>
    <x v="0"/>
    <x v="28"/>
    <x v="1"/>
    <x v="2"/>
    <s v="EE_OFFSHORE"/>
    <x v="14"/>
    <n v="29.633696768848399"/>
    <n v="8.2315824357912195"/>
  </r>
  <r>
    <x v="0"/>
    <x v="28"/>
    <x v="1"/>
    <x v="2"/>
    <s v="EE_OFFSHORE"/>
    <x v="15"/>
    <n v="1.65807589063794"/>
    <n v="0.46057663628831802"/>
  </r>
  <r>
    <x v="0"/>
    <x v="28"/>
    <x v="1"/>
    <x v="2"/>
    <s v="EE_OFFSHORE"/>
    <x v="16"/>
    <n v="6.5458675795335104"/>
    <n v="1.81829654987042"/>
  </r>
  <r>
    <x v="0"/>
    <x v="28"/>
    <x v="1"/>
    <x v="2"/>
    <s v="EE_OFFSHORE"/>
    <x v="17"/>
    <n v="9.1244895875632395"/>
    <n v="2.5345804409897901"/>
  </r>
  <r>
    <x v="0"/>
    <x v="28"/>
    <x v="1"/>
    <x v="2"/>
    <s v="EE_OFFSHORE"/>
    <x v="18"/>
    <n v="29.633696768848399"/>
    <n v="8.2315824357912195"/>
  </r>
  <r>
    <x v="0"/>
    <x v="28"/>
    <x v="1"/>
    <x v="2"/>
    <s v="EE_OFFSHORE"/>
    <x v="19"/>
    <n v="8.1139884009941898"/>
    <n v="2.2538856669428302"/>
  </r>
  <r>
    <x v="0"/>
    <x v="28"/>
    <x v="1"/>
    <x v="2"/>
    <s v="EE_OFFSHORE"/>
    <x v="20"/>
    <n v="22.109183021311601"/>
    <n v="6.1414397281420996"/>
  </r>
  <r>
    <x v="0"/>
    <x v="28"/>
    <x v="1"/>
    <x v="2"/>
    <s v="EE_OFFSHORE"/>
    <x v="21"/>
    <n v="48.24"/>
    <n v="13.4"/>
  </r>
  <r>
    <x v="0"/>
    <x v="28"/>
    <x v="1"/>
    <x v="2"/>
    <s v="EE_OFFSHORE"/>
    <x v="22"/>
    <n v="67.680000000000007"/>
    <n v="18.8"/>
  </r>
  <r>
    <x v="0"/>
    <x v="28"/>
    <x v="1"/>
    <x v="2"/>
    <s v="EE_OFFSHORE"/>
    <x v="23"/>
    <n v="0.31515896120488701"/>
    <n v="8.7544155890246306E-2"/>
  </r>
  <r>
    <x v="0"/>
    <x v="28"/>
    <x v="1"/>
    <x v="2"/>
    <s v="EE_OFFSHORE"/>
    <x v="24"/>
    <n v="19.174223581093901"/>
    <n v="5.32617321697054"/>
  </r>
  <r>
    <x v="0"/>
    <x v="28"/>
    <x v="1"/>
    <x v="2"/>
    <s v="EE_OFFSHORE"/>
    <x v="25"/>
    <n v="26.209507293842599"/>
    <n v="7.2804186927340497"/>
  </r>
  <r>
    <x v="0"/>
    <x v="28"/>
    <x v="1"/>
    <x v="2"/>
    <s v="EE_OFFSHORE"/>
    <x v="26"/>
    <n v="33.320887798496699"/>
    <n v="9.2558021662490795"/>
  </r>
  <r>
    <x v="0"/>
    <x v="28"/>
    <x v="1"/>
    <x v="2"/>
    <s v="EE_OFFSHORE"/>
    <x v="27"/>
    <n v="20.163995508318798"/>
    <n v="5.6011098634218799"/>
  </r>
  <r>
    <x v="0"/>
    <x v="28"/>
    <x v="1"/>
    <x v="2"/>
    <s v="EE_Parnu"/>
    <x v="1"/>
    <n v="35.989199999999997"/>
    <n v="9.9969999999999999"/>
  </r>
  <r>
    <x v="0"/>
    <x v="28"/>
    <x v="1"/>
    <x v="2"/>
    <s v="EE_Parnu"/>
    <x v="2"/>
    <n v="46.08"/>
    <n v="12.8"/>
  </r>
  <r>
    <x v="0"/>
    <x v="28"/>
    <x v="1"/>
    <x v="2"/>
    <s v="EE_Parnu"/>
    <x v="0"/>
    <n v="42.692399999999999"/>
    <n v="11.859"/>
  </r>
  <r>
    <x v="0"/>
    <x v="28"/>
    <x v="1"/>
    <x v="2"/>
    <s v="EE_Parnu"/>
    <x v="3"/>
    <n v="51.633543144067197"/>
    <n v="14.342650873352"/>
  </r>
  <r>
    <x v="0"/>
    <x v="28"/>
    <x v="1"/>
    <x v="2"/>
    <s v="EE_Parnu"/>
    <x v="4"/>
    <n v="6.3500778790389401"/>
    <n v="1.76391052195526"/>
  </r>
  <r>
    <x v="0"/>
    <x v="28"/>
    <x v="1"/>
    <x v="2"/>
    <s v="EE_Parnu"/>
    <x v="5"/>
    <n v="6.3500778790389401"/>
    <n v="1.76391052195526"/>
  </r>
  <r>
    <x v="0"/>
    <x v="28"/>
    <x v="1"/>
    <x v="2"/>
    <s v="EE_Parnu"/>
    <x v="6"/>
    <n v="29.476231795214598"/>
    <n v="8.1878421653373898"/>
  </r>
  <r>
    <x v="0"/>
    <x v="28"/>
    <x v="1"/>
    <x v="2"/>
    <s v="EE_Parnu"/>
    <x v="7"/>
    <n v="57.838935220261199"/>
    <n v="16.066370894517"/>
  </r>
  <r>
    <x v="0"/>
    <x v="28"/>
    <x v="1"/>
    <x v="2"/>
    <s v="EE_Parnu"/>
    <x v="8"/>
    <n v="57.838935220261199"/>
    <n v="16.066370894517"/>
  </r>
  <r>
    <x v="0"/>
    <x v="28"/>
    <x v="1"/>
    <x v="2"/>
    <s v="EE_Parnu"/>
    <x v="9"/>
    <n v="44.4505451532725"/>
    <n v="12.3473736536868"/>
  </r>
  <r>
    <x v="0"/>
    <x v="28"/>
    <x v="1"/>
    <x v="2"/>
    <s v="EE_Parnu"/>
    <x v="10"/>
    <n v="53.975661971830903"/>
    <n v="14.993239436619699"/>
  </r>
  <r>
    <x v="0"/>
    <x v="28"/>
    <x v="1"/>
    <x v="2"/>
    <s v="EE_Parnu"/>
    <x v="11"/>
    <n v="3.8806031483015802"/>
    <n v="1.07794531897266"/>
  </r>
  <r>
    <x v="0"/>
    <x v="28"/>
    <x v="1"/>
    <x v="2"/>
    <s v="EE_Parnu"/>
    <x v="12"/>
    <n v="9.7995028997514597E-2"/>
    <n v="2.72208413881985E-2"/>
  </r>
  <r>
    <x v="0"/>
    <x v="28"/>
    <x v="1"/>
    <x v="2"/>
    <s v="EE_Parnu"/>
    <x v="13"/>
    <n v="29.633696768848399"/>
    <n v="8.2315824357912195"/>
  </r>
  <r>
    <x v="0"/>
    <x v="28"/>
    <x v="1"/>
    <x v="2"/>
    <s v="EE_Parnu"/>
    <x v="14"/>
    <n v="29.633696768848399"/>
    <n v="8.2315824357912195"/>
  </r>
  <r>
    <x v="0"/>
    <x v="28"/>
    <x v="1"/>
    <x v="2"/>
    <s v="EE_Parnu"/>
    <x v="15"/>
    <n v="1.65807589063794"/>
    <n v="0.46057663628831802"/>
  </r>
  <r>
    <x v="0"/>
    <x v="28"/>
    <x v="1"/>
    <x v="2"/>
    <s v="EE_Parnu"/>
    <x v="16"/>
    <n v="6.5458675795335104"/>
    <n v="1.81829654987042"/>
  </r>
  <r>
    <x v="0"/>
    <x v="28"/>
    <x v="1"/>
    <x v="2"/>
    <s v="EE_Parnu"/>
    <x v="17"/>
    <n v="9.1244895875632395"/>
    <n v="2.5345804409897901"/>
  </r>
  <r>
    <x v="0"/>
    <x v="28"/>
    <x v="1"/>
    <x v="2"/>
    <s v="EE_Parnu"/>
    <x v="18"/>
    <n v="29.633696768848399"/>
    <n v="8.2315824357912195"/>
  </r>
  <r>
    <x v="0"/>
    <x v="28"/>
    <x v="1"/>
    <x v="2"/>
    <s v="EE_Parnu"/>
    <x v="19"/>
    <n v="8.1139884009941898"/>
    <n v="2.2538856669428302"/>
  </r>
  <r>
    <x v="0"/>
    <x v="28"/>
    <x v="1"/>
    <x v="2"/>
    <s v="EE_Parnu"/>
    <x v="20"/>
    <n v="22.109183021311601"/>
    <n v="6.1414397281420996"/>
  </r>
  <r>
    <x v="0"/>
    <x v="28"/>
    <x v="1"/>
    <x v="2"/>
    <s v="EE_Parnu"/>
    <x v="21"/>
    <n v="48.24"/>
    <n v="13.4"/>
  </r>
  <r>
    <x v="0"/>
    <x v="28"/>
    <x v="1"/>
    <x v="2"/>
    <s v="EE_Parnu"/>
    <x v="22"/>
    <n v="67.680000000000007"/>
    <n v="18.8"/>
  </r>
  <r>
    <x v="0"/>
    <x v="28"/>
    <x v="1"/>
    <x v="2"/>
    <s v="EE_Parnu"/>
    <x v="23"/>
    <n v="0.31515896120488701"/>
    <n v="8.7544155890246306E-2"/>
  </r>
  <r>
    <x v="0"/>
    <x v="28"/>
    <x v="1"/>
    <x v="2"/>
    <s v="EE_Parnu"/>
    <x v="24"/>
    <n v="19.174223581093901"/>
    <n v="5.32617321697054"/>
  </r>
  <r>
    <x v="0"/>
    <x v="28"/>
    <x v="1"/>
    <x v="2"/>
    <s v="EE_Parnu"/>
    <x v="25"/>
    <n v="26.209507293842599"/>
    <n v="7.2804186927340497"/>
  </r>
  <r>
    <x v="0"/>
    <x v="28"/>
    <x v="1"/>
    <x v="2"/>
    <s v="EE_Parnu"/>
    <x v="26"/>
    <n v="33.320887798496699"/>
    <n v="9.2558021662490795"/>
  </r>
  <r>
    <x v="0"/>
    <x v="28"/>
    <x v="1"/>
    <x v="2"/>
    <s v="EE_Parnu"/>
    <x v="27"/>
    <n v="20.163995508318798"/>
    <n v="5.6011098634218799"/>
  </r>
  <r>
    <x v="0"/>
    <x v="28"/>
    <x v="1"/>
    <x v="2"/>
    <s v="EE_Rural"/>
    <x v="1"/>
    <n v="35.989199999999997"/>
    <n v="9.9969999999999999"/>
  </r>
  <r>
    <x v="0"/>
    <x v="28"/>
    <x v="1"/>
    <x v="2"/>
    <s v="EE_Rural"/>
    <x v="2"/>
    <n v="46.08"/>
    <n v="12.8"/>
  </r>
  <r>
    <x v="0"/>
    <x v="28"/>
    <x v="1"/>
    <x v="2"/>
    <s v="EE_Rural"/>
    <x v="0"/>
    <n v="42.692399999999999"/>
    <n v="11.859"/>
  </r>
  <r>
    <x v="0"/>
    <x v="28"/>
    <x v="1"/>
    <x v="2"/>
    <s v="EE_Rural"/>
    <x v="3"/>
    <n v="51.633543144067197"/>
    <n v="14.342650873352"/>
  </r>
  <r>
    <x v="0"/>
    <x v="28"/>
    <x v="1"/>
    <x v="2"/>
    <s v="EE_Rural"/>
    <x v="4"/>
    <n v="6.3500778790389401"/>
    <n v="1.76391052195526"/>
  </r>
  <r>
    <x v="0"/>
    <x v="28"/>
    <x v="1"/>
    <x v="2"/>
    <s v="EE_Rural"/>
    <x v="5"/>
    <n v="6.3500778790389401"/>
    <n v="1.76391052195526"/>
  </r>
  <r>
    <x v="0"/>
    <x v="28"/>
    <x v="1"/>
    <x v="2"/>
    <s v="EE_Rural"/>
    <x v="6"/>
    <n v="29.476231795214598"/>
    <n v="8.1878421653373898"/>
  </r>
  <r>
    <x v="0"/>
    <x v="28"/>
    <x v="1"/>
    <x v="2"/>
    <s v="EE_Rural"/>
    <x v="7"/>
    <n v="57.838935220261199"/>
    <n v="16.066370894517"/>
  </r>
  <r>
    <x v="0"/>
    <x v="28"/>
    <x v="1"/>
    <x v="2"/>
    <s v="EE_Rural"/>
    <x v="8"/>
    <n v="57.838935220261199"/>
    <n v="16.066370894517"/>
  </r>
  <r>
    <x v="0"/>
    <x v="28"/>
    <x v="1"/>
    <x v="2"/>
    <s v="EE_Rural"/>
    <x v="9"/>
    <n v="44.4505451532725"/>
    <n v="12.3473736536868"/>
  </r>
  <r>
    <x v="0"/>
    <x v="28"/>
    <x v="1"/>
    <x v="2"/>
    <s v="EE_Rural"/>
    <x v="10"/>
    <n v="53.975661971830903"/>
    <n v="14.993239436619699"/>
  </r>
  <r>
    <x v="0"/>
    <x v="28"/>
    <x v="1"/>
    <x v="2"/>
    <s v="EE_Rural"/>
    <x v="11"/>
    <n v="3.8806031483015802"/>
    <n v="1.07794531897266"/>
  </r>
  <r>
    <x v="0"/>
    <x v="28"/>
    <x v="1"/>
    <x v="2"/>
    <s v="EE_Rural"/>
    <x v="12"/>
    <n v="9.7995028997514597E-2"/>
    <n v="2.72208413881985E-2"/>
  </r>
  <r>
    <x v="0"/>
    <x v="28"/>
    <x v="1"/>
    <x v="2"/>
    <s v="EE_Rural"/>
    <x v="13"/>
    <n v="29.633696768848399"/>
    <n v="8.2315824357912195"/>
  </r>
  <r>
    <x v="0"/>
    <x v="28"/>
    <x v="1"/>
    <x v="2"/>
    <s v="EE_Rural"/>
    <x v="14"/>
    <n v="29.633696768848399"/>
    <n v="8.2315824357912195"/>
  </r>
  <r>
    <x v="0"/>
    <x v="28"/>
    <x v="1"/>
    <x v="2"/>
    <s v="EE_Rural"/>
    <x v="15"/>
    <n v="1.65807589063794"/>
    <n v="0.46057663628831802"/>
  </r>
  <r>
    <x v="0"/>
    <x v="28"/>
    <x v="1"/>
    <x v="2"/>
    <s v="EE_Rural"/>
    <x v="16"/>
    <n v="6.5458675795335104"/>
    <n v="1.81829654987042"/>
  </r>
  <r>
    <x v="0"/>
    <x v="28"/>
    <x v="1"/>
    <x v="2"/>
    <s v="EE_Rural"/>
    <x v="17"/>
    <n v="9.1244895875632395"/>
    <n v="2.5345804409897901"/>
  </r>
  <r>
    <x v="0"/>
    <x v="28"/>
    <x v="1"/>
    <x v="2"/>
    <s v="EE_Rural"/>
    <x v="18"/>
    <n v="29.633696768848399"/>
    <n v="8.2315824357912195"/>
  </r>
  <r>
    <x v="0"/>
    <x v="28"/>
    <x v="1"/>
    <x v="2"/>
    <s v="EE_Rural"/>
    <x v="19"/>
    <n v="8.1139884009941898"/>
    <n v="2.2538856669428302"/>
  </r>
  <r>
    <x v="0"/>
    <x v="28"/>
    <x v="1"/>
    <x v="2"/>
    <s v="EE_Rural"/>
    <x v="20"/>
    <n v="22.109183021311601"/>
    <n v="6.1414397281420996"/>
  </r>
  <r>
    <x v="0"/>
    <x v="28"/>
    <x v="1"/>
    <x v="2"/>
    <s v="EE_Rural"/>
    <x v="21"/>
    <n v="48.24"/>
    <n v="13.4"/>
  </r>
  <r>
    <x v="0"/>
    <x v="28"/>
    <x v="1"/>
    <x v="2"/>
    <s v="EE_Rural"/>
    <x v="22"/>
    <n v="67.680000000000007"/>
    <n v="18.8"/>
  </r>
  <r>
    <x v="0"/>
    <x v="28"/>
    <x v="1"/>
    <x v="2"/>
    <s v="EE_Rural"/>
    <x v="23"/>
    <n v="0.31515896120488701"/>
    <n v="8.7544155890246306E-2"/>
  </r>
  <r>
    <x v="0"/>
    <x v="28"/>
    <x v="1"/>
    <x v="2"/>
    <s v="EE_Rural"/>
    <x v="24"/>
    <n v="19.174223581093901"/>
    <n v="5.32617321697054"/>
  </r>
  <r>
    <x v="0"/>
    <x v="28"/>
    <x v="1"/>
    <x v="2"/>
    <s v="EE_Rural"/>
    <x v="25"/>
    <n v="26.209507293842599"/>
    <n v="7.2804186927340497"/>
  </r>
  <r>
    <x v="0"/>
    <x v="28"/>
    <x v="1"/>
    <x v="2"/>
    <s v="EE_Rural"/>
    <x v="26"/>
    <n v="33.320887798496699"/>
    <n v="9.2558021662490795"/>
  </r>
  <r>
    <x v="0"/>
    <x v="28"/>
    <x v="1"/>
    <x v="2"/>
    <s v="EE_Rural"/>
    <x v="27"/>
    <n v="20.163995508318798"/>
    <n v="5.6011098634218799"/>
  </r>
  <r>
    <x v="0"/>
    <x v="28"/>
    <x v="1"/>
    <x v="2"/>
    <s v="EE_Sillamae"/>
    <x v="1"/>
    <n v="35.989199999999997"/>
    <n v="9.9969999999999999"/>
  </r>
  <r>
    <x v="0"/>
    <x v="28"/>
    <x v="1"/>
    <x v="2"/>
    <s v="EE_Sillamae"/>
    <x v="2"/>
    <n v="46.08"/>
    <n v="12.8"/>
  </r>
  <r>
    <x v="0"/>
    <x v="28"/>
    <x v="1"/>
    <x v="2"/>
    <s v="EE_Sillamae"/>
    <x v="0"/>
    <n v="42.692399999999999"/>
    <n v="11.859"/>
  </r>
  <r>
    <x v="0"/>
    <x v="28"/>
    <x v="1"/>
    <x v="2"/>
    <s v="EE_Sillamae"/>
    <x v="3"/>
    <n v="51.633543144067197"/>
    <n v="14.342650873352"/>
  </r>
  <r>
    <x v="0"/>
    <x v="28"/>
    <x v="1"/>
    <x v="2"/>
    <s v="EE_Sillamae"/>
    <x v="4"/>
    <n v="6.3500778790389401"/>
    <n v="1.76391052195526"/>
  </r>
  <r>
    <x v="0"/>
    <x v="28"/>
    <x v="1"/>
    <x v="2"/>
    <s v="EE_Sillamae"/>
    <x v="5"/>
    <n v="6.3500778790389401"/>
    <n v="1.76391052195526"/>
  </r>
  <r>
    <x v="0"/>
    <x v="28"/>
    <x v="1"/>
    <x v="2"/>
    <s v="EE_Sillamae"/>
    <x v="6"/>
    <n v="29.476231795214598"/>
    <n v="8.1878421653373898"/>
  </r>
  <r>
    <x v="0"/>
    <x v="28"/>
    <x v="1"/>
    <x v="2"/>
    <s v="EE_Sillamae"/>
    <x v="7"/>
    <n v="57.838935220261199"/>
    <n v="16.066370894517"/>
  </r>
  <r>
    <x v="0"/>
    <x v="28"/>
    <x v="1"/>
    <x v="2"/>
    <s v="EE_Sillamae"/>
    <x v="8"/>
    <n v="57.838935220261199"/>
    <n v="16.066370894517"/>
  </r>
  <r>
    <x v="0"/>
    <x v="28"/>
    <x v="1"/>
    <x v="2"/>
    <s v="EE_Sillamae"/>
    <x v="9"/>
    <n v="44.4505451532725"/>
    <n v="12.3473736536868"/>
  </r>
  <r>
    <x v="0"/>
    <x v="28"/>
    <x v="1"/>
    <x v="2"/>
    <s v="EE_Sillamae"/>
    <x v="10"/>
    <n v="53.975661971830903"/>
    <n v="14.993239436619699"/>
  </r>
  <r>
    <x v="0"/>
    <x v="28"/>
    <x v="1"/>
    <x v="2"/>
    <s v="EE_Sillamae"/>
    <x v="11"/>
    <n v="3.8806031483015802"/>
    <n v="1.07794531897266"/>
  </r>
  <r>
    <x v="0"/>
    <x v="28"/>
    <x v="1"/>
    <x v="2"/>
    <s v="EE_Sillamae"/>
    <x v="12"/>
    <n v="9.7995028997514597E-2"/>
    <n v="2.72208413881985E-2"/>
  </r>
  <r>
    <x v="0"/>
    <x v="28"/>
    <x v="1"/>
    <x v="2"/>
    <s v="EE_Sillamae"/>
    <x v="13"/>
    <n v="29.633696768848399"/>
    <n v="8.2315824357912195"/>
  </r>
  <r>
    <x v="0"/>
    <x v="28"/>
    <x v="1"/>
    <x v="2"/>
    <s v="EE_Sillamae"/>
    <x v="14"/>
    <n v="29.633696768848399"/>
    <n v="8.2315824357912195"/>
  </r>
  <r>
    <x v="0"/>
    <x v="28"/>
    <x v="1"/>
    <x v="2"/>
    <s v="EE_Sillamae"/>
    <x v="15"/>
    <n v="1.65807589063794"/>
    <n v="0.46057663628831802"/>
  </r>
  <r>
    <x v="0"/>
    <x v="28"/>
    <x v="1"/>
    <x v="2"/>
    <s v="EE_Sillamae"/>
    <x v="16"/>
    <n v="6.5458675795335104"/>
    <n v="1.81829654987042"/>
  </r>
  <r>
    <x v="0"/>
    <x v="28"/>
    <x v="1"/>
    <x v="2"/>
    <s v="EE_Sillamae"/>
    <x v="17"/>
    <n v="9.1244895875632395"/>
    <n v="2.5345804409897901"/>
  </r>
  <r>
    <x v="0"/>
    <x v="28"/>
    <x v="1"/>
    <x v="2"/>
    <s v="EE_Sillamae"/>
    <x v="18"/>
    <n v="29.633696768848399"/>
    <n v="8.2315824357912195"/>
  </r>
  <r>
    <x v="0"/>
    <x v="28"/>
    <x v="1"/>
    <x v="2"/>
    <s v="EE_Sillamae"/>
    <x v="19"/>
    <n v="8.1139884009941898"/>
    <n v="2.2538856669428302"/>
  </r>
  <r>
    <x v="0"/>
    <x v="28"/>
    <x v="1"/>
    <x v="2"/>
    <s v="EE_Sillamae"/>
    <x v="20"/>
    <n v="22.109183021311601"/>
    <n v="6.1414397281420996"/>
  </r>
  <r>
    <x v="0"/>
    <x v="28"/>
    <x v="1"/>
    <x v="2"/>
    <s v="EE_Sillamae"/>
    <x v="21"/>
    <n v="48.24"/>
    <n v="13.4"/>
  </r>
  <r>
    <x v="0"/>
    <x v="28"/>
    <x v="1"/>
    <x v="2"/>
    <s v="EE_Sillamae"/>
    <x v="22"/>
    <n v="67.680000000000007"/>
    <n v="18.8"/>
  </r>
  <r>
    <x v="0"/>
    <x v="28"/>
    <x v="1"/>
    <x v="2"/>
    <s v="EE_Sillamae"/>
    <x v="23"/>
    <n v="0.31515896120488701"/>
    <n v="8.7544155890246306E-2"/>
  </r>
  <r>
    <x v="0"/>
    <x v="28"/>
    <x v="1"/>
    <x v="2"/>
    <s v="EE_Sillamae"/>
    <x v="24"/>
    <n v="19.174223581093901"/>
    <n v="5.32617321697054"/>
  </r>
  <r>
    <x v="0"/>
    <x v="28"/>
    <x v="1"/>
    <x v="2"/>
    <s v="EE_Sillamae"/>
    <x v="25"/>
    <n v="26.209507293842599"/>
    <n v="7.2804186927340497"/>
  </r>
  <r>
    <x v="0"/>
    <x v="28"/>
    <x v="1"/>
    <x v="2"/>
    <s v="EE_Sillamae"/>
    <x v="26"/>
    <n v="33.320887798496699"/>
    <n v="9.2558021662490795"/>
  </r>
  <r>
    <x v="0"/>
    <x v="28"/>
    <x v="1"/>
    <x v="2"/>
    <s v="EE_Sillamae"/>
    <x v="27"/>
    <n v="20.163995508318798"/>
    <n v="5.6011098634218799"/>
  </r>
  <r>
    <x v="0"/>
    <x v="28"/>
    <x v="1"/>
    <x v="2"/>
    <s v="EE_Tallinn"/>
    <x v="1"/>
    <n v="35.989199999999997"/>
    <n v="9.9969999999999999"/>
  </r>
  <r>
    <x v="0"/>
    <x v="28"/>
    <x v="1"/>
    <x v="2"/>
    <s v="EE_Tallinn"/>
    <x v="2"/>
    <n v="46.08"/>
    <n v="12.8"/>
  </r>
  <r>
    <x v="0"/>
    <x v="28"/>
    <x v="1"/>
    <x v="2"/>
    <s v="EE_Tallinn"/>
    <x v="0"/>
    <n v="42.692399999999999"/>
    <n v="11.859"/>
  </r>
  <r>
    <x v="0"/>
    <x v="28"/>
    <x v="1"/>
    <x v="2"/>
    <s v="EE_Tallinn"/>
    <x v="3"/>
    <n v="51.633543144067197"/>
    <n v="14.342650873352"/>
  </r>
  <r>
    <x v="0"/>
    <x v="28"/>
    <x v="1"/>
    <x v="2"/>
    <s v="EE_Tallinn"/>
    <x v="4"/>
    <n v="6.3500778790389401"/>
    <n v="1.76391052195526"/>
  </r>
  <r>
    <x v="0"/>
    <x v="28"/>
    <x v="1"/>
    <x v="2"/>
    <s v="EE_Tallinn"/>
    <x v="5"/>
    <n v="6.3500778790389401"/>
    <n v="1.76391052195526"/>
  </r>
  <r>
    <x v="0"/>
    <x v="28"/>
    <x v="1"/>
    <x v="2"/>
    <s v="EE_Tallinn"/>
    <x v="6"/>
    <n v="29.476231795214598"/>
    <n v="8.1878421653373898"/>
  </r>
  <r>
    <x v="0"/>
    <x v="28"/>
    <x v="1"/>
    <x v="2"/>
    <s v="EE_Tallinn"/>
    <x v="7"/>
    <n v="57.838935220261199"/>
    <n v="16.066370894517"/>
  </r>
  <r>
    <x v="0"/>
    <x v="28"/>
    <x v="1"/>
    <x v="2"/>
    <s v="EE_Tallinn"/>
    <x v="8"/>
    <n v="57.838935220261199"/>
    <n v="16.066370894517"/>
  </r>
  <r>
    <x v="0"/>
    <x v="28"/>
    <x v="1"/>
    <x v="2"/>
    <s v="EE_Tallinn"/>
    <x v="9"/>
    <n v="44.4505451532725"/>
    <n v="12.3473736536868"/>
  </r>
  <r>
    <x v="0"/>
    <x v="28"/>
    <x v="1"/>
    <x v="2"/>
    <s v="EE_Tallinn"/>
    <x v="10"/>
    <n v="53.975661971830903"/>
    <n v="14.993239436619699"/>
  </r>
  <r>
    <x v="0"/>
    <x v="28"/>
    <x v="1"/>
    <x v="2"/>
    <s v="EE_Tallinn"/>
    <x v="11"/>
    <n v="3.8806031483015802"/>
    <n v="1.07794531897266"/>
  </r>
  <r>
    <x v="0"/>
    <x v="28"/>
    <x v="1"/>
    <x v="2"/>
    <s v="EE_Tallinn"/>
    <x v="12"/>
    <n v="9.7995028997514597E-2"/>
    <n v="2.72208413881985E-2"/>
  </r>
  <r>
    <x v="0"/>
    <x v="28"/>
    <x v="1"/>
    <x v="2"/>
    <s v="EE_Tallinn"/>
    <x v="13"/>
    <n v="29.633696768848399"/>
    <n v="8.2315824357912195"/>
  </r>
  <r>
    <x v="0"/>
    <x v="28"/>
    <x v="1"/>
    <x v="2"/>
    <s v="EE_Tallinn"/>
    <x v="14"/>
    <n v="29.633696768848399"/>
    <n v="8.2315824357912195"/>
  </r>
  <r>
    <x v="0"/>
    <x v="28"/>
    <x v="1"/>
    <x v="2"/>
    <s v="EE_Tallinn"/>
    <x v="15"/>
    <n v="1.65807589063794"/>
    <n v="0.46057663628831802"/>
  </r>
  <r>
    <x v="0"/>
    <x v="28"/>
    <x v="1"/>
    <x v="2"/>
    <s v="EE_Tallinn"/>
    <x v="16"/>
    <n v="6.5458675795335104"/>
    <n v="1.81829654987042"/>
  </r>
  <r>
    <x v="0"/>
    <x v="28"/>
    <x v="1"/>
    <x v="2"/>
    <s v="EE_Tallinn"/>
    <x v="17"/>
    <n v="9.1244895875632395"/>
    <n v="2.5345804409897901"/>
  </r>
  <r>
    <x v="0"/>
    <x v="28"/>
    <x v="1"/>
    <x v="2"/>
    <s v="EE_Tallinn"/>
    <x v="18"/>
    <n v="29.633696768848399"/>
    <n v="8.2315824357912195"/>
  </r>
  <r>
    <x v="0"/>
    <x v="28"/>
    <x v="1"/>
    <x v="2"/>
    <s v="EE_Tallinn"/>
    <x v="19"/>
    <n v="8.1139884009941898"/>
    <n v="2.2538856669428302"/>
  </r>
  <r>
    <x v="0"/>
    <x v="28"/>
    <x v="1"/>
    <x v="2"/>
    <s v="EE_Tallinn"/>
    <x v="20"/>
    <n v="22.109183021311601"/>
    <n v="6.1414397281420996"/>
  </r>
  <r>
    <x v="0"/>
    <x v="28"/>
    <x v="1"/>
    <x v="2"/>
    <s v="EE_Tallinn"/>
    <x v="21"/>
    <n v="48.24"/>
    <n v="13.4"/>
  </r>
  <r>
    <x v="0"/>
    <x v="28"/>
    <x v="1"/>
    <x v="2"/>
    <s v="EE_Tallinn"/>
    <x v="22"/>
    <n v="67.680000000000007"/>
    <n v="18.8"/>
  </r>
  <r>
    <x v="0"/>
    <x v="28"/>
    <x v="1"/>
    <x v="2"/>
    <s v="EE_Tallinn"/>
    <x v="23"/>
    <n v="0.31515896120488701"/>
    <n v="8.7544155890246306E-2"/>
  </r>
  <r>
    <x v="0"/>
    <x v="28"/>
    <x v="1"/>
    <x v="2"/>
    <s v="EE_Tallinn"/>
    <x v="24"/>
    <n v="19.174223581093901"/>
    <n v="5.32617321697054"/>
  </r>
  <r>
    <x v="0"/>
    <x v="28"/>
    <x v="1"/>
    <x v="2"/>
    <s v="EE_Tallinn"/>
    <x v="25"/>
    <n v="26.209507293842599"/>
    <n v="7.2804186927340497"/>
  </r>
  <r>
    <x v="0"/>
    <x v="28"/>
    <x v="1"/>
    <x v="2"/>
    <s v="EE_Tallinn"/>
    <x v="26"/>
    <n v="33.320887798496699"/>
    <n v="9.2558021662490795"/>
  </r>
  <r>
    <x v="0"/>
    <x v="28"/>
    <x v="1"/>
    <x v="2"/>
    <s v="EE_Tallinn"/>
    <x v="27"/>
    <n v="20.163995508318798"/>
    <n v="5.6011098634218799"/>
  </r>
  <r>
    <x v="0"/>
    <x v="28"/>
    <x v="1"/>
    <x v="2"/>
    <s v="EE_Tartu"/>
    <x v="1"/>
    <n v="35.989199999999997"/>
    <n v="9.9969999999999999"/>
  </r>
  <r>
    <x v="0"/>
    <x v="28"/>
    <x v="1"/>
    <x v="2"/>
    <s v="EE_Tartu"/>
    <x v="2"/>
    <n v="46.08"/>
    <n v="12.8"/>
  </r>
  <r>
    <x v="0"/>
    <x v="28"/>
    <x v="1"/>
    <x v="2"/>
    <s v="EE_Tartu"/>
    <x v="0"/>
    <n v="42.692399999999999"/>
    <n v="11.859"/>
  </r>
  <r>
    <x v="0"/>
    <x v="28"/>
    <x v="1"/>
    <x v="2"/>
    <s v="EE_Tartu"/>
    <x v="3"/>
    <n v="51.633543144067197"/>
    <n v="14.342650873352"/>
  </r>
  <r>
    <x v="0"/>
    <x v="28"/>
    <x v="1"/>
    <x v="2"/>
    <s v="EE_Tartu"/>
    <x v="4"/>
    <n v="6.3500778790389401"/>
    <n v="1.76391052195526"/>
  </r>
  <r>
    <x v="0"/>
    <x v="28"/>
    <x v="1"/>
    <x v="2"/>
    <s v="EE_Tartu"/>
    <x v="5"/>
    <n v="6.3500778790389401"/>
    <n v="1.76391052195526"/>
  </r>
  <r>
    <x v="0"/>
    <x v="28"/>
    <x v="1"/>
    <x v="2"/>
    <s v="EE_Tartu"/>
    <x v="6"/>
    <n v="29.476231795214598"/>
    <n v="8.1878421653373898"/>
  </r>
  <r>
    <x v="0"/>
    <x v="28"/>
    <x v="1"/>
    <x v="2"/>
    <s v="EE_Tartu"/>
    <x v="7"/>
    <n v="57.838935220261199"/>
    <n v="16.066370894517"/>
  </r>
  <r>
    <x v="0"/>
    <x v="28"/>
    <x v="1"/>
    <x v="2"/>
    <s v="EE_Tartu"/>
    <x v="8"/>
    <n v="57.838935220261199"/>
    <n v="16.066370894517"/>
  </r>
  <r>
    <x v="0"/>
    <x v="28"/>
    <x v="1"/>
    <x v="2"/>
    <s v="EE_Tartu"/>
    <x v="9"/>
    <n v="44.4505451532725"/>
    <n v="12.3473736536868"/>
  </r>
  <r>
    <x v="0"/>
    <x v="28"/>
    <x v="1"/>
    <x v="2"/>
    <s v="EE_Tartu"/>
    <x v="10"/>
    <n v="53.975661971830903"/>
    <n v="14.993239436619699"/>
  </r>
  <r>
    <x v="0"/>
    <x v="28"/>
    <x v="1"/>
    <x v="2"/>
    <s v="EE_Tartu"/>
    <x v="11"/>
    <n v="3.8806031483015802"/>
    <n v="1.07794531897266"/>
  </r>
  <r>
    <x v="0"/>
    <x v="28"/>
    <x v="1"/>
    <x v="2"/>
    <s v="EE_Tartu"/>
    <x v="12"/>
    <n v="9.7995028997514597E-2"/>
    <n v="2.72208413881985E-2"/>
  </r>
  <r>
    <x v="0"/>
    <x v="28"/>
    <x v="1"/>
    <x v="2"/>
    <s v="EE_Tartu"/>
    <x v="13"/>
    <n v="29.633696768848399"/>
    <n v="8.2315824357912195"/>
  </r>
  <r>
    <x v="0"/>
    <x v="28"/>
    <x v="1"/>
    <x v="2"/>
    <s v="EE_Tartu"/>
    <x v="14"/>
    <n v="29.633696768848399"/>
    <n v="8.2315824357912195"/>
  </r>
  <r>
    <x v="0"/>
    <x v="28"/>
    <x v="1"/>
    <x v="2"/>
    <s v="EE_Tartu"/>
    <x v="15"/>
    <n v="1.65807589063794"/>
    <n v="0.46057663628831802"/>
  </r>
  <r>
    <x v="0"/>
    <x v="28"/>
    <x v="1"/>
    <x v="2"/>
    <s v="EE_Tartu"/>
    <x v="16"/>
    <n v="6.5458675795335104"/>
    <n v="1.81829654987042"/>
  </r>
  <r>
    <x v="0"/>
    <x v="28"/>
    <x v="1"/>
    <x v="2"/>
    <s v="EE_Tartu"/>
    <x v="17"/>
    <n v="9.1244895875632395"/>
    <n v="2.5345804409897901"/>
  </r>
  <r>
    <x v="0"/>
    <x v="28"/>
    <x v="1"/>
    <x v="2"/>
    <s v="EE_Tartu"/>
    <x v="18"/>
    <n v="29.633696768848399"/>
    <n v="8.2315824357912195"/>
  </r>
  <r>
    <x v="0"/>
    <x v="28"/>
    <x v="1"/>
    <x v="2"/>
    <s v="EE_Tartu"/>
    <x v="19"/>
    <n v="8.1139884009941898"/>
    <n v="2.2538856669428302"/>
  </r>
  <r>
    <x v="0"/>
    <x v="28"/>
    <x v="1"/>
    <x v="2"/>
    <s v="EE_Tartu"/>
    <x v="20"/>
    <n v="22.109183021311601"/>
    <n v="6.1414397281420996"/>
  </r>
  <r>
    <x v="0"/>
    <x v="28"/>
    <x v="1"/>
    <x v="2"/>
    <s v="EE_Tartu"/>
    <x v="21"/>
    <n v="48.24"/>
    <n v="13.4"/>
  </r>
  <r>
    <x v="0"/>
    <x v="28"/>
    <x v="1"/>
    <x v="2"/>
    <s v="EE_Tartu"/>
    <x v="22"/>
    <n v="67.680000000000007"/>
    <n v="18.8"/>
  </r>
  <r>
    <x v="0"/>
    <x v="28"/>
    <x v="1"/>
    <x v="2"/>
    <s v="EE_Tartu"/>
    <x v="23"/>
    <n v="0.31515896120488701"/>
    <n v="8.7544155890246306E-2"/>
  </r>
  <r>
    <x v="0"/>
    <x v="28"/>
    <x v="1"/>
    <x v="2"/>
    <s v="EE_Tartu"/>
    <x v="24"/>
    <n v="19.174223581093901"/>
    <n v="5.32617321697054"/>
  </r>
  <r>
    <x v="0"/>
    <x v="28"/>
    <x v="1"/>
    <x v="2"/>
    <s v="EE_Tartu"/>
    <x v="25"/>
    <n v="26.209507293842599"/>
    <n v="7.2804186927340497"/>
  </r>
  <r>
    <x v="0"/>
    <x v="28"/>
    <x v="1"/>
    <x v="2"/>
    <s v="EE_Tartu"/>
    <x v="26"/>
    <n v="33.320887798496699"/>
    <n v="9.2558021662490795"/>
  </r>
  <r>
    <x v="0"/>
    <x v="28"/>
    <x v="1"/>
    <x v="2"/>
    <s v="EE_Tartu"/>
    <x v="27"/>
    <n v="20.163995508318798"/>
    <n v="5.6011098634218799"/>
  </r>
  <r>
    <x v="0"/>
    <x v="28"/>
    <x v="1"/>
    <x v="2"/>
    <s v="EE_Urban"/>
    <x v="1"/>
    <n v="35.989199999999997"/>
    <n v="9.9969999999999999"/>
  </r>
  <r>
    <x v="0"/>
    <x v="28"/>
    <x v="1"/>
    <x v="2"/>
    <s v="EE_Urban"/>
    <x v="2"/>
    <n v="46.08"/>
    <n v="12.8"/>
  </r>
  <r>
    <x v="0"/>
    <x v="28"/>
    <x v="1"/>
    <x v="2"/>
    <s v="EE_Urban"/>
    <x v="0"/>
    <n v="42.692399999999999"/>
    <n v="11.859"/>
  </r>
  <r>
    <x v="0"/>
    <x v="28"/>
    <x v="1"/>
    <x v="2"/>
    <s v="EE_Urban"/>
    <x v="3"/>
    <n v="51.633543144067197"/>
    <n v="14.342650873352"/>
  </r>
  <r>
    <x v="0"/>
    <x v="28"/>
    <x v="1"/>
    <x v="2"/>
    <s v="EE_Urban"/>
    <x v="4"/>
    <n v="6.3500778790389401"/>
    <n v="1.76391052195526"/>
  </r>
  <r>
    <x v="0"/>
    <x v="28"/>
    <x v="1"/>
    <x v="2"/>
    <s v="EE_Urban"/>
    <x v="5"/>
    <n v="6.3500778790389401"/>
    <n v="1.76391052195526"/>
  </r>
  <r>
    <x v="0"/>
    <x v="28"/>
    <x v="1"/>
    <x v="2"/>
    <s v="EE_Urban"/>
    <x v="6"/>
    <n v="29.476231795214598"/>
    <n v="8.1878421653373898"/>
  </r>
  <r>
    <x v="0"/>
    <x v="28"/>
    <x v="1"/>
    <x v="2"/>
    <s v="EE_Urban"/>
    <x v="7"/>
    <n v="57.838935220261199"/>
    <n v="16.066370894517"/>
  </r>
  <r>
    <x v="0"/>
    <x v="28"/>
    <x v="1"/>
    <x v="2"/>
    <s v="EE_Urban"/>
    <x v="8"/>
    <n v="57.838935220261199"/>
    <n v="16.066370894517"/>
  </r>
  <r>
    <x v="0"/>
    <x v="28"/>
    <x v="1"/>
    <x v="2"/>
    <s v="EE_Urban"/>
    <x v="9"/>
    <n v="44.4505451532725"/>
    <n v="12.3473736536868"/>
  </r>
  <r>
    <x v="0"/>
    <x v="28"/>
    <x v="1"/>
    <x v="2"/>
    <s v="EE_Urban"/>
    <x v="10"/>
    <n v="53.975661971830903"/>
    <n v="14.993239436619699"/>
  </r>
  <r>
    <x v="0"/>
    <x v="28"/>
    <x v="1"/>
    <x v="2"/>
    <s v="EE_Urban"/>
    <x v="11"/>
    <n v="3.8806031483015802"/>
    <n v="1.07794531897266"/>
  </r>
  <r>
    <x v="0"/>
    <x v="28"/>
    <x v="1"/>
    <x v="2"/>
    <s v="EE_Urban"/>
    <x v="12"/>
    <n v="9.7995028997514597E-2"/>
    <n v="2.72208413881985E-2"/>
  </r>
  <r>
    <x v="0"/>
    <x v="28"/>
    <x v="1"/>
    <x v="2"/>
    <s v="EE_Urban"/>
    <x v="13"/>
    <n v="29.633696768848399"/>
    <n v="8.2315824357912195"/>
  </r>
  <r>
    <x v="0"/>
    <x v="28"/>
    <x v="1"/>
    <x v="2"/>
    <s v="EE_Urban"/>
    <x v="14"/>
    <n v="29.633696768848399"/>
    <n v="8.2315824357912195"/>
  </r>
  <r>
    <x v="0"/>
    <x v="28"/>
    <x v="1"/>
    <x v="2"/>
    <s v="EE_Urban"/>
    <x v="15"/>
    <n v="1.65807589063794"/>
    <n v="0.46057663628831802"/>
  </r>
  <r>
    <x v="0"/>
    <x v="28"/>
    <x v="1"/>
    <x v="2"/>
    <s v="EE_Urban"/>
    <x v="16"/>
    <n v="6.5458675795335104"/>
    <n v="1.81829654987042"/>
  </r>
  <r>
    <x v="0"/>
    <x v="28"/>
    <x v="1"/>
    <x v="2"/>
    <s v="EE_Urban"/>
    <x v="17"/>
    <n v="9.1244895875632395"/>
    <n v="2.5345804409897901"/>
  </r>
  <r>
    <x v="0"/>
    <x v="28"/>
    <x v="1"/>
    <x v="2"/>
    <s v="EE_Urban"/>
    <x v="18"/>
    <n v="29.633696768848399"/>
    <n v="8.2315824357912195"/>
  </r>
  <r>
    <x v="0"/>
    <x v="28"/>
    <x v="1"/>
    <x v="2"/>
    <s v="EE_Urban"/>
    <x v="19"/>
    <n v="8.1139884009941898"/>
    <n v="2.2538856669428302"/>
  </r>
  <r>
    <x v="0"/>
    <x v="28"/>
    <x v="1"/>
    <x v="2"/>
    <s v="EE_Urban"/>
    <x v="20"/>
    <n v="22.109183021311601"/>
    <n v="6.1414397281420996"/>
  </r>
  <r>
    <x v="0"/>
    <x v="28"/>
    <x v="1"/>
    <x v="2"/>
    <s v="EE_Urban"/>
    <x v="21"/>
    <n v="48.24"/>
    <n v="13.4"/>
  </r>
  <r>
    <x v="0"/>
    <x v="28"/>
    <x v="1"/>
    <x v="2"/>
    <s v="EE_Urban"/>
    <x v="22"/>
    <n v="67.680000000000007"/>
    <n v="18.8"/>
  </r>
  <r>
    <x v="0"/>
    <x v="28"/>
    <x v="1"/>
    <x v="2"/>
    <s v="EE_Urban"/>
    <x v="23"/>
    <n v="0.31515896120488701"/>
    <n v="8.7544155890246306E-2"/>
  </r>
  <r>
    <x v="0"/>
    <x v="28"/>
    <x v="1"/>
    <x v="2"/>
    <s v="EE_Urban"/>
    <x v="24"/>
    <n v="19.174223581093901"/>
    <n v="5.32617321697054"/>
  </r>
  <r>
    <x v="0"/>
    <x v="28"/>
    <x v="1"/>
    <x v="2"/>
    <s v="EE_Urban"/>
    <x v="25"/>
    <n v="26.209507293842599"/>
    <n v="7.2804186927340497"/>
  </r>
  <r>
    <x v="0"/>
    <x v="28"/>
    <x v="1"/>
    <x v="2"/>
    <s v="EE_Urban"/>
    <x v="26"/>
    <n v="33.320887798496699"/>
    <n v="9.2558021662490795"/>
  </r>
  <r>
    <x v="0"/>
    <x v="28"/>
    <x v="1"/>
    <x v="2"/>
    <s v="EE_Urban"/>
    <x v="27"/>
    <n v="20.163995508318798"/>
    <n v="5.6011098634218799"/>
  </r>
  <r>
    <x v="0"/>
    <x v="28"/>
    <x v="2"/>
    <x v="3"/>
    <s v="FI_IND"/>
    <x v="1"/>
    <n v="35.989199999999997"/>
    <n v="9.9969999999999999"/>
  </r>
  <r>
    <x v="0"/>
    <x v="28"/>
    <x v="2"/>
    <x v="3"/>
    <s v="FI_IND"/>
    <x v="2"/>
    <n v="46.08"/>
    <n v="12.8"/>
  </r>
  <r>
    <x v="0"/>
    <x v="28"/>
    <x v="2"/>
    <x v="3"/>
    <s v="FI_IND"/>
    <x v="0"/>
    <n v="42.692399999999999"/>
    <n v="11.859"/>
  </r>
  <r>
    <x v="0"/>
    <x v="28"/>
    <x v="2"/>
    <x v="3"/>
    <s v="FI_IND"/>
    <x v="3"/>
    <n v="51.633543144067197"/>
    <n v="14.342650873352"/>
  </r>
  <r>
    <x v="0"/>
    <x v="28"/>
    <x v="2"/>
    <x v="3"/>
    <s v="FI_IND"/>
    <x v="4"/>
    <n v="6.3500778790389401"/>
    <n v="1.76391052195526"/>
  </r>
  <r>
    <x v="0"/>
    <x v="28"/>
    <x v="2"/>
    <x v="3"/>
    <s v="FI_IND"/>
    <x v="5"/>
    <n v="6.3500778790389401"/>
    <n v="1.76391052195526"/>
  </r>
  <r>
    <x v="0"/>
    <x v="28"/>
    <x v="2"/>
    <x v="3"/>
    <s v="FI_IND"/>
    <x v="6"/>
    <n v="29.476231795214598"/>
    <n v="8.1878421653373898"/>
  </r>
  <r>
    <x v="0"/>
    <x v="28"/>
    <x v="2"/>
    <x v="3"/>
    <s v="FI_IND"/>
    <x v="7"/>
    <n v="57.838935220261199"/>
    <n v="16.066370894517"/>
  </r>
  <r>
    <x v="0"/>
    <x v="28"/>
    <x v="2"/>
    <x v="3"/>
    <s v="FI_IND"/>
    <x v="8"/>
    <n v="57.838935220261199"/>
    <n v="16.066370894517"/>
  </r>
  <r>
    <x v="0"/>
    <x v="28"/>
    <x v="2"/>
    <x v="3"/>
    <s v="FI_IND"/>
    <x v="9"/>
    <n v="44.4505451532725"/>
    <n v="12.3473736536868"/>
  </r>
  <r>
    <x v="0"/>
    <x v="28"/>
    <x v="2"/>
    <x v="3"/>
    <s v="FI_IND"/>
    <x v="10"/>
    <n v="53.975661971830903"/>
    <n v="14.993239436619699"/>
  </r>
  <r>
    <x v="0"/>
    <x v="28"/>
    <x v="2"/>
    <x v="3"/>
    <s v="FI_IND"/>
    <x v="11"/>
    <n v="3.8806031483015802"/>
    <n v="1.07794531897266"/>
  </r>
  <r>
    <x v="0"/>
    <x v="28"/>
    <x v="2"/>
    <x v="3"/>
    <s v="FI_IND"/>
    <x v="12"/>
    <n v="9.7995028997514597E-2"/>
    <n v="2.72208413881985E-2"/>
  </r>
  <r>
    <x v="0"/>
    <x v="28"/>
    <x v="2"/>
    <x v="3"/>
    <s v="FI_IND"/>
    <x v="13"/>
    <n v="29.633696768848399"/>
    <n v="8.2315824357912195"/>
  </r>
  <r>
    <x v="0"/>
    <x v="28"/>
    <x v="2"/>
    <x v="3"/>
    <s v="FI_IND"/>
    <x v="14"/>
    <n v="29.633696768848399"/>
    <n v="8.2315824357912195"/>
  </r>
  <r>
    <x v="0"/>
    <x v="28"/>
    <x v="2"/>
    <x v="3"/>
    <s v="FI_IND"/>
    <x v="15"/>
    <n v="1.65807589063794"/>
    <n v="0.46057663628831802"/>
  </r>
  <r>
    <x v="0"/>
    <x v="28"/>
    <x v="2"/>
    <x v="3"/>
    <s v="FI_IND"/>
    <x v="16"/>
    <n v="6.5458675795335104"/>
    <n v="1.81829654987042"/>
  </r>
  <r>
    <x v="0"/>
    <x v="28"/>
    <x v="2"/>
    <x v="3"/>
    <s v="FI_IND"/>
    <x v="17"/>
    <n v="9.1244895875632395"/>
    <n v="2.5345804409897901"/>
  </r>
  <r>
    <x v="0"/>
    <x v="28"/>
    <x v="2"/>
    <x v="3"/>
    <s v="FI_IND"/>
    <x v="18"/>
    <n v="29.633696768848399"/>
    <n v="8.2315824357912195"/>
  </r>
  <r>
    <x v="0"/>
    <x v="28"/>
    <x v="2"/>
    <x v="3"/>
    <s v="FI_IND"/>
    <x v="19"/>
    <n v="8.1139884009941898"/>
    <n v="2.2538856669428302"/>
  </r>
  <r>
    <x v="0"/>
    <x v="28"/>
    <x v="2"/>
    <x v="3"/>
    <s v="FI_IND"/>
    <x v="20"/>
    <n v="22.109183021311601"/>
    <n v="6.1414397281420996"/>
  </r>
  <r>
    <x v="0"/>
    <x v="28"/>
    <x v="2"/>
    <x v="3"/>
    <s v="FI_IND"/>
    <x v="21"/>
    <n v="48.24"/>
    <n v="13.4"/>
  </r>
  <r>
    <x v="0"/>
    <x v="28"/>
    <x v="2"/>
    <x v="3"/>
    <s v="FI_IND"/>
    <x v="22"/>
    <n v="67.680000000000007"/>
    <n v="18.8"/>
  </r>
  <r>
    <x v="0"/>
    <x v="28"/>
    <x v="2"/>
    <x v="3"/>
    <s v="FI_IND"/>
    <x v="23"/>
    <n v="0.31515896120488701"/>
    <n v="8.7544155890246306E-2"/>
  </r>
  <r>
    <x v="0"/>
    <x v="28"/>
    <x v="2"/>
    <x v="3"/>
    <s v="FI_IND"/>
    <x v="24"/>
    <n v="19.174223581093901"/>
    <n v="5.32617321697054"/>
  </r>
  <r>
    <x v="0"/>
    <x v="28"/>
    <x v="2"/>
    <x v="3"/>
    <s v="FI_IND"/>
    <x v="25"/>
    <n v="26.209507293842599"/>
    <n v="7.2804186927340497"/>
  </r>
  <r>
    <x v="0"/>
    <x v="28"/>
    <x v="2"/>
    <x v="3"/>
    <s v="FI_IND"/>
    <x v="26"/>
    <n v="33.320887798496699"/>
    <n v="9.2558021662490795"/>
  </r>
  <r>
    <x v="0"/>
    <x v="28"/>
    <x v="2"/>
    <x v="3"/>
    <s v="FI_IND"/>
    <x v="27"/>
    <n v="20.163995508318798"/>
    <n v="5.6011098634218799"/>
  </r>
  <r>
    <x v="0"/>
    <x v="28"/>
    <x v="2"/>
    <x v="3"/>
    <s v="FI_Offshore"/>
    <x v="1"/>
    <n v="35.989199999999997"/>
    <n v="9.9969999999999999"/>
  </r>
  <r>
    <x v="0"/>
    <x v="28"/>
    <x v="2"/>
    <x v="3"/>
    <s v="FI_Offshore"/>
    <x v="2"/>
    <n v="46.08"/>
    <n v="12.8"/>
  </r>
  <r>
    <x v="0"/>
    <x v="28"/>
    <x v="2"/>
    <x v="3"/>
    <s v="FI_Offshore"/>
    <x v="0"/>
    <n v="42.692399999999999"/>
    <n v="11.859"/>
  </r>
  <r>
    <x v="0"/>
    <x v="28"/>
    <x v="2"/>
    <x v="3"/>
    <s v="FI_Offshore"/>
    <x v="3"/>
    <n v="51.633543144067197"/>
    <n v="14.342650873352"/>
  </r>
  <r>
    <x v="0"/>
    <x v="28"/>
    <x v="2"/>
    <x v="3"/>
    <s v="FI_Offshore"/>
    <x v="4"/>
    <n v="6.3500778790389401"/>
    <n v="1.76391052195526"/>
  </r>
  <r>
    <x v="0"/>
    <x v="28"/>
    <x v="2"/>
    <x v="3"/>
    <s v="FI_Offshore"/>
    <x v="5"/>
    <n v="6.3500778790389401"/>
    <n v="1.76391052195526"/>
  </r>
  <r>
    <x v="0"/>
    <x v="28"/>
    <x v="2"/>
    <x v="3"/>
    <s v="FI_Offshore"/>
    <x v="6"/>
    <n v="29.476231795214598"/>
    <n v="8.1878421653373898"/>
  </r>
  <r>
    <x v="0"/>
    <x v="28"/>
    <x v="2"/>
    <x v="3"/>
    <s v="FI_Offshore"/>
    <x v="7"/>
    <n v="57.838935220261199"/>
    <n v="16.066370894517"/>
  </r>
  <r>
    <x v="0"/>
    <x v="28"/>
    <x v="2"/>
    <x v="3"/>
    <s v="FI_Offshore"/>
    <x v="8"/>
    <n v="57.838935220261199"/>
    <n v="16.066370894517"/>
  </r>
  <r>
    <x v="0"/>
    <x v="28"/>
    <x v="2"/>
    <x v="3"/>
    <s v="FI_Offshore"/>
    <x v="9"/>
    <n v="44.4505451532725"/>
    <n v="12.3473736536868"/>
  </r>
  <r>
    <x v="0"/>
    <x v="28"/>
    <x v="2"/>
    <x v="3"/>
    <s v="FI_Offshore"/>
    <x v="10"/>
    <n v="53.975661971830903"/>
    <n v="14.993239436619699"/>
  </r>
  <r>
    <x v="0"/>
    <x v="28"/>
    <x v="2"/>
    <x v="3"/>
    <s v="FI_Offshore"/>
    <x v="11"/>
    <n v="3.8806031483015802"/>
    <n v="1.07794531897266"/>
  </r>
  <r>
    <x v="0"/>
    <x v="28"/>
    <x v="2"/>
    <x v="3"/>
    <s v="FI_Offshore"/>
    <x v="12"/>
    <n v="9.7995028997514597E-2"/>
    <n v="2.72208413881985E-2"/>
  </r>
  <r>
    <x v="0"/>
    <x v="28"/>
    <x v="2"/>
    <x v="3"/>
    <s v="FI_Offshore"/>
    <x v="13"/>
    <n v="29.633696768848399"/>
    <n v="8.2315824357912195"/>
  </r>
  <r>
    <x v="0"/>
    <x v="28"/>
    <x v="2"/>
    <x v="3"/>
    <s v="FI_Offshore"/>
    <x v="14"/>
    <n v="29.633696768848399"/>
    <n v="8.2315824357912195"/>
  </r>
  <r>
    <x v="0"/>
    <x v="28"/>
    <x v="2"/>
    <x v="3"/>
    <s v="FI_Offshore"/>
    <x v="15"/>
    <n v="1.65807589063794"/>
    <n v="0.46057663628831802"/>
  </r>
  <r>
    <x v="0"/>
    <x v="28"/>
    <x v="2"/>
    <x v="3"/>
    <s v="FI_Offshore"/>
    <x v="16"/>
    <n v="6.5458675795335104"/>
    <n v="1.81829654987042"/>
  </r>
  <r>
    <x v="0"/>
    <x v="28"/>
    <x v="2"/>
    <x v="3"/>
    <s v="FI_Offshore"/>
    <x v="17"/>
    <n v="9.1244895875632395"/>
    <n v="2.5345804409897901"/>
  </r>
  <r>
    <x v="0"/>
    <x v="28"/>
    <x v="2"/>
    <x v="3"/>
    <s v="FI_Offshore"/>
    <x v="18"/>
    <n v="29.633696768848399"/>
    <n v="8.2315824357912195"/>
  </r>
  <r>
    <x v="0"/>
    <x v="28"/>
    <x v="2"/>
    <x v="3"/>
    <s v="FI_Offshore"/>
    <x v="19"/>
    <n v="8.1139884009941898"/>
    <n v="2.2538856669428302"/>
  </r>
  <r>
    <x v="0"/>
    <x v="28"/>
    <x v="2"/>
    <x v="3"/>
    <s v="FI_Offshore"/>
    <x v="20"/>
    <n v="22.109183021311601"/>
    <n v="6.1414397281420996"/>
  </r>
  <r>
    <x v="0"/>
    <x v="28"/>
    <x v="2"/>
    <x v="3"/>
    <s v="FI_Offshore"/>
    <x v="21"/>
    <n v="48.24"/>
    <n v="13.4"/>
  </r>
  <r>
    <x v="0"/>
    <x v="28"/>
    <x v="2"/>
    <x v="3"/>
    <s v="FI_Offshore"/>
    <x v="22"/>
    <n v="67.680000000000007"/>
    <n v="18.8"/>
  </r>
  <r>
    <x v="0"/>
    <x v="28"/>
    <x v="2"/>
    <x v="3"/>
    <s v="FI_Offshore"/>
    <x v="23"/>
    <n v="0.31515896120488701"/>
    <n v="8.7544155890246306E-2"/>
  </r>
  <r>
    <x v="0"/>
    <x v="28"/>
    <x v="2"/>
    <x v="3"/>
    <s v="FI_Offshore"/>
    <x v="24"/>
    <n v="19.174223581093901"/>
    <n v="5.32617321697054"/>
  </r>
  <r>
    <x v="0"/>
    <x v="28"/>
    <x v="2"/>
    <x v="3"/>
    <s v="FI_Offshore"/>
    <x v="25"/>
    <n v="26.209507293842599"/>
    <n v="7.2804186927340497"/>
  </r>
  <r>
    <x v="0"/>
    <x v="28"/>
    <x v="2"/>
    <x v="3"/>
    <s v="FI_Offshore"/>
    <x v="26"/>
    <n v="33.320887798496699"/>
    <n v="9.2558021662490795"/>
  </r>
  <r>
    <x v="0"/>
    <x v="28"/>
    <x v="2"/>
    <x v="3"/>
    <s v="FI_Offshore"/>
    <x v="27"/>
    <n v="20.163995508318798"/>
    <n v="5.6011098634218799"/>
  </r>
  <r>
    <x v="0"/>
    <x v="28"/>
    <x v="2"/>
    <x v="3"/>
    <s v="FI_large"/>
    <x v="1"/>
    <n v="35.989199999999997"/>
    <n v="9.9969999999999999"/>
  </r>
  <r>
    <x v="0"/>
    <x v="28"/>
    <x v="2"/>
    <x v="3"/>
    <s v="FI_large"/>
    <x v="2"/>
    <n v="46.08"/>
    <n v="12.8"/>
  </r>
  <r>
    <x v="0"/>
    <x v="28"/>
    <x v="2"/>
    <x v="3"/>
    <s v="FI_large"/>
    <x v="0"/>
    <n v="42.692399999999999"/>
    <n v="11.859"/>
  </r>
  <r>
    <x v="0"/>
    <x v="28"/>
    <x v="2"/>
    <x v="3"/>
    <s v="FI_large"/>
    <x v="3"/>
    <n v="51.633543144067197"/>
    <n v="14.342650873352"/>
  </r>
  <r>
    <x v="0"/>
    <x v="28"/>
    <x v="2"/>
    <x v="3"/>
    <s v="FI_large"/>
    <x v="4"/>
    <n v="6.3500778790389401"/>
    <n v="1.76391052195526"/>
  </r>
  <r>
    <x v="0"/>
    <x v="28"/>
    <x v="2"/>
    <x v="3"/>
    <s v="FI_large"/>
    <x v="5"/>
    <n v="6.3500778790389401"/>
    <n v="1.76391052195526"/>
  </r>
  <r>
    <x v="0"/>
    <x v="28"/>
    <x v="2"/>
    <x v="3"/>
    <s v="FI_large"/>
    <x v="6"/>
    <n v="29.476231795214598"/>
    <n v="8.1878421653373898"/>
  </r>
  <r>
    <x v="0"/>
    <x v="28"/>
    <x v="2"/>
    <x v="3"/>
    <s v="FI_large"/>
    <x v="7"/>
    <n v="57.838935220261199"/>
    <n v="16.066370894517"/>
  </r>
  <r>
    <x v="0"/>
    <x v="28"/>
    <x v="2"/>
    <x v="3"/>
    <s v="FI_large"/>
    <x v="8"/>
    <n v="57.838935220261199"/>
    <n v="16.066370894517"/>
  </r>
  <r>
    <x v="0"/>
    <x v="28"/>
    <x v="2"/>
    <x v="3"/>
    <s v="FI_large"/>
    <x v="9"/>
    <n v="44.4505451532725"/>
    <n v="12.3473736536868"/>
  </r>
  <r>
    <x v="0"/>
    <x v="28"/>
    <x v="2"/>
    <x v="3"/>
    <s v="FI_large"/>
    <x v="10"/>
    <n v="53.975661971830903"/>
    <n v="14.993239436619699"/>
  </r>
  <r>
    <x v="0"/>
    <x v="28"/>
    <x v="2"/>
    <x v="3"/>
    <s v="FI_large"/>
    <x v="11"/>
    <n v="3.8806031483015802"/>
    <n v="1.07794531897266"/>
  </r>
  <r>
    <x v="0"/>
    <x v="28"/>
    <x v="2"/>
    <x v="3"/>
    <s v="FI_large"/>
    <x v="12"/>
    <n v="9.7995028997514597E-2"/>
    <n v="2.72208413881985E-2"/>
  </r>
  <r>
    <x v="0"/>
    <x v="28"/>
    <x v="2"/>
    <x v="3"/>
    <s v="FI_large"/>
    <x v="13"/>
    <n v="29.633696768848399"/>
    <n v="8.2315824357912195"/>
  </r>
  <r>
    <x v="0"/>
    <x v="28"/>
    <x v="2"/>
    <x v="3"/>
    <s v="FI_large"/>
    <x v="14"/>
    <n v="29.633696768848399"/>
    <n v="8.2315824357912195"/>
  </r>
  <r>
    <x v="0"/>
    <x v="28"/>
    <x v="2"/>
    <x v="3"/>
    <s v="FI_large"/>
    <x v="15"/>
    <n v="1.65807589063794"/>
    <n v="0.46057663628831802"/>
  </r>
  <r>
    <x v="0"/>
    <x v="28"/>
    <x v="2"/>
    <x v="3"/>
    <s v="FI_large"/>
    <x v="16"/>
    <n v="6.5458675795335104"/>
    <n v="1.81829654987042"/>
  </r>
  <r>
    <x v="0"/>
    <x v="28"/>
    <x v="2"/>
    <x v="3"/>
    <s v="FI_large"/>
    <x v="17"/>
    <n v="9.1244895875632395"/>
    <n v="2.5345804409897901"/>
  </r>
  <r>
    <x v="0"/>
    <x v="28"/>
    <x v="2"/>
    <x v="3"/>
    <s v="FI_large"/>
    <x v="18"/>
    <n v="29.633696768848399"/>
    <n v="8.2315824357912195"/>
  </r>
  <r>
    <x v="0"/>
    <x v="28"/>
    <x v="2"/>
    <x v="3"/>
    <s v="FI_large"/>
    <x v="19"/>
    <n v="8.1139884009941898"/>
    <n v="2.2538856669428302"/>
  </r>
  <r>
    <x v="0"/>
    <x v="28"/>
    <x v="2"/>
    <x v="3"/>
    <s v="FI_large"/>
    <x v="20"/>
    <n v="22.109183021311601"/>
    <n v="6.1414397281420996"/>
  </r>
  <r>
    <x v="0"/>
    <x v="28"/>
    <x v="2"/>
    <x v="3"/>
    <s v="FI_large"/>
    <x v="21"/>
    <n v="48.24"/>
    <n v="13.4"/>
  </r>
  <r>
    <x v="0"/>
    <x v="28"/>
    <x v="2"/>
    <x v="3"/>
    <s v="FI_large"/>
    <x v="22"/>
    <n v="67.680000000000007"/>
    <n v="18.8"/>
  </r>
  <r>
    <x v="0"/>
    <x v="28"/>
    <x v="2"/>
    <x v="3"/>
    <s v="FI_large"/>
    <x v="23"/>
    <n v="0.31515896120488701"/>
    <n v="8.7544155890246306E-2"/>
  </r>
  <r>
    <x v="0"/>
    <x v="28"/>
    <x v="2"/>
    <x v="3"/>
    <s v="FI_large"/>
    <x v="24"/>
    <n v="19.174223581093901"/>
    <n v="5.32617321697054"/>
  </r>
  <r>
    <x v="0"/>
    <x v="28"/>
    <x v="2"/>
    <x v="3"/>
    <s v="FI_large"/>
    <x v="25"/>
    <n v="26.209507293842599"/>
    <n v="7.2804186927340497"/>
  </r>
  <r>
    <x v="0"/>
    <x v="28"/>
    <x v="2"/>
    <x v="3"/>
    <s v="FI_large"/>
    <x v="26"/>
    <n v="33.320887798496699"/>
    <n v="9.2558021662490795"/>
  </r>
  <r>
    <x v="0"/>
    <x v="28"/>
    <x v="2"/>
    <x v="3"/>
    <s v="FI_large"/>
    <x v="27"/>
    <n v="20.163995508318798"/>
    <n v="5.6011098634218799"/>
  </r>
  <r>
    <x v="0"/>
    <x v="28"/>
    <x v="2"/>
    <x v="3"/>
    <s v="FI_large_gas"/>
    <x v="1"/>
    <n v="35.989199999999997"/>
    <n v="9.9969999999999999"/>
  </r>
  <r>
    <x v="0"/>
    <x v="28"/>
    <x v="2"/>
    <x v="3"/>
    <s v="FI_large_gas"/>
    <x v="2"/>
    <n v="46.08"/>
    <n v="12.8"/>
  </r>
  <r>
    <x v="0"/>
    <x v="28"/>
    <x v="2"/>
    <x v="3"/>
    <s v="FI_large_gas"/>
    <x v="0"/>
    <n v="42.692399999999999"/>
    <n v="11.859"/>
  </r>
  <r>
    <x v="0"/>
    <x v="28"/>
    <x v="2"/>
    <x v="3"/>
    <s v="FI_large_gas"/>
    <x v="3"/>
    <n v="51.633543144067197"/>
    <n v="14.342650873352"/>
  </r>
  <r>
    <x v="0"/>
    <x v="28"/>
    <x v="2"/>
    <x v="3"/>
    <s v="FI_large_gas"/>
    <x v="4"/>
    <n v="6.3500778790389401"/>
    <n v="1.76391052195526"/>
  </r>
  <r>
    <x v="0"/>
    <x v="28"/>
    <x v="2"/>
    <x v="3"/>
    <s v="FI_large_gas"/>
    <x v="5"/>
    <n v="6.3500778790389401"/>
    <n v="1.76391052195526"/>
  </r>
  <r>
    <x v="0"/>
    <x v="28"/>
    <x v="2"/>
    <x v="3"/>
    <s v="FI_large_gas"/>
    <x v="6"/>
    <n v="29.476231795214598"/>
    <n v="8.1878421653373898"/>
  </r>
  <r>
    <x v="0"/>
    <x v="28"/>
    <x v="2"/>
    <x v="3"/>
    <s v="FI_large_gas"/>
    <x v="7"/>
    <n v="57.838935220261199"/>
    <n v="16.066370894517"/>
  </r>
  <r>
    <x v="0"/>
    <x v="28"/>
    <x v="2"/>
    <x v="3"/>
    <s v="FI_large_gas"/>
    <x v="8"/>
    <n v="57.838935220261199"/>
    <n v="16.066370894517"/>
  </r>
  <r>
    <x v="0"/>
    <x v="28"/>
    <x v="2"/>
    <x v="3"/>
    <s v="FI_large_gas"/>
    <x v="9"/>
    <n v="44.4505451532725"/>
    <n v="12.3473736536868"/>
  </r>
  <r>
    <x v="0"/>
    <x v="28"/>
    <x v="2"/>
    <x v="3"/>
    <s v="FI_large_gas"/>
    <x v="10"/>
    <n v="53.975661971830903"/>
    <n v="14.993239436619699"/>
  </r>
  <r>
    <x v="0"/>
    <x v="28"/>
    <x v="2"/>
    <x v="3"/>
    <s v="FI_large_gas"/>
    <x v="11"/>
    <n v="3.8806031483015802"/>
    <n v="1.07794531897266"/>
  </r>
  <r>
    <x v="0"/>
    <x v="28"/>
    <x v="2"/>
    <x v="3"/>
    <s v="FI_large_gas"/>
    <x v="12"/>
    <n v="9.7995028997514597E-2"/>
    <n v="2.72208413881985E-2"/>
  </r>
  <r>
    <x v="0"/>
    <x v="28"/>
    <x v="2"/>
    <x v="3"/>
    <s v="FI_large_gas"/>
    <x v="13"/>
    <n v="29.633696768848399"/>
    <n v="8.2315824357912195"/>
  </r>
  <r>
    <x v="0"/>
    <x v="28"/>
    <x v="2"/>
    <x v="3"/>
    <s v="FI_large_gas"/>
    <x v="14"/>
    <n v="29.633696768848399"/>
    <n v="8.2315824357912195"/>
  </r>
  <r>
    <x v="0"/>
    <x v="28"/>
    <x v="2"/>
    <x v="3"/>
    <s v="FI_large_gas"/>
    <x v="15"/>
    <n v="1.65807589063794"/>
    <n v="0.46057663628831802"/>
  </r>
  <r>
    <x v="0"/>
    <x v="28"/>
    <x v="2"/>
    <x v="3"/>
    <s v="FI_large_gas"/>
    <x v="16"/>
    <n v="6.5458675795335104"/>
    <n v="1.81829654987042"/>
  </r>
  <r>
    <x v="0"/>
    <x v="28"/>
    <x v="2"/>
    <x v="3"/>
    <s v="FI_large_gas"/>
    <x v="17"/>
    <n v="9.1244895875632395"/>
    <n v="2.5345804409897901"/>
  </r>
  <r>
    <x v="0"/>
    <x v="28"/>
    <x v="2"/>
    <x v="3"/>
    <s v="FI_large_gas"/>
    <x v="18"/>
    <n v="29.633696768848399"/>
    <n v="8.2315824357912195"/>
  </r>
  <r>
    <x v="0"/>
    <x v="28"/>
    <x v="2"/>
    <x v="3"/>
    <s v="FI_large_gas"/>
    <x v="19"/>
    <n v="8.1139884009941898"/>
    <n v="2.2538856669428302"/>
  </r>
  <r>
    <x v="0"/>
    <x v="28"/>
    <x v="2"/>
    <x v="3"/>
    <s v="FI_large_gas"/>
    <x v="20"/>
    <n v="22.109183021311601"/>
    <n v="6.1414397281420996"/>
  </r>
  <r>
    <x v="0"/>
    <x v="28"/>
    <x v="2"/>
    <x v="3"/>
    <s v="FI_large_gas"/>
    <x v="21"/>
    <n v="48.24"/>
    <n v="13.4"/>
  </r>
  <r>
    <x v="0"/>
    <x v="28"/>
    <x v="2"/>
    <x v="3"/>
    <s v="FI_large_gas"/>
    <x v="22"/>
    <n v="67.680000000000007"/>
    <n v="18.8"/>
  </r>
  <r>
    <x v="0"/>
    <x v="28"/>
    <x v="2"/>
    <x v="3"/>
    <s v="FI_large_gas"/>
    <x v="23"/>
    <n v="0.31515896120488701"/>
    <n v="8.7544155890246306E-2"/>
  </r>
  <r>
    <x v="0"/>
    <x v="28"/>
    <x v="2"/>
    <x v="3"/>
    <s v="FI_large_gas"/>
    <x v="24"/>
    <n v="19.174223581093901"/>
    <n v="5.32617321697054"/>
  </r>
  <r>
    <x v="0"/>
    <x v="28"/>
    <x v="2"/>
    <x v="3"/>
    <s v="FI_large_gas"/>
    <x v="25"/>
    <n v="26.209507293842599"/>
    <n v="7.2804186927340497"/>
  </r>
  <r>
    <x v="0"/>
    <x v="28"/>
    <x v="2"/>
    <x v="3"/>
    <s v="FI_large_gas"/>
    <x v="26"/>
    <n v="33.320887798496699"/>
    <n v="9.2558021662490795"/>
  </r>
  <r>
    <x v="0"/>
    <x v="28"/>
    <x v="2"/>
    <x v="3"/>
    <s v="FI_large_gas"/>
    <x v="27"/>
    <n v="20.163995508318798"/>
    <n v="5.6011098634218799"/>
  </r>
  <r>
    <x v="0"/>
    <x v="28"/>
    <x v="2"/>
    <x v="3"/>
    <s v="FI_medium"/>
    <x v="1"/>
    <n v="35.989199999999997"/>
    <n v="9.9969999999999999"/>
  </r>
  <r>
    <x v="0"/>
    <x v="28"/>
    <x v="2"/>
    <x v="3"/>
    <s v="FI_medium"/>
    <x v="2"/>
    <n v="46.08"/>
    <n v="12.8"/>
  </r>
  <r>
    <x v="0"/>
    <x v="28"/>
    <x v="2"/>
    <x v="3"/>
    <s v="FI_medium"/>
    <x v="0"/>
    <n v="42.692399999999999"/>
    <n v="11.859"/>
  </r>
  <r>
    <x v="0"/>
    <x v="28"/>
    <x v="2"/>
    <x v="3"/>
    <s v="FI_medium"/>
    <x v="3"/>
    <n v="51.633543144067197"/>
    <n v="14.342650873352"/>
  </r>
  <r>
    <x v="0"/>
    <x v="28"/>
    <x v="2"/>
    <x v="3"/>
    <s v="FI_medium"/>
    <x v="4"/>
    <n v="6.3500778790389401"/>
    <n v="1.76391052195526"/>
  </r>
  <r>
    <x v="0"/>
    <x v="28"/>
    <x v="2"/>
    <x v="3"/>
    <s v="FI_medium"/>
    <x v="5"/>
    <n v="6.3500778790389401"/>
    <n v="1.76391052195526"/>
  </r>
  <r>
    <x v="0"/>
    <x v="28"/>
    <x v="2"/>
    <x v="3"/>
    <s v="FI_medium"/>
    <x v="6"/>
    <n v="29.476231795214598"/>
    <n v="8.1878421653373898"/>
  </r>
  <r>
    <x v="0"/>
    <x v="28"/>
    <x v="2"/>
    <x v="3"/>
    <s v="FI_medium"/>
    <x v="7"/>
    <n v="57.838935220261199"/>
    <n v="16.066370894517"/>
  </r>
  <r>
    <x v="0"/>
    <x v="28"/>
    <x v="2"/>
    <x v="3"/>
    <s v="FI_medium"/>
    <x v="8"/>
    <n v="57.838935220261199"/>
    <n v="16.066370894517"/>
  </r>
  <r>
    <x v="0"/>
    <x v="28"/>
    <x v="2"/>
    <x v="3"/>
    <s v="FI_medium"/>
    <x v="9"/>
    <n v="44.4505451532725"/>
    <n v="12.3473736536868"/>
  </r>
  <r>
    <x v="0"/>
    <x v="28"/>
    <x v="2"/>
    <x v="3"/>
    <s v="FI_medium"/>
    <x v="10"/>
    <n v="53.975661971830903"/>
    <n v="14.993239436619699"/>
  </r>
  <r>
    <x v="0"/>
    <x v="28"/>
    <x v="2"/>
    <x v="3"/>
    <s v="FI_medium"/>
    <x v="11"/>
    <n v="3.8806031483015802"/>
    <n v="1.07794531897266"/>
  </r>
  <r>
    <x v="0"/>
    <x v="28"/>
    <x v="2"/>
    <x v="3"/>
    <s v="FI_medium"/>
    <x v="12"/>
    <n v="9.7995028997514597E-2"/>
    <n v="2.72208413881985E-2"/>
  </r>
  <r>
    <x v="0"/>
    <x v="28"/>
    <x v="2"/>
    <x v="3"/>
    <s v="FI_medium"/>
    <x v="13"/>
    <n v="29.633696768848399"/>
    <n v="8.2315824357912195"/>
  </r>
  <r>
    <x v="0"/>
    <x v="28"/>
    <x v="2"/>
    <x v="3"/>
    <s v="FI_medium"/>
    <x v="14"/>
    <n v="29.633696768848399"/>
    <n v="8.2315824357912195"/>
  </r>
  <r>
    <x v="0"/>
    <x v="28"/>
    <x v="2"/>
    <x v="3"/>
    <s v="FI_medium"/>
    <x v="15"/>
    <n v="1.65807589063794"/>
    <n v="0.46057663628831802"/>
  </r>
  <r>
    <x v="0"/>
    <x v="28"/>
    <x v="2"/>
    <x v="3"/>
    <s v="FI_medium"/>
    <x v="16"/>
    <n v="6.5458675795335104"/>
    <n v="1.81829654987042"/>
  </r>
  <r>
    <x v="0"/>
    <x v="28"/>
    <x v="2"/>
    <x v="3"/>
    <s v="FI_medium"/>
    <x v="17"/>
    <n v="9.1244895875632395"/>
    <n v="2.5345804409897901"/>
  </r>
  <r>
    <x v="0"/>
    <x v="28"/>
    <x v="2"/>
    <x v="3"/>
    <s v="FI_medium"/>
    <x v="18"/>
    <n v="29.633696768848399"/>
    <n v="8.2315824357912195"/>
  </r>
  <r>
    <x v="0"/>
    <x v="28"/>
    <x v="2"/>
    <x v="3"/>
    <s v="FI_medium"/>
    <x v="19"/>
    <n v="8.1139884009941898"/>
    <n v="2.2538856669428302"/>
  </r>
  <r>
    <x v="0"/>
    <x v="28"/>
    <x v="2"/>
    <x v="3"/>
    <s v="FI_medium"/>
    <x v="20"/>
    <n v="22.109183021311601"/>
    <n v="6.1414397281420996"/>
  </r>
  <r>
    <x v="0"/>
    <x v="28"/>
    <x v="2"/>
    <x v="3"/>
    <s v="FI_medium"/>
    <x v="21"/>
    <n v="48.24"/>
    <n v="13.4"/>
  </r>
  <r>
    <x v="0"/>
    <x v="28"/>
    <x v="2"/>
    <x v="3"/>
    <s v="FI_medium"/>
    <x v="22"/>
    <n v="67.680000000000007"/>
    <n v="18.8"/>
  </r>
  <r>
    <x v="0"/>
    <x v="28"/>
    <x v="2"/>
    <x v="3"/>
    <s v="FI_medium"/>
    <x v="23"/>
    <n v="0.31515896120488701"/>
    <n v="8.7544155890246306E-2"/>
  </r>
  <r>
    <x v="0"/>
    <x v="28"/>
    <x v="2"/>
    <x v="3"/>
    <s v="FI_medium"/>
    <x v="24"/>
    <n v="19.174223581093901"/>
    <n v="5.32617321697054"/>
  </r>
  <r>
    <x v="0"/>
    <x v="28"/>
    <x v="2"/>
    <x v="3"/>
    <s v="FI_medium"/>
    <x v="25"/>
    <n v="26.209507293842599"/>
    <n v="7.2804186927340497"/>
  </r>
  <r>
    <x v="0"/>
    <x v="28"/>
    <x v="2"/>
    <x v="3"/>
    <s v="FI_medium"/>
    <x v="26"/>
    <n v="33.320887798496699"/>
    <n v="9.2558021662490795"/>
  </r>
  <r>
    <x v="0"/>
    <x v="28"/>
    <x v="2"/>
    <x v="3"/>
    <s v="FI_medium"/>
    <x v="27"/>
    <n v="20.163995508318798"/>
    <n v="5.6011098634218799"/>
  </r>
  <r>
    <x v="0"/>
    <x v="28"/>
    <x v="2"/>
    <x v="3"/>
    <s v="FI_medium_gas"/>
    <x v="1"/>
    <n v="35.989199999999997"/>
    <n v="9.9969999999999999"/>
  </r>
  <r>
    <x v="0"/>
    <x v="28"/>
    <x v="2"/>
    <x v="3"/>
    <s v="FI_medium_gas"/>
    <x v="2"/>
    <n v="46.08"/>
    <n v="12.8"/>
  </r>
  <r>
    <x v="0"/>
    <x v="28"/>
    <x v="2"/>
    <x v="3"/>
    <s v="FI_medium_gas"/>
    <x v="0"/>
    <n v="42.692399999999999"/>
    <n v="11.859"/>
  </r>
  <r>
    <x v="0"/>
    <x v="28"/>
    <x v="2"/>
    <x v="3"/>
    <s v="FI_medium_gas"/>
    <x v="3"/>
    <n v="51.633543144067197"/>
    <n v="14.342650873352"/>
  </r>
  <r>
    <x v="0"/>
    <x v="28"/>
    <x v="2"/>
    <x v="3"/>
    <s v="FI_medium_gas"/>
    <x v="4"/>
    <n v="6.3500778790389401"/>
    <n v="1.76391052195526"/>
  </r>
  <r>
    <x v="0"/>
    <x v="28"/>
    <x v="2"/>
    <x v="3"/>
    <s v="FI_medium_gas"/>
    <x v="5"/>
    <n v="6.3500778790389401"/>
    <n v="1.76391052195526"/>
  </r>
  <r>
    <x v="0"/>
    <x v="28"/>
    <x v="2"/>
    <x v="3"/>
    <s v="FI_medium_gas"/>
    <x v="6"/>
    <n v="29.476231795214598"/>
    <n v="8.1878421653373898"/>
  </r>
  <r>
    <x v="0"/>
    <x v="28"/>
    <x v="2"/>
    <x v="3"/>
    <s v="FI_medium_gas"/>
    <x v="7"/>
    <n v="57.838935220261199"/>
    <n v="16.066370894517"/>
  </r>
  <r>
    <x v="0"/>
    <x v="28"/>
    <x v="2"/>
    <x v="3"/>
    <s v="FI_medium_gas"/>
    <x v="8"/>
    <n v="57.838935220261199"/>
    <n v="16.066370894517"/>
  </r>
  <r>
    <x v="0"/>
    <x v="28"/>
    <x v="2"/>
    <x v="3"/>
    <s v="FI_medium_gas"/>
    <x v="9"/>
    <n v="44.4505451532725"/>
    <n v="12.3473736536868"/>
  </r>
  <r>
    <x v="0"/>
    <x v="28"/>
    <x v="2"/>
    <x v="3"/>
    <s v="FI_medium_gas"/>
    <x v="10"/>
    <n v="53.975661971830903"/>
    <n v="14.993239436619699"/>
  </r>
  <r>
    <x v="0"/>
    <x v="28"/>
    <x v="2"/>
    <x v="3"/>
    <s v="FI_medium_gas"/>
    <x v="11"/>
    <n v="3.8806031483015802"/>
    <n v="1.07794531897266"/>
  </r>
  <r>
    <x v="0"/>
    <x v="28"/>
    <x v="2"/>
    <x v="3"/>
    <s v="FI_medium_gas"/>
    <x v="12"/>
    <n v="9.7995028997514597E-2"/>
    <n v="2.72208413881985E-2"/>
  </r>
  <r>
    <x v="0"/>
    <x v="28"/>
    <x v="2"/>
    <x v="3"/>
    <s v="FI_medium_gas"/>
    <x v="13"/>
    <n v="29.633696768848399"/>
    <n v="8.2315824357912195"/>
  </r>
  <r>
    <x v="0"/>
    <x v="28"/>
    <x v="2"/>
    <x v="3"/>
    <s v="FI_medium_gas"/>
    <x v="14"/>
    <n v="29.633696768848399"/>
    <n v="8.2315824357912195"/>
  </r>
  <r>
    <x v="0"/>
    <x v="28"/>
    <x v="2"/>
    <x v="3"/>
    <s v="FI_medium_gas"/>
    <x v="15"/>
    <n v="1.65807589063794"/>
    <n v="0.46057663628831802"/>
  </r>
  <r>
    <x v="0"/>
    <x v="28"/>
    <x v="2"/>
    <x v="3"/>
    <s v="FI_medium_gas"/>
    <x v="16"/>
    <n v="6.5458675795335104"/>
    <n v="1.81829654987042"/>
  </r>
  <r>
    <x v="0"/>
    <x v="28"/>
    <x v="2"/>
    <x v="3"/>
    <s v="FI_medium_gas"/>
    <x v="17"/>
    <n v="9.1244895875632395"/>
    <n v="2.5345804409897901"/>
  </r>
  <r>
    <x v="0"/>
    <x v="28"/>
    <x v="2"/>
    <x v="3"/>
    <s v="FI_medium_gas"/>
    <x v="18"/>
    <n v="29.633696768848399"/>
    <n v="8.2315824357912195"/>
  </r>
  <r>
    <x v="0"/>
    <x v="28"/>
    <x v="2"/>
    <x v="3"/>
    <s v="FI_medium_gas"/>
    <x v="19"/>
    <n v="8.1139884009941898"/>
    <n v="2.2538856669428302"/>
  </r>
  <r>
    <x v="0"/>
    <x v="28"/>
    <x v="2"/>
    <x v="3"/>
    <s v="FI_medium_gas"/>
    <x v="20"/>
    <n v="22.109183021311601"/>
    <n v="6.1414397281420996"/>
  </r>
  <r>
    <x v="0"/>
    <x v="28"/>
    <x v="2"/>
    <x v="3"/>
    <s v="FI_medium_gas"/>
    <x v="21"/>
    <n v="48.24"/>
    <n v="13.4"/>
  </r>
  <r>
    <x v="0"/>
    <x v="28"/>
    <x v="2"/>
    <x v="3"/>
    <s v="FI_medium_gas"/>
    <x v="22"/>
    <n v="67.680000000000007"/>
    <n v="18.8"/>
  </r>
  <r>
    <x v="0"/>
    <x v="28"/>
    <x v="2"/>
    <x v="3"/>
    <s v="FI_medium_gas"/>
    <x v="23"/>
    <n v="0.31515896120488701"/>
    <n v="8.7544155890246306E-2"/>
  </r>
  <r>
    <x v="0"/>
    <x v="28"/>
    <x v="2"/>
    <x v="3"/>
    <s v="FI_medium_gas"/>
    <x v="24"/>
    <n v="19.174223581093901"/>
    <n v="5.32617321697054"/>
  </r>
  <r>
    <x v="0"/>
    <x v="28"/>
    <x v="2"/>
    <x v="3"/>
    <s v="FI_medium_gas"/>
    <x v="25"/>
    <n v="26.209507293842599"/>
    <n v="7.2804186927340497"/>
  </r>
  <r>
    <x v="0"/>
    <x v="28"/>
    <x v="2"/>
    <x v="3"/>
    <s v="FI_medium_gas"/>
    <x v="26"/>
    <n v="33.320887798496699"/>
    <n v="9.2558021662490795"/>
  </r>
  <r>
    <x v="0"/>
    <x v="28"/>
    <x v="2"/>
    <x v="3"/>
    <s v="FI_medium_gas"/>
    <x v="27"/>
    <n v="20.163995508318798"/>
    <n v="5.6011098634218799"/>
  </r>
  <r>
    <x v="0"/>
    <x v="28"/>
    <x v="2"/>
    <x v="3"/>
    <s v="FI_small"/>
    <x v="1"/>
    <n v="35.989199999999997"/>
    <n v="9.9969999999999999"/>
  </r>
  <r>
    <x v="0"/>
    <x v="28"/>
    <x v="2"/>
    <x v="3"/>
    <s v="FI_small"/>
    <x v="2"/>
    <n v="46.08"/>
    <n v="12.8"/>
  </r>
  <r>
    <x v="0"/>
    <x v="28"/>
    <x v="2"/>
    <x v="3"/>
    <s v="FI_small"/>
    <x v="0"/>
    <n v="42.692399999999999"/>
    <n v="11.859"/>
  </r>
  <r>
    <x v="0"/>
    <x v="28"/>
    <x v="2"/>
    <x v="3"/>
    <s v="FI_small"/>
    <x v="3"/>
    <n v="51.633543144067197"/>
    <n v="14.342650873352"/>
  </r>
  <r>
    <x v="0"/>
    <x v="28"/>
    <x v="2"/>
    <x v="3"/>
    <s v="FI_small"/>
    <x v="4"/>
    <n v="6.3500778790389401"/>
    <n v="1.76391052195526"/>
  </r>
  <r>
    <x v="0"/>
    <x v="28"/>
    <x v="2"/>
    <x v="3"/>
    <s v="FI_small"/>
    <x v="5"/>
    <n v="6.3500778790389401"/>
    <n v="1.76391052195526"/>
  </r>
  <r>
    <x v="0"/>
    <x v="28"/>
    <x v="2"/>
    <x v="3"/>
    <s v="FI_small"/>
    <x v="6"/>
    <n v="29.476231795214598"/>
    <n v="8.1878421653373898"/>
  </r>
  <r>
    <x v="0"/>
    <x v="28"/>
    <x v="2"/>
    <x v="3"/>
    <s v="FI_small"/>
    <x v="7"/>
    <n v="57.838935220261199"/>
    <n v="16.066370894517"/>
  </r>
  <r>
    <x v="0"/>
    <x v="28"/>
    <x v="2"/>
    <x v="3"/>
    <s v="FI_small"/>
    <x v="8"/>
    <n v="57.838935220261199"/>
    <n v="16.066370894517"/>
  </r>
  <r>
    <x v="0"/>
    <x v="28"/>
    <x v="2"/>
    <x v="3"/>
    <s v="FI_small"/>
    <x v="9"/>
    <n v="44.4505451532725"/>
    <n v="12.3473736536868"/>
  </r>
  <r>
    <x v="0"/>
    <x v="28"/>
    <x v="2"/>
    <x v="3"/>
    <s v="FI_small"/>
    <x v="10"/>
    <n v="53.975661971830903"/>
    <n v="14.993239436619699"/>
  </r>
  <r>
    <x v="0"/>
    <x v="28"/>
    <x v="2"/>
    <x v="3"/>
    <s v="FI_small"/>
    <x v="11"/>
    <n v="3.8806031483015802"/>
    <n v="1.07794531897266"/>
  </r>
  <r>
    <x v="0"/>
    <x v="28"/>
    <x v="2"/>
    <x v="3"/>
    <s v="FI_small"/>
    <x v="12"/>
    <n v="9.7995028997514597E-2"/>
    <n v="2.72208413881985E-2"/>
  </r>
  <r>
    <x v="0"/>
    <x v="28"/>
    <x v="2"/>
    <x v="3"/>
    <s v="FI_small"/>
    <x v="13"/>
    <n v="29.633696768848399"/>
    <n v="8.2315824357912195"/>
  </r>
  <r>
    <x v="0"/>
    <x v="28"/>
    <x v="2"/>
    <x v="3"/>
    <s v="FI_small"/>
    <x v="14"/>
    <n v="29.633696768848399"/>
    <n v="8.2315824357912195"/>
  </r>
  <r>
    <x v="0"/>
    <x v="28"/>
    <x v="2"/>
    <x v="3"/>
    <s v="FI_small"/>
    <x v="15"/>
    <n v="1.65807589063794"/>
    <n v="0.46057663628831802"/>
  </r>
  <r>
    <x v="0"/>
    <x v="28"/>
    <x v="2"/>
    <x v="3"/>
    <s v="FI_small"/>
    <x v="16"/>
    <n v="6.5458675795335104"/>
    <n v="1.81829654987042"/>
  </r>
  <r>
    <x v="0"/>
    <x v="28"/>
    <x v="2"/>
    <x v="3"/>
    <s v="FI_small"/>
    <x v="17"/>
    <n v="9.1244895875632395"/>
    <n v="2.5345804409897901"/>
  </r>
  <r>
    <x v="0"/>
    <x v="28"/>
    <x v="2"/>
    <x v="3"/>
    <s v="FI_small"/>
    <x v="18"/>
    <n v="29.633696768848399"/>
    <n v="8.2315824357912195"/>
  </r>
  <r>
    <x v="0"/>
    <x v="28"/>
    <x v="2"/>
    <x v="3"/>
    <s v="FI_small"/>
    <x v="19"/>
    <n v="8.1139884009941898"/>
    <n v="2.2538856669428302"/>
  </r>
  <r>
    <x v="0"/>
    <x v="28"/>
    <x v="2"/>
    <x v="3"/>
    <s v="FI_small"/>
    <x v="20"/>
    <n v="22.109183021311601"/>
    <n v="6.1414397281420996"/>
  </r>
  <r>
    <x v="0"/>
    <x v="28"/>
    <x v="2"/>
    <x v="3"/>
    <s v="FI_small"/>
    <x v="21"/>
    <n v="48.24"/>
    <n v="13.4"/>
  </r>
  <r>
    <x v="0"/>
    <x v="28"/>
    <x v="2"/>
    <x v="3"/>
    <s v="FI_small"/>
    <x v="22"/>
    <n v="67.680000000000007"/>
    <n v="18.8"/>
  </r>
  <r>
    <x v="0"/>
    <x v="28"/>
    <x v="2"/>
    <x v="3"/>
    <s v="FI_small"/>
    <x v="23"/>
    <n v="0.31515896120488701"/>
    <n v="8.7544155890246306E-2"/>
  </r>
  <r>
    <x v="0"/>
    <x v="28"/>
    <x v="2"/>
    <x v="3"/>
    <s v="FI_small"/>
    <x v="24"/>
    <n v="19.174223581093901"/>
    <n v="5.32617321697054"/>
  </r>
  <r>
    <x v="0"/>
    <x v="28"/>
    <x v="2"/>
    <x v="3"/>
    <s v="FI_small"/>
    <x v="25"/>
    <n v="26.209507293842599"/>
    <n v="7.2804186927340497"/>
  </r>
  <r>
    <x v="0"/>
    <x v="28"/>
    <x v="2"/>
    <x v="3"/>
    <s v="FI_small"/>
    <x v="26"/>
    <n v="33.320887798496699"/>
    <n v="9.2558021662490795"/>
  </r>
  <r>
    <x v="0"/>
    <x v="28"/>
    <x v="2"/>
    <x v="3"/>
    <s v="FI_small"/>
    <x v="27"/>
    <n v="20.163995508318798"/>
    <n v="5.6011098634218799"/>
  </r>
  <r>
    <x v="0"/>
    <x v="28"/>
    <x v="2"/>
    <x v="3"/>
    <s v="FI_small_gas"/>
    <x v="1"/>
    <n v="35.989199999999997"/>
    <n v="9.9969999999999999"/>
  </r>
  <r>
    <x v="0"/>
    <x v="28"/>
    <x v="2"/>
    <x v="3"/>
    <s v="FI_small_gas"/>
    <x v="2"/>
    <n v="46.08"/>
    <n v="12.8"/>
  </r>
  <r>
    <x v="0"/>
    <x v="28"/>
    <x v="2"/>
    <x v="3"/>
    <s v="FI_small_gas"/>
    <x v="0"/>
    <n v="42.692399999999999"/>
    <n v="11.859"/>
  </r>
  <r>
    <x v="0"/>
    <x v="28"/>
    <x v="2"/>
    <x v="3"/>
    <s v="FI_small_gas"/>
    <x v="3"/>
    <n v="51.633543144067197"/>
    <n v="14.342650873352"/>
  </r>
  <r>
    <x v="0"/>
    <x v="28"/>
    <x v="2"/>
    <x v="3"/>
    <s v="FI_small_gas"/>
    <x v="4"/>
    <n v="6.3500778790389401"/>
    <n v="1.76391052195526"/>
  </r>
  <r>
    <x v="0"/>
    <x v="28"/>
    <x v="2"/>
    <x v="3"/>
    <s v="FI_small_gas"/>
    <x v="5"/>
    <n v="6.3500778790389401"/>
    <n v="1.76391052195526"/>
  </r>
  <r>
    <x v="0"/>
    <x v="28"/>
    <x v="2"/>
    <x v="3"/>
    <s v="FI_small_gas"/>
    <x v="6"/>
    <n v="29.476231795214598"/>
    <n v="8.1878421653373898"/>
  </r>
  <r>
    <x v="0"/>
    <x v="28"/>
    <x v="2"/>
    <x v="3"/>
    <s v="FI_small_gas"/>
    <x v="7"/>
    <n v="57.838935220261199"/>
    <n v="16.066370894517"/>
  </r>
  <r>
    <x v="0"/>
    <x v="28"/>
    <x v="2"/>
    <x v="3"/>
    <s v="FI_small_gas"/>
    <x v="8"/>
    <n v="57.838935220261199"/>
    <n v="16.066370894517"/>
  </r>
  <r>
    <x v="0"/>
    <x v="28"/>
    <x v="2"/>
    <x v="3"/>
    <s v="FI_small_gas"/>
    <x v="9"/>
    <n v="44.4505451532725"/>
    <n v="12.3473736536868"/>
  </r>
  <r>
    <x v="0"/>
    <x v="28"/>
    <x v="2"/>
    <x v="3"/>
    <s v="FI_small_gas"/>
    <x v="10"/>
    <n v="53.975661971830903"/>
    <n v="14.993239436619699"/>
  </r>
  <r>
    <x v="0"/>
    <x v="28"/>
    <x v="2"/>
    <x v="3"/>
    <s v="FI_small_gas"/>
    <x v="11"/>
    <n v="3.8806031483015802"/>
    <n v="1.07794531897266"/>
  </r>
  <r>
    <x v="0"/>
    <x v="28"/>
    <x v="2"/>
    <x v="3"/>
    <s v="FI_small_gas"/>
    <x v="12"/>
    <n v="9.7995028997514597E-2"/>
    <n v="2.72208413881985E-2"/>
  </r>
  <r>
    <x v="0"/>
    <x v="28"/>
    <x v="2"/>
    <x v="3"/>
    <s v="FI_small_gas"/>
    <x v="13"/>
    <n v="29.633696768848399"/>
    <n v="8.2315824357912195"/>
  </r>
  <r>
    <x v="0"/>
    <x v="28"/>
    <x v="2"/>
    <x v="3"/>
    <s v="FI_small_gas"/>
    <x v="14"/>
    <n v="29.633696768848399"/>
    <n v="8.2315824357912195"/>
  </r>
  <r>
    <x v="0"/>
    <x v="28"/>
    <x v="2"/>
    <x v="3"/>
    <s v="FI_small_gas"/>
    <x v="15"/>
    <n v="1.65807589063794"/>
    <n v="0.46057663628831802"/>
  </r>
  <r>
    <x v="0"/>
    <x v="28"/>
    <x v="2"/>
    <x v="3"/>
    <s v="FI_small_gas"/>
    <x v="16"/>
    <n v="6.5458675795335104"/>
    <n v="1.81829654987042"/>
  </r>
  <r>
    <x v="0"/>
    <x v="28"/>
    <x v="2"/>
    <x v="3"/>
    <s v="FI_small_gas"/>
    <x v="17"/>
    <n v="9.1244895875632395"/>
    <n v="2.5345804409897901"/>
  </r>
  <r>
    <x v="0"/>
    <x v="28"/>
    <x v="2"/>
    <x v="3"/>
    <s v="FI_small_gas"/>
    <x v="18"/>
    <n v="29.633696768848399"/>
    <n v="8.2315824357912195"/>
  </r>
  <r>
    <x v="0"/>
    <x v="28"/>
    <x v="2"/>
    <x v="3"/>
    <s v="FI_small_gas"/>
    <x v="19"/>
    <n v="8.1139884009941898"/>
    <n v="2.2538856669428302"/>
  </r>
  <r>
    <x v="0"/>
    <x v="28"/>
    <x v="2"/>
    <x v="3"/>
    <s v="FI_small_gas"/>
    <x v="20"/>
    <n v="22.109183021311601"/>
    <n v="6.1414397281420996"/>
  </r>
  <r>
    <x v="0"/>
    <x v="28"/>
    <x v="2"/>
    <x v="3"/>
    <s v="FI_small_gas"/>
    <x v="21"/>
    <n v="48.24"/>
    <n v="13.4"/>
  </r>
  <r>
    <x v="0"/>
    <x v="28"/>
    <x v="2"/>
    <x v="3"/>
    <s v="FI_small_gas"/>
    <x v="22"/>
    <n v="67.680000000000007"/>
    <n v="18.8"/>
  </r>
  <r>
    <x v="0"/>
    <x v="28"/>
    <x v="2"/>
    <x v="3"/>
    <s v="FI_small_gas"/>
    <x v="23"/>
    <n v="0.31515896120488701"/>
    <n v="8.7544155890246306E-2"/>
  </r>
  <r>
    <x v="0"/>
    <x v="28"/>
    <x v="2"/>
    <x v="3"/>
    <s v="FI_small_gas"/>
    <x v="24"/>
    <n v="19.174223581093901"/>
    <n v="5.32617321697054"/>
  </r>
  <r>
    <x v="0"/>
    <x v="28"/>
    <x v="2"/>
    <x v="3"/>
    <s v="FI_small_gas"/>
    <x v="25"/>
    <n v="26.209507293842599"/>
    <n v="7.2804186927340497"/>
  </r>
  <r>
    <x v="0"/>
    <x v="28"/>
    <x v="2"/>
    <x v="3"/>
    <s v="FI_small_gas"/>
    <x v="26"/>
    <n v="33.320887798496699"/>
    <n v="9.2558021662490795"/>
  </r>
  <r>
    <x v="0"/>
    <x v="28"/>
    <x v="2"/>
    <x v="3"/>
    <s v="FI_small_gas"/>
    <x v="27"/>
    <n v="20.163995508318798"/>
    <n v="5.6011098634218799"/>
  </r>
  <r>
    <x v="0"/>
    <x v="28"/>
    <x v="2"/>
    <x v="3"/>
    <s v="FinA"/>
    <x v="1"/>
    <n v="35.989199999999997"/>
    <n v="9.9969999999999999"/>
  </r>
  <r>
    <x v="0"/>
    <x v="28"/>
    <x v="2"/>
    <x v="3"/>
    <s v="FinA"/>
    <x v="2"/>
    <n v="46.08"/>
    <n v="12.8"/>
  </r>
  <r>
    <x v="0"/>
    <x v="28"/>
    <x v="2"/>
    <x v="3"/>
    <s v="FinA"/>
    <x v="0"/>
    <n v="42.692399999999999"/>
    <n v="11.859"/>
  </r>
  <r>
    <x v="0"/>
    <x v="28"/>
    <x v="2"/>
    <x v="3"/>
    <s v="FinA"/>
    <x v="3"/>
    <n v="51.633543144067197"/>
    <n v="14.342650873352"/>
  </r>
  <r>
    <x v="0"/>
    <x v="28"/>
    <x v="2"/>
    <x v="3"/>
    <s v="FinA"/>
    <x v="4"/>
    <n v="6.3500778790389401"/>
    <n v="1.76391052195526"/>
  </r>
  <r>
    <x v="0"/>
    <x v="28"/>
    <x v="2"/>
    <x v="3"/>
    <s v="FinA"/>
    <x v="5"/>
    <n v="6.3500778790389401"/>
    <n v="1.76391052195526"/>
  </r>
  <r>
    <x v="0"/>
    <x v="28"/>
    <x v="2"/>
    <x v="3"/>
    <s v="FinA"/>
    <x v="6"/>
    <n v="29.476231795214598"/>
    <n v="8.1878421653373898"/>
  </r>
  <r>
    <x v="0"/>
    <x v="28"/>
    <x v="2"/>
    <x v="3"/>
    <s v="FinA"/>
    <x v="7"/>
    <n v="57.838935220261199"/>
    <n v="16.066370894517"/>
  </r>
  <r>
    <x v="0"/>
    <x v="28"/>
    <x v="2"/>
    <x v="3"/>
    <s v="FinA"/>
    <x v="8"/>
    <n v="57.838935220261199"/>
    <n v="16.066370894517"/>
  </r>
  <r>
    <x v="0"/>
    <x v="28"/>
    <x v="2"/>
    <x v="3"/>
    <s v="FinA"/>
    <x v="9"/>
    <n v="44.4505451532725"/>
    <n v="12.3473736536868"/>
  </r>
  <r>
    <x v="0"/>
    <x v="28"/>
    <x v="2"/>
    <x v="3"/>
    <s v="FinA"/>
    <x v="10"/>
    <n v="53.975661971830903"/>
    <n v="14.993239436619699"/>
  </r>
  <r>
    <x v="0"/>
    <x v="28"/>
    <x v="2"/>
    <x v="3"/>
    <s v="FinA"/>
    <x v="11"/>
    <n v="3.8806031483015802"/>
    <n v="1.07794531897266"/>
  </r>
  <r>
    <x v="0"/>
    <x v="28"/>
    <x v="2"/>
    <x v="3"/>
    <s v="FinA"/>
    <x v="12"/>
    <n v="9.7995028997514597E-2"/>
    <n v="2.72208413881985E-2"/>
  </r>
  <r>
    <x v="0"/>
    <x v="28"/>
    <x v="2"/>
    <x v="3"/>
    <s v="FinA"/>
    <x v="13"/>
    <n v="29.633696768848399"/>
    <n v="8.2315824357912195"/>
  </r>
  <r>
    <x v="0"/>
    <x v="28"/>
    <x v="2"/>
    <x v="3"/>
    <s v="FinA"/>
    <x v="14"/>
    <n v="29.633696768848399"/>
    <n v="8.2315824357912195"/>
  </r>
  <r>
    <x v="0"/>
    <x v="28"/>
    <x v="2"/>
    <x v="3"/>
    <s v="FinA"/>
    <x v="15"/>
    <n v="1.65807589063794"/>
    <n v="0.46057663628831802"/>
  </r>
  <r>
    <x v="0"/>
    <x v="28"/>
    <x v="2"/>
    <x v="3"/>
    <s v="FinA"/>
    <x v="16"/>
    <n v="6.5458675795335104"/>
    <n v="1.81829654987042"/>
  </r>
  <r>
    <x v="0"/>
    <x v="28"/>
    <x v="2"/>
    <x v="3"/>
    <s v="FinA"/>
    <x v="17"/>
    <n v="9.1244895875632395"/>
    <n v="2.5345804409897901"/>
  </r>
  <r>
    <x v="0"/>
    <x v="28"/>
    <x v="2"/>
    <x v="3"/>
    <s v="FinA"/>
    <x v="18"/>
    <n v="29.633696768848399"/>
    <n v="8.2315824357912195"/>
  </r>
  <r>
    <x v="0"/>
    <x v="28"/>
    <x v="2"/>
    <x v="3"/>
    <s v="FinA"/>
    <x v="19"/>
    <n v="8.1139884009941898"/>
    <n v="2.2538856669428302"/>
  </r>
  <r>
    <x v="0"/>
    <x v="28"/>
    <x v="2"/>
    <x v="3"/>
    <s v="FinA"/>
    <x v="20"/>
    <n v="22.109183021311601"/>
    <n v="6.1414397281420996"/>
  </r>
  <r>
    <x v="0"/>
    <x v="28"/>
    <x v="2"/>
    <x v="3"/>
    <s v="FinA"/>
    <x v="21"/>
    <n v="48.24"/>
    <n v="13.4"/>
  </r>
  <r>
    <x v="0"/>
    <x v="28"/>
    <x v="2"/>
    <x v="3"/>
    <s v="FinA"/>
    <x v="22"/>
    <n v="67.680000000000007"/>
    <n v="18.8"/>
  </r>
  <r>
    <x v="0"/>
    <x v="28"/>
    <x v="2"/>
    <x v="3"/>
    <s v="FinA"/>
    <x v="23"/>
    <n v="0.31515896120488701"/>
    <n v="8.7544155890246306E-2"/>
  </r>
  <r>
    <x v="0"/>
    <x v="28"/>
    <x v="2"/>
    <x v="3"/>
    <s v="FinA"/>
    <x v="24"/>
    <n v="19.174223581093901"/>
    <n v="5.32617321697054"/>
  </r>
  <r>
    <x v="0"/>
    <x v="28"/>
    <x v="2"/>
    <x v="3"/>
    <s v="FinA"/>
    <x v="25"/>
    <n v="26.209507293842599"/>
    <n v="7.2804186927340497"/>
  </r>
  <r>
    <x v="0"/>
    <x v="28"/>
    <x v="2"/>
    <x v="3"/>
    <s v="FinA"/>
    <x v="26"/>
    <n v="33.320887798496699"/>
    <n v="9.2558021662490795"/>
  </r>
  <r>
    <x v="0"/>
    <x v="28"/>
    <x v="2"/>
    <x v="3"/>
    <s v="FinA"/>
    <x v="27"/>
    <n v="20.163995508318798"/>
    <n v="5.6011098634218799"/>
  </r>
  <r>
    <x v="0"/>
    <x v="28"/>
    <x v="3"/>
    <x v="4"/>
    <s v="DE4-E_A"/>
    <x v="1"/>
    <n v="35.989199999999997"/>
    <n v="9.9969999999999999"/>
  </r>
  <r>
    <x v="0"/>
    <x v="28"/>
    <x v="3"/>
    <x v="4"/>
    <s v="DE4-E_A"/>
    <x v="2"/>
    <n v="46.08"/>
    <n v="12.8"/>
  </r>
  <r>
    <x v="0"/>
    <x v="28"/>
    <x v="3"/>
    <x v="4"/>
    <s v="DE4-E_A"/>
    <x v="0"/>
    <n v="42.692399999999999"/>
    <n v="11.859"/>
  </r>
  <r>
    <x v="0"/>
    <x v="28"/>
    <x v="3"/>
    <x v="4"/>
    <s v="DE4-E_A"/>
    <x v="3"/>
    <n v="51.633543144067197"/>
    <n v="14.342650873352"/>
  </r>
  <r>
    <x v="0"/>
    <x v="28"/>
    <x v="3"/>
    <x v="4"/>
    <s v="DE4-E_A"/>
    <x v="4"/>
    <n v="6.3500778790389401"/>
    <n v="1.76391052195526"/>
  </r>
  <r>
    <x v="0"/>
    <x v="28"/>
    <x v="3"/>
    <x v="4"/>
    <s v="DE4-E_A"/>
    <x v="5"/>
    <n v="6.3500778790389401"/>
    <n v="1.76391052195526"/>
  </r>
  <r>
    <x v="0"/>
    <x v="28"/>
    <x v="3"/>
    <x v="4"/>
    <s v="DE4-E_A"/>
    <x v="6"/>
    <n v="29.476231795214598"/>
    <n v="8.1878421653373898"/>
  </r>
  <r>
    <x v="0"/>
    <x v="28"/>
    <x v="3"/>
    <x v="4"/>
    <s v="DE4-E_A"/>
    <x v="7"/>
    <n v="57.838935220261199"/>
    <n v="16.066370894517"/>
  </r>
  <r>
    <x v="0"/>
    <x v="28"/>
    <x v="3"/>
    <x v="4"/>
    <s v="DE4-E_A"/>
    <x v="8"/>
    <n v="57.838935220261199"/>
    <n v="16.066370894517"/>
  </r>
  <r>
    <x v="0"/>
    <x v="28"/>
    <x v="3"/>
    <x v="4"/>
    <s v="DE4-E_A"/>
    <x v="9"/>
    <n v="44.4505451532725"/>
    <n v="12.3473736536868"/>
  </r>
  <r>
    <x v="0"/>
    <x v="28"/>
    <x v="3"/>
    <x v="4"/>
    <s v="DE4-E_A"/>
    <x v="10"/>
    <n v="53.975661971830903"/>
    <n v="14.993239436619699"/>
  </r>
  <r>
    <x v="0"/>
    <x v="28"/>
    <x v="3"/>
    <x v="4"/>
    <s v="DE4-E_A"/>
    <x v="11"/>
    <n v="3.8806031483015802"/>
    <n v="1.07794531897266"/>
  </r>
  <r>
    <x v="0"/>
    <x v="28"/>
    <x v="3"/>
    <x v="4"/>
    <s v="DE4-E_A"/>
    <x v="12"/>
    <n v="9.7995028997514597E-2"/>
    <n v="2.72208413881985E-2"/>
  </r>
  <r>
    <x v="0"/>
    <x v="28"/>
    <x v="3"/>
    <x v="4"/>
    <s v="DE4-E_A"/>
    <x v="13"/>
    <n v="29.633696768848399"/>
    <n v="8.2315824357912195"/>
  </r>
  <r>
    <x v="0"/>
    <x v="28"/>
    <x v="3"/>
    <x v="4"/>
    <s v="DE4-E_A"/>
    <x v="14"/>
    <n v="29.633696768848399"/>
    <n v="8.2315824357912195"/>
  </r>
  <r>
    <x v="0"/>
    <x v="28"/>
    <x v="3"/>
    <x v="4"/>
    <s v="DE4-E_A"/>
    <x v="15"/>
    <n v="1.65807589063794"/>
    <n v="0.46057663628831802"/>
  </r>
  <r>
    <x v="0"/>
    <x v="28"/>
    <x v="3"/>
    <x v="4"/>
    <s v="DE4-E_A"/>
    <x v="16"/>
    <n v="6.5458675795335104"/>
    <n v="1.81829654987042"/>
  </r>
  <r>
    <x v="0"/>
    <x v="28"/>
    <x v="3"/>
    <x v="4"/>
    <s v="DE4-E_A"/>
    <x v="17"/>
    <n v="9.1244895875632395"/>
    <n v="2.5345804409897901"/>
  </r>
  <r>
    <x v="0"/>
    <x v="28"/>
    <x v="3"/>
    <x v="4"/>
    <s v="DE4-E_A"/>
    <x v="18"/>
    <n v="29.633696768848399"/>
    <n v="8.2315824357912195"/>
  </r>
  <r>
    <x v="0"/>
    <x v="28"/>
    <x v="3"/>
    <x v="4"/>
    <s v="DE4-E_A"/>
    <x v="19"/>
    <n v="8.1139884009941898"/>
    <n v="2.2538856669428302"/>
  </r>
  <r>
    <x v="0"/>
    <x v="28"/>
    <x v="3"/>
    <x v="4"/>
    <s v="DE4-E_A"/>
    <x v="20"/>
    <n v="22.109183021311601"/>
    <n v="6.1414397281420996"/>
  </r>
  <r>
    <x v="0"/>
    <x v="28"/>
    <x v="3"/>
    <x v="4"/>
    <s v="DE4-E_A"/>
    <x v="21"/>
    <n v="48.24"/>
    <n v="13.4"/>
  </r>
  <r>
    <x v="0"/>
    <x v="28"/>
    <x v="3"/>
    <x v="4"/>
    <s v="DE4-E_A"/>
    <x v="22"/>
    <n v="67.680000000000007"/>
    <n v="18.8"/>
  </r>
  <r>
    <x v="0"/>
    <x v="28"/>
    <x v="3"/>
    <x v="4"/>
    <s v="DE4-E_A"/>
    <x v="23"/>
    <n v="0.31515896120488701"/>
    <n v="8.7544155890246306E-2"/>
  </r>
  <r>
    <x v="0"/>
    <x v="28"/>
    <x v="3"/>
    <x v="4"/>
    <s v="DE4-E_A"/>
    <x v="24"/>
    <n v="19.174223581093901"/>
    <n v="5.32617321697054"/>
  </r>
  <r>
    <x v="0"/>
    <x v="28"/>
    <x v="3"/>
    <x v="4"/>
    <s v="DE4-E_A"/>
    <x v="25"/>
    <n v="26.209507293842599"/>
    <n v="7.2804186927340497"/>
  </r>
  <r>
    <x v="0"/>
    <x v="28"/>
    <x v="3"/>
    <x v="4"/>
    <s v="DE4-E_A"/>
    <x v="26"/>
    <n v="33.320887798496699"/>
    <n v="9.2558021662490795"/>
  </r>
  <r>
    <x v="0"/>
    <x v="28"/>
    <x v="3"/>
    <x v="4"/>
    <s v="DE4-E_A"/>
    <x v="27"/>
    <n v="20.163995508318798"/>
    <n v="5.6011098634218799"/>
  </r>
  <r>
    <x v="0"/>
    <x v="28"/>
    <x v="3"/>
    <x v="4"/>
    <s v="DE4-E_Offshore_A"/>
    <x v="1"/>
    <n v="35.989199999999997"/>
    <n v="9.9969999999999999"/>
  </r>
  <r>
    <x v="0"/>
    <x v="28"/>
    <x v="3"/>
    <x v="4"/>
    <s v="DE4-E_Offshore_A"/>
    <x v="2"/>
    <n v="46.08"/>
    <n v="12.8"/>
  </r>
  <r>
    <x v="0"/>
    <x v="28"/>
    <x v="3"/>
    <x v="4"/>
    <s v="DE4-E_Offshore_A"/>
    <x v="0"/>
    <n v="42.692399999999999"/>
    <n v="11.859"/>
  </r>
  <r>
    <x v="0"/>
    <x v="28"/>
    <x v="3"/>
    <x v="4"/>
    <s v="DE4-E_Offshore_A"/>
    <x v="3"/>
    <n v="51.633543144067197"/>
    <n v="14.342650873352"/>
  </r>
  <r>
    <x v="0"/>
    <x v="28"/>
    <x v="3"/>
    <x v="4"/>
    <s v="DE4-E_Offshore_A"/>
    <x v="4"/>
    <n v="6.3500778790389401"/>
    <n v="1.76391052195526"/>
  </r>
  <r>
    <x v="0"/>
    <x v="28"/>
    <x v="3"/>
    <x v="4"/>
    <s v="DE4-E_Offshore_A"/>
    <x v="5"/>
    <n v="6.3500778790389401"/>
    <n v="1.76391052195526"/>
  </r>
  <r>
    <x v="0"/>
    <x v="28"/>
    <x v="3"/>
    <x v="4"/>
    <s v="DE4-E_Offshore_A"/>
    <x v="6"/>
    <n v="29.476231795214598"/>
    <n v="8.1878421653373898"/>
  </r>
  <r>
    <x v="0"/>
    <x v="28"/>
    <x v="3"/>
    <x v="4"/>
    <s v="DE4-E_Offshore_A"/>
    <x v="7"/>
    <n v="57.838935220261199"/>
    <n v="16.066370894517"/>
  </r>
  <r>
    <x v="0"/>
    <x v="28"/>
    <x v="3"/>
    <x v="4"/>
    <s v="DE4-E_Offshore_A"/>
    <x v="8"/>
    <n v="57.838935220261199"/>
    <n v="16.066370894517"/>
  </r>
  <r>
    <x v="0"/>
    <x v="28"/>
    <x v="3"/>
    <x v="4"/>
    <s v="DE4-E_Offshore_A"/>
    <x v="9"/>
    <n v="44.4505451532725"/>
    <n v="12.3473736536868"/>
  </r>
  <r>
    <x v="0"/>
    <x v="28"/>
    <x v="3"/>
    <x v="4"/>
    <s v="DE4-E_Offshore_A"/>
    <x v="10"/>
    <n v="53.975661971830903"/>
    <n v="14.993239436619699"/>
  </r>
  <r>
    <x v="0"/>
    <x v="28"/>
    <x v="3"/>
    <x v="4"/>
    <s v="DE4-E_Offshore_A"/>
    <x v="11"/>
    <n v="3.8806031483015802"/>
    <n v="1.07794531897266"/>
  </r>
  <r>
    <x v="0"/>
    <x v="28"/>
    <x v="3"/>
    <x v="4"/>
    <s v="DE4-E_Offshore_A"/>
    <x v="12"/>
    <n v="9.7995028997514597E-2"/>
    <n v="2.72208413881985E-2"/>
  </r>
  <r>
    <x v="0"/>
    <x v="28"/>
    <x v="3"/>
    <x v="4"/>
    <s v="DE4-E_Offshore_A"/>
    <x v="13"/>
    <n v="29.633696768848399"/>
    <n v="8.2315824357912195"/>
  </r>
  <r>
    <x v="0"/>
    <x v="28"/>
    <x v="3"/>
    <x v="4"/>
    <s v="DE4-E_Offshore_A"/>
    <x v="14"/>
    <n v="29.633696768848399"/>
    <n v="8.2315824357912195"/>
  </r>
  <r>
    <x v="0"/>
    <x v="28"/>
    <x v="3"/>
    <x v="4"/>
    <s v="DE4-E_Offshore_A"/>
    <x v="15"/>
    <n v="1.65807589063794"/>
    <n v="0.46057663628831802"/>
  </r>
  <r>
    <x v="0"/>
    <x v="28"/>
    <x v="3"/>
    <x v="4"/>
    <s v="DE4-E_Offshore_A"/>
    <x v="16"/>
    <n v="6.5458675795335104"/>
    <n v="1.81829654987042"/>
  </r>
  <r>
    <x v="0"/>
    <x v="28"/>
    <x v="3"/>
    <x v="4"/>
    <s v="DE4-E_Offshore_A"/>
    <x v="17"/>
    <n v="9.1244895875632395"/>
    <n v="2.5345804409897901"/>
  </r>
  <r>
    <x v="0"/>
    <x v="28"/>
    <x v="3"/>
    <x v="4"/>
    <s v="DE4-E_Offshore_A"/>
    <x v="18"/>
    <n v="29.633696768848399"/>
    <n v="8.2315824357912195"/>
  </r>
  <r>
    <x v="0"/>
    <x v="28"/>
    <x v="3"/>
    <x v="4"/>
    <s v="DE4-E_Offshore_A"/>
    <x v="19"/>
    <n v="8.1139884009941898"/>
    <n v="2.2538856669428302"/>
  </r>
  <r>
    <x v="0"/>
    <x v="28"/>
    <x v="3"/>
    <x v="4"/>
    <s v="DE4-E_Offshore_A"/>
    <x v="20"/>
    <n v="22.109183021311601"/>
    <n v="6.1414397281420996"/>
  </r>
  <r>
    <x v="0"/>
    <x v="28"/>
    <x v="3"/>
    <x v="4"/>
    <s v="DE4-E_Offshore_A"/>
    <x v="21"/>
    <n v="48.24"/>
    <n v="13.4"/>
  </r>
  <r>
    <x v="0"/>
    <x v="28"/>
    <x v="3"/>
    <x v="4"/>
    <s v="DE4-E_Offshore_A"/>
    <x v="22"/>
    <n v="67.680000000000007"/>
    <n v="18.8"/>
  </r>
  <r>
    <x v="0"/>
    <x v="28"/>
    <x v="3"/>
    <x v="4"/>
    <s v="DE4-E_Offshore_A"/>
    <x v="23"/>
    <n v="0.31515896120488701"/>
    <n v="8.7544155890246306E-2"/>
  </r>
  <r>
    <x v="0"/>
    <x v="28"/>
    <x v="3"/>
    <x v="4"/>
    <s v="DE4-E_Offshore_A"/>
    <x v="24"/>
    <n v="19.174223581093901"/>
    <n v="5.32617321697054"/>
  </r>
  <r>
    <x v="0"/>
    <x v="28"/>
    <x v="3"/>
    <x v="4"/>
    <s v="DE4-E_Offshore_A"/>
    <x v="25"/>
    <n v="26.209507293842599"/>
    <n v="7.2804186927340497"/>
  </r>
  <r>
    <x v="0"/>
    <x v="28"/>
    <x v="3"/>
    <x v="4"/>
    <s v="DE4-E_Offshore_A"/>
    <x v="26"/>
    <n v="33.320887798496699"/>
    <n v="9.2558021662490795"/>
  </r>
  <r>
    <x v="0"/>
    <x v="28"/>
    <x v="3"/>
    <x v="4"/>
    <s v="DE4-E_Offshore_A"/>
    <x v="27"/>
    <n v="20.163995508318798"/>
    <n v="5.6011098634218799"/>
  </r>
  <r>
    <x v="0"/>
    <x v="28"/>
    <x v="3"/>
    <x v="5"/>
    <s v="DE4-N_A"/>
    <x v="1"/>
    <n v="35.989199999999997"/>
    <n v="9.9969999999999999"/>
  </r>
  <r>
    <x v="0"/>
    <x v="28"/>
    <x v="3"/>
    <x v="5"/>
    <s v="DE4-N_A"/>
    <x v="2"/>
    <n v="46.08"/>
    <n v="12.8"/>
  </r>
  <r>
    <x v="0"/>
    <x v="28"/>
    <x v="3"/>
    <x v="5"/>
    <s v="DE4-N_A"/>
    <x v="0"/>
    <n v="42.692399999999999"/>
    <n v="11.859"/>
  </r>
  <r>
    <x v="0"/>
    <x v="28"/>
    <x v="3"/>
    <x v="5"/>
    <s v="DE4-N_A"/>
    <x v="3"/>
    <n v="51.633543144067197"/>
    <n v="14.342650873352"/>
  </r>
  <r>
    <x v="0"/>
    <x v="28"/>
    <x v="3"/>
    <x v="5"/>
    <s v="DE4-N_A"/>
    <x v="4"/>
    <n v="6.3500778790389401"/>
    <n v="1.76391052195526"/>
  </r>
  <r>
    <x v="0"/>
    <x v="28"/>
    <x v="3"/>
    <x v="5"/>
    <s v="DE4-N_A"/>
    <x v="5"/>
    <n v="6.3500778790389401"/>
    <n v="1.76391052195526"/>
  </r>
  <r>
    <x v="0"/>
    <x v="28"/>
    <x v="3"/>
    <x v="5"/>
    <s v="DE4-N_A"/>
    <x v="6"/>
    <n v="29.476231795214598"/>
    <n v="8.1878421653373898"/>
  </r>
  <r>
    <x v="0"/>
    <x v="28"/>
    <x v="3"/>
    <x v="5"/>
    <s v="DE4-N_A"/>
    <x v="7"/>
    <n v="57.838935220261199"/>
    <n v="16.066370894517"/>
  </r>
  <r>
    <x v="0"/>
    <x v="28"/>
    <x v="3"/>
    <x v="5"/>
    <s v="DE4-N_A"/>
    <x v="8"/>
    <n v="57.838935220261199"/>
    <n v="16.066370894517"/>
  </r>
  <r>
    <x v="0"/>
    <x v="28"/>
    <x v="3"/>
    <x v="5"/>
    <s v="DE4-N_A"/>
    <x v="9"/>
    <n v="44.4505451532725"/>
    <n v="12.3473736536868"/>
  </r>
  <r>
    <x v="0"/>
    <x v="28"/>
    <x v="3"/>
    <x v="5"/>
    <s v="DE4-N_A"/>
    <x v="10"/>
    <n v="53.975661971830903"/>
    <n v="14.993239436619699"/>
  </r>
  <r>
    <x v="0"/>
    <x v="28"/>
    <x v="3"/>
    <x v="5"/>
    <s v="DE4-N_A"/>
    <x v="11"/>
    <n v="3.8806031483015802"/>
    <n v="1.07794531897266"/>
  </r>
  <r>
    <x v="0"/>
    <x v="28"/>
    <x v="3"/>
    <x v="5"/>
    <s v="DE4-N_A"/>
    <x v="12"/>
    <n v="9.7995028997514597E-2"/>
    <n v="2.72208413881985E-2"/>
  </r>
  <r>
    <x v="0"/>
    <x v="28"/>
    <x v="3"/>
    <x v="5"/>
    <s v="DE4-N_A"/>
    <x v="13"/>
    <n v="29.633696768848399"/>
    <n v="8.2315824357912195"/>
  </r>
  <r>
    <x v="0"/>
    <x v="28"/>
    <x v="3"/>
    <x v="5"/>
    <s v="DE4-N_A"/>
    <x v="14"/>
    <n v="29.633696768848399"/>
    <n v="8.2315824357912195"/>
  </r>
  <r>
    <x v="0"/>
    <x v="28"/>
    <x v="3"/>
    <x v="5"/>
    <s v="DE4-N_A"/>
    <x v="15"/>
    <n v="1.65807589063794"/>
    <n v="0.46057663628831802"/>
  </r>
  <r>
    <x v="0"/>
    <x v="28"/>
    <x v="3"/>
    <x v="5"/>
    <s v="DE4-N_A"/>
    <x v="16"/>
    <n v="6.5458675795335104"/>
    <n v="1.81829654987042"/>
  </r>
  <r>
    <x v="0"/>
    <x v="28"/>
    <x v="3"/>
    <x v="5"/>
    <s v="DE4-N_A"/>
    <x v="17"/>
    <n v="9.1244895875632395"/>
    <n v="2.5345804409897901"/>
  </r>
  <r>
    <x v="0"/>
    <x v="28"/>
    <x v="3"/>
    <x v="5"/>
    <s v="DE4-N_A"/>
    <x v="18"/>
    <n v="29.633696768848399"/>
    <n v="8.2315824357912195"/>
  </r>
  <r>
    <x v="0"/>
    <x v="28"/>
    <x v="3"/>
    <x v="5"/>
    <s v="DE4-N_A"/>
    <x v="19"/>
    <n v="8.1139884009941898"/>
    <n v="2.2538856669428302"/>
  </r>
  <r>
    <x v="0"/>
    <x v="28"/>
    <x v="3"/>
    <x v="5"/>
    <s v="DE4-N_A"/>
    <x v="20"/>
    <n v="22.109183021311601"/>
    <n v="6.1414397281420996"/>
  </r>
  <r>
    <x v="0"/>
    <x v="28"/>
    <x v="3"/>
    <x v="5"/>
    <s v="DE4-N_A"/>
    <x v="21"/>
    <n v="48.24"/>
    <n v="13.4"/>
  </r>
  <r>
    <x v="0"/>
    <x v="28"/>
    <x v="3"/>
    <x v="5"/>
    <s v="DE4-N_A"/>
    <x v="22"/>
    <n v="67.680000000000007"/>
    <n v="18.8"/>
  </r>
  <r>
    <x v="0"/>
    <x v="28"/>
    <x v="3"/>
    <x v="5"/>
    <s v="DE4-N_A"/>
    <x v="23"/>
    <n v="0.31515896120488701"/>
    <n v="8.7544155890246306E-2"/>
  </r>
  <r>
    <x v="0"/>
    <x v="28"/>
    <x v="3"/>
    <x v="5"/>
    <s v="DE4-N_A"/>
    <x v="24"/>
    <n v="19.174223581093901"/>
    <n v="5.32617321697054"/>
  </r>
  <r>
    <x v="0"/>
    <x v="28"/>
    <x v="3"/>
    <x v="5"/>
    <s v="DE4-N_A"/>
    <x v="25"/>
    <n v="26.209507293842599"/>
    <n v="7.2804186927340497"/>
  </r>
  <r>
    <x v="0"/>
    <x v="28"/>
    <x v="3"/>
    <x v="5"/>
    <s v="DE4-N_A"/>
    <x v="26"/>
    <n v="33.320887798496699"/>
    <n v="9.2558021662490795"/>
  </r>
  <r>
    <x v="0"/>
    <x v="28"/>
    <x v="3"/>
    <x v="5"/>
    <s v="DE4-N_A"/>
    <x v="27"/>
    <n v="20.163995508318798"/>
    <n v="5.6011098634218799"/>
  </r>
  <r>
    <x v="0"/>
    <x v="28"/>
    <x v="3"/>
    <x v="5"/>
    <s v="DE4-N_Offshore_A"/>
    <x v="1"/>
    <n v="35.989199999999997"/>
    <n v="9.9969999999999999"/>
  </r>
  <r>
    <x v="0"/>
    <x v="28"/>
    <x v="3"/>
    <x v="5"/>
    <s v="DE4-N_Offshore_A"/>
    <x v="2"/>
    <n v="46.08"/>
    <n v="12.8"/>
  </r>
  <r>
    <x v="0"/>
    <x v="28"/>
    <x v="3"/>
    <x v="5"/>
    <s v="DE4-N_Offshore_A"/>
    <x v="0"/>
    <n v="42.692399999999999"/>
    <n v="11.859"/>
  </r>
  <r>
    <x v="0"/>
    <x v="28"/>
    <x v="3"/>
    <x v="5"/>
    <s v="DE4-N_Offshore_A"/>
    <x v="3"/>
    <n v="51.633543144067197"/>
    <n v="14.342650873352"/>
  </r>
  <r>
    <x v="0"/>
    <x v="28"/>
    <x v="3"/>
    <x v="5"/>
    <s v="DE4-N_Offshore_A"/>
    <x v="4"/>
    <n v="6.3500778790389401"/>
    <n v="1.76391052195526"/>
  </r>
  <r>
    <x v="0"/>
    <x v="28"/>
    <x v="3"/>
    <x v="5"/>
    <s v="DE4-N_Offshore_A"/>
    <x v="5"/>
    <n v="6.3500778790389401"/>
    <n v="1.76391052195526"/>
  </r>
  <r>
    <x v="0"/>
    <x v="28"/>
    <x v="3"/>
    <x v="5"/>
    <s v="DE4-N_Offshore_A"/>
    <x v="6"/>
    <n v="29.476231795214598"/>
    <n v="8.1878421653373898"/>
  </r>
  <r>
    <x v="0"/>
    <x v="28"/>
    <x v="3"/>
    <x v="5"/>
    <s v="DE4-N_Offshore_A"/>
    <x v="7"/>
    <n v="57.838935220261199"/>
    <n v="16.066370894517"/>
  </r>
  <r>
    <x v="0"/>
    <x v="28"/>
    <x v="3"/>
    <x v="5"/>
    <s v="DE4-N_Offshore_A"/>
    <x v="8"/>
    <n v="57.838935220261199"/>
    <n v="16.066370894517"/>
  </r>
  <r>
    <x v="0"/>
    <x v="28"/>
    <x v="3"/>
    <x v="5"/>
    <s v="DE4-N_Offshore_A"/>
    <x v="9"/>
    <n v="44.4505451532725"/>
    <n v="12.3473736536868"/>
  </r>
  <r>
    <x v="0"/>
    <x v="28"/>
    <x v="3"/>
    <x v="5"/>
    <s v="DE4-N_Offshore_A"/>
    <x v="10"/>
    <n v="53.975661971830903"/>
    <n v="14.993239436619699"/>
  </r>
  <r>
    <x v="0"/>
    <x v="28"/>
    <x v="3"/>
    <x v="5"/>
    <s v="DE4-N_Offshore_A"/>
    <x v="11"/>
    <n v="3.8806031483015802"/>
    <n v="1.07794531897266"/>
  </r>
  <r>
    <x v="0"/>
    <x v="28"/>
    <x v="3"/>
    <x v="5"/>
    <s v="DE4-N_Offshore_A"/>
    <x v="12"/>
    <n v="9.7995028997514597E-2"/>
    <n v="2.72208413881985E-2"/>
  </r>
  <r>
    <x v="0"/>
    <x v="28"/>
    <x v="3"/>
    <x v="5"/>
    <s v="DE4-N_Offshore_A"/>
    <x v="13"/>
    <n v="29.633696768848399"/>
    <n v="8.2315824357912195"/>
  </r>
  <r>
    <x v="0"/>
    <x v="28"/>
    <x v="3"/>
    <x v="5"/>
    <s v="DE4-N_Offshore_A"/>
    <x v="14"/>
    <n v="29.633696768848399"/>
    <n v="8.2315824357912195"/>
  </r>
  <r>
    <x v="0"/>
    <x v="28"/>
    <x v="3"/>
    <x v="5"/>
    <s v="DE4-N_Offshore_A"/>
    <x v="15"/>
    <n v="1.65807589063794"/>
    <n v="0.46057663628831802"/>
  </r>
  <r>
    <x v="0"/>
    <x v="28"/>
    <x v="3"/>
    <x v="5"/>
    <s v="DE4-N_Offshore_A"/>
    <x v="16"/>
    <n v="6.5458675795335104"/>
    <n v="1.81829654987042"/>
  </r>
  <r>
    <x v="0"/>
    <x v="28"/>
    <x v="3"/>
    <x v="5"/>
    <s v="DE4-N_Offshore_A"/>
    <x v="17"/>
    <n v="9.1244895875632395"/>
    <n v="2.5345804409897901"/>
  </r>
  <r>
    <x v="0"/>
    <x v="28"/>
    <x v="3"/>
    <x v="5"/>
    <s v="DE4-N_Offshore_A"/>
    <x v="18"/>
    <n v="29.633696768848399"/>
    <n v="8.2315824357912195"/>
  </r>
  <r>
    <x v="0"/>
    <x v="28"/>
    <x v="3"/>
    <x v="5"/>
    <s v="DE4-N_Offshore_A"/>
    <x v="19"/>
    <n v="8.1139884009941898"/>
    <n v="2.2538856669428302"/>
  </r>
  <r>
    <x v="0"/>
    <x v="28"/>
    <x v="3"/>
    <x v="5"/>
    <s v="DE4-N_Offshore_A"/>
    <x v="20"/>
    <n v="22.109183021311601"/>
    <n v="6.1414397281420996"/>
  </r>
  <r>
    <x v="0"/>
    <x v="28"/>
    <x v="3"/>
    <x v="5"/>
    <s v="DE4-N_Offshore_A"/>
    <x v="21"/>
    <n v="48.24"/>
    <n v="13.4"/>
  </r>
  <r>
    <x v="0"/>
    <x v="28"/>
    <x v="3"/>
    <x v="5"/>
    <s v="DE4-N_Offshore_A"/>
    <x v="22"/>
    <n v="67.680000000000007"/>
    <n v="18.8"/>
  </r>
  <r>
    <x v="0"/>
    <x v="28"/>
    <x v="3"/>
    <x v="5"/>
    <s v="DE4-N_Offshore_A"/>
    <x v="23"/>
    <n v="0.31515896120488701"/>
    <n v="8.7544155890246306E-2"/>
  </r>
  <r>
    <x v="0"/>
    <x v="28"/>
    <x v="3"/>
    <x v="5"/>
    <s v="DE4-N_Offshore_A"/>
    <x v="24"/>
    <n v="19.174223581093901"/>
    <n v="5.32617321697054"/>
  </r>
  <r>
    <x v="0"/>
    <x v="28"/>
    <x v="3"/>
    <x v="5"/>
    <s v="DE4-N_Offshore_A"/>
    <x v="25"/>
    <n v="26.209507293842599"/>
    <n v="7.2804186927340497"/>
  </r>
  <r>
    <x v="0"/>
    <x v="28"/>
    <x v="3"/>
    <x v="5"/>
    <s v="DE4-N_Offshore_A"/>
    <x v="26"/>
    <n v="33.320887798496699"/>
    <n v="9.2558021662490795"/>
  </r>
  <r>
    <x v="0"/>
    <x v="28"/>
    <x v="3"/>
    <x v="5"/>
    <s v="DE4-N_Offshore_A"/>
    <x v="27"/>
    <n v="20.163995508318798"/>
    <n v="5.6011098634218799"/>
  </r>
  <r>
    <x v="0"/>
    <x v="28"/>
    <x v="3"/>
    <x v="6"/>
    <s v="DE4-S_A"/>
    <x v="1"/>
    <n v="35.989199999999997"/>
    <n v="9.9969999999999999"/>
  </r>
  <r>
    <x v="0"/>
    <x v="28"/>
    <x v="3"/>
    <x v="6"/>
    <s v="DE4-S_A"/>
    <x v="2"/>
    <n v="46.08"/>
    <n v="12.8"/>
  </r>
  <r>
    <x v="0"/>
    <x v="28"/>
    <x v="3"/>
    <x v="6"/>
    <s v="DE4-S_A"/>
    <x v="0"/>
    <n v="42.692399999999999"/>
    <n v="11.859"/>
  </r>
  <r>
    <x v="0"/>
    <x v="28"/>
    <x v="3"/>
    <x v="6"/>
    <s v="DE4-S_A"/>
    <x v="3"/>
    <n v="51.633543144067197"/>
    <n v="14.342650873352"/>
  </r>
  <r>
    <x v="0"/>
    <x v="28"/>
    <x v="3"/>
    <x v="6"/>
    <s v="DE4-S_A"/>
    <x v="4"/>
    <n v="6.3500778790389401"/>
    <n v="1.76391052195526"/>
  </r>
  <r>
    <x v="0"/>
    <x v="28"/>
    <x v="3"/>
    <x v="6"/>
    <s v="DE4-S_A"/>
    <x v="5"/>
    <n v="6.3500778790389401"/>
    <n v="1.76391052195526"/>
  </r>
  <r>
    <x v="0"/>
    <x v="28"/>
    <x v="3"/>
    <x v="6"/>
    <s v="DE4-S_A"/>
    <x v="6"/>
    <n v="29.476231795214598"/>
    <n v="8.1878421653373898"/>
  </r>
  <r>
    <x v="0"/>
    <x v="28"/>
    <x v="3"/>
    <x v="6"/>
    <s v="DE4-S_A"/>
    <x v="7"/>
    <n v="57.838935220261199"/>
    <n v="16.066370894517"/>
  </r>
  <r>
    <x v="0"/>
    <x v="28"/>
    <x v="3"/>
    <x v="6"/>
    <s v="DE4-S_A"/>
    <x v="8"/>
    <n v="57.838935220261199"/>
    <n v="16.066370894517"/>
  </r>
  <r>
    <x v="0"/>
    <x v="28"/>
    <x v="3"/>
    <x v="6"/>
    <s v="DE4-S_A"/>
    <x v="9"/>
    <n v="44.4505451532725"/>
    <n v="12.3473736536868"/>
  </r>
  <r>
    <x v="0"/>
    <x v="28"/>
    <x v="3"/>
    <x v="6"/>
    <s v="DE4-S_A"/>
    <x v="10"/>
    <n v="53.975661971830903"/>
    <n v="14.993239436619699"/>
  </r>
  <r>
    <x v="0"/>
    <x v="28"/>
    <x v="3"/>
    <x v="6"/>
    <s v="DE4-S_A"/>
    <x v="11"/>
    <n v="3.8806031483015802"/>
    <n v="1.07794531897266"/>
  </r>
  <r>
    <x v="0"/>
    <x v="28"/>
    <x v="3"/>
    <x v="6"/>
    <s v="DE4-S_A"/>
    <x v="12"/>
    <n v="9.7995028997514597E-2"/>
    <n v="2.72208413881985E-2"/>
  </r>
  <r>
    <x v="0"/>
    <x v="28"/>
    <x v="3"/>
    <x v="6"/>
    <s v="DE4-S_A"/>
    <x v="13"/>
    <n v="29.633696768848399"/>
    <n v="8.2315824357912195"/>
  </r>
  <r>
    <x v="0"/>
    <x v="28"/>
    <x v="3"/>
    <x v="6"/>
    <s v="DE4-S_A"/>
    <x v="14"/>
    <n v="29.633696768848399"/>
    <n v="8.2315824357912195"/>
  </r>
  <r>
    <x v="0"/>
    <x v="28"/>
    <x v="3"/>
    <x v="6"/>
    <s v="DE4-S_A"/>
    <x v="15"/>
    <n v="1.65807589063794"/>
    <n v="0.46057663628831802"/>
  </r>
  <r>
    <x v="0"/>
    <x v="28"/>
    <x v="3"/>
    <x v="6"/>
    <s v="DE4-S_A"/>
    <x v="16"/>
    <n v="6.5458675795335104"/>
    <n v="1.81829654987042"/>
  </r>
  <r>
    <x v="0"/>
    <x v="28"/>
    <x v="3"/>
    <x v="6"/>
    <s v="DE4-S_A"/>
    <x v="17"/>
    <n v="9.1244895875632395"/>
    <n v="2.5345804409897901"/>
  </r>
  <r>
    <x v="0"/>
    <x v="28"/>
    <x v="3"/>
    <x v="6"/>
    <s v="DE4-S_A"/>
    <x v="18"/>
    <n v="29.633696768848399"/>
    <n v="8.2315824357912195"/>
  </r>
  <r>
    <x v="0"/>
    <x v="28"/>
    <x v="3"/>
    <x v="6"/>
    <s v="DE4-S_A"/>
    <x v="19"/>
    <n v="8.1139884009941898"/>
    <n v="2.2538856669428302"/>
  </r>
  <r>
    <x v="0"/>
    <x v="28"/>
    <x v="3"/>
    <x v="6"/>
    <s v="DE4-S_A"/>
    <x v="20"/>
    <n v="22.109183021311601"/>
    <n v="6.1414397281420996"/>
  </r>
  <r>
    <x v="0"/>
    <x v="28"/>
    <x v="3"/>
    <x v="6"/>
    <s v="DE4-S_A"/>
    <x v="21"/>
    <n v="48.24"/>
    <n v="13.4"/>
  </r>
  <r>
    <x v="0"/>
    <x v="28"/>
    <x v="3"/>
    <x v="6"/>
    <s v="DE4-S_A"/>
    <x v="22"/>
    <n v="67.680000000000007"/>
    <n v="18.8"/>
  </r>
  <r>
    <x v="0"/>
    <x v="28"/>
    <x v="3"/>
    <x v="6"/>
    <s v="DE4-S_A"/>
    <x v="23"/>
    <n v="0.31515896120488701"/>
    <n v="8.7544155890246306E-2"/>
  </r>
  <r>
    <x v="0"/>
    <x v="28"/>
    <x v="3"/>
    <x v="6"/>
    <s v="DE4-S_A"/>
    <x v="24"/>
    <n v="19.174223581093901"/>
    <n v="5.32617321697054"/>
  </r>
  <r>
    <x v="0"/>
    <x v="28"/>
    <x v="3"/>
    <x v="6"/>
    <s v="DE4-S_A"/>
    <x v="25"/>
    <n v="26.209507293842599"/>
    <n v="7.2804186927340497"/>
  </r>
  <r>
    <x v="0"/>
    <x v="28"/>
    <x v="3"/>
    <x v="6"/>
    <s v="DE4-S_A"/>
    <x v="26"/>
    <n v="33.320887798496699"/>
    <n v="9.2558021662490795"/>
  </r>
  <r>
    <x v="0"/>
    <x v="28"/>
    <x v="3"/>
    <x v="6"/>
    <s v="DE4-S_A"/>
    <x v="27"/>
    <n v="20.163995508318798"/>
    <n v="5.6011098634218799"/>
  </r>
  <r>
    <x v="0"/>
    <x v="28"/>
    <x v="3"/>
    <x v="7"/>
    <s v="DE4-W_A"/>
    <x v="1"/>
    <n v="35.989199999999997"/>
    <n v="9.9969999999999999"/>
  </r>
  <r>
    <x v="0"/>
    <x v="28"/>
    <x v="3"/>
    <x v="7"/>
    <s v="DE4-W_A"/>
    <x v="2"/>
    <n v="46.08"/>
    <n v="12.8"/>
  </r>
  <r>
    <x v="0"/>
    <x v="28"/>
    <x v="3"/>
    <x v="7"/>
    <s v="DE4-W_A"/>
    <x v="0"/>
    <n v="42.692399999999999"/>
    <n v="11.859"/>
  </r>
  <r>
    <x v="0"/>
    <x v="28"/>
    <x v="3"/>
    <x v="7"/>
    <s v="DE4-W_A"/>
    <x v="3"/>
    <n v="51.633543144067197"/>
    <n v="14.342650873352"/>
  </r>
  <r>
    <x v="0"/>
    <x v="28"/>
    <x v="3"/>
    <x v="7"/>
    <s v="DE4-W_A"/>
    <x v="4"/>
    <n v="6.3500778790389401"/>
    <n v="1.76391052195526"/>
  </r>
  <r>
    <x v="0"/>
    <x v="28"/>
    <x v="3"/>
    <x v="7"/>
    <s v="DE4-W_A"/>
    <x v="5"/>
    <n v="6.3500778790389401"/>
    <n v="1.76391052195526"/>
  </r>
  <r>
    <x v="0"/>
    <x v="28"/>
    <x v="3"/>
    <x v="7"/>
    <s v="DE4-W_A"/>
    <x v="6"/>
    <n v="29.476231795214598"/>
    <n v="8.1878421653373898"/>
  </r>
  <r>
    <x v="0"/>
    <x v="28"/>
    <x v="3"/>
    <x v="7"/>
    <s v="DE4-W_A"/>
    <x v="7"/>
    <n v="57.838935220261199"/>
    <n v="16.066370894517"/>
  </r>
  <r>
    <x v="0"/>
    <x v="28"/>
    <x v="3"/>
    <x v="7"/>
    <s v="DE4-W_A"/>
    <x v="8"/>
    <n v="57.838935220261199"/>
    <n v="16.066370894517"/>
  </r>
  <r>
    <x v="0"/>
    <x v="28"/>
    <x v="3"/>
    <x v="7"/>
    <s v="DE4-W_A"/>
    <x v="9"/>
    <n v="44.4505451532725"/>
    <n v="12.3473736536868"/>
  </r>
  <r>
    <x v="0"/>
    <x v="28"/>
    <x v="3"/>
    <x v="7"/>
    <s v="DE4-W_A"/>
    <x v="10"/>
    <n v="53.975661971830903"/>
    <n v="14.993239436619699"/>
  </r>
  <r>
    <x v="0"/>
    <x v="28"/>
    <x v="3"/>
    <x v="7"/>
    <s v="DE4-W_A"/>
    <x v="11"/>
    <n v="3.8806031483015802"/>
    <n v="1.07794531897266"/>
  </r>
  <r>
    <x v="0"/>
    <x v="28"/>
    <x v="3"/>
    <x v="7"/>
    <s v="DE4-W_A"/>
    <x v="12"/>
    <n v="9.7995028997514597E-2"/>
    <n v="2.72208413881985E-2"/>
  </r>
  <r>
    <x v="0"/>
    <x v="28"/>
    <x v="3"/>
    <x v="7"/>
    <s v="DE4-W_A"/>
    <x v="13"/>
    <n v="29.633696768848399"/>
    <n v="8.2315824357912195"/>
  </r>
  <r>
    <x v="0"/>
    <x v="28"/>
    <x v="3"/>
    <x v="7"/>
    <s v="DE4-W_A"/>
    <x v="14"/>
    <n v="29.633696768848399"/>
    <n v="8.2315824357912195"/>
  </r>
  <r>
    <x v="0"/>
    <x v="28"/>
    <x v="3"/>
    <x v="7"/>
    <s v="DE4-W_A"/>
    <x v="15"/>
    <n v="1.65807589063794"/>
    <n v="0.46057663628831802"/>
  </r>
  <r>
    <x v="0"/>
    <x v="28"/>
    <x v="3"/>
    <x v="7"/>
    <s v="DE4-W_A"/>
    <x v="16"/>
    <n v="6.5458675795335104"/>
    <n v="1.81829654987042"/>
  </r>
  <r>
    <x v="0"/>
    <x v="28"/>
    <x v="3"/>
    <x v="7"/>
    <s v="DE4-W_A"/>
    <x v="17"/>
    <n v="9.1244895875632395"/>
    <n v="2.5345804409897901"/>
  </r>
  <r>
    <x v="0"/>
    <x v="28"/>
    <x v="3"/>
    <x v="7"/>
    <s v="DE4-W_A"/>
    <x v="18"/>
    <n v="29.633696768848399"/>
    <n v="8.2315824357912195"/>
  </r>
  <r>
    <x v="0"/>
    <x v="28"/>
    <x v="3"/>
    <x v="7"/>
    <s v="DE4-W_A"/>
    <x v="19"/>
    <n v="8.1139884009941898"/>
    <n v="2.2538856669428302"/>
  </r>
  <r>
    <x v="0"/>
    <x v="28"/>
    <x v="3"/>
    <x v="7"/>
    <s v="DE4-W_A"/>
    <x v="20"/>
    <n v="22.109183021311601"/>
    <n v="6.1414397281420996"/>
  </r>
  <r>
    <x v="0"/>
    <x v="28"/>
    <x v="3"/>
    <x v="7"/>
    <s v="DE4-W_A"/>
    <x v="21"/>
    <n v="48.24"/>
    <n v="13.4"/>
  </r>
  <r>
    <x v="0"/>
    <x v="28"/>
    <x v="3"/>
    <x v="7"/>
    <s v="DE4-W_A"/>
    <x v="22"/>
    <n v="67.680000000000007"/>
    <n v="18.8"/>
  </r>
  <r>
    <x v="0"/>
    <x v="28"/>
    <x v="3"/>
    <x v="7"/>
    <s v="DE4-W_A"/>
    <x v="23"/>
    <n v="0.31515896120488701"/>
    <n v="8.7544155890246306E-2"/>
  </r>
  <r>
    <x v="0"/>
    <x v="28"/>
    <x v="3"/>
    <x v="7"/>
    <s v="DE4-W_A"/>
    <x v="24"/>
    <n v="19.174223581093901"/>
    <n v="5.32617321697054"/>
  </r>
  <r>
    <x v="0"/>
    <x v="28"/>
    <x v="3"/>
    <x v="7"/>
    <s v="DE4-W_A"/>
    <x v="25"/>
    <n v="26.209507293842599"/>
    <n v="7.2804186927340497"/>
  </r>
  <r>
    <x v="0"/>
    <x v="28"/>
    <x v="3"/>
    <x v="7"/>
    <s v="DE4-W_A"/>
    <x v="26"/>
    <n v="33.320887798496699"/>
    <n v="9.2558021662490795"/>
  </r>
  <r>
    <x v="0"/>
    <x v="28"/>
    <x v="3"/>
    <x v="7"/>
    <s v="DE4-W_A"/>
    <x v="27"/>
    <n v="20.163995508318798"/>
    <n v="5.6011098634218799"/>
  </r>
  <r>
    <x v="0"/>
    <x v="28"/>
    <x v="3"/>
    <x v="7"/>
    <s v="DE4-W_Offshore_A"/>
    <x v="1"/>
    <n v="35.989199999999997"/>
    <n v="9.9969999999999999"/>
  </r>
  <r>
    <x v="0"/>
    <x v="28"/>
    <x v="3"/>
    <x v="7"/>
    <s v="DE4-W_Offshore_A"/>
    <x v="2"/>
    <n v="46.08"/>
    <n v="12.8"/>
  </r>
  <r>
    <x v="0"/>
    <x v="28"/>
    <x v="3"/>
    <x v="7"/>
    <s v="DE4-W_Offshore_A"/>
    <x v="0"/>
    <n v="42.692399999999999"/>
    <n v="11.859"/>
  </r>
  <r>
    <x v="0"/>
    <x v="28"/>
    <x v="3"/>
    <x v="7"/>
    <s v="DE4-W_Offshore_A"/>
    <x v="3"/>
    <n v="51.633543144067197"/>
    <n v="14.342650873352"/>
  </r>
  <r>
    <x v="0"/>
    <x v="28"/>
    <x v="3"/>
    <x v="7"/>
    <s v="DE4-W_Offshore_A"/>
    <x v="4"/>
    <n v="6.3500778790389401"/>
    <n v="1.76391052195526"/>
  </r>
  <r>
    <x v="0"/>
    <x v="28"/>
    <x v="3"/>
    <x v="7"/>
    <s v="DE4-W_Offshore_A"/>
    <x v="5"/>
    <n v="6.3500778790389401"/>
    <n v="1.76391052195526"/>
  </r>
  <r>
    <x v="0"/>
    <x v="28"/>
    <x v="3"/>
    <x v="7"/>
    <s v="DE4-W_Offshore_A"/>
    <x v="6"/>
    <n v="29.476231795214598"/>
    <n v="8.1878421653373898"/>
  </r>
  <r>
    <x v="0"/>
    <x v="28"/>
    <x v="3"/>
    <x v="7"/>
    <s v="DE4-W_Offshore_A"/>
    <x v="7"/>
    <n v="57.838935220261199"/>
    <n v="16.066370894517"/>
  </r>
  <r>
    <x v="0"/>
    <x v="28"/>
    <x v="3"/>
    <x v="7"/>
    <s v="DE4-W_Offshore_A"/>
    <x v="8"/>
    <n v="57.838935220261199"/>
    <n v="16.066370894517"/>
  </r>
  <r>
    <x v="0"/>
    <x v="28"/>
    <x v="3"/>
    <x v="7"/>
    <s v="DE4-W_Offshore_A"/>
    <x v="9"/>
    <n v="44.4505451532725"/>
    <n v="12.3473736536868"/>
  </r>
  <r>
    <x v="0"/>
    <x v="28"/>
    <x v="3"/>
    <x v="7"/>
    <s v="DE4-W_Offshore_A"/>
    <x v="10"/>
    <n v="53.975661971830903"/>
    <n v="14.993239436619699"/>
  </r>
  <r>
    <x v="0"/>
    <x v="28"/>
    <x v="3"/>
    <x v="7"/>
    <s v="DE4-W_Offshore_A"/>
    <x v="11"/>
    <n v="3.8806031483015802"/>
    <n v="1.07794531897266"/>
  </r>
  <r>
    <x v="0"/>
    <x v="28"/>
    <x v="3"/>
    <x v="7"/>
    <s v="DE4-W_Offshore_A"/>
    <x v="12"/>
    <n v="9.7995028997514597E-2"/>
    <n v="2.72208413881985E-2"/>
  </r>
  <r>
    <x v="0"/>
    <x v="28"/>
    <x v="3"/>
    <x v="7"/>
    <s v="DE4-W_Offshore_A"/>
    <x v="13"/>
    <n v="29.633696768848399"/>
    <n v="8.2315824357912195"/>
  </r>
  <r>
    <x v="0"/>
    <x v="28"/>
    <x v="3"/>
    <x v="7"/>
    <s v="DE4-W_Offshore_A"/>
    <x v="14"/>
    <n v="29.633696768848399"/>
    <n v="8.2315824357912195"/>
  </r>
  <r>
    <x v="0"/>
    <x v="28"/>
    <x v="3"/>
    <x v="7"/>
    <s v="DE4-W_Offshore_A"/>
    <x v="15"/>
    <n v="1.65807589063794"/>
    <n v="0.46057663628831802"/>
  </r>
  <r>
    <x v="0"/>
    <x v="28"/>
    <x v="3"/>
    <x v="7"/>
    <s v="DE4-W_Offshore_A"/>
    <x v="16"/>
    <n v="6.5458675795335104"/>
    <n v="1.81829654987042"/>
  </r>
  <r>
    <x v="0"/>
    <x v="28"/>
    <x v="3"/>
    <x v="7"/>
    <s v="DE4-W_Offshore_A"/>
    <x v="17"/>
    <n v="9.1244895875632395"/>
    <n v="2.5345804409897901"/>
  </r>
  <r>
    <x v="0"/>
    <x v="28"/>
    <x v="3"/>
    <x v="7"/>
    <s v="DE4-W_Offshore_A"/>
    <x v="18"/>
    <n v="29.633696768848399"/>
    <n v="8.2315824357912195"/>
  </r>
  <r>
    <x v="0"/>
    <x v="28"/>
    <x v="3"/>
    <x v="7"/>
    <s v="DE4-W_Offshore_A"/>
    <x v="19"/>
    <n v="8.1139884009941898"/>
    <n v="2.2538856669428302"/>
  </r>
  <r>
    <x v="0"/>
    <x v="28"/>
    <x v="3"/>
    <x v="7"/>
    <s v="DE4-W_Offshore_A"/>
    <x v="20"/>
    <n v="22.109183021311601"/>
    <n v="6.1414397281420996"/>
  </r>
  <r>
    <x v="0"/>
    <x v="28"/>
    <x v="3"/>
    <x v="7"/>
    <s v="DE4-W_Offshore_A"/>
    <x v="21"/>
    <n v="48.24"/>
    <n v="13.4"/>
  </r>
  <r>
    <x v="0"/>
    <x v="28"/>
    <x v="3"/>
    <x v="7"/>
    <s v="DE4-W_Offshore_A"/>
    <x v="22"/>
    <n v="67.680000000000007"/>
    <n v="18.8"/>
  </r>
  <r>
    <x v="0"/>
    <x v="28"/>
    <x v="3"/>
    <x v="7"/>
    <s v="DE4-W_Offshore_A"/>
    <x v="23"/>
    <n v="0.31515896120488701"/>
    <n v="8.7544155890246306E-2"/>
  </r>
  <r>
    <x v="0"/>
    <x v="28"/>
    <x v="3"/>
    <x v="7"/>
    <s v="DE4-W_Offshore_A"/>
    <x v="24"/>
    <n v="19.174223581093901"/>
    <n v="5.32617321697054"/>
  </r>
  <r>
    <x v="0"/>
    <x v="28"/>
    <x v="3"/>
    <x v="7"/>
    <s v="DE4-W_Offshore_A"/>
    <x v="25"/>
    <n v="26.209507293842599"/>
    <n v="7.2804186927340497"/>
  </r>
  <r>
    <x v="0"/>
    <x v="28"/>
    <x v="3"/>
    <x v="7"/>
    <s v="DE4-W_Offshore_A"/>
    <x v="26"/>
    <n v="33.320887798496699"/>
    <n v="9.2558021662490795"/>
  </r>
  <r>
    <x v="0"/>
    <x v="28"/>
    <x v="3"/>
    <x v="7"/>
    <s v="DE4-W_Offshore_A"/>
    <x v="27"/>
    <n v="20.163995508318798"/>
    <n v="5.6011098634218799"/>
  </r>
  <r>
    <x v="0"/>
    <x v="28"/>
    <x v="4"/>
    <x v="8"/>
    <s v="LV_A"/>
    <x v="1"/>
    <n v="35.989199999999997"/>
    <n v="9.9969999999999999"/>
  </r>
  <r>
    <x v="0"/>
    <x v="28"/>
    <x v="4"/>
    <x v="8"/>
    <s v="LV_A"/>
    <x v="2"/>
    <n v="46.08"/>
    <n v="12.8"/>
  </r>
  <r>
    <x v="0"/>
    <x v="28"/>
    <x v="4"/>
    <x v="8"/>
    <s v="LV_A"/>
    <x v="0"/>
    <n v="42.692399999999999"/>
    <n v="11.859"/>
  </r>
  <r>
    <x v="0"/>
    <x v="28"/>
    <x v="4"/>
    <x v="8"/>
    <s v="LV_A"/>
    <x v="3"/>
    <n v="51.633543144067197"/>
    <n v="14.342650873352"/>
  </r>
  <r>
    <x v="0"/>
    <x v="28"/>
    <x v="4"/>
    <x v="8"/>
    <s v="LV_A"/>
    <x v="4"/>
    <n v="6.3500778790389401"/>
    <n v="1.76391052195526"/>
  </r>
  <r>
    <x v="0"/>
    <x v="28"/>
    <x v="4"/>
    <x v="8"/>
    <s v="LV_A"/>
    <x v="5"/>
    <n v="6.3500778790389401"/>
    <n v="1.76391052195526"/>
  </r>
  <r>
    <x v="0"/>
    <x v="28"/>
    <x v="4"/>
    <x v="8"/>
    <s v="LV_A"/>
    <x v="6"/>
    <n v="29.476231795214598"/>
    <n v="8.1878421653373898"/>
  </r>
  <r>
    <x v="0"/>
    <x v="28"/>
    <x v="4"/>
    <x v="8"/>
    <s v="LV_A"/>
    <x v="7"/>
    <n v="57.838935220261199"/>
    <n v="16.066370894517"/>
  </r>
  <r>
    <x v="0"/>
    <x v="28"/>
    <x v="4"/>
    <x v="8"/>
    <s v="LV_A"/>
    <x v="8"/>
    <n v="57.838935220261199"/>
    <n v="16.066370894517"/>
  </r>
  <r>
    <x v="0"/>
    <x v="28"/>
    <x v="4"/>
    <x v="8"/>
    <s v="LV_A"/>
    <x v="9"/>
    <n v="44.4505451532725"/>
    <n v="12.3473736536868"/>
  </r>
  <r>
    <x v="0"/>
    <x v="28"/>
    <x v="4"/>
    <x v="8"/>
    <s v="LV_A"/>
    <x v="10"/>
    <n v="53.975661971830903"/>
    <n v="14.993239436619699"/>
  </r>
  <r>
    <x v="0"/>
    <x v="28"/>
    <x v="4"/>
    <x v="8"/>
    <s v="LV_A"/>
    <x v="11"/>
    <n v="3.8806031483015802"/>
    <n v="1.07794531897266"/>
  </r>
  <r>
    <x v="0"/>
    <x v="28"/>
    <x v="4"/>
    <x v="8"/>
    <s v="LV_A"/>
    <x v="12"/>
    <n v="9.7995028997514597E-2"/>
    <n v="2.72208413881985E-2"/>
  </r>
  <r>
    <x v="0"/>
    <x v="28"/>
    <x v="4"/>
    <x v="8"/>
    <s v="LV_A"/>
    <x v="13"/>
    <n v="29.633696768848399"/>
    <n v="8.2315824357912195"/>
  </r>
  <r>
    <x v="0"/>
    <x v="28"/>
    <x v="4"/>
    <x v="8"/>
    <s v="LV_A"/>
    <x v="14"/>
    <n v="29.633696768848399"/>
    <n v="8.2315824357912195"/>
  </r>
  <r>
    <x v="0"/>
    <x v="28"/>
    <x v="4"/>
    <x v="8"/>
    <s v="LV_A"/>
    <x v="15"/>
    <n v="1.65807589063794"/>
    <n v="0.46057663628831802"/>
  </r>
  <r>
    <x v="0"/>
    <x v="28"/>
    <x v="4"/>
    <x v="8"/>
    <s v="LV_A"/>
    <x v="16"/>
    <n v="6.5458675795335104"/>
    <n v="1.81829654987042"/>
  </r>
  <r>
    <x v="0"/>
    <x v="28"/>
    <x v="4"/>
    <x v="8"/>
    <s v="LV_A"/>
    <x v="17"/>
    <n v="9.1244895875632395"/>
    <n v="2.5345804409897901"/>
  </r>
  <r>
    <x v="0"/>
    <x v="28"/>
    <x v="4"/>
    <x v="8"/>
    <s v="LV_A"/>
    <x v="18"/>
    <n v="29.633696768848399"/>
    <n v="8.2315824357912195"/>
  </r>
  <r>
    <x v="0"/>
    <x v="28"/>
    <x v="4"/>
    <x v="8"/>
    <s v="LV_A"/>
    <x v="19"/>
    <n v="8.1139884009941898"/>
    <n v="2.2538856669428302"/>
  </r>
  <r>
    <x v="0"/>
    <x v="28"/>
    <x v="4"/>
    <x v="8"/>
    <s v="LV_A"/>
    <x v="20"/>
    <n v="22.109183021311601"/>
    <n v="6.1414397281420996"/>
  </r>
  <r>
    <x v="0"/>
    <x v="28"/>
    <x v="4"/>
    <x v="8"/>
    <s v="LV_A"/>
    <x v="21"/>
    <n v="48.24"/>
    <n v="13.4"/>
  </r>
  <r>
    <x v="0"/>
    <x v="28"/>
    <x v="4"/>
    <x v="8"/>
    <s v="LV_A"/>
    <x v="22"/>
    <n v="67.680000000000007"/>
    <n v="18.8"/>
  </r>
  <r>
    <x v="0"/>
    <x v="28"/>
    <x v="4"/>
    <x v="8"/>
    <s v="LV_A"/>
    <x v="23"/>
    <n v="0.31515896120488701"/>
    <n v="8.7544155890246306E-2"/>
  </r>
  <r>
    <x v="0"/>
    <x v="28"/>
    <x v="4"/>
    <x v="8"/>
    <s v="LV_A"/>
    <x v="24"/>
    <n v="19.174223581093901"/>
    <n v="5.32617321697054"/>
  </r>
  <r>
    <x v="0"/>
    <x v="28"/>
    <x v="4"/>
    <x v="8"/>
    <s v="LV_A"/>
    <x v="25"/>
    <n v="26.209507293842599"/>
    <n v="7.2804186927340497"/>
  </r>
  <r>
    <x v="0"/>
    <x v="28"/>
    <x v="4"/>
    <x v="8"/>
    <s v="LV_A"/>
    <x v="26"/>
    <n v="33.320887798496699"/>
    <n v="9.2558021662490795"/>
  </r>
  <r>
    <x v="0"/>
    <x v="28"/>
    <x v="4"/>
    <x v="8"/>
    <s v="LV_A"/>
    <x v="27"/>
    <n v="20.163995508318798"/>
    <n v="5.6011098634218799"/>
  </r>
  <r>
    <x v="0"/>
    <x v="28"/>
    <x v="4"/>
    <x v="8"/>
    <s v="LV_OFFSHORE"/>
    <x v="1"/>
    <n v="35.989199999999997"/>
    <n v="9.9969999999999999"/>
  </r>
  <r>
    <x v="0"/>
    <x v="28"/>
    <x v="4"/>
    <x v="8"/>
    <s v="LV_OFFSHORE"/>
    <x v="2"/>
    <n v="46.08"/>
    <n v="12.8"/>
  </r>
  <r>
    <x v="0"/>
    <x v="28"/>
    <x v="4"/>
    <x v="8"/>
    <s v="LV_OFFSHORE"/>
    <x v="0"/>
    <n v="42.692399999999999"/>
    <n v="11.859"/>
  </r>
  <r>
    <x v="0"/>
    <x v="28"/>
    <x v="4"/>
    <x v="8"/>
    <s v="LV_OFFSHORE"/>
    <x v="3"/>
    <n v="51.633543144067197"/>
    <n v="14.342650873352"/>
  </r>
  <r>
    <x v="0"/>
    <x v="28"/>
    <x v="4"/>
    <x v="8"/>
    <s v="LV_OFFSHORE"/>
    <x v="4"/>
    <n v="6.3500778790389401"/>
    <n v="1.76391052195526"/>
  </r>
  <r>
    <x v="0"/>
    <x v="28"/>
    <x v="4"/>
    <x v="8"/>
    <s v="LV_OFFSHORE"/>
    <x v="5"/>
    <n v="6.3500778790389401"/>
    <n v="1.76391052195526"/>
  </r>
  <r>
    <x v="0"/>
    <x v="28"/>
    <x v="4"/>
    <x v="8"/>
    <s v="LV_OFFSHORE"/>
    <x v="6"/>
    <n v="29.476231795214598"/>
    <n v="8.1878421653373898"/>
  </r>
  <r>
    <x v="0"/>
    <x v="28"/>
    <x v="4"/>
    <x v="8"/>
    <s v="LV_OFFSHORE"/>
    <x v="7"/>
    <n v="57.838935220261199"/>
    <n v="16.066370894517"/>
  </r>
  <r>
    <x v="0"/>
    <x v="28"/>
    <x v="4"/>
    <x v="8"/>
    <s v="LV_OFFSHORE"/>
    <x v="8"/>
    <n v="57.838935220261199"/>
    <n v="16.066370894517"/>
  </r>
  <r>
    <x v="0"/>
    <x v="28"/>
    <x v="4"/>
    <x v="8"/>
    <s v="LV_OFFSHORE"/>
    <x v="9"/>
    <n v="44.4505451532725"/>
    <n v="12.3473736536868"/>
  </r>
  <r>
    <x v="0"/>
    <x v="28"/>
    <x v="4"/>
    <x v="8"/>
    <s v="LV_OFFSHORE"/>
    <x v="10"/>
    <n v="53.975661971830903"/>
    <n v="14.993239436619699"/>
  </r>
  <r>
    <x v="0"/>
    <x v="28"/>
    <x v="4"/>
    <x v="8"/>
    <s v="LV_OFFSHORE"/>
    <x v="11"/>
    <n v="3.8806031483015802"/>
    <n v="1.07794531897266"/>
  </r>
  <r>
    <x v="0"/>
    <x v="28"/>
    <x v="4"/>
    <x v="8"/>
    <s v="LV_OFFSHORE"/>
    <x v="12"/>
    <n v="9.7995028997514597E-2"/>
    <n v="2.72208413881985E-2"/>
  </r>
  <r>
    <x v="0"/>
    <x v="28"/>
    <x v="4"/>
    <x v="8"/>
    <s v="LV_OFFSHORE"/>
    <x v="13"/>
    <n v="29.633696768848399"/>
    <n v="8.2315824357912195"/>
  </r>
  <r>
    <x v="0"/>
    <x v="28"/>
    <x v="4"/>
    <x v="8"/>
    <s v="LV_OFFSHORE"/>
    <x v="14"/>
    <n v="29.633696768848399"/>
    <n v="8.2315824357912195"/>
  </r>
  <r>
    <x v="0"/>
    <x v="28"/>
    <x v="4"/>
    <x v="8"/>
    <s v="LV_OFFSHORE"/>
    <x v="15"/>
    <n v="1.65807589063794"/>
    <n v="0.46057663628831802"/>
  </r>
  <r>
    <x v="0"/>
    <x v="28"/>
    <x v="4"/>
    <x v="8"/>
    <s v="LV_OFFSHORE"/>
    <x v="16"/>
    <n v="6.5458675795335104"/>
    <n v="1.81829654987042"/>
  </r>
  <r>
    <x v="0"/>
    <x v="28"/>
    <x v="4"/>
    <x v="8"/>
    <s v="LV_OFFSHORE"/>
    <x v="17"/>
    <n v="9.1244895875632395"/>
    <n v="2.5345804409897901"/>
  </r>
  <r>
    <x v="0"/>
    <x v="28"/>
    <x v="4"/>
    <x v="8"/>
    <s v="LV_OFFSHORE"/>
    <x v="18"/>
    <n v="29.633696768848399"/>
    <n v="8.2315824357912195"/>
  </r>
  <r>
    <x v="0"/>
    <x v="28"/>
    <x v="4"/>
    <x v="8"/>
    <s v="LV_OFFSHORE"/>
    <x v="19"/>
    <n v="8.1139884009941898"/>
    <n v="2.2538856669428302"/>
  </r>
  <r>
    <x v="0"/>
    <x v="28"/>
    <x v="4"/>
    <x v="8"/>
    <s v="LV_OFFSHORE"/>
    <x v="20"/>
    <n v="22.109183021311601"/>
    <n v="6.1414397281420996"/>
  </r>
  <r>
    <x v="0"/>
    <x v="28"/>
    <x v="4"/>
    <x v="8"/>
    <s v="LV_OFFSHORE"/>
    <x v="21"/>
    <n v="48.24"/>
    <n v="13.4"/>
  </r>
  <r>
    <x v="0"/>
    <x v="28"/>
    <x v="4"/>
    <x v="8"/>
    <s v="LV_OFFSHORE"/>
    <x v="22"/>
    <n v="67.680000000000007"/>
    <n v="18.8"/>
  </r>
  <r>
    <x v="0"/>
    <x v="28"/>
    <x v="4"/>
    <x v="8"/>
    <s v="LV_OFFSHORE"/>
    <x v="23"/>
    <n v="0.31515896120488701"/>
    <n v="8.7544155890246306E-2"/>
  </r>
  <r>
    <x v="0"/>
    <x v="28"/>
    <x v="4"/>
    <x v="8"/>
    <s v="LV_OFFSHORE"/>
    <x v="24"/>
    <n v="19.174223581093901"/>
    <n v="5.32617321697054"/>
  </r>
  <r>
    <x v="0"/>
    <x v="28"/>
    <x v="4"/>
    <x v="8"/>
    <s v="LV_OFFSHORE"/>
    <x v="25"/>
    <n v="26.209507293842599"/>
    <n v="7.2804186927340497"/>
  </r>
  <r>
    <x v="0"/>
    <x v="28"/>
    <x v="4"/>
    <x v="8"/>
    <s v="LV_OFFSHORE"/>
    <x v="26"/>
    <n v="33.320887798496699"/>
    <n v="9.2558021662490795"/>
  </r>
  <r>
    <x v="0"/>
    <x v="28"/>
    <x v="4"/>
    <x v="8"/>
    <s v="LV_OFFSHORE"/>
    <x v="27"/>
    <n v="20.163995508318798"/>
    <n v="5.6011098634218799"/>
  </r>
  <r>
    <x v="0"/>
    <x v="28"/>
    <x v="4"/>
    <x v="8"/>
    <s v="LV_Other_DH"/>
    <x v="1"/>
    <n v="35.989199999999997"/>
    <n v="9.9969999999999999"/>
  </r>
  <r>
    <x v="0"/>
    <x v="28"/>
    <x v="4"/>
    <x v="8"/>
    <s v="LV_Other_DH"/>
    <x v="2"/>
    <n v="46.08"/>
    <n v="12.8"/>
  </r>
  <r>
    <x v="0"/>
    <x v="28"/>
    <x v="4"/>
    <x v="8"/>
    <s v="LV_Other_DH"/>
    <x v="0"/>
    <n v="42.692399999999999"/>
    <n v="11.859"/>
  </r>
  <r>
    <x v="0"/>
    <x v="28"/>
    <x v="4"/>
    <x v="8"/>
    <s v="LV_Other_DH"/>
    <x v="3"/>
    <n v="51.633543144067197"/>
    <n v="14.342650873352"/>
  </r>
  <r>
    <x v="0"/>
    <x v="28"/>
    <x v="4"/>
    <x v="8"/>
    <s v="LV_Other_DH"/>
    <x v="4"/>
    <n v="6.3500778790389401"/>
    <n v="1.76391052195526"/>
  </r>
  <r>
    <x v="0"/>
    <x v="28"/>
    <x v="4"/>
    <x v="8"/>
    <s v="LV_Other_DH"/>
    <x v="5"/>
    <n v="6.3500778790389401"/>
    <n v="1.76391052195526"/>
  </r>
  <r>
    <x v="0"/>
    <x v="28"/>
    <x v="4"/>
    <x v="8"/>
    <s v="LV_Other_DH"/>
    <x v="6"/>
    <n v="29.476231795214598"/>
    <n v="8.1878421653373898"/>
  </r>
  <r>
    <x v="0"/>
    <x v="28"/>
    <x v="4"/>
    <x v="8"/>
    <s v="LV_Other_DH"/>
    <x v="7"/>
    <n v="57.838935220261199"/>
    <n v="16.066370894517"/>
  </r>
  <r>
    <x v="0"/>
    <x v="28"/>
    <x v="4"/>
    <x v="8"/>
    <s v="LV_Other_DH"/>
    <x v="8"/>
    <n v="57.838935220261199"/>
    <n v="16.066370894517"/>
  </r>
  <r>
    <x v="0"/>
    <x v="28"/>
    <x v="4"/>
    <x v="8"/>
    <s v="LV_Other_DH"/>
    <x v="9"/>
    <n v="44.4505451532725"/>
    <n v="12.3473736536868"/>
  </r>
  <r>
    <x v="0"/>
    <x v="28"/>
    <x v="4"/>
    <x v="8"/>
    <s v="LV_Other_DH"/>
    <x v="10"/>
    <n v="53.975661971830903"/>
    <n v="14.993239436619699"/>
  </r>
  <r>
    <x v="0"/>
    <x v="28"/>
    <x v="4"/>
    <x v="8"/>
    <s v="LV_Other_DH"/>
    <x v="11"/>
    <n v="3.8806031483015802"/>
    <n v="1.07794531897266"/>
  </r>
  <r>
    <x v="0"/>
    <x v="28"/>
    <x v="4"/>
    <x v="8"/>
    <s v="LV_Other_DH"/>
    <x v="12"/>
    <n v="9.7995028997514597E-2"/>
    <n v="2.72208413881985E-2"/>
  </r>
  <r>
    <x v="0"/>
    <x v="28"/>
    <x v="4"/>
    <x v="8"/>
    <s v="LV_Other_DH"/>
    <x v="13"/>
    <n v="29.633696768848399"/>
    <n v="8.2315824357912195"/>
  </r>
  <r>
    <x v="0"/>
    <x v="28"/>
    <x v="4"/>
    <x v="8"/>
    <s v="LV_Other_DH"/>
    <x v="14"/>
    <n v="29.633696768848399"/>
    <n v="8.2315824357912195"/>
  </r>
  <r>
    <x v="0"/>
    <x v="28"/>
    <x v="4"/>
    <x v="8"/>
    <s v="LV_Other_DH"/>
    <x v="15"/>
    <n v="1.65807589063794"/>
    <n v="0.46057663628831802"/>
  </r>
  <r>
    <x v="0"/>
    <x v="28"/>
    <x v="4"/>
    <x v="8"/>
    <s v="LV_Other_DH"/>
    <x v="16"/>
    <n v="6.5458675795335104"/>
    <n v="1.81829654987042"/>
  </r>
  <r>
    <x v="0"/>
    <x v="28"/>
    <x v="4"/>
    <x v="8"/>
    <s v="LV_Other_DH"/>
    <x v="17"/>
    <n v="9.1244895875632395"/>
    <n v="2.5345804409897901"/>
  </r>
  <r>
    <x v="0"/>
    <x v="28"/>
    <x v="4"/>
    <x v="8"/>
    <s v="LV_Other_DH"/>
    <x v="18"/>
    <n v="29.633696768848399"/>
    <n v="8.2315824357912195"/>
  </r>
  <r>
    <x v="0"/>
    <x v="28"/>
    <x v="4"/>
    <x v="8"/>
    <s v="LV_Other_DH"/>
    <x v="19"/>
    <n v="8.1139884009941898"/>
    <n v="2.2538856669428302"/>
  </r>
  <r>
    <x v="0"/>
    <x v="28"/>
    <x v="4"/>
    <x v="8"/>
    <s v="LV_Other_DH"/>
    <x v="20"/>
    <n v="22.109183021311601"/>
    <n v="6.1414397281420996"/>
  </r>
  <r>
    <x v="0"/>
    <x v="28"/>
    <x v="4"/>
    <x v="8"/>
    <s v="LV_Other_DH"/>
    <x v="21"/>
    <n v="48.24"/>
    <n v="13.4"/>
  </r>
  <r>
    <x v="0"/>
    <x v="28"/>
    <x v="4"/>
    <x v="8"/>
    <s v="LV_Other_DH"/>
    <x v="22"/>
    <n v="67.680000000000007"/>
    <n v="18.8"/>
  </r>
  <r>
    <x v="0"/>
    <x v="28"/>
    <x v="4"/>
    <x v="8"/>
    <s v="LV_Other_DH"/>
    <x v="23"/>
    <n v="0.31515896120488701"/>
    <n v="8.7544155890246306E-2"/>
  </r>
  <r>
    <x v="0"/>
    <x v="28"/>
    <x v="4"/>
    <x v="8"/>
    <s v="LV_Other_DH"/>
    <x v="24"/>
    <n v="19.174223581093901"/>
    <n v="5.32617321697054"/>
  </r>
  <r>
    <x v="0"/>
    <x v="28"/>
    <x v="4"/>
    <x v="8"/>
    <s v="LV_Other_DH"/>
    <x v="25"/>
    <n v="26.209507293842599"/>
    <n v="7.2804186927340497"/>
  </r>
  <r>
    <x v="0"/>
    <x v="28"/>
    <x v="4"/>
    <x v="8"/>
    <s v="LV_Other_DH"/>
    <x v="26"/>
    <n v="33.320887798496699"/>
    <n v="9.2558021662490795"/>
  </r>
  <r>
    <x v="0"/>
    <x v="28"/>
    <x v="4"/>
    <x v="8"/>
    <s v="LV_Other_DH"/>
    <x v="27"/>
    <n v="20.163995508318798"/>
    <n v="5.6011098634218799"/>
  </r>
  <r>
    <x v="0"/>
    <x v="28"/>
    <x v="4"/>
    <x v="8"/>
    <s v="LV_RigaR"/>
    <x v="1"/>
    <n v="35.989199999999997"/>
    <n v="9.9969999999999999"/>
  </r>
  <r>
    <x v="0"/>
    <x v="28"/>
    <x v="4"/>
    <x v="8"/>
    <s v="LV_RigaR"/>
    <x v="2"/>
    <n v="46.08"/>
    <n v="12.8"/>
  </r>
  <r>
    <x v="0"/>
    <x v="28"/>
    <x v="4"/>
    <x v="8"/>
    <s v="LV_RigaR"/>
    <x v="0"/>
    <n v="42.692399999999999"/>
    <n v="11.859"/>
  </r>
  <r>
    <x v="0"/>
    <x v="28"/>
    <x v="4"/>
    <x v="8"/>
    <s v="LV_RigaR"/>
    <x v="3"/>
    <n v="51.633543144067197"/>
    <n v="14.342650873352"/>
  </r>
  <r>
    <x v="0"/>
    <x v="28"/>
    <x v="4"/>
    <x v="8"/>
    <s v="LV_RigaR"/>
    <x v="4"/>
    <n v="6.3500778790389401"/>
    <n v="1.76391052195526"/>
  </r>
  <r>
    <x v="0"/>
    <x v="28"/>
    <x v="4"/>
    <x v="8"/>
    <s v="LV_RigaR"/>
    <x v="5"/>
    <n v="6.3500778790389401"/>
    <n v="1.76391052195526"/>
  </r>
  <r>
    <x v="0"/>
    <x v="28"/>
    <x v="4"/>
    <x v="8"/>
    <s v="LV_RigaR"/>
    <x v="6"/>
    <n v="29.476231795214598"/>
    <n v="8.1878421653373898"/>
  </r>
  <r>
    <x v="0"/>
    <x v="28"/>
    <x v="4"/>
    <x v="8"/>
    <s v="LV_RigaR"/>
    <x v="7"/>
    <n v="57.838935220261199"/>
    <n v="16.066370894517"/>
  </r>
  <r>
    <x v="0"/>
    <x v="28"/>
    <x v="4"/>
    <x v="8"/>
    <s v="LV_RigaR"/>
    <x v="8"/>
    <n v="57.838935220261199"/>
    <n v="16.066370894517"/>
  </r>
  <r>
    <x v="0"/>
    <x v="28"/>
    <x v="4"/>
    <x v="8"/>
    <s v="LV_RigaR"/>
    <x v="9"/>
    <n v="44.4505451532725"/>
    <n v="12.3473736536868"/>
  </r>
  <r>
    <x v="0"/>
    <x v="28"/>
    <x v="4"/>
    <x v="8"/>
    <s v="LV_RigaR"/>
    <x v="10"/>
    <n v="53.975661971830903"/>
    <n v="14.993239436619699"/>
  </r>
  <r>
    <x v="0"/>
    <x v="28"/>
    <x v="4"/>
    <x v="8"/>
    <s v="LV_RigaR"/>
    <x v="11"/>
    <n v="3.8806031483015802"/>
    <n v="1.07794531897266"/>
  </r>
  <r>
    <x v="0"/>
    <x v="28"/>
    <x v="4"/>
    <x v="8"/>
    <s v="LV_RigaR"/>
    <x v="12"/>
    <n v="9.7995028997514597E-2"/>
    <n v="2.72208413881985E-2"/>
  </r>
  <r>
    <x v="0"/>
    <x v="28"/>
    <x v="4"/>
    <x v="8"/>
    <s v="LV_RigaR"/>
    <x v="13"/>
    <n v="29.633696768848399"/>
    <n v="8.2315824357912195"/>
  </r>
  <r>
    <x v="0"/>
    <x v="28"/>
    <x v="4"/>
    <x v="8"/>
    <s v="LV_RigaR"/>
    <x v="14"/>
    <n v="29.633696768848399"/>
    <n v="8.2315824357912195"/>
  </r>
  <r>
    <x v="0"/>
    <x v="28"/>
    <x v="4"/>
    <x v="8"/>
    <s v="LV_RigaR"/>
    <x v="15"/>
    <n v="1.65807589063794"/>
    <n v="0.46057663628831802"/>
  </r>
  <r>
    <x v="0"/>
    <x v="28"/>
    <x v="4"/>
    <x v="8"/>
    <s v="LV_RigaR"/>
    <x v="16"/>
    <n v="6.5458675795335104"/>
    <n v="1.81829654987042"/>
  </r>
  <r>
    <x v="0"/>
    <x v="28"/>
    <x v="4"/>
    <x v="8"/>
    <s v="LV_RigaR"/>
    <x v="17"/>
    <n v="9.1244895875632395"/>
    <n v="2.5345804409897901"/>
  </r>
  <r>
    <x v="0"/>
    <x v="28"/>
    <x v="4"/>
    <x v="8"/>
    <s v="LV_RigaR"/>
    <x v="18"/>
    <n v="29.633696768848399"/>
    <n v="8.2315824357912195"/>
  </r>
  <r>
    <x v="0"/>
    <x v="28"/>
    <x v="4"/>
    <x v="8"/>
    <s v="LV_RigaR"/>
    <x v="19"/>
    <n v="8.1139884009941898"/>
    <n v="2.2538856669428302"/>
  </r>
  <r>
    <x v="0"/>
    <x v="28"/>
    <x v="4"/>
    <x v="8"/>
    <s v="LV_RigaR"/>
    <x v="20"/>
    <n v="22.109183021311601"/>
    <n v="6.1414397281420996"/>
  </r>
  <r>
    <x v="0"/>
    <x v="28"/>
    <x v="4"/>
    <x v="8"/>
    <s v="LV_RigaR"/>
    <x v="21"/>
    <n v="48.24"/>
    <n v="13.4"/>
  </r>
  <r>
    <x v="0"/>
    <x v="28"/>
    <x v="4"/>
    <x v="8"/>
    <s v="LV_RigaR"/>
    <x v="22"/>
    <n v="67.680000000000007"/>
    <n v="18.8"/>
  </r>
  <r>
    <x v="0"/>
    <x v="28"/>
    <x v="4"/>
    <x v="8"/>
    <s v="LV_RigaR"/>
    <x v="23"/>
    <n v="0.31515896120488701"/>
    <n v="8.7544155890246306E-2"/>
  </r>
  <r>
    <x v="0"/>
    <x v="28"/>
    <x v="4"/>
    <x v="8"/>
    <s v="LV_RigaR"/>
    <x v="24"/>
    <n v="19.174223581093901"/>
    <n v="5.32617321697054"/>
  </r>
  <r>
    <x v="0"/>
    <x v="28"/>
    <x v="4"/>
    <x v="8"/>
    <s v="LV_RigaR"/>
    <x v="25"/>
    <n v="26.209507293842599"/>
    <n v="7.2804186927340497"/>
  </r>
  <r>
    <x v="0"/>
    <x v="28"/>
    <x v="4"/>
    <x v="8"/>
    <s v="LV_RigaR"/>
    <x v="26"/>
    <n v="33.320887798496699"/>
    <n v="9.2558021662490795"/>
  </r>
  <r>
    <x v="0"/>
    <x v="28"/>
    <x v="4"/>
    <x v="8"/>
    <s v="LV_RigaR"/>
    <x v="27"/>
    <n v="20.163995508318798"/>
    <n v="5.6011098634218799"/>
  </r>
  <r>
    <x v="0"/>
    <x v="28"/>
    <x v="4"/>
    <x v="8"/>
    <s v="LV_Rural"/>
    <x v="1"/>
    <n v="35.989199999999997"/>
    <n v="9.9969999999999999"/>
  </r>
  <r>
    <x v="0"/>
    <x v="28"/>
    <x v="4"/>
    <x v="8"/>
    <s v="LV_Rural"/>
    <x v="2"/>
    <n v="46.08"/>
    <n v="12.8"/>
  </r>
  <r>
    <x v="0"/>
    <x v="28"/>
    <x v="4"/>
    <x v="8"/>
    <s v="LV_Rural"/>
    <x v="0"/>
    <n v="42.692399999999999"/>
    <n v="11.859"/>
  </r>
  <r>
    <x v="0"/>
    <x v="28"/>
    <x v="4"/>
    <x v="8"/>
    <s v="LV_Rural"/>
    <x v="3"/>
    <n v="51.633543144067197"/>
    <n v="14.342650873352"/>
  </r>
  <r>
    <x v="0"/>
    <x v="28"/>
    <x v="4"/>
    <x v="8"/>
    <s v="LV_Rural"/>
    <x v="4"/>
    <n v="6.3500778790389401"/>
    <n v="1.76391052195526"/>
  </r>
  <r>
    <x v="0"/>
    <x v="28"/>
    <x v="4"/>
    <x v="8"/>
    <s v="LV_Rural"/>
    <x v="5"/>
    <n v="6.3500778790389401"/>
    <n v="1.76391052195526"/>
  </r>
  <r>
    <x v="0"/>
    <x v="28"/>
    <x v="4"/>
    <x v="8"/>
    <s v="LV_Rural"/>
    <x v="6"/>
    <n v="29.476231795214598"/>
    <n v="8.1878421653373898"/>
  </r>
  <r>
    <x v="0"/>
    <x v="28"/>
    <x v="4"/>
    <x v="8"/>
    <s v="LV_Rural"/>
    <x v="7"/>
    <n v="57.838935220261199"/>
    <n v="16.066370894517"/>
  </r>
  <r>
    <x v="0"/>
    <x v="28"/>
    <x v="4"/>
    <x v="8"/>
    <s v="LV_Rural"/>
    <x v="8"/>
    <n v="57.838935220261199"/>
    <n v="16.066370894517"/>
  </r>
  <r>
    <x v="0"/>
    <x v="28"/>
    <x v="4"/>
    <x v="8"/>
    <s v="LV_Rural"/>
    <x v="9"/>
    <n v="44.4505451532725"/>
    <n v="12.3473736536868"/>
  </r>
  <r>
    <x v="0"/>
    <x v="28"/>
    <x v="4"/>
    <x v="8"/>
    <s v="LV_Rural"/>
    <x v="10"/>
    <n v="53.975661971830903"/>
    <n v="14.993239436619699"/>
  </r>
  <r>
    <x v="0"/>
    <x v="28"/>
    <x v="4"/>
    <x v="8"/>
    <s v="LV_Rural"/>
    <x v="11"/>
    <n v="3.8806031483015802"/>
    <n v="1.07794531897266"/>
  </r>
  <r>
    <x v="0"/>
    <x v="28"/>
    <x v="4"/>
    <x v="8"/>
    <s v="LV_Rural"/>
    <x v="12"/>
    <n v="9.7995028997514597E-2"/>
    <n v="2.72208413881985E-2"/>
  </r>
  <r>
    <x v="0"/>
    <x v="28"/>
    <x v="4"/>
    <x v="8"/>
    <s v="LV_Rural"/>
    <x v="13"/>
    <n v="29.633696768848399"/>
    <n v="8.2315824357912195"/>
  </r>
  <r>
    <x v="0"/>
    <x v="28"/>
    <x v="4"/>
    <x v="8"/>
    <s v="LV_Rural"/>
    <x v="14"/>
    <n v="29.633696768848399"/>
    <n v="8.2315824357912195"/>
  </r>
  <r>
    <x v="0"/>
    <x v="28"/>
    <x v="4"/>
    <x v="8"/>
    <s v="LV_Rural"/>
    <x v="15"/>
    <n v="1.65807589063794"/>
    <n v="0.46057663628831802"/>
  </r>
  <r>
    <x v="0"/>
    <x v="28"/>
    <x v="4"/>
    <x v="8"/>
    <s v="LV_Rural"/>
    <x v="16"/>
    <n v="6.5458675795335104"/>
    <n v="1.81829654987042"/>
  </r>
  <r>
    <x v="0"/>
    <x v="28"/>
    <x v="4"/>
    <x v="8"/>
    <s v="LV_Rural"/>
    <x v="17"/>
    <n v="9.1244895875632395"/>
    <n v="2.5345804409897901"/>
  </r>
  <r>
    <x v="0"/>
    <x v="28"/>
    <x v="4"/>
    <x v="8"/>
    <s v="LV_Rural"/>
    <x v="18"/>
    <n v="29.633696768848399"/>
    <n v="8.2315824357912195"/>
  </r>
  <r>
    <x v="0"/>
    <x v="28"/>
    <x v="4"/>
    <x v="8"/>
    <s v="LV_Rural"/>
    <x v="19"/>
    <n v="8.1139884009941898"/>
    <n v="2.2538856669428302"/>
  </r>
  <r>
    <x v="0"/>
    <x v="28"/>
    <x v="4"/>
    <x v="8"/>
    <s v="LV_Rural"/>
    <x v="20"/>
    <n v="22.109183021311601"/>
    <n v="6.1414397281420996"/>
  </r>
  <r>
    <x v="0"/>
    <x v="28"/>
    <x v="4"/>
    <x v="8"/>
    <s v="LV_Rural"/>
    <x v="21"/>
    <n v="48.24"/>
    <n v="13.4"/>
  </r>
  <r>
    <x v="0"/>
    <x v="28"/>
    <x v="4"/>
    <x v="8"/>
    <s v="LV_Rural"/>
    <x v="22"/>
    <n v="67.680000000000007"/>
    <n v="18.8"/>
  </r>
  <r>
    <x v="0"/>
    <x v="28"/>
    <x v="4"/>
    <x v="8"/>
    <s v="LV_Rural"/>
    <x v="23"/>
    <n v="0.31515896120488701"/>
    <n v="8.7544155890246306E-2"/>
  </r>
  <r>
    <x v="0"/>
    <x v="28"/>
    <x v="4"/>
    <x v="8"/>
    <s v="LV_Rural"/>
    <x v="24"/>
    <n v="19.174223581093901"/>
    <n v="5.32617321697054"/>
  </r>
  <r>
    <x v="0"/>
    <x v="28"/>
    <x v="4"/>
    <x v="8"/>
    <s v="LV_Rural"/>
    <x v="25"/>
    <n v="26.209507293842599"/>
    <n v="7.2804186927340497"/>
  </r>
  <r>
    <x v="0"/>
    <x v="28"/>
    <x v="4"/>
    <x v="8"/>
    <s v="LV_Rural"/>
    <x v="26"/>
    <n v="33.320887798496699"/>
    <n v="9.2558021662490795"/>
  </r>
  <r>
    <x v="0"/>
    <x v="28"/>
    <x v="4"/>
    <x v="8"/>
    <s v="LV_Rural"/>
    <x v="27"/>
    <n v="20.163995508318798"/>
    <n v="5.6011098634218799"/>
  </r>
  <r>
    <x v="0"/>
    <x v="28"/>
    <x v="5"/>
    <x v="9"/>
    <s v="LT_A"/>
    <x v="1"/>
    <n v="35.989199999999997"/>
    <n v="9.9969999999999999"/>
  </r>
  <r>
    <x v="0"/>
    <x v="28"/>
    <x v="5"/>
    <x v="9"/>
    <s v="LT_A"/>
    <x v="2"/>
    <n v="46.08"/>
    <n v="12.8"/>
  </r>
  <r>
    <x v="0"/>
    <x v="28"/>
    <x v="5"/>
    <x v="9"/>
    <s v="LT_A"/>
    <x v="0"/>
    <n v="42.692399999999999"/>
    <n v="11.859"/>
  </r>
  <r>
    <x v="0"/>
    <x v="28"/>
    <x v="5"/>
    <x v="9"/>
    <s v="LT_A"/>
    <x v="3"/>
    <n v="51.633543144067197"/>
    <n v="14.342650873352"/>
  </r>
  <r>
    <x v="0"/>
    <x v="28"/>
    <x v="5"/>
    <x v="9"/>
    <s v="LT_A"/>
    <x v="4"/>
    <n v="6.3500778790389401"/>
    <n v="1.76391052195526"/>
  </r>
  <r>
    <x v="0"/>
    <x v="28"/>
    <x v="5"/>
    <x v="9"/>
    <s v="LT_A"/>
    <x v="5"/>
    <n v="6.3500778790389401"/>
    <n v="1.76391052195526"/>
  </r>
  <r>
    <x v="0"/>
    <x v="28"/>
    <x v="5"/>
    <x v="9"/>
    <s v="LT_A"/>
    <x v="6"/>
    <n v="29.476231795214598"/>
    <n v="8.1878421653373898"/>
  </r>
  <r>
    <x v="0"/>
    <x v="28"/>
    <x v="5"/>
    <x v="9"/>
    <s v="LT_A"/>
    <x v="7"/>
    <n v="57.838935220261199"/>
    <n v="16.066370894517"/>
  </r>
  <r>
    <x v="0"/>
    <x v="28"/>
    <x v="5"/>
    <x v="9"/>
    <s v="LT_A"/>
    <x v="8"/>
    <n v="57.838935220261199"/>
    <n v="16.066370894517"/>
  </r>
  <r>
    <x v="0"/>
    <x v="28"/>
    <x v="5"/>
    <x v="9"/>
    <s v="LT_A"/>
    <x v="9"/>
    <n v="44.4505451532725"/>
    <n v="12.3473736536868"/>
  </r>
  <r>
    <x v="0"/>
    <x v="28"/>
    <x v="5"/>
    <x v="9"/>
    <s v="LT_A"/>
    <x v="10"/>
    <n v="53.975661971830903"/>
    <n v="14.993239436619699"/>
  </r>
  <r>
    <x v="0"/>
    <x v="28"/>
    <x v="5"/>
    <x v="9"/>
    <s v="LT_A"/>
    <x v="11"/>
    <n v="3.8806031483015802"/>
    <n v="1.07794531897266"/>
  </r>
  <r>
    <x v="0"/>
    <x v="28"/>
    <x v="5"/>
    <x v="9"/>
    <s v="LT_A"/>
    <x v="12"/>
    <n v="9.7995028997514597E-2"/>
    <n v="2.72208413881985E-2"/>
  </r>
  <r>
    <x v="0"/>
    <x v="28"/>
    <x v="5"/>
    <x v="9"/>
    <s v="LT_A"/>
    <x v="13"/>
    <n v="29.633696768848399"/>
    <n v="8.2315824357912195"/>
  </r>
  <r>
    <x v="0"/>
    <x v="28"/>
    <x v="5"/>
    <x v="9"/>
    <s v="LT_A"/>
    <x v="14"/>
    <n v="29.633696768848399"/>
    <n v="8.2315824357912195"/>
  </r>
  <r>
    <x v="0"/>
    <x v="28"/>
    <x v="5"/>
    <x v="9"/>
    <s v="LT_A"/>
    <x v="15"/>
    <n v="1.65807589063794"/>
    <n v="0.46057663628831802"/>
  </r>
  <r>
    <x v="0"/>
    <x v="28"/>
    <x v="5"/>
    <x v="9"/>
    <s v="LT_A"/>
    <x v="16"/>
    <n v="6.5458675795335104"/>
    <n v="1.81829654987042"/>
  </r>
  <r>
    <x v="0"/>
    <x v="28"/>
    <x v="5"/>
    <x v="9"/>
    <s v="LT_A"/>
    <x v="17"/>
    <n v="9.1244895875632395"/>
    <n v="2.5345804409897901"/>
  </r>
  <r>
    <x v="0"/>
    <x v="28"/>
    <x v="5"/>
    <x v="9"/>
    <s v="LT_A"/>
    <x v="18"/>
    <n v="29.633696768848399"/>
    <n v="8.2315824357912195"/>
  </r>
  <r>
    <x v="0"/>
    <x v="28"/>
    <x v="5"/>
    <x v="9"/>
    <s v="LT_A"/>
    <x v="19"/>
    <n v="8.1139884009941898"/>
    <n v="2.2538856669428302"/>
  </r>
  <r>
    <x v="0"/>
    <x v="28"/>
    <x v="5"/>
    <x v="9"/>
    <s v="LT_A"/>
    <x v="20"/>
    <n v="22.109183021311601"/>
    <n v="6.1414397281420996"/>
  </r>
  <r>
    <x v="0"/>
    <x v="28"/>
    <x v="5"/>
    <x v="9"/>
    <s v="LT_A"/>
    <x v="21"/>
    <n v="48.24"/>
    <n v="13.4"/>
  </r>
  <r>
    <x v="0"/>
    <x v="28"/>
    <x v="5"/>
    <x v="9"/>
    <s v="LT_A"/>
    <x v="22"/>
    <n v="67.680000000000007"/>
    <n v="18.8"/>
  </r>
  <r>
    <x v="0"/>
    <x v="28"/>
    <x v="5"/>
    <x v="9"/>
    <s v="LT_A"/>
    <x v="23"/>
    <n v="0.31515896120488701"/>
    <n v="8.7544155890246306E-2"/>
  </r>
  <r>
    <x v="0"/>
    <x v="28"/>
    <x v="5"/>
    <x v="9"/>
    <s v="LT_A"/>
    <x v="24"/>
    <n v="19.174223581093901"/>
    <n v="5.32617321697054"/>
  </r>
  <r>
    <x v="0"/>
    <x v="28"/>
    <x v="5"/>
    <x v="9"/>
    <s v="LT_A"/>
    <x v="25"/>
    <n v="26.209507293842599"/>
    <n v="7.2804186927340497"/>
  </r>
  <r>
    <x v="0"/>
    <x v="28"/>
    <x v="5"/>
    <x v="9"/>
    <s v="LT_A"/>
    <x v="26"/>
    <n v="33.320887798496699"/>
    <n v="9.2558021662490795"/>
  </r>
  <r>
    <x v="0"/>
    <x v="28"/>
    <x v="5"/>
    <x v="9"/>
    <s v="LT_A"/>
    <x v="27"/>
    <n v="20.163995508318798"/>
    <n v="5.6011098634218799"/>
  </r>
  <r>
    <x v="0"/>
    <x v="28"/>
    <x v="5"/>
    <x v="9"/>
    <s v="LT_KauU"/>
    <x v="1"/>
    <n v="35.989199999999997"/>
    <n v="9.9969999999999999"/>
  </r>
  <r>
    <x v="0"/>
    <x v="28"/>
    <x v="5"/>
    <x v="9"/>
    <s v="LT_KauU"/>
    <x v="2"/>
    <n v="46.08"/>
    <n v="12.8"/>
  </r>
  <r>
    <x v="0"/>
    <x v="28"/>
    <x v="5"/>
    <x v="9"/>
    <s v="LT_KauU"/>
    <x v="0"/>
    <n v="42.692399999999999"/>
    <n v="11.859"/>
  </r>
  <r>
    <x v="0"/>
    <x v="28"/>
    <x v="5"/>
    <x v="9"/>
    <s v="LT_KauU"/>
    <x v="3"/>
    <n v="51.633543144067197"/>
    <n v="14.342650873352"/>
  </r>
  <r>
    <x v="0"/>
    <x v="28"/>
    <x v="5"/>
    <x v="9"/>
    <s v="LT_KauU"/>
    <x v="4"/>
    <n v="6.3500778790389401"/>
    <n v="1.76391052195526"/>
  </r>
  <r>
    <x v="0"/>
    <x v="28"/>
    <x v="5"/>
    <x v="9"/>
    <s v="LT_KauU"/>
    <x v="5"/>
    <n v="6.3500778790389401"/>
    <n v="1.76391052195526"/>
  </r>
  <r>
    <x v="0"/>
    <x v="28"/>
    <x v="5"/>
    <x v="9"/>
    <s v="LT_KauU"/>
    <x v="6"/>
    <n v="29.476231795214598"/>
    <n v="8.1878421653373898"/>
  </r>
  <r>
    <x v="0"/>
    <x v="28"/>
    <x v="5"/>
    <x v="9"/>
    <s v="LT_KauU"/>
    <x v="7"/>
    <n v="57.838935220261199"/>
    <n v="16.066370894517"/>
  </r>
  <r>
    <x v="0"/>
    <x v="28"/>
    <x v="5"/>
    <x v="9"/>
    <s v="LT_KauU"/>
    <x v="8"/>
    <n v="57.838935220261199"/>
    <n v="16.066370894517"/>
  </r>
  <r>
    <x v="0"/>
    <x v="28"/>
    <x v="5"/>
    <x v="9"/>
    <s v="LT_KauU"/>
    <x v="9"/>
    <n v="44.4505451532725"/>
    <n v="12.3473736536868"/>
  </r>
  <r>
    <x v="0"/>
    <x v="28"/>
    <x v="5"/>
    <x v="9"/>
    <s v="LT_KauU"/>
    <x v="10"/>
    <n v="53.975661971830903"/>
    <n v="14.993239436619699"/>
  </r>
  <r>
    <x v="0"/>
    <x v="28"/>
    <x v="5"/>
    <x v="9"/>
    <s v="LT_KauU"/>
    <x v="11"/>
    <n v="3.8806031483015802"/>
    <n v="1.07794531897266"/>
  </r>
  <r>
    <x v="0"/>
    <x v="28"/>
    <x v="5"/>
    <x v="9"/>
    <s v="LT_KauU"/>
    <x v="12"/>
    <n v="9.7995028997514597E-2"/>
    <n v="2.72208413881985E-2"/>
  </r>
  <r>
    <x v="0"/>
    <x v="28"/>
    <x v="5"/>
    <x v="9"/>
    <s v="LT_KauU"/>
    <x v="13"/>
    <n v="29.633696768848399"/>
    <n v="8.2315824357912195"/>
  </r>
  <r>
    <x v="0"/>
    <x v="28"/>
    <x v="5"/>
    <x v="9"/>
    <s v="LT_KauU"/>
    <x v="14"/>
    <n v="29.633696768848399"/>
    <n v="8.2315824357912195"/>
  </r>
  <r>
    <x v="0"/>
    <x v="28"/>
    <x v="5"/>
    <x v="9"/>
    <s v="LT_KauU"/>
    <x v="15"/>
    <n v="1.65807589063794"/>
    <n v="0.46057663628831802"/>
  </r>
  <r>
    <x v="0"/>
    <x v="28"/>
    <x v="5"/>
    <x v="9"/>
    <s v="LT_KauU"/>
    <x v="16"/>
    <n v="6.5458675795335104"/>
    <n v="1.81829654987042"/>
  </r>
  <r>
    <x v="0"/>
    <x v="28"/>
    <x v="5"/>
    <x v="9"/>
    <s v="LT_KauU"/>
    <x v="17"/>
    <n v="9.1244895875632395"/>
    <n v="2.5345804409897901"/>
  </r>
  <r>
    <x v="0"/>
    <x v="28"/>
    <x v="5"/>
    <x v="9"/>
    <s v="LT_KauU"/>
    <x v="18"/>
    <n v="29.633696768848399"/>
    <n v="8.2315824357912195"/>
  </r>
  <r>
    <x v="0"/>
    <x v="28"/>
    <x v="5"/>
    <x v="9"/>
    <s v="LT_KauU"/>
    <x v="19"/>
    <n v="8.1139884009941898"/>
    <n v="2.2538856669428302"/>
  </r>
  <r>
    <x v="0"/>
    <x v="28"/>
    <x v="5"/>
    <x v="9"/>
    <s v="LT_KauU"/>
    <x v="20"/>
    <n v="22.109183021311601"/>
    <n v="6.1414397281420996"/>
  </r>
  <r>
    <x v="0"/>
    <x v="28"/>
    <x v="5"/>
    <x v="9"/>
    <s v="LT_KauU"/>
    <x v="21"/>
    <n v="48.24"/>
    <n v="13.4"/>
  </r>
  <r>
    <x v="0"/>
    <x v="28"/>
    <x v="5"/>
    <x v="9"/>
    <s v="LT_KauU"/>
    <x v="22"/>
    <n v="67.680000000000007"/>
    <n v="18.8"/>
  </r>
  <r>
    <x v="0"/>
    <x v="28"/>
    <x v="5"/>
    <x v="9"/>
    <s v="LT_KauU"/>
    <x v="23"/>
    <n v="0.31515896120488701"/>
    <n v="8.7544155890246306E-2"/>
  </r>
  <r>
    <x v="0"/>
    <x v="28"/>
    <x v="5"/>
    <x v="9"/>
    <s v="LT_KauU"/>
    <x v="24"/>
    <n v="19.174223581093901"/>
    <n v="5.32617321697054"/>
  </r>
  <r>
    <x v="0"/>
    <x v="28"/>
    <x v="5"/>
    <x v="9"/>
    <s v="LT_KauU"/>
    <x v="25"/>
    <n v="26.209507293842599"/>
    <n v="7.2804186927340497"/>
  </r>
  <r>
    <x v="0"/>
    <x v="28"/>
    <x v="5"/>
    <x v="9"/>
    <s v="LT_KauU"/>
    <x v="26"/>
    <n v="33.320887798496699"/>
    <n v="9.2558021662490795"/>
  </r>
  <r>
    <x v="0"/>
    <x v="28"/>
    <x v="5"/>
    <x v="9"/>
    <s v="LT_KauU"/>
    <x v="27"/>
    <n v="20.163995508318798"/>
    <n v="5.6011098634218799"/>
  </r>
  <r>
    <x v="0"/>
    <x v="28"/>
    <x v="5"/>
    <x v="9"/>
    <s v="LT_KlaU"/>
    <x v="1"/>
    <n v="35.989199999999997"/>
    <n v="9.9969999999999999"/>
  </r>
  <r>
    <x v="0"/>
    <x v="28"/>
    <x v="5"/>
    <x v="9"/>
    <s v="LT_KlaU"/>
    <x v="2"/>
    <n v="46.08"/>
    <n v="12.8"/>
  </r>
  <r>
    <x v="0"/>
    <x v="28"/>
    <x v="5"/>
    <x v="9"/>
    <s v="LT_KlaU"/>
    <x v="0"/>
    <n v="42.692399999999999"/>
    <n v="11.859"/>
  </r>
  <r>
    <x v="0"/>
    <x v="28"/>
    <x v="5"/>
    <x v="9"/>
    <s v="LT_KlaU"/>
    <x v="3"/>
    <n v="51.633543144067197"/>
    <n v="14.342650873352"/>
  </r>
  <r>
    <x v="0"/>
    <x v="28"/>
    <x v="5"/>
    <x v="9"/>
    <s v="LT_KlaU"/>
    <x v="4"/>
    <n v="6.3500778790389401"/>
    <n v="1.76391052195526"/>
  </r>
  <r>
    <x v="0"/>
    <x v="28"/>
    <x v="5"/>
    <x v="9"/>
    <s v="LT_KlaU"/>
    <x v="5"/>
    <n v="6.3500778790389401"/>
    <n v="1.76391052195526"/>
  </r>
  <r>
    <x v="0"/>
    <x v="28"/>
    <x v="5"/>
    <x v="9"/>
    <s v="LT_KlaU"/>
    <x v="6"/>
    <n v="29.476231795214598"/>
    <n v="8.1878421653373898"/>
  </r>
  <r>
    <x v="0"/>
    <x v="28"/>
    <x v="5"/>
    <x v="9"/>
    <s v="LT_KlaU"/>
    <x v="7"/>
    <n v="57.838935220261199"/>
    <n v="16.066370894517"/>
  </r>
  <r>
    <x v="0"/>
    <x v="28"/>
    <x v="5"/>
    <x v="9"/>
    <s v="LT_KlaU"/>
    <x v="8"/>
    <n v="57.838935220261199"/>
    <n v="16.066370894517"/>
  </r>
  <r>
    <x v="0"/>
    <x v="28"/>
    <x v="5"/>
    <x v="9"/>
    <s v="LT_KlaU"/>
    <x v="9"/>
    <n v="44.4505451532725"/>
    <n v="12.3473736536868"/>
  </r>
  <r>
    <x v="0"/>
    <x v="28"/>
    <x v="5"/>
    <x v="9"/>
    <s v="LT_KlaU"/>
    <x v="10"/>
    <n v="53.975661971830903"/>
    <n v="14.993239436619699"/>
  </r>
  <r>
    <x v="0"/>
    <x v="28"/>
    <x v="5"/>
    <x v="9"/>
    <s v="LT_KlaU"/>
    <x v="11"/>
    <n v="3.8806031483015802"/>
    <n v="1.07794531897266"/>
  </r>
  <r>
    <x v="0"/>
    <x v="28"/>
    <x v="5"/>
    <x v="9"/>
    <s v="LT_KlaU"/>
    <x v="12"/>
    <n v="9.7995028997514597E-2"/>
    <n v="2.72208413881985E-2"/>
  </r>
  <r>
    <x v="0"/>
    <x v="28"/>
    <x v="5"/>
    <x v="9"/>
    <s v="LT_KlaU"/>
    <x v="13"/>
    <n v="29.633696768848399"/>
    <n v="8.2315824357912195"/>
  </r>
  <r>
    <x v="0"/>
    <x v="28"/>
    <x v="5"/>
    <x v="9"/>
    <s v="LT_KlaU"/>
    <x v="14"/>
    <n v="29.633696768848399"/>
    <n v="8.2315824357912195"/>
  </r>
  <r>
    <x v="0"/>
    <x v="28"/>
    <x v="5"/>
    <x v="9"/>
    <s v="LT_KlaU"/>
    <x v="15"/>
    <n v="1.65807589063794"/>
    <n v="0.46057663628831802"/>
  </r>
  <r>
    <x v="0"/>
    <x v="28"/>
    <x v="5"/>
    <x v="9"/>
    <s v="LT_KlaU"/>
    <x v="16"/>
    <n v="6.5458675795335104"/>
    <n v="1.81829654987042"/>
  </r>
  <r>
    <x v="0"/>
    <x v="28"/>
    <x v="5"/>
    <x v="9"/>
    <s v="LT_KlaU"/>
    <x v="17"/>
    <n v="9.1244895875632395"/>
    <n v="2.5345804409897901"/>
  </r>
  <r>
    <x v="0"/>
    <x v="28"/>
    <x v="5"/>
    <x v="9"/>
    <s v="LT_KlaU"/>
    <x v="18"/>
    <n v="29.633696768848399"/>
    <n v="8.2315824357912195"/>
  </r>
  <r>
    <x v="0"/>
    <x v="28"/>
    <x v="5"/>
    <x v="9"/>
    <s v="LT_KlaU"/>
    <x v="19"/>
    <n v="8.1139884009941898"/>
    <n v="2.2538856669428302"/>
  </r>
  <r>
    <x v="0"/>
    <x v="28"/>
    <x v="5"/>
    <x v="9"/>
    <s v="LT_KlaU"/>
    <x v="20"/>
    <n v="22.109183021311601"/>
    <n v="6.1414397281420996"/>
  </r>
  <r>
    <x v="0"/>
    <x v="28"/>
    <x v="5"/>
    <x v="9"/>
    <s v="LT_KlaU"/>
    <x v="21"/>
    <n v="48.24"/>
    <n v="13.4"/>
  </r>
  <r>
    <x v="0"/>
    <x v="28"/>
    <x v="5"/>
    <x v="9"/>
    <s v="LT_KlaU"/>
    <x v="22"/>
    <n v="67.680000000000007"/>
    <n v="18.8"/>
  </r>
  <r>
    <x v="0"/>
    <x v="28"/>
    <x v="5"/>
    <x v="9"/>
    <s v="LT_KlaU"/>
    <x v="23"/>
    <n v="0.31515896120488701"/>
    <n v="8.7544155890246306E-2"/>
  </r>
  <r>
    <x v="0"/>
    <x v="28"/>
    <x v="5"/>
    <x v="9"/>
    <s v="LT_KlaU"/>
    <x v="24"/>
    <n v="19.174223581093901"/>
    <n v="5.32617321697054"/>
  </r>
  <r>
    <x v="0"/>
    <x v="28"/>
    <x v="5"/>
    <x v="9"/>
    <s v="LT_KlaU"/>
    <x v="25"/>
    <n v="26.209507293842599"/>
    <n v="7.2804186927340497"/>
  </r>
  <r>
    <x v="0"/>
    <x v="28"/>
    <x v="5"/>
    <x v="9"/>
    <s v="LT_KlaU"/>
    <x v="26"/>
    <n v="33.320887798496699"/>
    <n v="9.2558021662490795"/>
  </r>
  <r>
    <x v="0"/>
    <x v="28"/>
    <x v="5"/>
    <x v="9"/>
    <s v="LT_KlaU"/>
    <x v="27"/>
    <n v="20.163995508318798"/>
    <n v="5.6011098634218799"/>
  </r>
  <r>
    <x v="0"/>
    <x v="28"/>
    <x v="5"/>
    <x v="9"/>
    <s v="LT_OFFSHORE"/>
    <x v="1"/>
    <n v="35.989199999999997"/>
    <n v="9.9969999999999999"/>
  </r>
  <r>
    <x v="0"/>
    <x v="28"/>
    <x v="5"/>
    <x v="9"/>
    <s v="LT_OFFSHORE"/>
    <x v="2"/>
    <n v="46.08"/>
    <n v="12.8"/>
  </r>
  <r>
    <x v="0"/>
    <x v="28"/>
    <x v="5"/>
    <x v="9"/>
    <s v="LT_OFFSHORE"/>
    <x v="0"/>
    <n v="42.692399999999999"/>
    <n v="11.859"/>
  </r>
  <r>
    <x v="0"/>
    <x v="28"/>
    <x v="5"/>
    <x v="9"/>
    <s v="LT_OFFSHORE"/>
    <x v="3"/>
    <n v="51.633543144067197"/>
    <n v="14.342650873352"/>
  </r>
  <r>
    <x v="0"/>
    <x v="28"/>
    <x v="5"/>
    <x v="9"/>
    <s v="LT_OFFSHORE"/>
    <x v="4"/>
    <n v="6.3500778790389401"/>
    <n v="1.76391052195526"/>
  </r>
  <r>
    <x v="0"/>
    <x v="28"/>
    <x v="5"/>
    <x v="9"/>
    <s v="LT_OFFSHORE"/>
    <x v="5"/>
    <n v="6.3500778790389401"/>
    <n v="1.76391052195526"/>
  </r>
  <r>
    <x v="0"/>
    <x v="28"/>
    <x v="5"/>
    <x v="9"/>
    <s v="LT_OFFSHORE"/>
    <x v="6"/>
    <n v="29.476231795214598"/>
    <n v="8.1878421653373898"/>
  </r>
  <r>
    <x v="0"/>
    <x v="28"/>
    <x v="5"/>
    <x v="9"/>
    <s v="LT_OFFSHORE"/>
    <x v="7"/>
    <n v="57.838935220261199"/>
    <n v="16.066370894517"/>
  </r>
  <r>
    <x v="0"/>
    <x v="28"/>
    <x v="5"/>
    <x v="9"/>
    <s v="LT_OFFSHORE"/>
    <x v="8"/>
    <n v="57.838935220261199"/>
    <n v="16.066370894517"/>
  </r>
  <r>
    <x v="0"/>
    <x v="28"/>
    <x v="5"/>
    <x v="9"/>
    <s v="LT_OFFSHORE"/>
    <x v="9"/>
    <n v="44.4505451532725"/>
    <n v="12.3473736536868"/>
  </r>
  <r>
    <x v="0"/>
    <x v="28"/>
    <x v="5"/>
    <x v="9"/>
    <s v="LT_OFFSHORE"/>
    <x v="10"/>
    <n v="53.975661971830903"/>
    <n v="14.993239436619699"/>
  </r>
  <r>
    <x v="0"/>
    <x v="28"/>
    <x v="5"/>
    <x v="9"/>
    <s v="LT_OFFSHORE"/>
    <x v="11"/>
    <n v="3.8806031483015802"/>
    <n v="1.07794531897266"/>
  </r>
  <r>
    <x v="0"/>
    <x v="28"/>
    <x v="5"/>
    <x v="9"/>
    <s v="LT_OFFSHORE"/>
    <x v="12"/>
    <n v="9.7995028997514597E-2"/>
    <n v="2.72208413881985E-2"/>
  </r>
  <r>
    <x v="0"/>
    <x v="28"/>
    <x v="5"/>
    <x v="9"/>
    <s v="LT_OFFSHORE"/>
    <x v="13"/>
    <n v="29.633696768848399"/>
    <n v="8.2315824357912195"/>
  </r>
  <r>
    <x v="0"/>
    <x v="28"/>
    <x v="5"/>
    <x v="9"/>
    <s v="LT_OFFSHORE"/>
    <x v="14"/>
    <n v="29.633696768848399"/>
    <n v="8.2315824357912195"/>
  </r>
  <r>
    <x v="0"/>
    <x v="28"/>
    <x v="5"/>
    <x v="9"/>
    <s v="LT_OFFSHORE"/>
    <x v="15"/>
    <n v="1.65807589063794"/>
    <n v="0.46057663628831802"/>
  </r>
  <r>
    <x v="0"/>
    <x v="28"/>
    <x v="5"/>
    <x v="9"/>
    <s v="LT_OFFSHORE"/>
    <x v="16"/>
    <n v="6.5458675795335104"/>
    <n v="1.81829654987042"/>
  </r>
  <r>
    <x v="0"/>
    <x v="28"/>
    <x v="5"/>
    <x v="9"/>
    <s v="LT_OFFSHORE"/>
    <x v="17"/>
    <n v="9.1244895875632395"/>
    <n v="2.5345804409897901"/>
  </r>
  <r>
    <x v="0"/>
    <x v="28"/>
    <x v="5"/>
    <x v="9"/>
    <s v="LT_OFFSHORE"/>
    <x v="18"/>
    <n v="29.633696768848399"/>
    <n v="8.2315824357912195"/>
  </r>
  <r>
    <x v="0"/>
    <x v="28"/>
    <x v="5"/>
    <x v="9"/>
    <s v="LT_OFFSHORE"/>
    <x v="19"/>
    <n v="8.1139884009941898"/>
    <n v="2.2538856669428302"/>
  </r>
  <r>
    <x v="0"/>
    <x v="28"/>
    <x v="5"/>
    <x v="9"/>
    <s v="LT_OFFSHORE"/>
    <x v="20"/>
    <n v="22.109183021311601"/>
    <n v="6.1414397281420996"/>
  </r>
  <r>
    <x v="0"/>
    <x v="28"/>
    <x v="5"/>
    <x v="9"/>
    <s v="LT_OFFSHORE"/>
    <x v="21"/>
    <n v="48.24"/>
    <n v="13.4"/>
  </r>
  <r>
    <x v="0"/>
    <x v="28"/>
    <x v="5"/>
    <x v="9"/>
    <s v="LT_OFFSHORE"/>
    <x v="22"/>
    <n v="67.680000000000007"/>
    <n v="18.8"/>
  </r>
  <r>
    <x v="0"/>
    <x v="28"/>
    <x v="5"/>
    <x v="9"/>
    <s v="LT_OFFSHORE"/>
    <x v="23"/>
    <n v="0.31515896120488701"/>
    <n v="8.7544155890246306E-2"/>
  </r>
  <r>
    <x v="0"/>
    <x v="28"/>
    <x v="5"/>
    <x v="9"/>
    <s v="LT_OFFSHORE"/>
    <x v="24"/>
    <n v="19.174223581093901"/>
    <n v="5.32617321697054"/>
  </r>
  <r>
    <x v="0"/>
    <x v="28"/>
    <x v="5"/>
    <x v="9"/>
    <s v="LT_OFFSHORE"/>
    <x v="25"/>
    <n v="26.209507293842599"/>
    <n v="7.2804186927340497"/>
  </r>
  <r>
    <x v="0"/>
    <x v="28"/>
    <x v="5"/>
    <x v="9"/>
    <s v="LT_OFFSHORE"/>
    <x v="26"/>
    <n v="33.320887798496699"/>
    <n v="9.2558021662490795"/>
  </r>
  <r>
    <x v="0"/>
    <x v="28"/>
    <x v="5"/>
    <x v="9"/>
    <s v="LT_OFFSHORE"/>
    <x v="27"/>
    <n v="20.163995508318798"/>
    <n v="5.6011098634218799"/>
  </r>
  <r>
    <x v="0"/>
    <x v="28"/>
    <x v="5"/>
    <x v="9"/>
    <s v="LT_Other_DH"/>
    <x v="1"/>
    <n v="35.989199999999997"/>
    <n v="9.9969999999999999"/>
  </r>
  <r>
    <x v="0"/>
    <x v="28"/>
    <x v="5"/>
    <x v="9"/>
    <s v="LT_Other_DH"/>
    <x v="2"/>
    <n v="46.08"/>
    <n v="12.8"/>
  </r>
  <r>
    <x v="0"/>
    <x v="28"/>
    <x v="5"/>
    <x v="9"/>
    <s v="LT_Other_DH"/>
    <x v="0"/>
    <n v="42.692399999999999"/>
    <n v="11.859"/>
  </r>
  <r>
    <x v="0"/>
    <x v="28"/>
    <x v="5"/>
    <x v="9"/>
    <s v="LT_Other_DH"/>
    <x v="3"/>
    <n v="51.633543144067197"/>
    <n v="14.342650873352"/>
  </r>
  <r>
    <x v="0"/>
    <x v="28"/>
    <x v="5"/>
    <x v="9"/>
    <s v="LT_Other_DH"/>
    <x v="4"/>
    <n v="6.3500778790389401"/>
    <n v="1.76391052195526"/>
  </r>
  <r>
    <x v="0"/>
    <x v="28"/>
    <x v="5"/>
    <x v="9"/>
    <s v="LT_Other_DH"/>
    <x v="5"/>
    <n v="6.3500778790389401"/>
    <n v="1.76391052195526"/>
  </r>
  <r>
    <x v="0"/>
    <x v="28"/>
    <x v="5"/>
    <x v="9"/>
    <s v="LT_Other_DH"/>
    <x v="6"/>
    <n v="29.476231795214598"/>
    <n v="8.1878421653373898"/>
  </r>
  <r>
    <x v="0"/>
    <x v="28"/>
    <x v="5"/>
    <x v="9"/>
    <s v="LT_Other_DH"/>
    <x v="7"/>
    <n v="57.838935220261199"/>
    <n v="16.066370894517"/>
  </r>
  <r>
    <x v="0"/>
    <x v="28"/>
    <x v="5"/>
    <x v="9"/>
    <s v="LT_Other_DH"/>
    <x v="8"/>
    <n v="57.838935220261199"/>
    <n v="16.066370894517"/>
  </r>
  <r>
    <x v="0"/>
    <x v="28"/>
    <x v="5"/>
    <x v="9"/>
    <s v="LT_Other_DH"/>
    <x v="9"/>
    <n v="44.4505451532725"/>
    <n v="12.3473736536868"/>
  </r>
  <r>
    <x v="0"/>
    <x v="28"/>
    <x v="5"/>
    <x v="9"/>
    <s v="LT_Other_DH"/>
    <x v="10"/>
    <n v="53.975661971830903"/>
    <n v="14.993239436619699"/>
  </r>
  <r>
    <x v="0"/>
    <x v="28"/>
    <x v="5"/>
    <x v="9"/>
    <s v="LT_Other_DH"/>
    <x v="11"/>
    <n v="3.8806031483015802"/>
    <n v="1.07794531897266"/>
  </r>
  <r>
    <x v="0"/>
    <x v="28"/>
    <x v="5"/>
    <x v="9"/>
    <s v="LT_Other_DH"/>
    <x v="12"/>
    <n v="9.7995028997514597E-2"/>
    <n v="2.72208413881985E-2"/>
  </r>
  <r>
    <x v="0"/>
    <x v="28"/>
    <x v="5"/>
    <x v="9"/>
    <s v="LT_Other_DH"/>
    <x v="13"/>
    <n v="29.633696768848399"/>
    <n v="8.2315824357912195"/>
  </r>
  <r>
    <x v="0"/>
    <x v="28"/>
    <x v="5"/>
    <x v="9"/>
    <s v="LT_Other_DH"/>
    <x v="14"/>
    <n v="29.633696768848399"/>
    <n v="8.2315824357912195"/>
  </r>
  <r>
    <x v="0"/>
    <x v="28"/>
    <x v="5"/>
    <x v="9"/>
    <s v="LT_Other_DH"/>
    <x v="15"/>
    <n v="1.65807589063794"/>
    <n v="0.46057663628831802"/>
  </r>
  <r>
    <x v="0"/>
    <x v="28"/>
    <x v="5"/>
    <x v="9"/>
    <s v="LT_Other_DH"/>
    <x v="16"/>
    <n v="6.5458675795335104"/>
    <n v="1.81829654987042"/>
  </r>
  <r>
    <x v="0"/>
    <x v="28"/>
    <x v="5"/>
    <x v="9"/>
    <s v="LT_Other_DH"/>
    <x v="17"/>
    <n v="9.1244895875632395"/>
    <n v="2.5345804409897901"/>
  </r>
  <r>
    <x v="0"/>
    <x v="28"/>
    <x v="5"/>
    <x v="9"/>
    <s v="LT_Other_DH"/>
    <x v="18"/>
    <n v="29.633696768848399"/>
    <n v="8.2315824357912195"/>
  </r>
  <r>
    <x v="0"/>
    <x v="28"/>
    <x v="5"/>
    <x v="9"/>
    <s v="LT_Other_DH"/>
    <x v="19"/>
    <n v="8.1139884009941898"/>
    <n v="2.2538856669428302"/>
  </r>
  <r>
    <x v="0"/>
    <x v="28"/>
    <x v="5"/>
    <x v="9"/>
    <s v="LT_Other_DH"/>
    <x v="20"/>
    <n v="22.109183021311601"/>
    <n v="6.1414397281420996"/>
  </r>
  <r>
    <x v="0"/>
    <x v="28"/>
    <x v="5"/>
    <x v="9"/>
    <s v="LT_Other_DH"/>
    <x v="21"/>
    <n v="48.24"/>
    <n v="13.4"/>
  </r>
  <r>
    <x v="0"/>
    <x v="28"/>
    <x v="5"/>
    <x v="9"/>
    <s v="LT_Other_DH"/>
    <x v="22"/>
    <n v="67.680000000000007"/>
    <n v="18.8"/>
  </r>
  <r>
    <x v="0"/>
    <x v="28"/>
    <x v="5"/>
    <x v="9"/>
    <s v="LT_Other_DH"/>
    <x v="23"/>
    <n v="0.31515896120488701"/>
    <n v="8.7544155890246306E-2"/>
  </r>
  <r>
    <x v="0"/>
    <x v="28"/>
    <x v="5"/>
    <x v="9"/>
    <s v="LT_Other_DH"/>
    <x v="24"/>
    <n v="19.174223581093901"/>
    <n v="5.32617321697054"/>
  </r>
  <r>
    <x v="0"/>
    <x v="28"/>
    <x v="5"/>
    <x v="9"/>
    <s v="LT_Other_DH"/>
    <x v="25"/>
    <n v="26.209507293842599"/>
    <n v="7.2804186927340497"/>
  </r>
  <r>
    <x v="0"/>
    <x v="28"/>
    <x v="5"/>
    <x v="9"/>
    <s v="LT_Other_DH"/>
    <x v="26"/>
    <n v="33.320887798496699"/>
    <n v="9.2558021662490795"/>
  </r>
  <r>
    <x v="0"/>
    <x v="28"/>
    <x v="5"/>
    <x v="9"/>
    <s v="LT_Other_DH"/>
    <x v="27"/>
    <n v="20.163995508318798"/>
    <n v="5.6011098634218799"/>
  </r>
  <r>
    <x v="0"/>
    <x v="28"/>
    <x v="5"/>
    <x v="9"/>
    <s v="LT_Panevezys"/>
    <x v="1"/>
    <n v="35.989199999999997"/>
    <n v="9.9969999999999999"/>
  </r>
  <r>
    <x v="0"/>
    <x v="28"/>
    <x v="5"/>
    <x v="9"/>
    <s v="LT_Panevezys"/>
    <x v="2"/>
    <n v="46.08"/>
    <n v="12.8"/>
  </r>
  <r>
    <x v="0"/>
    <x v="28"/>
    <x v="5"/>
    <x v="9"/>
    <s v="LT_Panevezys"/>
    <x v="0"/>
    <n v="42.692399999999999"/>
    <n v="11.859"/>
  </r>
  <r>
    <x v="0"/>
    <x v="28"/>
    <x v="5"/>
    <x v="9"/>
    <s v="LT_Panevezys"/>
    <x v="3"/>
    <n v="51.633543144067197"/>
    <n v="14.342650873352"/>
  </r>
  <r>
    <x v="0"/>
    <x v="28"/>
    <x v="5"/>
    <x v="9"/>
    <s v="LT_Panevezys"/>
    <x v="4"/>
    <n v="6.3500778790389401"/>
    <n v="1.76391052195526"/>
  </r>
  <r>
    <x v="0"/>
    <x v="28"/>
    <x v="5"/>
    <x v="9"/>
    <s v="LT_Panevezys"/>
    <x v="5"/>
    <n v="6.3500778790389401"/>
    <n v="1.76391052195526"/>
  </r>
  <r>
    <x v="0"/>
    <x v="28"/>
    <x v="5"/>
    <x v="9"/>
    <s v="LT_Panevezys"/>
    <x v="6"/>
    <n v="29.476231795214598"/>
    <n v="8.1878421653373898"/>
  </r>
  <r>
    <x v="0"/>
    <x v="28"/>
    <x v="5"/>
    <x v="9"/>
    <s v="LT_Panevezys"/>
    <x v="7"/>
    <n v="57.838935220261199"/>
    <n v="16.066370894517"/>
  </r>
  <r>
    <x v="0"/>
    <x v="28"/>
    <x v="5"/>
    <x v="9"/>
    <s v="LT_Panevezys"/>
    <x v="8"/>
    <n v="57.838935220261199"/>
    <n v="16.066370894517"/>
  </r>
  <r>
    <x v="0"/>
    <x v="28"/>
    <x v="5"/>
    <x v="9"/>
    <s v="LT_Panevezys"/>
    <x v="9"/>
    <n v="44.4505451532725"/>
    <n v="12.3473736536868"/>
  </r>
  <r>
    <x v="0"/>
    <x v="28"/>
    <x v="5"/>
    <x v="9"/>
    <s v="LT_Panevezys"/>
    <x v="10"/>
    <n v="53.975661971830903"/>
    <n v="14.993239436619699"/>
  </r>
  <r>
    <x v="0"/>
    <x v="28"/>
    <x v="5"/>
    <x v="9"/>
    <s v="LT_Panevezys"/>
    <x v="11"/>
    <n v="3.8806031483015802"/>
    <n v="1.07794531897266"/>
  </r>
  <r>
    <x v="0"/>
    <x v="28"/>
    <x v="5"/>
    <x v="9"/>
    <s v="LT_Panevezys"/>
    <x v="12"/>
    <n v="9.7995028997514597E-2"/>
    <n v="2.72208413881985E-2"/>
  </r>
  <r>
    <x v="0"/>
    <x v="28"/>
    <x v="5"/>
    <x v="9"/>
    <s v="LT_Panevezys"/>
    <x v="13"/>
    <n v="29.633696768848399"/>
    <n v="8.2315824357912195"/>
  </r>
  <r>
    <x v="0"/>
    <x v="28"/>
    <x v="5"/>
    <x v="9"/>
    <s v="LT_Panevezys"/>
    <x v="14"/>
    <n v="29.633696768848399"/>
    <n v="8.2315824357912195"/>
  </r>
  <r>
    <x v="0"/>
    <x v="28"/>
    <x v="5"/>
    <x v="9"/>
    <s v="LT_Panevezys"/>
    <x v="15"/>
    <n v="1.65807589063794"/>
    <n v="0.46057663628831802"/>
  </r>
  <r>
    <x v="0"/>
    <x v="28"/>
    <x v="5"/>
    <x v="9"/>
    <s v="LT_Panevezys"/>
    <x v="16"/>
    <n v="6.5458675795335104"/>
    <n v="1.81829654987042"/>
  </r>
  <r>
    <x v="0"/>
    <x v="28"/>
    <x v="5"/>
    <x v="9"/>
    <s v="LT_Panevezys"/>
    <x v="17"/>
    <n v="9.1244895875632395"/>
    <n v="2.5345804409897901"/>
  </r>
  <r>
    <x v="0"/>
    <x v="28"/>
    <x v="5"/>
    <x v="9"/>
    <s v="LT_Panevezys"/>
    <x v="18"/>
    <n v="29.633696768848399"/>
    <n v="8.2315824357912195"/>
  </r>
  <r>
    <x v="0"/>
    <x v="28"/>
    <x v="5"/>
    <x v="9"/>
    <s v="LT_Panevezys"/>
    <x v="19"/>
    <n v="8.1139884009941898"/>
    <n v="2.2538856669428302"/>
  </r>
  <r>
    <x v="0"/>
    <x v="28"/>
    <x v="5"/>
    <x v="9"/>
    <s v="LT_Panevezys"/>
    <x v="20"/>
    <n v="22.109183021311601"/>
    <n v="6.1414397281420996"/>
  </r>
  <r>
    <x v="0"/>
    <x v="28"/>
    <x v="5"/>
    <x v="9"/>
    <s v="LT_Panevezys"/>
    <x v="21"/>
    <n v="48.24"/>
    <n v="13.4"/>
  </r>
  <r>
    <x v="0"/>
    <x v="28"/>
    <x v="5"/>
    <x v="9"/>
    <s v="LT_Panevezys"/>
    <x v="22"/>
    <n v="67.680000000000007"/>
    <n v="18.8"/>
  </r>
  <r>
    <x v="0"/>
    <x v="28"/>
    <x v="5"/>
    <x v="9"/>
    <s v="LT_Panevezys"/>
    <x v="23"/>
    <n v="0.31515896120488701"/>
    <n v="8.7544155890246306E-2"/>
  </r>
  <r>
    <x v="0"/>
    <x v="28"/>
    <x v="5"/>
    <x v="9"/>
    <s v="LT_Panevezys"/>
    <x v="24"/>
    <n v="19.174223581093901"/>
    <n v="5.32617321697054"/>
  </r>
  <r>
    <x v="0"/>
    <x v="28"/>
    <x v="5"/>
    <x v="9"/>
    <s v="LT_Panevezys"/>
    <x v="25"/>
    <n v="26.209507293842599"/>
    <n v="7.2804186927340497"/>
  </r>
  <r>
    <x v="0"/>
    <x v="28"/>
    <x v="5"/>
    <x v="9"/>
    <s v="LT_Panevezys"/>
    <x v="26"/>
    <n v="33.320887798496699"/>
    <n v="9.2558021662490795"/>
  </r>
  <r>
    <x v="0"/>
    <x v="28"/>
    <x v="5"/>
    <x v="9"/>
    <s v="LT_Panevezys"/>
    <x v="27"/>
    <n v="20.163995508318798"/>
    <n v="5.6011098634218799"/>
  </r>
  <r>
    <x v="0"/>
    <x v="28"/>
    <x v="5"/>
    <x v="9"/>
    <s v="LT_Rural"/>
    <x v="1"/>
    <n v="35.989199999999997"/>
    <n v="9.9969999999999999"/>
  </r>
  <r>
    <x v="0"/>
    <x v="28"/>
    <x v="5"/>
    <x v="9"/>
    <s v="LT_Rural"/>
    <x v="2"/>
    <n v="46.08"/>
    <n v="12.8"/>
  </r>
  <r>
    <x v="0"/>
    <x v="28"/>
    <x v="5"/>
    <x v="9"/>
    <s v="LT_Rural"/>
    <x v="0"/>
    <n v="42.692399999999999"/>
    <n v="11.859"/>
  </r>
  <r>
    <x v="0"/>
    <x v="28"/>
    <x v="5"/>
    <x v="9"/>
    <s v="LT_Rural"/>
    <x v="3"/>
    <n v="51.633543144067197"/>
    <n v="14.342650873352"/>
  </r>
  <r>
    <x v="0"/>
    <x v="28"/>
    <x v="5"/>
    <x v="9"/>
    <s v="LT_Rural"/>
    <x v="4"/>
    <n v="6.3500778790389401"/>
    <n v="1.76391052195526"/>
  </r>
  <r>
    <x v="0"/>
    <x v="28"/>
    <x v="5"/>
    <x v="9"/>
    <s v="LT_Rural"/>
    <x v="5"/>
    <n v="6.3500778790389401"/>
    <n v="1.76391052195526"/>
  </r>
  <r>
    <x v="0"/>
    <x v="28"/>
    <x v="5"/>
    <x v="9"/>
    <s v="LT_Rural"/>
    <x v="6"/>
    <n v="29.476231795214598"/>
    <n v="8.1878421653373898"/>
  </r>
  <r>
    <x v="0"/>
    <x v="28"/>
    <x v="5"/>
    <x v="9"/>
    <s v="LT_Rural"/>
    <x v="7"/>
    <n v="57.838935220261199"/>
    <n v="16.066370894517"/>
  </r>
  <r>
    <x v="0"/>
    <x v="28"/>
    <x v="5"/>
    <x v="9"/>
    <s v="LT_Rural"/>
    <x v="8"/>
    <n v="57.838935220261199"/>
    <n v="16.066370894517"/>
  </r>
  <r>
    <x v="0"/>
    <x v="28"/>
    <x v="5"/>
    <x v="9"/>
    <s v="LT_Rural"/>
    <x v="9"/>
    <n v="44.4505451532725"/>
    <n v="12.3473736536868"/>
  </r>
  <r>
    <x v="0"/>
    <x v="28"/>
    <x v="5"/>
    <x v="9"/>
    <s v="LT_Rural"/>
    <x v="10"/>
    <n v="53.975661971830903"/>
    <n v="14.993239436619699"/>
  </r>
  <r>
    <x v="0"/>
    <x v="28"/>
    <x v="5"/>
    <x v="9"/>
    <s v="LT_Rural"/>
    <x v="11"/>
    <n v="3.8806031483015802"/>
    <n v="1.07794531897266"/>
  </r>
  <r>
    <x v="0"/>
    <x v="28"/>
    <x v="5"/>
    <x v="9"/>
    <s v="LT_Rural"/>
    <x v="12"/>
    <n v="9.7995028997514597E-2"/>
    <n v="2.72208413881985E-2"/>
  </r>
  <r>
    <x v="0"/>
    <x v="28"/>
    <x v="5"/>
    <x v="9"/>
    <s v="LT_Rural"/>
    <x v="13"/>
    <n v="29.633696768848399"/>
    <n v="8.2315824357912195"/>
  </r>
  <r>
    <x v="0"/>
    <x v="28"/>
    <x v="5"/>
    <x v="9"/>
    <s v="LT_Rural"/>
    <x v="14"/>
    <n v="29.633696768848399"/>
    <n v="8.2315824357912195"/>
  </r>
  <r>
    <x v="0"/>
    <x v="28"/>
    <x v="5"/>
    <x v="9"/>
    <s v="LT_Rural"/>
    <x v="15"/>
    <n v="1.65807589063794"/>
    <n v="0.46057663628831802"/>
  </r>
  <r>
    <x v="0"/>
    <x v="28"/>
    <x v="5"/>
    <x v="9"/>
    <s v="LT_Rural"/>
    <x v="16"/>
    <n v="6.5458675795335104"/>
    <n v="1.81829654987042"/>
  </r>
  <r>
    <x v="0"/>
    <x v="28"/>
    <x v="5"/>
    <x v="9"/>
    <s v="LT_Rural"/>
    <x v="17"/>
    <n v="9.1244895875632395"/>
    <n v="2.5345804409897901"/>
  </r>
  <r>
    <x v="0"/>
    <x v="28"/>
    <x v="5"/>
    <x v="9"/>
    <s v="LT_Rural"/>
    <x v="18"/>
    <n v="29.633696768848399"/>
    <n v="8.2315824357912195"/>
  </r>
  <r>
    <x v="0"/>
    <x v="28"/>
    <x v="5"/>
    <x v="9"/>
    <s v="LT_Rural"/>
    <x v="19"/>
    <n v="8.1139884009941898"/>
    <n v="2.2538856669428302"/>
  </r>
  <r>
    <x v="0"/>
    <x v="28"/>
    <x v="5"/>
    <x v="9"/>
    <s v="LT_Rural"/>
    <x v="20"/>
    <n v="22.109183021311601"/>
    <n v="6.1414397281420996"/>
  </r>
  <r>
    <x v="0"/>
    <x v="28"/>
    <x v="5"/>
    <x v="9"/>
    <s v="LT_Rural"/>
    <x v="21"/>
    <n v="48.24"/>
    <n v="13.4"/>
  </r>
  <r>
    <x v="0"/>
    <x v="28"/>
    <x v="5"/>
    <x v="9"/>
    <s v="LT_Rural"/>
    <x v="22"/>
    <n v="67.680000000000007"/>
    <n v="18.8"/>
  </r>
  <r>
    <x v="0"/>
    <x v="28"/>
    <x v="5"/>
    <x v="9"/>
    <s v="LT_Rural"/>
    <x v="23"/>
    <n v="0.31515896120488701"/>
    <n v="8.7544155890246306E-2"/>
  </r>
  <r>
    <x v="0"/>
    <x v="28"/>
    <x v="5"/>
    <x v="9"/>
    <s v="LT_Rural"/>
    <x v="24"/>
    <n v="19.174223581093901"/>
    <n v="5.32617321697054"/>
  </r>
  <r>
    <x v="0"/>
    <x v="28"/>
    <x v="5"/>
    <x v="9"/>
    <s v="LT_Rural"/>
    <x v="25"/>
    <n v="26.209507293842599"/>
    <n v="7.2804186927340497"/>
  </r>
  <r>
    <x v="0"/>
    <x v="28"/>
    <x v="5"/>
    <x v="9"/>
    <s v="LT_Rural"/>
    <x v="26"/>
    <n v="33.320887798496699"/>
    <n v="9.2558021662490795"/>
  </r>
  <r>
    <x v="0"/>
    <x v="28"/>
    <x v="5"/>
    <x v="9"/>
    <s v="LT_Rural"/>
    <x v="27"/>
    <n v="20.163995508318798"/>
    <n v="5.6011098634218799"/>
  </r>
  <r>
    <x v="0"/>
    <x v="28"/>
    <x v="5"/>
    <x v="9"/>
    <s v="LT_SiaU"/>
    <x v="1"/>
    <n v="35.989199999999997"/>
    <n v="9.9969999999999999"/>
  </r>
  <r>
    <x v="0"/>
    <x v="28"/>
    <x v="5"/>
    <x v="9"/>
    <s v="LT_SiaU"/>
    <x v="2"/>
    <n v="46.08"/>
    <n v="12.8"/>
  </r>
  <r>
    <x v="0"/>
    <x v="28"/>
    <x v="5"/>
    <x v="9"/>
    <s v="LT_SiaU"/>
    <x v="0"/>
    <n v="42.692399999999999"/>
    <n v="11.859"/>
  </r>
  <r>
    <x v="0"/>
    <x v="28"/>
    <x v="5"/>
    <x v="9"/>
    <s v="LT_SiaU"/>
    <x v="3"/>
    <n v="51.633543144067197"/>
    <n v="14.342650873352"/>
  </r>
  <r>
    <x v="0"/>
    <x v="28"/>
    <x v="5"/>
    <x v="9"/>
    <s v="LT_SiaU"/>
    <x v="4"/>
    <n v="6.3500778790389401"/>
    <n v="1.76391052195526"/>
  </r>
  <r>
    <x v="0"/>
    <x v="28"/>
    <x v="5"/>
    <x v="9"/>
    <s v="LT_SiaU"/>
    <x v="5"/>
    <n v="6.3500778790389401"/>
    <n v="1.76391052195526"/>
  </r>
  <r>
    <x v="0"/>
    <x v="28"/>
    <x v="5"/>
    <x v="9"/>
    <s v="LT_SiaU"/>
    <x v="6"/>
    <n v="29.476231795214598"/>
    <n v="8.1878421653373898"/>
  </r>
  <r>
    <x v="0"/>
    <x v="28"/>
    <x v="5"/>
    <x v="9"/>
    <s v="LT_SiaU"/>
    <x v="7"/>
    <n v="57.838935220261199"/>
    <n v="16.066370894517"/>
  </r>
  <r>
    <x v="0"/>
    <x v="28"/>
    <x v="5"/>
    <x v="9"/>
    <s v="LT_SiaU"/>
    <x v="8"/>
    <n v="57.838935220261199"/>
    <n v="16.066370894517"/>
  </r>
  <r>
    <x v="0"/>
    <x v="28"/>
    <x v="5"/>
    <x v="9"/>
    <s v="LT_SiaU"/>
    <x v="9"/>
    <n v="44.4505451532725"/>
    <n v="12.3473736536868"/>
  </r>
  <r>
    <x v="0"/>
    <x v="28"/>
    <x v="5"/>
    <x v="9"/>
    <s v="LT_SiaU"/>
    <x v="10"/>
    <n v="53.975661971830903"/>
    <n v="14.993239436619699"/>
  </r>
  <r>
    <x v="0"/>
    <x v="28"/>
    <x v="5"/>
    <x v="9"/>
    <s v="LT_SiaU"/>
    <x v="11"/>
    <n v="3.8806031483015802"/>
    <n v="1.07794531897266"/>
  </r>
  <r>
    <x v="0"/>
    <x v="28"/>
    <x v="5"/>
    <x v="9"/>
    <s v="LT_SiaU"/>
    <x v="12"/>
    <n v="9.7995028997514597E-2"/>
    <n v="2.72208413881985E-2"/>
  </r>
  <r>
    <x v="0"/>
    <x v="28"/>
    <x v="5"/>
    <x v="9"/>
    <s v="LT_SiaU"/>
    <x v="13"/>
    <n v="29.633696768848399"/>
    <n v="8.2315824357912195"/>
  </r>
  <r>
    <x v="0"/>
    <x v="28"/>
    <x v="5"/>
    <x v="9"/>
    <s v="LT_SiaU"/>
    <x v="14"/>
    <n v="29.633696768848399"/>
    <n v="8.2315824357912195"/>
  </r>
  <r>
    <x v="0"/>
    <x v="28"/>
    <x v="5"/>
    <x v="9"/>
    <s v="LT_SiaU"/>
    <x v="15"/>
    <n v="1.65807589063794"/>
    <n v="0.46057663628831802"/>
  </r>
  <r>
    <x v="0"/>
    <x v="28"/>
    <x v="5"/>
    <x v="9"/>
    <s v="LT_SiaU"/>
    <x v="16"/>
    <n v="6.5458675795335104"/>
    <n v="1.81829654987042"/>
  </r>
  <r>
    <x v="0"/>
    <x v="28"/>
    <x v="5"/>
    <x v="9"/>
    <s v="LT_SiaU"/>
    <x v="17"/>
    <n v="9.1244895875632395"/>
    <n v="2.5345804409897901"/>
  </r>
  <r>
    <x v="0"/>
    <x v="28"/>
    <x v="5"/>
    <x v="9"/>
    <s v="LT_SiaU"/>
    <x v="18"/>
    <n v="29.633696768848399"/>
    <n v="8.2315824357912195"/>
  </r>
  <r>
    <x v="0"/>
    <x v="28"/>
    <x v="5"/>
    <x v="9"/>
    <s v="LT_SiaU"/>
    <x v="19"/>
    <n v="8.1139884009941898"/>
    <n v="2.2538856669428302"/>
  </r>
  <r>
    <x v="0"/>
    <x v="28"/>
    <x v="5"/>
    <x v="9"/>
    <s v="LT_SiaU"/>
    <x v="20"/>
    <n v="22.109183021311601"/>
    <n v="6.1414397281420996"/>
  </r>
  <r>
    <x v="0"/>
    <x v="28"/>
    <x v="5"/>
    <x v="9"/>
    <s v="LT_SiaU"/>
    <x v="21"/>
    <n v="48.24"/>
    <n v="13.4"/>
  </r>
  <r>
    <x v="0"/>
    <x v="28"/>
    <x v="5"/>
    <x v="9"/>
    <s v="LT_SiaU"/>
    <x v="22"/>
    <n v="67.680000000000007"/>
    <n v="18.8"/>
  </r>
  <r>
    <x v="0"/>
    <x v="28"/>
    <x v="5"/>
    <x v="9"/>
    <s v="LT_SiaU"/>
    <x v="23"/>
    <n v="0.31515896120488701"/>
    <n v="8.7544155890246306E-2"/>
  </r>
  <r>
    <x v="0"/>
    <x v="28"/>
    <x v="5"/>
    <x v="9"/>
    <s v="LT_SiaU"/>
    <x v="24"/>
    <n v="19.174223581093901"/>
    <n v="5.32617321697054"/>
  </r>
  <r>
    <x v="0"/>
    <x v="28"/>
    <x v="5"/>
    <x v="9"/>
    <s v="LT_SiaU"/>
    <x v="25"/>
    <n v="26.209507293842599"/>
    <n v="7.2804186927340497"/>
  </r>
  <r>
    <x v="0"/>
    <x v="28"/>
    <x v="5"/>
    <x v="9"/>
    <s v="LT_SiaU"/>
    <x v="26"/>
    <n v="33.320887798496699"/>
    <n v="9.2558021662490795"/>
  </r>
  <r>
    <x v="0"/>
    <x v="28"/>
    <x v="5"/>
    <x v="9"/>
    <s v="LT_SiaU"/>
    <x v="27"/>
    <n v="20.163995508318798"/>
    <n v="5.6011098634218799"/>
  </r>
  <r>
    <x v="0"/>
    <x v="28"/>
    <x v="5"/>
    <x v="9"/>
    <s v="LT_VilU"/>
    <x v="1"/>
    <n v="35.989199999999997"/>
    <n v="9.9969999999999999"/>
  </r>
  <r>
    <x v="0"/>
    <x v="28"/>
    <x v="5"/>
    <x v="9"/>
    <s v="LT_VilU"/>
    <x v="2"/>
    <n v="46.08"/>
    <n v="12.8"/>
  </r>
  <r>
    <x v="0"/>
    <x v="28"/>
    <x v="5"/>
    <x v="9"/>
    <s v="LT_VilU"/>
    <x v="0"/>
    <n v="42.692399999999999"/>
    <n v="11.859"/>
  </r>
  <r>
    <x v="0"/>
    <x v="28"/>
    <x v="5"/>
    <x v="9"/>
    <s v="LT_VilU"/>
    <x v="3"/>
    <n v="51.633543144067197"/>
    <n v="14.342650873352"/>
  </r>
  <r>
    <x v="0"/>
    <x v="28"/>
    <x v="5"/>
    <x v="9"/>
    <s v="LT_VilU"/>
    <x v="4"/>
    <n v="6.3500778790389401"/>
    <n v="1.76391052195526"/>
  </r>
  <r>
    <x v="0"/>
    <x v="28"/>
    <x v="5"/>
    <x v="9"/>
    <s v="LT_VilU"/>
    <x v="5"/>
    <n v="6.3500778790389401"/>
    <n v="1.76391052195526"/>
  </r>
  <r>
    <x v="0"/>
    <x v="28"/>
    <x v="5"/>
    <x v="9"/>
    <s v="LT_VilU"/>
    <x v="6"/>
    <n v="29.476231795214598"/>
    <n v="8.1878421653373898"/>
  </r>
  <r>
    <x v="0"/>
    <x v="28"/>
    <x v="5"/>
    <x v="9"/>
    <s v="LT_VilU"/>
    <x v="7"/>
    <n v="57.838935220261199"/>
    <n v="16.066370894517"/>
  </r>
  <r>
    <x v="0"/>
    <x v="28"/>
    <x v="5"/>
    <x v="9"/>
    <s v="LT_VilU"/>
    <x v="8"/>
    <n v="57.838935220261199"/>
    <n v="16.066370894517"/>
  </r>
  <r>
    <x v="0"/>
    <x v="28"/>
    <x v="5"/>
    <x v="9"/>
    <s v="LT_VilU"/>
    <x v="9"/>
    <n v="44.4505451532725"/>
    <n v="12.3473736536868"/>
  </r>
  <r>
    <x v="0"/>
    <x v="28"/>
    <x v="5"/>
    <x v="9"/>
    <s v="LT_VilU"/>
    <x v="10"/>
    <n v="53.975661971830903"/>
    <n v="14.993239436619699"/>
  </r>
  <r>
    <x v="0"/>
    <x v="28"/>
    <x v="5"/>
    <x v="9"/>
    <s v="LT_VilU"/>
    <x v="11"/>
    <n v="3.8806031483015802"/>
    <n v="1.07794531897266"/>
  </r>
  <r>
    <x v="0"/>
    <x v="28"/>
    <x v="5"/>
    <x v="9"/>
    <s v="LT_VilU"/>
    <x v="12"/>
    <n v="9.7995028997514597E-2"/>
    <n v="2.72208413881985E-2"/>
  </r>
  <r>
    <x v="0"/>
    <x v="28"/>
    <x v="5"/>
    <x v="9"/>
    <s v="LT_VilU"/>
    <x v="13"/>
    <n v="29.633696768848399"/>
    <n v="8.2315824357912195"/>
  </r>
  <r>
    <x v="0"/>
    <x v="28"/>
    <x v="5"/>
    <x v="9"/>
    <s v="LT_VilU"/>
    <x v="14"/>
    <n v="29.633696768848399"/>
    <n v="8.2315824357912195"/>
  </r>
  <r>
    <x v="0"/>
    <x v="28"/>
    <x v="5"/>
    <x v="9"/>
    <s v="LT_VilU"/>
    <x v="15"/>
    <n v="1.65807589063794"/>
    <n v="0.46057663628831802"/>
  </r>
  <r>
    <x v="0"/>
    <x v="28"/>
    <x v="5"/>
    <x v="9"/>
    <s v="LT_VilU"/>
    <x v="16"/>
    <n v="6.5458675795335104"/>
    <n v="1.81829654987042"/>
  </r>
  <r>
    <x v="0"/>
    <x v="28"/>
    <x v="5"/>
    <x v="9"/>
    <s v="LT_VilU"/>
    <x v="17"/>
    <n v="9.1244895875632395"/>
    <n v="2.5345804409897901"/>
  </r>
  <r>
    <x v="0"/>
    <x v="28"/>
    <x v="5"/>
    <x v="9"/>
    <s v="LT_VilU"/>
    <x v="18"/>
    <n v="29.633696768848399"/>
    <n v="8.2315824357912195"/>
  </r>
  <r>
    <x v="0"/>
    <x v="28"/>
    <x v="5"/>
    <x v="9"/>
    <s v="LT_VilU"/>
    <x v="19"/>
    <n v="8.1139884009941898"/>
    <n v="2.2538856669428302"/>
  </r>
  <r>
    <x v="0"/>
    <x v="28"/>
    <x v="5"/>
    <x v="9"/>
    <s v="LT_VilU"/>
    <x v="20"/>
    <n v="22.109183021311601"/>
    <n v="6.1414397281420996"/>
  </r>
  <r>
    <x v="0"/>
    <x v="28"/>
    <x v="5"/>
    <x v="9"/>
    <s v="LT_VilU"/>
    <x v="21"/>
    <n v="48.24"/>
    <n v="13.4"/>
  </r>
  <r>
    <x v="0"/>
    <x v="28"/>
    <x v="5"/>
    <x v="9"/>
    <s v="LT_VilU"/>
    <x v="22"/>
    <n v="67.680000000000007"/>
    <n v="18.8"/>
  </r>
  <r>
    <x v="0"/>
    <x v="28"/>
    <x v="5"/>
    <x v="9"/>
    <s v="LT_VilU"/>
    <x v="23"/>
    <n v="0.31515896120488701"/>
    <n v="8.7544155890246306E-2"/>
  </r>
  <r>
    <x v="0"/>
    <x v="28"/>
    <x v="5"/>
    <x v="9"/>
    <s v="LT_VilU"/>
    <x v="24"/>
    <n v="19.174223581093901"/>
    <n v="5.32617321697054"/>
  </r>
  <r>
    <x v="0"/>
    <x v="28"/>
    <x v="5"/>
    <x v="9"/>
    <s v="LT_VilU"/>
    <x v="25"/>
    <n v="26.209507293842599"/>
    <n v="7.2804186927340497"/>
  </r>
  <r>
    <x v="0"/>
    <x v="28"/>
    <x v="5"/>
    <x v="9"/>
    <s v="LT_VilU"/>
    <x v="26"/>
    <n v="33.320887798496699"/>
    <n v="9.2558021662490795"/>
  </r>
  <r>
    <x v="0"/>
    <x v="28"/>
    <x v="5"/>
    <x v="9"/>
    <s v="LT_VilU"/>
    <x v="27"/>
    <n v="20.163995508318798"/>
    <n v="5.6011098634218799"/>
  </r>
  <r>
    <x v="0"/>
    <x v="28"/>
    <x v="6"/>
    <x v="10"/>
    <s v="NL_A"/>
    <x v="1"/>
    <n v="35.989199999999997"/>
    <n v="9.9969999999999999"/>
  </r>
  <r>
    <x v="0"/>
    <x v="28"/>
    <x v="6"/>
    <x v="10"/>
    <s v="NL_A"/>
    <x v="2"/>
    <n v="46.08"/>
    <n v="12.8"/>
  </r>
  <r>
    <x v="0"/>
    <x v="28"/>
    <x v="6"/>
    <x v="10"/>
    <s v="NL_A"/>
    <x v="0"/>
    <n v="42.692399999999999"/>
    <n v="11.859"/>
  </r>
  <r>
    <x v="0"/>
    <x v="28"/>
    <x v="6"/>
    <x v="10"/>
    <s v="NL_A"/>
    <x v="3"/>
    <n v="51.633543144067197"/>
    <n v="14.342650873352"/>
  </r>
  <r>
    <x v="0"/>
    <x v="28"/>
    <x v="6"/>
    <x v="10"/>
    <s v="NL_A"/>
    <x v="4"/>
    <n v="6.3500778790389401"/>
    <n v="1.76391052195526"/>
  </r>
  <r>
    <x v="0"/>
    <x v="28"/>
    <x v="6"/>
    <x v="10"/>
    <s v="NL_A"/>
    <x v="5"/>
    <n v="6.3500778790389401"/>
    <n v="1.76391052195526"/>
  </r>
  <r>
    <x v="0"/>
    <x v="28"/>
    <x v="6"/>
    <x v="10"/>
    <s v="NL_A"/>
    <x v="6"/>
    <n v="29.476231795214598"/>
    <n v="8.1878421653373898"/>
  </r>
  <r>
    <x v="0"/>
    <x v="28"/>
    <x v="6"/>
    <x v="10"/>
    <s v="NL_A"/>
    <x v="7"/>
    <n v="57.838935220261199"/>
    <n v="16.066370894517"/>
  </r>
  <r>
    <x v="0"/>
    <x v="28"/>
    <x v="6"/>
    <x v="10"/>
    <s v="NL_A"/>
    <x v="8"/>
    <n v="57.838935220261199"/>
    <n v="16.066370894517"/>
  </r>
  <r>
    <x v="0"/>
    <x v="28"/>
    <x v="6"/>
    <x v="10"/>
    <s v="NL_A"/>
    <x v="9"/>
    <n v="44.4505451532725"/>
    <n v="12.3473736536868"/>
  </r>
  <r>
    <x v="0"/>
    <x v="28"/>
    <x v="6"/>
    <x v="10"/>
    <s v="NL_A"/>
    <x v="10"/>
    <n v="53.975661971830903"/>
    <n v="14.993239436619699"/>
  </r>
  <r>
    <x v="0"/>
    <x v="28"/>
    <x v="6"/>
    <x v="10"/>
    <s v="NL_A"/>
    <x v="11"/>
    <n v="3.8806031483015802"/>
    <n v="1.07794531897266"/>
  </r>
  <r>
    <x v="0"/>
    <x v="28"/>
    <x v="6"/>
    <x v="10"/>
    <s v="NL_A"/>
    <x v="12"/>
    <n v="9.7995028997514597E-2"/>
    <n v="2.72208413881985E-2"/>
  </r>
  <r>
    <x v="0"/>
    <x v="28"/>
    <x v="6"/>
    <x v="10"/>
    <s v="NL_A"/>
    <x v="13"/>
    <n v="29.633696768848399"/>
    <n v="8.2315824357912195"/>
  </r>
  <r>
    <x v="0"/>
    <x v="28"/>
    <x v="6"/>
    <x v="10"/>
    <s v="NL_A"/>
    <x v="14"/>
    <n v="29.633696768848399"/>
    <n v="8.2315824357912195"/>
  </r>
  <r>
    <x v="0"/>
    <x v="28"/>
    <x v="6"/>
    <x v="10"/>
    <s v="NL_A"/>
    <x v="15"/>
    <n v="1.65807589063794"/>
    <n v="0.46057663628831802"/>
  </r>
  <r>
    <x v="0"/>
    <x v="28"/>
    <x v="6"/>
    <x v="10"/>
    <s v="NL_A"/>
    <x v="16"/>
    <n v="6.5458675795335104"/>
    <n v="1.81829654987042"/>
  </r>
  <r>
    <x v="0"/>
    <x v="28"/>
    <x v="6"/>
    <x v="10"/>
    <s v="NL_A"/>
    <x v="17"/>
    <n v="9.1244895875632395"/>
    <n v="2.5345804409897901"/>
  </r>
  <r>
    <x v="0"/>
    <x v="28"/>
    <x v="6"/>
    <x v="10"/>
    <s v="NL_A"/>
    <x v="18"/>
    <n v="29.633696768848399"/>
    <n v="8.2315824357912195"/>
  </r>
  <r>
    <x v="0"/>
    <x v="28"/>
    <x v="6"/>
    <x v="10"/>
    <s v="NL_A"/>
    <x v="19"/>
    <n v="8.1139884009941898"/>
    <n v="2.2538856669428302"/>
  </r>
  <r>
    <x v="0"/>
    <x v="28"/>
    <x v="6"/>
    <x v="10"/>
    <s v="NL_A"/>
    <x v="20"/>
    <n v="22.109183021311601"/>
    <n v="6.1414397281420996"/>
  </r>
  <r>
    <x v="0"/>
    <x v="28"/>
    <x v="6"/>
    <x v="10"/>
    <s v="NL_A"/>
    <x v="21"/>
    <n v="48.24"/>
    <n v="13.4"/>
  </r>
  <r>
    <x v="0"/>
    <x v="28"/>
    <x v="6"/>
    <x v="10"/>
    <s v="NL_A"/>
    <x v="22"/>
    <n v="67.680000000000007"/>
    <n v="18.8"/>
  </r>
  <r>
    <x v="0"/>
    <x v="28"/>
    <x v="6"/>
    <x v="10"/>
    <s v="NL_A"/>
    <x v="23"/>
    <n v="0.31515896120488701"/>
    <n v="8.7544155890246306E-2"/>
  </r>
  <r>
    <x v="0"/>
    <x v="28"/>
    <x v="6"/>
    <x v="10"/>
    <s v="NL_A"/>
    <x v="24"/>
    <n v="19.174223581093901"/>
    <n v="5.32617321697054"/>
  </r>
  <r>
    <x v="0"/>
    <x v="28"/>
    <x v="6"/>
    <x v="10"/>
    <s v="NL_A"/>
    <x v="25"/>
    <n v="26.209507293842599"/>
    <n v="7.2804186927340497"/>
  </r>
  <r>
    <x v="0"/>
    <x v="28"/>
    <x v="6"/>
    <x v="10"/>
    <s v="NL_A"/>
    <x v="26"/>
    <n v="33.320887798496699"/>
    <n v="9.2558021662490795"/>
  </r>
  <r>
    <x v="0"/>
    <x v="28"/>
    <x v="6"/>
    <x v="10"/>
    <s v="NL_A"/>
    <x v="27"/>
    <n v="20.163995508318798"/>
    <n v="5.6011098634218799"/>
  </r>
  <r>
    <x v="0"/>
    <x v="28"/>
    <x v="6"/>
    <x v="10"/>
    <s v="NL_OFFSHORE"/>
    <x v="1"/>
    <n v="35.989199999999997"/>
    <n v="9.9969999999999999"/>
  </r>
  <r>
    <x v="0"/>
    <x v="28"/>
    <x v="6"/>
    <x v="10"/>
    <s v="NL_OFFSHORE"/>
    <x v="2"/>
    <n v="46.08"/>
    <n v="12.8"/>
  </r>
  <r>
    <x v="0"/>
    <x v="28"/>
    <x v="6"/>
    <x v="10"/>
    <s v="NL_OFFSHORE"/>
    <x v="0"/>
    <n v="42.692399999999999"/>
    <n v="11.859"/>
  </r>
  <r>
    <x v="0"/>
    <x v="28"/>
    <x v="6"/>
    <x v="10"/>
    <s v="NL_OFFSHORE"/>
    <x v="3"/>
    <n v="51.633543144067197"/>
    <n v="14.342650873352"/>
  </r>
  <r>
    <x v="0"/>
    <x v="28"/>
    <x v="6"/>
    <x v="10"/>
    <s v="NL_OFFSHORE"/>
    <x v="4"/>
    <n v="6.3500778790389401"/>
    <n v="1.76391052195526"/>
  </r>
  <r>
    <x v="0"/>
    <x v="28"/>
    <x v="6"/>
    <x v="10"/>
    <s v="NL_OFFSHORE"/>
    <x v="5"/>
    <n v="6.3500778790389401"/>
    <n v="1.76391052195526"/>
  </r>
  <r>
    <x v="0"/>
    <x v="28"/>
    <x v="6"/>
    <x v="10"/>
    <s v="NL_OFFSHORE"/>
    <x v="6"/>
    <n v="29.476231795214598"/>
    <n v="8.1878421653373898"/>
  </r>
  <r>
    <x v="0"/>
    <x v="28"/>
    <x v="6"/>
    <x v="10"/>
    <s v="NL_OFFSHORE"/>
    <x v="7"/>
    <n v="57.838935220261199"/>
    <n v="16.066370894517"/>
  </r>
  <r>
    <x v="0"/>
    <x v="28"/>
    <x v="6"/>
    <x v="10"/>
    <s v="NL_OFFSHORE"/>
    <x v="8"/>
    <n v="57.838935220261199"/>
    <n v="16.066370894517"/>
  </r>
  <r>
    <x v="0"/>
    <x v="28"/>
    <x v="6"/>
    <x v="10"/>
    <s v="NL_OFFSHORE"/>
    <x v="9"/>
    <n v="44.4505451532725"/>
    <n v="12.3473736536868"/>
  </r>
  <r>
    <x v="0"/>
    <x v="28"/>
    <x v="6"/>
    <x v="10"/>
    <s v="NL_OFFSHORE"/>
    <x v="10"/>
    <n v="53.975661971830903"/>
    <n v="14.993239436619699"/>
  </r>
  <r>
    <x v="0"/>
    <x v="28"/>
    <x v="6"/>
    <x v="10"/>
    <s v="NL_OFFSHORE"/>
    <x v="11"/>
    <n v="3.8806031483015802"/>
    <n v="1.07794531897266"/>
  </r>
  <r>
    <x v="0"/>
    <x v="28"/>
    <x v="6"/>
    <x v="10"/>
    <s v="NL_OFFSHORE"/>
    <x v="12"/>
    <n v="9.7995028997514597E-2"/>
    <n v="2.72208413881985E-2"/>
  </r>
  <r>
    <x v="0"/>
    <x v="28"/>
    <x v="6"/>
    <x v="10"/>
    <s v="NL_OFFSHORE"/>
    <x v="13"/>
    <n v="29.633696768848399"/>
    <n v="8.2315824357912195"/>
  </r>
  <r>
    <x v="0"/>
    <x v="28"/>
    <x v="6"/>
    <x v="10"/>
    <s v="NL_OFFSHORE"/>
    <x v="14"/>
    <n v="29.633696768848399"/>
    <n v="8.2315824357912195"/>
  </r>
  <r>
    <x v="0"/>
    <x v="28"/>
    <x v="6"/>
    <x v="10"/>
    <s v="NL_OFFSHORE"/>
    <x v="15"/>
    <n v="1.65807589063794"/>
    <n v="0.46057663628831802"/>
  </r>
  <r>
    <x v="0"/>
    <x v="28"/>
    <x v="6"/>
    <x v="10"/>
    <s v="NL_OFFSHORE"/>
    <x v="16"/>
    <n v="6.5458675795335104"/>
    <n v="1.81829654987042"/>
  </r>
  <r>
    <x v="0"/>
    <x v="28"/>
    <x v="6"/>
    <x v="10"/>
    <s v="NL_OFFSHORE"/>
    <x v="17"/>
    <n v="9.1244895875632395"/>
    <n v="2.5345804409897901"/>
  </r>
  <r>
    <x v="0"/>
    <x v="28"/>
    <x v="6"/>
    <x v="10"/>
    <s v="NL_OFFSHORE"/>
    <x v="18"/>
    <n v="29.633696768848399"/>
    <n v="8.2315824357912195"/>
  </r>
  <r>
    <x v="0"/>
    <x v="28"/>
    <x v="6"/>
    <x v="10"/>
    <s v="NL_OFFSHORE"/>
    <x v="19"/>
    <n v="8.1139884009941898"/>
    <n v="2.2538856669428302"/>
  </r>
  <r>
    <x v="0"/>
    <x v="28"/>
    <x v="6"/>
    <x v="10"/>
    <s v="NL_OFFSHORE"/>
    <x v="20"/>
    <n v="22.109183021311601"/>
    <n v="6.1414397281420996"/>
  </r>
  <r>
    <x v="0"/>
    <x v="28"/>
    <x v="6"/>
    <x v="10"/>
    <s v="NL_OFFSHORE"/>
    <x v="21"/>
    <n v="48.24"/>
    <n v="13.4"/>
  </r>
  <r>
    <x v="0"/>
    <x v="28"/>
    <x v="6"/>
    <x v="10"/>
    <s v="NL_OFFSHORE"/>
    <x v="22"/>
    <n v="67.680000000000007"/>
    <n v="18.8"/>
  </r>
  <r>
    <x v="0"/>
    <x v="28"/>
    <x v="6"/>
    <x v="10"/>
    <s v="NL_OFFSHORE"/>
    <x v="23"/>
    <n v="0.31515896120488701"/>
    <n v="8.7544155890246306E-2"/>
  </r>
  <r>
    <x v="0"/>
    <x v="28"/>
    <x v="6"/>
    <x v="10"/>
    <s v="NL_OFFSHORE"/>
    <x v="24"/>
    <n v="19.174223581093901"/>
    <n v="5.32617321697054"/>
  </r>
  <r>
    <x v="0"/>
    <x v="28"/>
    <x v="6"/>
    <x v="10"/>
    <s v="NL_OFFSHORE"/>
    <x v="25"/>
    <n v="26.209507293842599"/>
    <n v="7.2804186927340497"/>
  </r>
  <r>
    <x v="0"/>
    <x v="28"/>
    <x v="6"/>
    <x v="10"/>
    <s v="NL_OFFSHORE"/>
    <x v="26"/>
    <n v="33.320887798496699"/>
    <n v="9.2558021662490795"/>
  </r>
  <r>
    <x v="0"/>
    <x v="28"/>
    <x v="6"/>
    <x v="10"/>
    <s v="NL_OFFSHORE"/>
    <x v="27"/>
    <n v="20.163995508318798"/>
    <n v="5.6011098634218799"/>
  </r>
  <r>
    <x v="0"/>
    <x v="28"/>
    <x v="7"/>
    <x v="11"/>
    <s v="NO1_A1"/>
    <x v="1"/>
    <n v="35.989199999999997"/>
    <n v="9.9969999999999999"/>
  </r>
  <r>
    <x v="0"/>
    <x v="28"/>
    <x v="7"/>
    <x v="11"/>
    <s v="NO1_A1"/>
    <x v="2"/>
    <n v="46.08"/>
    <n v="12.8"/>
  </r>
  <r>
    <x v="0"/>
    <x v="28"/>
    <x v="7"/>
    <x v="11"/>
    <s v="NO1_A1"/>
    <x v="0"/>
    <n v="42.692399999999999"/>
    <n v="11.859"/>
  </r>
  <r>
    <x v="0"/>
    <x v="28"/>
    <x v="7"/>
    <x v="11"/>
    <s v="NO1_A1"/>
    <x v="3"/>
    <n v="51.633543144067197"/>
    <n v="14.342650873352"/>
  </r>
  <r>
    <x v="0"/>
    <x v="28"/>
    <x v="7"/>
    <x v="11"/>
    <s v="NO1_A1"/>
    <x v="4"/>
    <n v="6.3500778790389401"/>
    <n v="1.76391052195526"/>
  </r>
  <r>
    <x v="0"/>
    <x v="28"/>
    <x v="7"/>
    <x v="11"/>
    <s v="NO1_A1"/>
    <x v="5"/>
    <n v="6.3500778790389401"/>
    <n v="1.76391052195526"/>
  </r>
  <r>
    <x v="0"/>
    <x v="28"/>
    <x v="7"/>
    <x v="11"/>
    <s v="NO1_A1"/>
    <x v="6"/>
    <n v="29.476231795214598"/>
    <n v="8.1878421653373898"/>
  </r>
  <r>
    <x v="0"/>
    <x v="28"/>
    <x v="7"/>
    <x v="11"/>
    <s v="NO1_A1"/>
    <x v="7"/>
    <n v="57.838935220261199"/>
    <n v="16.066370894517"/>
  </r>
  <r>
    <x v="0"/>
    <x v="28"/>
    <x v="7"/>
    <x v="11"/>
    <s v="NO1_A1"/>
    <x v="8"/>
    <n v="57.838935220261199"/>
    <n v="16.066370894517"/>
  </r>
  <r>
    <x v="0"/>
    <x v="28"/>
    <x v="7"/>
    <x v="11"/>
    <s v="NO1_A1"/>
    <x v="9"/>
    <n v="44.4505451532725"/>
    <n v="12.3473736536868"/>
  </r>
  <r>
    <x v="0"/>
    <x v="28"/>
    <x v="7"/>
    <x v="11"/>
    <s v="NO1_A1"/>
    <x v="10"/>
    <n v="53.975661971830903"/>
    <n v="14.993239436619699"/>
  </r>
  <r>
    <x v="0"/>
    <x v="28"/>
    <x v="7"/>
    <x v="11"/>
    <s v="NO1_A1"/>
    <x v="11"/>
    <n v="3.8806031483015802"/>
    <n v="1.07794531897266"/>
  </r>
  <r>
    <x v="0"/>
    <x v="28"/>
    <x v="7"/>
    <x v="11"/>
    <s v="NO1_A1"/>
    <x v="12"/>
    <n v="9.7995028997514597E-2"/>
    <n v="2.72208413881985E-2"/>
  </r>
  <r>
    <x v="0"/>
    <x v="28"/>
    <x v="7"/>
    <x v="11"/>
    <s v="NO1_A1"/>
    <x v="13"/>
    <n v="29.633696768848399"/>
    <n v="8.2315824357912195"/>
  </r>
  <r>
    <x v="0"/>
    <x v="28"/>
    <x v="7"/>
    <x v="11"/>
    <s v="NO1_A1"/>
    <x v="14"/>
    <n v="29.633696768848399"/>
    <n v="8.2315824357912195"/>
  </r>
  <r>
    <x v="0"/>
    <x v="28"/>
    <x v="7"/>
    <x v="11"/>
    <s v="NO1_A1"/>
    <x v="15"/>
    <n v="1.65807589063794"/>
    <n v="0.46057663628831802"/>
  </r>
  <r>
    <x v="0"/>
    <x v="28"/>
    <x v="7"/>
    <x v="11"/>
    <s v="NO1_A1"/>
    <x v="16"/>
    <n v="6.5458675795335104"/>
    <n v="1.81829654987042"/>
  </r>
  <r>
    <x v="0"/>
    <x v="28"/>
    <x v="7"/>
    <x v="11"/>
    <s v="NO1_A1"/>
    <x v="17"/>
    <n v="9.1244895875632395"/>
    <n v="2.5345804409897901"/>
  </r>
  <r>
    <x v="0"/>
    <x v="28"/>
    <x v="7"/>
    <x v="11"/>
    <s v="NO1_A1"/>
    <x v="18"/>
    <n v="29.633696768848399"/>
    <n v="8.2315824357912195"/>
  </r>
  <r>
    <x v="0"/>
    <x v="28"/>
    <x v="7"/>
    <x v="11"/>
    <s v="NO1_A1"/>
    <x v="19"/>
    <n v="8.1139884009941898"/>
    <n v="2.2538856669428302"/>
  </r>
  <r>
    <x v="0"/>
    <x v="28"/>
    <x v="7"/>
    <x v="11"/>
    <s v="NO1_A1"/>
    <x v="20"/>
    <n v="22.109183021311601"/>
    <n v="6.1414397281420996"/>
  </r>
  <r>
    <x v="0"/>
    <x v="28"/>
    <x v="7"/>
    <x v="11"/>
    <s v="NO1_A1"/>
    <x v="21"/>
    <n v="48.24"/>
    <n v="13.4"/>
  </r>
  <r>
    <x v="0"/>
    <x v="28"/>
    <x v="7"/>
    <x v="11"/>
    <s v="NO1_A1"/>
    <x v="22"/>
    <n v="67.680000000000007"/>
    <n v="18.8"/>
  </r>
  <r>
    <x v="0"/>
    <x v="28"/>
    <x v="7"/>
    <x v="11"/>
    <s v="NO1_A1"/>
    <x v="23"/>
    <n v="0.31515896120488701"/>
    <n v="8.7544155890246306E-2"/>
  </r>
  <r>
    <x v="0"/>
    <x v="28"/>
    <x v="7"/>
    <x v="11"/>
    <s v="NO1_A1"/>
    <x v="24"/>
    <n v="19.174223581093901"/>
    <n v="5.32617321697054"/>
  </r>
  <r>
    <x v="0"/>
    <x v="28"/>
    <x v="7"/>
    <x v="11"/>
    <s v="NO1_A1"/>
    <x v="25"/>
    <n v="26.209507293842599"/>
    <n v="7.2804186927340497"/>
  </r>
  <r>
    <x v="0"/>
    <x v="28"/>
    <x v="7"/>
    <x v="11"/>
    <s v="NO1_A1"/>
    <x v="26"/>
    <n v="33.320887798496699"/>
    <n v="9.2558021662490795"/>
  </r>
  <r>
    <x v="0"/>
    <x v="28"/>
    <x v="7"/>
    <x v="11"/>
    <s v="NO1_A1"/>
    <x v="27"/>
    <n v="20.163995508318798"/>
    <n v="5.6011098634218799"/>
  </r>
  <r>
    <x v="0"/>
    <x v="28"/>
    <x v="7"/>
    <x v="11"/>
    <s v="NO1_A2"/>
    <x v="1"/>
    <n v="35.989199999999997"/>
    <n v="9.9969999999999999"/>
  </r>
  <r>
    <x v="0"/>
    <x v="28"/>
    <x v="7"/>
    <x v="11"/>
    <s v="NO1_A2"/>
    <x v="2"/>
    <n v="46.08"/>
    <n v="12.8"/>
  </r>
  <r>
    <x v="0"/>
    <x v="28"/>
    <x v="7"/>
    <x v="11"/>
    <s v="NO1_A2"/>
    <x v="0"/>
    <n v="42.692399999999999"/>
    <n v="11.859"/>
  </r>
  <r>
    <x v="0"/>
    <x v="28"/>
    <x v="7"/>
    <x v="11"/>
    <s v="NO1_A2"/>
    <x v="3"/>
    <n v="51.633543144067197"/>
    <n v="14.342650873352"/>
  </r>
  <r>
    <x v="0"/>
    <x v="28"/>
    <x v="7"/>
    <x v="11"/>
    <s v="NO1_A2"/>
    <x v="4"/>
    <n v="6.3500778790389401"/>
    <n v="1.76391052195526"/>
  </r>
  <r>
    <x v="0"/>
    <x v="28"/>
    <x v="7"/>
    <x v="11"/>
    <s v="NO1_A2"/>
    <x v="5"/>
    <n v="6.3500778790389401"/>
    <n v="1.76391052195526"/>
  </r>
  <r>
    <x v="0"/>
    <x v="28"/>
    <x v="7"/>
    <x v="11"/>
    <s v="NO1_A2"/>
    <x v="6"/>
    <n v="29.476231795214598"/>
    <n v="8.1878421653373898"/>
  </r>
  <r>
    <x v="0"/>
    <x v="28"/>
    <x v="7"/>
    <x v="11"/>
    <s v="NO1_A2"/>
    <x v="7"/>
    <n v="57.838935220261199"/>
    <n v="16.066370894517"/>
  </r>
  <r>
    <x v="0"/>
    <x v="28"/>
    <x v="7"/>
    <x v="11"/>
    <s v="NO1_A2"/>
    <x v="8"/>
    <n v="57.838935220261199"/>
    <n v="16.066370894517"/>
  </r>
  <r>
    <x v="0"/>
    <x v="28"/>
    <x v="7"/>
    <x v="11"/>
    <s v="NO1_A2"/>
    <x v="9"/>
    <n v="44.4505451532725"/>
    <n v="12.3473736536868"/>
  </r>
  <r>
    <x v="0"/>
    <x v="28"/>
    <x v="7"/>
    <x v="11"/>
    <s v="NO1_A2"/>
    <x v="10"/>
    <n v="53.975661971830903"/>
    <n v="14.993239436619699"/>
  </r>
  <r>
    <x v="0"/>
    <x v="28"/>
    <x v="7"/>
    <x v="11"/>
    <s v="NO1_A2"/>
    <x v="11"/>
    <n v="3.8806031483015802"/>
    <n v="1.07794531897266"/>
  </r>
  <r>
    <x v="0"/>
    <x v="28"/>
    <x v="7"/>
    <x v="11"/>
    <s v="NO1_A2"/>
    <x v="12"/>
    <n v="9.7995028997514597E-2"/>
    <n v="2.72208413881985E-2"/>
  </r>
  <r>
    <x v="0"/>
    <x v="28"/>
    <x v="7"/>
    <x v="11"/>
    <s v="NO1_A2"/>
    <x v="13"/>
    <n v="29.633696768848399"/>
    <n v="8.2315824357912195"/>
  </r>
  <r>
    <x v="0"/>
    <x v="28"/>
    <x v="7"/>
    <x v="11"/>
    <s v="NO1_A2"/>
    <x v="14"/>
    <n v="29.633696768848399"/>
    <n v="8.2315824357912195"/>
  </r>
  <r>
    <x v="0"/>
    <x v="28"/>
    <x v="7"/>
    <x v="11"/>
    <s v="NO1_A2"/>
    <x v="15"/>
    <n v="1.65807589063794"/>
    <n v="0.46057663628831802"/>
  </r>
  <r>
    <x v="0"/>
    <x v="28"/>
    <x v="7"/>
    <x v="11"/>
    <s v="NO1_A2"/>
    <x v="16"/>
    <n v="6.5458675795335104"/>
    <n v="1.81829654987042"/>
  </r>
  <r>
    <x v="0"/>
    <x v="28"/>
    <x v="7"/>
    <x v="11"/>
    <s v="NO1_A2"/>
    <x v="17"/>
    <n v="9.1244895875632395"/>
    <n v="2.5345804409897901"/>
  </r>
  <r>
    <x v="0"/>
    <x v="28"/>
    <x v="7"/>
    <x v="11"/>
    <s v="NO1_A2"/>
    <x v="18"/>
    <n v="29.633696768848399"/>
    <n v="8.2315824357912195"/>
  </r>
  <r>
    <x v="0"/>
    <x v="28"/>
    <x v="7"/>
    <x v="11"/>
    <s v="NO1_A2"/>
    <x v="19"/>
    <n v="8.1139884009941898"/>
    <n v="2.2538856669428302"/>
  </r>
  <r>
    <x v="0"/>
    <x v="28"/>
    <x v="7"/>
    <x v="11"/>
    <s v="NO1_A2"/>
    <x v="20"/>
    <n v="22.109183021311601"/>
    <n v="6.1414397281420996"/>
  </r>
  <r>
    <x v="0"/>
    <x v="28"/>
    <x v="7"/>
    <x v="11"/>
    <s v="NO1_A2"/>
    <x v="21"/>
    <n v="48.24"/>
    <n v="13.4"/>
  </r>
  <r>
    <x v="0"/>
    <x v="28"/>
    <x v="7"/>
    <x v="11"/>
    <s v="NO1_A2"/>
    <x v="22"/>
    <n v="67.680000000000007"/>
    <n v="18.8"/>
  </r>
  <r>
    <x v="0"/>
    <x v="28"/>
    <x v="7"/>
    <x v="11"/>
    <s v="NO1_A2"/>
    <x v="23"/>
    <n v="0.31515896120488701"/>
    <n v="8.7544155890246306E-2"/>
  </r>
  <r>
    <x v="0"/>
    <x v="28"/>
    <x v="7"/>
    <x v="11"/>
    <s v="NO1_A2"/>
    <x v="24"/>
    <n v="19.174223581093901"/>
    <n v="5.32617321697054"/>
  </r>
  <r>
    <x v="0"/>
    <x v="28"/>
    <x v="7"/>
    <x v="11"/>
    <s v="NO1_A2"/>
    <x v="25"/>
    <n v="26.209507293842599"/>
    <n v="7.2804186927340497"/>
  </r>
  <r>
    <x v="0"/>
    <x v="28"/>
    <x v="7"/>
    <x v="11"/>
    <s v="NO1_A2"/>
    <x v="26"/>
    <n v="33.320887798496699"/>
    <n v="9.2558021662490795"/>
  </r>
  <r>
    <x v="0"/>
    <x v="28"/>
    <x v="7"/>
    <x v="11"/>
    <s v="NO1_A2"/>
    <x v="27"/>
    <n v="20.163995508318798"/>
    <n v="5.6011098634218799"/>
  </r>
  <r>
    <x v="0"/>
    <x v="28"/>
    <x v="7"/>
    <x v="11"/>
    <s v="NO1_A3"/>
    <x v="1"/>
    <n v="35.989199999999997"/>
    <n v="9.9969999999999999"/>
  </r>
  <r>
    <x v="0"/>
    <x v="28"/>
    <x v="7"/>
    <x v="11"/>
    <s v="NO1_A3"/>
    <x v="2"/>
    <n v="46.08"/>
    <n v="12.8"/>
  </r>
  <r>
    <x v="0"/>
    <x v="28"/>
    <x v="7"/>
    <x v="11"/>
    <s v="NO1_A3"/>
    <x v="0"/>
    <n v="42.692399999999999"/>
    <n v="11.859"/>
  </r>
  <r>
    <x v="0"/>
    <x v="28"/>
    <x v="7"/>
    <x v="11"/>
    <s v="NO1_A3"/>
    <x v="3"/>
    <n v="51.633543144067197"/>
    <n v="14.342650873352"/>
  </r>
  <r>
    <x v="0"/>
    <x v="28"/>
    <x v="7"/>
    <x v="11"/>
    <s v="NO1_A3"/>
    <x v="4"/>
    <n v="6.3500778790389401"/>
    <n v="1.76391052195526"/>
  </r>
  <r>
    <x v="0"/>
    <x v="28"/>
    <x v="7"/>
    <x v="11"/>
    <s v="NO1_A3"/>
    <x v="5"/>
    <n v="6.3500778790389401"/>
    <n v="1.76391052195526"/>
  </r>
  <r>
    <x v="0"/>
    <x v="28"/>
    <x v="7"/>
    <x v="11"/>
    <s v="NO1_A3"/>
    <x v="6"/>
    <n v="29.476231795214598"/>
    <n v="8.1878421653373898"/>
  </r>
  <r>
    <x v="0"/>
    <x v="28"/>
    <x v="7"/>
    <x v="11"/>
    <s v="NO1_A3"/>
    <x v="7"/>
    <n v="57.838935220261199"/>
    <n v="16.066370894517"/>
  </r>
  <r>
    <x v="0"/>
    <x v="28"/>
    <x v="7"/>
    <x v="11"/>
    <s v="NO1_A3"/>
    <x v="8"/>
    <n v="57.838935220261199"/>
    <n v="16.066370894517"/>
  </r>
  <r>
    <x v="0"/>
    <x v="28"/>
    <x v="7"/>
    <x v="11"/>
    <s v="NO1_A3"/>
    <x v="9"/>
    <n v="44.4505451532725"/>
    <n v="12.3473736536868"/>
  </r>
  <r>
    <x v="0"/>
    <x v="28"/>
    <x v="7"/>
    <x v="11"/>
    <s v="NO1_A3"/>
    <x v="10"/>
    <n v="53.975661971830903"/>
    <n v="14.993239436619699"/>
  </r>
  <r>
    <x v="0"/>
    <x v="28"/>
    <x v="7"/>
    <x v="11"/>
    <s v="NO1_A3"/>
    <x v="11"/>
    <n v="3.8806031483015802"/>
    <n v="1.07794531897266"/>
  </r>
  <r>
    <x v="0"/>
    <x v="28"/>
    <x v="7"/>
    <x v="11"/>
    <s v="NO1_A3"/>
    <x v="12"/>
    <n v="9.7995028997514597E-2"/>
    <n v="2.72208413881985E-2"/>
  </r>
  <r>
    <x v="0"/>
    <x v="28"/>
    <x v="7"/>
    <x v="11"/>
    <s v="NO1_A3"/>
    <x v="13"/>
    <n v="29.633696768848399"/>
    <n v="8.2315824357912195"/>
  </r>
  <r>
    <x v="0"/>
    <x v="28"/>
    <x v="7"/>
    <x v="11"/>
    <s v="NO1_A3"/>
    <x v="14"/>
    <n v="29.633696768848399"/>
    <n v="8.2315824357912195"/>
  </r>
  <r>
    <x v="0"/>
    <x v="28"/>
    <x v="7"/>
    <x v="11"/>
    <s v="NO1_A3"/>
    <x v="15"/>
    <n v="1.65807589063794"/>
    <n v="0.46057663628831802"/>
  </r>
  <r>
    <x v="0"/>
    <x v="28"/>
    <x v="7"/>
    <x v="11"/>
    <s v="NO1_A3"/>
    <x v="16"/>
    <n v="6.5458675795335104"/>
    <n v="1.81829654987042"/>
  </r>
  <r>
    <x v="0"/>
    <x v="28"/>
    <x v="7"/>
    <x v="11"/>
    <s v="NO1_A3"/>
    <x v="17"/>
    <n v="9.1244895875632395"/>
    <n v="2.5345804409897901"/>
  </r>
  <r>
    <x v="0"/>
    <x v="28"/>
    <x v="7"/>
    <x v="11"/>
    <s v="NO1_A3"/>
    <x v="18"/>
    <n v="29.633696768848399"/>
    <n v="8.2315824357912195"/>
  </r>
  <r>
    <x v="0"/>
    <x v="28"/>
    <x v="7"/>
    <x v="11"/>
    <s v="NO1_A3"/>
    <x v="19"/>
    <n v="8.1139884009941898"/>
    <n v="2.2538856669428302"/>
  </r>
  <r>
    <x v="0"/>
    <x v="28"/>
    <x v="7"/>
    <x v="11"/>
    <s v="NO1_A3"/>
    <x v="20"/>
    <n v="22.109183021311601"/>
    <n v="6.1414397281420996"/>
  </r>
  <r>
    <x v="0"/>
    <x v="28"/>
    <x v="7"/>
    <x v="11"/>
    <s v="NO1_A3"/>
    <x v="21"/>
    <n v="48.24"/>
    <n v="13.4"/>
  </r>
  <r>
    <x v="0"/>
    <x v="28"/>
    <x v="7"/>
    <x v="11"/>
    <s v="NO1_A3"/>
    <x v="22"/>
    <n v="67.680000000000007"/>
    <n v="18.8"/>
  </r>
  <r>
    <x v="0"/>
    <x v="28"/>
    <x v="7"/>
    <x v="11"/>
    <s v="NO1_A3"/>
    <x v="23"/>
    <n v="0.31515896120488701"/>
    <n v="8.7544155890246306E-2"/>
  </r>
  <r>
    <x v="0"/>
    <x v="28"/>
    <x v="7"/>
    <x v="11"/>
    <s v="NO1_A3"/>
    <x v="24"/>
    <n v="19.174223581093901"/>
    <n v="5.32617321697054"/>
  </r>
  <r>
    <x v="0"/>
    <x v="28"/>
    <x v="7"/>
    <x v="11"/>
    <s v="NO1_A3"/>
    <x v="25"/>
    <n v="26.209507293842599"/>
    <n v="7.2804186927340497"/>
  </r>
  <r>
    <x v="0"/>
    <x v="28"/>
    <x v="7"/>
    <x v="11"/>
    <s v="NO1_A3"/>
    <x v="26"/>
    <n v="33.320887798496699"/>
    <n v="9.2558021662490795"/>
  </r>
  <r>
    <x v="0"/>
    <x v="28"/>
    <x v="7"/>
    <x v="11"/>
    <s v="NO1_A3"/>
    <x v="27"/>
    <n v="20.163995508318798"/>
    <n v="5.6011098634218799"/>
  </r>
  <r>
    <x v="0"/>
    <x v="28"/>
    <x v="7"/>
    <x v="11"/>
    <s v="NO1_Offshore"/>
    <x v="1"/>
    <n v="35.989199999999997"/>
    <n v="9.9969999999999999"/>
  </r>
  <r>
    <x v="0"/>
    <x v="28"/>
    <x v="7"/>
    <x v="11"/>
    <s v="NO1_Offshore"/>
    <x v="2"/>
    <n v="46.08"/>
    <n v="12.8"/>
  </r>
  <r>
    <x v="0"/>
    <x v="28"/>
    <x v="7"/>
    <x v="11"/>
    <s v="NO1_Offshore"/>
    <x v="0"/>
    <n v="42.692399999999999"/>
    <n v="11.859"/>
  </r>
  <r>
    <x v="0"/>
    <x v="28"/>
    <x v="7"/>
    <x v="11"/>
    <s v="NO1_Offshore"/>
    <x v="3"/>
    <n v="51.633543144067197"/>
    <n v="14.342650873352"/>
  </r>
  <r>
    <x v="0"/>
    <x v="28"/>
    <x v="7"/>
    <x v="11"/>
    <s v="NO1_Offshore"/>
    <x v="4"/>
    <n v="6.3500778790389401"/>
    <n v="1.76391052195526"/>
  </r>
  <r>
    <x v="0"/>
    <x v="28"/>
    <x v="7"/>
    <x v="11"/>
    <s v="NO1_Offshore"/>
    <x v="5"/>
    <n v="6.3500778790389401"/>
    <n v="1.76391052195526"/>
  </r>
  <r>
    <x v="0"/>
    <x v="28"/>
    <x v="7"/>
    <x v="11"/>
    <s v="NO1_Offshore"/>
    <x v="6"/>
    <n v="29.476231795214598"/>
    <n v="8.1878421653373898"/>
  </r>
  <r>
    <x v="0"/>
    <x v="28"/>
    <x v="7"/>
    <x v="11"/>
    <s v="NO1_Offshore"/>
    <x v="7"/>
    <n v="57.838935220261199"/>
    <n v="16.066370894517"/>
  </r>
  <r>
    <x v="0"/>
    <x v="28"/>
    <x v="7"/>
    <x v="11"/>
    <s v="NO1_Offshore"/>
    <x v="8"/>
    <n v="57.838935220261199"/>
    <n v="16.066370894517"/>
  </r>
  <r>
    <x v="0"/>
    <x v="28"/>
    <x v="7"/>
    <x v="11"/>
    <s v="NO1_Offshore"/>
    <x v="9"/>
    <n v="44.4505451532725"/>
    <n v="12.3473736536868"/>
  </r>
  <r>
    <x v="0"/>
    <x v="28"/>
    <x v="7"/>
    <x v="11"/>
    <s v="NO1_Offshore"/>
    <x v="10"/>
    <n v="53.975661971830903"/>
    <n v="14.993239436619699"/>
  </r>
  <r>
    <x v="0"/>
    <x v="28"/>
    <x v="7"/>
    <x v="11"/>
    <s v="NO1_Offshore"/>
    <x v="11"/>
    <n v="3.8806031483015802"/>
    <n v="1.07794531897266"/>
  </r>
  <r>
    <x v="0"/>
    <x v="28"/>
    <x v="7"/>
    <x v="11"/>
    <s v="NO1_Offshore"/>
    <x v="12"/>
    <n v="9.7995028997514597E-2"/>
    <n v="2.72208413881985E-2"/>
  </r>
  <r>
    <x v="0"/>
    <x v="28"/>
    <x v="7"/>
    <x v="11"/>
    <s v="NO1_Offshore"/>
    <x v="13"/>
    <n v="29.633696768848399"/>
    <n v="8.2315824357912195"/>
  </r>
  <r>
    <x v="0"/>
    <x v="28"/>
    <x v="7"/>
    <x v="11"/>
    <s v="NO1_Offshore"/>
    <x v="14"/>
    <n v="29.633696768848399"/>
    <n v="8.2315824357912195"/>
  </r>
  <r>
    <x v="0"/>
    <x v="28"/>
    <x v="7"/>
    <x v="11"/>
    <s v="NO1_Offshore"/>
    <x v="15"/>
    <n v="1.65807589063794"/>
    <n v="0.46057663628831802"/>
  </r>
  <r>
    <x v="0"/>
    <x v="28"/>
    <x v="7"/>
    <x v="11"/>
    <s v="NO1_Offshore"/>
    <x v="16"/>
    <n v="6.5458675795335104"/>
    <n v="1.81829654987042"/>
  </r>
  <r>
    <x v="0"/>
    <x v="28"/>
    <x v="7"/>
    <x v="11"/>
    <s v="NO1_Offshore"/>
    <x v="17"/>
    <n v="9.1244895875632395"/>
    <n v="2.5345804409897901"/>
  </r>
  <r>
    <x v="0"/>
    <x v="28"/>
    <x v="7"/>
    <x v="11"/>
    <s v="NO1_Offshore"/>
    <x v="18"/>
    <n v="29.633696768848399"/>
    <n v="8.2315824357912195"/>
  </r>
  <r>
    <x v="0"/>
    <x v="28"/>
    <x v="7"/>
    <x v="11"/>
    <s v="NO1_Offshore"/>
    <x v="19"/>
    <n v="8.1139884009941898"/>
    <n v="2.2538856669428302"/>
  </r>
  <r>
    <x v="0"/>
    <x v="28"/>
    <x v="7"/>
    <x v="11"/>
    <s v="NO1_Offshore"/>
    <x v="20"/>
    <n v="22.109183021311601"/>
    <n v="6.1414397281420996"/>
  </r>
  <r>
    <x v="0"/>
    <x v="28"/>
    <x v="7"/>
    <x v="11"/>
    <s v="NO1_Offshore"/>
    <x v="21"/>
    <n v="48.24"/>
    <n v="13.4"/>
  </r>
  <r>
    <x v="0"/>
    <x v="28"/>
    <x v="7"/>
    <x v="11"/>
    <s v="NO1_Offshore"/>
    <x v="22"/>
    <n v="67.680000000000007"/>
    <n v="18.8"/>
  </r>
  <r>
    <x v="0"/>
    <x v="28"/>
    <x v="7"/>
    <x v="11"/>
    <s v="NO1_Offshore"/>
    <x v="23"/>
    <n v="0.31515896120488701"/>
    <n v="8.7544155890246306E-2"/>
  </r>
  <r>
    <x v="0"/>
    <x v="28"/>
    <x v="7"/>
    <x v="11"/>
    <s v="NO1_Offshore"/>
    <x v="24"/>
    <n v="19.174223581093901"/>
    <n v="5.32617321697054"/>
  </r>
  <r>
    <x v="0"/>
    <x v="28"/>
    <x v="7"/>
    <x v="11"/>
    <s v="NO1_Offshore"/>
    <x v="25"/>
    <n v="26.209507293842599"/>
    <n v="7.2804186927340497"/>
  </r>
  <r>
    <x v="0"/>
    <x v="28"/>
    <x v="7"/>
    <x v="11"/>
    <s v="NO1_Offshore"/>
    <x v="26"/>
    <n v="33.320887798496699"/>
    <n v="9.2558021662490795"/>
  </r>
  <r>
    <x v="0"/>
    <x v="28"/>
    <x v="7"/>
    <x v="11"/>
    <s v="NO1_Offshore"/>
    <x v="27"/>
    <n v="20.163995508318798"/>
    <n v="5.6011098634218799"/>
  </r>
  <r>
    <x v="0"/>
    <x v="28"/>
    <x v="7"/>
    <x v="12"/>
    <s v="NO2_A1"/>
    <x v="1"/>
    <n v="35.989199999999997"/>
    <n v="9.9969999999999999"/>
  </r>
  <r>
    <x v="0"/>
    <x v="28"/>
    <x v="7"/>
    <x v="12"/>
    <s v="NO2_A1"/>
    <x v="2"/>
    <n v="46.08"/>
    <n v="12.8"/>
  </r>
  <r>
    <x v="0"/>
    <x v="28"/>
    <x v="7"/>
    <x v="12"/>
    <s v="NO2_A1"/>
    <x v="0"/>
    <n v="42.692399999999999"/>
    <n v="11.859"/>
  </r>
  <r>
    <x v="0"/>
    <x v="28"/>
    <x v="7"/>
    <x v="12"/>
    <s v="NO2_A1"/>
    <x v="3"/>
    <n v="51.633543144067197"/>
    <n v="14.342650873352"/>
  </r>
  <r>
    <x v="0"/>
    <x v="28"/>
    <x v="7"/>
    <x v="12"/>
    <s v="NO2_A1"/>
    <x v="4"/>
    <n v="6.3500778790389401"/>
    <n v="1.76391052195526"/>
  </r>
  <r>
    <x v="0"/>
    <x v="28"/>
    <x v="7"/>
    <x v="12"/>
    <s v="NO2_A1"/>
    <x v="5"/>
    <n v="6.3500778790389401"/>
    <n v="1.76391052195526"/>
  </r>
  <r>
    <x v="0"/>
    <x v="28"/>
    <x v="7"/>
    <x v="12"/>
    <s v="NO2_A1"/>
    <x v="6"/>
    <n v="29.476231795214598"/>
    <n v="8.1878421653373898"/>
  </r>
  <r>
    <x v="0"/>
    <x v="28"/>
    <x v="7"/>
    <x v="12"/>
    <s v="NO2_A1"/>
    <x v="7"/>
    <n v="57.838935220261199"/>
    <n v="16.066370894517"/>
  </r>
  <r>
    <x v="0"/>
    <x v="28"/>
    <x v="7"/>
    <x v="12"/>
    <s v="NO2_A1"/>
    <x v="8"/>
    <n v="57.838935220261199"/>
    <n v="16.066370894517"/>
  </r>
  <r>
    <x v="0"/>
    <x v="28"/>
    <x v="7"/>
    <x v="12"/>
    <s v="NO2_A1"/>
    <x v="9"/>
    <n v="44.4505451532725"/>
    <n v="12.3473736536868"/>
  </r>
  <r>
    <x v="0"/>
    <x v="28"/>
    <x v="7"/>
    <x v="12"/>
    <s v="NO2_A1"/>
    <x v="10"/>
    <n v="53.975661971830903"/>
    <n v="14.993239436619699"/>
  </r>
  <r>
    <x v="0"/>
    <x v="28"/>
    <x v="7"/>
    <x v="12"/>
    <s v="NO2_A1"/>
    <x v="11"/>
    <n v="3.8806031483015802"/>
    <n v="1.07794531897266"/>
  </r>
  <r>
    <x v="0"/>
    <x v="28"/>
    <x v="7"/>
    <x v="12"/>
    <s v="NO2_A1"/>
    <x v="12"/>
    <n v="9.7995028997514597E-2"/>
    <n v="2.72208413881985E-2"/>
  </r>
  <r>
    <x v="0"/>
    <x v="28"/>
    <x v="7"/>
    <x v="12"/>
    <s v="NO2_A1"/>
    <x v="13"/>
    <n v="29.633696768848399"/>
    <n v="8.2315824357912195"/>
  </r>
  <r>
    <x v="0"/>
    <x v="28"/>
    <x v="7"/>
    <x v="12"/>
    <s v="NO2_A1"/>
    <x v="14"/>
    <n v="29.633696768848399"/>
    <n v="8.2315824357912195"/>
  </r>
  <r>
    <x v="0"/>
    <x v="28"/>
    <x v="7"/>
    <x v="12"/>
    <s v="NO2_A1"/>
    <x v="15"/>
    <n v="1.65807589063794"/>
    <n v="0.46057663628831802"/>
  </r>
  <r>
    <x v="0"/>
    <x v="28"/>
    <x v="7"/>
    <x v="12"/>
    <s v="NO2_A1"/>
    <x v="16"/>
    <n v="6.5458675795335104"/>
    <n v="1.81829654987042"/>
  </r>
  <r>
    <x v="0"/>
    <x v="28"/>
    <x v="7"/>
    <x v="12"/>
    <s v="NO2_A1"/>
    <x v="17"/>
    <n v="9.1244895875632395"/>
    <n v="2.5345804409897901"/>
  </r>
  <r>
    <x v="0"/>
    <x v="28"/>
    <x v="7"/>
    <x v="12"/>
    <s v="NO2_A1"/>
    <x v="18"/>
    <n v="29.633696768848399"/>
    <n v="8.2315824357912195"/>
  </r>
  <r>
    <x v="0"/>
    <x v="28"/>
    <x v="7"/>
    <x v="12"/>
    <s v="NO2_A1"/>
    <x v="19"/>
    <n v="8.1139884009941898"/>
    <n v="2.2538856669428302"/>
  </r>
  <r>
    <x v="0"/>
    <x v="28"/>
    <x v="7"/>
    <x v="12"/>
    <s v="NO2_A1"/>
    <x v="20"/>
    <n v="22.109183021311601"/>
    <n v="6.1414397281420996"/>
  </r>
  <r>
    <x v="0"/>
    <x v="28"/>
    <x v="7"/>
    <x v="12"/>
    <s v="NO2_A1"/>
    <x v="21"/>
    <n v="48.24"/>
    <n v="13.4"/>
  </r>
  <r>
    <x v="0"/>
    <x v="28"/>
    <x v="7"/>
    <x v="12"/>
    <s v="NO2_A1"/>
    <x v="22"/>
    <n v="67.680000000000007"/>
    <n v="18.8"/>
  </r>
  <r>
    <x v="0"/>
    <x v="28"/>
    <x v="7"/>
    <x v="12"/>
    <s v="NO2_A1"/>
    <x v="23"/>
    <n v="0.31515896120488701"/>
    <n v="8.7544155890246306E-2"/>
  </r>
  <r>
    <x v="0"/>
    <x v="28"/>
    <x v="7"/>
    <x v="12"/>
    <s v="NO2_A1"/>
    <x v="24"/>
    <n v="19.174223581093901"/>
    <n v="5.32617321697054"/>
  </r>
  <r>
    <x v="0"/>
    <x v="28"/>
    <x v="7"/>
    <x v="12"/>
    <s v="NO2_A1"/>
    <x v="25"/>
    <n v="26.209507293842599"/>
    <n v="7.2804186927340497"/>
  </r>
  <r>
    <x v="0"/>
    <x v="28"/>
    <x v="7"/>
    <x v="12"/>
    <s v="NO2_A1"/>
    <x v="26"/>
    <n v="33.320887798496699"/>
    <n v="9.2558021662490795"/>
  </r>
  <r>
    <x v="0"/>
    <x v="28"/>
    <x v="7"/>
    <x v="12"/>
    <s v="NO2_A1"/>
    <x v="27"/>
    <n v="20.163995508318798"/>
    <n v="5.6011098634218799"/>
  </r>
  <r>
    <x v="0"/>
    <x v="28"/>
    <x v="7"/>
    <x v="12"/>
    <s v="NO2_A2"/>
    <x v="1"/>
    <n v="35.989199999999997"/>
    <n v="9.9969999999999999"/>
  </r>
  <r>
    <x v="0"/>
    <x v="28"/>
    <x v="7"/>
    <x v="12"/>
    <s v="NO2_A2"/>
    <x v="2"/>
    <n v="46.08"/>
    <n v="12.8"/>
  </r>
  <r>
    <x v="0"/>
    <x v="28"/>
    <x v="7"/>
    <x v="12"/>
    <s v="NO2_A2"/>
    <x v="0"/>
    <n v="42.692399999999999"/>
    <n v="11.859"/>
  </r>
  <r>
    <x v="0"/>
    <x v="28"/>
    <x v="7"/>
    <x v="12"/>
    <s v="NO2_A2"/>
    <x v="3"/>
    <n v="51.633543144067197"/>
    <n v="14.342650873352"/>
  </r>
  <r>
    <x v="0"/>
    <x v="28"/>
    <x v="7"/>
    <x v="12"/>
    <s v="NO2_A2"/>
    <x v="4"/>
    <n v="6.3500778790389401"/>
    <n v="1.76391052195526"/>
  </r>
  <r>
    <x v="0"/>
    <x v="28"/>
    <x v="7"/>
    <x v="12"/>
    <s v="NO2_A2"/>
    <x v="5"/>
    <n v="6.3500778790389401"/>
    <n v="1.76391052195526"/>
  </r>
  <r>
    <x v="0"/>
    <x v="28"/>
    <x v="7"/>
    <x v="12"/>
    <s v="NO2_A2"/>
    <x v="6"/>
    <n v="29.476231795214598"/>
    <n v="8.1878421653373898"/>
  </r>
  <r>
    <x v="0"/>
    <x v="28"/>
    <x v="7"/>
    <x v="12"/>
    <s v="NO2_A2"/>
    <x v="7"/>
    <n v="57.838935220261199"/>
    <n v="16.066370894517"/>
  </r>
  <r>
    <x v="0"/>
    <x v="28"/>
    <x v="7"/>
    <x v="12"/>
    <s v="NO2_A2"/>
    <x v="8"/>
    <n v="57.838935220261199"/>
    <n v="16.066370894517"/>
  </r>
  <r>
    <x v="0"/>
    <x v="28"/>
    <x v="7"/>
    <x v="12"/>
    <s v="NO2_A2"/>
    <x v="9"/>
    <n v="44.4505451532725"/>
    <n v="12.3473736536868"/>
  </r>
  <r>
    <x v="0"/>
    <x v="28"/>
    <x v="7"/>
    <x v="12"/>
    <s v="NO2_A2"/>
    <x v="10"/>
    <n v="53.975661971830903"/>
    <n v="14.993239436619699"/>
  </r>
  <r>
    <x v="0"/>
    <x v="28"/>
    <x v="7"/>
    <x v="12"/>
    <s v="NO2_A2"/>
    <x v="11"/>
    <n v="3.8806031483015802"/>
    <n v="1.07794531897266"/>
  </r>
  <r>
    <x v="0"/>
    <x v="28"/>
    <x v="7"/>
    <x v="12"/>
    <s v="NO2_A2"/>
    <x v="12"/>
    <n v="9.7995028997514597E-2"/>
    <n v="2.72208413881985E-2"/>
  </r>
  <r>
    <x v="0"/>
    <x v="28"/>
    <x v="7"/>
    <x v="12"/>
    <s v="NO2_A2"/>
    <x v="13"/>
    <n v="29.633696768848399"/>
    <n v="8.2315824357912195"/>
  </r>
  <r>
    <x v="0"/>
    <x v="28"/>
    <x v="7"/>
    <x v="12"/>
    <s v="NO2_A2"/>
    <x v="14"/>
    <n v="29.633696768848399"/>
    <n v="8.2315824357912195"/>
  </r>
  <r>
    <x v="0"/>
    <x v="28"/>
    <x v="7"/>
    <x v="12"/>
    <s v="NO2_A2"/>
    <x v="15"/>
    <n v="1.65807589063794"/>
    <n v="0.46057663628831802"/>
  </r>
  <r>
    <x v="0"/>
    <x v="28"/>
    <x v="7"/>
    <x v="12"/>
    <s v="NO2_A2"/>
    <x v="16"/>
    <n v="6.5458675795335104"/>
    <n v="1.81829654987042"/>
  </r>
  <r>
    <x v="0"/>
    <x v="28"/>
    <x v="7"/>
    <x v="12"/>
    <s v="NO2_A2"/>
    <x v="17"/>
    <n v="9.1244895875632395"/>
    <n v="2.5345804409897901"/>
  </r>
  <r>
    <x v="0"/>
    <x v="28"/>
    <x v="7"/>
    <x v="12"/>
    <s v="NO2_A2"/>
    <x v="18"/>
    <n v="29.633696768848399"/>
    <n v="8.2315824357912195"/>
  </r>
  <r>
    <x v="0"/>
    <x v="28"/>
    <x v="7"/>
    <x v="12"/>
    <s v="NO2_A2"/>
    <x v="19"/>
    <n v="8.1139884009941898"/>
    <n v="2.2538856669428302"/>
  </r>
  <r>
    <x v="0"/>
    <x v="28"/>
    <x v="7"/>
    <x v="12"/>
    <s v="NO2_A2"/>
    <x v="20"/>
    <n v="22.109183021311601"/>
    <n v="6.1414397281420996"/>
  </r>
  <r>
    <x v="0"/>
    <x v="28"/>
    <x v="7"/>
    <x v="12"/>
    <s v="NO2_A2"/>
    <x v="21"/>
    <n v="48.24"/>
    <n v="13.4"/>
  </r>
  <r>
    <x v="0"/>
    <x v="28"/>
    <x v="7"/>
    <x v="12"/>
    <s v="NO2_A2"/>
    <x v="22"/>
    <n v="67.680000000000007"/>
    <n v="18.8"/>
  </r>
  <r>
    <x v="0"/>
    <x v="28"/>
    <x v="7"/>
    <x v="12"/>
    <s v="NO2_A2"/>
    <x v="23"/>
    <n v="0.31515896120488701"/>
    <n v="8.7544155890246306E-2"/>
  </r>
  <r>
    <x v="0"/>
    <x v="28"/>
    <x v="7"/>
    <x v="12"/>
    <s v="NO2_A2"/>
    <x v="24"/>
    <n v="19.174223581093901"/>
    <n v="5.32617321697054"/>
  </r>
  <r>
    <x v="0"/>
    <x v="28"/>
    <x v="7"/>
    <x v="12"/>
    <s v="NO2_A2"/>
    <x v="25"/>
    <n v="26.209507293842599"/>
    <n v="7.2804186927340497"/>
  </r>
  <r>
    <x v="0"/>
    <x v="28"/>
    <x v="7"/>
    <x v="12"/>
    <s v="NO2_A2"/>
    <x v="26"/>
    <n v="33.320887798496699"/>
    <n v="9.2558021662490795"/>
  </r>
  <r>
    <x v="0"/>
    <x v="28"/>
    <x v="7"/>
    <x v="12"/>
    <s v="NO2_A2"/>
    <x v="27"/>
    <n v="20.163995508318798"/>
    <n v="5.6011098634218799"/>
  </r>
  <r>
    <x v="0"/>
    <x v="28"/>
    <x v="7"/>
    <x v="12"/>
    <s v="NO2_Offshore"/>
    <x v="1"/>
    <n v="35.989199999999997"/>
    <n v="9.9969999999999999"/>
  </r>
  <r>
    <x v="0"/>
    <x v="28"/>
    <x v="7"/>
    <x v="12"/>
    <s v="NO2_Offshore"/>
    <x v="2"/>
    <n v="46.08"/>
    <n v="12.8"/>
  </r>
  <r>
    <x v="0"/>
    <x v="28"/>
    <x v="7"/>
    <x v="12"/>
    <s v="NO2_Offshore"/>
    <x v="0"/>
    <n v="42.692399999999999"/>
    <n v="11.859"/>
  </r>
  <r>
    <x v="0"/>
    <x v="28"/>
    <x v="7"/>
    <x v="12"/>
    <s v="NO2_Offshore"/>
    <x v="3"/>
    <n v="51.633543144067197"/>
    <n v="14.342650873352"/>
  </r>
  <r>
    <x v="0"/>
    <x v="28"/>
    <x v="7"/>
    <x v="12"/>
    <s v="NO2_Offshore"/>
    <x v="4"/>
    <n v="6.3500778790389401"/>
    <n v="1.76391052195526"/>
  </r>
  <r>
    <x v="0"/>
    <x v="28"/>
    <x v="7"/>
    <x v="12"/>
    <s v="NO2_Offshore"/>
    <x v="5"/>
    <n v="6.3500778790389401"/>
    <n v="1.76391052195526"/>
  </r>
  <r>
    <x v="0"/>
    <x v="28"/>
    <x v="7"/>
    <x v="12"/>
    <s v="NO2_Offshore"/>
    <x v="6"/>
    <n v="29.476231795214598"/>
    <n v="8.1878421653373898"/>
  </r>
  <r>
    <x v="0"/>
    <x v="28"/>
    <x v="7"/>
    <x v="12"/>
    <s v="NO2_Offshore"/>
    <x v="7"/>
    <n v="57.838935220261199"/>
    <n v="16.066370894517"/>
  </r>
  <r>
    <x v="0"/>
    <x v="28"/>
    <x v="7"/>
    <x v="12"/>
    <s v="NO2_Offshore"/>
    <x v="8"/>
    <n v="57.838935220261199"/>
    <n v="16.066370894517"/>
  </r>
  <r>
    <x v="0"/>
    <x v="28"/>
    <x v="7"/>
    <x v="12"/>
    <s v="NO2_Offshore"/>
    <x v="9"/>
    <n v="44.4505451532725"/>
    <n v="12.3473736536868"/>
  </r>
  <r>
    <x v="0"/>
    <x v="28"/>
    <x v="7"/>
    <x v="12"/>
    <s v="NO2_Offshore"/>
    <x v="10"/>
    <n v="53.975661971830903"/>
    <n v="14.993239436619699"/>
  </r>
  <r>
    <x v="0"/>
    <x v="28"/>
    <x v="7"/>
    <x v="12"/>
    <s v="NO2_Offshore"/>
    <x v="11"/>
    <n v="3.8806031483015802"/>
    <n v="1.07794531897266"/>
  </r>
  <r>
    <x v="0"/>
    <x v="28"/>
    <x v="7"/>
    <x v="12"/>
    <s v="NO2_Offshore"/>
    <x v="12"/>
    <n v="9.7995028997514597E-2"/>
    <n v="2.72208413881985E-2"/>
  </r>
  <r>
    <x v="0"/>
    <x v="28"/>
    <x v="7"/>
    <x v="12"/>
    <s v="NO2_Offshore"/>
    <x v="13"/>
    <n v="29.633696768848399"/>
    <n v="8.2315824357912195"/>
  </r>
  <r>
    <x v="0"/>
    <x v="28"/>
    <x v="7"/>
    <x v="12"/>
    <s v="NO2_Offshore"/>
    <x v="14"/>
    <n v="29.633696768848399"/>
    <n v="8.2315824357912195"/>
  </r>
  <r>
    <x v="0"/>
    <x v="28"/>
    <x v="7"/>
    <x v="12"/>
    <s v="NO2_Offshore"/>
    <x v="15"/>
    <n v="1.65807589063794"/>
    <n v="0.46057663628831802"/>
  </r>
  <r>
    <x v="0"/>
    <x v="28"/>
    <x v="7"/>
    <x v="12"/>
    <s v="NO2_Offshore"/>
    <x v="16"/>
    <n v="6.5458675795335104"/>
    <n v="1.81829654987042"/>
  </r>
  <r>
    <x v="0"/>
    <x v="28"/>
    <x v="7"/>
    <x v="12"/>
    <s v="NO2_Offshore"/>
    <x v="17"/>
    <n v="9.1244895875632395"/>
    <n v="2.5345804409897901"/>
  </r>
  <r>
    <x v="0"/>
    <x v="28"/>
    <x v="7"/>
    <x v="12"/>
    <s v="NO2_Offshore"/>
    <x v="18"/>
    <n v="29.633696768848399"/>
    <n v="8.2315824357912195"/>
  </r>
  <r>
    <x v="0"/>
    <x v="28"/>
    <x v="7"/>
    <x v="12"/>
    <s v="NO2_Offshore"/>
    <x v="19"/>
    <n v="8.1139884009941898"/>
    <n v="2.2538856669428302"/>
  </r>
  <r>
    <x v="0"/>
    <x v="28"/>
    <x v="7"/>
    <x v="12"/>
    <s v="NO2_Offshore"/>
    <x v="20"/>
    <n v="22.109183021311601"/>
    <n v="6.1414397281420996"/>
  </r>
  <r>
    <x v="0"/>
    <x v="28"/>
    <x v="7"/>
    <x v="12"/>
    <s v="NO2_Offshore"/>
    <x v="21"/>
    <n v="48.24"/>
    <n v="13.4"/>
  </r>
  <r>
    <x v="0"/>
    <x v="28"/>
    <x v="7"/>
    <x v="12"/>
    <s v="NO2_Offshore"/>
    <x v="22"/>
    <n v="67.680000000000007"/>
    <n v="18.8"/>
  </r>
  <r>
    <x v="0"/>
    <x v="28"/>
    <x v="7"/>
    <x v="12"/>
    <s v="NO2_Offshore"/>
    <x v="23"/>
    <n v="0.31515896120488701"/>
    <n v="8.7544155890246306E-2"/>
  </r>
  <r>
    <x v="0"/>
    <x v="28"/>
    <x v="7"/>
    <x v="12"/>
    <s v="NO2_Offshore"/>
    <x v="24"/>
    <n v="19.174223581093901"/>
    <n v="5.32617321697054"/>
  </r>
  <r>
    <x v="0"/>
    <x v="28"/>
    <x v="7"/>
    <x v="12"/>
    <s v="NO2_Offshore"/>
    <x v="25"/>
    <n v="26.209507293842599"/>
    <n v="7.2804186927340497"/>
  </r>
  <r>
    <x v="0"/>
    <x v="28"/>
    <x v="7"/>
    <x v="12"/>
    <s v="NO2_Offshore"/>
    <x v="26"/>
    <n v="33.320887798496699"/>
    <n v="9.2558021662490795"/>
  </r>
  <r>
    <x v="0"/>
    <x v="28"/>
    <x v="7"/>
    <x v="12"/>
    <s v="NO2_Offshore"/>
    <x v="27"/>
    <n v="20.163995508318798"/>
    <n v="5.6011098634218799"/>
  </r>
  <r>
    <x v="0"/>
    <x v="28"/>
    <x v="7"/>
    <x v="13"/>
    <s v="NO3_A1"/>
    <x v="1"/>
    <n v="35.989199999999997"/>
    <n v="9.9969999999999999"/>
  </r>
  <r>
    <x v="0"/>
    <x v="28"/>
    <x v="7"/>
    <x v="13"/>
    <s v="NO3_A1"/>
    <x v="2"/>
    <n v="46.08"/>
    <n v="12.8"/>
  </r>
  <r>
    <x v="0"/>
    <x v="28"/>
    <x v="7"/>
    <x v="13"/>
    <s v="NO3_A1"/>
    <x v="0"/>
    <n v="42.692399999999999"/>
    <n v="11.859"/>
  </r>
  <r>
    <x v="0"/>
    <x v="28"/>
    <x v="7"/>
    <x v="13"/>
    <s v="NO3_A1"/>
    <x v="3"/>
    <n v="51.633543144067197"/>
    <n v="14.342650873352"/>
  </r>
  <r>
    <x v="0"/>
    <x v="28"/>
    <x v="7"/>
    <x v="13"/>
    <s v="NO3_A1"/>
    <x v="4"/>
    <n v="6.3500778790389401"/>
    <n v="1.76391052195526"/>
  </r>
  <r>
    <x v="0"/>
    <x v="28"/>
    <x v="7"/>
    <x v="13"/>
    <s v="NO3_A1"/>
    <x v="5"/>
    <n v="6.3500778790389401"/>
    <n v="1.76391052195526"/>
  </r>
  <r>
    <x v="0"/>
    <x v="28"/>
    <x v="7"/>
    <x v="13"/>
    <s v="NO3_A1"/>
    <x v="6"/>
    <n v="29.476231795214598"/>
    <n v="8.1878421653373898"/>
  </r>
  <r>
    <x v="0"/>
    <x v="28"/>
    <x v="7"/>
    <x v="13"/>
    <s v="NO3_A1"/>
    <x v="7"/>
    <n v="57.838935220261199"/>
    <n v="16.066370894517"/>
  </r>
  <r>
    <x v="0"/>
    <x v="28"/>
    <x v="7"/>
    <x v="13"/>
    <s v="NO3_A1"/>
    <x v="8"/>
    <n v="57.838935220261199"/>
    <n v="16.066370894517"/>
  </r>
  <r>
    <x v="0"/>
    <x v="28"/>
    <x v="7"/>
    <x v="13"/>
    <s v="NO3_A1"/>
    <x v="9"/>
    <n v="44.4505451532725"/>
    <n v="12.3473736536868"/>
  </r>
  <r>
    <x v="0"/>
    <x v="28"/>
    <x v="7"/>
    <x v="13"/>
    <s v="NO3_A1"/>
    <x v="10"/>
    <n v="53.975661971830903"/>
    <n v="14.993239436619699"/>
  </r>
  <r>
    <x v="0"/>
    <x v="28"/>
    <x v="7"/>
    <x v="13"/>
    <s v="NO3_A1"/>
    <x v="11"/>
    <n v="3.8806031483015802"/>
    <n v="1.07794531897266"/>
  </r>
  <r>
    <x v="0"/>
    <x v="28"/>
    <x v="7"/>
    <x v="13"/>
    <s v="NO3_A1"/>
    <x v="12"/>
    <n v="9.7995028997514597E-2"/>
    <n v="2.72208413881985E-2"/>
  </r>
  <r>
    <x v="0"/>
    <x v="28"/>
    <x v="7"/>
    <x v="13"/>
    <s v="NO3_A1"/>
    <x v="13"/>
    <n v="29.633696768848399"/>
    <n v="8.2315824357912195"/>
  </r>
  <r>
    <x v="0"/>
    <x v="28"/>
    <x v="7"/>
    <x v="13"/>
    <s v="NO3_A1"/>
    <x v="14"/>
    <n v="29.633696768848399"/>
    <n v="8.2315824357912195"/>
  </r>
  <r>
    <x v="0"/>
    <x v="28"/>
    <x v="7"/>
    <x v="13"/>
    <s v="NO3_A1"/>
    <x v="15"/>
    <n v="1.65807589063794"/>
    <n v="0.46057663628831802"/>
  </r>
  <r>
    <x v="0"/>
    <x v="28"/>
    <x v="7"/>
    <x v="13"/>
    <s v="NO3_A1"/>
    <x v="16"/>
    <n v="6.5458675795335104"/>
    <n v="1.81829654987042"/>
  </r>
  <r>
    <x v="0"/>
    <x v="28"/>
    <x v="7"/>
    <x v="13"/>
    <s v="NO3_A1"/>
    <x v="17"/>
    <n v="9.1244895875632395"/>
    <n v="2.5345804409897901"/>
  </r>
  <r>
    <x v="0"/>
    <x v="28"/>
    <x v="7"/>
    <x v="13"/>
    <s v="NO3_A1"/>
    <x v="18"/>
    <n v="29.633696768848399"/>
    <n v="8.2315824357912195"/>
  </r>
  <r>
    <x v="0"/>
    <x v="28"/>
    <x v="7"/>
    <x v="13"/>
    <s v="NO3_A1"/>
    <x v="19"/>
    <n v="8.1139884009941898"/>
    <n v="2.2538856669428302"/>
  </r>
  <r>
    <x v="0"/>
    <x v="28"/>
    <x v="7"/>
    <x v="13"/>
    <s v="NO3_A1"/>
    <x v="20"/>
    <n v="22.109183021311601"/>
    <n v="6.1414397281420996"/>
  </r>
  <r>
    <x v="0"/>
    <x v="28"/>
    <x v="7"/>
    <x v="13"/>
    <s v="NO3_A1"/>
    <x v="21"/>
    <n v="48.24"/>
    <n v="13.4"/>
  </r>
  <r>
    <x v="0"/>
    <x v="28"/>
    <x v="7"/>
    <x v="13"/>
    <s v="NO3_A1"/>
    <x v="22"/>
    <n v="67.680000000000007"/>
    <n v="18.8"/>
  </r>
  <r>
    <x v="0"/>
    <x v="28"/>
    <x v="7"/>
    <x v="13"/>
    <s v="NO3_A1"/>
    <x v="23"/>
    <n v="0.31515896120488701"/>
    <n v="8.7544155890246306E-2"/>
  </r>
  <r>
    <x v="0"/>
    <x v="28"/>
    <x v="7"/>
    <x v="13"/>
    <s v="NO3_A1"/>
    <x v="24"/>
    <n v="19.174223581093901"/>
    <n v="5.32617321697054"/>
  </r>
  <r>
    <x v="0"/>
    <x v="28"/>
    <x v="7"/>
    <x v="13"/>
    <s v="NO3_A1"/>
    <x v="25"/>
    <n v="26.209507293842599"/>
    <n v="7.2804186927340497"/>
  </r>
  <r>
    <x v="0"/>
    <x v="28"/>
    <x v="7"/>
    <x v="13"/>
    <s v="NO3_A1"/>
    <x v="26"/>
    <n v="33.320887798496699"/>
    <n v="9.2558021662490795"/>
  </r>
  <r>
    <x v="0"/>
    <x v="28"/>
    <x v="7"/>
    <x v="13"/>
    <s v="NO3_A1"/>
    <x v="27"/>
    <n v="20.163995508318798"/>
    <n v="5.6011098634218799"/>
  </r>
  <r>
    <x v="0"/>
    <x v="28"/>
    <x v="7"/>
    <x v="13"/>
    <s v="NO3_A2"/>
    <x v="1"/>
    <n v="35.989199999999997"/>
    <n v="9.9969999999999999"/>
  </r>
  <r>
    <x v="0"/>
    <x v="28"/>
    <x v="7"/>
    <x v="13"/>
    <s v="NO3_A2"/>
    <x v="2"/>
    <n v="46.08"/>
    <n v="12.8"/>
  </r>
  <r>
    <x v="0"/>
    <x v="28"/>
    <x v="7"/>
    <x v="13"/>
    <s v="NO3_A2"/>
    <x v="0"/>
    <n v="42.692399999999999"/>
    <n v="11.859"/>
  </r>
  <r>
    <x v="0"/>
    <x v="28"/>
    <x v="7"/>
    <x v="13"/>
    <s v="NO3_A2"/>
    <x v="3"/>
    <n v="51.633543144067197"/>
    <n v="14.342650873352"/>
  </r>
  <r>
    <x v="0"/>
    <x v="28"/>
    <x v="7"/>
    <x v="13"/>
    <s v="NO3_A2"/>
    <x v="4"/>
    <n v="6.3500778790389401"/>
    <n v="1.76391052195526"/>
  </r>
  <r>
    <x v="0"/>
    <x v="28"/>
    <x v="7"/>
    <x v="13"/>
    <s v="NO3_A2"/>
    <x v="5"/>
    <n v="6.3500778790389401"/>
    <n v="1.76391052195526"/>
  </r>
  <r>
    <x v="0"/>
    <x v="28"/>
    <x v="7"/>
    <x v="13"/>
    <s v="NO3_A2"/>
    <x v="6"/>
    <n v="29.476231795214598"/>
    <n v="8.1878421653373898"/>
  </r>
  <r>
    <x v="0"/>
    <x v="28"/>
    <x v="7"/>
    <x v="13"/>
    <s v="NO3_A2"/>
    <x v="7"/>
    <n v="57.838935220261199"/>
    <n v="16.066370894517"/>
  </r>
  <r>
    <x v="0"/>
    <x v="28"/>
    <x v="7"/>
    <x v="13"/>
    <s v="NO3_A2"/>
    <x v="8"/>
    <n v="57.838935220261199"/>
    <n v="16.066370894517"/>
  </r>
  <r>
    <x v="0"/>
    <x v="28"/>
    <x v="7"/>
    <x v="13"/>
    <s v="NO3_A2"/>
    <x v="9"/>
    <n v="44.4505451532725"/>
    <n v="12.3473736536868"/>
  </r>
  <r>
    <x v="0"/>
    <x v="28"/>
    <x v="7"/>
    <x v="13"/>
    <s v="NO3_A2"/>
    <x v="10"/>
    <n v="53.975661971830903"/>
    <n v="14.993239436619699"/>
  </r>
  <r>
    <x v="0"/>
    <x v="28"/>
    <x v="7"/>
    <x v="13"/>
    <s v="NO3_A2"/>
    <x v="11"/>
    <n v="3.8806031483015802"/>
    <n v="1.07794531897266"/>
  </r>
  <r>
    <x v="0"/>
    <x v="28"/>
    <x v="7"/>
    <x v="13"/>
    <s v="NO3_A2"/>
    <x v="12"/>
    <n v="9.7995028997514597E-2"/>
    <n v="2.72208413881985E-2"/>
  </r>
  <r>
    <x v="0"/>
    <x v="28"/>
    <x v="7"/>
    <x v="13"/>
    <s v="NO3_A2"/>
    <x v="13"/>
    <n v="29.633696768848399"/>
    <n v="8.2315824357912195"/>
  </r>
  <r>
    <x v="0"/>
    <x v="28"/>
    <x v="7"/>
    <x v="13"/>
    <s v="NO3_A2"/>
    <x v="14"/>
    <n v="29.633696768848399"/>
    <n v="8.2315824357912195"/>
  </r>
  <r>
    <x v="0"/>
    <x v="28"/>
    <x v="7"/>
    <x v="13"/>
    <s v="NO3_A2"/>
    <x v="15"/>
    <n v="1.65807589063794"/>
    <n v="0.46057663628831802"/>
  </r>
  <r>
    <x v="0"/>
    <x v="28"/>
    <x v="7"/>
    <x v="13"/>
    <s v="NO3_A2"/>
    <x v="16"/>
    <n v="6.5458675795335104"/>
    <n v="1.81829654987042"/>
  </r>
  <r>
    <x v="0"/>
    <x v="28"/>
    <x v="7"/>
    <x v="13"/>
    <s v="NO3_A2"/>
    <x v="17"/>
    <n v="9.1244895875632395"/>
    <n v="2.5345804409897901"/>
  </r>
  <r>
    <x v="0"/>
    <x v="28"/>
    <x v="7"/>
    <x v="13"/>
    <s v="NO3_A2"/>
    <x v="18"/>
    <n v="29.633696768848399"/>
    <n v="8.2315824357912195"/>
  </r>
  <r>
    <x v="0"/>
    <x v="28"/>
    <x v="7"/>
    <x v="13"/>
    <s v="NO3_A2"/>
    <x v="19"/>
    <n v="8.1139884009941898"/>
    <n v="2.2538856669428302"/>
  </r>
  <r>
    <x v="0"/>
    <x v="28"/>
    <x v="7"/>
    <x v="13"/>
    <s v="NO3_A2"/>
    <x v="20"/>
    <n v="22.109183021311601"/>
    <n v="6.1414397281420996"/>
  </r>
  <r>
    <x v="0"/>
    <x v="28"/>
    <x v="7"/>
    <x v="13"/>
    <s v="NO3_A2"/>
    <x v="21"/>
    <n v="48.24"/>
    <n v="13.4"/>
  </r>
  <r>
    <x v="0"/>
    <x v="28"/>
    <x v="7"/>
    <x v="13"/>
    <s v="NO3_A2"/>
    <x v="22"/>
    <n v="67.680000000000007"/>
    <n v="18.8"/>
  </r>
  <r>
    <x v="0"/>
    <x v="28"/>
    <x v="7"/>
    <x v="13"/>
    <s v="NO3_A2"/>
    <x v="23"/>
    <n v="0.31515896120488701"/>
    <n v="8.7544155890246306E-2"/>
  </r>
  <r>
    <x v="0"/>
    <x v="28"/>
    <x v="7"/>
    <x v="13"/>
    <s v="NO3_A2"/>
    <x v="24"/>
    <n v="19.174223581093901"/>
    <n v="5.32617321697054"/>
  </r>
  <r>
    <x v="0"/>
    <x v="28"/>
    <x v="7"/>
    <x v="13"/>
    <s v="NO3_A2"/>
    <x v="25"/>
    <n v="26.209507293842599"/>
    <n v="7.2804186927340497"/>
  </r>
  <r>
    <x v="0"/>
    <x v="28"/>
    <x v="7"/>
    <x v="13"/>
    <s v="NO3_A2"/>
    <x v="26"/>
    <n v="33.320887798496699"/>
    <n v="9.2558021662490795"/>
  </r>
  <r>
    <x v="0"/>
    <x v="28"/>
    <x v="7"/>
    <x v="13"/>
    <s v="NO3_A2"/>
    <x v="27"/>
    <n v="20.163995508318798"/>
    <n v="5.6011098634218799"/>
  </r>
  <r>
    <x v="0"/>
    <x v="28"/>
    <x v="7"/>
    <x v="13"/>
    <s v="NO3_A3"/>
    <x v="1"/>
    <n v="35.989199999999997"/>
    <n v="9.9969999999999999"/>
  </r>
  <r>
    <x v="0"/>
    <x v="28"/>
    <x v="7"/>
    <x v="13"/>
    <s v="NO3_A3"/>
    <x v="2"/>
    <n v="46.08"/>
    <n v="12.8"/>
  </r>
  <r>
    <x v="0"/>
    <x v="28"/>
    <x v="7"/>
    <x v="13"/>
    <s v="NO3_A3"/>
    <x v="0"/>
    <n v="42.692399999999999"/>
    <n v="11.859"/>
  </r>
  <r>
    <x v="0"/>
    <x v="28"/>
    <x v="7"/>
    <x v="13"/>
    <s v="NO3_A3"/>
    <x v="3"/>
    <n v="51.633543144067197"/>
    <n v="14.342650873352"/>
  </r>
  <r>
    <x v="0"/>
    <x v="28"/>
    <x v="7"/>
    <x v="13"/>
    <s v="NO3_A3"/>
    <x v="4"/>
    <n v="6.3500778790389401"/>
    <n v="1.76391052195526"/>
  </r>
  <r>
    <x v="0"/>
    <x v="28"/>
    <x v="7"/>
    <x v="13"/>
    <s v="NO3_A3"/>
    <x v="5"/>
    <n v="6.3500778790389401"/>
    <n v="1.76391052195526"/>
  </r>
  <r>
    <x v="0"/>
    <x v="28"/>
    <x v="7"/>
    <x v="13"/>
    <s v="NO3_A3"/>
    <x v="6"/>
    <n v="29.476231795214598"/>
    <n v="8.1878421653373898"/>
  </r>
  <r>
    <x v="0"/>
    <x v="28"/>
    <x v="7"/>
    <x v="13"/>
    <s v="NO3_A3"/>
    <x v="7"/>
    <n v="57.838935220261199"/>
    <n v="16.066370894517"/>
  </r>
  <r>
    <x v="0"/>
    <x v="28"/>
    <x v="7"/>
    <x v="13"/>
    <s v="NO3_A3"/>
    <x v="8"/>
    <n v="57.838935220261199"/>
    <n v="16.066370894517"/>
  </r>
  <r>
    <x v="0"/>
    <x v="28"/>
    <x v="7"/>
    <x v="13"/>
    <s v="NO3_A3"/>
    <x v="9"/>
    <n v="44.4505451532725"/>
    <n v="12.3473736536868"/>
  </r>
  <r>
    <x v="0"/>
    <x v="28"/>
    <x v="7"/>
    <x v="13"/>
    <s v="NO3_A3"/>
    <x v="10"/>
    <n v="53.975661971830903"/>
    <n v="14.993239436619699"/>
  </r>
  <r>
    <x v="0"/>
    <x v="28"/>
    <x v="7"/>
    <x v="13"/>
    <s v="NO3_A3"/>
    <x v="11"/>
    <n v="3.8806031483015802"/>
    <n v="1.07794531897266"/>
  </r>
  <r>
    <x v="0"/>
    <x v="28"/>
    <x v="7"/>
    <x v="13"/>
    <s v="NO3_A3"/>
    <x v="12"/>
    <n v="9.7995028997514597E-2"/>
    <n v="2.72208413881985E-2"/>
  </r>
  <r>
    <x v="0"/>
    <x v="28"/>
    <x v="7"/>
    <x v="13"/>
    <s v="NO3_A3"/>
    <x v="13"/>
    <n v="29.633696768848399"/>
    <n v="8.2315824357912195"/>
  </r>
  <r>
    <x v="0"/>
    <x v="28"/>
    <x v="7"/>
    <x v="13"/>
    <s v="NO3_A3"/>
    <x v="14"/>
    <n v="29.633696768848399"/>
    <n v="8.2315824357912195"/>
  </r>
  <r>
    <x v="0"/>
    <x v="28"/>
    <x v="7"/>
    <x v="13"/>
    <s v="NO3_A3"/>
    <x v="15"/>
    <n v="1.65807589063794"/>
    <n v="0.46057663628831802"/>
  </r>
  <r>
    <x v="0"/>
    <x v="28"/>
    <x v="7"/>
    <x v="13"/>
    <s v="NO3_A3"/>
    <x v="16"/>
    <n v="6.5458675795335104"/>
    <n v="1.81829654987042"/>
  </r>
  <r>
    <x v="0"/>
    <x v="28"/>
    <x v="7"/>
    <x v="13"/>
    <s v="NO3_A3"/>
    <x v="17"/>
    <n v="9.1244895875632395"/>
    <n v="2.5345804409897901"/>
  </r>
  <r>
    <x v="0"/>
    <x v="28"/>
    <x v="7"/>
    <x v="13"/>
    <s v="NO3_A3"/>
    <x v="18"/>
    <n v="29.633696768848399"/>
    <n v="8.2315824357912195"/>
  </r>
  <r>
    <x v="0"/>
    <x v="28"/>
    <x v="7"/>
    <x v="13"/>
    <s v="NO3_A3"/>
    <x v="19"/>
    <n v="8.1139884009941898"/>
    <n v="2.2538856669428302"/>
  </r>
  <r>
    <x v="0"/>
    <x v="28"/>
    <x v="7"/>
    <x v="13"/>
    <s v="NO3_A3"/>
    <x v="20"/>
    <n v="22.109183021311601"/>
    <n v="6.1414397281420996"/>
  </r>
  <r>
    <x v="0"/>
    <x v="28"/>
    <x v="7"/>
    <x v="13"/>
    <s v="NO3_A3"/>
    <x v="21"/>
    <n v="48.24"/>
    <n v="13.4"/>
  </r>
  <r>
    <x v="0"/>
    <x v="28"/>
    <x v="7"/>
    <x v="13"/>
    <s v="NO3_A3"/>
    <x v="22"/>
    <n v="67.680000000000007"/>
    <n v="18.8"/>
  </r>
  <r>
    <x v="0"/>
    <x v="28"/>
    <x v="7"/>
    <x v="13"/>
    <s v="NO3_A3"/>
    <x v="23"/>
    <n v="0.31515896120488701"/>
    <n v="8.7544155890246306E-2"/>
  </r>
  <r>
    <x v="0"/>
    <x v="28"/>
    <x v="7"/>
    <x v="13"/>
    <s v="NO3_A3"/>
    <x v="24"/>
    <n v="19.174223581093901"/>
    <n v="5.32617321697054"/>
  </r>
  <r>
    <x v="0"/>
    <x v="28"/>
    <x v="7"/>
    <x v="13"/>
    <s v="NO3_A3"/>
    <x v="25"/>
    <n v="26.209507293842599"/>
    <n v="7.2804186927340497"/>
  </r>
  <r>
    <x v="0"/>
    <x v="28"/>
    <x v="7"/>
    <x v="13"/>
    <s v="NO3_A3"/>
    <x v="26"/>
    <n v="33.320887798496699"/>
    <n v="9.2558021662490795"/>
  </r>
  <r>
    <x v="0"/>
    <x v="28"/>
    <x v="7"/>
    <x v="13"/>
    <s v="NO3_A3"/>
    <x v="27"/>
    <n v="20.163995508318798"/>
    <n v="5.6011098634218799"/>
  </r>
  <r>
    <x v="0"/>
    <x v="28"/>
    <x v="7"/>
    <x v="13"/>
    <s v="NO3_Offshore"/>
    <x v="1"/>
    <n v="35.989199999999997"/>
    <n v="9.9969999999999999"/>
  </r>
  <r>
    <x v="0"/>
    <x v="28"/>
    <x v="7"/>
    <x v="13"/>
    <s v="NO3_Offshore"/>
    <x v="2"/>
    <n v="46.08"/>
    <n v="12.8"/>
  </r>
  <r>
    <x v="0"/>
    <x v="28"/>
    <x v="7"/>
    <x v="13"/>
    <s v="NO3_Offshore"/>
    <x v="0"/>
    <n v="42.692399999999999"/>
    <n v="11.859"/>
  </r>
  <r>
    <x v="0"/>
    <x v="28"/>
    <x v="7"/>
    <x v="13"/>
    <s v="NO3_Offshore"/>
    <x v="3"/>
    <n v="51.633543144067197"/>
    <n v="14.342650873352"/>
  </r>
  <r>
    <x v="0"/>
    <x v="28"/>
    <x v="7"/>
    <x v="13"/>
    <s v="NO3_Offshore"/>
    <x v="4"/>
    <n v="6.3500778790389401"/>
    <n v="1.76391052195526"/>
  </r>
  <r>
    <x v="0"/>
    <x v="28"/>
    <x v="7"/>
    <x v="13"/>
    <s v="NO3_Offshore"/>
    <x v="5"/>
    <n v="6.3500778790389401"/>
    <n v="1.76391052195526"/>
  </r>
  <r>
    <x v="0"/>
    <x v="28"/>
    <x v="7"/>
    <x v="13"/>
    <s v="NO3_Offshore"/>
    <x v="6"/>
    <n v="29.476231795214598"/>
    <n v="8.1878421653373898"/>
  </r>
  <r>
    <x v="0"/>
    <x v="28"/>
    <x v="7"/>
    <x v="13"/>
    <s v="NO3_Offshore"/>
    <x v="7"/>
    <n v="57.838935220261199"/>
    <n v="16.066370894517"/>
  </r>
  <r>
    <x v="0"/>
    <x v="28"/>
    <x v="7"/>
    <x v="13"/>
    <s v="NO3_Offshore"/>
    <x v="8"/>
    <n v="57.838935220261199"/>
    <n v="16.066370894517"/>
  </r>
  <r>
    <x v="0"/>
    <x v="28"/>
    <x v="7"/>
    <x v="13"/>
    <s v="NO3_Offshore"/>
    <x v="9"/>
    <n v="44.4505451532725"/>
    <n v="12.3473736536868"/>
  </r>
  <r>
    <x v="0"/>
    <x v="28"/>
    <x v="7"/>
    <x v="13"/>
    <s v="NO3_Offshore"/>
    <x v="10"/>
    <n v="53.975661971830903"/>
    <n v="14.993239436619699"/>
  </r>
  <r>
    <x v="0"/>
    <x v="28"/>
    <x v="7"/>
    <x v="13"/>
    <s v="NO3_Offshore"/>
    <x v="11"/>
    <n v="3.8806031483015802"/>
    <n v="1.07794531897266"/>
  </r>
  <r>
    <x v="0"/>
    <x v="28"/>
    <x v="7"/>
    <x v="13"/>
    <s v="NO3_Offshore"/>
    <x v="12"/>
    <n v="9.7995028997514597E-2"/>
    <n v="2.72208413881985E-2"/>
  </r>
  <r>
    <x v="0"/>
    <x v="28"/>
    <x v="7"/>
    <x v="13"/>
    <s v="NO3_Offshore"/>
    <x v="13"/>
    <n v="29.633696768848399"/>
    <n v="8.2315824357912195"/>
  </r>
  <r>
    <x v="0"/>
    <x v="28"/>
    <x v="7"/>
    <x v="13"/>
    <s v="NO3_Offshore"/>
    <x v="14"/>
    <n v="29.633696768848399"/>
    <n v="8.2315824357912195"/>
  </r>
  <r>
    <x v="0"/>
    <x v="28"/>
    <x v="7"/>
    <x v="13"/>
    <s v="NO3_Offshore"/>
    <x v="15"/>
    <n v="1.65807589063794"/>
    <n v="0.46057663628831802"/>
  </r>
  <r>
    <x v="0"/>
    <x v="28"/>
    <x v="7"/>
    <x v="13"/>
    <s v="NO3_Offshore"/>
    <x v="16"/>
    <n v="6.5458675795335104"/>
    <n v="1.81829654987042"/>
  </r>
  <r>
    <x v="0"/>
    <x v="28"/>
    <x v="7"/>
    <x v="13"/>
    <s v="NO3_Offshore"/>
    <x v="17"/>
    <n v="9.1244895875632395"/>
    <n v="2.5345804409897901"/>
  </r>
  <r>
    <x v="0"/>
    <x v="28"/>
    <x v="7"/>
    <x v="13"/>
    <s v="NO3_Offshore"/>
    <x v="18"/>
    <n v="29.633696768848399"/>
    <n v="8.2315824357912195"/>
  </r>
  <r>
    <x v="0"/>
    <x v="28"/>
    <x v="7"/>
    <x v="13"/>
    <s v="NO3_Offshore"/>
    <x v="19"/>
    <n v="8.1139884009941898"/>
    <n v="2.2538856669428302"/>
  </r>
  <r>
    <x v="0"/>
    <x v="28"/>
    <x v="7"/>
    <x v="13"/>
    <s v="NO3_Offshore"/>
    <x v="20"/>
    <n v="22.109183021311601"/>
    <n v="6.1414397281420996"/>
  </r>
  <r>
    <x v="0"/>
    <x v="28"/>
    <x v="7"/>
    <x v="13"/>
    <s v="NO3_Offshore"/>
    <x v="21"/>
    <n v="48.24"/>
    <n v="13.4"/>
  </r>
  <r>
    <x v="0"/>
    <x v="28"/>
    <x v="7"/>
    <x v="13"/>
    <s v="NO3_Offshore"/>
    <x v="22"/>
    <n v="67.680000000000007"/>
    <n v="18.8"/>
  </r>
  <r>
    <x v="0"/>
    <x v="28"/>
    <x v="7"/>
    <x v="13"/>
    <s v="NO3_Offshore"/>
    <x v="23"/>
    <n v="0.31515896120488701"/>
    <n v="8.7544155890246306E-2"/>
  </r>
  <r>
    <x v="0"/>
    <x v="28"/>
    <x v="7"/>
    <x v="13"/>
    <s v="NO3_Offshore"/>
    <x v="24"/>
    <n v="19.174223581093901"/>
    <n v="5.32617321697054"/>
  </r>
  <r>
    <x v="0"/>
    <x v="28"/>
    <x v="7"/>
    <x v="13"/>
    <s v="NO3_Offshore"/>
    <x v="25"/>
    <n v="26.209507293842599"/>
    <n v="7.2804186927340497"/>
  </r>
  <r>
    <x v="0"/>
    <x v="28"/>
    <x v="7"/>
    <x v="13"/>
    <s v="NO3_Offshore"/>
    <x v="26"/>
    <n v="33.320887798496699"/>
    <n v="9.2558021662490795"/>
  </r>
  <r>
    <x v="0"/>
    <x v="28"/>
    <x v="7"/>
    <x v="13"/>
    <s v="NO3_Offshore"/>
    <x v="27"/>
    <n v="20.163995508318798"/>
    <n v="5.6011098634218799"/>
  </r>
  <r>
    <x v="0"/>
    <x v="28"/>
    <x v="7"/>
    <x v="14"/>
    <s v="NO4_A1"/>
    <x v="1"/>
    <n v="35.989199999999997"/>
    <n v="9.9969999999999999"/>
  </r>
  <r>
    <x v="0"/>
    <x v="28"/>
    <x v="7"/>
    <x v="14"/>
    <s v="NO4_A1"/>
    <x v="2"/>
    <n v="46.08"/>
    <n v="12.8"/>
  </r>
  <r>
    <x v="0"/>
    <x v="28"/>
    <x v="7"/>
    <x v="14"/>
    <s v="NO4_A1"/>
    <x v="0"/>
    <n v="42.692399999999999"/>
    <n v="11.859"/>
  </r>
  <r>
    <x v="0"/>
    <x v="28"/>
    <x v="7"/>
    <x v="14"/>
    <s v="NO4_A1"/>
    <x v="3"/>
    <n v="51.633543144067197"/>
    <n v="14.342650873352"/>
  </r>
  <r>
    <x v="0"/>
    <x v="28"/>
    <x v="7"/>
    <x v="14"/>
    <s v="NO4_A1"/>
    <x v="4"/>
    <n v="6.3500778790389401"/>
    <n v="1.76391052195526"/>
  </r>
  <r>
    <x v="0"/>
    <x v="28"/>
    <x v="7"/>
    <x v="14"/>
    <s v="NO4_A1"/>
    <x v="5"/>
    <n v="6.3500778790389401"/>
    <n v="1.76391052195526"/>
  </r>
  <r>
    <x v="0"/>
    <x v="28"/>
    <x v="7"/>
    <x v="14"/>
    <s v="NO4_A1"/>
    <x v="6"/>
    <n v="29.476231795214598"/>
    <n v="8.1878421653373898"/>
  </r>
  <r>
    <x v="0"/>
    <x v="28"/>
    <x v="7"/>
    <x v="14"/>
    <s v="NO4_A1"/>
    <x v="7"/>
    <n v="57.838935220261199"/>
    <n v="16.066370894517"/>
  </r>
  <r>
    <x v="0"/>
    <x v="28"/>
    <x v="7"/>
    <x v="14"/>
    <s v="NO4_A1"/>
    <x v="8"/>
    <n v="57.838935220261199"/>
    <n v="16.066370894517"/>
  </r>
  <r>
    <x v="0"/>
    <x v="28"/>
    <x v="7"/>
    <x v="14"/>
    <s v="NO4_A1"/>
    <x v="9"/>
    <n v="44.4505451532725"/>
    <n v="12.3473736536868"/>
  </r>
  <r>
    <x v="0"/>
    <x v="28"/>
    <x v="7"/>
    <x v="14"/>
    <s v="NO4_A1"/>
    <x v="10"/>
    <n v="53.975661971830903"/>
    <n v="14.993239436619699"/>
  </r>
  <r>
    <x v="0"/>
    <x v="28"/>
    <x v="7"/>
    <x v="14"/>
    <s v="NO4_A1"/>
    <x v="11"/>
    <n v="3.8806031483015802"/>
    <n v="1.07794531897266"/>
  </r>
  <r>
    <x v="0"/>
    <x v="28"/>
    <x v="7"/>
    <x v="14"/>
    <s v="NO4_A1"/>
    <x v="12"/>
    <n v="9.7995028997514597E-2"/>
    <n v="2.72208413881985E-2"/>
  </r>
  <r>
    <x v="0"/>
    <x v="28"/>
    <x v="7"/>
    <x v="14"/>
    <s v="NO4_A1"/>
    <x v="13"/>
    <n v="29.633696768848399"/>
    <n v="8.2315824357912195"/>
  </r>
  <r>
    <x v="0"/>
    <x v="28"/>
    <x v="7"/>
    <x v="14"/>
    <s v="NO4_A1"/>
    <x v="14"/>
    <n v="29.633696768848399"/>
    <n v="8.2315824357912195"/>
  </r>
  <r>
    <x v="0"/>
    <x v="28"/>
    <x v="7"/>
    <x v="14"/>
    <s v="NO4_A1"/>
    <x v="15"/>
    <n v="1.65807589063794"/>
    <n v="0.46057663628831802"/>
  </r>
  <r>
    <x v="0"/>
    <x v="28"/>
    <x v="7"/>
    <x v="14"/>
    <s v="NO4_A1"/>
    <x v="16"/>
    <n v="6.5458675795335104"/>
    <n v="1.81829654987042"/>
  </r>
  <r>
    <x v="0"/>
    <x v="28"/>
    <x v="7"/>
    <x v="14"/>
    <s v="NO4_A1"/>
    <x v="17"/>
    <n v="9.1244895875632395"/>
    <n v="2.5345804409897901"/>
  </r>
  <r>
    <x v="0"/>
    <x v="28"/>
    <x v="7"/>
    <x v="14"/>
    <s v="NO4_A1"/>
    <x v="18"/>
    <n v="29.633696768848399"/>
    <n v="8.2315824357912195"/>
  </r>
  <r>
    <x v="0"/>
    <x v="28"/>
    <x v="7"/>
    <x v="14"/>
    <s v="NO4_A1"/>
    <x v="19"/>
    <n v="8.1139884009941898"/>
    <n v="2.2538856669428302"/>
  </r>
  <r>
    <x v="0"/>
    <x v="28"/>
    <x v="7"/>
    <x v="14"/>
    <s v="NO4_A1"/>
    <x v="20"/>
    <n v="22.109183021311601"/>
    <n v="6.1414397281420996"/>
  </r>
  <r>
    <x v="0"/>
    <x v="28"/>
    <x v="7"/>
    <x v="14"/>
    <s v="NO4_A1"/>
    <x v="21"/>
    <n v="48.24"/>
    <n v="13.4"/>
  </r>
  <r>
    <x v="0"/>
    <x v="28"/>
    <x v="7"/>
    <x v="14"/>
    <s v="NO4_A1"/>
    <x v="22"/>
    <n v="67.680000000000007"/>
    <n v="18.8"/>
  </r>
  <r>
    <x v="0"/>
    <x v="28"/>
    <x v="7"/>
    <x v="14"/>
    <s v="NO4_A1"/>
    <x v="23"/>
    <n v="0.31515896120488701"/>
    <n v="8.7544155890246306E-2"/>
  </r>
  <r>
    <x v="0"/>
    <x v="28"/>
    <x v="7"/>
    <x v="14"/>
    <s v="NO4_A1"/>
    <x v="24"/>
    <n v="19.174223581093901"/>
    <n v="5.32617321697054"/>
  </r>
  <r>
    <x v="0"/>
    <x v="28"/>
    <x v="7"/>
    <x v="14"/>
    <s v="NO4_A1"/>
    <x v="25"/>
    <n v="26.209507293842599"/>
    <n v="7.2804186927340497"/>
  </r>
  <r>
    <x v="0"/>
    <x v="28"/>
    <x v="7"/>
    <x v="14"/>
    <s v="NO4_A1"/>
    <x v="26"/>
    <n v="33.320887798496699"/>
    <n v="9.2558021662490795"/>
  </r>
  <r>
    <x v="0"/>
    <x v="28"/>
    <x v="7"/>
    <x v="14"/>
    <s v="NO4_A1"/>
    <x v="27"/>
    <n v="20.163995508318798"/>
    <n v="5.6011098634218799"/>
  </r>
  <r>
    <x v="0"/>
    <x v="28"/>
    <x v="7"/>
    <x v="14"/>
    <s v="NO4_A2"/>
    <x v="1"/>
    <n v="35.989199999999997"/>
    <n v="9.9969999999999999"/>
  </r>
  <r>
    <x v="0"/>
    <x v="28"/>
    <x v="7"/>
    <x v="14"/>
    <s v="NO4_A2"/>
    <x v="2"/>
    <n v="46.08"/>
    <n v="12.8"/>
  </r>
  <r>
    <x v="0"/>
    <x v="28"/>
    <x v="7"/>
    <x v="14"/>
    <s v="NO4_A2"/>
    <x v="0"/>
    <n v="42.692399999999999"/>
    <n v="11.859"/>
  </r>
  <r>
    <x v="0"/>
    <x v="28"/>
    <x v="7"/>
    <x v="14"/>
    <s v="NO4_A2"/>
    <x v="3"/>
    <n v="51.633543144067197"/>
    <n v="14.342650873352"/>
  </r>
  <r>
    <x v="0"/>
    <x v="28"/>
    <x v="7"/>
    <x v="14"/>
    <s v="NO4_A2"/>
    <x v="4"/>
    <n v="6.3500778790389401"/>
    <n v="1.76391052195526"/>
  </r>
  <r>
    <x v="0"/>
    <x v="28"/>
    <x v="7"/>
    <x v="14"/>
    <s v="NO4_A2"/>
    <x v="5"/>
    <n v="6.3500778790389401"/>
    <n v="1.76391052195526"/>
  </r>
  <r>
    <x v="0"/>
    <x v="28"/>
    <x v="7"/>
    <x v="14"/>
    <s v="NO4_A2"/>
    <x v="6"/>
    <n v="29.476231795214598"/>
    <n v="8.1878421653373898"/>
  </r>
  <r>
    <x v="0"/>
    <x v="28"/>
    <x v="7"/>
    <x v="14"/>
    <s v="NO4_A2"/>
    <x v="7"/>
    <n v="57.838935220261199"/>
    <n v="16.066370894517"/>
  </r>
  <r>
    <x v="0"/>
    <x v="28"/>
    <x v="7"/>
    <x v="14"/>
    <s v="NO4_A2"/>
    <x v="8"/>
    <n v="57.838935220261199"/>
    <n v="16.066370894517"/>
  </r>
  <r>
    <x v="0"/>
    <x v="28"/>
    <x v="7"/>
    <x v="14"/>
    <s v="NO4_A2"/>
    <x v="9"/>
    <n v="44.4505451532725"/>
    <n v="12.3473736536868"/>
  </r>
  <r>
    <x v="0"/>
    <x v="28"/>
    <x v="7"/>
    <x v="14"/>
    <s v="NO4_A2"/>
    <x v="10"/>
    <n v="53.975661971830903"/>
    <n v="14.993239436619699"/>
  </r>
  <r>
    <x v="0"/>
    <x v="28"/>
    <x v="7"/>
    <x v="14"/>
    <s v="NO4_A2"/>
    <x v="11"/>
    <n v="3.8806031483015802"/>
    <n v="1.07794531897266"/>
  </r>
  <r>
    <x v="0"/>
    <x v="28"/>
    <x v="7"/>
    <x v="14"/>
    <s v="NO4_A2"/>
    <x v="12"/>
    <n v="9.7995028997514597E-2"/>
    <n v="2.72208413881985E-2"/>
  </r>
  <r>
    <x v="0"/>
    <x v="28"/>
    <x v="7"/>
    <x v="14"/>
    <s v="NO4_A2"/>
    <x v="13"/>
    <n v="29.633696768848399"/>
    <n v="8.2315824357912195"/>
  </r>
  <r>
    <x v="0"/>
    <x v="28"/>
    <x v="7"/>
    <x v="14"/>
    <s v="NO4_A2"/>
    <x v="14"/>
    <n v="29.633696768848399"/>
    <n v="8.2315824357912195"/>
  </r>
  <r>
    <x v="0"/>
    <x v="28"/>
    <x v="7"/>
    <x v="14"/>
    <s v="NO4_A2"/>
    <x v="15"/>
    <n v="1.65807589063794"/>
    <n v="0.46057663628831802"/>
  </r>
  <r>
    <x v="0"/>
    <x v="28"/>
    <x v="7"/>
    <x v="14"/>
    <s v="NO4_A2"/>
    <x v="16"/>
    <n v="6.5458675795335104"/>
    <n v="1.81829654987042"/>
  </r>
  <r>
    <x v="0"/>
    <x v="28"/>
    <x v="7"/>
    <x v="14"/>
    <s v="NO4_A2"/>
    <x v="17"/>
    <n v="9.1244895875632395"/>
    <n v="2.5345804409897901"/>
  </r>
  <r>
    <x v="0"/>
    <x v="28"/>
    <x v="7"/>
    <x v="14"/>
    <s v="NO4_A2"/>
    <x v="18"/>
    <n v="29.633696768848399"/>
    <n v="8.2315824357912195"/>
  </r>
  <r>
    <x v="0"/>
    <x v="28"/>
    <x v="7"/>
    <x v="14"/>
    <s v="NO4_A2"/>
    <x v="19"/>
    <n v="8.1139884009941898"/>
    <n v="2.2538856669428302"/>
  </r>
  <r>
    <x v="0"/>
    <x v="28"/>
    <x v="7"/>
    <x v="14"/>
    <s v="NO4_A2"/>
    <x v="20"/>
    <n v="22.109183021311601"/>
    <n v="6.1414397281420996"/>
  </r>
  <r>
    <x v="0"/>
    <x v="28"/>
    <x v="7"/>
    <x v="14"/>
    <s v="NO4_A2"/>
    <x v="21"/>
    <n v="48.24"/>
    <n v="13.4"/>
  </r>
  <r>
    <x v="0"/>
    <x v="28"/>
    <x v="7"/>
    <x v="14"/>
    <s v="NO4_A2"/>
    <x v="22"/>
    <n v="67.680000000000007"/>
    <n v="18.8"/>
  </r>
  <r>
    <x v="0"/>
    <x v="28"/>
    <x v="7"/>
    <x v="14"/>
    <s v="NO4_A2"/>
    <x v="23"/>
    <n v="0.31515896120488701"/>
    <n v="8.7544155890246306E-2"/>
  </r>
  <r>
    <x v="0"/>
    <x v="28"/>
    <x v="7"/>
    <x v="14"/>
    <s v="NO4_A2"/>
    <x v="24"/>
    <n v="19.174223581093901"/>
    <n v="5.32617321697054"/>
  </r>
  <r>
    <x v="0"/>
    <x v="28"/>
    <x v="7"/>
    <x v="14"/>
    <s v="NO4_A2"/>
    <x v="25"/>
    <n v="26.209507293842599"/>
    <n v="7.2804186927340497"/>
  </r>
  <r>
    <x v="0"/>
    <x v="28"/>
    <x v="7"/>
    <x v="14"/>
    <s v="NO4_A2"/>
    <x v="26"/>
    <n v="33.320887798496699"/>
    <n v="9.2558021662490795"/>
  </r>
  <r>
    <x v="0"/>
    <x v="28"/>
    <x v="7"/>
    <x v="14"/>
    <s v="NO4_A2"/>
    <x v="27"/>
    <n v="20.163995508318798"/>
    <n v="5.6011098634218799"/>
  </r>
  <r>
    <x v="0"/>
    <x v="28"/>
    <x v="7"/>
    <x v="14"/>
    <s v="NO4_Offshore"/>
    <x v="1"/>
    <n v="35.989199999999997"/>
    <n v="9.9969999999999999"/>
  </r>
  <r>
    <x v="0"/>
    <x v="28"/>
    <x v="7"/>
    <x v="14"/>
    <s v="NO4_Offshore"/>
    <x v="2"/>
    <n v="46.08"/>
    <n v="12.8"/>
  </r>
  <r>
    <x v="0"/>
    <x v="28"/>
    <x v="7"/>
    <x v="14"/>
    <s v="NO4_Offshore"/>
    <x v="0"/>
    <n v="42.692399999999999"/>
    <n v="11.859"/>
  </r>
  <r>
    <x v="0"/>
    <x v="28"/>
    <x v="7"/>
    <x v="14"/>
    <s v="NO4_Offshore"/>
    <x v="3"/>
    <n v="51.633543144067197"/>
    <n v="14.342650873352"/>
  </r>
  <r>
    <x v="0"/>
    <x v="28"/>
    <x v="7"/>
    <x v="14"/>
    <s v="NO4_Offshore"/>
    <x v="4"/>
    <n v="6.3500778790389401"/>
    <n v="1.76391052195526"/>
  </r>
  <r>
    <x v="0"/>
    <x v="28"/>
    <x v="7"/>
    <x v="14"/>
    <s v="NO4_Offshore"/>
    <x v="5"/>
    <n v="6.3500778790389401"/>
    <n v="1.76391052195526"/>
  </r>
  <r>
    <x v="0"/>
    <x v="28"/>
    <x v="7"/>
    <x v="14"/>
    <s v="NO4_Offshore"/>
    <x v="6"/>
    <n v="29.476231795214598"/>
    <n v="8.1878421653373898"/>
  </r>
  <r>
    <x v="0"/>
    <x v="28"/>
    <x v="7"/>
    <x v="14"/>
    <s v="NO4_Offshore"/>
    <x v="7"/>
    <n v="57.838935220261199"/>
    <n v="16.066370894517"/>
  </r>
  <r>
    <x v="0"/>
    <x v="28"/>
    <x v="7"/>
    <x v="14"/>
    <s v="NO4_Offshore"/>
    <x v="8"/>
    <n v="57.838935220261199"/>
    <n v="16.066370894517"/>
  </r>
  <r>
    <x v="0"/>
    <x v="28"/>
    <x v="7"/>
    <x v="14"/>
    <s v="NO4_Offshore"/>
    <x v="9"/>
    <n v="44.4505451532725"/>
    <n v="12.3473736536868"/>
  </r>
  <r>
    <x v="0"/>
    <x v="28"/>
    <x v="7"/>
    <x v="14"/>
    <s v="NO4_Offshore"/>
    <x v="10"/>
    <n v="53.975661971830903"/>
    <n v="14.993239436619699"/>
  </r>
  <r>
    <x v="0"/>
    <x v="28"/>
    <x v="7"/>
    <x v="14"/>
    <s v="NO4_Offshore"/>
    <x v="11"/>
    <n v="3.8806031483015802"/>
    <n v="1.07794531897266"/>
  </r>
  <r>
    <x v="0"/>
    <x v="28"/>
    <x v="7"/>
    <x v="14"/>
    <s v="NO4_Offshore"/>
    <x v="12"/>
    <n v="9.7995028997514597E-2"/>
    <n v="2.72208413881985E-2"/>
  </r>
  <r>
    <x v="0"/>
    <x v="28"/>
    <x v="7"/>
    <x v="14"/>
    <s v="NO4_Offshore"/>
    <x v="13"/>
    <n v="29.633696768848399"/>
    <n v="8.2315824357912195"/>
  </r>
  <r>
    <x v="0"/>
    <x v="28"/>
    <x v="7"/>
    <x v="14"/>
    <s v="NO4_Offshore"/>
    <x v="14"/>
    <n v="29.633696768848399"/>
    <n v="8.2315824357912195"/>
  </r>
  <r>
    <x v="0"/>
    <x v="28"/>
    <x v="7"/>
    <x v="14"/>
    <s v="NO4_Offshore"/>
    <x v="15"/>
    <n v="1.65807589063794"/>
    <n v="0.46057663628831802"/>
  </r>
  <r>
    <x v="0"/>
    <x v="28"/>
    <x v="7"/>
    <x v="14"/>
    <s v="NO4_Offshore"/>
    <x v="16"/>
    <n v="6.5458675795335104"/>
    <n v="1.81829654987042"/>
  </r>
  <r>
    <x v="0"/>
    <x v="28"/>
    <x v="7"/>
    <x v="14"/>
    <s v="NO4_Offshore"/>
    <x v="17"/>
    <n v="9.1244895875632395"/>
    <n v="2.5345804409897901"/>
  </r>
  <r>
    <x v="0"/>
    <x v="28"/>
    <x v="7"/>
    <x v="14"/>
    <s v="NO4_Offshore"/>
    <x v="18"/>
    <n v="29.633696768848399"/>
    <n v="8.2315824357912195"/>
  </r>
  <r>
    <x v="0"/>
    <x v="28"/>
    <x v="7"/>
    <x v="14"/>
    <s v="NO4_Offshore"/>
    <x v="19"/>
    <n v="8.1139884009941898"/>
    <n v="2.2538856669428302"/>
  </r>
  <r>
    <x v="0"/>
    <x v="28"/>
    <x v="7"/>
    <x v="14"/>
    <s v="NO4_Offshore"/>
    <x v="20"/>
    <n v="22.109183021311601"/>
    <n v="6.1414397281420996"/>
  </r>
  <r>
    <x v="0"/>
    <x v="28"/>
    <x v="7"/>
    <x v="14"/>
    <s v="NO4_Offshore"/>
    <x v="21"/>
    <n v="48.24"/>
    <n v="13.4"/>
  </r>
  <r>
    <x v="0"/>
    <x v="28"/>
    <x v="7"/>
    <x v="14"/>
    <s v="NO4_Offshore"/>
    <x v="22"/>
    <n v="67.680000000000007"/>
    <n v="18.8"/>
  </r>
  <r>
    <x v="0"/>
    <x v="28"/>
    <x v="7"/>
    <x v="14"/>
    <s v="NO4_Offshore"/>
    <x v="23"/>
    <n v="0.31515896120488701"/>
    <n v="8.7544155890246306E-2"/>
  </r>
  <r>
    <x v="0"/>
    <x v="28"/>
    <x v="7"/>
    <x v="14"/>
    <s v="NO4_Offshore"/>
    <x v="24"/>
    <n v="19.174223581093901"/>
    <n v="5.32617321697054"/>
  </r>
  <r>
    <x v="0"/>
    <x v="28"/>
    <x v="7"/>
    <x v="14"/>
    <s v="NO4_Offshore"/>
    <x v="25"/>
    <n v="26.209507293842599"/>
    <n v="7.2804186927340497"/>
  </r>
  <r>
    <x v="0"/>
    <x v="28"/>
    <x v="7"/>
    <x v="14"/>
    <s v="NO4_Offshore"/>
    <x v="26"/>
    <n v="33.320887798496699"/>
    <n v="9.2558021662490795"/>
  </r>
  <r>
    <x v="0"/>
    <x v="28"/>
    <x v="7"/>
    <x v="14"/>
    <s v="NO4_Offshore"/>
    <x v="27"/>
    <n v="20.163995508318798"/>
    <n v="5.6011098634218799"/>
  </r>
  <r>
    <x v="0"/>
    <x v="28"/>
    <x v="7"/>
    <x v="15"/>
    <s v="NO5_A1"/>
    <x v="1"/>
    <n v="35.989199999999997"/>
    <n v="9.9969999999999999"/>
  </r>
  <r>
    <x v="0"/>
    <x v="28"/>
    <x v="7"/>
    <x v="15"/>
    <s v="NO5_A1"/>
    <x v="2"/>
    <n v="46.08"/>
    <n v="12.8"/>
  </r>
  <r>
    <x v="0"/>
    <x v="28"/>
    <x v="7"/>
    <x v="15"/>
    <s v="NO5_A1"/>
    <x v="0"/>
    <n v="42.692399999999999"/>
    <n v="11.859"/>
  </r>
  <r>
    <x v="0"/>
    <x v="28"/>
    <x v="7"/>
    <x v="15"/>
    <s v="NO5_A1"/>
    <x v="3"/>
    <n v="51.633543144067197"/>
    <n v="14.342650873352"/>
  </r>
  <r>
    <x v="0"/>
    <x v="28"/>
    <x v="7"/>
    <x v="15"/>
    <s v="NO5_A1"/>
    <x v="4"/>
    <n v="6.3500778790389401"/>
    <n v="1.76391052195526"/>
  </r>
  <r>
    <x v="0"/>
    <x v="28"/>
    <x v="7"/>
    <x v="15"/>
    <s v="NO5_A1"/>
    <x v="5"/>
    <n v="6.3500778790389401"/>
    <n v="1.76391052195526"/>
  </r>
  <r>
    <x v="0"/>
    <x v="28"/>
    <x v="7"/>
    <x v="15"/>
    <s v="NO5_A1"/>
    <x v="6"/>
    <n v="29.476231795214598"/>
    <n v="8.1878421653373898"/>
  </r>
  <r>
    <x v="0"/>
    <x v="28"/>
    <x v="7"/>
    <x v="15"/>
    <s v="NO5_A1"/>
    <x v="7"/>
    <n v="57.838935220261199"/>
    <n v="16.066370894517"/>
  </r>
  <r>
    <x v="0"/>
    <x v="28"/>
    <x v="7"/>
    <x v="15"/>
    <s v="NO5_A1"/>
    <x v="8"/>
    <n v="57.838935220261199"/>
    <n v="16.066370894517"/>
  </r>
  <r>
    <x v="0"/>
    <x v="28"/>
    <x v="7"/>
    <x v="15"/>
    <s v="NO5_A1"/>
    <x v="9"/>
    <n v="44.4505451532725"/>
    <n v="12.3473736536868"/>
  </r>
  <r>
    <x v="0"/>
    <x v="28"/>
    <x v="7"/>
    <x v="15"/>
    <s v="NO5_A1"/>
    <x v="10"/>
    <n v="53.975661971830903"/>
    <n v="14.993239436619699"/>
  </r>
  <r>
    <x v="0"/>
    <x v="28"/>
    <x v="7"/>
    <x v="15"/>
    <s v="NO5_A1"/>
    <x v="11"/>
    <n v="3.8806031483015802"/>
    <n v="1.07794531897266"/>
  </r>
  <r>
    <x v="0"/>
    <x v="28"/>
    <x v="7"/>
    <x v="15"/>
    <s v="NO5_A1"/>
    <x v="12"/>
    <n v="9.7995028997514597E-2"/>
    <n v="2.72208413881985E-2"/>
  </r>
  <r>
    <x v="0"/>
    <x v="28"/>
    <x v="7"/>
    <x v="15"/>
    <s v="NO5_A1"/>
    <x v="13"/>
    <n v="29.633696768848399"/>
    <n v="8.2315824357912195"/>
  </r>
  <r>
    <x v="0"/>
    <x v="28"/>
    <x v="7"/>
    <x v="15"/>
    <s v="NO5_A1"/>
    <x v="14"/>
    <n v="29.633696768848399"/>
    <n v="8.2315824357912195"/>
  </r>
  <r>
    <x v="0"/>
    <x v="28"/>
    <x v="7"/>
    <x v="15"/>
    <s v="NO5_A1"/>
    <x v="15"/>
    <n v="1.65807589063794"/>
    <n v="0.46057663628831802"/>
  </r>
  <r>
    <x v="0"/>
    <x v="28"/>
    <x v="7"/>
    <x v="15"/>
    <s v="NO5_A1"/>
    <x v="16"/>
    <n v="6.5458675795335104"/>
    <n v="1.81829654987042"/>
  </r>
  <r>
    <x v="0"/>
    <x v="28"/>
    <x v="7"/>
    <x v="15"/>
    <s v="NO5_A1"/>
    <x v="17"/>
    <n v="9.1244895875632395"/>
    <n v="2.5345804409897901"/>
  </r>
  <r>
    <x v="0"/>
    <x v="28"/>
    <x v="7"/>
    <x v="15"/>
    <s v="NO5_A1"/>
    <x v="18"/>
    <n v="29.633696768848399"/>
    <n v="8.2315824357912195"/>
  </r>
  <r>
    <x v="0"/>
    <x v="28"/>
    <x v="7"/>
    <x v="15"/>
    <s v="NO5_A1"/>
    <x v="19"/>
    <n v="8.1139884009941898"/>
    <n v="2.2538856669428302"/>
  </r>
  <r>
    <x v="0"/>
    <x v="28"/>
    <x v="7"/>
    <x v="15"/>
    <s v="NO5_A1"/>
    <x v="20"/>
    <n v="22.109183021311601"/>
    <n v="6.1414397281420996"/>
  </r>
  <r>
    <x v="0"/>
    <x v="28"/>
    <x v="7"/>
    <x v="15"/>
    <s v="NO5_A1"/>
    <x v="21"/>
    <n v="48.24"/>
    <n v="13.4"/>
  </r>
  <r>
    <x v="0"/>
    <x v="28"/>
    <x v="7"/>
    <x v="15"/>
    <s v="NO5_A1"/>
    <x v="22"/>
    <n v="67.680000000000007"/>
    <n v="18.8"/>
  </r>
  <r>
    <x v="0"/>
    <x v="28"/>
    <x v="7"/>
    <x v="15"/>
    <s v="NO5_A1"/>
    <x v="23"/>
    <n v="0.31515896120488701"/>
    <n v="8.7544155890246306E-2"/>
  </r>
  <r>
    <x v="0"/>
    <x v="28"/>
    <x v="7"/>
    <x v="15"/>
    <s v="NO5_A1"/>
    <x v="24"/>
    <n v="19.174223581093901"/>
    <n v="5.32617321697054"/>
  </r>
  <r>
    <x v="0"/>
    <x v="28"/>
    <x v="7"/>
    <x v="15"/>
    <s v="NO5_A1"/>
    <x v="25"/>
    <n v="26.209507293842599"/>
    <n v="7.2804186927340497"/>
  </r>
  <r>
    <x v="0"/>
    <x v="28"/>
    <x v="7"/>
    <x v="15"/>
    <s v="NO5_A1"/>
    <x v="26"/>
    <n v="33.320887798496699"/>
    <n v="9.2558021662490795"/>
  </r>
  <r>
    <x v="0"/>
    <x v="28"/>
    <x v="7"/>
    <x v="15"/>
    <s v="NO5_A1"/>
    <x v="27"/>
    <n v="20.163995508318798"/>
    <n v="5.6011098634218799"/>
  </r>
  <r>
    <x v="0"/>
    <x v="28"/>
    <x v="7"/>
    <x v="15"/>
    <s v="NO5_A2"/>
    <x v="1"/>
    <n v="35.989199999999997"/>
    <n v="9.9969999999999999"/>
  </r>
  <r>
    <x v="0"/>
    <x v="28"/>
    <x v="7"/>
    <x v="15"/>
    <s v="NO5_A2"/>
    <x v="2"/>
    <n v="46.08"/>
    <n v="12.8"/>
  </r>
  <r>
    <x v="0"/>
    <x v="28"/>
    <x v="7"/>
    <x v="15"/>
    <s v="NO5_A2"/>
    <x v="0"/>
    <n v="42.692399999999999"/>
    <n v="11.859"/>
  </r>
  <r>
    <x v="0"/>
    <x v="28"/>
    <x v="7"/>
    <x v="15"/>
    <s v="NO5_A2"/>
    <x v="3"/>
    <n v="51.633543144067197"/>
    <n v="14.342650873352"/>
  </r>
  <r>
    <x v="0"/>
    <x v="28"/>
    <x v="7"/>
    <x v="15"/>
    <s v="NO5_A2"/>
    <x v="4"/>
    <n v="6.3500778790389401"/>
    <n v="1.76391052195526"/>
  </r>
  <r>
    <x v="0"/>
    <x v="28"/>
    <x v="7"/>
    <x v="15"/>
    <s v="NO5_A2"/>
    <x v="5"/>
    <n v="6.3500778790389401"/>
    <n v="1.76391052195526"/>
  </r>
  <r>
    <x v="0"/>
    <x v="28"/>
    <x v="7"/>
    <x v="15"/>
    <s v="NO5_A2"/>
    <x v="6"/>
    <n v="29.476231795214598"/>
    <n v="8.1878421653373898"/>
  </r>
  <r>
    <x v="0"/>
    <x v="28"/>
    <x v="7"/>
    <x v="15"/>
    <s v="NO5_A2"/>
    <x v="7"/>
    <n v="57.838935220261199"/>
    <n v="16.066370894517"/>
  </r>
  <r>
    <x v="0"/>
    <x v="28"/>
    <x v="7"/>
    <x v="15"/>
    <s v="NO5_A2"/>
    <x v="8"/>
    <n v="57.838935220261199"/>
    <n v="16.066370894517"/>
  </r>
  <r>
    <x v="0"/>
    <x v="28"/>
    <x v="7"/>
    <x v="15"/>
    <s v="NO5_A2"/>
    <x v="9"/>
    <n v="44.4505451532725"/>
    <n v="12.3473736536868"/>
  </r>
  <r>
    <x v="0"/>
    <x v="28"/>
    <x v="7"/>
    <x v="15"/>
    <s v="NO5_A2"/>
    <x v="10"/>
    <n v="53.975661971830903"/>
    <n v="14.993239436619699"/>
  </r>
  <r>
    <x v="0"/>
    <x v="28"/>
    <x v="7"/>
    <x v="15"/>
    <s v="NO5_A2"/>
    <x v="11"/>
    <n v="3.8806031483015802"/>
    <n v="1.07794531897266"/>
  </r>
  <r>
    <x v="0"/>
    <x v="28"/>
    <x v="7"/>
    <x v="15"/>
    <s v="NO5_A2"/>
    <x v="12"/>
    <n v="9.7995028997514597E-2"/>
    <n v="2.72208413881985E-2"/>
  </r>
  <r>
    <x v="0"/>
    <x v="28"/>
    <x v="7"/>
    <x v="15"/>
    <s v="NO5_A2"/>
    <x v="13"/>
    <n v="29.633696768848399"/>
    <n v="8.2315824357912195"/>
  </r>
  <r>
    <x v="0"/>
    <x v="28"/>
    <x v="7"/>
    <x v="15"/>
    <s v="NO5_A2"/>
    <x v="14"/>
    <n v="29.633696768848399"/>
    <n v="8.2315824357912195"/>
  </r>
  <r>
    <x v="0"/>
    <x v="28"/>
    <x v="7"/>
    <x v="15"/>
    <s v="NO5_A2"/>
    <x v="15"/>
    <n v="1.65807589063794"/>
    <n v="0.46057663628831802"/>
  </r>
  <r>
    <x v="0"/>
    <x v="28"/>
    <x v="7"/>
    <x v="15"/>
    <s v="NO5_A2"/>
    <x v="16"/>
    <n v="6.5458675795335104"/>
    <n v="1.81829654987042"/>
  </r>
  <r>
    <x v="0"/>
    <x v="28"/>
    <x v="7"/>
    <x v="15"/>
    <s v="NO5_A2"/>
    <x v="17"/>
    <n v="9.1244895875632395"/>
    <n v="2.5345804409897901"/>
  </r>
  <r>
    <x v="0"/>
    <x v="28"/>
    <x v="7"/>
    <x v="15"/>
    <s v="NO5_A2"/>
    <x v="18"/>
    <n v="29.633696768848399"/>
    <n v="8.2315824357912195"/>
  </r>
  <r>
    <x v="0"/>
    <x v="28"/>
    <x v="7"/>
    <x v="15"/>
    <s v="NO5_A2"/>
    <x v="19"/>
    <n v="8.1139884009941898"/>
    <n v="2.2538856669428302"/>
  </r>
  <r>
    <x v="0"/>
    <x v="28"/>
    <x v="7"/>
    <x v="15"/>
    <s v="NO5_A2"/>
    <x v="20"/>
    <n v="22.109183021311601"/>
    <n v="6.1414397281420996"/>
  </r>
  <r>
    <x v="0"/>
    <x v="28"/>
    <x v="7"/>
    <x v="15"/>
    <s v="NO5_A2"/>
    <x v="21"/>
    <n v="48.24"/>
    <n v="13.4"/>
  </r>
  <r>
    <x v="0"/>
    <x v="28"/>
    <x v="7"/>
    <x v="15"/>
    <s v="NO5_A2"/>
    <x v="22"/>
    <n v="67.680000000000007"/>
    <n v="18.8"/>
  </r>
  <r>
    <x v="0"/>
    <x v="28"/>
    <x v="7"/>
    <x v="15"/>
    <s v="NO5_A2"/>
    <x v="23"/>
    <n v="0.31515896120488701"/>
    <n v="8.7544155890246306E-2"/>
  </r>
  <r>
    <x v="0"/>
    <x v="28"/>
    <x v="7"/>
    <x v="15"/>
    <s v="NO5_A2"/>
    <x v="24"/>
    <n v="19.174223581093901"/>
    <n v="5.32617321697054"/>
  </r>
  <r>
    <x v="0"/>
    <x v="28"/>
    <x v="7"/>
    <x v="15"/>
    <s v="NO5_A2"/>
    <x v="25"/>
    <n v="26.209507293842599"/>
    <n v="7.2804186927340497"/>
  </r>
  <r>
    <x v="0"/>
    <x v="28"/>
    <x v="7"/>
    <x v="15"/>
    <s v="NO5_A2"/>
    <x v="26"/>
    <n v="33.320887798496699"/>
    <n v="9.2558021662490795"/>
  </r>
  <r>
    <x v="0"/>
    <x v="28"/>
    <x v="7"/>
    <x v="15"/>
    <s v="NO5_A2"/>
    <x v="27"/>
    <n v="20.163995508318798"/>
    <n v="5.6011098634218799"/>
  </r>
  <r>
    <x v="0"/>
    <x v="28"/>
    <x v="7"/>
    <x v="15"/>
    <s v="NO5_Offshore"/>
    <x v="1"/>
    <n v="35.989199999999997"/>
    <n v="9.9969999999999999"/>
  </r>
  <r>
    <x v="0"/>
    <x v="28"/>
    <x v="7"/>
    <x v="15"/>
    <s v="NO5_Offshore"/>
    <x v="2"/>
    <n v="46.08"/>
    <n v="12.8"/>
  </r>
  <r>
    <x v="0"/>
    <x v="28"/>
    <x v="7"/>
    <x v="15"/>
    <s v="NO5_Offshore"/>
    <x v="0"/>
    <n v="42.692399999999999"/>
    <n v="11.859"/>
  </r>
  <r>
    <x v="0"/>
    <x v="28"/>
    <x v="7"/>
    <x v="15"/>
    <s v="NO5_Offshore"/>
    <x v="3"/>
    <n v="51.633543144067197"/>
    <n v="14.342650873352"/>
  </r>
  <r>
    <x v="0"/>
    <x v="28"/>
    <x v="7"/>
    <x v="15"/>
    <s v="NO5_Offshore"/>
    <x v="4"/>
    <n v="6.3500778790389401"/>
    <n v="1.76391052195526"/>
  </r>
  <r>
    <x v="0"/>
    <x v="28"/>
    <x v="7"/>
    <x v="15"/>
    <s v="NO5_Offshore"/>
    <x v="5"/>
    <n v="6.3500778790389401"/>
    <n v="1.76391052195526"/>
  </r>
  <r>
    <x v="0"/>
    <x v="28"/>
    <x v="7"/>
    <x v="15"/>
    <s v="NO5_Offshore"/>
    <x v="6"/>
    <n v="29.476231795214598"/>
    <n v="8.1878421653373898"/>
  </r>
  <r>
    <x v="0"/>
    <x v="28"/>
    <x v="7"/>
    <x v="15"/>
    <s v="NO5_Offshore"/>
    <x v="7"/>
    <n v="57.838935220261199"/>
    <n v="16.066370894517"/>
  </r>
  <r>
    <x v="0"/>
    <x v="28"/>
    <x v="7"/>
    <x v="15"/>
    <s v="NO5_Offshore"/>
    <x v="8"/>
    <n v="57.838935220261199"/>
    <n v="16.066370894517"/>
  </r>
  <r>
    <x v="0"/>
    <x v="28"/>
    <x v="7"/>
    <x v="15"/>
    <s v="NO5_Offshore"/>
    <x v="9"/>
    <n v="44.4505451532725"/>
    <n v="12.3473736536868"/>
  </r>
  <r>
    <x v="0"/>
    <x v="28"/>
    <x v="7"/>
    <x v="15"/>
    <s v="NO5_Offshore"/>
    <x v="10"/>
    <n v="53.975661971830903"/>
    <n v="14.993239436619699"/>
  </r>
  <r>
    <x v="0"/>
    <x v="28"/>
    <x v="7"/>
    <x v="15"/>
    <s v="NO5_Offshore"/>
    <x v="11"/>
    <n v="3.8806031483015802"/>
    <n v="1.07794531897266"/>
  </r>
  <r>
    <x v="0"/>
    <x v="28"/>
    <x v="7"/>
    <x v="15"/>
    <s v="NO5_Offshore"/>
    <x v="12"/>
    <n v="9.7995028997514597E-2"/>
    <n v="2.72208413881985E-2"/>
  </r>
  <r>
    <x v="0"/>
    <x v="28"/>
    <x v="7"/>
    <x v="15"/>
    <s v="NO5_Offshore"/>
    <x v="13"/>
    <n v="29.633696768848399"/>
    <n v="8.2315824357912195"/>
  </r>
  <r>
    <x v="0"/>
    <x v="28"/>
    <x v="7"/>
    <x v="15"/>
    <s v="NO5_Offshore"/>
    <x v="14"/>
    <n v="29.633696768848399"/>
    <n v="8.2315824357912195"/>
  </r>
  <r>
    <x v="0"/>
    <x v="28"/>
    <x v="7"/>
    <x v="15"/>
    <s v="NO5_Offshore"/>
    <x v="15"/>
    <n v="1.65807589063794"/>
    <n v="0.46057663628831802"/>
  </r>
  <r>
    <x v="0"/>
    <x v="28"/>
    <x v="7"/>
    <x v="15"/>
    <s v="NO5_Offshore"/>
    <x v="16"/>
    <n v="6.5458675795335104"/>
    <n v="1.81829654987042"/>
  </r>
  <r>
    <x v="0"/>
    <x v="28"/>
    <x v="7"/>
    <x v="15"/>
    <s v="NO5_Offshore"/>
    <x v="17"/>
    <n v="9.1244895875632395"/>
    <n v="2.5345804409897901"/>
  </r>
  <r>
    <x v="0"/>
    <x v="28"/>
    <x v="7"/>
    <x v="15"/>
    <s v="NO5_Offshore"/>
    <x v="18"/>
    <n v="29.633696768848399"/>
    <n v="8.2315824357912195"/>
  </r>
  <r>
    <x v="0"/>
    <x v="28"/>
    <x v="7"/>
    <x v="15"/>
    <s v="NO5_Offshore"/>
    <x v="19"/>
    <n v="8.1139884009941898"/>
    <n v="2.2538856669428302"/>
  </r>
  <r>
    <x v="0"/>
    <x v="28"/>
    <x v="7"/>
    <x v="15"/>
    <s v="NO5_Offshore"/>
    <x v="20"/>
    <n v="22.109183021311601"/>
    <n v="6.1414397281420996"/>
  </r>
  <r>
    <x v="0"/>
    <x v="28"/>
    <x v="7"/>
    <x v="15"/>
    <s v="NO5_Offshore"/>
    <x v="21"/>
    <n v="48.24"/>
    <n v="13.4"/>
  </r>
  <r>
    <x v="0"/>
    <x v="28"/>
    <x v="7"/>
    <x v="15"/>
    <s v="NO5_Offshore"/>
    <x v="22"/>
    <n v="67.680000000000007"/>
    <n v="18.8"/>
  </r>
  <r>
    <x v="0"/>
    <x v="28"/>
    <x v="7"/>
    <x v="15"/>
    <s v="NO5_Offshore"/>
    <x v="23"/>
    <n v="0.31515896120488701"/>
    <n v="8.7544155890246306E-2"/>
  </r>
  <r>
    <x v="0"/>
    <x v="28"/>
    <x v="7"/>
    <x v="15"/>
    <s v="NO5_Offshore"/>
    <x v="24"/>
    <n v="19.174223581093901"/>
    <n v="5.32617321697054"/>
  </r>
  <r>
    <x v="0"/>
    <x v="28"/>
    <x v="7"/>
    <x v="15"/>
    <s v="NO5_Offshore"/>
    <x v="25"/>
    <n v="26.209507293842599"/>
    <n v="7.2804186927340497"/>
  </r>
  <r>
    <x v="0"/>
    <x v="28"/>
    <x v="7"/>
    <x v="15"/>
    <s v="NO5_Offshore"/>
    <x v="26"/>
    <n v="33.320887798496699"/>
    <n v="9.2558021662490795"/>
  </r>
  <r>
    <x v="0"/>
    <x v="28"/>
    <x v="7"/>
    <x v="15"/>
    <s v="NO5_Offshore"/>
    <x v="27"/>
    <n v="20.163995508318798"/>
    <n v="5.6011098634218799"/>
  </r>
  <r>
    <x v="0"/>
    <x v="28"/>
    <x v="8"/>
    <x v="16"/>
    <s v="PL_A"/>
    <x v="1"/>
    <n v="35.989199999999997"/>
    <n v="9.9969999999999999"/>
  </r>
  <r>
    <x v="0"/>
    <x v="28"/>
    <x v="8"/>
    <x v="16"/>
    <s v="PL_A"/>
    <x v="2"/>
    <n v="46.08"/>
    <n v="12.8"/>
  </r>
  <r>
    <x v="0"/>
    <x v="28"/>
    <x v="8"/>
    <x v="16"/>
    <s v="PL_A"/>
    <x v="0"/>
    <n v="42.692399999999999"/>
    <n v="11.859"/>
  </r>
  <r>
    <x v="0"/>
    <x v="28"/>
    <x v="8"/>
    <x v="16"/>
    <s v="PL_A"/>
    <x v="3"/>
    <n v="51.633543144067197"/>
    <n v="14.342650873352"/>
  </r>
  <r>
    <x v="0"/>
    <x v="28"/>
    <x v="8"/>
    <x v="16"/>
    <s v="PL_A"/>
    <x v="4"/>
    <n v="6.3500778790389401"/>
    <n v="1.76391052195526"/>
  </r>
  <r>
    <x v="0"/>
    <x v="28"/>
    <x v="8"/>
    <x v="16"/>
    <s v="PL_A"/>
    <x v="5"/>
    <n v="6.3500778790389401"/>
    <n v="1.76391052195526"/>
  </r>
  <r>
    <x v="0"/>
    <x v="28"/>
    <x v="8"/>
    <x v="16"/>
    <s v="PL_A"/>
    <x v="6"/>
    <n v="29.476231795214598"/>
    <n v="8.1878421653373898"/>
  </r>
  <r>
    <x v="0"/>
    <x v="28"/>
    <x v="8"/>
    <x v="16"/>
    <s v="PL_A"/>
    <x v="7"/>
    <n v="57.838935220261199"/>
    <n v="16.066370894517"/>
  </r>
  <r>
    <x v="0"/>
    <x v="28"/>
    <x v="8"/>
    <x v="16"/>
    <s v="PL_A"/>
    <x v="8"/>
    <n v="57.838935220261199"/>
    <n v="16.066370894517"/>
  </r>
  <r>
    <x v="0"/>
    <x v="28"/>
    <x v="8"/>
    <x v="16"/>
    <s v="PL_A"/>
    <x v="9"/>
    <n v="44.4505451532725"/>
    <n v="12.3473736536868"/>
  </r>
  <r>
    <x v="0"/>
    <x v="28"/>
    <x v="8"/>
    <x v="16"/>
    <s v="PL_A"/>
    <x v="10"/>
    <n v="53.975661971830903"/>
    <n v="14.993239436619699"/>
  </r>
  <r>
    <x v="0"/>
    <x v="28"/>
    <x v="8"/>
    <x v="16"/>
    <s v="PL_A"/>
    <x v="11"/>
    <n v="3.8806031483015802"/>
    <n v="1.07794531897266"/>
  </r>
  <r>
    <x v="0"/>
    <x v="28"/>
    <x v="8"/>
    <x v="16"/>
    <s v="PL_A"/>
    <x v="12"/>
    <n v="9.7995028997514597E-2"/>
    <n v="2.72208413881985E-2"/>
  </r>
  <r>
    <x v="0"/>
    <x v="28"/>
    <x v="8"/>
    <x v="16"/>
    <s v="PL_A"/>
    <x v="13"/>
    <n v="29.633696768848399"/>
    <n v="8.2315824357912195"/>
  </r>
  <r>
    <x v="0"/>
    <x v="28"/>
    <x v="8"/>
    <x v="16"/>
    <s v="PL_A"/>
    <x v="14"/>
    <n v="29.633696768848399"/>
    <n v="8.2315824357912195"/>
  </r>
  <r>
    <x v="0"/>
    <x v="28"/>
    <x v="8"/>
    <x v="16"/>
    <s v="PL_A"/>
    <x v="15"/>
    <n v="1.65807589063794"/>
    <n v="0.46057663628831802"/>
  </r>
  <r>
    <x v="0"/>
    <x v="28"/>
    <x v="8"/>
    <x v="16"/>
    <s v="PL_A"/>
    <x v="16"/>
    <n v="6.5458675795335104"/>
    <n v="1.81829654987042"/>
  </r>
  <r>
    <x v="0"/>
    <x v="28"/>
    <x v="8"/>
    <x v="16"/>
    <s v="PL_A"/>
    <x v="17"/>
    <n v="9.1244895875632395"/>
    <n v="2.5345804409897901"/>
  </r>
  <r>
    <x v="0"/>
    <x v="28"/>
    <x v="8"/>
    <x v="16"/>
    <s v="PL_A"/>
    <x v="18"/>
    <n v="29.633696768848399"/>
    <n v="8.2315824357912195"/>
  </r>
  <r>
    <x v="0"/>
    <x v="28"/>
    <x v="8"/>
    <x v="16"/>
    <s v="PL_A"/>
    <x v="19"/>
    <n v="8.1139884009941898"/>
    <n v="2.2538856669428302"/>
  </r>
  <r>
    <x v="0"/>
    <x v="28"/>
    <x v="8"/>
    <x v="16"/>
    <s v="PL_A"/>
    <x v="20"/>
    <n v="22.109183021311601"/>
    <n v="6.1414397281420996"/>
  </r>
  <r>
    <x v="0"/>
    <x v="28"/>
    <x v="8"/>
    <x v="16"/>
    <s v="PL_A"/>
    <x v="21"/>
    <n v="48.24"/>
    <n v="13.4"/>
  </r>
  <r>
    <x v="0"/>
    <x v="28"/>
    <x v="8"/>
    <x v="16"/>
    <s v="PL_A"/>
    <x v="22"/>
    <n v="67.680000000000007"/>
    <n v="18.8"/>
  </r>
  <r>
    <x v="0"/>
    <x v="28"/>
    <x v="8"/>
    <x v="16"/>
    <s v="PL_A"/>
    <x v="23"/>
    <n v="0.31515896120488701"/>
    <n v="8.7544155890246306E-2"/>
  </r>
  <r>
    <x v="0"/>
    <x v="28"/>
    <x v="8"/>
    <x v="16"/>
    <s v="PL_A"/>
    <x v="24"/>
    <n v="19.174223581093901"/>
    <n v="5.32617321697054"/>
  </r>
  <r>
    <x v="0"/>
    <x v="28"/>
    <x v="8"/>
    <x v="16"/>
    <s v="PL_A"/>
    <x v="25"/>
    <n v="26.209507293842599"/>
    <n v="7.2804186927340497"/>
  </r>
  <r>
    <x v="0"/>
    <x v="28"/>
    <x v="8"/>
    <x v="16"/>
    <s v="PL_A"/>
    <x v="26"/>
    <n v="33.320887798496699"/>
    <n v="9.2558021662490795"/>
  </r>
  <r>
    <x v="0"/>
    <x v="28"/>
    <x v="8"/>
    <x v="16"/>
    <s v="PL_A"/>
    <x v="27"/>
    <n v="20.163995508318798"/>
    <n v="5.6011098634218799"/>
  </r>
  <r>
    <x v="0"/>
    <x v="28"/>
    <x v="8"/>
    <x v="16"/>
    <s v="PL_OFFSHORE"/>
    <x v="1"/>
    <n v="35.989199999999997"/>
    <n v="9.9969999999999999"/>
  </r>
  <r>
    <x v="0"/>
    <x v="28"/>
    <x v="8"/>
    <x v="16"/>
    <s v="PL_OFFSHORE"/>
    <x v="2"/>
    <n v="46.08"/>
    <n v="12.8"/>
  </r>
  <r>
    <x v="0"/>
    <x v="28"/>
    <x v="8"/>
    <x v="16"/>
    <s v="PL_OFFSHORE"/>
    <x v="0"/>
    <n v="42.692399999999999"/>
    <n v="11.859"/>
  </r>
  <r>
    <x v="0"/>
    <x v="28"/>
    <x v="8"/>
    <x v="16"/>
    <s v="PL_OFFSHORE"/>
    <x v="3"/>
    <n v="51.633543144067197"/>
    <n v="14.342650873352"/>
  </r>
  <r>
    <x v="0"/>
    <x v="28"/>
    <x v="8"/>
    <x v="16"/>
    <s v="PL_OFFSHORE"/>
    <x v="4"/>
    <n v="6.3500778790389401"/>
    <n v="1.76391052195526"/>
  </r>
  <r>
    <x v="0"/>
    <x v="28"/>
    <x v="8"/>
    <x v="16"/>
    <s v="PL_OFFSHORE"/>
    <x v="5"/>
    <n v="6.3500778790389401"/>
    <n v="1.76391052195526"/>
  </r>
  <r>
    <x v="0"/>
    <x v="28"/>
    <x v="8"/>
    <x v="16"/>
    <s v="PL_OFFSHORE"/>
    <x v="6"/>
    <n v="29.476231795214598"/>
    <n v="8.1878421653373898"/>
  </r>
  <r>
    <x v="0"/>
    <x v="28"/>
    <x v="8"/>
    <x v="16"/>
    <s v="PL_OFFSHORE"/>
    <x v="7"/>
    <n v="57.838935220261199"/>
    <n v="16.066370894517"/>
  </r>
  <r>
    <x v="0"/>
    <x v="28"/>
    <x v="8"/>
    <x v="16"/>
    <s v="PL_OFFSHORE"/>
    <x v="8"/>
    <n v="57.838935220261199"/>
    <n v="16.066370894517"/>
  </r>
  <r>
    <x v="0"/>
    <x v="28"/>
    <x v="8"/>
    <x v="16"/>
    <s v="PL_OFFSHORE"/>
    <x v="9"/>
    <n v="44.4505451532725"/>
    <n v="12.3473736536868"/>
  </r>
  <r>
    <x v="0"/>
    <x v="28"/>
    <x v="8"/>
    <x v="16"/>
    <s v="PL_OFFSHORE"/>
    <x v="10"/>
    <n v="53.975661971830903"/>
    <n v="14.993239436619699"/>
  </r>
  <r>
    <x v="0"/>
    <x v="28"/>
    <x v="8"/>
    <x v="16"/>
    <s v="PL_OFFSHORE"/>
    <x v="11"/>
    <n v="3.8806031483015802"/>
    <n v="1.07794531897266"/>
  </r>
  <r>
    <x v="0"/>
    <x v="28"/>
    <x v="8"/>
    <x v="16"/>
    <s v="PL_OFFSHORE"/>
    <x v="12"/>
    <n v="9.7995028997514597E-2"/>
    <n v="2.72208413881985E-2"/>
  </r>
  <r>
    <x v="0"/>
    <x v="28"/>
    <x v="8"/>
    <x v="16"/>
    <s v="PL_OFFSHORE"/>
    <x v="13"/>
    <n v="29.633696768848399"/>
    <n v="8.2315824357912195"/>
  </r>
  <r>
    <x v="0"/>
    <x v="28"/>
    <x v="8"/>
    <x v="16"/>
    <s v="PL_OFFSHORE"/>
    <x v="14"/>
    <n v="29.633696768848399"/>
    <n v="8.2315824357912195"/>
  </r>
  <r>
    <x v="0"/>
    <x v="28"/>
    <x v="8"/>
    <x v="16"/>
    <s v="PL_OFFSHORE"/>
    <x v="15"/>
    <n v="1.65807589063794"/>
    <n v="0.46057663628831802"/>
  </r>
  <r>
    <x v="0"/>
    <x v="28"/>
    <x v="8"/>
    <x v="16"/>
    <s v="PL_OFFSHORE"/>
    <x v="16"/>
    <n v="6.5458675795335104"/>
    <n v="1.81829654987042"/>
  </r>
  <r>
    <x v="0"/>
    <x v="28"/>
    <x v="8"/>
    <x v="16"/>
    <s v="PL_OFFSHORE"/>
    <x v="17"/>
    <n v="9.1244895875632395"/>
    <n v="2.5345804409897901"/>
  </r>
  <r>
    <x v="0"/>
    <x v="28"/>
    <x v="8"/>
    <x v="16"/>
    <s v="PL_OFFSHORE"/>
    <x v="18"/>
    <n v="29.633696768848399"/>
    <n v="8.2315824357912195"/>
  </r>
  <r>
    <x v="0"/>
    <x v="28"/>
    <x v="8"/>
    <x v="16"/>
    <s v="PL_OFFSHORE"/>
    <x v="19"/>
    <n v="8.1139884009941898"/>
    <n v="2.2538856669428302"/>
  </r>
  <r>
    <x v="0"/>
    <x v="28"/>
    <x v="8"/>
    <x v="16"/>
    <s v="PL_OFFSHORE"/>
    <x v="20"/>
    <n v="22.109183021311601"/>
    <n v="6.1414397281420996"/>
  </r>
  <r>
    <x v="0"/>
    <x v="28"/>
    <x v="8"/>
    <x v="16"/>
    <s v="PL_OFFSHORE"/>
    <x v="21"/>
    <n v="48.24"/>
    <n v="13.4"/>
  </r>
  <r>
    <x v="0"/>
    <x v="28"/>
    <x v="8"/>
    <x v="16"/>
    <s v="PL_OFFSHORE"/>
    <x v="22"/>
    <n v="67.680000000000007"/>
    <n v="18.8"/>
  </r>
  <r>
    <x v="0"/>
    <x v="28"/>
    <x v="8"/>
    <x v="16"/>
    <s v="PL_OFFSHORE"/>
    <x v="23"/>
    <n v="0.31515896120488701"/>
    <n v="8.7544155890246306E-2"/>
  </r>
  <r>
    <x v="0"/>
    <x v="28"/>
    <x v="8"/>
    <x v="16"/>
    <s v="PL_OFFSHORE"/>
    <x v="24"/>
    <n v="19.174223581093901"/>
    <n v="5.32617321697054"/>
  </r>
  <r>
    <x v="0"/>
    <x v="28"/>
    <x v="8"/>
    <x v="16"/>
    <s v="PL_OFFSHORE"/>
    <x v="25"/>
    <n v="26.209507293842599"/>
    <n v="7.2804186927340497"/>
  </r>
  <r>
    <x v="0"/>
    <x v="28"/>
    <x v="8"/>
    <x v="16"/>
    <s v="PL_OFFSHORE"/>
    <x v="26"/>
    <n v="33.320887798496699"/>
    <n v="9.2558021662490795"/>
  </r>
  <r>
    <x v="0"/>
    <x v="28"/>
    <x v="8"/>
    <x v="16"/>
    <s v="PL_OFFSHORE"/>
    <x v="27"/>
    <n v="20.163995508318798"/>
    <n v="5.6011098634218799"/>
  </r>
  <r>
    <x v="0"/>
    <x v="28"/>
    <x v="8"/>
    <x v="16"/>
    <s v="PL_Rural"/>
    <x v="1"/>
    <n v="35.989199999999997"/>
    <n v="9.9969999999999999"/>
  </r>
  <r>
    <x v="0"/>
    <x v="28"/>
    <x v="8"/>
    <x v="16"/>
    <s v="PL_Rural"/>
    <x v="2"/>
    <n v="46.08"/>
    <n v="12.8"/>
  </r>
  <r>
    <x v="0"/>
    <x v="28"/>
    <x v="8"/>
    <x v="16"/>
    <s v="PL_Rural"/>
    <x v="0"/>
    <n v="42.692399999999999"/>
    <n v="11.859"/>
  </r>
  <r>
    <x v="0"/>
    <x v="28"/>
    <x v="8"/>
    <x v="16"/>
    <s v="PL_Rural"/>
    <x v="3"/>
    <n v="51.633543144067197"/>
    <n v="14.342650873352"/>
  </r>
  <r>
    <x v="0"/>
    <x v="28"/>
    <x v="8"/>
    <x v="16"/>
    <s v="PL_Rural"/>
    <x v="4"/>
    <n v="6.3500778790389401"/>
    <n v="1.76391052195526"/>
  </r>
  <r>
    <x v="0"/>
    <x v="28"/>
    <x v="8"/>
    <x v="16"/>
    <s v="PL_Rural"/>
    <x v="5"/>
    <n v="6.3500778790389401"/>
    <n v="1.76391052195526"/>
  </r>
  <r>
    <x v="0"/>
    <x v="28"/>
    <x v="8"/>
    <x v="16"/>
    <s v="PL_Rural"/>
    <x v="6"/>
    <n v="29.476231795214598"/>
    <n v="8.1878421653373898"/>
  </r>
  <r>
    <x v="0"/>
    <x v="28"/>
    <x v="8"/>
    <x v="16"/>
    <s v="PL_Rural"/>
    <x v="7"/>
    <n v="57.838935220261199"/>
    <n v="16.066370894517"/>
  </r>
  <r>
    <x v="0"/>
    <x v="28"/>
    <x v="8"/>
    <x v="16"/>
    <s v="PL_Rural"/>
    <x v="8"/>
    <n v="57.838935220261199"/>
    <n v="16.066370894517"/>
  </r>
  <r>
    <x v="0"/>
    <x v="28"/>
    <x v="8"/>
    <x v="16"/>
    <s v="PL_Rural"/>
    <x v="9"/>
    <n v="44.4505451532725"/>
    <n v="12.3473736536868"/>
  </r>
  <r>
    <x v="0"/>
    <x v="28"/>
    <x v="8"/>
    <x v="16"/>
    <s v="PL_Rural"/>
    <x v="10"/>
    <n v="53.975661971830903"/>
    <n v="14.993239436619699"/>
  </r>
  <r>
    <x v="0"/>
    <x v="28"/>
    <x v="8"/>
    <x v="16"/>
    <s v="PL_Rural"/>
    <x v="11"/>
    <n v="3.8806031483015802"/>
    <n v="1.07794531897266"/>
  </r>
  <r>
    <x v="0"/>
    <x v="28"/>
    <x v="8"/>
    <x v="16"/>
    <s v="PL_Rural"/>
    <x v="12"/>
    <n v="9.7995028997514597E-2"/>
    <n v="2.72208413881985E-2"/>
  </r>
  <r>
    <x v="0"/>
    <x v="28"/>
    <x v="8"/>
    <x v="16"/>
    <s v="PL_Rural"/>
    <x v="13"/>
    <n v="29.633696768848399"/>
    <n v="8.2315824357912195"/>
  </r>
  <r>
    <x v="0"/>
    <x v="28"/>
    <x v="8"/>
    <x v="16"/>
    <s v="PL_Rural"/>
    <x v="14"/>
    <n v="29.633696768848399"/>
    <n v="8.2315824357912195"/>
  </r>
  <r>
    <x v="0"/>
    <x v="28"/>
    <x v="8"/>
    <x v="16"/>
    <s v="PL_Rural"/>
    <x v="15"/>
    <n v="1.65807589063794"/>
    <n v="0.46057663628831802"/>
  </r>
  <r>
    <x v="0"/>
    <x v="28"/>
    <x v="8"/>
    <x v="16"/>
    <s v="PL_Rural"/>
    <x v="16"/>
    <n v="6.5458675795335104"/>
    <n v="1.81829654987042"/>
  </r>
  <r>
    <x v="0"/>
    <x v="28"/>
    <x v="8"/>
    <x v="16"/>
    <s v="PL_Rural"/>
    <x v="17"/>
    <n v="9.1244895875632395"/>
    <n v="2.5345804409897901"/>
  </r>
  <r>
    <x v="0"/>
    <x v="28"/>
    <x v="8"/>
    <x v="16"/>
    <s v="PL_Rural"/>
    <x v="18"/>
    <n v="29.633696768848399"/>
    <n v="8.2315824357912195"/>
  </r>
  <r>
    <x v="0"/>
    <x v="28"/>
    <x v="8"/>
    <x v="16"/>
    <s v="PL_Rural"/>
    <x v="19"/>
    <n v="8.1139884009941898"/>
    <n v="2.2538856669428302"/>
  </r>
  <r>
    <x v="0"/>
    <x v="28"/>
    <x v="8"/>
    <x v="16"/>
    <s v="PL_Rural"/>
    <x v="20"/>
    <n v="22.109183021311601"/>
    <n v="6.1414397281420996"/>
  </r>
  <r>
    <x v="0"/>
    <x v="28"/>
    <x v="8"/>
    <x v="16"/>
    <s v="PL_Rural"/>
    <x v="21"/>
    <n v="48.24"/>
    <n v="13.4"/>
  </r>
  <r>
    <x v="0"/>
    <x v="28"/>
    <x v="8"/>
    <x v="16"/>
    <s v="PL_Rural"/>
    <x v="22"/>
    <n v="67.680000000000007"/>
    <n v="18.8"/>
  </r>
  <r>
    <x v="0"/>
    <x v="28"/>
    <x v="8"/>
    <x v="16"/>
    <s v="PL_Rural"/>
    <x v="23"/>
    <n v="0.31515896120488701"/>
    <n v="8.7544155890246306E-2"/>
  </r>
  <r>
    <x v="0"/>
    <x v="28"/>
    <x v="8"/>
    <x v="16"/>
    <s v="PL_Rural"/>
    <x v="24"/>
    <n v="19.174223581093901"/>
    <n v="5.32617321697054"/>
  </r>
  <r>
    <x v="0"/>
    <x v="28"/>
    <x v="8"/>
    <x v="16"/>
    <s v="PL_Rural"/>
    <x v="25"/>
    <n v="26.209507293842599"/>
    <n v="7.2804186927340497"/>
  </r>
  <r>
    <x v="0"/>
    <x v="28"/>
    <x v="8"/>
    <x v="16"/>
    <s v="PL_Rural"/>
    <x v="26"/>
    <n v="33.320887798496699"/>
    <n v="9.2558021662490795"/>
  </r>
  <r>
    <x v="0"/>
    <x v="28"/>
    <x v="8"/>
    <x v="16"/>
    <s v="PL_Rural"/>
    <x v="27"/>
    <n v="20.163995508318798"/>
    <n v="5.6011098634218799"/>
  </r>
  <r>
    <x v="0"/>
    <x v="28"/>
    <x v="9"/>
    <x v="17"/>
    <s v="SE1A"/>
    <x v="1"/>
    <n v="35.989199999999997"/>
    <n v="9.9969999999999999"/>
  </r>
  <r>
    <x v="0"/>
    <x v="28"/>
    <x v="9"/>
    <x v="17"/>
    <s v="SE1A"/>
    <x v="2"/>
    <n v="46.08"/>
    <n v="12.8"/>
  </r>
  <r>
    <x v="0"/>
    <x v="28"/>
    <x v="9"/>
    <x v="17"/>
    <s v="SE1A"/>
    <x v="0"/>
    <n v="42.692399999999999"/>
    <n v="11.859"/>
  </r>
  <r>
    <x v="0"/>
    <x v="28"/>
    <x v="9"/>
    <x v="17"/>
    <s v="SE1A"/>
    <x v="3"/>
    <n v="51.633543144067197"/>
    <n v="14.342650873352"/>
  </r>
  <r>
    <x v="0"/>
    <x v="28"/>
    <x v="9"/>
    <x v="17"/>
    <s v="SE1A"/>
    <x v="4"/>
    <n v="6.3500778790389401"/>
    <n v="1.76391052195526"/>
  </r>
  <r>
    <x v="0"/>
    <x v="28"/>
    <x v="9"/>
    <x v="17"/>
    <s v="SE1A"/>
    <x v="5"/>
    <n v="6.3500778790389401"/>
    <n v="1.76391052195526"/>
  </r>
  <r>
    <x v="0"/>
    <x v="28"/>
    <x v="9"/>
    <x v="17"/>
    <s v="SE1A"/>
    <x v="6"/>
    <n v="29.476231795214598"/>
    <n v="8.1878421653373898"/>
  </r>
  <r>
    <x v="0"/>
    <x v="28"/>
    <x v="9"/>
    <x v="17"/>
    <s v="SE1A"/>
    <x v="7"/>
    <n v="57.838935220261199"/>
    <n v="16.066370894517"/>
  </r>
  <r>
    <x v="0"/>
    <x v="28"/>
    <x v="9"/>
    <x v="17"/>
    <s v="SE1A"/>
    <x v="8"/>
    <n v="57.838935220261199"/>
    <n v="16.066370894517"/>
  </r>
  <r>
    <x v="0"/>
    <x v="28"/>
    <x v="9"/>
    <x v="17"/>
    <s v="SE1A"/>
    <x v="9"/>
    <n v="44.4505451532725"/>
    <n v="12.3473736536868"/>
  </r>
  <r>
    <x v="0"/>
    <x v="28"/>
    <x v="9"/>
    <x v="17"/>
    <s v="SE1A"/>
    <x v="10"/>
    <n v="53.975661971830903"/>
    <n v="14.993239436619699"/>
  </r>
  <r>
    <x v="0"/>
    <x v="28"/>
    <x v="9"/>
    <x v="17"/>
    <s v="SE1A"/>
    <x v="11"/>
    <n v="3.8806031483015802"/>
    <n v="1.07794531897266"/>
  </r>
  <r>
    <x v="0"/>
    <x v="28"/>
    <x v="9"/>
    <x v="17"/>
    <s v="SE1A"/>
    <x v="12"/>
    <n v="9.7995028997514597E-2"/>
    <n v="2.72208413881985E-2"/>
  </r>
  <r>
    <x v="0"/>
    <x v="28"/>
    <x v="9"/>
    <x v="17"/>
    <s v="SE1A"/>
    <x v="13"/>
    <n v="29.633696768848399"/>
    <n v="8.2315824357912195"/>
  </r>
  <r>
    <x v="0"/>
    <x v="28"/>
    <x v="9"/>
    <x v="17"/>
    <s v="SE1A"/>
    <x v="14"/>
    <n v="29.633696768848399"/>
    <n v="8.2315824357912195"/>
  </r>
  <r>
    <x v="0"/>
    <x v="28"/>
    <x v="9"/>
    <x v="17"/>
    <s v="SE1A"/>
    <x v="15"/>
    <n v="1.65807589063794"/>
    <n v="0.46057663628831802"/>
  </r>
  <r>
    <x v="0"/>
    <x v="28"/>
    <x v="9"/>
    <x v="17"/>
    <s v="SE1A"/>
    <x v="16"/>
    <n v="6.5458675795335104"/>
    <n v="1.81829654987042"/>
  </r>
  <r>
    <x v="0"/>
    <x v="28"/>
    <x v="9"/>
    <x v="17"/>
    <s v="SE1A"/>
    <x v="17"/>
    <n v="9.1244895875632395"/>
    <n v="2.5345804409897901"/>
  </r>
  <r>
    <x v="0"/>
    <x v="28"/>
    <x v="9"/>
    <x v="17"/>
    <s v="SE1A"/>
    <x v="18"/>
    <n v="29.633696768848399"/>
    <n v="8.2315824357912195"/>
  </r>
  <r>
    <x v="0"/>
    <x v="28"/>
    <x v="9"/>
    <x v="17"/>
    <s v="SE1A"/>
    <x v="19"/>
    <n v="8.1139884009941898"/>
    <n v="2.2538856669428302"/>
  </r>
  <r>
    <x v="0"/>
    <x v="28"/>
    <x v="9"/>
    <x v="17"/>
    <s v="SE1A"/>
    <x v="20"/>
    <n v="22.109183021311601"/>
    <n v="6.1414397281420996"/>
  </r>
  <r>
    <x v="0"/>
    <x v="28"/>
    <x v="9"/>
    <x v="17"/>
    <s v="SE1A"/>
    <x v="21"/>
    <n v="48.24"/>
    <n v="13.4"/>
  </r>
  <r>
    <x v="0"/>
    <x v="28"/>
    <x v="9"/>
    <x v="17"/>
    <s v="SE1A"/>
    <x v="22"/>
    <n v="67.680000000000007"/>
    <n v="18.8"/>
  </r>
  <r>
    <x v="0"/>
    <x v="28"/>
    <x v="9"/>
    <x v="17"/>
    <s v="SE1A"/>
    <x v="23"/>
    <n v="0.31515896120488701"/>
    <n v="8.7544155890246306E-2"/>
  </r>
  <r>
    <x v="0"/>
    <x v="28"/>
    <x v="9"/>
    <x v="17"/>
    <s v="SE1A"/>
    <x v="24"/>
    <n v="19.174223581093901"/>
    <n v="5.32617321697054"/>
  </r>
  <r>
    <x v="0"/>
    <x v="28"/>
    <x v="9"/>
    <x v="17"/>
    <s v="SE1A"/>
    <x v="25"/>
    <n v="26.209507293842599"/>
    <n v="7.2804186927340497"/>
  </r>
  <r>
    <x v="0"/>
    <x v="28"/>
    <x v="9"/>
    <x v="17"/>
    <s v="SE1A"/>
    <x v="26"/>
    <n v="33.320887798496699"/>
    <n v="9.2558021662490795"/>
  </r>
  <r>
    <x v="0"/>
    <x v="28"/>
    <x v="9"/>
    <x v="17"/>
    <s v="SE1A"/>
    <x v="27"/>
    <n v="20.163995508318798"/>
    <n v="5.6011098634218799"/>
  </r>
  <r>
    <x v="0"/>
    <x v="28"/>
    <x v="9"/>
    <x v="17"/>
    <s v="SE1_IND"/>
    <x v="1"/>
    <n v="35.989199999999997"/>
    <n v="9.9969999999999999"/>
  </r>
  <r>
    <x v="0"/>
    <x v="28"/>
    <x v="9"/>
    <x v="17"/>
    <s v="SE1_IND"/>
    <x v="2"/>
    <n v="46.08"/>
    <n v="12.8"/>
  </r>
  <r>
    <x v="0"/>
    <x v="28"/>
    <x v="9"/>
    <x v="17"/>
    <s v="SE1_IND"/>
    <x v="0"/>
    <n v="42.692399999999999"/>
    <n v="11.859"/>
  </r>
  <r>
    <x v="0"/>
    <x v="28"/>
    <x v="9"/>
    <x v="17"/>
    <s v="SE1_IND"/>
    <x v="3"/>
    <n v="51.633543144067197"/>
    <n v="14.342650873352"/>
  </r>
  <r>
    <x v="0"/>
    <x v="28"/>
    <x v="9"/>
    <x v="17"/>
    <s v="SE1_IND"/>
    <x v="4"/>
    <n v="6.3500778790389401"/>
    <n v="1.76391052195526"/>
  </r>
  <r>
    <x v="0"/>
    <x v="28"/>
    <x v="9"/>
    <x v="17"/>
    <s v="SE1_IND"/>
    <x v="5"/>
    <n v="6.3500778790389401"/>
    <n v="1.76391052195526"/>
  </r>
  <r>
    <x v="0"/>
    <x v="28"/>
    <x v="9"/>
    <x v="17"/>
    <s v="SE1_IND"/>
    <x v="6"/>
    <n v="29.476231795214598"/>
    <n v="8.1878421653373898"/>
  </r>
  <r>
    <x v="0"/>
    <x v="28"/>
    <x v="9"/>
    <x v="17"/>
    <s v="SE1_IND"/>
    <x v="7"/>
    <n v="57.838935220261199"/>
    <n v="16.066370894517"/>
  </r>
  <r>
    <x v="0"/>
    <x v="28"/>
    <x v="9"/>
    <x v="17"/>
    <s v="SE1_IND"/>
    <x v="8"/>
    <n v="57.838935220261199"/>
    <n v="16.066370894517"/>
  </r>
  <r>
    <x v="0"/>
    <x v="28"/>
    <x v="9"/>
    <x v="17"/>
    <s v="SE1_IND"/>
    <x v="9"/>
    <n v="44.4505451532725"/>
    <n v="12.3473736536868"/>
  </r>
  <r>
    <x v="0"/>
    <x v="28"/>
    <x v="9"/>
    <x v="17"/>
    <s v="SE1_IND"/>
    <x v="10"/>
    <n v="53.975661971830903"/>
    <n v="14.993239436619699"/>
  </r>
  <r>
    <x v="0"/>
    <x v="28"/>
    <x v="9"/>
    <x v="17"/>
    <s v="SE1_IND"/>
    <x v="11"/>
    <n v="3.8806031483015802"/>
    <n v="1.07794531897266"/>
  </r>
  <r>
    <x v="0"/>
    <x v="28"/>
    <x v="9"/>
    <x v="17"/>
    <s v="SE1_IND"/>
    <x v="12"/>
    <n v="9.7995028997514597E-2"/>
    <n v="2.72208413881985E-2"/>
  </r>
  <r>
    <x v="0"/>
    <x v="28"/>
    <x v="9"/>
    <x v="17"/>
    <s v="SE1_IND"/>
    <x v="13"/>
    <n v="29.633696768848399"/>
    <n v="8.2315824357912195"/>
  </r>
  <r>
    <x v="0"/>
    <x v="28"/>
    <x v="9"/>
    <x v="17"/>
    <s v="SE1_IND"/>
    <x v="14"/>
    <n v="29.633696768848399"/>
    <n v="8.2315824357912195"/>
  </r>
  <r>
    <x v="0"/>
    <x v="28"/>
    <x v="9"/>
    <x v="17"/>
    <s v="SE1_IND"/>
    <x v="15"/>
    <n v="1.65807589063794"/>
    <n v="0.46057663628831802"/>
  </r>
  <r>
    <x v="0"/>
    <x v="28"/>
    <x v="9"/>
    <x v="17"/>
    <s v="SE1_IND"/>
    <x v="16"/>
    <n v="6.5458675795335104"/>
    <n v="1.81829654987042"/>
  </r>
  <r>
    <x v="0"/>
    <x v="28"/>
    <x v="9"/>
    <x v="17"/>
    <s v="SE1_IND"/>
    <x v="17"/>
    <n v="9.1244895875632395"/>
    <n v="2.5345804409897901"/>
  </r>
  <r>
    <x v="0"/>
    <x v="28"/>
    <x v="9"/>
    <x v="17"/>
    <s v="SE1_IND"/>
    <x v="18"/>
    <n v="29.633696768848399"/>
    <n v="8.2315824357912195"/>
  </r>
  <r>
    <x v="0"/>
    <x v="28"/>
    <x v="9"/>
    <x v="17"/>
    <s v="SE1_IND"/>
    <x v="19"/>
    <n v="8.1139884009941898"/>
    <n v="2.2538856669428302"/>
  </r>
  <r>
    <x v="0"/>
    <x v="28"/>
    <x v="9"/>
    <x v="17"/>
    <s v="SE1_IND"/>
    <x v="20"/>
    <n v="22.109183021311601"/>
    <n v="6.1414397281420996"/>
  </r>
  <r>
    <x v="0"/>
    <x v="28"/>
    <x v="9"/>
    <x v="17"/>
    <s v="SE1_IND"/>
    <x v="21"/>
    <n v="48.24"/>
    <n v="13.4"/>
  </r>
  <r>
    <x v="0"/>
    <x v="28"/>
    <x v="9"/>
    <x v="17"/>
    <s v="SE1_IND"/>
    <x v="22"/>
    <n v="67.680000000000007"/>
    <n v="18.8"/>
  </r>
  <r>
    <x v="0"/>
    <x v="28"/>
    <x v="9"/>
    <x v="17"/>
    <s v="SE1_IND"/>
    <x v="23"/>
    <n v="0.31515896120488701"/>
    <n v="8.7544155890246306E-2"/>
  </r>
  <r>
    <x v="0"/>
    <x v="28"/>
    <x v="9"/>
    <x v="17"/>
    <s v="SE1_IND"/>
    <x v="24"/>
    <n v="19.174223581093901"/>
    <n v="5.32617321697054"/>
  </r>
  <r>
    <x v="0"/>
    <x v="28"/>
    <x v="9"/>
    <x v="17"/>
    <s v="SE1_IND"/>
    <x v="25"/>
    <n v="26.209507293842599"/>
    <n v="7.2804186927340497"/>
  </r>
  <r>
    <x v="0"/>
    <x v="28"/>
    <x v="9"/>
    <x v="17"/>
    <s v="SE1_IND"/>
    <x v="26"/>
    <n v="33.320887798496699"/>
    <n v="9.2558021662490795"/>
  </r>
  <r>
    <x v="0"/>
    <x v="28"/>
    <x v="9"/>
    <x v="17"/>
    <s v="SE1_IND"/>
    <x v="27"/>
    <n v="20.163995508318798"/>
    <n v="5.6011098634218799"/>
  </r>
  <r>
    <x v="0"/>
    <x v="28"/>
    <x v="9"/>
    <x v="17"/>
    <s v="SE1_Offshore"/>
    <x v="1"/>
    <n v="35.989199999999997"/>
    <n v="9.9969999999999999"/>
  </r>
  <r>
    <x v="0"/>
    <x v="28"/>
    <x v="9"/>
    <x v="17"/>
    <s v="SE1_Offshore"/>
    <x v="2"/>
    <n v="46.08"/>
    <n v="12.8"/>
  </r>
  <r>
    <x v="0"/>
    <x v="28"/>
    <x v="9"/>
    <x v="17"/>
    <s v="SE1_Offshore"/>
    <x v="0"/>
    <n v="42.692399999999999"/>
    <n v="11.859"/>
  </r>
  <r>
    <x v="0"/>
    <x v="28"/>
    <x v="9"/>
    <x v="17"/>
    <s v="SE1_Offshore"/>
    <x v="3"/>
    <n v="51.633543144067197"/>
    <n v="14.342650873352"/>
  </r>
  <r>
    <x v="0"/>
    <x v="28"/>
    <x v="9"/>
    <x v="17"/>
    <s v="SE1_Offshore"/>
    <x v="4"/>
    <n v="6.3500778790389401"/>
    <n v="1.76391052195526"/>
  </r>
  <r>
    <x v="0"/>
    <x v="28"/>
    <x v="9"/>
    <x v="17"/>
    <s v="SE1_Offshore"/>
    <x v="5"/>
    <n v="6.3500778790389401"/>
    <n v="1.76391052195526"/>
  </r>
  <r>
    <x v="0"/>
    <x v="28"/>
    <x v="9"/>
    <x v="17"/>
    <s v="SE1_Offshore"/>
    <x v="6"/>
    <n v="29.476231795214598"/>
    <n v="8.1878421653373898"/>
  </r>
  <r>
    <x v="0"/>
    <x v="28"/>
    <x v="9"/>
    <x v="17"/>
    <s v="SE1_Offshore"/>
    <x v="7"/>
    <n v="57.838935220261199"/>
    <n v="16.066370894517"/>
  </r>
  <r>
    <x v="0"/>
    <x v="28"/>
    <x v="9"/>
    <x v="17"/>
    <s v="SE1_Offshore"/>
    <x v="8"/>
    <n v="57.838935220261199"/>
    <n v="16.066370894517"/>
  </r>
  <r>
    <x v="0"/>
    <x v="28"/>
    <x v="9"/>
    <x v="17"/>
    <s v="SE1_Offshore"/>
    <x v="9"/>
    <n v="44.4505451532725"/>
    <n v="12.3473736536868"/>
  </r>
  <r>
    <x v="0"/>
    <x v="28"/>
    <x v="9"/>
    <x v="17"/>
    <s v="SE1_Offshore"/>
    <x v="10"/>
    <n v="53.975661971830903"/>
    <n v="14.993239436619699"/>
  </r>
  <r>
    <x v="0"/>
    <x v="28"/>
    <x v="9"/>
    <x v="17"/>
    <s v="SE1_Offshore"/>
    <x v="11"/>
    <n v="3.8806031483015802"/>
    <n v="1.07794531897266"/>
  </r>
  <r>
    <x v="0"/>
    <x v="28"/>
    <x v="9"/>
    <x v="17"/>
    <s v="SE1_Offshore"/>
    <x v="12"/>
    <n v="9.7995028997514597E-2"/>
    <n v="2.72208413881985E-2"/>
  </r>
  <r>
    <x v="0"/>
    <x v="28"/>
    <x v="9"/>
    <x v="17"/>
    <s v="SE1_Offshore"/>
    <x v="13"/>
    <n v="29.633696768848399"/>
    <n v="8.2315824357912195"/>
  </r>
  <r>
    <x v="0"/>
    <x v="28"/>
    <x v="9"/>
    <x v="17"/>
    <s v="SE1_Offshore"/>
    <x v="14"/>
    <n v="29.633696768848399"/>
    <n v="8.2315824357912195"/>
  </r>
  <r>
    <x v="0"/>
    <x v="28"/>
    <x v="9"/>
    <x v="17"/>
    <s v="SE1_Offshore"/>
    <x v="15"/>
    <n v="1.65807589063794"/>
    <n v="0.46057663628831802"/>
  </r>
  <r>
    <x v="0"/>
    <x v="28"/>
    <x v="9"/>
    <x v="17"/>
    <s v="SE1_Offshore"/>
    <x v="16"/>
    <n v="6.5458675795335104"/>
    <n v="1.81829654987042"/>
  </r>
  <r>
    <x v="0"/>
    <x v="28"/>
    <x v="9"/>
    <x v="17"/>
    <s v="SE1_Offshore"/>
    <x v="17"/>
    <n v="9.1244895875632395"/>
    <n v="2.5345804409897901"/>
  </r>
  <r>
    <x v="0"/>
    <x v="28"/>
    <x v="9"/>
    <x v="17"/>
    <s v="SE1_Offshore"/>
    <x v="18"/>
    <n v="29.633696768848399"/>
    <n v="8.2315824357912195"/>
  </r>
  <r>
    <x v="0"/>
    <x v="28"/>
    <x v="9"/>
    <x v="17"/>
    <s v="SE1_Offshore"/>
    <x v="19"/>
    <n v="8.1139884009941898"/>
    <n v="2.2538856669428302"/>
  </r>
  <r>
    <x v="0"/>
    <x v="28"/>
    <x v="9"/>
    <x v="17"/>
    <s v="SE1_Offshore"/>
    <x v="20"/>
    <n v="22.109183021311601"/>
    <n v="6.1414397281420996"/>
  </r>
  <r>
    <x v="0"/>
    <x v="28"/>
    <x v="9"/>
    <x v="17"/>
    <s v="SE1_Offshore"/>
    <x v="21"/>
    <n v="48.24"/>
    <n v="13.4"/>
  </r>
  <r>
    <x v="0"/>
    <x v="28"/>
    <x v="9"/>
    <x v="17"/>
    <s v="SE1_Offshore"/>
    <x v="22"/>
    <n v="67.680000000000007"/>
    <n v="18.8"/>
  </r>
  <r>
    <x v="0"/>
    <x v="28"/>
    <x v="9"/>
    <x v="17"/>
    <s v="SE1_Offshore"/>
    <x v="23"/>
    <n v="0.31515896120488701"/>
    <n v="8.7544155890246306E-2"/>
  </r>
  <r>
    <x v="0"/>
    <x v="28"/>
    <x v="9"/>
    <x v="17"/>
    <s v="SE1_Offshore"/>
    <x v="24"/>
    <n v="19.174223581093901"/>
    <n v="5.32617321697054"/>
  </r>
  <r>
    <x v="0"/>
    <x v="28"/>
    <x v="9"/>
    <x v="17"/>
    <s v="SE1_Offshore"/>
    <x v="25"/>
    <n v="26.209507293842599"/>
    <n v="7.2804186927340497"/>
  </r>
  <r>
    <x v="0"/>
    <x v="28"/>
    <x v="9"/>
    <x v="17"/>
    <s v="SE1_Offshore"/>
    <x v="26"/>
    <n v="33.320887798496699"/>
    <n v="9.2558021662490795"/>
  </r>
  <r>
    <x v="0"/>
    <x v="28"/>
    <x v="9"/>
    <x v="17"/>
    <s v="SE1_Offshore"/>
    <x v="27"/>
    <n v="20.163995508318798"/>
    <n v="5.6011098634218799"/>
  </r>
  <r>
    <x v="0"/>
    <x v="28"/>
    <x v="9"/>
    <x v="17"/>
    <s v="SE1_medium"/>
    <x v="1"/>
    <n v="35.989199999999997"/>
    <n v="9.9969999999999999"/>
  </r>
  <r>
    <x v="0"/>
    <x v="28"/>
    <x v="9"/>
    <x v="17"/>
    <s v="SE1_medium"/>
    <x v="2"/>
    <n v="46.08"/>
    <n v="12.8"/>
  </r>
  <r>
    <x v="0"/>
    <x v="28"/>
    <x v="9"/>
    <x v="17"/>
    <s v="SE1_medium"/>
    <x v="0"/>
    <n v="42.692399999999999"/>
    <n v="11.859"/>
  </r>
  <r>
    <x v="0"/>
    <x v="28"/>
    <x v="9"/>
    <x v="17"/>
    <s v="SE1_medium"/>
    <x v="3"/>
    <n v="51.633543144067197"/>
    <n v="14.342650873352"/>
  </r>
  <r>
    <x v="0"/>
    <x v="28"/>
    <x v="9"/>
    <x v="17"/>
    <s v="SE1_medium"/>
    <x v="4"/>
    <n v="6.3500778790389401"/>
    <n v="1.76391052195526"/>
  </r>
  <r>
    <x v="0"/>
    <x v="28"/>
    <x v="9"/>
    <x v="17"/>
    <s v="SE1_medium"/>
    <x v="5"/>
    <n v="6.3500778790389401"/>
    <n v="1.76391052195526"/>
  </r>
  <r>
    <x v="0"/>
    <x v="28"/>
    <x v="9"/>
    <x v="17"/>
    <s v="SE1_medium"/>
    <x v="6"/>
    <n v="29.476231795214598"/>
    <n v="8.1878421653373898"/>
  </r>
  <r>
    <x v="0"/>
    <x v="28"/>
    <x v="9"/>
    <x v="17"/>
    <s v="SE1_medium"/>
    <x v="7"/>
    <n v="57.838935220261199"/>
    <n v="16.066370894517"/>
  </r>
  <r>
    <x v="0"/>
    <x v="28"/>
    <x v="9"/>
    <x v="17"/>
    <s v="SE1_medium"/>
    <x v="8"/>
    <n v="57.838935220261199"/>
    <n v="16.066370894517"/>
  </r>
  <r>
    <x v="0"/>
    <x v="28"/>
    <x v="9"/>
    <x v="17"/>
    <s v="SE1_medium"/>
    <x v="9"/>
    <n v="44.4505451532725"/>
    <n v="12.3473736536868"/>
  </r>
  <r>
    <x v="0"/>
    <x v="28"/>
    <x v="9"/>
    <x v="17"/>
    <s v="SE1_medium"/>
    <x v="10"/>
    <n v="53.975661971830903"/>
    <n v="14.993239436619699"/>
  </r>
  <r>
    <x v="0"/>
    <x v="28"/>
    <x v="9"/>
    <x v="17"/>
    <s v="SE1_medium"/>
    <x v="11"/>
    <n v="3.8806031483015802"/>
    <n v="1.07794531897266"/>
  </r>
  <r>
    <x v="0"/>
    <x v="28"/>
    <x v="9"/>
    <x v="17"/>
    <s v="SE1_medium"/>
    <x v="12"/>
    <n v="9.7995028997514597E-2"/>
    <n v="2.72208413881985E-2"/>
  </r>
  <r>
    <x v="0"/>
    <x v="28"/>
    <x v="9"/>
    <x v="17"/>
    <s v="SE1_medium"/>
    <x v="13"/>
    <n v="29.633696768848399"/>
    <n v="8.2315824357912195"/>
  </r>
  <r>
    <x v="0"/>
    <x v="28"/>
    <x v="9"/>
    <x v="17"/>
    <s v="SE1_medium"/>
    <x v="14"/>
    <n v="29.633696768848399"/>
    <n v="8.2315824357912195"/>
  </r>
  <r>
    <x v="0"/>
    <x v="28"/>
    <x v="9"/>
    <x v="17"/>
    <s v="SE1_medium"/>
    <x v="15"/>
    <n v="1.65807589063794"/>
    <n v="0.46057663628831802"/>
  </r>
  <r>
    <x v="0"/>
    <x v="28"/>
    <x v="9"/>
    <x v="17"/>
    <s v="SE1_medium"/>
    <x v="16"/>
    <n v="6.5458675795335104"/>
    <n v="1.81829654987042"/>
  </r>
  <r>
    <x v="0"/>
    <x v="28"/>
    <x v="9"/>
    <x v="17"/>
    <s v="SE1_medium"/>
    <x v="17"/>
    <n v="9.1244895875632395"/>
    <n v="2.5345804409897901"/>
  </r>
  <r>
    <x v="0"/>
    <x v="28"/>
    <x v="9"/>
    <x v="17"/>
    <s v="SE1_medium"/>
    <x v="18"/>
    <n v="29.633696768848399"/>
    <n v="8.2315824357912195"/>
  </r>
  <r>
    <x v="0"/>
    <x v="28"/>
    <x v="9"/>
    <x v="17"/>
    <s v="SE1_medium"/>
    <x v="19"/>
    <n v="8.1139884009941898"/>
    <n v="2.2538856669428302"/>
  </r>
  <r>
    <x v="0"/>
    <x v="28"/>
    <x v="9"/>
    <x v="17"/>
    <s v="SE1_medium"/>
    <x v="20"/>
    <n v="22.109183021311601"/>
    <n v="6.1414397281420996"/>
  </r>
  <r>
    <x v="0"/>
    <x v="28"/>
    <x v="9"/>
    <x v="17"/>
    <s v="SE1_medium"/>
    <x v="21"/>
    <n v="48.24"/>
    <n v="13.4"/>
  </r>
  <r>
    <x v="0"/>
    <x v="28"/>
    <x v="9"/>
    <x v="17"/>
    <s v="SE1_medium"/>
    <x v="22"/>
    <n v="67.680000000000007"/>
    <n v="18.8"/>
  </r>
  <r>
    <x v="0"/>
    <x v="28"/>
    <x v="9"/>
    <x v="17"/>
    <s v="SE1_medium"/>
    <x v="23"/>
    <n v="0.31515896120488701"/>
    <n v="8.7544155890246306E-2"/>
  </r>
  <r>
    <x v="0"/>
    <x v="28"/>
    <x v="9"/>
    <x v="17"/>
    <s v="SE1_medium"/>
    <x v="24"/>
    <n v="19.174223581093901"/>
    <n v="5.32617321697054"/>
  </r>
  <r>
    <x v="0"/>
    <x v="28"/>
    <x v="9"/>
    <x v="17"/>
    <s v="SE1_medium"/>
    <x v="25"/>
    <n v="26.209507293842599"/>
    <n v="7.2804186927340497"/>
  </r>
  <r>
    <x v="0"/>
    <x v="28"/>
    <x v="9"/>
    <x v="17"/>
    <s v="SE1_medium"/>
    <x v="26"/>
    <n v="33.320887798496699"/>
    <n v="9.2558021662490795"/>
  </r>
  <r>
    <x v="0"/>
    <x v="28"/>
    <x v="9"/>
    <x v="17"/>
    <s v="SE1_medium"/>
    <x v="27"/>
    <n v="20.163995508318798"/>
    <n v="5.6011098634218799"/>
  </r>
  <r>
    <x v="0"/>
    <x v="28"/>
    <x v="9"/>
    <x v="17"/>
    <s v="SE1_small"/>
    <x v="1"/>
    <n v="35.989199999999997"/>
    <n v="9.9969999999999999"/>
  </r>
  <r>
    <x v="0"/>
    <x v="28"/>
    <x v="9"/>
    <x v="17"/>
    <s v="SE1_small"/>
    <x v="2"/>
    <n v="46.08"/>
    <n v="12.8"/>
  </r>
  <r>
    <x v="0"/>
    <x v="28"/>
    <x v="9"/>
    <x v="17"/>
    <s v="SE1_small"/>
    <x v="0"/>
    <n v="42.692399999999999"/>
    <n v="11.859"/>
  </r>
  <r>
    <x v="0"/>
    <x v="28"/>
    <x v="9"/>
    <x v="17"/>
    <s v="SE1_small"/>
    <x v="3"/>
    <n v="51.633543144067197"/>
    <n v="14.342650873352"/>
  </r>
  <r>
    <x v="0"/>
    <x v="28"/>
    <x v="9"/>
    <x v="17"/>
    <s v="SE1_small"/>
    <x v="4"/>
    <n v="6.3500778790389401"/>
    <n v="1.76391052195526"/>
  </r>
  <r>
    <x v="0"/>
    <x v="28"/>
    <x v="9"/>
    <x v="17"/>
    <s v="SE1_small"/>
    <x v="5"/>
    <n v="6.3500778790389401"/>
    <n v="1.76391052195526"/>
  </r>
  <r>
    <x v="0"/>
    <x v="28"/>
    <x v="9"/>
    <x v="17"/>
    <s v="SE1_small"/>
    <x v="6"/>
    <n v="29.476231795214598"/>
    <n v="8.1878421653373898"/>
  </r>
  <r>
    <x v="0"/>
    <x v="28"/>
    <x v="9"/>
    <x v="17"/>
    <s v="SE1_small"/>
    <x v="7"/>
    <n v="57.838935220261199"/>
    <n v="16.066370894517"/>
  </r>
  <r>
    <x v="0"/>
    <x v="28"/>
    <x v="9"/>
    <x v="17"/>
    <s v="SE1_small"/>
    <x v="8"/>
    <n v="57.838935220261199"/>
    <n v="16.066370894517"/>
  </r>
  <r>
    <x v="0"/>
    <x v="28"/>
    <x v="9"/>
    <x v="17"/>
    <s v="SE1_small"/>
    <x v="9"/>
    <n v="44.4505451532725"/>
    <n v="12.3473736536868"/>
  </r>
  <r>
    <x v="0"/>
    <x v="28"/>
    <x v="9"/>
    <x v="17"/>
    <s v="SE1_small"/>
    <x v="10"/>
    <n v="53.975661971830903"/>
    <n v="14.993239436619699"/>
  </r>
  <r>
    <x v="0"/>
    <x v="28"/>
    <x v="9"/>
    <x v="17"/>
    <s v="SE1_small"/>
    <x v="11"/>
    <n v="3.8806031483015802"/>
    <n v="1.07794531897266"/>
  </r>
  <r>
    <x v="0"/>
    <x v="28"/>
    <x v="9"/>
    <x v="17"/>
    <s v="SE1_small"/>
    <x v="12"/>
    <n v="9.7995028997514597E-2"/>
    <n v="2.72208413881985E-2"/>
  </r>
  <r>
    <x v="0"/>
    <x v="28"/>
    <x v="9"/>
    <x v="17"/>
    <s v="SE1_small"/>
    <x v="13"/>
    <n v="29.633696768848399"/>
    <n v="8.2315824357912195"/>
  </r>
  <r>
    <x v="0"/>
    <x v="28"/>
    <x v="9"/>
    <x v="17"/>
    <s v="SE1_small"/>
    <x v="14"/>
    <n v="29.633696768848399"/>
    <n v="8.2315824357912195"/>
  </r>
  <r>
    <x v="0"/>
    <x v="28"/>
    <x v="9"/>
    <x v="17"/>
    <s v="SE1_small"/>
    <x v="15"/>
    <n v="1.65807589063794"/>
    <n v="0.46057663628831802"/>
  </r>
  <r>
    <x v="0"/>
    <x v="28"/>
    <x v="9"/>
    <x v="17"/>
    <s v="SE1_small"/>
    <x v="16"/>
    <n v="6.5458675795335104"/>
    <n v="1.81829654987042"/>
  </r>
  <r>
    <x v="0"/>
    <x v="28"/>
    <x v="9"/>
    <x v="17"/>
    <s v="SE1_small"/>
    <x v="17"/>
    <n v="9.1244895875632395"/>
    <n v="2.5345804409897901"/>
  </r>
  <r>
    <x v="0"/>
    <x v="28"/>
    <x v="9"/>
    <x v="17"/>
    <s v="SE1_small"/>
    <x v="18"/>
    <n v="29.633696768848399"/>
    <n v="8.2315824357912195"/>
  </r>
  <r>
    <x v="0"/>
    <x v="28"/>
    <x v="9"/>
    <x v="17"/>
    <s v="SE1_small"/>
    <x v="19"/>
    <n v="8.1139884009941898"/>
    <n v="2.2538856669428302"/>
  </r>
  <r>
    <x v="0"/>
    <x v="28"/>
    <x v="9"/>
    <x v="17"/>
    <s v="SE1_small"/>
    <x v="20"/>
    <n v="22.109183021311601"/>
    <n v="6.1414397281420996"/>
  </r>
  <r>
    <x v="0"/>
    <x v="28"/>
    <x v="9"/>
    <x v="17"/>
    <s v="SE1_small"/>
    <x v="21"/>
    <n v="48.24"/>
    <n v="13.4"/>
  </r>
  <r>
    <x v="0"/>
    <x v="28"/>
    <x v="9"/>
    <x v="17"/>
    <s v="SE1_small"/>
    <x v="22"/>
    <n v="67.680000000000007"/>
    <n v="18.8"/>
  </r>
  <r>
    <x v="0"/>
    <x v="28"/>
    <x v="9"/>
    <x v="17"/>
    <s v="SE1_small"/>
    <x v="23"/>
    <n v="0.31515896120488701"/>
    <n v="8.7544155890246306E-2"/>
  </r>
  <r>
    <x v="0"/>
    <x v="28"/>
    <x v="9"/>
    <x v="17"/>
    <s v="SE1_small"/>
    <x v="24"/>
    <n v="19.174223581093901"/>
    <n v="5.32617321697054"/>
  </r>
  <r>
    <x v="0"/>
    <x v="28"/>
    <x v="9"/>
    <x v="17"/>
    <s v="SE1_small"/>
    <x v="25"/>
    <n v="26.209507293842599"/>
    <n v="7.2804186927340497"/>
  </r>
  <r>
    <x v="0"/>
    <x v="28"/>
    <x v="9"/>
    <x v="17"/>
    <s v="SE1_small"/>
    <x v="26"/>
    <n v="33.320887798496699"/>
    <n v="9.2558021662490795"/>
  </r>
  <r>
    <x v="0"/>
    <x v="28"/>
    <x v="9"/>
    <x v="17"/>
    <s v="SE1_small"/>
    <x v="27"/>
    <n v="20.163995508318798"/>
    <n v="5.6011098634218799"/>
  </r>
  <r>
    <x v="0"/>
    <x v="28"/>
    <x v="9"/>
    <x v="18"/>
    <s v="SE2A"/>
    <x v="1"/>
    <n v="35.989199999999997"/>
    <n v="9.9969999999999999"/>
  </r>
  <r>
    <x v="0"/>
    <x v="28"/>
    <x v="9"/>
    <x v="18"/>
    <s v="SE2A"/>
    <x v="2"/>
    <n v="46.08"/>
    <n v="12.8"/>
  </r>
  <r>
    <x v="0"/>
    <x v="28"/>
    <x v="9"/>
    <x v="18"/>
    <s v="SE2A"/>
    <x v="0"/>
    <n v="42.692399999999999"/>
    <n v="11.859"/>
  </r>
  <r>
    <x v="0"/>
    <x v="28"/>
    <x v="9"/>
    <x v="18"/>
    <s v="SE2A"/>
    <x v="3"/>
    <n v="51.633543144067197"/>
    <n v="14.342650873352"/>
  </r>
  <r>
    <x v="0"/>
    <x v="28"/>
    <x v="9"/>
    <x v="18"/>
    <s v="SE2A"/>
    <x v="4"/>
    <n v="6.3500778790389401"/>
    <n v="1.76391052195526"/>
  </r>
  <r>
    <x v="0"/>
    <x v="28"/>
    <x v="9"/>
    <x v="18"/>
    <s v="SE2A"/>
    <x v="5"/>
    <n v="6.3500778790389401"/>
    <n v="1.76391052195526"/>
  </r>
  <r>
    <x v="0"/>
    <x v="28"/>
    <x v="9"/>
    <x v="18"/>
    <s v="SE2A"/>
    <x v="6"/>
    <n v="29.476231795214598"/>
    <n v="8.1878421653373898"/>
  </r>
  <r>
    <x v="0"/>
    <x v="28"/>
    <x v="9"/>
    <x v="18"/>
    <s v="SE2A"/>
    <x v="7"/>
    <n v="57.838935220261199"/>
    <n v="16.066370894517"/>
  </r>
  <r>
    <x v="0"/>
    <x v="28"/>
    <x v="9"/>
    <x v="18"/>
    <s v="SE2A"/>
    <x v="8"/>
    <n v="57.838935220261199"/>
    <n v="16.066370894517"/>
  </r>
  <r>
    <x v="0"/>
    <x v="28"/>
    <x v="9"/>
    <x v="18"/>
    <s v="SE2A"/>
    <x v="9"/>
    <n v="44.4505451532725"/>
    <n v="12.3473736536868"/>
  </r>
  <r>
    <x v="0"/>
    <x v="28"/>
    <x v="9"/>
    <x v="18"/>
    <s v="SE2A"/>
    <x v="10"/>
    <n v="53.975661971830903"/>
    <n v="14.993239436619699"/>
  </r>
  <r>
    <x v="0"/>
    <x v="28"/>
    <x v="9"/>
    <x v="18"/>
    <s v="SE2A"/>
    <x v="11"/>
    <n v="3.8806031483015802"/>
    <n v="1.07794531897266"/>
  </r>
  <r>
    <x v="0"/>
    <x v="28"/>
    <x v="9"/>
    <x v="18"/>
    <s v="SE2A"/>
    <x v="12"/>
    <n v="9.7995028997514597E-2"/>
    <n v="2.72208413881985E-2"/>
  </r>
  <r>
    <x v="0"/>
    <x v="28"/>
    <x v="9"/>
    <x v="18"/>
    <s v="SE2A"/>
    <x v="13"/>
    <n v="29.633696768848399"/>
    <n v="8.2315824357912195"/>
  </r>
  <r>
    <x v="0"/>
    <x v="28"/>
    <x v="9"/>
    <x v="18"/>
    <s v="SE2A"/>
    <x v="14"/>
    <n v="29.633696768848399"/>
    <n v="8.2315824357912195"/>
  </r>
  <r>
    <x v="0"/>
    <x v="28"/>
    <x v="9"/>
    <x v="18"/>
    <s v="SE2A"/>
    <x v="15"/>
    <n v="1.65807589063794"/>
    <n v="0.46057663628831802"/>
  </r>
  <r>
    <x v="0"/>
    <x v="28"/>
    <x v="9"/>
    <x v="18"/>
    <s v="SE2A"/>
    <x v="16"/>
    <n v="6.5458675795335104"/>
    <n v="1.81829654987042"/>
  </r>
  <r>
    <x v="0"/>
    <x v="28"/>
    <x v="9"/>
    <x v="18"/>
    <s v="SE2A"/>
    <x v="17"/>
    <n v="9.1244895875632395"/>
    <n v="2.5345804409897901"/>
  </r>
  <r>
    <x v="0"/>
    <x v="28"/>
    <x v="9"/>
    <x v="18"/>
    <s v="SE2A"/>
    <x v="18"/>
    <n v="29.633696768848399"/>
    <n v="8.2315824357912195"/>
  </r>
  <r>
    <x v="0"/>
    <x v="28"/>
    <x v="9"/>
    <x v="18"/>
    <s v="SE2A"/>
    <x v="19"/>
    <n v="8.1139884009941898"/>
    <n v="2.2538856669428302"/>
  </r>
  <r>
    <x v="0"/>
    <x v="28"/>
    <x v="9"/>
    <x v="18"/>
    <s v="SE2A"/>
    <x v="20"/>
    <n v="22.109183021311601"/>
    <n v="6.1414397281420996"/>
  </r>
  <r>
    <x v="0"/>
    <x v="28"/>
    <x v="9"/>
    <x v="18"/>
    <s v="SE2A"/>
    <x v="21"/>
    <n v="48.24"/>
    <n v="13.4"/>
  </r>
  <r>
    <x v="0"/>
    <x v="28"/>
    <x v="9"/>
    <x v="18"/>
    <s v="SE2A"/>
    <x v="22"/>
    <n v="67.680000000000007"/>
    <n v="18.8"/>
  </r>
  <r>
    <x v="0"/>
    <x v="28"/>
    <x v="9"/>
    <x v="18"/>
    <s v="SE2A"/>
    <x v="23"/>
    <n v="0.31515896120488701"/>
    <n v="8.7544155890246306E-2"/>
  </r>
  <r>
    <x v="0"/>
    <x v="28"/>
    <x v="9"/>
    <x v="18"/>
    <s v="SE2A"/>
    <x v="24"/>
    <n v="19.174223581093901"/>
    <n v="5.32617321697054"/>
  </r>
  <r>
    <x v="0"/>
    <x v="28"/>
    <x v="9"/>
    <x v="18"/>
    <s v="SE2A"/>
    <x v="25"/>
    <n v="26.209507293842599"/>
    <n v="7.2804186927340497"/>
  </r>
  <r>
    <x v="0"/>
    <x v="28"/>
    <x v="9"/>
    <x v="18"/>
    <s v="SE2A"/>
    <x v="26"/>
    <n v="33.320887798496699"/>
    <n v="9.2558021662490795"/>
  </r>
  <r>
    <x v="0"/>
    <x v="28"/>
    <x v="9"/>
    <x v="18"/>
    <s v="SE2A"/>
    <x v="27"/>
    <n v="20.163995508318798"/>
    <n v="5.6011098634218799"/>
  </r>
  <r>
    <x v="0"/>
    <x v="28"/>
    <x v="9"/>
    <x v="18"/>
    <s v="SE2_IND"/>
    <x v="1"/>
    <n v="35.989199999999997"/>
    <n v="9.9969999999999999"/>
  </r>
  <r>
    <x v="0"/>
    <x v="28"/>
    <x v="9"/>
    <x v="18"/>
    <s v="SE2_IND"/>
    <x v="2"/>
    <n v="46.08"/>
    <n v="12.8"/>
  </r>
  <r>
    <x v="0"/>
    <x v="28"/>
    <x v="9"/>
    <x v="18"/>
    <s v="SE2_IND"/>
    <x v="0"/>
    <n v="42.692399999999999"/>
    <n v="11.859"/>
  </r>
  <r>
    <x v="0"/>
    <x v="28"/>
    <x v="9"/>
    <x v="18"/>
    <s v="SE2_IND"/>
    <x v="3"/>
    <n v="51.633543144067197"/>
    <n v="14.342650873352"/>
  </r>
  <r>
    <x v="0"/>
    <x v="28"/>
    <x v="9"/>
    <x v="18"/>
    <s v="SE2_IND"/>
    <x v="4"/>
    <n v="6.3500778790389401"/>
    <n v="1.76391052195526"/>
  </r>
  <r>
    <x v="0"/>
    <x v="28"/>
    <x v="9"/>
    <x v="18"/>
    <s v="SE2_IND"/>
    <x v="5"/>
    <n v="6.3500778790389401"/>
    <n v="1.76391052195526"/>
  </r>
  <r>
    <x v="0"/>
    <x v="28"/>
    <x v="9"/>
    <x v="18"/>
    <s v="SE2_IND"/>
    <x v="6"/>
    <n v="29.476231795214598"/>
    <n v="8.1878421653373898"/>
  </r>
  <r>
    <x v="0"/>
    <x v="28"/>
    <x v="9"/>
    <x v="18"/>
    <s v="SE2_IND"/>
    <x v="7"/>
    <n v="57.838935220261199"/>
    <n v="16.066370894517"/>
  </r>
  <r>
    <x v="0"/>
    <x v="28"/>
    <x v="9"/>
    <x v="18"/>
    <s v="SE2_IND"/>
    <x v="8"/>
    <n v="57.838935220261199"/>
    <n v="16.066370894517"/>
  </r>
  <r>
    <x v="0"/>
    <x v="28"/>
    <x v="9"/>
    <x v="18"/>
    <s v="SE2_IND"/>
    <x v="9"/>
    <n v="44.4505451532725"/>
    <n v="12.3473736536868"/>
  </r>
  <r>
    <x v="0"/>
    <x v="28"/>
    <x v="9"/>
    <x v="18"/>
    <s v="SE2_IND"/>
    <x v="10"/>
    <n v="53.975661971830903"/>
    <n v="14.993239436619699"/>
  </r>
  <r>
    <x v="0"/>
    <x v="28"/>
    <x v="9"/>
    <x v="18"/>
    <s v="SE2_IND"/>
    <x v="11"/>
    <n v="3.8806031483015802"/>
    <n v="1.07794531897266"/>
  </r>
  <r>
    <x v="0"/>
    <x v="28"/>
    <x v="9"/>
    <x v="18"/>
    <s v="SE2_IND"/>
    <x v="12"/>
    <n v="9.7995028997514597E-2"/>
    <n v="2.72208413881985E-2"/>
  </r>
  <r>
    <x v="0"/>
    <x v="28"/>
    <x v="9"/>
    <x v="18"/>
    <s v="SE2_IND"/>
    <x v="13"/>
    <n v="29.633696768848399"/>
    <n v="8.2315824357912195"/>
  </r>
  <r>
    <x v="0"/>
    <x v="28"/>
    <x v="9"/>
    <x v="18"/>
    <s v="SE2_IND"/>
    <x v="14"/>
    <n v="29.633696768848399"/>
    <n v="8.2315824357912195"/>
  </r>
  <r>
    <x v="0"/>
    <x v="28"/>
    <x v="9"/>
    <x v="18"/>
    <s v="SE2_IND"/>
    <x v="15"/>
    <n v="1.65807589063794"/>
    <n v="0.46057663628831802"/>
  </r>
  <r>
    <x v="0"/>
    <x v="28"/>
    <x v="9"/>
    <x v="18"/>
    <s v="SE2_IND"/>
    <x v="16"/>
    <n v="6.5458675795335104"/>
    <n v="1.81829654987042"/>
  </r>
  <r>
    <x v="0"/>
    <x v="28"/>
    <x v="9"/>
    <x v="18"/>
    <s v="SE2_IND"/>
    <x v="17"/>
    <n v="9.1244895875632395"/>
    <n v="2.5345804409897901"/>
  </r>
  <r>
    <x v="0"/>
    <x v="28"/>
    <x v="9"/>
    <x v="18"/>
    <s v="SE2_IND"/>
    <x v="18"/>
    <n v="29.633696768848399"/>
    <n v="8.2315824357912195"/>
  </r>
  <r>
    <x v="0"/>
    <x v="28"/>
    <x v="9"/>
    <x v="18"/>
    <s v="SE2_IND"/>
    <x v="19"/>
    <n v="8.1139884009941898"/>
    <n v="2.2538856669428302"/>
  </r>
  <r>
    <x v="0"/>
    <x v="28"/>
    <x v="9"/>
    <x v="18"/>
    <s v="SE2_IND"/>
    <x v="20"/>
    <n v="22.109183021311601"/>
    <n v="6.1414397281420996"/>
  </r>
  <r>
    <x v="0"/>
    <x v="28"/>
    <x v="9"/>
    <x v="18"/>
    <s v="SE2_IND"/>
    <x v="21"/>
    <n v="48.24"/>
    <n v="13.4"/>
  </r>
  <r>
    <x v="0"/>
    <x v="28"/>
    <x v="9"/>
    <x v="18"/>
    <s v="SE2_IND"/>
    <x v="22"/>
    <n v="67.680000000000007"/>
    <n v="18.8"/>
  </r>
  <r>
    <x v="0"/>
    <x v="28"/>
    <x v="9"/>
    <x v="18"/>
    <s v="SE2_IND"/>
    <x v="23"/>
    <n v="0.31515896120488701"/>
    <n v="8.7544155890246306E-2"/>
  </r>
  <r>
    <x v="0"/>
    <x v="28"/>
    <x v="9"/>
    <x v="18"/>
    <s v="SE2_IND"/>
    <x v="24"/>
    <n v="19.174223581093901"/>
    <n v="5.32617321697054"/>
  </r>
  <r>
    <x v="0"/>
    <x v="28"/>
    <x v="9"/>
    <x v="18"/>
    <s v="SE2_IND"/>
    <x v="25"/>
    <n v="26.209507293842599"/>
    <n v="7.2804186927340497"/>
  </r>
  <r>
    <x v="0"/>
    <x v="28"/>
    <x v="9"/>
    <x v="18"/>
    <s v="SE2_IND"/>
    <x v="26"/>
    <n v="33.320887798496699"/>
    <n v="9.2558021662490795"/>
  </r>
  <r>
    <x v="0"/>
    <x v="28"/>
    <x v="9"/>
    <x v="18"/>
    <s v="SE2_IND"/>
    <x v="27"/>
    <n v="20.163995508318798"/>
    <n v="5.6011098634218799"/>
  </r>
  <r>
    <x v="0"/>
    <x v="28"/>
    <x v="9"/>
    <x v="18"/>
    <s v="SE2_Offshore"/>
    <x v="1"/>
    <n v="35.989199999999997"/>
    <n v="9.9969999999999999"/>
  </r>
  <r>
    <x v="0"/>
    <x v="28"/>
    <x v="9"/>
    <x v="18"/>
    <s v="SE2_Offshore"/>
    <x v="2"/>
    <n v="46.08"/>
    <n v="12.8"/>
  </r>
  <r>
    <x v="0"/>
    <x v="28"/>
    <x v="9"/>
    <x v="18"/>
    <s v="SE2_Offshore"/>
    <x v="0"/>
    <n v="42.692399999999999"/>
    <n v="11.859"/>
  </r>
  <r>
    <x v="0"/>
    <x v="28"/>
    <x v="9"/>
    <x v="18"/>
    <s v="SE2_Offshore"/>
    <x v="3"/>
    <n v="51.633543144067197"/>
    <n v="14.342650873352"/>
  </r>
  <r>
    <x v="0"/>
    <x v="28"/>
    <x v="9"/>
    <x v="18"/>
    <s v="SE2_Offshore"/>
    <x v="4"/>
    <n v="6.3500778790389401"/>
    <n v="1.76391052195526"/>
  </r>
  <r>
    <x v="0"/>
    <x v="28"/>
    <x v="9"/>
    <x v="18"/>
    <s v="SE2_Offshore"/>
    <x v="5"/>
    <n v="6.3500778790389401"/>
    <n v="1.76391052195526"/>
  </r>
  <r>
    <x v="0"/>
    <x v="28"/>
    <x v="9"/>
    <x v="18"/>
    <s v="SE2_Offshore"/>
    <x v="6"/>
    <n v="29.476231795214598"/>
    <n v="8.1878421653373898"/>
  </r>
  <r>
    <x v="0"/>
    <x v="28"/>
    <x v="9"/>
    <x v="18"/>
    <s v="SE2_Offshore"/>
    <x v="7"/>
    <n v="57.838935220261199"/>
    <n v="16.066370894517"/>
  </r>
  <r>
    <x v="0"/>
    <x v="28"/>
    <x v="9"/>
    <x v="18"/>
    <s v="SE2_Offshore"/>
    <x v="8"/>
    <n v="57.838935220261199"/>
    <n v="16.066370894517"/>
  </r>
  <r>
    <x v="0"/>
    <x v="28"/>
    <x v="9"/>
    <x v="18"/>
    <s v="SE2_Offshore"/>
    <x v="9"/>
    <n v="44.4505451532725"/>
    <n v="12.3473736536868"/>
  </r>
  <r>
    <x v="0"/>
    <x v="28"/>
    <x v="9"/>
    <x v="18"/>
    <s v="SE2_Offshore"/>
    <x v="10"/>
    <n v="53.975661971830903"/>
    <n v="14.993239436619699"/>
  </r>
  <r>
    <x v="0"/>
    <x v="28"/>
    <x v="9"/>
    <x v="18"/>
    <s v="SE2_Offshore"/>
    <x v="11"/>
    <n v="3.8806031483015802"/>
    <n v="1.07794531897266"/>
  </r>
  <r>
    <x v="0"/>
    <x v="28"/>
    <x v="9"/>
    <x v="18"/>
    <s v="SE2_Offshore"/>
    <x v="12"/>
    <n v="9.7995028997514597E-2"/>
    <n v="2.72208413881985E-2"/>
  </r>
  <r>
    <x v="0"/>
    <x v="28"/>
    <x v="9"/>
    <x v="18"/>
    <s v="SE2_Offshore"/>
    <x v="13"/>
    <n v="29.633696768848399"/>
    <n v="8.2315824357912195"/>
  </r>
  <r>
    <x v="0"/>
    <x v="28"/>
    <x v="9"/>
    <x v="18"/>
    <s v="SE2_Offshore"/>
    <x v="14"/>
    <n v="29.633696768848399"/>
    <n v="8.2315824357912195"/>
  </r>
  <r>
    <x v="0"/>
    <x v="28"/>
    <x v="9"/>
    <x v="18"/>
    <s v="SE2_Offshore"/>
    <x v="15"/>
    <n v="1.65807589063794"/>
    <n v="0.46057663628831802"/>
  </r>
  <r>
    <x v="0"/>
    <x v="28"/>
    <x v="9"/>
    <x v="18"/>
    <s v="SE2_Offshore"/>
    <x v="16"/>
    <n v="6.5458675795335104"/>
    <n v="1.81829654987042"/>
  </r>
  <r>
    <x v="0"/>
    <x v="28"/>
    <x v="9"/>
    <x v="18"/>
    <s v="SE2_Offshore"/>
    <x v="17"/>
    <n v="9.1244895875632395"/>
    <n v="2.5345804409897901"/>
  </r>
  <r>
    <x v="0"/>
    <x v="28"/>
    <x v="9"/>
    <x v="18"/>
    <s v="SE2_Offshore"/>
    <x v="18"/>
    <n v="29.633696768848399"/>
    <n v="8.2315824357912195"/>
  </r>
  <r>
    <x v="0"/>
    <x v="28"/>
    <x v="9"/>
    <x v="18"/>
    <s v="SE2_Offshore"/>
    <x v="19"/>
    <n v="8.1139884009941898"/>
    <n v="2.2538856669428302"/>
  </r>
  <r>
    <x v="0"/>
    <x v="28"/>
    <x v="9"/>
    <x v="18"/>
    <s v="SE2_Offshore"/>
    <x v="20"/>
    <n v="22.109183021311601"/>
    <n v="6.1414397281420996"/>
  </r>
  <r>
    <x v="0"/>
    <x v="28"/>
    <x v="9"/>
    <x v="18"/>
    <s v="SE2_Offshore"/>
    <x v="21"/>
    <n v="48.24"/>
    <n v="13.4"/>
  </r>
  <r>
    <x v="0"/>
    <x v="28"/>
    <x v="9"/>
    <x v="18"/>
    <s v="SE2_Offshore"/>
    <x v="22"/>
    <n v="67.680000000000007"/>
    <n v="18.8"/>
  </r>
  <r>
    <x v="0"/>
    <x v="28"/>
    <x v="9"/>
    <x v="18"/>
    <s v="SE2_Offshore"/>
    <x v="23"/>
    <n v="0.31515896120488701"/>
    <n v="8.7544155890246306E-2"/>
  </r>
  <r>
    <x v="0"/>
    <x v="28"/>
    <x v="9"/>
    <x v="18"/>
    <s v="SE2_Offshore"/>
    <x v="24"/>
    <n v="19.174223581093901"/>
    <n v="5.32617321697054"/>
  </r>
  <r>
    <x v="0"/>
    <x v="28"/>
    <x v="9"/>
    <x v="18"/>
    <s v="SE2_Offshore"/>
    <x v="25"/>
    <n v="26.209507293842599"/>
    <n v="7.2804186927340497"/>
  </r>
  <r>
    <x v="0"/>
    <x v="28"/>
    <x v="9"/>
    <x v="18"/>
    <s v="SE2_Offshore"/>
    <x v="26"/>
    <n v="33.320887798496699"/>
    <n v="9.2558021662490795"/>
  </r>
  <r>
    <x v="0"/>
    <x v="28"/>
    <x v="9"/>
    <x v="18"/>
    <s v="SE2_Offshore"/>
    <x v="27"/>
    <n v="20.163995508318798"/>
    <n v="5.6011098634218799"/>
  </r>
  <r>
    <x v="0"/>
    <x v="28"/>
    <x v="9"/>
    <x v="18"/>
    <s v="SE2_medium"/>
    <x v="1"/>
    <n v="35.989199999999997"/>
    <n v="9.9969999999999999"/>
  </r>
  <r>
    <x v="0"/>
    <x v="28"/>
    <x v="9"/>
    <x v="18"/>
    <s v="SE2_medium"/>
    <x v="2"/>
    <n v="46.08"/>
    <n v="12.8"/>
  </r>
  <r>
    <x v="0"/>
    <x v="28"/>
    <x v="9"/>
    <x v="18"/>
    <s v="SE2_medium"/>
    <x v="0"/>
    <n v="42.692399999999999"/>
    <n v="11.859"/>
  </r>
  <r>
    <x v="0"/>
    <x v="28"/>
    <x v="9"/>
    <x v="18"/>
    <s v="SE2_medium"/>
    <x v="3"/>
    <n v="51.633543144067197"/>
    <n v="14.342650873352"/>
  </r>
  <r>
    <x v="0"/>
    <x v="28"/>
    <x v="9"/>
    <x v="18"/>
    <s v="SE2_medium"/>
    <x v="4"/>
    <n v="6.3500778790389401"/>
    <n v="1.76391052195526"/>
  </r>
  <r>
    <x v="0"/>
    <x v="28"/>
    <x v="9"/>
    <x v="18"/>
    <s v="SE2_medium"/>
    <x v="5"/>
    <n v="6.3500778790389401"/>
    <n v="1.76391052195526"/>
  </r>
  <r>
    <x v="0"/>
    <x v="28"/>
    <x v="9"/>
    <x v="18"/>
    <s v="SE2_medium"/>
    <x v="6"/>
    <n v="29.476231795214598"/>
    <n v="8.1878421653373898"/>
  </r>
  <r>
    <x v="0"/>
    <x v="28"/>
    <x v="9"/>
    <x v="18"/>
    <s v="SE2_medium"/>
    <x v="7"/>
    <n v="57.838935220261199"/>
    <n v="16.066370894517"/>
  </r>
  <r>
    <x v="0"/>
    <x v="28"/>
    <x v="9"/>
    <x v="18"/>
    <s v="SE2_medium"/>
    <x v="8"/>
    <n v="57.838935220261199"/>
    <n v="16.066370894517"/>
  </r>
  <r>
    <x v="0"/>
    <x v="28"/>
    <x v="9"/>
    <x v="18"/>
    <s v="SE2_medium"/>
    <x v="9"/>
    <n v="44.4505451532725"/>
    <n v="12.3473736536868"/>
  </r>
  <r>
    <x v="0"/>
    <x v="28"/>
    <x v="9"/>
    <x v="18"/>
    <s v="SE2_medium"/>
    <x v="10"/>
    <n v="53.975661971830903"/>
    <n v="14.993239436619699"/>
  </r>
  <r>
    <x v="0"/>
    <x v="28"/>
    <x v="9"/>
    <x v="18"/>
    <s v="SE2_medium"/>
    <x v="11"/>
    <n v="3.8806031483015802"/>
    <n v="1.07794531897266"/>
  </r>
  <r>
    <x v="0"/>
    <x v="28"/>
    <x v="9"/>
    <x v="18"/>
    <s v="SE2_medium"/>
    <x v="12"/>
    <n v="9.7995028997514597E-2"/>
    <n v="2.72208413881985E-2"/>
  </r>
  <r>
    <x v="0"/>
    <x v="28"/>
    <x v="9"/>
    <x v="18"/>
    <s v="SE2_medium"/>
    <x v="13"/>
    <n v="29.633696768848399"/>
    <n v="8.2315824357912195"/>
  </r>
  <r>
    <x v="0"/>
    <x v="28"/>
    <x v="9"/>
    <x v="18"/>
    <s v="SE2_medium"/>
    <x v="14"/>
    <n v="29.633696768848399"/>
    <n v="8.2315824357912195"/>
  </r>
  <r>
    <x v="0"/>
    <x v="28"/>
    <x v="9"/>
    <x v="18"/>
    <s v="SE2_medium"/>
    <x v="15"/>
    <n v="1.65807589063794"/>
    <n v="0.46057663628831802"/>
  </r>
  <r>
    <x v="0"/>
    <x v="28"/>
    <x v="9"/>
    <x v="18"/>
    <s v="SE2_medium"/>
    <x v="16"/>
    <n v="6.5458675795335104"/>
    <n v="1.81829654987042"/>
  </r>
  <r>
    <x v="0"/>
    <x v="28"/>
    <x v="9"/>
    <x v="18"/>
    <s v="SE2_medium"/>
    <x v="17"/>
    <n v="9.1244895875632395"/>
    <n v="2.5345804409897901"/>
  </r>
  <r>
    <x v="0"/>
    <x v="28"/>
    <x v="9"/>
    <x v="18"/>
    <s v="SE2_medium"/>
    <x v="18"/>
    <n v="29.633696768848399"/>
    <n v="8.2315824357912195"/>
  </r>
  <r>
    <x v="0"/>
    <x v="28"/>
    <x v="9"/>
    <x v="18"/>
    <s v="SE2_medium"/>
    <x v="19"/>
    <n v="8.1139884009941898"/>
    <n v="2.2538856669428302"/>
  </r>
  <r>
    <x v="0"/>
    <x v="28"/>
    <x v="9"/>
    <x v="18"/>
    <s v="SE2_medium"/>
    <x v="20"/>
    <n v="22.109183021311601"/>
    <n v="6.1414397281420996"/>
  </r>
  <r>
    <x v="0"/>
    <x v="28"/>
    <x v="9"/>
    <x v="18"/>
    <s v="SE2_medium"/>
    <x v="21"/>
    <n v="48.24"/>
    <n v="13.4"/>
  </r>
  <r>
    <x v="0"/>
    <x v="28"/>
    <x v="9"/>
    <x v="18"/>
    <s v="SE2_medium"/>
    <x v="22"/>
    <n v="67.680000000000007"/>
    <n v="18.8"/>
  </r>
  <r>
    <x v="0"/>
    <x v="28"/>
    <x v="9"/>
    <x v="18"/>
    <s v="SE2_medium"/>
    <x v="23"/>
    <n v="0.31515896120488701"/>
    <n v="8.7544155890246306E-2"/>
  </r>
  <r>
    <x v="0"/>
    <x v="28"/>
    <x v="9"/>
    <x v="18"/>
    <s v="SE2_medium"/>
    <x v="24"/>
    <n v="19.174223581093901"/>
    <n v="5.32617321697054"/>
  </r>
  <r>
    <x v="0"/>
    <x v="28"/>
    <x v="9"/>
    <x v="18"/>
    <s v="SE2_medium"/>
    <x v="25"/>
    <n v="26.209507293842599"/>
    <n v="7.2804186927340497"/>
  </r>
  <r>
    <x v="0"/>
    <x v="28"/>
    <x v="9"/>
    <x v="18"/>
    <s v="SE2_medium"/>
    <x v="26"/>
    <n v="33.320887798496699"/>
    <n v="9.2558021662490795"/>
  </r>
  <r>
    <x v="0"/>
    <x v="28"/>
    <x v="9"/>
    <x v="18"/>
    <s v="SE2_medium"/>
    <x v="27"/>
    <n v="20.163995508318798"/>
    <n v="5.6011098634218799"/>
  </r>
  <r>
    <x v="0"/>
    <x v="28"/>
    <x v="9"/>
    <x v="18"/>
    <s v="SE2_small"/>
    <x v="1"/>
    <n v="35.989199999999997"/>
    <n v="9.9969999999999999"/>
  </r>
  <r>
    <x v="0"/>
    <x v="28"/>
    <x v="9"/>
    <x v="18"/>
    <s v="SE2_small"/>
    <x v="2"/>
    <n v="46.08"/>
    <n v="12.8"/>
  </r>
  <r>
    <x v="0"/>
    <x v="28"/>
    <x v="9"/>
    <x v="18"/>
    <s v="SE2_small"/>
    <x v="0"/>
    <n v="42.692399999999999"/>
    <n v="11.859"/>
  </r>
  <r>
    <x v="0"/>
    <x v="28"/>
    <x v="9"/>
    <x v="18"/>
    <s v="SE2_small"/>
    <x v="3"/>
    <n v="51.633543144067197"/>
    <n v="14.342650873352"/>
  </r>
  <r>
    <x v="0"/>
    <x v="28"/>
    <x v="9"/>
    <x v="18"/>
    <s v="SE2_small"/>
    <x v="4"/>
    <n v="6.3500778790389401"/>
    <n v="1.76391052195526"/>
  </r>
  <r>
    <x v="0"/>
    <x v="28"/>
    <x v="9"/>
    <x v="18"/>
    <s v="SE2_small"/>
    <x v="5"/>
    <n v="6.3500778790389401"/>
    <n v="1.76391052195526"/>
  </r>
  <r>
    <x v="0"/>
    <x v="28"/>
    <x v="9"/>
    <x v="18"/>
    <s v="SE2_small"/>
    <x v="6"/>
    <n v="29.476231795214598"/>
    <n v="8.1878421653373898"/>
  </r>
  <r>
    <x v="0"/>
    <x v="28"/>
    <x v="9"/>
    <x v="18"/>
    <s v="SE2_small"/>
    <x v="7"/>
    <n v="57.838935220261199"/>
    <n v="16.066370894517"/>
  </r>
  <r>
    <x v="0"/>
    <x v="28"/>
    <x v="9"/>
    <x v="18"/>
    <s v="SE2_small"/>
    <x v="8"/>
    <n v="57.838935220261199"/>
    <n v="16.066370894517"/>
  </r>
  <r>
    <x v="0"/>
    <x v="28"/>
    <x v="9"/>
    <x v="18"/>
    <s v="SE2_small"/>
    <x v="9"/>
    <n v="44.4505451532725"/>
    <n v="12.3473736536868"/>
  </r>
  <r>
    <x v="0"/>
    <x v="28"/>
    <x v="9"/>
    <x v="18"/>
    <s v="SE2_small"/>
    <x v="10"/>
    <n v="53.975661971830903"/>
    <n v="14.993239436619699"/>
  </r>
  <r>
    <x v="0"/>
    <x v="28"/>
    <x v="9"/>
    <x v="18"/>
    <s v="SE2_small"/>
    <x v="11"/>
    <n v="3.8806031483015802"/>
    <n v="1.07794531897266"/>
  </r>
  <r>
    <x v="0"/>
    <x v="28"/>
    <x v="9"/>
    <x v="18"/>
    <s v="SE2_small"/>
    <x v="12"/>
    <n v="9.7995028997514597E-2"/>
    <n v="2.72208413881985E-2"/>
  </r>
  <r>
    <x v="0"/>
    <x v="28"/>
    <x v="9"/>
    <x v="18"/>
    <s v="SE2_small"/>
    <x v="13"/>
    <n v="29.633696768848399"/>
    <n v="8.2315824357912195"/>
  </r>
  <r>
    <x v="0"/>
    <x v="28"/>
    <x v="9"/>
    <x v="18"/>
    <s v="SE2_small"/>
    <x v="14"/>
    <n v="29.633696768848399"/>
    <n v="8.2315824357912195"/>
  </r>
  <r>
    <x v="0"/>
    <x v="28"/>
    <x v="9"/>
    <x v="18"/>
    <s v="SE2_small"/>
    <x v="15"/>
    <n v="1.65807589063794"/>
    <n v="0.46057663628831802"/>
  </r>
  <r>
    <x v="0"/>
    <x v="28"/>
    <x v="9"/>
    <x v="18"/>
    <s v="SE2_small"/>
    <x v="16"/>
    <n v="6.5458675795335104"/>
    <n v="1.81829654987042"/>
  </r>
  <r>
    <x v="0"/>
    <x v="28"/>
    <x v="9"/>
    <x v="18"/>
    <s v="SE2_small"/>
    <x v="17"/>
    <n v="9.1244895875632395"/>
    <n v="2.5345804409897901"/>
  </r>
  <r>
    <x v="0"/>
    <x v="28"/>
    <x v="9"/>
    <x v="18"/>
    <s v="SE2_small"/>
    <x v="18"/>
    <n v="29.633696768848399"/>
    <n v="8.2315824357912195"/>
  </r>
  <r>
    <x v="0"/>
    <x v="28"/>
    <x v="9"/>
    <x v="18"/>
    <s v="SE2_small"/>
    <x v="19"/>
    <n v="8.1139884009941898"/>
    <n v="2.2538856669428302"/>
  </r>
  <r>
    <x v="0"/>
    <x v="28"/>
    <x v="9"/>
    <x v="18"/>
    <s v="SE2_small"/>
    <x v="20"/>
    <n v="22.109183021311601"/>
    <n v="6.1414397281420996"/>
  </r>
  <r>
    <x v="0"/>
    <x v="28"/>
    <x v="9"/>
    <x v="18"/>
    <s v="SE2_small"/>
    <x v="21"/>
    <n v="48.24"/>
    <n v="13.4"/>
  </r>
  <r>
    <x v="0"/>
    <x v="28"/>
    <x v="9"/>
    <x v="18"/>
    <s v="SE2_small"/>
    <x v="22"/>
    <n v="67.680000000000007"/>
    <n v="18.8"/>
  </r>
  <r>
    <x v="0"/>
    <x v="28"/>
    <x v="9"/>
    <x v="18"/>
    <s v="SE2_small"/>
    <x v="23"/>
    <n v="0.31515896120488701"/>
    <n v="8.7544155890246306E-2"/>
  </r>
  <r>
    <x v="0"/>
    <x v="28"/>
    <x v="9"/>
    <x v="18"/>
    <s v="SE2_small"/>
    <x v="24"/>
    <n v="19.174223581093901"/>
    <n v="5.32617321697054"/>
  </r>
  <r>
    <x v="0"/>
    <x v="28"/>
    <x v="9"/>
    <x v="18"/>
    <s v="SE2_small"/>
    <x v="25"/>
    <n v="26.209507293842599"/>
    <n v="7.2804186927340497"/>
  </r>
  <r>
    <x v="0"/>
    <x v="28"/>
    <x v="9"/>
    <x v="18"/>
    <s v="SE2_small"/>
    <x v="26"/>
    <n v="33.320887798496699"/>
    <n v="9.2558021662490795"/>
  </r>
  <r>
    <x v="0"/>
    <x v="28"/>
    <x v="9"/>
    <x v="18"/>
    <s v="SE2_small"/>
    <x v="27"/>
    <n v="20.163995508318798"/>
    <n v="5.6011098634218799"/>
  </r>
  <r>
    <x v="0"/>
    <x v="28"/>
    <x v="9"/>
    <x v="19"/>
    <s v="SE3A"/>
    <x v="1"/>
    <n v="35.989199999999997"/>
    <n v="9.9969999999999999"/>
  </r>
  <r>
    <x v="0"/>
    <x v="28"/>
    <x v="9"/>
    <x v="19"/>
    <s v="SE3A"/>
    <x v="2"/>
    <n v="46.08"/>
    <n v="12.8"/>
  </r>
  <r>
    <x v="0"/>
    <x v="28"/>
    <x v="9"/>
    <x v="19"/>
    <s v="SE3A"/>
    <x v="0"/>
    <n v="42.692399999999999"/>
    <n v="11.859"/>
  </r>
  <r>
    <x v="0"/>
    <x v="28"/>
    <x v="9"/>
    <x v="19"/>
    <s v="SE3A"/>
    <x v="3"/>
    <n v="51.633543144067197"/>
    <n v="14.342650873352"/>
  </r>
  <r>
    <x v="0"/>
    <x v="28"/>
    <x v="9"/>
    <x v="19"/>
    <s v="SE3A"/>
    <x v="4"/>
    <n v="6.3500778790389401"/>
    <n v="1.76391052195526"/>
  </r>
  <r>
    <x v="0"/>
    <x v="28"/>
    <x v="9"/>
    <x v="19"/>
    <s v="SE3A"/>
    <x v="5"/>
    <n v="6.3500778790389401"/>
    <n v="1.76391052195526"/>
  </r>
  <r>
    <x v="0"/>
    <x v="28"/>
    <x v="9"/>
    <x v="19"/>
    <s v="SE3A"/>
    <x v="6"/>
    <n v="29.476231795214598"/>
    <n v="8.1878421653373898"/>
  </r>
  <r>
    <x v="0"/>
    <x v="28"/>
    <x v="9"/>
    <x v="19"/>
    <s v="SE3A"/>
    <x v="7"/>
    <n v="57.838935220261199"/>
    <n v="16.066370894517"/>
  </r>
  <r>
    <x v="0"/>
    <x v="28"/>
    <x v="9"/>
    <x v="19"/>
    <s v="SE3A"/>
    <x v="8"/>
    <n v="57.838935220261199"/>
    <n v="16.066370894517"/>
  </r>
  <r>
    <x v="0"/>
    <x v="28"/>
    <x v="9"/>
    <x v="19"/>
    <s v="SE3A"/>
    <x v="9"/>
    <n v="44.4505451532725"/>
    <n v="12.3473736536868"/>
  </r>
  <r>
    <x v="0"/>
    <x v="28"/>
    <x v="9"/>
    <x v="19"/>
    <s v="SE3A"/>
    <x v="10"/>
    <n v="53.975661971830903"/>
    <n v="14.993239436619699"/>
  </r>
  <r>
    <x v="0"/>
    <x v="28"/>
    <x v="9"/>
    <x v="19"/>
    <s v="SE3A"/>
    <x v="11"/>
    <n v="3.8806031483015802"/>
    <n v="1.07794531897266"/>
  </r>
  <r>
    <x v="0"/>
    <x v="28"/>
    <x v="9"/>
    <x v="19"/>
    <s v="SE3A"/>
    <x v="12"/>
    <n v="9.7995028997514597E-2"/>
    <n v="2.72208413881985E-2"/>
  </r>
  <r>
    <x v="0"/>
    <x v="28"/>
    <x v="9"/>
    <x v="19"/>
    <s v="SE3A"/>
    <x v="13"/>
    <n v="29.633696768848399"/>
    <n v="8.2315824357912195"/>
  </r>
  <r>
    <x v="0"/>
    <x v="28"/>
    <x v="9"/>
    <x v="19"/>
    <s v="SE3A"/>
    <x v="14"/>
    <n v="29.633696768848399"/>
    <n v="8.2315824357912195"/>
  </r>
  <r>
    <x v="0"/>
    <x v="28"/>
    <x v="9"/>
    <x v="19"/>
    <s v="SE3A"/>
    <x v="15"/>
    <n v="1.65807589063794"/>
    <n v="0.46057663628831802"/>
  </r>
  <r>
    <x v="0"/>
    <x v="28"/>
    <x v="9"/>
    <x v="19"/>
    <s v="SE3A"/>
    <x v="16"/>
    <n v="6.5458675795335104"/>
    <n v="1.81829654987042"/>
  </r>
  <r>
    <x v="0"/>
    <x v="28"/>
    <x v="9"/>
    <x v="19"/>
    <s v="SE3A"/>
    <x v="17"/>
    <n v="9.1244895875632395"/>
    <n v="2.5345804409897901"/>
  </r>
  <r>
    <x v="0"/>
    <x v="28"/>
    <x v="9"/>
    <x v="19"/>
    <s v="SE3A"/>
    <x v="18"/>
    <n v="29.633696768848399"/>
    <n v="8.2315824357912195"/>
  </r>
  <r>
    <x v="0"/>
    <x v="28"/>
    <x v="9"/>
    <x v="19"/>
    <s v="SE3A"/>
    <x v="19"/>
    <n v="8.1139884009941898"/>
    <n v="2.2538856669428302"/>
  </r>
  <r>
    <x v="0"/>
    <x v="28"/>
    <x v="9"/>
    <x v="19"/>
    <s v="SE3A"/>
    <x v="20"/>
    <n v="22.109183021311601"/>
    <n v="6.1414397281420996"/>
  </r>
  <r>
    <x v="0"/>
    <x v="28"/>
    <x v="9"/>
    <x v="19"/>
    <s v="SE3A"/>
    <x v="21"/>
    <n v="48.24"/>
    <n v="13.4"/>
  </r>
  <r>
    <x v="0"/>
    <x v="28"/>
    <x v="9"/>
    <x v="19"/>
    <s v="SE3A"/>
    <x v="22"/>
    <n v="67.680000000000007"/>
    <n v="18.8"/>
  </r>
  <r>
    <x v="0"/>
    <x v="28"/>
    <x v="9"/>
    <x v="19"/>
    <s v="SE3A"/>
    <x v="23"/>
    <n v="0.31515896120488701"/>
    <n v="8.7544155890246306E-2"/>
  </r>
  <r>
    <x v="0"/>
    <x v="28"/>
    <x v="9"/>
    <x v="19"/>
    <s v="SE3A"/>
    <x v="24"/>
    <n v="19.174223581093901"/>
    <n v="5.32617321697054"/>
  </r>
  <r>
    <x v="0"/>
    <x v="28"/>
    <x v="9"/>
    <x v="19"/>
    <s v="SE3A"/>
    <x v="25"/>
    <n v="26.209507293842599"/>
    <n v="7.2804186927340497"/>
  </r>
  <r>
    <x v="0"/>
    <x v="28"/>
    <x v="9"/>
    <x v="19"/>
    <s v="SE3A"/>
    <x v="26"/>
    <n v="33.320887798496699"/>
    <n v="9.2558021662490795"/>
  </r>
  <r>
    <x v="0"/>
    <x v="28"/>
    <x v="9"/>
    <x v="19"/>
    <s v="SE3A"/>
    <x v="27"/>
    <n v="20.163995508318798"/>
    <n v="5.6011098634218799"/>
  </r>
  <r>
    <x v="0"/>
    <x v="28"/>
    <x v="9"/>
    <x v="19"/>
    <s v="SE3_IND"/>
    <x v="1"/>
    <n v="35.989199999999997"/>
    <n v="9.9969999999999999"/>
  </r>
  <r>
    <x v="0"/>
    <x v="28"/>
    <x v="9"/>
    <x v="19"/>
    <s v="SE3_IND"/>
    <x v="2"/>
    <n v="46.08"/>
    <n v="12.8"/>
  </r>
  <r>
    <x v="0"/>
    <x v="28"/>
    <x v="9"/>
    <x v="19"/>
    <s v="SE3_IND"/>
    <x v="0"/>
    <n v="42.692399999999999"/>
    <n v="11.859"/>
  </r>
  <r>
    <x v="0"/>
    <x v="28"/>
    <x v="9"/>
    <x v="19"/>
    <s v="SE3_IND"/>
    <x v="3"/>
    <n v="51.633543144067197"/>
    <n v="14.342650873352"/>
  </r>
  <r>
    <x v="0"/>
    <x v="28"/>
    <x v="9"/>
    <x v="19"/>
    <s v="SE3_IND"/>
    <x v="4"/>
    <n v="6.3500778790389401"/>
    <n v="1.76391052195526"/>
  </r>
  <r>
    <x v="0"/>
    <x v="28"/>
    <x v="9"/>
    <x v="19"/>
    <s v="SE3_IND"/>
    <x v="5"/>
    <n v="6.3500778790389401"/>
    <n v="1.76391052195526"/>
  </r>
  <r>
    <x v="0"/>
    <x v="28"/>
    <x v="9"/>
    <x v="19"/>
    <s v="SE3_IND"/>
    <x v="6"/>
    <n v="29.476231795214598"/>
    <n v="8.1878421653373898"/>
  </r>
  <r>
    <x v="0"/>
    <x v="28"/>
    <x v="9"/>
    <x v="19"/>
    <s v="SE3_IND"/>
    <x v="7"/>
    <n v="57.838935220261199"/>
    <n v="16.066370894517"/>
  </r>
  <r>
    <x v="0"/>
    <x v="28"/>
    <x v="9"/>
    <x v="19"/>
    <s v="SE3_IND"/>
    <x v="8"/>
    <n v="57.838935220261199"/>
    <n v="16.066370894517"/>
  </r>
  <r>
    <x v="0"/>
    <x v="28"/>
    <x v="9"/>
    <x v="19"/>
    <s v="SE3_IND"/>
    <x v="9"/>
    <n v="44.4505451532725"/>
    <n v="12.3473736536868"/>
  </r>
  <r>
    <x v="0"/>
    <x v="28"/>
    <x v="9"/>
    <x v="19"/>
    <s v="SE3_IND"/>
    <x v="10"/>
    <n v="53.975661971830903"/>
    <n v="14.993239436619699"/>
  </r>
  <r>
    <x v="0"/>
    <x v="28"/>
    <x v="9"/>
    <x v="19"/>
    <s v="SE3_IND"/>
    <x v="11"/>
    <n v="3.8806031483015802"/>
    <n v="1.07794531897266"/>
  </r>
  <r>
    <x v="0"/>
    <x v="28"/>
    <x v="9"/>
    <x v="19"/>
    <s v="SE3_IND"/>
    <x v="12"/>
    <n v="9.7995028997514597E-2"/>
    <n v="2.72208413881985E-2"/>
  </r>
  <r>
    <x v="0"/>
    <x v="28"/>
    <x v="9"/>
    <x v="19"/>
    <s v="SE3_IND"/>
    <x v="13"/>
    <n v="29.633696768848399"/>
    <n v="8.2315824357912195"/>
  </r>
  <r>
    <x v="0"/>
    <x v="28"/>
    <x v="9"/>
    <x v="19"/>
    <s v="SE3_IND"/>
    <x v="14"/>
    <n v="29.633696768848399"/>
    <n v="8.2315824357912195"/>
  </r>
  <r>
    <x v="0"/>
    <x v="28"/>
    <x v="9"/>
    <x v="19"/>
    <s v="SE3_IND"/>
    <x v="15"/>
    <n v="1.65807589063794"/>
    <n v="0.46057663628831802"/>
  </r>
  <r>
    <x v="0"/>
    <x v="28"/>
    <x v="9"/>
    <x v="19"/>
    <s v="SE3_IND"/>
    <x v="16"/>
    <n v="6.5458675795335104"/>
    <n v="1.81829654987042"/>
  </r>
  <r>
    <x v="0"/>
    <x v="28"/>
    <x v="9"/>
    <x v="19"/>
    <s v="SE3_IND"/>
    <x v="17"/>
    <n v="9.1244895875632395"/>
    <n v="2.5345804409897901"/>
  </r>
  <r>
    <x v="0"/>
    <x v="28"/>
    <x v="9"/>
    <x v="19"/>
    <s v="SE3_IND"/>
    <x v="18"/>
    <n v="29.633696768848399"/>
    <n v="8.2315824357912195"/>
  </r>
  <r>
    <x v="0"/>
    <x v="28"/>
    <x v="9"/>
    <x v="19"/>
    <s v="SE3_IND"/>
    <x v="19"/>
    <n v="8.1139884009941898"/>
    <n v="2.2538856669428302"/>
  </r>
  <r>
    <x v="0"/>
    <x v="28"/>
    <x v="9"/>
    <x v="19"/>
    <s v="SE3_IND"/>
    <x v="20"/>
    <n v="22.109183021311601"/>
    <n v="6.1414397281420996"/>
  </r>
  <r>
    <x v="0"/>
    <x v="28"/>
    <x v="9"/>
    <x v="19"/>
    <s v="SE3_IND"/>
    <x v="21"/>
    <n v="48.24"/>
    <n v="13.4"/>
  </r>
  <r>
    <x v="0"/>
    <x v="28"/>
    <x v="9"/>
    <x v="19"/>
    <s v="SE3_IND"/>
    <x v="22"/>
    <n v="67.680000000000007"/>
    <n v="18.8"/>
  </r>
  <r>
    <x v="0"/>
    <x v="28"/>
    <x v="9"/>
    <x v="19"/>
    <s v="SE3_IND"/>
    <x v="23"/>
    <n v="0.31515896120488701"/>
    <n v="8.7544155890246306E-2"/>
  </r>
  <r>
    <x v="0"/>
    <x v="28"/>
    <x v="9"/>
    <x v="19"/>
    <s v="SE3_IND"/>
    <x v="24"/>
    <n v="19.174223581093901"/>
    <n v="5.32617321697054"/>
  </r>
  <r>
    <x v="0"/>
    <x v="28"/>
    <x v="9"/>
    <x v="19"/>
    <s v="SE3_IND"/>
    <x v="25"/>
    <n v="26.209507293842599"/>
    <n v="7.2804186927340497"/>
  </r>
  <r>
    <x v="0"/>
    <x v="28"/>
    <x v="9"/>
    <x v="19"/>
    <s v="SE3_IND"/>
    <x v="26"/>
    <n v="33.320887798496699"/>
    <n v="9.2558021662490795"/>
  </r>
  <r>
    <x v="0"/>
    <x v="28"/>
    <x v="9"/>
    <x v="19"/>
    <s v="SE3_IND"/>
    <x v="27"/>
    <n v="20.163995508318798"/>
    <n v="5.6011098634218799"/>
  </r>
  <r>
    <x v="0"/>
    <x v="28"/>
    <x v="9"/>
    <x v="19"/>
    <s v="SE3_Offshore"/>
    <x v="1"/>
    <n v="35.989199999999997"/>
    <n v="9.9969999999999999"/>
  </r>
  <r>
    <x v="0"/>
    <x v="28"/>
    <x v="9"/>
    <x v="19"/>
    <s v="SE3_Offshore"/>
    <x v="2"/>
    <n v="46.08"/>
    <n v="12.8"/>
  </r>
  <r>
    <x v="0"/>
    <x v="28"/>
    <x v="9"/>
    <x v="19"/>
    <s v="SE3_Offshore"/>
    <x v="0"/>
    <n v="42.692399999999999"/>
    <n v="11.859"/>
  </r>
  <r>
    <x v="0"/>
    <x v="28"/>
    <x v="9"/>
    <x v="19"/>
    <s v="SE3_Offshore"/>
    <x v="3"/>
    <n v="51.633543144067197"/>
    <n v="14.342650873352"/>
  </r>
  <r>
    <x v="0"/>
    <x v="28"/>
    <x v="9"/>
    <x v="19"/>
    <s v="SE3_Offshore"/>
    <x v="4"/>
    <n v="6.3500778790389401"/>
    <n v="1.76391052195526"/>
  </r>
  <r>
    <x v="0"/>
    <x v="28"/>
    <x v="9"/>
    <x v="19"/>
    <s v="SE3_Offshore"/>
    <x v="5"/>
    <n v="6.3500778790389401"/>
    <n v="1.76391052195526"/>
  </r>
  <r>
    <x v="0"/>
    <x v="28"/>
    <x v="9"/>
    <x v="19"/>
    <s v="SE3_Offshore"/>
    <x v="6"/>
    <n v="29.476231795214598"/>
    <n v="8.1878421653373898"/>
  </r>
  <r>
    <x v="0"/>
    <x v="28"/>
    <x v="9"/>
    <x v="19"/>
    <s v="SE3_Offshore"/>
    <x v="7"/>
    <n v="57.838935220261199"/>
    <n v="16.066370894517"/>
  </r>
  <r>
    <x v="0"/>
    <x v="28"/>
    <x v="9"/>
    <x v="19"/>
    <s v="SE3_Offshore"/>
    <x v="8"/>
    <n v="57.838935220261199"/>
    <n v="16.066370894517"/>
  </r>
  <r>
    <x v="0"/>
    <x v="28"/>
    <x v="9"/>
    <x v="19"/>
    <s v="SE3_Offshore"/>
    <x v="9"/>
    <n v="44.4505451532725"/>
    <n v="12.3473736536868"/>
  </r>
  <r>
    <x v="0"/>
    <x v="28"/>
    <x v="9"/>
    <x v="19"/>
    <s v="SE3_Offshore"/>
    <x v="10"/>
    <n v="53.975661971830903"/>
    <n v="14.993239436619699"/>
  </r>
  <r>
    <x v="0"/>
    <x v="28"/>
    <x v="9"/>
    <x v="19"/>
    <s v="SE3_Offshore"/>
    <x v="11"/>
    <n v="3.8806031483015802"/>
    <n v="1.07794531897266"/>
  </r>
  <r>
    <x v="0"/>
    <x v="28"/>
    <x v="9"/>
    <x v="19"/>
    <s v="SE3_Offshore"/>
    <x v="12"/>
    <n v="9.7995028997514597E-2"/>
    <n v="2.72208413881985E-2"/>
  </r>
  <r>
    <x v="0"/>
    <x v="28"/>
    <x v="9"/>
    <x v="19"/>
    <s v="SE3_Offshore"/>
    <x v="13"/>
    <n v="29.633696768848399"/>
    <n v="8.2315824357912195"/>
  </r>
  <r>
    <x v="0"/>
    <x v="28"/>
    <x v="9"/>
    <x v="19"/>
    <s v="SE3_Offshore"/>
    <x v="14"/>
    <n v="29.633696768848399"/>
    <n v="8.2315824357912195"/>
  </r>
  <r>
    <x v="0"/>
    <x v="28"/>
    <x v="9"/>
    <x v="19"/>
    <s v="SE3_Offshore"/>
    <x v="15"/>
    <n v="1.65807589063794"/>
    <n v="0.46057663628831802"/>
  </r>
  <r>
    <x v="0"/>
    <x v="28"/>
    <x v="9"/>
    <x v="19"/>
    <s v="SE3_Offshore"/>
    <x v="16"/>
    <n v="6.5458675795335104"/>
    <n v="1.81829654987042"/>
  </r>
  <r>
    <x v="0"/>
    <x v="28"/>
    <x v="9"/>
    <x v="19"/>
    <s v="SE3_Offshore"/>
    <x v="17"/>
    <n v="9.1244895875632395"/>
    <n v="2.5345804409897901"/>
  </r>
  <r>
    <x v="0"/>
    <x v="28"/>
    <x v="9"/>
    <x v="19"/>
    <s v="SE3_Offshore"/>
    <x v="18"/>
    <n v="29.633696768848399"/>
    <n v="8.2315824357912195"/>
  </r>
  <r>
    <x v="0"/>
    <x v="28"/>
    <x v="9"/>
    <x v="19"/>
    <s v="SE3_Offshore"/>
    <x v="19"/>
    <n v="8.1139884009941898"/>
    <n v="2.2538856669428302"/>
  </r>
  <r>
    <x v="0"/>
    <x v="28"/>
    <x v="9"/>
    <x v="19"/>
    <s v="SE3_Offshore"/>
    <x v="20"/>
    <n v="22.109183021311601"/>
    <n v="6.1414397281420996"/>
  </r>
  <r>
    <x v="0"/>
    <x v="28"/>
    <x v="9"/>
    <x v="19"/>
    <s v="SE3_Offshore"/>
    <x v="21"/>
    <n v="48.24"/>
    <n v="13.4"/>
  </r>
  <r>
    <x v="0"/>
    <x v="28"/>
    <x v="9"/>
    <x v="19"/>
    <s v="SE3_Offshore"/>
    <x v="22"/>
    <n v="67.680000000000007"/>
    <n v="18.8"/>
  </r>
  <r>
    <x v="0"/>
    <x v="28"/>
    <x v="9"/>
    <x v="19"/>
    <s v="SE3_Offshore"/>
    <x v="23"/>
    <n v="0.31515896120488701"/>
    <n v="8.7544155890246306E-2"/>
  </r>
  <r>
    <x v="0"/>
    <x v="28"/>
    <x v="9"/>
    <x v="19"/>
    <s v="SE3_Offshore"/>
    <x v="24"/>
    <n v="19.174223581093901"/>
    <n v="5.32617321697054"/>
  </r>
  <r>
    <x v="0"/>
    <x v="28"/>
    <x v="9"/>
    <x v="19"/>
    <s v="SE3_Offshore"/>
    <x v="25"/>
    <n v="26.209507293842599"/>
    <n v="7.2804186927340497"/>
  </r>
  <r>
    <x v="0"/>
    <x v="28"/>
    <x v="9"/>
    <x v="19"/>
    <s v="SE3_Offshore"/>
    <x v="26"/>
    <n v="33.320887798496699"/>
    <n v="9.2558021662490795"/>
  </r>
  <r>
    <x v="0"/>
    <x v="28"/>
    <x v="9"/>
    <x v="19"/>
    <s v="SE3_Offshore"/>
    <x v="27"/>
    <n v="20.163995508318798"/>
    <n v="5.6011098634218799"/>
  </r>
  <r>
    <x v="0"/>
    <x v="28"/>
    <x v="9"/>
    <x v="19"/>
    <s v="SE3_large"/>
    <x v="1"/>
    <n v="35.989199999999997"/>
    <n v="9.9969999999999999"/>
  </r>
  <r>
    <x v="0"/>
    <x v="28"/>
    <x v="9"/>
    <x v="19"/>
    <s v="SE3_large"/>
    <x v="2"/>
    <n v="46.08"/>
    <n v="12.8"/>
  </r>
  <r>
    <x v="0"/>
    <x v="28"/>
    <x v="9"/>
    <x v="19"/>
    <s v="SE3_large"/>
    <x v="0"/>
    <n v="42.692399999999999"/>
    <n v="11.859"/>
  </r>
  <r>
    <x v="0"/>
    <x v="28"/>
    <x v="9"/>
    <x v="19"/>
    <s v="SE3_large"/>
    <x v="3"/>
    <n v="51.633543144067197"/>
    <n v="14.342650873352"/>
  </r>
  <r>
    <x v="0"/>
    <x v="28"/>
    <x v="9"/>
    <x v="19"/>
    <s v="SE3_large"/>
    <x v="4"/>
    <n v="6.3500778790389401"/>
    <n v="1.76391052195526"/>
  </r>
  <r>
    <x v="0"/>
    <x v="28"/>
    <x v="9"/>
    <x v="19"/>
    <s v="SE3_large"/>
    <x v="5"/>
    <n v="6.3500778790389401"/>
    <n v="1.76391052195526"/>
  </r>
  <r>
    <x v="0"/>
    <x v="28"/>
    <x v="9"/>
    <x v="19"/>
    <s v="SE3_large"/>
    <x v="6"/>
    <n v="29.476231795214598"/>
    <n v="8.1878421653373898"/>
  </r>
  <r>
    <x v="0"/>
    <x v="28"/>
    <x v="9"/>
    <x v="19"/>
    <s v="SE3_large"/>
    <x v="7"/>
    <n v="57.838935220261199"/>
    <n v="16.066370894517"/>
  </r>
  <r>
    <x v="0"/>
    <x v="28"/>
    <x v="9"/>
    <x v="19"/>
    <s v="SE3_large"/>
    <x v="8"/>
    <n v="57.838935220261199"/>
    <n v="16.066370894517"/>
  </r>
  <r>
    <x v="0"/>
    <x v="28"/>
    <x v="9"/>
    <x v="19"/>
    <s v="SE3_large"/>
    <x v="9"/>
    <n v="44.4505451532725"/>
    <n v="12.3473736536868"/>
  </r>
  <r>
    <x v="0"/>
    <x v="28"/>
    <x v="9"/>
    <x v="19"/>
    <s v="SE3_large"/>
    <x v="10"/>
    <n v="53.975661971830903"/>
    <n v="14.993239436619699"/>
  </r>
  <r>
    <x v="0"/>
    <x v="28"/>
    <x v="9"/>
    <x v="19"/>
    <s v="SE3_large"/>
    <x v="11"/>
    <n v="3.8806031483015802"/>
    <n v="1.07794531897266"/>
  </r>
  <r>
    <x v="0"/>
    <x v="28"/>
    <x v="9"/>
    <x v="19"/>
    <s v="SE3_large"/>
    <x v="12"/>
    <n v="9.7995028997514597E-2"/>
    <n v="2.72208413881985E-2"/>
  </r>
  <r>
    <x v="0"/>
    <x v="28"/>
    <x v="9"/>
    <x v="19"/>
    <s v="SE3_large"/>
    <x v="13"/>
    <n v="29.633696768848399"/>
    <n v="8.2315824357912195"/>
  </r>
  <r>
    <x v="0"/>
    <x v="28"/>
    <x v="9"/>
    <x v="19"/>
    <s v="SE3_large"/>
    <x v="14"/>
    <n v="29.633696768848399"/>
    <n v="8.2315824357912195"/>
  </r>
  <r>
    <x v="0"/>
    <x v="28"/>
    <x v="9"/>
    <x v="19"/>
    <s v="SE3_large"/>
    <x v="15"/>
    <n v="1.65807589063794"/>
    <n v="0.46057663628831802"/>
  </r>
  <r>
    <x v="0"/>
    <x v="28"/>
    <x v="9"/>
    <x v="19"/>
    <s v="SE3_large"/>
    <x v="16"/>
    <n v="6.5458675795335104"/>
    <n v="1.81829654987042"/>
  </r>
  <r>
    <x v="0"/>
    <x v="28"/>
    <x v="9"/>
    <x v="19"/>
    <s v="SE3_large"/>
    <x v="17"/>
    <n v="9.1244895875632395"/>
    <n v="2.5345804409897901"/>
  </r>
  <r>
    <x v="0"/>
    <x v="28"/>
    <x v="9"/>
    <x v="19"/>
    <s v="SE3_large"/>
    <x v="18"/>
    <n v="29.633696768848399"/>
    <n v="8.2315824357912195"/>
  </r>
  <r>
    <x v="0"/>
    <x v="28"/>
    <x v="9"/>
    <x v="19"/>
    <s v="SE3_large"/>
    <x v="19"/>
    <n v="8.1139884009941898"/>
    <n v="2.2538856669428302"/>
  </r>
  <r>
    <x v="0"/>
    <x v="28"/>
    <x v="9"/>
    <x v="19"/>
    <s v="SE3_large"/>
    <x v="20"/>
    <n v="22.109183021311601"/>
    <n v="6.1414397281420996"/>
  </r>
  <r>
    <x v="0"/>
    <x v="28"/>
    <x v="9"/>
    <x v="19"/>
    <s v="SE3_large"/>
    <x v="21"/>
    <n v="48.24"/>
    <n v="13.4"/>
  </r>
  <r>
    <x v="0"/>
    <x v="28"/>
    <x v="9"/>
    <x v="19"/>
    <s v="SE3_large"/>
    <x v="22"/>
    <n v="67.680000000000007"/>
    <n v="18.8"/>
  </r>
  <r>
    <x v="0"/>
    <x v="28"/>
    <x v="9"/>
    <x v="19"/>
    <s v="SE3_large"/>
    <x v="23"/>
    <n v="0.31515896120488701"/>
    <n v="8.7544155890246306E-2"/>
  </r>
  <r>
    <x v="0"/>
    <x v="28"/>
    <x v="9"/>
    <x v="19"/>
    <s v="SE3_large"/>
    <x v="24"/>
    <n v="19.174223581093901"/>
    <n v="5.32617321697054"/>
  </r>
  <r>
    <x v="0"/>
    <x v="28"/>
    <x v="9"/>
    <x v="19"/>
    <s v="SE3_large"/>
    <x v="25"/>
    <n v="26.209507293842599"/>
    <n v="7.2804186927340497"/>
  </r>
  <r>
    <x v="0"/>
    <x v="28"/>
    <x v="9"/>
    <x v="19"/>
    <s v="SE3_large"/>
    <x v="26"/>
    <n v="33.320887798496699"/>
    <n v="9.2558021662490795"/>
  </r>
  <r>
    <x v="0"/>
    <x v="28"/>
    <x v="9"/>
    <x v="19"/>
    <s v="SE3_large"/>
    <x v="27"/>
    <n v="20.163995508318798"/>
    <n v="5.6011098634218799"/>
  </r>
  <r>
    <x v="0"/>
    <x v="28"/>
    <x v="9"/>
    <x v="19"/>
    <s v="SE3_medium"/>
    <x v="1"/>
    <n v="35.989199999999997"/>
    <n v="9.9969999999999999"/>
  </r>
  <r>
    <x v="0"/>
    <x v="28"/>
    <x v="9"/>
    <x v="19"/>
    <s v="SE3_medium"/>
    <x v="2"/>
    <n v="46.08"/>
    <n v="12.8"/>
  </r>
  <r>
    <x v="0"/>
    <x v="28"/>
    <x v="9"/>
    <x v="19"/>
    <s v="SE3_medium"/>
    <x v="0"/>
    <n v="42.692399999999999"/>
    <n v="11.859"/>
  </r>
  <r>
    <x v="0"/>
    <x v="28"/>
    <x v="9"/>
    <x v="19"/>
    <s v="SE3_medium"/>
    <x v="3"/>
    <n v="51.633543144067197"/>
    <n v="14.342650873352"/>
  </r>
  <r>
    <x v="0"/>
    <x v="28"/>
    <x v="9"/>
    <x v="19"/>
    <s v="SE3_medium"/>
    <x v="4"/>
    <n v="6.3500778790389401"/>
    <n v="1.76391052195526"/>
  </r>
  <r>
    <x v="0"/>
    <x v="28"/>
    <x v="9"/>
    <x v="19"/>
    <s v="SE3_medium"/>
    <x v="5"/>
    <n v="6.3500778790389401"/>
    <n v="1.76391052195526"/>
  </r>
  <r>
    <x v="0"/>
    <x v="28"/>
    <x v="9"/>
    <x v="19"/>
    <s v="SE3_medium"/>
    <x v="6"/>
    <n v="29.476231795214598"/>
    <n v="8.1878421653373898"/>
  </r>
  <r>
    <x v="0"/>
    <x v="28"/>
    <x v="9"/>
    <x v="19"/>
    <s v="SE3_medium"/>
    <x v="7"/>
    <n v="57.838935220261199"/>
    <n v="16.066370894517"/>
  </r>
  <r>
    <x v="0"/>
    <x v="28"/>
    <x v="9"/>
    <x v="19"/>
    <s v="SE3_medium"/>
    <x v="8"/>
    <n v="57.838935220261199"/>
    <n v="16.066370894517"/>
  </r>
  <r>
    <x v="0"/>
    <x v="28"/>
    <x v="9"/>
    <x v="19"/>
    <s v="SE3_medium"/>
    <x v="9"/>
    <n v="44.4505451532725"/>
    <n v="12.3473736536868"/>
  </r>
  <r>
    <x v="0"/>
    <x v="28"/>
    <x v="9"/>
    <x v="19"/>
    <s v="SE3_medium"/>
    <x v="10"/>
    <n v="53.975661971830903"/>
    <n v="14.993239436619699"/>
  </r>
  <r>
    <x v="0"/>
    <x v="28"/>
    <x v="9"/>
    <x v="19"/>
    <s v="SE3_medium"/>
    <x v="11"/>
    <n v="3.8806031483015802"/>
    <n v="1.07794531897266"/>
  </r>
  <r>
    <x v="0"/>
    <x v="28"/>
    <x v="9"/>
    <x v="19"/>
    <s v="SE3_medium"/>
    <x v="12"/>
    <n v="9.7995028997514597E-2"/>
    <n v="2.72208413881985E-2"/>
  </r>
  <r>
    <x v="0"/>
    <x v="28"/>
    <x v="9"/>
    <x v="19"/>
    <s v="SE3_medium"/>
    <x v="13"/>
    <n v="29.633696768848399"/>
    <n v="8.2315824357912195"/>
  </r>
  <r>
    <x v="0"/>
    <x v="28"/>
    <x v="9"/>
    <x v="19"/>
    <s v="SE3_medium"/>
    <x v="14"/>
    <n v="29.633696768848399"/>
    <n v="8.2315824357912195"/>
  </r>
  <r>
    <x v="0"/>
    <x v="28"/>
    <x v="9"/>
    <x v="19"/>
    <s v="SE3_medium"/>
    <x v="15"/>
    <n v="1.65807589063794"/>
    <n v="0.46057663628831802"/>
  </r>
  <r>
    <x v="0"/>
    <x v="28"/>
    <x v="9"/>
    <x v="19"/>
    <s v="SE3_medium"/>
    <x v="16"/>
    <n v="6.5458675795335104"/>
    <n v="1.81829654987042"/>
  </r>
  <r>
    <x v="0"/>
    <x v="28"/>
    <x v="9"/>
    <x v="19"/>
    <s v="SE3_medium"/>
    <x v="17"/>
    <n v="9.1244895875632395"/>
    <n v="2.5345804409897901"/>
  </r>
  <r>
    <x v="0"/>
    <x v="28"/>
    <x v="9"/>
    <x v="19"/>
    <s v="SE3_medium"/>
    <x v="18"/>
    <n v="29.633696768848399"/>
    <n v="8.2315824357912195"/>
  </r>
  <r>
    <x v="0"/>
    <x v="28"/>
    <x v="9"/>
    <x v="19"/>
    <s v="SE3_medium"/>
    <x v="19"/>
    <n v="8.1139884009941898"/>
    <n v="2.2538856669428302"/>
  </r>
  <r>
    <x v="0"/>
    <x v="28"/>
    <x v="9"/>
    <x v="19"/>
    <s v="SE3_medium"/>
    <x v="20"/>
    <n v="22.109183021311601"/>
    <n v="6.1414397281420996"/>
  </r>
  <r>
    <x v="0"/>
    <x v="28"/>
    <x v="9"/>
    <x v="19"/>
    <s v="SE3_medium"/>
    <x v="21"/>
    <n v="48.24"/>
    <n v="13.4"/>
  </r>
  <r>
    <x v="0"/>
    <x v="28"/>
    <x v="9"/>
    <x v="19"/>
    <s v="SE3_medium"/>
    <x v="22"/>
    <n v="67.680000000000007"/>
    <n v="18.8"/>
  </r>
  <r>
    <x v="0"/>
    <x v="28"/>
    <x v="9"/>
    <x v="19"/>
    <s v="SE3_medium"/>
    <x v="23"/>
    <n v="0.31515896120488701"/>
    <n v="8.7544155890246306E-2"/>
  </r>
  <r>
    <x v="0"/>
    <x v="28"/>
    <x v="9"/>
    <x v="19"/>
    <s v="SE3_medium"/>
    <x v="24"/>
    <n v="19.174223581093901"/>
    <n v="5.32617321697054"/>
  </r>
  <r>
    <x v="0"/>
    <x v="28"/>
    <x v="9"/>
    <x v="19"/>
    <s v="SE3_medium"/>
    <x v="25"/>
    <n v="26.209507293842599"/>
    <n v="7.2804186927340497"/>
  </r>
  <r>
    <x v="0"/>
    <x v="28"/>
    <x v="9"/>
    <x v="19"/>
    <s v="SE3_medium"/>
    <x v="26"/>
    <n v="33.320887798496699"/>
    <n v="9.2558021662490795"/>
  </r>
  <r>
    <x v="0"/>
    <x v="28"/>
    <x v="9"/>
    <x v="19"/>
    <s v="SE3_medium"/>
    <x v="27"/>
    <n v="20.163995508318798"/>
    <n v="5.6011098634218799"/>
  </r>
  <r>
    <x v="0"/>
    <x v="28"/>
    <x v="9"/>
    <x v="19"/>
    <s v="SE3_small"/>
    <x v="1"/>
    <n v="35.989199999999997"/>
    <n v="9.9969999999999999"/>
  </r>
  <r>
    <x v="0"/>
    <x v="28"/>
    <x v="9"/>
    <x v="19"/>
    <s v="SE3_small"/>
    <x v="2"/>
    <n v="46.08"/>
    <n v="12.8"/>
  </r>
  <r>
    <x v="0"/>
    <x v="28"/>
    <x v="9"/>
    <x v="19"/>
    <s v="SE3_small"/>
    <x v="0"/>
    <n v="42.692399999999999"/>
    <n v="11.859"/>
  </r>
  <r>
    <x v="0"/>
    <x v="28"/>
    <x v="9"/>
    <x v="19"/>
    <s v="SE3_small"/>
    <x v="3"/>
    <n v="51.633543144067197"/>
    <n v="14.342650873352"/>
  </r>
  <r>
    <x v="0"/>
    <x v="28"/>
    <x v="9"/>
    <x v="19"/>
    <s v="SE3_small"/>
    <x v="4"/>
    <n v="6.3500778790389401"/>
    <n v="1.76391052195526"/>
  </r>
  <r>
    <x v="0"/>
    <x v="28"/>
    <x v="9"/>
    <x v="19"/>
    <s v="SE3_small"/>
    <x v="5"/>
    <n v="6.3500778790389401"/>
    <n v="1.76391052195526"/>
  </r>
  <r>
    <x v="0"/>
    <x v="28"/>
    <x v="9"/>
    <x v="19"/>
    <s v="SE3_small"/>
    <x v="6"/>
    <n v="29.476231795214598"/>
    <n v="8.1878421653373898"/>
  </r>
  <r>
    <x v="0"/>
    <x v="28"/>
    <x v="9"/>
    <x v="19"/>
    <s v="SE3_small"/>
    <x v="7"/>
    <n v="57.838935220261199"/>
    <n v="16.066370894517"/>
  </r>
  <r>
    <x v="0"/>
    <x v="28"/>
    <x v="9"/>
    <x v="19"/>
    <s v="SE3_small"/>
    <x v="8"/>
    <n v="57.838935220261199"/>
    <n v="16.066370894517"/>
  </r>
  <r>
    <x v="0"/>
    <x v="28"/>
    <x v="9"/>
    <x v="19"/>
    <s v="SE3_small"/>
    <x v="9"/>
    <n v="44.4505451532725"/>
    <n v="12.3473736536868"/>
  </r>
  <r>
    <x v="0"/>
    <x v="28"/>
    <x v="9"/>
    <x v="19"/>
    <s v="SE3_small"/>
    <x v="10"/>
    <n v="53.975661971830903"/>
    <n v="14.993239436619699"/>
  </r>
  <r>
    <x v="0"/>
    <x v="28"/>
    <x v="9"/>
    <x v="19"/>
    <s v="SE3_small"/>
    <x v="11"/>
    <n v="3.8806031483015802"/>
    <n v="1.07794531897266"/>
  </r>
  <r>
    <x v="0"/>
    <x v="28"/>
    <x v="9"/>
    <x v="19"/>
    <s v="SE3_small"/>
    <x v="12"/>
    <n v="9.7995028997514597E-2"/>
    <n v="2.72208413881985E-2"/>
  </r>
  <r>
    <x v="0"/>
    <x v="28"/>
    <x v="9"/>
    <x v="19"/>
    <s v="SE3_small"/>
    <x v="13"/>
    <n v="29.633696768848399"/>
    <n v="8.2315824357912195"/>
  </r>
  <r>
    <x v="0"/>
    <x v="28"/>
    <x v="9"/>
    <x v="19"/>
    <s v="SE3_small"/>
    <x v="14"/>
    <n v="29.633696768848399"/>
    <n v="8.2315824357912195"/>
  </r>
  <r>
    <x v="0"/>
    <x v="28"/>
    <x v="9"/>
    <x v="19"/>
    <s v="SE3_small"/>
    <x v="15"/>
    <n v="1.65807589063794"/>
    <n v="0.46057663628831802"/>
  </r>
  <r>
    <x v="0"/>
    <x v="28"/>
    <x v="9"/>
    <x v="19"/>
    <s v="SE3_small"/>
    <x v="16"/>
    <n v="6.5458675795335104"/>
    <n v="1.81829654987042"/>
  </r>
  <r>
    <x v="0"/>
    <x v="28"/>
    <x v="9"/>
    <x v="19"/>
    <s v="SE3_small"/>
    <x v="17"/>
    <n v="9.1244895875632395"/>
    <n v="2.5345804409897901"/>
  </r>
  <r>
    <x v="0"/>
    <x v="28"/>
    <x v="9"/>
    <x v="19"/>
    <s v="SE3_small"/>
    <x v="18"/>
    <n v="29.633696768848399"/>
    <n v="8.2315824357912195"/>
  </r>
  <r>
    <x v="0"/>
    <x v="28"/>
    <x v="9"/>
    <x v="19"/>
    <s v="SE3_small"/>
    <x v="19"/>
    <n v="8.1139884009941898"/>
    <n v="2.2538856669428302"/>
  </r>
  <r>
    <x v="0"/>
    <x v="28"/>
    <x v="9"/>
    <x v="19"/>
    <s v="SE3_small"/>
    <x v="20"/>
    <n v="22.109183021311601"/>
    <n v="6.1414397281420996"/>
  </r>
  <r>
    <x v="0"/>
    <x v="28"/>
    <x v="9"/>
    <x v="19"/>
    <s v="SE3_small"/>
    <x v="21"/>
    <n v="48.24"/>
    <n v="13.4"/>
  </r>
  <r>
    <x v="0"/>
    <x v="28"/>
    <x v="9"/>
    <x v="19"/>
    <s v="SE3_small"/>
    <x v="22"/>
    <n v="67.680000000000007"/>
    <n v="18.8"/>
  </r>
  <r>
    <x v="0"/>
    <x v="28"/>
    <x v="9"/>
    <x v="19"/>
    <s v="SE3_small"/>
    <x v="23"/>
    <n v="0.31515896120488701"/>
    <n v="8.7544155890246306E-2"/>
  </r>
  <r>
    <x v="0"/>
    <x v="28"/>
    <x v="9"/>
    <x v="19"/>
    <s v="SE3_small"/>
    <x v="24"/>
    <n v="19.174223581093901"/>
    <n v="5.32617321697054"/>
  </r>
  <r>
    <x v="0"/>
    <x v="28"/>
    <x v="9"/>
    <x v="19"/>
    <s v="SE3_small"/>
    <x v="25"/>
    <n v="26.209507293842599"/>
    <n v="7.2804186927340497"/>
  </r>
  <r>
    <x v="0"/>
    <x v="28"/>
    <x v="9"/>
    <x v="19"/>
    <s v="SE3_small"/>
    <x v="26"/>
    <n v="33.320887798496699"/>
    <n v="9.2558021662490795"/>
  </r>
  <r>
    <x v="0"/>
    <x v="28"/>
    <x v="9"/>
    <x v="19"/>
    <s v="SE3_small"/>
    <x v="27"/>
    <n v="20.163995508318798"/>
    <n v="5.6011098634218799"/>
  </r>
  <r>
    <x v="0"/>
    <x v="28"/>
    <x v="9"/>
    <x v="20"/>
    <s v="SE4A"/>
    <x v="1"/>
    <n v="35.989199999999997"/>
    <n v="9.9969999999999999"/>
  </r>
  <r>
    <x v="0"/>
    <x v="28"/>
    <x v="9"/>
    <x v="20"/>
    <s v="SE4A"/>
    <x v="2"/>
    <n v="46.08"/>
    <n v="12.8"/>
  </r>
  <r>
    <x v="0"/>
    <x v="28"/>
    <x v="9"/>
    <x v="20"/>
    <s v="SE4A"/>
    <x v="0"/>
    <n v="42.692399999999999"/>
    <n v="11.859"/>
  </r>
  <r>
    <x v="0"/>
    <x v="28"/>
    <x v="9"/>
    <x v="20"/>
    <s v="SE4A"/>
    <x v="3"/>
    <n v="51.633543144067197"/>
    <n v="14.342650873352"/>
  </r>
  <r>
    <x v="0"/>
    <x v="28"/>
    <x v="9"/>
    <x v="20"/>
    <s v="SE4A"/>
    <x v="4"/>
    <n v="6.3500778790389401"/>
    <n v="1.76391052195526"/>
  </r>
  <r>
    <x v="0"/>
    <x v="28"/>
    <x v="9"/>
    <x v="20"/>
    <s v="SE4A"/>
    <x v="5"/>
    <n v="6.3500778790389401"/>
    <n v="1.76391052195526"/>
  </r>
  <r>
    <x v="0"/>
    <x v="28"/>
    <x v="9"/>
    <x v="20"/>
    <s v="SE4A"/>
    <x v="6"/>
    <n v="29.476231795214598"/>
    <n v="8.1878421653373898"/>
  </r>
  <r>
    <x v="0"/>
    <x v="28"/>
    <x v="9"/>
    <x v="20"/>
    <s v="SE4A"/>
    <x v="7"/>
    <n v="57.838935220261199"/>
    <n v="16.066370894517"/>
  </r>
  <r>
    <x v="0"/>
    <x v="28"/>
    <x v="9"/>
    <x v="20"/>
    <s v="SE4A"/>
    <x v="8"/>
    <n v="57.838935220261199"/>
    <n v="16.066370894517"/>
  </r>
  <r>
    <x v="0"/>
    <x v="28"/>
    <x v="9"/>
    <x v="20"/>
    <s v="SE4A"/>
    <x v="9"/>
    <n v="44.4505451532725"/>
    <n v="12.3473736536868"/>
  </r>
  <r>
    <x v="0"/>
    <x v="28"/>
    <x v="9"/>
    <x v="20"/>
    <s v="SE4A"/>
    <x v="10"/>
    <n v="53.975661971830903"/>
    <n v="14.993239436619699"/>
  </r>
  <r>
    <x v="0"/>
    <x v="28"/>
    <x v="9"/>
    <x v="20"/>
    <s v="SE4A"/>
    <x v="11"/>
    <n v="3.8806031483015802"/>
    <n v="1.07794531897266"/>
  </r>
  <r>
    <x v="0"/>
    <x v="28"/>
    <x v="9"/>
    <x v="20"/>
    <s v="SE4A"/>
    <x v="12"/>
    <n v="9.7995028997514597E-2"/>
    <n v="2.72208413881985E-2"/>
  </r>
  <r>
    <x v="0"/>
    <x v="28"/>
    <x v="9"/>
    <x v="20"/>
    <s v="SE4A"/>
    <x v="13"/>
    <n v="29.633696768848399"/>
    <n v="8.2315824357912195"/>
  </r>
  <r>
    <x v="0"/>
    <x v="28"/>
    <x v="9"/>
    <x v="20"/>
    <s v="SE4A"/>
    <x v="14"/>
    <n v="29.633696768848399"/>
    <n v="8.2315824357912195"/>
  </r>
  <r>
    <x v="0"/>
    <x v="28"/>
    <x v="9"/>
    <x v="20"/>
    <s v="SE4A"/>
    <x v="15"/>
    <n v="1.65807589063794"/>
    <n v="0.46057663628831802"/>
  </r>
  <r>
    <x v="0"/>
    <x v="28"/>
    <x v="9"/>
    <x v="20"/>
    <s v="SE4A"/>
    <x v="16"/>
    <n v="6.5458675795335104"/>
    <n v="1.81829654987042"/>
  </r>
  <r>
    <x v="0"/>
    <x v="28"/>
    <x v="9"/>
    <x v="20"/>
    <s v="SE4A"/>
    <x v="17"/>
    <n v="9.1244895875632395"/>
    <n v="2.5345804409897901"/>
  </r>
  <r>
    <x v="0"/>
    <x v="28"/>
    <x v="9"/>
    <x v="20"/>
    <s v="SE4A"/>
    <x v="18"/>
    <n v="29.633696768848399"/>
    <n v="8.2315824357912195"/>
  </r>
  <r>
    <x v="0"/>
    <x v="28"/>
    <x v="9"/>
    <x v="20"/>
    <s v="SE4A"/>
    <x v="19"/>
    <n v="8.1139884009941898"/>
    <n v="2.2538856669428302"/>
  </r>
  <r>
    <x v="0"/>
    <x v="28"/>
    <x v="9"/>
    <x v="20"/>
    <s v="SE4A"/>
    <x v="20"/>
    <n v="22.109183021311601"/>
    <n v="6.1414397281420996"/>
  </r>
  <r>
    <x v="0"/>
    <x v="28"/>
    <x v="9"/>
    <x v="20"/>
    <s v="SE4A"/>
    <x v="21"/>
    <n v="48.24"/>
    <n v="13.4"/>
  </r>
  <r>
    <x v="0"/>
    <x v="28"/>
    <x v="9"/>
    <x v="20"/>
    <s v="SE4A"/>
    <x v="22"/>
    <n v="67.680000000000007"/>
    <n v="18.8"/>
  </r>
  <r>
    <x v="0"/>
    <x v="28"/>
    <x v="9"/>
    <x v="20"/>
    <s v="SE4A"/>
    <x v="23"/>
    <n v="0.31515896120488701"/>
    <n v="8.7544155890246306E-2"/>
  </r>
  <r>
    <x v="0"/>
    <x v="28"/>
    <x v="9"/>
    <x v="20"/>
    <s v="SE4A"/>
    <x v="24"/>
    <n v="19.174223581093901"/>
    <n v="5.32617321697054"/>
  </r>
  <r>
    <x v="0"/>
    <x v="28"/>
    <x v="9"/>
    <x v="20"/>
    <s v="SE4A"/>
    <x v="25"/>
    <n v="26.209507293842599"/>
    <n v="7.2804186927340497"/>
  </r>
  <r>
    <x v="0"/>
    <x v="28"/>
    <x v="9"/>
    <x v="20"/>
    <s v="SE4A"/>
    <x v="26"/>
    <n v="33.320887798496699"/>
    <n v="9.2558021662490795"/>
  </r>
  <r>
    <x v="0"/>
    <x v="28"/>
    <x v="9"/>
    <x v="20"/>
    <s v="SE4A"/>
    <x v="27"/>
    <n v="20.163995508318798"/>
    <n v="5.6011098634218799"/>
  </r>
  <r>
    <x v="0"/>
    <x v="28"/>
    <x v="9"/>
    <x v="20"/>
    <s v="SE4_IND"/>
    <x v="1"/>
    <n v="35.989199999999997"/>
    <n v="9.9969999999999999"/>
  </r>
  <r>
    <x v="0"/>
    <x v="28"/>
    <x v="9"/>
    <x v="20"/>
    <s v="SE4_IND"/>
    <x v="2"/>
    <n v="46.08"/>
    <n v="12.8"/>
  </r>
  <r>
    <x v="0"/>
    <x v="28"/>
    <x v="9"/>
    <x v="20"/>
    <s v="SE4_IND"/>
    <x v="0"/>
    <n v="42.692399999999999"/>
    <n v="11.859"/>
  </r>
  <r>
    <x v="0"/>
    <x v="28"/>
    <x v="9"/>
    <x v="20"/>
    <s v="SE4_IND"/>
    <x v="3"/>
    <n v="51.633543144067197"/>
    <n v="14.342650873352"/>
  </r>
  <r>
    <x v="0"/>
    <x v="28"/>
    <x v="9"/>
    <x v="20"/>
    <s v="SE4_IND"/>
    <x v="4"/>
    <n v="6.3500778790389401"/>
    <n v="1.76391052195526"/>
  </r>
  <r>
    <x v="0"/>
    <x v="28"/>
    <x v="9"/>
    <x v="20"/>
    <s v="SE4_IND"/>
    <x v="5"/>
    <n v="6.3500778790389401"/>
    <n v="1.76391052195526"/>
  </r>
  <r>
    <x v="0"/>
    <x v="28"/>
    <x v="9"/>
    <x v="20"/>
    <s v="SE4_IND"/>
    <x v="6"/>
    <n v="29.476231795214598"/>
    <n v="8.1878421653373898"/>
  </r>
  <r>
    <x v="0"/>
    <x v="28"/>
    <x v="9"/>
    <x v="20"/>
    <s v="SE4_IND"/>
    <x v="7"/>
    <n v="57.838935220261199"/>
    <n v="16.066370894517"/>
  </r>
  <r>
    <x v="0"/>
    <x v="28"/>
    <x v="9"/>
    <x v="20"/>
    <s v="SE4_IND"/>
    <x v="8"/>
    <n v="57.838935220261199"/>
    <n v="16.066370894517"/>
  </r>
  <r>
    <x v="0"/>
    <x v="28"/>
    <x v="9"/>
    <x v="20"/>
    <s v="SE4_IND"/>
    <x v="9"/>
    <n v="44.4505451532725"/>
    <n v="12.3473736536868"/>
  </r>
  <r>
    <x v="0"/>
    <x v="28"/>
    <x v="9"/>
    <x v="20"/>
    <s v="SE4_IND"/>
    <x v="10"/>
    <n v="53.975661971830903"/>
    <n v="14.993239436619699"/>
  </r>
  <r>
    <x v="0"/>
    <x v="28"/>
    <x v="9"/>
    <x v="20"/>
    <s v="SE4_IND"/>
    <x v="11"/>
    <n v="3.8806031483015802"/>
    <n v="1.07794531897266"/>
  </r>
  <r>
    <x v="0"/>
    <x v="28"/>
    <x v="9"/>
    <x v="20"/>
    <s v="SE4_IND"/>
    <x v="12"/>
    <n v="9.7995028997514597E-2"/>
    <n v="2.72208413881985E-2"/>
  </r>
  <r>
    <x v="0"/>
    <x v="28"/>
    <x v="9"/>
    <x v="20"/>
    <s v="SE4_IND"/>
    <x v="13"/>
    <n v="29.633696768848399"/>
    <n v="8.2315824357912195"/>
  </r>
  <r>
    <x v="0"/>
    <x v="28"/>
    <x v="9"/>
    <x v="20"/>
    <s v="SE4_IND"/>
    <x v="14"/>
    <n v="29.633696768848399"/>
    <n v="8.2315824357912195"/>
  </r>
  <r>
    <x v="0"/>
    <x v="28"/>
    <x v="9"/>
    <x v="20"/>
    <s v="SE4_IND"/>
    <x v="15"/>
    <n v="1.65807589063794"/>
    <n v="0.46057663628831802"/>
  </r>
  <r>
    <x v="0"/>
    <x v="28"/>
    <x v="9"/>
    <x v="20"/>
    <s v="SE4_IND"/>
    <x v="16"/>
    <n v="6.5458675795335104"/>
    <n v="1.81829654987042"/>
  </r>
  <r>
    <x v="0"/>
    <x v="28"/>
    <x v="9"/>
    <x v="20"/>
    <s v="SE4_IND"/>
    <x v="17"/>
    <n v="9.1244895875632395"/>
    <n v="2.5345804409897901"/>
  </r>
  <r>
    <x v="0"/>
    <x v="28"/>
    <x v="9"/>
    <x v="20"/>
    <s v="SE4_IND"/>
    <x v="18"/>
    <n v="29.633696768848399"/>
    <n v="8.2315824357912195"/>
  </r>
  <r>
    <x v="0"/>
    <x v="28"/>
    <x v="9"/>
    <x v="20"/>
    <s v="SE4_IND"/>
    <x v="19"/>
    <n v="8.1139884009941898"/>
    <n v="2.2538856669428302"/>
  </r>
  <r>
    <x v="0"/>
    <x v="28"/>
    <x v="9"/>
    <x v="20"/>
    <s v="SE4_IND"/>
    <x v="20"/>
    <n v="22.109183021311601"/>
    <n v="6.1414397281420996"/>
  </r>
  <r>
    <x v="0"/>
    <x v="28"/>
    <x v="9"/>
    <x v="20"/>
    <s v="SE4_IND"/>
    <x v="21"/>
    <n v="48.24"/>
    <n v="13.4"/>
  </r>
  <r>
    <x v="0"/>
    <x v="28"/>
    <x v="9"/>
    <x v="20"/>
    <s v="SE4_IND"/>
    <x v="22"/>
    <n v="67.680000000000007"/>
    <n v="18.8"/>
  </r>
  <r>
    <x v="0"/>
    <x v="28"/>
    <x v="9"/>
    <x v="20"/>
    <s v="SE4_IND"/>
    <x v="23"/>
    <n v="0.31515896120488701"/>
    <n v="8.7544155890246306E-2"/>
  </r>
  <r>
    <x v="0"/>
    <x v="28"/>
    <x v="9"/>
    <x v="20"/>
    <s v="SE4_IND"/>
    <x v="24"/>
    <n v="19.174223581093901"/>
    <n v="5.32617321697054"/>
  </r>
  <r>
    <x v="0"/>
    <x v="28"/>
    <x v="9"/>
    <x v="20"/>
    <s v="SE4_IND"/>
    <x v="25"/>
    <n v="26.209507293842599"/>
    <n v="7.2804186927340497"/>
  </r>
  <r>
    <x v="0"/>
    <x v="28"/>
    <x v="9"/>
    <x v="20"/>
    <s v="SE4_IND"/>
    <x v="26"/>
    <n v="33.320887798496699"/>
    <n v="9.2558021662490795"/>
  </r>
  <r>
    <x v="0"/>
    <x v="28"/>
    <x v="9"/>
    <x v="20"/>
    <s v="SE4_IND"/>
    <x v="27"/>
    <n v="20.163995508318798"/>
    <n v="5.6011098634218799"/>
  </r>
  <r>
    <x v="0"/>
    <x v="28"/>
    <x v="9"/>
    <x v="20"/>
    <s v="SE4_Offshore"/>
    <x v="1"/>
    <n v="35.989199999999997"/>
    <n v="9.9969999999999999"/>
  </r>
  <r>
    <x v="0"/>
    <x v="28"/>
    <x v="9"/>
    <x v="20"/>
    <s v="SE4_Offshore"/>
    <x v="2"/>
    <n v="46.08"/>
    <n v="12.8"/>
  </r>
  <r>
    <x v="0"/>
    <x v="28"/>
    <x v="9"/>
    <x v="20"/>
    <s v="SE4_Offshore"/>
    <x v="0"/>
    <n v="42.692399999999999"/>
    <n v="11.859"/>
  </r>
  <r>
    <x v="0"/>
    <x v="28"/>
    <x v="9"/>
    <x v="20"/>
    <s v="SE4_Offshore"/>
    <x v="3"/>
    <n v="51.633543144067197"/>
    <n v="14.342650873352"/>
  </r>
  <r>
    <x v="0"/>
    <x v="28"/>
    <x v="9"/>
    <x v="20"/>
    <s v="SE4_Offshore"/>
    <x v="4"/>
    <n v="6.3500778790389401"/>
    <n v="1.76391052195526"/>
  </r>
  <r>
    <x v="0"/>
    <x v="28"/>
    <x v="9"/>
    <x v="20"/>
    <s v="SE4_Offshore"/>
    <x v="5"/>
    <n v="6.3500778790389401"/>
    <n v="1.76391052195526"/>
  </r>
  <r>
    <x v="0"/>
    <x v="28"/>
    <x v="9"/>
    <x v="20"/>
    <s v="SE4_Offshore"/>
    <x v="6"/>
    <n v="29.476231795214598"/>
    <n v="8.1878421653373898"/>
  </r>
  <r>
    <x v="0"/>
    <x v="28"/>
    <x v="9"/>
    <x v="20"/>
    <s v="SE4_Offshore"/>
    <x v="7"/>
    <n v="57.838935220261199"/>
    <n v="16.066370894517"/>
  </r>
  <r>
    <x v="0"/>
    <x v="28"/>
    <x v="9"/>
    <x v="20"/>
    <s v="SE4_Offshore"/>
    <x v="8"/>
    <n v="57.838935220261199"/>
    <n v="16.066370894517"/>
  </r>
  <r>
    <x v="0"/>
    <x v="28"/>
    <x v="9"/>
    <x v="20"/>
    <s v="SE4_Offshore"/>
    <x v="9"/>
    <n v="44.4505451532725"/>
    <n v="12.3473736536868"/>
  </r>
  <r>
    <x v="0"/>
    <x v="28"/>
    <x v="9"/>
    <x v="20"/>
    <s v="SE4_Offshore"/>
    <x v="10"/>
    <n v="53.975661971830903"/>
    <n v="14.993239436619699"/>
  </r>
  <r>
    <x v="0"/>
    <x v="28"/>
    <x v="9"/>
    <x v="20"/>
    <s v="SE4_Offshore"/>
    <x v="11"/>
    <n v="3.8806031483015802"/>
    <n v="1.07794531897266"/>
  </r>
  <r>
    <x v="0"/>
    <x v="28"/>
    <x v="9"/>
    <x v="20"/>
    <s v="SE4_Offshore"/>
    <x v="12"/>
    <n v="9.7995028997514597E-2"/>
    <n v="2.72208413881985E-2"/>
  </r>
  <r>
    <x v="0"/>
    <x v="28"/>
    <x v="9"/>
    <x v="20"/>
    <s v="SE4_Offshore"/>
    <x v="13"/>
    <n v="29.633696768848399"/>
    <n v="8.2315824357912195"/>
  </r>
  <r>
    <x v="0"/>
    <x v="28"/>
    <x v="9"/>
    <x v="20"/>
    <s v="SE4_Offshore"/>
    <x v="14"/>
    <n v="29.633696768848399"/>
    <n v="8.2315824357912195"/>
  </r>
  <r>
    <x v="0"/>
    <x v="28"/>
    <x v="9"/>
    <x v="20"/>
    <s v="SE4_Offshore"/>
    <x v="15"/>
    <n v="1.65807589063794"/>
    <n v="0.46057663628831802"/>
  </r>
  <r>
    <x v="0"/>
    <x v="28"/>
    <x v="9"/>
    <x v="20"/>
    <s v="SE4_Offshore"/>
    <x v="16"/>
    <n v="6.5458675795335104"/>
    <n v="1.81829654987042"/>
  </r>
  <r>
    <x v="0"/>
    <x v="28"/>
    <x v="9"/>
    <x v="20"/>
    <s v="SE4_Offshore"/>
    <x v="17"/>
    <n v="9.1244895875632395"/>
    <n v="2.5345804409897901"/>
  </r>
  <r>
    <x v="0"/>
    <x v="28"/>
    <x v="9"/>
    <x v="20"/>
    <s v="SE4_Offshore"/>
    <x v="18"/>
    <n v="29.633696768848399"/>
    <n v="8.2315824357912195"/>
  </r>
  <r>
    <x v="0"/>
    <x v="28"/>
    <x v="9"/>
    <x v="20"/>
    <s v="SE4_Offshore"/>
    <x v="19"/>
    <n v="8.1139884009941898"/>
    <n v="2.2538856669428302"/>
  </r>
  <r>
    <x v="0"/>
    <x v="28"/>
    <x v="9"/>
    <x v="20"/>
    <s v="SE4_Offshore"/>
    <x v="20"/>
    <n v="22.109183021311601"/>
    <n v="6.1414397281420996"/>
  </r>
  <r>
    <x v="0"/>
    <x v="28"/>
    <x v="9"/>
    <x v="20"/>
    <s v="SE4_Offshore"/>
    <x v="21"/>
    <n v="48.24"/>
    <n v="13.4"/>
  </r>
  <r>
    <x v="0"/>
    <x v="28"/>
    <x v="9"/>
    <x v="20"/>
    <s v="SE4_Offshore"/>
    <x v="22"/>
    <n v="67.680000000000007"/>
    <n v="18.8"/>
  </r>
  <r>
    <x v="0"/>
    <x v="28"/>
    <x v="9"/>
    <x v="20"/>
    <s v="SE4_Offshore"/>
    <x v="23"/>
    <n v="0.31515896120488701"/>
    <n v="8.7544155890246306E-2"/>
  </r>
  <r>
    <x v="0"/>
    <x v="28"/>
    <x v="9"/>
    <x v="20"/>
    <s v="SE4_Offshore"/>
    <x v="24"/>
    <n v="19.174223581093901"/>
    <n v="5.32617321697054"/>
  </r>
  <r>
    <x v="0"/>
    <x v="28"/>
    <x v="9"/>
    <x v="20"/>
    <s v="SE4_Offshore"/>
    <x v="25"/>
    <n v="26.209507293842599"/>
    <n v="7.2804186927340497"/>
  </r>
  <r>
    <x v="0"/>
    <x v="28"/>
    <x v="9"/>
    <x v="20"/>
    <s v="SE4_Offshore"/>
    <x v="26"/>
    <n v="33.320887798496699"/>
    <n v="9.2558021662490795"/>
  </r>
  <r>
    <x v="0"/>
    <x v="28"/>
    <x v="9"/>
    <x v="20"/>
    <s v="SE4_Offshore"/>
    <x v="27"/>
    <n v="20.163995508318798"/>
    <n v="5.6011098634218799"/>
  </r>
  <r>
    <x v="0"/>
    <x v="28"/>
    <x v="9"/>
    <x v="20"/>
    <s v="SE4_large"/>
    <x v="1"/>
    <n v="35.989199999999997"/>
    <n v="9.9969999999999999"/>
  </r>
  <r>
    <x v="0"/>
    <x v="28"/>
    <x v="9"/>
    <x v="20"/>
    <s v="SE4_large"/>
    <x v="2"/>
    <n v="46.08"/>
    <n v="12.8"/>
  </r>
  <r>
    <x v="0"/>
    <x v="28"/>
    <x v="9"/>
    <x v="20"/>
    <s v="SE4_large"/>
    <x v="0"/>
    <n v="42.692399999999999"/>
    <n v="11.859"/>
  </r>
  <r>
    <x v="0"/>
    <x v="28"/>
    <x v="9"/>
    <x v="20"/>
    <s v="SE4_large"/>
    <x v="3"/>
    <n v="51.633543144067197"/>
    <n v="14.342650873352"/>
  </r>
  <r>
    <x v="0"/>
    <x v="28"/>
    <x v="9"/>
    <x v="20"/>
    <s v="SE4_large"/>
    <x v="4"/>
    <n v="6.3500778790389401"/>
    <n v="1.76391052195526"/>
  </r>
  <r>
    <x v="0"/>
    <x v="28"/>
    <x v="9"/>
    <x v="20"/>
    <s v="SE4_large"/>
    <x v="5"/>
    <n v="6.3500778790389401"/>
    <n v="1.76391052195526"/>
  </r>
  <r>
    <x v="0"/>
    <x v="28"/>
    <x v="9"/>
    <x v="20"/>
    <s v="SE4_large"/>
    <x v="6"/>
    <n v="29.476231795214598"/>
    <n v="8.1878421653373898"/>
  </r>
  <r>
    <x v="0"/>
    <x v="28"/>
    <x v="9"/>
    <x v="20"/>
    <s v="SE4_large"/>
    <x v="7"/>
    <n v="57.838935220261199"/>
    <n v="16.066370894517"/>
  </r>
  <r>
    <x v="0"/>
    <x v="28"/>
    <x v="9"/>
    <x v="20"/>
    <s v="SE4_large"/>
    <x v="8"/>
    <n v="57.838935220261199"/>
    <n v="16.066370894517"/>
  </r>
  <r>
    <x v="0"/>
    <x v="28"/>
    <x v="9"/>
    <x v="20"/>
    <s v="SE4_large"/>
    <x v="9"/>
    <n v="44.4505451532725"/>
    <n v="12.3473736536868"/>
  </r>
  <r>
    <x v="0"/>
    <x v="28"/>
    <x v="9"/>
    <x v="20"/>
    <s v="SE4_large"/>
    <x v="10"/>
    <n v="53.975661971830903"/>
    <n v="14.993239436619699"/>
  </r>
  <r>
    <x v="0"/>
    <x v="28"/>
    <x v="9"/>
    <x v="20"/>
    <s v="SE4_large"/>
    <x v="11"/>
    <n v="3.8806031483015802"/>
    <n v="1.07794531897266"/>
  </r>
  <r>
    <x v="0"/>
    <x v="28"/>
    <x v="9"/>
    <x v="20"/>
    <s v="SE4_large"/>
    <x v="12"/>
    <n v="9.7995028997514597E-2"/>
    <n v="2.72208413881985E-2"/>
  </r>
  <r>
    <x v="0"/>
    <x v="28"/>
    <x v="9"/>
    <x v="20"/>
    <s v="SE4_large"/>
    <x v="13"/>
    <n v="29.633696768848399"/>
    <n v="8.2315824357912195"/>
  </r>
  <r>
    <x v="0"/>
    <x v="28"/>
    <x v="9"/>
    <x v="20"/>
    <s v="SE4_large"/>
    <x v="14"/>
    <n v="29.633696768848399"/>
    <n v="8.2315824357912195"/>
  </r>
  <r>
    <x v="0"/>
    <x v="28"/>
    <x v="9"/>
    <x v="20"/>
    <s v="SE4_large"/>
    <x v="15"/>
    <n v="1.65807589063794"/>
    <n v="0.46057663628831802"/>
  </r>
  <r>
    <x v="0"/>
    <x v="28"/>
    <x v="9"/>
    <x v="20"/>
    <s v="SE4_large"/>
    <x v="16"/>
    <n v="6.5458675795335104"/>
    <n v="1.81829654987042"/>
  </r>
  <r>
    <x v="0"/>
    <x v="28"/>
    <x v="9"/>
    <x v="20"/>
    <s v="SE4_large"/>
    <x v="17"/>
    <n v="9.1244895875632395"/>
    <n v="2.5345804409897901"/>
  </r>
  <r>
    <x v="0"/>
    <x v="28"/>
    <x v="9"/>
    <x v="20"/>
    <s v="SE4_large"/>
    <x v="18"/>
    <n v="29.633696768848399"/>
    <n v="8.2315824357912195"/>
  </r>
  <r>
    <x v="0"/>
    <x v="28"/>
    <x v="9"/>
    <x v="20"/>
    <s v="SE4_large"/>
    <x v="19"/>
    <n v="8.1139884009941898"/>
    <n v="2.2538856669428302"/>
  </r>
  <r>
    <x v="0"/>
    <x v="28"/>
    <x v="9"/>
    <x v="20"/>
    <s v="SE4_large"/>
    <x v="20"/>
    <n v="22.109183021311601"/>
    <n v="6.1414397281420996"/>
  </r>
  <r>
    <x v="0"/>
    <x v="28"/>
    <x v="9"/>
    <x v="20"/>
    <s v="SE4_large"/>
    <x v="21"/>
    <n v="48.24"/>
    <n v="13.4"/>
  </r>
  <r>
    <x v="0"/>
    <x v="28"/>
    <x v="9"/>
    <x v="20"/>
    <s v="SE4_large"/>
    <x v="22"/>
    <n v="67.680000000000007"/>
    <n v="18.8"/>
  </r>
  <r>
    <x v="0"/>
    <x v="28"/>
    <x v="9"/>
    <x v="20"/>
    <s v="SE4_large"/>
    <x v="23"/>
    <n v="0.31515896120488701"/>
    <n v="8.7544155890246306E-2"/>
  </r>
  <r>
    <x v="0"/>
    <x v="28"/>
    <x v="9"/>
    <x v="20"/>
    <s v="SE4_large"/>
    <x v="24"/>
    <n v="19.174223581093901"/>
    <n v="5.32617321697054"/>
  </r>
  <r>
    <x v="0"/>
    <x v="28"/>
    <x v="9"/>
    <x v="20"/>
    <s v="SE4_large"/>
    <x v="25"/>
    <n v="26.209507293842599"/>
    <n v="7.2804186927340497"/>
  </r>
  <r>
    <x v="0"/>
    <x v="28"/>
    <x v="9"/>
    <x v="20"/>
    <s v="SE4_large"/>
    <x v="26"/>
    <n v="33.320887798496699"/>
    <n v="9.2558021662490795"/>
  </r>
  <r>
    <x v="0"/>
    <x v="28"/>
    <x v="9"/>
    <x v="20"/>
    <s v="SE4_large"/>
    <x v="27"/>
    <n v="20.163995508318798"/>
    <n v="5.6011098634218799"/>
  </r>
  <r>
    <x v="0"/>
    <x v="28"/>
    <x v="9"/>
    <x v="20"/>
    <s v="SE4_medium"/>
    <x v="1"/>
    <n v="35.989199999999997"/>
    <n v="9.9969999999999999"/>
  </r>
  <r>
    <x v="0"/>
    <x v="28"/>
    <x v="9"/>
    <x v="20"/>
    <s v="SE4_medium"/>
    <x v="2"/>
    <n v="46.08"/>
    <n v="12.8"/>
  </r>
  <r>
    <x v="0"/>
    <x v="28"/>
    <x v="9"/>
    <x v="20"/>
    <s v="SE4_medium"/>
    <x v="0"/>
    <n v="42.692399999999999"/>
    <n v="11.859"/>
  </r>
  <r>
    <x v="0"/>
    <x v="28"/>
    <x v="9"/>
    <x v="20"/>
    <s v="SE4_medium"/>
    <x v="3"/>
    <n v="51.633543144067197"/>
    <n v="14.342650873352"/>
  </r>
  <r>
    <x v="0"/>
    <x v="28"/>
    <x v="9"/>
    <x v="20"/>
    <s v="SE4_medium"/>
    <x v="4"/>
    <n v="6.3500778790389401"/>
    <n v="1.76391052195526"/>
  </r>
  <r>
    <x v="0"/>
    <x v="28"/>
    <x v="9"/>
    <x v="20"/>
    <s v="SE4_medium"/>
    <x v="5"/>
    <n v="6.3500778790389401"/>
    <n v="1.76391052195526"/>
  </r>
  <r>
    <x v="0"/>
    <x v="28"/>
    <x v="9"/>
    <x v="20"/>
    <s v="SE4_medium"/>
    <x v="6"/>
    <n v="29.476231795214598"/>
    <n v="8.1878421653373898"/>
  </r>
  <r>
    <x v="0"/>
    <x v="28"/>
    <x v="9"/>
    <x v="20"/>
    <s v="SE4_medium"/>
    <x v="7"/>
    <n v="57.838935220261199"/>
    <n v="16.066370894517"/>
  </r>
  <r>
    <x v="0"/>
    <x v="28"/>
    <x v="9"/>
    <x v="20"/>
    <s v="SE4_medium"/>
    <x v="8"/>
    <n v="57.838935220261199"/>
    <n v="16.066370894517"/>
  </r>
  <r>
    <x v="0"/>
    <x v="28"/>
    <x v="9"/>
    <x v="20"/>
    <s v="SE4_medium"/>
    <x v="9"/>
    <n v="44.4505451532725"/>
    <n v="12.3473736536868"/>
  </r>
  <r>
    <x v="0"/>
    <x v="28"/>
    <x v="9"/>
    <x v="20"/>
    <s v="SE4_medium"/>
    <x v="10"/>
    <n v="53.975661971830903"/>
    <n v="14.993239436619699"/>
  </r>
  <r>
    <x v="0"/>
    <x v="28"/>
    <x v="9"/>
    <x v="20"/>
    <s v="SE4_medium"/>
    <x v="11"/>
    <n v="3.8806031483015802"/>
    <n v="1.07794531897266"/>
  </r>
  <r>
    <x v="0"/>
    <x v="28"/>
    <x v="9"/>
    <x v="20"/>
    <s v="SE4_medium"/>
    <x v="12"/>
    <n v="9.7995028997514597E-2"/>
    <n v="2.72208413881985E-2"/>
  </r>
  <r>
    <x v="0"/>
    <x v="28"/>
    <x v="9"/>
    <x v="20"/>
    <s v="SE4_medium"/>
    <x v="13"/>
    <n v="29.633696768848399"/>
    <n v="8.2315824357912195"/>
  </r>
  <r>
    <x v="0"/>
    <x v="28"/>
    <x v="9"/>
    <x v="20"/>
    <s v="SE4_medium"/>
    <x v="14"/>
    <n v="29.633696768848399"/>
    <n v="8.2315824357912195"/>
  </r>
  <r>
    <x v="0"/>
    <x v="28"/>
    <x v="9"/>
    <x v="20"/>
    <s v="SE4_medium"/>
    <x v="15"/>
    <n v="1.65807589063794"/>
    <n v="0.46057663628831802"/>
  </r>
  <r>
    <x v="0"/>
    <x v="28"/>
    <x v="9"/>
    <x v="20"/>
    <s v="SE4_medium"/>
    <x v="16"/>
    <n v="6.5458675795335104"/>
    <n v="1.81829654987042"/>
  </r>
  <r>
    <x v="0"/>
    <x v="28"/>
    <x v="9"/>
    <x v="20"/>
    <s v="SE4_medium"/>
    <x v="17"/>
    <n v="9.1244895875632395"/>
    <n v="2.5345804409897901"/>
  </r>
  <r>
    <x v="0"/>
    <x v="28"/>
    <x v="9"/>
    <x v="20"/>
    <s v="SE4_medium"/>
    <x v="18"/>
    <n v="29.633696768848399"/>
    <n v="8.2315824357912195"/>
  </r>
  <r>
    <x v="0"/>
    <x v="28"/>
    <x v="9"/>
    <x v="20"/>
    <s v="SE4_medium"/>
    <x v="19"/>
    <n v="8.1139884009941898"/>
    <n v="2.2538856669428302"/>
  </r>
  <r>
    <x v="0"/>
    <x v="28"/>
    <x v="9"/>
    <x v="20"/>
    <s v="SE4_medium"/>
    <x v="20"/>
    <n v="22.109183021311601"/>
    <n v="6.1414397281420996"/>
  </r>
  <r>
    <x v="0"/>
    <x v="28"/>
    <x v="9"/>
    <x v="20"/>
    <s v="SE4_medium"/>
    <x v="21"/>
    <n v="48.24"/>
    <n v="13.4"/>
  </r>
  <r>
    <x v="0"/>
    <x v="28"/>
    <x v="9"/>
    <x v="20"/>
    <s v="SE4_medium"/>
    <x v="22"/>
    <n v="67.680000000000007"/>
    <n v="18.8"/>
  </r>
  <r>
    <x v="0"/>
    <x v="28"/>
    <x v="9"/>
    <x v="20"/>
    <s v="SE4_medium"/>
    <x v="23"/>
    <n v="0.31515896120488701"/>
    <n v="8.7544155890246306E-2"/>
  </r>
  <r>
    <x v="0"/>
    <x v="28"/>
    <x v="9"/>
    <x v="20"/>
    <s v="SE4_medium"/>
    <x v="24"/>
    <n v="19.174223581093901"/>
    <n v="5.32617321697054"/>
  </r>
  <r>
    <x v="0"/>
    <x v="28"/>
    <x v="9"/>
    <x v="20"/>
    <s v="SE4_medium"/>
    <x v="25"/>
    <n v="26.209507293842599"/>
    <n v="7.2804186927340497"/>
  </r>
  <r>
    <x v="0"/>
    <x v="28"/>
    <x v="9"/>
    <x v="20"/>
    <s v="SE4_medium"/>
    <x v="26"/>
    <n v="33.320887798496699"/>
    <n v="9.2558021662490795"/>
  </r>
  <r>
    <x v="0"/>
    <x v="28"/>
    <x v="9"/>
    <x v="20"/>
    <s v="SE4_medium"/>
    <x v="27"/>
    <n v="20.163995508318798"/>
    <n v="5.6011098634218799"/>
  </r>
  <r>
    <x v="0"/>
    <x v="28"/>
    <x v="9"/>
    <x v="20"/>
    <s v="SE4_small"/>
    <x v="1"/>
    <n v="35.989199999999997"/>
    <n v="9.9969999999999999"/>
  </r>
  <r>
    <x v="0"/>
    <x v="28"/>
    <x v="9"/>
    <x v="20"/>
    <s v="SE4_small"/>
    <x v="2"/>
    <n v="46.08"/>
    <n v="12.8"/>
  </r>
  <r>
    <x v="0"/>
    <x v="28"/>
    <x v="9"/>
    <x v="20"/>
    <s v="SE4_small"/>
    <x v="0"/>
    <n v="42.692399999999999"/>
    <n v="11.859"/>
  </r>
  <r>
    <x v="0"/>
    <x v="28"/>
    <x v="9"/>
    <x v="20"/>
    <s v="SE4_small"/>
    <x v="3"/>
    <n v="51.633543144067197"/>
    <n v="14.342650873352"/>
  </r>
  <r>
    <x v="0"/>
    <x v="28"/>
    <x v="9"/>
    <x v="20"/>
    <s v="SE4_small"/>
    <x v="4"/>
    <n v="6.3500778790389401"/>
    <n v="1.76391052195526"/>
  </r>
  <r>
    <x v="0"/>
    <x v="28"/>
    <x v="9"/>
    <x v="20"/>
    <s v="SE4_small"/>
    <x v="5"/>
    <n v="6.3500778790389401"/>
    <n v="1.76391052195526"/>
  </r>
  <r>
    <x v="0"/>
    <x v="28"/>
    <x v="9"/>
    <x v="20"/>
    <s v="SE4_small"/>
    <x v="6"/>
    <n v="29.476231795214598"/>
    <n v="8.1878421653373898"/>
  </r>
  <r>
    <x v="0"/>
    <x v="28"/>
    <x v="9"/>
    <x v="20"/>
    <s v="SE4_small"/>
    <x v="7"/>
    <n v="57.838935220261199"/>
    <n v="16.066370894517"/>
  </r>
  <r>
    <x v="0"/>
    <x v="28"/>
    <x v="9"/>
    <x v="20"/>
    <s v="SE4_small"/>
    <x v="8"/>
    <n v="57.838935220261199"/>
    <n v="16.066370894517"/>
  </r>
  <r>
    <x v="0"/>
    <x v="28"/>
    <x v="9"/>
    <x v="20"/>
    <s v="SE4_small"/>
    <x v="9"/>
    <n v="44.4505451532725"/>
    <n v="12.3473736536868"/>
  </r>
  <r>
    <x v="0"/>
    <x v="28"/>
    <x v="9"/>
    <x v="20"/>
    <s v="SE4_small"/>
    <x v="10"/>
    <n v="53.975661971830903"/>
    <n v="14.993239436619699"/>
  </r>
  <r>
    <x v="0"/>
    <x v="28"/>
    <x v="9"/>
    <x v="20"/>
    <s v="SE4_small"/>
    <x v="11"/>
    <n v="3.8806031483015802"/>
    <n v="1.07794531897266"/>
  </r>
  <r>
    <x v="0"/>
    <x v="28"/>
    <x v="9"/>
    <x v="20"/>
    <s v="SE4_small"/>
    <x v="12"/>
    <n v="9.7995028997514597E-2"/>
    <n v="2.72208413881985E-2"/>
  </r>
  <r>
    <x v="0"/>
    <x v="28"/>
    <x v="9"/>
    <x v="20"/>
    <s v="SE4_small"/>
    <x v="13"/>
    <n v="29.633696768848399"/>
    <n v="8.2315824357912195"/>
  </r>
  <r>
    <x v="0"/>
    <x v="28"/>
    <x v="9"/>
    <x v="20"/>
    <s v="SE4_small"/>
    <x v="14"/>
    <n v="29.633696768848399"/>
    <n v="8.2315824357912195"/>
  </r>
  <r>
    <x v="0"/>
    <x v="28"/>
    <x v="9"/>
    <x v="20"/>
    <s v="SE4_small"/>
    <x v="15"/>
    <n v="1.65807589063794"/>
    <n v="0.46057663628831802"/>
  </r>
  <r>
    <x v="0"/>
    <x v="28"/>
    <x v="9"/>
    <x v="20"/>
    <s v="SE4_small"/>
    <x v="16"/>
    <n v="6.5458675795335104"/>
    <n v="1.81829654987042"/>
  </r>
  <r>
    <x v="0"/>
    <x v="28"/>
    <x v="9"/>
    <x v="20"/>
    <s v="SE4_small"/>
    <x v="17"/>
    <n v="9.1244895875632395"/>
    <n v="2.5345804409897901"/>
  </r>
  <r>
    <x v="0"/>
    <x v="28"/>
    <x v="9"/>
    <x v="20"/>
    <s v="SE4_small"/>
    <x v="18"/>
    <n v="29.633696768848399"/>
    <n v="8.2315824357912195"/>
  </r>
  <r>
    <x v="0"/>
    <x v="28"/>
    <x v="9"/>
    <x v="20"/>
    <s v="SE4_small"/>
    <x v="19"/>
    <n v="8.1139884009941898"/>
    <n v="2.2538856669428302"/>
  </r>
  <r>
    <x v="0"/>
    <x v="28"/>
    <x v="9"/>
    <x v="20"/>
    <s v="SE4_small"/>
    <x v="20"/>
    <n v="22.109183021311601"/>
    <n v="6.1414397281420996"/>
  </r>
  <r>
    <x v="0"/>
    <x v="28"/>
    <x v="9"/>
    <x v="20"/>
    <s v="SE4_small"/>
    <x v="21"/>
    <n v="48.24"/>
    <n v="13.4"/>
  </r>
  <r>
    <x v="0"/>
    <x v="28"/>
    <x v="9"/>
    <x v="20"/>
    <s v="SE4_small"/>
    <x v="22"/>
    <n v="67.680000000000007"/>
    <n v="18.8"/>
  </r>
  <r>
    <x v="0"/>
    <x v="28"/>
    <x v="9"/>
    <x v="20"/>
    <s v="SE4_small"/>
    <x v="23"/>
    <n v="0.31515896120488701"/>
    <n v="8.7544155890246306E-2"/>
  </r>
  <r>
    <x v="0"/>
    <x v="28"/>
    <x v="9"/>
    <x v="20"/>
    <s v="SE4_small"/>
    <x v="24"/>
    <n v="19.174223581093901"/>
    <n v="5.32617321697054"/>
  </r>
  <r>
    <x v="0"/>
    <x v="28"/>
    <x v="9"/>
    <x v="20"/>
    <s v="SE4_small"/>
    <x v="25"/>
    <n v="26.209507293842599"/>
    <n v="7.2804186927340497"/>
  </r>
  <r>
    <x v="0"/>
    <x v="28"/>
    <x v="9"/>
    <x v="20"/>
    <s v="SE4_small"/>
    <x v="26"/>
    <n v="33.320887798496699"/>
    <n v="9.2558021662490795"/>
  </r>
  <r>
    <x v="0"/>
    <x v="28"/>
    <x v="9"/>
    <x v="20"/>
    <s v="SE4_small"/>
    <x v="27"/>
    <n v="20.163995508318798"/>
    <n v="5.6011098634218799"/>
  </r>
  <r>
    <x v="0"/>
    <x v="28"/>
    <x v="10"/>
    <x v="21"/>
    <s v="UK_A"/>
    <x v="1"/>
    <n v="35.989199999999997"/>
    <n v="9.9969999999999999"/>
  </r>
  <r>
    <x v="0"/>
    <x v="28"/>
    <x v="10"/>
    <x v="21"/>
    <s v="UK_A"/>
    <x v="2"/>
    <n v="46.08"/>
    <n v="12.8"/>
  </r>
  <r>
    <x v="0"/>
    <x v="28"/>
    <x v="10"/>
    <x v="21"/>
    <s v="UK_A"/>
    <x v="0"/>
    <n v="42.692399999999999"/>
    <n v="11.859"/>
  </r>
  <r>
    <x v="0"/>
    <x v="28"/>
    <x v="10"/>
    <x v="21"/>
    <s v="UK_A"/>
    <x v="3"/>
    <n v="51.633543144067197"/>
    <n v="14.342650873352"/>
  </r>
  <r>
    <x v="0"/>
    <x v="28"/>
    <x v="10"/>
    <x v="21"/>
    <s v="UK_A"/>
    <x v="4"/>
    <n v="6.3500778790389401"/>
    <n v="1.76391052195526"/>
  </r>
  <r>
    <x v="0"/>
    <x v="28"/>
    <x v="10"/>
    <x v="21"/>
    <s v="UK_A"/>
    <x v="5"/>
    <n v="6.3500778790389401"/>
    <n v="1.76391052195526"/>
  </r>
  <r>
    <x v="0"/>
    <x v="28"/>
    <x v="10"/>
    <x v="21"/>
    <s v="UK_A"/>
    <x v="6"/>
    <n v="29.476231795214598"/>
    <n v="8.1878421653373898"/>
  </r>
  <r>
    <x v="0"/>
    <x v="28"/>
    <x v="10"/>
    <x v="21"/>
    <s v="UK_A"/>
    <x v="7"/>
    <n v="57.838935220261199"/>
    <n v="16.066370894517"/>
  </r>
  <r>
    <x v="0"/>
    <x v="28"/>
    <x v="10"/>
    <x v="21"/>
    <s v="UK_A"/>
    <x v="8"/>
    <n v="57.838935220261199"/>
    <n v="16.066370894517"/>
  </r>
  <r>
    <x v="0"/>
    <x v="28"/>
    <x v="10"/>
    <x v="21"/>
    <s v="UK_A"/>
    <x v="9"/>
    <n v="44.4505451532725"/>
    <n v="12.3473736536868"/>
  </r>
  <r>
    <x v="0"/>
    <x v="28"/>
    <x v="10"/>
    <x v="21"/>
    <s v="UK_A"/>
    <x v="10"/>
    <n v="53.975661971830903"/>
    <n v="14.993239436619699"/>
  </r>
  <r>
    <x v="0"/>
    <x v="28"/>
    <x v="10"/>
    <x v="21"/>
    <s v="UK_A"/>
    <x v="11"/>
    <n v="3.8806031483015802"/>
    <n v="1.07794531897266"/>
  </r>
  <r>
    <x v="0"/>
    <x v="28"/>
    <x v="10"/>
    <x v="21"/>
    <s v="UK_A"/>
    <x v="12"/>
    <n v="9.7995028997514597E-2"/>
    <n v="2.72208413881985E-2"/>
  </r>
  <r>
    <x v="0"/>
    <x v="28"/>
    <x v="10"/>
    <x v="21"/>
    <s v="UK_A"/>
    <x v="13"/>
    <n v="29.633696768848399"/>
    <n v="8.2315824357912195"/>
  </r>
  <r>
    <x v="0"/>
    <x v="28"/>
    <x v="10"/>
    <x v="21"/>
    <s v="UK_A"/>
    <x v="14"/>
    <n v="29.633696768848399"/>
    <n v="8.2315824357912195"/>
  </r>
  <r>
    <x v="0"/>
    <x v="28"/>
    <x v="10"/>
    <x v="21"/>
    <s v="UK_A"/>
    <x v="15"/>
    <n v="1.65807589063794"/>
    <n v="0.46057663628831802"/>
  </r>
  <r>
    <x v="0"/>
    <x v="28"/>
    <x v="10"/>
    <x v="21"/>
    <s v="UK_A"/>
    <x v="16"/>
    <n v="6.5458675795335104"/>
    <n v="1.81829654987042"/>
  </r>
  <r>
    <x v="0"/>
    <x v="28"/>
    <x v="10"/>
    <x v="21"/>
    <s v="UK_A"/>
    <x v="17"/>
    <n v="9.1244895875632395"/>
    <n v="2.5345804409897901"/>
  </r>
  <r>
    <x v="0"/>
    <x v="28"/>
    <x v="10"/>
    <x v="21"/>
    <s v="UK_A"/>
    <x v="18"/>
    <n v="29.633696768848399"/>
    <n v="8.2315824357912195"/>
  </r>
  <r>
    <x v="0"/>
    <x v="28"/>
    <x v="10"/>
    <x v="21"/>
    <s v="UK_A"/>
    <x v="19"/>
    <n v="8.1139884009941898"/>
    <n v="2.2538856669428302"/>
  </r>
  <r>
    <x v="0"/>
    <x v="28"/>
    <x v="10"/>
    <x v="21"/>
    <s v="UK_A"/>
    <x v="20"/>
    <n v="22.109183021311601"/>
    <n v="6.1414397281420996"/>
  </r>
  <r>
    <x v="0"/>
    <x v="28"/>
    <x v="10"/>
    <x v="21"/>
    <s v="UK_A"/>
    <x v="21"/>
    <n v="48.24"/>
    <n v="13.4"/>
  </r>
  <r>
    <x v="0"/>
    <x v="28"/>
    <x v="10"/>
    <x v="21"/>
    <s v="UK_A"/>
    <x v="22"/>
    <n v="67.680000000000007"/>
    <n v="18.8"/>
  </r>
  <r>
    <x v="0"/>
    <x v="28"/>
    <x v="10"/>
    <x v="21"/>
    <s v="UK_A"/>
    <x v="23"/>
    <n v="0.31515896120488701"/>
    <n v="8.7544155890246306E-2"/>
  </r>
  <r>
    <x v="0"/>
    <x v="28"/>
    <x v="10"/>
    <x v="21"/>
    <s v="UK_A"/>
    <x v="24"/>
    <n v="19.174223581093901"/>
    <n v="5.32617321697054"/>
  </r>
  <r>
    <x v="0"/>
    <x v="28"/>
    <x v="10"/>
    <x v="21"/>
    <s v="UK_A"/>
    <x v="25"/>
    <n v="26.209507293842599"/>
    <n v="7.2804186927340497"/>
  </r>
  <r>
    <x v="0"/>
    <x v="28"/>
    <x v="10"/>
    <x v="21"/>
    <s v="UK_A"/>
    <x v="26"/>
    <n v="33.320887798496699"/>
    <n v="9.2558021662490795"/>
  </r>
  <r>
    <x v="0"/>
    <x v="28"/>
    <x v="10"/>
    <x v="21"/>
    <s v="UK_A"/>
    <x v="27"/>
    <n v="20.163995508318798"/>
    <n v="5.6011098634218799"/>
  </r>
  <r>
    <x v="0"/>
    <x v="28"/>
    <x v="10"/>
    <x v="21"/>
    <s v="UK_Offshore"/>
    <x v="1"/>
    <n v="35.989199999999997"/>
    <n v="9.9969999999999999"/>
  </r>
  <r>
    <x v="0"/>
    <x v="28"/>
    <x v="10"/>
    <x v="21"/>
    <s v="UK_Offshore"/>
    <x v="2"/>
    <n v="46.08"/>
    <n v="12.8"/>
  </r>
  <r>
    <x v="0"/>
    <x v="28"/>
    <x v="10"/>
    <x v="21"/>
    <s v="UK_Offshore"/>
    <x v="0"/>
    <n v="42.692399999999999"/>
    <n v="11.859"/>
  </r>
  <r>
    <x v="0"/>
    <x v="28"/>
    <x v="10"/>
    <x v="21"/>
    <s v="UK_Offshore"/>
    <x v="3"/>
    <n v="51.633543144067197"/>
    <n v="14.342650873352"/>
  </r>
  <r>
    <x v="0"/>
    <x v="28"/>
    <x v="10"/>
    <x v="21"/>
    <s v="UK_Offshore"/>
    <x v="4"/>
    <n v="6.3500778790389401"/>
    <n v="1.76391052195526"/>
  </r>
  <r>
    <x v="0"/>
    <x v="28"/>
    <x v="10"/>
    <x v="21"/>
    <s v="UK_Offshore"/>
    <x v="5"/>
    <n v="6.3500778790389401"/>
    <n v="1.76391052195526"/>
  </r>
  <r>
    <x v="0"/>
    <x v="28"/>
    <x v="10"/>
    <x v="21"/>
    <s v="UK_Offshore"/>
    <x v="6"/>
    <n v="29.476231795214598"/>
    <n v="8.1878421653373898"/>
  </r>
  <r>
    <x v="0"/>
    <x v="28"/>
    <x v="10"/>
    <x v="21"/>
    <s v="UK_Offshore"/>
    <x v="7"/>
    <n v="57.838935220261199"/>
    <n v="16.066370894517"/>
  </r>
  <r>
    <x v="0"/>
    <x v="28"/>
    <x v="10"/>
    <x v="21"/>
    <s v="UK_Offshore"/>
    <x v="8"/>
    <n v="57.838935220261199"/>
    <n v="16.066370894517"/>
  </r>
  <r>
    <x v="0"/>
    <x v="28"/>
    <x v="10"/>
    <x v="21"/>
    <s v="UK_Offshore"/>
    <x v="9"/>
    <n v="44.4505451532725"/>
    <n v="12.3473736536868"/>
  </r>
  <r>
    <x v="0"/>
    <x v="28"/>
    <x v="10"/>
    <x v="21"/>
    <s v="UK_Offshore"/>
    <x v="10"/>
    <n v="53.975661971830903"/>
    <n v="14.993239436619699"/>
  </r>
  <r>
    <x v="0"/>
    <x v="28"/>
    <x v="10"/>
    <x v="21"/>
    <s v="UK_Offshore"/>
    <x v="11"/>
    <n v="3.8806031483015802"/>
    <n v="1.07794531897266"/>
  </r>
  <r>
    <x v="0"/>
    <x v="28"/>
    <x v="10"/>
    <x v="21"/>
    <s v="UK_Offshore"/>
    <x v="12"/>
    <n v="9.7995028997514597E-2"/>
    <n v="2.72208413881985E-2"/>
  </r>
  <r>
    <x v="0"/>
    <x v="28"/>
    <x v="10"/>
    <x v="21"/>
    <s v="UK_Offshore"/>
    <x v="13"/>
    <n v="29.633696768848399"/>
    <n v="8.2315824357912195"/>
  </r>
  <r>
    <x v="0"/>
    <x v="28"/>
    <x v="10"/>
    <x v="21"/>
    <s v="UK_Offshore"/>
    <x v="14"/>
    <n v="29.633696768848399"/>
    <n v="8.2315824357912195"/>
  </r>
  <r>
    <x v="0"/>
    <x v="28"/>
    <x v="10"/>
    <x v="21"/>
    <s v="UK_Offshore"/>
    <x v="15"/>
    <n v="1.65807589063794"/>
    <n v="0.46057663628831802"/>
  </r>
  <r>
    <x v="0"/>
    <x v="28"/>
    <x v="10"/>
    <x v="21"/>
    <s v="UK_Offshore"/>
    <x v="16"/>
    <n v="6.5458675795335104"/>
    <n v="1.81829654987042"/>
  </r>
  <r>
    <x v="0"/>
    <x v="28"/>
    <x v="10"/>
    <x v="21"/>
    <s v="UK_Offshore"/>
    <x v="17"/>
    <n v="9.1244895875632395"/>
    <n v="2.5345804409897901"/>
  </r>
  <r>
    <x v="0"/>
    <x v="28"/>
    <x v="10"/>
    <x v="21"/>
    <s v="UK_Offshore"/>
    <x v="18"/>
    <n v="29.633696768848399"/>
    <n v="8.2315824357912195"/>
  </r>
  <r>
    <x v="0"/>
    <x v="28"/>
    <x v="10"/>
    <x v="21"/>
    <s v="UK_Offshore"/>
    <x v="19"/>
    <n v="8.1139884009941898"/>
    <n v="2.2538856669428302"/>
  </r>
  <r>
    <x v="0"/>
    <x v="28"/>
    <x v="10"/>
    <x v="21"/>
    <s v="UK_Offshore"/>
    <x v="20"/>
    <n v="22.109183021311601"/>
    <n v="6.1414397281420996"/>
  </r>
  <r>
    <x v="0"/>
    <x v="28"/>
    <x v="10"/>
    <x v="21"/>
    <s v="UK_Offshore"/>
    <x v="21"/>
    <n v="48.24"/>
    <n v="13.4"/>
  </r>
  <r>
    <x v="0"/>
    <x v="28"/>
    <x v="10"/>
    <x v="21"/>
    <s v="UK_Offshore"/>
    <x v="22"/>
    <n v="67.680000000000007"/>
    <n v="18.8"/>
  </r>
  <r>
    <x v="0"/>
    <x v="28"/>
    <x v="10"/>
    <x v="21"/>
    <s v="UK_Offshore"/>
    <x v="23"/>
    <n v="0.31515896120488701"/>
    <n v="8.7544155890246306E-2"/>
  </r>
  <r>
    <x v="0"/>
    <x v="28"/>
    <x v="10"/>
    <x v="21"/>
    <s v="UK_Offshore"/>
    <x v="24"/>
    <n v="19.174223581093901"/>
    <n v="5.32617321697054"/>
  </r>
  <r>
    <x v="0"/>
    <x v="28"/>
    <x v="10"/>
    <x v="21"/>
    <s v="UK_Offshore"/>
    <x v="25"/>
    <n v="26.209507293842599"/>
    <n v="7.2804186927340497"/>
  </r>
  <r>
    <x v="0"/>
    <x v="28"/>
    <x v="10"/>
    <x v="21"/>
    <s v="UK_Offshore"/>
    <x v="26"/>
    <n v="33.320887798496699"/>
    <n v="9.2558021662490795"/>
  </r>
  <r>
    <x v="0"/>
    <x v="28"/>
    <x v="10"/>
    <x v="21"/>
    <s v="UK_Offshore"/>
    <x v="27"/>
    <n v="20.163995508318798"/>
    <n v="5.6011098634218799"/>
  </r>
  <r>
    <x v="0"/>
    <x v="29"/>
    <x v="0"/>
    <x v="0"/>
    <s v="DK1_Large"/>
    <x v="0"/>
    <n v="42.692399999999999"/>
    <n v="11.859"/>
  </r>
  <r>
    <x v="0"/>
    <x v="29"/>
    <x v="0"/>
    <x v="0"/>
    <s v="DK1_Large_PHH"/>
    <x v="0"/>
    <n v="42.692399999999999"/>
    <n v="11.859"/>
  </r>
  <r>
    <x v="0"/>
    <x v="29"/>
    <x v="0"/>
    <x v="0"/>
    <s v="DK1_Large_PHL"/>
    <x v="0"/>
    <n v="42.692399999999999"/>
    <n v="11.859"/>
  </r>
  <r>
    <x v="0"/>
    <x v="29"/>
    <x v="0"/>
    <x v="0"/>
    <s v="DK1_MedSmall"/>
    <x v="0"/>
    <n v="42.692399999999999"/>
    <n v="11.859"/>
  </r>
  <r>
    <x v="0"/>
    <x v="29"/>
    <x v="0"/>
    <x v="0"/>
    <s v="DK1_Medium"/>
    <x v="0"/>
    <n v="42.692399999999999"/>
    <n v="11.859"/>
  </r>
  <r>
    <x v="0"/>
    <x v="29"/>
    <x v="0"/>
    <x v="0"/>
    <s v="DK1_NoDH"/>
    <x v="0"/>
    <n v="42.692399999999999"/>
    <n v="11.859"/>
  </r>
  <r>
    <x v="0"/>
    <x v="29"/>
    <x v="0"/>
    <x v="0"/>
    <s v="DK1_NoDH_PHH"/>
    <x v="0"/>
    <n v="42.692399999999999"/>
    <n v="11.859"/>
  </r>
  <r>
    <x v="0"/>
    <x v="29"/>
    <x v="0"/>
    <x v="0"/>
    <s v="DK1_NoDH_PHL"/>
    <x v="0"/>
    <n v="42.692399999999999"/>
    <n v="11.859"/>
  </r>
  <r>
    <x v="0"/>
    <x v="29"/>
    <x v="0"/>
    <x v="0"/>
    <s v="DK1_Offshore"/>
    <x v="0"/>
    <n v="42.692399999999999"/>
    <n v="11.859"/>
  </r>
  <r>
    <x v="0"/>
    <x v="29"/>
    <x v="0"/>
    <x v="0"/>
    <s v="DK1_Rural"/>
    <x v="0"/>
    <n v="42.692399999999999"/>
    <n v="11.859"/>
  </r>
  <r>
    <x v="0"/>
    <x v="29"/>
    <x v="0"/>
    <x v="0"/>
    <s v="DK1_Small"/>
    <x v="0"/>
    <n v="42.692399999999999"/>
    <n v="11.859"/>
  </r>
  <r>
    <x v="0"/>
    <x v="29"/>
    <x v="0"/>
    <x v="1"/>
    <s v="DK2_Large"/>
    <x v="0"/>
    <n v="42.692399999999999"/>
    <n v="11.859"/>
  </r>
  <r>
    <x v="0"/>
    <x v="29"/>
    <x v="0"/>
    <x v="1"/>
    <s v="DK2_Large_PHH"/>
    <x v="0"/>
    <n v="42.692399999999999"/>
    <n v="11.859"/>
  </r>
  <r>
    <x v="0"/>
    <x v="29"/>
    <x v="0"/>
    <x v="1"/>
    <s v="DK2_Large_PHL"/>
    <x v="0"/>
    <n v="42.692399999999999"/>
    <n v="11.859"/>
  </r>
  <r>
    <x v="0"/>
    <x v="29"/>
    <x v="0"/>
    <x v="1"/>
    <s v="DK2_MedSmall"/>
    <x v="0"/>
    <n v="42.692399999999999"/>
    <n v="11.859"/>
  </r>
  <r>
    <x v="0"/>
    <x v="29"/>
    <x v="0"/>
    <x v="1"/>
    <s v="DK2_Medium"/>
    <x v="0"/>
    <n v="42.692399999999999"/>
    <n v="11.859"/>
  </r>
  <r>
    <x v="0"/>
    <x v="29"/>
    <x v="0"/>
    <x v="1"/>
    <s v="DK2_NoDH"/>
    <x v="0"/>
    <n v="42.692399999999999"/>
    <n v="11.859"/>
  </r>
  <r>
    <x v="0"/>
    <x v="29"/>
    <x v="0"/>
    <x v="1"/>
    <s v="DK2_NoDH_PHH"/>
    <x v="0"/>
    <n v="42.692399999999999"/>
    <n v="11.859"/>
  </r>
  <r>
    <x v="0"/>
    <x v="29"/>
    <x v="0"/>
    <x v="1"/>
    <s v="DK2_NoDH_PHL"/>
    <x v="0"/>
    <n v="42.692399999999999"/>
    <n v="11.859"/>
  </r>
  <r>
    <x v="0"/>
    <x v="29"/>
    <x v="0"/>
    <x v="1"/>
    <s v="DK2_Offshore"/>
    <x v="0"/>
    <n v="42.692399999999999"/>
    <n v="11.859"/>
  </r>
  <r>
    <x v="0"/>
    <x v="29"/>
    <x v="0"/>
    <x v="1"/>
    <s v="DK2_Rural"/>
    <x v="0"/>
    <n v="42.692399999999999"/>
    <n v="11.859"/>
  </r>
  <r>
    <x v="0"/>
    <x v="29"/>
    <x v="0"/>
    <x v="1"/>
    <s v="DK2_Small"/>
    <x v="0"/>
    <n v="42.692399999999999"/>
    <n v="11.859"/>
  </r>
  <r>
    <x v="0"/>
    <x v="29"/>
    <x v="1"/>
    <x v="2"/>
    <s v="EE_A"/>
    <x v="0"/>
    <n v="42.692399999999999"/>
    <n v="11.859"/>
  </r>
  <r>
    <x v="0"/>
    <x v="29"/>
    <x v="1"/>
    <x v="2"/>
    <s v="EE_Enefit"/>
    <x v="0"/>
    <n v="42.692399999999999"/>
    <n v="11.859"/>
  </r>
  <r>
    <x v="0"/>
    <x v="29"/>
    <x v="1"/>
    <x v="2"/>
    <s v="EE_Industry"/>
    <x v="0"/>
    <n v="42.692399999999999"/>
    <n v="11.859"/>
  </r>
  <r>
    <x v="0"/>
    <x v="29"/>
    <x v="1"/>
    <x v="2"/>
    <s v="EE_Kohtla_Jarve"/>
    <x v="0"/>
    <n v="42.692399999999999"/>
    <n v="11.859"/>
  </r>
  <r>
    <x v="0"/>
    <x v="29"/>
    <x v="1"/>
    <x v="2"/>
    <s v="EE_Narva"/>
    <x v="0"/>
    <n v="42.692399999999999"/>
    <n v="11.859"/>
  </r>
  <r>
    <x v="0"/>
    <x v="29"/>
    <x v="1"/>
    <x v="2"/>
    <s v="EE_OFFSHORE"/>
    <x v="0"/>
    <n v="42.692399999999999"/>
    <n v="11.859"/>
  </r>
  <r>
    <x v="0"/>
    <x v="29"/>
    <x v="1"/>
    <x v="2"/>
    <s v="EE_Parnu"/>
    <x v="0"/>
    <n v="42.692399999999999"/>
    <n v="11.859"/>
  </r>
  <r>
    <x v="0"/>
    <x v="29"/>
    <x v="1"/>
    <x v="2"/>
    <s v="EE_Rural"/>
    <x v="0"/>
    <n v="42.692399999999999"/>
    <n v="11.859"/>
  </r>
  <r>
    <x v="0"/>
    <x v="29"/>
    <x v="1"/>
    <x v="2"/>
    <s v="EE_Sillamae"/>
    <x v="0"/>
    <n v="42.692399999999999"/>
    <n v="11.859"/>
  </r>
  <r>
    <x v="0"/>
    <x v="29"/>
    <x v="1"/>
    <x v="2"/>
    <s v="EE_Tallinn"/>
    <x v="0"/>
    <n v="42.692399999999999"/>
    <n v="11.859"/>
  </r>
  <r>
    <x v="0"/>
    <x v="29"/>
    <x v="1"/>
    <x v="2"/>
    <s v="EE_Tartu"/>
    <x v="0"/>
    <n v="42.692399999999999"/>
    <n v="11.859"/>
  </r>
  <r>
    <x v="0"/>
    <x v="29"/>
    <x v="1"/>
    <x v="2"/>
    <s v="EE_Urban"/>
    <x v="0"/>
    <n v="42.692399999999999"/>
    <n v="11.859"/>
  </r>
  <r>
    <x v="0"/>
    <x v="29"/>
    <x v="2"/>
    <x v="3"/>
    <s v="FI_IND"/>
    <x v="0"/>
    <n v="42.692399999999999"/>
    <n v="11.859"/>
  </r>
  <r>
    <x v="0"/>
    <x v="29"/>
    <x v="2"/>
    <x v="3"/>
    <s v="FI_Offshore"/>
    <x v="0"/>
    <n v="42.692399999999999"/>
    <n v="11.859"/>
  </r>
  <r>
    <x v="0"/>
    <x v="29"/>
    <x v="2"/>
    <x v="3"/>
    <s v="FI_large"/>
    <x v="0"/>
    <n v="42.692399999999999"/>
    <n v="11.859"/>
  </r>
  <r>
    <x v="0"/>
    <x v="29"/>
    <x v="2"/>
    <x v="3"/>
    <s v="FI_large_gas"/>
    <x v="0"/>
    <n v="42.692399999999999"/>
    <n v="11.859"/>
  </r>
  <r>
    <x v="0"/>
    <x v="29"/>
    <x v="2"/>
    <x v="3"/>
    <s v="FI_medium"/>
    <x v="0"/>
    <n v="42.692399999999999"/>
    <n v="11.859"/>
  </r>
  <r>
    <x v="0"/>
    <x v="29"/>
    <x v="2"/>
    <x v="3"/>
    <s v="FI_medium_gas"/>
    <x v="0"/>
    <n v="42.692399999999999"/>
    <n v="11.859"/>
  </r>
  <r>
    <x v="0"/>
    <x v="29"/>
    <x v="2"/>
    <x v="3"/>
    <s v="FI_small"/>
    <x v="0"/>
    <n v="42.692399999999999"/>
    <n v="11.859"/>
  </r>
  <r>
    <x v="0"/>
    <x v="29"/>
    <x v="2"/>
    <x v="3"/>
    <s v="FI_small_gas"/>
    <x v="0"/>
    <n v="42.692399999999999"/>
    <n v="11.859"/>
  </r>
  <r>
    <x v="0"/>
    <x v="29"/>
    <x v="2"/>
    <x v="3"/>
    <s v="FinA"/>
    <x v="0"/>
    <n v="42.692399999999999"/>
    <n v="11.859"/>
  </r>
  <r>
    <x v="0"/>
    <x v="29"/>
    <x v="3"/>
    <x v="4"/>
    <s v="DE4-E_A"/>
    <x v="0"/>
    <n v="42.692399999999999"/>
    <n v="11.859"/>
  </r>
  <r>
    <x v="0"/>
    <x v="29"/>
    <x v="3"/>
    <x v="4"/>
    <s v="DE4-E_Offshore_A"/>
    <x v="0"/>
    <n v="42.692399999999999"/>
    <n v="11.859"/>
  </r>
  <r>
    <x v="0"/>
    <x v="29"/>
    <x v="3"/>
    <x v="5"/>
    <s v="DE4-N_A"/>
    <x v="0"/>
    <n v="42.692399999999999"/>
    <n v="11.859"/>
  </r>
  <r>
    <x v="0"/>
    <x v="29"/>
    <x v="3"/>
    <x v="5"/>
    <s v="DE4-N_Offshore_A"/>
    <x v="0"/>
    <n v="42.692399999999999"/>
    <n v="11.859"/>
  </r>
  <r>
    <x v="0"/>
    <x v="29"/>
    <x v="3"/>
    <x v="6"/>
    <s v="DE4-S_A"/>
    <x v="0"/>
    <n v="42.692399999999999"/>
    <n v="11.859"/>
  </r>
  <r>
    <x v="0"/>
    <x v="29"/>
    <x v="3"/>
    <x v="7"/>
    <s v="DE4-W_A"/>
    <x v="0"/>
    <n v="42.692399999999999"/>
    <n v="11.859"/>
  </r>
  <r>
    <x v="0"/>
    <x v="29"/>
    <x v="3"/>
    <x v="7"/>
    <s v="DE4-W_Offshore_A"/>
    <x v="0"/>
    <n v="42.692399999999999"/>
    <n v="11.859"/>
  </r>
  <r>
    <x v="0"/>
    <x v="29"/>
    <x v="4"/>
    <x v="8"/>
    <s v="LV_A"/>
    <x v="0"/>
    <n v="42.692399999999999"/>
    <n v="11.859"/>
  </r>
  <r>
    <x v="0"/>
    <x v="29"/>
    <x v="4"/>
    <x v="8"/>
    <s v="LV_OFFSHORE"/>
    <x v="0"/>
    <n v="42.692399999999999"/>
    <n v="11.859"/>
  </r>
  <r>
    <x v="0"/>
    <x v="29"/>
    <x v="4"/>
    <x v="8"/>
    <s v="LV_Other_DH"/>
    <x v="0"/>
    <n v="42.692399999999999"/>
    <n v="11.859"/>
  </r>
  <r>
    <x v="0"/>
    <x v="29"/>
    <x v="4"/>
    <x v="8"/>
    <s v="LV_RigaR"/>
    <x v="0"/>
    <n v="42.692399999999999"/>
    <n v="11.859"/>
  </r>
  <r>
    <x v="0"/>
    <x v="29"/>
    <x v="4"/>
    <x v="8"/>
    <s v="LV_Rural"/>
    <x v="0"/>
    <n v="42.692399999999999"/>
    <n v="11.859"/>
  </r>
  <r>
    <x v="0"/>
    <x v="29"/>
    <x v="5"/>
    <x v="9"/>
    <s v="LT_A"/>
    <x v="0"/>
    <n v="42.692399999999999"/>
    <n v="11.859"/>
  </r>
  <r>
    <x v="0"/>
    <x v="29"/>
    <x v="5"/>
    <x v="9"/>
    <s v="LT_KauU"/>
    <x v="0"/>
    <n v="42.692399999999999"/>
    <n v="11.859"/>
  </r>
  <r>
    <x v="0"/>
    <x v="29"/>
    <x v="5"/>
    <x v="9"/>
    <s v="LT_KlaU"/>
    <x v="0"/>
    <n v="42.692399999999999"/>
    <n v="11.859"/>
  </r>
  <r>
    <x v="0"/>
    <x v="29"/>
    <x v="5"/>
    <x v="9"/>
    <s v="LT_OFFSHORE"/>
    <x v="0"/>
    <n v="42.692399999999999"/>
    <n v="11.859"/>
  </r>
  <r>
    <x v="0"/>
    <x v="29"/>
    <x v="5"/>
    <x v="9"/>
    <s v="LT_Other_DH"/>
    <x v="0"/>
    <n v="42.692399999999999"/>
    <n v="11.859"/>
  </r>
  <r>
    <x v="0"/>
    <x v="29"/>
    <x v="5"/>
    <x v="9"/>
    <s v="LT_Panevezys"/>
    <x v="0"/>
    <n v="42.692399999999999"/>
    <n v="11.859"/>
  </r>
  <r>
    <x v="0"/>
    <x v="29"/>
    <x v="5"/>
    <x v="9"/>
    <s v="LT_Rural"/>
    <x v="0"/>
    <n v="42.692399999999999"/>
    <n v="11.859"/>
  </r>
  <r>
    <x v="0"/>
    <x v="29"/>
    <x v="5"/>
    <x v="9"/>
    <s v="LT_SiaU"/>
    <x v="0"/>
    <n v="42.692399999999999"/>
    <n v="11.859"/>
  </r>
  <r>
    <x v="0"/>
    <x v="29"/>
    <x v="5"/>
    <x v="9"/>
    <s v="LT_VilU"/>
    <x v="0"/>
    <n v="42.692399999999999"/>
    <n v="11.859"/>
  </r>
  <r>
    <x v="0"/>
    <x v="29"/>
    <x v="6"/>
    <x v="10"/>
    <s v="NL_A"/>
    <x v="0"/>
    <n v="42.692399999999999"/>
    <n v="11.859"/>
  </r>
  <r>
    <x v="0"/>
    <x v="29"/>
    <x v="6"/>
    <x v="10"/>
    <s v="NL_OFFSHORE"/>
    <x v="0"/>
    <n v="42.692399999999999"/>
    <n v="11.859"/>
  </r>
  <r>
    <x v="0"/>
    <x v="29"/>
    <x v="7"/>
    <x v="11"/>
    <s v="NO1_A1"/>
    <x v="0"/>
    <n v="42.692399999999999"/>
    <n v="11.859"/>
  </r>
  <r>
    <x v="0"/>
    <x v="29"/>
    <x v="7"/>
    <x v="11"/>
    <s v="NO1_A2"/>
    <x v="0"/>
    <n v="42.692399999999999"/>
    <n v="11.859"/>
  </r>
  <r>
    <x v="0"/>
    <x v="29"/>
    <x v="7"/>
    <x v="11"/>
    <s v="NO1_A3"/>
    <x v="0"/>
    <n v="42.692399999999999"/>
    <n v="11.859"/>
  </r>
  <r>
    <x v="0"/>
    <x v="29"/>
    <x v="7"/>
    <x v="11"/>
    <s v="NO1_Offshore"/>
    <x v="0"/>
    <n v="42.692399999999999"/>
    <n v="11.859"/>
  </r>
  <r>
    <x v="0"/>
    <x v="29"/>
    <x v="7"/>
    <x v="12"/>
    <s v="NO2_A1"/>
    <x v="0"/>
    <n v="42.692399999999999"/>
    <n v="11.859"/>
  </r>
  <r>
    <x v="0"/>
    <x v="29"/>
    <x v="7"/>
    <x v="12"/>
    <s v="NO2_A2"/>
    <x v="0"/>
    <n v="42.692399999999999"/>
    <n v="11.859"/>
  </r>
  <r>
    <x v="0"/>
    <x v="29"/>
    <x v="7"/>
    <x v="12"/>
    <s v="NO2_Offshore"/>
    <x v="0"/>
    <n v="42.692399999999999"/>
    <n v="11.859"/>
  </r>
  <r>
    <x v="0"/>
    <x v="29"/>
    <x v="7"/>
    <x v="13"/>
    <s v="NO3_A1"/>
    <x v="0"/>
    <n v="42.692399999999999"/>
    <n v="11.859"/>
  </r>
  <r>
    <x v="0"/>
    <x v="29"/>
    <x v="7"/>
    <x v="13"/>
    <s v="NO3_A2"/>
    <x v="0"/>
    <n v="42.692399999999999"/>
    <n v="11.859"/>
  </r>
  <r>
    <x v="0"/>
    <x v="29"/>
    <x v="7"/>
    <x v="13"/>
    <s v="NO3_A3"/>
    <x v="0"/>
    <n v="42.692399999999999"/>
    <n v="11.859"/>
  </r>
  <r>
    <x v="0"/>
    <x v="29"/>
    <x v="7"/>
    <x v="13"/>
    <s v="NO3_Offshore"/>
    <x v="0"/>
    <n v="42.692399999999999"/>
    <n v="11.859"/>
  </r>
  <r>
    <x v="0"/>
    <x v="29"/>
    <x v="7"/>
    <x v="14"/>
    <s v="NO4_A1"/>
    <x v="0"/>
    <n v="42.692399999999999"/>
    <n v="11.859"/>
  </r>
  <r>
    <x v="0"/>
    <x v="29"/>
    <x v="7"/>
    <x v="14"/>
    <s v="NO4_A2"/>
    <x v="0"/>
    <n v="42.692399999999999"/>
    <n v="11.859"/>
  </r>
  <r>
    <x v="0"/>
    <x v="29"/>
    <x v="7"/>
    <x v="14"/>
    <s v="NO4_Offshore"/>
    <x v="0"/>
    <n v="42.692399999999999"/>
    <n v="11.859"/>
  </r>
  <r>
    <x v="0"/>
    <x v="29"/>
    <x v="7"/>
    <x v="15"/>
    <s v="NO5_A1"/>
    <x v="0"/>
    <n v="42.692399999999999"/>
    <n v="11.859"/>
  </r>
  <r>
    <x v="0"/>
    <x v="29"/>
    <x v="7"/>
    <x v="15"/>
    <s v="NO5_A2"/>
    <x v="0"/>
    <n v="42.692399999999999"/>
    <n v="11.859"/>
  </r>
  <r>
    <x v="0"/>
    <x v="29"/>
    <x v="7"/>
    <x v="15"/>
    <s v="NO5_Offshore"/>
    <x v="0"/>
    <n v="42.692399999999999"/>
    <n v="11.859"/>
  </r>
  <r>
    <x v="0"/>
    <x v="29"/>
    <x v="8"/>
    <x v="16"/>
    <s v="PL_A"/>
    <x v="0"/>
    <n v="42.692399999999999"/>
    <n v="11.859"/>
  </r>
  <r>
    <x v="0"/>
    <x v="29"/>
    <x v="8"/>
    <x v="16"/>
    <s v="PL_OFFSHORE"/>
    <x v="0"/>
    <n v="42.692399999999999"/>
    <n v="11.859"/>
  </r>
  <r>
    <x v="0"/>
    <x v="29"/>
    <x v="8"/>
    <x v="16"/>
    <s v="PL_Rural"/>
    <x v="0"/>
    <n v="42.692399999999999"/>
    <n v="11.859"/>
  </r>
  <r>
    <x v="0"/>
    <x v="29"/>
    <x v="9"/>
    <x v="17"/>
    <s v="SE1A"/>
    <x v="0"/>
    <n v="42.692399999999999"/>
    <n v="11.859"/>
  </r>
  <r>
    <x v="0"/>
    <x v="29"/>
    <x v="9"/>
    <x v="17"/>
    <s v="SE1_IND"/>
    <x v="0"/>
    <n v="42.692399999999999"/>
    <n v="11.859"/>
  </r>
  <r>
    <x v="0"/>
    <x v="29"/>
    <x v="9"/>
    <x v="17"/>
    <s v="SE1_Offshore"/>
    <x v="0"/>
    <n v="42.692399999999999"/>
    <n v="11.859"/>
  </r>
  <r>
    <x v="0"/>
    <x v="29"/>
    <x v="9"/>
    <x v="17"/>
    <s v="SE1_medium"/>
    <x v="0"/>
    <n v="42.692399999999999"/>
    <n v="11.859"/>
  </r>
  <r>
    <x v="0"/>
    <x v="29"/>
    <x v="9"/>
    <x v="17"/>
    <s v="SE1_small"/>
    <x v="0"/>
    <n v="42.692399999999999"/>
    <n v="11.859"/>
  </r>
  <r>
    <x v="0"/>
    <x v="29"/>
    <x v="9"/>
    <x v="18"/>
    <s v="SE2A"/>
    <x v="0"/>
    <n v="42.692399999999999"/>
    <n v="11.859"/>
  </r>
  <r>
    <x v="0"/>
    <x v="29"/>
    <x v="9"/>
    <x v="18"/>
    <s v="SE2_IND"/>
    <x v="0"/>
    <n v="42.692399999999999"/>
    <n v="11.859"/>
  </r>
  <r>
    <x v="0"/>
    <x v="29"/>
    <x v="9"/>
    <x v="18"/>
    <s v="SE2_Offshore"/>
    <x v="0"/>
    <n v="42.692399999999999"/>
    <n v="11.859"/>
  </r>
  <r>
    <x v="0"/>
    <x v="29"/>
    <x v="9"/>
    <x v="18"/>
    <s v="SE2_medium"/>
    <x v="0"/>
    <n v="42.692399999999999"/>
    <n v="11.859"/>
  </r>
  <r>
    <x v="0"/>
    <x v="29"/>
    <x v="9"/>
    <x v="18"/>
    <s v="SE2_small"/>
    <x v="0"/>
    <n v="42.692399999999999"/>
    <n v="11.859"/>
  </r>
  <r>
    <x v="0"/>
    <x v="29"/>
    <x v="9"/>
    <x v="19"/>
    <s v="SE3A"/>
    <x v="0"/>
    <n v="42.692399999999999"/>
    <n v="11.859"/>
  </r>
  <r>
    <x v="0"/>
    <x v="29"/>
    <x v="9"/>
    <x v="19"/>
    <s v="SE3_IND"/>
    <x v="0"/>
    <n v="42.692399999999999"/>
    <n v="11.859"/>
  </r>
  <r>
    <x v="0"/>
    <x v="29"/>
    <x v="9"/>
    <x v="19"/>
    <s v="SE3_Offshore"/>
    <x v="0"/>
    <n v="42.692399999999999"/>
    <n v="11.859"/>
  </r>
  <r>
    <x v="0"/>
    <x v="29"/>
    <x v="9"/>
    <x v="19"/>
    <s v="SE3_large"/>
    <x v="0"/>
    <n v="42.692399999999999"/>
    <n v="11.859"/>
  </r>
  <r>
    <x v="0"/>
    <x v="29"/>
    <x v="9"/>
    <x v="19"/>
    <s v="SE3_medium"/>
    <x v="0"/>
    <n v="42.692399999999999"/>
    <n v="11.859"/>
  </r>
  <r>
    <x v="0"/>
    <x v="29"/>
    <x v="9"/>
    <x v="19"/>
    <s v="SE3_small"/>
    <x v="0"/>
    <n v="42.692399999999999"/>
    <n v="11.859"/>
  </r>
  <r>
    <x v="0"/>
    <x v="29"/>
    <x v="9"/>
    <x v="20"/>
    <s v="SE4A"/>
    <x v="0"/>
    <n v="42.692399999999999"/>
    <n v="11.859"/>
  </r>
  <r>
    <x v="0"/>
    <x v="29"/>
    <x v="9"/>
    <x v="20"/>
    <s v="SE4_IND"/>
    <x v="0"/>
    <n v="42.692399999999999"/>
    <n v="11.859"/>
  </r>
  <r>
    <x v="0"/>
    <x v="29"/>
    <x v="9"/>
    <x v="20"/>
    <s v="SE4_Offshore"/>
    <x v="0"/>
    <n v="42.692399999999999"/>
    <n v="11.859"/>
  </r>
  <r>
    <x v="0"/>
    <x v="29"/>
    <x v="9"/>
    <x v="20"/>
    <s v="SE4_large"/>
    <x v="0"/>
    <n v="42.692399999999999"/>
    <n v="11.859"/>
  </r>
  <r>
    <x v="0"/>
    <x v="29"/>
    <x v="9"/>
    <x v="20"/>
    <s v="SE4_medium"/>
    <x v="0"/>
    <n v="42.692399999999999"/>
    <n v="11.859"/>
  </r>
  <r>
    <x v="0"/>
    <x v="29"/>
    <x v="9"/>
    <x v="20"/>
    <s v="SE4_small"/>
    <x v="0"/>
    <n v="42.692399999999999"/>
    <n v="11.859"/>
  </r>
  <r>
    <x v="0"/>
    <x v="29"/>
    <x v="10"/>
    <x v="21"/>
    <s v="UK_A"/>
    <x v="0"/>
    <n v="42.692399999999999"/>
    <n v="11.859"/>
  </r>
  <r>
    <x v="0"/>
    <x v="29"/>
    <x v="10"/>
    <x v="21"/>
    <s v="UK_Offshore"/>
    <x v="0"/>
    <n v="42.692399999999999"/>
    <n v="11.859"/>
  </r>
  <r>
    <x v="0"/>
    <x v="30"/>
    <x v="0"/>
    <x v="0"/>
    <s v="DK1_Large"/>
    <x v="0"/>
    <n v="42.692399999999999"/>
    <n v="11.859"/>
  </r>
  <r>
    <x v="0"/>
    <x v="30"/>
    <x v="0"/>
    <x v="0"/>
    <s v="DK1_Large_PHH"/>
    <x v="0"/>
    <n v="42.692399999999999"/>
    <n v="11.859"/>
  </r>
  <r>
    <x v="0"/>
    <x v="30"/>
    <x v="0"/>
    <x v="0"/>
    <s v="DK1_Large_PHL"/>
    <x v="0"/>
    <n v="42.692399999999999"/>
    <n v="11.859"/>
  </r>
  <r>
    <x v="0"/>
    <x v="30"/>
    <x v="0"/>
    <x v="0"/>
    <s v="DK1_MedSmall"/>
    <x v="0"/>
    <n v="42.692399999999999"/>
    <n v="11.859"/>
  </r>
  <r>
    <x v="0"/>
    <x v="30"/>
    <x v="0"/>
    <x v="0"/>
    <s v="DK1_Medium"/>
    <x v="0"/>
    <n v="42.692399999999999"/>
    <n v="11.859"/>
  </r>
  <r>
    <x v="0"/>
    <x v="30"/>
    <x v="0"/>
    <x v="0"/>
    <s v="DK1_NoDH"/>
    <x v="0"/>
    <n v="42.692399999999999"/>
    <n v="11.859"/>
  </r>
  <r>
    <x v="0"/>
    <x v="30"/>
    <x v="0"/>
    <x v="0"/>
    <s v="DK1_NoDH_PHH"/>
    <x v="0"/>
    <n v="42.692399999999999"/>
    <n v="11.859"/>
  </r>
  <r>
    <x v="0"/>
    <x v="30"/>
    <x v="0"/>
    <x v="0"/>
    <s v="DK1_NoDH_PHL"/>
    <x v="0"/>
    <n v="42.692399999999999"/>
    <n v="11.859"/>
  </r>
  <r>
    <x v="0"/>
    <x v="30"/>
    <x v="0"/>
    <x v="0"/>
    <s v="DK1_Offshore"/>
    <x v="0"/>
    <n v="42.692399999999999"/>
    <n v="11.859"/>
  </r>
  <r>
    <x v="0"/>
    <x v="30"/>
    <x v="0"/>
    <x v="0"/>
    <s v="DK1_Rural"/>
    <x v="0"/>
    <n v="42.692399999999999"/>
    <n v="11.859"/>
  </r>
  <r>
    <x v="0"/>
    <x v="30"/>
    <x v="0"/>
    <x v="0"/>
    <s v="DK1_Small"/>
    <x v="0"/>
    <n v="42.692399999999999"/>
    <n v="11.859"/>
  </r>
  <r>
    <x v="0"/>
    <x v="30"/>
    <x v="0"/>
    <x v="1"/>
    <s v="DK2_Large"/>
    <x v="0"/>
    <n v="42.692399999999999"/>
    <n v="11.859"/>
  </r>
  <r>
    <x v="0"/>
    <x v="30"/>
    <x v="0"/>
    <x v="1"/>
    <s v="DK2_Large_PHH"/>
    <x v="0"/>
    <n v="42.692399999999999"/>
    <n v="11.859"/>
  </r>
  <r>
    <x v="0"/>
    <x v="30"/>
    <x v="0"/>
    <x v="1"/>
    <s v="DK2_Large_PHL"/>
    <x v="0"/>
    <n v="42.692399999999999"/>
    <n v="11.859"/>
  </r>
  <r>
    <x v="0"/>
    <x v="30"/>
    <x v="0"/>
    <x v="1"/>
    <s v="DK2_MedSmall"/>
    <x v="0"/>
    <n v="42.692399999999999"/>
    <n v="11.859"/>
  </r>
  <r>
    <x v="0"/>
    <x v="30"/>
    <x v="0"/>
    <x v="1"/>
    <s v="DK2_Medium"/>
    <x v="0"/>
    <n v="42.692399999999999"/>
    <n v="11.859"/>
  </r>
  <r>
    <x v="0"/>
    <x v="30"/>
    <x v="0"/>
    <x v="1"/>
    <s v="DK2_NoDH"/>
    <x v="0"/>
    <n v="42.692399999999999"/>
    <n v="11.859"/>
  </r>
  <r>
    <x v="0"/>
    <x v="30"/>
    <x v="0"/>
    <x v="1"/>
    <s v="DK2_NoDH_PHH"/>
    <x v="0"/>
    <n v="42.692399999999999"/>
    <n v="11.859"/>
  </r>
  <r>
    <x v="0"/>
    <x v="30"/>
    <x v="0"/>
    <x v="1"/>
    <s v="DK2_NoDH_PHL"/>
    <x v="0"/>
    <n v="42.692399999999999"/>
    <n v="11.859"/>
  </r>
  <r>
    <x v="0"/>
    <x v="30"/>
    <x v="0"/>
    <x v="1"/>
    <s v="DK2_Offshore"/>
    <x v="0"/>
    <n v="42.692399999999999"/>
    <n v="11.859"/>
  </r>
  <r>
    <x v="0"/>
    <x v="30"/>
    <x v="0"/>
    <x v="1"/>
    <s v="DK2_Rural"/>
    <x v="0"/>
    <n v="42.692399999999999"/>
    <n v="11.859"/>
  </r>
  <r>
    <x v="0"/>
    <x v="30"/>
    <x v="0"/>
    <x v="1"/>
    <s v="DK2_Small"/>
    <x v="0"/>
    <n v="42.692399999999999"/>
    <n v="11.859"/>
  </r>
  <r>
    <x v="0"/>
    <x v="30"/>
    <x v="1"/>
    <x v="2"/>
    <s v="EE_A"/>
    <x v="0"/>
    <n v="42.692399999999999"/>
    <n v="11.859"/>
  </r>
  <r>
    <x v="0"/>
    <x v="30"/>
    <x v="1"/>
    <x v="2"/>
    <s v="EE_Enefit"/>
    <x v="0"/>
    <n v="42.692399999999999"/>
    <n v="11.859"/>
  </r>
  <r>
    <x v="0"/>
    <x v="30"/>
    <x v="1"/>
    <x v="2"/>
    <s v="EE_Industry"/>
    <x v="0"/>
    <n v="42.692399999999999"/>
    <n v="11.859"/>
  </r>
  <r>
    <x v="0"/>
    <x v="30"/>
    <x v="1"/>
    <x v="2"/>
    <s v="EE_Kohtla_Jarve"/>
    <x v="0"/>
    <n v="42.692399999999999"/>
    <n v="11.859"/>
  </r>
  <r>
    <x v="0"/>
    <x v="30"/>
    <x v="1"/>
    <x v="2"/>
    <s v="EE_Narva"/>
    <x v="0"/>
    <n v="42.692399999999999"/>
    <n v="11.859"/>
  </r>
  <r>
    <x v="0"/>
    <x v="30"/>
    <x v="1"/>
    <x v="2"/>
    <s v="EE_OFFSHORE"/>
    <x v="0"/>
    <n v="42.692399999999999"/>
    <n v="11.859"/>
  </r>
  <r>
    <x v="0"/>
    <x v="30"/>
    <x v="1"/>
    <x v="2"/>
    <s v="EE_Parnu"/>
    <x v="0"/>
    <n v="42.692399999999999"/>
    <n v="11.859"/>
  </r>
  <r>
    <x v="0"/>
    <x v="30"/>
    <x v="1"/>
    <x v="2"/>
    <s v="EE_Rural"/>
    <x v="0"/>
    <n v="42.692399999999999"/>
    <n v="11.859"/>
  </r>
  <r>
    <x v="0"/>
    <x v="30"/>
    <x v="1"/>
    <x v="2"/>
    <s v="EE_Sillamae"/>
    <x v="0"/>
    <n v="42.692399999999999"/>
    <n v="11.859"/>
  </r>
  <r>
    <x v="0"/>
    <x v="30"/>
    <x v="1"/>
    <x v="2"/>
    <s v="EE_Tallinn"/>
    <x v="0"/>
    <n v="42.692399999999999"/>
    <n v="11.859"/>
  </r>
  <r>
    <x v="0"/>
    <x v="30"/>
    <x v="1"/>
    <x v="2"/>
    <s v="EE_Tartu"/>
    <x v="0"/>
    <n v="42.692399999999999"/>
    <n v="11.859"/>
  </r>
  <r>
    <x v="0"/>
    <x v="30"/>
    <x v="1"/>
    <x v="2"/>
    <s v="EE_Urban"/>
    <x v="0"/>
    <n v="42.692399999999999"/>
    <n v="11.859"/>
  </r>
  <r>
    <x v="0"/>
    <x v="30"/>
    <x v="2"/>
    <x v="3"/>
    <s v="FI_IND"/>
    <x v="0"/>
    <n v="42.692399999999999"/>
    <n v="11.859"/>
  </r>
  <r>
    <x v="0"/>
    <x v="30"/>
    <x v="2"/>
    <x v="3"/>
    <s v="FI_Offshore"/>
    <x v="0"/>
    <n v="42.692399999999999"/>
    <n v="11.859"/>
  </r>
  <r>
    <x v="0"/>
    <x v="30"/>
    <x v="2"/>
    <x v="3"/>
    <s v="FI_large"/>
    <x v="0"/>
    <n v="42.692399999999999"/>
    <n v="11.859"/>
  </r>
  <r>
    <x v="0"/>
    <x v="30"/>
    <x v="2"/>
    <x v="3"/>
    <s v="FI_large_gas"/>
    <x v="0"/>
    <n v="42.692399999999999"/>
    <n v="11.859"/>
  </r>
  <r>
    <x v="0"/>
    <x v="30"/>
    <x v="2"/>
    <x v="3"/>
    <s v="FI_medium"/>
    <x v="0"/>
    <n v="42.692399999999999"/>
    <n v="11.859"/>
  </r>
  <r>
    <x v="0"/>
    <x v="30"/>
    <x v="2"/>
    <x v="3"/>
    <s v="FI_medium_gas"/>
    <x v="0"/>
    <n v="42.692399999999999"/>
    <n v="11.859"/>
  </r>
  <r>
    <x v="0"/>
    <x v="30"/>
    <x v="2"/>
    <x v="3"/>
    <s v="FI_small"/>
    <x v="0"/>
    <n v="42.692399999999999"/>
    <n v="11.859"/>
  </r>
  <r>
    <x v="0"/>
    <x v="30"/>
    <x v="2"/>
    <x v="3"/>
    <s v="FI_small_gas"/>
    <x v="0"/>
    <n v="42.692399999999999"/>
    <n v="11.859"/>
  </r>
  <r>
    <x v="0"/>
    <x v="30"/>
    <x v="2"/>
    <x v="3"/>
    <s v="FinA"/>
    <x v="0"/>
    <n v="42.692399999999999"/>
    <n v="11.859"/>
  </r>
  <r>
    <x v="0"/>
    <x v="30"/>
    <x v="3"/>
    <x v="4"/>
    <s v="DE4-E_A"/>
    <x v="0"/>
    <n v="42.692399999999999"/>
    <n v="11.859"/>
  </r>
  <r>
    <x v="0"/>
    <x v="30"/>
    <x v="3"/>
    <x v="4"/>
    <s v="DE4-E_Offshore_A"/>
    <x v="0"/>
    <n v="42.692399999999999"/>
    <n v="11.859"/>
  </r>
  <r>
    <x v="0"/>
    <x v="30"/>
    <x v="3"/>
    <x v="5"/>
    <s v="DE4-N_A"/>
    <x v="0"/>
    <n v="42.692399999999999"/>
    <n v="11.859"/>
  </r>
  <r>
    <x v="0"/>
    <x v="30"/>
    <x v="3"/>
    <x v="5"/>
    <s v="DE4-N_Offshore_A"/>
    <x v="0"/>
    <n v="42.692399999999999"/>
    <n v="11.859"/>
  </r>
  <r>
    <x v="0"/>
    <x v="30"/>
    <x v="3"/>
    <x v="6"/>
    <s v="DE4-S_A"/>
    <x v="0"/>
    <n v="42.692399999999999"/>
    <n v="11.859"/>
  </r>
  <r>
    <x v="0"/>
    <x v="30"/>
    <x v="3"/>
    <x v="7"/>
    <s v="DE4-W_A"/>
    <x v="0"/>
    <n v="42.692399999999999"/>
    <n v="11.859"/>
  </r>
  <r>
    <x v="0"/>
    <x v="30"/>
    <x v="3"/>
    <x v="7"/>
    <s v="DE4-W_Offshore_A"/>
    <x v="0"/>
    <n v="42.692399999999999"/>
    <n v="11.859"/>
  </r>
  <r>
    <x v="0"/>
    <x v="30"/>
    <x v="4"/>
    <x v="8"/>
    <s v="LV_A"/>
    <x v="0"/>
    <n v="42.692399999999999"/>
    <n v="11.859"/>
  </r>
  <r>
    <x v="0"/>
    <x v="30"/>
    <x v="4"/>
    <x v="8"/>
    <s v="LV_OFFSHORE"/>
    <x v="0"/>
    <n v="42.692399999999999"/>
    <n v="11.859"/>
  </r>
  <r>
    <x v="0"/>
    <x v="30"/>
    <x v="4"/>
    <x v="8"/>
    <s v="LV_Other_DH"/>
    <x v="0"/>
    <n v="42.692399999999999"/>
    <n v="11.859"/>
  </r>
  <r>
    <x v="0"/>
    <x v="30"/>
    <x v="4"/>
    <x v="8"/>
    <s v="LV_RigaR"/>
    <x v="0"/>
    <n v="42.692399999999999"/>
    <n v="11.859"/>
  </r>
  <r>
    <x v="0"/>
    <x v="30"/>
    <x v="4"/>
    <x v="8"/>
    <s v="LV_Rural"/>
    <x v="0"/>
    <n v="42.692399999999999"/>
    <n v="11.859"/>
  </r>
  <r>
    <x v="0"/>
    <x v="30"/>
    <x v="5"/>
    <x v="9"/>
    <s v="LT_A"/>
    <x v="0"/>
    <n v="42.692399999999999"/>
    <n v="11.859"/>
  </r>
  <r>
    <x v="0"/>
    <x v="30"/>
    <x v="5"/>
    <x v="9"/>
    <s v="LT_KauU"/>
    <x v="0"/>
    <n v="42.692399999999999"/>
    <n v="11.859"/>
  </r>
  <r>
    <x v="0"/>
    <x v="30"/>
    <x v="5"/>
    <x v="9"/>
    <s v="LT_KlaU"/>
    <x v="0"/>
    <n v="42.692399999999999"/>
    <n v="11.859"/>
  </r>
  <r>
    <x v="0"/>
    <x v="30"/>
    <x v="5"/>
    <x v="9"/>
    <s v="LT_OFFSHORE"/>
    <x v="0"/>
    <n v="42.692399999999999"/>
    <n v="11.859"/>
  </r>
  <r>
    <x v="0"/>
    <x v="30"/>
    <x v="5"/>
    <x v="9"/>
    <s v="LT_Other_DH"/>
    <x v="0"/>
    <n v="42.692399999999999"/>
    <n v="11.859"/>
  </r>
  <r>
    <x v="0"/>
    <x v="30"/>
    <x v="5"/>
    <x v="9"/>
    <s v="LT_Panevezys"/>
    <x v="0"/>
    <n v="42.692399999999999"/>
    <n v="11.859"/>
  </r>
  <r>
    <x v="0"/>
    <x v="30"/>
    <x v="5"/>
    <x v="9"/>
    <s v="LT_Rural"/>
    <x v="0"/>
    <n v="42.692399999999999"/>
    <n v="11.859"/>
  </r>
  <r>
    <x v="0"/>
    <x v="30"/>
    <x v="5"/>
    <x v="9"/>
    <s v="LT_SiaU"/>
    <x v="0"/>
    <n v="42.692399999999999"/>
    <n v="11.859"/>
  </r>
  <r>
    <x v="0"/>
    <x v="30"/>
    <x v="5"/>
    <x v="9"/>
    <s v="LT_VilU"/>
    <x v="0"/>
    <n v="42.692399999999999"/>
    <n v="11.859"/>
  </r>
  <r>
    <x v="0"/>
    <x v="30"/>
    <x v="6"/>
    <x v="10"/>
    <s v="NL_A"/>
    <x v="0"/>
    <n v="42.692399999999999"/>
    <n v="11.859"/>
  </r>
  <r>
    <x v="0"/>
    <x v="30"/>
    <x v="6"/>
    <x v="10"/>
    <s v="NL_OFFSHORE"/>
    <x v="0"/>
    <n v="42.692399999999999"/>
    <n v="11.859"/>
  </r>
  <r>
    <x v="0"/>
    <x v="30"/>
    <x v="7"/>
    <x v="11"/>
    <s v="NO1_A1"/>
    <x v="0"/>
    <n v="42.692399999999999"/>
    <n v="11.859"/>
  </r>
  <r>
    <x v="0"/>
    <x v="30"/>
    <x v="7"/>
    <x v="11"/>
    <s v="NO1_A2"/>
    <x v="0"/>
    <n v="42.692399999999999"/>
    <n v="11.859"/>
  </r>
  <r>
    <x v="0"/>
    <x v="30"/>
    <x v="7"/>
    <x v="11"/>
    <s v="NO1_A3"/>
    <x v="0"/>
    <n v="42.692399999999999"/>
    <n v="11.859"/>
  </r>
  <r>
    <x v="0"/>
    <x v="30"/>
    <x v="7"/>
    <x v="11"/>
    <s v="NO1_Offshore"/>
    <x v="0"/>
    <n v="42.692399999999999"/>
    <n v="11.859"/>
  </r>
  <r>
    <x v="0"/>
    <x v="30"/>
    <x v="7"/>
    <x v="12"/>
    <s v="NO2_A1"/>
    <x v="0"/>
    <n v="42.692399999999999"/>
    <n v="11.859"/>
  </r>
  <r>
    <x v="0"/>
    <x v="30"/>
    <x v="7"/>
    <x v="12"/>
    <s v="NO2_A2"/>
    <x v="0"/>
    <n v="42.692399999999999"/>
    <n v="11.859"/>
  </r>
  <r>
    <x v="0"/>
    <x v="30"/>
    <x v="7"/>
    <x v="12"/>
    <s v="NO2_Offshore"/>
    <x v="0"/>
    <n v="42.692399999999999"/>
    <n v="11.859"/>
  </r>
  <r>
    <x v="0"/>
    <x v="30"/>
    <x v="7"/>
    <x v="13"/>
    <s v="NO3_A1"/>
    <x v="0"/>
    <n v="42.692399999999999"/>
    <n v="11.859"/>
  </r>
  <r>
    <x v="0"/>
    <x v="30"/>
    <x v="7"/>
    <x v="13"/>
    <s v="NO3_A2"/>
    <x v="0"/>
    <n v="42.692399999999999"/>
    <n v="11.859"/>
  </r>
  <r>
    <x v="0"/>
    <x v="30"/>
    <x v="7"/>
    <x v="13"/>
    <s v="NO3_A3"/>
    <x v="0"/>
    <n v="42.692399999999999"/>
    <n v="11.859"/>
  </r>
  <r>
    <x v="0"/>
    <x v="30"/>
    <x v="7"/>
    <x v="13"/>
    <s v="NO3_Offshore"/>
    <x v="0"/>
    <n v="42.692399999999999"/>
    <n v="11.859"/>
  </r>
  <r>
    <x v="0"/>
    <x v="30"/>
    <x v="7"/>
    <x v="14"/>
    <s v="NO4_A1"/>
    <x v="0"/>
    <n v="42.692399999999999"/>
    <n v="11.859"/>
  </r>
  <r>
    <x v="0"/>
    <x v="30"/>
    <x v="7"/>
    <x v="14"/>
    <s v="NO4_A2"/>
    <x v="0"/>
    <n v="42.692399999999999"/>
    <n v="11.859"/>
  </r>
  <r>
    <x v="0"/>
    <x v="30"/>
    <x v="7"/>
    <x v="14"/>
    <s v="NO4_Offshore"/>
    <x v="0"/>
    <n v="42.692399999999999"/>
    <n v="11.859"/>
  </r>
  <r>
    <x v="0"/>
    <x v="30"/>
    <x v="7"/>
    <x v="15"/>
    <s v="NO5_A1"/>
    <x v="0"/>
    <n v="42.692399999999999"/>
    <n v="11.859"/>
  </r>
  <r>
    <x v="0"/>
    <x v="30"/>
    <x v="7"/>
    <x v="15"/>
    <s v="NO5_A2"/>
    <x v="0"/>
    <n v="42.692399999999999"/>
    <n v="11.859"/>
  </r>
  <r>
    <x v="0"/>
    <x v="30"/>
    <x v="7"/>
    <x v="15"/>
    <s v="NO5_Offshore"/>
    <x v="0"/>
    <n v="42.692399999999999"/>
    <n v="11.859"/>
  </r>
  <r>
    <x v="0"/>
    <x v="30"/>
    <x v="8"/>
    <x v="16"/>
    <s v="PL_A"/>
    <x v="0"/>
    <n v="42.692399999999999"/>
    <n v="11.859"/>
  </r>
  <r>
    <x v="0"/>
    <x v="30"/>
    <x v="8"/>
    <x v="16"/>
    <s v="PL_OFFSHORE"/>
    <x v="0"/>
    <n v="42.692399999999999"/>
    <n v="11.859"/>
  </r>
  <r>
    <x v="0"/>
    <x v="30"/>
    <x v="8"/>
    <x v="16"/>
    <s v="PL_Rural"/>
    <x v="0"/>
    <n v="42.692399999999999"/>
    <n v="11.859"/>
  </r>
  <r>
    <x v="0"/>
    <x v="30"/>
    <x v="9"/>
    <x v="17"/>
    <s v="SE1A"/>
    <x v="0"/>
    <n v="42.692399999999999"/>
    <n v="11.859"/>
  </r>
  <r>
    <x v="0"/>
    <x v="30"/>
    <x v="9"/>
    <x v="17"/>
    <s v="SE1_IND"/>
    <x v="0"/>
    <n v="42.692399999999999"/>
    <n v="11.859"/>
  </r>
  <r>
    <x v="0"/>
    <x v="30"/>
    <x v="9"/>
    <x v="17"/>
    <s v="SE1_Offshore"/>
    <x v="0"/>
    <n v="42.692399999999999"/>
    <n v="11.859"/>
  </r>
  <r>
    <x v="0"/>
    <x v="30"/>
    <x v="9"/>
    <x v="17"/>
    <s v="SE1_medium"/>
    <x v="0"/>
    <n v="42.692399999999999"/>
    <n v="11.859"/>
  </r>
  <r>
    <x v="0"/>
    <x v="30"/>
    <x v="9"/>
    <x v="17"/>
    <s v="SE1_small"/>
    <x v="0"/>
    <n v="42.692399999999999"/>
    <n v="11.859"/>
  </r>
  <r>
    <x v="0"/>
    <x v="30"/>
    <x v="9"/>
    <x v="18"/>
    <s v="SE2A"/>
    <x v="0"/>
    <n v="42.692399999999999"/>
    <n v="11.859"/>
  </r>
  <r>
    <x v="0"/>
    <x v="30"/>
    <x v="9"/>
    <x v="18"/>
    <s v="SE2_IND"/>
    <x v="0"/>
    <n v="42.692399999999999"/>
    <n v="11.859"/>
  </r>
  <r>
    <x v="0"/>
    <x v="30"/>
    <x v="9"/>
    <x v="18"/>
    <s v="SE2_Offshore"/>
    <x v="0"/>
    <n v="42.692399999999999"/>
    <n v="11.859"/>
  </r>
  <r>
    <x v="0"/>
    <x v="30"/>
    <x v="9"/>
    <x v="18"/>
    <s v="SE2_medium"/>
    <x v="0"/>
    <n v="42.692399999999999"/>
    <n v="11.859"/>
  </r>
  <r>
    <x v="0"/>
    <x v="30"/>
    <x v="9"/>
    <x v="18"/>
    <s v="SE2_small"/>
    <x v="0"/>
    <n v="42.692399999999999"/>
    <n v="11.859"/>
  </r>
  <r>
    <x v="0"/>
    <x v="30"/>
    <x v="9"/>
    <x v="19"/>
    <s v="SE3A"/>
    <x v="0"/>
    <n v="42.692399999999999"/>
    <n v="11.859"/>
  </r>
  <r>
    <x v="0"/>
    <x v="30"/>
    <x v="9"/>
    <x v="19"/>
    <s v="SE3_IND"/>
    <x v="0"/>
    <n v="42.692399999999999"/>
    <n v="11.859"/>
  </r>
  <r>
    <x v="0"/>
    <x v="30"/>
    <x v="9"/>
    <x v="19"/>
    <s v="SE3_Offshore"/>
    <x v="0"/>
    <n v="42.692399999999999"/>
    <n v="11.859"/>
  </r>
  <r>
    <x v="0"/>
    <x v="30"/>
    <x v="9"/>
    <x v="19"/>
    <s v="SE3_large"/>
    <x v="0"/>
    <n v="42.692399999999999"/>
    <n v="11.859"/>
  </r>
  <r>
    <x v="0"/>
    <x v="30"/>
    <x v="9"/>
    <x v="19"/>
    <s v="SE3_medium"/>
    <x v="0"/>
    <n v="42.692399999999999"/>
    <n v="11.859"/>
  </r>
  <r>
    <x v="0"/>
    <x v="30"/>
    <x v="9"/>
    <x v="19"/>
    <s v="SE3_small"/>
    <x v="0"/>
    <n v="42.692399999999999"/>
    <n v="11.859"/>
  </r>
  <r>
    <x v="0"/>
    <x v="30"/>
    <x v="9"/>
    <x v="20"/>
    <s v="SE4A"/>
    <x v="0"/>
    <n v="42.692399999999999"/>
    <n v="11.859"/>
  </r>
  <r>
    <x v="0"/>
    <x v="30"/>
    <x v="9"/>
    <x v="20"/>
    <s v="SE4_IND"/>
    <x v="0"/>
    <n v="42.692399999999999"/>
    <n v="11.859"/>
  </r>
  <r>
    <x v="0"/>
    <x v="30"/>
    <x v="9"/>
    <x v="20"/>
    <s v="SE4_Offshore"/>
    <x v="0"/>
    <n v="42.692399999999999"/>
    <n v="11.859"/>
  </r>
  <r>
    <x v="0"/>
    <x v="30"/>
    <x v="9"/>
    <x v="20"/>
    <s v="SE4_large"/>
    <x v="0"/>
    <n v="42.692399999999999"/>
    <n v="11.859"/>
  </r>
  <r>
    <x v="0"/>
    <x v="30"/>
    <x v="9"/>
    <x v="20"/>
    <s v="SE4_medium"/>
    <x v="0"/>
    <n v="42.692399999999999"/>
    <n v="11.859"/>
  </r>
  <r>
    <x v="0"/>
    <x v="30"/>
    <x v="9"/>
    <x v="20"/>
    <s v="SE4_small"/>
    <x v="0"/>
    <n v="42.692399999999999"/>
    <n v="11.859"/>
  </r>
  <r>
    <x v="0"/>
    <x v="30"/>
    <x v="10"/>
    <x v="21"/>
    <s v="UK_A"/>
    <x v="0"/>
    <n v="42.692399999999999"/>
    <n v="11.859"/>
  </r>
  <r>
    <x v="0"/>
    <x v="30"/>
    <x v="10"/>
    <x v="21"/>
    <s v="UK_Offshore"/>
    <x v="0"/>
    <n v="42.692399999999999"/>
    <n v="11.859"/>
  </r>
  <r>
    <x v="0"/>
    <x v="31"/>
    <x v="0"/>
    <x v="0"/>
    <s v="DK1_Large"/>
    <x v="0"/>
    <n v="42.692399999999999"/>
    <n v="11.859"/>
  </r>
  <r>
    <x v="0"/>
    <x v="31"/>
    <x v="0"/>
    <x v="0"/>
    <s v="DK1_Large_PHH"/>
    <x v="0"/>
    <n v="42.692399999999999"/>
    <n v="11.859"/>
  </r>
  <r>
    <x v="0"/>
    <x v="31"/>
    <x v="0"/>
    <x v="0"/>
    <s v="DK1_Large_PHL"/>
    <x v="0"/>
    <n v="42.692399999999999"/>
    <n v="11.859"/>
  </r>
  <r>
    <x v="0"/>
    <x v="31"/>
    <x v="0"/>
    <x v="0"/>
    <s v="DK1_MedSmall"/>
    <x v="0"/>
    <n v="42.692399999999999"/>
    <n v="11.859"/>
  </r>
  <r>
    <x v="0"/>
    <x v="31"/>
    <x v="0"/>
    <x v="0"/>
    <s v="DK1_Medium"/>
    <x v="0"/>
    <n v="42.692399999999999"/>
    <n v="11.859"/>
  </r>
  <r>
    <x v="0"/>
    <x v="31"/>
    <x v="0"/>
    <x v="0"/>
    <s v="DK1_NoDH"/>
    <x v="0"/>
    <n v="42.692399999999999"/>
    <n v="11.859"/>
  </r>
  <r>
    <x v="0"/>
    <x v="31"/>
    <x v="0"/>
    <x v="0"/>
    <s v="DK1_NoDH_PHH"/>
    <x v="0"/>
    <n v="42.692399999999999"/>
    <n v="11.859"/>
  </r>
  <r>
    <x v="0"/>
    <x v="31"/>
    <x v="0"/>
    <x v="0"/>
    <s v="DK1_NoDH_PHL"/>
    <x v="0"/>
    <n v="42.692399999999999"/>
    <n v="11.859"/>
  </r>
  <r>
    <x v="0"/>
    <x v="31"/>
    <x v="0"/>
    <x v="0"/>
    <s v="DK1_Offshore"/>
    <x v="0"/>
    <n v="42.692399999999999"/>
    <n v="11.859"/>
  </r>
  <r>
    <x v="0"/>
    <x v="31"/>
    <x v="0"/>
    <x v="0"/>
    <s v="DK1_Rural"/>
    <x v="0"/>
    <n v="42.692399999999999"/>
    <n v="11.859"/>
  </r>
  <r>
    <x v="0"/>
    <x v="31"/>
    <x v="0"/>
    <x v="0"/>
    <s v="DK1_Small"/>
    <x v="0"/>
    <n v="42.692399999999999"/>
    <n v="11.859"/>
  </r>
  <r>
    <x v="0"/>
    <x v="31"/>
    <x v="0"/>
    <x v="1"/>
    <s v="DK2_Large"/>
    <x v="0"/>
    <n v="42.692399999999999"/>
    <n v="11.859"/>
  </r>
  <r>
    <x v="0"/>
    <x v="31"/>
    <x v="0"/>
    <x v="1"/>
    <s v="DK2_Large_PHH"/>
    <x v="0"/>
    <n v="42.692399999999999"/>
    <n v="11.859"/>
  </r>
  <r>
    <x v="0"/>
    <x v="31"/>
    <x v="0"/>
    <x v="1"/>
    <s v="DK2_Large_PHL"/>
    <x v="0"/>
    <n v="42.692399999999999"/>
    <n v="11.859"/>
  </r>
  <r>
    <x v="0"/>
    <x v="31"/>
    <x v="0"/>
    <x v="1"/>
    <s v="DK2_MedSmall"/>
    <x v="0"/>
    <n v="42.692399999999999"/>
    <n v="11.859"/>
  </r>
  <r>
    <x v="0"/>
    <x v="31"/>
    <x v="0"/>
    <x v="1"/>
    <s v="DK2_Medium"/>
    <x v="0"/>
    <n v="42.692399999999999"/>
    <n v="11.859"/>
  </r>
  <r>
    <x v="0"/>
    <x v="31"/>
    <x v="0"/>
    <x v="1"/>
    <s v="DK2_NoDH"/>
    <x v="0"/>
    <n v="42.692399999999999"/>
    <n v="11.859"/>
  </r>
  <r>
    <x v="0"/>
    <x v="31"/>
    <x v="0"/>
    <x v="1"/>
    <s v="DK2_NoDH_PHH"/>
    <x v="0"/>
    <n v="42.692399999999999"/>
    <n v="11.859"/>
  </r>
  <r>
    <x v="0"/>
    <x v="31"/>
    <x v="0"/>
    <x v="1"/>
    <s v="DK2_NoDH_PHL"/>
    <x v="0"/>
    <n v="42.692399999999999"/>
    <n v="11.859"/>
  </r>
  <r>
    <x v="0"/>
    <x v="31"/>
    <x v="0"/>
    <x v="1"/>
    <s v="DK2_Offshore"/>
    <x v="0"/>
    <n v="42.692399999999999"/>
    <n v="11.859"/>
  </r>
  <r>
    <x v="0"/>
    <x v="31"/>
    <x v="0"/>
    <x v="1"/>
    <s v="DK2_Rural"/>
    <x v="0"/>
    <n v="42.692399999999999"/>
    <n v="11.859"/>
  </r>
  <r>
    <x v="0"/>
    <x v="31"/>
    <x v="0"/>
    <x v="1"/>
    <s v="DK2_Small"/>
    <x v="0"/>
    <n v="42.692399999999999"/>
    <n v="11.859"/>
  </r>
  <r>
    <x v="0"/>
    <x v="31"/>
    <x v="1"/>
    <x v="2"/>
    <s v="EE_A"/>
    <x v="0"/>
    <n v="42.692399999999999"/>
    <n v="11.859"/>
  </r>
  <r>
    <x v="0"/>
    <x v="31"/>
    <x v="1"/>
    <x v="2"/>
    <s v="EE_Enefit"/>
    <x v="0"/>
    <n v="42.692399999999999"/>
    <n v="11.859"/>
  </r>
  <r>
    <x v="0"/>
    <x v="31"/>
    <x v="1"/>
    <x v="2"/>
    <s v="EE_Industry"/>
    <x v="0"/>
    <n v="42.692399999999999"/>
    <n v="11.859"/>
  </r>
  <r>
    <x v="0"/>
    <x v="31"/>
    <x v="1"/>
    <x v="2"/>
    <s v="EE_Kohtla_Jarve"/>
    <x v="0"/>
    <n v="42.692399999999999"/>
    <n v="11.859"/>
  </r>
  <r>
    <x v="0"/>
    <x v="31"/>
    <x v="1"/>
    <x v="2"/>
    <s v="EE_Narva"/>
    <x v="0"/>
    <n v="42.692399999999999"/>
    <n v="11.859"/>
  </r>
  <r>
    <x v="0"/>
    <x v="31"/>
    <x v="1"/>
    <x v="2"/>
    <s v="EE_OFFSHORE"/>
    <x v="0"/>
    <n v="42.692399999999999"/>
    <n v="11.859"/>
  </r>
  <r>
    <x v="0"/>
    <x v="31"/>
    <x v="1"/>
    <x v="2"/>
    <s v="EE_Parnu"/>
    <x v="0"/>
    <n v="42.692399999999999"/>
    <n v="11.859"/>
  </r>
  <r>
    <x v="0"/>
    <x v="31"/>
    <x v="1"/>
    <x v="2"/>
    <s v="EE_Rural"/>
    <x v="0"/>
    <n v="42.692399999999999"/>
    <n v="11.859"/>
  </r>
  <r>
    <x v="0"/>
    <x v="31"/>
    <x v="1"/>
    <x v="2"/>
    <s v="EE_Sillamae"/>
    <x v="0"/>
    <n v="42.692399999999999"/>
    <n v="11.859"/>
  </r>
  <r>
    <x v="0"/>
    <x v="31"/>
    <x v="1"/>
    <x v="2"/>
    <s v="EE_Tallinn"/>
    <x v="0"/>
    <n v="42.692399999999999"/>
    <n v="11.859"/>
  </r>
  <r>
    <x v="0"/>
    <x v="31"/>
    <x v="1"/>
    <x v="2"/>
    <s v="EE_Tartu"/>
    <x v="0"/>
    <n v="42.692399999999999"/>
    <n v="11.859"/>
  </r>
  <r>
    <x v="0"/>
    <x v="31"/>
    <x v="1"/>
    <x v="2"/>
    <s v="EE_Urban"/>
    <x v="0"/>
    <n v="42.692399999999999"/>
    <n v="11.859"/>
  </r>
  <r>
    <x v="0"/>
    <x v="31"/>
    <x v="2"/>
    <x v="3"/>
    <s v="FI_IND"/>
    <x v="0"/>
    <n v="42.692399999999999"/>
    <n v="11.859"/>
  </r>
  <r>
    <x v="0"/>
    <x v="31"/>
    <x v="2"/>
    <x v="3"/>
    <s v="FI_Offshore"/>
    <x v="0"/>
    <n v="42.692399999999999"/>
    <n v="11.859"/>
  </r>
  <r>
    <x v="0"/>
    <x v="31"/>
    <x v="2"/>
    <x v="3"/>
    <s v="FI_large"/>
    <x v="0"/>
    <n v="42.692399999999999"/>
    <n v="11.859"/>
  </r>
  <r>
    <x v="0"/>
    <x v="31"/>
    <x v="2"/>
    <x v="3"/>
    <s v="FI_large_gas"/>
    <x v="0"/>
    <n v="42.692399999999999"/>
    <n v="11.859"/>
  </r>
  <r>
    <x v="0"/>
    <x v="31"/>
    <x v="2"/>
    <x v="3"/>
    <s v="FI_medium"/>
    <x v="0"/>
    <n v="42.692399999999999"/>
    <n v="11.859"/>
  </r>
  <r>
    <x v="0"/>
    <x v="31"/>
    <x v="2"/>
    <x v="3"/>
    <s v="FI_medium_gas"/>
    <x v="0"/>
    <n v="42.692399999999999"/>
    <n v="11.859"/>
  </r>
  <r>
    <x v="0"/>
    <x v="31"/>
    <x v="2"/>
    <x v="3"/>
    <s v="FI_small"/>
    <x v="0"/>
    <n v="42.692399999999999"/>
    <n v="11.859"/>
  </r>
  <r>
    <x v="0"/>
    <x v="31"/>
    <x v="2"/>
    <x v="3"/>
    <s v="FI_small_gas"/>
    <x v="0"/>
    <n v="42.692399999999999"/>
    <n v="11.859"/>
  </r>
  <r>
    <x v="0"/>
    <x v="31"/>
    <x v="2"/>
    <x v="3"/>
    <s v="FinA"/>
    <x v="0"/>
    <n v="42.692399999999999"/>
    <n v="11.859"/>
  </r>
  <r>
    <x v="0"/>
    <x v="31"/>
    <x v="3"/>
    <x v="4"/>
    <s v="DE4-E_A"/>
    <x v="0"/>
    <n v="42.692399999999999"/>
    <n v="11.859"/>
  </r>
  <r>
    <x v="0"/>
    <x v="31"/>
    <x v="3"/>
    <x v="4"/>
    <s v="DE4-E_Offshore_A"/>
    <x v="0"/>
    <n v="42.692399999999999"/>
    <n v="11.859"/>
  </r>
  <r>
    <x v="0"/>
    <x v="31"/>
    <x v="3"/>
    <x v="5"/>
    <s v="DE4-N_A"/>
    <x v="0"/>
    <n v="42.692399999999999"/>
    <n v="11.859"/>
  </r>
  <r>
    <x v="0"/>
    <x v="31"/>
    <x v="3"/>
    <x v="5"/>
    <s v="DE4-N_Offshore_A"/>
    <x v="0"/>
    <n v="42.692399999999999"/>
    <n v="11.859"/>
  </r>
  <r>
    <x v="0"/>
    <x v="31"/>
    <x v="3"/>
    <x v="6"/>
    <s v="DE4-S_A"/>
    <x v="0"/>
    <n v="42.692399999999999"/>
    <n v="11.859"/>
  </r>
  <r>
    <x v="0"/>
    <x v="31"/>
    <x v="3"/>
    <x v="7"/>
    <s v="DE4-W_A"/>
    <x v="0"/>
    <n v="42.692399999999999"/>
    <n v="11.859"/>
  </r>
  <r>
    <x v="0"/>
    <x v="31"/>
    <x v="3"/>
    <x v="7"/>
    <s v="DE4-W_Offshore_A"/>
    <x v="0"/>
    <n v="42.692399999999999"/>
    <n v="11.859"/>
  </r>
  <r>
    <x v="0"/>
    <x v="31"/>
    <x v="4"/>
    <x v="8"/>
    <s v="LV_A"/>
    <x v="0"/>
    <n v="42.692399999999999"/>
    <n v="11.859"/>
  </r>
  <r>
    <x v="0"/>
    <x v="31"/>
    <x v="4"/>
    <x v="8"/>
    <s v="LV_OFFSHORE"/>
    <x v="0"/>
    <n v="42.692399999999999"/>
    <n v="11.859"/>
  </r>
  <r>
    <x v="0"/>
    <x v="31"/>
    <x v="4"/>
    <x v="8"/>
    <s v="LV_Other_DH"/>
    <x v="0"/>
    <n v="42.692399999999999"/>
    <n v="11.859"/>
  </r>
  <r>
    <x v="0"/>
    <x v="31"/>
    <x v="4"/>
    <x v="8"/>
    <s v="LV_RigaR"/>
    <x v="0"/>
    <n v="42.692399999999999"/>
    <n v="11.859"/>
  </r>
  <r>
    <x v="0"/>
    <x v="31"/>
    <x v="4"/>
    <x v="8"/>
    <s v="LV_Rural"/>
    <x v="0"/>
    <n v="42.692399999999999"/>
    <n v="11.859"/>
  </r>
  <r>
    <x v="0"/>
    <x v="31"/>
    <x v="5"/>
    <x v="9"/>
    <s v="LT_A"/>
    <x v="0"/>
    <n v="42.692399999999999"/>
    <n v="11.859"/>
  </r>
  <r>
    <x v="0"/>
    <x v="31"/>
    <x v="5"/>
    <x v="9"/>
    <s v="LT_KauU"/>
    <x v="0"/>
    <n v="42.692399999999999"/>
    <n v="11.859"/>
  </r>
  <r>
    <x v="0"/>
    <x v="31"/>
    <x v="5"/>
    <x v="9"/>
    <s v="LT_KlaU"/>
    <x v="0"/>
    <n v="42.692399999999999"/>
    <n v="11.859"/>
  </r>
  <r>
    <x v="0"/>
    <x v="31"/>
    <x v="5"/>
    <x v="9"/>
    <s v="LT_OFFSHORE"/>
    <x v="0"/>
    <n v="42.692399999999999"/>
    <n v="11.859"/>
  </r>
  <r>
    <x v="0"/>
    <x v="31"/>
    <x v="5"/>
    <x v="9"/>
    <s v="LT_Other_DH"/>
    <x v="0"/>
    <n v="42.692399999999999"/>
    <n v="11.859"/>
  </r>
  <r>
    <x v="0"/>
    <x v="31"/>
    <x v="5"/>
    <x v="9"/>
    <s v="LT_Panevezys"/>
    <x v="0"/>
    <n v="42.692399999999999"/>
    <n v="11.859"/>
  </r>
  <r>
    <x v="0"/>
    <x v="31"/>
    <x v="5"/>
    <x v="9"/>
    <s v="LT_Rural"/>
    <x v="0"/>
    <n v="42.692399999999999"/>
    <n v="11.859"/>
  </r>
  <r>
    <x v="0"/>
    <x v="31"/>
    <x v="5"/>
    <x v="9"/>
    <s v="LT_SiaU"/>
    <x v="0"/>
    <n v="42.692399999999999"/>
    <n v="11.859"/>
  </r>
  <r>
    <x v="0"/>
    <x v="31"/>
    <x v="5"/>
    <x v="9"/>
    <s v="LT_VilU"/>
    <x v="0"/>
    <n v="42.692399999999999"/>
    <n v="11.859"/>
  </r>
  <r>
    <x v="0"/>
    <x v="31"/>
    <x v="6"/>
    <x v="10"/>
    <s v="NL_A"/>
    <x v="0"/>
    <n v="42.692399999999999"/>
    <n v="11.859"/>
  </r>
  <r>
    <x v="0"/>
    <x v="31"/>
    <x v="6"/>
    <x v="10"/>
    <s v="NL_OFFSHORE"/>
    <x v="0"/>
    <n v="42.692399999999999"/>
    <n v="11.859"/>
  </r>
  <r>
    <x v="0"/>
    <x v="31"/>
    <x v="7"/>
    <x v="11"/>
    <s v="NO1_A1"/>
    <x v="0"/>
    <n v="42.692399999999999"/>
    <n v="11.859"/>
  </r>
  <r>
    <x v="0"/>
    <x v="31"/>
    <x v="7"/>
    <x v="11"/>
    <s v="NO1_A2"/>
    <x v="0"/>
    <n v="42.692399999999999"/>
    <n v="11.859"/>
  </r>
  <r>
    <x v="0"/>
    <x v="31"/>
    <x v="7"/>
    <x v="11"/>
    <s v="NO1_A3"/>
    <x v="0"/>
    <n v="42.692399999999999"/>
    <n v="11.859"/>
  </r>
  <r>
    <x v="0"/>
    <x v="31"/>
    <x v="7"/>
    <x v="11"/>
    <s v="NO1_Offshore"/>
    <x v="0"/>
    <n v="42.692399999999999"/>
    <n v="11.859"/>
  </r>
  <r>
    <x v="0"/>
    <x v="31"/>
    <x v="7"/>
    <x v="12"/>
    <s v="NO2_A1"/>
    <x v="0"/>
    <n v="42.692399999999999"/>
    <n v="11.859"/>
  </r>
  <r>
    <x v="0"/>
    <x v="31"/>
    <x v="7"/>
    <x v="12"/>
    <s v="NO2_A2"/>
    <x v="0"/>
    <n v="42.692399999999999"/>
    <n v="11.859"/>
  </r>
  <r>
    <x v="0"/>
    <x v="31"/>
    <x v="7"/>
    <x v="12"/>
    <s v="NO2_Offshore"/>
    <x v="0"/>
    <n v="42.692399999999999"/>
    <n v="11.859"/>
  </r>
  <r>
    <x v="0"/>
    <x v="31"/>
    <x v="7"/>
    <x v="13"/>
    <s v="NO3_A1"/>
    <x v="0"/>
    <n v="42.692399999999999"/>
    <n v="11.859"/>
  </r>
  <r>
    <x v="0"/>
    <x v="31"/>
    <x v="7"/>
    <x v="13"/>
    <s v="NO3_A2"/>
    <x v="0"/>
    <n v="42.692399999999999"/>
    <n v="11.859"/>
  </r>
  <r>
    <x v="0"/>
    <x v="31"/>
    <x v="7"/>
    <x v="13"/>
    <s v="NO3_A3"/>
    <x v="0"/>
    <n v="42.692399999999999"/>
    <n v="11.859"/>
  </r>
  <r>
    <x v="0"/>
    <x v="31"/>
    <x v="7"/>
    <x v="13"/>
    <s v="NO3_Offshore"/>
    <x v="0"/>
    <n v="42.692399999999999"/>
    <n v="11.859"/>
  </r>
  <r>
    <x v="0"/>
    <x v="31"/>
    <x v="7"/>
    <x v="14"/>
    <s v="NO4_A1"/>
    <x v="0"/>
    <n v="42.692399999999999"/>
    <n v="11.859"/>
  </r>
  <r>
    <x v="0"/>
    <x v="31"/>
    <x v="7"/>
    <x v="14"/>
    <s v="NO4_A2"/>
    <x v="0"/>
    <n v="42.692399999999999"/>
    <n v="11.859"/>
  </r>
  <r>
    <x v="0"/>
    <x v="31"/>
    <x v="7"/>
    <x v="14"/>
    <s v="NO4_Offshore"/>
    <x v="0"/>
    <n v="42.692399999999999"/>
    <n v="11.859"/>
  </r>
  <r>
    <x v="0"/>
    <x v="31"/>
    <x v="7"/>
    <x v="15"/>
    <s v="NO5_A1"/>
    <x v="0"/>
    <n v="42.692399999999999"/>
    <n v="11.859"/>
  </r>
  <r>
    <x v="0"/>
    <x v="31"/>
    <x v="7"/>
    <x v="15"/>
    <s v="NO5_A2"/>
    <x v="0"/>
    <n v="42.692399999999999"/>
    <n v="11.859"/>
  </r>
  <r>
    <x v="0"/>
    <x v="31"/>
    <x v="7"/>
    <x v="15"/>
    <s v="NO5_Offshore"/>
    <x v="0"/>
    <n v="42.692399999999999"/>
    <n v="11.859"/>
  </r>
  <r>
    <x v="0"/>
    <x v="31"/>
    <x v="8"/>
    <x v="16"/>
    <s v="PL_A"/>
    <x v="0"/>
    <n v="42.692399999999999"/>
    <n v="11.859"/>
  </r>
  <r>
    <x v="0"/>
    <x v="31"/>
    <x v="8"/>
    <x v="16"/>
    <s v="PL_OFFSHORE"/>
    <x v="0"/>
    <n v="42.692399999999999"/>
    <n v="11.859"/>
  </r>
  <r>
    <x v="0"/>
    <x v="31"/>
    <x v="8"/>
    <x v="16"/>
    <s v="PL_Rural"/>
    <x v="0"/>
    <n v="42.692399999999999"/>
    <n v="11.859"/>
  </r>
  <r>
    <x v="0"/>
    <x v="31"/>
    <x v="9"/>
    <x v="17"/>
    <s v="SE1A"/>
    <x v="0"/>
    <n v="42.692399999999999"/>
    <n v="11.859"/>
  </r>
  <r>
    <x v="0"/>
    <x v="31"/>
    <x v="9"/>
    <x v="17"/>
    <s v="SE1_IND"/>
    <x v="0"/>
    <n v="42.692399999999999"/>
    <n v="11.859"/>
  </r>
  <r>
    <x v="0"/>
    <x v="31"/>
    <x v="9"/>
    <x v="17"/>
    <s v="SE1_Offshore"/>
    <x v="0"/>
    <n v="42.692399999999999"/>
    <n v="11.859"/>
  </r>
  <r>
    <x v="0"/>
    <x v="31"/>
    <x v="9"/>
    <x v="17"/>
    <s v="SE1_medium"/>
    <x v="0"/>
    <n v="42.692399999999999"/>
    <n v="11.859"/>
  </r>
  <r>
    <x v="0"/>
    <x v="31"/>
    <x v="9"/>
    <x v="17"/>
    <s v="SE1_small"/>
    <x v="0"/>
    <n v="42.692399999999999"/>
    <n v="11.859"/>
  </r>
  <r>
    <x v="0"/>
    <x v="31"/>
    <x v="9"/>
    <x v="18"/>
    <s v="SE2A"/>
    <x v="0"/>
    <n v="42.692399999999999"/>
    <n v="11.859"/>
  </r>
  <r>
    <x v="0"/>
    <x v="31"/>
    <x v="9"/>
    <x v="18"/>
    <s v="SE2_IND"/>
    <x v="0"/>
    <n v="42.692399999999999"/>
    <n v="11.859"/>
  </r>
  <r>
    <x v="0"/>
    <x v="31"/>
    <x v="9"/>
    <x v="18"/>
    <s v="SE2_Offshore"/>
    <x v="0"/>
    <n v="42.692399999999999"/>
    <n v="11.859"/>
  </r>
  <r>
    <x v="0"/>
    <x v="31"/>
    <x v="9"/>
    <x v="18"/>
    <s v="SE2_medium"/>
    <x v="0"/>
    <n v="42.692399999999999"/>
    <n v="11.859"/>
  </r>
  <r>
    <x v="0"/>
    <x v="31"/>
    <x v="9"/>
    <x v="18"/>
    <s v="SE2_small"/>
    <x v="0"/>
    <n v="42.692399999999999"/>
    <n v="11.859"/>
  </r>
  <r>
    <x v="0"/>
    <x v="31"/>
    <x v="9"/>
    <x v="19"/>
    <s v="SE3A"/>
    <x v="0"/>
    <n v="42.692399999999999"/>
    <n v="11.859"/>
  </r>
  <r>
    <x v="0"/>
    <x v="31"/>
    <x v="9"/>
    <x v="19"/>
    <s v="SE3_IND"/>
    <x v="0"/>
    <n v="42.692399999999999"/>
    <n v="11.859"/>
  </r>
  <r>
    <x v="0"/>
    <x v="31"/>
    <x v="9"/>
    <x v="19"/>
    <s v="SE3_Offshore"/>
    <x v="0"/>
    <n v="42.692399999999999"/>
    <n v="11.859"/>
  </r>
  <r>
    <x v="0"/>
    <x v="31"/>
    <x v="9"/>
    <x v="19"/>
    <s v="SE3_large"/>
    <x v="0"/>
    <n v="42.692399999999999"/>
    <n v="11.859"/>
  </r>
  <r>
    <x v="0"/>
    <x v="31"/>
    <x v="9"/>
    <x v="19"/>
    <s v="SE3_medium"/>
    <x v="0"/>
    <n v="42.692399999999999"/>
    <n v="11.859"/>
  </r>
  <r>
    <x v="0"/>
    <x v="31"/>
    <x v="9"/>
    <x v="19"/>
    <s v="SE3_small"/>
    <x v="0"/>
    <n v="42.692399999999999"/>
    <n v="11.859"/>
  </r>
  <r>
    <x v="0"/>
    <x v="31"/>
    <x v="9"/>
    <x v="20"/>
    <s v="SE4A"/>
    <x v="0"/>
    <n v="42.692399999999999"/>
    <n v="11.859"/>
  </r>
  <r>
    <x v="0"/>
    <x v="31"/>
    <x v="9"/>
    <x v="20"/>
    <s v="SE4_IND"/>
    <x v="0"/>
    <n v="42.692399999999999"/>
    <n v="11.859"/>
  </r>
  <r>
    <x v="0"/>
    <x v="31"/>
    <x v="9"/>
    <x v="20"/>
    <s v="SE4_Offshore"/>
    <x v="0"/>
    <n v="42.692399999999999"/>
    <n v="11.859"/>
  </r>
  <r>
    <x v="0"/>
    <x v="31"/>
    <x v="9"/>
    <x v="20"/>
    <s v="SE4_large"/>
    <x v="0"/>
    <n v="42.692399999999999"/>
    <n v="11.859"/>
  </r>
  <r>
    <x v="0"/>
    <x v="31"/>
    <x v="9"/>
    <x v="20"/>
    <s v="SE4_medium"/>
    <x v="0"/>
    <n v="42.692399999999999"/>
    <n v="11.859"/>
  </r>
  <r>
    <x v="0"/>
    <x v="31"/>
    <x v="9"/>
    <x v="20"/>
    <s v="SE4_small"/>
    <x v="0"/>
    <n v="42.692399999999999"/>
    <n v="11.859"/>
  </r>
  <r>
    <x v="0"/>
    <x v="31"/>
    <x v="10"/>
    <x v="21"/>
    <s v="UK_A"/>
    <x v="0"/>
    <n v="42.692399999999999"/>
    <n v="11.859"/>
  </r>
  <r>
    <x v="0"/>
    <x v="31"/>
    <x v="10"/>
    <x v="21"/>
    <s v="UK_Offshore"/>
    <x v="0"/>
    <n v="42.692399999999999"/>
    <n v="11.859"/>
  </r>
  <r>
    <x v="0"/>
    <x v="32"/>
    <x v="0"/>
    <x v="0"/>
    <s v="DK1_Large"/>
    <x v="0"/>
    <n v="42.692399999999999"/>
    <n v="11.859"/>
  </r>
  <r>
    <x v="0"/>
    <x v="32"/>
    <x v="0"/>
    <x v="0"/>
    <s v="DK1_Large_PHH"/>
    <x v="0"/>
    <n v="42.692399999999999"/>
    <n v="11.859"/>
  </r>
  <r>
    <x v="0"/>
    <x v="32"/>
    <x v="0"/>
    <x v="0"/>
    <s v="DK1_Large_PHL"/>
    <x v="0"/>
    <n v="42.692399999999999"/>
    <n v="11.859"/>
  </r>
  <r>
    <x v="0"/>
    <x v="32"/>
    <x v="0"/>
    <x v="0"/>
    <s v="DK1_MedSmall"/>
    <x v="0"/>
    <n v="42.692399999999999"/>
    <n v="11.859"/>
  </r>
  <r>
    <x v="0"/>
    <x v="32"/>
    <x v="0"/>
    <x v="0"/>
    <s v="DK1_Medium"/>
    <x v="0"/>
    <n v="42.692399999999999"/>
    <n v="11.859"/>
  </r>
  <r>
    <x v="0"/>
    <x v="32"/>
    <x v="0"/>
    <x v="0"/>
    <s v="DK1_NoDH"/>
    <x v="0"/>
    <n v="42.692399999999999"/>
    <n v="11.859"/>
  </r>
  <r>
    <x v="0"/>
    <x v="32"/>
    <x v="0"/>
    <x v="0"/>
    <s v="DK1_NoDH_PHH"/>
    <x v="0"/>
    <n v="42.692399999999999"/>
    <n v="11.859"/>
  </r>
  <r>
    <x v="0"/>
    <x v="32"/>
    <x v="0"/>
    <x v="0"/>
    <s v="DK1_NoDH_PHL"/>
    <x v="0"/>
    <n v="42.692399999999999"/>
    <n v="11.859"/>
  </r>
  <r>
    <x v="0"/>
    <x v="32"/>
    <x v="0"/>
    <x v="0"/>
    <s v="DK1_Offshore"/>
    <x v="0"/>
    <n v="42.692399999999999"/>
    <n v="11.859"/>
  </r>
  <r>
    <x v="0"/>
    <x v="32"/>
    <x v="0"/>
    <x v="0"/>
    <s v="DK1_Rural"/>
    <x v="0"/>
    <n v="42.692399999999999"/>
    <n v="11.859"/>
  </r>
  <r>
    <x v="0"/>
    <x v="32"/>
    <x v="0"/>
    <x v="0"/>
    <s v="DK1_Small"/>
    <x v="0"/>
    <n v="42.692399999999999"/>
    <n v="11.859"/>
  </r>
  <r>
    <x v="0"/>
    <x v="32"/>
    <x v="0"/>
    <x v="1"/>
    <s v="DK2_Large"/>
    <x v="0"/>
    <n v="42.692399999999999"/>
    <n v="11.859"/>
  </r>
  <r>
    <x v="0"/>
    <x v="32"/>
    <x v="0"/>
    <x v="1"/>
    <s v="DK2_Large_PHH"/>
    <x v="0"/>
    <n v="42.692399999999999"/>
    <n v="11.859"/>
  </r>
  <r>
    <x v="0"/>
    <x v="32"/>
    <x v="0"/>
    <x v="1"/>
    <s v="DK2_Large_PHL"/>
    <x v="0"/>
    <n v="42.692399999999999"/>
    <n v="11.859"/>
  </r>
  <r>
    <x v="0"/>
    <x v="32"/>
    <x v="0"/>
    <x v="1"/>
    <s v="DK2_MedSmall"/>
    <x v="0"/>
    <n v="42.692399999999999"/>
    <n v="11.859"/>
  </r>
  <r>
    <x v="0"/>
    <x v="32"/>
    <x v="0"/>
    <x v="1"/>
    <s v="DK2_Medium"/>
    <x v="0"/>
    <n v="42.692399999999999"/>
    <n v="11.859"/>
  </r>
  <r>
    <x v="0"/>
    <x v="32"/>
    <x v="0"/>
    <x v="1"/>
    <s v="DK2_NoDH"/>
    <x v="0"/>
    <n v="42.692399999999999"/>
    <n v="11.859"/>
  </r>
  <r>
    <x v="0"/>
    <x v="32"/>
    <x v="0"/>
    <x v="1"/>
    <s v="DK2_NoDH_PHH"/>
    <x v="0"/>
    <n v="42.692399999999999"/>
    <n v="11.859"/>
  </r>
  <r>
    <x v="0"/>
    <x v="32"/>
    <x v="0"/>
    <x v="1"/>
    <s v="DK2_NoDH_PHL"/>
    <x v="0"/>
    <n v="42.692399999999999"/>
    <n v="11.859"/>
  </r>
  <r>
    <x v="0"/>
    <x v="32"/>
    <x v="0"/>
    <x v="1"/>
    <s v="DK2_Offshore"/>
    <x v="0"/>
    <n v="42.692399999999999"/>
    <n v="11.859"/>
  </r>
  <r>
    <x v="0"/>
    <x v="32"/>
    <x v="0"/>
    <x v="1"/>
    <s v="DK2_Rural"/>
    <x v="0"/>
    <n v="42.692399999999999"/>
    <n v="11.859"/>
  </r>
  <r>
    <x v="0"/>
    <x v="32"/>
    <x v="0"/>
    <x v="1"/>
    <s v="DK2_Small"/>
    <x v="0"/>
    <n v="42.692399999999999"/>
    <n v="11.859"/>
  </r>
  <r>
    <x v="0"/>
    <x v="32"/>
    <x v="1"/>
    <x v="2"/>
    <s v="EE_A"/>
    <x v="0"/>
    <n v="42.692399999999999"/>
    <n v="11.859"/>
  </r>
  <r>
    <x v="0"/>
    <x v="32"/>
    <x v="1"/>
    <x v="2"/>
    <s v="EE_Enefit"/>
    <x v="0"/>
    <n v="42.692399999999999"/>
    <n v="11.859"/>
  </r>
  <r>
    <x v="0"/>
    <x v="32"/>
    <x v="1"/>
    <x v="2"/>
    <s v="EE_Industry"/>
    <x v="0"/>
    <n v="42.692399999999999"/>
    <n v="11.859"/>
  </r>
  <r>
    <x v="0"/>
    <x v="32"/>
    <x v="1"/>
    <x v="2"/>
    <s v="EE_Kohtla_Jarve"/>
    <x v="0"/>
    <n v="42.692399999999999"/>
    <n v="11.859"/>
  </r>
  <r>
    <x v="0"/>
    <x v="32"/>
    <x v="1"/>
    <x v="2"/>
    <s v="EE_Narva"/>
    <x v="0"/>
    <n v="42.692399999999999"/>
    <n v="11.859"/>
  </r>
  <r>
    <x v="0"/>
    <x v="32"/>
    <x v="1"/>
    <x v="2"/>
    <s v="EE_OFFSHORE"/>
    <x v="0"/>
    <n v="42.692399999999999"/>
    <n v="11.859"/>
  </r>
  <r>
    <x v="0"/>
    <x v="32"/>
    <x v="1"/>
    <x v="2"/>
    <s v="EE_Parnu"/>
    <x v="0"/>
    <n v="42.692399999999999"/>
    <n v="11.859"/>
  </r>
  <r>
    <x v="0"/>
    <x v="32"/>
    <x v="1"/>
    <x v="2"/>
    <s v="EE_Rural"/>
    <x v="0"/>
    <n v="42.692399999999999"/>
    <n v="11.859"/>
  </r>
  <r>
    <x v="0"/>
    <x v="32"/>
    <x v="1"/>
    <x v="2"/>
    <s v="EE_Sillamae"/>
    <x v="0"/>
    <n v="42.692399999999999"/>
    <n v="11.859"/>
  </r>
  <r>
    <x v="0"/>
    <x v="32"/>
    <x v="1"/>
    <x v="2"/>
    <s v="EE_Tallinn"/>
    <x v="0"/>
    <n v="42.692399999999999"/>
    <n v="11.859"/>
  </r>
  <r>
    <x v="0"/>
    <x v="32"/>
    <x v="1"/>
    <x v="2"/>
    <s v="EE_Tartu"/>
    <x v="0"/>
    <n v="42.692399999999999"/>
    <n v="11.859"/>
  </r>
  <r>
    <x v="0"/>
    <x v="32"/>
    <x v="1"/>
    <x v="2"/>
    <s v="EE_Urban"/>
    <x v="0"/>
    <n v="42.692399999999999"/>
    <n v="11.859"/>
  </r>
  <r>
    <x v="0"/>
    <x v="32"/>
    <x v="2"/>
    <x v="3"/>
    <s v="FI_IND"/>
    <x v="0"/>
    <n v="42.692399999999999"/>
    <n v="11.859"/>
  </r>
  <r>
    <x v="0"/>
    <x v="32"/>
    <x v="2"/>
    <x v="3"/>
    <s v="FI_Offshore"/>
    <x v="0"/>
    <n v="42.692399999999999"/>
    <n v="11.859"/>
  </r>
  <r>
    <x v="0"/>
    <x v="32"/>
    <x v="2"/>
    <x v="3"/>
    <s v="FI_large"/>
    <x v="0"/>
    <n v="42.692399999999999"/>
    <n v="11.859"/>
  </r>
  <r>
    <x v="0"/>
    <x v="32"/>
    <x v="2"/>
    <x v="3"/>
    <s v="FI_large_gas"/>
    <x v="0"/>
    <n v="42.692399999999999"/>
    <n v="11.859"/>
  </r>
  <r>
    <x v="0"/>
    <x v="32"/>
    <x v="2"/>
    <x v="3"/>
    <s v="FI_medium"/>
    <x v="0"/>
    <n v="42.692399999999999"/>
    <n v="11.859"/>
  </r>
  <r>
    <x v="0"/>
    <x v="32"/>
    <x v="2"/>
    <x v="3"/>
    <s v="FI_medium_gas"/>
    <x v="0"/>
    <n v="42.692399999999999"/>
    <n v="11.859"/>
  </r>
  <r>
    <x v="0"/>
    <x v="32"/>
    <x v="2"/>
    <x v="3"/>
    <s v="FI_small"/>
    <x v="0"/>
    <n v="42.692399999999999"/>
    <n v="11.859"/>
  </r>
  <r>
    <x v="0"/>
    <x v="32"/>
    <x v="2"/>
    <x v="3"/>
    <s v="FI_small_gas"/>
    <x v="0"/>
    <n v="42.692399999999999"/>
    <n v="11.859"/>
  </r>
  <r>
    <x v="0"/>
    <x v="32"/>
    <x v="2"/>
    <x v="3"/>
    <s v="FinA"/>
    <x v="0"/>
    <n v="42.692399999999999"/>
    <n v="11.859"/>
  </r>
  <r>
    <x v="0"/>
    <x v="32"/>
    <x v="3"/>
    <x v="4"/>
    <s v="DE4-E_A"/>
    <x v="0"/>
    <n v="42.692399999999999"/>
    <n v="11.859"/>
  </r>
  <r>
    <x v="0"/>
    <x v="32"/>
    <x v="3"/>
    <x v="4"/>
    <s v="DE4-E_Offshore_A"/>
    <x v="0"/>
    <n v="42.692399999999999"/>
    <n v="11.859"/>
  </r>
  <r>
    <x v="0"/>
    <x v="32"/>
    <x v="3"/>
    <x v="5"/>
    <s v="DE4-N_A"/>
    <x v="0"/>
    <n v="42.692399999999999"/>
    <n v="11.859"/>
  </r>
  <r>
    <x v="0"/>
    <x v="32"/>
    <x v="3"/>
    <x v="5"/>
    <s v="DE4-N_Offshore_A"/>
    <x v="0"/>
    <n v="42.692399999999999"/>
    <n v="11.859"/>
  </r>
  <r>
    <x v="0"/>
    <x v="32"/>
    <x v="3"/>
    <x v="6"/>
    <s v="DE4-S_A"/>
    <x v="0"/>
    <n v="42.692399999999999"/>
    <n v="11.859"/>
  </r>
  <r>
    <x v="0"/>
    <x v="32"/>
    <x v="3"/>
    <x v="7"/>
    <s v="DE4-W_A"/>
    <x v="0"/>
    <n v="42.692399999999999"/>
    <n v="11.859"/>
  </r>
  <r>
    <x v="0"/>
    <x v="32"/>
    <x v="3"/>
    <x v="7"/>
    <s v="DE4-W_Offshore_A"/>
    <x v="0"/>
    <n v="42.692399999999999"/>
    <n v="11.859"/>
  </r>
  <r>
    <x v="0"/>
    <x v="32"/>
    <x v="4"/>
    <x v="8"/>
    <s v="LV_A"/>
    <x v="0"/>
    <n v="42.692399999999999"/>
    <n v="11.859"/>
  </r>
  <r>
    <x v="0"/>
    <x v="32"/>
    <x v="4"/>
    <x v="8"/>
    <s v="LV_OFFSHORE"/>
    <x v="0"/>
    <n v="42.692399999999999"/>
    <n v="11.859"/>
  </r>
  <r>
    <x v="0"/>
    <x v="32"/>
    <x v="4"/>
    <x v="8"/>
    <s v="LV_Other_DH"/>
    <x v="0"/>
    <n v="42.692399999999999"/>
    <n v="11.859"/>
  </r>
  <r>
    <x v="0"/>
    <x v="32"/>
    <x v="4"/>
    <x v="8"/>
    <s v="LV_RigaR"/>
    <x v="0"/>
    <n v="42.692399999999999"/>
    <n v="11.859"/>
  </r>
  <r>
    <x v="0"/>
    <x v="32"/>
    <x v="4"/>
    <x v="8"/>
    <s v="LV_Rural"/>
    <x v="0"/>
    <n v="42.692399999999999"/>
    <n v="11.859"/>
  </r>
  <r>
    <x v="0"/>
    <x v="32"/>
    <x v="5"/>
    <x v="9"/>
    <s v="LT_A"/>
    <x v="0"/>
    <n v="42.692399999999999"/>
    <n v="11.859"/>
  </r>
  <r>
    <x v="0"/>
    <x v="32"/>
    <x v="5"/>
    <x v="9"/>
    <s v="LT_KauU"/>
    <x v="0"/>
    <n v="42.692399999999999"/>
    <n v="11.859"/>
  </r>
  <r>
    <x v="0"/>
    <x v="32"/>
    <x v="5"/>
    <x v="9"/>
    <s v="LT_KlaU"/>
    <x v="0"/>
    <n v="42.692399999999999"/>
    <n v="11.859"/>
  </r>
  <r>
    <x v="0"/>
    <x v="32"/>
    <x v="5"/>
    <x v="9"/>
    <s v="LT_OFFSHORE"/>
    <x v="0"/>
    <n v="42.692399999999999"/>
    <n v="11.859"/>
  </r>
  <r>
    <x v="0"/>
    <x v="32"/>
    <x v="5"/>
    <x v="9"/>
    <s v="LT_Other_DH"/>
    <x v="0"/>
    <n v="42.692399999999999"/>
    <n v="11.859"/>
  </r>
  <r>
    <x v="0"/>
    <x v="32"/>
    <x v="5"/>
    <x v="9"/>
    <s v="LT_Panevezys"/>
    <x v="0"/>
    <n v="42.692399999999999"/>
    <n v="11.859"/>
  </r>
  <r>
    <x v="0"/>
    <x v="32"/>
    <x v="5"/>
    <x v="9"/>
    <s v="LT_Rural"/>
    <x v="0"/>
    <n v="42.692399999999999"/>
    <n v="11.859"/>
  </r>
  <r>
    <x v="0"/>
    <x v="32"/>
    <x v="5"/>
    <x v="9"/>
    <s v="LT_SiaU"/>
    <x v="0"/>
    <n v="42.692399999999999"/>
    <n v="11.859"/>
  </r>
  <r>
    <x v="0"/>
    <x v="32"/>
    <x v="5"/>
    <x v="9"/>
    <s v="LT_VilU"/>
    <x v="0"/>
    <n v="42.692399999999999"/>
    <n v="11.859"/>
  </r>
  <r>
    <x v="0"/>
    <x v="32"/>
    <x v="6"/>
    <x v="10"/>
    <s v="NL_A"/>
    <x v="0"/>
    <n v="42.692399999999999"/>
    <n v="11.859"/>
  </r>
  <r>
    <x v="0"/>
    <x v="32"/>
    <x v="6"/>
    <x v="10"/>
    <s v="NL_OFFSHORE"/>
    <x v="0"/>
    <n v="42.692399999999999"/>
    <n v="11.859"/>
  </r>
  <r>
    <x v="0"/>
    <x v="32"/>
    <x v="7"/>
    <x v="11"/>
    <s v="NO1_A1"/>
    <x v="0"/>
    <n v="42.692399999999999"/>
    <n v="11.859"/>
  </r>
  <r>
    <x v="0"/>
    <x v="32"/>
    <x v="7"/>
    <x v="11"/>
    <s v="NO1_A2"/>
    <x v="0"/>
    <n v="42.692399999999999"/>
    <n v="11.859"/>
  </r>
  <r>
    <x v="0"/>
    <x v="32"/>
    <x v="7"/>
    <x v="11"/>
    <s v="NO1_A3"/>
    <x v="0"/>
    <n v="42.692399999999999"/>
    <n v="11.859"/>
  </r>
  <r>
    <x v="0"/>
    <x v="32"/>
    <x v="7"/>
    <x v="11"/>
    <s v="NO1_Offshore"/>
    <x v="0"/>
    <n v="42.692399999999999"/>
    <n v="11.859"/>
  </r>
  <r>
    <x v="0"/>
    <x v="32"/>
    <x v="7"/>
    <x v="12"/>
    <s v="NO2_A1"/>
    <x v="0"/>
    <n v="42.692399999999999"/>
    <n v="11.859"/>
  </r>
  <r>
    <x v="0"/>
    <x v="32"/>
    <x v="7"/>
    <x v="12"/>
    <s v="NO2_A2"/>
    <x v="0"/>
    <n v="42.692399999999999"/>
    <n v="11.859"/>
  </r>
  <r>
    <x v="0"/>
    <x v="32"/>
    <x v="7"/>
    <x v="12"/>
    <s v="NO2_Offshore"/>
    <x v="0"/>
    <n v="42.692399999999999"/>
    <n v="11.859"/>
  </r>
  <r>
    <x v="0"/>
    <x v="32"/>
    <x v="7"/>
    <x v="13"/>
    <s v="NO3_A1"/>
    <x v="0"/>
    <n v="42.692399999999999"/>
    <n v="11.859"/>
  </r>
  <r>
    <x v="0"/>
    <x v="32"/>
    <x v="7"/>
    <x v="13"/>
    <s v="NO3_A2"/>
    <x v="0"/>
    <n v="42.692399999999999"/>
    <n v="11.859"/>
  </r>
  <r>
    <x v="0"/>
    <x v="32"/>
    <x v="7"/>
    <x v="13"/>
    <s v="NO3_A3"/>
    <x v="0"/>
    <n v="42.692399999999999"/>
    <n v="11.859"/>
  </r>
  <r>
    <x v="0"/>
    <x v="32"/>
    <x v="7"/>
    <x v="13"/>
    <s v="NO3_Offshore"/>
    <x v="0"/>
    <n v="42.692399999999999"/>
    <n v="11.859"/>
  </r>
  <r>
    <x v="0"/>
    <x v="32"/>
    <x v="7"/>
    <x v="14"/>
    <s v="NO4_A1"/>
    <x v="0"/>
    <n v="42.692399999999999"/>
    <n v="11.859"/>
  </r>
  <r>
    <x v="0"/>
    <x v="32"/>
    <x v="7"/>
    <x v="14"/>
    <s v="NO4_A2"/>
    <x v="0"/>
    <n v="42.692399999999999"/>
    <n v="11.859"/>
  </r>
  <r>
    <x v="0"/>
    <x v="32"/>
    <x v="7"/>
    <x v="14"/>
    <s v="NO4_Offshore"/>
    <x v="0"/>
    <n v="42.692399999999999"/>
    <n v="11.859"/>
  </r>
  <r>
    <x v="0"/>
    <x v="32"/>
    <x v="7"/>
    <x v="15"/>
    <s v="NO5_A1"/>
    <x v="0"/>
    <n v="42.692399999999999"/>
    <n v="11.859"/>
  </r>
  <r>
    <x v="0"/>
    <x v="32"/>
    <x v="7"/>
    <x v="15"/>
    <s v="NO5_A2"/>
    <x v="0"/>
    <n v="42.692399999999999"/>
    <n v="11.859"/>
  </r>
  <r>
    <x v="0"/>
    <x v="32"/>
    <x v="7"/>
    <x v="15"/>
    <s v="NO5_Offshore"/>
    <x v="0"/>
    <n v="42.692399999999999"/>
    <n v="11.859"/>
  </r>
  <r>
    <x v="0"/>
    <x v="32"/>
    <x v="8"/>
    <x v="16"/>
    <s v="PL_A"/>
    <x v="0"/>
    <n v="42.692399999999999"/>
    <n v="11.859"/>
  </r>
  <r>
    <x v="0"/>
    <x v="32"/>
    <x v="8"/>
    <x v="16"/>
    <s v="PL_OFFSHORE"/>
    <x v="0"/>
    <n v="42.692399999999999"/>
    <n v="11.859"/>
  </r>
  <r>
    <x v="0"/>
    <x v="32"/>
    <x v="8"/>
    <x v="16"/>
    <s v="PL_Rural"/>
    <x v="0"/>
    <n v="42.692399999999999"/>
    <n v="11.859"/>
  </r>
  <r>
    <x v="0"/>
    <x v="32"/>
    <x v="9"/>
    <x v="17"/>
    <s v="SE1A"/>
    <x v="0"/>
    <n v="42.692399999999999"/>
    <n v="11.859"/>
  </r>
  <r>
    <x v="0"/>
    <x v="32"/>
    <x v="9"/>
    <x v="17"/>
    <s v="SE1_IND"/>
    <x v="0"/>
    <n v="42.692399999999999"/>
    <n v="11.859"/>
  </r>
  <r>
    <x v="0"/>
    <x v="32"/>
    <x v="9"/>
    <x v="17"/>
    <s v="SE1_Offshore"/>
    <x v="0"/>
    <n v="42.692399999999999"/>
    <n v="11.859"/>
  </r>
  <r>
    <x v="0"/>
    <x v="32"/>
    <x v="9"/>
    <x v="17"/>
    <s v="SE1_medium"/>
    <x v="0"/>
    <n v="42.692399999999999"/>
    <n v="11.859"/>
  </r>
  <r>
    <x v="0"/>
    <x v="32"/>
    <x v="9"/>
    <x v="17"/>
    <s v="SE1_small"/>
    <x v="0"/>
    <n v="42.692399999999999"/>
    <n v="11.859"/>
  </r>
  <r>
    <x v="0"/>
    <x v="32"/>
    <x v="9"/>
    <x v="18"/>
    <s v="SE2A"/>
    <x v="0"/>
    <n v="42.692399999999999"/>
    <n v="11.859"/>
  </r>
  <r>
    <x v="0"/>
    <x v="32"/>
    <x v="9"/>
    <x v="18"/>
    <s v="SE2_IND"/>
    <x v="0"/>
    <n v="42.692399999999999"/>
    <n v="11.859"/>
  </r>
  <r>
    <x v="0"/>
    <x v="32"/>
    <x v="9"/>
    <x v="18"/>
    <s v="SE2_Offshore"/>
    <x v="0"/>
    <n v="42.692399999999999"/>
    <n v="11.859"/>
  </r>
  <r>
    <x v="0"/>
    <x v="32"/>
    <x v="9"/>
    <x v="18"/>
    <s v="SE2_medium"/>
    <x v="0"/>
    <n v="42.692399999999999"/>
    <n v="11.859"/>
  </r>
  <r>
    <x v="0"/>
    <x v="32"/>
    <x v="9"/>
    <x v="18"/>
    <s v="SE2_small"/>
    <x v="0"/>
    <n v="42.692399999999999"/>
    <n v="11.859"/>
  </r>
  <r>
    <x v="0"/>
    <x v="32"/>
    <x v="9"/>
    <x v="19"/>
    <s v="SE3A"/>
    <x v="0"/>
    <n v="42.692399999999999"/>
    <n v="11.859"/>
  </r>
  <r>
    <x v="0"/>
    <x v="32"/>
    <x v="9"/>
    <x v="19"/>
    <s v="SE3_IND"/>
    <x v="0"/>
    <n v="42.692399999999999"/>
    <n v="11.859"/>
  </r>
  <r>
    <x v="0"/>
    <x v="32"/>
    <x v="9"/>
    <x v="19"/>
    <s v="SE3_Offshore"/>
    <x v="0"/>
    <n v="42.692399999999999"/>
    <n v="11.859"/>
  </r>
  <r>
    <x v="0"/>
    <x v="32"/>
    <x v="9"/>
    <x v="19"/>
    <s v="SE3_large"/>
    <x v="0"/>
    <n v="42.692399999999999"/>
    <n v="11.859"/>
  </r>
  <r>
    <x v="0"/>
    <x v="32"/>
    <x v="9"/>
    <x v="19"/>
    <s v="SE3_medium"/>
    <x v="0"/>
    <n v="42.692399999999999"/>
    <n v="11.859"/>
  </r>
  <r>
    <x v="0"/>
    <x v="32"/>
    <x v="9"/>
    <x v="19"/>
    <s v="SE3_small"/>
    <x v="0"/>
    <n v="42.692399999999999"/>
    <n v="11.859"/>
  </r>
  <r>
    <x v="0"/>
    <x v="32"/>
    <x v="9"/>
    <x v="20"/>
    <s v="SE4A"/>
    <x v="0"/>
    <n v="42.692399999999999"/>
    <n v="11.859"/>
  </r>
  <r>
    <x v="0"/>
    <x v="32"/>
    <x v="9"/>
    <x v="20"/>
    <s v="SE4_IND"/>
    <x v="0"/>
    <n v="42.692399999999999"/>
    <n v="11.859"/>
  </r>
  <r>
    <x v="0"/>
    <x v="32"/>
    <x v="9"/>
    <x v="20"/>
    <s v="SE4_Offshore"/>
    <x v="0"/>
    <n v="42.692399999999999"/>
    <n v="11.859"/>
  </r>
  <r>
    <x v="0"/>
    <x v="32"/>
    <x v="9"/>
    <x v="20"/>
    <s v="SE4_large"/>
    <x v="0"/>
    <n v="42.692399999999999"/>
    <n v="11.859"/>
  </r>
  <r>
    <x v="0"/>
    <x v="32"/>
    <x v="9"/>
    <x v="20"/>
    <s v="SE4_medium"/>
    <x v="0"/>
    <n v="42.692399999999999"/>
    <n v="11.859"/>
  </r>
  <r>
    <x v="0"/>
    <x v="32"/>
    <x v="9"/>
    <x v="20"/>
    <s v="SE4_small"/>
    <x v="0"/>
    <n v="42.692399999999999"/>
    <n v="11.859"/>
  </r>
  <r>
    <x v="0"/>
    <x v="32"/>
    <x v="10"/>
    <x v="21"/>
    <s v="UK_A"/>
    <x v="0"/>
    <n v="42.692399999999999"/>
    <n v="11.859"/>
  </r>
  <r>
    <x v="0"/>
    <x v="32"/>
    <x v="10"/>
    <x v="21"/>
    <s v="UK_Offshore"/>
    <x v="0"/>
    <n v="42.692399999999999"/>
    <n v="11.859"/>
  </r>
  <r>
    <x v="0"/>
    <x v="33"/>
    <x v="0"/>
    <x v="0"/>
    <s v="DK1_Large"/>
    <x v="1"/>
    <n v="35.989199999999997"/>
    <n v="9.9969999999999999"/>
  </r>
  <r>
    <x v="0"/>
    <x v="33"/>
    <x v="0"/>
    <x v="0"/>
    <s v="DK1_Large"/>
    <x v="2"/>
    <n v="46.08"/>
    <n v="12.8"/>
  </r>
  <r>
    <x v="0"/>
    <x v="33"/>
    <x v="0"/>
    <x v="0"/>
    <s v="DK1_Large"/>
    <x v="0"/>
    <n v="42.692399999999999"/>
    <n v="11.859"/>
  </r>
  <r>
    <x v="0"/>
    <x v="33"/>
    <x v="0"/>
    <x v="0"/>
    <s v="DK1_Large"/>
    <x v="3"/>
    <n v="51.633543144067197"/>
    <n v="14.342650873352"/>
  </r>
  <r>
    <x v="0"/>
    <x v="33"/>
    <x v="0"/>
    <x v="0"/>
    <s v="DK1_Large"/>
    <x v="4"/>
    <n v="6.3500778790389401"/>
    <n v="1.76391052195526"/>
  </r>
  <r>
    <x v="0"/>
    <x v="33"/>
    <x v="0"/>
    <x v="0"/>
    <s v="DK1_Large"/>
    <x v="5"/>
    <n v="6.3500778790389401"/>
    <n v="1.76391052195526"/>
  </r>
  <r>
    <x v="0"/>
    <x v="33"/>
    <x v="0"/>
    <x v="0"/>
    <s v="DK1_Large"/>
    <x v="6"/>
    <n v="29.476231795214598"/>
    <n v="8.1878421653373898"/>
  </r>
  <r>
    <x v="0"/>
    <x v="33"/>
    <x v="0"/>
    <x v="0"/>
    <s v="DK1_Large"/>
    <x v="7"/>
    <n v="57.838935220261199"/>
    <n v="16.066370894517"/>
  </r>
  <r>
    <x v="0"/>
    <x v="33"/>
    <x v="0"/>
    <x v="0"/>
    <s v="DK1_Large"/>
    <x v="8"/>
    <n v="57.838935220261199"/>
    <n v="16.066370894517"/>
  </r>
  <r>
    <x v="0"/>
    <x v="33"/>
    <x v="0"/>
    <x v="0"/>
    <s v="DK1_Large"/>
    <x v="9"/>
    <n v="44.4505451532725"/>
    <n v="12.3473736536868"/>
  </r>
  <r>
    <x v="0"/>
    <x v="33"/>
    <x v="0"/>
    <x v="0"/>
    <s v="DK1_Large"/>
    <x v="10"/>
    <n v="53.975661971830903"/>
    <n v="14.993239436619699"/>
  </r>
  <r>
    <x v="0"/>
    <x v="33"/>
    <x v="0"/>
    <x v="0"/>
    <s v="DK1_Large"/>
    <x v="11"/>
    <n v="3.8806031483015802"/>
    <n v="1.07794531897266"/>
  </r>
  <r>
    <x v="0"/>
    <x v="33"/>
    <x v="0"/>
    <x v="0"/>
    <s v="DK1_Large"/>
    <x v="12"/>
    <n v="9.7995028997514597E-2"/>
    <n v="2.72208413881985E-2"/>
  </r>
  <r>
    <x v="0"/>
    <x v="33"/>
    <x v="0"/>
    <x v="0"/>
    <s v="DK1_Large"/>
    <x v="13"/>
    <n v="29.633696768848399"/>
    <n v="8.2315824357912195"/>
  </r>
  <r>
    <x v="0"/>
    <x v="33"/>
    <x v="0"/>
    <x v="0"/>
    <s v="DK1_Large"/>
    <x v="14"/>
    <n v="29.633696768848399"/>
    <n v="8.2315824357912195"/>
  </r>
  <r>
    <x v="0"/>
    <x v="33"/>
    <x v="0"/>
    <x v="0"/>
    <s v="DK1_Large"/>
    <x v="15"/>
    <n v="1.65807589063794"/>
    <n v="0.46057663628831802"/>
  </r>
  <r>
    <x v="0"/>
    <x v="33"/>
    <x v="0"/>
    <x v="0"/>
    <s v="DK1_Large"/>
    <x v="16"/>
    <n v="6.4638978602906896"/>
    <n v="1.79552718341408"/>
  </r>
  <r>
    <x v="0"/>
    <x v="33"/>
    <x v="0"/>
    <x v="0"/>
    <s v="DK1_Large"/>
    <x v="17"/>
    <n v="9.1244895875632395"/>
    <n v="2.5345804409897901"/>
  </r>
  <r>
    <x v="0"/>
    <x v="33"/>
    <x v="0"/>
    <x v="0"/>
    <s v="DK1_Large"/>
    <x v="18"/>
    <n v="29.633696768848399"/>
    <n v="8.2315824357912195"/>
  </r>
  <r>
    <x v="0"/>
    <x v="33"/>
    <x v="0"/>
    <x v="0"/>
    <s v="DK1_Large"/>
    <x v="19"/>
    <n v="8.1139884009941898"/>
    <n v="2.2538856669428302"/>
  </r>
  <r>
    <x v="0"/>
    <x v="33"/>
    <x v="0"/>
    <x v="0"/>
    <s v="DK1_Large"/>
    <x v="20"/>
    <n v="22.109183021311601"/>
    <n v="6.1414397281420996"/>
  </r>
  <r>
    <x v="0"/>
    <x v="33"/>
    <x v="0"/>
    <x v="0"/>
    <s v="DK1_Large"/>
    <x v="21"/>
    <n v="48.24"/>
    <n v="13.4"/>
  </r>
  <r>
    <x v="0"/>
    <x v="33"/>
    <x v="0"/>
    <x v="0"/>
    <s v="DK1_Large"/>
    <x v="22"/>
    <n v="67.680000000000007"/>
    <n v="18.8"/>
  </r>
  <r>
    <x v="0"/>
    <x v="33"/>
    <x v="0"/>
    <x v="0"/>
    <s v="DK1_Large"/>
    <x v="23"/>
    <n v="0.31515896120488701"/>
    <n v="8.7544155890246306E-2"/>
  </r>
  <r>
    <x v="0"/>
    <x v="33"/>
    <x v="0"/>
    <x v="0"/>
    <s v="DK1_Large"/>
    <x v="24"/>
    <n v="19.174223581093901"/>
    <n v="5.32617321697054"/>
  </r>
  <r>
    <x v="0"/>
    <x v="33"/>
    <x v="0"/>
    <x v="0"/>
    <s v="DK1_Large"/>
    <x v="25"/>
    <n v="26.209507293842599"/>
    <n v="7.2804186927340497"/>
  </r>
  <r>
    <x v="0"/>
    <x v="33"/>
    <x v="0"/>
    <x v="0"/>
    <s v="DK1_Large"/>
    <x v="26"/>
    <n v="33.320887798496699"/>
    <n v="9.2558021662490795"/>
  </r>
  <r>
    <x v="0"/>
    <x v="33"/>
    <x v="0"/>
    <x v="0"/>
    <s v="DK1_Large"/>
    <x v="27"/>
    <n v="20.163995508318798"/>
    <n v="5.6011098634218799"/>
  </r>
  <r>
    <x v="0"/>
    <x v="33"/>
    <x v="0"/>
    <x v="0"/>
    <s v="DK1_Large_PHH"/>
    <x v="1"/>
    <n v="35.989199999999997"/>
    <n v="9.9969999999999999"/>
  </r>
  <r>
    <x v="0"/>
    <x v="33"/>
    <x v="0"/>
    <x v="0"/>
    <s v="DK1_Large_PHH"/>
    <x v="2"/>
    <n v="46.08"/>
    <n v="12.8"/>
  </r>
  <r>
    <x v="0"/>
    <x v="33"/>
    <x v="0"/>
    <x v="0"/>
    <s v="DK1_Large_PHH"/>
    <x v="0"/>
    <n v="42.692399999999999"/>
    <n v="11.859"/>
  </r>
  <r>
    <x v="0"/>
    <x v="33"/>
    <x v="0"/>
    <x v="0"/>
    <s v="DK1_Large_PHH"/>
    <x v="3"/>
    <n v="51.633543144067197"/>
    <n v="14.342650873352"/>
  </r>
  <r>
    <x v="0"/>
    <x v="33"/>
    <x v="0"/>
    <x v="0"/>
    <s v="DK1_Large_PHH"/>
    <x v="4"/>
    <n v="6.3500778790389401"/>
    <n v="1.76391052195526"/>
  </r>
  <r>
    <x v="0"/>
    <x v="33"/>
    <x v="0"/>
    <x v="0"/>
    <s v="DK1_Large_PHH"/>
    <x v="5"/>
    <n v="6.3500778790389401"/>
    <n v="1.76391052195526"/>
  </r>
  <r>
    <x v="0"/>
    <x v="33"/>
    <x v="0"/>
    <x v="0"/>
    <s v="DK1_Large_PHH"/>
    <x v="6"/>
    <n v="29.476231795214598"/>
    <n v="8.1878421653373898"/>
  </r>
  <r>
    <x v="0"/>
    <x v="33"/>
    <x v="0"/>
    <x v="0"/>
    <s v="DK1_Large_PHH"/>
    <x v="7"/>
    <n v="57.838935220261199"/>
    <n v="16.066370894517"/>
  </r>
  <r>
    <x v="0"/>
    <x v="33"/>
    <x v="0"/>
    <x v="0"/>
    <s v="DK1_Large_PHH"/>
    <x v="8"/>
    <n v="57.838935220261199"/>
    <n v="16.066370894517"/>
  </r>
  <r>
    <x v="0"/>
    <x v="33"/>
    <x v="0"/>
    <x v="0"/>
    <s v="DK1_Large_PHH"/>
    <x v="9"/>
    <n v="44.4505451532725"/>
    <n v="12.3473736536868"/>
  </r>
  <r>
    <x v="0"/>
    <x v="33"/>
    <x v="0"/>
    <x v="0"/>
    <s v="DK1_Large_PHH"/>
    <x v="10"/>
    <n v="53.975661971830903"/>
    <n v="14.993239436619699"/>
  </r>
  <r>
    <x v="0"/>
    <x v="33"/>
    <x v="0"/>
    <x v="0"/>
    <s v="DK1_Large_PHH"/>
    <x v="11"/>
    <n v="3.8806031483015802"/>
    <n v="1.07794531897266"/>
  </r>
  <r>
    <x v="0"/>
    <x v="33"/>
    <x v="0"/>
    <x v="0"/>
    <s v="DK1_Large_PHH"/>
    <x v="12"/>
    <n v="9.7995028997514597E-2"/>
    <n v="2.72208413881985E-2"/>
  </r>
  <r>
    <x v="0"/>
    <x v="33"/>
    <x v="0"/>
    <x v="0"/>
    <s v="DK1_Large_PHH"/>
    <x v="13"/>
    <n v="29.633696768848399"/>
    <n v="8.2315824357912195"/>
  </r>
  <r>
    <x v="0"/>
    <x v="33"/>
    <x v="0"/>
    <x v="0"/>
    <s v="DK1_Large_PHH"/>
    <x v="14"/>
    <n v="29.633696768848399"/>
    <n v="8.2315824357912195"/>
  </r>
  <r>
    <x v="0"/>
    <x v="33"/>
    <x v="0"/>
    <x v="0"/>
    <s v="DK1_Large_PHH"/>
    <x v="15"/>
    <n v="1.65807589063794"/>
    <n v="0.46057663628831802"/>
  </r>
  <r>
    <x v="0"/>
    <x v="33"/>
    <x v="0"/>
    <x v="0"/>
    <s v="DK1_Large_PHH"/>
    <x v="16"/>
    <n v="6.4638978602906896"/>
    <n v="1.79552718341408"/>
  </r>
  <r>
    <x v="0"/>
    <x v="33"/>
    <x v="0"/>
    <x v="0"/>
    <s v="DK1_Large_PHH"/>
    <x v="17"/>
    <n v="9.1244895875632395"/>
    <n v="2.5345804409897901"/>
  </r>
  <r>
    <x v="0"/>
    <x v="33"/>
    <x v="0"/>
    <x v="0"/>
    <s v="DK1_Large_PHH"/>
    <x v="18"/>
    <n v="29.633696768848399"/>
    <n v="8.2315824357912195"/>
  </r>
  <r>
    <x v="0"/>
    <x v="33"/>
    <x v="0"/>
    <x v="0"/>
    <s v="DK1_Large_PHH"/>
    <x v="19"/>
    <n v="8.1139884009941898"/>
    <n v="2.2538856669428302"/>
  </r>
  <r>
    <x v="0"/>
    <x v="33"/>
    <x v="0"/>
    <x v="0"/>
    <s v="DK1_Large_PHH"/>
    <x v="20"/>
    <n v="22.109183021311601"/>
    <n v="6.1414397281420996"/>
  </r>
  <r>
    <x v="0"/>
    <x v="33"/>
    <x v="0"/>
    <x v="0"/>
    <s v="DK1_Large_PHH"/>
    <x v="21"/>
    <n v="48.24"/>
    <n v="13.4"/>
  </r>
  <r>
    <x v="0"/>
    <x v="33"/>
    <x v="0"/>
    <x v="0"/>
    <s v="DK1_Large_PHH"/>
    <x v="22"/>
    <n v="67.680000000000007"/>
    <n v="18.8"/>
  </r>
  <r>
    <x v="0"/>
    <x v="33"/>
    <x v="0"/>
    <x v="0"/>
    <s v="DK1_Large_PHH"/>
    <x v="23"/>
    <n v="0.31515896120488701"/>
    <n v="8.7544155890246306E-2"/>
  </r>
  <r>
    <x v="0"/>
    <x v="33"/>
    <x v="0"/>
    <x v="0"/>
    <s v="DK1_Large_PHH"/>
    <x v="24"/>
    <n v="19.174223581093901"/>
    <n v="5.32617321697054"/>
  </r>
  <r>
    <x v="0"/>
    <x v="33"/>
    <x v="0"/>
    <x v="0"/>
    <s v="DK1_Large_PHH"/>
    <x v="25"/>
    <n v="26.209507293842599"/>
    <n v="7.2804186927340497"/>
  </r>
  <r>
    <x v="0"/>
    <x v="33"/>
    <x v="0"/>
    <x v="0"/>
    <s v="DK1_Large_PHH"/>
    <x v="26"/>
    <n v="33.320887798496699"/>
    <n v="9.2558021662490795"/>
  </r>
  <r>
    <x v="0"/>
    <x v="33"/>
    <x v="0"/>
    <x v="0"/>
    <s v="DK1_Large_PHH"/>
    <x v="27"/>
    <n v="20.163995508318798"/>
    <n v="5.6011098634218799"/>
  </r>
  <r>
    <x v="0"/>
    <x v="33"/>
    <x v="0"/>
    <x v="0"/>
    <s v="DK1_Large_PHL"/>
    <x v="1"/>
    <n v="35.989199999999997"/>
    <n v="9.9969999999999999"/>
  </r>
  <r>
    <x v="0"/>
    <x v="33"/>
    <x v="0"/>
    <x v="0"/>
    <s v="DK1_Large_PHL"/>
    <x v="2"/>
    <n v="46.08"/>
    <n v="12.8"/>
  </r>
  <r>
    <x v="0"/>
    <x v="33"/>
    <x v="0"/>
    <x v="0"/>
    <s v="DK1_Large_PHL"/>
    <x v="0"/>
    <n v="42.692399999999999"/>
    <n v="11.859"/>
  </r>
  <r>
    <x v="0"/>
    <x v="33"/>
    <x v="0"/>
    <x v="0"/>
    <s v="DK1_Large_PHL"/>
    <x v="3"/>
    <n v="51.633543144067197"/>
    <n v="14.342650873352"/>
  </r>
  <r>
    <x v="0"/>
    <x v="33"/>
    <x v="0"/>
    <x v="0"/>
    <s v="DK1_Large_PHL"/>
    <x v="4"/>
    <n v="6.3500778790389401"/>
    <n v="1.76391052195526"/>
  </r>
  <r>
    <x v="0"/>
    <x v="33"/>
    <x v="0"/>
    <x v="0"/>
    <s v="DK1_Large_PHL"/>
    <x v="5"/>
    <n v="6.3500778790389401"/>
    <n v="1.76391052195526"/>
  </r>
  <r>
    <x v="0"/>
    <x v="33"/>
    <x v="0"/>
    <x v="0"/>
    <s v="DK1_Large_PHL"/>
    <x v="6"/>
    <n v="29.476231795214598"/>
    <n v="8.1878421653373898"/>
  </r>
  <r>
    <x v="0"/>
    <x v="33"/>
    <x v="0"/>
    <x v="0"/>
    <s v="DK1_Large_PHL"/>
    <x v="7"/>
    <n v="57.838935220261199"/>
    <n v="16.066370894517"/>
  </r>
  <r>
    <x v="0"/>
    <x v="33"/>
    <x v="0"/>
    <x v="0"/>
    <s v="DK1_Large_PHL"/>
    <x v="8"/>
    <n v="57.838935220261199"/>
    <n v="16.066370894517"/>
  </r>
  <r>
    <x v="0"/>
    <x v="33"/>
    <x v="0"/>
    <x v="0"/>
    <s v="DK1_Large_PHL"/>
    <x v="9"/>
    <n v="44.4505451532725"/>
    <n v="12.3473736536868"/>
  </r>
  <r>
    <x v="0"/>
    <x v="33"/>
    <x v="0"/>
    <x v="0"/>
    <s v="DK1_Large_PHL"/>
    <x v="10"/>
    <n v="53.975661971830903"/>
    <n v="14.993239436619699"/>
  </r>
  <r>
    <x v="0"/>
    <x v="33"/>
    <x v="0"/>
    <x v="0"/>
    <s v="DK1_Large_PHL"/>
    <x v="11"/>
    <n v="3.8806031483015802"/>
    <n v="1.07794531897266"/>
  </r>
  <r>
    <x v="0"/>
    <x v="33"/>
    <x v="0"/>
    <x v="0"/>
    <s v="DK1_Large_PHL"/>
    <x v="12"/>
    <n v="9.7995028997514597E-2"/>
    <n v="2.72208413881985E-2"/>
  </r>
  <r>
    <x v="0"/>
    <x v="33"/>
    <x v="0"/>
    <x v="0"/>
    <s v="DK1_Large_PHL"/>
    <x v="13"/>
    <n v="29.633696768848399"/>
    <n v="8.2315824357912195"/>
  </r>
  <r>
    <x v="0"/>
    <x v="33"/>
    <x v="0"/>
    <x v="0"/>
    <s v="DK1_Large_PHL"/>
    <x v="14"/>
    <n v="29.633696768848399"/>
    <n v="8.2315824357912195"/>
  </r>
  <r>
    <x v="0"/>
    <x v="33"/>
    <x v="0"/>
    <x v="0"/>
    <s v="DK1_Large_PHL"/>
    <x v="15"/>
    <n v="1.65807589063794"/>
    <n v="0.46057663628831802"/>
  </r>
  <r>
    <x v="0"/>
    <x v="33"/>
    <x v="0"/>
    <x v="0"/>
    <s v="DK1_Large_PHL"/>
    <x v="16"/>
    <n v="6.4638978602906896"/>
    <n v="1.79552718341408"/>
  </r>
  <r>
    <x v="0"/>
    <x v="33"/>
    <x v="0"/>
    <x v="0"/>
    <s v="DK1_Large_PHL"/>
    <x v="17"/>
    <n v="9.1244895875632395"/>
    <n v="2.5345804409897901"/>
  </r>
  <r>
    <x v="0"/>
    <x v="33"/>
    <x v="0"/>
    <x v="0"/>
    <s v="DK1_Large_PHL"/>
    <x v="18"/>
    <n v="29.633696768848399"/>
    <n v="8.2315824357912195"/>
  </r>
  <r>
    <x v="0"/>
    <x v="33"/>
    <x v="0"/>
    <x v="0"/>
    <s v="DK1_Large_PHL"/>
    <x v="19"/>
    <n v="8.1139884009941898"/>
    <n v="2.2538856669428302"/>
  </r>
  <r>
    <x v="0"/>
    <x v="33"/>
    <x v="0"/>
    <x v="0"/>
    <s v="DK1_Large_PHL"/>
    <x v="20"/>
    <n v="22.109183021311601"/>
    <n v="6.1414397281420996"/>
  </r>
  <r>
    <x v="0"/>
    <x v="33"/>
    <x v="0"/>
    <x v="0"/>
    <s v="DK1_Large_PHL"/>
    <x v="21"/>
    <n v="48.24"/>
    <n v="13.4"/>
  </r>
  <r>
    <x v="0"/>
    <x v="33"/>
    <x v="0"/>
    <x v="0"/>
    <s v="DK1_Large_PHL"/>
    <x v="22"/>
    <n v="67.680000000000007"/>
    <n v="18.8"/>
  </r>
  <r>
    <x v="0"/>
    <x v="33"/>
    <x v="0"/>
    <x v="0"/>
    <s v="DK1_Large_PHL"/>
    <x v="23"/>
    <n v="0.31515896120488701"/>
    <n v="8.7544155890246306E-2"/>
  </r>
  <r>
    <x v="0"/>
    <x v="33"/>
    <x v="0"/>
    <x v="0"/>
    <s v="DK1_Large_PHL"/>
    <x v="24"/>
    <n v="19.174223581093901"/>
    <n v="5.32617321697054"/>
  </r>
  <r>
    <x v="0"/>
    <x v="33"/>
    <x v="0"/>
    <x v="0"/>
    <s v="DK1_Large_PHL"/>
    <x v="25"/>
    <n v="26.209507293842599"/>
    <n v="7.2804186927340497"/>
  </r>
  <r>
    <x v="0"/>
    <x v="33"/>
    <x v="0"/>
    <x v="0"/>
    <s v="DK1_Large_PHL"/>
    <x v="26"/>
    <n v="33.320887798496699"/>
    <n v="9.2558021662490795"/>
  </r>
  <r>
    <x v="0"/>
    <x v="33"/>
    <x v="0"/>
    <x v="0"/>
    <s v="DK1_Large_PHL"/>
    <x v="27"/>
    <n v="20.163995508318798"/>
    <n v="5.6011098634218799"/>
  </r>
  <r>
    <x v="0"/>
    <x v="33"/>
    <x v="0"/>
    <x v="0"/>
    <s v="DK1_MedSmall"/>
    <x v="1"/>
    <n v="35.989199999999997"/>
    <n v="9.9969999999999999"/>
  </r>
  <r>
    <x v="0"/>
    <x v="33"/>
    <x v="0"/>
    <x v="0"/>
    <s v="DK1_MedSmall"/>
    <x v="2"/>
    <n v="46.08"/>
    <n v="12.8"/>
  </r>
  <r>
    <x v="0"/>
    <x v="33"/>
    <x v="0"/>
    <x v="0"/>
    <s v="DK1_MedSmall"/>
    <x v="0"/>
    <n v="42.692399999999999"/>
    <n v="11.859"/>
  </r>
  <r>
    <x v="0"/>
    <x v="33"/>
    <x v="0"/>
    <x v="0"/>
    <s v="DK1_MedSmall"/>
    <x v="3"/>
    <n v="51.633543144067197"/>
    <n v="14.342650873352"/>
  </r>
  <r>
    <x v="0"/>
    <x v="33"/>
    <x v="0"/>
    <x v="0"/>
    <s v="DK1_MedSmall"/>
    <x v="4"/>
    <n v="6.3500778790389401"/>
    <n v="1.76391052195526"/>
  </r>
  <r>
    <x v="0"/>
    <x v="33"/>
    <x v="0"/>
    <x v="0"/>
    <s v="DK1_MedSmall"/>
    <x v="5"/>
    <n v="6.3500778790389401"/>
    <n v="1.76391052195526"/>
  </r>
  <r>
    <x v="0"/>
    <x v="33"/>
    <x v="0"/>
    <x v="0"/>
    <s v="DK1_MedSmall"/>
    <x v="6"/>
    <n v="29.476231795214598"/>
    <n v="8.1878421653373898"/>
  </r>
  <r>
    <x v="0"/>
    <x v="33"/>
    <x v="0"/>
    <x v="0"/>
    <s v="DK1_MedSmall"/>
    <x v="7"/>
    <n v="57.838935220261199"/>
    <n v="16.066370894517"/>
  </r>
  <r>
    <x v="0"/>
    <x v="33"/>
    <x v="0"/>
    <x v="0"/>
    <s v="DK1_MedSmall"/>
    <x v="8"/>
    <n v="57.838935220261199"/>
    <n v="16.066370894517"/>
  </r>
  <r>
    <x v="0"/>
    <x v="33"/>
    <x v="0"/>
    <x v="0"/>
    <s v="DK1_MedSmall"/>
    <x v="9"/>
    <n v="44.4505451532725"/>
    <n v="12.3473736536868"/>
  </r>
  <r>
    <x v="0"/>
    <x v="33"/>
    <x v="0"/>
    <x v="0"/>
    <s v="DK1_MedSmall"/>
    <x v="10"/>
    <n v="53.975661971830903"/>
    <n v="14.993239436619699"/>
  </r>
  <r>
    <x v="0"/>
    <x v="33"/>
    <x v="0"/>
    <x v="0"/>
    <s v="DK1_MedSmall"/>
    <x v="11"/>
    <n v="3.8806031483015802"/>
    <n v="1.07794531897266"/>
  </r>
  <r>
    <x v="0"/>
    <x v="33"/>
    <x v="0"/>
    <x v="0"/>
    <s v="DK1_MedSmall"/>
    <x v="12"/>
    <n v="9.7995028997514597E-2"/>
    <n v="2.72208413881985E-2"/>
  </r>
  <r>
    <x v="0"/>
    <x v="33"/>
    <x v="0"/>
    <x v="0"/>
    <s v="DK1_MedSmall"/>
    <x v="13"/>
    <n v="29.633696768848399"/>
    <n v="8.2315824357912195"/>
  </r>
  <r>
    <x v="0"/>
    <x v="33"/>
    <x v="0"/>
    <x v="0"/>
    <s v="DK1_MedSmall"/>
    <x v="14"/>
    <n v="29.633696768848399"/>
    <n v="8.2315824357912195"/>
  </r>
  <r>
    <x v="0"/>
    <x v="33"/>
    <x v="0"/>
    <x v="0"/>
    <s v="DK1_MedSmall"/>
    <x v="15"/>
    <n v="1.65807589063794"/>
    <n v="0.46057663628831802"/>
  </r>
  <r>
    <x v="0"/>
    <x v="33"/>
    <x v="0"/>
    <x v="0"/>
    <s v="DK1_MedSmall"/>
    <x v="16"/>
    <n v="6.4638978602906896"/>
    <n v="1.79552718341408"/>
  </r>
  <r>
    <x v="0"/>
    <x v="33"/>
    <x v="0"/>
    <x v="0"/>
    <s v="DK1_MedSmall"/>
    <x v="17"/>
    <n v="9.1244895875632395"/>
    <n v="2.5345804409897901"/>
  </r>
  <r>
    <x v="0"/>
    <x v="33"/>
    <x v="0"/>
    <x v="0"/>
    <s v="DK1_MedSmall"/>
    <x v="18"/>
    <n v="29.633696768848399"/>
    <n v="8.2315824357912195"/>
  </r>
  <r>
    <x v="0"/>
    <x v="33"/>
    <x v="0"/>
    <x v="0"/>
    <s v="DK1_MedSmall"/>
    <x v="19"/>
    <n v="8.1139884009941898"/>
    <n v="2.2538856669428302"/>
  </r>
  <r>
    <x v="0"/>
    <x v="33"/>
    <x v="0"/>
    <x v="0"/>
    <s v="DK1_MedSmall"/>
    <x v="20"/>
    <n v="22.109183021311601"/>
    <n v="6.1414397281420996"/>
  </r>
  <r>
    <x v="0"/>
    <x v="33"/>
    <x v="0"/>
    <x v="0"/>
    <s v="DK1_MedSmall"/>
    <x v="21"/>
    <n v="48.24"/>
    <n v="13.4"/>
  </r>
  <r>
    <x v="0"/>
    <x v="33"/>
    <x v="0"/>
    <x v="0"/>
    <s v="DK1_MedSmall"/>
    <x v="22"/>
    <n v="67.680000000000007"/>
    <n v="18.8"/>
  </r>
  <r>
    <x v="0"/>
    <x v="33"/>
    <x v="0"/>
    <x v="0"/>
    <s v="DK1_MedSmall"/>
    <x v="23"/>
    <n v="0.31515896120488701"/>
    <n v="8.7544155890246306E-2"/>
  </r>
  <r>
    <x v="0"/>
    <x v="33"/>
    <x v="0"/>
    <x v="0"/>
    <s v="DK1_MedSmall"/>
    <x v="24"/>
    <n v="19.174223581093901"/>
    <n v="5.32617321697054"/>
  </r>
  <r>
    <x v="0"/>
    <x v="33"/>
    <x v="0"/>
    <x v="0"/>
    <s v="DK1_MedSmall"/>
    <x v="25"/>
    <n v="26.209507293842599"/>
    <n v="7.2804186927340497"/>
  </r>
  <r>
    <x v="0"/>
    <x v="33"/>
    <x v="0"/>
    <x v="0"/>
    <s v="DK1_MedSmall"/>
    <x v="26"/>
    <n v="33.320887798496699"/>
    <n v="9.2558021662490795"/>
  </r>
  <r>
    <x v="0"/>
    <x v="33"/>
    <x v="0"/>
    <x v="0"/>
    <s v="DK1_MedSmall"/>
    <x v="27"/>
    <n v="20.163995508318798"/>
    <n v="5.6011098634218799"/>
  </r>
  <r>
    <x v="0"/>
    <x v="33"/>
    <x v="0"/>
    <x v="0"/>
    <s v="DK1_Medium"/>
    <x v="1"/>
    <n v="35.989199999999997"/>
    <n v="9.9969999999999999"/>
  </r>
  <r>
    <x v="0"/>
    <x v="33"/>
    <x v="0"/>
    <x v="0"/>
    <s v="DK1_Medium"/>
    <x v="2"/>
    <n v="46.08"/>
    <n v="12.8"/>
  </r>
  <r>
    <x v="0"/>
    <x v="33"/>
    <x v="0"/>
    <x v="0"/>
    <s v="DK1_Medium"/>
    <x v="0"/>
    <n v="42.692399999999999"/>
    <n v="11.859"/>
  </r>
  <r>
    <x v="0"/>
    <x v="33"/>
    <x v="0"/>
    <x v="0"/>
    <s v="DK1_Medium"/>
    <x v="3"/>
    <n v="51.633543144067197"/>
    <n v="14.342650873352"/>
  </r>
  <r>
    <x v="0"/>
    <x v="33"/>
    <x v="0"/>
    <x v="0"/>
    <s v="DK1_Medium"/>
    <x v="4"/>
    <n v="6.3500778790389401"/>
    <n v="1.76391052195526"/>
  </r>
  <r>
    <x v="0"/>
    <x v="33"/>
    <x v="0"/>
    <x v="0"/>
    <s v="DK1_Medium"/>
    <x v="5"/>
    <n v="6.3500778790389401"/>
    <n v="1.76391052195526"/>
  </r>
  <r>
    <x v="0"/>
    <x v="33"/>
    <x v="0"/>
    <x v="0"/>
    <s v="DK1_Medium"/>
    <x v="6"/>
    <n v="29.476231795214598"/>
    <n v="8.1878421653373898"/>
  </r>
  <r>
    <x v="0"/>
    <x v="33"/>
    <x v="0"/>
    <x v="0"/>
    <s v="DK1_Medium"/>
    <x v="7"/>
    <n v="57.838935220261199"/>
    <n v="16.066370894517"/>
  </r>
  <r>
    <x v="0"/>
    <x v="33"/>
    <x v="0"/>
    <x v="0"/>
    <s v="DK1_Medium"/>
    <x v="8"/>
    <n v="57.838935220261199"/>
    <n v="16.066370894517"/>
  </r>
  <r>
    <x v="0"/>
    <x v="33"/>
    <x v="0"/>
    <x v="0"/>
    <s v="DK1_Medium"/>
    <x v="9"/>
    <n v="44.4505451532725"/>
    <n v="12.3473736536868"/>
  </r>
  <r>
    <x v="0"/>
    <x v="33"/>
    <x v="0"/>
    <x v="0"/>
    <s v="DK1_Medium"/>
    <x v="10"/>
    <n v="53.975661971830903"/>
    <n v="14.993239436619699"/>
  </r>
  <r>
    <x v="0"/>
    <x v="33"/>
    <x v="0"/>
    <x v="0"/>
    <s v="DK1_Medium"/>
    <x v="11"/>
    <n v="3.8806031483015802"/>
    <n v="1.07794531897266"/>
  </r>
  <r>
    <x v="0"/>
    <x v="33"/>
    <x v="0"/>
    <x v="0"/>
    <s v="DK1_Medium"/>
    <x v="12"/>
    <n v="9.7995028997514597E-2"/>
    <n v="2.72208413881985E-2"/>
  </r>
  <r>
    <x v="0"/>
    <x v="33"/>
    <x v="0"/>
    <x v="0"/>
    <s v="DK1_Medium"/>
    <x v="13"/>
    <n v="29.633696768848399"/>
    <n v="8.2315824357912195"/>
  </r>
  <r>
    <x v="0"/>
    <x v="33"/>
    <x v="0"/>
    <x v="0"/>
    <s v="DK1_Medium"/>
    <x v="14"/>
    <n v="29.633696768848399"/>
    <n v="8.2315824357912195"/>
  </r>
  <r>
    <x v="0"/>
    <x v="33"/>
    <x v="0"/>
    <x v="0"/>
    <s v="DK1_Medium"/>
    <x v="15"/>
    <n v="1.65807589063794"/>
    <n v="0.46057663628831802"/>
  </r>
  <r>
    <x v="0"/>
    <x v="33"/>
    <x v="0"/>
    <x v="0"/>
    <s v="DK1_Medium"/>
    <x v="16"/>
    <n v="6.4638978602906896"/>
    <n v="1.79552718341408"/>
  </r>
  <r>
    <x v="0"/>
    <x v="33"/>
    <x v="0"/>
    <x v="0"/>
    <s v="DK1_Medium"/>
    <x v="17"/>
    <n v="9.1244895875632395"/>
    <n v="2.5345804409897901"/>
  </r>
  <r>
    <x v="0"/>
    <x v="33"/>
    <x v="0"/>
    <x v="0"/>
    <s v="DK1_Medium"/>
    <x v="18"/>
    <n v="29.633696768848399"/>
    <n v="8.2315824357912195"/>
  </r>
  <r>
    <x v="0"/>
    <x v="33"/>
    <x v="0"/>
    <x v="0"/>
    <s v="DK1_Medium"/>
    <x v="19"/>
    <n v="8.1139884009941898"/>
    <n v="2.2538856669428302"/>
  </r>
  <r>
    <x v="0"/>
    <x v="33"/>
    <x v="0"/>
    <x v="0"/>
    <s v="DK1_Medium"/>
    <x v="20"/>
    <n v="22.109183021311601"/>
    <n v="6.1414397281420996"/>
  </r>
  <r>
    <x v="0"/>
    <x v="33"/>
    <x v="0"/>
    <x v="0"/>
    <s v="DK1_Medium"/>
    <x v="21"/>
    <n v="48.24"/>
    <n v="13.4"/>
  </r>
  <r>
    <x v="0"/>
    <x v="33"/>
    <x v="0"/>
    <x v="0"/>
    <s v="DK1_Medium"/>
    <x v="22"/>
    <n v="67.680000000000007"/>
    <n v="18.8"/>
  </r>
  <r>
    <x v="0"/>
    <x v="33"/>
    <x v="0"/>
    <x v="0"/>
    <s v="DK1_Medium"/>
    <x v="23"/>
    <n v="0.31515896120488701"/>
    <n v="8.7544155890246306E-2"/>
  </r>
  <r>
    <x v="0"/>
    <x v="33"/>
    <x v="0"/>
    <x v="0"/>
    <s v="DK1_Medium"/>
    <x v="24"/>
    <n v="19.174223581093901"/>
    <n v="5.32617321697054"/>
  </r>
  <r>
    <x v="0"/>
    <x v="33"/>
    <x v="0"/>
    <x v="0"/>
    <s v="DK1_Medium"/>
    <x v="25"/>
    <n v="26.209507293842599"/>
    <n v="7.2804186927340497"/>
  </r>
  <r>
    <x v="0"/>
    <x v="33"/>
    <x v="0"/>
    <x v="0"/>
    <s v="DK1_Medium"/>
    <x v="26"/>
    <n v="33.320887798496699"/>
    <n v="9.2558021662490795"/>
  </r>
  <r>
    <x v="0"/>
    <x v="33"/>
    <x v="0"/>
    <x v="0"/>
    <s v="DK1_Medium"/>
    <x v="27"/>
    <n v="20.163995508318798"/>
    <n v="5.6011098634218799"/>
  </r>
  <r>
    <x v="0"/>
    <x v="33"/>
    <x v="0"/>
    <x v="0"/>
    <s v="DK1_NoDH"/>
    <x v="1"/>
    <n v="35.989199999999997"/>
    <n v="9.9969999999999999"/>
  </r>
  <r>
    <x v="0"/>
    <x v="33"/>
    <x v="0"/>
    <x v="0"/>
    <s v="DK1_NoDH"/>
    <x v="2"/>
    <n v="46.08"/>
    <n v="12.8"/>
  </r>
  <r>
    <x v="0"/>
    <x v="33"/>
    <x v="0"/>
    <x v="0"/>
    <s v="DK1_NoDH"/>
    <x v="0"/>
    <n v="42.692399999999999"/>
    <n v="11.859"/>
  </r>
  <r>
    <x v="0"/>
    <x v="33"/>
    <x v="0"/>
    <x v="0"/>
    <s v="DK1_NoDH"/>
    <x v="3"/>
    <n v="51.633543144067197"/>
    <n v="14.342650873352"/>
  </r>
  <r>
    <x v="0"/>
    <x v="33"/>
    <x v="0"/>
    <x v="0"/>
    <s v="DK1_NoDH"/>
    <x v="4"/>
    <n v="6.3500778790389401"/>
    <n v="1.76391052195526"/>
  </r>
  <r>
    <x v="0"/>
    <x v="33"/>
    <x v="0"/>
    <x v="0"/>
    <s v="DK1_NoDH"/>
    <x v="5"/>
    <n v="6.3500778790389401"/>
    <n v="1.76391052195526"/>
  </r>
  <r>
    <x v="0"/>
    <x v="33"/>
    <x v="0"/>
    <x v="0"/>
    <s v="DK1_NoDH"/>
    <x v="6"/>
    <n v="29.476231795214598"/>
    <n v="8.1878421653373898"/>
  </r>
  <r>
    <x v="0"/>
    <x v="33"/>
    <x v="0"/>
    <x v="0"/>
    <s v="DK1_NoDH"/>
    <x v="7"/>
    <n v="57.838935220261199"/>
    <n v="16.066370894517"/>
  </r>
  <r>
    <x v="0"/>
    <x v="33"/>
    <x v="0"/>
    <x v="0"/>
    <s v="DK1_NoDH"/>
    <x v="8"/>
    <n v="57.838935220261199"/>
    <n v="16.066370894517"/>
  </r>
  <r>
    <x v="0"/>
    <x v="33"/>
    <x v="0"/>
    <x v="0"/>
    <s v="DK1_NoDH"/>
    <x v="9"/>
    <n v="44.4505451532725"/>
    <n v="12.3473736536868"/>
  </r>
  <r>
    <x v="0"/>
    <x v="33"/>
    <x v="0"/>
    <x v="0"/>
    <s v="DK1_NoDH"/>
    <x v="10"/>
    <n v="53.975661971830903"/>
    <n v="14.993239436619699"/>
  </r>
  <r>
    <x v="0"/>
    <x v="33"/>
    <x v="0"/>
    <x v="0"/>
    <s v="DK1_NoDH"/>
    <x v="11"/>
    <n v="3.8806031483015802"/>
    <n v="1.07794531897266"/>
  </r>
  <r>
    <x v="0"/>
    <x v="33"/>
    <x v="0"/>
    <x v="0"/>
    <s v="DK1_NoDH"/>
    <x v="12"/>
    <n v="9.7995028997514597E-2"/>
    <n v="2.72208413881985E-2"/>
  </r>
  <r>
    <x v="0"/>
    <x v="33"/>
    <x v="0"/>
    <x v="0"/>
    <s v="DK1_NoDH"/>
    <x v="13"/>
    <n v="29.633696768848399"/>
    <n v="8.2315824357912195"/>
  </r>
  <r>
    <x v="0"/>
    <x v="33"/>
    <x v="0"/>
    <x v="0"/>
    <s v="DK1_NoDH"/>
    <x v="14"/>
    <n v="29.633696768848399"/>
    <n v="8.2315824357912195"/>
  </r>
  <r>
    <x v="0"/>
    <x v="33"/>
    <x v="0"/>
    <x v="0"/>
    <s v="DK1_NoDH"/>
    <x v="15"/>
    <n v="1.65807589063794"/>
    <n v="0.46057663628831802"/>
  </r>
  <r>
    <x v="0"/>
    <x v="33"/>
    <x v="0"/>
    <x v="0"/>
    <s v="DK1_NoDH"/>
    <x v="16"/>
    <n v="6.4638978602906896"/>
    <n v="1.79552718341408"/>
  </r>
  <r>
    <x v="0"/>
    <x v="33"/>
    <x v="0"/>
    <x v="0"/>
    <s v="DK1_NoDH"/>
    <x v="17"/>
    <n v="9.1244895875632395"/>
    <n v="2.5345804409897901"/>
  </r>
  <r>
    <x v="0"/>
    <x v="33"/>
    <x v="0"/>
    <x v="0"/>
    <s v="DK1_NoDH"/>
    <x v="18"/>
    <n v="29.633696768848399"/>
    <n v="8.2315824357912195"/>
  </r>
  <r>
    <x v="0"/>
    <x v="33"/>
    <x v="0"/>
    <x v="0"/>
    <s v="DK1_NoDH"/>
    <x v="19"/>
    <n v="8.1139884009941898"/>
    <n v="2.2538856669428302"/>
  </r>
  <r>
    <x v="0"/>
    <x v="33"/>
    <x v="0"/>
    <x v="0"/>
    <s v="DK1_NoDH"/>
    <x v="20"/>
    <n v="22.109183021311601"/>
    <n v="6.1414397281420996"/>
  </r>
  <r>
    <x v="0"/>
    <x v="33"/>
    <x v="0"/>
    <x v="0"/>
    <s v="DK1_NoDH"/>
    <x v="21"/>
    <n v="48.24"/>
    <n v="13.4"/>
  </r>
  <r>
    <x v="0"/>
    <x v="33"/>
    <x v="0"/>
    <x v="0"/>
    <s v="DK1_NoDH"/>
    <x v="22"/>
    <n v="67.680000000000007"/>
    <n v="18.8"/>
  </r>
  <r>
    <x v="0"/>
    <x v="33"/>
    <x v="0"/>
    <x v="0"/>
    <s v="DK1_NoDH"/>
    <x v="23"/>
    <n v="0.31515896120488701"/>
    <n v="8.7544155890246306E-2"/>
  </r>
  <r>
    <x v="0"/>
    <x v="33"/>
    <x v="0"/>
    <x v="0"/>
    <s v="DK1_NoDH"/>
    <x v="24"/>
    <n v="19.174223581093901"/>
    <n v="5.32617321697054"/>
  </r>
  <r>
    <x v="0"/>
    <x v="33"/>
    <x v="0"/>
    <x v="0"/>
    <s v="DK1_NoDH"/>
    <x v="25"/>
    <n v="26.209507293842599"/>
    <n v="7.2804186927340497"/>
  </r>
  <r>
    <x v="0"/>
    <x v="33"/>
    <x v="0"/>
    <x v="0"/>
    <s v="DK1_NoDH"/>
    <x v="26"/>
    <n v="33.320887798496699"/>
    <n v="9.2558021662490795"/>
  </r>
  <r>
    <x v="0"/>
    <x v="33"/>
    <x v="0"/>
    <x v="0"/>
    <s v="DK1_NoDH"/>
    <x v="27"/>
    <n v="20.163995508318798"/>
    <n v="5.6011098634218799"/>
  </r>
  <r>
    <x v="0"/>
    <x v="33"/>
    <x v="0"/>
    <x v="0"/>
    <s v="DK1_NoDH_PHH"/>
    <x v="1"/>
    <n v="35.989199999999997"/>
    <n v="9.9969999999999999"/>
  </r>
  <r>
    <x v="0"/>
    <x v="33"/>
    <x v="0"/>
    <x v="0"/>
    <s v="DK1_NoDH_PHH"/>
    <x v="2"/>
    <n v="46.08"/>
    <n v="12.8"/>
  </r>
  <r>
    <x v="0"/>
    <x v="33"/>
    <x v="0"/>
    <x v="0"/>
    <s v="DK1_NoDH_PHH"/>
    <x v="0"/>
    <n v="42.692399999999999"/>
    <n v="11.859"/>
  </r>
  <r>
    <x v="0"/>
    <x v="33"/>
    <x v="0"/>
    <x v="0"/>
    <s v="DK1_NoDH_PHH"/>
    <x v="3"/>
    <n v="51.633543144067197"/>
    <n v="14.342650873352"/>
  </r>
  <r>
    <x v="0"/>
    <x v="33"/>
    <x v="0"/>
    <x v="0"/>
    <s v="DK1_NoDH_PHH"/>
    <x v="4"/>
    <n v="6.3500778790389401"/>
    <n v="1.76391052195526"/>
  </r>
  <r>
    <x v="0"/>
    <x v="33"/>
    <x v="0"/>
    <x v="0"/>
    <s v="DK1_NoDH_PHH"/>
    <x v="5"/>
    <n v="6.3500778790389401"/>
    <n v="1.76391052195526"/>
  </r>
  <r>
    <x v="0"/>
    <x v="33"/>
    <x v="0"/>
    <x v="0"/>
    <s v="DK1_NoDH_PHH"/>
    <x v="6"/>
    <n v="29.476231795214598"/>
    <n v="8.1878421653373898"/>
  </r>
  <r>
    <x v="0"/>
    <x v="33"/>
    <x v="0"/>
    <x v="0"/>
    <s v="DK1_NoDH_PHH"/>
    <x v="7"/>
    <n v="57.838935220261199"/>
    <n v="16.066370894517"/>
  </r>
  <r>
    <x v="0"/>
    <x v="33"/>
    <x v="0"/>
    <x v="0"/>
    <s v="DK1_NoDH_PHH"/>
    <x v="8"/>
    <n v="57.838935220261199"/>
    <n v="16.066370894517"/>
  </r>
  <r>
    <x v="0"/>
    <x v="33"/>
    <x v="0"/>
    <x v="0"/>
    <s v="DK1_NoDH_PHH"/>
    <x v="9"/>
    <n v="44.4505451532725"/>
    <n v="12.3473736536868"/>
  </r>
  <r>
    <x v="0"/>
    <x v="33"/>
    <x v="0"/>
    <x v="0"/>
    <s v="DK1_NoDH_PHH"/>
    <x v="10"/>
    <n v="53.975661971830903"/>
    <n v="14.993239436619699"/>
  </r>
  <r>
    <x v="0"/>
    <x v="33"/>
    <x v="0"/>
    <x v="0"/>
    <s v="DK1_NoDH_PHH"/>
    <x v="11"/>
    <n v="3.8806031483015802"/>
    <n v="1.07794531897266"/>
  </r>
  <r>
    <x v="0"/>
    <x v="33"/>
    <x v="0"/>
    <x v="0"/>
    <s v="DK1_NoDH_PHH"/>
    <x v="12"/>
    <n v="9.7995028997514597E-2"/>
    <n v="2.72208413881985E-2"/>
  </r>
  <r>
    <x v="0"/>
    <x v="33"/>
    <x v="0"/>
    <x v="0"/>
    <s v="DK1_NoDH_PHH"/>
    <x v="13"/>
    <n v="29.633696768848399"/>
    <n v="8.2315824357912195"/>
  </r>
  <r>
    <x v="0"/>
    <x v="33"/>
    <x v="0"/>
    <x v="0"/>
    <s v="DK1_NoDH_PHH"/>
    <x v="14"/>
    <n v="29.633696768848399"/>
    <n v="8.2315824357912195"/>
  </r>
  <r>
    <x v="0"/>
    <x v="33"/>
    <x v="0"/>
    <x v="0"/>
    <s v="DK1_NoDH_PHH"/>
    <x v="15"/>
    <n v="1.65807589063794"/>
    <n v="0.46057663628831802"/>
  </r>
  <r>
    <x v="0"/>
    <x v="33"/>
    <x v="0"/>
    <x v="0"/>
    <s v="DK1_NoDH_PHH"/>
    <x v="16"/>
    <n v="6.4638978602906896"/>
    <n v="1.79552718341408"/>
  </r>
  <r>
    <x v="0"/>
    <x v="33"/>
    <x v="0"/>
    <x v="0"/>
    <s v="DK1_NoDH_PHH"/>
    <x v="17"/>
    <n v="9.1244895875632395"/>
    <n v="2.5345804409897901"/>
  </r>
  <r>
    <x v="0"/>
    <x v="33"/>
    <x v="0"/>
    <x v="0"/>
    <s v="DK1_NoDH_PHH"/>
    <x v="18"/>
    <n v="29.633696768848399"/>
    <n v="8.2315824357912195"/>
  </r>
  <r>
    <x v="0"/>
    <x v="33"/>
    <x v="0"/>
    <x v="0"/>
    <s v="DK1_NoDH_PHH"/>
    <x v="19"/>
    <n v="8.1139884009941898"/>
    <n v="2.2538856669428302"/>
  </r>
  <r>
    <x v="0"/>
    <x v="33"/>
    <x v="0"/>
    <x v="0"/>
    <s v="DK1_NoDH_PHH"/>
    <x v="20"/>
    <n v="22.109183021311601"/>
    <n v="6.1414397281420996"/>
  </r>
  <r>
    <x v="0"/>
    <x v="33"/>
    <x v="0"/>
    <x v="0"/>
    <s v="DK1_NoDH_PHH"/>
    <x v="21"/>
    <n v="48.24"/>
    <n v="13.4"/>
  </r>
  <r>
    <x v="0"/>
    <x v="33"/>
    <x v="0"/>
    <x v="0"/>
    <s v="DK1_NoDH_PHH"/>
    <x v="22"/>
    <n v="67.680000000000007"/>
    <n v="18.8"/>
  </r>
  <r>
    <x v="0"/>
    <x v="33"/>
    <x v="0"/>
    <x v="0"/>
    <s v="DK1_NoDH_PHH"/>
    <x v="23"/>
    <n v="0.31515896120488701"/>
    <n v="8.7544155890246306E-2"/>
  </r>
  <r>
    <x v="0"/>
    <x v="33"/>
    <x v="0"/>
    <x v="0"/>
    <s v="DK1_NoDH_PHH"/>
    <x v="24"/>
    <n v="19.174223581093901"/>
    <n v="5.32617321697054"/>
  </r>
  <r>
    <x v="0"/>
    <x v="33"/>
    <x v="0"/>
    <x v="0"/>
    <s v="DK1_NoDH_PHH"/>
    <x v="25"/>
    <n v="26.209507293842599"/>
    <n v="7.2804186927340497"/>
  </r>
  <r>
    <x v="0"/>
    <x v="33"/>
    <x v="0"/>
    <x v="0"/>
    <s v="DK1_NoDH_PHH"/>
    <x v="26"/>
    <n v="33.320887798496699"/>
    <n v="9.2558021662490795"/>
  </r>
  <r>
    <x v="0"/>
    <x v="33"/>
    <x v="0"/>
    <x v="0"/>
    <s v="DK1_NoDH_PHH"/>
    <x v="27"/>
    <n v="20.163995508318798"/>
    <n v="5.6011098634218799"/>
  </r>
  <r>
    <x v="0"/>
    <x v="33"/>
    <x v="0"/>
    <x v="0"/>
    <s v="DK1_NoDH_PHL"/>
    <x v="1"/>
    <n v="35.989199999999997"/>
    <n v="9.9969999999999999"/>
  </r>
  <r>
    <x v="0"/>
    <x v="33"/>
    <x v="0"/>
    <x v="0"/>
    <s v="DK1_NoDH_PHL"/>
    <x v="2"/>
    <n v="46.08"/>
    <n v="12.8"/>
  </r>
  <r>
    <x v="0"/>
    <x v="33"/>
    <x v="0"/>
    <x v="0"/>
    <s v="DK1_NoDH_PHL"/>
    <x v="0"/>
    <n v="42.692399999999999"/>
    <n v="11.859"/>
  </r>
  <r>
    <x v="0"/>
    <x v="33"/>
    <x v="0"/>
    <x v="0"/>
    <s v="DK1_NoDH_PHL"/>
    <x v="3"/>
    <n v="51.633543144067197"/>
    <n v="14.342650873352"/>
  </r>
  <r>
    <x v="0"/>
    <x v="33"/>
    <x v="0"/>
    <x v="0"/>
    <s v="DK1_NoDH_PHL"/>
    <x v="4"/>
    <n v="6.3500778790389401"/>
    <n v="1.76391052195526"/>
  </r>
  <r>
    <x v="0"/>
    <x v="33"/>
    <x v="0"/>
    <x v="0"/>
    <s v="DK1_NoDH_PHL"/>
    <x v="5"/>
    <n v="6.3500778790389401"/>
    <n v="1.76391052195526"/>
  </r>
  <r>
    <x v="0"/>
    <x v="33"/>
    <x v="0"/>
    <x v="0"/>
    <s v="DK1_NoDH_PHL"/>
    <x v="6"/>
    <n v="29.476231795214598"/>
    <n v="8.1878421653373898"/>
  </r>
  <r>
    <x v="0"/>
    <x v="33"/>
    <x v="0"/>
    <x v="0"/>
    <s v="DK1_NoDH_PHL"/>
    <x v="7"/>
    <n v="57.838935220261199"/>
    <n v="16.066370894517"/>
  </r>
  <r>
    <x v="0"/>
    <x v="33"/>
    <x v="0"/>
    <x v="0"/>
    <s v="DK1_NoDH_PHL"/>
    <x v="8"/>
    <n v="57.838935220261199"/>
    <n v="16.066370894517"/>
  </r>
  <r>
    <x v="0"/>
    <x v="33"/>
    <x v="0"/>
    <x v="0"/>
    <s v="DK1_NoDH_PHL"/>
    <x v="9"/>
    <n v="44.4505451532725"/>
    <n v="12.3473736536868"/>
  </r>
  <r>
    <x v="0"/>
    <x v="33"/>
    <x v="0"/>
    <x v="0"/>
    <s v="DK1_NoDH_PHL"/>
    <x v="10"/>
    <n v="53.975661971830903"/>
    <n v="14.993239436619699"/>
  </r>
  <r>
    <x v="0"/>
    <x v="33"/>
    <x v="0"/>
    <x v="0"/>
    <s v="DK1_NoDH_PHL"/>
    <x v="11"/>
    <n v="3.8806031483015802"/>
    <n v="1.07794531897266"/>
  </r>
  <r>
    <x v="0"/>
    <x v="33"/>
    <x v="0"/>
    <x v="0"/>
    <s v="DK1_NoDH_PHL"/>
    <x v="12"/>
    <n v="9.7995028997514597E-2"/>
    <n v="2.72208413881985E-2"/>
  </r>
  <r>
    <x v="0"/>
    <x v="33"/>
    <x v="0"/>
    <x v="0"/>
    <s v="DK1_NoDH_PHL"/>
    <x v="13"/>
    <n v="29.633696768848399"/>
    <n v="8.2315824357912195"/>
  </r>
  <r>
    <x v="0"/>
    <x v="33"/>
    <x v="0"/>
    <x v="0"/>
    <s v="DK1_NoDH_PHL"/>
    <x v="14"/>
    <n v="29.633696768848399"/>
    <n v="8.2315824357912195"/>
  </r>
  <r>
    <x v="0"/>
    <x v="33"/>
    <x v="0"/>
    <x v="0"/>
    <s v="DK1_NoDH_PHL"/>
    <x v="15"/>
    <n v="1.65807589063794"/>
    <n v="0.46057663628831802"/>
  </r>
  <r>
    <x v="0"/>
    <x v="33"/>
    <x v="0"/>
    <x v="0"/>
    <s v="DK1_NoDH_PHL"/>
    <x v="16"/>
    <n v="6.4638978602906896"/>
    <n v="1.79552718341408"/>
  </r>
  <r>
    <x v="0"/>
    <x v="33"/>
    <x v="0"/>
    <x v="0"/>
    <s v="DK1_NoDH_PHL"/>
    <x v="17"/>
    <n v="9.1244895875632395"/>
    <n v="2.5345804409897901"/>
  </r>
  <r>
    <x v="0"/>
    <x v="33"/>
    <x v="0"/>
    <x v="0"/>
    <s v="DK1_NoDH_PHL"/>
    <x v="18"/>
    <n v="29.633696768848399"/>
    <n v="8.2315824357912195"/>
  </r>
  <r>
    <x v="0"/>
    <x v="33"/>
    <x v="0"/>
    <x v="0"/>
    <s v="DK1_NoDH_PHL"/>
    <x v="19"/>
    <n v="8.1139884009941898"/>
    <n v="2.2538856669428302"/>
  </r>
  <r>
    <x v="0"/>
    <x v="33"/>
    <x v="0"/>
    <x v="0"/>
    <s v="DK1_NoDH_PHL"/>
    <x v="20"/>
    <n v="22.109183021311601"/>
    <n v="6.1414397281420996"/>
  </r>
  <r>
    <x v="0"/>
    <x v="33"/>
    <x v="0"/>
    <x v="0"/>
    <s v="DK1_NoDH_PHL"/>
    <x v="21"/>
    <n v="48.24"/>
    <n v="13.4"/>
  </r>
  <r>
    <x v="0"/>
    <x v="33"/>
    <x v="0"/>
    <x v="0"/>
    <s v="DK1_NoDH_PHL"/>
    <x v="22"/>
    <n v="67.680000000000007"/>
    <n v="18.8"/>
  </r>
  <r>
    <x v="0"/>
    <x v="33"/>
    <x v="0"/>
    <x v="0"/>
    <s v="DK1_NoDH_PHL"/>
    <x v="23"/>
    <n v="0.31515896120488701"/>
    <n v="8.7544155890246306E-2"/>
  </r>
  <r>
    <x v="0"/>
    <x v="33"/>
    <x v="0"/>
    <x v="0"/>
    <s v="DK1_NoDH_PHL"/>
    <x v="24"/>
    <n v="19.174223581093901"/>
    <n v="5.32617321697054"/>
  </r>
  <r>
    <x v="0"/>
    <x v="33"/>
    <x v="0"/>
    <x v="0"/>
    <s v="DK1_NoDH_PHL"/>
    <x v="25"/>
    <n v="26.209507293842599"/>
    <n v="7.2804186927340497"/>
  </r>
  <r>
    <x v="0"/>
    <x v="33"/>
    <x v="0"/>
    <x v="0"/>
    <s v="DK1_NoDH_PHL"/>
    <x v="26"/>
    <n v="33.320887798496699"/>
    <n v="9.2558021662490795"/>
  </r>
  <r>
    <x v="0"/>
    <x v="33"/>
    <x v="0"/>
    <x v="0"/>
    <s v="DK1_NoDH_PHL"/>
    <x v="27"/>
    <n v="20.163995508318798"/>
    <n v="5.6011098634218799"/>
  </r>
  <r>
    <x v="0"/>
    <x v="33"/>
    <x v="0"/>
    <x v="0"/>
    <s v="DK1_Offshore"/>
    <x v="1"/>
    <n v="35.989199999999997"/>
    <n v="9.9969999999999999"/>
  </r>
  <r>
    <x v="0"/>
    <x v="33"/>
    <x v="0"/>
    <x v="0"/>
    <s v="DK1_Offshore"/>
    <x v="2"/>
    <n v="46.08"/>
    <n v="12.8"/>
  </r>
  <r>
    <x v="0"/>
    <x v="33"/>
    <x v="0"/>
    <x v="0"/>
    <s v="DK1_Offshore"/>
    <x v="0"/>
    <n v="42.692399999999999"/>
    <n v="11.859"/>
  </r>
  <r>
    <x v="0"/>
    <x v="33"/>
    <x v="0"/>
    <x v="0"/>
    <s v="DK1_Offshore"/>
    <x v="3"/>
    <n v="51.633543144067197"/>
    <n v="14.342650873352"/>
  </r>
  <r>
    <x v="0"/>
    <x v="33"/>
    <x v="0"/>
    <x v="0"/>
    <s v="DK1_Offshore"/>
    <x v="4"/>
    <n v="6.3500778790389401"/>
    <n v="1.76391052195526"/>
  </r>
  <r>
    <x v="0"/>
    <x v="33"/>
    <x v="0"/>
    <x v="0"/>
    <s v="DK1_Offshore"/>
    <x v="5"/>
    <n v="6.3500778790389401"/>
    <n v="1.76391052195526"/>
  </r>
  <r>
    <x v="0"/>
    <x v="33"/>
    <x v="0"/>
    <x v="0"/>
    <s v="DK1_Offshore"/>
    <x v="6"/>
    <n v="29.476231795214598"/>
    <n v="8.1878421653373898"/>
  </r>
  <r>
    <x v="0"/>
    <x v="33"/>
    <x v="0"/>
    <x v="0"/>
    <s v="DK1_Offshore"/>
    <x v="7"/>
    <n v="57.838935220261199"/>
    <n v="16.066370894517"/>
  </r>
  <r>
    <x v="0"/>
    <x v="33"/>
    <x v="0"/>
    <x v="0"/>
    <s v="DK1_Offshore"/>
    <x v="8"/>
    <n v="57.838935220261199"/>
    <n v="16.066370894517"/>
  </r>
  <r>
    <x v="0"/>
    <x v="33"/>
    <x v="0"/>
    <x v="0"/>
    <s v="DK1_Offshore"/>
    <x v="9"/>
    <n v="44.4505451532725"/>
    <n v="12.3473736536868"/>
  </r>
  <r>
    <x v="0"/>
    <x v="33"/>
    <x v="0"/>
    <x v="0"/>
    <s v="DK1_Offshore"/>
    <x v="10"/>
    <n v="53.975661971830903"/>
    <n v="14.993239436619699"/>
  </r>
  <r>
    <x v="0"/>
    <x v="33"/>
    <x v="0"/>
    <x v="0"/>
    <s v="DK1_Offshore"/>
    <x v="11"/>
    <n v="3.8806031483015802"/>
    <n v="1.07794531897266"/>
  </r>
  <r>
    <x v="0"/>
    <x v="33"/>
    <x v="0"/>
    <x v="0"/>
    <s v="DK1_Offshore"/>
    <x v="12"/>
    <n v="9.7995028997514597E-2"/>
    <n v="2.72208413881985E-2"/>
  </r>
  <r>
    <x v="0"/>
    <x v="33"/>
    <x v="0"/>
    <x v="0"/>
    <s v="DK1_Offshore"/>
    <x v="13"/>
    <n v="29.633696768848399"/>
    <n v="8.2315824357912195"/>
  </r>
  <r>
    <x v="0"/>
    <x v="33"/>
    <x v="0"/>
    <x v="0"/>
    <s v="DK1_Offshore"/>
    <x v="14"/>
    <n v="29.633696768848399"/>
    <n v="8.2315824357912195"/>
  </r>
  <r>
    <x v="0"/>
    <x v="33"/>
    <x v="0"/>
    <x v="0"/>
    <s v="DK1_Offshore"/>
    <x v="15"/>
    <n v="1.65807589063794"/>
    <n v="0.46057663628831802"/>
  </r>
  <r>
    <x v="0"/>
    <x v="33"/>
    <x v="0"/>
    <x v="0"/>
    <s v="DK1_Offshore"/>
    <x v="16"/>
    <n v="6.4638978602906896"/>
    <n v="1.79552718341408"/>
  </r>
  <r>
    <x v="0"/>
    <x v="33"/>
    <x v="0"/>
    <x v="0"/>
    <s v="DK1_Offshore"/>
    <x v="17"/>
    <n v="9.1244895875632395"/>
    <n v="2.5345804409897901"/>
  </r>
  <r>
    <x v="0"/>
    <x v="33"/>
    <x v="0"/>
    <x v="0"/>
    <s v="DK1_Offshore"/>
    <x v="18"/>
    <n v="29.633696768848399"/>
    <n v="8.2315824357912195"/>
  </r>
  <r>
    <x v="0"/>
    <x v="33"/>
    <x v="0"/>
    <x v="0"/>
    <s v="DK1_Offshore"/>
    <x v="19"/>
    <n v="8.1139884009941898"/>
    <n v="2.2538856669428302"/>
  </r>
  <r>
    <x v="0"/>
    <x v="33"/>
    <x v="0"/>
    <x v="0"/>
    <s v="DK1_Offshore"/>
    <x v="20"/>
    <n v="22.109183021311601"/>
    <n v="6.1414397281420996"/>
  </r>
  <r>
    <x v="0"/>
    <x v="33"/>
    <x v="0"/>
    <x v="0"/>
    <s v="DK1_Offshore"/>
    <x v="21"/>
    <n v="48.24"/>
    <n v="13.4"/>
  </r>
  <r>
    <x v="0"/>
    <x v="33"/>
    <x v="0"/>
    <x v="0"/>
    <s v="DK1_Offshore"/>
    <x v="22"/>
    <n v="67.680000000000007"/>
    <n v="18.8"/>
  </r>
  <r>
    <x v="0"/>
    <x v="33"/>
    <x v="0"/>
    <x v="0"/>
    <s v="DK1_Offshore"/>
    <x v="23"/>
    <n v="0.31515896120488701"/>
    <n v="8.7544155890246306E-2"/>
  </r>
  <r>
    <x v="0"/>
    <x v="33"/>
    <x v="0"/>
    <x v="0"/>
    <s v="DK1_Offshore"/>
    <x v="24"/>
    <n v="19.174223581093901"/>
    <n v="5.32617321697054"/>
  </r>
  <r>
    <x v="0"/>
    <x v="33"/>
    <x v="0"/>
    <x v="0"/>
    <s v="DK1_Offshore"/>
    <x v="25"/>
    <n v="26.209507293842599"/>
    <n v="7.2804186927340497"/>
  </r>
  <r>
    <x v="0"/>
    <x v="33"/>
    <x v="0"/>
    <x v="0"/>
    <s v="DK1_Offshore"/>
    <x v="26"/>
    <n v="33.320887798496699"/>
    <n v="9.2558021662490795"/>
  </r>
  <r>
    <x v="0"/>
    <x v="33"/>
    <x v="0"/>
    <x v="0"/>
    <s v="DK1_Offshore"/>
    <x v="27"/>
    <n v="20.163995508318798"/>
    <n v="5.6011098634218799"/>
  </r>
  <r>
    <x v="0"/>
    <x v="33"/>
    <x v="0"/>
    <x v="0"/>
    <s v="DK1_Rural"/>
    <x v="1"/>
    <n v="35.989199999999997"/>
    <n v="9.9969999999999999"/>
  </r>
  <r>
    <x v="0"/>
    <x v="33"/>
    <x v="0"/>
    <x v="0"/>
    <s v="DK1_Rural"/>
    <x v="2"/>
    <n v="46.08"/>
    <n v="12.8"/>
  </r>
  <r>
    <x v="0"/>
    <x v="33"/>
    <x v="0"/>
    <x v="0"/>
    <s v="DK1_Rural"/>
    <x v="0"/>
    <n v="42.692399999999999"/>
    <n v="11.859"/>
  </r>
  <r>
    <x v="0"/>
    <x v="33"/>
    <x v="0"/>
    <x v="0"/>
    <s v="DK1_Rural"/>
    <x v="3"/>
    <n v="51.633543144067197"/>
    <n v="14.342650873352"/>
  </r>
  <r>
    <x v="0"/>
    <x v="33"/>
    <x v="0"/>
    <x v="0"/>
    <s v="DK1_Rural"/>
    <x v="4"/>
    <n v="6.3500778790389401"/>
    <n v="1.76391052195526"/>
  </r>
  <r>
    <x v="0"/>
    <x v="33"/>
    <x v="0"/>
    <x v="0"/>
    <s v="DK1_Rural"/>
    <x v="5"/>
    <n v="6.3500778790389401"/>
    <n v="1.76391052195526"/>
  </r>
  <r>
    <x v="0"/>
    <x v="33"/>
    <x v="0"/>
    <x v="0"/>
    <s v="DK1_Rural"/>
    <x v="6"/>
    <n v="29.476231795214598"/>
    <n v="8.1878421653373898"/>
  </r>
  <r>
    <x v="0"/>
    <x v="33"/>
    <x v="0"/>
    <x v="0"/>
    <s v="DK1_Rural"/>
    <x v="7"/>
    <n v="57.838935220261199"/>
    <n v="16.066370894517"/>
  </r>
  <r>
    <x v="0"/>
    <x v="33"/>
    <x v="0"/>
    <x v="0"/>
    <s v="DK1_Rural"/>
    <x v="8"/>
    <n v="57.838935220261199"/>
    <n v="16.066370894517"/>
  </r>
  <r>
    <x v="0"/>
    <x v="33"/>
    <x v="0"/>
    <x v="0"/>
    <s v="DK1_Rural"/>
    <x v="9"/>
    <n v="44.4505451532725"/>
    <n v="12.3473736536868"/>
  </r>
  <r>
    <x v="0"/>
    <x v="33"/>
    <x v="0"/>
    <x v="0"/>
    <s v="DK1_Rural"/>
    <x v="10"/>
    <n v="53.975661971830903"/>
    <n v="14.993239436619699"/>
  </r>
  <r>
    <x v="0"/>
    <x v="33"/>
    <x v="0"/>
    <x v="0"/>
    <s v="DK1_Rural"/>
    <x v="11"/>
    <n v="3.8806031483015802"/>
    <n v="1.07794531897266"/>
  </r>
  <r>
    <x v="0"/>
    <x v="33"/>
    <x v="0"/>
    <x v="0"/>
    <s v="DK1_Rural"/>
    <x v="12"/>
    <n v="9.7995028997514597E-2"/>
    <n v="2.72208413881985E-2"/>
  </r>
  <r>
    <x v="0"/>
    <x v="33"/>
    <x v="0"/>
    <x v="0"/>
    <s v="DK1_Rural"/>
    <x v="13"/>
    <n v="29.633696768848399"/>
    <n v="8.2315824357912195"/>
  </r>
  <r>
    <x v="0"/>
    <x v="33"/>
    <x v="0"/>
    <x v="0"/>
    <s v="DK1_Rural"/>
    <x v="14"/>
    <n v="29.633696768848399"/>
    <n v="8.2315824357912195"/>
  </r>
  <r>
    <x v="0"/>
    <x v="33"/>
    <x v="0"/>
    <x v="0"/>
    <s v="DK1_Rural"/>
    <x v="15"/>
    <n v="1.65807589063794"/>
    <n v="0.46057663628831802"/>
  </r>
  <r>
    <x v="0"/>
    <x v="33"/>
    <x v="0"/>
    <x v="0"/>
    <s v="DK1_Rural"/>
    <x v="16"/>
    <n v="6.4638978602906896"/>
    <n v="1.79552718341408"/>
  </r>
  <r>
    <x v="0"/>
    <x v="33"/>
    <x v="0"/>
    <x v="0"/>
    <s v="DK1_Rural"/>
    <x v="17"/>
    <n v="9.1244895875632395"/>
    <n v="2.5345804409897901"/>
  </r>
  <r>
    <x v="0"/>
    <x v="33"/>
    <x v="0"/>
    <x v="0"/>
    <s v="DK1_Rural"/>
    <x v="18"/>
    <n v="29.633696768848399"/>
    <n v="8.2315824357912195"/>
  </r>
  <r>
    <x v="0"/>
    <x v="33"/>
    <x v="0"/>
    <x v="0"/>
    <s v="DK1_Rural"/>
    <x v="19"/>
    <n v="8.1139884009941898"/>
    <n v="2.2538856669428302"/>
  </r>
  <r>
    <x v="0"/>
    <x v="33"/>
    <x v="0"/>
    <x v="0"/>
    <s v="DK1_Rural"/>
    <x v="20"/>
    <n v="22.109183021311601"/>
    <n v="6.1414397281420996"/>
  </r>
  <r>
    <x v="0"/>
    <x v="33"/>
    <x v="0"/>
    <x v="0"/>
    <s v="DK1_Rural"/>
    <x v="21"/>
    <n v="48.24"/>
    <n v="13.4"/>
  </r>
  <r>
    <x v="0"/>
    <x v="33"/>
    <x v="0"/>
    <x v="0"/>
    <s v="DK1_Rural"/>
    <x v="22"/>
    <n v="67.680000000000007"/>
    <n v="18.8"/>
  </r>
  <r>
    <x v="0"/>
    <x v="33"/>
    <x v="0"/>
    <x v="0"/>
    <s v="DK1_Rural"/>
    <x v="23"/>
    <n v="0.31515896120488701"/>
    <n v="8.7544155890246306E-2"/>
  </r>
  <r>
    <x v="0"/>
    <x v="33"/>
    <x v="0"/>
    <x v="0"/>
    <s v="DK1_Rural"/>
    <x v="24"/>
    <n v="19.174223581093901"/>
    <n v="5.32617321697054"/>
  </r>
  <r>
    <x v="0"/>
    <x v="33"/>
    <x v="0"/>
    <x v="0"/>
    <s v="DK1_Rural"/>
    <x v="25"/>
    <n v="26.209507293842599"/>
    <n v="7.2804186927340497"/>
  </r>
  <r>
    <x v="0"/>
    <x v="33"/>
    <x v="0"/>
    <x v="0"/>
    <s v="DK1_Rural"/>
    <x v="26"/>
    <n v="33.320887798496699"/>
    <n v="9.2558021662490795"/>
  </r>
  <r>
    <x v="0"/>
    <x v="33"/>
    <x v="0"/>
    <x v="0"/>
    <s v="DK1_Rural"/>
    <x v="27"/>
    <n v="20.163995508318798"/>
    <n v="5.6011098634218799"/>
  </r>
  <r>
    <x v="0"/>
    <x v="33"/>
    <x v="0"/>
    <x v="0"/>
    <s v="DK1_Small"/>
    <x v="1"/>
    <n v="35.989199999999997"/>
    <n v="9.9969999999999999"/>
  </r>
  <r>
    <x v="0"/>
    <x v="33"/>
    <x v="0"/>
    <x v="0"/>
    <s v="DK1_Small"/>
    <x v="2"/>
    <n v="46.08"/>
    <n v="12.8"/>
  </r>
  <r>
    <x v="0"/>
    <x v="33"/>
    <x v="0"/>
    <x v="0"/>
    <s v="DK1_Small"/>
    <x v="0"/>
    <n v="42.692399999999999"/>
    <n v="11.859"/>
  </r>
  <r>
    <x v="0"/>
    <x v="33"/>
    <x v="0"/>
    <x v="0"/>
    <s v="DK1_Small"/>
    <x v="3"/>
    <n v="51.633543144067197"/>
    <n v="14.342650873352"/>
  </r>
  <r>
    <x v="0"/>
    <x v="33"/>
    <x v="0"/>
    <x v="0"/>
    <s v="DK1_Small"/>
    <x v="4"/>
    <n v="6.3500778790389401"/>
    <n v="1.76391052195526"/>
  </r>
  <r>
    <x v="0"/>
    <x v="33"/>
    <x v="0"/>
    <x v="0"/>
    <s v="DK1_Small"/>
    <x v="5"/>
    <n v="6.3500778790389401"/>
    <n v="1.76391052195526"/>
  </r>
  <r>
    <x v="0"/>
    <x v="33"/>
    <x v="0"/>
    <x v="0"/>
    <s v="DK1_Small"/>
    <x v="6"/>
    <n v="29.476231795214598"/>
    <n v="8.1878421653373898"/>
  </r>
  <r>
    <x v="0"/>
    <x v="33"/>
    <x v="0"/>
    <x v="0"/>
    <s v="DK1_Small"/>
    <x v="7"/>
    <n v="57.838935220261199"/>
    <n v="16.066370894517"/>
  </r>
  <r>
    <x v="0"/>
    <x v="33"/>
    <x v="0"/>
    <x v="0"/>
    <s v="DK1_Small"/>
    <x v="8"/>
    <n v="57.838935220261199"/>
    <n v="16.066370894517"/>
  </r>
  <r>
    <x v="0"/>
    <x v="33"/>
    <x v="0"/>
    <x v="0"/>
    <s v="DK1_Small"/>
    <x v="9"/>
    <n v="44.4505451532725"/>
    <n v="12.3473736536868"/>
  </r>
  <r>
    <x v="0"/>
    <x v="33"/>
    <x v="0"/>
    <x v="0"/>
    <s v="DK1_Small"/>
    <x v="10"/>
    <n v="53.975661971830903"/>
    <n v="14.993239436619699"/>
  </r>
  <r>
    <x v="0"/>
    <x v="33"/>
    <x v="0"/>
    <x v="0"/>
    <s v="DK1_Small"/>
    <x v="11"/>
    <n v="3.8806031483015802"/>
    <n v="1.07794531897266"/>
  </r>
  <r>
    <x v="0"/>
    <x v="33"/>
    <x v="0"/>
    <x v="0"/>
    <s v="DK1_Small"/>
    <x v="12"/>
    <n v="9.7995028997514597E-2"/>
    <n v="2.72208413881985E-2"/>
  </r>
  <r>
    <x v="0"/>
    <x v="33"/>
    <x v="0"/>
    <x v="0"/>
    <s v="DK1_Small"/>
    <x v="13"/>
    <n v="29.633696768848399"/>
    <n v="8.2315824357912195"/>
  </r>
  <r>
    <x v="0"/>
    <x v="33"/>
    <x v="0"/>
    <x v="0"/>
    <s v="DK1_Small"/>
    <x v="14"/>
    <n v="29.633696768848399"/>
    <n v="8.2315824357912195"/>
  </r>
  <r>
    <x v="0"/>
    <x v="33"/>
    <x v="0"/>
    <x v="0"/>
    <s v="DK1_Small"/>
    <x v="15"/>
    <n v="1.65807589063794"/>
    <n v="0.46057663628831802"/>
  </r>
  <r>
    <x v="0"/>
    <x v="33"/>
    <x v="0"/>
    <x v="0"/>
    <s v="DK1_Small"/>
    <x v="16"/>
    <n v="6.4638978602906896"/>
    <n v="1.79552718341408"/>
  </r>
  <r>
    <x v="0"/>
    <x v="33"/>
    <x v="0"/>
    <x v="0"/>
    <s v="DK1_Small"/>
    <x v="17"/>
    <n v="9.1244895875632395"/>
    <n v="2.5345804409897901"/>
  </r>
  <r>
    <x v="0"/>
    <x v="33"/>
    <x v="0"/>
    <x v="0"/>
    <s v="DK1_Small"/>
    <x v="18"/>
    <n v="29.633696768848399"/>
    <n v="8.2315824357912195"/>
  </r>
  <r>
    <x v="0"/>
    <x v="33"/>
    <x v="0"/>
    <x v="0"/>
    <s v="DK1_Small"/>
    <x v="19"/>
    <n v="8.1139884009941898"/>
    <n v="2.2538856669428302"/>
  </r>
  <r>
    <x v="0"/>
    <x v="33"/>
    <x v="0"/>
    <x v="0"/>
    <s v="DK1_Small"/>
    <x v="20"/>
    <n v="22.109183021311601"/>
    <n v="6.1414397281420996"/>
  </r>
  <r>
    <x v="0"/>
    <x v="33"/>
    <x v="0"/>
    <x v="0"/>
    <s v="DK1_Small"/>
    <x v="21"/>
    <n v="48.24"/>
    <n v="13.4"/>
  </r>
  <r>
    <x v="0"/>
    <x v="33"/>
    <x v="0"/>
    <x v="0"/>
    <s v="DK1_Small"/>
    <x v="22"/>
    <n v="67.680000000000007"/>
    <n v="18.8"/>
  </r>
  <r>
    <x v="0"/>
    <x v="33"/>
    <x v="0"/>
    <x v="0"/>
    <s v="DK1_Small"/>
    <x v="23"/>
    <n v="0.31515896120488701"/>
    <n v="8.7544155890246306E-2"/>
  </r>
  <r>
    <x v="0"/>
    <x v="33"/>
    <x v="0"/>
    <x v="0"/>
    <s v="DK1_Small"/>
    <x v="24"/>
    <n v="19.174223581093901"/>
    <n v="5.32617321697054"/>
  </r>
  <r>
    <x v="0"/>
    <x v="33"/>
    <x v="0"/>
    <x v="0"/>
    <s v="DK1_Small"/>
    <x v="25"/>
    <n v="26.209507293842599"/>
    <n v="7.2804186927340497"/>
  </r>
  <r>
    <x v="0"/>
    <x v="33"/>
    <x v="0"/>
    <x v="0"/>
    <s v="DK1_Small"/>
    <x v="26"/>
    <n v="33.320887798496699"/>
    <n v="9.2558021662490795"/>
  </r>
  <r>
    <x v="0"/>
    <x v="33"/>
    <x v="0"/>
    <x v="0"/>
    <s v="DK1_Small"/>
    <x v="27"/>
    <n v="20.163995508318798"/>
    <n v="5.6011098634218799"/>
  </r>
  <r>
    <x v="0"/>
    <x v="33"/>
    <x v="0"/>
    <x v="1"/>
    <s v="DK2_Large"/>
    <x v="1"/>
    <n v="35.989199999999997"/>
    <n v="9.9969999999999999"/>
  </r>
  <r>
    <x v="0"/>
    <x v="33"/>
    <x v="0"/>
    <x v="1"/>
    <s v="DK2_Large"/>
    <x v="2"/>
    <n v="46.08"/>
    <n v="12.8"/>
  </r>
  <r>
    <x v="0"/>
    <x v="33"/>
    <x v="0"/>
    <x v="1"/>
    <s v="DK2_Large"/>
    <x v="0"/>
    <n v="42.692399999999999"/>
    <n v="11.859"/>
  </r>
  <r>
    <x v="0"/>
    <x v="33"/>
    <x v="0"/>
    <x v="1"/>
    <s v="DK2_Large"/>
    <x v="3"/>
    <n v="51.633543144067197"/>
    <n v="14.342650873352"/>
  </r>
  <r>
    <x v="0"/>
    <x v="33"/>
    <x v="0"/>
    <x v="1"/>
    <s v="DK2_Large"/>
    <x v="4"/>
    <n v="6.3500778790389401"/>
    <n v="1.76391052195526"/>
  </r>
  <r>
    <x v="0"/>
    <x v="33"/>
    <x v="0"/>
    <x v="1"/>
    <s v="DK2_Large"/>
    <x v="5"/>
    <n v="6.3500778790389401"/>
    <n v="1.76391052195526"/>
  </r>
  <r>
    <x v="0"/>
    <x v="33"/>
    <x v="0"/>
    <x v="1"/>
    <s v="DK2_Large"/>
    <x v="6"/>
    <n v="29.476231795214598"/>
    <n v="8.1878421653373898"/>
  </r>
  <r>
    <x v="0"/>
    <x v="33"/>
    <x v="0"/>
    <x v="1"/>
    <s v="DK2_Large"/>
    <x v="7"/>
    <n v="57.838935220261199"/>
    <n v="16.066370894517"/>
  </r>
  <r>
    <x v="0"/>
    <x v="33"/>
    <x v="0"/>
    <x v="1"/>
    <s v="DK2_Large"/>
    <x v="8"/>
    <n v="57.838935220261199"/>
    <n v="16.066370894517"/>
  </r>
  <r>
    <x v="0"/>
    <x v="33"/>
    <x v="0"/>
    <x v="1"/>
    <s v="DK2_Large"/>
    <x v="9"/>
    <n v="44.4505451532725"/>
    <n v="12.3473736536868"/>
  </r>
  <r>
    <x v="0"/>
    <x v="33"/>
    <x v="0"/>
    <x v="1"/>
    <s v="DK2_Large"/>
    <x v="10"/>
    <n v="53.975661971830903"/>
    <n v="14.993239436619699"/>
  </r>
  <r>
    <x v="0"/>
    <x v="33"/>
    <x v="0"/>
    <x v="1"/>
    <s v="DK2_Large"/>
    <x v="11"/>
    <n v="3.8806031483015802"/>
    <n v="1.07794531897266"/>
  </r>
  <r>
    <x v="0"/>
    <x v="33"/>
    <x v="0"/>
    <x v="1"/>
    <s v="DK2_Large"/>
    <x v="12"/>
    <n v="9.7995028997514597E-2"/>
    <n v="2.72208413881985E-2"/>
  </r>
  <r>
    <x v="0"/>
    <x v="33"/>
    <x v="0"/>
    <x v="1"/>
    <s v="DK2_Large"/>
    <x v="13"/>
    <n v="29.633696768848399"/>
    <n v="8.2315824357912195"/>
  </r>
  <r>
    <x v="0"/>
    <x v="33"/>
    <x v="0"/>
    <x v="1"/>
    <s v="DK2_Large"/>
    <x v="14"/>
    <n v="29.633696768848399"/>
    <n v="8.2315824357912195"/>
  </r>
  <r>
    <x v="0"/>
    <x v="33"/>
    <x v="0"/>
    <x v="1"/>
    <s v="DK2_Large"/>
    <x v="15"/>
    <n v="1.65807589063794"/>
    <n v="0.46057663628831802"/>
  </r>
  <r>
    <x v="0"/>
    <x v="33"/>
    <x v="0"/>
    <x v="1"/>
    <s v="DK2_Large"/>
    <x v="16"/>
    <n v="6.4638978602906896"/>
    <n v="1.79552718341408"/>
  </r>
  <r>
    <x v="0"/>
    <x v="33"/>
    <x v="0"/>
    <x v="1"/>
    <s v="DK2_Large"/>
    <x v="17"/>
    <n v="9.1244895875632395"/>
    <n v="2.5345804409897901"/>
  </r>
  <r>
    <x v="0"/>
    <x v="33"/>
    <x v="0"/>
    <x v="1"/>
    <s v="DK2_Large"/>
    <x v="18"/>
    <n v="29.633696768848399"/>
    <n v="8.2315824357912195"/>
  </r>
  <r>
    <x v="0"/>
    <x v="33"/>
    <x v="0"/>
    <x v="1"/>
    <s v="DK2_Large"/>
    <x v="19"/>
    <n v="8.1139884009941898"/>
    <n v="2.2538856669428302"/>
  </r>
  <r>
    <x v="0"/>
    <x v="33"/>
    <x v="0"/>
    <x v="1"/>
    <s v="DK2_Large"/>
    <x v="20"/>
    <n v="22.109183021311601"/>
    <n v="6.1414397281420996"/>
  </r>
  <r>
    <x v="0"/>
    <x v="33"/>
    <x v="0"/>
    <x v="1"/>
    <s v="DK2_Large"/>
    <x v="21"/>
    <n v="48.24"/>
    <n v="13.4"/>
  </r>
  <r>
    <x v="0"/>
    <x v="33"/>
    <x v="0"/>
    <x v="1"/>
    <s v="DK2_Large"/>
    <x v="22"/>
    <n v="67.680000000000007"/>
    <n v="18.8"/>
  </r>
  <r>
    <x v="0"/>
    <x v="33"/>
    <x v="0"/>
    <x v="1"/>
    <s v="DK2_Large"/>
    <x v="23"/>
    <n v="0.31515896120488701"/>
    <n v="8.7544155890246306E-2"/>
  </r>
  <r>
    <x v="0"/>
    <x v="33"/>
    <x v="0"/>
    <x v="1"/>
    <s v="DK2_Large"/>
    <x v="24"/>
    <n v="19.174223581093901"/>
    <n v="5.32617321697054"/>
  </r>
  <r>
    <x v="0"/>
    <x v="33"/>
    <x v="0"/>
    <x v="1"/>
    <s v="DK2_Large"/>
    <x v="25"/>
    <n v="26.209507293842599"/>
    <n v="7.2804186927340497"/>
  </r>
  <r>
    <x v="0"/>
    <x v="33"/>
    <x v="0"/>
    <x v="1"/>
    <s v="DK2_Large"/>
    <x v="26"/>
    <n v="33.320887798496699"/>
    <n v="9.2558021662490795"/>
  </r>
  <r>
    <x v="0"/>
    <x v="33"/>
    <x v="0"/>
    <x v="1"/>
    <s v="DK2_Large"/>
    <x v="27"/>
    <n v="20.163995508318798"/>
    <n v="5.6011098634218799"/>
  </r>
  <r>
    <x v="0"/>
    <x v="33"/>
    <x v="0"/>
    <x v="1"/>
    <s v="DK2_Large_PHH"/>
    <x v="1"/>
    <n v="35.989199999999997"/>
    <n v="9.9969999999999999"/>
  </r>
  <r>
    <x v="0"/>
    <x v="33"/>
    <x v="0"/>
    <x v="1"/>
    <s v="DK2_Large_PHH"/>
    <x v="2"/>
    <n v="46.08"/>
    <n v="12.8"/>
  </r>
  <r>
    <x v="0"/>
    <x v="33"/>
    <x v="0"/>
    <x v="1"/>
    <s v="DK2_Large_PHH"/>
    <x v="0"/>
    <n v="42.692399999999999"/>
    <n v="11.859"/>
  </r>
  <r>
    <x v="0"/>
    <x v="33"/>
    <x v="0"/>
    <x v="1"/>
    <s v="DK2_Large_PHH"/>
    <x v="3"/>
    <n v="51.633543144067197"/>
    <n v="14.342650873352"/>
  </r>
  <r>
    <x v="0"/>
    <x v="33"/>
    <x v="0"/>
    <x v="1"/>
    <s v="DK2_Large_PHH"/>
    <x v="4"/>
    <n v="6.3500778790389401"/>
    <n v="1.76391052195526"/>
  </r>
  <r>
    <x v="0"/>
    <x v="33"/>
    <x v="0"/>
    <x v="1"/>
    <s v="DK2_Large_PHH"/>
    <x v="5"/>
    <n v="6.3500778790389401"/>
    <n v="1.76391052195526"/>
  </r>
  <r>
    <x v="0"/>
    <x v="33"/>
    <x v="0"/>
    <x v="1"/>
    <s v="DK2_Large_PHH"/>
    <x v="6"/>
    <n v="29.476231795214598"/>
    <n v="8.1878421653373898"/>
  </r>
  <r>
    <x v="0"/>
    <x v="33"/>
    <x v="0"/>
    <x v="1"/>
    <s v="DK2_Large_PHH"/>
    <x v="7"/>
    <n v="57.838935220261199"/>
    <n v="16.066370894517"/>
  </r>
  <r>
    <x v="0"/>
    <x v="33"/>
    <x v="0"/>
    <x v="1"/>
    <s v="DK2_Large_PHH"/>
    <x v="8"/>
    <n v="57.838935220261199"/>
    <n v="16.066370894517"/>
  </r>
  <r>
    <x v="0"/>
    <x v="33"/>
    <x v="0"/>
    <x v="1"/>
    <s v="DK2_Large_PHH"/>
    <x v="9"/>
    <n v="44.4505451532725"/>
    <n v="12.3473736536868"/>
  </r>
  <r>
    <x v="0"/>
    <x v="33"/>
    <x v="0"/>
    <x v="1"/>
    <s v="DK2_Large_PHH"/>
    <x v="10"/>
    <n v="53.975661971830903"/>
    <n v="14.993239436619699"/>
  </r>
  <r>
    <x v="0"/>
    <x v="33"/>
    <x v="0"/>
    <x v="1"/>
    <s v="DK2_Large_PHH"/>
    <x v="11"/>
    <n v="3.8806031483015802"/>
    <n v="1.07794531897266"/>
  </r>
  <r>
    <x v="0"/>
    <x v="33"/>
    <x v="0"/>
    <x v="1"/>
    <s v="DK2_Large_PHH"/>
    <x v="12"/>
    <n v="9.7995028997514597E-2"/>
    <n v="2.72208413881985E-2"/>
  </r>
  <r>
    <x v="0"/>
    <x v="33"/>
    <x v="0"/>
    <x v="1"/>
    <s v="DK2_Large_PHH"/>
    <x v="13"/>
    <n v="29.633696768848399"/>
    <n v="8.2315824357912195"/>
  </r>
  <r>
    <x v="0"/>
    <x v="33"/>
    <x v="0"/>
    <x v="1"/>
    <s v="DK2_Large_PHH"/>
    <x v="14"/>
    <n v="29.633696768848399"/>
    <n v="8.2315824357912195"/>
  </r>
  <r>
    <x v="0"/>
    <x v="33"/>
    <x v="0"/>
    <x v="1"/>
    <s v="DK2_Large_PHH"/>
    <x v="15"/>
    <n v="1.65807589063794"/>
    <n v="0.46057663628831802"/>
  </r>
  <r>
    <x v="0"/>
    <x v="33"/>
    <x v="0"/>
    <x v="1"/>
    <s v="DK2_Large_PHH"/>
    <x v="16"/>
    <n v="6.4638978602906896"/>
    <n v="1.79552718341408"/>
  </r>
  <r>
    <x v="0"/>
    <x v="33"/>
    <x v="0"/>
    <x v="1"/>
    <s v="DK2_Large_PHH"/>
    <x v="17"/>
    <n v="9.1244895875632395"/>
    <n v="2.5345804409897901"/>
  </r>
  <r>
    <x v="0"/>
    <x v="33"/>
    <x v="0"/>
    <x v="1"/>
    <s v="DK2_Large_PHH"/>
    <x v="18"/>
    <n v="29.633696768848399"/>
    <n v="8.2315824357912195"/>
  </r>
  <r>
    <x v="0"/>
    <x v="33"/>
    <x v="0"/>
    <x v="1"/>
    <s v="DK2_Large_PHH"/>
    <x v="19"/>
    <n v="8.1139884009941898"/>
    <n v="2.2538856669428302"/>
  </r>
  <r>
    <x v="0"/>
    <x v="33"/>
    <x v="0"/>
    <x v="1"/>
    <s v="DK2_Large_PHH"/>
    <x v="20"/>
    <n v="22.109183021311601"/>
    <n v="6.1414397281420996"/>
  </r>
  <r>
    <x v="0"/>
    <x v="33"/>
    <x v="0"/>
    <x v="1"/>
    <s v="DK2_Large_PHH"/>
    <x v="21"/>
    <n v="48.24"/>
    <n v="13.4"/>
  </r>
  <r>
    <x v="0"/>
    <x v="33"/>
    <x v="0"/>
    <x v="1"/>
    <s v="DK2_Large_PHH"/>
    <x v="22"/>
    <n v="67.680000000000007"/>
    <n v="18.8"/>
  </r>
  <r>
    <x v="0"/>
    <x v="33"/>
    <x v="0"/>
    <x v="1"/>
    <s v="DK2_Large_PHH"/>
    <x v="23"/>
    <n v="0.31515896120488701"/>
    <n v="8.7544155890246306E-2"/>
  </r>
  <r>
    <x v="0"/>
    <x v="33"/>
    <x v="0"/>
    <x v="1"/>
    <s v="DK2_Large_PHH"/>
    <x v="24"/>
    <n v="19.174223581093901"/>
    <n v="5.32617321697054"/>
  </r>
  <r>
    <x v="0"/>
    <x v="33"/>
    <x v="0"/>
    <x v="1"/>
    <s v="DK2_Large_PHH"/>
    <x v="25"/>
    <n v="26.209507293842599"/>
    <n v="7.2804186927340497"/>
  </r>
  <r>
    <x v="0"/>
    <x v="33"/>
    <x v="0"/>
    <x v="1"/>
    <s v="DK2_Large_PHH"/>
    <x v="26"/>
    <n v="33.320887798496699"/>
    <n v="9.2558021662490795"/>
  </r>
  <r>
    <x v="0"/>
    <x v="33"/>
    <x v="0"/>
    <x v="1"/>
    <s v="DK2_Large_PHH"/>
    <x v="27"/>
    <n v="20.163995508318798"/>
    <n v="5.6011098634218799"/>
  </r>
  <r>
    <x v="0"/>
    <x v="33"/>
    <x v="0"/>
    <x v="1"/>
    <s v="DK2_Large_PHL"/>
    <x v="1"/>
    <n v="35.989199999999997"/>
    <n v="9.9969999999999999"/>
  </r>
  <r>
    <x v="0"/>
    <x v="33"/>
    <x v="0"/>
    <x v="1"/>
    <s v="DK2_Large_PHL"/>
    <x v="2"/>
    <n v="46.08"/>
    <n v="12.8"/>
  </r>
  <r>
    <x v="0"/>
    <x v="33"/>
    <x v="0"/>
    <x v="1"/>
    <s v="DK2_Large_PHL"/>
    <x v="0"/>
    <n v="42.692399999999999"/>
    <n v="11.859"/>
  </r>
  <r>
    <x v="0"/>
    <x v="33"/>
    <x v="0"/>
    <x v="1"/>
    <s v="DK2_Large_PHL"/>
    <x v="3"/>
    <n v="51.633543144067197"/>
    <n v="14.342650873352"/>
  </r>
  <r>
    <x v="0"/>
    <x v="33"/>
    <x v="0"/>
    <x v="1"/>
    <s v="DK2_Large_PHL"/>
    <x v="4"/>
    <n v="6.3500778790389401"/>
    <n v="1.76391052195526"/>
  </r>
  <r>
    <x v="0"/>
    <x v="33"/>
    <x v="0"/>
    <x v="1"/>
    <s v="DK2_Large_PHL"/>
    <x v="5"/>
    <n v="6.3500778790389401"/>
    <n v="1.76391052195526"/>
  </r>
  <r>
    <x v="0"/>
    <x v="33"/>
    <x v="0"/>
    <x v="1"/>
    <s v="DK2_Large_PHL"/>
    <x v="6"/>
    <n v="29.476231795214598"/>
    <n v="8.1878421653373898"/>
  </r>
  <r>
    <x v="0"/>
    <x v="33"/>
    <x v="0"/>
    <x v="1"/>
    <s v="DK2_Large_PHL"/>
    <x v="7"/>
    <n v="57.838935220261199"/>
    <n v="16.066370894517"/>
  </r>
  <r>
    <x v="0"/>
    <x v="33"/>
    <x v="0"/>
    <x v="1"/>
    <s v="DK2_Large_PHL"/>
    <x v="8"/>
    <n v="57.838935220261199"/>
    <n v="16.066370894517"/>
  </r>
  <r>
    <x v="0"/>
    <x v="33"/>
    <x v="0"/>
    <x v="1"/>
    <s v="DK2_Large_PHL"/>
    <x v="9"/>
    <n v="44.4505451532725"/>
    <n v="12.3473736536868"/>
  </r>
  <r>
    <x v="0"/>
    <x v="33"/>
    <x v="0"/>
    <x v="1"/>
    <s v="DK2_Large_PHL"/>
    <x v="10"/>
    <n v="53.975661971830903"/>
    <n v="14.993239436619699"/>
  </r>
  <r>
    <x v="0"/>
    <x v="33"/>
    <x v="0"/>
    <x v="1"/>
    <s v="DK2_Large_PHL"/>
    <x v="11"/>
    <n v="3.8806031483015802"/>
    <n v="1.07794531897266"/>
  </r>
  <r>
    <x v="0"/>
    <x v="33"/>
    <x v="0"/>
    <x v="1"/>
    <s v="DK2_Large_PHL"/>
    <x v="12"/>
    <n v="9.7995028997514597E-2"/>
    <n v="2.72208413881985E-2"/>
  </r>
  <r>
    <x v="0"/>
    <x v="33"/>
    <x v="0"/>
    <x v="1"/>
    <s v="DK2_Large_PHL"/>
    <x v="13"/>
    <n v="29.633696768848399"/>
    <n v="8.2315824357912195"/>
  </r>
  <r>
    <x v="0"/>
    <x v="33"/>
    <x v="0"/>
    <x v="1"/>
    <s v="DK2_Large_PHL"/>
    <x v="14"/>
    <n v="29.633696768848399"/>
    <n v="8.2315824357912195"/>
  </r>
  <r>
    <x v="0"/>
    <x v="33"/>
    <x v="0"/>
    <x v="1"/>
    <s v="DK2_Large_PHL"/>
    <x v="15"/>
    <n v="1.65807589063794"/>
    <n v="0.46057663628831802"/>
  </r>
  <r>
    <x v="0"/>
    <x v="33"/>
    <x v="0"/>
    <x v="1"/>
    <s v="DK2_Large_PHL"/>
    <x v="16"/>
    <n v="6.4638978602906896"/>
    <n v="1.79552718341408"/>
  </r>
  <r>
    <x v="0"/>
    <x v="33"/>
    <x v="0"/>
    <x v="1"/>
    <s v="DK2_Large_PHL"/>
    <x v="17"/>
    <n v="9.1244895875632395"/>
    <n v="2.5345804409897901"/>
  </r>
  <r>
    <x v="0"/>
    <x v="33"/>
    <x v="0"/>
    <x v="1"/>
    <s v="DK2_Large_PHL"/>
    <x v="18"/>
    <n v="29.633696768848399"/>
    <n v="8.2315824357912195"/>
  </r>
  <r>
    <x v="0"/>
    <x v="33"/>
    <x v="0"/>
    <x v="1"/>
    <s v="DK2_Large_PHL"/>
    <x v="19"/>
    <n v="8.1139884009941898"/>
    <n v="2.2538856669428302"/>
  </r>
  <r>
    <x v="0"/>
    <x v="33"/>
    <x v="0"/>
    <x v="1"/>
    <s v="DK2_Large_PHL"/>
    <x v="20"/>
    <n v="22.109183021311601"/>
    <n v="6.1414397281420996"/>
  </r>
  <r>
    <x v="0"/>
    <x v="33"/>
    <x v="0"/>
    <x v="1"/>
    <s v="DK2_Large_PHL"/>
    <x v="21"/>
    <n v="48.24"/>
    <n v="13.4"/>
  </r>
  <r>
    <x v="0"/>
    <x v="33"/>
    <x v="0"/>
    <x v="1"/>
    <s v="DK2_Large_PHL"/>
    <x v="22"/>
    <n v="67.680000000000007"/>
    <n v="18.8"/>
  </r>
  <r>
    <x v="0"/>
    <x v="33"/>
    <x v="0"/>
    <x v="1"/>
    <s v="DK2_Large_PHL"/>
    <x v="23"/>
    <n v="0.31515896120488701"/>
    <n v="8.7544155890246306E-2"/>
  </r>
  <r>
    <x v="0"/>
    <x v="33"/>
    <x v="0"/>
    <x v="1"/>
    <s v="DK2_Large_PHL"/>
    <x v="24"/>
    <n v="19.174223581093901"/>
    <n v="5.32617321697054"/>
  </r>
  <r>
    <x v="0"/>
    <x v="33"/>
    <x v="0"/>
    <x v="1"/>
    <s v="DK2_Large_PHL"/>
    <x v="25"/>
    <n v="26.209507293842599"/>
    <n v="7.2804186927340497"/>
  </r>
  <r>
    <x v="0"/>
    <x v="33"/>
    <x v="0"/>
    <x v="1"/>
    <s v="DK2_Large_PHL"/>
    <x v="26"/>
    <n v="33.320887798496699"/>
    <n v="9.2558021662490795"/>
  </r>
  <r>
    <x v="0"/>
    <x v="33"/>
    <x v="0"/>
    <x v="1"/>
    <s v="DK2_Large_PHL"/>
    <x v="27"/>
    <n v="20.163995508318798"/>
    <n v="5.6011098634218799"/>
  </r>
  <r>
    <x v="0"/>
    <x v="33"/>
    <x v="0"/>
    <x v="1"/>
    <s v="DK2_MedSmall"/>
    <x v="1"/>
    <n v="35.989199999999997"/>
    <n v="9.9969999999999999"/>
  </r>
  <r>
    <x v="0"/>
    <x v="33"/>
    <x v="0"/>
    <x v="1"/>
    <s v="DK2_MedSmall"/>
    <x v="2"/>
    <n v="46.08"/>
    <n v="12.8"/>
  </r>
  <r>
    <x v="0"/>
    <x v="33"/>
    <x v="0"/>
    <x v="1"/>
    <s v="DK2_MedSmall"/>
    <x v="0"/>
    <n v="42.692399999999999"/>
    <n v="11.859"/>
  </r>
  <r>
    <x v="0"/>
    <x v="33"/>
    <x v="0"/>
    <x v="1"/>
    <s v="DK2_MedSmall"/>
    <x v="3"/>
    <n v="51.633543144067197"/>
    <n v="14.342650873352"/>
  </r>
  <r>
    <x v="0"/>
    <x v="33"/>
    <x v="0"/>
    <x v="1"/>
    <s v="DK2_MedSmall"/>
    <x v="4"/>
    <n v="6.3500778790389401"/>
    <n v="1.76391052195526"/>
  </r>
  <r>
    <x v="0"/>
    <x v="33"/>
    <x v="0"/>
    <x v="1"/>
    <s v="DK2_MedSmall"/>
    <x v="5"/>
    <n v="6.3500778790389401"/>
    <n v="1.76391052195526"/>
  </r>
  <r>
    <x v="0"/>
    <x v="33"/>
    <x v="0"/>
    <x v="1"/>
    <s v="DK2_MedSmall"/>
    <x v="6"/>
    <n v="29.476231795214598"/>
    <n v="8.1878421653373898"/>
  </r>
  <r>
    <x v="0"/>
    <x v="33"/>
    <x v="0"/>
    <x v="1"/>
    <s v="DK2_MedSmall"/>
    <x v="7"/>
    <n v="57.838935220261199"/>
    <n v="16.066370894517"/>
  </r>
  <r>
    <x v="0"/>
    <x v="33"/>
    <x v="0"/>
    <x v="1"/>
    <s v="DK2_MedSmall"/>
    <x v="8"/>
    <n v="57.838935220261199"/>
    <n v="16.066370894517"/>
  </r>
  <r>
    <x v="0"/>
    <x v="33"/>
    <x v="0"/>
    <x v="1"/>
    <s v="DK2_MedSmall"/>
    <x v="9"/>
    <n v="44.4505451532725"/>
    <n v="12.3473736536868"/>
  </r>
  <r>
    <x v="0"/>
    <x v="33"/>
    <x v="0"/>
    <x v="1"/>
    <s v="DK2_MedSmall"/>
    <x v="10"/>
    <n v="53.975661971830903"/>
    <n v="14.993239436619699"/>
  </r>
  <r>
    <x v="0"/>
    <x v="33"/>
    <x v="0"/>
    <x v="1"/>
    <s v="DK2_MedSmall"/>
    <x v="11"/>
    <n v="3.8806031483015802"/>
    <n v="1.07794531897266"/>
  </r>
  <r>
    <x v="0"/>
    <x v="33"/>
    <x v="0"/>
    <x v="1"/>
    <s v="DK2_MedSmall"/>
    <x v="12"/>
    <n v="9.7995028997514597E-2"/>
    <n v="2.72208413881985E-2"/>
  </r>
  <r>
    <x v="0"/>
    <x v="33"/>
    <x v="0"/>
    <x v="1"/>
    <s v="DK2_MedSmall"/>
    <x v="13"/>
    <n v="29.633696768848399"/>
    <n v="8.2315824357912195"/>
  </r>
  <r>
    <x v="0"/>
    <x v="33"/>
    <x v="0"/>
    <x v="1"/>
    <s v="DK2_MedSmall"/>
    <x v="14"/>
    <n v="29.633696768848399"/>
    <n v="8.2315824357912195"/>
  </r>
  <r>
    <x v="0"/>
    <x v="33"/>
    <x v="0"/>
    <x v="1"/>
    <s v="DK2_MedSmall"/>
    <x v="15"/>
    <n v="1.65807589063794"/>
    <n v="0.46057663628831802"/>
  </r>
  <r>
    <x v="0"/>
    <x v="33"/>
    <x v="0"/>
    <x v="1"/>
    <s v="DK2_MedSmall"/>
    <x v="16"/>
    <n v="6.4638978602906896"/>
    <n v="1.79552718341408"/>
  </r>
  <r>
    <x v="0"/>
    <x v="33"/>
    <x v="0"/>
    <x v="1"/>
    <s v="DK2_MedSmall"/>
    <x v="17"/>
    <n v="9.1244895875632395"/>
    <n v="2.5345804409897901"/>
  </r>
  <r>
    <x v="0"/>
    <x v="33"/>
    <x v="0"/>
    <x v="1"/>
    <s v="DK2_MedSmall"/>
    <x v="18"/>
    <n v="29.633696768848399"/>
    <n v="8.2315824357912195"/>
  </r>
  <r>
    <x v="0"/>
    <x v="33"/>
    <x v="0"/>
    <x v="1"/>
    <s v="DK2_MedSmall"/>
    <x v="19"/>
    <n v="8.1139884009941898"/>
    <n v="2.2538856669428302"/>
  </r>
  <r>
    <x v="0"/>
    <x v="33"/>
    <x v="0"/>
    <x v="1"/>
    <s v="DK2_MedSmall"/>
    <x v="20"/>
    <n v="22.109183021311601"/>
    <n v="6.1414397281420996"/>
  </r>
  <r>
    <x v="0"/>
    <x v="33"/>
    <x v="0"/>
    <x v="1"/>
    <s v="DK2_MedSmall"/>
    <x v="21"/>
    <n v="48.24"/>
    <n v="13.4"/>
  </r>
  <r>
    <x v="0"/>
    <x v="33"/>
    <x v="0"/>
    <x v="1"/>
    <s v="DK2_MedSmall"/>
    <x v="22"/>
    <n v="67.680000000000007"/>
    <n v="18.8"/>
  </r>
  <r>
    <x v="0"/>
    <x v="33"/>
    <x v="0"/>
    <x v="1"/>
    <s v="DK2_MedSmall"/>
    <x v="23"/>
    <n v="0.31515896120488701"/>
    <n v="8.7544155890246306E-2"/>
  </r>
  <r>
    <x v="0"/>
    <x v="33"/>
    <x v="0"/>
    <x v="1"/>
    <s v="DK2_MedSmall"/>
    <x v="24"/>
    <n v="19.174223581093901"/>
    <n v="5.32617321697054"/>
  </r>
  <r>
    <x v="0"/>
    <x v="33"/>
    <x v="0"/>
    <x v="1"/>
    <s v="DK2_MedSmall"/>
    <x v="25"/>
    <n v="26.209507293842599"/>
    <n v="7.2804186927340497"/>
  </r>
  <r>
    <x v="0"/>
    <x v="33"/>
    <x v="0"/>
    <x v="1"/>
    <s v="DK2_MedSmall"/>
    <x v="26"/>
    <n v="33.320887798496699"/>
    <n v="9.2558021662490795"/>
  </r>
  <r>
    <x v="0"/>
    <x v="33"/>
    <x v="0"/>
    <x v="1"/>
    <s v="DK2_MedSmall"/>
    <x v="27"/>
    <n v="20.163995508318798"/>
    <n v="5.6011098634218799"/>
  </r>
  <r>
    <x v="0"/>
    <x v="33"/>
    <x v="0"/>
    <x v="1"/>
    <s v="DK2_Medium"/>
    <x v="1"/>
    <n v="35.989199999999997"/>
    <n v="9.9969999999999999"/>
  </r>
  <r>
    <x v="0"/>
    <x v="33"/>
    <x v="0"/>
    <x v="1"/>
    <s v="DK2_Medium"/>
    <x v="2"/>
    <n v="46.08"/>
    <n v="12.8"/>
  </r>
  <r>
    <x v="0"/>
    <x v="33"/>
    <x v="0"/>
    <x v="1"/>
    <s v="DK2_Medium"/>
    <x v="0"/>
    <n v="42.692399999999999"/>
    <n v="11.859"/>
  </r>
  <r>
    <x v="0"/>
    <x v="33"/>
    <x v="0"/>
    <x v="1"/>
    <s v="DK2_Medium"/>
    <x v="3"/>
    <n v="51.633543144067197"/>
    <n v="14.342650873352"/>
  </r>
  <r>
    <x v="0"/>
    <x v="33"/>
    <x v="0"/>
    <x v="1"/>
    <s v="DK2_Medium"/>
    <x v="4"/>
    <n v="6.3500778790389401"/>
    <n v="1.76391052195526"/>
  </r>
  <r>
    <x v="0"/>
    <x v="33"/>
    <x v="0"/>
    <x v="1"/>
    <s v="DK2_Medium"/>
    <x v="5"/>
    <n v="6.3500778790389401"/>
    <n v="1.76391052195526"/>
  </r>
  <r>
    <x v="0"/>
    <x v="33"/>
    <x v="0"/>
    <x v="1"/>
    <s v="DK2_Medium"/>
    <x v="6"/>
    <n v="29.476231795214598"/>
    <n v="8.1878421653373898"/>
  </r>
  <r>
    <x v="0"/>
    <x v="33"/>
    <x v="0"/>
    <x v="1"/>
    <s v="DK2_Medium"/>
    <x v="7"/>
    <n v="57.838935220261199"/>
    <n v="16.066370894517"/>
  </r>
  <r>
    <x v="0"/>
    <x v="33"/>
    <x v="0"/>
    <x v="1"/>
    <s v="DK2_Medium"/>
    <x v="8"/>
    <n v="57.838935220261199"/>
    <n v="16.066370894517"/>
  </r>
  <r>
    <x v="0"/>
    <x v="33"/>
    <x v="0"/>
    <x v="1"/>
    <s v="DK2_Medium"/>
    <x v="9"/>
    <n v="44.4505451532725"/>
    <n v="12.3473736536868"/>
  </r>
  <r>
    <x v="0"/>
    <x v="33"/>
    <x v="0"/>
    <x v="1"/>
    <s v="DK2_Medium"/>
    <x v="10"/>
    <n v="53.975661971830903"/>
    <n v="14.993239436619699"/>
  </r>
  <r>
    <x v="0"/>
    <x v="33"/>
    <x v="0"/>
    <x v="1"/>
    <s v="DK2_Medium"/>
    <x v="11"/>
    <n v="3.8806031483015802"/>
    <n v="1.07794531897266"/>
  </r>
  <r>
    <x v="0"/>
    <x v="33"/>
    <x v="0"/>
    <x v="1"/>
    <s v="DK2_Medium"/>
    <x v="12"/>
    <n v="9.7995028997514597E-2"/>
    <n v="2.72208413881985E-2"/>
  </r>
  <r>
    <x v="0"/>
    <x v="33"/>
    <x v="0"/>
    <x v="1"/>
    <s v="DK2_Medium"/>
    <x v="13"/>
    <n v="29.633696768848399"/>
    <n v="8.2315824357912195"/>
  </r>
  <r>
    <x v="0"/>
    <x v="33"/>
    <x v="0"/>
    <x v="1"/>
    <s v="DK2_Medium"/>
    <x v="14"/>
    <n v="29.633696768848399"/>
    <n v="8.2315824357912195"/>
  </r>
  <r>
    <x v="0"/>
    <x v="33"/>
    <x v="0"/>
    <x v="1"/>
    <s v="DK2_Medium"/>
    <x v="15"/>
    <n v="1.65807589063794"/>
    <n v="0.46057663628831802"/>
  </r>
  <r>
    <x v="0"/>
    <x v="33"/>
    <x v="0"/>
    <x v="1"/>
    <s v="DK2_Medium"/>
    <x v="16"/>
    <n v="6.4638978602906896"/>
    <n v="1.79552718341408"/>
  </r>
  <r>
    <x v="0"/>
    <x v="33"/>
    <x v="0"/>
    <x v="1"/>
    <s v="DK2_Medium"/>
    <x v="17"/>
    <n v="9.1244895875632395"/>
    <n v="2.5345804409897901"/>
  </r>
  <r>
    <x v="0"/>
    <x v="33"/>
    <x v="0"/>
    <x v="1"/>
    <s v="DK2_Medium"/>
    <x v="18"/>
    <n v="29.633696768848399"/>
    <n v="8.2315824357912195"/>
  </r>
  <r>
    <x v="0"/>
    <x v="33"/>
    <x v="0"/>
    <x v="1"/>
    <s v="DK2_Medium"/>
    <x v="19"/>
    <n v="8.1139884009941898"/>
    <n v="2.2538856669428302"/>
  </r>
  <r>
    <x v="0"/>
    <x v="33"/>
    <x v="0"/>
    <x v="1"/>
    <s v="DK2_Medium"/>
    <x v="20"/>
    <n v="22.109183021311601"/>
    <n v="6.1414397281420996"/>
  </r>
  <r>
    <x v="0"/>
    <x v="33"/>
    <x v="0"/>
    <x v="1"/>
    <s v="DK2_Medium"/>
    <x v="21"/>
    <n v="48.24"/>
    <n v="13.4"/>
  </r>
  <r>
    <x v="0"/>
    <x v="33"/>
    <x v="0"/>
    <x v="1"/>
    <s v="DK2_Medium"/>
    <x v="22"/>
    <n v="67.680000000000007"/>
    <n v="18.8"/>
  </r>
  <r>
    <x v="0"/>
    <x v="33"/>
    <x v="0"/>
    <x v="1"/>
    <s v="DK2_Medium"/>
    <x v="23"/>
    <n v="0.31515896120488701"/>
    <n v="8.7544155890246306E-2"/>
  </r>
  <r>
    <x v="0"/>
    <x v="33"/>
    <x v="0"/>
    <x v="1"/>
    <s v="DK2_Medium"/>
    <x v="24"/>
    <n v="19.174223581093901"/>
    <n v="5.32617321697054"/>
  </r>
  <r>
    <x v="0"/>
    <x v="33"/>
    <x v="0"/>
    <x v="1"/>
    <s v="DK2_Medium"/>
    <x v="25"/>
    <n v="26.209507293842599"/>
    <n v="7.2804186927340497"/>
  </r>
  <r>
    <x v="0"/>
    <x v="33"/>
    <x v="0"/>
    <x v="1"/>
    <s v="DK2_Medium"/>
    <x v="26"/>
    <n v="33.320887798496699"/>
    <n v="9.2558021662490795"/>
  </r>
  <r>
    <x v="0"/>
    <x v="33"/>
    <x v="0"/>
    <x v="1"/>
    <s v="DK2_Medium"/>
    <x v="27"/>
    <n v="20.163995508318798"/>
    <n v="5.6011098634218799"/>
  </r>
  <r>
    <x v="0"/>
    <x v="33"/>
    <x v="0"/>
    <x v="1"/>
    <s v="DK2_NoDH"/>
    <x v="1"/>
    <n v="35.989199999999997"/>
    <n v="9.9969999999999999"/>
  </r>
  <r>
    <x v="0"/>
    <x v="33"/>
    <x v="0"/>
    <x v="1"/>
    <s v="DK2_NoDH"/>
    <x v="2"/>
    <n v="46.08"/>
    <n v="12.8"/>
  </r>
  <r>
    <x v="0"/>
    <x v="33"/>
    <x v="0"/>
    <x v="1"/>
    <s v="DK2_NoDH"/>
    <x v="0"/>
    <n v="42.692399999999999"/>
    <n v="11.859"/>
  </r>
  <r>
    <x v="0"/>
    <x v="33"/>
    <x v="0"/>
    <x v="1"/>
    <s v="DK2_NoDH"/>
    <x v="3"/>
    <n v="51.633543144067197"/>
    <n v="14.342650873352"/>
  </r>
  <r>
    <x v="0"/>
    <x v="33"/>
    <x v="0"/>
    <x v="1"/>
    <s v="DK2_NoDH"/>
    <x v="4"/>
    <n v="6.3500778790389401"/>
    <n v="1.76391052195526"/>
  </r>
  <r>
    <x v="0"/>
    <x v="33"/>
    <x v="0"/>
    <x v="1"/>
    <s v="DK2_NoDH"/>
    <x v="5"/>
    <n v="6.3500778790389401"/>
    <n v="1.76391052195526"/>
  </r>
  <r>
    <x v="0"/>
    <x v="33"/>
    <x v="0"/>
    <x v="1"/>
    <s v="DK2_NoDH"/>
    <x v="6"/>
    <n v="29.476231795214598"/>
    <n v="8.1878421653373898"/>
  </r>
  <r>
    <x v="0"/>
    <x v="33"/>
    <x v="0"/>
    <x v="1"/>
    <s v="DK2_NoDH"/>
    <x v="7"/>
    <n v="57.838935220261199"/>
    <n v="16.066370894517"/>
  </r>
  <r>
    <x v="0"/>
    <x v="33"/>
    <x v="0"/>
    <x v="1"/>
    <s v="DK2_NoDH"/>
    <x v="8"/>
    <n v="57.838935220261199"/>
    <n v="16.066370894517"/>
  </r>
  <r>
    <x v="0"/>
    <x v="33"/>
    <x v="0"/>
    <x v="1"/>
    <s v="DK2_NoDH"/>
    <x v="9"/>
    <n v="44.4505451532725"/>
    <n v="12.3473736536868"/>
  </r>
  <r>
    <x v="0"/>
    <x v="33"/>
    <x v="0"/>
    <x v="1"/>
    <s v="DK2_NoDH"/>
    <x v="10"/>
    <n v="53.975661971830903"/>
    <n v="14.993239436619699"/>
  </r>
  <r>
    <x v="0"/>
    <x v="33"/>
    <x v="0"/>
    <x v="1"/>
    <s v="DK2_NoDH"/>
    <x v="11"/>
    <n v="3.8806031483015802"/>
    <n v="1.07794531897266"/>
  </r>
  <r>
    <x v="0"/>
    <x v="33"/>
    <x v="0"/>
    <x v="1"/>
    <s v="DK2_NoDH"/>
    <x v="12"/>
    <n v="9.7995028997514597E-2"/>
    <n v="2.72208413881985E-2"/>
  </r>
  <r>
    <x v="0"/>
    <x v="33"/>
    <x v="0"/>
    <x v="1"/>
    <s v="DK2_NoDH"/>
    <x v="13"/>
    <n v="29.633696768848399"/>
    <n v="8.2315824357912195"/>
  </r>
  <r>
    <x v="0"/>
    <x v="33"/>
    <x v="0"/>
    <x v="1"/>
    <s v="DK2_NoDH"/>
    <x v="14"/>
    <n v="29.633696768848399"/>
    <n v="8.2315824357912195"/>
  </r>
  <r>
    <x v="0"/>
    <x v="33"/>
    <x v="0"/>
    <x v="1"/>
    <s v="DK2_NoDH"/>
    <x v="15"/>
    <n v="1.65807589063794"/>
    <n v="0.46057663628831802"/>
  </r>
  <r>
    <x v="0"/>
    <x v="33"/>
    <x v="0"/>
    <x v="1"/>
    <s v="DK2_NoDH"/>
    <x v="16"/>
    <n v="6.4638978602906896"/>
    <n v="1.79552718341408"/>
  </r>
  <r>
    <x v="0"/>
    <x v="33"/>
    <x v="0"/>
    <x v="1"/>
    <s v="DK2_NoDH"/>
    <x v="17"/>
    <n v="9.1244895875632395"/>
    <n v="2.5345804409897901"/>
  </r>
  <r>
    <x v="0"/>
    <x v="33"/>
    <x v="0"/>
    <x v="1"/>
    <s v="DK2_NoDH"/>
    <x v="18"/>
    <n v="29.633696768848399"/>
    <n v="8.2315824357912195"/>
  </r>
  <r>
    <x v="0"/>
    <x v="33"/>
    <x v="0"/>
    <x v="1"/>
    <s v="DK2_NoDH"/>
    <x v="19"/>
    <n v="8.1139884009941898"/>
    <n v="2.2538856669428302"/>
  </r>
  <r>
    <x v="0"/>
    <x v="33"/>
    <x v="0"/>
    <x v="1"/>
    <s v="DK2_NoDH"/>
    <x v="20"/>
    <n v="22.109183021311601"/>
    <n v="6.1414397281420996"/>
  </r>
  <r>
    <x v="0"/>
    <x v="33"/>
    <x v="0"/>
    <x v="1"/>
    <s v="DK2_NoDH"/>
    <x v="21"/>
    <n v="48.24"/>
    <n v="13.4"/>
  </r>
  <r>
    <x v="0"/>
    <x v="33"/>
    <x v="0"/>
    <x v="1"/>
    <s v="DK2_NoDH"/>
    <x v="22"/>
    <n v="67.680000000000007"/>
    <n v="18.8"/>
  </r>
  <r>
    <x v="0"/>
    <x v="33"/>
    <x v="0"/>
    <x v="1"/>
    <s v="DK2_NoDH"/>
    <x v="23"/>
    <n v="0.31515896120488701"/>
    <n v="8.7544155890246306E-2"/>
  </r>
  <r>
    <x v="0"/>
    <x v="33"/>
    <x v="0"/>
    <x v="1"/>
    <s v="DK2_NoDH"/>
    <x v="24"/>
    <n v="19.174223581093901"/>
    <n v="5.32617321697054"/>
  </r>
  <r>
    <x v="0"/>
    <x v="33"/>
    <x v="0"/>
    <x v="1"/>
    <s v="DK2_NoDH"/>
    <x v="25"/>
    <n v="26.209507293842599"/>
    <n v="7.2804186927340497"/>
  </r>
  <r>
    <x v="0"/>
    <x v="33"/>
    <x v="0"/>
    <x v="1"/>
    <s v="DK2_NoDH"/>
    <x v="26"/>
    <n v="33.320887798496699"/>
    <n v="9.2558021662490795"/>
  </r>
  <r>
    <x v="0"/>
    <x v="33"/>
    <x v="0"/>
    <x v="1"/>
    <s v="DK2_NoDH"/>
    <x v="27"/>
    <n v="20.163995508318798"/>
    <n v="5.6011098634218799"/>
  </r>
  <r>
    <x v="0"/>
    <x v="33"/>
    <x v="0"/>
    <x v="1"/>
    <s v="DK2_NoDH_PHH"/>
    <x v="1"/>
    <n v="35.989199999999997"/>
    <n v="9.9969999999999999"/>
  </r>
  <r>
    <x v="0"/>
    <x v="33"/>
    <x v="0"/>
    <x v="1"/>
    <s v="DK2_NoDH_PHH"/>
    <x v="2"/>
    <n v="46.08"/>
    <n v="12.8"/>
  </r>
  <r>
    <x v="0"/>
    <x v="33"/>
    <x v="0"/>
    <x v="1"/>
    <s v="DK2_NoDH_PHH"/>
    <x v="0"/>
    <n v="42.692399999999999"/>
    <n v="11.859"/>
  </r>
  <r>
    <x v="0"/>
    <x v="33"/>
    <x v="0"/>
    <x v="1"/>
    <s v="DK2_NoDH_PHH"/>
    <x v="3"/>
    <n v="51.633543144067197"/>
    <n v="14.342650873352"/>
  </r>
  <r>
    <x v="0"/>
    <x v="33"/>
    <x v="0"/>
    <x v="1"/>
    <s v="DK2_NoDH_PHH"/>
    <x v="4"/>
    <n v="6.3500778790389401"/>
    <n v="1.76391052195526"/>
  </r>
  <r>
    <x v="0"/>
    <x v="33"/>
    <x v="0"/>
    <x v="1"/>
    <s v="DK2_NoDH_PHH"/>
    <x v="5"/>
    <n v="6.3500778790389401"/>
    <n v="1.76391052195526"/>
  </r>
  <r>
    <x v="0"/>
    <x v="33"/>
    <x v="0"/>
    <x v="1"/>
    <s v="DK2_NoDH_PHH"/>
    <x v="6"/>
    <n v="29.476231795214598"/>
    <n v="8.1878421653373898"/>
  </r>
  <r>
    <x v="0"/>
    <x v="33"/>
    <x v="0"/>
    <x v="1"/>
    <s v="DK2_NoDH_PHH"/>
    <x v="7"/>
    <n v="57.838935220261199"/>
    <n v="16.066370894517"/>
  </r>
  <r>
    <x v="0"/>
    <x v="33"/>
    <x v="0"/>
    <x v="1"/>
    <s v="DK2_NoDH_PHH"/>
    <x v="8"/>
    <n v="57.838935220261199"/>
    <n v="16.066370894517"/>
  </r>
  <r>
    <x v="0"/>
    <x v="33"/>
    <x v="0"/>
    <x v="1"/>
    <s v="DK2_NoDH_PHH"/>
    <x v="9"/>
    <n v="44.4505451532725"/>
    <n v="12.3473736536868"/>
  </r>
  <r>
    <x v="0"/>
    <x v="33"/>
    <x v="0"/>
    <x v="1"/>
    <s v="DK2_NoDH_PHH"/>
    <x v="10"/>
    <n v="53.975661971830903"/>
    <n v="14.993239436619699"/>
  </r>
  <r>
    <x v="0"/>
    <x v="33"/>
    <x v="0"/>
    <x v="1"/>
    <s v="DK2_NoDH_PHH"/>
    <x v="11"/>
    <n v="3.8806031483015802"/>
    <n v="1.07794531897266"/>
  </r>
  <r>
    <x v="0"/>
    <x v="33"/>
    <x v="0"/>
    <x v="1"/>
    <s v="DK2_NoDH_PHH"/>
    <x v="12"/>
    <n v="9.7995028997514597E-2"/>
    <n v="2.72208413881985E-2"/>
  </r>
  <r>
    <x v="0"/>
    <x v="33"/>
    <x v="0"/>
    <x v="1"/>
    <s v="DK2_NoDH_PHH"/>
    <x v="13"/>
    <n v="29.633696768848399"/>
    <n v="8.2315824357912195"/>
  </r>
  <r>
    <x v="0"/>
    <x v="33"/>
    <x v="0"/>
    <x v="1"/>
    <s v="DK2_NoDH_PHH"/>
    <x v="14"/>
    <n v="29.633696768848399"/>
    <n v="8.2315824357912195"/>
  </r>
  <r>
    <x v="0"/>
    <x v="33"/>
    <x v="0"/>
    <x v="1"/>
    <s v="DK2_NoDH_PHH"/>
    <x v="15"/>
    <n v="1.65807589063794"/>
    <n v="0.46057663628831802"/>
  </r>
  <r>
    <x v="0"/>
    <x v="33"/>
    <x v="0"/>
    <x v="1"/>
    <s v="DK2_NoDH_PHH"/>
    <x v="16"/>
    <n v="6.4638978602906896"/>
    <n v="1.79552718341408"/>
  </r>
  <r>
    <x v="0"/>
    <x v="33"/>
    <x v="0"/>
    <x v="1"/>
    <s v="DK2_NoDH_PHH"/>
    <x v="17"/>
    <n v="9.1244895875632395"/>
    <n v="2.5345804409897901"/>
  </r>
  <r>
    <x v="0"/>
    <x v="33"/>
    <x v="0"/>
    <x v="1"/>
    <s v="DK2_NoDH_PHH"/>
    <x v="18"/>
    <n v="29.633696768848399"/>
    <n v="8.2315824357912195"/>
  </r>
  <r>
    <x v="0"/>
    <x v="33"/>
    <x v="0"/>
    <x v="1"/>
    <s v="DK2_NoDH_PHH"/>
    <x v="19"/>
    <n v="8.1139884009941898"/>
    <n v="2.2538856669428302"/>
  </r>
  <r>
    <x v="0"/>
    <x v="33"/>
    <x v="0"/>
    <x v="1"/>
    <s v="DK2_NoDH_PHH"/>
    <x v="20"/>
    <n v="22.109183021311601"/>
    <n v="6.1414397281420996"/>
  </r>
  <r>
    <x v="0"/>
    <x v="33"/>
    <x v="0"/>
    <x v="1"/>
    <s v="DK2_NoDH_PHH"/>
    <x v="21"/>
    <n v="48.24"/>
    <n v="13.4"/>
  </r>
  <r>
    <x v="0"/>
    <x v="33"/>
    <x v="0"/>
    <x v="1"/>
    <s v="DK2_NoDH_PHH"/>
    <x v="22"/>
    <n v="67.680000000000007"/>
    <n v="18.8"/>
  </r>
  <r>
    <x v="0"/>
    <x v="33"/>
    <x v="0"/>
    <x v="1"/>
    <s v="DK2_NoDH_PHH"/>
    <x v="23"/>
    <n v="0.31515896120488701"/>
    <n v="8.7544155890246306E-2"/>
  </r>
  <r>
    <x v="0"/>
    <x v="33"/>
    <x v="0"/>
    <x v="1"/>
    <s v="DK2_NoDH_PHH"/>
    <x v="24"/>
    <n v="19.174223581093901"/>
    <n v="5.32617321697054"/>
  </r>
  <r>
    <x v="0"/>
    <x v="33"/>
    <x v="0"/>
    <x v="1"/>
    <s v="DK2_NoDH_PHH"/>
    <x v="25"/>
    <n v="26.209507293842599"/>
    <n v="7.2804186927340497"/>
  </r>
  <r>
    <x v="0"/>
    <x v="33"/>
    <x v="0"/>
    <x v="1"/>
    <s v="DK2_NoDH_PHH"/>
    <x v="26"/>
    <n v="33.320887798496699"/>
    <n v="9.2558021662490795"/>
  </r>
  <r>
    <x v="0"/>
    <x v="33"/>
    <x v="0"/>
    <x v="1"/>
    <s v="DK2_NoDH_PHH"/>
    <x v="27"/>
    <n v="20.163995508318798"/>
    <n v="5.6011098634218799"/>
  </r>
  <r>
    <x v="0"/>
    <x v="33"/>
    <x v="0"/>
    <x v="1"/>
    <s v="DK2_NoDH_PHL"/>
    <x v="1"/>
    <n v="35.989199999999997"/>
    <n v="9.9969999999999999"/>
  </r>
  <r>
    <x v="0"/>
    <x v="33"/>
    <x v="0"/>
    <x v="1"/>
    <s v="DK2_NoDH_PHL"/>
    <x v="2"/>
    <n v="46.08"/>
    <n v="12.8"/>
  </r>
  <r>
    <x v="0"/>
    <x v="33"/>
    <x v="0"/>
    <x v="1"/>
    <s v="DK2_NoDH_PHL"/>
    <x v="0"/>
    <n v="42.692399999999999"/>
    <n v="11.859"/>
  </r>
  <r>
    <x v="0"/>
    <x v="33"/>
    <x v="0"/>
    <x v="1"/>
    <s v="DK2_NoDH_PHL"/>
    <x v="3"/>
    <n v="51.633543144067197"/>
    <n v="14.342650873352"/>
  </r>
  <r>
    <x v="0"/>
    <x v="33"/>
    <x v="0"/>
    <x v="1"/>
    <s v="DK2_NoDH_PHL"/>
    <x v="4"/>
    <n v="6.3500778790389401"/>
    <n v="1.76391052195526"/>
  </r>
  <r>
    <x v="0"/>
    <x v="33"/>
    <x v="0"/>
    <x v="1"/>
    <s v="DK2_NoDH_PHL"/>
    <x v="5"/>
    <n v="6.3500778790389401"/>
    <n v="1.76391052195526"/>
  </r>
  <r>
    <x v="0"/>
    <x v="33"/>
    <x v="0"/>
    <x v="1"/>
    <s v="DK2_NoDH_PHL"/>
    <x v="6"/>
    <n v="29.476231795214598"/>
    <n v="8.1878421653373898"/>
  </r>
  <r>
    <x v="0"/>
    <x v="33"/>
    <x v="0"/>
    <x v="1"/>
    <s v="DK2_NoDH_PHL"/>
    <x v="7"/>
    <n v="57.838935220261199"/>
    <n v="16.066370894517"/>
  </r>
  <r>
    <x v="0"/>
    <x v="33"/>
    <x v="0"/>
    <x v="1"/>
    <s v="DK2_NoDH_PHL"/>
    <x v="8"/>
    <n v="57.838935220261199"/>
    <n v="16.066370894517"/>
  </r>
  <r>
    <x v="0"/>
    <x v="33"/>
    <x v="0"/>
    <x v="1"/>
    <s v="DK2_NoDH_PHL"/>
    <x v="9"/>
    <n v="44.4505451532725"/>
    <n v="12.3473736536868"/>
  </r>
  <r>
    <x v="0"/>
    <x v="33"/>
    <x v="0"/>
    <x v="1"/>
    <s v="DK2_NoDH_PHL"/>
    <x v="10"/>
    <n v="53.975661971830903"/>
    <n v="14.993239436619699"/>
  </r>
  <r>
    <x v="0"/>
    <x v="33"/>
    <x v="0"/>
    <x v="1"/>
    <s v="DK2_NoDH_PHL"/>
    <x v="11"/>
    <n v="3.8806031483015802"/>
    <n v="1.07794531897266"/>
  </r>
  <r>
    <x v="0"/>
    <x v="33"/>
    <x v="0"/>
    <x v="1"/>
    <s v="DK2_NoDH_PHL"/>
    <x v="12"/>
    <n v="9.7995028997514597E-2"/>
    <n v="2.72208413881985E-2"/>
  </r>
  <r>
    <x v="0"/>
    <x v="33"/>
    <x v="0"/>
    <x v="1"/>
    <s v="DK2_NoDH_PHL"/>
    <x v="13"/>
    <n v="29.633696768848399"/>
    <n v="8.2315824357912195"/>
  </r>
  <r>
    <x v="0"/>
    <x v="33"/>
    <x v="0"/>
    <x v="1"/>
    <s v="DK2_NoDH_PHL"/>
    <x v="14"/>
    <n v="29.633696768848399"/>
    <n v="8.2315824357912195"/>
  </r>
  <r>
    <x v="0"/>
    <x v="33"/>
    <x v="0"/>
    <x v="1"/>
    <s v="DK2_NoDH_PHL"/>
    <x v="15"/>
    <n v="1.65807589063794"/>
    <n v="0.46057663628831802"/>
  </r>
  <r>
    <x v="0"/>
    <x v="33"/>
    <x v="0"/>
    <x v="1"/>
    <s v="DK2_NoDH_PHL"/>
    <x v="16"/>
    <n v="6.4638978602906896"/>
    <n v="1.79552718341408"/>
  </r>
  <r>
    <x v="0"/>
    <x v="33"/>
    <x v="0"/>
    <x v="1"/>
    <s v="DK2_NoDH_PHL"/>
    <x v="17"/>
    <n v="9.1244895875632395"/>
    <n v="2.5345804409897901"/>
  </r>
  <r>
    <x v="0"/>
    <x v="33"/>
    <x v="0"/>
    <x v="1"/>
    <s v="DK2_NoDH_PHL"/>
    <x v="18"/>
    <n v="29.633696768848399"/>
    <n v="8.2315824357912195"/>
  </r>
  <r>
    <x v="0"/>
    <x v="33"/>
    <x v="0"/>
    <x v="1"/>
    <s v="DK2_NoDH_PHL"/>
    <x v="19"/>
    <n v="8.1139884009941898"/>
    <n v="2.2538856669428302"/>
  </r>
  <r>
    <x v="0"/>
    <x v="33"/>
    <x v="0"/>
    <x v="1"/>
    <s v="DK2_NoDH_PHL"/>
    <x v="20"/>
    <n v="22.109183021311601"/>
    <n v="6.1414397281420996"/>
  </r>
  <r>
    <x v="0"/>
    <x v="33"/>
    <x v="0"/>
    <x v="1"/>
    <s v="DK2_NoDH_PHL"/>
    <x v="21"/>
    <n v="48.24"/>
    <n v="13.4"/>
  </r>
  <r>
    <x v="0"/>
    <x v="33"/>
    <x v="0"/>
    <x v="1"/>
    <s v="DK2_NoDH_PHL"/>
    <x v="22"/>
    <n v="67.680000000000007"/>
    <n v="18.8"/>
  </r>
  <r>
    <x v="0"/>
    <x v="33"/>
    <x v="0"/>
    <x v="1"/>
    <s v="DK2_NoDH_PHL"/>
    <x v="23"/>
    <n v="0.31515896120488701"/>
    <n v="8.7544155890246306E-2"/>
  </r>
  <r>
    <x v="0"/>
    <x v="33"/>
    <x v="0"/>
    <x v="1"/>
    <s v="DK2_NoDH_PHL"/>
    <x v="24"/>
    <n v="19.174223581093901"/>
    <n v="5.32617321697054"/>
  </r>
  <r>
    <x v="0"/>
    <x v="33"/>
    <x v="0"/>
    <x v="1"/>
    <s v="DK2_NoDH_PHL"/>
    <x v="25"/>
    <n v="26.209507293842599"/>
    <n v="7.2804186927340497"/>
  </r>
  <r>
    <x v="0"/>
    <x v="33"/>
    <x v="0"/>
    <x v="1"/>
    <s v="DK2_NoDH_PHL"/>
    <x v="26"/>
    <n v="33.320887798496699"/>
    <n v="9.2558021662490795"/>
  </r>
  <r>
    <x v="0"/>
    <x v="33"/>
    <x v="0"/>
    <x v="1"/>
    <s v="DK2_NoDH_PHL"/>
    <x v="27"/>
    <n v="20.163995508318798"/>
    <n v="5.6011098634218799"/>
  </r>
  <r>
    <x v="0"/>
    <x v="33"/>
    <x v="0"/>
    <x v="1"/>
    <s v="DK2_Offshore"/>
    <x v="1"/>
    <n v="35.989199999999997"/>
    <n v="9.9969999999999999"/>
  </r>
  <r>
    <x v="0"/>
    <x v="33"/>
    <x v="0"/>
    <x v="1"/>
    <s v="DK2_Offshore"/>
    <x v="2"/>
    <n v="46.08"/>
    <n v="12.8"/>
  </r>
  <r>
    <x v="0"/>
    <x v="33"/>
    <x v="0"/>
    <x v="1"/>
    <s v="DK2_Offshore"/>
    <x v="0"/>
    <n v="42.692399999999999"/>
    <n v="11.859"/>
  </r>
  <r>
    <x v="0"/>
    <x v="33"/>
    <x v="0"/>
    <x v="1"/>
    <s v="DK2_Offshore"/>
    <x v="3"/>
    <n v="51.633543144067197"/>
    <n v="14.342650873352"/>
  </r>
  <r>
    <x v="0"/>
    <x v="33"/>
    <x v="0"/>
    <x v="1"/>
    <s v="DK2_Offshore"/>
    <x v="4"/>
    <n v="6.3500778790389401"/>
    <n v="1.76391052195526"/>
  </r>
  <r>
    <x v="0"/>
    <x v="33"/>
    <x v="0"/>
    <x v="1"/>
    <s v="DK2_Offshore"/>
    <x v="5"/>
    <n v="6.3500778790389401"/>
    <n v="1.76391052195526"/>
  </r>
  <r>
    <x v="0"/>
    <x v="33"/>
    <x v="0"/>
    <x v="1"/>
    <s v="DK2_Offshore"/>
    <x v="6"/>
    <n v="29.476231795214598"/>
    <n v="8.1878421653373898"/>
  </r>
  <r>
    <x v="0"/>
    <x v="33"/>
    <x v="0"/>
    <x v="1"/>
    <s v="DK2_Offshore"/>
    <x v="7"/>
    <n v="57.838935220261199"/>
    <n v="16.066370894517"/>
  </r>
  <r>
    <x v="0"/>
    <x v="33"/>
    <x v="0"/>
    <x v="1"/>
    <s v="DK2_Offshore"/>
    <x v="8"/>
    <n v="57.838935220261199"/>
    <n v="16.066370894517"/>
  </r>
  <r>
    <x v="0"/>
    <x v="33"/>
    <x v="0"/>
    <x v="1"/>
    <s v="DK2_Offshore"/>
    <x v="9"/>
    <n v="44.4505451532725"/>
    <n v="12.3473736536868"/>
  </r>
  <r>
    <x v="0"/>
    <x v="33"/>
    <x v="0"/>
    <x v="1"/>
    <s v="DK2_Offshore"/>
    <x v="10"/>
    <n v="53.975661971830903"/>
    <n v="14.993239436619699"/>
  </r>
  <r>
    <x v="0"/>
    <x v="33"/>
    <x v="0"/>
    <x v="1"/>
    <s v="DK2_Offshore"/>
    <x v="11"/>
    <n v="3.8806031483015802"/>
    <n v="1.07794531897266"/>
  </r>
  <r>
    <x v="0"/>
    <x v="33"/>
    <x v="0"/>
    <x v="1"/>
    <s v="DK2_Offshore"/>
    <x v="12"/>
    <n v="9.7995028997514597E-2"/>
    <n v="2.72208413881985E-2"/>
  </r>
  <r>
    <x v="0"/>
    <x v="33"/>
    <x v="0"/>
    <x v="1"/>
    <s v="DK2_Offshore"/>
    <x v="13"/>
    <n v="29.633696768848399"/>
    <n v="8.2315824357912195"/>
  </r>
  <r>
    <x v="0"/>
    <x v="33"/>
    <x v="0"/>
    <x v="1"/>
    <s v="DK2_Offshore"/>
    <x v="14"/>
    <n v="29.633696768848399"/>
    <n v="8.2315824357912195"/>
  </r>
  <r>
    <x v="0"/>
    <x v="33"/>
    <x v="0"/>
    <x v="1"/>
    <s v="DK2_Offshore"/>
    <x v="15"/>
    <n v="1.65807589063794"/>
    <n v="0.46057663628831802"/>
  </r>
  <r>
    <x v="0"/>
    <x v="33"/>
    <x v="0"/>
    <x v="1"/>
    <s v="DK2_Offshore"/>
    <x v="16"/>
    <n v="6.4638978602906896"/>
    <n v="1.79552718341408"/>
  </r>
  <r>
    <x v="0"/>
    <x v="33"/>
    <x v="0"/>
    <x v="1"/>
    <s v="DK2_Offshore"/>
    <x v="17"/>
    <n v="9.1244895875632395"/>
    <n v="2.5345804409897901"/>
  </r>
  <r>
    <x v="0"/>
    <x v="33"/>
    <x v="0"/>
    <x v="1"/>
    <s v="DK2_Offshore"/>
    <x v="18"/>
    <n v="29.633696768848399"/>
    <n v="8.2315824357912195"/>
  </r>
  <r>
    <x v="0"/>
    <x v="33"/>
    <x v="0"/>
    <x v="1"/>
    <s v="DK2_Offshore"/>
    <x v="19"/>
    <n v="8.1139884009941898"/>
    <n v="2.2538856669428302"/>
  </r>
  <r>
    <x v="0"/>
    <x v="33"/>
    <x v="0"/>
    <x v="1"/>
    <s v="DK2_Offshore"/>
    <x v="20"/>
    <n v="22.109183021311601"/>
    <n v="6.1414397281420996"/>
  </r>
  <r>
    <x v="0"/>
    <x v="33"/>
    <x v="0"/>
    <x v="1"/>
    <s v="DK2_Offshore"/>
    <x v="21"/>
    <n v="48.24"/>
    <n v="13.4"/>
  </r>
  <r>
    <x v="0"/>
    <x v="33"/>
    <x v="0"/>
    <x v="1"/>
    <s v="DK2_Offshore"/>
    <x v="22"/>
    <n v="67.680000000000007"/>
    <n v="18.8"/>
  </r>
  <r>
    <x v="0"/>
    <x v="33"/>
    <x v="0"/>
    <x v="1"/>
    <s v="DK2_Offshore"/>
    <x v="23"/>
    <n v="0.31515896120488701"/>
    <n v="8.7544155890246306E-2"/>
  </r>
  <r>
    <x v="0"/>
    <x v="33"/>
    <x v="0"/>
    <x v="1"/>
    <s v="DK2_Offshore"/>
    <x v="24"/>
    <n v="19.174223581093901"/>
    <n v="5.32617321697054"/>
  </r>
  <r>
    <x v="0"/>
    <x v="33"/>
    <x v="0"/>
    <x v="1"/>
    <s v="DK2_Offshore"/>
    <x v="25"/>
    <n v="26.209507293842599"/>
    <n v="7.2804186927340497"/>
  </r>
  <r>
    <x v="0"/>
    <x v="33"/>
    <x v="0"/>
    <x v="1"/>
    <s v="DK2_Offshore"/>
    <x v="26"/>
    <n v="33.320887798496699"/>
    <n v="9.2558021662490795"/>
  </r>
  <r>
    <x v="0"/>
    <x v="33"/>
    <x v="0"/>
    <x v="1"/>
    <s v="DK2_Offshore"/>
    <x v="27"/>
    <n v="20.163995508318798"/>
    <n v="5.6011098634218799"/>
  </r>
  <r>
    <x v="0"/>
    <x v="33"/>
    <x v="0"/>
    <x v="1"/>
    <s v="DK2_Rural"/>
    <x v="1"/>
    <n v="35.989199999999997"/>
    <n v="9.9969999999999999"/>
  </r>
  <r>
    <x v="0"/>
    <x v="33"/>
    <x v="0"/>
    <x v="1"/>
    <s v="DK2_Rural"/>
    <x v="2"/>
    <n v="46.08"/>
    <n v="12.8"/>
  </r>
  <r>
    <x v="0"/>
    <x v="33"/>
    <x v="0"/>
    <x v="1"/>
    <s v="DK2_Rural"/>
    <x v="0"/>
    <n v="42.692399999999999"/>
    <n v="11.859"/>
  </r>
  <r>
    <x v="0"/>
    <x v="33"/>
    <x v="0"/>
    <x v="1"/>
    <s v="DK2_Rural"/>
    <x v="3"/>
    <n v="51.633543144067197"/>
    <n v="14.342650873352"/>
  </r>
  <r>
    <x v="0"/>
    <x v="33"/>
    <x v="0"/>
    <x v="1"/>
    <s v="DK2_Rural"/>
    <x v="4"/>
    <n v="6.3500778790389401"/>
    <n v="1.76391052195526"/>
  </r>
  <r>
    <x v="0"/>
    <x v="33"/>
    <x v="0"/>
    <x v="1"/>
    <s v="DK2_Rural"/>
    <x v="5"/>
    <n v="6.3500778790389401"/>
    <n v="1.76391052195526"/>
  </r>
  <r>
    <x v="0"/>
    <x v="33"/>
    <x v="0"/>
    <x v="1"/>
    <s v="DK2_Rural"/>
    <x v="6"/>
    <n v="29.476231795214598"/>
    <n v="8.1878421653373898"/>
  </r>
  <r>
    <x v="0"/>
    <x v="33"/>
    <x v="0"/>
    <x v="1"/>
    <s v="DK2_Rural"/>
    <x v="7"/>
    <n v="57.838935220261199"/>
    <n v="16.066370894517"/>
  </r>
  <r>
    <x v="0"/>
    <x v="33"/>
    <x v="0"/>
    <x v="1"/>
    <s v="DK2_Rural"/>
    <x v="8"/>
    <n v="57.838935220261199"/>
    <n v="16.066370894517"/>
  </r>
  <r>
    <x v="0"/>
    <x v="33"/>
    <x v="0"/>
    <x v="1"/>
    <s v="DK2_Rural"/>
    <x v="9"/>
    <n v="44.4505451532725"/>
    <n v="12.3473736536868"/>
  </r>
  <r>
    <x v="0"/>
    <x v="33"/>
    <x v="0"/>
    <x v="1"/>
    <s v="DK2_Rural"/>
    <x v="10"/>
    <n v="53.975661971830903"/>
    <n v="14.993239436619699"/>
  </r>
  <r>
    <x v="0"/>
    <x v="33"/>
    <x v="0"/>
    <x v="1"/>
    <s v="DK2_Rural"/>
    <x v="11"/>
    <n v="3.8806031483015802"/>
    <n v="1.07794531897266"/>
  </r>
  <r>
    <x v="0"/>
    <x v="33"/>
    <x v="0"/>
    <x v="1"/>
    <s v="DK2_Rural"/>
    <x v="12"/>
    <n v="9.7995028997514597E-2"/>
    <n v="2.72208413881985E-2"/>
  </r>
  <r>
    <x v="0"/>
    <x v="33"/>
    <x v="0"/>
    <x v="1"/>
    <s v="DK2_Rural"/>
    <x v="13"/>
    <n v="29.633696768848399"/>
    <n v="8.2315824357912195"/>
  </r>
  <r>
    <x v="0"/>
    <x v="33"/>
    <x v="0"/>
    <x v="1"/>
    <s v="DK2_Rural"/>
    <x v="14"/>
    <n v="29.633696768848399"/>
    <n v="8.2315824357912195"/>
  </r>
  <r>
    <x v="0"/>
    <x v="33"/>
    <x v="0"/>
    <x v="1"/>
    <s v="DK2_Rural"/>
    <x v="15"/>
    <n v="1.65807589063794"/>
    <n v="0.46057663628831802"/>
  </r>
  <r>
    <x v="0"/>
    <x v="33"/>
    <x v="0"/>
    <x v="1"/>
    <s v="DK2_Rural"/>
    <x v="16"/>
    <n v="6.4638978602906896"/>
    <n v="1.79552718341408"/>
  </r>
  <r>
    <x v="0"/>
    <x v="33"/>
    <x v="0"/>
    <x v="1"/>
    <s v="DK2_Rural"/>
    <x v="17"/>
    <n v="9.1244895875632395"/>
    <n v="2.5345804409897901"/>
  </r>
  <r>
    <x v="0"/>
    <x v="33"/>
    <x v="0"/>
    <x v="1"/>
    <s v="DK2_Rural"/>
    <x v="18"/>
    <n v="29.633696768848399"/>
    <n v="8.2315824357912195"/>
  </r>
  <r>
    <x v="0"/>
    <x v="33"/>
    <x v="0"/>
    <x v="1"/>
    <s v="DK2_Rural"/>
    <x v="19"/>
    <n v="8.1139884009941898"/>
    <n v="2.2538856669428302"/>
  </r>
  <r>
    <x v="0"/>
    <x v="33"/>
    <x v="0"/>
    <x v="1"/>
    <s v="DK2_Rural"/>
    <x v="20"/>
    <n v="22.109183021311601"/>
    <n v="6.1414397281420996"/>
  </r>
  <r>
    <x v="0"/>
    <x v="33"/>
    <x v="0"/>
    <x v="1"/>
    <s v="DK2_Rural"/>
    <x v="21"/>
    <n v="48.24"/>
    <n v="13.4"/>
  </r>
  <r>
    <x v="0"/>
    <x v="33"/>
    <x v="0"/>
    <x v="1"/>
    <s v="DK2_Rural"/>
    <x v="22"/>
    <n v="67.680000000000007"/>
    <n v="18.8"/>
  </r>
  <r>
    <x v="0"/>
    <x v="33"/>
    <x v="0"/>
    <x v="1"/>
    <s v="DK2_Rural"/>
    <x v="23"/>
    <n v="0.31515896120488701"/>
    <n v="8.7544155890246306E-2"/>
  </r>
  <r>
    <x v="0"/>
    <x v="33"/>
    <x v="0"/>
    <x v="1"/>
    <s v="DK2_Rural"/>
    <x v="24"/>
    <n v="19.174223581093901"/>
    <n v="5.32617321697054"/>
  </r>
  <r>
    <x v="0"/>
    <x v="33"/>
    <x v="0"/>
    <x v="1"/>
    <s v="DK2_Rural"/>
    <x v="25"/>
    <n v="26.209507293842599"/>
    <n v="7.2804186927340497"/>
  </r>
  <r>
    <x v="0"/>
    <x v="33"/>
    <x v="0"/>
    <x v="1"/>
    <s v="DK2_Rural"/>
    <x v="26"/>
    <n v="33.320887798496699"/>
    <n v="9.2558021662490795"/>
  </r>
  <r>
    <x v="0"/>
    <x v="33"/>
    <x v="0"/>
    <x v="1"/>
    <s v="DK2_Rural"/>
    <x v="27"/>
    <n v="20.163995508318798"/>
    <n v="5.6011098634218799"/>
  </r>
  <r>
    <x v="0"/>
    <x v="33"/>
    <x v="0"/>
    <x v="1"/>
    <s v="DK2_Small"/>
    <x v="1"/>
    <n v="35.989199999999997"/>
    <n v="9.9969999999999999"/>
  </r>
  <r>
    <x v="0"/>
    <x v="33"/>
    <x v="0"/>
    <x v="1"/>
    <s v="DK2_Small"/>
    <x v="2"/>
    <n v="46.08"/>
    <n v="12.8"/>
  </r>
  <r>
    <x v="0"/>
    <x v="33"/>
    <x v="0"/>
    <x v="1"/>
    <s v="DK2_Small"/>
    <x v="0"/>
    <n v="42.692399999999999"/>
    <n v="11.859"/>
  </r>
  <r>
    <x v="0"/>
    <x v="33"/>
    <x v="0"/>
    <x v="1"/>
    <s v="DK2_Small"/>
    <x v="3"/>
    <n v="51.633543144067197"/>
    <n v="14.342650873352"/>
  </r>
  <r>
    <x v="0"/>
    <x v="33"/>
    <x v="0"/>
    <x v="1"/>
    <s v="DK2_Small"/>
    <x v="4"/>
    <n v="6.3500778790389401"/>
    <n v="1.76391052195526"/>
  </r>
  <r>
    <x v="0"/>
    <x v="33"/>
    <x v="0"/>
    <x v="1"/>
    <s v="DK2_Small"/>
    <x v="5"/>
    <n v="6.3500778790389401"/>
    <n v="1.76391052195526"/>
  </r>
  <r>
    <x v="0"/>
    <x v="33"/>
    <x v="0"/>
    <x v="1"/>
    <s v="DK2_Small"/>
    <x v="6"/>
    <n v="29.476231795214598"/>
    <n v="8.1878421653373898"/>
  </r>
  <r>
    <x v="0"/>
    <x v="33"/>
    <x v="0"/>
    <x v="1"/>
    <s v="DK2_Small"/>
    <x v="7"/>
    <n v="57.838935220261199"/>
    <n v="16.066370894517"/>
  </r>
  <r>
    <x v="0"/>
    <x v="33"/>
    <x v="0"/>
    <x v="1"/>
    <s v="DK2_Small"/>
    <x v="8"/>
    <n v="57.838935220261199"/>
    <n v="16.066370894517"/>
  </r>
  <r>
    <x v="0"/>
    <x v="33"/>
    <x v="0"/>
    <x v="1"/>
    <s v="DK2_Small"/>
    <x v="9"/>
    <n v="44.4505451532725"/>
    <n v="12.3473736536868"/>
  </r>
  <r>
    <x v="0"/>
    <x v="33"/>
    <x v="0"/>
    <x v="1"/>
    <s v="DK2_Small"/>
    <x v="10"/>
    <n v="53.975661971830903"/>
    <n v="14.993239436619699"/>
  </r>
  <r>
    <x v="0"/>
    <x v="33"/>
    <x v="0"/>
    <x v="1"/>
    <s v="DK2_Small"/>
    <x v="11"/>
    <n v="3.8806031483015802"/>
    <n v="1.07794531897266"/>
  </r>
  <r>
    <x v="0"/>
    <x v="33"/>
    <x v="0"/>
    <x v="1"/>
    <s v="DK2_Small"/>
    <x v="12"/>
    <n v="9.7995028997514597E-2"/>
    <n v="2.72208413881985E-2"/>
  </r>
  <r>
    <x v="0"/>
    <x v="33"/>
    <x v="0"/>
    <x v="1"/>
    <s v="DK2_Small"/>
    <x v="13"/>
    <n v="29.633696768848399"/>
    <n v="8.2315824357912195"/>
  </r>
  <r>
    <x v="0"/>
    <x v="33"/>
    <x v="0"/>
    <x v="1"/>
    <s v="DK2_Small"/>
    <x v="14"/>
    <n v="29.633696768848399"/>
    <n v="8.2315824357912195"/>
  </r>
  <r>
    <x v="0"/>
    <x v="33"/>
    <x v="0"/>
    <x v="1"/>
    <s v="DK2_Small"/>
    <x v="15"/>
    <n v="1.65807589063794"/>
    <n v="0.46057663628831802"/>
  </r>
  <r>
    <x v="0"/>
    <x v="33"/>
    <x v="0"/>
    <x v="1"/>
    <s v="DK2_Small"/>
    <x v="16"/>
    <n v="6.4638978602906896"/>
    <n v="1.79552718341408"/>
  </r>
  <r>
    <x v="0"/>
    <x v="33"/>
    <x v="0"/>
    <x v="1"/>
    <s v="DK2_Small"/>
    <x v="17"/>
    <n v="9.1244895875632395"/>
    <n v="2.5345804409897901"/>
  </r>
  <r>
    <x v="0"/>
    <x v="33"/>
    <x v="0"/>
    <x v="1"/>
    <s v="DK2_Small"/>
    <x v="18"/>
    <n v="29.633696768848399"/>
    <n v="8.2315824357912195"/>
  </r>
  <r>
    <x v="0"/>
    <x v="33"/>
    <x v="0"/>
    <x v="1"/>
    <s v="DK2_Small"/>
    <x v="19"/>
    <n v="8.1139884009941898"/>
    <n v="2.2538856669428302"/>
  </r>
  <r>
    <x v="0"/>
    <x v="33"/>
    <x v="0"/>
    <x v="1"/>
    <s v="DK2_Small"/>
    <x v="20"/>
    <n v="22.109183021311601"/>
    <n v="6.1414397281420996"/>
  </r>
  <r>
    <x v="0"/>
    <x v="33"/>
    <x v="0"/>
    <x v="1"/>
    <s v="DK2_Small"/>
    <x v="21"/>
    <n v="48.24"/>
    <n v="13.4"/>
  </r>
  <r>
    <x v="0"/>
    <x v="33"/>
    <x v="0"/>
    <x v="1"/>
    <s v="DK2_Small"/>
    <x v="22"/>
    <n v="67.680000000000007"/>
    <n v="18.8"/>
  </r>
  <r>
    <x v="0"/>
    <x v="33"/>
    <x v="0"/>
    <x v="1"/>
    <s v="DK2_Small"/>
    <x v="23"/>
    <n v="0.31515896120488701"/>
    <n v="8.7544155890246306E-2"/>
  </r>
  <r>
    <x v="0"/>
    <x v="33"/>
    <x v="0"/>
    <x v="1"/>
    <s v="DK2_Small"/>
    <x v="24"/>
    <n v="19.174223581093901"/>
    <n v="5.32617321697054"/>
  </r>
  <r>
    <x v="0"/>
    <x v="33"/>
    <x v="0"/>
    <x v="1"/>
    <s v="DK2_Small"/>
    <x v="25"/>
    <n v="26.209507293842599"/>
    <n v="7.2804186927340497"/>
  </r>
  <r>
    <x v="0"/>
    <x v="33"/>
    <x v="0"/>
    <x v="1"/>
    <s v="DK2_Small"/>
    <x v="26"/>
    <n v="33.320887798496699"/>
    <n v="9.2558021662490795"/>
  </r>
  <r>
    <x v="0"/>
    <x v="33"/>
    <x v="0"/>
    <x v="1"/>
    <s v="DK2_Small"/>
    <x v="27"/>
    <n v="20.163995508318798"/>
    <n v="5.6011098634218799"/>
  </r>
  <r>
    <x v="0"/>
    <x v="33"/>
    <x v="1"/>
    <x v="2"/>
    <s v="EE_A"/>
    <x v="1"/>
    <n v="35.989199999999997"/>
    <n v="9.9969999999999999"/>
  </r>
  <r>
    <x v="0"/>
    <x v="33"/>
    <x v="1"/>
    <x v="2"/>
    <s v="EE_A"/>
    <x v="2"/>
    <n v="46.08"/>
    <n v="12.8"/>
  </r>
  <r>
    <x v="0"/>
    <x v="33"/>
    <x v="1"/>
    <x v="2"/>
    <s v="EE_A"/>
    <x v="0"/>
    <n v="42.692399999999999"/>
    <n v="11.859"/>
  </r>
  <r>
    <x v="0"/>
    <x v="33"/>
    <x v="1"/>
    <x v="2"/>
    <s v="EE_A"/>
    <x v="3"/>
    <n v="51.633543144067197"/>
    <n v="14.342650873352"/>
  </r>
  <r>
    <x v="0"/>
    <x v="33"/>
    <x v="1"/>
    <x v="2"/>
    <s v="EE_A"/>
    <x v="4"/>
    <n v="6.3500778790389401"/>
    <n v="1.76391052195526"/>
  </r>
  <r>
    <x v="0"/>
    <x v="33"/>
    <x v="1"/>
    <x v="2"/>
    <s v="EE_A"/>
    <x v="5"/>
    <n v="6.3500778790389401"/>
    <n v="1.76391052195526"/>
  </r>
  <r>
    <x v="0"/>
    <x v="33"/>
    <x v="1"/>
    <x v="2"/>
    <s v="EE_A"/>
    <x v="6"/>
    <n v="29.476231795214598"/>
    <n v="8.1878421653373898"/>
  </r>
  <r>
    <x v="0"/>
    <x v="33"/>
    <x v="1"/>
    <x v="2"/>
    <s v="EE_A"/>
    <x v="7"/>
    <n v="57.838935220261199"/>
    <n v="16.066370894517"/>
  </r>
  <r>
    <x v="0"/>
    <x v="33"/>
    <x v="1"/>
    <x v="2"/>
    <s v="EE_A"/>
    <x v="8"/>
    <n v="57.838935220261199"/>
    <n v="16.066370894517"/>
  </r>
  <r>
    <x v="0"/>
    <x v="33"/>
    <x v="1"/>
    <x v="2"/>
    <s v="EE_A"/>
    <x v="9"/>
    <n v="44.4505451532725"/>
    <n v="12.3473736536868"/>
  </r>
  <r>
    <x v="0"/>
    <x v="33"/>
    <x v="1"/>
    <x v="2"/>
    <s v="EE_A"/>
    <x v="10"/>
    <n v="53.975661971830903"/>
    <n v="14.993239436619699"/>
  </r>
  <r>
    <x v="0"/>
    <x v="33"/>
    <x v="1"/>
    <x v="2"/>
    <s v="EE_A"/>
    <x v="11"/>
    <n v="3.8806031483015802"/>
    <n v="1.07794531897266"/>
  </r>
  <r>
    <x v="0"/>
    <x v="33"/>
    <x v="1"/>
    <x v="2"/>
    <s v="EE_A"/>
    <x v="12"/>
    <n v="9.7995028997514597E-2"/>
    <n v="2.72208413881985E-2"/>
  </r>
  <r>
    <x v="0"/>
    <x v="33"/>
    <x v="1"/>
    <x v="2"/>
    <s v="EE_A"/>
    <x v="13"/>
    <n v="29.633696768848399"/>
    <n v="8.2315824357912195"/>
  </r>
  <r>
    <x v="0"/>
    <x v="33"/>
    <x v="1"/>
    <x v="2"/>
    <s v="EE_A"/>
    <x v="14"/>
    <n v="29.633696768848399"/>
    <n v="8.2315824357912195"/>
  </r>
  <r>
    <x v="0"/>
    <x v="33"/>
    <x v="1"/>
    <x v="2"/>
    <s v="EE_A"/>
    <x v="15"/>
    <n v="1.65807589063794"/>
    <n v="0.46057663628831802"/>
  </r>
  <r>
    <x v="0"/>
    <x v="33"/>
    <x v="1"/>
    <x v="2"/>
    <s v="EE_A"/>
    <x v="16"/>
    <n v="6.4638978602906896"/>
    <n v="1.79552718341408"/>
  </r>
  <r>
    <x v="0"/>
    <x v="33"/>
    <x v="1"/>
    <x v="2"/>
    <s v="EE_A"/>
    <x v="17"/>
    <n v="9.1244895875632395"/>
    <n v="2.5345804409897901"/>
  </r>
  <r>
    <x v="0"/>
    <x v="33"/>
    <x v="1"/>
    <x v="2"/>
    <s v="EE_A"/>
    <x v="18"/>
    <n v="29.633696768848399"/>
    <n v="8.2315824357912195"/>
  </r>
  <r>
    <x v="0"/>
    <x v="33"/>
    <x v="1"/>
    <x v="2"/>
    <s v="EE_A"/>
    <x v="19"/>
    <n v="8.1139884009941898"/>
    <n v="2.2538856669428302"/>
  </r>
  <r>
    <x v="0"/>
    <x v="33"/>
    <x v="1"/>
    <x v="2"/>
    <s v="EE_A"/>
    <x v="20"/>
    <n v="22.109183021311601"/>
    <n v="6.1414397281420996"/>
  </r>
  <r>
    <x v="0"/>
    <x v="33"/>
    <x v="1"/>
    <x v="2"/>
    <s v="EE_A"/>
    <x v="21"/>
    <n v="48.24"/>
    <n v="13.4"/>
  </r>
  <r>
    <x v="0"/>
    <x v="33"/>
    <x v="1"/>
    <x v="2"/>
    <s v="EE_A"/>
    <x v="22"/>
    <n v="67.680000000000007"/>
    <n v="18.8"/>
  </r>
  <r>
    <x v="0"/>
    <x v="33"/>
    <x v="1"/>
    <x v="2"/>
    <s v="EE_A"/>
    <x v="23"/>
    <n v="0.31515896120488701"/>
    <n v="8.7544155890246306E-2"/>
  </r>
  <r>
    <x v="0"/>
    <x v="33"/>
    <x v="1"/>
    <x v="2"/>
    <s v="EE_A"/>
    <x v="24"/>
    <n v="19.174223581093901"/>
    <n v="5.32617321697054"/>
  </r>
  <r>
    <x v="0"/>
    <x v="33"/>
    <x v="1"/>
    <x v="2"/>
    <s v="EE_A"/>
    <x v="25"/>
    <n v="26.209507293842599"/>
    <n v="7.2804186927340497"/>
  </r>
  <r>
    <x v="0"/>
    <x v="33"/>
    <x v="1"/>
    <x v="2"/>
    <s v="EE_A"/>
    <x v="26"/>
    <n v="33.320887798496699"/>
    <n v="9.2558021662490795"/>
  </r>
  <r>
    <x v="0"/>
    <x v="33"/>
    <x v="1"/>
    <x v="2"/>
    <s v="EE_A"/>
    <x v="27"/>
    <n v="20.163995508318798"/>
    <n v="5.6011098634218799"/>
  </r>
  <r>
    <x v="0"/>
    <x v="33"/>
    <x v="1"/>
    <x v="2"/>
    <s v="EE_Enefit"/>
    <x v="1"/>
    <n v="35.989199999999997"/>
    <n v="9.9969999999999999"/>
  </r>
  <r>
    <x v="0"/>
    <x v="33"/>
    <x v="1"/>
    <x v="2"/>
    <s v="EE_Enefit"/>
    <x v="2"/>
    <n v="46.08"/>
    <n v="12.8"/>
  </r>
  <r>
    <x v="0"/>
    <x v="33"/>
    <x v="1"/>
    <x v="2"/>
    <s v="EE_Enefit"/>
    <x v="0"/>
    <n v="42.692399999999999"/>
    <n v="11.859"/>
  </r>
  <r>
    <x v="0"/>
    <x v="33"/>
    <x v="1"/>
    <x v="2"/>
    <s v="EE_Enefit"/>
    <x v="3"/>
    <n v="51.633543144067197"/>
    <n v="14.342650873352"/>
  </r>
  <r>
    <x v="0"/>
    <x v="33"/>
    <x v="1"/>
    <x v="2"/>
    <s v="EE_Enefit"/>
    <x v="4"/>
    <n v="6.3500778790389401"/>
    <n v="1.76391052195526"/>
  </r>
  <r>
    <x v="0"/>
    <x v="33"/>
    <x v="1"/>
    <x v="2"/>
    <s v="EE_Enefit"/>
    <x v="5"/>
    <n v="6.3500778790389401"/>
    <n v="1.76391052195526"/>
  </r>
  <r>
    <x v="0"/>
    <x v="33"/>
    <x v="1"/>
    <x v="2"/>
    <s v="EE_Enefit"/>
    <x v="6"/>
    <n v="29.476231795214598"/>
    <n v="8.1878421653373898"/>
  </r>
  <r>
    <x v="0"/>
    <x v="33"/>
    <x v="1"/>
    <x v="2"/>
    <s v="EE_Enefit"/>
    <x v="7"/>
    <n v="57.838935220261199"/>
    <n v="16.066370894517"/>
  </r>
  <r>
    <x v="0"/>
    <x v="33"/>
    <x v="1"/>
    <x v="2"/>
    <s v="EE_Enefit"/>
    <x v="8"/>
    <n v="57.838935220261199"/>
    <n v="16.066370894517"/>
  </r>
  <r>
    <x v="0"/>
    <x v="33"/>
    <x v="1"/>
    <x v="2"/>
    <s v="EE_Enefit"/>
    <x v="9"/>
    <n v="44.4505451532725"/>
    <n v="12.3473736536868"/>
  </r>
  <r>
    <x v="0"/>
    <x v="33"/>
    <x v="1"/>
    <x v="2"/>
    <s v="EE_Enefit"/>
    <x v="10"/>
    <n v="53.975661971830903"/>
    <n v="14.993239436619699"/>
  </r>
  <r>
    <x v="0"/>
    <x v="33"/>
    <x v="1"/>
    <x v="2"/>
    <s v="EE_Enefit"/>
    <x v="11"/>
    <n v="3.8806031483015802"/>
    <n v="1.07794531897266"/>
  </r>
  <r>
    <x v="0"/>
    <x v="33"/>
    <x v="1"/>
    <x v="2"/>
    <s v="EE_Enefit"/>
    <x v="12"/>
    <n v="9.7995028997514597E-2"/>
    <n v="2.72208413881985E-2"/>
  </r>
  <r>
    <x v="0"/>
    <x v="33"/>
    <x v="1"/>
    <x v="2"/>
    <s v="EE_Enefit"/>
    <x v="13"/>
    <n v="29.633696768848399"/>
    <n v="8.2315824357912195"/>
  </r>
  <r>
    <x v="0"/>
    <x v="33"/>
    <x v="1"/>
    <x v="2"/>
    <s v="EE_Enefit"/>
    <x v="14"/>
    <n v="29.633696768848399"/>
    <n v="8.2315824357912195"/>
  </r>
  <r>
    <x v="0"/>
    <x v="33"/>
    <x v="1"/>
    <x v="2"/>
    <s v="EE_Enefit"/>
    <x v="15"/>
    <n v="1.65807589063794"/>
    <n v="0.46057663628831802"/>
  </r>
  <r>
    <x v="0"/>
    <x v="33"/>
    <x v="1"/>
    <x v="2"/>
    <s v="EE_Enefit"/>
    <x v="16"/>
    <n v="6.4638978602906896"/>
    <n v="1.79552718341408"/>
  </r>
  <r>
    <x v="0"/>
    <x v="33"/>
    <x v="1"/>
    <x v="2"/>
    <s v="EE_Enefit"/>
    <x v="17"/>
    <n v="9.1244895875632395"/>
    <n v="2.5345804409897901"/>
  </r>
  <r>
    <x v="0"/>
    <x v="33"/>
    <x v="1"/>
    <x v="2"/>
    <s v="EE_Enefit"/>
    <x v="18"/>
    <n v="29.633696768848399"/>
    <n v="8.2315824357912195"/>
  </r>
  <r>
    <x v="0"/>
    <x v="33"/>
    <x v="1"/>
    <x v="2"/>
    <s v="EE_Enefit"/>
    <x v="19"/>
    <n v="8.1139884009941898"/>
    <n v="2.2538856669428302"/>
  </r>
  <r>
    <x v="0"/>
    <x v="33"/>
    <x v="1"/>
    <x v="2"/>
    <s v="EE_Enefit"/>
    <x v="20"/>
    <n v="22.109183021311601"/>
    <n v="6.1414397281420996"/>
  </r>
  <r>
    <x v="0"/>
    <x v="33"/>
    <x v="1"/>
    <x v="2"/>
    <s v="EE_Enefit"/>
    <x v="21"/>
    <n v="48.24"/>
    <n v="13.4"/>
  </r>
  <r>
    <x v="0"/>
    <x v="33"/>
    <x v="1"/>
    <x v="2"/>
    <s v="EE_Enefit"/>
    <x v="22"/>
    <n v="67.680000000000007"/>
    <n v="18.8"/>
  </r>
  <r>
    <x v="0"/>
    <x v="33"/>
    <x v="1"/>
    <x v="2"/>
    <s v="EE_Enefit"/>
    <x v="23"/>
    <n v="0.31515896120488701"/>
    <n v="8.7544155890246306E-2"/>
  </r>
  <r>
    <x v="0"/>
    <x v="33"/>
    <x v="1"/>
    <x v="2"/>
    <s v="EE_Enefit"/>
    <x v="24"/>
    <n v="19.174223581093901"/>
    <n v="5.32617321697054"/>
  </r>
  <r>
    <x v="0"/>
    <x v="33"/>
    <x v="1"/>
    <x v="2"/>
    <s v="EE_Enefit"/>
    <x v="25"/>
    <n v="26.209507293842599"/>
    <n v="7.2804186927340497"/>
  </r>
  <r>
    <x v="0"/>
    <x v="33"/>
    <x v="1"/>
    <x v="2"/>
    <s v="EE_Enefit"/>
    <x v="26"/>
    <n v="33.320887798496699"/>
    <n v="9.2558021662490795"/>
  </r>
  <r>
    <x v="0"/>
    <x v="33"/>
    <x v="1"/>
    <x v="2"/>
    <s v="EE_Enefit"/>
    <x v="27"/>
    <n v="20.163995508318798"/>
    <n v="5.6011098634218799"/>
  </r>
  <r>
    <x v="0"/>
    <x v="33"/>
    <x v="1"/>
    <x v="2"/>
    <s v="EE_Industry"/>
    <x v="1"/>
    <n v="35.989199999999997"/>
    <n v="9.9969999999999999"/>
  </r>
  <r>
    <x v="0"/>
    <x v="33"/>
    <x v="1"/>
    <x v="2"/>
    <s v="EE_Industry"/>
    <x v="2"/>
    <n v="46.08"/>
    <n v="12.8"/>
  </r>
  <r>
    <x v="0"/>
    <x v="33"/>
    <x v="1"/>
    <x v="2"/>
    <s v="EE_Industry"/>
    <x v="0"/>
    <n v="42.692399999999999"/>
    <n v="11.859"/>
  </r>
  <r>
    <x v="0"/>
    <x v="33"/>
    <x v="1"/>
    <x v="2"/>
    <s v="EE_Industry"/>
    <x v="3"/>
    <n v="51.633543144067197"/>
    <n v="14.342650873352"/>
  </r>
  <r>
    <x v="0"/>
    <x v="33"/>
    <x v="1"/>
    <x v="2"/>
    <s v="EE_Industry"/>
    <x v="4"/>
    <n v="6.3500778790389401"/>
    <n v="1.76391052195526"/>
  </r>
  <r>
    <x v="0"/>
    <x v="33"/>
    <x v="1"/>
    <x v="2"/>
    <s v="EE_Industry"/>
    <x v="5"/>
    <n v="6.3500778790389401"/>
    <n v="1.76391052195526"/>
  </r>
  <r>
    <x v="0"/>
    <x v="33"/>
    <x v="1"/>
    <x v="2"/>
    <s v="EE_Industry"/>
    <x v="6"/>
    <n v="29.476231795214598"/>
    <n v="8.1878421653373898"/>
  </r>
  <r>
    <x v="0"/>
    <x v="33"/>
    <x v="1"/>
    <x v="2"/>
    <s v="EE_Industry"/>
    <x v="7"/>
    <n v="57.838935220261199"/>
    <n v="16.066370894517"/>
  </r>
  <r>
    <x v="0"/>
    <x v="33"/>
    <x v="1"/>
    <x v="2"/>
    <s v="EE_Industry"/>
    <x v="8"/>
    <n v="57.838935220261199"/>
    <n v="16.066370894517"/>
  </r>
  <r>
    <x v="0"/>
    <x v="33"/>
    <x v="1"/>
    <x v="2"/>
    <s v="EE_Industry"/>
    <x v="9"/>
    <n v="44.4505451532725"/>
    <n v="12.3473736536868"/>
  </r>
  <r>
    <x v="0"/>
    <x v="33"/>
    <x v="1"/>
    <x v="2"/>
    <s v="EE_Industry"/>
    <x v="10"/>
    <n v="53.975661971830903"/>
    <n v="14.993239436619699"/>
  </r>
  <r>
    <x v="0"/>
    <x v="33"/>
    <x v="1"/>
    <x v="2"/>
    <s v="EE_Industry"/>
    <x v="11"/>
    <n v="3.8806031483015802"/>
    <n v="1.07794531897266"/>
  </r>
  <r>
    <x v="0"/>
    <x v="33"/>
    <x v="1"/>
    <x v="2"/>
    <s v="EE_Industry"/>
    <x v="12"/>
    <n v="9.7995028997514597E-2"/>
    <n v="2.72208413881985E-2"/>
  </r>
  <r>
    <x v="0"/>
    <x v="33"/>
    <x v="1"/>
    <x v="2"/>
    <s v="EE_Industry"/>
    <x v="13"/>
    <n v="29.633696768848399"/>
    <n v="8.2315824357912195"/>
  </r>
  <r>
    <x v="0"/>
    <x v="33"/>
    <x v="1"/>
    <x v="2"/>
    <s v="EE_Industry"/>
    <x v="14"/>
    <n v="29.633696768848399"/>
    <n v="8.2315824357912195"/>
  </r>
  <r>
    <x v="0"/>
    <x v="33"/>
    <x v="1"/>
    <x v="2"/>
    <s v="EE_Industry"/>
    <x v="15"/>
    <n v="1.65807589063794"/>
    <n v="0.46057663628831802"/>
  </r>
  <r>
    <x v="0"/>
    <x v="33"/>
    <x v="1"/>
    <x v="2"/>
    <s v="EE_Industry"/>
    <x v="16"/>
    <n v="6.4638978602906896"/>
    <n v="1.79552718341408"/>
  </r>
  <r>
    <x v="0"/>
    <x v="33"/>
    <x v="1"/>
    <x v="2"/>
    <s v="EE_Industry"/>
    <x v="17"/>
    <n v="9.1244895875632395"/>
    <n v="2.5345804409897901"/>
  </r>
  <r>
    <x v="0"/>
    <x v="33"/>
    <x v="1"/>
    <x v="2"/>
    <s v="EE_Industry"/>
    <x v="18"/>
    <n v="29.633696768848399"/>
    <n v="8.2315824357912195"/>
  </r>
  <r>
    <x v="0"/>
    <x v="33"/>
    <x v="1"/>
    <x v="2"/>
    <s v="EE_Industry"/>
    <x v="19"/>
    <n v="8.1139884009941898"/>
    <n v="2.2538856669428302"/>
  </r>
  <r>
    <x v="0"/>
    <x v="33"/>
    <x v="1"/>
    <x v="2"/>
    <s v="EE_Industry"/>
    <x v="20"/>
    <n v="22.109183021311601"/>
    <n v="6.1414397281420996"/>
  </r>
  <r>
    <x v="0"/>
    <x v="33"/>
    <x v="1"/>
    <x v="2"/>
    <s v="EE_Industry"/>
    <x v="21"/>
    <n v="48.24"/>
    <n v="13.4"/>
  </r>
  <r>
    <x v="0"/>
    <x v="33"/>
    <x v="1"/>
    <x v="2"/>
    <s v="EE_Industry"/>
    <x v="22"/>
    <n v="67.680000000000007"/>
    <n v="18.8"/>
  </r>
  <r>
    <x v="0"/>
    <x v="33"/>
    <x v="1"/>
    <x v="2"/>
    <s v="EE_Industry"/>
    <x v="23"/>
    <n v="0.31515896120488701"/>
    <n v="8.7544155890246306E-2"/>
  </r>
  <r>
    <x v="0"/>
    <x v="33"/>
    <x v="1"/>
    <x v="2"/>
    <s v="EE_Industry"/>
    <x v="24"/>
    <n v="19.174223581093901"/>
    <n v="5.32617321697054"/>
  </r>
  <r>
    <x v="0"/>
    <x v="33"/>
    <x v="1"/>
    <x v="2"/>
    <s v="EE_Industry"/>
    <x v="25"/>
    <n v="26.209507293842599"/>
    <n v="7.2804186927340497"/>
  </r>
  <r>
    <x v="0"/>
    <x v="33"/>
    <x v="1"/>
    <x v="2"/>
    <s v="EE_Industry"/>
    <x v="26"/>
    <n v="33.320887798496699"/>
    <n v="9.2558021662490795"/>
  </r>
  <r>
    <x v="0"/>
    <x v="33"/>
    <x v="1"/>
    <x v="2"/>
    <s v="EE_Industry"/>
    <x v="27"/>
    <n v="20.163995508318798"/>
    <n v="5.6011098634218799"/>
  </r>
  <r>
    <x v="0"/>
    <x v="33"/>
    <x v="1"/>
    <x v="2"/>
    <s v="EE_Kohtla_Jarve"/>
    <x v="1"/>
    <n v="35.989199999999997"/>
    <n v="9.9969999999999999"/>
  </r>
  <r>
    <x v="0"/>
    <x v="33"/>
    <x v="1"/>
    <x v="2"/>
    <s v="EE_Kohtla_Jarve"/>
    <x v="2"/>
    <n v="46.08"/>
    <n v="12.8"/>
  </r>
  <r>
    <x v="0"/>
    <x v="33"/>
    <x v="1"/>
    <x v="2"/>
    <s v="EE_Kohtla_Jarve"/>
    <x v="0"/>
    <n v="42.692399999999999"/>
    <n v="11.859"/>
  </r>
  <r>
    <x v="0"/>
    <x v="33"/>
    <x v="1"/>
    <x v="2"/>
    <s v="EE_Kohtla_Jarve"/>
    <x v="3"/>
    <n v="51.633543144067197"/>
    <n v="14.342650873352"/>
  </r>
  <r>
    <x v="0"/>
    <x v="33"/>
    <x v="1"/>
    <x v="2"/>
    <s v="EE_Kohtla_Jarve"/>
    <x v="4"/>
    <n v="6.3500778790389401"/>
    <n v="1.76391052195526"/>
  </r>
  <r>
    <x v="0"/>
    <x v="33"/>
    <x v="1"/>
    <x v="2"/>
    <s v="EE_Kohtla_Jarve"/>
    <x v="5"/>
    <n v="6.3500778790389401"/>
    <n v="1.76391052195526"/>
  </r>
  <r>
    <x v="0"/>
    <x v="33"/>
    <x v="1"/>
    <x v="2"/>
    <s v="EE_Kohtla_Jarve"/>
    <x v="6"/>
    <n v="29.476231795214598"/>
    <n v="8.1878421653373898"/>
  </r>
  <r>
    <x v="0"/>
    <x v="33"/>
    <x v="1"/>
    <x v="2"/>
    <s v="EE_Kohtla_Jarve"/>
    <x v="7"/>
    <n v="57.838935220261199"/>
    <n v="16.066370894517"/>
  </r>
  <r>
    <x v="0"/>
    <x v="33"/>
    <x v="1"/>
    <x v="2"/>
    <s v="EE_Kohtla_Jarve"/>
    <x v="8"/>
    <n v="57.838935220261199"/>
    <n v="16.066370894517"/>
  </r>
  <r>
    <x v="0"/>
    <x v="33"/>
    <x v="1"/>
    <x v="2"/>
    <s v="EE_Kohtla_Jarve"/>
    <x v="9"/>
    <n v="44.4505451532725"/>
    <n v="12.3473736536868"/>
  </r>
  <r>
    <x v="0"/>
    <x v="33"/>
    <x v="1"/>
    <x v="2"/>
    <s v="EE_Kohtla_Jarve"/>
    <x v="10"/>
    <n v="53.975661971830903"/>
    <n v="14.993239436619699"/>
  </r>
  <r>
    <x v="0"/>
    <x v="33"/>
    <x v="1"/>
    <x v="2"/>
    <s v="EE_Kohtla_Jarve"/>
    <x v="11"/>
    <n v="3.8806031483015802"/>
    <n v="1.07794531897266"/>
  </r>
  <r>
    <x v="0"/>
    <x v="33"/>
    <x v="1"/>
    <x v="2"/>
    <s v="EE_Kohtla_Jarve"/>
    <x v="12"/>
    <n v="9.7995028997514597E-2"/>
    <n v="2.72208413881985E-2"/>
  </r>
  <r>
    <x v="0"/>
    <x v="33"/>
    <x v="1"/>
    <x v="2"/>
    <s v="EE_Kohtla_Jarve"/>
    <x v="13"/>
    <n v="29.633696768848399"/>
    <n v="8.2315824357912195"/>
  </r>
  <r>
    <x v="0"/>
    <x v="33"/>
    <x v="1"/>
    <x v="2"/>
    <s v="EE_Kohtla_Jarve"/>
    <x v="14"/>
    <n v="29.633696768848399"/>
    <n v="8.2315824357912195"/>
  </r>
  <r>
    <x v="0"/>
    <x v="33"/>
    <x v="1"/>
    <x v="2"/>
    <s v="EE_Kohtla_Jarve"/>
    <x v="15"/>
    <n v="1.65807589063794"/>
    <n v="0.46057663628831802"/>
  </r>
  <r>
    <x v="0"/>
    <x v="33"/>
    <x v="1"/>
    <x v="2"/>
    <s v="EE_Kohtla_Jarve"/>
    <x v="16"/>
    <n v="6.4638978602906896"/>
    <n v="1.79552718341408"/>
  </r>
  <r>
    <x v="0"/>
    <x v="33"/>
    <x v="1"/>
    <x v="2"/>
    <s v="EE_Kohtla_Jarve"/>
    <x v="17"/>
    <n v="9.1244895875632395"/>
    <n v="2.5345804409897901"/>
  </r>
  <r>
    <x v="0"/>
    <x v="33"/>
    <x v="1"/>
    <x v="2"/>
    <s v="EE_Kohtla_Jarve"/>
    <x v="18"/>
    <n v="29.633696768848399"/>
    <n v="8.2315824357912195"/>
  </r>
  <r>
    <x v="0"/>
    <x v="33"/>
    <x v="1"/>
    <x v="2"/>
    <s v="EE_Kohtla_Jarve"/>
    <x v="19"/>
    <n v="8.1139884009941898"/>
    <n v="2.2538856669428302"/>
  </r>
  <r>
    <x v="0"/>
    <x v="33"/>
    <x v="1"/>
    <x v="2"/>
    <s v="EE_Kohtla_Jarve"/>
    <x v="20"/>
    <n v="22.109183021311601"/>
    <n v="6.1414397281420996"/>
  </r>
  <r>
    <x v="0"/>
    <x v="33"/>
    <x v="1"/>
    <x v="2"/>
    <s v="EE_Kohtla_Jarve"/>
    <x v="21"/>
    <n v="48.24"/>
    <n v="13.4"/>
  </r>
  <r>
    <x v="0"/>
    <x v="33"/>
    <x v="1"/>
    <x v="2"/>
    <s v="EE_Kohtla_Jarve"/>
    <x v="22"/>
    <n v="67.680000000000007"/>
    <n v="18.8"/>
  </r>
  <r>
    <x v="0"/>
    <x v="33"/>
    <x v="1"/>
    <x v="2"/>
    <s v="EE_Kohtla_Jarve"/>
    <x v="23"/>
    <n v="0.31515896120488701"/>
    <n v="8.7544155890246306E-2"/>
  </r>
  <r>
    <x v="0"/>
    <x v="33"/>
    <x v="1"/>
    <x v="2"/>
    <s v="EE_Kohtla_Jarve"/>
    <x v="24"/>
    <n v="19.174223581093901"/>
    <n v="5.32617321697054"/>
  </r>
  <r>
    <x v="0"/>
    <x v="33"/>
    <x v="1"/>
    <x v="2"/>
    <s v="EE_Kohtla_Jarve"/>
    <x v="25"/>
    <n v="26.209507293842599"/>
    <n v="7.2804186927340497"/>
  </r>
  <r>
    <x v="0"/>
    <x v="33"/>
    <x v="1"/>
    <x v="2"/>
    <s v="EE_Kohtla_Jarve"/>
    <x v="26"/>
    <n v="33.320887798496699"/>
    <n v="9.2558021662490795"/>
  </r>
  <r>
    <x v="0"/>
    <x v="33"/>
    <x v="1"/>
    <x v="2"/>
    <s v="EE_Kohtla_Jarve"/>
    <x v="27"/>
    <n v="20.163995508318798"/>
    <n v="5.6011098634218799"/>
  </r>
  <r>
    <x v="0"/>
    <x v="33"/>
    <x v="1"/>
    <x v="2"/>
    <s v="EE_Narva"/>
    <x v="1"/>
    <n v="35.989199999999997"/>
    <n v="9.9969999999999999"/>
  </r>
  <r>
    <x v="0"/>
    <x v="33"/>
    <x v="1"/>
    <x v="2"/>
    <s v="EE_Narva"/>
    <x v="2"/>
    <n v="46.08"/>
    <n v="12.8"/>
  </r>
  <r>
    <x v="0"/>
    <x v="33"/>
    <x v="1"/>
    <x v="2"/>
    <s v="EE_Narva"/>
    <x v="0"/>
    <n v="42.692399999999999"/>
    <n v="11.859"/>
  </r>
  <r>
    <x v="0"/>
    <x v="33"/>
    <x v="1"/>
    <x v="2"/>
    <s v="EE_Narva"/>
    <x v="3"/>
    <n v="51.633543144067197"/>
    <n v="14.342650873352"/>
  </r>
  <r>
    <x v="0"/>
    <x v="33"/>
    <x v="1"/>
    <x v="2"/>
    <s v="EE_Narva"/>
    <x v="4"/>
    <n v="6.3500778790389401"/>
    <n v="1.76391052195526"/>
  </r>
  <r>
    <x v="0"/>
    <x v="33"/>
    <x v="1"/>
    <x v="2"/>
    <s v="EE_Narva"/>
    <x v="5"/>
    <n v="6.3500778790389401"/>
    <n v="1.76391052195526"/>
  </r>
  <r>
    <x v="0"/>
    <x v="33"/>
    <x v="1"/>
    <x v="2"/>
    <s v="EE_Narva"/>
    <x v="6"/>
    <n v="29.476231795214598"/>
    <n v="8.1878421653373898"/>
  </r>
  <r>
    <x v="0"/>
    <x v="33"/>
    <x v="1"/>
    <x v="2"/>
    <s v="EE_Narva"/>
    <x v="7"/>
    <n v="57.838935220261199"/>
    <n v="16.066370894517"/>
  </r>
  <r>
    <x v="0"/>
    <x v="33"/>
    <x v="1"/>
    <x v="2"/>
    <s v="EE_Narva"/>
    <x v="8"/>
    <n v="57.838935220261199"/>
    <n v="16.066370894517"/>
  </r>
  <r>
    <x v="0"/>
    <x v="33"/>
    <x v="1"/>
    <x v="2"/>
    <s v="EE_Narva"/>
    <x v="9"/>
    <n v="44.4505451532725"/>
    <n v="12.3473736536868"/>
  </r>
  <r>
    <x v="0"/>
    <x v="33"/>
    <x v="1"/>
    <x v="2"/>
    <s v="EE_Narva"/>
    <x v="10"/>
    <n v="53.975661971830903"/>
    <n v="14.993239436619699"/>
  </r>
  <r>
    <x v="0"/>
    <x v="33"/>
    <x v="1"/>
    <x v="2"/>
    <s v="EE_Narva"/>
    <x v="11"/>
    <n v="3.8806031483015802"/>
    <n v="1.07794531897266"/>
  </r>
  <r>
    <x v="0"/>
    <x v="33"/>
    <x v="1"/>
    <x v="2"/>
    <s v="EE_Narva"/>
    <x v="12"/>
    <n v="9.7995028997514597E-2"/>
    <n v="2.72208413881985E-2"/>
  </r>
  <r>
    <x v="0"/>
    <x v="33"/>
    <x v="1"/>
    <x v="2"/>
    <s v="EE_Narva"/>
    <x v="13"/>
    <n v="29.633696768848399"/>
    <n v="8.2315824357912195"/>
  </r>
  <r>
    <x v="0"/>
    <x v="33"/>
    <x v="1"/>
    <x v="2"/>
    <s v="EE_Narva"/>
    <x v="14"/>
    <n v="29.633696768848399"/>
    <n v="8.2315824357912195"/>
  </r>
  <r>
    <x v="0"/>
    <x v="33"/>
    <x v="1"/>
    <x v="2"/>
    <s v="EE_Narva"/>
    <x v="15"/>
    <n v="1.65807589063794"/>
    <n v="0.46057663628831802"/>
  </r>
  <r>
    <x v="0"/>
    <x v="33"/>
    <x v="1"/>
    <x v="2"/>
    <s v="EE_Narva"/>
    <x v="16"/>
    <n v="6.4638978602906896"/>
    <n v="1.79552718341408"/>
  </r>
  <r>
    <x v="0"/>
    <x v="33"/>
    <x v="1"/>
    <x v="2"/>
    <s v="EE_Narva"/>
    <x v="17"/>
    <n v="9.1244895875632395"/>
    <n v="2.5345804409897901"/>
  </r>
  <r>
    <x v="0"/>
    <x v="33"/>
    <x v="1"/>
    <x v="2"/>
    <s v="EE_Narva"/>
    <x v="18"/>
    <n v="29.633696768848399"/>
    <n v="8.2315824357912195"/>
  </r>
  <r>
    <x v="0"/>
    <x v="33"/>
    <x v="1"/>
    <x v="2"/>
    <s v="EE_Narva"/>
    <x v="19"/>
    <n v="8.1139884009941898"/>
    <n v="2.2538856669428302"/>
  </r>
  <r>
    <x v="0"/>
    <x v="33"/>
    <x v="1"/>
    <x v="2"/>
    <s v="EE_Narva"/>
    <x v="20"/>
    <n v="22.109183021311601"/>
    <n v="6.1414397281420996"/>
  </r>
  <r>
    <x v="0"/>
    <x v="33"/>
    <x v="1"/>
    <x v="2"/>
    <s v="EE_Narva"/>
    <x v="21"/>
    <n v="48.24"/>
    <n v="13.4"/>
  </r>
  <r>
    <x v="0"/>
    <x v="33"/>
    <x v="1"/>
    <x v="2"/>
    <s v="EE_Narva"/>
    <x v="22"/>
    <n v="67.680000000000007"/>
    <n v="18.8"/>
  </r>
  <r>
    <x v="0"/>
    <x v="33"/>
    <x v="1"/>
    <x v="2"/>
    <s v="EE_Narva"/>
    <x v="23"/>
    <n v="0.31515896120488701"/>
    <n v="8.7544155890246306E-2"/>
  </r>
  <r>
    <x v="0"/>
    <x v="33"/>
    <x v="1"/>
    <x v="2"/>
    <s v="EE_Narva"/>
    <x v="24"/>
    <n v="19.174223581093901"/>
    <n v="5.32617321697054"/>
  </r>
  <r>
    <x v="0"/>
    <x v="33"/>
    <x v="1"/>
    <x v="2"/>
    <s v="EE_Narva"/>
    <x v="25"/>
    <n v="26.209507293842599"/>
    <n v="7.2804186927340497"/>
  </r>
  <r>
    <x v="0"/>
    <x v="33"/>
    <x v="1"/>
    <x v="2"/>
    <s v="EE_Narva"/>
    <x v="26"/>
    <n v="33.320887798496699"/>
    <n v="9.2558021662490795"/>
  </r>
  <r>
    <x v="0"/>
    <x v="33"/>
    <x v="1"/>
    <x v="2"/>
    <s v="EE_Narva"/>
    <x v="27"/>
    <n v="20.163995508318798"/>
    <n v="5.6011098634218799"/>
  </r>
  <r>
    <x v="0"/>
    <x v="33"/>
    <x v="1"/>
    <x v="2"/>
    <s v="EE_OFFSHORE"/>
    <x v="1"/>
    <n v="35.989199999999997"/>
    <n v="9.9969999999999999"/>
  </r>
  <r>
    <x v="0"/>
    <x v="33"/>
    <x v="1"/>
    <x v="2"/>
    <s v="EE_OFFSHORE"/>
    <x v="2"/>
    <n v="46.08"/>
    <n v="12.8"/>
  </r>
  <r>
    <x v="0"/>
    <x v="33"/>
    <x v="1"/>
    <x v="2"/>
    <s v="EE_OFFSHORE"/>
    <x v="0"/>
    <n v="42.692399999999999"/>
    <n v="11.859"/>
  </r>
  <r>
    <x v="0"/>
    <x v="33"/>
    <x v="1"/>
    <x v="2"/>
    <s v="EE_OFFSHORE"/>
    <x v="3"/>
    <n v="51.633543144067197"/>
    <n v="14.342650873352"/>
  </r>
  <r>
    <x v="0"/>
    <x v="33"/>
    <x v="1"/>
    <x v="2"/>
    <s v="EE_OFFSHORE"/>
    <x v="4"/>
    <n v="6.3500778790389401"/>
    <n v="1.76391052195526"/>
  </r>
  <r>
    <x v="0"/>
    <x v="33"/>
    <x v="1"/>
    <x v="2"/>
    <s v="EE_OFFSHORE"/>
    <x v="5"/>
    <n v="6.3500778790389401"/>
    <n v="1.76391052195526"/>
  </r>
  <r>
    <x v="0"/>
    <x v="33"/>
    <x v="1"/>
    <x v="2"/>
    <s v="EE_OFFSHORE"/>
    <x v="6"/>
    <n v="29.476231795214598"/>
    <n v="8.1878421653373898"/>
  </r>
  <r>
    <x v="0"/>
    <x v="33"/>
    <x v="1"/>
    <x v="2"/>
    <s v="EE_OFFSHORE"/>
    <x v="7"/>
    <n v="57.838935220261199"/>
    <n v="16.066370894517"/>
  </r>
  <r>
    <x v="0"/>
    <x v="33"/>
    <x v="1"/>
    <x v="2"/>
    <s v="EE_OFFSHORE"/>
    <x v="8"/>
    <n v="57.838935220261199"/>
    <n v="16.066370894517"/>
  </r>
  <r>
    <x v="0"/>
    <x v="33"/>
    <x v="1"/>
    <x v="2"/>
    <s v="EE_OFFSHORE"/>
    <x v="9"/>
    <n v="44.4505451532725"/>
    <n v="12.3473736536868"/>
  </r>
  <r>
    <x v="0"/>
    <x v="33"/>
    <x v="1"/>
    <x v="2"/>
    <s v="EE_OFFSHORE"/>
    <x v="10"/>
    <n v="53.975661971830903"/>
    <n v="14.993239436619699"/>
  </r>
  <r>
    <x v="0"/>
    <x v="33"/>
    <x v="1"/>
    <x v="2"/>
    <s v="EE_OFFSHORE"/>
    <x v="11"/>
    <n v="3.8806031483015802"/>
    <n v="1.07794531897266"/>
  </r>
  <r>
    <x v="0"/>
    <x v="33"/>
    <x v="1"/>
    <x v="2"/>
    <s v="EE_OFFSHORE"/>
    <x v="12"/>
    <n v="9.7995028997514597E-2"/>
    <n v="2.72208413881985E-2"/>
  </r>
  <r>
    <x v="0"/>
    <x v="33"/>
    <x v="1"/>
    <x v="2"/>
    <s v="EE_OFFSHORE"/>
    <x v="13"/>
    <n v="29.633696768848399"/>
    <n v="8.2315824357912195"/>
  </r>
  <r>
    <x v="0"/>
    <x v="33"/>
    <x v="1"/>
    <x v="2"/>
    <s v="EE_OFFSHORE"/>
    <x v="14"/>
    <n v="29.633696768848399"/>
    <n v="8.2315824357912195"/>
  </r>
  <r>
    <x v="0"/>
    <x v="33"/>
    <x v="1"/>
    <x v="2"/>
    <s v="EE_OFFSHORE"/>
    <x v="15"/>
    <n v="1.65807589063794"/>
    <n v="0.46057663628831802"/>
  </r>
  <r>
    <x v="0"/>
    <x v="33"/>
    <x v="1"/>
    <x v="2"/>
    <s v="EE_OFFSHORE"/>
    <x v="16"/>
    <n v="6.4638978602906896"/>
    <n v="1.79552718341408"/>
  </r>
  <r>
    <x v="0"/>
    <x v="33"/>
    <x v="1"/>
    <x v="2"/>
    <s v="EE_OFFSHORE"/>
    <x v="17"/>
    <n v="9.1244895875632395"/>
    <n v="2.5345804409897901"/>
  </r>
  <r>
    <x v="0"/>
    <x v="33"/>
    <x v="1"/>
    <x v="2"/>
    <s v="EE_OFFSHORE"/>
    <x v="18"/>
    <n v="29.633696768848399"/>
    <n v="8.2315824357912195"/>
  </r>
  <r>
    <x v="0"/>
    <x v="33"/>
    <x v="1"/>
    <x v="2"/>
    <s v="EE_OFFSHORE"/>
    <x v="19"/>
    <n v="8.1139884009941898"/>
    <n v="2.2538856669428302"/>
  </r>
  <r>
    <x v="0"/>
    <x v="33"/>
    <x v="1"/>
    <x v="2"/>
    <s v="EE_OFFSHORE"/>
    <x v="20"/>
    <n v="22.109183021311601"/>
    <n v="6.1414397281420996"/>
  </r>
  <r>
    <x v="0"/>
    <x v="33"/>
    <x v="1"/>
    <x v="2"/>
    <s v="EE_OFFSHORE"/>
    <x v="21"/>
    <n v="48.24"/>
    <n v="13.4"/>
  </r>
  <r>
    <x v="0"/>
    <x v="33"/>
    <x v="1"/>
    <x v="2"/>
    <s v="EE_OFFSHORE"/>
    <x v="22"/>
    <n v="67.680000000000007"/>
    <n v="18.8"/>
  </r>
  <r>
    <x v="0"/>
    <x v="33"/>
    <x v="1"/>
    <x v="2"/>
    <s v="EE_OFFSHORE"/>
    <x v="23"/>
    <n v="0.31515896120488701"/>
    <n v="8.7544155890246306E-2"/>
  </r>
  <r>
    <x v="0"/>
    <x v="33"/>
    <x v="1"/>
    <x v="2"/>
    <s v="EE_OFFSHORE"/>
    <x v="24"/>
    <n v="19.174223581093901"/>
    <n v="5.32617321697054"/>
  </r>
  <r>
    <x v="0"/>
    <x v="33"/>
    <x v="1"/>
    <x v="2"/>
    <s v="EE_OFFSHORE"/>
    <x v="25"/>
    <n v="26.209507293842599"/>
    <n v="7.2804186927340497"/>
  </r>
  <r>
    <x v="0"/>
    <x v="33"/>
    <x v="1"/>
    <x v="2"/>
    <s v="EE_OFFSHORE"/>
    <x v="26"/>
    <n v="33.320887798496699"/>
    <n v="9.2558021662490795"/>
  </r>
  <r>
    <x v="0"/>
    <x v="33"/>
    <x v="1"/>
    <x v="2"/>
    <s v="EE_OFFSHORE"/>
    <x v="27"/>
    <n v="20.163995508318798"/>
    <n v="5.6011098634218799"/>
  </r>
  <r>
    <x v="0"/>
    <x v="33"/>
    <x v="1"/>
    <x v="2"/>
    <s v="EE_Parnu"/>
    <x v="1"/>
    <n v="35.989199999999997"/>
    <n v="9.9969999999999999"/>
  </r>
  <r>
    <x v="0"/>
    <x v="33"/>
    <x v="1"/>
    <x v="2"/>
    <s v="EE_Parnu"/>
    <x v="2"/>
    <n v="46.08"/>
    <n v="12.8"/>
  </r>
  <r>
    <x v="0"/>
    <x v="33"/>
    <x v="1"/>
    <x v="2"/>
    <s v="EE_Parnu"/>
    <x v="0"/>
    <n v="42.692399999999999"/>
    <n v="11.859"/>
  </r>
  <r>
    <x v="0"/>
    <x v="33"/>
    <x v="1"/>
    <x v="2"/>
    <s v="EE_Parnu"/>
    <x v="3"/>
    <n v="51.633543144067197"/>
    <n v="14.342650873352"/>
  </r>
  <r>
    <x v="0"/>
    <x v="33"/>
    <x v="1"/>
    <x v="2"/>
    <s v="EE_Parnu"/>
    <x v="4"/>
    <n v="6.3500778790389401"/>
    <n v="1.76391052195526"/>
  </r>
  <r>
    <x v="0"/>
    <x v="33"/>
    <x v="1"/>
    <x v="2"/>
    <s v="EE_Parnu"/>
    <x v="5"/>
    <n v="6.3500778790389401"/>
    <n v="1.76391052195526"/>
  </r>
  <r>
    <x v="0"/>
    <x v="33"/>
    <x v="1"/>
    <x v="2"/>
    <s v="EE_Parnu"/>
    <x v="6"/>
    <n v="29.476231795214598"/>
    <n v="8.1878421653373898"/>
  </r>
  <r>
    <x v="0"/>
    <x v="33"/>
    <x v="1"/>
    <x v="2"/>
    <s v="EE_Parnu"/>
    <x v="7"/>
    <n v="57.838935220261199"/>
    <n v="16.066370894517"/>
  </r>
  <r>
    <x v="0"/>
    <x v="33"/>
    <x v="1"/>
    <x v="2"/>
    <s v="EE_Parnu"/>
    <x v="8"/>
    <n v="57.838935220261199"/>
    <n v="16.066370894517"/>
  </r>
  <r>
    <x v="0"/>
    <x v="33"/>
    <x v="1"/>
    <x v="2"/>
    <s v="EE_Parnu"/>
    <x v="9"/>
    <n v="44.4505451532725"/>
    <n v="12.3473736536868"/>
  </r>
  <r>
    <x v="0"/>
    <x v="33"/>
    <x v="1"/>
    <x v="2"/>
    <s v="EE_Parnu"/>
    <x v="10"/>
    <n v="53.975661971830903"/>
    <n v="14.993239436619699"/>
  </r>
  <r>
    <x v="0"/>
    <x v="33"/>
    <x v="1"/>
    <x v="2"/>
    <s v="EE_Parnu"/>
    <x v="11"/>
    <n v="3.8806031483015802"/>
    <n v="1.07794531897266"/>
  </r>
  <r>
    <x v="0"/>
    <x v="33"/>
    <x v="1"/>
    <x v="2"/>
    <s v="EE_Parnu"/>
    <x v="12"/>
    <n v="9.7995028997514597E-2"/>
    <n v="2.72208413881985E-2"/>
  </r>
  <r>
    <x v="0"/>
    <x v="33"/>
    <x v="1"/>
    <x v="2"/>
    <s v="EE_Parnu"/>
    <x v="13"/>
    <n v="29.633696768848399"/>
    <n v="8.2315824357912195"/>
  </r>
  <r>
    <x v="0"/>
    <x v="33"/>
    <x v="1"/>
    <x v="2"/>
    <s v="EE_Parnu"/>
    <x v="14"/>
    <n v="29.633696768848399"/>
    <n v="8.2315824357912195"/>
  </r>
  <r>
    <x v="0"/>
    <x v="33"/>
    <x v="1"/>
    <x v="2"/>
    <s v="EE_Parnu"/>
    <x v="15"/>
    <n v="1.65807589063794"/>
    <n v="0.46057663628831802"/>
  </r>
  <r>
    <x v="0"/>
    <x v="33"/>
    <x v="1"/>
    <x v="2"/>
    <s v="EE_Parnu"/>
    <x v="16"/>
    <n v="6.4638978602906896"/>
    <n v="1.79552718341408"/>
  </r>
  <r>
    <x v="0"/>
    <x v="33"/>
    <x v="1"/>
    <x v="2"/>
    <s v="EE_Parnu"/>
    <x v="17"/>
    <n v="9.1244895875632395"/>
    <n v="2.5345804409897901"/>
  </r>
  <r>
    <x v="0"/>
    <x v="33"/>
    <x v="1"/>
    <x v="2"/>
    <s v="EE_Parnu"/>
    <x v="18"/>
    <n v="29.633696768848399"/>
    <n v="8.2315824357912195"/>
  </r>
  <r>
    <x v="0"/>
    <x v="33"/>
    <x v="1"/>
    <x v="2"/>
    <s v="EE_Parnu"/>
    <x v="19"/>
    <n v="8.1139884009941898"/>
    <n v="2.2538856669428302"/>
  </r>
  <r>
    <x v="0"/>
    <x v="33"/>
    <x v="1"/>
    <x v="2"/>
    <s v="EE_Parnu"/>
    <x v="20"/>
    <n v="22.109183021311601"/>
    <n v="6.1414397281420996"/>
  </r>
  <r>
    <x v="0"/>
    <x v="33"/>
    <x v="1"/>
    <x v="2"/>
    <s v="EE_Parnu"/>
    <x v="21"/>
    <n v="48.24"/>
    <n v="13.4"/>
  </r>
  <r>
    <x v="0"/>
    <x v="33"/>
    <x v="1"/>
    <x v="2"/>
    <s v="EE_Parnu"/>
    <x v="22"/>
    <n v="67.680000000000007"/>
    <n v="18.8"/>
  </r>
  <r>
    <x v="0"/>
    <x v="33"/>
    <x v="1"/>
    <x v="2"/>
    <s v="EE_Parnu"/>
    <x v="23"/>
    <n v="0.31515896120488701"/>
    <n v="8.7544155890246306E-2"/>
  </r>
  <r>
    <x v="0"/>
    <x v="33"/>
    <x v="1"/>
    <x v="2"/>
    <s v="EE_Parnu"/>
    <x v="24"/>
    <n v="19.174223581093901"/>
    <n v="5.32617321697054"/>
  </r>
  <r>
    <x v="0"/>
    <x v="33"/>
    <x v="1"/>
    <x v="2"/>
    <s v="EE_Parnu"/>
    <x v="25"/>
    <n v="26.209507293842599"/>
    <n v="7.2804186927340497"/>
  </r>
  <r>
    <x v="0"/>
    <x v="33"/>
    <x v="1"/>
    <x v="2"/>
    <s v="EE_Parnu"/>
    <x v="26"/>
    <n v="33.320887798496699"/>
    <n v="9.2558021662490795"/>
  </r>
  <r>
    <x v="0"/>
    <x v="33"/>
    <x v="1"/>
    <x v="2"/>
    <s v="EE_Parnu"/>
    <x v="27"/>
    <n v="20.163995508318798"/>
    <n v="5.6011098634218799"/>
  </r>
  <r>
    <x v="0"/>
    <x v="33"/>
    <x v="1"/>
    <x v="2"/>
    <s v="EE_Rural"/>
    <x v="1"/>
    <n v="35.989199999999997"/>
    <n v="9.9969999999999999"/>
  </r>
  <r>
    <x v="0"/>
    <x v="33"/>
    <x v="1"/>
    <x v="2"/>
    <s v="EE_Rural"/>
    <x v="2"/>
    <n v="46.08"/>
    <n v="12.8"/>
  </r>
  <r>
    <x v="0"/>
    <x v="33"/>
    <x v="1"/>
    <x v="2"/>
    <s v="EE_Rural"/>
    <x v="0"/>
    <n v="42.692399999999999"/>
    <n v="11.859"/>
  </r>
  <r>
    <x v="0"/>
    <x v="33"/>
    <x v="1"/>
    <x v="2"/>
    <s v="EE_Rural"/>
    <x v="3"/>
    <n v="51.633543144067197"/>
    <n v="14.342650873352"/>
  </r>
  <r>
    <x v="0"/>
    <x v="33"/>
    <x v="1"/>
    <x v="2"/>
    <s v="EE_Rural"/>
    <x v="4"/>
    <n v="6.3500778790389401"/>
    <n v="1.76391052195526"/>
  </r>
  <r>
    <x v="0"/>
    <x v="33"/>
    <x v="1"/>
    <x v="2"/>
    <s v="EE_Rural"/>
    <x v="5"/>
    <n v="6.3500778790389401"/>
    <n v="1.76391052195526"/>
  </r>
  <r>
    <x v="0"/>
    <x v="33"/>
    <x v="1"/>
    <x v="2"/>
    <s v="EE_Rural"/>
    <x v="6"/>
    <n v="29.476231795214598"/>
    <n v="8.1878421653373898"/>
  </r>
  <r>
    <x v="0"/>
    <x v="33"/>
    <x v="1"/>
    <x v="2"/>
    <s v="EE_Rural"/>
    <x v="7"/>
    <n v="57.838935220261199"/>
    <n v="16.066370894517"/>
  </r>
  <r>
    <x v="0"/>
    <x v="33"/>
    <x v="1"/>
    <x v="2"/>
    <s v="EE_Rural"/>
    <x v="8"/>
    <n v="57.838935220261199"/>
    <n v="16.066370894517"/>
  </r>
  <r>
    <x v="0"/>
    <x v="33"/>
    <x v="1"/>
    <x v="2"/>
    <s v="EE_Rural"/>
    <x v="9"/>
    <n v="44.4505451532725"/>
    <n v="12.3473736536868"/>
  </r>
  <r>
    <x v="0"/>
    <x v="33"/>
    <x v="1"/>
    <x v="2"/>
    <s v="EE_Rural"/>
    <x v="10"/>
    <n v="53.975661971830903"/>
    <n v="14.993239436619699"/>
  </r>
  <r>
    <x v="0"/>
    <x v="33"/>
    <x v="1"/>
    <x v="2"/>
    <s v="EE_Rural"/>
    <x v="11"/>
    <n v="3.8806031483015802"/>
    <n v="1.07794531897266"/>
  </r>
  <r>
    <x v="0"/>
    <x v="33"/>
    <x v="1"/>
    <x v="2"/>
    <s v="EE_Rural"/>
    <x v="12"/>
    <n v="9.7995028997514597E-2"/>
    <n v="2.72208413881985E-2"/>
  </r>
  <r>
    <x v="0"/>
    <x v="33"/>
    <x v="1"/>
    <x v="2"/>
    <s v="EE_Rural"/>
    <x v="13"/>
    <n v="29.633696768848399"/>
    <n v="8.2315824357912195"/>
  </r>
  <r>
    <x v="0"/>
    <x v="33"/>
    <x v="1"/>
    <x v="2"/>
    <s v="EE_Rural"/>
    <x v="14"/>
    <n v="29.633696768848399"/>
    <n v="8.2315824357912195"/>
  </r>
  <r>
    <x v="0"/>
    <x v="33"/>
    <x v="1"/>
    <x v="2"/>
    <s v="EE_Rural"/>
    <x v="15"/>
    <n v="1.65807589063794"/>
    <n v="0.46057663628831802"/>
  </r>
  <r>
    <x v="0"/>
    <x v="33"/>
    <x v="1"/>
    <x v="2"/>
    <s v="EE_Rural"/>
    <x v="16"/>
    <n v="6.4638978602906896"/>
    <n v="1.79552718341408"/>
  </r>
  <r>
    <x v="0"/>
    <x v="33"/>
    <x v="1"/>
    <x v="2"/>
    <s v="EE_Rural"/>
    <x v="17"/>
    <n v="9.1244895875632395"/>
    <n v="2.5345804409897901"/>
  </r>
  <r>
    <x v="0"/>
    <x v="33"/>
    <x v="1"/>
    <x v="2"/>
    <s v="EE_Rural"/>
    <x v="18"/>
    <n v="29.633696768848399"/>
    <n v="8.2315824357912195"/>
  </r>
  <r>
    <x v="0"/>
    <x v="33"/>
    <x v="1"/>
    <x v="2"/>
    <s v="EE_Rural"/>
    <x v="19"/>
    <n v="8.1139884009941898"/>
    <n v="2.2538856669428302"/>
  </r>
  <r>
    <x v="0"/>
    <x v="33"/>
    <x v="1"/>
    <x v="2"/>
    <s v="EE_Rural"/>
    <x v="20"/>
    <n v="22.109183021311601"/>
    <n v="6.1414397281420996"/>
  </r>
  <r>
    <x v="0"/>
    <x v="33"/>
    <x v="1"/>
    <x v="2"/>
    <s v="EE_Rural"/>
    <x v="21"/>
    <n v="48.24"/>
    <n v="13.4"/>
  </r>
  <r>
    <x v="0"/>
    <x v="33"/>
    <x v="1"/>
    <x v="2"/>
    <s v="EE_Rural"/>
    <x v="22"/>
    <n v="67.680000000000007"/>
    <n v="18.8"/>
  </r>
  <r>
    <x v="0"/>
    <x v="33"/>
    <x v="1"/>
    <x v="2"/>
    <s v="EE_Rural"/>
    <x v="23"/>
    <n v="0.31515896120488701"/>
    <n v="8.7544155890246306E-2"/>
  </r>
  <r>
    <x v="0"/>
    <x v="33"/>
    <x v="1"/>
    <x v="2"/>
    <s v="EE_Rural"/>
    <x v="24"/>
    <n v="19.174223581093901"/>
    <n v="5.32617321697054"/>
  </r>
  <r>
    <x v="0"/>
    <x v="33"/>
    <x v="1"/>
    <x v="2"/>
    <s v="EE_Rural"/>
    <x v="25"/>
    <n v="26.209507293842599"/>
    <n v="7.2804186927340497"/>
  </r>
  <r>
    <x v="0"/>
    <x v="33"/>
    <x v="1"/>
    <x v="2"/>
    <s v="EE_Rural"/>
    <x v="26"/>
    <n v="33.320887798496699"/>
    <n v="9.2558021662490795"/>
  </r>
  <r>
    <x v="0"/>
    <x v="33"/>
    <x v="1"/>
    <x v="2"/>
    <s v="EE_Rural"/>
    <x v="27"/>
    <n v="20.163995508318798"/>
    <n v="5.6011098634218799"/>
  </r>
  <r>
    <x v="0"/>
    <x v="33"/>
    <x v="1"/>
    <x v="2"/>
    <s v="EE_Sillamae"/>
    <x v="1"/>
    <n v="35.989199999999997"/>
    <n v="9.9969999999999999"/>
  </r>
  <r>
    <x v="0"/>
    <x v="33"/>
    <x v="1"/>
    <x v="2"/>
    <s v="EE_Sillamae"/>
    <x v="2"/>
    <n v="46.08"/>
    <n v="12.8"/>
  </r>
  <r>
    <x v="0"/>
    <x v="33"/>
    <x v="1"/>
    <x v="2"/>
    <s v="EE_Sillamae"/>
    <x v="0"/>
    <n v="42.692399999999999"/>
    <n v="11.859"/>
  </r>
  <r>
    <x v="0"/>
    <x v="33"/>
    <x v="1"/>
    <x v="2"/>
    <s v="EE_Sillamae"/>
    <x v="3"/>
    <n v="51.633543144067197"/>
    <n v="14.342650873352"/>
  </r>
  <r>
    <x v="0"/>
    <x v="33"/>
    <x v="1"/>
    <x v="2"/>
    <s v="EE_Sillamae"/>
    <x v="4"/>
    <n v="6.3500778790389401"/>
    <n v="1.76391052195526"/>
  </r>
  <r>
    <x v="0"/>
    <x v="33"/>
    <x v="1"/>
    <x v="2"/>
    <s v="EE_Sillamae"/>
    <x v="5"/>
    <n v="6.3500778790389401"/>
    <n v="1.76391052195526"/>
  </r>
  <r>
    <x v="0"/>
    <x v="33"/>
    <x v="1"/>
    <x v="2"/>
    <s v="EE_Sillamae"/>
    <x v="6"/>
    <n v="29.476231795214598"/>
    <n v="8.1878421653373898"/>
  </r>
  <r>
    <x v="0"/>
    <x v="33"/>
    <x v="1"/>
    <x v="2"/>
    <s v="EE_Sillamae"/>
    <x v="7"/>
    <n v="57.838935220261199"/>
    <n v="16.066370894517"/>
  </r>
  <r>
    <x v="0"/>
    <x v="33"/>
    <x v="1"/>
    <x v="2"/>
    <s v="EE_Sillamae"/>
    <x v="8"/>
    <n v="57.838935220261199"/>
    <n v="16.066370894517"/>
  </r>
  <r>
    <x v="0"/>
    <x v="33"/>
    <x v="1"/>
    <x v="2"/>
    <s v="EE_Sillamae"/>
    <x v="9"/>
    <n v="44.4505451532725"/>
    <n v="12.3473736536868"/>
  </r>
  <r>
    <x v="0"/>
    <x v="33"/>
    <x v="1"/>
    <x v="2"/>
    <s v="EE_Sillamae"/>
    <x v="10"/>
    <n v="53.975661971830903"/>
    <n v="14.993239436619699"/>
  </r>
  <r>
    <x v="0"/>
    <x v="33"/>
    <x v="1"/>
    <x v="2"/>
    <s v="EE_Sillamae"/>
    <x v="11"/>
    <n v="3.8806031483015802"/>
    <n v="1.07794531897266"/>
  </r>
  <r>
    <x v="0"/>
    <x v="33"/>
    <x v="1"/>
    <x v="2"/>
    <s v="EE_Sillamae"/>
    <x v="12"/>
    <n v="9.7995028997514597E-2"/>
    <n v="2.72208413881985E-2"/>
  </r>
  <r>
    <x v="0"/>
    <x v="33"/>
    <x v="1"/>
    <x v="2"/>
    <s v="EE_Sillamae"/>
    <x v="13"/>
    <n v="29.633696768848399"/>
    <n v="8.2315824357912195"/>
  </r>
  <r>
    <x v="0"/>
    <x v="33"/>
    <x v="1"/>
    <x v="2"/>
    <s v="EE_Sillamae"/>
    <x v="14"/>
    <n v="29.633696768848399"/>
    <n v="8.2315824357912195"/>
  </r>
  <r>
    <x v="0"/>
    <x v="33"/>
    <x v="1"/>
    <x v="2"/>
    <s v="EE_Sillamae"/>
    <x v="15"/>
    <n v="1.65807589063794"/>
    <n v="0.46057663628831802"/>
  </r>
  <r>
    <x v="0"/>
    <x v="33"/>
    <x v="1"/>
    <x v="2"/>
    <s v="EE_Sillamae"/>
    <x v="16"/>
    <n v="6.4638978602906896"/>
    <n v="1.79552718341408"/>
  </r>
  <r>
    <x v="0"/>
    <x v="33"/>
    <x v="1"/>
    <x v="2"/>
    <s v="EE_Sillamae"/>
    <x v="17"/>
    <n v="9.1244895875632395"/>
    <n v="2.5345804409897901"/>
  </r>
  <r>
    <x v="0"/>
    <x v="33"/>
    <x v="1"/>
    <x v="2"/>
    <s v="EE_Sillamae"/>
    <x v="18"/>
    <n v="29.633696768848399"/>
    <n v="8.2315824357912195"/>
  </r>
  <r>
    <x v="0"/>
    <x v="33"/>
    <x v="1"/>
    <x v="2"/>
    <s v="EE_Sillamae"/>
    <x v="19"/>
    <n v="8.1139884009941898"/>
    <n v="2.2538856669428302"/>
  </r>
  <r>
    <x v="0"/>
    <x v="33"/>
    <x v="1"/>
    <x v="2"/>
    <s v="EE_Sillamae"/>
    <x v="20"/>
    <n v="22.109183021311601"/>
    <n v="6.1414397281420996"/>
  </r>
  <r>
    <x v="0"/>
    <x v="33"/>
    <x v="1"/>
    <x v="2"/>
    <s v="EE_Sillamae"/>
    <x v="21"/>
    <n v="48.24"/>
    <n v="13.4"/>
  </r>
  <r>
    <x v="0"/>
    <x v="33"/>
    <x v="1"/>
    <x v="2"/>
    <s v="EE_Sillamae"/>
    <x v="22"/>
    <n v="67.680000000000007"/>
    <n v="18.8"/>
  </r>
  <r>
    <x v="0"/>
    <x v="33"/>
    <x v="1"/>
    <x v="2"/>
    <s v="EE_Sillamae"/>
    <x v="23"/>
    <n v="0.31515896120488701"/>
    <n v="8.7544155890246306E-2"/>
  </r>
  <r>
    <x v="0"/>
    <x v="33"/>
    <x v="1"/>
    <x v="2"/>
    <s v="EE_Sillamae"/>
    <x v="24"/>
    <n v="19.174223581093901"/>
    <n v="5.32617321697054"/>
  </r>
  <r>
    <x v="0"/>
    <x v="33"/>
    <x v="1"/>
    <x v="2"/>
    <s v="EE_Sillamae"/>
    <x v="25"/>
    <n v="26.209507293842599"/>
    <n v="7.2804186927340497"/>
  </r>
  <r>
    <x v="0"/>
    <x v="33"/>
    <x v="1"/>
    <x v="2"/>
    <s v="EE_Sillamae"/>
    <x v="26"/>
    <n v="33.320887798496699"/>
    <n v="9.2558021662490795"/>
  </r>
  <r>
    <x v="0"/>
    <x v="33"/>
    <x v="1"/>
    <x v="2"/>
    <s v="EE_Sillamae"/>
    <x v="27"/>
    <n v="20.163995508318798"/>
    <n v="5.6011098634218799"/>
  </r>
  <r>
    <x v="0"/>
    <x v="33"/>
    <x v="1"/>
    <x v="2"/>
    <s v="EE_Tallinn"/>
    <x v="1"/>
    <n v="35.989199999999997"/>
    <n v="9.9969999999999999"/>
  </r>
  <r>
    <x v="0"/>
    <x v="33"/>
    <x v="1"/>
    <x v="2"/>
    <s v="EE_Tallinn"/>
    <x v="2"/>
    <n v="46.08"/>
    <n v="12.8"/>
  </r>
  <r>
    <x v="0"/>
    <x v="33"/>
    <x v="1"/>
    <x v="2"/>
    <s v="EE_Tallinn"/>
    <x v="0"/>
    <n v="42.692399999999999"/>
    <n v="11.859"/>
  </r>
  <r>
    <x v="0"/>
    <x v="33"/>
    <x v="1"/>
    <x v="2"/>
    <s v="EE_Tallinn"/>
    <x v="3"/>
    <n v="51.633543144067197"/>
    <n v="14.342650873352"/>
  </r>
  <r>
    <x v="0"/>
    <x v="33"/>
    <x v="1"/>
    <x v="2"/>
    <s v="EE_Tallinn"/>
    <x v="4"/>
    <n v="6.3500778790389401"/>
    <n v="1.76391052195526"/>
  </r>
  <r>
    <x v="0"/>
    <x v="33"/>
    <x v="1"/>
    <x v="2"/>
    <s v="EE_Tallinn"/>
    <x v="5"/>
    <n v="6.3500778790389401"/>
    <n v="1.76391052195526"/>
  </r>
  <r>
    <x v="0"/>
    <x v="33"/>
    <x v="1"/>
    <x v="2"/>
    <s v="EE_Tallinn"/>
    <x v="6"/>
    <n v="29.476231795214598"/>
    <n v="8.1878421653373898"/>
  </r>
  <r>
    <x v="0"/>
    <x v="33"/>
    <x v="1"/>
    <x v="2"/>
    <s v="EE_Tallinn"/>
    <x v="7"/>
    <n v="57.838935220261199"/>
    <n v="16.066370894517"/>
  </r>
  <r>
    <x v="0"/>
    <x v="33"/>
    <x v="1"/>
    <x v="2"/>
    <s v="EE_Tallinn"/>
    <x v="8"/>
    <n v="57.838935220261199"/>
    <n v="16.066370894517"/>
  </r>
  <r>
    <x v="0"/>
    <x v="33"/>
    <x v="1"/>
    <x v="2"/>
    <s v="EE_Tallinn"/>
    <x v="9"/>
    <n v="44.4505451532725"/>
    <n v="12.3473736536868"/>
  </r>
  <r>
    <x v="0"/>
    <x v="33"/>
    <x v="1"/>
    <x v="2"/>
    <s v="EE_Tallinn"/>
    <x v="10"/>
    <n v="53.975661971830903"/>
    <n v="14.993239436619699"/>
  </r>
  <r>
    <x v="0"/>
    <x v="33"/>
    <x v="1"/>
    <x v="2"/>
    <s v="EE_Tallinn"/>
    <x v="11"/>
    <n v="3.8806031483015802"/>
    <n v="1.07794531897266"/>
  </r>
  <r>
    <x v="0"/>
    <x v="33"/>
    <x v="1"/>
    <x v="2"/>
    <s v="EE_Tallinn"/>
    <x v="12"/>
    <n v="9.7995028997514597E-2"/>
    <n v="2.72208413881985E-2"/>
  </r>
  <r>
    <x v="0"/>
    <x v="33"/>
    <x v="1"/>
    <x v="2"/>
    <s v="EE_Tallinn"/>
    <x v="13"/>
    <n v="29.633696768848399"/>
    <n v="8.2315824357912195"/>
  </r>
  <r>
    <x v="0"/>
    <x v="33"/>
    <x v="1"/>
    <x v="2"/>
    <s v="EE_Tallinn"/>
    <x v="14"/>
    <n v="29.633696768848399"/>
    <n v="8.2315824357912195"/>
  </r>
  <r>
    <x v="0"/>
    <x v="33"/>
    <x v="1"/>
    <x v="2"/>
    <s v="EE_Tallinn"/>
    <x v="15"/>
    <n v="1.65807589063794"/>
    <n v="0.46057663628831802"/>
  </r>
  <r>
    <x v="0"/>
    <x v="33"/>
    <x v="1"/>
    <x v="2"/>
    <s v="EE_Tallinn"/>
    <x v="16"/>
    <n v="6.4638978602906896"/>
    <n v="1.79552718341408"/>
  </r>
  <r>
    <x v="0"/>
    <x v="33"/>
    <x v="1"/>
    <x v="2"/>
    <s v="EE_Tallinn"/>
    <x v="17"/>
    <n v="9.1244895875632395"/>
    <n v="2.5345804409897901"/>
  </r>
  <r>
    <x v="0"/>
    <x v="33"/>
    <x v="1"/>
    <x v="2"/>
    <s v="EE_Tallinn"/>
    <x v="18"/>
    <n v="29.633696768848399"/>
    <n v="8.2315824357912195"/>
  </r>
  <r>
    <x v="0"/>
    <x v="33"/>
    <x v="1"/>
    <x v="2"/>
    <s v="EE_Tallinn"/>
    <x v="19"/>
    <n v="8.1139884009941898"/>
    <n v="2.2538856669428302"/>
  </r>
  <r>
    <x v="0"/>
    <x v="33"/>
    <x v="1"/>
    <x v="2"/>
    <s v="EE_Tallinn"/>
    <x v="20"/>
    <n v="22.109183021311601"/>
    <n v="6.1414397281420996"/>
  </r>
  <r>
    <x v="0"/>
    <x v="33"/>
    <x v="1"/>
    <x v="2"/>
    <s v="EE_Tallinn"/>
    <x v="21"/>
    <n v="48.24"/>
    <n v="13.4"/>
  </r>
  <r>
    <x v="0"/>
    <x v="33"/>
    <x v="1"/>
    <x v="2"/>
    <s v="EE_Tallinn"/>
    <x v="22"/>
    <n v="67.680000000000007"/>
    <n v="18.8"/>
  </r>
  <r>
    <x v="0"/>
    <x v="33"/>
    <x v="1"/>
    <x v="2"/>
    <s v="EE_Tallinn"/>
    <x v="23"/>
    <n v="0.31515896120488701"/>
    <n v="8.7544155890246306E-2"/>
  </r>
  <r>
    <x v="0"/>
    <x v="33"/>
    <x v="1"/>
    <x v="2"/>
    <s v="EE_Tallinn"/>
    <x v="24"/>
    <n v="19.174223581093901"/>
    <n v="5.32617321697054"/>
  </r>
  <r>
    <x v="0"/>
    <x v="33"/>
    <x v="1"/>
    <x v="2"/>
    <s v="EE_Tallinn"/>
    <x v="25"/>
    <n v="26.209507293842599"/>
    <n v="7.2804186927340497"/>
  </r>
  <r>
    <x v="0"/>
    <x v="33"/>
    <x v="1"/>
    <x v="2"/>
    <s v="EE_Tallinn"/>
    <x v="26"/>
    <n v="33.320887798496699"/>
    <n v="9.2558021662490795"/>
  </r>
  <r>
    <x v="0"/>
    <x v="33"/>
    <x v="1"/>
    <x v="2"/>
    <s v="EE_Tallinn"/>
    <x v="27"/>
    <n v="20.163995508318798"/>
    <n v="5.6011098634218799"/>
  </r>
  <r>
    <x v="0"/>
    <x v="33"/>
    <x v="1"/>
    <x v="2"/>
    <s v="EE_Tartu"/>
    <x v="1"/>
    <n v="35.989199999999997"/>
    <n v="9.9969999999999999"/>
  </r>
  <r>
    <x v="0"/>
    <x v="33"/>
    <x v="1"/>
    <x v="2"/>
    <s v="EE_Tartu"/>
    <x v="2"/>
    <n v="46.08"/>
    <n v="12.8"/>
  </r>
  <r>
    <x v="0"/>
    <x v="33"/>
    <x v="1"/>
    <x v="2"/>
    <s v="EE_Tartu"/>
    <x v="0"/>
    <n v="42.692399999999999"/>
    <n v="11.859"/>
  </r>
  <r>
    <x v="0"/>
    <x v="33"/>
    <x v="1"/>
    <x v="2"/>
    <s v="EE_Tartu"/>
    <x v="3"/>
    <n v="51.633543144067197"/>
    <n v="14.342650873352"/>
  </r>
  <r>
    <x v="0"/>
    <x v="33"/>
    <x v="1"/>
    <x v="2"/>
    <s v="EE_Tartu"/>
    <x v="4"/>
    <n v="6.3500778790389401"/>
    <n v="1.76391052195526"/>
  </r>
  <r>
    <x v="0"/>
    <x v="33"/>
    <x v="1"/>
    <x v="2"/>
    <s v="EE_Tartu"/>
    <x v="5"/>
    <n v="6.3500778790389401"/>
    <n v="1.76391052195526"/>
  </r>
  <r>
    <x v="0"/>
    <x v="33"/>
    <x v="1"/>
    <x v="2"/>
    <s v="EE_Tartu"/>
    <x v="6"/>
    <n v="29.476231795214598"/>
    <n v="8.1878421653373898"/>
  </r>
  <r>
    <x v="0"/>
    <x v="33"/>
    <x v="1"/>
    <x v="2"/>
    <s v="EE_Tartu"/>
    <x v="7"/>
    <n v="57.838935220261199"/>
    <n v="16.066370894517"/>
  </r>
  <r>
    <x v="0"/>
    <x v="33"/>
    <x v="1"/>
    <x v="2"/>
    <s v="EE_Tartu"/>
    <x v="8"/>
    <n v="57.838935220261199"/>
    <n v="16.066370894517"/>
  </r>
  <r>
    <x v="0"/>
    <x v="33"/>
    <x v="1"/>
    <x v="2"/>
    <s v="EE_Tartu"/>
    <x v="9"/>
    <n v="44.4505451532725"/>
    <n v="12.3473736536868"/>
  </r>
  <r>
    <x v="0"/>
    <x v="33"/>
    <x v="1"/>
    <x v="2"/>
    <s v="EE_Tartu"/>
    <x v="10"/>
    <n v="53.975661971830903"/>
    <n v="14.993239436619699"/>
  </r>
  <r>
    <x v="0"/>
    <x v="33"/>
    <x v="1"/>
    <x v="2"/>
    <s v="EE_Tartu"/>
    <x v="11"/>
    <n v="3.8806031483015802"/>
    <n v="1.07794531897266"/>
  </r>
  <r>
    <x v="0"/>
    <x v="33"/>
    <x v="1"/>
    <x v="2"/>
    <s v="EE_Tartu"/>
    <x v="12"/>
    <n v="9.7995028997514597E-2"/>
    <n v="2.72208413881985E-2"/>
  </r>
  <r>
    <x v="0"/>
    <x v="33"/>
    <x v="1"/>
    <x v="2"/>
    <s v="EE_Tartu"/>
    <x v="13"/>
    <n v="29.633696768848399"/>
    <n v="8.2315824357912195"/>
  </r>
  <r>
    <x v="0"/>
    <x v="33"/>
    <x v="1"/>
    <x v="2"/>
    <s v="EE_Tartu"/>
    <x v="14"/>
    <n v="29.633696768848399"/>
    <n v="8.2315824357912195"/>
  </r>
  <r>
    <x v="0"/>
    <x v="33"/>
    <x v="1"/>
    <x v="2"/>
    <s v="EE_Tartu"/>
    <x v="15"/>
    <n v="1.65807589063794"/>
    <n v="0.46057663628831802"/>
  </r>
  <r>
    <x v="0"/>
    <x v="33"/>
    <x v="1"/>
    <x v="2"/>
    <s v="EE_Tartu"/>
    <x v="16"/>
    <n v="6.4638978602906896"/>
    <n v="1.79552718341408"/>
  </r>
  <r>
    <x v="0"/>
    <x v="33"/>
    <x v="1"/>
    <x v="2"/>
    <s v="EE_Tartu"/>
    <x v="17"/>
    <n v="9.1244895875632395"/>
    <n v="2.5345804409897901"/>
  </r>
  <r>
    <x v="0"/>
    <x v="33"/>
    <x v="1"/>
    <x v="2"/>
    <s v="EE_Tartu"/>
    <x v="18"/>
    <n v="29.633696768848399"/>
    <n v="8.2315824357912195"/>
  </r>
  <r>
    <x v="0"/>
    <x v="33"/>
    <x v="1"/>
    <x v="2"/>
    <s v="EE_Tartu"/>
    <x v="19"/>
    <n v="8.1139884009941898"/>
    <n v="2.2538856669428302"/>
  </r>
  <r>
    <x v="0"/>
    <x v="33"/>
    <x v="1"/>
    <x v="2"/>
    <s v="EE_Tartu"/>
    <x v="20"/>
    <n v="22.109183021311601"/>
    <n v="6.1414397281420996"/>
  </r>
  <r>
    <x v="0"/>
    <x v="33"/>
    <x v="1"/>
    <x v="2"/>
    <s v="EE_Tartu"/>
    <x v="21"/>
    <n v="48.24"/>
    <n v="13.4"/>
  </r>
  <r>
    <x v="0"/>
    <x v="33"/>
    <x v="1"/>
    <x v="2"/>
    <s v="EE_Tartu"/>
    <x v="22"/>
    <n v="67.680000000000007"/>
    <n v="18.8"/>
  </r>
  <r>
    <x v="0"/>
    <x v="33"/>
    <x v="1"/>
    <x v="2"/>
    <s v="EE_Tartu"/>
    <x v="23"/>
    <n v="0.31515896120488701"/>
    <n v="8.7544155890246306E-2"/>
  </r>
  <r>
    <x v="0"/>
    <x v="33"/>
    <x v="1"/>
    <x v="2"/>
    <s v="EE_Tartu"/>
    <x v="24"/>
    <n v="19.174223581093901"/>
    <n v="5.32617321697054"/>
  </r>
  <r>
    <x v="0"/>
    <x v="33"/>
    <x v="1"/>
    <x v="2"/>
    <s v="EE_Tartu"/>
    <x v="25"/>
    <n v="26.209507293842599"/>
    <n v="7.2804186927340497"/>
  </r>
  <r>
    <x v="0"/>
    <x v="33"/>
    <x v="1"/>
    <x v="2"/>
    <s v="EE_Tartu"/>
    <x v="26"/>
    <n v="33.320887798496699"/>
    <n v="9.2558021662490795"/>
  </r>
  <r>
    <x v="0"/>
    <x v="33"/>
    <x v="1"/>
    <x v="2"/>
    <s v="EE_Tartu"/>
    <x v="27"/>
    <n v="20.163995508318798"/>
    <n v="5.6011098634218799"/>
  </r>
  <r>
    <x v="0"/>
    <x v="33"/>
    <x v="1"/>
    <x v="2"/>
    <s v="EE_Urban"/>
    <x v="1"/>
    <n v="35.989199999999997"/>
    <n v="9.9969999999999999"/>
  </r>
  <r>
    <x v="0"/>
    <x v="33"/>
    <x v="1"/>
    <x v="2"/>
    <s v="EE_Urban"/>
    <x v="2"/>
    <n v="46.08"/>
    <n v="12.8"/>
  </r>
  <r>
    <x v="0"/>
    <x v="33"/>
    <x v="1"/>
    <x v="2"/>
    <s v="EE_Urban"/>
    <x v="0"/>
    <n v="42.692399999999999"/>
    <n v="11.859"/>
  </r>
  <r>
    <x v="0"/>
    <x v="33"/>
    <x v="1"/>
    <x v="2"/>
    <s v="EE_Urban"/>
    <x v="3"/>
    <n v="51.633543144067197"/>
    <n v="14.342650873352"/>
  </r>
  <r>
    <x v="0"/>
    <x v="33"/>
    <x v="1"/>
    <x v="2"/>
    <s v="EE_Urban"/>
    <x v="4"/>
    <n v="6.3500778790389401"/>
    <n v="1.76391052195526"/>
  </r>
  <r>
    <x v="0"/>
    <x v="33"/>
    <x v="1"/>
    <x v="2"/>
    <s v="EE_Urban"/>
    <x v="5"/>
    <n v="6.3500778790389401"/>
    <n v="1.76391052195526"/>
  </r>
  <r>
    <x v="0"/>
    <x v="33"/>
    <x v="1"/>
    <x v="2"/>
    <s v="EE_Urban"/>
    <x v="6"/>
    <n v="29.476231795214598"/>
    <n v="8.1878421653373898"/>
  </r>
  <r>
    <x v="0"/>
    <x v="33"/>
    <x v="1"/>
    <x v="2"/>
    <s v="EE_Urban"/>
    <x v="7"/>
    <n v="57.838935220261199"/>
    <n v="16.066370894517"/>
  </r>
  <r>
    <x v="0"/>
    <x v="33"/>
    <x v="1"/>
    <x v="2"/>
    <s v="EE_Urban"/>
    <x v="8"/>
    <n v="57.838935220261199"/>
    <n v="16.066370894517"/>
  </r>
  <r>
    <x v="0"/>
    <x v="33"/>
    <x v="1"/>
    <x v="2"/>
    <s v="EE_Urban"/>
    <x v="9"/>
    <n v="44.4505451532725"/>
    <n v="12.3473736536868"/>
  </r>
  <r>
    <x v="0"/>
    <x v="33"/>
    <x v="1"/>
    <x v="2"/>
    <s v="EE_Urban"/>
    <x v="10"/>
    <n v="53.975661971830903"/>
    <n v="14.993239436619699"/>
  </r>
  <r>
    <x v="0"/>
    <x v="33"/>
    <x v="1"/>
    <x v="2"/>
    <s v="EE_Urban"/>
    <x v="11"/>
    <n v="3.8806031483015802"/>
    <n v="1.07794531897266"/>
  </r>
  <r>
    <x v="0"/>
    <x v="33"/>
    <x v="1"/>
    <x v="2"/>
    <s v="EE_Urban"/>
    <x v="12"/>
    <n v="9.7995028997514597E-2"/>
    <n v="2.72208413881985E-2"/>
  </r>
  <r>
    <x v="0"/>
    <x v="33"/>
    <x v="1"/>
    <x v="2"/>
    <s v="EE_Urban"/>
    <x v="13"/>
    <n v="29.633696768848399"/>
    <n v="8.2315824357912195"/>
  </r>
  <r>
    <x v="0"/>
    <x v="33"/>
    <x v="1"/>
    <x v="2"/>
    <s v="EE_Urban"/>
    <x v="14"/>
    <n v="29.633696768848399"/>
    <n v="8.2315824357912195"/>
  </r>
  <r>
    <x v="0"/>
    <x v="33"/>
    <x v="1"/>
    <x v="2"/>
    <s v="EE_Urban"/>
    <x v="15"/>
    <n v="1.65807589063794"/>
    <n v="0.46057663628831802"/>
  </r>
  <r>
    <x v="0"/>
    <x v="33"/>
    <x v="1"/>
    <x v="2"/>
    <s v="EE_Urban"/>
    <x v="16"/>
    <n v="6.4638978602906896"/>
    <n v="1.79552718341408"/>
  </r>
  <r>
    <x v="0"/>
    <x v="33"/>
    <x v="1"/>
    <x v="2"/>
    <s v="EE_Urban"/>
    <x v="17"/>
    <n v="9.1244895875632395"/>
    <n v="2.5345804409897901"/>
  </r>
  <r>
    <x v="0"/>
    <x v="33"/>
    <x v="1"/>
    <x v="2"/>
    <s v="EE_Urban"/>
    <x v="18"/>
    <n v="29.633696768848399"/>
    <n v="8.2315824357912195"/>
  </r>
  <r>
    <x v="0"/>
    <x v="33"/>
    <x v="1"/>
    <x v="2"/>
    <s v="EE_Urban"/>
    <x v="19"/>
    <n v="8.1139884009941898"/>
    <n v="2.2538856669428302"/>
  </r>
  <r>
    <x v="0"/>
    <x v="33"/>
    <x v="1"/>
    <x v="2"/>
    <s v="EE_Urban"/>
    <x v="20"/>
    <n v="22.109183021311601"/>
    <n v="6.1414397281420996"/>
  </r>
  <r>
    <x v="0"/>
    <x v="33"/>
    <x v="1"/>
    <x v="2"/>
    <s v="EE_Urban"/>
    <x v="21"/>
    <n v="48.24"/>
    <n v="13.4"/>
  </r>
  <r>
    <x v="0"/>
    <x v="33"/>
    <x v="1"/>
    <x v="2"/>
    <s v="EE_Urban"/>
    <x v="22"/>
    <n v="67.680000000000007"/>
    <n v="18.8"/>
  </r>
  <r>
    <x v="0"/>
    <x v="33"/>
    <x v="1"/>
    <x v="2"/>
    <s v="EE_Urban"/>
    <x v="23"/>
    <n v="0.31515896120488701"/>
    <n v="8.7544155890246306E-2"/>
  </r>
  <r>
    <x v="0"/>
    <x v="33"/>
    <x v="1"/>
    <x v="2"/>
    <s v="EE_Urban"/>
    <x v="24"/>
    <n v="19.174223581093901"/>
    <n v="5.32617321697054"/>
  </r>
  <r>
    <x v="0"/>
    <x v="33"/>
    <x v="1"/>
    <x v="2"/>
    <s v="EE_Urban"/>
    <x v="25"/>
    <n v="26.209507293842599"/>
    <n v="7.2804186927340497"/>
  </r>
  <r>
    <x v="0"/>
    <x v="33"/>
    <x v="1"/>
    <x v="2"/>
    <s v="EE_Urban"/>
    <x v="26"/>
    <n v="33.320887798496699"/>
    <n v="9.2558021662490795"/>
  </r>
  <r>
    <x v="0"/>
    <x v="33"/>
    <x v="1"/>
    <x v="2"/>
    <s v="EE_Urban"/>
    <x v="27"/>
    <n v="20.163995508318798"/>
    <n v="5.6011098634218799"/>
  </r>
  <r>
    <x v="0"/>
    <x v="33"/>
    <x v="2"/>
    <x v="3"/>
    <s v="FI_IND"/>
    <x v="1"/>
    <n v="35.989199999999997"/>
    <n v="9.9969999999999999"/>
  </r>
  <r>
    <x v="0"/>
    <x v="33"/>
    <x v="2"/>
    <x v="3"/>
    <s v="FI_IND"/>
    <x v="2"/>
    <n v="46.08"/>
    <n v="12.8"/>
  </r>
  <r>
    <x v="0"/>
    <x v="33"/>
    <x v="2"/>
    <x v="3"/>
    <s v="FI_IND"/>
    <x v="0"/>
    <n v="42.692399999999999"/>
    <n v="11.859"/>
  </r>
  <r>
    <x v="0"/>
    <x v="33"/>
    <x v="2"/>
    <x v="3"/>
    <s v="FI_IND"/>
    <x v="3"/>
    <n v="51.633543144067197"/>
    <n v="14.342650873352"/>
  </r>
  <r>
    <x v="0"/>
    <x v="33"/>
    <x v="2"/>
    <x v="3"/>
    <s v="FI_IND"/>
    <x v="4"/>
    <n v="6.3500778790389401"/>
    <n v="1.76391052195526"/>
  </r>
  <r>
    <x v="0"/>
    <x v="33"/>
    <x v="2"/>
    <x v="3"/>
    <s v="FI_IND"/>
    <x v="5"/>
    <n v="6.3500778790389401"/>
    <n v="1.76391052195526"/>
  </r>
  <r>
    <x v="0"/>
    <x v="33"/>
    <x v="2"/>
    <x v="3"/>
    <s v="FI_IND"/>
    <x v="6"/>
    <n v="29.476231795214598"/>
    <n v="8.1878421653373898"/>
  </r>
  <r>
    <x v="0"/>
    <x v="33"/>
    <x v="2"/>
    <x v="3"/>
    <s v="FI_IND"/>
    <x v="7"/>
    <n v="57.838935220261199"/>
    <n v="16.066370894517"/>
  </r>
  <r>
    <x v="0"/>
    <x v="33"/>
    <x v="2"/>
    <x v="3"/>
    <s v="FI_IND"/>
    <x v="8"/>
    <n v="57.838935220261199"/>
    <n v="16.066370894517"/>
  </r>
  <r>
    <x v="0"/>
    <x v="33"/>
    <x v="2"/>
    <x v="3"/>
    <s v="FI_IND"/>
    <x v="9"/>
    <n v="44.4505451532725"/>
    <n v="12.3473736536868"/>
  </r>
  <r>
    <x v="0"/>
    <x v="33"/>
    <x v="2"/>
    <x v="3"/>
    <s v="FI_IND"/>
    <x v="10"/>
    <n v="53.975661971830903"/>
    <n v="14.993239436619699"/>
  </r>
  <r>
    <x v="0"/>
    <x v="33"/>
    <x v="2"/>
    <x v="3"/>
    <s v="FI_IND"/>
    <x v="11"/>
    <n v="3.8806031483015802"/>
    <n v="1.07794531897266"/>
  </r>
  <r>
    <x v="0"/>
    <x v="33"/>
    <x v="2"/>
    <x v="3"/>
    <s v="FI_IND"/>
    <x v="12"/>
    <n v="9.7995028997514597E-2"/>
    <n v="2.72208413881985E-2"/>
  </r>
  <r>
    <x v="0"/>
    <x v="33"/>
    <x v="2"/>
    <x v="3"/>
    <s v="FI_IND"/>
    <x v="13"/>
    <n v="29.633696768848399"/>
    <n v="8.2315824357912195"/>
  </r>
  <r>
    <x v="0"/>
    <x v="33"/>
    <x v="2"/>
    <x v="3"/>
    <s v="FI_IND"/>
    <x v="14"/>
    <n v="29.633696768848399"/>
    <n v="8.2315824357912195"/>
  </r>
  <r>
    <x v="0"/>
    <x v="33"/>
    <x v="2"/>
    <x v="3"/>
    <s v="FI_IND"/>
    <x v="15"/>
    <n v="1.65807589063794"/>
    <n v="0.46057663628831802"/>
  </r>
  <r>
    <x v="0"/>
    <x v="33"/>
    <x v="2"/>
    <x v="3"/>
    <s v="FI_IND"/>
    <x v="16"/>
    <n v="6.4638978602906896"/>
    <n v="1.79552718341408"/>
  </r>
  <r>
    <x v="0"/>
    <x v="33"/>
    <x v="2"/>
    <x v="3"/>
    <s v="FI_IND"/>
    <x v="17"/>
    <n v="9.1244895875632395"/>
    <n v="2.5345804409897901"/>
  </r>
  <r>
    <x v="0"/>
    <x v="33"/>
    <x v="2"/>
    <x v="3"/>
    <s v="FI_IND"/>
    <x v="18"/>
    <n v="29.633696768848399"/>
    <n v="8.2315824357912195"/>
  </r>
  <r>
    <x v="0"/>
    <x v="33"/>
    <x v="2"/>
    <x v="3"/>
    <s v="FI_IND"/>
    <x v="19"/>
    <n v="8.1139884009941898"/>
    <n v="2.2538856669428302"/>
  </r>
  <r>
    <x v="0"/>
    <x v="33"/>
    <x v="2"/>
    <x v="3"/>
    <s v="FI_IND"/>
    <x v="20"/>
    <n v="22.109183021311601"/>
    <n v="6.1414397281420996"/>
  </r>
  <r>
    <x v="0"/>
    <x v="33"/>
    <x v="2"/>
    <x v="3"/>
    <s v="FI_IND"/>
    <x v="21"/>
    <n v="48.24"/>
    <n v="13.4"/>
  </r>
  <r>
    <x v="0"/>
    <x v="33"/>
    <x v="2"/>
    <x v="3"/>
    <s v="FI_IND"/>
    <x v="22"/>
    <n v="67.680000000000007"/>
    <n v="18.8"/>
  </r>
  <r>
    <x v="0"/>
    <x v="33"/>
    <x v="2"/>
    <x v="3"/>
    <s v="FI_IND"/>
    <x v="23"/>
    <n v="0.31515896120488701"/>
    <n v="8.7544155890246306E-2"/>
  </r>
  <r>
    <x v="0"/>
    <x v="33"/>
    <x v="2"/>
    <x v="3"/>
    <s v="FI_IND"/>
    <x v="24"/>
    <n v="19.174223581093901"/>
    <n v="5.32617321697054"/>
  </r>
  <r>
    <x v="0"/>
    <x v="33"/>
    <x v="2"/>
    <x v="3"/>
    <s v="FI_IND"/>
    <x v="25"/>
    <n v="26.209507293842599"/>
    <n v="7.2804186927340497"/>
  </r>
  <r>
    <x v="0"/>
    <x v="33"/>
    <x v="2"/>
    <x v="3"/>
    <s v="FI_IND"/>
    <x v="26"/>
    <n v="33.320887798496699"/>
    <n v="9.2558021662490795"/>
  </r>
  <r>
    <x v="0"/>
    <x v="33"/>
    <x v="2"/>
    <x v="3"/>
    <s v="FI_IND"/>
    <x v="27"/>
    <n v="20.163995508318798"/>
    <n v="5.6011098634218799"/>
  </r>
  <r>
    <x v="0"/>
    <x v="33"/>
    <x v="2"/>
    <x v="3"/>
    <s v="FI_Offshore"/>
    <x v="1"/>
    <n v="35.989199999999997"/>
    <n v="9.9969999999999999"/>
  </r>
  <r>
    <x v="0"/>
    <x v="33"/>
    <x v="2"/>
    <x v="3"/>
    <s v="FI_Offshore"/>
    <x v="2"/>
    <n v="46.08"/>
    <n v="12.8"/>
  </r>
  <r>
    <x v="0"/>
    <x v="33"/>
    <x v="2"/>
    <x v="3"/>
    <s v="FI_Offshore"/>
    <x v="0"/>
    <n v="42.692399999999999"/>
    <n v="11.859"/>
  </r>
  <r>
    <x v="0"/>
    <x v="33"/>
    <x v="2"/>
    <x v="3"/>
    <s v="FI_Offshore"/>
    <x v="3"/>
    <n v="51.633543144067197"/>
    <n v="14.342650873352"/>
  </r>
  <r>
    <x v="0"/>
    <x v="33"/>
    <x v="2"/>
    <x v="3"/>
    <s v="FI_Offshore"/>
    <x v="4"/>
    <n v="6.3500778790389401"/>
    <n v="1.76391052195526"/>
  </r>
  <r>
    <x v="0"/>
    <x v="33"/>
    <x v="2"/>
    <x v="3"/>
    <s v="FI_Offshore"/>
    <x v="5"/>
    <n v="6.3500778790389401"/>
    <n v="1.76391052195526"/>
  </r>
  <r>
    <x v="0"/>
    <x v="33"/>
    <x v="2"/>
    <x v="3"/>
    <s v="FI_Offshore"/>
    <x v="6"/>
    <n v="29.476231795214598"/>
    <n v="8.1878421653373898"/>
  </r>
  <r>
    <x v="0"/>
    <x v="33"/>
    <x v="2"/>
    <x v="3"/>
    <s v="FI_Offshore"/>
    <x v="7"/>
    <n v="57.838935220261199"/>
    <n v="16.066370894517"/>
  </r>
  <r>
    <x v="0"/>
    <x v="33"/>
    <x v="2"/>
    <x v="3"/>
    <s v="FI_Offshore"/>
    <x v="8"/>
    <n v="57.838935220261199"/>
    <n v="16.066370894517"/>
  </r>
  <r>
    <x v="0"/>
    <x v="33"/>
    <x v="2"/>
    <x v="3"/>
    <s v="FI_Offshore"/>
    <x v="9"/>
    <n v="44.4505451532725"/>
    <n v="12.3473736536868"/>
  </r>
  <r>
    <x v="0"/>
    <x v="33"/>
    <x v="2"/>
    <x v="3"/>
    <s v="FI_Offshore"/>
    <x v="10"/>
    <n v="53.975661971830903"/>
    <n v="14.993239436619699"/>
  </r>
  <r>
    <x v="0"/>
    <x v="33"/>
    <x v="2"/>
    <x v="3"/>
    <s v="FI_Offshore"/>
    <x v="11"/>
    <n v="3.8806031483015802"/>
    <n v="1.07794531897266"/>
  </r>
  <r>
    <x v="0"/>
    <x v="33"/>
    <x v="2"/>
    <x v="3"/>
    <s v="FI_Offshore"/>
    <x v="12"/>
    <n v="9.7995028997514597E-2"/>
    <n v="2.72208413881985E-2"/>
  </r>
  <r>
    <x v="0"/>
    <x v="33"/>
    <x v="2"/>
    <x v="3"/>
    <s v="FI_Offshore"/>
    <x v="13"/>
    <n v="29.633696768848399"/>
    <n v="8.2315824357912195"/>
  </r>
  <r>
    <x v="0"/>
    <x v="33"/>
    <x v="2"/>
    <x v="3"/>
    <s v="FI_Offshore"/>
    <x v="14"/>
    <n v="29.633696768848399"/>
    <n v="8.2315824357912195"/>
  </r>
  <r>
    <x v="0"/>
    <x v="33"/>
    <x v="2"/>
    <x v="3"/>
    <s v="FI_Offshore"/>
    <x v="15"/>
    <n v="1.65807589063794"/>
    <n v="0.46057663628831802"/>
  </r>
  <r>
    <x v="0"/>
    <x v="33"/>
    <x v="2"/>
    <x v="3"/>
    <s v="FI_Offshore"/>
    <x v="16"/>
    <n v="6.4638978602906896"/>
    <n v="1.79552718341408"/>
  </r>
  <r>
    <x v="0"/>
    <x v="33"/>
    <x v="2"/>
    <x v="3"/>
    <s v="FI_Offshore"/>
    <x v="17"/>
    <n v="9.1244895875632395"/>
    <n v="2.5345804409897901"/>
  </r>
  <r>
    <x v="0"/>
    <x v="33"/>
    <x v="2"/>
    <x v="3"/>
    <s v="FI_Offshore"/>
    <x v="18"/>
    <n v="29.633696768848399"/>
    <n v="8.2315824357912195"/>
  </r>
  <r>
    <x v="0"/>
    <x v="33"/>
    <x v="2"/>
    <x v="3"/>
    <s v="FI_Offshore"/>
    <x v="19"/>
    <n v="8.1139884009941898"/>
    <n v="2.2538856669428302"/>
  </r>
  <r>
    <x v="0"/>
    <x v="33"/>
    <x v="2"/>
    <x v="3"/>
    <s v="FI_Offshore"/>
    <x v="20"/>
    <n v="22.109183021311601"/>
    <n v="6.1414397281420996"/>
  </r>
  <r>
    <x v="0"/>
    <x v="33"/>
    <x v="2"/>
    <x v="3"/>
    <s v="FI_Offshore"/>
    <x v="21"/>
    <n v="48.24"/>
    <n v="13.4"/>
  </r>
  <r>
    <x v="0"/>
    <x v="33"/>
    <x v="2"/>
    <x v="3"/>
    <s v="FI_Offshore"/>
    <x v="22"/>
    <n v="67.680000000000007"/>
    <n v="18.8"/>
  </r>
  <r>
    <x v="0"/>
    <x v="33"/>
    <x v="2"/>
    <x v="3"/>
    <s v="FI_Offshore"/>
    <x v="23"/>
    <n v="0.31515896120488701"/>
    <n v="8.7544155890246306E-2"/>
  </r>
  <r>
    <x v="0"/>
    <x v="33"/>
    <x v="2"/>
    <x v="3"/>
    <s v="FI_Offshore"/>
    <x v="24"/>
    <n v="19.174223581093901"/>
    <n v="5.32617321697054"/>
  </r>
  <r>
    <x v="0"/>
    <x v="33"/>
    <x v="2"/>
    <x v="3"/>
    <s v="FI_Offshore"/>
    <x v="25"/>
    <n v="26.209507293842599"/>
    <n v="7.2804186927340497"/>
  </r>
  <r>
    <x v="0"/>
    <x v="33"/>
    <x v="2"/>
    <x v="3"/>
    <s v="FI_Offshore"/>
    <x v="26"/>
    <n v="33.320887798496699"/>
    <n v="9.2558021662490795"/>
  </r>
  <r>
    <x v="0"/>
    <x v="33"/>
    <x v="2"/>
    <x v="3"/>
    <s v="FI_Offshore"/>
    <x v="27"/>
    <n v="20.163995508318798"/>
    <n v="5.6011098634218799"/>
  </r>
  <r>
    <x v="0"/>
    <x v="33"/>
    <x v="2"/>
    <x v="3"/>
    <s v="FI_large"/>
    <x v="1"/>
    <n v="35.989199999999997"/>
    <n v="9.9969999999999999"/>
  </r>
  <r>
    <x v="0"/>
    <x v="33"/>
    <x v="2"/>
    <x v="3"/>
    <s v="FI_large"/>
    <x v="2"/>
    <n v="46.08"/>
    <n v="12.8"/>
  </r>
  <r>
    <x v="0"/>
    <x v="33"/>
    <x v="2"/>
    <x v="3"/>
    <s v="FI_large"/>
    <x v="0"/>
    <n v="42.692399999999999"/>
    <n v="11.859"/>
  </r>
  <r>
    <x v="0"/>
    <x v="33"/>
    <x v="2"/>
    <x v="3"/>
    <s v="FI_large"/>
    <x v="3"/>
    <n v="51.633543144067197"/>
    <n v="14.342650873352"/>
  </r>
  <r>
    <x v="0"/>
    <x v="33"/>
    <x v="2"/>
    <x v="3"/>
    <s v="FI_large"/>
    <x v="4"/>
    <n v="6.3500778790389401"/>
    <n v="1.76391052195526"/>
  </r>
  <r>
    <x v="0"/>
    <x v="33"/>
    <x v="2"/>
    <x v="3"/>
    <s v="FI_large"/>
    <x v="5"/>
    <n v="6.3500778790389401"/>
    <n v="1.76391052195526"/>
  </r>
  <r>
    <x v="0"/>
    <x v="33"/>
    <x v="2"/>
    <x v="3"/>
    <s v="FI_large"/>
    <x v="6"/>
    <n v="29.476231795214598"/>
    <n v="8.1878421653373898"/>
  </r>
  <r>
    <x v="0"/>
    <x v="33"/>
    <x v="2"/>
    <x v="3"/>
    <s v="FI_large"/>
    <x v="7"/>
    <n v="57.838935220261199"/>
    <n v="16.066370894517"/>
  </r>
  <r>
    <x v="0"/>
    <x v="33"/>
    <x v="2"/>
    <x v="3"/>
    <s v="FI_large"/>
    <x v="8"/>
    <n v="57.838935220261199"/>
    <n v="16.066370894517"/>
  </r>
  <r>
    <x v="0"/>
    <x v="33"/>
    <x v="2"/>
    <x v="3"/>
    <s v="FI_large"/>
    <x v="9"/>
    <n v="44.4505451532725"/>
    <n v="12.3473736536868"/>
  </r>
  <r>
    <x v="0"/>
    <x v="33"/>
    <x v="2"/>
    <x v="3"/>
    <s v="FI_large"/>
    <x v="10"/>
    <n v="53.975661971830903"/>
    <n v="14.993239436619699"/>
  </r>
  <r>
    <x v="0"/>
    <x v="33"/>
    <x v="2"/>
    <x v="3"/>
    <s v="FI_large"/>
    <x v="11"/>
    <n v="3.8806031483015802"/>
    <n v="1.07794531897266"/>
  </r>
  <r>
    <x v="0"/>
    <x v="33"/>
    <x v="2"/>
    <x v="3"/>
    <s v="FI_large"/>
    <x v="12"/>
    <n v="9.7995028997514597E-2"/>
    <n v="2.72208413881985E-2"/>
  </r>
  <r>
    <x v="0"/>
    <x v="33"/>
    <x v="2"/>
    <x v="3"/>
    <s v="FI_large"/>
    <x v="13"/>
    <n v="29.633696768848399"/>
    <n v="8.2315824357912195"/>
  </r>
  <r>
    <x v="0"/>
    <x v="33"/>
    <x v="2"/>
    <x v="3"/>
    <s v="FI_large"/>
    <x v="14"/>
    <n v="29.633696768848399"/>
    <n v="8.2315824357912195"/>
  </r>
  <r>
    <x v="0"/>
    <x v="33"/>
    <x v="2"/>
    <x v="3"/>
    <s v="FI_large"/>
    <x v="15"/>
    <n v="1.65807589063794"/>
    <n v="0.46057663628831802"/>
  </r>
  <r>
    <x v="0"/>
    <x v="33"/>
    <x v="2"/>
    <x v="3"/>
    <s v="FI_large"/>
    <x v="16"/>
    <n v="6.4638978602906896"/>
    <n v="1.79552718341408"/>
  </r>
  <r>
    <x v="0"/>
    <x v="33"/>
    <x v="2"/>
    <x v="3"/>
    <s v="FI_large"/>
    <x v="17"/>
    <n v="9.1244895875632395"/>
    <n v="2.5345804409897901"/>
  </r>
  <r>
    <x v="0"/>
    <x v="33"/>
    <x v="2"/>
    <x v="3"/>
    <s v="FI_large"/>
    <x v="18"/>
    <n v="29.633696768848399"/>
    <n v="8.2315824357912195"/>
  </r>
  <r>
    <x v="0"/>
    <x v="33"/>
    <x v="2"/>
    <x v="3"/>
    <s v="FI_large"/>
    <x v="19"/>
    <n v="8.1139884009941898"/>
    <n v="2.2538856669428302"/>
  </r>
  <r>
    <x v="0"/>
    <x v="33"/>
    <x v="2"/>
    <x v="3"/>
    <s v="FI_large"/>
    <x v="20"/>
    <n v="22.109183021311601"/>
    <n v="6.1414397281420996"/>
  </r>
  <r>
    <x v="0"/>
    <x v="33"/>
    <x v="2"/>
    <x v="3"/>
    <s v="FI_large"/>
    <x v="21"/>
    <n v="48.24"/>
    <n v="13.4"/>
  </r>
  <r>
    <x v="0"/>
    <x v="33"/>
    <x v="2"/>
    <x v="3"/>
    <s v="FI_large"/>
    <x v="22"/>
    <n v="67.680000000000007"/>
    <n v="18.8"/>
  </r>
  <r>
    <x v="0"/>
    <x v="33"/>
    <x v="2"/>
    <x v="3"/>
    <s v="FI_large"/>
    <x v="23"/>
    <n v="0.31515896120488701"/>
    <n v="8.7544155890246306E-2"/>
  </r>
  <r>
    <x v="0"/>
    <x v="33"/>
    <x v="2"/>
    <x v="3"/>
    <s v="FI_large"/>
    <x v="24"/>
    <n v="19.174223581093901"/>
    <n v="5.32617321697054"/>
  </r>
  <r>
    <x v="0"/>
    <x v="33"/>
    <x v="2"/>
    <x v="3"/>
    <s v="FI_large"/>
    <x v="25"/>
    <n v="26.209507293842599"/>
    <n v="7.2804186927340497"/>
  </r>
  <r>
    <x v="0"/>
    <x v="33"/>
    <x v="2"/>
    <x v="3"/>
    <s v="FI_large"/>
    <x v="26"/>
    <n v="33.320887798496699"/>
    <n v="9.2558021662490795"/>
  </r>
  <r>
    <x v="0"/>
    <x v="33"/>
    <x v="2"/>
    <x v="3"/>
    <s v="FI_large"/>
    <x v="27"/>
    <n v="20.163995508318798"/>
    <n v="5.6011098634218799"/>
  </r>
  <r>
    <x v="0"/>
    <x v="33"/>
    <x v="2"/>
    <x v="3"/>
    <s v="FI_large_gas"/>
    <x v="1"/>
    <n v="35.989199999999997"/>
    <n v="9.9969999999999999"/>
  </r>
  <r>
    <x v="0"/>
    <x v="33"/>
    <x v="2"/>
    <x v="3"/>
    <s v="FI_large_gas"/>
    <x v="2"/>
    <n v="46.08"/>
    <n v="12.8"/>
  </r>
  <r>
    <x v="0"/>
    <x v="33"/>
    <x v="2"/>
    <x v="3"/>
    <s v="FI_large_gas"/>
    <x v="0"/>
    <n v="42.692399999999999"/>
    <n v="11.859"/>
  </r>
  <r>
    <x v="0"/>
    <x v="33"/>
    <x v="2"/>
    <x v="3"/>
    <s v="FI_large_gas"/>
    <x v="3"/>
    <n v="51.633543144067197"/>
    <n v="14.342650873352"/>
  </r>
  <r>
    <x v="0"/>
    <x v="33"/>
    <x v="2"/>
    <x v="3"/>
    <s v="FI_large_gas"/>
    <x v="4"/>
    <n v="6.3500778790389401"/>
    <n v="1.76391052195526"/>
  </r>
  <r>
    <x v="0"/>
    <x v="33"/>
    <x v="2"/>
    <x v="3"/>
    <s v="FI_large_gas"/>
    <x v="5"/>
    <n v="6.3500778790389401"/>
    <n v="1.76391052195526"/>
  </r>
  <r>
    <x v="0"/>
    <x v="33"/>
    <x v="2"/>
    <x v="3"/>
    <s v="FI_large_gas"/>
    <x v="6"/>
    <n v="29.476231795214598"/>
    <n v="8.1878421653373898"/>
  </r>
  <r>
    <x v="0"/>
    <x v="33"/>
    <x v="2"/>
    <x v="3"/>
    <s v="FI_large_gas"/>
    <x v="7"/>
    <n v="57.838935220261199"/>
    <n v="16.066370894517"/>
  </r>
  <r>
    <x v="0"/>
    <x v="33"/>
    <x v="2"/>
    <x v="3"/>
    <s v="FI_large_gas"/>
    <x v="8"/>
    <n v="57.838935220261199"/>
    <n v="16.066370894517"/>
  </r>
  <r>
    <x v="0"/>
    <x v="33"/>
    <x v="2"/>
    <x v="3"/>
    <s v="FI_large_gas"/>
    <x v="9"/>
    <n v="44.4505451532725"/>
    <n v="12.3473736536868"/>
  </r>
  <r>
    <x v="0"/>
    <x v="33"/>
    <x v="2"/>
    <x v="3"/>
    <s v="FI_large_gas"/>
    <x v="10"/>
    <n v="53.975661971830903"/>
    <n v="14.993239436619699"/>
  </r>
  <r>
    <x v="0"/>
    <x v="33"/>
    <x v="2"/>
    <x v="3"/>
    <s v="FI_large_gas"/>
    <x v="11"/>
    <n v="3.8806031483015802"/>
    <n v="1.07794531897266"/>
  </r>
  <r>
    <x v="0"/>
    <x v="33"/>
    <x v="2"/>
    <x v="3"/>
    <s v="FI_large_gas"/>
    <x v="12"/>
    <n v="9.7995028997514597E-2"/>
    <n v="2.72208413881985E-2"/>
  </r>
  <r>
    <x v="0"/>
    <x v="33"/>
    <x v="2"/>
    <x v="3"/>
    <s v="FI_large_gas"/>
    <x v="13"/>
    <n v="29.633696768848399"/>
    <n v="8.2315824357912195"/>
  </r>
  <r>
    <x v="0"/>
    <x v="33"/>
    <x v="2"/>
    <x v="3"/>
    <s v="FI_large_gas"/>
    <x v="14"/>
    <n v="29.633696768848399"/>
    <n v="8.2315824357912195"/>
  </r>
  <r>
    <x v="0"/>
    <x v="33"/>
    <x v="2"/>
    <x v="3"/>
    <s v="FI_large_gas"/>
    <x v="15"/>
    <n v="1.65807589063794"/>
    <n v="0.46057663628831802"/>
  </r>
  <r>
    <x v="0"/>
    <x v="33"/>
    <x v="2"/>
    <x v="3"/>
    <s v="FI_large_gas"/>
    <x v="16"/>
    <n v="6.4638978602906896"/>
    <n v="1.79552718341408"/>
  </r>
  <r>
    <x v="0"/>
    <x v="33"/>
    <x v="2"/>
    <x v="3"/>
    <s v="FI_large_gas"/>
    <x v="17"/>
    <n v="9.1244895875632395"/>
    <n v="2.5345804409897901"/>
  </r>
  <r>
    <x v="0"/>
    <x v="33"/>
    <x v="2"/>
    <x v="3"/>
    <s v="FI_large_gas"/>
    <x v="18"/>
    <n v="29.633696768848399"/>
    <n v="8.2315824357912195"/>
  </r>
  <r>
    <x v="0"/>
    <x v="33"/>
    <x v="2"/>
    <x v="3"/>
    <s v="FI_large_gas"/>
    <x v="19"/>
    <n v="8.1139884009941898"/>
    <n v="2.2538856669428302"/>
  </r>
  <r>
    <x v="0"/>
    <x v="33"/>
    <x v="2"/>
    <x v="3"/>
    <s v="FI_large_gas"/>
    <x v="20"/>
    <n v="22.109183021311601"/>
    <n v="6.1414397281420996"/>
  </r>
  <r>
    <x v="0"/>
    <x v="33"/>
    <x v="2"/>
    <x v="3"/>
    <s v="FI_large_gas"/>
    <x v="21"/>
    <n v="48.24"/>
    <n v="13.4"/>
  </r>
  <r>
    <x v="0"/>
    <x v="33"/>
    <x v="2"/>
    <x v="3"/>
    <s v="FI_large_gas"/>
    <x v="22"/>
    <n v="67.680000000000007"/>
    <n v="18.8"/>
  </r>
  <r>
    <x v="0"/>
    <x v="33"/>
    <x v="2"/>
    <x v="3"/>
    <s v="FI_large_gas"/>
    <x v="23"/>
    <n v="0.31515896120488701"/>
    <n v="8.7544155890246306E-2"/>
  </r>
  <r>
    <x v="0"/>
    <x v="33"/>
    <x v="2"/>
    <x v="3"/>
    <s v="FI_large_gas"/>
    <x v="24"/>
    <n v="19.174223581093901"/>
    <n v="5.32617321697054"/>
  </r>
  <r>
    <x v="0"/>
    <x v="33"/>
    <x v="2"/>
    <x v="3"/>
    <s v="FI_large_gas"/>
    <x v="25"/>
    <n v="26.209507293842599"/>
    <n v="7.2804186927340497"/>
  </r>
  <r>
    <x v="0"/>
    <x v="33"/>
    <x v="2"/>
    <x v="3"/>
    <s v="FI_large_gas"/>
    <x v="26"/>
    <n v="33.320887798496699"/>
    <n v="9.2558021662490795"/>
  </r>
  <r>
    <x v="0"/>
    <x v="33"/>
    <x v="2"/>
    <x v="3"/>
    <s v="FI_large_gas"/>
    <x v="27"/>
    <n v="20.163995508318798"/>
    <n v="5.6011098634218799"/>
  </r>
  <r>
    <x v="0"/>
    <x v="33"/>
    <x v="2"/>
    <x v="3"/>
    <s v="FI_medium"/>
    <x v="1"/>
    <n v="35.989199999999997"/>
    <n v="9.9969999999999999"/>
  </r>
  <r>
    <x v="0"/>
    <x v="33"/>
    <x v="2"/>
    <x v="3"/>
    <s v="FI_medium"/>
    <x v="2"/>
    <n v="46.08"/>
    <n v="12.8"/>
  </r>
  <r>
    <x v="0"/>
    <x v="33"/>
    <x v="2"/>
    <x v="3"/>
    <s v="FI_medium"/>
    <x v="0"/>
    <n v="42.692399999999999"/>
    <n v="11.859"/>
  </r>
  <r>
    <x v="0"/>
    <x v="33"/>
    <x v="2"/>
    <x v="3"/>
    <s v="FI_medium"/>
    <x v="3"/>
    <n v="51.633543144067197"/>
    <n v="14.342650873352"/>
  </r>
  <r>
    <x v="0"/>
    <x v="33"/>
    <x v="2"/>
    <x v="3"/>
    <s v="FI_medium"/>
    <x v="4"/>
    <n v="6.3500778790389401"/>
    <n v="1.76391052195526"/>
  </r>
  <r>
    <x v="0"/>
    <x v="33"/>
    <x v="2"/>
    <x v="3"/>
    <s v="FI_medium"/>
    <x v="5"/>
    <n v="6.3500778790389401"/>
    <n v="1.76391052195526"/>
  </r>
  <r>
    <x v="0"/>
    <x v="33"/>
    <x v="2"/>
    <x v="3"/>
    <s v="FI_medium"/>
    <x v="6"/>
    <n v="29.476231795214598"/>
    <n v="8.1878421653373898"/>
  </r>
  <r>
    <x v="0"/>
    <x v="33"/>
    <x v="2"/>
    <x v="3"/>
    <s v="FI_medium"/>
    <x v="7"/>
    <n v="57.838935220261199"/>
    <n v="16.066370894517"/>
  </r>
  <r>
    <x v="0"/>
    <x v="33"/>
    <x v="2"/>
    <x v="3"/>
    <s v="FI_medium"/>
    <x v="8"/>
    <n v="57.838935220261199"/>
    <n v="16.066370894517"/>
  </r>
  <r>
    <x v="0"/>
    <x v="33"/>
    <x v="2"/>
    <x v="3"/>
    <s v="FI_medium"/>
    <x v="9"/>
    <n v="44.4505451532725"/>
    <n v="12.3473736536868"/>
  </r>
  <r>
    <x v="0"/>
    <x v="33"/>
    <x v="2"/>
    <x v="3"/>
    <s v="FI_medium"/>
    <x v="10"/>
    <n v="53.975661971830903"/>
    <n v="14.993239436619699"/>
  </r>
  <r>
    <x v="0"/>
    <x v="33"/>
    <x v="2"/>
    <x v="3"/>
    <s v="FI_medium"/>
    <x v="11"/>
    <n v="3.8806031483015802"/>
    <n v="1.07794531897266"/>
  </r>
  <r>
    <x v="0"/>
    <x v="33"/>
    <x v="2"/>
    <x v="3"/>
    <s v="FI_medium"/>
    <x v="12"/>
    <n v="9.7995028997514597E-2"/>
    <n v="2.72208413881985E-2"/>
  </r>
  <r>
    <x v="0"/>
    <x v="33"/>
    <x v="2"/>
    <x v="3"/>
    <s v="FI_medium"/>
    <x v="13"/>
    <n v="29.633696768848399"/>
    <n v="8.2315824357912195"/>
  </r>
  <r>
    <x v="0"/>
    <x v="33"/>
    <x v="2"/>
    <x v="3"/>
    <s v="FI_medium"/>
    <x v="14"/>
    <n v="29.633696768848399"/>
    <n v="8.2315824357912195"/>
  </r>
  <r>
    <x v="0"/>
    <x v="33"/>
    <x v="2"/>
    <x v="3"/>
    <s v="FI_medium"/>
    <x v="15"/>
    <n v="1.65807589063794"/>
    <n v="0.46057663628831802"/>
  </r>
  <r>
    <x v="0"/>
    <x v="33"/>
    <x v="2"/>
    <x v="3"/>
    <s v="FI_medium"/>
    <x v="16"/>
    <n v="6.4638978602906896"/>
    <n v="1.79552718341408"/>
  </r>
  <r>
    <x v="0"/>
    <x v="33"/>
    <x v="2"/>
    <x v="3"/>
    <s v="FI_medium"/>
    <x v="17"/>
    <n v="9.1244895875632395"/>
    <n v="2.5345804409897901"/>
  </r>
  <r>
    <x v="0"/>
    <x v="33"/>
    <x v="2"/>
    <x v="3"/>
    <s v="FI_medium"/>
    <x v="18"/>
    <n v="29.633696768848399"/>
    <n v="8.2315824357912195"/>
  </r>
  <r>
    <x v="0"/>
    <x v="33"/>
    <x v="2"/>
    <x v="3"/>
    <s v="FI_medium"/>
    <x v="19"/>
    <n v="8.1139884009941898"/>
    <n v="2.2538856669428302"/>
  </r>
  <r>
    <x v="0"/>
    <x v="33"/>
    <x v="2"/>
    <x v="3"/>
    <s v="FI_medium"/>
    <x v="20"/>
    <n v="22.109183021311601"/>
    <n v="6.1414397281420996"/>
  </r>
  <r>
    <x v="0"/>
    <x v="33"/>
    <x v="2"/>
    <x v="3"/>
    <s v="FI_medium"/>
    <x v="21"/>
    <n v="48.24"/>
    <n v="13.4"/>
  </r>
  <r>
    <x v="0"/>
    <x v="33"/>
    <x v="2"/>
    <x v="3"/>
    <s v="FI_medium"/>
    <x v="22"/>
    <n v="67.680000000000007"/>
    <n v="18.8"/>
  </r>
  <r>
    <x v="0"/>
    <x v="33"/>
    <x v="2"/>
    <x v="3"/>
    <s v="FI_medium"/>
    <x v="23"/>
    <n v="0.31515896120488701"/>
    <n v="8.7544155890246306E-2"/>
  </r>
  <r>
    <x v="0"/>
    <x v="33"/>
    <x v="2"/>
    <x v="3"/>
    <s v="FI_medium"/>
    <x v="24"/>
    <n v="19.174223581093901"/>
    <n v="5.32617321697054"/>
  </r>
  <r>
    <x v="0"/>
    <x v="33"/>
    <x v="2"/>
    <x v="3"/>
    <s v="FI_medium"/>
    <x v="25"/>
    <n v="26.209507293842599"/>
    <n v="7.2804186927340497"/>
  </r>
  <r>
    <x v="0"/>
    <x v="33"/>
    <x v="2"/>
    <x v="3"/>
    <s v="FI_medium"/>
    <x v="26"/>
    <n v="33.320887798496699"/>
    <n v="9.2558021662490795"/>
  </r>
  <r>
    <x v="0"/>
    <x v="33"/>
    <x v="2"/>
    <x v="3"/>
    <s v="FI_medium"/>
    <x v="27"/>
    <n v="20.163995508318798"/>
    <n v="5.6011098634218799"/>
  </r>
  <r>
    <x v="0"/>
    <x v="33"/>
    <x v="2"/>
    <x v="3"/>
    <s v="FI_medium_gas"/>
    <x v="1"/>
    <n v="35.989199999999997"/>
    <n v="9.9969999999999999"/>
  </r>
  <r>
    <x v="0"/>
    <x v="33"/>
    <x v="2"/>
    <x v="3"/>
    <s v="FI_medium_gas"/>
    <x v="2"/>
    <n v="46.08"/>
    <n v="12.8"/>
  </r>
  <r>
    <x v="0"/>
    <x v="33"/>
    <x v="2"/>
    <x v="3"/>
    <s v="FI_medium_gas"/>
    <x v="0"/>
    <n v="42.692399999999999"/>
    <n v="11.859"/>
  </r>
  <r>
    <x v="0"/>
    <x v="33"/>
    <x v="2"/>
    <x v="3"/>
    <s v="FI_medium_gas"/>
    <x v="3"/>
    <n v="51.633543144067197"/>
    <n v="14.342650873352"/>
  </r>
  <r>
    <x v="0"/>
    <x v="33"/>
    <x v="2"/>
    <x v="3"/>
    <s v="FI_medium_gas"/>
    <x v="4"/>
    <n v="6.3500778790389401"/>
    <n v="1.76391052195526"/>
  </r>
  <r>
    <x v="0"/>
    <x v="33"/>
    <x v="2"/>
    <x v="3"/>
    <s v="FI_medium_gas"/>
    <x v="5"/>
    <n v="6.3500778790389401"/>
    <n v="1.76391052195526"/>
  </r>
  <r>
    <x v="0"/>
    <x v="33"/>
    <x v="2"/>
    <x v="3"/>
    <s v="FI_medium_gas"/>
    <x v="6"/>
    <n v="29.476231795214598"/>
    <n v="8.1878421653373898"/>
  </r>
  <r>
    <x v="0"/>
    <x v="33"/>
    <x v="2"/>
    <x v="3"/>
    <s v="FI_medium_gas"/>
    <x v="7"/>
    <n v="57.838935220261199"/>
    <n v="16.066370894517"/>
  </r>
  <r>
    <x v="0"/>
    <x v="33"/>
    <x v="2"/>
    <x v="3"/>
    <s v="FI_medium_gas"/>
    <x v="8"/>
    <n v="57.838935220261199"/>
    <n v="16.066370894517"/>
  </r>
  <r>
    <x v="0"/>
    <x v="33"/>
    <x v="2"/>
    <x v="3"/>
    <s v="FI_medium_gas"/>
    <x v="9"/>
    <n v="44.4505451532725"/>
    <n v="12.3473736536868"/>
  </r>
  <r>
    <x v="0"/>
    <x v="33"/>
    <x v="2"/>
    <x v="3"/>
    <s v="FI_medium_gas"/>
    <x v="10"/>
    <n v="53.975661971830903"/>
    <n v="14.993239436619699"/>
  </r>
  <r>
    <x v="0"/>
    <x v="33"/>
    <x v="2"/>
    <x v="3"/>
    <s v="FI_medium_gas"/>
    <x v="11"/>
    <n v="3.8806031483015802"/>
    <n v="1.07794531897266"/>
  </r>
  <r>
    <x v="0"/>
    <x v="33"/>
    <x v="2"/>
    <x v="3"/>
    <s v="FI_medium_gas"/>
    <x v="12"/>
    <n v="9.7995028997514597E-2"/>
    <n v="2.72208413881985E-2"/>
  </r>
  <r>
    <x v="0"/>
    <x v="33"/>
    <x v="2"/>
    <x v="3"/>
    <s v="FI_medium_gas"/>
    <x v="13"/>
    <n v="29.633696768848399"/>
    <n v="8.2315824357912195"/>
  </r>
  <r>
    <x v="0"/>
    <x v="33"/>
    <x v="2"/>
    <x v="3"/>
    <s v="FI_medium_gas"/>
    <x v="14"/>
    <n v="29.633696768848399"/>
    <n v="8.2315824357912195"/>
  </r>
  <r>
    <x v="0"/>
    <x v="33"/>
    <x v="2"/>
    <x v="3"/>
    <s v="FI_medium_gas"/>
    <x v="15"/>
    <n v="1.65807589063794"/>
    <n v="0.46057663628831802"/>
  </r>
  <r>
    <x v="0"/>
    <x v="33"/>
    <x v="2"/>
    <x v="3"/>
    <s v="FI_medium_gas"/>
    <x v="16"/>
    <n v="6.4638978602906896"/>
    <n v="1.79552718341408"/>
  </r>
  <r>
    <x v="0"/>
    <x v="33"/>
    <x v="2"/>
    <x v="3"/>
    <s v="FI_medium_gas"/>
    <x v="17"/>
    <n v="9.1244895875632395"/>
    <n v="2.5345804409897901"/>
  </r>
  <r>
    <x v="0"/>
    <x v="33"/>
    <x v="2"/>
    <x v="3"/>
    <s v="FI_medium_gas"/>
    <x v="18"/>
    <n v="29.633696768848399"/>
    <n v="8.2315824357912195"/>
  </r>
  <r>
    <x v="0"/>
    <x v="33"/>
    <x v="2"/>
    <x v="3"/>
    <s v="FI_medium_gas"/>
    <x v="19"/>
    <n v="8.1139884009941898"/>
    <n v="2.2538856669428302"/>
  </r>
  <r>
    <x v="0"/>
    <x v="33"/>
    <x v="2"/>
    <x v="3"/>
    <s v="FI_medium_gas"/>
    <x v="20"/>
    <n v="22.109183021311601"/>
    <n v="6.1414397281420996"/>
  </r>
  <r>
    <x v="0"/>
    <x v="33"/>
    <x v="2"/>
    <x v="3"/>
    <s v="FI_medium_gas"/>
    <x v="21"/>
    <n v="48.24"/>
    <n v="13.4"/>
  </r>
  <r>
    <x v="0"/>
    <x v="33"/>
    <x v="2"/>
    <x v="3"/>
    <s v="FI_medium_gas"/>
    <x v="22"/>
    <n v="67.680000000000007"/>
    <n v="18.8"/>
  </r>
  <r>
    <x v="0"/>
    <x v="33"/>
    <x v="2"/>
    <x v="3"/>
    <s v="FI_medium_gas"/>
    <x v="23"/>
    <n v="0.31515896120488701"/>
    <n v="8.7544155890246306E-2"/>
  </r>
  <r>
    <x v="0"/>
    <x v="33"/>
    <x v="2"/>
    <x v="3"/>
    <s v="FI_medium_gas"/>
    <x v="24"/>
    <n v="19.174223581093901"/>
    <n v="5.32617321697054"/>
  </r>
  <r>
    <x v="0"/>
    <x v="33"/>
    <x v="2"/>
    <x v="3"/>
    <s v="FI_medium_gas"/>
    <x v="25"/>
    <n v="26.209507293842599"/>
    <n v="7.2804186927340497"/>
  </r>
  <r>
    <x v="0"/>
    <x v="33"/>
    <x v="2"/>
    <x v="3"/>
    <s v="FI_medium_gas"/>
    <x v="26"/>
    <n v="33.320887798496699"/>
    <n v="9.2558021662490795"/>
  </r>
  <r>
    <x v="0"/>
    <x v="33"/>
    <x v="2"/>
    <x v="3"/>
    <s v="FI_medium_gas"/>
    <x v="27"/>
    <n v="20.163995508318798"/>
    <n v="5.6011098634218799"/>
  </r>
  <r>
    <x v="0"/>
    <x v="33"/>
    <x v="2"/>
    <x v="3"/>
    <s v="FI_small"/>
    <x v="1"/>
    <n v="35.989199999999997"/>
    <n v="9.9969999999999999"/>
  </r>
  <r>
    <x v="0"/>
    <x v="33"/>
    <x v="2"/>
    <x v="3"/>
    <s v="FI_small"/>
    <x v="2"/>
    <n v="46.08"/>
    <n v="12.8"/>
  </r>
  <r>
    <x v="0"/>
    <x v="33"/>
    <x v="2"/>
    <x v="3"/>
    <s v="FI_small"/>
    <x v="0"/>
    <n v="42.692399999999999"/>
    <n v="11.859"/>
  </r>
  <r>
    <x v="0"/>
    <x v="33"/>
    <x v="2"/>
    <x v="3"/>
    <s v="FI_small"/>
    <x v="3"/>
    <n v="51.633543144067197"/>
    <n v="14.342650873352"/>
  </r>
  <r>
    <x v="0"/>
    <x v="33"/>
    <x v="2"/>
    <x v="3"/>
    <s v="FI_small"/>
    <x v="4"/>
    <n v="6.3500778790389401"/>
    <n v="1.76391052195526"/>
  </r>
  <r>
    <x v="0"/>
    <x v="33"/>
    <x v="2"/>
    <x v="3"/>
    <s v="FI_small"/>
    <x v="5"/>
    <n v="6.3500778790389401"/>
    <n v="1.76391052195526"/>
  </r>
  <r>
    <x v="0"/>
    <x v="33"/>
    <x v="2"/>
    <x v="3"/>
    <s v="FI_small"/>
    <x v="6"/>
    <n v="29.476231795214598"/>
    <n v="8.1878421653373898"/>
  </r>
  <r>
    <x v="0"/>
    <x v="33"/>
    <x v="2"/>
    <x v="3"/>
    <s v="FI_small"/>
    <x v="7"/>
    <n v="57.838935220261199"/>
    <n v="16.066370894517"/>
  </r>
  <r>
    <x v="0"/>
    <x v="33"/>
    <x v="2"/>
    <x v="3"/>
    <s v="FI_small"/>
    <x v="8"/>
    <n v="57.838935220261199"/>
    <n v="16.066370894517"/>
  </r>
  <r>
    <x v="0"/>
    <x v="33"/>
    <x v="2"/>
    <x v="3"/>
    <s v="FI_small"/>
    <x v="9"/>
    <n v="44.4505451532725"/>
    <n v="12.3473736536868"/>
  </r>
  <r>
    <x v="0"/>
    <x v="33"/>
    <x v="2"/>
    <x v="3"/>
    <s v="FI_small"/>
    <x v="10"/>
    <n v="53.975661971830903"/>
    <n v="14.993239436619699"/>
  </r>
  <r>
    <x v="0"/>
    <x v="33"/>
    <x v="2"/>
    <x v="3"/>
    <s v="FI_small"/>
    <x v="11"/>
    <n v="3.8806031483015802"/>
    <n v="1.07794531897266"/>
  </r>
  <r>
    <x v="0"/>
    <x v="33"/>
    <x v="2"/>
    <x v="3"/>
    <s v="FI_small"/>
    <x v="12"/>
    <n v="9.7995028997514597E-2"/>
    <n v="2.72208413881985E-2"/>
  </r>
  <r>
    <x v="0"/>
    <x v="33"/>
    <x v="2"/>
    <x v="3"/>
    <s v="FI_small"/>
    <x v="13"/>
    <n v="29.633696768848399"/>
    <n v="8.2315824357912195"/>
  </r>
  <r>
    <x v="0"/>
    <x v="33"/>
    <x v="2"/>
    <x v="3"/>
    <s v="FI_small"/>
    <x v="14"/>
    <n v="29.633696768848399"/>
    <n v="8.2315824357912195"/>
  </r>
  <r>
    <x v="0"/>
    <x v="33"/>
    <x v="2"/>
    <x v="3"/>
    <s v="FI_small"/>
    <x v="15"/>
    <n v="1.65807589063794"/>
    <n v="0.46057663628831802"/>
  </r>
  <r>
    <x v="0"/>
    <x v="33"/>
    <x v="2"/>
    <x v="3"/>
    <s v="FI_small"/>
    <x v="16"/>
    <n v="6.4638978602906896"/>
    <n v="1.79552718341408"/>
  </r>
  <r>
    <x v="0"/>
    <x v="33"/>
    <x v="2"/>
    <x v="3"/>
    <s v="FI_small"/>
    <x v="17"/>
    <n v="9.1244895875632395"/>
    <n v="2.5345804409897901"/>
  </r>
  <r>
    <x v="0"/>
    <x v="33"/>
    <x v="2"/>
    <x v="3"/>
    <s v="FI_small"/>
    <x v="18"/>
    <n v="29.633696768848399"/>
    <n v="8.2315824357912195"/>
  </r>
  <r>
    <x v="0"/>
    <x v="33"/>
    <x v="2"/>
    <x v="3"/>
    <s v="FI_small"/>
    <x v="19"/>
    <n v="8.1139884009941898"/>
    <n v="2.2538856669428302"/>
  </r>
  <r>
    <x v="0"/>
    <x v="33"/>
    <x v="2"/>
    <x v="3"/>
    <s v="FI_small"/>
    <x v="20"/>
    <n v="22.109183021311601"/>
    <n v="6.1414397281420996"/>
  </r>
  <r>
    <x v="0"/>
    <x v="33"/>
    <x v="2"/>
    <x v="3"/>
    <s v="FI_small"/>
    <x v="21"/>
    <n v="48.24"/>
    <n v="13.4"/>
  </r>
  <r>
    <x v="0"/>
    <x v="33"/>
    <x v="2"/>
    <x v="3"/>
    <s v="FI_small"/>
    <x v="22"/>
    <n v="67.680000000000007"/>
    <n v="18.8"/>
  </r>
  <r>
    <x v="0"/>
    <x v="33"/>
    <x v="2"/>
    <x v="3"/>
    <s v="FI_small"/>
    <x v="23"/>
    <n v="0.31515896120488701"/>
    <n v="8.7544155890246306E-2"/>
  </r>
  <r>
    <x v="0"/>
    <x v="33"/>
    <x v="2"/>
    <x v="3"/>
    <s v="FI_small"/>
    <x v="24"/>
    <n v="19.174223581093901"/>
    <n v="5.32617321697054"/>
  </r>
  <r>
    <x v="0"/>
    <x v="33"/>
    <x v="2"/>
    <x v="3"/>
    <s v="FI_small"/>
    <x v="25"/>
    <n v="26.209507293842599"/>
    <n v="7.2804186927340497"/>
  </r>
  <r>
    <x v="0"/>
    <x v="33"/>
    <x v="2"/>
    <x v="3"/>
    <s v="FI_small"/>
    <x v="26"/>
    <n v="33.320887798496699"/>
    <n v="9.2558021662490795"/>
  </r>
  <r>
    <x v="0"/>
    <x v="33"/>
    <x v="2"/>
    <x v="3"/>
    <s v="FI_small"/>
    <x v="27"/>
    <n v="20.163995508318798"/>
    <n v="5.6011098634218799"/>
  </r>
  <r>
    <x v="0"/>
    <x v="33"/>
    <x v="2"/>
    <x v="3"/>
    <s v="FI_small_gas"/>
    <x v="1"/>
    <n v="35.989199999999997"/>
    <n v="9.9969999999999999"/>
  </r>
  <r>
    <x v="0"/>
    <x v="33"/>
    <x v="2"/>
    <x v="3"/>
    <s v="FI_small_gas"/>
    <x v="2"/>
    <n v="46.08"/>
    <n v="12.8"/>
  </r>
  <r>
    <x v="0"/>
    <x v="33"/>
    <x v="2"/>
    <x v="3"/>
    <s v="FI_small_gas"/>
    <x v="0"/>
    <n v="42.692399999999999"/>
    <n v="11.859"/>
  </r>
  <r>
    <x v="0"/>
    <x v="33"/>
    <x v="2"/>
    <x v="3"/>
    <s v="FI_small_gas"/>
    <x v="3"/>
    <n v="51.633543144067197"/>
    <n v="14.342650873352"/>
  </r>
  <r>
    <x v="0"/>
    <x v="33"/>
    <x v="2"/>
    <x v="3"/>
    <s v="FI_small_gas"/>
    <x v="4"/>
    <n v="6.3500778790389401"/>
    <n v="1.76391052195526"/>
  </r>
  <r>
    <x v="0"/>
    <x v="33"/>
    <x v="2"/>
    <x v="3"/>
    <s v="FI_small_gas"/>
    <x v="5"/>
    <n v="6.3500778790389401"/>
    <n v="1.76391052195526"/>
  </r>
  <r>
    <x v="0"/>
    <x v="33"/>
    <x v="2"/>
    <x v="3"/>
    <s v="FI_small_gas"/>
    <x v="6"/>
    <n v="29.476231795214598"/>
    <n v="8.1878421653373898"/>
  </r>
  <r>
    <x v="0"/>
    <x v="33"/>
    <x v="2"/>
    <x v="3"/>
    <s v="FI_small_gas"/>
    <x v="7"/>
    <n v="57.838935220261199"/>
    <n v="16.066370894517"/>
  </r>
  <r>
    <x v="0"/>
    <x v="33"/>
    <x v="2"/>
    <x v="3"/>
    <s v="FI_small_gas"/>
    <x v="8"/>
    <n v="57.838935220261199"/>
    <n v="16.066370894517"/>
  </r>
  <r>
    <x v="0"/>
    <x v="33"/>
    <x v="2"/>
    <x v="3"/>
    <s v="FI_small_gas"/>
    <x v="9"/>
    <n v="44.4505451532725"/>
    <n v="12.3473736536868"/>
  </r>
  <r>
    <x v="0"/>
    <x v="33"/>
    <x v="2"/>
    <x v="3"/>
    <s v="FI_small_gas"/>
    <x v="10"/>
    <n v="53.975661971830903"/>
    <n v="14.993239436619699"/>
  </r>
  <r>
    <x v="0"/>
    <x v="33"/>
    <x v="2"/>
    <x v="3"/>
    <s v="FI_small_gas"/>
    <x v="11"/>
    <n v="3.8806031483015802"/>
    <n v="1.07794531897266"/>
  </r>
  <r>
    <x v="0"/>
    <x v="33"/>
    <x v="2"/>
    <x v="3"/>
    <s v="FI_small_gas"/>
    <x v="12"/>
    <n v="9.7995028997514597E-2"/>
    <n v="2.72208413881985E-2"/>
  </r>
  <r>
    <x v="0"/>
    <x v="33"/>
    <x v="2"/>
    <x v="3"/>
    <s v="FI_small_gas"/>
    <x v="13"/>
    <n v="29.633696768848399"/>
    <n v="8.2315824357912195"/>
  </r>
  <r>
    <x v="0"/>
    <x v="33"/>
    <x v="2"/>
    <x v="3"/>
    <s v="FI_small_gas"/>
    <x v="14"/>
    <n v="29.633696768848399"/>
    <n v="8.2315824357912195"/>
  </r>
  <r>
    <x v="0"/>
    <x v="33"/>
    <x v="2"/>
    <x v="3"/>
    <s v="FI_small_gas"/>
    <x v="15"/>
    <n v="1.65807589063794"/>
    <n v="0.46057663628831802"/>
  </r>
  <r>
    <x v="0"/>
    <x v="33"/>
    <x v="2"/>
    <x v="3"/>
    <s v="FI_small_gas"/>
    <x v="16"/>
    <n v="6.4638978602906896"/>
    <n v="1.79552718341408"/>
  </r>
  <r>
    <x v="0"/>
    <x v="33"/>
    <x v="2"/>
    <x v="3"/>
    <s v="FI_small_gas"/>
    <x v="17"/>
    <n v="9.1244895875632395"/>
    <n v="2.5345804409897901"/>
  </r>
  <r>
    <x v="0"/>
    <x v="33"/>
    <x v="2"/>
    <x v="3"/>
    <s v="FI_small_gas"/>
    <x v="18"/>
    <n v="29.633696768848399"/>
    <n v="8.2315824357912195"/>
  </r>
  <r>
    <x v="0"/>
    <x v="33"/>
    <x v="2"/>
    <x v="3"/>
    <s v="FI_small_gas"/>
    <x v="19"/>
    <n v="8.1139884009941898"/>
    <n v="2.2538856669428302"/>
  </r>
  <r>
    <x v="0"/>
    <x v="33"/>
    <x v="2"/>
    <x v="3"/>
    <s v="FI_small_gas"/>
    <x v="20"/>
    <n v="22.109183021311601"/>
    <n v="6.1414397281420996"/>
  </r>
  <r>
    <x v="0"/>
    <x v="33"/>
    <x v="2"/>
    <x v="3"/>
    <s v="FI_small_gas"/>
    <x v="21"/>
    <n v="48.24"/>
    <n v="13.4"/>
  </r>
  <r>
    <x v="0"/>
    <x v="33"/>
    <x v="2"/>
    <x v="3"/>
    <s v="FI_small_gas"/>
    <x v="22"/>
    <n v="67.680000000000007"/>
    <n v="18.8"/>
  </r>
  <r>
    <x v="0"/>
    <x v="33"/>
    <x v="2"/>
    <x v="3"/>
    <s v="FI_small_gas"/>
    <x v="23"/>
    <n v="0.31515896120488701"/>
    <n v="8.7544155890246306E-2"/>
  </r>
  <r>
    <x v="0"/>
    <x v="33"/>
    <x v="2"/>
    <x v="3"/>
    <s v="FI_small_gas"/>
    <x v="24"/>
    <n v="19.174223581093901"/>
    <n v="5.32617321697054"/>
  </r>
  <r>
    <x v="0"/>
    <x v="33"/>
    <x v="2"/>
    <x v="3"/>
    <s v="FI_small_gas"/>
    <x v="25"/>
    <n v="26.209507293842599"/>
    <n v="7.2804186927340497"/>
  </r>
  <r>
    <x v="0"/>
    <x v="33"/>
    <x v="2"/>
    <x v="3"/>
    <s v="FI_small_gas"/>
    <x v="26"/>
    <n v="33.320887798496699"/>
    <n v="9.2558021662490795"/>
  </r>
  <r>
    <x v="0"/>
    <x v="33"/>
    <x v="2"/>
    <x v="3"/>
    <s v="FI_small_gas"/>
    <x v="27"/>
    <n v="20.163995508318798"/>
    <n v="5.6011098634218799"/>
  </r>
  <r>
    <x v="0"/>
    <x v="33"/>
    <x v="2"/>
    <x v="3"/>
    <s v="FinA"/>
    <x v="1"/>
    <n v="35.989199999999997"/>
    <n v="9.9969999999999999"/>
  </r>
  <r>
    <x v="0"/>
    <x v="33"/>
    <x v="2"/>
    <x v="3"/>
    <s v="FinA"/>
    <x v="2"/>
    <n v="46.08"/>
    <n v="12.8"/>
  </r>
  <r>
    <x v="0"/>
    <x v="33"/>
    <x v="2"/>
    <x v="3"/>
    <s v="FinA"/>
    <x v="0"/>
    <n v="42.692399999999999"/>
    <n v="11.859"/>
  </r>
  <r>
    <x v="0"/>
    <x v="33"/>
    <x v="2"/>
    <x v="3"/>
    <s v="FinA"/>
    <x v="3"/>
    <n v="51.633543144067197"/>
    <n v="14.342650873352"/>
  </r>
  <r>
    <x v="0"/>
    <x v="33"/>
    <x v="2"/>
    <x v="3"/>
    <s v="FinA"/>
    <x v="4"/>
    <n v="6.3500778790389401"/>
    <n v="1.76391052195526"/>
  </r>
  <r>
    <x v="0"/>
    <x v="33"/>
    <x v="2"/>
    <x v="3"/>
    <s v="FinA"/>
    <x v="5"/>
    <n v="6.3500778790389401"/>
    <n v="1.76391052195526"/>
  </r>
  <r>
    <x v="0"/>
    <x v="33"/>
    <x v="2"/>
    <x v="3"/>
    <s v="FinA"/>
    <x v="6"/>
    <n v="29.476231795214598"/>
    <n v="8.1878421653373898"/>
  </r>
  <r>
    <x v="0"/>
    <x v="33"/>
    <x v="2"/>
    <x v="3"/>
    <s v="FinA"/>
    <x v="7"/>
    <n v="57.838935220261199"/>
    <n v="16.066370894517"/>
  </r>
  <r>
    <x v="0"/>
    <x v="33"/>
    <x v="2"/>
    <x v="3"/>
    <s v="FinA"/>
    <x v="8"/>
    <n v="57.838935220261199"/>
    <n v="16.066370894517"/>
  </r>
  <r>
    <x v="0"/>
    <x v="33"/>
    <x v="2"/>
    <x v="3"/>
    <s v="FinA"/>
    <x v="9"/>
    <n v="44.4505451532725"/>
    <n v="12.3473736536868"/>
  </r>
  <r>
    <x v="0"/>
    <x v="33"/>
    <x v="2"/>
    <x v="3"/>
    <s v="FinA"/>
    <x v="10"/>
    <n v="53.975661971830903"/>
    <n v="14.993239436619699"/>
  </r>
  <r>
    <x v="0"/>
    <x v="33"/>
    <x v="2"/>
    <x v="3"/>
    <s v="FinA"/>
    <x v="11"/>
    <n v="3.8806031483015802"/>
    <n v="1.07794531897266"/>
  </r>
  <r>
    <x v="0"/>
    <x v="33"/>
    <x v="2"/>
    <x v="3"/>
    <s v="FinA"/>
    <x v="12"/>
    <n v="9.7995028997514597E-2"/>
    <n v="2.72208413881985E-2"/>
  </r>
  <r>
    <x v="0"/>
    <x v="33"/>
    <x v="2"/>
    <x v="3"/>
    <s v="FinA"/>
    <x v="13"/>
    <n v="29.633696768848399"/>
    <n v="8.2315824357912195"/>
  </r>
  <r>
    <x v="0"/>
    <x v="33"/>
    <x v="2"/>
    <x v="3"/>
    <s v="FinA"/>
    <x v="14"/>
    <n v="29.633696768848399"/>
    <n v="8.2315824357912195"/>
  </r>
  <r>
    <x v="0"/>
    <x v="33"/>
    <x v="2"/>
    <x v="3"/>
    <s v="FinA"/>
    <x v="15"/>
    <n v="1.65807589063794"/>
    <n v="0.46057663628831802"/>
  </r>
  <r>
    <x v="0"/>
    <x v="33"/>
    <x v="2"/>
    <x v="3"/>
    <s v="FinA"/>
    <x v="16"/>
    <n v="6.4638978602906896"/>
    <n v="1.79552718341408"/>
  </r>
  <r>
    <x v="0"/>
    <x v="33"/>
    <x v="2"/>
    <x v="3"/>
    <s v="FinA"/>
    <x v="17"/>
    <n v="9.1244895875632395"/>
    <n v="2.5345804409897901"/>
  </r>
  <r>
    <x v="0"/>
    <x v="33"/>
    <x v="2"/>
    <x v="3"/>
    <s v="FinA"/>
    <x v="18"/>
    <n v="29.633696768848399"/>
    <n v="8.2315824357912195"/>
  </r>
  <r>
    <x v="0"/>
    <x v="33"/>
    <x v="2"/>
    <x v="3"/>
    <s v="FinA"/>
    <x v="19"/>
    <n v="8.1139884009941898"/>
    <n v="2.2538856669428302"/>
  </r>
  <r>
    <x v="0"/>
    <x v="33"/>
    <x v="2"/>
    <x v="3"/>
    <s v="FinA"/>
    <x v="20"/>
    <n v="22.109183021311601"/>
    <n v="6.1414397281420996"/>
  </r>
  <r>
    <x v="0"/>
    <x v="33"/>
    <x v="2"/>
    <x v="3"/>
    <s v="FinA"/>
    <x v="21"/>
    <n v="48.24"/>
    <n v="13.4"/>
  </r>
  <r>
    <x v="0"/>
    <x v="33"/>
    <x v="2"/>
    <x v="3"/>
    <s v="FinA"/>
    <x v="22"/>
    <n v="67.680000000000007"/>
    <n v="18.8"/>
  </r>
  <r>
    <x v="0"/>
    <x v="33"/>
    <x v="2"/>
    <x v="3"/>
    <s v="FinA"/>
    <x v="23"/>
    <n v="0.31515896120488701"/>
    <n v="8.7544155890246306E-2"/>
  </r>
  <r>
    <x v="0"/>
    <x v="33"/>
    <x v="2"/>
    <x v="3"/>
    <s v="FinA"/>
    <x v="24"/>
    <n v="19.174223581093901"/>
    <n v="5.32617321697054"/>
  </r>
  <r>
    <x v="0"/>
    <x v="33"/>
    <x v="2"/>
    <x v="3"/>
    <s v="FinA"/>
    <x v="25"/>
    <n v="26.209507293842599"/>
    <n v="7.2804186927340497"/>
  </r>
  <r>
    <x v="0"/>
    <x v="33"/>
    <x v="2"/>
    <x v="3"/>
    <s v="FinA"/>
    <x v="26"/>
    <n v="33.320887798496699"/>
    <n v="9.2558021662490795"/>
  </r>
  <r>
    <x v="0"/>
    <x v="33"/>
    <x v="2"/>
    <x v="3"/>
    <s v="FinA"/>
    <x v="27"/>
    <n v="20.163995508318798"/>
    <n v="5.6011098634218799"/>
  </r>
  <r>
    <x v="0"/>
    <x v="33"/>
    <x v="3"/>
    <x v="4"/>
    <s v="DE4-E_A"/>
    <x v="1"/>
    <n v="35.989199999999997"/>
    <n v="9.9969999999999999"/>
  </r>
  <r>
    <x v="0"/>
    <x v="33"/>
    <x v="3"/>
    <x v="4"/>
    <s v="DE4-E_A"/>
    <x v="2"/>
    <n v="46.08"/>
    <n v="12.8"/>
  </r>
  <r>
    <x v="0"/>
    <x v="33"/>
    <x v="3"/>
    <x v="4"/>
    <s v="DE4-E_A"/>
    <x v="0"/>
    <n v="42.692399999999999"/>
    <n v="11.859"/>
  </r>
  <r>
    <x v="0"/>
    <x v="33"/>
    <x v="3"/>
    <x v="4"/>
    <s v="DE4-E_A"/>
    <x v="3"/>
    <n v="51.633543144067197"/>
    <n v="14.342650873352"/>
  </r>
  <r>
    <x v="0"/>
    <x v="33"/>
    <x v="3"/>
    <x v="4"/>
    <s v="DE4-E_A"/>
    <x v="4"/>
    <n v="6.3500778790389401"/>
    <n v="1.76391052195526"/>
  </r>
  <r>
    <x v="0"/>
    <x v="33"/>
    <x v="3"/>
    <x v="4"/>
    <s v="DE4-E_A"/>
    <x v="5"/>
    <n v="6.3500778790389401"/>
    <n v="1.76391052195526"/>
  </r>
  <r>
    <x v="0"/>
    <x v="33"/>
    <x v="3"/>
    <x v="4"/>
    <s v="DE4-E_A"/>
    <x v="6"/>
    <n v="29.476231795214598"/>
    <n v="8.1878421653373898"/>
  </r>
  <r>
    <x v="0"/>
    <x v="33"/>
    <x v="3"/>
    <x v="4"/>
    <s v="DE4-E_A"/>
    <x v="7"/>
    <n v="57.838935220261199"/>
    <n v="16.066370894517"/>
  </r>
  <r>
    <x v="0"/>
    <x v="33"/>
    <x v="3"/>
    <x v="4"/>
    <s v="DE4-E_A"/>
    <x v="8"/>
    <n v="57.838935220261199"/>
    <n v="16.066370894517"/>
  </r>
  <r>
    <x v="0"/>
    <x v="33"/>
    <x v="3"/>
    <x v="4"/>
    <s v="DE4-E_A"/>
    <x v="9"/>
    <n v="44.4505451532725"/>
    <n v="12.3473736536868"/>
  </r>
  <r>
    <x v="0"/>
    <x v="33"/>
    <x v="3"/>
    <x v="4"/>
    <s v="DE4-E_A"/>
    <x v="10"/>
    <n v="53.975661971830903"/>
    <n v="14.993239436619699"/>
  </r>
  <r>
    <x v="0"/>
    <x v="33"/>
    <x v="3"/>
    <x v="4"/>
    <s v="DE4-E_A"/>
    <x v="11"/>
    <n v="3.8806031483015802"/>
    <n v="1.07794531897266"/>
  </r>
  <r>
    <x v="0"/>
    <x v="33"/>
    <x v="3"/>
    <x v="4"/>
    <s v="DE4-E_A"/>
    <x v="12"/>
    <n v="9.7995028997514597E-2"/>
    <n v="2.72208413881985E-2"/>
  </r>
  <r>
    <x v="0"/>
    <x v="33"/>
    <x v="3"/>
    <x v="4"/>
    <s v="DE4-E_A"/>
    <x v="13"/>
    <n v="29.633696768848399"/>
    <n v="8.2315824357912195"/>
  </r>
  <r>
    <x v="0"/>
    <x v="33"/>
    <x v="3"/>
    <x v="4"/>
    <s v="DE4-E_A"/>
    <x v="14"/>
    <n v="29.633696768848399"/>
    <n v="8.2315824357912195"/>
  </r>
  <r>
    <x v="0"/>
    <x v="33"/>
    <x v="3"/>
    <x v="4"/>
    <s v="DE4-E_A"/>
    <x v="15"/>
    <n v="1.65807589063794"/>
    <n v="0.46057663628831802"/>
  </r>
  <r>
    <x v="0"/>
    <x v="33"/>
    <x v="3"/>
    <x v="4"/>
    <s v="DE4-E_A"/>
    <x v="16"/>
    <n v="6.4638978602906896"/>
    <n v="1.79552718341408"/>
  </r>
  <r>
    <x v="0"/>
    <x v="33"/>
    <x v="3"/>
    <x v="4"/>
    <s v="DE4-E_A"/>
    <x v="17"/>
    <n v="9.1244895875632395"/>
    <n v="2.5345804409897901"/>
  </r>
  <r>
    <x v="0"/>
    <x v="33"/>
    <x v="3"/>
    <x v="4"/>
    <s v="DE4-E_A"/>
    <x v="18"/>
    <n v="29.633696768848399"/>
    <n v="8.2315824357912195"/>
  </r>
  <r>
    <x v="0"/>
    <x v="33"/>
    <x v="3"/>
    <x v="4"/>
    <s v="DE4-E_A"/>
    <x v="19"/>
    <n v="8.1139884009941898"/>
    <n v="2.2538856669428302"/>
  </r>
  <r>
    <x v="0"/>
    <x v="33"/>
    <x v="3"/>
    <x v="4"/>
    <s v="DE4-E_A"/>
    <x v="20"/>
    <n v="22.109183021311601"/>
    <n v="6.1414397281420996"/>
  </r>
  <r>
    <x v="0"/>
    <x v="33"/>
    <x v="3"/>
    <x v="4"/>
    <s v="DE4-E_A"/>
    <x v="21"/>
    <n v="48.24"/>
    <n v="13.4"/>
  </r>
  <r>
    <x v="0"/>
    <x v="33"/>
    <x v="3"/>
    <x v="4"/>
    <s v="DE4-E_A"/>
    <x v="22"/>
    <n v="67.680000000000007"/>
    <n v="18.8"/>
  </r>
  <r>
    <x v="0"/>
    <x v="33"/>
    <x v="3"/>
    <x v="4"/>
    <s v="DE4-E_A"/>
    <x v="23"/>
    <n v="0.31515896120488701"/>
    <n v="8.7544155890246306E-2"/>
  </r>
  <r>
    <x v="0"/>
    <x v="33"/>
    <x v="3"/>
    <x v="4"/>
    <s v="DE4-E_A"/>
    <x v="24"/>
    <n v="19.174223581093901"/>
    <n v="5.32617321697054"/>
  </r>
  <r>
    <x v="0"/>
    <x v="33"/>
    <x v="3"/>
    <x v="4"/>
    <s v="DE4-E_A"/>
    <x v="25"/>
    <n v="26.209507293842599"/>
    <n v="7.2804186927340497"/>
  </r>
  <r>
    <x v="0"/>
    <x v="33"/>
    <x v="3"/>
    <x v="4"/>
    <s v="DE4-E_A"/>
    <x v="26"/>
    <n v="33.320887798496699"/>
    <n v="9.2558021662490795"/>
  </r>
  <r>
    <x v="0"/>
    <x v="33"/>
    <x v="3"/>
    <x v="4"/>
    <s v="DE4-E_A"/>
    <x v="27"/>
    <n v="20.163995508318798"/>
    <n v="5.6011098634218799"/>
  </r>
  <r>
    <x v="0"/>
    <x v="33"/>
    <x v="3"/>
    <x v="4"/>
    <s v="DE4-E_Offshore_A"/>
    <x v="1"/>
    <n v="35.989199999999997"/>
    <n v="9.9969999999999999"/>
  </r>
  <r>
    <x v="0"/>
    <x v="33"/>
    <x v="3"/>
    <x v="4"/>
    <s v="DE4-E_Offshore_A"/>
    <x v="2"/>
    <n v="46.08"/>
    <n v="12.8"/>
  </r>
  <r>
    <x v="0"/>
    <x v="33"/>
    <x v="3"/>
    <x v="4"/>
    <s v="DE4-E_Offshore_A"/>
    <x v="0"/>
    <n v="42.692399999999999"/>
    <n v="11.859"/>
  </r>
  <r>
    <x v="0"/>
    <x v="33"/>
    <x v="3"/>
    <x v="4"/>
    <s v="DE4-E_Offshore_A"/>
    <x v="3"/>
    <n v="51.633543144067197"/>
    <n v="14.342650873352"/>
  </r>
  <r>
    <x v="0"/>
    <x v="33"/>
    <x v="3"/>
    <x v="4"/>
    <s v="DE4-E_Offshore_A"/>
    <x v="4"/>
    <n v="6.3500778790389401"/>
    <n v="1.76391052195526"/>
  </r>
  <r>
    <x v="0"/>
    <x v="33"/>
    <x v="3"/>
    <x v="4"/>
    <s v="DE4-E_Offshore_A"/>
    <x v="5"/>
    <n v="6.3500778790389401"/>
    <n v="1.76391052195526"/>
  </r>
  <r>
    <x v="0"/>
    <x v="33"/>
    <x v="3"/>
    <x v="4"/>
    <s v="DE4-E_Offshore_A"/>
    <x v="6"/>
    <n v="29.476231795214598"/>
    <n v="8.1878421653373898"/>
  </r>
  <r>
    <x v="0"/>
    <x v="33"/>
    <x v="3"/>
    <x v="4"/>
    <s v="DE4-E_Offshore_A"/>
    <x v="7"/>
    <n v="57.838935220261199"/>
    <n v="16.066370894517"/>
  </r>
  <r>
    <x v="0"/>
    <x v="33"/>
    <x v="3"/>
    <x v="4"/>
    <s v="DE4-E_Offshore_A"/>
    <x v="8"/>
    <n v="57.838935220261199"/>
    <n v="16.066370894517"/>
  </r>
  <r>
    <x v="0"/>
    <x v="33"/>
    <x v="3"/>
    <x v="4"/>
    <s v="DE4-E_Offshore_A"/>
    <x v="9"/>
    <n v="44.4505451532725"/>
    <n v="12.3473736536868"/>
  </r>
  <r>
    <x v="0"/>
    <x v="33"/>
    <x v="3"/>
    <x v="4"/>
    <s v="DE4-E_Offshore_A"/>
    <x v="10"/>
    <n v="53.975661971830903"/>
    <n v="14.993239436619699"/>
  </r>
  <r>
    <x v="0"/>
    <x v="33"/>
    <x v="3"/>
    <x v="4"/>
    <s v="DE4-E_Offshore_A"/>
    <x v="11"/>
    <n v="3.8806031483015802"/>
    <n v="1.07794531897266"/>
  </r>
  <r>
    <x v="0"/>
    <x v="33"/>
    <x v="3"/>
    <x v="4"/>
    <s v="DE4-E_Offshore_A"/>
    <x v="12"/>
    <n v="9.7995028997514597E-2"/>
    <n v="2.72208413881985E-2"/>
  </r>
  <r>
    <x v="0"/>
    <x v="33"/>
    <x v="3"/>
    <x v="4"/>
    <s v="DE4-E_Offshore_A"/>
    <x v="13"/>
    <n v="29.633696768848399"/>
    <n v="8.2315824357912195"/>
  </r>
  <r>
    <x v="0"/>
    <x v="33"/>
    <x v="3"/>
    <x v="4"/>
    <s v="DE4-E_Offshore_A"/>
    <x v="14"/>
    <n v="29.633696768848399"/>
    <n v="8.2315824357912195"/>
  </r>
  <r>
    <x v="0"/>
    <x v="33"/>
    <x v="3"/>
    <x v="4"/>
    <s v="DE4-E_Offshore_A"/>
    <x v="15"/>
    <n v="1.65807589063794"/>
    <n v="0.46057663628831802"/>
  </r>
  <r>
    <x v="0"/>
    <x v="33"/>
    <x v="3"/>
    <x v="4"/>
    <s v="DE4-E_Offshore_A"/>
    <x v="16"/>
    <n v="6.4638978602906896"/>
    <n v="1.79552718341408"/>
  </r>
  <r>
    <x v="0"/>
    <x v="33"/>
    <x v="3"/>
    <x v="4"/>
    <s v="DE4-E_Offshore_A"/>
    <x v="17"/>
    <n v="9.1244895875632395"/>
    <n v="2.5345804409897901"/>
  </r>
  <r>
    <x v="0"/>
    <x v="33"/>
    <x v="3"/>
    <x v="4"/>
    <s v="DE4-E_Offshore_A"/>
    <x v="18"/>
    <n v="29.633696768848399"/>
    <n v="8.2315824357912195"/>
  </r>
  <r>
    <x v="0"/>
    <x v="33"/>
    <x v="3"/>
    <x v="4"/>
    <s v="DE4-E_Offshore_A"/>
    <x v="19"/>
    <n v="8.1139884009941898"/>
    <n v="2.2538856669428302"/>
  </r>
  <r>
    <x v="0"/>
    <x v="33"/>
    <x v="3"/>
    <x v="4"/>
    <s v="DE4-E_Offshore_A"/>
    <x v="20"/>
    <n v="22.109183021311601"/>
    <n v="6.1414397281420996"/>
  </r>
  <r>
    <x v="0"/>
    <x v="33"/>
    <x v="3"/>
    <x v="4"/>
    <s v="DE4-E_Offshore_A"/>
    <x v="21"/>
    <n v="48.24"/>
    <n v="13.4"/>
  </r>
  <r>
    <x v="0"/>
    <x v="33"/>
    <x v="3"/>
    <x v="4"/>
    <s v="DE4-E_Offshore_A"/>
    <x v="22"/>
    <n v="67.680000000000007"/>
    <n v="18.8"/>
  </r>
  <r>
    <x v="0"/>
    <x v="33"/>
    <x v="3"/>
    <x v="4"/>
    <s v="DE4-E_Offshore_A"/>
    <x v="23"/>
    <n v="0.31515896120488701"/>
    <n v="8.7544155890246306E-2"/>
  </r>
  <r>
    <x v="0"/>
    <x v="33"/>
    <x v="3"/>
    <x v="4"/>
    <s v="DE4-E_Offshore_A"/>
    <x v="24"/>
    <n v="19.174223581093901"/>
    <n v="5.32617321697054"/>
  </r>
  <r>
    <x v="0"/>
    <x v="33"/>
    <x v="3"/>
    <x v="4"/>
    <s v="DE4-E_Offshore_A"/>
    <x v="25"/>
    <n v="26.209507293842599"/>
    <n v="7.2804186927340497"/>
  </r>
  <r>
    <x v="0"/>
    <x v="33"/>
    <x v="3"/>
    <x v="4"/>
    <s v="DE4-E_Offshore_A"/>
    <x v="26"/>
    <n v="33.320887798496699"/>
    <n v="9.2558021662490795"/>
  </r>
  <r>
    <x v="0"/>
    <x v="33"/>
    <x v="3"/>
    <x v="4"/>
    <s v="DE4-E_Offshore_A"/>
    <x v="27"/>
    <n v="20.163995508318798"/>
    <n v="5.6011098634218799"/>
  </r>
  <r>
    <x v="0"/>
    <x v="33"/>
    <x v="3"/>
    <x v="5"/>
    <s v="DE4-N_A"/>
    <x v="1"/>
    <n v="35.989199999999997"/>
    <n v="9.9969999999999999"/>
  </r>
  <r>
    <x v="0"/>
    <x v="33"/>
    <x v="3"/>
    <x v="5"/>
    <s v="DE4-N_A"/>
    <x v="2"/>
    <n v="46.08"/>
    <n v="12.8"/>
  </r>
  <r>
    <x v="0"/>
    <x v="33"/>
    <x v="3"/>
    <x v="5"/>
    <s v="DE4-N_A"/>
    <x v="0"/>
    <n v="42.692399999999999"/>
    <n v="11.859"/>
  </r>
  <r>
    <x v="0"/>
    <x v="33"/>
    <x v="3"/>
    <x v="5"/>
    <s v="DE4-N_A"/>
    <x v="3"/>
    <n v="51.633543144067197"/>
    <n v="14.342650873352"/>
  </r>
  <r>
    <x v="0"/>
    <x v="33"/>
    <x v="3"/>
    <x v="5"/>
    <s v="DE4-N_A"/>
    <x v="4"/>
    <n v="6.3500778790389401"/>
    <n v="1.76391052195526"/>
  </r>
  <r>
    <x v="0"/>
    <x v="33"/>
    <x v="3"/>
    <x v="5"/>
    <s v="DE4-N_A"/>
    <x v="5"/>
    <n v="6.3500778790389401"/>
    <n v="1.76391052195526"/>
  </r>
  <r>
    <x v="0"/>
    <x v="33"/>
    <x v="3"/>
    <x v="5"/>
    <s v="DE4-N_A"/>
    <x v="6"/>
    <n v="29.476231795214598"/>
    <n v="8.1878421653373898"/>
  </r>
  <r>
    <x v="0"/>
    <x v="33"/>
    <x v="3"/>
    <x v="5"/>
    <s v="DE4-N_A"/>
    <x v="7"/>
    <n v="57.838935220261199"/>
    <n v="16.066370894517"/>
  </r>
  <r>
    <x v="0"/>
    <x v="33"/>
    <x v="3"/>
    <x v="5"/>
    <s v="DE4-N_A"/>
    <x v="8"/>
    <n v="57.838935220261199"/>
    <n v="16.066370894517"/>
  </r>
  <r>
    <x v="0"/>
    <x v="33"/>
    <x v="3"/>
    <x v="5"/>
    <s v="DE4-N_A"/>
    <x v="9"/>
    <n v="44.4505451532725"/>
    <n v="12.3473736536868"/>
  </r>
  <r>
    <x v="0"/>
    <x v="33"/>
    <x v="3"/>
    <x v="5"/>
    <s v="DE4-N_A"/>
    <x v="10"/>
    <n v="53.975661971830903"/>
    <n v="14.993239436619699"/>
  </r>
  <r>
    <x v="0"/>
    <x v="33"/>
    <x v="3"/>
    <x v="5"/>
    <s v="DE4-N_A"/>
    <x v="11"/>
    <n v="3.8806031483015802"/>
    <n v="1.07794531897266"/>
  </r>
  <r>
    <x v="0"/>
    <x v="33"/>
    <x v="3"/>
    <x v="5"/>
    <s v="DE4-N_A"/>
    <x v="12"/>
    <n v="9.7995028997514597E-2"/>
    <n v="2.72208413881985E-2"/>
  </r>
  <r>
    <x v="0"/>
    <x v="33"/>
    <x v="3"/>
    <x v="5"/>
    <s v="DE4-N_A"/>
    <x v="13"/>
    <n v="29.633696768848399"/>
    <n v="8.2315824357912195"/>
  </r>
  <r>
    <x v="0"/>
    <x v="33"/>
    <x v="3"/>
    <x v="5"/>
    <s v="DE4-N_A"/>
    <x v="14"/>
    <n v="29.633696768848399"/>
    <n v="8.2315824357912195"/>
  </r>
  <r>
    <x v="0"/>
    <x v="33"/>
    <x v="3"/>
    <x v="5"/>
    <s v="DE4-N_A"/>
    <x v="15"/>
    <n v="1.65807589063794"/>
    <n v="0.46057663628831802"/>
  </r>
  <r>
    <x v="0"/>
    <x v="33"/>
    <x v="3"/>
    <x v="5"/>
    <s v="DE4-N_A"/>
    <x v="16"/>
    <n v="6.4638978602906896"/>
    <n v="1.79552718341408"/>
  </r>
  <r>
    <x v="0"/>
    <x v="33"/>
    <x v="3"/>
    <x v="5"/>
    <s v="DE4-N_A"/>
    <x v="17"/>
    <n v="9.1244895875632395"/>
    <n v="2.5345804409897901"/>
  </r>
  <r>
    <x v="0"/>
    <x v="33"/>
    <x v="3"/>
    <x v="5"/>
    <s v="DE4-N_A"/>
    <x v="18"/>
    <n v="29.633696768848399"/>
    <n v="8.2315824357912195"/>
  </r>
  <r>
    <x v="0"/>
    <x v="33"/>
    <x v="3"/>
    <x v="5"/>
    <s v="DE4-N_A"/>
    <x v="19"/>
    <n v="8.1139884009941898"/>
    <n v="2.2538856669428302"/>
  </r>
  <r>
    <x v="0"/>
    <x v="33"/>
    <x v="3"/>
    <x v="5"/>
    <s v="DE4-N_A"/>
    <x v="20"/>
    <n v="22.109183021311601"/>
    <n v="6.1414397281420996"/>
  </r>
  <r>
    <x v="0"/>
    <x v="33"/>
    <x v="3"/>
    <x v="5"/>
    <s v="DE4-N_A"/>
    <x v="21"/>
    <n v="48.24"/>
    <n v="13.4"/>
  </r>
  <r>
    <x v="0"/>
    <x v="33"/>
    <x v="3"/>
    <x v="5"/>
    <s v="DE4-N_A"/>
    <x v="22"/>
    <n v="67.680000000000007"/>
    <n v="18.8"/>
  </r>
  <r>
    <x v="0"/>
    <x v="33"/>
    <x v="3"/>
    <x v="5"/>
    <s v="DE4-N_A"/>
    <x v="23"/>
    <n v="0.31515896120488701"/>
    <n v="8.7544155890246306E-2"/>
  </r>
  <r>
    <x v="0"/>
    <x v="33"/>
    <x v="3"/>
    <x v="5"/>
    <s v="DE4-N_A"/>
    <x v="24"/>
    <n v="19.174223581093901"/>
    <n v="5.32617321697054"/>
  </r>
  <r>
    <x v="0"/>
    <x v="33"/>
    <x v="3"/>
    <x v="5"/>
    <s v="DE4-N_A"/>
    <x v="25"/>
    <n v="26.209507293842599"/>
    <n v="7.2804186927340497"/>
  </r>
  <r>
    <x v="0"/>
    <x v="33"/>
    <x v="3"/>
    <x v="5"/>
    <s v="DE4-N_A"/>
    <x v="26"/>
    <n v="33.320887798496699"/>
    <n v="9.2558021662490795"/>
  </r>
  <r>
    <x v="0"/>
    <x v="33"/>
    <x v="3"/>
    <x v="5"/>
    <s v="DE4-N_A"/>
    <x v="27"/>
    <n v="20.163995508318798"/>
    <n v="5.6011098634218799"/>
  </r>
  <r>
    <x v="0"/>
    <x v="33"/>
    <x v="3"/>
    <x v="5"/>
    <s v="DE4-N_Offshore_A"/>
    <x v="1"/>
    <n v="35.989199999999997"/>
    <n v="9.9969999999999999"/>
  </r>
  <r>
    <x v="0"/>
    <x v="33"/>
    <x v="3"/>
    <x v="5"/>
    <s v="DE4-N_Offshore_A"/>
    <x v="2"/>
    <n v="46.08"/>
    <n v="12.8"/>
  </r>
  <r>
    <x v="0"/>
    <x v="33"/>
    <x v="3"/>
    <x v="5"/>
    <s v="DE4-N_Offshore_A"/>
    <x v="0"/>
    <n v="42.692399999999999"/>
    <n v="11.859"/>
  </r>
  <r>
    <x v="0"/>
    <x v="33"/>
    <x v="3"/>
    <x v="5"/>
    <s v="DE4-N_Offshore_A"/>
    <x v="3"/>
    <n v="51.633543144067197"/>
    <n v="14.342650873352"/>
  </r>
  <r>
    <x v="0"/>
    <x v="33"/>
    <x v="3"/>
    <x v="5"/>
    <s v="DE4-N_Offshore_A"/>
    <x v="4"/>
    <n v="6.3500778790389401"/>
    <n v="1.76391052195526"/>
  </r>
  <r>
    <x v="0"/>
    <x v="33"/>
    <x v="3"/>
    <x v="5"/>
    <s v="DE4-N_Offshore_A"/>
    <x v="5"/>
    <n v="6.3500778790389401"/>
    <n v="1.76391052195526"/>
  </r>
  <r>
    <x v="0"/>
    <x v="33"/>
    <x v="3"/>
    <x v="5"/>
    <s v="DE4-N_Offshore_A"/>
    <x v="6"/>
    <n v="29.476231795214598"/>
    <n v="8.1878421653373898"/>
  </r>
  <r>
    <x v="0"/>
    <x v="33"/>
    <x v="3"/>
    <x v="5"/>
    <s v="DE4-N_Offshore_A"/>
    <x v="7"/>
    <n v="57.838935220261199"/>
    <n v="16.066370894517"/>
  </r>
  <r>
    <x v="0"/>
    <x v="33"/>
    <x v="3"/>
    <x v="5"/>
    <s v="DE4-N_Offshore_A"/>
    <x v="8"/>
    <n v="57.838935220261199"/>
    <n v="16.066370894517"/>
  </r>
  <r>
    <x v="0"/>
    <x v="33"/>
    <x v="3"/>
    <x v="5"/>
    <s v="DE4-N_Offshore_A"/>
    <x v="9"/>
    <n v="44.4505451532725"/>
    <n v="12.3473736536868"/>
  </r>
  <r>
    <x v="0"/>
    <x v="33"/>
    <x v="3"/>
    <x v="5"/>
    <s v="DE4-N_Offshore_A"/>
    <x v="10"/>
    <n v="53.975661971830903"/>
    <n v="14.993239436619699"/>
  </r>
  <r>
    <x v="0"/>
    <x v="33"/>
    <x v="3"/>
    <x v="5"/>
    <s v="DE4-N_Offshore_A"/>
    <x v="11"/>
    <n v="3.8806031483015802"/>
    <n v="1.07794531897266"/>
  </r>
  <r>
    <x v="0"/>
    <x v="33"/>
    <x v="3"/>
    <x v="5"/>
    <s v="DE4-N_Offshore_A"/>
    <x v="12"/>
    <n v="9.7995028997514597E-2"/>
    <n v="2.72208413881985E-2"/>
  </r>
  <r>
    <x v="0"/>
    <x v="33"/>
    <x v="3"/>
    <x v="5"/>
    <s v="DE4-N_Offshore_A"/>
    <x v="13"/>
    <n v="29.633696768848399"/>
    <n v="8.2315824357912195"/>
  </r>
  <r>
    <x v="0"/>
    <x v="33"/>
    <x v="3"/>
    <x v="5"/>
    <s v="DE4-N_Offshore_A"/>
    <x v="14"/>
    <n v="29.633696768848399"/>
    <n v="8.2315824357912195"/>
  </r>
  <r>
    <x v="0"/>
    <x v="33"/>
    <x v="3"/>
    <x v="5"/>
    <s v="DE4-N_Offshore_A"/>
    <x v="15"/>
    <n v="1.65807589063794"/>
    <n v="0.46057663628831802"/>
  </r>
  <r>
    <x v="0"/>
    <x v="33"/>
    <x v="3"/>
    <x v="5"/>
    <s v="DE4-N_Offshore_A"/>
    <x v="16"/>
    <n v="6.4638978602906896"/>
    <n v="1.79552718341408"/>
  </r>
  <r>
    <x v="0"/>
    <x v="33"/>
    <x v="3"/>
    <x v="5"/>
    <s v="DE4-N_Offshore_A"/>
    <x v="17"/>
    <n v="9.1244895875632395"/>
    <n v="2.5345804409897901"/>
  </r>
  <r>
    <x v="0"/>
    <x v="33"/>
    <x v="3"/>
    <x v="5"/>
    <s v="DE4-N_Offshore_A"/>
    <x v="18"/>
    <n v="29.633696768848399"/>
    <n v="8.2315824357912195"/>
  </r>
  <r>
    <x v="0"/>
    <x v="33"/>
    <x v="3"/>
    <x v="5"/>
    <s v="DE4-N_Offshore_A"/>
    <x v="19"/>
    <n v="8.1139884009941898"/>
    <n v="2.2538856669428302"/>
  </r>
  <r>
    <x v="0"/>
    <x v="33"/>
    <x v="3"/>
    <x v="5"/>
    <s v="DE4-N_Offshore_A"/>
    <x v="20"/>
    <n v="22.109183021311601"/>
    <n v="6.1414397281420996"/>
  </r>
  <r>
    <x v="0"/>
    <x v="33"/>
    <x v="3"/>
    <x v="5"/>
    <s v="DE4-N_Offshore_A"/>
    <x v="21"/>
    <n v="48.24"/>
    <n v="13.4"/>
  </r>
  <r>
    <x v="0"/>
    <x v="33"/>
    <x v="3"/>
    <x v="5"/>
    <s v="DE4-N_Offshore_A"/>
    <x v="22"/>
    <n v="67.680000000000007"/>
    <n v="18.8"/>
  </r>
  <r>
    <x v="0"/>
    <x v="33"/>
    <x v="3"/>
    <x v="5"/>
    <s v="DE4-N_Offshore_A"/>
    <x v="23"/>
    <n v="0.31515896120488701"/>
    <n v="8.7544155890246306E-2"/>
  </r>
  <r>
    <x v="0"/>
    <x v="33"/>
    <x v="3"/>
    <x v="5"/>
    <s v="DE4-N_Offshore_A"/>
    <x v="24"/>
    <n v="19.174223581093901"/>
    <n v="5.32617321697054"/>
  </r>
  <r>
    <x v="0"/>
    <x v="33"/>
    <x v="3"/>
    <x v="5"/>
    <s v="DE4-N_Offshore_A"/>
    <x v="25"/>
    <n v="26.209507293842599"/>
    <n v="7.2804186927340497"/>
  </r>
  <r>
    <x v="0"/>
    <x v="33"/>
    <x v="3"/>
    <x v="5"/>
    <s v="DE4-N_Offshore_A"/>
    <x v="26"/>
    <n v="33.320887798496699"/>
    <n v="9.2558021662490795"/>
  </r>
  <r>
    <x v="0"/>
    <x v="33"/>
    <x v="3"/>
    <x v="5"/>
    <s v="DE4-N_Offshore_A"/>
    <x v="27"/>
    <n v="20.163995508318798"/>
    <n v="5.6011098634218799"/>
  </r>
  <r>
    <x v="0"/>
    <x v="33"/>
    <x v="3"/>
    <x v="6"/>
    <s v="DE4-S_A"/>
    <x v="1"/>
    <n v="35.989199999999997"/>
    <n v="9.9969999999999999"/>
  </r>
  <r>
    <x v="0"/>
    <x v="33"/>
    <x v="3"/>
    <x v="6"/>
    <s v="DE4-S_A"/>
    <x v="2"/>
    <n v="46.08"/>
    <n v="12.8"/>
  </r>
  <r>
    <x v="0"/>
    <x v="33"/>
    <x v="3"/>
    <x v="6"/>
    <s v="DE4-S_A"/>
    <x v="0"/>
    <n v="42.692399999999999"/>
    <n v="11.859"/>
  </r>
  <r>
    <x v="0"/>
    <x v="33"/>
    <x v="3"/>
    <x v="6"/>
    <s v="DE4-S_A"/>
    <x v="3"/>
    <n v="51.633543144067197"/>
    <n v="14.342650873352"/>
  </r>
  <r>
    <x v="0"/>
    <x v="33"/>
    <x v="3"/>
    <x v="6"/>
    <s v="DE4-S_A"/>
    <x v="4"/>
    <n v="6.3500778790389401"/>
    <n v="1.76391052195526"/>
  </r>
  <r>
    <x v="0"/>
    <x v="33"/>
    <x v="3"/>
    <x v="6"/>
    <s v="DE4-S_A"/>
    <x v="5"/>
    <n v="6.3500778790389401"/>
    <n v="1.76391052195526"/>
  </r>
  <r>
    <x v="0"/>
    <x v="33"/>
    <x v="3"/>
    <x v="6"/>
    <s v="DE4-S_A"/>
    <x v="6"/>
    <n v="29.476231795214598"/>
    <n v="8.1878421653373898"/>
  </r>
  <r>
    <x v="0"/>
    <x v="33"/>
    <x v="3"/>
    <x v="6"/>
    <s v="DE4-S_A"/>
    <x v="7"/>
    <n v="57.838935220261199"/>
    <n v="16.066370894517"/>
  </r>
  <r>
    <x v="0"/>
    <x v="33"/>
    <x v="3"/>
    <x v="6"/>
    <s v="DE4-S_A"/>
    <x v="8"/>
    <n v="57.838935220261199"/>
    <n v="16.066370894517"/>
  </r>
  <r>
    <x v="0"/>
    <x v="33"/>
    <x v="3"/>
    <x v="6"/>
    <s v="DE4-S_A"/>
    <x v="9"/>
    <n v="44.4505451532725"/>
    <n v="12.3473736536868"/>
  </r>
  <r>
    <x v="0"/>
    <x v="33"/>
    <x v="3"/>
    <x v="6"/>
    <s v="DE4-S_A"/>
    <x v="10"/>
    <n v="53.975661971830903"/>
    <n v="14.993239436619699"/>
  </r>
  <r>
    <x v="0"/>
    <x v="33"/>
    <x v="3"/>
    <x v="6"/>
    <s v="DE4-S_A"/>
    <x v="11"/>
    <n v="3.8806031483015802"/>
    <n v="1.07794531897266"/>
  </r>
  <r>
    <x v="0"/>
    <x v="33"/>
    <x v="3"/>
    <x v="6"/>
    <s v="DE4-S_A"/>
    <x v="12"/>
    <n v="9.7995028997514597E-2"/>
    <n v="2.72208413881985E-2"/>
  </r>
  <r>
    <x v="0"/>
    <x v="33"/>
    <x v="3"/>
    <x v="6"/>
    <s v="DE4-S_A"/>
    <x v="13"/>
    <n v="29.633696768848399"/>
    <n v="8.2315824357912195"/>
  </r>
  <r>
    <x v="0"/>
    <x v="33"/>
    <x v="3"/>
    <x v="6"/>
    <s v="DE4-S_A"/>
    <x v="14"/>
    <n v="29.633696768848399"/>
    <n v="8.2315824357912195"/>
  </r>
  <r>
    <x v="0"/>
    <x v="33"/>
    <x v="3"/>
    <x v="6"/>
    <s v="DE4-S_A"/>
    <x v="15"/>
    <n v="1.65807589063794"/>
    <n v="0.46057663628831802"/>
  </r>
  <r>
    <x v="0"/>
    <x v="33"/>
    <x v="3"/>
    <x v="6"/>
    <s v="DE4-S_A"/>
    <x v="16"/>
    <n v="6.4638978602906896"/>
    <n v="1.79552718341408"/>
  </r>
  <r>
    <x v="0"/>
    <x v="33"/>
    <x v="3"/>
    <x v="6"/>
    <s v="DE4-S_A"/>
    <x v="17"/>
    <n v="9.1244895875632395"/>
    <n v="2.5345804409897901"/>
  </r>
  <r>
    <x v="0"/>
    <x v="33"/>
    <x v="3"/>
    <x v="6"/>
    <s v="DE4-S_A"/>
    <x v="18"/>
    <n v="29.633696768848399"/>
    <n v="8.2315824357912195"/>
  </r>
  <r>
    <x v="0"/>
    <x v="33"/>
    <x v="3"/>
    <x v="6"/>
    <s v="DE4-S_A"/>
    <x v="19"/>
    <n v="8.1139884009941898"/>
    <n v="2.2538856669428302"/>
  </r>
  <r>
    <x v="0"/>
    <x v="33"/>
    <x v="3"/>
    <x v="6"/>
    <s v="DE4-S_A"/>
    <x v="20"/>
    <n v="22.109183021311601"/>
    <n v="6.1414397281420996"/>
  </r>
  <r>
    <x v="0"/>
    <x v="33"/>
    <x v="3"/>
    <x v="6"/>
    <s v="DE4-S_A"/>
    <x v="21"/>
    <n v="48.24"/>
    <n v="13.4"/>
  </r>
  <r>
    <x v="0"/>
    <x v="33"/>
    <x v="3"/>
    <x v="6"/>
    <s v="DE4-S_A"/>
    <x v="22"/>
    <n v="67.680000000000007"/>
    <n v="18.8"/>
  </r>
  <r>
    <x v="0"/>
    <x v="33"/>
    <x v="3"/>
    <x v="6"/>
    <s v="DE4-S_A"/>
    <x v="23"/>
    <n v="0.31515896120488701"/>
    <n v="8.7544155890246306E-2"/>
  </r>
  <r>
    <x v="0"/>
    <x v="33"/>
    <x v="3"/>
    <x v="6"/>
    <s v="DE4-S_A"/>
    <x v="24"/>
    <n v="19.174223581093901"/>
    <n v="5.32617321697054"/>
  </r>
  <r>
    <x v="0"/>
    <x v="33"/>
    <x v="3"/>
    <x v="6"/>
    <s v="DE4-S_A"/>
    <x v="25"/>
    <n v="26.209507293842599"/>
    <n v="7.2804186927340497"/>
  </r>
  <r>
    <x v="0"/>
    <x v="33"/>
    <x v="3"/>
    <x v="6"/>
    <s v="DE4-S_A"/>
    <x v="26"/>
    <n v="33.320887798496699"/>
    <n v="9.2558021662490795"/>
  </r>
  <r>
    <x v="0"/>
    <x v="33"/>
    <x v="3"/>
    <x v="6"/>
    <s v="DE4-S_A"/>
    <x v="27"/>
    <n v="20.163995508318798"/>
    <n v="5.6011098634218799"/>
  </r>
  <r>
    <x v="0"/>
    <x v="33"/>
    <x v="3"/>
    <x v="7"/>
    <s v="DE4-W_A"/>
    <x v="1"/>
    <n v="35.989199999999997"/>
    <n v="9.9969999999999999"/>
  </r>
  <r>
    <x v="0"/>
    <x v="33"/>
    <x v="3"/>
    <x v="7"/>
    <s v="DE4-W_A"/>
    <x v="2"/>
    <n v="46.08"/>
    <n v="12.8"/>
  </r>
  <r>
    <x v="0"/>
    <x v="33"/>
    <x v="3"/>
    <x v="7"/>
    <s v="DE4-W_A"/>
    <x v="0"/>
    <n v="42.692399999999999"/>
    <n v="11.859"/>
  </r>
  <r>
    <x v="0"/>
    <x v="33"/>
    <x v="3"/>
    <x v="7"/>
    <s v="DE4-W_A"/>
    <x v="3"/>
    <n v="51.633543144067197"/>
    <n v="14.342650873352"/>
  </r>
  <r>
    <x v="0"/>
    <x v="33"/>
    <x v="3"/>
    <x v="7"/>
    <s v="DE4-W_A"/>
    <x v="4"/>
    <n v="6.3500778790389401"/>
    <n v="1.76391052195526"/>
  </r>
  <r>
    <x v="0"/>
    <x v="33"/>
    <x v="3"/>
    <x v="7"/>
    <s v="DE4-W_A"/>
    <x v="5"/>
    <n v="6.3500778790389401"/>
    <n v="1.76391052195526"/>
  </r>
  <r>
    <x v="0"/>
    <x v="33"/>
    <x v="3"/>
    <x v="7"/>
    <s v="DE4-W_A"/>
    <x v="6"/>
    <n v="29.476231795214598"/>
    <n v="8.1878421653373898"/>
  </r>
  <r>
    <x v="0"/>
    <x v="33"/>
    <x v="3"/>
    <x v="7"/>
    <s v="DE4-W_A"/>
    <x v="7"/>
    <n v="57.838935220261199"/>
    <n v="16.066370894517"/>
  </r>
  <r>
    <x v="0"/>
    <x v="33"/>
    <x v="3"/>
    <x v="7"/>
    <s v="DE4-W_A"/>
    <x v="8"/>
    <n v="57.838935220261199"/>
    <n v="16.066370894517"/>
  </r>
  <r>
    <x v="0"/>
    <x v="33"/>
    <x v="3"/>
    <x v="7"/>
    <s v="DE4-W_A"/>
    <x v="9"/>
    <n v="44.4505451532725"/>
    <n v="12.3473736536868"/>
  </r>
  <r>
    <x v="0"/>
    <x v="33"/>
    <x v="3"/>
    <x v="7"/>
    <s v="DE4-W_A"/>
    <x v="10"/>
    <n v="53.975661971830903"/>
    <n v="14.993239436619699"/>
  </r>
  <r>
    <x v="0"/>
    <x v="33"/>
    <x v="3"/>
    <x v="7"/>
    <s v="DE4-W_A"/>
    <x v="11"/>
    <n v="3.8806031483015802"/>
    <n v="1.07794531897266"/>
  </r>
  <r>
    <x v="0"/>
    <x v="33"/>
    <x v="3"/>
    <x v="7"/>
    <s v="DE4-W_A"/>
    <x v="12"/>
    <n v="9.7995028997514597E-2"/>
    <n v="2.72208413881985E-2"/>
  </r>
  <r>
    <x v="0"/>
    <x v="33"/>
    <x v="3"/>
    <x v="7"/>
    <s v="DE4-W_A"/>
    <x v="13"/>
    <n v="29.633696768848399"/>
    <n v="8.2315824357912195"/>
  </r>
  <r>
    <x v="0"/>
    <x v="33"/>
    <x v="3"/>
    <x v="7"/>
    <s v="DE4-W_A"/>
    <x v="14"/>
    <n v="29.633696768848399"/>
    <n v="8.2315824357912195"/>
  </r>
  <r>
    <x v="0"/>
    <x v="33"/>
    <x v="3"/>
    <x v="7"/>
    <s v="DE4-W_A"/>
    <x v="15"/>
    <n v="1.65807589063794"/>
    <n v="0.46057663628831802"/>
  </r>
  <r>
    <x v="0"/>
    <x v="33"/>
    <x v="3"/>
    <x v="7"/>
    <s v="DE4-W_A"/>
    <x v="16"/>
    <n v="6.4638978602906896"/>
    <n v="1.79552718341408"/>
  </r>
  <r>
    <x v="0"/>
    <x v="33"/>
    <x v="3"/>
    <x v="7"/>
    <s v="DE4-W_A"/>
    <x v="17"/>
    <n v="9.1244895875632395"/>
    <n v="2.5345804409897901"/>
  </r>
  <r>
    <x v="0"/>
    <x v="33"/>
    <x v="3"/>
    <x v="7"/>
    <s v="DE4-W_A"/>
    <x v="18"/>
    <n v="29.633696768848399"/>
    <n v="8.2315824357912195"/>
  </r>
  <r>
    <x v="0"/>
    <x v="33"/>
    <x v="3"/>
    <x v="7"/>
    <s v="DE4-W_A"/>
    <x v="19"/>
    <n v="8.1139884009941898"/>
    <n v="2.2538856669428302"/>
  </r>
  <r>
    <x v="0"/>
    <x v="33"/>
    <x v="3"/>
    <x v="7"/>
    <s v="DE4-W_A"/>
    <x v="20"/>
    <n v="22.109183021311601"/>
    <n v="6.1414397281420996"/>
  </r>
  <r>
    <x v="0"/>
    <x v="33"/>
    <x v="3"/>
    <x v="7"/>
    <s v="DE4-W_A"/>
    <x v="21"/>
    <n v="48.24"/>
    <n v="13.4"/>
  </r>
  <r>
    <x v="0"/>
    <x v="33"/>
    <x v="3"/>
    <x v="7"/>
    <s v="DE4-W_A"/>
    <x v="22"/>
    <n v="67.680000000000007"/>
    <n v="18.8"/>
  </r>
  <r>
    <x v="0"/>
    <x v="33"/>
    <x v="3"/>
    <x v="7"/>
    <s v="DE4-W_A"/>
    <x v="23"/>
    <n v="0.31515896120488701"/>
    <n v="8.7544155890246306E-2"/>
  </r>
  <r>
    <x v="0"/>
    <x v="33"/>
    <x v="3"/>
    <x v="7"/>
    <s v="DE4-W_A"/>
    <x v="24"/>
    <n v="19.174223581093901"/>
    <n v="5.32617321697054"/>
  </r>
  <r>
    <x v="0"/>
    <x v="33"/>
    <x v="3"/>
    <x v="7"/>
    <s v="DE4-W_A"/>
    <x v="25"/>
    <n v="26.209507293842599"/>
    <n v="7.2804186927340497"/>
  </r>
  <r>
    <x v="0"/>
    <x v="33"/>
    <x v="3"/>
    <x v="7"/>
    <s v="DE4-W_A"/>
    <x v="26"/>
    <n v="33.320887798496699"/>
    <n v="9.2558021662490795"/>
  </r>
  <r>
    <x v="0"/>
    <x v="33"/>
    <x v="3"/>
    <x v="7"/>
    <s v="DE4-W_A"/>
    <x v="27"/>
    <n v="20.163995508318798"/>
    <n v="5.6011098634218799"/>
  </r>
  <r>
    <x v="0"/>
    <x v="33"/>
    <x v="3"/>
    <x v="7"/>
    <s v="DE4-W_Offshore_A"/>
    <x v="1"/>
    <n v="35.989199999999997"/>
    <n v="9.9969999999999999"/>
  </r>
  <r>
    <x v="0"/>
    <x v="33"/>
    <x v="3"/>
    <x v="7"/>
    <s v="DE4-W_Offshore_A"/>
    <x v="2"/>
    <n v="46.08"/>
    <n v="12.8"/>
  </r>
  <r>
    <x v="0"/>
    <x v="33"/>
    <x v="3"/>
    <x v="7"/>
    <s v="DE4-W_Offshore_A"/>
    <x v="0"/>
    <n v="42.692399999999999"/>
    <n v="11.859"/>
  </r>
  <r>
    <x v="0"/>
    <x v="33"/>
    <x v="3"/>
    <x v="7"/>
    <s v="DE4-W_Offshore_A"/>
    <x v="3"/>
    <n v="51.633543144067197"/>
    <n v="14.342650873352"/>
  </r>
  <r>
    <x v="0"/>
    <x v="33"/>
    <x v="3"/>
    <x v="7"/>
    <s v="DE4-W_Offshore_A"/>
    <x v="4"/>
    <n v="6.3500778790389401"/>
    <n v="1.76391052195526"/>
  </r>
  <r>
    <x v="0"/>
    <x v="33"/>
    <x v="3"/>
    <x v="7"/>
    <s v="DE4-W_Offshore_A"/>
    <x v="5"/>
    <n v="6.3500778790389401"/>
    <n v="1.76391052195526"/>
  </r>
  <r>
    <x v="0"/>
    <x v="33"/>
    <x v="3"/>
    <x v="7"/>
    <s v="DE4-W_Offshore_A"/>
    <x v="6"/>
    <n v="29.476231795214598"/>
    <n v="8.1878421653373898"/>
  </r>
  <r>
    <x v="0"/>
    <x v="33"/>
    <x v="3"/>
    <x v="7"/>
    <s v="DE4-W_Offshore_A"/>
    <x v="7"/>
    <n v="57.838935220261199"/>
    <n v="16.066370894517"/>
  </r>
  <r>
    <x v="0"/>
    <x v="33"/>
    <x v="3"/>
    <x v="7"/>
    <s v="DE4-W_Offshore_A"/>
    <x v="8"/>
    <n v="57.838935220261199"/>
    <n v="16.066370894517"/>
  </r>
  <r>
    <x v="0"/>
    <x v="33"/>
    <x v="3"/>
    <x v="7"/>
    <s v="DE4-W_Offshore_A"/>
    <x v="9"/>
    <n v="44.4505451532725"/>
    <n v="12.3473736536868"/>
  </r>
  <r>
    <x v="0"/>
    <x v="33"/>
    <x v="3"/>
    <x v="7"/>
    <s v="DE4-W_Offshore_A"/>
    <x v="10"/>
    <n v="53.975661971830903"/>
    <n v="14.993239436619699"/>
  </r>
  <r>
    <x v="0"/>
    <x v="33"/>
    <x v="3"/>
    <x v="7"/>
    <s v="DE4-W_Offshore_A"/>
    <x v="11"/>
    <n v="3.8806031483015802"/>
    <n v="1.07794531897266"/>
  </r>
  <r>
    <x v="0"/>
    <x v="33"/>
    <x v="3"/>
    <x v="7"/>
    <s v="DE4-W_Offshore_A"/>
    <x v="12"/>
    <n v="9.7995028997514597E-2"/>
    <n v="2.72208413881985E-2"/>
  </r>
  <r>
    <x v="0"/>
    <x v="33"/>
    <x v="3"/>
    <x v="7"/>
    <s v="DE4-W_Offshore_A"/>
    <x v="13"/>
    <n v="29.633696768848399"/>
    <n v="8.2315824357912195"/>
  </r>
  <r>
    <x v="0"/>
    <x v="33"/>
    <x v="3"/>
    <x v="7"/>
    <s v="DE4-W_Offshore_A"/>
    <x v="14"/>
    <n v="29.633696768848399"/>
    <n v="8.2315824357912195"/>
  </r>
  <r>
    <x v="0"/>
    <x v="33"/>
    <x v="3"/>
    <x v="7"/>
    <s v="DE4-W_Offshore_A"/>
    <x v="15"/>
    <n v="1.65807589063794"/>
    <n v="0.46057663628831802"/>
  </r>
  <r>
    <x v="0"/>
    <x v="33"/>
    <x v="3"/>
    <x v="7"/>
    <s v="DE4-W_Offshore_A"/>
    <x v="16"/>
    <n v="6.4638978602906896"/>
    <n v="1.79552718341408"/>
  </r>
  <r>
    <x v="0"/>
    <x v="33"/>
    <x v="3"/>
    <x v="7"/>
    <s v="DE4-W_Offshore_A"/>
    <x v="17"/>
    <n v="9.1244895875632395"/>
    <n v="2.5345804409897901"/>
  </r>
  <r>
    <x v="0"/>
    <x v="33"/>
    <x v="3"/>
    <x v="7"/>
    <s v="DE4-W_Offshore_A"/>
    <x v="18"/>
    <n v="29.633696768848399"/>
    <n v="8.2315824357912195"/>
  </r>
  <r>
    <x v="0"/>
    <x v="33"/>
    <x v="3"/>
    <x v="7"/>
    <s v="DE4-W_Offshore_A"/>
    <x v="19"/>
    <n v="8.1139884009941898"/>
    <n v="2.2538856669428302"/>
  </r>
  <r>
    <x v="0"/>
    <x v="33"/>
    <x v="3"/>
    <x v="7"/>
    <s v="DE4-W_Offshore_A"/>
    <x v="20"/>
    <n v="22.109183021311601"/>
    <n v="6.1414397281420996"/>
  </r>
  <r>
    <x v="0"/>
    <x v="33"/>
    <x v="3"/>
    <x v="7"/>
    <s v="DE4-W_Offshore_A"/>
    <x v="21"/>
    <n v="48.24"/>
    <n v="13.4"/>
  </r>
  <r>
    <x v="0"/>
    <x v="33"/>
    <x v="3"/>
    <x v="7"/>
    <s v="DE4-W_Offshore_A"/>
    <x v="22"/>
    <n v="67.680000000000007"/>
    <n v="18.8"/>
  </r>
  <r>
    <x v="0"/>
    <x v="33"/>
    <x v="3"/>
    <x v="7"/>
    <s v="DE4-W_Offshore_A"/>
    <x v="23"/>
    <n v="0.31515896120488701"/>
    <n v="8.7544155890246306E-2"/>
  </r>
  <r>
    <x v="0"/>
    <x v="33"/>
    <x v="3"/>
    <x v="7"/>
    <s v="DE4-W_Offshore_A"/>
    <x v="24"/>
    <n v="19.174223581093901"/>
    <n v="5.32617321697054"/>
  </r>
  <r>
    <x v="0"/>
    <x v="33"/>
    <x v="3"/>
    <x v="7"/>
    <s v="DE4-W_Offshore_A"/>
    <x v="25"/>
    <n v="26.209507293842599"/>
    <n v="7.2804186927340497"/>
  </r>
  <r>
    <x v="0"/>
    <x v="33"/>
    <x v="3"/>
    <x v="7"/>
    <s v="DE4-W_Offshore_A"/>
    <x v="26"/>
    <n v="33.320887798496699"/>
    <n v="9.2558021662490795"/>
  </r>
  <r>
    <x v="0"/>
    <x v="33"/>
    <x v="3"/>
    <x v="7"/>
    <s v="DE4-W_Offshore_A"/>
    <x v="27"/>
    <n v="20.163995508318798"/>
    <n v="5.6011098634218799"/>
  </r>
  <r>
    <x v="0"/>
    <x v="33"/>
    <x v="4"/>
    <x v="8"/>
    <s v="LV_A"/>
    <x v="1"/>
    <n v="35.989199999999997"/>
    <n v="9.9969999999999999"/>
  </r>
  <r>
    <x v="0"/>
    <x v="33"/>
    <x v="4"/>
    <x v="8"/>
    <s v="LV_A"/>
    <x v="2"/>
    <n v="46.08"/>
    <n v="12.8"/>
  </r>
  <r>
    <x v="0"/>
    <x v="33"/>
    <x v="4"/>
    <x v="8"/>
    <s v="LV_A"/>
    <x v="0"/>
    <n v="42.692399999999999"/>
    <n v="11.859"/>
  </r>
  <r>
    <x v="0"/>
    <x v="33"/>
    <x v="4"/>
    <x v="8"/>
    <s v="LV_A"/>
    <x v="3"/>
    <n v="51.633543144067197"/>
    <n v="14.342650873352"/>
  </r>
  <r>
    <x v="0"/>
    <x v="33"/>
    <x v="4"/>
    <x v="8"/>
    <s v="LV_A"/>
    <x v="4"/>
    <n v="6.3500778790389401"/>
    <n v="1.76391052195526"/>
  </r>
  <r>
    <x v="0"/>
    <x v="33"/>
    <x v="4"/>
    <x v="8"/>
    <s v="LV_A"/>
    <x v="5"/>
    <n v="6.3500778790389401"/>
    <n v="1.76391052195526"/>
  </r>
  <r>
    <x v="0"/>
    <x v="33"/>
    <x v="4"/>
    <x v="8"/>
    <s v="LV_A"/>
    <x v="6"/>
    <n v="29.476231795214598"/>
    <n v="8.1878421653373898"/>
  </r>
  <r>
    <x v="0"/>
    <x v="33"/>
    <x v="4"/>
    <x v="8"/>
    <s v="LV_A"/>
    <x v="7"/>
    <n v="57.838935220261199"/>
    <n v="16.066370894517"/>
  </r>
  <r>
    <x v="0"/>
    <x v="33"/>
    <x v="4"/>
    <x v="8"/>
    <s v="LV_A"/>
    <x v="8"/>
    <n v="57.838935220261199"/>
    <n v="16.066370894517"/>
  </r>
  <r>
    <x v="0"/>
    <x v="33"/>
    <x v="4"/>
    <x v="8"/>
    <s v="LV_A"/>
    <x v="9"/>
    <n v="44.4505451532725"/>
    <n v="12.3473736536868"/>
  </r>
  <r>
    <x v="0"/>
    <x v="33"/>
    <x v="4"/>
    <x v="8"/>
    <s v="LV_A"/>
    <x v="10"/>
    <n v="53.975661971830903"/>
    <n v="14.993239436619699"/>
  </r>
  <r>
    <x v="0"/>
    <x v="33"/>
    <x v="4"/>
    <x v="8"/>
    <s v="LV_A"/>
    <x v="11"/>
    <n v="3.8806031483015802"/>
    <n v="1.07794531897266"/>
  </r>
  <r>
    <x v="0"/>
    <x v="33"/>
    <x v="4"/>
    <x v="8"/>
    <s v="LV_A"/>
    <x v="12"/>
    <n v="9.7995028997514597E-2"/>
    <n v="2.72208413881985E-2"/>
  </r>
  <r>
    <x v="0"/>
    <x v="33"/>
    <x v="4"/>
    <x v="8"/>
    <s v="LV_A"/>
    <x v="13"/>
    <n v="29.633696768848399"/>
    <n v="8.2315824357912195"/>
  </r>
  <r>
    <x v="0"/>
    <x v="33"/>
    <x v="4"/>
    <x v="8"/>
    <s v="LV_A"/>
    <x v="14"/>
    <n v="29.633696768848399"/>
    <n v="8.2315824357912195"/>
  </r>
  <r>
    <x v="0"/>
    <x v="33"/>
    <x v="4"/>
    <x v="8"/>
    <s v="LV_A"/>
    <x v="15"/>
    <n v="1.65807589063794"/>
    <n v="0.46057663628831802"/>
  </r>
  <r>
    <x v="0"/>
    <x v="33"/>
    <x v="4"/>
    <x v="8"/>
    <s v="LV_A"/>
    <x v="16"/>
    <n v="6.4638978602906896"/>
    <n v="1.79552718341408"/>
  </r>
  <r>
    <x v="0"/>
    <x v="33"/>
    <x v="4"/>
    <x v="8"/>
    <s v="LV_A"/>
    <x v="17"/>
    <n v="9.1244895875632395"/>
    <n v="2.5345804409897901"/>
  </r>
  <r>
    <x v="0"/>
    <x v="33"/>
    <x v="4"/>
    <x v="8"/>
    <s v="LV_A"/>
    <x v="18"/>
    <n v="29.633696768848399"/>
    <n v="8.2315824357912195"/>
  </r>
  <r>
    <x v="0"/>
    <x v="33"/>
    <x v="4"/>
    <x v="8"/>
    <s v="LV_A"/>
    <x v="19"/>
    <n v="8.1139884009941898"/>
    <n v="2.2538856669428302"/>
  </r>
  <r>
    <x v="0"/>
    <x v="33"/>
    <x v="4"/>
    <x v="8"/>
    <s v="LV_A"/>
    <x v="20"/>
    <n v="22.109183021311601"/>
    <n v="6.1414397281420996"/>
  </r>
  <r>
    <x v="0"/>
    <x v="33"/>
    <x v="4"/>
    <x v="8"/>
    <s v="LV_A"/>
    <x v="21"/>
    <n v="48.24"/>
    <n v="13.4"/>
  </r>
  <r>
    <x v="0"/>
    <x v="33"/>
    <x v="4"/>
    <x v="8"/>
    <s v="LV_A"/>
    <x v="22"/>
    <n v="67.680000000000007"/>
    <n v="18.8"/>
  </r>
  <r>
    <x v="0"/>
    <x v="33"/>
    <x v="4"/>
    <x v="8"/>
    <s v="LV_A"/>
    <x v="23"/>
    <n v="0.31515896120488701"/>
    <n v="8.7544155890246306E-2"/>
  </r>
  <r>
    <x v="0"/>
    <x v="33"/>
    <x v="4"/>
    <x v="8"/>
    <s v="LV_A"/>
    <x v="24"/>
    <n v="19.174223581093901"/>
    <n v="5.32617321697054"/>
  </r>
  <r>
    <x v="0"/>
    <x v="33"/>
    <x v="4"/>
    <x v="8"/>
    <s v="LV_A"/>
    <x v="25"/>
    <n v="26.209507293842599"/>
    <n v="7.2804186927340497"/>
  </r>
  <r>
    <x v="0"/>
    <x v="33"/>
    <x v="4"/>
    <x v="8"/>
    <s v="LV_A"/>
    <x v="26"/>
    <n v="33.320887798496699"/>
    <n v="9.2558021662490795"/>
  </r>
  <r>
    <x v="0"/>
    <x v="33"/>
    <x v="4"/>
    <x v="8"/>
    <s v="LV_A"/>
    <x v="27"/>
    <n v="20.163995508318798"/>
    <n v="5.6011098634218799"/>
  </r>
  <r>
    <x v="0"/>
    <x v="33"/>
    <x v="4"/>
    <x v="8"/>
    <s v="LV_OFFSHORE"/>
    <x v="1"/>
    <n v="35.989199999999997"/>
    <n v="9.9969999999999999"/>
  </r>
  <r>
    <x v="0"/>
    <x v="33"/>
    <x v="4"/>
    <x v="8"/>
    <s v="LV_OFFSHORE"/>
    <x v="2"/>
    <n v="46.08"/>
    <n v="12.8"/>
  </r>
  <r>
    <x v="0"/>
    <x v="33"/>
    <x v="4"/>
    <x v="8"/>
    <s v="LV_OFFSHORE"/>
    <x v="0"/>
    <n v="42.692399999999999"/>
    <n v="11.859"/>
  </r>
  <r>
    <x v="0"/>
    <x v="33"/>
    <x v="4"/>
    <x v="8"/>
    <s v="LV_OFFSHORE"/>
    <x v="3"/>
    <n v="51.633543144067197"/>
    <n v="14.342650873352"/>
  </r>
  <r>
    <x v="0"/>
    <x v="33"/>
    <x v="4"/>
    <x v="8"/>
    <s v="LV_OFFSHORE"/>
    <x v="4"/>
    <n v="6.3500778790389401"/>
    <n v="1.76391052195526"/>
  </r>
  <r>
    <x v="0"/>
    <x v="33"/>
    <x v="4"/>
    <x v="8"/>
    <s v="LV_OFFSHORE"/>
    <x v="5"/>
    <n v="6.3500778790389401"/>
    <n v="1.76391052195526"/>
  </r>
  <r>
    <x v="0"/>
    <x v="33"/>
    <x v="4"/>
    <x v="8"/>
    <s v="LV_OFFSHORE"/>
    <x v="6"/>
    <n v="29.476231795214598"/>
    <n v="8.1878421653373898"/>
  </r>
  <r>
    <x v="0"/>
    <x v="33"/>
    <x v="4"/>
    <x v="8"/>
    <s v="LV_OFFSHORE"/>
    <x v="7"/>
    <n v="57.838935220261199"/>
    <n v="16.066370894517"/>
  </r>
  <r>
    <x v="0"/>
    <x v="33"/>
    <x v="4"/>
    <x v="8"/>
    <s v="LV_OFFSHORE"/>
    <x v="8"/>
    <n v="57.838935220261199"/>
    <n v="16.066370894517"/>
  </r>
  <r>
    <x v="0"/>
    <x v="33"/>
    <x v="4"/>
    <x v="8"/>
    <s v="LV_OFFSHORE"/>
    <x v="9"/>
    <n v="44.4505451532725"/>
    <n v="12.3473736536868"/>
  </r>
  <r>
    <x v="0"/>
    <x v="33"/>
    <x v="4"/>
    <x v="8"/>
    <s v="LV_OFFSHORE"/>
    <x v="10"/>
    <n v="53.975661971830903"/>
    <n v="14.993239436619699"/>
  </r>
  <r>
    <x v="0"/>
    <x v="33"/>
    <x v="4"/>
    <x v="8"/>
    <s v="LV_OFFSHORE"/>
    <x v="11"/>
    <n v="3.8806031483015802"/>
    <n v="1.07794531897266"/>
  </r>
  <r>
    <x v="0"/>
    <x v="33"/>
    <x v="4"/>
    <x v="8"/>
    <s v="LV_OFFSHORE"/>
    <x v="12"/>
    <n v="9.7995028997514597E-2"/>
    <n v="2.72208413881985E-2"/>
  </r>
  <r>
    <x v="0"/>
    <x v="33"/>
    <x v="4"/>
    <x v="8"/>
    <s v="LV_OFFSHORE"/>
    <x v="13"/>
    <n v="29.633696768848399"/>
    <n v="8.2315824357912195"/>
  </r>
  <r>
    <x v="0"/>
    <x v="33"/>
    <x v="4"/>
    <x v="8"/>
    <s v="LV_OFFSHORE"/>
    <x v="14"/>
    <n v="29.633696768848399"/>
    <n v="8.2315824357912195"/>
  </r>
  <r>
    <x v="0"/>
    <x v="33"/>
    <x v="4"/>
    <x v="8"/>
    <s v="LV_OFFSHORE"/>
    <x v="15"/>
    <n v="1.65807589063794"/>
    <n v="0.46057663628831802"/>
  </r>
  <r>
    <x v="0"/>
    <x v="33"/>
    <x v="4"/>
    <x v="8"/>
    <s v="LV_OFFSHORE"/>
    <x v="16"/>
    <n v="6.4638978602906896"/>
    <n v="1.79552718341408"/>
  </r>
  <r>
    <x v="0"/>
    <x v="33"/>
    <x v="4"/>
    <x v="8"/>
    <s v="LV_OFFSHORE"/>
    <x v="17"/>
    <n v="9.1244895875632395"/>
    <n v="2.5345804409897901"/>
  </r>
  <r>
    <x v="0"/>
    <x v="33"/>
    <x v="4"/>
    <x v="8"/>
    <s v="LV_OFFSHORE"/>
    <x v="18"/>
    <n v="29.633696768848399"/>
    <n v="8.2315824357912195"/>
  </r>
  <r>
    <x v="0"/>
    <x v="33"/>
    <x v="4"/>
    <x v="8"/>
    <s v="LV_OFFSHORE"/>
    <x v="19"/>
    <n v="8.1139884009941898"/>
    <n v="2.2538856669428302"/>
  </r>
  <r>
    <x v="0"/>
    <x v="33"/>
    <x v="4"/>
    <x v="8"/>
    <s v="LV_OFFSHORE"/>
    <x v="20"/>
    <n v="22.109183021311601"/>
    <n v="6.1414397281420996"/>
  </r>
  <r>
    <x v="0"/>
    <x v="33"/>
    <x v="4"/>
    <x v="8"/>
    <s v="LV_OFFSHORE"/>
    <x v="21"/>
    <n v="48.24"/>
    <n v="13.4"/>
  </r>
  <r>
    <x v="0"/>
    <x v="33"/>
    <x v="4"/>
    <x v="8"/>
    <s v="LV_OFFSHORE"/>
    <x v="22"/>
    <n v="67.680000000000007"/>
    <n v="18.8"/>
  </r>
  <r>
    <x v="0"/>
    <x v="33"/>
    <x v="4"/>
    <x v="8"/>
    <s v="LV_OFFSHORE"/>
    <x v="23"/>
    <n v="0.31515896120488701"/>
    <n v="8.7544155890246306E-2"/>
  </r>
  <r>
    <x v="0"/>
    <x v="33"/>
    <x v="4"/>
    <x v="8"/>
    <s v="LV_OFFSHORE"/>
    <x v="24"/>
    <n v="19.174223581093901"/>
    <n v="5.32617321697054"/>
  </r>
  <r>
    <x v="0"/>
    <x v="33"/>
    <x v="4"/>
    <x v="8"/>
    <s v="LV_OFFSHORE"/>
    <x v="25"/>
    <n v="26.209507293842599"/>
    <n v="7.2804186927340497"/>
  </r>
  <r>
    <x v="0"/>
    <x v="33"/>
    <x v="4"/>
    <x v="8"/>
    <s v="LV_OFFSHORE"/>
    <x v="26"/>
    <n v="33.320887798496699"/>
    <n v="9.2558021662490795"/>
  </r>
  <r>
    <x v="0"/>
    <x v="33"/>
    <x v="4"/>
    <x v="8"/>
    <s v="LV_OFFSHORE"/>
    <x v="27"/>
    <n v="20.163995508318798"/>
    <n v="5.6011098634218799"/>
  </r>
  <r>
    <x v="0"/>
    <x v="33"/>
    <x v="4"/>
    <x v="8"/>
    <s v="LV_Other_DH"/>
    <x v="1"/>
    <n v="35.989199999999997"/>
    <n v="9.9969999999999999"/>
  </r>
  <r>
    <x v="0"/>
    <x v="33"/>
    <x v="4"/>
    <x v="8"/>
    <s v="LV_Other_DH"/>
    <x v="2"/>
    <n v="46.08"/>
    <n v="12.8"/>
  </r>
  <r>
    <x v="0"/>
    <x v="33"/>
    <x v="4"/>
    <x v="8"/>
    <s v="LV_Other_DH"/>
    <x v="0"/>
    <n v="42.692399999999999"/>
    <n v="11.859"/>
  </r>
  <r>
    <x v="0"/>
    <x v="33"/>
    <x v="4"/>
    <x v="8"/>
    <s v="LV_Other_DH"/>
    <x v="3"/>
    <n v="51.633543144067197"/>
    <n v="14.342650873352"/>
  </r>
  <r>
    <x v="0"/>
    <x v="33"/>
    <x v="4"/>
    <x v="8"/>
    <s v="LV_Other_DH"/>
    <x v="4"/>
    <n v="6.3500778790389401"/>
    <n v="1.76391052195526"/>
  </r>
  <r>
    <x v="0"/>
    <x v="33"/>
    <x v="4"/>
    <x v="8"/>
    <s v="LV_Other_DH"/>
    <x v="5"/>
    <n v="6.3500778790389401"/>
    <n v="1.76391052195526"/>
  </r>
  <r>
    <x v="0"/>
    <x v="33"/>
    <x v="4"/>
    <x v="8"/>
    <s v="LV_Other_DH"/>
    <x v="6"/>
    <n v="29.476231795214598"/>
    <n v="8.1878421653373898"/>
  </r>
  <r>
    <x v="0"/>
    <x v="33"/>
    <x v="4"/>
    <x v="8"/>
    <s v="LV_Other_DH"/>
    <x v="7"/>
    <n v="57.838935220261199"/>
    <n v="16.066370894517"/>
  </r>
  <r>
    <x v="0"/>
    <x v="33"/>
    <x v="4"/>
    <x v="8"/>
    <s v="LV_Other_DH"/>
    <x v="8"/>
    <n v="57.838935220261199"/>
    <n v="16.066370894517"/>
  </r>
  <r>
    <x v="0"/>
    <x v="33"/>
    <x v="4"/>
    <x v="8"/>
    <s v="LV_Other_DH"/>
    <x v="9"/>
    <n v="44.4505451532725"/>
    <n v="12.3473736536868"/>
  </r>
  <r>
    <x v="0"/>
    <x v="33"/>
    <x v="4"/>
    <x v="8"/>
    <s v="LV_Other_DH"/>
    <x v="10"/>
    <n v="53.975661971830903"/>
    <n v="14.993239436619699"/>
  </r>
  <r>
    <x v="0"/>
    <x v="33"/>
    <x v="4"/>
    <x v="8"/>
    <s v="LV_Other_DH"/>
    <x v="11"/>
    <n v="3.8806031483015802"/>
    <n v="1.07794531897266"/>
  </r>
  <r>
    <x v="0"/>
    <x v="33"/>
    <x v="4"/>
    <x v="8"/>
    <s v="LV_Other_DH"/>
    <x v="12"/>
    <n v="9.7995028997514597E-2"/>
    <n v="2.72208413881985E-2"/>
  </r>
  <r>
    <x v="0"/>
    <x v="33"/>
    <x v="4"/>
    <x v="8"/>
    <s v="LV_Other_DH"/>
    <x v="13"/>
    <n v="29.633696768848399"/>
    <n v="8.2315824357912195"/>
  </r>
  <r>
    <x v="0"/>
    <x v="33"/>
    <x v="4"/>
    <x v="8"/>
    <s v="LV_Other_DH"/>
    <x v="14"/>
    <n v="29.633696768848399"/>
    <n v="8.2315824357912195"/>
  </r>
  <r>
    <x v="0"/>
    <x v="33"/>
    <x v="4"/>
    <x v="8"/>
    <s v="LV_Other_DH"/>
    <x v="15"/>
    <n v="1.65807589063794"/>
    <n v="0.46057663628831802"/>
  </r>
  <r>
    <x v="0"/>
    <x v="33"/>
    <x v="4"/>
    <x v="8"/>
    <s v="LV_Other_DH"/>
    <x v="16"/>
    <n v="6.4638978602906896"/>
    <n v="1.79552718341408"/>
  </r>
  <r>
    <x v="0"/>
    <x v="33"/>
    <x v="4"/>
    <x v="8"/>
    <s v="LV_Other_DH"/>
    <x v="17"/>
    <n v="9.1244895875632395"/>
    <n v="2.5345804409897901"/>
  </r>
  <r>
    <x v="0"/>
    <x v="33"/>
    <x v="4"/>
    <x v="8"/>
    <s v="LV_Other_DH"/>
    <x v="18"/>
    <n v="29.633696768848399"/>
    <n v="8.2315824357912195"/>
  </r>
  <r>
    <x v="0"/>
    <x v="33"/>
    <x v="4"/>
    <x v="8"/>
    <s v="LV_Other_DH"/>
    <x v="19"/>
    <n v="8.1139884009941898"/>
    <n v="2.2538856669428302"/>
  </r>
  <r>
    <x v="0"/>
    <x v="33"/>
    <x v="4"/>
    <x v="8"/>
    <s v="LV_Other_DH"/>
    <x v="20"/>
    <n v="22.109183021311601"/>
    <n v="6.1414397281420996"/>
  </r>
  <r>
    <x v="0"/>
    <x v="33"/>
    <x v="4"/>
    <x v="8"/>
    <s v="LV_Other_DH"/>
    <x v="21"/>
    <n v="48.24"/>
    <n v="13.4"/>
  </r>
  <r>
    <x v="0"/>
    <x v="33"/>
    <x v="4"/>
    <x v="8"/>
    <s v="LV_Other_DH"/>
    <x v="22"/>
    <n v="67.680000000000007"/>
    <n v="18.8"/>
  </r>
  <r>
    <x v="0"/>
    <x v="33"/>
    <x v="4"/>
    <x v="8"/>
    <s v="LV_Other_DH"/>
    <x v="23"/>
    <n v="0.31515896120488701"/>
    <n v="8.7544155890246306E-2"/>
  </r>
  <r>
    <x v="0"/>
    <x v="33"/>
    <x v="4"/>
    <x v="8"/>
    <s v="LV_Other_DH"/>
    <x v="24"/>
    <n v="19.174223581093901"/>
    <n v="5.32617321697054"/>
  </r>
  <r>
    <x v="0"/>
    <x v="33"/>
    <x v="4"/>
    <x v="8"/>
    <s v="LV_Other_DH"/>
    <x v="25"/>
    <n v="26.209507293842599"/>
    <n v="7.2804186927340497"/>
  </r>
  <r>
    <x v="0"/>
    <x v="33"/>
    <x v="4"/>
    <x v="8"/>
    <s v="LV_Other_DH"/>
    <x v="26"/>
    <n v="33.320887798496699"/>
    <n v="9.2558021662490795"/>
  </r>
  <r>
    <x v="0"/>
    <x v="33"/>
    <x v="4"/>
    <x v="8"/>
    <s v="LV_Other_DH"/>
    <x v="27"/>
    <n v="20.163995508318798"/>
    <n v="5.6011098634218799"/>
  </r>
  <r>
    <x v="0"/>
    <x v="33"/>
    <x v="4"/>
    <x v="8"/>
    <s v="LV_RigaR"/>
    <x v="1"/>
    <n v="35.989199999999997"/>
    <n v="9.9969999999999999"/>
  </r>
  <r>
    <x v="0"/>
    <x v="33"/>
    <x v="4"/>
    <x v="8"/>
    <s v="LV_RigaR"/>
    <x v="2"/>
    <n v="46.08"/>
    <n v="12.8"/>
  </r>
  <r>
    <x v="0"/>
    <x v="33"/>
    <x v="4"/>
    <x v="8"/>
    <s v="LV_RigaR"/>
    <x v="0"/>
    <n v="42.692399999999999"/>
    <n v="11.859"/>
  </r>
  <r>
    <x v="0"/>
    <x v="33"/>
    <x v="4"/>
    <x v="8"/>
    <s v="LV_RigaR"/>
    <x v="3"/>
    <n v="51.633543144067197"/>
    <n v="14.342650873352"/>
  </r>
  <r>
    <x v="0"/>
    <x v="33"/>
    <x v="4"/>
    <x v="8"/>
    <s v="LV_RigaR"/>
    <x v="4"/>
    <n v="6.3500778790389401"/>
    <n v="1.76391052195526"/>
  </r>
  <r>
    <x v="0"/>
    <x v="33"/>
    <x v="4"/>
    <x v="8"/>
    <s v="LV_RigaR"/>
    <x v="5"/>
    <n v="6.3500778790389401"/>
    <n v="1.76391052195526"/>
  </r>
  <r>
    <x v="0"/>
    <x v="33"/>
    <x v="4"/>
    <x v="8"/>
    <s v="LV_RigaR"/>
    <x v="6"/>
    <n v="29.476231795214598"/>
    <n v="8.1878421653373898"/>
  </r>
  <r>
    <x v="0"/>
    <x v="33"/>
    <x v="4"/>
    <x v="8"/>
    <s v="LV_RigaR"/>
    <x v="7"/>
    <n v="57.838935220261199"/>
    <n v="16.066370894517"/>
  </r>
  <r>
    <x v="0"/>
    <x v="33"/>
    <x v="4"/>
    <x v="8"/>
    <s v="LV_RigaR"/>
    <x v="8"/>
    <n v="57.838935220261199"/>
    <n v="16.066370894517"/>
  </r>
  <r>
    <x v="0"/>
    <x v="33"/>
    <x v="4"/>
    <x v="8"/>
    <s v="LV_RigaR"/>
    <x v="9"/>
    <n v="44.4505451532725"/>
    <n v="12.3473736536868"/>
  </r>
  <r>
    <x v="0"/>
    <x v="33"/>
    <x v="4"/>
    <x v="8"/>
    <s v="LV_RigaR"/>
    <x v="10"/>
    <n v="53.975661971830903"/>
    <n v="14.993239436619699"/>
  </r>
  <r>
    <x v="0"/>
    <x v="33"/>
    <x v="4"/>
    <x v="8"/>
    <s v="LV_RigaR"/>
    <x v="11"/>
    <n v="3.8806031483015802"/>
    <n v="1.07794531897266"/>
  </r>
  <r>
    <x v="0"/>
    <x v="33"/>
    <x v="4"/>
    <x v="8"/>
    <s v="LV_RigaR"/>
    <x v="12"/>
    <n v="9.7995028997514597E-2"/>
    <n v="2.72208413881985E-2"/>
  </r>
  <r>
    <x v="0"/>
    <x v="33"/>
    <x v="4"/>
    <x v="8"/>
    <s v="LV_RigaR"/>
    <x v="13"/>
    <n v="29.633696768848399"/>
    <n v="8.2315824357912195"/>
  </r>
  <r>
    <x v="0"/>
    <x v="33"/>
    <x v="4"/>
    <x v="8"/>
    <s v="LV_RigaR"/>
    <x v="14"/>
    <n v="29.633696768848399"/>
    <n v="8.2315824357912195"/>
  </r>
  <r>
    <x v="0"/>
    <x v="33"/>
    <x v="4"/>
    <x v="8"/>
    <s v="LV_RigaR"/>
    <x v="15"/>
    <n v="1.65807589063794"/>
    <n v="0.46057663628831802"/>
  </r>
  <r>
    <x v="0"/>
    <x v="33"/>
    <x v="4"/>
    <x v="8"/>
    <s v="LV_RigaR"/>
    <x v="16"/>
    <n v="6.4638978602906896"/>
    <n v="1.79552718341408"/>
  </r>
  <r>
    <x v="0"/>
    <x v="33"/>
    <x v="4"/>
    <x v="8"/>
    <s v="LV_RigaR"/>
    <x v="17"/>
    <n v="9.1244895875632395"/>
    <n v="2.5345804409897901"/>
  </r>
  <r>
    <x v="0"/>
    <x v="33"/>
    <x v="4"/>
    <x v="8"/>
    <s v="LV_RigaR"/>
    <x v="18"/>
    <n v="29.633696768848399"/>
    <n v="8.2315824357912195"/>
  </r>
  <r>
    <x v="0"/>
    <x v="33"/>
    <x v="4"/>
    <x v="8"/>
    <s v="LV_RigaR"/>
    <x v="19"/>
    <n v="8.1139884009941898"/>
    <n v="2.2538856669428302"/>
  </r>
  <r>
    <x v="0"/>
    <x v="33"/>
    <x v="4"/>
    <x v="8"/>
    <s v="LV_RigaR"/>
    <x v="20"/>
    <n v="22.109183021311601"/>
    <n v="6.1414397281420996"/>
  </r>
  <r>
    <x v="0"/>
    <x v="33"/>
    <x v="4"/>
    <x v="8"/>
    <s v="LV_RigaR"/>
    <x v="21"/>
    <n v="48.24"/>
    <n v="13.4"/>
  </r>
  <r>
    <x v="0"/>
    <x v="33"/>
    <x v="4"/>
    <x v="8"/>
    <s v="LV_RigaR"/>
    <x v="22"/>
    <n v="67.680000000000007"/>
    <n v="18.8"/>
  </r>
  <r>
    <x v="0"/>
    <x v="33"/>
    <x v="4"/>
    <x v="8"/>
    <s v="LV_RigaR"/>
    <x v="23"/>
    <n v="0.31515896120488701"/>
    <n v="8.7544155890246306E-2"/>
  </r>
  <r>
    <x v="0"/>
    <x v="33"/>
    <x v="4"/>
    <x v="8"/>
    <s v="LV_RigaR"/>
    <x v="24"/>
    <n v="19.174223581093901"/>
    <n v="5.32617321697054"/>
  </r>
  <r>
    <x v="0"/>
    <x v="33"/>
    <x v="4"/>
    <x v="8"/>
    <s v="LV_RigaR"/>
    <x v="25"/>
    <n v="26.209507293842599"/>
    <n v="7.2804186927340497"/>
  </r>
  <r>
    <x v="0"/>
    <x v="33"/>
    <x v="4"/>
    <x v="8"/>
    <s v="LV_RigaR"/>
    <x v="26"/>
    <n v="33.320887798496699"/>
    <n v="9.2558021662490795"/>
  </r>
  <r>
    <x v="0"/>
    <x v="33"/>
    <x v="4"/>
    <x v="8"/>
    <s v="LV_RigaR"/>
    <x v="27"/>
    <n v="20.163995508318798"/>
    <n v="5.6011098634218799"/>
  </r>
  <r>
    <x v="0"/>
    <x v="33"/>
    <x v="4"/>
    <x v="8"/>
    <s v="LV_Rural"/>
    <x v="1"/>
    <n v="35.989199999999997"/>
    <n v="9.9969999999999999"/>
  </r>
  <r>
    <x v="0"/>
    <x v="33"/>
    <x v="4"/>
    <x v="8"/>
    <s v="LV_Rural"/>
    <x v="2"/>
    <n v="46.08"/>
    <n v="12.8"/>
  </r>
  <r>
    <x v="0"/>
    <x v="33"/>
    <x v="4"/>
    <x v="8"/>
    <s v="LV_Rural"/>
    <x v="0"/>
    <n v="42.692399999999999"/>
    <n v="11.859"/>
  </r>
  <r>
    <x v="0"/>
    <x v="33"/>
    <x v="4"/>
    <x v="8"/>
    <s v="LV_Rural"/>
    <x v="3"/>
    <n v="51.633543144067197"/>
    <n v="14.342650873352"/>
  </r>
  <r>
    <x v="0"/>
    <x v="33"/>
    <x v="4"/>
    <x v="8"/>
    <s v="LV_Rural"/>
    <x v="4"/>
    <n v="6.3500778790389401"/>
    <n v="1.76391052195526"/>
  </r>
  <r>
    <x v="0"/>
    <x v="33"/>
    <x v="4"/>
    <x v="8"/>
    <s v="LV_Rural"/>
    <x v="5"/>
    <n v="6.3500778790389401"/>
    <n v="1.76391052195526"/>
  </r>
  <r>
    <x v="0"/>
    <x v="33"/>
    <x v="4"/>
    <x v="8"/>
    <s v="LV_Rural"/>
    <x v="6"/>
    <n v="29.476231795214598"/>
    <n v="8.1878421653373898"/>
  </r>
  <r>
    <x v="0"/>
    <x v="33"/>
    <x v="4"/>
    <x v="8"/>
    <s v="LV_Rural"/>
    <x v="7"/>
    <n v="57.838935220261199"/>
    <n v="16.066370894517"/>
  </r>
  <r>
    <x v="0"/>
    <x v="33"/>
    <x v="4"/>
    <x v="8"/>
    <s v="LV_Rural"/>
    <x v="8"/>
    <n v="57.838935220261199"/>
    <n v="16.066370894517"/>
  </r>
  <r>
    <x v="0"/>
    <x v="33"/>
    <x v="4"/>
    <x v="8"/>
    <s v="LV_Rural"/>
    <x v="9"/>
    <n v="44.4505451532725"/>
    <n v="12.3473736536868"/>
  </r>
  <r>
    <x v="0"/>
    <x v="33"/>
    <x v="4"/>
    <x v="8"/>
    <s v="LV_Rural"/>
    <x v="10"/>
    <n v="53.975661971830903"/>
    <n v="14.993239436619699"/>
  </r>
  <r>
    <x v="0"/>
    <x v="33"/>
    <x v="4"/>
    <x v="8"/>
    <s v="LV_Rural"/>
    <x v="11"/>
    <n v="3.8806031483015802"/>
    <n v="1.07794531897266"/>
  </r>
  <r>
    <x v="0"/>
    <x v="33"/>
    <x v="4"/>
    <x v="8"/>
    <s v="LV_Rural"/>
    <x v="12"/>
    <n v="9.7995028997514597E-2"/>
    <n v="2.72208413881985E-2"/>
  </r>
  <r>
    <x v="0"/>
    <x v="33"/>
    <x v="4"/>
    <x v="8"/>
    <s v="LV_Rural"/>
    <x v="13"/>
    <n v="29.633696768848399"/>
    <n v="8.2315824357912195"/>
  </r>
  <r>
    <x v="0"/>
    <x v="33"/>
    <x v="4"/>
    <x v="8"/>
    <s v="LV_Rural"/>
    <x v="14"/>
    <n v="29.633696768848399"/>
    <n v="8.2315824357912195"/>
  </r>
  <r>
    <x v="0"/>
    <x v="33"/>
    <x v="4"/>
    <x v="8"/>
    <s v="LV_Rural"/>
    <x v="15"/>
    <n v="1.65807589063794"/>
    <n v="0.46057663628831802"/>
  </r>
  <r>
    <x v="0"/>
    <x v="33"/>
    <x v="4"/>
    <x v="8"/>
    <s v="LV_Rural"/>
    <x v="16"/>
    <n v="6.4638978602906896"/>
    <n v="1.79552718341408"/>
  </r>
  <r>
    <x v="0"/>
    <x v="33"/>
    <x v="4"/>
    <x v="8"/>
    <s v="LV_Rural"/>
    <x v="17"/>
    <n v="9.1244895875632395"/>
    <n v="2.5345804409897901"/>
  </r>
  <r>
    <x v="0"/>
    <x v="33"/>
    <x v="4"/>
    <x v="8"/>
    <s v="LV_Rural"/>
    <x v="18"/>
    <n v="29.633696768848399"/>
    <n v="8.2315824357912195"/>
  </r>
  <r>
    <x v="0"/>
    <x v="33"/>
    <x v="4"/>
    <x v="8"/>
    <s v="LV_Rural"/>
    <x v="19"/>
    <n v="8.1139884009941898"/>
    <n v="2.2538856669428302"/>
  </r>
  <r>
    <x v="0"/>
    <x v="33"/>
    <x v="4"/>
    <x v="8"/>
    <s v="LV_Rural"/>
    <x v="20"/>
    <n v="22.109183021311601"/>
    <n v="6.1414397281420996"/>
  </r>
  <r>
    <x v="0"/>
    <x v="33"/>
    <x v="4"/>
    <x v="8"/>
    <s v="LV_Rural"/>
    <x v="21"/>
    <n v="48.24"/>
    <n v="13.4"/>
  </r>
  <r>
    <x v="0"/>
    <x v="33"/>
    <x v="4"/>
    <x v="8"/>
    <s v="LV_Rural"/>
    <x v="22"/>
    <n v="67.680000000000007"/>
    <n v="18.8"/>
  </r>
  <r>
    <x v="0"/>
    <x v="33"/>
    <x v="4"/>
    <x v="8"/>
    <s v="LV_Rural"/>
    <x v="23"/>
    <n v="0.31515896120488701"/>
    <n v="8.7544155890246306E-2"/>
  </r>
  <r>
    <x v="0"/>
    <x v="33"/>
    <x v="4"/>
    <x v="8"/>
    <s v="LV_Rural"/>
    <x v="24"/>
    <n v="19.174223581093901"/>
    <n v="5.32617321697054"/>
  </r>
  <r>
    <x v="0"/>
    <x v="33"/>
    <x v="4"/>
    <x v="8"/>
    <s v="LV_Rural"/>
    <x v="25"/>
    <n v="26.209507293842599"/>
    <n v="7.2804186927340497"/>
  </r>
  <r>
    <x v="0"/>
    <x v="33"/>
    <x v="4"/>
    <x v="8"/>
    <s v="LV_Rural"/>
    <x v="26"/>
    <n v="33.320887798496699"/>
    <n v="9.2558021662490795"/>
  </r>
  <r>
    <x v="0"/>
    <x v="33"/>
    <x v="4"/>
    <x v="8"/>
    <s v="LV_Rural"/>
    <x v="27"/>
    <n v="20.163995508318798"/>
    <n v="5.6011098634218799"/>
  </r>
  <r>
    <x v="0"/>
    <x v="33"/>
    <x v="5"/>
    <x v="9"/>
    <s v="LT_A"/>
    <x v="1"/>
    <n v="35.989199999999997"/>
    <n v="9.9969999999999999"/>
  </r>
  <r>
    <x v="0"/>
    <x v="33"/>
    <x v="5"/>
    <x v="9"/>
    <s v="LT_A"/>
    <x v="2"/>
    <n v="46.08"/>
    <n v="12.8"/>
  </r>
  <r>
    <x v="0"/>
    <x v="33"/>
    <x v="5"/>
    <x v="9"/>
    <s v="LT_A"/>
    <x v="0"/>
    <n v="42.692399999999999"/>
    <n v="11.859"/>
  </r>
  <r>
    <x v="0"/>
    <x v="33"/>
    <x v="5"/>
    <x v="9"/>
    <s v="LT_A"/>
    <x v="3"/>
    <n v="51.633543144067197"/>
    <n v="14.342650873352"/>
  </r>
  <r>
    <x v="0"/>
    <x v="33"/>
    <x v="5"/>
    <x v="9"/>
    <s v="LT_A"/>
    <x v="4"/>
    <n v="6.3500778790389401"/>
    <n v="1.76391052195526"/>
  </r>
  <r>
    <x v="0"/>
    <x v="33"/>
    <x v="5"/>
    <x v="9"/>
    <s v="LT_A"/>
    <x v="5"/>
    <n v="6.3500778790389401"/>
    <n v="1.76391052195526"/>
  </r>
  <r>
    <x v="0"/>
    <x v="33"/>
    <x v="5"/>
    <x v="9"/>
    <s v="LT_A"/>
    <x v="6"/>
    <n v="29.476231795214598"/>
    <n v="8.1878421653373898"/>
  </r>
  <r>
    <x v="0"/>
    <x v="33"/>
    <x v="5"/>
    <x v="9"/>
    <s v="LT_A"/>
    <x v="7"/>
    <n v="57.838935220261199"/>
    <n v="16.066370894517"/>
  </r>
  <r>
    <x v="0"/>
    <x v="33"/>
    <x v="5"/>
    <x v="9"/>
    <s v="LT_A"/>
    <x v="8"/>
    <n v="57.838935220261199"/>
    <n v="16.066370894517"/>
  </r>
  <r>
    <x v="0"/>
    <x v="33"/>
    <x v="5"/>
    <x v="9"/>
    <s v="LT_A"/>
    <x v="9"/>
    <n v="44.4505451532725"/>
    <n v="12.3473736536868"/>
  </r>
  <r>
    <x v="0"/>
    <x v="33"/>
    <x v="5"/>
    <x v="9"/>
    <s v="LT_A"/>
    <x v="10"/>
    <n v="53.975661971830903"/>
    <n v="14.993239436619699"/>
  </r>
  <r>
    <x v="0"/>
    <x v="33"/>
    <x v="5"/>
    <x v="9"/>
    <s v="LT_A"/>
    <x v="11"/>
    <n v="3.8806031483015802"/>
    <n v="1.07794531897266"/>
  </r>
  <r>
    <x v="0"/>
    <x v="33"/>
    <x v="5"/>
    <x v="9"/>
    <s v="LT_A"/>
    <x v="12"/>
    <n v="9.7995028997514597E-2"/>
    <n v="2.72208413881985E-2"/>
  </r>
  <r>
    <x v="0"/>
    <x v="33"/>
    <x v="5"/>
    <x v="9"/>
    <s v="LT_A"/>
    <x v="13"/>
    <n v="29.633696768848399"/>
    <n v="8.2315824357912195"/>
  </r>
  <r>
    <x v="0"/>
    <x v="33"/>
    <x v="5"/>
    <x v="9"/>
    <s v="LT_A"/>
    <x v="14"/>
    <n v="29.633696768848399"/>
    <n v="8.2315824357912195"/>
  </r>
  <r>
    <x v="0"/>
    <x v="33"/>
    <x v="5"/>
    <x v="9"/>
    <s v="LT_A"/>
    <x v="15"/>
    <n v="1.65807589063794"/>
    <n v="0.46057663628831802"/>
  </r>
  <r>
    <x v="0"/>
    <x v="33"/>
    <x v="5"/>
    <x v="9"/>
    <s v="LT_A"/>
    <x v="16"/>
    <n v="6.4638978602906896"/>
    <n v="1.79552718341408"/>
  </r>
  <r>
    <x v="0"/>
    <x v="33"/>
    <x v="5"/>
    <x v="9"/>
    <s v="LT_A"/>
    <x v="17"/>
    <n v="9.1244895875632395"/>
    <n v="2.5345804409897901"/>
  </r>
  <r>
    <x v="0"/>
    <x v="33"/>
    <x v="5"/>
    <x v="9"/>
    <s v="LT_A"/>
    <x v="18"/>
    <n v="29.633696768848399"/>
    <n v="8.2315824357912195"/>
  </r>
  <r>
    <x v="0"/>
    <x v="33"/>
    <x v="5"/>
    <x v="9"/>
    <s v="LT_A"/>
    <x v="19"/>
    <n v="8.1139884009941898"/>
    <n v="2.2538856669428302"/>
  </r>
  <r>
    <x v="0"/>
    <x v="33"/>
    <x v="5"/>
    <x v="9"/>
    <s v="LT_A"/>
    <x v="20"/>
    <n v="22.109183021311601"/>
    <n v="6.1414397281420996"/>
  </r>
  <r>
    <x v="0"/>
    <x v="33"/>
    <x v="5"/>
    <x v="9"/>
    <s v="LT_A"/>
    <x v="21"/>
    <n v="48.24"/>
    <n v="13.4"/>
  </r>
  <r>
    <x v="0"/>
    <x v="33"/>
    <x v="5"/>
    <x v="9"/>
    <s v="LT_A"/>
    <x v="22"/>
    <n v="67.680000000000007"/>
    <n v="18.8"/>
  </r>
  <r>
    <x v="0"/>
    <x v="33"/>
    <x v="5"/>
    <x v="9"/>
    <s v="LT_A"/>
    <x v="23"/>
    <n v="0.31515896120488701"/>
    <n v="8.7544155890246306E-2"/>
  </r>
  <r>
    <x v="0"/>
    <x v="33"/>
    <x v="5"/>
    <x v="9"/>
    <s v="LT_A"/>
    <x v="24"/>
    <n v="19.174223581093901"/>
    <n v="5.32617321697054"/>
  </r>
  <r>
    <x v="0"/>
    <x v="33"/>
    <x v="5"/>
    <x v="9"/>
    <s v="LT_A"/>
    <x v="25"/>
    <n v="26.209507293842599"/>
    <n v="7.2804186927340497"/>
  </r>
  <r>
    <x v="0"/>
    <x v="33"/>
    <x v="5"/>
    <x v="9"/>
    <s v="LT_A"/>
    <x v="26"/>
    <n v="33.320887798496699"/>
    <n v="9.2558021662490795"/>
  </r>
  <r>
    <x v="0"/>
    <x v="33"/>
    <x v="5"/>
    <x v="9"/>
    <s v="LT_A"/>
    <x v="27"/>
    <n v="20.163995508318798"/>
    <n v="5.6011098634218799"/>
  </r>
  <r>
    <x v="0"/>
    <x v="33"/>
    <x v="5"/>
    <x v="9"/>
    <s v="LT_KauU"/>
    <x v="1"/>
    <n v="35.989199999999997"/>
    <n v="9.9969999999999999"/>
  </r>
  <r>
    <x v="0"/>
    <x v="33"/>
    <x v="5"/>
    <x v="9"/>
    <s v="LT_KauU"/>
    <x v="2"/>
    <n v="46.08"/>
    <n v="12.8"/>
  </r>
  <r>
    <x v="0"/>
    <x v="33"/>
    <x v="5"/>
    <x v="9"/>
    <s v="LT_KauU"/>
    <x v="0"/>
    <n v="42.692399999999999"/>
    <n v="11.859"/>
  </r>
  <r>
    <x v="0"/>
    <x v="33"/>
    <x v="5"/>
    <x v="9"/>
    <s v="LT_KauU"/>
    <x v="3"/>
    <n v="51.633543144067197"/>
    <n v="14.342650873352"/>
  </r>
  <r>
    <x v="0"/>
    <x v="33"/>
    <x v="5"/>
    <x v="9"/>
    <s v="LT_KauU"/>
    <x v="4"/>
    <n v="6.3500778790389401"/>
    <n v="1.76391052195526"/>
  </r>
  <r>
    <x v="0"/>
    <x v="33"/>
    <x v="5"/>
    <x v="9"/>
    <s v="LT_KauU"/>
    <x v="5"/>
    <n v="6.3500778790389401"/>
    <n v="1.76391052195526"/>
  </r>
  <r>
    <x v="0"/>
    <x v="33"/>
    <x v="5"/>
    <x v="9"/>
    <s v="LT_KauU"/>
    <x v="6"/>
    <n v="29.476231795214598"/>
    <n v="8.1878421653373898"/>
  </r>
  <r>
    <x v="0"/>
    <x v="33"/>
    <x v="5"/>
    <x v="9"/>
    <s v="LT_KauU"/>
    <x v="7"/>
    <n v="57.838935220261199"/>
    <n v="16.066370894517"/>
  </r>
  <r>
    <x v="0"/>
    <x v="33"/>
    <x v="5"/>
    <x v="9"/>
    <s v="LT_KauU"/>
    <x v="8"/>
    <n v="57.838935220261199"/>
    <n v="16.066370894517"/>
  </r>
  <r>
    <x v="0"/>
    <x v="33"/>
    <x v="5"/>
    <x v="9"/>
    <s v="LT_KauU"/>
    <x v="9"/>
    <n v="44.4505451532725"/>
    <n v="12.3473736536868"/>
  </r>
  <r>
    <x v="0"/>
    <x v="33"/>
    <x v="5"/>
    <x v="9"/>
    <s v="LT_KauU"/>
    <x v="10"/>
    <n v="53.975661971830903"/>
    <n v="14.993239436619699"/>
  </r>
  <r>
    <x v="0"/>
    <x v="33"/>
    <x v="5"/>
    <x v="9"/>
    <s v="LT_KauU"/>
    <x v="11"/>
    <n v="3.8806031483015802"/>
    <n v="1.07794531897266"/>
  </r>
  <r>
    <x v="0"/>
    <x v="33"/>
    <x v="5"/>
    <x v="9"/>
    <s v="LT_KauU"/>
    <x v="12"/>
    <n v="9.7995028997514597E-2"/>
    <n v="2.72208413881985E-2"/>
  </r>
  <r>
    <x v="0"/>
    <x v="33"/>
    <x v="5"/>
    <x v="9"/>
    <s v="LT_KauU"/>
    <x v="13"/>
    <n v="29.633696768848399"/>
    <n v="8.2315824357912195"/>
  </r>
  <r>
    <x v="0"/>
    <x v="33"/>
    <x v="5"/>
    <x v="9"/>
    <s v="LT_KauU"/>
    <x v="14"/>
    <n v="29.633696768848399"/>
    <n v="8.2315824357912195"/>
  </r>
  <r>
    <x v="0"/>
    <x v="33"/>
    <x v="5"/>
    <x v="9"/>
    <s v="LT_KauU"/>
    <x v="15"/>
    <n v="1.65807589063794"/>
    <n v="0.46057663628831802"/>
  </r>
  <r>
    <x v="0"/>
    <x v="33"/>
    <x v="5"/>
    <x v="9"/>
    <s v="LT_KauU"/>
    <x v="16"/>
    <n v="6.4638978602906896"/>
    <n v="1.79552718341408"/>
  </r>
  <r>
    <x v="0"/>
    <x v="33"/>
    <x v="5"/>
    <x v="9"/>
    <s v="LT_KauU"/>
    <x v="17"/>
    <n v="9.1244895875632395"/>
    <n v="2.5345804409897901"/>
  </r>
  <r>
    <x v="0"/>
    <x v="33"/>
    <x v="5"/>
    <x v="9"/>
    <s v="LT_KauU"/>
    <x v="18"/>
    <n v="29.633696768848399"/>
    <n v="8.2315824357912195"/>
  </r>
  <r>
    <x v="0"/>
    <x v="33"/>
    <x v="5"/>
    <x v="9"/>
    <s v="LT_KauU"/>
    <x v="19"/>
    <n v="8.1139884009941898"/>
    <n v="2.2538856669428302"/>
  </r>
  <r>
    <x v="0"/>
    <x v="33"/>
    <x v="5"/>
    <x v="9"/>
    <s v="LT_KauU"/>
    <x v="20"/>
    <n v="22.109183021311601"/>
    <n v="6.1414397281420996"/>
  </r>
  <r>
    <x v="0"/>
    <x v="33"/>
    <x v="5"/>
    <x v="9"/>
    <s v="LT_KauU"/>
    <x v="21"/>
    <n v="48.24"/>
    <n v="13.4"/>
  </r>
  <r>
    <x v="0"/>
    <x v="33"/>
    <x v="5"/>
    <x v="9"/>
    <s v="LT_KauU"/>
    <x v="22"/>
    <n v="67.680000000000007"/>
    <n v="18.8"/>
  </r>
  <r>
    <x v="0"/>
    <x v="33"/>
    <x v="5"/>
    <x v="9"/>
    <s v="LT_KauU"/>
    <x v="23"/>
    <n v="0.31515896120488701"/>
    <n v="8.7544155890246306E-2"/>
  </r>
  <r>
    <x v="0"/>
    <x v="33"/>
    <x v="5"/>
    <x v="9"/>
    <s v="LT_KauU"/>
    <x v="24"/>
    <n v="19.174223581093901"/>
    <n v="5.32617321697054"/>
  </r>
  <r>
    <x v="0"/>
    <x v="33"/>
    <x v="5"/>
    <x v="9"/>
    <s v="LT_KauU"/>
    <x v="25"/>
    <n v="26.209507293842599"/>
    <n v="7.2804186927340497"/>
  </r>
  <r>
    <x v="0"/>
    <x v="33"/>
    <x v="5"/>
    <x v="9"/>
    <s v="LT_KauU"/>
    <x v="26"/>
    <n v="33.320887798496699"/>
    <n v="9.2558021662490795"/>
  </r>
  <r>
    <x v="0"/>
    <x v="33"/>
    <x v="5"/>
    <x v="9"/>
    <s v="LT_KauU"/>
    <x v="27"/>
    <n v="20.163995508318798"/>
    <n v="5.6011098634218799"/>
  </r>
  <r>
    <x v="0"/>
    <x v="33"/>
    <x v="5"/>
    <x v="9"/>
    <s v="LT_KlaU"/>
    <x v="1"/>
    <n v="35.989199999999997"/>
    <n v="9.9969999999999999"/>
  </r>
  <r>
    <x v="0"/>
    <x v="33"/>
    <x v="5"/>
    <x v="9"/>
    <s v="LT_KlaU"/>
    <x v="2"/>
    <n v="46.08"/>
    <n v="12.8"/>
  </r>
  <r>
    <x v="0"/>
    <x v="33"/>
    <x v="5"/>
    <x v="9"/>
    <s v="LT_KlaU"/>
    <x v="0"/>
    <n v="42.692399999999999"/>
    <n v="11.859"/>
  </r>
  <r>
    <x v="0"/>
    <x v="33"/>
    <x v="5"/>
    <x v="9"/>
    <s v="LT_KlaU"/>
    <x v="3"/>
    <n v="51.633543144067197"/>
    <n v="14.342650873352"/>
  </r>
  <r>
    <x v="0"/>
    <x v="33"/>
    <x v="5"/>
    <x v="9"/>
    <s v="LT_KlaU"/>
    <x v="4"/>
    <n v="6.3500778790389401"/>
    <n v="1.76391052195526"/>
  </r>
  <r>
    <x v="0"/>
    <x v="33"/>
    <x v="5"/>
    <x v="9"/>
    <s v="LT_KlaU"/>
    <x v="5"/>
    <n v="6.3500778790389401"/>
    <n v="1.76391052195526"/>
  </r>
  <r>
    <x v="0"/>
    <x v="33"/>
    <x v="5"/>
    <x v="9"/>
    <s v="LT_KlaU"/>
    <x v="6"/>
    <n v="29.476231795214598"/>
    <n v="8.1878421653373898"/>
  </r>
  <r>
    <x v="0"/>
    <x v="33"/>
    <x v="5"/>
    <x v="9"/>
    <s v="LT_KlaU"/>
    <x v="7"/>
    <n v="57.838935220261199"/>
    <n v="16.066370894517"/>
  </r>
  <r>
    <x v="0"/>
    <x v="33"/>
    <x v="5"/>
    <x v="9"/>
    <s v="LT_KlaU"/>
    <x v="8"/>
    <n v="57.838935220261199"/>
    <n v="16.066370894517"/>
  </r>
  <r>
    <x v="0"/>
    <x v="33"/>
    <x v="5"/>
    <x v="9"/>
    <s v="LT_KlaU"/>
    <x v="9"/>
    <n v="44.4505451532725"/>
    <n v="12.3473736536868"/>
  </r>
  <r>
    <x v="0"/>
    <x v="33"/>
    <x v="5"/>
    <x v="9"/>
    <s v="LT_KlaU"/>
    <x v="10"/>
    <n v="53.975661971830903"/>
    <n v="14.993239436619699"/>
  </r>
  <r>
    <x v="0"/>
    <x v="33"/>
    <x v="5"/>
    <x v="9"/>
    <s v="LT_KlaU"/>
    <x v="11"/>
    <n v="3.8806031483015802"/>
    <n v="1.07794531897266"/>
  </r>
  <r>
    <x v="0"/>
    <x v="33"/>
    <x v="5"/>
    <x v="9"/>
    <s v="LT_KlaU"/>
    <x v="12"/>
    <n v="9.7995028997514597E-2"/>
    <n v="2.72208413881985E-2"/>
  </r>
  <r>
    <x v="0"/>
    <x v="33"/>
    <x v="5"/>
    <x v="9"/>
    <s v="LT_KlaU"/>
    <x v="13"/>
    <n v="29.633696768848399"/>
    <n v="8.2315824357912195"/>
  </r>
  <r>
    <x v="0"/>
    <x v="33"/>
    <x v="5"/>
    <x v="9"/>
    <s v="LT_KlaU"/>
    <x v="14"/>
    <n v="29.633696768848399"/>
    <n v="8.2315824357912195"/>
  </r>
  <r>
    <x v="0"/>
    <x v="33"/>
    <x v="5"/>
    <x v="9"/>
    <s v="LT_KlaU"/>
    <x v="15"/>
    <n v="1.65807589063794"/>
    <n v="0.46057663628831802"/>
  </r>
  <r>
    <x v="0"/>
    <x v="33"/>
    <x v="5"/>
    <x v="9"/>
    <s v="LT_KlaU"/>
    <x v="16"/>
    <n v="6.4638978602906896"/>
    <n v="1.79552718341408"/>
  </r>
  <r>
    <x v="0"/>
    <x v="33"/>
    <x v="5"/>
    <x v="9"/>
    <s v="LT_KlaU"/>
    <x v="17"/>
    <n v="9.1244895875632395"/>
    <n v="2.5345804409897901"/>
  </r>
  <r>
    <x v="0"/>
    <x v="33"/>
    <x v="5"/>
    <x v="9"/>
    <s v="LT_KlaU"/>
    <x v="18"/>
    <n v="29.633696768848399"/>
    <n v="8.2315824357912195"/>
  </r>
  <r>
    <x v="0"/>
    <x v="33"/>
    <x v="5"/>
    <x v="9"/>
    <s v="LT_KlaU"/>
    <x v="19"/>
    <n v="8.1139884009941898"/>
    <n v="2.2538856669428302"/>
  </r>
  <r>
    <x v="0"/>
    <x v="33"/>
    <x v="5"/>
    <x v="9"/>
    <s v="LT_KlaU"/>
    <x v="20"/>
    <n v="22.109183021311601"/>
    <n v="6.1414397281420996"/>
  </r>
  <r>
    <x v="0"/>
    <x v="33"/>
    <x v="5"/>
    <x v="9"/>
    <s v="LT_KlaU"/>
    <x v="21"/>
    <n v="48.24"/>
    <n v="13.4"/>
  </r>
  <r>
    <x v="0"/>
    <x v="33"/>
    <x v="5"/>
    <x v="9"/>
    <s v="LT_KlaU"/>
    <x v="22"/>
    <n v="67.680000000000007"/>
    <n v="18.8"/>
  </r>
  <r>
    <x v="0"/>
    <x v="33"/>
    <x v="5"/>
    <x v="9"/>
    <s v="LT_KlaU"/>
    <x v="23"/>
    <n v="0.31515896120488701"/>
    <n v="8.7544155890246306E-2"/>
  </r>
  <r>
    <x v="0"/>
    <x v="33"/>
    <x v="5"/>
    <x v="9"/>
    <s v="LT_KlaU"/>
    <x v="24"/>
    <n v="19.174223581093901"/>
    <n v="5.32617321697054"/>
  </r>
  <r>
    <x v="0"/>
    <x v="33"/>
    <x v="5"/>
    <x v="9"/>
    <s v="LT_KlaU"/>
    <x v="25"/>
    <n v="26.209507293842599"/>
    <n v="7.2804186927340497"/>
  </r>
  <r>
    <x v="0"/>
    <x v="33"/>
    <x v="5"/>
    <x v="9"/>
    <s v="LT_KlaU"/>
    <x v="26"/>
    <n v="33.320887798496699"/>
    <n v="9.2558021662490795"/>
  </r>
  <r>
    <x v="0"/>
    <x v="33"/>
    <x v="5"/>
    <x v="9"/>
    <s v="LT_KlaU"/>
    <x v="27"/>
    <n v="20.163995508318798"/>
    <n v="5.6011098634218799"/>
  </r>
  <r>
    <x v="0"/>
    <x v="33"/>
    <x v="5"/>
    <x v="9"/>
    <s v="LT_OFFSHORE"/>
    <x v="1"/>
    <n v="35.989199999999997"/>
    <n v="9.9969999999999999"/>
  </r>
  <r>
    <x v="0"/>
    <x v="33"/>
    <x v="5"/>
    <x v="9"/>
    <s v="LT_OFFSHORE"/>
    <x v="2"/>
    <n v="46.08"/>
    <n v="12.8"/>
  </r>
  <r>
    <x v="0"/>
    <x v="33"/>
    <x v="5"/>
    <x v="9"/>
    <s v="LT_OFFSHORE"/>
    <x v="0"/>
    <n v="42.692399999999999"/>
    <n v="11.859"/>
  </r>
  <r>
    <x v="0"/>
    <x v="33"/>
    <x v="5"/>
    <x v="9"/>
    <s v="LT_OFFSHORE"/>
    <x v="3"/>
    <n v="51.633543144067197"/>
    <n v="14.342650873352"/>
  </r>
  <r>
    <x v="0"/>
    <x v="33"/>
    <x v="5"/>
    <x v="9"/>
    <s v="LT_OFFSHORE"/>
    <x v="4"/>
    <n v="6.3500778790389401"/>
    <n v="1.76391052195526"/>
  </r>
  <r>
    <x v="0"/>
    <x v="33"/>
    <x v="5"/>
    <x v="9"/>
    <s v="LT_OFFSHORE"/>
    <x v="5"/>
    <n v="6.3500778790389401"/>
    <n v="1.76391052195526"/>
  </r>
  <r>
    <x v="0"/>
    <x v="33"/>
    <x v="5"/>
    <x v="9"/>
    <s v="LT_OFFSHORE"/>
    <x v="6"/>
    <n v="29.476231795214598"/>
    <n v="8.1878421653373898"/>
  </r>
  <r>
    <x v="0"/>
    <x v="33"/>
    <x v="5"/>
    <x v="9"/>
    <s v="LT_OFFSHORE"/>
    <x v="7"/>
    <n v="57.838935220261199"/>
    <n v="16.066370894517"/>
  </r>
  <r>
    <x v="0"/>
    <x v="33"/>
    <x v="5"/>
    <x v="9"/>
    <s v="LT_OFFSHORE"/>
    <x v="8"/>
    <n v="57.838935220261199"/>
    <n v="16.066370894517"/>
  </r>
  <r>
    <x v="0"/>
    <x v="33"/>
    <x v="5"/>
    <x v="9"/>
    <s v="LT_OFFSHORE"/>
    <x v="9"/>
    <n v="44.4505451532725"/>
    <n v="12.3473736536868"/>
  </r>
  <r>
    <x v="0"/>
    <x v="33"/>
    <x v="5"/>
    <x v="9"/>
    <s v="LT_OFFSHORE"/>
    <x v="10"/>
    <n v="53.975661971830903"/>
    <n v="14.993239436619699"/>
  </r>
  <r>
    <x v="0"/>
    <x v="33"/>
    <x v="5"/>
    <x v="9"/>
    <s v="LT_OFFSHORE"/>
    <x v="11"/>
    <n v="3.8806031483015802"/>
    <n v="1.07794531897266"/>
  </r>
  <r>
    <x v="0"/>
    <x v="33"/>
    <x v="5"/>
    <x v="9"/>
    <s v="LT_OFFSHORE"/>
    <x v="12"/>
    <n v="9.7995028997514597E-2"/>
    <n v="2.72208413881985E-2"/>
  </r>
  <r>
    <x v="0"/>
    <x v="33"/>
    <x v="5"/>
    <x v="9"/>
    <s v="LT_OFFSHORE"/>
    <x v="13"/>
    <n v="29.633696768848399"/>
    <n v="8.2315824357912195"/>
  </r>
  <r>
    <x v="0"/>
    <x v="33"/>
    <x v="5"/>
    <x v="9"/>
    <s v="LT_OFFSHORE"/>
    <x v="14"/>
    <n v="29.633696768848399"/>
    <n v="8.2315824357912195"/>
  </r>
  <r>
    <x v="0"/>
    <x v="33"/>
    <x v="5"/>
    <x v="9"/>
    <s v="LT_OFFSHORE"/>
    <x v="15"/>
    <n v="1.65807589063794"/>
    <n v="0.46057663628831802"/>
  </r>
  <r>
    <x v="0"/>
    <x v="33"/>
    <x v="5"/>
    <x v="9"/>
    <s v="LT_OFFSHORE"/>
    <x v="16"/>
    <n v="6.4638978602906896"/>
    <n v="1.79552718341408"/>
  </r>
  <r>
    <x v="0"/>
    <x v="33"/>
    <x v="5"/>
    <x v="9"/>
    <s v="LT_OFFSHORE"/>
    <x v="17"/>
    <n v="9.1244895875632395"/>
    <n v="2.5345804409897901"/>
  </r>
  <r>
    <x v="0"/>
    <x v="33"/>
    <x v="5"/>
    <x v="9"/>
    <s v="LT_OFFSHORE"/>
    <x v="18"/>
    <n v="29.633696768848399"/>
    <n v="8.2315824357912195"/>
  </r>
  <r>
    <x v="0"/>
    <x v="33"/>
    <x v="5"/>
    <x v="9"/>
    <s v="LT_OFFSHORE"/>
    <x v="19"/>
    <n v="8.1139884009941898"/>
    <n v="2.2538856669428302"/>
  </r>
  <r>
    <x v="0"/>
    <x v="33"/>
    <x v="5"/>
    <x v="9"/>
    <s v="LT_OFFSHORE"/>
    <x v="20"/>
    <n v="22.109183021311601"/>
    <n v="6.1414397281420996"/>
  </r>
  <r>
    <x v="0"/>
    <x v="33"/>
    <x v="5"/>
    <x v="9"/>
    <s v="LT_OFFSHORE"/>
    <x v="21"/>
    <n v="48.24"/>
    <n v="13.4"/>
  </r>
  <r>
    <x v="0"/>
    <x v="33"/>
    <x v="5"/>
    <x v="9"/>
    <s v="LT_OFFSHORE"/>
    <x v="22"/>
    <n v="67.680000000000007"/>
    <n v="18.8"/>
  </r>
  <r>
    <x v="0"/>
    <x v="33"/>
    <x v="5"/>
    <x v="9"/>
    <s v="LT_OFFSHORE"/>
    <x v="23"/>
    <n v="0.31515896120488701"/>
    <n v="8.7544155890246306E-2"/>
  </r>
  <r>
    <x v="0"/>
    <x v="33"/>
    <x v="5"/>
    <x v="9"/>
    <s v="LT_OFFSHORE"/>
    <x v="24"/>
    <n v="19.174223581093901"/>
    <n v="5.32617321697054"/>
  </r>
  <r>
    <x v="0"/>
    <x v="33"/>
    <x v="5"/>
    <x v="9"/>
    <s v="LT_OFFSHORE"/>
    <x v="25"/>
    <n v="26.209507293842599"/>
    <n v="7.2804186927340497"/>
  </r>
  <r>
    <x v="0"/>
    <x v="33"/>
    <x v="5"/>
    <x v="9"/>
    <s v="LT_OFFSHORE"/>
    <x v="26"/>
    <n v="33.320887798496699"/>
    <n v="9.2558021662490795"/>
  </r>
  <r>
    <x v="0"/>
    <x v="33"/>
    <x v="5"/>
    <x v="9"/>
    <s v="LT_OFFSHORE"/>
    <x v="27"/>
    <n v="20.163995508318798"/>
    <n v="5.6011098634218799"/>
  </r>
  <r>
    <x v="0"/>
    <x v="33"/>
    <x v="5"/>
    <x v="9"/>
    <s v="LT_Other_DH"/>
    <x v="1"/>
    <n v="35.989199999999997"/>
    <n v="9.9969999999999999"/>
  </r>
  <r>
    <x v="0"/>
    <x v="33"/>
    <x v="5"/>
    <x v="9"/>
    <s v="LT_Other_DH"/>
    <x v="2"/>
    <n v="46.08"/>
    <n v="12.8"/>
  </r>
  <r>
    <x v="0"/>
    <x v="33"/>
    <x v="5"/>
    <x v="9"/>
    <s v="LT_Other_DH"/>
    <x v="0"/>
    <n v="42.692399999999999"/>
    <n v="11.859"/>
  </r>
  <r>
    <x v="0"/>
    <x v="33"/>
    <x v="5"/>
    <x v="9"/>
    <s v="LT_Other_DH"/>
    <x v="3"/>
    <n v="51.633543144067197"/>
    <n v="14.342650873352"/>
  </r>
  <r>
    <x v="0"/>
    <x v="33"/>
    <x v="5"/>
    <x v="9"/>
    <s v="LT_Other_DH"/>
    <x v="4"/>
    <n v="6.3500778790389401"/>
    <n v="1.76391052195526"/>
  </r>
  <r>
    <x v="0"/>
    <x v="33"/>
    <x v="5"/>
    <x v="9"/>
    <s v="LT_Other_DH"/>
    <x v="5"/>
    <n v="6.3500778790389401"/>
    <n v="1.76391052195526"/>
  </r>
  <r>
    <x v="0"/>
    <x v="33"/>
    <x v="5"/>
    <x v="9"/>
    <s v="LT_Other_DH"/>
    <x v="6"/>
    <n v="29.476231795214598"/>
    <n v="8.1878421653373898"/>
  </r>
  <r>
    <x v="0"/>
    <x v="33"/>
    <x v="5"/>
    <x v="9"/>
    <s v="LT_Other_DH"/>
    <x v="7"/>
    <n v="57.838935220261199"/>
    <n v="16.066370894517"/>
  </r>
  <r>
    <x v="0"/>
    <x v="33"/>
    <x v="5"/>
    <x v="9"/>
    <s v="LT_Other_DH"/>
    <x v="8"/>
    <n v="57.838935220261199"/>
    <n v="16.066370894517"/>
  </r>
  <r>
    <x v="0"/>
    <x v="33"/>
    <x v="5"/>
    <x v="9"/>
    <s v="LT_Other_DH"/>
    <x v="9"/>
    <n v="44.4505451532725"/>
    <n v="12.3473736536868"/>
  </r>
  <r>
    <x v="0"/>
    <x v="33"/>
    <x v="5"/>
    <x v="9"/>
    <s v="LT_Other_DH"/>
    <x v="10"/>
    <n v="53.975661971830903"/>
    <n v="14.993239436619699"/>
  </r>
  <r>
    <x v="0"/>
    <x v="33"/>
    <x v="5"/>
    <x v="9"/>
    <s v="LT_Other_DH"/>
    <x v="11"/>
    <n v="3.8806031483015802"/>
    <n v="1.07794531897266"/>
  </r>
  <r>
    <x v="0"/>
    <x v="33"/>
    <x v="5"/>
    <x v="9"/>
    <s v="LT_Other_DH"/>
    <x v="12"/>
    <n v="9.7995028997514597E-2"/>
    <n v="2.72208413881985E-2"/>
  </r>
  <r>
    <x v="0"/>
    <x v="33"/>
    <x v="5"/>
    <x v="9"/>
    <s v="LT_Other_DH"/>
    <x v="13"/>
    <n v="29.633696768848399"/>
    <n v="8.2315824357912195"/>
  </r>
  <r>
    <x v="0"/>
    <x v="33"/>
    <x v="5"/>
    <x v="9"/>
    <s v="LT_Other_DH"/>
    <x v="14"/>
    <n v="29.633696768848399"/>
    <n v="8.2315824357912195"/>
  </r>
  <r>
    <x v="0"/>
    <x v="33"/>
    <x v="5"/>
    <x v="9"/>
    <s v="LT_Other_DH"/>
    <x v="15"/>
    <n v="1.65807589063794"/>
    <n v="0.46057663628831802"/>
  </r>
  <r>
    <x v="0"/>
    <x v="33"/>
    <x v="5"/>
    <x v="9"/>
    <s v="LT_Other_DH"/>
    <x v="16"/>
    <n v="6.4638978602906896"/>
    <n v="1.79552718341408"/>
  </r>
  <r>
    <x v="0"/>
    <x v="33"/>
    <x v="5"/>
    <x v="9"/>
    <s v="LT_Other_DH"/>
    <x v="17"/>
    <n v="9.1244895875632395"/>
    <n v="2.5345804409897901"/>
  </r>
  <r>
    <x v="0"/>
    <x v="33"/>
    <x v="5"/>
    <x v="9"/>
    <s v="LT_Other_DH"/>
    <x v="18"/>
    <n v="29.633696768848399"/>
    <n v="8.2315824357912195"/>
  </r>
  <r>
    <x v="0"/>
    <x v="33"/>
    <x v="5"/>
    <x v="9"/>
    <s v="LT_Other_DH"/>
    <x v="19"/>
    <n v="8.1139884009941898"/>
    <n v="2.2538856669428302"/>
  </r>
  <r>
    <x v="0"/>
    <x v="33"/>
    <x v="5"/>
    <x v="9"/>
    <s v="LT_Other_DH"/>
    <x v="20"/>
    <n v="22.109183021311601"/>
    <n v="6.1414397281420996"/>
  </r>
  <r>
    <x v="0"/>
    <x v="33"/>
    <x v="5"/>
    <x v="9"/>
    <s v="LT_Other_DH"/>
    <x v="21"/>
    <n v="48.24"/>
    <n v="13.4"/>
  </r>
  <r>
    <x v="0"/>
    <x v="33"/>
    <x v="5"/>
    <x v="9"/>
    <s v="LT_Other_DH"/>
    <x v="22"/>
    <n v="67.680000000000007"/>
    <n v="18.8"/>
  </r>
  <r>
    <x v="0"/>
    <x v="33"/>
    <x v="5"/>
    <x v="9"/>
    <s v="LT_Other_DH"/>
    <x v="23"/>
    <n v="0.31515896120488701"/>
    <n v="8.7544155890246306E-2"/>
  </r>
  <r>
    <x v="0"/>
    <x v="33"/>
    <x v="5"/>
    <x v="9"/>
    <s v="LT_Other_DH"/>
    <x v="24"/>
    <n v="19.174223581093901"/>
    <n v="5.32617321697054"/>
  </r>
  <r>
    <x v="0"/>
    <x v="33"/>
    <x v="5"/>
    <x v="9"/>
    <s v="LT_Other_DH"/>
    <x v="25"/>
    <n v="26.209507293842599"/>
    <n v="7.2804186927340497"/>
  </r>
  <r>
    <x v="0"/>
    <x v="33"/>
    <x v="5"/>
    <x v="9"/>
    <s v="LT_Other_DH"/>
    <x v="26"/>
    <n v="33.320887798496699"/>
    <n v="9.2558021662490795"/>
  </r>
  <r>
    <x v="0"/>
    <x v="33"/>
    <x v="5"/>
    <x v="9"/>
    <s v="LT_Other_DH"/>
    <x v="27"/>
    <n v="20.163995508318798"/>
    <n v="5.6011098634218799"/>
  </r>
  <r>
    <x v="0"/>
    <x v="33"/>
    <x v="5"/>
    <x v="9"/>
    <s v="LT_Panevezys"/>
    <x v="1"/>
    <n v="35.989199999999997"/>
    <n v="9.9969999999999999"/>
  </r>
  <r>
    <x v="0"/>
    <x v="33"/>
    <x v="5"/>
    <x v="9"/>
    <s v="LT_Panevezys"/>
    <x v="2"/>
    <n v="46.08"/>
    <n v="12.8"/>
  </r>
  <r>
    <x v="0"/>
    <x v="33"/>
    <x v="5"/>
    <x v="9"/>
    <s v="LT_Panevezys"/>
    <x v="0"/>
    <n v="42.692399999999999"/>
    <n v="11.859"/>
  </r>
  <r>
    <x v="0"/>
    <x v="33"/>
    <x v="5"/>
    <x v="9"/>
    <s v="LT_Panevezys"/>
    <x v="3"/>
    <n v="51.633543144067197"/>
    <n v="14.342650873352"/>
  </r>
  <r>
    <x v="0"/>
    <x v="33"/>
    <x v="5"/>
    <x v="9"/>
    <s v="LT_Panevezys"/>
    <x v="4"/>
    <n v="6.3500778790389401"/>
    <n v="1.76391052195526"/>
  </r>
  <r>
    <x v="0"/>
    <x v="33"/>
    <x v="5"/>
    <x v="9"/>
    <s v="LT_Panevezys"/>
    <x v="5"/>
    <n v="6.3500778790389401"/>
    <n v="1.76391052195526"/>
  </r>
  <r>
    <x v="0"/>
    <x v="33"/>
    <x v="5"/>
    <x v="9"/>
    <s v="LT_Panevezys"/>
    <x v="6"/>
    <n v="29.476231795214598"/>
    <n v="8.1878421653373898"/>
  </r>
  <r>
    <x v="0"/>
    <x v="33"/>
    <x v="5"/>
    <x v="9"/>
    <s v="LT_Panevezys"/>
    <x v="7"/>
    <n v="57.838935220261199"/>
    <n v="16.066370894517"/>
  </r>
  <r>
    <x v="0"/>
    <x v="33"/>
    <x v="5"/>
    <x v="9"/>
    <s v="LT_Panevezys"/>
    <x v="8"/>
    <n v="57.838935220261199"/>
    <n v="16.066370894517"/>
  </r>
  <r>
    <x v="0"/>
    <x v="33"/>
    <x v="5"/>
    <x v="9"/>
    <s v="LT_Panevezys"/>
    <x v="9"/>
    <n v="44.4505451532725"/>
    <n v="12.3473736536868"/>
  </r>
  <r>
    <x v="0"/>
    <x v="33"/>
    <x v="5"/>
    <x v="9"/>
    <s v="LT_Panevezys"/>
    <x v="10"/>
    <n v="53.975661971830903"/>
    <n v="14.993239436619699"/>
  </r>
  <r>
    <x v="0"/>
    <x v="33"/>
    <x v="5"/>
    <x v="9"/>
    <s v="LT_Panevezys"/>
    <x v="11"/>
    <n v="3.8806031483015802"/>
    <n v="1.07794531897266"/>
  </r>
  <r>
    <x v="0"/>
    <x v="33"/>
    <x v="5"/>
    <x v="9"/>
    <s v="LT_Panevezys"/>
    <x v="12"/>
    <n v="9.7995028997514597E-2"/>
    <n v="2.72208413881985E-2"/>
  </r>
  <r>
    <x v="0"/>
    <x v="33"/>
    <x v="5"/>
    <x v="9"/>
    <s v="LT_Panevezys"/>
    <x v="13"/>
    <n v="29.633696768848399"/>
    <n v="8.2315824357912195"/>
  </r>
  <r>
    <x v="0"/>
    <x v="33"/>
    <x v="5"/>
    <x v="9"/>
    <s v="LT_Panevezys"/>
    <x v="14"/>
    <n v="29.633696768848399"/>
    <n v="8.2315824357912195"/>
  </r>
  <r>
    <x v="0"/>
    <x v="33"/>
    <x v="5"/>
    <x v="9"/>
    <s v="LT_Panevezys"/>
    <x v="15"/>
    <n v="1.65807589063794"/>
    <n v="0.46057663628831802"/>
  </r>
  <r>
    <x v="0"/>
    <x v="33"/>
    <x v="5"/>
    <x v="9"/>
    <s v="LT_Panevezys"/>
    <x v="16"/>
    <n v="6.4638978602906896"/>
    <n v="1.79552718341408"/>
  </r>
  <r>
    <x v="0"/>
    <x v="33"/>
    <x v="5"/>
    <x v="9"/>
    <s v="LT_Panevezys"/>
    <x v="17"/>
    <n v="9.1244895875632395"/>
    <n v="2.5345804409897901"/>
  </r>
  <r>
    <x v="0"/>
    <x v="33"/>
    <x v="5"/>
    <x v="9"/>
    <s v="LT_Panevezys"/>
    <x v="18"/>
    <n v="29.633696768848399"/>
    <n v="8.2315824357912195"/>
  </r>
  <r>
    <x v="0"/>
    <x v="33"/>
    <x v="5"/>
    <x v="9"/>
    <s v="LT_Panevezys"/>
    <x v="19"/>
    <n v="8.1139884009941898"/>
    <n v="2.2538856669428302"/>
  </r>
  <r>
    <x v="0"/>
    <x v="33"/>
    <x v="5"/>
    <x v="9"/>
    <s v="LT_Panevezys"/>
    <x v="20"/>
    <n v="22.109183021311601"/>
    <n v="6.1414397281420996"/>
  </r>
  <r>
    <x v="0"/>
    <x v="33"/>
    <x v="5"/>
    <x v="9"/>
    <s v="LT_Panevezys"/>
    <x v="21"/>
    <n v="48.24"/>
    <n v="13.4"/>
  </r>
  <r>
    <x v="0"/>
    <x v="33"/>
    <x v="5"/>
    <x v="9"/>
    <s v="LT_Panevezys"/>
    <x v="22"/>
    <n v="67.680000000000007"/>
    <n v="18.8"/>
  </r>
  <r>
    <x v="0"/>
    <x v="33"/>
    <x v="5"/>
    <x v="9"/>
    <s v="LT_Panevezys"/>
    <x v="23"/>
    <n v="0.31515896120488701"/>
    <n v="8.7544155890246306E-2"/>
  </r>
  <r>
    <x v="0"/>
    <x v="33"/>
    <x v="5"/>
    <x v="9"/>
    <s v="LT_Panevezys"/>
    <x v="24"/>
    <n v="19.174223581093901"/>
    <n v="5.32617321697054"/>
  </r>
  <r>
    <x v="0"/>
    <x v="33"/>
    <x v="5"/>
    <x v="9"/>
    <s v="LT_Panevezys"/>
    <x v="25"/>
    <n v="26.209507293842599"/>
    <n v="7.2804186927340497"/>
  </r>
  <r>
    <x v="0"/>
    <x v="33"/>
    <x v="5"/>
    <x v="9"/>
    <s v="LT_Panevezys"/>
    <x v="26"/>
    <n v="33.320887798496699"/>
    <n v="9.2558021662490795"/>
  </r>
  <r>
    <x v="0"/>
    <x v="33"/>
    <x v="5"/>
    <x v="9"/>
    <s v="LT_Panevezys"/>
    <x v="27"/>
    <n v="20.163995508318798"/>
    <n v="5.6011098634218799"/>
  </r>
  <r>
    <x v="0"/>
    <x v="33"/>
    <x v="5"/>
    <x v="9"/>
    <s v="LT_Rural"/>
    <x v="1"/>
    <n v="35.989199999999997"/>
    <n v="9.9969999999999999"/>
  </r>
  <r>
    <x v="0"/>
    <x v="33"/>
    <x v="5"/>
    <x v="9"/>
    <s v="LT_Rural"/>
    <x v="2"/>
    <n v="46.08"/>
    <n v="12.8"/>
  </r>
  <r>
    <x v="0"/>
    <x v="33"/>
    <x v="5"/>
    <x v="9"/>
    <s v="LT_Rural"/>
    <x v="0"/>
    <n v="42.692399999999999"/>
    <n v="11.859"/>
  </r>
  <r>
    <x v="0"/>
    <x v="33"/>
    <x v="5"/>
    <x v="9"/>
    <s v="LT_Rural"/>
    <x v="3"/>
    <n v="51.633543144067197"/>
    <n v="14.342650873352"/>
  </r>
  <r>
    <x v="0"/>
    <x v="33"/>
    <x v="5"/>
    <x v="9"/>
    <s v="LT_Rural"/>
    <x v="4"/>
    <n v="6.3500778790389401"/>
    <n v="1.76391052195526"/>
  </r>
  <r>
    <x v="0"/>
    <x v="33"/>
    <x v="5"/>
    <x v="9"/>
    <s v="LT_Rural"/>
    <x v="5"/>
    <n v="6.3500778790389401"/>
    <n v="1.76391052195526"/>
  </r>
  <r>
    <x v="0"/>
    <x v="33"/>
    <x v="5"/>
    <x v="9"/>
    <s v="LT_Rural"/>
    <x v="6"/>
    <n v="29.476231795214598"/>
    <n v="8.1878421653373898"/>
  </r>
  <r>
    <x v="0"/>
    <x v="33"/>
    <x v="5"/>
    <x v="9"/>
    <s v="LT_Rural"/>
    <x v="7"/>
    <n v="57.838935220261199"/>
    <n v="16.066370894517"/>
  </r>
  <r>
    <x v="0"/>
    <x v="33"/>
    <x v="5"/>
    <x v="9"/>
    <s v="LT_Rural"/>
    <x v="8"/>
    <n v="57.838935220261199"/>
    <n v="16.066370894517"/>
  </r>
  <r>
    <x v="0"/>
    <x v="33"/>
    <x v="5"/>
    <x v="9"/>
    <s v="LT_Rural"/>
    <x v="9"/>
    <n v="44.4505451532725"/>
    <n v="12.3473736536868"/>
  </r>
  <r>
    <x v="0"/>
    <x v="33"/>
    <x v="5"/>
    <x v="9"/>
    <s v="LT_Rural"/>
    <x v="10"/>
    <n v="53.975661971830903"/>
    <n v="14.993239436619699"/>
  </r>
  <r>
    <x v="0"/>
    <x v="33"/>
    <x v="5"/>
    <x v="9"/>
    <s v="LT_Rural"/>
    <x v="11"/>
    <n v="3.8806031483015802"/>
    <n v="1.07794531897266"/>
  </r>
  <r>
    <x v="0"/>
    <x v="33"/>
    <x v="5"/>
    <x v="9"/>
    <s v="LT_Rural"/>
    <x v="12"/>
    <n v="9.7995028997514597E-2"/>
    <n v="2.72208413881985E-2"/>
  </r>
  <r>
    <x v="0"/>
    <x v="33"/>
    <x v="5"/>
    <x v="9"/>
    <s v="LT_Rural"/>
    <x v="13"/>
    <n v="29.633696768848399"/>
    <n v="8.2315824357912195"/>
  </r>
  <r>
    <x v="0"/>
    <x v="33"/>
    <x v="5"/>
    <x v="9"/>
    <s v="LT_Rural"/>
    <x v="14"/>
    <n v="29.633696768848399"/>
    <n v="8.2315824357912195"/>
  </r>
  <r>
    <x v="0"/>
    <x v="33"/>
    <x v="5"/>
    <x v="9"/>
    <s v="LT_Rural"/>
    <x v="15"/>
    <n v="1.65807589063794"/>
    <n v="0.46057663628831802"/>
  </r>
  <r>
    <x v="0"/>
    <x v="33"/>
    <x v="5"/>
    <x v="9"/>
    <s v="LT_Rural"/>
    <x v="16"/>
    <n v="6.4638978602906896"/>
    <n v="1.79552718341408"/>
  </r>
  <r>
    <x v="0"/>
    <x v="33"/>
    <x v="5"/>
    <x v="9"/>
    <s v="LT_Rural"/>
    <x v="17"/>
    <n v="9.1244895875632395"/>
    <n v="2.5345804409897901"/>
  </r>
  <r>
    <x v="0"/>
    <x v="33"/>
    <x v="5"/>
    <x v="9"/>
    <s v="LT_Rural"/>
    <x v="18"/>
    <n v="29.633696768848399"/>
    <n v="8.2315824357912195"/>
  </r>
  <r>
    <x v="0"/>
    <x v="33"/>
    <x v="5"/>
    <x v="9"/>
    <s v="LT_Rural"/>
    <x v="19"/>
    <n v="8.1139884009941898"/>
    <n v="2.2538856669428302"/>
  </r>
  <r>
    <x v="0"/>
    <x v="33"/>
    <x v="5"/>
    <x v="9"/>
    <s v="LT_Rural"/>
    <x v="20"/>
    <n v="22.109183021311601"/>
    <n v="6.1414397281420996"/>
  </r>
  <r>
    <x v="0"/>
    <x v="33"/>
    <x v="5"/>
    <x v="9"/>
    <s v="LT_Rural"/>
    <x v="21"/>
    <n v="48.24"/>
    <n v="13.4"/>
  </r>
  <r>
    <x v="0"/>
    <x v="33"/>
    <x v="5"/>
    <x v="9"/>
    <s v="LT_Rural"/>
    <x v="22"/>
    <n v="67.680000000000007"/>
    <n v="18.8"/>
  </r>
  <r>
    <x v="0"/>
    <x v="33"/>
    <x v="5"/>
    <x v="9"/>
    <s v="LT_Rural"/>
    <x v="23"/>
    <n v="0.31515896120488701"/>
    <n v="8.7544155890246306E-2"/>
  </r>
  <r>
    <x v="0"/>
    <x v="33"/>
    <x v="5"/>
    <x v="9"/>
    <s v="LT_Rural"/>
    <x v="24"/>
    <n v="19.174223581093901"/>
    <n v="5.32617321697054"/>
  </r>
  <r>
    <x v="0"/>
    <x v="33"/>
    <x v="5"/>
    <x v="9"/>
    <s v="LT_Rural"/>
    <x v="25"/>
    <n v="26.209507293842599"/>
    <n v="7.2804186927340497"/>
  </r>
  <r>
    <x v="0"/>
    <x v="33"/>
    <x v="5"/>
    <x v="9"/>
    <s v="LT_Rural"/>
    <x v="26"/>
    <n v="33.320887798496699"/>
    <n v="9.2558021662490795"/>
  </r>
  <r>
    <x v="0"/>
    <x v="33"/>
    <x v="5"/>
    <x v="9"/>
    <s v="LT_Rural"/>
    <x v="27"/>
    <n v="20.163995508318798"/>
    <n v="5.6011098634218799"/>
  </r>
  <r>
    <x v="0"/>
    <x v="33"/>
    <x v="5"/>
    <x v="9"/>
    <s v="LT_SiaU"/>
    <x v="1"/>
    <n v="35.989199999999997"/>
    <n v="9.9969999999999999"/>
  </r>
  <r>
    <x v="0"/>
    <x v="33"/>
    <x v="5"/>
    <x v="9"/>
    <s v="LT_SiaU"/>
    <x v="2"/>
    <n v="46.08"/>
    <n v="12.8"/>
  </r>
  <r>
    <x v="0"/>
    <x v="33"/>
    <x v="5"/>
    <x v="9"/>
    <s v="LT_SiaU"/>
    <x v="0"/>
    <n v="42.692399999999999"/>
    <n v="11.859"/>
  </r>
  <r>
    <x v="0"/>
    <x v="33"/>
    <x v="5"/>
    <x v="9"/>
    <s v="LT_SiaU"/>
    <x v="3"/>
    <n v="51.633543144067197"/>
    <n v="14.342650873352"/>
  </r>
  <r>
    <x v="0"/>
    <x v="33"/>
    <x v="5"/>
    <x v="9"/>
    <s v="LT_SiaU"/>
    <x v="4"/>
    <n v="6.3500778790389401"/>
    <n v="1.76391052195526"/>
  </r>
  <r>
    <x v="0"/>
    <x v="33"/>
    <x v="5"/>
    <x v="9"/>
    <s v="LT_SiaU"/>
    <x v="5"/>
    <n v="6.3500778790389401"/>
    <n v="1.76391052195526"/>
  </r>
  <r>
    <x v="0"/>
    <x v="33"/>
    <x v="5"/>
    <x v="9"/>
    <s v="LT_SiaU"/>
    <x v="6"/>
    <n v="29.476231795214598"/>
    <n v="8.1878421653373898"/>
  </r>
  <r>
    <x v="0"/>
    <x v="33"/>
    <x v="5"/>
    <x v="9"/>
    <s v="LT_SiaU"/>
    <x v="7"/>
    <n v="57.838935220261199"/>
    <n v="16.066370894517"/>
  </r>
  <r>
    <x v="0"/>
    <x v="33"/>
    <x v="5"/>
    <x v="9"/>
    <s v="LT_SiaU"/>
    <x v="8"/>
    <n v="57.838935220261199"/>
    <n v="16.066370894517"/>
  </r>
  <r>
    <x v="0"/>
    <x v="33"/>
    <x v="5"/>
    <x v="9"/>
    <s v="LT_SiaU"/>
    <x v="9"/>
    <n v="44.4505451532725"/>
    <n v="12.3473736536868"/>
  </r>
  <r>
    <x v="0"/>
    <x v="33"/>
    <x v="5"/>
    <x v="9"/>
    <s v="LT_SiaU"/>
    <x v="10"/>
    <n v="53.975661971830903"/>
    <n v="14.993239436619699"/>
  </r>
  <r>
    <x v="0"/>
    <x v="33"/>
    <x v="5"/>
    <x v="9"/>
    <s v="LT_SiaU"/>
    <x v="11"/>
    <n v="3.8806031483015802"/>
    <n v="1.07794531897266"/>
  </r>
  <r>
    <x v="0"/>
    <x v="33"/>
    <x v="5"/>
    <x v="9"/>
    <s v="LT_SiaU"/>
    <x v="12"/>
    <n v="9.7995028997514597E-2"/>
    <n v="2.72208413881985E-2"/>
  </r>
  <r>
    <x v="0"/>
    <x v="33"/>
    <x v="5"/>
    <x v="9"/>
    <s v="LT_SiaU"/>
    <x v="13"/>
    <n v="29.633696768848399"/>
    <n v="8.2315824357912195"/>
  </r>
  <r>
    <x v="0"/>
    <x v="33"/>
    <x v="5"/>
    <x v="9"/>
    <s v="LT_SiaU"/>
    <x v="14"/>
    <n v="29.633696768848399"/>
    <n v="8.2315824357912195"/>
  </r>
  <r>
    <x v="0"/>
    <x v="33"/>
    <x v="5"/>
    <x v="9"/>
    <s v="LT_SiaU"/>
    <x v="15"/>
    <n v="1.65807589063794"/>
    <n v="0.46057663628831802"/>
  </r>
  <r>
    <x v="0"/>
    <x v="33"/>
    <x v="5"/>
    <x v="9"/>
    <s v="LT_SiaU"/>
    <x v="16"/>
    <n v="6.4638978602906896"/>
    <n v="1.79552718341408"/>
  </r>
  <r>
    <x v="0"/>
    <x v="33"/>
    <x v="5"/>
    <x v="9"/>
    <s v="LT_SiaU"/>
    <x v="17"/>
    <n v="9.1244895875632395"/>
    <n v="2.5345804409897901"/>
  </r>
  <r>
    <x v="0"/>
    <x v="33"/>
    <x v="5"/>
    <x v="9"/>
    <s v="LT_SiaU"/>
    <x v="18"/>
    <n v="29.633696768848399"/>
    <n v="8.2315824357912195"/>
  </r>
  <r>
    <x v="0"/>
    <x v="33"/>
    <x v="5"/>
    <x v="9"/>
    <s v="LT_SiaU"/>
    <x v="19"/>
    <n v="8.1139884009941898"/>
    <n v="2.2538856669428302"/>
  </r>
  <r>
    <x v="0"/>
    <x v="33"/>
    <x v="5"/>
    <x v="9"/>
    <s v="LT_SiaU"/>
    <x v="20"/>
    <n v="22.109183021311601"/>
    <n v="6.1414397281420996"/>
  </r>
  <r>
    <x v="0"/>
    <x v="33"/>
    <x v="5"/>
    <x v="9"/>
    <s v="LT_SiaU"/>
    <x v="21"/>
    <n v="48.24"/>
    <n v="13.4"/>
  </r>
  <r>
    <x v="0"/>
    <x v="33"/>
    <x v="5"/>
    <x v="9"/>
    <s v="LT_SiaU"/>
    <x v="22"/>
    <n v="67.680000000000007"/>
    <n v="18.8"/>
  </r>
  <r>
    <x v="0"/>
    <x v="33"/>
    <x v="5"/>
    <x v="9"/>
    <s v="LT_SiaU"/>
    <x v="23"/>
    <n v="0.31515896120488701"/>
    <n v="8.7544155890246306E-2"/>
  </r>
  <r>
    <x v="0"/>
    <x v="33"/>
    <x v="5"/>
    <x v="9"/>
    <s v="LT_SiaU"/>
    <x v="24"/>
    <n v="19.174223581093901"/>
    <n v="5.32617321697054"/>
  </r>
  <r>
    <x v="0"/>
    <x v="33"/>
    <x v="5"/>
    <x v="9"/>
    <s v="LT_SiaU"/>
    <x v="25"/>
    <n v="26.209507293842599"/>
    <n v="7.2804186927340497"/>
  </r>
  <r>
    <x v="0"/>
    <x v="33"/>
    <x v="5"/>
    <x v="9"/>
    <s v="LT_SiaU"/>
    <x v="26"/>
    <n v="33.320887798496699"/>
    <n v="9.2558021662490795"/>
  </r>
  <r>
    <x v="0"/>
    <x v="33"/>
    <x v="5"/>
    <x v="9"/>
    <s v="LT_SiaU"/>
    <x v="27"/>
    <n v="20.163995508318798"/>
    <n v="5.6011098634218799"/>
  </r>
  <r>
    <x v="0"/>
    <x v="33"/>
    <x v="5"/>
    <x v="9"/>
    <s v="LT_VilU"/>
    <x v="1"/>
    <n v="35.989199999999997"/>
    <n v="9.9969999999999999"/>
  </r>
  <r>
    <x v="0"/>
    <x v="33"/>
    <x v="5"/>
    <x v="9"/>
    <s v="LT_VilU"/>
    <x v="2"/>
    <n v="46.08"/>
    <n v="12.8"/>
  </r>
  <r>
    <x v="0"/>
    <x v="33"/>
    <x v="5"/>
    <x v="9"/>
    <s v="LT_VilU"/>
    <x v="0"/>
    <n v="42.692399999999999"/>
    <n v="11.859"/>
  </r>
  <r>
    <x v="0"/>
    <x v="33"/>
    <x v="5"/>
    <x v="9"/>
    <s v="LT_VilU"/>
    <x v="3"/>
    <n v="51.633543144067197"/>
    <n v="14.342650873352"/>
  </r>
  <r>
    <x v="0"/>
    <x v="33"/>
    <x v="5"/>
    <x v="9"/>
    <s v="LT_VilU"/>
    <x v="4"/>
    <n v="6.3500778790389401"/>
    <n v="1.76391052195526"/>
  </r>
  <r>
    <x v="0"/>
    <x v="33"/>
    <x v="5"/>
    <x v="9"/>
    <s v="LT_VilU"/>
    <x v="5"/>
    <n v="6.3500778790389401"/>
    <n v="1.76391052195526"/>
  </r>
  <r>
    <x v="0"/>
    <x v="33"/>
    <x v="5"/>
    <x v="9"/>
    <s v="LT_VilU"/>
    <x v="6"/>
    <n v="29.476231795214598"/>
    <n v="8.1878421653373898"/>
  </r>
  <r>
    <x v="0"/>
    <x v="33"/>
    <x v="5"/>
    <x v="9"/>
    <s v="LT_VilU"/>
    <x v="7"/>
    <n v="57.838935220261199"/>
    <n v="16.066370894517"/>
  </r>
  <r>
    <x v="0"/>
    <x v="33"/>
    <x v="5"/>
    <x v="9"/>
    <s v="LT_VilU"/>
    <x v="8"/>
    <n v="57.838935220261199"/>
    <n v="16.066370894517"/>
  </r>
  <r>
    <x v="0"/>
    <x v="33"/>
    <x v="5"/>
    <x v="9"/>
    <s v="LT_VilU"/>
    <x v="9"/>
    <n v="44.4505451532725"/>
    <n v="12.3473736536868"/>
  </r>
  <r>
    <x v="0"/>
    <x v="33"/>
    <x v="5"/>
    <x v="9"/>
    <s v="LT_VilU"/>
    <x v="10"/>
    <n v="53.975661971830903"/>
    <n v="14.993239436619699"/>
  </r>
  <r>
    <x v="0"/>
    <x v="33"/>
    <x v="5"/>
    <x v="9"/>
    <s v="LT_VilU"/>
    <x v="11"/>
    <n v="3.8806031483015802"/>
    <n v="1.07794531897266"/>
  </r>
  <r>
    <x v="0"/>
    <x v="33"/>
    <x v="5"/>
    <x v="9"/>
    <s v="LT_VilU"/>
    <x v="12"/>
    <n v="9.7995028997514597E-2"/>
    <n v="2.72208413881985E-2"/>
  </r>
  <r>
    <x v="0"/>
    <x v="33"/>
    <x v="5"/>
    <x v="9"/>
    <s v="LT_VilU"/>
    <x v="13"/>
    <n v="29.633696768848399"/>
    <n v="8.2315824357912195"/>
  </r>
  <r>
    <x v="0"/>
    <x v="33"/>
    <x v="5"/>
    <x v="9"/>
    <s v="LT_VilU"/>
    <x v="14"/>
    <n v="29.633696768848399"/>
    <n v="8.2315824357912195"/>
  </r>
  <r>
    <x v="0"/>
    <x v="33"/>
    <x v="5"/>
    <x v="9"/>
    <s v="LT_VilU"/>
    <x v="15"/>
    <n v="1.65807589063794"/>
    <n v="0.46057663628831802"/>
  </r>
  <r>
    <x v="0"/>
    <x v="33"/>
    <x v="5"/>
    <x v="9"/>
    <s v="LT_VilU"/>
    <x v="16"/>
    <n v="6.4638978602906896"/>
    <n v="1.79552718341408"/>
  </r>
  <r>
    <x v="0"/>
    <x v="33"/>
    <x v="5"/>
    <x v="9"/>
    <s v="LT_VilU"/>
    <x v="17"/>
    <n v="9.1244895875632395"/>
    <n v="2.5345804409897901"/>
  </r>
  <r>
    <x v="0"/>
    <x v="33"/>
    <x v="5"/>
    <x v="9"/>
    <s v="LT_VilU"/>
    <x v="18"/>
    <n v="29.633696768848399"/>
    <n v="8.2315824357912195"/>
  </r>
  <r>
    <x v="0"/>
    <x v="33"/>
    <x v="5"/>
    <x v="9"/>
    <s v="LT_VilU"/>
    <x v="19"/>
    <n v="8.1139884009941898"/>
    <n v="2.2538856669428302"/>
  </r>
  <r>
    <x v="0"/>
    <x v="33"/>
    <x v="5"/>
    <x v="9"/>
    <s v="LT_VilU"/>
    <x v="20"/>
    <n v="22.109183021311601"/>
    <n v="6.1414397281420996"/>
  </r>
  <r>
    <x v="0"/>
    <x v="33"/>
    <x v="5"/>
    <x v="9"/>
    <s v="LT_VilU"/>
    <x v="21"/>
    <n v="48.24"/>
    <n v="13.4"/>
  </r>
  <r>
    <x v="0"/>
    <x v="33"/>
    <x v="5"/>
    <x v="9"/>
    <s v="LT_VilU"/>
    <x v="22"/>
    <n v="67.680000000000007"/>
    <n v="18.8"/>
  </r>
  <r>
    <x v="0"/>
    <x v="33"/>
    <x v="5"/>
    <x v="9"/>
    <s v="LT_VilU"/>
    <x v="23"/>
    <n v="0.31515896120488701"/>
    <n v="8.7544155890246306E-2"/>
  </r>
  <r>
    <x v="0"/>
    <x v="33"/>
    <x v="5"/>
    <x v="9"/>
    <s v="LT_VilU"/>
    <x v="24"/>
    <n v="19.174223581093901"/>
    <n v="5.32617321697054"/>
  </r>
  <r>
    <x v="0"/>
    <x v="33"/>
    <x v="5"/>
    <x v="9"/>
    <s v="LT_VilU"/>
    <x v="25"/>
    <n v="26.209507293842599"/>
    <n v="7.2804186927340497"/>
  </r>
  <r>
    <x v="0"/>
    <x v="33"/>
    <x v="5"/>
    <x v="9"/>
    <s v="LT_VilU"/>
    <x v="26"/>
    <n v="33.320887798496699"/>
    <n v="9.2558021662490795"/>
  </r>
  <r>
    <x v="0"/>
    <x v="33"/>
    <x v="5"/>
    <x v="9"/>
    <s v="LT_VilU"/>
    <x v="27"/>
    <n v="20.163995508318798"/>
    <n v="5.6011098634218799"/>
  </r>
  <r>
    <x v="0"/>
    <x v="33"/>
    <x v="6"/>
    <x v="10"/>
    <s v="NL_A"/>
    <x v="1"/>
    <n v="35.989199999999997"/>
    <n v="9.9969999999999999"/>
  </r>
  <r>
    <x v="0"/>
    <x v="33"/>
    <x v="6"/>
    <x v="10"/>
    <s v="NL_A"/>
    <x v="2"/>
    <n v="46.08"/>
    <n v="12.8"/>
  </r>
  <r>
    <x v="0"/>
    <x v="33"/>
    <x v="6"/>
    <x v="10"/>
    <s v="NL_A"/>
    <x v="0"/>
    <n v="42.692399999999999"/>
    <n v="11.859"/>
  </r>
  <r>
    <x v="0"/>
    <x v="33"/>
    <x v="6"/>
    <x v="10"/>
    <s v="NL_A"/>
    <x v="3"/>
    <n v="51.633543144067197"/>
    <n v="14.342650873352"/>
  </r>
  <r>
    <x v="0"/>
    <x v="33"/>
    <x v="6"/>
    <x v="10"/>
    <s v="NL_A"/>
    <x v="4"/>
    <n v="6.3500778790389401"/>
    <n v="1.76391052195526"/>
  </r>
  <r>
    <x v="0"/>
    <x v="33"/>
    <x v="6"/>
    <x v="10"/>
    <s v="NL_A"/>
    <x v="5"/>
    <n v="6.3500778790389401"/>
    <n v="1.76391052195526"/>
  </r>
  <r>
    <x v="0"/>
    <x v="33"/>
    <x v="6"/>
    <x v="10"/>
    <s v="NL_A"/>
    <x v="6"/>
    <n v="29.476231795214598"/>
    <n v="8.1878421653373898"/>
  </r>
  <r>
    <x v="0"/>
    <x v="33"/>
    <x v="6"/>
    <x v="10"/>
    <s v="NL_A"/>
    <x v="7"/>
    <n v="57.838935220261199"/>
    <n v="16.066370894517"/>
  </r>
  <r>
    <x v="0"/>
    <x v="33"/>
    <x v="6"/>
    <x v="10"/>
    <s v="NL_A"/>
    <x v="8"/>
    <n v="57.838935220261199"/>
    <n v="16.066370894517"/>
  </r>
  <r>
    <x v="0"/>
    <x v="33"/>
    <x v="6"/>
    <x v="10"/>
    <s v="NL_A"/>
    <x v="9"/>
    <n v="44.4505451532725"/>
    <n v="12.3473736536868"/>
  </r>
  <r>
    <x v="0"/>
    <x v="33"/>
    <x v="6"/>
    <x v="10"/>
    <s v="NL_A"/>
    <x v="10"/>
    <n v="53.975661971830903"/>
    <n v="14.993239436619699"/>
  </r>
  <r>
    <x v="0"/>
    <x v="33"/>
    <x v="6"/>
    <x v="10"/>
    <s v="NL_A"/>
    <x v="11"/>
    <n v="3.8806031483015802"/>
    <n v="1.07794531897266"/>
  </r>
  <r>
    <x v="0"/>
    <x v="33"/>
    <x v="6"/>
    <x v="10"/>
    <s v="NL_A"/>
    <x v="12"/>
    <n v="9.7995028997514597E-2"/>
    <n v="2.72208413881985E-2"/>
  </r>
  <r>
    <x v="0"/>
    <x v="33"/>
    <x v="6"/>
    <x v="10"/>
    <s v="NL_A"/>
    <x v="13"/>
    <n v="29.633696768848399"/>
    <n v="8.2315824357912195"/>
  </r>
  <r>
    <x v="0"/>
    <x v="33"/>
    <x v="6"/>
    <x v="10"/>
    <s v="NL_A"/>
    <x v="14"/>
    <n v="29.633696768848399"/>
    <n v="8.2315824357912195"/>
  </r>
  <r>
    <x v="0"/>
    <x v="33"/>
    <x v="6"/>
    <x v="10"/>
    <s v="NL_A"/>
    <x v="15"/>
    <n v="1.65807589063794"/>
    <n v="0.46057663628831802"/>
  </r>
  <r>
    <x v="0"/>
    <x v="33"/>
    <x v="6"/>
    <x v="10"/>
    <s v="NL_A"/>
    <x v="16"/>
    <n v="6.4638978602906896"/>
    <n v="1.79552718341408"/>
  </r>
  <r>
    <x v="0"/>
    <x v="33"/>
    <x v="6"/>
    <x v="10"/>
    <s v="NL_A"/>
    <x v="17"/>
    <n v="9.1244895875632395"/>
    <n v="2.5345804409897901"/>
  </r>
  <r>
    <x v="0"/>
    <x v="33"/>
    <x v="6"/>
    <x v="10"/>
    <s v="NL_A"/>
    <x v="18"/>
    <n v="29.633696768848399"/>
    <n v="8.2315824357912195"/>
  </r>
  <r>
    <x v="0"/>
    <x v="33"/>
    <x v="6"/>
    <x v="10"/>
    <s v="NL_A"/>
    <x v="19"/>
    <n v="8.1139884009941898"/>
    <n v="2.2538856669428302"/>
  </r>
  <r>
    <x v="0"/>
    <x v="33"/>
    <x v="6"/>
    <x v="10"/>
    <s v="NL_A"/>
    <x v="20"/>
    <n v="22.109183021311601"/>
    <n v="6.1414397281420996"/>
  </r>
  <r>
    <x v="0"/>
    <x v="33"/>
    <x v="6"/>
    <x v="10"/>
    <s v="NL_A"/>
    <x v="21"/>
    <n v="48.24"/>
    <n v="13.4"/>
  </r>
  <r>
    <x v="0"/>
    <x v="33"/>
    <x v="6"/>
    <x v="10"/>
    <s v="NL_A"/>
    <x v="22"/>
    <n v="67.680000000000007"/>
    <n v="18.8"/>
  </r>
  <r>
    <x v="0"/>
    <x v="33"/>
    <x v="6"/>
    <x v="10"/>
    <s v="NL_A"/>
    <x v="23"/>
    <n v="0.31515896120488701"/>
    <n v="8.7544155890246306E-2"/>
  </r>
  <r>
    <x v="0"/>
    <x v="33"/>
    <x v="6"/>
    <x v="10"/>
    <s v="NL_A"/>
    <x v="24"/>
    <n v="19.174223581093901"/>
    <n v="5.32617321697054"/>
  </r>
  <r>
    <x v="0"/>
    <x v="33"/>
    <x v="6"/>
    <x v="10"/>
    <s v="NL_A"/>
    <x v="25"/>
    <n v="26.209507293842599"/>
    <n v="7.2804186927340497"/>
  </r>
  <r>
    <x v="0"/>
    <x v="33"/>
    <x v="6"/>
    <x v="10"/>
    <s v="NL_A"/>
    <x v="26"/>
    <n v="33.320887798496699"/>
    <n v="9.2558021662490795"/>
  </r>
  <r>
    <x v="0"/>
    <x v="33"/>
    <x v="6"/>
    <x v="10"/>
    <s v="NL_A"/>
    <x v="27"/>
    <n v="20.163995508318798"/>
    <n v="5.6011098634218799"/>
  </r>
  <r>
    <x v="0"/>
    <x v="33"/>
    <x v="6"/>
    <x v="10"/>
    <s v="NL_OFFSHORE"/>
    <x v="1"/>
    <n v="35.989199999999997"/>
    <n v="9.9969999999999999"/>
  </r>
  <r>
    <x v="0"/>
    <x v="33"/>
    <x v="6"/>
    <x v="10"/>
    <s v="NL_OFFSHORE"/>
    <x v="2"/>
    <n v="46.08"/>
    <n v="12.8"/>
  </r>
  <r>
    <x v="0"/>
    <x v="33"/>
    <x v="6"/>
    <x v="10"/>
    <s v="NL_OFFSHORE"/>
    <x v="0"/>
    <n v="42.692399999999999"/>
    <n v="11.859"/>
  </r>
  <r>
    <x v="0"/>
    <x v="33"/>
    <x v="6"/>
    <x v="10"/>
    <s v="NL_OFFSHORE"/>
    <x v="3"/>
    <n v="51.633543144067197"/>
    <n v="14.342650873352"/>
  </r>
  <r>
    <x v="0"/>
    <x v="33"/>
    <x v="6"/>
    <x v="10"/>
    <s v="NL_OFFSHORE"/>
    <x v="4"/>
    <n v="6.3500778790389401"/>
    <n v="1.76391052195526"/>
  </r>
  <r>
    <x v="0"/>
    <x v="33"/>
    <x v="6"/>
    <x v="10"/>
    <s v="NL_OFFSHORE"/>
    <x v="5"/>
    <n v="6.3500778790389401"/>
    <n v="1.76391052195526"/>
  </r>
  <r>
    <x v="0"/>
    <x v="33"/>
    <x v="6"/>
    <x v="10"/>
    <s v="NL_OFFSHORE"/>
    <x v="6"/>
    <n v="29.476231795214598"/>
    <n v="8.1878421653373898"/>
  </r>
  <r>
    <x v="0"/>
    <x v="33"/>
    <x v="6"/>
    <x v="10"/>
    <s v="NL_OFFSHORE"/>
    <x v="7"/>
    <n v="57.838935220261199"/>
    <n v="16.066370894517"/>
  </r>
  <r>
    <x v="0"/>
    <x v="33"/>
    <x v="6"/>
    <x v="10"/>
    <s v="NL_OFFSHORE"/>
    <x v="8"/>
    <n v="57.838935220261199"/>
    <n v="16.066370894517"/>
  </r>
  <r>
    <x v="0"/>
    <x v="33"/>
    <x v="6"/>
    <x v="10"/>
    <s v="NL_OFFSHORE"/>
    <x v="9"/>
    <n v="44.4505451532725"/>
    <n v="12.3473736536868"/>
  </r>
  <r>
    <x v="0"/>
    <x v="33"/>
    <x v="6"/>
    <x v="10"/>
    <s v="NL_OFFSHORE"/>
    <x v="10"/>
    <n v="53.975661971830903"/>
    <n v="14.993239436619699"/>
  </r>
  <r>
    <x v="0"/>
    <x v="33"/>
    <x v="6"/>
    <x v="10"/>
    <s v="NL_OFFSHORE"/>
    <x v="11"/>
    <n v="3.8806031483015802"/>
    <n v="1.07794531897266"/>
  </r>
  <r>
    <x v="0"/>
    <x v="33"/>
    <x v="6"/>
    <x v="10"/>
    <s v="NL_OFFSHORE"/>
    <x v="12"/>
    <n v="9.7995028997514597E-2"/>
    <n v="2.72208413881985E-2"/>
  </r>
  <r>
    <x v="0"/>
    <x v="33"/>
    <x v="6"/>
    <x v="10"/>
    <s v="NL_OFFSHORE"/>
    <x v="13"/>
    <n v="29.633696768848399"/>
    <n v="8.2315824357912195"/>
  </r>
  <r>
    <x v="0"/>
    <x v="33"/>
    <x v="6"/>
    <x v="10"/>
    <s v="NL_OFFSHORE"/>
    <x v="14"/>
    <n v="29.633696768848399"/>
    <n v="8.2315824357912195"/>
  </r>
  <r>
    <x v="0"/>
    <x v="33"/>
    <x v="6"/>
    <x v="10"/>
    <s v="NL_OFFSHORE"/>
    <x v="15"/>
    <n v="1.65807589063794"/>
    <n v="0.46057663628831802"/>
  </r>
  <r>
    <x v="0"/>
    <x v="33"/>
    <x v="6"/>
    <x v="10"/>
    <s v="NL_OFFSHORE"/>
    <x v="16"/>
    <n v="6.4638978602906896"/>
    <n v="1.79552718341408"/>
  </r>
  <r>
    <x v="0"/>
    <x v="33"/>
    <x v="6"/>
    <x v="10"/>
    <s v="NL_OFFSHORE"/>
    <x v="17"/>
    <n v="9.1244895875632395"/>
    <n v="2.5345804409897901"/>
  </r>
  <r>
    <x v="0"/>
    <x v="33"/>
    <x v="6"/>
    <x v="10"/>
    <s v="NL_OFFSHORE"/>
    <x v="18"/>
    <n v="29.633696768848399"/>
    <n v="8.2315824357912195"/>
  </r>
  <r>
    <x v="0"/>
    <x v="33"/>
    <x v="6"/>
    <x v="10"/>
    <s v="NL_OFFSHORE"/>
    <x v="19"/>
    <n v="8.1139884009941898"/>
    <n v="2.2538856669428302"/>
  </r>
  <r>
    <x v="0"/>
    <x v="33"/>
    <x v="6"/>
    <x v="10"/>
    <s v="NL_OFFSHORE"/>
    <x v="20"/>
    <n v="22.109183021311601"/>
    <n v="6.1414397281420996"/>
  </r>
  <r>
    <x v="0"/>
    <x v="33"/>
    <x v="6"/>
    <x v="10"/>
    <s v="NL_OFFSHORE"/>
    <x v="21"/>
    <n v="48.24"/>
    <n v="13.4"/>
  </r>
  <r>
    <x v="0"/>
    <x v="33"/>
    <x v="6"/>
    <x v="10"/>
    <s v="NL_OFFSHORE"/>
    <x v="22"/>
    <n v="67.680000000000007"/>
    <n v="18.8"/>
  </r>
  <r>
    <x v="0"/>
    <x v="33"/>
    <x v="6"/>
    <x v="10"/>
    <s v="NL_OFFSHORE"/>
    <x v="23"/>
    <n v="0.31515896120488701"/>
    <n v="8.7544155890246306E-2"/>
  </r>
  <r>
    <x v="0"/>
    <x v="33"/>
    <x v="6"/>
    <x v="10"/>
    <s v="NL_OFFSHORE"/>
    <x v="24"/>
    <n v="19.174223581093901"/>
    <n v="5.32617321697054"/>
  </r>
  <r>
    <x v="0"/>
    <x v="33"/>
    <x v="6"/>
    <x v="10"/>
    <s v="NL_OFFSHORE"/>
    <x v="25"/>
    <n v="26.209507293842599"/>
    <n v="7.2804186927340497"/>
  </r>
  <r>
    <x v="0"/>
    <x v="33"/>
    <x v="6"/>
    <x v="10"/>
    <s v="NL_OFFSHORE"/>
    <x v="26"/>
    <n v="33.320887798496699"/>
    <n v="9.2558021662490795"/>
  </r>
  <r>
    <x v="0"/>
    <x v="33"/>
    <x v="6"/>
    <x v="10"/>
    <s v="NL_OFFSHORE"/>
    <x v="27"/>
    <n v="20.163995508318798"/>
    <n v="5.6011098634218799"/>
  </r>
  <r>
    <x v="0"/>
    <x v="33"/>
    <x v="7"/>
    <x v="11"/>
    <s v="NO1_A1"/>
    <x v="1"/>
    <n v="35.989199999999997"/>
    <n v="9.9969999999999999"/>
  </r>
  <r>
    <x v="0"/>
    <x v="33"/>
    <x v="7"/>
    <x v="11"/>
    <s v="NO1_A1"/>
    <x v="2"/>
    <n v="46.08"/>
    <n v="12.8"/>
  </r>
  <r>
    <x v="0"/>
    <x v="33"/>
    <x v="7"/>
    <x v="11"/>
    <s v="NO1_A1"/>
    <x v="0"/>
    <n v="42.692399999999999"/>
    <n v="11.859"/>
  </r>
  <r>
    <x v="0"/>
    <x v="33"/>
    <x v="7"/>
    <x v="11"/>
    <s v="NO1_A1"/>
    <x v="3"/>
    <n v="51.633543144067197"/>
    <n v="14.342650873352"/>
  </r>
  <r>
    <x v="0"/>
    <x v="33"/>
    <x v="7"/>
    <x v="11"/>
    <s v="NO1_A1"/>
    <x v="4"/>
    <n v="6.3500778790389401"/>
    <n v="1.76391052195526"/>
  </r>
  <r>
    <x v="0"/>
    <x v="33"/>
    <x v="7"/>
    <x v="11"/>
    <s v="NO1_A1"/>
    <x v="5"/>
    <n v="6.3500778790389401"/>
    <n v="1.76391052195526"/>
  </r>
  <r>
    <x v="0"/>
    <x v="33"/>
    <x v="7"/>
    <x v="11"/>
    <s v="NO1_A1"/>
    <x v="6"/>
    <n v="29.476231795214598"/>
    <n v="8.1878421653373898"/>
  </r>
  <r>
    <x v="0"/>
    <x v="33"/>
    <x v="7"/>
    <x v="11"/>
    <s v="NO1_A1"/>
    <x v="7"/>
    <n v="57.838935220261199"/>
    <n v="16.066370894517"/>
  </r>
  <r>
    <x v="0"/>
    <x v="33"/>
    <x v="7"/>
    <x v="11"/>
    <s v="NO1_A1"/>
    <x v="8"/>
    <n v="57.838935220261199"/>
    <n v="16.066370894517"/>
  </r>
  <r>
    <x v="0"/>
    <x v="33"/>
    <x v="7"/>
    <x v="11"/>
    <s v="NO1_A1"/>
    <x v="9"/>
    <n v="44.4505451532725"/>
    <n v="12.3473736536868"/>
  </r>
  <r>
    <x v="0"/>
    <x v="33"/>
    <x v="7"/>
    <x v="11"/>
    <s v="NO1_A1"/>
    <x v="10"/>
    <n v="53.975661971830903"/>
    <n v="14.993239436619699"/>
  </r>
  <r>
    <x v="0"/>
    <x v="33"/>
    <x v="7"/>
    <x v="11"/>
    <s v="NO1_A1"/>
    <x v="11"/>
    <n v="3.8806031483015802"/>
    <n v="1.07794531897266"/>
  </r>
  <r>
    <x v="0"/>
    <x v="33"/>
    <x v="7"/>
    <x v="11"/>
    <s v="NO1_A1"/>
    <x v="12"/>
    <n v="9.7995028997514597E-2"/>
    <n v="2.72208413881985E-2"/>
  </r>
  <r>
    <x v="0"/>
    <x v="33"/>
    <x v="7"/>
    <x v="11"/>
    <s v="NO1_A1"/>
    <x v="13"/>
    <n v="29.633696768848399"/>
    <n v="8.2315824357912195"/>
  </r>
  <r>
    <x v="0"/>
    <x v="33"/>
    <x v="7"/>
    <x v="11"/>
    <s v="NO1_A1"/>
    <x v="14"/>
    <n v="29.633696768848399"/>
    <n v="8.2315824357912195"/>
  </r>
  <r>
    <x v="0"/>
    <x v="33"/>
    <x v="7"/>
    <x v="11"/>
    <s v="NO1_A1"/>
    <x v="15"/>
    <n v="1.65807589063794"/>
    <n v="0.46057663628831802"/>
  </r>
  <r>
    <x v="0"/>
    <x v="33"/>
    <x v="7"/>
    <x v="11"/>
    <s v="NO1_A1"/>
    <x v="16"/>
    <n v="6.4638978602906896"/>
    <n v="1.79552718341408"/>
  </r>
  <r>
    <x v="0"/>
    <x v="33"/>
    <x v="7"/>
    <x v="11"/>
    <s v="NO1_A1"/>
    <x v="17"/>
    <n v="9.1244895875632395"/>
    <n v="2.5345804409897901"/>
  </r>
  <r>
    <x v="0"/>
    <x v="33"/>
    <x v="7"/>
    <x v="11"/>
    <s v="NO1_A1"/>
    <x v="18"/>
    <n v="29.633696768848399"/>
    <n v="8.2315824357912195"/>
  </r>
  <r>
    <x v="0"/>
    <x v="33"/>
    <x v="7"/>
    <x v="11"/>
    <s v="NO1_A1"/>
    <x v="19"/>
    <n v="8.1139884009941898"/>
    <n v="2.2538856669428302"/>
  </r>
  <r>
    <x v="0"/>
    <x v="33"/>
    <x v="7"/>
    <x v="11"/>
    <s v="NO1_A1"/>
    <x v="20"/>
    <n v="22.109183021311601"/>
    <n v="6.1414397281420996"/>
  </r>
  <r>
    <x v="0"/>
    <x v="33"/>
    <x v="7"/>
    <x v="11"/>
    <s v="NO1_A1"/>
    <x v="21"/>
    <n v="48.24"/>
    <n v="13.4"/>
  </r>
  <r>
    <x v="0"/>
    <x v="33"/>
    <x v="7"/>
    <x v="11"/>
    <s v="NO1_A1"/>
    <x v="22"/>
    <n v="67.680000000000007"/>
    <n v="18.8"/>
  </r>
  <r>
    <x v="0"/>
    <x v="33"/>
    <x v="7"/>
    <x v="11"/>
    <s v="NO1_A1"/>
    <x v="23"/>
    <n v="0.31515896120488701"/>
    <n v="8.7544155890246306E-2"/>
  </r>
  <r>
    <x v="0"/>
    <x v="33"/>
    <x v="7"/>
    <x v="11"/>
    <s v="NO1_A1"/>
    <x v="24"/>
    <n v="19.174223581093901"/>
    <n v="5.32617321697054"/>
  </r>
  <r>
    <x v="0"/>
    <x v="33"/>
    <x v="7"/>
    <x v="11"/>
    <s v="NO1_A1"/>
    <x v="25"/>
    <n v="26.209507293842599"/>
    <n v="7.2804186927340497"/>
  </r>
  <r>
    <x v="0"/>
    <x v="33"/>
    <x v="7"/>
    <x v="11"/>
    <s v="NO1_A1"/>
    <x v="26"/>
    <n v="33.320887798496699"/>
    <n v="9.2558021662490795"/>
  </r>
  <r>
    <x v="0"/>
    <x v="33"/>
    <x v="7"/>
    <x v="11"/>
    <s v="NO1_A1"/>
    <x v="27"/>
    <n v="20.163995508318798"/>
    <n v="5.6011098634218799"/>
  </r>
  <r>
    <x v="0"/>
    <x v="33"/>
    <x v="7"/>
    <x v="11"/>
    <s v="NO1_A2"/>
    <x v="1"/>
    <n v="35.989199999999997"/>
    <n v="9.9969999999999999"/>
  </r>
  <r>
    <x v="0"/>
    <x v="33"/>
    <x v="7"/>
    <x v="11"/>
    <s v="NO1_A2"/>
    <x v="2"/>
    <n v="46.08"/>
    <n v="12.8"/>
  </r>
  <r>
    <x v="0"/>
    <x v="33"/>
    <x v="7"/>
    <x v="11"/>
    <s v="NO1_A2"/>
    <x v="0"/>
    <n v="42.692399999999999"/>
    <n v="11.859"/>
  </r>
  <r>
    <x v="0"/>
    <x v="33"/>
    <x v="7"/>
    <x v="11"/>
    <s v="NO1_A2"/>
    <x v="3"/>
    <n v="51.633543144067197"/>
    <n v="14.342650873352"/>
  </r>
  <r>
    <x v="0"/>
    <x v="33"/>
    <x v="7"/>
    <x v="11"/>
    <s v="NO1_A2"/>
    <x v="4"/>
    <n v="6.3500778790389401"/>
    <n v="1.76391052195526"/>
  </r>
  <r>
    <x v="0"/>
    <x v="33"/>
    <x v="7"/>
    <x v="11"/>
    <s v="NO1_A2"/>
    <x v="5"/>
    <n v="6.3500778790389401"/>
    <n v="1.76391052195526"/>
  </r>
  <r>
    <x v="0"/>
    <x v="33"/>
    <x v="7"/>
    <x v="11"/>
    <s v="NO1_A2"/>
    <x v="6"/>
    <n v="29.476231795214598"/>
    <n v="8.1878421653373898"/>
  </r>
  <r>
    <x v="0"/>
    <x v="33"/>
    <x v="7"/>
    <x v="11"/>
    <s v="NO1_A2"/>
    <x v="7"/>
    <n v="57.838935220261199"/>
    <n v="16.066370894517"/>
  </r>
  <r>
    <x v="0"/>
    <x v="33"/>
    <x v="7"/>
    <x v="11"/>
    <s v="NO1_A2"/>
    <x v="8"/>
    <n v="57.838935220261199"/>
    <n v="16.066370894517"/>
  </r>
  <r>
    <x v="0"/>
    <x v="33"/>
    <x v="7"/>
    <x v="11"/>
    <s v="NO1_A2"/>
    <x v="9"/>
    <n v="44.4505451532725"/>
    <n v="12.3473736536868"/>
  </r>
  <r>
    <x v="0"/>
    <x v="33"/>
    <x v="7"/>
    <x v="11"/>
    <s v="NO1_A2"/>
    <x v="10"/>
    <n v="53.975661971830903"/>
    <n v="14.993239436619699"/>
  </r>
  <r>
    <x v="0"/>
    <x v="33"/>
    <x v="7"/>
    <x v="11"/>
    <s v="NO1_A2"/>
    <x v="11"/>
    <n v="3.8806031483015802"/>
    <n v="1.07794531897266"/>
  </r>
  <r>
    <x v="0"/>
    <x v="33"/>
    <x v="7"/>
    <x v="11"/>
    <s v="NO1_A2"/>
    <x v="12"/>
    <n v="9.7995028997514597E-2"/>
    <n v="2.72208413881985E-2"/>
  </r>
  <r>
    <x v="0"/>
    <x v="33"/>
    <x v="7"/>
    <x v="11"/>
    <s v="NO1_A2"/>
    <x v="13"/>
    <n v="29.633696768848399"/>
    <n v="8.2315824357912195"/>
  </r>
  <r>
    <x v="0"/>
    <x v="33"/>
    <x v="7"/>
    <x v="11"/>
    <s v="NO1_A2"/>
    <x v="14"/>
    <n v="29.633696768848399"/>
    <n v="8.2315824357912195"/>
  </r>
  <r>
    <x v="0"/>
    <x v="33"/>
    <x v="7"/>
    <x v="11"/>
    <s v="NO1_A2"/>
    <x v="15"/>
    <n v="1.65807589063794"/>
    <n v="0.46057663628831802"/>
  </r>
  <r>
    <x v="0"/>
    <x v="33"/>
    <x v="7"/>
    <x v="11"/>
    <s v="NO1_A2"/>
    <x v="16"/>
    <n v="6.4638978602906896"/>
    <n v="1.79552718341408"/>
  </r>
  <r>
    <x v="0"/>
    <x v="33"/>
    <x v="7"/>
    <x v="11"/>
    <s v="NO1_A2"/>
    <x v="17"/>
    <n v="9.1244895875632395"/>
    <n v="2.5345804409897901"/>
  </r>
  <r>
    <x v="0"/>
    <x v="33"/>
    <x v="7"/>
    <x v="11"/>
    <s v="NO1_A2"/>
    <x v="18"/>
    <n v="29.633696768848399"/>
    <n v="8.2315824357912195"/>
  </r>
  <r>
    <x v="0"/>
    <x v="33"/>
    <x v="7"/>
    <x v="11"/>
    <s v="NO1_A2"/>
    <x v="19"/>
    <n v="8.1139884009941898"/>
    <n v="2.2538856669428302"/>
  </r>
  <r>
    <x v="0"/>
    <x v="33"/>
    <x v="7"/>
    <x v="11"/>
    <s v="NO1_A2"/>
    <x v="20"/>
    <n v="22.109183021311601"/>
    <n v="6.1414397281420996"/>
  </r>
  <r>
    <x v="0"/>
    <x v="33"/>
    <x v="7"/>
    <x v="11"/>
    <s v="NO1_A2"/>
    <x v="21"/>
    <n v="48.24"/>
    <n v="13.4"/>
  </r>
  <r>
    <x v="0"/>
    <x v="33"/>
    <x v="7"/>
    <x v="11"/>
    <s v="NO1_A2"/>
    <x v="22"/>
    <n v="67.680000000000007"/>
    <n v="18.8"/>
  </r>
  <r>
    <x v="0"/>
    <x v="33"/>
    <x v="7"/>
    <x v="11"/>
    <s v="NO1_A2"/>
    <x v="23"/>
    <n v="0.31515896120488701"/>
    <n v="8.7544155890246306E-2"/>
  </r>
  <r>
    <x v="0"/>
    <x v="33"/>
    <x v="7"/>
    <x v="11"/>
    <s v="NO1_A2"/>
    <x v="24"/>
    <n v="19.174223581093901"/>
    <n v="5.32617321697054"/>
  </r>
  <r>
    <x v="0"/>
    <x v="33"/>
    <x v="7"/>
    <x v="11"/>
    <s v="NO1_A2"/>
    <x v="25"/>
    <n v="26.209507293842599"/>
    <n v="7.2804186927340497"/>
  </r>
  <r>
    <x v="0"/>
    <x v="33"/>
    <x v="7"/>
    <x v="11"/>
    <s v="NO1_A2"/>
    <x v="26"/>
    <n v="33.320887798496699"/>
    <n v="9.2558021662490795"/>
  </r>
  <r>
    <x v="0"/>
    <x v="33"/>
    <x v="7"/>
    <x v="11"/>
    <s v="NO1_A2"/>
    <x v="27"/>
    <n v="20.163995508318798"/>
    <n v="5.6011098634218799"/>
  </r>
  <r>
    <x v="0"/>
    <x v="33"/>
    <x v="7"/>
    <x v="11"/>
    <s v="NO1_A3"/>
    <x v="1"/>
    <n v="35.989199999999997"/>
    <n v="9.9969999999999999"/>
  </r>
  <r>
    <x v="0"/>
    <x v="33"/>
    <x v="7"/>
    <x v="11"/>
    <s v="NO1_A3"/>
    <x v="2"/>
    <n v="46.08"/>
    <n v="12.8"/>
  </r>
  <r>
    <x v="0"/>
    <x v="33"/>
    <x v="7"/>
    <x v="11"/>
    <s v="NO1_A3"/>
    <x v="0"/>
    <n v="42.692399999999999"/>
    <n v="11.859"/>
  </r>
  <r>
    <x v="0"/>
    <x v="33"/>
    <x v="7"/>
    <x v="11"/>
    <s v="NO1_A3"/>
    <x v="3"/>
    <n v="51.633543144067197"/>
    <n v="14.342650873352"/>
  </r>
  <r>
    <x v="0"/>
    <x v="33"/>
    <x v="7"/>
    <x v="11"/>
    <s v="NO1_A3"/>
    <x v="4"/>
    <n v="6.3500778790389401"/>
    <n v="1.76391052195526"/>
  </r>
  <r>
    <x v="0"/>
    <x v="33"/>
    <x v="7"/>
    <x v="11"/>
    <s v="NO1_A3"/>
    <x v="5"/>
    <n v="6.3500778790389401"/>
    <n v="1.76391052195526"/>
  </r>
  <r>
    <x v="0"/>
    <x v="33"/>
    <x v="7"/>
    <x v="11"/>
    <s v="NO1_A3"/>
    <x v="6"/>
    <n v="29.476231795214598"/>
    <n v="8.1878421653373898"/>
  </r>
  <r>
    <x v="0"/>
    <x v="33"/>
    <x v="7"/>
    <x v="11"/>
    <s v="NO1_A3"/>
    <x v="7"/>
    <n v="57.838935220261199"/>
    <n v="16.066370894517"/>
  </r>
  <r>
    <x v="0"/>
    <x v="33"/>
    <x v="7"/>
    <x v="11"/>
    <s v="NO1_A3"/>
    <x v="8"/>
    <n v="57.838935220261199"/>
    <n v="16.066370894517"/>
  </r>
  <r>
    <x v="0"/>
    <x v="33"/>
    <x v="7"/>
    <x v="11"/>
    <s v="NO1_A3"/>
    <x v="9"/>
    <n v="44.4505451532725"/>
    <n v="12.3473736536868"/>
  </r>
  <r>
    <x v="0"/>
    <x v="33"/>
    <x v="7"/>
    <x v="11"/>
    <s v="NO1_A3"/>
    <x v="10"/>
    <n v="53.975661971830903"/>
    <n v="14.993239436619699"/>
  </r>
  <r>
    <x v="0"/>
    <x v="33"/>
    <x v="7"/>
    <x v="11"/>
    <s v="NO1_A3"/>
    <x v="11"/>
    <n v="3.8806031483015802"/>
    <n v="1.07794531897266"/>
  </r>
  <r>
    <x v="0"/>
    <x v="33"/>
    <x v="7"/>
    <x v="11"/>
    <s v="NO1_A3"/>
    <x v="12"/>
    <n v="9.7995028997514597E-2"/>
    <n v="2.72208413881985E-2"/>
  </r>
  <r>
    <x v="0"/>
    <x v="33"/>
    <x v="7"/>
    <x v="11"/>
    <s v="NO1_A3"/>
    <x v="13"/>
    <n v="29.633696768848399"/>
    <n v="8.2315824357912195"/>
  </r>
  <r>
    <x v="0"/>
    <x v="33"/>
    <x v="7"/>
    <x v="11"/>
    <s v="NO1_A3"/>
    <x v="14"/>
    <n v="29.633696768848399"/>
    <n v="8.2315824357912195"/>
  </r>
  <r>
    <x v="0"/>
    <x v="33"/>
    <x v="7"/>
    <x v="11"/>
    <s v="NO1_A3"/>
    <x v="15"/>
    <n v="1.65807589063794"/>
    <n v="0.46057663628831802"/>
  </r>
  <r>
    <x v="0"/>
    <x v="33"/>
    <x v="7"/>
    <x v="11"/>
    <s v="NO1_A3"/>
    <x v="16"/>
    <n v="6.4638978602906896"/>
    <n v="1.79552718341408"/>
  </r>
  <r>
    <x v="0"/>
    <x v="33"/>
    <x v="7"/>
    <x v="11"/>
    <s v="NO1_A3"/>
    <x v="17"/>
    <n v="9.1244895875632395"/>
    <n v="2.5345804409897901"/>
  </r>
  <r>
    <x v="0"/>
    <x v="33"/>
    <x v="7"/>
    <x v="11"/>
    <s v="NO1_A3"/>
    <x v="18"/>
    <n v="29.633696768848399"/>
    <n v="8.2315824357912195"/>
  </r>
  <r>
    <x v="0"/>
    <x v="33"/>
    <x v="7"/>
    <x v="11"/>
    <s v="NO1_A3"/>
    <x v="19"/>
    <n v="8.1139884009941898"/>
    <n v="2.2538856669428302"/>
  </r>
  <r>
    <x v="0"/>
    <x v="33"/>
    <x v="7"/>
    <x v="11"/>
    <s v="NO1_A3"/>
    <x v="20"/>
    <n v="22.109183021311601"/>
    <n v="6.1414397281420996"/>
  </r>
  <r>
    <x v="0"/>
    <x v="33"/>
    <x v="7"/>
    <x v="11"/>
    <s v="NO1_A3"/>
    <x v="21"/>
    <n v="48.24"/>
    <n v="13.4"/>
  </r>
  <r>
    <x v="0"/>
    <x v="33"/>
    <x v="7"/>
    <x v="11"/>
    <s v="NO1_A3"/>
    <x v="22"/>
    <n v="67.680000000000007"/>
    <n v="18.8"/>
  </r>
  <r>
    <x v="0"/>
    <x v="33"/>
    <x v="7"/>
    <x v="11"/>
    <s v="NO1_A3"/>
    <x v="23"/>
    <n v="0.31515896120488701"/>
    <n v="8.7544155890246306E-2"/>
  </r>
  <r>
    <x v="0"/>
    <x v="33"/>
    <x v="7"/>
    <x v="11"/>
    <s v="NO1_A3"/>
    <x v="24"/>
    <n v="19.174223581093901"/>
    <n v="5.32617321697054"/>
  </r>
  <r>
    <x v="0"/>
    <x v="33"/>
    <x v="7"/>
    <x v="11"/>
    <s v="NO1_A3"/>
    <x v="25"/>
    <n v="26.209507293842599"/>
    <n v="7.2804186927340497"/>
  </r>
  <r>
    <x v="0"/>
    <x v="33"/>
    <x v="7"/>
    <x v="11"/>
    <s v="NO1_A3"/>
    <x v="26"/>
    <n v="33.320887798496699"/>
    <n v="9.2558021662490795"/>
  </r>
  <r>
    <x v="0"/>
    <x v="33"/>
    <x v="7"/>
    <x v="11"/>
    <s v="NO1_A3"/>
    <x v="27"/>
    <n v="20.163995508318798"/>
    <n v="5.6011098634218799"/>
  </r>
  <r>
    <x v="0"/>
    <x v="33"/>
    <x v="7"/>
    <x v="11"/>
    <s v="NO1_Offshore"/>
    <x v="1"/>
    <n v="35.989199999999997"/>
    <n v="9.9969999999999999"/>
  </r>
  <r>
    <x v="0"/>
    <x v="33"/>
    <x v="7"/>
    <x v="11"/>
    <s v="NO1_Offshore"/>
    <x v="2"/>
    <n v="46.08"/>
    <n v="12.8"/>
  </r>
  <r>
    <x v="0"/>
    <x v="33"/>
    <x v="7"/>
    <x v="11"/>
    <s v="NO1_Offshore"/>
    <x v="0"/>
    <n v="42.692399999999999"/>
    <n v="11.859"/>
  </r>
  <r>
    <x v="0"/>
    <x v="33"/>
    <x v="7"/>
    <x v="11"/>
    <s v="NO1_Offshore"/>
    <x v="3"/>
    <n v="51.633543144067197"/>
    <n v="14.342650873352"/>
  </r>
  <r>
    <x v="0"/>
    <x v="33"/>
    <x v="7"/>
    <x v="11"/>
    <s v="NO1_Offshore"/>
    <x v="4"/>
    <n v="6.3500778790389401"/>
    <n v="1.76391052195526"/>
  </r>
  <r>
    <x v="0"/>
    <x v="33"/>
    <x v="7"/>
    <x v="11"/>
    <s v="NO1_Offshore"/>
    <x v="5"/>
    <n v="6.3500778790389401"/>
    <n v="1.76391052195526"/>
  </r>
  <r>
    <x v="0"/>
    <x v="33"/>
    <x v="7"/>
    <x v="11"/>
    <s v="NO1_Offshore"/>
    <x v="6"/>
    <n v="29.476231795214598"/>
    <n v="8.1878421653373898"/>
  </r>
  <r>
    <x v="0"/>
    <x v="33"/>
    <x v="7"/>
    <x v="11"/>
    <s v="NO1_Offshore"/>
    <x v="7"/>
    <n v="57.838935220261199"/>
    <n v="16.066370894517"/>
  </r>
  <r>
    <x v="0"/>
    <x v="33"/>
    <x v="7"/>
    <x v="11"/>
    <s v="NO1_Offshore"/>
    <x v="8"/>
    <n v="57.838935220261199"/>
    <n v="16.066370894517"/>
  </r>
  <r>
    <x v="0"/>
    <x v="33"/>
    <x v="7"/>
    <x v="11"/>
    <s v="NO1_Offshore"/>
    <x v="9"/>
    <n v="44.4505451532725"/>
    <n v="12.3473736536868"/>
  </r>
  <r>
    <x v="0"/>
    <x v="33"/>
    <x v="7"/>
    <x v="11"/>
    <s v="NO1_Offshore"/>
    <x v="10"/>
    <n v="53.975661971830903"/>
    <n v="14.993239436619699"/>
  </r>
  <r>
    <x v="0"/>
    <x v="33"/>
    <x v="7"/>
    <x v="11"/>
    <s v="NO1_Offshore"/>
    <x v="11"/>
    <n v="3.8806031483015802"/>
    <n v="1.07794531897266"/>
  </r>
  <r>
    <x v="0"/>
    <x v="33"/>
    <x v="7"/>
    <x v="11"/>
    <s v="NO1_Offshore"/>
    <x v="12"/>
    <n v="9.7995028997514597E-2"/>
    <n v="2.72208413881985E-2"/>
  </r>
  <r>
    <x v="0"/>
    <x v="33"/>
    <x v="7"/>
    <x v="11"/>
    <s v="NO1_Offshore"/>
    <x v="13"/>
    <n v="29.633696768848399"/>
    <n v="8.2315824357912195"/>
  </r>
  <r>
    <x v="0"/>
    <x v="33"/>
    <x v="7"/>
    <x v="11"/>
    <s v="NO1_Offshore"/>
    <x v="14"/>
    <n v="29.633696768848399"/>
    <n v="8.2315824357912195"/>
  </r>
  <r>
    <x v="0"/>
    <x v="33"/>
    <x v="7"/>
    <x v="11"/>
    <s v="NO1_Offshore"/>
    <x v="15"/>
    <n v="1.65807589063794"/>
    <n v="0.46057663628831802"/>
  </r>
  <r>
    <x v="0"/>
    <x v="33"/>
    <x v="7"/>
    <x v="11"/>
    <s v="NO1_Offshore"/>
    <x v="16"/>
    <n v="6.4638978602906896"/>
    <n v="1.79552718341408"/>
  </r>
  <r>
    <x v="0"/>
    <x v="33"/>
    <x v="7"/>
    <x v="11"/>
    <s v="NO1_Offshore"/>
    <x v="17"/>
    <n v="9.1244895875632395"/>
    <n v="2.5345804409897901"/>
  </r>
  <r>
    <x v="0"/>
    <x v="33"/>
    <x v="7"/>
    <x v="11"/>
    <s v="NO1_Offshore"/>
    <x v="18"/>
    <n v="29.633696768848399"/>
    <n v="8.2315824357912195"/>
  </r>
  <r>
    <x v="0"/>
    <x v="33"/>
    <x v="7"/>
    <x v="11"/>
    <s v="NO1_Offshore"/>
    <x v="19"/>
    <n v="8.1139884009941898"/>
    <n v="2.2538856669428302"/>
  </r>
  <r>
    <x v="0"/>
    <x v="33"/>
    <x v="7"/>
    <x v="11"/>
    <s v="NO1_Offshore"/>
    <x v="20"/>
    <n v="22.109183021311601"/>
    <n v="6.1414397281420996"/>
  </r>
  <r>
    <x v="0"/>
    <x v="33"/>
    <x v="7"/>
    <x v="11"/>
    <s v="NO1_Offshore"/>
    <x v="21"/>
    <n v="48.24"/>
    <n v="13.4"/>
  </r>
  <r>
    <x v="0"/>
    <x v="33"/>
    <x v="7"/>
    <x v="11"/>
    <s v="NO1_Offshore"/>
    <x v="22"/>
    <n v="67.680000000000007"/>
    <n v="18.8"/>
  </r>
  <r>
    <x v="0"/>
    <x v="33"/>
    <x v="7"/>
    <x v="11"/>
    <s v="NO1_Offshore"/>
    <x v="23"/>
    <n v="0.31515896120488701"/>
    <n v="8.7544155890246306E-2"/>
  </r>
  <r>
    <x v="0"/>
    <x v="33"/>
    <x v="7"/>
    <x v="11"/>
    <s v="NO1_Offshore"/>
    <x v="24"/>
    <n v="19.174223581093901"/>
    <n v="5.32617321697054"/>
  </r>
  <r>
    <x v="0"/>
    <x v="33"/>
    <x v="7"/>
    <x v="11"/>
    <s v="NO1_Offshore"/>
    <x v="25"/>
    <n v="26.209507293842599"/>
    <n v="7.2804186927340497"/>
  </r>
  <r>
    <x v="0"/>
    <x v="33"/>
    <x v="7"/>
    <x v="11"/>
    <s v="NO1_Offshore"/>
    <x v="26"/>
    <n v="33.320887798496699"/>
    <n v="9.2558021662490795"/>
  </r>
  <r>
    <x v="0"/>
    <x v="33"/>
    <x v="7"/>
    <x v="11"/>
    <s v="NO1_Offshore"/>
    <x v="27"/>
    <n v="20.163995508318798"/>
    <n v="5.6011098634218799"/>
  </r>
  <r>
    <x v="0"/>
    <x v="33"/>
    <x v="7"/>
    <x v="12"/>
    <s v="NO2_A1"/>
    <x v="1"/>
    <n v="35.989199999999997"/>
    <n v="9.9969999999999999"/>
  </r>
  <r>
    <x v="0"/>
    <x v="33"/>
    <x v="7"/>
    <x v="12"/>
    <s v="NO2_A1"/>
    <x v="2"/>
    <n v="46.08"/>
    <n v="12.8"/>
  </r>
  <r>
    <x v="0"/>
    <x v="33"/>
    <x v="7"/>
    <x v="12"/>
    <s v="NO2_A1"/>
    <x v="0"/>
    <n v="42.692399999999999"/>
    <n v="11.859"/>
  </r>
  <r>
    <x v="0"/>
    <x v="33"/>
    <x v="7"/>
    <x v="12"/>
    <s v="NO2_A1"/>
    <x v="3"/>
    <n v="51.633543144067197"/>
    <n v="14.342650873352"/>
  </r>
  <r>
    <x v="0"/>
    <x v="33"/>
    <x v="7"/>
    <x v="12"/>
    <s v="NO2_A1"/>
    <x v="4"/>
    <n v="6.3500778790389401"/>
    <n v="1.76391052195526"/>
  </r>
  <r>
    <x v="0"/>
    <x v="33"/>
    <x v="7"/>
    <x v="12"/>
    <s v="NO2_A1"/>
    <x v="5"/>
    <n v="6.3500778790389401"/>
    <n v="1.76391052195526"/>
  </r>
  <r>
    <x v="0"/>
    <x v="33"/>
    <x v="7"/>
    <x v="12"/>
    <s v="NO2_A1"/>
    <x v="6"/>
    <n v="29.476231795214598"/>
    <n v="8.1878421653373898"/>
  </r>
  <r>
    <x v="0"/>
    <x v="33"/>
    <x v="7"/>
    <x v="12"/>
    <s v="NO2_A1"/>
    <x v="7"/>
    <n v="57.838935220261199"/>
    <n v="16.066370894517"/>
  </r>
  <r>
    <x v="0"/>
    <x v="33"/>
    <x v="7"/>
    <x v="12"/>
    <s v="NO2_A1"/>
    <x v="8"/>
    <n v="57.838935220261199"/>
    <n v="16.066370894517"/>
  </r>
  <r>
    <x v="0"/>
    <x v="33"/>
    <x v="7"/>
    <x v="12"/>
    <s v="NO2_A1"/>
    <x v="9"/>
    <n v="44.4505451532725"/>
    <n v="12.3473736536868"/>
  </r>
  <r>
    <x v="0"/>
    <x v="33"/>
    <x v="7"/>
    <x v="12"/>
    <s v="NO2_A1"/>
    <x v="10"/>
    <n v="53.975661971830903"/>
    <n v="14.993239436619699"/>
  </r>
  <r>
    <x v="0"/>
    <x v="33"/>
    <x v="7"/>
    <x v="12"/>
    <s v="NO2_A1"/>
    <x v="11"/>
    <n v="3.8806031483015802"/>
    <n v="1.07794531897266"/>
  </r>
  <r>
    <x v="0"/>
    <x v="33"/>
    <x v="7"/>
    <x v="12"/>
    <s v="NO2_A1"/>
    <x v="12"/>
    <n v="9.7995028997514597E-2"/>
    <n v="2.72208413881985E-2"/>
  </r>
  <r>
    <x v="0"/>
    <x v="33"/>
    <x v="7"/>
    <x v="12"/>
    <s v="NO2_A1"/>
    <x v="13"/>
    <n v="29.633696768848399"/>
    <n v="8.2315824357912195"/>
  </r>
  <r>
    <x v="0"/>
    <x v="33"/>
    <x v="7"/>
    <x v="12"/>
    <s v="NO2_A1"/>
    <x v="14"/>
    <n v="29.633696768848399"/>
    <n v="8.2315824357912195"/>
  </r>
  <r>
    <x v="0"/>
    <x v="33"/>
    <x v="7"/>
    <x v="12"/>
    <s v="NO2_A1"/>
    <x v="15"/>
    <n v="1.65807589063794"/>
    <n v="0.46057663628831802"/>
  </r>
  <r>
    <x v="0"/>
    <x v="33"/>
    <x v="7"/>
    <x v="12"/>
    <s v="NO2_A1"/>
    <x v="16"/>
    <n v="6.4638978602906896"/>
    <n v="1.79552718341408"/>
  </r>
  <r>
    <x v="0"/>
    <x v="33"/>
    <x v="7"/>
    <x v="12"/>
    <s v="NO2_A1"/>
    <x v="17"/>
    <n v="9.1244895875632395"/>
    <n v="2.5345804409897901"/>
  </r>
  <r>
    <x v="0"/>
    <x v="33"/>
    <x v="7"/>
    <x v="12"/>
    <s v="NO2_A1"/>
    <x v="18"/>
    <n v="29.633696768848399"/>
    <n v="8.2315824357912195"/>
  </r>
  <r>
    <x v="0"/>
    <x v="33"/>
    <x v="7"/>
    <x v="12"/>
    <s v="NO2_A1"/>
    <x v="19"/>
    <n v="8.1139884009941898"/>
    <n v="2.2538856669428302"/>
  </r>
  <r>
    <x v="0"/>
    <x v="33"/>
    <x v="7"/>
    <x v="12"/>
    <s v="NO2_A1"/>
    <x v="20"/>
    <n v="22.109183021311601"/>
    <n v="6.1414397281420996"/>
  </r>
  <r>
    <x v="0"/>
    <x v="33"/>
    <x v="7"/>
    <x v="12"/>
    <s v="NO2_A1"/>
    <x v="21"/>
    <n v="48.24"/>
    <n v="13.4"/>
  </r>
  <r>
    <x v="0"/>
    <x v="33"/>
    <x v="7"/>
    <x v="12"/>
    <s v="NO2_A1"/>
    <x v="22"/>
    <n v="67.680000000000007"/>
    <n v="18.8"/>
  </r>
  <r>
    <x v="0"/>
    <x v="33"/>
    <x v="7"/>
    <x v="12"/>
    <s v="NO2_A1"/>
    <x v="23"/>
    <n v="0.31515896120488701"/>
    <n v="8.7544155890246306E-2"/>
  </r>
  <r>
    <x v="0"/>
    <x v="33"/>
    <x v="7"/>
    <x v="12"/>
    <s v="NO2_A1"/>
    <x v="24"/>
    <n v="19.174223581093901"/>
    <n v="5.32617321697054"/>
  </r>
  <r>
    <x v="0"/>
    <x v="33"/>
    <x v="7"/>
    <x v="12"/>
    <s v="NO2_A1"/>
    <x v="25"/>
    <n v="26.209507293842599"/>
    <n v="7.2804186927340497"/>
  </r>
  <r>
    <x v="0"/>
    <x v="33"/>
    <x v="7"/>
    <x v="12"/>
    <s v="NO2_A1"/>
    <x v="26"/>
    <n v="33.320887798496699"/>
    <n v="9.2558021662490795"/>
  </r>
  <r>
    <x v="0"/>
    <x v="33"/>
    <x v="7"/>
    <x v="12"/>
    <s v="NO2_A1"/>
    <x v="27"/>
    <n v="20.163995508318798"/>
    <n v="5.6011098634218799"/>
  </r>
  <r>
    <x v="0"/>
    <x v="33"/>
    <x v="7"/>
    <x v="12"/>
    <s v="NO2_A2"/>
    <x v="1"/>
    <n v="35.989199999999997"/>
    <n v="9.9969999999999999"/>
  </r>
  <r>
    <x v="0"/>
    <x v="33"/>
    <x v="7"/>
    <x v="12"/>
    <s v="NO2_A2"/>
    <x v="2"/>
    <n v="46.08"/>
    <n v="12.8"/>
  </r>
  <r>
    <x v="0"/>
    <x v="33"/>
    <x v="7"/>
    <x v="12"/>
    <s v="NO2_A2"/>
    <x v="0"/>
    <n v="42.692399999999999"/>
    <n v="11.859"/>
  </r>
  <r>
    <x v="0"/>
    <x v="33"/>
    <x v="7"/>
    <x v="12"/>
    <s v="NO2_A2"/>
    <x v="3"/>
    <n v="51.633543144067197"/>
    <n v="14.342650873352"/>
  </r>
  <r>
    <x v="0"/>
    <x v="33"/>
    <x v="7"/>
    <x v="12"/>
    <s v="NO2_A2"/>
    <x v="4"/>
    <n v="6.3500778790389401"/>
    <n v="1.76391052195526"/>
  </r>
  <r>
    <x v="0"/>
    <x v="33"/>
    <x v="7"/>
    <x v="12"/>
    <s v="NO2_A2"/>
    <x v="5"/>
    <n v="6.3500778790389401"/>
    <n v="1.76391052195526"/>
  </r>
  <r>
    <x v="0"/>
    <x v="33"/>
    <x v="7"/>
    <x v="12"/>
    <s v="NO2_A2"/>
    <x v="6"/>
    <n v="29.476231795214598"/>
    <n v="8.1878421653373898"/>
  </r>
  <r>
    <x v="0"/>
    <x v="33"/>
    <x v="7"/>
    <x v="12"/>
    <s v="NO2_A2"/>
    <x v="7"/>
    <n v="57.838935220261199"/>
    <n v="16.066370894517"/>
  </r>
  <r>
    <x v="0"/>
    <x v="33"/>
    <x v="7"/>
    <x v="12"/>
    <s v="NO2_A2"/>
    <x v="8"/>
    <n v="57.838935220261199"/>
    <n v="16.066370894517"/>
  </r>
  <r>
    <x v="0"/>
    <x v="33"/>
    <x v="7"/>
    <x v="12"/>
    <s v="NO2_A2"/>
    <x v="9"/>
    <n v="44.4505451532725"/>
    <n v="12.3473736536868"/>
  </r>
  <r>
    <x v="0"/>
    <x v="33"/>
    <x v="7"/>
    <x v="12"/>
    <s v="NO2_A2"/>
    <x v="10"/>
    <n v="53.975661971830903"/>
    <n v="14.993239436619699"/>
  </r>
  <r>
    <x v="0"/>
    <x v="33"/>
    <x v="7"/>
    <x v="12"/>
    <s v="NO2_A2"/>
    <x v="11"/>
    <n v="3.8806031483015802"/>
    <n v="1.07794531897266"/>
  </r>
  <r>
    <x v="0"/>
    <x v="33"/>
    <x v="7"/>
    <x v="12"/>
    <s v="NO2_A2"/>
    <x v="12"/>
    <n v="9.7995028997514597E-2"/>
    <n v="2.72208413881985E-2"/>
  </r>
  <r>
    <x v="0"/>
    <x v="33"/>
    <x v="7"/>
    <x v="12"/>
    <s v="NO2_A2"/>
    <x v="13"/>
    <n v="29.633696768848399"/>
    <n v="8.2315824357912195"/>
  </r>
  <r>
    <x v="0"/>
    <x v="33"/>
    <x v="7"/>
    <x v="12"/>
    <s v="NO2_A2"/>
    <x v="14"/>
    <n v="29.633696768848399"/>
    <n v="8.2315824357912195"/>
  </r>
  <r>
    <x v="0"/>
    <x v="33"/>
    <x v="7"/>
    <x v="12"/>
    <s v="NO2_A2"/>
    <x v="15"/>
    <n v="1.65807589063794"/>
    <n v="0.46057663628831802"/>
  </r>
  <r>
    <x v="0"/>
    <x v="33"/>
    <x v="7"/>
    <x v="12"/>
    <s v="NO2_A2"/>
    <x v="16"/>
    <n v="6.4638978602906896"/>
    <n v="1.79552718341408"/>
  </r>
  <r>
    <x v="0"/>
    <x v="33"/>
    <x v="7"/>
    <x v="12"/>
    <s v="NO2_A2"/>
    <x v="17"/>
    <n v="9.1244895875632395"/>
    <n v="2.5345804409897901"/>
  </r>
  <r>
    <x v="0"/>
    <x v="33"/>
    <x v="7"/>
    <x v="12"/>
    <s v="NO2_A2"/>
    <x v="18"/>
    <n v="29.633696768848399"/>
    <n v="8.2315824357912195"/>
  </r>
  <r>
    <x v="0"/>
    <x v="33"/>
    <x v="7"/>
    <x v="12"/>
    <s v="NO2_A2"/>
    <x v="19"/>
    <n v="8.1139884009941898"/>
    <n v="2.2538856669428302"/>
  </r>
  <r>
    <x v="0"/>
    <x v="33"/>
    <x v="7"/>
    <x v="12"/>
    <s v="NO2_A2"/>
    <x v="20"/>
    <n v="22.109183021311601"/>
    <n v="6.1414397281420996"/>
  </r>
  <r>
    <x v="0"/>
    <x v="33"/>
    <x v="7"/>
    <x v="12"/>
    <s v="NO2_A2"/>
    <x v="21"/>
    <n v="48.24"/>
    <n v="13.4"/>
  </r>
  <r>
    <x v="0"/>
    <x v="33"/>
    <x v="7"/>
    <x v="12"/>
    <s v="NO2_A2"/>
    <x v="22"/>
    <n v="67.680000000000007"/>
    <n v="18.8"/>
  </r>
  <r>
    <x v="0"/>
    <x v="33"/>
    <x v="7"/>
    <x v="12"/>
    <s v="NO2_A2"/>
    <x v="23"/>
    <n v="0.31515896120488701"/>
    <n v="8.7544155890246306E-2"/>
  </r>
  <r>
    <x v="0"/>
    <x v="33"/>
    <x v="7"/>
    <x v="12"/>
    <s v="NO2_A2"/>
    <x v="24"/>
    <n v="19.174223581093901"/>
    <n v="5.32617321697054"/>
  </r>
  <r>
    <x v="0"/>
    <x v="33"/>
    <x v="7"/>
    <x v="12"/>
    <s v="NO2_A2"/>
    <x v="25"/>
    <n v="26.209507293842599"/>
    <n v="7.2804186927340497"/>
  </r>
  <r>
    <x v="0"/>
    <x v="33"/>
    <x v="7"/>
    <x v="12"/>
    <s v="NO2_A2"/>
    <x v="26"/>
    <n v="33.320887798496699"/>
    <n v="9.2558021662490795"/>
  </r>
  <r>
    <x v="0"/>
    <x v="33"/>
    <x v="7"/>
    <x v="12"/>
    <s v="NO2_A2"/>
    <x v="27"/>
    <n v="20.163995508318798"/>
    <n v="5.6011098634218799"/>
  </r>
  <r>
    <x v="0"/>
    <x v="33"/>
    <x v="7"/>
    <x v="12"/>
    <s v="NO2_Offshore"/>
    <x v="1"/>
    <n v="35.989199999999997"/>
    <n v="9.9969999999999999"/>
  </r>
  <r>
    <x v="0"/>
    <x v="33"/>
    <x v="7"/>
    <x v="12"/>
    <s v="NO2_Offshore"/>
    <x v="2"/>
    <n v="46.08"/>
    <n v="12.8"/>
  </r>
  <r>
    <x v="0"/>
    <x v="33"/>
    <x v="7"/>
    <x v="12"/>
    <s v="NO2_Offshore"/>
    <x v="0"/>
    <n v="42.692399999999999"/>
    <n v="11.859"/>
  </r>
  <r>
    <x v="0"/>
    <x v="33"/>
    <x v="7"/>
    <x v="12"/>
    <s v="NO2_Offshore"/>
    <x v="3"/>
    <n v="51.633543144067197"/>
    <n v="14.342650873352"/>
  </r>
  <r>
    <x v="0"/>
    <x v="33"/>
    <x v="7"/>
    <x v="12"/>
    <s v="NO2_Offshore"/>
    <x v="4"/>
    <n v="6.3500778790389401"/>
    <n v="1.76391052195526"/>
  </r>
  <r>
    <x v="0"/>
    <x v="33"/>
    <x v="7"/>
    <x v="12"/>
    <s v="NO2_Offshore"/>
    <x v="5"/>
    <n v="6.3500778790389401"/>
    <n v="1.76391052195526"/>
  </r>
  <r>
    <x v="0"/>
    <x v="33"/>
    <x v="7"/>
    <x v="12"/>
    <s v="NO2_Offshore"/>
    <x v="6"/>
    <n v="29.476231795214598"/>
    <n v="8.1878421653373898"/>
  </r>
  <r>
    <x v="0"/>
    <x v="33"/>
    <x v="7"/>
    <x v="12"/>
    <s v="NO2_Offshore"/>
    <x v="7"/>
    <n v="57.838935220261199"/>
    <n v="16.066370894517"/>
  </r>
  <r>
    <x v="0"/>
    <x v="33"/>
    <x v="7"/>
    <x v="12"/>
    <s v="NO2_Offshore"/>
    <x v="8"/>
    <n v="57.838935220261199"/>
    <n v="16.066370894517"/>
  </r>
  <r>
    <x v="0"/>
    <x v="33"/>
    <x v="7"/>
    <x v="12"/>
    <s v="NO2_Offshore"/>
    <x v="9"/>
    <n v="44.4505451532725"/>
    <n v="12.3473736536868"/>
  </r>
  <r>
    <x v="0"/>
    <x v="33"/>
    <x v="7"/>
    <x v="12"/>
    <s v="NO2_Offshore"/>
    <x v="10"/>
    <n v="53.975661971830903"/>
    <n v="14.993239436619699"/>
  </r>
  <r>
    <x v="0"/>
    <x v="33"/>
    <x v="7"/>
    <x v="12"/>
    <s v="NO2_Offshore"/>
    <x v="11"/>
    <n v="3.8806031483015802"/>
    <n v="1.07794531897266"/>
  </r>
  <r>
    <x v="0"/>
    <x v="33"/>
    <x v="7"/>
    <x v="12"/>
    <s v="NO2_Offshore"/>
    <x v="12"/>
    <n v="9.7995028997514597E-2"/>
    <n v="2.72208413881985E-2"/>
  </r>
  <r>
    <x v="0"/>
    <x v="33"/>
    <x v="7"/>
    <x v="12"/>
    <s v="NO2_Offshore"/>
    <x v="13"/>
    <n v="29.633696768848399"/>
    <n v="8.2315824357912195"/>
  </r>
  <r>
    <x v="0"/>
    <x v="33"/>
    <x v="7"/>
    <x v="12"/>
    <s v="NO2_Offshore"/>
    <x v="14"/>
    <n v="29.633696768848399"/>
    <n v="8.2315824357912195"/>
  </r>
  <r>
    <x v="0"/>
    <x v="33"/>
    <x v="7"/>
    <x v="12"/>
    <s v="NO2_Offshore"/>
    <x v="15"/>
    <n v="1.65807589063794"/>
    <n v="0.46057663628831802"/>
  </r>
  <r>
    <x v="0"/>
    <x v="33"/>
    <x v="7"/>
    <x v="12"/>
    <s v="NO2_Offshore"/>
    <x v="16"/>
    <n v="6.4638978602906896"/>
    <n v="1.79552718341408"/>
  </r>
  <r>
    <x v="0"/>
    <x v="33"/>
    <x v="7"/>
    <x v="12"/>
    <s v="NO2_Offshore"/>
    <x v="17"/>
    <n v="9.1244895875632395"/>
    <n v="2.5345804409897901"/>
  </r>
  <r>
    <x v="0"/>
    <x v="33"/>
    <x v="7"/>
    <x v="12"/>
    <s v="NO2_Offshore"/>
    <x v="18"/>
    <n v="29.633696768848399"/>
    <n v="8.2315824357912195"/>
  </r>
  <r>
    <x v="0"/>
    <x v="33"/>
    <x v="7"/>
    <x v="12"/>
    <s v="NO2_Offshore"/>
    <x v="19"/>
    <n v="8.1139884009941898"/>
    <n v="2.2538856669428302"/>
  </r>
  <r>
    <x v="0"/>
    <x v="33"/>
    <x v="7"/>
    <x v="12"/>
    <s v="NO2_Offshore"/>
    <x v="20"/>
    <n v="22.109183021311601"/>
    <n v="6.1414397281420996"/>
  </r>
  <r>
    <x v="0"/>
    <x v="33"/>
    <x v="7"/>
    <x v="12"/>
    <s v="NO2_Offshore"/>
    <x v="21"/>
    <n v="48.24"/>
    <n v="13.4"/>
  </r>
  <r>
    <x v="0"/>
    <x v="33"/>
    <x v="7"/>
    <x v="12"/>
    <s v="NO2_Offshore"/>
    <x v="22"/>
    <n v="67.680000000000007"/>
    <n v="18.8"/>
  </r>
  <r>
    <x v="0"/>
    <x v="33"/>
    <x v="7"/>
    <x v="12"/>
    <s v="NO2_Offshore"/>
    <x v="23"/>
    <n v="0.31515896120488701"/>
    <n v="8.7544155890246306E-2"/>
  </r>
  <r>
    <x v="0"/>
    <x v="33"/>
    <x v="7"/>
    <x v="12"/>
    <s v="NO2_Offshore"/>
    <x v="24"/>
    <n v="19.174223581093901"/>
    <n v="5.32617321697054"/>
  </r>
  <r>
    <x v="0"/>
    <x v="33"/>
    <x v="7"/>
    <x v="12"/>
    <s v="NO2_Offshore"/>
    <x v="25"/>
    <n v="26.209507293842599"/>
    <n v="7.2804186927340497"/>
  </r>
  <r>
    <x v="0"/>
    <x v="33"/>
    <x v="7"/>
    <x v="12"/>
    <s v="NO2_Offshore"/>
    <x v="26"/>
    <n v="33.320887798496699"/>
    <n v="9.2558021662490795"/>
  </r>
  <r>
    <x v="0"/>
    <x v="33"/>
    <x v="7"/>
    <x v="12"/>
    <s v="NO2_Offshore"/>
    <x v="27"/>
    <n v="20.163995508318798"/>
    <n v="5.6011098634218799"/>
  </r>
  <r>
    <x v="0"/>
    <x v="33"/>
    <x v="7"/>
    <x v="13"/>
    <s v="NO3_A1"/>
    <x v="1"/>
    <n v="35.989199999999997"/>
    <n v="9.9969999999999999"/>
  </r>
  <r>
    <x v="0"/>
    <x v="33"/>
    <x v="7"/>
    <x v="13"/>
    <s v="NO3_A1"/>
    <x v="2"/>
    <n v="46.08"/>
    <n v="12.8"/>
  </r>
  <r>
    <x v="0"/>
    <x v="33"/>
    <x v="7"/>
    <x v="13"/>
    <s v="NO3_A1"/>
    <x v="0"/>
    <n v="42.692399999999999"/>
    <n v="11.859"/>
  </r>
  <r>
    <x v="0"/>
    <x v="33"/>
    <x v="7"/>
    <x v="13"/>
    <s v="NO3_A1"/>
    <x v="3"/>
    <n v="51.633543144067197"/>
    <n v="14.342650873352"/>
  </r>
  <r>
    <x v="0"/>
    <x v="33"/>
    <x v="7"/>
    <x v="13"/>
    <s v="NO3_A1"/>
    <x v="4"/>
    <n v="6.3500778790389401"/>
    <n v="1.76391052195526"/>
  </r>
  <r>
    <x v="0"/>
    <x v="33"/>
    <x v="7"/>
    <x v="13"/>
    <s v="NO3_A1"/>
    <x v="5"/>
    <n v="6.3500778790389401"/>
    <n v="1.76391052195526"/>
  </r>
  <r>
    <x v="0"/>
    <x v="33"/>
    <x v="7"/>
    <x v="13"/>
    <s v="NO3_A1"/>
    <x v="6"/>
    <n v="29.476231795214598"/>
    <n v="8.1878421653373898"/>
  </r>
  <r>
    <x v="0"/>
    <x v="33"/>
    <x v="7"/>
    <x v="13"/>
    <s v="NO3_A1"/>
    <x v="7"/>
    <n v="57.838935220261199"/>
    <n v="16.066370894517"/>
  </r>
  <r>
    <x v="0"/>
    <x v="33"/>
    <x v="7"/>
    <x v="13"/>
    <s v="NO3_A1"/>
    <x v="8"/>
    <n v="57.838935220261199"/>
    <n v="16.066370894517"/>
  </r>
  <r>
    <x v="0"/>
    <x v="33"/>
    <x v="7"/>
    <x v="13"/>
    <s v="NO3_A1"/>
    <x v="9"/>
    <n v="44.4505451532725"/>
    <n v="12.3473736536868"/>
  </r>
  <r>
    <x v="0"/>
    <x v="33"/>
    <x v="7"/>
    <x v="13"/>
    <s v="NO3_A1"/>
    <x v="10"/>
    <n v="53.975661971830903"/>
    <n v="14.993239436619699"/>
  </r>
  <r>
    <x v="0"/>
    <x v="33"/>
    <x v="7"/>
    <x v="13"/>
    <s v="NO3_A1"/>
    <x v="11"/>
    <n v="3.8806031483015802"/>
    <n v="1.07794531897266"/>
  </r>
  <r>
    <x v="0"/>
    <x v="33"/>
    <x v="7"/>
    <x v="13"/>
    <s v="NO3_A1"/>
    <x v="12"/>
    <n v="9.7995028997514597E-2"/>
    <n v="2.72208413881985E-2"/>
  </r>
  <r>
    <x v="0"/>
    <x v="33"/>
    <x v="7"/>
    <x v="13"/>
    <s v="NO3_A1"/>
    <x v="13"/>
    <n v="29.633696768848399"/>
    <n v="8.2315824357912195"/>
  </r>
  <r>
    <x v="0"/>
    <x v="33"/>
    <x v="7"/>
    <x v="13"/>
    <s v="NO3_A1"/>
    <x v="14"/>
    <n v="29.633696768848399"/>
    <n v="8.2315824357912195"/>
  </r>
  <r>
    <x v="0"/>
    <x v="33"/>
    <x v="7"/>
    <x v="13"/>
    <s v="NO3_A1"/>
    <x v="15"/>
    <n v="1.65807589063794"/>
    <n v="0.46057663628831802"/>
  </r>
  <r>
    <x v="0"/>
    <x v="33"/>
    <x v="7"/>
    <x v="13"/>
    <s v="NO3_A1"/>
    <x v="16"/>
    <n v="6.4638978602906896"/>
    <n v="1.79552718341408"/>
  </r>
  <r>
    <x v="0"/>
    <x v="33"/>
    <x v="7"/>
    <x v="13"/>
    <s v="NO3_A1"/>
    <x v="17"/>
    <n v="9.1244895875632395"/>
    <n v="2.5345804409897901"/>
  </r>
  <r>
    <x v="0"/>
    <x v="33"/>
    <x v="7"/>
    <x v="13"/>
    <s v="NO3_A1"/>
    <x v="18"/>
    <n v="29.633696768848399"/>
    <n v="8.2315824357912195"/>
  </r>
  <r>
    <x v="0"/>
    <x v="33"/>
    <x v="7"/>
    <x v="13"/>
    <s v="NO3_A1"/>
    <x v="19"/>
    <n v="8.1139884009941898"/>
    <n v="2.2538856669428302"/>
  </r>
  <r>
    <x v="0"/>
    <x v="33"/>
    <x v="7"/>
    <x v="13"/>
    <s v="NO3_A1"/>
    <x v="20"/>
    <n v="22.109183021311601"/>
    <n v="6.1414397281420996"/>
  </r>
  <r>
    <x v="0"/>
    <x v="33"/>
    <x v="7"/>
    <x v="13"/>
    <s v="NO3_A1"/>
    <x v="21"/>
    <n v="48.24"/>
    <n v="13.4"/>
  </r>
  <r>
    <x v="0"/>
    <x v="33"/>
    <x v="7"/>
    <x v="13"/>
    <s v="NO3_A1"/>
    <x v="22"/>
    <n v="67.680000000000007"/>
    <n v="18.8"/>
  </r>
  <r>
    <x v="0"/>
    <x v="33"/>
    <x v="7"/>
    <x v="13"/>
    <s v="NO3_A1"/>
    <x v="23"/>
    <n v="0.31515896120488701"/>
    <n v="8.7544155890246306E-2"/>
  </r>
  <r>
    <x v="0"/>
    <x v="33"/>
    <x v="7"/>
    <x v="13"/>
    <s v="NO3_A1"/>
    <x v="24"/>
    <n v="19.174223581093901"/>
    <n v="5.32617321697054"/>
  </r>
  <r>
    <x v="0"/>
    <x v="33"/>
    <x v="7"/>
    <x v="13"/>
    <s v="NO3_A1"/>
    <x v="25"/>
    <n v="26.209507293842599"/>
    <n v="7.2804186927340497"/>
  </r>
  <r>
    <x v="0"/>
    <x v="33"/>
    <x v="7"/>
    <x v="13"/>
    <s v="NO3_A1"/>
    <x v="26"/>
    <n v="33.320887798496699"/>
    <n v="9.2558021662490795"/>
  </r>
  <r>
    <x v="0"/>
    <x v="33"/>
    <x v="7"/>
    <x v="13"/>
    <s v="NO3_A1"/>
    <x v="27"/>
    <n v="20.163995508318798"/>
    <n v="5.6011098634218799"/>
  </r>
  <r>
    <x v="0"/>
    <x v="33"/>
    <x v="7"/>
    <x v="13"/>
    <s v="NO3_A2"/>
    <x v="1"/>
    <n v="35.989199999999997"/>
    <n v="9.9969999999999999"/>
  </r>
  <r>
    <x v="0"/>
    <x v="33"/>
    <x v="7"/>
    <x v="13"/>
    <s v="NO3_A2"/>
    <x v="2"/>
    <n v="46.08"/>
    <n v="12.8"/>
  </r>
  <r>
    <x v="0"/>
    <x v="33"/>
    <x v="7"/>
    <x v="13"/>
    <s v="NO3_A2"/>
    <x v="0"/>
    <n v="42.692399999999999"/>
    <n v="11.859"/>
  </r>
  <r>
    <x v="0"/>
    <x v="33"/>
    <x v="7"/>
    <x v="13"/>
    <s v="NO3_A2"/>
    <x v="3"/>
    <n v="51.633543144067197"/>
    <n v="14.342650873352"/>
  </r>
  <r>
    <x v="0"/>
    <x v="33"/>
    <x v="7"/>
    <x v="13"/>
    <s v="NO3_A2"/>
    <x v="4"/>
    <n v="6.3500778790389401"/>
    <n v="1.76391052195526"/>
  </r>
  <r>
    <x v="0"/>
    <x v="33"/>
    <x v="7"/>
    <x v="13"/>
    <s v="NO3_A2"/>
    <x v="5"/>
    <n v="6.3500778790389401"/>
    <n v="1.76391052195526"/>
  </r>
  <r>
    <x v="0"/>
    <x v="33"/>
    <x v="7"/>
    <x v="13"/>
    <s v="NO3_A2"/>
    <x v="6"/>
    <n v="29.476231795214598"/>
    <n v="8.1878421653373898"/>
  </r>
  <r>
    <x v="0"/>
    <x v="33"/>
    <x v="7"/>
    <x v="13"/>
    <s v="NO3_A2"/>
    <x v="7"/>
    <n v="57.838935220261199"/>
    <n v="16.066370894517"/>
  </r>
  <r>
    <x v="0"/>
    <x v="33"/>
    <x v="7"/>
    <x v="13"/>
    <s v="NO3_A2"/>
    <x v="8"/>
    <n v="57.838935220261199"/>
    <n v="16.066370894517"/>
  </r>
  <r>
    <x v="0"/>
    <x v="33"/>
    <x v="7"/>
    <x v="13"/>
    <s v="NO3_A2"/>
    <x v="9"/>
    <n v="44.4505451532725"/>
    <n v="12.3473736536868"/>
  </r>
  <r>
    <x v="0"/>
    <x v="33"/>
    <x v="7"/>
    <x v="13"/>
    <s v="NO3_A2"/>
    <x v="10"/>
    <n v="53.975661971830903"/>
    <n v="14.993239436619699"/>
  </r>
  <r>
    <x v="0"/>
    <x v="33"/>
    <x v="7"/>
    <x v="13"/>
    <s v="NO3_A2"/>
    <x v="11"/>
    <n v="3.8806031483015802"/>
    <n v="1.07794531897266"/>
  </r>
  <r>
    <x v="0"/>
    <x v="33"/>
    <x v="7"/>
    <x v="13"/>
    <s v="NO3_A2"/>
    <x v="12"/>
    <n v="9.7995028997514597E-2"/>
    <n v="2.72208413881985E-2"/>
  </r>
  <r>
    <x v="0"/>
    <x v="33"/>
    <x v="7"/>
    <x v="13"/>
    <s v="NO3_A2"/>
    <x v="13"/>
    <n v="29.633696768848399"/>
    <n v="8.2315824357912195"/>
  </r>
  <r>
    <x v="0"/>
    <x v="33"/>
    <x v="7"/>
    <x v="13"/>
    <s v="NO3_A2"/>
    <x v="14"/>
    <n v="29.633696768848399"/>
    <n v="8.2315824357912195"/>
  </r>
  <r>
    <x v="0"/>
    <x v="33"/>
    <x v="7"/>
    <x v="13"/>
    <s v="NO3_A2"/>
    <x v="15"/>
    <n v="1.65807589063794"/>
    <n v="0.46057663628831802"/>
  </r>
  <r>
    <x v="0"/>
    <x v="33"/>
    <x v="7"/>
    <x v="13"/>
    <s v="NO3_A2"/>
    <x v="16"/>
    <n v="6.4638978602906896"/>
    <n v="1.79552718341408"/>
  </r>
  <r>
    <x v="0"/>
    <x v="33"/>
    <x v="7"/>
    <x v="13"/>
    <s v="NO3_A2"/>
    <x v="17"/>
    <n v="9.1244895875632395"/>
    <n v="2.5345804409897901"/>
  </r>
  <r>
    <x v="0"/>
    <x v="33"/>
    <x v="7"/>
    <x v="13"/>
    <s v="NO3_A2"/>
    <x v="18"/>
    <n v="29.633696768848399"/>
    <n v="8.2315824357912195"/>
  </r>
  <r>
    <x v="0"/>
    <x v="33"/>
    <x v="7"/>
    <x v="13"/>
    <s v="NO3_A2"/>
    <x v="19"/>
    <n v="8.1139884009941898"/>
    <n v="2.2538856669428302"/>
  </r>
  <r>
    <x v="0"/>
    <x v="33"/>
    <x v="7"/>
    <x v="13"/>
    <s v="NO3_A2"/>
    <x v="20"/>
    <n v="22.109183021311601"/>
    <n v="6.1414397281420996"/>
  </r>
  <r>
    <x v="0"/>
    <x v="33"/>
    <x v="7"/>
    <x v="13"/>
    <s v="NO3_A2"/>
    <x v="21"/>
    <n v="48.24"/>
    <n v="13.4"/>
  </r>
  <r>
    <x v="0"/>
    <x v="33"/>
    <x v="7"/>
    <x v="13"/>
    <s v="NO3_A2"/>
    <x v="22"/>
    <n v="67.680000000000007"/>
    <n v="18.8"/>
  </r>
  <r>
    <x v="0"/>
    <x v="33"/>
    <x v="7"/>
    <x v="13"/>
    <s v="NO3_A2"/>
    <x v="23"/>
    <n v="0.31515896120488701"/>
    <n v="8.7544155890246306E-2"/>
  </r>
  <r>
    <x v="0"/>
    <x v="33"/>
    <x v="7"/>
    <x v="13"/>
    <s v="NO3_A2"/>
    <x v="24"/>
    <n v="19.174223581093901"/>
    <n v="5.32617321697054"/>
  </r>
  <r>
    <x v="0"/>
    <x v="33"/>
    <x v="7"/>
    <x v="13"/>
    <s v="NO3_A2"/>
    <x v="25"/>
    <n v="26.209507293842599"/>
    <n v="7.2804186927340497"/>
  </r>
  <r>
    <x v="0"/>
    <x v="33"/>
    <x v="7"/>
    <x v="13"/>
    <s v="NO3_A2"/>
    <x v="26"/>
    <n v="33.320887798496699"/>
    <n v="9.2558021662490795"/>
  </r>
  <r>
    <x v="0"/>
    <x v="33"/>
    <x v="7"/>
    <x v="13"/>
    <s v="NO3_A2"/>
    <x v="27"/>
    <n v="20.163995508318798"/>
    <n v="5.6011098634218799"/>
  </r>
  <r>
    <x v="0"/>
    <x v="33"/>
    <x v="7"/>
    <x v="13"/>
    <s v="NO3_A3"/>
    <x v="1"/>
    <n v="35.989199999999997"/>
    <n v="9.9969999999999999"/>
  </r>
  <r>
    <x v="0"/>
    <x v="33"/>
    <x v="7"/>
    <x v="13"/>
    <s v="NO3_A3"/>
    <x v="2"/>
    <n v="46.08"/>
    <n v="12.8"/>
  </r>
  <r>
    <x v="0"/>
    <x v="33"/>
    <x v="7"/>
    <x v="13"/>
    <s v="NO3_A3"/>
    <x v="0"/>
    <n v="42.692399999999999"/>
    <n v="11.859"/>
  </r>
  <r>
    <x v="0"/>
    <x v="33"/>
    <x v="7"/>
    <x v="13"/>
    <s v="NO3_A3"/>
    <x v="3"/>
    <n v="51.633543144067197"/>
    <n v="14.342650873352"/>
  </r>
  <r>
    <x v="0"/>
    <x v="33"/>
    <x v="7"/>
    <x v="13"/>
    <s v="NO3_A3"/>
    <x v="4"/>
    <n v="6.3500778790389401"/>
    <n v="1.76391052195526"/>
  </r>
  <r>
    <x v="0"/>
    <x v="33"/>
    <x v="7"/>
    <x v="13"/>
    <s v="NO3_A3"/>
    <x v="5"/>
    <n v="6.3500778790389401"/>
    <n v="1.76391052195526"/>
  </r>
  <r>
    <x v="0"/>
    <x v="33"/>
    <x v="7"/>
    <x v="13"/>
    <s v="NO3_A3"/>
    <x v="6"/>
    <n v="29.476231795214598"/>
    <n v="8.1878421653373898"/>
  </r>
  <r>
    <x v="0"/>
    <x v="33"/>
    <x v="7"/>
    <x v="13"/>
    <s v="NO3_A3"/>
    <x v="7"/>
    <n v="57.838935220261199"/>
    <n v="16.066370894517"/>
  </r>
  <r>
    <x v="0"/>
    <x v="33"/>
    <x v="7"/>
    <x v="13"/>
    <s v="NO3_A3"/>
    <x v="8"/>
    <n v="57.838935220261199"/>
    <n v="16.066370894517"/>
  </r>
  <r>
    <x v="0"/>
    <x v="33"/>
    <x v="7"/>
    <x v="13"/>
    <s v="NO3_A3"/>
    <x v="9"/>
    <n v="44.4505451532725"/>
    <n v="12.3473736536868"/>
  </r>
  <r>
    <x v="0"/>
    <x v="33"/>
    <x v="7"/>
    <x v="13"/>
    <s v="NO3_A3"/>
    <x v="10"/>
    <n v="53.975661971830903"/>
    <n v="14.993239436619699"/>
  </r>
  <r>
    <x v="0"/>
    <x v="33"/>
    <x v="7"/>
    <x v="13"/>
    <s v="NO3_A3"/>
    <x v="11"/>
    <n v="3.8806031483015802"/>
    <n v="1.07794531897266"/>
  </r>
  <r>
    <x v="0"/>
    <x v="33"/>
    <x v="7"/>
    <x v="13"/>
    <s v="NO3_A3"/>
    <x v="12"/>
    <n v="9.7995028997514597E-2"/>
    <n v="2.72208413881985E-2"/>
  </r>
  <r>
    <x v="0"/>
    <x v="33"/>
    <x v="7"/>
    <x v="13"/>
    <s v="NO3_A3"/>
    <x v="13"/>
    <n v="29.633696768848399"/>
    <n v="8.2315824357912195"/>
  </r>
  <r>
    <x v="0"/>
    <x v="33"/>
    <x v="7"/>
    <x v="13"/>
    <s v="NO3_A3"/>
    <x v="14"/>
    <n v="29.633696768848399"/>
    <n v="8.2315824357912195"/>
  </r>
  <r>
    <x v="0"/>
    <x v="33"/>
    <x v="7"/>
    <x v="13"/>
    <s v="NO3_A3"/>
    <x v="15"/>
    <n v="1.65807589063794"/>
    <n v="0.46057663628831802"/>
  </r>
  <r>
    <x v="0"/>
    <x v="33"/>
    <x v="7"/>
    <x v="13"/>
    <s v="NO3_A3"/>
    <x v="16"/>
    <n v="6.4638978602906896"/>
    <n v="1.79552718341408"/>
  </r>
  <r>
    <x v="0"/>
    <x v="33"/>
    <x v="7"/>
    <x v="13"/>
    <s v="NO3_A3"/>
    <x v="17"/>
    <n v="9.1244895875632395"/>
    <n v="2.5345804409897901"/>
  </r>
  <r>
    <x v="0"/>
    <x v="33"/>
    <x v="7"/>
    <x v="13"/>
    <s v="NO3_A3"/>
    <x v="18"/>
    <n v="29.633696768848399"/>
    <n v="8.2315824357912195"/>
  </r>
  <r>
    <x v="0"/>
    <x v="33"/>
    <x v="7"/>
    <x v="13"/>
    <s v="NO3_A3"/>
    <x v="19"/>
    <n v="8.1139884009941898"/>
    <n v="2.2538856669428302"/>
  </r>
  <r>
    <x v="0"/>
    <x v="33"/>
    <x v="7"/>
    <x v="13"/>
    <s v="NO3_A3"/>
    <x v="20"/>
    <n v="22.109183021311601"/>
    <n v="6.1414397281420996"/>
  </r>
  <r>
    <x v="0"/>
    <x v="33"/>
    <x v="7"/>
    <x v="13"/>
    <s v="NO3_A3"/>
    <x v="21"/>
    <n v="48.24"/>
    <n v="13.4"/>
  </r>
  <r>
    <x v="0"/>
    <x v="33"/>
    <x v="7"/>
    <x v="13"/>
    <s v="NO3_A3"/>
    <x v="22"/>
    <n v="67.680000000000007"/>
    <n v="18.8"/>
  </r>
  <r>
    <x v="0"/>
    <x v="33"/>
    <x v="7"/>
    <x v="13"/>
    <s v="NO3_A3"/>
    <x v="23"/>
    <n v="0.31515896120488701"/>
    <n v="8.7544155890246306E-2"/>
  </r>
  <r>
    <x v="0"/>
    <x v="33"/>
    <x v="7"/>
    <x v="13"/>
    <s v="NO3_A3"/>
    <x v="24"/>
    <n v="19.174223581093901"/>
    <n v="5.32617321697054"/>
  </r>
  <r>
    <x v="0"/>
    <x v="33"/>
    <x v="7"/>
    <x v="13"/>
    <s v="NO3_A3"/>
    <x v="25"/>
    <n v="26.209507293842599"/>
    <n v="7.2804186927340497"/>
  </r>
  <r>
    <x v="0"/>
    <x v="33"/>
    <x v="7"/>
    <x v="13"/>
    <s v="NO3_A3"/>
    <x v="26"/>
    <n v="33.320887798496699"/>
    <n v="9.2558021662490795"/>
  </r>
  <r>
    <x v="0"/>
    <x v="33"/>
    <x v="7"/>
    <x v="13"/>
    <s v="NO3_A3"/>
    <x v="27"/>
    <n v="20.163995508318798"/>
    <n v="5.6011098634218799"/>
  </r>
  <r>
    <x v="0"/>
    <x v="33"/>
    <x v="7"/>
    <x v="13"/>
    <s v="NO3_Offshore"/>
    <x v="1"/>
    <n v="35.989199999999997"/>
    <n v="9.9969999999999999"/>
  </r>
  <r>
    <x v="0"/>
    <x v="33"/>
    <x v="7"/>
    <x v="13"/>
    <s v="NO3_Offshore"/>
    <x v="2"/>
    <n v="46.08"/>
    <n v="12.8"/>
  </r>
  <r>
    <x v="0"/>
    <x v="33"/>
    <x v="7"/>
    <x v="13"/>
    <s v="NO3_Offshore"/>
    <x v="0"/>
    <n v="42.692399999999999"/>
    <n v="11.859"/>
  </r>
  <r>
    <x v="0"/>
    <x v="33"/>
    <x v="7"/>
    <x v="13"/>
    <s v="NO3_Offshore"/>
    <x v="3"/>
    <n v="51.633543144067197"/>
    <n v="14.342650873352"/>
  </r>
  <r>
    <x v="0"/>
    <x v="33"/>
    <x v="7"/>
    <x v="13"/>
    <s v="NO3_Offshore"/>
    <x v="4"/>
    <n v="6.3500778790389401"/>
    <n v="1.76391052195526"/>
  </r>
  <r>
    <x v="0"/>
    <x v="33"/>
    <x v="7"/>
    <x v="13"/>
    <s v="NO3_Offshore"/>
    <x v="5"/>
    <n v="6.3500778790389401"/>
    <n v="1.76391052195526"/>
  </r>
  <r>
    <x v="0"/>
    <x v="33"/>
    <x v="7"/>
    <x v="13"/>
    <s v="NO3_Offshore"/>
    <x v="6"/>
    <n v="29.476231795214598"/>
    <n v="8.1878421653373898"/>
  </r>
  <r>
    <x v="0"/>
    <x v="33"/>
    <x v="7"/>
    <x v="13"/>
    <s v="NO3_Offshore"/>
    <x v="7"/>
    <n v="57.838935220261199"/>
    <n v="16.066370894517"/>
  </r>
  <r>
    <x v="0"/>
    <x v="33"/>
    <x v="7"/>
    <x v="13"/>
    <s v="NO3_Offshore"/>
    <x v="8"/>
    <n v="57.838935220261199"/>
    <n v="16.066370894517"/>
  </r>
  <r>
    <x v="0"/>
    <x v="33"/>
    <x v="7"/>
    <x v="13"/>
    <s v="NO3_Offshore"/>
    <x v="9"/>
    <n v="44.4505451532725"/>
    <n v="12.3473736536868"/>
  </r>
  <r>
    <x v="0"/>
    <x v="33"/>
    <x v="7"/>
    <x v="13"/>
    <s v="NO3_Offshore"/>
    <x v="10"/>
    <n v="53.975661971830903"/>
    <n v="14.993239436619699"/>
  </r>
  <r>
    <x v="0"/>
    <x v="33"/>
    <x v="7"/>
    <x v="13"/>
    <s v="NO3_Offshore"/>
    <x v="11"/>
    <n v="3.8806031483015802"/>
    <n v="1.07794531897266"/>
  </r>
  <r>
    <x v="0"/>
    <x v="33"/>
    <x v="7"/>
    <x v="13"/>
    <s v="NO3_Offshore"/>
    <x v="12"/>
    <n v="9.7995028997514597E-2"/>
    <n v="2.72208413881985E-2"/>
  </r>
  <r>
    <x v="0"/>
    <x v="33"/>
    <x v="7"/>
    <x v="13"/>
    <s v="NO3_Offshore"/>
    <x v="13"/>
    <n v="29.633696768848399"/>
    <n v="8.2315824357912195"/>
  </r>
  <r>
    <x v="0"/>
    <x v="33"/>
    <x v="7"/>
    <x v="13"/>
    <s v="NO3_Offshore"/>
    <x v="14"/>
    <n v="29.633696768848399"/>
    <n v="8.2315824357912195"/>
  </r>
  <r>
    <x v="0"/>
    <x v="33"/>
    <x v="7"/>
    <x v="13"/>
    <s v="NO3_Offshore"/>
    <x v="15"/>
    <n v="1.65807589063794"/>
    <n v="0.46057663628831802"/>
  </r>
  <r>
    <x v="0"/>
    <x v="33"/>
    <x v="7"/>
    <x v="13"/>
    <s v="NO3_Offshore"/>
    <x v="16"/>
    <n v="6.4638978602906896"/>
    <n v="1.79552718341408"/>
  </r>
  <r>
    <x v="0"/>
    <x v="33"/>
    <x v="7"/>
    <x v="13"/>
    <s v="NO3_Offshore"/>
    <x v="17"/>
    <n v="9.1244895875632395"/>
    <n v="2.5345804409897901"/>
  </r>
  <r>
    <x v="0"/>
    <x v="33"/>
    <x v="7"/>
    <x v="13"/>
    <s v="NO3_Offshore"/>
    <x v="18"/>
    <n v="29.633696768848399"/>
    <n v="8.2315824357912195"/>
  </r>
  <r>
    <x v="0"/>
    <x v="33"/>
    <x v="7"/>
    <x v="13"/>
    <s v="NO3_Offshore"/>
    <x v="19"/>
    <n v="8.1139884009941898"/>
    <n v="2.2538856669428302"/>
  </r>
  <r>
    <x v="0"/>
    <x v="33"/>
    <x v="7"/>
    <x v="13"/>
    <s v="NO3_Offshore"/>
    <x v="20"/>
    <n v="22.109183021311601"/>
    <n v="6.1414397281420996"/>
  </r>
  <r>
    <x v="0"/>
    <x v="33"/>
    <x v="7"/>
    <x v="13"/>
    <s v="NO3_Offshore"/>
    <x v="21"/>
    <n v="48.24"/>
    <n v="13.4"/>
  </r>
  <r>
    <x v="0"/>
    <x v="33"/>
    <x v="7"/>
    <x v="13"/>
    <s v="NO3_Offshore"/>
    <x v="22"/>
    <n v="67.680000000000007"/>
    <n v="18.8"/>
  </r>
  <r>
    <x v="0"/>
    <x v="33"/>
    <x v="7"/>
    <x v="13"/>
    <s v="NO3_Offshore"/>
    <x v="23"/>
    <n v="0.31515896120488701"/>
    <n v="8.7544155890246306E-2"/>
  </r>
  <r>
    <x v="0"/>
    <x v="33"/>
    <x v="7"/>
    <x v="13"/>
    <s v="NO3_Offshore"/>
    <x v="24"/>
    <n v="19.174223581093901"/>
    <n v="5.32617321697054"/>
  </r>
  <r>
    <x v="0"/>
    <x v="33"/>
    <x v="7"/>
    <x v="13"/>
    <s v="NO3_Offshore"/>
    <x v="25"/>
    <n v="26.209507293842599"/>
    <n v="7.2804186927340497"/>
  </r>
  <r>
    <x v="0"/>
    <x v="33"/>
    <x v="7"/>
    <x v="13"/>
    <s v="NO3_Offshore"/>
    <x v="26"/>
    <n v="33.320887798496699"/>
    <n v="9.2558021662490795"/>
  </r>
  <r>
    <x v="0"/>
    <x v="33"/>
    <x v="7"/>
    <x v="13"/>
    <s v="NO3_Offshore"/>
    <x v="27"/>
    <n v="20.163995508318798"/>
    <n v="5.6011098634218799"/>
  </r>
  <r>
    <x v="0"/>
    <x v="33"/>
    <x v="7"/>
    <x v="14"/>
    <s v="NO4_A1"/>
    <x v="1"/>
    <n v="35.989199999999997"/>
    <n v="9.9969999999999999"/>
  </r>
  <r>
    <x v="0"/>
    <x v="33"/>
    <x v="7"/>
    <x v="14"/>
    <s v="NO4_A1"/>
    <x v="2"/>
    <n v="46.08"/>
    <n v="12.8"/>
  </r>
  <r>
    <x v="0"/>
    <x v="33"/>
    <x v="7"/>
    <x v="14"/>
    <s v="NO4_A1"/>
    <x v="0"/>
    <n v="42.692399999999999"/>
    <n v="11.859"/>
  </r>
  <r>
    <x v="0"/>
    <x v="33"/>
    <x v="7"/>
    <x v="14"/>
    <s v="NO4_A1"/>
    <x v="3"/>
    <n v="51.633543144067197"/>
    <n v="14.342650873352"/>
  </r>
  <r>
    <x v="0"/>
    <x v="33"/>
    <x v="7"/>
    <x v="14"/>
    <s v="NO4_A1"/>
    <x v="4"/>
    <n v="6.3500778790389401"/>
    <n v="1.76391052195526"/>
  </r>
  <r>
    <x v="0"/>
    <x v="33"/>
    <x v="7"/>
    <x v="14"/>
    <s v="NO4_A1"/>
    <x v="5"/>
    <n v="6.3500778790389401"/>
    <n v="1.76391052195526"/>
  </r>
  <r>
    <x v="0"/>
    <x v="33"/>
    <x v="7"/>
    <x v="14"/>
    <s v="NO4_A1"/>
    <x v="6"/>
    <n v="29.476231795214598"/>
    <n v="8.1878421653373898"/>
  </r>
  <r>
    <x v="0"/>
    <x v="33"/>
    <x v="7"/>
    <x v="14"/>
    <s v="NO4_A1"/>
    <x v="7"/>
    <n v="57.838935220261199"/>
    <n v="16.066370894517"/>
  </r>
  <r>
    <x v="0"/>
    <x v="33"/>
    <x v="7"/>
    <x v="14"/>
    <s v="NO4_A1"/>
    <x v="8"/>
    <n v="57.838935220261199"/>
    <n v="16.066370894517"/>
  </r>
  <r>
    <x v="0"/>
    <x v="33"/>
    <x v="7"/>
    <x v="14"/>
    <s v="NO4_A1"/>
    <x v="9"/>
    <n v="44.4505451532725"/>
    <n v="12.3473736536868"/>
  </r>
  <r>
    <x v="0"/>
    <x v="33"/>
    <x v="7"/>
    <x v="14"/>
    <s v="NO4_A1"/>
    <x v="10"/>
    <n v="53.975661971830903"/>
    <n v="14.993239436619699"/>
  </r>
  <r>
    <x v="0"/>
    <x v="33"/>
    <x v="7"/>
    <x v="14"/>
    <s v="NO4_A1"/>
    <x v="11"/>
    <n v="3.8806031483015802"/>
    <n v="1.07794531897266"/>
  </r>
  <r>
    <x v="0"/>
    <x v="33"/>
    <x v="7"/>
    <x v="14"/>
    <s v="NO4_A1"/>
    <x v="12"/>
    <n v="9.7995028997514597E-2"/>
    <n v="2.72208413881985E-2"/>
  </r>
  <r>
    <x v="0"/>
    <x v="33"/>
    <x v="7"/>
    <x v="14"/>
    <s v="NO4_A1"/>
    <x v="13"/>
    <n v="29.633696768848399"/>
    <n v="8.2315824357912195"/>
  </r>
  <r>
    <x v="0"/>
    <x v="33"/>
    <x v="7"/>
    <x v="14"/>
    <s v="NO4_A1"/>
    <x v="14"/>
    <n v="29.633696768848399"/>
    <n v="8.2315824357912195"/>
  </r>
  <r>
    <x v="0"/>
    <x v="33"/>
    <x v="7"/>
    <x v="14"/>
    <s v="NO4_A1"/>
    <x v="15"/>
    <n v="1.65807589063794"/>
    <n v="0.46057663628831802"/>
  </r>
  <r>
    <x v="0"/>
    <x v="33"/>
    <x v="7"/>
    <x v="14"/>
    <s v="NO4_A1"/>
    <x v="16"/>
    <n v="6.4638978602906896"/>
    <n v="1.79552718341408"/>
  </r>
  <r>
    <x v="0"/>
    <x v="33"/>
    <x v="7"/>
    <x v="14"/>
    <s v="NO4_A1"/>
    <x v="17"/>
    <n v="9.1244895875632395"/>
    <n v="2.5345804409897901"/>
  </r>
  <r>
    <x v="0"/>
    <x v="33"/>
    <x v="7"/>
    <x v="14"/>
    <s v="NO4_A1"/>
    <x v="18"/>
    <n v="29.633696768848399"/>
    <n v="8.2315824357912195"/>
  </r>
  <r>
    <x v="0"/>
    <x v="33"/>
    <x v="7"/>
    <x v="14"/>
    <s v="NO4_A1"/>
    <x v="19"/>
    <n v="8.1139884009941898"/>
    <n v="2.2538856669428302"/>
  </r>
  <r>
    <x v="0"/>
    <x v="33"/>
    <x v="7"/>
    <x v="14"/>
    <s v="NO4_A1"/>
    <x v="20"/>
    <n v="22.109183021311601"/>
    <n v="6.1414397281420996"/>
  </r>
  <r>
    <x v="0"/>
    <x v="33"/>
    <x v="7"/>
    <x v="14"/>
    <s v="NO4_A1"/>
    <x v="21"/>
    <n v="48.24"/>
    <n v="13.4"/>
  </r>
  <r>
    <x v="0"/>
    <x v="33"/>
    <x v="7"/>
    <x v="14"/>
    <s v="NO4_A1"/>
    <x v="22"/>
    <n v="67.680000000000007"/>
    <n v="18.8"/>
  </r>
  <r>
    <x v="0"/>
    <x v="33"/>
    <x v="7"/>
    <x v="14"/>
    <s v="NO4_A1"/>
    <x v="23"/>
    <n v="0.31515896120488701"/>
    <n v="8.7544155890246306E-2"/>
  </r>
  <r>
    <x v="0"/>
    <x v="33"/>
    <x v="7"/>
    <x v="14"/>
    <s v="NO4_A1"/>
    <x v="24"/>
    <n v="19.174223581093901"/>
    <n v="5.32617321697054"/>
  </r>
  <r>
    <x v="0"/>
    <x v="33"/>
    <x v="7"/>
    <x v="14"/>
    <s v="NO4_A1"/>
    <x v="25"/>
    <n v="26.209507293842599"/>
    <n v="7.2804186927340497"/>
  </r>
  <r>
    <x v="0"/>
    <x v="33"/>
    <x v="7"/>
    <x v="14"/>
    <s v="NO4_A1"/>
    <x v="26"/>
    <n v="33.320887798496699"/>
    <n v="9.2558021662490795"/>
  </r>
  <r>
    <x v="0"/>
    <x v="33"/>
    <x v="7"/>
    <x v="14"/>
    <s v="NO4_A1"/>
    <x v="27"/>
    <n v="20.163995508318798"/>
    <n v="5.6011098634218799"/>
  </r>
  <r>
    <x v="0"/>
    <x v="33"/>
    <x v="7"/>
    <x v="14"/>
    <s v="NO4_A2"/>
    <x v="1"/>
    <n v="35.989199999999997"/>
    <n v="9.9969999999999999"/>
  </r>
  <r>
    <x v="0"/>
    <x v="33"/>
    <x v="7"/>
    <x v="14"/>
    <s v="NO4_A2"/>
    <x v="2"/>
    <n v="46.08"/>
    <n v="12.8"/>
  </r>
  <r>
    <x v="0"/>
    <x v="33"/>
    <x v="7"/>
    <x v="14"/>
    <s v="NO4_A2"/>
    <x v="0"/>
    <n v="42.692399999999999"/>
    <n v="11.859"/>
  </r>
  <r>
    <x v="0"/>
    <x v="33"/>
    <x v="7"/>
    <x v="14"/>
    <s v="NO4_A2"/>
    <x v="3"/>
    <n v="51.633543144067197"/>
    <n v="14.342650873352"/>
  </r>
  <r>
    <x v="0"/>
    <x v="33"/>
    <x v="7"/>
    <x v="14"/>
    <s v="NO4_A2"/>
    <x v="4"/>
    <n v="6.3500778790389401"/>
    <n v="1.76391052195526"/>
  </r>
  <r>
    <x v="0"/>
    <x v="33"/>
    <x v="7"/>
    <x v="14"/>
    <s v="NO4_A2"/>
    <x v="5"/>
    <n v="6.3500778790389401"/>
    <n v="1.76391052195526"/>
  </r>
  <r>
    <x v="0"/>
    <x v="33"/>
    <x v="7"/>
    <x v="14"/>
    <s v="NO4_A2"/>
    <x v="6"/>
    <n v="29.476231795214598"/>
    <n v="8.1878421653373898"/>
  </r>
  <r>
    <x v="0"/>
    <x v="33"/>
    <x v="7"/>
    <x v="14"/>
    <s v="NO4_A2"/>
    <x v="7"/>
    <n v="57.838935220261199"/>
    <n v="16.066370894517"/>
  </r>
  <r>
    <x v="0"/>
    <x v="33"/>
    <x v="7"/>
    <x v="14"/>
    <s v="NO4_A2"/>
    <x v="8"/>
    <n v="57.838935220261199"/>
    <n v="16.066370894517"/>
  </r>
  <r>
    <x v="0"/>
    <x v="33"/>
    <x v="7"/>
    <x v="14"/>
    <s v="NO4_A2"/>
    <x v="9"/>
    <n v="44.4505451532725"/>
    <n v="12.3473736536868"/>
  </r>
  <r>
    <x v="0"/>
    <x v="33"/>
    <x v="7"/>
    <x v="14"/>
    <s v="NO4_A2"/>
    <x v="10"/>
    <n v="53.975661971830903"/>
    <n v="14.993239436619699"/>
  </r>
  <r>
    <x v="0"/>
    <x v="33"/>
    <x v="7"/>
    <x v="14"/>
    <s v="NO4_A2"/>
    <x v="11"/>
    <n v="3.8806031483015802"/>
    <n v="1.07794531897266"/>
  </r>
  <r>
    <x v="0"/>
    <x v="33"/>
    <x v="7"/>
    <x v="14"/>
    <s v="NO4_A2"/>
    <x v="12"/>
    <n v="9.7995028997514597E-2"/>
    <n v="2.72208413881985E-2"/>
  </r>
  <r>
    <x v="0"/>
    <x v="33"/>
    <x v="7"/>
    <x v="14"/>
    <s v="NO4_A2"/>
    <x v="13"/>
    <n v="29.633696768848399"/>
    <n v="8.2315824357912195"/>
  </r>
  <r>
    <x v="0"/>
    <x v="33"/>
    <x v="7"/>
    <x v="14"/>
    <s v="NO4_A2"/>
    <x v="14"/>
    <n v="29.633696768848399"/>
    <n v="8.2315824357912195"/>
  </r>
  <r>
    <x v="0"/>
    <x v="33"/>
    <x v="7"/>
    <x v="14"/>
    <s v="NO4_A2"/>
    <x v="15"/>
    <n v="1.65807589063794"/>
    <n v="0.46057663628831802"/>
  </r>
  <r>
    <x v="0"/>
    <x v="33"/>
    <x v="7"/>
    <x v="14"/>
    <s v="NO4_A2"/>
    <x v="16"/>
    <n v="6.4638978602906896"/>
    <n v="1.79552718341408"/>
  </r>
  <r>
    <x v="0"/>
    <x v="33"/>
    <x v="7"/>
    <x v="14"/>
    <s v="NO4_A2"/>
    <x v="17"/>
    <n v="9.1244895875632395"/>
    <n v="2.5345804409897901"/>
  </r>
  <r>
    <x v="0"/>
    <x v="33"/>
    <x v="7"/>
    <x v="14"/>
    <s v="NO4_A2"/>
    <x v="18"/>
    <n v="29.633696768848399"/>
    <n v="8.2315824357912195"/>
  </r>
  <r>
    <x v="0"/>
    <x v="33"/>
    <x v="7"/>
    <x v="14"/>
    <s v="NO4_A2"/>
    <x v="19"/>
    <n v="8.1139884009941898"/>
    <n v="2.2538856669428302"/>
  </r>
  <r>
    <x v="0"/>
    <x v="33"/>
    <x v="7"/>
    <x v="14"/>
    <s v="NO4_A2"/>
    <x v="20"/>
    <n v="22.109183021311601"/>
    <n v="6.1414397281420996"/>
  </r>
  <r>
    <x v="0"/>
    <x v="33"/>
    <x v="7"/>
    <x v="14"/>
    <s v="NO4_A2"/>
    <x v="21"/>
    <n v="48.24"/>
    <n v="13.4"/>
  </r>
  <r>
    <x v="0"/>
    <x v="33"/>
    <x v="7"/>
    <x v="14"/>
    <s v="NO4_A2"/>
    <x v="22"/>
    <n v="67.680000000000007"/>
    <n v="18.8"/>
  </r>
  <r>
    <x v="0"/>
    <x v="33"/>
    <x v="7"/>
    <x v="14"/>
    <s v="NO4_A2"/>
    <x v="23"/>
    <n v="0.31515896120488701"/>
    <n v="8.7544155890246306E-2"/>
  </r>
  <r>
    <x v="0"/>
    <x v="33"/>
    <x v="7"/>
    <x v="14"/>
    <s v="NO4_A2"/>
    <x v="24"/>
    <n v="19.174223581093901"/>
    <n v="5.32617321697054"/>
  </r>
  <r>
    <x v="0"/>
    <x v="33"/>
    <x v="7"/>
    <x v="14"/>
    <s v="NO4_A2"/>
    <x v="25"/>
    <n v="26.209507293842599"/>
    <n v="7.2804186927340497"/>
  </r>
  <r>
    <x v="0"/>
    <x v="33"/>
    <x v="7"/>
    <x v="14"/>
    <s v="NO4_A2"/>
    <x v="26"/>
    <n v="33.320887798496699"/>
    <n v="9.2558021662490795"/>
  </r>
  <r>
    <x v="0"/>
    <x v="33"/>
    <x v="7"/>
    <x v="14"/>
    <s v="NO4_A2"/>
    <x v="27"/>
    <n v="20.163995508318798"/>
    <n v="5.6011098634218799"/>
  </r>
  <r>
    <x v="0"/>
    <x v="33"/>
    <x v="7"/>
    <x v="14"/>
    <s v="NO4_Offshore"/>
    <x v="1"/>
    <n v="35.989199999999997"/>
    <n v="9.9969999999999999"/>
  </r>
  <r>
    <x v="0"/>
    <x v="33"/>
    <x v="7"/>
    <x v="14"/>
    <s v="NO4_Offshore"/>
    <x v="2"/>
    <n v="46.08"/>
    <n v="12.8"/>
  </r>
  <r>
    <x v="0"/>
    <x v="33"/>
    <x v="7"/>
    <x v="14"/>
    <s v="NO4_Offshore"/>
    <x v="0"/>
    <n v="42.692399999999999"/>
    <n v="11.859"/>
  </r>
  <r>
    <x v="0"/>
    <x v="33"/>
    <x v="7"/>
    <x v="14"/>
    <s v="NO4_Offshore"/>
    <x v="3"/>
    <n v="51.633543144067197"/>
    <n v="14.342650873352"/>
  </r>
  <r>
    <x v="0"/>
    <x v="33"/>
    <x v="7"/>
    <x v="14"/>
    <s v="NO4_Offshore"/>
    <x v="4"/>
    <n v="6.3500778790389401"/>
    <n v="1.76391052195526"/>
  </r>
  <r>
    <x v="0"/>
    <x v="33"/>
    <x v="7"/>
    <x v="14"/>
    <s v="NO4_Offshore"/>
    <x v="5"/>
    <n v="6.3500778790389401"/>
    <n v="1.76391052195526"/>
  </r>
  <r>
    <x v="0"/>
    <x v="33"/>
    <x v="7"/>
    <x v="14"/>
    <s v="NO4_Offshore"/>
    <x v="6"/>
    <n v="29.476231795214598"/>
    <n v="8.1878421653373898"/>
  </r>
  <r>
    <x v="0"/>
    <x v="33"/>
    <x v="7"/>
    <x v="14"/>
    <s v="NO4_Offshore"/>
    <x v="7"/>
    <n v="57.838935220261199"/>
    <n v="16.066370894517"/>
  </r>
  <r>
    <x v="0"/>
    <x v="33"/>
    <x v="7"/>
    <x v="14"/>
    <s v="NO4_Offshore"/>
    <x v="8"/>
    <n v="57.838935220261199"/>
    <n v="16.066370894517"/>
  </r>
  <r>
    <x v="0"/>
    <x v="33"/>
    <x v="7"/>
    <x v="14"/>
    <s v="NO4_Offshore"/>
    <x v="9"/>
    <n v="44.4505451532725"/>
    <n v="12.3473736536868"/>
  </r>
  <r>
    <x v="0"/>
    <x v="33"/>
    <x v="7"/>
    <x v="14"/>
    <s v="NO4_Offshore"/>
    <x v="10"/>
    <n v="53.975661971830903"/>
    <n v="14.993239436619699"/>
  </r>
  <r>
    <x v="0"/>
    <x v="33"/>
    <x v="7"/>
    <x v="14"/>
    <s v="NO4_Offshore"/>
    <x v="11"/>
    <n v="3.8806031483015802"/>
    <n v="1.07794531897266"/>
  </r>
  <r>
    <x v="0"/>
    <x v="33"/>
    <x v="7"/>
    <x v="14"/>
    <s v="NO4_Offshore"/>
    <x v="12"/>
    <n v="9.7995028997514597E-2"/>
    <n v="2.72208413881985E-2"/>
  </r>
  <r>
    <x v="0"/>
    <x v="33"/>
    <x v="7"/>
    <x v="14"/>
    <s v="NO4_Offshore"/>
    <x v="13"/>
    <n v="29.633696768848399"/>
    <n v="8.2315824357912195"/>
  </r>
  <r>
    <x v="0"/>
    <x v="33"/>
    <x v="7"/>
    <x v="14"/>
    <s v="NO4_Offshore"/>
    <x v="14"/>
    <n v="29.633696768848399"/>
    <n v="8.2315824357912195"/>
  </r>
  <r>
    <x v="0"/>
    <x v="33"/>
    <x v="7"/>
    <x v="14"/>
    <s v="NO4_Offshore"/>
    <x v="15"/>
    <n v="1.65807589063794"/>
    <n v="0.46057663628831802"/>
  </r>
  <r>
    <x v="0"/>
    <x v="33"/>
    <x v="7"/>
    <x v="14"/>
    <s v="NO4_Offshore"/>
    <x v="16"/>
    <n v="6.4638978602906896"/>
    <n v="1.79552718341408"/>
  </r>
  <r>
    <x v="0"/>
    <x v="33"/>
    <x v="7"/>
    <x v="14"/>
    <s v="NO4_Offshore"/>
    <x v="17"/>
    <n v="9.1244895875632395"/>
    <n v="2.5345804409897901"/>
  </r>
  <r>
    <x v="0"/>
    <x v="33"/>
    <x v="7"/>
    <x v="14"/>
    <s v="NO4_Offshore"/>
    <x v="18"/>
    <n v="29.633696768848399"/>
    <n v="8.2315824357912195"/>
  </r>
  <r>
    <x v="0"/>
    <x v="33"/>
    <x v="7"/>
    <x v="14"/>
    <s v="NO4_Offshore"/>
    <x v="19"/>
    <n v="8.1139884009941898"/>
    <n v="2.2538856669428302"/>
  </r>
  <r>
    <x v="0"/>
    <x v="33"/>
    <x v="7"/>
    <x v="14"/>
    <s v="NO4_Offshore"/>
    <x v="20"/>
    <n v="22.109183021311601"/>
    <n v="6.1414397281420996"/>
  </r>
  <r>
    <x v="0"/>
    <x v="33"/>
    <x v="7"/>
    <x v="14"/>
    <s v="NO4_Offshore"/>
    <x v="21"/>
    <n v="48.24"/>
    <n v="13.4"/>
  </r>
  <r>
    <x v="0"/>
    <x v="33"/>
    <x v="7"/>
    <x v="14"/>
    <s v="NO4_Offshore"/>
    <x v="22"/>
    <n v="67.680000000000007"/>
    <n v="18.8"/>
  </r>
  <r>
    <x v="0"/>
    <x v="33"/>
    <x v="7"/>
    <x v="14"/>
    <s v="NO4_Offshore"/>
    <x v="23"/>
    <n v="0.31515896120488701"/>
    <n v="8.7544155890246306E-2"/>
  </r>
  <r>
    <x v="0"/>
    <x v="33"/>
    <x v="7"/>
    <x v="14"/>
    <s v="NO4_Offshore"/>
    <x v="24"/>
    <n v="19.174223581093901"/>
    <n v="5.32617321697054"/>
  </r>
  <r>
    <x v="0"/>
    <x v="33"/>
    <x v="7"/>
    <x v="14"/>
    <s v="NO4_Offshore"/>
    <x v="25"/>
    <n v="26.209507293842599"/>
    <n v="7.2804186927340497"/>
  </r>
  <r>
    <x v="0"/>
    <x v="33"/>
    <x v="7"/>
    <x v="14"/>
    <s v="NO4_Offshore"/>
    <x v="26"/>
    <n v="33.320887798496699"/>
    <n v="9.2558021662490795"/>
  </r>
  <r>
    <x v="0"/>
    <x v="33"/>
    <x v="7"/>
    <x v="14"/>
    <s v="NO4_Offshore"/>
    <x v="27"/>
    <n v="20.163995508318798"/>
    <n v="5.6011098634218799"/>
  </r>
  <r>
    <x v="0"/>
    <x v="33"/>
    <x v="7"/>
    <x v="15"/>
    <s v="NO5_A1"/>
    <x v="1"/>
    <n v="35.989199999999997"/>
    <n v="9.9969999999999999"/>
  </r>
  <r>
    <x v="0"/>
    <x v="33"/>
    <x v="7"/>
    <x v="15"/>
    <s v="NO5_A1"/>
    <x v="2"/>
    <n v="46.08"/>
    <n v="12.8"/>
  </r>
  <r>
    <x v="0"/>
    <x v="33"/>
    <x v="7"/>
    <x v="15"/>
    <s v="NO5_A1"/>
    <x v="0"/>
    <n v="42.692399999999999"/>
    <n v="11.859"/>
  </r>
  <r>
    <x v="0"/>
    <x v="33"/>
    <x v="7"/>
    <x v="15"/>
    <s v="NO5_A1"/>
    <x v="3"/>
    <n v="51.633543144067197"/>
    <n v="14.342650873352"/>
  </r>
  <r>
    <x v="0"/>
    <x v="33"/>
    <x v="7"/>
    <x v="15"/>
    <s v="NO5_A1"/>
    <x v="4"/>
    <n v="6.3500778790389401"/>
    <n v="1.76391052195526"/>
  </r>
  <r>
    <x v="0"/>
    <x v="33"/>
    <x v="7"/>
    <x v="15"/>
    <s v="NO5_A1"/>
    <x v="5"/>
    <n v="6.3500778790389401"/>
    <n v="1.76391052195526"/>
  </r>
  <r>
    <x v="0"/>
    <x v="33"/>
    <x v="7"/>
    <x v="15"/>
    <s v="NO5_A1"/>
    <x v="6"/>
    <n v="29.476231795214598"/>
    <n v="8.1878421653373898"/>
  </r>
  <r>
    <x v="0"/>
    <x v="33"/>
    <x v="7"/>
    <x v="15"/>
    <s v="NO5_A1"/>
    <x v="7"/>
    <n v="57.838935220261199"/>
    <n v="16.066370894517"/>
  </r>
  <r>
    <x v="0"/>
    <x v="33"/>
    <x v="7"/>
    <x v="15"/>
    <s v="NO5_A1"/>
    <x v="8"/>
    <n v="57.838935220261199"/>
    <n v="16.066370894517"/>
  </r>
  <r>
    <x v="0"/>
    <x v="33"/>
    <x v="7"/>
    <x v="15"/>
    <s v="NO5_A1"/>
    <x v="9"/>
    <n v="44.4505451532725"/>
    <n v="12.3473736536868"/>
  </r>
  <r>
    <x v="0"/>
    <x v="33"/>
    <x v="7"/>
    <x v="15"/>
    <s v="NO5_A1"/>
    <x v="10"/>
    <n v="53.975661971830903"/>
    <n v="14.993239436619699"/>
  </r>
  <r>
    <x v="0"/>
    <x v="33"/>
    <x v="7"/>
    <x v="15"/>
    <s v="NO5_A1"/>
    <x v="11"/>
    <n v="3.8806031483015802"/>
    <n v="1.07794531897266"/>
  </r>
  <r>
    <x v="0"/>
    <x v="33"/>
    <x v="7"/>
    <x v="15"/>
    <s v="NO5_A1"/>
    <x v="12"/>
    <n v="9.7995028997514597E-2"/>
    <n v="2.72208413881985E-2"/>
  </r>
  <r>
    <x v="0"/>
    <x v="33"/>
    <x v="7"/>
    <x v="15"/>
    <s v="NO5_A1"/>
    <x v="13"/>
    <n v="29.633696768848399"/>
    <n v="8.2315824357912195"/>
  </r>
  <r>
    <x v="0"/>
    <x v="33"/>
    <x v="7"/>
    <x v="15"/>
    <s v="NO5_A1"/>
    <x v="14"/>
    <n v="29.633696768848399"/>
    <n v="8.2315824357912195"/>
  </r>
  <r>
    <x v="0"/>
    <x v="33"/>
    <x v="7"/>
    <x v="15"/>
    <s v="NO5_A1"/>
    <x v="15"/>
    <n v="1.65807589063794"/>
    <n v="0.46057663628831802"/>
  </r>
  <r>
    <x v="0"/>
    <x v="33"/>
    <x v="7"/>
    <x v="15"/>
    <s v="NO5_A1"/>
    <x v="16"/>
    <n v="6.4638978602906896"/>
    <n v="1.79552718341408"/>
  </r>
  <r>
    <x v="0"/>
    <x v="33"/>
    <x v="7"/>
    <x v="15"/>
    <s v="NO5_A1"/>
    <x v="17"/>
    <n v="9.1244895875632395"/>
    <n v="2.5345804409897901"/>
  </r>
  <r>
    <x v="0"/>
    <x v="33"/>
    <x v="7"/>
    <x v="15"/>
    <s v="NO5_A1"/>
    <x v="18"/>
    <n v="29.633696768848399"/>
    <n v="8.2315824357912195"/>
  </r>
  <r>
    <x v="0"/>
    <x v="33"/>
    <x v="7"/>
    <x v="15"/>
    <s v="NO5_A1"/>
    <x v="19"/>
    <n v="8.1139884009941898"/>
    <n v="2.2538856669428302"/>
  </r>
  <r>
    <x v="0"/>
    <x v="33"/>
    <x v="7"/>
    <x v="15"/>
    <s v="NO5_A1"/>
    <x v="20"/>
    <n v="22.109183021311601"/>
    <n v="6.1414397281420996"/>
  </r>
  <r>
    <x v="0"/>
    <x v="33"/>
    <x v="7"/>
    <x v="15"/>
    <s v="NO5_A1"/>
    <x v="21"/>
    <n v="48.24"/>
    <n v="13.4"/>
  </r>
  <r>
    <x v="0"/>
    <x v="33"/>
    <x v="7"/>
    <x v="15"/>
    <s v="NO5_A1"/>
    <x v="22"/>
    <n v="67.680000000000007"/>
    <n v="18.8"/>
  </r>
  <r>
    <x v="0"/>
    <x v="33"/>
    <x v="7"/>
    <x v="15"/>
    <s v="NO5_A1"/>
    <x v="23"/>
    <n v="0.31515896120488701"/>
    <n v="8.7544155890246306E-2"/>
  </r>
  <r>
    <x v="0"/>
    <x v="33"/>
    <x v="7"/>
    <x v="15"/>
    <s v="NO5_A1"/>
    <x v="24"/>
    <n v="19.174223581093901"/>
    <n v="5.32617321697054"/>
  </r>
  <r>
    <x v="0"/>
    <x v="33"/>
    <x v="7"/>
    <x v="15"/>
    <s v="NO5_A1"/>
    <x v="25"/>
    <n v="26.209507293842599"/>
    <n v="7.2804186927340497"/>
  </r>
  <r>
    <x v="0"/>
    <x v="33"/>
    <x v="7"/>
    <x v="15"/>
    <s v="NO5_A1"/>
    <x v="26"/>
    <n v="33.320887798496699"/>
    <n v="9.2558021662490795"/>
  </r>
  <r>
    <x v="0"/>
    <x v="33"/>
    <x v="7"/>
    <x v="15"/>
    <s v="NO5_A1"/>
    <x v="27"/>
    <n v="20.163995508318798"/>
    <n v="5.6011098634218799"/>
  </r>
  <r>
    <x v="0"/>
    <x v="33"/>
    <x v="7"/>
    <x v="15"/>
    <s v="NO5_A2"/>
    <x v="1"/>
    <n v="35.989199999999997"/>
    <n v="9.9969999999999999"/>
  </r>
  <r>
    <x v="0"/>
    <x v="33"/>
    <x v="7"/>
    <x v="15"/>
    <s v="NO5_A2"/>
    <x v="2"/>
    <n v="46.08"/>
    <n v="12.8"/>
  </r>
  <r>
    <x v="0"/>
    <x v="33"/>
    <x v="7"/>
    <x v="15"/>
    <s v="NO5_A2"/>
    <x v="0"/>
    <n v="42.692399999999999"/>
    <n v="11.859"/>
  </r>
  <r>
    <x v="0"/>
    <x v="33"/>
    <x v="7"/>
    <x v="15"/>
    <s v="NO5_A2"/>
    <x v="3"/>
    <n v="51.633543144067197"/>
    <n v="14.342650873352"/>
  </r>
  <r>
    <x v="0"/>
    <x v="33"/>
    <x v="7"/>
    <x v="15"/>
    <s v="NO5_A2"/>
    <x v="4"/>
    <n v="6.3500778790389401"/>
    <n v="1.76391052195526"/>
  </r>
  <r>
    <x v="0"/>
    <x v="33"/>
    <x v="7"/>
    <x v="15"/>
    <s v="NO5_A2"/>
    <x v="5"/>
    <n v="6.3500778790389401"/>
    <n v="1.76391052195526"/>
  </r>
  <r>
    <x v="0"/>
    <x v="33"/>
    <x v="7"/>
    <x v="15"/>
    <s v="NO5_A2"/>
    <x v="6"/>
    <n v="29.476231795214598"/>
    <n v="8.1878421653373898"/>
  </r>
  <r>
    <x v="0"/>
    <x v="33"/>
    <x v="7"/>
    <x v="15"/>
    <s v="NO5_A2"/>
    <x v="7"/>
    <n v="57.838935220261199"/>
    <n v="16.066370894517"/>
  </r>
  <r>
    <x v="0"/>
    <x v="33"/>
    <x v="7"/>
    <x v="15"/>
    <s v="NO5_A2"/>
    <x v="8"/>
    <n v="57.838935220261199"/>
    <n v="16.066370894517"/>
  </r>
  <r>
    <x v="0"/>
    <x v="33"/>
    <x v="7"/>
    <x v="15"/>
    <s v="NO5_A2"/>
    <x v="9"/>
    <n v="44.4505451532725"/>
    <n v="12.3473736536868"/>
  </r>
  <r>
    <x v="0"/>
    <x v="33"/>
    <x v="7"/>
    <x v="15"/>
    <s v="NO5_A2"/>
    <x v="10"/>
    <n v="53.975661971830903"/>
    <n v="14.993239436619699"/>
  </r>
  <r>
    <x v="0"/>
    <x v="33"/>
    <x v="7"/>
    <x v="15"/>
    <s v="NO5_A2"/>
    <x v="11"/>
    <n v="3.8806031483015802"/>
    <n v="1.07794531897266"/>
  </r>
  <r>
    <x v="0"/>
    <x v="33"/>
    <x v="7"/>
    <x v="15"/>
    <s v="NO5_A2"/>
    <x v="12"/>
    <n v="9.7995028997514597E-2"/>
    <n v="2.72208413881985E-2"/>
  </r>
  <r>
    <x v="0"/>
    <x v="33"/>
    <x v="7"/>
    <x v="15"/>
    <s v="NO5_A2"/>
    <x v="13"/>
    <n v="29.633696768848399"/>
    <n v="8.2315824357912195"/>
  </r>
  <r>
    <x v="0"/>
    <x v="33"/>
    <x v="7"/>
    <x v="15"/>
    <s v="NO5_A2"/>
    <x v="14"/>
    <n v="29.633696768848399"/>
    <n v="8.2315824357912195"/>
  </r>
  <r>
    <x v="0"/>
    <x v="33"/>
    <x v="7"/>
    <x v="15"/>
    <s v="NO5_A2"/>
    <x v="15"/>
    <n v="1.65807589063794"/>
    <n v="0.46057663628831802"/>
  </r>
  <r>
    <x v="0"/>
    <x v="33"/>
    <x v="7"/>
    <x v="15"/>
    <s v="NO5_A2"/>
    <x v="16"/>
    <n v="6.4638978602906896"/>
    <n v="1.79552718341408"/>
  </r>
  <r>
    <x v="0"/>
    <x v="33"/>
    <x v="7"/>
    <x v="15"/>
    <s v="NO5_A2"/>
    <x v="17"/>
    <n v="9.1244895875632395"/>
    <n v="2.5345804409897901"/>
  </r>
  <r>
    <x v="0"/>
    <x v="33"/>
    <x v="7"/>
    <x v="15"/>
    <s v="NO5_A2"/>
    <x v="18"/>
    <n v="29.633696768848399"/>
    <n v="8.2315824357912195"/>
  </r>
  <r>
    <x v="0"/>
    <x v="33"/>
    <x v="7"/>
    <x v="15"/>
    <s v="NO5_A2"/>
    <x v="19"/>
    <n v="8.1139884009941898"/>
    <n v="2.2538856669428302"/>
  </r>
  <r>
    <x v="0"/>
    <x v="33"/>
    <x v="7"/>
    <x v="15"/>
    <s v="NO5_A2"/>
    <x v="20"/>
    <n v="22.109183021311601"/>
    <n v="6.1414397281420996"/>
  </r>
  <r>
    <x v="0"/>
    <x v="33"/>
    <x v="7"/>
    <x v="15"/>
    <s v="NO5_A2"/>
    <x v="21"/>
    <n v="48.24"/>
    <n v="13.4"/>
  </r>
  <r>
    <x v="0"/>
    <x v="33"/>
    <x v="7"/>
    <x v="15"/>
    <s v="NO5_A2"/>
    <x v="22"/>
    <n v="67.680000000000007"/>
    <n v="18.8"/>
  </r>
  <r>
    <x v="0"/>
    <x v="33"/>
    <x v="7"/>
    <x v="15"/>
    <s v="NO5_A2"/>
    <x v="23"/>
    <n v="0.31515896120488701"/>
    <n v="8.7544155890246306E-2"/>
  </r>
  <r>
    <x v="0"/>
    <x v="33"/>
    <x v="7"/>
    <x v="15"/>
    <s v="NO5_A2"/>
    <x v="24"/>
    <n v="19.174223581093901"/>
    <n v="5.32617321697054"/>
  </r>
  <r>
    <x v="0"/>
    <x v="33"/>
    <x v="7"/>
    <x v="15"/>
    <s v="NO5_A2"/>
    <x v="25"/>
    <n v="26.209507293842599"/>
    <n v="7.2804186927340497"/>
  </r>
  <r>
    <x v="0"/>
    <x v="33"/>
    <x v="7"/>
    <x v="15"/>
    <s v="NO5_A2"/>
    <x v="26"/>
    <n v="33.320887798496699"/>
    <n v="9.2558021662490795"/>
  </r>
  <r>
    <x v="0"/>
    <x v="33"/>
    <x v="7"/>
    <x v="15"/>
    <s v="NO5_A2"/>
    <x v="27"/>
    <n v="20.163995508318798"/>
    <n v="5.6011098634218799"/>
  </r>
  <r>
    <x v="0"/>
    <x v="33"/>
    <x v="7"/>
    <x v="15"/>
    <s v="NO5_Offshore"/>
    <x v="1"/>
    <n v="35.989199999999997"/>
    <n v="9.9969999999999999"/>
  </r>
  <r>
    <x v="0"/>
    <x v="33"/>
    <x v="7"/>
    <x v="15"/>
    <s v="NO5_Offshore"/>
    <x v="2"/>
    <n v="46.08"/>
    <n v="12.8"/>
  </r>
  <r>
    <x v="0"/>
    <x v="33"/>
    <x v="7"/>
    <x v="15"/>
    <s v="NO5_Offshore"/>
    <x v="0"/>
    <n v="42.692399999999999"/>
    <n v="11.859"/>
  </r>
  <r>
    <x v="0"/>
    <x v="33"/>
    <x v="7"/>
    <x v="15"/>
    <s v="NO5_Offshore"/>
    <x v="3"/>
    <n v="51.633543144067197"/>
    <n v="14.342650873352"/>
  </r>
  <r>
    <x v="0"/>
    <x v="33"/>
    <x v="7"/>
    <x v="15"/>
    <s v="NO5_Offshore"/>
    <x v="4"/>
    <n v="6.3500778790389401"/>
    <n v="1.76391052195526"/>
  </r>
  <r>
    <x v="0"/>
    <x v="33"/>
    <x v="7"/>
    <x v="15"/>
    <s v="NO5_Offshore"/>
    <x v="5"/>
    <n v="6.3500778790389401"/>
    <n v="1.76391052195526"/>
  </r>
  <r>
    <x v="0"/>
    <x v="33"/>
    <x v="7"/>
    <x v="15"/>
    <s v="NO5_Offshore"/>
    <x v="6"/>
    <n v="29.476231795214598"/>
    <n v="8.1878421653373898"/>
  </r>
  <r>
    <x v="0"/>
    <x v="33"/>
    <x v="7"/>
    <x v="15"/>
    <s v="NO5_Offshore"/>
    <x v="7"/>
    <n v="57.838935220261199"/>
    <n v="16.066370894517"/>
  </r>
  <r>
    <x v="0"/>
    <x v="33"/>
    <x v="7"/>
    <x v="15"/>
    <s v="NO5_Offshore"/>
    <x v="8"/>
    <n v="57.838935220261199"/>
    <n v="16.066370894517"/>
  </r>
  <r>
    <x v="0"/>
    <x v="33"/>
    <x v="7"/>
    <x v="15"/>
    <s v="NO5_Offshore"/>
    <x v="9"/>
    <n v="44.4505451532725"/>
    <n v="12.3473736536868"/>
  </r>
  <r>
    <x v="0"/>
    <x v="33"/>
    <x v="7"/>
    <x v="15"/>
    <s v="NO5_Offshore"/>
    <x v="10"/>
    <n v="53.975661971830903"/>
    <n v="14.993239436619699"/>
  </r>
  <r>
    <x v="0"/>
    <x v="33"/>
    <x v="7"/>
    <x v="15"/>
    <s v="NO5_Offshore"/>
    <x v="11"/>
    <n v="3.8806031483015802"/>
    <n v="1.07794531897266"/>
  </r>
  <r>
    <x v="0"/>
    <x v="33"/>
    <x v="7"/>
    <x v="15"/>
    <s v="NO5_Offshore"/>
    <x v="12"/>
    <n v="9.7995028997514597E-2"/>
    <n v="2.72208413881985E-2"/>
  </r>
  <r>
    <x v="0"/>
    <x v="33"/>
    <x v="7"/>
    <x v="15"/>
    <s v="NO5_Offshore"/>
    <x v="13"/>
    <n v="29.633696768848399"/>
    <n v="8.2315824357912195"/>
  </r>
  <r>
    <x v="0"/>
    <x v="33"/>
    <x v="7"/>
    <x v="15"/>
    <s v="NO5_Offshore"/>
    <x v="14"/>
    <n v="29.633696768848399"/>
    <n v="8.2315824357912195"/>
  </r>
  <r>
    <x v="0"/>
    <x v="33"/>
    <x v="7"/>
    <x v="15"/>
    <s v="NO5_Offshore"/>
    <x v="15"/>
    <n v="1.65807589063794"/>
    <n v="0.46057663628831802"/>
  </r>
  <r>
    <x v="0"/>
    <x v="33"/>
    <x v="7"/>
    <x v="15"/>
    <s v="NO5_Offshore"/>
    <x v="16"/>
    <n v="6.4638978602906896"/>
    <n v="1.79552718341408"/>
  </r>
  <r>
    <x v="0"/>
    <x v="33"/>
    <x v="7"/>
    <x v="15"/>
    <s v="NO5_Offshore"/>
    <x v="17"/>
    <n v="9.1244895875632395"/>
    <n v="2.5345804409897901"/>
  </r>
  <r>
    <x v="0"/>
    <x v="33"/>
    <x v="7"/>
    <x v="15"/>
    <s v="NO5_Offshore"/>
    <x v="18"/>
    <n v="29.633696768848399"/>
    <n v="8.2315824357912195"/>
  </r>
  <r>
    <x v="0"/>
    <x v="33"/>
    <x v="7"/>
    <x v="15"/>
    <s v="NO5_Offshore"/>
    <x v="19"/>
    <n v="8.1139884009941898"/>
    <n v="2.2538856669428302"/>
  </r>
  <r>
    <x v="0"/>
    <x v="33"/>
    <x v="7"/>
    <x v="15"/>
    <s v="NO5_Offshore"/>
    <x v="20"/>
    <n v="22.109183021311601"/>
    <n v="6.1414397281420996"/>
  </r>
  <r>
    <x v="0"/>
    <x v="33"/>
    <x v="7"/>
    <x v="15"/>
    <s v="NO5_Offshore"/>
    <x v="21"/>
    <n v="48.24"/>
    <n v="13.4"/>
  </r>
  <r>
    <x v="0"/>
    <x v="33"/>
    <x v="7"/>
    <x v="15"/>
    <s v="NO5_Offshore"/>
    <x v="22"/>
    <n v="67.680000000000007"/>
    <n v="18.8"/>
  </r>
  <r>
    <x v="0"/>
    <x v="33"/>
    <x v="7"/>
    <x v="15"/>
    <s v="NO5_Offshore"/>
    <x v="23"/>
    <n v="0.31515896120488701"/>
    <n v="8.7544155890246306E-2"/>
  </r>
  <r>
    <x v="0"/>
    <x v="33"/>
    <x v="7"/>
    <x v="15"/>
    <s v="NO5_Offshore"/>
    <x v="24"/>
    <n v="19.174223581093901"/>
    <n v="5.32617321697054"/>
  </r>
  <r>
    <x v="0"/>
    <x v="33"/>
    <x v="7"/>
    <x v="15"/>
    <s v="NO5_Offshore"/>
    <x v="25"/>
    <n v="26.209507293842599"/>
    <n v="7.2804186927340497"/>
  </r>
  <r>
    <x v="0"/>
    <x v="33"/>
    <x v="7"/>
    <x v="15"/>
    <s v="NO5_Offshore"/>
    <x v="26"/>
    <n v="33.320887798496699"/>
    <n v="9.2558021662490795"/>
  </r>
  <r>
    <x v="0"/>
    <x v="33"/>
    <x v="7"/>
    <x v="15"/>
    <s v="NO5_Offshore"/>
    <x v="27"/>
    <n v="20.163995508318798"/>
    <n v="5.6011098634218799"/>
  </r>
  <r>
    <x v="0"/>
    <x v="33"/>
    <x v="8"/>
    <x v="16"/>
    <s v="PL_A"/>
    <x v="1"/>
    <n v="35.989199999999997"/>
    <n v="9.9969999999999999"/>
  </r>
  <r>
    <x v="0"/>
    <x v="33"/>
    <x v="8"/>
    <x v="16"/>
    <s v="PL_A"/>
    <x v="2"/>
    <n v="46.08"/>
    <n v="12.8"/>
  </r>
  <r>
    <x v="0"/>
    <x v="33"/>
    <x v="8"/>
    <x v="16"/>
    <s v="PL_A"/>
    <x v="0"/>
    <n v="42.692399999999999"/>
    <n v="11.859"/>
  </r>
  <r>
    <x v="0"/>
    <x v="33"/>
    <x v="8"/>
    <x v="16"/>
    <s v="PL_A"/>
    <x v="3"/>
    <n v="51.633543144067197"/>
    <n v="14.342650873352"/>
  </r>
  <r>
    <x v="0"/>
    <x v="33"/>
    <x v="8"/>
    <x v="16"/>
    <s v="PL_A"/>
    <x v="4"/>
    <n v="6.3500778790389401"/>
    <n v="1.76391052195526"/>
  </r>
  <r>
    <x v="0"/>
    <x v="33"/>
    <x v="8"/>
    <x v="16"/>
    <s v="PL_A"/>
    <x v="5"/>
    <n v="6.3500778790389401"/>
    <n v="1.76391052195526"/>
  </r>
  <r>
    <x v="0"/>
    <x v="33"/>
    <x v="8"/>
    <x v="16"/>
    <s v="PL_A"/>
    <x v="6"/>
    <n v="29.476231795214598"/>
    <n v="8.1878421653373898"/>
  </r>
  <r>
    <x v="0"/>
    <x v="33"/>
    <x v="8"/>
    <x v="16"/>
    <s v="PL_A"/>
    <x v="7"/>
    <n v="57.838935220261199"/>
    <n v="16.066370894517"/>
  </r>
  <r>
    <x v="0"/>
    <x v="33"/>
    <x v="8"/>
    <x v="16"/>
    <s v="PL_A"/>
    <x v="8"/>
    <n v="57.838935220261199"/>
    <n v="16.066370894517"/>
  </r>
  <r>
    <x v="0"/>
    <x v="33"/>
    <x v="8"/>
    <x v="16"/>
    <s v="PL_A"/>
    <x v="9"/>
    <n v="44.4505451532725"/>
    <n v="12.3473736536868"/>
  </r>
  <r>
    <x v="0"/>
    <x v="33"/>
    <x v="8"/>
    <x v="16"/>
    <s v="PL_A"/>
    <x v="10"/>
    <n v="53.975661971830903"/>
    <n v="14.993239436619699"/>
  </r>
  <r>
    <x v="0"/>
    <x v="33"/>
    <x v="8"/>
    <x v="16"/>
    <s v="PL_A"/>
    <x v="11"/>
    <n v="3.8806031483015802"/>
    <n v="1.07794531897266"/>
  </r>
  <r>
    <x v="0"/>
    <x v="33"/>
    <x v="8"/>
    <x v="16"/>
    <s v="PL_A"/>
    <x v="12"/>
    <n v="9.7995028997514597E-2"/>
    <n v="2.72208413881985E-2"/>
  </r>
  <r>
    <x v="0"/>
    <x v="33"/>
    <x v="8"/>
    <x v="16"/>
    <s v="PL_A"/>
    <x v="13"/>
    <n v="29.633696768848399"/>
    <n v="8.2315824357912195"/>
  </r>
  <r>
    <x v="0"/>
    <x v="33"/>
    <x v="8"/>
    <x v="16"/>
    <s v="PL_A"/>
    <x v="14"/>
    <n v="29.633696768848399"/>
    <n v="8.2315824357912195"/>
  </r>
  <r>
    <x v="0"/>
    <x v="33"/>
    <x v="8"/>
    <x v="16"/>
    <s v="PL_A"/>
    <x v="15"/>
    <n v="1.65807589063794"/>
    <n v="0.46057663628831802"/>
  </r>
  <r>
    <x v="0"/>
    <x v="33"/>
    <x v="8"/>
    <x v="16"/>
    <s v="PL_A"/>
    <x v="16"/>
    <n v="6.4638978602906896"/>
    <n v="1.79552718341408"/>
  </r>
  <r>
    <x v="0"/>
    <x v="33"/>
    <x v="8"/>
    <x v="16"/>
    <s v="PL_A"/>
    <x v="17"/>
    <n v="9.1244895875632395"/>
    <n v="2.5345804409897901"/>
  </r>
  <r>
    <x v="0"/>
    <x v="33"/>
    <x v="8"/>
    <x v="16"/>
    <s v="PL_A"/>
    <x v="18"/>
    <n v="29.633696768848399"/>
    <n v="8.2315824357912195"/>
  </r>
  <r>
    <x v="0"/>
    <x v="33"/>
    <x v="8"/>
    <x v="16"/>
    <s v="PL_A"/>
    <x v="19"/>
    <n v="8.1139884009941898"/>
    <n v="2.2538856669428302"/>
  </r>
  <r>
    <x v="0"/>
    <x v="33"/>
    <x v="8"/>
    <x v="16"/>
    <s v="PL_A"/>
    <x v="20"/>
    <n v="22.109183021311601"/>
    <n v="6.1414397281420996"/>
  </r>
  <r>
    <x v="0"/>
    <x v="33"/>
    <x v="8"/>
    <x v="16"/>
    <s v="PL_A"/>
    <x v="21"/>
    <n v="48.24"/>
    <n v="13.4"/>
  </r>
  <r>
    <x v="0"/>
    <x v="33"/>
    <x v="8"/>
    <x v="16"/>
    <s v="PL_A"/>
    <x v="22"/>
    <n v="67.680000000000007"/>
    <n v="18.8"/>
  </r>
  <r>
    <x v="0"/>
    <x v="33"/>
    <x v="8"/>
    <x v="16"/>
    <s v="PL_A"/>
    <x v="23"/>
    <n v="0.31515896120488701"/>
    <n v="8.7544155890246306E-2"/>
  </r>
  <r>
    <x v="0"/>
    <x v="33"/>
    <x v="8"/>
    <x v="16"/>
    <s v="PL_A"/>
    <x v="24"/>
    <n v="19.174223581093901"/>
    <n v="5.32617321697054"/>
  </r>
  <r>
    <x v="0"/>
    <x v="33"/>
    <x v="8"/>
    <x v="16"/>
    <s v="PL_A"/>
    <x v="25"/>
    <n v="26.209507293842599"/>
    <n v="7.2804186927340497"/>
  </r>
  <r>
    <x v="0"/>
    <x v="33"/>
    <x v="8"/>
    <x v="16"/>
    <s v="PL_A"/>
    <x v="26"/>
    <n v="33.320887798496699"/>
    <n v="9.2558021662490795"/>
  </r>
  <r>
    <x v="0"/>
    <x v="33"/>
    <x v="8"/>
    <x v="16"/>
    <s v="PL_A"/>
    <x v="27"/>
    <n v="20.163995508318798"/>
    <n v="5.6011098634218799"/>
  </r>
  <r>
    <x v="0"/>
    <x v="33"/>
    <x v="8"/>
    <x v="16"/>
    <s v="PL_OFFSHORE"/>
    <x v="1"/>
    <n v="35.989199999999997"/>
    <n v="9.9969999999999999"/>
  </r>
  <r>
    <x v="0"/>
    <x v="33"/>
    <x v="8"/>
    <x v="16"/>
    <s v="PL_OFFSHORE"/>
    <x v="2"/>
    <n v="46.08"/>
    <n v="12.8"/>
  </r>
  <r>
    <x v="0"/>
    <x v="33"/>
    <x v="8"/>
    <x v="16"/>
    <s v="PL_OFFSHORE"/>
    <x v="0"/>
    <n v="42.692399999999999"/>
    <n v="11.859"/>
  </r>
  <r>
    <x v="0"/>
    <x v="33"/>
    <x v="8"/>
    <x v="16"/>
    <s v="PL_OFFSHORE"/>
    <x v="3"/>
    <n v="51.633543144067197"/>
    <n v="14.342650873352"/>
  </r>
  <r>
    <x v="0"/>
    <x v="33"/>
    <x v="8"/>
    <x v="16"/>
    <s v="PL_OFFSHORE"/>
    <x v="4"/>
    <n v="6.3500778790389401"/>
    <n v="1.76391052195526"/>
  </r>
  <r>
    <x v="0"/>
    <x v="33"/>
    <x v="8"/>
    <x v="16"/>
    <s v="PL_OFFSHORE"/>
    <x v="5"/>
    <n v="6.3500778790389401"/>
    <n v="1.76391052195526"/>
  </r>
  <r>
    <x v="0"/>
    <x v="33"/>
    <x v="8"/>
    <x v="16"/>
    <s v="PL_OFFSHORE"/>
    <x v="6"/>
    <n v="29.476231795214598"/>
    <n v="8.1878421653373898"/>
  </r>
  <r>
    <x v="0"/>
    <x v="33"/>
    <x v="8"/>
    <x v="16"/>
    <s v="PL_OFFSHORE"/>
    <x v="7"/>
    <n v="57.838935220261199"/>
    <n v="16.066370894517"/>
  </r>
  <r>
    <x v="0"/>
    <x v="33"/>
    <x v="8"/>
    <x v="16"/>
    <s v="PL_OFFSHORE"/>
    <x v="8"/>
    <n v="57.838935220261199"/>
    <n v="16.066370894517"/>
  </r>
  <r>
    <x v="0"/>
    <x v="33"/>
    <x v="8"/>
    <x v="16"/>
    <s v="PL_OFFSHORE"/>
    <x v="9"/>
    <n v="44.4505451532725"/>
    <n v="12.3473736536868"/>
  </r>
  <r>
    <x v="0"/>
    <x v="33"/>
    <x v="8"/>
    <x v="16"/>
    <s v="PL_OFFSHORE"/>
    <x v="10"/>
    <n v="53.975661971830903"/>
    <n v="14.993239436619699"/>
  </r>
  <r>
    <x v="0"/>
    <x v="33"/>
    <x v="8"/>
    <x v="16"/>
    <s v="PL_OFFSHORE"/>
    <x v="11"/>
    <n v="3.8806031483015802"/>
    <n v="1.07794531897266"/>
  </r>
  <r>
    <x v="0"/>
    <x v="33"/>
    <x v="8"/>
    <x v="16"/>
    <s v="PL_OFFSHORE"/>
    <x v="12"/>
    <n v="9.7995028997514597E-2"/>
    <n v="2.72208413881985E-2"/>
  </r>
  <r>
    <x v="0"/>
    <x v="33"/>
    <x v="8"/>
    <x v="16"/>
    <s v="PL_OFFSHORE"/>
    <x v="13"/>
    <n v="29.633696768848399"/>
    <n v="8.2315824357912195"/>
  </r>
  <r>
    <x v="0"/>
    <x v="33"/>
    <x v="8"/>
    <x v="16"/>
    <s v="PL_OFFSHORE"/>
    <x v="14"/>
    <n v="29.633696768848399"/>
    <n v="8.2315824357912195"/>
  </r>
  <r>
    <x v="0"/>
    <x v="33"/>
    <x v="8"/>
    <x v="16"/>
    <s v="PL_OFFSHORE"/>
    <x v="15"/>
    <n v="1.65807589063794"/>
    <n v="0.46057663628831802"/>
  </r>
  <r>
    <x v="0"/>
    <x v="33"/>
    <x v="8"/>
    <x v="16"/>
    <s v="PL_OFFSHORE"/>
    <x v="16"/>
    <n v="6.4638978602906896"/>
    <n v="1.79552718341408"/>
  </r>
  <r>
    <x v="0"/>
    <x v="33"/>
    <x v="8"/>
    <x v="16"/>
    <s v="PL_OFFSHORE"/>
    <x v="17"/>
    <n v="9.1244895875632395"/>
    <n v="2.5345804409897901"/>
  </r>
  <r>
    <x v="0"/>
    <x v="33"/>
    <x v="8"/>
    <x v="16"/>
    <s v="PL_OFFSHORE"/>
    <x v="18"/>
    <n v="29.633696768848399"/>
    <n v="8.2315824357912195"/>
  </r>
  <r>
    <x v="0"/>
    <x v="33"/>
    <x v="8"/>
    <x v="16"/>
    <s v="PL_OFFSHORE"/>
    <x v="19"/>
    <n v="8.1139884009941898"/>
    <n v="2.2538856669428302"/>
  </r>
  <r>
    <x v="0"/>
    <x v="33"/>
    <x v="8"/>
    <x v="16"/>
    <s v="PL_OFFSHORE"/>
    <x v="20"/>
    <n v="22.109183021311601"/>
    <n v="6.1414397281420996"/>
  </r>
  <r>
    <x v="0"/>
    <x v="33"/>
    <x v="8"/>
    <x v="16"/>
    <s v="PL_OFFSHORE"/>
    <x v="21"/>
    <n v="48.24"/>
    <n v="13.4"/>
  </r>
  <r>
    <x v="0"/>
    <x v="33"/>
    <x v="8"/>
    <x v="16"/>
    <s v="PL_OFFSHORE"/>
    <x v="22"/>
    <n v="67.680000000000007"/>
    <n v="18.8"/>
  </r>
  <r>
    <x v="0"/>
    <x v="33"/>
    <x v="8"/>
    <x v="16"/>
    <s v="PL_OFFSHORE"/>
    <x v="23"/>
    <n v="0.31515896120488701"/>
    <n v="8.7544155890246306E-2"/>
  </r>
  <r>
    <x v="0"/>
    <x v="33"/>
    <x v="8"/>
    <x v="16"/>
    <s v="PL_OFFSHORE"/>
    <x v="24"/>
    <n v="19.174223581093901"/>
    <n v="5.32617321697054"/>
  </r>
  <r>
    <x v="0"/>
    <x v="33"/>
    <x v="8"/>
    <x v="16"/>
    <s v="PL_OFFSHORE"/>
    <x v="25"/>
    <n v="26.209507293842599"/>
    <n v="7.2804186927340497"/>
  </r>
  <r>
    <x v="0"/>
    <x v="33"/>
    <x v="8"/>
    <x v="16"/>
    <s v="PL_OFFSHORE"/>
    <x v="26"/>
    <n v="33.320887798496699"/>
    <n v="9.2558021662490795"/>
  </r>
  <r>
    <x v="0"/>
    <x v="33"/>
    <x v="8"/>
    <x v="16"/>
    <s v="PL_OFFSHORE"/>
    <x v="27"/>
    <n v="20.163995508318798"/>
    <n v="5.6011098634218799"/>
  </r>
  <r>
    <x v="0"/>
    <x v="33"/>
    <x v="8"/>
    <x v="16"/>
    <s v="PL_Rural"/>
    <x v="1"/>
    <n v="35.989199999999997"/>
    <n v="9.9969999999999999"/>
  </r>
  <r>
    <x v="0"/>
    <x v="33"/>
    <x v="8"/>
    <x v="16"/>
    <s v="PL_Rural"/>
    <x v="2"/>
    <n v="46.08"/>
    <n v="12.8"/>
  </r>
  <r>
    <x v="0"/>
    <x v="33"/>
    <x v="8"/>
    <x v="16"/>
    <s v="PL_Rural"/>
    <x v="0"/>
    <n v="42.692399999999999"/>
    <n v="11.859"/>
  </r>
  <r>
    <x v="0"/>
    <x v="33"/>
    <x v="8"/>
    <x v="16"/>
    <s v="PL_Rural"/>
    <x v="3"/>
    <n v="51.633543144067197"/>
    <n v="14.342650873352"/>
  </r>
  <r>
    <x v="0"/>
    <x v="33"/>
    <x v="8"/>
    <x v="16"/>
    <s v="PL_Rural"/>
    <x v="4"/>
    <n v="6.3500778790389401"/>
    <n v="1.76391052195526"/>
  </r>
  <r>
    <x v="0"/>
    <x v="33"/>
    <x v="8"/>
    <x v="16"/>
    <s v="PL_Rural"/>
    <x v="5"/>
    <n v="6.3500778790389401"/>
    <n v="1.76391052195526"/>
  </r>
  <r>
    <x v="0"/>
    <x v="33"/>
    <x v="8"/>
    <x v="16"/>
    <s v="PL_Rural"/>
    <x v="6"/>
    <n v="29.476231795214598"/>
    <n v="8.1878421653373898"/>
  </r>
  <r>
    <x v="0"/>
    <x v="33"/>
    <x v="8"/>
    <x v="16"/>
    <s v="PL_Rural"/>
    <x v="7"/>
    <n v="57.838935220261199"/>
    <n v="16.066370894517"/>
  </r>
  <r>
    <x v="0"/>
    <x v="33"/>
    <x v="8"/>
    <x v="16"/>
    <s v="PL_Rural"/>
    <x v="8"/>
    <n v="57.838935220261199"/>
    <n v="16.066370894517"/>
  </r>
  <r>
    <x v="0"/>
    <x v="33"/>
    <x v="8"/>
    <x v="16"/>
    <s v="PL_Rural"/>
    <x v="9"/>
    <n v="44.4505451532725"/>
    <n v="12.3473736536868"/>
  </r>
  <r>
    <x v="0"/>
    <x v="33"/>
    <x v="8"/>
    <x v="16"/>
    <s v="PL_Rural"/>
    <x v="10"/>
    <n v="53.975661971830903"/>
    <n v="14.993239436619699"/>
  </r>
  <r>
    <x v="0"/>
    <x v="33"/>
    <x v="8"/>
    <x v="16"/>
    <s v="PL_Rural"/>
    <x v="11"/>
    <n v="3.8806031483015802"/>
    <n v="1.07794531897266"/>
  </r>
  <r>
    <x v="0"/>
    <x v="33"/>
    <x v="8"/>
    <x v="16"/>
    <s v="PL_Rural"/>
    <x v="12"/>
    <n v="9.7995028997514597E-2"/>
    <n v="2.72208413881985E-2"/>
  </r>
  <r>
    <x v="0"/>
    <x v="33"/>
    <x v="8"/>
    <x v="16"/>
    <s v="PL_Rural"/>
    <x v="13"/>
    <n v="29.633696768848399"/>
    <n v="8.2315824357912195"/>
  </r>
  <r>
    <x v="0"/>
    <x v="33"/>
    <x v="8"/>
    <x v="16"/>
    <s v="PL_Rural"/>
    <x v="14"/>
    <n v="29.633696768848399"/>
    <n v="8.2315824357912195"/>
  </r>
  <r>
    <x v="0"/>
    <x v="33"/>
    <x v="8"/>
    <x v="16"/>
    <s v="PL_Rural"/>
    <x v="15"/>
    <n v="1.65807589063794"/>
    <n v="0.46057663628831802"/>
  </r>
  <r>
    <x v="0"/>
    <x v="33"/>
    <x v="8"/>
    <x v="16"/>
    <s v="PL_Rural"/>
    <x v="16"/>
    <n v="6.4638978602906896"/>
    <n v="1.79552718341408"/>
  </r>
  <r>
    <x v="0"/>
    <x v="33"/>
    <x v="8"/>
    <x v="16"/>
    <s v="PL_Rural"/>
    <x v="17"/>
    <n v="9.1244895875632395"/>
    <n v="2.5345804409897901"/>
  </r>
  <r>
    <x v="0"/>
    <x v="33"/>
    <x v="8"/>
    <x v="16"/>
    <s v="PL_Rural"/>
    <x v="18"/>
    <n v="29.633696768848399"/>
    <n v="8.2315824357912195"/>
  </r>
  <r>
    <x v="0"/>
    <x v="33"/>
    <x v="8"/>
    <x v="16"/>
    <s v="PL_Rural"/>
    <x v="19"/>
    <n v="8.1139884009941898"/>
    <n v="2.2538856669428302"/>
  </r>
  <r>
    <x v="0"/>
    <x v="33"/>
    <x v="8"/>
    <x v="16"/>
    <s v="PL_Rural"/>
    <x v="20"/>
    <n v="22.109183021311601"/>
    <n v="6.1414397281420996"/>
  </r>
  <r>
    <x v="0"/>
    <x v="33"/>
    <x v="8"/>
    <x v="16"/>
    <s v="PL_Rural"/>
    <x v="21"/>
    <n v="48.24"/>
    <n v="13.4"/>
  </r>
  <r>
    <x v="0"/>
    <x v="33"/>
    <x v="8"/>
    <x v="16"/>
    <s v="PL_Rural"/>
    <x v="22"/>
    <n v="67.680000000000007"/>
    <n v="18.8"/>
  </r>
  <r>
    <x v="0"/>
    <x v="33"/>
    <x v="8"/>
    <x v="16"/>
    <s v="PL_Rural"/>
    <x v="23"/>
    <n v="0.31515896120488701"/>
    <n v="8.7544155890246306E-2"/>
  </r>
  <r>
    <x v="0"/>
    <x v="33"/>
    <x v="8"/>
    <x v="16"/>
    <s v="PL_Rural"/>
    <x v="24"/>
    <n v="19.174223581093901"/>
    <n v="5.32617321697054"/>
  </r>
  <r>
    <x v="0"/>
    <x v="33"/>
    <x v="8"/>
    <x v="16"/>
    <s v="PL_Rural"/>
    <x v="25"/>
    <n v="26.209507293842599"/>
    <n v="7.2804186927340497"/>
  </r>
  <r>
    <x v="0"/>
    <x v="33"/>
    <x v="8"/>
    <x v="16"/>
    <s v="PL_Rural"/>
    <x v="26"/>
    <n v="33.320887798496699"/>
    <n v="9.2558021662490795"/>
  </r>
  <r>
    <x v="0"/>
    <x v="33"/>
    <x v="8"/>
    <x v="16"/>
    <s v="PL_Rural"/>
    <x v="27"/>
    <n v="20.163995508318798"/>
    <n v="5.6011098634218799"/>
  </r>
  <r>
    <x v="0"/>
    <x v="33"/>
    <x v="9"/>
    <x v="17"/>
    <s v="SE1A"/>
    <x v="1"/>
    <n v="35.989199999999997"/>
    <n v="9.9969999999999999"/>
  </r>
  <r>
    <x v="0"/>
    <x v="33"/>
    <x v="9"/>
    <x v="17"/>
    <s v="SE1A"/>
    <x v="2"/>
    <n v="46.08"/>
    <n v="12.8"/>
  </r>
  <r>
    <x v="0"/>
    <x v="33"/>
    <x v="9"/>
    <x v="17"/>
    <s v="SE1A"/>
    <x v="0"/>
    <n v="42.692399999999999"/>
    <n v="11.859"/>
  </r>
  <r>
    <x v="0"/>
    <x v="33"/>
    <x v="9"/>
    <x v="17"/>
    <s v="SE1A"/>
    <x v="3"/>
    <n v="51.633543144067197"/>
    <n v="14.342650873352"/>
  </r>
  <r>
    <x v="0"/>
    <x v="33"/>
    <x v="9"/>
    <x v="17"/>
    <s v="SE1A"/>
    <x v="4"/>
    <n v="6.3500778790389401"/>
    <n v="1.76391052195526"/>
  </r>
  <r>
    <x v="0"/>
    <x v="33"/>
    <x v="9"/>
    <x v="17"/>
    <s v="SE1A"/>
    <x v="5"/>
    <n v="6.3500778790389401"/>
    <n v="1.76391052195526"/>
  </r>
  <r>
    <x v="0"/>
    <x v="33"/>
    <x v="9"/>
    <x v="17"/>
    <s v="SE1A"/>
    <x v="6"/>
    <n v="29.476231795214598"/>
    <n v="8.1878421653373898"/>
  </r>
  <r>
    <x v="0"/>
    <x v="33"/>
    <x v="9"/>
    <x v="17"/>
    <s v="SE1A"/>
    <x v="7"/>
    <n v="57.838935220261199"/>
    <n v="16.066370894517"/>
  </r>
  <r>
    <x v="0"/>
    <x v="33"/>
    <x v="9"/>
    <x v="17"/>
    <s v="SE1A"/>
    <x v="8"/>
    <n v="57.838935220261199"/>
    <n v="16.066370894517"/>
  </r>
  <r>
    <x v="0"/>
    <x v="33"/>
    <x v="9"/>
    <x v="17"/>
    <s v="SE1A"/>
    <x v="9"/>
    <n v="44.4505451532725"/>
    <n v="12.3473736536868"/>
  </r>
  <r>
    <x v="0"/>
    <x v="33"/>
    <x v="9"/>
    <x v="17"/>
    <s v="SE1A"/>
    <x v="10"/>
    <n v="53.975661971830903"/>
    <n v="14.993239436619699"/>
  </r>
  <r>
    <x v="0"/>
    <x v="33"/>
    <x v="9"/>
    <x v="17"/>
    <s v="SE1A"/>
    <x v="11"/>
    <n v="3.8806031483015802"/>
    <n v="1.07794531897266"/>
  </r>
  <r>
    <x v="0"/>
    <x v="33"/>
    <x v="9"/>
    <x v="17"/>
    <s v="SE1A"/>
    <x v="12"/>
    <n v="9.7995028997514597E-2"/>
    <n v="2.72208413881985E-2"/>
  </r>
  <r>
    <x v="0"/>
    <x v="33"/>
    <x v="9"/>
    <x v="17"/>
    <s v="SE1A"/>
    <x v="13"/>
    <n v="29.633696768848399"/>
    <n v="8.2315824357912195"/>
  </r>
  <r>
    <x v="0"/>
    <x v="33"/>
    <x v="9"/>
    <x v="17"/>
    <s v="SE1A"/>
    <x v="14"/>
    <n v="29.633696768848399"/>
    <n v="8.2315824357912195"/>
  </r>
  <r>
    <x v="0"/>
    <x v="33"/>
    <x v="9"/>
    <x v="17"/>
    <s v="SE1A"/>
    <x v="15"/>
    <n v="1.65807589063794"/>
    <n v="0.46057663628831802"/>
  </r>
  <r>
    <x v="0"/>
    <x v="33"/>
    <x v="9"/>
    <x v="17"/>
    <s v="SE1A"/>
    <x v="16"/>
    <n v="6.4638978602906896"/>
    <n v="1.79552718341408"/>
  </r>
  <r>
    <x v="0"/>
    <x v="33"/>
    <x v="9"/>
    <x v="17"/>
    <s v="SE1A"/>
    <x v="17"/>
    <n v="9.1244895875632395"/>
    <n v="2.5345804409897901"/>
  </r>
  <r>
    <x v="0"/>
    <x v="33"/>
    <x v="9"/>
    <x v="17"/>
    <s v="SE1A"/>
    <x v="18"/>
    <n v="29.633696768848399"/>
    <n v="8.2315824357912195"/>
  </r>
  <r>
    <x v="0"/>
    <x v="33"/>
    <x v="9"/>
    <x v="17"/>
    <s v="SE1A"/>
    <x v="19"/>
    <n v="8.1139884009941898"/>
    <n v="2.2538856669428302"/>
  </r>
  <r>
    <x v="0"/>
    <x v="33"/>
    <x v="9"/>
    <x v="17"/>
    <s v="SE1A"/>
    <x v="20"/>
    <n v="22.109183021311601"/>
    <n v="6.1414397281420996"/>
  </r>
  <r>
    <x v="0"/>
    <x v="33"/>
    <x v="9"/>
    <x v="17"/>
    <s v="SE1A"/>
    <x v="21"/>
    <n v="48.24"/>
    <n v="13.4"/>
  </r>
  <r>
    <x v="0"/>
    <x v="33"/>
    <x v="9"/>
    <x v="17"/>
    <s v="SE1A"/>
    <x v="22"/>
    <n v="67.680000000000007"/>
    <n v="18.8"/>
  </r>
  <r>
    <x v="0"/>
    <x v="33"/>
    <x v="9"/>
    <x v="17"/>
    <s v="SE1A"/>
    <x v="23"/>
    <n v="0.31515896120488701"/>
    <n v="8.7544155890246306E-2"/>
  </r>
  <r>
    <x v="0"/>
    <x v="33"/>
    <x v="9"/>
    <x v="17"/>
    <s v="SE1A"/>
    <x v="24"/>
    <n v="19.174223581093901"/>
    <n v="5.32617321697054"/>
  </r>
  <r>
    <x v="0"/>
    <x v="33"/>
    <x v="9"/>
    <x v="17"/>
    <s v="SE1A"/>
    <x v="25"/>
    <n v="26.209507293842599"/>
    <n v="7.2804186927340497"/>
  </r>
  <r>
    <x v="0"/>
    <x v="33"/>
    <x v="9"/>
    <x v="17"/>
    <s v="SE1A"/>
    <x v="26"/>
    <n v="33.320887798496699"/>
    <n v="9.2558021662490795"/>
  </r>
  <r>
    <x v="0"/>
    <x v="33"/>
    <x v="9"/>
    <x v="17"/>
    <s v="SE1A"/>
    <x v="27"/>
    <n v="20.163995508318798"/>
    <n v="5.6011098634218799"/>
  </r>
  <r>
    <x v="0"/>
    <x v="33"/>
    <x v="9"/>
    <x v="17"/>
    <s v="SE1_IND"/>
    <x v="1"/>
    <n v="35.989199999999997"/>
    <n v="9.9969999999999999"/>
  </r>
  <r>
    <x v="0"/>
    <x v="33"/>
    <x v="9"/>
    <x v="17"/>
    <s v="SE1_IND"/>
    <x v="2"/>
    <n v="46.08"/>
    <n v="12.8"/>
  </r>
  <r>
    <x v="0"/>
    <x v="33"/>
    <x v="9"/>
    <x v="17"/>
    <s v="SE1_IND"/>
    <x v="0"/>
    <n v="42.692399999999999"/>
    <n v="11.859"/>
  </r>
  <r>
    <x v="0"/>
    <x v="33"/>
    <x v="9"/>
    <x v="17"/>
    <s v="SE1_IND"/>
    <x v="3"/>
    <n v="51.633543144067197"/>
    <n v="14.342650873352"/>
  </r>
  <r>
    <x v="0"/>
    <x v="33"/>
    <x v="9"/>
    <x v="17"/>
    <s v="SE1_IND"/>
    <x v="4"/>
    <n v="6.3500778790389401"/>
    <n v="1.76391052195526"/>
  </r>
  <r>
    <x v="0"/>
    <x v="33"/>
    <x v="9"/>
    <x v="17"/>
    <s v="SE1_IND"/>
    <x v="5"/>
    <n v="6.3500778790389401"/>
    <n v="1.76391052195526"/>
  </r>
  <r>
    <x v="0"/>
    <x v="33"/>
    <x v="9"/>
    <x v="17"/>
    <s v="SE1_IND"/>
    <x v="6"/>
    <n v="29.476231795214598"/>
    <n v="8.1878421653373898"/>
  </r>
  <r>
    <x v="0"/>
    <x v="33"/>
    <x v="9"/>
    <x v="17"/>
    <s v="SE1_IND"/>
    <x v="7"/>
    <n v="57.838935220261199"/>
    <n v="16.066370894517"/>
  </r>
  <r>
    <x v="0"/>
    <x v="33"/>
    <x v="9"/>
    <x v="17"/>
    <s v="SE1_IND"/>
    <x v="8"/>
    <n v="57.838935220261199"/>
    <n v="16.066370894517"/>
  </r>
  <r>
    <x v="0"/>
    <x v="33"/>
    <x v="9"/>
    <x v="17"/>
    <s v="SE1_IND"/>
    <x v="9"/>
    <n v="44.4505451532725"/>
    <n v="12.3473736536868"/>
  </r>
  <r>
    <x v="0"/>
    <x v="33"/>
    <x v="9"/>
    <x v="17"/>
    <s v="SE1_IND"/>
    <x v="10"/>
    <n v="53.975661971830903"/>
    <n v="14.993239436619699"/>
  </r>
  <r>
    <x v="0"/>
    <x v="33"/>
    <x v="9"/>
    <x v="17"/>
    <s v="SE1_IND"/>
    <x v="11"/>
    <n v="3.8806031483015802"/>
    <n v="1.07794531897266"/>
  </r>
  <r>
    <x v="0"/>
    <x v="33"/>
    <x v="9"/>
    <x v="17"/>
    <s v="SE1_IND"/>
    <x v="12"/>
    <n v="9.7995028997514597E-2"/>
    <n v="2.72208413881985E-2"/>
  </r>
  <r>
    <x v="0"/>
    <x v="33"/>
    <x v="9"/>
    <x v="17"/>
    <s v="SE1_IND"/>
    <x v="13"/>
    <n v="29.633696768848399"/>
    <n v="8.2315824357912195"/>
  </r>
  <r>
    <x v="0"/>
    <x v="33"/>
    <x v="9"/>
    <x v="17"/>
    <s v="SE1_IND"/>
    <x v="14"/>
    <n v="29.633696768848399"/>
    <n v="8.2315824357912195"/>
  </r>
  <r>
    <x v="0"/>
    <x v="33"/>
    <x v="9"/>
    <x v="17"/>
    <s v="SE1_IND"/>
    <x v="15"/>
    <n v="1.65807589063794"/>
    <n v="0.46057663628831802"/>
  </r>
  <r>
    <x v="0"/>
    <x v="33"/>
    <x v="9"/>
    <x v="17"/>
    <s v="SE1_IND"/>
    <x v="16"/>
    <n v="6.4638978602906896"/>
    <n v="1.79552718341408"/>
  </r>
  <r>
    <x v="0"/>
    <x v="33"/>
    <x v="9"/>
    <x v="17"/>
    <s v="SE1_IND"/>
    <x v="17"/>
    <n v="9.1244895875632395"/>
    <n v="2.5345804409897901"/>
  </r>
  <r>
    <x v="0"/>
    <x v="33"/>
    <x v="9"/>
    <x v="17"/>
    <s v="SE1_IND"/>
    <x v="18"/>
    <n v="29.633696768848399"/>
    <n v="8.2315824357912195"/>
  </r>
  <r>
    <x v="0"/>
    <x v="33"/>
    <x v="9"/>
    <x v="17"/>
    <s v="SE1_IND"/>
    <x v="19"/>
    <n v="8.1139884009941898"/>
    <n v="2.2538856669428302"/>
  </r>
  <r>
    <x v="0"/>
    <x v="33"/>
    <x v="9"/>
    <x v="17"/>
    <s v="SE1_IND"/>
    <x v="20"/>
    <n v="22.109183021311601"/>
    <n v="6.1414397281420996"/>
  </r>
  <r>
    <x v="0"/>
    <x v="33"/>
    <x v="9"/>
    <x v="17"/>
    <s v="SE1_IND"/>
    <x v="21"/>
    <n v="48.24"/>
    <n v="13.4"/>
  </r>
  <r>
    <x v="0"/>
    <x v="33"/>
    <x v="9"/>
    <x v="17"/>
    <s v="SE1_IND"/>
    <x v="22"/>
    <n v="67.680000000000007"/>
    <n v="18.8"/>
  </r>
  <r>
    <x v="0"/>
    <x v="33"/>
    <x v="9"/>
    <x v="17"/>
    <s v="SE1_IND"/>
    <x v="23"/>
    <n v="0.31515896120488701"/>
    <n v="8.7544155890246306E-2"/>
  </r>
  <r>
    <x v="0"/>
    <x v="33"/>
    <x v="9"/>
    <x v="17"/>
    <s v="SE1_IND"/>
    <x v="24"/>
    <n v="19.174223581093901"/>
    <n v="5.32617321697054"/>
  </r>
  <r>
    <x v="0"/>
    <x v="33"/>
    <x v="9"/>
    <x v="17"/>
    <s v="SE1_IND"/>
    <x v="25"/>
    <n v="26.209507293842599"/>
    <n v="7.2804186927340497"/>
  </r>
  <r>
    <x v="0"/>
    <x v="33"/>
    <x v="9"/>
    <x v="17"/>
    <s v="SE1_IND"/>
    <x v="26"/>
    <n v="33.320887798496699"/>
    <n v="9.2558021662490795"/>
  </r>
  <r>
    <x v="0"/>
    <x v="33"/>
    <x v="9"/>
    <x v="17"/>
    <s v="SE1_IND"/>
    <x v="27"/>
    <n v="20.163995508318798"/>
    <n v="5.6011098634218799"/>
  </r>
  <r>
    <x v="0"/>
    <x v="33"/>
    <x v="9"/>
    <x v="17"/>
    <s v="SE1_Offshore"/>
    <x v="1"/>
    <n v="35.989199999999997"/>
    <n v="9.9969999999999999"/>
  </r>
  <r>
    <x v="0"/>
    <x v="33"/>
    <x v="9"/>
    <x v="17"/>
    <s v="SE1_Offshore"/>
    <x v="2"/>
    <n v="46.08"/>
    <n v="12.8"/>
  </r>
  <r>
    <x v="0"/>
    <x v="33"/>
    <x v="9"/>
    <x v="17"/>
    <s v="SE1_Offshore"/>
    <x v="0"/>
    <n v="42.692399999999999"/>
    <n v="11.859"/>
  </r>
  <r>
    <x v="0"/>
    <x v="33"/>
    <x v="9"/>
    <x v="17"/>
    <s v="SE1_Offshore"/>
    <x v="3"/>
    <n v="51.633543144067197"/>
    <n v="14.342650873352"/>
  </r>
  <r>
    <x v="0"/>
    <x v="33"/>
    <x v="9"/>
    <x v="17"/>
    <s v="SE1_Offshore"/>
    <x v="4"/>
    <n v="6.3500778790389401"/>
    <n v="1.76391052195526"/>
  </r>
  <r>
    <x v="0"/>
    <x v="33"/>
    <x v="9"/>
    <x v="17"/>
    <s v="SE1_Offshore"/>
    <x v="5"/>
    <n v="6.3500778790389401"/>
    <n v="1.76391052195526"/>
  </r>
  <r>
    <x v="0"/>
    <x v="33"/>
    <x v="9"/>
    <x v="17"/>
    <s v="SE1_Offshore"/>
    <x v="6"/>
    <n v="29.476231795214598"/>
    <n v="8.1878421653373898"/>
  </r>
  <r>
    <x v="0"/>
    <x v="33"/>
    <x v="9"/>
    <x v="17"/>
    <s v="SE1_Offshore"/>
    <x v="7"/>
    <n v="57.838935220261199"/>
    <n v="16.066370894517"/>
  </r>
  <r>
    <x v="0"/>
    <x v="33"/>
    <x v="9"/>
    <x v="17"/>
    <s v="SE1_Offshore"/>
    <x v="8"/>
    <n v="57.838935220261199"/>
    <n v="16.066370894517"/>
  </r>
  <r>
    <x v="0"/>
    <x v="33"/>
    <x v="9"/>
    <x v="17"/>
    <s v="SE1_Offshore"/>
    <x v="9"/>
    <n v="44.4505451532725"/>
    <n v="12.3473736536868"/>
  </r>
  <r>
    <x v="0"/>
    <x v="33"/>
    <x v="9"/>
    <x v="17"/>
    <s v="SE1_Offshore"/>
    <x v="10"/>
    <n v="53.975661971830903"/>
    <n v="14.993239436619699"/>
  </r>
  <r>
    <x v="0"/>
    <x v="33"/>
    <x v="9"/>
    <x v="17"/>
    <s v="SE1_Offshore"/>
    <x v="11"/>
    <n v="3.8806031483015802"/>
    <n v="1.07794531897266"/>
  </r>
  <r>
    <x v="0"/>
    <x v="33"/>
    <x v="9"/>
    <x v="17"/>
    <s v="SE1_Offshore"/>
    <x v="12"/>
    <n v="9.7995028997514597E-2"/>
    <n v="2.72208413881985E-2"/>
  </r>
  <r>
    <x v="0"/>
    <x v="33"/>
    <x v="9"/>
    <x v="17"/>
    <s v="SE1_Offshore"/>
    <x v="13"/>
    <n v="29.633696768848399"/>
    <n v="8.2315824357912195"/>
  </r>
  <r>
    <x v="0"/>
    <x v="33"/>
    <x v="9"/>
    <x v="17"/>
    <s v="SE1_Offshore"/>
    <x v="14"/>
    <n v="29.633696768848399"/>
    <n v="8.2315824357912195"/>
  </r>
  <r>
    <x v="0"/>
    <x v="33"/>
    <x v="9"/>
    <x v="17"/>
    <s v="SE1_Offshore"/>
    <x v="15"/>
    <n v="1.65807589063794"/>
    <n v="0.46057663628831802"/>
  </r>
  <r>
    <x v="0"/>
    <x v="33"/>
    <x v="9"/>
    <x v="17"/>
    <s v="SE1_Offshore"/>
    <x v="16"/>
    <n v="6.4638978602906896"/>
    <n v="1.79552718341408"/>
  </r>
  <r>
    <x v="0"/>
    <x v="33"/>
    <x v="9"/>
    <x v="17"/>
    <s v="SE1_Offshore"/>
    <x v="17"/>
    <n v="9.1244895875632395"/>
    <n v="2.5345804409897901"/>
  </r>
  <r>
    <x v="0"/>
    <x v="33"/>
    <x v="9"/>
    <x v="17"/>
    <s v="SE1_Offshore"/>
    <x v="18"/>
    <n v="29.633696768848399"/>
    <n v="8.2315824357912195"/>
  </r>
  <r>
    <x v="0"/>
    <x v="33"/>
    <x v="9"/>
    <x v="17"/>
    <s v="SE1_Offshore"/>
    <x v="19"/>
    <n v="8.1139884009941898"/>
    <n v="2.2538856669428302"/>
  </r>
  <r>
    <x v="0"/>
    <x v="33"/>
    <x v="9"/>
    <x v="17"/>
    <s v="SE1_Offshore"/>
    <x v="20"/>
    <n v="22.109183021311601"/>
    <n v="6.1414397281420996"/>
  </r>
  <r>
    <x v="0"/>
    <x v="33"/>
    <x v="9"/>
    <x v="17"/>
    <s v="SE1_Offshore"/>
    <x v="21"/>
    <n v="48.24"/>
    <n v="13.4"/>
  </r>
  <r>
    <x v="0"/>
    <x v="33"/>
    <x v="9"/>
    <x v="17"/>
    <s v="SE1_Offshore"/>
    <x v="22"/>
    <n v="67.680000000000007"/>
    <n v="18.8"/>
  </r>
  <r>
    <x v="0"/>
    <x v="33"/>
    <x v="9"/>
    <x v="17"/>
    <s v="SE1_Offshore"/>
    <x v="23"/>
    <n v="0.31515896120488701"/>
    <n v="8.7544155890246306E-2"/>
  </r>
  <r>
    <x v="0"/>
    <x v="33"/>
    <x v="9"/>
    <x v="17"/>
    <s v="SE1_Offshore"/>
    <x v="24"/>
    <n v="19.174223581093901"/>
    <n v="5.32617321697054"/>
  </r>
  <r>
    <x v="0"/>
    <x v="33"/>
    <x v="9"/>
    <x v="17"/>
    <s v="SE1_Offshore"/>
    <x v="25"/>
    <n v="26.209507293842599"/>
    <n v="7.2804186927340497"/>
  </r>
  <r>
    <x v="0"/>
    <x v="33"/>
    <x v="9"/>
    <x v="17"/>
    <s v="SE1_Offshore"/>
    <x v="26"/>
    <n v="33.320887798496699"/>
    <n v="9.2558021662490795"/>
  </r>
  <r>
    <x v="0"/>
    <x v="33"/>
    <x v="9"/>
    <x v="17"/>
    <s v="SE1_Offshore"/>
    <x v="27"/>
    <n v="20.163995508318798"/>
    <n v="5.6011098634218799"/>
  </r>
  <r>
    <x v="0"/>
    <x v="33"/>
    <x v="9"/>
    <x v="17"/>
    <s v="SE1_medium"/>
    <x v="1"/>
    <n v="35.989199999999997"/>
    <n v="9.9969999999999999"/>
  </r>
  <r>
    <x v="0"/>
    <x v="33"/>
    <x v="9"/>
    <x v="17"/>
    <s v="SE1_medium"/>
    <x v="2"/>
    <n v="46.08"/>
    <n v="12.8"/>
  </r>
  <r>
    <x v="0"/>
    <x v="33"/>
    <x v="9"/>
    <x v="17"/>
    <s v="SE1_medium"/>
    <x v="0"/>
    <n v="42.692399999999999"/>
    <n v="11.859"/>
  </r>
  <r>
    <x v="0"/>
    <x v="33"/>
    <x v="9"/>
    <x v="17"/>
    <s v="SE1_medium"/>
    <x v="3"/>
    <n v="51.633543144067197"/>
    <n v="14.342650873352"/>
  </r>
  <r>
    <x v="0"/>
    <x v="33"/>
    <x v="9"/>
    <x v="17"/>
    <s v="SE1_medium"/>
    <x v="4"/>
    <n v="6.3500778790389401"/>
    <n v="1.76391052195526"/>
  </r>
  <r>
    <x v="0"/>
    <x v="33"/>
    <x v="9"/>
    <x v="17"/>
    <s v="SE1_medium"/>
    <x v="5"/>
    <n v="6.3500778790389401"/>
    <n v="1.76391052195526"/>
  </r>
  <r>
    <x v="0"/>
    <x v="33"/>
    <x v="9"/>
    <x v="17"/>
    <s v="SE1_medium"/>
    <x v="6"/>
    <n v="29.476231795214598"/>
    <n v="8.1878421653373898"/>
  </r>
  <r>
    <x v="0"/>
    <x v="33"/>
    <x v="9"/>
    <x v="17"/>
    <s v="SE1_medium"/>
    <x v="7"/>
    <n v="57.838935220261199"/>
    <n v="16.066370894517"/>
  </r>
  <r>
    <x v="0"/>
    <x v="33"/>
    <x v="9"/>
    <x v="17"/>
    <s v="SE1_medium"/>
    <x v="8"/>
    <n v="57.838935220261199"/>
    <n v="16.066370894517"/>
  </r>
  <r>
    <x v="0"/>
    <x v="33"/>
    <x v="9"/>
    <x v="17"/>
    <s v="SE1_medium"/>
    <x v="9"/>
    <n v="44.4505451532725"/>
    <n v="12.3473736536868"/>
  </r>
  <r>
    <x v="0"/>
    <x v="33"/>
    <x v="9"/>
    <x v="17"/>
    <s v="SE1_medium"/>
    <x v="10"/>
    <n v="53.975661971830903"/>
    <n v="14.993239436619699"/>
  </r>
  <r>
    <x v="0"/>
    <x v="33"/>
    <x v="9"/>
    <x v="17"/>
    <s v="SE1_medium"/>
    <x v="11"/>
    <n v="3.8806031483015802"/>
    <n v="1.07794531897266"/>
  </r>
  <r>
    <x v="0"/>
    <x v="33"/>
    <x v="9"/>
    <x v="17"/>
    <s v="SE1_medium"/>
    <x v="12"/>
    <n v="9.7995028997514597E-2"/>
    <n v="2.72208413881985E-2"/>
  </r>
  <r>
    <x v="0"/>
    <x v="33"/>
    <x v="9"/>
    <x v="17"/>
    <s v="SE1_medium"/>
    <x v="13"/>
    <n v="29.633696768848399"/>
    <n v="8.2315824357912195"/>
  </r>
  <r>
    <x v="0"/>
    <x v="33"/>
    <x v="9"/>
    <x v="17"/>
    <s v="SE1_medium"/>
    <x v="14"/>
    <n v="29.633696768848399"/>
    <n v="8.2315824357912195"/>
  </r>
  <r>
    <x v="0"/>
    <x v="33"/>
    <x v="9"/>
    <x v="17"/>
    <s v="SE1_medium"/>
    <x v="15"/>
    <n v="1.65807589063794"/>
    <n v="0.46057663628831802"/>
  </r>
  <r>
    <x v="0"/>
    <x v="33"/>
    <x v="9"/>
    <x v="17"/>
    <s v="SE1_medium"/>
    <x v="16"/>
    <n v="6.4638978602906896"/>
    <n v="1.79552718341408"/>
  </r>
  <r>
    <x v="0"/>
    <x v="33"/>
    <x v="9"/>
    <x v="17"/>
    <s v="SE1_medium"/>
    <x v="17"/>
    <n v="9.1244895875632395"/>
    <n v="2.5345804409897901"/>
  </r>
  <r>
    <x v="0"/>
    <x v="33"/>
    <x v="9"/>
    <x v="17"/>
    <s v="SE1_medium"/>
    <x v="18"/>
    <n v="29.633696768848399"/>
    <n v="8.2315824357912195"/>
  </r>
  <r>
    <x v="0"/>
    <x v="33"/>
    <x v="9"/>
    <x v="17"/>
    <s v="SE1_medium"/>
    <x v="19"/>
    <n v="8.1139884009941898"/>
    <n v="2.2538856669428302"/>
  </r>
  <r>
    <x v="0"/>
    <x v="33"/>
    <x v="9"/>
    <x v="17"/>
    <s v="SE1_medium"/>
    <x v="20"/>
    <n v="22.109183021311601"/>
    <n v="6.1414397281420996"/>
  </r>
  <r>
    <x v="0"/>
    <x v="33"/>
    <x v="9"/>
    <x v="17"/>
    <s v="SE1_medium"/>
    <x v="21"/>
    <n v="48.24"/>
    <n v="13.4"/>
  </r>
  <r>
    <x v="0"/>
    <x v="33"/>
    <x v="9"/>
    <x v="17"/>
    <s v="SE1_medium"/>
    <x v="22"/>
    <n v="67.680000000000007"/>
    <n v="18.8"/>
  </r>
  <r>
    <x v="0"/>
    <x v="33"/>
    <x v="9"/>
    <x v="17"/>
    <s v="SE1_medium"/>
    <x v="23"/>
    <n v="0.31515896120488701"/>
    <n v="8.7544155890246306E-2"/>
  </r>
  <r>
    <x v="0"/>
    <x v="33"/>
    <x v="9"/>
    <x v="17"/>
    <s v="SE1_medium"/>
    <x v="24"/>
    <n v="19.174223581093901"/>
    <n v="5.32617321697054"/>
  </r>
  <r>
    <x v="0"/>
    <x v="33"/>
    <x v="9"/>
    <x v="17"/>
    <s v="SE1_medium"/>
    <x v="25"/>
    <n v="26.209507293842599"/>
    <n v="7.2804186927340497"/>
  </r>
  <r>
    <x v="0"/>
    <x v="33"/>
    <x v="9"/>
    <x v="17"/>
    <s v="SE1_medium"/>
    <x v="26"/>
    <n v="33.320887798496699"/>
    <n v="9.2558021662490795"/>
  </r>
  <r>
    <x v="0"/>
    <x v="33"/>
    <x v="9"/>
    <x v="17"/>
    <s v="SE1_medium"/>
    <x v="27"/>
    <n v="20.163995508318798"/>
    <n v="5.6011098634218799"/>
  </r>
  <r>
    <x v="0"/>
    <x v="33"/>
    <x v="9"/>
    <x v="17"/>
    <s v="SE1_small"/>
    <x v="1"/>
    <n v="35.989199999999997"/>
    <n v="9.9969999999999999"/>
  </r>
  <r>
    <x v="0"/>
    <x v="33"/>
    <x v="9"/>
    <x v="17"/>
    <s v="SE1_small"/>
    <x v="2"/>
    <n v="46.08"/>
    <n v="12.8"/>
  </r>
  <r>
    <x v="0"/>
    <x v="33"/>
    <x v="9"/>
    <x v="17"/>
    <s v="SE1_small"/>
    <x v="0"/>
    <n v="42.692399999999999"/>
    <n v="11.859"/>
  </r>
  <r>
    <x v="0"/>
    <x v="33"/>
    <x v="9"/>
    <x v="17"/>
    <s v="SE1_small"/>
    <x v="3"/>
    <n v="51.633543144067197"/>
    <n v="14.342650873352"/>
  </r>
  <r>
    <x v="0"/>
    <x v="33"/>
    <x v="9"/>
    <x v="17"/>
    <s v="SE1_small"/>
    <x v="4"/>
    <n v="6.3500778790389401"/>
    <n v="1.76391052195526"/>
  </r>
  <r>
    <x v="0"/>
    <x v="33"/>
    <x v="9"/>
    <x v="17"/>
    <s v="SE1_small"/>
    <x v="5"/>
    <n v="6.3500778790389401"/>
    <n v="1.76391052195526"/>
  </r>
  <r>
    <x v="0"/>
    <x v="33"/>
    <x v="9"/>
    <x v="17"/>
    <s v="SE1_small"/>
    <x v="6"/>
    <n v="29.476231795214598"/>
    <n v="8.1878421653373898"/>
  </r>
  <r>
    <x v="0"/>
    <x v="33"/>
    <x v="9"/>
    <x v="17"/>
    <s v="SE1_small"/>
    <x v="7"/>
    <n v="57.838935220261199"/>
    <n v="16.066370894517"/>
  </r>
  <r>
    <x v="0"/>
    <x v="33"/>
    <x v="9"/>
    <x v="17"/>
    <s v="SE1_small"/>
    <x v="8"/>
    <n v="57.838935220261199"/>
    <n v="16.066370894517"/>
  </r>
  <r>
    <x v="0"/>
    <x v="33"/>
    <x v="9"/>
    <x v="17"/>
    <s v="SE1_small"/>
    <x v="9"/>
    <n v="44.4505451532725"/>
    <n v="12.3473736536868"/>
  </r>
  <r>
    <x v="0"/>
    <x v="33"/>
    <x v="9"/>
    <x v="17"/>
    <s v="SE1_small"/>
    <x v="10"/>
    <n v="53.975661971830903"/>
    <n v="14.993239436619699"/>
  </r>
  <r>
    <x v="0"/>
    <x v="33"/>
    <x v="9"/>
    <x v="17"/>
    <s v="SE1_small"/>
    <x v="11"/>
    <n v="3.8806031483015802"/>
    <n v="1.07794531897266"/>
  </r>
  <r>
    <x v="0"/>
    <x v="33"/>
    <x v="9"/>
    <x v="17"/>
    <s v="SE1_small"/>
    <x v="12"/>
    <n v="9.7995028997514597E-2"/>
    <n v="2.72208413881985E-2"/>
  </r>
  <r>
    <x v="0"/>
    <x v="33"/>
    <x v="9"/>
    <x v="17"/>
    <s v="SE1_small"/>
    <x v="13"/>
    <n v="29.633696768848399"/>
    <n v="8.2315824357912195"/>
  </r>
  <r>
    <x v="0"/>
    <x v="33"/>
    <x v="9"/>
    <x v="17"/>
    <s v="SE1_small"/>
    <x v="14"/>
    <n v="29.633696768848399"/>
    <n v="8.2315824357912195"/>
  </r>
  <r>
    <x v="0"/>
    <x v="33"/>
    <x v="9"/>
    <x v="17"/>
    <s v="SE1_small"/>
    <x v="15"/>
    <n v="1.65807589063794"/>
    <n v="0.46057663628831802"/>
  </r>
  <r>
    <x v="0"/>
    <x v="33"/>
    <x v="9"/>
    <x v="17"/>
    <s v="SE1_small"/>
    <x v="16"/>
    <n v="6.4638978602906896"/>
    <n v="1.79552718341408"/>
  </r>
  <r>
    <x v="0"/>
    <x v="33"/>
    <x v="9"/>
    <x v="17"/>
    <s v="SE1_small"/>
    <x v="17"/>
    <n v="9.1244895875632395"/>
    <n v="2.5345804409897901"/>
  </r>
  <r>
    <x v="0"/>
    <x v="33"/>
    <x v="9"/>
    <x v="17"/>
    <s v="SE1_small"/>
    <x v="18"/>
    <n v="29.633696768848399"/>
    <n v="8.2315824357912195"/>
  </r>
  <r>
    <x v="0"/>
    <x v="33"/>
    <x v="9"/>
    <x v="17"/>
    <s v="SE1_small"/>
    <x v="19"/>
    <n v="8.1139884009941898"/>
    <n v="2.2538856669428302"/>
  </r>
  <r>
    <x v="0"/>
    <x v="33"/>
    <x v="9"/>
    <x v="17"/>
    <s v="SE1_small"/>
    <x v="20"/>
    <n v="22.109183021311601"/>
    <n v="6.1414397281420996"/>
  </r>
  <r>
    <x v="0"/>
    <x v="33"/>
    <x v="9"/>
    <x v="17"/>
    <s v="SE1_small"/>
    <x v="21"/>
    <n v="48.24"/>
    <n v="13.4"/>
  </r>
  <r>
    <x v="0"/>
    <x v="33"/>
    <x v="9"/>
    <x v="17"/>
    <s v="SE1_small"/>
    <x v="22"/>
    <n v="67.680000000000007"/>
    <n v="18.8"/>
  </r>
  <r>
    <x v="0"/>
    <x v="33"/>
    <x v="9"/>
    <x v="17"/>
    <s v="SE1_small"/>
    <x v="23"/>
    <n v="0.31515896120488701"/>
    <n v="8.7544155890246306E-2"/>
  </r>
  <r>
    <x v="0"/>
    <x v="33"/>
    <x v="9"/>
    <x v="17"/>
    <s v="SE1_small"/>
    <x v="24"/>
    <n v="19.174223581093901"/>
    <n v="5.32617321697054"/>
  </r>
  <r>
    <x v="0"/>
    <x v="33"/>
    <x v="9"/>
    <x v="17"/>
    <s v="SE1_small"/>
    <x v="25"/>
    <n v="26.209507293842599"/>
    <n v="7.2804186927340497"/>
  </r>
  <r>
    <x v="0"/>
    <x v="33"/>
    <x v="9"/>
    <x v="17"/>
    <s v="SE1_small"/>
    <x v="26"/>
    <n v="33.320887798496699"/>
    <n v="9.2558021662490795"/>
  </r>
  <r>
    <x v="0"/>
    <x v="33"/>
    <x v="9"/>
    <x v="17"/>
    <s v="SE1_small"/>
    <x v="27"/>
    <n v="20.163995508318798"/>
    <n v="5.6011098634218799"/>
  </r>
  <r>
    <x v="0"/>
    <x v="33"/>
    <x v="9"/>
    <x v="18"/>
    <s v="SE2A"/>
    <x v="1"/>
    <n v="35.989199999999997"/>
    <n v="9.9969999999999999"/>
  </r>
  <r>
    <x v="0"/>
    <x v="33"/>
    <x v="9"/>
    <x v="18"/>
    <s v="SE2A"/>
    <x v="2"/>
    <n v="46.08"/>
    <n v="12.8"/>
  </r>
  <r>
    <x v="0"/>
    <x v="33"/>
    <x v="9"/>
    <x v="18"/>
    <s v="SE2A"/>
    <x v="0"/>
    <n v="42.692399999999999"/>
    <n v="11.859"/>
  </r>
  <r>
    <x v="0"/>
    <x v="33"/>
    <x v="9"/>
    <x v="18"/>
    <s v="SE2A"/>
    <x v="3"/>
    <n v="51.633543144067197"/>
    <n v="14.342650873352"/>
  </r>
  <r>
    <x v="0"/>
    <x v="33"/>
    <x v="9"/>
    <x v="18"/>
    <s v="SE2A"/>
    <x v="4"/>
    <n v="6.3500778790389401"/>
    <n v="1.76391052195526"/>
  </r>
  <r>
    <x v="0"/>
    <x v="33"/>
    <x v="9"/>
    <x v="18"/>
    <s v="SE2A"/>
    <x v="5"/>
    <n v="6.3500778790389401"/>
    <n v="1.76391052195526"/>
  </r>
  <r>
    <x v="0"/>
    <x v="33"/>
    <x v="9"/>
    <x v="18"/>
    <s v="SE2A"/>
    <x v="6"/>
    <n v="29.476231795214598"/>
    <n v="8.1878421653373898"/>
  </r>
  <r>
    <x v="0"/>
    <x v="33"/>
    <x v="9"/>
    <x v="18"/>
    <s v="SE2A"/>
    <x v="7"/>
    <n v="57.838935220261199"/>
    <n v="16.066370894517"/>
  </r>
  <r>
    <x v="0"/>
    <x v="33"/>
    <x v="9"/>
    <x v="18"/>
    <s v="SE2A"/>
    <x v="8"/>
    <n v="57.838935220261199"/>
    <n v="16.066370894517"/>
  </r>
  <r>
    <x v="0"/>
    <x v="33"/>
    <x v="9"/>
    <x v="18"/>
    <s v="SE2A"/>
    <x v="9"/>
    <n v="44.4505451532725"/>
    <n v="12.3473736536868"/>
  </r>
  <r>
    <x v="0"/>
    <x v="33"/>
    <x v="9"/>
    <x v="18"/>
    <s v="SE2A"/>
    <x v="10"/>
    <n v="53.975661971830903"/>
    <n v="14.993239436619699"/>
  </r>
  <r>
    <x v="0"/>
    <x v="33"/>
    <x v="9"/>
    <x v="18"/>
    <s v="SE2A"/>
    <x v="11"/>
    <n v="3.8806031483015802"/>
    <n v="1.07794531897266"/>
  </r>
  <r>
    <x v="0"/>
    <x v="33"/>
    <x v="9"/>
    <x v="18"/>
    <s v="SE2A"/>
    <x v="12"/>
    <n v="9.7995028997514597E-2"/>
    <n v="2.72208413881985E-2"/>
  </r>
  <r>
    <x v="0"/>
    <x v="33"/>
    <x v="9"/>
    <x v="18"/>
    <s v="SE2A"/>
    <x v="13"/>
    <n v="29.633696768848399"/>
    <n v="8.2315824357912195"/>
  </r>
  <r>
    <x v="0"/>
    <x v="33"/>
    <x v="9"/>
    <x v="18"/>
    <s v="SE2A"/>
    <x v="14"/>
    <n v="29.633696768848399"/>
    <n v="8.2315824357912195"/>
  </r>
  <r>
    <x v="0"/>
    <x v="33"/>
    <x v="9"/>
    <x v="18"/>
    <s v="SE2A"/>
    <x v="15"/>
    <n v="1.65807589063794"/>
    <n v="0.46057663628831802"/>
  </r>
  <r>
    <x v="0"/>
    <x v="33"/>
    <x v="9"/>
    <x v="18"/>
    <s v="SE2A"/>
    <x v="16"/>
    <n v="6.4638978602906896"/>
    <n v="1.79552718341408"/>
  </r>
  <r>
    <x v="0"/>
    <x v="33"/>
    <x v="9"/>
    <x v="18"/>
    <s v="SE2A"/>
    <x v="17"/>
    <n v="9.1244895875632395"/>
    <n v="2.5345804409897901"/>
  </r>
  <r>
    <x v="0"/>
    <x v="33"/>
    <x v="9"/>
    <x v="18"/>
    <s v="SE2A"/>
    <x v="18"/>
    <n v="29.633696768848399"/>
    <n v="8.2315824357912195"/>
  </r>
  <r>
    <x v="0"/>
    <x v="33"/>
    <x v="9"/>
    <x v="18"/>
    <s v="SE2A"/>
    <x v="19"/>
    <n v="8.1139884009941898"/>
    <n v="2.2538856669428302"/>
  </r>
  <r>
    <x v="0"/>
    <x v="33"/>
    <x v="9"/>
    <x v="18"/>
    <s v="SE2A"/>
    <x v="20"/>
    <n v="22.109183021311601"/>
    <n v="6.1414397281420996"/>
  </r>
  <r>
    <x v="0"/>
    <x v="33"/>
    <x v="9"/>
    <x v="18"/>
    <s v="SE2A"/>
    <x v="21"/>
    <n v="48.24"/>
    <n v="13.4"/>
  </r>
  <r>
    <x v="0"/>
    <x v="33"/>
    <x v="9"/>
    <x v="18"/>
    <s v="SE2A"/>
    <x v="22"/>
    <n v="67.680000000000007"/>
    <n v="18.8"/>
  </r>
  <r>
    <x v="0"/>
    <x v="33"/>
    <x v="9"/>
    <x v="18"/>
    <s v="SE2A"/>
    <x v="23"/>
    <n v="0.31515896120488701"/>
    <n v="8.7544155890246306E-2"/>
  </r>
  <r>
    <x v="0"/>
    <x v="33"/>
    <x v="9"/>
    <x v="18"/>
    <s v="SE2A"/>
    <x v="24"/>
    <n v="19.174223581093901"/>
    <n v="5.32617321697054"/>
  </r>
  <r>
    <x v="0"/>
    <x v="33"/>
    <x v="9"/>
    <x v="18"/>
    <s v="SE2A"/>
    <x v="25"/>
    <n v="26.209507293842599"/>
    <n v="7.2804186927340497"/>
  </r>
  <r>
    <x v="0"/>
    <x v="33"/>
    <x v="9"/>
    <x v="18"/>
    <s v="SE2A"/>
    <x v="26"/>
    <n v="33.320887798496699"/>
    <n v="9.2558021662490795"/>
  </r>
  <r>
    <x v="0"/>
    <x v="33"/>
    <x v="9"/>
    <x v="18"/>
    <s v="SE2A"/>
    <x v="27"/>
    <n v="20.163995508318798"/>
    <n v="5.6011098634218799"/>
  </r>
  <r>
    <x v="0"/>
    <x v="33"/>
    <x v="9"/>
    <x v="18"/>
    <s v="SE2_IND"/>
    <x v="1"/>
    <n v="35.989199999999997"/>
    <n v="9.9969999999999999"/>
  </r>
  <r>
    <x v="0"/>
    <x v="33"/>
    <x v="9"/>
    <x v="18"/>
    <s v="SE2_IND"/>
    <x v="2"/>
    <n v="46.08"/>
    <n v="12.8"/>
  </r>
  <r>
    <x v="0"/>
    <x v="33"/>
    <x v="9"/>
    <x v="18"/>
    <s v="SE2_IND"/>
    <x v="0"/>
    <n v="42.692399999999999"/>
    <n v="11.859"/>
  </r>
  <r>
    <x v="0"/>
    <x v="33"/>
    <x v="9"/>
    <x v="18"/>
    <s v="SE2_IND"/>
    <x v="3"/>
    <n v="51.633543144067197"/>
    <n v="14.342650873352"/>
  </r>
  <r>
    <x v="0"/>
    <x v="33"/>
    <x v="9"/>
    <x v="18"/>
    <s v="SE2_IND"/>
    <x v="4"/>
    <n v="6.3500778790389401"/>
    <n v="1.76391052195526"/>
  </r>
  <r>
    <x v="0"/>
    <x v="33"/>
    <x v="9"/>
    <x v="18"/>
    <s v="SE2_IND"/>
    <x v="5"/>
    <n v="6.3500778790389401"/>
    <n v="1.76391052195526"/>
  </r>
  <r>
    <x v="0"/>
    <x v="33"/>
    <x v="9"/>
    <x v="18"/>
    <s v="SE2_IND"/>
    <x v="6"/>
    <n v="29.476231795214598"/>
    <n v="8.1878421653373898"/>
  </r>
  <r>
    <x v="0"/>
    <x v="33"/>
    <x v="9"/>
    <x v="18"/>
    <s v="SE2_IND"/>
    <x v="7"/>
    <n v="57.838935220261199"/>
    <n v="16.066370894517"/>
  </r>
  <r>
    <x v="0"/>
    <x v="33"/>
    <x v="9"/>
    <x v="18"/>
    <s v="SE2_IND"/>
    <x v="8"/>
    <n v="57.838935220261199"/>
    <n v="16.066370894517"/>
  </r>
  <r>
    <x v="0"/>
    <x v="33"/>
    <x v="9"/>
    <x v="18"/>
    <s v="SE2_IND"/>
    <x v="9"/>
    <n v="44.4505451532725"/>
    <n v="12.3473736536868"/>
  </r>
  <r>
    <x v="0"/>
    <x v="33"/>
    <x v="9"/>
    <x v="18"/>
    <s v="SE2_IND"/>
    <x v="10"/>
    <n v="53.975661971830903"/>
    <n v="14.993239436619699"/>
  </r>
  <r>
    <x v="0"/>
    <x v="33"/>
    <x v="9"/>
    <x v="18"/>
    <s v="SE2_IND"/>
    <x v="11"/>
    <n v="3.8806031483015802"/>
    <n v="1.07794531897266"/>
  </r>
  <r>
    <x v="0"/>
    <x v="33"/>
    <x v="9"/>
    <x v="18"/>
    <s v="SE2_IND"/>
    <x v="12"/>
    <n v="9.7995028997514597E-2"/>
    <n v="2.72208413881985E-2"/>
  </r>
  <r>
    <x v="0"/>
    <x v="33"/>
    <x v="9"/>
    <x v="18"/>
    <s v="SE2_IND"/>
    <x v="13"/>
    <n v="29.633696768848399"/>
    <n v="8.2315824357912195"/>
  </r>
  <r>
    <x v="0"/>
    <x v="33"/>
    <x v="9"/>
    <x v="18"/>
    <s v="SE2_IND"/>
    <x v="14"/>
    <n v="29.633696768848399"/>
    <n v="8.2315824357912195"/>
  </r>
  <r>
    <x v="0"/>
    <x v="33"/>
    <x v="9"/>
    <x v="18"/>
    <s v="SE2_IND"/>
    <x v="15"/>
    <n v="1.65807589063794"/>
    <n v="0.46057663628831802"/>
  </r>
  <r>
    <x v="0"/>
    <x v="33"/>
    <x v="9"/>
    <x v="18"/>
    <s v="SE2_IND"/>
    <x v="16"/>
    <n v="6.4638978602906896"/>
    <n v="1.79552718341408"/>
  </r>
  <r>
    <x v="0"/>
    <x v="33"/>
    <x v="9"/>
    <x v="18"/>
    <s v="SE2_IND"/>
    <x v="17"/>
    <n v="9.1244895875632395"/>
    <n v="2.5345804409897901"/>
  </r>
  <r>
    <x v="0"/>
    <x v="33"/>
    <x v="9"/>
    <x v="18"/>
    <s v="SE2_IND"/>
    <x v="18"/>
    <n v="29.633696768848399"/>
    <n v="8.2315824357912195"/>
  </r>
  <r>
    <x v="0"/>
    <x v="33"/>
    <x v="9"/>
    <x v="18"/>
    <s v="SE2_IND"/>
    <x v="19"/>
    <n v="8.1139884009941898"/>
    <n v="2.2538856669428302"/>
  </r>
  <r>
    <x v="0"/>
    <x v="33"/>
    <x v="9"/>
    <x v="18"/>
    <s v="SE2_IND"/>
    <x v="20"/>
    <n v="22.109183021311601"/>
    <n v="6.1414397281420996"/>
  </r>
  <r>
    <x v="0"/>
    <x v="33"/>
    <x v="9"/>
    <x v="18"/>
    <s v="SE2_IND"/>
    <x v="21"/>
    <n v="48.24"/>
    <n v="13.4"/>
  </r>
  <r>
    <x v="0"/>
    <x v="33"/>
    <x v="9"/>
    <x v="18"/>
    <s v="SE2_IND"/>
    <x v="22"/>
    <n v="67.680000000000007"/>
    <n v="18.8"/>
  </r>
  <r>
    <x v="0"/>
    <x v="33"/>
    <x v="9"/>
    <x v="18"/>
    <s v="SE2_IND"/>
    <x v="23"/>
    <n v="0.31515896120488701"/>
    <n v="8.7544155890246306E-2"/>
  </r>
  <r>
    <x v="0"/>
    <x v="33"/>
    <x v="9"/>
    <x v="18"/>
    <s v="SE2_IND"/>
    <x v="24"/>
    <n v="19.174223581093901"/>
    <n v="5.32617321697054"/>
  </r>
  <r>
    <x v="0"/>
    <x v="33"/>
    <x v="9"/>
    <x v="18"/>
    <s v="SE2_IND"/>
    <x v="25"/>
    <n v="26.209507293842599"/>
    <n v="7.2804186927340497"/>
  </r>
  <r>
    <x v="0"/>
    <x v="33"/>
    <x v="9"/>
    <x v="18"/>
    <s v="SE2_IND"/>
    <x v="26"/>
    <n v="33.320887798496699"/>
    <n v="9.2558021662490795"/>
  </r>
  <r>
    <x v="0"/>
    <x v="33"/>
    <x v="9"/>
    <x v="18"/>
    <s v="SE2_IND"/>
    <x v="27"/>
    <n v="20.163995508318798"/>
    <n v="5.6011098634218799"/>
  </r>
  <r>
    <x v="0"/>
    <x v="33"/>
    <x v="9"/>
    <x v="18"/>
    <s v="SE2_Offshore"/>
    <x v="1"/>
    <n v="35.989199999999997"/>
    <n v="9.9969999999999999"/>
  </r>
  <r>
    <x v="0"/>
    <x v="33"/>
    <x v="9"/>
    <x v="18"/>
    <s v="SE2_Offshore"/>
    <x v="2"/>
    <n v="46.08"/>
    <n v="12.8"/>
  </r>
  <r>
    <x v="0"/>
    <x v="33"/>
    <x v="9"/>
    <x v="18"/>
    <s v="SE2_Offshore"/>
    <x v="0"/>
    <n v="42.692399999999999"/>
    <n v="11.859"/>
  </r>
  <r>
    <x v="0"/>
    <x v="33"/>
    <x v="9"/>
    <x v="18"/>
    <s v="SE2_Offshore"/>
    <x v="3"/>
    <n v="51.633543144067197"/>
    <n v="14.342650873352"/>
  </r>
  <r>
    <x v="0"/>
    <x v="33"/>
    <x v="9"/>
    <x v="18"/>
    <s v="SE2_Offshore"/>
    <x v="4"/>
    <n v="6.3500778790389401"/>
    <n v="1.76391052195526"/>
  </r>
  <r>
    <x v="0"/>
    <x v="33"/>
    <x v="9"/>
    <x v="18"/>
    <s v="SE2_Offshore"/>
    <x v="5"/>
    <n v="6.3500778790389401"/>
    <n v="1.76391052195526"/>
  </r>
  <r>
    <x v="0"/>
    <x v="33"/>
    <x v="9"/>
    <x v="18"/>
    <s v="SE2_Offshore"/>
    <x v="6"/>
    <n v="29.476231795214598"/>
    <n v="8.1878421653373898"/>
  </r>
  <r>
    <x v="0"/>
    <x v="33"/>
    <x v="9"/>
    <x v="18"/>
    <s v="SE2_Offshore"/>
    <x v="7"/>
    <n v="57.838935220261199"/>
    <n v="16.066370894517"/>
  </r>
  <r>
    <x v="0"/>
    <x v="33"/>
    <x v="9"/>
    <x v="18"/>
    <s v="SE2_Offshore"/>
    <x v="8"/>
    <n v="57.838935220261199"/>
    <n v="16.066370894517"/>
  </r>
  <r>
    <x v="0"/>
    <x v="33"/>
    <x v="9"/>
    <x v="18"/>
    <s v="SE2_Offshore"/>
    <x v="9"/>
    <n v="44.4505451532725"/>
    <n v="12.3473736536868"/>
  </r>
  <r>
    <x v="0"/>
    <x v="33"/>
    <x v="9"/>
    <x v="18"/>
    <s v="SE2_Offshore"/>
    <x v="10"/>
    <n v="53.975661971830903"/>
    <n v="14.993239436619699"/>
  </r>
  <r>
    <x v="0"/>
    <x v="33"/>
    <x v="9"/>
    <x v="18"/>
    <s v="SE2_Offshore"/>
    <x v="11"/>
    <n v="3.8806031483015802"/>
    <n v="1.07794531897266"/>
  </r>
  <r>
    <x v="0"/>
    <x v="33"/>
    <x v="9"/>
    <x v="18"/>
    <s v="SE2_Offshore"/>
    <x v="12"/>
    <n v="9.7995028997514597E-2"/>
    <n v="2.72208413881985E-2"/>
  </r>
  <r>
    <x v="0"/>
    <x v="33"/>
    <x v="9"/>
    <x v="18"/>
    <s v="SE2_Offshore"/>
    <x v="13"/>
    <n v="29.633696768848399"/>
    <n v="8.2315824357912195"/>
  </r>
  <r>
    <x v="0"/>
    <x v="33"/>
    <x v="9"/>
    <x v="18"/>
    <s v="SE2_Offshore"/>
    <x v="14"/>
    <n v="29.633696768848399"/>
    <n v="8.2315824357912195"/>
  </r>
  <r>
    <x v="0"/>
    <x v="33"/>
    <x v="9"/>
    <x v="18"/>
    <s v="SE2_Offshore"/>
    <x v="15"/>
    <n v="1.65807589063794"/>
    <n v="0.46057663628831802"/>
  </r>
  <r>
    <x v="0"/>
    <x v="33"/>
    <x v="9"/>
    <x v="18"/>
    <s v="SE2_Offshore"/>
    <x v="16"/>
    <n v="6.4638978602906896"/>
    <n v="1.79552718341408"/>
  </r>
  <r>
    <x v="0"/>
    <x v="33"/>
    <x v="9"/>
    <x v="18"/>
    <s v="SE2_Offshore"/>
    <x v="17"/>
    <n v="9.1244895875632395"/>
    <n v="2.5345804409897901"/>
  </r>
  <r>
    <x v="0"/>
    <x v="33"/>
    <x v="9"/>
    <x v="18"/>
    <s v="SE2_Offshore"/>
    <x v="18"/>
    <n v="29.633696768848399"/>
    <n v="8.2315824357912195"/>
  </r>
  <r>
    <x v="0"/>
    <x v="33"/>
    <x v="9"/>
    <x v="18"/>
    <s v="SE2_Offshore"/>
    <x v="19"/>
    <n v="8.1139884009941898"/>
    <n v="2.2538856669428302"/>
  </r>
  <r>
    <x v="0"/>
    <x v="33"/>
    <x v="9"/>
    <x v="18"/>
    <s v="SE2_Offshore"/>
    <x v="20"/>
    <n v="22.109183021311601"/>
    <n v="6.1414397281420996"/>
  </r>
  <r>
    <x v="0"/>
    <x v="33"/>
    <x v="9"/>
    <x v="18"/>
    <s v="SE2_Offshore"/>
    <x v="21"/>
    <n v="48.24"/>
    <n v="13.4"/>
  </r>
  <r>
    <x v="0"/>
    <x v="33"/>
    <x v="9"/>
    <x v="18"/>
    <s v="SE2_Offshore"/>
    <x v="22"/>
    <n v="67.680000000000007"/>
    <n v="18.8"/>
  </r>
  <r>
    <x v="0"/>
    <x v="33"/>
    <x v="9"/>
    <x v="18"/>
    <s v="SE2_Offshore"/>
    <x v="23"/>
    <n v="0.31515896120488701"/>
    <n v="8.7544155890246306E-2"/>
  </r>
  <r>
    <x v="0"/>
    <x v="33"/>
    <x v="9"/>
    <x v="18"/>
    <s v="SE2_Offshore"/>
    <x v="24"/>
    <n v="19.174223581093901"/>
    <n v="5.32617321697054"/>
  </r>
  <r>
    <x v="0"/>
    <x v="33"/>
    <x v="9"/>
    <x v="18"/>
    <s v="SE2_Offshore"/>
    <x v="25"/>
    <n v="26.209507293842599"/>
    <n v="7.2804186927340497"/>
  </r>
  <r>
    <x v="0"/>
    <x v="33"/>
    <x v="9"/>
    <x v="18"/>
    <s v="SE2_Offshore"/>
    <x v="26"/>
    <n v="33.320887798496699"/>
    <n v="9.2558021662490795"/>
  </r>
  <r>
    <x v="0"/>
    <x v="33"/>
    <x v="9"/>
    <x v="18"/>
    <s v="SE2_Offshore"/>
    <x v="27"/>
    <n v="20.163995508318798"/>
    <n v="5.6011098634218799"/>
  </r>
  <r>
    <x v="0"/>
    <x v="33"/>
    <x v="9"/>
    <x v="18"/>
    <s v="SE2_medium"/>
    <x v="1"/>
    <n v="35.989199999999997"/>
    <n v="9.9969999999999999"/>
  </r>
  <r>
    <x v="0"/>
    <x v="33"/>
    <x v="9"/>
    <x v="18"/>
    <s v="SE2_medium"/>
    <x v="2"/>
    <n v="46.08"/>
    <n v="12.8"/>
  </r>
  <r>
    <x v="0"/>
    <x v="33"/>
    <x v="9"/>
    <x v="18"/>
    <s v="SE2_medium"/>
    <x v="0"/>
    <n v="42.692399999999999"/>
    <n v="11.859"/>
  </r>
  <r>
    <x v="0"/>
    <x v="33"/>
    <x v="9"/>
    <x v="18"/>
    <s v="SE2_medium"/>
    <x v="3"/>
    <n v="51.633543144067197"/>
    <n v="14.342650873352"/>
  </r>
  <r>
    <x v="0"/>
    <x v="33"/>
    <x v="9"/>
    <x v="18"/>
    <s v="SE2_medium"/>
    <x v="4"/>
    <n v="6.3500778790389401"/>
    <n v="1.76391052195526"/>
  </r>
  <r>
    <x v="0"/>
    <x v="33"/>
    <x v="9"/>
    <x v="18"/>
    <s v="SE2_medium"/>
    <x v="5"/>
    <n v="6.3500778790389401"/>
    <n v="1.76391052195526"/>
  </r>
  <r>
    <x v="0"/>
    <x v="33"/>
    <x v="9"/>
    <x v="18"/>
    <s v="SE2_medium"/>
    <x v="6"/>
    <n v="29.476231795214598"/>
    <n v="8.1878421653373898"/>
  </r>
  <r>
    <x v="0"/>
    <x v="33"/>
    <x v="9"/>
    <x v="18"/>
    <s v="SE2_medium"/>
    <x v="7"/>
    <n v="57.838935220261199"/>
    <n v="16.066370894517"/>
  </r>
  <r>
    <x v="0"/>
    <x v="33"/>
    <x v="9"/>
    <x v="18"/>
    <s v="SE2_medium"/>
    <x v="8"/>
    <n v="57.838935220261199"/>
    <n v="16.066370894517"/>
  </r>
  <r>
    <x v="0"/>
    <x v="33"/>
    <x v="9"/>
    <x v="18"/>
    <s v="SE2_medium"/>
    <x v="9"/>
    <n v="44.4505451532725"/>
    <n v="12.3473736536868"/>
  </r>
  <r>
    <x v="0"/>
    <x v="33"/>
    <x v="9"/>
    <x v="18"/>
    <s v="SE2_medium"/>
    <x v="10"/>
    <n v="53.975661971830903"/>
    <n v="14.993239436619699"/>
  </r>
  <r>
    <x v="0"/>
    <x v="33"/>
    <x v="9"/>
    <x v="18"/>
    <s v="SE2_medium"/>
    <x v="11"/>
    <n v="3.8806031483015802"/>
    <n v="1.07794531897266"/>
  </r>
  <r>
    <x v="0"/>
    <x v="33"/>
    <x v="9"/>
    <x v="18"/>
    <s v="SE2_medium"/>
    <x v="12"/>
    <n v="9.7995028997514597E-2"/>
    <n v="2.72208413881985E-2"/>
  </r>
  <r>
    <x v="0"/>
    <x v="33"/>
    <x v="9"/>
    <x v="18"/>
    <s v="SE2_medium"/>
    <x v="13"/>
    <n v="29.633696768848399"/>
    <n v="8.2315824357912195"/>
  </r>
  <r>
    <x v="0"/>
    <x v="33"/>
    <x v="9"/>
    <x v="18"/>
    <s v="SE2_medium"/>
    <x v="14"/>
    <n v="29.633696768848399"/>
    <n v="8.2315824357912195"/>
  </r>
  <r>
    <x v="0"/>
    <x v="33"/>
    <x v="9"/>
    <x v="18"/>
    <s v="SE2_medium"/>
    <x v="15"/>
    <n v="1.65807589063794"/>
    <n v="0.46057663628831802"/>
  </r>
  <r>
    <x v="0"/>
    <x v="33"/>
    <x v="9"/>
    <x v="18"/>
    <s v="SE2_medium"/>
    <x v="16"/>
    <n v="6.4638978602906896"/>
    <n v="1.79552718341408"/>
  </r>
  <r>
    <x v="0"/>
    <x v="33"/>
    <x v="9"/>
    <x v="18"/>
    <s v="SE2_medium"/>
    <x v="17"/>
    <n v="9.1244895875632395"/>
    <n v="2.5345804409897901"/>
  </r>
  <r>
    <x v="0"/>
    <x v="33"/>
    <x v="9"/>
    <x v="18"/>
    <s v="SE2_medium"/>
    <x v="18"/>
    <n v="29.633696768848399"/>
    <n v="8.2315824357912195"/>
  </r>
  <r>
    <x v="0"/>
    <x v="33"/>
    <x v="9"/>
    <x v="18"/>
    <s v="SE2_medium"/>
    <x v="19"/>
    <n v="8.1139884009941898"/>
    <n v="2.2538856669428302"/>
  </r>
  <r>
    <x v="0"/>
    <x v="33"/>
    <x v="9"/>
    <x v="18"/>
    <s v="SE2_medium"/>
    <x v="20"/>
    <n v="22.109183021311601"/>
    <n v="6.1414397281420996"/>
  </r>
  <r>
    <x v="0"/>
    <x v="33"/>
    <x v="9"/>
    <x v="18"/>
    <s v="SE2_medium"/>
    <x v="21"/>
    <n v="48.24"/>
    <n v="13.4"/>
  </r>
  <r>
    <x v="0"/>
    <x v="33"/>
    <x v="9"/>
    <x v="18"/>
    <s v="SE2_medium"/>
    <x v="22"/>
    <n v="67.680000000000007"/>
    <n v="18.8"/>
  </r>
  <r>
    <x v="0"/>
    <x v="33"/>
    <x v="9"/>
    <x v="18"/>
    <s v="SE2_medium"/>
    <x v="23"/>
    <n v="0.31515896120488701"/>
    <n v="8.7544155890246306E-2"/>
  </r>
  <r>
    <x v="0"/>
    <x v="33"/>
    <x v="9"/>
    <x v="18"/>
    <s v="SE2_medium"/>
    <x v="24"/>
    <n v="19.174223581093901"/>
    <n v="5.32617321697054"/>
  </r>
  <r>
    <x v="0"/>
    <x v="33"/>
    <x v="9"/>
    <x v="18"/>
    <s v="SE2_medium"/>
    <x v="25"/>
    <n v="26.209507293842599"/>
    <n v="7.2804186927340497"/>
  </r>
  <r>
    <x v="0"/>
    <x v="33"/>
    <x v="9"/>
    <x v="18"/>
    <s v="SE2_medium"/>
    <x v="26"/>
    <n v="33.320887798496699"/>
    <n v="9.2558021662490795"/>
  </r>
  <r>
    <x v="0"/>
    <x v="33"/>
    <x v="9"/>
    <x v="18"/>
    <s v="SE2_medium"/>
    <x v="27"/>
    <n v="20.163995508318798"/>
    <n v="5.6011098634218799"/>
  </r>
  <r>
    <x v="0"/>
    <x v="33"/>
    <x v="9"/>
    <x v="18"/>
    <s v="SE2_small"/>
    <x v="1"/>
    <n v="35.989199999999997"/>
    <n v="9.9969999999999999"/>
  </r>
  <r>
    <x v="0"/>
    <x v="33"/>
    <x v="9"/>
    <x v="18"/>
    <s v="SE2_small"/>
    <x v="2"/>
    <n v="46.08"/>
    <n v="12.8"/>
  </r>
  <r>
    <x v="0"/>
    <x v="33"/>
    <x v="9"/>
    <x v="18"/>
    <s v="SE2_small"/>
    <x v="0"/>
    <n v="42.692399999999999"/>
    <n v="11.859"/>
  </r>
  <r>
    <x v="0"/>
    <x v="33"/>
    <x v="9"/>
    <x v="18"/>
    <s v="SE2_small"/>
    <x v="3"/>
    <n v="51.633543144067197"/>
    <n v="14.342650873352"/>
  </r>
  <r>
    <x v="0"/>
    <x v="33"/>
    <x v="9"/>
    <x v="18"/>
    <s v="SE2_small"/>
    <x v="4"/>
    <n v="6.3500778790389401"/>
    <n v="1.76391052195526"/>
  </r>
  <r>
    <x v="0"/>
    <x v="33"/>
    <x v="9"/>
    <x v="18"/>
    <s v="SE2_small"/>
    <x v="5"/>
    <n v="6.3500778790389401"/>
    <n v="1.76391052195526"/>
  </r>
  <r>
    <x v="0"/>
    <x v="33"/>
    <x v="9"/>
    <x v="18"/>
    <s v="SE2_small"/>
    <x v="6"/>
    <n v="29.476231795214598"/>
    <n v="8.1878421653373898"/>
  </r>
  <r>
    <x v="0"/>
    <x v="33"/>
    <x v="9"/>
    <x v="18"/>
    <s v="SE2_small"/>
    <x v="7"/>
    <n v="57.838935220261199"/>
    <n v="16.066370894517"/>
  </r>
  <r>
    <x v="0"/>
    <x v="33"/>
    <x v="9"/>
    <x v="18"/>
    <s v="SE2_small"/>
    <x v="8"/>
    <n v="57.838935220261199"/>
    <n v="16.066370894517"/>
  </r>
  <r>
    <x v="0"/>
    <x v="33"/>
    <x v="9"/>
    <x v="18"/>
    <s v="SE2_small"/>
    <x v="9"/>
    <n v="44.4505451532725"/>
    <n v="12.3473736536868"/>
  </r>
  <r>
    <x v="0"/>
    <x v="33"/>
    <x v="9"/>
    <x v="18"/>
    <s v="SE2_small"/>
    <x v="10"/>
    <n v="53.975661971830903"/>
    <n v="14.993239436619699"/>
  </r>
  <r>
    <x v="0"/>
    <x v="33"/>
    <x v="9"/>
    <x v="18"/>
    <s v="SE2_small"/>
    <x v="11"/>
    <n v="3.8806031483015802"/>
    <n v="1.07794531897266"/>
  </r>
  <r>
    <x v="0"/>
    <x v="33"/>
    <x v="9"/>
    <x v="18"/>
    <s v="SE2_small"/>
    <x v="12"/>
    <n v="9.7995028997514597E-2"/>
    <n v="2.72208413881985E-2"/>
  </r>
  <r>
    <x v="0"/>
    <x v="33"/>
    <x v="9"/>
    <x v="18"/>
    <s v="SE2_small"/>
    <x v="13"/>
    <n v="29.633696768848399"/>
    <n v="8.2315824357912195"/>
  </r>
  <r>
    <x v="0"/>
    <x v="33"/>
    <x v="9"/>
    <x v="18"/>
    <s v="SE2_small"/>
    <x v="14"/>
    <n v="29.633696768848399"/>
    <n v="8.2315824357912195"/>
  </r>
  <r>
    <x v="0"/>
    <x v="33"/>
    <x v="9"/>
    <x v="18"/>
    <s v="SE2_small"/>
    <x v="15"/>
    <n v="1.65807589063794"/>
    <n v="0.46057663628831802"/>
  </r>
  <r>
    <x v="0"/>
    <x v="33"/>
    <x v="9"/>
    <x v="18"/>
    <s v="SE2_small"/>
    <x v="16"/>
    <n v="6.4638978602906896"/>
    <n v="1.79552718341408"/>
  </r>
  <r>
    <x v="0"/>
    <x v="33"/>
    <x v="9"/>
    <x v="18"/>
    <s v="SE2_small"/>
    <x v="17"/>
    <n v="9.1244895875632395"/>
    <n v="2.5345804409897901"/>
  </r>
  <r>
    <x v="0"/>
    <x v="33"/>
    <x v="9"/>
    <x v="18"/>
    <s v="SE2_small"/>
    <x v="18"/>
    <n v="29.633696768848399"/>
    <n v="8.2315824357912195"/>
  </r>
  <r>
    <x v="0"/>
    <x v="33"/>
    <x v="9"/>
    <x v="18"/>
    <s v="SE2_small"/>
    <x v="19"/>
    <n v="8.1139884009941898"/>
    <n v="2.2538856669428302"/>
  </r>
  <r>
    <x v="0"/>
    <x v="33"/>
    <x v="9"/>
    <x v="18"/>
    <s v="SE2_small"/>
    <x v="20"/>
    <n v="22.109183021311601"/>
    <n v="6.1414397281420996"/>
  </r>
  <r>
    <x v="0"/>
    <x v="33"/>
    <x v="9"/>
    <x v="18"/>
    <s v="SE2_small"/>
    <x v="21"/>
    <n v="48.24"/>
    <n v="13.4"/>
  </r>
  <r>
    <x v="0"/>
    <x v="33"/>
    <x v="9"/>
    <x v="18"/>
    <s v="SE2_small"/>
    <x v="22"/>
    <n v="67.680000000000007"/>
    <n v="18.8"/>
  </r>
  <r>
    <x v="0"/>
    <x v="33"/>
    <x v="9"/>
    <x v="18"/>
    <s v="SE2_small"/>
    <x v="23"/>
    <n v="0.31515896120488701"/>
    <n v="8.7544155890246306E-2"/>
  </r>
  <r>
    <x v="0"/>
    <x v="33"/>
    <x v="9"/>
    <x v="18"/>
    <s v="SE2_small"/>
    <x v="24"/>
    <n v="19.174223581093901"/>
    <n v="5.32617321697054"/>
  </r>
  <r>
    <x v="0"/>
    <x v="33"/>
    <x v="9"/>
    <x v="18"/>
    <s v="SE2_small"/>
    <x v="25"/>
    <n v="26.209507293842599"/>
    <n v="7.2804186927340497"/>
  </r>
  <r>
    <x v="0"/>
    <x v="33"/>
    <x v="9"/>
    <x v="18"/>
    <s v="SE2_small"/>
    <x v="26"/>
    <n v="33.320887798496699"/>
    <n v="9.2558021662490795"/>
  </r>
  <r>
    <x v="0"/>
    <x v="33"/>
    <x v="9"/>
    <x v="18"/>
    <s v="SE2_small"/>
    <x v="27"/>
    <n v="20.163995508318798"/>
    <n v="5.6011098634218799"/>
  </r>
  <r>
    <x v="0"/>
    <x v="33"/>
    <x v="9"/>
    <x v="19"/>
    <s v="SE3A"/>
    <x v="1"/>
    <n v="35.989199999999997"/>
    <n v="9.9969999999999999"/>
  </r>
  <r>
    <x v="0"/>
    <x v="33"/>
    <x v="9"/>
    <x v="19"/>
    <s v="SE3A"/>
    <x v="2"/>
    <n v="46.08"/>
    <n v="12.8"/>
  </r>
  <r>
    <x v="0"/>
    <x v="33"/>
    <x v="9"/>
    <x v="19"/>
    <s v="SE3A"/>
    <x v="0"/>
    <n v="42.692399999999999"/>
    <n v="11.859"/>
  </r>
  <r>
    <x v="0"/>
    <x v="33"/>
    <x v="9"/>
    <x v="19"/>
    <s v="SE3A"/>
    <x v="3"/>
    <n v="51.633543144067197"/>
    <n v="14.342650873352"/>
  </r>
  <r>
    <x v="0"/>
    <x v="33"/>
    <x v="9"/>
    <x v="19"/>
    <s v="SE3A"/>
    <x v="4"/>
    <n v="6.3500778790389401"/>
    <n v="1.76391052195526"/>
  </r>
  <r>
    <x v="0"/>
    <x v="33"/>
    <x v="9"/>
    <x v="19"/>
    <s v="SE3A"/>
    <x v="5"/>
    <n v="6.3500778790389401"/>
    <n v="1.76391052195526"/>
  </r>
  <r>
    <x v="0"/>
    <x v="33"/>
    <x v="9"/>
    <x v="19"/>
    <s v="SE3A"/>
    <x v="6"/>
    <n v="29.476231795214598"/>
    <n v="8.1878421653373898"/>
  </r>
  <r>
    <x v="0"/>
    <x v="33"/>
    <x v="9"/>
    <x v="19"/>
    <s v="SE3A"/>
    <x v="7"/>
    <n v="57.838935220261199"/>
    <n v="16.066370894517"/>
  </r>
  <r>
    <x v="0"/>
    <x v="33"/>
    <x v="9"/>
    <x v="19"/>
    <s v="SE3A"/>
    <x v="8"/>
    <n v="57.838935220261199"/>
    <n v="16.066370894517"/>
  </r>
  <r>
    <x v="0"/>
    <x v="33"/>
    <x v="9"/>
    <x v="19"/>
    <s v="SE3A"/>
    <x v="9"/>
    <n v="44.4505451532725"/>
    <n v="12.3473736536868"/>
  </r>
  <r>
    <x v="0"/>
    <x v="33"/>
    <x v="9"/>
    <x v="19"/>
    <s v="SE3A"/>
    <x v="10"/>
    <n v="53.975661971830903"/>
    <n v="14.993239436619699"/>
  </r>
  <r>
    <x v="0"/>
    <x v="33"/>
    <x v="9"/>
    <x v="19"/>
    <s v="SE3A"/>
    <x v="11"/>
    <n v="3.8806031483015802"/>
    <n v="1.07794531897266"/>
  </r>
  <r>
    <x v="0"/>
    <x v="33"/>
    <x v="9"/>
    <x v="19"/>
    <s v="SE3A"/>
    <x v="12"/>
    <n v="9.7995028997514597E-2"/>
    <n v="2.72208413881985E-2"/>
  </r>
  <r>
    <x v="0"/>
    <x v="33"/>
    <x v="9"/>
    <x v="19"/>
    <s v="SE3A"/>
    <x v="13"/>
    <n v="29.633696768848399"/>
    <n v="8.2315824357912195"/>
  </r>
  <r>
    <x v="0"/>
    <x v="33"/>
    <x v="9"/>
    <x v="19"/>
    <s v="SE3A"/>
    <x v="14"/>
    <n v="29.633696768848399"/>
    <n v="8.2315824357912195"/>
  </r>
  <r>
    <x v="0"/>
    <x v="33"/>
    <x v="9"/>
    <x v="19"/>
    <s v="SE3A"/>
    <x v="15"/>
    <n v="1.65807589063794"/>
    <n v="0.46057663628831802"/>
  </r>
  <r>
    <x v="0"/>
    <x v="33"/>
    <x v="9"/>
    <x v="19"/>
    <s v="SE3A"/>
    <x v="16"/>
    <n v="6.4638978602906896"/>
    <n v="1.79552718341408"/>
  </r>
  <r>
    <x v="0"/>
    <x v="33"/>
    <x v="9"/>
    <x v="19"/>
    <s v="SE3A"/>
    <x v="17"/>
    <n v="9.1244895875632395"/>
    <n v="2.5345804409897901"/>
  </r>
  <r>
    <x v="0"/>
    <x v="33"/>
    <x v="9"/>
    <x v="19"/>
    <s v="SE3A"/>
    <x v="18"/>
    <n v="29.633696768848399"/>
    <n v="8.2315824357912195"/>
  </r>
  <r>
    <x v="0"/>
    <x v="33"/>
    <x v="9"/>
    <x v="19"/>
    <s v="SE3A"/>
    <x v="19"/>
    <n v="8.1139884009941898"/>
    <n v="2.2538856669428302"/>
  </r>
  <r>
    <x v="0"/>
    <x v="33"/>
    <x v="9"/>
    <x v="19"/>
    <s v="SE3A"/>
    <x v="20"/>
    <n v="22.109183021311601"/>
    <n v="6.1414397281420996"/>
  </r>
  <r>
    <x v="0"/>
    <x v="33"/>
    <x v="9"/>
    <x v="19"/>
    <s v="SE3A"/>
    <x v="21"/>
    <n v="48.24"/>
    <n v="13.4"/>
  </r>
  <r>
    <x v="0"/>
    <x v="33"/>
    <x v="9"/>
    <x v="19"/>
    <s v="SE3A"/>
    <x v="22"/>
    <n v="67.680000000000007"/>
    <n v="18.8"/>
  </r>
  <r>
    <x v="0"/>
    <x v="33"/>
    <x v="9"/>
    <x v="19"/>
    <s v="SE3A"/>
    <x v="23"/>
    <n v="0.31515896120488701"/>
    <n v="8.7544155890246306E-2"/>
  </r>
  <r>
    <x v="0"/>
    <x v="33"/>
    <x v="9"/>
    <x v="19"/>
    <s v="SE3A"/>
    <x v="24"/>
    <n v="19.174223581093901"/>
    <n v="5.32617321697054"/>
  </r>
  <r>
    <x v="0"/>
    <x v="33"/>
    <x v="9"/>
    <x v="19"/>
    <s v="SE3A"/>
    <x v="25"/>
    <n v="26.209507293842599"/>
    <n v="7.2804186927340497"/>
  </r>
  <r>
    <x v="0"/>
    <x v="33"/>
    <x v="9"/>
    <x v="19"/>
    <s v="SE3A"/>
    <x v="26"/>
    <n v="33.320887798496699"/>
    <n v="9.2558021662490795"/>
  </r>
  <r>
    <x v="0"/>
    <x v="33"/>
    <x v="9"/>
    <x v="19"/>
    <s v="SE3A"/>
    <x v="27"/>
    <n v="20.163995508318798"/>
    <n v="5.6011098634218799"/>
  </r>
  <r>
    <x v="0"/>
    <x v="33"/>
    <x v="9"/>
    <x v="19"/>
    <s v="SE3_IND"/>
    <x v="1"/>
    <n v="35.989199999999997"/>
    <n v="9.9969999999999999"/>
  </r>
  <r>
    <x v="0"/>
    <x v="33"/>
    <x v="9"/>
    <x v="19"/>
    <s v="SE3_IND"/>
    <x v="2"/>
    <n v="46.08"/>
    <n v="12.8"/>
  </r>
  <r>
    <x v="0"/>
    <x v="33"/>
    <x v="9"/>
    <x v="19"/>
    <s v="SE3_IND"/>
    <x v="0"/>
    <n v="42.692399999999999"/>
    <n v="11.859"/>
  </r>
  <r>
    <x v="0"/>
    <x v="33"/>
    <x v="9"/>
    <x v="19"/>
    <s v="SE3_IND"/>
    <x v="3"/>
    <n v="51.633543144067197"/>
    <n v="14.342650873352"/>
  </r>
  <r>
    <x v="0"/>
    <x v="33"/>
    <x v="9"/>
    <x v="19"/>
    <s v="SE3_IND"/>
    <x v="4"/>
    <n v="6.3500778790389401"/>
    <n v="1.76391052195526"/>
  </r>
  <r>
    <x v="0"/>
    <x v="33"/>
    <x v="9"/>
    <x v="19"/>
    <s v="SE3_IND"/>
    <x v="5"/>
    <n v="6.3500778790389401"/>
    <n v="1.76391052195526"/>
  </r>
  <r>
    <x v="0"/>
    <x v="33"/>
    <x v="9"/>
    <x v="19"/>
    <s v="SE3_IND"/>
    <x v="6"/>
    <n v="29.476231795214598"/>
    <n v="8.1878421653373898"/>
  </r>
  <r>
    <x v="0"/>
    <x v="33"/>
    <x v="9"/>
    <x v="19"/>
    <s v="SE3_IND"/>
    <x v="7"/>
    <n v="57.838935220261199"/>
    <n v="16.066370894517"/>
  </r>
  <r>
    <x v="0"/>
    <x v="33"/>
    <x v="9"/>
    <x v="19"/>
    <s v="SE3_IND"/>
    <x v="8"/>
    <n v="57.838935220261199"/>
    <n v="16.066370894517"/>
  </r>
  <r>
    <x v="0"/>
    <x v="33"/>
    <x v="9"/>
    <x v="19"/>
    <s v="SE3_IND"/>
    <x v="9"/>
    <n v="44.4505451532725"/>
    <n v="12.3473736536868"/>
  </r>
  <r>
    <x v="0"/>
    <x v="33"/>
    <x v="9"/>
    <x v="19"/>
    <s v="SE3_IND"/>
    <x v="10"/>
    <n v="53.975661971830903"/>
    <n v="14.993239436619699"/>
  </r>
  <r>
    <x v="0"/>
    <x v="33"/>
    <x v="9"/>
    <x v="19"/>
    <s v="SE3_IND"/>
    <x v="11"/>
    <n v="3.8806031483015802"/>
    <n v="1.07794531897266"/>
  </r>
  <r>
    <x v="0"/>
    <x v="33"/>
    <x v="9"/>
    <x v="19"/>
    <s v="SE3_IND"/>
    <x v="12"/>
    <n v="9.7995028997514597E-2"/>
    <n v="2.72208413881985E-2"/>
  </r>
  <r>
    <x v="0"/>
    <x v="33"/>
    <x v="9"/>
    <x v="19"/>
    <s v="SE3_IND"/>
    <x v="13"/>
    <n v="29.633696768848399"/>
    <n v="8.2315824357912195"/>
  </r>
  <r>
    <x v="0"/>
    <x v="33"/>
    <x v="9"/>
    <x v="19"/>
    <s v="SE3_IND"/>
    <x v="14"/>
    <n v="29.633696768848399"/>
    <n v="8.2315824357912195"/>
  </r>
  <r>
    <x v="0"/>
    <x v="33"/>
    <x v="9"/>
    <x v="19"/>
    <s v="SE3_IND"/>
    <x v="15"/>
    <n v="1.65807589063794"/>
    <n v="0.46057663628831802"/>
  </r>
  <r>
    <x v="0"/>
    <x v="33"/>
    <x v="9"/>
    <x v="19"/>
    <s v="SE3_IND"/>
    <x v="16"/>
    <n v="6.4638978602906896"/>
    <n v="1.79552718341408"/>
  </r>
  <r>
    <x v="0"/>
    <x v="33"/>
    <x v="9"/>
    <x v="19"/>
    <s v="SE3_IND"/>
    <x v="17"/>
    <n v="9.1244895875632395"/>
    <n v="2.5345804409897901"/>
  </r>
  <r>
    <x v="0"/>
    <x v="33"/>
    <x v="9"/>
    <x v="19"/>
    <s v="SE3_IND"/>
    <x v="18"/>
    <n v="29.633696768848399"/>
    <n v="8.2315824357912195"/>
  </r>
  <r>
    <x v="0"/>
    <x v="33"/>
    <x v="9"/>
    <x v="19"/>
    <s v="SE3_IND"/>
    <x v="19"/>
    <n v="8.1139884009941898"/>
    <n v="2.2538856669428302"/>
  </r>
  <r>
    <x v="0"/>
    <x v="33"/>
    <x v="9"/>
    <x v="19"/>
    <s v="SE3_IND"/>
    <x v="20"/>
    <n v="22.109183021311601"/>
    <n v="6.1414397281420996"/>
  </r>
  <r>
    <x v="0"/>
    <x v="33"/>
    <x v="9"/>
    <x v="19"/>
    <s v="SE3_IND"/>
    <x v="21"/>
    <n v="48.24"/>
    <n v="13.4"/>
  </r>
  <r>
    <x v="0"/>
    <x v="33"/>
    <x v="9"/>
    <x v="19"/>
    <s v="SE3_IND"/>
    <x v="22"/>
    <n v="67.680000000000007"/>
    <n v="18.8"/>
  </r>
  <r>
    <x v="0"/>
    <x v="33"/>
    <x v="9"/>
    <x v="19"/>
    <s v="SE3_IND"/>
    <x v="23"/>
    <n v="0.31515896120488701"/>
    <n v="8.7544155890246306E-2"/>
  </r>
  <r>
    <x v="0"/>
    <x v="33"/>
    <x v="9"/>
    <x v="19"/>
    <s v="SE3_IND"/>
    <x v="24"/>
    <n v="19.174223581093901"/>
    <n v="5.32617321697054"/>
  </r>
  <r>
    <x v="0"/>
    <x v="33"/>
    <x v="9"/>
    <x v="19"/>
    <s v="SE3_IND"/>
    <x v="25"/>
    <n v="26.209507293842599"/>
    <n v="7.2804186927340497"/>
  </r>
  <r>
    <x v="0"/>
    <x v="33"/>
    <x v="9"/>
    <x v="19"/>
    <s v="SE3_IND"/>
    <x v="26"/>
    <n v="33.320887798496699"/>
    <n v="9.2558021662490795"/>
  </r>
  <r>
    <x v="0"/>
    <x v="33"/>
    <x v="9"/>
    <x v="19"/>
    <s v="SE3_IND"/>
    <x v="27"/>
    <n v="20.163995508318798"/>
    <n v="5.6011098634218799"/>
  </r>
  <r>
    <x v="0"/>
    <x v="33"/>
    <x v="9"/>
    <x v="19"/>
    <s v="SE3_Offshore"/>
    <x v="1"/>
    <n v="35.989199999999997"/>
    <n v="9.9969999999999999"/>
  </r>
  <r>
    <x v="0"/>
    <x v="33"/>
    <x v="9"/>
    <x v="19"/>
    <s v="SE3_Offshore"/>
    <x v="2"/>
    <n v="46.08"/>
    <n v="12.8"/>
  </r>
  <r>
    <x v="0"/>
    <x v="33"/>
    <x v="9"/>
    <x v="19"/>
    <s v="SE3_Offshore"/>
    <x v="0"/>
    <n v="42.692399999999999"/>
    <n v="11.859"/>
  </r>
  <r>
    <x v="0"/>
    <x v="33"/>
    <x v="9"/>
    <x v="19"/>
    <s v="SE3_Offshore"/>
    <x v="3"/>
    <n v="51.633543144067197"/>
    <n v="14.342650873352"/>
  </r>
  <r>
    <x v="0"/>
    <x v="33"/>
    <x v="9"/>
    <x v="19"/>
    <s v="SE3_Offshore"/>
    <x v="4"/>
    <n v="6.3500778790389401"/>
    <n v="1.76391052195526"/>
  </r>
  <r>
    <x v="0"/>
    <x v="33"/>
    <x v="9"/>
    <x v="19"/>
    <s v="SE3_Offshore"/>
    <x v="5"/>
    <n v="6.3500778790389401"/>
    <n v="1.76391052195526"/>
  </r>
  <r>
    <x v="0"/>
    <x v="33"/>
    <x v="9"/>
    <x v="19"/>
    <s v="SE3_Offshore"/>
    <x v="6"/>
    <n v="29.476231795214598"/>
    <n v="8.1878421653373898"/>
  </r>
  <r>
    <x v="0"/>
    <x v="33"/>
    <x v="9"/>
    <x v="19"/>
    <s v="SE3_Offshore"/>
    <x v="7"/>
    <n v="57.838935220261199"/>
    <n v="16.066370894517"/>
  </r>
  <r>
    <x v="0"/>
    <x v="33"/>
    <x v="9"/>
    <x v="19"/>
    <s v="SE3_Offshore"/>
    <x v="8"/>
    <n v="57.838935220261199"/>
    <n v="16.066370894517"/>
  </r>
  <r>
    <x v="0"/>
    <x v="33"/>
    <x v="9"/>
    <x v="19"/>
    <s v="SE3_Offshore"/>
    <x v="9"/>
    <n v="44.4505451532725"/>
    <n v="12.3473736536868"/>
  </r>
  <r>
    <x v="0"/>
    <x v="33"/>
    <x v="9"/>
    <x v="19"/>
    <s v="SE3_Offshore"/>
    <x v="10"/>
    <n v="53.975661971830903"/>
    <n v="14.993239436619699"/>
  </r>
  <r>
    <x v="0"/>
    <x v="33"/>
    <x v="9"/>
    <x v="19"/>
    <s v="SE3_Offshore"/>
    <x v="11"/>
    <n v="3.8806031483015802"/>
    <n v="1.07794531897266"/>
  </r>
  <r>
    <x v="0"/>
    <x v="33"/>
    <x v="9"/>
    <x v="19"/>
    <s v="SE3_Offshore"/>
    <x v="12"/>
    <n v="9.7995028997514597E-2"/>
    <n v="2.72208413881985E-2"/>
  </r>
  <r>
    <x v="0"/>
    <x v="33"/>
    <x v="9"/>
    <x v="19"/>
    <s v="SE3_Offshore"/>
    <x v="13"/>
    <n v="29.633696768848399"/>
    <n v="8.2315824357912195"/>
  </r>
  <r>
    <x v="0"/>
    <x v="33"/>
    <x v="9"/>
    <x v="19"/>
    <s v="SE3_Offshore"/>
    <x v="14"/>
    <n v="29.633696768848399"/>
    <n v="8.2315824357912195"/>
  </r>
  <r>
    <x v="0"/>
    <x v="33"/>
    <x v="9"/>
    <x v="19"/>
    <s v="SE3_Offshore"/>
    <x v="15"/>
    <n v="1.65807589063794"/>
    <n v="0.46057663628831802"/>
  </r>
  <r>
    <x v="0"/>
    <x v="33"/>
    <x v="9"/>
    <x v="19"/>
    <s v="SE3_Offshore"/>
    <x v="16"/>
    <n v="6.4638978602906896"/>
    <n v="1.79552718341408"/>
  </r>
  <r>
    <x v="0"/>
    <x v="33"/>
    <x v="9"/>
    <x v="19"/>
    <s v="SE3_Offshore"/>
    <x v="17"/>
    <n v="9.1244895875632395"/>
    <n v="2.5345804409897901"/>
  </r>
  <r>
    <x v="0"/>
    <x v="33"/>
    <x v="9"/>
    <x v="19"/>
    <s v="SE3_Offshore"/>
    <x v="18"/>
    <n v="29.633696768848399"/>
    <n v="8.2315824357912195"/>
  </r>
  <r>
    <x v="0"/>
    <x v="33"/>
    <x v="9"/>
    <x v="19"/>
    <s v="SE3_Offshore"/>
    <x v="19"/>
    <n v="8.1139884009941898"/>
    <n v="2.2538856669428302"/>
  </r>
  <r>
    <x v="0"/>
    <x v="33"/>
    <x v="9"/>
    <x v="19"/>
    <s v="SE3_Offshore"/>
    <x v="20"/>
    <n v="22.109183021311601"/>
    <n v="6.1414397281420996"/>
  </r>
  <r>
    <x v="0"/>
    <x v="33"/>
    <x v="9"/>
    <x v="19"/>
    <s v="SE3_Offshore"/>
    <x v="21"/>
    <n v="48.24"/>
    <n v="13.4"/>
  </r>
  <r>
    <x v="0"/>
    <x v="33"/>
    <x v="9"/>
    <x v="19"/>
    <s v="SE3_Offshore"/>
    <x v="22"/>
    <n v="67.680000000000007"/>
    <n v="18.8"/>
  </r>
  <r>
    <x v="0"/>
    <x v="33"/>
    <x v="9"/>
    <x v="19"/>
    <s v="SE3_Offshore"/>
    <x v="23"/>
    <n v="0.31515896120488701"/>
    <n v="8.7544155890246306E-2"/>
  </r>
  <r>
    <x v="0"/>
    <x v="33"/>
    <x v="9"/>
    <x v="19"/>
    <s v="SE3_Offshore"/>
    <x v="24"/>
    <n v="19.174223581093901"/>
    <n v="5.32617321697054"/>
  </r>
  <r>
    <x v="0"/>
    <x v="33"/>
    <x v="9"/>
    <x v="19"/>
    <s v="SE3_Offshore"/>
    <x v="25"/>
    <n v="26.209507293842599"/>
    <n v="7.2804186927340497"/>
  </r>
  <r>
    <x v="0"/>
    <x v="33"/>
    <x v="9"/>
    <x v="19"/>
    <s v="SE3_Offshore"/>
    <x v="26"/>
    <n v="33.320887798496699"/>
    <n v="9.2558021662490795"/>
  </r>
  <r>
    <x v="0"/>
    <x v="33"/>
    <x v="9"/>
    <x v="19"/>
    <s v="SE3_Offshore"/>
    <x v="27"/>
    <n v="20.163995508318798"/>
    <n v="5.6011098634218799"/>
  </r>
  <r>
    <x v="0"/>
    <x v="33"/>
    <x v="9"/>
    <x v="19"/>
    <s v="SE3_large"/>
    <x v="1"/>
    <n v="35.989199999999997"/>
    <n v="9.9969999999999999"/>
  </r>
  <r>
    <x v="0"/>
    <x v="33"/>
    <x v="9"/>
    <x v="19"/>
    <s v="SE3_large"/>
    <x v="2"/>
    <n v="46.08"/>
    <n v="12.8"/>
  </r>
  <r>
    <x v="0"/>
    <x v="33"/>
    <x v="9"/>
    <x v="19"/>
    <s v="SE3_large"/>
    <x v="0"/>
    <n v="42.692399999999999"/>
    <n v="11.859"/>
  </r>
  <r>
    <x v="0"/>
    <x v="33"/>
    <x v="9"/>
    <x v="19"/>
    <s v="SE3_large"/>
    <x v="3"/>
    <n v="51.633543144067197"/>
    <n v="14.342650873352"/>
  </r>
  <r>
    <x v="0"/>
    <x v="33"/>
    <x v="9"/>
    <x v="19"/>
    <s v="SE3_large"/>
    <x v="4"/>
    <n v="6.3500778790389401"/>
    <n v="1.76391052195526"/>
  </r>
  <r>
    <x v="0"/>
    <x v="33"/>
    <x v="9"/>
    <x v="19"/>
    <s v="SE3_large"/>
    <x v="5"/>
    <n v="6.3500778790389401"/>
    <n v="1.76391052195526"/>
  </r>
  <r>
    <x v="0"/>
    <x v="33"/>
    <x v="9"/>
    <x v="19"/>
    <s v="SE3_large"/>
    <x v="6"/>
    <n v="29.476231795214598"/>
    <n v="8.1878421653373898"/>
  </r>
  <r>
    <x v="0"/>
    <x v="33"/>
    <x v="9"/>
    <x v="19"/>
    <s v="SE3_large"/>
    <x v="7"/>
    <n v="57.838935220261199"/>
    <n v="16.066370894517"/>
  </r>
  <r>
    <x v="0"/>
    <x v="33"/>
    <x v="9"/>
    <x v="19"/>
    <s v="SE3_large"/>
    <x v="8"/>
    <n v="57.838935220261199"/>
    <n v="16.066370894517"/>
  </r>
  <r>
    <x v="0"/>
    <x v="33"/>
    <x v="9"/>
    <x v="19"/>
    <s v="SE3_large"/>
    <x v="9"/>
    <n v="44.4505451532725"/>
    <n v="12.3473736536868"/>
  </r>
  <r>
    <x v="0"/>
    <x v="33"/>
    <x v="9"/>
    <x v="19"/>
    <s v="SE3_large"/>
    <x v="10"/>
    <n v="53.975661971830903"/>
    <n v="14.993239436619699"/>
  </r>
  <r>
    <x v="0"/>
    <x v="33"/>
    <x v="9"/>
    <x v="19"/>
    <s v="SE3_large"/>
    <x v="11"/>
    <n v="3.8806031483015802"/>
    <n v="1.07794531897266"/>
  </r>
  <r>
    <x v="0"/>
    <x v="33"/>
    <x v="9"/>
    <x v="19"/>
    <s v="SE3_large"/>
    <x v="12"/>
    <n v="9.7995028997514597E-2"/>
    <n v="2.72208413881985E-2"/>
  </r>
  <r>
    <x v="0"/>
    <x v="33"/>
    <x v="9"/>
    <x v="19"/>
    <s v="SE3_large"/>
    <x v="13"/>
    <n v="29.633696768848399"/>
    <n v="8.2315824357912195"/>
  </r>
  <r>
    <x v="0"/>
    <x v="33"/>
    <x v="9"/>
    <x v="19"/>
    <s v="SE3_large"/>
    <x v="14"/>
    <n v="29.633696768848399"/>
    <n v="8.2315824357912195"/>
  </r>
  <r>
    <x v="0"/>
    <x v="33"/>
    <x v="9"/>
    <x v="19"/>
    <s v="SE3_large"/>
    <x v="15"/>
    <n v="1.65807589063794"/>
    <n v="0.46057663628831802"/>
  </r>
  <r>
    <x v="0"/>
    <x v="33"/>
    <x v="9"/>
    <x v="19"/>
    <s v="SE3_large"/>
    <x v="16"/>
    <n v="6.4638978602906896"/>
    <n v="1.79552718341408"/>
  </r>
  <r>
    <x v="0"/>
    <x v="33"/>
    <x v="9"/>
    <x v="19"/>
    <s v="SE3_large"/>
    <x v="17"/>
    <n v="9.1244895875632395"/>
    <n v="2.5345804409897901"/>
  </r>
  <r>
    <x v="0"/>
    <x v="33"/>
    <x v="9"/>
    <x v="19"/>
    <s v="SE3_large"/>
    <x v="18"/>
    <n v="29.633696768848399"/>
    <n v="8.2315824357912195"/>
  </r>
  <r>
    <x v="0"/>
    <x v="33"/>
    <x v="9"/>
    <x v="19"/>
    <s v="SE3_large"/>
    <x v="19"/>
    <n v="8.1139884009941898"/>
    <n v="2.2538856669428302"/>
  </r>
  <r>
    <x v="0"/>
    <x v="33"/>
    <x v="9"/>
    <x v="19"/>
    <s v="SE3_large"/>
    <x v="20"/>
    <n v="22.109183021311601"/>
    <n v="6.1414397281420996"/>
  </r>
  <r>
    <x v="0"/>
    <x v="33"/>
    <x v="9"/>
    <x v="19"/>
    <s v="SE3_large"/>
    <x v="21"/>
    <n v="48.24"/>
    <n v="13.4"/>
  </r>
  <r>
    <x v="0"/>
    <x v="33"/>
    <x v="9"/>
    <x v="19"/>
    <s v="SE3_large"/>
    <x v="22"/>
    <n v="67.680000000000007"/>
    <n v="18.8"/>
  </r>
  <r>
    <x v="0"/>
    <x v="33"/>
    <x v="9"/>
    <x v="19"/>
    <s v="SE3_large"/>
    <x v="23"/>
    <n v="0.31515896120488701"/>
    <n v="8.7544155890246306E-2"/>
  </r>
  <r>
    <x v="0"/>
    <x v="33"/>
    <x v="9"/>
    <x v="19"/>
    <s v="SE3_large"/>
    <x v="24"/>
    <n v="19.174223581093901"/>
    <n v="5.32617321697054"/>
  </r>
  <r>
    <x v="0"/>
    <x v="33"/>
    <x v="9"/>
    <x v="19"/>
    <s v="SE3_large"/>
    <x v="25"/>
    <n v="26.209507293842599"/>
    <n v="7.2804186927340497"/>
  </r>
  <r>
    <x v="0"/>
    <x v="33"/>
    <x v="9"/>
    <x v="19"/>
    <s v="SE3_large"/>
    <x v="26"/>
    <n v="33.320887798496699"/>
    <n v="9.2558021662490795"/>
  </r>
  <r>
    <x v="0"/>
    <x v="33"/>
    <x v="9"/>
    <x v="19"/>
    <s v="SE3_large"/>
    <x v="27"/>
    <n v="20.163995508318798"/>
    <n v="5.6011098634218799"/>
  </r>
  <r>
    <x v="0"/>
    <x v="33"/>
    <x v="9"/>
    <x v="19"/>
    <s v="SE3_medium"/>
    <x v="1"/>
    <n v="35.989199999999997"/>
    <n v="9.9969999999999999"/>
  </r>
  <r>
    <x v="0"/>
    <x v="33"/>
    <x v="9"/>
    <x v="19"/>
    <s v="SE3_medium"/>
    <x v="2"/>
    <n v="46.08"/>
    <n v="12.8"/>
  </r>
  <r>
    <x v="0"/>
    <x v="33"/>
    <x v="9"/>
    <x v="19"/>
    <s v="SE3_medium"/>
    <x v="0"/>
    <n v="42.692399999999999"/>
    <n v="11.859"/>
  </r>
  <r>
    <x v="0"/>
    <x v="33"/>
    <x v="9"/>
    <x v="19"/>
    <s v="SE3_medium"/>
    <x v="3"/>
    <n v="51.633543144067197"/>
    <n v="14.342650873352"/>
  </r>
  <r>
    <x v="0"/>
    <x v="33"/>
    <x v="9"/>
    <x v="19"/>
    <s v="SE3_medium"/>
    <x v="4"/>
    <n v="6.3500778790389401"/>
    <n v="1.76391052195526"/>
  </r>
  <r>
    <x v="0"/>
    <x v="33"/>
    <x v="9"/>
    <x v="19"/>
    <s v="SE3_medium"/>
    <x v="5"/>
    <n v="6.3500778790389401"/>
    <n v="1.76391052195526"/>
  </r>
  <r>
    <x v="0"/>
    <x v="33"/>
    <x v="9"/>
    <x v="19"/>
    <s v="SE3_medium"/>
    <x v="6"/>
    <n v="29.476231795214598"/>
    <n v="8.1878421653373898"/>
  </r>
  <r>
    <x v="0"/>
    <x v="33"/>
    <x v="9"/>
    <x v="19"/>
    <s v="SE3_medium"/>
    <x v="7"/>
    <n v="57.838935220261199"/>
    <n v="16.066370894517"/>
  </r>
  <r>
    <x v="0"/>
    <x v="33"/>
    <x v="9"/>
    <x v="19"/>
    <s v="SE3_medium"/>
    <x v="8"/>
    <n v="57.838935220261199"/>
    <n v="16.066370894517"/>
  </r>
  <r>
    <x v="0"/>
    <x v="33"/>
    <x v="9"/>
    <x v="19"/>
    <s v="SE3_medium"/>
    <x v="9"/>
    <n v="44.4505451532725"/>
    <n v="12.3473736536868"/>
  </r>
  <r>
    <x v="0"/>
    <x v="33"/>
    <x v="9"/>
    <x v="19"/>
    <s v="SE3_medium"/>
    <x v="10"/>
    <n v="53.975661971830903"/>
    <n v="14.993239436619699"/>
  </r>
  <r>
    <x v="0"/>
    <x v="33"/>
    <x v="9"/>
    <x v="19"/>
    <s v="SE3_medium"/>
    <x v="11"/>
    <n v="3.8806031483015802"/>
    <n v="1.07794531897266"/>
  </r>
  <r>
    <x v="0"/>
    <x v="33"/>
    <x v="9"/>
    <x v="19"/>
    <s v="SE3_medium"/>
    <x v="12"/>
    <n v="9.7995028997514597E-2"/>
    <n v="2.72208413881985E-2"/>
  </r>
  <r>
    <x v="0"/>
    <x v="33"/>
    <x v="9"/>
    <x v="19"/>
    <s v="SE3_medium"/>
    <x v="13"/>
    <n v="29.633696768848399"/>
    <n v="8.2315824357912195"/>
  </r>
  <r>
    <x v="0"/>
    <x v="33"/>
    <x v="9"/>
    <x v="19"/>
    <s v="SE3_medium"/>
    <x v="14"/>
    <n v="29.633696768848399"/>
    <n v="8.2315824357912195"/>
  </r>
  <r>
    <x v="0"/>
    <x v="33"/>
    <x v="9"/>
    <x v="19"/>
    <s v="SE3_medium"/>
    <x v="15"/>
    <n v="1.65807589063794"/>
    <n v="0.46057663628831802"/>
  </r>
  <r>
    <x v="0"/>
    <x v="33"/>
    <x v="9"/>
    <x v="19"/>
    <s v="SE3_medium"/>
    <x v="16"/>
    <n v="6.4638978602906896"/>
    <n v="1.79552718341408"/>
  </r>
  <r>
    <x v="0"/>
    <x v="33"/>
    <x v="9"/>
    <x v="19"/>
    <s v="SE3_medium"/>
    <x v="17"/>
    <n v="9.1244895875632395"/>
    <n v="2.5345804409897901"/>
  </r>
  <r>
    <x v="0"/>
    <x v="33"/>
    <x v="9"/>
    <x v="19"/>
    <s v="SE3_medium"/>
    <x v="18"/>
    <n v="29.633696768848399"/>
    <n v="8.2315824357912195"/>
  </r>
  <r>
    <x v="0"/>
    <x v="33"/>
    <x v="9"/>
    <x v="19"/>
    <s v="SE3_medium"/>
    <x v="19"/>
    <n v="8.1139884009941898"/>
    <n v="2.2538856669428302"/>
  </r>
  <r>
    <x v="0"/>
    <x v="33"/>
    <x v="9"/>
    <x v="19"/>
    <s v="SE3_medium"/>
    <x v="20"/>
    <n v="22.109183021311601"/>
    <n v="6.1414397281420996"/>
  </r>
  <r>
    <x v="0"/>
    <x v="33"/>
    <x v="9"/>
    <x v="19"/>
    <s v="SE3_medium"/>
    <x v="21"/>
    <n v="48.24"/>
    <n v="13.4"/>
  </r>
  <r>
    <x v="0"/>
    <x v="33"/>
    <x v="9"/>
    <x v="19"/>
    <s v="SE3_medium"/>
    <x v="22"/>
    <n v="67.680000000000007"/>
    <n v="18.8"/>
  </r>
  <r>
    <x v="0"/>
    <x v="33"/>
    <x v="9"/>
    <x v="19"/>
    <s v="SE3_medium"/>
    <x v="23"/>
    <n v="0.31515896120488701"/>
    <n v="8.7544155890246306E-2"/>
  </r>
  <r>
    <x v="0"/>
    <x v="33"/>
    <x v="9"/>
    <x v="19"/>
    <s v="SE3_medium"/>
    <x v="24"/>
    <n v="19.174223581093901"/>
    <n v="5.32617321697054"/>
  </r>
  <r>
    <x v="0"/>
    <x v="33"/>
    <x v="9"/>
    <x v="19"/>
    <s v="SE3_medium"/>
    <x v="25"/>
    <n v="26.209507293842599"/>
    <n v="7.2804186927340497"/>
  </r>
  <r>
    <x v="0"/>
    <x v="33"/>
    <x v="9"/>
    <x v="19"/>
    <s v="SE3_medium"/>
    <x v="26"/>
    <n v="33.320887798496699"/>
    <n v="9.2558021662490795"/>
  </r>
  <r>
    <x v="0"/>
    <x v="33"/>
    <x v="9"/>
    <x v="19"/>
    <s v="SE3_medium"/>
    <x v="27"/>
    <n v="20.163995508318798"/>
    <n v="5.6011098634218799"/>
  </r>
  <r>
    <x v="0"/>
    <x v="33"/>
    <x v="9"/>
    <x v="19"/>
    <s v="SE3_small"/>
    <x v="1"/>
    <n v="35.989199999999997"/>
    <n v="9.9969999999999999"/>
  </r>
  <r>
    <x v="0"/>
    <x v="33"/>
    <x v="9"/>
    <x v="19"/>
    <s v="SE3_small"/>
    <x v="2"/>
    <n v="46.08"/>
    <n v="12.8"/>
  </r>
  <r>
    <x v="0"/>
    <x v="33"/>
    <x v="9"/>
    <x v="19"/>
    <s v="SE3_small"/>
    <x v="0"/>
    <n v="42.692399999999999"/>
    <n v="11.859"/>
  </r>
  <r>
    <x v="0"/>
    <x v="33"/>
    <x v="9"/>
    <x v="19"/>
    <s v="SE3_small"/>
    <x v="3"/>
    <n v="51.633543144067197"/>
    <n v="14.342650873352"/>
  </r>
  <r>
    <x v="0"/>
    <x v="33"/>
    <x v="9"/>
    <x v="19"/>
    <s v="SE3_small"/>
    <x v="4"/>
    <n v="6.3500778790389401"/>
    <n v="1.76391052195526"/>
  </r>
  <r>
    <x v="0"/>
    <x v="33"/>
    <x v="9"/>
    <x v="19"/>
    <s v="SE3_small"/>
    <x v="5"/>
    <n v="6.3500778790389401"/>
    <n v="1.76391052195526"/>
  </r>
  <r>
    <x v="0"/>
    <x v="33"/>
    <x v="9"/>
    <x v="19"/>
    <s v="SE3_small"/>
    <x v="6"/>
    <n v="29.476231795214598"/>
    <n v="8.1878421653373898"/>
  </r>
  <r>
    <x v="0"/>
    <x v="33"/>
    <x v="9"/>
    <x v="19"/>
    <s v="SE3_small"/>
    <x v="7"/>
    <n v="57.838935220261199"/>
    <n v="16.066370894517"/>
  </r>
  <r>
    <x v="0"/>
    <x v="33"/>
    <x v="9"/>
    <x v="19"/>
    <s v="SE3_small"/>
    <x v="8"/>
    <n v="57.838935220261199"/>
    <n v="16.066370894517"/>
  </r>
  <r>
    <x v="0"/>
    <x v="33"/>
    <x v="9"/>
    <x v="19"/>
    <s v="SE3_small"/>
    <x v="9"/>
    <n v="44.4505451532725"/>
    <n v="12.3473736536868"/>
  </r>
  <r>
    <x v="0"/>
    <x v="33"/>
    <x v="9"/>
    <x v="19"/>
    <s v="SE3_small"/>
    <x v="10"/>
    <n v="53.975661971830903"/>
    <n v="14.993239436619699"/>
  </r>
  <r>
    <x v="0"/>
    <x v="33"/>
    <x v="9"/>
    <x v="19"/>
    <s v="SE3_small"/>
    <x v="11"/>
    <n v="3.8806031483015802"/>
    <n v="1.07794531897266"/>
  </r>
  <r>
    <x v="0"/>
    <x v="33"/>
    <x v="9"/>
    <x v="19"/>
    <s v="SE3_small"/>
    <x v="12"/>
    <n v="9.7995028997514597E-2"/>
    <n v="2.72208413881985E-2"/>
  </r>
  <r>
    <x v="0"/>
    <x v="33"/>
    <x v="9"/>
    <x v="19"/>
    <s v="SE3_small"/>
    <x v="13"/>
    <n v="29.633696768848399"/>
    <n v="8.2315824357912195"/>
  </r>
  <r>
    <x v="0"/>
    <x v="33"/>
    <x v="9"/>
    <x v="19"/>
    <s v="SE3_small"/>
    <x v="14"/>
    <n v="29.633696768848399"/>
    <n v="8.2315824357912195"/>
  </r>
  <r>
    <x v="0"/>
    <x v="33"/>
    <x v="9"/>
    <x v="19"/>
    <s v="SE3_small"/>
    <x v="15"/>
    <n v="1.65807589063794"/>
    <n v="0.46057663628831802"/>
  </r>
  <r>
    <x v="0"/>
    <x v="33"/>
    <x v="9"/>
    <x v="19"/>
    <s v="SE3_small"/>
    <x v="16"/>
    <n v="6.4638978602906896"/>
    <n v="1.79552718341408"/>
  </r>
  <r>
    <x v="0"/>
    <x v="33"/>
    <x v="9"/>
    <x v="19"/>
    <s v="SE3_small"/>
    <x v="17"/>
    <n v="9.1244895875632395"/>
    <n v="2.5345804409897901"/>
  </r>
  <r>
    <x v="0"/>
    <x v="33"/>
    <x v="9"/>
    <x v="19"/>
    <s v="SE3_small"/>
    <x v="18"/>
    <n v="29.633696768848399"/>
    <n v="8.2315824357912195"/>
  </r>
  <r>
    <x v="0"/>
    <x v="33"/>
    <x v="9"/>
    <x v="19"/>
    <s v="SE3_small"/>
    <x v="19"/>
    <n v="8.1139884009941898"/>
    <n v="2.2538856669428302"/>
  </r>
  <r>
    <x v="0"/>
    <x v="33"/>
    <x v="9"/>
    <x v="19"/>
    <s v="SE3_small"/>
    <x v="20"/>
    <n v="22.109183021311601"/>
    <n v="6.1414397281420996"/>
  </r>
  <r>
    <x v="0"/>
    <x v="33"/>
    <x v="9"/>
    <x v="19"/>
    <s v="SE3_small"/>
    <x v="21"/>
    <n v="48.24"/>
    <n v="13.4"/>
  </r>
  <r>
    <x v="0"/>
    <x v="33"/>
    <x v="9"/>
    <x v="19"/>
    <s v="SE3_small"/>
    <x v="22"/>
    <n v="67.680000000000007"/>
    <n v="18.8"/>
  </r>
  <r>
    <x v="0"/>
    <x v="33"/>
    <x v="9"/>
    <x v="19"/>
    <s v="SE3_small"/>
    <x v="23"/>
    <n v="0.31515896120488701"/>
    <n v="8.7544155890246306E-2"/>
  </r>
  <r>
    <x v="0"/>
    <x v="33"/>
    <x v="9"/>
    <x v="19"/>
    <s v="SE3_small"/>
    <x v="24"/>
    <n v="19.174223581093901"/>
    <n v="5.32617321697054"/>
  </r>
  <r>
    <x v="0"/>
    <x v="33"/>
    <x v="9"/>
    <x v="19"/>
    <s v="SE3_small"/>
    <x v="25"/>
    <n v="26.209507293842599"/>
    <n v="7.2804186927340497"/>
  </r>
  <r>
    <x v="0"/>
    <x v="33"/>
    <x v="9"/>
    <x v="19"/>
    <s v="SE3_small"/>
    <x v="26"/>
    <n v="33.320887798496699"/>
    <n v="9.2558021662490795"/>
  </r>
  <r>
    <x v="0"/>
    <x v="33"/>
    <x v="9"/>
    <x v="19"/>
    <s v="SE3_small"/>
    <x v="27"/>
    <n v="20.163995508318798"/>
    <n v="5.6011098634218799"/>
  </r>
  <r>
    <x v="0"/>
    <x v="33"/>
    <x v="9"/>
    <x v="20"/>
    <s v="SE4A"/>
    <x v="1"/>
    <n v="35.989199999999997"/>
    <n v="9.9969999999999999"/>
  </r>
  <r>
    <x v="0"/>
    <x v="33"/>
    <x v="9"/>
    <x v="20"/>
    <s v="SE4A"/>
    <x v="2"/>
    <n v="46.08"/>
    <n v="12.8"/>
  </r>
  <r>
    <x v="0"/>
    <x v="33"/>
    <x v="9"/>
    <x v="20"/>
    <s v="SE4A"/>
    <x v="0"/>
    <n v="42.692399999999999"/>
    <n v="11.859"/>
  </r>
  <r>
    <x v="0"/>
    <x v="33"/>
    <x v="9"/>
    <x v="20"/>
    <s v="SE4A"/>
    <x v="3"/>
    <n v="51.633543144067197"/>
    <n v="14.342650873352"/>
  </r>
  <r>
    <x v="0"/>
    <x v="33"/>
    <x v="9"/>
    <x v="20"/>
    <s v="SE4A"/>
    <x v="4"/>
    <n v="6.3500778790389401"/>
    <n v="1.76391052195526"/>
  </r>
  <r>
    <x v="0"/>
    <x v="33"/>
    <x v="9"/>
    <x v="20"/>
    <s v="SE4A"/>
    <x v="5"/>
    <n v="6.3500778790389401"/>
    <n v="1.76391052195526"/>
  </r>
  <r>
    <x v="0"/>
    <x v="33"/>
    <x v="9"/>
    <x v="20"/>
    <s v="SE4A"/>
    <x v="6"/>
    <n v="29.476231795214598"/>
    <n v="8.1878421653373898"/>
  </r>
  <r>
    <x v="0"/>
    <x v="33"/>
    <x v="9"/>
    <x v="20"/>
    <s v="SE4A"/>
    <x v="7"/>
    <n v="57.838935220261199"/>
    <n v="16.066370894517"/>
  </r>
  <r>
    <x v="0"/>
    <x v="33"/>
    <x v="9"/>
    <x v="20"/>
    <s v="SE4A"/>
    <x v="8"/>
    <n v="57.838935220261199"/>
    <n v="16.066370894517"/>
  </r>
  <r>
    <x v="0"/>
    <x v="33"/>
    <x v="9"/>
    <x v="20"/>
    <s v="SE4A"/>
    <x v="9"/>
    <n v="44.4505451532725"/>
    <n v="12.3473736536868"/>
  </r>
  <r>
    <x v="0"/>
    <x v="33"/>
    <x v="9"/>
    <x v="20"/>
    <s v="SE4A"/>
    <x v="10"/>
    <n v="53.975661971830903"/>
    <n v="14.993239436619699"/>
  </r>
  <r>
    <x v="0"/>
    <x v="33"/>
    <x v="9"/>
    <x v="20"/>
    <s v="SE4A"/>
    <x v="11"/>
    <n v="3.8806031483015802"/>
    <n v="1.07794531897266"/>
  </r>
  <r>
    <x v="0"/>
    <x v="33"/>
    <x v="9"/>
    <x v="20"/>
    <s v="SE4A"/>
    <x v="12"/>
    <n v="9.7995028997514597E-2"/>
    <n v="2.72208413881985E-2"/>
  </r>
  <r>
    <x v="0"/>
    <x v="33"/>
    <x v="9"/>
    <x v="20"/>
    <s v="SE4A"/>
    <x v="13"/>
    <n v="29.633696768848399"/>
    <n v="8.2315824357912195"/>
  </r>
  <r>
    <x v="0"/>
    <x v="33"/>
    <x v="9"/>
    <x v="20"/>
    <s v="SE4A"/>
    <x v="14"/>
    <n v="29.633696768848399"/>
    <n v="8.2315824357912195"/>
  </r>
  <r>
    <x v="0"/>
    <x v="33"/>
    <x v="9"/>
    <x v="20"/>
    <s v="SE4A"/>
    <x v="15"/>
    <n v="1.65807589063794"/>
    <n v="0.46057663628831802"/>
  </r>
  <r>
    <x v="0"/>
    <x v="33"/>
    <x v="9"/>
    <x v="20"/>
    <s v="SE4A"/>
    <x v="16"/>
    <n v="6.4638978602906896"/>
    <n v="1.79552718341408"/>
  </r>
  <r>
    <x v="0"/>
    <x v="33"/>
    <x v="9"/>
    <x v="20"/>
    <s v="SE4A"/>
    <x v="17"/>
    <n v="9.1244895875632395"/>
    <n v="2.5345804409897901"/>
  </r>
  <r>
    <x v="0"/>
    <x v="33"/>
    <x v="9"/>
    <x v="20"/>
    <s v="SE4A"/>
    <x v="18"/>
    <n v="29.633696768848399"/>
    <n v="8.2315824357912195"/>
  </r>
  <r>
    <x v="0"/>
    <x v="33"/>
    <x v="9"/>
    <x v="20"/>
    <s v="SE4A"/>
    <x v="19"/>
    <n v="8.1139884009941898"/>
    <n v="2.2538856669428302"/>
  </r>
  <r>
    <x v="0"/>
    <x v="33"/>
    <x v="9"/>
    <x v="20"/>
    <s v="SE4A"/>
    <x v="20"/>
    <n v="22.109183021311601"/>
    <n v="6.1414397281420996"/>
  </r>
  <r>
    <x v="0"/>
    <x v="33"/>
    <x v="9"/>
    <x v="20"/>
    <s v="SE4A"/>
    <x v="21"/>
    <n v="48.24"/>
    <n v="13.4"/>
  </r>
  <r>
    <x v="0"/>
    <x v="33"/>
    <x v="9"/>
    <x v="20"/>
    <s v="SE4A"/>
    <x v="22"/>
    <n v="67.680000000000007"/>
    <n v="18.8"/>
  </r>
  <r>
    <x v="0"/>
    <x v="33"/>
    <x v="9"/>
    <x v="20"/>
    <s v="SE4A"/>
    <x v="23"/>
    <n v="0.31515896120488701"/>
    <n v="8.7544155890246306E-2"/>
  </r>
  <r>
    <x v="0"/>
    <x v="33"/>
    <x v="9"/>
    <x v="20"/>
    <s v="SE4A"/>
    <x v="24"/>
    <n v="19.174223581093901"/>
    <n v="5.32617321697054"/>
  </r>
  <r>
    <x v="0"/>
    <x v="33"/>
    <x v="9"/>
    <x v="20"/>
    <s v="SE4A"/>
    <x v="25"/>
    <n v="26.209507293842599"/>
    <n v="7.2804186927340497"/>
  </r>
  <r>
    <x v="0"/>
    <x v="33"/>
    <x v="9"/>
    <x v="20"/>
    <s v="SE4A"/>
    <x v="26"/>
    <n v="33.320887798496699"/>
    <n v="9.2558021662490795"/>
  </r>
  <r>
    <x v="0"/>
    <x v="33"/>
    <x v="9"/>
    <x v="20"/>
    <s v="SE4A"/>
    <x v="27"/>
    <n v="20.163995508318798"/>
    <n v="5.6011098634218799"/>
  </r>
  <r>
    <x v="0"/>
    <x v="33"/>
    <x v="9"/>
    <x v="20"/>
    <s v="SE4_IND"/>
    <x v="1"/>
    <n v="35.989199999999997"/>
    <n v="9.9969999999999999"/>
  </r>
  <r>
    <x v="0"/>
    <x v="33"/>
    <x v="9"/>
    <x v="20"/>
    <s v="SE4_IND"/>
    <x v="2"/>
    <n v="46.08"/>
    <n v="12.8"/>
  </r>
  <r>
    <x v="0"/>
    <x v="33"/>
    <x v="9"/>
    <x v="20"/>
    <s v="SE4_IND"/>
    <x v="0"/>
    <n v="42.692399999999999"/>
    <n v="11.859"/>
  </r>
  <r>
    <x v="0"/>
    <x v="33"/>
    <x v="9"/>
    <x v="20"/>
    <s v="SE4_IND"/>
    <x v="3"/>
    <n v="51.633543144067197"/>
    <n v="14.342650873352"/>
  </r>
  <r>
    <x v="0"/>
    <x v="33"/>
    <x v="9"/>
    <x v="20"/>
    <s v="SE4_IND"/>
    <x v="4"/>
    <n v="6.3500778790389401"/>
    <n v="1.76391052195526"/>
  </r>
  <r>
    <x v="0"/>
    <x v="33"/>
    <x v="9"/>
    <x v="20"/>
    <s v="SE4_IND"/>
    <x v="5"/>
    <n v="6.3500778790389401"/>
    <n v="1.76391052195526"/>
  </r>
  <r>
    <x v="0"/>
    <x v="33"/>
    <x v="9"/>
    <x v="20"/>
    <s v="SE4_IND"/>
    <x v="6"/>
    <n v="29.476231795214598"/>
    <n v="8.1878421653373898"/>
  </r>
  <r>
    <x v="0"/>
    <x v="33"/>
    <x v="9"/>
    <x v="20"/>
    <s v="SE4_IND"/>
    <x v="7"/>
    <n v="57.838935220261199"/>
    <n v="16.066370894517"/>
  </r>
  <r>
    <x v="0"/>
    <x v="33"/>
    <x v="9"/>
    <x v="20"/>
    <s v="SE4_IND"/>
    <x v="8"/>
    <n v="57.838935220261199"/>
    <n v="16.066370894517"/>
  </r>
  <r>
    <x v="0"/>
    <x v="33"/>
    <x v="9"/>
    <x v="20"/>
    <s v="SE4_IND"/>
    <x v="9"/>
    <n v="44.4505451532725"/>
    <n v="12.3473736536868"/>
  </r>
  <r>
    <x v="0"/>
    <x v="33"/>
    <x v="9"/>
    <x v="20"/>
    <s v="SE4_IND"/>
    <x v="10"/>
    <n v="53.975661971830903"/>
    <n v="14.993239436619699"/>
  </r>
  <r>
    <x v="0"/>
    <x v="33"/>
    <x v="9"/>
    <x v="20"/>
    <s v="SE4_IND"/>
    <x v="11"/>
    <n v="3.8806031483015802"/>
    <n v="1.07794531897266"/>
  </r>
  <r>
    <x v="0"/>
    <x v="33"/>
    <x v="9"/>
    <x v="20"/>
    <s v="SE4_IND"/>
    <x v="12"/>
    <n v="9.7995028997514597E-2"/>
    <n v="2.72208413881985E-2"/>
  </r>
  <r>
    <x v="0"/>
    <x v="33"/>
    <x v="9"/>
    <x v="20"/>
    <s v="SE4_IND"/>
    <x v="13"/>
    <n v="29.633696768848399"/>
    <n v="8.2315824357912195"/>
  </r>
  <r>
    <x v="0"/>
    <x v="33"/>
    <x v="9"/>
    <x v="20"/>
    <s v="SE4_IND"/>
    <x v="14"/>
    <n v="29.633696768848399"/>
    <n v="8.2315824357912195"/>
  </r>
  <r>
    <x v="0"/>
    <x v="33"/>
    <x v="9"/>
    <x v="20"/>
    <s v="SE4_IND"/>
    <x v="15"/>
    <n v="1.65807589063794"/>
    <n v="0.46057663628831802"/>
  </r>
  <r>
    <x v="0"/>
    <x v="33"/>
    <x v="9"/>
    <x v="20"/>
    <s v="SE4_IND"/>
    <x v="16"/>
    <n v="6.4638978602906896"/>
    <n v="1.79552718341408"/>
  </r>
  <r>
    <x v="0"/>
    <x v="33"/>
    <x v="9"/>
    <x v="20"/>
    <s v="SE4_IND"/>
    <x v="17"/>
    <n v="9.1244895875632395"/>
    <n v="2.5345804409897901"/>
  </r>
  <r>
    <x v="0"/>
    <x v="33"/>
    <x v="9"/>
    <x v="20"/>
    <s v="SE4_IND"/>
    <x v="18"/>
    <n v="29.633696768848399"/>
    <n v="8.2315824357912195"/>
  </r>
  <r>
    <x v="0"/>
    <x v="33"/>
    <x v="9"/>
    <x v="20"/>
    <s v="SE4_IND"/>
    <x v="19"/>
    <n v="8.1139884009941898"/>
    <n v="2.2538856669428302"/>
  </r>
  <r>
    <x v="0"/>
    <x v="33"/>
    <x v="9"/>
    <x v="20"/>
    <s v="SE4_IND"/>
    <x v="20"/>
    <n v="22.109183021311601"/>
    <n v="6.1414397281420996"/>
  </r>
  <r>
    <x v="0"/>
    <x v="33"/>
    <x v="9"/>
    <x v="20"/>
    <s v="SE4_IND"/>
    <x v="21"/>
    <n v="48.24"/>
    <n v="13.4"/>
  </r>
  <r>
    <x v="0"/>
    <x v="33"/>
    <x v="9"/>
    <x v="20"/>
    <s v="SE4_IND"/>
    <x v="22"/>
    <n v="67.680000000000007"/>
    <n v="18.8"/>
  </r>
  <r>
    <x v="0"/>
    <x v="33"/>
    <x v="9"/>
    <x v="20"/>
    <s v="SE4_IND"/>
    <x v="23"/>
    <n v="0.31515896120488701"/>
    <n v="8.7544155890246306E-2"/>
  </r>
  <r>
    <x v="0"/>
    <x v="33"/>
    <x v="9"/>
    <x v="20"/>
    <s v="SE4_IND"/>
    <x v="24"/>
    <n v="19.174223581093901"/>
    <n v="5.32617321697054"/>
  </r>
  <r>
    <x v="0"/>
    <x v="33"/>
    <x v="9"/>
    <x v="20"/>
    <s v="SE4_IND"/>
    <x v="25"/>
    <n v="26.209507293842599"/>
    <n v="7.2804186927340497"/>
  </r>
  <r>
    <x v="0"/>
    <x v="33"/>
    <x v="9"/>
    <x v="20"/>
    <s v="SE4_IND"/>
    <x v="26"/>
    <n v="33.320887798496699"/>
    <n v="9.2558021662490795"/>
  </r>
  <r>
    <x v="0"/>
    <x v="33"/>
    <x v="9"/>
    <x v="20"/>
    <s v="SE4_IND"/>
    <x v="27"/>
    <n v="20.163995508318798"/>
    <n v="5.6011098634218799"/>
  </r>
  <r>
    <x v="0"/>
    <x v="33"/>
    <x v="9"/>
    <x v="20"/>
    <s v="SE4_Offshore"/>
    <x v="1"/>
    <n v="35.989199999999997"/>
    <n v="9.9969999999999999"/>
  </r>
  <r>
    <x v="0"/>
    <x v="33"/>
    <x v="9"/>
    <x v="20"/>
    <s v="SE4_Offshore"/>
    <x v="2"/>
    <n v="46.08"/>
    <n v="12.8"/>
  </r>
  <r>
    <x v="0"/>
    <x v="33"/>
    <x v="9"/>
    <x v="20"/>
    <s v="SE4_Offshore"/>
    <x v="0"/>
    <n v="42.692399999999999"/>
    <n v="11.859"/>
  </r>
  <r>
    <x v="0"/>
    <x v="33"/>
    <x v="9"/>
    <x v="20"/>
    <s v="SE4_Offshore"/>
    <x v="3"/>
    <n v="51.633543144067197"/>
    <n v="14.342650873352"/>
  </r>
  <r>
    <x v="0"/>
    <x v="33"/>
    <x v="9"/>
    <x v="20"/>
    <s v="SE4_Offshore"/>
    <x v="4"/>
    <n v="6.3500778790389401"/>
    <n v="1.76391052195526"/>
  </r>
  <r>
    <x v="0"/>
    <x v="33"/>
    <x v="9"/>
    <x v="20"/>
    <s v="SE4_Offshore"/>
    <x v="5"/>
    <n v="6.3500778790389401"/>
    <n v="1.76391052195526"/>
  </r>
  <r>
    <x v="0"/>
    <x v="33"/>
    <x v="9"/>
    <x v="20"/>
    <s v="SE4_Offshore"/>
    <x v="6"/>
    <n v="29.476231795214598"/>
    <n v="8.1878421653373898"/>
  </r>
  <r>
    <x v="0"/>
    <x v="33"/>
    <x v="9"/>
    <x v="20"/>
    <s v="SE4_Offshore"/>
    <x v="7"/>
    <n v="57.838935220261199"/>
    <n v="16.066370894517"/>
  </r>
  <r>
    <x v="0"/>
    <x v="33"/>
    <x v="9"/>
    <x v="20"/>
    <s v="SE4_Offshore"/>
    <x v="8"/>
    <n v="57.838935220261199"/>
    <n v="16.066370894517"/>
  </r>
  <r>
    <x v="0"/>
    <x v="33"/>
    <x v="9"/>
    <x v="20"/>
    <s v="SE4_Offshore"/>
    <x v="9"/>
    <n v="44.4505451532725"/>
    <n v="12.3473736536868"/>
  </r>
  <r>
    <x v="0"/>
    <x v="33"/>
    <x v="9"/>
    <x v="20"/>
    <s v="SE4_Offshore"/>
    <x v="10"/>
    <n v="53.975661971830903"/>
    <n v="14.993239436619699"/>
  </r>
  <r>
    <x v="0"/>
    <x v="33"/>
    <x v="9"/>
    <x v="20"/>
    <s v="SE4_Offshore"/>
    <x v="11"/>
    <n v="3.8806031483015802"/>
    <n v="1.07794531897266"/>
  </r>
  <r>
    <x v="0"/>
    <x v="33"/>
    <x v="9"/>
    <x v="20"/>
    <s v="SE4_Offshore"/>
    <x v="12"/>
    <n v="9.7995028997514597E-2"/>
    <n v="2.72208413881985E-2"/>
  </r>
  <r>
    <x v="0"/>
    <x v="33"/>
    <x v="9"/>
    <x v="20"/>
    <s v="SE4_Offshore"/>
    <x v="13"/>
    <n v="29.633696768848399"/>
    <n v="8.2315824357912195"/>
  </r>
  <r>
    <x v="0"/>
    <x v="33"/>
    <x v="9"/>
    <x v="20"/>
    <s v="SE4_Offshore"/>
    <x v="14"/>
    <n v="29.633696768848399"/>
    <n v="8.2315824357912195"/>
  </r>
  <r>
    <x v="0"/>
    <x v="33"/>
    <x v="9"/>
    <x v="20"/>
    <s v="SE4_Offshore"/>
    <x v="15"/>
    <n v="1.65807589063794"/>
    <n v="0.46057663628831802"/>
  </r>
  <r>
    <x v="0"/>
    <x v="33"/>
    <x v="9"/>
    <x v="20"/>
    <s v="SE4_Offshore"/>
    <x v="16"/>
    <n v="6.4638978602906896"/>
    <n v="1.79552718341408"/>
  </r>
  <r>
    <x v="0"/>
    <x v="33"/>
    <x v="9"/>
    <x v="20"/>
    <s v="SE4_Offshore"/>
    <x v="17"/>
    <n v="9.1244895875632395"/>
    <n v="2.5345804409897901"/>
  </r>
  <r>
    <x v="0"/>
    <x v="33"/>
    <x v="9"/>
    <x v="20"/>
    <s v="SE4_Offshore"/>
    <x v="18"/>
    <n v="29.633696768848399"/>
    <n v="8.2315824357912195"/>
  </r>
  <r>
    <x v="0"/>
    <x v="33"/>
    <x v="9"/>
    <x v="20"/>
    <s v="SE4_Offshore"/>
    <x v="19"/>
    <n v="8.1139884009941898"/>
    <n v="2.2538856669428302"/>
  </r>
  <r>
    <x v="0"/>
    <x v="33"/>
    <x v="9"/>
    <x v="20"/>
    <s v="SE4_Offshore"/>
    <x v="20"/>
    <n v="22.109183021311601"/>
    <n v="6.1414397281420996"/>
  </r>
  <r>
    <x v="0"/>
    <x v="33"/>
    <x v="9"/>
    <x v="20"/>
    <s v="SE4_Offshore"/>
    <x v="21"/>
    <n v="48.24"/>
    <n v="13.4"/>
  </r>
  <r>
    <x v="0"/>
    <x v="33"/>
    <x v="9"/>
    <x v="20"/>
    <s v="SE4_Offshore"/>
    <x v="22"/>
    <n v="67.680000000000007"/>
    <n v="18.8"/>
  </r>
  <r>
    <x v="0"/>
    <x v="33"/>
    <x v="9"/>
    <x v="20"/>
    <s v="SE4_Offshore"/>
    <x v="23"/>
    <n v="0.31515896120488701"/>
    <n v="8.7544155890246306E-2"/>
  </r>
  <r>
    <x v="0"/>
    <x v="33"/>
    <x v="9"/>
    <x v="20"/>
    <s v="SE4_Offshore"/>
    <x v="24"/>
    <n v="19.174223581093901"/>
    <n v="5.32617321697054"/>
  </r>
  <r>
    <x v="0"/>
    <x v="33"/>
    <x v="9"/>
    <x v="20"/>
    <s v="SE4_Offshore"/>
    <x v="25"/>
    <n v="26.209507293842599"/>
    <n v="7.2804186927340497"/>
  </r>
  <r>
    <x v="0"/>
    <x v="33"/>
    <x v="9"/>
    <x v="20"/>
    <s v="SE4_Offshore"/>
    <x v="26"/>
    <n v="33.320887798496699"/>
    <n v="9.2558021662490795"/>
  </r>
  <r>
    <x v="0"/>
    <x v="33"/>
    <x v="9"/>
    <x v="20"/>
    <s v="SE4_Offshore"/>
    <x v="27"/>
    <n v="20.163995508318798"/>
    <n v="5.6011098634218799"/>
  </r>
  <r>
    <x v="0"/>
    <x v="33"/>
    <x v="9"/>
    <x v="20"/>
    <s v="SE4_large"/>
    <x v="1"/>
    <n v="35.989199999999997"/>
    <n v="9.9969999999999999"/>
  </r>
  <r>
    <x v="0"/>
    <x v="33"/>
    <x v="9"/>
    <x v="20"/>
    <s v="SE4_large"/>
    <x v="2"/>
    <n v="46.08"/>
    <n v="12.8"/>
  </r>
  <r>
    <x v="0"/>
    <x v="33"/>
    <x v="9"/>
    <x v="20"/>
    <s v="SE4_large"/>
    <x v="0"/>
    <n v="42.692399999999999"/>
    <n v="11.859"/>
  </r>
  <r>
    <x v="0"/>
    <x v="33"/>
    <x v="9"/>
    <x v="20"/>
    <s v="SE4_large"/>
    <x v="3"/>
    <n v="51.633543144067197"/>
    <n v="14.342650873352"/>
  </r>
  <r>
    <x v="0"/>
    <x v="33"/>
    <x v="9"/>
    <x v="20"/>
    <s v="SE4_large"/>
    <x v="4"/>
    <n v="6.3500778790389401"/>
    <n v="1.76391052195526"/>
  </r>
  <r>
    <x v="0"/>
    <x v="33"/>
    <x v="9"/>
    <x v="20"/>
    <s v="SE4_large"/>
    <x v="5"/>
    <n v="6.3500778790389401"/>
    <n v="1.76391052195526"/>
  </r>
  <r>
    <x v="0"/>
    <x v="33"/>
    <x v="9"/>
    <x v="20"/>
    <s v="SE4_large"/>
    <x v="6"/>
    <n v="29.476231795214598"/>
    <n v="8.1878421653373898"/>
  </r>
  <r>
    <x v="0"/>
    <x v="33"/>
    <x v="9"/>
    <x v="20"/>
    <s v="SE4_large"/>
    <x v="7"/>
    <n v="57.838935220261199"/>
    <n v="16.066370894517"/>
  </r>
  <r>
    <x v="0"/>
    <x v="33"/>
    <x v="9"/>
    <x v="20"/>
    <s v="SE4_large"/>
    <x v="8"/>
    <n v="57.838935220261199"/>
    <n v="16.066370894517"/>
  </r>
  <r>
    <x v="0"/>
    <x v="33"/>
    <x v="9"/>
    <x v="20"/>
    <s v="SE4_large"/>
    <x v="9"/>
    <n v="44.4505451532725"/>
    <n v="12.3473736536868"/>
  </r>
  <r>
    <x v="0"/>
    <x v="33"/>
    <x v="9"/>
    <x v="20"/>
    <s v="SE4_large"/>
    <x v="10"/>
    <n v="53.975661971830903"/>
    <n v="14.993239436619699"/>
  </r>
  <r>
    <x v="0"/>
    <x v="33"/>
    <x v="9"/>
    <x v="20"/>
    <s v="SE4_large"/>
    <x v="11"/>
    <n v="3.8806031483015802"/>
    <n v="1.07794531897266"/>
  </r>
  <r>
    <x v="0"/>
    <x v="33"/>
    <x v="9"/>
    <x v="20"/>
    <s v="SE4_large"/>
    <x v="12"/>
    <n v="9.7995028997514597E-2"/>
    <n v="2.72208413881985E-2"/>
  </r>
  <r>
    <x v="0"/>
    <x v="33"/>
    <x v="9"/>
    <x v="20"/>
    <s v="SE4_large"/>
    <x v="13"/>
    <n v="29.633696768848399"/>
    <n v="8.2315824357912195"/>
  </r>
  <r>
    <x v="0"/>
    <x v="33"/>
    <x v="9"/>
    <x v="20"/>
    <s v="SE4_large"/>
    <x v="14"/>
    <n v="29.633696768848399"/>
    <n v="8.2315824357912195"/>
  </r>
  <r>
    <x v="0"/>
    <x v="33"/>
    <x v="9"/>
    <x v="20"/>
    <s v="SE4_large"/>
    <x v="15"/>
    <n v="1.65807589063794"/>
    <n v="0.46057663628831802"/>
  </r>
  <r>
    <x v="0"/>
    <x v="33"/>
    <x v="9"/>
    <x v="20"/>
    <s v="SE4_large"/>
    <x v="16"/>
    <n v="6.4638978602906896"/>
    <n v="1.79552718341408"/>
  </r>
  <r>
    <x v="0"/>
    <x v="33"/>
    <x v="9"/>
    <x v="20"/>
    <s v="SE4_large"/>
    <x v="17"/>
    <n v="9.1244895875632395"/>
    <n v="2.5345804409897901"/>
  </r>
  <r>
    <x v="0"/>
    <x v="33"/>
    <x v="9"/>
    <x v="20"/>
    <s v="SE4_large"/>
    <x v="18"/>
    <n v="29.633696768848399"/>
    <n v="8.2315824357912195"/>
  </r>
  <r>
    <x v="0"/>
    <x v="33"/>
    <x v="9"/>
    <x v="20"/>
    <s v="SE4_large"/>
    <x v="19"/>
    <n v="8.1139884009941898"/>
    <n v="2.2538856669428302"/>
  </r>
  <r>
    <x v="0"/>
    <x v="33"/>
    <x v="9"/>
    <x v="20"/>
    <s v="SE4_large"/>
    <x v="20"/>
    <n v="22.109183021311601"/>
    <n v="6.1414397281420996"/>
  </r>
  <r>
    <x v="0"/>
    <x v="33"/>
    <x v="9"/>
    <x v="20"/>
    <s v="SE4_large"/>
    <x v="21"/>
    <n v="48.24"/>
    <n v="13.4"/>
  </r>
  <r>
    <x v="0"/>
    <x v="33"/>
    <x v="9"/>
    <x v="20"/>
    <s v="SE4_large"/>
    <x v="22"/>
    <n v="67.680000000000007"/>
    <n v="18.8"/>
  </r>
  <r>
    <x v="0"/>
    <x v="33"/>
    <x v="9"/>
    <x v="20"/>
    <s v="SE4_large"/>
    <x v="23"/>
    <n v="0.31515896120488701"/>
    <n v="8.7544155890246306E-2"/>
  </r>
  <r>
    <x v="0"/>
    <x v="33"/>
    <x v="9"/>
    <x v="20"/>
    <s v="SE4_large"/>
    <x v="24"/>
    <n v="19.174223581093901"/>
    <n v="5.32617321697054"/>
  </r>
  <r>
    <x v="0"/>
    <x v="33"/>
    <x v="9"/>
    <x v="20"/>
    <s v="SE4_large"/>
    <x v="25"/>
    <n v="26.209507293842599"/>
    <n v="7.2804186927340497"/>
  </r>
  <r>
    <x v="0"/>
    <x v="33"/>
    <x v="9"/>
    <x v="20"/>
    <s v="SE4_large"/>
    <x v="26"/>
    <n v="33.320887798496699"/>
    <n v="9.2558021662490795"/>
  </r>
  <r>
    <x v="0"/>
    <x v="33"/>
    <x v="9"/>
    <x v="20"/>
    <s v="SE4_large"/>
    <x v="27"/>
    <n v="20.163995508318798"/>
    <n v="5.6011098634218799"/>
  </r>
  <r>
    <x v="0"/>
    <x v="33"/>
    <x v="9"/>
    <x v="20"/>
    <s v="SE4_medium"/>
    <x v="1"/>
    <n v="35.989199999999997"/>
    <n v="9.9969999999999999"/>
  </r>
  <r>
    <x v="0"/>
    <x v="33"/>
    <x v="9"/>
    <x v="20"/>
    <s v="SE4_medium"/>
    <x v="2"/>
    <n v="46.08"/>
    <n v="12.8"/>
  </r>
  <r>
    <x v="0"/>
    <x v="33"/>
    <x v="9"/>
    <x v="20"/>
    <s v="SE4_medium"/>
    <x v="0"/>
    <n v="42.692399999999999"/>
    <n v="11.859"/>
  </r>
  <r>
    <x v="0"/>
    <x v="33"/>
    <x v="9"/>
    <x v="20"/>
    <s v="SE4_medium"/>
    <x v="3"/>
    <n v="51.633543144067197"/>
    <n v="14.342650873352"/>
  </r>
  <r>
    <x v="0"/>
    <x v="33"/>
    <x v="9"/>
    <x v="20"/>
    <s v="SE4_medium"/>
    <x v="4"/>
    <n v="6.3500778790389401"/>
    <n v="1.76391052195526"/>
  </r>
  <r>
    <x v="0"/>
    <x v="33"/>
    <x v="9"/>
    <x v="20"/>
    <s v="SE4_medium"/>
    <x v="5"/>
    <n v="6.3500778790389401"/>
    <n v="1.76391052195526"/>
  </r>
  <r>
    <x v="0"/>
    <x v="33"/>
    <x v="9"/>
    <x v="20"/>
    <s v="SE4_medium"/>
    <x v="6"/>
    <n v="29.476231795214598"/>
    <n v="8.1878421653373898"/>
  </r>
  <r>
    <x v="0"/>
    <x v="33"/>
    <x v="9"/>
    <x v="20"/>
    <s v="SE4_medium"/>
    <x v="7"/>
    <n v="57.838935220261199"/>
    <n v="16.066370894517"/>
  </r>
  <r>
    <x v="0"/>
    <x v="33"/>
    <x v="9"/>
    <x v="20"/>
    <s v="SE4_medium"/>
    <x v="8"/>
    <n v="57.838935220261199"/>
    <n v="16.066370894517"/>
  </r>
  <r>
    <x v="0"/>
    <x v="33"/>
    <x v="9"/>
    <x v="20"/>
    <s v="SE4_medium"/>
    <x v="9"/>
    <n v="44.4505451532725"/>
    <n v="12.3473736536868"/>
  </r>
  <r>
    <x v="0"/>
    <x v="33"/>
    <x v="9"/>
    <x v="20"/>
    <s v="SE4_medium"/>
    <x v="10"/>
    <n v="53.975661971830903"/>
    <n v="14.993239436619699"/>
  </r>
  <r>
    <x v="0"/>
    <x v="33"/>
    <x v="9"/>
    <x v="20"/>
    <s v="SE4_medium"/>
    <x v="11"/>
    <n v="3.8806031483015802"/>
    <n v="1.07794531897266"/>
  </r>
  <r>
    <x v="0"/>
    <x v="33"/>
    <x v="9"/>
    <x v="20"/>
    <s v="SE4_medium"/>
    <x v="12"/>
    <n v="9.7995028997514597E-2"/>
    <n v="2.72208413881985E-2"/>
  </r>
  <r>
    <x v="0"/>
    <x v="33"/>
    <x v="9"/>
    <x v="20"/>
    <s v="SE4_medium"/>
    <x v="13"/>
    <n v="29.633696768848399"/>
    <n v="8.2315824357912195"/>
  </r>
  <r>
    <x v="0"/>
    <x v="33"/>
    <x v="9"/>
    <x v="20"/>
    <s v="SE4_medium"/>
    <x v="14"/>
    <n v="29.633696768848399"/>
    <n v="8.2315824357912195"/>
  </r>
  <r>
    <x v="0"/>
    <x v="33"/>
    <x v="9"/>
    <x v="20"/>
    <s v="SE4_medium"/>
    <x v="15"/>
    <n v="1.65807589063794"/>
    <n v="0.46057663628831802"/>
  </r>
  <r>
    <x v="0"/>
    <x v="33"/>
    <x v="9"/>
    <x v="20"/>
    <s v="SE4_medium"/>
    <x v="16"/>
    <n v="6.4638978602906896"/>
    <n v="1.79552718341408"/>
  </r>
  <r>
    <x v="0"/>
    <x v="33"/>
    <x v="9"/>
    <x v="20"/>
    <s v="SE4_medium"/>
    <x v="17"/>
    <n v="9.1244895875632395"/>
    <n v="2.5345804409897901"/>
  </r>
  <r>
    <x v="0"/>
    <x v="33"/>
    <x v="9"/>
    <x v="20"/>
    <s v="SE4_medium"/>
    <x v="18"/>
    <n v="29.633696768848399"/>
    <n v="8.2315824357912195"/>
  </r>
  <r>
    <x v="0"/>
    <x v="33"/>
    <x v="9"/>
    <x v="20"/>
    <s v="SE4_medium"/>
    <x v="19"/>
    <n v="8.1139884009941898"/>
    <n v="2.2538856669428302"/>
  </r>
  <r>
    <x v="0"/>
    <x v="33"/>
    <x v="9"/>
    <x v="20"/>
    <s v="SE4_medium"/>
    <x v="20"/>
    <n v="22.109183021311601"/>
    <n v="6.1414397281420996"/>
  </r>
  <r>
    <x v="0"/>
    <x v="33"/>
    <x v="9"/>
    <x v="20"/>
    <s v="SE4_medium"/>
    <x v="21"/>
    <n v="48.24"/>
    <n v="13.4"/>
  </r>
  <r>
    <x v="0"/>
    <x v="33"/>
    <x v="9"/>
    <x v="20"/>
    <s v="SE4_medium"/>
    <x v="22"/>
    <n v="67.680000000000007"/>
    <n v="18.8"/>
  </r>
  <r>
    <x v="0"/>
    <x v="33"/>
    <x v="9"/>
    <x v="20"/>
    <s v="SE4_medium"/>
    <x v="23"/>
    <n v="0.31515896120488701"/>
    <n v="8.7544155890246306E-2"/>
  </r>
  <r>
    <x v="0"/>
    <x v="33"/>
    <x v="9"/>
    <x v="20"/>
    <s v="SE4_medium"/>
    <x v="24"/>
    <n v="19.174223581093901"/>
    <n v="5.32617321697054"/>
  </r>
  <r>
    <x v="0"/>
    <x v="33"/>
    <x v="9"/>
    <x v="20"/>
    <s v="SE4_medium"/>
    <x v="25"/>
    <n v="26.209507293842599"/>
    <n v="7.2804186927340497"/>
  </r>
  <r>
    <x v="0"/>
    <x v="33"/>
    <x v="9"/>
    <x v="20"/>
    <s v="SE4_medium"/>
    <x v="26"/>
    <n v="33.320887798496699"/>
    <n v="9.2558021662490795"/>
  </r>
  <r>
    <x v="0"/>
    <x v="33"/>
    <x v="9"/>
    <x v="20"/>
    <s v="SE4_medium"/>
    <x v="27"/>
    <n v="20.163995508318798"/>
    <n v="5.6011098634218799"/>
  </r>
  <r>
    <x v="0"/>
    <x v="33"/>
    <x v="9"/>
    <x v="20"/>
    <s v="SE4_small"/>
    <x v="1"/>
    <n v="35.989199999999997"/>
    <n v="9.9969999999999999"/>
  </r>
  <r>
    <x v="0"/>
    <x v="33"/>
    <x v="9"/>
    <x v="20"/>
    <s v="SE4_small"/>
    <x v="2"/>
    <n v="46.08"/>
    <n v="12.8"/>
  </r>
  <r>
    <x v="0"/>
    <x v="33"/>
    <x v="9"/>
    <x v="20"/>
    <s v="SE4_small"/>
    <x v="0"/>
    <n v="42.692399999999999"/>
    <n v="11.859"/>
  </r>
  <r>
    <x v="0"/>
    <x v="33"/>
    <x v="9"/>
    <x v="20"/>
    <s v="SE4_small"/>
    <x v="3"/>
    <n v="51.633543144067197"/>
    <n v="14.342650873352"/>
  </r>
  <r>
    <x v="0"/>
    <x v="33"/>
    <x v="9"/>
    <x v="20"/>
    <s v="SE4_small"/>
    <x v="4"/>
    <n v="6.3500778790389401"/>
    <n v="1.76391052195526"/>
  </r>
  <r>
    <x v="0"/>
    <x v="33"/>
    <x v="9"/>
    <x v="20"/>
    <s v="SE4_small"/>
    <x v="5"/>
    <n v="6.3500778790389401"/>
    <n v="1.76391052195526"/>
  </r>
  <r>
    <x v="0"/>
    <x v="33"/>
    <x v="9"/>
    <x v="20"/>
    <s v="SE4_small"/>
    <x v="6"/>
    <n v="29.476231795214598"/>
    <n v="8.1878421653373898"/>
  </r>
  <r>
    <x v="0"/>
    <x v="33"/>
    <x v="9"/>
    <x v="20"/>
    <s v="SE4_small"/>
    <x v="7"/>
    <n v="57.838935220261199"/>
    <n v="16.066370894517"/>
  </r>
  <r>
    <x v="0"/>
    <x v="33"/>
    <x v="9"/>
    <x v="20"/>
    <s v="SE4_small"/>
    <x v="8"/>
    <n v="57.838935220261199"/>
    <n v="16.066370894517"/>
  </r>
  <r>
    <x v="0"/>
    <x v="33"/>
    <x v="9"/>
    <x v="20"/>
    <s v="SE4_small"/>
    <x v="9"/>
    <n v="44.4505451532725"/>
    <n v="12.3473736536868"/>
  </r>
  <r>
    <x v="0"/>
    <x v="33"/>
    <x v="9"/>
    <x v="20"/>
    <s v="SE4_small"/>
    <x v="10"/>
    <n v="53.975661971830903"/>
    <n v="14.993239436619699"/>
  </r>
  <r>
    <x v="0"/>
    <x v="33"/>
    <x v="9"/>
    <x v="20"/>
    <s v="SE4_small"/>
    <x v="11"/>
    <n v="3.8806031483015802"/>
    <n v="1.07794531897266"/>
  </r>
  <r>
    <x v="0"/>
    <x v="33"/>
    <x v="9"/>
    <x v="20"/>
    <s v="SE4_small"/>
    <x v="12"/>
    <n v="9.7995028997514597E-2"/>
    <n v="2.72208413881985E-2"/>
  </r>
  <r>
    <x v="0"/>
    <x v="33"/>
    <x v="9"/>
    <x v="20"/>
    <s v="SE4_small"/>
    <x v="13"/>
    <n v="29.633696768848399"/>
    <n v="8.2315824357912195"/>
  </r>
  <r>
    <x v="0"/>
    <x v="33"/>
    <x v="9"/>
    <x v="20"/>
    <s v="SE4_small"/>
    <x v="14"/>
    <n v="29.633696768848399"/>
    <n v="8.2315824357912195"/>
  </r>
  <r>
    <x v="0"/>
    <x v="33"/>
    <x v="9"/>
    <x v="20"/>
    <s v="SE4_small"/>
    <x v="15"/>
    <n v="1.65807589063794"/>
    <n v="0.46057663628831802"/>
  </r>
  <r>
    <x v="0"/>
    <x v="33"/>
    <x v="9"/>
    <x v="20"/>
    <s v="SE4_small"/>
    <x v="16"/>
    <n v="6.4638978602906896"/>
    <n v="1.79552718341408"/>
  </r>
  <r>
    <x v="0"/>
    <x v="33"/>
    <x v="9"/>
    <x v="20"/>
    <s v="SE4_small"/>
    <x v="17"/>
    <n v="9.1244895875632395"/>
    <n v="2.5345804409897901"/>
  </r>
  <r>
    <x v="0"/>
    <x v="33"/>
    <x v="9"/>
    <x v="20"/>
    <s v="SE4_small"/>
    <x v="18"/>
    <n v="29.633696768848399"/>
    <n v="8.2315824357912195"/>
  </r>
  <r>
    <x v="0"/>
    <x v="33"/>
    <x v="9"/>
    <x v="20"/>
    <s v="SE4_small"/>
    <x v="19"/>
    <n v="8.1139884009941898"/>
    <n v="2.2538856669428302"/>
  </r>
  <r>
    <x v="0"/>
    <x v="33"/>
    <x v="9"/>
    <x v="20"/>
    <s v="SE4_small"/>
    <x v="20"/>
    <n v="22.109183021311601"/>
    <n v="6.1414397281420996"/>
  </r>
  <r>
    <x v="0"/>
    <x v="33"/>
    <x v="9"/>
    <x v="20"/>
    <s v="SE4_small"/>
    <x v="21"/>
    <n v="48.24"/>
    <n v="13.4"/>
  </r>
  <r>
    <x v="0"/>
    <x v="33"/>
    <x v="9"/>
    <x v="20"/>
    <s v="SE4_small"/>
    <x v="22"/>
    <n v="67.680000000000007"/>
    <n v="18.8"/>
  </r>
  <r>
    <x v="0"/>
    <x v="33"/>
    <x v="9"/>
    <x v="20"/>
    <s v="SE4_small"/>
    <x v="23"/>
    <n v="0.31515896120488701"/>
    <n v="8.7544155890246306E-2"/>
  </r>
  <r>
    <x v="0"/>
    <x v="33"/>
    <x v="9"/>
    <x v="20"/>
    <s v="SE4_small"/>
    <x v="24"/>
    <n v="19.174223581093901"/>
    <n v="5.32617321697054"/>
  </r>
  <r>
    <x v="0"/>
    <x v="33"/>
    <x v="9"/>
    <x v="20"/>
    <s v="SE4_small"/>
    <x v="25"/>
    <n v="26.209507293842599"/>
    <n v="7.2804186927340497"/>
  </r>
  <r>
    <x v="0"/>
    <x v="33"/>
    <x v="9"/>
    <x v="20"/>
    <s v="SE4_small"/>
    <x v="26"/>
    <n v="33.320887798496699"/>
    <n v="9.2558021662490795"/>
  </r>
  <r>
    <x v="0"/>
    <x v="33"/>
    <x v="9"/>
    <x v="20"/>
    <s v="SE4_small"/>
    <x v="27"/>
    <n v="20.163995508318798"/>
    <n v="5.6011098634218799"/>
  </r>
  <r>
    <x v="0"/>
    <x v="33"/>
    <x v="10"/>
    <x v="21"/>
    <s v="UK_A"/>
    <x v="1"/>
    <n v="35.989199999999997"/>
    <n v="9.9969999999999999"/>
  </r>
  <r>
    <x v="0"/>
    <x v="33"/>
    <x v="10"/>
    <x v="21"/>
    <s v="UK_A"/>
    <x v="2"/>
    <n v="46.08"/>
    <n v="12.8"/>
  </r>
  <r>
    <x v="0"/>
    <x v="33"/>
    <x v="10"/>
    <x v="21"/>
    <s v="UK_A"/>
    <x v="0"/>
    <n v="42.692399999999999"/>
    <n v="11.859"/>
  </r>
  <r>
    <x v="0"/>
    <x v="33"/>
    <x v="10"/>
    <x v="21"/>
    <s v="UK_A"/>
    <x v="3"/>
    <n v="51.633543144067197"/>
    <n v="14.342650873352"/>
  </r>
  <r>
    <x v="0"/>
    <x v="33"/>
    <x v="10"/>
    <x v="21"/>
    <s v="UK_A"/>
    <x v="4"/>
    <n v="6.3500778790389401"/>
    <n v="1.76391052195526"/>
  </r>
  <r>
    <x v="0"/>
    <x v="33"/>
    <x v="10"/>
    <x v="21"/>
    <s v="UK_A"/>
    <x v="5"/>
    <n v="6.3500778790389401"/>
    <n v="1.76391052195526"/>
  </r>
  <r>
    <x v="0"/>
    <x v="33"/>
    <x v="10"/>
    <x v="21"/>
    <s v="UK_A"/>
    <x v="6"/>
    <n v="29.476231795214598"/>
    <n v="8.1878421653373898"/>
  </r>
  <r>
    <x v="0"/>
    <x v="33"/>
    <x v="10"/>
    <x v="21"/>
    <s v="UK_A"/>
    <x v="7"/>
    <n v="57.838935220261199"/>
    <n v="16.066370894517"/>
  </r>
  <r>
    <x v="0"/>
    <x v="33"/>
    <x v="10"/>
    <x v="21"/>
    <s v="UK_A"/>
    <x v="8"/>
    <n v="57.838935220261199"/>
    <n v="16.066370894517"/>
  </r>
  <r>
    <x v="0"/>
    <x v="33"/>
    <x v="10"/>
    <x v="21"/>
    <s v="UK_A"/>
    <x v="9"/>
    <n v="44.4505451532725"/>
    <n v="12.3473736536868"/>
  </r>
  <r>
    <x v="0"/>
    <x v="33"/>
    <x v="10"/>
    <x v="21"/>
    <s v="UK_A"/>
    <x v="10"/>
    <n v="53.975661971830903"/>
    <n v="14.993239436619699"/>
  </r>
  <r>
    <x v="0"/>
    <x v="33"/>
    <x v="10"/>
    <x v="21"/>
    <s v="UK_A"/>
    <x v="11"/>
    <n v="3.8806031483015802"/>
    <n v="1.07794531897266"/>
  </r>
  <r>
    <x v="0"/>
    <x v="33"/>
    <x v="10"/>
    <x v="21"/>
    <s v="UK_A"/>
    <x v="12"/>
    <n v="9.7995028997514597E-2"/>
    <n v="2.72208413881985E-2"/>
  </r>
  <r>
    <x v="0"/>
    <x v="33"/>
    <x v="10"/>
    <x v="21"/>
    <s v="UK_A"/>
    <x v="13"/>
    <n v="29.633696768848399"/>
    <n v="8.2315824357912195"/>
  </r>
  <r>
    <x v="0"/>
    <x v="33"/>
    <x v="10"/>
    <x v="21"/>
    <s v="UK_A"/>
    <x v="14"/>
    <n v="29.633696768848399"/>
    <n v="8.2315824357912195"/>
  </r>
  <r>
    <x v="0"/>
    <x v="33"/>
    <x v="10"/>
    <x v="21"/>
    <s v="UK_A"/>
    <x v="15"/>
    <n v="1.65807589063794"/>
    <n v="0.46057663628831802"/>
  </r>
  <r>
    <x v="0"/>
    <x v="33"/>
    <x v="10"/>
    <x v="21"/>
    <s v="UK_A"/>
    <x v="16"/>
    <n v="6.4638978602906896"/>
    <n v="1.79552718341408"/>
  </r>
  <r>
    <x v="0"/>
    <x v="33"/>
    <x v="10"/>
    <x v="21"/>
    <s v="UK_A"/>
    <x v="17"/>
    <n v="9.1244895875632395"/>
    <n v="2.5345804409897901"/>
  </r>
  <r>
    <x v="0"/>
    <x v="33"/>
    <x v="10"/>
    <x v="21"/>
    <s v="UK_A"/>
    <x v="18"/>
    <n v="29.633696768848399"/>
    <n v="8.2315824357912195"/>
  </r>
  <r>
    <x v="0"/>
    <x v="33"/>
    <x v="10"/>
    <x v="21"/>
    <s v="UK_A"/>
    <x v="19"/>
    <n v="8.1139884009941898"/>
    <n v="2.2538856669428302"/>
  </r>
  <r>
    <x v="0"/>
    <x v="33"/>
    <x v="10"/>
    <x v="21"/>
    <s v="UK_A"/>
    <x v="20"/>
    <n v="22.109183021311601"/>
    <n v="6.1414397281420996"/>
  </r>
  <r>
    <x v="0"/>
    <x v="33"/>
    <x v="10"/>
    <x v="21"/>
    <s v="UK_A"/>
    <x v="21"/>
    <n v="48.24"/>
    <n v="13.4"/>
  </r>
  <r>
    <x v="0"/>
    <x v="33"/>
    <x v="10"/>
    <x v="21"/>
    <s v="UK_A"/>
    <x v="22"/>
    <n v="67.680000000000007"/>
    <n v="18.8"/>
  </r>
  <r>
    <x v="0"/>
    <x v="33"/>
    <x v="10"/>
    <x v="21"/>
    <s v="UK_A"/>
    <x v="23"/>
    <n v="0.31515896120488701"/>
    <n v="8.7544155890246306E-2"/>
  </r>
  <r>
    <x v="0"/>
    <x v="33"/>
    <x v="10"/>
    <x v="21"/>
    <s v="UK_A"/>
    <x v="24"/>
    <n v="19.174223581093901"/>
    <n v="5.32617321697054"/>
  </r>
  <r>
    <x v="0"/>
    <x v="33"/>
    <x v="10"/>
    <x v="21"/>
    <s v="UK_A"/>
    <x v="25"/>
    <n v="26.209507293842599"/>
    <n v="7.2804186927340497"/>
  </r>
  <r>
    <x v="0"/>
    <x v="33"/>
    <x v="10"/>
    <x v="21"/>
    <s v="UK_A"/>
    <x v="26"/>
    <n v="33.320887798496699"/>
    <n v="9.2558021662490795"/>
  </r>
  <r>
    <x v="0"/>
    <x v="33"/>
    <x v="10"/>
    <x v="21"/>
    <s v="UK_A"/>
    <x v="27"/>
    <n v="20.163995508318798"/>
    <n v="5.6011098634218799"/>
  </r>
  <r>
    <x v="0"/>
    <x v="33"/>
    <x v="10"/>
    <x v="21"/>
    <s v="UK_Offshore"/>
    <x v="1"/>
    <n v="35.989199999999997"/>
    <n v="9.9969999999999999"/>
  </r>
  <r>
    <x v="0"/>
    <x v="33"/>
    <x v="10"/>
    <x v="21"/>
    <s v="UK_Offshore"/>
    <x v="2"/>
    <n v="46.08"/>
    <n v="12.8"/>
  </r>
  <r>
    <x v="0"/>
    <x v="33"/>
    <x v="10"/>
    <x v="21"/>
    <s v="UK_Offshore"/>
    <x v="0"/>
    <n v="42.692399999999999"/>
    <n v="11.859"/>
  </r>
  <r>
    <x v="0"/>
    <x v="33"/>
    <x v="10"/>
    <x v="21"/>
    <s v="UK_Offshore"/>
    <x v="3"/>
    <n v="51.633543144067197"/>
    <n v="14.342650873352"/>
  </r>
  <r>
    <x v="0"/>
    <x v="33"/>
    <x v="10"/>
    <x v="21"/>
    <s v="UK_Offshore"/>
    <x v="4"/>
    <n v="6.3500778790389401"/>
    <n v="1.76391052195526"/>
  </r>
  <r>
    <x v="0"/>
    <x v="33"/>
    <x v="10"/>
    <x v="21"/>
    <s v="UK_Offshore"/>
    <x v="5"/>
    <n v="6.3500778790389401"/>
    <n v="1.76391052195526"/>
  </r>
  <r>
    <x v="0"/>
    <x v="33"/>
    <x v="10"/>
    <x v="21"/>
    <s v="UK_Offshore"/>
    <x v="6"/>
    <n v="29.476231795214598"/>
    <n v="8.1878421653373898"/>
  </r>
  <r>
    <x v="0"/>
    <x v="33"/>
    <x v="10"/>
    <x v="21"/>
    <s v="UK_Offshore"/>
    <x v="7"/>
    <n v="57.838935220261199"/>
    <n v="16.066370894517"/>
  </r>
  <r>
    <x v="0"/>
    <x v="33"/>
    <x v="10"/>
    <x v="21"/>
    <s v="UK_Offshore"/>
    <x v="8"/>
    <n v="57.838935220261199"/>
    <n v="16.066370894517"/>
  </r>
  <r>
    <x v="0"/>
    <x v="33"/>
    <x v="10"/>
    <x v="21"/>
    <s v="UK_Offshore"/>
    <x v="9"/>
    <n v="44.4505451532725"/>
    <n v="12.3473736536868"/>
  </r>
  <r>
    <x v="0"/>
    <x v="33"/>
    <x v="10"/>
    <x v="21"/>
    <s v="UK_Offshore"/>
    <x v="10"/>
    <n v="53.975661971830903"/>
    <n v="14.993239436619699"/>
  </r>
  <r>
    <x v="0"/>
    <x v="33"/>
    <x v="10"/>
    <x v="21"/>
    <s v="UK_Offshore"/>
    <x v="11"/>
    <n v="3.8806031483015802"/>
    <n v="1.07794531897266"/>
  </r>
  <r>
    <x v="0"/>
    <x v="33"/>
    <x v="10"/>
    <x v="21"/>
    <s v="UK_Offshore"/>
    <x v="12"/>
    <n v="9.7995028997514597E-2"/>
    <n v="2.72208413881985E-2"/>
  </r>
  <r>
    <x v="0"/>
    <x v="33"/>
    <x v="10"/>
    <x v="21"/>
    <s v="UK_Offshore"/>
    <x v="13"/>
    <n v="29.633696768848399"/>
    <n v="8.2315824357912195"/>
  </r>
  <r>
    <x v="0"/>
    <x v="33"/>
    <x v="10"/>
    <x v="21"/>
    <s v="UK_Offshore"/>
    <x v="14"/>
    <n v="29.633696768848399"/>
    <n v="8.2315824357912195"/>
  </r>
  <r>
    <x v="0"/>
    <x v="33"/>
    <x v="10"/>
    <x v="21"/>
    <s v="UK_Offshore"/>
    <x v="15"/>
    <n v="1.65807589063794"/>
    <n v="0.46057663628831802"/>
  </r>
  <r>
    <x v="0"/>
    <x v="33"/>
    <x v="10"/>
    <x v="21"/>
    <s v="UK_Offshore"/>
    <x v="16"/>
    <n v="6.4638978602906896"/>
    <n v="1.79552718341408"/>
  </r>
  <r>
    <x v="0"/>
    <x v="33"/>
    <x v="10"/>
    <x v="21"/>
    <s v="UK_Offshore"/>
    <x v="17"/>
    <n v="9.1244895875632395"/>
    <n v="2.5345804409897901"/>
  </r>
  <r>
    <x v="0"/>
    <x v="33"/>
    <x v="10"/>
    <x v="21"/>
    <s v="UK_Offshore"/>
    <x v="18"/>
    <n v="29.633696768848399"/>
    <n v="8.2315824357912195"/>
  </r>
  <r>
    <x v="0"/>
    <x v="33"/>
    <x v="10"/>
    <x v="21"/>
    <s v="UK_Offshore"/>
    <x v="19"/>
    <n v="8.1139884009941898"/>
    <n v="2.2538856669428302"/>
  </r>
  <r>
    <x v="0"/>
    <x v="33"/>
    <x v="10"/>
    <x v="21"/>
    <s v="UK_Offshore"/>
    <x v="20"/>
    <n v="22.109183021311601"/>
    <n v="6.1414397281420996"/>
  </r>
  <r>
    <x v="0"/>
    <x v="33"/>
    <x v="10"/>
    <x v="21"/>
    <s v="UK_Offshore"/>
    <x v="21"/>
    <n v="48.24"/>
    <n v="13.4"/>
  </r>
  <r>
    <x v="0"/>
    <x v="33"/>
    <x v="10"/>
    <x v="21"/>
    <s v="UK_Offshore"/>
    <x v="22"/>
    <n v="67.680000000000007"/>
    <n v="18.8"/>
  </r>
  <r>
    <x v="0"/>
    <x v="33"/>
    <x v="10"/>
    <x v="21"/>
    <s v="UK_Offshore"/>
    <x v="23"/>
    <n v="0.31515896120488701"/>
    <n v="8.7544155890246306E-2"/>
  </r>
  <r>
    <x v="0"/>
    <x v="33"/>
    <x v="10"/>
    <x v="21"/>
    <s v="UK_Offshore"/>
    <x v="24"/>
    <n v="19.174223581093901"/>
    <n v="5.32617321697054"/>
  </r>
  <r>
    <x v="0"/>
    <x v="33"/>
    <x v="10"/>
    <x v="21"/>
    <s v="UK_Offshore"/>
    <x v="25"/>
    <n v="26.209507293842599"/>
    <n v="7.2804186927340497"/>
  </r>
  <r>
    <x v="0"/>
    <x v="33"/>
    <x v="10"/>
    <x v="21"/>
    <s v="UK_Offshore"/>
    <x v="26"/>
    <n v="33.320887798496699"/>
    <n v="9.2558021662490795"/>
  </r>
  <r>
    <x v="0"/>
    <x v="33"/>
    <x v="10"/>
    <x v="21"/>
    <s v="UK_Offshore"/>
    <x v="27"/>
    <n v="20.163995508318798"/>
    <n v="5.6011098634218799"/>
  </r>
  <r>
    <x v="0"/>
    <x v="34"/>
    <x v="0"/>
    <x v="0"/>
    <s v="DK1_Large"/>
    <x v="0"/>
    <n v="42.692399999999999"/>
    <n v="11.859"/>
  </r>
  <r>
    <x v="0"/>
    <x v="34"/>
    <x v="0"/>
    <x v="0"/>
    <s v="DK1_Large_PHH"/>
    <x v="0"/>
    <n v="42.692399999999999"/>
    <n v="11.859"/>
  </r>
  <r>
    <x v="0"/>
    <x v="34"/>
    <x v="0"/>
    <x v="0"/>
    <s v="DK1_Large_PHL"/>
    <x v="0"/>
    <n v="42.692399999999999"/>
    <n v="11.859"/>
  </r>
  <r>
    <x v="0"/>
    <x v="34"/>
    <x v="0"/>
    <x v="0"/>
    <s v="DK1_MedSmall"/>
    <x v="0"/>
    <n v="42.692399999999999"/>
    <n v="11.859"/>
  </r>
  <r>
    <x v="0"/>
    <x v="34"/>
    <x v="0"/>
    <x v="0"/>
    <s v="DK1_Medium"/>
    <x v="0"/>
    <n v="42.692399999999999"/>
    <n v="11.859"/>
  </r>
  <r>
    <x v="0"/>
    <x v="34"/>
    <x v="0"/>
    <x v="0"/>
    <s v="DK1_NoDH"/>
    <x v="0"/>
    <n v="42.692399999999999"/>
    <n v="11.859"/>
  </r>
  <r>
    <x v="0"/>
    <x v="34"/>
    <x v="0"/>
    <x v="0"/>
    <s v="DK1_NoDH_PHH"/>
    <x v="0"/>
    <n v="42.692399999999999"/>
    <n v="11.859"/>
  </r>
  <r>
    <x v="0"/>
    <x v="34"/>
    <x v="0"/>
    <x v="0"/>
    <s v="DK1_NoDH_PHL"/>
    <x v="0"/>
    <n v="42.692399999999999"/>
    <n v="11.859"/>
  </r>
  <r>
    <x v="0"/>
    <x v="34"/>
    <x v="0"/>
    <x v="0"/>
    <s v="DK1_Offshore"/>
    <x v="0"/>
    <n v="42.692399999999999"/>
    <n v="11.859"/>
  </r>
  <r>
    <x v="0"/>
    <x v="34"/>
    <x v="0"/>
    <x v="0"/>
    <s v="DK1_Rural"/>
    <x v="0"/>
    <n v="42.692399999999999"/>
    <n v="11.859"/>
  </r>
  <r>
    <x v="0"/>
    <x v="34"/>
    <x v="0"/>
    <x v="0"/>
    <s v="DK1_Small"/>
    <x v="0"/>
    <n v="42.692399999999999"/>
    <n v="11.859"/>
  </r>
  <r>
    <x v="0"/>
    <x v="34"/>
    <x v="0"/>
    <x v="1"/>
    <s v="DK2_Large"/>
    <x v="0"/>
    <n v="42.692399999999999"/>
    <n v="11.859"/>
  </r>
  <r>
    <x v="0"/>
    <x v="34"/>
    <x v="0"/>
    <x v="1"/>
    <s v="DK2_Large_PHH"/>
    <x v="0"/>
    <n v="42.692399999999999"/>
    <n v="11.859"/>
  </r>
  <r>
    <x v="0"/>
    <x v="34"/>
    <x v="0"/>
    <x v="1"/>
    <s v="DK2_Large_PHL"/>
    <x v="0"/>
    <n v="42.692399999999999"/>
    <n v="11.859"/>
  </r>
  <r>
    <x v="0"/>
    <x v="34"/>
    <x v="0"/>
    <x v="1"/>
    <s v="DK2_MedSmall"/>
    <x v="0"/>
    <n v="42.692399999999999"/>
    <n v="11.859"/>
  </r>
  <r>
    <x v="0"/>
    <x v="34"/>
    <x v="0"/>
    <x v="1"/>
    <s v="DK2_Medium"/>
    <x v="0"/>
    <n v="42.692399999999999"/>
    <n v="11.859"/>
  </r>
  <r>
    <x v="0"/>
    <x v="34"/>
    <x v="0"/>
    <x v="1"/>
    <s v="DK2_NoDH"/>
    <x v="0"/>
    <n v="42.692399999999999"/>
    <n v="11.859"/>
  </r>
  <r>
    <x v="0"/>
    <x v="34"/>
    <x v="0"/>
    <x v="1"/>
    <s v="DK2_NoDH_PHH"/>
    <x v="0"/>
    <n v="42.692399999999999"/>
    <n v="11.859"/>
  </r>
  <r>
    <x v="0"/>
    <x v="34"/>
    <x v="0"/>
    <x v="1"/>
    <s v="DK2_NoDH_PHL"/>
    <x v="0"/>
    <n v="42.692399999999999"/>
    <n v="11.859"/>
  </r>
  <r>
    <x v="0"/>
    <x v="34"/>
    <x v="0"/>
    <x v="1"/>
    <s v="DK2_Offshore"/>
    <x v="0"/>
    <n v="42.692399999999999"/>
    <n v="11.859"/>
  </r>
  <r>
    <x v="0"/>
    <x v="34"/>
    <x v="0"/>
    <x v="1"/>
    <s v="DK2_Rural"/>
    <x v="0"/>
    <n v="42.692399999999999"/>
    <n v="11.859"/>
  </r>
  <r>
    <x v="0"/>
    <x v="34"/>
    <x v="0"/>
    <x v="1"/>
    <s v="DK2_Small"/>
    <x v="0"/>
    <n v="42.692399999999999"/>
    <n v="11.859"/>
  </r>
  <r>
    <x v="0"/>
    <x v="34"/>
    <x v="1"/>
    <x v="2"/>
    <s v="EE_A"/>
    <x v="0"/>
    <n v="42.692399999999999"/>
    <n v="11.859"/>
  </r>
  <r>
    <x v="0"/>
    <x v="34"/>
    <x v="1"/>
    <x v="2"/>
    <s v="EE_Enefit"/>
    <x v="0"/>
    <n v="42.692399999999999"/>
    <n v="11.859"/>
  </r>
  <r>
    <x v="0"/>
    <x v="34"/>
    <x v="1"/>
    <x v="2"/>
    <s v="EE_Industry"/>
    <x v="0"/>
    <n v="42.692399999999999"/>
    <n v="11.859"/>
  </r>
  <r>
    <x v="0"/>
    <x v="34"/>
    <x v="1"/>
    <x v="2"/>
    <s v="EE_Kohtla_Jarve"/>
    <x v="0"/>
    <n v="42.692399999999999"/>
    <n v="11.859"/>
  </r>
  <r>
    <x v="0"/>
    <x v="34"/>
    <x v="1"/>
    <x v="2"/>
    <s v="EE_Narva"/>
    <x v="0"/>
    <n v="42.692399999999999"/>
    <n v="11.859"/>
  </r>
  <r>
    <x v="0"/>
    <x v="34"/>
    <x v="1"/>
    <x v="2"/>
    <s v="EE_OFFSHORE"/>
    <x v="0"/>
    <n v="42.692399999999999"/>
    <n v="11.859"/>
  </r>
  <r>
    <x v="0"/>
    <x v="34"/>
    <x v="1"/>
    <x v="2"/>
    <s v="EE_Parnu"/>
    <x v="0"/>
    <n v="42.692399999999999"/>
    <n v="11.859"/>
  </r>
  <r>
    <x v="0"/>
    <x v="34"/>
    <x v="1"/>
    <x v="2"/>
    <s v="EE_Rural"/>
    <x v="0"/>
    <n v="42.692399999999999"/>
    <n v="11.859"/>
  </r>
  <r>
    <x v="0"/>
    <x v="34"/>
    <x v="1"/>
    <x v="2"/>
    <s v="EE_Sillamae"/>
    <x v="0"/>
    <n v="42.692399999999999"/>
    <n v="11.859"/>
  </r>
  <r>
    <x v="0"/>
    <x v="34"/>
    <x v="1"/>
    <x v="2"/>
    <s v="EE_Tallinn"/>
    <x v="0"/>
    <n v="42.692399999999999"/>
    <n v="11.859"/>
  </r>
  <r>
    <x v="0"/>
    <x v="34"/>
    <x v="1"/>
    <x v="2"/>
    <s v="EE_Tartu"/>
    <x v="0"/>
    <n v="42.692399999999999"/>
    <n v="11.859"/>
  </r>
  <r>
    <x v="0"/>
    <x v="34"/>
    <x v="1"/>
    <x v="2"/>
    <s v="EE_Urban"/>
    <x v="0"/>
    <n v="42.692399999999999"/>
    <n v="11.859"/>
  </r>
  <r>
    <x v="0"/>
    <x v="34"/>
    <x v="2"/>
    <x v="3"/>
    <s v="FI_IND"/>
    <x v="0"/>
    <n v="42.692399999999999"/>
    <n v="11.859"/>
  </r>
  <r>
    <x v="0"/>
    <x v="34"/>
    <x v="2"/>
    <x v="3"/>
    <s v="FI_Offshore"/>
    <x v="0"/>
    <n v="42.692399999999999"/>
    <n v="11.859"/>
  </r>
  <r>
    <x v="0"/>
    <x v="34"/>
    <x v="2"/>
    <x v="3"/>
    <s v="FI_large"/>
    <x v="0"/>
    <n v="42.692399999999999"/>
    <n v="11.859"/>
  </r>
  <r>
    <x v="0"/>
    <x v="34"/>
    <x v="2"/>
    <x v="3"/>
    <s v="FI_large_gas"/>
    <x v="0"/>
    <n v="42.692399999999999"/>
    <n v="11.859"/>
  </r>
  <r>
    <x v="0"/>
    <x v="34"/>
    <x v="2"/>
    <x v="3"/>
    <s v="FI_medium"/>
    <x v="0"/>
    <n v="42.692399999999999"/>
    <n v="11.859"/>
  </r>
  <r>
    <x v="0"/>
    <x v="34"/>
    <x v="2"/>
    <x v="3"/>
    <s v="FI_medium_gas"/>
    <x v="0"/>
    <n v="42.692399999999999"/>
    <n v="11.859"/>
  </r>
  <r>
    <x v="0"/>
    <x v="34"/>
    <x v="2"/>
    <x v="3"/>
    <s v="FI_small"/>
    <x v="0"/>
    <n v="42.692399999999999"/>
    <n v="11.859"/>
  </r>
  <r>
    <x v="0"/>
    <x v="34"/>
    <x v="2"/>
    <x v="3"/>
    <s v="FI_small_gas"/>
    <x v="0"/>
    <n v="42.692399999999999"/>
    <n v="11.859"/>
  </r>
  <r>
    <x v="0"/>
    <x v="34"/>
    <x v="2"/>
    <x v="3"/>
    <s v="FinA"/>
    <x v="0"/>
    <n v="42.692399999999999"/>
    <n v="11.859"/>
  </r>
  <r>
    <x v="0"/>
    <x v="34"/>
    <x v="3"/>
    <x v="4"/>
    <s v="DE4-E_A"/>
    <x v="0"/>
    <n v="42.692399999999999"/>
    <n v="11.859"/>
  </r>
  <r>
    <x v="0"/>
    <x v="34"/>
    <x v="3"/>
    <x v="4"/>
    <s v="DE4-E_Offshore_A"/>
    <x v="0"/>
    <n v="42.692399999999999"/>
    <n v="11.859"/>
  </r>
  <r>
    <x v="0"/>
    <x v="34"/>
    <x v="3"/>
    <x v="5"/>
    <s v="DE4-N_A"/>
    <x v="0"/>
    <n v="42.692399999999999"/>
    <n v="11.859"/>
  </r>
  <r>
    <x v="0"/>
    <x v="34"/>
    <x v="3"/>
    <x v="5"/>
    <s v="DE4-N_Offshore_A"/>
    <x v="0"/>
    <n v="42.692399999999999"/>
    <n v="11.859"/>
  </r>
  <r>
    <x v="0"/>
    <x v="34"/>
    <x v="3"/>
    <x v="6"/>
    <s v="DE4-S_A"/>
    <x v="0"/>
    <n v="42.692399999999999"/>
    <n v="11.859"/>
  </r>
  <r>
    <x v="0"/>
    <x v="34"/>
    <x v="3"/>
    <x v="7"/>
    <s v="DE4-W_A"/>
    <x v="0"/>
    <n v="42.692399999999999"/>
    <n v="11.859"/>
  </r>
  <r>
    <x v="0"/>
    <x v="34"/>
    <x v="3"/>
    <x v="7"/>
    <s v="DE4-W_Offshore_A"/>
    <x v="0"/>
    <n v="42.692399999999999"/>
    <n v="11.859"/>
  </r>
  <r>
    <x v="0"/>
    <x v="34"/>
    <x v="4"/>
    <x v="8"/>
    <s v="LV_A"/>
    <x v="0"/>
    <n v="42.692399999999999"/>
    <n v="11.859"/>
  </r>
  <r>
    <x v="0"/>
    <x v="34"/>
    <x v="4"/>
    <x v="8"/>
    <s v="LV_OFFSHORE"/>
    <x v="0"/>
    <n v="42.692399999999999"/>
    <n v="11.859"/>
  </r>
  <r>
    <x v="0"/>
    <x v="34"/>
    <x v="4"/>
    <x v="8"/>
    <s v="LV_Other_DH"/>
    <x v="0"/>
    <n v="42.692399999999999"/>
    <n v="11.859"/>
  </r>
  <r>
    <x v="0"/>
    <x v="34"/>
    <x v="4"/>
    <x v="8"/>
    <s v="LV_RigaR"/>
    <x v="0"/>
    <n v="42.692399999999999"/>
    <n v="11.859"/>
  </r>
  <r>
    <x v="0"/>
    <x v="34"/>
    <x v="4"/>
    <x v="8"/>
    <s v="LV_Rural"/>
    <x v="0"/>
    <n v="42.692399999999999"/>
    <n v="11.859"/>
  </r>
  <r>
    <x v="0"/>
    <x v="34"/>
    <x v="5"/>
    <x v="9"/>
    <s v="LT_A"/>
    <x v="0"/>
    <n v="42.692399999999999"/>
    <n v="11.859"/>
  </r>
  <r>
    <x v="0"/>
    <x v="34"/>
    <x v="5"/>
    <x v="9"/>
    <s v="LT_KauU"/>
    <x v="0"/>
    <n v="42.692399999999999"/>
    <n v="11.859"/>
  </r>
  <r>
    <x v="0"/>
    <x v="34"/>
    <x v="5"/>
    <x v="9"/>
    <s v="LT_KlaU"/>
    <x v="0"/>
    <n v="42.692399999999999"/>
    <n v="11.859"/>
  </r>
  <r>
    <x v="0"/>
    <x v="34"/>
    <x v="5"/>
    <x v="9"/>
    <s v="LT_OFFSHORE"/>
    <x v="0"/>
    <n v="42.692399999999999"/>
    <n v="11.859"/>
  </r>
  <r>
    <x v="0"/>
    <x v="34"/>
    <x v="5"/>
    <x v="9"/>
    <s v="LT_Other_DH"/>
    <x v="0"/>
    <n v="42.692399999999999"/>
    <n v="11.859"/>
  </r>
  <r>
    <x v="0"/>
    <x v="34"/>
    <x v="5"/>
    <x v="9"/>
    <s v="LT_Panevezys"/>
    <x v="0"/>
    <n v="42.692399999999999"/>
    <n v="11.859"/>
  </r>
  <r>
    <x v="0"/>
    <x v="34"/>
    <x v="5"/>
    <x v="9"/>
    <s v="LT_Rural"/>
    <x v="0"/>
    <n v="42.692399999999999"/>
    <n v="11.859"/>
  </r>
  <r>
    <x v="0"/>
    <x v="34"/>
    <x v="5"/>
    <x v="9"/>
    <s v="LT_SiaU"/>
    <x v="0"/>
    <n v="42.692399999999999"/>
    <n v="11.859"/>
  </r>
  <r>
    <x v="0"/>
    <x v="34"/>
    <x v="5"/>
    <x v="9"/>
    <s v="LT_VilU"/>
    <x v="0"/>
    <n v="42.692399999999999"/>
    <n v="11.859"/>
  </r>
  <r>
    <x v="0"/>
    <x v="34"/>
    <x v="6"/>
    <x v="10"/>
    <s v="NL_A"/>
    <x v="0"/>
    <n v="42.692399999999999"/>
    <n v="11.859"/>
  </r>
  <r>
    <x v="0"/>
    <x v="34"/>
    <x v="6"/>
    <x v="10"/>
    <s v="NL_OFFSHORE"/>
    <x v="0"/>
    <n v="42.692399999999999"/>
    <n v="11.859"/>
  </r>
  <r>
    <x v="0"/>
    <x v="34"/>
    <x v="7"/>
    <x v="11"/>
    <s v="NO1_A1"/>
    <x v="0"/>
    <n v="42.692399999999999"/>
    <n v="11.859"/>
  </r>
  <r>
    <x v="0"/>
    <x v="34"/>
    <x v="7"/>
    <x v="11"/>
    <s v="NO1_A2"/>
    <x v="0"/>
    <n v="42.692399999999999"/>
    <n v="11.859"/>
  </r>
  <r>
    <x v="0"/>
    <x v="34"/>
    <x v="7"/>
    <x v="11"/>
    <s v="NO1_A3"/>
    <x v="0"/>
    <n v="42.692399999999999"/>
    <n v="11.859"/>
  </r>
  <r>
    <x v="0"/>
    <x v="34"/>
    <x v="7"/>
    <x v="11"/>
    <s v="NO1_Offshore"/>
    <x v="0"/>
    <n v="42.692399999999999"/>
    <n v="11.859"/>
  </r>
  <r>
    <x v="0"/>
    <x v="34"/>
    <x v="7"/>
    <x v="12"/>
    <s v="NO2_A1"/>
    <x v="0"/>
    <n v="42.692399999999999"/>
    <n v="11.859"/>
  </r>
  <r>
    <x v="0"/>
    <x v="34"/>
    <x v="7"/>
    <x v="12"/>
    <s v="NO2_A2"/>
    <x v="0"/>
    <n v="42.692399999999999"/>
    <n v="11.859"/>
  </r>
  <r>
    <x v="0"/>
    <x v="34"/>
    <x v="7"/>
    <x v="12"/>
    <s v="NO2_Offshore"/>
    <x v="0"/>
    <n v="42.692399999999999"/>
    <n v="11.859"/>
  </r>
  <r>
    <x v="0"/>
    <x v="34"/>
    <x v="7"/>
    <x v="13"/>
    <s v="NO3_A1"/>
    <x v="0"/>
    <n v="42.692399999999999"/>
    <n v="11.859"/>
  </r>
  <r>
    <x v="0"/>
    <x v="34"/>
    <x v="7"/>
    <x v="13"/>
    <s v="NO3_A2"/>
    <x v="0"/>
    <n v="42.692399999999999"/>
    <n v="11.859"/>
  </r>
  <r>
    <x v="0"/>
    <x v="34"/>
    <x v="7"/>
    <x v="13"/>
    <s v="NO3_A3"/>
    <x v="0"/>
    <n v="42.692399999999999"/>
    <n v="11.859"/>
  </r>
  <r>
    <x v="0"/>
    <x v="34"/>
    <x v="7"/>
    <x v="13"/>
    <s v="NO3_Offshore"/>
    <x v="0"/>
    <n v="42.692399999999999"/>
    <n v="11.859"/>
  </r>
  <r>
    <x v="0"/>
    <x v="34"/>
    <x v="7"/>
    <x v="14"/>
    <s v="NO4_A1"/>
    <x v="0"/>
    <n v="42.692399999999999"/>
    <n v="11.859"/>
  </r>
  <r>
    <x v="0"/>
    <x v="34"/>
    <x v="7"/>
    <x v="14"/>
    <s v="NO4_A2"/>
    <x v="0"/>
    <n v="42.692399999999999"/>
    <n v="11.859"/>
  </r>
  <r>
    <x v="0"/>
    <x v="34"/>
    <x v="7"/>
    <x v="14"/>
    <s v="NO4_Offshore"/>
    <x v="0"/>
    <n v="42.692399999999999"/>
    <n v="11.859"/>
  </r>
  <r>
    <x v="0"/>
    <x v="34"/>
    <x v="7"/>
    <x v="15"/>
    <s v="NO5_A1"/>
    <x v="0"/>
    <n v="42.692399999999999"/>
    <n v="11.859"/>
  </r>
  <r>
    <x v="0"/>
    <x v="34"/>
    <x v="7"/>
    <x v="15"/>
    <s v="NO5_A2"/>
    <x v="0"/>
    <n v="42.692399999999999"/>
    <n v="11.859"/>
  </r>
  <r>
    <x v="0"/>
    <x v="34"/>
    <x v="7"/>
    <x v="15"/>
    <s v="NO5_Offshore"/>
    <x v="0"/>
    <n v="42.692399999999999"/>
    <n v="11.859"/>
  </r>
  <r>
    <x v="0"/>
    <x v="34"/>
    <x v="8"/>
    <x v="16"/>
    <s v="PL_A"/>
    <x v="0"/>
    <n v="42.692399999999999"/>
    <n v="11.859"/>
  </r>
  <r>
    <x v="0"/>
    <x v="34"/>
    <x v="8"/>
    <x v="16"/>
    <s v="PL_OFFSHORE"/>
    <x v="0"/>
    <n v="42.692399999999999"/>
    <n v="11.859"/>
  </r>
  <r>
    <x v="0"/>
    <x v="34"/>
    <x v="8"/>
    <x v="16"/>
    <s v="PL_Rural"/>
    <x v="0"/>
    <n v="42.692399999999999"/>
    <n v="11.859"/>
  </r>
  <r>
    <x v="0"/>
    <x v="34"/>
    <x v="9"/>
    <x v="17"/>
    <s v="SE1A"/>
    <x v="0"/>
    <n v="42.692399999999999"/>
    <n v="11.859"/>
  </r>
  <r>
    <x v="0"/>
    <x v="34"/>
    <x v="9"/>
    <x v="17"/>
    <s v="SE1_IND"/>
    <x v="0"/>
    <n v="42.692399999999999"/>
    <n v="11.859"/>
  </r>
  <r>
    <x v="0"/>
    <x v="34"/>
    <x v="9"/>
    <x v="17"/>
    <s v="SE1_Offshore"/>
    <x v="0"/>
    <n v="42.692399999999999"/>
    <n v="11.859"/>
  </r>
  <r>
    <x v="0"/>
    <x v="34"/>
    <x v="9"/>
    <x v="17"/>
    <s v="SE1_medium"/>
    <x v="0"/>
    <n v="42.692399999999999"/>
    <n v="11.859"/>
  </r>
  <r>
    <x v="0"/>
    <x v="34"/>
    <x v="9"/>
    <x v="17"/>
    <s v="SE1_small"/>
    <x v="0"/>
    <n v="42.692399999999999"/>
    <n v="11.859"/>
  </r>
  <r>
    <x v="0"/>
    <x v="34"/>
    <x v="9"/>
    <x v="18"/>
    <s v="SE2A"/>
    <x v="0"/>
    <n v="42.692399999999999"/>
    <n v="11.859"/>
  </r>
  <r>
    <x v="0"/>
    <x v="34"/>
    <x v="9"/>
    <x v="18"/>
    <s v="SE2_IND"/>
    <x v="0"/>
    <n v="42.692399999999999"/>
    <n v="11.859"/>
  </r>
  <r>
    <x v="0"/>
    <x v="34"/>
    <x v="9"/>
    <x v="18"/>
    <s v="SE2_Offshore"/>
    <x v="0"/>
    <n v="42.692399999999999"/>
    <n v="11.859"/>
  </r>
  <r>
    <x v="0"/>
    <x v="34"/>
    <x v="9"/>
    <x v="18"/>
    <s v="SE2_medium"/>
    <x v="0"/>
    <n v="42.692399999999999"/>
    <n v="11.859"/>
  </r>
  <r>
    <x v="0"/>
    <x v="34"/>
    <x v="9"/>
    <x v="18"/>
    <s v="SE2_small"/>
    <x v="0"/>
    <n v="42.692399999999999"/>
    <n v="11.859"/>
  </r>
  <r>
    <x v="0"/>
    <x v="34"/>
    <x v="9"/>
    <x v="19"/>
    <s v="SE3A"/>
    <x v="0"/>
    <n v="42.692399999999999"/>
    <n v="11.859"/>
  </r>
  <r>
    <x v="0"/>
    <x v="34"/>
    <x v="9"/>
    <x v="19"/>
    <s v="SE3_IND"/>
    <x v="0"/>
    <n v="42.692399999999999"/>
    <n v="11.859"/>
  </r>
  <r>
    <x v="0"/>
    <x v="34"/>
    <x v="9"/>
    <x v="19"/>
    <s v="SE3_Offshore"/>
    <x v="0"/>
    <n v="42.692399999999999"/>
    <n v="11.859"/>
  </r>
  <r>
    <x v="0"/>
    <x v="34"/>
    <x v="9"/>
    <x v="19"/>
    <s v="SE3_large"/>
    <x v="0"/>
    <n v="42.692399999999999"/>
    <n v="11.859"/>
  </r>
  <r>
    <x v="0"/>
    <x v="34"/>
    <x v="9"/>
    <x v="19"/>
    <s v="SE3_medium"/>
    <x v="0"/>
    <n v="42.692399999999999"/>
    <n v="11.859"/>
  </r>
  <r>
    <x v="0"/>
    <x v="34"/>
    <x v="9"/>
    <x v="19"/>
    <s v="SE3_small"/>
    <x v="0"/>
    <n v="42.692399999999999"/>
    <n v="11.859"/>
  </r>
  <r>
    <x v="0"/>
    <x v="34"/>
    <x v="9"/>
    <x v="20"/>
    <s v="SE4A"/>
    <x v="0"/>
    <n v="42.692399999999999"/>
    <n v="11.859"/>
  </r>
  <r>
    <x v="0"/>
    <x v="34"/>
    <x v="9"/>
    <x v="20"/>
    <s v="SE4_IND"/>
    <x v="0"/>
    <n v="42.692399999999999"/>
    <n v="11.859"/>
  </r>
  <r>
    <x v="0"/>
    <x v="34"/>
    <x v="9"/>
    <x v="20"/>
    <s v="SE4_Offshore"/>
    <x v="0"/>
    <n v="42.692399999999999"/>
    <n v="11.859"/>
  </r>
  <r>
    <x v="0"/>
    <x v="34"/>
    <x v="9"/>
    <x v="20"/>
    <s v="SE4_large"/>
    <x v="0"/>
    <n v="42.692399999999999"/>
    <n v="11.859"/>
  </r>
  <r>
    <x v="0"/>
    <x v="34"/>
    <x v="9"/>
    <x v="20"/>
    <s v="SE4_medium"/>
    <x v="0"/>
    <n v="42.692399999999999"/>
    <n v="11.859"/>
  </r>
  <r>
    <x v="0"/>
    <x v="34"/>
    <x v="9"/>
    <x v="20"/>
    <s v="SE4_small"/>
    <x v="0"/>
    <n v="42.692399999999999"/>
    <n v="11.859"/>
  </r>
  <r>
    <x v="0"/>
    <x v="34"/>
    <x v="10"/>
    <x v="21"/>
    <s v="UK_A"/>
    <x v="0"/>
    <n v="42.692399999999999"/>
    <n v="11.859"/>
  </r>
  <r>
    <x v="0"/>
    <x v="34"/>
    <x v="10"/>
    <x v="21"/>
    <s v="UK_Offshore"/>
    <x v="0"/>
    <n v="42.692399999999999"/>
    <n v="11.859"/>
  </r>
  <r>
    <x v="0"/>
    <x v="35"/>
    <x v="0"/>
    <x v="0"/>
    <s v="DK1_Large"/>
    <x v="0"/>
    <n v="42.692399999999999"/>
    <n v="11.859"/>
  </r>
  <r>
    <x v="0"/>
    <x v="35"/>
    <x v="0"/>
    <x v="0"/>
    <s v="DK1_Large_PHH"/>
    <x v="0"/>
    <n v="42.692399999999999"/>
    <n v="11.859"/>
  </r>
  <r>
    <x v="0"/>
    <x v="35"/>
    <x v="0"/>
    <x v="0"/>
    <s v="DK1_Large_PHL"/>
    <x v="0"/>
    <n v="42.692399999999999"/>
    <n v="11.859"/>
  </r>
  <r>
    <x v="0"/>
    <x v="35"/>
    <x v="0"/>
    <x v="0"/>
    <s v="DK1_MedSmall"/>
    <x v="0"/>
    <n v="42.692399999999999"/>
    <n v="11.859"/>
  </r>
  <r>
    <x v="0"/>
    <x v="35"/>
    <x v="0"/>
    <x v="0"/>
    <s v="DK1_Medium"/>
    <x v="0"/>
    <n v="42.692399999999999"/>
    <n v="11.859"/>
  </r>
  <r>
    <x v="0"/>
    <x v="35"/>
    <x v="0"/>
    <x v="0"/>
    <s v="DK1_NoDH"/>
    <x v="0"/>
    <n v="42.692399999999999"/>
    <n v="11.859"/>
  </r>
  <r>
    <x v="0"/>
    <x v="35"/>
    <x v="0"/>
    <x v="0"/>
    <s v="DK1_NoDH_PHH"/>
    <x v="0"/>
    <n v="42.692399999999999"/>
    <n v="11.859"/>
  </r>
  <r>
    <x v="0"/>
    <x v="35"/>
    <x v="0"/>
    <x v="0"/>
    <s v="DK1_NoDH_PHL"/>
    <x v="0"/>
    <n v="42.692399999999999"/>
    <n v="11.859"/>
  </r>
  <r>
    <x v="0"/>
    <x v="35"/>
    <x v="0"/>
    <x v="0"/>
    <s v="DK1_Offshore"/>
    <x v="0"/>
    <n v="42.692399999999999"/>
    <n v="11.859"/>
  </r>
  <r>
    <x v="0"/>
    <x v="35"/>
    <x v="0"/>
    <x v="0"/>
    <s v="DK1_Rural"/>
    <x v="0"/>
    <n v="42.692399999999999"/>
    <n v="11.859"/>
  </r>
  <r>
    <x v="0"/>
    <x v="35"/>
    <x v="0"/>
    <x v="0"/>
    <s v="DK1_Small"/>
    <x v="0"/>
    <n v="42.692399999999999"/>
    <n v="11.859"/>
  </r>
  <r>
    <x v="0"/>
    <x v="35"/>
    <x v="0"/>
    <x v="1"/>
    <s v="DK2_Large"/>
    <x v="0"/>
    <n v="42.692399999999999"/>
    <n v="11.859"/>
  </r>
  <r>
    <x v="0"/>
    <x v="35"/>
    <x v="0"/>
    <x v="1"/>
    <s v="DK2_Large_PHH"/>
    <x v="0"/>
    <n v="42.692399999999999"/>
    <n v="11.859"/>
  </r>
  <r>
    <x v="0"/>
    <x v="35"/>
    <x v="0"/>
    <x v="1"/>
    <s v="DK2_Large_PHL"/>
    <x v="0"/>
    <n v="42.692399999999999"/>
    <n v="11.859"/>
  </r>
  <r>
    <x v="0"/>
    <x v="35"/>
    <x v="0"/>
    <x v="1"/>
    <s v="DK2_MedSmall"/>
    <x v="0"/>
    <n v="42.692399999999999"/>
    <n v="11.859"/>
  </r>
  <r>
    <x v="0"/>
    <x v="35"/>
    <x v="0"/>
    <x v="1"/>
    <s v="DK2_Medium"/>
    <x v="0"/>
    <n v="42.692399999999999"/>
    <n v="11.859"/>
  </r>
  <r>
    <x v="0"/>
    <x v="35"/>
    <x v="0"/>
    <x v="1"/>
    <s v="DK2_NoDH"/>
    <x v="0"/>
    <n v="42.692399999999999"/>
    <n v="11.859"/>
  </r>
  <r>
    <x v="0"/>
    <x v="35"/>
    <x v="0"/>
    <x v="1"/>
    <s v="DK2_NoDH_PHH"/>
    <x v="0"/>
    <n v="42.692399999999999"/>
    <n v="11.859"/>
  </r>
  <r>
    <x v="0"/>
    <x v="35"/>
    <x v="0"/>
    <x v="1"/>
    <s v="DK2_NoDH_PHL"/>
    <x v="0"/>
    <n v="42.692399999999999"/>
    <n v="11.859"/>
  </r>
  <r>
    <x v="0"/>
    <x v="35"/>
    <x v="0"/>
    <x v="1"/>
    <s v="DK2_Offshore"/>
    <x v="0"/>
    <n v="42.692399999999999"/>
    <n v="11.859"/>
  </r>
  <r>
    <x v="0"/>
    <x v="35"/>
    <x v="0"/>
    <x v="1"/>
    <s v="DK2_Rural"/>
    <x v="0"/>
    <n v="42.692399999999999"/>
    <n v="11.859"/>
  </r>
  <r>
    <x v="0"/>
    <x v="35"/>
    <x v="0"/>
    <x v="1"/>
    <s v="DK2_Small"/>
    <x v="0"/>
    <n v="42.692399999999999"/>
    <n v="11.859"/>
  </r>
  <r>
    <x v="0"/>
    <x v="35"/>
    <x v="1"/>
    <x v="2"/>
    <s v="EE_A"/>
    <x v="0"/>
    <n v="42.692399999999999"/>
    <n v="11.859"/>
  </r>
  <r>
    <x v="0"/>
    <x v="35"/>
    <x v="1"/>
    <x v="2"/>
    <s v="EE_Enefit"/>
    <x v="0"/>
    <n v="42.692399999999999"/>
    <n v="11.859"/>
  </r>
  <r>
    <x v="0"/>
    <x v="35"/>
    <x v="1"/>
    <x v="2"/>
    <s v="EE_Industry"/>
    <x v="0"/>
    <n v="42.692399999999999"/>
    <n v="11.859"/>
  </r>
  <r>
    <x v="0"/>
    <x v="35"/>
    <x v="1"/>
    <x v="2"/>
    <s v="EE_Kohtla_Jarve"/>
    <x v="0"/>
    <n v="42.692399999999999"/>
    <n v="11.859"/>
  </r>
  <r>
    <x v="0"/>
    <x v="35"/>
    <x v="1"/>
    <x v="2"/>
    <s v="EE_Narva"/>
    <x v="0"/>
    <n v="42.692399999999999"/>
    <n v="11.859"/>
  </r>
  <r>
    <x v="0"/>
    <x v="35"/>
    <x v="1"/>
    <x v="2"/>
    <s v="EE_OFFSHORE"/>
    <x v="0"/>
    <n v="42.692399999999999"/>
    <n v="11.859"/>
  </r>
  <r>
    <x v="0"/>
    <x v="35"/>
    <x v="1"/>
    <x v="2"/>
    <s v="EE_Parnu"/>
    <x v="0"/>
    <n v="42.692399999999999"/>
    <n v="11.859"/>
  </r>
  <r>
    <x v="0"/>
    <x v="35"/>
    <x v="1"/>
    <x v="2"/>
    <s v="EE_Rural"/>
    <x v="0"/>
    <n v="42.692399999999999"/>
    <n v="11.859"/>
  </r>
  <r>
    <x v="0"/>
    <x v="35"/>
    <x v="1"/>
    <x v="2"/>
    <s v="EE_Sillamae"/>
    <x v="0"/>
    <n v="42.692399999999999"/>
    <n v="11.859"/>
  </r>
  <r>
    <x v="0"/>
    <x v="35"/>
    <x v="1"/>
    <x v="2"/>
    <s v="EE_Tallinn"/>
    <x v="0"/>
    <n v="42.692399999999999"/>
    <n v="11.859"/>
  </r>
  <r>
    <x v="0"/>
    <x v="35"/>
    <x v="1"/>
    <x v="2"/>
    <s v="EE_Tartu"/>
    <x v="0"/>
    <n v="42.692399999999999"/>
    <n v="11.859"/>
  </r>
  <r>
    <x v="0"/>
    <x v="35"/>
    <x v="1"/>
    <x v="2"/>
    <s v="EE_Urban"/>
    <x v="0"/>
    <n v="42.692399999999999"/>
    <n v="11.859"/>
  </r>
  <r>
    <x v="0"/>
    <x v="35"/>
    <x v="2"/>
    <x v="3"/>
    <s v="FI_IND"/>
    <x v="0"/>
    <n v="42.692399999999999"/>
    <n v="11.859"/>
  </r>
  <r>
    <x v="0"/>
    <x v="35"/>
    <x v="2"/>
    <x v="3"/>
    <s v="FI_Offshore"/>
    <x v="0"/>
    <n v="42.692399999999999"/>
    <n v="11.859"/>
  </r>
  <r>
    <x v="0"/>
    <x v="35"/>
    <x v="2"/>
    <x v="3"/>
    <s v="FI_large"/>
    <x v="0"/>
    <n v="42.692399999999999"/>
    <n v="11.859"/>
  </r>
  <r>
    <x v="0"/>
    <x v="35"/>
    <x v="2"/>
    <x v="3"/>
    <s v="FI_large_gas"/>
    <x v="0"/>
    <n v="42.692399999999999"/>
    <n v="11.859"/>
  </r>
  <r>
    <x v="0"/>
    <x v="35"/>
    <x v="2"/>
    <x v="3"/>
    <s v="FI_medium"/>
    <x v="0"/>
    <n v="42.692399999999999"/>
    <n v="11.859"/>
  </r>
  <r>
    <x v="0"/>
    <x v="35"/>
    <x v="2"/>
    <x v="3"/>
    <s v="FI_medium_gas"/>
    <x v="0"/>
    <n v="42.692399999999999"/>
    <n v="11.859"/>
  </r>
  <r>
    <x v="0"/>
    <x v="35"/>
    <x v="2"/>
    <x v="3"/>
    <s v="FI_small"/>
    <x v="0"/>
    <n v="42.692399999999999"/>
    <n v="11.859"/>
  </r>
  <r>
    <x v="0"/>
    <x v="35"/>
    <x v="2"/>
    <x v="3"/>
    <s v="FI_small_gas"/>
    <x v="0"/>
    <n v="42.692399999999999"/>
    <n v="11.859"/>
  </r>
  <r>
    <x v="0"/>
    <x v="35"/>
    <x v="2"/>
    <x v="3"/>
    <s v="FinA"/>
    <x v="0"/>
    <n v="42.692399999999999"/>
    <n v="11.859"/>
  </r>
  <r>
    <x v="0"/>
    <x v="35"/>
    <x v="3"/>
    <x v="4"/>
    <s v="DE4-E_A"/>
    <x v="0"/>
    <n v="42.692399999999999"/>
    <n v="11.859"/>
  </r>
  <r>
    <x v="0"/>
    <x v="35"/>
    <x v="3"/>
    <x v="4"/>
    <s v="DE4-E_Offshore_A"/>
    <x v="0"/>
    <n v="42.692399999999999"/>
    <n v="11.859"/>
  </r>
  <r>
    <x v="0"/>
    <x v="35"/>
    <x v="3"/>
    <x v="5"/>
    <s v="DE4-N_A"/>
    <x v="0"/>
    <n v="42.692399999999999"/>
    <n v="11.859"/>
  </r>
  <r>
    <x v="0"/>
    <x v="35"/>
    <x v="3"/>
    <x v="5"/>
    <s v="DE4-N_Offshore_A"/>
    <x v="0"/>
    <n v="42.692399999999999"/>
    <n v="11.859"/>
  </r>
  <r>
    <x v="0"/>
    <x v="35"/>
    <x v="3"/>
    <x v="6"/>
    <s v="DE4-S_A"/>
    <x v="0"/>
    <n v="42.692399999999999"/>
    <n v="11.859"/>
  </r>
  <r>
    <x v="0"/>
    <x v="35"/>
    <x v="3"/>
    <x v="7"/>
    <s v="DE4-W_A"/>
    <x v="0"/>
    <n v="42.692399999999999"/>
    <n v="11.859"/>
  </r>
  <r>
    <x v="0"/>
    <x v="35"/>
    <x v="3"/>
    <x v="7"/>
    <s v="DE4-W_Offshore_A"/>
    <x v="0"/>
    <n v="42.692399999999999"/>
    <n v="11.859"/>
  </r>
  <r>
    <x v="0"/>
    <x v="35"/>
    <x v="4"/>
    <x v="8"/>
    <s v="LV_A"/>
    <x v="0"/>
    <n v="42.692399999999999"/>
    <n v="11.859"/>
  </r>
  <r>
    <x v="0"/>
    <x v="35"/>
    <x v="4"/>
    <x v="8"/>
    <s v="LV_OFFSHORE"/>
    <x v="0"/>
    <n v="42.692399999999999"/>
    <n v="11.859"/>
  </r>
  <r>
    <x v="0"/>
    <x v="35"/>
    <x v="4"/>
    <x v="8"/>
    <s v="LV_Other_DH"/>
    <x v="0"/>
    <n v="42.692399999999999"/>
    <n v="11.859"/>
  </r>
  <r>
    <x v="0"/>
    <x v="35"/>
    <x v="4"/>
    <x v="8"/>
    <s v="LV_RigaR"/>
    <x v="0"/>
    <n v="42.692399999999999"/>
    <n v="11.859"/>
  </r>
  <r>
    <x v="0"/>
    <x v="35"/>
    <x v="4"/>
    <x v="8"/>
    <s v="LV_Rural"/>
    <x v="0"/>
    <n v="42.692399999999999"/>
    <n v="11.859"/>
  </r>
  <r>
    <x v="0"/>
    <x v="35"/>
    <x v="5"/>
    <x v="9"/>
    <s v="LT_A"/>
    <x v="0"/>
    <n v="42.692399999999999"/>
    <n v="11.859"/>
  </r>
  <r>
    <x v="0"/>
    <x v="35"/>
    <x v="5"/>
    <x v="9"/>
    <s v="LT_KauU"/>
    <x v="0"/>
    <n v="42.692399999999999"/>
    <n v="11.859"/>
  </r>
  <r>
    <x v="0"/>
    <x v="35"/>
    <x v="5"/>
    <x v="9"/>
    <s v="LT_KlaU"/>
    <x v="0"/>
    <n v="42.692399999999999"/>
    <n v="11.859"/>
  </r>
  <r>
    <x v="0"/>
    <x v="35"/>
    <x v="5"/>
    <x v="9"/>
    <s v="LT_OFFSHORE"/>
    <x v="0"/>
    <n v="42.692399999999999"/>
    <n v="11.859"/>
  </r>
  <r>
    <x v="0"/>
    <x v="35"/>
    <x v="5"/>
    <x v="9"/>
    <s v="LT_Other_DH"/>
    <x v="0"/>
    <n v="42.692399999999999"/>
    <n v="11.859"/>
  </r>
  <r>
    <x v="0"/>
    <x v="35"/>
    <x v="5"/>
    <x v="9"/>
    <s v="LT_Panevezys"/>
    <x v="0"/>
    <n v="42.692399999999999"/>
    <n v="11.859"/>
  </r>
  <r>
    <x v="0"/>
    <x v="35"/>
    <x v="5"/>
    <x v="9"/>
    <s v="LT_Rural"/>
    <x v="0"/>
    <n v="42.692399999999999"/>
    <n v="11.859"/>
  </r>
  <r>
    <x v="0"/>
    <x v="35"/>
    <x v="5"/>
    <x v="9"/>
    <s v="LT_SiaU"/>
    <x v="0"/>
    <n v="42.692399999999999"/>
    <n v="11.859"/>
  </r>
  <r>
    <x v="0"/>
    <x v="35"/>
    <x v="5"/>
    <x v="9"/>
    <s v="LT_VilU"/>
    <x v="0"/>
    <n v="42.692399999999999"/>
    <n v="11.859"/>
  </r>
  <r>
    <x v="0"/>
    <x v="35"/>
    <x v="6"/>
    <x v="10"/>
    <s v="NL_A"/>
    <x v="0"/>
    <n v="42.692399999999999"/>
    <n v="11.859"/>
  </r>
  <r>
    <x v="0"/>
    <x v="35"/>
    <x v="6"/>
    <x v="10"/>
    <s v="NL_OFFSHORE"/>
    <x v="0"/>
    <n v="42.692399999999999"/>
    <n v="11.859"/>
  </r>
  <r>
    <x v="0"/>
    <x v="35"/>
    <x v="7"/>
    <x v="11"/>
    <s v="NO1_A1"/>
    <x v="0"/>
    <n v="42.692399999999999"/>
    <n v="11.859"/>
  </r>
  <r>
    <x v="0"/>
    <x v="35"/>
    <x v="7"/>
    <x v="11"/>
    <s v="NO1_A2"/>
    <x v="0"/>
    <n v="42.692399999999999"/>
    <n v="11.859"/>
  </r>
  <r>
    <x v="0"/>
    <x v="35"/>
    <x v="7"/>
    <x v="11"/>
    <s v="NO1_A3"/>
    <x v="0"/>
    <n v="42.692399999999999"/>
    <n v="11.859"/>
  </r>
  <r>
    <x v="0"/>
    <x v="35"/>
    <x v="7"/>
    <x v="11"/>
    <s v="NO1_Offshore"/>
    <x v="0"/>
    <n v="42.692399999999999"/>
    <n v="11.859"/>
  </r>
  <r>
    <x v="0"/>
    <x v="35"/>
    <x v="7"/>
    <x v="12"/>
    <s v="NO2_A1"/>
    <x v="0"/>
    <n v="42.692399999999999"/>
    <n v="11.859"/>
  </r>
  <r>
    <x v="0"/>
    <x v="35"/>
    <x v="7"/>
    <x v="12"/>
    <s v="NO2_A2"/>
    <x v="0"/>
    <n v="42.692399999999999"/>
    <n v="11.859"/>
  </r>
  <r>
    <x v="0"/>
    <x v="35"/>
    <x v="7"/>
    <x v="12"/>
    <s v="NO2_Offshore"/>
    <x v="0"/>
    <n v="42.692399999999999"/>
    <n v="11.859"/>
  </r>
  <r>
    <x v="0"/>
    <x v="35"/>
    <x v="7"/>
    <x v="13"/>
    <s v="NO3_A1"/>
    <x v="0"/>
    <n v="42.692399999999999"/>
    <n v="11.859"/>
  </r>
  <r>
    <x v="0"/>
    <x v="35"/>
    <x v="7"/>
    <x v="13"/>
    <s v="NO3_A2"/>
    <x v="0"/>
    <n v="42.692399999999999"/>
    <n v="11.859"/>
  </r>
  <r>
    <x v="0"/>
    <x v="35"/>
    <x v="7"/>
    <x v="13"/>
    <s v="NO3_A3"/>
    <x v="0"/>
    <n v="42.692399999999999"/>
    <n v="11.859"/>
  </r>
  <r>
    <x v="0"/>
    <x v="35"/>
    <x v="7"/>
    <x v="13"/>
    <s v="NO3_Offshore"/>
    <x v="0"/>
    <n v="42.692399999999999"/>
    <n v="11.859"/>
  </r>
  <r>
    <x v="0"/>
    <x v="35"/>
    <x v="7"/>
    <x v="14"/>
    <s v="NO4_A1"/>
    <x v="0"/>
    <n v="42.692399999999999"/>
    <n v="11.859"/>
  </r>
  <r>
    <x v="0"/>
    <x v="35"/>
    <x v="7"/>
    <x v="14"/>
    <s v="NO4_A2"/>
    <x v="0"/>
    <n v="42.692399999999999"/>
    <n v="11.859"/>
  </r>
  <r>
    <x v="0"/>
    <x v="35"/>
    <x v="7"/>
    <x v="14"/>
    <s v="NO4_Offshore"/>
    <x v="0"/>
    <n v="42.692399999999999"/>
    <n v="11.859"/>
  </r>
  <r>
    <x v="0"/>
    <x v="35"/>
    <x v="7"/>
    <x v="15"/>
    <s v="NO5_A1"/>
    <x v="0"/>
    <n v="42.692399999999999"/>
    <n v="11.859"/>
  </r>
  <r>
    <x v="0"/>
    <x v="35"/>
    <x v="7"/>
    <x v="15"/>
    <s v="NO5_A2"/>
    <x v="0"/>
    <n v="42.692399999999999"/>
    <n v="11.859"/>
  </r>
  <r>
    <x v="0"/>
    <x v="35"/>
    <x v="7"/>
    <x v="15"/>
    <s v="NO5_Offshore"/>
    <x v="0"/>
    <n v="42.692399999999999"/>
    <n v="11.859"/>
  </r>
  <r>
    <x v="0"/>
    <x v="35"/>
    <x v="8"/>
    <x v="16"/>
    <s v="PL_A"/>
    <x v="0"/>
    <n v="42.692399999999999"/>
    <n v="11.859"/>
  </r>
  <r>
    <x v="0"/>
    <x v="35"/>
    <x v="8"/>
    <x v="16"/>
    <s v="PL_OFFSHORE"/>
    <x v="0"/>
    <n v="42.692399999999999"/>
    <n v="11.859"/>
  </r>
  <r>
    <x v="0"/>
    <x v="35"/>
    <x v="8"/>
    <x v="16"/>
    <s v="PL_Rural"/>
    <x v="0"/>
    <n v="42.692399999999999"/>
    <n v="11.859"/>
  </r>
  <r>
    <x v="0"/>
    <x v="35"/>
    <x v="9"/>
    <x v="17"/>
    <s v="SE1A"/>
    <x v="0"/>
    <n v="42.692399999999999"/>
    <n v="11.859"/>
  </r>
  <r>
    <x v="0"/>
    <x v="35"/>
    <x v="9"/>
    <x v="17"/>
    <s v="SE1_IND"/>
    <x v="0"/>
    <n v="42.692399999999999"/>
    <n v="11.859"/>
  </r>
  <r>
    <x v="0"/>
    <x v="35"/>
    <x v="9"/>
    <x v="17"/>
    <s v="SE1_Offshore"/>
    <x v="0"/>
    <n v="42.692399999999999"/>
    <n v="11.859"/>
  </r>
  <r>
    <x v="0"/>
    <x v="35"/>
    <x v="9"/>
    <x v="17"/>
    <s v="SE1_medium"/>
    <x v="0"/>
    <n v="42.692399999999999"/>
    <n v="11.859"/>
  </r>
  <r>
    <x v="0"/>
    <x v="35"/>
    <x v="9"/>
    <x v="17"/>
    <s v="SE1_small"/>
    <x v="0"/>
    <n v="42.692399999999999"/>
    <n v="11.859"/>
  </r>
  <r>
    <x v="0"/>
    <x v="35"/>
    <x v="9"/>
    <x v="18"/>
    <s v="SE2A"/>
    <x v="0"/>
    <n v="42.692399999999999"/>
    <n v="11.859"/>
  </r>
  <r>
    <x v="0"/>
    <x v="35"/>
    <x v="9"/>
    <x v="18"/>
    <s v="SE2_IND"/>
    <x v="0"/>
    <n v="42.692399999999999"/>
    <n v="11.859"/>
  </r>
  <r>
    <x v="0"/>
    <x v="35"/>
    <x v="9"/>
    <x v="18"/>
    <s v="SE2_Offshore"/>
    <x v="0"/>
    <n v="42.692399999999999"/>
    <n v="11.859"/>
  </r>
  <r>
    <x v="0"/>
    <x v="35"/>
    <x v="9"/>
    <x v="18"/>
    <s v="SE2_medium"/>
    <x v="0"/>
    <n v="42.692399999999999"/>
    <n v="11.859"/>
  </r>
  <r>
    <x v="0"/>
    <x v="35"/>
    <x v="9"/>
    <x v="18"/>
    <s v="SE2_small"/>
    <x v="0"/>
    <n v="42.692399999999999"/>
    <n v="11.859"/>
  </r>
  <r>
    <x v="0"/>
    <x v="35"/>
    <x v="9"/>
    <x v="19"/>
    <s v="SE3A"/>
    <x v="0"/>
    <n v="42.692399999999999"/>
    <n v="11.859"/>
  </r>
  <r>
    <x v="0"/>
    <x v="35"/>
    <x v="9"/>
    <x v="19"/>
    <s v="SE3_IND"/>
    <x v="0"/>
    <n v="42.692399999999999"/>
    <n v="11.859"/>
  </r>
  <r>
    <x v="0"/>
    <x v="35"/>
    <x v="9"/>
    <x v="19"/>
    <s v="SE3_Offshore"/>
    <x v="0"/>
    <n v="42.692399999999999"/>
    <n v="11.859"/>
  </r>
  <r>
    <x v="0"/>
    <x v="35"/>
    <x v="9"/>
    <x v="19"/>
    <s v="SE3_large"/>
    <x v="0"/>
    <n v="42.692399999999999"/>
    <n v="11.859"/>
  </r>
  <r>
    <x v="0"/>
    <x v="35"/>
    <x v="9"/>
    <x v="19"/>
    <s v="SE3_medium"/>
    <x v="0"/>
    <n v="42.692399999999999"/>
    <n v="11.859"/>
  </r>
  <r>
    <x v="0"/>
    <x v="35"/>
    <x v="9"/>
    <x v="19"/>
    <s v="SE3_small"/>
    <x v="0"/>
    <n v="42.692399999999999"/>
    <n v="11.859"/>
  </r>
  <r>
    <x v="0"/>
    <x v="35"/>
    <x v="9"/>
    <x v="20"/>
    <s v="SE4A"/>
    <x v="0"/>
    <n v="42.692399999999999"/>
    <n v="11.859"/>
  </r>
  <r>
    <x v="0"/>
    <x v="35"/>
    <x v="9"/>
    <x v="20"/>
    <s v="SE4_IND"/>
    <x v="0"/>
    <n v="42.692399999999999"/>
    <n v="11.859"/>
  </r>
  <r>
    <x v="0"/>
    <x v="35"/>
    <x v="9"/>
    <x v="20"/>
    <s v="SE4_Offshore"/>
    <x v="0"/>
    <n v="42.692399999999999"/>
    <n v="11.859"/>
  </r>
  <r>
    <x v="0"/>
    <x v="35"/>
    <x v="9"/>
    <x v="20"/>
    <s v="SE4_large"/>
    <x v="0"/>
    <n v="42.692399999999999"/>
    <n v="11.859"/>
  </r>
  <r>
    <x v="0"/>
    <x v="35"/>
    <x v="9"/>
    <x v="20"/>
    <s v="SE4_medium"/>
    <x v="0"/>
    <n v="42.692399999999999"/>
    <n v="11.859"/>
  </r>
  <r>
    <x v="0"/>
    <x v="35"/>
    <x v="9"/>
    <x v="20"/>
    <s v="SE4_small"/>
    <x v="0"/>
    <n v="42.692399999999999"/>
    <n v="11.859"/>
  </r>
  <r>
    <x v="0"/>
    <x v="35"/>
    <x v="10"/>
    <x v="21"/>
    <s v="UK_A"/>
    <x v="0"/>
    <n v="42.692399999999999"/>
    <n v="11.859"/>
  </r>
  <r>
    <x v="0"/>
    <x v="35"/>
    <x v="10"/>
    <x v="21"/>
    <s v="UK_Offshore"/>
    <x v="0"/>
    <n v="42.692399999999999"/>
    <n v="11.859"/>
  </r>
  <r>
    <x v="0"/>
    <x v="36"/>
    <x v="0"/>
    <x v="0"/>
    <s v="DK1_Large"/>
    <x v="0"/>
    <n v="42.692399999999999"/>
    <n v="11.859"/>
  </r>
  <r>
    <x v="0"/>
    <x v="36"/>
    <x v="0"/>
    <x v="0"/>
    <s v="DK1_Large_PHH"/>
    <x v="0"/>
    <n v="42.692399999999999"/>
    <n v="11.859"/>
  </r>
  <r>
    <x v="0"/>
    <x v="36"/>
    <x v="0"/>
    <x v="0"/>
    <s v="DK1_Large_PHL"/>
    <x v="0"/>
    <n v="42.692399999999999"/>
    <n v="11.859"/>
  </r>
  <r>
    <x v="0"/>
    <x v="36"/>
    <x v="0"/>
    <x v="0"/>
    <s v="DK1_MedSmall"/>
    <x v="0"/>
    <n v="42.692399999999999"/>
    <n v="11.859"/>
  </r>
  <r>
    <x v="0"/>
    <x v="36"/>
    <x v="0"/>
    <x v="0"/>
    <s v="DK1_Medium"/>
    <x v="0"/>
    <n v="42.692399999999999"/>
    <n v="11.859"/>
  </r>
  <r>
    <x v="0"/>
    <x v="36"/>
    <x v="0"/>
    <x v="0"/>
    <s v="DK1_NoDH"/>
    <x v="0"/>
    <n v="42.692399999999999"/>
    <n v="11.859"/>
  </r>
  <r>
    <x v="0"/>
    <x v="36"/>
    <x v="0"/>
    <x v="0"/>
    <s v="DK1_NoDH_PHH"/>
    <x v="0"/>
    <n v="42.692399999999999"/>
    <n v="11.859"/>
  </r>
  <r>
    <x v="0"/>
    <x v="36"/>
    <x v="0"/>
    <x v="0"/>
    <s v="DK1_NoDH_PHL"/>
    <x v="0"/>
    <n v="42.692399999999999"/>
    <n v="11.859"/>
  </r>
  <r>
    <x v="0"/>
    <x v="36"/>
    <x v="0"/>
    <x v="0"/>
    <s v="DK1_Offshore"/>
    <x v="0"/>
    <n v="42.692399999999999"/>
    <n v="11.859"/>
  </r>
  <r>
    <x v="0"/>
    <x v="36"/>
    <x v="0"/>
    <x v="0"/>
    <s v="DK1_Rural"/>
    <x v="0"/>
    <n v="42.692399999999999"/>
    <n v="11.859"/>
  </r>
  <r>
    <x v="0"/>
    <x v="36"/>
    <x v="0"/>
    <x v="0"/>
    <s v="DK1_Small"/>
    <x v="0"/>
    <n v="42.692399999999999"/>
    <n v="11.859"/>
  </r>
  <r>
    <x v="0"/>
    <x v="36"/>
    <x v="0"/>
    <x v="1"/>
    <s v="DK2_Large"/>
    <x v="0"/>
    <n v="42.692399999999999"/>
    <n v="11.859"/>
  </r>
  <r>
    <x v="0"/>
    <x v="36"/>
    <x v="0"/>
    <x v="1"/>
    <s v="DK2_Large_PHH"/>
    <x v="0"/>
    <n v="42.692399999999999"/>
    <n v="11.859"/>
  </r>
  <r>
    <x v="0"/>
    <x v="36"/>
    <x v="0"/>
    <x v="1"/>
    <s v="DK2_Large_PHL"/>
    <x v="0"/>
    <n v="42.692399999999999"/>
    <n v="11.859"/>
  </r>
  <r>
    <x v="0"/>
    <x v="36"/>
    <x v="0"/>
    <x v="1"/>
    <s v="DK2_MedSmall"/>
    <x v="0"/>
    <n v="42.692399999999999"/>
    <n v="11.859"/>
  </r>
  <r>
    <x v="0"/>
    <x v="36"/>
    <x v="0"/>
    <x v="1"/>
    <s v="DK2_Medium"/>
    <x v="0"/>
    <n v="42.692399999999999"/>
    <n v="11.859"/>
  </r>
  <r>
    <x v="0"/>
    <x v="36"/>
    <x v="0"/>
    <x v="1"/>
    <s v="DK2_NoDH"/>
    <x v="0"/>
    <n v="42.692399999999999"/>
    <n v="11.859"/>
  </r>
  <r>
    <x v="0"/>
    <x v="36"/>
    <x v="0"/>
    <x v="1"/>
    <s v="DK2_NoDH_PHH"/>
    <x v="0"/>
    <n v="42.692399999999999"/>
    <n v="11.859"/>
  </r>
  <r>
    <x v="0"/>
    <x v="36"/>
    <x v="0"/>
    <x v="1"/>
    <s v="DK2_NoDH_PHL"/>
    <x v="0"/>
    <n v="42.692399999999999"/>
    <n v="11.859"/>
  </r>
  <r>
    <x v="0"/>
    <x v="36"/>
    <x v="0"/>
    <x v="1"/>
    <s v="DK2_Offshore"/>
    <x v="0"/>
    <n v="42.692399999999999"/>
    <n v="11.859"/>
  </r>
  <r>
    <x v="0"/>
    <x v="36"/>
    <x v="0"/>
    <x v="1"/>
    <s v="DK2_Rural"/>
    <x v="0"/>
    <n v="42.692399999999999"/>
    <n v="11.859"/>
  </r>
  <r>
    <x v="0"/>
    <x v="36"/>
    <x v="0"/>
    <x v="1"/>
    <s v="DK2_Small"/>
    <x v="0"/>
    <n v="42.692399999999999"/>
    <n v="11.859"/>
  </r>
  <r>
    <x v="0"/>
    <x v="36"/>
    <x v="1"/>
    <x v="2"/>
    <s v="EE_A"/>
    <x v="0"/>
    <n v="42.692399999999999"/>
    <n v="11.859"/>
  </r>
  <r>
    <x v="0"/>
    <x v="36"/>
    <x v="1"/>
    <x v="2"/>
    <s v="EE_Enefit"/>
    <x v="0"/>
    <n v="42.692399999999999"/>
    <n v="11.859"/>
  </r>
  <r>
    <x v="0"/>
    <x v="36"/>
    <x v="1"/>
    <x v="2"/>
    <s v="EE_Industry"/>
    <x v="0"/>
    <n v="42.692399999999999"/>
    <n v="11.859"/>
  </r>
  <r>
    <x v="0"/>
    <x v="36"/>
    <x v="1"/>
    <x v="2"/>
    <s v="EE_Kohtla_Jarve"/>
    <x v="0"/>
    <n v="42.692399999999999"/>
    <n v="11.859"/>
  </r>
  <r>
    <x v="0"/>
    <x v="36"/>
    <x v="1"/>
    <x v="2"/>
    <s v="EE_Narva"/>
    <x v="0"/>
    <n v="42.692399999999999"/>
    <n v="11.859"/>
  </r>
  <r>
    <x v="0"/>
    <x v="36"/>
    <x v="1"/>
    <x v="2"/>
    <s v="EE_OFFSHORE"/>
    <x v="0"/>
    <n v="42.692399999999999"/>
    <n v="11.859"/>
  </r>
  <r>
    <x v="0"/>
    <x v="36"/>
    <x v="1"/>
    <x v="2"/>
    <s v="EE_Parnu"/>
    <x v="0"/>
    <n v="42.692399999999999"/>
    <n v="11.859"/>
  </r>
  <r>
    <x v="0"/>
    <x v="36"/>
    <x v="1"/>
    <x v="2"/>
    <s v="EE_Rural"/>
    <x v="0"/>
    <n v="42.692399999999999"/>
    <n v="11.859"/>
  </r>
  <r>
    <x v="0"/>
    <x v="36"/>
    <x v="1"/>
    <x v="2"/>
    <s v="EE_Sillamae"/>
    <x v="0"/>
    <n v="42.692399999999999"/>
    <n v="11.859"/>
  </r>
  <r>
    <x v="0"/>
    <x v="36"/>
    <x v="1"/>
    <x v="2"/>
    <s v="EE_Tallinn"/>
    <x v="0"/>
    <n v="42.692399999999999"/>
    <n v="11.859"/>
  </r>
  <r>
    <x v="0"/>
    <x v="36"/>
    <x v="1"/>
    <x v="2"/>
    <s v="EE_Tartu"/>
    <x v="0"/>
    <n v="42.692399999999999"/>
    <n v="11.859"/>
  </r>
  <r>
    <x v="0"/>
    <x v="36"/>
    <x v="1"/>
    <x v="2"/>
    <s v="EE_Urban"/>
    <x v="0"/>
    <n v="42.692399999999999"/>
    <n v="11.859"/>
  </r>
  <r>
    <x v="0"/>
    <x v="36"/>
    <x v="2"/>
    <x v="3"/>
    <s v="FI_IND"/>
    <x v="0"/>
    <n v="42.692399999999999"/>
    <n v="11.859"/>
  </r>
  <r>
    <x v="0"/>
    <x v="36"/>
    <x v="2"/>
    <x v="3"/>
    <s v="FI_Offshore"/>
    <x v="0"/>
    <n v="42.692399999999999"/>
    <n v="11.859"/>
  </r>
  <r>
    <x v="0"/>
    <x v="36"/>
    <x v="2"/>
    <x v="3"/>
    <s v="FI_large"/>
    <x v="0"/>
    <n v="42.692399999999999"/>
    <n v="11.859"/>
  </r>
  <r>
    <x v="0"/>
    <x v="36"/>
    <x v="2"/>
    <x v="3"/>
    <s v="FI_large_gas"/>
    <x v="0"/>
    <n v="42.692399999999999"/>
    <n v="11.859"/>
  </r>
  <r>
    <x v="0"/>
    <x v="36"/>
    <x v="2"/>
    <x v="3"/>
    <s v="FI_medium"/>
    <x v="0"/>
    <n v="42.692399999999999"/>
    <n v="11.859"/>
  </r>
  <r>
    <x v="0"/>
    <x v="36"/>
    <x v="2"/>
    <x v="3"/>
    <s v="FI_medium_gas"/>
    <x v="0"/>
    <n v="42.692399999999999"/>
    <n v="11.859"/>
  </r>
  <r>
    <x v="0"/>
    <x v="36"/>
    <x v="2"/>
    <x v="3"/>
    <s v="FI_small"/>
    <x v="0"/>
    <n v="42.692399999999999"/>
    <n v="11.859"/>
  </r>
  <r>
    <x v="0"/>
    <x v="36"/>
    <x v="2"/>
    <x v="3"/>
    <s v="FI_small_gas"/>
    <x v="0"/>
    <n v="42.692399999999999"/>
    <n v="11.859"/>
  </r>
  <r>
    <x v="0"/>
    <x v="36"/>
    <x v="2"/>
    <x v="3"/>
    <s v="FinA"/>
    <x v="0"/>
    <n v="42.692399999999999"/>
    <n v="11.859"/>
  </r>
  <r>
    <x v="0"/>
    <x v="36"/>
    <x v="3"/>
    <x v="4"/>
    <s v="DE4-E_A"/>
    <x v="0"/>
    <n v="42.692399999999999"/>
    <n v="11.859"/>
  </r>
  <r>
    <x v="0"/>
    <x v="36"/>
    <x v="3"/>
    <x v="4"/>
    <s v="DE4-E_Offshore_A"/>
    <x v="0"/>
    <n v="42.692399999999999"/>
    <n v="11.859"/>
  </r>
  <r>
    <x v="0"/>
    <x v="36"/>
    <x v="3"/>
    <x v="5"/>
    <s v="DE4-N_A"/>
    <x v="0"/>
    <n v="42.692399999999999"/>
    <n v="11.859"/>
  </r>
  <r>
    <x v="0"/>
    <x v="36"/>
    <x v="3"/>
    <x v="5"/>
    <s v="DE4-N_Offshore_A"/>
    <x v="0"/>
    <n v="42.692399999999999"/>
    <n v="11.859"/>
  </r>
  <r>
    <x v="0"/>
    <x v="36"/>
    <x v="3"/>
    <x v="6"/>
    <s v="DE4-S_A"/>
    <x v="0"/>
    <n v="42.692399999999999"/>
    <n v="11.859"/>
  </r>
  <r>
    <x v="0"/>
    <x v="36"/>
    <x v="3"/>
    <x v="7"/>
    <s v="DE4-W_A"/>
    <x v="0"/>
    <n v="42.692399999999999"/>
    <n v="11.859"/>
  </r>
  <r>
    <x v="0"/>
    <x v="36"/>
    <x v="3"/>
    <x v="7"/>
    <s v="DE4-W_Offshore_A"/>
    <x v="0"/>
    <n v="42.692399999999999"/>
    <n v="11.859"/>
  </r>
  <r>
    <x v="0"/>
    <x v="36"/>
    <x v="4"/>
    <x v="8"/>
    <s v="LV_A"/>
    <x v="0"/>
    <n v="42.692399999999999"/>
    <n v="11.859"/>
  </r>
  <r>
    <x v="0"/>
    <x v="36"/>
    <x v="4"/>
    <x v="8"/>
    <s v="LV_OFFSHORE"/>
    <x v="0"/>
    <n v="42.692399999999999"/>
    <n v="11.859"/>
  </r>
  <r>
    <x v="0"/>
    <x v="36"/>
    <x v="4"/>
    <x v="8"/>
    <s v="LV_Other_DH"/>
    <x v="0"/>
    <n v="42.692399999999999"/>
    <n v="11.859"/>
  </r>
  <r>
    <x v="0"/>
    <x v="36"/>
    <x v="4"/>
    <x v="8"/>
    <s v="LV_RigaR"/>
    <x v="0"/>
    <n v="42.692399999999999"/>
    <n v="11.859"/>
  </r>
  <r>
    <x v="0"/>
    <x v="36"/>
    <x v="4"/>
    <x v="8"/>
    <s v="LV_Rural"/>
    <x v="0"/>
    <n v="42.692399999999999"/>
    <n v="11.859"/>
  </r>
  <r>
    <x v="0"/>
    <x v="36"/>
    <x v="5"/>
    <x v="9"/>
    <s v="LT_A"/>
    <x v="0"/>
    <n v="42.692399999999999"/>
    <n v="11.859"/>
  </r>
  <r>
    <x v="0"/>
    <x v="36"/>
    <x v="5"/>
    <x v="9"/>
    <s v="LT_KauU"/>
    <x v="0"/>
    <n v="42.692399999999999"/>
    <n v="11.859"/>
  </r>
  <r>
    <x v="0"/>
    <x v="36"/>
    <x v="5"/>
    <x v="9"/>
    <s v="LT_KlaU"/>
    <x v="0"/>
    <n v="42.692399999999999"/>
    <n v="11.859"/>
  </r>
  <r>
    <x v="0"/>
    <x v="36"/>
    <x v="5"/>
    <x v="9"/>
    <s v="LT_OFFSHORE"/>
    <x v="0"/>
    <n v="42.692399999999999"/>
    <n v="11.859"/>
  </r>
  <r>
    <x v="0"/>
    <x v="36"/>
    <x v="5"/>
    <x v="9"/>
    <s v="LT_Other_DH"/>
    <x v="0"/>
    <n v="42.692399999999999"/>
    <n v="11.859"/>
  </r>
  <r>
    <x v="0"/>
    <x v="36"/>
    <x v="5"/>
    <x v="9"/>
    <s v="LT_Panevezys"/>
    <x v="0"/>
    <n v="42.692399999999999"/>
    <n v="11.859"/>
  </r>
  <r>
    <x v="0"/>
    <x v="36"/>
    <x v="5"/>
    <x v="9"/>
    <s v="LT_Rural"/>
    <x v="0"/>
    <n v="42.692399999999999"/>
    <n v="11.859"/>
  </r>
  <r>
    <x v="0"/>
    <x v="36"/>
    <x v="5"/>
    <x v="9"/>
    <s v="LT_SiaU"/>
    <x v="0"/>
    <n v="42.692399999999999"/>
    <n v="11.859"/>
  </r>
  <r>
    <x v="0"/>
    <x v="36"/>
    <x v="5"/>
    <x v="9"/>
    <s v="LT_VilU"/>
    <x v="0"/>
    <n v="42.692399999999999"/>
    <n v="11.859"/>
  </r>
  <r>
    <x v="0"/>
    <x v="36"/>
    <x v="6"/>
    <x v="10"/>
    <s v="NL_A"/>
    <x v="0"/>
    <n v="42.692399999999999"/>
    <n v="11.859"/>
  </r>
  <r>
    <x v="0"/>
    <x v="36"/>
    <x v="6"/>
    <x v="10"/>
    <s v="NL_OFFSHORE"/>
    <x v="0"/>
    <n v="42.692399999999999"/>
    <n v="11.859"/>
  </r>
  <r>
    <x v="0"/>
    <x v="36"/>
    <x v="7"/>
    <x v="11"/>
    <s v="NO1_A1"/>
    <x v="0"/>
    <n v="42.692399999999999"/>
    <n v="11.859"/>
  </r>
  <r>
    <x v="0"/>
    <x v="36"/>
    <x v="7"/>
    <x v="11"/>
    <s v="NO1_A2"/>
    <x v="0"/>
    <n v="42.692399999999999"/>
    <n v="11.859"/>
  </r>
  <r>
    <x v="0"/>
    <x v="36"/>
    <x v="7"/>
    <x v="11"/>
    <s v="NO1_A3"/>
    <x v="0"/>
    <n v="42.692399999999999"/>
    <n v="11.859"/>
  </r>
  <r>
    <x v="0"/>
    <x v="36"/>
    <x v="7"/>
    <x v="11"/>
    <s v="NO1_Offshore"/>
    <x v="0"/>
    <n v="42.692399999999999"/>
    <n v="11.859"/>
  </r>
  <r>
    <x v="0"/>
    <x v="36"/>
    <x v="7"/>
    <x v="12"/>
    <s v="NO2_A1"/>
    <x v="0"/>
    <n v="42.692399999999999"/>
    <n v="11.859"/>
  </r>
  <r>
    <x v="0"/>
    <x v="36"/>
    <x v="7"/>
    <x v="12"/>
    <s v="NO2_A2"/>
    <x v="0"/>
    <n v="42.692399999999999"/>
    <n v="11.859"/>
  </r>
  <r>
    <x v="0"/>
    <x v="36"/>
    <x v="7"/>
    <x v="12"/>
    <s v="NO2_Offshore"/>
    <x v="0"/>
    <n v="42.692399999999999"/>
    <n v="11.859"/>
  </r>
  <r>
    <x v="0"/>
    <x v="36"/>
    <x v="7"/>
    <x v="13"/>
    <s v="NO3_A1"/>
    <x v="0"/>
    <n v="42.692399999999999"/>
    <n v="11.859"/>
  </r>
  <r>
    <x v="0"/>
    <x v="36"/>
    <x v="7"/>
    <x v="13"/>
    <s v="NO3_A2"/>
    <x v="0"/>
    <n v="42.692399999999999"/>
    <n v="11.859"/>
  </r>
  <r>
    <x v="0"/>
    <x v="36"/>
    <x v="7"/>
    <x v="13"/>
    <s v="NO3_A3"/>
    <x v="0"/>
    <n v="42.692399999999999"/>
    <n v="11.859"/>
  </r>
  <r>
    <x v="0"/>
    <x v="36"/>
    <x v="7"/>
    <x v="13"/>
    <s v="NO3_Offshore"/>
    <x v="0"/>
    <n v="42.692399999999999"/>
    <n v="11.859"/>
  </r>
  <r>
    <x v="0"/>
    <x v="36"/>
    <x v="7"/>
    <x v="14"/>
    <s v="NO4_A1"/>
    <x v="0"/>
    <n v="42.692399999999999"/>
    <n v="11.859"/>
  </r>
  <r>
    <x v="0"/>
    <x v="36"/>
    <x v="7"/>
    <x v="14"/>
    <s v="NO4_A2"/>
    <x v="0"/>
    <n v="42.692399999999999"/>
    <n v="11.859"/>
  </r>
  <r>
    <x v="0"/>
    <x v="36"/>
    <x v="7"/>
    <x v="14"/>
    <s v="NO4_Offshore"/>
    <x v="0"/>
    <n v="42.692399999999999"/>
    <n v="11.859"/>
  </r>
  <r>
    <x v="0"/>
    <x v="36"/>
    <x v="7"/>
    <x v="15"/>
    <s v="NO5_A1"/>
    <x v="0"/>
    <n v="42.692399999999999"/>
    <n v="11.859"/>
  </r>
  <r>
    <x v="0"/>
    <x v="36"/>
    <x v="7"/>
    <x v="15"/>
    <s v="NO5_A2"/>
    <x v="0"/>
    <n v="42.692399999999999"/>
    <n v="11.859"/>
  </r>
  <r>
    <x v="0"/>
    <x v="36"/>
    <x v="7"/>
    <x v="15"/>
    <s v="NO5_Offshore"/>
    <x v="0"/>
    <n v="42.692399999999999"/>
    <n v="11.859"/>
  </r>
  <r>
    <x v="0"/>
    <x v="36"/>
    <x v="8"/>
    <x v="16"/>
    <s v="PL_A"/>
    <x v="0"/>
    <n v="42.692399999999999"/>
    <n v="11.859"/>
  </r>
  <r>
    <x v="0"/>
    <x v="36"/>
    <x v="8"/>
    <x v="16"/>
    <s v="PL_OFFSHORE"/>
    <x v="0"/>
    <n v="42.692399999999999"/>
    <n v="11.859"/>
  </r>
  <r>
    <x v="0"/>
    <x v="36"/>
    <x v="8"/>
    <x v="16"/>
    <s v="PL_Rural"/>
    <x v="0"/>
    <n v="42.692399999999999"/>
    <n v="11.859"/>
  </r>
  <r>
    <x v="0"/>
    <x v="36"/>
    <x v="9"/>
    <x v="17"/>
    <s v="SE1A"/>
    <x v="0"/>
    <n v="42.692399999999999"/>
    <n v="11.859"/>
  </r>
  <r>
    <x v="0"/>
    <x v="36"/>
    <x v="9"/>
    <x v="17"/>
    <s v="SE1_IND"/>
    <x v="0"/>
    <n v="42.692399999999999"/>
    <n v="11.859"/>
  </r>
  <r>
    <x v="0"/>
    <x v="36"/>
    <x v="9"/>
    <x v="17"/>
    <s v="SE1_Offshore"/>
    <x v="0"/>
    <n v="42.692399999999999"/>
    <n v="11.859"/>
  </r>
  <r>
    <x v="0"/>
    <x v="36"/>
    <x v="9"/>
    <x v="17"/>
    <s v="SE1_medium"/>
    <x v="0"/>
    <n v="42.692399999999999"/>
    <n v="11.859"/>
  </r>
  <r>
    <x v="0"/>
    <x v="36"/>
    <x v="9"/>
    <x v="17"/>
    <s v="SE1_small"/>
    <x v="0"/>
    <n v="42.692399999999999"/>
    <n v="11.859"/>
  </r>
  <r>
    <x v="0"/>
    <x v="36"/>
    <x v="9"/>
    <x v="18"/>
    <s v="SE2A"/>
    <x v="0"/>
    <n v="42.692399999999999"/>
    <n v="11.859"/>
  </r>
  <r>
    <x v="0"/>
    <x v="36"/>
    <x v="9"/>
    <x v="18"/>
    <s v="SE2_IND"/>
    <x v="0"/>
    <n v="42.692399999999999"/>
    <n v="11.859"/>
  </r>
  <r>
    <x v="0"/>
    <x v="36"/>
    <x v="9"/>
    <x v="18"/>
    <s v="SE2_Offshore"/>
    <x v="0"/>
    <n v="42.692399999999999"/>
    <n v="11.859"/>
  </r>
  <r>
    <x v="0"/>
    <x v="36"/>
    <x v="9"/>
    <x v="18"/>
    <s v="SE2_medium"/>
    <x v="0"/>
    <n v="42.692399999999999"/>
    <n v="11.859"/>
  </r>
  <r>
    <x v="0"/>
    <x v="36"/>
    <x v="9"/>
    <x v="18"/>
    <s v="SE2_small"/>
    <x v="0"/>
    <n v="42.692399999999999"/>
    <n v="11.859"/>
  </r>
  <r>
    <x v="0"/>
    <x v="36"/>
    <x v="9"/>
    <x v="19"/>
    <s v="SE3A"/>
    <x v="0"/>
    <n v="42.692399999999999"/>
    <n v="11.859"/>
  </r>
  <r>
    <x v="0"/>
    <x v="36"/>
    <x v="9"/>
    <x v="19"/>
    <s v="SE3_IND"/>
    <x v="0"/>
    <n v="42.692399999999999"/>
    <n v="11.859"/>
  </r>
  <r>
    <x v="0"/>
    <x v="36"/>
    <x v="9"/>
    <x v="19"/>
    <s v="SE3_Offshore"/>
    <x v="0"/>
    <n v="42.692399999999999"/>
    <n v="11.859"/>
  </r>
  <r>
    <x v="0"/>
    <x v="36"/>
    <x v="9"/>
    <x v="19"/>
    <s v="SE3_large"/>
    <x v="0"/>
    <n v="42.692399999999999"/>
    <n v="11.859"/>
  </r>
  <r>
    <x v="0"/>
    <x v="36"/>
    <x v="9"/>
    <x v="19"/>
    <s v="SE3_medium"/>
    <x v="0"/>
    <n v="42.692399999999999"/>
    <n v="11.859"/>
  </r>
  <r>
    <x v="0"/>
    <x v="36"/>
    <x v="9"/>
    <x v="19"/>
    <s v="SE3_small"/>
    <x v="0"/>
    <n v="42.692399999999999"/>
    <n v="11.859"/>
  </r>
  <r>
    <x v="0"/>
    <x v="36"/>
    <x v="9"/>
    <x v="20"/>
    <s v="SE4A"/>
    <x v="0"/>
    <n v="42.692399999999999"/>
    <n v="11.859"/>
  </r>
  <r>
    <x v="0"/>
    <x v="36"/>
    <x v="9"/>
    <x v="20"/>
    <s v="SE4_IND"/>
    <x v="0"/>
    <n v="42.692399999999999"/>
    <n v="11.859"/>
  </r>
  <r>
    <x v="0"/>
    <x v="36"/>
    <x v="9"/>
    <x v="20"/>
    <s v="SE4_Offshore"/>
    <x v="0"/>
    <n v="42.692399999999999"/>
    <n v="11.859"/>
  </r>
  <r>
    <x v="0"/>
    <x v="36"/>
    <x v="9"/>
    <x v="20"/>
    <s v="SE4_large"/>
    <x v="0"/>
    <n v="42.692399999999999"/>
    <n v="11.859"/>
  </r>
  <r>
    <x v="0"/>
    <x v="36"/>
    <x v="9"/>
    <x v="20"/>
    <s v="SE4_medium"/>
    <x v="0"/>
    <n v="42.692399999999999"/>
    <n v="11.859"/>
  </r>
  <r>
    <x v="0"/>
    <x v="36"/>
    <x v="9"/>
    <x v="20"/>
    <s v="SE4_small"/>
    <x v="0"/>
    <n v="42.692399999999999"/>
    <n v="11.859"/>
  </r>
  <r>
    <x v="0"/>
    <x v="36"/>
    <x v="10"/>
    <x v="21"/>
    <s v="UK_A"/>
    <x v="0"/>
    <n v="42.692399999999999"/>
    <n v="11.859"/>
  </r>
  <r>
    <x v="0"/>
    <x v="36"/>
    <x v="10"/>
    <x v="21"/>
    <s v="UK_Offshore"/>
    <x v="0"/>
    <n v="42.692399999999999"/>
    <n v="11.859"/>
  </r>
  <r>
    <x v="0"/>
    <x v="37"/>
    <x v="0"/>
    <x v="0"/>
    <s v="DK1_Large"/>
    <x v="0"/>
    <n v="42.692399999999999"/>
    <n v="11.859"/>
  </r>
  <r>
    <x v="0"/>
    <x v="37"/>
    <x v="0"/>
    <x v="0"/>
    <s v="DK1_Large_PHH"/>
    <x v="0"/>
    <n v="42.692399999999999"/>
    <n v="11.859"/>
  </r>
  <r>
    <x v="0"/>
    <x v="37"/>
    <x v="0"/>
    <x v="0"/>
    <s v="DK1_Large_PHL"/>
    <x v="0"/>
    <n v="42.692399999999999"/>
    <n v="11.859"/>
  </r>
  <r>
    <x v="0"/>
    <x v="37"/>
    <x v="0"/>
    <x v="0"/>
    <s v="DK1_MedSmall"/>
    <x v="0"/>
    <n v="42.692399999999999"/>
    <n v="11.859"/>
  </r>
  <r>
    <x v="0"/>
    <x v="37"/>
    <x v="0"/>
    <x v="0"/>
    <s v="DK1_Medium"/>
    <x v="0"/>
    <n v="42.692399999999999"/>
    <n v="11.859"/>
  </r>
  <r>
    <x v="0"/>
    <x v="37"/>
    <x v="0"/>
    <x v="0"/>
    <s v="DK1_NoDH"/>
    <x v="0"/>
    <n v="42.692399999999999"/>
    <n v="11.859"/>
  </r>
  <r>
    <x v="0"/>
    <x v="37"/>
    <x v="0"/>
    <x v="0"/>
    <s v="DK1_NoDH_PHH"/>
    <x v="0"/>
    <n v="42.692399999999999"/>
    <n v="11.859"/>
  </r>
  <r>
    <x v="0"/>
    <x v="37"/>
    <x v="0"/>
    <x v="0"/>
    <s v="DK1_NoDH_PHL"/>
    <x v="0"/>
    <n v="42.692399999999999"/>
    <n v="11.859"/>
  </r>
  <r>
    <x v="0"/>
    <x v="37"/>
    <x v="0"/>
    <x v="0"/>
    <s v="DK1_Offshore"/>
    <x v="0"/>
    <n v="42.692399999999999"/>
    <n v="11.859"/>
  </r>
  <r>
    <x v="0"/>
    <x v="37"/>
    <x v="0"/>
    <x v="0"/>
    <s v="DK1_Rural"/>
    <x v="0"/>
    <n v="42.692399999999999"/>
    <n v="11.859"/>
  </r>
  <r>
    <x v="0"/>
    <x v="37"/>
    <x v="0"/>
    <x v="0"/>
    <s v="DK1_Small"/>
    <x v="0"/>
    <n v="42.692399999999999"/>
    <n v="11.859"/>
  </r>
  <r>
    <x v="0"/>
    <x v="37"/>
    <x v="0"/>
    <x v="1"/>
    <s v="DK2_Large"/>
    <x v="0"/>
    <n v="42.692399999999999"/>
    <n v="11.859"/>
  </r>
  <r>
    <x v="0"/>
    <x v="37"/>
    <x v="0"/>
    <x v="1"/>
    <s v="DK2_Large_PHH"/>
    <x v="0"/>
    <n v="42.692399999999999"/>
    <n v="11.859"/>
  </r>
  <r>
    <x v="0"/>
    <x v="37"/>
    <x v="0"/>
    <x v="1"/>
    <s v="DK2_Large_PHL"/>
    <x v="0"/>
    <n v="42.692399999999999"/>
    <n v="11.859"/>
  </r>
  <r>
    <x v="0"/>
    <x v="37"/>
    <x v="0"/>
    <x v="1"/>
    <s v="DK2_MedSmall"/>
    <x v="0"/>
    <n v="42.692399999999999"/>
    <n v="11.859"/>
  </r>
  <r>
    <x v="0"/>
    <x v="37"/>
    <x v="0"/>
    <x v="1"/>
    <s v="DK2_Medium"/>
    <x v="0"/>
    <n v="42.692399999999999"/>
    <n v="11.859"/>
  </r>
  <r>
    <x v="0"/>
    <x v="37"/>
    <x v="0"/>
    <x v="1"/>
    <s v="DK2_NoDH"/>
    <x v="0"/>
    <n v="42.692399999999999"/>
    <n v="11.859"/>
  </r>
  <r>
    <x v="0"/>
    <x v="37"/>
    <x v="0"/>
    <x v="1"/>
    <s v="DK2_NoDH_PHH"/>
    <x v="0"/>
    <n v="42.692399999999999"/>
    <n v="11.859"/>
  </r>
  <r>
    <x v="0"/>
    <x v="37"/>
    <x v="0"/>
    <x v="1"/>
    <s v="DK2_NoDH_PHL"/>
    <x v="0"/>
    <n v="42.692399999999999"/>
    <n v="11.859"/>
  </r>
  <r>
    <x v="0"/>
    <x v="37"/>
    <x v="0"/>
    <x v="1"/>
    <s v="DK2_Offshore"/>
    <x v="0"/>
    <n v="42.692399999999999"/>
    <n v="11.859"/>
  </r>
  <r>
    <x v="0"/>
    <x v="37"/>
    <x v="0"/>
    <x v="1"/>
    <s v="DK2_Rural"/>
    <x v="0"/>
    <n v="42.692399999999999"/>
    <n v="11.859"/>
  </r>
  <r>
    <x v="0"/>
    <x v="37"/>
    <x v="0"/>
    <x v="1"/>
    <s v="DK2_Small"/>
    <x v="0"/>
    <n v="42.692399999999999"/>
    <n v="11.859"/>
  </r>
  <r>
    <x v="0"/>
    <x v="37"/>
    <x v="1"/>
    <x v="2"/>
    <s v="EE_A"/>
    <x v="0"/>
    <n v="42.692399999999999"/>
    <n v="11.859"/>
  </r>
  <r>
    <x v="0"/>
    <x v="37"/>
    <x v="1"/>
    <x v="2"/>
    <s v="EE_Enefit"/>
    <x v="0"/>
    <n v="42.692399999999999"/>
    <n v="11.859"/>
  </r>
  <r>
    <x v="0"/>
    <x v="37"/>
    <x v="1"/>
    <x v="2"/>
    <s v="EE_Industry"/>
    <x v="0"/>
    <n v="42.692399999999999"/>
    <n v="11.859"/>
  </r>
  <r>
    <x v="0"/>
    <x v="37"/>
    <x v="1"/>
    <x v="2"/>
    <s v="EE_Kohtla_Jarve"/>
    <x v="0"/>
    <n v="42.692399999999999"/>
    <n v="11.859"/>
  </r>
  <r>
    <x v="0"/>
    <x v="37"/>
    <x v="1"/>
    <x v="2"/>
    <s v="EE_Narva"/>
    <x v="0"/>
    <n v="42.692399999999999"/>
    <n v="11.859"/>
  </r>
  <r>
    <x v="0"/>
    <x v="37"/>
    <x v="1"/>
    <x v="2"/>
    <s v="EE_OFFSHORE"/>
    <x v="0"/>
    <n v="42.692399999999999"/>
    <n v="11.859"/>
  </r>
  <r>
    <x v="0"/>
    <x v="37"/>
    <x v="1"/>
    <x v="2"/>
    <s v="EE_Parnu"/>
    <x v="0"/>
    <n v="42.692399999999999"/>
    <n v="11.859"/>
  </r>
  <r>
    <x v="0"/>
    <x v="37"/>
    <x v="1"/>
    <x v="2"/>
    <s v="EE_Rural"/>
    <x v="0"/>
    <n v="42.692399999999999"/>
    <n v="11.859"/>
  </r>
  <r>
    <x v="0"/>
    <x v="37"/>
    <x v="1"/>
    <x v="2"/>
    <s v="EE_Sillamae"/>
    <x v="0"/>
    <n v="42.692399999999999"/>
    <n v="11.859"/>
  </r>
  <r>
    <x v="0"/>
    <x v="37"/>
    <x v="1"/>
    <x v="2"/>
    <s v="EE_Tallinn"/>
    <x v="0"/>
    <n v="42.692399999999999"/>
    <n v="11.859"/>
  </r>
  <r>
    <x v="0"/>
    <x v="37"/>
    <x v="1"/>
    <x v="2"/>
    <s v="EE_Tartu"/>
    <x v="0"/>
    <n v="42.692399999999999"/>
    <n v="11.859"/>
  </r>
  <r>
    <x v="0"/>
    <x v="37"/>
    <x v="1"/>
    <x v="2"/>
    <s v="EE_Urban"/>
    <x v="0"/>
    <n v="42.692399999999999"/>
    <n v="11.859"/>
  </r>
  <r>
    <x v="0"/>
    <x v="37"/>
    <x v="2"/>
    <x v="3"/>
    <s v="FI_IND"/>
    <x v="0"/>
    <n v="42.692399999999999"/>
    <n v="11.859"/>
  </r>
  <r>
    <x v="0"/>
    <x v="37"/>
    <x v="2"/>
    <x v="3"/>
    <s v="FI_Offshore"/>
    <x v="0"/>
    <n v="42.692399999999999"/>
    <n v="11.859"/>
  </r>
  <r>
    <x v="0"/>
    <x v="37"/>
    <x v="2"/>
    <x v="3"/>
    <s v="FI_large"/>
    <x v="0"/>
    <n v="42.692399999999999"/>
    <n v="11.859"/>
  </r>
  <r>
    <x v="0"/>
    <x v="37"/>
    <x v="2"/>
    <x v="3"/>
    <s v="FI_large_gas"/>
    <x v="0"/>
    <n v="42.692399999999999"/>
    <n v="11.859"/>
  </r>
  <r>
    <x v="0"/>
    <x v="37"/>
    <x v="2"/>
    <x v="3"/>
    <s v="FI_medium"/>
    <x v="0"/>
    <n v="42.692399999999999"/>
    <n v="11.859"/>
  </r>
  <r>
    <x v="0"/>
    <x v="37"/>
    <x v="2"/>
    <x v="3"/>
    <s v="FI_medium_gas"/>
    <x v="0"/>
    <n v="42.692399999999999"/>
    <n v="11.859"/>
  </r>
  <r>
    <x v="0"/>
    <x v="37"/>
    <x v="2"/>
    <x v="3"/>
    <s v="FI_small"/>
    <x v="0"/>
    <n v="42.692399999999999"/>
    <n v="11.859"/>
  </r>
  <r>
    <x v="0"/>
    <x v="37"/>
    <x v="2"/>
    <x v="3"/>
    <s v="FI_small_gas"/>
    <x v="0"/>
    <n v="42.692399999999999"/>
    <n v="11.859"/>
  </r>
  <r>
    <x v="0"/>
    <x v="37"/>
    <x v="2"/>
    <x v="3"/>
    <s v="FinA"/>
    <x v="0"/>
    <n v="42.692399999999999"/>
    <n v="11.859"/>
  </r>
  <r>
    <x v="0"/>
    <x v="37"/>
    <x v="3"/>
    <x v="4"/>
    <s v="DE4-E_A"/>
    <x v="0"/>
    <n v="42.692399999999999"/>
    <n v="11.859"/>
  </r>
  <r>
    <x v="0"/>
    <x v="37"/>
    <x v="3"/>
    <x v="4"/>
    <s v="DE4-E_Offshore_A"/>
    <x v="0"/>
    <n v="42.692399999999999"/>
    <n v="11.859"/>
  </r>
  <r>
    <x v="0"/>
    <x v="37"/>
    <x v="3"/>
    <x v="5"/>
    <s v="DE4-N_A"/>
    <x v="0"/>
    <n v="42.692399999999999"/>
    <n v="11.859"/>
  </r>
  <r>
    <x v="0"/>
    <x v="37"/>
    <x v="3"/>
    <x v="5"/>
    <s v="DE4-N_Offshore_A"/>
    <x v="0"/>
    <n v="42.692399999999999"/>
    <n v="11.859"/>
  </r>
  <r>
    <x v="0"/>
    <x v="37"/>
    <x v="3"/>
    <x v="6"/>
    <s v="DE4-S_A"/>
    <x v="0"/>
    <n v="42.692399999999999"/>
    <n v="11.859"/>
  </r>
  <r>
    <x v="0"/>
    <x v="37"/>
    <x v="3"/>
    <x v="7"/>
    <s v="DE4-W_A"/>
    <x v="0"/>
    <n v="42.692399999999999"/>
    <n v="11.859"/>
  </r>
  <r>
    <x v="0"/>
    <x v="37"/>
    <x v="3"/>
    <x v="7"/>
    <s v="DE4-W_Offshore_A"/>
    <x v="0"/>
    <n v="42.692399999999999"/>
    <n v="11.859"/>
  </r>
  <r>
    <x v="0"/>
    <x v="37"/>
    <x v="4"/>
    <x v="8"/>
    <s v="LV_A"/>
    <x v="0"/>
    <n v="42.692399999999999"/>
    <n v="11.859"/>
  </r>
  <r>
    <x v="0"/>
    <x v="37"/>
    <x v="4"/>
    <x v="8"/>
    <s v="LV_OFFSHORE"/>
    <x v="0"/>
    <n v="42.692399999999999"/>
    <n v="11.859"/>
  </r>
  <r>
    <x v="0"/>
    <x v="37"/>
    <x v="4"/>
    <x v="8"/>
    <s v="LV_Other_DH"/>
    <x v="0"/>
    <n v="42.692399999999999"/>
    <n v="11.859"/>
  </r>
  <r>
    <x v="0"/>
    <x v="37"/>
    <x v="4"/>
    <x v="8"/>
    <s v="LV_RigaR"/>
    <x v="0"/>
    <n v="42.692399999999999"/>
    <n v="11.859"/>
  </r>
  <r>
    <x v="0"/>
    <x v="37"/>
    <x v="4"/>
    <x v="8"/>
    <s v="LV_Rural"/>
    <x v="0"/>
    <n v="42.692399999999999"/>
    <n v="11.859"/>
  </r>
  <r>
    <x v="0"/>
    <x v="37"/>
    <x v="5"/>
    <x v="9"/>
    <s v="LT_A"/>
    <x v="0"/>
    <n v="42.692399999999999"/>
    <n v="11.859"/>
  </r>
  <r>
    <x v="0"/>
    <x v="37"/>
    <x v="5"/>
    <x v="9"/>
    <s v="LT_KauU"/>
    <x v="0"/>
    <n v="42.692399999999999"/>
    <n v="11.859"/>
  </r>
  <r>
    <x v="0"/>
    <x v="37"/>
    <x v="5"/>
    <x v="9"/>
    <s v="LT_KlaU"/>
    <x v="0"/>
    <n v="42.692399999999999"/>
    <n v="11.859"/>
  </r>
  <r>
    <x v="0"/>
    <x v="37"/>
    <x v="5"/>
    <x v="9"/>
    <s v="LT_OFFSHORE"/>
    <x v="0"/>
    <n v="42.692399999999999"/>
    <n v="11.859"/>
  </r>
  <r>
    <x v="0"/>
    <x v="37"/>
    <x v="5"/>
    <x v="9"/>
    <s v="LT_Other_DH"/>
    <x v="0"/>
    <n v="42.692399999999999"/>
    <n v="11.859"/>
  </r>
  <r>
    <x v="0"/>
    <x v="37"/>
    <x v="5"/>
    <x v="9"/>
    <s v="LT_Panevezys"/>
    <x v="0"/>
    <n v="42.692399999999999"/>
    <n v="11.859"/>
  </r>
  <r>
    <x v="0"/>
    <x v="37"/>
    <x v="5"/>
    <x v="9"/>
    <s v="LT_Rural"/>
    <x v="0"/>
    <n v="42.692399999999999"/>
    <n v="11.859"/>
  </r>
  <r>
    <x v="0"/>
    <x v="37"/>
    <x v="5"/>
    <x v="9"/>
    <s v="LT_SiaU"/>
    <x v="0"/>
    <n v="42.692399999999999"/>
    <n v="11.859"/>
  </r>
  <r>
    <x v="0"/>
    <x v="37"/>
    <x v="5"/>
    <x v="9"/>
    <s v="LT_VilU"/>
    <x v="0"/>
    <n v="42.692399999999999"/>
    <n v="11.859"/>
  </r>
  <r>
    <x v="0"/>
    <x v="37"/>
    <x v="6"/>
    <x v="10"/>
    <s v="NL_A"/>
    <x v="0"/>
    <n v="42.692399999999999"/>
    <n v="11.859"/>
  </r>
  <r>
    <x v="0"/>
    <x v="37"/>
    <x v="6"/>
    <x v="10"/>
    <s v="NL_OFFSHORE"/>
    <x v="0"/>
    <n v="42.692399999999999"/>
    <n v="11.859"/>
  </r>
  <r>
    <x v="0"/>
    <x v="37"/>
    <x v="7"/>
    <x v="11"/>
    <s v="NO1_A1"/>
    <x v="0"/>
    <n v="42.692399999999999"/>
    <n v="11.859"/>
  </r>
  <r>
    <x v="0"/>
    <x v="37"/>
    <x v="7"/>
    <x v="11"/>
    <s v="NO1_A2"/>
    <x v="0"/>
    <n v="42.692399999999999"/>
    <n v="11.859"/>
  </r>
  <r>
    <x v="0"/>
    <x v="37"/>
    <x v="7"/>
    <x v="11"/>
    <s v="NO1_A3"/>
    <x v="0"/>
    <n v="42.692399999999999"/>
    <n v="11.859"/>
  </r>
  <r>
    <x v="0"/>
    <x v="37"/>
    <x v="7"/>
    <x v="11"/>
    <s v="NO1_Offshore"/>
    <x v="0"/>
    <n v="42.692399999999999"/>
    <n v="11.859"/>
  </r>
  <r>
    <x v="0"/>
    <x v="37"/>
    <x v="7"/>
    <x v="12"/>
    <s v="NO2_A1"/>
    <x v="0"/>
    <n v="42.692399999999999"/>
    <n v="11.859"/>
  </r>
  <r>
    <x v="0"/>
    <x v="37"/>
    <x v="7"/>
    <x v="12"/>
    <s v="NO2_A2"/>
    <x v="0"/>
    <n v="42.692399999999999"/>
    <n v="11.859"/>
  </r>
  <r>
    <x v="0"/>
    <x v="37"/>
    <x v="7"/>
    <x v="12"/>
    <s v="NO2_Offshore"/>
    <x v="0"/>
    <n v="42.692399999999999"/>
    <n v="11.859"/>
  </r>
  <r>
    <x v="0"/>
    <x v="37"/>
    <x v="7"/>
    <x v="13"/>
    <s v="NO3_A1"/>
    <x v="0"/>
    <n v="42.692399999999999"/>
    <n v="11.859"/>
  </r>
  <r>
    <x v="0"/>
    <x v="37"/>
    <x v="7"/>
    <x v="13"/>
    <s v="NO3_A2"/>
    <x v="0"/>
    <n v="42.692399999999999"/>
    <n v="11.859"/>
  </r>
  <r>
    <x v="0"/>
    <x v="37"/>
    <x v="7"/>
    <x v="13"/>
    <s v="NO3_A3"/>
    <x v="0"/>
    <n v="42.692399999999999"/>
    <n v="11.859"/>
  </r>
  <r>
    <x v="0"/>
    <x v="37"/>
    <x v="7"/>
    <x v="13"/>
    <s v="NO3_Offshore"/>
    <x v="0"/>
    <n v="42.692399999999999"/>
    <n v="11.859"/>
  </r>
  <r>
    <x v="0"/>
    <x v="37"/>
    <x v="7"/>
    <x v="14"/>
    <s v="NO4_A1"/>
    <x v="0"/>
    <n v="42.692399999999999"/>
    <n v="11.859"/>
  </r>
  <r>
    <x v="0"/>
    <x v="37"/>
    <x v="7"/>
    <x v="14"/>
    <s v="NO4_A2"/>
    <x v="0"/>
    <n v="42.692399999999999"/>
    <n v="11.859"/>
  </r>
  <r>
    <x v="0"/>
    <x v="37"/>
    <x v="7"/>
    <x v="14"/>
    <s v="NO4_Offshore"/>
    <x v="0"/>
    <n v="42.692399999999999"/>
    <n v="11.859"/>
  </r>
  <r>
    <x v="0"/>
    <x v="37"/>
    <x v="7"/>
    <x v="15"/>
    <s v="NO5_A1"/>
    <x v="0"/>
    <n v="42.692399999999999"/>
    <n v="11.859"/>
  </r>
  <r>
    <x v="0"/>
    <x v="37"/>
    <x v="7"/>
    <x v="15"/>
    <s v="NO5_A2"/>
    <x v="0"/>
    <n v="42.692399999999999"/>
    <n v="11.859"/>
  </r>
  <r>
    <x v="0"/>
    <x v="37"/>
    <x v="7"/>
    <x v="15"/>
    <s v="NO5_Offshore"/>
    <x v="0"/>
    <n v="42.692399999999999"/>
    <n v="11.859"/>
  </r>
  <r>
    <x v="0"/>
    <x v="37"/>
    <x v="8"/>
    <x v="16"/>
    <s v="PL_A"/>
    <x v="0"/>
    <n v="42.692399999999999"/>
    <n v="11.859"/>
  </r>
  <r>
    <x v="0"/>
    <x v="37"/>
    <x v="8"/>
    <x v="16"/>
    <s v="PL_OFFSHORE"/>
    <x v="0"/>
    <n v="42.692399999999999"/>
    <n v="11.859"/>
  </r>
  <r>
    <x v="0"/>
    <x v="37"/>
    <x v="8"/>
    <x v="16"/>
    <s v="PL_Rural"/>
    <x v="0"/>
    <n v="42.692399999999999"/>
    <n v="11.859"/>
  </r>
  <r>
    <x v="0"/>
    <x v="37"/>
    <x v="9"/>
    <x v="17"/>
    <s v="SE1A"/>
    <x v="0"/>
    <n v="42.692399999999999"/>
    <n v="11.859"/>
  </r>
  <r>
    <x v="0"/>
    <x v="37"/>
    <x v="9"/>
    <x v="17"/>
    <s v="SE1_IND"/>
    <x v="0"/>
    <n v="42.692399999999999"/>
    <n v="11.859"/>
  </r>
  <r>
    <x v="0"/>
    <x v="37"/>
    <x v="9"/>
    <x v="17"/>
    <s v="SE1_Offshore"/>
    <x v="0"/>
    <n v="42.692399999999999"/>
    <n v="11.859"/>
  </r>
  <r>
    <x v="0"/>
    <x v="37"/>
    <x v="9"/>
    <x v="17"/>
    <s v="SE1_medium"/>
    <x v="0"/>
    <n v="42.692399999999999"/>
    <n v="11.859"/>
  </r>
  <r>
    <x v="0"/>
    <x v="37"/>
    <x v="9"/>
    <x v="17"/>
    <s v="SE1_small"/>
    <x v="0"/>
    <n v="42.692399999999999"/>
    <n v="11.859"/>
  </r>
  <r>
    <x v="0"/>
    <x v="37"/>
    <x v="9"/>
    <x v="18"/>
    <s v="SE2A"/>
    <x v="0"/>
    <n v="42.692399999999999"/>
    <n v="11.859"/>
  </r>
  <r>
    <x v="0"/>
    <x v="37"/>
    <x v="9"/>
    <x v="18"/>
    <s v="SE2_IND"/>
    <x v="0"/>
    <n v="42.692399999999999"/>
    <n v="11.859"/>
  </r>
  <r>
    <x v="0"/>
    <x v="37"/>
    <x v="9"/>
    <x v="18"/>
    <s v="SE2_Offshore"/>
    <x v="0"/>
    <n v="42.692399999999999"/>
    <n v="11.859"/>
  </r>
  <r>
    <x v="0"/>
    <x v="37"/>
    <x v="9"/>
    <x v="18"/>
    <s v="SE2_medium"/>
    <x v="0"/>
    <n v="42.692399999999999"/>
    <n v="11.859"/>
  </r>
  <r>
    <x v="0"/>
    <x v="37"/>
    <x v="9"/>
    <x v="18"/>
    <s v="SE2_small"/>
    <x v="0"/>
    <n v="42.692399999999999"/>
    <n v="11.859"/>
  </r>
  <r>
    <x v="0"/>
    <x v="37"/>
    <x v="9"/>
    <x v="19"/>
    <s v="SE3A"/>
    <x v="0"/>
    <n v="42.692399999999999"/>
    <n v="11.859"/>
  </r>
  <r>
    <x v="0"/>
    <x v="37"/>
    <x v="9"/>
    <x v="19"/>
    <s v="SE3_IND"/>
    <x v="0"/>
    <n v="42.692399999999999"/>
    <n v="11.859"/>
  </r>
  <r>
    <x v="0"/>
    <x v="37"/>
    <x v="9"/>
    <x v="19"/>
    <s v="SE3_Offshore"/>
    <x v="0"/>
    <n v="42.692399999999999"/>
    <n v="11.859"/>
  </r>
  <r>
    <x v="0"/>
    <x v="37"/>
    <x v="9"/>
    <x v="19"/>
    <s v="SE3_large"/>
    <x v="0"/>
    <n v="42.692399999999999"/>
    <n v="11.859"/>
  </r>
  <r>
    <x v="0"/>
    <x v="37"/>
    <x v="9"/>
    <x v="19"/>
    <s v="SE3_medium"/>
    <x v="0"/>
    <n v="42.692399999999999"/>
    <n v="11.859"/>
  </r>
  <r>
    <x v="0"/>
    <x v="37"/>
    <x v="9"/>
    <x v="19"/>
    <s v="SE3_small"/>
    <x v="0"/>
    <n v="42.692399999999999"/>
    <n v="11.859"/>
  </r>
  <r>
    <x v="0"/>
    <x v="37"/>
    <x v="9"/>
    <x v="20"/>
    <s v="SE4A"/>
    <x v="0"/>
    <n v="42.692399999999999"/>
    <n v="11.859"/>
  </r>
  <r>
    <x v="0"/>
    <x v="37"/>
    <x v="9"/>
    <x v="20"/>
    <s v="SE4_IND"/>
    <x v="0"/>
    <n v="42.692399999999999"/>
    <n v="11.859"/>
  </r>
  <r>
    <x v="0"/>
    <x v="37"/>
    <x v="9"/>
    <x v="20"/>
    <s v="SE4_Offshore"/>
    <x v="0"/>
    <n v="42.692399999999999"/>
    <n v="11.859"/>
  </r>
  <r>
    <x v="0"/>
    <x v="37"/>
    <x v="9"/>
    <x v="20"/>
    <s v="SE4_large"/>
    <x v="0"/>
    <n v="42.692399999999999"/>
    <n v="11.859"/>
  </r>
  <r>
    <x v="0"/>
    <x v="37"/>
    <x v="9"/>
    <x v="20"/>
    <s v="SE4_medium"/>
    <x v="0"/>
    <n v="42.692399999999999"/>
    <n v="11.859"/>
  </r>
  <r>
    <x v="0"/>
    <x v="37"/>
    <x v="9"/>
    <x v="20"/>
    <s v="SE4_small"/>
    <x v="0"/>
    <n v="42.692399999999999"/>
    <n v="11.859"/>
  </r>
  <r>
    <x v="0"/>
    <x v="37"/>
    <x v="10"/>
    <x v="21"/>
    <s v="UK_A"/>
    <x v="0"/>
    <n v="42.692399999999999"/>
    <n v="11.859"/>
  </r>
  <r>
    <x v="0"/>
    <x v="37"/>
    <x v="10"/>
    <x v="21"/>
    <s v="UK_Offshore"/>
    <x v="0"/>
    <n v="42.692399999999999"/>
    <n v="11.859"/>
  </r>
  <r>
    <x v="0"/>
    <x v="38"/>
    <x v="0"/>
    <x v="0"/>
    <s v="DK1_Large"/>
    <x v="1"/>
    <n v="35.989199999999997"/>
    <n v="9.9969999999999999"/>
  </r>
  <r>
    <x v="0"/>
    <x v="38"/>
    <x v="0"/>
    <x v="0"/>
    <s v="DK1_Large"/>
    <x v="2"/>
    <n v="43.2"/>
    <n v="12"/>
  </r>
  <r>
    <x v="0"/>
    <x v="38"/>
    <x v="0"/>
    <x v="0"/>
    <s v="DK1_Large"/>
    <x v="0"/>
    <n v="42.692399999999999"/>
    <n v="11.859"/>
  </r>
  <r>
    <x v="0"/>
    <x v="38"/>
    <x v="0"/>
    <x v="0"/>
    <s v="DK1_Large"/>
    <x v="3"/>
    <n v="51.633543144067197"/>
    <n v="14.342650873352"/>
  </r>
  <r>
    <x v="0"/>
    <x v="38"/>
    <x v="0"/>
    <x v="0"/>
    <s v="DK1_Large"/>
    <x v="4"/>
    <n v="6.3500778790389401"/>
    <n v="1.76391052195526"/>
  </r>
  <r>
    <x v="0"/>
    <x v="38"/>
    <x v="0"/>
    <x v="0"/>
    <s v="DK1_Large"/>
    <x v="5"/>
    <n v="6.3500778790389401"/>
    <n v="1.76391052195526"/>
  </r>
  <r>
    <x v="0"/>
    <x v="38"/>
    <x v="0"/>
    <x v="0"/>
    <s v="DK1_Large"/>
    <x v="6"/>
    <n v="29.476231795214598"/>
    <n v="8.1878421653373898"/>
  </r>
  <r>
    <x v="0"/>
    <x v="38"/>
    <x v="0"/>
    <x v="0"/>
    <s v="DK1_Large"/>
    <x v="7"/>
    <n v="57.838935220261199"/>
    <n v="16.066370894517"/>
  </r>
  <r>
    <x v="0"/>
    <x v="38"/>
    <x v="0"/>
    <x v="0"/>
    <s v="DK1_Large"/>
    <x v="8"/>
    <n v="57.838935220261199"/>
    <n v="16.066370894517"/>
  </r>
  <r>
    <x v="0"/>
    <x v="38"/>
    <x v="0"/>
    <x v="0"/>
    <s v="DK1_Large"/>
    <x v="9"/>
    <n v="44.4505451532725"/>
    <n v="12.3473736536868"/>
  </r>
  <r>
    <x v="0"/>
    <x v="38"/>
    <x v="0"/>
    <x v="0"/>
    <s v="DK1_Large"/>
    <x v="10"/>
    <n v="53.975661971830903"/>
    <n v="14.993239436619699"/>
  </r>
  <r>
    <x v="0"/>
    <x v="38"/>
    <x v="0"/>
    <x v="0"/>
    <s v="DK1_Large"/>
    <x v="11"/>
    <n v="3.8806031483015802"/>
    <n v="1.07794531897266"/>
  </r>
  <r>
    <x v="0"/>
    <x v="38"/>
    <x v="0"/>
    <x v="0"/>
    <s v="DK1_Large"/>
    <x v="12"/>
    <n v="9.7995028997514597E-2"/>
    <n v="2.72208413881985E-2"/>
  </r>
  <r>
    <x v="0"/>
    <x v="38"/>
    <x v="0"/>
    <x v="0"/>
    <s v="DK1_Large"/>
    <x v="13"/>
    <n v="29.633696768848399"/>
    <n v="8.2315824357912195"/>
  </r>
  <r>
    <x v="0"/>
    <x v="38"/>
    <x v="0"/>
    <x v="0"/>
    <s v="DK1_Large"/>
    <x v="14"/>
    <n v="29.633696768848399"/>
    <n v="8.2315824357912195"/>
  </r>
  <r>
    <x v="0"/>
    <x v="38"/>
    <x v="0"/>
    <x v="0"/>
    <s v="DK1_Large"/>
    <x v="15"/>
    <n v="1.65807589063794"/>
    <n v="0.46057663628831802"/>
  </r>
  <r>
    <x v="0"/>
    <x v="38"/>
    <x v="0"/>
    <x v="0"/>
    <s v="DK1_Large"/>
    <x v="16"/>
    <n v="6.3819281410478998"/>
    <n v="1.77275781695775"/>
  </r>
  <r>
    <x v="0"/>
    <x v="38"/>
    <x v="0"/>
    <x v="0"/>
    <s v="DK1_Large"/>
    <x v="17"/>
    <n v="9.1244895875632395"/>
    <n v="2.5345804409897901"/>
  </r>
  <r>
    <x v="0"/>
    <x v="38"/>
    <x v="0"/>
    <x v="0"/>
    <s v="DK1_Large"/>
    <x v="18"/>
    <n v="29.633696768848399"/>
    <n v="8.2315824357912195"/>
  </r>
  <r>
    <x v="0"/>
    <x v="38"/>
    <x v="0"/>
    <x v="0"/>
    <s v="DK1_Large"/>
    <x v="19"/>
    <n v="8.1139884009941898"/>
    <n v="2.2538856669428302"/>
  </r>
  <r>
    <x v="0"/>
    <x v="38"/>
    <x v="0"/>
    <x v="0"/>
    <s v="DK1_Large"/>
    <x v="20"/>
    <n v="22.109183021311601"/>
    <n v="6.1414397281420996"/>
  </r>
  <r>
    <x v="0"/>
    <x v="38"/>
    <x v="0"/>
    <x v="0"/>
    <s v="DK1_Large"/>
    <x v="21"/>
    <n v="47.52"/>
    <n v="13.2"/>
  </r>
  <r>
    <x v="0"/>
    <x v="38"/>
    <x v="0"/>
    <x v="0"/>
    <s v="DK1_Large"/>
    <x v="22"/>
    <n v="61.56"/>
    <n v="17.100000000000001"/>
  </r>
  <r>
    <x v="0"/>
    <x v="38"/>
    <x v="0"/>
    <x v="0"/>
    <s v="DK1_Large"/>
    <x v="23"/>
    <n v="0.31515896120488701"/>
    <n v="8.7544155890246306E-2"/>
  </r>
  <r>
    <x v="0"/>
    <x v="38"/>
    <x v="0"/>
    <x v="0"/>
    <s v="DK1_Large"/>
    <x v="24"/>
    <n v="19.174223581093901"/>
    <n v="5.32617321697054"/>
  </r>
  <r>
    <x v="0"/>
    <x v="38"/>
    <x v="0"/>
    <x v="0"/>
    <s v="DK1_Large"/>
    <x v="25"/>
    <n v="26.209507293842599"/>
    <n v="7.2804186927340497"/>
  </r>
  <r>
    <x v="0"/>
    <x v="38"/>
    <x v="0"/>
    <x v="0"/>
    <s v="DK1_Large"/>
    <x v="26"/>
    <n v="33.320887798496699"/>
    <n v="9.2558021662490795"/>
  </r>
  <r>
    <x v="0"/>
    <x v="38"/>
    <x v="0"/>
    <x v="0"/>
    <s v="DK1_Large"/>
    <x v="27"/>
    <n v="20.163995508318798"/>
    <n v="5.6011098634218799"/>
  </r>
  <r>
    <x v="0"/>
    <x v="38"/>
    <x v="0"/>
    <x v="0"/>
    <s v="DK1_Large_PHH"/>
    <x v="1"/>
    <n v="35.989199999999997"/>
    <n v="9.9969999999999999"/>
  </r>
  <r>
    <x v="0"/>
    <x v="38"/>
    <x v="0"/>
    <x v="0"/>
    <s v="DK1_Large_PHH"/>
    <x v="2"/>
    <n v="43.2"/>
    <n v="12"/>
  </r>
  <r>
    <x v="0"/>
    <x v="38"/>
    <x v="0"/>
    <x v="0"/>
    <s v="DK1_Large_PHH"/>
    <x v="0"/>
    <n v="42.692399999999999"/>
    <n v="11.859"/>
  </r>
  <r>
    <x v="0"/>
    <x v="38"/>
    <x v="0"/>
    <x v="0"/>
    <s v="DK1_Large_PHH"/>
    <x v="3"/>
    <n v="51.633543144067197"/>
    <n v="14.342650873352"/>
  </r>
  <r>
    <x v="0"/>
    <x v="38"/>
    <x v="0"/>
    <x v="0"/>
    <s v="DK1_Large_PHH"/>
    <x v="4"/>
    <n v="6.3500778790389401"/>
    <n v="1.76391052195526"/>
  </r>
  <r>
    <x v="0"/>
    <x v="38"/>
    <x v="0"/>
    <x v="0"/>
    <s v="DK1_Large_PHH"/>
    <x v="5"/>
    <n v="6.3500778790389401"/>
    <n v="1.76391052195526"/>
  </r>
  <r>
    <x v="0"/>
    <x v="38"/>
    <x v="0"/>
    <x v="0"/>
    <s v="DK1_Large_PHH"/>
    <x v="6"/>
    <n v="29.476231795214598"/>
    <n v="8.1878421653373898"/>
  </r>
  <r>
    <x v="0"/>
    <x v="38"/>
    <x v="0"/>
    <x v="0"/>
    <s v="DK1_Large_PHH"/>
    <x v="7"/>
    <n v="57.838935220261199"/>
    <n v="16.066370894517"/>
  </r>
  <r>
    <x v="0"/>
    <x v="38"/>
    <x v="0"/>
    <x v="0"/>
    <s v="DK1_Large_PHH"/>
    <x v="8"/>
    <n v="57.838935220261199"/>
    <n v="16.066370894517"/>
  </r>
  <r>
    <x v="0"/>
    <x v="38"/>
    <x v="0"/>
    <x v="0"/>
    <s v="DK1_Large_PHH"/>
    <x v="9"/>
    <n v="44.4505451532725"/>
    <n v="12.3473736536868"/>
  </r>
  <r>
    <x v="0"/>
    <x v="38"/>
    <x v="0"/>
    <x v="0"/>
    <s v="DK1_Large_PHH"/>
    <x v="10"/>
    <n v="53.975661971830903"/>
    <n v="14.993239436619699"/>
  </r>
  <r>
    <x v="0"/>
    <x v="38"/>
    <x v="0"/>
    <x v="0"/>
    <s v="DK1_Large_PHH"/>
    <x v="11"/>
    <n v="3.8806031483015802"/>
    <n v="1.07794531897266"/>
  </r>
  <r>
    <x v="0"/>
    <x v="38"/>
    <x v="0"/>
    <x v="0"/>
    <s v="DK1_Large_PHH"/>
    <x v="12"/>
    <n v="9.7995028997514597E-2"/>
    <n v="2.72208413881985E-2"/>
  </r>
  <r>
    <x v="0"/>
    <x v="38"/>
    <x v="0"/>
    <x v="0"/>
    <s v="DK1_Large_PHH"/>
    <x v="13"/>
    <n v="29.633696768848399"/>
    <n v="8.2315824357912195"/>
  </r>
  <r>
    <x v="0"/>
    <x v="38"/>
    <x v="0"/>
    <x v="0"/>
    <s v="DK1_Large_PHH"/>
    <x v="14"/>
    <n v="29.633696768848399"/>
    <n v="8.2315824357912195"/>
  </r>
  <r>
    <x v="0"/>
    <x v="38"/>
    <x v="0"/>
    <x v="0"/>
    <s v="DK1_Large_PHH"/>
    <x v="15"/>
    <n v="1.65807589063794"/>
    <n v="0.46057663628831802"/>
  </r>
  <r>
    <x v="0"/>
    <x v="38"/>
    <x v="0"/>
    <x v="0"/>
    <s v="DK1_Large_PHH"/>
    <x v="16"/>
    <n v="6.3819281410478998"/>
    <n v="1.77275781695775"/>
  </r>
  <r>
    <x v="0"/>
    <x v="38"/>
    <x v="0"/>
    <x v="0"/>
    <s v="DK1_Large_PHH"/>
    <x v="17"/>
    <n v="9.1244895875632395"/>
    <n v="2.5345804409897901"/>
  </r>
  <r>
    <x v="0"/>
    <x v="38"/>
    <x v="0"/>
    <x v="0"/>
    <s v="DK1_Large_PHH"/>
    <x v="18"/>
    <n v="29.633696768848399"/>
    <n v="8.2315824357912195"/>
  </r>
  <r>
    <x v="0"/>
    <x v="38"/>
    <x v="0"/>
    <x v="0"/>
    <s v="DK1_Large_PHH"/>
    <x v="19"/>
    <n v="8.1139884009941898"/>
    <n v="2.2538856669428302"/>
  </r>
  <r>
    <x v="0"/>
    <x v="38"/>
    <x v="0"/>
    <x v="0"/>
    <s v="DK1_Large_PHH"/>
    <x v="20"/>
    <n v="22.109183021311601"/>
    <n v="6.1414397281420996"/>
  </r>
  <r>
    <x v="0"/>
    <x v="38"/>
    <x v="0"/>
    <x v="0"/>
    <s v="DK1_Large_PHH"/>
    <x v="21"/>
    <n v="47.52"/>
    <n v="13.2"/>
  </r>
  <r>
    <x v="0"/>
    <x v="38"/>
    <x v="0"/>
    <x v="0"/>
    <s v="DK1_Large_PHH"/>
    <x v="22"/>
    <n v="61.56"/>
    <n v="17.100000000000001"/>
  </r>
  <r>
    <x v="0"/>
    <x v="38"/>
    <x v="0"/>
    <x v="0"/>
    <s v="DK1_Large_PHH"/>
    <x v="23"/>
    <n v="0.31515896120488701"/>
    <n v="8.7544155890246306E-2"/>
  </r>
  <r>
    <x v="0"/>
    <x v="38"/>
    <x v="0"/>
    <x v="0"/>
    <s v="DK1_Large_PHH"/>
    <x v="24"/>
    <n v="19.174223581093901"/>
    <n v="5.32617321697054"/>
  </r>
  <r>
    <x v="0"/>
    <x v="38"/>
    <x v="0"/>
    <x v="0"/>
    <s v="DK1_Large_PHH"/>
    <x v="25"/>
    <n v="26.209507293842599"/>
    <n v="7.2804186927340497"/>
  </r>
  <r>
    <x v="0"/>
    <x v="38"/>
    <x v="0"/>
    <x v="0"/>
    <s v="DK1_Large_PHH"/>
    <x v="26"/>
    <n v="33.320887798496699"/>
    <n v="9.2558021662490795"/>
  </r>
  <r>
    <x v="0"/>
    <x v="38"/>
    <x v="0"/>
    <x v="0"/>
    <s v="DK1_Large_PHH"/>
    <x v="27"/>
    <n v="20.163995508318798"/>
    <n v="5.6011098634218799"/>
  </r>
  <r>
    <x v="0"/>
    <x v="38"/>
    <x v="0"/>
    <x v="0"/>
    <s v="DK1_Large_PHL"/>
    <x v="1"/>
    <n v="35.989199999999997"/>
    <n v="9.9969999999999999"/>
  </r>
  <r>
    <x v="0"/>
    <x v="38"/>
    <x v="0"/>
    <x v="0"/>
    <s v="DK1_Large_PHL"/>
    <x v="2"/>
    <n v="43.2"/>
    <n v="12"/>
  </r>
  <r>
    <x v="0"/>
    <x v="38"/>
    <x v="0"/>
    <x v="0"/>
    <s v="DK1_Large_PHL"/>
    <x v="0"/>
    <n v="42.692399999999999"/>
    <n v="11.859"/>
  </r>
  <r>
    <x v="0"/>
    <x v="38"/>
    <x v="0"/>
    <x v="0"/>
    <s v="DK1_Large_PHL"/>
    <x v="3"/>
    <n v="51.633543144067197"/>
    <n v="14.342650873352"/>
  </r>
  <r>
    <x v="0"/>
    <x v="38"/>
    <x v="0"/>
    <x v="0"/>
    <s v="DK1_Large_PHL"/>
    <x v="4"/>
    <n v="6.3500778790389401"/>
    <n v="1.76391052195526"/>
  </r>
  <r>
    <x v="0"/>
    <x v="38"/>
    <x v="0"/>
    <x v="0"/>
    <s v="DK1_Large_PHL"/>
    <x v="5"/>
    <n v="6.3500778790389401"/>
    <n v="1.76391052195526"/>
  </r>
  <r>
    <x v="0"/>
    <x v="38"/>
    <x v="0"/>
    <x v="0"/>
    <s v="DK1_Large_PHL"/>
    <x v="6"/>
    <n v="29.476231795214598"/>
    <n v="8.1878421653373898"/>
  </r>
  <r>
    <x v="0"/>
    <x v="38"/>
    <x v="0"/>
    <x v="0"/>
    <s v="DK1_Large_PHL"/>
    <x v="7"/>
    <n v="57.838935220261199"/>
    <n v="16.066370894517"/>
  </r>
  <r>
    <x v="0"/>
    <x v="38"/>
    <x v="0"/>
    <x v="0"/>
    <s v="DK1_Large_PHL"/>
    <x v="8"/>
    <n v="57.838935220261199"/>
    <n v="16.066370894517"/>
  </r>
  <r>
    <x v="0"/>
    <x v="38"/>
    <x v="0"/>
    <x v="0"/>
    <s v="DK1_Large_PHL"/>
    <x v="9"/>
    <n v="44.4505451532725"/>
    <n v="12.3473736536868"/>
  </r>
  <r>
    <x v="0"/>
    <x v="38"/>
    <x v="0"/>
    <x v="0"/>
    <s v="DK1_Large_PHL"/>
    <x v="10"/>
    <n v="53.975661971830903"/>
    <n v="14.993239436619699"/>
  </r>
  <r>
    <x v="0"/>
    <x v="38"/>
    <x v="0"/>
    <x v="0"/>
    <s v="DK1_Large_PHL"/>
    <x v="11"/>
    <n v="3.8806031483015802"/>
    <n v="1.07794531897266"/>
  </r>
  <r>
    <x v="0"/>
    <x v="38"/>
    <x v="0"/>
    <x v="0"/>
    <s v="DK1_Large_PHL"/>
    <x v="12"/>
    <n v="9.7995028997514597E-2"/>
    <n v="2.72208413881985E-2"/>
  </r>
  <r>
    <x v="0"/>
    <x v="38"/>
    <x v="0"/>
    <x v="0"/>
    <s v="DK1_Large_PHL"/>
    <x v="13"/>
    <n v="29.633696768848399"/>
    <n v="8.2315824357912195"/>
  </r>
  <r>
    <x v="0"/>
    <x v="38"/>
    <x v="0"/>
    <x v="0"/>
    <s v="DK1_Large_PHL"/>
    <x v="14"/>
    <n v="29.633696768848399"/>
    <n v="8.2315824357912195"/>
  </r>
  <r>
    <x v="0"/>
    <x v="38"/>
    <x v="0"/>
    <x v="0"/>
    <s v="DK1_Large_PHL"/>
    <x v="15"/>
    <n v="1.65807589063794"/>
    <n v="0.46057663628831802"/>
  </r>
  <r>
    <x v="0"/>
    <x v="38"/>
    <x v="0"/>
    <x v="0"/>
    <s v="DK1_Large_PHL"/>
    <x v="16"/>
    <n v="6.3819281410478998"/>
    <n v="1.77275781695775"/>
  </r>
  <r>
    <x v="0"/>
    <x v="38"/>
    <x v="0"/>
    <x v="0"/>
    <s v="DK1_Large_PHL"/>
    <x v="17"/>
    <n v="9.1244895875632395"/>
    <n v="2.5345804409897901"/>
  </r>
  <r>
    <x v="0"/>
    <x v="38"/>
    <x v="0"/>
    <x v="0"/>
    <s v="DK1_Large_PHL"/>
    <x v="18"/>
    <n v="29.633696768848399"/>
    <n v="8.2315824357912195"/>
  </r>
  <r>
    <x v="0"/>
    <x v="38"/>
    <x v="0"/>
    <x v="0"/>
    <s v="DK1_Large_PHL"/>
    <x v="19"/>
    <n v="8.1139884009941898"/>
    <n v="2.2538856669428302"/>
  </r>
  <r>
    <x v="0"/>
    <x v="38"/>
    <x v="0"/>
    <x v="0"/>
    <s v="DK1_Large_PHL"/>
    <x v="20"/>
    <n v="22.109183021311601"/>
    <n v="6.1414397281420996"/>
  </r>
  <r>
    <x v="0"/>
    <x v="38"/>
    <x v="0"/>
    <x v="0"/>
    <s v="DK1_Large_PHL"/>
    <x v="21"/>
    <n v="47.52"/>
    <n v="13.2"/>
  </r>
  <r>
    <x v="0"/>
    <x v="38"/>
    <x v="0"/>
    <x v="0"/>
    <s v="DK1_Large_PHL"/>
    <x v="22"/>
    <n v="61.56"/>
    <n v="17.100000000000001"/>
  </r>
  <r>
    <x v="0"/>
    <x v="38"/>
    <x v="0"/>
    <x v="0"/>
    <s v="DK1_Large_PHL"/>
    <x v="23"/>
    <n v="0.31515896120488701"/>
    <n v="8.7544155890246306E-2"/>
  </r>
  <r>
    <x v="0"/>
    <x v="38"/>
    <x v="0"/>
    <x v="0"/>
    <s v="DK1_Large_PHL"/>
    <x v="24"/>
    <n v="19.174223581093901"/>
    <n v="5.32617321697054"/>
  </r>
  <r>
    <x v="0"/>
    <x v="38"/>
    <x v="0"/>
    <x v="0"/>
    <s v="DK1_Large_PHL"/>
    <x v="25"/>
    <n v="26.209507293842599"/>
    <n v="7.2804186927340497"/>
  </r>
  <r>
    <x v="0"/>
    <x v="38"/>
    <x v="0"/>
    <x v="0"/>
    <s v="DK1_Large_PHL"/>
    <x v="26"/>
    <n v="33.320887798496699"/>
    <n v="9.2558021662490795"/>
  </r>
  <r>
    <x v="0"/>
    <x v="38"/>
    <x v="0"/>
    <x v="0"/>
    <s v="DK1_Large_PHL"/>
    <x v="27"/>
    <n v="20.163995508318798"/>
    <n v="5.6011098634218799"/>
  </r>
  <r>
    <x v="0"/>
    <x v="38"/>
    <x v="0"/>
    <x v="0"/>
    <s v="DK1_MedSmall"/>
    <x v="1"/>
    <n v="35.989199999999997"/>
    <n v="9.9969999999999999"/>
  </r>
  <r>
    <x v="0"/>
    <x v="38"/>
    <x v="0"/>
    <x v="0"/>
    <s v="DK1_MedSmall"/>
    <x v="2"/>
    <n v="43.2"/>
    <n v="12"/>
  </r>
  <r>
    <x v="0"/>
    <x v="38"/>
    <x v="0"/>
    <x v="0"/>
    <s v="DK1_MedSmall"/>
    <x v="0"/>
    <n v="42.692399999999999"/>
    <n v="11.859"/>
  </r>
  <r>
    <x v="0"/>
    <x v="38"/>
    <x v="0"/>
    <x v="0"/>
    <s v="DK1_MedSmall"/>
    <x v="3"/>
    <n v="51.633543144067197"/>
    <n v="14.342650873352"/>
  </r>
  <r>
    <x v="0"/>
    <x v="38"/>
    <x v="0"/>
    <x v="0"/>
    <s v="DK1_MedSmall"/>
    <x v="4"/>
    <n v="6.3500778790389401"/>
    <n v="1.76391052195526"/>
  </r>
  <r>
    <x v="0"/>
    <x v="38"/>
    <x v="0"/>
    <x v="0"/>
    <s v="DK1_MedSmall"/>
    <x v="5"/>
    <n v="6.3500778790389401"/>
    <n v="1.76391052195526"/>
  </r>
  <r>
    <x v="0"/>
    <x v="38"/>
    <x v="0"/>
    <x v="0"/>
    <s v="DK1_MedSmall"/>
    <x v="6"/>
    <n v="29.476231795214598"/>
    <n v="8.1878421653373898"/>
  </r>
  <r>
    <x v="0"/>
    <x v="38"/>
    <x v="0"/>
    <x v="0"/>
    <s v="DK1_MedSmall"/>
    <x v="7"/>
    <n v="57.838935220261199"/>
    <n v="16.066370894517"/>
  </r>
  <r>
    <x v="0"/>
    <x v="38"/>
    <x v="0"/>
    <x v="0"/>
    <s v="DK1_MedSmall"/>
    <x v="8"/>
    <n v="57.838935220261199"/>
    <n v="16.066370894517"/>
  </r>
  <r>
    <x v="0"/>
    <x v="38"/>
    <x v="0"/>
    <x v="0"/>
    <s v="DK1_MedSmall"/>
    <x v="9"/>
    <n v="44.4505451532725"/>
    <n v="12.3473736536868"/>
  </r>
  <r>
    <x v="0"/>
    <x v="38"/>
    <x v="0"/>
    <x v="0"/>
    <s v="DK1_MedSmall"/>
    <x v="10"/>
    <n v="53.975661971830903"/>
    <n v="14.993239436619699"/>
  </r>
  <r>
    <x v="0"/>
    <x v="38"/>
    <x v="0"/>
    <x v="0"/>
    <s v="DK1_MedSmall"/>
    <x v="11"/>
    <n v="3.8806031483015802"/>
    <n v="1.07794531897266"/>
  </r>
  <r>
    <x v="0"/>
    <x v="38"/>
    <x v="0"/>
    <x v="0"/>
    <s v="DK1_MedSmall"/>
    <x v="12"/>
    <n v="9.7995028997514597E-2"/>
    <n v="2.72208413881985E-2"/>
  </r>
  <r>
    <x v="0"/>
    <x v="38"/>
    <x v="0"/>
    <x v="0"/>
    <s v="DK1_MedSmall"/>
    <x v="13"/>
    <n v="29.633696768848399"/>
    <n v="8.2315824357912195"/>
  </r>
  <r>
    <x v="0"/>
    <x v="38"/>
    <x v="0"/>
    <x v="0"/>
    <s v="DK1_MedSmall"/>
    <x v="14"/>
    <n v="29.633696768848399"/>
    <n v="8.2315824357912195"/>
  </r>
  <r>
    <x v="0"/>
    <x v="38"/>
    <x v="0"/>
    <x v="0"/>
    <s v="DK1_MedSmall"/>
    <x v="15"/>
    <n v="1.65807589063794"/>
    <n v="0.46057663628831802"/>
  </r>
  <r>
    <x v="0"/>
    <x v="38"/>
    <x v="0"/>
    <x v="0"/>
    <s v="DK1_MedSmall"/>
    <x v="16"/>
    <n v="6.3819281410478998"/>
    <n v="1.77275781695775"/>
  </r>
  <r>
    <x v="0"/>
    <x v="38"/>
    <x v="0"/>
    <x v="0"/>
    <s v="DK1_MedSmall"/>
    <x v="17"/>
    <n v="9.1244895875632395"/>
    <n v="2.5345804409897901"/>
  </r>
  <r>
    <x v="0"/>
    <x v="38"/>
    <x v="0"/>
    <x v="0"/>
    <s v="DK1_MedSmall"/>
    <x v="18"/>
    <n v="29.633696768848399"/>
    <n v="8.2315824357912195"/>
  </r>
  <r>
    <x v="0"/>
    <x v="38"/>
    <x v="0"/>
    <x v="0"/>
    <s v="DK1_MedSmall"/>
    <x v="19"/>
    <n v="8.1139884009941898"/>
    <n v="2.2538856669428302"/>
  </r>
  <r>
    <x v="0"/>
    <x v="38"/>
    <x v="0"/>
    <x v="0"/>
    <s v="DK1_MedSmall"/>
    <x v="20"/>
    <n v="22.109183021311601"/>
    <n v="6.1414397281420996"/>
  </r>
  <r>
    <x v="0"/>
    <x v="38"/>
    <x v="0"/>
    <x v="0"/>
    <s v="DK1_MedSmall"/>
    <x v="21"/>
    <n v="47.52"/>
    <n v="13.2"/>
  </r>
  <r>
    <x v="0"/>
    <x v="38"/>
    <x v="0"/>
    <x v="0"/>
    <s v="DK1_MedSmall"/>
    <x v="22"/>
    <n v="61.56"/>
    <n v="17.100000000000001"/>
  </r>
  <r>
    <x v="0"/>
    <x v="38"/>
    <x v="0"/>
    <x v="0"/>
    <s v="DK1_MedSmall"/>
    <x v="23"/>
    <n v="0.31515896120488701"/>
    <n v="8.7544155890246306E-2"/>
  </r>
  <r>
    <x v="0"/>
    <x v="38"/>
    <x v="0"/>
    <x v="0"/>
    <s v="DK1_MedSmall"/>
    <x v="24"/>
    <n v="19.174223581093901"/>
    <n v="5.32617321697054"/>
  </r>
  <r>
    <x v="0"/>
    <x v="38"/>
    <x v="0"/>
    <x v="0"/>
    <s v="DK1_MedSmall"/>
    <x v="25"/>
    <n v="26.209507293842599"/>
    <n v="7.2804186927340497"/>
  </r>
  <r>
    <x v="0"/>
    <x v="38"/>
    <x v="0"/>
    <x v="0"/>
    <s v="DK1_MedSmall"/>
    <x v="26"/>
    <n v="33.320887798496699"/>
    <n v="9.2558021662490795"/>
  </r>
  <r>
    <x v="0"/>
    <x v="38"/>
    <x v="0"/>
    <x v="0"/>
    <s v="DK1_MedSmall"/>
    <x v="27"/>
    <n v="20.163995508318798"/>
    <n v="5.6011098634218799"/>
  </r>
  <r>
    <x v="0"/>
    <x v="38"/>
    <x v="0"/>
    <x v="0"/>
    <s v="DK1_Medium"/>
    <x v="1"/>
    <n v="35.989199999999997"/>
    <n v="9.9969999999999999"/>
  </r>
  <r>
    <x v="0"/>
    <x v="38"/>
    <x v="0"/>
    <x v="0"/>
    <s v="DK1_Medium"/>
    <x v="2"/>
    <n v="43.2"/>
    <n v="12"/>
  </r>
  <r>
    <x v="0"/>
    <x v="38"/>
    <x v="0"/>
    <x v="0"/>
    <s v="DK1_Medium"/>
    <x v="0"/>
    <n v="42.692399999999999"/>
    <n v="11.859"/>
  </r>
  <r>
    <x v="0"/>
    <x v="38"/>
    <x v="0"/>
    <x v="0"/>
    <s v="DK1_Medium"/>
    <x v="3"/>
    <n v="51.633543144067197"/>
    <n v="14.342650873352"/>
  </r>
  <r>
    <x v="0"/>
    <x v="38"/>
    <x v="0"/>
    <x v="0"/>
    <s v="DK1_Medium"/>
    <x v="4"/>
    <n v="6.3500778790389401"/>
    <n v="1.76391052195526"/>
  </r>
  <r>
    <x v="0"/>
    <x v="38"/>
    <x v="0"/>
    <x v="0"/>
    <s v="DK1_Medium"/>
    <x v="5"/>
    <n v="6.3500778790389401"/>
    <n v="1.76391052195526"/>
  </r>
  <r>
    <x v="0"/>
    <x v="38"/>
    <x v="0"/>
    <x v="0"/>
    <s v="DK1_Medium"/>
    <x v="6"/>
    <n v="29.476231795214598"/>
    <n v="8.1878421653373898"/>
  </r>
  <r>
    <x v="0"/>
    <x v="38"/>
    <x v="0"/>
    <x v="0"/>
    <s v="DK1_Medium"/>
    <x v="7"/>
    <n v="57.838935220261199"/>
    <n v="16.066370894517"/>
  </r>
  <r>
    <x v="0"/>
    <x v="38"/>
    <x v="0"/>
    <x v="0"/>
    <s v="DK1_Medium"/>
    <x v="8"/>
    <n v="57.838935220261199"/>
    <n v="16.066370894517"/>
  </r>
  <r>
    <x v="0"/>
    <x v="38"/>
    <x v="0"/>
    <x v="0"/>
    <s v="DK1_Medium"/>
    <x v="9"/>
    <n v="44.4505451532725"/>
    <n v="12.3473736536868"/>
  </r>
  <r>
    <x v="0"/>
    <x v="38"/>
    <x v="0"/>
    <x v="0"/>
    <s v="DK1_Medium"/>
    <x v="10"/>
    <n v="53.975661971830903"/>
    <n v="14.993239436619699"/>
  </r>
  <r>
    <x v="0"/>
    <x v="38"/>
    <x v="0"/>
    <x v="0"/>
    <s v="DK1_Medium"/>
    <x v="11"/>
    <n v="3.8806031483015802"/>
    <n v="1.07794531897266"/>
  </r>
  <r>
    <x v="0"/>
    <x v="38"/>
    <x v="0"/>
    <x v="0"/>
    <s v="DK1_Medium"/>
    <x v="12"/>
    <n v="9.7995028997514597E-2"/>
    <n v="2.72208413881985E-2"/>
  </r>
  <r>
    <x v="0"/>
    <x v="38"/>
    <x v="0"/>
    <x v="0"/>
    <s v="DK1_Medium"/>
    <x v="13"/>
    <n v="29.633696768848399"/>
    <n v="8.2315824357912195"/>
  </r>
  <r>
    <x v="0"/>
    <x v="38"/>
    <x v="0"/>
    <x v="0"/>
    <s v="DK1_Medium"/>
    <x v="14"/>
    <n v="29.633696768848399"/>
    <n v="8.2315824357912195"/>
  </r>
  <r>
    <x v="0"/>
    <x v="38"/>
    <x v="0"/>
    <x v="0"/>
    <s v="DK1_Medium"/>
    <x v="15"/>
    <n v="1.65807589063794"/>
    <n v="0.46057663628831802"/>
  </r>
  <r>
    <x v="0"/>
    <x v="38"/>
    <x v="0"/>
    <x v="0"/>
    <s v="DK1_Medium"/>
    <x v="16"/>
    <n v="6.3819281410478998"/>
    <n v="1.77275781695775"/>
  </r>
  <r>
    <x v="0"/>
    <x v="38"/>
    <x v="0"/>
    <x v="0"/>
    <s v="DK1_Medium"/>
    <x v="17"/>
    <n v="9.1244895875632395"/>
    <n v="2.5345804409897901"/>
  </r>
  <r>
    <x v="0"/>
    <x v="38"/>
    <x v="0"/>
    <x v="0"/>
    <s v="DK1_Medium"/>
    <x v="18"/>
    <n v="29.633696768848399"/>
    <n v="8.2315824357912195"/>
  </r>
  <r>
    <x v="0"/>
    <x v="38"/>
    <x v="0"/>
    <x v="0"/>
    <s v="DK1_Medium"/>
    <x v="19"/>
    <n v="8.1139884009941898"/>
    <n v="2.2538856669428302"/>
  </r>
  <r>
    <x v="0"/>
    <x v="38"/>
    <x v="0"/>
    <x v="0"/>
    <s v="DK1_Medium"/>
    <x v="20"/>
    <n v="22.109183021311601"/>
    <n v="6.1414397281420996"/>
  </r>
  <r>
    <x v="0"/>
    <x v="38"/>
    <x v="0"/>
    <x v="0"/>
    <s v="DK1_Medium"/>
    <x v="21"/>
    <n v="47.52"/>
    <n v="13.2"/>
  </r>
  <r>
    <x v="0"/>
    <x v="38"/>
    <x v="0"/>
    <x v="0"/>
    <s v="DK1_Medium"/>
    <x v="22"/>
    <n v="61.56"/>
    <n v="17.100000000000001"/>
  </r>
  <r>
    <x v="0"/>
    <x v="38"/>
    <x v="0"/>
    <x v="0"/>
    <s v="DK1_Medium"/>
    <x v="23"/>
    <n v="0.31515896120488701"/>
    <n v="8.7544155890246306E-2"/>
  </r>
  <r>
    <x v="0"/>
    <x v="38"/>
    <x v="0"/>
    <x v="0"/>
    <s v="DK1_Medium"/>
    <x v="24"/>
    <n v="19.174223581093901"/>
    <n v="5.32617321697054"/>
  </r>
  <r>
    <x v="0"/>
    <x v="38"/>
    <x v="0"/>
    <x v="0"/>
    <s v="DK1_Medium"/>
    <x v="25"/>
    <n v="26.209507293842599"/>
    <n v="7.2804186927340497"/>
  </r>
  <r>
    <x v="0"/>
    <x v="38"/>
    <x v="0"/>
    <x v="0"/>
    <s v="DK1_Medium"/>
    <x v="26"/>
    <n v="33.320887798496699"/>
    <n v="9.2558021662490795"/>
  </r>
  <r>
    <x v="0"/>
    <x v="38"/>
    <x v="0"/>
    <x v="0"/>
    <s v="DK1_Medium"/>
    <x v="27"/>
    <n v="20.163995508318798"/>
    <n v="5.6011098634218799"/>
  </r>
  <r>
    <x v="0"/>
    <x v="38"/>
    <x v="0"/>
    <x v="0"/>
    <s v="DK1_NoDH"/>
    <x v="1"/>
    <n v="35.989199999999997"/>
    <n v="9.9969999999999999"/>
  </r>
  <r>
    <x v="0"/>
    <x v="38"/>
    <x v="0"/>
    <x v="0"/>
    <s v="DK1_NoDH"/>
    <x v="2"/>
    <n v="43.2"/>
    <n v="12"/>
  </r>
  <r>
    <x v="0"/>
    <x v="38"/>
    <x v="0"/>
    <x v="0"/>
    <s v="DK1_NoDH"/>
    <x v="0"/>
    <n v="42.692399999999999"/>
    <n v="11.859"/>
  </r>
  <r>
    <x v="0"/>
    <x v="38"/>
    <x v="0"/>
    <x v="0"/>
    <s v="DK1_NoDH"/>
    <x v="3"/>
    <n v="51.633543144067197"/>
    <n v="14.342650873352"/>
  </r>
  <r>
    <x v="0"/>
    <x v="38"/>
    <x v="0"/>
    <x v="0"/>
    <s v="DK1_NoDH"/>
    <x v="4"/>
    <n v="6.3500778790389401"/>
    <n v="1.76391052195526"/>
  </r>
  <r>
    <x v="0"/>
    <x v="38"/>
    <x v="0"/>
    <x v="0"/>
    <s v="DK1_NoDH"/>
    <x v="5"/>
    <n v="6.3500778790389401"/>
    <n v="1.76391052195526"/>
  </r>
  <r>
    <x v="0"/>
    <x v="38"/>
    <x v="0"/>
    <x v="0"/>
    <s v="DK1_NoDH"/>
    <x v="6"/>
    <n v="29.476231795214598"/>
    <n v="8.1878421653373898"/>
  </r>
  <r>
    <x v="0"/>
    <x v="38"/>
    <x v="0"/>
    <x v="0"/>
    <s v="DK1_NoDH"/>
    <x v="7"/>
    <n v="57.838935220261199"/>
    <n v="16.066370894517"/>
  </r>
  <r>
    <x v="0"/>
    <x v="38"/>
    <x v="0"/>
    <x v="0"/>
    <s v="DK1_NoDH"/>
    <x v="8"/>
    <n v="57.838935220261199"/>
    <n v="16.066370894517"/>
  </r>
  <r>
    <x v="0"/>
    <x v="38"/>
    <x v="0"/>
    <x v="0"/>
    <s v="DK1_NoDH"/>
    <x v="9"/>
    <n v="44.4505451532725"/>
    <n v="12.3473736536868"/>
  </r>
  <r>
    <x v="0"/>
    <x v="38"/>
    <x v="0"/>
    <x v="0"/>
    <s v="DK1_NoDH"/>
    <x v="10"/>
    <n v="53.975661971830903"/>
    <n v="14.993239436619699"/>
  </r>
  <r>
    <x v="0"/>
    <x v="38"/>
    <x v="0"/>
    <x v="0"/>
    <s v="DK1_NoDH"/>
    <x v="11"/>
    <n v="3.8806031483015802"/>
    <n v="1.07794531897266"/>
  </r>
  <r>
    <x v="0"/>
    <x v="38"/>
    <x v="0"/>
    <x v="0"/>
    <s v="DK1_NoDH"/>
    <x v="12"/>
    <n v="9.7995028997514597E-2"/>
    <n v="2.72208413881985E-2"/>
  </r>
  <r>
    <x v="0"/>
    <x v="38"/>
    <x v="0"/>
    <x v="0"/>
    <s v="DK1_NoDH"/>
    <x v="13"/>
    <n v="29.633696768848399"/>
    <n v="8.2315824357912195"/>
  </r>
  <r>
    <x v="0"/>
    <x v="38"/>
    <x v="0"/>
    <x v="0"/>
    <s v="DK1_NoDH"/>
    <x v="14"/>
    <n v="29.633696768848399"/>
    <n v="8.2315824357912195"/>
  </r>
  <r>
    <x v="0"/>
    <x v="38"/>
    <x v="0"/>
    <x v="0"/>
    <s v="DK1_NoDH"/>
    <x v="15"/>
    <n v="1.65807589063794"/>
    <n v="0.46057663628831802"/>
  </r>
  <r>
    <x v="0"/>
    <x v="38"/>
    <x v="0"/>
    <x v="0"/>
    <s v="DK1_NoDH"/>
    <x v="16"/>
    <n v="6.3819281410478998"/>
    <n v="1.77275781695775"/>
  </r>
  <r>
    <x v="0"/>
    <x v="38"/>
    <x v="0"/>
    <x v="0"/>
    <s v="DK1_NoDH"/>
    <x v="17"/>
    <n v="9.1244895875632395"/>
    <n v="2.5345804409897901"/>
  </r>
  <r>
    <x v="0"/>
    <x v="38"/>
    <x v="0"/>
    <x v="0"/>
    <s v="DK1_NoDH"/>
    <x v="18"/>
    <n v="29.633696768848399"/>
    <n v="8.2315824357912195"/>
  </r>
  <r>
    <x v="0"/>
    <x v="38"/>
    <x v="0"/>
    <x v="0"/>
    <s v="DK1_NoDH"/>
    <x v="19"/>
    <n v="8.1139884009941898"/>
    <n v="2.2538856669428302"/>
  </r>
  <r>
    <x v="0"/>
    <x v="38"/>
    <x v="0"/>
    <x v="0"/>
    <s v="DK1_NoDH"/>
    <x v="20"/>
    <n v="22.109183021311601"/>
    <n v="6.1414397281420996"/>
  </r>
  <r>
    <x v="0"/>
    <x v="38"/>
    <x v="0"/>
    <x v="0"/>
    <s v="DK1_NoDH"/>
    <x v="21"/>
    <n v="47.52"/>
    <n v="13.2"/>
  </r>
  <r>
    <x v="0"/>
    <x v="38"/>
    <x v="0"/>
    <x v="0"/>
    <s v="DK1_NoDH"/>
    <x v="22"/>
    <n v="61.56"/>
    <n v="17.100000000000001"/>
  </r>
  <r>
    <x v="0"/>
    <x v="38"/>
    <x v="0"/>
    <x v="0"/>
    <s v="DK1_NoDH"/>
    <x v="23"/>
    <n v="0.31515896120488701"/>
    <n v="8.7544155890246306E-2"/>
  </r>
  <r>
    <x v="0"/>
    <x v="38"/>
    <x v="0"/>
    <x v="0"/>
    <s v="DK1_NoDH"/>
    <x v="24"/>
    <n v="19.174223581093901"/>
    <n v="5.32617321697054"/>
  </r>
  <r>
    <x v="0"/>
    <x v="38"/>
    <x v="0"/>
    <x v="0"/>
    <s v="DK1_NoDH"/>
    <x v="25"/>
    <n v="26.209507293842599"/>
    <n v="7.2804186927340497"/>
  </r>
  <r>
    <x v="0"/>
    <x v="38"/>
    <x v="0"/>
    <x v="0"/>
    <s v="DK1_NoDH"/>
    <x v="26"/>
    <n v="33.320887798496699"/>
    <n v="9.2558021662490795"/>
  </r>
  <r>
    <x v="0"/>
    <x v="38"/>
    <x v="0"/>
    <x v="0"/>
    <s v="DK1_NoDH"/>
    <x v="27"/>
    <n v="20.163995508318798"/>
    <n v="5.6011098634218799"/>
  </r>
  <r>
    <x v="0"/>
    <x v="38"/>
    <x v="0"/>
    <x v="0"/>
    <s v="DK1_NoDH_PHH"/>
    <x v="1"/>
    <n v="35.989199999999997"/>
    <n v="9.9969999999999999"/>
  </r>
  <r>
    <x v="0"/>
    <x v="38"/>
    <x v="0"/>
    <x v="0"/>
    <s v="DK1_NoDH_PHH"/>
    <x v="2"/>
    <n v="43.2"/>
    <n v="12"/>
  </r>
  <r>
    <x v="0"/>
    <x v="38"/>
    <x v="0"/>
    <x v="0"/>
    <s v="DK1_NoDH_PHH"/>
    <x v="0"/>
    <n v="42.692399999999999"/>
    <n v="11.859"/>
  </r>
  <r>
    <x v="0"/>
    <x v="38"/>
    <x v="0"/>
    <x v="0"/>
    <s v="DK1_NoDH_PHH"/>
    <x v="3"/>
    <n v="51.633543144067197"/>
    <n v="14.342650873352"/>
  </r>
  <r>
    <x v="0"/>
    <x v="38"/>
    <x v="0"/>
    <x v="0"/>
    <s v="DK1_NoDH_PHH"/>
    <x v="4"/>
    <n v="6.3500778790389401"/>
    <n v="1.76391052195526"/>
  </r>
  <r>
    <x v="0"/>
    <x v="38"/>
    <x v="0"/>
    <x v="0"/>
    <s v="DK1_NoDH_PHH"/>
    <x v="5"/>
    <n v="6.3500778790389401"/>
    <n v="1.76391052195526"/>
  </r>
  <r>
    <x v="0"/>
    <x v="38"/>
    <x v="0"/>
    <x v="0"/>
    <s v="DK1_NoDH_PHH"/>
    <x v="6"/>
    <n v="29.476231795214598"/>
    <n v="8.1878421653373898"/>
  </r>
  <r>
    <x v="0"/>
    <x v="38"/>
    <x v="0"/>
    <x v="0"/>
    <s v="DK1_NoDH_PHH"/>
    <x v="7"/>
    <n v="57.838935220261199"/>
    <n v="16.066370894517"/>
  </r>
  <r>
    <x v="0"/>
    <x v="38"/>
    <x v="0"/>
    <x v="0"/>
    <s v="DK1_NoDH_PHH"/>
    <x v="8"/>
    <n v="57.838935220261199"/>
    <n v="16.066370894517"/>
  </r>
  <r>
    <x v="0"/>
    <x v="38"/>
    <x v="0"/>
    <x v="0"/>
    <s v="DK1_NoDH_PHH"/>
    <x v="9"/>
    <n v="44.4505451532725"/>
    <n v="12.3473736536868"/>
  </r>
  <r>
    <x v="0"/>
    <x v="38"/>
    <x v="0"/>
    <x v="0"/>
    <s v="DK1_NoDH_PHH"/>
    <x v="10"/>
    <n v="53.975661971830903"/>
    <n v="14.993239436619699"/>
  </r>
  <r>
    <x v="0"/>
    <x v="38"/>
    <x v="0"/>
    <x v="0"/>
    <s v="DK1_NoDH_PHH"/>
    <x v="11"/>
    <n v="3.8806031483015802"/>
    <n v="1.07794531897266"/>
  </r>
  <r>
    <x v="0"/>
    <x v="38"/>
    <x v="0"/>
    <x v="0"/>
    <s v="DK1_NoDH_PHH"/>
    <x v="12"/>
    <n v="9.7995028997514597E-2"/>
    <n v="2.72208413881985E-2"/>
  </r>
  <r>
    <x v="0"/>
    <x v="38"/>
    <x v="0"/>
    <x v="0"/>
    <s v="DK1_NoDH_PHH"/>
    <x v="13"/>
    <n v="29.633696768848399"/>
    <n v="8.2315824357912195"/>
  </r>
  <r>
    <x v="0"/>
    <x v="38"/>
    <x v="0"/>
    <x v="0"/>
    <s v="DK1_NoDH_PHH"/>
    <x v="14"/>
    <n v="29.633696768848399"/>
    <n v="8.2315824357912195"/>
  </r>
  <r>
    <x v="0"/>
    <x v="38"/>
    <x v="0"/>
    <x v="0"/>
    <s v="DK1_NoDH_PHH"/>
    <x v="15"/>
    <n v="1.65807589063794"/>
    <n v="0.46057663628831802"/>
  </r>
  <r>
    <x v="0"/>
    <x v="38"/>
    <x v="0"/>
    <x v="0"/>
    <s v="DK1_NoDH_PHH"/>
    <x v="16"/>
    <n v="6.3819281410478998"/>
    <n v="1.77275781695775"/>
  </r>
  <r>
    <x v="0"/>
    <x v="38"/>
    <x v="0"/>
    <x v="0"/>
    <s v="DK1_NoDH_PHH"/>
    <x v="17"/>
    <n v="9.1244895875632395"/>
    <n v="2.5345804409897901"/>
  </r>
  <r>
    <x v="0"/>
    <x v="38"/>
    <x v="0"/>
    <x v="0"/>
    <s v="DK1_NoDH_PHH"/>
    <x v="18"/>
    <n v="29.633696768848399"/>
    <n v="8.2315824357912195"/>
  </r>
  <r>
    <x v="0"/>
    <x v="38"/>
    <x v="0"/>
    <x v="0"/>
    <s v="DK1_NoDH_PHH"/>
    <x v="19"/>
    <n v="8.1139884009941898"/>
    <n v="2.2538856669428302"/>
  </r>
  <r>
    <x v="0"/>
    <x v="38"/>
    <x v="0"/>
    <x v="0"/>
    <s v="DK1_NoDH_PHH"/>
    <x v="20"/>
    <n v="22.109183021311601"/>
    <n v="6.1414397281420996"/>
  </r>
  <r>
    <x v="0"/>
    <x v="38"/>
    <x v="0"/>
    <x v="0"/>
    <s v="DK1_NoDH_PHH"/>
    <x v="21"/>
    <n v="47.52"/>
    <n v="13.2"/>
  </r>
  <r>
    <x v="0"/>
    <x v="38"/>
    <x v="0"/>
    <x v="0"/>
    <s v="DK1_NoDH_PHH"/>
    <x v="22"/>
    <n v="61.56"/>
    <n v="17.100000000000001"/>
  </r>
  <r>
    <x v="0"/>
    <x v="38"/>
    <x v="0"/>
    <x v="0"/>
    <s v="DK1_NoDH_PHH"/>
    <x v="23"/>
    <n v="0.31515896120488701"/>
    <n v="8.7544155890246306E-2"/>
  </r>
  <r>
    <x v="0"/>
    <x v="38"/>
    <x v="0"/>
    <x v="0"/>
    <s v="DK1_NoDH_PHH"/>
    <x v="24"/>
    <n v="19.174223581093901"/>
    <n v="5.32617321697054"/>
  </r>
  <r>
    <x v="0"/>
    <x v="38"/>
    <x v="0"/>
    <x v="0"/>
    <s v="DK1_NoDH_PHH"/>
    <x v="25"/>
    <n v="26.209507293842599"/>
    <n v="7.2804186927340497"/>
  </r>
  <r>
    <x v="0"/>
    <x v="38"/>
    <x v="0"/>
    <x v="0"/>
    <s v="DK1_NoDH_PHH"/>
    <x v="26"/>
    <n v="33.320887798496699"/>
    <n v="9.2558021662490795"/>
  </r>
  <r>
    <x v="0"/>
    <x v="38"/>
    <x v="0"/>
    <x v="0"/>
    <s v="DK1_NoDH_PHH"/>
    <x v="27"/>
    <n v="20.163995508318798"/>
    <n v="5.6011098634218799"/>
  </r>
  <r>
    <x v="0"/>
    <x v="38"/>
    <x v="0"/>
    <x v="0"/>
    <s v="DK1_NoDH_PHL"/>
    <x v="1"/>
    <n v="35.989199999999997"/>
    <n v="9.9969999999999999"/>
  </r>
  <r>
    <x v="0"/>
    <x v="38"/>
    <x v="0"/>
    <x v="0"/>
    <s v="DK1_NoDH_PHL"/>
    <x v="2"/>
    <n v="43.2"/>
    <n v="12"/>
  </r>
  <r>
    <x v="0"/>
    <x v="38"/>
    <x v="0"/>
    <x v="0"/>
    <s v="DK1_NoDH_PHL"/>
    <x v="0"/>
    <n v="42.692399999999999"/>
    <n v="11.859"/>
  </r>
  <r>
    <x v="0"/>
    <x v="38"/>
    <x v="0"/>
    <x v="0"/>
    <s v="DK1_NoDH_PHL"/>
    <x v="3"/>
    <n v="51.633543144067197"/>
    <n v="14.342650873352"/>
  </r>
  <r>
    <x v="0"/>
    <x v="38"/>
    <x v="0"/>
    <x v="0"/>
    <s v="DK1_NoDH_PHL"/>
    <x v="4"/>
    <n v="6.3500778790389401"/>
    <n v="1.76391052195526"/>
  </r>
  <r>
    <x v="0"/>
    <x v="38"/>
    <x v="0"/>
    <x v="0"/>
    <s v="DK1_NoDH_PHL"/>
    <x v="5"/>
    <n v="6.3500778790389401"/>
    <n v="1.76391052195526"/>
  </r>
  <r>
    <x v="0"/>
    <x v="38"/>
    <x v="0"/>
    <x v="0"/>
    <s v="DK1_NoDH_PHL"/>
    <x v="6"/>
    <n v="29.476231795214598"/>
    <n v="8.1878421653373898"/>
  </r>
  <r>
    <x v="0"/>
    <x v="38"/>
    <x v="0"/>
    <x v="0"/>
    <s v="DK1_NoDH_PHL"/>
    <x v="7"/>
    <n v="57.838935220261199"/>
    <n v="16.066370894517"/>
  </r>
  <r>
    <x v="0"/>
    <x v="38"/>
    <x v="0"/>
    <x v="0"/>
    <s v="DK1_NoDH_PHL"/>
    <x v="8"/>
    <n v="57.838935220261199"/>
    <n v="16.066370894517"/>
  </r>
  <r>
    <x v="0"/>
    <x v="38"/>
    <x v="0"/>
    <x v="0"/>
    <s v="DK1_NoDH_PHL"/>
    <x v="9"/>
    <n v="44.4505451532725"/>
    <n v="12.3473736536868"/>
  </r>
  <r>
    <x v="0"/>
    <x v="38"/>
    <x v="0"/>
    <x v="0"/>
    <s v="DK1_NoDH_PHL"/>
    <x v="10"/>
    <n v="53.975661971830903"/>
    <n v="14.993239436619699"/>
  </r>
  <r>
    <x v="0"/>
    <x v="38"/>
    <x v="0"/>
    <x v="0"/>
    <s v="DK1_NoDH_PHL"/>
    <x v="11"/>
    <n v="3.8806031483015802"/>
    <n v="1.07794531897266"/>
  </r>
  <r>
    <x v="0"/>
    <x v="38"/>
    <x v="0"/>
    <x v="0"/>
    <s v="DK1_NoDH_PHL"/>
    <x v="12"/>
    <n v="9.7995028997514597E-2"/>
    <n v="2.72208413881985E-2"/>
  </r>
  <r>
    <x v="0"/>
    <x v="38"/>
    <x v="0"/>
    <x v="0"/>
    <s v="DK1_NoDH_PHL"/>
    <x v="13"/>
    <n v="29.633696768848399"/>
    <n v="8.2315824357912195"/>
  </r>
  <r>
    <x v="0"/>
    <x v="38"/>
    <x v="0"/>
    <x v="0"/>
    <s v="DK1_NoDH_PHL"/>
    <x v="14"/>
    <n v="29.633696768848399"/>
    <n v="8.2315824357912195"/>
  </r>
  <r>
    <x v="0"/>
    <x v="38"/>
    <x v="0"/>
    <x v="0"/>
    <s v="DK1_NoDH_PHL"/>
    <x v="15"/>
    <n v="1.65807589063794"/>
    <n v="0.46057663628831802"/>
  </r>
  <r>
    <x v="0"/>
    <x v="38"/>
    <x v="0"/>
    <x v="0"/>
    <s v="DK1_NoDH_PHL"/>
    <x v="16"/>
    <n v="6.3819281410478998"/>
    <n v="1.77275781695775"/>
  </r>
  <r>
    <x v="0"/>
    <x v="38"/>
    <x v="0"/>
    <x v="0"/>
    <s v="DK1_NoDH_PHL"/>
    <x v="17"/>
    <n v="9.1244895875632395"/>
    <n v="2.5345804409897901"/>
  </r>
  <r>
    <x v="0"/>
    <x v="38"/>
    <x v="0"/>
    <x v="0"/>
    <s v="DK1_NoDH_PHL"/>
    <x v="18"/>
    <n v="29.633696768848399"/>
    <n v="8.2315824357912195"/>
  </r>
  <r>
    <x v="0"/>
    <x v="38"/>
    <x v="0"/>
    <x v="0"/>
    <s v="DK1_NoDH_PHL"/>
    <x v="19"/>
    <n v="8.1139884009941898"/>
    <n v="2.2538856669428302"/>
  </r>
  <r>
    <x v="0"/>
    <x v="38"/>
    <x v="0"/>
    <x v="0"/>
    <s v="DK1_NoDH_PHL"/>
    <x v="20"/>
    <n v="22.109183021311601"/>
    <n v="6.1414397281420996"/>
  </r>
  <r>
    <x v="0"/>
    <x v="38"/>
    <x v="0"/>
    <x v="0"/>
    <s v="DK1_NoDH_PHL"/>
    <x v="21"/>
    <n v="47.52"/>
    <n v="13.2"/>
  </r>
  <r>
    <x v="0"/>
    <x v="38"/>
    <x v="0"/>
    <x v="0"/>
    <s v="DK1_NoDH_PHL"/>
    <x v="22"/>
    <n v="61.56"/>
    <n v="17.100000000000001"/>
  </r>
  <r>
    <x v="0"/>
    <x v="38"/>
    <x v="0"/>
    <x v="0"/>
    <s v="DK1_NoDH_PHL"/>
    <x v="23"/>
    <n v="0.31515896120488701"/>
    <n v="8.7544155890246306E-2"/>
  </r>
  <r>
    <x v="0"/>
    <x v="38"/>
    <x v="0"/>
    <x v="0"/>
    <s v="DK1_NoDH_PHL"/>
    <x v="24"/>
    <n v="19.174223581093901"/>
    <n v="5.32617321697054"/>
  </r>
  <r>
    <x v="0"/>
    <x v="38"/>
    <x v="0"/>
    <x v="0"/>
    <s v="DK1_NoDH_PHL"/>
    <x v="25"/>
    <n v="26.209507293842599"/>
    <n v="7.2804186927340497"/>
  </r>
  <r>
    <x v="0"/>
    <x v="38"/>
    <x v="0"/>
    <x v="0"/>
    <s v="DK1_NoDH_PHL"/>
    <x v="26"/>
    <n v="33.320887798496699"/>
    <n v="9.2558021662490795"/>
  </r>
  <r>
    <x v="0"/>
    <x v="38"/>
    <x v="0"/>
    <x v="0"/>
    <s v="DK1_NoDH_PHL"/>
    <x v="27"/>
    <n v="20.163995508318798"/>
    <n v="5.6011098634218799"/>
  </r>
  <r>
    <x v="0"/>
    <x v="38"/>
    <x v="0"/>
    <x v="0"/>
    <s v="DK1_Offshore"/>
    <x v="1"/>
    <n v="35.989199999999997"/>
    <n v="9.9969999999999999"/>
  </r>
  <r>
    <x v="0"/>
    <x v="38"/>
    <x v="0"/>
    <x v="0"/>
    <s v="DK1_Offshore"/>
    <x v="2"/>
    <n v="43.2"/>
    <n v="12"/>
  </r>
  <r>
    <x v="0"/>
    <x v="38"/>
    <x v="0"/>
    <x v="0"/>
    <s v="DK1_Offshore"/>
    <x v="0"/>
    <n v="42.692399999999999"/>
    <n v="11.859"/>
  </r>
  <r>
    <x v="0"/>
    <x v="38"/>
    <x v="0"/>
    <x v="0"/>
    <s v="DK1_Offshore"/>
    <x v="3"/>
    <n v="51.633543144067197"/>
    <n v="14.342650873352"/>
  </r>
  <r>
    <x v="0"/>
    <x v="38"/>
    <x v="0"/>
    <x v="0"/>
    <s v="DK1_Offshore"/>
    <x v="4"/>
    <n v="6.3500778790389401"/>
    <n v="1.76391052195526"/>
  </r>
  <r>
    <x v="0"/>
    <x v="38"/>
    <x v="0"/>
    <x v="0"/>
    <s v="DK1_Offshore"/>
    <x v="5"/>
    <n v="6.3500778790389401"/>
    <n v="1.76391052195526"/>
  </r>
  <r>
    <x v="0"/>
    <x v="38"/>
    <x v="0"/>
    <x v="0"/>
    <s v="DK1_Offshore"/>
    <x v="6"/>
    <n v="29.476231795214598"/>
    <n v="8.1878421653373898"/>
  </r>
  <r>
    <x v="0"/>
    <x v="38"/>
    <x v="0"/>
    <x v="0"/>
    <s v="DK1_Offshore"/>
    <x v="7"/>
    <n v="57.838935220261199"/>
    <n v="16.066370894517"/>
  </r>
  <r>
    <x v="0"/>
    <x v="38"/>
    <x v="0"/>
    <x v="0"/>
    <s v="DK1_Offshore"/>
    <x v="8"/>
    <n v="57.838935220261199"/>
    <n v="16.066370894517"/>
  </r>
  <r>
    <x v="0"/>
    <x v="38"/>
    <x v="0"/>
    <x v="0"/>
    <s v="DK1_Offshore"/>
    <x v="9"/>
    <n v="44.4505451532725"/>
    <n v="12.3473736536868"/>
  </r>
  <r>
    <x v="0"/>
    <x v="38"/>
    <x v="0"/>
    <x v="0"/>
    <s v="DK1_Offshore"/>
    <x v="10"/>
    <n v="53.975661971830903"/>
    <n v="14.993239436619699"/>
  </r>
  <r>
    <x v="0"/>
    <x v="38"/>
    <x v="0"/>
    <x v="0"/>
    <s v="DK1_Offshore"/>
    <x v="11"/>
    <n v="3.8806031483015802"/>
    <n v="1.07794531897266"/>
  </r>
  <r>
    <x v="0"/>
    <x v="38"/>
    <x v="0"/>
    <x v="0"/>
    <s v="DK1_Offshore"/>
    <x v="12"/>
    <n v="9.7995028997514597E-2"/>
    <n v="2.72208413881985E-2"/>
  </r>
  <r>
    <x v="0"/>
    <x v="38"/>
    <x v="0"/>
    <x v="0"/>
    <s v="DK1_Offshore"/>
    <x v="13"/>
    <n v="29.633696768848399"/>
    <n v="8.2315824357912195"/>
  </r>
  <r>
    <x v="0"/>
    <x v="38"/>
    <x v="0"/>
    <x v="0"/>
    <s v="DK1_Offshore"/>
    <x v="14"/>
    <n v="29.633696768848399"/>
    <n v="8.2315824357912195"/>
  </r>
  <r>
    <x v="0"/>
    <x v="38"/>
    <x v="0"/>
    <x v="0"/>
    <s v="DK1_Offshore"/>
    <x v="15"/>
    <n v="1.65807589063794"/>
    <n v="0.46057663628831802"/>
  </r>
  <r>
    <x v="0"/>
    <x v="38"/>
    <x v="0"/>
    <x v="0"/>
    <s v="DK1_Offshore"/>
    <x v="16"/>
    <n v="6.3819281410478998"/>
    <n v="1.77275781695775"/>
  </r>
  <r>
    <x v="0"/>
    <x v="38"/>
    <x v="0"/>
    <x v="0"/>
    <s v="DK1_Offshore"/>
    <x v="17"/>
    <n v="9.1244895875632395"/>
    <n v="2.5345804409897901"/>
  </r>
  <r>
    <x v="0"/>
    <x v="38"/>
    <x v="0"/>
    <x v="0"/>
    <s v="DK1_Offshore"/>
    <x v="18"/>
    <n v="29.633696768848399"/>
    <n v="8.2315824357912195"/>
  </r>
  <r>
    <x v="0"/>
    <x v="38"/>
    <x v="0"/>
    <x v="0"/>
    <s v="DK1_Offshore"/>
    <x v="19"/>
    <n v="8.1139884009941898"/>
    <n v="2.2538856669428302"/>
  </r>
  <r>
    <x v="0"/>
    <x v="38"/>
    <x v="0"/>
    <x v="0"/>
    <s v="DK1_Offshore"/>
    <x v="20"/>
    <n v="22.109183021311601"/>
    <n v="6.1414397281420996"/>
  </r>
  <r>
    <x v="0"/>
    <x v="38"/>
    <x v="0"/>
    <x v="0"/>
    <s v="DK1_Offshore"/>
    <x v="21"/>
    <n v="47.52"/>
    <n v="13.2"/>
  </r>
  <r>
    <x v="0"/>
    <x v="38"/>
    <x v="0"/>
    <x v="0"/>
    <s v="DK1_Offshore"/>
    <x v="22"/>
    <n v="61.56"/>
    <n v="17.100000000000001"/>
  </r>
  <r>
    <x v="0"/>
    <x v="38"/>
    <x v="0"/>
    <x v="0"/>
    <s v="DK1_Offshore"/>
    <x v="23"/>
    <n v="0.31515896120488701"/>
    <n v="8.7544155890246306E-2"/>
  </r>
  <r>
    <x v="0"/>
    <x v="38"/>
    <x v="0"/>
    <x v="0"/>
    <s v="DK1_Offshore"/>
    <x v="24"/>
    <n v="19.174223581093901"/>
    <n v="5.32617321697054"/>
  </r>
  <r>
    <x v="0"/>
    <x v="38"/>
    <x v="0"/>
    <x v="0"/>
    <s v="DK1_Offshore"/>
    <x v="25"/>
    <n v="26.209507293842599"/>
    <n v="7.2804186927340497"/>
  </r>
  <r>
    <x v="0"/>
    <x v="38"/>
    <x v="0"/>
    <x v="0"/>
    <s v="DK1_Offshore"/>
    <x v="26"/>
    <n v="33.320887798496699"/>
    <n v="9.2558021662490795"/>
  </r>
  <r>
    <x v="0"/>
    <x v="38"/>
    <x v="0"/>
    <x v="0"/>
    <s v="DK1_Offshore"/>
    <x v="27"/>
    <n v="20.163995508318798"/>
    <n v="5.6011098634218799"/>
  </r>
  <r>
    <x v="0"/>
    <x v="38"/>
    <x v="0"/>
    <x v="0"/>
    <s v="DK1_Rural"/>
    <x v="1"/>
    <n v="35.989199999999997"/>
    <n v="9.9969999999999999"/>
  </r>
  <r>
    <x v="0"/>
    <x v="38"/>
    <x v="0"/>
    <x v="0"/>
    <s v="DK1_Rural"/>
    <x v="2"/>
    <n v="43.2"/>
    <n v="12"/>
  </r>
  <r>
    <x v="0"/>
    <x v="38"/>
    <x v="0"/>
    <x v="0"/>
    <s v="DK1_Rural"/>
    <x v="0"/>
    <n v="42.692399999999999"/>
    <n v="11.859"/>
  </r>
  <r>
    <x v="0"/>
    <x v="38"/>
    <x v="0"/>
    <x v="0"/>
    <s v="DK1_Rural"/>
    <x v="3"/>
    <n v="51.633543144067197"/>
    <n v="14.342650873352"/>
  </r>
  <r>
    <x v="0"/>
    <x v="38"/>
    <x v="0"/>
    <x v="0"/>
    <s v="DK1_Rural"/>
    <x v="4"/>
    <n v="6.3500778790389401"/>
    <n v="1.76391052195526"/>
  </r>
  <r>
    <x v="0"/>
    <x v="38"/>
    <x v="0"/>
    <x v="0"/>
    <s v="DK1_Rural"/>
    <x v="5"/>
    <n v="6.3500778790389401"/>
    <n v="1.76391052195526"/>
  </r>
  <r>
    <x v="0"/>
    <x v="38"/>
    <x v="0"/>
    <x v="0"/>
    <s v="DK1_Rural"/>
    <x v="6"/>
    <n v="29.476231795214598"/>
    <n v="8.1878421653373898"/>
  </r>
  <r>
    <x v="0"/>
    <x v="38"/>
    <x v="0"/>
    <x v="0"/>
    <s v="DK1_Rural"/>
    <x v="7"/>
    <n v="57.838935220261199"/>
    <n v="16.066370894517"/>
  </r>
  <r>
    <x v="0"/>
    <x v="38"/>
    <x v="0"/>
    <x v="0"/>
    <s v="DK1_Rural"/>
    <x v="8"/>
    <n v="57.838935220261199"/>
    <n v="16.066370894517"/>
  </r>
  <r>
    <x v="0"/>
    <x v="38"/>
    <x v="0"/>
    <x v="0"/>
    <s v="DK1_Rural"/>
    <x v="9"/>
    <n v="44.4505451532725"/>
    <n v="12.3473736536868"/>
  </r>
  <r>
    <x v="0"/>
    <x v="38"/>
    <x v="0"/>
    <x v="0"/>
    <s v="DK1_Rural"/>
    <x v="10"/>
    <n v="53.975661971830903"/>
    <n v="14.993239436619699"/>
  </r>
  <r>
    <x v="0"/>
    <x v="38"/>
    <x v="0"/>
    <x v="0"/>
    <s v="DK1_Rural"/>
    <x v="11"/>
    <n v="3.8806031483015802"/>
    <n v="1.07794531897266"/>
  </r>
  <r>
    <x v="0"/>
    <x v="38"/>
    <x v="0"/>
    <x v="0"/>
    <s v="DK1_Rural"/>
    <x v="12"/>
    <n v="9.7995028997514597E-2"/>
    <n v="2.72208413881985E-2"/>
  </r>
  <r>
    <x v="0"/>
    <x v="38"/>
    <x v="0"/>
    <x v="0"/>
    <s v="DK1_Rural"/>
    <x v="13"/>
    <n v="29.633696768848399"/>
    <n v="8.2315824357912195"/>
  </r>
  <r>
    <x v="0"/>
    <x v="38"/>
    <x v="0"/>
    <x v="0"/>
    <s v="DK1_Rural"/>
    <x v="14"/>
    <n v="29.633696768848399"/>
    <n v="8.2315824357912195"/>
  </r>
  <r>
    <x v="0"/>
    <x v="38"/>
    <x v="0"/>
    <x v="0"/>
    <s v="DK1_Rural"/>
    <x v="15"/>
    <n v="1.65807589063794"/>
    <n v="0.46057663628831802"/>
  </r>
  <r>
    <x v="0"/>
    <x v="38"/>
    <x v="0"/>
    <x v="0"/>
    <s v="DK1_Rural"/>
    <x v="16"/>
    <n v="6.3819281410478998"/>
    <n v="1.77275781695775"/>
  </r>
  <r>
    <x v="0"/>
    <x v="38"/>
    <x v="0"/>
    <x v="0"/>
    <s v="DK1_Rural"/>
    <x v="17"/>
    <n v="9.1244895875632395"/>
    <n v="2.5345804409897901"/>
  </r>
  <r>
    <x v="0"/>
    <x v="38"/>
    <x v="0"/>
    <x v="0"/>
    <s v="DK1_Rural"/>
    <x v="18"/>
    <n v="29.633696768848399"/>
    <n v="8.2315824357912195"/>
  </r>
  <r>
    <x v="0"/>
    <x v="38"/>
    <x v="0"/>
    <x v="0"/>
    <s v="DK1_Rural"/>
    <x v="19"/>
    <n v="8.1139884009941898"/>
    <n v="2.2538856669428302"/>
  </r>
  <r>
    <x v="0"/>
    <x v="38"/>
    <x v="0"/>
    <x v="0"/>
    <s v="DK1_Rural"/>
    <x v="20"/>
    <n v="22.109183021311601"/>
    <n v="6.1414397281420996"/>
  </r>
  <r>
    <x v="0"/>
    <x v="38"/>
    <x v="0"/>
    <x v="0"/>
    <s v="DK1_Rural"/>
    <x v="21"/>
    <n v="47.52"/>
    <n v="13.2"/>
  </r>
  <r>
    <x v="0"/>
    <x v="38"/>
    <x v="0"/>
    <x v="0"/>
    <s v="DK1_Rural"/>
    <x v="22"/>
    <n v="61.56"/>
    <n v="17.100000000000001"/>
  </r>
  <r>
    <x v="0"/>
    <x v="38"/>
    <x v="0"/>
    <x v="0"/>
    <s v="DK1_Rural"/>
    <x v="23"/>
    <n v="0.31515896120488701"/>
    <n v="8.7544155890246306E-2"/>
  </r>
  <r>
    <x v="0"/>
    <x v="38"/>
    <x v="0"/>
    <x v="0"/>
    <s v="DK1_Rural"/>
    <x v="24"/>
    <n v="19.174223581093901"/>
    <n v="5.32617321697054"/>
  </r>
  <r>
    <x v="0"/>
    <x v="38"/>
    <x v="0"/>
    <x v="0"/>
    <s v="DK1_Rural"/>
    <x v="25"/>
    <n v="26.209507293842599"/>
    <n v="7.2804186927340497"/>
  </r>
  <r>
    <x v="0"/>
    <x v="38"/>
    <x v="0"/>
    <x v="0"/>
    <s v="DK1_Rural"/>
    <x v="26"/>
    <n v="33.320887798496699"/>
    <n v="9.2558021662490795"/>
  </r>
  <r>
    <x v="0"/>
    <x v="38"/>
    <x v="0"/>
    <x v="0"/>
    <s v="DK1_Rural"/>
    <x v="27"/>
    <n v="20.163995508318798"/>
    <n v="5.6011098634218799"/>
  </r>
  <r>
    <x v="0"/>
    <x v="38"/>
    <x v="0"/>
    <x v="0"/>
    <s v="DK1_Small"/>
    <x v="1"/>
    <n v="35.989199999999997"/>
    <n v="9.9969999999999999"/>
  </r>
  <r>
    <x v="0"/>
    <x v="38"/>
    <x v="0"/>
    <x v="0"/>
    <s v="DK1_Small"/>
    <x v="2"/>
    <n v="43.2"/>
    <n v="12"/>
  </r>
  <r>
    <x v="0"/>
    <x v="38"/>
    <x v="0"/>
    <x v="0"/>
    <s v="DK1_Small"/>
    <x v="0"/>
    <n v="42.692399999999999"/>
    <n v="11.859"/>
  </r>
  <r>
    <x v="0"/>
    <x v="38"/>
    <x v="0"/>
    <x v="0"/>
    <s v="DK1_Small"/>
    <x v="3"/>
    <n v="51.633543144067197"/>
    <n v="14.342650873352"/>
  </r>
  <r>
    <x v="0"/>
    <x v="38"/>
    <x v="0"/>
    <x v="0"/>
    <s v="DK1_Small"/>
    <x v="4"/>
    <n v="6.3500778790389401"/>
    <n v="1.76391052195526"/>
  </r>
  <r>
    <x v="0"/>
    <x v="38"/>
    <x v="0"/>
    <x v="0"/>
    <s v="DK1_Small"/>
    <x v="5"/>
    <n v="6.3500778790389401"/>
    <n v="1.76391052195526"/>
  </r>
  <r>
    <x v="0"/>
    <x v="38"/>
    <x v="0"/>
    <x v="0"/>
    <s v="DK1_Small"/>
    <x v="6"/>
    <n v="29.476231795214598"/>
    <n v="8.1878421653373898"/>
  </r>
  <r>
    <x v="0"/>
    <x v="38"/>
    <x v="0"/>
    <x v="0"/>
    <s v="DK1_Small"/>
    <x v="7"/>
    <n v="57.838935220261199"/>
    <n v="16.066370894517"/>
  </r>
  <r>
    <x v="0"/>
    <x v="38"/>
    <x v="0"/>
    <x v="0"/>
    <s v="DK1_Small"/>
    <x v="8"/>
    <n v="57.838935220261199"/>
    <n v="16.066370894517"/>
  </r>
  <r>
    <x v="0"/>
    <x v="38"/>
    <x v="0"/>
    <x v="0"/>
    <s v="DK1_Small"/>
    <x v="9"/>
    <n v="44.4505451532725"/>
    <n v="12.3473736536868"/>
  </r>
  <r>
    <x v="0"/>
    <x v="38"/>
    <x v="0"/>
    <x v="0"/>
    <s v="DK1_Small"/>
    <x v="10"/>
    <n v="53.975661971830903"/>
    <n v="14.993239436619699"/>
  </r>
  <r>
    <x v="0"/>
    <x v="38"/>
    <x v="0"/>
    <x v="0"/>
    <s v="DK1_Small"/>
    <x v="11"/>
    <n v="3.8806031483015802"/>
    <n v="1.07794531897266"/>
  </r>
  <r>
    <x v="0"/>
    <x v="38"/>
    <x v="0"/>
    <x v="0"/>
    <s v="DK1_Small"/>
    <x v="12"/>
    <n v="9.7995028997514597E-2"/>
    <n v="2.72208413881985E-2"/>
  </r>
  <r>
    <x v="0"/>
    <x v="38"/>
    <x v="0"/>
    <x v="0"/>
    <s v="DK1_Small"/>
    <x v="13"/>
    <n v="29.633696768848399"/>
    <n v="8.2315824357912195"/>
  </r>
  <r>
    <x v="0"/>
    <x v="38"/>
    <x v="0"/>
    <x v="0"/>
    <s v="DK1_Small"/>
    <x v="14"/>
    <n v="29.633696768848399"/>
    <n v="8.2315824357912195"/>
  </r>
  <r>
    <x v="0"/>
    <x v="38"/>
    <x v="0"/>
    <x v="0"/>
    <s v="DK1_Small"/>
    <x v="15"/>
    <n v="1.65807589063794"/>
    <n v="0.46057663628831802"/>
  </r>
  <r>
    <x v="0"/>
    <x v="38"/>
    <x v="0"/>
    <x v="0"/>
    <s v="DK1_Small"/>
    <x v="16"/>
    <n v="6.3819281410478998"/>
    <n v="1.77275781695775"/>
  </r>
  <r>
    <x v="0"/>
    <x v="38"/>
    <x v="0"/>
    <x v="0"/>
    <s v="DK1_Small"/>
    <x v="17"/>
    <n v="9.1244895875632395"/>
    <n v="2.5345804409897901"/>
  </r>
  <r>
    <x v="0"/>
    <x v="38"/>
    <x v="0"/>
    <x v="0"/>
    <s v="DK1_Small"/>
    <x v="18"/>
    <n v="29.633696768848399"/>
    <n v="8.2315824357912195"/>
  </r>
  <r>
    <x v="0"/>
    <x v="38"/>
    <x v="0"/>
    <x v="0"/>
    <s v="DK1_Small"/>
    <x v="19"/>
    <n v="8.1139884009941898"/>
    <n v="2.2538856669428302"/>
  </r>
  <r>
    <x v="0"/>
    <x v="38"/>
    <x v="0"/>
    <x v="0"/>
    <s v="DK1_Small"/>
    <x v="20"/>
    <n v="22.109183021311601"/>
    <n v="6.1414397281420996"/>
  </r>
  <r>
    <x v="0"/>
    <x v="38"/>
    <x v="0"/>
    <x v="0"/>
    <s v="DK1_Small"/>
    <x v="21"/>
    <n v="47.52"/>
    <n v="13.2"/>
  </r>
  <r>
    <x v="0"/>
    <x v="38"/>
    <x v="0"/>
    <x v="0"/>
    <s v="DK1_Small"/>
    <x v="22"/>
    <n v="61.56"/>
    <n v="17.100000000000001"/>
  </r>
  <r>
    <x v="0"/>
    <x v="38"/>
    <x v="0"/>
    <x v="0"/>
    <s v="DK1_Small"/>
    <x v="23"/>
    <n v="0.31515896120488701"/>
    <n v="8.7544155890246306E-2"/>
  </r>
  <r>
    <x v="0"/>
    <x v="38"/>
    <x v="0"/>
    <x v="0"/>
    <s v="DK1_Small"/>
    <x v="24"/>
    <n v="19.174223581093901"/>
    <n v="5.32617321697054"/>
  </r>
  <r>
    <x v="0"/>
    <x v="38"/>
    <x v="0"/>
    <x v="0"/>
    <s v="DK1_Small"/>
    <x v="25"/>
    <n v="26.209507293842599"/>
    <n v="7.2804186927340497"/>
  </r>
  <r>
    <x v="0"/>
    <x v="38"/>
    <x v="0"/>
    <x v="0"/>
    <s v="DK1_Small"/>
    <x v="26"/>
    <n v="33.320887798496699"/>
    <n v="9.2558021662490795"/>
  </r>
  <r>
    <x v="0"/>
    <x v="38"/>
    <x v="0"/>
    <x v="0"/>
    <s v="DK1_Small"/>
    <x v="27"/>
    <n v="20.163995508318798"/>
    <n v="5.6011098634218799"/>
  </r>
  <r>
    <x v="0"/>
    <x v="38"/>
    <x v="0"/>
    <x v="1"/>
    <s v="DK2_Large"/>
    <x v="1"/>
    <n v="35.989199999999997"/>
    <n v="9.9969999999999999"/>
  </r>
  <r>
    <x v="0"/>
    <x v="38"/>
    <x v="0"/>
    <x v="1"/>
    <s v="DK2_Large"/>
    <x v="2"/>
    <n v="43.2"/>
    <n v="12"/>
  </r>
  <r>
    <x v="0"/>
    <x v="38"/>
    <x v="0"/>
    <x v="1"/>
    <s v="DK2_Large"/>
    <x v="0"/>
    <n v="42.692399999999999"/>
    <n v="11.859"/>
  </r>
  <r>
    <x v="0"/>
    <x v="38"/>
    <x v="0"/>
    <x v="1"/>
    <s v="DK2_Large"/>
    <x v="3"/>
    <n v="51.633543144067197"/>
    <n v="14.342650873352"/>
  </r>
  <r>
    <x v="0"/>
    <x v="38"/>
    <x v="0"/>
    <x v="1"/>
    <s v="DK2_Large"/>
    <x v="4"/>
    <n v="6.3500778790389401"/>
    <n v="1.76391052195526"/>
  </r>
  <r>
    <x v="0"/>
    <x v="38"/>
    <x v="0"/>
    <x v="1"/>
    <s v="DK2_Large"/>
    <x v="5"/>
    <n v="6.3500778790389401"/>
    <n v="1.76391052195526"/>
  </r>
  <r>
    <x v="0"/>
    <x v="38"/>
    <x v="0"/>
    <x v="1"/>
    <s v="DK2_Large"/>
    <x v="6"/>
    <n v="29.476231795214598"/>
    <n v="8.1878421653373898"/>
  </r>
  <r>
    <x v="0"/>
    <x v="38"/>
    <x v="0"/>
    <x v="1"/>
    <s v="DK2_Large"/>
    <x v="7"/>
    <n v="57.838935220261199"/>
    <n v="16.066370894517"/>
  </r>
  <r>
    <x v="0"/>
    <x v="38"/>
    <x v="0"/>
    <x v="1"/>
    <s v="DK2_Large"/>
    <x v="8"/>
    <n v="57.838935220261199"/>
    <n v="16.066370894517"/>
  </r>
  <r>
    <x v="0"/>
    <x v="38"/>
    <x v="0"/>
    <x v="1"/>
    <s v="DK2_Large"/>
    <x v="9"/>
    <n v="44.4505451532725"/>
    <n v="12.3473736536868"/>
  </r>
  <r>
    <x v="0"/>
    <x v="38"/>
    <x v="0"/>
    <x v="1"/>
    <s v="DK2_Large"/>
    <x v="10"/>
    <n v="53.975661971830903"/>
    <n v="14.993239436619699"/>
  </r>
  <r>
    <x v="0"/>
    <x v="38"/>
    <x v="0"/>
    <x v="1"/>
    <s v="DK2_Large"/>
    <x v="11"/>
    <n v="3.8806031483015802"/>
    <n v="1.07794531897266"/>
  </r>
  <r>
    <x v="0"/>
    <x v="38"/>
    <x v="0"/>
    <x v="1"/>
    <s v="DK2_Large"/>
    <x v="12"/>
    <n v="9.7995028997514597E-2"/>
    <n v="2.72208413881985E-2"/>
  </r>
  <r>
    <x v="0"/>
    <x v="38"/>
    <x v="0"/>
    <x v="1"/>
    <s v="DK2_Large"/>
    <x v="13"/>
    <n v="29.633696768848399"/>
    <n v="8.2315824357912195"/>
  </r>
  <r>
    <x v="0"/>
    <x v="38"/>
    <x v="0"/>
    <x v="1"/>
    <s v="DK2_Large"/>
    <x v="14"/>
    <n v="29.633696768848399"/>
    <n v="8.2315824357912195"/>
  </r>
  <r>
    <x v="0"/>
    <x v="38"/>
    <x v="0"/>
    <x v="1"/>
    <s v="DK2_Large"/>
    <x v="15"/>
    <n v="1.65807589063794"/>
    <n v="0.46057663628831802"/>
  </r>
  <r>
    <x v="0"/>
    <x v="38"/>
    <x v="0"/>
    <x v="1"/>
    <s v="DK2_Large"/>
    <x v="16"/>
    <n v="6.3819281410478998"/>
    <n v="1.77275781695775"/>
  </r>
  <r>
    <x v="0"/>
    <x v="38"/>
    <x v="0"/>
    <x v="1"/>
    <s v="DK2_Large"/>
    <x v="17"/>
    <n v="9.1244895875632395"/>
    <n v="2.5345804409897901"/>
  </r>
  <r>
    <x v="0"/>
    <x v="38"/>
    <x v="0"/>
    <x v="1"/>
    <s v="DK2_Large"/>
    <x v="18"/>
    <n v="29.633696768848399"/>
    <n v="8.2315824357912195"/>
  </r>
  <r>
    <x v="0"/>
    <x v="38"/>
    <x v="0"/>
    <x v="1"/>
    <s v="DK2_Large"/>
    <x v="19"/>
    <n v="8.1139884009941898"/>
    <n v="2.2538856669428302"/>
  </r>
  <r>
    <x v="0"/>
    <x v="38"/>
    <x v="0"/>
    <x v="1"/>
    <s v="DK2_Large"/>
    <x v="20"/>
    <n v="22.109183021311601"/>
    <n v="6.1414397281420996"/>
  </r>
  <r>
    <x v="0"/>
    <x v="38"/>
    <x v="0"/>
    <x v="1"/>
    <s v="DK2_Large"/>
    <x v="21"/>
    <n v="47.52"/>
    <n v="13.2"/>
  </r>
  <r>
    <x v="0"/>
    <x v="38"/>
    <x v="0"/>
    <x v="1"/>
    <s v="DK2_Large"/>
    <x v="22"/>
    <n v="61.56"/>
    <n v="17.100000000000001"/>
  </r>
  <r>
    <x v="0"/>
    <x v="38"/>
    <x v="0"/>
    <x v="1"/>
    <s v="DK2_Large"/>
    <x v="23"/>
    <n v="0.31515896120488701"/>
    <n v="8.7544155890246306E-2"/>
  </r>
  <r>
    <x v="0"/>
    <x v="38"/>
    <x v="0"/>
    <x v="1"/>
    <s v="DK2_Large"/>
    <x v="24"/>
    <n v="19.174223581093901"/>
    <n v="5.32617321697054"/>
  </r>
  <r>
    <x v="0"/>
    <x v="38"/>
    <x v="0"/>
    <x v="1"/>
    <s v="DK2_Large"/>
    <x v="25"/>
    <n v="26.209507293842599"/>
    <n v="7.2804186927340497"/>
  </r>
  <r>
    <x v="0"/>
    <x v="38"/>
    <x v="0"/>
    <x v="1"/>
    <s v="DK2_Large"/>
    <x v="26"/>
    <n v="33.320887798496699"/>
    <n v="9.2558021662490795"/>
  </r>
  <r>
    <x v="0"/>
    <x v="38"/>
    <x v="0"/>
    <x v="1"/>
    <s v="DK2_Large"/>
    <x v="27"/>
    <n v="20.163995508318798"/>
    <n v="5.6011098634218799"/>
  </r>
  <r>
    <x v="0"/>
    <x v="38"/>
    <x v="0"/>
    <x v="1"/>
    <s v="DK2_Large_PHH"/>
    <x v="1"/>
    <n v="35.989199999999997"/>
    <n v="9.9969999999999999"/>
  </r>
  <r>
    <x v="0"/>
    <x v="38"/>
    <x v="0"/>
    <x v="1"/>
    <s v="DK2_Large_PHH"/>
    <x v="2"/>
    <n v="43.2"/>
    <n v="12"/>
  </r>
  <r>
    <x v="0"/>
    <x v="38"/>
    <x v="0"/>
    <x v="1"/>
    <s v="DK2_Large_PHH"/>
    <x v="0"/>
    <n v="42.692399999999999"/>
    <n v="11.859"/>
  </r>
  <r>
    <x v="0"/>
    <x v="38"/>
    <x v="0"/>
    <x v="1"/>
    <s v="DK2_Large_PHH"/>
    <x v="3"/>
    <n v="51.633543144067197"/>
    <n v="14.342650873352"/>
  </r>
  <r>
    <x v="0"/>
    <x v="38"/>
    <x v="0"/>
    <x v="1"/>
    <s v="DK2_Large_PHH"/>
    <x v="4"/>
    <n v="6.3500778790389401"/>
    <n v="1.76391052195526"/>
  </r>
  <r>
    <x v="0"/>
    <x v="38"/>
    <x v="0"/>
    <x v="1"/>
    <s v="DK2_Large_PHH"/>
    <x v="5"/>
    <n v="6.3500778790389401"/>
    <n v="1.76391052195526"/>
  </r>
  <r>
    <x v="0"/>
    <x v="38"/>
    <x v="0"/>
    <x v="1"/>
    <s v="DK2_Large_PHH"/>
    <x v="6"/>
    <n v="29.476231795214598"/>
    <n v="8.1878421653373898"/>
  </r>
  <r>
    <x v="0"/>
    <x v="38"/>
    <x v="0"/>
    <x v="1"/>
    <s v="DK2_Large_PHH"/>
    <x v="7"/>
    <n v="57.838935220261199"/>
    <n v="16.066370894517"/>
  </r>
  <r>
    <x v="0"/>
    <x v="38"/>
    <x v="0"/>
    <x v="1"/>
    <s v="DK2_Large_PHH"/>
    <x v="8"/>
    <n v="57.838935220261199"/>
    <n v="16.066370894517"/>
  </r>
  <r>
    <x v="0"/>
    <x v="38"/>
    <x v="0"/>
    <x v="1"/>
    <s v="DK2_Large_PHH"/>
    <x v="9"/>
    <n v="44.4505451532725"/>
    <n v="12.3473736536868"/>
  </r>
  <r>
    <x v="0"/>
    <x v="38"/>
    <x v="0"/>
    <x v="1"/>
    <s v="DK2_Large_PHH"/>
    <x v="10"/>
    <n v="53.975661971830903"/>
    <n v="14.993239436619699"/>
  </r>
  <r>
    <x v="0"/>
    <x v="38"/>
    <x v="0"/>
    <x v="1"/>
    <s v="DK2_Large_PHH"/>
    <x v="11"/>
    <n v="3.8806031483015802"/>
    <n v="1.07794531897266"/>
  </r>
  <r>
    <x v="0"/>
    <x v="38"/>
    <x v="0"/>
    <x v="1"/>
    <s v="DK2_Large_PHH"/>
    <x v="12"/>
    <n v="9.7995028997514597E-2"/>
    <n v="2.72208413881985E-2"/>
  </r>
  <r>
    <x v="0"/>
    <x v="38"/>
    <x v="0"/>
    <x v="1"/>
    <s v="DK2_Large_PHH"/>
    <x v="13"/>
    <n v="29.633696768848399"/>
    <n v="8.2315824357912195"/>
  </r>
  <r>
    <x v="0"/>
    <x v="38"/>
    <x v="0"/>
    <x v="1"/>
    <s v="DK2_Large_PHH"/>
    <x v="14"/>
    <n v="29.633696768848399"/>
    <n v="8.2315824357912195"/>
  </r>
  <r>
    <x v="0"/>
    <x v="38"/>
    <x v="0"/>
    <x v="1"/>
    <s v="DK2_Large_PHH"/>
    <x v="15"/>
    <n v="1.65807589063794"/>
    <n v="0.46057663628831802"/>
  </r>
  <r>
    <x v="0"/>
    <x v="38"/>
    <x v="0"/>
    <x v="1"/>
    <s v="DK2_Large_PHH"/>
    <x v="16"/>
    <n v="6.3819281410478998"/>
    <n v="1.77275781695775"/>
  </r>
  <r>
    <x v="0"/>
    <x v="38"/>
    <x v="0"/>
    <x v="1"/>
    <s v="DK2_Large_PHH"/>
    <x v="17"/>
    <n v="9.1244895875632395"/>
    <n v="2.5345804409897901"/>
  </r>
  <r>
    <x v="0"/>
    <x v="38"/>
    <x v="0"/>
    <x v="1"/>
    <s v="DK2_Large_PHH"/>
    <x v="18"/>
    <n v="29.633696768848399"/>
    <n v="8.2315824357912195"/>
  </r>
  <r>
    <x v="0"/>
    <x v="38"/>
    <x v="0"/>
    <x v="1"/>
    <s v="DK2_Large_PHH"/>
    <x v="19"/>
    <n v="8.1139884009941898"/>
    <n v="2.2538856669428302"/>
  </r>
  <r>
    <x v="0"/>
    <x v="38"/>
    <x v="0"/>
    <x v="1"/>
    <s v="DK2_Large_PHH"/>
    <x v="20"/>
    <n v="22.109183021311601"/>
    <n v="6.1414397281420996"/>
  </r>
  <r>
    <x v="0"/>
    <x v="38"/>
    <x v="0"/>
    <x v="1"/>
    <s v="DK2_Large_PHH"/>
    <x v="21"/>
    <n v="47.52"/>
    <n v="13.2"/>
  </r>
  <r>
    <x v="0"/>
    <x v="38"/>
    <x v="0"/>
    <x v="1"/>
    <s v="DK2_Large_PHH"/>
    <x v="22"/>
    <n v="61.56"/>
    <n v="17.100000000000001"/>
  </r>
  <r>
    <x v="0"/>
    <x v="38"/>
    <x v="0"/>
    <x v="1"/>
    <s v="DK2_Large_PHH"/>
    <x v="23"/>
    <n v="0.31515896120488701"/>
    <n v="8.7544155890246306E-2"/>
  </r>
  <r>
    <x v="0"/>
    <x v="38"/>
    <x v="0"/>
    <x v="1"/>
    <s v="DK2_Large_PHH"/>
    <x v="24"/>
    <n v="19.174223581093901"/>
    <n v="5.32617321697054"/>
  </r>
  <r>
    <x v="0"/>
    <x v="38"/>
    <x v="0"/>
    <x v="1"/>
    <s v="DK2_Large_PHH"/>
    <x v="25"/>
    <n v="26.209507293842599"/>
    <n v="7.2804186927340497"/>
  </r>
  <r>
    <x v="0"/>
    <x v="38"/>
    <x v="0"/>
    <x v="1"/>
    <s v="DK2_Large_PHH"/>
    <x v="26"/>
    <n v="33.320887798496699"/>
    <n v="9.2558021662490795"/>
  </r>
  <r>
    <x v="0"/>
    <x v="38"/>
    <x v="0"/>
    <x v="1"/>
    <s v="DK2_Large_PHH"/>
    <x v="27"/>
    <n v="20.163995508318798"/>
    <n v="5.6011098634218799"/>
  </r>
  <r>
    <x v="0"/>
    <x v="38"/>
    <x v="0"/>
    <x v="1"/>
    <s v="DK2_Large_PHL"/>
    <x v="1"/>
    <n v="35.989199999999997"/>
    <n v="9.9969999999999999"/>
  </r>
  <r>
    <x v="0"/>
    <x v="38"/>
    <x v="0"/>
    <x v="1"/>
    <s v="DK2_Large_PHL"/>
    <x v="2"/>
    <n v="43.2"/>
    <n v="12"/>
  </r>
  <r>
    <x v="0"/>
    <x v="38"/>
    <x v="0"/>
    <x v="1"/>
    <s v="DK2_Large_PHL"/>
    <x v="0"/>
    <n v="42.692399999999999"/>
    <n v="11.859"/>
  </r>
  <r>
    <x v="0"/>
    <x v="38"/>
    <x v="0"/>
    <x v="1"/>
    <s v="DK2_Large_PHL"/>
    <x v="3"/>
    <n v="51.633543144067197"/>
    <n v="14.342650873352"/>
  </r>
  <r>
    <x v="0"/>
    <x v="38"/>
    <x v="0"/>
    <x v="1"/>
    <s v="DK2_Large_PHL"/>
    <x v="4"/>
    <n v="6.3500778790389401"/>
    <n v="1.76391052195526"/>
  </r>
  <r>
    <x v="0"/>
    <x v="38"/>
    <x v="0"/>
    <x v="1"/>
    <s v="DK2_Large_PHL"/>
    <x v="5"/>
    <n v="6.3500778790389401"/>
    <n v="1.76391052195526"/>
  </r>
  <r>
    <x v="0"/>
    <x v="38"/>
    <x v="0"/>
    <x v="1"/>
    <s v="DK2_Large_PHL"/>
    <x v="6"/>
    <n v="29.476231795214598"/>
    <n v="8.1878421653373898"/>
  </r>
  <r>
    <x v="0"/>
    <x v="38"/>
    <x v="0"/>
    <x v="1"/>
    <s v="DK2_Large_PHL"/>
    <x v="7"/>
    <n v="57.838935220261199"/>
    <n v="16.066370894517"/>
  </r>
  <r>
    <x v="0"/>
    <x v="38"/>
    <x v="0"/>
    <x v="1"/>
    <s v="DK2_Large_PHL"/>
    <x v="8"/>
    <n v="57.838935220261199"/>
    <n v="16.066370894517"/>
  </r>
  <r>
    <x v="0"/>
    <x v="38"/>
    <x v="0"/>
    <x v="1"/>
    <s v="DK2_Large_PHL"/>
    <x v="9"/>
    <n v="44.4505451532725"/>
    <n v="12.3473736536868"/>
  </r>
  <r>
    <x v="0"/>
    <x v="38"/>
    <x v="0"/>
    <x v="1"/>
    <s v="DK2_Large_PHL"/>
    <x v="10"/>
    <n v="53.975661971830903"/>
    <n v="14.993239436619699"/>
  </r>
  <r>
    <x v="0"/>
    <x v="38"/>
    <x v="0"/>
    <x v="1"/>
    <s v="DK2_Large_PHL"/>
    <x v="11"/>
    <n v="3.8806031483015802"/>
    <n v="1.07794531897266"/>
  </r>
  <r>
    <x v="0"/>
    <x v="38"/>
    <x v="0"/>
    <x v="1"/>
    <s v="DK2_Large_PHL"/>
    <x v="12"/>
    <n v="9.7995028997514597E-2"/>
    <n v="2.72208413881985E-2"/>
  </r>
  <r>
    <x v="0"/>
    <x v="38"/>
    <x v="0"/>
    <x v="1"/>
    <s v="DK2_Large_PHL"/>
    <x v="13"/>
    <n v="29.633696768848399"/>
    <n v="8.2315824357912195"/>
  </r>
  <r>
    <x v="0"/>
    <x v="38"/>
    <x v="0"/>
    <x v="1"/>
    <s v="DK2_Large_PHL"/>
    <x v="14"/>
    <n v="29.633696768848399"/>
    <n v="8.2315824357912195"/>
  </r>
  <r>
    <x v="0"/>
    <x v="38"/>
    <x v="0"/>
    <x v="1"/>
    <s v="DK2_Large_PHL"/>
    <x v="15"/>
    <n v="1.65807589063794"/>
    <n v="0.46057663628831802"/>
  </r>
  <r>
    <x v="0"/>
    <x v="38"/>
    <x v="0"/>
    <x v="1"/>
    <s v="DK2_Large_PHL"/>
    <x v="16"/>
    <n v="6.3819281410478998"/>
    <n v="1.77275781695775"/>
  </r>
  <r>
    <x v="0"/>
    <x v="38"/>
    <x v="0"/>
    <x v="1"/>
    <s v="DK2_Large_PHL"/>
    <x v="17"/>
    <n v="9.1244895875632395"/>
    <n v="2.5345804409897901"/>
  </r>
  <r>
    <x v="0"/>
    <x v="38"/>
    <x v="0"/>
    <x v="1"/>
    <s v="DK2_Large_PHL"/>
    <x v="18"/>
    <n v="29.633696768848399"/>
    <n v="8.2315824357912195"/>
  </r>
  <r>
    <x v="0"/>
    <x v="38"/>
    <x v="0"/>
    <x v="1"/>
    <s v="DK2_Large_PHL"/>
    <x v="19"/>
    <n v="8.1139884009941898"/>
    <n v="2.2538856669428302"/>
  </r>
  <r>
    <x v="0"/>
    <x v="38"/>
    <x v="0"/>
    <x v="1"/>
    <s v="DK2_Large_PHL"/>
    <x v="20"/>
    <n v="22.109183021311601"/>
    <n v="6.1414397281420996"/>
  </r>
  <r>
    <x v="0"/>
    <x v="38"/>
    <x v="0"/>
    <x v="1"/>
    <s v="DK2_Large_PHL"/>
    <x v="21"/>
    <n v="47.52"/>
    <n v="13.2"/>
  </r>
  <r>
    <x v="0"/>
    <x v="38"/>
    <x v="0"/>
    <x v="1"/>
    <s v="DK2_Large_PHL"/>
    <x v="22"/>
    <n v="61.56"/>
    <n v="17.100000000000001"/>
  </r>
  <r>
    <x v="0"/>
    <x v="38"/>
    <x v="0"/>
    <x v="1"/>
    <s v="DK2_Large_PHL"/>
    <x v="23"/>
    <n v="0.31515896120488701"/>
    <n v="8.7544155890246306E-2"/>
  </r>
  <r>
    <x v="0"/>
    <x v="38"/>
    <x v="0"/>
    <x v="1"/>
    <s v="DK2_Large_PHL"/>
    <x v="24"/>
    <n v="19.174223581093901"/>
    <n v="5.32617321697054"/>
  </r>
  <r>
    <x v="0"/>
    <x v="38"/>
    <x v="0"/>
    <x v="1"/>
    <s v="DK2_Large_PHL"/>
    <x v="25"/>
    <n v="26.209507293842599"/>
    <n v="7.2804186927340497"/>
  </r>
  <r>
    <x v="0"/>
    <x v="38"/>
    <x v="0"/>
    <x v="1"/>
    <s v="DK2_Large_PHL"/>
    <x v="26"/>
    <n v="33.320887798496699"/>
    <n v="9.2558021662490795"/>
  </r>
  <r>
    <x v="0"/>
    <x v="38"/>
    <x v="0"/>
    <x v="1"/>
    <s v="DK2_Large_PHL"/>
    <x v="27"/>
    <n v="20.163995508318798"/>
    <n v="5.6011098634218799"/>
  </r>
  <r>
    <x v="0"/>
    <x v="38"/>
    <x v="0"/>
    <x v="1"/>
    <s v="DK2_MedSmall"/>
    <x v="1"/>
    <n v="35.989199999999997"/>
    <n v="9.9969999999999999"/>
  </r>
  <r>
    <x v="0"/>
    <x v="38"/>
    <x v="0"/>
    <x v="1"/>
    <s v="DK2_MedSmall"/>
    <x v="2"/>
    <n v="43.2"/>
    <n v="12"/>
  </r>
  <r>
    <x v="0"/>
    <x v="38"/>
    <x v="0"/>
    <x v="1"/>
    <s v="DK2_MedSmall"/>
    <x v="0"/>
    <n v="42.692399999999999"/>
    <n v="11.859"/>
  </r>
  <r>
    <x v="0"/>
    <x v="38"/>
    <x v="0"/>
    <x v="1"/>
    <s v="DK2_MedSmall"/>
    <x v="3"/>
    <n v="51.633543144067197"/>
    <n v="14.342650873352"/>
  </r>
  <r>
    <x v="0"/>
    <x v="38"/>
    <x v="0"/>
    <x v="1"/>
    <s v="DK2_MedSmall"/>
    <x v="4"/>
    <n v="6.3500778790389401"/>
    <n v="1.76391052195526"/>
  </r>
  <r>
    <x v="0"/>
    <x v="38"/>
    <x v="0"/>
    <x v="1"/>
    <s v="DK2_MedSmall"/>
    <x v="5"/>
    <n v="6.3500778790389401"/>
    <n v="1.76391052195526"/>
  </r>
  <r>
    <x v="0"/>
    <x v="38"/>
    <x v="0"/>
    <x v="1"/>
    <s v="DK2_MedSmall"/>
    <x v="6"/>
    <n v="29.476231795214598"/>
    <n v="8.1878421653373898"/>
  </r>
  <r>
    <x v="0"/>
    <x v="38"/>
    <x v="0"/>
    <x v="1"/>
    <s v="DK2_MedSmall"/>
    <x v="7"/>
    <n v="57.838935220261199"/>
    <n v="16.066370894517"/>
  </r>
  <r>
    <x v="0"/>
    <x v="38"/>
    <x v="0"/>
    <x v="1"/>
    <s v="DK2_MedSmall"/>
    <x v="8"/>
    <n v="57.838935220261199"/>
    <n v="16.066370894517"/>
  </r>
  <r>
    <x v="0"/>
    <x v="38"/>
    <x v="0"/>
    <x v="1"/>
    <s v="DK2_MedSmall"/>
    <x v="9"/>
    <n v="44.4505451532725"/>
    <n v="12.3473736536868"/>
  </r>
  <r>
    <x v="0"/>
    <x v="38"/>
    <x v="0"/>
    <x v="1"/>
    <s v="DK2_MedSmall"/>
    <x v="10"/>
    <n v="53.975661971830903"/>
    <n v="14.993239436619699"/>
  </r>
  <r>
    <x v="0"/>
    <x v="38"/>
    <x v="0"/>
    <x v="1"/>
    <s v="DK2_MedSmall"/>
    <x v="11"/>
    <n v="3.8806031483015802"/>
    <n v="1.07794531897266"/>
  </r>
  <r>
    <x v="0"/>
    <x v="38"/>
    <x v="0"/>
    <x v="1"/>
    <s v="DK2_MedSmall"/>
    <x v="12"/>
    <n v="9.7995028997514597E-2"/>
    <n v="2.72208413881985E-2"/>
  </r>
  <r>
    <x v="0"/>
    <x v="38"/>
    <x v="0"/>
    <x v="1"/>
    <s v="DK2_MedSmall"/>
    <x v="13"/>
    <n v="29.633696768848399"/>
    <n v="8.2315824357912195"/>
  </r>
  <r>
    <x v="0"/>
    <x v="38"/>
    <x v="0"/>
    <x v="1"/>
    <s v="DK2_MedSmall"/>
    <x v="14"/>
    <n v="29.633696768848399"/>
    <n v="8.2315824357912195"/>
  </r>
  <r>
    <x v="0"/>
    <x v="38"/>
    <x v="0"/>
    <x v="1"/>
    <s v="DK2_MedSmall"/>
    <x v="15"/>
    <n v="1.65807589063794"/>
    <n v="0.46057663628831802"/>
  </r>
  <r>
    <x v="0"/>
    <x v="38"/>
    <x v="0"/>
    <x v="1"/>
    <s v="DK2_MedSmall"/>
    <x v="16"/>
    <n v="6.3819281410478998"/>
    <n v="1.77275781695775"/>
  </r>
  <r>
    <x v="0"/>
    <x v="38"/>
    <x v="0"/>
    <x v="1"/>
    <s v="DK2_MedSmall"/>
    <x v="17"/>
    <n v="9.1244895875632395"/>
    <n v="2.5345804409897901"/>
  </r>
  <r>
    <x v="0"/>
    <x v="38"/>
    <x v="0"/>
    <x v="1"/>
    <s v="DK2_MedSmall"/>
    <x v="18"/>
    <n v="29.633696768848399"/>
    <n v="8.2315824357912195"/>
  </r>
  <r>
    <x v="0"/>
    <x v="38"/>
    <x v="0"/>
    <x v="1"/>
    <s v="DK2_MedSmall"/>
    <x v="19"/>
    <n v="8.1139884009941898"/>
    <n v="2.2538856669428302"/>
  </r>
  <r>
    <x v="0"/>
    <x v="38"/>
    <x v="0"/>
    <x v="1"/>
    <s v="DK2_MedSmall"/>
    <x v="20"/>
    <n v="22.109183021311601"/>
    <n v="6.1414397281420996"/>
  </r>
  <r>
    <x v="0"/>
    <x v="38"/>
    <x v="0"/>
    <x v="1"/>
    <s v="DK2_MedSmall"/>
    <x v="21"/>
    <n v="47.52"/>
    <n v="13.2"/>
  </r>
  <r>
    <x v="0"/>
    <x v="38"/>
    <x v="0"/>
    <x v="1"/>
    <s v="DK2_MedSmall"/>
    <x v="22"/>
    <n v="61.56"/>
    <n v="17.100000000000001"/>
  </r>
  <r>
    <x v="0"/>
    <x v="38"/>
    <x v="0"/>
    <x v="1"/>
    <s v="DK2_MedSmall"/>
    <x v="23"/>
    <n v="0.31515896120488701"/>
    <n v="8.7544155890246306E-2"/>
  </r>
  <r>
    <x v="0"/>
    <x v="38"/>
    <x v="0"/>
    <x v="1"/>
    <s v="DK2_MedSmall"/>
    <x v="24"/>
    <n v="19.174223581093901"/>
    <n v="5.32617321697054"/>
  </r>
  <r>
    <x v="0"/>
    <x v="38"/>
    <x v="0"/>
    <x v="1"/>
    <s v="DK2_MedSmall"/>
    <x v="25"/>
    <n v="26.209507293842599"/>
    <n v="7.2804186927340497"/>
  </r>
  <r>
    <x v="0"/>
    <x v="38"/>
    <x v="0"/>
    <x v="1"/>
    <s v="DK2_MedSmall"/>
    <x v="26"/>
    <n v="33.320887798496699"/>
    <n v="9.2558021662490795"/>
  </r>
  <r>
    <x v="0"/>
    <x v="38"/>
    <x v="0"/>
    <x v="1"/>
    <s v="DK2_MedSmall"/>
    <x v="27"/>
    <n v="20.163995508318798"/>
    <n v="5.6011098634218799"/>
  </r>
  <r>
    <x v="0"/>
    <x v="38"/>
    <x v="0"/>
    <x v="1"/>
    <s v="DK2_Medium"/>
    <x v="1"/>
    <n v="35.989199999999997"/>
    <n v="9.9969999999999999"/>
  </r>
  <r>
    <x v="0"/>
    <x v="38"/>
    <x v="0"/>
    <x v="1"/>
    <s v="DK2_Medium"/>
    <x v="2"/>
    <n v="43.2"/>
    <n v="12"/>
  </r>
  <r>
    <x v="0"/>
    <x v="38"/>
    <x v="0"/>
    <x v="1"/>
    <s v="DK2_Medium"/>
    <x v="0"/>
    <n v="42.692399999999999"/>
    <n v="11.859"/>
  </r>
  <r>
    <x v="0"/>
    <x v="38"/>
    <x v="0"/>
    <x v="1"/>
    <s v="DK2_Medium"/>
    <x v="3"/>
    <n v="51.633543144067197"/>
    <n v="14.342650873352"/>
  </r>
  <r>
    <x v="0"/>
    <x v="38"/>
    <x v="0"/>
    <x v="1"/>
    <s v="DK2_Medium"/>
    <x v="4"/>
    <n v="6.3500778790389401"/>
    <n v="1.76391052195526"/>
  </r>
  <r>
    <x v="0"/>
    <x v="38"/>
    <x v="0"/>
    <x v="1"/>
    <s v="DK2_Medium"/>
    <x v="5"/>
    <n v="6.3500778790389401"/>
    <n v="1.76391052195526"/>
  </r>
  <r>
    <x v="0"/>
    <x v="38"/>
    <x v="0"/>
    <x v="1"/>
    <s v="DK2_Medium"/>
    <x v="6"/>
    <n v="29.476231795214598"/>
    <n v="8.1878421653373898"/>
  </r>
  <r>
    <x v="0"/>
    <x v="38"/>
    <x v="0"/>
    <x v="1"/>
    <s v="DK2_Medium"/>
    <x v="7"/>
    <n v="57.838935220261199"/>
    <n v="16.066370894517"/>
  </r>
  <r>
    <x v="0"/>
    <x v="38"/>
    <x v="0"/>
    <x v="1"/>
    <s v="DK2_Medium"/>
    <x v="8"/>
    <n v="57.838935220261199"/>
    <n v="16.066370894517"/>
  </r>
  <r>
    <x v="0"/>
    <x v="38"/>
    <x v="0"/>
    <x v="1"/>
    <s v="DK2_Medium"/>
    <x v="9"/>
    <n v="44.4505451532725"/>
    <n v="12.3473736536868"/>
  </r>
  <r>
    <x v="0"/>
    <x v="38"/>
    <x v="0"/>
    <x v="1"/>
    <s v="DK2_Medium"/>
    <x v="10"/>
    <n v="53.975661971830903"/>
    <n v="14.993239436619699"/>
  </r>
  <r>
    <x v="0"/>
    <x v="38"/>
    <x v="0"/>
    <x v="1"/>
    <s v="DK2_Medium"/>
    <x v="11"/>
    <n v="3.8806031483015802"/>
    <n v="1.07794531897266"/>
  </r>
  <r>
    <x v="0"/>
    <x v="38"/>
    <x v="0"/>
    <x v="1"/>
    <s v="DK2_Medium"/>
    <x v="12"/>
    <n v="9.7995028997514597E-2"/>
    <n v="2.72208413881985E-2"/>
  </r>
  <r>
    <x v="0"/>
    <x v="38"/>
    <x v="0"/>
    <x v="1"/>
    <s v="DK2_Medium"/>
    <x v="13"/>
    <n v="29.633696768848399"/>
    <n v="8.2315824357912195"/>
  </r>
  <r>
    <x v="0"/>
    <x v="38"/>
    <x v="0"/>
    <x v="1"/>
    <s v="DK2_Medium"/>
    <x v="14"/>
    <n v="29.633696768848399"/>
    <n v="8.2315824357912195"/>
  </r>
  <r>
    <x v="0"/>
    <x v="38"/>
    <x v="0"/>
    <x v="1"/>
    <s v="DK2_Medium"/>
    <x v="15"/>
    <n v="1.65807589063794"/>
    <n v="0.46057663628831802"/>
  </r>
  <r>
    <x v="0"/>
    <x v="38"/>
    <x v="0"/>
    <x v="1"/>
    <s v="DK2_Medium"/>
    <x v="16"/>
    <n v="6.3819281410478998"/>
    <n v="1.77275781695775"/>
  </r>
  <r>
    <x v="0"/>
    <x v="38"/>
    <x v="0"/>
    <x v="1"/>
    <s v="DK2_Medium"/>
    <x v="17"/>
    <n v="9.1244895875632395"/>
    <n v="2.5345804409897901"/>
  </r>
  <r>
    <x v="0"/>
    <x v="38"/>
    <x v="0"/>
    <x v="1"/>
    <s v="DK2_Medium"/>
    <x v="18"/>
    <n v="29.633696768848399"/>
    <n v="8.2315824357912195"/>
  </r>
  <r>
    <x v="0"/>
    <x v="38"/>
    <x v="0"/>
    <x v="1"/>
    <s v="DK2_Medium"/>
    <x v="19"/>
    <n v="8.1139884009941898"/>
    <n v="2.2538856669428302"/>
  </r>
  <r>
    <x v="0"/>
    <x v="38"/>
    <x v="0"/>
    <x v="1"/>
    <s v="DK2_Medium"/>
    <x v="20"/>
    <n v="22.109183021311601"/>
    <n v="6.1414397281420996"/>
  </r>
  <r>
    <x v="0"/>
    <x v="38"/>
    <x v="0"/>
    <x v="1"/>
    <s v="DK2_Medium"/>
    <x v="21"/>
    <n v="47.52"/>
    <n v="13.2"/>
  </r>
  <r>
    <x v="0"/>
    <x v="38"/>
    <x v="0"/>
    <x v="1"/>
    <s v="DK2_Medium"/>
    <x v="22"/>
    <n v="61.56"/>
    <n v="17.100000000000001"/>
  </r>
  <r>
    <x v="0"/>
    <x v="38"/>
    <x v="0"/>
    <x v="1"/>
    <s v="DK2_Medium"/>
    <x v="23"/>
    <n v="0.31515896120488701"/>
    <n v="8.7544155890246306E-2"/>
  </r>
  <r>
    <x v="0"/>
    <x v="38"/>
    <x v="0"/>
    <x v="1"/>
    <s v="DK2_Medium"/>
    <x v="24"/>
    <n v="19.174223581093901"/>
    <n v="5.32617321697054"/>
  </r>
  <r>
    <x v="0"/>
    <x v="38"/>
    <x v="0"/>
    <x v="1"/>
    <s v="DK2_Medium"/>
    <x v="25"/>
    <n v="26.209507293842599"/>
    <n v="7.2804186927340497"/>
  </r>
  <r>
    <x v="0"/>
    <x v="38"/>
    <x v="0"/>
    <x v="1"/>
    <s v="DK2_Medium"/>
    <x v="26"/>
    <n v="33.320887798496699"/>
    <n v="9.2558021662490795"/>
  </r>
  <r>
    <x v="0"/>
    <x v="38"/>
    <x v="0"/>
    <x v="1"/>
    <s v="DK2_Medium"/>
    <x v="27"/>
    <n v="20.163995508318798"/>
    <n v="5.6011098634218799"/>
  </r>
  <r>
    <x v="0"/>
    <x v="38"/>
    <x v="0"/>
    <x v="1"/>
    <s v="DK2_NoDH"/>
    <x v="1"/>
    <n v="35.989199999999997"/>
    <n v="9.9969999999999999"/>
  </r>
  <r>
    <x v="0"/>
    <x v="38"/>
    <x v="0"/>
    <x v="1"/>
    <s v="DK2_NoDH"/>
    <x v="2"/>
    <n v="43.2"/>
    <n v="12"/>
  </r>
  <r>
    <x v="0"/>
    <x v="38"/>
    <x v="0"/>
    <x v="1"/>
    <s v="DK2_NoDH"/>
    <x v="0"/>
    <n v="42.692399999999999"/>
    <n v="11.859"/>
  </r>
  <r>
    <x v="0"/>
    <x v="38"/>
    <x v="0"/>
    <x v="1"/>
    <s v="DK2_NoDH"/>
    <x v="3"/>
    <n v="51.633543144067197"/>
    <n v="14.342650873352"/>
  </r>
  <r>
    <x v="0"/>
    <x v="38"/>
    <x v="0"/>
    <x v="1"/>
    <s v="DK2_NoDH"/>
    <x v="4"/>
    <n v="6.3500778790389401"/>
    <n v="1.76391052195526"/>
  </r>
  <r>
    <x v="0"/>
    <x v="38"/>
    <x v="0"/>
    <x v="1"/>
    <s v="DK2_NoDH"/>
    <x v="5"/>
    <n v="6.3500778790389401"/>
    <n v="1.76391052195526"/>
  </r>
  <r>
    <x v="0"/>
    <x v="38"/>
    <x v="0"/>
    <x v="1"/>
    <s v="DK2_NoDH"/>
    <x v="6"/>
    <n v="29.476231795214598"/>
    <n v="8.1878421653373898"/>
  </r>
  <r>
    <x v="0"/>
    <x v="38"/>
    <x v="0"/>
    <x v="1"/>
    <s v="DK2_NoDH"/>
    <x v="7"/>
    <n v="57.838935220261199"/>
    <n v="16.066370894517"/>
  </r>
  <r>
    <x v="0"/>
    <x v="38"/>
    <x v="0"/>
    <x v="1"/>
    <s v="DK2_NoDH"/>
    <x v="8"/>
    <n v="57.838935220261199"/>
    <n v="16.066370894517"/>
  </r>
  <r>
    <x v="0"/>
    <x v="38"/>
    <x v="0"/>
    <x v="1"/>
    <s v="DK2_NoDH"/>
    <x v="9"/>
    <n v="44.4505451532725"/>
    <n v="12.3473736536868"/>
  </r>
  <r>
    <x v="0"/>
    <x v="38"/>
    <x v="0"/>
    <x v="1"/>
    <s v="DK2_NoDH"/>
    <x v="10"/>
    <n v="53.975661971830903"/>
    <n v="14.993239436619699"/>
  </r>
  <r>
    <x v="0"/>
    <x v="38"/>
    <x v="0"/>
    <x v="1"/>
    <s v="DK2_NoDH"/>
    <x v="11"/>
    <n v="3.8806031483015802"/>
    <n v="1.07794531897266"/>
  </r>
  <r>
    <x v="0"/>
    <x v="38"/>
    <x v="0"/>
    <x v="1"/>
    <s v="DK2_NoDH"/>
    <x v="12"/>
    <n v="9.7995028997514597E-2"/>
    <n v="2.72208413881985E-2"/>
  </r>
  <r>
    <x v="0"/>
    <x v="38"/>
    <x v="0"/>
    <x v="1"/>
    <s v="DK2_NoDH"/>
    <x v="13"/>
    <n v="29.633696768848399"/>
    <n v="8.2315824357912195"/>
  </r>
  <r>
    <x v="0"/>
    <x v="38"/>
    <x v="0"/>
    <x v="1"/>
    <s v="DK2_NoDH"/>
    <x v="14"/>
    <n v="29.633696768848399"/>
    <n v="8.2315824357912195"/>
  </r>
  <r>
    <x v="0"/>
    <x v="38"/>
    <x v="0"/>
    <x v="1"/>
    <s v="DK2_NoDH"/>
    <x v="15"/>
    <n v="1.65807589063794"/>
    <n v="0.46057663628831802"/>
  </r>
  <r>
    <x v="0"/>
    <x v="38"/>
    <x v="0"/>
    <x v="1"/>
    <s v="DK2_NoDH"/>
    <x v="16"/>
    <n v="6.3819281410478998"/>
    <n v="1.77275781695775"/>
  </r>
  <r>
    <x v="0"/>
    <x v="38"/>
    <x v="0"/>
    <x v="1"/>
    <s v="DK2_NoDH"/>
    <x v="17"/>
    <n v="9.1244895875632395"/>
    <n v="2.5345804409897901"/>
  </r>
  <r>
    <x v="0"/>
    <x v="38"/>
    <x v="0"/>
    <x v="1"/>
    <s v="DK2_NoDH"/>
    <x v="18"/>
    <n v="29.633696768848399"/>
    <n v="8.2315824357912195"/>
  </r>
  <r>
    <x v="0"/>
    <x v="38"/>
    <x v="0"/>
    <x v="1"/>
    <s v="DK2_NoDH"/>
    <x v="19"/>
    <n v="8.1139884009941898"/>
    <n v="2.2538856669428302"/>
  </r>
  <r>
    <x v="0"/>
    <x v="38"/>
    <x v="0"/>
    <x v="1"/>
    <s v="DK2_NoDH"/>
    <x v="20"/>
    <n v="22.109183021311601"/>
    <n v="6.1414397281420996"/>
  </r>
  <r>
    <x v="0"/>
    <x v="38"/>
    <x v="0"/>
    <x v="1"/>
    <s v="DK2_NoDH"/>
    <x v="21"/>
    <n v="47.52"/>
    <n v="13.2"/>
  </r>
  <r>
    <x v="0"/>
    <x v="38"/>
    <x v="0"/>
    <x v="1"/>
    <s v="DK2_NoDH"/>
    <x v="22"/>
    <n v="61.56"/>
    <n v="17.100000000000001"/>
  </r>
  <r>
    <x v="0"/>
    <x v="38"/>
    <x v="0"/>
    <x v="1"/>
    <s v="DK2_NoDH"/>
    <x v="23"/>
    <n v="0.31515896120488701"/>
    <n v="8.7544155890246306E-2"/>
  </r>
  <r>
    <x v="0"/>
    <x v="38"/>
    <x v="0"/>
    <x v="1"/>
    <s v="DK2_NoDH"/>
    <x v="24"/>
    <n v="19.174223581093901"/>
    <n v="5.32617321697054"/>
  </r>
  <r>
    <x v="0"/>
    <x v="38"/>
    <x v="0"/>
    <x v="1"/>
    <s v="DK2_NoDH"/>
    <x v="25"/>
    <n v="26.209507293842599"/>
    <n v="7.2804186927340497"/>
  </r>
  <r>
    <x v="0"/>
    <x v="38"/>
    <x v="0"/>
    <x v="1"/>
    <s v="DK2_NoDH"/>
    <x v="26"/>
    <n v="33.320887798496699"/>
    <n v="9.2558021662490795"/>
  </r>
  <r>
    <x v="0"/>
    <x v="38"/>
    <x v="0"/>
    <x v="1"/>
    <s v="DK2_NoDH"/>
    <x v="27"/>
    <n v="20.163995508318798"/>
    <n v="5.6011098634218799"/>
  </r>
  <r>
    <x v="0"/>
    <x v="38"/>
    <x v="0"/>
    <x v="1"/>
    <s v="DK2_NoDH_PHH"/>
    <x v="1"/>
    <n v="35.989199999999997"/>
    <n v="9.9969999999999999"/>
  </r>
  <r>
    <x v="0"/>
    <x v="38"/>
    <x v="0"/>
    <x v="1"/>
    <s v="DK2_NoDH_PHH"/>
    <x v="2"/>
    <n v="43.2"/>
    <n v="12"/>
  </r>
  <r>
    <x v="0"/>
    <x v="38"/>
    <x v="0"/>
    <x v="1"/>
    <s v="DK2_NoDH_PHH"/>
    <x v="0"/>
    <n v="42.692399999999999"/>
    <n v="11.859"/>
  </r>
  <r>
    <x v="0"/>
    <x v="38"/>
    <x v="0"/>
    <x v="1"/>
    <s v="DK2_NoDH_PHH"/>
    <x v="3"/>
    <n v="51.633543144067197"/>
    <n v="14.342650873352"/>
  </r>
  <r>
    <x v="0"/>
    <x v="38"/>
    <x v="0"/>
    <x v="1"/>
    <s v="DK2_NoDH_PHH"/>
    <x v="4"/>
    <n v="6.3500778790389401"/>
    <n v="1.76391052195526"/>
  </r>
  <r>
    <x v="0"/>
    <x v="38"/>
    <x v="0"/>
    <x v="1"/>
    <s v="DK2_NoDH_PHH"/>
    <x v="5"/>
    <n v="6.3500778790389401"/>
    <n v="1.76391052195526"/>
  </r>
  <r>
    <x v="0"/>
    <x v="38"/>
    <x v="0"/>
    <x v="1"/>
    <s v="DK2_NoDH_PHH"/>
    <x v="6"/>
    <n v="29.476231795214598"/>
    <n v="8.1878421653373898"/>
  </r>
  <r>
    <x v="0"/>
    <x v="38"/>
    <x v="0"/>
    <x v="1"/>
    <s v="DK2_NoDH_PHH"/>
    <x v="7"/>
    <n v="57.838935220261199"/>
    <n v="16.066370894517"/>
  </r>
  <r>
    <x v="0"/>
    <x v="38"/>
    <x v="0"/>
    <x v="1"/>
    <s v="DK2_NoDH_PHH"/>
    <x v="8"/>
    <n v="57.838935220261199"/>
    <n v="16.066370894517"/>
  </r>
  <r>
    <x v="0"/>
    <x v="38"/>
    <x v="0"/>
    <x v="1"/>
    <s v="DK2_NoDH_PHH"/>
    <x v="9"/>
    <n v="44.4505451532725"/>
    <n v="12.3473736536868"/>
  </r>
  <r>
    <x v="0"/>
    <x v="38"/>
    <x v="0"/>
    <x v="1"/>
    <s v="DK2_NoDH_PHH"/>
    <x v="10"/>
    <n v="53.975661971830903"/>
    <n v="14.993239436619699"/>
  </r>
  <r>
    <x v="0"/>
    <x v="38"/>
    <x v="0"/>
    <x v="1"/>
    <s v="DK2_NoDH_PHH"/>
    <x v="11"/>
    <n v="3.8806031483015802"/>
    <n v="1.07794531897266"/>
  </r>
  <r>
    <x v="0"/>
    <x v="38"/>
    <x v="0"/>
    <x v="1"/>
    <s v="DK2_NoDH_PHH"/>
    <x v="12"/>
    <n v="9.7995028997514597E-2"/>
    <n v="2.72208413881985E-2"/>
  </r>
  <r>
    <x v="0"/>
    <x v="38"/>
    <x v="0"/>
    <x v="1"/>
    <s v="DK2_NoDH_PHH"/>
    <x v="13"/>
    <n v="29.633696768848399"/>
    <n v="8.2315824357912195"/>
  </r>
  <r>
    <x v="0"/>
    <x v="38"/>
    <x v="0"/>
    <x v="1"/>
    <s v="DK2_NoDH_PHH"/>
    <x v="14"/>
    <n v="29.633696768848399"/>
    <n v="8.2315824357912195"/>
  </r>
  <r>
    <x v="0"/>
    <x v="38"/>
    <x v="0"/>
    <x v="1"/>
    <s v="DK2_NoDH_PHH"/>
    <x v="15"/>
    <n v="1.65807589063794"/>
    <n v="0.46057663628831802"/>
  </r>
  <r>
    <x v="0"/>
    <x v="38"/>
    <x v="0"/>
    <x v="1"/>
    <s v="DK2_NoDH_PHH"/>
    <x v="16"/>
    <n v="6.3819281410478998"/>
    <n v="1.77275781695775"/>
  </r>
  <r>
    <x v="0"/>
    <x v="38"/>
    <x v="0"/>
    <x v="1"/>
    <s v="DK2_NoDH_PHH"/>
    <x v="17"/>
    <n v="9.1244895875632395"/>
    <n v="2.5345804409897901"/>
  </r>
  <r>
    <x v="0"/>
    <x v="38"/>
    <x v="0"/>
    <x v="1"/>
    <s v="DK2_NoDH_PHH"/>
    <x v="18"/>
    <n v="29.633696768848399"/>
    <n v="8.2315824357912195"/>
  </r>
  <r>
    <x v="0"/>
    <x v="38"/>
    <x v="0"/>
    <x v="1"/>
    <s v="DK2_NoDH_PHH"/>
    <x v="19"/>
    <n v="8.1139884009941898"/>
    <n v="2.2538856669428302"/>
  </r>
  <r>
    <x v="0"/>
    <x v="38"/>
    <x v="0"/>
    <x v="1"/>
    <s v="DK2_NoDH_PHH"/>
    <x v="20"/>
    <n v="22.109183021311601"/>
    <n v="6.1414397281420996"/>
  </r>
  <r>
    <x v="0"/>
    <x v="38"/>
    <x v="0"/>
    <x v="1"/>
    <s v="DK2_NoDH_PHH"/>
    <x v="21"/>
    <n v="47.52"/>
    <n v="13.2"/>
  </r>
  <r>
    <x v="0"/>
    <x v="38"/>
    <x v="0"/>
    <x v="1"/>
    <s v="DK2_NoDH_PHH"/>
    <x v="22"/>
    <n v="61.56"/>
    <n v="17.100000000000001"/>
  </r>
  <r>
    <x v="0"/>
    <x v="38"/>
    <x v="0"/>
    <x v="1"/>
    <s v="DK2_NoDH_PHH"/>
    <x v="23"/>
    <n v="0.31515896120488701"/>
    <n v="8.7544155890246306E-2"/>
  </r>
  <r>
    <x v="0"/>
    <x v="38"/>
    <x v="0"/>
    <x v="1"/>
    <s v="DK2_NoDH_PHH"/>
    <x v="24"/>
    <n v="19.174223581093901"/>
    <n v="5.32617321697054"/>
  </r>
  <r>
    <x v="0"/>
    <x v="38"/>
    <x v="0"/>
    <x v="1"/>
    <s v="DK2_NoDH_PHH"/>
    <x v="25"/>
    <n v="26.209507293842599"/>
    <n v="7.2804186927340497"/>
  </r>
  <r>
    <x v="0"/>
    <x v="38"/>
    <x v="0"/>
    <x v="1"/>
    <s v="DK2_NoDH_PHH"/>
    <x v="26"/>
    <n v="33.320887798496699"/>
    <n v="9.2558021662490795"/>
  </r>
  <r>
    <x v="0"/>
    <x v="38"/>
    <x v="0"/>
    <x v="1"/>
    <s v="DK2_NoDH_PHH"/>
    <x v="27"/>
    <n v="20.163995508318798"/>
    <n v="5.6011098634218799"/>
  </r>
  <r>
    <x v="0"/>
    <x v="38"/>
    <x v="0"/>
    <x v="1"/>
    <s v="DK2_NoDH_PHL"/>
    <x v="1"/>
    <n v="35.989199999999997"/>
    <n v="9.9969999999999999"/>
  </r>
  <r>
    <x v="0"/>
    <x v="38"/>
    <x v="0"/>
    <x v="1"/>
    <s v="DK2_NoDH_PHL"/>
    <x v="2"/>
    <n v="43.2"/>
    <n v="12"/>
  </r>
  <r>
    <x v="0"/>
    <x v="38"/>
    <x v="0"/>
    <x v="1"/>
    <s v="DK2_NoDH_PHL"/>
    <x v="0"/>
    <n v="42.692399999999999"/>
    <n v="11.859"/>
  </r>
  <r>
    <x v="0"/>
    <x v="38"/>
    <x v="0"/>
    <x v="1"/>
    <s v="DK2_NoDH_PHL"/>
    <x v="3"/>
    <n v="51.633543144067197"/>
    <n v="14.342650873352"/>
  </r>
  <r>
    <x v="0"/>
    <x v="38"/>
    <x v="0"/>
    <x v="1"/>
    <s v="DK2_NoDH_PHL"/>
    <x v="4"/>
    <n v="6.3500778790389401"/>
    <n v="1.76391052195526"/>
  </r>
  <r>
    <x v="0"/>
    <x v="38"/>
    <x v="0"/>
    <x v="1"/>
    <s v="DK2_NoDH_PHL"/>
    <x v="5"/>
    <n v="6.3500778790389401"/>
    <n v="1.76391052195526"/>
  </r>
  <r>
    <x v="0"/>
    <x v="38"/>
    <x v="0"/>
    <x v="1"/>
    <s v="DK2_NoDH_PHL"/>
    <x v="6"/>
    <n v="29.476231795214598"/>
    <n v="8.1878421653373898"/>
  </r>
  <r>
    <x v="0"/>
    <x v="38"/>
    <x v="0"/>
    <x v="1"/>
    <s v="DK2_NoDH_PHL"/>
    <x v="7"/>
    <n v="57.838935220261199"/>
    <n v="16.066370894517"/>
  </r>
  <r>
    <x v="0"/>
    <x v="38"/>
    <x v="0"/>
    <x v="1"/>
    <s v="DK2_NoDH_PHL"/>
    <x v="8"/>
    <n v="57.838935220261199"/>
    <n v="16.066370894517"/>
  </r>
  <r>
    <x v="0"/>
    <x v="38"/>
    <x v="0"/>
    <x v="1"/>
    <s v="DK2_NoDH_PHL"/>
    <x v="9"/>
    <n v="44.4505451532725"/>
    <n v="12.3473736536868"/>
  </r>
  <r>
    <x v="0"/>
    <x v="38"/>
    <x v="0"/>
    <x v="1"/>
    <s v="DK2_NoDH_PHL"/>
    <x v="10"/>
    <n v="53.975661971830903"/>
    <n v="14.993239436619699"/>
  </r>
  <r>
    <x v="0"/>
    <x v="38"/>
    <x v="0"/>
    <x v="1"/>
    <s v="DK2_NoDH_PHL"/>
    <x v="11"/>
    <n v="3.8806031483015802"/>
    <n v="1.07794531897266"/>
  </r>
  <r>
    <x v="0"/>
    <x v="38"/>
    <x v="0"/>
    <x v="1"/>
    <s v="DK2_NoDH_PHL"/>
    <x v="12"/>
    <n v="9.7995028997514597E-2"/>
    <n v="2.72208413881985E-2"/>
  </r>
  <r>
    <x v="0"/>
    <x v="38"/>
    <x v="0"/>
    <x v="1"/>
    <s v="DK2_NoDH_PHL"/>
    <x v="13"/>
    <n v="29.633696768848399"/>
    <n v="8.2315824357912195"/>
  </r>
  <r>
    <x v="0"/>
    <x v="38"/>
    <x v="0"/>
    <x v="1"/>
    <s v="DK2_NoDH_PHL"/>
    <x v="14"/>
    <n v="29.633696768848399"/>
    <n v="8.2315824357912195"/>
  </r>
  <r>
    <x v="0"/>
    <x v="38"/>
    <x v="0"/>
    <x v="1"/>
    <s v="DK2_NoDH_PHL"/>
    <x v="15"/>
    <n v="1.65807589063794"/>
    <n v="0.46057663628831802"/>
  </r>
  <r>
    <x v="0"/>
    <x v="38"/>
    <x v="0"/>
    <x v="1"/>
    <s v="DK2_NoDH_PHL"/>
    <x v="16"/>
    <n v="6.3819281410478998"/>
    <n v="1.77275781695775"/>
  </r>
  <r>
    <x v="0"/>
    <x v="38"/>
    <x v="0"/>
    <x v="1"/>
    <s v="DK2_NoDH_PHL"/>
    <x v="17"/>
    <n v="9.1244895875632395"/>
    <n v="2.5345804409897901"/>
  </r>
  <r>
    <x v="0"/>
    <x v="38"/>
    <x v="0"/>
    <x v="1"/>
    <s v="DK2_NoDH_PHL"/>
    <x v="18"/>
    <n v="29.633696768848399"/>
    <n v="8.2315824357912195"/>
  </r>
  <r>
    <x v="0"/>
    <x v="38"/>
    <x v="0"/>
    <x v="1"/>
    <s v="DK2_NoDH_PHL"/>
    <x v="19"/>
    <n v="8.1139884009941898"/>
    <n v="2.2538856669428302"/>
  </r>
  <r>
    <x v="0"/>
    <x v="38"/>
    <x v="0"/>
    <x v="1"/>
    <s v="DK2_NoDH_PHL"/>
    <x v="20"/>
    <n v="22.109183021311601"/>
    <n v="6.1414397281420996"/>
  </r>
  <r>
    <x v="0"/>
    <x v="38"/>
    <x v="0"/>
    <x v="1"/>
    <s v="DK2_NoDH_PHL"/>
    <x v="21"/>
    <n v="47.52"/>
    <n v="13.2"/>
  </r>
  <r>
    <x v="0"/>
    <x v="38"/>
    <x v="0"/>
    <x v="1"/>
    <s v="DK2_NoDH_PHL"/>
    <x v="22"/>
    <n v="61.56"/>
    <n v="17.100000000000001"/>
  </r>
  <r>
    <x v="0"/>
    <x v="38"/>
    <x v="0"/>
    <x v="1"/>
    <s v="DK2_NoDH_PHL"/>
    <x v="23"/>
    <n v="0.31515896120488701"/>
    <n v="8.7544155890246306E-2"/>
  </r>
  <r>
    <x v="0"/>
    <x v="38"/>
    <x v="0"/>
    <x v="1"/>
    <s v="DK2_NoDH_PHL"/>
    <x v="24"/>
    <n v="19.174223581093901"/>
    <n v="5.32617321697054"/>
  </r>
  <r>
    <x v="0"/>
    <x v="38"/>
    <x v="0"/>
    <x v="1"/>
    <s v="DK2_NoDH_PHL"/>
    <x v="25"/>
    <n v="26.209507293842599"/>
    <n v="7.2804186927340497"/>
  </r>
  <r>
    <x v="0"/>
    <x v="38"/>
    <x v="0"/>
    <x v="1"/>
    <s v="DK2_NoDH_PHL"/>
    <x v="26"/>
    <n v="33.320887798496699"/>
    <n v="9.2558021662490795"/>
  </r>
  <r>
    <x v="0"/>
    <x v="38"/>
    <x v="0"/>
    <x v="1"/>
    <s v="DK2_NoDH_PHL"/>
    <x v="27"/>
    <n v="20.163995508318798"/>
    <n v="5.6011098634218799"/>
  </r>
  <r>
    <x v="0"/>
    <x v="38"/>
    <x v="0"/>
    <x v="1"/>
    <s v="DK2_Offshore"/>
    <x v="1"/>
    <n v="35.989199999999997"/>
    <n v="9.9969999999999999"/>
  </r>
  <r>
    <x v="0"/>
    <x v="38"/>
    <x v="0"/>
    <x v="1"/>
    <s v="DK2_Offshore"/>
    <x v="2"/>
    <n v="43.2"/>
    <n v="12"/>
  </r>
  <r>
    <x v="0"/>
    <x v="38"/>
    <x v="0"/>
    <x v="1"/>
    <s v="DK2_Offshore"/>
    <x v="0"/>
    <n v="42.692399999999999"/>
    <n v="11.859"/>
  </r>
  <r>
    <x v="0"/>
    <x v="38"/>
    <x v="0"/>
    <x v="1"/>
    <s v="DK2_Offshore"/>
    <x v="3"/>
    <n v="51.633543144067197"/>
    <n v="14.342650873352"/>
  </r>
  <r>
    <x v="0"/>
    <x v="38"/>
    <x v="0"/>
    <x v="1"/>
    <s v="DK2_Offshore"/>
    <x v="4"/>
    <n v="6.3500778790389401"/>
    <n v="1.76391052195526"/>
  </r>
  <r>
    <x v="0"/>
    <x v="38"/>
    <x v="0"/>
    <x v="1"/>
    <s v="DK2_Offshore"/>
    <x v="5"/>
    <n v="6.3500778790389401"/>
    <n v="1.76391052195526"/>
  </r>
  <r>
    <x v="0"/>
    <x v="38"/>
    <x v="0"/>
    <x v="1"/>
    <s v="DK2_Offshore"/>
    <x v="6"/>
    <n v="29.476231795214598"/>
    <n v="8.1878421653373898"/>
  </r>
  <r>
    <x v="0"/>
    <x v="38"/>
    <x v="0"/>
    <x v="1"/>
    <s v="DK2_Offshore"/>
    <x v="7"/>
    <n v="57.838935220261199"/>
    <n v="16.066370894517"/>
  </r>
  <r>
    <x v="0"/>
    <x v="38"/>
    <x v="0"/>
    <x v="1"/>
    <s v="DK2_Offshore"/>
    <x v="8"/>
    <n v="57.838935220261199"/>
    <n v="16.066370894517"/>
  </r>
  <r>
    <x v="0"/>
    <x v="38"/>
    <x v="0"/>
    <x v="1"/>
    <s v="DK2_Offshore"/>
    <x v="9"/>
    <n v="44.4505451532725"/>
    <n v="12.3473736536868"/>
  </r>
  <r>
    <x v="0"/>
    <x v="38"/>
    <x v="0"/>
    <x v="1"/>
    <s v="DK2_Offshore"/>
    <x v="10"/>
    <n v="53.975661971830903"/>
    <n v="14.993239436619699"/>
  </r>
  <r>
    <x v="0"/>
    <x v="38"/>
    <x v="0"/>
    <x v="1"/>
    <s v="DK2_Offshore"/>
    <x v="11"/>
    <n v="3.8806031483015802"/>
    <n v="1.07794531897266"/>
  </r>
  <r>
    <x v="0"/>
    <x v="38"/>
    <x v="0"/>
    <x v="1"/>
    <s v="DK2_Offshore"/>
    <x v="12"/>
    <n v="9.7995028997514597E-2"/>
    <n v="2.72208413881985E-2"/>
  </r>
  <r>
    <x v="0"/>
    <x v="38"/>
    <x v="0"/>
    <x v="1"/>
    <s v="DK2_Offshore"/>
    <x v="13"/>
    <n v="29.633696768848399"/>
    <n v="8.2315824357912195"/>
  </r>
  <r>
    <x v="0"/>
    <x v="38"/>
    <x v="0"/>
    <x v="1"/>
    <s v="DK2_Offshore"/>
    <x v="14"/>
    <n v="29.633696768848399"/>
    <n v="8.2315824357912195"/>
  </r>
  <r>
    <x v="0"/>
    <x v="38"/>
    <x v="0"/>
    <x v="1"/>
    <s v="DK2_Offshore"/>
    <x v="15"/>
    <n v="1.65807589063794"/>
    <n v="0.46057663628831802"/>
  </r>
  <r>
    <x v="0"/>
    <x v="38"/>
    <x v="0"/>
    <x v="1"/>
    <s v="DK2_Offshore"/>
    <x v="16"/>
    <n v="6.3819281410478998"/>
    <n v="1.77275781695775"/>
  </r>
  <r>
    <x v="0"/>
    <x v="38"/>
    <x v="0"/>
    <x v="1"/>
    <s v="DK2_Offshore"/>
    <x v="17"/>
    <n v="9.1244895875632395"/>
    <n v="2.5345804409897901"/>
  </r>
  <r>
    <x v="0"/>
    <x v="38"/>
    <x v="0"/>
    <x v="1"/>
    <s v="DK2_Offshore"/>
    <x v="18"/>
    <n v="29.633696768848399"/>
    <n v="8.2315824357912195"/>
  </r>
  <r>
    <x v="0"/>
    <x v="38"/>
    <x v="0"/>
    <x v="1"/>
    <s v="DK2_Offshore"/>
    <x v="19"/>
    <n v="8.1139884009941898"/>
    <n v="2.2538856669428302"/>
  </r>
  <r>
    <x v="0"/>
    <x v="38"/>
    <x v="0"/>
    <x v="1"/>
    <s v="DK2_Offshore"/>
    <x v="20"/>
    <n v="22.109183021311601"/>
    <n v="6.1414397281420996"/>
  </r>
  <r>
    <x v="0"/>
    <x v="38"/>
    <x v="0"/>
    <x v="1"/>
    <s v="DK2_Offshore"/>
    <x v="21"/>
    <n v="47.52"/>
    <n v="13.2"/>
  </r>
  <r>
    <x v="0"/>
    <x v="38"/>
    <x v="0"/>
    <x v="1"/>
    <s v="DK2_Offshore"/>
    <x v="22"/>
    <n v="61.56"/>
    <n v="17.100000000000001"/>
  </r>
  <r>
    <x v="0"/>
    <x v="38"/>
    <x v="0"/>
    <x v="1"/>
    <s v="DK2_Offshore"/>
    <x v="23"/>
    <n v="0.31515896120488701"/>
    <n v="8.7544155890246306E-2"/>
  </r>
  <r>
    <x v="0"/>
    <x v="38"/>
    <x v="0"/>
    <x v="1"/>
    <s v="DK2_Offshore"/>
    <x v="24"/>
    <n v="19.174223581093901"/>
    <n v="5.32617321697054"/>
  </r>
  <r>
    <x v="0"/>
    <x v="38"/>
    <x v="0"/>
    <x v="1"/>
    <s v="DK2_Offshore"/>
    <x v="25"/>
    <n v="26.209507293842599"/>
    <n v="7.2804186927340497"/>
  </r>
  <r>
    <x v="0"/>
    <x v="38"/>
    <x v="0"/>
    <x v="1"/>
    <s v="DK2_Offshore"/>
    <x v="26"/>
    <n v="33.320887798496699"/>
    <n v="9.2558021662490795"/>
  </r>
  <r>
    <x v="0"/>
    <x v="38"/>
    <x v="0"/>
    <x v="1"/>
    <s v="DK2_Offshore"/>
    <x v="27"/>
    <n v="20.163995508318798"/>
    <n v="5.6011098634218799"/>
  </r>
  <r>
    <x v="0"/>
    <x v="38"/>
    <x v="0"/>
    <x v="1"/>
    <s v="DK2_Rural"/>
    <x v="1"/>
    <n v="35.989199999999997"/>
    <n v="9.9969999999999999"/>
  </r>
  <r>
    <x v="0"/>
    <x v="38"/>
    <x v="0"/>
    <x v="1"/>
    <s v="DK2_Rural"/>
    <x v="2"/>
    <n v="43.2"/>
    <n v="12"/>
  </r>
  <r>
    <x v="0"/>
    <x v="38"/>
    <x v="0"/>
    <x v="1"/>
    <s v="DK2_Rural"/>
    <x v="0"/>
    <n v="42.692399999999999"/>
    <n v="11.859"/>
  </r>
  <r>
    <x v="0"/>
    <x v="38"/>
    <x v="0"/>
    <x v="1"/>
    <s v="DK2_Rural"/>
    <x v="3"/>
    <n v="51.633543144067197"/>
    <n v="14.342650873352"/>
  </r>
  <r>
    <x v="0"/>
    <x v="38"/>
    <x v="0"/>
    <x v="1"/>
    <s v="DK2_Rural"/>
    <x v="4"/>
    <n v="6.3500778790389401"/>
    <n v="1.76391052195526"/>
  </r>
  <r>
    <x v="0"/>
    <x v="38"/>
    <x v="0"/>
    <x v="1"/>
    <s v="DK2_Rural"/>
    <x v="5"/>
    <n v="6.3500778790389401"/>
    <n v="1.76391052195526"/>
  </r>
  <r>
    <x v="0"/>
    <x v="38"/>
    <x v="0"/>
    <x v="1"/>
    <s v="DK2_Rural"/>
    <x v="6"/>
    <n v="29.476231795214598"/>
    <n v="8.1878421653373898"/>
  </r>
  <r>
    <x v="0"/>
    <x v="38"/>
    <x v="0"/>
    <x v="1"/>
    <s v="DK2_Rural"/>
    <x v="7"/>
    <n v="57.838935220261199"/>
    <n v="16.066370894517"/>
  </r>
  <r>
    <x v="0"/>
    <x v="38"/>
    <x v="0"/>
    <x v="1"/>
    <s v="DK2_Rural"/>
    <x v="8"/>
    <n v="57.838935220261199"/>
    <n v="16.066370894517"/>
  </r>
  <r>
    <x v="0"/>
    <x v="38"/>
    <x v="0"/>
    <x v="1"/>
    <s v="DK2_Rural"/>
    <x v="9"/>
    <n v="44.4505451532725"/>
    <n v="12.3473736536868"/>
  </r>
  <r>
    <x v="0"/>
    <x v="38"/>
    <x v="0"/>
    <x v="1"/>
    <s v="DK2_Rural"/>
    <x v="10"/>
    <n v="53.975661971830903"/>
    <n v="14.993239436619699"/>
  </r>
  <r>
    <x v="0"/>
    <x v="38"/>
    <x v="0"/>
    <x v="1"/>
    <s v="DK2_Rural"/>
    <x v="11"/>
    <n v="3.8806031483015802"/>
    <n v="1.07794531897266"/>
  </r>
  <r>
    <x v="0"/>
    <x v="38"/>
    <x v="0"/>
    <x v="1"/>
    <s v="DK2_Rural"/>
    <x v="12"/>
    <n v="9.7995028997514597E-2"/>
    <n v="2.72208413881985E-2"/>
  </r>
  <r>
    <x v="0"/>
    <x v="38"/>
    <x v="0"/>
    <x v="1"/>
    <s v="DK2_Rural"/>
    <x v="13"/>
    <n v="29.633696768848399"/>
    <n v="8.2315824357912195"/>
  </r>
  <r>
    <x v="0"/>
    <x v="38"/>
    <x v="0"/>
    <x v="1"/>
    <s v="DK2_Rural"/>
    <x v="14"/>
    <n v="29.633696768848399"/>
    <n v="8.2315824357912195"/>
  </r>
  <r>
    <x v="0"/>
    <x v="38"/>
    <x v="0"/>
    <x v="1"/>
    <s v="DK2_Rural"/>
    <x v="15"/>
    <n v="1.65807589063794"/>
    <n v="0.46057663628831802"/>
  </r>
  <r>
    <x v="0"/>
    <x v="38"/>
    <x v="0"/>
    <x v="1"/>
    <s v="DK2_Rural"/>
    <x v="16"/>
    <n v="6.3819281410478998"/>
    <n v="1.77275781695775"/>
  </r>
  <r>
    <x v="0"/>
    <x v="38"/>
    <x v="0"/>
    <x v="1"/>
    <s v="DK2_Rural"/>
    <x v="17"/>
    <n v="9.1244895875632395"/>
    <n v="2.5345804409897901"/>
  </r>
  <r>
    <x v="0"/>
    <x v="38"/>
    <x v="0"/>
    <x v="1"/>
    <s v="DK2_Rural"/>
    <x v="18"/>
    <n v="29.633696768848399"/>
    <n v="8.2315824357912195"/>
  </r>
  <r>
    <x v="0"/>
    <x v="38"/>
    <x v="0"/>
    <x v="1"/>
    <s v="DK2_Rural"/>
    <x v="19"/>
    <n v="8.1139884009941898"/>
    <n v="2.2538856669428302"/>
  </r>
  <r>
    <x v="0"/>
    <x v="38"/>
    <x v="0"/>
    <x v="1"/>
    <s v="DK2_Rural"/>
    <x v="20"/>
    <n v="22.109183021311601"/>
    <n v="6.1414397281420996"/>
  </r>
  <r>
    <x v="0"/>
    <x v="38"/>
    <x v="0"/>
    <x v="1"/>
    <s v="DK2_Rural"/>
    <x v="21"/>
    <n v="47.52"/>
    <n v="13.2"/>
  </r>
  <r>
    <x v="0"/>
    <x v="38"/>
    <x v="0"/>
    <x v="1"/>
    <s v="DK2_Rural"/>
    <x v="22"/>
    <n v="61.56"/>
    <n v="17.100000000000001"/>
  </r>
  <r>
    <x v="0"/>
    <x v="38"/>
    <x v="0"/>
    <x v="1"/>
    <s v="DK2_Rural"/>
    <x v="23"/>
    <n v="0.31515896120488701"/>
    <n v="8.7544155890246306E-2"/>
  </r>
  <r>
    <x v="0"/>
    <x v="38"/>
    <x v="0"/>
    <x v="1"/>
    <s v="DK2_Rural"/>
    <x v="24"/>
    <n v="19.174223581093901"/>
    <n v="5.32617321697054"/>
  </r>
  <r>
    <x v="0"/>
    <x v="38"/>
    <x v="0"/>
    <x v="1"/>
    <s v="DK2_Rural"/>
    <x v="25"/>
    <n v="26.209507293842599"/>
    <n v="7.2804186927340497"/>
  </r>
  <r>
    <x v="0"/>
    <x v="38"/>
    <x v="0"/>
    <x v="1"/>
    <s v="DK2_Rural"/>
    <x v="26"/>
    <n v="33.320887798496699"/>
    <n v="9.2558021662490795"/>
  </r>
  <r>
    <x v="0"/>
    <x v="38"/>
    <x v="0"/>
    <x v="1"/>
    <s v="DK2_Rural"/>
    <x v="27"/>
    <n v="20.163995508318798"/>
    <n v="5.6011098634218799"/>
  </r>
  <r>
    <x v="0"/>
    <x v="38"/>
    <x v="0"/>
    <x v="1"/>
    <s v="DK2_Small"/>
    <x v="1"/>
    <n v="35.989199999999997"/>
    <n v="9.9969999999999999"/>
  </r>
  <r>
    <x v="0"/>
    <x v="38"/>
    <x v="0"/>
    <x v="1"/>
    <s v="DK2_Small"/>
    <x v="2"/>
    <n v="43.2"/>
    <n v="12"/>
  </r>
  <r>
    <x v="0"/>
    <x v="38"/>
    <x v="0"/>
    <x v="1"/>
    <s v="DK2_Small"/>
    <x v="0"/>
    <n v="42.692399999999999"/>
    <n v="11.859"/>
  </r>
  <r>
    <x v="0"/>
    <x v="38"/>
    <x v="0"/>
    <x v="1"/>
    <s v="DK2_Small"/>
    <x v="3"/>
    <n v="51.633543144067197"/>
    <n v="14.342650873352"/>
  </r>
  <r>
    <x v="0"/>
    <x v="38"/>
    <x v="0"/>
    <x v="1"/>
    <s v="DK2_Small"/>
    <x v="4"/>
    <n v="6.3500778790389401"/>
    <n v="1.76391052195526"/>
  </r>
  <r>
    <x v="0"/>
    <x v="38"/>
    <x v="0"/>
    <x v="1"/>
    <s v="DK2_Small"/>
    <x v="5"/>
    <n v="6.3500778790389401"/>
    <n v="1.76391052195526"/>
  </r>
  <r>
    <x v="0"/>
    <x v="38"/>
    <x v="0"/>
    <x v="1"/>
    <s v="DK2_Small"/>
    <x v="6"/>
    <n v="29.476231795214598"/>
    <n v="8.1878421653373898"/>
  </r>
  <r>
    <x v="0"/>
    <x v="38"/>
    <x v="0"/>
    <x v="1"/>
    <s v="DK2_Small"/>
    <x v="7"/>
    <n v="57.838935220261199"/>
    <n v="16.066370894517"/>
  </r>
  <r>
    <x v="0"/>
    <x v="38"/>
    <x v="0"/>
    <x v="1"/>
    <s v="DK2_Small"/>
    <x v="8"/>
    <n v="57.838935220261199"/>
    <n v="16.066370894517"/>
  </r>
  <r>
    <x v="0"/>
    <x v="38"/>
    <x v="0"/>
    <x v="1"/>
    <s v="DK2_Small"/>
    <x v="9"/>
    <n v="44.4505451532725"/>
    <n v="12.3473736536868"/>
  </r>
  <r>
    <x v="0"/>
    <x v="38"/>
    <x v="0"/>
    <x v="1"/>
    <s v="DK2_Small"/>
    <x v="10"/>
    <n v="53.975661971830903"/>
    <n v="14.993239436619699"/>
  </r>
  <r>
    <x v="0"/>
    <x v="38"/>
    <x v="0"/>
    <x v="1"/>
    <s v="DK2_Small"/>
    <x v="11"/>
    <n v="3.8806031483015802"/>
    <n v="1.07794531897266"/>
  </r>
  <r>
    <x v="0"/>
    <x v="38"/>
    <x v="0"/>
    <x v="1"/>
    <s v="DK2_Small"/>
    <x v="12"/>
    <n v="9.7995028997514597E-2"/>
    <n v="2.72208413881985E-2"/>
  </r>
  <r>
    <x v="0"/>
    <x v="38"/>
    <x v="0"/>
    <x v="1"/>
    <s v="DK2_Small"/>
    <x v="13"/>
    <n v="29.633696768848399"/>
    <n v="8.2315824357912195"/>
  </r>
  <r>
    <x v="0"/>
    <x v="38"/>
    <x v="0"/>
    <x v="1"/>
    <s v="DK2_Small"/>
    <x v="14"/>
    <n v="29.633696768848399"/>
    <n v="8.2315824357912195"/>
  </r>
  <r>
    <x v="0"/>
    <x v="38"/>
    <x v="0"/>
    <x v="1"/>
    <s v="DK2_Small"/>
    <x v="15"/>
    <n v="1.65807589063794"/>
    <n v="0.46057663628831802"/>
  </r>
  <r>
    <x v="0"/>
    <x v="38"/>
    <x v="0"/>
    <x v="1"/>
    <s v="DK2_Small"/>
    <x v="16"/>
    <n v="6.3819281410478998"/>
    <n v="1.77275781695775"/>
  </r>
  <r>
    <x v="0"/>
    <x v="38"/>
    <x v="0"/>
    <x v="1"/>
    <s v="DK2_Small"/>
    <x v="17"/>
    <n v="9.1244895875632395"/>
    <n v="2.5345804409897901"/>
  </r>
  <r>
    <x v="0"/>
    <x v="38"/>
    <x v="0"/>
    <x v="1"/>
    <s v="DK2_Small"/>
    <x v="18"/>
    <n v="29.633696768848399"/>
    <n v="8.2315824357912195"/>
  </r>
  <r>
    <x v="0"/>
    <x v="38"/>
    <x v="0"/>
    <x v="1"/>
    <s v="DK2_Small"/>
    <x v="19"/>
    <n v="8.1139884009941898"/>
    <n v="2.2538856669428302"/>
  </r>
  <r>
    <x v="0"/>
    <x v="38"/>
    <x v="0"/>
    <x v="1"/>
    <s v="DK2_Small"/>
    <x v="20"/>
    <n v="22.109183021311601"/>
    <n v="6.1414397281420996"/>
  </r>
  <r>
    <x v="0"/>
    <x v="38"/>
    <x v="0"/>
    <x v="1"/>
    <s v="DK2_Small"/>
    <x v="21"/>
    <n v="47.52"/>
    <n v="13.2"/>
  </r>
  <r>
    <x v="0"/>
    <x v="38"/>
    <x v="0"/>
    <x v="1"/>
    <s v="DK2_Small"/>
    <x v="22"/>
    <n v="61.56"/>
    <n v="17.100000000000001"/>
  </r>
  <r>
    <x v="0"/>
    <x v="38"/>
    <x v="0"/>
    <x v="1"/>
    <s v="DK2_Small"/>
    <x v="23"/>
    <n v="0.31515896120488701"/>
    <n v="8.7544155890246306E-2"/>
  </r>
  <r>
    <x v="0"/>
    <x v="38"/>
    <x v="0"/>
    <x v="1"/>
    <s v="DK2_Small"/>
    <x v="24"/>
    <n v="19.174223581093901"/>
    <n v="5.32617321697054"/>
  </r>
  <r>
    <x v="0"/>
    <x v="38"/>
    <x v="0"/>
    <x v="1"/>
    <s v="DK2_Small"/>
    <x v="25"/>
    <n v="26.209507293842599"/>
    <n v="7.2804186927340497"/>
  </r>
  <r>
    <x v="0"/>
    <x v="38"/>
    <x v="0"/>
    <x v="1"/>
    <s v="DK2_Small"/>
    <x v="26"/>
    <n v="33.320887798496699"/>
    <n v="9.2558021662490795"/>
  </r>
  <r>
    <x v="0"/>
    <x v="38"/>
    <x v="0"/>
    <x v="1"/>
    <s v="DK2_Small"/>
    <x v="27"/>
    <n v="20.163995508318798"/>
    <n v="5.6011098634218799"/>
  </r>
  <r>
    <x v="0"/>
    <x v="38"/>
    <x v="1"/>
    <x v="2"/>
    <s v="EE_A"/>
    <x v="1"/>
    <n v="35.989199999999997"/>
    <n v="9.9969999999999999"/>
  </r>
  <r>
    <x v="0"/>
    <x v="38"/>
    <x v="1"/>
    <x v="2"/>
    <s v="EE_A"/>
    <x v="2"/>
    <n v="43.2"/>
    <n v="12"/>
  </r>
  <r>
    <x v="0"/>
    <x v="38"/>
    <x v="1"/>
    <x v="2"/>
    <s v="EE_A"/>
    <x v="0"/>
    <n v="42.692399999999999"/>
    <n v="11.859"/>
  </r>
  <r>
    <x v="0"/>
    <x v="38"/>
    <x v="1"/>
    <x v="2"/>
    <s v="EE_A"/>
    <x v="3"/>
    <n v="51.633543144067197"/>
    <n v="14.342650873352"/>
  </r>
  <r>
    <x v="0"/>
    <x v="38"/>
    <x v="1"/>
    <x v="2"/>
    <s v="EE_A"/>
    <x v="4"/>
    <n v="6.3500778790389401"/>
    <n v="1.76391052195526"/>
  </r>
  <r>
    <x v="0"/>
    <x v="38"/>
    <x v="1"/>
    <x v="2"/>
    <s v="EE_A"/>
    <x v="5"/>
    <n v="6.3500778790389401"/>
    <n v="1.76391052195526"/>
  </r>
  <r>
    <x v="0"/>
    <x v="38"/>
    <x v="1"/>
    <x v="2"/>
    <s v="EE_A"/>
    <x v="6"/>
    <n v="29.476231795214598"/>
    <n v="8.1878421653373898"/>
  </r>
  <r>
    <x v="0"/>
    <x v="38"/>
    <x v="1"/>
    <x v="2"/>
    <s v="EE_A"/>
    <x v="7"/>
    <n v="57.838935220261199"/>
    <n v="16.066370894517"/>
  </r>
  <r>
    <x v="0"/>
    <x v="38"/>
    <x v="1"/>
    <x v="2"/>
    <s v="EE_A"/>
    <x v="8"/>
    <n v="57.838935220261199"/>
    <n v="16.066370894517"/>
  </r>
  <r>
    <x v="0"/>
    <x v="38"/>
    <x v="1"/>
    <x v="2"/>
    <s v="EE_A"/>
    <x v="9"/>
    <n v="44.4505451532725"/>
    <n v="12.3473736536868"/>
  </r>
  <r>
    <x v="0"/>
    <x v="38"/>
    <x v="1"/>
    <x v="2"/>
    <s v="EE_A"/>
    <x v="10"/>
    <n v="53.975661971830903"/>
    <n v="14.993239436619699"/>
  </r>
  <r>
    <x v="0"/>
    <x v="38"/>
    <x v="1"/>
    <x v="2"/>
    <s v="EE_A"/>
    <x v="11"/>
    <n v="3.8806031483015802"/>
    <n v="1.07794531897266"/>
  </r>
  <r>
    <x v="0"/>
    <x v="38"/>
    <x v="1"/>
    <x v="2"/>
    <s v="EE_A"/>
    <x v="12"/>
    <n v="9.7995028997514597E-2"/>
    <n v="2.72208413881985E-2"/>
  </r>
  <r>
    <x v="0"/>
    <x v="38"/>
    <x v="1"/>
    <x v="2"/>
    <s v="EE_A"/>
    <x v="13"/>
    <n v="29.633696768848399"/>
    <n v="8.2315824357912195"/>
  </r>
  <r>
    <x v="0"/>
    <x v="38"/>
    <x v="1"/>
    <x v="2"/>
    <s v="EE_A"/>
    <x v="14"/>
    <n v="29.633696768848399"/>
    <n v="8.2315824357912195"/>
  </r>
  <r>
    <x v="0"/>
    <x v="38"/>
    <x v="1"/>
    <x v="2"/>
    <s v="EE_A"/>
    <x v="15"/>
    <n v="1.65807589063794"/>
    <n v="0.46057663628831802"/>
  </r>
  <r>
    <x v="0"/>
    <x v="38"/>
    <x v="1"/>
    <x v="2"/>
    <s v="EE_A"/>
    <x v="16"/>
    <n v="6.3819281410478998"/>
    <n v="1.77275781695775"/>
  </r>
  <r>
    <x v="0"/>
    <x v="38"/>
    <x v="1"/>
    <x v="2"/>
    <s v="EE_A"/>
    <x v="17"/>
    <n v="9.1244895875632395"/>
    <n v="2.5345804409897901"/>
  </r>
  <r>
    <x v="0"/>
    <x v="38"/>
    <x v="1"/>
    <x v="2"/>
    <s v="EE_A"/>
    <x v="18"/>
    <n v="29.633696768848399"/>
    <n v="8.2315824357912195"/>
  </r>
  <r>
    <x v="0"/>
    <x v="38"/>
    <x v="1"/>
    <x v="2"/>
    <s v="EE_A"/>
    <x v="19"/>
    <n v="8.1139884009941898"/>
    <n v="2.2538856669428302"/>
  </r>
  <r>
    <x v="0"/>
    <x v="38"/>
    <x v="1"/>
    <x v="2"/>
    <s v="EE_A"/>
    <x v="20"/>
    <n v="22.109183021311601"/>
    <n v="6.1414397281420996"/>
  </r>
  <r>
    <x v="0"/>
    <x v="38"/>
    <x v="1"/>
    <x v="2"/>
    <s v="EE_A"/>
    <x v="21"/>
    <n v="47.52"/>
    <n v="13.2"/>
  </r>
  <r>
    <x v="0"/>
    <x v="38"/>
    <x v="1"/>
    <x v="2"/>
    <s v="EE_A"/>
    <x v="22"/>
    <n v="61.56"/>
    <n v="17.100000000000001"/>
  </r>
  <r>
    <x v="0"/>
    <x v="38"/>
    <x v="1"/>
    <x v="2"/>
    <s v="EE_A"/>
    <x v="23"/>
    <n v="0.31515896120488701"/>
    <n v="8.7544155890246306E-2"/>
  </r>
  <r>
    <x v="0"/>
    <x v="38"/>
    <x v="1"/>
    <x v="2"/>
    <s v="EE_A"/>
    <x v="24"/>
    <n v="19.174223581093901"/>
    <n v="5.32617321697054"/>
  </r>
  <r>
    <x v="0"/>
    <x v="38"/>
    <x v="1"/>
    <x v="2"/>
    <s v="EE_A"/>
    <x v="25"/>
    <n v="26.209507293842599"/>
    <n v="7.2804186927340497"/>
  </r>
  <r>
    <x v="0"/>
    <x v="38"/>
    <x v="1"/>
    <x v="2"/>
    <s v="EE_A"/>
    <x v="26"/>
    <n v="33.320887798496699"/>
    <n v="9.2558021662490795"/>
  </r>
  <r>
    <x v="0"/>
    <x v="38"/>
    <x v="1"/>
    <x v="2"/>
    <s v="EE_A"/>
    <x v="27"/>
    <n v="20.163995508318798"/>
    <n v="5.6011098634218799"/>
  </r>
  <r>
    <x v="0"/>
    <x v="38"/>
    <x v="1"/>
    <x v="2"/>
    <s v="EE_Enefit"/>
    <x v="1"/>
    <n v="35.989199999999997"/>
    <n v="9.9969999999999999"/>
  </r>
  <r>
    <x v="0"/>
    <x v="38"/>
    <x v="1"/>
    <x v="2"/>
    <s v="EE_Enefit"/>
    <x v="2"/>
    <n v="43.2"/>
    <n v="12"/>
  </r>
  <r>
    <x v="0"/>
    <x v="38"/>
    <x v="1"/>
    <x v="2"/>
    <s v="EE_Enefit"/>
    <x v="0"/>
    <n v="42.692399999999999"/>
    <n v="11.859"/>
  </r>
  <r>
    <x v="0"/>
    <x v="38"/>
    <x v="1"/>
    <x v="2"/>
    <s v="EE_Enefit"/>
    <x v="3"/>
    <n v="51.633543144067197"/>
    <n v="14.342650873352"/>
  </r>
  <r>
    <x v="0"/>
    <x v="38"/>
    <x v="1"/>
    <x v="2"/>
    <s v="EE_Enefit"/>
    <x v="4"/>
    <n v="6.3500778790389401"/>
    <n v="1.76391052195526"/>
  </r>
  <r>
    <x v="0"/>
    <x v="38"/>
    <x v="1"/>
    <x v="2"/>
    <s v="EE_Enefit"/>
    <x v="5"/>
    <n v="6.3500778790389401"/>
    <n v="1.76391052195526"/>
  </r>
  <r>
    <x v="0"/>
    <x v="38"/>
    <x v="1"/>
    <x v="2"/>
    <s v="EE_Enefit"/>
    <x v="6"/>
    <n v="29.476231795214598"/>
    <n v="8.1878421653373898"/>
  </r>
  <r>
    <x v="0"/>
    <x v="38"/>
    <x v="1"/>
    <x v="2"/>
    <s v="EE_Enefit"/>
    <x v="7"/>
    <n v="57.838935220261199"/>
    <n v="16.066370894517"/>
  </r>
  <r>
    <x v="0"/>
    <x v="38"/>
    <x v="1"/>
    <x v="2"/>
    <s v="EE_Enefit"/>
    <x v="8"/>
    <n v="57.838935220261199"/>
    <n v="16.066370894517"/>
  </r>
  <r>
    <x v="0"/>
    <x v="38"/>
    <x v="1"/>
    <x v="2"/>
    <s v="EE_Enefit"/>
    <x v="9"/>
    <n v="44.4505451532725"/>
    <n v="12.3473736536868"/>
  </r>
  <r>
    <x v="0"/>
    <x v="38"/>
    <x v="1"/>
    <x v="2"/>
    <s v="EE_Enefit"/>
    <x v="10"/>
    <n v="53.975661971830903"/>
    <n v="14.993239436619699"/>
  </r>
  <r>
    <x v="0"/>
    <x v="38"/>
    <x v="1"/>
    <x v="2"/>
    <s v="EE_Enefit"/>
    <x v="11"/>
    <n v="3.8806031483015802"/>
    <n v="1.07794531897266"/>
  </r>
  <r>
    <x v="0"/>
    <x v="38"/>
    <x v="1"/>
    <x v="2"/>
    <s v="EE_Enefit"/>
    <x v="12"/>
    <n v="9.7995028997514597E-2"/>
    <n v="2.72208413881985E-2"/>
  </r>
  <r>
    <x v="0"/>
    <x v="38"/>
    <x v="1"/>
    <x v="2"/>
    <s v="EE_Enefit"/>
    <x v="13"/>
    <n v="29.633696768848399"/>
    <n v="8.2315824357912195"/>
  </r>
  <r>
    <x v="0"/>
    <x v="38"/>
    <x v="1"/>
    <x v="2"/>
    <s v="EE_Enefit"/>
    <x v="14"/>
    <n v="29.633696768848399"/>
    <n v="8.2315824357912195"/>
  </r>
  <r>
    <x v="0"/>
    <x v="38"/>
    <x v="1"/>
    <x v="2"/>
    <s v="EE_Enefit"/>
    <x v="15"/>
    <n v="1.65807589063794"/>
    <n v="0.46057663628831802"/>
  </r>
  <r>
    <x v="0"/>
    <x v="38"/>
    <x v="1"/>
    <x v="2"/>
    <s v="EE_Enefit"/>
    <x v="16"/>
    <n v="6.3819281410478998"/>
    <n v="1.77275781695775"/>
  </r>
  <r>
    <x v="0"/>
    <x v="38"/>
    <x v="1"/>
    <x v="2"/>
    <s v="EE_Enefit"/>
    <x v="17"/>
    <n v="9.1244895875632395"/>
    <n v="2.5345804409897901"/>
  </r>
  <r>
    <x v="0"/>
    <x v="38"/>
    <x v="1"/>
    <x v="2"/>
    <s v="EE_Enefit"/>
    <x v="18"/>
    <n v="29.633696768848399"/>
    <n v="8.2315824357912195"/>
  </r>
  <r>
    <x v="0"/>
    <x v="38"/>
    <x v="1"/>
    <x v="2"/>
    <s v="EE_Enefit"/>
    <x v="19"/>
    <n v="8.1139884009941898"/>
    <n v="2.2538856669428302"/>
  </r>
  <r>
    <x v="0"/>
    <x v="38"/>
    <x v="1"/>
    <x v="2"/>
    <s v="EE_Enefit"/>
    <x v="20"/>
    <n v="22.109183021311601"/>
    <n v="6.1414397281420996"/>
  </r>
  <r>
    <x v="0"/>
    <x v="38"/>
    <x v="1"/>
    <x v="2"/>
    <s v="EE_Enefit"/>
    <x v="21"/>
    <n v="47.52"/>
    <n v="13.2"/>
  </r>
  <r>
    <x v="0"/>
    <x v="38"/>
    <x v="1"/>
    <x v="2"/>
    <s v="EE_Enefit"/>
    <x v="22"/>
    <n v="61.56"/>
    <n v="17.100000000000001"/>
  </r>
  <r>
    <x v="0"/>
    <x v="38"/>
    <x v="1"/>
    <x v="2"/>
    <s v="EE_Enefit"/>
    <x v="23"/>
    <n v="0.31515896120488701"/>
    <n v="8.7544155890246306E-2"/>
  </r>
  <r>
    <x v="0"/>
    <x v="38"/>
    <x v="1"/>
    <x v="2"/>
    <s v="EE_Enefit"/>
    <x v="24"/>
    <n v="19.174223581093901"/>
    <n v="5.32617321697054"/>
  </r>
  <r>
    <x v="0"/>
    <x v="38"/>
    <x v="1"/>
    <x v="2"/>
    <s v="EE_Enefit"/>
    <x v="25"/>
    <n v="26.209507293842599"/>
    <n v="7.2804186927340497"/>
  </r>
  <r>
    <x v="0"/>
    <x v="38"/>
    <x v="1"/>
    <x v="2"/>
    <s v="EE_Enefit"/>
    <x v="26"/>
    <n v="33.320887798496699"/>
    <n v="9.2558021662490795"/>
  </r>
  <r>
    <x v="0"/>
    <x v="38"/>
    <x v="1"/>
    <x v="2"/>
    <s v="EE_Enefit"/>
    <x v="27"/>
    <n v="20.163995508318798"/>
    <n v="5.6011098634218799"/>
  </r>
  <r>
    <x v="0"/>
    <x v="38"/>
    <x v="1"/>
    <x v="2"/>
    <s v="EE_Industry"/>
    <x v="1"/>
    <n v="35.989199999999997"/>
    <n v="9.9969999999999999"/>
  </r>
  <r>
    <x v="0"/>
    <x v="38"/>
    <x v="1"/>
    <x v="2"/>
    <s v="EE_Industry"/>
    <x v="2"/>
    <n v="43.2"/>
    <n v="12"/>
  </r>
  <r>
    <x v="0"/>
    <x v="38"/>
    <x v="1"/>
    <x v="2"/>
    <s v="EE_Industry"/>
    <x v="0"/>
    <n v="42.692399999999999"/>
    <n v="11.859"/>
  </r>
  <r>
    <x v="0"/>
    <x v="38"/>
    <x v="1"/>
    <x v="2"/>
    <s v="EE_Industry"/>
    <x v="3"/>
    <n v="51.633543144067197"/>
    <n v="14.342650873352"/>
  </r>
  <r>
    <x v="0"/>
    <x v="38"/>
    <x v="1"/>
    <x v="2"/>
    <s v="EE_Industry"/>
    <x v="4"/>
    <n v="6.3500778790389401"/>
    <n v="1.76391052195526"/>
  </r>
  <r>
    <x v="0"/>
    <x v="38"/>
    <x v="1"/>
    <x v="2"/>
    <s v="EE_Industry"/>
    <x v="5"/>
    <n v="6.3500778790389401"/>
    <n v="1.76391052195526"/>
  </r>
  <r>
    <x v="0"/>
    <x v="38"/>
    <x v="1"/>
    <x v="2"/>
    <s v="EE_Industry"/>
    <x v="6"/>
    <n v="29.476231795214598"/>
    <n v="8.1878421653373898"/>
  </r>
  <r>
    <x v="0"/>
    <x v="38"/>
    <x v="1"/>
    <x v="2"/>
    <s v="EE_Industry"/>
    <x v="7"/>
    <n v="57.838935220261199"/>
    <n v="16.066370894517"/>
  </r>
  <r>
    <x v="0"/>
    <x v="38"/>
    <x v="1"/>
    <x v="2"/>
    <s v="EE_Industry"/>
    <x v="8"/>
    <n v="57.838935220261199"/>
    <n v="16.066370894517"/>
  </r>
  <r>
    <x v="0"/>
    <x v="38"/>
    <x v="1"/>
    <x v="2"/>
    <s v="EE_Industry"/>
    <x v="9"/>
    <n v="44.4505451532725"/>
    <n v="12.3473736536868"/>
  </r>
  <r>
    <x v="0"/>
    <x v="38"/>
    <x v="1"/>
    <x v="2"/>
    <s v="EE_Industry"/>
    <x v="10"/>
    <n v="53.975661971830903"/>
    <n v="14.993239436619699"/>
  </r>
  <r>
    <x v="0"/>
    <x v="38"/>
    <x v="1"/>
    <x v="2"/>
    <s v="EE_Industry"/>
    <x v="11"/>
    <n v="3.8806031483015802"/>
    <n v="1.07794531897266"/>
  </r>
  <r>
    <x v="0"/>
    <x v="38"/>
    <x v="1"/>
    <x v="2"/>
    <s v="EE_Industry"/>
    <x v="12"/>
    <n v="9.7995028997514597E-2"/>
    <n v="2.72208413881985E-2"/>
  </r>
  <r>
    <x v="0"/>
    <x v="38"/>
    <x v="1"/>
    <x v="2"/>
    <s v="EE_Industry"/>
    <x v="13"/>
    <n v="29.633696768848399"/>
    <n v="8.2315824357912195"/>
  </r>
  <r>
    <x v="0"/>
    <x v="38"/>
    <x v="1"/>
    <x v="2"/>
    <s v="EE_Industry"/>
    <x v="14"/>
    <n v="29.633696768848399"/>
    <n v="8.2315824357912195"/>
  </r>
  <r>
    <x v="0"/>
    <x v="38"/>
    <x v="1"/>
    <x v="2"/>
    <s v="EE_Industry"/>
    <x v="15"/>
    <n v="1.65807589063794"/>
    <n v="0.46057663628831802"/>
  </r>
  <r>
    <x v="0"/>
    <x v="38"/>
    <x v="1"/>
    <x v="2"/>
    <s v="EE_Industry"/>
    <x v="16"/>
    <n v="6.3819281410478998"/>
    <n v="1.77275781695775"/>
  </r>
  <r>
    <x v="0"/>
    <x v="38"/>
    <x v="1"/>
    <x v="2"/>
    <s v="EE_Industry"/>
    <x v="17"/>
    <n v="9.1244895875632395"/>
    <n v="2.5345804409897901"/>
  </r>
  <r>
    <x v="0"/>
    <x v="38"/>
    <x v="1"/>
    <x v="2"/>
    <s v="EE_Industry"/>
    <x v="18"/>
    <n v="29.633696768848399"/>
    <n v="8.2315824357912195"/>
  </r>
  <r>
    <x v="0"/>
    <x v="38"/>
    <x v="1"/>
    <x v="2"/>
    <s v="EE_Industry"/>
    <x v="19"/>
    <n v="8.1139884009941898"/>
    <n v="2.2538856669428302"/>
  </r>
  <r>
    <x v="0"/>
    <x v="38"/>
    <x v="1"/>
    <x v="2"/>
    <s v="EE_Industry"/>
    <x v="20"/>
    <n v="22.109183021311601"/>
    <n v="6.1414397281420996"/>
  </r>
  <r>
    <x v="0"/>
    <x v="38"/>
    <x v="1"/>
    <x v="2"/>
    <s v="EE_Industry"/>
    <x v="21"/>
    <n v="47.52"/>
    <n v="13.2"/>
  </r>
  <r>
    <x v="0"/>
    <x v="38"/>
    <x v="1"/>
    <x v="2"/>
    <s v="EE_Industry"/>
    <x v="22"/>
    <n v="61.56"/>
    <n v="17.100000000000001"/>
  </r>
  <r>
    <x v="0"/>
    <x v="38"/>
    <x v="1"/>
    <x v="2"/>
    <s v="EE_Industry"/>
    <x v="23"/>
    <n v="0.31515896120488701"/>
    <n v="8.7544155890246306E-2"/>
  </r>
  <r>
    <x v="0"/>
    <x v="38"/>
    <x v="1"/>
    <x v="2"/>
    <s v="EE_Industry"/>
    <x v="24"/>
    <n v="19.174223581093901"/>
    <n v="5.32617321697054"/>
  </r>
  <r>
    <x v="0"/>
    <x v="38"/>
    <x v="1"/>
    <x v="2"/>
    <s v="EE_Industry"/>
    <x v="25"/>
    <n v="26.209507293842599"/>
    <n v="7.2804186927340497"/>
  </r>
  <r>
    <x v="0"/>
    <x v="38"/>
    <x v="1"/>
    <x v="2"/>
    <s v="EE_Industry"/>
    <x v="26"/>
    <n v="33.320887798496699"/>
    <n v="9.2558021662490795"/>
  </r>
  <r>
    <x v="0"/>
    <x v="38"/>
    <x v="1"/>
    <x v="2"/>
    <s v="EE_Industry"/>
    <x v="27"/>
    <n v="20.163995508318798"/>
    <n v="5.6011098634218799"/>
  </r>
  <r>
    <x v="0"/>
    <x v="38"/>
    <x v="1"/>
    <x v="2"/>
    <s v="EE_Kohtla_Jarve"/>
    <x v="1"/>
    <n v="35.989199999999997"/>
    <n v="9.9969999999999999"/>
  </r>
  <r>
    <x v="0"/>
    <x v="38"/>
    <x v="1"/>
    <x v="2"/>
    <s v="EE_Kohtla_Jarve"/>
    <x v="2"/>
    <n v="43.2"/>
    <n v="12"/>
  </r>
  <r>
    <x v="0"/>
    <x v="38"/>
    <x v="1"/>
    <x v="2"/>
    <s v="EE_Kohtla_Jarve"/>
    <x v="0"/>
    <n v="42.692399999999999"/>
    <n v="11.859"/>
  </r>
  <r>
    <x v="0"/>
    <x v="38"/>
    <x v="1"/>
    <x v="2"/>
    <s v="EE_Kohtla_Jarve"/>
    <x v="3"/>
    <n v="51.633543144067197"/>
    <n v="14.342650873352"/>
  </r>
  <r>
    <x v="0"/>
    <x v="38"/>
    <x v="1"/>
    <x v="2"/>
    <s v="EE_Kohtla_Jarve"/>
    <x v="4"/>
    <n v="6.3500778790389401"/>
    <n v="1.76391052195526"/>
  </r>
  <r>
    <x v="0"/>
    <x v="38"/>
    <x v="1"/>
    <x v="2"/>
    <s v="EE_Kohtla_Jarve"/>
    <x v="5"/>
    <n v="6.3500778790389401"/>
    <n v="1.76391052195526"/>
  </r>
  <r>
    <x v="0"/>
    <x v="38"/>
    <x v="1"/>
    <x v="2"/>
    <s v="EE_Kohtla_Jarve"/>
    <x v="6"/>
    <n v="29.476231795214598"/>
    <n v="8.1878421653373898"/>
  </r>
  <r>
    <x v="0"/>
    <x v="38"/>
    <x v="1"/>
    <x v="2"/>
    <s v="EE_Kohtla_Jarve"/>
    <x v="7"/>
    <n v="57.838935220261199"/>
    <n v="16.066370894517"/>
  </r>
  <r>
    <x v="0"/>
    <x v="38"/>
    <x v="1"/>
    <x v="2"/>
    <s v="EE_Kohtla_Jarve"/>
    <x v="8"/>
    <n v="57.838935220261199"/>
    <n v="16.066370894517"/>
  </r>
  <r>
    <x v="0"/>
    <x v="38"/>
    <x v="1"/>
    <x v="2"/>
    <s v="EE_Kohtla_Jarve"/>
    <x v="9"/>
    <n v="44.4505451532725"/>
    <n v="12.3473736536868"/>
  </r>
  <r>
    <x v="0"/>
    <x v="38"/>
    <x v="1"/>
    <x v="2"/>
    <s v="EE_Kohtla_Jarve"/>
    <x v="10"/>
    <n v="53.975661971830903"/>
    <n v="14.993239436619699"/>
  </r>
  <r>
    <x v="0"/>
    <x v="38"/>
    <x v="1"/>
    <x v="2"/>
    <s v="EE_Kohtla_Jarve"/>
    <x v="11"/>
    <n v="3.8806031483015802"/>
    <n v="1.07794531897266"/>
  </r>
  <r>
    <x v="0"/>
    <x v="38"/>
    <x v="1"/>
    <x v="2"/>
    <s v="EE_Kohtla_Jarve"/>
    <x v="12"/>
    <n v="9.7995028997514597E-2"/>
    <n v="2.72208413881985E-2"/>
  </r>
  <r>
    <x v="0"/>
    <x v="38"/>
    <x v="1"/>
    <x v="2"/>
    <s v="EE_Kohtla_Jarve"/>
    <x v="13"/>
    <n v="29.633696768848399"/>
    <n v="8.2315824357912195"/>
  </r>
  <r>
    <x v="0"/>
    <x v="38"/>
    <x v="1"/>
    <x v="2"/>
    <s v="EE_Kohtla_Jarve"/>
    <x v="14"/>
    <n v="29.633696768848399"/>
    <n v="8.2315824357912195"/>
  </r>
  <r>
    <x v="0"/>
    <x v="38"/>
    <x v="1"/>
    <x v="2"/>
    <s v="EE_Kohtla_Jarve"/>
    <x v="15"/>
    <n v="1.65807589063794"/>
    <n v="0.46057663628831802"/>
  </r>
  <r>
    <x v="0"/>
    <x v="38"/>
    <x v="1"/>
    <x v="2"/>
    <s v="EE_Kohtla_Jarve"/>
    <x v="16"/>
    <n v="6.3819281410478998"/>
    <n v="1.77275781695775"/>
  </r>
  <r>
    <x v="0"/>
    <x v="38"/>
    <x v="1"/>
    <x v="2"/>
    <s v="EE_Kohtla_Jarve"/>
    <x v="17"/>
    <n v="9.1244895875632395"/>
    <n v="2.5345804409897901"/>
  </r>
  <r>
    <x v="0"/>
    <x v="38"/>
    <x v="1"/>
    <x v="2"/>
    <s v="EE_Kohtla_Jarve"/>
    <x v="18"/>
    <n v="29.633696768848399"/>
    <n v="8.2315824357912195"/>
  </r>
  <r>
    <x v="0"/>
    <x v="38"/>
    <x v="1"/>
    <x v="2"/>
    <s v="EE_Kohtla_Jarve"/>
    <x v="19"/>
    <n v="8.1139884009941898"/>
    <n v="2.2538856669428302"/>
  </r>
  <r>
    <x v="0"/>
    <x v="38"/>
    <x v="1"/>
    <x v="2"/>
    <s v="EE_Kohtla_Jarve"/>
    <x v="20"/>
    <n v="22.109183021311601"/>
    <n v="6.1414397281420996"/>
  </r>
  <r>
    <x v="0"/>
    <x v="38"/>
    <x v="1"/>
    <x v="2"/>
    <s v="EE_Kohtla_Jarve"/>
    <x v="21"/>
    <n v="47.52"/>
    <n v="13.2"/>
  </r>
  <r>
    <x v="0"/>
    <x v="38"/>
    <x v="1"/>
    <x v="2"/>
    <s v="EE_Kohtla_Jarve"/>
    <x v="22"/>
    <n v="61.56"/>
    <n v="17.100000000000001"/>
  </r>
  <r>
    <x v="0"/>
    <x v="38"/>
    <x v="1"/>
    <x v="2"/>
    <s v="EE_Kohtla_Jarve"/>
    <x v="23"/>
    <n v="0.31515896120488701"/>
    <n v="8.7544155890246306E-2"/>
  </r>
  <r>
    <x v="0"/>
    <x v="38"/>
    <x v="1"/>
    <x v="2"/>
    <s v="EE_Kohtla_Jarve"/>
    <x v="24"/>
    <n v="19.174223581093901"/>
    <n v="5.32617321697054"/>
  </r>
  <r>
    <x v="0"/>
    <x v="38"/>
    <x v="1"/>
    <x v="2"/>
    <s v="EE_Kohtla_Jarve"/>
    <x v="25"/>
    <n v="26.209507293842599"/>
    <n v="7.2804186927340497"/>
  </r>
  <r>
    <x v="0"/>
    <x v="38"/>
    <x v="1"/>
    <x v="2"/>
    <s v="EE_Kohtla_Jarve"/>
    <x v="26"/>
    <n v="33.320887798496699"/>
    <n v="9.2558021662490795"/>
  </r>
  <r>
    <x v="0"/>
    <x v="38"/>
    <x v="1"/>
    <x v="2"/>
    <s v="EE_Kohtla_Jarve"/>
    <x v="27"/>
    <n v="20.163995508318798"/>
    <n v="5.6011098634218799"/>
  </r>
  <r>
    <x v="0"/>
    <x v="38"/>
    <x v="1"/>
    <x v="2"/>
    <s v="EE_Narva"/>
    <x v="1"/>
    <n v="35.989199999999997"/>
    <n v="9.9969999999999999"/>
  </r>
  <r>
    <x v="0"/>
    <x v="38"/>
    <x v="1"/>
    <x v="2"/>
    <s v="EE_Narva"/>
    <x v="2"/>
    <n v="43.2"/>
    <n v="12"/>
  </r>
  <r>
    <x v="0"/>
    <x v="38"/>
    <x v="1"/>
    <x v="2"/>
    <s v="EE_Narva"/>
    <x v="0"/>
    <n v="42.692399999999999"/>
    <n v="11.859"/>
  </r>
  <r>
    <x v="0"/>
    <x v="38"/>
    <x v="1"/>
    <x v="2"/>
    <s v="EE_Narva"/>
    <x v="3"/>
    <n v="51.633543144067197"/>
    <n v="14.342650873352"/>
  </r>
  <r>
    <x v="0"/>
    <x v="38"/>
    <x v="1"/>
    <x v="2"/>
    <s v="EE_Narva"/>
    <x v="4"/>
    <n v="6.3500778790389401"/>
    <n v="1.76391052195526"/>
  </r>
  <r>
    <x v="0"/>
    <x v="38"/>
    <x v="1"/>
    <x v="2"/>
    <s v="EE_Narva"/>
    <x v="5"/>
    <n v="6.3500778790389401"/>
    <n v="1.76391052195526"/>
  </r>
  <r>
    <x v="0"/>
    <x v="38"/>
    <x v="1"/>
    <x v="2"/>
    <s v="EE_Narva"/>
    <x v="6"/>
    <n v="29.476231795214598"/>
    <n v="8.1878421653373898"/>
  </r>
  <r>
    <x v="0"/>
    <x v="38"/>
    <x v="1"/>
    <x v="2"/>
    <s v="EE_Narva"/>
    <x v="7"/>
    <n v="57.838935220261199"/>
    <n v="16.066370894517"/>
  </r>
  <r>
    <x v="0"/>
    <x v="38"/>
    <x v="1"/>
    <x v="2"/>
    <s v="EE_Narva"/>
    <x v="8"/>
    <n v="57.838935220261199"/>
    <n v="16.066370894517"/>
  </r>
  <r>
    <x v="0"/>
    <x v="38"/>
    <x v="1"/>
    <x v="2"/>
    <s v="EE_Narva"/>
    <x v="9"/>
    <n v="44.4505451532725"/>
    <n v="12.3473736536868"/>
  </r>
  <r>
    <x v="0"/>
    <x v="38"/>
    <x v="1"/>
    <x v="2"/>
    <s v="EE_Narva"/>
    <x v="10"/>
    <n v="53.975661971830903"/>
    <n v="14.993239436619699"/>
  </r>
  <r>
    <x v="0"/>
    <x v="38"/>
    <x v="1"/>
    <x v="2"/>
    <s v="EE_Narva"/>
    <x v="11"/>
    <n v="3.8806031483015802"/>
    <n v="1.07794531897266"/>
  </r>
  <r>
    <x v="0"/>
    <x v="38"/>
    <x v="1"/>
    <x v="2"/>
    <s v="EE_Narva"/>
    <x v="12"/>
    <n v="9.7995028997514597E-2"/>
    <n v="2.72208413881985E-2"/>
  </r>
  <r>
    <x v="0"/>
    <x v="38"/>
    <x v="1"/>
    <x v="2"/>
    <s v="EE_Narva"/>
    <x v="13"/>
    <n v="29.633696768848399"/>
    <n v="8.2315824357912195"/>
  </r>
  <r>
    <x v="0"/>
    <x v="38"/>
    <x v="1"/>
    <x v="2"/>
    <s v="EE_Narva"/>
    <x v="14"/>
    <n v="29.633696768848399"/>
    <n v="8.2315824357912195"/>
  </r>
  <r>
    <x v="0"/>
    <x v="38"/>
    <x v="1"/>
    <x v="2"/>
    <s v="EE_Narva"/>
    <x v="15"/>
    <n v="1.65807589063794"/>
    <n v="0.46057663628831802"/>
  </r>
  <r>
    <x v="0"/>
    <x v="38"/>
    <x v="1"/>
    <x v="2"/>
    <s v="EE_Narva"/>
    <x v="16"/>
    <n v="6.3819281410478998"/>
    <n v="1.77275781695775"/>
  </r>
  <r>
    <x v="0"/>
    <x v="38"/>
    <x v="1"/>
    <x v="2"/>
    <s v="EE_Narva"/>
    <x v="17"/>
    <n v="9.1244895875632395"/>
    <n v="2.5345804409897901"/>
  </r>
  <r>
    <x v="0"/>
    <x v="38"/>
    <x v="1"/>
    <x v="2"/>
    <s v="EE_Narva"/>
    <x v="18"/>
    <n v="29.633696768848399"/>
    <n v="8.2315824357912195"/>
  </r>
  <r>
    <x v="0"/>
    <x v="38"/>
    <x v="1"/>
    <x v="2"/>
    <s v="EE_Narva"/>
    <x v="19"/>
    <n v="8.1139884009941898"/>
    <n v="2.2538856669428302"/>
  </r>
  <r>
    <x v="0"/>
    <x v="38"/>
    <x v="1"/>
    <x v="2"/>
    <s v="EE_Narva"/>
    <x v="20"/>
    <n v="22.109183021311601"/>
    <n v="6.1414397281420996"/>
  </r>
  <r>
    <x v="0"/>
    <x v="38"/>
    <x v="1"/>
    <x v="2"/>
    <s v="EE_Narva"/>
    <x v="21"/>
    <n v="47.52"/>
    <n v="13.2"/>
  </r>
  <r>
    <x v="0"/>
    <x v="38"/>
    <x v="1"/>
    <x v="2"/>
    <s v="EE_Narva"/>
    <x v="22"/>
    <n v="61.56"/>
    <n v="17.100000000000001"/>
  </r>
  <r>
    <x v="0"/>
    <x v="38"/>
    <x v="1"/>
    <x v="2"/>
    <s v="EE_Narva"/>
    <x v="23"/>
    <n v="0.31515896120488701"/>
    <n v="8.7544155890246306E-2"/>
  </r>
  <r>
    <x v="0"/>
    <x v="38"/>
    <x v="1"/>
    <x v="2"/>
    <s v="EE_Narva"/>
    <x v="24"/>
    <n v="19.174223581093901"/>
    <n v="5.32617321697054"/>
  </r>
  <r>
    <x v="0"/>
    <x v="38"/>
    <x v="1"/>
    <x v="2"/>
    <s v="EE_Narva"/>
    <x v="25"/>
    <n v="26.209507293842599"/>
    <n v="7.2804186927340497"/>
  </r>
  <r>
    <x v="0"/>
    <x v="38"/>
    <x v="1"/>
    <x v="2"/>
    <s v="EE_Narva"/>
    <x v="26"/>
    <n v="33.320887798496699"/>
    <n v="9.2558021662490795"/>
  </r>
  <r>
    <x v="0"/>
    <x v="38"/>
    <x v="1"/>
    <x v="2"/>
    <s v="EE_Narva"/>
    <x v="27"/>
    <n v="20.163995508318798"/>
    <n v="5.6011098634218799"/>
  </r>
  <r>
    <x v="0"/>
    <x v="38"/>
    <x v="1"/>
    <x v="2"/>
    <s v="EE_OFFSHORE"/>
    <x v="1"/>
    <n v="35.989199999999997"/>
    <n v="9.9969999999999999"/>
  </r>
  <r>
    <x v="0"/>
    <x v="38"/>
    <x v="1"/>
    <x v="2"/>
    <s v="EE_OFFSHORE"/>
    <x v="2"/>
    <n v="43.2"/>
    <n v="12"/>
  </r>
  <r>
    <x v="0"/>
    <x v="38"/>
    <x v="1"/>
    <x v="2"/>
    <s v="EE_OFFSHORE"/>
    <x v="0"/>
    <n v="42.692399999999999"/>
    <n v="11.859"/>
  </r>
  <r>
    <x v="0"/>
    <x v="38"/>
    <x v="1"/>
    <x v="2"/>
    <s v="EE_OFFSHORE"/>
    <x v="3"/>
    <n v="51.633543144067197"/>
    <n v="14.342650873352"/>
  </r>
  <r>
    <x v="0"/>
    <x v="38"/>
    <x v="1"/>
    <x v="2"/>
    <s v="EE_OFFSHORE"/>
    <x v="4"/>
    <n v="6.3500778790389401"/>
    <n v="1.76391052195526"/>
  </r>
  <r>
    <x v="0"/>
    <x v="38"/>
    <x v="1"/>
    <x v="2"/>
    <s v="EE_OFFSHORE"/>
    <x v="5"/>
    <n v="6.3500778790389401"/>
    <n v="1.76391052195526"/>
  </r>
  <r>
    <x v="0"/>
    <x v="38"/>
    <x v="1"/>
    <x v="2"/>
    <s v="EE_OFFSHORE"/>
    <x v="6"/>
    <n v="29.476231795214598"/>
    <n v="8.1878421653373898"/>
  </r>
  <r>
    <x v="0"/>
    <x v="38"/>
    <x v="1"/>
    <x v="2"/>
    <s v="EE_OFFSHORE"/>
    <x v="7"/>
    <n v="57.838935220261199"/>
    <n v="16.066370894517"/>
  </r>
  <r>
    <x v="0"/>
    <x v="38"/>
    <x v="1"/>
    <x v="2"/>
    <s v="EE_OFFSHORE"/>
    <x v="8"/>
    <n v="57.838935220261199"/>
    <n v="16.066370894517"/>
  </r>
  <r>
    <x v="0"/>
    <x v="38"/>
    <x v="1"/>
    <x v="2"/>
    <s v="EE_OFFSHORE"/>
    <x v="9"/>
    <n v="44.4505451532725"/>
    <n v="12.3473736536868"/>
  </r>
  <r>
    <x v="0"/>
    <x v="38"/>
    <x v="1"/>
    <x v="2"/>
    <s v="EE_OFFSHORE"/>
    <x v="10"/>
    <n v="53.975661971830903"/>
    <n v="14.993239436619699"/>
  </r>
  <r>
    <x v="0"/>
    <x v="38"/>
    <x v="1"/>
    <x v="2"/>
    <s v="EE_OFFSHORE"/>
    <x v="11"/>
    <n v="3.8806031483015802"/>
    <n v="1.07794531897266"/>
  </r>
  <r>
    <x v="0"/>
    <x v="38"/>
    <x v="1"/>
    <x v="2"/>
    <s v="EE_OFFSHORE"/>
    <x v="12"/>
    <n v="9.7995028997514597E-2"/>
    <n v="2.72208413881985E-2"/>
  </r>
  <r>
    <x v="0"/>
    <x v="38"/>
    <x v="1"/>
    <x v="2"/>
    <s v="EE_OFFSHORE"/>
    <x v="13"/>
    <n v="29.633696768848399"/>
    <n v="8.2315824357912195"/>
  </r>
  <r>
    <x v="0"/>
    <x v="38"/>
    <x v="1"/>
    <x v="2"/>
    <s v="EE_OFFSHORE"/>
    <x v="14"/>
    <n v="29.633696768848399"/>
    <n v="8.2315824357912195"/>
  </r>
  <r>
    <x v="0"/>
    <x v="38"/>
    <x v="1"/>
    <x v="2"/>
    <s v="EE_OFFSHORE"/>
    <x v="15"/>
    <n v="1.65807589063794"/>
    <n v="0.46057663628831802"/>
  </r>
  <r>
    <x v="0"/>
    <x v="38"/>
    <x v="1"/>
    <x v="2"/>
    <s v="EE_OFFSHORE"/>
    <x v="16"/>
    <n v="6.3819281410478998"/>
    <n v="1.77275781695775"/>
  </r>
  <r>
    <x v="0"/>
    <x v="38"/>
    <x v="1"/>
    <x v="2"/>
    <s v="EE_OFFSHORE"/>
    <x v="17"/>
    <n v="9.1244895875632395"/>
    <n v="2.5345804409897901"/>
  </r>
  <r>
    <x v="0"/>
    <x v="38"/>
    <x v="1"/>
    <x v="2"/>
    <s v="EE_OFFSHORE"/>
    <x v="18"/>
    <n v="29.633696768848399"/>
    <n v="8.2315824357912195"/>
  </r>
  <r>
    <x v="0"/>
    <x v="38"/>
    <x v="1"/>
    <x v="2"/>
    <s v="EE_OFFSHORE"/>
    <x v="19"/>
    <n v="8.1139884009941898"/>
    <n v="2.2538856669428302"/>
  </r>
  <r>
    <x v="0"/>
    <x v="38"/>
    <x v="1"/>
    <x v="2"/>
    <s v="EE_OFFSHORE"/>
    <x v="20"/>
    <n v="22.109183021311601"/>
    <n v="6.1414397281420996"/>
  </r>
  <r>
    <x v="0"/>
    <x v="38"/>
    <x v="1"/>
    <x v="2"/>
    <s v="EE_OFFSHORE"/>
    <x v="21"/>
    <n v="47.52"/>
    <n v="13.2"/>
  </r>
  <r>
    <x v="0"/>
    <x v="38"/>
    <x v="1"/>
    <x v="2"/>
    <s v="EE_OFFSHORE"/>
    <x v="22"/>
    <n v="61.56"/>
    <n v="17.100000000000001"/>
  </r>
  <r>
    <x v="0"/>
    <x v="38"/>
    <x v="1"/>
    <x v="2"/>
    <s v="EE_OFFSHORE"/>
    <x v="23"/>
    <n v="0.31515896120488701"/>
    <n v="8.7544155890246306E-2"/>
  </r>
  <r>
    <x v="0"/>
    <x v="38"/>
    <x v="1"/>
    <x v="2"/>
    <s v="EE_OFFSHORE"/>
    <x v="24"/>
    <n v="19.174223581093901"/>
    <n v="5.32617321697054"/>
  </r>
  <r>
    <x v="0"/>
    <x v="38"/>
    <x v="1"/>
    <x v="2"/>
    <s v="EE_OFFSHORE"/>
    <x v="25"/>
    <n v="26.209507293842599"/>
    <n v="7.2804186927340497"/>
  </r>
  <r>
    <x v="0"/>
    <x v="38"/>
    <x v="1"/>
    <x v="2"/>
    <s v="EE_OFFSHORE"/>
    <x v="26"/>
    <n v="33.320887798496699"/>
    <n v="9.2558021662490795"/>
  </r>
  <r>
    <x v="0"/>
    <x v="38"/>
    <x v="1"/>
    <x v="2"/>
    <s v="EE_OFFSHORE"/>
    <x v="27"/>
    <n v="20.163995508318798"/>
    <n v="5.6011098634218799"/>
  </r>
  <r>
    <x v="0"/>
    <x v="38"/>
    <x v="1"/>
    <x v="2"/>
    <s v="EE_Parnu"/>
    <x v="1"/>
    <n v="35.989199999999997"/>
    <n v="9.9969999999999999"/>
  </r>
  <r>
    <x v="0"/>
    <x v="38"/>
    <x v="1"/>
    <x v="2"/>
    <s v="EE_Parnu"/>
    <x v="2"/>
    <n v="43.2"/>
    <n v="12"/>
  </r>
  <r>
    <x v="0"/>
    <x v="38"/>
    <x v="1"/>
    <x v="2"/>
    <s v="EE_Parnu"/>
    <x v="0"/>
    <n v="42.692399999999999"/>
    <n v="11.859"/>
  </r>
  <r>
    <x v="0"/>
    <x v="38"/>
    <x v="1"/>
    <x v="2"/>
    <s v="EE_Parnu"/>
    <x v="3"/>
    <n v="51.633543144067197"/>
    <n v="14.342650873352"/>
  </r>
  <r>
    <x v="0"/>
    <x v="38"/>
    <x v="1"/>
    <x v="2"/>
    <s v="EE_Parnu"/>
    <x v="4"/>
    <n v="6.3500778790389401"/>
    <n v="1.76391052195526"/>
  </r>
  <r>
    <x v="0"/>
    <x v="38"/>
    <x v="1"/>
    <x v="2"/>
    <s v="EE_Parnu"/>
    <x v="5"/>
    <n v="6.3500778790389401"/>
    <n v="1.76391052195526"/>
  </r>
  <r>
    <x v="0"/>
    <x v="38"/>
    <x v="1"/>
    <x v="2"/>
    <s v="EE_Parnu"/>
    <x v="6"/>
    <n v="29.476231795214598"/>
    <n v="8.1878421653373898"/>
  </r>
  <r>
    <x v="0"/>
    <x v="38"/>
    <x v="1"/>
    <x v="2"/>
    <s v="EE_Parnu"/>
    <x v="7"/>
    <n v="57.838935220261199"/>
    <n v="16.066370894517"/>
  </r>
  <r>
    <x v="0"/>
    <x v="38"/>
    <x v="1"/>
    <x v="2"/>
    <s v="EE_Parnu"/>
    <x v="8"/>
    <n v="57.838935220261199"/>
    <n v="16.066370894517"/>
  </r>
  <r>
    <x v="0"/>
    <x v="38"/>
    <x v="1"/>
    <x v="2"/>
    <s v="EE_Parnu"/>
    <x v="9"/>
    <n v="44.4505451532725"/>
    <n v="12.3473736536868"/>
  </r>
  <r>
    <x v="0"/>
    <x v="38"/>
    <x v="1"/>
    <x v="2"/>
    <s v="EE_Parnu"/>
    <x v="10"/>
    <n v="53.975661971830903"/>
    <n v="14.993239436619699"/>
  </r>
  <r>
    <x v="0"/>
    <x v="38"/>
    <x v="1"/>
    <x v="2"/>
    <s v="EE_Parnu"/>
    <x v="11"/>
    <n v="3.8806031483015802"/>
    <n v="1.07794531897266"/>
  </r>
  <r>
    <x v="0"/>
    <x v="38"/>
    <x v="1"/>
    <x v="2"/>
    <s v="EE_Parnu"/>
    <x v="12"/>
    <n v="9.7995028997514597E-2"/>
    <n v="2.72208413881985E-2"/>
  </r>
  <r>
    <x v="0"/>
    <x v="38"/>
    <x v="1"/>
    <x v="2"/>
    <s v="EE_Parnu"/>
    <x v="13"/>
    <n v="29.633696768848399"/>
    <n v="8.2315824357912195"/>
  </r>
  <r>
    <x v="0"/>
    <x v="38"/>
    <x v="1"/>
    <x v="2"/>
    <s v="EE_Parnu"/>
    <x v="14"/>
    <n v="29.633696768848399"/>
    <n v="8.2315824357912195"/>
  </r>
  <r>
    <x v="0"/>
    <x v="38"/>
    <x v="1"/>
    <x v="2"/>
    <s v="EE_Parnu"/>
    <x v="15"/>
    <n v="1.65807589063794"/>
    <n v="0.46057663628831802"/>
  </r>
  <r>
    <x v="0"/>
    <x v="38"/>
    <x v="1"/>
    <x v="2"/>
    <s v="EE_Parnu"/>
    <x v="16"/>
    <n v="6.3819281410478998"/>
    <n v="1.77275781695775"/>
  </r>
  <r>
    <x v="0"/>
    <x v="38"/>
    <x v="1"/>
    <x v="2"/>
    <s v="EE_Parnu"/>
    <x v="17"/>
    <n v="9.1244895875632395"/>
    <n v="2.5345804409897901"/>
  </r>
  <r>
    <x v="0"/>
    <x v="38"/>
    <x v="1"/>
    <x v="2"/>
    <s v="EE_Parnu"/>
    <x v="18"/>
    <n v="29.633696768848399"/>
    <n v="8.2315824357912195"/>
  </r>
  <r>
    <x v="0"/>
    <x v="38"/>
    <x v="1"/>
    <x v="2"/>
    <s v="EE_Parnu"/>
    <x v="19"/>
    <n v="8.1139884009941898"/>
    <n v="2.2538856669428302"/>
  </r>
  <r>
    <x v="0"/>
    <x v="38"/>
    <x v="1"/>
    <x v="2"/>
    <s v="EE_Parnu"/>
    <x v="20"/>
    <n v="22.109183021311601"/>
    <n v="6.1414397281420996"/>
  </r>
  <r>
    <x v="0"/>
    <x v="38"/>
    <x v="1"/>
    <x v="2"/>
    <s v="EE_Parnu"/>
    <x v="21"/>
    <n v="47.52"/>
    <n v="13.2"/>
  </r>
  <r>
    <x v="0"/>
    <x v="38"/>
    <x v="1"/>
    <x v="2"/>
    <s v="EE_Parnu"/>
    <x v="22"/>
    <n v="61.56"/>
    <n v="17.100000000000001"/>
  </r>
  <r>
    <x v="0"/>
    <x v="38"/>
    <x v="1"/>
    <x v="2"/>
    <s v="EE_Parnu"/>
    <x v="23"/>
    <n v="0.31515896120488701"/>
    <n v="8.7544155890246306E-2"/>
  </r>
  <r>
    <x v="0"/>
    <x v="38"/>
    <x v="1"/>
    <x v="2"/>
    <s v="EE_Parnu"/>
    <x v="24"/>
    <n v="19.174223581093901"/>
    <n v="5.32617321697054"/>
  </r>
  <r>
    <x v="0"/>
    <x v="38"/>
    <x v="1"/>
    <x v="2"/>
    <s v="EE_Parnu"/>
    <x v="25"/>
    <n v="26.209507293842599"/>
    <n v="7.2804186927340497"/>
  </r>
  <r>
    <x v="0"/>
    <x v="38"/>
    <x v="1"/>
    <x v="2"/>
    <s v="EE_Parnu"/>
    <x v="26"/>
    <n v="33.320887798496699"/>
    <n v="9.2558021662490795"/>
  </r>
  <r>
    <x v="0"/>
    <x v="38"/>
    <x v="1"/>
    <x v="2"/>
    <s v="EE_Parnu"/>
    <x v="27"/>
    <n v="20.163995508318798"/>
    <n v="5.6011098634218799"/>
  </r>
  <r>
    <x v="0"/>
    <x v="38"/>
    <x v="1"/>
    <x v="2"/>
    <s v="EE_Rural"/>
    <x v="1"/>
    <n v="35.989199999999997"/>
    <n v="9.9969999999999999"/>
  </r>
  <r>
    <x v="0"/>
    <x v="38"/>
    <x v="1"/>
    <x v="2"/>
    <s v="EE_Rural"/>
    <x v="2"/>
    <n v="43.2"/>
    <n v="12"/>
  </r>
  <r>
    <x v="0"/>
    <x v="38"/>
    <x v="1"/>
    <x v="2"/>
    <s v="EE_Rural"/>
    <x v="0"/>
    <n v="42.692399999999999"/>
    <n v="11.859"/>
  </r>
  <r>
    <x v="0"/>
    <x v="38"/>
    <x v="1"/>
    <x v="2"/>
    <s v="EE_Rural"/>
    <x v="3"/>
    <n v="51.633543144067197"/>
    <n v="14.342650873352"/>
  </r>
  <r>
    <x v="0"/>
    <x v="38"/>
    <x v="1"/>
    <x v="2"/>
    <s v="EE_Rural"/>
    <x v="4"/>
    <n v="6.3500778790389401"/>
    <n v="1.76391052195526"/>
  </r>
  <r>
    <x v="0"/>
    <x v="38"/>
    <x v="1"/>
    <x v="2"/>
    <s v="EE_Rural"/>
    <x v="5"/>
    <n v="6.3500778790389401"/>
    <n v="1.76391052195526"/>
  </r>
  <r>
    <x v="0"/>
    <x v="38"/>
    <x v="1"/>
    <x v="2"/>
    <s v="EE_Rural"/>
    <x v="6"/>
    <n v="29.476231795214598"/>
    <n v="8.1878421653373898"/>
  </r>
  <r>
    <x v="0"/>
    <x v="38"/>
    <x v="1"/>
    <x v="2"/>
    <s v="EE_Rural"/>
    <x v="7"/>
    <n v="57.838935220261199"/>
    <n v="16.066370894517"/>
  </r>
  <r>
    <x v="0"/>
    <x v="38"/>
    <x v="1"/>
    <x v="2"/>
    <s v="EE_Rural"/>
    <x v="8"/>
    <n v="57.838935220261199"/>
    <n v="16.066370894517"/>
  </r>
  <r>
    <x v="0"/>
    <x v="38"/>
    <x v="1"/>
    <x v="2"/>
    <s v="EE_Rural"/>
    <x v="9"/>
    <n v="44.4505451532725"/>
    <n v="12.3473736536868"/>
  </r>
  <r>
    <x v="0"/>
    <x v="38"/>
    <x v="1"/>
    <x v="2"/>
    <s v="EE_Rural"/>
    <x v="10"/>
    <n v="53.975661971830903"/>
    <n v="14.993239436619699"/>
  </r>
  <r>
    <x v="0"/>
    <x v="38"/>
    <x v="1"/>
    <x v="2"/>
    <s v="EE_Rural"/>
    <x v="11"/>
    <n v="3.8806031483015802"/>
    <n v="1.07794531897266"/>
  </r>
  <r>
    <x v="0"/>
    <x v="38"/>
    <x v="1"/>
    <x v="2"/>
    <s v="EE_Rural"/>
    <x v="12"/>
    <n v="9.7995028997514597E-2"/>
    <n v="2.72208413881985E-2"/>
  </r>
  <r>
    <x v="0"/>
    <x v="38"/>
    <x v="1"/>
    <x v="2"/>
    <s v="EE_Rural"/>
    <x v="13"/>
    <n v="29.633696768848399"/>
    <n v="8.2315824357912195"/>
  </r>
  <r>
    <x v="0"/>
    <x v="38"/>
    <x v="1"/>
    <x v="2"/>
    <s v="EE_Rural"/>
    <x v="14"/>
    <n v="29.633696768848399"/>
    <n v="8.2315824357912195"/>
  </r>
  <r>
    <x v="0"/>
    <x v="38"/>
    <x v="1"/>
    <x v="2"/>
    <s v="EE_Rural"/>
    <x v="15"/>
    <n v="1.65807589063794"/>
    <n v="0.46057663628831802"/>
  </r>
  <r>
    <x v="0"/>
    <x v="38"/>
    <x v="1"/>
    <x v="2"/>
    <s v="EE_Rural"/>
    <x v="16"/>
    <n v="6.3819281410478998"/>
    <n v="1.77275781695775"/>
  </r>
  <r>
    <x v="0"/>
    <x v="38"/>
    <x v="1"/>
    <x v="2"/>
    <s v="EE_Rural"/>
    <x v="17"/>
    <n v="9.1244895875632395"/>
    <n v="2.5345804409897901"/>
  </r>
  <r>
    <x v="0"/>
    <x v="38"/>
    <x v="1"/>
    <x v="2"/>
    <s v="EE_Rural"/>
    <x v="18"/>
    <n v="29.633696768848399"/>
    <n v="8.2315824357912195"/>
  </r>
  <r>
    <x v="0"/>
    <x v="38"/>
    <x v="1"/>
    <x v="2"/>
    <s v="EE_Rural"/>
    <x v="19"/>
    <n v="8.1139884009941898"/>
    <n v="2.2538856669428302"/>
  </r>
  <r>
    <x v="0"/>
    <x v="38"/>
    <x v="1"/>
    <x v="2"/>
    <s v="EE_Rural"/>
    <x v="20"/>
    <n v="22.109183021311601"/>
    <n v="6.1414397281420996"/>
  </r>
  <r>
    <x v="0"/>
    <x v="38"/>
    <x v="1"/>
    <x v="2"/>
    <s v="EE_Rural"/>
    <x v="21"/>
    <n v="47.52"/>
    <n v="13.2"/>
  </r>
  <r>
    <x v="0"/>
    <x v="38"/>
    <x v="1"/>
    <x v="2"/>
    <s v="EE_Rural"/>
    <x v="22"/>
    <n v="61.56"/>
    <n v="17.100000000000001"/>
  </r>
  <r>
    <x v="0"/>
    <x v="38"/>
    <x v="1"/>
    <x v="2"/>
    <s v="EE_Rural"/>
    <x v="23"/>
    <n v="0.31515896120488701"/>
    <n v="8.7544155890246306E-2"/>
  </r>
  <r>
    <x v="0"/>
    <x v="38"/>
    <x v="1"/>
    <x v="2"/>
    <s v="EE_Rural"/>
    <x v="24"/>
    <n v="19.174223581093901"/>
    <n v="5.32617321697054"/>
  </r>
  <r>
    <x v="0"/>
    <x v="38"/>
    <x v="1"/>
    <x v="2"/>
    <s v="EE_Rural"/>
    <x v="25"/>
    <n v="26.209507293842599"/>
    <n v="7.2804186927340497"/>
  </r>
  <r>
    <x v="0"/>
    <x v="38"/>
    <x v="1"/>
    <x v="2"/>
    <s v="EE_Rural"/>
    <x v="26"/>
    <n v="33.320887798496699"/>
    <n v="9.2558021662490795"/>
  </r>
  <r>
    <x v="0"/>
    <x v="38"/>
    <x v="1"/>
    <x v="2"/>
    <s v="EE_Rural"/>
    <x v="27"/>
    <n v="20.163995508318798"/>
    <n v="5.6011098634218799"/>
  </r>
  <r>
    <x v="0"/>
    <x v="38"/>
    <x v="1"/>
    <x v="2"/>
    <s v="EE_Sillamae"/>
    <x v="1"/>
    <n v="35.989199999999997"/>
    <n v="9.9969999999999999"/>
  </r>
  <r>
    <x v="0"/>
    <x v="38"/>
    <x v="1"/>
    <x v="2"/>
    <s v="EE_Sillamae"/>
    <x v="2"/>
    <n v="43.2"/>
    <n v="12"/>
  </r>
  <r>
    <x v="0"/>
    <x v="38"/>
    <x v="1"/>
    <x v="2"/>
    <s v="EE_Sillamae"/>
    <x v="0"/>
    <n v="42.692399999999999"/>
    <n v="11.859"/>
  </r>
  <r>
    <x v="0"/>
    <x v="38"/>
    <x v="1"/>
    <x v="2"/>
    <s v="EE_Sillamae"/>
    <x v="3"/>
    <n v="51.633543144067197"/>
    <n v="14.342650873352"/>
  </r>
  <r>
    <x v="0"/>
    <x v="38"/>
    <x v="1"/>
    <x v="2"/>
    <s v="EE_Sillamae"/>
    <x v="4"/>
    <n v="6.3500778790389401"/>
    <n v="1.76391052195526"/>
  </r>
  <r>
    <x v="0"/>
    <x v="38"/>
    <x v="1"/>
    <x v="2"/>
    <s v="EE_Sillamae"/>
    <x v="5"/>
    <n v="6.3500778790389401"/>
    <n v="1.76391052195526"/>
  </r>
  <r>
    <x v="0"/>
    <x v="38"/>
    <x v="1"/>
    <x v="2"/>
    <s v="EE_Sillamae"/>
    <x v="6"/>
    <n v="29.476231795214598"/>
    <n v="8.1878421653373898"/>
  </r>
  <r>
    <x v="0"/>
    <x v="38"/>
    <x v="1"/>
    <x v="2"/>
    <s v="EE_Sillamae"/>
    <x v="7"/>
    <n v="57.838935220261199"/>
    <n v="16.066370894517"/>
  </r>
  <r>
    <x v="0"/>
    <x v="38"/>
    <x v="1"/>
    <x v="2"/>
    <s v="EE_Sillamae"/>
    <x v="8"/>
    <n v="57.838935220261199"/>
    <n v="16.066370894517"/>
  </r>
  <r>
    <x v="0"/>
    <x v="38"/>
    <x v="1"/>
    <x v="2"/>
    <s v="EE_Sillamae"/>
    <x v="9"/>
    <n v="44.4505451532725"/>
    <n v="12.3473736536868"/>
  </r>
  <r>
    <x v="0"/>
    <x v="38"/>
    <x v="1"/>
    <x v="2"/>
    <s v="EE_Sillamae"/>
    <x v="10"/>
    <n v="53.975661971830903"/>
    <n v="14.993239436619699"/>
  </r>
  <r>
    <x v="0"/>
    <x v="38"/>
    <x v="1"/>
    <x v="2"/>
    <s v="EE_Sillamae"/>
    <x v="11"/>
    <n v="3.8806031483015802"/>
    <n v="1.07794531897266"/>
  </r>
  <r>
    <x v="0"/>
    <x v="38"/>
    <x v="1"/>
    <x v="2"/>
    <s v="EE_Sillamae"/>
    <x v="12"/>
    <n v="9.7995028997514597E-2"/>
    <n v="2.72208413881985E-2"/>
  </r>
  <r>
    <x v="0"/>
    <x v="38"/>
    <x v="1"/>
    <x v="2"/>
    <s v="EE_Sillamae"/>
    <x v="13"/>
    <n v="29.633696768848399"/>
    <n v="8.2315824357912195"/>
  </r>
  <r>
    <x v="0"/>
    <x v="38"/>
    <x v="1"/>
    <x v="2"/>
    <s v="EE_Sillamae"/>
    <x v="14"/>
    <n v="29.633696768848399"/>
    <n v="8.2315824357912195"/>
  </r>
  <r>
    <x v="0"/>
    <x v="38"/>
    <x v="1"/>
    <x v="2"/>
    <s v="EE_Sillamae"/>
    <x v="15"/>
    <n v="1.65807589063794"/>
    <n v="0.46057663628831802"/>
  </r>
  <r>
    <x v="0"/>
    <x v="38"/>
    <x v="1"/>
    <x v="2"/>
    <s v="EE_Sillamae"/>
    <x v="16"/>
    <n v="6.3819281410478998"/>
    <n v="1.77275781695775"/>
  </r>
  <r>
    <x v="0"/>
    <x v="38"/>
    <x v="1"/>
    <x v="2"/>
    <s v="EE_Sillamae"/>
    <x v="17"/>
    <n v="9.1244895875632395"/>
    <n v="2.5345804409897901"/>
  </r>
  <r>
    <x v="0"/>
    <x v="38"/>
    <x v="1"/>
    <x v="2"/>
    <s v="EE_Sillamae"/>
    <x v="18"/>
    <n v="29.633696768848399"/>
    <n v="8.2315824357912195"/>
  </r>
  <r>
    <x v="0"/>
    <x v="38"/>
    <x v="1"/>
    <x v="2"/>
    <s v="EE_Sillamae"/>
    <x v="19"/>
    <n v="8.1139884009941898"/>
    <n v="2.2538856669428302"/>
  </r>
  <r>
    <x v="0"/>
    <x v="38"/>
    <x v="1"/>
    <x v="2"/>
    <s v="EE_Sillamae"/>
    <x v="20"/>
    <n v="22.109183021311601"/>
    <n v="6.1414397281420996"/>
  </r>
  <r>
    <x v="0"/>
    <x v="38"/>
    <x v="1"/>
    <x v="2"/>
    <s v="EE_Sillamae"/>
    <x v="21"/>
    <n v="47.52"/>
    <n v="13.2"/>
  </r>
  <r>
    <x v="0"/>
    <x v="38"/>
    <x v="1"/>
    <x v="2"/>
    <s v="EE_Sillamae"/>
    <x v="22"/>
    <n v="61.56"/>
    <n v="17.100000000000001"/>
  </r>
  <r>
    <x v="0"/>
    <x v="38"/>
    <x v="1"/>
    <x v="2"/>
    <s v="EE_Sillamae"/>
    <x v="23"/>
    <n v="0.31515896120488701"/>
    <n v="8.7544155890246306E-2"/>
  </r>
  <r>
    <x v="0"/>
    <x v="38"/>
    <x v="1"/>
    <x v="2"/>
    <s v="EE_Sillamae"/>
    <x v="24"/>
    <n v="19.174223581093901"/>
    <n v="5.32617321697054"/>
  </r>
  <r>
    <x v="0"/>
    <x v="38"/>
    <x v="1"/>
    <x v="2"/>
    <s v="EE_Sillamae"/>
    <x v="25"/>
    <n v="26.209507293842599"/>
    <n v="7.2804186927340497"/>
  </r>
  <r>
    <x v="0"/>
    <x v="38"/>
    <x v="1"/>
    <x v="2"/>
    <s v="EE_Sillamae"/>
    <x v="26"/>
    <n v="33.320887798496699"/>
    <n v="9.2558021662490795"/>
  </r>
  <r>
    <x v="0"/>
    <x v="38"/>
    <x v="1"/>
    <x v="2"/>
    <s v="EE_Sillamae"/>
    <x v="27"/>
    <n v="20.163995508318798"/>
    <n v="5.6011098634218799"/>
  </r>
  <r>
    <x v="0"/>
    <x v="38"/>
    <x v="1"/>
    <x v="2"/>
    <s v="EE_Tallinn"/>
    <x v="1"/>
    <n v="35.989199999999997"/>
    <n v="9.9969999999999999"/>
  </r>
  <r>
    <x v="0"/>
    <x v="38"/>
    <x v="1"/>
    <x v="2"/>
    <s v="EE_Tallinn"/>
    <x v="2"/>
    <n v="43.2"/>
    <n v="12"/>
  </r>
  <r>
    <x v="0"/>
    <x v="38"/>
    <x v="1"/>
    <x v="2"/>
    <s v="EE_Tallinn"/>
    <x v="0"/>
    <n v="42.692399999999999"/>
    <n v="11.859"/>
  </r>
  <r>
    <x v="0"/>
    <x v="38"/>
    <x v="1"/>
    <x v="2"/>
    <s v="EE_Tallinn"/>
    <x v="3"/>
    <n v="51.633543144067197"/>
    <n v="14.342650873352"/>
  </r>
  <r>
    <x v="0"/>
    <x v="38"/>
    <x v="1"/>
    <x v="2"/>
    <s v="EE_Tallinn"/>
    <x v="4"/>
    <n v="6.3500778790389401"/>
    <n v="1.76391052195526"/>
  </r>
  <r>
    <x v="0"/>
    <x v="38"/>
    <x v="1"/>
    <x v="2"/>
    <s v="EE_Tallinn"/>
    <x v="5"/>
    <n v="6.3500778790389401"/>
    <n v="1.76391052195526"/>
  </r>
  <r>
    <x v="0"/>
    <x v="38"/>
    <x v="1"/>
    <x v="2"/>
    <s v="EE_Tallinn"/>
    <x v="6"/>
    <n v="29.476231795214598"/>
    <n v="8.1878421653373898"/>
  </r>
  <r>
    <x v="0"/>
    <x v="38"/>
    <x v="1"/>
    <x v="2"/>
    <s v="EE_Tallinn"/>
    <x v="7"/>
    <n v="57.838935220261199"/>
    <n v="16.066370894517"/>
  </r>
  <r>
    <x v="0"/>
    <x v="38"/>
    <x v="1"/>
    <x v="2"/>
    <s v="EE_Tallinn"/>
    <x v="8"/>
    <n v="57.838935220261199"/>
    <n v="16.066370894517"/>
  </r>
  <r>
    <x v="0"/>
    <x v="38"/>
    <x v="1"/>
    <x v="2"/>
    <s v="EE_Tallinn"/>
    <x v="9"/>
    <n v="44.4505451532725"/>
    <n v="12.3473736536868"/>
  </r>
  <r>
    <x v="0"/>
    <x v="38"/>
    <x v="1"/>
    <x v="2"/>
    <s v="EE_Tallinn"/>
    <x v="10"/>
    <n v="53.975661971830903"/>
    <n v="14.993239436619699"/>
  </r>
  <r>
    <x v="0"/>
    <x v="38"/>
    <x v="1"/>
    <x v="2"/>
    <s v="EE_Tallinn"/>
    <x v="11"/>
    <n v="3.8806031483015802"/>
    <n v="1.07794531897266"/>
  </r>
  <r>
    <x v="0"/>
    <x v="38"/>
    <x v="1"/>
    <x v="2"/>
    <s v="EE_Tallinn"/>
    <x v="12"/>
    <n v="9.7995028997514597E-2"/>
    <n v="2.72208413881985E-2"/>
  </r>
  <r>
    <x v="0"/>
    <x v="38"/>
    <x v="1"/>
    <x v="2"/>
    <s v="EE_Tallinn"/>
    <x v="13"/>
    <n v="29.633696768848399"/>
    <n v="8.2315824357912195"/>
  </r>
  <r>
    <x v="0"/>
    <x v="38"/>
    <x v="1"/>
    <x v="2"/>
    <s v="EE_Tallinn"/>
    <x v="14"/>
    <n v="29.633696768848399"/>
    <n v="8.2315824357912195"/>
  </r>
  <r>
    <x v="0"/>
    <x v="38"/>
    <x v="1"/>
    <x v="2"/>
    <s v="EE_Tallinn"/>
    <x v="15"/>
    <n v="1.65807589063794"/>
    <n v="0.46057663628831802"/>
  </r>
  <r>
    <x v="0"/>
    <x v="38"/>
    <x v="1"/>
    <x v="2"/>
    <s v="EE_Tallinn"/>
    <x v="16"/>
    <n v="6.3819281410478998"/>
    <n v="1.77275781695775"/>
  </r>
  <r>
    <x v="0"/>
    <x v="38"/>
    <x v="1"/>
    <x v="2"/>
    <s v="EE_Tallinn"/>
    <x v="17"/>
    <n v="9.1244895875632395"/>
    <n v="2.5345804409897901"/>
  </r>
  <r>
    <x v="0"/>
    <x v="38"/>
    <x v="1"/>
    <x v="2"/>
    <s v="EE_Tallinn"/>
    <x v="18"/>
    <n v="29.633696768848399"/>
    <n v="8.2315824357912195"/>
  </r>
  <r>
    <x v="0"/>
    <x v="38"/>
    <x v="1"/>
    <x v="2"/>
    <s v="EE_Tallinn"/>
    <x v="19"/>
    <n v="8.1139884009941898"/>
    <n v="2.2538856669428302"/>
  </r>
  <r>
    <x v="0"/>
    <x v="38"/>
    <x v="1"/>
    <x v="2"/>
    <s v="EE_Tallinn"/>
    <x v="20"/>
    <n v="22.109183021311601"/>
    <n v="6.1414397281420996"/>
  </r>
  <r>
    <x v="0"/>
    <x v="38"/>
    <x v="1"/>
    <x v="2"/>
    <s v="EE_Tallinn"/>
    <x v="21"/>
    <n v="47.52"/>
    <n v="13.2"/>
  </r>
  <r>
    <x v="0"/>
    <x v="38"/>
    <x v="1"/>
    <x v="2"/>
    <s v="EE_Tallinn"/>
    <x v="22"/>
    <n v="61.56"/>
    <n v="17.100000000000001"/>
  </r>
  <r>
    <x v="0"/>
    <x v="38"/>
    <x v="1"/>
    <x v="2"/>
    <s v="EE_Tallinn"/>
    <x v="23"/>
    <n v="0.31515896120488701"/>
    <n v="8.7544155890246306E-2"/>
  </r>
  <r>
    <x v="0"/>
    <x v="38"/>
    <x v="1"/>
    <x v="2"/>
    <s v="EE_Tallinn"/>
    <x v="24"/>
    <n v="19.174223581093901"/>
    <n v="5.32617321697054"/>
  </r>
  <r>
    <x v="0"/>
    <x v="38"/>
    <x v="1"/>
    <x v="2"/>
    <s v="EE_Tallinn"/>
    <x v="25"/>
    <n v="26.209507293842599"/>
    <n v="7.2804186927340497"/>
  </r>
  <r>
    <x v="0"/>
    <x v="38"/>
    <x v="1"/>
    <x v="2"/>
    <s v="EE_Tallinn"/>
    <x v="26"/>
    <n v="33.320887798496699"/>
    <n v="9.2558021662490795"/>
  </r>
  <r>
    <x v="0"/>
    <x v="38"/>
    <x v="1"/>
    <x v="2"/>
    <s v="EE_Tallinn"/>
    <x v="27"/>
    <n v="20.163995508318798"/>
    <n v="5.6011098634218799"/>
  </r>
  <r>
    <x v="0"/>
    <x v="38"/>
    <x v="1"/>
    <x v="2"/>
    <s v="EE_Tartu"/>
    <x v="1"/>
    <n v="35.989199999999997"/>
    <n v="9.9969999999999999"/>
  </r>
  <r>
    <x v="0"/>
    <x v="38"/>
    <x v="1"/>
    <x v="2"/>
    <s v="EE_Tartu"/>
    <x v="2"/>
    <n v="43.2"/>
    <n v="12"/>
  </r>
  <r>
    <x v="0"/>
    <x v="38"/>
    <x v="1"/>
    <x v="2"/>
    <s v="EE_Tartu"/>
    <x v="0"/>
    <n v="42.692399999999999"/>
    <n v="11.859"/>
  </r>
  <r>
    <x v="0"/>
    <x v="38"/>
    <x v="1"/>
    <x v="2"/>
    <s v="EE_Tartu"/>
    <x v="3"/>
    <n v="51.633543144067197"/>
    <n v="14.342650873352"/>
  </r>
  <r>
    <x v="0"/>
    <x v="38"/>
    <x v="1"/>
    <x v="2"/>
    <s v="EE_Tartu"/>
    <x v="4"/>
    <n v="6.3500778790389401"/>
    <n v="1.76391052195526"/>
  </r>
  <r>
    <x v="0"/>
    <x v="38"/>
    <x v="1"/>
    <x v="2"/>
    <s v="EE_Tartu"/>
    <x v="5"/>
    <n v="6.3500778790389401"/>
    <n v="1.76391052195526"/>
  </r>
  <r>
    <x v="0"/>
    <x v="38"/>
    <x v="1"/>
    <x v="2"/>
    <s v="EE_Tartu"/>
    <x v="6"/>
    <n v="29.476231795214598"/>
    <n v="8.1878421653373898"/>
  </r>
  <r>
    <x v="0"/>
    <x v="38"/>
    <x v="1"/>
    <x v="2"/>
    <s v="EE_Tartu"/>
    <x v="7"/>
    <n v="57.838935220261199"/>
    <n v="16.066370894517"/>
  </r>
  <r>
    <x v="0"/>
    <x v="38"/>
    <x v="1"/>
    <x v="2"/>
    <s v="EE_Tartu"/>
    <x v="8"/>
    <n v="57.838935220261199"/>
    <n v="16.066370894517"/>
  </r>
  <r>
    <x v="0"/>
    <x v="38"/>
    <x v="1"/>
    <x v="2"/>
    <s v="EE_Tartu"/>
    <x v="9"/>
    <n v="44.4505451532725"/>
    <n v="12.3473736536868"/>
  </r>
  <r>
    <x v="0"/>
    <x v="38"/>
    <x v="1"/>
    <x v="2"/>
    <s v="EE_Tartu"/>
    <x v="10"/>
    <n v="53.975661971830903"/>
    <n v="14.993239436619699"/>
  </r>
  <r>
    <x v="0"/>
    <x v="38"/>
    <x v="1"/>
    <x v="2"/>
    <s v="EE_Tartu"/>
    <x v="11"/>
    <n v="3.8806031483015802"/>
    <n v="1.07794531897266"/>
  </r>
  <r>
    <x v="0"/>
    <x v="38"/>
    <x v="1"/>
    <x v="2"/>
    <s v="EE_Tartu"/>
    <x v="12"/>
    <n v="9.7995028997514597E-2"/>
    <n v="2.72208413881985E-2"/>
  </r>
  <r>
    <x v="0"/>
    <x v="38"/>
    <x v="1"/>
    <x v="2"/>
    <s v="EE_Tartu"/>
    <x v="13"/>
    <n v="29.633696768848399"/>
    <n v="8.2315824357912195"/>
  </r>
  <r>
    <x v="0"/>
    <x v="38"/>
    <x v="1"/>
    <x v="2"/>
    <s v="EE_Tartu"/>
    <x v="14"/>
    <n v="29.633696768848399"/>
    <n v="8.2315824357912195"/>
  </r>
  <r>
    <x v="0"/>
    <x v="38"/>
    <x v="1"/>
    <x v="2"/>
    <s v="EE_Tartu"/>
    <x v="15"/>
    <n v="1.65807589063794"/>
    <n v="0.46057663628831802"/>
  </r>
  <r>
    <x v="0"/>
    <x v="38"/>
    <x v="1"/>
    <x v="2"/>
    <s v="EE_Tartu"/>
    <x v="16"/>
    <n v="6.3819281410478998"/>
    <n v="1.77275781695775"/>
  </r>
  <r>
    <x v="0"/>
    <x v="38"/>
    <x v="1"/>
    <x v="2"/>
    <s v="EE_Tartu"/>
    <x v="17"/>
    <n v="9.1244895875632395"/>
    <n v="2.5345804409897901"/>
  </r>
  <r>
    <x v="0"/>
    <x v="38"/>
    <x v="1"/>
    <x v="2"/>
    <s v="EE_Tartu"/>
    <x v="18"/>
    <n v="29.633696768848399"/>
    <n v="8.2315824357912195"/>
  </r>
  <r>
    <x v="0"/>
    <x v="38"/>
    <x v="1"/>
    <x v="2"/>
    <s v="EE_Tartu"/>
    <x v="19"/>
    <n v="8.1139884009941898"/>
    <n v="2.2538856669428302"/>
  </r>
  <r>
    <x v="0"/>
    <x v="38"/>
    <x v="1"/>
    <x v="2"/>
    <s v="EE_Tartu"/>
    <x v="20"/>
    <n v="22.109183021311601"/>
    <n v="6.1414397281420996"/>
  </r>
  <r>
    <x v="0"/>
    <x v="38"/>
    <x v="1"/>
    <x v="2"/>
    <s v="EE_Tartu"/>
    <x v="21"/>
    <n v="47.52"/>
    <n v="13.2"/>
  </r>
  <r>
    <x v="0"/>
    <x v="38"/>
    <x v="1"/>
    <x v="2"/>
    <s v="EE_Tartu"/>
    <x v="22"/>
    <n v="61.56"/>
    <n v="17.100000000000001"/>
  </r>
  <r>
    <x v="0"/>
    <x v="38"/>
    <x v="1"/>
    <x v="2"/>
    <s v="EE_Tartu"/>
    <x v="23"/>
    <n v="0.31515896120488701"/>
    <n v="8.7544155890246306E-2"/>
  </r>
  <r>
    <x v="0"/>
    <x v="38"/>
    <x v="1"/>
    <x v="2"/>
    <s v="EE_Tartu"/>
    <x v="24"/>
    <n v="19.174223581093901"/>
    <n v="5.32617321697054"/>
  </r>
  <r>
    <x v="0"/>
    <x v="38"/>
    <x v="1"/>
    <x v="2"/>
    <s v="EE_Tartu"/>
    <x v="25"/>
    <n v="26.209507293842599"/>
    <n v="7.2804186927340497"/>
  </r>
  <r>
    <x v="0"/>
    <x v="38"/>
    <x v="1"/>
    <x v="2"/>
    <s v="EE_Tartu"/>
    <x v="26"/>
    <n v="33.320887798496699"/>
    <n v="9.2558021662490795"/>
  </r>
  <r>
    <x v="0"/>
    <x v="38"/>
    <x v="1"/>
    <x v="2"/>
    <s v="EE_Tartu"/>
    <x v="27"/>
    <n v="20.163995508318798"/>
    <n v="5.6011098634218799"/>
  </r>
  <r>
    <x v="0"/>
    <x v="38"/>
    <x v="1"/>
    <x v="2"/>
    <s v="EE_Urban"/>
    <x v="1"/>
    <n v="35.989199999999997"/>
    <n v="9.9969999999999999"/>
  </r>
  <r>
    <x v="0"/>
    <x v="38"/>
    <x v="1"/>
    <x v="2"/>
    <s v="EE_Urban"/>
    <x v="2"/>
    <n v="43.2"/>
    <n v="12"/>
  </r>
  <r>
    <x v="0"/>
    <x v="38"/>
    <x v="1"/>
    <x v="2"/>
    <s v="EE_Urban"/>
    <x v="0"/>
    <n v="42.692399999999999"/>
    <n v="11.859"/>
  </r>
  <r>
    <x v="0"/>
    <x v="38"/>
    <x v="1"/>
    <x v="2"/>
    <s v="EE_Urban"/>
    <x v="3"/>
    <n v="51.633543144067197"/>
    <n v="14.342650873352"/>
  </r>
  <r>
    <x v="0"/>
    <x v="38"/>
    <x v="1"/>
    <x v="2"/>
    <s v="EE_Urban"/>
    <x v="4"/>
    <n v="6.3500778790389401"/>
    <n v="1.76391052195526"/>
  </r>
  <r>
    <x v="0"/>
    <x v="38"/>
    <x v="1"/>
    <x v="2"/>
    <s v="EE_Urban"/>
    <x v="5"/>
    <n v="6.3500778790389401"/>
    <n v="1.76391052195526"/>
  </r>
  <r>
    <x v="0"/>
    <x v="38"/>
    <x v="1"/>
    <x v="2"/>
    <s v="EE_Urban"/>
    <x v="6"/>
    <n v="29.476231795214598"/>
    <n v="8.1878421653373898"/>
  </r>
  <r>
    <x v="0"/>
    <x v="38"/>
    <x v="1"/>
    <x v="2"/>
    <s v="EE_Urban"/>
    <x v="7"/>
    <n v="57.838935220261199"/>
    <n v="16.066370894517"/>
  </r>
  <r>
    <x v="0"/>
    <x v="38"/>
    <x v="1"/>
    <x v="2"/>
    <s v="EE_Urban"/>
    <x v="8"/>
    <n v="57.838935220261199"/>
    <n v="16.066370894517"/>
  </r>
  <r>
    <x v="0"/>
    <x v="38"/>
    <x v="1"/>
    <x v="2"/>
    <s v="EE_Urban"/>
    <x v="9"/>
    <n v="44.4505451532725"/>
    <n v="12.3473736536868"/>
  </r>
  <r>
    <x v="0"/>
    <x v="38"/>
    <x v="1"/>
    <x v="2"/>
    <s v="EE_Urban"/>
    <x v="10"/>
    <n v="53.975661971830903"/>
    <n v="14.993239436619699"/>
  </r>
  <r>
    <x v="0"/>
    <x v="38"/>
    <x v="1"/>
    <x v="2"/>
    <s v="EE_Urban"/>
    <x v="11"/>
    <n v="3.8806031483015802"/>
    <n v="1.07794531897266"/>
  </r>
  <r>
    <x v="0"/>
    <x v="38"/>
    <x v="1"/>
    <x v="2"/>
    <s v="EE_Urban"/>
    <x v="12"/>
    <n v="9.7995028997514597E-2"/>
    <n v="2.72208413881985E-2"/>
  </r>
  <r>
    <x v="0"/>
    <x v="38"/>
    <x v="1"/>
    <x v="2"/>
    <s v="EE_Urban"/>
    <x v="13"/>
    <n v="29.633696768848399"/>
    <n v="8.2315824357912195"/>
  </r>
  <r>
    <x v="0"/>
    <x v="38"/>
    <x v="1"/>
    <x v="2"/>
    <s v="EE_Urban"/>
    <x v="14"/>
    <n v="29.633696768848399"/>
    <n v="8.2315824357912195"/>
  </r>
  <r>
    <x v="0"/>
    <x v="38"/>
    <x v="1"/>
    <x v="2"/>
    <s v="EE_Urban"/>
    <x v="15"/>
    <n v="1.65807589063794"/>
    <n v="0.46057663628831802"/>
  </r>
  <r>
    <x v="0"/>
    <x v="38"/>
    <x v="1"/>
    <x v="2"/>
    <s v="EE_Urban"/>
    <x v="16"/>
    <n v="6.3819281410478998"/>
    <n v="1.77275781695775"/>
  </r>
  <r>
    <x v="0"/>
    <x v="38"/>
    <x v="1"/>
    <x v="2"/>
    <s v="EE_Urban"/>
    <x v="17"/>
    <n v="9.1244895875632395"/>
    <n v="2.5345804409897901"/>
  </r>
  <r>
    <x v="0"/>
    <x v="38"/>
    <x v="1"/>
    <x v="2"/>
    <s v="EE_Urban"/>
    <x v="18"/>
    <n v="29.633696768848399"/>
    <n v="8.2315824357912195"/>
  </r>
  <r>
    <x v="0"/>
    <x v="38"/>
    <x v="1"/>
    <x v="2"/>
    <s v="EE_Urban"/>
    <x v="19"/>
    <n v="8.1139884009941898"/>
    <n v="2.2538856669428302"/>
  </r>
  <r>
    <x v="0"/>
    <x v="38"/>
    <x v="1"/>
    <x v="2"/>
    <s v="EE_Urban"/>
    <x v="20"/>
    <n v="22.109183021311601"/>
    <n v="6.1414397281420996"/>
  </r>
  <r>
    <x v="0"/>
    <x v="38"/>
    <x v="1"/>
    <x v="2"/>
    <s v="EE_Urban"/>
    <x v="21"/>
    <n v="47.52"/>
    <n v="13.2"/>
  </r>
  <r>
    <x v="0"/>
    <x v="38"/>
    <x v="1"/>
    <x v="2"/>
    <s v="EE_Urban"/>
    <x v="22"/>
    <n v="61.56"/>
    <n v="17.100000000000001"/>
  </r>
  <r>
    <x v="0"/>
    <x v="38"/>
    <x v="1"/>
    <x v="2"/>
    <s v="EE_Urban"/>
    <x v="23"/>
    <n v="0.31515896120488701"/>
    <n v="8.7544155890246306E-2"/>
  </r>
  <r>
    <x v="0"/>
    <x v="38"/>
    <x v="1"/>
    <x v="2"/>
    <s v="EE_Urban"/>
    <x v="24"/>
    <n v="19.174223581093901"/>
    <n v="5.32617321697054"/>
  </r>
  <r>
    <x v="0"/>
    <x v="38"/>
    <x v="1"/>
    <x v="2"/>
    <s v="EE_Urban"/>
    <x v="25"/>
    <n v="26.209507293842599"/>
    <n v="7.2804186927340497"/>
  </r>
  <r>
    <x v="0"/>
    <x v="38"/>
    <x v="1"/>
    <x v="2"/>
    <s v="EE_Urban"/>
    <x v="26"/>
    <n v="33.320887798496699"/>
    <n v="9.2558021662490795"/>
  </r>
  <r>
    <x v="0"/>
    <x v="38"/>
    <x v="1"/>
    <x v="2"/>
    <s v="EE_Urban"/>
    <x v="27"/>
    <n v="20.163995508318798"/>
    <n v="5.6011098634218799"/>
  </r>
  <r>
    <x v="0"/>
    <x v="38"/>
    <x v="2"/>
    <x v="3"/>
    <s v="FI_IND"/>
    <x v="1"/>
    <n v="35.989199999999997"/>
    <n v="9.9969999999999999"/>
  </r>
  <r>
    <x v="0"/>
    <x v="38"/>
    <x v="2"/>
    <x v="3"/>
    <s v="FI_IND"/>
    <x v="2"/>
    <n v="43.2"/>
    <n v="12"/>
  </r>
  <r>
    <x v="0"/>
    <x v="38"/>
    <x v="2"/>
    <x v="3"/>
    <s v="FI_IND"/>
    <x v="0"/>
    <n v="42.692399999999999"/>
    <n v="11.859"/>
  </r>
  <r>
    <x v="0"/>
    <x v="38"/>
    <x v="2"/>
    <x v="3"/>
    <s v="FI_IND"/>
    <x v="3"/>
    <n v="51.633543144067197"/>
    <n v="14.342650873352"/>
  </r>
  <r>
    <x v="0"/>
    <x v="38"/>
    <x v="2"/>
    <x v="3"/>
    <s v="FI_IND"/>
    <x v="4"/>
    <n v="6.3500778790389401"/>
    <n v="1.76391052195526"/>
  </r>
  <r>
    <x v="0"/>
    <x v="38"/>
    <x v="2"/>
    <x v="3"/>
    <s v="FI_IND"/>
    <x v="5"/>
    <n v="6.3500778790389401"/>
    <n v="1.76391052195526"/>
  </r>
  <r>
    <x v="0"/>
    <x v="38"/>
    <x v="2"/>
    <x v="3"/>
    <s v="FI_IND"/>
    <x v="6"/>
    <n v="29.476231795214598"/>
    <n v="8.1878421653373898"/>
  </r>
  <r>
    <x v="0"/>
    <x v="38"/>
    <x v="2"/>
    <x v="3"/>
    <s v="FI_IND"/>
    <x v="7"/>
    <n v="57.838935220261199"/>
    <n v="16.066370894517"/>
  </r>
  <r>
    <x v="0"/>
    <x v="38"/>
    <x v="2"/>
    <x v="3"/>
    <s v="FI_IND"/>
    <x v="8"/>
    <n v="57.838935220261199"/>
    <n v="16.066370894517"/>
  </r>
  <r>
    <x v="0"/>
    <x v="38"/>
    <x v="2"/>
    <x v="3"/>
    <s v="FI_IND"/>
    <x v="9"/>
    <n v="44.4505451532725"/>
    <n v="12.3473736536868"/>
  </r>
  <r>
    <x v="0"/>
    <x v="38"/>
    <x v="2"/>
    <x v="3"/>
    <s v="FI_IND"/>
    <x v="10"/>
    <n v="53.975661971830903"/>
    <n v="14.993239436619699"/>
  </r>
  <r>
    <x v="0"/>
    <x v="38"/>
    <x v="2"/>
    <x v="3"/>
    <s v="FI_IND"/>
    <x v="11"/>
    <n v="3.8806031483015802"/>
    <n v="1.07794531897266"/>
  </r>
  <r>
    <x v="0"/>
    <x v="38"/>
    <x v="2"/>
    <x v="3"/>
    <s v="FI_IND"/>
    <x v="12"/>
    <n v="9.7995028997514597E-2"/>
    <n v="2.72208413881985E-2"/>
  </r>
  <r>
    <x v="0"/>
    <x v="38"/>
    <x v="2"/>
    <x v="3"/>
    <s v="FI_IND"/>
    <x v="13"/>
    <n v="29.633696768848399"/>
    <n v="8.2315824357912195"/>
  </r>
  <r>
    <x v="0"/>
    <x v="38"/>
    <x v="2"/>
    <x v="3"/>
    <s v="FI_IND"/>
    <x v="14"/>
    <n v="29.633696768848399"/>
    <n v="8.2315824357912195"/>
  </r>
  <r>
    <x v="0"/>
    <x v="38"/>
    <x v="2"/>
    <x v="3"/>
    <s v="FI_IND"/>
    <x v="15"/>
    <n v="1.65807589063794"/>
    <n v="0.46057663628831802"/>
  </r>
  <r>
    <x v="0"/>
    <x v="38"/>
    <x v="2"/>
    <x v="3"/>
    <s v="FI_IND"/>
    <x v="16"/>
    <n v="6.3819281410478998"/>
    <n v="1.77275781695775"/>
  </r>
  <r>
    <x v="0"/>
    <x v="38"/>
    <x v="2"/>
    <x v="3"/>
    <s v="FI_IND"/>
    <x v="17"/>
    <n v="9.1244895875632395"/>
    <n v="2.5345804409897901"/>
  </r>
  <r>
    <x v="0"/>
    <x v="38"/>
    <x v="2"/>
    <x v="3"/>
    <s v="FI_IND"/>
    <x v="18"/>
    <n v="29.633696768848399"/>
    <n v="8.2315824357912195"/>
  </r>
  <r>
    <x v="0"/>
    <x v="38"/>
    <x v="2"/>
    <x v="3"/>
    <s v="FI_IND"/>
    <x v="19"/>
    <n v="8.1139884009941898"/>
    <n v="2.2538856669428302"/>
  </r>
  <r>
    <x v="0"/>
    <x v="38"/>
    <x v="2"/>
    <x v="3"/>
    <s v="FI_IND"/>
    <x v="20"/>
    <n v="22.109183021311601"/>
    <n v="6.1414397281420996"/>
  </r>
  <r>
    <x v="0"/>
    <x v="38"/>
    <x v="2"/>
    <x v="3"/>
    <s v="FI_IND"/>
    <x v="21"/>
    <n v="47.52"/>
    <n v="13.2"/>
  </r>
  <r>
    <x v="0"/>
    <x v="38"/>
    <x v="2"/>
    <x v="3"/>
    <s v="FI_IND"/>
    <x v="22"/>
    <n v="61.56"/>
    <n v="17.100000000000001"/>
  </r>
  <r>
    <x v="0"/>
    <x v="38"/>
    <x v="2"/>
    <x v="3"/>
    <s v="FI_IND"/>
    <x v="23"/>
    <n v="0.31515896120488701"/>
    <n v="8.7544155890246306E-2"/>
  </r>
  <r>
    <x v="0"/>
    <x v="38"/>
    <x v="2"/>
    <x v="3"/>
    <s v="FI_IND"/>
    <x v="24"/>
    <n v="19.174223581093901"/>
    <n v="5.32617321697054"/>
  </r>
  <r>
    <x v="0"/>
    <x v="38"/>
    <x v="2"/>
    <x v="3"/>
    <s v="FI_IND"/>
    <x v="25"/>
    <n v="26.209507293842599"/>
    <n v="7.2804186927340497"/>
  </r>
  <r>
    <x v="0"/>
    <x v="38"/>
    <x v="2"/>
    <x v="3"/>
    <s v="FI_IND"/>
    <x v="26"/>
    <n v="33.320887798496699"/>
    <n v="9.2558021662490795"/>
  </r>
  <r>
    <x v="0"/>
    <x v="38"/>
    <x v="2"/>
    <x v="3"/>
    <s v="FI_IND"/>
    <x v="27"/>
    <n v="20.163995508318798"/>
    <n v="5.6011098634218799"/>
  </r>
  <r>
    <x v="0"/>
    <x v="38"/>
    <x v="2"/>
    <x v="3"/>
    <s v="FI_Offshore"/>
    <x v="1"/>
    <n v="35.989199999999997"/>
    <n v="9.9969999999999999"/>
  </r>
  <r>
    <x v="0"/>
    <x v="38"/>
    <x v="2"/>
    <x v="3"/>
    <s v="FI_Offshore"/>
    <x v="2"/>
    <n v="43.2"/>
    <n v="12"/>
  </r>
  <r>
    <x v="0"/>
    <x v="38"/>
    <x v="2"/>
    <x v="3"/>
    <s v="FI_Offshore"/>
    <x v="0"/>
    <n v="42.692399999999999"/>
    <n v="11.859"/>
  </r>
  <r>
    <x v="0"/>
    <x v="38"/>
    <x v="2"/>
    <x v="3"/>
    <s v="FI_Offshore"/>
    <x v="3"/>
    <n v="51.633543144067197"/>
    <n v="14.342650873352"/>
  </r>
  <r>
    <x v="0"/>
    <x v="38"/>
    <x v="2"/>
    <x v="3"/>
    <s v="FI_Offshore"/>
    <x v="4"/>
    <n v="6.3500778790389401"/>
    <n v="1.76391052195526"/>
  </r>
  <r>
    <x v="0"/>
    <x v="38"/>
    <x v="2"/>
    <x v="3"/>
    <s v="FI_Offshore"/>
    <x v="5"/>
    <n v="6.3500778790389401"/>
    <n v="1.76391052195526"/>
  </r>
  <r>
    <x v="0"/>
    <x v="38"/>
    <x v="2"/>
    <x v="3"/>
    <s v="FI_Offshore"/>
    <x v="6"/>
    <n v="29.476231795214598"/>
    <n v="8.1878421653373898"/>
  </r>
  <r>
    <x v="0"/>
    <x v="38"/>
    <x v="2"/>
    <x v="3"/>
    <s v="FI_Offshore"/>
    <x v="7"/>
    <n v="57.838935220261199"/>
    <n v="16.066370894517"/>
  </r>
  <r>
    <x v="0"/>
    <x v="38"/>
    <x v="2"/>
    <x v="3"/>
    <s v="FI_Offshore"/>
    <x v="8"/>
    <n v="57.838935220261199"/>
    <n v="16.066370894517"/>
  </r>
  <r>
    <x v="0"/>
    <x v="38"/>
    <x v="2"/>
    <x v="3"/>
    <s v="FI_Offshore"/>
    <x v="9"/>
    <n v="44.4505451532725"/>
    <n v="12.3473736536868"/>
  </r>
  <r>
    <x v="0"/>
    <x v="38"/>
    <x v="2"/>
    <x v="3"/>
    <s v="FI_Offshore"/>
    <x v="10"/>
    <n v="53.975661971830903"/>
    <n v="14.993239436619699"/>
  </r>
  <r>
    <x v="0"/>
    <x v="38"/>
    <x v="2"/>
    <x v="3"/>
    <s v="FI_Offshore"/>
    <x v="11"/>
    <n v="3.8806031483015802"/>
    <n v="1.07794531897266"/>
  </r>
  <r>
    <x v="0"/>
    <x v="38"/>
    <x v="2"/>
    <x v="3"/>
    <s v="FI_Offshore"/>
    <x v="12"/>
    <n v="9.7995028997514597E-2"/>
    <n v="2.72208413881985E-2"/>
  </r>
  <r>
    <x v="0"/>
    <x v="38"/>
    <x v="2"/>
    <x v="3"/>
    <s v="FI_Offshore"/>
    <x v="13"/>
    <n v="29.633696768848399"/>
    <n v="8.2315824357912195"/>
  </r>
  <r>
    <x v="0"/>
    <x v="38"/>
    <x v="2"/>
    <x v="3"/>
    <s v="FI_Offshore"/>
    <x v="14"/>
    <n v="29.633696768848399"/>
    <n v="8.2315824357912195"/>
  </r>
  <r>
    <x v="0"/>
    <x v="38"/>
    <x v="2"/>
    <x v="3"/>
    <s v="FI_Offshore"/>
    <x v="15"/>
    <n v="1.65807589063794"/>
    <n v="0.46057663628831802"/>
  </r>
  <r>
    <x v="0"/>
    <x v="38"/>
    <x v="2"/>
    <x v="3"/>
    <s v="FI_Offshore"/>
    <x v="16"/>
    <n v="6.3819281410478998"/>
    <n v="1.77275781695775"/>
  </r>
  <r>
    <x v="0"/>
    <x v="38"/>
    <x v="2"/>
    <x v="3"/>
    <s v="FI_Offshore"/>
    <x v="17"/>
    <n v="9.1244895875632395"/>
    <n v="2.5345804409897901"/>
  </r>
  <r>
    <x v="0"/>
    <x v="38"/>
    <x v="2"/>
    <x v="3"/>
    <s v="FI_Offshore"/>
    <x v="18"/>
    <n v="29.633696768848399"/>
    <n v="8.2315824357912195"/>
  </r>
  <r>
    <x v="0"/>
    <x v="38"/>
    <x v="2"/>
    <x v="3"/>
    <s v="FI_Offshore"/>
    <x v="19"/>
    <n v="8.1139884009941898"/>
    <n v="2.2538856669428302"/>
  </r>
  <r>
    <x v="0"/>
    <x v="38"/>
    <x v="2"/>
    <x v="3"/>
    <s v="FI_Offshore"/>
    <x v="20"/>
    <n v="22.109183021311601"/>
    <n v="6.1414397281420996"/>
  </r>
  <r>
    <x v="0"/>
    <x v="38"/>
    <x v="2"/>
    <x v="3"/>
    <s v="FI_Offshore"/>
    <x v="21"/>
    <n v="47.52"/>
    <n v="13.2"/>
  </r>
  <r>
    <x v="0"/>
    <x v="38"/>
    <x v="2"/>
    <x v="3"/>
    <s v="FI_Offshore"/>
    <x v="22"/>
    <n v="61.56"/>
    <n v="17.100000000000001"/>
  </r>
  <r>
    <x v="0"/>
    <x v="38"/>
    <x v="2"/>
    <x v="3"/>
    <s v="FI_Offshore"/>
    <x v="23"/>
    <n v="0.31515896120488701"/>
    <n v="8.7544155890246306E-2"/>
  </r>
  <r>
    <x v="0"/>
    <x v="38"/>
    <x v="2"/>
    <x v="3"/>
    <s v="FI_Offshore"/>
    <x v="24"/>
    <n v="19.174223581093901"/>
    <n v="5.32617321697054"/>
  </r>
  <r>
    <x v="0"/>
    <x v="38"/>
    <x v="2"/>
    <x v="3"/>
    <s v="FI_Offshore"/>
    <x v="25"/>
    <n v="26.209507293842599"/>
    <n v="7.2804186927340497"/>
  </r>
  <r>
    <x v="0"/>
    <x v="38"/>
    <x v="2"/>
    <x v="3"/>
    <s v="FI_Offshore"/>
    <x v="26"/>
    <n v="33.320887798496699"/>
    <n v="9.2558021662490795"/>
  </r>
  <r>
    <x v="0"/>
    <x v="38"/>
    <x v="2"/>
    <x v="3"/>
    <s v="FI_Offshore"/>
    <x v="27"/>
    <n v="20.163995508318798"/>
    <n v="5.6011098634218799"/>
  </r>
  <r>
    <x v="0"/>
    <x v="38"/>
    <x v="2"/>
    <x v="3"/>
    <s v="FI_large"/>
    <x v="1"/>
    <n v="35.989199999999997"/>
    <n v="9.9969999999999999"/>
  </r>
  <r>
    <x v="0"/>
    <x v="38"/>
    <x v="2"/>
    <x v="3"/>
    <s v="FI_large"/>
    <x v="2"/>
    <n v="43.2"/>
    <n v="12"/>
  </r>
  <r>
    <x v="0"/>
    <x v="38"/>
    <x v="2"/>
    <x v="3"/>
    <s v="FI_large"/>
    <x v="0"/>
    <n v="42.692399999999999"/>
    <n v="11.859"/>
  </r>
  <r>
    <x v="0"/>
    <x v="38"/>
    <x v="2"/>
    <x v="3"/>
    <s v="FI_large"/>
    <x v="3"/>
    <n v="51.633543144067197"/>
    <n v="14.342650873352"/>
  </r>
  <r>
    <x v="0"/>
    <x v="38"/>
    <x v="2"/>
    <x v="3"/>
    <s v="FI_large"/>
    <x v="4"/>
    <n v="6.3500778790389401"/>
    <n v="1.76391052195526"/>
  </r>
  <r>
    <x v="0"/>
    <x v="38"/>
    <x v="2"/>
    <x v="3"/>
    <s v="FI_large"/>
    <x v="5"/>
    <n v="6.3500778790389401"/>
    <n v="1.76391052195526"/>
  </r>
  <r>
    <x v="0"/>
    <x v="38"/>
    <x v="2"/>
    <x v="3"/>
    <s v="FI_large"/>
    <x v="6"/>
    <n v="29.476231795214598"/>
    <n v="8.1878421653373898"/>
  </r>
  <r>
    <x v="0"/>
    <x v="38"/>
    <x v="2"/>
    <x v="3"/>
    <s v="FI_large"/>
    <x v="7"/>
    <n v="57.838935220261199"/>
    <n v="16.066370894517"/>
  </r>
  <r>
    <x v="0"/>
    <x v="38"/>
    <x v="2"/>
    <x v="3"/>
    <s v="FI_large"/>
    <x v="8"/>
    <n v="57.838935220261199"/>
    <n v="16.066370894517"/>
  </r>
  <r>
    <x v="0"/>
    <x v="38"/>
    <x v="2"/>
    <x v="3"/>
    <s v="FI_large"/>
    <x v="9"/>
    <n v="44.4505451532725"/>
    <n v="12.3473736536868"/>
  </r>
  <r>
    <x v="0"/>
    <x v="38"/>
    <x v="2"/>
    <x v="3"/>
    <s v="FI_large"/>
    <x v="10"/>
    <n v="53.975661971830903"/>
    <n v="14.993239436619699"/>
  </r>
  <r>
    <x v="0"/>
    <x v="38"/>
    <x v="2"/>
    <x v="3"/>
    <s v="FI_large"/>
    <x v="11"/>
    <n v="3.8806031483015802"/>
    <n v="1.07794531897266"/>
  </r>
  <r>
    <x v="0"/>
    <x v="38"/>
    <x v="2"/>
    <x v="3"/>
    <s v="FI_large"/>
    <x v="12"/>
    <n v="9.7995028997514597E-2"/>
    <n v="2.72208413881985E-2"/>
  </r>
  <r>
    <x v="0"/>
    <x v="38"/>
    <x v="2"/>
    <x v="3"/>
    <s v="FI_large"/>
    <x v="13"/>
    <n v="29.633696768848399"/>
    <n v="8.2315824357912195"/>
  </r>
  <r>
    <x v="0"/>
    <x v="38"/>
    <x v="2"/>
    <x v="3"/>
    <s v="FI_large"/>
    <x v="14"/>
    <n v="29.633696768848399"/>
    <n v="8.2315824357912195"/>
  </r>
  <r>
    <x v="0"/>
    <x v="38"/>
    <x v="2"/>
    <x v="3"/>
    <s v="FI_large"/>
    <x v="15"/>
    <n v="1.65807589063794"/>
    <n v="0.46057663628831802"/>
  </r>
  <r>
    <x v="0"/>
    <x v="38"/>
    <x v="2"/>
    <x v="3"/>
    <s v="FI_large"/>
    <x v="16"/>
    <n v="6.3819281410478998"/>
    <n v="1.77275781695775"/>
  </r>
  <r>
    <x v="0"/>
    <x v="38"/>
    <x v="2"/>
    <x v="3"/>
    <s v="FI_large"/>
    <x v="17"/>
    <n v="9.1244895875632395"/>
    <n v="2.5345804409897901"/>
  </r>
  <r>
    <x v="0"/>
    <x v="38"/>
    <x v="2"/>
    <x v="3"/>
    <s v="FI_large"/>
    <x v="18"/>
    <n v="29.633696768848399"/>
    <n v="8.2315824357912195"/>
  </r>
  <r>
    <x v="0"/>
    <x v="38"/>
    <x v="2"/>
    <x v="3"/>
    <s v="FI_large"/>
    <x v="19"/>
    <n v="8.1139884009941898"/>
    <n v="2.2538856669428302"/>
  </r>
  <r>
    <x v="0"/>
    <x v="38"/>
    <x v="2"/>
    <x v="3"/>
    <s v="FI_large"/>
    <x v="20"/>
    <n v="22.109183021311601"/>
    <n v="6.1414397281420996"/>
  </r>
  <r>
    <x v="0"/>
    <x v="38"/>
    <x v="2"/>
    <x v="3"/>
    <s v="FI_large"/>
    <x v="21"/>
    <n v="47.52"/>
    <n v="13.2"/>
  </r>
  <r>
    <x v="0"/>
    <x v="38"/>
    <x v="2"/>
    <x v="3"/>
    <s v="FI_large"/>
    <x v="22"/>
    <n v="61.56"/>
    <n v="17.100000000000001"/>
  </r>
  <r>
    <x v="0"/>
    <x v="38"/>
    <x v="2"/>
    <x v="3"/>
    <s v="FI_large"/>
    <x v="23"/>
    <n v="0.31515896120488701"/>
    <n v="8.7544155890246306E-2"/>
  </r>
  <r>
    <x v="0"/>
    <x v="38"/>
    <x v="2"/>
    <x v="3"/>
    <s v="FI_large"/>
    <x v="24"/>
    <n v="19.174223581093901"/>
    <n v="5.32617321697054"/>
  </r>
  <r>
    <x v="0"/>
    <x v="38"/>
    <x v="2"/>
    <x v="3"/>
    <s v="FI_large"/>
    <x v="25"/>
    <n v="26.209507293842599"/>
    <n v="7.2804186927340497"/>
  </r>
  <r>
    <x v="0"/>
    <x v="38"/>
    <x v="2"/>
    <x v="3"/>
    <s v="FI_large"/>
    <x v="26"/>
    <n v="33.320887798496699"/>
    <n v="9.2558021662490795"/>
  </r>
  <r>
    <x v="0"/>
    <x v="38"/>
    <x v="2"/>
    <x v="3"/>
    <s v="FI_large"/>
    <x v="27"/>
    <n v="20.163995508318798"/>
    <n v="5.6011098634218799"/>
  </r>
  <r>
    <x v="0"/>
    <x v="38"/>
    <x v="2"/>
    <x v="3"/>
    <s v="FI_large_gas"/>
    <x v="1"/>
    <n v="35.989199999999997"/>
    <n v="9.9969999999999999"/>
  </r>
  <r>
    <x v="0"/>
    <x v="38"/>
    <x v="2"/>
    <x v="3"/>
    <s v="FI_large_gas"/>
    <x v="2"/>
    <n v="43.2"/>
    <n v="12"/>
  </r>
  <r>
    <x v="0"/>
    <x v="38"/>
    <x v="2"/>
    <x v="3"/>
    <s v="FI_large_gas"/>
    <x v="0"/>
    <n v="42.692399999999999"/>
    <n v="11.859"/>
  </r>
  <r>
    <x v="0"/>
    <x v="38"/>
    <x v="2"/>
    <x v="3"/>
    <s v="FI_large_gas"/>
    <x v="3"/>
    <n v="51.633543144067197"/>
    <n v="14.342650873352"/>
  </r>
  <r>
    <x v="0"/>
    <x v="38"/>
    <x v="2"/>
    <x v="3"/>
    <s v="FI_large_gas"/>
    <x v="4"/>
    <n v="6.3500778790389401"/>
    <n v="1.76391052195526"/>
  </r>
  <r>
    <x v="0"/>
    <x v="38"/>
    <x v="2"/>
    <x v="3"/>
    <s v="FI_large_gas"/>
    <x v="5"/>
    <n v="6.3500778790389401"/>
    <n v="1.76391052195526"/>
  </r>
  <r>
    <x v="0"/>
    <x v="38"/>
    <x v="2"/>
    <x v="3"/>
    <s v="FI_large_gas"/>
    <x v="6"/>
    <n v="29.476231795214598"/>
    <n v="8.1878421653373898"/>
  </r>
  <r>
    <x v="0"/>
    <x v="38"/>
    <x v="2"/>
    <x v="3"/>
    <s v="FI_large_gas"/>
    <x v="7"/>
    <n v="57.838935220261199"/>
    <n v="16.066370894517"/>
  </r>
  <r>
    <x v="0"/>
    <x v="38"/>
    <x v="2"/>
    <x v="3"/>
    <s v="FI_large_gas"/>
    <x v="8"/>
    <n v="57.838935220261199"/>
    <n v="16.066370894517"/>
  </r>
  <r>
    <x v="0"/>
    <x v="38"/>
    <x v="2"/>
    <x v="3"/>
    <s v="FI_large_gas"/>
    <x v="9"/>
    <n v="44.4505451532725"/>
    <n v="12.3473736536868"/>
  </r>
  <r>
    <x v="0"/>
    <x v="38"/>
    <x v="2"/>
    <x v="3"/>
    <s v="FI_large_gas"/>
    <x v="10"/>
    <n v="53.975661971830903"/>
    <n v="14.993239436619699"/>
  </r>
  <r>
    <x v="0"/>
    <x v="38"/>
    <x v="2"/>
    <x v="3"/>
    <s v="FI_large_gas"/>
    <x v="11"/>
    <n v="3.8806031483015802"/>
    <n v="1.07794531897266"/>
  </r>
  <r>
    <x v="0"/>
    <x v="38"/>
    <x v="2"/>
    <x v="3"/>
    <s v="FI_large_gas"/>
    <x v="12"/>
    <n v="9.7995028997514597E-2"/>
    <n v="2.72208413881985E-2"/>
  </r>
  <r>
    <x v="0"/>
    <x v="38"/>
    <x v="2"/>
    <x v="3"/>
    <s v="FI_large_gas"/>
    <x v="13"/>
    <n v="29.633696768848399"/>
    <n v="8.2315824357912195"/>
  </r>
  <r>
    <x v="0"/>
    <x v="38"/>
    <x v="2"/>
    <x v="3"/>
    <s v="FI_large_gas"/>
    <x v="14"/>
    <n v="29.633696768848399"/>
    <n v="8.2315824357912195"/>
  </r>
  <r>
    <x v="0"/>
    <x v="38"/>
    <x v="2"/>
    <x v="3"/>
    <s v="FI_large_gas"/>
    <x v="15"/>
    <n v="1.65807589063794"/>
    <n v="0.46057663628831802"/>
  </r>
  <r>
    <x v="0"/>
    <x v="38"/>
    <x v="2"/>
    <x v="3"/>
    <s v="FI_large_gas"/>
    <x v="16"/>
    <n v="6.3819281410478998"/>
    <n v="1.77275781695775"/>
  </r>
  <r>
    <x v="0"/>
    <x v="38"/>
    <x v="2"/>
    <x v="3"/>
    <s v="FI_large_gas"/>
    <x v="17"/>
    <n v="9.1244895875632395"/>
    <n v="2.5345804409897901"/>
  </r>
  <r>
    <x v="0"/>
    <x v="38"/>
    <x v="2"/>
    <x v="3"/>
    <s v="FI_large_gas"/>
    <x v="18"/>
    <n v="29.633696768848399"/>
    <n v="8.2315824357912195"/>
  </r>
  <r>
    <x v="0"/>
    <x v="38"/>
    <x v="2"/>
    <x v="3"/>
    <s v="FI_large_gas"/>
    <x v="19"/>
    <n v="8.1139884009941898"/>
    <n v="2.2538856669428302"/>
  </r>
  <r>
    <x v="0"/>
    <x v="38"/>
    <x v="2"/>
    <x v="3"/>
    <s v="FI_large_gas"/>
    <x v="20"/>
    <n v="22.109183021311601"/>
    <n v="6.1414397281420996"/>
  </r>
  <r>
    <x v="0"/>
    <x v="38"/>
    <x v="2"/>
    <x v="3"/>
    <s v="FI_large_gas"/>
    <x v="21"/>
    <n v="47.52"/>
    <n v="13.2"/>
  </r>
  <r>
    <x v="0"/>
    <x v="38"/>
    <x v="2"/>
    <x v="3"/>
    <s v="FI_large_gas"/>
    <x v="22"/>
    <n v="61.56"/>
    <n v="17.100000000000001"/>
  </r>
  <r>
    <x v="0"/>
    <x v="38"/>
    <x v="2"/>
    <x v="3"/>
    <s v="FI_large_gas"/>
    <x v="23"/>
    <n v="0.31515896120488701"/>
    <n v="8.7544155890246306E-2"/>
  </r>
  <r>
    <x v="0"/>
    <x v="38"/>
    <x v="2"/>
    <x v="3"/>
    <s v="FI_large_gas"/>
    <x v="24"/>
    <n v="19.174223581093901"/>
    <n v="5.32617321697054"/>
  </r>
  <r>
    <x v="0"/>
    <x v="38"/>
    <x v="2"/>
    <x v="3"/>
    <s v="FI_large_gas"/>
    <x v="25"/>
    <n v="26.209507293842599"/>
    <n v="7.2804186927340497"/>
  </r>
  <r>
    <x v="0"/>
    <x v="38"/>
    <x v="2"/>
    <x v="3"/>
    <s v="FI_large_gas"/>
    <x v="26"/>
    <n v="33.320887798496699"/>
    <n v="9.2558021662490795"/>
  </r>
  <r>
    <x v="0"/>
    <x v="38"/>
    <x v="2"/>
    <x v="3"/>
    <s v="FI_large_gas"/>
    <x v="27"/>
    <n v="20.163995508318798"/>
    <n v="5.6011098634218799"/>
  </r>
  <r>
    <x v="0"/>
    <x v="38"/>
    <x v="2"/>
    <x v="3"/>
    <s v="FI_medium"/>
    <x v="1"/>
    <n v="35.989199999999997"/>
    <n v="9.9969999999999999"/>
  </r>
  <r>
    <x v="0"/>
    <x v="38"/>
    <x v="2"/>
    <x v="3"/>
    <s v="FI_medium"/>
    <x v="2"/>
    <n v="43.2"/>
    <n v="12"/>
  </r>
  <r>
    <x v="0"/>
    <x v="38"/>
    <x v="2"/>
    <x v="3"/>
    <s v="FI_medium"/>
    <x v="0"/>
    <n v="42.692399999999999"/>
    <n v="11.859"/>
  </r>
  <r>
    <x v="0"/>
    <x v="38"/>
    <x v="2"/>
    <x v="3"/>
    <s v="FI_medium"/>
    <x v="3"/>
    <n v="51.633543144067197"/>
    <n v="14.342650873352"/>
  </r>
  <r>
    <x v="0"/>
    <x v="38"/>
    <x v="2"/>
    <x v="3"/>
    <s v="FI_medium"/>
    <x v="4"/>
    <n v="6.3500778790389401"/>
    <n v="1.76391052195526"/>
  </r>
  <r>
    <x v="0"/>
    <x v="38"/>
    <x v="2"/>
    <x v="3"/>
    <s v="FI_medium"/>
    <x v="5"/>
    <n v="6.3500778790389401"/>
    <n v="1.76391052195526"/>
  </r>
  <r>
    <x v="0"/>
    <x v="38"/>
    <x v="2"/>
    <x v="3"/>
    <s v="FI_medium"/>
    <x v="6"/>
    <n v="29.476231795214598"/>
    <n v="8.1878421653373898"/>
  </r>
  <r>
    <x v="0"/>
    <x v="38"/>
    <x v="2"/>
    <x v="3"/>
    <s v="FI_medium"/>
    <x v="7"/>
    <n v="57.838935220261199"/>
    <n v="16.066370894517"/>
  </r>
  <r>
    <x v="0"/>
    <x v="38"/>
    <x v="2"/>
    <x v="3"/>
    <s v="FI_medium"/>
    <x v="8"/>
    <n v="57.838935220261199"/>
    <n v="16.066370894517"/>
  </r>
  <r>
    <x v="0"/>
    <x v="38"/>
    <x v="2"/>
    <x v="3"/>
    <s v="FI_medium"/>
    <x v="9"/>
    <n v="44.4505451532725"/>
    <n v="12.3473736536868"/>
  </r>
  <r>
    <x v="0"/>
    <x v="38"/>
    <x v="2"/>
    <x v="3"/>
    <s v="FI_medium"/>
    <x v="10"/>
    <n v="53.975661971830903"/>
    <n v="14.993239436619699"/>
  </r>
  <r>
    <x v="0"/>
    <x v="38"/>
    <x v="2"/>
    <x v="3"/>
    <s v="FI_medium"/>
    <x v="11"/>
    <n v="3.8806031483015802"/>
    <n v="1.07794531897266"/>
  </r>
  <r>
    <x v="0"/>
    <x v="38"/>
    <x v="2"/>
    <x v="3"/>
    <s v="FI_medium"/>
    <x v="12"/>
    <n v="9.7995028997514597E-2"/>
    <n v="2.72208413881985E-2"/>
  </r>
  <r>
    <x v="0"/>
    <x v="38"/>
    <x v="2"/>
    <x v="3"/>
    <s v="FI_medium"/>
    <x v="13"/>
    <n v="29.633696768848399"/>
    <n v="8.2315824357912195"/>
  </r>
  <r>
    <x v="0"/>
    <x v="38"/>
    <x v="2"/>
    <x v="3"/>
    <s v="FI_medium"/>
    <x v="14"/>
    <n v="29.633696768848399"/>
    <n v="8.2315824357912195"/>
  </r>
  <r>
    <x v="0"/>
    <x v="38"/>
    <x v="2"/>
    <x v="3"/>
    <s v="FI_medium"/>
    <x v="15"/>
    <n v="1.65807589063794"/>
    <n v="0.46057663628831802"/>
  </r>
  <r>
    <x v="0"/>
    <x v="38"/>
    <x v="2"/>
    <x v="3"/>
    <s v="FI_medium"/>
    <x v="16"/>
    <n v="6.3819281410478998"/>
    <n v="1.77275781695775"/>
  </r>
  <r>
    <x v="0"/>
    <x v="38"/>
    <x v="2"/>
    <x v="3"/>
    <s v="FI_medium"/>
    <x v="17"/>
    <n v="9.1244895875632395"/>
    <n v="2.5345804409897901"/>
  </r>
  <r>
    <x v="0"/>
    <x v="38"/>
    <x v="2"/>
    <x v="3"/>
    <s v="FI_medium"/>
    <x v="18"/>
    <n v="29.633696768848399"/>
    <n v="8.2315824357912195"/>
  </r>
  <r>
    <x v="0"/>
    <x v="38"/>
    <x v="2"/>
    <x v="3"/>
    <s v="FI_medium"/>
    <x v="19"/>
    <n v="8.1139884009941898"/>
    <n v="2.2538856669428302"/>
  </r>
  <r>
    <x v="0"/>
    <x v="38"/>
    <x v="2"/>
    <x v="3"/>
    <s v="FI_medium"/>
    <x v="20"/>
    <n v="22.109183021311601"/>
    <n v="6.1414397281420996"/>
  </r>
  <r>
    <x v="0"/>
    <x v="38"/>
    <x v="2"/>
    <x v="3"/>
    <s v="FI_medium"/>
    <x v="21"/>
    <n v="47.52"/>
    <n v="13.2"/>
  </r>
  <r>
    <x v="0"/>
    <x v="38"/>
    <x v="2"/>
    <x v="3"/>
    <s v="FI_medium"/>
    <x v="22"/>
    <n v="61.56"/>
    <n v="17.100000000000001"/>
  </r>
  <r>
    <x v="0"/>
    <x v="38"/>
    <x v="2"/>
    <x v="3"/>
    <s v="FI_medium"/>
    <x v="23"/>
    <n v="0.31515896120488701"/>
    <n v="8.7544155890246306E-2"/>
  </r>
  <r>
    <x v="0"/>
    <x v="38"/>
    <x v="2"/>
    <x v="3"/>
    <s v="FI_medium"/>
    <x v="24"/>
    <n v="19.174223581093901"/>
    <n v="5.32617321697054"/>
  </r>
  <r>
    <x v="0"/>
    <x v="38"/>
    <x v="2"/>
    <x v="3"/>
    <s v="FI_medium"/>
    <x v="25"/>
    <n v="26.209507293842599"/>
    <n v="7.2804186927340497"/>
  </r>
  <r>
    <x v="0"/>
    <x v="38"/>
    <x v="2"/>
    <x v="3"/>
    <s v="FI_medium"/>
    <x v="26"/>
    <n v="33.320887798496699"/>
    <n v="9.2558021662490795"/>
  </r>
  <r>
    <x v="0"/>
    <x v="38"/>
    <x v="2"/>
    <x v="3"/>
    <s v="FI_medium"/>
    <x v="27"/>
    <n v="20.163995508318798"/>
    <n v="5.6011098634218799"/>
  </r>
  <r>
    <x v="0"/>
    <x v="38"/>
    <x v="2"/>
    <x v="3"/>
    <s v="FI_medium_gas"/>
    <x v="1"/>
    <n v="35.989199999999997"/>
    <n v="9.9969999999999999"/>
  </r>
  <r>
    <x v="0"/>
    <x v="38"/>
    <x v="2"/>
    <x v="3"/>
    <s v="FI_medium_gas"/>
    <x v="2"/>
    <n v="43.2"/>
    <n v="12"/>
  </r>
  <r>
    <x v="0"/>
    <x v="38"/>
    <x v="2"/>
    <x v="3"/>
    <s v="FI_medium_gas"/>
    <x v="0"/>
    <n v="42.692399999999999"/>
    <n v="11.859"/>
  </r>
  <r>
    <x v="0"/>
    <x v="38"/>
    <x v="2"/>
    <x v="3"/>
    <s v="FI_medium_gas"/>
    <x v="3"/>
    <n v="51.633543144067197"/>
    <n v="14.342650873352"/>
  </r>
  <r>
    <x v="0"/>
    <x v="38"/>
    <x v="2"/>
    <x v="3"/>
    <s v="FI_medium_gas"/>
    <x v="4"/>
    <n v="6.3500778790389401"/>
    <n v="1.76391052195526"/>
  </r>
  <r>
    <x v="0"/>
    <x v="38"/>
    <x v="2"/>
    <x v="3"/>
    <s v="FI_medium_gas"/>
    <x v="5"/>
    <n v="6.3500778790389401"/>
    <n v="1.76391052195526"/>
  </r>
  <r>
    <x v="0"/>
    <x v="38"/>
    <x v="2"/>
    <x v="3"/>
    <s v="FI_medium_gas"/>
    <x v="6"/>
    <n v="29.476231795214598"/>
    <n v="8.1878421653373898"/>
  </r>
  <r>
    <x v="0"/>
    <x v="38"/>
    <x v="2"/>
    <x v="3"/>
    <s v="FI_medium_gas"/>
    <x v="7"/>
    <n v="57.838935220261199"/>
    <n v="16.066370894517"/>
  </r>
  <r>
    <x v="0"/>
    <x v="38"/>
    <x v="2"/>
    <x v="3"/>
    <s v="FI_medium_gas"/>
    <x v="8"/>
    <n v="57.838935220261199"/>
    <n v="16.066370894517"/>
  </r>
  <r>
    <x v="0"/>
    <x v="38"/>
    <x v="2"/>
    <x v="3"/>
    <s v="FI_medium_gas"/>
    <x v="9"/>
    <n v="44.4505451532725"/>
    <n v="12.3473736536868"/>
  </r>
  <r>
    <x v="0"/>
    <x v="38"/>
    <x v="2"/>
    <x v="3"/>
    <s v="FI_medium_gas"/>
    <x v="10"/>
    <n v="53.975661971830903"/>
    <n v="14.993239436619699"/>
  </r>
  <r>
    <x v="0"/>
    <x v="38"/>
    <x v="2"/>
    <x v="3"/>
    <s v="FI_medium_gas"/>
    <x v="11"/>
    <n v="3.8806031483015802"/>
    <n v="1.07794531897266"/>
  </r>
  <r>
    <x v="0"/>
    <x v="38"/>
    <x v="2"/>
    <x v="3"/>
    <s v="FI_medium_gas"/>
    <x v="12"/>
    <n v="9.7995028997514597E-2"/>
    <n v="2.72208413881985E-2"/>
  </r>
  <r>
    <x v="0"/>
    <x v="38"/>
    <x v="2"/>
    <x v="3"/>
    <s v="FI_medium_gas"/>
    <x v="13"/>
    <n v="29.633696768848399"/>
    <n v="8.2315824357912195"/>
  </r>
  <r>
    <x v="0"/>
    <x v="38"/>
    <x v="2"/>
    <x v="3"/>
    <s v="FI_medium_gas"/>
    <x v="14"/>
    <n v="29.633696768848399"/>
    <n v="8.2315824357912195"/>
  </r>
  <r>
    <x v="0"/>
    <x v="38"/>
    <x v="2"/>
    <x v="3"/>
    <s v="FI_medium_gas"/>
    <x v="15"/>
    <n v="1.65807589063794"/>
    <n v="0.46057663628831802"/>
  </r>
  <r>
    <x v="0"/>
    <x v="38"/>
    <x v="2"/>
    <x v="3"/>
    <s v="FI_medium_gas"/>
    <x v="16"/>
    <n v="6.3819281410478998"/>
    <n v="1.77275781695775"/>
  </r>
  <r>
    <x v="0"/>
    <x v="38"/>
    <x v="2"/>
    <x v="3"/>
    <s v="FI_medium_gas"/>
    <x v="17"/>
    <n v="9.1244895875632395"/>
    <n v="2.5345804409897901"/>
  </r>
  <r>
    <x v="0"/>
    <x v="38"/>
    <x v="2"/>
    <x v="3"/>
    <s v="FI_medium_gas"/>
    <x v="18"/>
    <n v="29.633696768848399"/>
    <n v="8.2315824357912195"/>
  </r>
  <r>
    <x v="0"/>
    <x v="38"/>
    <x v="2"/>
    <x v="3"/>
    <s v="FI_medium_gas"/>
    <x v="19"/>
    <n v="8.1139884009941898"/>
    <n v="2.2538856669428302"/>
  </r>
  <r>
    <x v="0"/>
    <x v="38"/>
    <x v="2"/>
    <x v="3"/>
    <s v="FI_medium_gas"/>
    <x v="20"/>
    <n v="22.109183021311601"/>
    <n v="6.1414397281420996"/>
  </r>
  <r>
    <x v="0"/>
    <x v="38"/>
    <x v="2"/>
    <x v="3"/>
    <s v="FI_medium_gas"/>
    <x v="21"/>
    <n v="47.52"/>
    <n v="13.2"/>
  </r>
  <r>
    <x v="0"/>
    <x v="38"/>
    <x v="2"/>
    <x v="3"/>
    <s v="FI_medium_gas"/>
    <x v="22"/>
    <n v="61.56"/>
    <n v="17.100000000000001"/>
  </r>
  <r>
    <x v="0"/>
    <x v="38"/>
    <x v="2"/>
    <x v="3"/>
    <s v="FI_medium_gas"/>
    <x v="23"/>
    <n v="0.31515896120488701"/>
    <n v="8.7544155890246306E-2"/>
  </r>
  <r>
    <x v="0"/>
    <x v="38"/>
    <x v="2"/>
    <x v="3"/>
    <s v="FI_medium_gas"/>
    <x v="24"/>
    <n v="19.174223581093901"/>
    <n v="5.32617321697054"/>
  </r>
  <r>
    <x v="0"/>
    <x v="38"/>
    <x v="2"/>
    <x v="3"/>
    <s v="FI_medium_gas"/>
    <x v="25"/>
    <n v="26.209507293842599"/>
    <n v="7.2804186927340497"/>
  </r>
  <r>
    <x v="0"/>
    <x v="38"/>
    <x v="2"/>
    <x v="3"/>
    <s v="FI_medium_gas"/>
    <x v="26"/>
    <n v="33.320887798496699"/>
    <n v="9.2558021662490795"/>
  </r>
  <r>
    <x v="0"/>
    <x v="38"/>
    <x v="2"/>
    <x v="3"/>
    <s v="FI_medium_gas"/>
    <x v="27"/>
    <n v="20.163995508318798"/>
    <n v="5.6011098634218799"/>
  </r>
  <r>
    <x v="0"/>
    <x v="38"/>
    <x v="2"/>
    <x v="3"/>
    <s v="FI_small"/>
    <x v="1"/>
    <n v="35.989199999999997"/>
    <n v="9.9969999999999999"/>
  </r>
  <r>
    <x v="0"/>
    <x v="38"/>
    <x v="2"/>
    <x v="3"/>
    <s v="FI_small"/>
    <x v="2"/>
    <n v="43.2"/>
    <n v="12"/>
  </r>
  <r>
    <x v="0"/>
    <x v="38"/>
    <x v="2"/>
    <x v="3"/>
    <s v="FI_small"/>
    <x v="0"/>
    <n v="42.692399999999999"/>
    <n v="11.859"/>
  </r>
  <r>
    <x v="0"/>
    <x v="38"/>
    <x v="2"/>
    <x v="3"/>
    <s v="FI_small"/>
    <x v="3"/>
    <n v="51.633543144067197"/>
    <n v="14.342650873352"/>
  </r>
  <r>
    <x v="0"/>
    <x v="38"/>
    <x v="2"/>
    <x v="3"/>
    <s v="FI_small"/>
    <x v="4"/>
    <n v="6.3500778790389401"/>
    <n v="1.76391052195526"/>
  </r>
  <r>
    <x v="0"/>
    <x v="38"/>
    <x v="2"/>
    <x v="3"/>
    <s v="FI_small"/>
    <x v="5"/>
    <n v="6.3500778790389401"/>
    <n v="1.76391052195526"/>
  </r>
  <r>
    <x v="0"/>
    <x v="38"/>
    <x v="2"/>
    <x v="3"/>
    <s v="FI_small"/>
    <x v="6"/>
    <n v="29.476231795214598"/>
    <n v="8.1878421653373898"/>
  </r>
  <r>
    <x v="0"/>
    <x v="38"/>
    <x v="2"/>
    <x v="3"/>
    <s v="FI_small"/>
    <x v="7"/>
    <n v="57.838935220261199"/>
    <n v="16.066370894517"/>
  </r>
  <r>
    <x v="0"/>
    <x v="38"/>
    <x v="2"/>
    <x v="3"/>
    <s v="FI_small"/>
    <x v="8"/>
    <n v="57.838935220261199"/>
    <n v="16.066370894517"/>
  </r>
  <r>
    <x v="0"/>
    <x v="38"/>
    <x v="2"/>
    <x v="3"/>
    <s v="FI_small"/>
    <x v="9"/>
    <n v="44.4505451532725"/>
    <n v="12.3473736536868"/>
  </r>
  <r>
    <x v="0"/>
    <x v="38"/>
    <x v="2"/>
    <x v="3"/>
    <s v="FI_small"/>
    <x v="10"/>
    <n v="53.975661971830903"/>
    <n v="14.993239436619699"/>
  </r>
  <r>
    <x v="0"/>
    <x v="38"/>
    <x v="2"/>
    <x v="3"/>
    <s v="FI_small"/>
    <x v="11"/>
    <n v="3.8806031483015802"/>
    <n v="1.07794531897266"/>
  </r>
  <r>
    <x v="0"/>
    <x v="38"/>
    <x v="2"/>
    <x v="3"/>
    <s v="FI_small"/>
    <x v="12"/>
    <n v="9.7995028997514597E-2"/>
    <n v="2.72208413881985E-2"/>
  </r>
  <r>
    <x v="0"/>
    <x v="38"/>
    <x v="2"/>
    <x v="3"/>
    <s v="FI_small"/>
    <x v="13"/>
    <n v="29.633696768848399"/>
    <n v="8.2315824357912195"/>
  </r>
  <r>
    <x v="0"/>
    <x v="38"/>
    <x v="2"/>
    <x v="3"/>
    <s v="FI_small"/>
    <x v="14"/>
    <n v="29.633696768848399"/>
    <n v="8.2315824357912195"/>
  </r>
  <r>
    <x v="0"/>
    <x v="38"/>
    <x v="2"/>
    <x v="3"/>
    <s v="FI_small"/>
    <x v="15"/>
    <n v="1.65807589063794"/>
    <n v="0.46057663628831802"/>
  </r>
  <r>
    <x v="0"/>
    <x v="38"/>
    <x v="2"/>
    <x v="3"/>
    <s v="FI_small"/>
    <x v="16"/>
    <n v="6.3819281410478998"/>
    <n v="1.77275781695775"/>
  </r>
  <r>
    <x v="0"/>
    <x v="38"/>
    <x v="2"/>
    <x v="3"/>
    <s v="FI_small"/>
    <x v="17"/>
    <n v="9.1244895875632395"/>
    <n v="2.5345804409897901"/>
  </r>
  <r>
    <x v="0"/>
    <x v="38"/>
    <x v="2"/>
    <x v="3"/>
    <s v="FI_small"/>
    <x v="18"/>
    <n v="29.633696768848399"/>
    <n v="8.2315824357912195"/>
  </r>
  <r>
    <x v="0"/>
    <x v="38"/>
    <x v="2"/>
    <x v="3"/>
    <s v="FI_small"/>
    <x v="19"/>
    <n v="8.1139884009941898"/>
    <n v="2.2538856669428302"/>
  </r>
  <r>
    <x v="0"/>
    <x v="38"/>
    <x v="2"/>
    <x v="3"/>
    <s v="FI_small"/>
    <x v="20"/>
    <n v="22.109183021311601"/>
    <n v="6.1414397281420996"/>
  </r>
  <r>
    <x v="0"/>
    <x v="38"/>
    <x v="2"/>
    <x v="3"/>
    <s v="FI_small"/>
    <x v="21"/>
    <n v="47.52"/>
    <n v="13.2"/>
  </r>
  <r>
    <x v="0"/>
    <x v="38"/>
    <x v="2"/>
    <x v="3"/>
    <s v="FI_small"/>
    <x v="22"/>
    <n v="61.56"/>
    <n v="17.100000000000001"/>
  </r>
  <r>
    <x v="0"/>
    <x v="38"/>
    <x v="2"/>
    <x v="3"/>
    <s v="FI_small"/>
    <x v="23"/>
    <n v="0.31515896120488701"/>
    <n v="8.7544155890246306E-2"/>
  </r>
  <r>
    <x v="0"/>
    <x v="38"/>
    <x v="2"/>
    <x v="3"/>
    <s v="FI_small"/>
    <x v="24"/>
    <n v="19.174223581093901"/>
    <n v="5.32617321697054"/>
  </r>
  <r>
    <x v="0"/>
    <x v="38"/>
    <x v="2"/>
    <x v="3"/>
    <s v="FI_small"/>
    <x v="25"/>
    <n v="26.209507293842599"/>
    <n v="7.2804186927340497"/>
  </r>
  <r>
    <x v="0"/>
    <x v="38"/>
    <x v="2"/>
    <x v="3"/>
    <s v="FI_small"/>
    <x v="26"/>
    <n v="33.320887798496699"/>
    <n v="9.2558021662490795"/>
  </r>
  <r>
    <x v="0"/>
    <x v="38"/>
    <x v="2"/>
    <x v="3"/>
    <s v="FI_small"/>
    <x v="27"/>
    <n v="20.163995508318798"/>
    <n v="5.6011098634218799"/>
  </r>
  <r>
    <x v="0"/>
    <x v="38"/>
    <x v="2"/>
    <x v="3"/>
    <s v="FI_small_gas"/>
    <x v="1"/>
    <n v="35.989199999999997"/>
    <n v="9.9969999999999999"/>
  </r>
  <r>
    <x v="0"/>
    <x v="38"/>
    <x v="2"/>
    <x v="3"/>
    <s v="FI_small_gas"/>
    <x v="2"/>
    <n v="43.2"/>
    <n v="12"/>
  </r>
  <r>
    <x v="0"/>
    <x v="38"/>
    <x v="2"/>
    <x v="3"/>
    <s v="FI_small_gas"/>
    <x v="0"/>
    <n v="42.692399999999999"/>
    <n v="11.859"/>
  </r>
  <r>
    <x v="0"/>
    <x v="38"/>
    <x v="2"/>
    <x v="3"/>
    <s v="FI_small_gas"/>
    <x v="3"/>
    <n v="51.633543144067197"/>
    <n v="14.342650873352"/>
  </r>
  <r>
    <x v="0"/>
    <x v="38"/>
    <x v="2"/>
    <x v="3"/>
    <s v="FI_small_gas"/>
    <x v="4"/>
    <n v="6.3500778790389401"/>
    <n v="1.76391052195526"/>
  </r>
  <r>
    <x v="0"/>
    <x v="38"/>
    <x v="2"/>
    <x v="3"/>
    <s v="FI_small_gas"/>
    <x v="5"/>
    <n v="6.3500778790389401"/>
    <n v="1.76391052195526"/>
  </r>
  <r>
    <x v="0"/>
    <x v="38"/>
    <x v="2"/>
    <x v="3"/>
    <s v="FI_small_gas"/>
    <x v="6"/>
    <n v="29.476231795214598"/>
    <n v="8.1878421653373898"/>
  </r>
  <r>
    <x v="0"/>
    <x v="38"/>
    <x v="2"/>
    <x v="3"/>
    <s v="FI_small_gas"/>
    <x v="7"/>
    <n v="57.838935220261199"/>
    <n v="16.066370894517"/>
  </r>
  <r>
    <x v="0"/>
    <x v="38"/>
    <x v="2"/>
    <x v="3"/>
    <s v="FI_small_gas"/>
    <x v="8"/>
    <n v="57.838935220261199"/>
    <n v="16.066370894517"/>
  </r>
  <r>
    <x v="0"/>
    <x v="38"/>
    <x v="2"/>
    <x v="3"/>
    <s v="FI_small_gas"/>
    <x v="9"/>
    <n v="44.4505451532725"/>
    <n v="12.3473736536868"/>
  </r>
  <r>
    <x v="0"/>
    <x v="38"/>
    <x v="2"/>
    <x v="3"/>
    <s v="FI_small_gas"/>
    <x v="10"/>
    <n v="53.975661971830903"/>
    <n v="14.993239436619699"/>
  </r>
  <r>
    <x v="0"/>
    <x v="38"/>
    <x v="2"/>
    <x v="3"/>
    <s v="FI_small_gas"/>
    <x v="11"/>
    <n v="3.8806031483015802"/>
    <n v="1.07794531897266"/>
  </r>
  <r>
    <x v="0"/>
    <x v="38"/>
    <x v="2"/>
    <x v="3"/>
    <s v="FI_small_gas"/>
    <x v="12"/>
    <n v="9.7995028997514597E-2"/>
    <n v="2.72208413881985E-2"/>
  </r>
  <r>
    <x v="0"/>
    <x v="38"/>
    <x v="2"/>
    <x v="3"/>
    <s v="FI_small_gas"/>
    <x v="13"/>
    <n v="29.633696768848399"/>
    <n v="8.2315824357912195"/>
  </r>
  <r>
    <x v="0"/>
    <x v="38"/>
    <x v="2"/>
    <x v="3"/>
    <s v="FI_small_gas"/>
    <x v="14"/>
    <n v="29.633696768848399"/>
    <n v="8.2315824357912195"/>
  </r>
  <r>
    <x v="0"/>
    <x v="38"/>
    <x v="2"/>
    <x v="3"/>
    <s v="FI_small_gas"/>
    <x v="15"/>
    <n v="1.65807589063794"/>
    <n v="0.46057663628831802"/>
  </r>
  <r>
    <x v="0"/>
    <x v="38"/>
    <x v="2"/>
    <x v="3"/>
    <s v="FI_small_gas"/>
    <x v="16"/>
    <n v="6.3819281410478998"/>
    <n v="1.77275781695775"/>
  </r>
  <r>
    <x v="0"/>
    <x v="38"/>
    <x v="2"/>
    <x v="3"/>
    <s v="FI_small_gas"/>
    <x v="17"/>
    <n v="9.1244895875632395"/>
    <n v="2.5345804409897901"/>
  </r>
  <r>
    <x v="0"/>
    <x v="38"/>
    <x v="2"/>
    <x v="3"/>
    <s v="FI_small_gas"/>
    <x v="18"/>
    <n v="29.633696768848399"/>
    <n v="8.2315824357912195"/>
  </r>
  <r>
    <x v="0"/>
    <x v="38"/>
    <x v="2"/>
    <x v="3"/>
    <s v="FI_small_gas"/>
    <x v="19"/>
    <n v="8.1139884009941898"/>
    <n v="2.2538856669428302"/>
  </r>
  <r>
    <x v="0"/>
    <x v="38"/>
    <x v="2"/>
    <x v="3"/>
    <s v="FI_small_gas"/>
    <x v="20"/>
    <n v="22.109183021311601"/>
    <n v="6.1414397281420996"/>
  </r>
  <r>
    <x v="0"/>
    <x v="38"/>
    <x v="2"/>
    <x v="3"/>
    <s v="FI_small_gas"/>
    <x v="21"/>
    <n v="47.52"/>
    <n v="13.2"/>
  </r>
  <r>
    <x v="0"/>
    <x v="38"/>
    <x v="2"/>
    <x v="3"/>
    <s v="FI_small_gas"/>
    <x v="22"/>
    <n v="61.56"/>
    <n v="17.100000000000001"/>
  </r>
  <r>
    <x v="0"/>
    <x v="38"/>
    <x v="2"/>
    <x v="3"/>
    <s v="FI_small_gas"/>
    <x v="23"/>
    <n v="0.31515896120488701"/>
    <n v="8.7544155890246306E-2"/>
  </r>
  <r>
    <x v="0"/>
    <x v="38"/>
    <x v="2"/>
    <x v="3"/>
    <s v="FI_small_gas"/>
    <x v="24"/>
    <n v="19.174223581093901"/>
    <n v="5.32617321697054"/>
  </r>
  <r>
    <x v="0"/>
    <x v="38"/>
    <x v="2"/>
    <x v="3"/>
    <s v="FI_small_gas"/>
    <x v="25"/>
    <n v="26.209507293842599"/>
    <n v="7.2804186927340497"/>
  </r>
  <r>
    <x v="0"/>
    <x v="38"/>
    <x v="2"/>
    <x v="3"/>
    <s v="FI_small_gas"/>
    <x v="26"/>
    <n v="33.320887798496699"/>
    <n v="9.2558021662490795"/>
  </r>
  <r>
    <x v="0"/>
    <x v="38"/>
    <x v="2"/>
    <x v="3"/>
    <s v="FI_small_gas"/>
    <x v="27"/>
    <n v="20.163995508318798"/>
    <n v="5.6011098634218799"/>
  </r>
  <r>
    <x v="0"/>
    <x v="38"/>
    <x v="2"/>
    <x v="3"/>
    <s v="FinA"/>
    <x v="1"/>
    <n v="35.989199999999997"/>
    <n v="9.9969999999999999"/>
  </r>
  <r>
    <x v="0"/>
    <x v="38"/>
    <x v="2"/>
    <x v="3"/>
    <s v="FinA"/>
    <x v="2"/>
    <n v="43.2"/>
    <n v="12"/>
  </r>
  <r>
    <x v="0"/>
    <x v="38"/>
    <x v="2"/>
    <x v="3"/>
    <s v="FinA"/>
    <x v="0"/>
    <n v="42.692399999999999"/>
    <n v="11.859"/>
  </r>
  <r>
    <x v="0"/>
    <x v="38"/>
    <x v="2"/>
    <x v="3"/>
    <s v="FinA"/>
    <x v="3"/>
    <n v="51.633543144067197"/>
    <n v="14.342650873352"/>
  </r>
  <r>
    <x v="0"/>
    <x v="38"/>
    <x v="2"/>
    <x v="3"/>
    <s v="FinA"/>
    <x v="4"/>
    <n v="6.3500778790389401"/>
    <n v="1.76391052195526"/>
  </r>
  <r>
    <x v="0"/>
    <x v="38"/>
    <x v="2"/>
    <x v="3"/>
    <s v="FinA"/>
    <x v="5"/>
    <n v="6.3500778790389401"/>
    <n v="1.76391052195526"/>
  </r>
  <r>
    <x v="0"/>
    <x v="38"/>
    <x v="2"/>
    <x v="3"/>
    <s v="FinA"/>
    <x v="6"/>
    <n v="29.476231795214598"/>
    <n v="8.1878421653373898"/>
  </r>
  <r>
    <x v="0"/>
    <x v="38"/>
    <x v="2"/>
    <x v="3"/>
    <s v="FinA"/>
    <x v="7"/>
    <n v="57.838935220261199"/>
    <n v="16.066370894517"/>
  </r>
  <r>
    <x v="0"/>
    <x v="38"/>
    <x v="2"/>
    <x v="3"/>
    <s v="FinA"/>
    <x v="8"/>
    <n v="57.838935220261199"/>
    <n v="16.066370894517"/>
  </r>
  <r>
    <x v="0"/>
    <x v="38"/>
    <x v="2"/>
    <x v="3"/>
    <s v="FinA"/>
    <x v="9"/>
    <n v="44.4505451532725"/>
    <n v="12.3473736536868"/>
  </r>
  <r>
    <x v="0"/>
    <x v="38"/>
    <x v="2"/>
    <x v="3"/>
    <s v="FinA"/>
    <x v="10"/>
    <n v="53.975661971830903"/>
    <n v="14.993239436619699"/>
  </r>
  <r>
    <x v="0"/>
    <x v="38"/>
    <x v="2"/>
    <x v="3"/>
    <s v="FinA"/>
    <x v="11"/>
    <n v="3.8806031483015802"/>
    <n v="1.07794531897266"/>
  </r>
  <r>
    <x v="0"/>
    <x v="38"/>
    <x v="2"/>
    <x v="3"/>
    <s v="FinA"/>
    <x v="12"/>
    <n v="9.7995028997514597E-2"/>
    <n v="2.72208413881985E-2"/>
  </r>
  <r>
    <x v="0"/>
    <x v="38"/>
    <x v="2"/>
    <x v="3"/>
    <s v="FinA"/>
    <x v="13"/>
    <n v="29.633696768848399"/>
    <n v="8.2315824357912195"/>
  </r>
  <r>
    <x v="0"/>
    <x v="38"/>
    <x v="2"/>
    <x v="3"/>
    <s v="FinA"/>
    <x v="14"/>
    <n v="29.633696768848399"/>
    <n v="8.2315824357912195"/>
  </r>
  <r>
    <x v="0"/>
    <x v="38"/>
    <x v="2"/>
    <x v="3"/>
    <s v="FinA"/>
    <x v="15"/>
    <n v="1.65807589063794"/>
    <n v="0.46057663628831802"/>
  </r>
  <r>
    <x v="0"/>
    <x v="38"/>
    <x v="2"/>
    <x v="3"/>
    <s v="FinA"/>
    <x v="16"/>
    <n v="6.3819281410478998"/>
    <n v="1.77275781695775"/>
  </r>
  <r>
    <x v="0"/>
    <x v="38"/>
    <x v="2"/>
    <x v="3"/>
    <s v="FinA"/>
    <x v="17"/>
    <n v="9.1244895875632395"/>
    <n v="2.5345804409897901"/>
  </r>
  <r>
    <x v="0"/>
    <x v="38"/>
    <x v="2"/>
    <x v="3"/>
    <s v="FinA"/>
    <x v="18"/>
    <n v="29.633696768848399"/>
    <n v="8.2315824357912195"/>
  </r>
  <r>
    <x v="0"/>
    <x v="38"/>
    <x v="2"/>
    <x v="3"/>
    <s v="FinA"/>
    <x v="19"/>
    <n v="8.1139884009941898"/>
    <n v="2.2538856669428302"/>
  </r>
  <r>
    <x v="0"/>
    <x v="38"/>
    <x v="2"/>
    <x v="3"/>
    <s v="FinA"/>
    <x v="20"/>
    <n v="22.109183021311601"/>
    <n v="6.1414397281420996"/>
  </r>
  <r>
    <x v="0"/>
    <x v="38"/>
    <x v="2"/>
    <x v="3"/>
    <s v="FinA"/>
    <x v="21"/>
    <n v="47.52"/>
    <n v="13.2"/>
  </r>
  <r>
    <x v="0"/>
    <x v="38"/>
    <x v="2"/>
    <x v="3"/>
    <s v="FinA"/>
    <x v="22"/>
    <n v="61.56"/>
    <n v="17.100000000000001"/>
  </r>
  <r>
    <x v="0"/>
    <x v="38"/>
    <x v="2"/>
    <x v="3"/>
    <s v="FinA"/>
    <x v="23"/>
    <n v="0.31515896120488701"/>
    <n v="8.7544155890246306E-2"/>
  </r>
  <r>
    <x v="0"/>
    <x v="38"/>
    <x v="2"/>
    <x v="3"/>
    <s v="FinA"/>
    <x v="24"/>
    <n v="19.174223581093901"/>
    <n v="5.32617321697054"/>
  </r>
  <r>
    <x v="0"/>
    <x v="38"/>
    <x v="2"/>
    <x v="3"/>
    <s v="FinA"/>
    <x v="25"/>
    <n v="26.209507293842599"/>
    <n v="7.2804186927340497"/>
  </r>
  <r>
    <x v="0"/>
    <x v="38"/>
    <x v="2"/>
    <x v="3"/>
    <s v="FinA"/>
    <x v="26"/>
    <n v="33.320887798496699"/>
    <n v="9.2558021662490795"/>
  </r>
  <r>
    <x v="0"/>
    <x v="38"/>
    <x v="2"/>
    <x v="3"/>
    <s v="FinA"/>
    <x v="27"/>
    <n v="20.163995508318798"/>
    <n v="5.6011098634218799"/>
  </r>
  <r>
    <x v="0"/>
    <x v="38"/>
    <x v="3"/>
    <x v="4"/>
    <s v="DE4-E_A"/>
    <x v="1"/>
    <n v="35.989199999999997"/>
    <n v="9.9969999999999999"/>
  </r>
  <r>
    <x v="0"/>
    <x v="38"/>
    <x v="3"/>
    <x v="4"/>
    <s v="DE4-E_A"/>
    <x v="2"/>
    <n v="43.2"/>
    <n v="12"/>
  </r>
  <r>
    <x v="0"/>
    <x v="38"/>
    <x v="3"/>
    <x v="4"/>
    <s v="DE4-E_A"/>
    <x v="0"/>
    <n v="42.692399999999999"/>
    <n v="11.859"/>
  </r>
  <r>
    <x v="0"/>
    <x v="38"/>
    <x v="3"/>
    <x v="4"/>
    <s v="DE4-E_A"/>
    <x v="3"/>
    <n v="51.633543144067197"/>
    <n v="14.342650873352"/>
  </r>
  <r>
    <x v="0"/>
    <x v="38"/>
    <x v="3"/>
    <x v="4"/>
    <s v="DE4-E_A"/>
    <x v="4"/>
    <n v="6.3500778790389401"/>
    <n v="1.76391052195526"/>
  </r>
  <r>
    <x v="0"/>
    <x v="38"/>
    <x v="3"/>
    <x v="4"/>
    <s v="DE4-E_A"/>
    <x v="5"/>
    <n v="6.3500778790389401"/>
    <n v="1.76391052195526"/>
  </r>
  <r>
    <x v="0"/>
    <x v="38"/>
    <x v="3"/>
    <x v="4"/>
    <s v="DE4-E_A"/>
    <x v="6"/>
    <n v="29.476231795214598"/>
    <n v="8.1878421653373898"/>
  </r>
  <r>
    <x v="0"/>
    <x v="38"/>
    <x v="3"/>
    <x v="4"/>
    <s v="DE4-E_A"/>
    <x v="7"/>
    <n v="57.838935220261199"/>
    <n v="16.066370894517"/>
  </r>
  <r>
    <x v="0"/>
    <x v="38"/>
    <x v="3"/>
    <x v="4"/>
    <s v="DE4-E_A"/>
    <x v="8"/>
    <n v="57.838935220261199"/>
    <n v="16.066370894517"/>
  </r>
  <r>
    <x v="0"/>
    <x v="38"/>
    <x v="3"/>
    <x v="4"/>
    <s v="DE4-E_A"/>
    <x v="9"/>
    <n v="44.4505451532725"/>
    <n v="12.3473736536868"/>
  </r>
  <r>
    <x v="0"/>
    <x v="38"/>
    <x v="3"/>
    <x v="4"/>
    <s v="DE4-E_A"/>
    <x v="10"/>
    <n v="53.975661971830903"/>
    <n v="14.993239436619699"/>
  </r>
  <r>
    <x v="0"/>
    <x v="38"/>
    <x v="3"/>
    <x v="4"/>
    <s v="DE4-E_A"/>
    <x v="11"/>
    <n v="3.8806031483015802"/>
    <n v="1.07794531897266"/>
  </r>
  <r>
    <x v="0"/>
    <x v="38"/>
    <x v="3"/>
    <x v="4"/>
    <s v="DE4-E_A"/>
    <x v="12"/>
    <n v="9.7995028997514597E-2"/>
    <n v="2.72208413881985E-2"/>
  </r>
  <r>
    <x v="0"/>
    <x v="38"/>
    <x v="3"/>
    <x v="4"/>
    <s v="DE4-E_A"/>
    <x v="13"/>
    <n v="29.633696768848399"/>
    <n v="8.2315824357912195"/>
  </r>
  <r>
    <x v="0"/>
    <x v="38"/>
    <x v="3"/>
    <x v="4"/>
    <s v="DE4-E_A"/>
    <x v="14"/>
    <n v="29.633696768848399"/>
    <n v="8.2315824357912195"/>
  </r>
  <r>
    <x v="0"/>
    <x v="38"/>
    <x v="3"/>
    <x v="4"/>
    <s v="DE4-E_A"/>
    <x v="15"/>
    <n v="1.65807589063794"/>
    <n v="0.46057663628831802"/>
  </r>
  <r>
    <x v="0"/>
    <x v="38"/>
    <x v="3"/>
    <x v="4"/>
    <s v="DE4-E_A"/>
    <x v="16"/>
    <n v="6.3819281410478998"/>
    <n v="1.77275781695775"/>
  </r>
  <r>
    <x v="0"/>
    <x v="38"/>
    <x v="3"/>
    <x v="4"/>
    <s v="DE4-E_A"/>
    <x v="17"/>
    <n v="9.1244895875632395"/>
    <n v="2.5345804409897901"/>
  </r>
  <r>
    <x v="0"/>
    <x v="38"/>
    <x v="3"/>
    <x v="4"/>
    <s v="DE4-E_A"/>
    <x v="18"/>
    <n v="29.633696768848399"/>
    <n v="8.2315824357912195"/>
  </r>
  <r>
    <x v="0"/>
    <x v="38"/>
    <x v="3"/>
    <x v="4"/>
    <s v="DE4-E_A"/>
    <x v="19"/>
    <n v="8.1139884009941898"/>
    <n v="2.2538856669428302"/>
  </r>
  <r>
    <x v="0"/>
    <x v="38"/>
    <x v="3"/>
    <x v="4"/>
    <s v="DE4-E_A"/>
    <x v="20"/>
    <n v="22.109183021311601"/>
    <n v="6.1414397281420996"/>
  </r>
  <r>
    <x v="0"/>
    <x v="38"/>
    <x v="3"/>
    <x v="4"/>
    <s v="DE4-E_A"/>
    <x v="21"/>
    <n v="47.52"/>
    <n v="13.2"/>
  </r>
  <r>
    <x v="0"/>
    <x v="38"/>
    <x v="3"/>
    <x v="4"/>
    <s v="DE4-E_A"/>
    <x v="22"/>
    <n v="61.56"/>
    <n v="17.100000000000001"/>
  </r>
  <r>
    <x v="0"/>
    <x v="38"/>
    <x v="3"/>
    <x v="4"/>
    <s v="DE4-E_A"/>
    <x v="23"/>
    <n v="0.31515896120488701"/>
    <n v="8.7544155890246306E-2"/>
  </r>
  <r>
    <x v="0"/>
    <x v="38"/>
    <x v="3"/>
    <x v="4"/>
    <s v="DE4-E_A"/>
    <x v="24"/>
    <n v="19.174223581093901"/>
    <n v="5.32617321697054"/>
  </r>
  <r>
    <x v="0"/>
    <x v="38"/>
    <x v="3"/>
    <x v="4"/>
    <s v="DE4-E_A"/>
    <x v="25"/>
    <n v="26.209507293842599"/>
    <n v="7.2804186927340497"/>
  </r>
  <r>
    <x v="0"/>
    <x v="38"/>
    <x v="3"/>
    <x v="4"/>
    <s v="DE4-E_A"/>
    <x v="26"/>
    <n v="33.320887798496699"/>
    <n v="9.2558021662490795"/>
  </r>
  <r>
    <x v="0"/>
    <x v="38"/>
    <x v="3"/>
    <x v="4"/>
    <s v="DE4-E_A"/>
    <x v="27"/>
    <n v="20.163995508318798"/>
    <n v="5.6011098634218799"/>
  </r>
  <r>
    <x v="0"/>
    <x v="38"/>
    <x v="3"/>
    <x v="4"/>
    <s v="DE4-E_Offshore_A"/>
    <x v="1"/>
    <n v="35.989199999999997"/>
    <n v="9.9969999999999999"/>
  </r>
  <r>
    <x v="0"/>
    <x v="38"/>
    <x v="3"/>
    <x v="4"/>
    <s v="DE4-E_Offshore_A"/>
    <x v="2"/>
    <n v="43.2"/>
    <n v="12"/>
  </r>
  <r>
    <x v="0"/>
    <x v="38"/>
    <x v="3"/>
    <x v="4"/>
    <s v="DE4-E_Offshore_A"/>
    <x v="0"/>
    <n v="42.692399999999999"/>
    <n v="11.859"/>
  </r>
  <r>
    <x v="0"/>
    <x v="38"/>
    <x v="3"/>
    <x v="4"/>
    <s v="DE4-E_Offshore_A"/>
    <x v="3"/>
    <n v="51.633543144067197"/>
    <n v="14.342650873352"/>
  </r>
  <r>
    <x v="0"/>
    <x v="38"/>
    <x v="3"/>
    <x v="4"/>
    <s v="DE4-E_Offshore_A"/>
    <x v="4"/>
    <n v="6.3500778790389401"/>
    <n v="1.76391052195526"/>
  </r>
  <r>
    <x v="0"/>
    <x v="38"/>
    <x v="3"/>
    <x v="4"/>
    <s v="DE4-E_Offshore_A"/>
    <x v="5"/>
    <n v="6.3500778790389401"/>
    <n v="1.76391052195526"/>
  </r>
  <r>
    <x v="0"/>
    <x v="38"/>
    <x v="3"/>
    <x v="4"/>
    <s v="DE4-E_Offshore_A"/>
    <x v="6"/>
    <n v="29.476231795214598"/>
    <n v="8.1878421653373898"/>
  </r>
  <r>
    <x v="0"/>
    <x v="38"/>
    <x v="3"/>
    <x v="4"/>
    <s v="DE4-E_Offshore_A"/>
    <x v="7"/>
    <n v="57.838935220261199"/>
    <n v="16.066370894517"/>
  </r>
  <r>
    <x v="0"/>
    <x v="38"/>
    <x v="3"/>
    <x v="4"/>
    <s v="DE4-E_Offshore_A"/>
    <x v="8"/>
    <n v="57.838935220261199"/>
    <n v="16.066370894517"/>
  </r>
  <r>
    <x v="0"/>
    <x v="38"/>
    <x v="3"/>
    <x v="4"/>
    <s v="DE4-E_Offshore_A"/>
    <x v="9"/>
    <n v="44.4505451532725"/>
    <n v="12.3473736536868"/>
  </r>
  <r>
    <x v="0"/>
    <x v="38"/>
    <x v="3"/>
    <x v="4"/>
    <s v="DE4-E_Offshore_A"/>
    <x v="10"/>
    <n v="53.975661971830903"/>
    <n v="14.993239436619699"/>
  </r>
  <r>
    <x v="0"/>
    <x v="38"/>
    <x v="3"/>
    <x v="4"/>
    <s v="DE4-E_Offshore_A"/>
    <x v="11"/>
    <n v="3.8806031483015802"/>
    <n v="1.07794531897266"/>
  </r>
  <r>
    <x v="0"/>
    <x v="38"/>
    <x v="3"/>
    <x v="4"/>
    <s v="DE4-E_Offshore_A"/>
    <x v="12"/>
    <n v="9.7995028997514597E-2"/>
    <n v="2.72208413881985E-2"/>
  </r>
  <r>
    <x v="0"/>
    <x v="38"/>
    <x v="3"/>
    <x v="4"/>
    <s v="DE4-E_Offshore_A"/>
    <x v="13"/>
    <n v="29.633696768848399"/>
    <n v="8.2315824357912195"/>
  </r>
  <r>
    <x v="0"/>
    <x v="38"/>
    <x v="3"/>
    <x v="4"/>
    <s v="DE4-E_Offshore_A"/>
    <x v="14"/>
    <n v="29.633696768848399"/>
    <n v="8.2315824357912195"/>
  </r>
  <r>
    <x v="0"/>
    <x v="38"/>
    <x v="3"/>
    <x v="4"/>
    <s v="DE4-E_Offshore_A"/>
    <x v="15"/>
    <n v="1.65807589063794"/>
    <n v="0.46057663628831802"/>
  </r>
  <r>
    <x v="0"/>
    <x v="38"/>
    <x v="3"/>
    <x v="4"/>
    <s v="DE4-E_Offshore_A"/>
    <x v="16"/>
    <n v="6.3819281410478998"/>
    <n v="1.77275781695775"/>
  </r>
  <r>
    <x v="0"/>
    <x v="38"/>
    <x v="3"/>
    <x v="4"/>
    <s v="DE4-E_Offshore_A"/>
    <x v="17"/>
    <n v="9.1244895875632395"/>
    <n v="2.5345804409897901"/>
  </r>
  <r>
    <x v="0"/>
    <x v="38"/>
    <x v="3"/>
    <x v="4"/>
    <s v="DE4-E_Offshore_A"/>
    <x v="18"/>
    <n v="29.633696768848399"/>
    <n v="8.2315824357912195"/>
  </r>
  <r>
    <x v="0"/>
    <x v="38"/>
    <x v="3"/>
    <x v="4"/>
    <s v="DE4-E_Offshore_A"/>
    <x v="19"/>
    <n v="8.1139884009941898"/>
    <n v="2.2538856669428302"/>
  </r>
  <r>
    <x v="0"/>
    <x v="38"/>
    <x v="3"/>
    <x v="4"/>
    <s v="DE4-E_Offshore_A"/>
    <x v="20"/>
    <n v="22.109183021311601"/>
    <n v="6.1414397281420996"/>
  </r>
  <r>
    <x v="0"/>
    <x v="38"/>
    <x v="3"/>
    <x v="4"/>
    <s v="DE4-E_Offshore_A"/>
    <x v="21"/>
    <n v="47.52"/>
    <n v="13.2"/>
  </r>
  <r>
    <x v="0"/>
    <x v="38"/>
    <x v="3"/>
    <x v="4"/>
    <s v="DE4-E_Offshore_A"/>
    <x v="22"/>
    <n v="61.56"/>
    <n v="17.100000000000001"/>
  </r>
  <r>
    <x v="0"/>
    <x v="38"/>
    <x v="3"/>
    <x v="4"/>
    <s v="DE4-E_Offshore_A"/>
    <x v="23"/>
    <n v="0.31515896120488701"/>
    <n v="8.7544155890246306E-2"/>
  </r>
  <r>
    <x v="0"/>
    <x v="38"/>
    <x v="3"/>
    <x v="4"/>
    <s v="DE4-E_Offshore_A"/>
    <x v="24"/>
    <n v="19.174223581093901"/>
    <n v="5.32617321697054"/>
  </r>
  <r>
    <x v="0"/>
    <x v="38"/>
    <x v="3"/>
    <x v="4"/>
    <s v="DE4-E_Offshore_A"/>
    <x v="25"/>
    <n v="26.209507293842599"/>
    <n v="7.2804186927340497"/>
  </r>
  <r>
    <x v="0"/>
    <x v="38"/>
    <x v="3"/>
    <x v="4"/>
    <s v="DE4-E_Offshore_A"/>
    <x v="26"/>
    <n v="33.320887798496699"/>
    <n v="9.2558021662490795"/>
  </r>
  <r>
    <x v="0"/>
    <x v="38"/>
    <x v="3"/>
    <x v="4"/>
    <s v="DE4-E_Offshore_A"/>
    <x v="27"/>
    <n v="20.163995508318798"/>
    <n v="5.6011098634218799"/>
  </r>
  <r>
    <x v="0"/>
    <x v="38"/>
    <x v="3"/>
    <x v="5"/>
    <s v="DE4-N_A"/>
    <x v="1"/>
    <n v="35.989199999999997"/>
    <n v="9.9969999999999999"/>
  </r>
  <r>
    <x v="0"/>
    <x v="38"/>
    <x v="3"/>
    <x v="5"/>
    <s v="DE4-N_A"/>
    <x v="2"/>
    <n v="43.2"/>
    <n v="12"/>
  </r>
  <r>
    <x v="0"/>
    <x v="38"/>
    <x v="3"/>
    <x v="5"/>
    <s v="DE4-N_A"/>
    <x v="0"/>
    <n v="42.692399999999999"/>
    <n v="11.859"/>
  </r>
  <r>
    <x v="0"/>
    <x v="38"/>
    <x v="3"/>
    <x v="5"/>
    <s v="DE4-N_A"/>
    <x v="3"/>
    <n v="51.633543144067197"/>
    <n v="14.342650873352"/>
  </r>
  <r>
    <x v="0"/>
    <x v="38"/>
    <x v="3"/>
    <x v="5"/>
    <s v="DE4-N_A"/>
    <x v="4"/>
    <n v="6.3500778790389401"/>
    <n v="1.76391052195526"/>
  </r>
  <r>
    <x v="0"/>
    <x v="38"/>
    <x v="3"/>
    <x v="5"/>
    <s v="DE4-N_A"/>
    <x v="5"/>
    <n v="6.3500778790389401"/>
    <n v="1.76391052195526"/>
  </r>
  <r>
    <x v="0"/>
    <x v="38"/>
    <x v="3"/>
    <x v="5"/>
    <s v="DE4-N_A"/>
    <x v="6"/>
    <n v="29.476231795214598"/>
    <n v="8.1878421653373898"/>
  </r>
  <r>
    <x v="0"/>
    <x v="38"/>
    <x v="3"/>
    <x v="5"/>
    <s v="DE4-N_A"/>
    <x v="7"/>
    <n v="57.838935220261199"/>
    <n v="16.066370894517"/>
  </r>
  <r>
    <x v="0"/>
    <x v="38"/>
    <x v="3"/>
    <x v="5"/>
    <s v="DE4-N_A"/>
    <x v="8"/>
    <n v="57.838935220261199"/>
    <n v="16.066370894517"/>
  </r>
  <r>
    <x v="0"/>
    <x v="38"/>
    <x v="3"/>
    <x v="5"/>
    <s v="DE4-N_A"/>
    <x v="9"/>
    <n v="44.4505451532725"/>
    <n v="12.3473736536868"/>
  </r>
  <r>
    <x v="0"/>
    <x v="38"/>
    <x v="3"/>
    <x v="5"/>
    <s v="DE4-N_A"/>
    <x v="10"/>
    <n v="53.975661971830903"/>
    <n v="14.993239436619699"/>
  </r>
  <r>
    <x v="0"/>
    <x v="38"/>
    <x v="3"/>
    <x v="5"/>
    <s v="DE4-N_A"/>
    <x v="11"/>
    <n v="3.8806031483015802"/>
    <n v="1.07794531897266"/>
  </r>
  <r>
    <x v="0"/>
    <x v="38"/>
    <x v="3"/>
    <x v="5"/>
    <s v="DE4-N_A"/>
    <x v="12"/>
    <n v="9.7995028997514597E-2"/>
    <n v="2.72208413881985E-2"/>
  </r>
  <r>
    <x v="0"/>
    <x v="38"/>
    <x v="3"/>
    <x v="5"/>
    <s v="DE4-N_A"/>
    <x v="13"/>
    <n v="29.633696768848399"/>
    <n v="8.2315824357912195"/>
  </r>
  <r>
    <x v="0"/>
    <x v="38"/>
    <x v="3"/>
    <x v="5"/>
    <s v="DE4-N_A"/>
    <x v="14"/>
    <n v="29.633696768848399"/>
    <n v="8.2315824357912195"/>
  </r>
  <r>
    <x v="0"/>
    <x v="38"/>
    <x v="3"/>
    <x v="5"/>
    <s v="DE4-N_A"/>
    <x v="15"/>
    <n v="1.65807589063794"/>
    <n v="0.46057663628831802"/>
  </r>
  <r>
    <x v="0"/>
    <x v="38"/>
    <x v="3"/>
    <x v="5"/>
    <s v="DE4-N_A"/>
    <x v="16"/>
    <n v="6.3819281410478998"/>
    <n v="1.77275781695775"/>
  </r>
  <r>
    <x v="0"/>
    <x v="38"/>
    <x v="3"/>
    <x v="5"/>
    <s v="DE4-N_A"/>
    <x v="17"/>
    <n v="9.1244895875632395"/>
    <n v="2.5345804409897901"/>
  </r>
  <r>
    <x v="0"/>
    <x v="38"/>
    <x v="3"/>
    <x v="5"/>
    <s v="DE4-N_A"/>
    <x v="18"/>
    <n v="29.633696768848399"/>
    <n v="8.2315824357912195"/>
  </r>
  <r>
    <x v="0"/>
    <x v="38"/>
    <x v="3"/>
    <x v="5"/>
    <s v="DE4-N_A"/>
    <x v="19"/>
    <n v="8.1139884009941898"/>
    <n v="2.2538856669428302"/>
  </r>
  <r>
    <x v="0"/>
    <x v="38"/>
    <x v="3"/>
    <x v="5"/>
    <s v="DE4-N_A"/>
    <x v="20"/>
    <n v="22.109183021311601"/>
    <n v="6.1414397281420996"/>
  </r>
  <r>
    <x v="0"/>
    <x v="38"/>
    <x v="3"/>
    <x v="5"/>
    <s v="DE4-N_A"/>
    <x v="21"/>
    <n v="47.52"/>
    <n v="13.2"/>
  </r>
  <r>
    <x v="0"/>
    <x v="38"/>
    <x v="3"/>
    <x v="5"/>
    <s v="DE4-N_A"/>
    <x v="22"/>
    <n v="61.56"/>
    <n v="17.100000000000001"/>
  </r>
  <r>
    <x v="0"/>
    <x v="38"/>
    <x v="3"/>
    <x v="5"/>
    <s v="DE4-N_A"/>
    <x v="23"/>
    <n v="0.31515896120488701"/>
    <n v="8.7544155890246306E-2"/>
  </r>
  <r>
    <x v="0"/>
    <x v="38"/>
    <x v="3"/>
    <x v="5"/>
    <s v="DE4-N_A"/>
    <x v="24"/>
    <n v="19.174223581093901"/>
    <n v="5.32617321697054"/>
  </r>
  <r>
    <x v="0"/>
    <x v="38"/>
    <x v="3"/>
    <x v="5"/>
    <s v="DE4-N_A"/>
    <x v="25"/>
    <n v="26.209507293842599"/>
    <n v="7.2804186927340497"/>
  </r>
  <r>
    <x v="0"/>
    <x v="38"/>
    <x v="3"/>
    <x v="5"/>
    <s v="DE4-N_A"/>
    <x v="26"/>
    <n v="33.320887798496699"/>
    <n v="9.2558021662490795"/>
  </r>
  <r>
    <x v="0"/>
    <x v="38"/>
    <x v="3"/>
    <x v="5"/>
    <s v="DE4-N_A"/>
    <x v="27"/>
    <n v="20.163995508318798"/>
    <n v="5.6011098634218799"/>
  </r>
  <r>
    <x v="0"/>
    <x v="38"/>
    <x v="3"/>
    <x v="5"/>
    <s v="DE4-N_Offshore_A"/>
    <x v="1"/>
    <n v="35.989199999999997"/>
    <n v="9.9969999999999999"/>
  </r>
  <r>
    <x v="0"/>
    <x v="38"/>
    <x v="3"/>
    <x v="5"/>
    <s v="DE4-N_Offshore_A"/>
    <x v="2"/>
    <n v="43.2"/>
    <n v="12"/>
  </r>
  <r>
    <x v="0"/>
    <x v="38"/>
    <x v="3"/>
    <x v="5"/>
    <s v="DE4-N_Offshore_A"/>
    <x v="0"/>
    <n v="42.692399999999999"/>
    <n v="11.859"/>
  </r>
  <r>
    <x v="0"/>
    <x v="38"/>
    <x v="3"/>
    <x v="5"/>
    <s v="DE4-N_Offshore_A"/>
    <x v="3"/>
    <n v="51.633543144067197"/>
    <n v="14.342650873352"/>
  </r>
  <r>
    <x v="0"/>
    <x v="38"/>
    <x v="3"/>
    <x v="5"/>
    <s v="DE4-N_Offshore_A"/>
    <x v="4"/>
    <n v="6.3500778790389401"/>
    <n v="1.76391052195526"/>
  </r>
  <r>
    <x v="0"/>
    <x v="38"/>
    <x v="3"/>
    <x v="5"/>
    <s v="DE4-N_Offshore_A"/>
    <x v="5"/>
    <n v="6.3500778790389401"/>
    <n v="1.76391052195526"/>
  </r>
  <r>
    <x v="0"/>
    <x v="38"/>
    <x v="3"/>
    <x v="5"/>
    <s v="DE4-N_Offshore_A"/>
    <x v="6"/>
    <n v="29.476231795214598"/>
    <n v="8.1878421653373898"/>
  </r>
  <r>
    <x v="0"/>
    <x v="38"/>
    <x v="3"/>
    <x v="5"/>
    <s v="DE4-N_Offshore_A"/>
    <x v="7"/>
    <n v="57.838935220261199"/>
    <n v="16.066370894517"/>
  </r>
  <r>
    <x v="0"/>
    <x v="38"/>
    <x v="3"/>
    <x v="5"/>
    <s v="DE4-N_Offshore_A"/>
    <x v="8"/>
    <n v="57.838935220261199"/>
    <n v="16.066370894517"/>
  </r>
  <r>
    <x v="0"/>
    <x v="38"/>
    <x v="3"/>
    <x v="5"/>
    <s v="DE4-N_Offshore_A"/>
    <x v="9"/>
    <n v="44.4505451532725"/>
    <n v="12.3473736536868"/>
  </r>
  <r>
    <x v="0"/>
    <x v="38"/>
    <x v="3"/>
    <x v="5"/>
    <s v="DE4-N_Offshore_A"/>
    <x v="10"/>
    <n v="53.975661971830903"/>
    <n v="14.993239436619699"/>
  </r>
  <r>
    <x v="0"/>
    <x v="38"/>
    <x v="3"/>
    <x v="5"/>
    <s v="DE4-N_Offshore_A"/>
    <x v="11"/>
    <n v="3.8806031483015802"/>
    <n v="1.07794531897266"/>
  </r>
  <r>
    <x v="0"/>
    <x v="38"/>
    <x v="3"/>
    <x v="5"/>
    <s v="DE4-N_Offshore_A"/>
    <x v="12"/>
    <n v="9.7995028997514597E-2"/>
    <n v="2.72208413881985E-2"/>
  </r>
  <r>
    <x v="0"/>
    <x v="38"/>
    <x v="3"/>
    <x v="5"/>
    <s v="DE4-N_Offshore_A"/>
    <x v="13"/>
    <n v="29.633696768848399"/>
    <n v="8.2315824357912195"/>
  </r>
  <r>
    <x v="0"/>
    <x v="38"/>
    <x v="3"/>
    <x v="5"/>
    <s v="DE4-N_Offshore_A"/>
    <x v="14"/>
    <n v="29.633696768848399"/>
    <n v="8.2315824357912195"/>
  </r>
  <r>
    <x v="0"/>
    <x v="38"/>
    <x v="3"/>
    <x v="5"/>
    <s v="DE4-N_Offshore_A"/>
    <x v="15"/>
    <n v="1.65807589063794"/>
    <n v="0.46057663628831802"/>
  </r>
  <r>
    <x v="0"/>
    <x v="38"/>
    <x v="3"/>
    <x v="5"/>
    <s v="DE4-N_Offshore_A"/>
    <x v="16"/>
    <n v="6.3819281410478998"/>
    <n v="1.77275781695775"/>
  </r>
  <r>
    <x v="0"/>
    <x v="38"/>
    <x v="3"/>
    <x v="5"/>
    <s v="DE4-N_Offshore_A"/>
    <x v="17"/>
    <n v="9.1244895875632395"/>
    <n v="2.5345804409897901"/>
  </r>
  <r>
    <x v="0"/>
    <x v="38"/>
    <x v="3"/>
    <x v="5"/>
    <s v="DE4-N_Offshore_A"/>
    <x v="18"/>
    <n v="29.633696768848399"/>
    <n v="8.2315824357912195"/>
  </r>
  <r>
    <x v="0"/>
    <x v="38"/>
    <x v="3"/>
    <x v="5"/>
    <s v="DE4-N_Offshore_A"/>
    <x v="19"/>
    <n v="8.1139884009941898"/>
    <n v="2.2538856669428302"/>
  </r>
  <r>
    <x v="0"/>
    <x v="38"/>
    <x v="3"/>
    <x v="5"/>
    <s v="DE4-N_Offshore_A"/>
    <x v="20"/>
    <n v="22.109183021311601"/>
    <n v="6.1414397281420996"/>
  </r>
  <r>
    <x v="0"/>
    <x v="38"/>
    <x v="3"/>
    <x v="5"/>
    <s v="DE4-N_Offshore_A"/>
    <x v="21"/>
    <n v="47.52"/>
    <n v="13.2"/>
  </r>
  <r>
    <x v="0"/>
    <x v="38"/>
    <x v="3"/>
    <x v="5"/>
    <s v="DE4-N_Offshore_A"/>
    <x v="22"/>
    <n v="61.56"/>
    <n v="17.100000000000001"/>
  </r>
  <r>
    <x v="0"/>
    <x v="38"/>
    <x v="3"/>
    <x v="5"/>
    <s v="DE4-N_Offshore_A"/>
    <x v="23"/>
    <n v="0.31515896120488701"/>
    <n v="8.7544155890246306E-2"/>
  </r>
  <r>
    <x v="0"/>
    <x v="38"/>
    <x v="3"/>
    <x v="5"/>
    <s v="DE4-N_Offshore_A"/>
    <x v="24"/>
    <n v="19.174223581093901"/>
    <n v="5.32617321697054"/>
  </r>
  <r>
    <x v="0"/>
    <x v="38"/>
    <x v="3"/>
    <x v="5"/>
    <s v="DE4-N_Offshore_A"/>
    <x v="25"/>
    <n v="26.209507293842599"/>
    <n v="7.2804186927340497"/>
  </r>
  <r>
    <x v="0"/>
    <x v="38"/>
    <x v="3"/>
    <x v="5"/>
    <s v="DE4-N_Offshore_A"/>
    <x v="26"/>
    <n v="33.320887798496699"/>
    <n v="9.2558021662490795"/>
  </r>
  <r>
    <x v="0"/>
    <x v="38"/>
    <x v="3"/>
    <x v="5"/>
    <s v="DE4-N_Offshore_A"/>
    <x v="27"/>
    <n v="20.163995508318798"/>
    <n v="5.6011098634218799"/>
  </r>
  <r>
    <x v="0"/>
    <x v="38"/>
    <x v="3"/>
    <x v="6"/>
    <s v="DE4-S_A"/>
    <x v="1"/>
    <n v="35.989199999999997"/>
    <n v="9.9969999999999999"/>
  </r>
  <r>
    <x v="0"/>
    <x v="38"/>
    <x v="3"/>
    <x v="6"/>
    <s v="DE4-S_A"/>
    <x v="2"/>
    <n v="43.2"/>
    <n v="12"/>
  </r>
  <r>
    <x v="0"/>
    <x v="38"/>
    <x v="3"/>
    <x v="6"/>
    <s v="DE4-S_A"/>
    <x v="0"/>
    <n v="42.692399999999999"/>
    <n v="11.859"/>
  </r>
  <r>
    <x v="0"/>
    <x v="38"/>
    <x v="3"/>
    <x v="6"/>
    <s v="DE4-S_A"/>
    <x v="3"/>
    <n v="51.633543144067197"/>
    <n v="14.342650873352"/>
  </r>
  <r>
    <x v="0"/>
    <x v="38"/>
    <x v="3"/>
    <x v="6"/>
    <s v="DE4-S_A"/>
    <x v="4"/>
    <n v="6.3500778790389401"/>
    <n v="1.76391052195526"/>
  </r>
  <r>
    <x v="0"/>
    <x v="38"/>
    <x v="3"/>
    <x v="6"/>
    <s v="DE4-S_A"/>
    <x v="5"/>
    <n v="6.3500778790389401"/>
    <n v="1.76391052195526"/>
  </r>
  <r>
    <x v="0"/>
    <x v="38"/>
    <x v="3"/>
    <x v="6"/>
    <s v="DE4-S_A"/>
    <x v="6"/>
    <n v="29.476231795214598"/>
    <n v="8.1878421653373898"/>
  </r>
  <r>
    <x v="0"/>
    <x v="38"/>
    <x v="3"/>
    <x v="6"/>
    <s v="DE4-S_A"/>
    <x v="7"/>
    <n v="57.838935220261199"/>
    <n v="16.066370894517"/>
  </r>
  <r>
    <x v="0"/>
    <x v="38"/>
    <x v="3"/>
    <x v="6"/>
    <s v="DE4-S_A"/>
    <x v="8"/>
    <n v="57.838935220261199"/>
    <n v="16.066370894517"/>
  </r>
  <r>
    <x v="0"/>
    <x v="38"/>
    <x v="3"/>
    <x v="6"/>
    <s v="DE4-S_A"/>
    <x v="9"/>
    <n v="44.4505451532725"/>
    <n v="12.3473736536868"/>
  </r>
  <r>
    <x v="0"/>
    <x v="38"/>
    <x v="3"/>
    <x v="6"/>
    <s v="DE4-S_A"/>
    <x v="10"/>
    <n v="53.975661971830903"/>
    <n v="14.993239436619699"/>
  </r>
  <r>
    <x v="0"/>
    <x v="38"/>
    <x v="3"/>
    <x v="6"/>
    <s v="DE4-S_A"/>
    <x v="11"/>
    <n v="3.8806031483015802"/>
    <n v="1.07794531897266"/>
  </r>
  <r>
    <x v="0"/>
    <x v="38"/>
    <x v="3"/>
    <x v="6"/>
    <s v="DE4-S_A"/>
    <x v="12"/>
    <n v="9.7995028997514597E-2"/>
    <n v="2.72208413881985E-2"/>
  </r>
  <r>
    <x v="0"/>
    <x v="38"/>
    <x v="3"/>
    <x v="6"/>
    <s v="DE4-S_A"/>
    <x v="13"/>
    <n v="29.633696768848399"/>
    <n v="8.2315824357912195"/>
  </r>
  <r>
    <x v="0"/>
    <x v="38"/>
    <x v="3"/>
    <x v="6"/>
    <s v="DE4-S_A"/>
    <x v="14"/>
    <n v="29.633696768848399"/>
    <n v="8.2315824357912195"/>
  </r>
  <r>
    <x v="0"/>
    <x v="38"/>
    <x v="3"/>
    <x v="6"/>
    <s v="DE4-S_A"/>
    <x v="15"/>
    <n v="1.65807589063794"/>
    <n v="0.46057663628831802"/>
  </r>
  <r>
    <x v="0"/>
    <x v="38"/>
    <x v="3"/>
    <x v="6"/>
    <s v="DE4-S_A"/>
    <x v="16"/>
    <n v="6.3819281410478998"/>
    <n v="1.77275781695775"/>
  </r>
  <r>
    <x v="0"/>
    <x v="38"/>
    <x v="3"/>
    <x v="6"/>
    <s v="DE4-S_A"/>
    <x v="17"/>
    <n v="9.1244895875632395"/>
    <n v="2.5345804409897901"/>
  </r>
  <r>
    <x v="0"/>
    <x v="38"/>
    <x v="3"/>
    <x v="6"/>
    <s v="DE4-S_A"/>
    <x v="18"/>
    <n v="29.633696768848399"/>
    <n v="8.2315824357912195"/>
  </r>
  <r>
    <x v="0"/>
    <x v="38"/>
    <x v="3"/>
    <x v="6"/>
    <s v="DE4-S_A"/>
    <x v="19"/>
    <n v="8.1139884009941898"/>
    <n v="2.2538856669428302"/>
  </r>
  <r>
    <x v="0"/>
    <x v="38"/>
    <x v="3"/>
    <x v="6"/>
    <s v="DE4-S_A"/>
    <x v="20"/>
    <n v="22.109183021311601"/>
    <n v="6.1414397281420996"/>
  </r>
  <r>
    <x v="0"/>
    <x v="38"/>
    <x v="3"/>
    <x v="6"/>
    <s v="DE4-S_A"/>
    <x v="21"/>
    <n v="47.52"/>
    <n v="13.2"/>
  </r>
  <r>
    <x v="0"/>
    <x v="38"/>
    <x v="3"/>
    <x v="6"/>
    <s v="DE4-S_A"/>
    <x v="22"/>
    <n v="61.56"/>
    <n v="17.100000000000001"/>
  </r>
  <r>
    <x v="0"/>
    <x v="38"/>
    <x v="3"/>
    <x v="6"/>
    <s v="DE4-S_A"/>
    <x v="23"/>
    <n v="0.31515896120488701"/>
    <n v="8.7544155890246306E-2"/>
  </r>
  <r>
    <x v="0"/>
    <x v="38"/>
    <x v="3"/>
    <x v="6"/>
    <s v="DE4-S_A"/>
    <x v="24"/>
    <n v="19.174223581093901"/>
    <n v="5.32617321697054"/>
  </r>
  <r>
    <x v="0"/>
    <x v="38"/>
    <x v="3"/>
    <x v="6"/>
    <s v="DE4-S_A"/>
    <x v="25"/>
    <n v="26.209507293842599"/>
    <n v="7.2804186927340497"/>
  </r>
  <r>
    <x v="0"/>
    <x v="38"/>
    <x v="3"/>
    <x v="6"/>
    <s v="DE4-S_A"/>
    <x v="26"/>
    <n v="33.320887798496699"/>
    <n v="9.2558021662490795"/>
  </r>
  <r>
    <x v="0"/>
    <x v="38"/>
    <x v="3"/>
    <x v="6"/>
    <s v="DE4-S_A"/>
    <x v="27"/>
    <n v="20.163995508318798"/>
    <n v="5.6011098634218799"/>
  </r>
  <r>
    <x v="0"/>
    <x v="38"/>
    <x v="3"/>
    <x v="7"/>
    <s v="DE4-W_A"/>
    <x v="1"/>
    <n v="35.989199999999997"/>
    <n v="9.9969999999999999"/>
  </r>
  <r>
    <x v="0"/>
    <x v="38"/>
    <x v="3"/>
    <x v="7"/>
    <s v="DE4-W_A"/>
    <x v="2"/>
    <n v="43.2"/>
    <n v="12"/>
  </r>
  <r>
    <x v="0"/>
    <x v="38"/>
    <x v="3"/>
    <x v="7"/>
    <s v="DE4-W_A"/>
    <x v="0"/>
    <n v="42.692399999999999"/>
    <n v="11.859"/>
  </r>
  <r>
    <x v="0"/>
    <x v="38"/>
    <x v="3"/>
    <x v="7"/>
    <s v="DE4-W_A"/>
    <x v="3"/>
    <n v="51.633543144067197"/>
    <n v="14.342650873352"/>
  </r>
  <r>
    <x v="0"/>
    <x v="38"/>
    <x v="3"/>
    <x v="7"/>
    <s v="DE4-W_A"/>
    <x v="4"/>
    <n v="6.3500778790389401"/>
    <n v="1.76391052195526"/>
  </r>
  <r>
    <x v="0"/>
    <x v="38"/>
    <x v="3"/>
    <x v="7"/>
    <s v="DE4-W_A"/>
    <x v="5"/>
    <n v="6.3500778790389401"/>
    <n v="1.76391052195526"/>
  </r>
  <r>
    <x v="0"/>
    <x v="38"/>
    <x v="3"/>
    <x v="7"/>
    <s v="DE4-W_A"/>
    <x v="6"/>
    <n v="29.476231795214598"/>
    <n v="8.1878421653373898"/>
  </r>
  <r>
    <x v="0"/>
    <x v="38"/>
    <x v="3"/>
    <x v="7"/>
    <s v="DE4-W_A"/>
    <x v="7"/>
    <n v="57.838935220261199"/>
    <n v="16.066370894517"/>
  </r>
  <r>
    <x v="0"/>
    <x v="38"/>
    <x v="3"/>
    <x v="7"/>
    <s v="DE4-W_A"/>
    <x v="8"/>
    <n v="57.838935220261199"/>
    <n v="16.066370894517"/>
  </r>
  <r>
    <x v="0"/>
    <x v="38"/>
    <x v="3"/>
    <x v="7"/>
    <s v="DE4-W_A"/>
    <x v="9"/>
    <n v="44.4505451532725"/>
    <n v="12.3473736536868"/>
  </r>
  <r>
    <x v="0"/>
    <x v="38"/>
    <x v="3"/>
    <x v="7"/>
    <s v="DE4-W_A"/>
    <x v="10"/>
    <n v="53.975661971830903"/>
    <n v="14.993239436619699"/>
  </r>
  <r>
    <x v="0"/>
    <x v="38"/>
    <x v="3"/>
    <x v="7"/>
    <s v="DE4-W_A"/>
    <x v="11"/>
    <n v="3.8806031483015802"/>
    <n v="1.07794531897266"/>
  </r>
  <r>
    <x v="0"/>
    <x v="38"/>
    <x v="3"/>
    <x v="7"/>
    <s v="DE4-W_A"/>
    <x v="12"/>
    <n v="9.7995028997514597E-2"/>
    <n v="2.72208413881985E-2"/>
  </r>
  <r>
    <x v="0"/>
    <x v="38"/>
    <x v="3"/>
    <x v="7"/>
    <s v="DE4-W_A"/>
    <x v="13"/>
    <n v="29.633696768848399"/>
    <n v="8.2315824357912195"/>
  </r>
  <r>
    <x v="0"/>
    <x v="38"/>
    <x v="3"/>
    <x v="7"/>
    <s v="DE4-W_A"/>
    <x v="14"/>
    <n v="29.633696768848399"/>
    <n v="8.2315824357912195"/>
  </r>
  <r>
    <x v="0"/>
    <x v="38"/>
    <x v="3"/>
    <x v="7"/>
    <s v="DE4-W_A"/>
    <x v="15"/>
    <n v="1.65807589063794"/>
    <n v="0.46057663628831802"/>
  </r>
  <r>
    <x v="0"/>
    <x v="38"/>
    <x v="3"/>
    <x v="7"/>
    <s v="DE4-W_A"/>
    <x v="16"/>
    <n v="6.3819281410478998"/>
    <n v="1.77275781695775"/>
  </r>
  <r>
    <x v="0"/>
    <x v="38"/>
    <x v="3"/>
    <x v="7"/>
    <s v="DE4-W_A"/>
    <x v="17"/>
    <n v="9.1244895875632395"/>
    <n v="2.5345804409897901"/>
  </r>
  <r>
    <x v="0"/>
    <x v="38"/>
    <x v="3"/>
    <x v="7"/>
    <s v="DE4-W_A"/>
    <x v="18"/>
    <n v="29.633696768848399"/>
    <n v="8.2315824357912195"/>
  </r>
  <r>
    <x v="0"/>
    <x v="38"/>
    <x v="3"/>
    <x v="7"/>
    <s v="DE4-W_A"/>
    <x v="19"/>
    <n v="8.1139884009941898"/>
    <n v="2.2538856669428302"/>
  </r>
  <r>
    <x v="0"/>
    <x v="38"/>
    <x v="3"/>
    <x v="7"/>
    <s v="DE4-W_A"/>
    <x v="20"/>
    <n v="22.109183021311601"/>
    <n v="6.1414397281420996"/>
  </r>
  <r>
    <x v="0"/>
    <x v="38"/>
    <x v="3"/>
    <x v="7"/>
    <s v="DE4-W_A"/>
    <x v="21"/>
    <n v="47.52"/>
    <n v="13.2"/>
  </r>
  <r>
    <x v="0"/>
    <x v="38"/>
    <x v="3"/>
    <x v="7"/>
    <s v="DE4-W_A"/>
    <x v="22"/>
    <n v="61.56"/>
    <n v="17.100000000000001"/>
  </r>
  <r>
    <x v="0"/>
    <x v="38"/>
    <x v="3"/>
    <x v="7"/>
    <s v="DE4-W_A"/>
    <x v="23"/>
    <n v="0.31515896120488701"/>
    <n v="8.7544155890246306E-2"/>
  </r>
  <r>
    <x v="0"/>
    <x v="38"/>
    <x v="3"/>
    <x v="7"/>
    <s v="DE4-W_A"/>
    <x v="24"/>
    <n v="19.174223581093901"/>
    <n v="5.32617321697054"/>
  </r>
  <r>
    <x v="0"/>
    <x v="38"/>
    <x v="3"/>
    <x v="7"/>
    <s v="DE4-W_A"/>
    <x v="25"/>
    <n v="26.209507293842599"/>
    <n v="7.2804186927340497"/>
  </r>
  <r>
    <x v="0"/>
    <x v="38"/>
    <x v="3"/>
    <x v="7"/>
    <s v="DE4-W_A"/>
    <x v="26"/>
    <n v="33.320887798496699"/>
    <n v="9.2558021662490795"/>
  </r>
  <r>
    <x v="0"/>
    <x v="38"/>
    <x v="3"/>
    <x v="7"/>
    <s v="DE4-W_A"/>
    <x v="27"/>
    <n v="20.163995508318798"/>
    <n v="5.6011098634218799"/>
  </r>
  <r>
    <x v="0"/>
    <x v="38"/>
    <x v="3"/>
    <x v="7"/>
    <s v="DE4-W_Offshore_A"/>
    <x v="1"/>
    <n v="35.989199999999997"/>
    <n v="9.9969999999999999"/>
  </r>
  <r>
    <x v="0"/>
    <x v="38"/>
    <x v="3"/>
    <x v="7"/>
    <s v="DE4-W_Offshore_A"/>
    <x v="2"/>
    <n v="43.2"/>
    <n v="12"/>
  </r>
  <r>
    <x v="0"/>
    <x v="38"/>
    <x v="3"/>
    <x v="7"/>
    <s v="DE4-W_Offshore_A"/>
    <x v="0"/>
    <n v="42.692399999999999"/>
    <n v="11.859"/>
  </r>
  <r>
    <x v="0"/>
    <x v="38"/>
    <x v="3"/>
    <x v="7"/>
    <s v="DE4-W_Offshore_A"/>
    <x v="3"/>
    <n v="51.633543144067197"/>
    <n v="14.342650873352"/>
  </r>
  <r>
    <x v="0"/>
    <x v="38"/>
    <x v="3"/>
    <x v="7"/>
    <s v="DE4-W_Offshore_A"/>
    <x v="4"/>
    <n v="6.3500778790389401"/>
    <n v="1.76391052195526"/>
  </r>
  <r>
    <x v="0"/>
    <x v="38"/>
    <x v="3"/>
    <x v="7"/>
    <s v="DE4-W_Offshore_A"/>
    <x v="5"/>
    <n v="6.3500778790389401"/>
    <n v="1.76391052195526"/>
  </r>
  <r>
    <x v="0"/>
    <x v="38"/>
    <x v="3"/>
    <x v="7"/>
    <s v="DE4-W_Offshore_A"/>
    <x v="6"/>
    <n v="29.476231795214598"/>
    <n v="8.1878421653373898"/>
  </r>
  <r>
    <x v="0"/>
    <x v="38"/>
    <x v="3"/>
    <x v="7"/>
    <s v="DE4-W_Offshore_A"/>
    <x v="7"/>
    <n v="57.838935220261199"/>
    <n v="16.066370894517"/>
  </r>
  <r>
    <x v="0"/>
    <x v="38"/>
    <x v="3"/>
    <x v="7"/>
    <s v="DE4-W_Offshore_A"/>
    <x v="8"/>
    <n v="57.838935220261199"/>
    <n v="16.066370894517"/>
  </r>
  <r>
    <x v="0"/>
    <x v="38"/>
    <x v="3"/>
    <x v="7"/>
    <s v="DE4-W_Offshore_A"/>
    <x v="9"/>
    <n v="44.4505451532725"/>
    <n v="12.3473736536868"/>
  </r>
  <r>
    <x v="0"/>
    <x v="38"/>
    <x v="3"/>
    <x v="7"/>
    <s v="DE4-W_Offshore_A"/>
    <x v="10"/>
    <n v="53.975661971830903"/>
    <n v="14.993239436619699"/>
  </r>
  <r>
    <x v="0"/>
    <x v="38"/>
    <x v="3"/>
    <x v="7"/>
    <s v="DE4-W_Offshore_A"/>
    <x v="11"/>
    <n v="3.8806031483015802"/>
    <n v="1.07794531897266"/>
  </r>
  <r>
    <x v="0"/>
    <x v="38"/>
    <x v="3"/>
    <x v="7"/>
    <s v="DE4-W_Offshore_A"/>
    <x v="12"/>
    <n v="9.7995028997514597E-2"/>
    <n v="2.72208413881985E-2"/>
  </r>
  <r>
    <x v="0"/>
    <x v="38"/>
    <x v="3"/>
    <x v="7"/>
    <s v="DE4-W_Offshore_A"/>
    <x v="13"/>
    <n v="29.633696768848399"/>
    <n v="8.2315824357912195"/>
  </r>
  <r>
    <x v="0"/>
    <x v="38"/>
    <x v="3"/>
    <x v="7"/>
    <s v="DE4-W_Offshore_A"/>
    <x v="14"/>
    <n v="29.633696768848399"/>
    <n v="8.2315824357912195"/>
  </r>
  <r>
    <x v="0"/>
    <x v="38"/>
    <x v="3"/>
    <x v="7"/>
    <s v="DE4-W_Offshore_A"/>
    <x v="15"/>
    <n v="1.65807589063794"/>
    <n v="0.46057663628831802"/>
  </r>
  <r>
    <x v="0"/>
    <x v="38"/>
    <x v="3"/>
    <x v="7"/>
    <s v="DE4-W_Offshore_A"/>
    <x v="16"/>
    <n v="6.3819281410478998"/>
    <n v="1.77275781695775"/>
  </r>
  <r>
    <x v="0"/>
    <x v="38"/>
    <x v="3"/>
    <x v="7"/>
    <s v="DE4-W_Offshore_A"/>
    <x v="17"/>
    <n v="9.1244895875632395"/>
    <n v="2.5345804409897901"/>
  </r>
  <r>
    <x v="0"/>
    <x v="38"/>
    <x v="3"/>
    <x v="7"/>
    <s v="DE4-W_Offshore_A"/>
    <x v="18"/>
    <n v="29.633696768848399"/>
    <n v="8.2315824357912195"/>
  </r>
  <r>
    <x v="0"/>
    <x v="38"/>
    <x v="3"/>
    <x v="7"/>
    <s v="DE4-W_Offshore_A"/>
    <x v="19"/>
    <n v="8.1139884009941898"/>
    <n v="2.2538856669428302"/>
  </r>
  <r>
    <x v="0"/>
    <x v="38"/>
    <x v="3"/>
    <x v="7"/>
    <s v="DE4-W_Offshore_A"/>
    <x v="20"/>
    <n v="22.109183021311601"/>
    <n v="6.1414397281420996"/>
  </r>
  <r>
    <x v="0"/>
    <x v="38"/>
    <x v="3"/>
    <x v="7"/>
    <s v="DE4-W_Offshore_A"/>
    <x v="21"/>
    <n v="47.52"/>
    <n v="13.2"/>
  </r>
  <r>
    <x v="0"/>
    <x v="38"/>
    <x v="3"/>
    <x v="7"/>
    <s v="DE4-W_Offshore_A"/>
    <x v="22"/>
    <n v="61.56"/>
    <n v="17.100000000000001"/>
  </r>
  <r>
    <x v="0"/>
    <x v="38"/>
    <x v="3"/>
    <x v="7"/>
    <s v="DE4-W_Offshore_A"/>
    <x v="23"/>
    <n v="0.31515896120488701"/>
    <n v="8.7544155890246306E-2"/>
  </r>
  <r>
    <x v="0"/>
    <x v="38"/>
    <x v="3"/>
    <x v="7"/>
    <s v="DE4-W_Offshore_A"/>
    <x v="24"/>
    <n v="19.174223581093901"/>
    <n v="5.32617321697054"/>
  </r>
  <r>
    <x v="0"/>
    <x v="38"/>
    <x v="3"/>
    <x v="7"/>
    <s v="DE4-W_Offshore_A"/>
    <x v="25"/>
    <n v="26.209507293842599"/>
    <n v="7.2804186927340497"/>
  </r>
  <r>
    <x v="0"/>
    <x v="38"/>
    <x v="3"/>
    <x v="7"/>
    <s v="DE4-W_Offshore_A"/>
    <x v="26"/>
    <n v="33.320887798496699"/>
    <n v="9.2558021662490795"/>
  </r>
  <r>
    <x v="0"/>
    <x v="38"/>
    <x v="3"/>
    <x v="7"/>
    <s v="DE4-W_Offshore_A"/>
    <x v="27"/>
    <n v="20.163995508318798"/>
    <n v="5.6011098634218799"/>
  </r>
  <r>
    <x v="0"/>
    <x v="38"/>
    <x v="4"/>
    <x v="8"/>
    <s v="LV_A"/>
    <x v="1"/>
    <n v="35.989199999999997"/>
    <n v="9.9969999999999999"/>
  </r>
  <r>
    <x v="0"/>
    <x v="38"/>
    <x v="4"/>
    <x v="8"/>
    <s v="LV_A"/>
    <x v="2"/>
    <n v="43.2"/>
    <n v="12"/>
  </r>
  <r>
    <x v="0"/>
    <x v="38"/>
    <x v="4"/>
    <x v="8"/>
    <s v="LV_A"/>
    <x v="0"/>
    <n v="42.692399999999999"/>
    <n v="11.859"/>
  </r>
  <r>
    <x v="0"/>
    <x v="38"/>
    <x v="4"/>
    <x v="8"/>
    <s v="LV_A"/>
    <x v="3"/>
    <n v="51.633543144067197"/>
    <n v="14.342650873352"/>
  </r>
  <r>
    <x v="0"/>
    <x v="38"/>
    <x v="4"/>
    <x v="8"/>
    <s v="LV_A"/>
    <x v="4"/>
    <n v="6.3500778790389401"/>
    <n v="1.76391052195526"/>
  </r>
  <r>
    <x v="0"/>
    <x v="38"/>
    <x v="4"/>
    <x v="8"/>
    <s v="LV_A"/>
    <x v="5"/>
    <n v="6.3500778790389401"/>
    <n v="1.76391052195526"/>
  </r>
  <r>
    <x v="0"/>
    <x v="38"/>
    <x v="4"/>
    <x v="8"/>
    <s v="LV_A"/>
    <x v="6"/>
    <n v="29.476231795214598"/>
    <n v="8.1878421653373898"/>
  </r>
  <r>
    <x v="0"/>
    <x v="38"/>
    <x v="4"/>
    <x v="8"/>
    <s v="LV_A"/>
    <x v="7"/>
    <n v="57.838935220261199"/>
    <n v="16.066370894517"/>
  </r>
  <r>
    <x v="0"/>
    <x v="38"/>
    <x v="4"/>
    <x v="8"/>
    <s v="LV_A"/>
    <x v="8"/>
    <n v="57.838935220261199"/>
    <n v="16.066370894517"/>
  </r>
  <r>
    <x v="0"/>
    <x v="38"/>
    <x v="4"/>
    <x v="8"/>
    <s v="LV_A"/>
    <x v="9"/>
    <n v="44.4505451532725"/>
    <n v="12.3473736536868"/>
  </r>
  <r>
    <x v="0"/>
    <x v="38"/>
    <x v="4"/>
    <x v="8"/>
    <s v="LV_A"/>
    <x v="10"/>
    <n v="53.975661971830903"/>
    <n v="14.993239436619699"/>
  </r>
  <r>
    <x v="0"/>
    <x v="38"/>
    <x v="4"/>
    <x v="8"/>
    <s v="LV_A"/>
    <x v="11"/>
    <n v="3.8806031483015802"/>
    <n v="1.07794531897266"/>
  </r>
  <r>
    <x v="0"/>
    <x v="38"/>
    <x v="4"/>
    <x v="8"/>
    <s v="LV_A"/>
    <x v="12"/>
    <n v="9.7995028997514597E-2"/>
    <n v="2.72208413881985E-2"/>
  </r>
  <r>
    <x v="0"/>
    <x v="38"/>
    <x v="4"/>
    <x v="8"/>
    <s v="LV_A"/>
    <x v="13"/>
    <n v="29.633696768848399"/>
    <n v="8.2315824357912195"/>
  </r>
  <r>
    <x v="0"/>
    <x v="38"/>
    <x v="4"/>
    <x v="8"/>
    <s v="LV_A"/>
    <x v="14"/>
    <n v="29.633696768848399"/>
    <n v="8.2315824357912195"/>
  </r>
  <r>
    <x v="0"/>
    <x v="38"/>
    <x v="4"/>
    <x v="8"/>
    <s v="LV_A"/>
    <x v="15"/>
    <n v="1.65807589063794"/>
    <n v="0.46057663628831802"/>
  </r>
  <r>
    <x v="0"/>
    <x v="38"/>
    <x v="4"/>
    <x v="8"/>
    <s v="LV_A"/>
    <x v="16"/>
    <n v="6.3819281410478998"/>
    <n v="1.77275781695775"/>
  </r>
  <r>
    <x v="0"/>
    <x v="38"/>
    <x v="4"/>
    <x v="8"/>
    <s v="LV_A"/>
    <x v="17"/>
    <n v="9.1244895875632395"/>
    <n v="2.5345804409897901"/>
  </r>
  <r>
    <x v="0"/>
    <x v="38"/>
    <x v="4"/>
    <x v="8"/>
    <s v="LV_A"/>
    <x v="18"/>
    <n v="29.633696768848399"/>
    <n v="8.2315824357912195"/>
  </r>
  <r>
    <x v="0"/>
    <x v="38"/>
    <x v="4"/>
    <x v="8"/>
    <s v="LV_A"/>
    <x v="19"/>
    <n v="8.1139884009941898"/>
    <n v="2.2538856669428302"/>
  </r>
  <r>
    <x v="0"/>
    <x v="38"/>
    <x v="4"/>
    <x v="8"/>
    <s v="LV_A"/>
    <x v="20"/>
    <n v="22.109183021311601"/>
    <n v="6.1414397281420996"/>
  </r>
  <r>
    <x v="0"/>
    <x v="38"/>
    <x v="4"/>
    <x v="8"/>
    <s v="LV_A"/>
    <x v="21"/>
    <n v="47.52"/>
    <n v="13.2"/>
  </r>
  <r>
    <x v="0"/>
    <x v="38"/>
    <x v="4"/>
    <x v="8"/>
    <s v="LV_A"/>
    <x v="22"/>
    <n v="61.56"/>
    <n v="17.100000000000001"/>
  </r>
  <r>
    <x v="0"/>
    <x v="38"/>
    <x v="4"/>
    <x v="8"/>
    <s v="LV_A"/>
    <x v="23"/>
    <n v="0.31515896120488701"/>
    <n v="8.7544155890246306E-2"/>
  </r>
  <r>
    <x v="0"/>
    <x v="38"/>
    <x v="4"/>
    <x v="8"/>
    <s v="LV_A"/>
    <x v="24"/>
    <n v="19.174223581093901"/>
    <n v="5.32617321697054"/>
  </r>
  <r>
    <x v="0"/>
    <x v="38"/>
    <x v="4"/>
    <x v="8"/>
    <s v="LV_A"/>
    <x v="25"/>
    <n v="26.209507293842599"/>
    <n v="7.2804186927340497"/>
  </r>
  <r>
    <x v="0"/>
    <x v="38"/>
    <x v="4"/>
    <x v="8"/>
    <s v="LV_A"/>
    <x v="26"/>
    <n v="33.320887798496699"/>
    <n v="9.2558021662490795"/>
  </r>
  <r>
    <x v="0"/>
    <x v="38"/>
    <x v="4"/>
    <x v="8"/>
    <s v="LV_A"/>
    <x v="27"/>
    <n v="20.163995508318798"/>
    <n v="5.6011098634218799"/>
  </r>
  <r>
    <x v="0"/>
    <x v="38"/>
    <x v="4"/>
    <x v="8"/>
    <s v="LV_OFFSHORE"/>
    <x v="1"/>
    <n v="35.989199999999997"/>
    <n v="9.9969999999999999"/>
  </r>
  <r>
    <x v="0"/>
    <x v="38"/>
    <x v="4"/>
    <x v="8"/>
    <s v="LV_OFFSHORE"/>
    <x v="2"/>
    <n v="43.2"/>
    <n v="12"/>
  </r>
  <r>
    <x v="0"/>
    <x v="38"/>
    <x v="4"/>
    <x v="8"/>
    <s v="LV_OFFSHORE"/>
    <x v="0"/>
    <n v="42.692399999999999"/>
    <n v="11.859"/>
  </r>
  <r>
    <x v="0"/>
    <x v="38"/>
    <x v="4"/>
    <x v="8"/>
    <s v="LV_OFFSHORE"/>
    <x v="3"/>
    <n v="51.633543144067197"/>
    <n v="14.342650873352"/>
  </r>
  <r>
    <x v="0"/>
    <x v="38"/>
    <x v="4"/>
    <x v="8"/>
    <s v="LV_OFFSHORE"/>
    <x v="4"/>
    <n v="6.3500778790389401"/>
    <n v="1.76391052195526"/>
  </r>
  <r>
    <x v="0"/>
    <x v="38"/>
    <x v="4"/>
    <x v="8"/>
    <s v="LV_OFFSHORE"/>
    <x v="5"/>
    <n v="6.3500778790389401"/>
    <n v="1.76391052195526"/>
  </r>
  <r>
    <x v="0"/>
    <x v="38"/>
    <x v="4"/>
    <x v="8"/>
    <s v="LV_OFFSHORE"/>
    <x v="6"/>
    <n v="29.476231795214598"/>
    <n v="8.1878421653373898"/>
  </r>
  <r>
    <x v="0"/>
    <x v="38"/>
    <x v="4"/>
    <x v="8"/>
    <s v="LV_OFFSHORE"/>
    <x v="7"/>
    <n v="57.838935220261199"/>
    <n v="16.066370894517"/>
  </r>
  <r>
    <x v="0"/>
    <x v="38"/>
    <x v="4"/>
    <x v="8"/>
    <s v="LV_OFFSHORE"/>
    <x v="8"/>
    <n v="57.838935220261199"/>
    <n v="16.066370894517"/>
  </r>
  <r>
    <x v="0"/>
    <x v="38"/>
    <x v="4"/>
    <x v="8"/>
    <s v="LV_OFFSHORE"/>
    <x v="9"/>
    <n v="44.4505451532725"/>
    <n v="12.3473736536868"/>
  </r>
  <r>
    <x v="0"/>
    <x v="38"/>
    <x v="4"/>
    <x v="8"/>
    <s v="LV_OFFSHORE"/>
    <x v="10"/>
    <n v="53.975661971830903"/>
    <n v="14.993239436619699"/>
  </r>
  <r>
    <x v="0"/>
    <x v="38"/>
    <x v="4"/>
    <x v="8"/>
    <s v="LV_OFFSHORE"/>
    <x v="11"/>
    <n v="3.8806031483015802"/>
    <n v="1.07794531897266"/>
  </r>
  <r>
    <x v="0"/>
    <x v="38"/>
    <x v="4"/>
    <x v="8"/>
    <s v="LV_OFFSHORE"/>
    <x v="12"/>
    <n v="9.7995028997514597E-2"/>
    <n v="2.72208413881985E-2"/>
  </r>
  <r>
    <x v="0"/>
    <x v="38"/>
    <x v="4"/>
    <x v="8"/>
    <s v="LV_OFFSHORE"/>
    <x v="13"/>
    <n v="29.633696768848399"/>
    <n v="8.2315824357912195"/>
  </r>
  <r>
    <x v="0"/>
    <x v="38"/>
    <x v="4"/>
    <x v="8"/>
    <s v="LV_OFFSHORE"/>
    <x v="14"/>
    <n v="29.633696768848399"/>
    <n v="8.2315824357912195"/>
  </r>
  <r>
    <x v="0"/>
    <x v="38"/>
    <x v="4"/>
    <x v="8"/>
    <s v="LV_OFFSHORE"/>
    <x v="15"/>
    <n v="1.65807589063794"/>
    <n v="0.46057663628831802"/>
  </r>
  <r>
    <x v="0"/>
    <x v="38"/>
    <x v="4"/>
    <x v="8"/>
    <s v="LV_OFFSHORE"/>
    <x v="16"/>
    <n v="6.3819281410478998"/>
    <n v="1.77275781695775"/>
  </r>
  <r>
    <x v="0"/>
    <x v="38"/>
    <x v="4"/>
    <x v="8"/>
    <s v="LV_OFFSHORE"/>
    <x v="17"/>
    <n v="9.1244895875632395"/>
    <n v="2.5345804409897901"/>
  </r>
  <r>
    <x v="0"/>
    <x v="38"/>
    <x v="4"/>
    <x v="8"/>
    <s v="LV_OFFSHORE"/>
    <x v="18"/>
    <n v="29.633696768848399"/>
    <n v="8.2315824357912195"/>
  </r>
  <r>
    <x v="0"/>
    <x v="38"/>
    <x v="4"/>
    <x v="8"/>
    <s v="LV_OFFSHORE"/>
    <x v="19"/>
    <n v="8.1139884009941898"/>
    <n v="2.2538856669428302"/>
  </r>
  <r>
    <x v="0"/>
    <x v="38"/>
    <x v="4"/>
    <x v="8"/>
    <s v="LV_OFFSHORE"/>
    <x v="20"/>
    <n v="22.109183021311601"/>
    <n v="6.1414397281420996"/>
  </r>
  <r>
    <x v="0"/>
    <x v="38"/>
    <x v="4"/>
    <x v="8"/>
    <s v="LV_OFFSHORE"/>
    <x v="21"/>
    <n v="47.52"/>
    <n v="13.2"/>
  </r>
  <r>
    <x v="0"/>
    <x v="38"/>
    <x v="4"/>
    <x v="8"/>
    <s v="LV_OFFSHORE"/>
    <x v="22"/>
    <n v="61.56"/>
    <n v="17.100000000000001"/>
  </r>
  <r>
    <x v="0"/>
    <x v="38"/>
    <x v="4"/>
    <x v="8"/>
    <s v="LV_OFFSHORE"/>
    <x v="23"/>
    <n v="0.31515896120488701"/>
    <n v="8.7544155890246306E-2"/>
  </r>
  <r>
    <x v="0"/>
    <x v="38"/>
    <x v="4"/>
    <x v="8"/>
    <s v="LV_OFFSHORE"/>
    <x v="24"/>
    <n v="19.174223581093901"/>
    <n v="5.32617321697054"/>
  </r>
  <r>
    <x v="0"/>
    <x v="38"/>
    <x v="4"/>
    <x v="8"/>
    <s v="LV_OFFSHORE"/>
    <x v="25"/>
    <n v="26.209507293842599"/>
    <n v="7.2804186927340497"/>
  </r>
  <r>
    <x v="0"/>
    <x v="38"/>
    <x v="4"/>
    <x v="8"/>
    <s v="LV_OFFSHORE"/>
    <x v="26"/>
    <n v="33.320887798496699"/>
    <n v="9.2558021662490795"/>
  </r>
  <r>
    <x v="0"/>
    <x v="38"/>
    <x v="4"/>
    <x v="8"/>
    <s v="LV_OFFSHORE"/>
    <x v="27"/>
    <n v="20.163995508318798"/>
    <n v="5.6011098634218799"/>
  </r>
  <r>
    <x v="0"/>
    <x v="38"/>
    <x v="4"/>
    <x v="8"/>
    <s v="LV_Other_DH"/>
    <x v="1"/>
    <n v="35.989199999999997"/>
    <n v="9.9969999999999999"/>
  </r>
  <r>
    <x v="0"/>
    <x v="38"/>
    <x v="4"/>
    <x v="8"/>
    <s v="LV_Other_DH"/>
    <x v="2"/>
    <n v="43.2"/>
    <n v="12"/>
  </r>
  <r>
    <x v="0"/>
    <x v="38"/>
    <x v="4"/>
    <x v="8"/>
    <s v="LV_Other_DH"/>
    <x v="0"/>
    <n v="42.692399999999999"/>
    <n v="11.859"/>
  </r>
  <r>
    <x v="0"/>
    <x v="38"/>
    <x v="4"/>
    <x v="8"/>
    <s v="LV_Other_DH"/>
    <x v="3"/>
    <n v="51.633543144067197"/>
    <n v="14.342650873352"/>
  </r>
  <r>
    <x v="0"/>
    <x v="38"/>
    <x v="4"/>
    <x v="8"/>
    <s v="LV_Other_DH"/>
    <x v="4"/>
    <n v="6.3500778790389401"/>
    <n v="1.76391052195526"/>
  </r>
  <r>
    <x v="0"/>
    <x v="38"/>
    <x v="4"/>
    <x v="8"/>
    <s v="LV_Other_DH"/>
    <x v="5"/>
    <n v="6.3500778790389401"/>
    <n v="1.76391052195526"/>
  </r>
  <r>
    <x v="0"/>
    <x v="38"/>
    <x v="4"/>
    <x v="8"/>
    <s v="LV_Other_DH"/>
    <x v="6"/>
    <n v="29.476231795214598"/>
    <n v="8.1878421653373898"/>
  </r>
  <r>
    <x v="0"/>
    <x v="38"/>
    <x v="4"/>
    <x v="8"/>
    <s v="LV_Other_DH"/>
    <x v="7"/>
    <n v="57.838935220261199"/>
    <n v="16.066370894517"/>
  </r>
  <r>
    <x v="0"/>
    <x v="38"/>
    <x v="4"/>
    <x v="8"/>
    <s v="LV_Other_DH"/>
    <x v="8"/>
    <n v="57.838935220261199"/>
    <n v="16.066370894517"/>
  </r>
  <r>
    <x v="0"/>
    <x v="38"/>
    <x v="4"/>
    <x v="8"/>
    <s v="LV_Other_DH"/>
    <x v="9"/>
    <n v="44.4505451532725"/>
    <n v="12.3473736536868"/>
  </r>
  <r>
    <x v="0"/>
    <x v="38"/>
    <x v="4"/>
    <x v="8"/>
    <s v="LV_Other_DH"/>
    <x v="10"/>
    <n v="53.975661971830903"/>
    <n v="14.993239436619699"/>
  </r>
  <r>
    <x v="0"/>
    <x v="38"/>
    <x v="4"/>
    <x v="8"/>
    <s v="LV_Other_DH"/>
    <x v="11"/>
    <n v="3.8806031483015802"/>
    <n v="1.07794531897266"/>
  </r>
  <r>
    <x v="0"/>
    <x v="38"/>
    <x v="4"/>
    <x v="8"/>
    <s v="LV_Other_DH"/>
    <x v="12"/>
    <n v="9.7995028997514597E-2"/>
    <n v="2.72208413881985E-2"/>
  </r>
  <r>
    <x v="0"/>
    <x v="38"/>
    <x v="4"/>
    <x v="8"/>
    <s v="LV_Other_DH"/>
    <x v="13"/>
    <n v="29.633696768848399"/>
    <n v="8.2315824357912195"/>
  </r>
  <r>
    <x v="0"/>
    <x v="38"/>
    <x v="4"/>
    <x v="8"/>
    <s v="LV_Other_DH"/>
    <x v="14"/>
    <n v="29.633696768848399"/>
    <n v="8.2315824357912195"/>
  </r>
  <r>
    <x v="0"/>
    <x v="38"/>
    <x v="4"/>
    <x v="8"/>
    <s v="LV_Other_DH"/>
    <x v="15"/>
    <n v="1.65807589063794"/>
    <n v="0.46057663628831802"/>
  </r>
  <r>
    <x v="0"/>
    <x v="38"/>
    <x v="4"/>
    <x v="8"/>
    <s v="LV_Other_DH"/>
    <x v="16"/>
    <n v="6.3819281410478998"/>
    <n v="1.77275781695775"/>
  </r>
  <r>
    <x v="0"/>
    <x v="38"/>
    <x v="4"/>
    <x v="8"/>
    <s v="LV_Other_DH"/>
    <x v="17"/>
    <n v="9.1244895875632395"/>
    <n v="2.5345804409897901"/>
  </r>
  <r>
    <x v="0"/>
    <x v="38"/>
    <x v="4"/>
    <x v="8"/>
    <s v="LV_Other_DH"/>
    <x v="18"/>
    <n v="29.633696768848399"/>
    <n v="8.2315824357912195"/>
  </r>
  <r>
    <x v="0"/>
    <x v="38"/>
    <x v="4"/>
    <x v="8"/>
    <s v="LV_Other_DH"/>
    <x v="19"/>
    <n v="8.1139884009941898"/>
    <n v="2.2538856669428302"/>
  </r>
  <r>
    <x v="0"/>
    <x v="38"/>
    <x v="4"/>
    <x v="8"/>
    <s v="LV_Other_DH"/>
    <x v="20"/>
    <n v="22.109183021311601"/>
    <n v="6.1414397281420996"/>
  </r>
  <r>
    <x v="0"/>
    <x v="38"/>
    <x v="4"/>
    <x v="8"/>
    <s v="LV_Other_DH"/>
    <x v="21"/>
    <n v="47.52"/>
    <n v="13.2"/>
  </r>
  <r>
    <x v="0"/>
    <x v="38"/>
    <x v="4"/>
    <x v="8"/>
    <s v="LV_Other_DH"/>
    <x v="22"/>
    <n v="61.56"/>
    <n v="17.100000000000001"/>
  </r>
  <r>
    <x v="0"/>
    <x v="38"/>
    <x v="4"/>
    <x v="8"/>
    <s v="LV_Other_DH"/>
    <x v="23"/>
    <n v="0.31515896120488701"/>
    <n v="8.7544155890246306E-2"/>
  </r>
  <r>
    <x v="0"/>
    <x v="38"/>
    <x v="4"/>
    <x v="8"/>
    <s v="LV_Other_DH"/>
    <x v="24"/>
    <n v="19.174223581093901"/>
    <n v="5.32617321697054"/>
  </r>
  <r>
    <x v="0"/>
    <x v="38"/>
    <x v="4"/>
    <x v="8"/>
    <s v="LV_Other_DH"/>
    <x v="25"/>
    <n v="26.209507293842599"/>
    <n v="7.2804186927340497"/>
  </r>
  <r>
    <x v="0"/>
    <x v="38"/>
    <x v="4"/>
    <x v="8"/>
    <s v="LV_Other_DH"/>
    <x v="26"/>
    <n v="33.320887798496699"/>
    <n v="9.2558021662490795"/>
  </r>
  <r>
    <x v="0"/>
    <x v="38"/>
    <x v="4"/>
    <x v="8"/>
    <s v="LV_Other_DH"/>
    <x v="27"/>
    <n v="20.163995508318798"/>
    <n v="5.6011098634218799"/>
  </r>
  <r>
    <x v="0"/>
    <x v="38"/>
    <x v="4"/>
    <x v="8"/>
    <s v="LV_RigaR"/>
    <x v="1"/>
    <n v="35.989199999999997"/>
    <n v="9.9969999999999999"/>
  </r>
  <r>
    <x v="0"/>
    <x v="38"/>
    <x v="4"/>
    <x v="8"/>
    <s v="LV_RigaR"/>
    <x v="2"/>
    <n v="43.2"/>
    <n v="12"/>
  </r>
  <r>
    <x v="0"/>
    <x v="38"/>
    <x v="4"/>
    <x v="8"/>
    <s v="LV_RigaR"/>
    <x v="0"/>
    <n v="42.692399999999999"/>
    <n v="11.859"/>
  </r>
  <r>
    <x v="0"/>
    <x v="38"/>
    <x v="4"/>
    <x v="8"/>
    <s v="LV_RigaR"/>
    <x v="3"/>
    <n v="51.633543144067197"/>
    <n v="14.342650873352"/>
  </r>
  <r>
    <x v="0"/>
    <x v="38"/>
    <x v="4"/>
    <x v="8"/>
    <s v="LV_RigaR"/>
    <x v="4"/>
    <n v="6.3500778790389401"/>
    <n v="1.76391052195526"/>
  </r>
  <r>
    <x v="0"/>
    <x v="38"/>
    <x v="4"/>
    <x v="8"/>
    <s v="LV_RigaR"/>
    <x v="5"/>
    <n v="6.3500778790389401"/>
    <n v="1.76391052195526"/>
  </r>
  <r>
    <x v="0"/>
    <x v="38"/>
    <x v="4"/>
    <x v="8"/>
    <s v="LV_RigaR"/>
    <x v="6"/>
    <n v="29.476231795214598"/>
    <n v="8.1878421653373898"/>
  </r>
  <r>
    <x v="0"/>
    <x v="38"/>
    <x v="4"/>
    <x v="8"/>
    <s v="LV_RigaR"/>
    <x v="7"/>
    <n v="57.838935220261199"/>
    <n v="16.066370894517"/>
  </r>
  <r>
    <x v="0"/>
    <x v="38"/>
    <x v="4"/>
    <x v="8"/>
    <s v="LV_RigaR"/>
    <x v="8"/>
    <n v="57.838935220261199"/>
    <n v="16.066370894517"/>
  </r>
  <r>
    <x v="0"/>
    <x v="38"/>
    <x v="4"/>
    <x v="8"/>
    <s v="LV_RigaR"/>
    <x v="9"/>
    <n v="44.4505451532725"/>
    <n v="12.3473736536868"/>
  </r>
  <r>
    <x v="0"/>
    <x v="38"/>
    <x v="4"/>
    <x v="8"/>
    <s v="LV_RigaR"/>
    <x v="10"/>
    <n v="53.975661971830903"/>
    <n v="14.993239436619699"/>
  </r>
  <r>
    <x v="0"/>
    <x v="38"/>
    <x v="4"/>
    <x v="8"/>
    <s v="LV_RigaR"/>
    <x v="11"/>
    <n v="3.8806031483015802"/>
    <n v="1.07794531897266"/>
  </r>
  <r>
    <x v="0"/>
    <x v="38"/>
    <x v="4"/>
    <x v="8"/>
    <s v="LV_RigaR"/>
    <x v="12"/>
    <n v="9.7995028997514597E-2"/>
    <n v="2.72208413881985E-2"/>
  </r>
  <r>
    <x v="0"/>
    <x v="38"/>
    <x v="4"/>
    <x v="8"/>
    <s v="LV_RigaR"/>
    <x v="13"/>
    <n v="29.633696768848399"/>
    <n v="8.2315824357912195"/>
  </r>
  <r>
    <x v="0"/>
    <x v="38"/>
    <x v="4"/>
    <x v="8"/>
    <s v="LV_RigaR"/>
    <x v="14"/>
    <n v="29.633696768848399"/>
    <n v="8.2315824357912195"/>
  </r>
  <r>
    <x v="0"/>
    <x v="38"/>
    <x v="4"/>
    <x v="8"/>
    <s v="LV_RigaR"/>
    <x v="15"/>
    <n v="1.65807589063794"/>
    <n v="0.46057663628831802"/>
  </r>
  <r>
    <x v="0"/>
    <x v="38"/>
    <x v="4"/>
    <x v="8"/>
    <s v="LV_RigaR"/>
    <x v="16"/>
    <n v="6.3819281410478998"/>
    <n v="1.77275781695775"/>
  </r>
  <r>
    <x v="0"/>
    <x v="38"/>
    <x v="4"/>
    <x v="8"/>
    <s v="LV_RigaR"/>
    <x v="17"/>
    <n v="9.1244895875632395"/>
    <n v="2.5345804409897901"/>
  </r>
  <r>
    <x v="0"/>
    <x v="38"/>
    <x v="4"/>
    <x v="8"/>
    <s v="LV_RigaR"/>
    <x v="18"/>
    <n v="29.633696768848399"/>
    <n v="8.2315824357912195"/>
  </r>
  <r>
    <x v="0"/>
    <x v="38"/>
    <x v="4"/>
    <x v="8"/>
    <s v="LV_RigaR"/>
    <x v="19"/>
    <n v="8.1139884009941898"/>
    <n v="2.2538856669428302"/>
  </r>
  <r>
    <x v="0"/>
    <x v="38"/>
    <x v="4"/>
    <x v="8"/>
    <s v="LV_RigaR"/>
    <x v="20"/>
    <n v="22.109183021311601"/>
    <n v="6.1414397281420996"/>
  </r>
  <r>
    <x v="0"/>
    <x v="38"/>
    <x v="4"/>
    <x v="8"/>
    <s v="LV_RigaR"/>
    <x v="21"/>
    <n v="47.52"/>
    <n v="13.2"/>
  </r>
  <r>
    <x v="0"/>
    <x v="38"/>
    <x v="4"/>
    <x v="8"/>
    <s v="LV_RigaR"/>
    <x v="22"/>
    <n v="61.56"/>
    <n v="17.100000000000001"/>
  </r>
  <r>
    <x v="0"/>
    <x v="38"/>
    <x v="4"/>
    <x v="8"/>
    <s v="LV_RigaR"/>
    <x v="23"/>
    <n v="0.31515896120488701"/>
    <n v="8.7544155890246306E-2"/>
  </r>
  <r>
    <x v="0"/>
    <x v="38"/>
    <x v="4"/>
    <x v="8"/>
    <s v="LV_RigaR"/>
    <x v="24"/>
    <n v="19.174223581093901"/>
    <n v="5.32617321697054"/>
  </r>
  <r>
    <x v="0"/>
    <x v="38"/>
    <x v="4"/>
    <x v="8"/>
    <s v="LV_RigaR"/>
    <x v="25"/>
    <n v="26.209507293842599"/>
    <n v="7.2804186927340497"/>
  </r>
  <r>
    <x v="0"/>
    <x v="38"/>
    <x v="4"/>
    <x v="8"/>
    <s v="LV_RigaR"/>
    <x v="26"/>
    <n v="33.320887798496699"/>
    <n v="9.2558021662490795"/>
  </r>
  <r>
    <x v="0"/>
    <x v="38"/>
    <x v="4"/>
    <x v="8"/>
    <s v="LV_RigaR"/>
    <x v="27"/>
    <n v="20.163995508318798"/>
    <n v="5.6011098634218799"/>
  </r>
  <r>
    <x v="0"/>
    <x v="38"/>
    <x v="4"/>
    <x v="8"/>
    <s v="LV_Rural"/>
    <x v="1"/>
    <n v="35.989199999999997"/>
    <n v="9.9969999999999999"/>
  </r>
  <r>
    <x v="0"/>
    <x v="38"/>
    <x v="4"/>
    <x v="8"/>
    <s v="LV_Rural"/>
    <x v="2"/>
    <n v="43.2"/>
    <n v="12"/>
  </r>
  <r>
    <x v="0"/>
    <x v="38"/>
    <x v="4"/>
    <x v="8"/>
    <s v="LV_Rural"/>
    <x v="0"/>
    <n v="42.692399999999999"/>
    <n v="11.859"/>
  </r>
  <r>
    <x v="0"/>
    <x v="38"/>
    <x v="4"/>
    <x v="8"/>
    <s v="LV_Rural"/>
    <x v="3"/>
    <n v="51.633543144067197"/>
    <n v="14.342650873352"/>
  </r>
  <r>
    <x v="0"/>
    <x v="38"/>
    <x v="4"/>
    <x v="8"/>
    <s v="LV_Rural"/>
    <x v="4"/>
    <n v="6.3500778790389401"/>
    <n v="1.76391052195526"/>
  </r>
  <r>
    <x v="0"/>
    <x v="38"/>
    <x v="4"/>
    <x v="8"/>
    <s v="LV_Rural"/>
    <x v="5"/>
    <n v="6.3500778790389401"/>
    <n v="1.76391052195526"/>
  </r>
  <r>
    <x v="0"/>
    <x v="38"/>
    <x v="4"/>
    <x v="8"/>
    <s v="LV_Rural"/>
    <x v="6"/>
    <n v="29.476231795214598"/>
    <n v="8.1878421653373898"/>
  </r>
  <r>
    <x v="0"/>
    <x v="38"/>
    <x v="4"/>
    <x v="8"/>
    <s v="LV_Rural"/>
    <x v="7"/>
    <n v="57.838935220261199"/>
    <n v="16.066370894517"/>
  </r>
  <r>
    <x v="0"/>
    <x v="38"/>
    <x v="4"/>
    <x v="8"/>
    <s v="LV_Rural"/>
    <x v="8"/>
    <n v="57.838935220261199"/>
    <n v="16.066370894517"/>
  </r>
  <r>
    <x v="0"/>
    <x v="38"/>
    <x v="4"/>
    <x v="8"/>
    <s v="LV_Rural"/>
    <x v="9"/>
    <n v="44.4505451532725"/>
    <n v="12.3473736536868"/>
  </r>
  <r>
    <x v="0"/>
    <x v="38"/>
    <x v="4"/>
    <x v="8"/>
    <s v="LV_Rural"/>
    <x v="10"/>
    <n v="53.975661971830903"/>
    <n v="14.993239436619699"/>
  </r>
  <r>
    <x v="0"/>
    <x v="38"/>
    <x v="4"/>
    <x v="8"/>
    <s v="LV_Rural"/>
    <x v="11"/>
    <n v="3.8806031483015802"/>
    <n v="1.07794531897266"/>
  </r>
  <r>
    <x v="0"/>
    <x v="38"/>
    <x v="4"/>
    <x v="8"/>
    <s v="LV_Rural"/>
    <x v="12"/>
    <n v="9.7995028997514597E-2"/>
    <n v="2.72208413881985E-2"/>
  </r>
  <r>
    <x v="0"/>
    <x v="38"/>
    <x v="4"/>
    <x v="8"/>
    <s v="LV_Rural"/>
    <x v="13"/>
    <n v="29.633696768848399"/>
    <n v="8.2315824357912195"/>
  </r>
  <r>
    <x v="0"/>
    <x v="38"/>
    <x v="4"/>
    <x v="8"/>
    <s v="LV_Rural"/>
    <x v="14"/>
    <n v="29.633696768848399"/>
    <n v="8.2315824357912195"/>
  </r>
  <r>
    <x v="0"/>
    <x v="38"/>
    <x v="4"/>
    <x v="8"/>
    <s v="LV_Rural"/>
    <x v="15"/>
    <n v="1.65807589063794"/>
    <n v="0.46057663628831802"/>
  </r>
  <r>
    <x v="0"/>
    <x v="38"/>
    <x v="4"/>
    <x v="8"/>
    <s v="LV_Rural"/>
    <x v="16"/>
    <n v="6.3819281410478998"/>
    <n v="1.77275781695775"/>
  </r>
  <r>
    <x v="0"/>
    <x v="38"/>
    <x v="4"/>
    <x v="8"/>
    <s v="LV_Rural"/>
    <x v="17"/>
    <n v="9.1244895875632395"/>
    <n v="2.5345804409897901"/>
  </r>
  <r>
    <x v="0"/>
    <x v="38"/>
    <x v="4"/>
    <x v="8"/>
    <s v="LV_Rural"/>
    <x v="18"/>
    <n v="29.633696768848399"/>
    <n v="8.2315824357912195"/>
  </r>
  <r>
    <x v="0"/>
    <x v="38"/>
    <x v="4"/>
    <x v="8"/>
    <s v="LV_Rural"/>
    <x v="19"/>
    <n v="8.1139884009941898"/>
    <n v="2.2538856669428302"/>
  </r>
  <r>
    <x v="0"/>
    <x v="38"/>
    <x v="4"/>
    <x v="8"/>
    <s v="LV_Rural"/>
    <x v="20"/>
    <n v="22.109183021311601"/>
    <n v="6.1414397281420996"/>
  </r>
  <r>
    <x v="0"/>
    <x v="38"/>
    <x v="4"/>
    <x v="8"/>
    <s v="LV_Rural"/>
    <x v="21"/>
    <n v="47.52"/>
    <n v="13.2"/>
  </r>
  <r>
    <x v="0"/>
    <x v="38"/>
    <x v="4"/>
    <x v="8"/>
    <s v="LV_Rural"/>
    <x v="22"/>
    <n v="61.56"/>
    <n v="17.100000000000001"/>
  </r>
  <r>
    <x v="0"/>
    <x v="38"/>
    <x v="4"/>
    <x v="8"/>
    <s v="LV_Rural"/>
    <x v="23"/>
    <n v="0.31515896120488701"/>
    <n v="8.7544155890246306E-2"/>
  </r>
  <r>
    <x v="0"/>
    <x v="38"/>
    <x v="4"/>
    <x v="8"/>
    <s v="LV_Rural"/>
    <x v="24"/>
    <n v="19.174223581093901"/>
    <n v="5.32617321697054"/>
  </r>
  <r>
    <x v="0"/>
    <x v="38"/>
    <x v="4"/>
    <x v="8"/>
    <s v="LV_Rural"/>
    <x v="25"/>
    <n v="26.209507293842599"/>
    <n v="7.2804186927340497"/>
  </r>
  <r>
    <x v="0"/>
    <x v="38"/>
    <x v="4"/>
    <x v="8"/>
    <s v="LV_Rural"/>
    <x v="26"/>
    <n v="33.320887798496699"/>
    <n v="9.2558021662490795"/>
  </r>
  <r>
    <x v="0"/>
    <x v="38"/>
    <x v="4"/>
    <x v="8"/>
    <s v="LV_Rural"/>
    <x v="27"/>
    <n v="20.163995508318798"/>
    <n v="5.6011098634218799"/>
  </r>
  <r>
    <x v="0"/>
    <x v="38"/>
    <x v="5"/>
    <x v="9"/>
    <s v="LT_A"/>
    <x v="1"/>
    <n v="35.989199999999997"/>
    <n v="9.9969999999999999"/>
  </r>
  <r>
    <x v="0"/>
    <x v="38"/>
    <x v="5"/>
    <x v="9"/>
    <s v="LT_A"/>
    <x v="2"/>
    <n v="43.2"/>
    <n v="12"/>
  </r>
  <r>
    <x v="0"/>
    <x v="38"/>
    <x v="5"/>
    <x v="9"/>
    <s v="LT_A"/>
    <x v="0"/>
    <n v="42.692399999999999"/>
    <n v="11.859"/>
  </r>
  <r>
    <x v="0"/>
    <x v="38"/>
    <x v="5"/>
    <x v="9"/>
    <s v="LT_A"/>
    <x v="3"/>
    <n v="51.633543144067197"/>
    <n v="14.342650873352"/>
  </r>
  <r>
    <x v="0"/>
    <x v="38"/>
    <x v="5"/>
    <x v="9"/>
    <s v="LT_A"/>
    <x v="4"/>
    <n v="6.3500778790389401"/>
    <n v="1.76391052195526"/>
  </r>
  <r>
    <x v="0"/>
    <x v="38"/>
    <x v="5"/>
    <x v="9"/>
    <s v="LT_A"/>
    <x v="5"/>
    <n v="6.3500778790389401"/>
    <n v="1.76391052195526"/>
  </r>
  <r>
    <x v="0"/>
    <x v="38"/>
    <x v="5"/>
    <x v="9"/>
    <s v="LT_A"/>
    <x v="6"/>
    <n v="29.476231795214598"/>
    <n v="8.1878421653373898"/>
  </r>
  <r>
    <x v="0"/>
    <x v="38"/>
    <x v="5"/>
    <x v="9"/>
    <s v="LT_A"/>
    <x v="7"/>
    <n v="57.838935220261199"/>
    <n v="16.066370894517"/>
  </r>
  <r>
    <x v="0"/>
    <x v="38"/>
    <x v="5"/>
    <x v="9"/>
    <s v="LT_A"/>
    <x v="8"/>
    <n v="57.838935220261199"/>
    <n v="16.066370894517"/>
  </r>
  <r>
    <x v="0"/>
    <x v="38"/>
    <x v="5"/>
    <x v="9"/>
    <s v="LT_A"/>
    <x v="9"/>
    <n v="44.4505451532725"/>
    <n v="12.3473736536868"/>
  </r>
  <r>
    <x v="0"/>
    <x v="38"/>
    <x v="5"/>
    <x v="9"/>
    <s v="LT_A"/>
    <x v="10"/>
    <n v="53.975661971830903"/>
    <n v="14.993239436619699"/>
  </r>
  <r>
    <x v="0"/>
    <x v="38"/>
    <x v="5"/>
    <x v="9"/>
    <s v="LT_A"/>
    <x v="11"/>
    <n v="3.8806031483015802"/>
    <n v="1.07794531897266"/>
  </r>
  <r>
    <x v="0"/>
    <x v="38"/>
    <x v="5"/>
    <x v="9"/>
    <s v="LT_A"/>
    <x v="12"/>
    <n v="9.7995028997514597E-2"/>
    <n v="2.72208413881985E-2"/>
  </r>
  <r>
    <x v="0"/>
    <x v="38"/>
    <x v="5"/>
    <x v="9"/>
    <s v="LT_A"/>
    <x v="13"/>
    <n v="29.633696768848399"/>
    <n v="8.2315824357912195"/>
  </r>
  <r>
    <x v="0"/>
    <x v="38"/>
    <x v="5"/>
    <x v="9"/>
    <s v="LT_A"/>
    <x v="14"/>
    <n v="29.633696768848399"/>
    <n v="8.2315824357912195"/>
  </r>
  <r>
    <x v="0"/>
    <x v="38"/>
    <x v="5"/>
    <x v="9"/>
    <s v="LT_A"/>
    <x v="15"/>
    <n v="1.65807589063794"/>
    <n v="0.46057663628831802"/>
  </r>
  <r>
    <x v="0"/>
    <x v="38"/>
    <x v="5"/>
    <x v="9"/>
    <s v="LT_A"/>
    <x v="16"/>
    <n v="6.3819281410478998"/>
    <n v="1.77275781695775"/>
  </r>
  <r>
    <x v="0"/>
    <x v="38"/>
    <x v="5"/>
    <x v="9"/>
    <s v="LT_A"/>
    <x v="17"/>
    <n v="9.1244895875632395"/>
    <n v="2.5345804409897901"/>
  </r>
  <r>
    <x v="0"/>
    <x v="38"/>
    <x v="5"/>
    <x v="9"/>
    <s v="LT_A"/>
    <x v="18"/>
    <n v="29.633696768848399"/>
    <n v="8.2315824357912195"/>
  </r>
  <r>
    <x v="0"/>
    <x v="38"/>
    <x v="5"/>
    <x v="9"/>
    <s v="LT_A"/>
    <x v="19"/>
    <n v="8.1139884009941898"/>
    <n v="2.2538856669428302"/>
  </r>
  <r>
    <x v="0"/>
    <x v="38"/>
    <x v="5"/>
    <x v="9"/>
    <s v="LT_A"/>
    <x v="20"/>
    <n v="22.109183021311601"/>
    <n v="6.1414397281420996"/>
  </r>
  <r>
    <x v="0"/>
    <x v="38"/>
    <x v="5"/>
    <x v="9"/>
    <s v="LT_A"/>
    <x v="21"/>
    <n v="47.52"/>
    <n v="13.2"/>
  </r>
  <r>
    <x v="0"/>
    <x v="38"/>
    <x v="5"/>
    <x v="9"/>
    <s v="LT_A"/>
    <x v="22"/>
    <n v="61.56"/>
    <n v="17.100000000000001"/>
  </r>
  <r>
    <x v="0"/>
    <x v="38"/>
    <x v="5"/>
    <x v="9"/>
    <s v="LT_A"/>
    <x v="23"/>
    <n v="0.31515896120488701"/>
    <n v="8.7544155890246306E-2"/>
  </r>
  <r>
    <x v="0"/>
    <x v="38"/>
    <x v="5"/>
    <x v="9"/>
    <s v="LT_A"/>
    <x v="24"/>
    <n v="19.174223581093901"/>
    <n v="5.32617321697054"/>
  </r>
  <r>
    <x v="0"/>
    <x v="38"/>
    <x v="5"/>
    <x v="9"/>
    <s v="LT_A"/>
    <x v="25"/>
    <n v="26.209507293842599"/>
    <n v="7.2804186927340497"/>
  </r>
  <r>
    <x v="0"/>
    <x v="38"/>
    <x v="5"/>
    <x v="9"/>
    <s v="LT_A"/>
    <x v="26"/>
    <n v="33.320887798496699"/>
    <n v="9.2558021662490795"/>
  </r>
  <r>
    <x v="0"/>
    <x v="38"/>
    <x v="5"/>
    <x v="9"/>
    <s v="LT_A"/>
    <x v="27"/>
    <n v="20.163995508318798"/>
    <n v="5.6011098634218799"/>
  </r>
  <r>
    <x v="0"/>
    <x v="38"/>
    <x v="5"/>
    <x v="9"/>
    <s v="LT_KauU"/>
    <x v="1"/>
    <n v="35.989199999999997"/>
    <n v="9.9969999999999999"/>
  </r>
  <r>
    <x v="0"/>
    <x v="38"/>
    <x v="5"/>
    <x v="9"/>
    <s v="LT_KauU"/>
    <x v="2"/>
    <n v="43.2"/>
    <n v="12"/>
  </r>
  <r>
    <x v="0"/>
    <x v="38"/>
    <x v="5"/>
    <x v="9"/>
    <s v="LT_KauU"/>
    <x v="0"/>
    <n v="42.692399999999999"/>
    <n v="11.859"/>
  </r>
  <r>
    <x v="0"/>
    <x v="38"/>
    <x v="5"/>
    <x v="9"/>
    <s v="LT_KauU"/>
    <x v="3"/>
    <n v="51.633543144067197"/>
    <n v="14.342650873352"/>
  </r>
  <r>
    <x v="0"/>
    <x v="38"/>
    <x v="5"/>
    <x v="9"/>
    <s v="LT_KauU"/>
    <x v="4"/>
    <n v="6.3500778790389401"/>
    <n v="1.76391052195526"/>
  </r>
  <r>
    <x v="0"/>
    <x v="38"/>
    <x v="5"/>
    <x v="9"/>
    <s v="LT_KauU"/>
    <x v="5"/>
    <n v="6.3500778790389401"/>
    <n v="1.76391052195526"/>
  </r>
  <r>
    <x v="0"/>
    <x v="38"/>
    <x v="5"/>
    <x v="9"/>
    <s v="LT_KauU"/>
    <x v="6"/>
    <n v="29.476231795214598"/>
    <n v="8.1878421653373898"/>
  </r>
  <r>
    <x v="0"/>
    <x v="38"/>
    <x v="5"/>
    <x v="9"/>
    <s v="LT_KauU"/>
    <x v="7"/>
    <n v="57.838935220261199"/>
    <n v="16.066370894517"/>
  </r>
  <r>
    <x v="0"/>
    <x v="38"/>
    <x v="5"/>
    <x v="9"/>
    <s v="LT_KauU"/>
    <x v="8"/>
    <n v="57.838935220261199"/>
    <n v="16.066370894517"/>
  </r>
  <r>
    <x v="0"/>
    <x v="38"/>
    <x v="5"/>
    <x v="9"/>
    <s v="LT_KauU"/>
    <x v="9"/>
    <n v="44.4505451532725"/>
    <n v="12.3473736536868"/>
  </r>
  <r>
    <x v="0"/>
    <x v="38"/>
    <x v="5"/>
    <x v="9"/>
    <s v="LT_KauU"/>
    <x v="10"/>
    <n v="53.975661971830903"/>
    <n v="14.993239436619699"/>
  </r>
  <r>
    <x v="0"/>
    <x v="38"/>
    <x v="5"/>
    <x v="9"/>
    <s v="LT_KauU"/>
    <x v="11"/>
    <n v="3.8806031483015802"/>
    <n v="1.07794531897266"/>
  </r>
  <r>
    <x v="0"/>
    <x v="38"/>
    <x v="5"/>
    <x v="9"/>
    <s v="LT_KauU"/>
    <x v="12"/>
    <n v="9.7995028997514597E-2"/>
    <n v="2.72208413881985E-2"/>
  </r>
  <r>
    <x v="0"/>
    <x v="38"/>
    <x v="5"/>
    <x v="9"/>
    <s v="LT_KauU"/>
    <x v="13"/>
    <n v="29.633696768848399"/>
    <n v="8.2315824357912195"/>
  </r>
  <r>
    <x v="0"/>
    <x v="38"/>
    <x v="5"/>
    <x v="9"/>
    <s v="LT_KauU"/>
    <x v="14"/>
    <n v="29.633696768848399"/>
    <n v="8.2315824357912195"/>
  </r>
  <r>
    <x v="0"/>
    <x v="38"/>
    <x v="5"/>
    <x v="9"/>
    <s v="LT_KauU"/>
    <x v="15"/>
    <n v="1.65807589063794"/>
    <n v="0.46057663628831802"/>
  </r>
  <r>
    <x v="0"/>
    <x v="38"/>
    <x v="5"/>
    <x v="9"/>
    <s v="LT_KauU"/>
    <x v="16"/>
    <n v="6.3819281410478998"/>
    <n v="1.77275781695775"/>
  </r>
  <r>
    <x v="0"/>
    <x v="38"/>
    <x v="5"/>
    <x v="9"/>
    <s v="LT_KauU"/>
    <x v="17"/>
    <n v="9.1244895875632395"/>
    <n v="2.5345804409897901"/>
  </r>
  <r>
    <x v="0"/>
    <x v="38"/>
    <x v="5"/>
    <x v="9"/>
    <s v="LT_KauU"/>
    <x v="18"/>
    <n v="29.633696768848399"/>
    <n v="8.2315824357912195"/>
  </r>
  <r>
    <x v="0"/>
    <x v="38"/>
    <x v="5"/>
    <x v="9"/>
    <s v="LT_KauU"/>
    <x v="19"/>
    <n v="8.1139884009941898"/>
    <n v="2.2538856669428302"/>
  </r>
  <r>
    <x v="0"/>
    <x v="38"/>
    <x v="5"/>
    <x v="9"/>
    <s v="LT_KauU"/>
    <x v="20"/>
    <n v="22.109183021311601"/>
    <n v="6.1414397281420996"/>
  </r>
  <r>
    <x v="0"/>
    <x v="38"/>
    <x v="5"/>
    <x v="9"/>
    <s v="LT_KauU"/>
    <x v="21"/>
    <n v="47.52"/>
    <n v="13.2"/>
  </r>
  <r>
    <x v="0"/>
    <x v="38"/>
    <x v="5"/>
    <x v="9"/>
    <s v="LT_KauU"/>
    <x v="22"/>
    <n v="61.56"/>
    <n v="17.100000000000001"/>
  </r>
  <r>
    <x v="0"/>
    <x v="38"/>
    <x v="5"/>
    <x v="9"/>
    <s v="LT_KauU"/>
    <x v="23"/>
    <n v="0.31515896120488701"/>
    <n v="8.7544155890246306E-2"/>
  </r>
  <r>
    <x v="0"/>
    <x v="38"/>
    <x v="5"/>
    <x v="9"/>
    <s v="LT_KauU"/>
    <x v="24"/>
    <n v="19.174223581093901"/>
    <n v="5.32617321697054"/>
  </r>
  <r>
    <x v="0"/>
    <x v="38"/>
    <x v="5"/>
    <x v="9"/>
    <s v="LT_KauU"/>
    <x v="25"/>
    <n v="26.209507293842599"/>
    <n v="7.2804186927340497"/>
  </r>
  <r>
    <x v="0"/>
    <x v="38"/>
    <x v="5"/>
    <x v="9"/>
    <s v="LT_KauU"/>
    <x v="26"/>
    <n v="33.320887798496699"/>
    <n v="9.2558021662490795"/>
  </r>
  <r>
    <x v="0"/>
    <x v="38"/>
    <x v="5"/>
    <x v="9"/>
    <s v="LT_KauU"/>
    <x v="27"/>
    <n v="20.163995508318798"/>
    <n v="5.6011098634218799"/>
  </r>
  <r>
    <x v="0"/>
    <x v="38"/>
    <x v="5"/>
    <x v="9"/>
    <s v="LT_KlaU"/>
    <x v="1"/>
    <n v="35.989199999999997"/>
    <n v="9.9969999999999999"/>
  </r>
  <r>
    <x v="0"/>
    <x v="38"/>
    <x v="5"/>
    <x v="9"/>
    <s v="LT_KlaU"/>
    <x v="2"/>
    <n v="43.2"/>
    <n v="12"/>
  </r>
  <r>
    <x v="0"/>
    <x v="38"/>
    <x v="5"/>
    <x v="9"/>
    <s v="LT_KlaU"/>
    <x v="0"/>
    <n v="42.692399999999999"/>
    <n v="11.859"/>
  </r>
  <r>
    <x v="0"/>
    <x v="38"/>
    <x v="5"/>
    <x v="9"/>
    <s v="LT_KlaU"/>
    <x v="3"/>
    <n v="51.633543144067197"/>
    <n v="14.342650873352"/>
  </r>
  <r>
    <x v="0"/>
    <x v="38"/>
    <x v="5"/>
    <x v="9"/>
    <s v="LT_KlaU"/>
    <x v="4"/>
    <n v="6.3500778790389401"/>
    <n v="1.76391052195526"/>
  </r>
  <r>
    <x v="0"/>
    <x v="38"/>
    <x v="5"/>
    <x v="9"/>
    <s v="LT_KlaU"/>
    <x v="5"/>
    <n v="6.3500778790389401"/>
    <n v="1.76391052195526"/>
  </r>
  <r>
    <x v="0"/>
    <x v="38"/>
    <x v="5"/>
    <x v="9"/>
    <s v="LT_KlaU"/>
    <x v="6"/>
    <n v="29.476231795214598"/>
    <n v="8.1878421653373898"/>
  </r>
  <r>
    <x v="0"/>
    <x v="38"/>
    <x v="5"/>
    <x v="9"/>
    <s v="LT_KlaU"/>
    <x v="7"/>
    <n v="57.838935220261199"/>
    <n v="16.066370894517"/>
  </r>
  <r>
    <x v="0"/>
    <x v="38"/>
    <x v="5"/>
    <x v="9"/>
    <s v="LT_KlaU"/>
    <x v="8"/>
    <n v="57.838935220261199"/>
    <n v="16.066370894517"/>
  </r>
  <r>
    <x v="0"/>
    <x v="38"/>
    <x v="5"/>
    <x v="9"/>
    <s v="LT_KlaU"/>
    <x v="9"/>
    <n v="44.4505451532725"/>
    <n v="12.3473736536868"/>
  </r>
  <r>
    <x v="0"/>
    <x v="38"/>
    <x v="5"/>
    <x v="9"/>
    <s v="LT_KlaU"/>
    <x v="10"/>
    <n v="53.975661971830903"/>
    <n v="14.993239436619699"/>
  </r>
  <r>
    <x v="0"/>
    <x v="38"/>
    <x v="5"/>
    <x v="9"/>
    <s v="LT_KlaU"/>
    <x v="11"/>
    <n v="3.8806031483015802"/>
    <n v="1.07794531897266"/>
  </r>
  <r>
    <x v="0"/>
    <x v="38"/>
    <x v="5"/>
    <x v="9"/>
    <s v="LT_KlaU"/>
    <x v="12"/>
    <n v="9.7995028997514597E-2"/>
    <n v="2.72208413881985E-2"/>
  </r>
  <r>
    <x v="0"/>
    <x v="38"/>
    <x v="5"/>
    <x v="9"/>
    <s v="LT_KlaU"/>
    <x v="13"/>
    <n v="29.633696768848399"/>
    <n v="8.2315824357912195"/>
  </r>
  <r>
    <x v="0"/>
    <x v="38"/>
    <x v="5"/>
    <x v="9"/>
    <s v="LT_KlaU"/>
    <x v="14"/>
    <n v="29.633696768848399"/>
    <n v="8.2315824357912195"/>
  </r>
  <r>
    <x v="0"/>
    <x v="38"/>
    <x v="5"/>
    <x v="9"/>
    <s v="LT_KlaU"/>
    <x v="15"/>
    <n v="1.65807589063794"/>
    <n v="0.46057663628831802"/>
  </r>
  <r>
    <x v="0"/>
    <x v="38"/>
    <x v="5"/>
    <x v="9"/>
    <s v="LT_KlaU"/>
    <x v="16"/>
    <n v="6.3819281410478998"/>
    <n v="1.77275781695775"/>
  </r>
  <r>
    <x v="0"/>
    <x v="38"/>
    <x v="5"/>
    <x v="9"/>
    <s v="LT_KlaU"/>
    <x v="17"/>
    <n v="9.1244895875632395"/>
    <n v="2.5345804409897901"/>
  </r>
  <r>
    <x v="0"/>
    <x v="38"/>
    <x v="5"/>
    <x v="9"/>
    <s v="LT_KlaU"/>
    <x v="18"/>
    <n v="29.633696768848399"/>
    <n v="8.2315824357912195"/>
  </r>
  <r>
    <x v="0"/>
    <x v="38"/>
    <x v="5"/>
    <x v="9"/>
    <s v="LT_KlaU"/>
    <x v="19"/>
    <n v="8.1139884009941898"/>
    <n v="2.2538856669428302"/>
  </r>
  <r>
    <x v="0"/>
    <x v="38"/>
    <x v="5"/>
    <x v="9"/>
    <s v="LT_KlaU"/>
    <x v="20"/>
    <n v="22.109183021311601"/>
    <n v="6.1414397281420996"/>
  </r>
  <r>
    <x v="0"/>
    <x v="38"/>
    <x v="5"/>
    <x v="9"/>
    <s v="LT_KlaU"/>
    <x v="21"/>
    <n v="47.52"/>
    <n v="13.2"/>
  </r>
  <r>
    <x v="0"/>
    <x v="38"/>
    <x v="5"/>
    <x v="9"/>
    <s v="LT_KlaU"/>
    <x v="22"/>
    <n v="61.56"/>
    <n v="17.100000000000001"/>
  </r>
  <r>
    <x v="0"/>
    <x v="38"/>
    <x v="5"/>
    <x v="9"/>
    <s v="LT_KlaU"/>
    <x v="23"/>
    <n v="0.31515896120488701"/>
    <n v="8.7544155890246306E-2"/>
  </r>
  <r>
    <x v="0"/>
    <x v="38"/>
    <x v="5"/>
    <x v="9"/>
    <s v="LT_KlaU"/>
    <x v="24"/>
    <n v="19.174223581093901"/>
    <n v="5.32617321697054"/>
  </r>
  <r>
    <x v="0"/>
    <x v="38"/>
    <x v="5"/>
    <x v="9"/>
    <s v="LT_KlaU"/>
    <x v="25"/>
    <n v="26.209507293842599"/>
    <n v="7.2804186927340497"/>
  </r>
  <r>
    <x v="0"/>
    <x v="38"/>
    <x v="5"/>
    <x v="9"/>
    <s v="LT_KlaU"/>
    <x v="26"/>
    <n v="33.320887798496699"/>
    <n v="9.2558021662490795"/>
  </r>
  <r>
    <x v="0"/>
    <x v="38"/>
    <x v="5"/>
    <x v="9"/>
    <s v="LT_KlaU"/>
    <x v="27"/>
    <n v="20.163995508318798"/>
    <n v="5.6011098634218799"/>
  </r>
  <r>
    <x v="0"/>
    <x v="38"/>
    <x v="5"/>
    <x v="9"/>
    <s v="LT_OFFSHORE"/>
    <x v="1"/>
    <n v="35.989199999999997"/>
    <n v="9.9969999999999999"/>
  </r>
  <r>
    <x v="0"/>
    <x v="38"/>
    <x v="5"/>
    <x v="9"/>
    <s v="LT_OFFSHORE"/>
    <x v="2"/>
    <n v="43.2"/>
    <n v="12"/>
  </r>
  <r>
    <x v="0"/>
    <x v="38"/>
    <x v="5"/>
    <x v="9"/>
    <s v="LT_OFFSHORE"/>
    <x v="0"/>
    <n v="42.692399999999999"/>
    <n v="11.859"/>
  </r>
  <r>
    <x v="0"/>
    <x v="38"/>
    <x v="5"/>
    <x v="9"/>
    <s v="LT_OFFSHORE"/>
    <x v="3"/>
    <n v="51.633543144067197"/>
    <n v="14.342650873352"/>
  </r>
  <r>
    <x v="0"/>
    <x v="38"/>
    <x v="5"/>
    <x v="9"/>
    <s v="LT_OFFSHORE"/>
    <x v="4"/>
    <n v="6.3500778790389401"/>
    <n v="1.76391052195526"/>
  </r>
  <r>
    <x v="0"/>
    <x v="38"/>
    <x v="5"/>
    <x v="9"/>
    <s v="LT_OFFSHORE"/>
    <x v="5"/>
    <n v="6.3500778790389401"/>
    <n v="1.76391052195526"/>
  </r>
  <r>
    <x v="0"/>
    <x v="38"/>
    <x v="5"/>
    <x v="9"/>
    <s v="LT_OFFSHORE"/>
    <x v="6"/>
    <n v="29.476231795214598"/>
    <n v="8.1878421653373898"/>
  </r>
  <r>
    <x v="0"/>
    <x v="38"/>
    <x v="5"/>
    <x v="9"/>
    <s v="LT_OFFSHORE"/>
    <x v="7"/>
    <n v="57.838935220261199"/>
    <n v="16.066370894517"/>
  </r>
  <r>
    <x v="0"/>
    <x v="38"/>
    <x v="5"/>
    <x v="9"/>
    <s v="LT_OFFSHORE"/>
    <x v="8"/>
    <n v="57.838935220261199"/>
    <n v="16.066370894517"/>
  </r>
  <r>
    <x v="0"/>
    <x v="38"/>
    <x v="5"/>
    <x v="9"/>
    <s v="LT_OFFSHORE"/>
    <x v="9"/>
    <n v="44.4505451532725"/>
    <n v="12.3473736536868"/>
  </r>
  <r>
    <x v="0"/>
    <x v="38"/>
    <x v="5"/>
    <x v="9"/>
    <s v="LT_OFFSHORE"/>
    <x v="10"/>
    <n v="53.975661971830903"/>
    <n v="14.993239436619699"/>
  </r>
  <r>
    <x v="0"/>
    <x v="38"/>
    <x v="5"/>
    <x v="9"/>
    <s v="LT_OFFSHORE"/>
    <x v="11"/>
    <n v="3.8806031483015802"/>
    <n v="1.07794531897266"/>
  </r>
  <r>
    <x v="0"/>
    <x v="38"/>
    <x v="5"/>
    <x v="9"/>
    <s v="LT_OFFSHORE"/>
    <x v="12"/>
    <n v="9.7995028997514597E-2"/>
    <n v="2.72208413881985E-2"/>
  </r>
  <r>
    <x v="0"/>
    <x v="38"/>
    <x v="5"/>
    <x v="9"/>
    <s v="LT_OFFSHORE"/>
    <x v="13"/>
    <n v="29.633696768848399"/>
    <n v="8.2315824357912195"/>
  </r>
  <r>
    <x v="0"/>
    <x v="38"/>
    <x v="5"/>
    <x v="9"/>
    <s v="LT_OFFSHORE"/>
    <x v="14"/>
    <n v="29.633696768848399"/>
    <n v="8.2315824357912195"/>
  </r>
  <r>
    <x v="0"/>
    <x v="38"/>
    <x v="5"/>
    <x v="9"/>
    <s v="LT_OFFSHORE"/>
    <x v="15"/>
    <n v="1.65807589063794"/>
    <n v="0.46057663628831802"/>
  </r>
  <r>
    <x v="0"/>
    <x v="38"/>
    <x v="5"/>
    <x v="9"/>
    <s v="LT_OFFSHORE"/>
    <x v="16"/>
    <n v="6.3819281410478998"/>
    <n v="1.77275781695775"/>
  </r>
  <r>
    <x v="0"/>
    <x v="38"/>
    <x v="5"/>
    <x v="9"/>
    <s v="LT_OFFSHORE"/>
    <x v="17"/>
    <n v="9.1244895875632395"/>
    <n v="2.5345804409897901"/>
  </r>
  <r>
    <x v="0"/>
    <x v="38"/>
    <x v="5"/>
    <x v="9"/>
    <s v="LT_OFFSHORE"/>
    <x v="18"/>
    <n v="29.633696768848399"/>
    <n v="8.2315824357912195"/>
  </r>
  <r>
    <x v="0"/>
    <x v="38"/>
    <x v="5"/>
    <x v="9"/>
    <s v="LT_OFFSHORE"/>
    <x v="19"/>
    <n v="8.1139884009941898"/>
    <n v="2.2538856669428302"/>
  </r>
  <r>
    <x v="0"/>
    <x v="38"/>
    <x v="5"/>
    <x v="9"/>
    <s v="LT_OFFSHORE"/>
    <x v="20"/>
    <n v="22.109183021311601"/>
    <n v="6.1414397281420996"/>
  </r>
  <r>
    <x v="0"/>
    <x v="38"/>
    <x v="5"/>
    <x v="9"/>
    <s v="LT_OFFSHORE"/>
    <x v="21"/>
    <n v="47.52"/>
    <n v="13.2"/>
  </r>
  <r>
    <x v="0"/>
    <x v="38"/>
    <x v="5"/>
    <x v="9"/>
    <s v="LT_OFFSHORE"/>
    <x v="22"/>
    <n v="61.56"/>
    <n v="17.100000000000001"/>
  </r>
  <r>
    <x v="0"/>
    <x v="38"/>
    <x v="5"/>
    <x v="9"/>
    <s v="LT_OFFSHORE"/>
    <x v="23"/>
    <n v="0.31515896120488701"/>
    <n v="8.7544155890246306E-2"/>
  </r>
  <r>
    <x v="0"/>
    <x v="38"/>
    <x v="5"/>
    <x v="9"/>
    <s v="LT_OFFSHORE"/>
    <x v="24"/>
    <n v="19.174223581093901"/>
    <n v="5.32617321697054"/>
  </r>
  <r>
    <x v="0"/>
    <x v="38"/>
    <x v="5"/>
    <x v="9"/>
    <s v="LT_OFFSHORE"/>
    <x v="25"/>
    <n v="26.209507293842599"/>
    <n v="7.2804186927340497"/>
  </r>
  <r>
    <x v="0"/>
    <x v="38"/>
    <x v="5"/>
    <x v="9"/>
    <s v="LT_OFFSHORE"/>
    <x v="26"/>
    <n v="33.320887798496699"/>
    <n v="9.2558021662490795"/>
  </r>
  <r>
    <x v="0"/>
    <x v="38"/>
    <x v="5"/>
    <x v="9"/>
    <s v="LT_OFFSHORE"/>
    <x v="27"/>
    <n v="20.163995508318798"/>
    <n v="5.6011098634218799"/>
  </r>
  <r>
    <x v="0"/>
    <x v="38"/>
    <x v="5"/>
    <x v="9"/>
    <s v="LT_Other_DH"/>
    <x v="1"/>
    <n v="35.989199999999997"/>
    <n v="9.9969999999999999"/>
  </r>
  <r>
    <x v="0"/>
    <x v="38"/>
    <x v="5"/>
    <x v="9"/>
    <s v="LT_Other_DH"/>
    <x v="2"/>
    <n v="43.2"/>
    <n v="12"/>
  </r>
  <r>
    <x v="0"/>
    <x v="38"/>
    <x v="5"/>
    <x v="9"/>
    <s v="LT_Other_DH"/>
    <x v="0"/>
    <n v="42.692399999999999"/>
    <n v="11.859"/>
  </r>
  <r>
    <x v="0"/>
    <x v="38"/>
    <x v="5"/>
    <x v="9"/>
    <s v="LT_Other_DH"/>
    <x v="3"/>
    <n v="51.633543144067197"/>
    <n v="14.342650873352"/>
  </r>
  <r>
    <x v="0"/>
    <x v="38"/>
    <x v="5"/>
    <x v="9"/>
    <s v="LT_Other_DH"/>
    <x v="4"/>
    <n v="6.3500778790389401"/>
    <n v="1.76391052195526"/>
  </r>
  <r>
    <x v="0"/>
    <x v="38"/>
    <x v="5"/>
    <x v="9"/>
    <s v="LT_Other_DH"/>
    <x v="5"/>
    <n v="6.3500778790389401"/>
    <n v="1.76391052195526"/>
  </r>
  <r>
    <x v="0"/>
    <x v="38"/>
    <x v="5"/>
    <x v="9"/>
    <s v="LT_Other_DH"/>
    <x v="6"/>
    <n v="29.476231795214598"/>
    <n v="8.1878421653373898"/>
  </r>
  <r>
    <x v="0"/>
    <x v="38"/>
    <x v="5"/>
    <x v="9"/>
    <s v="LT_Other_DH"/>
    <x v="7"/>
    <n v="57.838935220261199"/>
    <n v="16.066370894517"/>
  </r>
  <r>
    <x v="0"/>
    <x v="38"/>
    <x v="5"/>
    <x v="9"/>
    <s v="LT_Other_DH"/>
    <x v="8"/>
    <n v="57.838935220261199"/>
    <n v="16.066370894517"/>
  </r>
  <r>
    <x v="0"/>
    <x v="38"/>
    <x v="5"/>
    <x v="9"/>
    <s v="LT_Other_DH"/>
    <x v="9"/>
    <n v="44.4505451532725"/>
    <n v="12.3473736536868"/>
  </r>
  <r>
    <x v="0"/>
    <x v="38"/>
    <x v="5"/>
    <x v="9"/>
    <s v="LT_Other_DH"/>
    <x v="10"/>
    <n v="53.975661971830903"/>
    <n v="14.993239436619699"/>
  </r>
  <r>
    <x v="0"/>
    <x v="38"/>
    <x v="5"/>
    <x v="9"/>
    <s v="LT_Other_DH"/>
    <x v="11"/>
    <n v="3.8806031483015802"/>
    <n v="1.07794531897266"/>
  </r>
  <r>
    <x v="0"/>
    <x v="38"/>
    <x v="5"/>
    <x v="9"/>
    <s v="LT_Other_DH"/>
    <x v="12"/>
    <n v="9.7995028997514597E-2"/>
    <n v="2.72208413881985E-2"/>
  </r>
  <r>
    <x v="0"/>
    <x v="38"/>
    <x v="5"/>
    <x v="9"/>
    <s v="LT_Other_DH"/>
    <x v="13"/>
    <n v="29.633696768848399"/>
    <n v="8.2315824357912195"/>
  </r>
  <r>
    <x v="0"/>
    <x v="38"/>
    <x v="5"/>
    <x v="9"/>
    <s v="LT_Other_DH"/>
    <x v="14"/>
    <n v="29.633696768848399"/>
    <n v="8.2315824357912195"/>
  </r>
  <r>
    <x v="0"/>
    <x v="38"/>
    <x v="5"/>
    <x v="9"/>
    <s v="LT_Other_DH"/>
    <x v="15"/>
    <n v="1.65807589063794"/>
    <n v="0.46057663628831802"/>
  </r>
  <r>
    <x v="0"/>
    <x v="38"/>
    <x v="5"/>
    <x v="9"/>
    <s v="LT_Other_DH"/>
    <x v="16"/>
    <n v="6.3819281410478998"/>
    <n v="1.77275781695775"/>
  </r>
  <r>
    <x v="0"/>
    <x v="38"/>
    <x v="5"/>
    <x v="9"/>
    <s v="LT_Other_DH"/>
    <x v="17"/>
    <n v="9.1244895875632395"/>
    <n v="2.5345804409897901"/>
  </r>
  <r>
    <x v="0"/>
    <x v="38"/>
    <x v="5"/>
    <x v="9"/>
    <s v="LT_Other_DH"/>
    <x v="18"/>
    <n v="29.633696768848399"/>
    <n v="8.2315824357912195"/>
  </r>
  <r>
    <x v="0"/>
    <x v="38"/>
    <x v="5"/>
    <x v="9"/>
    <s v="LT_Other_DH"/>
    <x v="19"/>
    <n v="8.1139884009941898"/>
    <n v="2.2538856669428302"/>
  </r>
  <r>
    <x v="0"/>
    <x v="38"/>
    <x v="5"/>
    <x v="9"/>
    <s v="LT_Other_DH"/>
    <x v="20"/>
    <n v="22.109183021311601"/>
    <n v="6.1414397281420996"/>
  </r>
  <r>
    <x v="0"/>
    <x v="38"/>
    <x v="5"/>
    <x v="9"/>
    <s v="LT_Other_DH"/>
    <x v="21"/>
    <n v="47.52"/>
    <n v="13.2"/>
  </r>
  <r>
    <x v="0"/>
    <x v="38"/>
    <x v="5"/>
    <x v="9"/>
    <s v="LT_Other_DH"/>
    <x v="22"/>
    <n v="61.56"/>
    <n v="17.100000000000001"/>
  </r>
  <r>
    <x v="0"/>
    <x v="38"/>
    <x v="5"/>
    <x v="9"/>
    <s v="LT_Other_DH"/>
    <x v="23"/>
    <n v="0.31515896120488701"/>
    <n v="8.7544155890246306E-2"/>
  </r>
  <r>
    <x v="0"/>
    <x v="38"/>
    <x v="5"/>
    <x v="9"/>
    <s v="LT_Other_DH"/>
    <x v="24"/>
    <n v="19.174223581093901"/>
    <n v="5.32617321697054"/>
  </r>
  <r>
    <x v="0"/>
    <x v="38"/>
    <x v="5"/>
    <x v="9"/>
    <s v="LT_Other_DH"/>
    <x v="25"/>
    <n v="26.209507293842599"/>
    <n v="7.2804186927340497"/>
  </r>
  <r>
    <x v="0"/>
    <x v="38"/>
    <x v="5"/>
    <x v="9"/>
    <s v="LT_Other_DH"/>
    <x v="26"/>
    <n v="33.320887798496699"/>
    <n v="9.2558021662490795"/>
  </r>
  <r>
    <x v="0"/>
    <x v="38"/>
    <x v="5"/>
    <x v="9"/>
    <s v="LT_Other_DH"/>
    <x v="27"/>
    <n v="20.163995508318798"/>
    <n v="5.6011098634218799"/>
  </r>
  <r>
    <x v="0"/>
    <x v="38"/>
    <x v="5"/>
    <x v="9"/>
    <s v="LT_Panevezys"/>
    <x v="1"/>
    <n v="35.989199999999997"/>
    <n v="9.9969999999999999"/>
  </r>
  <r>
    <x v="0"/>
    <x v="38"/>
    <x v="5"/>
    <x v="9"/>
    <s v="LT_Panevezys"/>
    <x v="2"/>
    <n v="43.2"/>
    <n v="12"/>
  </r>
  <r>
    <x v="0"/>
    <x v="38"/>
    <x v="5"/>
    <x v="9"/>
    <s v="LT_Panevezys"/>
    <x v="0"/>
    <n v="42.692399999999999"/>
    <n v="11.859"/>
  </r>
  <r>
    <x v="0"/>
    <x v="38"/>
    <x v="5"/>
    <x v="9"/>
    <s v="LT_Panevezys"/>
    <x v="3"/>
    <n v="51.633543144067197"/>
    <n v="14.342650873352"/>
  </r>
  <r>
    <x v="0"/>
    <x v="38"/>
    <x v="5"/>
    <x v="9"/>
    <s v="LT_Panevezys"/>
    <x v="4"/>
    <n v="6.3500778790389401"/>
    <n v="1.76391052195526"/>
  </r>
  <r>
    <x v="0"/>
    <x v="38"/>
    <x v="5"/>
    <x v="9"/>
    <s v="LT_Panevezys"/>
    <x v="5"/>
    <n v="6.3500778790389401"/>
    <n v="1.76391052195526"/>
  </r>
  <r>
    <x v="0"/>
    <x v="38"/>
    <x v="5"/>
    <x v="9"/>
    <s v="LT_Panevezys"/>
    <x v="6"/>
    <n v="29.476231795214598"/>
    <n v="8.1878421653373898"/>
  </r>
  <r>
    <x v="0"/>
    <x v="38"/>
    <x v="5"/>
    <x v="9"/>
    <s v="LT_Panevezys"/>
    <x v="7"/>
    <n v="57.838935220261199"/>
    <n v="16.066370894517"/>
  </r>
  <r>
    <x v="0"/>
    <x v="38"/>
    <x v="5"/>
    <x v="9"/>
    <s v="LT_Panevezys"/>
    <x v="8"/>
    <n v="57.838935220261199"/>
    <n v="16.066370894517"/>
  </r>
  <r>
    <x v="0"/>
    <x v="38"/>
    <x v="5"/>
    <x v="9"/>
    <s v="LT_Panevezys"/>
    <x v="9"/>
    <n v="44.4505451532725"/>
    <n v="12.3473736536868"/>
  </r>
  <r>
    <x v="0"/>
    <x v="38"/>
    <x v="5"/>
    <x v="9"/>
    <s v="LT_Panevezys"/>
    <x v="10"/>
    <n v="53.975661971830903"/>
    <n v="14.993239436619699"/>
  </r>
  <r>
    <x v="0"/>
    <x v="38"/>
    <x v="5"/>
    <x v="9"/>
    <s v="LT_Panevezys"/>
    <x v="11"/>
    <n v="3.8806031483015802"/>
    <n v="1.07794531897266"/>
  </r>
  <r>
    <x v="0"/>
    <x v="38"/>
    <x v="5"/>
    <x v="9"/>
    <s v="LT_Panevezys"/>
    <x v="12"/>
    <n v="9.7995028997514597E-2"/>
    <n v="2.72208413881985E-2"/>
  </r>
  <r>
    <x v="0"/>
    <x v="38"/>
    <x v="5"/>
    <x v="9"/>
    <s v="LT_Panevezys"/>
    <x v="13"/>
    <n v="29.633696768848399"/>
    <n v="8.2315824357912195"/>
  </r>
  <r>
    <x v="0"/>
    <x v="38"/>
    <x v="5"/>
    <x v="9"/>
    <s v="LT_Panevezys"/>
    <x v="14"/>
    <n v="29.633696768848399"/>
    <n v="8.2315824357912195"/>
  </r>
  <r>
    <x v="0"/>
    <x v="38"/>
    <x v="5"/>
    <x v="9"/>
    <s v="LT_Panevezys"/>
    <x v="15"/>
    <n v="1.65807589063794"/>
    <n v="0.46057663628831802"/>
  </r>
  <r>
    <x v="0"/>
    <x v="38"/>
    <x v="5"/>
    <x v="9"/>
    <s v="LT_Panevezys"/>
    <x v="16"/>
    <n v="6.3819281410478998"/>
    <n v="1.77275781695775"/>
  </r>
  <r>
    <x v="0"/>
    <x v="38"/>
    <x v="5"/>
    <x v="9"/>
    <s v="LT_Panevezys"/>
    <x v="17"/>
    <n v="9.1244895875632395"/>
    <n v="2.5345804409897901"/>
  </r>
  <r>
    <x v="0"/>
    <x v="38"/>
    <x v="5"/>
    <x v="9"/>
    <s v="LT_Panevezys"/>
    <x v="18"/>
    <n v="29.633696768848399"/>
    <n v="8.2315824357912195"/>
  </r>
  <r>
    <x v="0"/>
    <x v="38"/>
    <x v="5"/>
    <x v="9"/>
    <s v="LT_Panevezys"/>
    <x v="19"/>
    <n v="8.1139884009941898"/>
    <n v="2.2538856669428302"/>
  </r>
  <r>
    <x v="0"/>
    <x v="38"/>
    <x v="5"/>
    <x v="9"/>
    <s v="LT_Panevezys"/>
    <x v="20"/>
    <n v="22.109183021311601"/>
    <n v="6.1414397281420996"/>
  </r>
  <r>
    <x v="0"/>
    <x v="38"/>
    <x v="5"/>
    <x v="9"/>
    <s v="LT_Panevezys"/>
    <x v="21"/>
    <n v="47.52"/>
    <n v="13.2"/>
  </r>
  <r>
    <x v="0"/>
    <x v="38"/>
    <x v="5"/>
    <x v="9"/>
    <s v="LT_Panevezys"/>
    <x v="22"/>
    <n v="61.56"/>
    <n v="17.100000000000001"/>
  </r>
  <r>
    <x v="0"/>
    <x v="38"/>
    <x v="5"/>
    <x v="9"/>
    <s v="LT_Panevezys"/>
    <x v="23"/>
    <n v="0.31515896120488701"/>
    <n v="8.7544155890246306E-2"/>
  </r>
  <r>
    <x v="0"/>
    <x v="38"/>
    <x v="5"/>
    <x v="9"/>
    <s v="LT_Panevezys"/>
    <x v="24"/>
    <n v="19.174223581093901"/>
    <n v="5.32617321697054"/>
  </r>
  <r>
    <x v="0"/>
    <x v="38"/>
    <x v="5"/>
    <x v="9"/>
    <s v="LT_Panevezys"/>
    <x v="25"/>
    <n v="26.209507293842599"/>
    <n v="7.2804186927340497"/>
  </r>
  <r>
    <x v="0"/>
    <x v="38"/>
    <x v="5"/>
    <x v="9"/>
    <s v="LT_Panevezys"/>
    <x v="26"/>
    <n v="33.320887798496699"/>
    <n v="9.2558021662490795"/>
  </r>
  <r>
    <x v="0"/>
    <x v="38"/>
    <x v="5"/>
    <x v="9"/>
    <s v="LT_Panevezys"/>
    <x v="27"/>
    <n v="20.163995508318798"/>
    <n v="5.6011098634218799"/>
  </r>
  <r>
    <x v="0"/>
    <x v="38"/>
    <x v="5"/>
    <x v="9"/>
    <s v="LT_Rural"/>
    <x v="1"/>
    <n v="35.989199999999997"/>
    <n v="9.9969999999999999"/>
  </r>
  <r>
    <x v="0"/>
    <x v="38"/>
    <x v="5"/>
    <x v="9"/>
    <s v="LT_Rural"/>
    <x v="2"/>
    <n v="43.2"/>
    <n v="12"/>
  </r>
  <r>
    <x v="0"/>
    <x v="38"/>
    <x v="5"/>
    <x v="9"/>
    <s v="LT_Rural"/>
    <x v="0"/>
    <n v="42.692399999999999"/>
    <n v="11.859"/>
  </r>
  <r>
    <x v="0"/>
    <x v="38"/>
    <x v="5"/>
    <x v="9"/>
    <s v="LT_Rural"/>
    <x v="3"/>
    <n v="51.633543144067197"/>
    <n v="14.342650873352"/>
  </r>
  <r>
    <x v="0"/>
    <x v="38"/>
    <x v="5"/>
    <x v="9"/>
    <s v="LT_Rural"/>
    <x v="4"/>
    <n v="6.3500778790389401"/>
    <n v="1.76391052195526"/>
  </r>
  <r>
    <x v="0"/>
    <x v="38"/>
    <x v="5"/>
    <x v="9"/>
    <s v="LT_Rural"/>
    <x v="5"/>
    <n v="6.3500778790389401"/>
    <n v="1.76391052195526"/>
  </r>
  <r>
    <x v="0"/>
    <x v="38"/>
    <x v="5"/>
    <x v="9"/>
    <s v="LT_Rural"/>
    <x v="6"/>
    <n v="29.476231795214598"/>
    <n v="8.1878421653373898"/>
  </r>
  <r>
    <x v="0"/>
    <x v="38"/>
    <x v="5"/>
    <x v="9"/>
    <s v="LT_Rural"/>
    <x v="7"/>
    <n v="57.838935220261199"/>
    <n v="16.066370894517"/>
  </r>
  <r>
    <x v="0"/>
    <x v="38"/>
    <x v="5"/>
    <x v="9"/>
    <s v="LT_Rural"/>
    <x v="8"/>
    <n v="57.838935220261199"/>
    <n v="16.066370894517"/>
  </r>
  <r>
    <x v="0"/>
    <x v="38"/>
    <x v="5"/>
    <x v="9"/>
    <s v="LT_Rural"/>
    <x v="9"/>
    <n v="44.4505451532725"/>
    <n v="12.3473736536868"/>
  </r>
  <r>
    <x v="0"/>
    <x v="38"/>
    <x v="5"/>
    <x v="9"/>
    <s v="LT_Rural"/>
    <x v="10"/>
    <n v="53.975661971830903"/>
    <n v="14.993239436619699"/>
  </r>
  <r>
    <x v="0"/>
    <x v="38"/>
    <x v="5"/>
    <x v="9"/>
    <s v="LT_Rural"/>
    <x v="11"/>
    <n v="3.8806031483015802"/>
    <n v="1.07794531897266"/>
  </r>
  <r>
    <x v="0"/>
    <x v="38"/>
    <x v="5"/>
    <x v="9"/>
    <s v="LT_Rural"/>
    <x v="12"/>
    <n v="9.7995028997514597E-2"/>
    <n v="2.72208413881985E-2"/>
  </r>
  <r>
    <x v="0"/>
    <x v="38"/>
    <x v="5"/>
    <x v="9"/>
    <s v="LT_Rural"/>
    <x v="13"/>
    <n v="29.633696768848399"/>
    <n v="8.2315824357912195"/>
  </r>
  <r>
    <x v="0"/>
    <x v="38"/>
    <x v="5"/>
    <x v="9"/>
    <s v="LT_Rural"/>
    <x v="14"/>
    <n v="29.633696768848399"/>
    <n v="8.2315824357912195"/>
  </r>
  <r>
    <x v="0"/>
    <x v="38"/>
    <x v="5"/>
    <x v="9"/>
    <s v="LT_Rural"/>
    <x v="15"/>
    <n v="1.65807589063794"/>
    <n v="0.46057663628831802"/>
  </r>
  <r>
    <x v="0"/>
    <x v="38"/>
    <x v="5"/>
    <x v="9"/>
    <s v="LT_Rural"/>
    <x v="16"/>
    <n v="6.3819281410478998"/>
    <n v="1.77275781695775"/>
  </r>
  <r>
    <x v="0"/>
    <x v="38"/>
    <x v="5"/>
    <x v="9"/>
    <s v="LT_Rural"/>
    <x v="17"/>
    <n v="9.1244895875632395"/>
    <n v="2.5345804409897901"/>
  </r>
  <r>
    <x v="0"/>
    <x v="38"/>
    <x v="5"/>
    <x v="9"/>
    <s v="LT_Rural"/>
    <x v="18"/>
    <n v="29.633696768848399"/>
    <n v="8.2315824357912195"/>
  </r>
  <r>
    <x v="0"/>
    <x v="38"/>
    <x v="5"/>
    <x v="9"/>
    <s v="LT_Rural"/>
    <x v="19"/>
    <n v="8.1139884009941898"/>
    <n v="2.2538856669428302"/>
  </r>
  <r>
    <x v="0"/>
    <x v="38"/>
    <x v="5"/>
    <x v="9"/>
    <s v="LT_Rural"/>
    <x v="20"/>
    <n v="22.109183021311601"/>
    <n v="6.1414397281420996"/>
  </r>
  <r>
    <x v="0"/>
    <x v="38"/>
    <x v="5"/>
    <x v="9"/>
    <s v="LT_Rural"/>
    <x v="21"/>
    <n v="47.52"/>
    <n v="13.2"/>
  </r>
  <r>
    <x v="0"/>
    <x v="38"/>
    <x v="5"/>
    <x v="9"/>
    <s v="LT_Rural"/>
    <x v="22"/>
    <n v="61.56"/>
    <n v="17.100000000000001"/>
  </r>
  <r>
    <x v="0"/>
    <x v="38"/>
    <x v="5"/>
    <x v="9"/>
    <s v="LT_Rural"/>
    <x v="23"/>
    <n v="0.31515896120488701"/>
    <n v="8.7544155890246306E-2"/>
  </r>
  <r>
    <x v="0"/>
    <x v="38"/>
    <x v="5"/>
    <x v="9"/>
    <s v="LT_Rural"/>
    <x v="24"/>
    <n v="19.174223581093901"/>
    <n v="5.32617321697054"/>
  </r>
  <r>
    <x v="0"/>
    <x v="38"/>
    <x v="5"/>
    <x v="9"/>
    <s v="LT_Rural"/>
    <x v="25"/>
    <n v="26.209507293842599"/>
    <n v="7.2804186927340497"/>
  </r>
  <r>
    <x v="0"/>
    <x v="38"/>
    <x v="5"/>
    <x v="9"/>
    <s v="LT_Rural"/>
    <x v="26"/>
    <n v="33.320887798496699"/>
    <n v="9.2558021662490795"/>
  </r>
  <r>
    <x v="0"/>
    <x v="38"/>
    <x v="5"/>
    <x v="9"/>
    <s v="LT_Rural"/>
    <x v="27"/>
    <n v="20.163995508318798"/>
    <n v="5.6011098634218799"/>
  </r>
  <r>
    <x v="0"/>
    <x v="38"/>
    <x v="5"/>
    <x v="9"/>
    <s v="LT_SiaU"/>
    <x v="1"/>
    <n v="35.989199999999997"/>
    <n v="9.9969999999999999"/>
  </r>
  <r>
    <x v="0"/>
    <x v="38"/>
    <x v="5"/>
    <x v="9"/>
    <s v="LT_SiaU"/>
    <x v="2"/>
    <n v="43.2"/>
    <n v="12"/>
  </r>
  <r>
    <x v="0"/>
    <x v="38"/>
    <x v="5"/>
    <x v="9"/>
    <s v="LT_SiaU"/>
    <x v="0"/>
    <n v="42.692399999999999"/>
    <n v="11.859"/>
  </r>
  <r>
    <x v="0"/>
    <x v="38"/>
    <x v="5"/>
    <x v="9"/>
    <s v="LT_SiaU"/>
    <x v="3"/>
    <n v="51.633543144067197"/>
    <n v="14.342650873352"/>
  </r>
  <r>
    <x v="0"/>
    <x v="38"/>
    <x v="5"/>
    <x v="9"/>
    <s v="LT_SiaU"/>
    <x v="4"/>
    <n v="6.3500778790389401"/>
    <n v="1.76391052195526"/>
  </r>
  <r>
    <x v="0"/>
    <x v="38"/>
    <x v="5"/>
    <x v="9"/>
    <s v="LT_SiaU"/>
    <x v="5"/>
    <n v="6.3500778790389401"/>
    <n v="1.76391052195526"/>
  </r>
  <r>
    <x v="0"/>
    <x v="38"/>
    <x v="5"/>
    <x v="9"/>
    <s v="LT_SiaU"/>
    <x v="6"/>
    <n v="29.476231795214598"/>
    <n v="8.1878421653373898"/>
  </r>
  <r>
    <x v="0"/>
    <x v="38"/>
    <x v="5"/>
    <x v="9"/>
    <s v="LT_SiaU"/>
    <x v="7"/>
    <n v="57.838935220261199"/>
    <n v="16.066370894517"/>
  </r>
  <r>
    <x v="0"/>
    <x v="38"/>
    <x v="5"/>
    <x v="9"/>
    <s v="LT_SiaU"/>
    <x v="8"/>
    <n v="57.838935220261199"/>
    <n v="16.066370894517"/>
  </r>
  <r>
    <x v="0"/>
    <x v="38"/>
    <x v="5"/>
    <x v="9"/>
    <s v="LT_SiaU"/>
    <x v="9"/>
    <n v="44.4505451532725"/>
    <n v="12.3473736536868"/>
  </r>
  <r>
    <x v="0"/>
    <x v="38"/>
    <x v="5"/>
    <x v="9"/>
    <s v="LT_SiaU"/>
    <x v="10"/>
    <n v="53.975661971830903"/>
    <n v="14.993239436619699"/>
  </r>
  <r>
    <x v="0"/>
    <x v="38"/>
    <x v="5"/>
    <x v="9"/>
    <s v="LT_SiaU"/>
    <x v="11"/>
    <n v="3.8806031483015802"/>
    <n v="1.07794531897266"/>
  </r>
  <r>
    <x v="0"/>
    <x v="38"/>
    <x v="5"/>
    <x v="9"/>
    <s v="LT_SiaU"/>
    <x v="12"/>
    <n v="9.7995028997514597E-2"/>
    <n v="2.72208413881985E-2"/>
  </r>
  <r>
    <x v="0"/>
    <x v="38"/>
    <x v="5"/>
    <x v="9"/>
    <s v="LT_SiaU"/>
    <x v="13"/>
    <n v="29.633696768848399"/>
    <n v="8.2315824357912195"/>
  </r>
  <r>
    <x v="0"/>
    <x v="38"/>
    <x v="5"/>
    <x v="9"/>
    <s v="LT_SiaU"/>
    <x v="14"/>
    <n v="29.633696768848399"/>
    <n v="8.2315824357912195"/>
  </r>
  <r>
    <x v="0"/>
    <x v="38"/>
    <x v="5"/>
    <x v="9"/>
    <s v="LT_SiaU"/>
    <x v="15"/>
    <n v="1.65807589063794"/>
    <n v="0.46057663628831802"/>
  </r>
  <r>
    <x v="0"/>
    <x v="38"/>
    <x v="5"/>
    <x v="9"/>
    <s v="LT_SiaU"/>
    <x v="16"/>
    <n v="6.3819281410478998"/>
    <n v="1.77275781695775"/>
  </r>
  <r>
    <x v="0"/>
    <x v="38"/>
    <x v="5"/>
    <x v="9"/>
    <s v="LT_SiaU"/>
    <x v="17"/>
    <n v="9.1244895875632395"/>
    <n v="2.5345804409897901"/>
  </r>
  <r>
    <x v="0"/>
    <x v="38"/>
    <x v="5"/>
    <x v="9"/>
    <s v="LT_SiaU"/>
    <x v="18"/>
    <n v="29.633696768848399"/>
    <n v="8.2315824357912195"/>
  </r>
  <r>
    <x v="0"/>
    <x v="38"/>
    <x v="5"/>
    <x v="9"/>
    <s v="LT_SiaU"/>
    <x v="19"/>
    <n v="8.1139884009941898"/>
    <n v="2.2538856669428302"/>
  </r>
  <r>
    <x v="0"/>
    <x v="38"/>
    <x v="5"/>
    <x v="9"/>
    <s v="LT_SiaU"/>
    <x v="20"/>
    <n v="22.109183021311601"/>
    <n v="6.1414397281420996"/>
  </r>
  <r>
    <x v="0"/>
    <x v="38"/>
    <x v="5"/>
    <x v="9"/>
    <s v="LT_SiaU"/>
    <x v="21"/>
    <n v="47.52"/>
    <n v="13.2"/>
  </r>
  <r>
    <x v="0"/>
    <x v="38"/>
    <x v="5"/>
    <x v="9"/>
    <s v="LT_SiaU"/>
    <x v="22"/>
    <n v="61.56"/>
    <n v="17.100000000000001"/>
  </r>
  <r>
    <x v="0"/>
    <x v="38"/>
    <x v="5"/>
    <x v="9"/>
    <s v="LT_SiaU"/>
    <x v="23"/>
    <n v="0.31515896120488701"/>
    <n v="8.7544155890246306E-2"/>
  </r>
  <r>
    <x v="0"/>
    <x v="38"/>
    <x v="5"/>
    <x v="9"/>
    <s v="LT_SiaU"/>
    <x v="24"/>
    <n v="19.174223581093901"/>
    <n v="5.32617321697054"/>
  </r>
  <r>
    <x v="0"/>
    <x v="38"/>
    <x v="5"/>
    <x v="9"/>
    <s v="LT_SiaU"/>
    <x v="25"/>
    <n v="26.209507293842599"/>
    <n v="7.2804186927340497"/>
  </r>
  <r>
    <x v="0"/>
    <x v="38"/>
    <x v="5"/>
    <x v="9"/>
    <s v="LT_SiaU"/>
    <x v="26"/>
    <n v="33.320887798496699"/>
    <n v="9.2558021662490795"/>
  </r>
  <r>
    <x v="0"/>
    <x v="38"/>
    <x v="5"/>
    <x v="9"/>
    <s v="LT_SiaU"/>
    <x v="27"/>
    <n v="20.163995508318798"/>
    <n v="5.6011098634218799"/>
  </r>
  <r>
    <x v="0"/>
    <x v="38"/>
    <x v="5"/>
    <x v="9"/>
    <s v="LT_VilU"/>
    <x v="1"/>
    <n v="35.989199999999997"/>
    <n v="9.9969999999999999"/>
  </r>
  <r>
    <x v="0"/>
    <x v="38"/>
    <x v="5"/>
    <x v="9"/>
    <s v="LT_VilU"/>
    <x v="2"/>
    <n v="43.2"/>
    <n v="12"/>
  </r>
  <r>
    <x v="0"/>
    <x v="38"/>
    <x v="5"/>
    <x v="9"/>
    <s v="LT_VilU"/>
    <x v="0"/>
    <n v="42.692399999999999"/>
    <n v="11.859"/>
  </r>
  <r>
    <x v="0"/>
    <x v="38"/>
    <x v="5"/>
    <x v="9"/>
    <s v="LT_VilU"/>
    <x v="3"/>
    <n v="51.633543144067197"/>
    <n v="14.342650873352"/>
  </r>
  <r>
    <x v="0"/>
    <x v="38"/>
    <x v="5"/>
    <x v="9"/>
    <s v="LT_VilU"/>
    <x v="4"/>
    <n v="6.3500778790389401"/>
    <n v="1.76391052195526"/>
  </r>
  <r>
    <x v="0"/>
    <x v="38"/>
    <x v="5"/>
    <x v="9"/>
    <s v="LT_VilU"/>
    <x v="5"/>
    <n v="6.3500778790389401"/>
    <n v="1.76391052195526"/>
  </r>
  <r>
    <x v="0"/>
    <x v="38"/>
    <x v="5"/>
    <x v="9"/>
    <s v="LT_VilU"/>
    <x v="6"/>
    <n v="29.476231795214598"/>
    <n v="8.1878421653373898"/>
  </r>
  <r>
    <x v="0"/>
    <x v="38"/>
    <x v="5"/>
    <x v="9"/>
    <s v="LT_VilU"/>
    <x v="7"/>
    <n v="57.838935220261199"/>
    <n v="16.066370894517"/>
  </r>
  <r>
    <x v="0"/>
    <x v="38"/>
    <x v="5"/>
    <x v="9"/>
    <s v="LT_VilU"/>
    <x v="8"/>
    <n v="57.838935220261199"/>
    <n v="16.066370894517"/>
  </r>
  <r>
    <x v="0"/>
    <x v="38"/>
    <x v="5"/>
    <x v="9"/>
    <s v="LT_VilU"/>
    <x v="9"/>
    <n v="44.4505451532725"/>
    <n v="12.3473736536868"/>
  </r>
  <r>
    <x v="0"/>
    <x v="38"/>
    <x v="5"/>
    <x v="9"/>
    <s v="LT_VilU"/>
    <x v="10"/>
    <n v="53.975661971830903"/>
    <n v="14.993239436619699"/>
  </r>
  <r>
    <x v="0"/>
    <x v="38"/>
    <x v="5"/>
    <x v="9"/>
    <s v="LT_VilU"/>
    <x v="11"/>
    <n v="3.8806031483015802"/>
    <n v="1.07794531897266"/>
  </r>
  <r>
    <x v="0"/>
    <x v="38"/>
    <x v="5"/>
    <x v="9"/>
    <s v="LT_VilU"/>
    <x v="12"/>
    <n v="9.7995028997514597E-2"/>
    <n v="2.72208413881985E-2"/>
  </r>
  <r>
    <x v="0"/>
    <x v="38"/>
    <x v="5"/>
    <x v="9"/>
    <s v="LT_VilU"/>
    <x v="13"/>
    <n v="29.633696768848399"/>
    <n v="8.2315824357912195"/>
  </r>
  <r>
    <x v="0"/>
    <x v="38"/>
    <x v="5"/>
    <x v="9"/>
    <s v="LT_VilU"/>
    <x v="14"/>
    <n v="29.633696768848399"/>
    <n v="8.2315824357912195"/>
  </r>
  <r>
    <x v="0"/>
    <x v="38"/>
    <x v="5"/>
    <x v="9"/>
    <s v="LT_VilU"/>
    <x v="15"/>
    <n v="1.65807589063794"/>
    <n v="0.46057663628831802"/>
  </r>
  <r>
    <x v="0"/>
    <x v="38"/>
    <x v="5"/>
    <x v="9"/>
    <s v="LT_VilU"/>
    <x v="16"/>
    <n v="6.3819281410478998"/>
    <n v="1.77275781695775"/>
  </r>
  <r>
    <x v="0"/>
    <x v="38"/>
    <x v="5"/>
    <x v="9"/>
    <s v="LT_VilU"/>
    <x v="17"/>
    <n v="9.1244895875632395"/>
    <n v="2.5345804409897901"/>
  </r>
  <r>
    <x v="0"/>
    <x v="38"/>
    <x v="5"/>
    <x v="9"/>
    <s v="LT_VilU"/>
    <x v="18"/>
    <n v="29.633696768848399"/>
    <n v="8.2315824357912195"/>
  </r>
  <r>
    <x v="0"/>
    <x v="38"/>
    <x v="5"/>
    <x v="9"/>
    <s v="LT_VilU"/>
    <x v="19"/>
    <n v="8.1139884009941898"/>
    <n v="2.2538856669428302"/>
  </r>
  <r>
    <x v="0"/>
    <x v="38"/>
    <x v="5"/>
    <x v="9"/>
    <s v="LT_VilU"/>
    <x v="20"/>
    <n v="22.109183021311601"/>
    <n v="6.1414397281420996"/>
  </r>
  <r>
    <x v="0"/>
    <x v="38"/>
    <x v="5"/>
    <x v="9"/>
    <s v="LT_VilU"/>
    <x v="21"/>
    <n v="47.52"/>
    <n v="13.2"/>
  </r>
  <r>
    <x v="0"/>
    <x v="38"/>
    <x v="5"/>
    <x v="9"/>
    <s v="LT_VilU"/>
    <x v="22"/>
    <n v="61.56"/>
    <n v="17.100000000000001"/>
  </r>
  <r>
    <x v="0"/>
    <x v="38"/>
    <x v="5"/>
    <x v="9"/>
    <s v="LT_VilU"/>
    <x v="23"/>
    <n v="0.31515896120488701"/>
    <n v="8.7544155890246306E-2"/>
  </r>
  <r>
    <x v="0"/>
    <x v="38"/>
    <x v="5"/>
    <x v="9"/>
    <s v="LT_VilU"/>
    <x v="24"/>
    <n v="19.174223581093901"/>
    <n v="5.32617321697054"/>
  </r>
  <r>
    <x v="0"/>
    <x v="38"/>
    <x v="5"/>
    <x v="9"/>
    <s v="LT_VilU"/>
    <x v="25"/>
    <n v="26.209507293842599"/>
    <n v="7.2804186927340497"/>
  </r>
  <r>
    <x v="0"/>
    <x v="38"/>
    <x v="5"/>
    <x v="9"/>
    <s v="LT_VilU"/>
    <x v="26"/>
    <n v="33.320887798496699"/>
    <n v="9.2558021662490795"/>
  </r>
  <r>
    <x v="0"/>
    <x v="38"/>
    <x v="5"/>
    <x v="9"/>
    <s v="LT_VilU"/>
    <x v="27"/>
    <n v="20.163995508318798"/>
    <n v="5.6011098634218799"/>
  </r>
  <r>
    <x v="0"/>
    <x v="38"/>
    <x v="6"/>
    <x v="10"/>
    <s v="NL_A"/>
    <x v="1"/>
    <n v="35.989199999999997"/>
    <n v="9.9969999999999999"/>
  </r>
  <r>
    <x v="0"/>
    <x v="38"/>
    <x v="6"/>
    <x v="10"/>
    <s v="NL_A"/>
    <x v="2"/>
    <n v="43.2"/>
    <n v="12"/>
  </r>
  <r>
    <x v="0"/>
    <x v="38"/>
    <x v="6"/>
    <x v="10"/>
    <s v="NL_A"/>
    <x v="0"/>
    <n v="42.692399999999999"/>
    <n v="11.859"/>
  </r>
  <r>
    <x v="0"/>
    <x v="38"/>
    <x v="6"/>
    <x v="10"/>
    <s v="NL_A"/>
    <x v="3"/>
    <n v="51.633543144067197"/>
    <n v="14.342650873352"/>
  </r>
  <r>
    <x v="0"/>
    <x v="38"/>
    <x v="6"/>
    <x v="10"/>
    <s v="NL_A"/>
    <x v="4"/>
    <n v="6.3500778790389401"/>
    <n v="1.76391052195526"/>
  </r>
  <r>
    <x v="0"/>
    <x v="38"/>
    <x v="6"/>
    <x v="10"/>
    <s v="NL_A"/>
    <x v="5"/>
    <n v="6.3500778790389401"/>
    <n v="1.76391052195526"/>
  </r>
  <r>
    <x v="0"/>
    <x v="38"/>
    <x v="6"/>
    <x v="10"/>
    <s v="NL_A"/>
    <x v="6"/>
    <n v="29.476231795214598"/>
    <n v="8.1878421653373898"/>
  </r>
  <r>
    <x v="0"/>
    <x v="38"/>
    <x v="6"/>
    <x v="10"/>
    <s v="NL_A"/>
    <x v="7"/>
    <n v="57.838935220261199"/>
    <n v="16.066370894517"/>
  </r>
  <r>
    <x v="0"/>
    <x v="38"/>
    <x v="6"/>
    <x v="10"/>
    <s v="NL_A"/>
    <x v="8"/>
    <n v="57.838935220261199"/>
    <n v="16.066370894517"/>
  </r>
  <r>
    <x v="0"/>
    <x v="38"/>
    <x v="6"/>
    <x v="10"/>
    <s v="NL_A"/>
    <x v="9"/>
    <n v="44.4505451532725"/>
    <n v="12.3473736536868"/>
  </r>
  <r>
    <x v="0"/>
    <x v="38"/>
    <x v="6"/>
    <x v="10"/>
    <s v="NL_A"/>
    <x v="10"/>
    <n v="53.975661971830903"/>
    <n v="14.993239436619699"/>
  </r>
  <r>
    <x v="0"/>
    <x v="38"/>
    <x v="6"/>
    <x v="10"/>
    <s v="NL_A"/>
    <x v="11"/>
    <n v="3.8806031483015802"/>
    <n v="1.07794531897266"/>
  </r>
  <r>
    <x v="0"/>
    <x v="38"/>
    <x v="6"/>
    <x v="10"/>
    <s v="NL_A"/>
    <x v="12"/>
    <n v="9.7995028997514597E-2"/>
    <n v="2.72208413881985E-2"/>
  </r>
  <r>
    <x v="0"/>
    <x v="38"/>
    <x v="6"/>
    <x v="10"/>
    <s v="NL_A"/>
    <x v="13"/>
    <n v="29.633696768848399"/>
    <n v="8.2315824357912195"/>
  </r>
  <r>
    <x v="0"/>
    <x v="38"/>
    <x v="6"/>
    <x v="10"/>
    <s v="NL_A"/>
    <x v="14"/>
    <n v="29.633696768848399"/>
    <n v="8.2315824357912195"/>
  </r>
  <r>
    <x v="0"/>
    <x v="38"/>
    <x v="6"/>
    <x v="10"/>
    <s v="NL_A"/>
    <x v="15"/>
    <n v="1.65807589063794"/>
    <n v="0.46057663628831802"/>
  </r>
  <r>
    <x v="0"/>
    <x v="38"/>
    <x v="6"/>
    <x v="10"/>
    <s v="NL_A"/>
    <x v="16"/>
    <n v="6.3819281410478998"/>
    <n v="1.77275781695775"/>
  </r>
  <r>
    <x v="0"/>
    <x v="38"/>
    <x v="6"/>
    <x v="10"/>
    <s v="NL_A"/>
    <x v="17"/>
    <n v="9.1244895875632395"/>
    <n v="2.5345804409897901"/>
  </r>
  <r>
    <x v="0"/>
    <x v="38"/>
    <x v="6"/>
    <x v="10"/>
    <s v="NL_A"/>
    <x v="18"/>
    <n v="29.633696768848399"/>
    <n v="8.2315824357912195"/>
  </r>
  <r>
    <x v="0"/>
    <x v="38"/>
    <x v="6"/>
    <x v="10"/>
    <s v="NL_A"/>
    <x v="19"/>
    <n v="8.1139884009941898"/>
    <n v="2.2538856669428302"/>
  </r>
  <r>
    <x v="0"/>
    <x v="38"/>
    <x v="6"/>
    <x v="10"/>
    <s v="NL_A"/>
    <x v="20"/>
    <n v="22.109183021311601"/>
    <n v="6.1414397281420996"/>
  </r>
  <r>
    <x v="0"/>
    <x v="38"/>
    <x v="6"/>
    <x v="10"/>
    <s v="NL_A"/>
    <x v="21"/>
    <n v="47.52"/>
    <n v="13.2"/>
  </r>
  <r>
    <x v="0"/>
    <x v="38"/>
    <x v="6"/>
    <x v="10"/>
    <s v="NL_A"/>
    <x v="22"/>
    <n v="61.56"/>
    <n v="17.100000000000001"/>
  </r>
  <r>
    <x v="0"/>
    <x v="38"/>
    <x v="6"/>
    <x v="10"/>
    <s v="NL_A"/>
    <x v="23"/>
    <n v="0.31515896120488701"/>
    <n v="8.7544155890246306E-2"/>
  </r>
  <r>
    <x v="0"/>
    <x v="38"/>
    <x v="6"/>
    <x v="10"/>
    <s v="NL_A"/>
    <x v="24"/>
    <n v="19.174223581093901"/>
    <n v="5.32617321697054"/>
  </r>
  <r>
    <x v="0"/>
    <x v="38"/>
    <x v="6"/>
    <x v="10"/>
    <s v="NL_A"/>
    <x v="25"/>
    <n v="26.209507293842599"/>
    <n v="7.2804186927340497"/>
  </r>
  <r>
    <x v="0"/>
    <x v="38"/>
    <x v="6"/>
    <x v="10"/>
    <s v="NL_A"/>
    <x v="26"/>
    <n v="33.320887798496699"/>
    <n v="9.2558021662490795"/>
  </r>
  <r>
    <x v="0"/>
    <x v="38"/>
    <x v="6"/>
    <x v="10"/>
    <s v="NL_A"/>
    <x v="27"/>
    <n v="20.163995508318798"/>
    <n v="5.6011098634218799"/>
  </r>
  <r>
    <x v="0"/>
    <x v="38"/>
    <x v="6"/>
    <x v="10"/>
    <s v="NL_OFFSHORE"/>
    <x v="1"/>
    <n v="35.989199999999997"/>
    <n v="9.9969999999999999"/>
  </r>
  <r>
    <x v="0"/>
    <x v="38"/>
    <x v="6"/>
    <x v="10"/>
    <s v="NL_OFFSHORE"/>
    <x v="2"/>
    <n v="43.2"/>
    <n v="12"/>
  </r>
  <r>
    <x v="0"/>
    <x v="38"/>
    <x v="6"/>
    <x v="10"/>
    <s v="NL_OFFSHORE"/>
    <x v="0"/>
    <n v="42.692399999999999"/>
    <n v="11.859"/>
  </r>
  <r>
    <x v="0"/>
    <x v="38"/>
    <x v="6"/>
    <x v="10"/>
    <s v="NL_OFFSHORE"/>
    <x v="3"/>
    <n v="51.633543144067197"/>
    <n v="14.342650873352"/>
  </r>
  <r>
    <x v="0"/>
    <x v="38"/>
    <x v="6"/>
    <x v="10"/>
    <s v="NL_OFFSHORE"/>
    <x v="4"/>
    <n v="6.3500778790389401"/>
    <n v="1.76391052195526"/>
  </r>
  <r>
    <x v="0"/>
    <x v="38"/>
    <x v="6"/>
    <x v="10"/>
    <s v="NL_OFFSHORE"/>
    <x v="5"/>
    <n v="6.3500778790389401"/>
    <n v="1.76391052195526"/>
  </r>
  <r>
    <x v="0"/>
    <x v="38"/>
    <x v="6"/>
    <x v="10"/>
    <s v="NL_OFFSHORE"/>
    <x v="6"/>
    <n v="29.476231795214598"/>
    <n v="8.1878421653373898"/>
  </r>
  <r>
    <x v="0"/>
    <x v="38"/>
    <x v="6"/>
    <x v="10"/>
    <s v="NL_OFFSHORE"/>
    <x v="7"/>
    <n v="57.838935220261199"/>
    <n v="16.066370894517"/>
  </r>
  <r>
    <x v="0"/>
    <x v="38"/>
    <x v="6"/>
    <x v="10"/>
    <s v="NL_OFFSHORE"/>
    <x v="8"/>
    <n v="57.838935220261199"/>
    <n v="16.066370894517"/>
  </r>
  <r>
    <x v="0"/>
    <x v="38"/>
    <x v="6"/>
    <x v="10"/>
    <s v="NL_OFFSHORE"/>
    <x v="9"/>
    <n v="44.4505451532725"/>
    <n v="12.3473736536868"/>
  </r>
  <r>
    <x v="0"/>
    <x v="38"/>
    <x v="6"/>
    <x v="10"/>
    <s v="NL_OFFSHORE"/>
    <x v="10"/>
    <n v="53.975661971830903"/>
    <n v="14.993239436619699"/>
  </r>
  <r>
    <x v="0"/>
    <x v="38"/>
    <x v="6"/>
    <x v="10"/>
    <s v="NL_OFFSHORE"/>
    <x v="11"/>
    <n v="3.8806031483015802"/>
    <n v="1.07794531897266"/>
  </r>
  <r>
    <x v="0"/>
    <x v="38"/>
    <x v="6"/>
    <x v="10"/>
    <s v="NL_OFFSHORE"/>
    <x v="12"/>
    <n v="9.7995028997514597E-2"/>
    <n v="2.72208413881985E-2"/>
  </r>
  <r>
    <x v="0"/>
    <x v="38"/>
    <x v="6"/>
    <x v="10"/>
    <s v="NL_OFFSHORE"/>
    <x v="13"/>
    <n v="29.633696768848399"/>
    <n v="8.2315824357912195"/>
  </r>
  <r>
    <x v="0"/>
    <x v="38"/>
    <x v="6"/>
    <x v="10"/>
    <s v="NL_OFFSHORE"/>
    <x v="14"/>
    <n v="29.633696768848399"/>
    <n v="8.2315824357912195"/>
  </r>
  <r>
    <x v="0"/>
    <x v="38"/>
    <x v="6"/>
    <x v="10"/>
    <s v="NL_OFFSHORE"/>
    <x v="15"/>
    <n v="1.65807589063794"/>
    <n v="0.46057663628831802"/>
  </r>
  <r>
    <x v="0"/>
    <x v="38"/>
    <x v="6"/>
    <x v="10"/>
    <s v="NL_OFFSHORE"/>
    <x v="16"/>
    <n v="6.3819281410478998"/>
    <n v="1.77275781695775"/>
  </r>
  <r>
    <x v="0"/>
    <x v="38"/>
    <x v="6"/>
    <x v="10"/>
    <s v="NL_OFFSHORE"/>
    <x v="17"/>
    <n v="9.1244895875632395"/>
    <n v="2.5345804409897901"/>
  </r>
  <r>
    <x v="0"/>
    <x v="38"/>
    <x v="6"/>
    <x v="10"/>
    <s v="NL_OFFSHORE"/>
    <x v="18"/>
    <n v="29.633696768848399"/>
    <n v="8.2315824357912195"/>
  </r>
  <r>
    <x v="0"/>
    <x v="38"/>
    <x v="6"/>
    <x v="10"/>
    <s v="NL_OFFSHORE"/>
    <x v="19"/>
    <n v="8.1139884009941898"/>
    <n v="2.2538856669428302"/>
  </r>
  <r>
    <x v="0"/>
    <x v="38"/>
    <x v="6"/>
    <x v="10"/>
    <s v="NL_OFFSHORE"/>
    <x v="20"/>
    <n v="22.109183021311601"/>
    <n v="6.1414397281420996"/>
  </r>
  <r>
    <x v="0"/>
    <x v="38"/>
    <x v="6"/>
    <x v="10"/>
    <s v="NL_OFFSHORE"/>
    <x v="21"/>
    <n v="47.52"/>
    <n v="13.2"/>
  </r>
  <r>
    <x v="0"/>
    <x v="38"/>
    <x v="6"/>
    <x v="10"/>
    <s v="NL_OFFSHORE"/>
    <x v="22"/>
    <n v="61.56"/>
    <n v="17.100000000000001"/>
  </r>
  <r>
    <x v="0"/>
    <x v="38"/>
    <x v="6"/>
    <x v="10"/>
    <s v="NL_OFFSHORE"/>
    <x v="23"/>
    <n v="0.31515896120488701"/>
    <n v="8.7544155890246306E-2"/>
  </r>
  <r>
    <x v="0"/>
    <x v="38"/>
    <x v="6"/>
    <x v="10"/>
    <s v="NL_OFFSHORE"/>
    <x v="24"/>
    <n v="19.174223581093901"/>
    <n v="5.32617321697054"/>
  </r>
  <r>
    <x v="0"/>
    <x v="38"/>
    <x v="6"/>
    <x v="10"/>
    <s v="NL_OFFSHORE"/>
    <x v="25"/>
    <n v="26.209507293842599"/>
    <n v="7.2804186927340497"/>
  </r>
  <r>
    <x v="0"/>
    <x v="38"/>
    <x v="6"/>
    <x v="10"/>
    <s v="NL_OFFSHORE"/>
    <x v="26"/>
    <n v="33.320887798496699"/>
    <n v="9.2558021662490795"/>
  </r>
  <r>
    <x v="0"/>
    <x v="38"/>
    <x v="6"/>
    <x v="10"/>
    <s v="NL_OFFSHORE"/>
    <x v="27"/>
    <n v="20.163995508318798"/>
    <n v="5.6011098634218799"/>
  </r>
  <r>
    <x v="0"/>
    <x v="38"/>
    <x v="7"/>
    <x v="11"/>
    <s v="NO1_A1"/>
    <x v="1"/>
    <n v="35.989199999999997"/>
    <n v="9.9969999999999999"/>
  </r>
  <r>
    <x v="0"/>
    <x v="38"/>
    <x v="7"/>
    <x v="11"/>
    <s v="NO1_A1"/>
    <x v="2"/>
    <n v="43.2"/>
    <n v="12"/>
  </r>
  <r>
    <x v="0"/>
    <x v="38"/>
    <x v="7"/>
    <x v="11"/>
    <s v="NO1_A1"/>
    <x v="0"/>
    <n v="42.692399999999999"/>
    <n v="11.859"/>
  </r>
  <r>
    <x v="0"/>
    <x v="38"/>
    <x v="7"/>
    <x v="11"/>
    <s v="NO1_A1"/>
    <x v="3"/>
    <n v="51.633543144067197"/>
    <n v="14.342650873352"/>
  </r>
  <r>
    <x v="0"/>
    <x v="38"/>
    <x v="7"/>
    <x v="11"/>
    <s v="NO1_A1"/>
    <x v="4"/>
    <n v="6.3500778790389401"/>
    <n v="1.76391052195526"/>
  </r>
  <r>
    <x v="0"/>
    <x v="38"/>
    <x v="7"/>
    <x v="11"/>
    <s v="NO1_A1"/>
    <x v="5"/>
    <n v="6.3500778790389401"/>
    <n v="1.76391052195526"/>
  </r>
  <r>
    <x v="0"/>
    <x v="38"/>
    <x v="7"/>
    <x v="11"/>
    <s v="NO1_A1"/>
    <x v="6"/>
    <n v="29.476231795214598"/>
    <n v="8.1878421653373898"/>
  </r>
  <r>
    <x v="0"/>
    <x v="38"/>
    <x v="7"/>
    <x v="11"/>
    <s v="NO1_A1"/>
    <x v="7"/>
    <n v="57.838935220261199"/>
    <n v="16.066370894517"/>
  </r>
  <r>
    <x v="0"/>
    <x v="38"/>
    <x v="7"/>
    <x v="11"/>
    <s v="NO1_A1"/>
    <x v="8"/>
    <n v="57.838935220261199"/>
    <n v="16.066370894517"/>
  </r>
  <r>
    <x v="0"/>
    <x v="38"/>
    <x v="7"/>
    <x v="11"/>
    <s v="NO1_A1"/>
    <x v="9"/>
    <n v="44.4505451532725"/>
    <n v="12.3473736536868"/>
  </r>
  <r>
    <x v="0"/>
    <x v="38"/>
    <x v="7"/>
    <x v="11"/>
    <s v="NO1_A1"/>
    <x v="10"/>
    <n v="53.975661971830903"/>
    <n v="14.993239436619699"/>
  </r>
  <r>
    <x v="0"/>
    <x v="38"/>
    <x v="7"/>
    <x v="11"/>
    <s v="NO1_A1"/>
    <x v="11"/>
    <n v="3.8806031483015802"/>
    <n v="1.07794531897266"/>
  </r>
  <r>
    <x v="0"/>
    <x v="38"/>
    <x v="7"/>
    <x v="11"/>
    <s v="NO1_A1"/>
    <x v="12"/>
    <n v="9.7995028997514597E-2"/>
    <n v="2.72208413881985E-2"/>
  </r>
  <r>
    <x v="0"/>
    <x v="38"/>
    <x v="7"/>
    <x v="11"/>
    <s v="NO1_A1"/>
    <x v="13"/>
    <n v="29.633696768848399"/>
    <n v="8.2315824357912195"/>
  </r>
  <r>
    <x v="0"/>
    <x v="38"/>
    <x v="7"/>
    <x v="11"/>
    <s v="NO1_A1"/>
    <x v="14"/>
    <n v="29.633696768848399"/>
    <n v="8.2315824357912195"/>
  </r>
  <r>
    <x v="0"/>
    <x v="38"/>
    <x v="7"/>
    <x v="11"/>
    <s v="NO1_A1"/>
    <x v="15"/>
    <n v="1.65807589063794"/>
    <n v="0.46057663628831802"/>
  </r>
  <r>
    <x v="0"/>
    <x v="38"/>
    <x v="7"/>
    <x v="11"/>
    <s v="NO1_A1"/>
    <x v="16"/>
    <n v="6.3819281410478998"/>
    <n v="1.77275781695775"/>
  </r>
  <r>
    <x v="0"/>
    <x v="38"/>
    <x v="7"/>
    <x v="11"/>
    <s v="NO1_A1"/>
    <x v="17"/>
    <n v="9.1244895875632395"/>
    <n v="2.5345804409897901"/>
  </r>
  <r>
    <x v="0"/>
    <x v="38"/>
    <x v="7"/>
    <x v="11"/>
    <s v="NO1_A1"/>
    <x v="18"/>
    <n v="29.633696768848399"/>
    <n v="8.2315824357912195"/>
  </r>
  <r>
    <x v="0"/>
    <x v="38"/>
    <x v="7"/>
    <x v="11"/>
    <s v="NO1_A1"/>
    <x v="19"/>
    <n v="8.1139884009941898"/>
    <n v="2.2538856669428302"/>
  </r>
  <r>
    <x v="0"/>
    <x v="38"/>
    <x v="7"/>
    <x v="11"/>
    <s v="NO1_A1"/>
    <x v="20"/>
    <n v="22.109183021311601"/>
    <n v="6.1414397281420996"/>
  </r>
  <r>
    <x v="0"/>
    <x v="38"/>
    <x v="7"/>
    <x v="11"/>
    <s v="NO1_A1"/>
    <x v="21"/>
    <n v="47.52"/>
    <n v="13.2"/>
  </r>
  <r>
    <x v="0"/>
    <x v="38"/>
    <x v="7"/>
    <x v="11"/>
    <s v="NO1_A1"/>
    <x v="22"/>
    <n v="61.56"/>
    <n v="17.100000000000001"/>
  </r>
  <r>
    <x v="0"/>
    <x v="38"/>
    <x v="7"/>
    <x v="11"/>
    <s v="NO1_A1"/>
    <x v="23"/>
    <n v="0.31515896120488701"/>
    <n v="8.7544155890246306E-2"/>
  </r>
  <r>
    <x v="0"/>
    <x v="38"/>
    <x v="7"/>
    <x v="11"/>
    <s v="NO1_A1"/>
    <x v="24"/>
    <n v="19.174223581093901"/>
    <n v="5.32617321697054"/>
  </r>
  <r>
    <x v="0"/>
    <x v="38"/>
    <x v="7"/>
    <x v="11"/>
    <s v="NO1_A1"/>
    <x v="25"/>
    <n v="26.209507293842599"/>
    <n v="7.2804186927340497"/>
  </r>
  <r>
    <x v="0"/>
    <x v="38"/>
    <x v="7"/>
    <x v="11"/>
    <s v="NO1_A1"/>
    <x v="26"/>
    <n v="33.320887798496699"/>
    <n v="9.2558021662490795"/>
  </r>
  <r>
    <x v="0"/>
    <x v="38"/>
    <x v="7"/>
    <x v="11"/>
    <s v="NO1_A1"/>
    <x v="27"/>
    <n v="20.163995508318798"/>
    <n v="5.6011098634218799"/>
  </r>
  <r>
    <x v="0"/>
    <x v="38"/>
    <x v="7"/>
    <x v="11"/>
    <s v="NO1_A2"/>
    <x v="1"/>
    <n v="35.989199999999997"/>
    <n v="9.9969999999999999"/>
  </r>
  <r>
    <x v="0"/>
    <x v="38"/>
    <x v="7"/>
    <x v="11"/>
    <s v="NO1_A2"/>
    <x v="2"/>
    <n v="43.2"/>
    <n v="12"/>
  </r>
  <r>
    <x v="0"/>
    <x v="38"/>
    <x v="7"/>
    <x v="11"/>
    <s v="NO1_A2"/>
    <x v="0"/>
    <n v="42.692399999999999"/>
    <n v="11.859"/>
  </r>
  <r>
    <x v="0"/>
    <x v="38"/>
    <x v="7"/>
    <x v="11"/>
    <s v="NO1_A2"/>
    <x v="3"/>
    <n v="51.633543144067197"/>
    <n v="14.342650873352"/>
  </r>
  <r>
    <x v="0"/>
    <x v="38"/>
    <x v="7"/>
    <x v="11"/>
    <s v="NO1_A2"/>
    <x v="4"/>
    <n v="6.3500778790389401"/>
    <n v="1.76391052195526"/>
  </r>
  <r>
    <x v="0"/>
    <x v="38"/>
    <x v="7"/>
    <x v="11"/>
    <s v="NO1_A2"/>
    <x v="5"/>
    <n v="6.3500778790389401"/>
    <n v="1.76391052195526"/>
  </r>
  <r>
    <x v="0"/>
    <x v="38"/>
    <x v="7"/>
    <x v="11"/>
    <s v="NO1_A2"/>
    <x v="6"/>
    <n v="29.476231795214598"/>
    <n v="8.1878421653373898"/>
  </r>
  <r>
    <x v="0"/>
    <x v="38"/>
    <x v="7"/>
    <x v="11"/>
    <s v="NO1_A2"/>
    <x v="7"/>
    <n v="57.838935220261199"/>
    <n v="16.066370894517"/>
  </r>
  <r>
    <x v="0"/>
    <x v="38"/>
    <x v="7"/>
    <x v="11"/>
    <s v="NO1_A2"/>
    <x v="8"/>
    <n v="57.838935220261199"/>
    <n v="16.066370894517"/>
  </r>
  <r>
    <x v="0"/>
    <x v="38"/>
    <x v="7"/>
    <x v="11"/>
    <s v="NO1_A2"/>
    <x v="9"/>
    <n v="44.4505451532725"/>
    <n v="12.3473736536868"/>
  </r>
  <r>
    <x v="0"/>
    <x v="38"/>
    <x v="7"/>
    <x v="11"/>
    <s v="NO1_A2"/>
    <x v="10"/>
    <n v="53.975661971830903"/>
    <n v="14.993239436619699"/>
  </r>
  <r>
    <x v="0"/>
    <x v="38"/>
    <x v="7"/>
    <x v="11"/>
    <s v="NO1_A2"/>
    <x v="11"/>
    <n v="3.8806031483015802"/>
    <n v="1.07794531897266"/>
  </r>
  <r>
    <x v="0"/>
    <x v="38"/>
    <x v="7"/>
    <x v="11"/>
    <s v="NO1_A2"/>
    <x v="12"/>
    <n v="9.7995028997514597E-2"/>
    <n v="2.72208413881985E-2"/>
  </r>
  <r>
    <x v="0"/>
    <x v="38"/>
    <x v="7"/>
    <x v="11"/>
    <s v="NO1_A2"/>
    <x v="13"/>
    <n v="29.633696768848399"/>
    <n v="8.2315824357912195"/>
  </r>
  <r>
    <x v="0"/>
    <x v="38"/>
    <x v="7"/>
    <x v="11"/>
    <s v="NO1_A2"/>
    <x v="14"/>
    <n v="29.633696768848399"/>
    <n v="8.2315824357912195"/>
  </r>
  <r>
    <x v="0"/>
    <x v="38"/>
    <x v="7"/>
    <x v="11"/>
    <s v="NO1_A2"/>
    <x v="15"/>
    <n v="1.65807589063794"/>
    <n v="0.46057663628831802"/>
  </r>
  <r>
    <x v="0"/>
    <x v="38"/>
    <x v="7"/>
    <x v="11"/>
    <s v="NO1_A2"/>
    <x v="16"/>
    <n v="6.3819281410478998"/>
    <n v="1.77275781695775"/>
  </r>
  <r>
    <x v="0"/>
    <x v="38"/>
    <x v="7"/>
    <x v="11"/>
    <s v="NO1_A2"/>
    <x v="17"/>
    <n v="9.1244895875632395"/>
    <n v="2.5345804409897901"/>
  </r>
  <r>
    <x v="0"/>
    <x v="38"/>
    <x v="7"/>
    <x v="11"/>
    <s v="NO1_A2"/>
    <x v="18"/>
    <n v="29.633696768848399"/>
    <n v="8.2315824357912195"/>
  </r>
  <r>
    <x v="0"/>
    <x v="38"/>
    <x v="7"/>
    <x v="11"/>
    <s v="NO1_A2"/>
    <x v="19"/>
    <n v="8.1139884009941898"/>
    <n v="2.2538856669428302"/>
  </r>
  <r>
    <x v="0"/>
    <x v="38"/>
    <x v="7"/>
    <x v="11"/>
    <s v="NO1_A2"/>
    <x v="20"/>
    <n v="22.109183021311601"/>
    <n v="6.1414397281420996"/>
  </r>
  <r>
    <x v="0"/>
    <x v="38"/>
    <x v="7"/>
    <x v="11"/>
    <s v="NO1_A2"/>
    <x v="21"/>
    <n v="47.52"/>
    <n v="13.2"/>
  </r>
  <r>
    <x v="0"/>
    <x v="38"/>
    <x v="7"/>
    <x v="11"/>
    <s v="NO1_A2"/>
    <x v="22"/>
    <n v="61.56"/>
    <n v="17.100000000000001"/>
  </r>
  <r>
    <x v="0"/>
    <x v="38"/>
    <x v="7"/>
    <x v="11"/>
    <s v="NO1_A2"/>
    <x v="23"/>
    <n v="0.31515896120488701"/>
    <n v="8.7544155890246306E-2"/>
  </r>
  <r>
    <x v="0"/>
    <x v="38"/>
    <x v="7"/>
    <x v="11"/>
    <s v="NO1_A2"/>
    <x v="24"/>
    <n v="19.174223581093901"/>
    <n v="5.32617321697054"/>
  </r>
  <r>
    <x v="0"/>
    <x v="38"/>
    <x v="7"/>
    <x v="11"/>
    <s v="NO1_A2"/>
    <x v="25"/>
    <n v="26.209507293842599"/>
    <n v="7.2804186927340497"/>
  </r>
  <r>
    <x v="0"/>
    <x v="38"/>
    <x v="7"/>
    <x v="11"/>
    <s v="NO1_A2"/>
    <x v="26"/>
    <n v="33.320887798496699"/>
    <n v="9.2558021662490795"/>
  </r>
  <r>
    <x v="0"/>
    <x v="38"/>
    <x v="7"/>
    <x v="11"/>
    <s v="NO1_A2"/>
    <x v="27"/>
    <n v="20.163995508318798"/>
    <n v="5.6011098634218799"/>
  </r>
  <r>
    <x v="0"/>
    <x v="38"/>
    <x v="7"/>
    <x v="11"/>
    <s v="NO1_A3"/>
    <x v="1"/>
    <n v="35.989199999999997"/>
    <n v="9.9969999999999999"/>
  </r>
  <r>
    <x v="0"/>
    <x v="38"/>
    <x v="7"/>
    <x v="11"/>
    <s v="NO1_A3"/>
    <x v="2"/>
    <n v="43.2"/>
    <n v="12"/>
  </r>
  <r>
    <x v="0"/>
    <x v="38"/>
    <x v="7"/>
    <x v="11"/>
    <s v="NO1_A3"/>
    <x v="0"/>
    <n v="42.692399999999999"/>
    <n v="11.859"/>
  </r>
  <r>
    <x v="0"/>
    <x v="38"/>
    <x v="7"/>
    <x v="11"/>
    <s v="NO1_A3"/>
    <x v="3"/>
    <n v="51.633543144067197"/>
    <n v="14.342650873352"/>
  </r>
  <r>
    <x v="0"/>
    <x v="38"/>
    <x v="7"/>
    <x v="11"/>
    <s v="NO1_A3"/>
    <x v="4"/>
    <n v="6.3500778790389401"/>
    <n v="1.76391052195526"/>
  </r>
  <r>
    <x v="0"/>
    <x v="38"/>
    <x v="7"/>
    <x v="11"/>
    <s v="NO1_A3"/>
    <x v="5"/>
    <n v="6.3500778790389401"/>
    <n v="1.76391052195526"/>
  </r>
  <r>
    <x v="0"/>
    <x v="38"/>
    <x v="7"/>
    <x v="11"/>
    <s v="NO1_A3"/>
    <x v="6"/>
    <n v="29.476231795214598"/>
    <n v="8.1878421653373898"/>
  </r>
  <r>
    <x v="0"/>
    <x v="38"/>
    <x v="7"/>
    <x v="11"/>
    <s v="NO1_A3"/>
    <x v="7"/>
    <n v="57.838935220261199"/>
    <n v="16.066370894517"/>
  </r>
  <r>
    <x v="0"/>
    <x v="38"/>
    <x v="7"/>
    <x v="11"/>
    <s v="NO1_A3"/>
    <x v="8"/>
    <n v="57.838935220261199"/>
    <n v="16.066370894517"/>
  </r>
  <r>
    <x v="0"/>
    <x v="38"/>
    <x v="7"/>
    <x v="11"/>
    <s v="NO1_A3"/>
    <x v="9"/>
    <n v="44.4505451532725"/>
    <n v="12.3473736536868"/>
  </r>
  <r>
    <x v="0"/>
    <x v="38"/>
    <x v="7"/>
    <x v="11"/>
    <s v="NO1_A3"/>
    <x v="10"/>
    <n v="53.975661971830903"/>
    <n v="14.993239436619699"/>
  </r>
  <r>
    <x v="0"/>
    <x v="38"/>
    <x v="7"/>
    <x v="11"/>
    <s v="NO1_A3"/>
    <x v="11"/>
    <n v="3.8806031483015802"/>
    <n v="1.07794531897266"/>
  </r>
  <r>
    <x v="0"/>
    <x v="38"/>
    <x v="7"/>
    <x v="11"/>
    <s v="NO1_A3"/>
    <x v="12"/>
    <n v="9.7995028997514597E-2"/>
    <n v="2.72208413881985E-2"/>
  </r>
  <r>
    <x v="0"/>
    <x v="38"/>
    <x v="7"/>
    <x v="11"/>
    <s v="NO1_A3"/>
    <x v="13"/>
    <n v="29.633696768848399"/>
    <n v="8.2315824357912195"/>
  </r>
  <r>
    <x v="0"/>
    <x v="38"/>
    <x v="7"/>
    <x v="11"/>
    <s v="NO1_A3"/>
    <x v="14"/>
    <n v="29.633696768848399"/>
    <n v="8.2315824357912195"/>
  </r>
  <r>
    <x v="0"/>
    <x v="38"/>
    <x v="7"/>
    <x v="11"/>
    <s v="NO1_A3"/>
    <x v="15"/>
    <n v="1.65807589063794"/>
    <n v="0.46057663628831802"/>
  </r>
  <r>
    <x v="0"/>
    <x v="38"/>
    <x v="7"/>
    <x v="11"/>
    <s v="NO1_A3"/>
    <x v="16"/>
    <n v="6.3819281410478998"/>
    <n v="1.77275781695775"/>
  </r>
  <r>
    <x v="0"/>
    <x v="38"/>
    <x v="7"/>
    <x v="11"/>
    <s v="NO1_A3"/>
    <x v="17"/>
    <n v="9.1244895875632395"/>
    <n v="2.5345804409897901"/>
  </r>
  <r>
    <x v="0"/>
    <x v="38"/>
    <x v="7"/>
    <x v="11"/>
    <s v="NO1_A3"/>
    <x v="18"/>
    <n v="29.633696768848399"/>
    <n v="8.2315824357912195"/>
  </r>
  <r>
    <x v="0"/>
    <x v="38"/>
    <x v="7"/>
    <x v="11"/>
    <s v="NO1_A3"/>
    <x v="19"/>
    <n v="8.1139884009941898"/>
    <n v="2.2538856669428302"/>
  </r>
  <r>
    <x v="0"/>
    <x v="38"/>
    <x v="7"/>
    <x v="11"/>
    <s v="NO1_A3"/>
    <x v="20"/>
    <n v="22.109183021311601"/>
    <n v="6.1414397281420996"/>
  </r>
  <r>
    <x v="0"/>
    <x v="38"/>
    <x v="7"/>
    <x v="11"/>
    <s v="NO1_A3"/>
    <x v="21"/>
    <n v="47.52"/>
    <n v="13.2"/>
  </r>
  <r>
    <x v="0"/>
    <x v="38"/>
    <x v="7"/>
    <x v="11"/>
    <s v="NO1_A3"/>
    <x v="22"/>
    <n v="61.56"/>
    <n v="17.100000000000001"/>
  </r>
  <r>
    <x v="0"/>
    <x v="38"/>
    <x v="7"/>
    <x v="11"/>
    <s v="NO1_A3"/>
    <x v="23"/>
    <n v="0.31515896120488701"/>
    <n v="8.7544155890246306E-2"/>
  </r>
  <r>
    <x v="0"/>
    <x v="38"/>
    <x v="7"/>
    <x v="11"/>
    <s v="NO1_A3"/>
    <x v="24"/>
    <n v="19.174223581093901"/>
    <n v="5.32617321697054"/>
  </r>
  <r>
    <x v="0"/>
    <x v="38"/>
    <x v="7"/>
    <x v="11"/>
    <s v="NO1_A3"/>
    <x v="25"/>
    <n v="26.209507293842599"/>
    <n v="7.2804186927340497"/>
  </r>
  <r>
    <x v="0"/>
    <x v="38"/>
    <x v="7"/>
    <x v="11"/>
    <s v="NO1_A3"/>
    <x v="26"/>
    <n v="33.320887798496699"/>
    <n v="9.2558021662490795"/>
  </r>
  <r>
    <x v="0"/>
    <x v="38"/>
    <x v="7"/>
    <x v="11"/>
    <s v="NO1_A3"/>
    <x v="27"/>
    <n v="20.163995508318798"/>
    <n v="5.6011098634218799"/>
  </r>
  <r>
    <x v="0"/>
    <x v="38"/>
    <x v="7"/>
    <x v="11"/>
    <s v="NO1_Offshore"/>
    <x v="1"/>
    <n v="35.989199999999997"/>
    <n v="9.9969999999999999"/>
  </r>
  <r>
    <x v="0"/>
    <x v="38"/>
    <x v="7"/>
    <x v="11"/>
    <s v="NO1_Offshore"/>
    <x v="2"/>
    <n v="43.2"/>
    <n v="12"/>
  </r>
  <r>
    <x v="0"/>
    <x v="38"/>
    <x v="7"/>
    <x v="11"/>
    <s v="NO1_Offshore"/>
    <x v="0"/>
    <n v="42.692399999999999"/>
    <n v="11.859"/>
  </r>
  <r>
    <x v="0"/>
    <x v="38"/>
    <x v="7"/>
    <x v="11"/>
    <s v="NO1_Offshore"/>
    <x v="3"/>
    <n v="51.633543144067197"/>
    <n v="14.342650873352"/>
  </r>
  <r>
    <x v="0"/>
    <x v="38"/>
    <x v="7"/>
    <x v="11"/>
    <s v="NO1_Offshore"/>
    <x v="4"/>
    <n v="6.3500778790389401"/>
    <n v="1.76391052195526"/>
  </r>
  <r>
    <x v="0"/>
    <x v="38"/>
    <x v="7"/>
    <x v="11"/>
    <s v="NO1_Offshore"/>
    <x v="5"/>
    <n v="6.3500778790389401"/>
    <n v="1.76391052195526"/>
  </r>
  <r>
    <x v="0"/>
    <x v="38"/>
    <x v="7"/>
    <x v="11"/>
    <s v="NO1_Offshore"/>
    <x v="6"/>
    <n v="29.476231795214598"/>
    <n v="8.1878421653373898"/>
  </r>
  <r>
    <x v="0"/>
    <x v="38"/>
    <x v="7"/>
    <x v="11"/>
    <s v="NO1_Offshore"/>
    <x v="7"/>
    <n v="57.838935220261199"/>
    <n v="16.066370894517"/>
  </r>
  <r>
    <x v="0"/>
    <x v="38"/>
    <x v="7"/>
    <x v="11"/>
    <s v="NO1_Offshore"/>
    <x v="8"/>
    <n v="57.838935220261199"/>
    <n v="16.066370894517"/>
  </r>
  <r>
    <x v="0"/>
    <x v="38"/>
    <x v="7"/>
    <x v="11"/>
    <s v="NO1_Offshore"/>
    <x v="9"/>
    <n v="44.4505451532725"/>
    <n v="12.3473736536868"/>
  </r>
  <r>
    <x v="0"/>
    <x v="38"/>
    <x v="7"/>
    <x v="11"/>
    <s v="NO1_Offshore"/>
    <x v="10"/>
    <n v="53.975661971830903"/>
    <n v="14.993239436619699"/>
  </r>
  <r>
    <x v="0"/>
    <x v="38"/>
    <x v="7"/>
    <x v="11"/>
    <s v="NO1_Offshore"/>
    <x v="11"/>
    <n v="3.8806031483015802"/>
    <n v="1.07794531897266"/>
  </r>
  <r>
    <x v="0"/>
    <x v="38"/>
    <x v="7"/>
    <x v="11"/>
    <s v="NO1_Offshore"/>
    <x v="12"/>
    <n v="9.7995028997514597E-2"/>
    <n v="2.72208413881985E-2"/>
  </r>
  <r>
    <x v="0"/>
    <x v="38"/>
    <x v="7"/>
    <x v="11"/>
    <s v="NO1_Offshore"/>
    <x v="13"/>
    <n v="29.633696768848399"/>
    <n v="8.2315824357912195"/>
  </r>
  <r>
    <x v="0"/>
    <x v="38"/>
    <x v="7"/>
    <x v="11"/>
    <s v="NO1_Offshore"/>
    <x v="14"/>
    <n v="29.633696768848399"/>
    <n v="8.2315824357912195"/>
  </r>
  <r>
    <x v="0"/>
    <x v="38"/>
    <x v="7"/>
    <x v="11"/>
    <s v="NO1_Offshore"/>
    <x v="15"/>
    <n v="1.65807589063794"/>
    <n v="0.46057663628831802"/>
  </r>
  <r>
    <x v="0"/>
    <x v="38"/>
    <x v="7"/>
    <x v="11"/>
    <s v="NO1_Offshore"/>
    <x v="16"/>
    <n v="6.3819281410478998"/>
    <n v="1.77275781695775"/>
  </r>
  <r>
    <x v="0"/>
    <x v="38"/>
    <x v="7"/>
    <x v="11"/>
    <s v="NO1_Offshore"/>
    <x v="17"/>
    <n v="9.1244895875632395"/>
    <n v="2.5345804409897901"/>
  </r>
  <r>
    <x v="0"/>
    <x v="38"/>
    <x v="7"/>
    <x v="11"/>
    <s v="NO1_Offshore"/>
    <x v="18"/>
    <n v="29.633696768848399"/>
    <n v="8.2315824357912195"/>
  </r>
  <r>
    <x v="0"/>
    <x v="38"/>
    <x v="7"/>
    <x v="11"/>
    <s v="NO1_Offshore"/>
    <x v="19"/>
    <n v="8.1139884009941898"/>
    <n v="2.2538856669428302"/>
  </r>
  <r>
    <x v="0"/>
    <x v="38"/>
    <x v="7"/>
    <x v="11"/>
    <s v="NO1_Offshore"/>
    <x v="20"/>
    <n v="22.109183021311601"/>
    <n v="6.1414397281420996"/>
  </r>
  <r>
    <x v="0"/>
    <x v="38"/>
    <x v="7"/>
    <x v="11"/>
    <s v="NO1_Offshore"/>
    <x v="21"/>
    <n v="47.52"/>
    <n v="13.2"/>
  </r>
  <r>
    <x v="0"/>
    <x v="38"/>
    <x v="7"/>
    <x v="11"/>
    <s v="NO1_Offshore"/>
    <x v="22"/>
    <n v="61.56"/>
    <n v="17.100000000000001"/>
  </r>
  <r>
    <x v="0"/>
    <x v="38"/>
    <x v="7"/>
    <x v="11"/>
    <s v="NO1_Offshore"/>
    <x v="23"/>
    <n v="0.31515896120488701"/>
    <n v="8.7544155890246306E-2"/>
  </r>
  <r>
    <x v="0"/>
    <x v="38"/>
    <x v="7"/>
    <x v="11"/>
    <s v="NO1_Offshore"/>
    <x v="24"/>
    <n v="19.174223581093901"/>
    <n v="5.32617321697054"/>
  </r>
  <r>
    <x v="0"/>
    <x v="38"/>
    <x v="7"/>
    <x v="11"/>
    <s v="NO1_Offshore"/>
    <x v="25"/>
    <n v="26.209507293842599"/>
    <n v="7.2804186927340497"/>
  </r>
  <r>
    <x v="0"/>
    <x v="38"/>
    <x v="7"/>
    <x v="11"/>
    <s v="NO1_Offshore"/>
    <x v="26"/>
    <n v="33.320887798496699"/>
    <n v="9.2558021662490795"/>
  </r>
  <r>
    <x v="0"/>
    <x v="38"/>
    <x v="7"/>
    <x v="11"/>
    <s v="NO1_Offshore"/>
    <x v="27"/>
    <n v="20.163995508318798"/>
    <n v="5.6011098634218799"/>
  </r>
  <r>
    <x v="0"/>
    <x v="38"/>
    <x v="7"/>
    <x v="12"/>
    <s v="NO2_A1"/>
    <x v="1"/>
    <n v="35.989199999999997"/>
    <n v="9.9969999999999999"/>
  </r>
  <r>
    <x v="0"/>
    <x v="38"/>
    <x v="7"/>
    <x v="12"/>
    <s v="NO2_A1"/>
    <x v="2"/>
    <n v="43.2"/>
    <n v="12"/>
  </r>
  <r>
    <x v="0"/>
    <x v="38"/>
    <x v="7"/>
    <x v="12"/>
    <s v="NO2_A1"/>
    <x v="0"/>
    <n v="42.692399999999999"/>
    <n v="11.859"/>
  </r>
  <r>
    <x v="0"/>
    <x v="38"/>
    <x v="7"/>
    <x v="12"/>
    <s v="NO2_A1"/>
    <x v="3"/>
    <n v="51.633543144067197"/>
    <n v="14.342650873352"/>
  </r>
  <r>
    <x v="0"/>
    <x v="38"/>
    <x v="7"/>
    <x v="12"/>
    <s v="NO2_A1"/>
    <x v="4"/>
    <n v="6.3500778790389401"/>
    <n v="1.76391052195526"/>
  </r>
  <r>
    <x v="0"/>
    <x v="38"/>
    <x v="7"/>
    <x v="12"/>
    <s v="NO2_A1"/>
    <x v="5"/>
    <n v="6.3500778790389401"/>
    <n v="1.76391052195526"/>
  </r>
  <r>
    <x v="0"/>
    <x v="38"/>
    <x v="7"/>
    <x v="12"/>
    <s v="NO2_A1"/>
    <x v="6"/>
    <n v="29.476231795214598"/>
    <n v="8.1878421653373898"/>
  </r>
  <r>
    <x v="0"/>
    <x v="38"/>
    <x v="7"/>
    <x v="12"/>
    <s v="NO2_A1"/>
    <x v="7"/>
    <n v="57.838935220261199"/>
    <n v="16.066370894517"/>
  </r>
  <r>
    <x v="0"/>
    <x v="38"/>
    <x v="7"/>
    <x v="12"/>
    <s v="NO2_A1"/>
    <x v="8"/>
    <n v="57.838935220261199"/>
    <n v="16.066370894517"/>
  </r>
  <r>
    <x v="0"/>
    <x v="38"/>
    <x v="7"/>
    <x v="12"/>
    <s v="NO2_A1"/>
    <x v="9"/>
    <n v="44.4505451532725"/>
    <n v="12.3473736536868"/>
  </r>
  <r>
    <x v="0"/>
    <x v="38"/>
    <x v="7"/>
    <x v="12"/>
    <s v="NO2_A1"/>
    <x v="10"/>
    <n v="53.975661971830903"/>
    <n v="14.993239436619699"/>
  </r>
  <r>
    <x v="0"/>
    <x v="38"/>
    <x v="7"/>
    <x v="12"/>
    <s v="NO2_A1"/>
    <x v="11"/>
    <n v="3.8806031483015802"/>
    <n v="1.07794531897266"/>
  </r>
  <r>
    <x v="0"/>
    <x v="38"/>
    <x v="7"/>
    <x v="12"/>
    <s v="NO2_A1"/>
    <x v="12"/>
    <n v="9.7995028997514597E-2"/>
    <n v="2.72208413881985E-2"/>
  </r>
  <r>
    <x v="0"/>
    <x v="38"/>
    <x v="7"/>
    <x v="12"/>
    <s v="NO2_A1"/>
    <x v="13"/>
    <n v="29.633696768848399"/>
    <n v="8.2315824357912195"/>
  </r>
  <r>
    <x v="0"/>
    <x v="38"/>
    <x v="7"/>
    <x v="12"/>
    <s v="NO2_A1"/>
    <x v="14"/>
    <n v="29.633696768848399"/>
    <n v="8.2315824357912195"/>
  </r>
  <r>
    <x v="0"/>
    <x v="38"/>
    <x v="7"/>
    <x v="12"/>
    <s v="NO2_A1"/>
    <x v="15"/>
    <n v="1.65807589063794"/>
    <n v="0.46057663628831802"/>
  </r>
  <r>
    <x v="0"/>
    <x v="38"/>
    <x v="7"/>
    <x v="12"/>
    <s v="NO2_A1"/>
    <x v="16"/>
    <n v="6.3819281410478998"/>
    <n v="1.77275781695775"/>
  </r>
  <r>
    <x v="0"/>
    <x v="38"/>
    <x v="7"/>
    <x v="12"/>
    <s v="NO2_A1"/>
    <x v="17"/>
    <n v="9.1244895875632395"/>
    <n v="2.5345804409897901"/>
  </r>
  <r>
    <x v="0"/>
    <x v="38"/>
    <x v="7"/>
    <x v="12"/>
    <s v="NO2_A1"/>
    <x v="18"/>
    <n v="29.633696768848399"/>
    <n v="8.2315824357912195"/>
  </r>
  <r>
    <x v="0"/>
    <x v="38"/>
    <x v="7"/>
    <x v="12"/>
    <s v="NO2_A1"/>
    <x v="19"/>
    <n v="8.1139884009941898"/>
    <n v="2.2538856669428302"/>
  </r>
  <r>
    <x v="0"/>
    <x v="38"/>
    <x v="7"/>
    <x v="12"/>
    <s v="NO2_A1"/>
    <x v="20"/>
    <n v="22.109183021311601"/>
    <n v="6.1414397281420996"/>
  </r>
  <r>
    <x v="0"/>
    <x v="38"/>
    <x v="7"/>
    <x v="12"/>
    <s v="NO2_A1"/>
    <x v="21"/>
    <n v="47.52"/>
    <n v="13.2"/>
  </r>
  <r>
    <x v="0"/>
    <x v="38"/>
    <x v="7"/>
    <x v="12"/>
    <s v="NO2_A1"/>
    <x v="22"/>
    <n v="61.56"/>
    <n v="17.100000000000001"/>
  </r>
  <r>
    <x v="0"/>
    <x v="38"/>
    <x v="7"/>
    <x v="12"/>
    <s v="NO2_A1"/>
    <x v="23"/>
    <n v="0.31515896120488701"/>
    <n v="8.7544155890246306E-2"/>
  </r>
  <r>
    <x v="0"/>
    <x v="38"/>
    <x v="7"/>
    <x v="12"/>
    <s v="NO2_A1"/>
    <x v="24"/>
    <n v="19.174223581093901"/>
    <n v="5.32617321697054"/>
  </r>
  <r>
    <x v="0"/>
    <x v="38"/>
    <x v="7"/>
    <x v="12"/>
    <s v="NO2_A1"/>
    <x v="25"/>
    <n v="26.209507293842599"/>
    <n v="7.2804186927340497"/>
  </r>
  <r>
    <x v="0"/>
    <x v="38"/>
    <x v="7"/>
    <x v="12"/>
    <s v="NO2_A1"/>
    <x v="26"/>
    <n v="33.320887798496699"/>
    <n v="9.2558021662490795"/>
  </r>
  <r>
    <x v="0"/>
    <x v="38"/>
    <x v="7"/>
    <x v="12"/>
    <s v="NO2_A1"/>
    <x v="27"/>
    <n v="20.163995508318798"/>
    <n v="5.6011098634218799"/>
  </r>
  <r>
    <x v="0"/>
    <x v="38"/>
    <x v="7"/>
    <x v="12"/>
    <s v="NO2_A2"/>
    <x v="1"/>
    <n v="35.989199999999997"/>
    <n v="9.9969999999999999"/>
  </r>
  <r>
    <x v="0"/>
    <x v="38"/>
    <x v="7"/>
    <x v="12"/>
    <s v="NO2_A2"/>
    <x v="2"/>
    <n v="43.2"/>
    <n v="12"/>
  </r>
  <r>
    <x v="0"/>
    <x v="38"/>
    <x v="7"/>
    <x v="12"/>
    <s v="NO2_A2"/>
    <x v="0"/>
    <n v="42.692399999999999"/>
    <n v="11.859"/>
  </r>
  <r>
    <x v="0"/>
    <x v="38"/>
    <x v="7"/>
    <x v="12"/>
    <s v="NO2_A2"/>
    <x v="3"/>
    <n v="51.633543144067197"/>
    <n v="14.342650873352"/>
  </r>
  <r>
    <x v="0"/>
    <x v="38"/>
    <x v="7"/>
    <x v="12"/>
    <s v="NO2_A2"/>
    <x v="4"/>
    <n v="6.3500778790389401"/>
    <n v="1.76391052195526"/>
  </r>
  <r>
    <x v="0"/>
    <x v="38"/>
    <x v="7"/>
    <x v="12"/>
    <s v="NO2_A2"/>
    <x v="5"/>
    <n v="6.3500778790389401"/>
    <n v="1.76391052195526"/>
  </r>
  <r>
    <x v="0"/>
    <x v="38"/>
    <x v="7"/>
    <x v="12"/>
    <s v="NO2_A2"/>
    <x v="6"/>
    <n v="29.476231795214598"/>
    <n v="8.1878421653373898"/>
  </r>
  <r>
    <x v="0"/>
    <x v="38"/>
    <x v="7"/>
    <x v="12"/>
    <s v="NO2_A2"/>
    <x v="7"/>
    <n v="57.838935220261199"/>
    <n v="16.066370894517"/>
  </r>
  <r>
    <x v="0"/>
    <x v="38"/>
    <x v="7"/>
    <x v="12"/>
    <s v="NO2_A2"/>
    <x v="8"/>
    <n v="57.838935220261199"/>
    <n v="16.066370894517"/>
  </r>
  <r>
    <x v="0"/>
    <x v="38"/>
    <x v="7"/>
    <x v="12"/>
    <s v="NO2_A2"/>
    <x v="9"/>
    <n v="44.4505451532725"/>
    <n v="12.3473736536868"/>
  </r>
  <r>
    <x v="0"/>
    <x v="38"/>
    <x v="7"/>
    <x v="12"/>
    <s v="NO2_A2"/>
    <x v="10"/>
    <n v="53.975661971830903"/>
    <n v="14.993239436619699"/>
  </r>
  <r>
    <x v="0"/>
    <x v="38"/>
    <x v="7"/>
    <x v="12"/>
    <s v="NO2_A2"/>
    <x v="11"/>
    <n v="3.8806031483015802"/>
    <n v="1.07794531897266"/>
  </r>
  <r>
    <x v="0"/>
    <x v="38"/>
    <x v="7"/>
    <x v="12"/>
    <s v="NO2_A2"/>
    <x v="12"/>
    <n v="9.7995028997514597E-2"/>
    <n v="2.72208413881985E-2"/>
  </r>
  <r>
    <x v="0"/>
    <x v="38"/>
    <x v="7"/>
    <x v="12"/>
    <s v="NO2_A2"/>
    <x v="13"/>
    <n v="29.633696768848399"/>
    <n v="8.2315824357912195"/>
  </r>
  <r>
    <x v="0"/>
    <x v="38"/>
    <x v="7"/>
    <x v="12"/>
    <s v="NO2_A2"/>
    <x v="14"/>
    <n v="29.633696768848399"/>
    <n v="8.2315824357912195"/>
  </r>
  <r>
    <x v="0"/>
    <x v="38"/>
    <x v="7"/>
    <x v="12"/>
    <s v="NO2_A2"/>
    <x v="15"/>
    <n v="1.65807589063794"/>
    <n v="0.46057663628831802"/>
  </r>
  <r>
    <x v="0"/>
    <x v="38"/>
    <x v="7"/>
    <x v="12"/>
    <s v="NO2_A2"/>
    <x v="16"/>
    <n v="6.3819281410478998"/>
    <n v="1.77275781695775"/>
  </r>
  <r>
    <x v="0"/>
    <x v="38"/>
    <x v="7"/>
    <x v="12"/>
    <s v="NO2_A2"/>
    <x v="17"/>
    <n v="9.1244895875632395"/>
    <n v="2.5345804409897901"/>
  </r>
  <r>
    <x v="0"/>
    <x v="38"/>
    <x v="7"/>
    <x v="12"/>
    <s v="NO2_A2"/>
    <x v="18"/>
    <n v="29.633696768848399"/>
    <n v="8.2315824357912195"/>
  </r>
  <r>
    <x v="0"/>
    <x v="38"/>
    <x v="7"/>
    <x v="12"/>
    <s v="NO2_A2"/>
    <x v="19"/>
    <n v="8.1139884009941898"/>
    <n v="2.2538856669428302"/>
  </r>
  <r>
    <x v="0"/>
    <x v="38"/>
    <x v="7"/>
    <x v="12"/>
    <s v="NO2_A2"/>
    <x v="20"/>
    <n v="22.109183021311601"/>
    <n v="6.1414397281420996"/>
  </r>
  <r>
    <x v="0"/>
    <x v="38"/>
    <x v="7"/>
    <x v="12"/>
    <s v="NO2_A2"/>
    <x v="21"/>
    <n v="47.52"/>
    <n v="13.2"/>
  </r>
  <r>
    <x v="0"/>
    <x v="38"/>
    <x v="7"/>
    <x v="12"/>
    <s v="NO2_A2"/>
    <x v="22"/>
    <n v="61.56"/>
    <n v="17.100000000000001"/>
  </r>
  <r>
    <x v="0"/>
    <x v="38"/>
    <x v="7"/>
    <x v="12"/>
    <s v="NO2_A2"/>
    <x v="23"/>
    <n v="0.31515896120488701"/>
    <n v="8.7544155890246306E-2"/>
  </r>
  <r>
    <x v="0"/>
    <x v="38"/>
    <x v="7"/>
    <x v="12"/>
    <s v="NO2_A2"/>
    <x v="24"/>
    <n v="19.174223581093901"/>
    <n v="5.32617321697054"/>
  </r>
  <r>
    <x v="0"/>
    <x v="38"/>
    <x v="7"/>
    <x v="12"/>
    <s v="NO2_A2"/>
    <x v="25"/>
    <n v="26.209507293842599"/>
    <n v="7.2804186927340497"/>
  </r>
  <r>
    <x v="0"/>
    <x v="38"/>
    <x v="7"/>
    <x v="12"/>
    <s v="NO2_A2"/>
    <x v="26"/>
    <n v="33.320887798496699"/>
    <n v="9.2558021662490795"/>
  </r>
  <r>
    <x v="0"/>
    <x v="38"/>
    <x v="7"/>
    <x v="12"/>
    <s v="NO2_A2"/>
    <x v="27"/>
    <n v="20.163995508318798"/>
    <n v="5.6011098634218799"/>
  </r>
  <r>
    <x v="0"/>
    <x v="38"/>
    <x v="7"/>
    <x v="12"/>
    <s v="NO2_Offshore"/>
    <x v="1"/>
    <n v="35.989199999999997"/>
    <n v="9.9969999999999999"/>
  </r>
  <r>
    <x v="0"/>
    <x v="38"/>
    <x v="7"/>
    <x v="12"/>
    <s v="NO2_Offshore"/>
    <x v="2"/>
    <n v="43.2"/>
    <n v="12"/>
  </r>
  <r>
    <x v="0"/>
    <x v="38"/>
    <x v="7"/>
    <x v="12"/>
    <s v="NO2_Offshore"/>
    <x v="0"/>
    <n v="42.692399999999999"/>
    <n v="11.859"/>
  </r>
  <r>
    <x v="0"/>
    <x v="38"/>
    <x v="7"/>
    <x v="12"/>
    <s v="NO2_Offshore"/>
    <x v="3"/>
    <n v="51.633543144067197"/>
    <n v="14.342650873352"/>
  </r>
  <r>
    <x v="0"/>
    <x v="38"/>
    <x v="7"/>
    <x v="12"/>
    <s v="NO2_Offshore"/>
    <x v="4"/>
    <n v="6.3500778790389401"/>
    <n v="1.76391052195526"/>
  </r>
  <r>
    <x v="0"/>
    <x v="38"/>
    <x v="7"/>
    <x v="12"/>
    <s v="NO2_Offshore"/>
    <x v="5"/>
    <n v="6.3500778790389401"/>
    <n v="1.76391052195526"/>
  </r>
  <r>
    <x v="0"/>
    <x v="38"/>
    <x v="7"/>
    <x v="12"/>
    <s v="NO2_Offshore"/>
    <x v="6"/>
    <n v="29.476231795214598"/>
    <n v="8.1878421653373898"/>
  </r>
  <r>
    <x v="0"/>
    <x v="38"/>
    <x v="7"/>
    <x v="12"/>
    <s v="NO2_Offshore"/>
    <x v="7"/>
    <n v="57.838935220261199"/>
    <n v="16.066370894517"/>
  </r>
  <r>
    <x v="0"/>
    <x v="38"/>
    <x v="7"/>
    <x v="12"/>
    <s v="NO2_Offshore"/>
    <x v="8"/>
    <n v="57.838935220261199"/>
    <n v="16.066370894517"/>
  </r>
  <r>
    <x v="0"/>
    <x v="38"/>
    <x v="7"/>
    <x v="12"/>
    <s v="NO2_Offshore"/>
    <x v="9"/>
    <n v="44.4505451532725"/>
    <n v="12.3473736536868"/>
  </r>
  <r>
    <x v="0"/>
    <x v="38"/>
    <x v="7"/>
    <x v="12"/>
    <s v="NO2_Offshore"/>
    <x v="10"/>
    <n v="53.975661971830903"/>
    <n v="14.993239436619699"/>
  </r>
  <r>
    <x v="0"/>
    <x v="38"/>
    <x v="7"/>
    <x v="12"/>
    <s v="NO2_Offshore"/>
    <x v="11"/>
    <n v="3.8806031483015802"/>
    <n v="1.07794531897266"/>
  </r>
  <r>
    <x v="0"/>
    <x v="38"/>
    <x v="7"/>
    <x v="12"/>
    <s v="NO2_Offshore"/>
    <x v="12"/>
    <n v="9.7995028997514597E-2"/>
    <n v="2.72208413881985E-2"/>
  </r>
  <r>
    <x v="0"/>
    <x v="38"/>
    <x v="7"/>
    <x v="12"/>
    <s v="NO2_Offshore"/>
    <x v="13"/>
    <n v="29.633696768848399"/>
    <n v="8.2315824357912195"/>
  </r>
  <r>
    <x v="0"/>
    <x v="38"/>
    <x v="7"/>
    <x v="12"/>
    <s v="NO2_Offshore"/>
    <x v="14"/>
    <n v="29.633696768848399"/>
    <n v="8.2315824357912195"/>
  </r>
  <r>
    <x v="0"/>
    <x v="38"/>
    <x v="7"/>
    <x v="12"/>
    <s v="NO2_Offshore"/>
    <x v="15"/>
    <n v="1.65807589063794"/>
    <n v="0.46057663628831802"/>
  </r>
  <r>
    <x v="0"/>
    <x v="38"/>
    <x v="7"/>
    <x v="12"/>
    <s v="NO2_Offshore"/>
    <x v="16"/>
    <n v="6.3819281410478998"/>
    <n v="1.77275781695775"/>
  </r>
  <r>
    <x v="0"/>
    <x v="38"/>
    <x v="7"/>
    <x v="12"/>
    <s v="NO2_Offshore"/>
    <x v="17"/>
    <n v="9.1244895875632395"/>
    <n v="2.5345804409897901"/>
  </r>
  <r>
    <x v="0"/>
    <x v="38"/>
    <x v="7"/>
    <x v="12"/>
    <s v="NO2_Offshore"/>
    <x v="18"/>
    <n v="29.633696768848399"/>
    <n v="8.2315824357912195"/>
  </r>
  <r>
    <x v="0"/>
    <x v="38"/>
    <x v="7"/>
    <x v="12"/>
    <s v="NO2_Offshore"/>
    <x v="19"/>
    <n v="8.1139884009941898"/>
    <n v="2.2538856669428302"/>
  </r>
  <r>
    <x v="0"/>
    <x v="38"/>
    <x v="7"/>
    <x v="12"/>
    <s v="NO2_Offshore"/>
    <x v="20"/>
    <n v="22.109183021311601"/>
    <n v="6.1414397281420996"/>
  </r>
  <r>
    <x v="0"/>
    <x v="38"/>
    <x v="7"/>
    <x v="12"/>
    <s v="NO2_Offshore"/>
    <x v="21"/>
    <n v="47.52"/>
    <n v="13.2"/>
  </r>
  <r>
    <x v="0"/>
    <x v="38"/>
    <x v="7"/>
    <x v="12"/>
    <s v="NO2_Offshore"/>
    <x v="22"/>
    <n v="61.56"/>
    <n v="17.100000000000001"/>
  </r>
  <r>
    <x v="0"/>
    <x v="38"/>
    <x v="7"/>
    <x v="12"/>
    <s v="NO2_Offshore"/>
    <x v="23"/>
    <n v="0.31515896120488701"/>
    <n v="8.7544155890246306E-2"/>
  </r>
  <r>
    <x v="0"/>
    <x v="38"/>
    <x v="7"/>
    <x v="12"/>
    <s v="NO2_Offshore"/>
    <x v="24"/>
    <n v="19.174223581093901"/>
    <n v="5.32617321697054"/>
  </r>
  <r>
    <x v="0"/>
    <x v="38"/>
    <x v="7"/>
    <x v="12"/>
    <s v="NO2_Offshore"/>
    <x v="25"/>
    <n v="26.209507293842599"/>
    <n v="7.2804186927340497"/>
  </r>
  <r>
    <x v="0"/>
    <x v="38"/>
    <x v="7"/>
    <x v="12"/>
    <s v="NO2_Offshore"/>
    <x v="26"/>
    <n v="33.320887798496699"/>
    <n v="9.2558021662490795"/>
  </r>
  <r>
    <x v="0"/>
    <x v="38"/>
    <x v="7"/>
    <x v="12"/>
    <s v="NO2_Offshore"/>
    <x v="27"/>
    <n v="20.163995508318798"/>
    <n v="5.6011098634218799"/>
  </r>
  <r>
    <x v="0"/>
    <x v="38"/>
    <x v="7"/>
    <x v="13"/>
    <s v="NO3_A1"/>
    <x v="1"/>
    <n v="35.989199999999997"/>
    <n v="9.9969999999999999"/>
  </r>
  <r>
    <x v="0"/>
    <x v="38"/>
    <x v="7"/>
    <x v="13"/>
    <s v="NO3_A1"/>
    <x v="2"/>
    <n v="43.2"/>
    <n v="12"/>
  </r>
  <r>
    <x v="0"/>
    <x v="38"/>
    <x v="7"/>
    <x v="13"/>
    <s v="NO3_A1"/>
    <x v="0"/>
    <n v="42.692399999999999"/>
    <n v="11.859"/>
  </r>
  <r>
    <x v="0"/>
    <x v="38"/>
    <x v="7"/>
    <x v="13"/>
    <s v="NO3_A1"/>
    <x v="3"/>
    <n v="51.633543144067197"/>
    <n v="14.342650873352"/>
  </r>
  <r>
    <x v="0"/>
    <x v="38"/>
    <x v="7"/>
    <x v="13"/>
    <s v="NO3_A1"/>
    <x v="4"/>
    <n v="6.3500778790389401"/>
    <n v="1.76391052195526"/>
  </r>
  <r>
    <x v="0"/>
    <x v="38"/>
    <x v="7"/>
    <x v="13"/>
    <s v="NO3_A1"/>
    <x v="5"/>
    <n v="6.3500778790389401"/>
    <n v="1.76391052195526"/>
  </r>
  <r>
    <x v="0"/>
    <x v="38"/>
    <x v="7"/>
    <x v="13"/>
    <s v="NO3_A1"/>
    <x v="6"/>
    <n v="29.476231795214598"/>
    <n v="8.1878421653373898"/>
  </r>
  <r>
    <x v="0"/>
    <x v="38"/>
    <x v="7"/>
    <x v="13"/>
    <s v="NO3_A1"/>
    <x v="7"/>
    <n v="57.838935220261199"/>
    <n v="16.066370894517"/>
  </r>
  <r>
    <x v="0"/>
    <x v="38"/>
    <x v="7"/>
    <x v="13"/>
    <s v="NO3_A1"/>
    <x v="8"/>
    <n v="57.838935220261199"/>
    <n v="16.066370894517"/>
  </r>
  <r>
    <x v="0"/>
    <x v="38"/>
    <x v="7"/>
    <x v="13"/>
    <s v="NO3_A1"/>
    <x v="9"/>
    <n v="44.4505451532725"/>
    <n v="12.3473736536868"/>
  </r>
  <r>
    <x v="0"/>
    <x v="38"/>
    <x v="7"/>
    <x v="13"/>
    <s v="NO3_A1"/>
    <x v="10"/>
    <n v="53.975661971830903"/>
    <n v="14.993239436619699"/>
  </r>
  <r>
    <x v="0"/>
    <x v="38"/>
    <x v="7"/>
    <x v="13"/>
    <s v="NO3_A1"/>
    <x v="11"/>
    <n v="3.8806031483015802"/>
    <n v="1.07794531897266"/>
  </r>
  <r>
    <x v="0"/>
    <x v="38"/>
    <x v="7"/>
    <x v="13"/>
    <s v="NO3_A1"/>
    <x v="12"/>
    <n v="9.7995028997514597E-2"/>
    <n v="2.72208413881985E-2"/>
  </r>
  <r>
    <x v="0"/>
    <x v="38"/>
    <x v="7"/>
    <x v="13"/>
    <s v="NO3_A1"/>
    <x v="13"/>
    <n v="29.633696768848399"/>
    <n v="8.2315824357912195"/>
  </r>
  <r>
    <x v="0"/>
    <x v="38"/>
    <x v="7"/>
    <x v="13"/>
    <s v="NO3_A1"/>
    <x v="14"/>
    <n v="29.633696768848399"/>
    <n v="8.2315824357912195"/>
  </r>
  <r>
    <x v="0"/>
    <x v="38"/>
    <x v="7"/>
    <x v="13"/>
    <s v="NO3_A1"/>
    <x v="15"/>
    <n v="1.65807589063794"/>
    <n v="0.46057663628831802"/>
  </r>
  <r>
    <x v="0"/>
    <x v="38"/>
    <x v="7"/>
    <x v="13"/>
    <s v="NO3_A1"/>
    <x v="16"/>
    <n v="6.3819281410478998"/>
    <n v="1.77275781695775"/>
  </r>
  <r>
    <x v="0"/>
    <x v="38"/>
    <x v="7"/>
    <x v="13"/>
    <s v="NO3_A1"/>
    <x v="17"/>
    <n v="9.1244895875632395"/>
    <n v="2.5345804409897901"/>
  </r>
  <r>
    <x v="0"/>
    <x v="38"/>
    <x v="7"/>
    <x v="13"/>
    <s v="NO3_A1"/>
    <x v="18"/>
    <n v="29.633696768848399"/>
    <n v="8.2315824357912195"/>
  </r>
  <r>
    <x v="0"/>
    <x v="38"/>
    <x v="7"/>
    <x v="13"/>
    <s v="NO3_A1"/>
    <x v="19"/>
    <n v="8.1139884009941898"/>
    <n v="2.2538856669428302"/>
  </r>
  <r>
    <x v="0"/>
    <x v="38"/>
    <x v="7"/>
    <x v="13"/>
    <s v="NO3_A1"/>
    <x v="20"/>
    <n v="22.109183021311601"/>
    <n v="6.1414397281420996"/>
  </r>
  <r>
    <x v="0"/>
    <x v="38"/>
    <x v="7"/>
    <x v="13"/>
    <s v="NO3_A1"/>
    <x v="21"/>
    <n v="47.52"/>
    <n v="13.2"/>
  </r>
  <r>
    <x v="0"/>
    <x v="38"/>
    <x v="7"/>
    <x v="13"/>
    <s v="NO3_A1"/>
    <x v="22"/>
    <n v="61.56"/>
    <n v="17.100000000000001"/>
  </r>
  <r>
    <x v="0"/>
    <x v="38"/>
    <x v="7"/>
    <x v="13"/>
    <s v="NO3_A1"/>
    <x v="23"/>
    <n v="0.31515896120488701"/>
    <n v="8.7544155890246306E-2"/>
  </r>
  <r>
    <x v="0"/>
    <x v="38"/>
    <x v="7"/>
    <x v="13"/>
    <s v="NO3_A1"/>
    <x v="24"/>
    <n v="19.174223581093901"/>
    <n v="5.32617321697054"/>
  </r>
  <r>
    <x v="0"/>
    <x v="38"/>
    <x v="7"/>
    <x v="13"/>
    <s v="NO3_A1"/>
    <x v="25"/>
    <n v="26.209507293842599"/>
    <n v="7.2804186927340497"/>
  </r>
  <r>
    <x v="0"/>
    <x v="38"/>
    <x v="7"/>
    <x v="13"/>
    <s v="NO3_A1"/>
    <x v="26"/>
    <n v="33.320887798496699"/>
    <n v="9.2558021662490795"/>
  </r>
  <r>
    <x v="0"/>
    <x v="38"/>
    <x v="7"/>
    <x v="13"/>
    <s v="NO3_A1"/>
    <x v="27"/>
    <n v="20.163995508318798"/>
    <n v="5.6011098634218799"/>
  </r>
  <r>
    <x v="0"/>
    <x v="38"/>
    <x v="7"/>
    <x v="13"/>
    <s v="NO3_A2"/>
    <x v="1"/>
    <n v="35.989199999999997"/>
    <n v="9.9969999999999999"/>
  </r>
  <r>
    <x v="0"/>
    <x v="38"/>
    <x v="7"/>
    <x v="13"/>
    <s v="NO3_A2"/>
    <x v="2"/>
    <n v="43.2"/>
    <n v="12"/>
  </r>
  <r>
    <x v="0"/>
    <x v="38"/>
    <x v="7"/>
    <x v="13"/>
    <s v="NO3_A2"/>
    <x v="0"/>
    <n v="42.692399999999999"/>
    <n v="11.859"/>
  </r>
  <r>
    <x v="0"/>
    <x v="38"/>
    <x v="7"/>
    <x v="13"/>
    <s v="NO3_A2"/>
    <x v="3"/>
    <n v="51.633543144067197"/>
    <n v="14.342650873352"/>
  </r>
  <r>
    <x v="0"/>
    <x v="38"/>
    <x v="7"/>
    <x v="13"/>
    <s v="NO3_A2"/>
    <x v="4"/>
    <n v="6.3500778790389401"/>
    <n v="1.76391052195526"/>
  </r>
  <r>
    <x v="0"/>
    <x v="38"/>
    <x v="7"/>
    <x v="13"/>
    <s v="NO3_A2"/>
    <x v="5"/>
    <n v="6.3500778790389401"/>
    <n v="1.76391052195526"/>
  </r>
  <r>
    <x v="0"/>
    <x v="38"/>
    <x v="7"/>
    <x v="13"/>
    <s v="NO3_A2"/>
    <x v="6"/>
    <n v="29.476231795214598"/>
    <n v="8.1878421653373898"/>
  </r>
  <r>
    <x v="0"/>
    <x v="38"/>
    <x v="7"/>
    <x v="13"/>
    <s v="NO3_A2"/>
    <x v="7"/>
    <n v="57.838935220261199"/>
    <n v="16.066370894517"/>
  </r>
  <r>
    <x v="0"/>
    <x v="38"/>
    <x v="7"/>
    <x v="13"/>
    <s v="NO3_A2"/>
    <x v="8"/>
    <n v="57.838935220261199"/>
    <n v="16.066370894517"/>
  </r>
  <r>
    <x v="0"/>
    <x v="38"/>
    <x v="7"/>
    <x v="13"/>
    <s v="NO3_A2"/>
    <x v="9"/>
    <n v="44.4505451532725"/>
    <n v="12.3473736536868"/>
  </r>
  <r>
    <x v="0"/>
    <x v="38"/>
    <x v="7"/>
    <x v="13"/>
    <s v="NO3_A2"/>
    <x v="10"/>
    <n v="53.975661971830903"/>
    <n v="14.993239436619699"/>
  </r>
  <r>
    <x v="0"/>
    <x v="38"/>
    <x v="7"/>
    <x v="13"/>
    <s v="NO3_A2"/>
    <x v="11"/>
    <n v="3.8806031483015802"/>
    <n v="1.07794531897266"/>
  </r>
  <r>
    <x v="0"/>
    <x v="38"/>
    <x v="7"/>
    <x v="13"/>
    <s v="NO3_A2"/>
    <x v="12"/>
    <n v="9.7995028997514597E-2"/>
    <n v="2.72208413881985E-2"/>
  </r>
  <r>
    <x v="0"/>
    <x v="38"/>
    <x v="7"/>
    <x v="13"/>
    <s v="NO3_A2"/>
    <x v="13"/>
    <n v="29.633696768848399"/>
    <n v="8.2315824357912195"/>
  </r>
  <r>
    <x v="0"/>
    <x v="38"/>
    <x v="7"/>
    <x v="13"/>
    <s v="NO3_A2"/>
    <x v="14"/>
    <n v="29.633696768848399"/>
    <n v="8.2315824357912195"/>
  </r>
  <r>
    <x v="0"/>
    <x v="38"/>
    <x v="7"/>
    <x v="13"/>
    <s v="NO3_A2"/>
    <x v="15"/>
    <n v="1.65807589063794"/>
    <n v="0.46057663628831802"/>
  </r>
  <r>
    <x v="0"/>
    <x v="38"/>
    <x v="7"/>
    <x v="13"/>
    <s v="NO3_A2"/>
    <x v="16"/>
    <n v="6.3819281410478998"/>
    <n v="1.77275781695775"/>
  </r>
  <r>
    <x v="0"/>
    <x v="38"/>
    <x v="7"/>
    <x v="13"/>
    <s v="NO3_A2"/>
    <x v="17"/>
    <n v="9.1244895875632395"/>
    <n v="2.5345804409897901"/>
  </r>
  <r>
    <x v="0"/>
    <x v="38"/>
    <x v="7"/>
    <x v="13"/>
    <s v="NO3_A2"/>
    <x v="18"/>
    <n v="29.633696768848399"/>
    <n v="8.2315824357912195"/>
  </r>
  <r>
    <x v="0"/>
    <x v="38"/>
    <x v="7"/>
    <x v="13"/>
    <s v="NO3_A2"/>
    <x v="19"/>
    <n v="8.1139884009941898"/>
    <n v="2.2538856669428302"/>
  </r>
  <r>
    <x v="0"/>
    <x v="38"/>
    <x v="7"/>
    <x v="13"/>
    <s v="NO3_A2"/>
    <x v="20"/>
    <n v="22.109183021311601"/>
    <n v="6.1414397281420996"/>
  </r>
  <r>
    <x v="0"/>
    <x v="38"/>
    <x v="7"/>
    <x v="13"/>
    <s v="NO3_A2"/>
    <x v="21"/>
    <n v="47.52"/>
    <n v="13.2"/>
  </r>
  <r>
    <x v="0"/>
    <x v="38"/>
    <x v="7"/>
    <x v="13"/>
    <s v="NO3_A2"/>
    <x v="22"/>
    <n v="61.56"/>
    <n v="17.100000000000001"/>
  </r>
  <r>
    <x v="0"/>
    <x v="38"/>
    <x v="7"/>
    <x v="13"/>
    <s v="NO3_A2"/>
    <x v="23"/>
    <n v="0.31515896120488701"/>
    <n v="8.7544155890246306E-2"/>
  </r>
  <r>
    <x v="0"/>
    <x v="38"/>
    <x v="7"/>
    <x v="13"/>
    <s v="NO3_A2"/>
    <x v="24"/>
    <n v="19.174223581093901"/>
    <n v="5.32617321697054"/>
  </r>
  <r>
    <x v="0"/>
    <x v="38"/>
    <x v="7"/>
    <x v="13"/>
    <s v="NO3_A2"/>
    <x v="25"/>
    <n v="26.209507293842599"/>
    <n v="7.2804186927340497"/>
  </r>
  <r>
    <x v="0"/>
    <x v="38"/>
    <x v="7"/>
    <x v="13"/>
    <s v="NO3_A2"/>
    <x v="26"/>
    <n v="33.320887798496699"/>
    <n v="9.2558021662490795"/>
  </r>
  <r>
    <x v="0"/>
    <x v="38"/>
    <x v="7"/>
    <x v="13"/>
    <s v="NO3_A2"/>
    <x v="27"/>
    <n v="20.163995508318798"/>
    <n v="5.6011098634218799"/>
  </r>
  <r>
    <x v="0"/>
    <x v="38"/>
    <x v="7"/>
    <x v="13"/>
    <s v="NO3_A3"/>
    <x v="1"/>
    <n v="35.989199999999997"/>
    <n v="9.9969999999999999"/>
  </r>
  <r>
    <x v="0"/>
    <x v="38"/>
    <x v="7"/>
    <x v="13"/>
    <s v="NO3_A3"/>
    <x v="2"/>
    <n v="43.2"/>
    <n v="12"/>
  </r>
  <r>
    <x v="0"/>
    <x v="38"/>
    <x v="7"/>
    <x v="13"/>
    <s v="NO3_A3"/>
    <x v="0"/>
    <n v="42.692399999999999"/>
    <n v="11.859"/>
  </r>
  <r>
    <x v="0"/>
    <x v="38"/>
    <x v="7"/>
    <x v="13"/>
    <s v="NO3_A3"/>
    <x v="3"/>
    <n v="51.633543144067197"/>
    <n v="14.342650873352"/>
  </r>
  <r>
    <x v="0"/>
    <x v="38"/>
    <x v="7"/>
    <x v="13"/>
    <s v="NO3_A3"/>
    <x v="4"/>
    <n v="6.3500778790389401"/>
    <n v="1.76391052195526"/>
  </r>
  <r>
    <x v="0"/>
    <x v="38"/>
    <x v="7"/>
    <x v="13"/>
    <s v="NO3_A3"/>
    <x v="5"/>
    <n v="6.3500778790389401"/>
    <n v="1.76391052195526"/>
  </r>
  <r>
    <x v="0"/>
    <x v="38"/>
    <x v="7"/>
    <x v="13"/>
    <s v="NO3_A3"/>
    <x v="6"/>
    <n v="29.476231795214598"/>
    <n v="8.1878421653373898"/>
  </r>
  <r>
    <x v="0"/>
    <x v="38"/>
    <x v="7"/>
    <x v="13"/>
    <s v="NO3_A3"/>
    <x v="7"/>
    <n v="57.838935220261199"/>
    <n v="16.066370894517"/>
  </r>
  <r>
    <x v="0"/>
    <x v="38"/>
    <x v="7"/>
    <x v="13"/>
    <s v="NO3_A3"/>
    <x v="8"/>
    <n v="57.838935220261199"/>
    <n v="16.066370894517"/>
  </r>
  <r>
    <x v="0"/>
    <x v="38"/>
    <x v="7"/>
    <x v="13"/>
    <s v="NO3_A3"/>
    <x v="9"/>
    <n v="44.4505451532725"/>
    <n v="12.3473736536868"/>
  </r>
  <r>
    <x v="0"/>
    <x v="38"/>
    <x v="7"/>
    <x v="13"/>
    <s v="NO3_A3"/>
    <x v="10"/>
    <n v="53.975661971830903"/>
    <n v="14.993239436619699"/>
  </r>
  <r>
    <x v="0"/>
    <x v="38"/>
    <x v="7"/>
    <x v="13"/>
    <s v="NO3_A3"/>
    <x v="11"/>
    <n v="3.8806031483015802"/>
    <n v="1.07794531897266"/>
  </r>
  <r>
    <x v="0"/>
    <x v="38"/>
    <x v="7"/>
    <x v="13"/>
    <s v="NO3_A3"/>
    <x v="12"/>
    <n v="9.7995028997514597E-2"/>
    <n v="2.72208413881985E-2"/>
  </r>
  <r>
    <x v="0"/>
    <x v="38"/>
    <x v="7"/>
    <x v="13"/>
    <s v="NO3_A3"/>
    <x v="13"/>
    <n v="29.633696768848399"/>
    <n v="8.2315824357912195"/>
  </r>
  <r>
    <x v="0"/>
    <x v="38"/>
    <x v="7"/>
    <x v="13"/>
    <s v="NO3_A3"/>
    <x v="14"/>
    <n v="29.633696768848399"/>
    <n v="8.2315824357912195"/>
  </r>
  <r>
    <x v="0"/>
    <x v="38"/>
    <x v="7"/>
    <x v="13"/>
    <s v="NO3_A3"/>
    <x v="15"/>
    <n v="1.65807589063794"/>
    <n v="0.46057663628831802"/>
  </r>
  <r>
    <x v="0"/>
    <x v="38"/>
    <x v="7"/>
    <x v="13"/>
    <s v="NO3_A3"/>
    <x v="16"/>
    <n v="6.3819281410478998"/>
    <n v="1.77275781695775"/>
  </r>
  <r>
    <x v="0"/>
    <x v="38"/>
    <x v="7"/>
    <x v="13"/>
    <s v="NO3_A3"/>
    <x v="17"/>
    <n v="9.1244895875632395"/>
    <n v="2.5345804409897901"/>
  </r>
  <r>
    <x v="0"/>
    <x v="38"/>
    <x v="7"/>
    <x v="13"/>
    <s v="NO3_A3"/>
    <x v="18"/>
    <n v="29.633696768848399"/>
    <n v="8.2315824357912195"/>
  </r>
  <r>
    <x v="0"/>
    <x v="38"/>
    <x v="7"/>
    <x v="13"/>
    <s v="NO3_A3"/>
    <x v="19"/>
    <n v="8.1139884009941898"/>
    <n v="2.2538856669428302"/>
  </r>
  <r>
    <x v="0"/>
    <x v="38"/>
    <x v="7"/>
    <x v="13"/>
    <s v="NO3_A3"/>
    <x v="20"/>
    <n v="22.109183021311601"/>
    <n v="6.1414397281420996"/>
  </r>
  <r>
    <x v="0"/>
    <x v="38"/>
    <x v="7"/>
    <x v="13"/>
    <s v="NO3_A3"/>
    <x v="21"/>
    <n v="47.52"/>
    <n v="13.2"/>
  </r>
  <r>
    <x v="0"/>
    <x v="38"/>
    <x v="7"/>
    <x v="13"/>
    <s v="NO3_A3"/>
    <x v="22"/>
    <n v="61.56"/>
    <n v="17.100000000000001"/>
  </r>
  <r>
    <x v="0"/>
    <x v="38"/>
    <x v="7"/>
    <x v="13"/>
    <s v="NO3_A3"/>
    <x v="23"/>
    <n v="0.31515896120488701"/>
    <n v="8.7544155890246306E-2"/>
  </r>
  <r>
    <x v="0"/>
    <x v="38"/>
    <x v="7"/>
    <x v="13"/>
    <s v="NO3_A3"/>
    <x v="24"/>
    <n v="19.174223581093901"/>
    <n v="5.32617321697054"/>
  </r>
  <r>
    <x v="0"/>
    <x v="38"/>
    <x v="7"/>
    <x v="13"/>
    <s v="NO3_A3"/>
    <x v="25"/>
    <n v="26.209507293842599"/>
    <n v="7.2804186927340497"/>
  </r>
  <r>
    <x v="0"/>
    <x v="38"/>
    <x v="7"/>
    <x v="13"/>
    <s v="NO3_A3"/>
    <x v="26"/>
    <n v="33.320887798496699"/>
    <n v="9.2558021662490795"/>
  </r>
  <r>
    <x v="0"/>
    <x v="38"/>
    <x v="7"/>
    <x v="13"/>
    <s v="NO3_A3"/>
    <x v="27"/>
    <n v="20.163995508318798"/>
    <n v="5.6011098634218799"/>
  </r>
  <r>
    <x v="0"/>
    <x v="38"/>
    <x v="7"/>
    <x v="13"/>
    <s v="NO3_Offshore"/>
    <x v="1"/>
    <n v="35.989199999999997"/>
    <n v="9.9969999999999999"/>
  </r>
  <r>
    <x v="0"/>
    <x v="38"/>
    <x v="7"/>
    <x v="13"/>
    <s v="NO3_Offshore"/>
    <x v="2"/>
    <n v="43.2"/>
    <n v="12"/>
  </r>
  <r>
    <x v="0"/>
    <x v="38"/>
    <x v="7"/>
    <x v="13"/>
    <s v="NO3_Offshore"/>
    <x v="0"/>
    <n v="42.692399999999999"/>
    <n v="11.859"/>
  </r>
  <r>
    <x v="0"/>
    <x v="38"/>
    <x v="7"/>
    <x v="13"/>
    <s v="NO3_Offshore"/>
    <x v="3"/>
    <n v="51.633543144067197"/>
    <n v="14.342650873352"/>
  </r>
  <r>
    <x v="0"/>
    <x v="38"/>
    <x v="7"/>
    <x v="13"/>
    <s v="NO3_Offshore"/>
    <x v="4"/>
    <n v="6.3500778790389401"/>
    <n v="1.76391052195526"/>
  </r>
  <r>
    <x v="0"/>
    <x v="38"/>
    <x v="7"/>
    <x v="13"/>
    <s v="NO3_Offshore"/>
    <x v="5"/>
    <n v="6.3500778790389401"/>
    <n v="1.76391052195526"/>
  </r>
  <r>
    <x v="0"/>
    <x v="38"/>
    <x v="7"/>
    <x v="13"/>
    <s v="NO3_Offshore"/>
    <x v="6"/>
    <n v="29.476231795214598"/>
    <n v="8.1878421653373898"/>
  </r>
  <r>
    <x v="0"/>
    <x v="38"/>
    <x v="7"/>
    <x v="13"/>
    <s v="NO3_Offshore"/>
    <x v="7"/>
    <n v="57.838935220261199"/>
    <n v="16.066370894517"/>
  </r>
  <r>
    <x v="0"/>
    <x v="38"/>
    <x v="7"/>
    <x v="13"/>
    <s v="NO3_Offshore"/>
    <x v="8"/>
    <n v="57.838935220261199"/>
    <n v="16.066370894517"/>
  </r>
  <r>
    <x v="0"/>
    <x v="38"/>
    <x v="7"/>
    <x v="13"/>
    <s v="NO3_Offshore"/>
    <x v="9"/>
    <n v="44.4505451532725"/>
    <n v="12.3473736536868"/>
  </r>
  <r>
    <x v="0"/>
    <x v="38"/>
    <x v="7"/>
    <x v="13"/>
    <s v="NO3_Offshore"/>
    <x v="10"/>
    <n v="53.975661971830903"/>
    <n v="14.993239436619699"/>
  </r>
  <r>
    <x v="0"/>
    <x v="38"/>
    <x v="7"/>
    <x v="13"/>
    <s v="NO3_Offshore"/>
    <x v="11"/>
    <n v="3.8806031483015802"/>
    <n v="1.07794531897266"/>
  </r>
  <r>
    <x v="0"/>
    <x v="38"/>
    <x v="7"/>
    <x v="13"/>
    <s v="NO3_Offshore"/>
    <x v="12"/>
    <n v="9.7995028997514597E-2"/>
    <n v="2.72208413881985E-2"/>
  </r>
  <r>
    <x v="0"/>
    <x v="38"/>
    <x v="7"/>
    <x v="13"/>
    <s v="NO3_Offshore"/>
    <x v="13"/>
    <n v="29.633696768848399"/>
    <n v="8.2315824357912195"/>
  </r>
  <r>
    <x v="0"/>
    <x v="38"/>
    <x v="7"/>
    <x v="13"/>
    <s v="NO3_Offshore"/>
    <x v="14"/>
    <n v="29.633696768848399"/>
    <n v="8.2315824357912195"/>
  </r>
  <r>
    <x v="0"/>
    <x v="38"/>
    <x v="7"/>
    <x v="13"/>
    <s v="NO3_Offshore"/>
    <x v="15"/>
    <n v="1.65807589063794"/>
    <n v="0.46057663628831802"/>
  </r>
  <r>
    <x v="0"/>
    <x v="38"/>
    <x v="7"/>
    <x v="13"/>
    <s v="NO3_Offshore"/>
    <x v="16"/>
    <n v="6.3819281410478998"/>
    <n v="1.77275781695775"/>
  </r>
  <r>
    <x v="0"/>
    <x v="38"/>
    <x v="7"/>
    <x v="13"/>
    <s v="NO3_Offshore"/>
    <x v="17"/>
    <n v="9.1244895875632395"/>
    <n v="2.5345804409897901"/>
  </r>
  <r>
    <x v="0"/>
    <x v="38"/>
    <x v="7"/>
    <x v="13"/>
    <s v="NO3_Offshore"/>
    <x v="18"/>
    <n v="29.633696768848399"/>
    <n v="8.2315824357912195"/>
  </r>
  <r>
    <x v="0"/>
    <x v="38"/>
    <x v="7"/>
    <x v="13"/>
    <s v="NO3_Offshore"/>
    <x v="19"/>
    <n v="8.1139884009941898"/>
    <n v="2.2538856669428302"/>
  </r>
  <r>
    <x v="0"/>
    <x v="38"/>
    <x v="7"/>
    <x v="13"/>
    <s v="NO3_Offshore"/>
    <x v="20"/>
    <n v="22.109183021311601"/>
    <n v="6.1414397281420996"/>
  </r>
  <r>
    <x v="0"/>
    <x v="38"/>
    <x v="7"/>
    <x v="13"/>
    <s v="NO3_Offshore"/>
    <x v="21"/>
    <n v="47.52"/>
    <n v="13.2"/>
  </r>
  <r>
    <x v="0"/>
    <x v="38"/>
    <x v="7"/>
    <x v="13"/>
    <s v="NO3_Offshore"/>
    <x v="22"/>
    <n v="61.56"/>
    <n v="17.100000000000001"/>
  </r>
  <r>
    <x v="0"/>
    <x v="38"/>
    <x v="7"/>
    <x v="13"/>
    <s v="NO3_Offshore"/>
    <x v="23"/>
    <n v="0.31515896120488701"/>
    <n v="8.7544155890246306E-2"/>
  </r>
  <r>
    <x v="0"/>
    <x v="38"/>
    <x v="7"/>
    <x v="13"/>
    <s v="NO3_Offshore"/>
    <x v="24"/>
    <n v="19.174223581093901"/>
    <n v="5.32617321697054"/>
  </r>
  <r>
    <x v="0"/>
    <x v="38"/>
    <x v="7"/>
    <x v="13"/>
    <s v="NO3_Offshore"/>
    <x v="25"/>
    <n v="26.209507293842599"/>
    <n v="7.2804186927340497"/>
  </r>
  <r>
    <x v="0"/>
    <x v="38"/>
    <x v="7"/>
    <x v="13"/>
    <s v="NO3_Offshore"/>
    <x v="26"/>
    <n v="33.320887798496699"/>
    <n v="9.2558021662490795"/>
  </r>
  <r>
    <x v="0"/>
    <x v="38"/>
    <x v="7"/>
    <x v="13"/>
    <s v="NO3_Offshore"/>
    <x v="27"/>
    <n v="20.163995508318798"/>
    <n v="5.6011098634218799"/>
  </r>
  <r>
    <x v="0"/>
    <x v="38"/>
    <x v="7"/>
    <x v="14"/>
    <s v="NO4_A1"/>
    <x v="1"/>
    <n v="35.989199999999997"/>
    <n v="9.9969999999999999"/>
  </r>
  <r>
    <x v="0"/>
    <x v="38"/>
    <x v="7"/>
    <x v="14"/>
    <s v="NO4_A1"/>
    <x v="2"/>
    <n v="43.2"/>
    <n v="12"/>
  </r>
  <r>
    <x v="0"/>
    <x v="38"/>
    <x v="7"/>
    <x v="14"/>
    <s v="NO4_A1"/>
    <x v="0"/>
    <n v="42.692399999999999"/>
    <n v="11.859"/>
  </r>
  <r>
    <x v="0"/>
    <x v="38"/>
    <x v="7"/>
    <x v="14"/>
    <s v="NO4_A1"/>
    <x v="3"/>
    <n v="51.633543144067197"/>
    <n v="14.342650873352"/>
  </r>
  <r>
    <x v="0"/>
    <x v="38"/>
    <x v="7"/>
    <x v="14"/>
    <s v="NO4_A1"/>
    <x v="4"/>
    <n v="6.3500778790389401"/>
    <n v="1.76391052195526"/>
  </r>
  <r>
    <x v="0"/>
    <x v="38"/>
    <x v="7"/>
    <x v="14"/>
    <s v="NO4_A1"/>
    <x v="5"/>
    <n v="6.3500778790389401"/>
    <n v="1.76391052195526"/>
  </r>
  <r>
    <x v="0"/>
    <x v="38"/>
    <x v="7"/>
    <x v="14"/>
    <s v="NO4_A1"/>
    <x v="6"/>
    <n v="29.476231795214598"/>
    <n v="8.1878421653373898"/>
  </r>
  <r>
    <x v="0"/>
    <x v="38"/>
    <x v="7"/>
    <x v="14"/>
    <s v="NO4_A1"/>
    <x v="7"/>
    <n v="57.838935220261199"/>
    <n v="16.066370894517"/>
  </r>
  <r>
    <x v="0"/>
    <x v="38"/>
    <x v="7"/>
    <x v="14"/>
    <s v="NO4_A1"/>
    <x v="8"/>
    <n v="57.838935220261199"/>
    <n v="16.066370894517"/>
  </r>
  <r>
    <x v="0"/>
    <x v="38"/>
    <x v="7"/>
    <x v="14"/>
    <s v="NO4_A1"/>
    <x v="9"/>
    <n v="44.4505451532725"/>
    <n v="12.3473736536868"/>
  </r>
  <r>
    <x v="0"/>
    <x v="38"/>
    <x v="7"/>
    <x v="14"/>
    <s v="NO4_A1"/>
    <x v="10"/>
    <n v="53.975661971830903"/>
    <n v="14.993239436619699"/>
  </r>
  <r>
    <x v="0"/>
    <x v="38"/>
    <x v="7"/>
    <x v="14"/>
    <s v="NO4_A1"/>
    <x v="11"/>
    <n v="3.8806031483015802"/>
    <n v="1.07794531897266"/>
  </r>
  <r>
    <x v="0"/>
    <x v="38"/>
    <x v="7"/>
    <x v="14"/>
    <s v="NO4_A1"/>
    <x v="12"/>
    <n v="9.7995028997514597E-2"/>
    <n v="2.72208413881985E-2"/>
  </r>
  <r>
    <x v="0"/>
    <x v="38"/>
    <x v="7"/>
    <x v="14"/>
    <s v="NO4_A1"/>
    <x v="13"/>
    <n v="29.633696768848399"/>
    <n v="8.2315824357912195"/>
  </r>
  <r>
    <x v="0"/>
    <x v="38"/>
    <x v="7"/>
    <x v="14"/>
    <s v="NO4_A1"/>
    <x v="14"/>
    <n v="29.633696768848399"/>
    <n v="8.2315824357912195"/>
  </r>
  <r>
    <x v="0"/>
    <x v="38"/>
    <x v="7"/>
    <x v="14"/>
    <s v="NO4_A1"/>
    <x v="15"/>
    <n v="1.65807589063794"/>
    <n v="0.46057663628831802"/>
  </r>
  <r>
    <x v="0"/>
    <x v="38"/>
    <x v="7"/>
    <x v="14"/>
    <s v="NO4_A1"/>
    <x v="16"/>
    <n v="6.3819281410478998"/>
    <n v="1.77275781695775"/>
  </r>
  <r>
    <x v="0"/>
    <x v="38"/>
    <x v="7"/>
    <x v="14"/>
    <s v="NO4_A1"/>
    <x v="17"/>
    <n v="9.1244895875632395"/>
    <n v="2.5345804409897901"/>
  </r>
  <r>
    <x v="0"/>
    <x v="38"/>
    <x v="7"/>
    <x v="14"/>
    <s v="NO4_A1"/>
    <x v="18"/>
    <n v="29.633696768848399"/>
    <n v="8.2315824357912195"/>
  </r>
  <r>
    <x v="0"/>
    <x v="38"/>
    <x v="7"/>
    <x v="14"/>
    <s v="NO4_A1"/>
    <x v="19"/>
    <n v="8.1139884009941898"/>
    <n v="2.2538856669428302"/>
  </r>
  <r>
    <x v="0"/>
    <x v="38"/>
    <x v="7"/>
    <x v="14"/>
    <s v="NO4_A1"/>
    <x v="20"/>
    <n v="22.109183021311601"/>
    <n v="6.1414397281420996"/>
  </r>
  <r>
    <x v="0"/>
    <x v="38"/>
    <x v="7"/>
    <x v="14"/>
    <s v="NO4_A1"/>
    <x v="21"/>
    <n v="47.52"/>
    <n v="13.2"/>
  </r>
  <r>
    <x v="0"/>
    <x v="38"/>
    <x v="7"/>
    <x v="14"/>
    <s v="NO4_A1"/>
    <x v="22"/>
    <n v="61.56"/>
    <n v="17.100000000000001"/>
  </r>
  <r>
    <x v="0"/>
    <x v="38"/>
    <x v="7"/>
    <x v="14"/>
    <s v="NO4_A1"/>
    <x v="23"/>
    <n v="0.31515896120488701"/>
    <n v="8.7544155890246306E-2"/>
  </r>
  <r>
    <x v="0"/>
    <x v="38"/>
    <x v="7"/>
    <x v="14"/>
    <s v="NO4_A1"/>
    <x v="24"/>
    <n v="19.174223581093901"/>
    <n v="5.32617321697054"/>
  </r>
  <r>
    <x v="0"/>
    <x v="38"/>
    <x v="7"/>
    <x v="14"/>
    <s v="NO4_A1"/>
    <x v="25"/>
    <n v="26.209507293842599"/>
    <n v="7.2804186927340497"/>
  </r>
  <r>
    <x v="0"/>
    <x v="38"/>
    <x v="7"/>
    <x v="14"/>
    <s v="NO4_A1"/>
    <x v="26"/>
    <n v="33.320887798496699"/>
    <n v="9.2558021662490795"/>
  </r>
  <r>
    <x v="0"/>
    <x v="38"/>
    <x v="7"/>
    <x v="14"/>
    <s v="NO4_A1"/>
    <x v="27"/>
    <n v="20.163995508318798"/>
    <n v="5.6011098634218799"/>
  </r>
  <r>
    <x v="0"/>
    <x v="38"/>
    <x v="7"/>
    <x v="14"/>
    <s v="NO4_A2"/>
    <x v="1"/>
    <n v="35.989199999999997"/>
    <n v="9.9969999999999999"/>
  </r>
  <r>
    <x v="0"/>
    <x v="38"/>
    <x v="7"/>
    <x v="14"/>
    <s v="NO4_A2"/>
    <x v="2"/>
    <n v="43.2"/>
    <n v="12"/>
  </r>
  <r>
    <x v="0"/>
    <x v="38"/>
    <x v="7"/>
    <x v="14"/>
    <s v="NO4_A2"/>
    <x v="0"/>
    <n v="42.692399999999999"/>
    <n v="11.859"/>
  </r>
  <r>
    <x v="0"/>
    <x v="38"/>
    <x v="7"/>
    <x v="14"/>
    <s v="NO4_A2"/>
    <x v="3"/>
    <n v="51.633543144067197"/>
    <n v="14.342650873352"/>
  </r>
  <r>
    <x v="0"/>
    <x v="38"/>
    <x v="7"/>
    <x v="14"/>
    <s v="NO4_A2"/>
    <x v="4"/>
    <n v="6.3500778790389401"/>
    <n v="1.76391052195526"/>
  </r>
  <r>
    <x v="0"/>
    <x v="38"/>
    <x v="7"/>
    <x v="14"/>
    <s v="NO4_A2"/>
    <x v="5"/>
    <n v="6.3500778790389401"/>
    <n v="1.76391052195526"/>
  </r>
  <r>
    <x v="0"/>
    <x v="38"/>
    <x v="7"/>
    <x v="14"/>
    <s v="NO4_A2"/>
    <x v="6"/>
    <n v="29.476231795214598"/>
    <n v="8.1878421653373898"/>
  </r>
  <r>
    <x v="0"/>
    <x v="38"/>
    <x v="7"/>
    <x v="14"/>
    <s v="NO4_A2"/>
    <x v="7"/>
    <n v="57.838935220261199"/>
    <n v="16.066370894517"/>
  </r>
  <r>
    <x v="0"/>
    <x v="38"/>
    <x v="7"/>
    <x v="14"/>
    <s v="NO4_A2"/>
    <x v="8"/>
    <n v="57.838935220261199"/>
    <n v="16.066370894517"/>
  </r>
  <r>
    <x v="0"/>
    <x v="38"/>
    <x v="7"/>
    <x v="14"/>
    <s v="NO4_A2"/>
    <x v="9"/>
    <n v="44.4505451532725"/>
    <n v="12.3473736536868"/>
  </r>
  <r>
    <x v="0"/>
    <x v="38"/>
    <x v="7"/>
    <x v="14"/>
    <s v="NO4_A2"/>
    <x v="10"/>
    <n v="53.975661971830903"/>
    <n v="14.993239436619699"/>
  </r>
  <r>
    <x v="0"/>
    <x v="38"/>
    <x v="7"/>
    <x v="14"/>
    <s v="NO4_A2"/>
    <x v="11"/>
    <n v="3.8806031483015802"/>
    <n v="1.07794531897266"/>
  </r>
  <r>
    <x v="0"/>
    <x v="38"/>
    <x v="7"/>
    <x v="14"/>
    <s v="NO4_A2"/>
    <x v="12"/>
    <n v="9.7995028997514597E-2"/>
    <n v="2.72208413881985E-2"/>
  </r>
  <r>
    <x v="0"/>
    <x v="38"/>
    <x v="7"/>
    <x v="14"/>
    <s v="NO4_A2"/>
    <x v="13"/>
    <n v="29.633696768848399"/>
    <n v="8.2315824357912195"/>
  </r>
  <r>
    <x v="0"/>
    <x v="38"/>
    <x v="7"/>
    <x v="14"/>
    <s v="NO4_A2"/>
    <x v="14"/>
    <n v="29.633696768848399"/>
    <n v="8.2315824357912195"/>
  </r>
  <r>
    <x v="0"/>
    <x v="38"/>
    <x v="7"/>
    <x v="14"/>
    <s v="NO4_A2"/>
    <x v="15"/>
    <n v="1.65807589063794"/>
    <n v="0.46057663628831802"/>
  </r>
  <r>
    <x v="0"/>
    <x v="38"/>
    <x v="7"/>
    <x v="14"/>
    <s v="NO4_A2"/>
    <x v="16"/>
    <n v="6.3819281410478998"/>
    <n v="1.77275781695775"/>
  </r>
  <r>
    <x v="0"/>
    <x v="38"/>
    <x v="7"/>
    <x v="14"/>
    <s v="NO4_A2"/>
    <x v="17"/>
    <n v="9.1244895875632395"/>
    <n v="2.5345804409897901"/>
  </r>
  <r>
    <x v="0"/>
    <x v="38"/>
    <x v="7"/>
    <x v="14"/>
    <s v="NO4_A2"/>
    <x v="18"/>
    <n v="29.633696768848399"/>
    <n v="8.2315824357912195"/>
  </r>
  <r>
    <x v="0"/>
    <x v="38"/>
    <x v="7"/>
    <x v="14"/>
    <s v="NO4_A2"/>
    <x v="19"/>
    <n v="8.1139884009941898"/>
    <n v="2.2538856669428302"/>
  </r>
  <r>
    <x v="0"/>
    <x v="38"/>
    <x v="7"/>
    <x v="14"/>
    <s v="NO4_A2"/>
    <x v="20"/>
    <n v="22.109183021311601"/>
    <n v="6.1414397281420996"/>
  </r>
  <r>
    <x v="0"/>
    <x v="38"/>
    <x v="7"/>
    <x v="14"/>
    <s v="NO4_A2"/>
    <x v="21"/>
    <n v="47.52"/>
    <n v="13.2"/>
  </r>
  <r>
    <x v="0"/>
    <x v="38"/>
    <x v="7"/>
    <x v="14"/>
    <s v="NO4_A2"/>
    <x v="22"/>
    <n v="61.56"/>
    <n v="17.100000000000001"/>
  </r>
  <r>
    <x v="0"/>
    <x v="38"/>
    <x v="7"/>
    <x v="14"/>
    <s v="NO4_A2"/>
    <x v="23"/>
    <n v="0.31515896120488701"/>
    <n v="8.7544155890246306E-2"/>
  </r>
  <r>
    <x v="0"/>
    <x v="38"/>
    <x v="7"/>
    <x v="14"/>
    <s v="NO4_A2"/>
    <x v="24"/>
    <n v="19.174223581093901"/>
    <n v="5.32617321697054"/>
  </r>
  <r>
    <x v="0"/>
    <x v="38"/>
    <x v="7"/>
    <x v="14"/>
    <s v="NO4_A2"/>
    <x v="25"/>
    <n v="26.209507293842599"/>
    <n v="7.2804186927340497"/>
  </r>
  <r>
    <x v="0"/>
    <x v="38"/>
    <x v="7"/>
    <x v="14"/>
    <s v="NO4_A2"/>
    <x v="26"/>
    <n v="33.320887798496699"/>
    <n v="9.2558021662490795"/>
  </r>
  <r>
    <x v="0"/>
    <x v="38"/>
    <x v="7"/>
    <x v="14"/>
    <s v="NO4_A2"/>
    <x v="27"/>
    <n v="20.163995508318798"/>
    <n v="5.6011098634218799"/>
  </r>
  <r>
    <x v="0"/>
    <x v="38"/>
    <x v="7"/>
    <x v="14"/>
    <s v="NO4_Offshore"/>
    <x v="1"/>
    <n v="35.989199999999997"/>
    <n v="9.9969999999999999"/>
  </r>
  <r>
    <x v="0"/>
    <x v="38"/>
    <x v="7"/>
    <x v="14"/>
    <s v="NO4_Offshore"/>
    <x v="2"/>
    <n v="43.2"/>
    <n v="12"/>
  </r>
  <r>
    <x v="0"/>
    <x v="38"/>
    <x v="7"/>
    <x v="14"/>
    <s v="NO4_Offshore"/>
    <x v="0"/>
    <n v="42.692399999999999"/>
    <n v="11.859"/>
  </r>
  <r>
    <x v="0"/>
    <x v="38"/>
    <x v="7"/>
    <x v="14"/>
    <s v="NO4_Offshore"/>
    <x v="3"/>
    <n v="51.633543144067197"/>
    <n v="14.342650873352"/>
  </r>
  <r>
    <x v="0"/>
    <x v="38"/>
    <x v="7"/>
    <x v="14"/>
    <s v="NO4_Offshore"/>
    <x v="4"/>
    <n v="6.3500778790389401"/>
    <n v="1.76391052195526"/>
  </r>
  <r>
    <x v="0"/>
    <x v="38"/>
    <x v="7"/>
    <x v="14"/>
    <s v="NO4_Offshore"/>
    <x v="5"/>
    <n v="6.3500778790389401"/>
    <n v="1.76391052195526"/>
  </r>
  <r>
    <x v="0"/>
    <x v="38"/>
    <x v="7"/>
    <x v="14"/>
    <s v="NO4_Offshore"/>
    <x v="6"/>
    <n v="29.476231795214598"/>
    <n v="8.1878421653373898"/>
  </r>
  <r>
    <x v="0"/>
    <x v="38"/>
    <x v="7"/>
    <x v="14"/>
    <s v="NO4_Offshore"/>
    <x v="7"/>
    <n v="57.838935220261199"/>
    <n v="16.066370894517"/>
  </r>
  <r>
    <x v="0"/>
    <x v="38"/>
    <x v="7"/>
    <x v="14"/>
    <s v="NO4_Offshore"/>
    <x v="8"/>
    <n v="57.838935220261199"/>
    <n v="16.066370894517"/>
  </r>
  <r>
    <x v="0"/>
    <x v="38"/>
    <x v="7"/>
    <x v="14"/>
    <s v="NO4_Offshore"/>
    <x v="9"/>
    <n v="44.4505451532725"/>
    <n v="12.3473736536868"/>
  </r>
  <r>
    <x v="0"/>
    <x v="38"/>
    <x v="7"/>
    <x v="14"/>
    <s v="NO4_Offshore"/>
    <x v="10"/>
    <n v="53.975661971830903"/>
    <n v="14.993239436619699"/>
  </r>
  <r>
    <x v="0"/>
    <x v="38"/>
    <x v="7"/>
    <x v="14"/>
    <s v="NO4_Offshore"/>
    <x v="11"/>
    <n v="3.8806031483015802"/>
    <n v="1.07794531897266"/>
  </r>
  <r>
    <x v="0"/>
    <x v="38"/>
    <x v="7"/>
    <x v="14"/>
    <s v="NO4_Offshore"/>
    <x v="12"/>
    <n v="9.7995028997514597E-2"/>
    <n v="2.72208413881985E-2"/>
  </r>
  <r>
    <x v="0"/>
    <x v="38"/>
    <x v="7"/>
    <x v="14"/>
    <s v="NO4_Offshore"/>
    <x v="13"/>
    <n v="29.633696768848399"/>
    <n v="8.2315824357912195"/>
  </r>
  <r>
    <x v="0"/>
    <x v="38"/>
    <x v="7"/>
    <x v="14"/>
    <s v="NO4_Offshore"/>
    <x v="14"/>
    <n v="29.633696768848399"/>
    <n v="8.2315824357912195"/>
  </r>
  <r>
    <x v="0"/>
    <x v="38"/>
    <x v="7"/>
    <x v="14"/>
    <s v="NO4_Offshore"/>
    <x v="15"/>
    <n v="1.65807589063794"/>
    <n v="0.46057663628831802"/>
  </r>
  <r>
    <x v="0"/>
    <x v="38"/>
    <x v="7"/>
    <x v="14"/>
    <s v="NO4_Offshore"/>
    <x v="16"/>
    <n v="6.3819281410478998"/>
    <n v="1.77275781695775"/>
  </r>
  <r>
    <x v="0"/>
    <x v="38"/>
    <x v="7"/>
    <x v="14"/>
    <s v="NO4_Offshore"/>
    <x v="17"/>
    <n v="9.1244895875632395"/>
    <n v="2.5345804409897901"/>
  </r>
  <r>
    <x v="0"/>
    <x v="38"/>
    <x v="7"/>
    <x v="14"/>
    <s v="NO4_Offshore"/>
    <x v="18"/>
    <n v="29.633696768848399"/>
    <n v="8.2315824357912195"/>
  </r>
  <r>
    <x v="0"/>
    <x v="38"/>
    <x v="7"/>
    <x v="14"/>
    <s v="NO4_Offshore"/>
    <x v="19"/>
    <n v="8.1139884009941898"/>
    <n v="2.2538856669428302"/>
  </r>
  <r>
    <x v="0"/>
    <x v="38"/>
    <x v="7"/>
    <x v="14"/>
    <s v="NO4_Offshore"/>
    <x v="20"/>
    <n v="22.109183021311601"/>
    <n v="6.1414397281420996"/>
  </r>
  <r>
    <x v="0"/>
    <x v="38"/>
    <x v="7"/>
    <x v="14"/>
    <s v="NO4_Offshore"/>
    <x v="21"/>
    <n v="47.52"/>
    <n v="13.2"/>
  </r>
  <r>
    <x v="0"/>
    <x v="38"/>
    <x v="7"/>
    <x v="14"/>
    <s v="NO4_Offshore"/>
    <x v="22"/>
    <n v="61.56"/>
    <n v="17.100000000000001"/>
  </r>
  <r>
    <x v="0"/>
    <x v="38"/>
    <x v="7"/>
    <x v="14"/>
    <s v="NO4_Offshore"/>
    <x v="23"/>
    <n v="0.31515896120488701"/>
    <n v="8.7544155890246306E-2"/>
  </r>
  <r>
    <x v="0"/>
    <x v="38"/>
    <x v="7"/>
    <x v="14"/>
    <s v="NO4_Offshore"/>
    <x v="24"/>
    <n v="19.174223581093901"/>
    <n v="5.32617321697054"/>
  </r>
  <r>
    <x v="0"/>
    <x v="38"/>
    <x v="7"/>
    <x v="14"/>
    <s v="NO4_Offshore"/>
    <x v="25"/>
    <n v="26.209507293842599"/>
    <n v="7.2804186927340497"/>
  </r>
  <r>
    <x v="0"/>
    <x v="38"/>
    <x v="7"/>
    <x v="14"/>
    <s v="NO4_Offshore"/>
    <x v="26"/>
    <n v="33.320887798496699"/>
    <n v="9.2558021662490795"/>
  </r>
  <r>
    <x v="0"/>
    <x v="38"/>
    <x v="7"/>
    <x v="14"/>
    <s v="NO4_Offshore"/>
    <x v="27"/>
    <n v="20.163995508318798"/>
    <n v="5.6011098634218799"/>
  </r>
  <r>
    <x v="0"/>
    <x v="38"/>
    <x v="7"/>
    <x v="15"/>
    <s v="NO5_A1"/>
    <x v="1"/>
    <n v="35.989199999999997"/>
    <n v="9.9969999999999999"/>
  </r>
  <r>
    <x v="0"/>
    <x v="38"/>
    <x v="7"/>
    <x v="15"/>
    <s v="NO5_A1"/>
    <x v="2"/>
    <n v="43.2"/>
    <n v="12"/>
  </r>
  <r>
    <x v="0"/>
    <x v="38"/>
    <x v="7"/>
    <x v="15"/>
    <s v="NO5_A1"/>
    <x v="0"/>
    <n v="42.692399999999999"/>
    <n v="11.859"/>
  </r>
  <r>
    <x v="0"/>
    <x v="38"/>
    <x v="7"/>
    <x v="15"/>
    <s v="NO5_A1"/>
    <x v="3"/>
    <n v="51.633543144067197"/>
    <n v="14.342650873352"/>
  </r>
  <r>
    <x v="0"/>
    <x v="38"/>
    <x v="7"/>
    <x v="15"/>
    <s v="NO5_A1"/>
    <x v="4"/>
    <n v="6.3500778790389401"/>
    <n v="1.76391052195526"/>
  </r>
  <r>
    <x v="0"/>
    <x v="38"/>
    <x v="7"/>
    <x v="15"/>
    <s v="NO5_A1"/>
    <x v="5"/>
    <n v="6.3500778790389401"/>
    <n v="1.76391052195526"/>
  </r>
  <r>
    <x v="0"/>
    <x v="38"/>
    <x v="7"/>
    <x v="15"/>
    <s v="NO5_A1"/>
    <x v="6"/>
    <n v="29.476231795214598"/>
    <n v="8.1878421653373898"/>
  </r>
  <r>
    <x v="0"/>
    <x v="38"/>
    <x v="7"/>
    <x v="15"/>
    <s v="NO5_A1"/>
    <x v="7"/>
    <n v="57.838935220261199"/>
    <n v="16.066370894517"/>
  </r>
  <r>
    <x v="0"/>
    <x v="38"/>
    <x v="7"/>
    <x v="15"/>
    <s v="NO5_A1"/>
    <x v="8"/>
    <n v="57.838935220261199"/>
    <n v="16.066370894517"/>
  </r>
  <r>
    <x v="0"/>
    <x v="38"/>
    <x v="7"/>
    <x v="15"/>
    <s v="NO5_A1"/>
    <x v="9"/>
    <n v="44.4505451532725"/>
    <n v="12.3473736536868"/>
  </r>
  <r>
    <x v="0"/>
    <x v="38"/>
    <x v="7"/>
    <x v="15"/>
    <s v="NO5_A1"/>
    <x v="10"/>
    <n v="53.975661971830903"/>
    <n v="14.993239436619699"/>
  </r>
  <r>
    <x v="0"/>
    <x v="38"/>
    <x v="7"/>
    <x v="15"/>
    <s v="NO5_A1"/>
    <x v="11"/>
    <n v="3.8806031483015802"/>
    <n v="1.07794531897266"/>
  </r>
  <r>
    <x v="0"/>
    <x v="38"/>
    <x v="7"/>
    <x v="15"/>
    <s v="NO5_A1"/>
    <x v="12"/>
    <n v="9.7995028997514597E-2"/>
    <n v="2.72208413881985E-2"/>
  </r>
  <r>
    <x v="0"/>
    <x v="38"/>
    <x v="7"/>
    <x v="15"/>
    <s v="NO5_A1"/>
    <x v="13"/>
    <n v="29.633696768848399"/>
    <n v="8.2315824357912195"/>
  </r>
  <r>
    <x v="0"/>
    <x v="38"/>
    <x v="7"/>
    <x v="15"/>
    <s v="NO5_A1"/>
    <x v="14"/>
    <n v="29.633696768848399"/>
    <n v="8.2315824357912195"/>
  </r>
  <r>
    <x v="0"/>
    <x v="38"/>
    <x v="7"/>
    <x v="15"/>
    <s v="NO5_A1"/>
    <x v="15"/>
    <n v="1.65807589063794"/>
    <n v="0.46057663628831802"/>
  </r>
  <r>
    <x v="0"/>
    <x v="38"/>
    <x v="7"/>
    <x v="15"/>
    <s v="NO5_A1"/>
    <x v="16"/>
    <n v="6.3819281410478998"/>
    <n v="1.77275781695775"/>
  </r>
  <r>
    <x v="0"/>
    <x v="38"/>
    <x v="7"/>
    <x v="15"/>
    <s v="NO5_A1"/>
    <x v="17"/>
    <n v="9.1244895875632395"/>
    <n v="2.5345804409897901"/>
  </r>
  <r>
    <x v="0"/>
    <x v="38"/>
    <x v="7"/>
    <x v="15"/>
    <s v="NO5_A1"/>
    <x v="18"/>
    <n v="29.633696768848399"/>
    <n v="8.2315824357912195"/>
  </r>
  <r>
    <x v="0"/>
    <x v="38"/>
    <x v="7"/>
    <x v="15"/>
    <s v="NO5_A1"/>
    <x v="19"/>
    <n v="8.1139884009941898"/>
    <n v="2.2538856669428302"/>
  </r>
  <r>
    <x v="0"/>
    <x v="38"/>
    <x v="7"/>
    <x v="15"/>
    <s v="NO5_A1"/>
    <x v="20"/>
    <n v="22.109183021311601"/>
    <n v="6.1414397281420996"/>
  </r>
  <r>
    <x v="0"/>
    <x v="38"/>
    <x v="7"/>
    <x v="15"/>
    <s v="NO5_A1"/>
    <x v="21"/>
    <n v="47.52"/>
    <n v="13.2"/>
  </r>
  <r>
    <x v="0"/>
    <x v="38"/>
    <x v="7"/>
    <x v="15"/>
    <s v="NO5_A1"/>
    <x v="22"/>
    <n v="61.56"/>
    <n v="17.100000000000001"/>
  </r>
  <r>
    <x v="0"/>
    <x v="38"/>
    <x v="7"/>
    <x v="15"/>
    <s v="NO5_A1"/>
    <x v="23"/>
    <n v="0.31515896120488701"/>
    <n v="8.7544155890246306E-2"/>
  </r>
  <r>
    <x v="0"/>
    <x v="38"/>
    <x v="7"/>
    <x v="15"/>
    <s v="NO5_A1"/>
    <x v="24"/>
    <n v="19.174223581093901"/>
    <n v="5.32617321697054"/>
  </r>
  <r>
    <x v="0"/>
    <x v="38"/>
    <x v="7"/>
    <x v="15"/>
    <s v="NO5_A1"/>
    <x v="25"/>
    <n v="26.209507293842599"/>
    <n v="7.2804186927340497"/>
  </r>
  <r>
    <x v="0"/>
    <x v="38"/>
    <x v="7"/>
    <x v="15"/>
    <s v="NO5_A1"/>
    <x v="26"/>
    <n v="33.320887798496699"/>
    <n v="9.2558021662490795"/>
  </r>
  <r>
    <x v="0"/>
    <x v="38"/>
    <x v="7"/>
    <x v="15"/>
    <s v="NO5_A1"/>
    <x v="27"/>
    <n v="20.163995508318798"/>
    <n v="5.6011098634218799"/>
  </r>
  <r>
    <x v="0"/>
    <x v="38"/>
    <x v="7"/>
    <x v="15"/>
    <s v="NO5_A2"/>
    <x v="1"/>
    <n v="35.989199999999997"/>
    <n v="9.9969999999999999"/>
  </r>
  <r>
    <x v="0"/>
    <x v="38"/>
    <x v="7"/>
    <x v="15"/>
    <s v="NO5_A2"/>
    <x v="2"/>
    <n v="43.2"/>
    <n v="12"/>
  </r>
  <r>
    <x v="0"/>
    <x v="38"/>
    <x v="7"/>
    <x v="15"/>
    <s v="NO5_A2"/>
    <x v="0"/>
    <n v="42.692399999999999"/>
    <n v="11.859"/>
  </r>
  <r>
    <x v="0"/>
    <x v="38"/>
    <x v="7"/>
    <x v="15"/>
    <s v="NO5_A2"/>
    <x v="3"/>
    <n v="51.633543144067197"/>
    <n v="14.342650873352"/>
  </r>
  <r>
    <x v="0"/>
    <x v="38"/>
    <x v="7"/>
    <x v="15"/>
    <s v="NO5_A2"/>
    <x v="4"/>
    <n v="6.3500778790389401"/>
    <n v="1.76391052195526"/>
  </r>
  <r>
    <x v="0"/>
    <x v="38"/>
    <x v="7"/>
    <x v="15"/>
    <s v="NO5_A2"/>
    <x v="5"/>
    <n v="6.3500778790389401"/>
    <n v="1.76391052195526"/>
  </r>
  <r>
    <x v="0"/>
    <x v="38"/>
    <x v="7"/>
    <x v="15"/>
    <s v="NO5_A2"/>
    <x v="6"/>
    <n v="29.476231795214598"/>
    <n v="8.1878421653373898"/>
  </r>
  <r>
    <x v="0"/>
    <x v="38"/>
    <x v="7"/>
    <x v="15"/>
    <s v="NO5_A2"/>
    <x v="7"/>
    <n v="57.838935220261199"/>
    <n v="16.066370894517"/>
  </r>
  <r>
    <x v="0"/>
    <x v="38"/>
    <x v="7"/>
    <x v="15"/>
    <s v="NO5_A2"/>
    <x v="8"/>
    <n v="57.838935220261199"/>
    <n v="16.066370894517"/>
  </r>
  <r>
    <x v="0"/>
    <x v="38"/>
    <x v="7"/>
    <x v="15"/>
    <s v="NO5_A2"/>
    <x v="9"/>
    <n v="44.4505451532725"/>
    <n v="12.3473736536868"/>
  </r>
  <r>
    <x v="0"/>
    <x v="38"/>
    <x v="7"/>
    <x v="15"/>
    <s v="NO5_A2"/>
    <x v="10"/>
    <n v="53.975661971830903"/>
    <n v="14.993239436619699"/>
  </r>
  <r>
    <x v="0"/>
    <x v="38"/>
    <x v="7"/>
    <x v="15"/>
    <s v="NO5_A2"/>
    <x v="11"/>
    <n v="3.8806031483015802"/>
    <n v="1.07794531897266"/>
  </r>
  <r>
    <x v="0"/>
    <x v="38"/>
    <x v="7"/>
    <x v="15"/>
    <s v="NO5_A2"/>
    <x v="12"/>
    <n v="9.7995028997514597E-2"/>
    <n v="2.72208413881985E-2"/>
  </r>
  <r>
    <x v="0"/>
    <x v="38"/>
    <x v="7"/>
    <x v="15"/>
    <s v="NO5_A2"/>
    <x v="13"/>
    <n v="29.633696768848399"/>
    <n v="8.2315824357912195"/>
  </r>
  <r>
    <x v="0"/>
    <x v="38"/>
    <x v="7"/>
    <x v="15"/>
    <s v="NO5_A2"/>
    <x v="14"/>
    <n v="29.633696768848399"/>
    <n v="8.2315824357912195"/>
  </r>
  <r>
    <x v="0"/>
    <x v="38"/>
    <x v="7"/>
    <x v="15"/>
    <s v="NO5_A2"/>
    <x v="15"/>
    <n v="1.65807589063794"/>
    <n v="0.46057663628831802"/>
  </r>
  <r>
    <x v="0"/>
    <x v="38"/>
    <x v="7"/>
    <x v="15"/>
    <s v="NO5_A2"/>
    <x v="16"/>
    <n v="6.3819281410478998"/>
    <n v="1.77275781695775"/>
  </r>
  <r>
    <x v="0"/>
    <x v="38"/>
    <x v="7"/>
    <x v="15"/>
    <s v="NO5_A2"/>
    <x v="17"/>
    <n v="9.1244895875632395"/>
    <n v="2.5345804409897901"/>
  </r>
  <r>
    <x v="0"/>
    <x v="38"/>
    <x v="7"/>
    <x v="15"/>
    <s v="NO5_A2"/>
    <x v="18"/>
    <n v="29.633696768848399"/>
    <n v="8.2315824357912195"/>
  </r>
  <r>
    <x v="0"/>
    <x v="38"/>
    <x v="7"/>
    <x v="15"/>
    <s v="NO5_A2"/>
    <x v="19"/>
    <n v="8.1139884009941898"/>
    <n v="2.2538856669428302"/>
  </r>
  <r>
    <x v="0"/>
    <x v="38"/>
    <x v="7"/>
    <x v="15"/>
    <s v="NO5_A2"/>
    <x v="20"/>
    <n v="22.109183021311601"/>
    <n v="6.1414397281420996"/>
  </r>
  <r>
    <x v="0"/>
    <x v="38"/>
    <x v="7"/>
    <x v="15"/>
    <s v="NO5_A2"/>
    <x v="21"/>
    <n v="47.52"/>
    <n v="13.2"/>
  </r>
  <r>
    <x v="0"/>
    <x v="38"/>
    <x v="7"/>
    <x v="15"/>
    <s v="NO5_A2"/>
    <x v="22"/>
    <n v="61.56"/>
    <n v="17.100000000000001"/>
  </r>
  <r>
    <x v="0"/>
    <x v="38"/>
    <x v="7"/>
    <x v="15"/>
    <s v="NO5_A2"/>
    <x v="23"/>
    <n v="0.31515896120488701"/>
    <n v="8.7544155890246306E-2"/>
  </r>
  <r>
    <x v="0"/>
    <x v="38"/>
    <x v="7"/>
    <x v="15"/>
    <s v="NO5_A2"/>
    <x v="24"/>
    <n v="19.174223581093901"/>
    <n v="5.32617321697054"/>
  </r>
  <r>
    <x v="0"/>
    <x v="38"/>
    <x v="7"/>
    <x v="15"/>
    <s v="NO5_A2"/>
    <x v="25"/>
    <n v="26.209507293842599"/>
    <n v="7.2804186927340497"/>
  </r>
  <r>
    <x v="0"/>
    <x v="38"/>
    <x v="7"/>
    <x v="15"/>
    <s v="NO5_A2"/>
    <x v="26"/>
    <n v="33.320887798496699"/>
    <n v="9.2558021662490795"/>
  </r>
  <r>
    <x v="0"/>
    <x v="38"/>
    <x v="7"/>
    <x v="15"/>
    <s v="NO5_A2"/>
    <x v="27"/>
    <n v="20.163995508318798"/>
    <n v="5.6011098634218799"/>
  </r>
  <r>
    <x v="0"/>
    <x v="38"/>
    <x v="7"/>
    <x v="15"/>
    <s v="NO5_Offshore"/>
    <x v="1"/>
    <n v="35.989199999999997"/>
    <n v="9.9969999999999999"/>
  </r>
  <r>
    <x v="0"/>
    <x v="38"/>
    <x v="7"/>
    <x v="15"/>
    <s v="NO5_Offshore"/>
    <x v="2"/>
    <n v="43.2"/>
    <n v="12"/>
  </r>
  <r>
    <x v="0"/>
    <x v="38"/>
    <x v="7"/>
    <x v="15"/>
    <s v="NO5_Offshore"/>
    <x v="0"/>
    <n v="42.692399999999999"/>
    <n v="11.859"/>
  </r>
  <r>
    <x v="0"/>
    <x v="38"/>
    <x v="7"/>
    <x v="15"/>
    <s v="NO5_Offshore"/>
    <x v="3"/>
    <n v="51.633543144067197"/>
    <n v="14.342650873352"/>
  </r>
  <r>
    <x v="0"/>
    <x v="38"/>
    <x v="7"/>
    <x v="15"/>
    <s v="NO5_Offshore"/>
    <x v="4"/>
    <n v="6.3500778790389401"/>
    <n v="1.76391052195526"/>
  </r>
  <r>
    <x v="0"/>
    <x v="38"/>
    <x v="7"/>
    <x v="15"/>
    <s v="NO5_Offshore"/>
    <x v="5"/>
    <n v="6.3500778790389401"/>
    <n v="1.76391052195526"/>
  </r>
  <r>
    <x v="0"/>
    <x v="38"/>
    <x v="7"/>
    <x v="15"/>
    <s v="NO5_Offshore"/>
    <x v="6"/>
    <n v="29.476231795214598"/>
    <n v="8.1878421653373898"/>
  </r>
  <r>
    <x v="0"/>
    <x v="38"/>
    <x v="7"/>
    <x v="15"/>
    <s v="NO5_Offshore"/>
    <x v="7"/>
    <n v="57.838935220261199"/>
    <n v="16.066370894517"/>
  </r>
  <r>
    <x v="0"/>
    <x v="38"/>
    <x v="7"/>
    <x v="15"/>
    <s v="NO5_Offshore"/>
    <x v="8"/>
    <n v="57.838935220261199"/>
    <n v="16.066370894517"/>
  </r>
  <r>
    <x v="0"/>
    <x v="38"/>
    <x v="7"/>
    <x v="15"/>
    <s v="NO5_Offshore"/>
    <x v="9"/>
    <n v="44.4505451532725"/>
    <n v="12.3473736536868"/>
  </r>
  <r>
    <x v="0"/>
    <x v="38"/>
    <x v="7"/>
    <x v="15"/>
    <s v="NO5_Offshore"/>
    <x v="10"/>
    <n v="53.975661971830903"/>
    <n v="14.993239436619699"/>
  </r>
  <r>
    <x v="0"/>
    <x v="38"/>
    <x v="7"/>
    <x v="15"/>
    <s v="NO5_Offshore"/>
    <x v="11"/>
    <n v="3.8806031483015802"/>
    <n v="1.07794531897266"/>
  </r>
  <r>
    <x v="0"/>
    <x v="38"/>
    <x v="7"/>
    <x v="15"/>
    <s v="NO5_Offshore"/>
    <x v="12"/>
    <n v="9.7995028997514597E-2"/>
    <n v="2.72208413881985E-2"/>
  </r>
  <r>
    <x v="0"/>
    <x v="38"/>
    <x v="7"/>
    <x v="15"/>
    <s v="NO5_Offshore"/>
    <x v="13"/>
    <n v="29.633696768848399"/>
    <n v="8.2315824357912195"/>
  </r>
  <r>
    <x v="0"/>
    <x v="38"/>
    <x v="7"/>
    <x v="15"/>
    <s v="NO5_Offshore"/>
    <x v="14"/>
    <n v="29.633696768848399"/>
    <n v="8.2315824357912195"/>
  </r>
  <r>
    <x v="0"/>
    <x v="38"/>
    <x v="7"/>
    <x v="15"/>
    <s v="NO5_Offshore"/>
    <x v="15"/>
    <n v="1.65807589063794"/>
    <n v="0.46057663628831802"/>
  </r>
  <r>
    <x v="0"/>
    <x v="38"/>
    <x v="7"/>
    <x v="15"/>
    <s v="NO5_Offshore"/>
    <x v="16"/>
    <n v="6.3819281410478998"/>
    <n v="1.77275781695775"/>
  </r>
  <r>
    <x v="0"/>
    <x v="38"/>
    <x v="7"/>
    <x v="15"/>
    <s v="NO5_Offshore"/>
    <x v="17"/>
    <n v="9.1244895875632395"/>
    <n v="2.5345804409897901"/>
  </r>
  <r>
    <x v="0"/>
    <x v="38"/>
    <x v="7"/>
    <x v="15"/>
    <s v="NO5_Offshore"/>
    <x v="18"/>
    <n v="29.633696768848399"/>
    <n v="8.2315824357912195"/>
  </r>
  <r>
    <x v="0"/>
    <x v="38"/>
    <x v="7"/>
    <x v="15"/>
    <s v="NO5_Offshore"/>
    <x v="19"/>
    <n v="8.1139884009941898"/>
    <n v="2.2538856669428302"/>
  </r>
  <r>
    <x v="0"/>
    <x v="38"/>
    <x v="7"/>
    <x v="15"/>
    <s v="NO5_Offshore"/>
    <x v="20"/>
    <n v="22.109183021311601"/>
    <n v="6.1414397281420996"/>
  </r>
  <r>
    <x v="0"/>
    <x v="38"/>
    <x v="7"/>
    <x v="15"/>
    <s v="NO5_Offshore"/>
    <x v="21"/>
    <n v="47.52"/>
    <n v="13.2"/>
  </r>
  <r>
    <x v="0"/>
    <x v="38"/>
    <x v="7"/>
    <x v="15"/>
    <s v="NO5_Offshore"/>
    <x v="22"/>
    <n v="61.56"/>
    <n v="17.100000000000001"/>
  </r>
  <r>
    <x v="0"/>
    <x v="38"/>
    <x v="7"/>
    <x v="15"/>
    <s v="NO5_Offshore"/>
    <x v="23"/>
    <n v="0.31515896120488701"/>
    <n v="8.7544155890246306E-2"/>
  </r>
  <r>
    <x v="0"/>
    <x v="38"/>
    <x v="7"/>
    <x v="15"/>
    <s v="NO5_Offshore"/>
    <x v="24"/>
    <n v="19.174223581093901"/>
    <n v="5.32617321697054"/>
  </r>
  <r>
    <x v="0"/>
    <x v="38"/>
    <x v="7"/>
    <x v="15"/>
    <s v="NO5_Offshore"/>
    <x v="25"/>
    <n v="26.209507293842599"/>
    <n v="7.2804186927340497"/>
  </r>
  <r>
    <x v="0"/>
    <x v="38"/>
    <x v="7"/>
    <x v="15"/>
    <s v="NO5_Offshore"/>
    <x v="26"/>
    <n v="33.320887798496699"/>
    <n v="9.2558021662490795"/>
  </r>
  <r>
    <x v="0"/>
    <x v="38"/>
    <x v="7"/>
    <x v="15"/>
    <s v="NO5_Offshore"/>
    <x v="27"/>
    <n v="20.163995508318798"/>
    <n v="5.6011098634218799"/>
  </r>
  <r>
    <x v="0"/>
    <x v="38"/>
    <x v="8"/>
    <x v="16"/>
    <s v="PL_A"/>
    <x v="1"/>
    <n v="35.989199999999997"/>
    <n v="9.9969999999999999"/>
  </r>
  <r>
    <x v="0"/>
    <x v="38"/>
    <x v="8"/>
    <x v="16"/>
    <s v="PL_A"/>
    <x v="2"/>
    <n v="43.2"/>
    <n v="12"/>
  </r>
  <r>
    <x v="0"/>
    <x v="38"/>
    <x v="8"/>
    <x v="16"/>
    <s v="PL_A"/>
    <x v="0"/>
    <n v="42.692399999999999"/>
    <n v="11.859"/>
  </r>
  <r>
    <x v="0"/>
    <x v="38"/>
    <x v="8"/>
    <x v="16"/>
    <s v="PL_A"/>
    <x v="3"/>
    <n v="51.633543144067197"/>
    <n v="14.342650873352"/>
  </r>
  <r>
    <x v="0"/>
    <x v="38"/>
    <x v="8"/>
    <x v="16"/>
    <s v="PL_A"/>
    <x v="4"/>
    <n v="6.3500778790389401"/>
    <n v="1.76391052195526"/>
  </r>
  <r>
    <x v="0"/>
    <x v="38"/>
    <x v="8"/>
    <x v="16"/>
    <s v="PL_A"/>
    <x v="5"/>
    <n v="6.3500778790389401"/>
    <n v="1.76391052195526"/>
  </r>
  <r>
    <x v="0"/>
    <x v="38"/>
    <x v="8"/>
    <x v="16"/>
    <s v="PL_A"/>
    <x v="6"/>
    <n v="29.476231795214598"/>
    <n v="8.1878421653373898"/>
  </r>
  <r>
    <x v="0"/>
    <x v="38"/>
    <x v="8"/>
    <x v="16"/>
    <s v="PL_A"/>
    <x v="7"/>
    <n v="57.838935220261199"/>
    <n v="16.066370894517"/>
  </r>
  <r>
    <x v="0"/>
    <x v="38"/>
    <x v="8"/>
    <x v="16"/>
    <s v="PL_A"/>
    <x v="8"/>
    <n v="57.838935220261199"/>
    <n v="16.066370894517"/>
  </r>
  <r>
    <x v="0"/>
    <x v="38"/>
    <x v="8"/>
    <x v="16"/>
    <s v="PL_A"/>
    <x v="9"/>
    <n v="44.4505451532725"/>
    <n v="12.3473736536868"/>
  </r>
  <r>
    <x v="0"/>
    <x v="38"/>
    <x v="8"/>
    <x v="16"/>
    <s v="PL_A"/>
    <x v="10"/>
    <n v="53.975661971830903"/>
    <n v="14.993239436619699"/>
  </r>
  <r>
    <x v="0"/>
    <x v="38"/>
    <x v="8"/>
    <x v="16"/>
    <s v="PL_A"/>
    <x v="11"/>
    <n v="3.8806031483015802"/>
    <n v="1.07794531897266"/>
  </r>
  <r>
    <x v="0"/>
    <x v="38"/>
    <x v="8"/>
    <x v="16"/>
    <s v="PL_A"/>
    <x v="12"/>
    <n v="9.7995028997514597E-2"/>
    <n v="2.72208413881985E-2"/>
  </r>
  <r>
    <x v="0"/>
    <x v="38"/>
    <x v="8"/>
    <x v="16"/>
    <s v="PL_A"/>
    <x v="13"/>
    <n v="29.633696768848399"/>
    <n v="8.2315824357912195"/>
  </r>
  <r>
    <x v="0"/>
    <x v="38"/>
    <x v="8"/>
    <x v="16"/>
    <s v="PL_A"/>
    <x v="14"/>
    <n v="29.633696768848399"/>
    <n v="8.2315824357912195"/>
  </r>
  <r>
    <x v="0"/>
    <x v="38"/>
    <x v="8"/>
    <x v="16"/>
    <s v="PL_A"/>
    <x v="15"/>
    <n v="1.65807589063794"/>
    <n v="0.46057663628831802"/>
  </r>
  <r>
    <x v="0"/>
    <x v="38"/>
    <x v="8"/>
    <x v="16"/>
    <s v="PL_A"/>
    <x v="16"/>
    <n v="6.3819281410478998"/>
    <n v="1.77275781695775"/>
  </r>
  <r>
    <x v="0"/>
    <x v="38"/>
    <x v="8"/>
    <x v="16"/>
    <s v="PL_A"/>
    <x v="17"/>
    <n v="9.1244895875632395"/>
    <n v="2.5345804409897901"/>
  </r>
  <r>
    <x v="0"/>
    <x v="38"/>
    <x v="8"/>
    <x v="16"/>
    <s v="PL_A"/>
    <x v="18"/>
    <n v="29.633696768848399"/>
    <n v="8.2315824357912195"/>
  </r>
  <r>
    <x v="0"/>
    <x v="38"/>
    <x v="8"/>
    <x v="16"/>
    <s v="PL_A"/>
    <x v="19"/>
    <n v="8.1139884009941898"/>
    <n v="2.2538856669428302"/>
  </r>
  <r>
    <x v="0"/>
    <x v="38"/>
    <x v="8"/>
    <x v="16"/>
    <s v="PL_A"/>
    <x v="20"/>
    <n v="22.109183021311601"/>
    <n v="6.1414397281420996"/>
  </r>
  <r>
    <x v="0"/>
    <x v="38"/>
    <x v="8"/>
    <x v="16"/>
    <s v="PL_A"/>
    <x v="21"/>
    <n v="47.52"/>
    <n v="13.2"/>
  </r>
  <r>
    <x v="0"/>
    <x v="38"/>
    <x v="8"/>
    <x v="16"/>
    <s v="PL_A"/>
    <x v="22"/>
    <n v="61.56"/>
    <n v="17.100000000000001"/>
  </r>
  <r>
    <x v="0"/>
    <x v="38"/>
    <x v="8"/>
    <x v="16"/>
    <s v="PL_A"/>
    <x v="23"/>
    <n v="0.31515896120488701"/>
    <n v="8.7544155890246306E-2"/>
  </r>
  <r>
    <x v="0"/>
    <x v="38"/>
    <x v="8"/>
    <x v="16"/>
    <s v="PL_A"/>
    <x v="24"/>
    <n v="19.174223581093901"/>
    <n v="5.32617321697054"/>
  </r>
  <r>
    <x v="0"/>
    <x v="38"/>
    <x v="8"/>
    <x v="16"/>
    <s v="PL_A"/>
    <x v="25"/>
    <n v="26.209507293842599"/>
    <n v="7.2804186927340497"/>
  </r>
  <r>
    <x v="0"/>
    <x v="38"/>
    <x v="8"/>
    <x v="16"/>
    <s v="PL_A"/>
    <x v="26"/>
    <n v="33.320887798496699"/>
    <n v="9.2558021662490795"/>
  </r>
  <r>
    <x v="0"/>
    <x v="38"/>
    <x v="8"/>
    <x v="16"/>
    <s v="PL_A"/>
    <x v="27"/>
    <n v="20.163995508318798"/>
    <n v="5.6011098634218799"/>
  </r>
  <r>
    <x v="0"/>
    <x v="38"/>
    <x v="8"/>
    <x v="16"/>
    <s v="PL_OFFSHORE"/>
    <x v="1"/>
    <n v="35.989199999999997"/>
    <n v="9.9969999999999999"/>
  </r>
  <r>
    <x v="0"/>
    <x v="38"/>
    <x v="8"/>
    <x v="16"/>
    <s v="PL_OFFSHORE"/>
    <x v="2"/>
    <n v="43.2"/>
    <n v="12"/>
  </r>
  <r>
    <x v="0"/>
    <x v="38"/>
    <x v="8"/>
    <x v="16"/>
    <s v="PL_OFFSHORE"/>
    <x v="0"/>
    <n v="42.692399999999999"/>
    <n v="11.859"/>
  </r>
  <r>
    <x v="0"/>
    <x v="38"/>
    <x v="8"/>
    <x v="16"/>
    <s v="PL_OFFSHORE"/>
    <x v="3"/>
    <n v="51.633543144067197"/>
    <n v="14.342650873352"/>
  </r>
  <r>
    <x v="0"/>
    <x v="38"/>
    <x v="8"/>
    <x v="16"/>
    <s v="PL_OFFSHORE"/>
    <x v="4"/>
    <n v="6.3500778790389401"/>
    <n v="1.76391052195526"/>
  </r>
  <r>
    <x v="0"/>
    <x v="38"/>
    <x v="8"/>
    <x v="16"/>
    <s v="PL_OFFSHORE"/>
    <x v="5"/>
    <n v="6.3500778790389401"/>
    <n v="1.76391052195526"/>
  </r>
  <r>
    <x v="0"/>
    <x v="38"/>
    <x v="8"/>
    <x v="16"/>
    <s v="PL_OFFSHORE"/>
    <x v="6"/>
    <n v="29.476231795214598"/>
    <n v="8.1878421653373898"/>
  </r>
  <r>
    <x v="0"/>
    <x v="38"/>
    <x v="8"/>
    <x v="16"/>
    <s v="PL_OFFSHORE"/>
    <x v="7"/>
    <n v="57.838935220261199"/>
    <n v="16.066370894517"/>
  </r>
  <r>
    <x v="0"/>
    <x v="38"/>
    <x v="8"/>
    <x v="16"/>
    <s v="PL_OFFSHORE"/>
    <x v="8"/>
    <n v="57.838935220261199"/>
    <n v="16.066370894517"/>
  </r>
  <r>
    <x v="0"/>
    <x v="38"/>
    <x v="8"/>
    <x v="16"/>
    <s v="PL_OFFSHORE"/>
    <x v="9"/>
    <n v="44.4505451532725"/>
    <n v="12.3473736536868"/>
  </r>
  <r>
    <x v="0"/>
    <x v="38"/>
    <x v="8"/>
    <x v="16"/>
    <s v="PL_OFFSHORE"/>
    <x v="10"/>
    <n v="53.975661971830903"/>
    <n v="14.993239436619699"/>
  </r>
  <r>
    <x v="0"/>
    <x v="38"/>
    <x v="8"/>
    <x v="16"/>
    <s v="PL_OFFSHORE"/>
    <x v="11"/>
    <n v="3.8806031483015802"/>
    <n v="1.07794531897266"/>
  </r>
  <r>
    <x v="0"/>
    <x v="38"/>
    <x v="8"/>
    <x v="16"/>
    <s v="PL_OFFSHORE"/>
    <x v="12"/>
    <n v="9.7995028997514597E-2"/>
    <n v="2.72208413881985E-2"/>
  </r>
  <r>
    <x v="0"/>
    <x v="38"/>
    <x v="8"/>
    <x v="16"/>
    <s v="PL_OFFSHORE"/>
    <x v="13"/>
    <n v="29.633696768848399"/>
    <n v="8.2315824357912195"/>
  </r>
  <r>
    <x v="0"/>
    <x v="38"/>
    <x v="8"/>
    <x v="16"/>
    <s v="PL_OFFSHORE"/>
    <x v="14"/>
    <n v="29.633696768848399"/>
    <n v="8.2315824357912195"/>
  </r>
  <r>
    <x v="0"/>
    <x v="38"/>
    <x v="8"/>
    <x v="16"/>
    <s v="PL_OFFSHORE"/>
    <x v="15"/>
    <n v="1.65807589063794"/>
    <n v="0.46057663628831802"/>
  </r>
  <r>
    <x v="0"/>
    <x v="38"/>
    <x v="8"/>
    <x v="16"/>
    <s v="PL_OFFSHORE"/>
    <x v="16"/>
    <n v="6.3819281410478998"/>
    <n v="1.77275781695775"/>
  </r>
  <r>
    <x v="0"/>
    <x v="38"/>
    <x v="8"/>
    <x v="16"/>
    <s v="PL_OFFSHORE"/>
    <x v="17"/>
    <n v="9.1244895875632395"/>
    <n v="2.5345804409897901"/>
  </r>
  <r>
    <x v="0"/>
    <x v="38"/>
    <x v="8"/>
    <x v="16"/>
    <s v="PL_OFFSHORE"/>
    <x v="18"/>
    <n v="29.633696768848399"/>
    <n v="8.2315824357912195"/>
  </r>
  <r>
    <x v="0"/>
    <x v="38"/>
    <x v="8"/>
    <x v="16"/>
    <s v="PL_OFFSHORE"/>
    <x v="19"/>
    <n v="8.1139884009941898"/>
    <n v="2.2538856669428302"/>
  </r>
  <r>
    <x v="0"/>
    <x v="38"/>
    <x v="8"/>
    <x v="16"/>
    <s v="PL_OFFSHORE"/>
    <x v="20"/>
    <n v="22.109183021311601"/>
    <n v="6.1414397281420996"/>
  </r>
  <r>
    <x v="0"/>
    <x v="38"/>
    <x v="8"/>
    <x v="16"/>
    <s v="PL_OFFSHORE"/>
    <x v="21"/>
    <n v="47.52"/>
    <n v="13.2"/>
  </r>
  <r>
    <x v="0"/>
    <x v="38"/>
    <x v="8"/>
    <x v="16"/>
    <s v="PL_OFFSHORE"/>
    <x v="22"/>
    <n v="61.56"/>
    <n v="17.100000000000001"/>
  </r>
  <r>
    <x v="0"/>
    <x v="38"/>
    <x v="8"/>
    <x v="16"/>
    <s v="PL_OFFSHORE"/>
    <x v="23"/>
    <n v="0.31515896120488701"/>
    <n v="8.7544155890246306E-2"/>
  </r>
  <r>
    <x v="0"/>
    <x v="38"/>
    <x v="8"/>
    <x v="16"/>
    <s v="PL_OFFSHORE"/>
    <x v="24"/>
    <n v="19.174223581093901"/>
    <n v="5.32617321697054"/>
  </r>
  <r>
    <x v="0"/>
    <x v="38"/>
    <x v="8"/>
    <x v="16"/>
    <s v="PL_OFFSHORE"/>
    <x v="25"/>
    <n v="26.209507293842599"/>
    <n v="7.2804186927340497"/>
  </r>
  <r>
    <x v="0"/>
    <x v="38"/>
    <x v="8"/>
    <x v="16"/>
    <s v="PL_OFFSHORE"/>
    <x v="26"/>
    <n v="33.320887798496699"/>
    <n v="9.2558021662490795"/>
  </r>
  <r>
    <x v="0"/>
    <x v="38"/>
    <x v="8"/>
    <x v="16"/>
    <s v="PL_OFFSHORE"/>
    <x v="27"/>
    <n v="20.163995508318798"/>
    <n v="5.6011098634218799"/>
  </r>
  <r>
    <x v="0"/>
    <x v="38"/>
    <x v="8"/>
    <x v="16"/>
    <s v="PL_Rural"/>
    <x v="1"/>
    <n v="35.989199999999997"/>
    <n v="9.9969999999999999"/>
  </r>
  <r>
    <x v="0"/>
    <x v="38"/>
    <x v="8"/>
    <x v="16"/>
    <s v="PL_Rural"/>
    <x v="2"/>
    <n v="43.2"/>
    <n v="12"/>
  </r>
  <r>
    <x v="0"/>
    <x v="38"/>
    <x v="8"/>
    <x v="16"/>
    <s v="PL_Rural"/>
    <x v="0"/>
    <n v="42.692399999999999"/>
    <n v="11.859"/>
  </r>
  <r>
    <x v="0"/>
    <x v="38"/>
    <x v="8"/>
    <x v="16"/>
    <s v="PL_Rural"/>
    <x v="3"/>
    <n v="51.633543144067197"/>
    <n v="14.342650873352"/>
  </r>
  <r>
    <x v="0"/>
    <x v="38"/>
    <x v="8"/>
    <x v="16"/>
    <s v="PL_Rural"/>
    <x v="4"/>
    <n v="6.3500778790389401"/>
    <n v="1.76391052195526"/>
  </r>
  <r>
    <x v="0"/>
    <x v="38"/>
    <x v="8"/>
    <x v="16"/>
    <s v="PL_Rural"/>
    <x v="5"/>
    <n v="6.3500778790389401"/>
    <n v="1.76391052195526"/>
  </r>
  <r>
    <x v="0"/>
    <x v="38"/>
    <x v="8"/>
    <x v="16"/>
    <s v="PL_Rural"/>
    <x v="6"/>
    <n v="29.476231795214598"/>
    <n v="8.1878421653373898"/>
  </r>
  <r>
    <x v="0"/>
    <x v="38"/>
    <x v="8"/>
    <x v="16"/>
    <s v="PL_Rural"/>
    <x v="7"/>
    <n v="57.838935220261199"/>
    <n v="16.066370894517"/>
  </r>
  <r>
    <x v="0"/>
    <x v="38"/>
    <x v="8"/>
    <x v="16"/>
    <s v="PL_Rural"/>
    <x v="8"/>
    <n v="57.838935220261199"/>
    <n v="16.066370894517"/>
  </r>
  <r>
    <x v="0"/>
    <x v="38"/>
    <x v="8"/>
    <x v="16"/>
    <s v="PL_Rural"/>
    <x v="9"/>
    <n v="44.4505451532725"/>
    <n v="12.3473736536868"/>
  </r>
  <r>
    <x v="0"/>
    <x v="38"/>
    <x v="8"/>
    <x v="16"/>
    <s v="PL_Rural"/>
    <x v="10"/>
    <n v="53.975661971830903"/>
    <n v="14.993239436619699"/>
  </r>
  <r>
    <x v="0"/>
    <x v="38"/>
    <x v="8"/>
    <x v="16"/>
    <s v="PL_Rural"/>
    <x v="11"/>
    <n v="3.8806031483015802"/>
    <n v="1.07794531897266"/>
  </r>
  <r>
    <x v="0"/>
    <x v="38"/>
    <x v="8"/>
    <x v="16"/>
    <s v="PL_Rural"/>
    <x v="12"/>
    <n v="9.7995028997514597E-2"/>
    <n v="2.72208413881985E-2"/>
  </r>
  <r>
    <x v="0"/>
    <x v="38"/>
    <x v="8"/>
    <x v="16"/>
    <s v="PL_Rural"/>
    <x v="13"/>
    <n v="29.633696768848399"/>
    <n v="8.2315824357912195"/>
  </r>
  <r>
    <x v="0"/>
    <x v="38"/>
    <x v="8"/>
    <x v="16"/>
    <s v="PL_Rural"/>
    <x v="14"/>
    <n v="29.633696768848399"/>
    <n v="8.2315824357912195"/>
  </r>
  <r>
    <x v="0"/>
    <x v="38"/>
    <x v="8"/>
    <x v="16"/>
    <s v="PL_Rural"/>
    <x v="15"/>
    <n v="1.65807589063794"/>
    <n v="0.46057663628831802"/>
  </r>
  <r>
    <x v="0"/>
    <x v="38"/>
    <x v="8"/>
    <x v="16"/>
    <s v="PL_Rural"/>
    <x v="16"/>
    <n v="6.3819281410478998"/>
    <n v="1.77275781695775"/>
  </r>
  <r>
    <x v="0"/>
    <x v="38"/>
    <x v="8"/>
    <x v="16"/>
    <s v="PL_Rural"/>
    <x v="17"/>
    <n v="9.1244895875632395"/>
    <n v="2.5345804409897901"/>
  </r>
  <r>
    <x v="0"/>
    <x v="38"/>
    <x v="8"/>
    <x v="16"/>
    <s v="PL_Rural"/>
    <x v="18"/>
    <n v="29.633696768848399"/>
    <n v="8.2315824357912195"/>
  </r>
  <r>
    <x v="0"/>
    <x v="38"/>
    <x v="8"/>
    <x v="16"/>
    <s v="PL_Rural"/>
    <x v="19"/>
    <n v="8.1139884009941898"/>
    <n v="2.2538856669428302"/>
  </r>
  <r>
    <x v="0"/>
    <x v="38"/>
    <x v="8"/>
    <x v="16"/>
    <s v="PL_Rural"/>
    <x v="20"/>
    <n v="22.109183021311601"/>
    <n v="6.1414397281420996"/>
  </r>
  <r>
    <x v="0"/>
    <x v="38"/>
    <x v="8"/>
    <x v="16"/>
    <s v="PL_Rural"/>
    <x v="21"/>
    <n v="47.52"/>
    <n v="13.2"/>
  </r>
  <r>
    <x v="0"/>
    <x v="38"/>
    <x v="8"/>
    <x v="16"/>
    <s v="PL_Rural"/>
    <x v="22"/>
    <n v="61.56"/>
    <n v="17.100000000000001"/>
  </r>
  <r>
    <x v="0"/>
    <x v="38"/>
    <x v="8"/>
    <x v="16"/>
    <s v="PL_Rural"/>
    <x v="23"/>
    <n v="0.31515896120488701"/>
    <n v="8.7544155890246306E-2"/>
  </r>
  <r>
    <x v="0"/>
    <x v="38"/>
    <x v="8"/>
    <x v="16"/>
    <s v="PL_Rural"/>
    <x v="24"/>
    <n v="19.174223581093901"/>
    <n v="5.32617321697054"/>
  </r>
  <r>
    <x v="0"/>
    <x v="38"/>
    <x v="8"/>
    <x v="16"/>
    <s v="PL_Rural"/>
    <x v="25"/>
    <n v="26.209507293842599"/>
    <n v="7.2804186927340497"/>
  </r>
  <r>
    <x v="0"/>
    <x v="38"/>
    <x v="8"/>
    <x v="16"/>
    <s v="PL_Rural"/>
    <x v="26"/>
    <n v="33.320887798496699"/>
    <n v="9.2558021662490795"/>
  </r>
  <r>
    <x v="0"/>
    <x v="38"/>
    <x v="8"/>
    <x v="16"/>
    <s v="PL_Rural"/>
    <x v="27"/>
    <n v="20.163995508318798"/>
    <n v="5.6011098634218799"/>
  </r>
  <r>
    <x v="0"/>
    <x v="38"/>
    <x v="9"/>
    <x v="17"/>
    <s v="SE1A"/>
    <x v="1"/>
    <n v="35.989199999999997"/>
    <n v="9.9969999999999999"/>
  </r>
  <r>
    <x v="0"/>
    <x v="38"/>
    <x v="9"/>
    <x v="17"/>
    <s v="SE1A"/>
    <x v="2"/>
    <n v="43.2"/>
    <n v="12"/>
  </r>
  <r>
    <x v="0"/>
    <x v="38"/>
    <x v="9"/>
    <x v="17"/>
    <s v="SE1A"/>
    <x v="0"/>
    <n v="42.692399999999999"/>
    <n v="11.859"/>
  </r>
  <r>
    <x v="0"/>
    <x v="38"/>
    <x v="9"/>
    <x v="17"/>
    <s v="SE1A"/>
    <x v="3"/>
    <n v="51.633543144067197"/>
    <n v="14.342650873352"/>
  </r>
  <r>
    <x v="0"/>
    <x v="38"/>
    <x v="9"/>
    <x v="17"/>
    <s v="SE1A"/>
    <x v="4"/>
    <n v="6.3500778790389401"/>
    <n v="1.76391052195526"/>
  </r>
  <r>
    <x v="0"/>
    <x v="38"/>
    <x v="9"/>
    <x v="17"/>
    <s v="SE1A"/>
    <x v="5"/>
    <n v="6.3500778790389401"/>
    <n v="1.76391052195526"/>
  </r>
  <r>
    <x v="0"/>
    <x v="38"/>
    <x v="9"/>
    <x v="17"/>
    <s v="SE1A"/>
    <x v="6"/>
    <n v="29.476231795214598"/>
    <n v="8.1878421653373898"/>
  </r>
  <r>
    <x v="0"/>
    <x v="38"/>
    <x v="9"/>
    <x v="17"/>
    <s v="SE1A"/>
    <x v="7"/>
    <n v="57.838935220261199"/>
    <n v="16.066370894517"/>
  </r>
  <r>
    <x v="0"/>
    <x v="38"/>
    <x v="9"/>
    <x v="17"/>
    <s v="SE1A"/>
    <x v="8"/>
    <n v="57.838935220261199"/>
    <n v="16.066370894517"/>
  </r>
  <r>
    <x v="0"/>
    <x v="38"/>
    <x v="9"/>
    <x v="17"/>
    <s v="SE1A"/>
    <x v="9"/>
    <n v="44.4505451532725"/>
    <n v="12.3473736536868"/>
  </r>
  <r>
    <x v="0"/>
    <x v="38"/>
    <x v="9"/>
    <x v="17"/>
    <s v="SE1A"/>
    <x v="10"/>
    <n v="53.975661971830903"/>
    <n v="14.993239436619699"/>
  </r>
  <r>
    <x v="0"/>
    <x v="38"/>
    <x v="9"/>
    <x v="17"/>
    <s v="SE1A"/>
    <x v="11"/>
    <n v="3.8806031483015802"/>
    <n v="1.07794531897266"/>
  </r>
  <r>
    <x v="0"/>
    <x v="38"/>
    <x v="9"/>
    <x v="17"/>
    <s v="SE1A"/>
    <x v="12"/>
    <n v="9.7995028997514597E-2"/>
    <n v="2.72208413881985E-2"/>
  </r>
  <r>
    <x v="0"/>
    <x v="38"/>
    <x v="9"/>
    <x v="17"/>
    <s v="SE1A"/>
    <x v="13"/>
    <n v="29.633696768848399"/>
    <n v="8.2315824357912195"/>
  </r>
  <r>
    <x v="0"/>
    <x v="38"/>
    <x v="9"/>
    <x v="17"/>
    <s v="SE1A"/>
    <x v="14"/>
    <n v="29.633696768848399"/>
    <n v="8.2315824357912195"/>
  </r>
  <r>
    <x v="0"/>
    <x v="38"/>
    <x v="9"/>
    <x v="17"/>
    <s v="SE1A"/>
    <x v="15"/>
    <n v="1.65807589063794"/>
    <n v="0.46057663628831802"/>
  </r>
  <r>
    <x v="0"/>
    <x v="38"/>
    <x v="9"/>
    <x v="17"/>
    <s v="SE1A"/>
    <x v="16"/>
    <n v="6.3819281410478998"/>
    <n v="1.77275781695775"/>
  </r>
  <r>
    <x v="0"/>
    <x v="38"/>
    <x v="9"/>
    <x v="17"/>
    <s v="SE1A"/>
    <x v="17"/>
    <n v="9.1244895875632395"/>
    <n v="2.5345804409897901"/>
  </r>
  <r>
    <x v="0"/>
    <x v="38"/>
    <x v="9"/>
    <x v="17"/>
    <s v="SE1A"/>
    <x v="18"/>
    <n v="29.633696768848399"/>
    <n v="8.2315824357912195"/>
  </r>
  <r>
    <x v="0"/>
    <x v="38"/>
    <x v="9"/>
    <x v="17"/>
    <s v="SE1A"/>
    <x v="19"/>
    <n v="8.1139884009941898"/>
    <n v="2.2538856669428302"/>
  </r>
  <r>
    <x v="0"/>
    <x v="38"/>
    <x v="9"/>
    <x v="17"/>
    <s v="SE1A"/>
    <x v="20"/>
    <n v="22.109183021311601"/>
    <n v="6.1414397281420996"/>
  </r>
  <r>
    <x v="0"/>
    <x v="38"/>
    <x v="9"/>
    <x v="17"/>
    <s v="SE1A"/>
    <x v="21"/>
    <n v="47.52"/>
    <n v="13.2"/>
  </r>
  <r>
    <x v="0"/>
    <x v="38"/>
    <x v="9"/>
    <x v="17"/>
    <s v="SE1A"/>
    <x v="22"/>
    <n v="61.56"/>
    <n v="17.100000000000001"/>
  </r>
  <r>
    <x v="0"/>
    <x v="38"/>
    <x v="9"/>
    <x v="17"/>
    <s v="SE1A"/>
    <x v="23"/>
    <n v="0.31515896120488701"/>
    <n v="8.7544155890246306E-2"/>
  </r>
  <r>
    <x v="0"/>
    <x v="38"/>
    <x v="9"/>
    <x v="17"/>
    <s v="SE1A"/>
    <x v="24"/>
    <n v="19.174223581093901"/>
    <n v="5.32617321697054"/>
  </r>
  <r>
    <x v="0"/>
    <x v="38"/>
    <x v="9"/>
    <x v="17"/>
    <s v="SE1A"/>
    <x v="25"/>
    <n v="26.209507293842599"/>
    <n v="7.2804186927340497"/>
  </r>
  <r>
    <x v="0"/>
    <x v="38"/>
    <x v="9"/>
    <x v="17"/>
    <s v="SE1A"/>
    <x v="26"/>
    <n v="33.320887798496699"/>
    <n v="9.2558021662490795"/>
  </r>
  <r>
    <x v="0"/>
    <x v="38"/>
    <x v="9"/>
    <x v="17"/>
    <s v="SE1A"/>
    <x v="27"/>
    <n v="20.163995508318798"/>
    <n v="5.6011098634218799"/>
  </r>
  <r>
    <x v="0"/>
    <x v="38"/>
    <x v="9"/>
    <x v="17"/>
    <s v="SE1_IND"/>
    <x v="1"/>
    <n v="35.989199999999997"/>
    <n v="9.9969999999999999"/>
  </r>
  <r>
    <x v="0"/>
    <x v="38"/>
    <x v="9"/>
    <x v="17"/>
    <s v="SE1_IND"/>
    <x v="2"/>
    <n v="43.2"/>
    <n v="12"/>
  </r>
  <r>
    <x v="0"/>
    <x v="38"/>
    <x v="9"/>
    <x v="17"/>
    <s v="SE1_IND"/>
    <x v="0"/>
    <n v="42.692399999999999"/>
    <n v="11.859"/>
  </r>
  <r>
    <x v="0"/>
    <x v="38"/>
    <x v="9"/>
    <x v="17"/>
    <s v="SE1_IND"/>
    <x v="3"/>
    <n v="51.633543144067197"/>
    <n v="14.342650873352"/>
  </r>
  <r>
    <x v="0"/>
    <x v="38"/>
    <x v="9"/>
    <x v="17"/>
    <s v="SE1_IND"/>
    <x v="4"/>
    <n v="6.3500778790389401"/>
    <n v="1.76391052195526"/>
  </r>
  <r>
    <x v="0"/>
    <x v="38"/>
    <x v="9"/>
    <x v="17"/>
    <s v="SE1_IND"/>
    <x v="5"/>
    <n v="6.3500778790389401"/>
    <n v="1.76391052195526"/>
  </r>
  <r>
    <x v="0"/>
    <x v="38"/>
    <x v="9"/>
    <x v="17"/>
    <s v="SE1_IND"/>
    <x v="6"/>
    <n v="29.476231795214598"/>
    <n v="8.1878421653373898"/>
  </r>
  <r>
    <x v="0"/>
    <x v="38"/>
    <x v="9"/>
    <x v="17"/>
    <s v="SE1_IND"/>
    <x v="7"/>
    <n v="57.838935220261199"/>
    <n v="16.066370894517"/>
  </r>
  <r>
    <x v="0"/>
    <x v="38"/>
    <x v="9"/>
    <x v="17"/>
    <s v="SE1_IND"/>
    <x v="8"/>
    <n v="57.838935220261199"/>
    <n v="16.066370894517"/>
  </r>
  <r>
    <x v="0"/>
    <x v="38"/>
    <x v="9"/>
    <x v="17"/>
    <s v="SE1_IND"/>
    <x v="9"/>
    <n v="44.4505451532725"/>
    <n v="12.3473736536868"/>
  </r>
  <r>
    <x v="0"/>
    <x v="38"/>
    <x v="9"/>
    <x v="17"/>
    <s v="SE1_IND"/>
    <x v="10"/>
    <n v="53.975661971830903"/>
    <n v="14.993239436619699"/>
  </r>
  <r>
    <x v="0"/>
    <x v="38"/>
    <x v="9"/>
    <x v="17"/>
    <s v="SE1_IND"/>
    <x v="11"/>
    <n v="3.8806031483015802"/>
    <n v="1.07794531897266"/>
  </r>
  <r>
    <x v="0"/>
    <x v="38"/>
    <x v="9"/>
    <x v="17"/>
    <s v="SE1_IND"/>
    <x v="12"/>
    <n v="9.7995028997514597E-2"/>
    <n v="2.72208413881985E-2"/>
  </r>
  <r>
    <x v="0"/>
    <x v="38"/>
    <x v="9"/>
    <x v="17"/>
    <s v="SE1_IND"/>
    <x v="13"/>
    <n v="29.633696768848399"/>
    <n v="8.2315824357912195"/>
  </r>
  <r>
    <x v="0"/>
    <x v="38"/>
    <x v="9"/>
    <x v="17"/>
    <s v="SE1_IND"/>
    <x v="14"/>
    <n v="29.633696768848399"/>
    <n v="8.2315824357912195"/>
  </r>
  <r>
    <x v="0"/>
    <x v="38"/>
    <x v="9"/>
    <x v="17"/>
    <s v="SE1_IND"/>
    <x v="15"/>
    <n v="1.65807589063794"/>
    <n v="0.46057663628831802"/>
  </r>
  <r>
    <x v="0"/>
    <x v="38"/>
    <x v="9"/>
    <x v="17"/>
    <s v="SE1_IND"/>
    <x v="16"/>
    <n v="6.3819281410478998"/>
    <n v="1.77275781695775"/>
  </r>
  <r>
    <x v="0"/>
    <x v="38"/>
    <x v="9"/>
    <x v="17"/>
    <s v="SE1_IND"/>
    <x v="17"/>
    <n v="9.1244895875632395"/>
    <n v="2.5345804409897901"/>
  </r>
  <r>
    <x v="0"/>
    <x v="38"/>
    <x v="9"/>
    <x v="17"/>
    <s v="SE1_IND"/>
    <x v="18"/>
    <n v="29.633696768848399"/>
    <n v="8.2315824357912195"/>
  </r>
  <r>
    <x v="0"/>
    <x v="38"/>
    <x v="9"/>
    <x v="17"/>
    <s v="SE1_IND"/>
    <x v="19"/>
    <n v="8.1139884009941898"/>
    <n v="2.2538856669428302"/>
  </r>
  <r>
    <x v="0"/>
    <x v="38"/>
    <x v="9"/>
    <x v="17"/>
    <s v="SE1_IND"/>
    <x v="20"/>
    <n v="22.109183021311601"/>
    <n v="6.1414397281420996"/>
  </r>
  <r>
    <x v="0"/>
    <x v="38"/>
    <x v="9"/>
    <x v="17"/>
    <s v="SE1_IND"/>
    <x v="21"/>
    <n v="47.52"/>
    <n v="13.2"/>
  </r>
  <r>
    <x v="0"/>
    <x v="38"/>
    <x v="9"/>
    <x v="17"/>
    <s v="SE1_IND"/>
    <x v="22"/>
    <n v="61.56"/>
    <n v="17.100000000000001"/>
  </r>
  <r>
    <x v="0"/>
    <x v="38"/>
    <x v="9"/>
    <x v="17"/>
    <s v="SE1_IND"/>
    <x v="23"/>
    <n v="0.31515896120488701"/>
    <n v="8.7544155890246306E-2"/>
  </r>
  <r>
    <x v="0"/>
    <x v="38"/>
    <x v="9"/>
    <x v="17"/>
    <s v="SE1_IND"/>
    <x v="24"/>
    <n v="19.174223581093901"/>
    <n v="5.32617321697054"/>
  </r>
  <r>
    <x v="0"/>
    <x v="38"/>
    <x v="9"/>
    <x v="17"/>
    <s v="SE1_IND"/>
    <x v="25"/>
    <n v="26.209507293842599"/>
    <n v="7.2804186927340497"/>
  </r>
  <r>
    <x v="0"/>
    <x v="38"/>
    <x v="9"/>
    <x v="17"/>
    <s v="SE1_IND"/>
    <x v="26"/>
    <n v="33.320887798496699"/>
    <n v="9.2558021662490795"/>
  </r>
  <r>
    <x v="0"/>
    <x v="38"/>
    <x v="9"/>
    <x v="17"/>
    <s v="SE1_IND"/>
    <x v="27"/>
    <n v="20.163995508318798"/>
    <n v="5.6011098634218799"/>
  </r>
  <r>
    <x v="0"/>
    <x v="38"/>
    <x v="9"/>
    <x v="17"/>
    <s v="SE1_Offshore"/>
    <x v="1"/>
    <n v="35.989199999999997"/>
    <n v="9.9969999999999999"/>
  </r>
  <r>
    <x v="0"/>
    <x v="38"/>
    <x v="9"/>
    <x v="17"/>
    <s v="SE1_Offshore"/>
    <x v="2"/>
    <n v="43.2"/>
    <n v="12"/>
  </r>
  <r>
    <x v="0"/>
    <x v="38"/>
    <x v="9"/>
    <x v="17"/>
    <s v="SE1_Offshore"/>
    <x v="0"/>
    <n v="42.692399999999999"/>
    <n v="11.859"/>
  </r>
  <r>
    <x v="0"/>
    <x v="38"/>
    <x v="9"/>
    <x v="17"/>
    <s v="SE1_Offshore"/>
    <x v="3"/>
    <n v="51.633543144067197"/>
    <n v="14.342650873352"/>
  </r>
  <r>
    <x v="0"/>
    <x v="38"/>
    <x v="9"/>
    <x v="17"/>
    <s v="SE1_Offshore"/>
    <x v="4"/>
    <n v="6.3500778790389401"/>
    <n v="1.76391052195526"/>
  </r>
  <r>
    <x v="0"/>
    <x v="38"/>
    <x v="9"/>
    <x v="17"/>
    <s v="SE1_Offshore"/>
    <x v="5"/>
    <n v="6.3500778790389401"/>
    <n v="1.76391052195526"/>
  </r>
  <r>
    <x v="0"/>
    <x v="38"/>
    <x v="9"/>
    <x v="17"/>
    <s v="SE1_Offshore"/>
    <x v="6"/>
    <n v="29.476231795214598"/>
    <n v="8.1878421653373898"/>
  </r>
  <r>
    <x v="0"/>
    <x v="38"/>
    <x v="9"/>
    <x v="17"/>
    <s v="SE1_Offshore"/>
    <x v="7"/>
    <n v="57.838935220261199"/>
    <n v="16.066370894517"/>
  </r>
  <r>
    <x v="0"/>
    <x v="38"/>
    <x v="9"/>
    <x v="17"/>
    <s v="SE1_Offshore"/>
    <x v="8"/>
    <n v="57.838935220261199"/>
    <n v="16.066370894517"/>
  </r>
  <r>
    <x v="0"/>
    <x v="38"/>
    <x v="9"/>
    <x v="17"/>
    <s v="SE1_Offshore"/>
    <x v="9"/>
    <n v="44.4505451532725"/>
    <n v="12.3473736536868"/>
  </r>
  <r>
    <x v="0"/>
    <x v="38"/>
    <x v="9"/>
    <x v="17"/>
    <s v="SE1_Offshore"/>
    <x v="10"/>
    <n v="53.975661971830903"/>
    <n v="14.993239436619699"/>
  </r>
  <r>
    <x v="0"/>
    <x v="38"/>
    <x v="9"/>
    <x v="17"/>
    <s v="SE1_Offshore"/>
    <x v="11"/>
    <n v="3.8806031483015802"/>
    <n v="1.07794531897266"/>
  </r>
  <r>
    <x v="0"/>
    <x v="38"/>
    <x v="9"/>
    <x v="17"/>
    <s v="SE1_Offshore"/>
    <x v="12"/>
    <n v="9.7995028997514597E-2"/>
    <n v="2.72208413881985E-2"/>
  </r>
  <r>
    <x v="0"/>
    <x v="38"/>
    <x v="9"/>
    <x v="17"/>
    <s v="SE1_Offshore"/>
    <x v="13"/>
    <n v="29.633696768848399"/>
    <n v="8.2315824357912195"/>
  </r>
  <r>
    <x v="0"/>
    <x v="38"/>
    <x v="9"/>
    <x v="17"/>
    <s v="SE1_Offshore"/>
    <x v="14"/>
    <n v="29.633696768848399"/>
    <n v="8.2315824357912195"/>
  </r>
  <r>
    <x v="0"/>
    <x v="38"/>
    <x v="9"/>
    <x v="17"/>
    <s v="SE1_Offshore"/>
    <x v="15"/>
    <n v="1.65807589063794"/>
    <n v="0.46057663628831802"/>
  </r>
  <r>
    <x v="0"/>
    <x v="38"/>
    <x v="9"/>
    <x v="17"/>
    <s v="SE1_Offshore"/>
    <x v="16"/>
    <n v="6.3819281410478998"/>
    <n v="1.77275781695775"/>
  </r>
  <r>
    <x v="0"/>
    <x v="38"/>
    <x v="9"/>
    <x v="17"/>
    <s v="SE1_Offshore"/>
    <x v="17"/>
    <n v="9.1244895875632395"/>
    <n v="2.5345804409897901"/>
  </r>
  <r>
    <x v="0"/>
    <x v="38"/>
    <x v="9"/>
    <x v="17"/>
    <s v="SE1_Offshore"/>
    <x v="18"/>
    <n v="29.633696768848399"/>
    <n v="8.2315824357912195"/>
  </r>
  <r>
    <x v="0"/>
    <x v="38"/>
    <x v="9"/>
    <x v="17"/>
    <s v="SE1_Offshore"/>
    <x v="19"/>
    <n v="8.1139884009941898"/>
    <n v="2.2538856669428302"/>
  </r>
  <r>
    <x v="0"/>
    <x v="38"/>
    <x v="9"/>
    <x v="17"/>
    <s v="SE1_Offshore"/>
    <x v="20"/>
    <n v="22.109183021311601"/>
    <n v="6.1414397281420996"/>
  </r>
  <r>
    <x v="0"/>
    <x v="38"/>
    <x v="9"/>
    <x v="17"/>
    <s v="SE1_Offshore"/>
    <x v="21"/>
    <n v="47.52"/>
    <n v="13.2"/>
  </r>
  <r>
    <x v="0"/>
    <x v="38"/>
    <x v="9"/>
    <x v="17"/>
    <s v="SE1_Offshore"/>
    <x v="22"/>
    <n v="61.56"/>
    <n v="17.100000000000001"/>
  </r>
  <r>
    <x v="0"/>
    <x v="38"/>
    <x v="9"/>
    <x v="17"/>
    <s v="SE1_Offshore"/>
    <x v="23"/>
    <n v="0.31515896120488701"/>
    <n v="8.7544155890246306E-2"/>
  </r>
  <r>
    <x v="0"/>
    <x v="38"/>
    <x v="9"/>
    <x v="17"/>
    <s v="SE1_Offshore"/>
    <x v="24"/>
    <n v="19.174223581093901"/>
    <n v="5.32617321697054"/>
  </r>
  <r>
    <x v="0"/>
    <x v="38"/>
    <x v="9"/>
    <x v="17"/>
    <s v="SE1_Offshore"/>
    <x v="25"/>
    <n v="26.209507293842599"/>
    <n v="7.2804186927340497"/>
  </r>
  <r>
    <x v="0"/>
    <x v="38"/>
    <x v="9"/>
    <x v="17"/>
    <s v="SE1_Offshore"/>
    <x v="26"/>
    <n v="33.320887798496699"/>
    <n v="9.2558021662490795"/>
  </r>
  <r>
    <x v="0"/>
    <x v="38"/>
    <x v="9"/>
    <x v="17"/>
    <s v="SE1_Offshore"/>
    <x v="27"/>
    <n v="20.163995508318798"/>
    <n v="5.6011098634218799"/>
  </r>
  <r>
    <x v="0"/>
    <x v="38"/>
    <x v="9"/>
    <x v="17"/>
    <s v="SE1_medium"/>
    <x v="1"/>
    <n v="35.989199999999997"/>
    <n v="9.9969999999999999"/>
  </r>
  <r>
    <x v="0"/>
    <x v="38"/>
    <x v="9"/>
    <x v="17"/>
    <s v="SE1_medium"/>
    <x v="2"/>
    <n v="43.2"/>
    <n v="12"/>
  </r>
  <r>
    <x v="0"/>
    <x v="38"/>
    <x v="9"/>
    <x v="17"/>
    <s v="SE1_medium"/>
    <x v="0"/>
    <n v="42.692399999999999"/>
    <n v="11.859"/>
  </r>
  <r>
    <x v="0"/>
    <x v="38"/>
    <x v="9"/>
    <x v="17"/>
    <s v="SE1_medium"/>
    <x v="3"/>
    <n v="51.633543144067197"/>
    <n v="14.342650873352"/>
  </r>
  <r>
    <x v="0"/>
    <x v="38"/>
    <x v="9"/>
    <x v="17"/>
    <s v="SE1_medium"/>
    <x v="4"/>
    <n v="6.3500778790389401"/>
    <n v="1.76391052195526"/>
  </r>
  <r>
    <x v="0"/>
    <x v="38"/>
    <x v="9"/>
    <x v="17"/>
    <s v="SE1_medium"/>
    <x v="5"/>
    <n v="6.3500778790389401"/>
    <n v="1.76391052195526"/>
  </r>
  <r>
    <x v="0"/>
    <x v="38"/>
    <x v="9"/>
    <x v="17"/>
    <s v="SE1_medium"/>
    <x v="6"/>
    <n v="29.476231795214598"/>
    <n v="8.1878421653373898"/>
  </r>
  <r>
    <x v="0"/>
    <x v="38"/>
    <x v="9"/>
    <x v="17"/>
    <s v="SE1_medium"/>
    <x v="7"/>
    <n v="57.838935220261199"/>
    <n v="16.066370894517"/>
  </r>
  <r>
    <x v="0"/>
    <x v="38"/>
    <x v="9"/>
    <x v="17"/>
    <s v="SE1_medium"/>
    <x v="8"/>
    <n v="57.838935220261199"/>
    <n v="16.066370894517"/>
  </r>
  <r>
    <x v="0"/>
    <x v="38"/>
    <x v="9"/>
    <x v="17"/>
    <s v="SE1_medium"/>
    <x v="9"/>
    <n v="44.4505451532725"/>
    <n v="12.3473736536868"/>
  </r>
  <r>
    <x v="0"/>
    <x v="38"/>
    <x v="9"/>
    <x v="17"/>
    <s v="SE1_medium"/>
    <x v="10"/>
    <n v="53.975661971830903"/>
    <n v="14.993239436619699"/>
  </r>
  <r>
    <x v="0"/>
    <x v="38"/>
    <x v="9"/>
    <x v="17"/>
    <s v="SE1_medium"/>
    <x v="11"/>
    <n v="3.8806031483015802"/>
    <n v="1.07794531897266"/>
  </r>
  <r>
    <x v="0"/>
    <x v="38"/>
    <x v="9"/>
    <x v="17"/>
    <s v="SE1_medium"/>
    <x v="12"/>
    <n v="9.7995028997514597E-2"/>
    <n v="2.72208413881985E-2"/>
  </r>
  <r>
    <x v="0"/>
    <x v="38"/>
    <x v="9"/>
    <x v="17"/>
    <s v="SE1_medium"/>
    <x v="13"/>
    <n v="29.633696768848399"/>
    <n v="8.2315824357912195"/>
  </r>
  <r>
    <x v="0"/>
    <x v="38"/>
    <x v="9"/>
    <x v="17"/>
    <s v="SE1_medium"/>
    <x v="14"/>
    <n v="29.633696768848399"/>
    <n v="8.2315824357912195"/>
  </r>
  <r>
    <x v="0"/>
    <x v="38"/>
    <x v="9"/>
    <x v="17"/>
    <s v="SE1_medium"/>
    <x v="15"/>
    <n v="1.65807589063794"/>
    <n v="0.46057663628831802"/>
  </r>
  <r>
    <x v="0"/>
    <x v="38"/>
    <x v="9"/>
    <x v="17"/>
    <s v="SE1_medium"/>
    <x v="16"/>
    <n v="6.3819281410478998"/>
    <n v="1.77275781695775"/>
  </r>
  <r>
    <x v="0"/>
    <x v="38"/>
    <x v="9"/>
    <x v="17"/>
    <s v="SE1_medium"/>
    <x v="17"/>
    <n v="9.1244895875632395"/>
    <n v="2.5345804409897901"/>
  </r>
  <r>
    <x v="0"/>
    <x v="38"/>
    <x v="9"/>
    <x v="17"/>
    <s v="SE1_medium"/>
    <x v="18"/>
    <n v="29.633696768848399"/>
    <n v="8.2315824357912195"/>
  </r>
  <r>
    <x v="0"/>
    <x v="38"/>
    <x v="9"/>
    <x v="17"/>
    <s v="SE1_medium"/>
    <x v="19"/>
    <n v="8.1139884009941898"/>
    <n v="2.2538856669428302"/>
  </r>
  <r>
    <x v="0"/>
    <x v="38"/>
    <x v="9"/>
    <x v="17"/>
    <s v="SE1_medium"/>
    <x v="20"/>
    <n v="22.109183021311601"/>
    <n v="6.1414397281420996"/>
  </r>
  <r>
    <x v="0"/>
    <x v="38"/>
    <x v="9"/>
    <x v="17"/>
    <s v="SE1_medium"/>
    <x v="21"/>
    <n v="47.52"/>
    <n v="13.2"/>
  </r>
  <r>
    <x v="0"/>
    <x v="38"/>
    <x v="9"/>
    <x v="17"/>
    <s v="SE1_medium"/>
    <x v="22"/>
    <n v="61.56"/>
    <n v="17.100000000000001"/>
  </r>
  <r>
    <x v="0"/>
    <x v="38"/>
    <x v="9"/>
    <x v="17"/>
    <s v="SE1_medium"/>
    <x v="23"/>
    <n v="0.31515896120488701"/>
    <n v="8.7544155890246306E-2"/>
  </r>
  <r>
    <x v="0"/>
    <x v="38"/>
    <x v="9"/>
    <x v="17"/>
    <s v="SE1_medium"/>
    <x v="24"/>
    <n v="19.174223581093901"/>
    <n v="5.32617321697054"/>
  </r>
  <r>
    <x v="0"/>
    <x v="38"/>
    <x v="9"/>
    <x v="17"/>
    <s v="SE1_medium"/>
    <x v="25"/>
    <n v="26.209507293842599"/>
    <n v="7.2804186927340497"/>
  </r>
  <r>
    <x v="0"/>
    <x v="38"/>
    <x v="9"/>
    <x v="17"/>
    <s v="SE1_medium"/>
    <x v="26"/>
    <n v="33.320887798496699"/>
    <n v="9.2558021662490795"/>
  </r>
  <r>
    <x v="0"/>
    <x v="38"/>
    <x v="9"/>
    <x v="17"/>
    <s v="SE1_medium"/>
    <x v="27"/>
    <n v="20.163995508318798"/>
    <n v="5.6011098634218799"/>
  </r>
  <r>
    <x v="0"/>
    <x v="38"/>
    <x v="9"/>
    <x v="17"/>
    <s v="SE1_small"/>
    <x v="1"/>
    <n v="35.989199999999997"/>
    <n v="9.9969999999999999"/>
  </r>
  <r>
    <x v="0"/>
    <x v="38"/>
    <x v="9"/>
    <x v="17"/>
    <s v="SE1_small"/>
    <x v="2"/>
    <n v="43.2"/>
    <n v="12"/>
  </r>
  <r>
    <x v="0"/>
    <x v="38"/>
    <x v="9"/>
    <x v="17"/>
    <s v="SE1_small"/>
    <x v="0"/>
    <n v="42.692399999999999"/>
    <n v="11.859"/>
  </r>
  <r>
    <x v="0"/>
    <x v="38"/>
    <x v="9"/>
    <x v="17"/>
    <s v="SE1_small"/>
    <x v="3"/>
    <n v="51.633543144067197"/>
    <n v="14.342650873352"/>
  </r>
  <r>
    <x v="0"/>
    <x v="38"/>
    <x v="9"/>
    <x v="17"/>
    <s v="SE1_small"/>
    <x v="4"/>
    <n v="6.3500778790389401"/>
    <n v="1.76391052195526"/>
  </r>
  <r>
    <x v="0"/>
    <x v="38"/>
    <x v="9"/>
    <x v="17"/>
    <s v="SE1_small"/>
    <x v="5"/>
    <n v="6.3500778790389401"/>
    <n v="1.76391052195526"/>
  </r>
  <r>
    <x v="0"/>
    <x v="38"/>
    <x v="9"/>
    <x v="17"/>
    <s v="SE1_small"/>
    <x v="6"/>
    <n v="29.476231795214598"/>
    <n v="8.1878421653373898"/>
  </r>
  <r>
    <x v="0"/>
    <x v="38"/>
    <x v="9"/>
    <x v="17"/>
    <s v="SE1_small"/>
    <x v="7"/>
    <n v="57.838935220261199"/>
    <n v="16.066370894517"/>
  </r>
  <r>
    <x v="0"/>
    <x v="38"/>
    <x v="9"/>
    <x v="17"/>
    <s v="SE1_small"/>
    <x v="8"/>
    <n v="57.838935220261199"/>
    <n v="16.066370894517"/>
  </r>
  <r>
    <x v="0"/>
    <x v="38"/>
    <x v="9"/>
    <x v="17"/>
    <s v="SE1_small"/>
    <x v="9"/>
    <n v="44.4505451532725"/>
    <n v="12.3473736536868"/>
  </r>
  <r>
    <x v="0"/>
    <x v="38"/>
    <x v="9"/>
    <x v="17"/>
    <s v="SE1_small"/>
    <x v="10"/>
    <n v="53.975661971830903"/>
    <n v="14.993239436619699"/>
  </r>
  <r>
    <x v="0"/>
    <x v="38"/>
    <x v="9"/>
    <x v="17"/>
    <s v="SE1_small"/>
    <x v="11"/>
    <n v="3.8806031483015802"/>
    <n v="1.07794531897266"/>
  </r>
  <r>
    <x v="0"/>
    <x v="38"/>
    <x v="9"/>
    <x v="17"/>
    <s v="SE1_small"/>
    <x v="12"/>
    <n v="9.7995028997514597E-2"/>
    <n v="2.72208413881985E-2"/>
  </r>
  <r>
    <x v="0"/>
    <x v="38"/>
    <x v="9"/>
    <x v="17"/>
    <s v="SE1_small"/>
    <x v="13"/>
    <n v="29.633696768848399"/>
    <n v="8.2315824357912195"/>
  </r>
  <r>
    <x v="0"/>
    <x v="38"/>
    <x v="9"/>
    <x v="17"/>
    <s v="SE1_small"/>
    <x v="14"/>
    <n v="29.633696768848399"/>
    <n v="8.2315824357912195"/>
  </r>
  <r>
    <x v="0"/>
    <x v="38"/>
    <x v="9"/>
    <x v="17"/>
    <s v="SE1_small"/>
    <x v="15"/>
    <n v="1.65807589063794"/>
    <n v="0.46057663628831802"/>
  </r>
  <r>
    <x v="0"/>
    <x v="38"/>
    <x v="9"/>
    <x v="17"/>
    <s v="SE1_small"/>
    <x v="16"/>
    <n v="6.3819281410478998"/>
    <n v="1.77275781695775"/>
  </r>
  <r>
    <x v="0"/>
    <x v="38"/>
    <x v="9"/>
    <x v="17"/>
    <s v="SE1_small"/>
    <x v="17"/>
    <n v="9.1244895875632395"/>
    <n v="2.5345804409897901"/>
  </r>
  <r>
    <x v="0"/>
    <x v="38"/>
    <x v="9"/>
    <x v="17"/>
    <s v="SE1_small"/>
    <x v="18"/>
    <n v="29.633696768848399"/>
    <n v="8.2315824357912195"/>
  </r>
  <r>
    <x v="0"/>
    <x v="38"/>
    <x v="9"/>
    <x v="17"/>
    <s v="SE1_small"/>
    <x v="19"/>
    <n v="8.1139884009941898"/>
    <n v="2.2538856669428302"/>
  </r>
  <r>
    <x v="0"/>
    <x v="38"/>
    <x v="9"/>
    <x v="17"/>
    <s v="SE1_small"/>
    <x v="20"/>
    <n v="22.109183021311601"/>
    <n v="6.1414397281420996"/>
  </r>
  <r>
    <x v="0"/>
    <x v="38"/>
    <x v="9"/>
    <x v="17"/>
    <s v="SE1_small"/>
    <x v="21"/>
    <n v="47.52"/>
    <n v="13.2"/>
  </r>
  <r>
    <x v="0"/>
    <x v="38"/>
    <x v="9"/>
    <x v="17"/>
    <s v="SE1_small"/>
    <x v="22"/>
    <n v="61.56"/>
    <n v="17.100000000000001"/>
  </r>
  <r>
    <x v="0"/>
    <x v="38"/>
    <x v="9"/>
    <x v="17"/>
    <s v="SE1_small"/>
    <x v="23"/>
    <n v="0.31515896120488701"/>
    <n v="8.7544155890246306E-2"/>
  </r>
  <r>
    <x v="0"/>
    <x v="38"/>
    <x v="9"/>
    <x v="17"/>
    <s v="SE1_small"/>
    <x v="24"/>
    <n v="19.174223581093901"/>
    <n v="5.32617321697054"/>
  </r>
  <r>
    <x v="0"/>
    <x v="38"/>
    <x v="9"/>
    <x v="17"/>
    <s v="SE1_small"/>
    <x v="25"/>
    <n v="26.209507293842599"/>
    <n v="7.2804186927340497"/>
  </r>
  <r>
    <x v="0"/>
    <x v="38"/>
    <x v="9"/>
    <x v="17"/>
    <s v="SE1_small"/>
    <x v="26"/>
    <n v="33.320887798496699"/>
    <n v="9.2558021662490795"/>
  </r>
  <r>
    <x v="0"/>
    <x v="38"/>
    <x v="9"/>
    <x v="17"/>
    <s v="SE1_small"/>
    <x v="27"/>
    <n v="20.163995508318798"/>
    <n v="5.6011098634218799"/>
  </r>
  <r>
    <x v="0"/>
    <x v="38"/>
    <x v="9"/>
    <x v="18"/>
    <s v="SE2A"/>
    <x v="1"/>
    <n v="35.989199999999997"/>
    <n v="9.9969999999999999"/>
  </r>
  <r>
    <x v="0"/>
    <x v="38"/>
    <x v="9"/>
    <x v="18"/>
    <s v="SE2A"/>
    <x v="2"/>
    <n v="43.2"/>
    <n v="12"/>
  </r>
  <r>
    <x v="0"/>
    <x v="38"/>
    <x v="9"/>
    <x v="18"/>
    <s v="SE2A"/>
    <x v="0"/>
    <n v="42.692399999999999"/>
    <n v="11.859"/>
  </r>
  <r>
    <x v="0"/>
    <x v="38"/>
    <x v="9"/>
    <x v="18"/>
    <s v="SE2A"/>
    <x v="3"/>
    <n v="51.633543144067197"/>
    <n v="14.342650873352"/>
  </r>
  <r>
    <x v="0"/>
    <x v="38"/>
    <x v="9"/>
    <x v="18"/>
    <s v="SE2A"/>
    <x v="4"/>
    <n v="6.3500778790389401"/>
    <n v="1.76391052195526"/>
  </r>
  <r>
    <x v="0"/>
    <x v="38"/>
    <x v="9"/>
    <x v="18"/>
    <s v="SE2A"/>
    <x v="5"/>
    <n v="6.3500778790389401"/>
    <n v="1.76391052195526"/>
  </r>
  <r>
    <x v="0"/>
    <x v="38"/>
    <x v="9"/>
    <x v="18"/>
    <s v="SE2A"/>
    <x v="6"/>
    <n v="29.476231795214598"/>
    <n v="8.1878421653373898"/>
  </r>
  <r>
    <x v="0"/>
    <x v="38"/>
    <x v="9"/>
    <x v="18"/>
    <s v="SE2A"/>
    <x v="7"/>
    <n v="57.838935220261199"/>
    <n v="16.066370894517"/>
  </r>
  <r>
    <x v="0"/>
    <x v="38"/>
    <x v="9"/>
    <x v="18"/>
    <s v="SE2A"/>
    <x v="8"/>
    <n v="57.838935220261199"/>
    <n v="16.066370894517"/>
  </r>
  <r>
    <x v="0"/>
    <x v="38"/>
    <x v="9"/>
    <x v="18"/>
    <s v="SE2A"/>
    <x v="9"/>
    <n v="44.4505451532725"/>
    <n v="12.3473736536868"/>
  </r>
  <r>
    <x v="0"/>
    <x v="38"/>
    <x v="9"/>
    <x v="18"/>
    <s v="SE2A"/>
    <x v="10"/>
    <n v="53.975661971830903"/>
    <n v="14.993239436619699"/>
  </r>
  <r>
    <x v="0"/>
    <x v="38"/>
    <x v="9"/>
    <x v="18"/>
    <s v="SE2A"/>
    <x v="11"/>
    <n v="3.8806031483015802"/>
    <n v="1.07794531897266"/>
  </r>
  <r>
    <x v="0"/>
    <x v="38"/>
    <x v="9"/>
    <x v="18"/>
    <s v="SE2A"/>
    <x v="12"/>
    <n v="9.7995028997514597E-2"/>
    <n v="2.72208413881985E-2"/>
  </r>
  <r>
    <x v="0"/>
    <x v="38"/>
    <x v="9"/>
    <x v="18"/>
    <s v="SE2A"/>
    <x v="13"/>
    <n v="29.633696768848399"/>
    <n v="8.2315824357912195"/>
  </r>
  <r>
    <x v="0"/>
    <x v="38"/>
    <x v="9"/>
    <x v="18"/>
    <s v="SE2A"/>
    <x v="14"/>
    <n v="29.633696768848399"/>
    <n v="8.2315824357912195"/>
  </r>
  <r>
    <x v="0"/>
    <x v="38"/>
    <x v="9"/>
    <x v="18"/>
    <s v="SE2A"/>
    <x v="15"/>
    <n v="1.65807589063794"/>
    <n v="0.46057663628831802"/>
  </r>
  <r>
    <x v="0"/>
    <x v="38"/>
    <x v="9"/>
    <x v="18"/>
    <s v="SE2A"/>
    <x v="16"/>
    <n v="6.3819281410478998"/>
    <n v="1.77275781695775"/>
  </r>
  <r>
    <x v="0"/>
    <x v="38"/>
    <x v="9"/>
    <x v="18"/>
    <s v="SE2A"/>
    <x v="17"/>
    <n v="9.1244895875632395"/>
    <n v="2.5345804409897901"/>
  </r>
  <r>
    <x v="0"/>
    <x v="38"/>
    <x v="9"/>
    <x v="18"/>
    <s v="SE2A"/>
    <x v="18"/>
    <n v="29.633696768848399"/>
    <n v="8.2315824357912195"/>
  </r>
  <r>
    <x v="0"/>
    <x v="38"/>
    <x v="9"/>
    <x v="18"/>
    <s v="SE2A"/>
    <x v="19"/>
    <n v="8.1139884009941898"/>
    <n v="2.2538856669428302"/>
  </r>
  <r>
    <x v="0"/>
    <x v="38"/>
    <x v="9"/>
    <x v="18"/>
    <s v="SE2A"/>
    <x v="20"/>
    <n v="22.109183021311601"/>
    <n v="6.1414397281420996"/>
  </r>
  <r>
    <x v="0"/>
    <x v="38"/>
    <x v="9"/>
    <x v="18"/>
    <s v="SE2A"/>
    <x v="21"/>
    <n v="47.52"/>
    <n v="13.2"/>
  </r>
  <r>
    <x v="0"/>
    <x v="38"/>
    <x v="9"/>
    <x v="18"/>
    <s v="SE2A"/>
    <x v="22"/>
    <n v="61.56"/>
    <n v="17.100000000000001"/>
  </r>
  <r>
    <x v="0"/>
    <x v="38"/>
    <x v="9"/>
    <x v="18"/>
    <s v="SE2A"/>
    <x v="23"/>
    <n v="0.31515896120488701"/>
    <n v="8.7544155890246306E-2"/>
  </r>
  <r>
    <x v="0"/>
    <x v="38"/>
    <x v="9"/>
    <x v="18"/>
    <s v="SE2A"/>
    <x v="24"/>
    <n v="19.174223581093901"/>
    <n v="5.32617321697054"/>
  </r>
  <r>
    <x v="0"/>
    <x v="38"/>
    <x v="9"/>
    <x v="18"/>
    <s v="SE2A"/>
    <x v="25"/>
    <n v="26.209507293842599"/>
    <n v="7.2804186927340497"/>
  </r>
  <r>
    <x v="0"/>
    <x v="38"/>
    <x v="9"/>
    <x v="18"/>
    <s v="SE2A"/>
    <x v="26"/>
    <n v="33.320887798496699"/>
    <n v="9.2558021662490795"/>
  </r>
  <r>
    <x v="0"/>
    <x v="38"/>
    <x v="9"/>
    <x v="18"/>
    <s v="SE2A"/>
    <x v="27"/>
    <n v="20.163995508318798"/>
    <n v="5.6011098634218799"/>
  </r>
  <r>
    <x v="0"/>
    <x v="38"/>
    <x v="9"/>
    <x v="18"/>
    <s v="SE2_IND"/>
    <x v="1"/>
    <n v="35.989199999999997"/>
    <n v="9.9969999999999999"/>
  </r>
  <r>
    <x v="0"/>
    <x v="38"/>
    <x v="9"/>
    <x v="18"/>
    <s v="SE2_IND"/>
    <x v="2"/>
    <n v="43.2"/>
    <n v="12"/>
  </r>
  <r>
    <x v="0"/>
    <x v="38"/>
    <x v="9"/>
    <x v="18"/>
    <s v="SE2_IND"/>
    <x v="0"/>
    <n v="42.692399999999999"/>
    <n v="11.859"/>
  </r>
  <r>
    <x v="0"/>
    <x v="38"/>
    <x v="9"/>
    <x v="18"/>
    <s v="SE2_IND"/>
    <x v="3"/>
    <n v="51.633543144067197"/>
    <n v="14.342650873352"/>
  </r>
  <r>
    <x v="0"/>
    <x v="38"/>
    <x v="9"/>
    <x v="18"/>
    <s v="SE2_IND"/>
    <x v="4"/>
    <n v="6.3500778790389401"/>
    <n v="1.76391052195526"/>
  </r>
  <r>
    <x v="0"/>
    <x v="38"/>
    <x v="9"/>
    <x v="18"/>
    <s v="SE2_IND"/>
    <x v="5"/>
    <n v="6.3500778790389401"/>
    <n v="1.76391052195526"/>
  </r>
  <r>
    <x v="0"/>
    <x v="38"/>
    <x v="9"/>
    <x v="18"/>
    <s v="SE2_IND"/>
    <x v="6"/>
    <n v="29.476231795214598"/>
    <n v="8.1878421653373898"/>
  </r>
  <r>
    <x v="0"/>
    <x v="38"/>
    <x v="9"/>
    <x v="18"/>
    <s v="SE2_IND"/>
    <x v="7"/>
    <n v="57.838935220261199"/>
    <n v="16.066370894517"/>
  </r>
  <r>
    <x v="0"/>
    <x v="38"/>
    <x v="9"/>
    <x v="18"/>
    <s v="SE2_IND"/>
    <x v="8"/>
    <n v="57.838935220261199"/>
    <n v="16.066370894517"/>
  </r>
  <r>
    <x v="0"/>
    <x v="38"/>
    <x v="9"/>
    <x v="18"/>
    <s v="SE2_IND"/>
    <x v="9"/>
    <n v="44.4505451532725"/>
    <n v="12.3473736536868"/>
  </r>
  <r>
    <x v="0"/>
    <x v="38"/>
    <x v="9"/>
    <x v="18"/>
    <s v="SE2_IND"/>
    <x v="10"/>
    <n v="53.975661971830903"/>
    <n v="14.993239436619699"/>
  </r>
  <r>
    <x v="0"/>
    <x v="38"/>
    <x v="9"/>
    <x v="18"/>
    <s v="SE2_IND"/>
    <x v="11"/>
    <n v="3.8806031483015802"/>
    <n v="1.07794531897266"/>
  </r>
  <r>
    <x v="0"/>
    <x v="38"/>
    <x v="9"/>
    <x v="18"/>
    <s v="SE2_IND"/>
    <x v="12"/>
    <n v="9.7995028997514597E-2"/>
    <n v="2.72208413881985E-2"/>
  </r>
  <r>
    <x v="0"/>
    <x v="38"/>
    <x v="9"/>
    <x v="18"/>
    <s v="SE2_IND"/>
    <x v="13"/>
    <n v="29.633696768848399"/>
    <n v="8.2315824357912195"/>
  </r>
  <r>
    <x v="0"/>
    <x v="38"/>
    <x v="9"/>
    <x v="18"/>
    <s v="SE2_IND"/>
    <x v="14"/>
    <n v="29.633696768848399"/>
    <n v="8.2315824357912195"/>
  </r>
  <r>
    <x v="0"/>
    <x v="38"/>
    <x v="9"/>
    <x v="18"/>
    <s v="SE2_IND"/>
    <x v="15"/>
    <n v="1.65807589063794"/>
    <n v="0.46057663628831802"/>
  </r>
  <r>
    <x v="0"/>
    <x v="38"/>
    <x v="9"/>
    <x v="18"/>
    <s v="SE2_IND"/>
    <x v="16"/>
    <n v="6.3819281410478998"/>
    <n v="1.77275781695775"/>
  </r>
  <r>
    <x v="0"/>
    <x v="38"/>
    <x v="9"/>
    <x v="18"/>
    <s v="SE2_IND"/>
    <x v="17"/>
    <n v="9.1244895875632395"/>
    <n v="2.5345804409897901"/>
  </r>
  <r>
    <x v="0"/>
    <x v="38"/>
    <x v="9"/>
    <x v="18"/>
    <s v="SE2_IND"/>
    <x v="18"/>
    <n v="29.633696768848399"/>
    <n v="8.2315824357912195"/>
  </r>
  <r>
    <x v="0"/>
    <x v="38"/>
    <x v="9"/>
    <x v="18"/>
    <s v="SE2_IND"/>
    <x v="19"/>
    <n v="8.1139884009941898"/>
    <n v="2.2538856669428302"/>
  </r>
  <r>
    <x v="0"/>
    <x v="38"/>
    <x v="9"/>
    <x v="18"/>
    <s v="SE2_IND"/>
    <x v="20"/>
    <n v="22.109183021311601"/>
    <n v="6.1414397281420996"/>
  </r>
  <r>
    <x v="0"/>
    <x v="38"/>
    <x v="9"/>
    <x v="18"/>
    <s v="SE2_IND"/>
    <x v="21"/>
    <n v="47.52"/>
    <n v="13.2"/>
  </r>
  <r>
    <x v="0"/>
    <x v="38"/>
    <x v="9"/>
    <x v="18"/>
    <s v="SE2_IND"/>
    <x v="22"/>
    <n v="61.56"/>
    <n v="17.100000000000001"/>
  </r>
  <r>
    <x v="0"/>
    <x v="38"/>
    <x v="9"/>
    <x v="18"/>
    <s v="SE2_IND"/>
    <x v="23"/>
    <n v="0.31515896120488701"/>
    <n v="8.7544155890246306E-2"/>
  </r>
  <r>
    <x v="0"/>
    <x v="38"/>
    <x v="9"/>
    <x v="18"/>
    <s v="SE2_IND"/>
    <x v="24"/>
    <n v="19.174223581093901"/>
    <n v="5.32617321697054"/>
  </r>
  <r>
    <x v="0"/>
    <x v="38"/>
    <x v="9"/>
    <x v="18"/>
    <s v="SE2_IND"/>
    <x v="25"/>
    <n v="26.209507293842599"/>
    <n v="7.2804186927340497"/>
  </r>
  <r>
    <x v="0"/>
    <x v="38"/>
    <x v="9"/>
    <x v="18"/>
    <s v="SE2_IND"/>
    <x v="26"/>
    <n v="33.320887798496699"/>
    <n v="9.2558021662490795"/>
  </r>
  <r>
    <x v="0"/>
    <x v="38"/>
    <x v="9"/>
    <x v="18"/>
    <s v="SE2_IND"/>
    <x v="27"/>
    <n v="20.163995508318798"/>
    <n v="5.6011098634218799"/>
  </r>
  <r>
    <x v="0"/>
    <x v="38"/>
    <x v="9"/>
    <x v="18"/>
    <s v="SE2_Offshore"/>
    <x v="1"/>
    <n v="35.989199999999997"/>
    <n v="9.9969999999999999"/>
  </r>
  <r>
    <x v="0"/>
    <x v="38"/>
    <x v="9"/>
    <x v="18"/>
    <s v="SE2_Offshore"/>
    <x v="2"/>
    <n v="43.2"/>
    <n v="12"/>
  </r>
  <r>
    <x v="0"/>
    <x v="38"/>
    <x v="9"/>
    <x v="18"/>
    <s v="SE2_Offshore"/>
    <x v="0"/>
    <n v="42.692399999999999"/>
    <n v="11.859"/>
  </r>
  <r>
    <x v="0"/>
    <x v="38"/>
    <x v="9"/>
    <x v="18"/>
    <s v="SE2_Offshore"/>
    <x v="3"/>
    <n v="51.633543144067197"/>
    <n v="14.342650873352"/>
  </r>
  <r>
    <x v="0"/>
    <x v="38"/>
    <x v="9"/>
    <x v="18"/>
    <s v="SE2_Offshore"/>
    <x v="4"/>
    <n v="6.3500778790389401"/>
    <n v="1.76391052195526"/>
  </r>
  <r>
    <x v="0"/>
    <x v="38"/>
    <x v="9"/>
    <x v="18"/>
    <s v="SE2_Offshore"/>
    <x v="5"/>
    <n v="6.3500778790389401"/>
    <n v="1.76391052195526"/>
  </r>
  <r>
    <x v="0"/>
    <x v="38"/>
    <x v="9"/>
    <x v="18"/>
    <s v="SE2_Offshore"/>
    <x v="6"/>
    <n v="29.476231795214598"/>
    <n v="8.1878421653373898"/>
  </r>
  <r>
    <x v="0"/>
    <x v="38"/>
    <x v="9"/>
    <x v="18"/>
    <s v="SE2_Offshore"/>
    <x v="7"/>
    <n v="57.838935220261199"/>
    <n v="16.066370894517"/>
  </r>
  <r>
    <x v="0"/>
    <x v="38"/>
    <x v="9"/>
    <x v="18"/>
    <s v="SE2_Offshore"/>
    <x v="8"/>
    <n v="57.838935220261199"/>
    <n v="16.066370894517"/>
  </r>
  <r>
    <x v="0"/>
    <x v="38"/>
    <x v="9"/>
    <x v="18"/>
    <s v="SE2_Offshore"/>
    <x v="9"/>
    <n v="44.4505451532725"/>
    <n v="12.3473736536868"/>
  </r>
  <r>
    <x v="0"/>
    <x v="38"/>
    <x v="9"/>
    <x v="18"/>
    <s v="SE2_Offshore"/>
    <x v="10"/>
    <n v="53.975661971830903"/>
    <n v="14.993239436619699"/>
  </r>
  <r>
    <x v="0"/>
    <x v="38"/>
    <x v="9"/>
    <x v="18"/>
    <s v="SE2_Offshore"/>
    <x v="11"/>
    <n v="3.8806031483015802"/>
    <n v="1.07794531897266"/>
  </r>
  <r>
    <x v="0"/>
    <x v="38"/>
    <x v="9"/>
    <x v="18"/>
    <s v="SE2_Offshore"/>
    <x v="12"/>
    <n v="9.7995028997514597E-2"/>
    <n v="2.72208413881985E-2"/>
  </r>
  <r>
    <x v="0"/>
    <x v="38"/>
    <x v="9"/>
    <x v="18"/>
    <s v="SE2_Offshore"/>
    <x v="13"/>
    <n v="29.633696768848399"/>
    <n v="8.2315824357912195"/>
  </r>
  <r>
    <x v="0"/>
    <x v="38"/>
    <x v="9"/>
    <x v="18"/>
    <s v="SE2_Offshore"/>
    <x v="14"/>
    <n v="29.633696768848399"/>
    <n v="8.2315824357912195"/>
  </r>
  <r>
    <x v="0"/>
    <x v="38"/>
    <x v="9"/>
    <x v="18"/>
    <s v="SE2_Offshore"/>
    <x v="15"/>
    <n v="1.65807589063794"/>
    <n v="0.46057663628831802"/>
  </r>
  <r>
    <x v="0"/>
    <x v="38"/>
    <x v="9"/>
    <x v="18"/>
    <s v="SE2_Offshore"/>
    <x v="16"/>
    <n v="6.3819281410478998"/>
    <n v="1.77275781695775"/>
  </r>
  <r>
    <x v="0"/>
    <x v="38"/>
    <x v="9"/>
    <x v="18"/>
    <s v="SE2_Offshore"/>
    <x v="17"/>
    <n v="9.1244895875632395"/>
    <n v="2.5345804409897901"/>
  </r>
  <r>
    <x v="0"/>
    <x v="38"/>
    <x v="9"/>
    <x v="18"/>
    <s v="SE2_Offshore"/>
    <x v="18"/>
    <n v="29.633696768848399"/>
    <n v="8.2315824357912195"/>
  </r>
  <r>
    <x v="0"/>
    <x v="38"/>
    <x v="9"/>
    <x v="18"/>
    <s v="SE2_Offshore"/>
    <x v="19"/>
    <n v="8.1139884009941898"/>
    <n v="2.2538856669428302"/>
  </r>
  <r>
    <x v="0"/>
    <x v="38"/>
    <x v="9"/>
    <x v="18"/>
    <s v="SE2_Offshore"/>
    <x v="20"/>
    <n v="22.109183021311601"/>
    <n v="6.1414397281420996"/>
  </r>
  <r>
    <x v="0"/>
    <x v="38"/>
    <x v="9"/>
    <x v="18"/>
    <s v="SE2_Offshore"/>
    <x v="21"/>
    <n v="47.52"/>
    <n v="13.2"/>
  </r>
  <r>
    <x v="0"/>
    <x v="38"/>
    <x v="9"/>
    <x v="18"/>
    <s v="SE2_Offshore"/>
    <x v="22"/>
    <n v="61.56"/>
    <n v="17.100000000000001"/>
  </r>
  <r>
    <x v="0"/>
    <x v="38"/>
    <x v="9"/>
    <x v="18"/>
    <s v="SE2_Offshore"/>
    <x v="23"/>
    <n v="0.31515896120488701"/>
    <n v="8.7544155890246306E-2"/>
  </r>
  <r>
    <x v="0"/>
    <x v="38"/>
    <x v="9"/>
    <x v="18"/>
    <s v="SE2_Offshore"/>
    <x v="24"/>
    <n v="19.174223581093901"/>
    <n v="5.32617321697054"/>
  </r>
  <r>
    <x v="0"/>
    <x v="38"/>
    <x v="9"/>
    <x v="18"/>
    <s v="SE2_Offshore"/>
    <x v="25"/>
    <n v="26.209507293842599"/>
    <n v="7.2804186927340497"/>
  </r>
  <r>
    <x v="0"/>
    <x v="38"/>
    <x v="9"/>
    <x v="18"/>
    <s v="SE2_Offshore"/>
    <x v="26"/>
    <n v="33.320887798496699"/>
    <n v="9.2558021662490795"/>
  </r>
  <r>
    <x v="0"/>
    <x v="38"/>
    <x v="9"/>
    <x v="18"/>
    <s v="SE2_Offshore"/>
    <x v="27"/>
    <n v="20.163995508318798"/>
    <n v="5.6011098634218799"/>
  </r>
  <r>
    <x v="0"/>
    <x v="38"/>
    <x v="9"/>
    <x v="18"/>
    <s v="SE2_medium"/>
    <x v="1"/>
    <n v="35.989199999999997"/>
    <n v="9.9969999999999999"/>
  </r>
  <r>
    <x v="0"/>
    <x v="38"/>
    <x v="9"/>
    <x v="18"/>
    <s v="SE2_medium"/>
    <x v="2"/>
    <n v="43.2"/>
    <n v="12"/>
  </r>
  <r>
    <x v="0"/>
    <x v="38"/>
    <x v="9"/>
    <x v="18"/>
    <s v="SE2_medium"/>
    <x v="0"/>
    <n v="42.692399999999999"/>
    <n v="11.859"/>
  </r>
  <r>
    <x v="0"/>
    <x v="38"/>
    <x v="9"/>
    <x v="18"/>
    <s v="SE2_medium"/>
    <x v="3"/>
    <n v="51.633543144067197"/>
    <n v="14.342650873352"/>
  </r>
  <r>
    <x v="0"/>
    <x v="38"/>
    <x v="9"/>
    <x v="18"/>
    <s v="SE2_medium"/>
    <x v="4"/>
    <n v="6.3500778790389401"/>
    <n v="1.76391052195526"/>
  </r>
  <r>
    <x v="0"/>
    <x v="38"/>
    <x v="9"/>
    <x v="18"/>
    <s v="SE2_medium"/>
    <x v="5"/>
    <n v="6.3500778790389401"/>
    <n v="1.76391052195526"/>
  </r>
  <r>
    <x v="0"/>
    <x v="38"/>
    <x v="9"/>
    <x v="18"/>
    <s v="SE2_medium"/>
    <x v="6"/>
    <n v="29.476231795214598"/>
    <n v="8.1878421653373898"/>
  </r>
  <r>
    <x v="0"/>
    <x v="38"/>
    <x v="9"/>
    <x v="18"/>
    <s v="SE2_medium"/>
    <x v="7"/>
    <n v="57.838935220261199"/>
    <n v="16.066370894517"/>
  </r>
  <r>
    <x v="0"/>
    <x v="38"/>
    <x v="9"/>
    <x v="18"/>
    <s v="SE2_medium"/>
    <x v="8"/>
    <n v="57.838935220261199"/>
    <n v="16.066370894517"/>
  </r>
  <r>
    <x v="0"/>
    <x v="38"/>
    <x v="9"/>
    <x v="18"/>
    <s v="SE2_medium"/>
    <x v="9"/>
    <n v="44.4505451532725"/>
    <n v="12.3473736536868"/>
  </r>
  <r>
    <x v="0"/>
    <x v="38"/>
    <x v="9"/>
    <x v="18"/>
    <s v="SE2_medium"/>
    <x v="10"/>
    <n v="53.975661971830903"/>
    <n v="14.993239436619699"/>
  </r>
  <r>
    <x v="0"/>
    <x v="38"/>
    <x v="9"/>
    <x v="18"/>
    <s v="SE2_medium"/>
    <x v="11"/>
    <n v="3.8806031483015802"/>
    <n v="1.07794531897266"/>
  </r>
  <r>
    <x v="0"/>
    <x v="38"/>
    <x v="9"/>
    <x v="18"/>
    <s v="SE2_medium"/>
    <x v="12"/>
    <n v="9.7995028997514597E-2"/>
    <n v="2.72208413881985E-2"/>
  </r>
  <r>
    <x v="0"/>
    <x v="38"/>
    <x v="9"/>
    <x v="18"/>
    <s v="SE2_medium"/>
    <x v="13"/>
    <n v="29.633696768848399"/>
    <n v="8.2315824357912195"/>
  </r>
  <r>
    <x v="0"/>
    <x v="38"/>
    <x v="9"/>
    <x v="18"/>
    <s v="SE2_medium"/>
    <x v="14"/>
    <n v="29.633696768848399"/>
    <n v="8.2315824357912195"/>
  </r>
  <r>
    <x v="0"/>
    <x v="38"/>
    <x v="9"/>
    <x v="18"/>
    <s v="SE2_medium"/>
    <x v="15"/>
    <n v="1.65807589063794"/>
    <n v="0.46057663628831802"/>
  </r>
  <r>
    <x v="0"/>
    <x v="38"/>
    <x v="9"/>
    <x v="18"/>
    <s v="SE2_medium"/>
    <x v="16"/>
    <n v="6.3819281410478998"/>
    <n v="1.77275781695775"/>
  </r>
  <r>
    <x v="0"/>
    <x v="38"/>
    <x v="9"/>
    <x v="18"/>
    <s v="SE2_medium"/>
    <x v="17"/>
    <n v="9.1244895875632395"/>
    <n v="2.5345804409897901"/>
  </r>
  <r>
    <x v="0"/>
    <x v="38"/>
    <x v="9"/>
    <x v="18"/>
    <s v="SE2_medium"/>
    <x v="18"/>
    <n v="29.633696768848399"/>
    <n v="8.2315824357912195"/>
  </r>
  <r>
    <x v="0"/>
    <x v="38"/>
    <x v="9"/>
    <x v="18"/>
    <s v="SE2_medium"/>
    <x v="19"/>
    <n v="8.1139884009941898"/>
    <n v="2.2538856669428302"/>
  </r>
  <r>
    <x v="0"/>
    <x v="38"/>
    <x v="9"/>
    <x v="18"/>
    <s v="SE2_medium"/>
    <x v="20"/>
    <n v="22.109183021311601"/>
    <n v="6.1414397281420996"/>
  </r>
  <r>
    <x v="0"/>
    <x v="38"/>
    <x v="9"/>
    <x v="18"/>
    <s v="SE2_medium"/>
    <x v="21"/>
    <n v="47.52"/>
    <n v="13.2"/>
  </r>
  <r>
    <x v="0"/>
    <x v="38"/>
    <x v="9"/>
    <x v="18"/>
    <s v="SE2_medium"/>
    <x v="22"/>
    <n v="61.56"/>
    <n v="17.100000000000001"/>
  </r>
  <r>
    <x v="0"/>
    <x v="38"/>
    <x v="9"/>
    <x v="18"/>
    <s v="SE2_medium"/>
    <x v="23"/>
    <n v="0.31515896120488701"/>
    <n v="8.7544155890246306E-2"/>
  </r>
  <r>
    <x v="0"/>
    <x v="38"/>
    <x v="9"/>
    <x v="18"/>
    <s v="SE2_medium"/>
    <x v="24"/>
    <n v="19.174223581093901"/>
    <n v="5.32617321697054"/>
  </r>
  <r>
    <x v="0"/>
    <x v="38"/>
    <x v="9"/>
    <x v="18"/>
    <s v="SE2_medium"/>
    <x v="25"/>
    <n v="26.209507293842599"/>
    <n v="7.2804186927340497"/>
  </r>
  <r>
    <x v="0"/>
    <x v="38"/>
    <x v="9"/>
    <x v="18"/>
    <s v="SE2_medium"/>
    <x v="26"/>
    <n v="33.320887798496699"/>
    <n v="9.2558021662490795"/>
  </r>
  <r>
    <x v="0"/>
    <x v="38"/>
    <x v="9"/>
    <x v="18"/>
    <s v="SE2_medium"/>
    <x v="27"/>
    <n v="20.163995508318798"/>
    <n v="5.6011098634218799"/>
  </r>
  <r>
    <x v="0"/>
    <x v="38"/>
    <x v="9"/>
    <x v="18"/>
    <s v="SE2_small"/>
    <x v="1"/>
    <n v="35.989199999999997"/>
    <n v="9.9969999999999999"/>
  </r>
  <r>
    <x v="0"/>
    <x v="38"/>
    <x v="9"/>
    <x v="18"/>
    <s v="SE2_small"/>
    <x v="2"/>
    <n v="43.2"/>
    <n v="12"/>
  </r>
  <r>
    <x v="0"/>
    <x v="38"/>
    <x v="9"/>
    <x v="18"/>
    <s v="SE2_small"/>
    <x v="0"/>
    <n v="42.692399999999999"/>
    <n v="11.859"/>
  </r>
  <r>
    <x v="0"/>
    <x v="38"/>
    <x v="9"/>
    <x v="18"/>
    <s v="SE2_small"/>
    <x v="3"/>
    <n v="51.633543144067197"/>
    <n v="14.342650873352"/>
  </r>
  <r>
    <x v="0"/>
    <x v="38"/>
    <x v="9"/>
    <x v="18"/>
    <s v="SE2_small"/>
    <x v="4"/>
    <n v="6.3500778790389401"/>
    <n v="1.76391052195526"/>
  </r>
  <r>
    <x v="0"/>
    <x v="38"/>
    <x v="9"/>
    <x v="18"/>
    <s v="SE2_small"/>
    <x v="5"/>
    <n v="6.3500778790389401"/>
    <n v="1.76391052195526"/>
  </r>
  <r>
    <x v="0"/>
    <x v="38"/>
    <x v="9"/>
    <x v="18"/>
    <s v="SE2_small"/>
    <x v="6"/>
    <n v="29.476231795214598"/>
    <n v="8.1878421653373898"/>
  </r>
  <r>
    <x v="0"/>
    <x v="38"/>
    <x v="9"/>
    <x v="18"/>
    <s v="SE2_small"/>
    <x v="7"/>
    <n v="57.838935220261199"/>
    <n v="16.066370894517"/>
  </r>
  <r>
    <x v="0"/>
    <x v="38"/>
    <x v="9"/>
    <x v="18"/>
    <s v="SE2_small"/>
    <x v="8"/>
    <n v="57.838935220261199"/>
    <n v="16.066370894517"/>
  </r>
  <r>
    <x v="0"/>
    <x v="38"/>
    <x v="9"/>
    <x v="18"/>
    <s v="SE2_small"/>
    <x v="9"/>
    <n v="44.4505451532725"/>
    <n v="12.3473736536868"/>
  </r>
  <r>
    <x v="0"/>
    <x v="38"/>
    <x v="9"/>
    <x v="18"/>
    <s v="SE2_small"/>
    <x v="10"/>
    <n v="53.975661971830903"/>
    <n v="14.993239436619699"/>
  </r>
  <r>
    <x v="0"/>
    <x v="38"/>
    <x v="9"/>
    <x v="18"/>
    <s v="SE2_small"/>
    <x v="11"/>
    <n v="3.8806031483015802"/>
    <n v="1.07794531897266"/>
  </r>
  <r>
    <x v="0"/>
    <x v="38"/>
    <x v="9"/>
    <x v="18"/>
    <s v="SE2_small"/>
    <x v="12"/>
    <n v="9.7995028997514597E-2"/>
    <n v="2.72208413881985E-2"/>
  </r>
  <r>
    <x v="0"/>
    <x v="38"/>
    <x v="9"/>
    <x v="18"/>
    <s v="SE2_small"/>
    <x v="13"/>
    <n v="29.633696768848399"/>
    <n v="8.2315824357912195"/>
  </r>
  <r>
    <x v="0"/>
    <x v="38"/>
    <x v="9"/>
    <x v="18"/>
    <s v="SE2_small"/>
    <x v="14"/>
    <n v="29.633696768848399"/>
    <n v="8.2315824357912195"/>
  </r>
  <r>
    <x v="0"/>
    <x v="38"/>
    <x v="9"/>
    <x v="18"/>
    <s v="SE2_small"/>
    <x v="15"/>
    <n v="1.65807589063794"/>
    <n v="0.46057663628831802"/>
  </r>
  <r>
    <x v="0"/>
    <x v="38"/>
    <x v="9"/>
    <x v="18"/>
    <s v="SE2_small"/>
    <x v="16"/>
    <n v="6.3819281410478998"/>
    <n v="1.77275781695775"/>
  </r>
  <r>
    <x v="0"/>
    <x v="38"/>
    <x v="9"/>
    <x v="18"/>
    <s v="SE2_small"/>
    <x v="17"/>
    <n v="9.1244895875632395"/>
    <n v="2.5345804409897901"/>
  </r>
  <r>
    <x v="0"/>
    <x v="38"/>
    <x v="9"/>
    <x v="18"/>
    <s v="SE2_small"/>
    <x v="18"/>
    <n v="29.633696768848399"/>
    <n v="8.2315824357912195"/>
  </r>
  <r>
    <x v="0"/>
    <x v="38"/>
    <x v="9"/>
    <x v="18"/>
    <s v="SE2_small"/>
    <x v="19"/>
    <n v="8.1139884009941898"/>
    <n v="2.2538856669428302"/>
  </r>
  <r>
    <x v="0"/>
    <x v="38"/>
    <x v="9"/>
    <x v="18"/>
    <s v="SE2_small"/>
    <x v="20"/>
    <n v="22.109183021311601"/>
    <n v="6.1414397281420996"/>
  </r>
  <r>
    <x v="0"/>
    <x v="38"/>
    <x v="9"/>
    <x v="18"/>
    <s v="SE2_small"/>
    <x v="21"/>
    <n v="47.52"/>
    <n v="13.2"/>
  </r>
  <r>
    <x v="0"/>
    <x v="38"/>
    <x v="9"/>
    <x v="18"/>
    <s v="SE2_small"/>
    <x v="22"/>
    <n v="61.56"/>
    <n v="17.100000000000001"/>
  </r>
  <r>
    <x v="0"/>
    <x v="38"/>
    <x v="9"/>
    <x v="18"/>
    <s v="SE2_small"/>
    <x v="23"/>
    <n v="0.31515896120488701"/>
    <n v="8.7544155890246306E-2"/>
  </r>
  <r>
    <x v="0"/>
    <x v="38"/>
    <x v="9"/>
    <x v="18"/>
    <s v="SE2_small"/>
    <x v="24"/>
    <n v="19.174223581093901"/>
    <n v="5.32617321697054"/>
  </r>
  <r>
    <x v="0"/>
    <x v="38"/>
    <x v="9"/>
    <x v="18"/>
    <s v="SE2_small"/>
    <x v="25"/>
    <n v="26.209507293842599"/>
    <n v="7.2804186927340497"/>
  </r>
  <r>
    <x v="0"/>
    <x v="38"/>
    <x v="9"/>
    <x v="18"/>
    <s v="SE2_small"/>
    <x v="26"/>
    <n v="33.320887798496699"/>
    <n v="9.2558021662490795"/>
  </r>
  <r>
    <x v="0"/>
    <x v="38"/>
    <x v="9"/>
    <x v="18"/>
    <s v="SE2_small"/>
    <x v="27"/>
    <n v="20.163995508318798"/>
    <n v="5.6011098634218799"/>
  </r>
  <r>
    <x v="0"/>
    <x v="38"/>
    <x v="9"/>
    <x v="19"/>
    <s v="SE3A"/>
    <x v="1"/>
    <n v="35.989199999999997"/>
    <n v="9.9969999999999999"/>
  </r>
  <r>
    <x v="0"/>
    <x v="38"/>
    <x v="9"/>
    <x v="19"/>
    <s v="SE3A"/>
    <x v="2"/>
    <n v="43.2"/>
    <n v="12"/>
  </r>
  <r>
    <x v="0"/>
    <x v="38"/>
    <x v="9"/>
    <x v="19"/>
    <s v="SE3A"/>
    <x v="0"/>
    <n v="42.692399999999999"/>
    <n v="11.859"/>
  </r>
  <r>
    <x v="0"/>
    <x v="38"/>
    <x v="9"/>
    <x v="19"/>
    <s v="SE3A"/>
    <x v="3"/>
    <n v="51.633543144067197"/>
    <n v="14.342650873352"/>
  </r>
  <r>
    <x v="0"/>
    <x v="38"/>
    <x v="9"/>
    <x v="19"/>
    <s v="SE3A"/>
    <x v="4"/>
    <n v="6.3500778790389401"/>
    <n v="1.76391052195526"/>
  </r>
  <r>
    <x v="0"/>
    <x v="38"/>
    <x v="9"/>
    <x v="19"/>
    <s v="SE3A"/>
    <x v="5"/>
    <n v="6.3500778790389401"/>
    <n v="1.76391052195526"/>
  </r>
  <r>
    <x v="0"/>
    <x v="38"/>
    <x v="9"/>
    <x v="19"/>
    <s v="SE3A"/>
    <x v="6"/>
    <n v="29.476231795214598"/>
    <n v="8.1878421653373898"/>
  </r>
  <r>
    <x v="0"/>
    <x v="38"/>
    <x v="9"/>
    <x v="19"/>
    <s v="SE3A"/>
    <x v="7"/>
    <n v="57.838935220261199"/>
    <n v="16.066370894517"/>
  </r>
  <r>
    <x v="0"/>
    <x v="38"/>
    <x v="9"/>
    <x v="19"/>
    <s v="SE3A"/>
    <x v="8"/>
    <n v="57.838935220261199"/>
    <n v="16.066370894517"/>
  </r>
  <r>
    <x v="0"/>
    <x v="38"/>
    <x v="9"/>
    <x v="19"/>
    <s v="SE3A"/>
    <x v="9"/>
    <n v="44.4505451532725"/>
    <n v="12.3473736536868"/>
  </r>
  <r>
    <x v="0"/>
    <x v="38"/>
    <x v="9"/>
    <x v="19"/>
    <s v="SE3A"/>
    <x v="10"/>
    <n v="53.975661971830903"/>
    <n v="14.993239436619699"/>
  </r>
  <r>
    <x v="0"/>
    <x v="38"/>
    <x v="9"/>
    <x v="19"/>
    <s v="SE3A"/>
    <x v="11"/>
    <n v="3.8806031483015802"/>
    <n v="1.07794531897266"/>
  </r>
  <r>
    <x v="0"/>
    <x v="38"/>
    <x v="9"/>
    <x v="19"/>
    <s v="SE3A"/>
    <x v="12"/>
    <n v="9.7995028997514597E-2"/>
    <n v="2.72208413881985E-2"/>
  </r>
  <r>
    <x v="0"/>
    <x v="38"/>
    <x v="9"/>
    <x v="19"/>
    <s v="SE3A"/>
    <x v="13"/>
    <n v="29.633696768848399"/>
    <n v="8.2315824357912195"/>
  </r>
  <r>
    <x v="0"/>
    <x v="38"/>
    <x v="9"/>
    <x v="19"/>
    <s v="SE3A"/>
    <x v="14"/>
    <n v="29.633696768848399"/>
    <n v="8.2315824357912195"/>
  </r>
  <r>
    <x v="0"/>
    <x v="38"/>
    <x v="9"/>
    <x v="19"/>
    <s v="SE3A"/>
    <x v="15"/>
    <n v="1.65807589063794"/>
    <n v="0.46057663628831802"/>
  </r>
  <r>
    <x v="0"/>
    <x v="38"/>
    <x v="9"/>
    <x v="19"/>
    <s v="SE3A"/>
    <x v="16"/>
    <n v="6.3819281410478998"/>
    <n v="1.77275781695775"/>
  </r>
  <r>
    <x v="0"/>
    <x v="38"/>
    <x v="9"/>
    <x v="19"/>
    <s v="SE3A"/>
    <x v="17"/>
    <n v="9.1244895875632395"/>
    <n v="2.5345804409897901"/>
  </r>
  <r>
    <x v="0"/>
    <x v="38"/>
    <x v="9"/>
    <x v="19"/>
    <s v="SE3A"/>
    <x v="18"/>
    <n v="29.633696768848399"/>
    <n v="8.2315824357912195"/>
  </r>
  <r>
    <x v="0"/>
    <x v="38"/>
    <x v="9"/>
    <x v="19"/>
    <s v="SE3A"/>
    <x v="19"/>
    <n v="8.1139884009941898"/>
    <n v="2.2538856669428302"/>
  </r>
  <r>
    <x v="0"/>
    <x v="38"/>
    <x v="9"/>
    <x v="19"/>
    <s v="SE3A"/>
    <x v="20"/>
    <n v="22.109183021311601"/>
    <n v="6.1414397281420996"/>
  </r>
  <r>
    <x v="0"/>
    <x v="38"/>
    <x v="9"/>
    <x v="19"/>
    <s v="SE3A"/>
    <x v="21"/>
    <n v="47.52"/>
    <n v="13.2"/>
  </r>
  <r>
    <x v="0"/>
    <x v="38"/>
    <x v="9"/>
    <x v="19"/>
    <s v="SE3A"/>
    <x v="22"/>
    <n v="61.56"/>
    <n v="17.100000000000001"/>
  </r>
  <r>
    <x v="0"/>
    <x v="38"/>
    <x v="9"/>
    <x v="19"/>
    <s v="SE3A"/>
    <x v="23"/>
    <n v="0.31515896120488701"/>
    <n v="8.7544155890246306E-2"/>
  </r>
  <r>
    <x v="0"/>
    <x v="38"/>
    <x v="9"/>
    <x v="19"/>
    <s v="SE3A"/>
    <x v="24"/>
    <n v="19.174223581093901"/>
    <n v="5.32617321697054"/>
  </r>
  <r>
    <x v="0"/>
    <x v="38"/>
    <x v="9"/>
    <x v="19"/>
    <s v="SE3A"/>
    <x v="25"/>
    <n v="26.209507293842599"/>
    <n v="7.2804186927340497"/>
  </r>
  <r>
    <x v="0"/>
    <x v="38"/>
    <x v="9"/>
    <x v="19"/>
    <s v="SE3A"/>
    <x v="26"/>
    <n v="33.320887798496699"/>
    <n v="9.2558021662490795"/>
  </r>
  <r>
    <x v="0"/>
    <x v="38"/>
    <x v="9"/>
    <x v="19"/>
    <s v="SE3A"/>
    <x v="27"/>
    <n v="20.163995508318798"/>
    <n v="5.6011098634218799"/>
  </r>
  <r>
    <x v="0"/>
    <x v="38"/>
    <x v="9"/>
    <x v="19"/>
    <s v="SE3_IND"/>
    <x v="1"/>
    <n v="35.989199999999997"/>
    <n v="9.9969999999999999"/>
  </r>
  <r>
    <x v="0"/>
    <x v="38"/>
    <x v="9"/>
    <x v="19"/>
    <s v="SE3_IND"/>
    <x v="2"/>
    <n v="43.2"/>
    <n v="12"/>
  </r>
  <r>
    <x v="0"/>
    <x v="38"/>
    <x v="9"/>
    <x v="19"/>
    <s v="SE3_IND"/>
    <x v="0"/>
    <n v="42.692399999999999"/>
    <n v="11.859"/>
  </r>
  <r>
    <x v="0"/>
    <x v="38"/>
    <x v="9"/>
    <x v="19"/>
    <s v="SE3_IND"/>
    <x v="3"/>
    <n v="51.633543144067197"/>
    <n v="14.342650873352"/>
  </r>
  <r>
    <x v="0"/>
    <x v="38"/>
    <x v="9"/>
    <x v="19"/>
    <s v="SE3_IND"/>
    <x v="4"/>
    <n v="6.3500778790389401"/>
    <n v="1.76391052195526"/>
  </r>
  <r>
    <x v="0"/>
    <x v="38"/>
    <x v="9"/>
    <x v="19"/>
    <s v="SE3_IND"/>
    <x v="5"/>
    <n v="6.3500778790389401"/>
    <n v="1.76391052195526"/>
  </r>
  <r>
    <x v="0"/>
    <x v="38"/>
    <x v="9"/>
    <x v="19"/>
    <s v="SE3_IND"/>
    <x v="6"/>
    <n v="29.476231795214598"/>
    <n v="8.1878421653373898"/>
  </r>
  <r>
    <x v="0"/>
    <x v="38"/>
    <x v="9"/>
    <x v="19"/>
    <s v="SE3_IND"/>
    <x v="7"/>
    <n v="57.838935220261199"/>
    <n v="16.066370894517"/>
  </r>
  <r>
    <x v="0"/>
    <x v="38"/>
    <x v="9"/>
    <x v="19"/>
    <s v="SE3_IND"/>
    <x v="8"/>
    <n v="57.838935220261199"/>
    <n v="16.066370894517"/>
  </r>
  <r>
    <x v="0"/>
    <x v="38"/>
    <x v="9"/>
    <x v="19"/>
    <s v="SE3_IND"/>
    <x v="9"/>
    <n v="44.4505451532725"/>
    <n v="12.3473736536868"/>
  </r>
  <r>
    <x v="0"/>
    <x v="38"/>
    <x v="9"/>
    <x v="19"/>
    <s v="SE3_IND"/>
    <x v="10"/>
    <n v="53.975661971830903"/>
    <n v="14.993239436619699"/>
  </r>
  <r>
    <x v="0"/>
    <x v="38"/>
    <x v="9"/>
    <x v="19"/>
    <s v="SE3_IND"/>
    <x v="11"/>
    <n v="3.8806031483015802"/>
    <n v="1.07794531897266"/>
  </r>
  <r>
    <x v="0"/>
    <x v="38"/>
    <x v="9"/>
    <x v="19"/>
    <s v="SE3_IND"/>
    <x v="12"/>
    <n v="9.7995028997514597E-2"/>
    <n v="2.72208413881985E-2"/>
  </r>
  <r>
    <x v="0"/>
    <x v="38"/>
    <x v="9"/>
    <x v="19"/>
    <s v="SE3_IND"/>
    <x v="13"/>
    <n v="29.633696768848399"/>
    <n v="8.2315824357912195"/>
  </r>
  <r>
    <x v="0"/>
    <x v="38"/>
    <x v="9"/>
    <x v="19"/>
    <s v="SE3_IND"/>
    <x v="14"/>
    <n v="29.633696768848399"/>
    <n v="8.2315824357912195"/>
  </r>
  <r>
    <x v="0"/>
    <x v="38"/>
    <x v="9"/>
    <x v="19"/>
    <s v="SE3_IND"/>
    <x v="15"/>
    <n v="1.65807589063794"/>
    <n v="0.46057663628831802"/>
  </r>
  <r>
    <x v="0"/>
    <x v="38"/>
    <x v="9"/>
    <x v="19"/>
    <s v="SE3_IND"/>
    <x v="16"/>
    <n v="6.3819281410478998"/>
    <n v="1.77275781695775"/>
  </r>
  <r>
    <x v="0"/>
    <x v="38"/>
    <x v="9"/>
    <x v="19"/>
    <s v="SE3_IND"/>
    <x v="17"/>
    <n v="9.1244895875632395"/>
    <n v="2.5345804409897901"/>
  </r>
  <r>
    <x v="0"/>
    <x v="38"/>
    <x v="9"/>
    <x v="19"/>
    <s v="SE3_IND"/>
    <x v="18"/>
    <n v="29.633696768848399"/>
    <n v="8.2315824357912195"/>
  </r>
  <r>
    <x v="0"/>
    <x v="38"/>
    <x v="9"/>
    <x v="19"/>
    <s v="SE3_IND"/>
    <x v="19"/>
    <n v="8.1139884009941898"/>
    <n v="2.2538856669428302"/>
  </r>
  <r>
    <x v="0"/>
    <x v="38"/>
    <x v="9"/>
    <x v="19"/>
    <s v="SE3_IND"/>
    <x v="20"/>
    <n v="22.109183021311601"/>
    <n v="6.1414397281420996"/>
  </r>
  <r>
    <x v="0"/>
    <x v="38"/>
    <x v="9"/>
    <x v="19"/>
    <s v="SE3_IND"/>
    <x v="21"/>
    <n v="47.52"/>
    <n v="13.2"/>
  </r>
  <r>
    <x v="0"/>
    <x v="38"/>
    <x v="9"/>
    <x v="19"/>
    <s v="SE3_IND"/>
    <x v="22"/>
    <n v="61.56"/>
    <n v="17.100000000000001"/>
  </r>
  <r>
    <x v="0"/>
    <x v="38"/>
    <x v="9"/>
    <x v="19"/>
    <s v="SE3_IND"/>
    <x v="23"/>
    <n v="0.31515896120488701"/>
    <n v="8.7544155890246306E-2"/>
  </r>
  <r>
    <x v="0"/>
    <x v="38"/>
    <x v="9"/>
    <x v="19"/>
    <s v="SE3_IND"/>
    <x v="24"/>
    <n v="19.174223581093901"/>
    <n v="5.32617321697054"/>
  </r>
  <r>
    <x v="0"/>
    <x v="38"/>
    <x v="9"/>
    <x v="19"/>
    <s v="SE3_IND"/>
    <x v="25"/>
    <n v="26.209507293842599"/>
    <n v="7.2804186927340497"/>
  </r>
  <r>
    <x v="0"/>
    <x v="38"/>
    <x v="9"/>
    <x v="19"/>
    <s v="SE3_IND"/>
    <x v="26"/>
    <n v="33.320887798496699"/>
    <n v="9.2558021662490795"/>
  </r>
  <r>
    <x v="0"/>
    <x v="38"/>
    <x v="9"/>
    <x v="19"/>
    <s v="SE3_IND"/>
    <x v="27"/>
    <n v="20.163995508318798"/>
    <n v="5.6011098634218799"/>
  </r>
  <r>
    <x v="0"/>
    <x v="38"/>
    <x v="9"/>
    <x v="19"/>
    <s v="SE3_Offshore"/>
    <x v="1"/>
    <n v="35.989199999999997"/>
    <n v="9.9969999999999999"/>
  </r>
  <r>
    <x v="0"/>
    <x v="38"/>
    <x v="9"/>
    <x v="19"/>
    <s v="SE3_Offshore"/>
    <x v="2"/>
    <n v="43.2"/>
    <n v="12"/>
  </r>
  <r>
    <x v="0"/>
    <x v="38"/>
    <x v="9"/>
    <x v="19"/>
    <s v="SE3_Offshore"/>
    <x v="0"/>
    <n v="42.692399999999999"/>
    <n v="11.859"/>
  </r>
  <r>
    <x v="0"/>
    <x v="38"/>
    <x v="9"/>
    <x v="19"/>
    <s v="SE3_Offshore"/>
    <x v="3"/>
    <n v="51.633543144067197"/>
    <n v="14.342650873352"/>
  </r>
  <r>
    <x v="0"/>
    <x v="38"/>
    <x v="9"/>
    <x v="19"/>
    <s v="SE3_Offshore"/>
    <x v="4"/>
    <n v="6.3500778790389401"/>
    <n v="1.76391052195526"/>
  </r>
  <r>
    <x v="0"/>
    <x v="38"/>
    <x v="9"/>
    <x v="19"/>
    <s v="SE3_Offshore"/>
    <x v="5"/>
    <n v="6.3500778790389401"/>
    <n v="1.76391052195526"/>
  </r>
  <r>
    <x v="0"/>
    <x v="38"/>
    <x v="9"/>
    <x v="19"/>
    <s v="SE3_Offshore"/>
    <x v="6"/>
    <n v="29.476231795214598"/>
    <n v="8.1878421653373898"/>
  </r>
  <r>
    <x v="0"/>
    <x v="38"/>
    <x v="9"/>
    <x v="19"/>
    <s v="SE3_Offshore"/>
    <x v="7"/>
    <n v="57.838935220261199"/>
    <n v="16.066370894517"/>
  </r>
  <r>
    <x v="0"/>
    <x v="38"/>
    <x v="9"/>
    <x v="19"/>
    <s v="SE3_Offshore"/>
    <x v="8"/>
    <n v="57.838935220261199"/>
    <n v="16.066370894517"/>
  </r>
  <r>
    <x v="0"/>
    <x v="38"/>
    <x v="9"/>
    <x v="19"/>
    <s v="SE3_Offshore"/>
    <x v="9"/>
    <n v="44.4505451532725"/>
    <n v="12.3473736536868"/>
  </r>
  <r>
    <x v="0"/>
    <x v="38"/>
    <x v="9"/>
    <x v="19"/>
    <s v="SE3_Offshore"/>
    <x v="10"/>
    <n v="53.975661971830903"/>
    <n v="14.993239436619699"/>
  </r>
  <r>
    <x v="0"/>
    <x v="38"/>
    <x v="9"/>
    <x v="19"/>
    <s v="SE3_Offshore"/>
    <x v="11"/>
    <n v="3.8806031483015802"/>
    <n v="1.07794531897266"/>
  </r>
  <r>
    <x v="0"/>
    <x v="38"/>
    <x v="9"/>
    <x v="19"/>
    <s v="SE3_Offshore"/>
    <x v="12"/>
    <n v="9.7995028997514597E-2"/>
    <n v="2.72208413881985E-2"/>
  </r>
  <r>
    <x v="0"/>
    <x v="38"/>
    <x v="9"/>
    <x v="19"/>
    <s v="SE3_Offshore"/>
    <x v="13"/>
    <n v="29.633696768848399"/>
    <n v="8.2315824357912195"/>
  </r>
  <r>
    <x v="0"/>
    <x v="38"/>
    <x v="9"/>
    <x v="19"/>
    <s v="SE3_Offshore"/>
    <x v="14"/>
    <n v="29.633696768848399"/>
    <n v="8.2315824357912195"/>
  </r>
  <r>
    <x v="0"/>
    <x v="38"/>
    <x v="9"/>
    <x v="19"/>
    <s v="SE3_Offshore"/>
    <x v="15"/>
    <n v="1.65807589063794"/>
    <n v="0.46057663628831802"/>
  </r>
  <r>
    <x v="0"/>
    <x v="38"/>
    <x v="9"/>
    <x v="19"/>
    <s v="SE3_Offshore"/>
    <x v="16"/>
    <n v="6.3819281410478998"/>
    <n v="1.77275781695775"/>
  </r>
  <r>
    <x v="0"/>
    <x v="38"/>
    <x v="9"/>
    <x v="19"/>
    <s v="SE3_Offshore"/>
    <x v="17"/>
    <n v="9.1244895875632395"/>
    <n v="2.5345804409897901"/>
  </r>
  <r>
    <x v="0"/>
    <x v="38"/>
    <x v="9"/>
    <x v="19"/>
    <s v="SE3_Offshore"/>
    <x v="18"/>
    <n v="29.633696768848399"/>
    <n v="8.2315824357912195"/>
  </r>
  <r>
    <x v="0"/>
    <x v="38"/>
    <x v="9"/>
    <x v="19"/>
    <s v="SE3_Offshore"/>
    <x v="19"/>
    <n v="8.1139884009941898"/>
    <n v="2.2538856669428302"/>
  </r>
  <r>
    <x v="0"/>
    <x v="38"/>
    <x v="9"/>
    <x v="19"/>
    <s v="SE3_Offshore"/>
    <x v="20"/>
    <n v="22.109183021311601"/>
    <n v="6.1414397281420996"/>
  </r>
  <r>
    <x v="0"/>
    <x v="38"/>
    <x v="9"/>
    <x v="19"/>
    <s v="SE3_Offshore"/>
    <x v="21"/>
    <n v="47.52"/>
    <n v="13.2"/>
  </r>
  <r>
    <x v="0"/>
    <x v="38"/>
    <x v="9"/>
    <x v="19"/>
    <s v="SE3_Offshore"/>
    <x v="22"/>
    <n v="61.56"/>
    <n v="17.100000000000001"/>
  </r>
  <r>
    <x v="0"/>
    <x v="38"/>
    <x v="9"/>
    <x v="19"/>
    <s v="SE3_Offshore"/>
    <x v="23"/>
    <n v="0.31515896120488701"/>
    <n v="8.7544155890246306E-2"/>
  </r>
  <r>
    <x v="0"/>
    <x v="38"/>
    <x v="9"/>
    <x v="19"/>
    <s v="SE3_Offshore"/>
    <x v="24"/>
    <n v="19.174223581093901"/>
    <n v="5.32617321697054"/>
  </r>
  <r>
    <x v="0"/>
    <x v="38"/>
    <x v="9"/>
    <x v="19"/>
    <s v="SE3_Offshore"/>
    <x v="25"/>
    <n v="26.209507293842599"/>
    <n v="7.2804186927340497"/>
  </r>
  <r>
    <x v="0"/>
    <x v="38"/>
    <x v="9"/>
    <x v="19"/>
    <s v="SE3_Offshore"/>
    <x v="26"/>
    <n v="33.320887798496699"/>
    <n v="9.2558021662490795"/>
  </r>
  <r>
    <x v="0"/>
    <x v="38"/>
    <x v="9"/>
    <x v="19"/>
    <s v="SE3_Offshore"/>
    <x v="27"/>
    <n v="20.163995508318798"/>
    <n v="5.6011098634218799"/>
  </r>
  <r>
    <x v="0"/>
    <x v="38"/>
    <x v="9"/>
    <x v="19"/>
    <s v="SE3_large"/>
    <x v="1"/>
    <n v="35.989199999999997"/>
    <n v="9.9969999999999999"/>
  </r>
  <r>
    <x v="0"/>
    <x v="38"/>
    <x v="9"/>
    <x v="19"/>
    <s v="SE3_large"/>
    <x v="2"/>
    <n v="43.2"/>
    <n v="12"/>
  </r>
  <r>
    <x v="0"/>
    <x v="38"/>
    <x v="9"/>
    <x v="19"/>
    <s v="SE3_large"/>
    <x v="0"/>
    <n v="42.692399999999999"/>
    <n v="11.859"/>
  </r>
  <r>
    <x v="0"/>
    <x v="38"/>
    <x v="9"/>
    <x v="19"/>
    <s v="SE3_large"/>
    <x v="3"/>
    <n v="51.633543144067197"/>
    <n v="14.342650873352"/>
  </r>
  <r>
    <x v="0"/>
    <x v="38"/>
    <x v="9"/>
    <x v="19"/>
    <s v="SE3_large"/>
    <x v="4"/>
    <n v="6.3500778790389401"/>
    <n v="1.76391052195526"/>
  </r>
  <r>
    <x v="0"/>
    <x v="38"/>
    <x v="9"/>
    <x v="19"/>
    <s v="SE3_large"/>
    <x v="5"/>
    <n v="6.3500778790389401"/>
    <n v="1.76391052195526"/>
  </r>
  <r>
    <x v="0"/>
    <x v="38"/>
    <x v="9"/>
    <x v="19"/>
    <s v="SE3_large"/>
    <x v="6"/>
    <n v="29.476231795214598"/>
    <n v="8.1878421653373898"/>
  </r>
  <r>
    <x v="0"/>
    <x v="38"/>
    <x v="9"/>
    <x v="19"/>
    <s v="SE3_large"/>
    <x v="7"/>
    <n v="57.838935220261199"/>
    <n v="16.066370894517"/>
  </r>
  <r>
    <x v="0"/>
    <x v="38"/>
    <x v="9"/>
    <x v="19"/>
    <s v="SE3_large"/>
    <x v="8"/>
    <n v="57.838935220261199"/>
    <n v="16.066370894517"/>
  </r>
  <r>
    <x v="0"/>
    <x v="38"/>
    <x v="9"/>
    <x v="19"/>
    <s v="SE3_large"/>
    <x v="9"/>
    <n v="44.4505451532725"/>
    <n v="12.3473736536868"/>
  </r>
  <r>
    <x v="0"/>
    <x v="38"/>
    <x v="9"/>
    <x v="19"/>
    <s v="SE3_large"/>
    <x v="10"/>
    <n v="53.975661971830903"/>
    <n v="14.993239436619699"/>
  </r>
  <r>
    <x v="0"/>
    <x v="38"/>
    <x v="9"/>
    <x v="19"/>
    <s v="SE3_large"/>
    <x v="11"/>
    <n v="3.8806031483015802"/>
    <n v="1.07794531897266"/>
  </r>
  <r>
    <x v="0"/>
    <x v="38"/>
    <x v="9"/>
    <x v="19"/>
    <s v="SE3_large"/>
    <x v="12"/>
    <n v="9.7995028997514597E-2"/>
    <n v="2.72208413881985E-2"/>
  </r>
  <r>
    <x v="0"/>
    <x v="38"/>
    <x v="9"/>
    <x v="19"/>
    <s v="SE3_large"/>
    <x v="13"/>
    <n v="29.633696768848399"/>
    <n v="8.2315824357912195"/>
  </r>
  <r>
    <x v="0"/>
    <x v="38"/>
    <x v="9"/>
    <x v="19"/>
    <s v="SE3_large"/>
    <x v="14"/>
    <n v="29.633696768848399"/>
    <n v="8.2315824357912195"/>
  </r>
  <r>
    <x v="0"/>
    <x v="38"/>
    <x v="9"/>
    <x v="19"/>
    <s v="SE3_large"/>
    <x v="15"/>
    <n v="1.65807589063794"/>
    <n v="0.46057663628831802"/>
  </r>
  <r>
    <x v="0"/>
    <x v="38"/>
    <x v="9"/>
    <x v="19"/>
    <s v="SE3_large"/>
    <x v="16"/>
    <n v="6.3819281410478998"/>
    <n v="1.77275781695775"/>
  </r>
  <r>
    <x v="0"/>
    <x v="38"/>
    <x v="9"/>
    <x v="19"/>
    <s v="SE3_large"/>
    <x v="17"/>
    <n v="9.1244895875632395"/>
    <n v="2.5345804409897901"/>
  </r>
  <r>
    <x v="0"/>
    <x v="38"/>
    <x v="9"/>
    <x v="19"/>
    <s v="SE3_large"/>
    <x v="18"/>
    <n v="29.633696768848399"/>
    <n v="8.2315824357912195"/>
  </r>
  <r>
    <x v="0"/>
    <x v="38"/>
    <x v="9"/>
    <x v="19"/>
    <s v="SE3_large"/>
    <x v="19"/>
    <n v="8.1139884009941898"/>
    <n v="2.2538856669428302"/>
  </r>
  <r>
    <x v="0"/>
    <x v="38"/>
    <x v="9"/>
    <x v="19"/>
    <s v="SE3_large"/>
    <x v="20"/>
    <n v="22.109183021311601"/>
    <n v="6.1414397281420996"/>
  </r>
  <r>
    <x v="0"/>
    <x v="38"/>
    <x v="9"/>
    <x v="19"/>
    <s v="SE3_large"/>
    <x v="21"/>
    <n v="47.52"/>
    <n v="13.2"/>
  </r>
  <r>
    <x v="0"/>
    <x v="38"/>
    <x v="9"/>
    <x v="19"/>
    <s v="SE3_large"/>
    <x v="22"/>
    <n v="61.56"/>
    <n v="17.100000000000001"/>
  </r>
  <r>
    <x v="0"/>
    <x v="38"/>
    <x v="9"/>
    <x v="19"/>
    <s v="SE3_large"/>
    <x v="23"/>
    <n v="0.31515896120488701"/>
    <n v="8.7544155890246306E-2"/>
  </r>
  <r>
    <x v="0"/>
    <x v="38"/>
    <x v="9"/>
    <x v="19"/>
    <s v="SE3_large"/>
    <x v="24"/>
    <n v="19.174223581093901"/>
    <n v="5.32617321697054"/>
  </r>
  <r>
    <x v="0"/>
    <x v="38"/>
    <x v="9"/>
    <x v="19"/>
    <s v="SE3_large"/>
    <x v="25"/>
    <n v="26.209507293842599"/>
    <n v="7.2804186927340497"/>
  </r>
  <r>
    <x v="0"/>
    <x v="38"/>
    <x v="9"/>
    <x v="19"/>
    <s v="SE3_large"/>
    <x v="26"/>
    <n v="33.320887798496699"/>
    <n v="9.2558021662490795"/>
  </r>
  <r>
    <x v="0"/>
    <x v="38"/>
    <x v="9"/>
    <x v="19"/>
    <s v="SE3_large"/>
    <x v="27"/>
    <n v="20.163995508318798"/>
    <n v="5.6011098634218799"/>
  </r>
  <r>
    <x v="0"/>
    <x v="38"/>
    <x v="9"/>
    <x v="19"/>
    <s v="SE3_medium"/>
    <x v="1"/>
    <n v="35.989199999999997"/>
    <n v="9.9969999999999999"/>
  </r>
  <r>
    <x v="0"/>
    <x v="38"/>
    <x v="9"/>
    <x v="19"/>
    <s v="SE3_medium"/>
    <x v="2"/>
    <n v="43.2"/>
    <n v="12"/>
  </r>
  <r>
    <x v="0"/>
    <x v="38"/>
    <x v="9"/>
    <x v="19"/>
    <s v="SE3_medium"/>
    <x v="0"/>
    <n v="42.692399999999999"/>
    <n v="11.859"/>
  </r>
  <r>
    <x v="0"/>
    <x v="38"/>
    <x v="9"/>
    <x v="19"/>
    <s v="SE3_medium"/>
    <x v="3"/>
    <n v="51.633543144067197"/>
    <n v="14.342650873352"/>
  </r>
  <r>
    <x v="0"/>
    <x v="38"/>
    <x v="9"/>
    <x v="19"/>
    <s v="SE3_medium"/>
    <x v="4"/>
    <n v="6.3500778790389401"/>
    <n v="1.76391052195526"/>
  </r>
  <r>
    <x v="0"/>
    <x v="38"/>
    <x v="9"/>
    <x v="19"/>
    <s v="SE3_medium"/>
    <x v="5"/>
    <n v="6.3500778790389401"/>
    <n v="1.76391052195526"/>
  </r>
  <r>
    <x v="0"/>
    <x v="38"/>
    <x v="9"/>
    <x v="19"/>
    <s v="SE3_medium"/>
    <x v="6"/>
    <n v="29.476231795214598"/>
    <n v="8.1878421653373898"/>
  </r>
  <r>
    <x v="0"/>
    <x v="38"/>
    <x v="9"/>
    <x v="19"/>
    <s v="SE3_medium"/>
    <x v="7"/>
    <n v="57.838935220261199"/>
    <n v="16.066370894517"/>
  </r>
  <r>
    <x v="0"/>
    <x v="38"/>
    <x v="9"/>
    <x v="19"/>
    <s v="SE3_medium"/>
    <x v="8"/>
    <n v="57.838935220261199"/>
    <n v="16.066370894517"/>
  </r>
  <r>
    <x v="0"/>
    <x v="38"/>
    <x v="9"/>
    <x v="19"/>
    <s v="SE3_medium"/>
    <x v="9"/>
    <n v="44.4505451532725"/>
    <n v="12.3473736536868"/>
  </r>
  <r>
    <x v="0"/>
    <x v="38"/>
    <x v="9"/>
    <x v="19"/>
    <s v="SE3_medium"/>
    <x v="10"/>
    <n v="53.975661971830903"/>
    <n v="14.993239436619699"/>
  </r>
  <r>
    <x v="0"/>
    <x v="38"/>
    <x v="9"/>
    <x v="19"/>
    <s v="SE3_medium"/>
    <x v="11"/>
    <n v="3.8806031483015802"/>
    <n v="1.07794531897266"/>
  </r>
  <r>
    <x v="0"/>
    <x v="38"/>
    <x v="9"/>
    <x v="19"/>
    <s v="SE3_medium"/>
    <x v="12"/>
    <n v="9.7995028997514597E-2"/>
    <n v="2.72208413881985E-2"/>
  </r>
  <r>
    <x v="0"/>
    <x v="38"/>
    <x v="9"/>
    <x v="19"/>
    <s v="SE3_medium"/>
    <x v="13"/>
    <n v="29.633696768848399"/>
    <n v="8.2315824357912195"/>
  </r>
  <r>
    <x v="0"/>
    <x v="38"/>
    <x v="9"/>
    <x v="19"/>
    <s v="SE3_medium"/>
    <x v="14"/>
    <n v="29.633696768848399"/>
    <n v="8.2315824357912195"/>
  </r>
  <r>
    <x v="0"/>
    <x v="38"/>
    <x v="9"/>
    <x v="19"/>
    <s v="SE3_medium"/>
    <x v="15"/>
    <n v="1.65807589063794"/>
    <n v="0.46057663628831802"/>
  </r>
  <r>
    <x v="0"/>
    <x v="38"/>
    <x v="9"/>
    <x v="19"/>
    <s v="SE3_medium"/>
    <x v="16"/>
    <n v="6.3819281410478998"/>
    <n v="1.77275781695775"/>
  </r>
  <r>
    <x v="0"/>
    <x v="38"/>
    <x v="9"/>
    <x v="19"/>
    <s v="SE3_medium"/>
    <x v="17"/>
    <n v="9.1244895875632395"/>
    <n v="2.5345804409897901"/>
  </r>
  <r>
    <x v="0"/>
    <x v="38"/>
    <x v="9"/>
    <x v="19"/>
    <s v="SE3_medium"/>
    <x v="18"/>
    <n v="29.633696768848399"/>
    <n v="8.2315824357912195"/>
  </r>
  <r>
    <x v="0"/>
    <x v="38"/>
    <x v="9"/>
    <x v="19"/>
    <s v="SE3_medium"/>
    <x v="19"/>
    <n v="8.1139884009941898"/>
    <n v="2.2538856669428302"/>
  </r>
  <r>
    <x v="0"/>
    <x v="38"/>
    <x v="9"/>
    <x v="19"/>
    <s v="SE3_medium"/>
    <x v="20"/>
    <n v="22.109183021311601"/>
    <n v="6.1414397281420996"/>
  </r>
  <r>
    <x v="0"/>
    <x v="38"/>
    <x v="9"/>
    <x v="19"/>
    <s v="SE3_medium"/>
    <x v="21"/>
    <n v="47.52"/>
    <n v="13.2"/>
  </r>
  <r>
    <x v="0"/>
    <x v="38"/>
    <x v="9"/>
    <x v="19"/>
    <s v="SE3_medium"/>
    <x v="22"/>
    <n v="61.56"/>
    <n v="17.100000000000001"/>
  </r>
  <r>
    <x v="0"/>
    <x v="38"/>
    <x v="9"/>
    <x v="19"/>
    <s v="SE3_medium"/>
    <x v="23"/>
    <n v="0.31515896120488701"/>
    <n v="8.7544155890246306E-2"/>
  </r>
  <r>
    <x v="0"/>
    <x v="38"/>
    <x v="9"/>
    <x v="19"/>
    <s v="SE3_medium"/>
    <x v="24"/>
    <n v="19.174223581093901"/>
    <n v="5.32617321697054"/>
  </r>
  <r>
    <x v="0"/>
    <x v="38"/>
    <x v="9"/>
    <x v="19"/>
    <s v="SE3_medium"/>
    <x v="25"/>
    <n v="26.209507293842599"/>
    <n v="7.2804186927340497"/>
  </r>
  <r>
    <x v="0"/>
    <x v="38"/>
    <x v="9"/>
    <x v="19"/>
    <s v="SE3_medium"/>
    <x v="26"/>
    <n v="33.320887798496699"/>
    <n v="9.2558021662490795"/>
  </r>
  <r>
    <x v="0"/>
    <x v="38"/>
    <x v="9"/>
    <x v="19"/>
    <s v="SE3_medium"/>
    <x v="27"/>
    <n v="20.163995508318798"/>
    <n v="5.6011098634218799"/>
  </r>
  <r>
    <x v="0"/>
    <x v="38"/>
    <x v="9"/>
    <x v="19"/>
    <s v="SE3_small"/>
    <x v="1"/>
    <n v="35.989199999999997"/>
    <n v="9.9969999999999999"/>
  </r>
  <r>
    <x v="0"/>
    <x v="38"/>
    <x v="9"/>
    <x v="19"/>
    <s v="SE3_small"/>
    <x v="2"/>
    <n v="43.2"/>
    <n v="12"/>
  </r>
  <r>
    <x v="0"/>
    <x v="38"/>
    <x v="9"/>
    <x v="19"/>
    <s v="SE3_small"/>
    <x v="0"/>
    <n v="42.692399999999999"/>
    <n v="11.859"/>
  </r>
  <r>
    <x v="0"/>
    <x v="38"/>
    <x v="9"/>
    <x v="19"/>
    <s v="SE3_small"/>
    <x v="3"/>
    <n v="51.633543144067197"/>
    <n v="14.342650873352"/>
  </r>
  <r>
    <x v="0"/>
    <x v="38"/>
    <x v="9"/>
    <x v="19"/>
    <s v="SE3_small"/>
    <x v="4"/>
    <n v="6.3500778790389401"/>
    <n v="1.76391052195526"/>
  </r>
  <r>
    <x v="0"/>
    <x v="38"/>
    <x v="9"/>
    <x v="19"/>
    <s v="SE3_small"/>
    <x v="5"/>
    <n v="6.3500778790389401"/>
    <n v="1.76391052195526"/>
  </r>
  <r>
    <x v="0"/>
    <x v="38"/>
    <x v="9"/>
    <x v="19"/>
    <s v="SE3_small"/>
    <x v="6"/>
    <n v="29.476231795214598"/>
    <n v="8.1878421653373898"/>
  </r>
  <r>
    <x v="0"/>
    <x v="38"/>
    <x v="9"/>
    <x v="19"/>
    <s v="SE3_small"/>
    <x v="7"/>
    <n v="57.838935220261199"/>
    <n v="16.066370894517"/>
  </r>
  <r>
    <x v="0"/>
    <x v="38"/>
    <x v="9"/>
    <x v="19"/>
    <s v="SE3_small"/>
    <x v="8"/>
    <n v="57.838935220261199"/>
    <n v="16.066370894517"/>
  </r>
  <r>
    <x v="0"/>
    <x v="38"/>
    <x v="9"/>
    <x v="19"/>
    <s v="SE3_small"/>
    <x v="9"/>
    <n v="44.4505451532725"/>
    <n v="12.3473736536868"/>
  </r>
  <r>
    <x v="0"/>
    <x v="38"/>
    <x v="9"/>
    <x v="19"/>
    <s v="SE3_small"/>
    <x v="10"/>
    <n v="53.975661971830903"/>
    <n v="14.993239436619699"/>
  </r>
  <r>
    <x v="0"/>
    <x v="38"/>
    <x v="9"/>
    <x v="19"/>
    <s v="SE3_small"/>
    <x v="11"/>
    <n v="3.8806031483015802"/>
    <n v="1.07794531897266"/>
  </r>
  <r>
    <x v="0"/>
    <x v="38"/>
    <x v="9"/>
    <x v="19"/>
    <s v="SE3_small"/>
    <x v="12"/>
    <n v="9.7995028997514597E-2"/>
    <n v="2.72208413881985E-2"/>
  </r>
  <r>
    <x v="0"/>
    <x v="38"/>
    <x v="9"/>
    <x v="19"/>
    <s v="SE3_small"/>
    <x v="13"/>
    <n v="29.633696768848399"/>
    <n v="8.2315824357912195"/>
  </r>
  <r>
    <x v="0"/>
    <x v="38"/>
    <x v="9"/>
    <x v="19"/>
    <s v="SE3_small"/>
    <x v="14"/>
    <n v="29.633696768848399"/>
    <n v="8.2315824357912195"/>
  </r>
  <r>
    <x v="0"/>
    <x v="38"/>
    <x v="9"/>
    <x v="19"/>
    <s v="SE3_small"/>
    <x v="15"/>
    <n v="1.65807589063794"/>
    <n v="0.46057663628831802"/>
  </r>
  <r>
    <x v="0"/>
    <x v="38"/>
    <x v="9"/>
    <x v="19"/>
    <s v="SE3_small"/>
    <x v="16"/>
    <n v="6.3819281410478998"/>
    <n v="1.77275781695775"/>
  </r>
  <r>
    <x v="0"/>
    <x v="38"/>
    <x v="9"/>
    <x v="19"/>
    <s v="SE3_small"/>
    <x v="17"/>
    <n v="9.1244895875632395"/>
    <n v="2.5345804409897901"/>
  </r>
  <r>
    <x v="0"/>
    <x v="38"/>
    <x v="9"/>
    <x v="19"/>
    <s v="SE3_small"/>
    <x v="18"/>
    <n v="29.633696768848399"/>
    <n v="8.2315824357912195"/>
  </r>
  <r>
    <x v="0"/>
    <x v="38"/>
    <x v="9"/>
    <x v="19"/>
    <s v="SE3_small"/>
    <x v="19"/>
    <n v="8.1139884009941898"/>
    <n v="2.2538856669428302"/>
  </r>
  <r>
    <x v="0"/>
    <x v="38"/>
    <x v="9"/>
    <x v="19"/>
    <s v="SE3_small"/>
    <x v="20"/>
    <n v="22.109183021311601"/>
    <n v="6.1414397281420996"/>
  </r>
  <r>
    <x v="0"/>
    <x v="38"/>
    <x v="9"/>
    <x v="19"/>
    <s v="SE3_small"/>
    <x v="21"/>
    <n v="47.52"/>
    <n v="13.2"/>
  </r>
  <r>
    <x v="0"/>
    <x v="38"/>
    <x v="9"/>
    <x v="19"/>
    <s v="SE3_small"/>
    <x v="22"/>
    <n v="61.56"/>
    <n v="17.100000000000001"/>
  </r>
  <r>
    <x v="0"/>
    <x v="38"/>
    <x v="9"/>
    <x v="19"/>
    <s v="SE3_small"/>
    <x v="23"/>
    <n v="0.31515896120488701"/>
    <n v="8.7544155890246306E-2"/>
  </r>
  <r>
    <x v="0"/>
    <x v="38"/>
    <x v="9"/>
    <x v="19"/>
    <s v="SE3_small"/>
    <x v="24"/>
    <n v="19.174223581093901"/>
    <n v="5.32617321697054"/>
  </r>
  <r>
    <x v="0"/>
    <x v="38"/>
    <x v="9"/>
    <x v="19"/>
    <s v="SE3_small"/>
    <x v="25"/>
    <n v="26.209507293842599"/>
    <n v="7.2804186927340497"/>
  </r>
  <r>
    <x v="0"/>
    <x v="38"/>
    <x v="9"/>
    <x v="19"/>
    <s v="SE3_small"/>
    <x v="26"/>
    <n v="33.320887798496699"/>
    <n v="9.2558021662490795"/>
  </r>
  <r>
    <x v="0"/>
    <x v="38"/>
    <x v="9"/>
    <x v="19"/>
    <s v="SE3_small"/>
    <x v="27"/>
    <n v="20.163995508318798"/>
    <n v="5.6011098634218799"/>
  </r>
  <r>
    <x v="0"/>
    <x v="38"/>
    <x v="9"/>
    <x v="20"/>
    <s v="SE4A"/>
    <x v="1"/>
    <n v="35.989199999999997"/>
    <n v="9.9969999999999999"/>
  </r>
  <r>
    <x v="0"/>
    <x v="38"/>
    <x v="9"/>
    <x v="20"/>
    <s v="SE4A"/>
    <x v="2"/>
    <n v="43.2"/>
    <n v="12"/>
  </r>
  <r>
    <x v="0"/>
    <x v="38"/>
    <x v="9"/>
    <x v="20"/>
    <s v="SE4A"/>
    <x v="0"/>
    <n v="42.692399999999999"/>
    <n v="11.859"/>
  </r>
  <r>
    <x v="0"/>
    <x v="38"/>
    <x v="9"/>
    <x v="20"/>
    <s v="SE4A"/>
    <x v="3"/>
    <n v="51.633543144067197"/>
    <n v="14.342650873352"/>
  </r>
  <r>
    <x v="0"/>
    <x v="38"/>
    <x v="9"/>
    <x v="20"/>
    <s v="SE4A"/>
    <x v="4"/>
    <n v="6.3500778790389401"/>
    <n v="1.76391052195526"/>
  </r>
  <r>
    <x v="0"/>
    <x v="38"/>
    <x v="9"/>
    <x v="20"/>
    <s v="SE4A"/>
    <x v="5"/>
    <n v="6.3500778790389401"/>
    <n v="1.76391052195526"/>
  </r>
  <r>
    <x v="0"/>
    <x v="38"/>
    <x v="9"/>
    <x v="20"/>
    <s v="SE4A"/>
    <x v="6"/>
    <n v="29.476231795214598"/>
    <n v="8.1878421653373898"/>
  </r>
  <r>
    <x v="0"/>
    <x v="38"/>
    <x v="9"/>
    <x v="20"/>
    <s v="SE4A"/>
    <x v="7"/>
    <n v="57.838935220261199"/>
    <n v="16.066370894517"/>
  </r>
  <r>
    <x v="0"/>
    <x v="38"/>
    <x v="9"/>
    <x v="20"/>
    <s v="SE4A"/>
    <x v="8"/>
    <n v="57.838935220261199"/>
    <n v="16.066370894517"/>
  </r>
  <r>
    <x v="0"/>
    <x v="38"/>
    <x v="9"/>
    <x v="20"/>
    <s v="SE4A"/>
    <x v="9"/>
    <n v="44.4505451532725"/>
    <n v="12.3473736536868"/>
  </r>
  <r>
    <x v="0"/>
    <x v="38"/>
    <x v="9"/>
    <x v="20"/>
    <s v="SE4A"/>
    <x v="10"/>
    <n v="53.975661971830903"/>
    <n v="14.993239436619699"/>
  </r>
  <r>
    <x v="0"/>
    <x v="38"/>
    <x v="9"/>
    <x v="20"/>
    <s v="SE4A"/>
    <x v="11"/>
    <n v="3.8806031483015802"/>
    <n v="1.07794531897266"/>
  </r>
  <r>
    <x v="0"/>
    <x v="38"/>
    <x v="9"/>
    <x v="20"/>
    <s v="SE4A"/>
    <x v="12"/>
    <n v="9.7995028997514597E-2"/>
    <n v="2.72208413881985E-2"/>
  </r>
  <r>
    <x v="0"/>
    <x v="38"/>
    <x v="9"/>
    <x v="20"/>
    <s v="SE4A"/>
    <x v="13"/>
    <n v="29.633696768848399"/>
    <n v="8.2315824357912195"/>
  </r>
  <r>
    <x v="0"/>
    <x v="38"/>
    <x v="9"/>
    <x v="20"/>
    <s v="SE4A"/>
    <x v="14"/>
    <n v="29.633696768848399"/>
    <n v="8.2315824357912195"/>
  </r>
  <r>
    <x v="0"/>
    <x v="38"/>
    <x v="9"/>
    <x v="20"/>
    <s v="SE4A"/>
    <x v="15"/>
    <n v="1.65807589063794"/>
    <n v="0.46057663628831802"/>
  </r>
  <r>
    <x v="0"/>
    <x v="38"/>
    <x v="9"/>
    <x v="20"/>
    <s v="SE4A"/>
    <x v="16"/>
    <n v="6.3819281410478998"/>
    <n v="1.77275781695775"/>
  </r>
  <r>
    <x v="0"/>
    <x v="38"/>
    <x v="9"/>
    <x v="20"/>
    <s v="SE4A"/>
    <x v="17"/>
    <n v="9.1244895875632395"/>
    <n v="2.5345804409897901"/>
  </r>
  <r>
    <x v="0"/>
    <x v="38"/>
    <x v="9"/>
    <x v="20"/>
    <s v="SE4A"/>
    <x v="18"/>
    <n v="29.633696768848399"/>
    <n v="8.2315824357912195"/>
  </r>
  <r>
    <x v="0"/>
    <x v="38"/>
    <x v="9"/>
    <x v="20"/>
    <s v="SE4A"/>
    <x v="19"/>
    <n v="8.1139884009941898"/>
    <n v="2.2538856669428302"/>
  </r>
  <r>
    <x v="0"/>
    <x v="38"/>
    <x v="9"/>
    <x v="20"/>
    <s v="SE4A"/>
    <x v="20"/>
    <n v="22.109183021311601"/>
    <n v="6.1414397281420996"/>
  </r>
  <r>
    <x v="0"/>
    <x v="38"/>
    <x v="9"/>
    <x v="20"/>
    <s v="SE4A"/>
    <x v="21"/>
    <n v="47.52"/>
    <n v="13.2"/>
  </r>
  <r>
    <x v="0"/>
    <x v="38"/>
    <x v="9"/>
    <x v="20"/>
    <s v="SE4A"/>
    <x v="22"/>
    <n v="61.56"/>
    <n v="17.100000000000001"/>
  </r>
  <r>
    <x v="0"/>
    <x v="38"/>
    <x v="9"/>
    <x v="20"/>
    <s v="SE4A"/>
    <x v="23"/>
    <n v="0.31515896120488701"/>
    <n v="8.7544155890246306E-2"/>
  </r>
  <r>
    <x v="0"/>
    <x v="38"/>
    <x v="9"/>
    <x v="20"/>
    <s v="SE4A"/>
    <x v="24"/>
    <n v="19.174223581093901"/>
    <n v="5.32617321697054"/>
  </r>
  <r>
    <x v="0"/>
    <x v="38"/>
    <x v="9"/>
    <x v="20"/>
    <s v="SE4A"/>
    <x v="25"/>
    <n v="26.209507293842599"/>
    <n v="7.2804186927340497"/>
  </r>
  <r>
    <x v="0"/>
    <x v="38"/>
    <x v="9"/>
    <x v="20"/>
    <s v="SE4A"/>
    <x v="26"/>
    <n v="33.320887798496699"/>
    <n v="9.2558021662490795"/>
  </r>
  <r>
    <x v="0"/>
    <x v="38"/>
    <x v="9"/>
    <x v="20"/>
    <s v="SE4A"/>
    <x v="27"/>
    <n v="20.163995508318798"/>
    <n v="5.6011098634218799"/>
  </r>
  <r>
    <x v="0"/>
    <x v="38"/>
    <x v="9"/>
    <x v="20"/>
    <s v="SE4_IND"/>
    <x v="1"/>
    <n v="35.989199999999997"/>
    <n v="9.9969999999999999"/>
  </r>
  <r>
    <x v="0"/>
    <x v="38"/>
    <x v="9"/>
    <x v="20"/>
    <s v="SE4_IND"/>
    <x v="2"/>
    <n v="43.2"/>
    <n v="12"/>
  </r>
  <r>
    <x v="0"/>
    <x v="38"/>
    <x v="9"/>
    <x v="20"/>
    <s v="SE4_IND"/>
    <x v="0"/>
    <n v="42.692399999999999"/>
    <n v="11.859"/>
  </r>
  <r>
    <x v="0"/>
    <x v="38"/>
    <x v="9"/>
    <x v="20"/>
    <s v="SE4_IND"/>
    <x v="3"/>
    <n v="51.633543144067197"/>
    <n v="14.342650873352"/>
  </r>
  <r>
    <x v="0"/>
    <x v="38"/>
    <x v="9"/>
    <x v="20"/>
    <s v="SE4_IND"/>
    <x v="4"/>
    <n v="6.3500778790389401"/>
    <n v="1.76391052195526"/>
  </r>
  <r>
    <x v="0"/>
    <x v="38"/>
    <x v="9"/>
    <x v="20"/>
    <s v="SE4_IND"/>
    <x v="5"/>
    <n v="6.3500778790389401"/>
    <n v="1.76391052195526"/>
  </r>
  <r>
    <x v="0"/>
    <x v="38"/>
    <x v="9"/>
    <x v="20"/>
    <s v="SE4_IND"/>
    <x v="6"/>
    <n v="29.476231795214598"/>
    <n v="8.1878421653373898"/>
  </r>
  <r>
    <x v="0"/>
    <x v="38"/>
    <x v="9"/>
    <x v="20"/>
    <s v="SE4_IND"/>
    <x v="7"/>
    <n v="57.838935220261199"/>
    <n v="16.066370894517"/>
  </r>
  <r>
    <x v="0"/>
    <x v="38"/>
    <x v="9"/>
    <x v="20"/>
    <s v="SE4_IND"/>
    <x v="8"/>
    <n v="57.838935220261199"/>
    <n v="16.066370894517"/>
  </r>
  <r>
    <x v="0"/>
    <x v="38"/>
    <x v="9"/>
    <x v="20"/>
    <s v="SE4_IND"/>
    <x v="9"/>
    <n v="44.4505451532725"/>
    <n v="12.3473736536868"/>
  </r>
  <r>
    <x v="0"/>
    <x v="38"/>
    <x v="9"/>
    <x v="20"/>
    <s v="SE4_IND"/>
    <x v="10"/>
    <n v="53.975661971830903"/>
    <n v="14.993239436619699"/>
  </r>
  <r>
    <x v="0"/>
    <x v="38"/>
    <x v="9"/>
    <x v="20"/>
    <s v="SE4_IND"/>
    <x v="11"/>
    <n v="3.8806031483015802"/>
    <n v="1.07794531897266"/>
  </r>
  <r>
    <x v="0"/>
    <x v="38"/>
    <x v="9"/>
    <x v="20"/>
    <s v="SE4_IND"/>
    <x v="12"/>
    <n v="9.7995028997514597E-2"/>
    <n v="2.72208413881985E-2"/>
  </r>
  <r>
    <x v="0"/>
    <x v="38"/>
    <x v="9"/>
    <x v="20"/>
    <s v="SE4_IND"/>
    <x v="13"/>
    <n v="29.633696768848399"/>
    <n v="8.2315824357912195"/>
  </r>
  <r>
    <x v="0"/>
    <x v="38"/>
    <x v="9"/>
    <x v="20"/>
    <s v="SE4_IND"/>
    <x v="14"/>
    <n v="29.633696768848399"/>
    <n v="8.2315824357912195"/>
  </r>
  <r>
    <x v="0"/>
    <x v="38"/>
    <x v="9"/>
    <x v="20"/>
    <s v="SE4_IND"/>
    <x v="15"/>
    <n v="1.65807589063794"/>
    <n v="0.46057663628831802"/>
  </r>
  <r>
    <x v="0"/>
    <x v="38"/>
    <x v="9"/>
    <x v="20"/>
    <s v="SE4_IND"/>
    <x v="16"/>
    <n v="6.3819281410478998"/>
    <n v="1.77275781695775"/>
  </r>
  <r>
    <x v="0"/>
    <x v="38"/>
    <x v="9"/>
    <x v="20"/>
    <s v="SE4_IND"/>
    <x v="17"/>
    <n v="9.1244895875632395"/>
    <n v="2.5345804409897901"/>
  </r>
  <r>
    <x v="0"/>
    <x v="38"/>
    <x v="9"/>
    <x v="20"/>
    <s v="SE4_IND"/>
    <x v="18"/>
    <n v="29.633696768848399"/>
    <n v="8.2315824357912195"/>
  </r>
  <r>
    <x v="0"/>
    <x v="38"/>
    <x v="9"/>
    <x v="20"/>
    <s v="SE4_IND"/>
    <x v="19"/>
    <n v="8.1139884009941898"/>
    <n v="2.2538856669428302"/>
  </r>
  <r>
    <x v="0"/>
    <x v="38"/>
    <x v="9"/>
    <x v="20"/>
    <s v="SE4_IND"/>
    <x v="20"/>
    <n v="22.109183021311601"/>
    <n v="6.1414397281420996"/>
  </r>
  <r>
    <x v="0"/>
    <x v="38"/>
    <x v="9"/>
    <x v="20"/>
    <s v="SE4_IND"/>
    <x v="21"/>
    <n v="47.52"/>
    <n v="13.2"/>
  </r>
  <r>
    <x v="0"/>
    <x v="38"/>
    <x v="9"/>
    <x v="20"/>
    <s v="SE4_IND"/>
    <x v="22"/>
    <n v="61.56"/>
    <n v="17.100000000000001"/>
  </r>
  <r>
    <x v="0"/>
    <x v="38"/>
    <x v="9"/>
    <x v="20"/>
    <s v="SE4_IND"/>
    <x v="23"/>
    <n v="0.31515896120488701"/>
    <n v="8.7544155890246306E-2"/>
  </r>
  <r>
    <x v="0"/>
    <x v="38"/>
    <x v="9"/>
    <x v="20"/>
    <s v="SE4_IND"/>
    <x v="24"/>
    <n v="19.174223581093901"/>
    <n v="5.32617321697054"/>
  </r>
  <r>
    <x v="0"/>
    <x v="38"/>
    <x v="9"/>
    <x v="20"/>
    <s v="SE4_IND"/>
    <x v="25"/>
    <n v="26.209507293842599"/>
    <n v="7.2804186927340497"/>
  </r>
  <r>
    <x v="0"/>
    <x v="38"/>
    <x v="9"/>
    <x v="20"/>
    <s v="SE4_IND"/>
    <x v="26"/>
    <n v="33.320887798496699"/>
    <n v="9.2558021662490795"/>
  </r>
  <r>
    <x v="0"/>
    <x v="38"/>
    <x v="9"/>
    <x v="20"/>
    <s v="SE4_IND"/>
    <x v="27"/>
    <n v="20.163995508318798"/>
    <n v="5.6011098634218799"/>
  </r>
  <r>
    <x v="0"/>
    <x v="38"/>
    <x v="9"/>
    <x v="20"/>
    <s v="SE4_Offshore"/>
    <x v="1"/>
    <n v="35.989199999999997"/>
    <n v="9.9969999999999999"/>
  </r>
  <r>
    <x v="0"/>
    <x v="38"/>
    <x v="9"/>
    <x v="20"/>
    <s v="SE4_Offshore"/>
    <x v="2"/>
    <n v="43.2"/>
    <n v="12"/>
  </r>
  <r>
    <x v="0"/>
    <x v="38"/>
    <x v="9"/>
    <x v="20"/>
    <s v="SE4_Offshore"/>
    <x v="0"/>
    <n v="42.692399999999999"/>
    <n v="11.859"/>
  </r>
  <r>
    <x v="0"/>
    <x v="38"/>
    <x v="9"/>
    <x v="20"/>
    <s v="SE4_Offshore"/>
    <x v="3"/>
    <n v="51.633543144067197"/>
    <n v="14.342650873352"/>
  </r>
  <r>
    <x v="0"/>
    <x v="38"/>
    <x v="9"/>
    <x v="20"/>
    <s v="SE4_Offshore"/>
    <x v="4"/>
    <n v="6.3500778790389401"/>
    <n v="1.76391052195526"/>
  </r>
  <r>
    <x v="0"/>
    <x v="38"/>
    <x v="9"/>
    <x v="20"/>
    <s v="SE4_Offshore"/>
    <x v="5"/>
    <n v="6.3500778790389401"/>
    <n v="1.76391052195526"/>
  </r>
  <r>
    <x v="0"/>
    <x v="38"/>
    <x v="9"/>
    <x v="20"/>
    <s v="SE4_Offshore"/>
    <x v="6"/>
    <n v="29.476231795214598"/>
    <n v="8.1878421653373898"/>
  </r>
  <r>
    <x v="0"/>
    <x v="38"/>
    <x v="9"/>
    <x v="20"/>
    <s v="SE4_Offshore"/>
    <x v="7"/>
    <n v="57.838935220261199"/>
    <n v="16.066370894517"/>
  </r>
  <r>
    <x v="0"/>
    <x v="38"/>
    <x v="9"/>
    <x v="20"/>
    <s v="SE4_Offshore"/>
    <x v="8"/>
    <n v="57.838935220261199"/>
    <n v="16.066370894517"/>
  </r>
  <r>
    <x v="0"/>
    <x v="38"/>
    <x v="9"/>
    <x v="20"/>
    <s v="SE4_Offshore"/>
    <x v="9"/>
    <n v="44.4505451532725"/>
    <n v="12.3473736536868"/>
  </r>
  <r>
    <x v="0"/>
    <x v="38"/>
    <x v="9"/>
    <x v="20"/>
    <s v="SE4_Offshore"/>
    <x v="10"/>
    <n v="53.975661971830903"/>
    <n v="14.993239436619699"/>
  </r>
  <r>
    <x v="0"/>
    <x v="38"/>
    <x v="9"/>
    <x v="20"/>
    <s v="SE4_Offshore"/>
    <x v="11"/>
    <n v="3.8806031483015802"/>
    <n v="1.07794531897266"/>
  </r>
  <r>
    <x v="0"/>
    <x v="38"/>
    <x v="9"/>
    <x v="20"/>
    <s v="SE4_Offshore"/>
    <x v="12"/>
    <n v="9.7995028997514597E-2"/>
    <n v="2.72208413881985E-2"/>
  </r>
  <r>
    <x v="0"/>
    <x v="38"/>
    <x v="9"/>
    <x v="20"/>
    <s v="SE4_Offshore"/>
    <x v="13"/>
    <n v="29.633696768848399"/>
    <n v="8.2315824357912195"/>
  </r>
  <r>
    <x v="0"/>
    <x v="38"/>
    <x v="9"/>
    <x v="20"/>
    <s v="SE4_Offshore"/>
    <x v="14"/>
    <n v="29.633696768848399"/>
    <n v="8.2315824357912195"/>
  </r>
  <r>
    <x v="0"/>
    <x v="38"/>
    <x v="9"/>
    <x v="20"/>
    <s v="SE4_Offshore"/>
    <x v="15"/>
    <n v="1.65807589063794"/>
    <n v="0.46057663628831802"/>
  </r>
  <r>
    <x v="0"/>
    <x v="38"/>
    <x v="9"/>
    <x v="20"/>
    <s v="SE4_Offshore"/>
    <x v="16"/>
    <n v="6.3819281410478998"/>
    <n v="1.77275781695775"/>
  </r>
  <r>
    <x v="0"/>
    <x v="38"/>
    <x v="9"/>
    <x v="20"/>
    <s v="SE4_Offshore"/>
    <x v="17"/>
    <n v="9.1244895875632395"/>
    <n v="2.5345804409897901"/>
  </r>
  <r>
    <x v="0"/>
    <x v="38"/>
    <x v="9"/>
    <x v="20"/>
    <s v="SE4_Offshore"/>
    <x v="18"/>
    <n v="29.633696768848399"/>
    <n v="8.2315824357912195"/>
  </r>
  <r>
    <x v="0"/>
    <x v="38"/>
    <x v="9"/>
    <x v="20"/>
    <s v="SE4_Offshore"/>
    <x v="19"/>
    <n v="8.1139884009941898"/>
    <n v="2.2538856669428302"/>
  </r>
  <r>
    <x v="0"/>
    <x v="38"/>
    <x v="9"/>
    <x v="20"/>
    <s v="SE4_Offshore"/>
    <x v="20"/>
    <n v="22.109183021311601"/>
    <n v="6.1414397281420996"/>
  </r>
  <r>
    <x v="0"/>
    <x v="38"/>
    <x v="9"/>
    <x v="20"/>
    <s v="SE4_Offshore"/>
    <x v="21"/>
    <n v="47.52"/>
    <n v="13.2"/>
  </r>
  <r>
    <x v="0"/>
    <x v="38"/>
    <x v="9"/>
    <x v="20"/>
    <s v="SE4_Offshore"/>
    <x v="22"/>
    <n v="61.56"/>
    <n v="17.100000000000001"/>
  </r>
  <r>
    <x v="0"/>
    <x v="38"/>
    <x v="9"/>
    <x v="20"/>
    <s v="SE4_Offshore"/>
    <x v="23"/>
    <n v="0.31515896120488701"/>
    <n v="8.7544155890246306E-2"/>
  </r>
  <r>
    <x v="0"/>
    <x v="38"/>
    <x v="9"/>
    <x v="20"/>
    <s v="SE4_Offshore"/>
    <x v="24"/>
    <n v="19.174223581093901"/>
    <n v="5.32617321697054"/>
  </r>
  <r>
    <x v="0"/>
    <x v="38"/>
    <x v="9"/>
    <x v="20"/>
    <s v="SE4_Offshore"/>
    <x v="25"/>
    <n v="26.209507293842599"/>
    <n v="7.2804186927340497"/>
  </r>
  <r>
    <x v="0"/>
    <x v="38"/>
    <x v="9"/>
    <x v="20"/>
    <s v="SE4_Offshore"/>
    <x v="26"/>
    <n v="33.320887798496699"/>
    <n v="9.2558021662490795"/>
  </r>
  <r>
    <x v="0"/>
    <x v="38"/>
    <x v="9"/>
    <x v="20"/>
    <s v="SE4_Offshore"/>
    <x v="27"/>
    <n v="20.163995508318798"/>
    <n v="5.6011098634218799"/>
  </r>
  <r>
    <x v="0"/>
    <x v="38"/>
    <x v="9"/>
    <x v="20"/>
    <s v="SE4_large"/>
    <x v="1"/>
    <n v="35.989199999999997"/>
    <n v="9.9969999999999999"/>
  </r>
  <r>
    <x v="0"/>
    <x v="38"/>
    <x v="9"/>
    <x v="20"/>
    <s v="SE4_large"/>
    <x v="2"/>
    <n v="43.2"/>
    <n v="12"/>
  </r>
  <r>
    <x v="0"/>
    <x v="38"/>
    <x v="9"/>
    <x v="20"/>
    <s v="SE4_large"/>
    <x v="0"/>
    <n v="42.692399999999999"/>
    <n v="11.859"/>
  </r>
  <r>
    <x v="0"/>
    <x v="38"/>
    <x v="9"/>
    <x v="20"/>
    <s v="SE4_large"/>
    <x v="3"/>
    <n v="51.633543144067197"/>
    <n v="14.342650873352"/>
  </r>
  <r>
    <x v="0"/>
    <x v="38"/>
    <x v="9"/>
    <x v="20"/>
    <s v="SE4_large"/>
    <x v="4"/>
    <n v="6.3500778790389401"/>
    <n v="1.76391052195526"/>
  </r>
  <r>
    <x v="0"/>
    <x v="38"/>
    <x v="9"/>
    <x v="20"/>
    <s v="SE4_large"/>
    <x v="5"/>
    <n v="6.3500778790389401"/>
    <n v="1.76391052195526"/>
  </r>
  <r>
    <x v="0"/>
    <x v="38"/>
    <x v="9"/>
    <x v="20"/>
    <s v="SE4_large"/>
    <x v="6"/>
    <n v="29.476231795214598"/>
    <n v="8.1878421653373898"/>
  </r>
  <r>
    <x v="0"/>
    <x v="38"/>
    <x v="9"/>
    <x v="20"/>
    <s v="SE4_large"/>
    <x v="7"/>
    <n v="57.838935220261199"/>
    <n v="16.066370894517"/>
  </r>
  <r>
    <x v="0"/>
    <x v="38"/>
    <x v="9"/>
    <x v="20"/>
    <s v="SE4_large"/>
    <x v="8"/>
    <n v="57.838935220261199"/>
    <n v="16.066370894517"/>
  </r>
  <r>
    <x v="0"/>
    <x v="38"/>
    <x v="9"/>
    <x v="20"/>
    <s v="SE4_large"/>
    <x v="9"/>
    <n v="44.4505451532725"/>
    <n v="12.3473736536868"/>
  </r>
  <r>
    <x v="0"/>
    <x v="38"/>
    <x v="9"/>
    <x v="20"/>
    <s v="SE4_large"/>
    <x v="10"/>
    <n v="53.975661971830903"/>
    <n v="14.993239436619699"/>
  </r>
  <r>
    <x v="0"/>
    <x v="38"/>
    <x v="9"/>
    <x v="20"/>
    <s v="SE4_large"/>
    <x v="11"/>
    <n v="3.8806031483015802"/>
    <n v="1.07794531897266"/>
  </r>
  <r>
    <x v="0"/>
    <x v="38"/>
    <x v="9"/>
    <x v="20"/>
    <s v="SE4_large"/>
    <x v="12"/>
    <n v="9.7995028997514597E-2"/>
    <n v="2.72208413881985E-2"/>
  </r>
  <r>
    <x v="0"/>
    <x v="38"/>
    <x v="9"/>
    <x v="20"/>
    <s v="SE4_large"/>
    <x v="13"/>
    <n v="29.633696768848399"/>
    <n v="8.2315824357912195"/>
  </r>
  <r>
    <x v="0"/>
    <x v="38"/>
    <x v="9"/>
    <x v="20"/>
    <s v="SE4_large"/>
    <x v="14"/>
    <n v="29.633696768848399"/>
    <n v="8.2315824357912195"/>
  </r>
  <r>
    <x v="0"/>
    <x v="38"/>
    <x v="9"/>
    <x v="20"/>
    <s v="SE4_large"/>
    <x v="15"/>
    <n v="1.65807589063794"/>
    <n v="0.46057663628831802"/>
  </r>
  <r>
    <x v="0"/>
    <x v="38"/>
    <x v="9"/>
    <x v="20"/>
    <s v="SE4_large"/>
    <x v="16"/>
    <n v="6.3819281410478998"/>
    <n v="1.77275781695775"/>
  </r>
  <r>
    <x v="0"/>
    <x v="38"/>
    <x v="9"/>
    <x v="20"/>
    <s v="SE4_large"/>
    <x v="17"/>
    <n v="9.1244895875632395"/>
    <n v="2.5345804409897901"/>
  </r>
  <r>
    <x v="0"/>
    <x v="38"/>
    <x v="9"/>
    <x v="20"/>
    <s v="SE4_large"/>
    <x v="18"/>
    <n v="29.633696768848399"/>
    <n v="8.2315824357912195"/>
  </r>
  <r>
    <x v="0"/>
    <x v="38"/>
    <x v="9"/>
    <x v="20"/>
    <s v="SE4_large"/>
    <x v="19"/>
    <n v="8.1139884009941898"/>
    <n v="2.2538856669428302"/>
  </r>
  <r>
    <x v="0"/>
    <x v="38"/>
    <x v="9"/>
    <x v="20"/>
    <s v="SE4_large"/>
    <x v="20"/>
    <n v="22.109183021311601"/>
    <n v="6.1414397281420996"/>
  </r>
  <r>
    <x v="0"/>
    <x v="38"/>
    <x v="9"/>
    <x v="20"/>
    <s v="SE4_large"/>
    <x v="21"/>
    <n v="47.52"/>
    <n v="13.2"/>
  </r>
  <r>
    <x v="0"/>
    <x v="38"/>
    <x v="9"/>
    <x v="20"/>
    <s v="SE4_large"/>
    <x v="22"/>
    <n v="61.56"/>
    <n v="17.100000000000001"/>
  </r>
  <r>
    <x v="0"/>
    <x v="38"/>
    <x v="9"/>
    <x v="20"/>
    <s v="SE4_large"/>
    <x v="23"/>
    <n v="0.31515896120488701"/>
    <n v="8.7544155890246306E-2"/>
  </r>
  <r>
    <x v="0"/>
    <x v="38"/>
    <x v="9"/>
    <x v="20"/>
    <s v="SE4_large"/>
    <x v="24"/>
    <n v="19.174223581093901"/>
    <n v="5.32617321697054"/>
  </r>
  <r>
    <x v="0"/>
    <x v="38"/>
    <x v="9"/>
    <x v="20"/>
    <s v="SE4_large"/>
    <x v="25"/>
    <n v="26.209507293842599"/>
    <n v="7.2804186927340497"/>
  </r>
  <r>
    <x v="0"/>
    <x v="38"/>
    <x v="9"/>
    <x v="20"/>
    <s v="SE4_large"/>
    <x v="26"/>
    <n v="33.320887798496699"/>
    <n v="9.2558021662490795"/>
  </r>
  <r>
    <x v="0"/>
    <x v="38"/>
    <x v="9"/>
    <x v="20"/>
    <s v="SE4_large"/>
    <x v="27"/>
    <n v="20.163995508318798"/>
    <n v="5.6011098634218799"/>
  </r>
  <r>
    <x v="0"/>
    <x v="38"/>
    <x v="9"/>
    <x v="20"/>
    <s v="SE4_medium"/>
    <x v="1"/>
    <n v="35.989199999999997"/>
    <n v="9.9969999999999999"/>
  </r>
  <r>
    <x v="0"/>
    <x v="38"/>
    <x v="9"/>
    <x v="20"/>
    <s v="SE4_medium"/>
    <x v="2"/>
    <n v="43.2"/>
    <n v="12"/>
  </r>
  <r>
    <x v="0"/>
    <x v="38"/>
    <x v="9"/>
    <x v="20"/>
    <s v="SE4_medium"/>
    <x v="0"/>
    <n v="42.692399999999999"/>
    <n v="11.859"/>
  </r>
  <r>
    <x v="0"/>
    <x v="38"/>
    <x v="9"/>
    <x v="20"/>
    <s v="SE4_medium"/>
    <x v="3"/>
    <n v="51.633543144067197"/>
    <n v="14.342650873352"/>
  </r>
  <r>
    <x v="0"/>
    <x v="38"/>
    <x v="9"/>
    <x v="20"/>
    <s v="SE4_medium"/>
    <x v="4"/>
    <n v="6.3500778790389401"/>
    <n v="1.76391052195526"/>
  </r>
  <r>
    <x v="0"/>
    <x v="38"/>
    <x v="9"/>
    <x v="20"/>
    <s v="SE4_medium"/>
    <x v="5"/>
    <n v="6.3500778790389401"/>
    <n v="1.76391052195526"/>
  </r>
  <r>
    <x v="0"/>
    <x v="38"/>
    <x v="9"/>
    <x v="20"/>
    <s v="SE4_medium"/>
    <x v="6"/>
    <n v="29.476231795214598"/>
    <n v="8.1878421653373898"/>
  </r>
  <r>
    <x v="0"/>
    <x v="38"/>
    <x v="9"/>
    <x v="20"/>
    <s v="SE4_medium"/>
    <x v="7"/>
    <n v="57.838935220261199"/>
    <n v="16.066370894517"/>
  </r>
  <r>
    <x v="0"/>
    <x v="38"/>
    <x v="9"/>
    <x v="20"/>
    <s v="SE4_medium"/>
    <x v="8"/>
    <n v="57.838935220261199"/>
    <n v="16.066370894517"/>
  </r>
  <r>
    <x v="0"/>
    <x v="38"/>
    <x v="9"/>
    <x v="20"/>
    <s v="SE4_medium"/>
    <x v="9"/>
    <n v="44.4505451532725"/>
    <n v="12.3473736536868"/>
  </r>
  <r>
    <x v="0"/>
    <x v="38"/>
    <x v="9"/>
    <x v="20"/>
    <s v="SE4_medium"/>
    <x v="10"/>
    <n v="53.975661971830903"/>
    <n v="14.993239436619699"/>
  </r>
  <r>
    <x v="0"/>
    <x v="38"/>
    <x v="9"/>
    <x v="20"/>
    <s v="SE4_medium"/>
    <x v="11"/>
    <n v="3.8806031483015802"/>
    <n v="1.07794531897266"/>
  </r>
  <r>
    <x v="0"/>
    <x v="38"/>
    <x v="9"/>
    <x v="20"/>
    <s v="SE4_medium"/>
    <x v="12"/>
    <n v="9.7995028997514597E-2"/>
    <n v="2.72208413881985E-2"/>
  </r>
  <r>
    <x v="0"/>
    <x v="38"/>
    <x v="9"/>
    <x v="20"/>
    <s v="SE4_medium"/>
    <x v="13"/>
    <n v="29.633696768848399"/>
    <n v="8.2315824357912195"/>
  </r>
  <r>
    <x v="0"/>
    <x v="38"/>
    <x v="9"/>
    <x v="20"/>
    <s v="SE4_medium"/>
    <x v="14"/>
    <n v="29.633696768848399"/>
    <n v="8.2315824357912195"/>
  </r>
  <r>
    <x v="0"/>
    <x v="38"/>
    <x v="9"/>
    <x v="20"/>
    <s v="SE4_medium"/>
    <x v="15"/>
    <n v="1.65807589063794"/>
    <n v="0.46057663628831802"/>
  </r>
  <r>
    <x v="0"/>
    <x v="38"/>
    <x v="9"/>
    <x v="20"/>
    <s v="SE4_medium"/>
    <x v="16"/>
    <n v="6.3819281410478998"/>
    <n v="1.77275781695775"/>
  </r>
  <r>
    <x v="0"/>
    <x v="38"/>
    <x v="9"/>
    <x v="20"/>
    <s v="SE4_medium"/>
    <x v="17"/>
    <n v="9.1244895875632395"/>
    <n v="2.5345804409897901"/>
  </r>
  <r>
    <x v="0"/>
    <x v="38"/>
    <x v="9"/>
    <x v="20"/>
    <s v="SE4_medium"/>
    <x v="18"/>
    <n v="29.633696768848399"/>
    <n v="8.2315824357912195"/>
  </r>
  <r>
    <x v="0"/>
    <x v="38"/>
    <x v="9"/>
    <x v="20"/>
    <s v="SE4_medium"/>
    <x v="19"/>
    <n v="8.1139884009941898"/>
    <n v="2.2538856669428302"/>
  </r>
  <r>
    <x v="0"/>
    <x v="38"/>
    <x v="9"/>
    <x v="20"/>
    <s v="SE4_medium"/>
    <x v="20"/>
    <n v="22.109183021311601"/>
    <n v="6.1414397281420996"/>
  </r>
  <r>
    <x v="0"/>
    <x v="38"/>
    <x v="9"/>
    <x v="20"/>
    <s v="SE4_medium"/>
    <x v="21"/>
    <n v="47.52"/>
    <n v="13.2"/>
  </r>
  <r>
    <x v="0"/>
    <x v="38"/>
    <x v="9"/>
    <x v="20"/>
    <s v="SE4_medium"/>
    <x v="22"/>
    <n v="61.56"/>
    <n v="17.100000000000001"/>
  </r>
  <r>
    <x v="0"/>
    <x v="38"/>
    <x v="9"/>
    <x v="20"/>
    <s v="SE4_medium"/>
    <x v="23"/>
    <n v="0.31515896120488701"/>
    <n v="8.7544155890246306E-2"/>
  </r>
  <r>
    <x v="0"/>
    <x v="38"/>
    <x v="9"/>
    <x v="20"/>
    <s v="SE4_medium"/>
    <x v="24"/>
    <n v="19.174223581093901"/>
    <n v="5.32617321697054"/>
  </r>
  <r>
    <x v="0"/>
    <x v="38"/>
    <x v="9"/>
    <x v="20"/>
    <s v="SE4_medium"/>
    <x v="25"/>
    <n v="26.209507293842599"/>
    <n v="7.2804186927340497"/>
  </r>
  <r>
    <x v="0"/>
    <x v="38"/>
    <x v="9"/>
    <x v="20"/>
    <s v="SE4_medium"/>
    <x v="26"/>
    <n v="33.320887798496699"/>
    <n v="9.2558021662490795"/>
  </r>
  <r>
    <x v="0"/>
    <x v="38"/>
    <x v="9"/>
    <x v="20"/>
    <s v="SE4_medium"/>
    <x v="27"/>
    <n v="20.163995508318798"/>
    <n v="5.6011098634218799"/>
  </r>
  <r>
    <x v="0"/>
    <x v="38"/>
    <x v="9"/>
    <x v="20"/>
    <s v="SE4_small"/>
    <x v="1"/>
    <n v="35.989199999999997"/>
    <n v="9.9969999999999999"/>
  </r>
  <r>
    <x v="0"/>
    <x v="38"/>
    <x v="9"/>
    <x v="20"/>
    <s v="SE4_small"/>
    <x v="2"/>
    <n v="43.2"/>
    <n v="12"/>
  </r>
  <r>
    <x v="0"/>
    <x v="38"/>
    <x v="9"/>
    <x v="20"/>
    <s v="SE4_small"/>
    <x v="0"/>
    <n v="42.692399999999999"/>
    <n v="11.859"/>
  </r>
  <r>
    <x v="0"/>
    <x v="38"/>
    <x v="9"/>
    <x v="20"/>
    <s v="SE4_small"/>
    <x v="3"/>
    <n v="51.633543144067197"/>
    <n v="14.342650873352"/>
  </r>
  <r>
    <x v="0"/>
    <x v="38"/>
    <x v="9"/>
    <x v="20"/>
    <s v="SE4_small"/>
    <x v="4"/>
    <n v="6.3500778790389401"/>
    <n v="1.76391052195526"/>
  </r>
  <r>
    <x v="0"/>
    <x v="38"/>
    <x v="9"/>
    <x v="20"/>
    <s v="SE4_small"/>
    <x v="5"/>
    <n v="6.3500778790389401"/>
    <n v="1.76391052195526"/>
  </r>
  <r>
    <x v="0"/>
    <x v="38"/>
    <x v="9"/>
    <x v="20"/>
    <s v="SE4_small"/>
    <x v="6"/>
    <n v="29.476231795214598"/>
    <n v="8.1878421653373898"/>
  </r>
  <r>
    <x v="0"/>
    <x v="38"/>
    <x v="9"/>
    <x v="20"/>
    <s v="SE4_small"/>
    <x v="7"/>
    <n v="57.838935220261199"/>
    <n v="16.066370894517"/>
  </r>
  <r>
    <x v="0"/>
    <x v="38"/>
    <x v="9"/>
    <x v="20"/>
    <s v="SE4_small"/>
    <x v="8"/>
    <n v="57.838935220261199"/>
    <n v="16.066370894517"/>
  </r>
  <r>
    <x v="0"/>
    <x v="38"/>
    <x v="9"/>
    <x v="20"/>
    <s v="SE4_small"/>
    <x v="9"/>
    <n v="44.4505451532725"/>
    <n v="12.3473736536868"/>
  </r>
  <r>
    <x v="0"/>
    <x v="38"/>
    <x v="9"/>
    <x v="20"/>
    <s v="SE4_small"/>
    <x v="10"/>
    <n v="53.975661971830903"/>
    <n v="14.993239436619699"/>
  </r>
  <r>
    <x v="0"/>
    <x v="38"/>
    <x v="9"/>
    <x v="20"/>
    <s v="SE4_small"/>
    <x v="11"/>
    <n v="3.8806031483015802"/>
    <n v="1.07794531897266"/>
  </r>
  <r>
    <x v="0"/>
    <x v="38"/>
    <x v="9"/>
    <x v="20"/>
    <s v="SE4_small"/>
    <x v="12"/>
    <n v="9.7995028997514597E-2"/>
    <n v="2.72208413881985E-2"/>
  </r>
  <r>
    <x v="0"/>
    <x v="38"/>
    <x v="9"/>
    <x v="20"/>
    <s v="SE4_small"/>
    <x v="13"/>
    <n v="29.633696768848399"/>
    <n v="8.2315824357912195"/>
  </r>
  <r>
    <x v="0"/>
    <x v="38"/>
    <x v="9"/>
    <x v="20"/>
    <s v="SE4_small"/>
    <x v="14"/>
    <n v="29.633696768848399"/>
    <n v="8.2315824357912195"/>
  </r>
  <r>
    <x v="0"/>
    <x v="38"/>
    <x v="9"/>
    <x v="20"/>
    <s v="SE4_small"/>
    <x v="15"/>
    <n v="1.65807589063794"/>
    <n v="0.46057663628831802"/>
  </r>
  <r>
    <x v="0"/>
    <x v="38"/>
    <x v="9"/>
    <x v="20"/>
    <s v="SE4_small"/>
    <x v="16"/>
    <n v="6.3819281410478998"/>
    <n v="1.77275781695775"/>
  </r>
  <r>
    <x v="0"/>
    <x v="38"/>
    <x v="9"/>
    <x v="20"/>
    <s v="SE4_small"/>
    <x v="17"/>
    <n v="9.1244895875632395"/>
    <n v="2.5345804409897901"/>
  </r>
  <r>
    <x v="0"/>
    <x v="38"/>
    <x v="9"/>
    <x v="20"/>
    <s v="SE4_small"/>
    <x v="18"/>
    <n v="29.633696768848399"/>
    <n v="8.2315824357912195"/>
  </r>
  <r>
    <x v="0"/>
    <x v="38"/>
    <x v="9"/>
    <x v="20"/>
    <s v="SE4_small"/>
    <x v="19"/>
    <n v="8.1139884009941898"/>
    <n v="2.2538856669428302"/>
  </r>
  <r>
    <x v="0"/>
    <x v="38"/>
    <x v="9"/>
    <x v="20"/>
    <s v="SE4_small"/>
    <x v="20"/>
    <n v="22.109183021311601"/>
    <n v="6.1414397281420996"/>
  </r>
  <r>
    <x v="0"/>
    <x v="38"/>
    <x v="9"/>
    <x v="20"/>
    <s v="SE4_small"/>
    <x v="21"/>
    <n v="47.52"/>
    <n v="13.2"/>
  </r>
  <r>
    <x v="0"/>
    <x v="38"/>
    <x v="9"/>
    <x v="20"/>
    <s v="SE4_small"/>
    <x v="22"/>
    <n v="61.56"/>
    <n v="17.100000000000001"/>
  </r>
  <r>
    <x v="0"/>
    <x v="38"/>
    <x v="9"/>
    <x v="20"/>
    <s v="SE4_small"/>
    <x v="23"/>
    <n v="0.31515896120488701"/>
    <n v="8.7544155890246306E-2"/>
  </r>
  <r>
    <x v="0"/>
    <x v="38"/>
    <x v="9"/>
    <x v="20"/>
    <s v="SE4_small"/>
    <x v="24"/>
    <n v="19.174223581093901"/>
    <n v="5.32617321697054"/>
  </r>
  <r>
    <x v="0"/>
    <x v="38"/>
    <x v="9"/>
    <x v="20"/>
    <s v="SE4_small"/>
    <x v="25"/>
    <n v="26.209507293842599"/>
    <n v="7.2804186927340497"/>
  </r>
  <r>
    <x v="0"/>
    <x v="38"/>
    <x v="9"/>
    <x v="20"/>
    <s v="SE4_small"/>
    <x v="26"/>
    <n v="33.320887798496699"/>
    <n v="9.2558021662490795"/>
  </r>
  <r>
    <x v="0"/>
    <x v="38"/>
    <x v="9"/>
    <x v="20"/>
    <s v="SE4_small"/>
    <x v="27"/>
    <n v="20.163995508318798"/>
    <n v="5.6011098634218799"/>
  </r>
  <r>
    <x v="0"/>
    <x v="38"/>
    <x v="10"/>
    <x v="21"/>
    <s v="UK_A"/>
    <x v="1"/>
    <n v="35.989199999999997"/>
    <n v="9.9969999999999999"/>
  </r>
  <r>
    <x v="0"/>
    <x v="38"/>
    <x v="10"/>
    <x v="21"/>
    <s v="UK_A"/>
    <x v="2"/>
    <n v="43.2"/>
    <n v="12"/>
  </r>
  <r>
    <x v="0"/>
    <x v="38"/>
    <x v="10"/>
    <x v="21"/>
    <s v="UK_A"/>
    <x v="0"/>
    <n v="42.692399999999999"/>
    <n v="11.859"/>
  </r>
  <r>
    <x v="0"/>
    <x v="38"/>
    <x v="10"/>
    <x v="21"/>
    <s v="UK_A"/>
    <x v="3"/>
    <n v="51.633543144067197"/>
    <n v="14.342650873352"/>
  </r>
  <r>
    <x v="0"/>
    <x v="38"/>
    <x v="10"/>
    <x v="21"/>
    <s v="UK_A"/>
    <x v="4"/>
    <n v="6.3500778790389401"/>
    <n v="1.76391052195526"/>
  </r>
  <r>
    <x v="0"/>
    <x v="38"/>
    <x v="10"/>
    <x v="21"/>
    <s v="UK_A"/>
    <x v="5"/>
    <n v="6.3500778790389401"/>
    <n v="1.76391052195526"/>
  </r>
  <r>
    <x v="0"/>
    <x v="38"/>
    <x v="10"/>
    <x v="21"/>
    <s v="UK_A"/>
    <x v="6"/>
    <n v="29.476231795214598"/>
    <n v="8.1878421653373898"/>
  </r>
  <r>
    <x v="0"/>
    <x v="38"/>
    <x v="10"/>
    <x v="21"/>
    <s v="UK_A"/>
    <x v="7"/>
    <n v="57.838935220261199"/>
    <n v="16.066370894517"/>
  </r>
  <r>
    <x v="0"/>
    <x v="38"/>
    <x v="10"/>
    <x v="21"/>
    <s v="UK_A"/>
    <x v="8"/>
    <n v="57.838935220261199"/>
    <n v="16.066370894517"/>
  </r>
  <r>
    <x v="0"/>
    <x v="38"/>
    <x v="10"/>
    <x v="21"/>
    <s v="UK_A"/>
    <x v="9"/>
    <n v="44.4505451532725"/>
    <n v="12.3473736536868"/>
  </r>
  <r>
    <x v="0"/>
    <x v="38"/>
    <x v="10"/>
    <x v="21"/>
    <s v="UK_A"/>
    <x v="10"/>
    <n v="53.975661971830903"/>
    <n v="14.993239436619699"/>
  </r>
  <r>
    <x v="0"/>
    <x v="38"/>
    <x v="10"/>
    <x v="21"/>
    <s v="UK_A"/>
    <x v="11"/>
    <n v="3.8806031483015802"/>
    <n v="1.07794531897266"/>
  </r>
  <r>
    <x v="0"/>
    <x v="38"/>
    <x v="10"/>
    <x v="21"/>
    <s v="UK_A"/>
    <x v="12"/>
    <n v="9.7995028997514597E-2"/>
    <n v="2.72208413881985E-2"/>
  </r>
  <r>
    <x v="0"/>
    <x v="38"/>
    <x v="10"/>
    <x v="21"/>
    <s v="UK_A"/>
    <x v="13"/>
    <n v="29.633696768848399"/>
    <n v="8.2315824357912195"/>
  </r>
  <r>
    <x v="0"/>
    <x v="38"/>
    <x v="10"/>
    <x v="21"/>
    <s v="UK_A"/>
    <x v="14"/>
    <n v="29.633696768848399"/>
    <n v="8.2315824357912195"/>
  </r>
  <r>
    <x v="0"/>
    <x v="38"/>
    <x v="10"/>
    <x v="21"/>
    <s v="UK_A"/>
    <x v="15"/>
    <n v="1.65807589063794"/>
    <n v="0.46057663628831802"/>
  </r>
  <r>
    <x v="0"/>
    <x v="38"/>
    <x v="10"/>
    <x v="21"/>
    <s v="UK_A"/>
    <x v="16"/>
    <n v="6.3819281410478998"/>
    <n v="1.77275781695775"/>
  </r>
  <r>
    <x v="0"/>
    <x v="38"/>
    <x v="10"/>
    <x v="21"/>
    <s v="UK_A"/>
    <x v="17"/>
    <n v="9.1244895875632395"/>
    <n v="2.5345804409897901"/>
  </r>
  <r>
    <x v="0"/>
    <x v="38"/>
    <x v="10"/>
    <x v="21"/>
    <s v="UK_A"/>
    <x v="18"/>
    <n v="29.633696768848399"/>
    <n v="8.2315824357912195"/>
  </r>
  <r>
    <x v="0"/>
    <x v="38"/>
    <x v="10"/>
    <x v="21"/>
    <s v="UK_A"/>
    <x v="19"/>
    <n v="8.1139884009941898"/>
    <n v="2.2538856669428302"/>
  </r>
  <r>
    <x v="0"/>
    <x v="38"/>
    <x v="10"/>
    <x v="21"/>
    <s v="UK_A"/>
    <x v="20"/>
    <n v="22.109183021311601"/>
    <n v="6.1414397281420996"/>
  </r>
  <r>
    <x v="0"/>
    <x v="38"/>
    <x v="10"/>
    <x v="21"/>
    <s v="UK_A"/>
    <x v="21"/>
    <n v="47.52"/>
    <n v="13.2"/>
  </r>
  <r>
    <x v="0"/>
    <x v="38"/>
    <x v="10"/>
    <x v="21"/>
    <s v="UK_A"/>
    <x v="22"/>
    <n v="61.56"/>
    <n v="17.100000000000001"/>
  </r>
  <r>
    <x v="0"/>
    <x v="38"/>
    <x v="10"/>
    <x v="21"/>
    <s v="UK_A"/>
    <x v="23"/>
    <n v="0.31515896120488701"/>
    <n v="8.7544155890246306E-2"/>
  </r>
  <r>
    <x v="0"/>
    <x v="38"/>
    <x v="10"/>
    <x v="21"/>
    <s v="UK_A"/>
    <x v="24"/>
    <n v="19.174223581093901"/>
    <n v="5.32617321697054"/>
  </r>
  <r>
    <x v="0"/>
    <x v="38"/>
    <x v="10"/>
    <x v="21"/>
    <s v="UK_A"/>
    <x v="25"/>
    <n v="26.209507293842599"/>
    <n v="7.2804186927340497"/>
  </r>
  <r>
    <x v="0"/>
    <x v="38"/>
    <x v="10"/>
    <x v="21"/>
    <s v="UK_A"/>
    <x v="26"/>
    <n v="33.320887798496699"/>
    <n v="9.2558021662490795"/>
  </r>
  <r>
    <x v="0"/>
    <x v="38"/>
    <x v="10"/>
    <x v="21"/>
    <s v="UK_A"/>
    <x v="27"/>
    <n v="20.163995508318798"/>
    <n v="5.6011098634218799"/>
  </r>
  <r>
    <x v="0"/>
    <x v="38"/>
    <x v="10"/>
    <x v="21"/>
    <s v="UK_Offshore"/>
    <x v="1"/>
    <n v="35.989199999999997"/>
    <n v="9.9969999999999999"/>
  </r>
  <r>
    <x v="0"/>
    <x v="38"/>
    <x v="10"/>
    <x v="21"/>
    <s v="UK_Offshore"/>
    <x v="2"/>
    <n v="43.2"/>
    <n v="12"/>
  </r>
  <r>
    <x v="0"/>
    <x v="38"/>
    <x v="10"/>
    <x v="21"/>
    <s v="UK_Offshore"/>
    <x v="0"/>
    <n v="42.692399999999999"/>
    <n v="11.859"/>
  </r>
  <r>
    <x v="0"/>
    <x v="38"/>
    <x v="10"/>
    <x v="21"/>
    <s v="UK_Offshore"/>
    <x v="3"/>
    <n v="51.633543144067197"/>
    <n v="14.342650873352"/>
  </r>
  <r>
    <x v="0"/>
    <x v="38"/>
    <x v="10"/>
    <x v="21"/>
    <s v="UK_Offshore"/>
    <x v="4"/>
    <n v="6.3500778790389401"/>
    <n v="1.76391052195526"/>
  </r>
  <r>
    <x v="0"/>
    <x v="38"/>
    <x v="10"/>
    <x v="21"/>
    <s v="UK_Offshore"/>
    <x v="5"/>
    <n v="6.3500778790389401"/>
    <n v="1.76391052195526"/>
  </r>
  <r>
    <x v="0"/>
    <x v="38"/>
    <x v="10"/>
    <x v="21"/>
    <s v="UK_Offshore"/>
    <x v="6"/>
    <n v="29.476231795214598"/>
    <n v="8.1878421653373898"/>
  </r>
  <r>
    <x v="0"/>
    <x v="38"/>
    <x v="10"/>
    <x v="21"/>
    <s v="UK_Offshore"/>
    <x v="7"/>
    <n v="57.838935220261199"/>
    <n v="16.066370894517"/>
  </r>
  <r>
    <x v="0"/>
    <x v="38"/>
    <x v="10"/>
    <x v="21"/>
    <s v="UK_Offshore"/>
    <x v="8"/>
    <n v="57.838935220261199"/>
    <n v="16.066370894517"/>
  </r>
  <r>
    <x v="0"/>
    <x v="38"/>
    <x v="10"/>
    <x v="21"/>
    <s v="UK_Offshore"/>
    <x v="9"/>
    <n v="44.4505451532725"/>
    <n v="12.3473736536868"/>
  </r>
  <r>
    <x v="0"/>
    <x v="38"/>
    <x v="10"/>
    <x v="21"/>
    <s v="UK_Offshore"/>
    <x v="10"/>
    <n v="53.975661971830903"/>
    <n v="14.993239436619699"/>
  </r>
  <r>
    <x v="0"/>
    <x v="38"/>
    <x v="10"/>
    <x v="21"/>
    <s v="UK_Offshore"/>
    <x v="11"/>
    <n v="3.8806031483015802"/>
    <n v="1.07794531897266"/>
  </r>
  <r>
    <x v="0"/>
    <x v="38"/>
    <x v="10"/>
    <x v="21"/>
    <s v="UK_Offshore"/>
    <x v="12"/>
    <n v="9.7995028997514597E-2"/>
    <n v="2.72208413881985E-2"/>
  </r>
  <r>
    <x v="0"/>
    <x v="38"/>
    <x v="10"/>
    <x v="21"/>
    <s v="UK_Offshore"/>
    <x v="13"/>
    <n v="29.633696768848399"/>
    <n v="8.2315824357912195"/>
  </r>
  <r>
    <x v="0"/>
    <x v="38"/>
    <x v="10"/>
    <x v="21"/>
    <s v="UK_Offshore"/>
    <x v="14"/>
    <n v="29.633696768848399"/>
    <n v="8.2315824357912195"/>
  </r>
  <r>
    <x v="0"/>
    <x v="38"/>
    <x v="10"/>
    <x v="21"/>
    <s v="UK_Offshore"/>
    <x v="15"/>
    <n v="1.65807589063794"/>
    <n v="0.46057663628831802"/>
  </r>
  <r>
    <x v="0"/>
    <x v="38"/>
    <x v="10"/>
    <x v="21"/>
    <s v="UK_Offshore"/>
    <x v="16"/>
    <n v="6.3819281410478998"/>
    <n v="1.77275781695775"/>
  </r>
  <r>
    <x v="0"/>
    <x v="38"/>
    <x v="10"/>
    <x v="21"/>
    <s v="UK_Offshore"/>
    <x v="17"/>
    <n v="9.1244895875632395"/>
    <n v="2.5345804409897901"/>
  </r>
  <r>
    <x v="0"/>
    <x v="38"/>
    <x v="10"/>
    <x v="21"/>
    <s v="UK_Offshore"/>
    <x v="18"/>
    <n v="29.633696768848399"/>
    <n v="8.2315824357912195"/>
  </r>
  <r>
    <x v="0"/>
    <x v="38"/>
    <x v="10"/>
    <x v="21"/>
    <s v="UK_Offshore"/>
    <x v="19"/>
    <n v="8.1139884009941898"/>
    <n v="2.2538856669428302"/>
  </r>
  <r>
    <x v="0"/>
    <x v="38"/>
    <x v="10"/>
    <x v="21"/>
    <s v="UK_Offshore"/>
    <x v="20"/>
    <n v="22.109183021311601"/>
    <n v="6.1414397281420996"/>
  </r>
  <r>
    <x v="0"/>
    <x v="38"/>
    <x v="10"/>
    <x v="21"/>
    <s v="UK_Offshore"/>
    <x v="21"/>
    <n v="47.52"/>
    <n v="13.2"/>
  </r>
  <r>
    <x v="0"/>
    <x v="38"/>
    <x v="10"/>
    <x v="21"/>
    <s v="UK_Offshore"/>
    <x v="22"/>
    <n v="61.56"/>
    <n v="17.100000000000001"/>
  </r>
  <r>
    <x v="0"/>
    <x v="38"/>
    <x v="10"/>
    <x v="21"/>
    <s v="UK_Offshore"/>
    <x v="23"/>
    <n v="0.31515896120488701"/>
    <n v="8.7544155890246306E-2"/>
  </r>
  <r>
    <x v="0"/>
    <x v="38"/>
    <x v="10"/>
    <x v="21"/>
    <s v="UK_Offshore"/>
    <x v="24"/>
    <n v="19.174223581093901"/>
    <n v="5.32617321697054"/>
  </r>
  <r>
    <x v="0"/>
    <x v="38"/>
    <x v="10"/>
    <x v="21"/>
    <s v="UK_Offshore"/>
    <x v="25"/>
    <n v="26.209507293842599"/>
    <n v="7.2804186927340497"/>
  </r>
  <r>
    <x v="0"/>
    <x v="38"/>
    <x v="10"/>
    <x v="21"/>
    <s v="UK_Offshore"/>
    <x v="26"/>
    <n v="33.320887798496699"/>
    <n v="9.2558021662490795"/>
  </r>
  <r>
    <x v="0"/>
    <x v="38"/>
    <x v="10"/>
    <x v="21"/>
    <s v="UK_Offshore"/>
    <x v="27"/>
    <n v="20.163995508318798"/>
    <n v="5.6011098634218799"/>
  </r>
</pivotCacheRecords>
</file>

<file path=xl/pivotCache/pivotCacheRecords26.xml><?xml version="1.0" encoding="utf-8"?>
<pivotCacheRecords xmlns="http://schemas.openxmlformats.org/spreadsheetml/2006/main" xmlns:r="http://schemas.openxmlformats.org/officeDocument/2006/relationships" count="1785">
  <r>
    <x v="0"/>
    <x v="0"/>
    <x v="0"/>
    <x v="0"/>
    <x v="0"/>
    <n v="0.78"/>
    <x v="0"/>
    <n v="0.38"/>
    <m/>
    <n v="3.6869999999999998"/>
    <n v="12.050668"/>
    <x v="0"/>
    <x v="0"/>
    <x v="0"/>
    <x v="0"/>
    <x v="0"/>
    <x v="0"/>
  </r>
  <r>
    <x v="0"/>
    <x v="1"/>
    <x v="1"/>
    <x v="0"/>
    <x v="0"/>
    <n v="0.78"/>
    <x v="0"/>
    <n v="0.38"/>
    <m/>
    <n v="3.6869999999999998"/>
    <n v="12.050668"/>
    <x v="0"/>
    <x v="0"/>
    <x v="0"/>
    <x v="0"/>
    <x v="0"/>
    <x v="0"/>
  </r>
  <r>
    <x v="0"/>
    <x v="2"/>
    <x v="2"/>
    <x v="0"/>
    <x v="0"/>
    <n v="0.78"/>
    <x v="0"/>
    <n v="0.38"/>
    <m/>
    <n v="3.6869999999999998"/>
    <n v="12.050668"/>
    <x v="0"/>
    <x v="0"/>
    <x v="0"/>
    <x v="0"/>
    <x v="0"/>
    <x v="0"/>
  </r>
  <r>
    <x v="0"/>
    <x v="3"/>
    <x v="3"/>
    <x v="0"/>
    <x v="0"/>
    <n v="0.78"/>
    <x v="0"/>
    <n v="0.38"/>
    <m/>
    <n v="3.6869999999999998"/>
    <n v="12.050668"/>
    <x v="0"/>
    <x v="0"/>
    <x v="0"/>
    <x v="0"/>
    <x v="0"/>
    <x v="0"/>
  </r>
  <r>
    <x v="0"/>
    <x v="4"/>
    <x v="4"/>
    <x v="0"/>
    <x v="0"/>
    <n v="0.78"/>
    <x v="0"/>
    <n v="0.38"/>
    <m/>
    <n v="3.6869999999999998"/>
    <n v="12.050668"/>
    <x v="0"/>
    <x v="0"/>
    <x v="0"/>
    <x v="0"/>
    <x v="0"/>
    <x v="0"/>
  </r>
  <r>
    <x v="0"/>
    <x v="5"/>
    <x v="0"/>
    <x v="0"/>
    <x v="0"/>
    <n v="0.42222199999999999"/>
    <x v="0"/>
    <n v="0.33"/>
    <m/>
    <n v="3.6869999999999998"/>
    <n v="12.050668"/>
    <x v="0"/>
    <x v="0"/>
    <x v="0"/>
    <x v="0"/>
    <x v="0"/>
    <x v="0"/>
  </r>
  <r>
    <x v="0"/>
    <x v="6"/>
    <x v="1"/>
    <x v="0"/>
    <x v="0"/>
    <n v="0.42222199999999999"/>
    <x v="0"/>
    <n v="0.33"/>
    <m/>
    <n v="3.6869999999999998"/>
    <n v="12.050668"/>
    <x v="0"/>
    <x v="0"/>
    <x v="0"/>
    <x v="0"/>
    <x v="0"/>
    <x v="0"/>
  </r>
  <r>
    <x v="0"/>
    <x v="7"/>
    <x v="2"/>
    <x v="0"/>
    <x v="0"/>
    <n v="0.42222199999999999"/>
    <x v="0"/>
    <n v="0.33"/>
    <m/>
    <n v="3.6869999999999998"/>
    <n v="12.050668"/>
    <x v="0"/>
    <x v="0"/>
    <x v="0"/>
    <x v="0"/>
    <x v="0"/>
    <x v="0"/>
  </r>
  <r>
    <x v="0"/>
    <x v="8"/>
    <x v="3"/>
    <x v="0"/>
    <x v="0"/>
    <n v="0.42222199999999999"/>
    <x v="0"/>
    <n v="0.33"/>
    <m/>
    <n v="3.6869999999999998"/>
    <n v="12.050668"/>
    <x v="0"/>
    <x v="0"/>
    <x v="0"/>
    <x v="0"/>
    <x v="0"/>
    <x v="0"/>
  </r>
  <r>
    <x v="0"/>
    <x v="9"/>
    <x v="4"/>
    <x v="0"/>
    <x v="0"/>
    <n v="0.42222199999999999"/>
    <x v="0"/>
    <n v="0.33"/>
    <m/>
    <n v="3.6869999999999998"/>
    <n v="12.050668"/>
    <x v="0"/>
    <x v="0"/>
    <x v="0"/>
    <x v="0"/>
    <x v="0"/>
    <x v="0"/>
  </r>
  <r>
    <x v="0"/>
    <x v="10"/>
    <x v="5"/>
    <x v="0"/>
    <x v="0"/>
    <n v="0.9"/>
    <x v="1"/>
    <n v="0.36"/>
    <m/>
    <m/>
    <m/>
    <x v="1"/>
    <x v="0"/>
    <x v="0"/>
    <x v="1"/>
    <x v="0"/>
    <x v="0"/>
  </r>
  <r>
    <x v="0"/>
    <x v="11"/>
    <x v="5"/>
    <x v="1"/>
    <x v="1"/>
    <m/>
    <x v="2"/>
    <n v="0.3"/>
    <m/>
    <m/>
    <m/>
    <x v="1"/>
    <x v="0"/>
    <x v="0"/>
    <x v="1"/>
    <x v="0"/>
    <x v="0"/>
  </r>
  <r>
    <x v="0"/>
    <x v="12"/>
    <x v="6"/>
    <x v="2"/>
    <x v="2"/>
    <m/>
    <x v="2"/>
    <n v="1"/>
    <m/>
    <m/>
    <m/>
    <x v="1"/>
    <x v="0"/>
    <x v="0"/>
    <x v="1"/>
    <x v="1"/>
    <x v="1"/>
  </r>
  <r>
    <x v="0"/>
    <x v="13"/>
    <x v="6"/>
    <x v="3"/>
    <x v="2"/>
    <m/>
    <x v="2"/>
    <n v="1"/>
    <m/>
    <m/>
    <n v="15.7635467980296"/>
    <x v="1"/>
    <x v="0"/>
    <x v="0"/>
    <x v="1"/>
    <x v="2"/>
    <x v="2"/>
  </r>
  <r>
    <x v="0"/>
    <x v="14"/>
    <x v="6"/>
    <x v="2"/>
    <x v="2"/>
    <m/>
    <x v="2"/>
    <n v="1"/>
    <m/>
    <m/>
    <m/>
    <x v="1"/>
    <x v="0"/>
    <x v="0"/>
    <x v="1"/>
    <x v="1"/>
    <x v="1"/>
  </r>
  <r>
    <x v="0"/>
    <x v="15"/>
    <x v="6"/>
    <x v="3"/>
    <x v="2"/>
    <m/>
    <x v="2"/>
    <n v="1"/>
    <m/>
    <m/>
    <n v="15.7635467980296"/>
    <x v="1"/>
    <x v="0"/>
    <x v="0"/>
    <x v="1"/>
    <x v="2"/>
    <x v="2"/>
  </r>
  <r>
    <x v="0"/>
    <x v="16"/>
    <x v="6"/>
    <x v="2"/>
    <x v="2"/>
    <m/>
    <x v="2"/>
    <n v="1"/>
    <m/>
    <m/>
    <m/>
    <x v="1"/>
    <x v="0"/>
    <x v="0"/>
    <x v="1"/>
    <x v="1"/>
    <x v="1"/>
  </r>
  <r>
    <x v="0"/>
    <x v="17"/>
    <x v="6"/>
    <x v="3"/>
    <x v="2"/>
    <m/>
    <x v="2"/>
    <n v="1"/>
    <m/>
    <m/>
    <n v="15.7635467980296"/>
    <x v="1"/>
    <x v="0"/>
    <x v="0"/>
    <x v="1"/>
    <x v="2"/>
    <x v="2"/>
  </r>
  <r>
    <x v="0"/>
    <x v="18"/>
    <x v="6"/>
    <x v="2"/>
    <x v="2"/>
    <m/>
    <x v="2"/>
    <n v="1"/>
    <m/>
    <m/>
    <m/>
    <x v="1"/>
    <x v="0"/>
    <x v="0"/>
    <x v="1"/>
    <x v="1"/>
    <x v="1"/>
  </r>
  <r>
    <x v="0"/>
    <x v="19"/>
    <x v="6"/>
    <x v="3"/>
    <x v="2"/>
    <m/>
    <x v="2"/>
    <n v="1"/>
    <m/>
    <m/>
    <n v="15.7635467980296"/>
    <x v="1"/>
    <x v="0"/>
    <x v="0"/>
    <x v="1"/>
    <x v="2"/>
    <x v="2"/>
  </r>
  <r>
    <x v="0"/>
    <x v="20"/>
    <x v="7"/>
    <x v="0"/>
    <x v="0"/>
    <n v="0.3"/>
    <x v="3"/>
    <n v="0.23471074380165299"/>
    <m/>
    <n v="1.5680000000000001"/>
    <n v="39.200000000000003"/>
    <x v="1"/>
    <x v="0"/>
    <x v="0"/>
    <x v="1"/>
    <x v="0"/>
    <x v="0"/>
  </r>
  <r>
    <x v="0"/>
    <x v="21"/>
    <x v="7"/>
    <x v="0"/>
    <x v="0"/>
    <n v="1.2"/>
    <x v="4"/>
    <n v="0.43"/>
    <m/>
    <n v="1.5680000000000001"/>
    <n v="39.200000000000003"/>
    <x v="1"/>
    <x v="0"/>
    <x v="0"/>
    <x v="1"/>
    <x v="0"/>
    <x v="0"/>
  </r>
  <r>
    <x v="0"/>
    <x v="22"/>
    <x v="0"/>
    <x v="4"/>
    <x v="0"/>
    <n v="0.3"/>
    <x v="5"/>
    <n v="0.85"/>
    <m/>
    <n v="0.71499999999999997"/>
    <n v="12.050668"/>
    <x v="0"/>
    <x v="0"/>
    <x v="0"/>
    <x v="0"/>
    <x v="0"/>
    <x v="0"/>
  </r>
  <r>
    <x v="0"/>
    <x v="23"/>
    <x v="1"/>
    <x v="4"/>
    <x v="0"/>
    <n v="0.3"/>
    <x v="5"/>
    <n v="0.85"/>
    <m/>
    <n v="0.71499999999999997"/>
    <n v="12.050668"/>
    <x v="0"/>
    <x v="0"/>
    <x v="0"/>
    <x v="0"/>
    <x v="0"/>
    <x v="0"/>
  </r>
  <r>
    <x v="0"/>
    <x v="24"/>
    <x v="2"/>
    <x v="4"/>
    <x v="0"/>
    <n v="0.3"/>
    <x v="5"/>
    <n v="0.85"/>
    <m/>
    <n v="0.71499999999999997"/>
    <n v="12.050668"/>
    <x v="0"/>
    <x v="0"/>
    <x v="0"/>
    <x v="0"/>
    <x v="0"/>
    <x v="0"/>
  </r>
  <r>
    <x v="0"/>
    <x v="25"/>
    <x v="3"/>
    <x v="4"/>
    <x v="0"/>
    <n v="0.3"/>
    <x v="5"/>
    <n v="0.85"/>
    <m/>
    <n v="0.71499999999999997"/>
    <n v="12.050668"/>
    <x v="0"/>
    <x v="0"/>
    <x v="0"/>
    <x v="0"/>
    <x v="0"/>
    <x v="0"/>
  </r>
  <r>
    <x v="0"/>
    <x v="26"/>
    <x v="4"/>
    <x v="4"/>
    <x v="0"/>
    <n v="0.3"/>
    <x v="5"/>
    <n v="0.85"/>
    <m/>
    <n v="0.71499999999999997"/>
    <n v="12.050668"/>
    <x v="0"/>
    <x v="0"/>
    <x v="0"/>
    <x v="0"/>
    <x v="0"/>
    <x v="0"/>
  </r>
  <r>
    <x v="0"/>
    <x v="27"/>
    <x v="8"/>
    <x v="0"/>
    <x v="0"/>
    <n v="0.3"/>
    <x v="6"/>
    <n v="0.41"/>
    <m/>
    <n v="3.7240000000000002"/>
    <n v="58.8"/>
    <x v="1"/>
    <x v="0"/>
    <x v="0"/>
    <x v="1"/>
    <x v="0"/>
    <x v="0"/>
  </r>
  <r>
    <x v="0"/>
    <x v="28"/>
    <x v="9"/>
    <x v="0"/>
    <x v="0"/>
    <n v="0.5"/>
    <x v="7"/>
    <n v="0.32500000000000001"/>
    <m/>
    <n v="0.80359999999999998"/>
    <n v="37.24"/>
    <x v="1"/>
    <x v="0"/>
    <x v="0"/>
    <x v="1"/>
    <x v="0"/>
    <x v="0"/>
  </r>
  <r>
    <x v="0"/>
    <x v="29"/>
    <x v="10"/>
    <x v="0"/>
    <x v="0"/>
    <n v="0.4"/>
    <x v="8"/>
    <n v="0.30499999999999999"/>
    <m/>
    <n v="24.303999999999998"/>
    <n v="196"/>
    <x v="1"/>
    <x v="0"/>
    <x v="0"/>
    <x v="1"/>
    <x v="0"/>
    <x v="0"/>
  </r>
  <r>
    <x v="0"/>
    <x v="30"/>
    <x v="8"/>
    <x v="0"/>
    <x v="0"/>
    <n v="0.4"/>
    <x v="8"/>
    <n v="0.30499999999999999"/>
    <m/>
    <n v="3.7240000000000002"/>
    <n v="58.8"/>
    <x v="1"/>
    <x v="0"/>
    <x v="0"/>
    <x v="1"/>
    <x v="0"/>
    <x v="0"/>
  </r>
  <r>
    <x v="0"/>
    <x v="31"/>
    <x v="11"/>
    <x v="1"/>
    <x v="1"/>
    <m/>
    <x v="2"/>
    <n v="0.39750000000000002"/>
    <n v="1.38"/>
    <n v="1.97"/>
    <n v="30"/>
    <x v="2"/>
    <x v="0"/>
    <x v="0"/>
    <x v="2"/>
    <x v="0"/>
    <x v="0"/>
  </r>
  <r>
    <x v="0"/>
    <x v="32"/>
    <x v="5"/>
    <x v="0"/>
    <x v="0"/>
    <n v="0.73"/>
    <x v="9"/>
    <n v="0.39"/>
    <m/>
    <m/>
    <m/>
    <x v="1"/>
    <x v="0"/>
    <x v="0"/>
    <x v="1"/>
    <x v="0"/>
    <x v="0"/>
  </r>
  <r>
    <x v="0"/>
    <x v="33"/>
    <x v="5"/>
    <x v="1"/>
    <x v="1"/>
    <m/>
    <x v="2"/>
    <n v="0.35"/>
    <m/>
    <m/>
    <m/>
    <x v="1"/>
    <x v="0"/>
    <x v="0"/>
    <x v="1"/>
    <x v="0"/>
    <x v="0"/>
  </r>
  <r>
    <x v="0"/>
    <x v="34"/>
    <x v="12"/>
    <x v="4"/>
    <x v="0"/>
    <n v="0.4"/>
    <x v="5"/>
    <n v="0.91"/>
    <m/>
    <m/>
    <m/>
    <x v="1"/>
    <x v="0"/>
    <x v="0"/>
    <x v="1"/>
    <x v="0"/>
    <x v="0"/>
  </r>
  <r>
    <x v="0"/>
    <x v="35"/>
    <x v="13"/>
    <x v="1"/>
    <x v="1"/>
    <m/>
    <x v="2"/>
    <n v="0.43"/>
    <m/>
    <m/>
    <m/>
    <x v="1"/>
    <x v="0"/>
    <x v="0"/>
    <x v="1"/>
    <x v="0"/>
    <x v="0"/>
  </r>
  <r>
    <x v="0"/>
    <x v="36"/>
    <x v="12"/>
    <x v="1"/>
    <x v="1"/>
    <m/>
    <x v="2"/>
    <n v="0.43"/>
    <m/>
    <m/>
    <m/>
    <x v="1"/>
    <x v="0"/>
    <x v="0"/>
    <x v="1"/>
    <x v="0"/>
    <x v="0"/>
  </r>
  <r>
    <x v="0"/>
    <x v="37"/>
    <x v="14"/>
    <x v="1"/>
    <x v="1"/>
    <m/>
    <x v="2"/>
    <n v="0.43"/>
    <m/>
    <m/>
    <m/>
    <x v="1"/>
    <x v="0"/>
    <x v="0"/>
    <x v="1"/>
    <x v="0"/>
    <x v="0"/>
  </r>
  <r>
    <x v="0"/>
    <x v="38"/>
    <x v="15"/>
    <x v="1"/>
    <x v="1"/>
    <m/>
    <x v="2"/>
    <n v="0.43"/>
    <m/>
    <m/>
    <m/>
    <x v="1"/>
    <x v="0"/>
    <x v="0"/>
    <x v="1"/>
    <x v="0"/>
    <x v="0"/>
  </r>
  <r>
    <x v="0"/>
    <x v="39"/>
    <x v="13"/>
    <x v="4"/>
    <x v="0"/>
    <n v="0.45"/>
    <x v="5"/>
    <n v="0.90222222222222204"/>
    <m/>
    <m/>
    <m/>
    <x v="1"/>
    <x v="0"/>
    <x v="0"/>
    <x v="1"/>
    <x v="0"/>
    <x v="0"/>
  </r>
  <r>
    <x v="0"/>
    <x v="40"/>
    <x v="12"/>
    <x v="4"/>
    <x v="0"/>
    <n v="0.45"/>
    <x v="5"/>
    <n v="0.90222222222222204"/>
    <m/>
    <m/>
    <m/>
    <x v="1"/>
    <x v="0"/>
    <x v="0"/>
    <x v="1"/>
    <x v="0"/>
    <x v="0"/>
  </r>
  <r>
    <x v="0"/>
    <x v="41"/>
    <x v="14"/>
    <x v="4"/>
    <x v="0"/>
    <n v="0.45"/>
    <x v="5"/>
    <n v="0.90222222222222204"/>
    <m/>
    <m/>
    <m/>
    <x v="1"/>
    <x v="0"/>
    <x v="0"/>
    <x v="1"/>
    <x v="0"/>
    <x v="0"/>
  </r>
  <r>
    <x v="0"/>
    <x v="42"/>
    <x v="15"/>
    <x v="4"/>
    <x v="0"/>
    <n v="0.45"/>
    <x v="5"/>
    <n v="0.90222222222222204"/>
    <m/>
    <m/>
    <m/>
    <x v="1"/>
    <x v="0"/>
    <x v="0"/>
    <x v="1"/>
    <x v="0"/>
    <x v="0"/>
  </r>
  <r>
    <x v="0"/>
    <x v="43"/>
    <x v="13"/>
    <x v="4"/>
    <x v="0"/>
    <n v="0.6"/>
    <x v="5"/>
    <n v="0.90666666666666695"/>
    <m/>
    <m/>
    <m/>
    <x v="1"/>
    <x v="0"/>
    <x v="0"/>
    <x v="1"/>
    <x v="0"/>
    <x v="0"/>
  </r>
  <r>
    <x v="0"/>
    <x v="44"/>
    <x v="12"/>
    <x v="4"/>
    <x v="0"/>
    <n v="0.6"/>
    <x v="5"/>
    <n v="0.90666666666666695"/>
    <m/>
    <m/>
    <m/>
    <x v="1"/>
    <x v="0"/>
    <x v="0"/>
    <x v="1"/>
    <x v="0"/>
    <x v="0"/>
  </r>
  <r>
    <x v="0"/>
    <x v="45"/>
    <x v="14"/>
    <x v="4"/>
    <x v="0"/>
    <n v="0.6"/>
    <x v="5"/>
    <n v="0.90666666666666695"/>
    <m/>
    <m/>
    <m/>
    <x v="1"/>
    <x v="0"/>
    <x v="0"/>
    <x v="1"/>
    <x v="0"/>
    <x v="0"/>
  </r>
  <r>
    <x v="0"/>
    <x v="46"/>
    <x v="15"/>
    <x v="4"/>
    <x v="0"/>
    <n v="0.6"/>
    <x v="5"/>
    <n v="0.90666666666666695"/>
    <m/>
    <m/>
    <m/>
    <x v="1"/>
    <x v="0"/>
    <x v="0"/>
    <x v="1"/>
    <x v="0"/>
    <x v="0"/>
  </r>
  <r>
    <x v="0"/>
    <x v="47"/>
    <x v="13"/>
    <x v="0"/>
    <x v="0"/>
    <n v="0.3"/>
    <x v="9"/>
    <n v="0.28999999999999998"/>
    <m/>
    <m/>
    <m/>
    <x v="1"/>
    <x v="0"/>
    <x v="0"/>
    <x v="1"/>
    <x v="0"/>
    <x v="0"/>
  </r>
  <r>
    <x v="0"/>
    <x v="48"/>
    <x v="12"/>
    <x v="0"/>
    <x v="0"/>
    <n v="0.3"/>
    <x v="9"/>
    <n v="0.28999999999999998"/>
    <m/>
    <m/>
    <m/>
    <x v="1"/>
    <x v="0"/>
    <x v="0"/>
    <x v="1"/>
    <x v="0"/>
    <x v="0"/>
  </r>
  <r>
    <x v="0"/>
    <x v="49"/>
    <x v="14"/>
    <x v="0"/>
    <x v="0"/>
    <n v="0.3"/>
    <x v="9"/>
    <n v="0.28999999999999998"/>
    <m/>
    <m/>
    <m/>
    <x v="1"/>
    <x v="0"/>
    <x v="0"/>
    <x v="1"/>
    <x v="0"/>
    <x v="0"/>
  </r>
  <r>
    <x v="0"/>
    <x v="50"/>
    <x v="15"/>
    <x v="0"/>
    <x v="0"/>
    <n v="0.3"/>
    <x v="9"/>
    <n v="0.28999999999999998"/>
    <m/>
    <m/>
    <m/>
    <x v="1"/>
    <x v="0"/>
    <x v="0"/>
    <x v="1"/>
    <x v="0"/>
    <x v="0"/>
  </r>
  <r>
    <x v="0"/>
    <x v="51"/>
    <x v="13"/>
    <x v="0"/>
    <x v="0"/>
    <n v="0.17599999999999999"/>
    <x v="9"/>
    <n v="0.22"/>
    <m/>
    <m/>
    <m/>
    <x v="1"/>
    <x v="0"/>
    <x v="0"/>
    <x v="1"/>
    <x v="0"/>
    <x v="0"/>
  </r>
  <r>
    <x v="0"/>
    <x v="52"/>
    <x v="12"/>
    <x v="0"/>
    <x v="0"/>
    <n v="0.17599999999999999"/>
    <x v="9"/>
    <n v="0.22"/>
    <m/>
    <m/>
    <m/>
    <x v="1"/>
    <x v="0"/>
    <x v="0"/>
    <x v="1"/>
    <x v="0"/>
    <x v="0"/>
  </r>
  <r>
    <x v="0"/>
    <x v="53"/>
    <x v="14"/>
    <x v="0"/>
    <x v="0"/>
    <n v="0.17599999999999999"/>
    <x v="9"/>
    <n v="0.22"/>
    <m/>
    <m/>
    <m/>
    <x v="1"/>
    <x v="0"/>
    <x v="0"/>
    <x v="1"/>
    <x v="0"/>
    <x v="0"/>
  </r>
  <r>
    <x v="0"/>
    <x v="54"/>
    <x v="15"/>
    <x v="0"/>
    <x v="0"/>
    <n v="0.17599999999999999"/>
    <x v="9"/>
    <n v="0.22"/>
    <m/>
    <m/>
    <m/>
    <x v="1"/>
    <x v="0"/>
    <x v="0"/>
    <x v="1"/>
    <x v="0"/>
    <x v="0"/>
  </r>
  <r>
    <x v="0"/>
    <x v="55"/>
    <x v="13"/>
    <x v="0"/>
    <x v="0"/>
    <n v="3"/>
    <x v="1"/>
    <n v="0.3861"/>
    <m/>
    <m/>
    <m/>
    <x v="1"/>
    <x v="0"/>
    <x v="0"/>
    <x v="1"/>
    <x v="0"/>
    <x v="0"/>
  </r>
  <r>
    <x v="0"/>
    <x v="56"/>
    <x v="12"/>
    <x v="0"/>
    <x v="0"/>
    <n v="3"/>
    <x v="1"/>
    <n v="0.3861"/>
    <m/>
    <m/>
    <m/>
    <x v="1"/>
    <x v="0"/>
    <x v="0"/>
    <x v="1"/>
    <x v="0"/>
    <x v="0"/>
  </r>
  <r>
    <x v="0"/>
    <x v="57"/>
    <x v="14"/>
    <x v="0"/>
    <x v="0"/>
    <n v="3"/>
    <x v="1"/>
    <n v="0.3861"/>
    <m/>
    <m/>
    <m/>
    <x v="1"/>
    <x v="0"/>
    <x v="0"/>
    <x v="1"/>
    <x v="0"/>
    <x v="0"/>
  </r>
  <r>
    <x v="0"/>
    <x v="58"/>
    <x v="15"/>
    <x v="0"/>
    <x v="0"/>
    <n v="3"/>
    <x v="1"/>
    <n v="0.3861"/>
    <m/>
    <m/>
    <m/>
    <x v="1"/>
    <x v="0"/>
    <x v="0"/>
    <x v="1"/>
    <x v="0"/>
    <x v="0"/>
  </r>
  <r>
    <x v="0"/>
    <x v="59"/>
    <x v="13"/>
    <x v="1"/>
    <x v="1"/>
    <m/>
    <x v="2"/>
    <n v="0.35"/>
    <m/>
    <m/>
    <m/>
    <x v="1"/>
    <x v="0"/>
    <x v="0"/>
    <x v="1"/>
    <x v="0"/>
    <x v="0"/>
  </r>
  <r>
    <x v="0"/>
    <x v="60"/>
    <x v="12"/>
    <x v="1"/>
    <x v="1"/>
    <m/>
    <x v="2"/>
    <n v="0.35"/>
    <m/>
    <m/>
    <m/>
    <x v="1"/>
    <x v="0"/>
    <x v="0"/>
    <x v="1"/>
    <x v="0"/>
    <x v="0"/>
  </r>
  <r>
    <x v="0"/>
    <x v="61"/>
    <x v="14"/>
    <x v="1"/>
    <x v="1"/>
    <m/>
    <x v="2"/>
    <n v="0.35"/>
    <m/>
    <m/>
    <m/>
    <x v="1"/>
    <x v="0"/>
    <x v="0"/>
    <x v="1"/>
    <x v="0"/>
    <x v="0"/>
  </r>
  <r>
    <x v="0"/>
    <x v="62"/>
    <x v="15"/>
    <x v="1"/>
    <x v="1"/>
    <m/>
    <x v="2"/>
    <n v="0.35"/>
    <m/>
    <m/>
    <m/>
    <x v="1"/>
    <x v="0"/>
    <x v="0"/>
    <x v="1"/>
    <x v="0"/>
    <x v="0"/>
  </r>
  <r>
    <x v="0"/>
    <x v="63"/>
    <x v="8"/>
    <x v="4"/>
    <x v="0"/>
    <n v="0.38"/>
    <x v="5"/>
    <n v="0.92"/>
    <n v="2.616514"/>
    <n v="1.7105459999999999"/>
    <n v="48.202672999999997"/>
    <x v="3"/>
    <x v="0"/>
    <x v="0"/>
    <x v="2"/>
    <x v="0"/>
    <x v="0"/>
  </r>
  <r>
    <x v="0"/>
    <x v="64"/>
    <x v="16"/>
    <x v="1"/>
    <x v="1"/>
    <n v="0.3"/>
    <x v="0"/>
    <n v="0.25"/>
    <m/>
    <n v="4"/>
    <m/>
    <x v="0"/>
    <x v="0"/>
    <x v="0"/>
    <x v="0"/>
    <x v="0"/>
    <x v="0"/>
  </r>
  <r>
    <x v="0"/>
    <x v="65"/>
    <x v="13"/>
    <x v="4"/>
    <x v="0"/>
    <n v="0.45"/>
    <x v="5"/>
    <n v="0.90222222222222204"/>
    <m/>
    <m/>
    <m/>
    <x v="1"/>
    <x v="0"/>
    <x v="0"/>
    <x v="1"/>
    <x v="0"/>
    <x v="0"/>
  </r>
  <r>
    <x v="0"/>
    <x v="66"/>
    <x v="12"/>
    <x v="4"/>
    <x v="0"/>
    <n v="0.45"/>
    <x v="5"/>
    <n v="0.90222222222222204"/>
    <m/>
    <m/>
    <m/>
    <x v="1"/>
    <x v="0"/>
    <x v="0"/>
    <x v="1"/>
    <x v="0"/>
    <x v="0"/>
  </r>
  <r>
    <x v="0"/>
    <x v="67"/>
    <x v="14"/>
    <x v="4"/>
    <x v="0"/>
    <n v="0.45"/>
    <x v="5"/>
    <n v="0.90222222222222204"/>
    <m/>
    <m/>
    <m/>
    <x v="1"/>
    <x v="0"/>
    <x v="0"/>
    <x v="1"/>
    <x v="0"/>
    <x v="0"/>
  </r>
  <r>
    <x v="0"/>
    <x v="68"/>
    <x v="15"/>
    <x v="4"/>
    <x v="0"/>
    <n v="0.45"/>
    <x v="5"/>
    <n v="0.90222222222222204"/>
    <m/>
    <m/>
    <m/>
    <x v="1"/>
    <x v="0"/>
    <x v="0"/>
    <x v="1"/>
    <x v="0"/>
    <x v="0"/>
  </r>
  <r>
    <x v="0"/>
    <x v="69"/>
    <x v="17"/>
    <x v="5"/>
    <x v="3"/>
    <m/>
    <x v="5"/>
    <n v="0.9"/>
    <m/>
    <n v="0.73"/>
    <n v="9.5299999999999994"/>
    <x v="1"/>
    <x v="0"/>
    <x v="0"/>
    <x v="1"/>
    <x v="0"/>
    <x v="0"/>
  </r>
  <r>
    <x v="0"/>
    <x v="70"/>
    <x v="18"/>
    <x v="5"/>
    <x v="3"/>
    <m/>
    <x v="5"/>
    <n v="1"/>
    <m/>
    <n v="1.0780000000000001"/>
    <n v="1.96"/>
    <x v="1"/>
    <x v="0"/>
    <x v="0"/>
    <x v="1"/>
    <x v="0"/>
    <x v="0"/>
  </r>
  <r>
    <x v="0"/>
    <x v="71"/>
    <x v="18"/>
    <x v="5"/>
    <x v="3"/>
    <m/>
    <x v="5"/>
    <n v="0.8"/>
    <m/>
    <n v="1.0780000000000001"/>
    <n v="1.96"/>
    <x v="1"/>
    <x v="0"/>
    <x v="0"/>
    <x v="1"/>
    <x v="0"/>
    <x v="0"/>
  </r>
  <r>
    <x v="0"/>
    <x v="72"/>
    <x v="18"/>
    <x v="5"/>
    <x v="3"/>
    <m/>
    <x v="5"/>
    <n v="0.9"/>
    <m/>
    <n v="1.0780000000000001"/>
    <n v="1.96"/>
    <x v="1"/>
    <x v="0"/>
    <x v="0"/>
    <x v="1"/>
    <x v="0"/>
    <x v="0"/>
  </r>
  <r>
    <x v="0"/>
    <x v="73"/>
    <x v="18"/>
    <x v="5"/>
    <x v="3"/>
    <m/>
    <x v="5"/>
    <n v="0.91"/>
    <m/>
    <n v="1.0780000000000001"/>
    <n v="1.96"/>
    <x v="1"/>
    <x v="0"/>
    <x v="0"/>
    <x v="1"/>
    <x v="0"/>
    <x v="0"/>
  </r>
  <r>
    <x v="0"/>
    <x v="74"/>
    <x v="18"/>
    <x v="5"/>
    <x v="3"/>
    <m/>
    <x v="5"/>
    <n v="0.92"/>
    <m/>
    <n v="1.0780000000000001"/>
    <n v="1.96"/>
    <x v="1"/>
    <x v="0"/>
    <x v="0"/>
    <x v="1"/>
    <x v="0"/>
    <x v="0"/>
  </r>
  <r>
    <x v="0"/>
    <x v="75"/>
    <x v="18"/>
    <x v="5"/>
    <x v="3"/>
    <m/>
    <x v="5"/>
    <n v="0.95"/>
    <m/>
    <n v="1.0780000000000001"/>
    <n v="1.96"/>
    <x v="1"/>
    <x v="0"/>
    <x v="0"/>
    <x v="1"/>
    <x v="0"/>
    <x v="0"/>
  </r>
  <r>
    <x v="0"/>
    <x v="76"/>
    <x v="18"/>
    <x v="5"/>
    <x v="3"/>
    <m/>
    <x v="5"/>
    <n v="0.99"/>
    <m/>
    <n v="1.0780000000000001"/>
    <n v="1.96"/>
    <x v="1"/>
    <x v="0"/>
    <x v="0"/>
    <x v="1"/>
    <x v="0"/>
    <x v="0"/>
  </r>
  <r>
    <x v="0"/>
    <x v="77"/>
    <x v="19"/>
    <x v="5"/>
    <x v="3"/>
    <m/>
    <x v="5"/>
    <n v="1"/>
    <m/>
    <n v="1.0780000000000001"/>
    <n v="1.96"/>
    <x v="1"/>
    <x v="0"/>
    <x v="0"/>
    <x v="1"/>
    <x v="0"/>
    <x v="0"/>
  </r>
  <r>
    <x v="0"/>
    <x v="78"/>
    <x v="19"/>
    <x v="5"/>
    <x v="3"/>
    <m/>
    <x v="5"/>
    <n v="1.02"/>
    <m/>
    <n v="1.0780000000000001"/>
    <n v="1.96"/>
    <x v="1"/>
    <x v="0"/>
    <x v="0"/>
    <x v="1"/>
    <x v="0"/>
    <x v="0"/>
  </r>
  <r>
    <x v="0"/>
    <x v="79"/>
    <x v="19"/>
    <x v="5"/>
    <x v="3"/>
    <m/>
    <x v="5"/>
    <n v="1.03"/>
    <m/>
    <n v="1.0780000000000001"/>
    <n v="1.96"/>
    <x v="1"/>
    <x v="0"/>
    <x v="0"/>
    <x v="1"/>
    <x v="0"/>
    <x v="0"/>
  </r>
  <r>
    <x v="0"/>
    <x v="80"/>
    <x v="19"/>
    <x v="5"/>
    <x v="3"/>
    <m/>
    <x v="5"/>
    <n v="1.1399999999999999"/>
    <m/>
    <n v="1.0780000000000001"/>
    <n v="1.96"/>
    <x v="1"/>
    <x v="0"/>
    <x v="0"/>
    <x v="1"/>
    <x v="0"/>
    <x v="0"/>
  </r>
  <r>
    <x v="0"/>
    <x v="81"/>
    <x v="19"/>
    <x v="5"/>
    <x v="3"/>
    <m/>
    <x v="5"/>
    <n v="0.75"/>
    <m/>
    <n v="1.0780000000000001"/>
    <n v="1.96"/>
    <x v="1"/>
    <x v="0"/>
    <x v="0"/>
    <x v="1"/>
    <x v="0"/>
    <x v="0"/>
  </r>
  <r>
    <x v="0"/>
    <x v="82"/>
    <x v="19"/>
    <x v="5"/>
    <x v="3"/>
    <m/>
    <x v="5"/>
    <n v="0.79"/>
    <m/>
    <n v="1.0780000000000001"/>
    <n v="1.96"/>
    <x v="1"/>
    <x v="0"/>
    <x v="0"/>
    <x v="1"/>
    <x v="0"/>
    <x v="0"/>
  </r>
  <r>
    <x v="0"/>
    <x v="83"/>
    <x v="19"/>
    <x v="5"/>
    <x v="3"/>
    <m/>
    <x v="5"/>
    <n v="0.85"/>
    <m/>
    <n v="1.0780000000000001"/>
    <n v="1.96"/>
    <x v="1"/>
    <x v="0"/>
    <x v="0"/>
    <x v="1"/>
    <x v="0"/>
    <x v="0"/>
  </r>
  <r>
    <x v="0"/>
    <x v="84"/>
    <x v="19"/>
    <x v="5"/>
    <x v="3"/>
    <m/>
    <x v="5"/>
    <n v="0.86"/>
    <m/>
    <n v="1.0780000000000001"/>
    <n v="1.96"/>
    <x v="1"/>
    <x v="0"/>
    <x v="0"/>
    <x v="1"/>
    <x v="0"/>
    <x v="0"/>
  </r>
  <r>
    <x v="0"/>
    <x v="85"/>
    <x v="19"/>
    <x v="5"/>
    <x v="3"/>
    <m/>
    <x v="5"/>
    <n v="0.9"/>
    <m/>
    <n v="1.0780000000000001"/>
    <n v="1.96"/>
    <x v="1"/>
    <x v="0"/>
    <x v="0"/>
    <x v="1"/>
    <x v="0"/>
    <x v="0"/>
  </r>
  <r>
    <x v="0"/>
    <x v="86"/>
    <x v="19"/>
    <x v="5"/>
    <x v="3"/>
    <m/>
    <x v="5"/>
    <n v="0.91"/>
    <m/>
    <n v="1.0780000000000001"/>
    <n v="1.96"/>
    <x v="1"/>
    <x v="0"/>
    <x v="0"/>
    <x v="1"/>
    <x v="0"/>
    <x v="0"/>
  </r>
  <r>
    <x v="0"/>
    <x v="87"/>
    <x v="19"/>
    <x v="5"/>
    <x v="3"/>
    <m/>
    <x v="5"/>
    <n v="0.92"/>
    <m/>
    <n v="1.0780000000000001"/>
    <n v="1.96"/>
    <x v="1"/>
    <x v="0"/>
    <x v="0"/>
    <x v="1"/>
    <x v="0"/>
    <x v="0"/>
  </r>
  <r>
    <x v="0"/>
    <x v="88"/>
    <x v="19"/>
    <x v="5"/>
    <x v="3"/>
    <m/>
    <x v="5"/>
    <n v="0.93"/>
    <m/>
    <n v="1.0780000000000001"/>
    <n v="1.96"/>
    <x v="1"/>
    <x v="0"/>
    <x v="0"/>
    <x v="1"/>
    <x v="0"/>
    <x v="0"/>
  </r>
  <r>
    <x v="0"/>
    <x v="89"/>
    <x v="19"/>
    <x v="5"/>
    <x v="3"/>
    <m/>
    <x v="5"/>
    <n v="0.94"/>
    <m/>
    <n v="1.0780000000000001"/>
    <n v="1.96"/>
    <x v="1"/>
    <x v="0"/>
    <x v="0"/>
    <x v="1"/>
    <x v="0"/>
    <x v="0"/>
  </r>
  <r>
    <x v="0"/>
    <x v="90"/>
    <x v="19"/>
    <x v="5"/>
    <x v="3"/>
    <m/>
    <x v="5"/>
    <n v="0.97"/>
    <m/>
    <n v="1.0780000000000001"/>
    <n v="1.96"/>
    <x v="1"/>
    <x v="0"/>
    <x v="0"/>
    <x v="1"/>
    <x v="0"/>
    <x v="0"/>
  </r>
  <r>
    <x v="0"/>
    <x v="91"/>
    <x v="19"/>
    <x v="5"/>
    <x v="3"/>
    <m/>
    <x v="5"/>
    <n v="0.99"/>
    <m/>
    <n v="1.0780000000000001"/>
    <n v="1.96"/>
    <x v="1"/>
    <x v="0"/>
    <x v="0"/>
    <x v="1"/>
    <x v="0"/>
    <x v="0"/>
  </r>
  <r>
    <x v="0"/>
    <x v="92"/>
    <x v="13"/>
    <x v="5"/>
    <x v="3"/>
    <m/>
    <x v="5"/>
    <n v="1"/>
    <m/>
    <m/>
    <m/>
    <x v="1"/>
    <x v="0"/>
    <x v="0"/>
    <x v="1"/>
    <x v="0"/>
    <x v="0"/>
  </r>
  <r>
    <x v="0"/>
    <x v="93"/>
    <x v="12"/>
    <x v="5"/>
    <x v="3"/>
    <m/>
    <x v="5"/>
    <n v="1"/>
    <m/>
    <m/>
    <m/>
    <x v="1"/>
    <x v="0"/>
    <x v="0"/>
    <x v="1"/>
    <x v="0"/>
    <x v="0"/>
  </r>
  <r>
    <x v="0"/>
    <x v="94"/>
    <x v="14"/>
    <x v="5"/>
    <x v="3"/>
    <m/>
    <x v="5"/>
    <n v="1"/>
    <m/>
    <m/>
    <m/>
    <x v="1"/>
    <x v="0"/>
    <x v="0"/>
    <x v="1"/>
    <x v="0"/>
    <x v="0"/>
  </r>
  <r>
    <x v="0"/>
    <x v="95"/>
    <x v="15"/>
    <x v="5"/>
    <x v="3"/>
    <m/>
    <x v="5"/>
    <n v="1"/>
    <m/>
    <m/>
    <m/>
    <x v="1"/>
    <x v="0"/>
    <x v="0"/>
    <x v="1"/>
    <x v="0"/>
    <x v="0"/>
  </r>
  <r>
    <x v="0"/>
    <x v="96"/>
    <x v="13"/>
    <x v="5"/>
    <x v="3"/>
    <m/>
    <x v="5"/>
    <n v="0.76"/>
    <n v="0.12"/>
    <n v="1.5"/>
    <n v="3.6"/>
    <x v="1"/>
    <x v="0"/>
    <x v="0"/>
    <x v="1"/>
    <x v="0"/>
    <x v="0"/>
  </r>
  <r>
    <x v="0"/>
    <x v="97"/>
    <x v="12"/>
    <x v="5"/>
    <x v="3"/>
    <m/>
    <x v="5"/>
    <n v="0.76"/>
    <n v="0.12"/>
    <n v="1.5"/>
    <n v="3.6"/>
    <x v="1"/>
    <x v="0"/>
    <x v="0"/>
    <x v="1"/>
    <x v="0"/>
    <x v="0"/>
  </r>
  <r>
    <x v="0"/>
    <x v="98"/>
    <x v="14"/>
    <x v="5"/>
    <x v="3"/>
    <m/>
    <x v="5"/>
    <n v="0.76"/>
    <n v="0.12"/>
    <n v="1.5"/>
    <n v="3.6"/>
    <x v="1"/>
    <x v="0"/>
    <x v="0"/>
    <x v="1"/>
    <x v="0"/>
    <x v="0"/>
  </r>
  <r>
    <x v="0"/>
    <x v="99"/>
    <x v="15"/>
    <x v="5"/>
    <x v="3"/>
    <m/>
    <x v="5"/>
    <n v="0.76"/>
    <n v="0.12"/>
    <n v="1.5"/>
    <n v="3.6"/>
    <x v="1"/>
    <x v="0"/>
    <x v="0"/>
    <x v="1"/>
    <x v="0"/>
    <x v="0"/>
  </r>
  <r>
    <x v="0"/>
    <x v="100"/>
    <x v="13"/>
    <x v="5"/>
    <x v="3"/>
    <m/>
    <x v="5"/>
    <n v="0.8"/>
    <m/>
    <n v="1.0780000000000001"/>
    <n v="1.96"/>
    <x v="1"/>
    <x v="0"/>
    <x v="0"/>
    <x v="1"/>
    <x v="0"/>
    <x v="0"/>
  </r>
  <r>
    <x v="0"/>
    <x v="101"/>
    <x v="12"/>
    <x v="5"/>
    <x v="3"/>
    <m/>
    <x v="5"/>
    <n v="0.8"/>
    <m/>
    <n v="1.0780000000000001"/>
    <n v="1.96"/>
    <x v="1"/>
    <x v="0"/>
    <x v="0"/>
    <x v="1"/>
    <x v="0"/>
    <x v="0"/>
  </r>
  <r>
    <x v="0"/>
    <x v="102"/>
    <x v="14"/>
    <x v="5"/>
    <x v="3"/>
    <m/>
    <x v="5"/>
    <n v="0.8"/>
    <m/>
    <n v="1.0780000000000001"/>
    <n v="1.96"/>
    <x v="1"/>
    <x v="0"/>
    <x v="0"/>
    <x v="1"/>
    <x v="0"/>
    <x v="0"/>
  </r>
  <r>
    <x v="0"/>
    <x v="103"/>
    <x v="15"/>
    <x v="5"/>
    <x v="3"/>
    <m/>
    <x v="5"/>
    <n v="0.8"/>
    <m/>
    <n v="1.0780000000000001"/>
    <n v="1.96"/>
    <x v="1"/>
    <x v="0"/>
    <x v="0"/>
    <x v="1"/>
    <x v="0"/>
    <x v="0"/>
  </r>
  <r>
    <x v="0"/>
    <x v="104"/>
    <x v="13"/>
    <x v="5"/>
    <x v="3"/>
    <m/>
    <x v="5"/>
    <n v="0.9"/>
    <n v="0.12"/>
    <n v="1.5"/>
    <n v="3.6"/>
    <x v="1"/>
    <x v="0"/>
    <x v="0"/>
    <x v="1"/>
    <x v="0"/>
    <x v="0"/>
  </r>
  <r>
    <x v="0"/>
    <x v="105"/>
    <x v="12"/>
    <x v="5"/>
    <x v="3"/>
    <m/>
    <x v="5"/>
    <n v="0.9"/>
    <n v="0.12"/>
    <n v="1.5"/>
    <n v="3.6"/>
    <x v="1"/>
    <x v="0"/>
    <x v="0"/>
    <x v="1"/>
    <x v="0"/>
    <x v="0"/>
  </r>
  <r>
    <x v="0"/>
    <x v="106"/>
    <x v="14"/>
    <x v="5"/>
    <x v="3"/>
    <m/>
    <x v="5"/>
    <n v="0.9"/>
    <n v="0.12"/>
    <n v="1.5"/>
    <n v="3.6"/>
    <x v="1"/>
    <x v="0"/>
    <x v="0"/>
    <x v="1"/>
    <x v="0"/>
    <x v="0"/>
  </r>
  <r>
    <x v="0"/>
    <x v="107"/>
    <x v="15"/>
    <x v="5"/>
    <x v="3"/>
    <m/>
    <x v="5"/>
    <n v="0.9"/>
    <n v="0.12"/>
    <n v="1.5"/>
    <n v="3.6"/>
    <x v="1"/>
    <x v="0"/>
    <x v="0"/>
    <x v="1"/>
    <x v="0"/>
    <x v="0"/>
  </r>
  <r>
    <x v="0"/>
    <x v="108"/>
    <x v="13"/>
    <x v="5"/>
    <x v="3"/>
    <m/>
    <x v="5"/>
    <n v="0.91"/>
    <m/>
    <n v="1.0780000000000001"/>
    <n v="1.96"/>
    <x v="1"/>
    <x v="0"/>
    <x v="0"/>
    <x v="1"/>
    <x v="0"/>
    <x v="0"/>
  </r>
  <r>
    <x v="0"/>
    <x v="109"/>
    <x v="12"/>
    <x v="5"/>
    <x v="3"/>
    <m/>
    <x v="5"/>
    <n v="0.91"/>
    <m/>
    <n v="1.0780000000000001"/>
    <n v="1.96"/>
    <x v="1"/>
    <x v="0"/>
    <x v="0"/>
    <x v="1"/>
    <x v="0"/>
    <x v="0"/>
  </r>
  <r>
    <x v="0"/>
    <x v="110"/>
    <x v="14"/>
    <x v="5"/>
    <x v="3"/>
    <m/>
    <x v="5"/>
    <n v="0.91"/>
    <m/>
    <n v="1.0780000000000001"/>
    <n v="1.96"/>
    <x v="1"/>
    <x v="0"/>
    <x v="0"/>
    <x v="1"/>
    <x v="0"/>
    <x v="0"/>
  </r>
  <r>
    <x v="0"/>
    <x v="111"/>
    <x v="15"/>
    <x v="5"/>
    <x v="3"/>
    <m/>
    <x v="5"/>
    <n v="0.91"/>
    <m/>
    <n v="1.0780000000000001"/>
    <n v="1.96"/>
    <x v="1"/>
    <x v="0"/>
    <x v="0"/>
    <x v="1"/>
    <x v="0"/>
    <x v="0"/>
  </r>
  <r>
    <x v="0"/>
    <x v="112"/>
    <x v="6"/>
    <x v="6"/>
    <x v="4"/>
    <m/>
    <x v="5"/>
    <n v="1"/>
    <m/>
    <n v="0.49"/>
    <n v="1.0780000000000001"/>
    <x v="1"/>
    <x v="0"/>
    <x v="0"/>
    <x v="1"/>
    <x v="0"/>
    <x v="0"/>
  </r>
  <r>
    <x v="0"/>
    <x v="113"/>
    <x v="6"/>
    <x v="6"/>
    <x v="4"/>
    <m/>
    <x v="5"/>
    <n v="0.8"/>
    <m/>
    <n v="0.49"/>
    <n v="1.0780000000000001"/>
    <x v="1"/>
    <x v="0"/>
    <x v="0"/>
    <x v="1"/>
    <x v="0"/>
    <x v="0"/>
  </r>
  <r>
    <x v="0"/>
    <x v="114"/>
    <x v="6"/>
    <x v="6"/>
    <x v="4"/>
    <m/>
    <x v="5"/>
    <n v="0.98"/>
    <m/>
    <n v="0.49"/>
    <n v="1.0780000000000001"/>
    <x v="1"/>
    <x v="0"/>
    <x v="0"/>
    <x v="1"/>
    <x v="0"/>
    <x v="0"/>
  </r>
  <r>
    <x v="0"/>
    <x v="115"/>
    <x v="6"/>
    <x v="6"/>
    <x v="4"/>
    <m/>
    <x v="5"/>
    <n v="0.99"/>
    <m/>
    <n v="0.49"/>
    <n v="1.0780000000000001"/>
    <x v="1"/>
    <x v="0"/>
    <x v="0"/>
    <x v="1"/>
    <x v="0"/>
    <x v="0"/>
  </r>
  <r>
    <x v="0"/>
    <x v="116"/>
    <x v="6"/>
    <x v="6"/>
    <x v="4"/>
    <m/>
    <x v="5"/>
    <n v="0.99"/>
    <n v="6.8599999999999994E-2"/>
    <n v="0.88200000000000001"/>
    <n v="1.0486"/>
    <x v="4"/>
    <x v="1"/>
    <x v="1"/>
    <x v="0"/>
    <x v="0"/>
    <x v="0"/>
  </r>
  <r>
    <x v="0"/>
    <x v="117"/>
    <x v="6"/>
    <x v="6"/>
    <x v="4"/>
    <m/>
    <x v="5"/>
    <n v="0.99"/>
    <n v="5.8799999999999998E-2"/>
    <n v="0.98"/>
    <n v="0.99960000000000004"/>
    <x v="5"/>
    <x v="2"/>
    <x v="1"/>
    <x v="0"/>
    <x v="0"/>
    <x v="0"/>
  </r>
  <r>
    <x v="0"/>
    <x v="118"/>
    <x v="6"/>
    <x v="6"/>
    <x v="4"/>
    <m/>
    <x v="5"/>
    <n v="0.99"/>
    <n v="5.8799999999999998E-2"/>
    <n v="0.98"/>
    <n v="0.9506"/>
    <x v="6"/>
    <x v="3"/>
    <x v="1"/>
    <x v="0"/>
    <x v="0"/>
    <x v="0"/>
  </r>
  <r>
    <x v="0"/>
    <x v="119"/>
    <x v="6"/>
    <x v="6"/>
    <x v="4"/>
    <m/>
    <x v="5"/>
    <n v="0.99"/>
    <n v="5.8799999999999998E-2"/>
    <n v="0.98"/>
    <n v="0.90159999999999996"/>
    <x v="7"/>
    <x v="4"/>
    <x v="1"/>
    <x v="0"/>
    <x v="0"/>
    <x v="0"/>
  </r>
  <r>
    <x v="0"/>
    <x v="120"/>
    <x v="6"/>
    <x v="6"/>
    <x v="4"/>
    <m/>
    <x v="5"/>
    <n v="0.99"/>
    <n v="6.8599999999999994E-2"/>
    <n v="0.88200000000000001"/>
    <n v="1.0486"/>
    <x v="4"/>
    <x v="1"/>
    <x v="1"/>
    <x v="0"/>
    <x v="0"/>
    <x v="0"/>
  </r>
  <r>
    <x v="0"/>
    <x v="121"/>
    <x v="6"/>
    <x v="6"/>
    <x v="4"/>
    <m/>
    <x v="5"/>
    <n v="0.99"/>
    <n v="5.8799999999999998E-2"/>
    <n v="0.98"/>
    <n v="0.99960000000000004"/>
    <x v="5"/>
    <x v="2"/>
    <x v="1"/>
    <x v="0"/>
    <x v="0"/>
    <x v="0"/>
  </r>
  <r>
    <x v="0"/>
    <x v="122"/>
    <x v="6"/>
    <x v="6"/>
    <x v="4"/>
    <m/>
    <x v="5"/>
    <n v="0.99"/>
    <n v="5.8799999999999998E-2"/>
    <n v="0.98"/>
    <n v="0.9506"/>
    <x v="6"/>
    <x v="3"/>
    <x v="1"/>
    <x v="0"/>
    <x v="0"/>
    <x v="0"/>
  </r>
  <r>
    <x v="0"/>
    <x v="123"/>
    <x v="6"/>
    <x v="6"/>
    <x v="4"/>
    <m/>
    <x v="5"/>
    <n v="0.99"/>
    <n v="5.8799999999999998E-2"/>
    <n v="0.98"/>
    <n v="0.90159999999999996"/>
    <x v="7"/>
    <x v="4"/>
    <x v="1"/>
    <x v="0"/>
    <x v="0"/>
    <x v="0"/>
  </r>
  <r>
    <x v="0"/>
    <x v="124"/>
    <x v="6"/>
    <x v="6"/>
    <x v="4"/>
    <m/>
    <x v="5"/>
    <n v="0.99"/>
    <n v="6.8599999999999994E-2"/>
    <n v="0.88200000000000001"/>
    <n v="1.0486"/>
    <x v="4"/>
    <x v="1"/>
    <x v="1"/>
    <x v="0"/>
    <x v="0"/>
    <x v="0"/>
  </r>
  <r>
    <x v="0"/>
    <x v="125"/>
    <x v="6"/>
    <x v="6"/>
    <x v="4"/>
    <m/>
    <x v="5"/>
    <n v="0.99"/>
    <n v="5.8799999999999998E-2"/>
    <n v="0.98"/>
    <n v="0.99960000000000004"/>
    <x v="5"/>
    <x v="3"/>
    <x v="1"/>
    <x v="0"/>
    <x v="0"/>
    <x v="0"/>
  </r>
  <r>
    <x v="0"/>
    <x v="126"/>
    <x v="6"/>
    <x v="6"/>
    <x v="4"/>
    <m/>
    <x v="5"/>
    <n v="0.99"/>
    <n v="5.8799999999999998E-2"/>
    <n v="0.98"/>
    <n v="0.90159999999999996"/>
    <x v="7"/>
    <x v="4"/>
    <x v="1"/>
    <x v="0"/>
    <x v="0"/>
    <x v="0"/>
  </r>
  <r>
    <x v="0"/>
    <x v="127"/>
    <x v="6"/>
    <x v="6"/>
    <x v="4"/>
    <m/>
    <x v="5"/>
    <n v="0.99"/>
    <n v="0.14699999999999999"/>
    <n v="0.88200000000000001"/>
    <n v="1.0486"/>
    <x v="4"/>
    <x v="1"/>
    <x v="1"/>
    <x v="0"/>
    <x v="0"/>
    <x v="0"/>
  </r>
  <r>
    <x v="0"/>
    <x v="128"/>
    <x v="6"/>
    <x v="6"/>
    <x v="4"/>
    <m/>
    <x v="5"/>
    <n v="0.99"/>
    <n v="0.13719999999999999"/>
    <n v="0.98"/>
    <n v="0.99960000000000004"/>
    <x v="5"/>
    <x v="3"/>
    <x v="1"/>
    <x v="0"/>
    <x v="0"/>
    <x v="0"/>
  </r>
  <r>
    <x v="0"/>
    <x v="129"/>
    <x v="6"/>
    <x v="6"/>
    <x v="4"/>
    <m/>
    <x v="5"/>
    <n v="0.99"/>
    <n v="0.12740000000000001"/>
    <n v="0.98"/>
    <n v="0.90159999999999996"/>
    <x v="7"/>
    <x v="4"/>
    <x v="1"/>
    <x v="0"/>
    <x v="0"/>
    <x v="0"/>
  </r>
  <r>
    <x v="0"/>
    <x v="130"/>
    <x v="6"/>
    <x v="6"/>
    <x v="4"/>
    <m/>
    <x v="5"/>
    <n v="0.99"/>
    <n v="0.8"/>
    <m/>
    <n v="10"/>
    <x v="4"/>
    <x v="1"/>
    <x v="1"/>
    <x v="0"/>
    <x v="0"/>
    <x v="0"/>
  </r>
  <r>
    <x v="0"/>
    <x v="131"/>
    <x v="6"/>
    <x v="6"/>
    <x v="4"/>
    <m/>
    <x v="5"/>
    <n v="0.99"/>
    <n v="0.8"/>
    <m/>
    <n v="10"/>
    <x v="5"/>
    <x v="3"/>
    <x v="1"/>
    <x v="0"/>
    <x v="0"/>
    <x v="0"/>
  </r>
  <r>
    <x v="0"/>
    <x v="132"/>
    <x v="6"/>
    <x v="6"/>
    <x v="4"/>
    <m/>
    <x v="5"/>
    <n v="0.99"/>
    <n v="0.8"/>
    <m/>
    <n v="10"/>
    <x v="7"/>
    <x v="4"/>
    <x v="1"/>
    <x v="0"/>
    <x v="0"/>
    <x v="0"/>
  </r>
  <r>
    <x v="0"/>
    <x v="133"/>
    <x v="9"/>
    <x v="5"/>
    <x v="3"/>
    <m/>
    <x v="5"/>
    <n v="1"/>
    <m/>
    <n v="1.0780000000000001"/>
    <n v="1.96"/>
    <x v="1"/>
    <x v="0"/>
    <x v="0"/>
    <x v="1"/>
    <x v="0"/>
    <x v="0"/>
  </r>
  <r>
    <x v="0"/>
    <x v="134"/>
    <x v="9"/>
    <x v="5"/>
    <x v="3"/>
    <m/>
    <x v="5"/>
    <n v="0.61"/>
    <m/>
    <n v="1.0780000000000001"/>
    <n v="1.96"/>
    <x v="1"/>
    <x v="0"/>
    <x v="0"/>
    <x v="1"/>
    <x v="0"/>
    <x v="0"/>
  </r>
  <r>
    <x v="0"/>
    <x v="135"/>
    <x v="9"/>
    <x v="5"/>
    <x v="3"/>
    <m/>
    <x v="5"/>
    <n v="0.8"/>
    <m/>
    <n v="1.0780000000000001"/>
    <n v="1.96"/>
    <x v="1"/>
    <x v="0"/>
    <x v="0"/>
    <x v="1"/>
    <x v="0"/>
    <x v="0"/>
  </r>
  <r>
    <x v="0"/>
    <x v="136"/>
    <x v="9"/>
    <x v="5"/>
    <x v="3"/>
    <m/>
    <x v="5"/>
    <n v="0.83"/>
    <m/>
    <n v="1.0780000000000001"/>
    <n v="1.96"/>
    <x v="1"/>
    <x v="0"/>
    <x v="0"/>
    <x v="1"/>
    <x v="0"/>
    <x v="0"/>
  </r>
  <r>
    <x v="0"/>
    <x v="137"/>
    <x v="9"/>
    <x v="5"/>
    <x v="3"/>
    <m/>
    <x v="5"/>
    <n v="0.85"/>
    <m/>
    <n v="0.76"/>
    <n v="10"/>
    <x v="8"/>
    <x v="0"/>
    <x v="0"/>
    <x v="0"/>
    <x v="0"/>
    <x v="0"/>
  </r>
  <r>
    <x v="0"/>
    <x v="138"/>
    <x v="9"/>
    <x v="5"/>
    <x v="3"/>
    <m/>
    <x v="5"/>
    <n v="0.88"/>
    <m/>
    <n v="1.0780000000000001"/>
    <n v="1.96"/>
    <x v="1"/>
    <x v="0"/>
    <x v="0"/>
    <x v="1"/>
    <x v="0"/>
    <x v="0"/>
  </r>
  <r>
    <x v="0"/>
    <x v="139"/>
    <x v="9"/>
    <x v="5"/>
    <x v="3"/>
    <m/>
    <x v="5"/>
    <n v="0.89"/>
    <m/>
    <n v="1.0780000000000001"/>
    <n v="1.96"/>
    <x v="1"/>
    <x v="0"/>
    <x v="0"/>
    <x v="1"/>
    <x v="0"/>
    <x v="0"/>
  </r>
  <r>
    <x v="0"/>
    <x v="140"/>
    <x v="9"/>
    <x v="5"/>
    <x v="3"/>
    <m/>
    <x v="5"/>
    <n v="0.9"/>
    <m/>
    <n v="1.0780000000000001"/>
    <n v="1.96"/>
    <x v="1"/>
    <x v="0"/>
    <x v="0"/>
    <x v="1"/>
    <x v="0"/>
    <x v="0"/>
  </r>
  <r>
    <x v="0"/>
    <x v="141"/>
    <x v="9"/>
    <x v="5"/>
    <x v="3"/>
    <m/>
    <x v="5"/>
    <n v="0.91"/>
    <m/>
    <n v="1.0780000000000001"/>
    <n v="1.96"/>
    <x v="1"/>
    <x v="0"/>
    <x v="0"/>
    <x v="1"/>
    <x v="0"/>
    <x v="0"/>
  </r>
  <r>
    <x v="0"/>
    <x v="142"/>
    <x v="9"/>
    <x v="5"/>
    <x v="3"/>
    <m/>
    <x v="5"/>
    <n v="0.92"/>
    <m/>
    <n v="1.0780000000000001"/>
    <n v="1.96"/>
    <x v="1"/>
    <x v="0"/>
    <x v="0"/>
    <x v="1"/>
    <x v="0"/>
    <x v="0"/>
  </r>
  <r>
    <x v="0"/>
    <x v="143"/>
    <x v="9"/>
    <x v="5"/>
    <x v="3"/>
    <m/>
    <x v="5"/>
    <n v="0.95"/>
    <m/>
    <n v="1.0780000000000001"/>
    <n v="1.96"/>
    <x v="1"/>
    <x v="0"/>
    <x v="0"/>
    <x v="1"/>
    <x v="0"/>
    <x v="0"/>
  </r>
  <r>
    <x v="0"/>
    <x v="144"/>
    <x v="9"/>
    <x v="5"/>
    <x v="3"/>
    <m/>
    <x v="5"/>
    <n v="0.99"/>
    <m/>
    <n v="1.0780000000000001"/>
    <n v="1.96"/>
    <x v="1"/>
    <x v="0"/>
    <x v="0"/>
    <x v="1"/>
    <x v="0"/>
    <x v="0"/>
  </r>
  <r>
    <x v="0"/>
    <x v="145"/>
    <x v="17"/>
    <x v="5"/>
    <x v="3"/>
    <m/>
    <x v="5"/>
    <n v="0.9"/>
    <m/>
    <m/>
    <m/>
    <x v="1"/>
    <x v="0"/>
    <x v="0"/>
    <x v="1"/>
    <x v="0"/>
    <x v="0"/>
  </r>
  <r>
    <x v="0"/>
    <x v="146"/>
    <x v="20"/>
    <x v="5"/>
    <x v="3"/>
    <m/>
    <x v="5"/>
    <n v="1"/>
    <m/>
    <n v="1.0780000000000001"/>
    <n v="1.96"/>
    <x v="1"/>
    <x v="0"/>
    <x v="0"/>
    <x v="1"/>
    <x v="0"/>
    <x v="0"/>
  </r>
  <r>
    <x v="0"/>
    <x v="147"/>
    <x v="20"/>
    <x v="5"/>
    <x v="3"/>
    <m/>
    <x v="5"/>
    <n v="1.0900000000000001"/>
    <m/>
    <n v="1.0780000000000001"/>
    <n v="1.96"/>
    <x v="1"/>
    <x v="0"/>
    <x v="0"/>
    <x v="1"/>
    <x v="0"/>
    <x v="0"/>
  </r>
  <r>
    <x v="0"/>
    <x v="148"/>
    <x v="20"/>
    <x v="5"/>
    <x v="3"/>
    <m/>
    <x v="5"/>
    <n v="1.1000000000000001"/>
    <m/>
    <n v="1.0780000000000001"/>
    <n v="1.96"/>
    <x v="1"/>
    <x v="0"/>
    <x v="0"/>
    <x v="1"/>
    <x v="0"/>
    <x v="0"/>
  </r>
  <r>
    <x v="0"/>
    <x v="149"/>
    <x v="20"/>
    <x v="5"/>
    <x v="3"/>
    <m/>
    <x v="5"/>
    <n v="1.1499999999999999"/>
    <m/>
    <n v="1.0780000000000001"/>
    <n v="1.96"/>
    <x v="1"/>
    <x v="0"/>
    <x v="0"/>
    <x v="1"/>
    <x v="0"/>
    <x v="0"/>
  </r>
  <r>
    <x v="0"/>
    <x v="150"/>
    <x v="20"/>
    <x v="5"/>
    <x v="3"/>
    <m/>
    <x v="5"/>
    <n v="1.1599999999999999"/>
    <m/>
    <n v="1.0780000000000001"/>
    <n v="1.96"/>
    <x v="1"/>
    <x v="0"/>
    <x v="0"/>
    <x v="1"/>
    <x v="0"/>
    <x v="0"/>
  </r>
  <r>
    <x v="0"/>
    <x v="151"/>
    <x v="20"/>
    <x v="5"/>
    <x v="3"/>
    <m/>
    <x v="5"/>
    <n v="1.2"/>
    <m/>
    <n v="1.0780000000000001"/>
    <n v="1.96"/>
    <x v="1"/>
    <x v="0"/>
    <x v="0"/>
    <x v="1"/>
    <x v="0"/>
    <x v="0"/>
  </r>
  <r>
    <x v="0"/>
    <x v="152"/>
    <x v="20"/>
    <x v="5"/>
    <x v="3"/>
    <m/>
    <x v="5"/>
    <n v="0.67"/>
    <m/>
    <n v="1.0780000000000001"/>
    <n v="1.96"/>
    <x v="1"/>
    <x v="0"/>
    <x v="0"/>
    <x v="1"/>
    <x v="0"/>
    <x v="0"/>
  </r>
  <r>
    <x v="0"/>
    <x v="153"/>
    <x v="20"/>
    <x v="5"/>
    <x v="3"/>
    <m/>
    <x v="5"/>
    <n v="0.72"/>
    <m/>
    <n v="1.0780000000000001"/>
    <n v="1.96"/>
    <x v="1"/>
    <x v="0"/>
    <x v="0"/>
    <x v="1"/>
    <x v="0"/>
    <x v="0"/>
  </r>
  <r>
    <x v="0"/>
    <x v="154"/>
    <x v="20"/>
    <x v="5"/>
    <x v="3"/>
    <m/>
    <x v="5"/>
    <n v="0.73"/>
    <m/>
    <n v="1.0780000000000001"/>
    <n v="1.96"/>
    <x v="1"/>
    <x v="0"/>
    <x v="0"/>
    <x v="1"/>
    <x v="0"/>
    <x v="0"/>
  </r>
  <r>
    <x v="0"/>
    <x v="155"/>
    <x v="20"/>
    <x v="5"/>
    <x v="3"/>
    <m/>
    <x v="5"/>
    <n v="0.75"/>
    <m/>
    <n v="1.0780000000000001"/>
    <n v="1.96"/>
    <x v="1"/>
    <x v="0"/>
    <x v="0"/>
    <x v="1"/>
    <x v="0"/>
    <x v="0"/>
  </r>
  <r>
    <x v="0"/>
    <x v="156"/>
    <x v="20"/>
    <x v="5"/>
    <x v="3"/>
    <m/>
    <x v="5"/>
    <n v="0.78"/>
    <m/>
    <n v="1.0780000000000001"/>
    <n v="1.96"/>
    <x v="1"/>
    <x v="0"/>
    <x v="0"/>
    <x v="1"/>
    <x v="0"/>
    <x v="0"/>
  </r>
  <r>
    <x v="0"/>
    <x v="157"/>
    <x v="20"/>
    <x v="5"/>
    <x v="3"/>
    <m/>
    <x v="5"/>
    <n v="0.79"/>
    <m/>
    <n v="1.0780000000000001"/>
    <n v="1.96"/>
    <x v="1"/>
    <x v="0"/>
    <x v="0"/>
    <x v="1"/>
    <x v="0"/>
    <x v="0"/>
  </r>
  <r>
    <x v="0"/>
    <x v="158"/>
    <x v="20"/>
    <x v="5"/>
    <x v="3"/>
    <m/>
    <x v="5"/>
    <n v="0.81"/>
    <m/>
    <n v="1.0780000000000001"/>
    <n v="1.96"/>
    <x v="1"/>
    <x v="0"/>
    <x v="0"/>
    <x v="1"/>
    <x v="0"/>
    <x v="0"/>
  </r>
  <r>
    <x v="0"/>
    <x v="159"/>
    <x v="20"/>
    <x v="5"/>
    <x v="3"/>
    <m/>
    <x v="5"/>
    <n v="0.82"/>
    <m/>
    <n v="1.0780000000000001"/>
    <n v="1.96"/>
    <x v="1"/>
    <x v="0"/>
    <x v="0"/>
    <x v="1"/>
    <x v="0"/>
    <x v="0"/>
  </r>
  <r>
    <x v="0"/>
    <x v="160"/>
    <x v="20"/>
    <x v="5"/>
    <x v="3"/>
    <m/>
    <x v="5"/>
    <n v="0.83"/>
    <m/>
    <n v="1.0780000000000001"/>
    <n v="1.96"/>
    <x v="1"/>
    <x v="0"/>
    <x v="0"/>
    <x v="1"/>
    <x v="0"/>
    <x v="0"/>
  </r>
  <r>
    <x v="0"/>
    <x v="161"/>
    <x v="20"/>
    <x v="5"/>
    <x v="3"/>
    <m/>
    <x v="5"/>
    <n v="0.84"/>
    <m/>
    <n v="1.0780000000000001"/>
    <n v="1.96"/>
    <x v="1"/>
    <x v="0"/>
    <x v="0"/>
    <x v="1"/>
    <x v="0"/>
    <x v="0"/>
  </r>
  <r>
    <x v="0"/>
    <x v="162"/>
    <x v="20"/>
    <x v="5"/>
    <x v="3"/>
    <m/>
    <x v="5"/>
    <n v="0.85"/>
    <m/>
    <n v="1.0780000000000001"/>
    <n v="1.96"/>
    <x v="1"/>
    <x v="0"/>
    <x v="0"/>
    <x v="1"/>
    <x v="0"/>
    <x v="0"/>
  </r>
  <r>
    <x v="0"/>
    <x v="163"/>
    <x v="20"/>
    <x v="5"/>
    <x v="3"/>
    <m/>
    <x v="5"/>
    <n v="0.86"/>
    <m/>
    <n v="1.0780000000000001"/>
    <n v="1.96"/>
    <x v="1"/>
    <x v="0"/>
    <x v="0"/>
    <x v="1"/>
    <x v="0"/>
    <x v="0"/>
  </r>
  <r>
    <x v="0"/>
    <x v="164"/>
    <x v="20"/>
    <x v="5"/>
    <x v="3"/>
    <m/>
    <x v="5"/>
    <n v="0.87"/>
    <m/>
    <n v="1.0780000000000001"/>
    <n v="1.96"/>
    <x v="1"/>
    <x v="0"/>
    <x v="0"/>
    <x v="1"/>
    <x v="0"/>
    <x v="0"/>
  </r>
  <r>
    <x v="0"/>
    <x v="165"/>
    <x v="20"/>
    <x v="5"/>
    <x v="3"/>
    <m/>
    <x v="5"/>
    <n v="0.88"/>
    <m/>
    <n v="1.0780000000000001"/>
    <n v="1.96"/>
    <x v="1"/>
    <x v="0"/>
    <x v="0"/>
    <x v="1"/>
    <x v="0"/>
    <x v="0"/>
  </r>
  <r>
    <x v="0"/>
    <x v="166"/>
    <x v="20"/>
    <x v="5"/>
    <x v="3"/>
    <m/>
    <x v="5"/>
    <n v="0.89"/>
    <m/>
    <n v="1.0780000000000001"/>
    <n v="1.96"/>
    <x v="1"/>
    <x v="0"/>
    <x v="0"/>
    <x v="1"/>
    <x v="0"/>
    <x v="0"/>
  </r>
  <r>
    <x v="0"/>
    <x v="167"/>
    <x v="20"/>
    <x v="5"/>
    <x v="3"/>
    <m/>
    <x v="5"/>
    <n v="0.9"/>
    <m/>
    <n v="1.0780000000000001"/>
    <n v="1.96"/>
    <x v="1"/>
    <x v="0"/>
    <x v="0"/>
    <x v="1"/>
    <x v="0"/>
    <x v="0"/>
  </r>
  <r>
    <x v="0"/>
    <x v="168"/>
    <x v="20"/>
    <x v="5"/>
    <x v="3"/>
    <m/>
    <x v="5"/>
    <n v="0.91"/>
    <m/>
    <n v="1.0780000000000001"/>
    <n v="1.96"/>
    <x v="1"/>
    <x v="0"/>
    <x v="0"/>
    <x v="1"/>
    <x v="0"/>
    <x v="0"/>
  </r>
  <r>
    <x v="0"/>
    <x v="169"/>
    <x v="20"/>
    <x v="5"/>
    <x v="3"/>
    <m/>
    <x v="5"/>
    <n v="0.92"/>
    <m/>
    <n v="1.0780000000000001"/>
    <n v="1.96"/>
    <x v="1"/>
    <x v="0"/>
    <x v="0"/>
    <x v="1"/>
    <x v="0"/>
    <x v="0"/>
  </r>
  <r>
    <x v="0"/>
    <x v="170"/>
    <x v="20"/>
    <x v="5"/>
    <x v="3"/>
    <m/>
    <x v="5"/>
    <n v="0.93"/>
    <m/>
    <n v="1.0780000000000001"/>
    <n v="1.96"/>
    <x v="1"/>
    <x v="0"/>
    <x v="0"/>
    <x v="1"/>
    <x v="0"/>
    <x v="0"/>
  </r>
  <r>
    <x v="0"/>
    <x v="171"/>
    <x v="20"/>
    <x v="5"/>
    <x v="3"/>
    <m/>
    <x v="5"/>
    <n v="0.94"/>
    <m/>
    <n v="1.0780000000000001"/>
    <n v="1.96"/>
    <x v="1"/>
    <x v="0"/>
    <x v="0"/>
    <x v="1"/>
    <x v="0"/>
    <x v="0"/>
  </r>
  <r>
    <x v="0"/>
    <x v="172"/>
    <x v="20"/>
    <x v="5"/>
    <x v="3"/>
    <m/>
    <x v="5"/>
    <n v="0.95"/>
    <m/>
    <n v="1.0780000000000001"/>
    <n v="1.96"/>
    <x v="1"/>
    <x v="0"/>
    <x v="0"/>
    <x v="1"/>
    <x v="0"/>
    <x v="0"/>
  </r>
  <r>
    <x v="0"/>
    <x v="173"/>
    <x v="20"/>
    <x v="5"/>
    <x v="3"/>
    <m/>
    <x v="5"/>
    <n v="0.96"/>
    <m/>
    <n v="1.0780000000000001"/>
    <n v="1.96"/>
    <x v="1"/>
    <x v="0"/>
    <x v="0"/>
    <x v="1"/>
    <x v="0"/>
    <x v="0"/>
  </r>
  <r>
    <x v="0"/>
    <x v="174"/>
    <x v="20"/>
    <x v="5"/>
    <x v="3"/>
    <m/>
    <x v="5"/>
    <n v="0.97"/>
    <m/>
    <n v="1.0780000000000001"/>
    <n v="1.96"/>
    <x v="1"/>
    <x v="0"/>
    <x v="0"/>
    <x v="1"/>
    <x v="0"/>
    <x v="0"/>
  </r>
  <r>
    <x v="0"/>
    <x v="175"/>
    <x v="20"/>
    <x v="5"/>
    <x v="3"/>
    <m/>
    <x v="5"/>
    <n v="0.98"/>
    <m/>
    <n v="1.0780000000000001"/>
    <n v="1.96"/>
    <x v="1"/>
    <x v="0"/>
    <x v="0"/>
    <x v="1"/>
    <x v="0"/>
    <x v="0"/>
  </r>
  <r>
    <x v="0"/>
    <x v="176"/>
    <x v="21"/>
    <x v="5"/>
    <x v="3"/>
    <m/>
    <x v="5"/>
    <n v="0.9"/>
    <m/>
    <n v="0.73"/>
    <n v="9.5299999999999994"/>
    <x v="1"/>
    <x v="0"/>
    <x v="0"/>
    <x v="1"/>
    <x v="0"/>
    <x v="0"/>
  </r>
  <r>
    <x v="0"/>
    <x v="177"/>
    <x v="10"/>
    <x v="5"/>
    <x v="3"/>
    <m/>
    <x v="5"/>
    <n v="1"/>
    <m/>
    <n v="6.2154920736910002"/>
    <n v="82.873227649213305"/>
    <x v="1"/>
    <x v="0"/>
    <x v="0"/>
    <x v="1"/>
    <x v="0"/>
    <x v="0"/>
  </r>
  <r>
    <x v="0"/>
    <x v="178"/>
    <x v="10"/>
    <x v="5"/>
    <x v="3"/>
    <m/>
    <x v="5"/>
    <n v="1.04"/>
    <m/>
    <n v="6.2154920736910002"/>
    <n v="82.873227649213305"/>
    <x v="1"/>
    <x v="0"/>
    <x v="0"/>
    <x v="1"/>
    <x v="0"/>
    <x v="0"/>
  </r>
  <r>
    <x v="0"/>
    <x v="179"/>
    <x v="10"/>
    <x v="5"/>
    <x v="3"/>
    <m/>
    <x v="5"/>
    <n v="1.05"/>
    <m/>
    <n v="6.2154920736910002"/>
    <n v="82.873227649213305"/>
    <x v="1"/>
    <x v="0"/>
    <x v="0"/>
    <x v="1"/>
    <x v="0"/>
    <x v="0"/>
  </r>
  <r>
    <x v="0"/>
    <x v="180"/>
    <x v="10"/>
    <x v="5"/>
    <x v="3"/>
    <m/>
    <x v="5"/>
    <n v="1.06"/>
    <n v="1.90273541530645"/>
    <n v="6.2154920736910002"/>
    <n v="79.765481612367793"/>
    <x v="4"/>
    <x v="1"/>
    <x v="1"/>
    <x v="3"/>
    <x v="0"/>
    <x v="0"/>
  </r>
  <r>
    <x v="0"/>
    <x v="181"/>
    <x v="10"/>
    <x v="5"/>
    <x v="3"/>
    <m/>
    <x v="5"/>
    <n v="1.06"/>
    <n v="1.81404069990143"/>
    <n v="6.2303627669614201"/>
    <n v="74.764353203537098"/>
    <x v="5"/>
    <x v="3"/>
    <x v="1"/>
    <x v="3"/>
    <x v="0"/>
    <x v="0"/>
  </r>
  <r>
    <x v="0"/>
    <x v="182"/>
    <x v="10"/>
    <x v="5"/>
    <x v="3"/>
    <m/>
    <x v="5"/>
    <n v="1.06"/>
    <n v="1.7103804308737001"/>
    <n v="6.2601041535022803"/>
    <n v="67.8177949962746"/>
    <x v="7"/>
    <x v="4"/>
    <x v="1"/>
    <x v="3"/>
    <x v="0"/>
    <x v="0"/>
  </r>
  <r>
    <x v="0"/>
    <x v="183"/>
    <x v="10"/>
    <x v="5"/>
    <x v="3"/>
    <m/>
    <x v="5"/>
    <n v="0.8"/>
    <m/>
    <n v="6.2154920736910002"/>
    <n v="82.873227649213305"/>
    <x v="1"/>
    <x v="0"/>
    <x v="0"/>
    <x v="1"/>
    <x v="0"/>
    <x v="0"/>
  </r>
  <r>
    <x v="0"/>
    <x v="184"/>
    <x v="10"/>
    <x v="5"/>
    <x v="3"/>
    <m/>
    <x v="5"/>
    <n v="0.9"/>
    <m/>
    <n v="6.2154920736910002"/>
    <n v="82.873227649213305"/>
    <x v="1"/>
    <x v="0"/>
    <x v="0"/>
    <x v="1"/>
    <x v="0"/>
    <x v="0"/>
  </r>
  <r>
    <x v="0"/>
    <x v="185"/>
    <x v="0"/>
    <x v="5"/>
    <x v="3"/>
    <m/>
    <x v="5"/>
    <n v="1"/>
    <m/>
    <n v="1.0780000000000001"/>
    <n v="1.96"/>
    <x v="1"/>
    <x v="0"/>
    <x v="0"/>
    <x v="1"/>
    <x v="0"/>
    <x v="0"/>
  </r>
  <r>
    <x v="0"/>
    <x v="186"/>
    <x v="1"/>
    <x v="5"/>
    <x v="3"/>
    <m/>
    <x v="5"/>
    <n v="1"/>
    <m/>
    <n v="1.0780000000000001"/>
    <n v="1.96"/>
    <x v="1"/>
    <x v="0"/>
    <x v="0"/>
    <x v="1"/>
    <x v="0"/>
    <x v="0"/>
  </r>
  <r>
    <x v="0"/>
    <x v="187"/>
    <x v="2"/>
    <x v="5"/>
    <x v="3"/>
    <m/>
    <x v="5"/>
    <n v="1"/>
    <m/>
    <n v="1.0780000000000001"/>
    <n v="1.96"/>
    <x v="1"/>
    <x v="0"/>
    <x v="0"/>
    <x v="1"/>
    <x v="0"/>
    <x v="0"/>
  </r>
  <r>
    <x v="0"/>
    <x v="188"/>
    <x v="3"/>
    <x v="5"/>
    <x v="3"/>
    <m/>
    <x v="5"/>
    <n v="1"/>
    <m/>
    <n v="1.0780000000000001"/>
    <n v="1.96"/>
    <x v="1"/>
    <x v="0"/>
    <x v="0"/>
    <x v="1"/>
    <x v="0"/>
    <x v="0"/>
  </r>
  <r>
    <x v="0"/>
    <x v="189"/>
    <x v="4"/>
    <x v="5"/>
    <x v="3"/>
    <m/>
    <x v="5"/>
    <n v="1"/>
    <m/>
    <n v="1.0780000000000001"/>
    <n v="1.96"/>
    <x v="1"/>
    <x v="0"/>
    <x v="0"/>
    <x v="1"/>
    <x v="0"/>
    <x v="0"/>
  </r>
  <r>
    <x v="0"/>
    <x v="190"/>
    <x v="0"/>
    <x v="5"/>
    <x v="3"/>
    <m/>
    <x v="5"/>
    <n v="1.01"/>
    <m/>
    <n v="1.0780000000000001"/>
    <n v="1.96"/>
    <x v="1"/>
    <x v="0"/>
    <x v="0"/>
    <x v="1"/>
    <x v="0"/>
    <x v="0"/>
  </r>
  <r>
    <x v="0"/>
    <x v="191"/>
    <x v="1"/>
    <x v="5"/>
    <x v="3"/>
    <m/>
    <x v="5"/>
    <n v="1.01"/>
    <m/>
    <n v="1.0780000000000001"/>
    <n v="1.96"/>
    <x v="1"/>
    <x v="0"/>
    <x v="0"/>
    <x v="1"/>
    <x v="0"/>
    <x v="0"/>
  </r>
  <r>
    <x v="0"/>
    <x v="192"/>
    <x v="2"/>
    <x v="5"/>
    <x v="3"/>
    <m/>
    <x v="5"/>
    <n v="1.01"/>
    <m/>
    <n v="1.0780000000000001"/>
    <n v="1.96"/>
    <x v="1"/>
    <x v="0"/>
    <x v="0"/>
    <x v="1"/>
    <x v="0"/>
    <x v="0"/>
  </r>
  <r>
    <x v="0"/>
    <x v="193"/>
    <x v="3"/>
    <x v="5"/>
    <x v="3"/>
    <m/>
    <x v="5"/>
    <n v="1.01"/>
    <m/>
    <n v="1.0780000000000001"/>
    <n v="1.96"/>
    <x v="1"/>
    <x v="0"/>
    <x v="0"/>
    <x v="1"/>
    <x v="0"/>
    <x v="0"/>
  </r>
  <r>
    <x v="0"/>
    <x v="194"/>
    <x v="4"/>
    <x v="5"/>
    <x v="3"/>
    <m/>
    <x v="5"/>
    <n v="1.01"/>
    <m/>
    <n v="1.0780000000000001"/>
    <n v="1.96"/>
    <x v="1"/>
    <x v="0"/>
    <x v="0"/>
    <x v="1"/>
    <x v="0"/>
    <x v="0"/>
  </r>
  <r>
    <x v="0"/>
    <x v="195"/>
    <x v="0"/>
    <x v="5"/>
    <x v="3"/>
    <m/>
    <x v="5"/>
    <n v="1.02"/>
    <m/>
    <n v="1.0780000000000001"/>
    <n v="1.96"/>
    <x v="1"/>
    <x v="0"/>
    <x v="0"/>
    <x v="1"/>
    <x v="0"/>
    <x v="0"/>
  </r>
  <r>
    <x v="0"/>
    <x v="196"/>
    <x v="1"/>
    <x v="5"/>
    <x v="3"/>
    <m/>
    <x v="5"/>
    <n v="1.02"/>
    <m/>
    <n v="1.0780000000000001"/>
    <n v="1.96"/>
    <x v="1"/>
    <x v="0"/>
    <x v="0"/>
    <x v="1"/>
    <x v="0"/>
    <x v="0"/>
  </r>
  <r>
    <x v="0"/>
    <x v="197"/>
    <x v="2"/>
    <x v="5"/>
    <x v="3"/>
    <m/>
    <x v="5"/>
    <n v="1.02"/>
    <m/>
    <n v="1.0780000000000001"/>
    <n v="1.96"/>
    <x v="1"/>
    <x v="0"/>
    <x v="0"/>
    <x v="1"/>
    <x v="0"/>
    <x v="0"/>
  </r>
  <r>
    <x v="0"/>
    <x v="198"/>
    <x v="3"/>
    <x v="5"/>
    <x v="3"/>
    <m/>
    <x v="5"/>
    <n v="1.02"/>
    <m/>
    <n v="1.0780000000000001"/>
    <n v="1.96"/>
    <x v="1"/>
    <x v="0"/>
    <x v="0"/>
    <x v="1"/>
    <x v="0"/>
    <x v="0"/>
  </r>
  <r>
    <x v="0"/>
    <x v="199"/>
    <x v="4"/>
    <x v="5"/>
    <x v="3"/>
    <m/>
    <x v="5"/>
    <n v="1.02"/>
    <m/>
    <n v="1.0780000000000001"/>
    <n v="1.96"/>
    <x v="1"/>
    <x v="0"/>
    <x v="0"/>
    <x v="1"/>
    <x v="0"/>
    <x v="0"/>
  </r>
  <r>
    <x v="0"/>
    <x v="200"/>
    <x v="0"/>
    <x v="5"/>
    <x v="3"/>
    <m/>
    <x v="5"/>
    <n v="1.03"/>
    <m/>
    <n v="1.0780000000000001"/>
    <n v="1.96"/>
    <x v="1"/>
    <x v="0"/>
    <x v="0"/>
    <x v="1"/>
    <x v="0"/>
    <x v="0"/>
  </r>
  <r>
    <x v="0"/>
    <x v="201"/>
    <x v="1"/>
    <x v="5"/>
    <x v="3"/>
    <m/>
    <x v="5"/>
    <n v="1.03"/>
    <m/>
    <n v="1.0780000000000001"/>
    <n v="1.96"/>
    <x v="1"/>
    <x v="0"/>
    <x v="0"/>
    <x v="1"/>
    <x v="0"/>
    <x v="0"/>
  </r>
  <r>
    <x v="0"/>
    <x v="202"/>
    <x v="2"/>
    <x v="5"/>
    <x v="3"/>
    <m/>
    <x v="5"/>
    <n v="1.03"/>
    <m/>
    <n v="1.0780000000000001"/>
    <n v="1.96"/>
    <x v="1"/>
    <x v="0"/>
    <x v="0"/>
    <x v="1"/>
    <x v="0"/>
    <x v="0"/>
  </r>
  <r>
    <x v="0"/>
    <x v="203"/>
    <x v="3"/>
    <x v="5"/>
    <x v="3"/>
    <m/>
    <x v="5"/>
    <n v="1.03"/>
    <m/>
    <n v="1.0780000000000001"/>
    <n v="1.96"/>
    <x v="1"/>
    <x v="0"/>
    <x v="0"/>
    <x v="1"/>
    <x v="0"/>
    <x v="0"/>
  </r>
  <r>
    <x v="0"/>
    <x v="204"/>
    <x v="4"/>
    <x v="5"/>
    <x v="3"/>
    <m/>
    <x v="5"/>
    <n v="1.03"/>
    <m/>
    <n v="1.0780000000000001"/>
    <n v="1.96"/>
    <x v="1"/>
    <x v="0"/>
    <x v="0"/>
    <x v="1"/>
    <x v="0"/>
    <x v="0"/>
  </r>
  <r>
    <x v="0"/>
    <x v="205"/>
    <x v="0"/>
    <x v="5"/>
    <x v="3"/>
    <m/>
    <x v="5"/>
    <n v="1.04"/>
    <m/>
    <n v="1.0780000000000001"/>
    <n v="1.96"/>
    <x v="1"/>
    <x v="0"/>
    <x v="0"/>
    <x v="1"/>
    <x v="0"/>
    <x v="0"/>
  </r>
  <r>
    <x v="0"/>
    <x v="206"/>
    <x v="1"/>
    <x v="5"/>
    <x v="3"/>
    <m/>
    <x v="5"/>
    <n v="1.04"/>
    <m/>
    <n v="1.0780000000000001"/>
    <n v="1.96"/>
    <x v="1"/>
    <x v="0"/>
    <x v="0"/>
    <x v="1"/>
    <x v="0"/>
    <x v="0"/>
  </r>
  <r>
    <x v="0"/>
    <x v="207"/>
    <x v="2"/>
    <x v="5"/>
    <x v="3"/>
    <m/>
    <x v="5"/>
    <n v="1.04"/>
    <m/>
    <n v="1.0780000000000001"/>
    <n v="1.96"/>
    <x v="1"/>
    <x v="0"/>
    <x v="0"/>
    <x v="1"/>
    <x v="0"/>
    <x v="0"/>
  </r>
  <r>
    <x v="0"/>
    <x v="208"/>
    <x v="3"/>
    <x v="5"/>
    <x v="3"/>
    <m/>
    <x v="5"/>
    <n v="1.04"/>
    <m/>
    <n v="1.0780000000000001"/>
    <n v="1.96"/>
    <x v="1"/>
    <x v="0"/>
    <x v="0"/>
    <x v="1"/>
    <x v="0"/>
    <x v="0"/>
  </r>
  <r>
    <x v="0"/>
    <x v="209"/>
    <x v="4"/>
    <x v="5"/>
    <x v="3"/>
    <m/>
    <x v="5"/>
    <n v="1.04"/>
    <m/>
    <n v="1.0780000000000001"/>
    <n v="1.96"/>
    <x v="1"/>
    <x v="0"/>
    <x v="0"/>
    <x v="1"/>
    <x v="0"/>
    <x v="0"/>
  </r>
  <r>
    <x v="0"/>
    <x v="210"/>
    <x v="0"/>
    <x v="5"/>
    <x v="3"/>
    <m/>
    <x v="5"/>
    <n v="1.05"/>
    <m/>
    <n v="1.0780000000000001"/>
    <n v="1.96"/>
    <x v="1"/>
    <x v="0"/>
    <x v="0"/>
    <x v="1"/>
    <x v="0"/>
    <x v="0"/>
  </r>
  <r>
    <x v="0"/>
    <x v="211"/>
    <x v="1"/>
    <x v="5"/>
    <x v="3"/>
    <m/>
    <x v="5"/>
    <n v="1.05"/>
    <m/>
    <n v="1.0780000000000001"/>
    <n v="1.96"/>
    <x v="1"/>
    <x v="0"/>
    <x v="0"/>
    <x v="1"/>
    <x v="0"/>
    <x v="0"/>
  </r>
  <r>
    <x v="0"/>
    <x v="212"/>
    <x v="2"/>
    <x v="5"/>
    <x v="3"/>
    <m/>
    <x v="5"/>
    <n v="1.05"/>
    <m/>
    <n v="1.0780000000000001"/>
    <n v="1.96"/>
    <x v="1"/>
    <x v="0"/>
    <x v="0"/>
    <x v="1"/>
    <x v="0"/>
    <x v="0"/>
  </r>
  <r>
    <x v="0"/>
    <x v="213"/>
    <x v="3"/>
    <x v="5"/>
    <x v="3"/>
    <m/>
    <x v="5"/>
    <n v="1.05"/>
    <m/>
    <n v="1.0780000000000001"/>
    <n v="1.96"/>
    <x v="1"/>
    <x v="0"/>
    <x v="0"/>
    <x v="1"/>
    <x v="0"/>
    <x v="0"/>
  </r>
  <r>
    <x v="0"/>
    <x v="214"/>
    <x v="4"/>
    <x v="5"/>
    <x v="3"/>
    <m/>
    <x v="5"/>
    <n v="1.05"/>
    <m/>
    <n v="1.0780000000000001"/>
    <n v="1.96"/>
    <x v="1"/>
    <x v="0"/>
    <x v="0"/>
    <x v="1"/>
    <x v="0"/>
    <x v="0"/>
  </r>
  <r>
    <x v="0"/>
    <x v="215"/>
    <x v="0"/>
    <x v="5"/>
    <x v="3"/>
    <m/>
    <x v="5"/>
    <n v="1.05"/>
    <n v="5.8799999999999998E-2"/>
    <n v="1.0780000000000001"/>
    <n v="1.911"/>
    <x v="4"/>
    <x v="1"/>
    <x v="1"/>
    <x v="3"/>
    <x v="0"/>
    <x v="0"/>
  </r>
  <r>
    <x v="0"/>
    <x v="216"/>
    <x v="1"/>
    <x v="5"/>
    <x v="3"/>
    <m/>
    <x v="5"/>
    <n v="1.05"/>
    <n v="5.8799999999999998E-2"/>
    <n v="1.0780000000000001"/>
    <n v="1.911"/>
    <x v="4"/>
    <x v="1"/>
    <x v="1"/>
    <x v="3"/>
    <x v="0"/>
    <x v="0"/>
  </r>
  <r>
    <x v="0"/>
    <x v="217"/>
    <x v="2"/>
    <x v="5"/>
    <x v="3"/>
    <m/>
    <x v="5"/>
    <n v="1.05"/>
    <n v="5.8799999999999998E-2"/>
    <n v="1.0780000000000001"/>
    <n v="1.911"/>
    <x v="4"/>
    <x v="1"/>
    <x v="1"/>
    <x v="3"/>
    <x v="0"/>
    <x v="0"/>
  </r>
  <r>
    <x v="0"/>
    <x v="218"/>
    <x v="3"/>
    <x v="5"/>
    <x v="3"/>
    <m/>
    <x v="5"/>
    <n v="1.05"/>
    <n v="5.8799999999999998E-2"/>
    <n v="1.0780000000000001"/>
    <n v="1.911"/>
    <x v="4"/>
    <x v="1"/>
    <x v="1"/>
    <x v="3"/>
    <x v="0"/>
    <x v="0"/>
  </r>
  <r>
    <x v="0"/>
    <x v="219"/>
    <x v="4"/>
    <x v="5"/>
    <x v="3"/>
    <m/>
    <x v="5"/>
    <n v="1.05"/>
    <n v="5.8799999999999998E-2"/>
    <n v="1.0780000000000001"/>
    <n v="1.911"/>
    <x v="4"/>
    <x v="1"/>
    <x v="1"/>
    <x v="3"/>
    <x v="0"/>
    <x v="0"/>
  </r>
  <r>
    <x v="0"/>
    <x v="220"/>
    <x v="0"/>
    <x v="5"/>
    <x v="3"/>
    <m/>
    <x v="5"/>
    <n v="1.06"/>
    <n v="4.9000000000000002E-2"/>
    <n v="0.98"/>
    <n v="1.8620000000000001"/>
    <x v="5"/>
    <x v="3"/>
    <x v="1"/>
    <x v="3"/>
    <x v="0"/>
    <x v="0"/>
  </r>
  <r>
    <x v="0"/>
    <x v="221"/>
    <x v="1"/>
    <x v="5"/>
    <x v="3"/>
    <m/>
    <x v="5"/>
    <n v="1.06"/>
    <n v="4.9000000000000002E-2"/>
    <n v="0.98"/>
    <n v="1.8620000000000001"/>
    <x v="5"/>
    <x v="3"/>
    <x v="1"/>
    <x v="3"/>
    <x v="0"/>
    <x v="0"/>
  </r>
  <r>
    <x v="0"/>
    <x v="222"/>
    <x v="2"/>
    <x v="5"/>
    <x v="3"/>
    <m/>
    <x v="5"/>
    <n v="1.06"/>
    <n v="4.9000000000000002E-2"/>
    <n v="0.98"/>
    <n v="1.8620000000000001"/>
    <x v="5"/>
    <x v="3"/>
    <x v="1"/>
    <x v="3"/>
    <x v="0"/>
    <x v="0"/>
  </r>
  <r>
    <x v="0"/>
    <x v="223"/>
    <x v="3"/>
    <x v="5"/>
    <x v="3"/>
    <m/>
    <x v="5"/>
    <n v="1.06"/>
    <n v="4.9000000000000002E-2"/>
    <n v="0.98"/>
    <n v="1.8620000000000001"/>
    <x v="5"/>
    <x v="3"/>
    <x v="1"/>
    <x v="3"/>
    <x v="0"/>
    <x v="0"/>
  </r>
  <r>
    <x v="0"/>
    <x v="224"/>
    <x v="4"/>
    <x v="5"/>
    <x v="3"/>
    <m/>
    <x v="5"/>
    <n v="1.06"/>
    <n v="4.9000000000000002E-2"/>
    <n v="0.98"/>
    <n v="1.8620000000000001"/>
    <x v="5"/>
    <x v="3"/>
    <x v="1"/>
    <x v="3"/>
    <x v="0"/>
    <x v="0"/>
  </r>
  <r>
    <x v="0"/>
    <x v="225"/>
    <x v="0"/>
    <x v="5"/>
    <x v="3"/>
    <m/>
    <x v="5"/>
    <n v="1.06"/>
    <n v="4.9000000000000002E-2"/>
    <n v="1.0780000000000001"/>
    <n v="1.6659999999999999"/>
    <x v="7"/>
    <x v="4"/>
    <x v="1"/>
    <x v="3"/>
    <x v="0"/>
    <x v="0"/>
  </r>
  <r>
    <x v="0"/>
    <x v="226"/>
    <x v="1"/>
    <x v="5"/>
    <x v="3"/>
    <m/>
    <x v="5"/>
    <n v="1.06"/>
    <n v="4.9000000000000002E-2"/>
    <n v="1.0780000000000001"/>
    <n v="1.6659999999999999"/>
    <x v="7"/>
    <x v="4"/>
    <x v="1"/>
    <x v="3"/>
    <x v="0"/>
    <x v="0"/>
  </r>
  <r>
    <x v="0"/>
    <x v="227"/>
    <x v="2"/>
    <x v="5"/>
    <x v="3"/>
    <m/>
    <x v="5"/>
    <n v="1.06"/>
    <n v="4.9000000000000002E-2"/>
    <n v="1.0780000000000001"/>
    <n v="1.6659999999999999"/>
    <x v="7"/>
    <x v="4"/>
    <x v="1"/>
    <x v="3"/>
    <x v="0"/>
    <x v="0"/>
  </r>
  <r>
    <x v="0"/>
    <x v="228"/>
    <x v="3"/>
    <x v="5"/>
    <x v="3"/>
    <m/>
    <x v="5"/>
    <n v="1.06"/>
    <n v="4.9000000000000002E-2"/>
    <n v="1.0780000000000001"/>
    <n v="1.6659999999999999"/>
    <x v="7"/>
    <x v="4"/>
    <x v="1"/>
    <x v="3"/>
    <x v="0"/>
    <x v="0"/>
  </r>
  <r>
    <x v="0"/>
    <x v="229"/>
    <x v="4"/>
    <x v="5"/>
    <x v="3"/>
    <m/>
    <x v="5"/>
    <n v="1.06"/>
    <n v="4.9000000000000002E-2"/>
    <n v="1.0780000000000001"/>
    <n v="1.6659999999999999"/>
    <x v="7"/>
    <x v="4"/>
    <x v="1"/>
    <x v="3"/>
    <x v="0"/>
    <x v="0"/>
  </r>
  <r>
    <x v="0"/>
    <x v="230"/>
    <x v="0"/>
    <x v="5"/>
    <x v="3"/>
    <m/>
    <x v="5"/>
    <n v="0.7"/>
    <m/>
    <n v="1.0780000000000001"/>
    <n v="1.96"/>
    <x v="4"/>
    <x v="4"/>
    <x v="1"/>
    <x v="3"/>
    <x v="0"/>
    <x v="0"/>
  </r>
  <r>
    <x v="0"/>
    <x v="231"/>
    <x v="0"/>
    <x v="5"/>
    <x v="3"/>
    <m/>
    <x v="5"/>
    <n v="0.8"/>
    <m/>
    <n v="1.0780000000000001"/>
    <n v="1.96"/>
    <x v="1"/>
    <x v="0"/>
    <x v="0"/>
    <x v="1"/>
    <x v="0"/>
    <x v="0"/>
  </r>
  <r>
    <x v="0"/>
    <x v="232"/>
    <x v="1"/>
    <x v="5"/>
    <x v="3"/>
    <m/>
    <x v="5"/>
    <n v="0.8"/>
    <m/>
    <n v="1.0780000000000001"/>
    <n v="1.96"/>
    <x v="1"/>
    <x v="0"/>
    <x v="0"/>
    <x v="1"/>
    <x v="0"/>
    <x v="0"/>
  </r>
  <r>
    <x v="0"/>
    <x v="233"/>
    <x v="2"/>
    <x v="5"/>
    <x v="3"/>
    <m/>
    <x v="5"/>
    <n v="0.8"/>
    <m/>
    <n v="1.0780000000000001"/>
    <n v="1.96"/>
    <x v="1"/>
    <x v="0"/>
    <x v="0"/>
    <x v="1"/>
    <x v="0"/>
    <x v="0"/>
  </r>
  <r>
    <x v="0"/>
    <x v="234"/>
    <x v="3"/>
    <x v="5"/>
    <x v="3"/>
    <m/>
    <x v="5"/>
    <n v="0.8"/>
    <m/>
    <n v="1.0780000000000001"/>
    <n v="1.96"/>
    <x v="1"/>
    <x v="0"/>
    <x v="0"/>
    <x v="1"/>
    <x v="0"/>
    <x v="0"/>
  </r>
  <r>
    <x v="0"/>
    <x v="235"/>
    <x v="4"/>
    <x v="5"/>
    <x v="3"/>
    <m/>
    <x v="5"/>
    <n v="0.8"/>
    <m/>
    <n v="1.0780000000000001"/>
    <n v="1.96"/>
    <x v="1"/>
    <x v="0"/>
    <x v="0"/>
    <x v="1"/>
    <x v="0"/>
    <x v="0"/>
  </r>
  <r>
    <x v="0"/>
    <x v="236"/>
    <x v="0"/>
    <x v="5"/>
    <x v="3"/>
    <m/>
    <x v="5"/>
    <n v="0.82"/>
    <m/>
    <n v="1.0780000000000001"/>
    <n v="1.96"/>
    <x v="4"/>
    <x v="4"/>
    <x v="1"/>
    <x v="3"/>
    <x v="0"/>
    <x v="0"/>
  </r>
  <r>
    <x v="0"/>
    <x v="237"/>
    <x v="0"/>
    <x v="5"/>
    <x v="3"/>
    <m/>
    <x v="5"/>
    <n v="0.85"/>
    <m/>
    <n v="0.73"/>
    <n v="9.5299999999999994"/>
    <x v="8"/>
    <x v="0"/>
    <x v="0"/>
    <x v="0"/>
    <x v="0"/>
    <x v="0"/>
  </r>
  <r>
    <x v="0"/>
    <x v="238"/>
    <x v="1"/>
    <x v="5"/>
    <x v="3"/>
    <m/>
    <x v="5"/>
    <n v="0.85"/>
    <m/>
    <n v="0.73"/>
    <n v="9.5299999999999994"/>
    <x v="8"/>
    <x v="0"/>
    <x v="0"/>
    <x v="0"/>
    <x v="0"/>
    <x v="0"/>
  </r>
  <r>
    <x v="0"/>
    <x v="239"/>
    <x v="2"/>
    <x v="5"/>
    <x v="3"/>
    <m/>
    <x v="5"/>
    <n v="0.85"/>
    <m/>
    <n v="0.73"/>
    <n v="9.5299999999999994"/>
    <x v="8"/>
    <x v="0"/>
    <x v="0"/>
    <x v="0"/>
    <x v="0"/>
    <x v="0"/>
  </r>
  <r>
    <x v="0"/>
    <x v="240"/>
    <x v="3"/>
    <x v="5"/>
    <x v="3"/>
    <m/>
    <x v="5"/>
    <n v="0.85"/>
    <m/>
    <n v="0.73"/>
    <n v="9.5299999999999994"/>
    <x v="8"/>
    <x v="0"/>
    <x v="0"/>
    <x v="0"/>
    <x v="0"/>
    <x v="0"/>
  </r>
  <r>
    <x v="0"/>
    <x v="241"/>
    <x v="4"/>
    <x v="5"/>
    <x v="3"/>
    <m/>
    <x v="5"/>
    <n v="0.85"/>
    <m/>
    <n v="0.73"/>
    <n v="9.5299999999999994"/>
    <x v="8"/>
    <x v="0"/>
    <x v="0"/>
    <x v="0"/>
    <x v="0"/>
    <x v="0"/>
  </r>
  <r>
    <x v="0"/>
    <x v="242"/>
    <x v="0"/>
    <x v="5"/>
    <x v="3"/>
    <m/>
    <x v="5"/>
    <n v="0.9"/>
    <m/>
    <n v="0.73"/>
    <n v="9.5299999999999994"/>
    <x v="1"/>
    <x v="0"/>
    <x v="0"/>
    <x v="1"/>
    <x v="0"/>
    <x v="0"/>
  </r>
  <r>
    <x v="0"/>
    <x v="243"/>
    <x v="1"/>
    <x v="5"/>
    <x v="3"/>
    <m/>
    <x v="5"/>
    <n v="0.9"/>
    <m/>
    <n v="0.73"/>
    <n v="9.5299999999999994"/>
    <x v="1"/>
    <x v="0"/>
    <x v="0"/>
    <x v="1"/>
    <x v="0"/>
    <x v="0"/>
  </r>
  <r>
    <x v="0"/>
    <x v="244"/>
    <x v="2"/>
    <x v="5"/>
    <x v="3"/>
    <m/>
    <x v="5"/>
    <n v="0.9"/>
    <m/>
    <n v="0.73"/>
    <n v="9.5299999999999994"/>
    <x v="1"/>
    <x v="0"/>
    <x v="0"/>
    <x v="1"/>
    <x v="0"/>
    <x v="0"/>
  </r>
  <r>
    <x v="0"/>
    <x v="245"/>
    <x v="3"/>
    <x v="5"/>
    <x v="3"/>
    <m/>
    <x v="5"/>
    <n v="0.9"/>
    <m/>
    <n v="0.73"/>
    <n v="9.5299999999999994"/>
    <x v="1"/>
    <x v="0"/>
    <x v="0"/>
    <x v="1"/>
    <x v="0"/>
    <x v="0"/>
  </r>
  <r>
    <x v="0"/>
    <x v="246"/>
    <x v="4"/>
    <x v="5"/>
    <x v="3"/>
    <m/>
    <x v="5"/>
    <n v="0.9"/>
    <m/>
    <n v="0.73"/>
    <n v="9.5299999999999994"/>
    <x v="1"/>
    <x v="0"/>
    <x v="0"/>
    <x v="1"/>
    <x v="0"/>
    <x v="0"/>
  </r>
  <r>
    <x v="0"/>
    <x v="247"/>
    <x v="0"/>
    <x v="5"/>
    <x v="3"/>
    <m/>
    <x v="5"/>
    <n v="0.97"/>
    <m/>
    <n v="1.0780000000000001"/>
    <n v="1.96"/>
    <x v="1"/>
    <x v="0"/>
    <x v="0"/>
    <x v="1"/>
    <x v="0"/>
    <x v="0"/>
  </r>
  <r>
    <x v="0"/>
    <x v="248"/>
    <x v="1"/>
    <x v="5"/>
    <x v="3"/>
    <m/>
    <x v="5"/>
    <n v="0.97"/>
    <m/>
    <n v="1.0780000000000001"/>
    <n v="1.96"/>
    <x v="1"/>
    <x v="0"/>
    <x v="0"/>
    <x v="1"/>
    <x v="0"/>
    <x v="0"/>
  </r>
  <r>
    <x v="0"/>
    <x v="249"/>
    <x v="2"/>
    <x v="5"/>
    <x v="3"/>
    <m/>
    <x v="5"/>
    <n v="0.97"/>
    <m/>
    <n v="1.0780000000000001"/>
    <n v="1.96"/>
    <x v="1"/>
    <x v="0"/>
    <x v="0"/>
    <x v="1"/>
    <x v="0"/>
    <x v="0"/>
  </r>
  <r>
    <x v="0"/>
    <x v="250"/>
    <x v="3"/>
    <x v="5"/>
    <x v="3"/>
    <m/>
    <x v="5"/>
    <n v="0.97"/>
    <m/>
    <n v="1.0780000000000001"/>
    <n v="1.96"/>
    <x v="1"/>
    <x v="0"/>
    <x v="0"/>
    <x v="1"/>
    <x v="0"/>
    <x v="0"/>
  </r>
  <r>
    <x v="0"/>
    <x v="251"/>
    <x v="4"/>
    <x v="5"/>
    <x v="3"/>
    <m/>
    <x v="5"/>
    <n v="0.97"/>
    <m/>
    <n v="1.0780000000000001"/>
    <n v="1.96"/>
    <x v="1"/>
    <x v="0"/>
    <x v="0"/>
    <x v="1"/>
    <x v="0"/>
    <x v="0"/>
  </r>
  <r>
    <x v="0"/>
    <x v="252"/>
    <x v="0"/>
    <x v="5"/>
    <x v="3"/>
    <m/>
    <x v="5"/>
    <n v="0.98"/>
    <m/>
    <n v="1.0780000000000001"/>
    <n v="1.96"/>
    <x v="1"/>
    <x v="0"/>
    <x v="0"/>
    <x v="1"/>
    <x v="0"/>
    <x v="0"/>
  </r>
  <r>
    <x v="0"/>
    <x v="253"/>
    <x v="1"/>
    <x v="5"/>
    <x v="3"/>
    <m/>
    <x v="5"/>
    <n v="0.98"/>
    <m/>
    <n v="1.0780000000000001"/>
    <n v="1.96"/>
    <x v="1"/>
    <x v="0"/>
    <x v="0"/>
    <x v="1"/>
    <x v="0"/>
    <x v="0"/>
  </r>
  <r>
    <x v="0"/>
    <x v="254"/>
    <x v="2"/>
    <x v="5"/>
    <x v="3"/>
    <m/>
    <x v="5"/>
    <n v="0.98"/>
    <m/>
    <n v="1.0780000000000001"/>
    <n v="1.96"/>
    <x v="1"/>
    <x v="0"/>
    <x v="0"/>
    <x v="1"/>
    <x v="0"/>
    <x v="0"/>
  </r>
  <r>
    <x v="0"/>
    <x v="255"/>
    <x v="3"/>
    <x v="5"/>
    <x v="3"/>
    <m/>
    <x v="5"/>
    <n v="0.98"/>
    <m/>
    <n v="1.0780000000000001"/>
    <n v="1.96"/>
    <x v="1"/>
    <x v="0"/>
    <x v="0"/>
    <x v="1"/>
    <x v="0"/>
    <x v="0"/>
  </r>
  <r>
    <x v="0"/>
    <x v="256"/>
    <x v="4"/>
    <x v="5"/>
    <x v="3"/>
    <m/>
    <x v="5"/>
    <n v="0.98"/>
    <m/>
    <n v="1.0780000000000001"/>
    <n v="1.96"/>
    <x v="1"/>
    <x v="0"/>
    <x v="0"/>
    <x v="1"/>
    <x v="0"/>
    <x v="0"/>
  </r>
  <r>
    <x v="0"/>
    <x v="257"/>
    <x v="0"/>
    <x v="5"/>
    <x v="3"/>
    <m/>
    <x v="5"/>
    <n v="0.99"/>
    <m/>
    <n v="1.0780000000000001"/>
    <n v="1.96"/>
    <x v="1"/>
    <x v="0"/>
    <x v="0"/>
    <x v="1"/>
    <x v="0"/>
    <x v="0"/>
  </r>
  <r>
    <x v="0"/>
    <x v="258"/>
    <x v="1"/>
    <x v="5"/>
    <x v="3"/>
    <m/>
    <x v="5"/>
    <n v="0.99"/>
    <m/>
    <n v="1.0780000000000001"/>
    <n v="1.96"/>
    <x v="1"/>
    <x v="0"/>
    <x v="0"/>
    <x v="1"/>
    <x v="0"/>
    <x v="0"/>
  </r>
  <r>
    <x v="0"/>
    <x v="259"/>
    <x v="2"/>
    <x v="5"/>
    <x v="3"/>
    <m/>
    <x v="5"/>
    <n v="0.99"/>
    <m/>
    <n v="1.0780000000000001"/>
    <n v="1.96"/>
    <x v="1"/>
    <x v="0"/>
    <x v="0"/>
    <x v="1"/>
    <x v="0"/>
    <x v="0"/>
  </r>
  <r>
    <x v="0"/>
    <x v="260"/>
    <x v="3"/>
    <x v="5"/>
    <x v="3"/>
    <m/>
    <x v="5"/>
    <n v="0.99"/>
    <m/>
    <n v="1.0780000000000001"/>
    <n v="1.96"/>
    <x v="1"/>
    <x v="0"/>
    <x v="0"/>
    <x v="1"/>
    <x v="0"/>
    <x v="0"/>
  </r>
  <r>
    <x v="0"/>
    <x v="261"/>
    <x v="4"/>
    <x v="5"/>
    <x v="3"/>
    <m/>
    <x v="5"/>
    <n v="0.99"/>
    <m/>
    <n v="1.0780000000000001"/>
    <n v="1.96"/>
    <x v="1"/>
    <x v="0"/>
    <x v="0"/>
    <x v="1"/>
    <x v="0"/>
    <x v="0"/>
  </r>
  <r>
    <x v="0"/>
    <x v="262"/>
    <x v="17"/>
    <x v="5"/>
    <x v="3"/>
    <m/>
    <x v="5"/>
    <n v="0.9"/>
    <m/>
    <n v="0.73"/>
    <n v="9.5299999999999994"/>
    <x v="1"/>
    <x v="0"/>
    <x v="0"/>
    <x v="1"/>
    <x v="0"/>
    <x v="0"/>
  </r>
  <r>
    <x v="0"/>
    <x v="263"/>
    <x v="7"/>
    <x v="5"/>
    <x v="3"/>
    <m/>
    <x v="5"/>
    <n v="0.9"/>
    <n v="3"/>
    <n v="1.0036640556071901"/>
    <n v="3"/>
    <x v="1"/>
    <x v="0"/>
    <x v="0"/>
    <x v="1"/>
    <x v="0"/>
    <x v="0"/>
  </r>
  <r>
    <x v="0"/>
    <x v="264"/>
    <x v="11"/>
    <x v="5"/>
    <x v="3"/>
    <m/>
    <x v="5"/>
    <n v="0.33500000000000002"/>
    <m/>
    <n v="0.76"/>
    <n v="10"/>
    <x v="8"/>
    <x v="0"/>
    <x v="0"/>
    <x v="0"/>
    <x v="0"/>
    <x v="0"/>
  </r>
  <r>
    <x v="0"/>
    <x v="265"/>
    <x v="12"/>
    <x v="5"/>
    <x v="3"/>
    <m/>
    <x v="5"/>
    <n v="1"/>
    <m/>
    <n v="1.0229759466883901"/>
    <n v="40.919037867535501"/>
    <x v="1"/>
    <x v="0"/>
    <x v="0"/>
    <x v="1"/>
    <x v="0"/>
    <x v="0"/>
  </r>
  <r>
    <x v="0"/>
    <x v="266"/>
    <x v="12"/>
    <x v="5"/>
    <x v="3"/>
    <m/>
    <x v="5"/>
    <n v="1.02"/>
    <m/>
    <n v="1.0229759466883901"/>
    <n v="40.919037867535501"/>
    <x v="1"/>
    <x v="0"/>
    <x v="0"/>
    <x v="1"/>
    <x v="0"/>
    <x v="0"/>
  </r>
  <r>
    <x v="0"/>
    <x v="267"/>
    <x v="12"/>
    <x v="5"/>
    <x v="3"/>
    <m/>
    <x v="5"/>
    <n v="1.04"/>
    <n v="0.69170817142718699"/>
    <n v="1.0229759466883901"/>
    <n v="39.896061920847103"/>
    <x v="4"/>
    <x v="1"/>
    <x v="1"/>
    <x v="3"/>
    <x v="0"/>
    <x v="0"/>
  </r>
  <r>
    <x v="0"/>
    <x v="268"/>
    <x v="12"/>
    <x v="5"/>
    <x v="3"/>
    <m/>
    <x v="5"/>
    <n v="1.04"/>
    <n v="0.657890649170352"/>
    <n v="1.0229759466883901"/>
    <n v="36.827134080781903"/>
    <x v="5"/>
    <x v="3"/>
    <x v="1"/>
    <x v="3"/>
    <x v="0"/>
    <x v="0"/>
  </r>
  <r>
    <x v="0"/>
    <x v="269"/>
    <x v="12"/>
    <x v="5"/>
    <x v="3"/>
    <m/>
    <x v="5"/>
    <n v="1.04"/>
    <n v="0.59513477611417298"/>
    <n v="1.0229759466883901"/>
    <n v="32.735230294028398"/>
    <x v="7"/>
    <x v="4"/>
    <x v="1"/>
    <x v="3"/>
    <x v="0"/>
    <x v="0"/>
  </r>
  <r>
    <x v="0"/>
    <x v="270"/>
    <x v="14"/>
    <x v="5"/>
    <x v="3"/>
    <m/>
    <x v="5"/>
    <n v="1"/>
    <m/>
    <n v="1.2647989669363"/>
    <n v="39.093786250758399"/>
    <x v="1"/>
    <x v="0"/>
    <x v="0"/>
    <x v="1"/>
    <x v="0"/>
    <x v="0"/>
  </r>
  <r>
    <x v="0"/>
    <x v="271"/>
    <x v="14"/>
    <x v="5"/>
    <x v="3"/>
    <m/>
    <x v="5"/>
    <n v="1.05"/>
    <m/>
    <n v="1.2647989669363"/>
    <n v="39.093786250758399"/>
    <x v="1"/>
    <x v="0"/>
    <x v="0"/>
    <x v="1"/>
    <x v="0"/>
    <x v="0"/>
  </r>
  <r>
    <x v="0"/>
    <x v="272"/>
    <x v="14"/>
    <x v="5"/>
    <x v="3"/>
    <m/>
    <x v="5"/>
    <n v="1.06"/>
    <m/>
    <n v="1.2647989669363"/>
    <n v="39.093786250758399"/>
    <x v="1"/>
    <x v="0"/>
    <x v="0"/>
    <x v="1"/>
    <x v="0"/>
    <x v="0"/>
  </r>
  <r>
    <x v="0"/>
    <x v="273"/>
    <x v="14"/>
    <x v="5"/>
    <x v="3"/>
    <m/>
    <x v="5"/>
    <n v="1.07"/>
    <m/>
    <n v="1.2647989669363"/>
    <n v="39.093786250758399"/>
    <x v="1"/>
    <x v="0"/>
    <x v="0"/>
    <x v="1"/>
    <x v="0"/>
    <x v="0"/>
  </r>
  <r>
    <x v="0"/>
    <x v="274"/>
    <x v="14"/>
    <x v="5"/>
    <x v="3"/>
    <m/>
    <x v="5"/>
    <n v="1.08"/>
    <m/>
    <n v="1.2647989669363"/>
    <n v="39.093786250758399"/>
    <x v="1"/>
    <x v="0"/>
    <x v="0"/>
    <x v="1"/>
    <x v="0"/>
    <x v="0"/>
  </r>
  <r>
    <x v="0"/>
    <x v="275"/>
    <x v="14"/>
    <x v="5"/>
    <x v="3"/>
    <m/>
    <x v="5"/>
    <n v="1.1000000000000001"/>
    <m/>
    <n v="1.2647989669363"/>
    <n v="39.093786250758399"/>
    <x v="1"/>
    <x v="0"/>
    <x v="0"/>
    <x v="1"/>
    <x v="0"/>
    <x v="0"/>
  </r>
  <r>
    <x v="0"/>
    <x v="276"/>
    <x v="14"/>
    <x v="5"/>
    <x v="3"/>
    <m/>
    <x v="5"/>
    <n v="1.1100000000000001"/>
    <m/>
    <n v="1.2647989669363"/>
    <n v="39.093786250758399"/>
    <x v="1"/>
    <x v="0"/>
    <x v="0"/>
    <x v="1"/>
    <x v="0"/>
    <x v="0"/>
  </r>
  <r>
    <x v="0"/>
    <x v="277"/>
    <x v="14"/>
    <x v="5"/>
    <x v="3"/>
    <m/>
    <x v="5"/>
    <n v="1.1200000000000001"/>
    <m/>
    <n v="1.2647989669363"/>
    <n v="39.093786250758399"/>
    <x v="1"/>
    <x v="0"/>
    <x v="0"/>
    <x v="1"/>
    <x v="0"/>
    <x v="0"/>
  </r>
  <r>
    <x v="0"/>
    <x v="278"/>
    <x v="14"/>
    <x v="5"/>
    <x v="3"/>
    <m/>
    <x v="5"/>
    <n v="1.1399999999999999"/>
    <m/>
    <n v="1.2647989669363"/>
    <n v="39.093786250758399"/>
    <x v="1"/>
    <x v="0"/>
    <x v="0"/>
    <x v="1"/>
    <x v="0"/>
    <x v="0"/>
  </r>
  <r>
    <x v="0"/>
    <x v="279"/>
    <x v="14"/>
    <x v="5"/>
    <x v="3"/>
    <m/>
    <x v="5"/>
    <n v="1.1499999999999999"/>
    <m/>
    <n v="1.2647989669363"/>
    <n v="39.093786250758399"/>
    <x v="1"/>
    <x v="0"/>
    <x v="0"/>
    <x v="1"/>
    <x v="0"/>
    <x v="0"/>
  </r>
  <r>
    <x v="0"/>
    <x v="280"/>
    <x v="14"/>
    <x v="5"/>
    <x v="3"/>
    <m/>
    <x v="5"/>
    <n v="1.17"/>
    <m/>
    <n v="1.2647989669363"/>
    <n v="39.093786250758399"/>
    <x v="1"/>
    <x v="0"/>
    <x v="0"/>
    <x v="1"/>
    <x v="0"/>
    <x v="0"/>
  </r>
  <r>
    <x v="0"/>
    <x v="281"/>
    <x v="14"/>
    <x v="5"/>
    <x v="3"/>
    <m/>
    <x v="5"/>
    <n v="1.17"/>
    <n v="1.19237716160598"/>
    <n v="1.2647989669363"/>
    <n v="37.943969008088999"/>
    <x v="4"/>
    <x v="1"/>
    <x v="1"/>
    <x v="3"/>
    <x v="0"/>
    <x v="0"/>
  </r>
  <r>
    <x v="0"/>
    <x v="282"/>
    <x v="14"/>
    <x v="5"/>
    <x v="3"/>
    <m/>
    <x v="5"/>
    <n v="1.17"/>
    <n v="1.13408199773947"/>
    <n v="1.2647989669363"/>
    <n v="36.794151765419699"/>
    <x v="5"/>
    <x v="3"/>
    <x v="1"/>
    <x v="3"/>
    <x v="0"/>
    <x v="0"/>
  </r>
  <r>
    <x v="0"/>
    <x v="283"/>
    <x v="14"/>
    <x v="5"/>
    <x v="3"/>
    <m/>
    <x v="5"/>
    <n v="1.17"/>
    <n v="1.0259024606459"/>
    <n v="1.2647989669363"/>
    <n v="34.494517280080899"/>
    <x v="7"/>
    <x v="4"/>
    <x v="1"/>
    <x v="3"/>
    <x v="0"/>
    <x v="0"/>
  </r>
  <r>
    <x v="0"/>
    <x v="284"/>
    <x v="14"/>
    <x v="5"/>
    <x v="3"/>
    <m/>
    <x v="5"/>
    <n v="1.18"/>
    <m/>
    <n v="1.2647989669363"/>
    <n v="39.093786250758399"/>
    <x v="1"/>
    <x v="0"/>
    <x v="0"/>
    <x v="1"/>
    <x v="0"/>
    <x v="0"/>
  </r>
  <r>
    <x v="0"/>
    <x v="285"/>
    <x v="14"/>
    <x v="5"/>
    <x v="3"/>
    <m/>
    <x v="5"/>
    <n v="1.19"/>
    <m/>
    <n v="1.2647989669363"/>
    <n v="39.093786250758399"/>
    <x v="1"/>
    <x v="0"/>
    <x v="0"/>
    <x v="1"/>
    <x v="0"/>
    <x v="0"/>
  </r>
  <r>
    <x v="0"/>
    <x v="286"/>
    <x v="14"/>
    <x v="5"/>
    <x v="3"/>
    <m/>
    <x v="5"/>
    <n v="1.2"/>
    <m/>
    <n v="1.2647989669363"/>
    <n v="39.093786250758399"/>
    <x v="1"/>
    <x v="0"/>
    <x v="0"/>
    <x v="1"/>
    <x v="0"/>
    <x v="0"/>
  </r>
  <r>
    <x v="0"/>
    <x v="287"/>
    <x v="14"/>
    <x v="5"/>
    <x v="3"/>
    <m/>
    <x v="5"/>
    <n v="0.9"/>
    <m/>
    <n v="1.2647989669363"/>
    <n v="39.093786250758399"/>
    <x v="1"/>
    <x v="0"/>
    <x v="0"/>
    <x v="1"/>
    <x v="0"/>
    <x v="0"/>
  </r>
  <r>
    <x v="0"/>
    <x v="288"/>
    <x v="15"/>
    <x v="5"/>
    <x v="3"/>
    <m/>
    <x v="5"/>
    <n v="1"/>
    <m/>
    <n v="1.0036640556071901"/>
    <n v="34.124577890644503"/>
    <x v="1"/>
    <x v="0"/>
    <x v="0"/>
    <x v="1"/>
    <x v="0"/>
    <x v="0"/>
  </r>
  <r>
    <x v="0"/>
    <x v="289"/>
    <x v="15"/>
    <x v="5"/>
    <x v="3"/>
    <m/>
    <x v="5"/>
    <n v="1.02"/>
    <m/>
    <n v="1.0036640556071901"/>
    <n v="34.124577890644503"/>
    <x v="1"/>
    <x v="0"/>
    <x v="0"/>
    <x v="1"/>
    <x v="0"/>
    <x v="0"/>
  </r>
  <r>
    <x v="0"/>
    <x v="290"/>
    <x v="15"/>
    <x v="5"/>
    <x v="3"/>
    <m/>
    <x v="5"/>
    <n v="1.02"/>
    <n v="0.95402529177495898"/>
    <n v="1.0036640556071901"/>
    <n v="33.1209138350373"/>
    <x v="4"/>
    <x v="1"/>
    <x v="1"/>
    <x v="3"/>
    <x v="0"/>
    <x v="0"/>
  </r>
  <r>
    <x v="0"/>
    <x v="291"/>
    <x v="15"/>
    <x v="5"/>
    <x v="3"/>
    <m/>
    <x v="5"/>
    <n v="1.02"/>
    <n v="0.907383119727728"/>
    <n v="1.0036640556071901"/>
    <n v="31.113585723822901"/>
    <x v="5"/>
    <x v="3"/>
    <x v="1"/>
    <x v="3"/>
    <x v="0"/>
    <x v="0"/>
  </r>
  <r>
    <x v="0"/>
    <x v="292"/>
    <x v="15"/>
    <x v="5"/>
    <x v="3"/>
    <m/>
    <x v="5"/>
    <n v="1.02"/>
    <n v="0.82082827972998096"/>
    <n v="1.0036640556071901"/>
    <n v="28.102593557001398"/>
    <x v="7"/>
    <x v="4"/>
    <x v="1"/>
    <x v="3"/>
    <x v="0"/>
    <x v="0"/>
  </r>
  <r>
    <x v="0"/>
    <x v="293"/>
    <x v="15"/>
    <x v="5"/>
    <x v="3"/>
    <m/>
    <x v="5"/>
    <n v="0.87"/>
    <n v="2.2000000000000002"/>
    <n v="1.0036640556071901"/>
    <n v="2"/>
    <x v="4"/>
    <x v="1"/>
    <x v="1"/>
    <x v="0"/>
    <x v="0"/>
    <x v="0"/>
  </r>
  <r>
    <x v="0"/>
    <x v="294"/>
    <x v="15"/>
    <x v="5"/>
    <x v="3"/>
    <m/>
    <x v="5"/>
    <n v="0.9"/>
    <n v="3"/>
    <n v="1.0036640556071901"/>
    <n v="3"/>
    <x v="1"/>
    <x v="0"/>
    <x v="0"/>
    <x v="1"/>
    <x v="0"/>
    <x v="0"/>
  </r>
  <r>
    <x v="0"/>
    <x v="295"/>
    <x v="15"/>
    <x v="5"/>
    <x v="3"/>
    <m/>
    <x v="5"/>
    <n v="0.91"/>
    <n v="3"/>
    <n v="1.0036640556071901"/>
    <n v="3"/>
    <x v="5"/>
    <x v="3"/>
    <x v="1"/>
    <x v="0"/>
    <x v="0"/>
    <x v="0"/>
  </r>
  <r>
    <x v="0"/>
    <x v="296"/>
    <x v="15"/>
    <x v="5"/>
    <x v="3"/>
    <m/>
    <x v="5"/>
    <n v="0.95"/>
    <n v="3"/>
    <n v="1.0036640556071901"/>
    <n v="3"/>
    <x v="7"/>
    <x v="4"/>
    <x v="1"/>
    <x v="0"/>
    <x v="0"/>
    <x v="0"/>
  </r>
  <r>
    <x v="0"/>
    <x v="297"/>
    <x v="8"/>
    <x v="5"/>
    <x v="3"/>
    <m/>
    <x v="5"/>
    <n v="1"/>
    <m/>
    <n v="1.0036640556071901"/>
    <n v="34.124577890644503"/>
    <x v="1"/>
    <x v="0"/>
    <x v="0"/>
    <x v="1"/>
    <x v="0"/>
    <x v="0"/>
  </r>
  <r>
    <x v="0"/>
    <x v="298"/>
    <x v="8"/>
    <x v="5"/>
    <x v="3"/>
    <m/>
    <x v="5"/>
    <n v="1.1399999999999999"/>
    <m/>
    <n v="1.0036640556071901"/>
    <n v="34.124577890644503"/>
    <x v="1"/>
    <x v="0"/>
    <x v="0"/>
    <x v="1"/>
    <x v="0"/>
    <x v="0"/>
  </r>
  <r>
    <x v="0"/>
    <x v="299"/>
    <x v="8"/>
    <x v="5"/>
    <x v="3"/>
    <m/>
    <x v="5"/>
    <n v="0.82"/>
    <m/>
    <n v="1.0036640556071901"/>
    <n v="34.124577890644503"/>
    <x v="1"/>
    <x v="0"/>
    <x v="0"/>
    <x v="1"/>
    <x v="0"/>
    <x v="0"/>
  </r>
  <r>
    <x v="0"/>
    <x v="300"/>
    <x v="8"/>
    <x v="5"/>
    <x v="3"/>
    <m/>
    <x v="5"/>
    <n v="0.84"/>
    <m/>
    <n v="1.0036640556071901"/>
    <n v="34.124577890644503"/>
    <x v="1"/>
    <x v="0"/>
    <x v="0"/>
    <x v="1"/>
    <x v="0"/>
    <x v="0"/>
  </r>
  <r>
    <x v="0"/>
    <x v="301"/>
    <x v="8"/>
    <x v="5"/>
    <x v="3"/>
    <m/>
    <x v="5"/>
    <n v="0.86"/>
    <m/>
    <n v="1.0036640556071901"/>
    <n v="34.124577890644503"/>
    <x v="1"/>
    <x v="0"/>
    <x v="0"/>
    <x v="1"/>
    <x v="0"/>
    <x v="0"/>
  </r>
  <r>
    <x v="0"/>
    <x v="302"/>
    <x v="8"/>
    <x v="5"/>
    <x v="3"/>
    <m/>
    <x v="5"/>
    <n v="0.89"/>
    <m/>
    <n v="1.0036640556071901"/>
    <n v="34.124577890644503"/>
    <x v="1"/>
    <x v="0"/>
    <x v="0"/>
    <x v="1"/>
    <x v="0"/>
    <x v="0"/>
  </r>
  <r>
    <x v="0"/>
    <x v="303"/>
    <x v="8"/>
    <x v="5"/>
    <x v="3"/>
    <m/>
    <x v="5"/>
    <n v="0.9"/>
    <m/>
    <n v="1.0036640556071901"/>
    <n v="34.124577890644503"/>
    <x v="1"/>
    <x v="0"/>
    <x v="0"/>
    <x v="1"/>
    <x v="0"/>
    <x v="0"/>
  </r>
  <r>
    <x v="0"/>
    <x v="304"/>
    <x v="8"/>
    <x v="5"/>
    <x v="3"/>
    <m/>
    <x v="5"/>
    <n v="0.91"/>
    <m/>
    <n v="1.0036640556071901"/>
    <n v="34.124577890644503"/>
    <x v="1"/>
    <x v="0"/>
    <x v="0"/>
    <x v="1"/>
    <x v="0"/>
    <x v="0"/>
  </r>
  <r>
    <x v="0"/>
    <x v="305"/>
    <x v="8"/>
    <x v="5"/>
    <x v="3"/>
    <m/>
    <x v="5"/>
    <n v="0.94"/>
    <m/>
    <n v="1.0036640556071901"/>
    <n v="34.124577890644503"/>
    <x v="1"/>
    <x v="0"/>
    <x v="0"/>
    <x v="1"/>
    <x v="0"/>
    <x v="0"/>
  </r>
  <r>
    <x v="0"/>
    <x v="306"/>
    <x v="22"/>
    <x v="5"/>
    <x v="3"/>
    <m/>
    <x v="5"/>
    <n v="1"/>
    <m/>
    <m/>
    <m/>
    <x v="1"/>
    <x v="0"/>
    <x v="0"/>
    <x v="1"/>
    <x v="0"/>
    <x v="0"/>
  </r>
  <r>
    <x v="0"/>
    <x v="307"/>
    <x v="22"/>
    <x v="5"/>
    <x v="3"/>
    <m/>
    <x v="5"/>
    <n v="1.08"/>
    <n v="0.52330299999999996"/>
    <n v="1.7661469999999999"/>
    <n v="5.2984400000000003"/>
    <x v="3"/>
    <x v="0"/>
    <x v="1"/>
    <x v="0"/>
    <x v="0"/>
    <x v="0"/>
  </r>
  <r>
    <x v="0"/>
    <x v="308"/>
    <x v="22"/>
    <x v="5"/>
    <x v="3"/>
    <m/>
    <x v="5"/>
    <n v="0.67100000000000004"/>
    <m/>
    <n v="1.07"/>
    <n v="14"/>
    <x v="8"/>
    <x v="0"/>
    <x v="0"/>
    <x v="0"/>
    <x v="0"/>
    <x v="0"/>
  </r>
  <r>
    <x v="0"/>
    <x v="309"/>
    <x v="13"/>
    <x v="4"/>
    <x v="0"/>
    <n v="1.2"/>
    <x v="5"/>
    <n v="0.86166666666666702"/>
    <m/>
    <n v="7.3891625615763497"/>
    <n v="62.068965517241402"/>
    <x v="1"/>
    <x v="0"/>
    <x v="0"/>
    <x v="1"/>
    <x v="0"/>
    <x v="0"/>
  </r>
  <r>
    <x v="0"/>
    <x v="310"/>
    <x v="12"/>
    <x v="4"/>
    <x v="0"/>
    <n v="1.2"/>
    <x v="5"/>
    <n v="0.86166666666666702"/>
    <m/>
    <n v="7.3891625615763497"/>
    <n v="62.068965517241402"/>
    <x v="1"/>
    <x v="0"/>
    <x v="0"/>
    <x v="1"/>
    <x v="0"/>
    <x v="0"/>
  </r>
  <r>
    <x v="0"/>
    <x v="311"/>
    <x v="14"/>
    <x v="4"/>
    <x v="0"/>
    <n v="1.2"/>
    <x v="5"/>
    <n v="0.86166666666666702"/>
    <m/>
    <n v="7.3891625615763497"/>
    <n v="62.068965517241402"/>
    <x v="1"/>
    <x v="0"/>
    <x v="0"/>
    <x v="1"/>
    <x v="0"/>
    <x v="0"/>
  </r>
  <r>
    <x v="0"/>
    <x v="312"/>
    <x v="15"/>
    <x v="4"/>
    <x v="0"/>
    <n v="1.2"/>
    <x v="5"/>
    <n v="0.86166666666666702"/>
    <m/>
    <n v="7.3891625615763497"/>
    <n v="62.068965517241402"/>
    <x v="1"/>
    <x v="0"/>
    <x v="0"/>
    <x v="1"/>
    <x v="0"/>
    <x v="0"/>
  </r>
  <r>
    <x v="0"/>
    <x v="313"/>
    <x v="13"/>
    <x v="4"/>
    <x v="0"/>
    <n v="1.2"/>
    <x v="5"/>
    <n v="0.89833333333333298"/>
    <m/>
    <n v="7.3891625615763497"/>
    <n v="62.068965517241402"/>
    <x v="1"/>
    <x v="0"/>
    <x v="0"/>
    <x v="1"/>
    <x v="0"/>
    <x v="0"/>
  </r>
  <r>
    <x v="0"/>
    <x v="314"/>
    <x v="12"/>
    <x v="4"/>
    <x v="0"/>
    <n v="1.2"/>
    <x v="5"/>
    <n v="0.89833333333333298"/>
    <m/>
    <n v="7.3891625615763497"/>
    <n v="62.068965517241402"/>
    <x v="1"/>
    <x v="0"/>
    <x v="0"/>
    <x v="1"/>
    <x v="0"/>
    <x v="0"/>
  </r>
  <r>
    <x v="0"/>
    <x v="315"/>
    <x v="14"/>
    <x v="4"/>
    <x v="0"/>
    <n v="1.2"/>
    <x v="5"/>
    <n v="0.89833333333333298"/>
    <m/>
    <n v="7.3891625615763497"/>
    <n v="62.068965517241402"/>
    <x v="1"/>
    <x v="0"/>
    <x v="0"/>
    <x v="1"/>
    <x v="0"/>
    <x v="0"/>
  </r>
  <r>
    <x v="0"/>
    <x v="316"/>
    <x v="15"/>
    <x v="4"/>
    <x v="0"/>
    <n v="1.2"/>
    <x v="5"/>
    <n v="0.89833333333333298"/>
    <m/>
    <n v="7.3891625615763497"/>
    <n v="62.068965517241402"/>
    <x v="1"/>
    <x v="0"/>
    <x v="0"/>
    <x v="1"/>
    <x v="0"/>
    <x v="0"/>
  </r>
  <r>
    <x v="0"/>
    <x v="317"/>
    <x v="9"/>
    <x v="4"/>
    <x v="0"/>
    <n v="1.2"/>
    <x v="5"/>
    <n v="0.69666666666666699"/>
    <m/>
    <n v="4.41"/>
    <n v="29.4"/>
    <x v="1"/>
    <x v="0"/>
    <x v="0"/>
    <x v="1"/>
    <x v="0"/>
    <x v="0"/>
  </r>
  <r>
    <x v="0"/>
    <x v="318"/>
    <x v="9"/>
    <x v="1"/>
    <x v="1"/>
    <m/>
    <x v="2"/>
    <n v="0.38"/>
    <m/>
    <n v="4.41"/>
    <n v="29.4"/>
    <x v="1"/>
    <x v="0"/>
    <x v="0"/>
    <x v="1"/>
    <x v="0"/>
    <x v="0"/>
  </r>
  <r>
    <x v="0"/>
    <x v="319"/>
    <x v="0"/>
    <x v="4"/>
    <x v="0"/>
    <n v="1"/>
    <x v="5"/>
    <n v="0.9"/>
    <m/>
    <n v="4.41"/>
    <n v="29.4"/>
    <x v="1"/>
    <x v="0"/>
    <x v="0"/>
    <x v="1"/>
    <x v="0"/>
    <x v="0"/>
  </r>
  <r>
    <x v="0"/>
    <x v="320"/>
    <x v="1"/>
    <x v="4"/>
    <x v="0"/>
    <n v="1"/>
    <x v="5"/>
    <n v="0.9"/>
    <m/>
    <n v="4.41"/>
    <n v="29.4"/>
    <x v="1"/>
    <x v="0"/>
    <x v="0"/>
    <x v="1"/>
    <x v="0"/>
    <x v="0"/>
  </r>
  <r>
    <x v="0"/>
    <x v="321"/>
    <x v="2"/>
    <x v="4"/>
    <x v="0"/>
    <n v="1"/>
    <x v="5"/>
    <n v="0.9"/>
    <m/>
    <n v="4.41"/>
    <n v="29.4"/>
    <x v="1"/>
    <x v="0"/>
    <x v="0"/>
    <x v="1"/>
    <x v="0"/>
    <x v="0"/>
  </r>
  <r>
    <x v="0"/>
    <x v="322"/>
    <x v="3"/>
    <x v="4"/>
    <x v="0"/>
    <n v="1"/>
    <x v="5"/>
    <n v="0.9"/>
    <m/>
    <n v="4.41"/>
    <n v="29.4"/>
    <x v="1"/>
    <x v="0"/>
    <x v="0"/>
    <x v="1"/>
    <x v="0"/>
    <x v="0"/>
  </r>
  <r>
    <x v="0"/>
    <x v="323"/>
    <x v="4"/>
    <x v="4"/>
    <x v="0"/>
    <n v="1"/>
    <x v="5"/>
    <n v="0.9"/>
    <m/>
    <n v="4.41"/>
    <n v="29.4"/>
    <x v="1"/>
    <x v="0"/>
    <x v="0"/>
    <x v="1"/>
    <x v="0"/>
    <x v="0"/>
  </r>
  <r>
    <x v="0"/>
    <x v="324"/>
    <x v="0"/>
    <x v="4"/>
    <x v="0"/>
    <n v="1.1000000000000001"/>
    <x v="5"/>
    <n v="0.9"/>
    <m/>
    <n v="4.41"/>
    <n v="29.4"/>
    <x v="1"/>
    <x v="0"/>
    <x v="0"/>
    <x v="1"/>
    <x v="0"/>
    <x v="0"/>
  </r>
  <r>
    <x v="0"/>
    <x v="325"/>
    <x v="1"/>
    <x v="4"/>
    <x v="0"/>
    <n v="1.1000000000000001"/>
    <x v="5"/>
    <n v="0.9"/>
    <m/>
    <n v="4.41"/>
    <n v="29.4"/>
    <x v="1"/>
    <x v="0"/>
    <x v="0"/>
    <x v="1"/>
    <x v="0"/>
    <x v="0"/>
  </r>
  <r>
    <x v="0"/>
    <x v="326"/>
    <x v="2"/>
    <x v="4"/>
    <x v="0"/>
    <n v="1.1000000000000001"/>
    <x v="5"/>
    <n v="0.9"/>
    <m/>
    <n v="4.41"/>
    <n v="29.4"/>
    <x v="1"/>
    <x v="0"/>
    <x v="0"/>
    <x v="1"/>
    <x v="0"/>
    <x v="0"/>
  </r>
  <r>
    <x v="0"/>
    <x v="327"/>
    <x v="3"/>
    <x v="4"/>
    <x v="0"/>
    <n v="1.1000000000000001"/>
    <x v="5"/>
    <n v="0.9"/>
    <m/>
    <n v="4.41"/>
    <n v="29.4"/>
    <x v="1"/>
    <x v="0"/>
    <x v="0"/>
    <x v="1"/>
    <x v="0"/>
    <x v="0"/>
  </r>
  <r>
    <x v="0"/>
    <x v="328"/>
    <x v="4"/>
    <x v="4"/>
    <x v="0"/>
    <n v="1.1000000000000001"/>
    <x v="5"/>
    <n v="0.9"/>
    <m/>
    <n v="4.41"/>
    <n v="29.4"/>
    <x v="1"/>
    <x v="0"/>
    <x v="0"/>
    <x v="1"/>
    <x v="0"/>
    <x v="0"/>
  </r>
  <r>
    <x v="0"/>
    <x v="329"/>
    <x v="0"/>
    <x v="4"/>
    <x v="0"/>
    <n v="0.9"/>
    <x v="5"/>
    <n v="0.9"/>
    <m/>
    <n v="4.41"/>
    <n v="29.4"/>
    <x v="1"/>
    <x v="0"/>
    <x v="0"/>
    <x v="1"/>
    <x v="0"/>
    <x v="0"/>
  </r>
  <r>
    <x v="0"/>
    <x v="330"/>
    <x v="1"/>
    <x v="4"/>
    <x v="0"/>
    <n v="0.9"/>
    <x v="5"/>
    <n v="0.9"/>
    <m/>
    <n v="4.41"/>
    <n v="29.4"/>
    <x v="1"/>
    <x v="0"/>
    <x v="0"/>
    <x v="1"/>
    <x v="0"/>
    <x v="0"/>
  </r>
  <r>
    <x v="0"/>
    <x v="331"/>
    <x v="2"/>
    <x v="4"/>
    <x v="0"/>
    <n v="0.9"/>
    <x v="5"/>
    <n v="0.9"/>
    <m/>
    <n v="4.41"/>
    <n v="29.4"/>
    <x v="1"/>
    <x v="0"/>
    <x v="0"/>
    <x v="1"/>
    <x v="0"/>
    <x v="0"/>
  </r>
  <r>
    <x v="0"/>
    <x v="332"/>
    <x v="3"/>
    <x v="4"/>
    <x v="0"/>
    <n v="0.9"/>
    <x v="5"/>
    <n v="0.9"/>
    <m/>
    <n v="4.41"/>
    <n v="29.4"/>
    <x v="1"/>
    <x v="0"/>
    <x v="0"/>
    <x v="1"/>
    <x v="0"/>
    <x v="0"/>
  </r>
  <r>
    <x v="0"/>
    <x v="333"/>
    <x v="4"/>
    <x v="4"/>
    <x v="0"/>
    <n v="0.9"/>
    <x v="5"/>
    <n v="0.9"/>
    <m/>
    <n v="4.41"/>
    <n v="29.4"/>
    <x v="1"/>
    <x v="0"/>
    <x v="0"/>
    <x v="1"/>
    <x v="0"/>
    <x v="0"/>
  </r>
  <r>
    <x v="0"/>
    <x v="334"/>
    <x v="0"/>
    <x v="4"/>
    <x v="0"/>
    <n v="1.2"/>
    <x v="5"/>
    <n v="0.33"/>
    <m/>
    <n v="4.41"/>
    <n v="29.4"/>
    <x v="1"/>
    <x v="0"/>
    <x v="0"/>
    <x v="1"/>
    <x v="0"/>
    <x v="0"/>
  </r>
  <r>
    <x v="0"/>
    <x v="335"/>
    <x v="1"/>
    <x v="4"/>
    <x v="0"/>
    <n v="1.2"/>
    <x v="5"/>
    <n v="0.33"/>
    <m/>
    <n v="4.41"/>
    <n v="29.4"/>
    <x v="1"/>
    <x v="0"/>
    <x v="0"/>
    <x v="1"/>
    <x v="0"/>
    <x v="0"/>
  </r>
  <r>
    <x v="0"/>
    <x v="336"/>
    <x v="2"/>
    <x v="4"/>
    <x v="0"/>
    <n v="1.2"/>
    <x v="5"/>
    <n v="0.33"/>
    <m/>
    <n v="4.41"/>
    <n v="29.4"/>
    <x v="1"/>
    <x v="0"/>
    <x v="0"/>
    <x v="1"/>
    <x v="0"/>
    <x v="0"/>
  </r>
  <r>
    <x v="0"/>
    <x v="337"/>
    <x v="3"/>
    <x v="4"/>
    <x v="0"/>
    <n v="1.2"/>
    <x v="5"/>
    <n v="0.33"/>
    <m/>
    <n v="4.41"/>
    <n v="29.4"/>
    <x v="1"/>
    <x v="0"/>
    <x v="0"/>
    <x v="1"/>
    <x v="0"/>
    <x v="0"/>
  </r>
  <r>
    <x v="0"/>
    <x v="338"/>
    <x v="4"/>
    <x v="4"/>
    <x v="0"/>
    <n v="1.2"/>
    <x v="5"/>
    <n v="0.33"/>
    <m/>
    <n v="4.41"/>
    <n v="29.4"/>
    <x v="1"/>
    <x v="0"/>
    <x v="0"/>
    <x v="1"/>
    <x v="0"/>
    <x v="0"/>
  </r>
  <r>
    <x v="0"/>
    <x v="339"/>
    <x v="0"/>
    <x v="4"/>
    <x v="0"/>
    <n v="1.2"/>
    <x v="5"/>
    <n v="0.55000000000000004"/>
    <m/>
    <n v="4.41"/>
    <n v="29.4"/>
    <x v="1"/>
    <x v="0"/>
    <x v="0"/>
    <x v="1"/>
    <x v="0"/>
    <x v="0"/>
  </r>
  <r>
    <x v="0"/>
    <x v="340"/>
    <x v="1"/>
    <x v="4"/>
    <x v="0"/>
    <n v="1.2"/>
    <x v="5"/>
    <n v="0.55000000000000004"/>
    <m/>
    <n v="4.41"/>
    <n v="29.4"/>
    <x v="1"/>
    <x v="0"/>
    <x v="0"/>
    <x v="1"/>
    <x v="0"/>
    <x v="0"/>
  </r>
  <r>
    <x v="0"/>
    <x v="341"/>
    <x v="2"/>
    <x v="4"/>
    <x v="0"/>
    <n v="1.2"/>
    <x v="5"/>
    <n v="0.55000000000000004"/>
    <m/>
    <n v="4.41"/>
    <n v="29.4"/>
    <x v="1"/>
    <x v="0"/>
    <x v="0"/>
    <x v="1"/>
    <x v="0"/>
    <x v="0"/>
  </r>
  <r>
    <x v="0"/>
    <x v="342"/>
    <x v="3"/>
    <x v="4"/>
    <x v="0"/>
    <n v="1.2"/>
    <x v="5"/>
    <n v="0.55000000000000004"/>
    <m/>
    <n v="4.41"/>
    <n v="29.4"/>
    <x v="1"/>
    <x v="0"/>
    <x v="0"/>
    <x v="1"/>
    <x v="0"/>
    <x v="0"/>
  </r>
  <r>
    <x v="0"/>
    <x v="343"/>
    <x v="4"/>
    <x v="4"/>
    <x v="0"/>
    <n v="1.2"/>
    <x v="5"/>
    <n v="0.55000000000000004"/>
    <m/>
    <n v="4.41"/>
    <n v="29.4"/>
    <x v="1"/>
    <x v="0"/>
    <x v="0"/>
    <x v="1"/>
    <x v="0"/>
    <x v="0"/>
  </r>
  <r>
    <x v="0"/>
    <x v="344"/>
    <x v="0"/>
    <x v="4"/>
    <x v="0"/>
    <n v="1.2"/>
    <x v="5"/>
    <n v="0.71499999999999997"/>
    <m/>
    <n v="4.41"/>
    <n v="29.4"/>
    <x v="1"/>
    <x v="0"/>
    <x v="0"/>
    <x v="1"/>
    <x v="0"/>
    <x v="0"/>
  </r>
  <r>
    <x v="0"/>
    <x v="345"/>
    <x v="1"/>
    <x v="4"/>
    <x v="0"/>
    <n v="1.2"/>
    <x v="5"/>
    <n v="0.71499999999999997"/>
    <m/>
    <n v="4.41"/>
    <n v="29.4"/>
    <x v="1"/>
    <x v="0"/>
    <x v="0"/>
    <x v="1"/>
    <x v="0"/>
    <x v="0"/>
  </r>
  <r>
    <x v="0"/>
    <x v="346"/>
    <x v="2"/>
    <x v="4"/>
    <x v="0"/>
    <n v="1.2"/>
    <x v="5"/>
    <n v="0.71499999999999997"/>
    <m/>
    <n v="4.41"/>
    <n v="29.4"/>
    <x v="1"/>
    <x v="0"/>
    <x v="0"/>
    <x v="1"/>
    <x v="0"/>
    <x v="0"/>
  </r>
  <r>
    <x v="0"/>
    <x v="347"/>
    <x v="3"/>
    <x v="4"/>
    <x v="0"/>
    <n v="1.2"/>
    <x v="5"/>
    <n v="0.71499999999999997"/>
    <m/>
    <n v="4.41"/>
    <n v="29.4"/>
    <x v="1"/>
    <x v="0"/>
    <x v="0"/>
    <x v="1"/>
    <x v="0"/>
    <x v="0"/>
  </r>
  <r>
    <x v="0"/>
    <x v="348"/>
    <x v="4"/>
    <x v="4"/>
    <x v="0"/>
    <n v="1.2"/>
    <x v="5"/>
    <n v="0.71499999999999997"/>
    <m/>
    <n v="4.41"/>
    <n v="29.4"/>
    <x v="1"/>
    <x v="0"/>
    <x v="0"/>
    <x v="1"/>
    <x v="0"/>
    <x v="0"/>
  </r>
  <r>
    <x v="0"/>
    <x v="349"/>
    <x v="0"/>
    <x v="4"/>
    <x v="0"/>
    <n v="1.2"/>
    <x v="5"/>
    <n v="0.77"/>
    <m/>
    <n v="4.41"/>
    <n v="29.4"/>
    <x v="1"/>
    <x v="0"/>
    <x v="0"/>
    <x v="1"/>
    <x v="0"/>
    <x v="0"/>
  </r>
  <r>
    <x v="0"/>
    <x v="350"/>
    <x v="1"/>
    <x v="4"/>
    <x v="0"/>
    <n v="1.2"/>
    <x v="5"/>
    <n v="0.77"/>
    <m/>
    <n v="4.41"/>
    <n v="29.4"/>
    <x v="1"/>
    <x v="0"/>
    <x v="0"/>
    <x v="1"/>
    <x v="0"/>
    <x v="0"/>
  </r>
  <r>
    <x v="0"/>
    <x v="351"/>
    <x v="2"/>
    <x v="4"/>
    <x v="0"/>
    <n v="1.2"/>
    <x v="5"/>
    <n v="0.77"/>
    <m/>
    <n v="4.41"/>
    <n v="29.4"/>
    <x v="1"/>
    <x v="0"/>
    <x v="0"/>
    <x v="1"/>
    <x v="0"/>
    <x v="0"/>
  </r>
  <r>
    <x v="0"/>
    <x v="352"/>
    <x v="3"/>
    <x v="4"/>
    <x v="0"/>
    <n v="1.2"/>
    <x v="5"/>
    <n v="0.77"/>
    <m/>
    <n v="4.41"/>
    <n v="29.4"/>
    <x v="1"/>
    <x v="0"/>
    <x v="0"/>
    <x v="1"/>
    <x v="0"/>
    <x v="0"/>
  </r>
  <r>
    <x v="0"/>
    <x v="353"/>
    <x v="4"/>
    <x v="4"/>
    <x v="0"/>
    <n v="1.2"/>
    <x v="5"/>
    <n v="0.77"/>
    <m/>
    <n v="4.41"/>
    <n v="29.4"/>
    <x v="1"/>
    <x v="0"/>
    <x v="0"/>
    <x v="1"/>
    <x v="0"/>
    <x v="0"/>
  </r>
  <r>
    <x v="0"/>
    <x v="354"/>
    <x v="0"/>
    <x v="4"/>
    <x v="0"/>
    <n v="1.3"/>
    <x v="5"/>
    <n v="0.90230769230769203"/>
    <n v="1.274"/>
    <n v="4.3120000000000003"/>
    <n v="28.713999999999999"/>
    <x v="4"/>
    <x v="1"/>
    <x v="1"/>
    <x v="3"/>
    <x v="0"/>
    <x v="0"/>
  </r>
  <r>
    <x v="0"/>
    <x v="355"/>
    <x v="1"/>
    <x v="4"/>
    <x v="0"/>
    <n v="1.3"/>
    <x v="5"/>
    <n v="0.90230769230769203"/>
    <n v="1.274"/>
    <n v="4.3120000000000003"/>
    <n v="28.713999999999999"/>
    <x v="4"/>
    <x v="1"/>
    <x v="1"/>
    <x v="3"/>
    <x v="0"/>
    <x v="0"/>
  </r>
  <r>
    <x v="0"/>
    <x v="356"/>
    <x v="2"/>
    <x v="4"/>
    <x v="0"/>
    <n v="1.3"/>
    <x v="5"/>
    <n v="0.90230769230769203"/>
    <n v="1.274"/>
    <n v="4.3120000000000003"/>
    <n v="28.713999999999999"/>
    <x v="4"/>
    <x v="1"/>
    <x v="1"/>
    <x v="3"/>
    <x v="0"/>
    <x v="0"/>
  </r>
  <r>
    <x v="0"/>
    <x v="357"/>
    <x v="3"/>
    <x v="4"/>
    <x v="0"/>
    <n v="1.3"/>
    <x v="5"/>
    <n v="0.90230769230769203"/>
    <n v="1.274"/>
    <n v="4.3120000000000003"/>
    <n v="28.713999999999999"/>
    <x v="4"/>
    <x v="1"/>
    <x v="1"/>
    <x v="3"/>
    <x v="0"/>
    <x v="0"/>
  </r>
  <r>
    <x v="0"/>
    <x v="358"/>
    <x v="4"/>
    <x v="4"/>
    <x v="0"/>
    <n v="1.3"/>
    <x v="5"/>
    <n v="0.90230769230769203"/>
    <n v="1.274"/>
    <n v="4.3120000000000003"/>
    <n v="28.713999999999999"/>
    <x v="4"/>
    <x v="1"/>
    <x v="1"/>
    <x v="3"/>
    <x v="0"/>
    <x v="0"/>
  </r>
  <r>
    <x v="0"/>
    <x v="359"/>
    <x v="0"/>
    <x v="4"/>
    <x v="0"/>
    <n v="1.2"/>
    <x v="5"/>
    <n v="0.97166666666666701"/>
    <m/>
    <n v="4.41"/>
    <n v="29.4"/>
    <x v="1"/>
    <x v="0"/>
    <x v="0"/>
    <x v="1"/>
    <x v="0"/>
    <x v="0"/>
  </r>
  <r>
    <x v="0"/>
    <x v="360"/>
    <x v="1"/>
    <x v="4"/>
    <x v="0"/>
    <n v="1.2"/>
    <x v="5"/>
    <n v="0.97166666666666701"/>
    <m/>
    <n v="4.41"/>
    <n v="29.4"/>
    <x v="1"/>
    <x v="0"/>
    <x v="0"/>
    <x v="1"/>
    <x v="0"/>
    <x v="0"/>
  </r>
  <r>
    <x v="0"/>
    <x v="361"/>
    <x v="2"/>
    <x v="4"/>
    <x v="0"/>
    <n v="1.2"/>
    <x v="5"/>
    <n v="0.97166666666666701"/>
    <m/>
    <n v="4.41"/>
    <n v="29.4"/>
    <x v="1"/>
    <x v="0"/>
    <x v="0"/>
    <x v="1"/>
    <x v="0"/>
    <x v="0"/>
  </r>
  <r>
    <x v="0"/>
    <x v="362"/>
    <x v="3"/>
    <x v="4"/>
    <x v="0"/>
    <n v="1.2"/>
    <x v="5"/>
    <n v="0.97166666666666701"/>
    <m/>
    <n v="4.41"/>
    <n v="29.4"/>
    <x v="1"/>
    <x v="0"/>
    <x v="0"/>
    <x v="1"/>
    <x v="0"/>
    <x v="0"/>
  </r>
  <r>
    <x v="0"/>
    <x v="363"/>
    <x v="4"/>
    <x v="4"/>
    <x v="0"/>
    <n v="1.2"/>
    <x v="5"/>
    <n v="0.97166666666666701"/>
    <m/>
    <n v="4.41"/>
    <n v="29.4"/>
    <x v="1"/>
    <x v="0"/>
    <x v="0"/>
    <x v="1"/>
    <x v="0"/>
    <x v="0"/>
  </r>
  <r>
    <x v="0"/>
    <x v="364"/>
    <x v="0"/>
    <x v="4"/>
    <x v="0"/>
    <n v="1.4"/>
    <x v="5"/>
    <n v="0.90857142857142903"/>
    <n v="1.1759999999999999"/>
    <n v="4.1159999999999997"/>
    <n v="27.244"/>
    <x v="5"/>
    <x v="3"/>
    <x v="1"/>
    <x v="3"/>
    <x v="0"/>
    <x v="0"/>
  </r>
  <r>
    <x v="0"/>
    <x v="365"/>
    <x v="1"/>
    <x v="4"/>
    <x v="0"/>
    <n v="1.4"/>
    <x v="5"/>
    <n v="0.90857142857142903"/>
    <n v="1.1759999999999999"/>
    <n v="4.1159999999999997"/>
    <n v="27.244"/>
    <x v="5"/>
    <x v="3"/>
    <x v="1"/>
    <x v="3"/>
    <x v="0"/>
    <x v="0"/>
  </r>
  <r>
    <x v="0"/>
    <x v="366"/>
    <x v="2"/>
    <x v="4"/>
    <x v="0"/>
    <n v="1.4"/>
    <x v="5"/>
    <n v="0.90857142857142903"/>
    <n v="1.1759999999999999"/>
    <n v="4.1159999999999997"/>
    <n v="27.244"/>
    <x v="5"/>
    <x v="3"/>
    <x v="1"/>
    <x v="3"/>
    <x v="0"/>
    <x v="0"/>
  </r>
  <r>
    <x v="0"/>
    <x v="367"/>
    <x v="3"/>
    <x v="4"/>
    <x v="0"/>
    <n v="1.4"/>
    <x v="5"/>
    <n v="0.90857142857142903"/>
    <n v="1.1759999999999999"/>
    <n v="4.1159999999999997"/>
    <n v="27.244"/>
    <x v="5"/>
    <x v="3"/>
    <x v="1"/>
    <x v="3"/>
    <x v="0"/>
    <x v="0"/>
  </r>
  <r>
    <x v="0"/>
    <x v="368"/>
    <x v="4"/>
    <x v="4"/>
    <x v="0"/>
    <n v="1.4"/>
    <x v="5"/>
    <n v="0.90857142857142903"/>
    <n v="1.1759999999999999"/>
    <n v="4.1159999999999997"/>
    <n v="27.244"/>
    <x v="5"/>
    <x v="3"/>
    <x v="1"/>
    <x v="3"/>
    <x v="0"/>
    <x v="0"/>
  </r>
  <r>
    <x v="0"/>
    <x v="369"/>
    <x v="0"/>
    <x v="4"/>
    <x v="0"/>
    <n v="1.2"/>
    <x v="5"/>
    <n v="1.00833333333333"/>
    <m/>
    <n v="4.41"/>
    <n v="29.4"/>
    <x v="1"/>
    <x v="0"/>
    <x v="0"/>
    <x v="1"/>
    <x v="0"/>
    <x v="0"/>
  </r>
  <r>
    <x v="0"/>
    <x v="370"/>
    <x v="1"/>
    <x v="4"/>
    <x v="0"/>
    <n v="1.2"/>
    <x v="5"/>
    <n v="1.00833333333333"/>
    <m/>
    <n v="4.41"/>
    <n v="29.4"/>
    <x v="1"/>
    <x v="0"/>
    <x v="0"/>
    <x v="1"/>
    <x v="0"/>
    <x v="0"/>
  </r>
  <r>
    <x v="0"/>
    <x v="371"/>
    <x v="2"/>
    <x v="4"/>
    <x v="0"/>
    <n v="1.2"/>
    <x v="5"/>
    <n v="1.00833333333333"/>
    <m/>
    <n v="4.41"/>
    <n v="29.4"/>
    <x v="1"/>
    <x v="0"/>
    <x v="0"/>
    <x v="1"/>
    <x v="0"/>
    <x v="0"/>
  </r>
  <r>
    <x v="0"/>
    <x v="372"/>
    <x v="3"/>
    <x v="4"/>
    <x v="0"/>
    <n v="1.2"/>
    <x v="5"/>
    <n v="1.00833333333333"/>
    <m/>
    <n v="4.41"/>
    <n v="29.4"/>
    <x v="1"/>
    <x v="0"/>
    <x v="0"/>
    <x v="1"/>
    <x v="0"/>
    <x v="0"/>
  </r>
  <r>
    <x v="0"/>
    <x v="373"/>
    <x v="4"/>
    <x v="4"/>
    <x v="0"/>
    <n v="1.2"/>
    <x v="5"/>
    <n v="1.00833333333333"/>
    <m/>
    <n v="4.41"/>
    <n v="29.4"/>
    <x v="1"/>
    <x v="0"/>
    <x v="0"/>
    <x v="1"/>
    <x v="0"/>
    <x v="0"/>
  </r>
  <r>
    <x v="0"/>
    <x v="374"/>
    <x v="0"/>
    <x v="4"/>
    <x v="0"/>
    <n v="1.55"/>
    <x v="5"/>
    <n v="0.90483870967741897"/>
    <n v="1.0780000000000001"/>
    <n v="3.92"/>
    <n v="25.48"/>
    <x v="7"/>
    <x v="4"/>
    <x v="1"/>
    <x v="3"/>
    <x v="0"/>
    <x v="0"/>
  </r>
  <r>
    <x v="0"/>
    <x v="375"/>
    <x v="1"/>
    <x v="4"/>
    <x v="0"/>
    <n v="1.55"/>
    <x v="5"/>
    <n v="0.90483870967741897"/>
    <n v="1.0780000000000001"/>
    <n v="3.92"/>
    <n v="25.48"/>
    <x v="7"/>
    <x v="4"/>
    <x v="1"/>
    <x v="3"/>
    <x v="0"/>
    <x v="0"/>
  </r>
  <r>
    <x v="0"/>
    <x v="376"/>
    <x v="2"/>
    <x v="4"/>
    <x v="0"/>
    <n v="1.55"/>
    <x v="5"/>
    <n v="0.90483870967741897"/>
    <n v="1.0780000000000001"/>
    <n v="3.92"/>
    <n v="25.48"/>
    <x v="7"/>
    <x v="4"/>
    <x v="1"/>
    <x v="3"/>
    <x v="0"/>
    <x v="0"/>
  </r>
  <r>
    <x v="0"/>
    <x v="377"/>
    <x v="3"/>
    <x v="4"/>
    <x v="0"/>
    <n v="1.55"/>
    <x v="5"/>
    <n v="0.90483870967741897"/>
    <n v="1.0780000000000001"/>
    <n v="3.92"/>
    <n v="25.48"/>
    <x v="7"/>
    <x v="4"/>
    <x v="1"/>
    <x v="3"/>
    <x v="0"/>
    <x v="0"/>
  </r>
  <r>
    <x v="0"/>
    <x v="378"/>
    <x v="4"/>
    <x v="4"/>
    <x v="0"/>
    <n v="1.55"/>
    <x v="5"/>
    <n v="0.90483870967741897"/>
    <n v="1.0780000000000001"/>
    <n v="3.92"/>
    <n v="25.48"/>
    <x v="7"/>
    <x v="4"/>
    <x v="1"/>
    <x v="3"/>
    <x v="0"/>
    <x v="0"/>
  </r>
  <r>
    <x v="0"/>
    <x v="379"/>
    <x v="0"/>
    <x v="4"/>
    <x v="0"/>
    <n v="1.2"/>
    <x v="5"/>
    <n v="1.0449999999999999"/>
    <m/>
    <n v="4.41"/>
    <n v="29.4"/>
    <x v="1"/>
    <x v="0"/>
    <x v="0"/>
    <x v="1"/>
    <x v="0"/>
    <x v="0"/>
  </r>
  <r>
    <x v="0"/>
    <x v="380"/>
    <x v="1"/>
    <x v="4"/>
    <x v="0"/>
    <n v="1.2"/>
    <x v="5"/>
    <n v="1.0449999999999999"/>
    <m/>
    <n v="4.41"/>
    <n v="29.4"/>
    <x v="1"/>
    <x v="0"/>
    <x v="0"/>
    <x v="1"/>
    <x v="0"/>
    <x v="0"/>
  </r>
  <r>
    <x v="0"/>
    <x v="381"/>
    <x v="2"/>
    <x v="4"/>
    <x v="0"/>
    <n v="1.2"/>
    <x v="5"/>
    <n v="1.0449999999999999"/>
    <m/>
    <n v="4.41"/>
    <n v="29.4"/>
    <x v="1"/>
    <x v="0"/>
    <x v="0"/>
    <x v="1"/>
    <x v="0"/>
    <x v="0"/>
  </r>
  <r>
    <x v="0"/>
    <x v="382"/>
    <x v="3"/>
    <x v="4"/>
    <x v="0"/>
    <n v="1.2"/>
    <x v="5"/>
    <n v="1.0449999999999999"/>
    <m/>
    <n v="4.41"/>
    <n v="29.4"/>
    <x v="1"/>
    <x v="0"/>
    <x v="0"/>
    <x v="1"/>
    <x v="0"/>
    <x v="0"/>
  </r>
  <r>
    <x v="0"/>
    <x v="383"/>
    <x v="4"/>
    <x v="4"/>
    <x v="0"/>
    <n v="1.2"/>
    <x v="5"/>
    <n v="1.0449999999999999"/>
    <m/>
    <n v="4.41"/>
    <n v="29.4"/>
    <x v="1"/>
    <x v="0"/>
    <x v="0"/>
    <x v="1"/>
    <x v="0"/>
    <x v="0"/>
  </r>
  <r>
    <x v="0"/>
    <x v="384"/>
    <x v="0"/>
    <x v="1"/>
    <x v="1"/>
    <m/>
    <x v="2"/>
    <n v="0.38"/>
    <m/>
    <m/>
    <m/>
    <x v="1"/>
    <x v="0"/>
    <x v="0"/>
    <x v="1"/>
    <x v="0"/>
    <x v="0"/>
  </r>
  <r>
    <x v="0"/>
    <x v="385"/>
    <x v="1"/>
    <x v="1"/>
    <x v="1"/>
    <m/>
    <x v="2"/>
    <n v="0.38"/>
    <m/>
    <m/>
    <m/>
    <x v="1"/>
    <x v="0"/>
    <x v="0"/>
    <x v="1"/>
    <x v="0"/>
    <x v="0"/>
  </r>
  <r>
    <x v="0"/>
    <x v="386"/>
    <x v="2"/>
    <x v="1"/>
    <x v="1"/>
    <m/>
    <x v="2"/>
    <n v="0.38"/>
    <m/>
    <m/>
    <m/>
    <x v="1"/>
    <x v="0"/>
    <x v="0"/>
    <x v="1"/>
    <x v="0"/>
    <x v="0"/>
  </r>
  <r>
    <x v="0"/>
    <x v="387"/>
    <x v="3"/>
    <x v="1"/>
    <x v="1"/>
    <m/>
    <x v="2"/>
    <n v="0.38"/>
    <m/>
    <m/>
    <m/>
    <x v="1"/>
    <x v="0"/>
    <x v="0"/>
    <x v="1"/>
    <x v="0"/>
    <x v="0"/>
  </r>
  <r>
    <x v="0"/>
    <x v="388"/>
    <x v="4"/>
    <x v="1"/>
    <x v="1"/>
    <m/>
    <x v="2"/>
    <n v="0.38"/>
    <m/>
    <m/>
    <m/>
    <x v="1"/>
    <x v="0"/>
    <x v="0"/>
    <x v="1"/>
    <x v="0"/>
    <x v="0"/>
  </r>
  <r>
    <x v="0"/>
    <x v="389"/>
    <x v="0"/>
    <x v="1"/>
    <x v="1"/>
    <m/>
    <x v="2"/>
    <n v="0.42"/>
    <m/>
    <n v="4.41"/>
    <n v="29.4"/>
    <x v="1"/>
    <x v="0"/>
    <x v="0"/>
    <x v="1"/>
    <x v="0"/>
    <x v="0"/>
  </r>
  <r>
    <x v="0"/>
    <x v="390"/>
    <x v="1"/>
    <x v="1"/>
    <x v="1"/>
    <m/>
    <x v="2"/>
    <n v="0.42"/>
    <m/>
    <n v="4.41"/>
    <n v="29.4"/>
    <x v="1"/>
    <x v="0"/>
    <x v="0"/>
    <x v="1"/>
    <x v="0"/>
    <x v="0"/>
  </r>
  <r>
    <x v="0"/>
    <x v="391"/>
    <x v="2"/>
    <x v="1"/>
    <x v="1"/>
    <m/>
    <x v="2"/>
    <n v="0.42"/>
    <m/>
    <n v="4.41"/>
    <n v="29.4"/>
    <x v="1"/>
    <x v="0"/>
    <x v="0"/>
    <x v="1"/>
    <x v="0"/>
    <x v="0"/>
  </r>
  <r>
    <x v="0"/>
    <x v="392"/>
    <x v="3"/>
    <x v="1"/>
    <x v="1"/>
    <m/>
    <x v="2"/>
    <n v="0.42"/>
    <m/>
    <n v="4.41"/>
    <n v="29.4"/>
    <x v="1"/>
    <x v="0"/>
    <x v="0"/>
    <x v="1"/>
    <x v="0"/>
    <x v="0"/>
  </r>
  <r>
    <x v="0"/>
    <x v="393"/>
    <x v="4"/>
    <x v="1"/>
    <x v="1"/>
    <m/>
    <x v="2"/>
    <n v="0.42"/>
    <m/>
    <n v="4.41"/>
    <n v="29.4"/>
    <x v="1"/>
    <x v="0"/>
    <x v="0"/>
    <x v="1"/>
    <x v="0"/>
    <x v="0"/>
  </r>
  <r>
    <x v="0"/>
    <x v="394"/>
    <x v="0"/>
    <x v="1"/>
    <x v="1"/>
    <m/>
    <x v="2"/>
    <n v="0.43"/>
    <m/>
    <n v="4.41"/>
    <n v="29.4"/>
    <x v="1"/>
    <x v="0"/>
    <x v="0"/>
    <x v="1"/>
    <x v="0"/>
    <x v="0"/>
  </r>
  <r>
    <x v="0"/>
    <x v="395"/>
    <x v="1"/>
    <x v="1"/>
    <x v="1"/>
    <m/>
    <x v="2"/>
    <n v="0.43"/>
    <m/>
    <n v="4.41"/>
    <n v="29.4"/>
    <x v="1"/>
    <x v="0"/>
    <x v="0"/>
    <x v="1"/>
    <x v="0"/>
    <x v="0"/>
  </r>
  <r>
    <x v="0"/>
    <x v="396"/>
    <x v="2"/>
    <x v="1"/>
    <x v="1"/>
    <m/>
    <x v="2"/>
    <n v="0.43"/>
    <m/>
    <n v="4.41"/>
    <n v="29.4"/>
    <x v="1"/>
    <x v="0"/>
    <x v="0"/>
    <x v="1"/>
    <x v="0"/>
    <x v="0"/>
  </r>
  <r>
    <x v="0"/>
    <x v="397"/>
    <x v="3"/>
    <x v="1"/>
    <x v="1"/>
    <m/>
    <x v="2"/>
    <n v="0.43"/>
    <m/>
    <n v="4.41"/>
    <n v="29.4"/>
    <x v="1"/>
    <x v="0"/>
    <x v="0"/>
    <x v="1"/>
    <x v="0"/>
    <x v="0"/>
  </r>
  <r>
    <x v="0"/>
    <x v="398"/>
    <x v="4"/>
    <x v="1"/>
    <x v="1"/>
    <m/>
    <x v="2"/>
    <n v="0.43"/>
    <m/>
    <n v="4.41"/>
    <n v="29.4"/>
    <x v="1"/>
    <x v="0"/>
    <x v="0"/>
    <x v="1"/>
    <x v="0"/>
    <x v="0"/>
  </r>
  <r>
    <x v="0"/>
    <x v="399"/>
    <x v="0"/>
    <x v="1"/>
    <x v="1"/>
    <m/>
    <x v="2"/>
    <n v="0.47"/>
    <m/>
    <m/>
    <m/>
    <x v="1"/>
    <x v="0"/>
    <x v="0"/>
    <x v="1"/>
    <x v="0"/>
    <x v="0"/>
  </r>
  <r>
    <x v="0"/>
    <x v="400"/>
    <x v="1"/>
    <x v="1"/>
    <x v="1"/>
    <m/>
    <x v="2"/>
    <n v="0.47"/>
    <m/>
    <m/>
    <m/>
    <x v="1"/>
    <x v="0"/>
    <x v="0"/>
    <x v="1"/>
    <x v="0"/>
    <x v="0"/>
  </r>
  <r>
    <x v="0"/>
    <x v="401"/>
    <x v="2"/>
    <x v="1"/>
    <x v="1"/>
    <m/>
    <x v="2"/>
    <n v="0.47"/>
    <m/>
    <m/>
    <m/>
    <x v="1"/>
    <x v="0"/>
    <x v="0"/>
    <x v="1"/>
    <x v="0"/>
    <x v="0"/>
  </r>
  <r>
    <x v="0"/>
    <x v="402"/>
    <x v="3"/>
    <x v="1"/>
    <x v="1"/>
    <m/>
    <x v="2"/>
    <n v="0.47"/>
    <m/>
    <m/>
    <m/>
    <x v="1"/>
    <x v="0"/>
    <x v="0"/>
    <x v="1"/>
    <x v="0"/>
    <x v="0"/>
  </r>
  <r>
    <x v="0"/>
    <x v="403"/>
    <x v="4"/>
    <x v="1"/>
    <x v="1"/>
    <m/>
    <x v="2"/>
    <n v="0.47"/>
    <m/>
    <m/>
    <m/>
    <x v="1"/>
    <x v="0"/>
    <x v="0"/>
    <x v="1"/>
    <x v="0"/>
    <x v="0"/>
  </r>
  <r>
    <x v="0"/>
    <x v="404"/>
    <x v="0"/>
    <x v="1"/>
    <x v="1"/>
    <m/>
    <x v="2"/>
    <n v="0.51"/>
    <m/>
    <n v="4.41"/>
    <n v="29.4"/>
    <x v="1"/>
    <x v="0"/>
    <x v="0"/>
    <x v="1"/>
    <x v="0"/>
    <x v="0"/>
  </r>
  <r>
    <x v="0"/>
    <x v="405"/>
    <x v="1"/>
    <x v="1"/>
    <x v="1"/>
    <m/>
    <x v="2"/>
    <n v="0.51"/>
    <m/>
    <n v="4.41"/>
    <n v="29.4"/>
    <x v="1"/>
    <x v="0"/>
    <x v="0"/>
    <x v="1"/>
    <x v="0"/>
    <x v="0"/>
  </r>
  <r>
    <x v="0"/>
    <x v="406"/>
    <x v="2"/>
    <x v="1"/>
    <x v="1"/>
    <m/>
    <x v="2"/>
    <n v="0.51"/>
    <m/>
    <n v="4.41"/>
    <n v="29.4"/>
    <x v="1"/>
    <x v="0"/>
    <x v="0"/>
    <x v="1"/>
    <x v="0"/>
    <x v="0"/>
  </r>
  <r>
    <x v="0"/>
    <x v="407"/>
    <x v="3"/>
    <x v="1"/>
    <x v="1"/>
    <m/>
    <x v="2"/>
    <n v="0.51"/>
    <m/>
    <n v="4.41"/>
    <n v="29.4"/>
    <x v="1"/>
    <x v="0"/>
    <x v="0"/>
    <x v="1"/>
    <x v="0"/>
    <x v="0"/>
  </r>
  <r>
    <x v="0"/>
    <x v="408"/>
    <x v="4"/>
    <x v="1"/>
    <x v="1"/>
    <m/>
    <x v="2"/>
    <n v="0.51"/>
    <m/>
    <n v="4.41"/>
    <n v="29.4"/>
    <x v="1"/>
    <x v="0"/>
    <x v="0"/>
    <x v="1"/>
    <x v="0"/>
    <x v="0"/>
  </r>
  <r>
    <x v="0"/>
    <x v="409"/>
    <x v="0"/>
    <x v="1"/>
    <x v="1"/>
    <m/>
    <x v="2"/>
    <n v="0.51"/>
    <n v="1.274"/>
    <n v="4.3120000000000003"/>
    <n v="28.713999999999999"/>
    <x v="4"/>
    <x v="1"/>
    <x v="1"/>
    <x v="3"/>
    <x v="0"/>
    <x v="0"/>
  </r>
  <r>
    <x v="0"/>
    <x v="410"/>
    <x v="1"/>
    <x v="1"/>
    <x v="1"/>
    <m/>
    <x v="2"/>
    <n v="0.51"/>
    <n v="1.274"/>
    <n v="4.3120000000000003"/>
    <n v="28.713999999999999"/>
    <x v="4"/>
    <x v="1"/>
    <x v="1"/>
    <x v="3"/>
    <x v="0"/>
    <x v="0"/>
  </r>
  <r>
    <x v="0"/>
    <x v="411"/>
    <x v="2"/>
    <x v="1"/>
    <x v="1"/>
    <m/>
    <x v="2"/>
    <n v="0.51"/>
    <n v="1.274"/>
    <n v="4.3120000000000003"/>
    <n v="28.713999999999999"/>
    <x v="4"/>
    <x v="1"/>
    <x v="1"/>
    <x v="3"/>
    <x v="0"/>
    <x v="0"/>
  </r>
  <r>
    <x v="0"/>
    <x v="412"/>
    <x v="3"/>
    <x v="1"/>
    <x v="1"/>
    <m/>
    <x v="2"/>
    <n v="0.51"/>
    <n v="1.274"/>
    <n v="4.3120000000000003"/>
    <n v="28.713999999999999"/>
    <x v="4"/>
    <x v="1"/>
    <x v="1"/>
    <x v="3"/>
    <x v="0"/>
    <x v="0"/>
  </r>
  <r>
    <x v="0"/>
    <x v="413"/>
    <x v="4"/>
    <x v="1"/>
    <x v="1"/>
    <m/>
    <x v="2"/>
    <n v="0.51"/>
    <n v="1.274"/>
    <n v="4.3120000000000003"/>
    <n v="28.713999999999999"/>
    <x v="4"/>
    <x v="1"/>
    <x v="1"/>
    <x v="3"/>
    <x v="0"/>
    <x v="0"/>
  </r>
  <r>
    <x v="0"/>
    <x v="414"/>
    <x v="0"/>
    <x v="1"/>
    <x v="1"/>
    <m/>
    <x v="2"/>
    <n v="0.52"/>
    <m/>
    <m/>
    <m/>
    <x v="1"/>
    <x v="0"/>
    <x v="0"/>
    <x v="1"/>
    <x v="0"/>
    <x v="0"/>
  </r>
  <r>
    <x v="0"/>
    <x v="415"/>
    <x v="1"/>
    <x v="1"/>
    <x v="1"/>
    <m/>
    <x v="2"/>
    <n v="0.52"/>
    <m/>
    <m/>
    <m/>
    <x v="1"/>
    <x v="0"/>
    <x v="0"/>
    <x v="1"/>
    <x v="0"/>
    <x v="0"/>
  </r>
  <r>
    <x v="0"/>
    <x v="416"/>
    <x v="2"/>
    <x v="1"/>
    <x v="1"/>
    <m/>
    <x v="2"/>
    <n v="0.52"/>
    <m/>
    <m/>
    <m/>
    <x v="1"/>
    <x v="0"/>
    <x v="0"/>
    <x v="1"/>
    <x v="0"/>
    <x v="0"/>
  </r>
  <r>
    <x v="0"/>
    <x v="417"/>
    <x v="3"/>
    <x v="1"/>
    <x v="1"/>
    <m/>
    <x v="2"/>
    <n v="0.52"/>
    <m/>
    <m/>
    <m/>
    <x v="1"/>
    <x v="0"/>
    <x v="0"/>
    <x v="1"/>
    <x v="0"/>
    <x v="0"/>
  </r>
  <r>
    <x v="0"/>
    <x v="418"/>
    <x v="4"/>
    <x v="1"/>
    <x v="1"/>
    <m/>
    <x v="2"/>
    <n v="0.52"/>
    <m/>
    <m/>
    <m/>
    <x v="1"/>
    <x v="0"/>
    <x v="0"/>
    <x v="1"/>
    <x v="0"/>
    <x v="0"/>
  </r>
  <r>
    <x v="0"/>
    <x v="419"/>
    <x v="0"/>
    <x v="1"/>
    <x v="1"/>
    <m/>
    <x v="2"/>
    <n v="0.53"/>
    <n v="1.1759999999999999"/>
    <n v="4.1159999999999997"/>
    <n v="27.244"/>
    <x v="5"/>
    <x v="3"/>
    <x v="1"/>
    <x v="3"/>
    <x v="0"/>
    <x v="0"/>
  </r>
  <r>
    <x v="0"/>
    <x v="420"/>
    <x v="1"/>
    <x v="1"/>
    <x v="1"/>
    <m/>
    <x v="2"/>
    <n v="0.53"/>
    <n v="1.1759999999999999"/>
    <n v="4.1159999999999997"/>
    <n v="27.244"/>
    <x v="5"/>
    <x v="3"/>
    <x v="1"/>
    <x v="3"/>
    <x v="0"/>
    <x v="0"/>
  </r>
  <r>
    <x v="0"/>
    <x v="421"/>
    <x v="2"/>
    <x v="1"/>
    <x v="1"/>
    <m/>
    <x v="2"/>
    <n v="0.53"/>
    <n v="1.1759999999999999"/>
    <n v="4.1159999999999997"/>
    <n v="27.244"/>
    <x v="5"/>
    <x v="3"/>
    <x v="1"/>
    <x v="3"/>
    <x v="0"/>
    <x v="0"/>
  </r>
  <r>
    <x v="0"/>
    <x v="422"/>
    <x v="3"/>
    <x v="1"/>
    <x v="1"/>
    <m/>
    <x v="2"/>
    <n v="0.53"/>
    <n v="1.1759999999999999"/>
    <n v="4.1159999999999997"/>
    <n v="27.244"/>
    <x v="5"/>
    <x v="3"/>
    <x v="1"/>
    <x v="3"/>
    <x v="0"/>
    <x v="0"/>
  </r>
  <r>
    <x v="0"/>
    <x v="423"/>
    <x v="4"/>
    <x v="1"/>
    <x v="1"/>
    <m/>
    <x v="2"/>
    <n v="0.53"/>
    <n v="1.1759999999999999"/>
    <n v="4.1159999999999997"/>
    <n v="27.244"/>
    <x v="5"/>
    <x v="3"/>
    <x v="1"/>
    <x v="3"/>
    <x v="0"/>
    <x v="0"/>
  </r>
  <r>
    <x v="0"/>
    <x v="424"/>
    <x v="0"/>
    <x v="1"/>
    <x v="1"/>
    <m/>
    <x v="2"/>
    <n v="0.55000000000000004"/>
    <n v="1.0780000000000001"/>
    <n v="3.92"/>
    <n v="25.48"/>
    <x v="7"/>
    <x v="4"/>
    <x v="1"/>
    <x v="3"/>
    <x v="0"/>
    <x v="0"/>
  </r>
  <r>
    <x v="0"/>
    <x v="425"/>
    <x v="1"/>
    <x v="1"/>
    <x v="1"/>
    <m/>
    <x v="2"/>
    <n v="0.55000000000000004"/>
    <n v="1.0780000000000001"/>
    <n v="3.92"/>
    <n v="25.48"/>
    <x v="7"/>
    <x v="4"/>
    <x v="1"/>
    <x v="3"/>
    <x v="0"/>
    <x v="0"/>
  </r>
  <r>
    <x v="0"/>
    <x v="426"/>
    <x v="2"/>
    <x v="1"/>
    <x v="1"/>
    <m/>
    <x v="2"/>
    <n v="0.55000000000000004"/>
    <n v="1.0780000000000001"/>
    <n v="3.92"/>
    <n v="25.48"/>
    <x v="7"/>
    <x v="4"/>
    <x v="1"/>
    <x v="3"/>
    <x v="0"/>
    <x v="0"/>
  </r>
  <r>
    <x v="0"/>
    <x v="427"/>
    <x v="3"/>
    <x v="1"/>
    <x v="1"/>
    <m/>
    <x v="2"/>
    <n v="0.55000000000000004"/>
    <n v="1.0780000000000001"/>
    <n v="3.92"/>
    <n v="25.48"/>
    <x v="7"/>
    <x v="4"/>
    <x v="1"/>
    <x v="3"/>
    <x v="0"/>
    <x v="0"/>
  </r>
  <r>
    <x v="0"/>
    <x v="428"/>
    <x v="4"/>
    <x v="1"/>
    <x v="1"/>
    <m/>
    <x v="2"/>
    <n v="0.55000000000000004"/>
    <n v="1.0780000000000001"/>
    <n v="3.92"/>
    <n v="25.48"/>
    <x v="7"/>
    <x v="4"/>
    <x v="1"/>
    <x v="3"/>
    <x v="0"/>
    <x v="0"/>
  </r>
  <r>
    <x v="0"/>
    <x v="429"/>
    <x v="0"/>
    <x v="1"/>
    <x v="1"/>
    <m/>
    <x v="2"/>
    <n v="0.56000000000000005"/>
    <m/>
    <m/>
    <m/>
    <x v="1"/>
    <x v="0"/>
    <x v="0"/>
    <x v="1"/>
    <x v="0"/>
    <x v="0"/>
  </r>
  <r>
    <x v="0"/>
    <x v="430"/>
    <x v="1"/>
    <x v="1"/>
    <x v="1"/>
    <m/>
    <x v="2"/>
    <n v="0.56000000000000005"/>
    <m/>
    <m/>
    <m/>
    <x v="1"/>
    <x v="0"/>
    <x v="0"/>
    <x v="1"/>
    <x v="0"/>
    <x v="0"/>
  </r>
  <r>
    <x v="0"/>
    <x v="431"/>
    <x v="2"/>
    <x v="1"/>
    <x v="1"/>
    <m/>
    <x v="2"/>
    <n v="0.56000000000000005"/>
    <m/>
    <m/>
    <m/>
    <x v="1"/>
    <x v="0"/>
    <x v="0"/>
    <x v="1"/>
    <x v="0"/>
    <x v="0"/>
  </r>
  <r>
    <x v="0"/>
    <x v="432"/>
    <x v="3"/>
    <x v="1"/>
    <x v="1"/>
    <m/>
    <x v="2"/>
    <n v="0.56000000000000005"/>
    <m/>
    <m/>
    <m/>
    <x v="1"/>
    <x v="0"/>
    <x v="0"/>
    <x v="1"/>
    <x v="0"/>
    <x v="0"/>
  </r>
  <r>
    <x v="0"/>
    <x v="433"/>
    <x v="4"/>
    <x v="1"/>
    <x v="1"/>
    <m/>
    <x v="2"/>
    <n v="0.56000000000000005"/>
    <m/>
    <m/>
    <m/>
    <x v="1"/>
    <x v="0"/>
    <x v="0"/>
    <x v="1"/>
    <x v="0"/>
    <x v="0"/>
  </r>
  <r>
    <x v="0"/>
    <x v="434"/>
    <x v="0"/>
    <x v="1"/>
    <x v="1"/>
    <m/>
    <x v="2"/>
    <n v="0.56999999999999995"/>
    <m/>
    <n v="4.41"/>
    <n v="29.4"/>
    <x v="1"/>
    <x v="0"/>
    <x v="0"/>
    <x v="1"/>
    <x v="0"/>
    <x v="0"/>
  </r>
  <r>
    <x v="0"/>
    <x v="435"/>
    <x v="1"/>
    <x v="1"/>
    <x v="1"/>
    <m/>
    <x v="2"/>
    <n v="0.56999999999999995"/>
    <m/>
    <n v="4.41"/>
    <n v="29.4"/>
    <x v="1"/>
    <x v="0"/>
    <x v="0"/>
    <x v="1"/>
    <x v="0"/>
    <x v="0"/>
  </r>
  <r>
    <x v="0"/>
    <x v="436"/>
    <x v="2"/>
    <x v="1"/>
    <x v="1"/>
    <m/>
    <x v="2"/>
    <n v="0.56999999999999995"/>
    <m/>
    <n v="4.41"/>
    <n v="29.4"/>
    <x v="1"/>
    <x v="0"/>
    <x v="0"/>
    <x v="1"/>
    <x v="0"/>
    <x v="0"/>
  </r>
  <r>
    <x v="0"/>
    <x v="437"/>
    <x v="3"/>
    <x v="1"/>
    <x v="1"/>
    <m/>
    <x v="2"/>
    <n v="0.56999999999999995"/>
    <m/>
    <n v="4.41"/>
    <n v="29.4"/>
    <x v="1"/>
    <x v="0"/>
    <x v="0"/>
    <x v="1"/>
    <x v="0"/>
    <x v="0"/>
  </r>
  <r>
    <x v="0"/>
    <x v="438"/>
    <x v="4"/>
    <x v="1"/>
    <x v="1"/>
    <m/>
    <x v="2"/>
    <n v="0.56999999999999995"/>
    <m/>
    <n v="4.41"/>
    <n v="29.4"/>
    <x v="1"/>
    <x v="0"/>
    <x v="0"/>
    <x v="1"/>
    <x v="0"/>
    <x v="0"/>
  </r>
  <r>
    <x v="0"/>
    <x v="439"/>
    <x v="0"/>
    <x v="1"/>
    <x v="1"/>
    <m/>
    <x v="2"/>
    <n v="0.57999999999999996"/>
    <n v="0.38400000000000001"/>
    <n v="1.097"/>
    <n v="9.6405349999999999"/>
    <x v="7"/>
    <x v="0"/>
    <x v="1"/>
    <x v="2"/>
    <x v="0"/>
    <x v="0"/>
  </r>
  <r>
    <x v="0"/>
    <x v="440"/>
    <x v="1"/>
    <x v="1"/>
    <x v="1"/>
    <m/>
    <x v="2"/>
    <n v="0.57999999999999996"/>
    <n v="0.38400000000000001"/>
    <n v="1.097"/>
    <n v="9.6405349999999999"/>
    <x v="7"/>
    <x v="0"/>
    <x v="1"/>
    <x v="2"/>
    <x v="0"/>
    <x v="0"/>
  </r>
  <r>
    <x v="0"/>
    <x v="441"/>
    <x v="2"/>
    <x v="1"/>
    <x v="1"/>
    <m/>
    <x v="2"/>
    <n v="0.57999999999999996"/>
    <n v="0.38400000000000001"/>
    <n v="1.097"/>
    <n v="9.6405349999999999"/>
    <x v="7"/>
    <x v="0"/>
    <x v="1"/>
    <x v="2"/>
    <x v="0"/>
    <x v="0"/>
  </r>
  <r>
    <x v="0"/>
    <x v="442"/>
    <x v="3"/>
    <x v="1"/>
    <x v="1"/>
    <m/>
    <x v="2"/>
    <n v="0.57999999999999996"/>
    <n v="0.38400000000000001"/>
    <n v="1.097"/>
    <n v="9.6405349999999999"/>
    <x v="7"/>
    <x v="0"/>
    <x v="1"/>
    <x v="2"/>
    <x v="0"/>
    <x v="0"/>
  </r>
  <r>
    <x v="0"/>
    <x v="443"/>
    <x v="4"/>
    <x v="1"/>
    <x v="1"/>
    <m/>
    <x v="2"/>
    <n v="0.57999999999999996"/>
    <n v="0.38400000000000001"/>
    <n v="1.097"/>
    <n v="9.6405349999999999"/>
    <x v="7"/>
    <x v="0"/>
    <x v="1"/>
    <x v="2"/>
    <x v="0"/>
    <x v="0"/>
  </r>
  <r>
    <x v="0"/>
    <x v="444"/>
    <x v="0"/>
    <x v="1"/>
    <x v="1"/>
    <m/>
    <x v="2"/>
    <n v="0.59"/>
    <n v="0.86240000000000006"/>
    <n v="4.3120000000000003"/>
    <n v="28.713999999999999"/>
    <x v="4"/>
    <x v="1"/>
    <x v="1"/>
    <x v="3"/>
    <x v="0"/>
    <x v="0"/>
  </r>
  <r>
    <x v="0"/>
    <x v="445"/>
    <x v="1"/>
    <x v="1"/>
    <x v="1"/>
    <m/>
    <x v="2"/>
    <n v="0.59"/>
    <n v="0.86240000000000006"/>
    <n v="4.3120000000000003"/>
    <n v="28.713999999999999"/>
    <x v="4"/>
    <x v="1"/>
    <x v="1"/>
    <x v="3"/>
    <x v="0"/>
    <x v="0"/>
  </r>
  <r>
    <x v="0"/>
    <x v="446"/>
    <x v="2"/>
    <x v="1"/>
    <x v="1"/>
    <m/>
    <x v="2"/>
    <n v="0.59"/>
    <n v="0.86240000000000006"/>
    <n v="4.3120000000000003"/>
    <n v="28.713999999999999"/>
    <x v="4"/>
    <x v="1"/>
    <x v="1"/>
    <x v="3"/>
    <x v="0"/>
    <x v="0"/>
  </r>
  <r>
    <x v="0"/>
    <x v="447"/>
    <x v="3"/>
    <x v="1"/>
    <x v="1"/>
    <m/>
    <x v="2"/>
    <n v="0.59"/>
    <n v="0.86240000000000006"/>
    <n v="4.3120000000000003"/>
    <n v="28.713999999999999"/>
    <x v="4"/>
    <x v="1"/>
    <x v="1"/>
    <x v="3"/>
    <x v="0"/>
    <x v="0"/>
  </r>
  <r>
    <x v="0"/>
    <x v="448"/>
    <x v="4"/>
    <x v="1"/>
    <x v="1"/>
    <m/>
    <x v="2"/>
    <n v="0.59"/>
    <n v="0.86240000000000006"/>
    <n v="4.3120000000000003"/>
    <n v="28.713999999999999"/>
    <x v="4"/>
    <x v="1"/>
    <x v="1"/>
    <x v="3"/>
    <x v="0"/>
    <x v="0"/>
  </r>
  <r>
    <x v="0"/>
    <x v="449"/>
    <x v="0"/>
    <x v="1"/>
    <x v="1"/>
    <m/>
    <x v="2"/>
    <n v="0.61"/>
    <n v="0.81340000000000001"/>
    <n v="4.1159999999999997"/>
    <n v="27.244"/>
    <x v="5"/>
    <x v="3"/>
    <x v="1"/>
    <x v="3"/>
    <x v="0"/>
    <x v="0"/>
  </r>
  <r>
    <x v="0"/>
    <x v="450"/>
    <x v="1"/>
    <x v="1"/>
    <x v="1"/>
    <m/>
    <x v="2"/>
    <n v="0.61"/>
    <n v="0.81340000000000001"/>
    <n v="4.1159999999999997"/>
    <n v="27.244"/>
    <x v="5"/>
    <x v="3"/>
    <x v="1"/>
    <x v="3"/>
    <x v="0"/>
    <x v="0"/>
  </r>
  <r>
    <x v="0"/>
    <x v="451"/>
    <x v="2"/>
    <x v="1"/>
    <x v="1"/>
    <m/>
    <x v="2"/>
    <n v="0.61"/>
    <n v="0.81340000000000001"/>
    <n v="4.1159999999999997"/>
    <n v="27.244"/>
    <x v="5"/>
    <x v="3"/>
    <x v="1"/>
    <x v="3"/>
    <x v="0"/>
    <x v="0"/>
  </r>
  <r>
    <x v="0"/>
    <x v="452"/>
    <x v="3"/>
    <x v="1"/>
    <x v="1"/>
    <m/>
    <x v="2"/>
    <n v="0.61"/>
    <n v="0.81340000000000001"/>
    <n v="4.1159999999999997"/>
    <n v="27.244"/>
    <x v="5"/>
    <x v="3"/>
    <x v="1"/>
    <x v="3"/>
    <x v="0"/>
    <x v="0"/>
  </r>
  <r>
    <x v="0"/>
    <x v="453"/>
    <x v="4"/>
    <x v="1"/>
    <x v="1"/>
    <m/>
    <x v="2"/>
    <n v="0.61"/>
    <n v="0.81340000000000001"/>
    <n v="4.1159999999999997"/>
    <n v="27.244"/>
    <x v="5"/>
    <x v="3"/>
    <x v="1"/>
    <x v="3"/>
    <x v="0"/>
    <x v="0"/>
  </r>
  <r>
    <x v="0"/>
    <x v="454"/>
    <x v="0"/>
    <x v="1"/>
    <x v="1"/>
    <m/>
    <x v="2"/>
    <n v="0.63"/>
    <n v="0.78400000000000003"/>
    <n v="3.92"/>
    <n v="25.48"/>
    <x v="7"/>
    <x v="4"/>
    <x v="1"/>
    <x v="3"/>
    <x v="0"/>
    <x v="0"/>
  </r>
  <r>
    <x v="0"/>
    <x v="455"/>
    <x v="1"/>
    <x v="1"/>
    <x v="1"/>
    <m/>
    <x v="2"/>
    <n v="0.63"/>
    <n v="0.78400000000000003"/>
    <n v="3.92"/>
    <n v="25.48"/>
    <x v="7"/>
    <x v="4"/>
    <x v="1"/>
    <x v="3"/>
    <x v="0"/>
    <x v="0"/>
  </r>
  <r>
    <x v="0"/>
    <x v="456"/>
    <x v="2"/>
    <x v="1"/>
    <x v="1"/>
    <m/>
    <x v="2"/>
    <n v="0.63"/>
    <n v="0.78400000000000003"/>
    <n v="3.92"/>
    <n v="25.48"/>
    <x v="7"/>
    <x v="4"/>
    <x v="1"/>
    <x v="3"/>
    <x v="0"/>
    <x v="0"/>
  </r>
  <r>
    <x v="0"/>
    <x v="457"/>
    <x v="3"/>
    <x v="1"/>
    <x v="1"/>
    <m/>
    <x v="2"/>
    <n v="0.63"/>
    <n v="0.78400000000000003"/>
    <n v="3.92"/>
    <n v="25.48"/>
    <x v="7"/>
    <x v="4"/>
    <x v="1"/>
    <x v="3"/>
    <x v="0"/>
    <x v="0"/>
  </r>
  <r>
    <x v="0"/>
    <x v="458"/>
    <x v="4"/>
    <x v="1"/>
    <x v="1"/>
    <m/>
    <x v="2"/>
    <n v="0.63"/>
    <n v="0.78400000000000003"/>
    <n v="3.92"/>
    <n v="25.48"/>
    <x v="7"/>
    <x v="4"/>
    <x v="1"/>
    <x v="3"/>
    <x v="0"/>
    <x v="0"/>
  </r>
  <r>
    <x v="0"/>
    <x v="459"/>
    <x v="0"/>
    <x v="0"/>
    <x v="0"/>
    <n v="1.8"/>
    <x v="10"/>
    <n v="0.59"/>
    <n v="0.86240000000000006"/>
    <n v="4.3120000000000003"/>
    <n v="28.713999999999999"/>
    <x v="4"/>
    <x v="1"/>
    <x v="1"/>
    <x v="3"/>
    <x v="0"/>
    <x v="0"/>
  </r>
  <r>
    <x v="0"/>
    <x v="460"/>
    <x v="1"/>
    <x v="0"/>
    <x v="0"/>
    <n v="1.8"/>
    <x v="10"/>
    <n v="0.59"/>
    <n v="0.86240000000000006"/>
    <n v="4.3120000000000003"/>
    <n v="28.713999999999999"/>
    <x v="4"/>
    <x v="1"/>
    <x v="1"/>
    <x v="3"/>
    <x v="0"/>
    <x v="0"/>
  </r>
  <r>
    <x v="0"/>
    <x v="461"/>
    <x v="2"/>
    <x v="0"/>
    <x v="0"/>
    <n v="1.8"/>
    <x v="10"/>
    <n v="0.59"/>
    <n v="0.86240000000000006"/>
    <n v="4.3120000000000003"/>
    <n v="28.713999999999999"/>
    <x v="4"/>
    <x v="1"/>
    <x v="1"/>
    <x v="3"/>
    <x v="0"/>
    <x v="0"/>
  </r>
  <r>
    <x v="0"/>
    <x v="462"/>
    <x v="3"/>
    <x v="0"/>
    <x v="0"/>
    <n v="1.8"/>
    <x v="10"/>
    <n v="0.59"/>
    <n v="0.86240000000000006"/>
    <n v="4.3120000000000003"/>
    <n v="28.713999999999999"/>
    <x v="4"/>
    <x v="1"/>
    <x v="1"/>
    <x v="3"/>
    <x v="0"/>
    <x v="0"/>
  </r>
  <r>
    <x v="0"/>
    <x v="463"/>
    <x v="4"/>
    <x v="0"/>
    <x v="0"/>
    <n v="1.8"/>
    <x v="10"/>
    <n v="0.59"/>
    <n v="0.86240000000000006"/>
    <n v="4.3120000000000003"/>
    <n v="28.713999999999999"/>
    <x v="4"/>
    <x v="1"/>
    <x v="1"/>
    <x v="3"/>
    <x v="0"/>
    <x v="0"/>
  </r>
  <r>
    <x v="0"/>
    <x v="464"/>
    <x v="0"/>
    <x v="0"/>
    <x v="0"/>
    <n v="2"/>
    <x v="10"/>
    <n v="0.61"/>
    <n v="0.81340000000000001"/>
    <n v="4.1159999999999997"/>
    <n v="27.244"/>
    <x v="5"/>
    <x v="3"/>
    <x v="1"/>
    <x v="3"/>
    <x v="0"/>
    <x v="0"/>
  </r>
  <r>
    <x v="0"/>
    <x v="465"/>
    <x v="1"/>
    <x v="0"/>
    <x v="0"/>
    <n v="2"/>
    <x v="10"/>
    <n v="0.61"/>
    <n v="0.81340000000000001"/>
    <n v="4.1159999999999997"/>
    <n v="27.244"/>
    <x v="5"/>
    <x v="3"/>
    <x v="1"/>
    <x v="3"/>
    <x v="0"/>
    <x v="0"/>
  </r>
  <r>
    <x v="0"/>
    <x v="466"/>
    <x v="2"/>
    <x v="0"/>
    <x v="0"/>
    <n v="2"/>
    <x v="10"/>
    <n v="0.61"/>
    <n v="0.81340000000000001"/>
    <n v="4.1159999999999997"/>
    <n v="27.244"/>
    <x v="5"/>
    <x v="3"/>
    <x v="1"/>
    <x v="3"/>
    <x v="0"/>
    <x v="0"/>
  </r>
  <r>
    <x v="0"/>
    <x v="467"/>
    <x v="3"/>
    <x v="0"/>
    <x v="0"/>
    <n v="2"/>
    <x v="10"/>
    <n v="0.61"/>
    <n v="0.81340000000000001"/>
    <n v="4.1159999999999997"/>
    <n v="27.244"/>
    <x v="5"/>
    <x v="3"/>
    <x v="1"/>
    <x v="3"/>
    <x v="0"/>
    <x v="0"/>
  </r>
  <r>
    <x v="0"/>
    <x v="468"/>
    <x v="4"/>
    <x v="0"/>
    <x v="0"/>
    <n v="2"/>
    <x v="10"/>
    <n v="0.61"/>
    <n v="0.81340000000000001"/>
    <n v="4.1159999999999997"/>
    <n v="27.244"/>
    <x v="5"/>
    <x v="3"/>
    <x v="1"/>
    <x v="3"/>
    <x v="0"/>
    <x v="0"/>
  </r>
  <r>
    <x v="0"/>
    <x v="469"/>
    <x v="0"/>
    <x v="0"/>
    <x v="0"/>
    <n v="2.2000000000000002"/>
    <x v="10"/>
    <n v="0.63"/>
    <n v="0.78400000000000003"/>
    <n v="3.92"/>
    <n v="25.48"/>
    <x v="7"/>
    <x v="4"/>
    <x v="1"/>
    <x v="3"/>
    <x v="0"/>
    <x v="0"/>
  </r>
  <r>
    <x v="0"/>
    <x v="470"/>
    <x v="1"/>
    <x v="0"/>
    <x v="0"/>
    <n v="2.2000000000000002"/>
    <x v="10"/>
    <n v="0.63"/>
    <n v="0.78400000000000003"/>
    <n v="3.92"/>
    <n v="25.48"/>
    <x v="7"/>
    <x v="4"/>
    <x v="1"/>
    <x v="3"/>
    <x v="0"/>
    <x v="0"/>
  </r>
  <r>
    <x v="0"/>
    <x v="471"/>
    <x v="2"/>
    <x v="0"/>
    <x v="0"/>
    <n v="2.2000000000000002"/>
    <x v="10"/>
    <n v="0.63"/>
    <n v="0.78400000000000003"/>
    <n v="3.92"/>
    <n v="25.48"/>
    <x v="7"/>
    <x v="4"/>
    <x v="1"/>
    <x v="3"/>
    <x v="0"/>
    <x v="0"/>
  </r>
  <r>
    <x v="0"/>
    <x v="472"/>
    <x v="3"/>
    <x v="0"/>
    <x v="0"/>
    <n v="2.2000000000000002"/>
    <x v="10"/>
    <n v="0.63"/>
    <n v="0.78400000000000003"/>
    <n v="3.92"/>
    <n v="25.48"/>
    <x v="7"/>
    <x v="4"/>
    <x v="1"/>
    <x v="3"/>
    <x v="0"/>
    <x v="0"/>
  </r>
  <r>
    <x v="0"/>
    <x v="473"/>
    <x v="4"/>
    <x v="0"/>
    <x v="0"/>
    <n v="2.2000000000000002"/>
    <x v="10"/>
    <n v="0.63"/>
    <n v="0.78400000000000003"/>
    <n v="3.92"/>
    <n v="25.48"/>
    <x v="7"/>
    <x v="4"/>
    <x v="1"/>
    <x v="3"/>
    <x v="0"/>
    <x v="0"/>
  </r>
  <r>
    <x v="0"/>
    <x v="474"/>
    <x v="23"/>
    <x v="5"/>
    <x v="3"/>
    <m/>
    <x v="5"/>
    <n v="1"/>
    <m/>
    <m/>
    <m/>
    <x v="1"/>
    <x v="0"/>
    <x v="0"/>
    <x v="1"/>
    <x v="0"/>
    <x v="0"/>
  </r>
  <r>
    <x v="0"/>
    <x v="475"/>
    <x v="6"/>
    <x v="7"/>
    <x v="3"/>
    <n v="1000"/>
    <x v="2"/>
    <n v="0.54500000000000004"/>
    <n v="1.0486"/>
    <m/>
    <n v="52.43"/>
    <x v="2"/>
    <x v="5"/>
    <x v="1"/>
    <x v="3"/>
    <x v="0"/>
    <x v="0"/>
  </r>
  <r>
    <x v="0"/>
    <x v="476"/>
    <x v="6"/>
    <x v="7"/>
    <x v="3"/>
    <n v="7.1428571428571397"/>
    <x v="2"/>
    <n v="0.77600000000000002"/>
    <n v="0.58799999999999997"/>
    <m/>
    <n v="29.4"/>
    <x v="4"/>
    <x v="1"/>
    <x v="1"/>
    <x v="3"/>
    <x v="0"/>
    <x v="0"/>
  </r>
  <r>
    <x v="0"/>
    <x v="477"/>
    <x v="6"/>
    <x v="7"/>
    <x v="3"/>
    <n v="8.3333333333333304"/>
    <x v="2"/>
    <n v="0.77900000000000003"/>
    <n v="0.53900000000000003"/>
    <m/>
    <n v="26.95"/>
    <x v="5"/>
    <x v="3"/>
    <x v="1"/>
    <x v="3"/>
    <x v="0"/>
    <x v="0"/>
  </r>
  <r>
    <x v="0"/>
    <x v="478"/>
    <x v="6"/>
    <x v="7"/>
    <x v="3"/>
    <n v="12.5"/>
    <x v="2"/>
    <n v="0.77200000000000002"/>
    <n v="0.49"/>
    <m/>
    <n v="24.5"/>
    <x v="7"/>
    <x v="0"/>
    <x v="1"/>
    <x v="3"/>
    <x v="0"/>
    <x v="0"/>
  </r>
  <r>
    <x v="0"/>
    <x v="479"/>
    <x v="6"/>
    <x v="7"/>
    <x v="3"/>
    <n v="1000"/>
    <x v="2"/>
    <n v="0.54"/>
    <n v="1.8620000000000001"/>
    <m/>
    <n v="93.1"/>
    <x v="2"/>
    <x v="5"/>
    <x v="1"/>
    <x v="4"/>
    <x v="0"/>
    <x v="0"/>
  </r>
  <r>
    <x v="0"/>
    <x v="480"/>
    <x v="6"/>
    <x v="7"/>
    <x v="3"/>
    <n v="1000"/>
    <x v="2"/>
    <n v="0.57999999999999996"/>
    <n v="1.0780000000000001"/>
    <m/>
    <n v="53.9"/>
    <x v="4"/>
    <x v="1"/>
    <x v="1"/>
    <x v="4"/>
    <x v="0"/>
    <x v="0"/>
  </r>
  <r>
    <x v="0"/>
    <x v="481"/>
    <x v="6"/>
    <x v="7"/>
    <x v="3"/>
    <n v="8.3333333333333304"/>
    <x v="2"/>
    <n v="0.74"/>
    <n v="0.58799999999999997"/>
    <m/>
    <n v="29.4"/>
    <x v="5"/>
    <x v="3"/>
    <x v="1"/>
    <x v="4"/>
    <x v="0"/>
    <x v="0"/>
  </r>
  <r>
    <x v="0"/>
    <x v="482"/>
    <x v="6"/>
    <x v="7"/>
    <x v="3"/>
    <n v="8.3333333333333304"/>
    <x v="2"/>
    <n v="0.77"/>
    <n v="0.39200000000000002"/>
    <m/>
    <n v="19.600000000000001"/>
    <x v="7"/>
    <x v="0"/>
    <x v="1"/>
    <x v="4"/>
    <x v="0"/>
    <x v="0"/>
  </r>
  <r>
    <x v="0"/>
    <x v="483"/>
    <x v="6"/>
    <x v="7"/>
    <x v="3"/>
    <n v="7.0833333333333304"/>
    <x v="2"/>
    <n v="0.89411764705882402"/>
    <n v="2.1560000000000001"/>
    <m/>
    <n v="64.680000000000007"/>
    <x v="4"/>
    <x v="1"/>
    <x v="1"/>
    <x v="0"/>
    <x v="0"/>
    <x v="0"/>
  </r>
  <r>
    <x v="0"/>
    <x v="484"/>
    <x v="6"/>
    <x v="7"/>
    <x v="3"/>
    <n v="6.2962962962963003"/>
    <x v="2"/>
    <n v="0.92941176470588205"/>
    <n v="0.58799999999999997"/>
    <m/>
    <n v="17.64"/>
    <x v="5"/>
    <x v="3"/>
    <x v="1"/>
    <x v="0"/>
    <x v="0"/>
    <x v="0"/>
  </r>
  <r>
    <x v="0"/>
    <x v="485"/>
    <x v="6"/>
    <x v="7"/>
    <x v="3"/>
    <n v="6.2962962962963003"/>
    <x v="2"/>
    <n v="0.918604651162791"/>
    <n v="0.39200000000000002"/>
    <m/>
    <n v="11.76"/>
    <x v="7"/>
    <x v="0"/>
    <x v="1"/>
    <x v="2"/>
    <x v="0"/>
    <x v="0"/>
  </r>
  <r>
    <x v="0"/>
    <x v="486"/>
    <x v="18"/>
    <x v="4"/>
    <x v="0"/>
    <n v="1"/>
    <x v="5"/>
    <n v="0.9"/>
    <m/>
    <n v="7.84"/>
    <n v="9.8000000000000007"/>
    <x v="1"/>
    <x v="0"/>
    <x v="0"/>
    <x v="1"/>
    <x v="0"/>
    <x v="0"/>
  </r>
  <r>
    <x v="0"/>
    <x v="487"/>
    <x v="18"/>
    <x v="4"/>
    <x v="0"/>
    <n v="0.82"/>
    <x v="5"/>
    <n v="0.66585365853658496"/>
    <m/>
    <n v="7.84"/>
    <n v="9.8000000000000007"/>
    <x v="1"/>
    <x v="0"/>
    <x v="0"/>
    <x v="1"/>
    <x v="0"/>
    <x v="0"/>
  </r>
  <r>
    <x v="0"/>
    <x v="488"/>
    <x v="18"/>
    <x v="4"/>
    <x v="0"/>
    <n v="0.82"/>
    <x v="5"/>
    <n v="0.68804878048780505"/>
    <m/>
    <n v="7.84"/>
    <n v="9.8000000000000007"/>
    <x v="1"/>
    <x v="0"/>
    <x v="0"/>
    <x v="1"/>
    <x v="0"/>
    <x v="0"/>
  </r>
  <r>
    <x v="0"/>
    <x v="489"/>
    <x v="18"/>
    <x v="4"/>
    <x v="0"/>
    <n v="0.82"/>
    <x v="5"/>
    <n v="0.71024390243902402"/>
    <m/>
    <n v="7.84"/>
    <n v="9.8000000000000007"/>
    <x v="1"/>
    <x v="0"/>
    <x v="0"/>
    <x v="1"/>
    <x v="0"/>
    <x v="0"/>
  </r>
  <r>
    <x v="0"/>
    <x v="490"/>
    <x v="18"/>
    <x v="4"/>
    <x v="0"/>
    <n v="0.82"/>
    <x v="5"/>
    <n v="0.732439024390244"/>
    <m/>
    <n v="7.84"/>
    <n v="9.8000000000000007"/>
    <x v="1"/>
    <x v="0"/>
    <x v="0"/>
    <x v="1"/>
    <x v="0"/>
    <x v="0"/>
  </r>
  <r>
    <x v="0"/>
    <x v="491"/>
    <x v="18"/>
    <x v="4"/>
    <x v="0"/>
    <n v="0.82"/>
    <x v="5"/>
    <n v="0.75463414634146297"/>
    <m/>
    <n v="7.84"/>
    <n v="9.8000000000000007"/>
    <x v="1"/>
    <x v="0"/>
    <x v="0"/>
    <x v="1"/>
    <x v="0"/>
    <x v="0"/>
  </r>
  <r>
    <x v="0"/>
    <x v="492"/>
    <x v="18"/>
    <x v="4"/>
    <x v="0"/>
    <n v="0.82"/>
    <x v="5"/>
    <n v="0.77682926829268295"/>
    <m/>
    <n v="7.84"/>
    <n v="9.8000000000000007"/>
    <x v="1"/>
    <x v="0"/>
    <x v="0"/>
    <x v="1"/>
    <x v="0"/>
    <x v="0"/>
  </r>
  <r>
    <x v="0"/>
    <x v="493"/>
    <x v="18"/>
    <x v="4"/>
    <x v="0"/>
    <n v="0.82"/>
    <x v="5"/>
    <n v="0.79902439024390204"/>
    <m/>
    <n v="7.84"/>
    <n v="9.8000000000000007"/>
    <x v="1"/>
    <x v="0"/>
    <x v="0"/>
    <x v="1"/>
    <x v="0"/>
    <x v="0"/>
  </r>
  <r>
    <x v="0"/>
    <x v="494"/>
    <x v="18"/>
    <x v="4"/>
    <x v="0"/>
    <n v="0.82"/>
    <x v="5"/>
    <n v="0.82121951219512201"/>
    <m/>
    <n v="7.84"/>
    <n v="9.8000000000000007"/>
    <x v="1"/>
    <x v="0"/>
    <x v="0"/>
    <x v="1"/>
    <x v="0"/>
    <x v="0"/>
  </r>
  <r>
    <x v="0"/>
    <x v="495"/>
    <x v="18"/>
    <x v="4"/>
    <x v="0"/>
    <n v="0.82"/>
    <x v="5"/>
    <n v="0.84341463414634199"/>
    <m/>
    <n v="7.84"/>
    <n v="9.8000000000000007"/>
    <x v="1"/>
    <x v="0"/>
    <x v="0"/>
    <x v="1"/>
    <x v="0"/>
    <x v="0"/>
  </r>
  <r>
    <x v="0"/>
    <x v="496"/>
    <x v="18"/>
    <x v="4"/>
    <x v="0"/>
    <n v="0.82"/>
    <x v="5"/>
    <n v="0.86560975609756097"/>
    <m/>
    <n v="7.84"/>
    <n v="9.8000000000000007"/>
    <x v="1"/>
    <x v="0"/>
    <x v="0"/>
    <x v="1"/>
    <x v="0"/>
    <x v="0"/>
  </r>
  <r>
    <x v="0"/>
    <x v="497"/>
    <x v="18"/>
    <x v="4"/>
    <x v="0"/>
    <n v="0.82"/>
    <x v="5"/>
    <n v="0.88780487804878105"/>
    <m/>
    <n v="7.84"/>
    <n v="9.8000000000000007"/>
    <x v="1"/>
    <x v="0"/>
    <x v="0"/>
    <x v="1"/>
    <x v="0"/>
    <x v="0"/>
  </r>
  <r>
    <x v="0"/>
    <x v="498"/>
    <x v="18"/>
    <x v="4"/>
    <x v="0"/>
    <n v="0.82"/>
    <x v="5"/>
    <n v="0.91"/>
    <m/>
    <n v="7.84"/>
    <n v="9.8000000000000007"/>
    <x v="1"/>
    <x v="0"/>
    <x v="0"/>
    <x v="1"/>
    <x v="0"/>
    <x v="0"/>
  </r>
  <r>
    <x v="0"/>
    <x v="499"/>
    <x v="18"/>
    <x v="4"/>
    <x v="0"/>
    <n v="0.82"/>
    <x v="5"/>
    <n v="0.93219512195121901"/>
    <m/>
    <n v="7.84"/>
    <n v="9.8000000000000007"/>
    <x v="1"/>
    <x v="0"/>
    <x v="0"/>
    <x v="1"/>
    <x v="0"/>
    <x v="0"/>
  </r>
  <r>
    <x v="0"/>
    <x v="500"/>
    <x v="18"/>
    <x v="4"/>
    <x v="0"/>
    <n v="0.82"/>
    <x v="5"/>
    <n v="0.95439024390243898"/>
    <m/>
    <n v="7.84"/>
    <n v="9.8000000000000007"/>
    <x v="1"/>
    <x v="0"/>
    <x v="0"/>
    <x v="1"/>
    <x v="0"/>
    <x v="0"/>
  </r>
  <r>
    <x v="0"/>
    <x v="501"/>
    <x v="18"/>
    <x v="4"/>
    <x v="0"/>
    <n v="0.86"/>
    <x v="5"/>
    <n v="0.93"/>
    <n v="0.93100000000000005"/>
    <n v="7.35"/>
    <n v="9.5549999999999997"/>
    <x v="4"/>
    <x v="1"/>
    <x v="1"/>
    <x v="3"/>
    <x v="0"/>
    <x v="0"/>
  </r>
  <r>
    <x v="0"/>
    <x v="502"/>
    <x v="18"/>
    <x v="4"/>
    <x v="0"/>
    <n v="0.82"/>
    <x v="5"/>
    <n v="0.99878048780487805"/>
    <m/>
    <n v="7.84"/>
    <n v="9.8000000000000007"/>
    <x v="1"/>
    <x v="0"/>
    <x v="0"/>
    <x v="1"/>
    <x v="0"/>
    <x v="0"/>
  </r>
  <r>
    <x v="0"/>
    <x v="503"/>
    <x v="18"/>
    <x v="4"/>
    <x v="0"/>
    <n v="0.92"/>
    <x v="5"/>
    <n v="0.93913043478260905"/>
    <n v="0.88200000000000001"/>
    <n v="6.86"/>
    <n v="9.1140000000000008"/>
    <x v="5"/>
    <x v="3"/>
    <x v="1"/>
    <x v="3"/>
    <x v="0"/>
    <x v="0"/>
  </r>
  <r>
    <x v="0"/>
    <x v="504"/>
    <x v="18"/>
    <x v="4"/>
    <x v="0"/>
    <n v="1"/>
    <x v="5"/>
    <n v="0.94"/>
    <n v="0.83299999999999996"/>
    <n v="5.88"/>
    <n v="8.33"/>
    <x v="7"/>
    <x v="4"/>
    <x v="1"/>
    <x v="3"/>
    <x v="0"/>
    <x v="0"/>
  </r>
  <r>
    <x v="0"/>
    <x v="505"/>
    <x v="18"/>
    <x v="1"/>
    <x v="1"/>
    <m/>
    <x v="2"/>
    <n v="0.32"/>
    <m/>
    <n v="7.84"/>
    <n v="9.8000000000000007"/>
    <x v="1"/>
    <x v="0"/>
    <x v="0"/>
    <x v="1"/>
    <x v="0"/>
    <x v="0"/>
  </r>
  <r>
    <x v="0"/>
    <x v="506"/>
    <x v="18"/>
    <x v="1"/>
    <x v="1"/>
    <m/>
    <x v="2"/>
    <n v="0.35"/>
    <m/>
    <n v="7.84"/>
    <n v="9.8000000000000007"/>
    <x v="1"/>
    <x v="0"/>
    <x v="0"/>
    <x v="1"/>
    <x v="0"/>
    <x v="0"/>
  </r>
  <r>
    <x v="0"/>
    <x v="507"/>
    <x v="18"/>
    <x v="1"/>
    <x v="1"/>
    <m/>
    <x v="2"/>
    <n v="0.36"/>
    <m/>
    <n v="7.84"/>
    <n v="9.8000000000000007"/>
    <x v="1"/>
    <x v="0"/>
    <x v="0"/>
    <x v="1"/>
    <x v="0"/>
    <x v="0"/>
  </r>
  <r>
    <x v="0"/>
    <x v="508"/>
    <x v="18"/>
    <x v="1"/>
    <x v="1"/>
    <m/>
    <x v="2"/>
    <n v="0.42"/>
    <m/>
    <n v="7.84"/>
    <n v="9.8000000000000007"/>
    <x v="1"/>
    <x v="0"/>
    <x v="0"/>
    <x v="1"/>
    <x v="0"/>
    <x v="0"/>
  </r>
  <r>
    <x v="0"/>
    <x v="509"/>
    <x v="18"/>
    <x v="1"/>
    <x v="1"/>
    <m/>
    <x v="2"/>
    <n v="0.43"/>
    <n v="0.93100000000000005"/>
    <n v="7.35"/>
    <n v="9.5549999999999997"/>
    <x v="4"/>
    <x v="1"/>
    <x v="1"/>
    <x v="3"/>
    <x v="0"/>
    <x v="0"/>
  </r>
  <r>
    <x v="0"/>
    <x v="510"/>
    <x v="18"/>
    <x v="1"/>
    <x v="1"/>
    <m/>
    <x v="2"/>
    <n v="0.44"/>
    <m/>
    <n v="7.84"/>
    <n v="9.8000000000000007"/>
    <x v="1"/>
    <x v="0"/>
    <x v="0"/>
    <x v="1"/>
    <x v="0"/>
    <x v="0"/>
  </r>
  <r>
    <x v="0"/>
    <x v="511"/>
    <x v="18"/>
    <x v="1"/>
    <x v="1"/>
    <m/>
    <x v="2"/>
    <n v="0.45"/>
    <m/>
    <n v="7.84"/>
    <n v="9.8000000000000007"/>
    <x v="1"/>
    <x v="0"/>
    <x v="0"/>
    <x v="1"/>
    <x v="0"/>
    <x v="0"/>
  </r>
  <r>
    <x v="0"/>
    <x v="512"/>
    <x v="18"/>
    <x v="1"/>
    <x v="1"/>
    <m/>
    <x v="2"/>
    <n v="0.45"/>
    <n v="0.88200000000000001"/>
    <n v="6.86"/>
    <n v="9.1140000000000008"/>
    <x v="5"/>
    <x v="3"/>
    <x v="1"/>
    <x v="3"/>
    <x v="0"/>
    <x v="0"/>
  </r>
  <r>
    <x v="0"/>
    <x v="513"/>
    <x v="18"/>
    <x v="1"/>
    <x v="1"/>
    <m/>
    <x v="2"/>
    <n v="0.47"/>
    <n v="0.83299999999999996"/>
    <n v="5.88"/>
    <n v="8.33"/>
    <x v="7"/>
    <x v="4"/>
    <x v="1"/>
    <x v="3"/>
    <x v="0"/>
    <x v="0"/>
  </r>
  <r>
    <x v="0"/>
    <x v="514"/>
    <x v="18"/>
    <x v="0"/>
    <x v="0"/>
    <n v="25.9"/>
    <x v="0"/>
    <n v="0.33"/>
    <n v="2.2109540000000001"/>
    <m/>
    <n v="39.700000000000003"/>
    <x v="3"/>
    <x v="0"/>
    <x v="0"/>
    <x v="0"/>
    <x v="0"/>
    <x v="0"/>
  </r>
  <r>
    <x v="0"/>
    <x v="515"/>
    <x v="9"/>
    <x v="1"/>
    <x v="1"/>
    <m/>
    <x v="2"/>
    <n v="0.42"/>
    <m/>
    <n v="5.2919999999999998"/>
    <n v="9.8000000000000007"/>
    <x v="1"/>
    <x v="0"/>
    <x v="0"/>
    <x v="1"/>
    <x v="0"/>
    <x v="0"/>
  </r>
  <r>
    <x v="0"/>
    <x v="516"/>
    <x v="20"/>
    <x v="4"/>
    <x v="0"/>
    <n v="0.9"/>
    <x v="5"/>
    <n v="0.73888888888888904"/>
    <m/>
    <n v="5.2919999999999998"/>
    <n v="9.8000000000000007"/>
    <x v="1"/>
    <x v="0"/>
    <x v="0"/>
    <x v="1"/>
    <x v="0"/>
    <x v="0"/>
  </r>
  <r>
    <x v="0"/>
    <x v="517"/>
    <x v="20"/>
    <x v="4"/>
    <x v="0"/>
    <n v="0.9"/>
    <x v="5"/>
    <n v="0.78111111111111098"/>
    <m/>
    <n v="5.2919999999999998"/>
    <n v="9.8000000000000007"/>
    <x v="1"/>
    <x v="0"/>
    <x v="0"/>
    <x v="1"/>
    <x v="0"/>
    <x v="0"/>
  </r>
  <r>
    <x v="0"/>
    <x v="518"/>
    <x v="20"/>
    <x v="4"/>
    <x v="0"/>
    <n v="0.9"/>
    <x v="5"/>
    <n v="0.82333333333333303"/>
    <m/>
    <n v="5.2919999999999998"/>
    <n v="9.8000000000000007"/>
    <x v="1"/>
    <x v="0"/>
    <x v="0"/>
    <x v="1"/>
    <x v="0"/>
    <x v="0"/>
  </r>
  <r>
    <x v="0"/>
    <x v="519"/>
    <x v="20"/>
    <x v="4"/>
    <x v="0"/>
    <n v="0.9"/>
    <x v="5"/>
    <n v="0.90777777777777802"/>
    <m/>
    <n v="5.2919999999999998"/>
    <n v="9.8000000000000007"/>
    <x v="1"/>
    <x v="0"/>
    <x v="0"/>
    <x v="1"/>
    <x v="0"/>
    <x v="0"/>
  </r>
  <r>
    <x v="0"/>
    <x v="520"/>
    <x v="20"/>
    <x v="1"/>
    <x v="1"/>
    <m/>
    <x v="2"/>
    <n v="0.33"/>
    <m/>
    <n v="5.2919999999999998"/>
    <n v="9.8000000000000007"/>
    <x v="1"/>
    <x v="0"/>
    <x v="0"/>
    <x v="1"/>
    <x v="0"/>
    <x v="0"/>
  </r>
  <r>
    <x v="0"/>
    <x v="521"/>
    <x v="20"/>
    <x v="1"/>
    <x v="1"/>
    <m/>
    <x v="2"/>
    <n v="0.34"/>
    <m/>
    <n v="5.2919999999999998"/>
    <n v="9.8000000000000007"/>
    <x v="1"/>
    <x v="0"/>
    <x v="0"/>
    <x v="1"/>
    <x v="0"/>
    <x v="0"/>
  </r>
  <r>
    <x v="0"/>
    <x v="522"/>
    <x v="20"/>
    <x v="1"/>
    <x v="1"/>
    <m/>
    <x v="2"/>
    <n v="0.36"/>
    <m/>
    <n v="5.2919999999999998"/>
    <n v="9.8000000000000007"/>
    <x v="1"/>
    <x v="0"/>
    <x v="0"/>
    <x v="1"/>
    <x v="0"/>
    <x v="0"/>
  </r>
  <r>
    <x v="0"/>
    <x v="523"/>
    <x v="20"/>
    <x v="1"/>
    <x v="1"/>
    <m/>
    <x v="2"/>
    <n v="0.37"/>
    <m/>
    <n v="5.2919999999999998"/>
    <n v="9.8000000000000007"/>
    <x v="1"/>
    <x v="0"/>
    <x v="0"/>
    <x v="1"/>
    <x v="0"/>
    <x v="0"/>
  </r>
  <r>
    <x v="0"/>
    <x v="524"/>
    <x v="20"/>
    <x v="1"/>
    <x v="1"/>
    <m/>
    <x v="2"/>
    <n v="0.38"/>
    <m/>
    <n v="5.2919999999999998"/>
    <n v="9.8000000000000007"/>
    <x v="1"/>
    <x v="0"/>
    <x v="0"/>
    <x v="1"/>
    <x v="0"/>
    <x v="0"/>
  </r>
  <r>
    <x v="0"/>
    <x v="525"/>
    <x v="20"/>
    <x v="1"/>
    <x v="1"/>
    <m/>
    <x v="2"/>
    <n v="0.39"/>
    <m/>
    <n v="5.2919999999999998"/>
    <n v="9.8000000000000007"/>
    <x v="1"/>
    <x v="0"/>
    <x v="0"/>
    <x v="1"/>
    <x v="0"/>
    <x v="0"/>
  </r>
  <r>
    <x v="0"/>
    <x v="526"/>
    <x v="20"/>
    <x v="1"/>
    <x v="1"/>
    <m/>
    <x v="2"/>
    <n v="0.4"/>
    <m/>
    <n v="5.2919999999999998"/>
    <n v="9.8000000000000007"/>
    <x v="1"/>
    <x v="0"/>
    <x v="0"/>
    <x v="1"/>
    <x v="0"/>
    <x v="0"/>
  </r>
  <r>
    <x v="0"/>
    <x v="527"/>
    <x v="20"/>
    <x v="1"/>
    <x v="1"/>
    <m/>
    <x v="2"/>
    <n v="0.41"/>
    <m/>
    <n v="5.2919999999999998"/>
    <n v="9.8000000000000007"/>
    <x v="1"/>
    <x v="0"/>
    <x v="0"/>
    <x v="1"/>
    <x v="0"/>
    <x v="0"/>
  </r>
  <r>
    <x v="0"/>
    <x v="528"/>
    <x v="20"/>
    <x v="1"/>
    <x v="1"/>
    <m/>
    <x v="2"/>
    <n v="0.42"/>
    <m/>
    <n v="5.2919999999999998"/>
    <n v="9.8000000000000007"/>
    <x v="1"/>
    <x v="0"/>
    <x v="0"/>
    <x v="1"/>
    <x v="0"/>
    <x v="0"/>
  </r>
  <r>
    <x v="0"/>
    <x v="529"/>
    <x v="20"/>
    <x v="1"/>
    <x v="1"/>
    <m/>
    <x v="2"/>
    <n v="0.43"/>
    <m/>
    <n v="5.2919999999999998"/>
    <n v="9.8000000000000007"/>
    <x v="1"/>
    <x v="0"/>
    <x v="0"/>
    <x v="1"/>
    <x v="0"/>
    <x v="0"/>
  </r>
  <r>
    <x v="0"/>
    <x v="530"/>
    <x v="0"/>
    <x v="4"/>
    <x v="0"/>
    <n v="1"/>
    <x v="5"/>
    <n v="0.9"/>
    <m/>
    <n v="5.2919999999999998"/>
    <n v="9.8000000000000007"/>
    <x v="1"/>
    <x v="0"/>
    <x v="0"/>
    <x v="1"/>
    <x v="0"/>
    <x v="0"/>
  </r>
  <r>
    <x v="0"/>
    <x v="531"/>
    <x v="1"/>
    <x v="4"/>
    <x v="0"/>
    <n v="1"/>
    <x v="5"/>
    <n v="0.9"/>
    <m/>
    <n v="5.2919999999999998"/>
    <n v="9.8000000000000007"/>
    <x v="1"/>
    <x v="0"/>
    <x v="0"/>
    <x v="1"/>
    <x v="0"/>
    <x v="0"/>
  </r>
  <r>
    <x v="0"/>
    <x v="532"/>
    <x v="2"/>
    <x v="4"/>
    <x v="0"/>
    <n v="1"/>
    <x v="5"/>
    <n v="0.9"/>
    <m/>
    <n v="5.2919999999999998"/>
    <n v="9.8000000000000007"/>
    <x v="1"/>
    <x v="0"/>
    <x v="0"/>
    <x v="1"/>
    <x v="0"/>
    <x v="0"/>
  </r>
  <r>
    <x v="0"/>
    <x v="533"/>
    <x v="3"/>
    <x v="4"/>
    <x v="0"/>
    <n v="1"/>
    <x v="5"/>
    <n v="0.9"/>
    <m/>
    <n v="5.2919999999999998"/>
    <n v="9.8000000000000007"/>
    <x v="1"/>
    <x v="0"/>
    <x v="0"/>
    <x v="1"/>
    <x v="0"/>
    <x v="0"/>
  </r>
  <r>
    <x v="0"/>
    <x v="534"/>
    <x v="4"/>
    <x v="4"/>
    <x v="0"/>
    <n v="1"/>
    <x v="5"/>
    <n v="0.9"/>
    <m/>
    <n v="5.2919999999999998"/>
    <n v="9.8000000000000007"/>
    <x v="1"/>
    <x v="0"/>
    <x v="0"/>
    <x v="1"/>
    <x v="0"/>
    <x v="0"/>
  </r>
  <r>
    <x v="0"/>
    <x v="535"/>
    <x v="0"/>
    <x v="4"/>
    <x v="0"/>
    <n v="0.9"/>
    <x v="5"/>
    <n v="0.69666666666666699"/>
    <m/>
    <n v="5.2919999999999998"/>
    <n v="9.8000000000000007"/>
    <x v="1"/>
    <x v="0"/>
    <x v="0"/>
    <x v="1"/>
    <x v="0"/>
    <x v="0"/>
  </r>
  <r>
    <x v="0"/>
    <x v="536"/>
    <x v="1"/>
    <x v="4"/>
    <x v="0"/>
    <n v="0.9"/>
    <x v="5"/>
    <n v="0.69666666666666699"/>
    <m/>
    <n v="5.2919999999999998"/>
    <n v="9.8000000000000007"/>
    <x v="1"/>
    <x v="0"/>
    <x v="0"/>
    <x v="1"/>
    <x v="0"/>
    <x v="0"/>
  </r>
  <r>
    <x v="0"/>
    <x v="537"/>
    <x v="2"/>
    <x v="4"/>
    <x v="0"/>
    <n v="0.9"/>
    <x v="5"/>
    <n v="0.69666666666666699"/>
    <m/>
    <n v="5.2919999999999998"/>
    <n v="9.8000000000000007"/>
    <x v="1"/>
    <x v="0"/>
    <x v="0"/>
    <x v="1"/>
    <x v="0"/>
    <x v="0"/>
  </r>
  <r>
    <x v="0"/>
    <x v="538"/>
    <x v="3"/>
    <x v="4"/>
    <x v="0"/>
    <n v="0.9"/>
    <x v="5"/>
    <n v="0.69666666666666699"/>
    <m/>
    <n v="5.2919999999999998"/>
    <n v="9.8000000000000007"/>
    <x v="1"/>
    <x v="0"/>
    <x v="0"/>
    <x v="1"/>
    <x v="0"/>
    <x v="0"/>
  </r>
  <r>
    <x v="0"/>
    <x v="539"/>
    <x v="4"/>
    <x v="4"/>
    <x v="0"/>
    <n v="0.9"/>
    <x v="5"/>
    <n v="0.69666666666666699"/>
    <m/>
    <n v="5.2919999999999998"/>
    <n v="9.8000000000000007"/>
    <x v="1"/>
    <x v="0"/>
    <x v="0"/>
    <x v="1"/>
    <x v="0"/>
    <x v="0"/>
  </r>
  <r>
    <x v="0"/>
    <x v="540"/>
    <x v="0"/>
    <x v="4"/>
    <x v="0"/>
    <n v="0.9"/>
    <x v="5"/>
    <n v="0.71777777777777796"/>
    <m/>
    <n v="5.2919999999999998"/>
    <n v="9.8000000000000007"/>
    <x v="1"/>
    <x v="0"/>
    <x v="0"/>
    <x v="1"/>
    <x v="0"/>
    <x v="0"/>
  </r>
  <r>
    <x v="0"/>
    <x v="541"/>
    <x v="1"/>
    <x v="4"/>
    <x v="0"/>
    <n v="0.9"/>
    <x v="5"/>
    <n v="0.71777777777777796"/>
    <m/>
    <n v="5.2919999999999998"/>
    <n v="9.8000000000000007"/>
    <x v="1"/>
    <x v="0"/>
    <x v="0"/>
    <x v="1"/>
    <x v="0"/>
    <x v="0"/>
  </r>
  <r>
    <x v="0"/>
    <x v="542"/>
    <x v="2"/>
    <x v="4"/>
    <x v="0"/>
    <n v="0.9"/>
    <x v="5"/>
    <n v="0.71777777777777796"/>
    <m/>
    <n v="5.2919999999999998"/>
    <n v="9.8000000000000007"/>
    <x v="1"/>
    <x v="0"/>
    <x v="0"/>
    <x v="1"/>
    <x v="0"/>
    <x v="0"/>
  </r>
  <r>
    <x v="0"/>
    <x v="543"/>
    <x v="3"/>
    <x v="4"/>
    <x v="0"/>
    <n v="0.9"/>
    <x v="5"/>
    <n v="0.71777777777777796"/>
    <m/>
    <n v="5.2919999999999998"/>
    <n v="9.8000000000000007"/>
    <x v="1"/>
    <x v="0"/>
    <x v="0"/>
    <x v="1"/>
    <x v="0"/>
    <x v="0"/>
  </r>
  <r>
    <x v="0"/>
    <x v="544"/>
    <x v="4"/>
    <x v="4"/>
    <x v="0"/>
    <n v="0.9"/>
    <x v="5"/>
    <n v="0.71777777777777796"/>
    <m/>
    <n v="5.2919999999999998"/>
    <n v="9.8000000000000007"/>
    <x v="1"/>
    <x v="0"/>
    <x v="0"/>
    <x v="1"/>
    <x v="0"/>
    <x v="0"/>
  </r>
  <r>
    <x v="0"/>
    <x v="545"/>
    <x v="0"/>
    <x v="4"/>
    <x v="0"/>
    <n v="0.9"/>
    <x v="5"/>
    <n v="0.73888888888888904"/>
    <m/>
    <n v="5.2919999999999998"/>
    <n v="9.8000000000000007"/>
    <x v="1"/>
    <x v="0"/>
    <x v="0"/>
    <x v="1"/>
    <x v="0"/>
    <x v="0"/>
  </r>
  <r>
    <x v="0"/>
    <x v="546"/>
    <x v="1"/>
    <x v="4"/>
    <x v="0"/>
    <n v="0.9"/>
    <x v="5"/>
    <n v="0.73888888888888904"/>
    <m/>
    <n v="5.2919999999999998"/>
    <n v="9.8000000000000007"/>
    <x v="1"/>
    <x v="0"/>
    <x v="0"/>
    <x v="1"/>
    <x v="0"/>
    <x v="0"/>
  </r>
  <r>
    <x v="0"/>
    <x v="547"/>
    <x v="2"/>
    <x v="4"/>
    <x v="0"/>
    <n v="0.9"/>
    <x v="5"/>
    <n v="0.73888888888888904"/>
    <m/>
    <n v="5.2919999999999998"/>
    <n v="9.8000000000000007"/>
    <x v="1"/>
    <x v="0"/>
    <x v="0"/>
    <x v="1"/>
    <x v="0"/>
    <x v="0"/>
  </r>
  <r>
    <x v="0"/>
    <x v="548"/>
    <x v="3"/>
    <x v="4"/>
    <x v="0"/>
    <n v="0.9"/>
    <x v="5"/>
    <n v="0.73888888888888904"/>
    <m/>
    <n v="5.2919999999999998"/>
    <n v="9.8000000000000007"/>
    <x v="1"/>
    <x v="0"/>
    <x v="0"/>
    <x v="1"/>
    <x v="0"/>
    <x v="0"/>
  </r>
  <r>
    <x v="0"/>
    <x v="549"/>
    <x v="4"/>
    <x v="4"/>
    <x v="0"/>
    <n v="0.9"/>
    <x v="5"/>
    <n v="0.73888888888888904"/>
    <m/>
    <n v="5.2919999999999998"/>
    <n v="9.8000000000000007"/>
    <x v="1"/>
    <x v="0"/>
    <x v="0"/>
    <x v="1"/>
    <x v="0"/>
    <x v="0"/>
  </r>
  <r>
    <x v="0"/>
    <x v="550"/>
    <x v="0"/>
    <x v="4"/>
    <x v="0"/>
    <n v="0.9"/>
    <x v="5"/>
    <n v="0.76"/>
    <m/>
    <n v="5.2919999999999998"/>
    <n v="9.8000000000000007"/>
    <x v="1"/>
    <x v="0"/>
    <x v="0"/>
    <x v="1"/>
    <x v="0"/>
    <x v="0"/>
  </r>
  <r>
    <x v="0"/>
    <x v="551"/>
    <x v="1"/>
    <x v="4"/>
    <x v="0"/>
    <n v="0.9"/>
    <x v="5"/>
    <n v="0.76"/>
    <m/>
    <n v="5.2919999999999998"/>
    <n v="9.8000000000000007"/>
    <x v="1"/>
    <x v="0"/>
    <x v="0"/>
    <x v="1"/>
    <x v="0"/>
    <x v="0"/>
  </r>
  <r>
    <x v="0"/>
    <x v="552"/>
    <x v="2"/>
    <x v="4"/>
    <x v="0"/>
    <n v="0.9"/>
    <x v="5"/>
    <n v="0.76"/>
    <m/>
    <n v="5.2919999999999998"/>
    <n v="9.8000000000000007"/>
    <x v="1"/>
    <x v="0"/>
    <x v="0"/>
    <x v="1"/>
    <x v="0"/>
    <x v="0"/>
  </r>
  <r>
    <x v="0"/>
    <x v="553"/>
    <x v="3"/>
    <x v="4"/>
    <x v="0"/>
    <n v="0.9"/>
    <x v="5"/>
    <n v="0.76"/>
    <m/>
    <n v="5.2919999999999998"/>
    <n v="9.8000000000000007"/>
    <x v="1"/>
    <x v="0"/>
    <x v="0"/>
    <x v="1"/>
    <x v="0"/>
    <x v="0"/>
  </r>
  <r>
    <x v="0"/>
    <x v="554"/>
    <x v="4"/>
    <x v="4"/>
    <x v="0"/>
    <n v="0.9"/>
    <x v="5"/>
    <n v="0.76"/>
    <m/>
    <n v="5.2919999999999998"/>
    <n v="9.8000000000000007"/>
    <x v="1"/>
    <x v="0"/>
    <x v="0"/>
    <x v="1"/>
    <x v="0"/>
    <x v="0"/>
  </r>
  <r>
    <x v="0"/>
    <x v="555"/>
    <x v="0"/>
    <x v="4"/>
    <x v="0"/>
    <n v="0.9"/>
    <x v="5"/>
    <n v="0.78111111111111098"/>
    <m/>
    <n v="5.2919999999999998"/>
    <n v="9.8000000000000007"/>
    <x v="1"/>
    <x v="0"/>
    <x v="0"/>
    <x v="1"/>
    <x v="0"/>
    <x v="0"/>
  </r>
  <r>
    <x v="0"/>
    <x v="556"/>
    <x v="1"/>
    <x v="4"/>
    <x v="0"/>
    <n v="0.9"/>
    <x v="5"/>
    <n v="0.78111111111111098"/>
    <m/>
    <n v="5.2919999999999998"/>
    <n v="9.8000000000000007"/>
    <x v="1"/>
    <x v="0"/>
    <x v="0"/>
    <x v="1"/>
    <x v="0"/>
    <x v="0"/>
  </r>
  <r>
    <x v="0"/>
    <x v="557"/>
    <x v="2"/>
    <x v="4"/>
    <x v="0"/>
    <n v="0.9"/>
    <x v="5"/>
    <n v="0.78111111111111098"/>
    <m/>
    <n v="5.2919999999999998"/>
    <n v="9.8000000000000007"/>
    <x v="1"/>
    <x v="0"/>
    <x v="0"/>
    <x v="1"/>
    <x v="0"/>
    <x v="0"/>
  </r>
  <r>
    <x v="0"/>
    <x v="558"/>
    <x v="3"/>
    <x v="4"/>
    <x v="0"/>
    <n v="0.9"/>
    <x v="5"/>
    <n v="0.78111111111111098"/>
    <m/>
    <n v="5.2919999999999998"/>
    <n v="9.8000000000000007"/>
    <x v="1"/>
    <x v="0"/>
    <x v="0"/>
    <x v="1"/>
    <x v="0"/>
    <x v="0"/>
  </r>
  <r>
    <x v="0"/>
    <x v="559"/>
    <x v="4"/>
    <x v="4"/>
    <x v="0"/>
    <n v="0.9"/>
    <x v="5"/>
    <n v="0.78111111111111098"/>
    <m/>
    <n v="5.2919999999999998"/>
    <n v="9.8000000000000007"/>
    <x v="1"/>
    <x v="0"/>
    <x v="0"/>
    <x v="1"/>
    <x v="0"/>
    <x v="0"/>
  </r>
  <r>
    <x v="0"/>
    <x v="560"/>
    <x v="0"/>
    <x v="4"/>
    <x v="0"/>
    <n v="0.9"/>
    <x v="5"/>
    <n v="0.80222222222222195"/>
    <m/>
    <n v="5.2919999999999998"/>
    <n v="9.8000000000000007"/>
    <x v="1"/>
    <x v="0"/>
    <x v="0"/>
    <x v="1"/>
    <x v="0"/>
    <x v="0"/>
  </r>
  <r>
    <x v="0"/>
    <x v="561"/>
    <x v="1"/>
    <x v="4"/>
    <x v="0"/>
    <n v="0.9"/>
    <x v="5"/>
    <n v="0.80222222222222195"/>
    <m/>
    <n v="5.2919999999999998"/>
    <n v="9.8000000000000007"/>
    <x v="1"/>
    <x v="0"/>
    <x v="0"/>
    <x v="1"/>
    <x v="0"/>
    <x v="0"/>
  </r>
  <r>
    <x v="0"/>
    <x v="562"/>
    <x v="2"/>
    <x v="4"/>
    <x v="0"/>
    <n v="0.9"/>
    <x v="5"/>
    <n v="0.80222222222222195"/>
    <m/>
    <n v="5.2919999999999998"/>
    <n v="9.8000000000000007"/>
    <x v="1"/>
    <x v="0"/>
    <x v="0"/>
    <x v="1"/>
    <x v="0"/>
    <x v="0"/>
  </r>
  <r>
    <x v="0"/>
    <x v="563"/>
    <x v="3"/>
    <x v="4"/>
    <x v="0"/>
    <n v="0.9"/>
    <x v="5"/>
    <n v="0.80222222222222195"/>
    <m/>
    <n v="5.2919999999999998"/>
    <n v="9.8000000000000007"/>
    <x v="1"/>
    <x v="0"/>
    <x v="0"/>
    <x v="1"/>
    <x v="0"/>
    <x v="0"/>
  </r>
  <r>
    <x v="0"/>
    <x v="564"/>
    <x v="4"/>
    <x v="4"/>
    <x v="0"/>
    <n v="0.9"/>
    <x v="5"/>
    <n v="0.80222222222222195"/>
    <m/>
    <n v="5.2919999999999998"/>
    <n v="9.8000000000000007"/>
    <x v="1"/>
    <x v="0"/>
    <x v="0"/>
    <x v="1"/>
    <x v="0"/>
    <x v="0"/>
  </r>
  <r>
    <x v="0"/>
    <x v="565"/>
    <x v="0"/>
    <x v="4"/>
    <x v="0"/>
    <n v="0.9"/>
    <x v="5"/>
    <n v="0.82333333333333303"/>
    <m/>
    <n v="5.2919999999999998"/>
    <n v="9.8000000000000007"/>
    <x v="1"/>
    <x v="0"/>
    <x v="0"/>
    <x v="1"/>
    <x v="0"/>
    <x v="0"/>
  </r>
  <r>
    <x v="0"/>
    <x v="566"/>
    <x v="1"/>
    <x v="4"/>
    <x v="0"/>
    <n v="0.9"/>
    <x v="5"/>
    <n v="0.82333333333333303"/>
    <m/>
    <n v="5.2919999999999998"/>
    <n v="9.8000000000000007"/>
    <x v="1"/>
    <x v="0"/>
    <x v="0"/>
    <x v="1"/>
    <x v="0"/>
    <x v="0"/>
  </r>
  <r>
    <x v="0"/>
    <x v="567"/>
    <x v="2"/>
    <x v="4"/>
    <x v="0"/>
    <n v="0.9"/>
    <x v="5"/>
    <n v="0.82333333333333303"/>
    <m/>
    <n v="5.2919999999999998"/>
    <n v="9.8000000000000007"/>
    <x v="1"/>
    <x v="0"/>
    <x v="0"/>
    <x v="1"/>
    <x v="0"/>
    <x v="0"/>
  </r>
  <r>
    <x v="0"/>
    <x v="568"/>
    <x v="3"/>
    <x v="4"/>
    <x v="0"/>
    <n v="0.9"/>
    <x v="5"/>
    <n v="0.82333333333333303"/>
    <m/>
    <n v="5.2919999999999998"/>
    <n v="9.8000000000000007"/>
    <x v="1"/>
    <x v="0"/>
    <x v="0"/>
    <x v="1"/>
    <x v="0"/>
    <x v="0"/>
  </r>
  <r>
    <x v="0"/>
    <x v="569"/>
    <x v="4"/>
    <x v="4"/>
    <x v="0"/>
    <n v="0.9"/>
    <x v="5"/>
    <n v="0.82333333333333303"/>
    <m/>
    <n v="5.2919999999999998"/>
    <n v="9.8000000000000007"/>
    <x v="1"/>
    <x v="0"/>
    <x v="0"/>
    <x v="1"/>
    <x v="0"/>
    <x v="0"/>
  </r>
  <r>
    <x v="0"/>
    <x v="570"/>
    <x v="0"/>
    <x v="4"/>
    <x v="0"/>
    <n v="0.9"/>
    <x v="5"/>
    <n v="0.844444444444445"/>
    <m/>
    <n v="5.2919999999999998"/>
    <n v="9.8000000000000007"/>
    <x v="1"/>
    <x v="0"/>
    <x v="0"/>
    <x v="1"/>
    <x v="0"/>
    <x v="0"/>
  </r>
  <r>
    <x v="0"/>
    <x v="571"/>
    <x v="1"/>
    <x v="4"/>
    <x v="0"/>
    <n v="0.9"/>
    <x v="5"/>
    <n v="0.844444444444445"/>
    <m/>
    <n v="5.2919999999999998"/>
    <n v="9.8000000000000007"/>
    <x v="1"/>
    <x v="0"/>
    <x v="0"/>
    <x v="1"/>
    <x v="0"/>
    <x v="0"/>
  </r>
  <r>
    <x v="0"/>
    <x v="572"/>
    <x v="2"/>
    <x v="4"/>
    <x v="0"/>
    <n v="0.9"/>
    <x v="5"/>
    <n v="0.844444444444445"/>
    <m/>
    <n v="5.2919999999999998"/>
    <n v="9.8000000000000007"/>
    <x v="1"/>
    <x v="0"/>
    <x v="0"/>
    <x v="1"/>
    <x v="0"/>
    <x v="0"/>
  </r>
  <r>
    <x v="0"/>
    <x v="573"/>
    <x v="3"/>
    <x v="4"/>
    <x v="0"/>
    <n v="0.9"/>
    <x v="5"/>
    <n v="0.844444444444445"/>
    <m/>
    <n v="5.2919999999999998"/>
    <n v="9.8000000000000007"/>
    <x v="1"/>
    <x v="0"/>
    <x v="0"/>
    <x v="1"/>
    <x v="0"/>
    <x v="0"/>
  </r>
  <r>
    <x v="0"/>
    <x v="574"/>
    <x v="4"/>
    <x v="4"/>
    <x v="0"/>
    <n v="0.9"/>
    <x v="5"/>
    <n v="0.844444444444445"/>
    <m/>
    <n v="5.2919999999999998"/>
    <n v="9.8000000000000007"/>
    <x v="1"/>
    <x v="0"/>
    <x v="0"/>
    <x v="1"/>
    <x v="0"/>
    <x v="0"/>
  </r>
  <r>
    <x v="0"/>
    <x v="575"/>
    <x v="0"/>
    <x v="4"/>
    <x v="0"/>
    <n v="0.9"/>
    <x v="5"/>
    <n v="0.86555555555555497"/>
    <m/>
    <n v="5.2919999999999998"/>
    <n v="9.8000000000000007"/>
    <x v="1"/>
    <x v="0"/>
    <x v="0"/>
    <x v="1"/>
    <x v="0"/>
    <x v="0"/>
  </r>
  <r>
    <x v="0"/>
    <x v="576"/>
    <x v="1"/>
    <x v="4"/>
    <x v="0"/>
    <n v="0.9"/>
    <x v="5"/>
    <n v="0.86555555555555497"/>
    <m/>
    <n v="5.2919999999999998"/>
    <n v="9.8000000000000007"/>
    <x v="1"/>
    <x v="0"/>
    <x v="0"/>
    <x v="1"/>
    <x v="0"/>
    <x v="0"/>
  </r>
  <r>
    <x v="0"/>
    <x v="577"/>
    <x v="2"/>
    <x v="4"/>
    <x v="0"/>
    <n v="0.9"/>
    <x v="5"/>
    <n v="0.86555555555555497"/>
    <m/>
    <n v="5.2919999999999998"/>
    <n v="9.8000000000000007"/>
    <x v="1"/>
    <x v="0"/>
    <x v="0"/>
    <x v="1"/>
    <x v="0"/>
    <x v="0"/>
  </r>
  <r>
    <x v="0"/>
    <x v="578"/>
    <x v="3"/>
    <x v="4"/>
    <x v="0"/>
    <n v="0.9"/>
    <x v="5"/>
    <n v="0.86555555555555497"/>
    <m/>
    <n v="5.2919999999999998"/>
    <n v="9.8000000000000007"/>
    <x v="1"/>
    <x v="0"/>
    <x v="0"/>
    <x v="1"/>
    <x v="0"/>
    <x v="0"/>
  </r>
  <r>
    <x v="0"/>
    <x v="579"/>
    <x v="4"/>
    <x v="4"/>
    <x v="0"/>
    <n v="0.9"/>
    <x v="5"/>
    <n v="0.86555555555555497"/>
    <m/>
    <n v="5.2919999999999998"/>
    <n v="9.8000000000000007"/>
    <x v="1"/>
    <x v="0"/>
    <x v="0"/>
    <x v="1"/>
    <x v="0"/>
    <x v="0"/>
  </r>
  <r>
    <x v="0"/>
    <x v="580"/>
    <x v="0"/>
    <x v="4"/>
    <x v="0"/>
    <n v="0.9"/>
    <x v="5"/>
    <n v="0.88666666666666705"/>
    <m/>
    <n v="5.2919999999999998"/>
    <n v="9.8000000000000007"/>
    <x v="1"/>
    <x v="0"/>
    <x v="0"/>
    <x v="1"/>
    <x v="0"/>
    <x v="0"/>
  </r>
  <r>
    <x v="0"/>
    <x v="581"/>
    <x v="1"/>
    <x v="4"/>
    <x v="0"/>
    <n v="0.9"/>
    <x v="5"/>
    <n v="0.88666666666666705"/>
    <m/>
    <n v="5.2919999999999998"/>
    <n v="9.8000000000000007"/>
    <x v="1"/>
    <x v="0"/>
    <x v="0"/>
    <x v="1"/>
    <x v="0"/>
    <x v="0"/>
  </r>
  <r>
    <x v="0"/>
    <x v="582"/>
    <x v="2"/>
    <x v="4"/>
    <x v="0"/>
    <n v="0.9"/>
    <x v="5"/>
    <n v="0.88666666666666705"/>
    <m/>
    <n v="5.2919999999999998"/>
    <n v="9.8000000000000007"/>
    <x v="1"/>
    <x v="0"/>
    <x v="0"/>
    <x v="1"/>
    <x v="0"/>
    <x v="0"/>
  </r>
  <r>
    <x v="0"/>
    <x v="583"/>
    <x v="3"/>
    <x v="4"/>
    <x v="0"/>
    <n v="0.9"/>
    <x v="5"/>
    <n v="0.88666666666666705"/>
    <m/>
    <n v="5.2919999999999998"/>
    <n v="9.8000000000000007"/>
    <x v="1"/>
    <x v="0"/>
    <x v="0"/>
    <x v="1"/>
    <x v="0"/>
    <x v="0"/>
  </r>
  <r>
    <x v="0"/>
    <x v="584"/>
    <x v="4"/>
    <x v="4"/>
    <x v="0"/>
    <n v="0.9"/>
    <x v="5"/>
    <n v="0.88666666666666705"/>
    <m/>
    <n v="5.2919999999999998"/>
    <n v="9.8000000000000007"/>
    <x v="1"/>
    <x v="0"/>
    <x v="0"/>
    <x v="1"/>
    <x v="0"/>
    <x v="0"/>
  </r>
  <r>
    <x v="0"/>
    <x v="585"/>
    <x v="0"/>
    <x v="4"/>
    <x v="0"/>
    <n v="0.9"/>
    <x v="5"/>
    <n v="0.90777777777777802"/>
    <m/>
    <n v="5.2919999999999998"/>
    <n v="9.8000000000000007"/>
    <x v="1"/>
    <x v="0"/>
    <x v="0"/>
    <x v="1"/>
    <x v="0"/>
    <x v="0"/>
  </r>
  <r>
    <x v="0"/>
    <x v="586"/>
    <x v="1"/>
    <x v="4"/>
    <x v="0"/>
    <n v="0.9"/>
    <x v="5"/>
    <n v="0.90777777777777802"/>
    <m/>
    <n v="5.2919999999999998"/>
    <n v="9.8000000000000007"/>
    <x v="1"/>
    <x v="0"/>
    <x v="0"/>
    <x v="1"/>
    <x v="0"/>
    <x v="0"/>
  </r>
  <r>
    <x v="0"/>
    <x v="587"/>
    <x v="2"/>
    <x v="4"/>
    <x v="0"/>
    <n v="0.9"/>
    <x v="5"/>
    <n v="0.90777777777777802"/>
    <m/>
    <n v="5.2919999999999998"/>
    <n v="9.8000000000000007"/>
    <x v="1"/>
    <x v="0"/>
    <x v="0"/>
    <x v="1"/>
    <x v="0"/>
    <x v="0"/>
  </r>
  <r>
    <x v="0"/>
    <x v="588"/>
    <x v="3"/>
    <x v="4"/>
    <x v="0"/>
    <n v="0.9"/>
    <x v="5"/>
    <n v="0.90777777777777802"/>
    <m/>
    <n v="5.2919999999999998"/>
    <n v="9.8000000000000007"/>
    <x v="1"/>
    <x v="0"/>
    <x v="0"/>
    <x v="1"/>
    <x v="0"/>
    <x v="0"/>
  </r>
  <r>
    <x v="0"/>
    <x v="589"/>
    <x v="4"/>
    <x v="4"/>
    <x v="0"/>
    <n v="0.9"/>
    <x v="5"/>
    <n v="0.90777777777777802"/>
    <m/>
    <n v="5.2919999999999998"/>
    <n v="9.8000000000000007"/>
    <x v="1"/>
    <x v="0"/>
    <x v="0"/>
    <x v="1"/>
    <x v="0"/>
    <x v="0"/>
  </r>
  <r>
    <x v="0"/>
    <x v="590"/>
    <x v="0"/>
    <x v="4"/>
    <x v="0"/>
    <n v="0.9"/>
    <x v="5"/>
    <n v="0.92888888888888899"/>
    <m/>
    <n v="5.2919999999999998"/>
    <n v="9.8000000000000007"/>
    <x v="1"/>
    <x v="0"/>
    <x v="0"/>
    <x v="1"/>
    <x v="0"/>
    <x v="0"/>
  </r>
  <r>
    <x v="0"/>
    <x v="591"/>
    <x v="1"/>
    <x v="4"/>
    <x v="0"/>
    <n v="0.9"/>
    <x v="5"/>
    <n v="0.92888888888888899"/>
    <m/>
    <n v="5.2919999999999998"/>
    <n v="9.8000000000000007"/>
    <x v="1"/>
    <x v="0"/>
    <x v="0"/>
    <x v="1"/>
    <x v="0"/>
    <x v="0"/>
  </r>
  <r>
    <x v="0"/>
    <x v="592"/>
    <x v="2"/>
    <x v="4"/>
    <x v="0"/>
    <n v="0.9"/>
    <x v="5"/>
    <n v="0.92888888888888899"/>
    <m/>
    <n v="5.2919999999999998"/>
    <n v="9.8000000000000007"/>
    <x v="1"/>
    <x v="0"/>
    <x v="0"/>
    <x v="1"/>
    <x v="0"/>
    <x v="0"/>
  </r>
  <r>
    <x v="0"/>
    <x v="593"/>
    <x v="3"/>
    <x v="4"/>
    <x v="0"/>
    <n v="0.9"/>
    <x v="5"/>
    <n v="0.92888888888888899"/>
    <m/>
    <n v="5.2919999999999998"/>
    <n v="9.8000000000000007"/>
    <x v="1"/>
    <x v="0"/>
    <x v="0"/>
    <x v="1"/>
    <x v="0"/>
    <x v="0"/>
  </r>
  <r>
    <x v="0"/>
    <x v="594"/>
    <x v="4"/>
    <x v="4"/>
    <x v="0"/>
    <n v="0.9"/>
    <x v="5"/>
    <n v="0.92888888888888899"/>
    <m/>
    <n v="5.2919999999999998"/>
    <n v="9.8000000000000007"/>
    <x v="1"/>
    <x v="0"/>
    <x v="0"/>
    <x v="1"/>
    <x v="0"/>
    <x v="0"/>
  </r>
  <r>
    <x v="0"/>
    <x v="595"/>
    <x v="0"/>
    <x v="4"/>
    <x v="0"/>
    <n v="0.9"/>
    <x v="5"/>
    <n v="0.95"/>
    <m/>
    <n v="5.2919999999999998"/>
    <n v="9.8000000000000007"/>
    <x v="1"/>
    <x v="0"/>
    <x v="0"/>
    <x v="1"/>
    <x v="0"/>
    <x v="0"/>
  </r>
  <r>
    <x v="0"/>
    <x v="596"/>
    <x v="1"/>
    <x v="4"/>
    <x v="0"/>
    <n v="0.9"/>
    <x v="5"/>
    <n v="0.95"/>
    <m/>
    <n v="5.2919999999999998"/>
    <n v="9.8000000000000007"/>
    <x v="1"/>
    <x v="0"/>
    <x v="0"/>
    <x v="1"/>
    <x v="0"/>
    <x v="0"/>
  </r>
  <r>
    <x v="0"/>
    <x v="597"/>
    <x v="2"/>
    <x v="4"/>
    <x v="0"/>
    <n v="0.9"/>
    <x v="5"/>
    <n v="0.95"/>
    <m/>
    <n v="5.2919999999999998"/>
    <n v="9.8000000000000007"/>
    <x v="1"/>
    <x v="0"/>
    <x v="0"/>
    <x v="1"/>
    <x v="0"/>
    <x v="0"/>
  </r>
  <r>
    <x v="0"/>
    <x v="598"/>
    <x v="3"/>
    <x v="4"/>
    <x v="0"/>
    <n v="0.9"/>
    <x v="5"/>
    <n v="0.95"/>
    <m/>
    <n v="5.2919999999999998"/>
    <n v="9.8000000000000007"/>
    <x v="1"/>
    <x v="0"/>
    <x v="0"/>
    <x v="1"/>
    <x v="0"/>
    <x v="0"/>
  </r>
  <r>
    <x v="0"/>
    <x v="599"/>
    <x v="4"/>
    <x v="4"/>
    <x v="0"/>
    <n v="0.9"/>
    <x v="5"/>
    <n v="0.95"/>
    <m/>
    <n v="5.2919999999999998"/>
    <n v="9.8000000000000007"/>
    <x v="1"/>
    <x v="0"/>
    <x v="0"/>
    <x v="1"/>
    <x v="0"/>
    <x v="0"/>
  </r>
  <r>
    <x v="0"/>
    <x v="600"/>
    <x v="0"/>
    <x v="4"/>
    <x v="0"/>
    <n v="0.9"/>
    <x v="5"/>
    <n v="0.97111111111111104"/>
    <m/>
    <n v="5.2919999999999998"/>
    <n v="9.8000000000000007"/>
    <x v="1"/>
    <x v="0"/>
    <x v="0"/>
    <x v="1"/>
    <x v="0"/>
    <x v="0"/>
  </r>
  <r>
    <x v="0"/>
    <x v="601"/>
    <x v="1"/>
    <x v="4"/>
    <x v="0"/>
    <n v="0.9"/>
    <x v="5"/>
    <n v="0.97111111111111104"/>
    <m/>
    <n v="5.2919999999999998"/>
    <n v="9.8000000000000007"/>
    <x v="1"/>
    <x v="0"/>
    <x v="0"/>
    <x v="1"/>
    <x v="0"/>
    <x v="0"/>
  </r>
  <r>
    <x v="0"/>
    <x v="602"/>
    <x v="2"/>
    <x v="4"/>
    <x v="0"/>
    <n v="0.9"/>
    <x v="5"/>
    <n v="0.97111111111111104"/>
    <m/>
    <n v="5.2919999999999998"/>
    <n v="9.8000000000000007"/>
    <x v="1"/>
    <x v="0"/>
    <x v="0"/>
    <x v="1"/>
    <x v="0"/>
    <x v="0"/>
  </r>
  <r>
    <x v="0"/>
    <x v="603"/>
    <x v="3"/>
    <x v="4"/>
    <x v="0"/>
    <n v="0.9"/>
    <x v="5"/>
    <n v="0.97111111111111104"/>
    <m/>
    <n v="5.2919999999999998"/>
    <n v="9.8000000000000007"/>
    <x v="1"/>
    <x v="0"/>
    <x v="0"/>
    <x v="1"/>
    <x v="0"/>
    <x v="0"/>
  </r>
  <r>
    <x v="0"/>
    <x v="604"/>
    <x v="4"/>
    <x v="4"/>
    <x v="0"/>
    <n v="0.9"/>
    <x v="5"/>
    <n v="0.97111111111111104"/>
    <m/>
    <n v="5.2919999999999998"/>
    <n v="9.8000000000000007"/>
    <x v="1"/>
    <x v="0"/>
    <x v="0"/>
    <x v="1"/>
    <x v="0"/>
    <x v="0"/>
  </r>
  <r>
    <x v="0"/>
    <x v="605"/>
    <x v="0"/>
    <x v="4"/>
    <x v="0"/>
    <n v="0.9"/>
    <x v="5"/>
    <n v="0.99222222222222201"/>
    <m/>
    <n v="5.2919999999999998"/>
    <n v="9.8000000000000007"/>
    <x v="1"/>
    <x v="0"/>
    <x v="0"/>
    <x v="1"/>
    <x v="0"/>
    <x v="0"/>
  </r>
  <r>
    <x v="0"/>
    <x v="606"/>
    <x v="1"/>
    <x v="4"/>
    <x v="0"/>
    <n v="0.9"/>
    <x v="5"/>
    <n v="0.99222222222222201"/>
    <m/>
    <n v="5.2919999999999998"/>
    <n v="9.8000000000000007"/>
    <x v="1"/>
    <x v="0"/>
    <x v="0"/>
    <x v="1"/>
    <x v="0"/>
    <x v="0"/>
  </r>
  <r>
    <x v="0"/>
    <x v="607"/>
    <x v="2"/>
    <x v="4"/>
    <x v="0"/>
    <n v="0.9"/>
    <x v="5"/>
    <n v="0.99222222222222201"/>
    <m/>
    <n v="5.2919999999999998"/>
    <n v="9.8000000000000007"/>
    <x v="1"/>
    <x v="0"/>
    <x v="0"/>
    <x v="1"/>
    <x v="0"/>
    <x v="0"/>
  </r>
  <r>
    <x v="0"/>
    <x v="608"/>
    <x v="3"/>
    <x v="4"/>
    <x v="0"/>
    <n v="0.9"/>
    <x v="5"/>
    <n v="0.99222222222222201"/>
    <m/>
    <n v="5.2919999999999998"/>
    <n v="9.8000000000000007"/>
    <x v="1"/>
    <x v="0"/>
    <x v="0"/>
    <x v="1"/>
    <x v="0"/>
    <x v="0"/>
  </r>
  <r>
    <x v="0"/>
    <x v="609"/>
    <x v="4"/>
    <x v="4"/>
    <x v="0"/>
    <n v="0.9"/>
    <x v="5"/>
    <n v="0.99222222222222201"/>
    <m/>
    <n v="5.2919999999999998"/>
    <n v="9.8000000000000007"/>
    <x v="1"/>
    <x v="0"/>
    <x v="0"/>
    <x v="1"/>
    <x v="0"/>
    <x v="0"/>
  </r>
  <r>
    <x v="0"/>
    <x v="610"/>
    <x v="0"/>
    <x v="4"/>
    <x v="0"/>
    <n v="0.95"/>
    <x v="5"/>
    <n v="0.964736842105263"/>
    <n v="0.93100000000000005"/>
    <n v="5.2919999999999998"/>
    <n v="9.5549999999999997"/>
    <x v="4"/>
    <x v="1"/>
    <x v="1"/>
    <x v="3"/>
    <x v="0"/>
    <x v="0"/>
  </r>
  <r>
    <x v="0"/>
    <x v="611"/>
    <x v="1"/>
    <x v="4"/>
    <x v="0"/>
    <n v="0.95"/>
    <x v="5"/>
    <n v="0.964736842105263"/>
    <n v="0.93100000000000005"/>
    <n v="5.2919999999999998"/>
    <n v="9.5549999999999997"/>
    <x v="4"/>
    <x v="1"/>
    <x v="1"/>
    <x v="3"/>
    <x v="0"/>
    <x v="0"/>
  </r>
  <r>
    <x v="0"/>
    <x v="612"/>
    <x v="2"/>
    <x v="4"/>
    <x v="0"/>
    <n v="0.95"/>
    <x v="5"/>
    <n v="0.964736842105263"/>
    <n v="0.93100000000000005"/>
    <n v="5.2919999999999998"/>
    <n v="9.5549999999999997"/>
    <x v="4"/>
    <x v="1"/>
    <x v="1"/>
    <x v="3"/>
    <x v="0"/>
    <x v="0"/>
  </r>
  <r>
    <x v="0"/>
    <x v="613"/>
    <x v="3"/>
    <x v="4"/>
    <x v="0"/>
    <n v="0.95"/>
    <x v="5"/>
    <n v="0.964736842105263"/>
    <n v="0.93100000000000005"/>
    <n v="5.2919999999999998"/>
    <n v="9.5549999999999997"/>
    <x v="4"/>
    <x v="1"/>
    <x v="1"/>
    <x v="3"/>
    <x v="0"/>
    <x v="0"/>
  </r>
  <r>
    <x v="0"/>
    <x v="614"/>
    <x v="4"/>
    <x v="4"/>
    <x v="0"/>
    <n v="0.95"/>
    <x v="5"/>
    <n v="0.964736842105263"/>
    <n v="0.93100000000000005"/>
    <n v="5.2919999999999998"/>
    <n v="9.5549999999999997"/>
    <x v="4"/>
    <x v="1"/>
    <x v="1"/>
    <x v="3"/>
    <x v="0"/>
    <x v="0"/>
  </r>
  <r>
    <x v="0"/>
    <x v="615"/>
    <x v="0"/>
    <x v="4"/>
    <x v="0"/>
    <n v="0.99"/>
    <x v="5"/>
    <n v="0.96484848484848496"/>
    <n v="0.88200000000000001"/>
    <n v="4.9980000000000002"/>
    <n v="9.1140000000000008"/>
    <x v="5"/>
    <x v="3"/>
    <x v="1"/>
    <x v="3"/>
    <x v="0"/>
    <x v="0"/>
  </r>
  <r>
    <x v="0"/>
    <x v="616"/>
    <x v="1"/>
    <x v="4"/>
    <x v="0"/>
    <n v="0.99"/>
    <x v="5"/>
    <n v="0.96484848484848496"/>
    <n v="0.88200000000000001"/>
    <n v="4.9980000000000002"/>
    <n v="9.1140000000000008"/>
    <x v="5"/>
    <x v="3"/>
    <x v="1"/>
    <x v="3"/>
    <x v="0"/>
    <x v="0"/>
  </r>
  <r>
    <x v="0"/>
    <x v="617"/>
    <x v="2"/>
    <x v="4"/>
    <x v="0"/>
    <n v="0.99"/>
    <x v="5"/>
    <n v="0.96484848484848496"/>
    <n v="0.88200000000000001"/>
    <n v="4.9980000000000002"/>
    <n v="9.1140000000000008"/>
    <x v="5"/>
    <x v="3"/>
    <x v="1"/>
    <x v="3"/>
    <x v="0"/>
    <x v="0"/>
  </r>
  <r>
    <x v="0"/>
    <x v="618"/>
    <x v="3"/>
    <x v="4"/>
    <x v="0"/>
    <n v="0.99"/>
    <x v="5"/>
    <n v="0.96484848484848496"/>
    <n v="0.88200000000000001"/>
    <n v="4.9980000000000002"/>
    <n v="9.1140000000000008"/>
    <x v="5"/>
    <x v="3"/>
    <x v="1"/>
    <x v="3"/>
    <x v="0"/>
    <x v="0"/>
  </r>
  <r>
    <x v="0"/>
    <x v="619"/>
    <x v="4"/>
    <x v="4"/>
    <x v="0"/>
    <n v="0.99"/>
    <x v="5"/>
    <n v="0.96484848484848496"/>
    <n v="0.88200000000000001"/>
    <n v="4.9980000000000002"/>
    <n v="9.1140000000000008"/>
    <x v="5"/>
    <x v="3"/>
    <x v="1"/>
    <x v="3"/>
    <x v="0"/>
    <x v="0"/>
  </r>
  <r>
    <x v="0"/>
    <x v="620"/>
    <x v="0"/>
    <x v="4"/>
    <x v="0"/>
    <n v="1.04"/>
    <x v="5"/>
    <n v="0.98076923076923095"/>
    <n v="0.83299999999999996"/>
    <n v="4.8019999999999996"/>
    <n v="8.33"/>
    <x v="7"/>
    <x v="4"/>
    <x v="1"/>
    <x v="3"/>
    <x v="0"/>
    <x v="0"/>
  </r>
  <r>
    <x v="0"/>
    <x v="621"/>
    <x v="1"/>
    <x v="4"/>
    <x v="0"/>
    <n v="1.04"/>
    <x v="5"/>
    <n v="0.98076923076923095"/>
    <n v="0.83299999999999996"/>
    <n v="4.8019999999999996"/>
    <n v="8.33"/>
    <x v="7"/>
    <x v="4"/>
    <x v="1"/>
    <x v="3"/>
    <x v="0"/>
    <x v="0"/>
  </r>
  <r>
    <x v="0"/>
    <x v="622"/>
    <x v="2"/>
    <x v="4"/>
    <x v="0"/>
    <n v="1.04"/>
    <x v="5"/>
    <n v="0.98076923076923095"/>
    <n v="0.83299999999999996"/>
    <n v="4.8019999999999996"/>
    <n v="8.33"/>
    <x v="7"/>
    <x v="4"/>
    <x v="1"/>
    <x v="3"/>
    <x v="0"/>
    <x v="0"/>
  </r>
  <r>
    <x v="0"/>
    <x v="623"/>
    <x v="3"/>
    <x v="4"/>
    <x v="0"/>
    <n v="1.04"/>
    <x v="5"/>
    <n v="0.98076923076923095"/>
    <n v="0.83299999999999996"/>
    <n v="4.8019999999999996"/>
    <n v="8.33"/>
    <x v="7"/>
    <x v="4"/>
    <x v="1"/>
    <x v="3"/>
    <x v="0"/>
    <x v="0"/>
  </r>
  <r>
    <x v="0"/>
    <x v="624"/>
    <x v="4"/>
    <x v="4"/>
    <x v="0"/>
    <n v="1.04"/>
    <x v="5"/>
    <n v="0.98076923076923095"/>
    <n v="0.83299999999999996"/>
    <n v="4.8019999999999996"/>
    <n v="8.33"/>
    <x v="7"/>
    <x v="4"/>
    <x v="1"/>
    <x v="3"/>
    <x v="0"/>
    <x v="0"/>
  </r>
  <r>
    <x v="0"/>
    <x v="625"/>
    <x v="0"/>
    <x v="1"/>
    <x v="1"/>
    <m/>
    <x v="2"/>
    <n v="0.41"/>
    <m/>
    <n v="5.2919999999999998"/>
    <n v="9.8000000000000007"/>
    <x v="1"/>
    <x v="0"/>
    <x v="0"/>
    <x v="1"/>
    <x v="0"/>
    <x v="0"/>
  </r>
  <r>
    <x v="0"/>
    <x v="626"/>
    <x v="1"/>
    <x v="1"/>
    <x v="1"/>
    <m/>
    <x v="2"/>
    <n v="0.41"/>
    <m/>
    <n v="5.2919999999999998"/>
    <n v="9.8000000000000007"/>
    <x v="1"/>
    <x v="0"/>
    <x v="0"/>
    <x v="1"/>
    <x v="0"/>
    <x v="0"/>
  </r>
  <r>
    <x v="0"/>
    <x v="627"/>
    <x v="2"/>
    <x v="1"/>
    <x v="1"/>
    <m/>
    <x v="2"/>
    <n v="0.41"/>
    <m/>
    <n v="5.2919999999999998"/>
    <n v="9.8000000000000007"/>
    <x v="1"/>
    <x v="0"/>
    <x v="0"/>
    <x v="1"/>
    <x v="0"/>
    <x v="0"/>
  </r>
  <r>
    <x v="0"/>
    <x v="628"/>
    <x v="3"/>
    <x v="1"/>
    <x v="1"/>
    <m/>
    <x v="2"/>
    <n v="0.41"/>
    <m/>
    <n v="5.2919999999999998"/>
    <n v="9.8000000000000007"/>
    <x v="1"/>
    <x v="0"/>
    <x v="0"/>
    <x v="1"/>
    <x v="0"/>
    <x v="0"/>
  </r>
  <r>
    <x v="0"/>
    <x v="629"/>
    <x v="4"/>
    <x v="1"/>
    <x v="1"/>
    <m/>
    <x v="2"/>
    <n v="0.41"/>
    <m/>
    <n v="5.2919999999999998"/>
    <n v="9.8000000000000007"/>
    <x v="1"/>
    <x v="0"/>
    <x v="0"/>
    <x v="1"/>
    <x v="0"/>
    <x v="0"/>
  </r>
  <r>
    <x v="0"/>
    <x v="630"/>
    <x v="0"/>
    <x v="1"/>
    <x v="1"/>
    <m/>
    <x v="2"/>
    <n v="0.44"/>
    <m/>
    <n v="5.2919999999999998"/>
    <n v="9.8000000000000007"/>
    <x v="1"/>
    <x v="0"/>
    <x v="0"/>
    <x v="1"/>
    <x v="0"/>
    <x v="0"/>
  </r>
  <r>
    <x v="0"/>
    <x v="631"/>
    <x v="1"/>
    <x v="1"/>
    <x v="1"/>
    <m/>
    <x v="2"/>
    <n v="0.44"/>
    <m/>
    <n v="5.2919999999999998"/>
    <n v="9.8000000000000007"/>
    <x v="1"/>
    <x v="0"/>
    <x v="0"/>
    <x v="1"/>
    <x v="0"/>
    <x v="0"/>
  </r>
  <r>
    <x v="0"/>
    <x v="632"/>
    <x v="2"/>
    <x v="1"/>
    <x v="1"/>
    <m/>
    <x v="2"/>
    <n v="0.44"/>
    <m/>
    <n v="5.2919999999999998"/>
    <n v="9.8000000000000007"/>
    <x v="1"/>
    <x v="0"/>
    <x v="0"/>
    <x v="1"/>
    <x v="0"/>
    <x v="0"/>
  </r>
  <r>
    <x v="0"/>
    <x v="633"/>
    <x v="3"/>
    <x v="1"/>
    <x v="1"/>
    <m/>
    <x v="2"/>
    <n v="0.44"/>
    <m/>
    <n v="5.2919999999999998"/>
    <n v="9.8000000000000007"/>
    <x v="1"/>
    <x v="0"/>
    <x v="0"/>
    <x v="1"/>
    <x v="0"/>
    <x v="0"/>
  </r>
  <r>
    <x v="0"/>
    <x v="634"/>
    <x v="4"/>
    <x v="1"/>
    <x v="1"/>
    <m/>
    <x v="2"/>
    <n v="0.44"/>
    <m/>
    <n v="5.2919999999999998"/>
    <n v="9.8000000000000007"/>
    <x v="1"/>
    <x v="0"/>
    <x v="0"/>
    <x v="1"/>
    <x v="0"/>
    <x v="0"/>
  </r>
  <r>
    <x v="0"/>
    <x v="635"/>
    <x v="0"/>
    <x v="1"/>
    <x v="1"/>
    <m/>
    <x v="2"/>
    <n v="0.46"/>
    <m/>
    <n v="5.2919999999999998"/>
    <n v="9.8000000000000007"/>
    <x v="1"/>
    <x v="0"/>
    <x v="0"/>
    <x v="1"/>
    <x v="0"/>
    <x v="0"/>
  </r>
  <r>
    <x v="0"/>
    <x v="636"/>
    <x v="1"/>
    <x v="1"/>
    <x v="1"/>
    <m/>
    <x v="2"/>
    <n v="0.46"/>
    <m/>
    <n v="5.2919999999999998"/>
    <n v="9.8000000000000007"/>
    <x v="1"/>
    <x v="0"/>
    <x v="0"/>
    <x v="1"/>
    <x v="0"/>
    <x v="0"/>
  </r>
  <r>
    <x v="0"/>
    <x v="637"/>
    <x v="2"/>
    <x v="1"/>
    <x v="1"/>
    <m/>
    <x v="2"/>
    <n v="0.46"/>
    <m/>
    <n v="5.2919999999999998"/>
    <n v="9.8000000000000007"/>
    <x v="1"/>
    <x v="0"/>
    <x v="0"/>
    <x v="1"/>
    <x v="0"/>
    <x v="0"/>
  </r>
  <r>
    <x v="0"/>
    <x v="638"/>
    <x v="3"/>
    <x v="1"/>
    <x v="1"/>
    <m/>
    <x v="2"/>
    <n v="0.46"/>
    <m/>
    <n v="5.2919999999999998"/>
    <n v="9.8000000000000007"/>
    <x v="1"/>
    <x v="0"/>
    <x v="0"/>
    <x v="1"/>
    <x v="0"/>
    <x v="0"/>
  </r>
  <r>
    <x v="0"/>
    <x v="639"/>
    <x v="4"/>
    <x v="1"/>
    <x v="1"/>
    <m/>
    <x v="2"/>
    <n v="0.46"/>
    <m/>
    <n v="5.2919999999999998"/>
    <n v="9.8000000000000007"/>
    <x v="1"/>
    <x v="0"/>
    <x v="0"/>
    <x v="1"/>
    <x v="0"/>
    <x v="0"/>
  </r>
  <r>
    <x v="0"/>
    <x v="640"/>
    <x v="0"/>
    <x v="1"/>
    <x v="1"/>
    <m/>
    <x v="2"/>
    <n v="0.47"/>
    <n v="0.93100000000000005"/>
    <n v="5.2919999999999998"/>
    <n v="9.5549999999999997"/>
    <x v="4"/>
    <x v="1"/>
    <x v="1"/>
    <x v="3"/>
    <x v="0"/>
    <x v="0"/>
  </r>
  <r>
    <x v="0"/>
    <x v="641"/>
    <x v="1"/>
    <x v="1"/>
    <x v="1"/>
    <m/>
    <x v="2"/>
    <n v="0.47"/>
    <n v="0.93100000000000005"/>
    <n v="5.2919999999999998"/>
    <n v="9.5549999999999997"/>
    <x v="4"/>
    <x v="1"/>
    <x v="1"/>
    <x v="3"/>
    <x v="0"/>
    <x v="0"/>
  </r>
  <r>
    <x v="0"/>
    <x v="642"/>
    <x v="2"/>
    <x v="1"/>
    <x v="1"/>
    <m/>
    <x v="2"/>
    <n v="0.47"/>
    <n v="0.93100000000000005"/>
    <n v="5.2919999999999998"/>
    <n v="9.5549999999999997"/>
    <x v="4"/>
    <x v="1"/>
    <x v="1"/>
    <x v="3"/>
    <x v="0"/>
    <x v="0"/>
  </r>
  <r>
    <x v="0"/>
    <x v="643"/>
    <x v="3"/>
    <x v="1"/>
    <x v="1"/>
    <m/>
    <x v="2"/>
    <n v="0.47"/>
    <n v="0.93100000000000005"/>
    <n v="5.2919999999999998"/>
    <n v="9.5549999999999997"/>
    <x v="4"/>
    <x v="1"/>
    <x v="1"/>
    <x v="3"/>
    <x v="0"/>
    <x v="0"/>
  </r>
  <r>
    <x v="0"/>
    <x v="644"/>
    <x v="4"/>
    <x v="1"/>
    <x v="1"/>
    <m/>
    <x v="2"/>
    <n v="0.47"/>
    <n v="0.93100000000000005"/>
    <n v="5.2919999999999998"/>
    <n v="9.5549999999999997"/>
    <x v="4"/>
    <x v="1"/>
    <x v="1"/>
    <x v="3"/>
    <x v="0"/>
    <x v="0"/>
  </r>
  <r>
    <x v="0"/>
    <x v="645"/>
    <x v="0"/>
    <x v="1"/>
    <x v="1"/>
    <m/>
    <x v="2"/>
    <n v="0.48"/>
    <n v="0.88200000000000001"/>
    <n v="4.9980000000000002"/>
    <n v="9.1140000000000008"/>
    <x v="5"/>
    <x v="3"/>
    <x v="1"/>
    <x v="3"/>
    <x v="0"/>
    <x v="0"/>
  </r>
  <r>
    <x v="0"/>
    <x v="646"/>
    <x v="1"/>
    <x v="1"/>
    <x v="1"/>
    <m/>
    <x v="2"/>
    <n v="0.48"/>
    <n v="0.88200000000000001"/>
    <n v="4.9980000000000002"/>
    <n v="9.1140000000000008"/>
    <x v="5"/>
    <x v="3"/>
    <x v="1"/>
    <x v="3"/>
    <x v="0"/>
    <x v="0"/>
  </r>
  <r>
    <x v="0"/>
    <x v="647"/>
    <x v="2"/>
    <x v="1"/>
    <x v="1"/>
    <m/>
    <x v="2"/>
    <n v="0.48"/>
    <n v="0.88200000000000001"/>
    <n v="4.9980000000000002"/>
    <n v="9.1140000000000008"/>
    <x v="5"/>
    <x v="3"/>
    <x v="1"/>
    <x v="3"/>
    <x v="0"/>
    <x v="0"/>
  </r>
  <r>
    <x v="0"/>
    <x v="648"/>
    <x v="3"/>
    <x v="1"/>
    <x v="1"/>
    <m/>
    <x v="2"/>
    <n v="0.48"/>
    <n v="0.88200000000000001"/>
    <n v="4.9980000000000002"/>
    <n v="9.1140000000000008"/>
    <x v="5"/>
    <x v="3"/>
    <x v="1"/>
    <x v="3"/>
    <x v="0"/>
    <x v="0"/>
  </r>
  <r>
    <x v="0"/>
    <x v="649"/>
    <x v="4"/>
    <x v="1"/>
    <x v="1"/>
    <m/>
    <x v="2"/>
    <n v="0.48"/>
    <n v="0.88200000000000001"/>
    <n v="4.9980000000000002"/>
    <n v="9.1140000000000008"/>
    <x v="5"/>
    <x v="3"/>
    <x v="1"/>
    <x v="3"/>
    <x v="0"/>
    <x v="0"/>
  </r>
  <r>
    <x v="0"/>
    <x v="650"/>
    <x v="0"/>
    <x v="1"/>
    <x v="1"/>
    <m/>
    <x v="2"/>
    <n v="0.5"/>
    <n v="0.83299999999999996"/>
    <n v="4.8019999999999996"/>
    <n v="8.33"/>
    <x v="7"/>
    <x v="4"/>
    <x v="1"/>
    <x v="3"/>
    <x v="0"/>
    <x v="0"/>
  </r>
  <r>
    <x v="0"/>
    <x v="651"/>
    <x v="1"/>
    <x v="1"/>
    <x v="1"/>
    <m/>
    <x v="2"/>
    <n v="0.5"/>
    <n v="0.83299999999999996"/>
    <n v="4.8019999999999996"/>
    <n v="8.33"/>
    <x v="7"/>
    <x v="4"/>
    <x v="1"/>
    <x v="3"/>
    <x v="0"/>
    <x v="0"/>
  </r>
  <r>
    <x v="0"/>
    <x v="652"/>
    <x v="2"/>
    <x v="1"/>
    <x v="1"/>
    <m/>
    <x v="2"/>
    <n v="0.5"/>
    <n v="0.83299999999999996"/>
    <n v="4.8019999999999996"/>
    <n v="8.33"/>
    <x v="7"/>
    <x v="4"/>
    <x v="1"/>
    <x v="3"/>
    <x v="0"/>
    <x v="0"/>
  </r>
  <r>
    <x v="0"/>
    <x v="653"/>
    <x v="3"/>
    <x v="1"/>
    <x v="1"/>
    <m/>
    <x v="2"/>
    <n v="0.5"/>
    <n v="0.83299999999999996"/>
    <n v="4.8019999999999996"/>
    <n v="8.33"/>
    <x v="7"/>
    <x v="4"/>
    <x v="1"/>
    <x v="3"/>
    <x v="0"/>
    <x v="0"/>
  </r>
  <r>
    <x v="0"/>
    <x v="654"/>
    <x v="4"/>
    <x v="1"/>
    <x v="1"/>
    <m/>
    <x v="2"/>
    <n v="0.5"/>
    <n v="0.83299999999999996"/>
    <n v="4.8019999999999996"/>
    <n v="8.33"/>
    <x v="7"/>
    <x v="4"/>
    <x v="1"/>
    <x v="3"/>
    <x v="0"/>
    <x v="0"/>
  </r>
  <r>
    <x v="0"/>
    <x v="655"/>
    <x v="0"/>
    <x v="0"/>
    <x v="0"/>
    <n v="0.7"/>
    <x v="0"/>
    <n v="0.43"/>
    <m/>
    <n v="3.6869999999999998"/>
    <n v="12.050668"/>
    <x v="0"/>
    <x v="0"/>
    <x v="0"/>
    <x v="0"/>
    <x v="0"/>
    <x v="0"/>
  </r>
  <r>
    <x v="0"/>
    <x v="656"/>
    <x v="1"/>
    <x v="0"/>
    <x v="0"/>
    <n v="0.7"/>
    <x v="0"/>
    <n v="0.43"/>
    <m/>
    <n v="3.6869999999999998"/>
    <n v="12.050668"/>
    <x v="0"/>
    <x v="0"/>
    <x v="0"/>
    <x v="0"/>
    <x v="0"/>
    <x v="0"/>
  </r>
  <r>
    <x v="0"/>
    <x v="657"/>
    <x v="2"/>
    <x v="0"/>
    <x v="0"/>
    <n v="0.7"/>
    <x v="0"/>
    <n v="0.43"/>
    <m/>
    <n v="3.6869999999999998"/>
    <n v="12.050668"/>
    <x v="0"/>
    <x v="0"/>
    <x v="0"/>
    <x v="0"/>
    <x v="0"/>
    <x v="0"/>
  </r>
  <r>
    <x v="0"/>
    <x v="658"/>
    <x v="3"/>
    <x v="0"/>
    <x v="0"/>
    <n v="0.7"/>
    <x v="0"/>
    <n v="0.43"/>
    <m/>
    <n v="3.6869999999999998"/>
    <n v="12.050668"/>
    <x v="0"/>
    <x v="0"/>
    <x v="0"/>
    <x v="0"/>
    <x v="0"/>
    <x v="0"/>
  </r>
  <r>
    <x v="0"/>
    <x v="659"/>
    <x v="4"/>
    <x v="0"/>
    <x v="0"/>
    <n v="0.7"/>
    <x v="0"/>
    <n v="0.43"/>
    <m/>
    <n v="3.6869999999999998"/>
    <n v="12.050668"/>
    <x v="0"/>
    <x v="0"/>
    <x v="0"/>
    <x v="0"/>
    <x v="0"/>
    <x v="0"/>
  </r>
  <r>
    <x v="0"/>
    <x v="660"/>
    <x v="0"/>
    <x v="0"/>
    <x v="0"/>
    <n v="0.9"/>
    <x v="11"/>
    <n v="0.43559999999999999"/>
    <n v="0.81766099999999997"/>
    <n v="3.0134059999999998"/>
    <n v="12.050668"/>
    <x v="3"/>
    <x v="0"/>
    <x v="1"/>
    <x v="5"/>
    <x v="0"/>
    <x v="0"/>
  </r>
  <r>
    <x v="0"/>
    <x v="661"/>
    <x v="1"/>
    <x v="0"/>
    <x v="0"/>
    <n v="0.9"/>
    <x v="11"/>
    <n v="0.43559999999999999"/>
    <n v="0.81766099999999997"/>
    <n v="3.0134059999999998"/>
    <n v="12.050668"/>
    <x v="3"/>
    <x v="0"/>
    <x v="1"/>
    <x v="5"/>
    <x v="0"/>
    <x v="0"/>
  </r>
  <r>
    <x v="0"/>
    <x v="662"/>
    <x v="2"/>
    <x v="0"/>
    <x v="0"/>
    <n v="0.9"/>
    <x v="11"/>
    <n v="0.43559999999999999"/>
    <n v="0.81766099999999997"/>
    <n v="3.0134059999999998"/>
    <n v="12.050668"/>
    <x v="3"/>
    <x v="0"/>
    <x v="1"/>
    <x v="5"/>
    <x v="0"/>
    <x v="0"/>
  </r>
  <r>
    <x v="0"/>
    <x v="663"/>
    <x v="3"/>
    <x v="0"/>
    <x v="0"/>
    <n v="0.9"/>
    <x v="11"/>
    <n v="0.43559999999999999"/>
    <n v="0.81766099999999997"/>
    <n v="3.0134059999999998"/>
    <n v="12.050668"/>
    <x v="3"/>
    <x v="0"/>
    <x v="1"/>
    <x v="5"/>
    <x v="0"/>
    <x v="0"/>
  </r>
  <r>
    <x v="0"/>
    <x v="664"/>
    <x v="4"/>
    <x v="0"/>
    <x v="0"/>
    <n v="0.9"/>
    <x v="11"/>
    <n v="0.43559999999999999"/>
    <n v="0.81766099999999997"/>
    <n v="3.0134059999999998"/>
    <n v="12.050668"/>
    <x v="3"/>
    <x v="0"/>
    <x v="1"/>
    <x v="5"/>
    <x v="0"/>
    <x v="0"/>
  </r>
  <r>
    <x v="0"/>
    <x v="665"/>
    <x v="16"/>
    <x v="0"/>
    <x v="0"/>
    <n v="0.9"/>
    <x v="12"/>
    <n v="0.43559999999999999"/>
    <n v="0.81766099999999997"/>
    <n v="3.0134059999999998"/>
    <n v="12.050668"/>
    <x v="3"/>
    <x v="0"/>
    <x v="1"/>
    <x v="5"/>
    <x v="0"/>
    <x v="0"/>
  </r>
  <r>
    <x v="0"/>
    <x v="666"/>
    <x v="24"/>
    <x v="4"/>
    <x v="0"/>
    <n v="0.86"/>
    <x v="5"/>
    <n v="0.93"/>
    <n v="0.93100000000000005"/>
    <n v="7.35"/>
    <n v="9.5549999999999997"/>
    <x v="4"/>
    <x v="1"/>
    <x v="1"/>
    <x v="3"/>
    <x v="0"/>
    <x v="0"/>
  </r>
  <r>
    <x v="0"/>
    <x v="667"/>
    <x v="24"/>
    <x v="4"/>
    <x v="0"/>
    <n v="0.92"/>
    <x v="5"/>
    <n v="0.93899999999999995"/>
    <n v="0.88200000000000001"/>
    <n v="6.86"/>
    <n v="9.1140000000000008"/>
    <x v="5"/>
    <x v="3"/>
    <x v="1"/>
    <x v="3"/>
    <x v="0"/>
    <x v="0"/>
  </r>
  <r>
    <x v="0"/>
    <x v="668"/>
    <x v="24"/>
    <x v="4"/>
    <x v="0"/>
    <n v="1"/>
    <x v="5"/>
    <n v="0.94"/>
    <n v="0.83299999999999996"/>
    <n v="5.88"/>
    <n v="8.33"/>
    <x v="7"/>
    <x v="4"/>
    <x v="1"/>
    <x v="3"/>
    <x v="0"/>
    <x v="0"/>
  </r>
  <r>
    <x v="0"/>
    <x v="669"/>
    <x v="24"/>
    <x v="1"/>
    <x v="1"/>
    <m/>
    <x v="2"/>
    <n v="0.43"/>
    <n v="0.93100000000000005"/>
    <n v="7.35"/>
    <n v="9.5549999999999997"/>
    <x v="4"/>
    <x v="1"/>
    <x v="1"/>
    <x v="3"/>
    <x v="0"/>
    <x v="0"/>
  </r>
  <r>
    <x v="0"/>
    <x v="670"/>
    <x v="24"/>
    <x v="1"/>
    <x v="1"/>
    <m/>
    <x v="2"/>
    <n v="0.45"/>
    <n v="0.88200000000000001"/>
    <n v="6.86"/>
    <n v="9.1140000000000008"/>
    <x v="5"/>
    <x v="3"/>
    <x v="1"/>
    <x v="3"/>
    <x v="0"/>
    <x v="0"/>
  </r>
  <r>
    <x v="0"/>
    <x v="671"/>
    <x v="24"/>
    <x v="1"/>
    <x v="1"/>
    <m/>
    <x v="2"/>
    <n v="0.47"/>
    <n v="0.88300000000000001"/>
    <n v="5.88"/>
    <n v="8.33"/>
    <x v="7"/>
    <x v="4"/>
    <x v="1"/>
    <x v="3"/>
    <x v="0"/>
    <x v="0"/>
  </r>
  <r>
    <x v="0"/>
    <x v="672"/>
    <x v="6"/>
    <x v="2"/>
    <x v="2"/>
    <m/>
    <x v="2"/>
    <n v="0.82"/>
    <n v="0.10903492431300001"/>
    <m/>
    <n v="13.248539295"/>
    <x v="9"/>
    <x v="1"/>
    <x v="1"/>
    <x v="6"/>
    <x v="3"/>
    <x v="3"/>
  </r>
  <r>
    <x v="0"/>
    <x v="673"/>
    <x v="6"/>
    <x v="2"/>
    <x v="2"/>
    <m/>
    <x v="2"/>
    <n v="0.85"/>
    <n v="5.4888329245999998E-2"/>
    <m/>
    <n v="13.248539295"/>
    <x v="5"/>
    <x v="4"/>
    <x v="1"/>
    <x v="7"/>
    <x v="3"/>
    <x v="3"/>
  </r>
  <r>
    <x v="0"/>
    <x v="674"/>
    <x v="6"/>
    <x v="2"/>
    <x v="2"/>
    <m/>
    <x v="2"/>
    <n v="0.95"/>
    <n v="0.261090431008"/>
    <m/>
    <n v="22.080898824999998"/>
    <x v="9"/>
    <x v="1"/>
    <x v="1"/>
    <x v="8"/>
    <x v="3"/>
    <x v="3"/>
  </r>
  <r>
    <x v="0"/>
    <x v="675"/>
    <x v="6"/>
    <x v="2"/>
    <x v="2"/>
    <m/>
    <x v="2"/>
    <n v="0.97"/>
    <n v="0.107551455955"/>
    <m/>
    <n v="22.080898824999998"/>
    <x v="5"/>
    <x v="4"/>
    <x v="1"/>
    <x v="9"/>
    <x v="3"/>
    <x v="3"/>
  </r>
  <r>
    <x v="0"/>
    <x v="676"/>
    <x v="6"/>
    <x v="2"/>
    <x v="2"/>
    <m/>
    <x v="2"/>
    <n v="0.8"/>
    <n v="0.59021956114999996"/>
    <m/>
    <n v="52.349908902000003"/>
    <x v="9"/>
    <x v="1"/>
    <x v="1"/>
    <x v="10"/>
    <x v="4"/>
    <x v="4"/>
  </r>
  <r>
    <x v="0"/>
    <x v="677"/>
    <x v="6"/>
    <x v="2"/>
    <x v="2"/>
    <m/>
    <x v="2"/>
    <n v="0.85"/>
    <n v="0.13959975707200001"/>
    <m/>
    <n v="52.349908902000003"/>
    <x v="5"/>
    <x v="4"/>
    <x v="1"/>
    <x v="11"/>
    <x v="4"/>
    <x v="4"/>
  </r>
  <r>
    <x v="0"/>
    <x v="678"/>
    <x v="6"/>
    <x v="2"/>
    <x v="2"/>
    <m/>
    <x v="2"/>
    <n v="0.7"/>
    <n v="7.1852816139999998E-2"/>
    <m/>
    <n v="55.429315308"/>
    <x v="2"/>
    <x v="5"/>
    <x v="1"/>
    <x v="8"/>
    <x v="5"/>
    <x v="5"/>
  </r>
  <r>
    <x v="0"/>
    <x v="679"/>
    <x v="6"/>
    <x v="2"/>
    <x v="2"/>
    <m/>
    <x v="2"/>
    <n v="0.78"/>
    <n v="5.2349908902000003E-2"/>
    <m/>
    <n v="55.429315308"/>
    <x v="4"/>
    <x v="4"/>
    <x v="1"/>
    <x v="12"/>
    <x v="5"/>
    <x v="5"/>
  </r>
  <r>
    <x v="0"/>
    <x v="680"/>
    <x v="6"/>
    <x v="2"/>
    <x v="2"/>
    <m/>
    <x v="2"/>
    <n v="0.6"/>
    <n v="0.24635251248000001"/>
    <m/>
    <n v="14.370563228"/>
    <x v="9"/>
    <x v="1"/>
    <x v="1"/>
    <x v="13"/>
    <x v="3"/>
    <x v="3"/>
  </r>
  <r>
    <x v="0"/>
    <x v="681"/>
    <x v="6"/>
    <x v="2"/>
    <x v="2"/>
    <m/>
    <x v="2"/>
    <n v="0.71"/>
    <n v="0.25251132529199999"/>
    <m/>
    <n v="14.370563228"/>
    <x v="4"/>
    <x v="4"/>
    <x v="1"/>
    <x v="14"/>
    <x v="3"/>
    <x v="3"/>
  </r>
  <r>
    <x v="0"/>
    <x v="682"/>
    <x v="6"/>
    <x v="3"/>
    <x v="2"/>
    <m/>
    <x v="2"/>
    <n v="0.73"/>
    <n v="2"/>
    <n v="1.0580000000000001"/>
    <n v="0.14000000000000001"/>
    <x v="0"/>
    <x v="0"/>
    <x v="0"/>
    <x v="0"/>
    <x v="6"/>
    <x v="6"/>
  </r>
  <r>
    <x v="0"/>
    <x v="683"/>
    <x v="25"/>
    <x v="7"/>
    <x v="3"/>
    <m/>
    <x v="2"/>
    <n v="0.5"/>
    <n v="4.9000000000000004"/>
    <n v="24.5"/>
    <m/>
    <x v="2"/>
    <x v="5"/>
    <x v="1"/>
    <x v="15"/>
    <x v="0"/>
    <x v="0"/>
  </r>
  <r>
    <x v="0"/>
    <x v="684"/>
    <x v="25"/>
    <x v="7"/>
    <x v="3"/>
    <m/>
    <x v="2"/>
    <n v="0.55000000000000004"/>
    <n v="1.47"/>
    <n v="9.8000000000000007"/>
    <m/>
    <x v="4"/>
    <x v="1"/>
    <x v="1"/>
    <x v="4"/>
    <x v="0"/>
    <x v="0"/>
  </r>
  <r>
    <x v="0"/>
    <x v="685"/>
    <x v="25"/>
    <x v="7"/>
    <x v="3"/>
    <m/>
    <x v="2"/>
    <n v="0.6"/>
    <n v="0.78400000000000003"/>
    <n v="3.92"/>
    <m/>
    <x v="5"/>
    <x v="3"/>
    <x v="1"/>
    <x v="0"/>
    <x v="0"/>
    <x v="0"/>
  </r>
  <r>
    <x v="0"/>
    <x v="686"/>
    <x v="25"/>
    <x v="7"/>
    <x v="3"/>
    <m/>
    <x v="2"/>
    <n v="0.63"/>
    <n v="0.49"/>
    <n v="2.94"/>
    <m/>
    <x v="7"/>
    <x v="0"/>
    <x v="1"/>
    <x v="0"/>
    <x v="0"/>
    <x v="0"/>
  </r>
  <r>
    <x v="0"/>
    <x v="687"/>
    <x v="23"/>
    <x v="1"/>
    <x v="1"/>
    <m/>
    <x v="2"/>
    <n v="1"/>
    <m/>
    <m/>
    <m/>
    <x v="1"/>
    <x v="0"/>
    <x v="0"/>
    <x v="1"/>
    <x v="0"/>
    <x v="0"/>
  </r>
  <r>
    <x v="0"/>
    <x v="688"/>
    <x v="23"/>
    <x v="5"/>
    <x v="3"/>
    <m/>
    <x v="5"/>
    <n v="1"/>
    <m/>
    <m/>
    <m/>
    <x v="1"/>
    <x v="0"/>
    <x v="0"/>
    <x v="1"/>
    <x v="0"/>
    <x v="0"/>
  </r>
  <r>
    <x v="0"/>
    <x v="689"/>
    <x v="18"/>
    <x v="4"/>
    <x v="0"/>
    <n v="1"/>
    <x v="5"/>
    <n v="0.9"/>
    <m/>
    <m/>
    <n v="26.1"/>
    <x v="1"/>
    <x v="0"/>
    <x v="0"/>
    <x v="1"/>
    <x v="0"/>
    <x v="0"/>
  </r>
  <r>
    <x v="0"/>
    <x v="690"/>
    <x v="18"/>
    <x v="4"/>
    <x v="0"/>
    <n v="0.3"/>
    <x v="5"/>
    <n v="0.9"/>
    <m/>
    <m/>
    <n v="26.1"/>
    <x v="1"/>
    <x v="0"/>
    <x v="0"/>
    <x v="1"/>
    <x v="0"/>
    <x v="0"/>
  </r>
  <r>
    <x v="0"/>
    <x v="691"/>
    <x v="18"/>
    <x v="4"/>
    <x v="0"/>
    <n v="0.51"/>
    <x v="5"/>
    <n v="0.9"/>
    <m/>
    <m/>
    <n v="26.1"/>
    <x v="10"/>
    <x v="0"/>
    <x v="0"/>
    <x v="3"/>
    <x v="0"/>
    <x v="0"/>
  </r>
  <r>
    <x v="0"/>
    <x v="692"/>
    <x v="9"/>
    <x v="4"/>
    <x v="0"/>
    <n v="1.8"/>
    <x v="5"/>
    <n v="0.9"/>
    <m/>
    <n v="5.2919999999999998"/>
    <n v="9.8000000000000007"/>
    <x v="1"/>
    <x v="0"/>
    <x v="0"/>
    <x v="1"/>
    <x v="0"/>
    <x v="0"/>
  </r>
  <r>
    <x v="0"/>
    <x v="693"/>
    <x v="9"/>
    <x v="4"/>
    <x v="0"/>
    <n v="0.4"/>
    <x v="5"/>
    <n v="0.9"/>
    <m/>
    <n v="5.2919999999999998"/>
    <n v="9.8000000000000007"/>
    <x v="1"/>
    <x v="0"/>
    <x v="0"/>
    <x v="1"/>
    <x v="0"/>
    <x v="0"/>
  </r>
  <r>
    <x v="0"/>
    <x v="694"/>
    <x v="9"/>
    <x v="1"/>
    <x v="1"/>
    <m/>
    <x v="2"/>
    <n v="0.3"/>
    <m/>
    <n v="4.41"/>
    <n v="19.600000000000001"/>
    <x v="1"/>
    <x v="0"/>
    <x v="0"/>
    <x v="1"/>
    <x v="0"/>
    <x v="0"/>
  </r>
  <r>
    <x v="0"/>
    <x v="695"/>
    <x v="9"/>
    <x v="1"/>
    <x v="1"/>
    <m/>
    <x v="2"/>
    <n v="0.31"/>
    <m/>
    <n v="4.41"/>
    <n v="19.600000000000001"/>
    <x v="1"/>
    <x v="0"/>
    <x v="0"/>
    <x v="1"/>
    <x v="0"/>
    <x v="0"/>
  </r>
  <r>
    <x v="0"/>
    <x v="696"/>
    <x v="9"/>
    <x v="1"/>
    <x v="1"/>
    <m/>
    <x v="2"/>
    <n v="0.32"/>
    <m/>
    <n v="4.41"/>
    <n v="19.600000000000001"/>
    <x v="1"/>
    <x v="0"/>
    <x v="0"/>
    <x v="1"/>
    <x v="0"/>
    <x v="0"/>
  </r>
  <r>
    <x v="0"/>
    <x v="697"/>
    <x v="9"/>
    <x v="1"/>
    <x v="1"/>
    <m/>
    <x v="2"/>
    <n v="0.35"/>
    <m/>
    <n v="4.41"/>
    <n v="19.600000000000001"/>
    <x v="1"/>
    <x v="0"/>
    <x v="0"/>
    <x v="1"/>
    <x v="0"/>
    <x v="0"/>
  </r>
  <r>
    <x v="0"/>
    <x v="698"/>
    <x v="9"/>
    <x v="1"/>
    <x v="1"/>
    <m/>
    <x v="2"/>
    <n v="0.36"/>
    <m/>
    <n v="4.41"/>
    <n v="19.600000000000001"/>
    <x v="1"/>
    <x v="0"/>
    <x v="0"/>
    <x v="1"/>
    <x v="0"/>
    <x v="0"/>
  </r>
  <r>
    <x v="0"/>
    <x v="699"/>
    <x v="20"/>
    <x v="1"/>
    <x v="1"/>
    <m/>
    <x v="2"/>
    <n v="0.24"/>
    <m/>
    <n v="4.41"/>
    <n v="19.600000000000001"/>
    <x v="1"/>
    <x v="0"/>
    <x v="0"/>
    <x v="1"/>
    <x v="0"/>
    <x v="0"/>
  </r>
  <r>
    <x v="0"/>
    <x v="700"/>
    <x v="20"/>
    <x v="1"/>
    <x v="1"/>
    <m/>
    <x v="2"/>
    <n v="0.26"/>
    <m/>
    <n v="4.41"/>
    <n v="19.600000000000001"/>
    <x v="1"/>
    <x v="0"/>
    <x v="0"/>
    <x v="1"/>
    <x v="0"/>
    <x v="0"/>
  </r>
  <r>
    <x v="0"/>
    <x v="701"/>
    <x v="20"/>
    <x v="1"/>
    <x v="1"/>
    <m/>
    <x v="2"/>
    <n v="0.27"/>
    <m/>
    <n v="4.41"/>
    <n v="19.600000000000001"/>
    <x v="1"/>
    <x v="0"/>
    <x v="0"/>
    <x v="1"/>
    <x v="0"/>
    <x v="0"/>
  </r>
  <r>
    <x v="0"/>
    <x v="702"/>
    <x v="0"/>
    <x v="4"/>
    <x v="0"/>
    <n v="1.5"/>
    <x v="5"/>
    <n v="0.9"/>
    <m/>
    <n v="4.41"/>
    <n v="19.600000000000001"/>
    <x v="1"/>
    <x v="0"/>
    <x v="0"/>
    <x v="1"/>
    <x v="0"/>
    <x v="0"/>
  </r>
  <r>
    <x v="0"/>
    <x v="703"/>
    <x v="1"/>
    <x v="4"/>
    <x v="0"/>
    <n v="1.5"/>
    <x v="5"/>
    <n v="0.9"/>
    <m/>
    <n v="4.41"/>
    <n v="19.600000000000001"/>
    <x v="1"/>
    <x v="0"/>
    <x v="0"/>
    <x v="1"/>
    <x v="0"/>
    <x v="0"/>
  </r>
  <r>
    <x v="0"/>
    <x v="704"/>
    <x v="2"/>
    <x v="4"/>
    <x v="0"/>
    <n v="1.5"/>
    <x v="5"/>
    <n v="0.9"/>
    <m/>
    <n v="4.41"/>
    <n v="19.600000000000001"/>
    <x v="1"/>
    <x v="0"/>
    <x v="0"/>
    <x v="1"/>
    <x v="0"/>
    <x v="0"/>
  </r>
  <r>
    <x v="0"/>
    <x v="705"/>
    <x v="3"/>
    <x v="4"/>
    <x v="0"/>
    <n v="1.5"/>
    <x v="5"/>
    <n v="0.9"/>
    <m/>
    <n v="4.41"/>
    <n v="19.600000000000001"/>
    <x v="1"/>
    <x v="0"/>
    <x v="0"/>
    <x v="1"/>
    <x v="0"/>
    <x v="0"/>
  </r>
  <r>
    <x v="0"/>
    <x v="706"/>
    <x v="4"/>
    <x v="4"/>
    <x v="0"/>
    <n v="1.5"/>
    <x v="5"/>
    <n v="0.9"/>
    <m/>
    <n v="4.41"/>
    <n v="19.600000000000001"/>
    <x v="1"/>
    <x v="0"/>
    <x v="0"/>
    <x v="1"/>
    <x v="0"/>
    <x v="0"/>
  </r>
  <r>
    <x v="0"/>
    <x v="707"/>
    <x v="0"/>
    <x v="4"/>
    <x v="0"/>
    <n v="0.3"/>
    <x v="5"/>
    <n v="0.9"/>
    <m/>
    <n v="4.41"/>
    <n v="19.600000000000001"/>
    <x v="1"/>
    <x v="0"/>
    <x v="0"/>
    <x v="1"/>
    <x v="0"/>
    <x v="0"/>
  </r>
  <r>
    <x v="0"/>
    <x v="708"/>
    <x v="1"/>
    <x v="4"/>
    <x v="0"/>
    <n v="0.3"/>
    <x v="5"/>
    <n v="0.9"/>
    <m/>
    <n v="4.41"/>
    <n v="19.600000000000001"/>
    <x v="1"/>
    <x v="0"/>
    <x v="0"/>
    <x v="1"/>
    <x v="0"/>
    <x v="0"/>
  </r>
  <r>
    <x v="0"/>
    <x v="709"/>
    <x v="2"/>
    <x v="4"/>
    <x v="0"/>
    <n v="0.3"/>
    <x v="5"/>
    <n v="0.9"/>
    <m/>
    <n v="4.41"/>
    <n v="19.600000000000001"/>
    <x v="1"/>
    <x v="0"/>
    <x v="0"/>
    <x v="1"/>
    <x v="0"/>
    <x v="0"/>
  </r>
  <r>
    <x v="0"/>
    <x v="710"/>
    <x v="3"/>
    <x v="4"/>
    <x v="0"/>
    <n v="0.3"/>
    <x v="5"/>
    <n v="0.9"/>
    <m/>
    <n v="4.41"/>
    <n v="19.600000000000001"/>
    <x v="1"/>
    <x v="0"/>
    <x v="0"/>
    <x v="1"/>
    <x v="0"/>
    <x v="0"/>
  </r>
  <r>
    <x v="0"/>
    <x v="711"/>
    <x v="4"/>
    <x v="4"/>
    <x v="0"/>
    <n v="0.3"/>
    <x v="5"/>
    <n v="0.9"/>
    <m/>
    <n v="4.41"/>
    <n v="19.600000000000001"/>
    <x v="1"/>
    <x v="0"/>
    <x v="0"/>
    <x v="1"/>
    <x v="0"/>
    <x v="0"/>
  </r>
  <r>
    <x v="0"/>
    <x v="712"/>
    <x v="0"/>
    <x v="4"/>
    <x v="0"/>
    <n v="0.4"/>
    <x v="5"/>
    <n v="0.9"/>
    <m/>
    <n v="4.41"/>
    <n v="19.600000000000001"/>
    <x v="1"/>
    <x v="0"/>
    <x v="0"/>
    <x v="1"/>
    <x v="0"/>
    <x v="0"/>
  </r>
  <r>
    <x v="0"/>
    <x v="713"/>
    <x v="1"/>
    <x v="4"/>
    <x v="0"/>
    <n v="0.4"/>
    <x v="5"/>
    <n v="0.9"/>
    <m/>
    <n v="4.41"/>
    <n v="19.600000000000001"/>
    <x v="1"/>
    <x v="0"/>
    <x v="0"/>
    <x v="1"/>
    <x v="0"/>
    <x v="0"/>
  </r>
  <r>
    <x v="0"/>
    <x v="714"/>
    <x v="2"/>
    <x v="4"/>
    <x v="0"/>
    <n v="0.4"/>
    <x v="5"/>
    <n v="0.9"/>
    <m/>
    <n v="4.41"/>
    <n v="19.600000000000001"/>
    <x v="1"/>
    <x v="0"/>
    <x v="0"/>
    <x v="1"/>
    <x v="0"/>
    <x v="0"/>
  </r>
  <r>
    <x v="0"/>
    <x v="715"/>
    <x v="3"/>
    <x v="4"/>
    <x v="0"/>
    <n v="0.4"/>
    <x v="5"/>
    <n v="0.9"/>
    <m/>
    <n v="4.41"/>
    <n v="19.600000000000001"/>
    <x v="1"/>
    <x v="0"/>
    <x v="0"/>
    <x v="1"/>
    <x v="0"/>
    <x v="0"/>
  </r>
  <r>
    <x v="0"/>
    <x v="716"/>
    <x v="4"/>
    <x v="4"/>
    <x v="0"/>
    <n v="0.4"/>
    <x v="5"/>
    <n v="0.9"/>
    <m/>
    <n v="4.41"/>
    <n v="19.600000000000001"/>
    <x v="1"/>
    <x v="0"/>
    <x v="0"/>
    <x v="1"/>
    <x v="0"/>
    <x v="0"/>
  </r>
  <r>
    <x v="0"/>
    <x v="717"/>
    <x v="0"/>
    <x v="4"/>
    <x v="0"/>
    <n v="4.7"/>
    <x v="5"/>
    <n v="0.9"/>
    <m/>
    <n v="4.41"/>
    <n v="19.600000000000001"/>
    <x v="1"/>
    <x v="0"/>
    <x v="0"/>
    <x v="1"/>
    <x v="0"/>
    <x v="0"/>
  </r>
  <r>
    <x v="0"/>
    <x v="718"/>
    <x v="1"/>
    <x v="4"/>
    <x v="0"/>
    <n v="4.7"/>
    <x v="5"/>
    <n v="0.9"/>
    <m/>
    <n v="4.41"/>
    <n v="19.600000000000001"/>
    <x v="1"/>
    <x v="0"/>
    <x v="0"/>
    <x v="1"/>
    <x v="0"/>
    <x v="0"/>
  </r>
  <r>
    <x v="0"/>
    <x v="719"/>
    <x v="2"/>
    <x v="4"/>
    <x v="0"/>
    <n v="4.7"/>
    <x v="5"/>
    <n v="0.9"/>
    <m/>
    <n v="4.41"/>
    <n v="19.600000000000001"/>
    <x v="1"/>
    <x v="0"/>
    <x v="0"/>
    <x v="1"/>
    <x v="0"/>
    <x v="0"/>
  </r>
  <r>
    <x v="0"/>
    <x v="720"/>
    <x v="3"/>
    <x v="4"/>
    <x v="0"/>
    <n v="4.7"/>
    <x v="5"/>
    <n v="0.9"/>
    <m/>
    <n v="4.41"/>
    <n v="19.600000000000001"/>
    <x v="1"/>
    <x v="0"/>
    <x v="0"/>
    <x v="1"/>
    <x v="0"/>
    <x v="0"/>
  </r>
  <r>
    <x v="0"/>
    <x v="721"/>
    <x v="4"/>
    <x v="4"/>
    <x v="0"/>
    <n v="4.7"/>
    <x v="5"/>
    <n v="0.9"/>
    <m/>
    <n v="4.41"/>
    <n v="19.600000000000001"/>
    <x v="1"/>
    <x v="0"/>
    <x v="0"/>
    <x v="1"/>
    <x v="0"/>
    <x v="0"/>
  </r>
  <r>
    <x v="0"/>
    <x v="722"/>
    <x v="0"/>
    <x v="4"/>
    <x v="0"/>
    <n v="0.5"/>
    <x v="5"/>
    <n v="0.9"/>
    <m/>
    <n v="4.41"/>
    <n v="19.600000000000001"/>
    <x v="1"/>
    <x v="0"/>
    <x v="0"/>
    <x v="1"/>
    <x v="0"/>
    <x v="0"/>
  </r>
  <r>
    <x v="0"/>
    <x v="723"/>
    <x v="1"/>
    <x v="4"/>
    <x v="0"/>
    <n v="0.5"/>
    <x v="5"/>
    <n v="0.9"/>
    <m/>
    <n v="4.41"/>
    <n v="19.600000000000001"/>
    <x v="1"/>
    <x v="0"/>
    <x v="0"/>
    <x v="1"/>
    <x v="0"/>
    <x v="0"/>
  </r>
  <r>
    <x v="0"/>
    <x v="724"/>
    <x v="2"/>
    <x v="4"/>
    <x v="0"/>
    <n v="0.5"/>
    <x v="5"/>
    <n v="0.9"/>
    <m/>
    <n v="4.41"/>
    <n v="19.600000000000001"/>
    <x v="1"/>
    <x v="0"/>
    <x v="0"/>
    <x v="1"/>
    <x v="0"/>
    <x v="0"/>
  </r>
  <r>
    <x v="0"/>
    <x v="725"/>
    <x v="3"/>
    <x v="4"/>
    <x v="0"/>
    <n v="0.5"/>
    <x v="5"/>
    <n v="0.9"/>
    <m/>
    <n v="4.41"/>
    <n v="19.600000000000001"/>
    <x v="1"/>
    <x v="0"/>
    <x v="0"/>
    <x v="1"/>
    <x v="0"/>
    <x v="0"/>
  </r>
  <r>
    <x v="0"/>
    <x v="726"/>
    <x v="4"/>
    <x v="4"/>
    <x v="0"/>
    <n v="0.5"/>
    <x v="5"/>
    <n v="0.9"/>
    <m/>
    <n v="4.41"/>
    <n v="19.600000000000001"/>
    <x v="1"/>
    <x v="0"/>
    <x v="0"/>
    <x v="1"/>
    <x v="0"/>
    <x v="0"/>
  </r>
  <r>
    <x v="0"/>
    <x v="727"/>
    <x v="0"/>
    <x v="4"/>
    <x v="0"/>
    <n v="0.6"/>
    <x v="5"/>
    <n v="0.9"/>
    <m/>
    <n v="4.41"/>
    <n v="19.600000000000001"/>
    <x v="1"/>
    <x v="0"/>
    <x v="0"/>
    <x v="1"/>
    <x v="0"/>
    <x v="0"/>
  </r>
  <r>
    <x v="0"/>
    <x v="728"/>
    <x v="1"/>
    <x v="4"/>
    <x v="0"/>
    <n v="0.6"/>
    <x v="5"/>
    <n v="0.9"/>
    <m/>
    <n v="4.41"/>
    <n v="19.600000000000001"/>
    <x v="1"/>
    <x v="0"/>
    <x v="0"/>
    <x v="1"/>
    <x v="0"/>
    <x v="0"/>
  </r>
  <r>
    <x v="0"/>
    <x v="729"/>
    <x v="2"/>
    <x v="4"/>
    <x v="0"/>
    <n v="0.6"/>
    <x v="5"/>
    <n v="0.9"/>
    <m/>
    <n v="4.41"/>
    <n v="19.600000000000001"/>
    <x v="1"/>
    <x v="0"/>
    <x v="0"/>
    <x v="1"/>
    <x v="0"/>
    <x v="0"/>
  </r>
  <r>
    <x v="0"/>
    <x v="730"/>
    <x v="3"/>
    <x v="4"/>
    <x v="0"/>
    <n v="0.6"/>
    <x v="5"/>
    <n v="0.9"/>
    <m/>
    <n v="4.41"/>
    <n v="19.600000000000001"/>
    <x v="1"/>
    <x v="0"/>
    <x v="0"/>
    <x v="1"/>
    <x v="0"/>
    <x v="0"/>
  </r>
  <r>
    <x v="0"/>
    <x v="731"/>
    <x v="4"/>
    <x v="4"/>
    <x v="0"/>
    <n v="0.6"/>
    <x v="5"/>
    <n v="0.9"/>
    <m/>
    <n v="4.41"/>
    <n v="19.600000000000001"/>
    <x v="1"/>
    <x v="0"/>
    <x v="0"/>
    <x v="1"/>
    <x v="0"/>
    <x v="0"/>
  </r>
  <r>
    <x v="0"/>
    <x v="732"/>
    <x v="0"/>
    <x v="4"/>
    <x v="0"/>
    <n v="0.7"/>
    <x v="5"/>
    <n v="0.9"/>
    <m/>
    <n v="4.41"/>
    <n v="19.600000000000001"/>
    <x v="1"/>
    <x v="0"/>
    <x v="0"/>
    <x v="1"/>
    <x v="0"/>
    <x v="0"/>
  </r>
  <r>
    <x v="0"/>
    <x v="733"/>
    <x v="1"/>
    <x v="4"/>
    <x v="0"/>
    <n v="0.7"/>
    <x v="5"/>
    <n v="0.9"/>
    <m/>
    <n v="4.41"/>
    <n v="19.600000000000001"/>
    <x v="1"/>
    <x v="0"/>
    <x v="0"/>
    <x v="1"/>
    <x v="0"/>
    <x v="0"/>
  </r>
  <r>
    <x v="0"/>
    <x v="734"/>
    <x v="2"/>
    <x v="4"/>
    <x v="0"/>
    <n v="0.7"/>
    <x v="5"/>
    <n v="0.9"/>
    <m/>
    <n v="4.41"/>
    <n v="19.600000000000001"/>
    <x v="1"/>
    <x v="0"/>
    <x v="0"/>
    <x v="1"/>
    <x v="0"/>
    <x v="0"/>
  </r>
  <r>
    <x v="0"/>
    <x v="735"/>
    <x v="3"/>
    <x v="4"/>
    <x v="0"/>
    <n v="0.7"/>
    <x v="5"/>
    <n v="0.9"/>
    <m/>
    <n v="4.41"/>
    <n v="19.600000000000001"/>
    <x v="1"/>
    <x v="0"/>
    <x v="0"/>
    <x v="1"/>
    <x v="0"/>
    <x v="0"/>
  </r>
  <r>
    <x v="0"/>
    <x v="736"/>
    <x v="4"/>
    <x v="4"/>
    <x v="0"/>
    <n v="0.7"/>
    <x v="5"/>
    <n v="0.9"/>
    <m/>
    <n v="4.41"/>
    <n v="19.600000000000001"/>
    <x v="1"/>
    <x v="0"/>
    <x v="0"/>
    <x v="1"/>
    <x v="0"/>
    <x v="0"/>
  </r>
  <r>
    <x v="0"/>
    <x v="737"/>
    <x v="0"/>
    <x v="4"/>
    <x v="0"/>
    <n v="0.8"/>
    <x v="5"/>
    <n v="0.9"/>
    <m/>
    <n v="4.41"/>
    <n v="19.600000000000001"/>
    <x v="1"/>
    <x v="0"/>
    <x v="0"/>
    <x v="1"/>
    <x v="0"/>
    <x v="0"/>
  </r>
  <r>
    <x v="0"/>
    <x v="738"/>
    <x v="1"/>
    <x v="4"/>
    <x v="0"/>
    <n v="0.8"/>
    <x v="5"/>
    <n v="0.9"/>
    <m/>
    <n v="4.41"/>
    <n v="19.600000000000001"/>
    <x v="1"/>
    <x v="0"/>
    <x v="0"/>
    <x v="1"/>
    <x v="0"/>
    <x v="0"/>
  </r>
  <r>
    <x v="0"/>
    <x v="739"/>
    <x v="2"/>
    <x v="4"/>
    <x v="0"/>
    <n v="0.8"/>
    <x v="5"/>
    <n v="0.9"/>
    <m/>
    <n v="4.41"/>
    <n v="19.600000000000001"/>
    <x v="1"/>
    <x v="0"/>
    <x v="0"/>
    <x v="1"/>
    <x v="0"/>
    <x v="0"/>
  </r>
  <r>
    <x v="0"/>
    <x v="740"/>
    <x v="3"/>
    <x v="4"/>
    <x v="0"/>
    <n v="0.8"/>
    <x v="5"/>
    <n v="0.9"/>
    <m/>
    <n v="4.41"/>
    <n v="19.600000000000001"/>
    <x v="1"/>
    <x v="0"/>
    <x v="0"/>
    <x v="1"/>
    <x v="0"/>
    <x v="0"/>
  </r>
  <r>
    <x v="0"/>
    <x v="741"/>
    <x v="4"/>
    <x v="4"/>
    <x v="0"/>
    <n v="0.8"/>
    <x v="5"/>
    <n v="0.9"/>
    <m/>
    <n v="4.41"/>
    <n v="19.600000000000001"/>
    <x v="1"/>
    <x v="0"/>
    <x v="0"/>
    <x v="1"/>
    <x v="0"/>
    <x v="0"/>
  </r>
  <r>
    <x v="0"/>
    <x v="742"/>
    <x v="0"/>
    <x v="4"/>
    <x v="0"/>
    <n v="0.9"/>
    <x v="5"/>
    <n v="0.9"/>
    <m/>
    <n v="4.41"/>
    <n v="19.600000000000001"/>
    <x v="1"/>
    <x v="0"/>
    <x v="0"/>
    <x v="1"/>
    <x v="0"/>
    <x v="0"/>
  </r>
  <r>
    <x v="0"/>
    <x v="743"/>
    <x v="1"/>
    <x v="4"/>
    <x v="0"/>
    <n v="0.9"/>
    <x v="5"/>
    <n v="0.9"/>
    <m/>
    <n v="4.41"/>
    <n v="19.600000000000001"/>
    <x v="1"/>
    <x v="0"/>
    <x v="0"/>
    <x v="1"/>
    <x v="0"/>
    <x v="0"/>
  </r>
  <r>
    <x v="0"/>
    <x v="744"/>
    <x v="2"/>
    <x v="4"/>
    <x v="0"/>
    <n v="0.9"/>
    <x v="5"/>
    <n v="0.9"/>
    <m/>
    <n v="4.41"/>
    <n v="19.600000000000001"/>
    <x v="1"/>
    <x v="0"/>
    <x v="0"/>
    <x v="1"/>
    <x v="0"/>
    <x v="0"/>
  </r>
  <r>
    <x v="0"/>
    <x v="745"/>
    <x v="3"/>
    <x v="4"/>
    <x v="0"/>
    <n v="0.9"/>
    <x v="5"/>
    <n v="0.9"/>
    <m/>
    <n v="4.41"/>
    <n v="19.600000000000001"/>
    <x v="1"/>
    <x v="0"/>
    <x v="0"/>
    <x v="1"/>
    <x v="0"/>
    <x v="0"/>
  </r>
  <r>
    <x v="0"/>
    <x v="746"/>
    <x v="4"/>
    <x v="4"/>
    <x v="0"/>
    <n v="0.9"/>
    <x v="5"/>
    <n v="0.9"/>
    <m/>
    <n v="4.41"/>
    <n v="19.600000000000001"/>
    <x v="1"/>
    <x v="0"/>
    <x v="0"/>
    <x v="1"/>
    <x v="0"/>
    <x v="0"/>
  </r>
  <r>
    <x v="0"/>
    <x v="747"/>
    <x v="0"/>
    <x v="4"/>
    <x v="0"/>
    <n v="0.95"/>
    <x v="5"/>
    <n v="0.55421052631578904"/>
    <m/>
    <n v="4.41"/>
    <n v="19.600000000000001"/>
    <x v="1"/>
    <x v="0"/>
    <x v="0"/>
    <x v="1"/>
    <x v="0"/>
    <x v="0"/>
  </r>
  <r>
    <x v="0"/>
    <x v="748"/>
    <x v="1"/>
    <x v="4"/>
    <x v="0"/>
    <n v="0.95"/>
    <x v="5"/>
    <n v="0.55421052631578904"/>
    <m/>
    <n v="4.41"/>
    <n v="19.600000000000001"/>
    <x v="1"/>
    <x v="0"/>
    <x v="0"/>
    <x v="1"/>
    <x v="0"/>
    <x v="0"/>
  </r>
  <r>
    <x v="0"/>
    <x v="749"/>
    <x v="2"/>
    <x v="4"/>
    <x v="0"/>
    <n v="0.95"/>
    <x v="5"/>
    <n v="0.55421052631578904"/>
    <m/>
    <n v="4.41"/>
    <n v="19.600000000000001"/>
    <x v="1"/>
    <x v="0"/>
    <x v="0"/>
    <x v="1"/>
    <x v="0"/>
    <x v="0"/>
  </r>
  <r>
    <x v="0"/>
    <x v="750"/>
    <x v="3"/>
    <x v="4"/>
    <x v="0"/>
    <n v="0.95"/>
    <x v="5"/>
    <n v="0.55421052631578904"/>
    <m/>
    <n v="4.41"/>
    <n v="19.600000000000001"/>
    <x v="1"/>
    <x v="0"/>
    <x v="0"/>
    <x v="1"/>
    <x v="0"/>
    <x v="0"/>
  </r>
  <r>
    <x v="0"/>
    <x v="751"/>
    <x v="4"/>
    <x v="4"/>
    <x v="0"/>
    <n v="0.95"/>
    <x v="5"/>
    <n v="0.55421052631578904"/>
    <m/>
    <n v="4.41"/>
    <n v="19.600000000000001"/>
    <x v="1"/>
    <x v="0"/>
    <x v="0"/>
    <x v="1"/>
    <x v="0"/>
    <x v="0"/>
  </r>
  <r>
    <x v="0"/>
    <x v="752"/>
    <x v="0"/>
    <x v="4"/>
    <x v="0"/>
    <n v="0.95"/>
    <x v="5"/>
    <n v="0.57473684210526299"/>
    <m/>
    <n v="4.41"/>
    <n v="19.600000000000001"/>
    <x v="1"/>
    <x v="0"/>
    <x v="0"/>
    <x v="1"/>
    <x v="0"/>
    <x v="0"/>
  </r>
  <r>
    <x v="0"/>
    <x v="753"/>
    <x v="1"/>
    <x v="4"/>
    <x v="0"/>
    <n v="0.95"/>
    <x v="5"/>
    <n v="0.57473684210526299"/>
    <m/>
    <n v="4.41"/>
    <n v="19.600000000000001"/>
    <x v="1"/>
    <x v="0"/>
    <x v="0"/>
    <x v="1"/>
    <x v="0"/>
    <x v="0"/>
  </r>
  <r>
    <x v="0"/>
    <x v="754"/>
    <x v="2"/>
    <x v="4"/>
    <x v="0"/>
    <n v="0.95"/>
    <x v="5"/>
    <n v="0.57473684210526299"/>
    <m/>
    <n v="4.41"/>
    <n v="19.600000000000001"/>
    <x v="1"/>
    <x v="0"/>
    <x v="0"/>
    <x v="1"/>
    <x v="0"/>
    <x v="0"/>
  </r>
  <r>
    <x v="0"/>
    <x v="755"/>
    <x v="3"/>
    <x v="4"/>
    <x v="0"/>
    <n v="0.95"/>
    <x v="5"/>
    <n v="0.57473684210526299"/>
    <m/>
    <n v="4.41"/>
    <n v="19.600000000000001"/>
    <x v="1"/>
    <x v="0"/>
    <x v="0"/>
    <x v="1"/>
    <x v="0"/>
    <x v="0"/>
  </r>
  <r>
    <x v="0"/>
    <x v="756"/>
    <x v="4"/>
    <x v="4"/>
    <x v="0"/>
    <n v="0.95"/>
    <x v="5"/>
    <n v="0.57473684210526299"/>
    <m/>
    <n v="4.41"/>
    <n v="19.600000000000001"/>
    <x v="1"/>
    <x v="0"/>
    <x v="0"/>
    <x v="1"/>
    <x v="0"/>
    <x v="0"/>
  </r>
  <r>
    <x v="0"/>
    <x v="757"/>
    <x v="0"/>
    <x v="4"/>
    <x v="0"/>
    <n v="0.95"/>
    <x v="5"/>
    <n v="0.59526315789473705"/>
    <m/>
    <n v="4.41"/>
    <n v="19.600000000000001"/>
    <x v="1"/>
    <x v="0"/>
    <x v="0"/>
    <x v="1"/>
    <x v="0"/>
    <x v="0"/>
  </r>
  <r>
    <x v="0"/>
    <x v="758"/>
    <x v="1"/>
    <x v="4"/>
    <x v="0"/>
    <n v="0.95"/>
    <x v="5"/>
    <n v="0.59526315789473705"/>
    <m/>
    <n v="4.41"/>
    <n v="19.600000000000001"/>
    <x v="1"/>
    <x v="0"/>
    <x v="0"/>
    <x v="1"/>
    <x v="0"/>
    <x v="0"/>
  </r>
  <r>
    <x v="0"/>
    <x v="759"/>
    <x v="2"/>
    <x v="4"/>
    <x v="0"/>
    <n v="0.95"/>
    <x v="5"/>
    <n v="0.59526315789473705"/>
    <m/>
    <n v="4.41"/>
    <n v="19.600000000000001"/>
    <x v="1"/>
    <x v="0"/>
    <x v="0"/>
    <x v="1"/>
    <x v="0"/>
    <x v="0"/>
  </r>
  <r>
    <x v="0"/>
    <x v="760"/>
    <x v="3"/>
    <x v="4"/>
    <x v="0"/>
    <n v="0.95"/>
    <x v="5"/>
    <n v="0.59526315789473705"/>
    <m/>
    <n v="4.41"/>
    <n v="19.600000000000001"/>
    <x v="1"/>
    <x v="0"/>
    <x v="0"/>
    <x v="1"/>
    <x v="0"/>
    <x v="0"/>
  </r>
  <r>
    <x v="0"/>
    <x v="761"/>
    <x v="4"/>
    <x v="4"/>
    <x v="0"/>
    <n v="0.95"/>
    <x v="5"/>
    <n v="0.59526315789473705"/>
    <m/>
    <n v="4.41"/>
    <n v="19.600000000000001"/>
    <x v="1"/>
    <x v="0"/>
    <x v="0"/>
    <x v="1"/>
    <x v="0"/>
    <x v="0"/>
  </r>
  <r>
    <x v="0"/>
    <x v="762"/>
    <x v="0"/>
    <x v="4"/>
    <x v="0"/>
    <n v="0.95"/>
    <x v="5"/>
    <n v="0.61578947368421"/>
    <m/>
    <n v="4.41"/>
    <n v="19.600000000000001"/>
    <x v="1"/>
    <x v="0"/>
    <x v="0"/>
    <x v="1"/>
    <x v="0"/>
    <x v="0"/>
  </r>
  <r>
    <x v="0"/>
    <x v="763"/>
    <x v="1"/>
    <x v="4"/>
    <x v="0"/>
    <n v="0.95"/>
    <x v="5"/>
    <n v="0.61578947368421"/>
    <m/>
    <n v="4.41"/>
    <n v="19.600000000000001"/>
    <x v="1"/>
    <x v="0"/>
    <x v="0"/>
    <x v="1"/>
    <x v="0"/>
    <x v="0"/>
  </r>
  <r>
    <x v="0"/>
    <x v="764"/>
    <x v="2"/>
    <x v="4"/>
    <x v="0"/>
    <n v="0.95"/>
    <x v="5"/>
    <n v="0.61578947368421"/>
    <m/>
    <n v="4.41"/>
    <n v="19.600000000000001"/>
    <x v="1"/>
    <x v="0"/>
    <x v="0"/>
    <x v="1"/>
    <x v="0"/>
    <x v="0"/>
  </r>
  <r>
    <x v="0"/>
    <x v="765"/>
    <x v="3"/>
    <x v="4"/>
    <x v="0"/>
    <n v="0.95"/>
    <x v="5"/>
    <n v="0.61578947368421"/>
    <m/>
    <n v="4.41"/>
    <n v="19.600000000000001"/>
    <x v="1"/>
    <x v="0"/>
    <x v="0"/>
    <x v="1"/>
    <x v="0"/>
    <x v="0"/>
  </r>
  <r>
    <x v="0"/>
    <x v="766"/>
    <x v="4"/>
    <x v="4"/>
    <x v="0"/>
    <n v="0.95"/>
    <x v="5"/>
    <n v="0.61578947368421"/>
    <m/>
    <n v="4.41"/>
    <n v="19.600000000000001"/>
    <x v="1"/>
    <x v="0"/>
    <x v="0"/>
    <x v="1"/>
    <x v="0"/>
    <x v="0"/>
  </r>
  <r>
    <x v="0"/>
    <x v="767"/>
    <x v="0"/>
    <x v="4"/>
    <x v="0"/>
    <n v="0.95"/>
    <x v="5"/>
    <n v="0.63631578947368395"/>
    <m/>
    <n v="4.41"/>
    <n v="19.600000000000001"/>
    <x v="1"/>
    <x v="0"/>
    <x v="0"/>
    <x v="1"/>
    <x v="0"/>
    <x v="0"/>
  </r>
  <r>
    <x v="0"/>
    <x v="768"/>
    <x v="1"/>
    <x v="4"/>
    <x v="0"/>
    <n v="0.95"/>
    <x v="5"/>
    <n v="0.63631578947368395"/>
    <m/>
    <n v="4.41"/>
    <n v="19.600000000000001"/>
    <x v="1"/>
    <x v="0"/>
    <x v="0"/>
    <x v="1"/>
    <x v="0"/>
    <x v="0"/>
  </r>
  <r>
    <x v="0"/>
    <x v="769"/>
    <x v="2"/>
    <x v="4"/>
    <x v="0"/>
    <n v="0.95"/>
    <x v="5"/>
    <n v="0.63631578947368395"/>
    <m/>
    <n v="4.41"/>
    <n v="19.600000000000001"/>
    <x v="1"/>
    <x v="0"/>
    <x v="0"/>
    <x v="1"/>
    <x v="0"/>
    <x v="0"/>
  </r>
  <r>
    <x v="0"/>
    <x v="770"/>
    <x v="3"/>
    <x v="4"/>
    <x v="0"/>
    <n v="0.95"/>
    <x v="5"/>
    <n v="0.63631578947368395"/>
    <m/>
    <n v="4.41"/>
    <n v="19.600000000000001"/>
    <x v="1"/>
    <x v="0"/>
    <x v="0"/>
    <x v="1"/>
    <x v="0"/>
    <x v="0"/>
  </r>
  <r>
    <x v="0"/>
    <x v="771"/>
    <x v="4"/>
    <x v="4"/>
    <x v="0"/>
    <n v="0.95"/>
    <x v="5"/>
    <n v="0.63631578947368395"/>
    <m/>
    <n v="4.41"/>
    <n v="19.600000000000001"/>
    <x v="1"/>
    <x v="0"/>
    <x v="0"/>
    <x v="1"/>
    <x v="0"/>
    <x v="0"/>
  </r>
  <r>
    <x v="0"/>
    <x v="772"/>
    <x v="0"/>
    <x v="4"/>
    <x v="0"/>
    <n v="0.95"/>
    <x v="5"/>
    <n v="0.656842105263158"/>
    <m/>
    <n v="4.41"/>
    <n v="19.600000000000001"/>
    <x v="1"/>
    <x v="0"/>
    <x v="0"/>
    <x v="1"/>
    <x v="0"/>
    <x v="0"/>
  </r>
  <r>
    <x v="0"/>
    <x v="773"/>
    <x v="1"/>
    <x v="4"/>
    <x v="0"/>
    <n v="0.95"/>
    <x v="5"/>
    <n v="0.656842105263158"/>
    <m/>
    <n v="4.41"/>
    <n v="19.600000000000001"/>
    <x v="1"/>
    <x v="0"/>
    <x v="0"/>
    <x v="1"/>
    <x v="0"/>
    <x v="0"/>
  </r>
  <r>
    <x v="0"/>
    <x v="774"/>
    <x v="2"/>
    <x v="4"/>
    <x v="0"/>
    <n v="0.95"/>
    <x v="5"/>
    <n v="0.656842105263158"/>
    <m/>
    <n v="4.41"/>
    <n v="19.600000000000001"/>
    <x v="1"/>
    <x v="0"/>
    <x v="0"/>
    <x v="1"/>
    <x v="0"/>
    <x v="0"/>
  </r>
  <r>
    <x v="0"/>
    <x v="775"/>
    <x v="3"/>
    <x v="4"/>
    <x v="0"/>
    <n v="0.95"/>
    <x v="5"/>
    <n v="0.656842105263158"/>
    <m/>
    <n v="4.41"/>
    <n v="19.600000000000001"/>
    <x v="1"/>
    <x v="0"/>
    <x v="0"/>
    <x v="1"/>
    <x v="0"/>
    <x v="0"/>
  </r>
  <r>
    <x v="0"/>
    <x v="776"/>
    <x v="4"/>
    <x v="4"/>
    <x v="0"/>
    <n v="0.95"/>
    <x v="5"/>
    <n v="0.656842105263158"/>
    <m/>
    <n v="4.41"/>
    <n v="19.600000000000001"/>
    <x v="1"/>
    <x v="0"/>
    <x v="0"/>
    <x v="1"/>
    <x v="0"/>
    <x v="0"/>
  </r>
  <r>
    <x v="0"/>
    <x v="777"/>
    <x v="0"/>
    <x v="4"/>
    <x v="0"/>
    <n v="0.95"/>
    <x v="5"/>
    <n v="0.67736842105263195"/>
    <m/>
    <n v="4.41"/>
    <n v="19.600000000000001"/>
    <x v="1"/>
    <x v="0"/>
    <x v="0"/>
    <x v="1"/>
    <x v="0"/>
    <x v="0"/>
  </r>
  <r>
    <x v="0"/>
    <x v="778"/>
    <x v="1"/>
    <x v="4"/>
    <x v="0"/>
    <n v="0.95"/>
    <x v="5"/>
    <n v="0.67736842105263195"/>
    <m/>
    <n v="4.41"/>
    <n v="19.600000000000001"/>
    <x v="1"/>
    <x v="0"/>
    <x v="0"/>
    <x v="1"/>
    <x v="0"/>
    <x v="0"/>
  </r>
  <r>
    <x v="0"/>
    <x v="779"/>
    <x v="2"/>
    <x v="4"/>
    <x v="0"/>
    <n v="0.95"/>
    <x v="5"/>
    <n v="0.67736842105263195"/>
    <m/>
    <n v="4.41"/>
    <n v="19.600000000000001"/>
    <x v="1"/>
    <x v="0"/>
    <x v="0"/>
    <x v="1"/>
    <x v="0"/>
    <x v="0"/>
  </r>
  <r>
    <x v="0"/>
    <x v="780"/>
    <x v="3"/>
    <x v="4"/>
    <x v="0"/>
    <n v="0.95"/>
    <x v="5"/>
    <n v="0.67736842105263195"/>
    <m/>
    <n v="4.41"/>
    <n v="19.600000000000001"/>
    <x v="1"/>
    <x v="0"/>
    <x v="0"/>
    <x v="1"/>
    <x v="0"/>
    <x v="0"/>
  </r>
  <r>
    <x v="0"/>
    <x v="781"/>
    <x v="4"/>
    <x v="4"/>
    <x v="0"/>
    <n v="0.95"/>
    <x v="5"/>
    <n v="0.67736842105263195"/>
    <m/>
    <n v="4.41"/>
    <n v="19.600000000000001"/>
    <x v="1"/>
    <x v="0"/>
    <x v="0"/>
    <x v="1"/>
    <x v="0"/>
    <x v="0"/>
  </r>
  <r>
    <x v="0"/>
    <x v="782"/>
    <x v="0"/>
    <x v="4"/>
    <x v="0"/>
    <n v="0.95"/>
    <x v="5"/>
    <n v="0.73894736842105302"/>
    <m/>
    <n v="4.41"/>
    <n v="19.600000000000001"/>
    <x v="1"/>
    <x v="0"/>
    <x v="0"/>
    <x v="1"/>
    <x v="0"/>
    <x v="0"/>
  </r>
  <r>
    <x v="0"/>
    <x v="783"/>
    <x v="1"/>
    <x v="4"/>
    <x v="0"/>
    <n v="0.95"/>
    <x v="5"/>
    <n v="0.73894736842105302"/>
    <m/>
    <n v="4.41"/>
    <n v="19.600000000000001"/>
    <x v="1"/>
    <x v="0"/>
    <x v="0"/>
    <x v="1"/>
    <x v="0"/>
    <x v="0"/>
  </r>
  <r>
    <x v="0"/>
    <x v="784"/>
    <x v="2"/>
    <x v="4"/>
    <x v="0"/>
    <n v="0.95"/>
    <x v="5"/>
    <n v="0.73894736842105302"/>
    <m/>
    <n v="4.41"/>
    <n v="19.600000000000001"/>
    <x v="1"/>
    <x v="0"/>
    <x v="0"/>
    <x v="1"/>
    <x v="0"/>
    <x v="0"/>
  </r>
  <r>
    <x v="0"/>
    <x v="785"/>
    <x v="3"/>
    <x v="4"/>
    <x v="0"/>
    <n v="0.95"/>
    <x v="5"/>
    <n v="0.73894736842105302"/>
    <m/>
    <n v="4.41"/>
    <n v="19.600000000000001"/>
    <x v="1"/>
    <x v="0"/>
    <x v="0"/>
    <x v="1"/>
    <x v="0"/>
    <x v="0"/>
  </r>
  <r>
    <x v="0"/>
    <x v="786"/>
    <x v="4"/>
    <x v="4"/>
    <x v="0"/>
    <n v="0.95"/>
    <x v="5"/>
    <n v="0.73894736842105302"/>
    <m/>
    <n v="4.41"/>
    <n v="19.600000000000001"/>
    <x v="1"/>
    <x v="0"/>
    <x v="0"/>
    <x v="1"/>
    <x v="0"/>
    <x v="0"/>
  </r>
  <r>
    <x v="0"/>
    <x v="787"/>
    <x v="0"/>
    <x v="4"/>
    <x v="0"/>
    <n v="0.95"/>
    <x v="5"/>
    <n v="0.75947368421052597"/>
    <m/>
    <n v="4.41"/>
    <n v="19.600000000000001"/>
    <x v="1"/>
    <x v="0"/>
    <x v="0"/>
    <x v="1"/>
    <x v="0"/>
    <x v="0"/>
  </r>
  <r>
    <x v="0"/>
    <x v="788"/>
    <x v="1"/>
    <x v="4"/>
    <x v="0"/>
    <n v="0.95"/>
    <x v="5"/>
    <n v="0.75947368421052597"/>
    <m/>
    <n v="4.41"/>
    <n v="19.600000000000001"/>
    <x v="1"/>
    <x v="0"/>
    <x v="0"/>
    <x v="1"/>
    <x v="0"/>
    <x v="0"/>
  </r>
  <r>
    <x v="0"/>
    <x v="789"/>
    <x v="2"/>
    <x v="4"/>
    <x v="0"/>
    <n v="0.95"/>
    <x v="5"/>
    <n v="0.75947368421052597"/>
    <m/>
    <n v="4.41"/>
    <n v="19.600000000000001"/>
    <x v="1"/>
    <x v="0"/>
    <x v="0"/>
    <x v="1"/>
    <x v="0"/>
    <x v="0"/>
  </r>
  <r>
    <x v="0"/>
    <x v="790"/>
    <x v="3"/>
    <x v="4"/>
    <x v="0"/>
    <n v="0.95"/>
    <x v="5"/>
    <n v="0.75947368421052597"/>
    <m/>
    <n v="4.41"/>
    <n v="19.600000000000001"/>
    <x v="1"/>
    <x v="0"/>
    <x v="0"/>
    <x v="1"/>
    <x v="0"/>
    <x v="0"/>
  </r>
  <r>
    <x v="0"/>
    <x v="791"/>
    <x v="4"/>
    <x v="4"/>
    <x v="0"/>
    <n v="0.95"/>
    <x v="5"/>
    <n v="0.75947368421052597"/>
    <m/>
    <n v="4.41"/>
    <n v="19.600000000000001"/>
    <x v="1"/>
    <x v="0"/>
    <x v="0"/>
    <x v="1"/>
    <x v="0"/>
    <x v="0"/>
  </r>
  <r>
    <x v="0"/>
    <x v="792"/>
    <x v="0"/>
    <x v="4"/>
    <x v="0"/>
    <n v="0.95"/>
    <x v="5"/>
    <n v="0.75947368421052597"/>
    <n v="0.71540000000000004"/>
    <n v="5.2919999999999998"/>
    <n v="19.11"/>
    <x v="4"/>
    <x v="1"/>
    <x v="1"/>
    <x v="3"/>
    <x v="0"/>
    <x v="0"/>
  </r>
  <r>
    <x v="0"/>
    <x v="793"/>
    <x v="1"/>
    <x v="4"/>
    <x v="0"/>
    <n v="0.95"/>
    <x v="5"/>
    <n v="0.75947368421052597"/>
    <n v="0.71540000000000004"/>
    <n v="5.2919999999999998"/>
    <n v="19.11"/>
    <x v="4"/>
    <x v="1"/>
    <x v="1"/>
    <x v="3"/>
    <x v="0"/>
    <x v="0"/>
  </r>
  <r>
    <x v="0"/>
    <x v="794"/>
    <x v="2"/>
    <x v="4"/>
    <x v="0"/>
    <n v="0.95"/>
    <x v="5"/>
    <n v="0.75947368421052597"/>
    <n v="0.71540000000000004"/>
    <n v="5.2919999999999998"/>
    <n v="19.11"/>
    <x v="4"/>
    <x v="1"/>
    <x v="1"/>
    <x v="3"/>
    <x v="0"/>
    <x v="0"/>
  </r>
  <r>
    <x v="0"/>
    <x v="795"/>
    <x v="3"/>
    <x v="4"/>
    <x v="0"/>
    <n v="0.95"/>
    <x v="5"/>
    <n v="0.75947368421052597"/>
    <n v="0.71540000000000004"/>
    <n v="5.2919999999999998"/>
    <n v="19.11"/>
    <x v="4"/>
    <x v="1"/>
    <x v="1"/>
    <x v="3"/>
    <x v="0"/>
    <x v="0"/>
  </r>
  <r>
    <x v="0"/>
    <x v="796"/>
    <x v="4"/>
    <x v="4"/>
    <x v="0"/>
    <n v="0.95"/>
    <x v="5"/>
    <n v="0.75947368421052597"/>
    <n v="0.71540000000000004"/>
    <n v="5.2919999999999998"/>
    <n v="19.11"/>
    <x v="4"/>
    <x v="1"/>
    <x v="1"/>
    <x v="3"/>
    <x v="0"/>
    <x v="0"/>
  </r>
  <r>
    <x v="0"/>
    <x v="797"/>
    <x v="0"/>
    <x v="4"/>
    <x v="0"/>
    <n v="0.95"/>
    <x v="5"/>
    <n v="0.78"/>
    <m/>
    <n v="4.41"/>
    <n v="19.600000000000001"/>
    <x v="1"/>
    <x v="0"/>
    <x v="0"/>
    <x v="1"/>
    <x v="0"/>
    <x v="0"/>
  </r>
  <r>
    <x v="0"/>
    <x v="798"/>
    <x v="1"/>
    <x v="4"/>
    <x v="0"/>
    <n v="0.95"/>
    <x v="5"/>
    <n v="0.78"/>
    <m/>
    <n v="4.41"/>
    <n v="19.600000000000001"/>
    <x v="1"/>
    <x v="0"/>
    <x v="0"/>
    <x v="1"/>
    <x v="0"/>
    <x v="0"/>
  </r>
  <r>
    <x v="0"/>
    <x v="799"/>
    <x v="2"/>
    <x v="4"/>
    <x v="0"/>
    <n v="0.95"/>
    <x v="5"/>
    <n v="0.78"/>
    <m/>
    <n v="4.41"/>
    <n v="19.600000000000001"/>
    <x v="1"/>
    <x v="0"/>
    <x v="0"/>
    <x v="1"/>
    <x v="0"/>
    <x v="0"/>
  </r>
  <r>
    <x v="0"/>
    <x v="800"/>
    <x v="3"/>
    <x v="4"/>
    <x v="0"/>
    <n v="0.95"/>
    <x v="5"/>
    <n v="0.78"/>
    <m/>
    <n v="4.41"/>
    <n v="19.600000000000001"/>
    <x v="1"/>
    <x v="0"/>
    <x v="0"/>
    <x v="1"/>
    <x v="0"/>
    <x v="0"/>
  </r>
  <r>
    <x v="0"/>
    <x v="801"/>
    <x v="4"/>
    <x v="4"/>
    <x v="0"/>
    <n v="0.95"/>
    <x v="5"/>
    <n v="0.78"/>
    <m/>
    <n v="4.41"/>
    <n v="19.600000000000001"/>
    <x v="1"/>
    <x v="0"/>
    <x v="0"/>
    <x v="1"/>
    <x v="0"/>
    <x v="0"/>
  </r>
  <r>
    <x v="0"/>
    <x v="802"/>
    <x v="0"/>
    <x v="4"/>
    <x v="0"/>
    <n v="0.95"/>
    <x v="5"/>
    <n v="0.80052631578947397"/>
    <m/>
    <n v="4.41"/>
    <n v="19.600000000000001"/>
    <x v="1"/>
    <x v="0"/>
    <x v="0"/>
    <x v="1"/>
    <x v="0"/>
    <x v="0"/>
  </r>
  <r>
    <x v="0"/>
    <x v="803"/>
    <x v="1"/>
    <x v="4"/>
    <x v="0"/>
    <n v="0.95"/>
    <x v="5"/>
    <n v="0.80052631578947397"/>
    <m/>
    <n v="4.41"/>
    <n v="19.600000000000001"/>
    <x v="1"/>
    <x v="0"/>
    <x v="0"/>
    <x v="1"/>
    <x v="0"/>
    <x v="0"/>
  </r>
  <r>
    <x v="0"/>
    <x v="804"/>
    <x v="2"/>
    <x v="4"/>
    <x v="0"/>
    <n v="0.95"/>
    <x v="5"/>
    <n v="0.80052631578947397"/>
    <m/>
    <n v="4.41"/>
    <n v="19.600000000000001"/>
    <x v="1"/>
    <x v="0"/>
    <x v="0"/>
    <x v="1"/>
    <x v="0"/>
    <x v="0"/>
  </r>
  <r>
    <x v="0"/>
    <x v="805"/>
    <x v="3"/>
    <x v="4"/>
    <x v="0"/>
    <n v="0.95"/>
    <x v="5"/>
    <n v="0.80052631578947397"/>
    <m/>
    <n v="4.41"/>
    <n v="19.600000000000001"/>
    <x v="1"/>
    <x v="0"/>
    <x v="0"/>
    <x v="1"/>
    <x v="0"/>
    <x v="0"/>
  </r>
  <r>
    <x v="0"/>
    <x v="806"/>
    <x v="4"/>
    <x v="4"/>
    <x v="0"/>
    <n v="0.95"/>
    <x v="5"/>
    <n v="0.80052631578947397"/>
    <m/>
    <n v="4.41"/>
    <n v="19.600000000000001"/>
    <x v="1"/>
    <x v="0"/>
    <x v="0"/>
    <x v="1"/>
    <x v="0"/>
    <x v="0"/>
  </r>
  <r>
    <x v="0"/>
    <x v="807"/>
    <x v="0"/>
    <x v="4"/>
    <x v="0"/>
    <n v="0.95"/>
    <x v="5"/>
    <n v="0.80052631578947397"/>
    <n v="0.68600000000000005"/>
    <n v="4.9980000000000002"/>
    <n v="18.228000000000002"/>
    <x v="5"/>
    <x v="3"/>
    <x v="1"/>
    <x v="3"/>
    <x v="0"/>
    <x v="0"/>
  </r>
  <r>
    <x v="0"/>
    <x v="808"/>
    <x v="1"/>
    <x v="4"/>
    <x v="0"/>
    <n v="0.95"/>
    <x v="5"/>
    <n v="0.80052631578947397"/>
    <n v="0.68600000000000005"/>
    <n v="4.9980000000000002"/>
    <n v="18.228000000000002"/>
    <x v="5"/>
    <x v="3"/>
    <x v="1"/>
    <x v="3"/>
    <x v="0"/>
    <x v="0"/>
  </r>
  <r>
    <x v="0"/>
    <x v="809"/>
    <x v="2"/>
    <x v="4"/>
    <x v="0"/>
    <n v="0.95"/>
    <x v="5"/>
    <n v="0.80052631578947397"/>
    <n v="0.68600000000000005"/>
    <n v="4.9980000000000002"/>
    <n v="18.228000000000002"/>
    <x v="5"/>
    <x v="3"/>
    <x v="1"/>
    <x v="3"/>
    <x v="0"/>
    <x v="0"/>
  </r>
  <r>
    <x v="0"/>
    <x v="810"/>
    <x v="3"/>
    <x v="4"/>
    <x v="0"/>
    <n v="0.95"/>
    <x v="5"/>
    <n v="0.80052631578947397"/>
    <n v="0.68600000000000005"/>
    <n v="4.9980000000000002"/>
    <n v="18.228000000000002"/>
    <x v="5"/>
    <x v="3"/>
    <x v="1"/>
    <x v="3"/>
    <x v="0"/>
    <x v="0"/>
  </r>
  <r>
    <x v="0"/>
    <x v="811"/>
    <x v="4"/>
    <x v="4"/>
    <x v="0"/>
    <n v="0.95"/>
    <x v="5"/>
    <n v="0.80052631578947397"/>
    <n v="0.68600000000000005"/>
    <n v="4.9980000000000002"/>
    <n v="18.228000000000002"/>
    <x v="5"/>
    <x v="3"/>
    <x v="1"/>
    <x v="3"/>
    <x v="0"/>
    <x v="0"/>
  </r>
  <r>
    <x v="0"/>
    <x v="812"/>
    <x v="0"/>
    <x v="4"/>
    <x v="0"/>
    <n v="0.95"/>
    <x v="5"/>
    <n v="0.82105263157894703"/>
    <n v="0.66639999999999999"/>
    <n v="4.508"/>
    <n v="17.64"/>
    <x v="7"/>
    <x v="4"/>
    <x v="1"/>
    <x v="3"/>
    <x v="0"/>
    <x v="0"/>
  </r>
  <r>
    <x v="0"/>
    <x v="813"/>
    <x v="1"/>
    <x v="4"/>
    <x v="0"/>
    <n v="0.95"/>
    <x v="5"/>
    <n v="0.82105263157894703"/>
    <n v="0.66639999999999999"/>
    <n v="4.508"/>
    <n v="17.64"/>
    <x v="7"/>
    <x v="4"/>
    <x v="1"/>
    <x v="3"/>
    <x v="0"/>
    <x v="0"/>
  </r>
  <r>
    <x v="0"/>
    <x v="814"/>
    <x v="2"/>
    <x v="4"/>
    <x v="0"/>
    <n v="0.95"/>
    <x v="5"/>
    <n v="0.82105263157894703"/>
    <n v="0.66639999999999999"/>
    <n v="4.508"/>
    <n v="17.64"/>
    <x v="7"/>
    <x v="4"/>
    <x v="1"/>
    <x v="3"/>
    <x v="0"/>
    <x v="0"/>
  </r>
  <r>
    <x v="0"/>
    <x v="815"/>
    <x v="3"/>
    <x v="4"/>
    <x v="0"/>
    <n v="0.95"/>
    <x v="5"/>
    <n v="0.82105263157894703"/>
    <n v="0.66639999999999999"/>
    <n v="4.508"/>
    <n v="17.64"/>
    <x v="7"/>
    <x v="4"/>
    <x v="1"/>
    <x v="3"/>
    <x v="0"/>
    <x v="0"/>
  </r>
  <r>
    <x v="0"/>
    <x v="816"/>
    <x v="4"/>
    <x v="4"/>
    <x v="0"/>
    <n v="0.95"/>
    <x v="5"/>
    <n v="0.82105263157894703"/>
    <n v="0.66639999999999999"/>
    <n v="4.508"/>
    <n v="17.64"/>
    <x v="7"/>
    <x v="4"/>
    <x v="1"/>
    <x v="3"/>
    <x v="0"/>
    <x v="0"/>
  </r>
  <r>
    <x v="0"/>
    <x v="817"/>
    <x v="0"/>
    <x v="4"/>
    <x v="0"/>
    <n v="0.95"/>
    <x v="5"/>
    <n v="0.84157894736842098"/>
    <m/>
    <n v="4.41"/>
    <n v="19.600000000000001"/>
    <x v="1"/>
    <x v="0"/>
    <x v="0"/>
    <x v="1"/>
    <x v="0"/>
    <x v="0"/>
  </r>
  <r>
    <x v="0"/>
    <x v="818"/>
    <x v="1"/>
    <x v="4"/>
    <x v="0"/>
    <n v="0.95"/>
    <x v="5"/>
    <n v="0.84157894736842098"/>
    <m/>
    <n v="4.41"/>
    <n v="19.600000000000001"/>
    <x v="1"/>
    <x v="0"/>
    <x v="0"/>
    <x v="1"/>
    <x v="0"/>
    <x v="0"/>
  </r>
  <r>
    <x v="0"/>
    <x v="819"/>
    <x v="2"/>
    <x v="4"/>
    <x v="0"/>
    <n v="0.95"/>
    <x v="5"/>
    <n v="0.84157894736842098"/>
    <m/>
    <n v="4.41"/>
    <n v="19.600000000000001"/>
    <x v="1"/>
    <x v="0"/>
    <x v="0"/>
    <x v="1"/>
    <x v="0"/>
    <x v="0"/>
  </r>
  <r>
    <x v="0"/>
    <x v="820"/>
    <x v="3"/>
    <x v="4"/>
    <x v="0"/>
    <n v="0.95"/>
    <x v="5"/>
    <n v="0.84157894736842098"/>
    <m/>
    <n v="4.41"/>
    <n v="19.600000000000001"/>
    <x v="1"/>
    <x v="0"/>
    <x v="0"/>
    <x v="1"/>
    <x v="0"/>
    <x v="0"/>
  </r>
  <r>
    <x v="0"/>
    <x v="821"/>
    <x v="4"/>
    <x v="4"/>
    <x v="0"/>
    <n v="0.95"/>
    <x v="5"/>
    <n v="0.84157894736842098"/>
    <m/>
    <n v="4.41"/>
    <n v="19.600000000000001"/>
    <x v="1"/>
    <x v="0"/>
    <x v="0"/>
    <x v="1"/>
    <x v="0"/>
    <x v="0"/>
  </r>
  <r>
    <x v="0"/>
    <x v="822"/>
    <x v="0"/>
    <x v="4"/>
    <x v="0"/>
    <n v="0.95"/>
    <x v="5"/>
    <n v="0.86210526315789504"/>
    <m/>
    <n v="4.41"/>
    <n v="19.600000000000001"/>
    <x v="1"/>
    <x v="0"/>
    <x v="0"/>
    <x v="1"/>
    <x v="0"/>
    <x v="0"/>
  </r>
  <r>
    <x v="0"/>
    <x v="823"/>
    <x v="1"/>
    <x v="4"/>
    <x v="0"/>
    <n v="0.95"/>
    <x v="5"/>
    <n v="0.86210526315789504"/>
    <m/>
    <n v="4.41"/>
    <n v="19.600000000000001"/>
    <x v="1"/>
    <x v="0"/>
    <x v="0"/>
    <x v="1"/>
    <x v="0"/>
    <x v="0"/>
  </r>
  <r>
    <x v="0"/>
    <x v="824"/>
    <x v="2"/>
    <x v="4"/>
    <x v="0"/>
    <n v="0.95"/>
    <x v="5"/>
    <n v="0.86210526315789504"/>
    <m/>
    <n v="4.41"/>
    <n v="19.600000000000001"/>
    <x v="1"/>
    <x v="0"/>
    <x v="0"/>
    <x v="1"/>
    <x v="0"/>
    <x v="0"/>
  </r>
  <r>
    <x v="0"/>
    <x v="825"/>
    <x v="3"/>
    <x v="4"/>
    <x v="0"/>
    <n v="0.95"/>
    <x v="5"/>
    <n v="0.86210526315789504"/>
    <m/>
    <n v="4.41"/>
    <n v="19.600000000000001"/>
    <x v="1"/>
    <x v="0"/>
    <x v="0"/>
    <x v="1"/>
    <x v="0"/>
    <x v="0"/>
  </r>
  <r>
    <x v="0"/>
    <x v="826"/>
    <x v="4"/>
    <x v="4"/>
    <x v="0"/>
    <n v="0.95"/>
    <x v="5"/>
    <n v="0.86210526315789504"/>
    <m/>
    <n v="4.41"/>
    <n v="19.600000000000001"/>
    <x v="1"/>
    <x v="0"/>
    <x v="0"/>
    <x v="1"/>
    <x v="0"/>
    <x v="0"/>
  </r>
  <r>
    <x v="0"/>
    <x v="827"/>
    <x v="0"/>
    <x v="4"/>
    <x v="0"/>
    <n v="0.95"/>
    <x v="5"/>
    <n v="0.86210526315789504"/>
    <n v="0.57820000000000005"/>
    <n v="4.3120000000000003"/>
    <n v="19.11"/>
    <x v="4"/>
    <x v="1"/>
    <x v="1"/>
    <x v="3"/>
    <x v="0"/>
    <x v="0"/>
  </r>
  <r>
    <x v="0"/>
    <x v="828"/>
    <x v="1"/>
    <x v="4"/>
    <x v="0"/>
    <n v="0.95"/>
    <x v="5"/>
    <n v="0.86210526315789504"/>
    <n v="0.57820000000000005"/>
    <n v="4.3120000000000003"/>
    <n v="19.11"/>
    <x v="4"/>
    <x v="1"/>
    <x v="1"/>
    <x v="3"/>
    <x v="0"/>
    <x v="0"/>
  </r>
  <r>
    <x v="0"/>
    <x v="829"/>
    <x v="2"/>
    <x v="4"/>
    <x v="0"/>
    <n v="0.95"/>
    <x v="5"/>
    <n v="0.86210526315789504"/>
    <n v="0.57820000000000005"/>
    <n v="4.3120000000000003"/>
    <n v="19.11"/>
    <x v="4"/>
    <x v="1"/>
    <x v="1"/>
    <x v="3"/>
    <x v="0"/>
    <x v="0"/>
  </r>
  <r>
    <x v="0"/>
    <x v="830"/>
    <x v="3"/>
    <x v="4"/>
    <x v="0"/>
    <n v="0.95"/>
    <x v="5"/>
    <n v="0.86210526315789504"/>
    <n v="0.57820000000000005"/>
    <n v="4.3120000000000003"/>
    <n v="19.11"/>
    <x v="4"/>
    <x v="1"/>
    <x v="1"/>
    <x v="3"/>
    <x v="0"/>
    <x v="0"/>
  </r>
  <r>
    <x v="0"/>
    <x v="831"/>
    <x v="4"/>
    <x v="4"/>
    <x v="0"/>
    <n v="0.95"/>
    <x v="5"/>
    <n v="0.86210526315789504"/>
    <n v="0.57820000000000005"/>
    <n v="4.3120000000000003"/>
    <n v="19.11"/>
    <x v="4"/>
    <x v="1"/>
    <x v="1"/>
    <x v="3"/>
    <x v="0"/>
    <x v="0"/>
  </r>
  <r>
    <x v="0"/>
    <x v="832"/>
    <x v="0"/>
    <x v="4"/>
    <x v="0"/>
    <n v="0.95"/>
    <x v="5"/>
    <n v="0.88263157894736799"/>
    <m/>
    <n v="4.41"/>
    <n v="19.600000000000001"/>
    <x v="1"/>
    <x v="0"/>
    <x v="0"/>
    <x v="1"/>
    <x v="0"/>
    <x v="0"/>
  </r>
  <r>
    <x v="0"/>
    <x v="833"/>
    <x v="1"/>
    <x v="4"/>
    <x v="0"/>
    <n v="0.95"/>
    <x v="5"/>
    <n v="0.88263157894736799"/>
    <m/>
    <n v="4.41"/>
    <n v="19.600000000000001"/>
    <x v="1"/>
    <x v="0"/>
    <x v="0"/>
    <x v="1"/>
    <x v="0"/>
    <x v="0"/>
  </r>
  <r>
    <x v="0"/>
    <x v="834"/>
    <x v="2"/>
    <x v="4"/>
    <x v="0"/>
    <n v="0.95"/>
    <x v="5"/>
    <n v="0.88263157894736799"/>
    <m/>
    <n v="4.41"/>
    <n v="19.600000000000001"/>
    <x v="1"/>
    <x v="0"/>
    <x v="0"/>
    <x v="1"/>
    <x v="0"/>
    <x v="0"/>
  </r>
  <r>
    <x v="0"/>
    <x v="835"/>
    <x v="3"/>
    <x v="4"/>
    <x v="0"/>
    <n v="0.95"/>
    <x v="5"/>
    <n v="0.88263157894736799"/>
    <m/>
    <n v="4.41"/>
    <n v="19.600000000000001"/>
    <x v="1"/>
    <x v="0"/>
    <x v="0"/>
    <x v="1"/>
    <x v="0"/>
    <x v="0"/>
  </r>
  <r>
    <x v="0"/>
    <x v="836"/>
    <x v="4"/>
    <x v="4"/>
    <x v="0"/>
    <n v="0.95"/>
    <x v="5"/>
    <n v="0.88263157894736799"/>
    <m/>
    <n v="4.41"/>
    <n v="19.600000000000001"/>
    <x v="1"/>
    <x v="0"/>
    <x v="0"/>
    <x v="1"/>
    <x v="0"/>
    <x v="0"/>
  </r>
  <r>
    <x v="0"/>
    <x v="837"/>
    <x v="0"/>
    <x v="4"/>
    <x v="0"/>
    <n v="0.95"/>
    <x v="5"/>
    <n v="0.88263157894736799"/>
    <n v="0.54879999999999995"/>
    <n v="4.1159999999999997"/>
    <n v="18.228000000000002"/>
    <x v="5"/>
    <x v="3"/>
    <x v="1"/>
    <x v="3"/>
    <x v="0"/>
    <x v="0"/>
  </r>
  <r>
    <x v="0"/>
    <x v="838"/>
    <x v="1"/>
    <x v="4"/>
    <x v="0"/>
    <n v="0.95"/>
    <x v="5"/>
    <n v="0.88263157894736799"/>
    <n v="0.54879999999999995"/>
    <n v="4.1159999999999997"/>
    <n v="18.228000000000002"/>
    <x v="5"/>
    <x v="3"/>
    <x v="1"/>
    <x v="3"/>
    <x v="0"/>
    <x v="0"/>
  </r>
  <r>
    <x v="0"/>
    <x v="839"/>
    <x v="2"/>
    <x v="4"/>
    <x v="0"/>
    <n v="0.95"/>
    <x v="5"/>
    <n v="0.88263157894736799"/>
    <n v="0.54879999999999995"/>
    <n v="4.1159999999999997"/>
    <n v="18.228000000000002"/>
    <x v="5"/>
    <x v="3"/>
    <x v="1"/>
    <x v="3"/>
    <x v="0"/>
    <x v="0"/>
  </r>
  <r>
    <x v="0"/>
    <x v="840"/>
    <x v="3"/>
    <x v="4"/>
    <x v="0"/>
    <n v="0.95"/>
    <x v="5"/>
    <n v="0.88263157894736799"/>
    <n v="0.54879999999999995"/>
    <n v="4.1159999999999997"/>
    <n v="18.228000000000002"/>
    <x v="5"/>
    <x v="3"/>
    <x v="1"/>
    <x v="3"/>
    <x v="0"/>
    <x v="0"/>
  </r>
  <r>
    <x v="0"/>
    <x v="841"/>
    <x v="4"/>
    <x v="4"/>
    <x v="0"/>
    <n v="0.95"/>
    <x v="5"/>
    <n v="0.88263157894736799"/>
    <n v="0.54879999999999995"/>
    <n v="4.1159999999999997"/>
    <n v="18.228000000000002"/>
    <x v="5"/>
    <x v="3"/>
    <x v="1"/>
    <x v="3"/>
    <x v="0"/>
    <x v="0"/>
  </r>
  <r>
    <x v="0"/>
    <x v="842"/>
    <x v="0"/>
    <x v="4"/>
    <x v="0"/>
    <n v="0.95"/>
    <x v="5"/>
    <n v="0.90315789473684205"/>
    <m/>
    <n v="4.41"/>
    <n v="19.600000000000001"/>
    <x v="1"/>
    <x v="0"/>
    <x v="0"/>
    <x v="1"/>
    <x v="0"/>
    <x v="0"/>
  </r>
  <r>
    <x v="0"/>
    <x v="843"/>
    <x v="1"/>
    <x v="4"/>
    <x v="0"/>
    <n v="0.95"/>
    <x v="5"/>
    <n v="0.90315789473684205"/>
    <m/>
    <n v="4.41"/>
    <n v="19.600000000000001"/>
    <x v="1"/>
    <x v="0"/>
    <x v="0"/>
    <x v="1"/>
    <x v="0"/>
    <x v="0"/>
  </r>
  <r>
    <x v="0"/>
    <x v="844"/>
    <x v="2"/>
    <x v="4"/>
    <x v="0"/>
    <n v="0.95"/>
    <x v="5"/>
    <n v="0.90315789473684205"/>
    <m/>
    <n v="4.41"/>
    <n v="19.600000000000001"/>
    <x v="1"/>
    <x v="0"/>
    <x v="0"/>
    <x v="1"/>
    <x v="0"/>
    <x v="0"/>
  </r>
  <r>
    <x v="0"/>
    <x v="845"/>
    <x v="3"/>
    <x v="4"/>
    <x v="0"/>
    <n v="0.95"/>
    <x v="5"/>
    <n v="0.90315789473684205"/>
    <m/>
    <n v="4.41"/>
    <n v="19.600000000000001"/>
    <x v="1"/>
    <x v="0"/>
    <x v="0"/>
    <x v="1"/>
    <x v="0"/>
    <x v="0"/>
  </r>
  <r>
    <x v="0"/>
    <x v="846"/>
    <x v="4"/>
    <x v="4"/>
    <x v="0"/>
    <n v="0.95"/>
    <x v="5"/>
    <n v="0.90315789473684205"/>
    <m/>
    <n v="4.41"/>
    <n v="19.600000000000001"/>
    <x v="1"/>
    <x v="0"/>
    <x v="0"/>
    <x v="1"/>
    <x v="0"/>
    <x v="0"/>
  </r>
  <r>
    <x v="0"/>
    <x v="847"/>
    <x v="0"/>
    <x v="4"/>
    <x v="0"/>
    <n v="0.95"/>
    <x v="5"/>
    <n v="0.90315789473684205"/>
    <n v="0.50960000000000005"/>
    <n v="3.92"/>
    <n v="17.64"/>
    <x v="7"/>
    <x v="4"/>
    <x v="1"/>
    <x v="3"/>
    <x v="0"/>
    <x v="0"/>
  </r>
  <r>
    <x v="0"/>
    <x v="848"/>
    <x v="1"/>
    <x v="4"/>
    <x v="0"/>
    <n v="0.95"/>
    <x v="5"/>
    <n v="0.90315789473684205"/>
    <n v="0.50960000000000005"/>
    <n v="3.92"/>
    <n v="17.64"/>
    <x v="7"/>
    <x v="4"/>
    <x v="1"/>
    <x v="3"/>
    <x v="0"/>
    <x v="0"/>
  </r>
  <r>
    <x v="0"/>
    <x v="849"/>
    <x v="2"/>
    <x v="4"/>
    <x v="0"/>
    <n v="0.95"/>
    <x v="5"/>
    <n v="0.90315789473684205"/>
    <n v="0.50960000000000005"/>
    <n v="3.92"/>
    <n v="17.64"/>
    <x v="7"/>
    <x v="4"/>
    <x v="1"/>
    <x v="3"/>
    <x v="0"/>
    <x v="0"/>
  </r>
  <r>
    <x v="0"/>
    <x v="850"/>
    <x v="3"/>
    <x v="4"/>
    <x v="0"/>
    <n v="0.95"/>
    <x v="5"/>
    <n v="0.90315789473684205"/>
    <n v="0.50960000000000005"/>
    <n v="3.92"/>
    <n v="17.64"/>
    <x v="7"/>
    <x v="4"/>
    <x v="1"/>
    <x v="3"/>
    <x v="0"/>
    <x v="0"/>
  </r>
  <r>
    <x v="0"/>
    <x v="851"/>
    <x v="4"/>
    <x v="4"/>
    <x v="0"/>
    <n v="0.95"/>
    <x v="5"/>
    <n v="0.90315789473684205"/>
    <n v="0.50960000000000005"/>
    <n v="3.92"/>
    <n v="17.64"/>
    <x v="7"/>
    <x v="4"/>
    <x v="1"/>
    <x v="3"/>
    <x v="0"/>
    <x v="0"/>
  </r>
  <r>
    <x v="0"/>
    <x v="852"/>
    <x v="0"/>
    <x v="4"/>
    <x v="0"/>
    <n v="0.95"/>
    <x v="5"/>
    <n v="0.964736842105263"/>
    <m/>
    <n v="4.41"/>
    <n v="19.600000000000001"/>
    <x v="1"/>
    <x v="0"/>
    <x v="0"/>
    <x v="1"/>
    <x v="0"/>
    <x v="0"/>
  </r>
  <r>
    <x v="0"/>
    <x v="853"/>
    <x v="1"/>
    <x v="4"/>
    <x v="0"/>
    <n v="0.95"/>
    <x v="5"/>
    <n v="0.964736842105263"/>
    <m/>
    <n v="4.41"/>
    <n v="19.600000000000001"/>
    <x v="1"/>
    <x v="0"/>
    <x v="0"/>
    <x v="1"/>
    <x v="0"/>
    <x v="0"/>
  </r>
  <r>
    <x v="0"/>
    <x v="854"/>
    <x v="2"/>
    <x v="4"/>
    <x v="0"/>
    <n v="0.95"/>
    <x v="5"/>
    <n v="0.964736842105263"/>
    <m/>
    <n v="4.41"/>
    <n v="19.600000000000001"/>
    <x v="1"/>
    <x v="0"/>
    <x v="0"/>
    <x v="1"/>
    <x v="0"/>
    <x v="0"/>
  </r>
  <r>
    <x v="0"/>
    <x v="855"/>
    <x v="3"/>
    <x v="4"/>
    <x v="0"/>
    <n v="0.95"/>
    <x v="5"/>
    <n v="0.964736842105263"/>
    <m/>
    <n v="4.41"/>
    <n v="19.600000000000001"/>
    <x v="1"/>
    <x v="0"/>
    <x v="0"/>
    <x v="1"/>
    <x v="0"/>
    <x v="0"/>
  </r>
  <r>
    <x v="0"/>
    <x v="856"/>
    <x v="4"/>
    <x v="4"/>
    <x v="0"/>
    <n v="0.95"/>
    <x v="5"/>
    <n v="0.964736842105263"/>
    <m/>
    <n v="4.41"/>
    <n v="19.600000000000001"/>
    <x v="1"/>
    <x v="0"/>
    <x v="0"/>
    <x v="1"/>
    <x v="0"/>
    <x v="0"/>
  </r>
  <r>
    <x v="0"/>
    <x v="857"/>
    <x v="0"/>
    <x v="1"/>
    <x v="1"/>
    <m/>
    <x v="2"/>
    <n v="0.31"/>
    <m/>
    <n v="4.41"/>
    <n v="19.600000000000001"/>
    <x v="1"/>
    <x v="0"/>
    <x v="0"/>
    <x v="1"/>
    <x v="0"/>
    <x v="0"/>
  </r>
  <r>
    <x v="0"/>
    <x v="858"/>
    <x v="1"/>
    <x v="1"/>
    <x v="1"/>
    <m/>
    <x v="2"/>
    <n v="0.31"/>
    <m/>
    <n v="4.41"/>
    <n v="19.600000000000001"/>
    <x v="1"/>
    <x v="0"/>
    <x v="0"/>
    <x v="1"/>
    <x v="0"/>
    <x v="0"/>
  </r>
  <r>
    <x v="0"/>
    <x v="859"/>
    <x v="2"/>
    <x v="1"/>
    <x v="1"/>
    <m/>
    <x v="2"/>
    <n v="0.31"/>
    <m/>
    <n v="4.41"/>
    <n v="19.600000000000001"/>
    <x v="1"/>
    <x v="0"/>
    <x v="0"/>
    <x v="1"/>
    <x v="0"/>
    <x v="0"/>
  </r>
  <r>
    <x v="0"/>
    <x v="860"/>
    <x v="3"/>
    <x v="1"/>
    <x v="1"/>
    <m/>
    <x v="2"/>
    <n v="0.31"/>
    <m/>
    <n v="4.41"/>
    <n v="19.600000000000001"/>
    <x v="1"/>
    <x v="0"/>
    <x v="0"/>
    <x v="1"/>
    <x v="0"/>
    <x v="0"/>
  </r>
  <r>
    <x v="0"/>
    <x v="861"/>
    <x v="4"/>
    <x v="1"/>
    <x v="1"/>
    <m/>
    <x v="2"/>
    <n v="0.31"/>
    <m/>
    <n v="4.41"/>
    <n v="19.600000000000001"/>
    <x v="1"/>
    <x v="0"/>
    <x v="0"/>
    <x v="1"/>
    <x v="0"/>
    <x v="0"/>
  </r>
  <r>
    <x v="0"/>
    <x v="862"/>
    <x v="0"/>
    <x v="1"/>
    <x v="1"/>
    <m/>
    <x v="2"/>
    <n v="0.32"/>
    <m/>
    <n v="4.41"/>
    <n v="19.600000000000001"/>
    <x v="1"/>
    <x v="0"/>
    <x v="0"/>
    <x v="1"/>
    <x v="0"/>
    <x v="0"/>
  </r>
  <r>
    <x v="0"/>
    <x v="863"/>
    <x v="1"/>
    <x v="1"/>
    <x v="1"/>
    <m/>
    <x v="2"/>
    <n v="0.32"/>
    <m/>
    <n v="4.41"/>
    <n v="19.600000000000001"/>
    <x v="1"/>
    <x v="0"/>
    <x v="0"/>
    <x v="1"/>
    <x v="0"/>
    <x v="0"/>
  </r>
  <r>
    <x v="0"/>
    <x v="864"/>
    <x v="2"/>
    <x v="1"/>
    <x v="1"/>
    <m/>
    <x v="2"/>
    <n v="0.32"/>
    <m/>
    <n v="4.41"/>
    <n v="19.600000000000001"/>
    <x v="1"/>
    <x v="0"/>
    <x v="0"/>
    <x v="1"/>
    <x v="0"/>
    <x v="0"/>
  </r>
  <r>
    <x v="0"/>
    <x v="865"/>
    <x v="3"/>
    <x v="1"/>
    <x v="1"/>
    <m/>
    <x v="2"/>
    <n v="0.32"/>
    <m/>
    <n v="4.41"/>
    <n v="19.600000000000001"/>
    <x v="1"/>
    <x v="0"/>
    <x v="0"/>
    <x v="1"/>
    <x v="0"/>
    <x v="0"/>
  </r>
  <r>
    <x v="0"/>
    <x v="866"/>
    <x v="4"/>
    <x v="1"/>
    <x v="1"/>
    <m/>
    <x v="2"/>
    <n v="0.32"/>
    <m/>
    <n v="4.41"/>
    <n v="19.600000000000001"/>
    <x v="1"/>
    <x v="0"/>
    <x v="0"/>
    <x v="1"/>
    <x v="0"/>
    <x v="0"/>
  </r>
  <r>
    <x v="0"/>
    <x v="867"/>
    <x v="0"/>
    <x v="1"/>
    <x v="1"/>
    <m/>
    <x v="2"/>
    <n v="0.33"/>
    <m/>
    <m/>
    <m/>
    <x v="1"/>
    <x v="0"/>
    <x v="0"/>
    <x v="1"/>
    <x v="0"/>
    <x v="0"/>
  </r>
  <r>
    <x v="0"/>
    <x v="868"/>
    <x v="1"/>
    <x v="1"/>
    <x v="1"/>
    <m/>
    <x v="2"/>
    <n v="0.33"/>
    <m/>
    <m/>
    <m/>
    <x v="1"/>
    <x v="0"/>
    <x v="0"/>
    <x v="1"/>
    <x v="0"/>
    <x v="0"/>
  </r>
  <r>
    <x v="0"/>
    <x v="869"/>
    <x v="2"/>
    <x v="1"/>
    <x v="1"/>
    <m/>
    <x v="2"/>
    <n v="0.33"/>
    <m/>
    <m/>
    <m/>
    <x v="1"/>
    <x v="0"/>
    <x v="0"/>
    <x v="1"/>
    <x v="0"/>
    <x v="0"/>
  </r>
  <r>
    <x v="0"/>
    <x v="870"/>
    <x v="3"/>
    <x v="1"/>
    <x v="1"/>
    <m/>
    <x v="2"/>
    <n v="0.33"/>
    <m/>
    <m/>
    <m/>
    <x v="1"/>
    <x v="0"/>
    <x v="0"/>
    <x v="1"/>
    <x v="0"/>
    <x v="0"/>
  </r>
  <r>
    <x v="0"/>
    <x v="871"/>
    <x v="4"/>
    <x v="1"/>
    <x v="1"/>
    <m/>
    <x v="2"/>
    <n v="0.33"/>
    <m/>
    <m/>
    <m/>
    <x v="1"/>
    <x v="0"/>
    <x v="0"/>
    <x v="1"/>
    <x v="0"/>
    <x v="0"/>
  </r>
  <r>
    <x v="0"/>
    <x v="872"/>
    <x v="0"/>
    <x v="1"/>
    <x v="1"/>
    <m/>
    <x v="2"/>
    <n v="0.35"/>
    <m/>
    <n v="4.41"/>
    <n v="19.600000000000001"/>
    <x v="1"/>
    <x v="0"/>
    <x v="0"/>
    <x v="1"/>
    <x v="0"/>
    <x v="0"/>
  </r>
  <r>
    <x v="0"/>
    <x v="873"/>
    <x v="1"/>
    <x v="1"/>
    <x v="1"/>
    <m/>
    <x v="2"/>
    <n v="0.35"/>
    <m/>
    <n v="4.41"/>
    <n v="19.600000000000001"/>
    <x v="1"/>
    <x v="0"/>
    <x v="0"/>
    <x v="1"/>
    <x v="0"/>
    <x v="0"/>
  </r>
  <r>
    <x v="0"/>
    <x v="874"/>
    <x v="2"/>
    <x v="1"/>
    <x v="1"/>
    <m/>
    <x v="2"/>
    <n v="0.35"/>
    <m/>
    <n v="4.41"/>
    <n v="19.600000000000001"/>
    <x v="1"/>
    <x v="0"/>
    <x v="0"/>
    <x v="1"/>
    <x v="0"/>
    <x v="0"/>
  </r>
  <r>
    <x v="0"/>
    <x v="875"/>
    <x v="3"/>
    <x v="1"/>
    <x v="1"/>
    <m/>
    <x v="2"/>
    <n v="0.35"/>
    <m/>
    <n v="4.41"/>
    <n v="19.600000000000001"/>
    <x v="1"/>
    <x v="0"/>
    <x v="0"/>
    <x v="1"/>
    <x v="0"/>
    <x v="0"/>
  </r>
  <r>
    <x v="0"/>
    <x v="876"/>
    <x v="4"/>
    <x v="1"/>
    <x v="1"/>
    <m/>
    <x v="2"/>
    <n v="0.35"/>
    <m/>
    <n v="4.41"/>
    <n v="19.600000000000001"/>
    <x v="1"/>
    <x v="0"/>
    <x v="0"/>
    <x v="1"/>
    <x v="0"/>
    <x v="0"/>
  </r>
  <r>
    <x v="0"/>
    <x v="877"/>
    <x v="0"/>
    <x v="1"/>
    <x v="1"/>
    <m/>
    <x v="2"/>
    <n v="0.37"/>
    <n v="0.71540000000000004"/>
    <n v="5.2919999999999998"/>
    <n v="19.11"/>
    <x v="4"/>
    <x v="1"/>
    <x v="1"/>
    <x v="3"/>
    <x v="0"/>
    <x v="0"/>
  </r>
  <r>
    <x v="0"/>
    <x v="878"/>
    <x v="1"/>
    <x v="1"/>
    <x v="1"/>
    <m/>
    <x v="2"/>
    <n v="0.37"/>
    <n v="0.71540000000000004"/>
    <n v="5.2919999999999998"/>
    <n v="19.11"/>
    <x v="4"/>
    <x v="1"/>
    <x v="1"/>
    <x v="3"/>
    <x v="0"/>
    <x v="0"/>
  </r>
  <r>
    <x v="0"/>
    <x v="879"/>
    <x v="2"/>
    <x v="1"/>
    <x v="1"/>
    <m/>
    <x v="2"/>
    <n v="0.37"/>
    <n v="0.71540000000000004"/>
    <n v="5.2919999999999998"/>
    <n v="19.11"/>
    <x v="4"/>
    <x v="1"/>
    <x v="1"/>
    <x v="3"/>
    <x v="0"/>
    <x v="0"/>
  </r>
  <r>
    <x v="0"/>
    <x v="880"/>
    <x v="3"/>
    <x v="1"/>
    <x v="1"/>
    <m/>
    <x v="2"/>
    <n v="0.37"/>
    <n v="0.71540000000000004"/>
    <n v="5.2919999999999998"/>
    <n v="19.11"/>
    <x v="4"/>
    <x v="1"/>
    <x v="1"/>
    <x v="3"/>
    <x v="0"/>
    <x v="0"/>
  </r>
  <r>
    <x v="0"/>
    <x v="881"/>
    <x v="4"/>
    <x v="1"/>
    <x v="1"/>
    <m/>
    <x v="2"/>
    <n v="0.37"/>
    <n v="0.71540000000000004"/>
    <n v="5.2919999999999998"/>
    <n v="19.11"/>
    <x v="4"/>
    <x v="1"/>
    <x v="1"/>
    <x v="3"/>
    <x v="0"/>
    <x v="0"/>
  </r>
  <r>
    <x v="0"/>
    <x v="882"/>
    <x v="0"/>
    <x v="1"/>
    <x v="1"/>
    <m/>
    <x v="2"/>
    <n v="0.38"/>
    <m/>
    <m/>
    <m/>
    <x v="1"/>
    <x v="0"/>
    <x v="0"/>
    <x v="1"/>
    <x v="0"/>
    <x v="0"/>
  </r>
  <r>
    <x v="0"/>
    <x v="883"/>
    <x v="1"/>
    <x v="1"/>
    <x v="1"/>
    <m/>
    <x v="2"/>
    <n v="0.38"/>
    <m/>
    <m/>
    <m/>
    <x v="1"/>
    <x v="0"/>
    <x v="0"/>
    <x v="1"/>
    <x v="0"/>
    <x v="0"/>
  </r>
  <r>
    <x v="0"/>
    <x v="884"/>
    <x v="2"/>
    <x v="1"/>
    <x v="1"/>
    <m/>
    <x v="2"/>
    <n v="0.38"/>
    <m/>
    <m/>
    <m/>
    <x v="1"/>
    <x v="0"/>
    <x v="0"/>
    <x v="1"/>
    <x v="0"/>
    <x v="0"/>
  </r>
  <r>
    <x v="0"/>
    <x v="885"/>
    <x v="3"/>
    <x v="1"/>
    <x v="1"/>
    <m/>
    <x v="2"/>
    <n v="0.38"/>
    <m/>
    <m/>
    <m/>
    <x v="1"/>
    <x v="0"/>
    <x v="0"/>
    <x v="1"/>
    <x v="0"/>
    <x v="0"/>
  </r>
  <r>
    <x v="0"/>
    <x v="886"/>
    <x v="4"/>
    <x v="1"/>
    <x v="1"/>
    <m/>
    <x v="2"/>
    <n v="0.38"/>
    <m/>
    <m/>
    <m/>
    <x v="1"/>
    <x v="0"/>
    <x v="0"/>
    <x v="1"/>
    <x v="0"/>
    <x v="0"/>
  </r>
  <r>
    <x v="0"/>
    <x v="887"/>
    <x v="0"/>
    <x v="1"/>
    <x v="1"/>
    <m/>
    <x v="2"/>
    <n v="0.39"/>
    <n v="0.68600000000000005"/>
    <n v="4.9980000000000002"/>
    <n v="18.228000000000002"/>
    <x v="5"/>
    <x v="3"/>
    <x v="1"/>
    <x v="3"/>
    <x v="0"/>
    <x v="0"/>
  </r>
  <r>
    <x v="0"/>
    <x v="888"/>
    <x v="1"/>
    <x v="1"/>
    <x v="1"/>
    <m/>
    <x v="2"/>
    <n v="0.39"/>
    <n v="0.68600000000000005"/>
    <n v="4.9980000000000002"/>
    <n v="18.228000000000002"/>
    <x v="5"/>
    <x v="3"/>
    <x v="1"/>
    <x v="3"/>
    <x v="0"/>
    <x v="0"/>
  </r>
  <r>
    <x v="0"/>
    <x v="889"/>
    <x v="2"/>
    <x v="1"/>
    <x v="1"/>
    <m/>
    <x v="2"/>
    <n v="0.39"/>
    <n v="0.68600000000000005"/>
    <n v="4.9980000000000002"/>
    <n v="18.228000000000002"/>
    <x v="5"/>
    <x v="3"/>
    <x v="1"/>
    <x v="3"/>
    <x v="0"/>
    <x v="0"/>
  </r>
  <r>
    <x v="0"/>
    <x v="890"/>
    <x v="3"/>
    <x v="1"/>
    <x v="1"/>
    <m/>
    <x v="2"/>
    <n v="0.39"/>
    <n v="0.68600000000000005"/>
    <n v="4.9980000000000002"/>
    <n v="18.228000000000002"/>
    <x v="5"/>
    <x v="3"/>
    <x v="1"/>
    <x v="3"/>
    <x v="0"/>
    <x v="0"/>
  </r>
  <r>
    <x v="0"/>
    <x v="891"/>
    <x v="4"/>
    <x v="1"/>
    <x v="1"/>
    <m/>
    <x v="2"/>
    <n v="0.39"/>
    <n v="0.68600000000000005"/>
    <n v="4.9980000000000002"/>
    <n v="18.228000000000002"/>
    <x v="5"/>
    <x v="3"/>
    <x v="1"/>
    <x v="3"/>
    <x v="0"/>
    <x v="0"/>
  </r>
  <r>
    <x v="0"/>
    <x v="892"/>
    <x v="0"/>
    <x v="1"/>
    <x v="1"/>
    <m/>
    <x v="2"/>
    <n v="0.4"/>
    <m/>
    <n v="4.41"/>
    <n v="19.600000000000001"/>
    <x v="1"/>
    <x v="0"/>
    <x v="0"/>
    <x v="1"/>
    <x v="0"/>
    <x v="0"/>
  </r>
  <r>
    <x v="0"/>
    <x v="893"/>
    <x v="1"/>
    <x v="1"/>
    <x v="1"/>
    <m/>
    <x v="2"/>
    <n v="0.4"/>
    <m/>
    <n v="4.41"/>
    <n v="19.600000000000001"/>
    <x v="1"/>
    <x v="0"/>
    <x v="0"/>
    <x v="1"/>
    <x v="0"/>
    <x v="0"/>
  </r>
  <r>
    <x v="0"/>
    <x v="894"/>
    <x v="2"/>
    <x v="1"/>
    <x v="1"/>
    <m/>
    <x v="2"/>
    <n v="0.4"/>
    <m/>
    <n v="4.41"/>
    <n v="19.600000000000001"/>
    <x v="1"/>
    <x v="0"/>
    <x v="0"/>
    <x v="1"/>
    <x v="0"/>
    <x v="0"/>
  </r>
  <r>
    <x v="0"/>
    <x v="895"/>
    <x v="3"/>
    <x v="1"/>
    <x v="1"/>
    <m/>
    <x v="2"/>
    <n v="0.4"/>
    <m/>
    <n v="4.41"/>
    <n v="19.600000000000001"/>
    <x v="1"/>
    <x v="0"/>
    <x v="0"/>
    <x v="1"/>
    <x v="0"/>
    <x v="0"/>
  </r>
  <r>
    <x v="0"/>
    <x v="896"/>
    <x v="4"/>
    <x v="1"/>
    <x v="1"/>
    <m/>
    <x v="2"/>
    <n v="0.4"/>
    <m/>
    <n v="4.41"/>
    <n v="19.600000000000001"/>
    <x v="1"/>
    <x v="0"/>
    <x v="0"/>
    <x v="1"/>
    <x v="0"/>
    <x v="0"/>
  </r>
  <r>
    <x v="0"/>
    <x v="897"/>
    <x v="0"/>
    <x v="1"/>
    <x v="1"/>
    <m/>
    <x v="2"/>
    <n v="0.4"/>
    <n v="0.66639999999999999"/>
    <n v="4.508"/>
    <n v="17.64"/>
    <x v="7"/>
    <x v="4"/>
    <x v="1"/>
    <x v="3"/>
    <x v="0"/>
    <x v="0"/>
  </r>
  <r>
    <x v="0"/>
    <x v="898"/>
    <x v="1"/>
    <x v="1"/>
    <x v="1"/>
    <m/>
    <x v="2"/>
    <n v="0.4"/>
    <n v="0.66639999999999999"/>
    <n v="4.508"/>
    <n v="17.64"/>
    <x v="7"/>
    <x v="4"/>
    <x v="1"/>
    <x v="3"/>
    <x v="0"/>
    <x v="0"/>
  </r>
  <r>
    <x v="0"/>
    <x v="899"/>
    <x v="2"/>
    <x v="1"/>
    <x v="1"/>
    <m/>
    <x v="2"/>
    <n v="0.4"/>
    <n v="0.66639999999999999"/>
    <n v="4.508"/>
    <n v="17.64"/>
    <x v="7"/>
    <x v="4"/>
    <x v="1"/>
    <x v="3"/>
    <x v="0"/>
    <x v="0"/>
  </r>
  <r>
    <x v="0"/>
    <x v="900"/>
    <x v="3"/>
    <x v="1"/>
    <x v="1"/>
    <m/>
    <x v="2"/>
    <n v="0.4"/>
    <n v="0.66639999999999999"/>
    <n v="4.508"/>
    <n v="17.64"/>
    <x v="7"/>
    <x v="4"/>
    <x v="1"/>
    <x v="3"/>
    <x v="0"/>
    <x v="0"/>
  </r>
  <r>
    <x v="0"/>
    <x v="901"/>
    <x v="4"/>
    <x v="1"/>
    <x v="1"/>
    <m/>
    <x v="2"/>
    <n v="0.4"/>
    <n v="0.66639999999999999"/>
    <n v="4.508"/>
    <n v="17.64"/>
    <x v="7"/>
    <x v="4"/>
    <x v="1"/>
    <x v="3"/>
    <x v="0"/>
    <x v="0"/>
  </r>
  <r>
    <x v="0"/>
    <x v="902"/>
    <x v="0"/>
    <x v="1"/>
    <x v="1"/>
    <m/>
    <x v="2"/>
    <n v="0.40600000000000003"/>
    <m/>
    <m/>
    <m/>
    <x v="1"/>
    <x v="0"/>
    <x v="0"/>
    <x v="1"/>
    <x v="0"/>
    <x v="0"/>
  </r>
  <r>
    <x v="0"/>
    <x v="903"/>
    <x v="1"/>
    <x v="1"/>
    <x v="1"/>
    <m/>
    <x v="2"/>
    <n v="0.40600000000000003"/>
    <m/>
    <m/>
    <m/>
    <x v="1"/>
    <x v="0"/>
    <x v="0"/>
    <x v="1"/>
    <x v="0"/>
    <x v="0"/>
  </r>
  <r>
    <x v="0"/>
    <x v="904"/>
    <x v="2"/>
    <x v="1"/>
    <x v="1"/>
    <m/>
    <x v="2"/>
    <n v="0.40600000000000003"/>
    <m/>
    <m/>
    <m/>
    <x v="1"/>
    <x v="0"/>
    <x v="0"/>
    <x v="1"/>
    <x v="0"/>
    <x v="0"/>
  </r>
  <r>
    <x v="0"/>
    <x v="905"/>
    <x v="3"/>
    <x v="1"/>
    <x v="1"/>
    <m/>
    <x v="2"/>
    <n v="0.40600000000000003"/>
    <m/>
    <m/>
    <m/>
    <x v="1"/>
    <x v="0"/>
    <x v="0"/>
    <x v="1"/>
    <x v="0"/>
    <x v="0"/>
  </r>
  <r>
    <x v="0"/>
    <x v="906"/>
    <x v="4"/>
    <x v="1"/>
    <x v="1"/>
    <m/>
    <x v="2"/>
    <n v="0.40600000000000003"/>
    <m/>
    <m/>
    <m/>
    <x v="1"/>
    <x v="0"/>
    <x v="0"/>
    <x v="1"/>
    <x v="0"/>
    <x v="0"/>
  </r>
  <r>
    <x v="0"/>
    <x v="907"/>
    <x v="0"/>
    <x v="1"/>
    <x v="1"/>
    <m/>
    <x v="2"/>
    <n v="0.42"/>
    <n v="0.57820000000000005"/>
    <n v="4.3120000000000003"/>
    <n v="19.11"/>
    <x v="4"/>
    <x v="1"/>
    <x v="1"/>
    <x v="3"/>
    <x v="0"/>
    <x v="0"/>
  </r>
  <r>
    <x v="0"/>
    <x v="908"/>
    <x v="1"/>
    <x v="1"/>
    <x v="1"/>
    <m/>
    <x v="2"/>
    <n v="0.42"/>
    <n v="0.57820000000000005"/>
    <n v="4.3120000000000003"/>
    <n v="19.11"/>
    <x v="4"/>
    <x v="1"/>
    <x v="1"/>
    <x v="3"/>
    <x v="0"/>
    <x v="0"/>
  </r>
  <r>
    <x v="0"/>
    <x v="909"/>
    <x v="2"/>
    <x v="1"/>
    <x v="1"/>
    <m/>
    <x v="2"/>
    <n v="0.42"/>
    <n v="0.57820000000000005"/>
    <n v="4.3120000000000003"/>
    <n v="19.11"/>
    <x v="4"/>
    <x v="1"/>
    <x v="1"/>
    <x v="3"/>
    <x v="0"/>
    <x v="0"/>
  </r>
  <r>
    <x v="0"/>
    <x v="910"/>
    <x v="3"/>
    <x v="1"/>
    <x v="1"/>
    <m/>
    <x v="2"/>
    <n v="0.42"/>
    <n v="0.57820000000000005"/>
    <n v="4.3120000000000003"/>
    <n v="19.11"/>
    <x v="4"/>
    <x v="1"/>
    <x v="1"/>
    <x v="3"/>
    <x v="0"/>
    <x v="0"/>
  </r>
  <r>
    <x v="0"/>
    <x v="911"/>
    <x v="4"/>
    <x v="1"/>
    <x v="1"/>
    <m/>
    <x v="2"/>
    <n v="0.42"/>
    <n v="0.57820000000000005"/>
    <n v="4.3120000000000003"/>
    <n v="19.11"/>
    <x v="4"/>
    <x v="1"/>
    <x v="1"/>
    <x v="3"/>
    <x v="0"/>
    <x v="0"/>
  </r>
  <r>
    <x v="0"/>
    <x v="912"/>
    <x v="0"/>
    <x v="1"/>
    <x v="1"/>
    <m/>
    <x v="2"/>
    <n v="0.43"/>
    <n v="0.54879999999999995"/>
    <n v="4.1159999999999997"/>
    <n v="18.228000000000002"/>
    <x v="5"/>
    <x v="3"/>
    <x v="1"/>
    <x v="3"/>
    <x v="0"/>
    <x v="0"/>
  </r>
  <r>
    <x v="0"/>
    <x v="913"/>
    <x v="1"/>
    <x v="1"/>
    <x v="1"/>
    <m/>
    <x v="2"/>
    <n v="0.43"/>
    <n v="0.54879999999999995"/>
    <n v="4.1159999999999997"/>
    <n v="18.228000000000002"/>
    <x v="5"/>
    <x v="3"/>
    <x v="1"/>
    <x v="3"/>
    <x v="0"/>
    <x v="0"/>
  </r>
  <r>
    <x v="0"/>
    <x v="914"/>
    <x v="2"/>
    <x v="1"/>
    <x v="1"/>
    <m/>
    <x v="2"/>
    <n v="0.43"/>
    <n v="0.54879999999999995"/>
    <n v="4.1159999999999997"/>
    <n v="18.228000000000002"/>
    <x v="5"/>
    <x v="3"/>
    <x v="1"/>
    <x v="3"/>
    <x v="0"/>
    <x v="0"/>
  </r>
  <r>
    <x v="0"/>
    <x v="915"/>
    <x v="3"/>
    <x v="1"/>
    <x v="1"/>
    <m/>
    <x v="2"/>
    <n v="0.43"/>
    <n v="0.54879999999999995"/>
    <n v="4.1159999999999997"/>
    <n v="18.228000000000002"/>
    <x v="5"/>
    <x v="3"/>
    <x v="1"/>
    <x v="3"/>
    <x v="0"/>
    <x v="0"/>
  </r>
  <r>
    <x v="0"/>
    <x v="916"/>
    <x v="4"/>
    <x v="1"/>
    <x v="1"/>
    <m/>
    <x v="2"/>
    <n v="0.43"/>
    <n v="0.54879999999999995"/>
    <n v="4.1159999999999997"/>
    <n v="18.228000000000002"/>
    <x v="5"/>
    <x v="3"/>
    <x v="1"/>
    <x v="3"/>
    <x v="0"/>
    <x v="0"/>
  </r>
  <r>
    <x v="0"/>
    <x v="917"/>
    <x v="0"/>
    <x v="1"/>
    <x v="1"/>
    <m/>
    <x v="2"/>
    <n v="0.44"/>
    <n v="0.50960000000000005"/>
    <n v="3.92"/>
    <n v="17.64"/>
    <x v="7"/>
    <x v="4"/>
    <x v="1"/>
    <x v="3"/>
    <x v="0"/>
    <x v="0"/>
  </r>
  <r>
    <x v="0"/>
    <x v="918"/>
    <x v="1"/>
    <x v="1"/>
    <x v="1"/>
    <m/>
    <x v="2"/>
    <n v="0.44"/>
    <n v="0.50960000000000005"/>
    <n v="3.92"/>
    <n v="17.64"/>
    <x v="7"/>
    <x v="4"/>
    <x v="1"/>
    <x v="3"/>
    <x v="0"/>
    <x v="0"/>
  </r>
  <r>
    <x v="0"/>
    <x v="919"/>
    <x v="2"/>
    <x v="1"/>
    <x v="1"/>
    <m/>
    <x v="2"/>
    <n v="0.44"/>
    <n v="0.50960000000000005"/>
    <n v="3.92"/>
    <n v="17.64"/>
    <x v="7"/>
    <x v="4"/>
    <x v="1"/>
    <x v="3"/>
    <x v="0"/>
    <x v="0"/>
  </r>
  <r>
    <x v="0"/>
    <x v="920"/>
    <x v="3"/>
    <x v="1"/>
    <x v="1"/>
    <m/>
    <x v="2"/>
    <n v="0.44"/>
    <n v="0.50960000000000005"/>
    <n v="3.92"/>
    <n v="17.64"/>
    <x v="7"/>
    <x v="4"/>
    <x v="1"/>
    <x v="3"/>
    <x v="0"/>
    <x v="0"/>
  </r>
  <r>
    <x v="0"/>
    <x v="921"/>
    <x v="4"/>
    <x v="1"/>
    <x v="1"/>
    <m/>
    <x v="2"/>
    <n v="0.44"/>
    <n v="0.50960000000000005"/>
    <n v="3.92"/>
    <n v="17.64"/>
    <x v="7"/>
    <x v="4"/>
    <x v="1"/>
    <x v="3"/>
    <x v="0"/>
    <x v="0"/>
  </r>
  <r>
    <x v="0"/>
    <x v="922"/>
    <x v="25"/>
    <x v="7"/>
    <x v="3"/>
    <m/>
    <x v="2"/>
    <n v="0.98"/>
    <n v="4.8000000000000001E-5"/>
    <m/>
    <n v="2.2000000000000001E-3"/>
    <x v="2"/>
    <x v="1"/>
    <x v="1"/>
    <x v="16"/>
    <x v="7"/>
    <x v="7"/>
  </r>
  <r>
    <x v="0"/>
    <x v="923"/>
    <x v="25"/>
    <x v="7"/>
    <x v="3"/>
    <m/>
    <x v="2"/>
    <n v="0.98"/>
    <n v="3.6999999999999998E-5"/>
    <m/>
    <n v="1.6999999999999999E-3"/>
    <x v="5"/>
    <x v="0"/>
    <x v="1"/>
    <x v="16"/>
    <x v="7"/>
    <x v="7"/>
  </r>
  <r>
    <x v="0"/>
    <x v="924"/>
    <x v="25"/>
    <x v="7"/>
    <x v="3"/>
    <m/>
    <x v="2"/>
    <n v="0.98"/>
    <n v="8.5000000000000006E-5"/>
    <m/>
    <n v="3.8999999999999998E-3"/>
    <x v="2"/>
    <x v="1"/>
    <x v="1"/>
    <x v="16"/>
    <x v="8"/>
    <x v="8"/>
  </r>
  <r>
    <x v="0"/>
    <x v="925"/>
    <x v="25"/>
    <x v="7"/>
    <x v="3"/>
    <m/>
    <x v="2"/>
    <n v="0.98"/>
    <n v="6.6000000000000005E-5"/>
    <m/>
    <n v="3.0000000000000001E-3"/>
    <x v="5"/>
    <x v="0"/>
    <x v="1"/>
    <x v="16"/>
    <x v="8"/>
    <x v="8"/>
  </r>
  <r>
    <x v="0"/>
    <x v="926"/>
    <x v="25"/>
    <x v="7"/>
    <x v="3"/>
    <m/>
    <x v="2"/>
    <n v="1"/>
    <n v="1.2999999999999999E-5"/>
    <m/>
    <n v="1.1000000000000001E-3"/>
    <x v="2"/>
    <x v="1"/>
    <x v="1"/>
    <x v="2"/>
    <x v="9"/>
    <x v="9"/>
  </r>
  <r>
    <x v="0"/>
    <x v="927"/>
    <x v="25"/>
    <x v="7"/>
    <x v="3"/>
    <m/>
    <x v="2"/>
    <n v="1"/>
    <n v="1.0000000000000001E-5"/>
    <m/>
    <n v="8.0000000000000004E-4"/>
    <x v="5"/>
    <x v="0"/>
    <x v="1"/>
    <x v="2"/>
    <x v="9"/>
    <x v="9"/>
  </r>
  <r>
    <x v="0"/>
    <x v="928"/>
    <x v="6"/>
    <x v="6"/>
    <x v="4"/>
    <m/>
    <x v="5"/>
    <n v="3.13"/>
    <n v="0.70809947244281901"/>
    <n v="2.0231413498366302"/>
    <n v="2.0231413498366302"/>
    <x v="4"/>
    <x v="1"/>
    <x v="1"/>
    <x v="3"/>
    <x v="0"/>
    <x v="0"/>
  </r>
  <r>
    <x v="0"/>
    <x v="929"/>
    <x v="6"/>
    <x v="6"/>
    <x v="4"/>
    <m/>
    <x v="5"/>
    <n v="3.13"/>
    <n v="0.91930076488915102"/>
    <m/>
    <n v="18.386015297783"/>
    <x v="4"/>
    <x v="1"/>
    <x v="1"/>
    <x v="3"/>
    <x v="0"/>
    <x v="0"/>
  </r>
  <r>
    <x v="0"/>
    <x v="930"/>
    <x v="6"/>
    <x v="6"/>
    <x v="4"/>
    <m/>
    <x v="5"/>
    <n v="3.21459459459459"/>
    <n v="0.83128260654870001"/>
    <m/>
    <n v="16.527854177262402"/>
    <x v="5"/>
    <x v="3"/>
    <x v="1"/>
    <x v="3"/>
    <x v="0"/>
    <x v="0"/>
  </r>
  <r>
    <x v="0"/>
    <x v="931"/>
    <x v="6"/>
    <x v="6"/>
    <x v="4"/>
    <m/>
    <x v="5"/>
    <n v="3.3038888888888902"/>
    <n v="0.66561407563359698"/>
    <n v="1.8208272148529601"/>
    <n v="2.0231413498366302"/>
    <x v="5"/>
    <x v="3"/>
    <x v="1"/>
    <x v="3"/>
    <x v="0"/>
    <x v="0"/>
  </r>
  <r>
    <x v="0"/>
    <x v="932"/>
    <x v="6"/>
    <x v="6"/>
    <x v="4"/>
    <m/>
    <x v="5"/>
    <n v="3.3414864864864899"/>
    <n v="0.743264448208249"/>
    <m/>
    <n v="14.865288964165"/>
    <x v="7"/>
    <x v="4"/>
    <x v="1"/>
    <x v="3"/>
    <x v="0"/>
    <x v="0"/>
  </r>
  <r>
    <x v="0"/>
    <x v="933"/>
    <x v="6"/>
    <x v="6"/>
    <x v="4"/>
    <m/>
    <x v="5"/>
    <n v="3.5647222222222199"/>
    <n v="0.599051827574139"/>
    <n v="1.71967014736113"/>
    <n v="2.0231413498366302"/>
    <x v="7"/>
    <x v="4"/>
    <x v="1"/>
    <x v="3"/>
    <x v="0"/>
    <x v="0"/>
  </r>
  <r>
    <x v="0"/>
    <x v="934"/>
    <x v="6"/>
    <x v="6"/>
    <x v="4"/>
    <m/>
    <x v="5"/>
    <n v="1"/>
    <n v="0.64483999999999997"/>
    <n v="1.764"/>
    <n v="1.96"/>
    <x v="4"/>
    <x v="1"/>
    <x v="1"/>
    <x v="3"/>
    <x v="0"/>
    <x v="0"/>
  </r>
  <r>
    <x v="0"/>
    <x v="935"/>
    <x v="6"/>
    <x v="6"/>
    <x v="4"/>
    <m/>
    <x v="5"/>
    <n v="1"/>
    <n v="0.58035599999999998"/>
    <n v="1.6659999999999999"/>
    <n v="1.96"/>
    <x v="5"/>
    <x v="2"/>
    <x v="1"/>
    <x v="3"/>
    <x v="0"/>
    <x v="0"/>
  </r>
  <r>
    <x v="0"/>
    <x v="936"/>
    <x v="6"/>
    <x v="6"/>
    <x v="4"/>
    <m/>
    <x v="5"/>
    <n v="1"/>
    <n v="0.5513382"/>
    <n v="1.617"/>
    <n v="1.96"/>
    <x v="6"/>
    <x v="3"/>
    <x v="1"/>
    <x v="3"/>
    <x v="0"/>
    <x v="0"/>
  </r>
  <r>
    <x v="0"/>
    <x v="937"/>
    <x v="6"/>
    <x v="6"/>
    <x v="4"/>
    <m/>
    <x v="5"/>
    <n v="1"/>
    <n v="0.52232040000000002"/>
    <n v="1.5680000000000001"/>
    <n v="1.96"/>
    <x v="7"/>
    <x v="4"/>
    <x v="1"/>
    <x v="3"/>
    <x v="0"/>
    <x v="0"/>
  </r>
  <r>
    <x v="0"/>
    <x v="938"/>
    <x v="6"/>
    <x v="6"/>
    <x v="4"/>
    <m/>
    <x v="5"/>
    <n v="12"/>
    <n v="0.58035599999999998"/>
    <n v="1.6659999999999999"/>
    <n v="1.96"/>
    <x v="5"/>
    <x v="3"/>
    <x v="1"/>
    <x v="3"/>
    <x v="0"/>
    <x v="0"/>
  </r>
  <r>
    <x v="0"/>
    <x v="939"/>
    <x v="6"/>
    <x v="6"/>
    <x v="4"/>
    <m/>
    <x v="5"/>
    <n v="1.6"/>
    <n v="0.64483999999999997"/>
    <n v="1.764"/>
    <n v="1.96"/>
    <x v="4"/>
    <x v="1"/>
    <x v="1"/>
    <x v="3"/>
    <x v="0"/>
    <x v="0"/>
  </r>
  <r>
    <x v="0"/>
    <x v="940"/>
    <x v="6"/>
    <x v="6"/>
    <x v="4"/>
    <m/>
    <x v="5"/>
    <n v="1.6"/>
    <n v="0.58035599999999998"/>
    <n v="1.6659999999999999"/>
    <n v="1.96"/>
    <x v="5"/>
    <x v="2"/>
    <x v="1"/>
    <x v="3"/>
    <x v="0"/>
    <x v="0"/>
  </r>
  <r>
    <x v="0"/>
    <x v="941"/>
    <x v="6"/>
    <x v="6"/>
    <x v="4"/>
    <m/>
    <x v="5"/>
    <n v="1.6"/>
    <n v="0.5513382"/>
    <n v="1.617"/>
    <n v="1.96"/>
    <x v="6"/>
    <x v="3"/>
    <x v="1"/>
    <x v="3"/>
    <x v="0"/>
    <x v="0"/>
  </r>
  <r>
    <x v="0"/>
    <x v="942"/>
    <x v="6"/>
    <x v="6"/>
    <x v="4"/>
    <m/>
    <x v="5"/>
    <n v="1.6"/>
    <n v="0.52232040000000002"/>
    <n v="1.5680000000000001"/>
    <n v="1.96"/>
    <x v="7"/>
    <x v="4"/>
    <x v="1"/>
    <x v="3"/>
    <x v="0"/>
    <x v="0"/>
  </r>
  <r>
    <x v="0"/>
    <x v="943"/>
    <x v="6"/>
    <x v="6"/>
    <x v="4"/>
    <m/>
    <x v="5"/>
    <n v="18"/>
    <n v="0.52232040000000002"/>
    <n v="1.5680000000000001"/>
    <n v="1.96"/>
    <x v="7"/>
    <x v="4"/>
    <x v="1"/>
    <x v="3"/>
    <x v="0"/>
    <x v="0"/>
  </r>
  <r>
    <x v="0"/>
    <x v="944"/>
    <x v="6"/>
    <x v="6"/>
    <x v="4"/>
    <m/>
    <x v="5"/>
    <n v="2.7"/>
    <m/>
    <n v="1.96"/>
    <n v="1.96"/>
    <x v="1"/>
    <x v="0"/>
    <x v="0"/>
    <x v="1"/>
    <x v="0"/>
    <x v="0"/>
  </r>
  <r>
    <x v="0"/>
    <x v="945"/>
    <x v="6"/>
    <x v="6"/>
    <x v="4"/>
    <m/>
    <x v="5"/>
    <n v="3"/>
    <m/>
    <n v="1.96"/>
    <n v="1.96"/>
    <x v="1"/>
    <x v="0"/>
    <x v="0"/>
    <x v="1"/>
    <x v="0"/>
    <x v="0"/>
  </r>
  <r>
    <x v="0"/>
    <x v="946"/>
    <x v="6"/>
    <x v="6"/>
    <x v="4"/>
    <m/>
    <x v="5"/>
    <n v="3.5"/>
    <m/>
    <n v="1.96"/>
    <n v="1.96"/>
    <x v="1"/>
    <x v="0"/>
    <x v="0"/>
    <x v="1"/>
    <x v="0"/>
    <x v="0"/>
  </r>
  <r>
    <x v="0"/>
    <x v="947"/>
    <x v="6"/>
    <x v="6"/>
    <x v="4"/>
    <m/>
    <x v="5"/>
    <n v="4"/>
    <m/>
    <n v="1.96"/>
    <n v="1.96"/>
    <x v="1"/>
    <x v="0"/>
    <x v="0"/>
    <x v="1"/>
    <x v="0"/>
    <x v="0"/>
  </r>
  <r>
    <x v="0"/>
    <x v="948"/>
    <x v="6"/>
    <x v="6"/>
    <x v="4"/>
    <m/>
    <x v="5"/>
    <n v="4"/>
    <n v="0.64483999999999997"/>
    <n v="1.764"/>
    <n v="1.96"/>
    <x v="4"/>
    <x v="1"/>
    <x v="1"/>
    <x v="3"/>
    <x v="0"/>
    <x v="0"/>
  </r>
  <r>
    <x v="0"/>
    <x v="949"/>
    <x v="6"/>
    <x v="6"/>
    <x v="4"/>
    <m/>
    <x v="5"/>
    <n v="4.3"/>
    <m/>
    <n v="1.96"/>
    <n v="1.96"/>
    <x v="1"/>
    <x v="0"/>
    <x v="0"/>
    <x v="1"/>
    <x v="0"/>
    <x v="0"/>
  </r>
  <r>
    <x v="0"/>
    <x v="950"/>
    <x v="6"/>
    <x v="6"/>
    <x v="4"/>
    <m/>
    <x v="5"/>
    <n v="4.5"/>
    <m/>
    <n v="1.96"/>
    <n v="1.96"/>
    <x v="1"/>
    <x v="0"/>
    <x v="0"/>
    <x v="1"/>
    <x v="0"/>
    <x v="0"/>
  </r>
  <r>
    <x v="0"/>
    <x v="951"/>
    <x v="6"/>
    <x v="6"/>
    <x v="4"/>
    <m/>
    <x v="5"/>
    <n v="4.5999999999999996"/>
    <m/>
    <n v="1.96"/>
    <n v="1.96"/>
    <x v="1"/>
    <x v="0"/>
    <x v="0"/>
    <x v="1"/>
    <x v="0"/>
    <x v="0"/>
  </r>
  <r>
    <x v="0"/>
    <x v="952"/>
    <x v="6"/>
    <x v="6"/>
    <x v="4"/>
    <m/>
    <x v="5"/>
    <n v="4.7"/>
    <m/>
    <n v="1.96"/>
    <n v="1.96"/>
    <x v="1"/>
    <x v="0"/>
    <x v="0"/>
    <x v="1"/>
    <x v="0"/>
    <x v="0"/>
  </r>
  <r>
    <x v="0"/>
    <x v="953"/>
    <x v="6"/>
    <x v="6"/>
    <x v="4"/>
    <m/>
    <x v="5"/>
    <n v="4.8"/>
    <n v="0.58035599999999998"/>
    <n v="1.6659999999999999"/>
    <n v="1.96"/>
    <x v="5"/>
    <x v="3"/>
    <x v="1"/>
    <x v="3"/>
    <x v="0"/>
    <x v="0"/>
  </r>
  <r>
    <x v="0"/>
    <x v="954"/>
    <x v="6"/>
    <x v="6"/>
    <x v="4"/>
    <m/>
    <x v="5"/>
    <n v="5"/>
    <m/>
    <n v="1.96"/>
    <n v="1.96"/>
    <x v="1"/>
    <x v="0"/>
    <x v="0"/>
    <x v="1"/>
    <x v="0"/>
    <x v="0"/>
  </r>
  <r>
    <x v="0"/>
    <x v="955"/>
    <x v="6"/>
    <x v="6"/>
    <x v="4"/>
    <m/>
    <x v="5"/>
    <n v="5"/>
    <n v="0.64483999999999997"/>
    <n v="1.764"/>
    <n v="1.96"/>
    <x v="4"/>
    <x v="1"/>
    <x v="1"/>
    <x v="3"/>
    <x v="0"/>
    <x v="0"/>
  </r>
  <r>
    <x v="0"/>
    <x v="956"/>
    <x v="6"/>
    <x v="6"/>
    <x v="4"/>
    <m/>
    <x v="5"/>
    <n v="5.3"/>
    <m/>
    <n v="1.96"/>
    <n v="1.96"/>
    <x v="1"/>
    <x v="0"/>
    <x v="0"/>
    <x v="1"/>
    <x v="0"/>
    <x v="0"/>
  </r>
  <r>
    <x v="0"/>
    <x v="957"/>
    <x v="6"/>
    <x v="6"/>
    <x v="4"/>
    <m/>
    <x v="5"/>
    <n v="6"/>
    <m/>
    <n v="1.96"/>
    <n v="1.96"/>
    <x v="1"/>
    <x v="0"/>
    <x v="0"/>
    <x v="1"/>
    <x v="0"/>
    <x v="0"/>
  </r>
  <r>
    <x v="0"/>
    <x v="958"/>
    <x v="6"/>
    <x v="6"/>
    <x v="4"/>
    <m/>
    <x v="5"/>
    <n v="6"/>
    <n v="0.58035599999999998"/>
    <n v="1.6659999999999999"/>
    <n v="1.96"/>
    <x v="5"/>
    <x v="3"/>
    <x v="1"/>
    <x v="3"/>
    <x v="0"/>
    <x v="0"/>
  </r>
  <r>
    <x v="0"/>
    <x v="959"/>
    <x v="6"/>
    <x v="6"/>
    <x v="4"/>
    <m/>
    <x v="5"/>
    <n v="6"/>
    <n v="0.52232040000000002"/>
    <n v="1.5680000000000001"/>
    <n v="1.96"/>
    <x v="7"/>
    <x v="4"/>
    <x v="1"/>
    <x v="3"/>
    <x v="0"/>
    <x v="0"/>
  </r>
  <r>
    <x v="0"/>
    <x v="960"/>
    <x v="6"/>
    <x v="6"/>
    <x v="4"/>
    <m/>
    <x v="5"/>
    <n v="7.4"/>
    <n v="0.52232040000000002"/>
    <n v="1.5680000000000001"/>
    <n v="1.96"/>
    <x v="7"/>
    <x v="4"/>
    <x v="1"/>
    <x v="3"/>
    <x v="0"/>
    <x v="0"/>
  </r>
  <r>
    <x v="0"/>
    <x v="961"/>
    <x v="6"/>
    <x v="6"/>
    <x v="4"/>
    <m/>
    <x v="5"/>
    <n v="9"/>
    <n v="0.64483999999999997"/>
    <n v="1.764"/>
    <n v="1.96"/>
    <x v="4"/>
    <x v="1"/>
    <x v="1"/>
    <x v="3"/>
    <x v="0"/>
    <x v="0"/>
  </r>
  <r>
    <x v="0"/>
    <x v="962"/>
    <x v="6"/>
    <x v="6"/>
    <x v="4"/>
    <m/>
    <x v="5"/>
    <n v="3.6"/>
    <n v="0.64483999999999997"/>
    <n v="1.764"/>
    <n v="1.96"/>
    <x v="4"/>
    <x v="1"/>
    <x v="1"/>
    <x v="3"/>
    <x v="0"/>
    <x v="0"/>
  </r>
  <r>
    <x v="0"/>
    <x v="963"/>
    <x v="6"/>
    <x v="6"/>
    <x v="4"/>
    <m/>
    <x v="5"/>
    <n v="3.7"/>
    <n v="1.4669693056741799"/>
    <m/>
    <n v="18.386015297783"/>
    <x v="4"/>
    <x v="1"/>
    <x v="1"/>
    <x v="3"/>
    <x v="0"/>
    <x v="0"/>
  </r>
  <r>
    <x v="0"/>
    <x v="964"/>
    <x v="6"/>
    <x v="6"/>
    <x v="4"/>
    <m/>
    <x v="5"/>
    <n v="3.8"/>
    <n v="0.58035599999999998"/>
    <n v="1.6659999999999999"/>
    <n v="1.96"/>
    <x v="5"/>
    <x v="3"/>
    <x v="1"/>
    <x v="3"/>
    <x v="0"/>
    <x v="0"/>
  </r>
  <r>
    <x v="0"/>
    <x v="965"/>
    <x v="6"/>
    <x v="6"/>
    <x v="4"/>
    <m/>
    <x v="5"/>
    <n v="3.8"/>
    <n v="1.3691713519625599"/>
    <m/>
    <n v="16.527854177262402"/>
    <x v="5"/>
    <x v="3"/>
    <x v="1"/>
    <x v="3"/>
    <x v="0"/>
    <x v="0"/>
  </r>
  <r>
    <x v="0"/>
    <x v="966"/>
    <x v="6"/>
    <x v="6"/>
    <x v="4"/>
    <m/>
    <x v="5"/>
    <n v="3.95"/>
    <n v="1.17357544453934"/>
    <m/>
    <n v="14.865288964165"/>
    <x v="7"/>
    <x v="4"/>
    <x v="1"/>
    <x v="3"/>
    <x v="0"/>
    <x v="0"/>
  </r>
  <r>
    <x v="0"/>
    <x v="967"/>
    <x v="6"/>
    <x v="6"/>
    <x v="4"/>
    <m/>
    <x v="5"/>
    <n v="4.0999999999999996"/>
    <n v="0.52232040000000002"/>
    <n v="1.5680000000000001"/>
    <n v="1.96"/>
    <x v="7"/>
    <x v="4"/>
    <x v="1"/>
    <x v="3"/>
    <x v="0"/>
    <x v="0"/>
  </r>
  <r>
    <x v="0"/>
    <x v="968"/>
    <x v="26"/>
    <x v="8"/>
    <x v="2"/>
    <m/>
    <x v="5"/>
    <n v="1"/>
    <m/>
    <n v="1.6809999999999999E-4"/>
    <m/>
    <x v="1"/>
    <x v="0"/>
    <x v="0"/>
    <x v="1"/>
    <x v="2"/>
    <x v="2"/>
  </r>
  <r>
    <x v="0"/>
    <x v="969"/>
    <x v="26"/>
    <x v="9"/>
    <x v="2"/>
    <m/>
    <x v="5"/>
    <n v="0.9"/>
    <n v="1.4350213544844399E-3"/>
    <n v="1.6809999999999999E-4"/>
    <m/>
    <x v="1"/>
    <x v="0"/>
    <x v="0"/>
    <x v="1"/>
    <x v="10"/>
    <x v="10"/>
  </r>
  <r>
    <x v="0"/>
    <x v="970"/>
    <x v="26"/>
    <x v="9"/>
    <x v="2"/>
    <m/>
    <x v="5"/>
    <n v="0.9"/>
    <n v="1.4350213544844399E-3"/>
    <n v="1.6809999999999999E-4"/>
    <m/>
    <x v="4"/>
    <x v="1"/>
    <x v="1"/>
    <x v="0"/>
    <x v="10"/>
    <x v="10"/>
  </r>
  <r>
    <x v="0"/>
    <x v="971"/>
    <x v="26"/>
    <x v="9"/>
    <x v="2"/>
    <m/>
    <x v="5"/>
    <n v="0.9"/>
    <n v="1.3745333953250501E-3"/>
    <n v="1.6809999999999999E-4"/>
    <m/>
    <x v="5"/>
    <x v="3"/>
    <x v="1"/>
    <x v="0"/>
    <x v="10"/>
    <x v="10"/>
  </r>
  <r>
    <x v="0"/>
    <x v="972"/>
    <x v="26"/>
    <x v="9"/>
    <x v="2"/>
    <m/>
    <x v="5"/>
    <n v="0.9"/>
    <n v="1.21282358411034E-3"/>
    <n v="1.6809999999999999E-4"/>
    <m/>
    <x v="7"/>
    <x v="4"/>
    <x v="1"/>
    <x v="0"/>
    <x v="10"/>
    <x v="10"/>
  </r>
  <r>
    <x v="0"/>
    <x v="973"/>
    <x v="26"/>
    <x v="9"/>
    <x v="2"/>
    <m/>
    <x v="5"/>
    <n v="0.91"/>
    <n v="4.4269488900361398E-4"/>
    <n v="1.6809999999999999E-4"/>
    <m/>
    <x v="4"/>
    <x v="1"/>
    <x v="1"/>
    <x v="0"/>
    <x v="11"/>
    <x v="11"/>
  </r>
  <r>
    <x v="0"/>
    <x v="974"/>
    <x v="26"/>
    <x v="9"/>
    <x v="2"/>
    <m/>
    <x v="5"/>
    <n v="0.91"/>
    <n v="4.2403474134627002E-4"/>
    <n v="1.6809999999999999E-4"/>
    <m/>
    <x v="5"/>
    <x v="3"/>
    <x v="1"/>
    <x v="0"/>
    <x v="11"/>
    <x v="11"/>
  </r>
  <r>
    <x v="0"/>
    <x v="975"/>
    <x v="26"/>
    <x v="9"/>
    <x v="2"/>
    <m/>
    <x v="5"/>
    <n v="0.91"/>
    <n v="3.74148301187885E-4"/>
    <n v="1.6809999999999999E-4"/>
    <m/>
    <x v="7"/>
    <x v="4"/>
    <x v="1"/>
    <x v="0"/>
    <x v="11"/>
    <x v="11"/>
  </r>
  <r>
    <x v="0"/>
    <x v="976"/>
    <x v="26"/>
    <x v="8"/>
    <x v="2"/>
    <m/>
    <x v="5"/>
    <n v="0.95"/>
    <n v="2.9399999999999999E-3"/>
    <n v="1.6809999999999999E-4"/>
    <m/>
    <x v="3"/>
    <x v="4"/>
    <x v="1"/>
    <x v="0"/>
    <x v="2"/>
    <x v="2"/>
  </r>
  <r>
    <x v="0"/>
    <x v="977"/>
    <x v="26"/>
    <x v="8"/>
    <x v="2"/>
    <m/>
    <x v="5"/>
    <n v="0.95"/>
    <n v="3.8168991136938802E-3"/>
    <n v="1.6809999999999999E-4"/>
    <m/>
    <x v="3"/>
    <x v="4"/>
    <x v="1"/>
    <x v="0"/>
    <x v="12"/>
    <x v="12"/>
  </r>
  <r>
    <x v="0"/>
    <x v="978"/>
    <x v="18"/>
    <x v="4"/>
    <x v="0"/>
    <n v="0.3"/>
    <x v="5"/>
    <n v="0.9"/>
    <m/>
    <n v="1.53"/>
    <n v="12.050668"/>
    <x v="1"/>
    <x v="0"/>
    <x v="0"/>
    <x v="1"/>
    <x v="0"/>
    <x v="0"/>
  </r>
  <r>
    <x v="0"/>
    <x v="979"/>
    <x v="8"/>
    <x v="4"/>
    <x v="0"/>
    <n v="0.2"/>
    <x v="5"/>
    <n v="0.9"/>
    <m/>
    <n v="0.80359999999999998"/>
    <n v="37.24"/>
    <x v="1"/>
    <x v="0"/>
    <x v="0"/>
    <x v="1"/>
    <x v="0"/>
    <x v="0"/>
  </r>
  <r>
    <x v="0"/>
    <x v="980"/>
    <x v="8"/>
    <x v="4"/>
    <x v="0"/>
    <n v="0.3"/>
    <x v="5"/>
    <n v="0.9"/>
    <m/>
    <n v="0.80359999999999998"/>
    <n v="37.24"/>
    <x v="1"/>
    <x v="0"/>
    <x v="0"/>
    <x v="1"/>
    <x v="0"/>
    <x v="0"/>
  </r>
  <r>
    <x v="0"/>
    <x v="981"/>
    <x v="8"/>
    <x v="4"/>
    <x v="0"/>
    <n v="0.6"/>
    <x v="5"/>
    <n v="0.9"/>
    <m/>
    <n v="0.80359999999999998"/>
    <n v="37.24"/>
    <x v="1"/>
    <x v="0"/>
    <x v="0"/>
    <x v="1"/>
    <x v="0"/>
    <x v="0"/>
  </r>
  <r>
    <x v="0"/>
    <x v="982"/>
    <x v="13"/>
    <x v="4"/>
    <x v="0"/>
    <n v="0.3"/>
    <x v="5"/>
    <n v="0.9"/>
    <m/>
    <n v="1.96"/>
    <n v="56.055999999999997"/>
    <x v="1"/>
    <x v="0"/>
    <x v="0"/>
    <x v="1"/>
    <x v="0"/>
    <x v="0"/>
  </r>
  <r>
    <x v="0"/>
    <x v="983"/>
    <x v="12"/>
    <x v="4"/>
    <x v="0"/>
    <n v="0.3"/>
    <x v="5"/>
    <n v="0.9"/>
    <m/>
    <n v="1.96"/>
    <n v="56.055999999999997"/>
    <x v="1"/>
    <x v="0"/>
    <x v="0"/>
    <x v="1"/>
    <x v="0"/>
    <x v="0"/>
  </r>
  <r>
    <x v="0"/>
    <x v="984"/>
    <x v="14"/>
    <x v="4"/>
    <x v="0"/>
    <n v="0.3"/>
    <x v="5"/>
    <n v="0.9"/>
    <m/>
    <n v="1.96"/>
    <n v="56.055999999999997"/>
    <x v="1"/>
    <x v="0"/>
    <x v="0"/>
    <x v="1"/>
    <x v="0"/>
    <x v="0"/>
  </r>
  <r>
    <x v="0"/>
    <x v="985"/>
    <x v="15"/>
    <x v="4"/>
    <x v="0"/>
    <n v="0.3"/>
    <x v="5"/>
    <n v="0.9"/>
    <m/>
    <n v="1.96"/>
    <n v="56.055999999999997"/>
    <x v="1"/>
    <x v="0"/>
    <x v="0"/>
    <x v="1"/>
    <x v="0"/>
    <x v="0"/>
  </r>
  <r>
    <x v="0"/>
    <x v="986"/>
    <x v="9"/>
    <x v="4"/>
    <x v="0"/>
    <n v="0.3"/>
    <x v="5"/>
    <n v="0.9"/>
    <m/>
    <n v="0.80359999999999998"/>
    <n v="37.24"/>
    <x v="1"/>
    <x v="0"/>
    <x v="0"/>
    <x v="1"/>
    <x v="0"/>
    <x v="0"/>
  </r>
  <r>
    <x v="0"/>
    <x v="987"/>
    <x v="9"/>
    <x v="4"/>
    <x v="0"/>
    <n v="0.8"/>
    <x v="5"/>
    <n v="0.9"/>
    <m/>
    <n v="0.80359999999999998"/>
    <n v="37.24"/>
    <x v="1"/>
    <x v="0"/>
    <x v="0"/>
    <x v="1"/>
    <x v="0"/>
    <x v="0"/>
  </r>
  <r>
    <x v="0"/>
    <x v="988"/>
    <x v="20"/>
    <x v="4"/>
    <x v="0"/>
    <n v="0.3"/>
    <x v="5"/>
    <n v="0.9"/>
    <m/>
    <n v="0.80359999999999998"/>
    <n v="37.24"/>
    <x v="1"/>
    <x v="0"/>
    <x v="0"/>
    <x v="1"/>
    <x v="0"/>
    <x v="0"/>
  </r>
  <r>
    <x v="0"/>
    <x v="989"/>
    <x v="10"/>
    <x v="4"/>
    <x v="0"/>
    <n v="0.3"/>
    <x v="5"/>
    <n v="0.9"/>
    <m/>
    <n v="24.303999999999998"/>
    <n v="196"/>
    <x v="1"/>
    <x v="0"/>
    <x v="0"/>
    <x v="1"/>
    <x v="0"/>
    <x v="0"/>
  </r>
  <r>
    <x v="0"/>
    <x v="990"/>
    <x v="0"/>
    <x v="4"/>
    <x v="0"/>
    <n v="0.3"/>
    <x v="5"/>
    <n v="0.9"/>
    <m/>
    <n v="1.53"/>
    <n v="12.050668"/>
    <x v="1"/>
    <x v="0"/>
    <x v="0"/>
    <x v="1"/>
    <x v="0"/>
    <x v="0"/>
  </r>
  <r>
    <x v="0"/>
    <x v="991"/>
    <x v="1"/>
    <x v="4"/>
    <x v="0"/>
    <n v="0.3"/>
    <x v="5"/>
    <n v="0.9"/>
    <m/>
    <n v="1.53"/>
    <n v="12.050668"/>
    <x v="1"/>
    <x v="0"/>
    <x v="0"/>
    <x v="1"/>
    <x v="0"/>
    <x v="0"/>
  </r>
  <r>
    <x v="0"/>
    <x v="992"/>
    <x v="2"/>
    <x v="4"/>
    <x v="0"/>
    <n v="0.3"/>
    <x v="5"/>
    <n v="0.9"/>
    <m/>
    <n v="1.53"/>
    <n v="12.050668"/>
    <x v="1"/>
    <x v="0"/>
    <x v="0"/>
    <x v="1"/>
    <x v="0"/>
    <x v="0"/>
  </r>
  <r>
    <x v="0"/>
    <x v="993"/>
    <x v="3"/>
    <x v="4"/>
    <x v="0"/>
    <n v="0.3"/>
    <x v="5"/>
    <n v="0.9"/>
    <m/>
    <n v="1.53"/>
    <n v="12.050668"/>
    <x v="1"/>
    <x v="0"/>
    <x v="0"/>
    <x v="1"/>
    <x v="0"/>
    <x v="0"/>
  </r>
  <r>
    <x v="0"/>
    <x v="994"/>
    <x v="4"/>
    <x v="4"/>
    <x v="0"/>
    <n v="0.3"/>
    <x v="5"/>
    <n v="0.9"/>
    <m/>
    <n v="1.53"/>
    <n v="12.050668"/>
    <x v="1"/>
    <x v="0"/>
    <x v="0"/>
    <x v="1"/>
    <x v="0"/>
    <x v="0"/>
  </r>
  <r>
    <x v="0"/>
    <x v="995"/>
    <x v="7"/>
    <x v="4"/>
    <x v="0"/>
    <n v="0.2"/>
    <x v="5"/>
    <n v="0.9"/>
    <m/>
    <n v="1.5680000000000001"/>
    <n v="39.200000000000003"/>
    <x v="1"/>
    <x v="0"/>
    <x v="0"/>
    <x v="1"/>
    <x v="0"/>
    <x v="0"/>
  </r>
  <r>
    <x v="0"/>
    <x v="996"/>
    <x v="7"/>
    <x v="4"/>
    <x v="0"/>
    <n v="0.3"/>
    <x v="5"/>
    <n v="0.9"/>
    <m/>
    <n v="1.5680000000000001"/>
    <n v="39.200000000000003"/>
    <x v="1"/>
    <x v="0"/>
    <x v="0"/>
    <x v="1"/>
    <x v="0"/>
    <x v="0"/>
  </r>
  <r>
    <x v="0"/>
    <x v="997"/>
    <x v="7"/>
    <x v="4"/>
    <x v="0"/>
    <n v="0.4"/>
    <x v="5"/>
    <n v="0.9"/>
    <m/>
    <n v="1.5680000000000001"/>
    <n v="39.200000000000003"/>
    <x v="1"/>
    <x v="0"/>
    <x v="0"/>
    <x v="1"/>
    <x v="0"/>
    <x v="0"/>
  </r>
  <r>
    <x v="0"/>
    <x v="998"/>
    <x v="14"/>
    <x v="4"/>
    <x v="0"/>
    <n v="0.2"/>
    <x v="5"/>
    <n v="0.9"/>
    <m/>
    <n v="3.7240000000000002"/>
    <n v="58.8"/>
    <x v="1"/>
    <x v="0"/>
    <x v="0"/>
    <x v="1"/>
    <x v="0"/>
    <x v="0"/>
  </r>
  <r>
    <x v="0"/>
    <x v="999"/>
    <x v="14"/>
    <x v="4"/>
    <x v="0"/>
    <n v="0.3"/>
    <x v="5"/>
    <n v="0.9"/>
    <m/>
    <n v="3.7240000000000002"/>
    <n v="58.8"/>
    <x v="1"/>
    <x v="0"/>
    <x v="0"/>
    <x v="1"/>
    <x v="0"/>
    <x v="0"/>
  </r>
  <r>
    <x v="0"/>
    <x v="1000"/>
    <x v="14"/>
    <x v="4"/>
    <x v="0"/>
    <n v="0.4"/>
    <x v="5"/>
    <n v="0.9"/>
    <m/>
    <n v="3.7240000000000002"/>
    <n v="58.8"/>
    <x v="1"/>
    <x v="0"/>
    <x v="0"/>
    <x v="1"/>
    <x v="0"/>
    <x v="0"/>
  </r>
  <r>
    <x v="0"/>
    <x v="1001"/>
    <x v="14"/>
    <x v="4"/>
    <x v="0"/>
    <n v="0.5"/>
    <x v="5"/>
    <n v="0.9"/>
    <m/>
    <n v="3.7240000000000002"/>
    <n v="58.8"/>
    <x v="1"/>
    <x v="0"/>
    <x v="0"/>
    <x v="1"/>
    <x v="0"/>
    <x v="0"/>
  </r>
  <r>
    <x v="0"/>
    <x v="1002"/>
    <x v="14"/>
    <x v="4"/>
    <x v="0"/>
    <n v="0.7"/>
    <x v="5"/>
    <n v="0.9"/>
    <m/>
    <n v="3.7240000000000002"/>
    <n v="58.8"/>
    <x v="1"/>
    <x v="0"/>
    <x v="0"/>
    <x v="1"/>
    <x v="0"/>
    <x v="0"/>
  </r>
  <r>
    <x v="0"/>
    <x v="1003"/>
    <x v="14"/>
    <x v="4"/>
    <x v="0"/>
    <n v="0.3"/>
    <x v="5"/>
    <n v="0.71"/>
    <m/>
    <n v="3.7240000000000002"/>
    <n v="58.8"/>
    <x v="1"/>
    <x v="0"/>
    <x v="0"/>
    <x v="1"/>
    <x v="0"/>
    <x v="0"/>
  </r>
  <r>
    <x v="0"/>
    <x v="1004"/>
    <x v="8"/>
    <x v="4"/>
    <x v="0"/>
    <n v="0.2"/>
    <x v="5"/>
    <n v="0.9"/>
    <m/>
    <n v="3.7240000000000002"/>
    <n v="58.8"/>
    <x v="1"/>
    <x v="0"/>
    <x v="0"/>
    <x v="1"/>
    <x v="0"/>
    <x v="0"/>
  </r>
  <r>
    <x v="0"/>
    <x v="1005"/>
    <x v="8"/>
    <x v="4"/>
    <x v="0"/>
    <n v="0.3"/>
    <x v="5"/>
    <n v="0.9"/>
    <m/>
    <n v="3.7240000000000002"/>
    <n v="58.8"/>
    <x v="1"/>
    <x v="0"/>
    <x v="0"/>
    <x v="1"/>
    <x v="0"/>
    <x v="0"/>
  </r>
  <r>
    <x v="0"/>
    <x v="1006"/>
    <x v="8"/>
    <x v="4"/>
    <x v="0"/>
    <n v="0.4"/>
    <x v="5"/>
    <n v="0.9"/>
    <m/>
    <n v="3.7240000000000002"/>
    <n v="58.8"/>
    <x v="1"/>
    <x v="0"/>
    <x v="0"/>
    <x v="1"/>
    <x v="0"/>
    <x v="0"/>
  </r>
  <r>
    <x v="0"/>
    <x v="1007"/>
    <x v="8"/>
    <x v="4"/>
    <x v="0"/>
    <n v="0.5"/>
    <x v="5"/>
    <n v="0.9"/>
    <m/>
    <n v="3.7240000000000002"/>
    <n v="58.8"/>
    <x v="1"/>
    <x v="0"/>
    <x v="0"/>
    <x v="1"/>
    <x v="0"/>
    <x v="0"/>
  </r>
  <r>
    <x v="0"/>
    <x v="1008"/>
    <x v="27"/>
    <x v="10"/>
    <x v="5"/>
    <m/>
    <x v="2"/>
    <n v="1"/>
    <m/>
    <m/>
    <n v="11.283540400790001"/>
    <x v="1"/>
    <x v="0"/>
    <x v="0"/>
    <x v="1"/>
    <x v="0"/>
    <x v="0"/>
  </r>
  <r>
    <x v="0"/>
    <x v="1009"/>
    <x v="27"/>
    <x v="10"/>
    <x v="5"/>
    <m/>
    <x v="2"/>
    <n v="1"/>
    <n v="0.60418518689291201"/>
    <m/>
    <n v="7.9375973487986702"/>
    <x v="4"/>
    <x v="1"/>
    <x v="1"/>
    <x v="17"/>
    <x v="0"/>
    <x v="0"/>
  </r>
  <r>
    <x v="0"/>
    <x v="1010"/>
    <x v="27"/>
    <x v="10"/>
    <x v="5"/>
    <m/>
    <x v="2"/>
    <n v="1"/>
    <n v="0.500063028115734"/>
    <m/>
    <n v="6.36967688483844"/>
    <x v="5"/>
    <x v="3"/>
    <x v="1"/>
    <x v="18"/>
    <x v="0"/>
    <x v="0"/>
  </r>
  <r>
    <x v="0"/>
    <x v="1011"/>
    <x v="27"/>
    <x v="10"/>
    <x v="5"/>
    <m/>
    <x v="2"/>
    <n v="1"/>
    <n v="0.40462546548787098"/>
    <m/>
    <n v="5.3897265948633004"/>
    <x v="7"/>
    <x v="4"/>
    <x v="1"/>
    <x v="18"/>
    <x v="0"/>
    <x v="0"/>
  </r>
  <r>
    <x v="0"/>
    <x v="1012"/>
    <x v="27"/>
    <x v="10"/>
    <x v="5"/>
    <m/>
    <x v="2"/>
    <n v="1"/>
    <n v="1.0445819999999999"/>
    <m/>
    <n v="10.4468"/>
    <x v="4"/>
    <x v="1"/>
    <x v="1"/>
    <x v="17"/>
    <x v="0"/>
    <x v="0"/>
  </r>
  <r>
    <x v="0"/>
    <x v="1013"/>
    <x v="27"/>
    <x v="10"/>
    <x v="5"/>
    <m/>
    <x v="2"/>
    <n v="1"/>
    <n v="0.83566560000000001"/>
    <m/>
    <n v="8.3594000000000008"/>
    <x v="5"/>
    <x v="3"/>
    <x v="1"/>
    <x v="18"/>
    <x v="0"/>
    <x v="0"/>
  </r>
  <r>
    <x v="0"/>
    <x v="1014"/>
    <x v="27"/>
    <x v="10"/>
    <x v="5"/>
    <m/>
    <x v="2"/>
    <n v="1"/>
    <n v="0.71031575999999996"/>
    <m/>
    <n v="7.1050000000000004"/>
    <x v="7"/>
    <x v="4"/>
    <x v="1"/>
    <x v="18"/>
    <x v="0"/>
    <x v="0"/>
  </r>
  <r>
    <x v="0"/>
    <x v="1015"/>
    <x v="27"/>
    <x v="10"/>
    <x v="5"/>
    <m/>
    <x v="2"/>
    <n v="1"/>
    <n v="1.22451"/>
    <m/>
    <n v="12.25"/>
    <x v="4"/>
    <x v="1"/>
    <x v="1"/>
    <x v="17"/>
    <x v="0"/>
    <x v="0"/>
  </r>
  <r>
    <x v="0"/>
    <x v="1016"/>
    <x v="27"/>
    <x v="10"/>
    <x v="5"/>
    <m/>
    <x v="2"/>
    <n v="1"/>
    <n v="0.97960800000000003"/>
    <m/>
    <n v="9.8000000000000007"/>
    <x v="5"/>
    <x v="3"/>
    <x v="1"/>
    <x v="18"/>
    <x v="0"/>
    <x v="0"/>
  </r>
  <r>
    <x v="0"/>
    <x v="1017"/>
    <x v="27"/>
    <x v="10"/>
    <x v="5"/>
    <m/>
    <x v="2"/>
    <n v="1"/>
    <n v="0.83266680000000004"/>
    <m/>
    <n v="8.33"/>
    <x v="7"/>
    <x v="4"/>
    <x v="1"/>
    <x v="18"/>
    <x v="0"/>
    <x v="0"/>
  </r>
  <r>
    <x v="0"/>
    <x v="1018"/>
    <x v="28"/>
    <x v="11"/>
    <x v="6"/>
    <m/>
    <x v="2"/>
    <n v="1"/>
    <m/>
    <m/>
    <n v="22.068965517241399"/>
    <x v="1"/>
    <x v="0"/>
    <x v="0"/>
    <x v="1"/>
    <x v="0"/>
    <x v="0"/>
  </r>
  <r>
    <x v="0"/>
    <x v="1019"/>
    <x v="28"/>
    <x v="11"/>
    <x v="6"/>
    <m/>
    <x v="2"/>
    <n v="1"/>
    <m/>
    <n v="1"/>
    <n v="22.068965517241399"/>
    <x v="1"/>
    <x v="0"/>
    <x v="0"/>
    <x v="1"/>
    <x v="0"/>
    <x v="0"/>
  </r>
  <r>
    <x v="0"/>
    <x v="1020"/>
    <x v="28"/>
    <x v="11"/>
    <x v="6"/>
    <m/>
    <x v="2"/>
    <n v="1"/>
    <m/>
    <n v="2"/>
    <n v="22.068965517241399"/>
    <x v="1"/>
    <x v="0"/>
    <x v="0"/>
    <x v="1"/>
    <x v="0"/>
    <x v="0"/>
  </r>
  <r>
    <x v="0"/>
    <x v="1021"/>
    <x v="28"/>
    <x v="11"/>
    <x v="6"/>
    <m/>
    <x v="2"/>
    <n v="1"/>
    <m/>
    <n v="3"/>
    <n v="22.068965517241399"/>
    <x v="1"/>
    <x v="0"/>
    <x v="0"/>
    <x v="1"/>
    <x v="0"/>
    <x v="0"/>
  </r>
  <r>
    <x v="0"/>
    <x v="1022"/>
    <x v="28"/>
    <x v="11"/>
    <x v="6"/>
    <m/>
    <x v="2"/>
    <n v="1"/>
    <m/>
    <n v="4"/>
    <n v="22.068965517241399"/>
    <x v="1"/>
    <x v="0"/>
    <x v="0"/>
    <x v="1"/>
    <x v="0"/>
    <x v="0"/>
  </r>
  <r>
    <x v="0"/>
    <x v="1023"/>
    <x v="28"/>
    <x v="11"/>
    <x v="6"/>
    <m/>
    <x v="2"/>
    <n v="1"/>
    <m/>
    <n v="5"/>
    <n v="22.068965517241399"/>
    <x v="1"/>
    <x v="0"/>
    <x v="0"/>
    <x v="1"/>
    <x v="0"/>
    <x v="0"/>
  </r>
  <r>
    <x v="0"/>
    <x v="1024"/>
    <x v="28"/>
    <x v="11"/>
    <x v="6"/>
    <m/>
    <x v="2"/>
    <n v="1"/>
    <m/>
    <n v="6"/>
    <n v="22.068965517241399"/>
    <x v="1"/>
    <x v="0"/>
    <x v="0"/>
    <x v="1"/>
    <x v="0"/>
    <x v="0"/>
  </r>
  <r>
    <x v="0"/>
    <x v="1025"/>
    <x v="28"/>
    <x v="11"/>
    <x v="6"/>
    <m/>
    <x v="2"/>
    <n v="1"/>
    <m/>
    <n v="7"/>
    <n v="22.068965517241399"/>
    <x v="1"/>
    <x v="0"/>
    <x v="0"/>
    <x v="1"/>
    <x v="0"/>
    <x v="0"/>
  </r>
  <r>
    <x v="0"/>
    <x v="1026"/>
    <x v="28"/>
    <x v="11"/>
    <x v="6"/>
    <m/>
    <x v="2"/>
    <n v="1"/>
    <m/>
    <n v="8"/>
    <n v="22.068965517241399"/>
    <x v="1"/>
    <x v="0"/>
    <x v="0"/>
    <x v="1"/>
    <x v="0"/>
    <x v="0"/>
  </r>
  <r>
    <x v="0"/>
    <x v="1027"/>
    <x v="28"/>
    <x v="11"/>
    <x v="6"/>
    <m/>
    <x v="2"/>
    <n v="1"/>
    <m/>
    <n v="9"/>
    <n v="22.068965517241399"/>
    <x v="1"/>
    <x v="0"/>
    <x v="0"/>
    <x v="1"/>
    <x v="0"/>
    <x v="0"/>
  </r>
  <r>
    <x v="0"/>
    <x v="1028"/>
    <x v="28"/>
    <x v="11"/>
    <x v="6"/>
    <m/>
    <x v="2"/>
    <n v="1"/>
    <m/>
    <n v="10"/>
    <n v="22.068965517241399"/>
    <x v="1"/>
    <x v="0"/>
    <x v="0"/>
    <x v="1"/>
    <x v="0"/>
    <x v="0"/>
  </r>
  <r>
    <x v="0"/>
    <x v="1029"/>
    <x v="6"/>
    <x v="3"/>
    <x v="2"/>
    <m/>
    <x v="2"/>
    <n v="0.8"/>
    <n v="0.34215626733333299"/>
    <m/>
    <n v="9.2382192179999993"/>
    <x v="9"/>
    <x v="4"/>
    <x v="1"/>
    <x v="19"/>
    <x v="4"/>
    <x v="13"/>
  </r>
  <r>
    <x v="0"/>
    <x v="1030"/>
    <x v="28"/>
    <x v="11"/>
    <x v="6"/>
    <m/>
    <x v="2"/>
    <n v="1"/>
    <m/>
    <n v="1"/>
    <n v="22.068965517241399"/>
    <x v="1"/>
    <x v="0"/>
    <x v="0"/>
    <x v="1"/>
    <x v="0"/>
    <x v="0"/>
  </r>
  <r>
    <x v="0"/>
    <x v="1031"/>
    <x v="28"/>
    <x v="12"/>
    <x v="6"/>
    <m/>
    <x v="2"/>
    <n v="1"/>
    <m/>
    <m/>
    <n v="22.068965517241399"/>
    <x v="1"/>
    <x v="0"/>
    <x v="0"/>
    <x v="1"/>
    <x v="0"/>
    <x v="0"/>
  </r>
  <r>
    <x v="0"/>
    <x v="1032"/>
    <x v="27"/>
    <x v="13"/>
    <x v="5"/>
    <m/>
    <x v="5"/>
    <n v="1"/>
    <m/>
    <n v="0.55859999999999999"/>
    <m/>
    <x v="1"/>
    <x v="0"/>
    <x v="0"/>
    <x v="1"/>
    <x v="0"/>
    <x v="0"/>
  </r>
  <r>
    <x v="0"/>
    <x v="1033"/>
    <x v="27"/>
    <x v="13"/>
    <x v="5"/>
    <m/>
    <x v="5"/>
    <n v="1"/>
    <n v="0.30987887264150898"/>
    <n v="0.55859999999999999"/>
    <m/>
    <x v="4"/>
    <x v="1"/>
    <x v="1"/>
    <x v="2"/>
    <x v="0"/>
    <x v="0"/>
  </r>
  <r>
    <x v="0"/>
    <x v="1034"/>
    <x v="27"/>
    <x v="13"/>
    <x v="5"/>
    <m/>
    <x v="5"/>
    <n v="1"/>
    <n v="0.25165920566037697"/>
    <n v="0.55859999999999999"/>
    <m/>
    <x v="5"/>
    <x v="3"/>
    <x v="1"/>
    <x v="2"/>
    <x v="0"/>
    <x v="0"/>
  </r>
  <r>
    <x v="0"/>
    <x v="1035"/>
    <x v="27"/>
    <x v="13"/>
    <x v="5"/>
    <m/>
    <x v="5"/>
    <n v="1"/>
    <n v="0.25165920566037697"/>
    <n v="0.55859999999999999"/>
    <m/>
    <x v="7"/>
    <x v="4"/>
    <x v="1"/>
    <x v="2"/>
    <x v="0"/>
    <x v="0"/>
  </r>
  <r>
    <x v="0"/>
    <x v="1036"/>
    <x v="27"/>
    <x v="13"/>
    <x v="5"/>
    <m/>
    <x v="5"/>
    <n v="1"/>
    <n v="1.21428571428571"/>
    <m/>
    <n v="9.5238095238095202"/>
    <x v="4"/>
    <x v="1"/>
    <x v="1"/>
    <x v="3"/>
    <x v="0"/>
    <x v="0"/>
  </r>
  <r>
    <x v="0"/>
    <x v="1037"/>
    <x v="27"/>
    <x v="13"/>
    <x v="5"/>
    <m/>
    <x v="5"/>
    <n v="1"/>
    <n v="1.0952380952381"/>
    <m/>
    <n v="9.5238095238095202"/>
    <x v="5"/>
    <x v="3"/>
    <x v="1"/>
    <x v="2"/>
    <x v="0"/>
    <x v="0"/>
  </r>
  <r>
    <x v="0"/>
    <x v="1038"/>
    <x v="27"/>
    <x v="13"/>
    <x v="5"/>
    <m/>
    <x v="5"/>
    <n v="1"/>
    <n v="0.88095238095238104"/>
    <m/>
    <n v="9.5238095238095202"/>
    <x v="7"/>
    <x v="4"/>
    <x v="1"/>
    <x v="2"/>
    <x v="0"/>
    <x v="0"/>
  </r>
  <r>
    <x v="0"/>
    <x v="1039"/>
    <x v="17"/>
    <x v="4"/>
    <x v="0"/>
    <n v="2.8"/>
    <x v="5"/>
    <n v="0.9"/>
    <m/>
    <n v="1.53"/>
    <n v="12.050668"/>
    <x v="1"/>
    <x v="0"/>
    <x v="0"/>
    <x v="1"/>
    <x v="0"/>
    <x v="0"/>
  </r>
  <r>
    <x v="0"/>
    <x v="1040"/>
    <x v="17"/>
    <x v="4"/>
    <x v="0"/>
    <n v="0.7"/>
    <x v="5"/>
    <n v="0.9"/>
    <m/>
    <n v="1.53"/>
    <n v="12.050668"/>
    <x v="1"/>
    <x v="0"/>
    <x v="0"/>
    <x v="1"/>
    <x v="0"/>
    <x v="0"/>
  </r>
  <r>
    <x v="0"/>
    <x v="1041"/>
    <x v="17"/>
    <x v="4"/>
    <x v="0"/>
    <n v="0.9"/>
    <x v="5"/>
    <n v="0.9"/>
    <m/>
    <n v="1.53"/>
    <n v="12.050668"/>
    <x v="1"/>
    <x v="0"/>
    <x v="0"/>
    <x v="1"/>
    <x v="0"/>
    <x v="0"/>
  </r>
  <r>
    <x v="0"/>
    <x v="1042"/>
    <x v="18"/>
    <x v="4"/>
    <x v="0"/>
    <n v="0.4"/>
    <x v="5"/>
    <n v="0.9"/>
    <m/>
    <n v="1.53"/>
    <n v="12.050668"/>
    <x v="1"/>
    <x v="0"/>
    <x v="0"/>
    <x v="1"/>
    <x v="0"/>
    <x v="0"/>
  </r>
  <r>
    <x v="0"/>
    <x v="1043"/>
    <x v="18"/>
    <x v="4"/>
    <x v="0"/>
    <n v="0.7"/>
    <x v="5"/>
    <n v="0.80142857142857105"/>
    <m/>
    <n v="0.80359999999999998"/>
    <n v="37.24"/>
    <x v="1"/>
    <x v="0"/>
    <x v="0"/>
    <x v="1"/>
    <x v="0"/>
    <x v="0"/>
  </r>
  <r>
    <x v="0"/>
    <x v="1044"/>
    <x v="18"/>
    <x v="4"/>
    <x v="0"/>
    <n v="0.7"/>
    <x v="5"/>
    <n v="0.92285714285714304"/>
    <m/>
    <n v="0.80359999999999998"/>
    <n v="37.24"/>
    <x v="1"/>
    <x v="0"/>
    <x v="0"/>
    <x v="1"/>
    <x v="0"/>
    <x v="0"/>
  </r>
  <r>
    <x v="0"/>
    <x v="1045"/>
    <x v="18"/>
    <x v="1"/>
    <x v="1"/>
    <m/>
    <x v="2"/>
    <n v="0.37"/>
    <m/>
    <m/>
    <m/>
    <x v="1"/>
    <x v="0"/>
    <x v="0"/>
    <x v="1"/>
    <x v="0"/>
    <x v="0"/>
  </r>
  <r>
    <x v="0"/>
    <x v="1046"/>
    <x v="18"/>
    <x v="1"/>
    <x v="1"/>
    <m/>
    <x v="2"/>
    <n v="0.38"/>
    <m/>
    <n v="0.80359999999999998"/>
    <n v="37.24"/>
    <x v="1"/>
    <x v="0"/>
    <x v="0"/>
    <x v="1"/>
    <x v="0"/>
    <x v="0"/>
  </r>
  <r>
    <x v="0"/>
    <x v="1047"/>
    <x v="18"/>
    <x v="1"/>
    <x v="1"/>
    <m/>
    <x v="2"/>
    <n v="0.4"/>
    <m/>
    <m/>
    <m/>
    <x v="1"/>
    <x v="0"/>
    <x v="0"/>
    <x v="1"/>
    <x v="0"/>
    <x v="0"/>
  </r>
  <r>
    <x v="0"/>
    <x v="1048"/>
    <x v="18"/>
    <x v="1"/>
    <x v="1"/>
    <m/>
    <x v="2"/>
    <n v="0.45"/>
    <m/>
    <m/>
    <m/>
    <x v="1"/>
    <x v="0"/>
    <x v="0"/>
    <x v="1"/>
    <x v="0"/>
    <x v="0"/>
  </r>
  <r>
    <x v="0"/>
    <x v="1049"/>
    <x v="18"/>
    <x v="0"/>
    <x v="0"/>
    <n v="0.5"/>
    <x v="13"/>
    <n v="0.38419999999999999"/>
    <n v="0.63400000000000001"/>
    <m/>
    <n v="11.52"/>
    <x v="11"/>
    <x v="0"/>
    <x v="0"/>
    <x v="2"/>
    <x v="0"/>
    <x v="0"/>
  </r>
  <r>
    <x v="0"/>
    <x v="1050"/>
    <x v="13"/>
    <x v="4"/>
    <x v="0"/>
    <n v="1.3"/>
    <x v="5"/>
    <n v="0.9"/>
    <m/>
    <n v="1.96"/>
    <n v="56.055999999999997"/>
    <x v="1"/>
    <x v="0"/>
    <x v="0"/>
    <x v="1"/>
    <x v="0"/>
    <x v="0"/>
  </r>
  <r>
    <x v="0"/>
    <x v="1051"/>
    <x v="12"/>
    <x v="4"/>
    <x v="0"/>
    <n v="1.3"/>
    <x v="5"/>
    <n v="0.9"/>
    <m/>
    <n v="1.96"/>
    <n v="56.055999999999997"/>
    <x v="1"/>
    <x v="0"/>
    <x v="0"/>
    <x v="1"/>
    <x v="0"/>
    <x v="0"/>
  </r>
  <r>
    <x v="0"/>
    <x v="1052"/>
    <x v="14"/>
    <x v="4"/>
    <x v="0"/>
    <n v="1.3"/>
    <x v="5"/>
    <n v="0.9"/>
    <m/>
    <n v="1.96"/>
    <n v="56.055999999999997"/>
    <x v="1"/>
    <x v="0"/>
    <x v="0"/>
    <x v="1"/>
    <x v="0"/>
    <x v="0"/>
  </r>
  <r>
    <x v="0"/>
    <x v="1053"/>
    <x v="15"/>
    <x v="4"/>
    <x v="0"/>
    <n v="1.3"/>
    <x v="5"/>
    <n v="0.9"/>
    <m/>
    <n v="1.96"/>
    <n v="56.055999999999997"/>
    <x v="1"/>
    <x v="0"/>
    <x v="0"/>
    <x v="1"/>
    <x v="0"/>
    <x v="0"/>
  </r>
  <r>
    <x v="0"/>
    <x v="1054"/>
    <x v="13"/>
    <x v="4"/>
    <x v="0"/>
    <n v="0.4"/>
    <x v="5"/>
    <n v="0.9"/>
    <m/>
    <n v="1.96"/>
    <n v="56.055999999999997"/>
    <x v="1"/>
    <x v="0"/>
    <x v="0"/>
    <x v="1"/>
    <x v="0"/>
    <x v="0"/>
  </r>
  <r>
    <x v="0"/>
    <x v="1055"/>
    <x v="12"/>
    <x v="4"/>
    <x v="0"/>
    <n v="0.4"/>
    <x v="5"/>
    <n v="0.9"/>
    <m/>
    <n v="1.96"/>
    <n v="56.055999999999997"/>
    <x v="1"/>
    <x v="0"/>
    <x v="0"/>
    <x v="1"/>
    <x v="0"/>
    <x v="0"/>
  </r>
  <r>
    <x v="0"/>
    <x v="1056"/>
    <x v="14"/>
    <x v="4"/>
    <x v="0"/>
    <n v="0.4"/>
    <x v="5"/>
    <n v="0.9"/>
    <m/>
    <n v="1.96"/>
    <n v="56.055999999999997"/>
    <x v="1"/>
    <x v="0"/>
    <x v="0"/>
    <x v="1"/>
    <x v="0"/>
    <x v="0"/>
  </r>
  <r>
    <x v="0"/>
    <x v="1057"/>
    <x v="15"/>
    <x v="4"/>
    <x v="0"/>
    <n v="0.4"/>
    <x v="5"/>
    <n v="0.9"/>
    <m/>
    <n v="1.96"/>
    <n v="56.055999999999997"/>
    <x v="1"/>
    <x v="0"/>
    <x v="0"/>
    <x v="1"/>
    <x v="0"/>
    <x v="0"/>
  </r>
  <r>
    <x v="0"/>
    <x v="1058"/>
    <x v="13"/>
    <x v="4"/>
    <x v="0"/>
    <n v="0.5"/>
    <x v="5"/>
    <n v="0.9"/>
    <m/>
    <n v="1.96"/>
    <n v="56.055999999999997"/>
    <x v="1"/>
    <x v="0"/>
    <x v="0"/>
    <x v="1"/>
    <x v="0"/>
    <x v="0"/>
  </r>
  <r>
    <x v="0"/>
    <x v="1059"/>
    <x v="12"/>
    <x v="4"/>
    <x v="0"/>
    <n v="0.5"/>
    <x v="5"/>
    <n v="0.9"/>
    <m/>
    <n v="1.96"/>
    <n v="56.055999999999997"/>
    <x v="1"/>
    <x v="0"/>
    <x v="0"/>
    <x v="1"/>
    <x v="0"/>
    <x v="0"/>
  </r>
  <r>
    <x v="0"/>
    <x v="1060"/>
    <x v="14"/>
    <x v="4"/>
    <x v="0"/>
    <n v="0.5"/>
    <x v="5"/>
    <n v="0.9"/>
    <m/>
    <n v="1.96"/>
    <n v="56.055999999999997"/>
    <x v="1"/>
    <x v="0"/>
    <x v="0"/>
    <x v="1"/>
    <x v="0"/>
    <x v="0"/>
  </r>
  <r>
    <x v="0"/>
    <x v="1061"/>
    <x v="15"/>
    <x v="4"/>
    <x v="0"/>
    <n v="0.5"/>
    <x v="5"/>
    <n v="0.9"/>
    <m/>
    <n v="1.96"/>
    <n v="56.055999999999997"/>
    <x v="1"/>
    <x v="0"/>
    <x v="0"/>
    <x v="1"/>
    <x v="0"/>
    <x v="0"/>
  </r>
  <r>
    <x v="0"/>
    <x v="1062"/>
    <x v="13"/>
    <x v="4"/>
    <x v="0"/>
    <n v="0.8"/>
    <x v="5"/>
    <n v="0.9"/>
    <m/>
    <n v="1.96"/>
    <n v="56.055999999999997"/>
    <x v="1"/>
    <x v="0"/>
    <x v="0"/>
    <x v="1"/>
    <x v="0"/>
    <x v="0"/>
  </r>
  <r>
    <x v="0"/>
    <x v="1063"/>
    <x v="12"/>
    <x v="4"/>
    <x v="0"/>
    <n v="0.8"/>
    <x v="5"/>
    <n v="0.9"/>
    <m/>
    <n v="1.96"/>
    <n v="56.055999999999997"/>
    <x v="1"/>
    <x v="0"/>
    <x v="0"/>
    <x v="1"/>
    <x v="0"/>
    <x v="0"/>
  </r>
  <r>
    <x v="0"/>
    <x v="1064"/>
    <x v="14"/>
    <x v="4"/>
    <x v="0"/>
    <n v="0.8"/>
    <x v="5"/>
    <n v="0.9"/>
    <m/>
    <n v="1.96"/>
    <n v="56.055999999999997"/>
    <x v="1"/>
    <x v="0"/>
    <x v="0"/>
    <x v="1"/>
    <x v="0"/>
    <x v="0"/>
  </r>
  <r>
    <x v="0"/>
    <x v="1065"/>
    <x v="15"/>
    <x v="4"/>
    <x v="0"/>
    <n v="0.8"/>
    <x v="5"/>
    <n v="0.9"/>
    <m/>
    <n v="1.96"/>
    <n v="56.055999999999997"/>
    <x v="1"/>
    <x v="0"/>
    <x v="0"/>
    <x v="1"/>
    <x v="0"/>
    <x v="0"/>
  </r>
  <r>
    <x v="0"/>
    <x v="1066"/>
    <x v="13"/>
    <x v="4"/>
    <x v="0"/>
    <n v="0.2"/>
    <x v="5"/>
    <n v="0.9"/>
    <m/>
    <m/>
    <m/>
    <x v="1"/>
    <x v="0"/>
    <x v="0"/>
    <x v="1"/>
    <x v="0"/>
    <x v="0"/>
  </r>
  <r>
    <x v="0"/>
    <x v="1067"/>
    <x v="12"/>
    <x v="4"/>
    <x v="0"/>
    <n v="0.2"/>
    <x v="5"/>
    <n v="0.9"/>
    <m/>
    <m/>
    <m/>
    <x v="1"/>
    <x v="0"/>
    <x v="0"/>
    <x v="1"/>
    <x v="0"/>
    <x v="0"/>
  </r>
  <r>
    <x v="0"/>
    <x v="1068"/>
    <x v="14"/>
    <x v="4"/>
    <x v="0"/>
    <n v="0.2"/>
    <x v="5"/>
    <n v="0.9"/>
    <m/>
    <m/>
    <m/>
    <x v="1"/>
    <x v="0"/>
    <x v="0"/>
    <x v="1"/>
    <x v="0"/>
    <x v="0"/>
  </r>
  <r>
    <x v="0"/>
    <x v="1069"/>
    <x v="15"/>
    <x v="4"/>
    <x v="0"/>
    <n v="0.2"/>
    <x v="5"/>
    <n v="0.9"/>
    <m/>
    <m/>
    <m/>
    <x v="1"/>
    <x v="0"/>
    <x v="0"/>
    <x v="1"/>
    <x v="0"/>
    <x v="0"/>
  </r>
  <r>
    <x v="0"/>
    <x v="1070"/>
    <x v="13"/>
    <x v="4"/>
    <x v="0"/>
    <n v="0.75"/>
    <x v="5"/>
    <n v="0.74666666666666703"/>
    <m/>
    <n v="1.96"/>
    <n v="56.055999999999997"/>
    <x v="1"/>
    <x v="0"/>
    <x v="0"/>
    <x v="1"/>
    <x v="0"/>
    <x v="0"/>
  </r>
  <r>
    <x v="0"/>
    <x v="1071"/>
    <x v="12"/>
    <x v="4"/>
    <x v="0"/>
    <n v="0.75"/>
    <x v="5"/>
    <n v="0.74666666666666703"/>
    <m/>
    <n v="1.96"/>
    <n v="56.055999999999997"/>
    <x v="1"/>
    <x v="0"/>
    <x v="0"/>
    <x v="1"/>
    <x v="0"/>
    <x v="0"/>
  </r>
  <r>
    <x v="0"/>
    <x v="1072"/>
    <x v="14"/>
    <x v="4"/>
    <x v="0"/>
    <n v="0.75"/>
    <x v="5"/>
    <n v="0.74666666666666703"/>
    <m/>
    <n v="1.96"/>
    <n v="56.055999999999997"/>
    <x v="1"/>
    <x v="0"/>
    <x v="0"/>
    <x v="1"/>
    <x v="0"/>
    <x v="0"/>
  </r>
  <r>
    <x v="0"/>
    <x v="1073"/>
    <x v="15"/>
    <x v="4"/>
    <x v="0"/>
    <n v="0.75"/>
    <x v="5"/>
    <n v="0.74666666666666703"/>
    <m/>
    <n v="1.96"/>
    <n v="56.055999999999997"/>
    <x v="1"/>
    <x v="0"/>
    <x v="0"/>
    <x v="1"/>
    <x v="0"/>
    <x v="0"/>
  </r>
  <r>
    <x v="0"/>
    <x v="1074"/>
    <x v="13"/>
    <x v="4"/>
    <x v="0"/>
    <n v="0.75"/>
    <x v="5"/>
    <n v="0.77"/>
    <m/>
    <n v="1.96"/>
    <n v="56.055999999999997"/>
    <x v="1"/>
    <x v="0"/>
    <x v="0"/>
    <x v="1"/>
    <x v="0"/>
    <x v="0"/>
  </r>
  <r>
    <x v="0"/>
    <x v="1075"/>
    <x v="12"/>
    <x v="4"/>
    <x v="0"/>
    <n v="0.75"/>
    <x v="5"/>
    <n v="0.77"/>
    <m/>
    <n v="1.96"/>
    <n v="56.055999999999997"/>
    <x v="1"/>
    <x v="0"/>
    <x v="0"/>
    <x v="1"/>
    <x v="0"/>
    <x v="0"/>
  </r>
  <r>
    <x v="0"/>
    <x v="1076"/>
    <x v="14"/>
    <x v="4"/>
    <x v="0"/>
    <n v="0.75"/>
    <x v="5"/>
    <n v="0.77"/>
    <m/>
    <n v="1.96"/>
    <n v="56.055999999999997"/>
    <x v="1"/>
    <x v="0"/>
    <x v="0"/>
    <x v="1"/>
    <x v="0"/>
    <x v="0"/>
  </r>
  <r>
    <x v="0"/>
    <x v="1077"/>
    <x v="15"/>
    <x v="4"/>
    <x v="0"/>
    <n v="0.75"/>
    <x v="5"/>
    <n v="0.77"/>
    <m/>
    <n v="1.96"/>
    <n v="56.055999999999997"/>
    <x v="1"/>
    <x v="0"/>
    <x v="0"/>
    <x v="1"/>
    <x v="0"/>
    <x v="0"/>
  </r>
  <r>
    <x v="0"/>
    <x v="1078"/>
    <x v="13"/>
    <x v="4"/>
    <x v="0"/>
    <n v="0.75"/>
    <x v="5"/>
    <n v="0.793333333333333"/>
    <m/>
    <n v="1.96"/>
    <n v="56.055999999999997"/>
    <x v="1"/>
    <x v="0"/>
    <x v="0"/>
    <x v="1"/>
    <x v="0"/>
    <x v="0"/>
  </r>
  <r>
    <x v="0"/>
    <x v="1079"/>
    <x v="12"/>
    <x v="4"/>
    <x v="0"/>
    <n v="0.75"/>
    <x v="5"/>
    <n v="0.793333333333333"/>
    <m/>
    <n v="1.96"/>
    <n v="56.055999999999997"/>
    <x v="1"/>
    <x v="0"/>
    <x v="0"/>
    <x v="1"/>
    <x v="0"/>
    <x v="0"/>
  </r>
  <r>
    <x v="0"/>
    <x v="1080"/>
    <x v="14"/>
    <x v="4"/>
    <x v="0"/>
    <n v="0.75"/>
    <x v="5"/>
    <n v="0.793333333333333"/>
    <m/>
    <n v="1.96"/>
    <n v="56.055999999999997"/>
    <x v="1"/>
    <x v="0"/>
    <x v="0"/>
    <x v="1"/>
    <x v="0"/>
    <x v="0"/>
  </r>
  <r>
    <x v="0"/>
    <x v="1081"/>
    <x v="15"/>
    <x v="4"/>
    <x v="0"/>
    <n v="0.75"/>
    <x v="5"/>
    <n v="0.793333333333333"/>
    <m/>
    <n v="1.96"/>
    <n v="56.055999999999997"/>
    <x v="1"/>
    <x v="0"/>
    <x v="0"/>
    <x v="1"/>
    <x v="0"/>
    <x v="0"/>
  </r>
  <r>
    <x v="0"/>
    <x v="1082"/>
    <x v="13"/>
    <x v="4"/>
    <x v="0"/>
    <n v="0.75"/>
    <x v="5"/>
    <n v="0.81666666666666698"/>
    <m/>
    <n v="1.96"/>
    <n v="56.055999999999997"/>
    <x v="1"/>
    <x v="0"/>
    <x v="0"/>
    <x v="1"/>
    <x v="0"/>
    <x v="0"/>
  </r>
  <r>
    <x v="0"/>
    <x v="1083"/>
    <x v="12"/>
    <x v="4"/>
    <x v="0"/>
    <n v="0.75"/>
    <x v="5"/>
    <n v="0.81666666666666698"/>
    <m/>
    <n v="1.96"/>
    <n v="56.055999999999997"/>
    <x v="1"/>
    <x v="0"/>
    <x v="0"/>
    <x v="1"/>
    <x v="0"/>
    <x v="0"/>
  </r>
  <r>
    <x v="0"/>
    <x v="1084"/>
    <x v="14"/>
    <x v="4"/>
    <x v="0"/>
    <n v="0.75"/>
    <x v="5"/>
    <n v="0.81666666666666698"/>
    <m/>
    <n v="1.96"/>
    <n v="56.055999999999997"/>
    <x v="1"/>
    <x v="0"/>
    <x v="0"/>
    <x v="1"/>
    <x v="0"/>
    <x v="0"/>
  </r>
  <r>
    <x v="0"/>
    <x v="1085"/>
    <x v="15"/>
    <x v="4"/>
    <x v="0"/>
    <n v="0.75"/>
    <x v="5"/>
    <n v="0.81666666666666698"/>
    <m/>
    <n v="1.96"/>
    <n v="56.055999999999997"/>
    <x v="1"/>
    <x v="0"/>
    <x v="0"/>
    <x v="1"/>
    <x v="0"/>
    <x v="0"/>
  </r>
  <r>
    <x v="0"/>
    <x v="1086"/>
    <x v="13"/>
    <x v="4"/>
    <x v="0"/>
    <n v="0.75"/>
    <x v="5"/>
    <n v="0.84"/>
    <m/>
    <n v="1.96"/>
    <n v="56.055999999999997"/>
    <x v="1"/>
    <x v="0"/>
    <x v="0"/>
    <x v="1"/>
    <x v="0"/>
    <x v="0"/>
  </r>
  <r>
    <x v="0"/>
    <x v="1087"/>
    <x v="12"/>
    <x v="4"/>
    <x v="0"/>
    <n v="0.75"/>
    <x v="5"/>
    <n v="0.84"/>
    <m/>
    <n v="1.96"/>
    <n v="56.055999999999997"/>
    <x v="1"/>
    <x v="0"/>
    <x v="0"/>
    <x v="1"/>
    <x v="0"/>
    <x v="0"/>
  </r>
  <r>
    <x v="0"/>
    <x v="1088"/>
    <x v="14"/>
    <x v="4"/>
    <x v="0"/>
    <n v="0.75"/>
    <x v="5"/>
    <n v="0.84"/>
    <m/>
    <n v="1.96"/>
    <n v="56.055999999999997"/>
    <x v="1"/>
    <x v="0"/>
    <x v="0"/>
    <x v="1"/>
    <x v="0"/>
    <x v="0"/>
  </r>
  <r>
    <x v="0"/>
    <x v="1089"/>
    <x v="15"/>
    <x v="4"/>
    <x v="0"/>
    <n v="0.75"/>
    <x v="5"/>
    <n v="0.84"/>
    <m/>
    <n v="1.96"/>
    <n v="56.055999999999997"/>
    <x v="1"/>
    <x v="0"/>
    <x v="0"/>
    <x v="1"/>
    <x v="0"/>
    <x v="0"/>
  </r>
  <r>
    <x v="0"/>
    <x v="1090"/>
    <x v="13"/>
    <x v="4"/>
    <x v="0"/>
    <n v="0.75"/>
    <x v="5"/>
    <n v="0.86333333333333295"/>
    <m/>
    <n v="1.96"/>
    <n v="56.055999999999997"/>
    <x v="1"/>
    <x v="0"/>
    <x v="0"/>
    <x v="1"/>
    <x v="0"/>
    <x v="0"/>
  </r>
  <r>
    <x v="0"/>
    <x v="1091"/>
    <x v="12"/>
    <x v="4"/>
    <x v="0"/>
    <n v="0.75"/>
    <x v="5"/>
    <n v="0.86333333333333295"/>
    <m/>
    <n v="1.96"/>
    <n v="56.055999999999997"/>
    <x v="1"/>
    <x v="0"/>
    <x v="0"/>
    <x v="1"/>
    <x v="0"/>
    <x v="0"/>
  </r>
  <r>
    <x v="0"/>
    <x v="1092"/>
    <x v="14"/>
    <x v="4"/>
    <x v="0"/>
    <n v="0.75"/>
    <x v="5"/>
    <n v="0.86333333333333295"/>
    <m/>
    <n v="1.96"/>
    <n v="56.055999999999997"/>
    <x v="1"/>
    <x v="0"/>
    <x v="0"/>
    <x v="1"/>
    <x v="0"/>
    <x v="0"/>
  </r>
  <r>
    <x v="0"/>
    <x v="1093"/>
    <x v="15"/>
    <x v="4"/>
    <x v="0"/>
    <n v="0.75"/>
    <x v="5"/>
    <n v="0.86333333333333295"/>
    <m/>
    <n v="1.96"/>
    <n v="56.055999999999997"/>
    <x v="1"/>
    <x v="0"/>
    <x v="0"/>
    <x v="1"/>
    <x v="0"/>
    <x v="0"/>
  </r>
  <r>
    <x v="0"/>
    <x v="1094"/>
    <x v="13"/>
    <x v="4"/>
    <x v="0"/>
    <n v="0.75"/>
    <x v="5"/>
    <n v="0.88666666666666705"/>
    <m/>
    <n v="1.96"/>
    <n v="56.055999999999997"/>
    <x v="1"/>
    <x v="0"/>
    <x v="0"/>
    <x v="1"/>
    <x v="0"/>
    <x v="0"/>
  </r>
  <r>
    <x v="0"/>
    <x v="1095"/>
    <x v="12"/>
    <x v="4"/>
    <x v="0"/>
    <n v="0.75"/>
    <x v="5"/>
    <n v="0.88666666666666705"/>
    <m/>
    <n v="1.96"/>
    <n v="56.055999999999997"/>
    <x v="1"/>
    <x v="0"/>
    <x v="0"/>
    <x v="1"/>
    <x v="0"/>
    <x v="0"/>
  </r>
  <r>
    <x v="0"/>
    <x v="1096"/>
    <x v="14"/>
    <x v="4"/>
    <x v="0"/>
    <n v="0.75"/>
    <x v="5"/>
    <n v="0.88666666666666705"/>
    <m/>
    <n v="1.96"/>
    <n v="56.055999999999997"/>
    <x v="1"/>
    <x v="0"/>
    <x v="0"/>
    <x v="1"/>
    <x v="0"/>
    <x v="0"/>
  </r>
  <r>
    <x v="0"/>
    <x v="1097"/>
    <x v="15"/>
    <x v="4"/>
    <x v="0"/>
    <n v="0.75"/>
    <x v="5"/>
    <n v="0.88666666666666705"/>
    <m/>
    <n v="1.96"/>
    <n v="56.055999999999997"/>
    <x v="1"/>
    <x v="0"/>
    <x v="0"/>
    <x v="1"/>
    <x v="0"/>
    <x v="0"/>
  </r>
  <r>
    <x v="0"/>
    <x v="1098"/>
    <x v="13"/>
    <x v="4"/>
    <x v="0"/>
    <n v="0.75"/>
    <x v="5"/>
    <n v="0.91"/>
    <m/>
    <n v="1.96"/>
    <n v="56.055999999999997"/>
    <x v="1"/>
    <x v="0"/>
    <x v="0"/>
    <x v="1"/>
    <x v="0"/>
    <x v="0"/>
  </r>
  <r>
    <x v="0"/>
    <x v="1099"/>
    <x v="12"/>
    <x v="4"/>
    <x v="0"/>
    <n v="0.75"/>
    <x v="5"/>
    <n v="0.91"/>
    <m/>
    <n v="1.96"/>
    <n v="56.055999999999997"/>
    <x v="1"/>
    <x v="0"/>
    <x v="0"/>
    <x v="1"/>
    <x v="0"/>
    <x v="0"/>
  </r>
  <r>
    <x v="0"/>
    <x v="1100"/>
    <x v="14"/>
    <x v="4"/>
    <x v="0"/>
    <n v="0.75"/>
    <x v="5"/>
    <n v="0.91"/>
    <m/>
    <n v="1.96"/>
    <n v="56.055999999999997"/>
    <x v="1"/>
    <x v="0"/>
    <x v="0"/>
    <x v="1"/>
    <x v="0"/>
    <x v="0"/>
  </r>
  <r>
    <x v="0"/>
    <x v="1101"/>
    <x v="15"/>
    <x v="4"/>
    <x v="0"/>
    <n v="0.75"/>
    <x v="5"/>
    <n v="0.91"/>
    <m/>
    <n v="1.96"/>
    <n v="56.055999999999997"/>
    <x v="1"/>
    <x v="0"/>
    <x v="0"/>
    <x v="1"/>
    <x v="0"/>
    <x v="0"/>
  </r>
  <r>
    <x v="0"/>
    <x v="1102"/>
    <x v="13"/>
    <x v="4"/>
    <x v="0"/>
    <n v="0.75"/>
    <x v="5"/>
    <n v="0.93333333333333302"/>
    <m/>
    <n v="1.96"/>
    <n v="56.055999999999997"/>
    <x v="1"/>
    <x v="0"/>
    <x v="0"/>
    <x v="1"/>
    <x v="0"/>
    <x v="0"/>
  </r>
  <r>
    <x v="0"/>
    <x v="1103"/>
    <x v="12"/>
    <x v="4"/>
    <x v="0"/>
    <n v="0.75"/>
    <x v="5"/>
    <n v="0.93333333333333302"/>
    <m/>
    <n v="1.96"/>
    <n v="56.055999999999997"/>
    <x v="1"/>
    <x v="0"/>
    <x v="0"/>
    <x v="1"/>
    <x v="0"/>
    <x v="0"/>
  </r>
  <r>
    <x v="0"/>
    <x v="1104"/>
    <x v="14"/>
    <x v="4"/>
    <x v="0"/>
    <n v="0.75"/>
    <x v="5"/>
    <n v="0.93333333333333302"/>
    <m/>
    <n v="1.96"/>
    <n v="56.055999999999997"/>
    <x v="1"/>
    <x v="0"/>
    <x v="0"/>
    <x v="1"/>
    <x v="0"/>
    <x v="0"/>
  </r>
  <r>
    <x v="0"/>
    <x v="1105"/>
    <x v="15"/>
    <x v="4"/>
    <x v="0"/>
    <n v="0.75"/>
    <x v="5"/>
    <n v="0.93333333333333302"/>
    <m/>
    <n v="1.96"/>
    <n v="56.055999999999997"/>
    <x v="1"/>
    <x v="0"/>
    <x v="0"/>
    <x v="1"/>
    <x v="0"/>
    <x v="0"/>
  </r>
  <r>
    <x v="0"/>
    <x v="1106"/>
    <x v="13"/>
    <x v="4"/>
    <x v="0"/>
    <n v="0.75"/>
    <x v="5"/>
    <n v="0.956666666666667"/>
    <m/>
    <n v="1.96"/>
    <n v="56.055999999999997"/>
    <x v="1"/>
    <x v="0"/>
    <x v="0"/>
    <x v="1"/>
    <x v="0"/>
    <x v="0"/>
  </r>
  <r>
    <x v="0"/>
    <x v="1107"/>
    <x v="12"/>
    <x v="4"/>
    <x v="0"/>
    <n v="0.75"/>
    <x v="5"/>
    <n v="0.956666666666667"/>
    <m/>
    <n v="1.96"/>
    <n v="56.055999999999997"/>
    <x v="1"/>
    <x v="0"/>
    <x v="0"/>
    <x v="1"/>
    <x v="0"/>
    <x v="0"/>
  </r>
  <r>
    <x v="0"/>
    <x v="1108"/>
    <x v="14"/>
    <x v="4"/>
    <x v="0"/>
    <n v="0.75"/>
    <x v="5"/>
    <n v="0.956666666666667"/>
    <m/>
    <n v="1.96"/>
    <n v="56.055999999999997"/>
    <x v="1"/>
    <x v="0"/>
    <x v="0"/>
    <x v="1"/>
    <x v="0"/>
    <x v="0"/>
  </r>
  <r>
    <x v="0"/>
    <x v="1109"/>
    <x v="15"/>
    <x v="4"/>
    <x v="0"/>
    <n v="0.75"/>
    <x v="5"/>
    <n v="0.956666666666667"/>
    <m/>
    <n v="1.96"/>
    <n v="56.055999999999997"/>
    <x v="1"/>
    <x v="0"/>
    <x v="0"/>
    <x v="1"/>
    <x v="0"/>
    <x v="0"/>
  </r>
  <r>
    <x v="0"/>
    <x v="1110"/>
    <x v="13"/>
    <x v="4"/>
    <x v="0"/>
    <n v="0.75"/>
    <x v="5"/>
    <n v="0.98"/>
    <m/>
    <n v="1.96"/>
    <n v="56.055999999999997"/>
    <x v="1"/>
    <x v="0"/>
    <x v="0"/>
    <x v="1"/>
    <x v="0"/>
    <x v="0"/>
  </r>
  <r>
    <x v="0"/>
    <x v="1111"/>
    <x v="12"/>
    <x v="4"/>
    <x v="0"/>
    <n v="0.75"/>
    <x v="5"/>
    <n v="0.98"/>
    <m/>
    <n v="1.96"/>
    <n v="56.055999999999997"/>
    <x v="1"/>
    <x v="0"/>
    <x v="0"/>
    <x v="1"/>
    <x v="0"/>
    <x v="0"/>
  </r>
  <r>
    <x v="0"/>
    <x v="1112"/>
    <x v="14"/>
    <x v="4"/>
    <x v="0"/>
    <n v="0.75"/>
    <x v="5"/>
    <n v="0.98"/>
    <m/>
    <n v="1.96"/>
    <n v="56.055999999999997"/>
    <x v="1"/>
    <x v="0"/>
    <x v="0"/>
    <x v="1"/>
    <x v="0"/>
    <x v="0"/>
  </r>
  <r>
    <x v="0"/>
    <x v="1113"/>
    <x v="15"/>
    <x v="4"/>
    <x v="0"/>
    <n v="0.75"/>
    <x v="5"/>
    <n v="0.98"/>
    <m/>
    <n v="1.96"/>
    <n v="56.055999999999997"/>
    <x v="1"/>
    <x v="0"/>
    <x v="0"/>
    <x v="1"/>
    <x v="0"/>
    <x v="0"/>
  </r>
  <r>
    <x v="0"/>
    <x v="1114"/>
    <x v="13"/>
    <x v="4"/>
    <x v="0"/>
    <n v="0.75"/>
    <x v="5"/>
    <n v="1.0033333333333301"/>
    <m/>
    <n v="1.96"/>
    <n v="56.055999999999997"/>
    <x v="1"/>
    <x v="0"/>
    <x v="0"/>
    <x v="1"/>
    <x v="0"/>
    <x v="0"/>
  </r>
  <r>
    <x v="0"/>
    <x v="1115"/>
    <x v="12"/>
    <x v="4"/>
    <x v="0"/>
    <n v="0.75"/>
    <x v="5"/>
    <n v="1.0033333333333301"/>
    <m/>
    <n v="1.96"/>
    <n v="56.055999999999997"/>
    <x v="1"/>
    <x v="0"/>
    <x v="0"/>
    <x v="1"/>
    <x v="0"/>
    <x v="0"/>
  </r>
  <r>
    <x v="0"/>
    <x v="1116"/>
    <x v="14"/>
    <x v="4"/>
    <x v="0"/>
    <n v="0.75"/>
    <x v="5"/>
    <n v="1.0033333333333301"/>
    <m/>
    <n v="1.96"/>
    <n v="56.055999999999997"/>
    <x v="1"/>
    <x v="0"/>
    <x v="0"/>
    <x v="1"/>
    <x v="0"/>
    <x v="0"/>
  </r>
  <r>
    <x v="0"/>
    <x v="1117"/>
    <x v="15"/>
    <x v="4"/>
    <x v="0"/>
    <n v="0.75"/>
    <x v="5"/>
    <n v="1.0033333333333301"/>
    <m/>
    <n v="1.96"/>
    <n v="56.055999999999997"/>
    <x v="1"/>
    <x v="0"/>
    <x v="0"/>
    <x v="1"/>
    <x v="0"/>
    <x v="0"/>
  </r>
  <r>
    <x v="0"/>
    <x v="1118"/>
    <x v="13"/>
    <x v="4"/>
    <x v="0"/>
    <n v="0.75"/>
    <x v="5"/>
    <n v="1.0266666666666699"/>
    <m/>
    <n v="1.96"/>
    <n v="56.055999999999997"/>
    <x v="1"/>
    <x v="0"/>
    <x v="0"/>
    <x v="1"/>
    <x v="0"/>
    <x v="0"/>
  </r>
  <r>
    <x v="0"/>
    <x v="1119"/>
    <x v="12"/>
    <x v="4"/>
    <x v="0"/>
    <n v="0.75"/>
    <x v="5"/>
    <n v="1.0266666666666699"/>
    <m/>
    <n v="1.96"/>
    <n v="56.055999999999997"/>
    <x v="1"/>
    <x v="0"/>
    <x v="0"/>
    <x v="1"/>
    <x v="0"/>
    <x v="0"/>
  </r>
  <r>
    <x v="0"/>
    <x v="1120"/>
    <x v="14"/>
    <x v="4"/>
    <x v="0"/>
    <n v="0.75"/>
    <x v="5"/>
    <n v="1.0266666666666699"/>
    <m/>
    <n v="1.96"/>
    <n v="56.055999999999997"/>
    <x v="1"/>
    <x v="0"/>
    <x v="0"/>
    <x v="1"/>
    <x v="0"/>
    <x v="0"/>
  </r>
  <r>
    <x v="0"/>
    <x v="1121"/>
    <x v="15"/>
    <x v="4"/>
    <x v="0"/>
    <n v="0.75"/>
    <x v="5"/>
    <n v="1.0266666666666699"/>
    <m/>
    <n v="1.96"/>
    <n v="56.055999999999997"/>
    <x v="1"/>
    <x v="0"/>
    <x v="0"/>
    <x v="1"/>
    <x v="0"/>
    <x v="0"/>
  </r>
  <r>
    <x v="0"/>
    <x v="1122"/>
    <x v="13"/>
    <x v="1"/>
    <x v="1"/>
    <m/>
    <x v="2"/>
    <n v="0.33"/>
    <m/>
    <m/>
    <m/>
    <x v="1"/>
    <x v="0"/>
    <x v="0"/>
    <x v="1"/>
    <x v="0"/>
    <x v="0"/>
  </r>
  <r>
    <x v="0"/>
    <x v="1123"/>
    <x v="12"/>
    <x v="1"/>
    <x v="1"/>
    <m/>
    <x v="2"/>
    <n v="0.33"/>
    <m/>
    <m/>
    <m/>
    <x v="1"/>
    <x v="0"/>
    <x v="0"/>
    <x v="1"/>
    <x v="0"/>
    <x v="0"/>
  </r>
  <r>
    <x v="0"/>
    <x v="1124"/>
    <x v="14"/>
    <x v="1"/>
    <x v="1"/>
    <m/>
    <x v="2"/>
    <n v="0.33"/>
    <m/>
    <m/>
    <m/>
    <x v="1"/>
    <x v="0"/>
    <x v="0"/>
    <x v="1"/>
    <x v="0"/>
    <x v="0"/>
  </r>
  <r>
    <x v="0"/>
    <x v="1125"/>
    <x v="15"/>
    <x v="1"/>
    <x v="1"/>
    <m/>
    <x v="2"/>
    <n v="0.33"/>
    <m/>
    <m/>
    <m/>
    <x v="1"/>
    <x v="0"/>
    <x v="0"/>
    <x v="1"/>
    <x v="0"/>
    <x v="0"/>
  </r>
  <r>
    <x v="0"/>
    <x v="1126"/>
    <x v="13"/>
    <x v="1"/>
    <x v="1"/>
    <m/>
    <x v="2"/>
    <n v="0.35"/>
    <m/>
    <m/>
    <m/>
    <x v="1"/>
    <x v="0"/>
    <x v="0"/>
    <x v="1"/>
    <x v="0"/>
    <x v="0"/>
  </r>
  <r>
    <x v="0"/>
    <x v="1127"/>
    <x v="12"/>
    <x v="1"/>
    <x v="1"/>
    <m/>
    <x v="2"/>
    <n v="0.35"/>
    <m/>
    <m/>
    <m/>
    <x v="1"/>
    <x v="0"/>
    <x v="0"/>
    <x v="1"/>
    <x v="0"/>
    <x v="0"/>
  </r>
  <r>
    <x v="0"/>
    <x v="1128"/>
    <x v="14"/>
    <x v="1"/>
    <x v="1"/>
    <m/>
    <x v="2"/>
    <n v="0.35"/>
    <m/>
    <m/>
    <m/>
    <x v="1"/>
    <x v="0"/>
    <x v="0"/>
    <x v="1"/>
    <x v="0"/>
    <x v="0"/>
  </r>
  <r>
    <x v="0"/>
    <x v="1129"/>
    <x v="15"/>
    <x v="1"/>
    <x v="1"/>
    <m/>
    <x v="2"/>
    <n v="0.35"/>
    <m/>
    <m/>
    <m/>
    <x v="1"/>
    <x v="0"/>
    <x v="0"/>
    <x v="1"/>
    <x v="0"/>
    <x v="0"/>
  </r>
  <r>
    <x v="0"/>
    <x v="1130"/>
    <x v="13"/>
    <x v="1"/>
    <x v="1"/>
    <m/>
    <x v="2"/>
    <n v="0.37"/>
    <m/>
    <n v="1.96"/>
    <n v="56.055999999999997"/>
    <x v="1"/>
    <x v="0"/>
    <x v="0"/>
    <x v="1"/>
    <x v="0"/>
    <x v="0"/>
  </r>
  <r>
    <x v="0"/>
    <x v="1131"/>
    <x v="12"/>
    <x v="1"/>
    <x v="1"/>
    <m/>
    <x v="2"/>
    <n v="0.37"/>
    <m/>
    <n v="1.96"/>
    <n v="56.055999999999997"/>
    <x v="1"/>
    <x v="0"/>
    <x v="0"/>
    <x v="1"/>
    <x v="0"/>
    <x v="0"/>
  </r>
  <r>
    <x v="0"/>
    <x v="1132"/>
    <x v="14"/>
    <x v="1"/>
    <x v="1"/>
    <m/>
    <x v="2"/>
    <n v="0.37"/>
    <m/>
    <n v="1.96"/>
    <n v="56.055999999999997"/>
    <x v="1"/>
    <x v="0"/>
    <x v="0"/>
    <x v="1"/>
    <x v="0"/>
    <x v="0"/>
  </r>
  <r>
    <x v="0"/>
    <x v="1133"/>
    <x v="15"/>
    <x v="1"/>
    <x v="1"/>
    <m/>
    <x v="2"/>
    <n v="0.37"/>
    <m/>
    <n v="1.96"/>
    <n v="56.055999999999997"/>
    <x v="1"/>
    <x v="0"/>
    <x v="0"/>
    <x v="1"/>
    <x v="0"/>
    <x v="0"/>
  </r>
  <r>
    <x v="0"/>
    <x v="1134"/>
    <x v="13"/>
    <x v="1"/>
    <x v="1"/>
    <m/>
    <x v="2"/>
    <n v="0.38"/>
    <m/>
    <n v="1.96"/>
    <n v="56.055999999999997"/>
    <x v="1"/>
    <x v="0"/>
    <x v="0"/>
    <x v="1"/>
    <x v="0"/>
    <x v="0"/>
  </r>
  <r>
    <x v="0"/>
    <x v="1135"/>
    <x v="12"/>
    <x v="1"/>
    <x v="1"/>
    <m/>
    <x v="2"/>
    <n v="0.38"/>
    <m/>
    <n v="1.96"/>
    <n v="56.055999999999997"/>
    <x v="1"/>
    <x v="0"/>
    <x v="0"/>
    <x v="1"/>
    <x v="0"/>
    <x v="0"/>
  </r>
  <r>
    <x v="0"/>
    <x v="1136"/>
    <x v="14"/>
    <x v="1"/>
    <x v="1"/>
    <m/>
    <x v="2"/>
    <n v="0.38"/>
    <m/>
    <n v="1.96"/>
    <n v="56.055999999999997"/>
    <x v="1"/>
    <x v="0"/>
    <x v="0"/>
    <x v="1"/>
    <x v="0"/>
    <x v="0"/>
  </r>
  <r>
    <x v="0"/>
    <x v="1137"/>
    <x v="15"/>
    <x v="1"/>
    <x v="1"/>
    <m/>
    <x v="2"/>
    <n v="0.38"/>
    <m/>
    <n v="1.96"/>
    <n v="56.055999999999997"/>
    <x v="1"/>
    <x v="0"/>
    <x v="0"/>
    <x v="1"/>
    <x v="0"/>
    <x v="0"/>
  </r>
  <r>
    <x v="0"/>
    <x v="1138"/>
    <x v="13"/>
    <x v="1"/>
    <x v="1"/>
    <m/>
    <x v="2"/>
    <n v="0.4"/>
    <m/>
    <m/>
    <m/>
    <x v="1"/>
    <x v="0"/>
    <x v="0"/>
    <x v="1"/>
    <x v="0"/>
    <x v="0"/>
  </r>
  <r>
    <x v="0"/>
    <x v="1139"/>
    <x v="12"/>
    <x v="1"/>
    <x v="1"/>
    <m/>
    <x v="2"/>
    <n v="0.4"/>
    <m/>
    <m/>
    <m/>
    <x v="1"/>
    <x v="0"/>
    <x v="0"/>
    <x v="1"/>
    <x v="0"/>
    <x v="0"/>
  </r>
  <r>
    <x v="0"/>
    <x v="1140"/>
    <x v="14"/>
    <x v="1"/>
    <x v="1"/>
    <m/>
    <x v="2"/>
    <n v="0.4"/>
    <m/>
    <m/>
    <m/>
    <x v="1"/>
    <x v="0"/>
    <x v="0"/>
    <x v="1"/>
    <x v="0"/>
    <x v="0"/>
  </r>
  <r>
    <x v="0"/>
    <x v="1141"/>
    <x v="15"/>
    <x v="1"/>
    <x v="1"/>
    <m/>
    <x v="2"/>
    <n v="0.4"/>
    <m/>
    <m/>
    <m/>
    <x v="1"/>
    <x v="0"/>
    <x v="0"/>
    <x v="1"/>
    <x v="0"/>
    <x v="0"/>
  </r>
  <r>
    <x v="0"/>
    <x v="1142"/>
    <x v="13"/>
    <x v="1"/>
    <x v="1"/>
    <m/>
    <x v="2"/>
    <n v="0.44"/>
    <m/>
    <n v="1.96"/>
    <n v="56.055999999999997"/>
    <x v="1"/>
    <x v="0"/>
    <x v="0"/>
    <x v="1"/>
    <x v="0"/>
    <x v="0"/>
  </r>
  <r>
    <x v="0"/>
    <x v="1143"/>
    <x v="12"/>
    <x v="1"/>
    <x v="1"/>
    <m/>
    <x v="2"/>
    <n v="0.44"/>
    <m/>
    <n v="1.96"/>
    <n v="56.055999999999997"/>
    <x v="1"/>
    <x v="0"/>
    <x v="0"/>
    <x v="1"/>
    <x v="0"/>
    <x v="0"/>
  </r>
  <r>
    <x v="0"/>
    <x v="1144"/>
    <x v="14"/>
    <x v="1"/>
    <x v="1"/>
    <m/>
    <x v="2"/>
    <n v="0.44"/>
    <m/>
    <n v="1.96"/>
    <n v="56.055999999999997"/>
    <x v="1"/>
    <x v="0"/>
    <x v="0"/>
    <x v="1"/>
    <x v="0"/>
    <x v="0"/>
  </r>
  <r>
    <x v="0"/>
    <x v="1145"/>
    <x v="15"/>
    <x v="1"/>
    <x v="1"/>
    <m/>
    <x v="2"/>
    <n v="0.44"/>
    <m/>
    <n v="1.96"/>
    <n v="56.055999999999997"/>
    <x v="1"/>
    <x v="0"/>
    <x v="0"/>
    <x v="1"/>
    <x v="0"/>
    <x v="0"/>
  </r>
  <r>
    <x v="0"/>
    <x v="1146"/>
    <x v="13"/>
    <x v="1"/>
    <x v="1"/>
    <m/>
    <x v="2"/>
    <n v="0.45"/>
    <m/>
    <n v="1.96"/>
    <n v="56.055999999999997"/>
    <x v="1"/>
    <x v="0"/>
    <x v="0"/>
    <x v="1"/>
    <x v="0"/>
    <x v="0"/>
  </r>
  <r>
    <x v="0"/>
    <x v="1147"/>
    <x v="12"/>
    <x v="1"/>
    <x v="1"/>
    <m/>
    <x v="2"/>
    <n v="0.45"/>
    <m/>
    <n v="1.96"/>
    <n v="56.055999999999997"/>
    <x v="1"/>
    <x v="0"/>
    <x v="0"/>
    <x v="1"/>
    <x v="0"/>
    <x v="0"/>
  </r>
  <r>
    <x v="0"/>
    <x v="1148"/>
    <x v="14"/>
    <x v="1"/>
    <x v="1"/>
    <m/>
    <x v="2"/>
    <n v="0.45"/>
    <m/>
    <n v="1.96"/>
    <n v="56.055999999999997"/>
    <x v="1"/>
    <x v="0"/>
    <x v="0"/>
    <x v="1"/>
    <x v="0"/>
    <x v="0"/>
  </r>
  <r>
    <x v="0"/>
    <x v="1149"/>
    <x v="15"/>
    <x v="1"/>
    <x v="1"/>
    <m/>
    <x v="2"/>
    <n v="0.45"/>
    <m/>
    <n v="1.96"/>
    <n v="56.055999999999997"/>
    <x v="1"/>
    <x v="0"/>
    <x v="0"/>
    <x v="1"/>
    <x v="0"/>
    <x v="0"/>
  </r>
  <r>
    <x v="0"/>
    <x v="1150"/>
    <x v="13"/>
    <x v="1"/>
    <x v="1"/>
    <m/>
    <x v="2"/>
    <n v="0.46"/>
    <m/>
    <n v="1.96"/>
    <n v="56.055999999999997"/>
    <x v="1"/>
    <x v="0"/>
    <x v="0"/>
    <x v="1"/>
    <x v="0"/>
    <x v="0"/>
  </r>
  <r>
    <x v="0"/>
    <x v="1151"/>
    <x v="12"/>
    <x v="1"/>
    <x v="1"/>
    <m/>
    <x v="2"/>
    <n v="0.46"/>
    <m/>
    <n v="1.96"/>
    <n v="56.055999999999997"/>
    <x v="1"/>
    <x v="0"/>
    <x v="0"/>
    <x v="1"/>
    <x v="0"/>
    <x v="0"/>
  </r>
  <r>
    <x v="0"/>
    <x v="1152"/>
    <x v="14"/>
    <x v="1"/>
    <x v="1"/>
    <m/>
    <x v="2"/>
    <n v="0.46"/>
    <m/>
    <n v="1.96"/>
    <n v="56.055999999999997"/>
    <x v="1"/>
    <x v="0"/>
    <x v="0"/>
    <x v="1"/>
    <x v="0"/>
    <x v="0"/>
  </r>
  <r>
    <x v="0"/>
    <x v="1153"/>
    <x v="15"/>
    <x v="1"/>
    <x v="1"/>
    <m/>
    <x v="2"/>
    <n v="0.46"/>
    <m/>
    <n v="1.96"/>
    <n v="56.055999999999997"/>
    <x v="1"/>
    <x v="0"/>
    <x v="0"/>
    <x v="1"/>
    <x v="0"/>
    <x v="0"/>
  </r>
  <r>
    <x v="0"/>
    <x v="1154"/>
    <x v="13"/>
    <x v="1"/>
    <x v="1"/>
    <m/>
    <x v="2"/>
    <n v="0.49"/>
    <n v="1.9894000000000001"/>
    <n v="2.1560000000000001"/>
    <n v="60.368000000000002"/>
    <x v="4"/>
    <x v="1"/>
    <x v="1"/>
    <x v="18"/>
    <x v="0"/>
    <x v="0"/>
  </r>
  <r>
    <x v="0"/>
    <x v="1155"/>
    <x v="12"/>
    <x v="1"/>
    <x v="1"/>
    <m/>
    <x v="2"/>
    <n v="0.49"/>
    <n v="1.9894000000000001"/>
    <n v="2.1560000000000001"/>
    <n v="60.368000000000002"/>
    <x v="4"/>
    <x v="1"/>
    <x v="1"/>
    <x v="18"/>
    <x v="0"/>
    <x v="0"/>
  </r>
  <r>
    <x v="0"/>
    <x v="1156"/>
    <x v="14"/>
    <x v="1"/>
    <x v="1"/>
    <m/>
    <x v="2"/>
    <n v="0.49"/>
    <n v="1.9894000000000001"/>
    <n v="2.1560000000000001"/>
    <n v="60.368000000000002"/>
    <x v="4"/>
    <x v="1"/>
    <x v="1"/>
    <x v="18"/>
    <x v="0"/>
    <x v="0"/>
  </r>
  <r>
    <x v="0"/>
    <x v="1157"/>
    <x v="15"/>
    <x v="1"/>
    <x v="1"/>
    <m/>
    <x v="2"/>
    <n v="0.49"/>
    <n v="1.9894000000000001"/>
    <n v="2.1560000000000001"/>
    <n v="60.368000000000002"/>
    <x v="4"/>
    <x v="1"/>
    <x v="1"/>
    <x v="18"/>
    <x v="0"/>
    <x v="0"/>
  </r>
  <r>
    <x v="0"/>
    <x v="1158"/>
    <x v="13"/>
    <x v="1"/>
    <x v="1"/>
    <m/>
    <x v="2"/>
    <n v="0.52"/>
    <n v="1.9501999999999999"/>
    <n v="2.1560000000000001"/>
    <n v="60.368000000000002"/>
    <x v="5"/>
    <x v="3"/>
    <x v="1"/>
    <x v="18"/>
    <x v="0"/>
    <x v="0"/>
  </r>
  <r>
    <x v="0"/>
    <x v="1159"/>
    <x v="12"/>
    <x v="1"/>
    <x v="1"/>
    <m/>
    <x v="2"/>
    <n v="0.52"/>
    <n v="1.9501999999999999"/>
    <n v="2.1560000000000001"/>
    <n v="60.368000000000002"/>
    <x v="5"/>
    <x v="3"/>
    <x v="1"/>
    <x v="18"/>
    <x v="0"/>
    <x v="0"/>
  </r>
  <r>
    <x v="0"/>
    <x v="1160"/>
    <x v="14"/>
    <x v="1"/>
    <x v="1"/>
    <m/>
    <x v="2"/>
    <n v="0.52"/>
    <n v="1.9501999999999999"/>
    <n v="2.1560000000000001"/>
    <n v="60.368000000000002"/>
    <x v="5"/>
    <x v="3"/>
    <x v="1"/>
    <x v="18"/>
    <x v="0"/>
    <x v="0"/>
  </r>
  <r>
    <x v="0"/>
    <x v="1161"/>
    <x v="15"/>
    <x v="1"/>
    <x v="1"/>
    <m/>
    <x v="2"/>
    <n v="0.52"/>
    <n v="1.9501999999999999"/>
    <n v="2.1560000000000001"/>
    <n v="60.368000000000002"/>
    <x v="5"/>
    <x v="3"/>
    <x v="1"/>
    <x v="18"/>
    <x v="0"/>
    <x v="0"/>
  </r>
  <r>
    <x v="0"/>
    <x v="1162"/>
    <x v="13"/>
    <x v="1"/>
    <x v="1"/>
    <m/>
    <x v="2"/>
    <n v="0.54"/>
    <n v="1.8522000000000001"/>
    <n v="2.1560000000000001"/>
    <n v="60.368000000000002"/>
    <x v="7"/>
    <x v="4"/>
    <x v="1"/>
    <x v="18"/>
    <x v="0"/>
    <x v="0"/>
  </r>
  <r>
    <x v="0"/>
    <x v="1163"/>
    <x v="12"/>
    <x v="1"/>
    <x v="1"/>
    <m/>
    <x v="2"/>
    <n v="0.54"/>
    <n v="1.8522000000000001"/>
    <n v="2.1560000000000001"/>
    <n v="60.368000000000002"/>
    <x v="7"/>
    <x v="4"/>
    <x v="1"/>
    <x v="18"/>
    <x v="0"/>
    <x v="0"/>
  </r>
  <r>
    <x v="0"/>
    <x v="1164"/>
    <x v="14"/>
    <x v="1"/>
    <x v="1"/>
    <m/>
    <x v="2"/>
    <n v="0.54"/>
    <n v="1.8522000000000001"/>
    <n v="2.1560000000000001"/>
    <n v="60.368000000000002"/>
    <x v="7"/>
    <x v="4"/>
    <x v="1"/>
    <x v="18"/>
    <x v="0"/>
    <x v="0"/>
  </r>
  <r>
    <x v="0"/>
    <x v="1165"/>
    <x v="15"/>
    <x v="1"/>
    <x v="1"/>
    <m/>
    <x v="2"/>
    <n v="0.54"/>
    <n v="1.8522000000000001"/>
    <n v="2.1560000000000001"/>
    <n v="60.368000000000002"/>
    <x v="7"/>
    <x v="4"/>
    <x v="1"/>
    <x v="18"/>
    <x v="0"/>
    <x v="0"/>
  </r>
  <r>
    <x v="0"/>
    <x v="1166"/>
    <x v="13"/>
    <x v="0"/>
    <x v="0"/>
    <n v="0.75"/>
    <x v="10"/>
    <n v="0.36"/>
    <m/>
    <n v="1.96"/>
    <n v="56.055999999999997"/>
    <x v="1"/>
    <x v="0"/>
    <x v="0"/>
    <x v="1"/>
    <x v="0"/>
    <x v="0"/>
  </r>
  <r>
    <x v="0"/>
    <x v="1167"/>
    <x v="12"/>
    <x v="0"/>
    <x v="0"/>
    <n v="0.75"/>
    <x v="10"/>
    <n v="0.36"/>
    <m/>
    <n v="1.96"/>
    <n v="56.055999999999997"/>
    <x v="1"/>
    <x v="0"/>
    <x v="0"/>
    <x v="1"/>
    <x v="0"/>
    <x v="0"/>
  </r>
  <r>
    <x v="0"/>
    <x v="1168"/>
    <x v="14"/>
    <x v="0"/>
    <x v="0"/>
    <n v="0.75"/>
    <x v="10"/>
    <n v="0.36"/>
    <m/>
    <n v="1.96"/>
    <n v="56.055999999999997"/>
    <x v="1"/>
    <x v="0"/>
    <x v="0"/>
    <x v="1"/>
    <x v="0"/>
    <x v="0"/>
  </r>
  <r>
    <x v="0"/>
    <x v="1169"/>
    <x v="15"/>
    <x v="0"/>
    <x v="0"/>
    <n v="0.75"/>
    <x v="10"/>
    <n v="0.36"/>
    <m/>
    <n v="1.96"/>
    <n v="56.055999999999997"/>
    <x v="1"/>
    <x v="0"/>
    <x v="0"/>
    <x v="1"/>
    <x v="0"/>
    <x v="0"/>
  </r>
  <r>
    <x v="0"/>
    <x v="1170"/>
    <x v="13"/>
    <x v="0"/>
    <x v="0"/>
    <n v="0.75"/>
    <x v="10"/>
    <n v="0.37"/>
    <m/>
    <n v="1.96"/>
    <n v="56.055999999999997"/>
    <x v="1"/>
    <x v="0"/>
    <x v="0"/>
    <x v="1"/>
    <x v="0"/>
    <x v="0"/>
  </r>
  <r>
    <x v="0"/>
    <x v="1171"/>
    <x v="12"/>
    <x v="0"/>
    <x v="0"/>
    <n v="0.75"/>
    <x v="10"/>
    <n v="0.37"/>
    <m/>
    <n v="1.96"/>
    <n v="56.055999999999997"/>
    <x v="1"/>
    <x v="0"/>
    <x v="0"/>
    <x v="1"/>
    <x v="0"/>
    <x v="0"/>
  </r>
  <r>
    <x v="0"/>
    <x v="1172"/>
    <x v="14"/>
    <x v="0"/>
    <x v="0"/>
    <n v="0.75"/>
    <x v="10"/>
    <n v="0.37"/>
    <m/>
    <n v="1.96"/>
    <n v="56.055999999999997"/>
    <x v="1"/>
    <x v="0"/>
    <x v="0"/>
    <x v="1"/>
    <x v="0"/>
    <x v="0"/>
  </r>
  <r>
    <x v="0"/>
    <x v="1173"/>
    <x v="15"/>
    <x v="0"/>
    <x v="0"/>
    <n v="0.75"/>
    <x v="10"/>
    <n v="0.37"/>
    <m/>
    <n v="1.96"/>
    <n v="56.055999999999997"/>
    <x v="1"/>
    <x v="0"/>
    <x v="0"/>
    <x v="1"/>
    <x v="0"/>
    <x v="0"/>
  </r>
  <r>
    <x v="0"/>
    <x v="1174"/>
    <x v="13"/>
    <x v="0"/>
    <x v="0"/>
    <n v="0.75"/>
    <x v="10"/>
    <n v="0.38"/>
    <m/>
    <n v="1.96"/>
    <n v="56.055999999999997"/>
    <x v="1"/>
    <x v="0"/>
    <x v="0"/>
    <x v="1"/>
    <x v="0"/>
    <x v="0"/>
  </r>
  <r>
    <x v="0"/>
    <x v="1175"/>
    <x v="12"/>
    <x v="0"/>
    <x v="0"/>
    <n v="0.75"/>
    <x v="10"/>
    <n v="0.38"/>
    <m/>
    <n v="1.96"/>
    <n v="56.055999999999997"/>
    <x v="1"/>
    <x v="0"/>
    <x v="0"/>
    <x v="1"/>
    <x v="0"/>
    <x v="0"/>
  </r>
  <r>
    <x v="0"/>
    <x v="1176"/>
    <x v="14"/>
    <x v="0"/>
    <x v="0"/>
    <n v="0.75"/>
    <x v="10"/>
    <n v="0.38"/>
    <m/>
    <n v="1.96"/>
    <n v="56.055999999999997"/>
    <x v="1"/>
    <x v="0"/>
    <x v="0"/>
    <x v="1"/>
    <x v="0"/>
    <x v="0"/>
  </r>
  <r>
    <x v="0"/>
    <x v="1177"/>
    <x v="15"/>
    <x v="0"/>
    <x v="0"/>
    <n v="0.75"/>
    <x v="10"/>
    <n v="0.38"/>
    <m/>
    <n v="1.96"/>
    <n v="56.055999999999997"/>
    <x v="1"/>
    <x v="0"/>
    <x v="0"/>
    <x v="1"/>
    <x v="0"/>
    <x v="0"/>
  </r>
  <r>
    <x v="0"/>
    <x v="1178"/>
    <x v="13"/>
    <x v="0"/>
    <x v="0"/>
    <n v="0.75"/>
    <x v="10"/>
    <n v="0.39"/>
    <m/>
    <n v="1.96"/>
    <n v="56.055999999999997"/>
    <x v="1"/>
    <x v="0"/>
    <x v="0"/>
    <x v="1"/>
    <x v="0"/>
    <x v="0"/>
  </r>
  <r>
    <x v="0"/>
    <x v="1179"/>
    <x v="12"/>
    <x v="0"/>
    <x v="0"/>
    <n v="0.75"/>
    <x v="10"/>
    <n v="0.39"/>
    <m/>
    <n v="1.96"/>
    <n v="56.055999999999997"/>
    <x v="1"/>
    <x v="0"/>
    <x v="0"/>
    <x v="1"/>
    <x v="0"/>
    <x v="0"/>
  </r>
  <r>
    <x v="0"/>
    <x v="1180"/>
    <x v="14"/>
    <x v="0"/>
    <x v="0"/>
    <n v="0.75"/>
    <x v="10"/>
    <n v="0.39"/>
    <m/>
    <n v="1.96"/>
    <n v="56.055999999999997"/>
    <x v="1"/>
    <x v="0"/>
    <x v="0"/>
    <x v="1"/>
    <x v="0"/>
    <x v="0"/>
  </r>
  <r>
    <x v="0"/>
    <x v="1181"/>
    <x v="15"/>
    <x v="0"/>
    <x v="0"/>
    <n v="0.75"/>
    <x v="10"/>
    <n v="0.39"/>
    <m/>
    <n v="1.96"/>
    <n v="56.055999999999997"/>
    <x v="1"/>
    <x v="0"/>
    <x v="0"/>
    <x v="1"/>
    <x v="0"/>
    <x v="0"/>
  </r>
  <r>
    <x v="0"/>
    <x v="1182"/>
    <x v="13"/>
    <x v="0"/>
    <x v="0"/>
    <n v="0.75"/>
    <x v="10"/>
    <n v="0.4"/>
    <m/>
    <n v="1.96"/>
    <n v="56.055999999999997"/>
    <x v="1"/>
    <x v="0"/>
    <x v="0"/>
    <x v="1"/>
    <x v="0"/>
    <x v="0"/>
  </r>
  <r>
    <x v="0"/>
    <x v="1183"/>
    <x v="12"/>
    <x v="0"/>
    <x v="0"/>
    <n v="0.75"/>
    <x v="10"/>
    <n v="0.4"/>
    <m/>
    <n v="1.96"/>
    <n v="56.055999999999997"/>
    <x v="1"/>
    <x v="0"/>
    <x v="0"/>
    <x v="1"/>
    <x v="0"/>
    <x v="0"/>
  </r>
  <r>
    <x v="0"/>
    <x v="1184"/>
    <x v="14"/>
    <x v="0"/>
    <x v="0"/>
    <n v="0.75"/>
    <x v="10"/>
    <n v="0.4"/>
    <m/>
    <n v="1.96"/>
    <n v="56.055999999999997"/>
    <x v="1"/>
    <x v="0"/>
    <x v="0"/>
    <x v="1"/>
    <x v="0"/>
    <x v="0"/>
  </r>
  <r>
    <x v="0"/>
    <x v="1185"/>
    <x v="15"/>
    <x v="0"/>
    <x v="0"/>
    <n v="0.75"/>
    <x v="10"/>
    <n v="0.4"/>
    <m/>
    <n v="1.96"/>
    <n v="56.055999999999997"/>
    <x v="1"/>
    <x v="0"/>
    <x v="0"/>
    <x v="1"/>
    <x v="0"/>
    <x v="0"/>
  </r>
  <r>
    <x v="0"/>
    <x v="1186"/>
    <x v="13"/>
    <x v="0"/>
    <x v="0"/>
    <n v="0.75"/>
    <x v="10"/>
    <n v="0.41"/>
    <m/>
    <n v="1.96"/>
    <n v="56.055999999999997"/>
    <x v="1"/>
    <x v="0"/>
    <x v="0"/>
    <x v="1"/>
    <x v="0"/>
    <x v="0"/>
  </r>
  <r>
    <x v="0"/>
    <x v="1187"/>
    <x v="12"/>
    <x v="0"/>
    <x v="0"/>
    <n v="0.75"/>
    <x v="10"/>
    <n v="0.41"/>
    <m/>
    <n v="1.96"/>
    <n v="56.055999999999997"/>
    <x v="1"/>
    <x v="0"/>
    <x v="0"/>
    <x v="1"/>
    <x v="0"/>
    <x v="0"/>
  </r>
  <r>
    <x v="0"/>
    <x v="1188"/>
    <x v="14"/>
    <x v="0"/>
    <x v="0"/>
    <n v="0.75"/>
    <x v="10"/>
    <n v="0.41"/>
    <m/>
    <n v="1.96"/>
    <n v="56.055999999999997"/>
    <x v="1"/>
    <x v="0"/>
    <x v="0"/>
    <x v="1"/>
    <x v="0"/>
    <x v="0"/>
  </r>
  <r>
    <x v="0"/>
    <x v="1189"/>
    <x v="15"/>
    <x v="0"/>
    <x v="0"/>
    <n v="0.75"/>
    <x v="10"/>
    <n v="0.41"/>
    <m/>
    <n v="1.96"/>
    <n v="56.055999999999997"/>
    <x v="1"/>
    <x v="0"/>
    <x v="0"/>
    <x v="1"/>
    <x v="0"/>
    <x v="0"/>
  </r>
  <r>
    <x v="0"/>
    <x v="1190"/>
    <x v="13"/>
    <x v="0"/>
    <x v="0"/>
    <n v="0.75"/>
    <x v="10"/>
    <n v="0.42"/>
    <m/>
    <n v="1.96"/>
    <n v="56.055999999999997"/>
    <x v="1"/>
    <x v="0"/>
    <x v="0"/>
    <x v="1"/>
    <x v="0"/>
    <x v="0"/>
  </r>
  <r>
    <x v="0"/>
    <x v="1191"/>
    <x v="12"/>
    <x v="0"/>
    <x v="0"/>
    <n v="0.75"/>
    <x v="10"/>
    <n v="0.42"/>
    <m/>
    <n v="1.96"/>
    <n v="56.055999999999997"/>
    <x v="1"/>
    <x v="0"/>
    <x v="0"/>
    <x v="1"/>
    <x v="0"/>
    <x v="0"/>
  </r>
  <r>
    <x v="0"/>
    <x v="1192"/>
    <x v="14"/>
    <x v="0"/>
    <x v="0"/>
    <n v="0.75"/>
    <x v="10"/>
    <n v="0.42"/>
    <m/>
    <n v="1.96"/>
    <n v="56.055999999999997"/>
    <x v="1"/>
    <x v="0"/>
    <x v="0"/>
    <x v="1"/>
    <x v="0"/>
    <x v="0"/>
  </r>
  <r>
    <x v="0"/>
    <x v="1193"/>
    <x v="15"/>
    <x v="0"/>
    <x v="0"/>
    <n v="0.75"/>
    <x v="10"/>
    <n v="0.42"/>
    <m/>
    <n v="1.96"/>
    <n v="56.055999999999997"/>
    <x v="1"/>
    <x v="0"/>
    <x v="0"/>
    <x v="1"/>
    <x v="0"/>
    <x v="0"/>
  </r>
  <r>
    <x v="0"/>
    <x v="1194"/>
    <x v="13"/>
    <x v="0"/>
    <x v="0"/>
    <n v="0.75"/>
    <x v="10"/>
    <n v="0.43"/>
    <m/>
    <n v="1.96"/>
    <n v="56.055999999999997"/>
    <x v="1"/>
    <x v="0"/>
    <x v="0"/>
    <x v="1"/>
    <x v="0"/>
    <x v="0"/>
  </r>
  <r>
    <x v="0"/>
    <x v="1195"/>
    <x v="12"/>
    <x v="0"/>
    <x v="0"/>
    <n v="0.75"/>
    <x v="10"/>
    <n v="0.43"/>
    <m/>
    <n v="1.96"/>
    <n v="56.055999999999997"/>
    <x v="1"/>
    <x v="0"/>
    <x v="0"/>
    <x v="1"/>
    <x v="0"/>
    <x v="0"/>
  </r>
  <r>
    <x v="0"/>
    <x v="1196"/>
    <x v="14"/>
    <x v="0"/>
    <x v="0"/>
    <n v="0.75"/>
    <x v="10"/>
    <n v="0.43"/>
    <m/>
    <n v="1.96"/>
    <n v="56.055999999999997"/>
    <x v="1"/>
    <x v="0"/>
    <x v="0"/>
    <x v="1"/>
    <x v="0"/>
    <x v="0"/>
  </r>
  <r>
    <x v="0"/>
    <x v="1197"/>
    <x v="15"/>
    <x v="0"/>
    <x v="0"/>
    <n v="0.75"/>
    <x v="10"/>
    <n v="0.43"/>
    <m/>
    <n v="1.96"/>
    <n v="56.055999999999997"/>
    <x v="1"/>
    <x v="0"/>
    <x v="0"/>
    <x v="1"/>
    <x v="0"/>
    <x v="0"/>
  </r>
  <r>
    <x v="0"/>
    <x v="1198"/>
    <x v="13"/>
    <x v="0"/>
    <x v="0"/>
    <n v="0.75"/>
    <x v="10"/>
    <n v="0.47"/>
    <m/>
    <n v="1.96"/>
    <n v="56.055999999999997"/>
    <x v="1"/>
    <x v="0"/>
    <x v="0"/>
    <x v="1"/>
    <x v="0"/>
    <x v="0"/>
  </r>
  <r>
    <x v="0"/>
    <x v="1199"/>
    <x v="12"/>
    <x v="0"/>
    <x v="0"/>
    <n v="0.75"/>
    <x v="10"/>
    <n v="0.47"/>
    <m/>
    <n v="1.96"/>
    <n v="56.055999999999997"/>
    <x v="1"/>
    <x v="0"/>
    <x v="0"/>
    <x v="1"/>
    <x v="0"/>
    <x v="0"/>
  </r>
  <r>
    <x v="0"/>
    <x v="1200"/>
    <x v="14"/>
    <x v="0"/>
    <x v="0"/>
    <n v="0.75"/>
    <x v="10"/>
    <n v="0.47"/>
    <m/>
    <n v="1.96"/>
    <n v="56.055999999999997"/>
    <x v="1"/>
    <x v="0"/>
    <x v="0"/>
    <x v="1"/>
    <x v="0"/>
    <x v="0"/>
  </r>
  <r>
    <x v="0"/>
    <x v="1201"/>
    <x v="15"/>
    <x v="0"/>
    <x v="0"/>
    <n v="0.75"/>
    <x v="10"/>
    <n v="0.47"/>
    <m/>
    <n v="1.96"/>
    <n v="56.055999999999997"/>
    <x v="1"/>
    <x v="0"/>
    <x v="0"/>
    <x v="1"/>
    <x v="0"/>
    <x v="0"/>
  </r>
  <r>
    <x v="0"/>
    <x v="1202"/>
    <x v="13"/>
    <x v="0"/>
    <x v="0"/>
    <n v="0.84"/>
    <x v="10"/>
    <n v="0.49"/>
    <n v="1.9894000000000001"/>
    <n v="2.1560000000000001"/>
    <n v="60.368000000000002"/>
    <x v="4"/>
    <x v="1"/>
    <x v="1"/>
    <x v="18"/>
    <x v="0"/>
    <x v="0"/>
  </r>
  <r>
    <x v="0"/>
    <x v="1203"/>
    <x v="12"/>
    <x v="0"/>
    <x v="0"/>
    <n v="0.84"/>
    <x v="10"/>
    <n v="0.49"/>
    <n v="1.9894000000000001"/>
    <n v="2.1560000000000001"/>
    <n v="60.368000000000002"/>
    <x v="4"/>
    <x v="1"/>
    <x v="1"/>
    <x v="18"/>
    <x v="0"/>
    <x v="0"/>
  </r>
  <r>
    <x v="0"/>
    <x v="1204"/>
    <x v="14"/>
    <x v="0"/>
    <x v="0"/>
    <n v="0.84"/>
    <x v="10"/>
    <n v="0.49"/>
    <n v="1.9894000000000001"/>
    <n v="2.1560000000000001"/>
    <n v="60.368000000000002"/>
    <x v="4"/>
    <x v="1"/>
    <x v="1"/>
    <x v="18"/>
    <x v="0"/>
    <x v="0"/>
  </r>
  <r>
    <x v="0"/>
    <x v="1205"/>
    <x v="15"/>
    <x v="0"/>
    <x v="0"/>
    <n v="0.84"/>
    <x v="10"/>
    <n v="0.49"/>
    <n v="1.9894000000000001"/>
    <n v="2.1560000000000001"/>
    <n v="60.368000000000002"/>
    <x v="4"/>
    <x v="1"/>
    <x v="1"/>
    <x v="18"/>
    <x v="0"/>
    <x v="0"/>
  </r>
  <r>
    <x v="0"/>
    <x v="1206"/>
    <x v="13"/>
    <x v="0"/>
    <x v="0"/>
    <n v="1.01"/>
    <x v="10"/>
    <n v="0.52"/>
    <n v="1.9501999999999999"/>
    <n v="2.1560000000000001"/>
    <n v="60.368000000000002"/>
    <x v="5"/>
    <x v="3"/>
    <x v="1"/>
    <x v="18"/>
    <x v="0"/>
    <x v="0"/>
  </r>
  <r>
    <x v="0"/>
    <x v="1207"/>
    <x v="12"/>
    <x v="0"/>
    <x v="0"/>
    <n v="1.01"/>
    <x v="10"/>
    <n v="0.52"/>
    <n v="1.9501999999999999"/>
    <n v="2.1560000000000001"/>
    <n v="60.368000000000002"/>
    <x v="5"/>
    <x v="3"/>
    <x v="1"/>
    <x v="18"/>
    <x v="0"/>
    <x v="0"/>
  </r>
  <r>
    <x v="0"/>
    <x v="1208"/>
    <x v="14"/>
    <x v="0"/>
    <x v="0"/>
    <n v="1.01"/>
    <x v="10"/>
    <n v="0.52"/>
    <n v="1.9501999999999999"/>
    <n v="2.1560000000000001"/>
    <n v="60.368000000000002"/>
    <x v="5"/>
    <x v="3"/>
    <x v="1"/>
    <x v="18"/>
    <x v="0"/>
    <x v="0"/>
  </r>
  <r>
    <x v="0"/>
    <x v="1209"/>
    <x v="15"/>
    <x v="0"/>
    <x v="0"/>
    <n v="1.01"/>
    <x v="10"/>
    <n v="0.52"/>
    <n v="1.9501999999999999"/>
    <n v="2.1560000000000001"/>
    <n v="60.368000000000002"/>
    <x v="5"/>
    <x v="3"/>
    <x v="1"/>
    <x v="18"/>
    <x v="0"/>
    <x v="0"/>
  </r>
  <r>
    <x v="0"/>
    <x v="1210"/>
    <x v="13"/>
    <x v="0"/>
    <x v="0"/>
    <n v="1.01"/>
    <x v="10"/>
    <n v="0.54"/>
    <n v="1.8522000000000001"/>
    <n v="2.1560000000000001"/>
    <n v="60.368000000000002"/>
    <x v="7"/>
    <x v="4"/>
    <x v="1"/>
    <x v="18"/>
    <x v="0"/>
    <x v="0"/>
  </r>
  <r>
    <x v="0"/>
    <x v="1211"/>
    <x v="12"/>
    <x v="0"/>
    <x v="0"/>
    <n v="1.01"/>
    <x v="10"/>
    <n v="0.54"/>
    <n v="1.8522000000000001"/>
    <n v="2.1560000000000001"/>
    <n v="60.368000000000002"/>
    <x v="7"/>
    <x v="4"/>
    <x v="1"/>
    <x v="18"/>
    <x v="0"/>
    <x v="0"/>
  </r>
  <r>
    <x v="0"/>
    <x v="1212"/>
    <x v="14"/>
    <x v="0"/>
    <x v="0"/>
    <n v="1.01"/>
    <x v="10"/>
    <n v="0.54"/>
    <n v="1.8522000000000001"/>
    <n v="2.1560000000000001"/>
    <n v="60.368000000000002"/>
    <x v="7"/>
    <x v="4"/>
    <x v="1"/>
    <x v="18"/>
    <x v="0"/>
    <x v="0"/>
  </r>
  <r>
    <x v="0"/>
    <x v="1213"/>
    <x v="15"/>
    <x v="0"/>
    <x v="0"/>
    <n v="1.01"/>
    <x v="10"/>
    <n v="0.54"/>
    <n v="1.8522000000000001"/>
    <n v="2.1560000000000001"/>
    <n v="60.368000000000002"/>
    <x v="7"/>
    <x v="4"/>
    <x v="1"/>
    <x v="18"/>
    <x v="0"/>
    <x v="0"/>
  </r>
  <r>
    <x v="0"/>
    <x v="1214"/>
    <x v="9"/>
    <x v="4"/>
    <x v="0"/>
    <n v="1.2"/>
    <x v="5"/>
    <n v="0.9"/>
    <m/>
    <n v="0.80359999999999998"/>
    <n v="37.24"/>
    <x v="1"/>
    <x v="0"/>
    <x v="0"/>
    <x v="1"/>
    <x v="0"/>
    <x v="0"/>
  </r>
  <r>
    <x v="0"/>
    <x v="1215"/>
    <x v="9"/>
    <x v="4"/>
    <x v="0"/>
    <n v="0.3"/>
    <x v="5"/>
    <n v="0.9"/>
    <m/>
    <n v="0.80359999999999998"/>
    <n v="37.24"/>
    <x v="1"/>
    <x v="0"/>
    <x v="0"/>
    <x v="1"/>
    <x v="0"/>
    <x v="0"/>
  </r>
  <r>
    <x v="0"/>
    <x v="1216"/>
    <x v="9"/>
    <x v="4"/>
    <x v="0"/>
    <n v="0.5"/>
    <x v="5"/>
    <n v="0.9"/>
    <m/>
    <n v="0.80359999999999998"/>
    <n v="37.24"/>
    <x v="1"/>
    <x v="0"/>
    <x v="0"/>
    <x v="1"/>
    <x v="0"/>
    <x v="0"/>
  </r>
  <r>
    <x v="0"/>
    <x v="1217"/>
    <x v="9"/>
    <x v="4"/>
    <x v="0"/>
    <n v="0.2"/>
    <x v="5"/>
    <n v="0.9"/>
    <m/>
    <m/>
    <m/>
    <x v="1"/>
    <x v="0"/>
    <x v="0"/>
    <x v="1"/>
    <x v="0"/>
    <x v="0"/>
  </r>
  <r>
    <x v="0"/>
    <x v="1218"/>
    <x v="9"/>
    <x v="4"/>
    <x v="0"/>
    <n v="0.7"/>
    <x v="5"/>
    <n v="0.65571428571428603"/>
    <m/>
    <n v="0.80359999999999998"/>
    <n v="37.24"/>
    <x v="1"/>
    <x v="0"/>
    <x v="0"/>
    <x v="1"/>
    <x v="0"/>
    <x v="0"/>
  </r>
  <r>
    <x v="0"/>
    <x v="1219"/>
    <x v="9"/>
    <x v="4"/>
    <x v="0"/>
    <n v="0.7"/>
    <x v="5"/>
    <n v="0.82571428571428596"/>
    <m/>
    <n v="0.80359999999999998"/>
    <n v="37.24"/>
    <x v="1"/>
    <x v="0"/>
    <x v="0"/>
    <x v="1"/>
    <x v="0"/>
    <x v="0"/>
  </r>
  <r>
    <x v="0"/>
    <x v="1220"/>
    <x v="9"/>
    <x v="4"/>
    <x v="0"/>
    <n v="0.7"/>
    <x v="5"/>
    <n v="0.85"/>
    <m/>
    <n v="0.80359999999999998"/>
    <n v="37.24"/>
    <x v="1"/>
    <x v="0"/>
    <x v="0"/>
    <x v="1"/>
    <x v="0"/>
    <x v="0"/>
  </r>
  <r>
    <x v="0"/>
    <x v="1221"/>
    <x v="9"/>
    <x v="4"/>
    <x v="0"/>
    <n v="0.7"/>
    <x v="5"/>
    <n v="0.874285714285714"/>
    <m/>
    <n v="0.80359999999999998"/>
    <n v="37.24"/>
    <x v="1"/>
    <x v="0"/>
    <x v="0"/>
    <x v="1"/>
    <x v="0"/>
    <x v="0"/>
  </r>
  <r>
    <x v="0"/>
    <x v="1222"/>
    <x v="9"/>
    <x v="4"/>
    <x v="0"/>
    <n v="0.7"/>
    <x v="5"/>
    <n v="0.89857142857142902"/>
    <m/>
    <n v="0.80359999999999998"/>
    <n v="37.24"/>
    <x v="1"/>
    <x v="0"/>
    <x v="0"/>
    <x v="1"/>
    <x v="0"/>
    <x v="0"/>
  </r>
  <r>
    <x v="0"/>
    <x v="1223"/>
    <x v="9"/>
    <x v="4"/>
    <x v="0"/>
    <n v="0.7"/>
    <x v="5"/>
    <n v="0.92285714285714304"/>
    <m/>
    <n v="0.80359999999999998"/>
    <n v="37.24"/>
    <x v="1"/>
    <x v="0"/>
    <x v="0"/>
    <x v="1"/>
    <x v="0"/>
    <x v="0"/>
  </r>
  <r>
    <x v="0"/>
    <x v="1224"/>
    <x v="9"/>
    <x v="1"/>
    <x v="1"/>
    <m/>
    <x v="2"/>
    <n v="0.32"/>
    <m/>
    <n v="0.80359999999999998"/>
    <n v="37.24"/>
    <x v="1"/>
    <x v="0"/>
    <x v="0"/>
    <x v="1"/>
    <x v="0"/>
    <x v="0"/>
  </r>
  <r>
    <x v="0"/>
    <x v="1225"/>
    <x v="9"/>
    <x v="1"/>
    <x v="1"/>
    <m/>
    <x v="2"/>
    <n v="0.33"/>
    <m/>
    <n v="0.80359999999999998"/>
    <n v="37.24"/>
    <x v="1"/>
    <x v="0"/>
    <x v="0"/>
    <x v="1"/>
    <x v="0"/>
    <x v="0"/>
  </r>
  <r>
    <x v="0"/>
    <x v="1226"/>
    <x v="9"/>
    <x v="1"/>
    <x v="1"/>
    <m/>
    <x v="2"/>
    <n v="0.34"/>
    <m/>
    <n v="0.80359999999999998"/>
    <n v="37.24"/>
    <x v="1"/>
    <x v="0"/>
    <x v="0"/>
    <x v="1"/>
    <x v="0"/>
    <x v="0"/>
  </r>
  <r>
    <x v="0"/>
    <x v="1227"/>
    <x v="9"/>
    <x v="1"/>
    <x v="1"/>
    <m/>
    <x v="2"/>
    <n v="0.35"/>
    <m/>
    <n v="0.80359999999999998"/>
    <n v="37.24"/>
    <x v="1"/>
    <x v="0"/>
    <x v="0"/>
    <x v="1"/>
    <x v="0"/>
    <x v="0"/>
  </r>
  <r>
    <x v="0"/>
    <x v="1228"/>
    <x v="9"/>
    <x v="1"/>
    <x v="1"/>
    <m/>
    <x v="2"/>
    <n v="0.36"/>
    <m/>
    <n v="0.80359999999999998"/>
    <n v="37.24"/>
    <x v="1"/>
    <x v="0"/>
    <x v="0"/>
    <x v="1"/>
    <x v="0"/>
    <x v="0"/>
  </r>
  <r>
    <x v="0"/>
    <x v="1229"/>
    <x v="9"/>
    <x v="1"/>
    <x v="1"/>
    <m/>
    <x v="2"/>
    <n v="0.37"/>
    <m/>
    <n v="0.80359999999999998"/>
    <n v="37.24"/>
    <x v="1"/>
    <x v="0"/>
    <x v="0"/>
    <x v="1"/>
    <x v="0"/>
    <x v="0"/>
  </r>
  <r>
    <x v="0"/>
    <x v="1230"/>
    <x v="9"/>
    <x v="1"/>
    <x v="1"/>
    <m/>
    <x v="2"/>
    <n v="0.38"/>
    <m/>
    <n v="0.80359999999999998"/>
    <n v="37.24"/>
    <x v="1"/>
    <x v="0"/>
    <x v="0"/>
    <x v="1"/>
    <x v="0"/>
    <x v="0"/>
  </r>
  <r>
    <x v="0"/>
    <x v="1231"/>
    <x v="9"/>
    <x v="1"/>
    <x v="1"/>
    <m/>
    <x v="2"/>
    <n v="0.39"/>
    <m/>
    <n v="0.80359999999999998"/>
    <n v="37.24"/>
    <x v="1"/>
    <x v="0"/>
    <x v="0"/>
    <x v="1"/>
    <x v="0"/>
    <x v="0"/>
  </r>
  <r>
    <x v="0"/>
    <x v="1232"/>
    <x v="9"/>
    <x v="0"/>
    <x v="0"/>
    <n v="0.28266400000000003"/>
    <x v="14"/>
    <n v="0.22"/>
    <m/>
    <n v="2.484"/>
    <n v="9.0380009999999995"/>
    <x v="0"/>
    <x v="0"/>
    <x v="0"/>
    <x v="0"/>
    <x v="0"/>
    <x v="0"/>
  </r>
  <r>
    <x v="0"/>
    <x v="1233"/>
    <x v="0"/>
    <x v="4"/>
    <x v="0"/>
    <n v="0.22"/>
    <x v="5"/>
    <n v="0.85"/>
    <m/>
    <n v="0.71499999999999997"/>
    <n v="12.050668"/>
    <x v="0"/>
    <x v="0"/>
    <x v="0"/>
    <x v="0"/>
    <x v="0"/>
    <x v="0"/>
  </r>
  <r>
    <x v="0"/>
    <x v="1234"/>
    <x v="1"/>
    <x v="4"/>
    <x v="0"/>
    <n v="0.22"/>
    <x v="5"/>
    <n v="0.85"/>
    <m/>
    <n v="0.71499999999999997"/>
    <n v="12.050668"/>
    <x v="0"/>
    <x v="0"/>
    <x v="0"/>
    <x v="0"/>
    <x v="0"/>
    <x v="0"/>
  </r>
  <r>
    <x v="0"/>
    <x v="1235"/>
    <x v="2"/>
    <x v="4"/>
    <x v="0"/>
    <n v="0.22"/>
    <x v="5"/>
    <n v="0.85"/>
    <m/>
    <n v="0.71499999999999997"/>
    <n v="12.050668"/>
    <x v="0"/>
    <x v="0"/>
    <x v="0"/>
    <x v="0"/>
    <x v="0"/>
    <x v="0"/>
  </r>
  <r>
    <x v="0"/>
    <x v="1236"/>
    <x v="3"/>
    <x v="4"/>
    <x v="0"/>
    <n v="0.22"/>
    <x v="5"/>
    <n v="0.85"/>
    <m/>
    <n v="0.71499999999999997"/>
    <n v="12.050668"/>
    <x v="0"/>
    <x v="0"/>
    <x v="0"/>
    <x v="0"/>
    <x v="0"/>
    <x v="0"/>
  </r>
  <r>
    <x v="0"/>
    <x v="1237"/>
    <x v="4"/>
    <x v="4"/>
    <x v="0"/>
    <n v="0.22"/>
    <x v="5"/>
    <n v="0.85"/>
    <m/>
    <n v="0.71499999999999997"/>
    <n v="12.050668"/>
    <x v="0"/>
    <x v="0"/>
    <x v="0"/>
    <x v="0"/>
    <x v="0"/>
    <x v="0"/>
  </r>
  <r>
    <x v="0"/>
    <x v="1238"/>
    <x v="17"/>
    <x v="4"/>
    <x v="0"/>
    <n v="0.3"/>
    <x v="5"/>
    <n v="0.9"/>
    <m/>
    <m/>
    <m/>
    <x v="1"/>
    <x v="0"/>
    <x v="0"/>
    <x v="1"/>
    <x v="0"/>
    <x v="0"/>
  </r>
  <r>
    <x v="0"/>
    <x v="1239"/>
    <x v="20"/>
    <x v="1"/>
    <x v="1"/>
    <m/>
    <x v="2"/>
    <n v="0.33"/>
    <m/>
    <n v="0.80359999999999998"/>
    <n v="37.24"/>
    <x v="1"/>
    <x v="0"/>
    <x v="0"/>
    <x v="1"/>
    <x v="0"/>
    <x v="0"/>
  </r>
  <r>
    <x v="0"/>
    <x v="1240"/>
    <x v="5"/>
    <x v="4"/>
    <x v="0"/>
    <n v="0.75"/>
    <x v="5"/>
    <n v="0.65333333333333299"/>
    <m/>
    <n v="1.96"/>
    <n v="56.055999999999997"/>
    <x v="1"/>
    <x v="0"/>
    <x v="0"/>
    <x v="1"/>
    <x v="0"/>
    <x v="0"/>
  </r>
  <r>
    <x v="0"/>
    <x v="1241"/>
    <x v="5"/>
    <x v="4"/>
    <x v="0"/>
    <n v="0.75"/>
    <x v="5"/>
    <n v="0.72333333333333305"/>
    <m/>
    <n v="1.96"/>
    <n v="56.055999999999997"/>
    <x v="1"/>
    <x v="0"/>
    <x v="0"/>
    <x v="1"/>
    <x v="0"/>
    <x v="0"/>
  </r>
  <r>
    <x v="0"/>
    <x v="1242"/>
    <x v="5"/>
    <x v="4"/>
    <x v="0"/>
    <n v="0.75"/>
    <x v="5"/>
    <n v="0.77"/>
    <m/>
    <n v="1.96"/>
    <n v="56.055999999999997"/>
    <x v="1"/>
    <x v="0"/>
    <x v="0"/>
    <x v="1"/>
    <x v="0"/>
    <x v="0"/>
  </r>
  <r>
    <x v="0"/>
    <x v="1243"/>
    <x v="5"/>
    <x v="4"/>
    <x v="0"/>
    <n v="0.75"/>
    <x v="5"/>
    <n v="0.81666666666666698"/>
    <m/>
    <n v="1.96"/>
    <n v="56.055999999999997"/>
    <x v="1"/>
    <x v="0"/>
    <x v="0"/>
    <x v="1"/>
    <x v="0"/>
    <x v="0"/>
  </r>
  <r>
    <x v="0"/>
    <x v="1244"/>
    <x v="5"/>
    <x v="4"/>
    <x v="0"/>
    <n v="0.75"/>
    <x v="5"/>
    <n v="0.86333333333333295"/>
    <m/>
    <n v="1.96"/>
    <n v="56.055999999999997"/>
    <x v="1"/>
    <x v="0"/>
    <x v="0"/>
    <x v="1"/>
    <x v="0"/>
    <x v="0"/>
  </r>
  <r>
    <x v="0"/>
    <x v="1245"/>
    <x v="5"/>
    <x v="4"/>
    <x v="0"/>
    <n v="0.75"/>
    <x v="5"/>
    <n v="0.88666666666666705"/>
    <m/>
    <n v="1.96"/>
    <n v="56.055999999999997"/>
    <x v="1"/>
    <x v="0"/>
    <x v="0"/>
    <x v="1"/>
    <x v="0"/>
    <x v="0"/>
  </r>
  <r>
    <x v="0"/>
    <x v="1246"/>
    <x v="5"/>
    <x v="4"/>
    <x v="0"/>
    <n v="0.75"/>
    <x v="5"/>
    <n v="0.91"/>
    <m/>
    <n v="1.96"/>
    <n v="56.055999999999997"/>
    <x v="1"/>
    <x v="0"/>
    <x v="0"/>
    <x v="1"/>
    <x v="0"/>
    <x v="0"/>
  </r>
  <r>
    <x v="0"/>
    <x v="1247"/>
    <x v="5"/>
    <x v="1"/>
    <x v="1"/>
    <m/>
    <x v="2"/>
    <n v="0.32"/>
    <m/>
    <n v="1.96"/>
    <n v="56.055999999999997"/>
    <x v="1"/>
    <x v="0"/>
    <x v="0"/>
    <x v="1"/>
    <x v="0"/>
    <x v="0"/>
  </r>
  <r>
    <x v="0"/>
    <x v="1248"/>
    <x v="5"/>
    <x v="1"/>
    <x v="1"/>
    <m/>
    <x v="2"/>
    <n v="0.41"/>
    <m/>
    <n v="1.96"/>
    <n v="56.055999999999997"/>
    <x v="1"/>
    <x v="0"/>
    <x v="0"/>
    <x v="1"/>
    <x v="0"/>
    <x v="0"/>
  </r>
  <r>
    <x v="0"/>
    <x v="1249"/>
    <x v="5"/>
    <x v="1"/>
    <x v="1"/>
    <m/>
    <x v="2"/>
    <n v="0.42"/>
    <m/>
    <n v="1.96"/>
    <n v="56.055999999999997"/>
    <x v="1"/>
    <x v="0"/>
    <x v="0"/>
    <x v="1"/>
    <x v="0"/>
    <x v="0"/>
  </r>
  <r>
    <x v="0"/>
    <x v="1250"/>
    <x v="5"/>
    <x v="1"/>
    <x v="1"/>
    <m/>
    <x v="2"/>
    <n v="0.43"/>
    <m/>
    <n v="1.96"/>
    <n v="56.055999999999997"/>
    <x v="1"/>
    <x v="0"/>
    <x v="0"/>
    <x v="1"/>
    <x v="0"/>
    <x v="0"/>
  </r>
  <r>
    <x v="0"/>
    <x v="1251"/>
    <x v="10"/>
    <x v="4"/>
    <x v="0"/>
    <n v="0.1"/>
    <x v="5"/>
    <n v="0.9"/>
    <m/>
    <n v="24.303999999999998"/>
    <n v="196"/>
    <x v="1"/>
    <x v="0"/>
    <x v="0"/>
    <x v="1"/>
    <x v="0"/>
    <x v="0"/>
  </r>
  <r>
    <x v="0"/>
    <x v="1252"/>
    <x v="10"/>
    <x v="4"/>
    <x v="0"/>
    <n v="0.2"/>
    <x v="5"/>
    <n v="0.9"/>
    <m/>
    <n v="24.303999999999998"/>
    <n v="196"/>
    <x v="1"/>
    <x v="0"/>
    <x v="0"/>
    <x v="1"/>
    <x v="0"/>
    <x v="0"/>
  </r>
  <r>
    <x v="0"/>
    <x v="1253"/>
    <x v="10"/>
    <x v="4"/>
    <x v="0"/>
    <n v="0.3"/>
    <x v="5"/>
    <n v="0.9"/>
    <m/>
    <n v="24.303999999999998"/>
    <n v="196"/>
    <x v="1"/>
    <x v="0"/>
    <x v="0"/>
    <x v="1"/>
    <x v="0"/>
    <x v="0"/>
  </r>
  <r>
    <x v="0"/>
    <x v="1254"/>
    <x v="10"/>
    <x v="4"/>
    <x v="0"/>
    <n v="0.4"/>
    <x v="5"/>
    <n v="0.9"/>
    <m/>
    <n v="24.303999999999998"/>
    <n v="196"/>
    <x v="1"/>
    <x v="0"/>
    <x v="0"/>
    <x v="1"/>
    <x v="0"/>
    <x v="0"/>
  </r>
  <r>
    <x v="0"/>
    <x v="1255"/>
    <x v="10"/>
    <x v="4"/>
    <x v="0"/>
    <n v="0.6"/>
    <x v="5"/>
    <n v="0.9"/>
    <m/>
    <n v="24.303999999999998"/>
    <n v="196"/>
    <x v="1"/>
    <x v="0"/>
    <x v="0"/>
    <x v="1"/>
    <x v="0"/>
    <x v="0"/>
  </r>
  <r>
    <x v="0"/>
    <x v="1256"/>
    <x v="10"/>
    <x v="0"/>
    <x v="0"/>
    <n v="0.2"/>
    <x v="2"/>
    <n v="0.15"/>
    <m/>
    <m/>
    <m/>
    <x v="1"/>
    <x v="0"/>
    <x v="0"/>
    <x v="1"/>
    <x v="0"/>
    <x v="0"/>
  </r>
  <r>
    <x v="0"/>
    <x v="1257"/>
    <x v="10"/>
    <x v="4"/>
    <x v="0"/>
    <n v="0.295760708492247"/>
    <x v="5"/>
    <n v="0.70097787639088605"/>
    <m/>
    <n v="24.303999999999998"/>
    <n v="196"/>
    <x v="1"/>
    <x v="0"/>
    <x v="0"/>
    <x v="1"/>
    <x v="0"/>
    <x v="0"/>
  </r>
  <r>
    <x v="0"/>
    <x v="1258"/>
    <x v="10"/>
    <x v="4"/>
    <x v="0"/>
    <n v="0.295760708492247"/>
    <x v="5"/>
    <n v="0.74478899366531703"/>
    <m/>
    <n v="24.303999999999998"/>
    <n v="196"/>
    <x v="1"/>
    <x v="0"/>
    <x v="0"/>
    <x v="1"/>
    <x v="0"/>
    <x v="0"/>
  </r>
  <r>
    <x v="0"/>
    <x v="1259"/>
    <x v="10"/>
    <x v="4"/>
    <x v="0"/>
    <n v="0.295760708492247"/>
    <x v="5"/>
    <n v="0.78860011093974702"/>
    <m/>
    <n v="24.303999999999998"/>
    <n v="196"/>
    <x v="1"/>
    <x v="0"/>
    <x v="0"/>
    <x v="1"/>
    <x v="0"/>
    <x v="0"/>
  </r>
  <r>
    <x v="0"/>
    <x v="1260"/>
    <x v="10"/>
    <x v="4"/>
    <x v="0"/>
    <n v="0.295760708492247"/>
    <x v="5"/>
    <n v="0.83241122821417801"/>
    <m/>
    <n v="24.303999999999998"/>
    <n v="196"/>
    <x v="1"/>
    <x v="0"/>
    <x v="0"/>
    <x v="1"/>
    <x v="0"/>
    <x v="0"/>
  </r>
  <r>
    <x v="0"/>
    <x v="1261"/>
    <x v="10"/>
    <x v="4"/>
    <x v="0"/>
    <n v="0.295760708492247"/>
    <x v="5"/>
    <n v="0.876222345488608"/>
    <m/>
    <n v="24.303999999999998"/>
    <n v="196"/>
    <x v="1"/>
    <x v="0"/>
    <x v="0"/>
    <x v="1"/>
    <x v="0"/>
    <x v="0"/>
  </r>
  <r>
    <x v="0"/>
    <x v="1262"/>
    <x v="10"/>
    <x v="4"/>
    <x v="0"/>
    <n v="0.295760708492247"/>
    <x v="5"/>
    <n v="0.92003346276303799"/>
    <m/>
    <n v="24.303999999999998"/>
    <n v="196"/>
    <x v="1"/>
    <x v="0"/>
    <x v="0"/>
    <x v="1"/>
    <x v="0"/>
    <x v="0"/>
  </r>
  <r>
    <x v="0"/>
    <x v="1263"/>
    <x v="10"/>
    <x v="4"/>
    <x v="0"/>
    <n v="0.295760708492247"/>
    <x v="5"/>
    <n v="0.96384458003746898"/>
    <m/>
    <n v="24.303999999999998"/>
    <n v="196"/>
    <x v="1"/>
    <x v="0"/>
    <x v="0"/>
    <x v="1"/>
    <x v="0"/>
    <x v="0"/>
  </r>
  <r>
    <x v="0"/>
    <x v="1264"/>
    <x v="10"/>
    <x v="4"/>
    <x v="0"/>
    <n v="0.295760708492247"/>
    <x v="5"/>
    <n v="1.0076556973119"/>
    <m/>
    <n v="24.303999999999998"/>
    <n v="196"/>
    <x v="1"/>
    <x v="0"/>
    <x v="0"/>
    <x v="1"/>
    <x v="0"/>
    <x v="0"/>
  </r>
  <r>
    <x v="0"/>
    <x v="1265"/>
    <x v="10"/>
    <x v="4"/>
    <x v="0"/>
    <n v="0.3"/>
    <x v="5"/>
    <n v="0.99666666666666703"/>
    <n v="7.6736656134377998"/>
    <n v="24.264254084242001"/>
    <n v="156.80000000000001"/>
    <x v="4"/>
    <x v="1"/>
    <x v="1"/>
    <x v="3"/>
    <x v="0"/>
    <x v="0"/>
  </r>
  <r>
    <x v="0"/>
    <x v="1266"/>
    <x v="10"/>
    <x v="4"/>
    <x v="0"/>
    <n v="0.28999999999999998"/>
    <x v="5"/>
    <n v="1.0231034482758601"/>
    <n v="8.9194232257455006"/>
    <n v="24.5290651385784"/>
    <n v="245"/>
    <x v="4"/>
    <x v="1"/>
    <x v="1"/>
    <x v="3"/>
    <x v="0"/>
    <x v="0"/>
  </r>
  <r>
    <x v="0"/>
    <x v="1267"/>
    <x v="10"/>
    <x v="4"/>
    <x v="0"/>
    <n v="0.28999999999999998"/>
    <x v="5"/>
    <n v="1.0231034482758601"/>
    <n v="10.245668865323101"/>
    <n v="25.045790356046499"/>
    <n v="382.2"/>
    <x v="4"/>
    <x v="1"/>
    <x v="1"/>
    <x v="3"/>
    <x v="0"/>
    <x v="0"/>
  </r>
  <r>
    <x v="0"/>
    <x v="1268"/>
    <x v="10"/>
    <x v="4"/>
    <x v="0"/>
    <n v="0.3"/>
    <x v="5"/>
    <n v="1.04"/>
    <n v="7.2875442595951601"/>
    <n v="23.670933788857202"/>
    <n v="147"/>
    <x v="5"/>
    <x v="3"/>
    <x v="1"/>
    <x v="3"/>
    <x v="0"/>
    <x v="0"/>
  </r>
  <r>
    <x v="0"/>
    <x v="1269"/>
    <x v="10"/>
    <x v="4"/>
    <x v="0"/>
    <n v="0.3"/>
    <x v="5"/>
    <n v="1.04"/>
    <n v="8.49232640499201"/>
    <n v="23.954943261864202"/>
    <n v="235.2"/>
    <x v="5"/>
    <x v="3"/>
    <x v="1"/>
    <x v="3"/>
    <x v="0"/>
    <x v="0"/>
  </r>
  <r>
    <x v="0"/>
    <x v="1270"/>
    <x v="10"/>
    <x v="4"/>
    <x v="0"/>
    <n v="0.3"/>
    <x v="5"/>
    <n v="1.04"/>
    <n v="7.4413996523345602"/>
    <n v="23.144286083777299"/>
    <n v="196"/>
    <x v="7"/>
    <x v="4"/>
    <x v="1"/>
    <x v="3"/>
    <x v="0"/>
    <x v="0"/>
  </r>
  <r>
    <x v="0"/>
    <x v="1271"/>
    <x v="10"/>
    <x v="4"/>
    <x v="0"/>
    <n v="0.3"/>
    <x v="5"/>
    <n v="1.04"/>
    <n v="9.3698295121034505"/>
    <n v="24.082152751649801"/>
    <n v="343"/>
    <x v="5"/>
    <x v="3"/>
    <x v="1"/>
    <x v="3"/>
    <x v="0"/>
    <x v="0"/>
  </r>
  <r>
    <x v="0"/>
    <x v="1272"/>
    <x v="10"/>
    <x v="4"/>
    <x v="0"/>
    <n v="0.3"/>
    <x v="5"/>
    <n v="1.04"/>
    <n v="8.6363644846640497"/>
    <n v="23.8451857814451"/>
    <n v="303.8"/>
    <x v="7"/>
    <x v="4"/>
    <x v="1"/>
    <x v="3"/>
    <x v="0"/>
    <x v="0"/>
  </r>
  <r>
    <x v="0"/>
    <x v="1273"/>
    <x v="10"/>
    <x v="4"/>
    <x v="0"/>
    <n v="0.295760708492247"/>
    <x v="5"/>
    <n v="1.0952779318607599"/>
    <m/>
    <n v="24.303999999999998"/>
    <n v="196"/>
    <x v="1"/>
    <x v="0"/>
    <x v="0"/>
    <x v="1"/>
    <x v="0"/>
    <x v="0"/>
  </r>
  <r>
    <x v="0"/>
    <x v="1274"/>
    <x v="10"/>
    <x v="4"/>
    <x v="0"/>
    <n v="0.3"/>
    <x v="5"/>
    <n v="1.0833333333333299"/>
    <n v="6.3763537516850501"/>
    <n v="22.839868752514601"/>
    <n v="127.4"/>
    <x v="7"/>
    <x v="4"/>
    <x v="1"/>
    <x v="3"/>
    <x v="0"/>
    <x v="0"/>
  </r>
  <r>
    <x v="0"/>
    <x v="1275"/>
    <x v="10"/>
    <x v="4"/>
    <x v="0"/>
    <n v="0.295760708492247"/>
    <x v="5"/>
    <n v="1.1390890491351899"/>
    <m/>
    <n v="24.303999999999998"/>
    <n v="196"/>
    <x v="1"/>
    <x v="0"/>
    <x v="0"/>
    <x v="1"/>
    <x v="0"/>
    <x v="0"/>
  </r>
  <r>
    <x v="0"/>
    <x v="1276"/>
    <x v="10"/>
    <x v="4"/>
    <x v="0"/>
    <n v="0.295760708492247"/>
    <x v="5"/>
    <n v="1.1829001664096199"/>
    <m/>
    <n v="24.303999999999998"/>
    <n v="196"/>
    <x v="1"/>
    <x v="0"/>
    <x v="0"/>
    <x v="1"/>
    <x v="0"/>
    <x v="0"/>
  </r>
  <r>
    <x v="0"/>
    <x v="1277"/>
    <x v="10"/>
    <x v="4"/>
    <x v="0"/>
    <n v="0.295760708492247"/>
    <x v="5"/>
    <n v="1.2705224009584799"/>
    <m/>
    <n v="24.303999999999998"/>
    <n v="196"/>
    <x v="1"/>
    <x v="0"/>
    <x v="0"/>
    <x v="1"/>
    <x v="0"/>
    <x v="0"/>
  </r>
  <r>
    <x v="0"/>
    <x v="1278"/>
    <x v="10"/>
    <x v="4"/>
    <x v="0"/>
    <n v="0.295760708492247"/>
    <x v="5"/>
    <n v="1.4457668700562001"/>
    <m/>
    <n v="24.303999999999998"/>
    <n v="196"/>
    <x v="1"/>
    <x v="0"/>
    <x v="0"/>
    <x v="1"/>
    <x v="0"/>
    <x v="0"/>
  </r>
  <r>
    <x v="0"/>
    <x v="1279"/>
    <x v="10"/>
    <x v="1"/>
    <x v="1"/>
    <m/>
    <x v="2"/>
    <n v="0.23"/>
    <n v="7.6736656134377998"/>
    <n v="24.264254084242001"/>
    <n v="156.80000000000001"/>
    <x v="4"/>
    <x v="1"/>
    <x v="1"/>
    <x v="3"/>
    <x v="0"/>
    <x v="0"/>
  </r>
  <r>
    <x v="0"/>
    <x v="1280"/>
    <x v="10"/>
    <x v="1"/>
    <x v="1"/>
    <m/>
    <x v="2"/>
    <n v="0.23"/>
    <n v="8.9194232257455006"/>
    <n v="24.5290651385784"/>
    <n v="245"/>
    <x v="4"/>
    <x v="1"/>
    <x v="1"/>
    <x v="3"/>
    <x v="0"/>
    <x v="0"/>
  </r>
  <r>
    <x v="0"/>
    <x v="1281"/>
    <x v="10"/>
    <x v="1"/>
    <x v="1"/>
    <m/>
    <x v="2"/>
    <n v="0.23"/>
    <n v="10.245668865323101"/>
    <n v="25.045790356046499"/>
    <n v="382.2"/>
    <x v="4"/>
    <x v="1"/>
    <x v="1"/>
    <x v="3"/>
    <x v="0"/>
    <x v="0"/>
  </r>
  <r>
    <x v="0"/>
    <x v="1282"/>
    <x v="10"/>
    <x v="1"/>
    <x v="1"/>
    <m/>
    <x v="2"/>
    <n v="0.24"/>
    <n v="7.2875442595951601"/>
    <n v="23.670933788857202"/>
    <n v="147"/>
    <x v="5"/>
    <x v="3"/>
    <x v="1"/>
    <x v="3"/>
    <x v="0"/>
    <x v="0"/>
  </r>
  <r>
    <x v="0"/>
    <x v="1283"/>
    <x v="10"/>
    <x v="1"/>
    <x v="1"/>
    <m/>
    <x v="2"/>
    <n v="0.24"/>
    <n v="8.49232640499201"/>
    <n v="23.954943261864202"/>
    <n v="235.2"/>
    <x v="5"/>
    <x v="3"/>
    <x v="1"/>
    <x v="3"/>
    <x v="0"/>
    <x v="0"/>
  </r>
  <r>
    <x v="0"/>
    <x v="1284"/>
    <x v="10"/>
    <x v="1"/>
    <x v="1"/>
    <m/>
    <x v="2"/>
    <n v="0.24"/>
    <n v="7.4413996523345602"/>
    <n v="23.144286083777299"/>
    <n v="196"/>
    <x v="7"/>
    <x v="4"/>
    <x v="1"/>
    <x v="3"/>
    <x v="0"/>
    <x v="0"/>
  </r>
  <r>
    <x v="0"/>
    <x v="1285"/>
    <x v="10"/>
    <x v="1"/>
    <x v="1"/>
    <m/>
    <x v="2"/>
    <n v="0.24"/>
    <n v="9.3698295121034505"/>
    <n v="24.082152751649801"/>
    <n v="343"/>
    <x v="5"/>
    <x v="3"/>
    <x v="1"/>
    <x v="3"/>
    <x v="0"/>
    <x v="0"/>
  </r>
  <r>
    <x v="0"/>
    <x v="1286"/>
    <x v="10"/>
    <x v="1"/>
    <x v="1"/>
    <m/>
    <x v="2"/>
    <n v="0.24"/>
    <n v="8.6363644846640497"/>
    <n v="23.8451857814451"/>
    <n v="303.8"/>
    <x v="7"/>
    <x v="4"/>
    <x v="1"/>
    <x v="3"/>
    <x v="0"/>
    <x v="0"/>
  </r>
  <r>
    <x v="0"/>
    <x v="1287"/>
    <x v="10"/>
    <x v="1"/>
    <x v="1"/>
    <m/>
    <x v="2"/>
    <n v="0.25"/>
    <n v="6.3763537516850501"/>
    <n v="22.839868752514601"/>
    <n v="127.4"/>
    <x v="7"/>
    <x v="4"/>
    <x v="1"/>
    <x v="3"/>
    <x v="0"/>
    <x v="0"/>
  </r>
  <r>
    <x v="0"/>
    <x v="1288"/>
    <x v="10"/>
    <x v="1"/>
    <x v="1"/>
    <m/>
    <x v="2"/>
    <n v="0.33"/>
    <m/>
    <n v="24.303999999999998"/>
    <n v="196"/>
    <x v="1"/>
    <x v="0"/>
    <x v="0"/>
    <x v="1"/>
    <x v="0"/>
    <x v="0"/>
  </r>
  <r>
    <x v="0"/>
    <x v="1289"/>
    <x v="10"/>
    <x v="1"/>
    <x v="1"/>
    <m/>
    <x v="2"/>
    <n v="0.4"/>
    <m/>
    <m/>
    <m/>
    <x v="1"/>
    <x v="0"/>
    <x v="0"/>
    <x v="1"/>
    <x v="0"/>
    <x v="0"/>
  </r>
  <r>
    <x v="0"/>
    <x v="1290"/>
    <x v="0"/>
    <x v="4"/>
    <x v="0"/>
    <n v="1.3"/>
    <x v="5"/>
    <n v="0.9"/>
    <m/>
    <n v="1.53"/>
    <n v="12.050668"/>
    <x v="1"/>
    <x v="0"/>
    <x v="0"/>
    <x v="1"/>
    <x v="0"/>
    <x v="0"/>
  </r>
  <r>
    <x v="0"/>
    <x v="1291"/>
    <x v="1"/>
    <x v="4"/>
    <x v="0"/>
    <n v="1.3"/>
    <x v="5"/>
    <n v="0.9"/>
    <m/>
    <n v="1.53"/>
    <n v="12.050668"/>
    <x v="1"/>
    <x v="0"/>
    <x v="0"/>
    <x v="1"/>
    <x v="0"/>
    <x v="0"/>
  </r>
  <r>
    <x v="0"/>
    <x v="1292"/>
    <x v="2"/>
    <x v="4"/>
    <x v="0"/>
    <n v="1.3"/>
    <x v="5"/>
    <n v="0.9"/>
    <m/>
    <n v="1.53"/>
    <n v="12.050668"/>
    <x v="1"/>
    <x v="0"/>
    <x v="0"/>
    <x v="1"/>
    <x v="0"/>
    <x v="0"/>
  </r>
  <r>
    <x v="0"/>
    <x v="1293"/>
    <x v="3"/>
    <x v="4"/>
    <x v="0"/>
    <n v="1.3"/>
    <x v="5"/>
    <n v="0.9"/>
    <m/>
    <n v="1.53"/>
    <n v="12.050668"/>
    <x v="1"/>
    <x v="0"/>
    <x v="0"/>
    <x v="1"/>
    <x v="0"/>
    <x v="0"/>
  </r>
  <r>
    <x v="0"/>
    <x v="1294"/>
    <x v="4"/>
    <x v="4"/>
    <x v="0"/>
    <n v="1.3"/>
    <x v="5"/>
    <n v="0.9"/>
    <m/>
    <n v="1.53"/>
    <n v="12.050668"/>
    <x v="1"/>
    <x v="0"/>
    <x v="0"/>
    <x v="1"/>
    <x v="0"/>
    <x v="0"/>
  </r>
  <r>
    <x v="0"/>
    <x v="1295"/>
    <x v="0"/>
    <x v="4"/>
    <x v="0"/>
    <n v="0.4"/>
    <x v="5"/>
    <n v="0.9"/>
    <m/>
    <n v="1.53"/>
    <n v="12.050668"/>
    <x v="1"/>
    <x v="0"/>
    <x v="0"/>
    <x v="1"/>
    <x v="0"/>
    <x v="0"/>
  </r>
  <r>
    <x v="0"/>
    <x v="1296"/>
    <x v="1"/>
    <x v="4"/>
    <x v="0"/>
    <n v="0.4"/>
    <x v="5"/>
    <n v="0.9"/>
    <m/>
    <n v="1.53"/>
    <n v="12.050668"/>
    <x v="1"/>
    <x v="0"/>
    <x v="0"/>
    <x v="1"/>
    <x v="0"/>
    <x v="0"/>
  </r>
  <r>
    <x v="0"/>
    <x v="1297"/>
    <x v="2"/>
    <x v="4"/>
    <x v="0"/>
    <n v="0.4"/>
    <x v="5"/>
    <n v="0.9"/>
    <m/>
    <n v="1.53"/>
    <n v="12.050668"/>
    <x v="1"/>
    <x v="0"/>
    <x v="0"/>
    <x v="1"/>
    <x v="0"/>
    <x v="0"/>
  </r>
  <r>
    <x v="0"/>
    <x v="1298"/>
    <x v="3"/>
    <x v="4"/>
    <x v="0"/>
    <n v="0.4"/>
    <x v="5"/>
    <n v="0.9"/>
    <m/>
    <n v="1.53"/>
    <n v="12.050668"/>
    <x v="1"/>
    <x v="0"/>
    <x v="0"/>
    <x v="1"/>
    <x v="0"/>
    <x v="0"/>
  </r>
  <r>
    <x v="0"/>
    <x v="1299"/>
    <x v="4"/>
    <x v="4"/>
    <x v="0"/>
    <n v="0.4"/>
    <x v="5"/>
    <n v="0.9"/>
    <m/>
    <n v="1.53"/>
    <n v="12.050668"/>
    <x v="1"/>
    <x v="0"/>
    <x v="0"/>
    <x v="1"/>
    <x v="0"/>
    <x v="0"/>
  </r>
  <r>
    <x v="0"/>
    <x v="1300"/>
    <x v="0"/>
    <x v="4"/>
    <x v="0"/>
    <n v="0.5"/>
    <x v="5"/>
    <n v="0.9"/>
    <m/>
    <n v="1.53"/>
    <n v="12.050668"/>
    <x v="1"/>
    <x v="0"/>
    <x v="0"/>
    <x v="1"/>
    <x v="0"/>
    <x v="0"/>
  </r>
  <r>
    <x v="0"/>
    <x v="1301"/>
    <x v="1"/>
    <x v="4"/>
    <x v="0"/>
    <n v="0.5"/>
    <x v="5"/>
    <n v="0.9"/>
    <m/>
    <n v="1.53"/>
    <n v="12.050668"/>
    <x v="1"/>
    <x v="0"/>
    <x v="0"/>
    <x v="1"/>
    <x v="0"/>
    <x v="0"/>
  </r>
  <r>
    <x v="0"/>
    <x v="1302"/>
    <x v="2"/>
    <x v="4"/>
    <x v="0"/>
    <n v="0.5"/>
    <x v="5"/>
    <n v="0.9"/>
    <m/>
    <n v="1.53"/>
    <n v="12.050668"/>
    <x v="1"/>
    <x v="0"/>
    <x v="0"/>
    <x v="1"/>
    <x v="0"/>
    <x v="0"/>
  </r>
  <r>
    <x v="0"/>
    <x v="1303"/>
    <x v="3"/>
    <x v="4"/>
    <x v="0"/>
    <n v="0.5"/>
    <x v="5"/>
    <n v="0.9"/>
    <m/>
    <n v="1.53"/>
    <n v="12.050668"/>
    <x v="1"/>
    <x v="0"/>
    <x v="0"/>
    <x v="1"/>
    <x v="0"/>
    <x v="0"/>
  </r>
  <r>
    <x v="0"/>
    <x v="1304"/>
    <x v="4"/>
    <x v="4"/>
    <x v="0"/>
    <n v="0.5"/>
    <x v="5"/>
    <n v="0.9"/>
    <m/>
    <n v="1.53"/>
    <n v="12.050668"/>
    <x v="1"/>
    <x v="0"/>
    <x v="0"/>
    <x v="1"/>
    <x v="0"/>
    <x v="0"/>
  </r>
  <r>
    <x v="0"/>
    <x v="1305"/>
    <x v="0"/>
    <x v="4"/>
    <x v="0"/>
    <n v="0.9"/>
    <x v="5"/>
    <n v="0.9"/>
    <m/>
    <n v="1.53"/>
    <n v="12.050668"/>
    <x v="1"/>
    <x v="0"/>
    <x v="0"/>
    <x v="1"/>
    <x v="0"/>
    <x v="0"/>
  </r>
  <r>
    <x v="0"/>
    <x v="1306"/>
    <x v="1"/>
    <x v="4"/>
    <x v="0"/>
    <n v="0.9"/>
    <x v="5"/>
    <n v="0.9"/>
    <m/>
    <n v="1.53"/>
    <n v="12.050668"/>
    <x v="1"/>
    <x v="0"/>
    <x v="0"/>
    <x v="1"/>
    <x v="0"/>
    <x v="0"/>
  </r>
  <r>
    <x v="0"/>
    <x v="1307"/>
    <x v="2"/>
    <x v="4"/>
    <x v="0"/>
    <n v="0.9"/>
    <x v="5"/>
    <n v="0.9"/>
    <m/>
    <n v="1.53"/>
    <n v="12.050668"/>
    <x v="1"/>
    <x v="0"/>
    <x v="0"/>
    <x v="1"/>
    <x v="0"/>
    <x v="0"/>
  </r>
  <r>
    <x v="0"/>
    <x v="1308"/>
    <x v="3"/>
    <x v="4"/>
    <x v="0"/>
    <n v="0.9"/>
    <x v="5"/>
    <n v="0.9"/>
    <m/>
    <n v="1.53"/>
    <n v="12.050668"/>
    <x v="1"/>
    <x v="0"/>
    <x v="0"/>
    <x v="1"/>
    <x v="0"/>
    <x v="0"/>
  </r>
  <r>
    <x v="0"/>
    <x v="1309"/>
    <x v="4"/>
    <x v="4"/>
    <x v="0"/>
    <n v="0.9"/>
    <x v="5"/>
    <n v="0.9"/>
    <m/>
    <n v="1.53"/>
    <n v="12.050668"/>
    <x v="1"/>
    <x v="0"/>
    <x v="0"/>
    <x v="1"/>
    <x v="0"/>
    <x v="0"/>
  </r>
  <r>
    <x v="0"/>
    <x v="1310"/>
    <x v="0"/>
    <x v="0"/>
    <x v="0"/>
    <n v="0.2"/>
    <x v="2"/>
    <n v="0.15"/>
    <m/>
    <m/>
    <m/>
    <x v="1"/>
    <x v="0"/>
    <x v="0"/>
    <x v="1"/>
    <x v="0"/>
    <x v="0"/>
  </r>
  <r>
    <x v="0"/>
    <x v="1311"/>
    <x v="1"/>
    <x v="0"/>
    <x v="0"/>
    <n v="0.2"/>
    <x v="2"/>
    <n v="0.15"/>
    <m/>
    <m/>
    <m/>
    <x v="1"/>
    <x v="0"/>
    <x v="0"/>
    <x v="1"/>
    <x v="0"/>
    <x v="0"/>
  </r>
  <r>
    <x v="0"/>
    <x v="1312"/>
    <x v="2"/>
    <x v="0"/>
    <x v="0"/>
    <n v="0.2"/>
    <x v="2"/>
    <n v="0.15"/>
    <m/>
    <m/>
    <m/>
    <x v="1"/>
    <x v="0"/>
    <x v="0"/>
    <x v="1"/>
    <x v="0"/>
    <x v="0"/>
  </r>
  <r>
    <x v="0"/>
    <x v="1313"/>
    <x v="3"/>
    <x v="0"/>
    <x v="0"/>
    <n v="0.2"/>
    <x v="2"/>
    <n v="0.15"/>
    <m/>
    <m/>
    <m/>
    <x v="1"/>
    <x v="0"/>
    <x v="0"/>
    <x v="1"/>
    <x v="0"/>
    <x v="0"/>
  </r>
  <r>
    <x v="0"/>
    <x v="1314"/>
    <x v="4"/>
    <x v="0"/>
    <x v="0"/>
    <n v="0.2"/>
    <x v="2"/>
    <n v="0.15"/>
    <m/>
    <m/>
    <m/>
    <x v="1"/>
    <x v="0"/>
    <x v="0"/>
    <x v="1"/>
    <x v="0"/>
    <x v="0"/>
  </r>
  <r>
    <x v="0"/>
    <x v="1315"/>
    <x v="0"/>
    <x v="4"/>
    <x v="0"/>
    <n v="0.51"/>
    <x v="5"/>
    <n v="0.84"/>
    <m/>
    <n v="1.9"/>
    <n v="12.050668"/>
    <x v="12"/>
    <x v="0"/>
    <x v="0"/>
    <x v="3"/>
    <x v="0"/>
    <x v="0"/>
  </r>
  <r>
    <x v="0"/>
    <x v="1316"/>
    <x v="1"/>
    <x v="4"/>
    <x v="0"/>
    <n v="0.51"/>
    <x v="5"/>
    <n v="0.84"/>
    <m/>
    <n v="1.9"/>
    <n v="12.050668"/>
    <x v="12"/>
    <x v="0"/>
    <x v="0"/>
    <x v="3"/>
    <x v="0"/>
    <x v="0"/>
  </r>
  <r>
    <x v="0"/>
    <x v="1317"/>
    <x v="2"/>
    <x v="4"/>
    <x v="0"/>
    <n v="0.51"/>
    <x v="5"/>
    <n v="0.84"/>
    <m/>
    <n v="1.9"/>
    <n v="12.050668"/>
    <x v="12"/>
    <x v="0"/>
    <x v="0"/>
    <x v="3"/>
    <x v="0"/>
    <x v="0"/>
  </r>
  <r>
    <x v="0"/>
    <x v="1318"/>
    <x v="3"/>
    <x v="4"/>
    <x v="0"/>
    <n v="0.51"/>
    <x v="5"/>
    <n v="0.84"/>
    <m/>
    <n v="1.9"/>
    <n v="12.050668"/>
    <x v="12"/>
    <x v="0"/>
    <x v="0"/>
    <x v="3"/>
    <x v="0"/>
    <x v="0"/>
  </r>
  <r>
    <x v="0"/>
    <x v="1319"/>
    <x v="4"/>
    <x v="4"/>
    <x v="0"/>
    <n v="0.51"/>
    <x v="5"/>
    <n v="0.84"/>
    <m/>
    <n v="1.9"/>
    <n v="12.050668"/>
    <x v="12"/>
    <x v="0"/>
    <x v="0"/>
    <x v="3"/>
    <x v="0"/>
    <x v="0"/>
  </r>
  <r>
    <x v="0"/>
    <x v="1320"/>
    <x v="0"/>
    <x v="4"/>
    <x v="0"/>
    <n v="0.7"/>
    <x v="5"/>
    <n v="0.752857142857143"/>
    <m/>
    <n v="0.80359999999999998"/>
    <n v="37.24"/>
    <x v="1"/>
    <x v="0"/>
    <x v="0"/>
    <x v="1"/>
    <x v="0"/>
    <x v="0"/>
  </r>
  <r>
    <x v="0"/>
    <x v="1321"/>
    <x v="1"/>
    <x v="4"/>
    <x v="0"/>
    <n v="0.7"/>
    <x v="5"/>
    <n v="0.752857142857143"/>
    <m/>
    <n v="0.80359999999999998"/>
    <n v="37.24"/>
    <x v="1"/>
    <x v="0"/>
    <x v="0"/>
    <x v="1"/>
    <x v="0"/>
    <x v="0"/>
  </r>
  <r>
    <x v="0"/>
    <x v="1322"/>
    <x v="2"/>
    <x v="4"/>
    <x v="0"/>
    <n v="0.7"/>
    <x v="5"/>
    <n v="0.752857142857143"/>
    <m/>
    <n v="0.80359999999999998"/>
    <n v="37.24"/>
    <x v="1"/>
    <x v="0"/>
    <x v="0"/>
    <x v="1"/>
    <x v="0"/>
    <x v="0"/>
  </r>
  <r>
    <x v="0"/>
    <x v="1323"/>
    <x v="3"/>
    <x v="4"/>
    <x v="0"/>
    <n v="0.7"/>
    <x v="5"/>
    <n v="0.752857142857143"/>
    <m/>
    <n v="0.80359999999999998"/>
    <n v="37.24"/>
    <x v="1"/>
    <x v="0"/>
    <x v="0"/>
    <x v="1"/>
    <x v="0"/>
    <x v="0"/>
  </r>
  <r>
    <x v="0"/>
    <x v="1324"/>
    <x v="4"/>
    <x v="4"/>
    <x v="0"/>
    <n v="0.7"/>
    <x v="5"/>
    <n v="0.752857142857143"/>
    <m/>
    <n v="0.80359999999999998"/>
    <n v="37.24"/>
    <x v="1"/>
    <x v="0"/>
    <x v="0"/>
    <x v="1"/>
    <x v="0"/>
    <x v="0"/>
  </r>
  <r>
    <x v="0"/>
    <x v="1325"/>
    <x v="0"/>
    <x v="4"/>
    <x v="0"/>
    <n v="0.7"/>
    <x v="5"/>
    <n v="0.80142857142857105"/>
    <m/>
    <n v="0.80359999999999998"/>
    <n v="37.24"/>
    <x v="1"/>
    <x v="0"/>
    <x v="0"/>
    <x v="1"/>
    <x v="0"/>
    <x v="0"/>
  </r>
  <r>
    <x v="0"/>
    <x v="1326"/>
    <x v="1"/>
    <x v="4"/>
    <x v="0"/>
    <n v="0.7"/>
    <x v="5"/>
    <n v="0.80142857142857105"/>
    <m/>
    <n v="0.80359999999999998"/>
    <n v="37.24"/>
    <x v="1"/>
    <x v="0"/>
    <x v="0"/>
    <x v="1"/>
    <x v="0"/>
    <x v="0"/>
  </r>
  <r>
    <x v="0"/>
    <x v="1327"/>
    <x v="2"/>
    <x v="4"/>
    <x v="0"/>
    <n v="0.7"/>
    <x v="5"/>
    <n v="0.80142857142857105"/>
    <m/>
    <n v="0.80359999999999998"/>
    <n v="37.24"/>
    <x v="1"/>
    <x v="0"/>
    <x v="0"/>
    <x v="1"/>
    <x v="0"/>
    <x v="0"/>
  </r>
  <r>
    <x v="0"/>
    <x v="1328"/>
    <x v="3"/>
    <x v="4"/>
    <x v="0"/>
    <n v="0.7"/>
    <x v="5"/>
    <n v="0.80142857142857105"/>
    <m/>
    <n v="0.80359999999999998"/>
    <n v="37.24"/>
    <x v="1"/>
    <x v="0"/>
    <x v="0"/>
    <x v="1"/>
    <x v="0"/>
    <x v="0"/>
  </r>
  <r>
    <x v="0"/>
    <x v="1329"/>
    <x v="4"/>
    <x v="4"/>
    <x v="0"/>
    <n v="0.7"/>
    <x v="5"/>
    <n v="0.80142857142857105"/>
    <m/>
    <n v="0.80359999999999998"/>
    <n v="37.24"/>
    <x v="1"/>
    <x v="0"/>
    <x v="0"/>
    <x v="1"/>
    <x v="0"/>
    <x v="0"/>
  </r>
  <r>
    <x v="0"/>
    <x v="1330"/>
    <x v="0"/>
    <x v="4"/>
    <x v="0"/>
    <n v="0.7"/>
    <x v="5"/>
    <n v="0.89857142857142902"/>
    <m/>
    <n v="0.80359999999999998"/>
    <n v="37.24"/>
    <x v="1"/>
    <x v="0"/>
    <x v="0"/>
    <x v="1"/>
    <x v="0"/>
    <x v="0"/>
  </r>
  <r>
    <x v="0"/>
    <x v="1331"/>
    <x v="1"/>
    <x v="4"/>
    <x v="0"/>
    <n v="0.7"/>
    <x v="5"/>
    <n v="0.89857142857142902"/>
    <m/>
    <n v="0.80359999999999998"/>
    <n v="37.24"/>
    <x v="1"/>
    <x v="0"/>
    <x v="0"/>
    <x v="1"/>
    <x v="0"/>
    <x v="0"/>
  </r>
  <r>
    <x v="0"/>
    <x v="1332"/>
    <x v="2"/>
    <x v="4"/>
    <x v="0"/>
    <n v="0.7"/>
    <x v="5"/>
    <n v="0.89857142857142902"/>
    <m/>
    <n v="0.80359999999999998"/>
    <n v="37.24"/>
    <x v="1"/>
    <x v="0"/>
    <x v="0"/>
    <x v="1"/>
    <x v="0"/>
    <x v="0"/>
  </r>
  <r>
    <x v="0"/>
    <x v="1333"/>
    <x v="3"/>
    <x v="4"/>
    <x v="0"/>
    <n v="0.7"/>
    <x v="5"/>
    <n v="0.89857142857142902"/>
    <m/>
    <n v="0.80359999999999998"/>
    <n v="37.24"/>
    <x v="1"/>
    <x v="0"/>
    <x v="0"/>
    <x v="1"/>
    <x v="0"/>
    <x v="0"/>
  </r>
  <r>
    <x v="0"/>
    <x v="1334"/>
    <x v="4"/>
    <x v="4"/>
    <x v="0"/>
    <n v="0.7"/>
    <x v="5"/>
    <n v="0.89857142857142902"/>
    <m/>
    <n v="0.80359999999999998"/>
    <n v="37.24"/>
    <x v="1"/>
    <x v="0"/>
    <x v="0"/>
    <x v="1"/>
    <x v="0"/>
    <x v="0"/>
  </r>
  <r>
    <x v="0"/>
    <x v="1335"/>
    <x v="0"/>
    <x v="4"/>
    <x v="0"/>
    <n v="0.7"/>
    <x v="5"/>
    <n v="0.92285714285714304"/>
    <m/>
    <n v="0.80359999999999998"/>
    <n v="37.24"/>
    <x v="1"/>
    <x v="0"/>
    <x v="0"/>
    <x v="1"/>
    <x v="0"/>
    <x v="0"/>
  </r>
  <r>
    <x v="0"/>
    <x v="1336"/>
    <x v="1"/>
    <x v="4"/>
    <x v="0"/>
    <n v="0.7"/>
    <x v="5"/>
    <n v="0.92285714285714304"/>
    <m/>
    <n v="0.80359999999999998"/>
    <n v="37.24"/>
    <x v="1"/>
    <x v="0"/>
    <x v="0"/>
    <x v="1"/>
    <x v="0"/>
    <x v="0"/>
  </r>
  <r>
    <x v="0"/>
    <x v="1337"/>
    <x v="2"/>
    <x v="4"/>
    <x v="0"/>
    <n v="0.7"/>
    <x v="5"/>
    <n v="0.92285714285714304"/>
    <m/>
    <n v="0.80359999999999998"/>
    <n v="37.24"/>
    <x v="1"/>
    <x v="0"/>
    <x v="0"/>
    <x v="1"/>
    <x v="0"/>
    <x v="0"/>
  </r>
  <r>
    <x v="0"/>
    <x v="1338"/>
    <x v="3"/>
    <x v="4"/>
    <x v="0"/>
    <n v="0.7"/>
    <x v="5"/>
    <n v="0.92285714285714304"/>
    <m/>
    <n v="0.80359999999999998"/>
    <n v="37.24"/>
    <x v="1"/>
    <x v="0"/>
    <x v="0"/>
    <x v="1"/>
    <x v="0"/>
    <x v="0"/>
  </r>
  <r>
    <x v="0"/>
    <x v="1339"/>
    <x v="4"/>
    <x v="4"/>
    <x v="0"/>
    <n v="0.7"/>
    <x v="5"/>
    <n v="0.92285714285714304"/>
    <m/>
    <n v="0.80359999999999998"/>
    <n v="37.24"/>
    <x v="1"/>
    <x v="0"/>
    <x v="0"/>
    <x v="1"/>
    <x v="0"/>
    <x v="0"/>
  </r>
  <r>
    <x v="0"/>
    <x v="1340"/>
    <x v="0"/>
    <x v="4"/>
    <x v="0"/>
    <n v="0.7"/>
    <x v="5"/>
    <n v="0.94714285714285695"/>
    <m/>
    <n v="0.80359999999999998"/>
    <n v="37.24"/>
    <x v="1"/>
    <x v="0"/>
    <x v="0"/>
    <x v="1"/>
    <x v="0"/>
    <x v="0"/>
  </r>
  <r>
    <x v="0"/>
    <x v="1341"/>
    <x v="1"/>
    <x v="4"/>
    <x v="0"/>
    <n v="0.7"/>
    <x v="5"/>
    <n v="0.94714285714285695"/>
    <m/>
    <n v="0.80359999999999998"/>
    <n v="37.24"/>
    <x v="1"/>
    <x v="0"/>
    <x v="0"/>
    <x v="1"/>
    <x v="0"/>
    <x v="0"/>
  </r>
  <r>
    <x v="0"/>
    <x v="1342"/>
    <x v="2"/>
    <x v="4"/>
    <x v="0"/>
    <n v="0.7"/>
    <x v="5"/>
    <n v="0.94714285714285695"/>
    <m/>
    <n v="0.80359999999999998"/>
    <n v="37.24"/>
    <x v="1"/>
    <x v="0"/>
    <x v="0"/>
    <x v="1"/>
    <x v="0"/>
    <x v="0"/>
  </r>
  <r>
    <x v="0"/>
    <x v="1343"/>
    <x v="3"/>
    <x v="4"/>
    <x v="0"/>
    <n v="0.7"/>
    <x v="5"/>
    <n v="0.94714285714285695"/>
    <m/>
    <n v="0.80359999999999998"/>
    <n v="37.24"/>
    <x v="1"/>
    <x v="0"/>
    <x v="0"/>
    <x v="1"/>
    <x v="0"/>
    <x v="0"/>
  </r>
  <r>
    <x v="0"/>
    <x v="1344"/>
    <x v="4"/>
    <x v="4"/>
    <x v="0"/>
    <n v="0.7"/>
    <x v="5"/>
    <n v="0.94714285714285695"/>
    <m/>
    <n v="0.80359999999999998"/>
    <n v="37.24"/>
    <x v="1"/>
    <x v="0"/>
    <x v="0"/>
    <x v="1"/>
    <x v="0"/>
    <x v="0"/>
  </r>
  <r>
    <x v="0"/>
    <x v="1345"/>
    <x v="0"/>
    <x v="4"/>
    <x v="0"/>
    <n v="1"/>
    <x v="5"/>
    <n v="0.85"/>
    <m/>
    <n v="1.53"/>
    <n v="12.050668"/>
    <x v="13"/>
    <x v="0"/>
    <x v="0"/>
    <x v="2"/>
    <x v="0"/>
    <x v="0"/>
  </r>
  <r>
    <x v="0"/>
    <x v="1346"/>
    <x v="1"/>
    <x v="4"/>
    <x v="0"/>
    <n v="1"/>
    <x v="5"/>
    <n v="0.85"/>
    <m/>
    <n v="1.53"/>
    <n v="12.050668"/>
    <x v="13"/>
    <x v="0"/>
    <x v="0"/>
    <x v="2"/>
    <x v="0"/>
    <x v="0"/>
  </r>
  <r>
    <x v="0"/>
    <x v="1347"/>
    <x v="2"/>
    <x v="4"/>
    <x v="0"/>
    <n v="1"/>
    <x v="5"/>
    <n v="0.85"/>
    <m/>
    <n v="1.53"/>
    <n v="12.050668"/>
    <x v="13"/>
    <x v="0"/>
    <x v="0"/>
    <x v="2"/>
    <x v="0"/>
    <x v="0"/>
  </r>
  <r>
    <x v="0"/>
    <x v="1348"/>
    <x v="3"/>
    <x v="4"/>
    <x v="0"/>
    <n v="1"/>
    <x v="5"/>
    <n v="0.85"/>
    <m/>
    <n v="1.53"/>
    <n v="12.050668"/>
    <x v="13"/>
    <x v="0"/>
    <x v="0"/>
    <x v="2"/>
    <x v="0"/>
    <x v="0"/>
  </r>
  <r>
    <x v="0"/>
    <x v="1349"/>
    <x v="4"/>
    <x v="4"/>
    <x v="0"/>
    <n v="1"/>
    <x v="5"/>
    <n v="0.85"/>
    <m/>
    <n v="1.53"/>
    <n v="12.050668"/>
    <x v="13"/>
    <x v="0"/>
    <x v="0"/>
    <x v="2"/>
    <x v="0"/>
    <x v="0"/>
  </r>
  <r>
    <x v="0"/>
    <x v="1350"/>
    <x v="0"/>
    <x v="1"/>
    <x v="1"/>
    <m/>
    <x v="2"/>
    <n v="0.36"/>
    <m/>
    <n v="0.80359999999999998"/>
    <n v="37.24"/>
    <x v="1"/>
    <x v="0"/>
    <x v="0"/>
    <x v="1"/>
    <x v="0"/>
    <x v="0"/>
  </r>
  <r>
    <x v="0"/>
    <x v="1351"/>
    <x v="1"/>
    <x v="1"/>
    <x v="1"/>
    <m/>
    <x v="2"/>
    <n v="0.36"/>
    <m/>
    <n v="0.80359999999999998"/>
    <n v="37.24"/>
    <x v="1"/>
    <x v="0"/>
    <x v="0"/>
    <x v="1"/>
    <x v="0"/>
    <x v="0"/>
  </r>
  <r>
    <x v="0"/>
    <x v="1352"/>
    <x v="2"/>
    <x v="1"/>
    <x v="1"/>
    <m/>
    <x v="2"/>
    <n v="0.36"/>
    <m/>
    <n v="0.80359999999999998"/>
    <n v="37.24"/>
    <x v="1"/>
    <x v="0"/>
    <x v="0"/>
    <x v="1"/>
    <x v="0"/>
    <x v="0"/>
  </r>
  <r>
    <x v="0"/>
    <x v="1353"/>
    <x v="3"/>
    <x v="1"/>
    <x v="1"/>
    <m/>
    <x v="2"/>
    <n v="0.36"/>
    <m/>
    <n v="0.80359999999999998"/>
    <n v="37.24"/>
    <x v="1"/>
    <x v="0"/>
    <x v="0"/>
    <x v="1"/>
    <x v="0"/>
    <x v="0"/>
  </r>
  <r>
    <x v="0"/>
    <x v="1354"/>
    <x v="4"/>
    <x v="1"/>
    <x v="1"/>
    <m/>
    <x v="2"/>
    <n v="0.36"/>
    <m/>
    <n v="0.80359999999999998"/>
    <n v="37.24"/>
    <x v="1"/>
    <x v="0"/>
    <x v="0"/>
    <x v="1"/>
    <x v="0"/>
    <x v="0"/>
  </r>
  <r>
    <x v="0"/>
    <x v="1355"/>
    <x v="0"/>
    <x v="1"/>
    <x v="1"/>
    <m/>
    <x v="2"/>
    <n v="0.38"/>
    <m/>
    <n v="0.80359999999999998"/>
    <n v="37.24"/>
    <x v="1"/>
    <x v="0"/>
    <x v="0"/>
    <x v="1"/>
    <x v="0"/>
    <x v="0"/>
  </r>
  <r>
    <x v="0"/>
    <x v="1356"/>
    <x v="1"/>
    <x v="1"/>
    <x v="1"/>
    <m/>
    <x v="2"/>
    <n v="0.38"/>
    <m/>
    <n v="0.80359999999999998"/>
    <n v="37.24"/>
    <x v="1"/>
    <x v="0"/>
    <x v="0"/>
    <x v="1"/>
    <x v="0"/>
    <x v="0"/>
  </r>
  <r>
    <x v="0"/>
    <x v="1357"/>
    <x v="2"/>
    <x v="1"/>
    <x v="1"/>
    <m/>
    <x v="2"/>
    <n v="0.38"/>
    <m/>
    <n v="0.80359999999999998"/>
    <n v="37.24"/>
    <x v="1"/>
    <x v="0"/>
    <x v="0"/>
    <x v="1"/>
    <x v="0"/>
    <x v="0"/>
  </r>
  <r>
    <x v="0"/>
    <x v="1358"/>
    <x v="3"/>
    <x v="1"/>
    <x v="1"/>
    <m/>
    <x v="2"/>
    <n v="0.38"/>
    <m/>
    <n v="0.80359999999999998"/>
    <n v="37.24"/>
    <x v="1"/>
    <x v="0"/>
    <x v="0"/>
    <x v="1"/>
    <x v="0"/>
    <x v="0"/>
  </r>
  <r>
    <x v="0"/>
    <x v="1359"/>
    <x v="4"/>
    <x v="1"/>
    <x v="1"/>
    <m/>
    <x v="2"/>
    <n v="0.38"/>
    <m/>
    <n v="0.80359999999999998"/>
    <n v="37.24"/>
    <x v="1"/>
    <x v="0"/>
    <x v="0"/>
    <x v="1"/>
    <x v="0"/>
    <x v="0"/>
  </r>
  <r>
    <x v="0"/>
    <x v="1360"/>
    <x v="0"/>
    <x v="1"/>
    <x v="1"/>
    <m/>
    <x v="2"/>
    <n v="0.39"/>
    <m/>
    <n v="0.80359999999999998"/>
    <n v="37.24"/>
    <x v="1"/>
    <x v="0"/>
    <x v="0"/>
    <x v="1"/>
    <x v="0"/>
    <x v="0"/>
  </r>
  <r>
    <x v="0"/>
    <x v="1361"/>
    <x v="1"/>
    <x v="1"/>
    <x v="1"/>
    <m/>
    <x v="2"/>
    <n v="0.39"/>
    <m/>
    <n v="0.80359999999999998"/>
    <n v="37.24"/>
    <x v="1"/>
    <x v="0"/>
    <x v="0"/>
    <x v="1"/>
    <x v="0"/>
    <x v="0"/>
  </r>
  <r>
    <x v="0"/>
    <x v="1362"/>
    <x v="2"/>
    <x v="1"/>
    <x v="1"/>
    <m/>
    <x v="2"/>
    <n v="0.39"/>
    <m/>
    <n v="0.80359999999999998"/>
    <n v="37.24"/>
    <x v="1"/>
    <x v="0"/>
    <x v="0"/>
    <x v="1"/>
    <x v="0"/>
    <x v="0"/>
  </r>
  <r>
    <x v="0"/>
    <x v="1363"/>
    <x v="3"/>
    <x v="1"/>
    <x v="1"/>
    <m/>
    <x v="2"/>
    <n v="0.39"/>
    <m/>
    <n v="0.80359999999999998"/>
    <n v="37.24"/>
    <x v="1"/>
    <x v="0"/>
    <x v="0"/>
    <x v="1"/>
    <x v="0"/>
    <x v="0"/>
  </r>
  <r>
    <x v="0"/>
    <x v="1364"/>
    <x v="4"/>
    <x v="1"/>
    <x v="1"/>
    <m/>
    <x v="2"/>
    <n v="0.39"/>
    <m/>
    <n v="0.80359999999999998"/>
    <n v="37.24"/>
    <x v="1"/>
    <x v="0"/>
    <x v="0"/>
    <x v="1"/>
    <x v="0"/>
    <x v="0"/>
  </r>
  <r>
    <x v="0"/>
    <x v="1365"/>
    <x v="0"/>
    <x v="1"/>
    <x v="1"/>
    <m/>
    <x v="2"/>
    <n v="0.4"/>
    <m/>
    <n v="0.80359999999999998"/>
    <n v="37.24"/>
    <x v="1"/>
    <x v="0"/>
    <x v="0"/>
    <x v="1"/>
    <x v="0"/>
    <x v="0"/>
  </r>
  <r>
    <x v="0"/>
    <x v="1366"/>
    <x v="1"/>
    <x v="1"/>
    <x v="1"/>
    <m/>
    <x v="2"/>
    <n v="0.4"/>
    <m/>
    <n v="0.80359999999999998"/>
    <n v="37.24"/>
    <x v="1"/>
    <x v="0"/>
    <x v="0"/>
    <x v="1"/>
    <x v="0"/>
    <x v="0"/>
  </r>
  <r>
    <x v="0"/>
    <x v="1367"/>
    <x v="2"/>
    <x v="1"/>
    <x v="1"/>
    <m/>
    <x v="2"/>
    <n v="0.4"/>
    <m/>
    <n v="0.80359999999999998"/>
    <n v="37.24"/>
    <x v="1"/>
    <x v="0"/>
    <x v="0"/>
    <x v="1"/>
    <x v="0"/>
    <x v="0"/>
  </r>
  <r>
    <x v="0"/>
    <x v="1368"/>
    <x v="3"/>
    <x v="1"/>
    <x v="1"/>
    <m/>
    <x v="2"/>
    <n v="0.4"/>
    <m/>
    <n v="0.80359999999999998"/>
    <n v="37.24"/>
    <x v="1"/>
    <x v="0"/>
    <x v="0"/>
    <x v="1"/>
    <x v="0"/>
    <x v="0"/>
  </r>
  <r>
    <x v="0"/>
    <x v="1369"/>
    <x v="4"/>
    <x v="1"/>
    <x v="1"/>
    <m/>
    <x v="2"/>
    <n v="0.4"/>
    <m/>
    <n v="0.80359999999999998"/>
    <n v="37.24"/>
    <x v="1"/>
    <x v="0"/>
    <x v="0"/>
    <x v="1"/>
    <x v="0"/>
    <x v="0"/>
  </r>
  <r>
    <x v="0"/>
    <x v="1370"/>
    <x v="0"/>
    <x v="1"/>
    <x v="1"/>
    <m/>
    <x v="2"/>
    <n v="0.47"/>
    <n v="1.274"/>
    <n v="0.80359999999999998"/>
    <n v="37.24"/>
    <x v="4"/>
    <x v="1"/>
    <x v="1"/>
    <x v="2"/>
    <x v="0"/>
    <x v="0"/>
  </r>
  <r>
    <x v="0"/>
    <x v="1371"/>
    <x v="1"/>
    <x v="1"/>
    <x v="1"/>
    <m/>
    <x v="2"/>
    <n v="0.47"/>
    <n v="1.274"/>
    <n v="0.80359999999999998"/>
    <n v="37.24"/>
    <x v="4"/>
    <x v="1"/>
    <x v="1"/>
    <x v="2"/>
    <x v="0"/>
    <x v="0"/>
  </r>
  <r>
    <x v="0"/>
    <x v="1372"/>
    <x v="2"/>
    <x v="1"/>
    <x v="1"/>
    <m/>
    <x v="2"/>
    <n v="0.47"/>
    <n v="1.274"/>
    <n v="0.80359999999999998"/>
    <n v="37.24"/>
    <x v="4"/>
    <x v="1"/>
    <x v="1"/>
    <x v="2"/>
    <x v="0"/>
    <x v="0"/>
  </r>
  <r>
    <x v="0"/>
    <x v="1373"/>
    <x v="3"/>
    <x v="1"/>
    <x v="1"/>
    <m/>
    <x v="2"/>
    <n v="0.47"/>
    <n v="1.274"/>
    <n v="0.80359999999999998"/>
    <n v="37.24"/>
    <x v="4"/>
    <x v="1"/>
    <x v="1"/>
    <x v="2"/>
    <x v="0"/>
    <x v="0"/>
  </r>
  <r>
    <x v="0"/>
    <x v="1374"/>
    <x v="4"/>
    <x v="1"/>
    <x v="1"/>
    <m/>
    <x v="2"/>
    <n v="0.47"/>
    <n v="1.274"/>
    <n v="0.80359999999999998"/>
    <n v="37.24"/>
    <x v="4"/>
    <x v="1"/>
    <x v="1"/>
    <x v="2"/>
    <x v="0"/>
    <x v="0"/>
  </r>
  <r>
    <x v="0"/>
    <x v="1375"/>
    <x v="0"/>
    <x v="1"/>
    <x v="1"/>
    <m/>
    <x v="2"/>
    <n v="0.47"/>
    <n v="1.274"/>
    <n v="0.80359999999999998"/>
    <n v="37.24"/>
    <x v="5"/>
    <x v="3"/>
    <x v="1"/>
    <x v="2"/>
    <x v="0"/>
    <x v="0"/>
  </r>
  <r>
    <x v="0"/>
    <x v="1376"/>
    <x v="1"/>
    <x v="1"/>
    <x v="1"/>
    <m/>
    <x v="2"/>
    <n v="0.47"/>
    <n v="1.274"/>
    <n v="0.80359999999999998"/>
    <n v="37.24"/>
    <x v="5"/>
    <x v="3"/>
    <x v="1"/>
    <x v="2"/>
    <x v="0"/>
    <x v="0"/>
  </r>
  <r>
    <x v="0"/>
    <x v="1377"/>
    <x v="2"/>
    <x v="1"/>
    <x v="1"/>
    <m/>
    <x v="2"/>
    <n v="0.47"/>
    <n v="1.274"/>
    <n v="0.80359999999999998"/>
    <n v="37.24"/>
    <x v="5"/>
    <x v="3"/>
    <x v="1"/>
    <x v="2"/>
    <x v="0"/>
    <x v="0"/>
  </r>
  <r>
    <x v="0"/>
    <x v="1378"/>
    <x v="3"/>
    <x v="1"/>
    <x v="1"/>
    <m/>
    <x v="2"/>
    <n v="0.47"/>
    <n v="1.274"/>
    <n v="0.80359999999999998"/>
    <n v="37.24"/>
    <x v="5"/>
    <x v="3"/>
    <x v="1"/>
    <x v="2"/>
    <x v="0"/>
    <x v="0"/>
  </r>
  <r>
    <x v="0"/>
    <x v="1379"/>
    <x v="4"/>
    <x v="1"/>
    <x v="1"/>
    <m/>
    <x v="2"/>
    <n v="0.47"/>
    <n v="1.274"/>
    <n v="0.80359999999999998"/>
    <n v="37.24"/>
    <x v="5"/>
    <x v="3"/>
    <x v="1"/>
    <x v="2"/>
    <x v="0"/>
    <x v="0"/>
  </r>
  <r>
    <x v="0"/>
    <x v="1380"/>
    <x v="0"/>
    <x v="1"/>
    <x v="1"/>
    <m/>
    <x v="2"/>
    <n v="0.47"/>
    <n v="1.274"/>
    <n v="0.80359999999999998"/>
    <n v="37.24"/>
    <x v="7"/>
    <x v="4"/>
    <x v="1"/>
    <x v="2"/>
    <x v="0"/>
    <x v="0"/>
  </r>
  <r>
    <x v="0"/>
    <x v="1381"/>
    <x v="1"/>
    <x v="1"/>
    <x v="1"/>
    <m/>
    <x v="2"/>
    <n v="0.47"/>
    <n v="1.274"/>
    <n v="0.80359999999999998"/>
    <n v="37.24"/>
    <x v="7"/>
    <x v="4"/>
    <x v="1"/>
    <x v="2"/>
    <x v="0"/>
    <x v="0"/>
  </r>
  <r>
    <x v="0"/>
    <x v="1382"/>
    <x v="2"/>
    <x v="1"/>
    <x v="1"/>
    <m/>
    <x v="2"/>
    <n v="0.47"/>
    <n v="1.274"/>
    <n v="0.80359999999999998"/>
    <n v="37.24"/>
    <x v="7"/>
    <x v="4"/>
    <x v="1"/>
    <x v="2"/>
    <x v="0"/>
    <x v="0"/>
  </r>
  <r>
    <x v="0"/>
    <x v="1383"/>
    <x v="3"/>
    <x v="1"/>
    <x v="1"/>
    <m/>
    <x v="2"/>
    <n v="0.47"/>
    <n v="1.274"/>
    <n v="0.80359999999999998"/>
    <n v="37.24"/>
    <x v="7"/>
    <x v="4"/>
    <x v="1"/>
    <x v="2"/>
    <x v="0"/>
    <x v="0"/>
  </r>
  <r>
    <x v="0"/>
    <x v="1384"/>
    <x v="4"/>
    <x v="1"/>
    <x v="1"/>
    <m/>
    <x v="2"/>
    <n v="0.47"/>
    <n v="1.274"/>
    <n v="0.80359999999999998"/>
    <n v="37.24"/>
    <x v="7"/>
    <x v="4"/>
    <x v="1"/>
    <x v="2"/>
    <x v="0"/>
    <x v="0"/>
  </r>
  <r>
    <x v="0"/>
    <x v="1385"/>
    <x v="0"/>
    <x v="1"/>
    <x v="1"/>
    <m/>
    <x v="5"/>
    <n v="0.377"/>
    <m/>
    <n v="1.633"/>
    <n v="9.6405349999999999"/>
    <x v="0"/>
    <x v="0"/>
    <x v="0"/>
    <x v="0"/>
    <x v="0"/>
    <x v="0"/>
  </r>
  <r>
    <x v="0"/>
    <x v="1386"/>
    <x v="1"/>
    <x v="1"/>
    <x v="1"/>
    <m/>
    <x v="5"/>
    <n v="0.377"/>
    <m/>
    <n v="1.633"/>
    <n v="9.6405349999999999"/>
    <x v="0"/>
    <x v="0"/>
    <x v="0"/>
    <x v="0"/>
    <x v="0"/>
    <x v="0"/>
  </r>
  <r>
    <x v="0"/>
    <x v="1387"/>
    <x v="2"/>
    <x v="1"/>
    <x v="1"/>
    <m/>
    <x v="5"/>
    <n v="0.377"/>
    <m/>
    <n v="1.633"/>
    <n v="9.6405349999999999"/>
    <x v="0"/>
    <x v="0"/>
    <x v="0"/>
    <x v="0"/>
    <x v="0"/>
    <x v="0"/>
  </r>
  <r>
    <x v="0"/>
    <x v="1388"/>
    <x v="3"/>
    <x v="1"/>
    <x v="1"/>
    <m/>
    <x v="5"/>
    <n v="0.377"/>
    <m/>
    <n v="1.633"/>
    <n v="9.6405349999999999"/>
    <x v="0"/>
    <x v="0"/>
    <x v="0"/>
    <x v="0"/>
    <x v="0"/>
    <x v="0"/>
  </r>
  <r>
    <x v="0"/>
    <x v="1389"/>
    <x v="4"/>
    <x v="1"/>
    <x v="1"/>
    <m/>
    <x v="5"/>
    <n v="0.377"/>
    <m/>
    <n v="1.633"/>
    <n v="9.6405349999999999"/>
    <x v="0"/>
    <x v="0"/>
    <x v="0"/>
    <x v="0"/>
    <x v="0"/>
    <x v="0"/>
  </r>
  <r>
    <x v="0"/>
    <x v="1390"/>
    <x v="0"/>
    <x v="0"/>
    <x v="0"/>
    <n v="0.24658099999999999"/>
    <x v="15"/>
    <n v="0.24399999999999999"/>
    <m/>
    <n v="3.6869999999999998"/>
    <n v="12.050668"/>
    <x v="0"/>
    <x v="0"/>
    <x v="0"/>
    <x v="0"/>
    <x v="0"/>
    <x v="0"/>
  </r>
  <r>
    <x v="0"/>
    <x v="1391"/>
    <x v="1"/>
    <x v="0"/>
    <x v="0"/>
    <n v="0.24658099999999999"/>
    <x v="15"/>
    <n v="0.24399999999999999"/>
    <m/>
    <n v="3.6869999999999998"/>
    <n v="12.050668"/>
    <x v="0"/>
    <x v="0"/>
    <x v="0"/>
    <x v="0"/>
    <x v="0"/>
    <x v="0"/>
  </r>
  <r>
    <x v="0"/>
    <x v="1392"/>
    <x v="2"/>
    <x v="0"/>
    <x v="0"/>
    <n v="0.24658099999999999"/>
    <x v="15"/>
    <n v="0.24399999999999999"/>
    <m/>
    <n v="3.6869999999999998"/>
    <n v="12.050668"/>
    <x v="0"/>
    <x v="0"/>
    <x v="0"/>
    <x v="0"/>
    <x v="0"/>
    <x v="0"/>
  </r>
  <r>
    <x v="0"/>
    <x v="1393"/>
    <x v="3"/>
    <x v="0"/>
    <x v="0"/>
    <n v="0.24658099999999999"/>
    <x v="15"/>
    <n v="0.24399999999999999"/>
    <m/>
    <n v="3.6869999999999998"/>
    <n v="12.050668"/>
    <x v="0"/>
    <x v="0"/>
    <x v="0"/>
    <x v="0"/>
    <x v="0"/>
    <x v="0"/>
  </r>
  <r>
    <x v="0"/>
    <x v="1394"/>
    <x v="4"/>
    <x v="0"/>
    <x v="0"/>
    <n v="0.24658099999999999"/>
    <x v="15"/>
    <n v="0.24399999999999999"/>
    <m/>
    <n v="3.6869999999999998"/>
    <n v="12.050668"/>
    <x v="0"/>
    <x v="0"/>
    <x v="0"/>
    <x v="0"/>
    <x v="0"/>
    <x v="0"/>
  </r>
  <r>
    <x v="0"/>
    <x v="1395"/>
    <x v="0"/>
    <x v="0"/>
    <x v="0"/>
    <n v="0.44887199999999999"/>
    <x v="16"/>
    <n v="0.31"/>
    <m/>
    <n v="3.6869999999999998"/>
    <n v="12.050668"/>
    <x v="0"/>
    <x v="0"/>
    <x v="0"/>
    <x v="0"/>
    <x v="0"/>
    <x v="0"/>
  </r>
  <r>
    <x v="0"/>
    <x v="1396"/>
    <x v="1"/>
    <x v="0"/>
    <x v="0"/>
    <n v="0.44887199999999999"/>
    <x v="16"/>
    <n v="0.31"/>
    <m/>
    <n v="3.6869999999999998"/>
    <n v="12.050668"/>
    <x v="0"/>
    <x v="0"/>
    <x v="0"/>
    <x v="0"/>
    <x v="0"/>
    <x v="0"/>
  </r>
  <r>
    <x v="0"/>
    <x v="1397"/>
    <x v="2"/>
    <x v="0"/>
    <x v="0"/>
    <n v="0.44887199999999999"/>
    <x v="16"/>
    <n v="0.31"/>
    <m/>
    <n v="3.6869999999999998"/>
    <n v="12.050668"/>
    <x v="0"/>
    <x v="0"/>
    <x v="0"/>
    <x v="0"/>
    <x v="0"/>
    <x v="0"/>
  </r>
  <r>
    <x v="0"/>
    <x v="1398"/>
    <x v="3"/>
    <x v="0"/>
    <x v="0"/>
    <n v="0.44887199999999999"/>
    <x v="16"/>
    <n v="0.31"/>
    <m/>
    <n v="3.6869999999999998"/>
    <n v="12.050668"/>
    <x v="0"/>
    <x v="0"/>
    <x v="0"/>
    <x v="0"/>
    <x v="0"/>
    <x v="0"/>
  </r>
  <r>
    <x v="0"/>
    <x v="1399"/>
    <x v="4"/>
    <x v="0"/>
    <x v="0"/>
    <n v="0.44887199999999999"/>
    <x v="16"/>
    <n v="0.31"/>
    <m/>
    <n v="3.6869999999999998"/>
    <n v="12.050668"/>
    <x v="0"/>
    <x v="0"/>
    <x v="0"/>
    <x v="0"/>
    <x v="0"/>
    <x v="0"/>
  </r>
  <r>
    <x v="0"/>
    <x v="1400"/>
    <x v="0"/>
    <x v="0"/>
    <x v="0"/>
    <n v="0.476026"/>
    <x v="17"/>
    <n v="0.39"/>
    <m/>
    <n v="0.255"/>
    <n v="12.050668"/>
    <x v="0"/>
    <x v="0"/>
    <x v="0"/>
    <x v="0"/>
    <x v="0"/>
    <x v="0"/>
  </r>
  <r>
    <x v="0"/>
    <x v="1401"/>
    <x v="1"/>
    <x v="0"/>
    <x v="0"/>
    <n v="0.476026"/>
    <x v="17"/>
    <n v="0.39"/>
    <m/>
    <n v="0.255"/>
    <n v="12.050668"/>
    <x v="0"/>
    <x v="0"/>
    <x v="0"/>
    <x v="0"/>
    <x v="0"/>
    <x v="0"/>
  </r>
  <r>
    <x v="0"/>
    <x v="1402"/>
    <x v="2"/>
    <x v="0"/>
    <x v="0"/>
    <n v="0.476026"/>
    <x v="17"/>
    <n v="0.39"/>
    <m/>
    <n v="0.255"/>
    <n v="12.050668"/>
    <x v="0"/>
    <x v="0"/>
    <x v="0"/>
    <x v="0"/>
    <x v="0"/>
    <x v="0"/>
  </r>
  <r>
    <x v="0"/>
    <x v="1403"/>
    <x v="3"/>
    <x v="0"/>
    <x v="0"/>
    <n v="0.476026"/>
    <x v="17"/>
    <n v="0.39"/>
    <m/>
    <n v="0.255"/>
    <n v="12.050668"/>
    <x v="0"/>
    <x v="0"/>
    <x v="0"/>
    <x v="0"/>
    <x v="0"/>
    <x v="0"/>
  </r>
  <r>
    <x v="0"/>
    <x v="1404"/>
    <x v="4"/>
    <x v="0"/>
    <x v="0"/>
    <n v="0.476026"/>
    <x v="17"/>
    <n v="0.39"/>
    <m/>
    <n v="0.255"/>
    <n v="12.050668"/>
    <x v="0"/>
    <x v="0"/>
    <x v="0"/>
    <x v="0"/>
    <x v="0"/>
    <x v="0"/>
  </r>
  <r>
    <x v="0"/>
    <x v="1405"/>
    <x v="0"/>
    <x v="0"/>
    <x v="0"/>
    <n v="0.7"/>
    <x v="18"/>
    <n v="0.47"/>
    <m/>
    <n v="0.80359999999999998"/>
    <n v="37.24"/>
    <x v="1"/>
    <x v="0"/>
    <x v="0"/>
    <x v="1"/>
    <x v="0"/>
    <x v="0"/>
  </r>
  <r>
    <x v="0"/>
    <x v="1406"/>
    <x v="1"/>
    <x v="0"/>
    <x v="0"/>
    <n v="0.7"/>
    <x v="18"/>
    <n v="0.47"/>
    <m/>
    <n v="0.80359999999999998"/>
    <n v="37.24"/>
    <x v="1"/>
    <x v="0"/>
    <x v="0"/>
    <x v="1"/>
    <x v="0"/>
    <x v="0"/>
  </r>
  <r>
    <x v="0"/>
    <x v="1407"/>
    <x v="2"/>
    <x v="0"/>
    <x v="0"/>
    <n v="0.7"/>
    <x v="18"/>
    <n v="0.47"/>
    <m/>
    <n v="0.80359999999999998"/>
    <n v="37.24"/>
    <x v="1"/>
    <x v="0"/>
    <x v="0"/>
    <x v="1"/>
    <x v="0"/>
    <x v="0"/>
  </r>
  <r>
    <x v="0"/>
    <x v="1408"/>
    <x v="3"/>
    <x v="0"/>
    <x v="0"/>
    <n v="0.7"/>
    <x v="18"/>
    <n v="0.47"/>
    <m/>
    <n v="0.80359999999999998"/>
    <n v="37.24"/>
    <x v="1"/>
    <x v="0"/>
    <x v="0"/>
    <x v="1"/>
    <x v="0"/>
    <x v="0"/>
  </r>
  <r>
    <x v="0"/>
    <x v="1409"/>
    <x v="4"/>
    <x v="0"/>
    <x v="0"/>
    <n v="0.7"/>
    <x v="18"/>
    <n v="0.47"/>
    <m/>
    <n v="0.80359999999999998"/>
    <n v="37.24"/>
    <x v="1"/>
    <x v="0"/>
    <x v="0"/>
    <x v="1"/>
    <x v="0"/>
    <x v="0"/>
  </r>
  <r>
    <x v="0"/>
    <x v="1410"/>
    <x v="0"/>
    <x v="0"/>
    <x v="0"/>
    <n v="0.7"/>
    <x v="18"/>
    <n v="0.47"/>
    <n v="1.274"/>
    <n v="0.80359999999999998"/>
    <n v="37.24"/>
    <x v="4"/>
    <x v="1"/>
    <x v="1"/>
    <x v="2"/>
    <x v="0"/>
    <x v="0"/>
  </r>
  <r>
    <x v="0"/>
    <x v="1411"/>
    <x v="1"/>
    <x v="0"/>
    <x v="0"/>
    <n v="0.7"/>
    <x v="18"/>
    <n v="0.47"/>
    <n v="1.274"/>
    <n v="0.80359999999999998"/>
    <n v="37.24"/>
    <x v="4"/>
    <x v="1"/>
    <x v="1"/>
    <x v="2"/>
    <x v="0"/>
    <x v="0"/>
  </r>
  <r>
    <x v="0"/>
    <x v="1412"/>
    <x v="2"/>
    <x v="0"/>
    <x v="0"/>
    <n v="0.7"/>
    <x v="18"/>
    <n v="0.47"/>
    <n v="1.274"/>
    <n v="0.80359999999999998"/>
    <n v="37.24"/>
    <x v="4"/>
    <x v="1"/>
    <x v="1"/>
    <x v="2"/>
    <x v="0"/>
    <x v="0"/>
  </r>
  <r>
    <x v="0"/>
    <x v="1413"/>
    <x v="3"/>
    <x v="0"/>
    <x v="0"/>
    <n v="0.7"/>
    <x v="18"/>
    <n v="0.47"/>
    <n v="1.274"/>
    <n v="0.80359999999999998"/>
    <n v="37.24"/>
    <x v="4"/>
    <x v="1"/>
    <x v="1"/>
    <x v="2"/>
    <x v="0"/>
    <x v="0"/>
  </r>
  <r>
    <x v="0"/>
    <x v="1414"/>
    <x v="4"/>
    <x v="0"/>
    <x v="0"/>
    <n v="0.7"/>
    <x v="18"/>
    <n v="0.47"/>
    <n v="1.274"/>
    <n v="0.80359999999999998"/>
    <n v="37.24"/>
    <x v="4"/>
    <x v="1"/>
    <x v="1"/>
    <x v="2"/>
    <x v="0"/>
    <x v="0"/>
  </r>
  <r>
    <x v="0"/>
    <x v="1415"/>
    <x v="0"/>
    <x v="0"/>
    <x v="0"/>
    <n v="0.7"/>
    <x v="18"/>
    <n v="0.47"/>
    <n v="1.274"/>
    <n v="0.80359999999999998"/>
    <n v="37.24"/>
    <x v="5"/>
    <x v="3"/>
    <x v="1"/>
    <x v="2"/>
    <x v="0"/>
    <x v="0"/>
  </r>
  <r>
    <x v="0"/>
    <x v="1416"/>
    <x v="1"/>
    <x v="0"/>
    <x v="0"/>
    <n v="0.7"/>
    <x v="18"/>
    <n v="0.47"/>
    <n v="1.274"/>
    <n v="0.80359999999999998"/>
    <n v="37.24"/>
    <x v="5"/>
    <x v="3"/>
    <x v="1"/>
    <x v="2"/>
    <x v="0"/>
    <x v="0"/>
  </r>
  <r>
    <x v="0"/>
    <x v="1417"/>
    <x v="2"/>
    <x v="0"/>
    <x v="0"/>
    <n v="0.7"/>
    <x v="18"/>
    <n v="0.47"/>
    <n v="1.274"/>
    <n v="0.80359999999999998"/>
    <n v="37.24"/>
    <x v="5"/>
    <x v="3"/>
    <x v="1"/>
    <x v="2"/>
    <x v="0"/>
    <x v="0"/>
  </r>
  <r>
    <x v="0"/>
    <x v="1418"/>
    <x v="3"/>
    <x v="0"/>
    <x v="0"/>
    <n v="0.7"/>
    <x v="18"/>
    <n v="0.47"/>
    <n v="1.274"/>
    <n v="0.80359999999999998"/>
    <n v="37.24"/>
    <x v="5"/>
    <x v="3"/>
    <x v="1"/>
    <x v="2"/>
    <x v="0"/>
    <x v="0"/>
  </r>
  <r>
    <x v="0"/>
    <x v="1419"/>
    <x v="4"/>
    <x v="0"/>
    <x v="0"/>
    <n v="0.7"/>
    <x v="18"/>
    <n v="0.47"/>
    <n v="1.274"/>
    <n v="0.80359999999999998"/>
    <n v="37.24"/>
    <x v="5"/>
    <x v="3"/>
    <x v="1"/>
    <x v="2"/>
    <x v="0"/>
    <x v="0"/>
  </r>
  <r>
    <x v="0"/>
    <x v="1420"/>
    <x v="0"/>
    <x v="0"/>
    <x v="0"/>
    <n v="0.7"/>
    <x v="18"/>
    <n v="0.47"/>
    <n v="1.274"/>
    <n v="0.80359999999999998"/>
    <n v="37.24"/>
    <x v="7"/>
    <x v="4"/>
    <x v="1"/>
    <x v="2"/>
    <x v="0"/>
    <x v="0"/>
  </r>
  <r>
    <x v="0"/>
    <x v="1421"/>
    <x v="1"/>
    <x v="0"/>
    <x v="0"/>
    <n v="0.7"/>
    <x v="18"/>
    <n v="0.47"/>
    <n v="1.274"/>
    <n v="0.80359999999999998"/>
    <n v="37.24"/>
    <x v="7"/>
    <x v="4"/>
    <x v="1"/>
    <x v="2"/>
    <x v="0"/>
    <x v="0"/>
  </r>
  <r>
    <x v="0"/>
    <x v="1422"/>
    <x v="2"/>
    <x v="0"/>
    <x v="0"/>
    <n v="0.7"/>
    <x v="18"/>
    <n v="0.47"/>
    <n v="1.274"/>
    <n v="0.80359999999999998"/>
    <n v="37.24"/>
    <x v="7"/>
    <x v="4"/>
    <x v="1"/>
    <x v="2"/>
    <x v="0"/>
    <x v="0"/>
  </r>
  <r>
    <x v="0"/>
    <x v="1423"/>
    <x v="3"/>
    <x v="0"/>
    <x v="0"/>
    <n v="0.7"/>
    <x v="18"/>
    <n v="0.47"/>
    <n v="1.274"/>
    <n v="0.80359999999999998"/>
    <n v="37.24"/>
    <x v="7"/>
    <x v="4"/>
    <x v="1"/>
    <x v="2"/>
    <x v="0"/>
    <x v="0"/>
  </r>
  <r>
    <x v="0"/>
    <x v="1424"/>
    <x v="4"/>
    <x v="0"/>
    <x v="0"/>
    <n v="0.7"/>
    <x v="18"/>
    <n v="0.47"/>
    <n v="1.274"/>
    <n v="0.80359999999999998"/>
    <n v="37.24"/>
    <x v="7"/>
    <x v="4"/>
    <x v="1"/>
    <x v="2"/>
    <x v="0"/>
    <x v="0"/>
  </r>
  <r>
    <x v="0"/>
    <x v="1425"/>
    <x v="29"/>
    <x v="1"/>
    <x v="1"/>
    <m/>
    <x v="2"/>
    <n v="0.33"/>
    <m/>
    <n v="4.2364532019704404"/>
    <n v="123.48"/>
    <x v="1"/>
    <x v="0"/>
    <x v="0"/>
    <x v="1"/>
    <x v="0"/>
    <x v="0"/>
  </r>
  <r>
    <x v="0"/>
    <x v="1426"/>
    <x v="7"/>
    <x v="4"/>
    <x v="0"/>
    <n v="0.1"/>
    <x v="5"/>
    <n v="0.9"/>
    <m/>
    <n v="1.5680000000000001"/>
    <n v="39.200000000000003"/>
    <x v="1"/>
    <x v="0"/>
    <x v="0"/>
    <x v="1"/>
    <x v="0"/>
    <x v="0"/>
  </r>
  <r>
    <x v="0"/>
    <x v="1427"/>
    <x v="7"/>
    <x v="4"/>
    <x v="0"/>
    <n v="1.2"/>
    <x v="5"/>
    <n v="0.9"/>
    <m/>
    <n v="1.5680000000000001"/>
    <n v="39.200000000000003"/>
    <x v="1"/>
    <x v="0"/>
    <x v="0"/>
    <x v="1"/>
    <x v="0"/>
    <x v="0"/>
  </r>
  <r>
    <x v="0"/>
    <x v="1428"/>
    <x v="7"/>
    <x v="4"/>
    <x v="0"/>
    <n v="0.2"/>
    <x v="5"/>
    <n v="0.9"/>
    <m/>
    <n v="1.5680000000000001"/>
    <n v="39.200000000000003"/>
    <x v="1"/>
    <x v="0"/>
    <x v="0"/>
    <x v="1"/>
    <x v="0"/>
    <x v="0"/>
  </r>
  <r>
    <x v="0"/>
    <x v="1429"/>
    <x v="7"/>
    <x v="4"/>
    <x v="0"/>
    <n v="0.3"/>
    <x v="5"/>
    <n v="0.9"/>
    <m/>
    <n v="1.5680000000000001"/>
    <n v="39.200000000000003"/>
    <x v="1"/>
    <x v="0"/>
    <x v="0"/>
    <x v="1"/>
    <x v="0"/>
    <x v="0"/>
  </r>
  <r>
    <x v="0"/>
    <x v="1430"/>
    <x v="7"/>
    <x v="4"/>
    <x v="0"/>
    <n v="0.4"/>
    <x v="5"/>
    <n v="0.9"/>
    <m/>
    <n v="1.5680000000000001"/>
    <n v="39.200000000000003"/>
    <x v="1"/>
    <x v="0"/>
    <x v="0"/>
    <x v="1"/>
    <x v="0"/>
    <x v="0"/>
  </r>
  <r>
    <x v="0"/>
    <x v="1431"/>
    <x v="7"/>
    <x v="4"/>
    <x v="0"/>
    <n v="0.5"/>
    <x v="5"/>
    <n v="0.9"/>
    <m/>
    <n v="1.5680000000000001"/>
    <n v="39.200000000000003"/>
    <x v="1"/>
    <x v="0"/>
    <x v="0"/>
    <x v="1"/>
    <x v="0"/>
    <x v="0"/>
  </r>
  <r>
    <x v="0"/>
    <x v="1432"/>
    <x v="7"/>
    <x v="1"/>
    <x v="1"/>
    <m/>
    <x v="2"/>
    <n v="0.35"/>
    <m/>
    <n v="1.5680000000000001"/>
    <n v="39.200000000000003"/>
    <x v="1"/>
    <x v="0"/>
    <x v="0"/>
    <x v="1"/>
    <x v="0"/>
    <x v="0"/>
  </r>
  <r>
    <x v="0"/>
    <x v="1433"/>
    <x v="12"/>
    <x v="4"/>
    <x v="0"/>
    <n v="0.2"/>
    <x v="5"/>
    <n v="0.9"/>
    <m/>
    <m/>
    <m/>
    <x v="1"/>
    <x v="0"/>
    <x v="0"/>
    <x v="1"/>
    <x v="0"/>
    <x v="0"/>
  </r>
  <r>
    <x v="0"/>
    <x v="1434"/>
    <x v="12"/>
    <x v="4"/>
    <x v="0"/>
    <n v="0.19"/>
    <x v="5"/>
    <n v="1.0647368421052601"/>
    <n v="5.4418297444372303"/>
    <n v="3.5227643557793802"/>
    <n v="254.8"/>
    <x v="4"/>
    <x v="1"/>
    <x v="1"/>
    <x v="3"/>
    <x v="0"/>
    <x v="0"/>
  </r>
  <r>
    <x v="0"/>
    <x v="1435"/>
    <x v="12"/>
    <x v="4"/>
    <x v="0"/>
    <n v="0.19"/>
    <x v="5"/>
    <n v="1.0647368421052601"/>
    <n v="5.1755814053771996"/>
    <n v="3.5226295969305101"/>
    <n v="245"/>
    <x v="5"/>
    <x v="3"/>
    <x v="1"/>
    <x v="3"/>
    <x v="0"/>
    <x v="0"/>
  </r>
  <r>
    <x v="0"/>
    <x v="1436"/>
    <x v="12"/>
    <x v="4"/>
    <x v="0"/>
    <n v="0.19"/>
    <x v="5"/>
    <n v="1.0647368421052601"/>
    <n v="4.6818851808186501"/>
    <n v="3.5226295969305101"/>
    <n v="235.2"/>
    <x v="7"/>
    <x v="4"/>
    <x v="1"/>
    <x v="3"/>
    <x v="0"/>
    <x v="0"/>
  </r>
  <r>
    <x v="0"/>
    <x v="1437"/>
    <x v="12"/>
    <x v="4"/>
    <x v="0"/>
    <n v="0.44465647440154898"/>
    <x v="5"/>
    <n v="0.68227469313841305"/>
    <m/>
    <n v="0.98"/>
    <n v="37.24"/>
    <x v="1"/>
    <x v="0"/>
    <x v="0"/>
    <x v="1"/>
    <x v="0"/>
    <x v="0"/>
  </r>
  <r>
    <x v="0"/>
    <x v="1438"/>
    <x v="12"/>
    <x v="4"/>
    <x v="0"/>
    <n v="0.44465647440154898"/>
    <x v="5"/>
    <n v="0.77974250644389997"/>
    <m/>
    <n v="0.98"/>
    <n v="37.24"/>
    <x v="1"/>
    <x v="0"/>
    <x v="0"/>
    <x v="1"/>
    <x v="0"/>
    <x v="0"/>
  </r>
  <r>
    <x v="0"/>
    <x v="1439"/>
    <x v="12"/>
    <x v="4"/>
    <x v="0"/>
    <n v="0.44465647440154898"/>
    <x v="5"/>
    <n v="0.81223177754572995"/>
    <m/>
    <n v="0.98"/>
    <n v="37.24"/>
    <x v="1"/>
    <x v="0"/>
    <x v="0"/>
    <x v="1"/>
    <x v="0"/>
    <x v="0"/>
  </r>
  <r>
    <x v="0"/>
    <x v="1440"/>
    <x v="12"/>
    <x v="4"/>
    <x v="0"/>
    <n v="0.45"/>
    <x v="5"/>
    <n v="0.80555555555555602"/>
    <n v="3.3175291168097898"/>
    <n v="1.8869086322237201"/>
    <n v="137.19999999999999"/>
    <x v="4"/>
    <x v="1"/>
    <x v="1"/>
    <x v="3"/>
    <x v="0"/>
    <x v="0"/>
  </r>
  <r>
    <x v="0"/>
    <x v="1441"/>
    <x v="12"/>
    <x v="4"/>
    <x v="0"/>
    <n v="0.45"/>
    <x v="5"/>
    <n v="0.80555555555555602"/>
    <n v="3.2223667018783599"/>
    <n v="1.9079697596646299"/>
    <n v="127.4"/>
    <x v="5"/>
    <x v="3"/>
    <x v="1"/>
    <x v="3"/>
    <x v="0"/>
    <x v="0"/>
  </r>
  <r>
    <x v="0"/>
    <x v="1442"/>
    <x v="12"/>
    <x v="4"/>
    <x v="0"/>
    <n v="0.45"/>
    <x v="5"/>
    <n v="0.80555555555555602"/>
    <n v="2.91802124487028"/>
    <n v="1.9079697620649001"/>
    <n v="117.6"/>
    <x v="7"/>
    <x v="4"/>
    <x v="1"/>
    <x v="3"/>
    <x v="0"/>
    <x v="0"/>
  </r>
  <r>
    <x v="0"/>
    <x v="1443"/>
    <x v="12"/>
    <x v="4"/>
    <x v="0"/>
    <n v="0.44465647440154898"/>
    <x v="5"/>
    <n v="0.84472104864755904"/>
    <m/>
    <n v="0.98"/>
    <n v="37.24"/>
    <x v="1"/>
    <x v="0"/>
    <x v="0"/>
    <x v="1"/>
    <x v="0"/>
    <x v="0"/>
  </r>
  <r>
    <x v="0"/>
    <x v="1444"/>
    <x v="12"/>
    <x v="4"/>
    <x v="0"/>
    <n v="0.44465647440154898"/>
    <x v="5"/>
    <n v="0.87721031974938801"/>
    <m/>
    <n v="0.98"/>
    <n v="37.24"/>
    <x v="1"/>
    <x v="0"/>
    <x v="0"/>
    <x v="1"/>
    <x v="0"/>
    <x v="0"/>
  </r>
  <r>
    <x v="0"/>
    <x v="1445"/>
    <x v="12"/>
    <x v="4"/>
    <x v="0"/>
    <n v="0.44465647440154898"/>
    <x v="5"/>
    <n v="0.94218886195304596"/>
    <m/>
    <n v="0.98"/>
    <n v="37.24"/>
    <x v="1"/>
    <x v="0"/>
    <x v="0"/>
    <x v="1"/>
    <x v="0"/>
    <x v="0"/>
  </r>
  <r>
    <x v="0"/>
    <x v="1446"/>
    <x v="12"/>
    <x v="4"/>
    <x v="0"/>
    <n v="0.45"/>
    <x v="5"/>
    <n v="0.99888888888888905"/>
    <n v="2.57628945881951"/>
    <n v="1.8933277375884601"/>
    <n v="117.6"/>
    <x v="4"/>
    <x v="1"/>
    <x v="1"/>
    <x v="3"/>
    <x v="0"/>
    <x v="0"/>
  </r>
  <r>
    <x v="0"/>
    <x v="1447"/>
    <x v="12"/>
    <x v="4"/>
    <x v="0"/>
    <n v="0.45"/>
    <x v="5"/>
    <n v="0.99888888888888905"/>
    <n v="2.4432004440073101"/>
    <n v="1.8878149979110399"/>
    <n v="107.8"/>
    <x v="5"/>
    <x v="3"/>
    <x v="1"/>
    <x v="3"/>
    <x v="0"/>
    <x v="0"/>
  </r>
  <r>
    <x v="0"/>
    <x v="1448"/>
    <x v="12"/>
    <x v="4"/>
    <x v="0"/>
    <n v="0.45"/>
    <x v="5"/>
    <n v="0.99888888888888905"/>
    <n v="2.21014472477603"/>
    <n v="1.88781499595964"/>
    <n v="98"/>
    <x v="7"/>
    <x v="4"/>
    <x v="1"/>
    <x v="3"/>
    <x v="0"/>
    <x v="0"/>
  </r>
  <r>
    <x v="0"/>
    <x v="1449"/>
    <x v="12"/>
    <x v="1"/>
    <x v="1"/>
    <m/>
    <x v="2"/>
    <n v="0.17"/>
    <n v="5.4418297444372303"/>
    <n v="3.5227643557793802"/>
    <n v="254.8"/>
    <x v="4"/>
    <x v="1"/>
    <x v="1"/>
    <x v="3"/>
    <x v="0"/>
    <x v="0"/>
  </r>
  <r>
    <x v="0"/>
    <x v="1450"/>
    <x v="12"/>
    <x v="1"/>
    <x v="1"/>
    <m/>
    <x v="2"/>
    <n v="0.17"/>
    <n v="5.1755814053771996"/>
    <n v="3.5226295969305101"/>
    <n v="245"/>
    <x v="5"/>
    <x v="3"/>
    <x v="1"/>
    <x v="3"/>
    <x v="0"/>
    <x v="0"/>
  </r>
  <r>
    <x v="0"/>
    <x v="1451"/>
    <x v="12"/>
    <x v="1"/>
    <x v="1"/>
    <m/>
    <x v="2"/>
    <n v="0.17"/>
    <n v="4.6818851808186501"/>
    <n v="3.5226295969305101"/>
    <n v="235.2"/>
    <x v="7"/>
    <x v="4"/>
    <x v="1"/>
    <x v="3"/>
    <x v="0"/>
    <x v="0"/>
  </r>
  <r>
    <x v="0"/>
    <x v="1452"/>
    <x v="12"/>
    <x v="1"/>
    <x v="1"/>
    <m/>
    <x v="2"/>
    <n v="0.25"/>
    <n v="3.3175291168097898"/>
    <n v="1.8869086322237201"/>
    <n v="137.19999999999999"/>
    <x v="4"/>
    <x v="1"/>
    <x v="1"/>
    <x v="3"/>
    <x v="0"/>
    <x v="0"/>
  </r>
  <r>
    <x v="0"/>
    <x v="1453"/>
    <x v="12"/>
    <x v="1"/>
    <x v="1"/>
    <m/>
    <x v="2"/>
    <n v="0.25"/>
    <n v="3.2223667018783599"/>
    <n v="1.9079697596646299"/>
    <n v="127.4"/>
    <x v="5"/>
    <x v="3"/>
    <x v="1"/>
    <x v="3"/>
    <x v="0"/>
    <x v="0"/>
  </r>
  <r>
    <x v="0"/>
    <x v="1454"/>
    <x v="12"/>
    <x v="1"/>
    <x v="1"/>
    <m/>
    <x v="2"/>
    <n v="0.25"/>
    <n v="2.91802124487028"/>
    <n v="1.9079697620649001"/>
    <n v="117.6"/>
    <x v="7"/>
    <x v="4"/>
    <x v="1"/>
    <x v="3"/>
    <x v="0"/>
    <x v="0"/>
  </r>
  <r>
    <x v="0"/>
    <x v="1455"/>
    <x v="12"/>
    <x v="1"/>
    <x v="1"/>
    <m/>
    <x v="2"/>
    <n v="0.31"/>
    <n v="2.57628945881951"/>
    <n v="1.8933277375884601"/>
    <n v="117.6"/>
    <x v="4"/>
    <x v="1"/>
    <x v="1"/>
    <x v="3"/>
    <x v="0"/>
    <x v="0"/>
  </r>
  <r>
    <x v="0"/>
    <x v="1456"/>
    <x v="12"/>
    <x v="1"/>
    <x v="1"/>
    <m/>
    <x v="2"/>
    <n v="0.31"/>
    <n v="2.4432004440073101"/>
    <n v="1.8878149979110399"/>
    <n v="107.8"/>
    <x v="5"/>
    <x v="3"/>
    <x v="1"/>
    <x v="3"/>
    <x v="0"/>
    <x v="0"/>
  </r>
  <r>
    <x v="0"/>
    <x v="1457"/>
    <x v="12"/>
    <x v="1"/>
    <x v="1"/>
    <m/>
    <x v="2"/>
    <n v="0.31"/>
    <n v="2.21014472477603"/>
    <n v="1.88781499595964"/>
    <n v="98"/>
    <x v="7"/>
    <x v="4"/>
    <x v="1"/>
    <x v="3"/>
    <x v="0"/>
    <x v="0"/>
  </r>
  <r>
    <x v="0"/>
    <x v="1458"/>
    <x v="14"/>
    <x v="4"/>
    <x v="0"/>
    <n v="0.1"/>
    <x v="5"/>
    <n v="0.9"/>
    <m/>
    <n v="3.7240000000000002"/>
    <n v="58.8"/>
    <x v="1"/>
    <x v="0"/>
    <x v="0"/>
    <x v="1"/>
    <x v="0"/>
    <x v="0"/>
  </r>
  <r>
    <x v="0"/>
    <x v="1459"/>
    <x v="14"/>
    <x v="4"/>
    <x v="0"/>
    <n v="0.2"/>
    <x v="5"/>
    <n v="0.9"/>
    <m/>
    <n v="3.7240000000000002"/>
    <n v="58.8"/>
    <x v="1"/>
    <x v="0"/>
    <x v="0"/>
    <x v="1"/>
    <x v="0"/>
    <x v="0"/>
  </r>
  <r>
    <x v="0"/>
    <x v="1460"/>
    <x v="14"/>
    <x v="4"/>
    <x v="0"/>
    <n v="0.3"/>
    <x v="5"/>
    <n v="0.9"/>
    <m/>
    <n v="3.7240000000000002"/>
    <n v="58.8"/>
    <x v="1"/>
    <x v="0"/>
    <x v="0"/>
    <x v="1"/>
    <x v="0"/>
    <x v="0"/>
  </r>
  <r>
    <x v="0"/>
    <x v="1461"/>
    <x v="14"/>
    <x v="4"/>
    <x v="0"/>
    <n v="0.4"/>
    <x v="5"/>
    <n v="0.9"/>
    <m/>
    <n v="3.7240000000000002"/>
    <n v="58.8"/>
    <x v="1"/>
    <x v="0"/>
    <x v="0"/>
    <x v="1"/>
    <x v="0"/>
    <x v="0"/>
  </r>
  <r>
    <x v="0"/>
    <x v="1462"/>
    <x v="14"/>
    <x v="4"/>
    <x v="0"/>
    <n v="0.5"/>
    <x v="5"/>
    <n v="0.9"/>
    <m/>
    <n v="3.7240000000000002"/>
    <n v="58.8"/>
    <x v="1"/>
    <x v="0"/>
    <x v="0"/>
    <x v="1"/>
    <x v="0"/>
    <x v="0"/>
  </r>
  <r>
    <x v="0"/>
    <x v="1463"/>
    <x v="14"/>
    <x v="4"/>
    <x v="0"/>
    <n v="0.6"/>
    <x v="5"/>
    <n v="0.9"/>
    <m/>
    <n v="3.7240000000000002"/>
    <n v="58.8"/>
    <x v="1"/>
    <x v="0"/>
    <x v="0"/>
    <x v="1"/>
    <x v="0"/>
    <x v="0"/>
  </r>
  <r>
    <x v="0"/>
    <x v="1464"/>
    <x v="14"/>
    <x v="4"/>
    <x v="0"/>
    <n v="0.7"/>
    <x v="5"/>
    <n v="0.9"/>
    <m/>
    <n v="3.7240000000000002"/>
    <n v="58.8"/>
    <x v="1"/>
    <x v="0"/>
    <x v="0"/>
    <x v="1"/>
    <x v="0"/>
    <x v="0"/>
  </r>
  <r>
    <x v="0"/>
    <x v="1465"/>
    <x v="14"/>
    <x v="4"/>
    <x v="0"/>
    <n v="0.8"/>
    <x v="5"/>
    <n v="0.9"/>
    <m/>
    <n v="3.7240000000000002"/>
    <n v="58.8"/>
    <x v="1"/>
    <x v="0"/>
    <x v="0"/>
    <x v="1"/>
    <x v="0"/>
    <x v="0"/>
  </r>
  <r>
    <x v="0"/>
    <x v="1466"/>
    <x v="14"/>
    <x v="4"/>
    <x v="0"/>
    <n v="0.34"/>
    <x v="5"/>
    <n v="0.59117647058823497"/>
    <m/>
    <n v="3.7240000000000002"/>
    <n v="58.8"/>
    <x v="1"/>
    <x v="0"/>
    <x v="0"/>
    <x v="1"/>
    <x v="0"/>
    <x v="0"/>
  </r>
  <r>
    <x v="0"/>
    <x v="1467"/>
    <x v="14"/>
    <x v="4"/>
    <x v="0"/>
    <n v="0.34"/>
    <x v="5"/>
    <n v="0.630588235294118"/>
    <m/>
    <n v="3.7240000000000002"/>
    <n v="58.8"/>
    <x v="1"/>
    <x v="0"/>
    <x v="0"/>
    <x v="1"/>
    <x v="0"/>
    <x v="0"/>
  </r>
  <r>
    <x v="0"/>
    <x v="1468"/>
    <x v="14"/>
    <x v="4"/>
    <x v="0"/>
    <n v="0.16"/>
    <x v="5"/>
    <n v="1.1599999999999999"/>
    <n v="5.88604768372186"/>
    <n v="6.7422579985812101"/>
    <n v="274.39999999999998"/>
    <x v="4"/>
    <x v="1"/>
    <x v="1"/>
    <x v="3"/>
    <x v="0"/>
    <x v="0"/>
  </r>
  <r>
    <x v="0"/>
    <x v="1469"/>
    <x v="14"/>
    <x v="4"/>
    <x v="0"/>
    <n v="0.16"/>
    <x v="5"/>
    <n v="1.1599999999999999"/>
    <n v="5.5983504670808104"/>
    <n v="6.7423433705842797"/>
    <n v="274.39999999999998"/>
    <x v="5"/>
    <x v="3"/>
    <x v="1"/>
    <x v="3"/>
    <x v="0"/>
    <x v="0"/>
  </r>
  <r>
    <x v="0"/>
    <x v="1470"/>
    <x v="14"/>
    <x v="4"/>
    <x v="0"/>
    <n v="0.16"/>
    <x v="5"/>
    <n v="1.1599999999999999"/>
    <n v="5.1249710683904102"/>
    <n v="6.74192218620919"/>
    <n v="254.8"/>
    <x v="7"/>
    <x v="4"/>
    <x v="1"/>
    <x v="3"/>
    <x v="0"/>
    <x v="0"/>
  </r>
  <r>
    <x v="0"/>
    <x v="1471"/>
    <x v="14"/>
    <x v="4"/>
    <x v="0"/>
    <n v="0.34"/>
    <x v="5"/>
    <n v="0.67"/>
    <m/>
    <n v="3.7240000000000002"/>
    <n v="58.8"/>
    <x v="1"/>
    <x v="0"/>
    <x v="0"/>
    <x v="1"/>
    <x v="0"/>
    <x v="0"/>
  </r>
  <r>
    <x v="0"/>
    <x v="1472"/>
    <x v="14"/>
    <x v="4"/>
    <x v="0"/>
    <n v="0.34"/>
    <x v="5"/>
    <n v="0.90647058823529403"/>
    <m/>
    <n v="3.7240000000000002"/>
    <n v="58.8"/>
    <x v="1"/>
    <x v="0"/>
    <x v="0"/>
    <x v="1"/>
    <x v="0"/>
    <x v="0"/>
  </r>
  <r>
    <x v="0"/>
    <x v="1473"/>
    <x v="14"/>
    <x v="4"/>
    <x v="0"/>
    <n v="0.34"/>
    <x v="5"/>
    <n v="0.94588235294117595"/>
    <m/>
    <n v="3.7240000000000002"/>
    <n v="58.8"/>
    <x v="1"/>
    <x v="0"/>
    <x v="0"/>
    <x v="1"/>
    <x v="0"/>
    <x v="0"/>
  </r>
  <r>
    <x v="0"/>
    <x v="1474"/>
    <x v="14"/>
    <x v="4"/>
    <x v="0"/>
    <n v="0.34"/>
    <x v="5"/>
    <n v="1.0641176470588201"/>
    <m/>
    <n v="3.7240000000000002"/>
    <n v="58.8"/>
    <x v="1"/>
    <x v="0"/>
    <x v="0"/>
    <x v="1"/>
    <x v="0"/>
    <x v="0"/>
  </r>
  <r>
    <x v="0"/>
    <x v="1475"/>
    <x v="14"/>
    <x v="4"/>
    <x v="0"/>
    <n v="0.34"/>
    <x v="5"/>
    <n v="1.1429411764705899"/>
    <n v="3.24468363374395"/>
    <n v="3.7413284292400002"/>
    <n v="58.8"/>
    <x v="4"/>
    <x v="1"/>
    <x v="1"/>
    <x v="3"/>
    <x v="0"/>
    <x v="0"/>
  </r>
  <r>
    <x v="0"/>
    <x v="1476"/>
    <x v="14"/>
    <x v="4"/>
    <x v="0"/>
    <n v="0.34"/>
    <x v="5"/>
    <n v="1.1429411764705899"/>
    <n v="3.0750291967813501"/>
    <n v="3.7279657357642901"/>
    <n v="49"/>
    <x v="5"/>
    <x v="3"/>
    <x v="1"/>
    <x v="3"/>
    <x v="0"/>
    <x v="0"/>
  </r>
  <r>
    <x v="0"/>
    <x v="1477"/>
    <x v="14"/>
    <x v="4"/>
    <x v="0"/>
    <n v="0.34"/>
    <x v="5"/>
    <n v="1.1429411764705899"/>
    <n v="2.7817036380009599"/>
    <n v="3.72796573501663"/>
    <n v="49"/>
    <x v="7"/>
    <x v="4"/>
    <x v="1"/>
    <x v="3"/>
    <x v="0"/>
    <x v="0"/>
  </r>
  <r>
    <x v="0"/>
    <x v="1478"/>
    <x v="14"/>
    <x v="4"/>
    <x v="0"/>
    <n v="0.34"/>
    <x v="5"/>
    <n v="1.1429411764705899"/>
    <n v="3.6890524215843801"/>
    <n v="3.7519474322356001"/>
    <n v="137.19999999999999"/>
    <x v="4"/>
    <x v="1"/>
    <x v="1"/>
    <x v="3"/>
    <x v="0"/>
    <x v="0"/>
  </r>
  <r>
    <x v="0"/>
    <x v="1479"/>
    <x v="14"/>
    <x v="4"/>
    <x v="0"/>
    <n v="0.34"/>
    <x v="5"/>
    <n v="1.1429411764705899"/>
    <n v="3.49525864441335"/>
    <n v="3.7375794162971601"/>
    <n v="127.4"/>
    <x v="5"/>
    <x v="3"/>
    <x v="1"/>
    <x v="3"/>
    <x v="0"/>
    <x v="0"/>
  </r>
  <r>
    <x v="0"/>
    <x v="1480"/>
    <x v="14"/>
    <x v="4"/>
    <x v="0"/>
    <n v="0.34"/>
    <x v="5"/>
    <n v="1.1429411764705899"/>
    <n v="3.2550487702556001"/>
    <n v="3.8070595140646102"/>
    <n v="117.6"/>
    <x v="7"/>
    <x v="4"/>
    <x v="1"/>
    <x v="3"/>
    <x v="0"/>
    <x v="0"/>
  </r>
  <r>
    <x v="0"/>
    <x v="1481"/>
    <x v="14"/>
    <x v="4"/>
    <x v="0"/>
    <n v="0.34"/>
    <x v="5"/>
    <n v="1.1823529411764699"/>
    <m/>
    <n v="3.7240000000000002"/>
    <n v="58.8"/>
    <x v="1"/>
    <x v="0"/>
    <x v="0"/>
    <x v="1"/>
    <x v="0"/>
    <x v="0"/>
  </r>
  <r>
    <x v="0"/>
    <x v="1482"/>
    <x v="14"/>
    <x v="1"/>
    <x v="1"/>
    <m/>
    <x v="2"/>
    <n v="0.16"/>
    <n v="5.88604768372186"/>
    <n v="6.7422579985812101"/>
    <n v="274.39999999999998"/>
    <x v="4"/>
    <x v="1"/>
    <x v="1"/>
    <x v="3"/>
    <x v="0"/>
    <x v="0"/>
  </r>
  <r>
    <x v="0"/>
    <x v="1483"/>
    <x v="14"/>
    <x v="1"/>
    <x v="1"/>
    <m/>
    <x v="2"/>
    <n v="0.16"/>
    <n v="5.5983504670808104"/>
    <n v="6.7423433705842797"/>
    <n v="274.39999999999998"/>
    <x v="5"/>
    <x v="3"/>
    <x v="1"/>
    <x v="3"/>
    <x v="0"/>
    <x v="0"/>
  </r>
  <r>
    <x v="0"/>
    <x v="1484"/>
    <x v="14"/>
    <x v="1"/>
    <x v="1"/>
    <m/>
    <x v="2"/>
    <n v="0.16"/>
    <n v="5.1249710683904102"/>
    <n v="6.74192218620919"/>
    <n v="254.8"/>
    <x v="7"/>
    <x v="4"/>
    <x v="1"/>
    <x v="3"/>
    <x v="0"/>
    <x v="0"/>
  </r>
  <r>
    <x v="0"/>
    <x v="1485"/>
    <x v="14"/>
    <x v="1"/>
    <x v="1"/>
    <m/>
    <x v="2"/>
    <n v="0.28999999999999998"/>
    <n v="3.24468363374395"/>
    <n v="3.7413284292400002"/>
    <n v="58.8"/>
    <x v="4"/>
    <x v="1"/>
    <x v="1"/>
    <x v="3"/>
    <x v="0"/>
    <x v="0"/>
  </r>
  <r>
    <x v="0"/>
    <x v="1486"/>
    <x v="14"/>
    <x v="1"/>
    <x v="1"/>
    <m/>
    <x v="2"/>
    <n v="0.28999999999999998"/>
    <n v="3.0750291967813501"/>
    <n v="3.7279657357642901"/>
    <n v="49"/>
    <x v="5"/>
    <x v="3"/>
    <x v="1"/>
    <x v="3"/>
    <x v="0"/>
    <x v="0"/>
  </r>
  <r>
    <x v="0"/>
    <x v="1487"/>
    <x v="14"/>
    <x v="1"/>
    <x v="1"/>
    <m/>
    <x v="2"/>
    <n v="0.28999999999999998"/>
    <n v="2.7817036380009599"/>
    <n v="3.72796573501663"/>
    <n v="49"/>
    <x v="7"/>
    <x v="4"/>
    <x v="1"/>
    <x v="3"/>
    <x v="0"/>
    <x v="0"/>
  </r>
  <r>
    <x v="0"/>
    <x v="1488"/>
    <x v="14"/>
    <x v="1"/>
    <x v="1"/>
    <m/>
    <x v="2"/>
    <n v="0.28999999999999998"/>
    <n v="3.6890524215843801"/>
    <n v="3.7519474322356001"/>
    <n v="137.19999999999999"/>
    <x v="4"/>
    <x v="1"/>
    <x v="1"/>
    <x v="3"/>
    <x v="0"/>
    <x v="0"/>
  </r>
  <r>
    <x v="0"/>
    <x v="1489"/>
    <x v="14"/>
    <x v="1"/>
    <x v="1"/>
    <m/>
    <x v="2"/>
    <n v="0.28999999999999998"/>
    <n v="3.49525864441335"/>
    <n v="3.7375794162971601"/>
    <n v="127.4"/>
    <x v="5"/>
    <x v="3"/>
    <x v="1"/>
    <x v="3"/>
    <x v="0"/>
    <x v="0"/>
  </r>
  <r>
    <x v="0"/>
    <x v="1490"/>
    <x v="14"/>
    <x v="1"/>
    <x v="1"/>
    <m/>
    <x v="2"/>
    <n v="0.28999999999999998"/>
    <n v="3.2550487702556001"/>
    <n v="3.8070595140646102"/>
    <n v="117.6"/>
    <x v="7"/>
    <x v="4"/>
    <x v="1"/>
    <x v="3"/>
    <x v="0"/>
    <x v="0"/>
  </r>
  <r>
    <x v="0"/>
    <x v="1491"/>
    <x v="14"/>
    <x v="0"/>
    <x v="0"/>
    <n v="0.30371135273036498"/>
    <x v="19"/>
    <n v="0.3"/>
    <m/>
    <n v="3.7240000000000002"/>
    <n v="58.8"/>
    <x v="1"/>
    <x v="0"/>
    <x v="0"/>
    <x v="1"/>
    <x v="0"/>
    <x v="0"/>
  </r>
  <r>
    <x v="0"/>
    <x v="1492"/>
    <x v="15"/>
    <x v="4"/>
    <x v="0"/>
    <n v="0.1"/>
    <x v="5"/>
    <n v="0.9"/>
    <m/>
    <n v="1.5680000000000001"/>
    <n v="39.200000000000003"/>
    <x v="1"/>
    <x v="0"/>
    <x v="0"/>
    <x v="1"/>
    <x v="0"/>
    <x v="0"/>
  </r>
  <r>
    <x v="0"/>
    <x v="1493"/>
    <x v="15"/>
    <x v="4"/>
    <x v="0"/>
    <n v="0.3"/>
    <x v="5"/>
    <n v="0.9"/>
    <m/>
    <n v="1.5680000000000001"/>
    <n v="39.200000000000003"/>
    <x v="1"/>
    <x v="0"/>
    <x v="0"/>
    <x v="1"/>
    <x v="0"/>
    <x v="0"/>
  </r>
  <r>
    <x v="0"/>
    <x v="1494"/>
    <x v="15"/>
    <x v="4"/>
    <x v="0"/>
    <n v="0.4"/>
    <x v="5"/>
    <n v="0.9"/>
    <m/>
    <n v="1.5680000000000001"/>
    <n v="39.200000000000003"/>
    <x v="1"/>
    <x v="0"/>
    <x v="0"/>
    <x v="1"/>
    <x v="0"/>
    <x v="0"/>
  </r>
  <r>
    <x v="0"/>
    <x v="1495"/>
    <x v="15"/>
    <x v="4"/>
    <x v="0"/>
    <n v="0.5"/>
    <x v="5"/>
    <n v="0.9"/>
    <m/>
    <n v="1.5680000000000001"/>
    <n v="39.200000000000003"/>
    <x v="1"/>
    <x v="0"/>
    <x v="0"/>
    <x v="1"/>
    <x v="0"/>
    <x v="0"/>
  </r>
  <r>
    <x v="0"/>
    <x v="1496"/>
    <x v="15"/>
    <x v="4"/>
    <x v="0"/>
    <n v="0.5"/>
    <x v="5"/>
    <n v="0.45"/>
    <m/>
    <n v="1.5680000000000001"/>
    <n v="39.200000000000003"/>
    <x v="1"/>
    <x v="0"/>
    <x v="0"/>
    <x v="1"/>
    <x v="0"/>
    <x v="0"/>
  </r>
  <r>
    <x v="0"/>
    <x v="1497"/>
    <x v="15"/>
    <x v="4"/>
    <x v="0"/>
    <n v="0.2"/>
    <x v="5"/>
    <n v="1.02"/>
    <n v="5.4539935236075596"/>
    <n v="2.9750788365677701"/>
    <n v="264.60000000000002"/>
    <x v="4"/>
    <x v="1"/>
    <x v="1"/>
    <x v="3"/>
    <x v="0"/>
    <x v="0"/>
  </r>
  <r>
    <x v="0"/>
    <x v="1498"/>
    <x v="15"/>
    <x v="4"/>
    <x v="0"/>
    <n v="0.2"/>
    <x v="5"/>
    <n v="1.02"/>
    <n v="5.1873962512644702"/>
    <n v="2.97510622785998"/>
    <n v="254.8"/>
    <x v="5"/>
    <x v="3"/>
    <x v="1"/>
    <x v="3"/>
    <x v="0"/>
    <x v="0"/>
  </r>
  <r>
    <x v="0"/>
    <x v="1499"/>
    <x v="15"/>
    <x v="4"/>
    <x v="0"/>
    <n v="0.2"/>
    <x v="5"/>
    <n v="1.02"/>
    <n v="4.7507320984685997"/>
    <n v="2.97497010870145"/>
    <n v="245"/>
    <x v="7"/>
    <x v="4"/>
    <x v="1"/>
    <x v="3"/>
    <x v="0"/>
    <x v="0"/>
  </r>
  <r>
    <x v="0"/>
    <x v="1500"/>
    <x v="15"/>
    <x v="4"/>
    <x v="0"/>
    <n v="0.5"/>
    <x v="5"/>
    <n v="0.54"/>
    <m/>
    <n v="1.5680000000000001"/>
    <n v="39.200000000000003"/>
    <x v="1"/>
    <x v="0"/>
    <x v="0"/>
    <x v="1"/>
    <x v="0"/>
    <x v="0"/>
  </r>
  <r>
    <x v="0"/>
    <x v="1501"/>
    <x v="15"/>
    <x v="4"/>
    <x v="0"/>
    <n v="0.5"/>
    <x v="5"/>
    <n v="0.9"/>
    <m/>
    <n v="1.5680000000000001"/>
    <n v="39.200000000000003"/>
    <x v="1"/>
    <x v="0"/>
    <x v="0"/>
    <x v="1"/>
    <x v="0"/>
    <x v="0"/>
  </r>
  <r>
    <x v="0"/>
    <x v="1502"/>
    <x v="15"/>
    <x v="4"/>
    <x v="0"/>
    <n v="0.44"/>
    <x v="5"/>
    <n v="0.98181818181818203"/>
    <n v="2.8608927781958098"/>
    <n v="1.6456065963581099"/>
    <n v="127.4"/>
    <x v="4"/>
    <x v="1"/>
    <x v="1"/>
    <x v="3"/>
    <x v="0"/>
    <x v="0"/>
  </r>
  <r>
    <x v="0"/>
    <x v="1503"/>
    <x v="15"/>
    <x v="4"/>
    <x v="0"/>
    <n v="0.44"/>
    <x v="5"/>
    <n v="0.98181818181818203"/>
    <n v="2.7133392210451102"/>
    <n v="1.6409589736950401"/>
    <n v="117.6"/>
    <x v="5"/>
    <x v="3"/>
    <x v="1"/>
    <x v="3"/>
    <x v="0"/>
    <x v="0"/>
  </r>
  <r>
    <x v="0"/>
    <x v="1504"/>
    <x v="15"/>
    <x v="4"/>
    <x v="0"/>
    <n v="0.44"/>
    <x v="5"/>
    <n v="0.98181818181818203"/>
    <n v="2.4877230430713499"/>
    <n v="1.66316005080549"/>
    <n v="107.8"/>
    <x v="7"/>
    <x v="4"/>
    <x v="1"/>
    <x v="3"/>
    <x v="0"/>
    <x v="0"/>
  </r>
  <r>
    <x v="0"/>
    <x v="1505"/>
    <x v="15"/>
    <x v="1"/>
    <x v="1"/>
    <m/>
    <x v="2"/>
    <n v="0.17"/>
    <n v="5.4539935236075596"/>
    <n v="2.9750788365677701"/>
    <n v="264.60000000000002"/>
    <x v="4"/>
    <x v="1"/>
    <x v="1"/>
    <x v="3"/>
    <x v="0"/>
    <x v="0"/>
  </r>
  <r>
    <x v="0"/>
    <x v="1506"/>
    <x v="15"/>
    <x v="1"/>
    <x v="1"/>
    <m/>
    <x v="2"/>
    <n v="0.17"/>
    <n v="5.1873962512644702"/>
    <n v="2.97510622785998"/>
    <n v="254.8"/>
    <x v="5"/>
    <x v="3"/>
    <x v="1"/>
    <x v="3"/>
    <x v="0"/>
    <x v="0"/>
  </r>
  <r>
    <x v="0"/>
    <x v="1507"/>
    <x v="15"/>
    <x v="1"/>
    <x v="1"/>
    <m/>
    <x v="2"/>
    <n v="0.17"/>
    <n v="4.7507320984685997"/>
    <n v="2.97497010870145"/>
    <n v="245"/>
    <x v="7"/>
    <x v="4"/>
    <x v="1"/>
    <x v="3"/>
    <x v="0"/>
    <x v="0"/>
  </r>
  <r>
    <x v="0"/>
    <x v="1508"/>
    <x v="15"/>
    <x v="1"/>
    <x v="1"/>
    <m/>
    <x v="2"/>
    <n v="0.3"/>
    <n v="2.8608927781958098"/>
    <n v="1.6456065963581099"/>
    <n v="127.4"/>
    <x v="4"/>
    <x v="1"/>
    <x v="1"/>
    <x v="3"/>
    <x v="0"/>
    <x v="0"/>
  </r>
  <r>
    <x v="0"/>
    <x v="1509"/>
    <x v="15"/>
    <x v="1"/>
    <x v="1"/>
    <m/>
    <x v="2"/>
    <n v="0.3"/>
    <n v="2.7133392210451102"/>
    <n v="1.6409589736950401"/>
    <n v="117.6"/>
    <x v="5"/>
    <x v="3"/>
    <x v="1"/>
    <x v="3"/>
    <x v="0"/>
    <x v="0"/>
  </r>
  <r>
    <x v="0"/>
    <x v="1510"/>
    <x v="15"/>
    <x v="1"/>
    <x v="1"/>
    <m/>
    <x v="2"/>
    <n v="0.3"/>
    <n v="2.4877230430713499"/>
    <n v="1.66316005080549"/>
    <n v="107.8"/>
    <x v="7"/>
    <x v="4"/>
    <x v="1"/>
    <x v="3"/>
    <x v="0"/>
    <x v="0"/>
  </r>
  <r>
    <x v="0"/>
    <x v="1511"/>
    <x v="15"/>
    <x v="1"/>
    <x v="1"/>
    <m/>
    <x v="2"/>
    <n v="0.33"/>
    <n v="1.98898332782198"/>
    <n v="1.5193052948496899"/>
    <n v="39.200000000000003"/>
    <x v="4"/>
    <x v="1"/>
    <x v="1"/>
    <x v="3"/>
    <x v="0"/>
    <x v="0"/>
  </r>
  <r>
    <x v="0"/>
    <x v="1512"/>
    <x v="15"/>
    <x v="1"/>
    <x v="1"/>
    <m/>
    <x v="2"/>
    <n v="0.33"/>
    <n v="1.8867666262581"/>
    <n v="1.5153092936802799"/>
    <n v="39.200000000000003"/>
    <x v="5"/>
    <x v="3"/>
    <x v="1"/>
    <x v="3"/>
    <x v="0"/>
    <x v="0"/>
  </r>
  <r>
    <x v="0"/>
    <x v="1513"/>
    <x v="15"/>
    <x v="1"/>
    <x v="1"/>
    <m/>
    <x v="2"/>
    <n v="0.33"/>
    <n v="1.7067888638481601"/>
    <n v="1.5153092935938901"/>
    <n v="39.200000000000003"/>
    <x v="7"/>
    <x v="4"/>
    <x v="1"/>
    <x v="3"/>
    <x v="0"/>
    <x v="0"/>
  </r>
  <r>
    <x v="0"/>
    <x v="1514"/>
    <x v="15"/>
    <x v="1"/>
    <x v="1"/>
    <m/>
    <x v="2"/>
    <n v="0.49"/>
    <n v="1.9894000000000001"/>
    <n v="2.1560000000000001"/>
    <n v="60.368000000000002"/>
    <x v="4"/>
    <x v="1"/>
    <x v="1"/>
    <x v="18"/>
    <x v="0"/>
    <x v="0"/>
  </r>
  <r>
    <x v="0"/>
    <x v="1515"/>
    <x v="15"/>
    <x v="1"/>
    <x v="1"/>
    <m/>
    <x v="2"/>
    <n v="0.52"/>
    <n v="1.9501999999999999"/>
    <n v="2.1560000000000001"/>
    <n v="60.368000000000002"/>
    <x v="5"/>
    <x v="3"/>
    <x v="1"/>
    <x v="18"/>
    <x v="0"/>
    <x v="0"/>
  </r>
  <r>
    <x v="0"/>
    <x v="1516"/>
    <x v="15"/>
    <x v="1"/>
    <x v="1"/>
    <m/>
    <x v="2"/>
    <n v="0.54"/>
    <n v="1.8522000000000001"/>
    <n v="2.1560000000000001"/>
    <n v="60.368000000000002"/>
    <x v="7"/>
    <x v="4"/>
    <x v="1"/>
    <x v="18"/>
    <x v="0"/>
    <x v="0"/>
  </r>
  <r>
    <x v="0"/>
    <x v="1517"/>
    <x v="15"/>
    <x v="0"/>
    <x v="0"/>
    <n v="0.5"/>
    <x v="9"/>
    <n v="0.3"/>
    <m/>
    <n v="1.5680000000000001"/>
    <n v="39.200000000000003"/>
    <x v="1"/>
    <x v="0"/>
    <x v="0"/>
    <x v="1"/>
    <x v="0"/>
    <x v="0"/>
  </r>
  <r>
    <x v="0"/>
    <x v="1518"/>
    <x v="15"/>
    <x v="0"/>
    <x v="0"/>
    <n v="0.5"/>
    <x v="9"/>
    <n v="0.33"/>
    <n v="1.98898332782198"/>
    <n v="1.5193052948496899"/>
    <n v="39.200000000000003"/>
    <x v="4"/>
    <x v="1"/>
    <x v="1"/>
    <x v="3"/>
    <x v="0"/>
    <x v="0"/>
  </r>
  <r>
    <x v="0"/>
    <x v="1519"/>
    <x v="15"/>
    <x v="0"/>
    <x v="0"/>
    <n v="0.5"/>
    <x v="10"/>
    <n v="0.33"/>
    <n v="1.8867666262581"/>
    <n v="1.5153092936802799"/>
    <n v="39.200000000000003"/>
    <x v="5"/>
    <x v="3"/>
    <x v="1"/>
    <x v="3"/>
    <x v="0"/>
    <x v="0"/>
  </r>
  <r>
    <x v="0"/>
    <x v="1520"/>
    <x v="15"/>
    <x v="0"/>
    <x v="0"/>
    <n v="0.5"/>
    <x v="10"/>
    <n v="0.33"/>
    <n v="1.7067888638481601"/>
    <n v="1.5153092935938901"/>
    <n v="39.200000000000003"/>
    <x v="7"/>
    <x v="4"/>
    <x v="1"/>
    <x v="3"/>
    <x v="0"/>
    <x v="0"/>
  </r>
  <r>
    <x v="0"/>
    <x v="1521"/>
    <x v="15"/>
    <x v="0"/>
    <x v="0"/>
    <n v="0.84"/>
    <x v="10"/>
    <n v="0.49"/>
    <n v="1.9894000000000001"/>
    <n v="2.1560000000000001"/>
    <n v="60.368000000000002"/>
    <x v="4"/>
    <x v="1"/>
    <x v="1"/>
    <x v="18"/>
    <x v="0"/>
    <x v="0"/>
  </r>
  <r>
    <x v="0"/>
    <x v="1522"/>
    <x v="15"/>
    <x v="0"/>
    <x v="0"/>
    <n v="0.75"/>
    <x v="10"/>
    <n v="0.5"/>
    <m/>
    <n v="1.96"/>
    <n v="56.055999999999997"/>
    <x v="1"/>
    <x v="0"/>
    <x v="0"/>
    <x v="1"/>
    <x v="0"/>
    <x v="0"/>
  </r>
  <r>
    <x v="0"/>
    <x v="1523"/>
    <x v="15"/>
    <x v="0"/>
    <x v="0"/>
    <n v="1.01"/>
    <x v="10"/>
    <n v="0.52"/>
    <n v="1.9501999999999999"/>
    <n v="2.1560000000000001"/>
    <n v="60.368000000000002"/>
    <x v="5"/>
    <x v="3"/>
    <x v="1"/>
    <x v="18"/>
    <x v="0"/>
    <x v="0"/>
  </r>
  <r>
    <x v="0"/>
    <x v="1524"/>
    <x v="15"/>
    <x v="0"/>
    <x v="0"/>
    <n v="1.01"/>
    <x v="10"/>
    <n v="0.54"/>
    <n v="1.8522000000000001"/>
    <n v="2.1560000000000001"/>
    <n v="60.368000000000002"/>
    <x v="7"/>
    <x v="4"/>
    <x v="1"/>
    <x v="18"/>
    <x v="0"/>
    <x v="0"/>
  </r>
  <r>
    <x v="0"/>
    <x v="1525"/>
    <x v="8"/>
    <x v="4"/>
    <x v="0"/>
    <n v="0.1"/>
    <x v="5"/>
    <n v="0.9"/>
    <m/>
    <n v="3.7240000000000002"/>
    <n v="58.8"/>
    <x v="1"/>
    <x v="0"/>
    <x v="0"/>
    <x v="1"/>
    <x v="0"/>
    <x v="0"/>
  </r>
  <r>
    <x v="0"/>
    <x v="1526"/>
    <x v="8"/>
    <x v="4"/>
    <x v="0"/>
    <n v="0.2"/>
    <x v="5"/>
    <n v="0.9"/>
    <m/>
    <n v="3.7240000000000002"/>
    <n v="58.8"/>
    <x v="1"/>
    <x v="0"/>
    <x v="0"/>
    <x v="1"/>
    <x v="0"/>
    <x v="0"/>
  </r>
  <r>
    <x v="0"/>
    <x v="1527"/>
    <x v="8"/>
    <x v="4"/>
    <x v="0"/>
    <n v="0.3"/>
    <x v="5"/>
    <n v="0.9"/>
    <m/>
    <n v="3.7240000000000002"/>
    <n v="58.8"/>
    <x v="1"/>
    <x v="0"/>
    <x v="0"/>
    <x v="1"/>
    <x v="0"/>
    <x v="0"/>
  </r>
  <r>
    <x v="0"/>
    <x v="1528"/>
    <x v="8"/>
    <x v="4"/>
    <x v="0"/>
    <n v="0.4"/>
    <x v="5"/>
    <n v="0.9"/>
    <m/>
    <n v="3.7240000000000002"/>
    <n v="58.8"/>
    <x v="1"/>
    <x v="0"/>
    <x v="0"/>
    <x v="1"/>
    <x v="0"/>
    <x v="0"/>
  </r>
  <r>
    <x v="0"/>
    <x v="1529"/>
    <x v="8"/>
    <x v="4"/>
    <x v="0"/>
    <n v="0.5"/>
    <x v="5"/>
    <n v="0.9"/>
    <m/>
    <n v="3.7240000000000002"/>
    <n v="58.8"/>
    <x v="1"/>
    <x v="0"/>
    <x v="0"/>
    <x v="1"/>
    <x v="0"/>
    <x v="0"/>
  </r>
  <r>
    <x v="0"/>
    <x v="1530"/>
    <x v="8"/>
    <x v="4"/>
    <x v="0"/>
    <n v="0.13"/>
    <x v="5"/>
    <n v="1.06"/>
    <n v="2.616514"/>
    <n v="1.7105459999999999"/>
    <n v="48.202672999999997"/>
    <x v="3"/>
    <x v="0"/>
    <x v="1"/>
    <x v="2"/>
    <x v="0"/>
    <x v="0"/>
  </r>
  <r>
    <x v="0"/>
    <x v="1531"/>
    <x v="22"/>
    <x v="4"/>
    <x v="0"/>
    <n v="0.51"/>
    <x v="5"/>
    <n v="0.9"/>
    <n v="1.702"/>
    <n v="1.1299999999999999"/>
    <n v="48.202672999999997"/>
    <x v="3"/>
    <x v="0"/>
    <x v="0"/>
    <x v="3"/>
    <x v="0"/>
    <x v="0"/>
  </r>
  <r>
    <x v="0"/>
    <x v="1532"/>
    <x v="22"/>
    <x v="4"/>
    <x v="0"/>
    <n v="1"/>
    <x v="5"/>
    <n v="1.06"/>
    <n v="2.616514"/>
    <n v="1.7105459999999999"/>
    <n v="48.202672999999997"/>
    <x v="3"/>
    <x v="0"/>
    <x v="0"/>
    <x v="2"/>
    <x v="0"/>
    <x v="0"/>
  </r>
  <r>
    <x v="0"/>
    <x v="1533"/>
    <x v="22"/>
    <x v="1"/>
    <x v="1"/>
    <m/>
    <x v="2"/>
    <n v="0.5"/>
    <m/>
    <m/>
    <m/>
    <x v="1"/>
    <x v="0"/>
    <x v="0"/>
    <x v="1"/>
    <x v="0"/>
    <x v="0"/>
  </r>
  <r>
    <x v="0"/>
    <x v="1534"/>
    <x v="22"/>
    <x v="0"/>
    <x v="0"/>
    <n v="0.05"/>
    <x v="3"/>
    <n v="0.13600000000000001"/>
    <n v="0.63400000000000001"/>
    <n v="1.1519999999999999"/>
    <n v="48.202672999999997"/>
    <x v="11"/>
    <x v="0"/>
    <x v="0"/>
    <x v="2"/>
    <x v="0"/>
    <x v="0"/>
  </r>
  <r>
    <x v="0"/>
    <x v="1535"/>
    <x v="22"/>
    <x v="0"/>
    <x v="0"/>
    <n v="0.5"/>
    <x v="10"/>
    <n v="0.45"/>
    <m/>
    <m/>
    <m/>
    <x v="1"/>
    <x v="0"/>
    <x v="0"/>
    <x v="1"/>
    <x v="0"/>
    <x v="0"/>
  </r>
  <r>
    <x v="0"/>
    <x v="1536"/>
    <x v="30"/>
    <x v="14"/>
    <x v="5"/>
    <m/>
    <x v="2"/>
    <n v="1"/>
    <m/>
    <n v="4.2140000000000004"/>
    <n v="56.154000000000003"/>
    <x v="1"/>
    <x v="0"/>
    <x v="0"/>
    <x v="1"/>
    <x v="0"/>
    <x v="0"/>
  </r>
  <r>
    <x v="0"/>
    <x v="1537"/>
    <x v="30"/>
    <x v="14"/>
    <x v="5"/>
    <m/>
    <x v="2"/>
    <n v="1"/>
    <n v="2.2543880995608001"/>
    <n v="3.234"/>
    <n v="43.414000000000001"/>
    <x v="4"/>
    <x v="1"/>
    <x v="1"/>
    <x v="20"/>
    <x v="0"/>
    <x v="0"/>
  </r>
  <r>
    <x v="0"/>
    <x v="1538"/>
    <x v="30"/>
    <x v="14"/>
    <x v="5"/>
    <m/>
    <x v="2"/>
    <n v="1"/>
    <n v="1.95295398505801"/>
    <n v="2.6459999999999999"/>
    <n v="37.043999999999997"/>
    <x v="5"/>
    <x v="3"/>
    <x v="1"/>
    <x v="2"/>
    <x v="0"/>
    <x v="0"/>
  </r>
  <r>
    <x v="0"/>
    <x v="1539"/>
    <x v="30"/>
    <x v="14"/>
    <x v="5"/>
    <m/>
    <x v="2"/>
    <n v="1"/>
    <n v="1.6749726784801799"/>
    <n v="2.1560000000000001"/>
    <n v="31.457999999999998"/>
    <x v="7"/>
    <x v="4"/>
    <x v="1"/>
    <x v="2"/>
    <x v="0"/>
    <x v="0"/>
  </r>
  <r>
    <x v="0"/>
    <x v="1540"/>
    <x v="30"/>
    <x v="14"/>
    <x v="5"/>
    <m/>
    <x v="2"/>
    <n v="1"/>
    <n v="1.95614302318043"/>
    <n v="2.9106000000000001"/>
    <n v="39.072600000000001"/>
    <x v="4"/>
    <x v="1"/>
    <x v="1"/>
    <x v="20"/>
    <x v="0"/>
    <x v="0"/>
  </r>
  <r>
    <x v="0"/>
    <x v="1541"/>
    <x v="30"/>
    <x v="14"/>
    <x v="5"/>
    <m/>
    <x v="2"/>
    <n v="1"/>
    <n v="1.71365213712141"/>
    <n v="2.3814000000000002"/>
    <n v="33.339599999999997"/>
    <x v="5"/>
    <x v="3"/>
    <x v="1"/>
    <x v="2"/>
    <x v="0"/>
    <x v="0"/>
  </r>
  <r>
    <x v="0"/>
    <x v="1542"/>
    <x v="30"/>
    <x v="14"/>
    <x v="5"/>
    <m/>
    <x v="2"/>
    <n v="1"/>
    <n v="1.4699102767813399"/>
    <n v="1.9403999999999999"/>
    <n v="28.312200000000001"/>
    <x v="7"/>
    <x v="4"/>
    <x v="1"/>
    <x v="2"/>
    <x v="0"/>
    <x v="0"/>
  </r>
  <r>
    <x v="0"/>
    <x v="1543"/>
    <x v="30"/>
    <x v="14"/>
    <x v="5"/>
    <m/>
    <x v="2"/>
    <n v="1"/>
    <m/>
    <n v="2.7440000000000002"/>
    <n v="25.088000000000001"/>
    <x v="1"/>
    <x v="0"/>
    <x v="0"/>
    <x v="1"/>
    <x v="0"/>
    <x v="0"/>
  </r>
  <r>
    <x v="0"/>
    <x v="1544"/>
    <x v="30"/>
    <x v="14"/>
    <x v="5"/>
    <m/>
    <x v="2"/>
    <n v="1"/>
    <n v="0.96561359999999996"/>
    <n v="2.4500000000000002"/>
    <n v="23.422000000000001"/>
    <x v="4"/>
    <x v="1"/>
    <x v="1"/>
    <x v="20"/>
    <x v="0"/>
    <x v="0"/>
  </r>
  <r>
    <x v="0"/>
    <x v="1545"/>
    <x v="30"/>
    <x v="14"/>
    <x v="5"/>
    <m/>
    <x v="2"/>
    <n v="1"/>
    <n v="0.888364512"/>
    <n v="2.254"/>
    <n v="21.853999999999999"/>
    <x v="5"/>
    <x v="3"/>
    <x v="1"/>
    <x v="2"/>
    <x v="0"/>
    <x v="0"/>
  </r>
  <r>
    <x v="0"/>
    <x v="1546"/>
    <x v="30"/>
    <x v="14"/>
    <x v="5"/>
    <m/>
    <x v="2"/>
    <n v="1"/>
    <n v="0.81729535103999995"/>
    <n v="2.0579999999999998"/>
    <n v="20.776"/>
    <x v="7"/>
    <x v="4"/>
    <x v="1"/>
    <x v="2"/>
    <x v="0"/>
    <x v="0"/>
  </r>
  <r>
    <x v="0"/>
    <x v="1547"/>
    <x v="30"/>
    <x v="14"/>
    <x v="5"/>
    <m/>
    <x v="2"/>
    <n v="1"/>
    <n v="3.7240000000000002"/>
    <m/>
    <n v="93.1"/>
    <x v="4"/>
    <x v="1"/>
    <x v="1"/>
    <x v="0"/>
    <x v="0"/>
    <x v="0"/>
  </r>
  <r>
    <x v="0"/>
    <x v="1548"/>
    <x v="30"/>
    <x v="14"/>
    <x v="5"/>
    <m/>
    <x v="2"/>
    <n v="1"/>
    <n v="3.5377999999999998"/>
    <m/>
    <n v="88.2"/>
    <x v="5"/>
    <x v="3"/>
    <x v="1"/>
    <x v="0"/>
    <x v="0"/>
    <x v="0"/>
  </r>
  <r>
    <x v="0"/>
    <x v="1549"/>
    <x v="30"/>
    <x v="14"/>
    <x v="5"/>
    <m/>
    <x v="2"/>
    <n v="1"/>
    <n v="3.3609100000000001"/>
    <m/>
    <n v="83.3"/>
    <x v="7"/>
    <x v="4"/>
    <x v="1"/>
    <x v="0"/>
    <x v="0"/>
    <x v="0"/>
  </r>
  <r>
    <x v="0"/>
    <x v="1550"/>
    <x v="0"/>
    <x v="4"/>
    <x v="0"/>
    <n v="0.5"/>
    <x v="5"/>
    <n v="0.9"/>
    <m/>
    <m/>
    <m/>
    <x v="1"/>
    <x v="0"/>
    <x v="0"/>
    <x v="1"/>
    <x v="0"/>
    <x v="0"/>
  </r>
  <r>
    <x v="0"/>
    <x v="1551"/>
    <x v="1"/>
    <x v="4"/>
    <x v="0"/>
    <n v="0.5"/>
    <x v="5"/>
    <n v="0.9"/>
    <m/>
    <m/>
    <m/>
    <x v="1"/>
    <x v="0"/>
    <x v="0"/>
    <x v="1"/>
    <x v="0"/>
    <x v="0"/>
  </r>
  <r>
    <x v="0"/>
    <x v="1552"/>
    <x v="2"/>
    <x v="4"/>
    <x v="0"/>
    <n v="0.5"/>
    <x v="5"/>
    <n v="0.9"/>
    <m/>
    <m/>
    <m/>
    <x v="1"/>
    <x v="0"/>
    <x v="0"/>
    <x v="1"/>
    <x v="0"/>
    <x v="0"/>
  </r>
  <r>
    <x v="0"/>
    <x v="1553"/>
    <x v="3"/>
    <x v="4"/>
    <x v="0"/>
    <n v="0.5"/>
    <x v="5"/>
    <n v="0.9"/>
    <m/>
    <m/>
    <m/>
    <x v="1"/>
    <x v="0"/>
    <x v="0"/>
    <x v="1"/>
    <x v="0"/>
    <x v="0"/>
  </r>
  <r>
    <x v="0"/>
    <x v="1554"/>
    <x v="4"/>
    <x v="4"/>
    <x v="0"/>
    <n v="0.5"/>
    <x v="5"/>
    <n v="0.9"/>
    <m/>
    <m/>
    <m/>
    <x v="1"/>
    <x v="0"/>
    <x v="0"/>
    <x v="1"/>
    <x v="0"/>
    <x v="0"/>
  </r>
  <r>
    <x v="0"/>
    <x v="1555"/>
    <x v="22"/>
    <x v="4"/>
    <x v="0"/>
    <n v="0.33333299999999999"/>
    <x v="5"/>
    <n v="0.92"/>
    <n v="0.63400000000000001"/>
    <n v="1.1519999999999999"/>
    <n v="48.202672999999997"/>
    <x v="11"/>
    <x v="0"/>
    <x v="0"/>
    <x v="2"/>
    <x v="0"/>
    <x v="0"/>
  </r>
  <r>
    <x v="0"/>
    <x v="1556"/>
    <x v="10"/>
    <x v="4"/>
    <x v="0"/>
    <n v="0.5"/>
    <x v="5"/>
    <n v="0.9"/>
    <n v="1.7330000000000001"/>
    <n v="1.333"/>
    <n v="21.332999999999998"/>
    <x v="3"/>
    <x v="0"/>
    <x v="0"/>
    <x v="3"/>
    <x v="0"/>
    <x v="0"/>
  </r>
  <r>
    <x v="0"/>
    <x v="1557"/>
    <x v="0"/>
    <x v="0"/>
    <x v="0"/>
    <n v="0.85"/>
    <x v="2"/>
    <n v="0.28999999999999998"/>
    <m/>
    <n v="1.333"/>
    <n v="12.050668"/>
    <x v="8"/>
    <x v="0"/>
    <x v="0"/>
    <x v="0"/>
    <x v="0"/>
    <x v="0"/>
  </r>
  <r>
    <x v="0"/>
    <x v="1558"/>
    <x v="1"/>
    <x v="0"/>
    <x v="0"/>
    <n v="0.85"/>
    <x v="2"/>
    <n v="0.28999999999999998"/>
    <m/>
    <n v="1.333"/>
    <n v="12.050668"/>
    <x v="8"/>
    <x v="0"/>
    <x v="0"/>
    <x v="0"/>
    <x v="0"/>
    <x v="0"/>
  </r>
  <r>
    <x v="0"/>
    <x v="1559"/>
    <x v="2"/>
    <x v="0"/>
    <x v="0"/>
    <n v="0.85"/>
    <x v="2"/>
    <n v="0.28999999999999998"/>
    <m/>
    <n v="1.333"/>
    <n v="12.050668"/>
    <x v="8"/>
    <x v="0"/>
    <x v="0"/>
    <x v="0"/>
    <x v="0"/>
    <x v="0"/>
  </r>
  <r>
    <x v="0"/>
    <x v="1560"/>
    <x v="3"/>
    <x v="0"/>
    <x v="0"/>
    <n v="0.85"/>
    <x v="2"/>
    <n v="0.28999999999999998"/>
    <m/>
    <n v="1.333"/>
    <n v="12.050668"/>
    <x v="8"/>
    <x v="0"/>
    <x v="0"/>
    <x v="0"/>
    <x v="0"/>
    <x v="0"/>
  </r>
  <r>
    <x v="0"/>
    <x v="1561"/>
    <x v="4"/>
    <x v="0"/>
    <x v="0"/>
    <n v="0.85"/>
    <x v="2"/>
    <n v="0.28999999999999998"/>
    <m/>
    <n v="1.333"/>
    <n v="12.050668"/>
    <x v="8"/>
    <x v="0"/>
    <x v="0"/>
    <x v="0"/>
    <x v="0"/>
    <x v="0"/>
  </r>
  <r>
    <x v="0"/>
    <x v="1562"/>
    <x v="13"/>
    <x v="4"/>
    <x v="0"/>
    <n v="0.5"/>
    <x v="5"/>
    <n v="0.9"/>
    <m/>
    <m/>
    <m/>
    <x v="1"/>
    <x v="0"/>
    <x v="0"/>
    <x v="1"/>
    <x v="0"/>
    <x v="0"/>
  </r>
  <r>
    <x v="0"/>
    <x v="1563"/>
    <x v="12"/>
    <x v="4"/>
    <x v="0"/>
    <n v="0.5"/>
    <x v="5"/>
    <n v="0.9"/>
    <m/>
    <m/>
    <m/>
    <x v="1"/>
    <x v="0"/>
    <x v="0"/>
    <x v="1"/>
    <x v="0"/>
    <x v="0"/>
  </r>
  <r>
    <x v="0"/>
    <x v="1564"/>
    <x v="14"/>
    <x v="4"/>
    <x v="0"/>
    <n v="0.5"/>
    <x v="5"/>
    <n v="0.9"/>
    <m/>
    <m/>
    <m/>
    <x v="1"/>
    <x v="0"/>
    <x v="0"/>
    <x v="1"/>
    <x v="0"/>
    <x v="0"/>
  </r>
  <r>
    <x v="0"/>
    <x v="1565"/>
    <x v="15"/>
    <x v="4"/>
    <x v="0"/>
    <n v="0.5"/>
    <x v="5"/>
    <n v="0.9"/>
    <m/>
    <m/>
    <m/>
    <x v="1"/>
    <x v="0"/>
    <x v="0"/>
    <x v="1"/>
    <x v="0"/>
    <x v="0"/>
  </r>
  <r>
    <x v="0"/>
    <x v="1566"/>
    <x v="13"/>
    <x v="0"/>
    <x v="0"/>
    <n v="0.28999999999999998"/>
    <x v="9"/>
    <n v="0.3"/>
    <m/>
    <m/>
    <m/>
    <x v="1"/>
    <x v="0"/>
    <x v="0"/>
    <x v="1"/>
    <x v="0"/>
    <x v="0"/>
  </r>
  <r>
    <x v="0"/>
    <x v="1567"/>
    <x v="12"/>
    <x v="0"/>
    <x v="0"/>
    <n v="0.28999999999999998"/>
    <x v="9"/>
    <n v="0.3"/>
    <m/>
    <m/>
    <m/>
    <x v="1"/>
    <x v="0"/>
    <x v="0"/>
    <x v="1"/>
    <x v="0"/>
    <x v="0"/>
  </r>
  <r>
    <x v="0"/>
    <x v="1568"/>
    <x v="14"/>
    <x v="0"/>
    <x v="0"/>
    <n v="0.28999999999999998"/>
    <x v="9"/>
    <n v="0.3"/>
    <m/>
    <m/>
    <m/>
    <x v="1"/>
    <x v="0"/>
    <x v="0"/>
    <x v="1"/>
    <x v="0"/>
    <x v="0"/>
  </r>
  <r>
    <x v="0"/>
    <x v="1569"/>
    <x v="15"/>
    <x v="0"/>
    <x v="0"/>
    <n v="0.28999999999999998"/>
    <x v="9"/>
    <n v="0.3"/>
    <m/>
    <m/>
    <m/>
    <x v="1"/>
    <x v="0"/>
    <x v="0"/>
    <x v="1"/>
    <x v="0"/>
    <x v="0"/>
  </r>
  <r>
    <x v="0"/>
    <x v="1570"/>
    <x v="13"/>
    <x v="4"/>
    <x v="0"/>
    <n v="0.5"/>
    <x v="5"/>
    <n v="0.9"/>
    <m/>
    <m/>
    <m/>
    <x v="1"/>
    <x v="0"/>
    <x v="0"/>
    <x v="1"/>
    <x v="0"/>
    <x v="0"/>
  </r>
  <r>
    <x v="0"/>
    <x v="1571"/>
    <x v="12"/>
    <x v="4"/>
    <x v="0"/>
    <n v="0.5"/>
    <x v="5"/>
    <n v="0.9"/>
    <m/>
    <m/>
    <m/>
    <x v="1"/>
    <x v="0"/>
    <x v="0"/>
    <x v="1"/>
    <x v="0"/>
    <x v="0"/>
  </r>
  <r>
    <x v="0"/>
    <x v="1572"/>
    <x v="14"/>
    <x v="4"/>
    <x v="0"/>
    <n v="0.5"/>
    <x v="5"/>
    <n v="0.9"/>
    <m/>
    <m/>
    <m/>
    <x v="1"/>
    <x v="0"/>
    <x v="0"/>
    <x v="1"/>
    <x v="0"/>
    <x v="0"/>
  </r>
  <r>
    <x v="0"/>
    <x v="1573"/>
    <x v="15"/>
    <x v="4"/>
    <x v="0"/>
    <n v="0.5"/>
    <x v="5"/>
    <n v="0.9"/>
    <m/>
    <m/>
    <m/>
    <x v="1"/>
    <x v="0"/>
    <x v="0"/>
    <x v="1"/>
    <x v="0"/>
    <x v="0"/>
  </r>
  <r>
    <x v="0"/>
    <x v="1574"/>
    <x v="13"/>
    <x v="4"/>
    <x v="0"/>
    <n v="0.7"/>
    <x v="5"/>
    <n v="0.89857142857142902"/>
    <m/>
    <m/>
    <m/>
    <x v="1"/>
    <x v="0"/>
    <x v="0"/>
    <x v="1"/>
    <x v="0"/>
    <x v="0"/>
  </r>
  <r>
    <x v="0"/>
    <x v="1575"/>
    <x v="12"/>
    <x v="4"/>
    <x v="0"/>
    <n v="0.7"/>
    <x v="5"/>
    <n v="0.89857142857142902"/>
    <m/>
    <m/>
    <m/>
    <x v="1"/>
    <x v="0"/>
    <x v="0"/>
    <x v="1"/>
    <x v="0"/>
    <x v="0"/>
  </r>
  <r>
    <x v="0"/>
    <x v="1576"/>
    <x v="14"/>
    <x v="4"/>
    <x v="0"/>
    <n v="0.7"/>
    <x v="5"/>
    <n v="0.89857142857142902"/>
    <m/>
    <m/>
    <m/>
    <x v="1"/>
    <x v="0"/>
    <x v="0"/>
    <x v="1"/>
    <x v="0"/>
    <x v="0"/>
  </r>
  <r>
    <x v="0"/>
    <x v="1577"/>
    <x v="15"/>
    <x v="4"/>
    <x v="0"/>
    <n v="0.7"/>
    <x v="5"/>
    <n v="0.89857142857142902"/>
    <m/>
    <m/>
    <m/>
    <x v="1"/>
    <x v="0"/>
    <x v="0"/>
    <x v="1"/>
    <x v="0"/>
    <x v="0"/>
  </r>
  <r>
    <x v="0"/>
    <x v="1578"/>
    <x v="10"/>
    <x v="4"/>
    <x v="0"/>
    <n v="0.35293999999999998"/>
    <x v="5"/>
    <n v="0.999"/>
    <n v="1.7330000000000001"/>
    <n v="1.333"/>
    <n v="21.332999999999998"/>
    <x v="3"/>
    <x v="0"/>
    <x v="0"/>
    <x v="3"/>
    <x v="0"/>
    <x v="0"/>
  </r>
  <r>
    <x v="0"/>
    <x v="1579"/>
    <x v="7"/>
    <x v="0"/>
    <x v="0"/>
    <n v="0.6"/>
    <x v="1"/>
    <n v="38.299999999999997"/>
    <m/>
    <n v="1.5680000000000001"/>
    <n v="39.200000000000003"/>
    <x v="1"/>
    <x v="0"/>
    <x v="0"/>
    <x v="1"/>
    <x v="0"/>
    <x v="0"/>
  </r>
  <r>
    <x v="0"/>
    <x v="1580"/>
    <x v="22"/>
    <x v="4"/>
    <x v="0"/>
    <n v="0.14959800000000001"/>
    <x v="5"/>
    <n v="1.03"/>
    <n v="0.63400000000000001"/>
    <n v="1.1519999999999999"/>
    <n v="48.202672999999997"/>
    <x v="11"/>
    <x v="0"/>
    <x v="0"/>
    <x v="2"/>
    <x v="0"/>
    <x v="0"/>
  </r>
  <r>
    <x v="0"/>
    <x v="1581"/>
    <x v="13"/>
    <x v="0"/>
    <x v="0"/>
    <n v="0.55000000000000004"/>
    <x v="1"/>
    <n v="0.39"/>
    <m/>
    <m/>
    <m/>
    <x v="1"/>
    <x v="0"/>
    <x v="0"/>
    <x v="1"/>
    <x v="0"/>
    <x v="0"/>
  </r>
  <r>
    <x v="0"/>
    <x v="1582"/>
    <x v="12"/>
    <x v="0"/>
    <x v="0"/>
    <n v="0.55000000000000004"/>
    <x v="1"/>
    <n v="0.39"/>
    <m/>
    <m/>
    <m/>
    <x v="1"/>
    <x v="0"/>
    <x v="0"/>
    <x v="1"/>
    <x v="0"/>
    <x v="0"/>
  </r>
  <r>
    <x v="0"/>
    <x v="1583"/>
    <x v="14"/>
    <x v="0"/>
    <x v="0"/>
    <n v="0.55000000000000004"/>
    <x v="1"/>
    <n v="0.39"/>
    <m/>
    <m/>
    <m/>
    <x v="1"/>
    <x v="0"/>
    <x v="0"/>
    <x v="1"/>
    <x v="0"/>
    <x v="0"/>
  </r>
  <r>
    <x v="0"/>
    <x v="1584"/>
    <x v="15"/>
    <x v="0"/>
    <x v="0"/>
    <n v="0.55000000000000004"/>
    <x v="1"/>
    <n v="0.39"/>
    <m/>
    <m/>
    <m/>
    <x v="1"/>
    <x v="0"/>
    <x v="0"/>
    <x v="1"/>
    <x v="0"/>
    <x v="0"/>
  </r>
  <r>
    <x v="0"/>
    <x v="1585"/>
    <x v="13"/>
    <x v="1"/>
    <x v="1"/>
    <m/>
    <x v="2"/>
    <n v="0.35"/>
    <m/>
    <m/>
    <m/>
    <x v="1"/>
    <x v="0"/>
    <x v="0"/>
    <x v="1"/>
    <x v="0"/>
    <x v="0"/>
  </r>
  <r>
    <x v="0"/>
    <x v="1586"/>
    <x v="12"/>
    <x v="1"/>
    <x v="1"/>
    <m/>
    <x v="2"/>
    <n v="0.35"/>
    <m/>
    <m/>
    <m/>
    <x v="1"/>
    <x v="0"/>
    <x v="0"/>
    <x v="1"/>
    <x v="0"/>
    <x v="0"/>
  </r>
  <r>
    <x v="0"/>
    <x v="1587"/>
    <x v="14"/>
    <x v="1"/>
    <x v="1"/>
    <m/>
    <x v="2"/>
    <n v="0.35"/>
    <m/>
    <m/>
    <m/>
    <x v="1"/>
    <x v="0"/>
    <x v="0"/>
    <x v="1"/>
    <x v="0"/>
    <x v="0"/>
  </r>
  <r>
    <x v="0"/>
    <x v="1588"/>
    <x v="15"/>
    <x v="1"/>
    <x v="1"/>
    <m/>
    <x v="2"/>
    <n v="0.35"/>
    <m/>
    <m/>
    <m/>
    <x v="1"/>
    <x v="0"/>
    <x v="0"/>
    <x v="1"/>
    <x v="0"/>
    <x v="0"/>
  </r>
  <r>
    <x v="0"/>
    <x v="1589"/>
    <x v="13"/>
    <x v="4"/>
    <x v="0"/>
    <n v="0.6"/>
    <x v="5"/>
    <n v="0.90666666666666695"/>
    <m/>
    <m/>
    <m/>
    <x v="1"/>
    <x v="0"/>
    <x v="0"/>
    <x v="1"/>
    <x v="0"/>
    <x v="0"/>
  </r>
  <r>
    <x v="0"/>
    <x v="1590"/>
    <x v="12"/>
    <x v="4"/>
    <x v="0"/>
    <n v="0.6"/>
    <x v="5"/>
    <n v="0.90666666666666695"/>
    <m/>
    <m/>
    <m/>
    <x v="1"/>
    <x v="0"/>
    <x v="0"/>
    <x v="1"/>
    <x v="0"/>
    <x v="0"/>
  </r>
  <r>
    <x v="0"/>
    <x v="1591"/>
    <x v="14"/>
    <x v="4"/>
    <x v="0"/>
    <n v="0.6"/>
    <x v="5"/>
    <n v="0.90666666666666695"/>
    <m/>
    <m/>
    <m/>
    <x v="1"/>
    <x v="0"/>
    <x v="0"/>
    <x v="1"/>
    <x v="0"/>
    <x v="0"/>
  </r>
  <r>
    <x v="0"/>
    <x v="1592"/>
    <x v="15"/>
    <x v="4"/>
    <x v="0"/>
    <n v="0.6"/>
    <x v="5"/>
    <n v="0.90666666666666695"/>
    <m/>
    <m/>
    <m/>
    <x v="1"/>
    <x v="0"/>
    <x v="0"/>
    <x v="1"/>
    <x v="0"/>
    <x v="0"/>
  </r>
  <r>
    <x v="0"/>
    <x v="1593"/>
    <x v="13"/>
    <x v="0"/>
    <x v="0"/>
    <n v="0.4"/>
    <x v="9"/>
    <n v="0.33"/>
    <m/>
    <m/>
    <m/>
    <x v="1"/>
    <x v="0"/>
    <x v="0"/>
    <x v="1"/>
    <x v="0"/>
    <x v="0"/>
  </r>
  <r>
    <x v="0"/>
    <x v="1594"/>
    <x v="12"/>
    <x v="0"/>
    <x v="0"/>
    <n v="0.4"/>
    <x v="9"/>
    <n v="0.33"/>
    <m/>
    <m/>
    <m/>
    <x v="1"/>
    <x v="0"/>
    <x v="0"/>
    <x v="1"/>
    <x v="0"/>
    <x v="0"/>
  </r>
  <r>
    <x v="0"/>
    <x v="1595"/>
    <x v="14"/>
    <x v="0"/>
    <x v="0"/>
    <n v="0.4"/>
    <x v="9"/>
    <n v="0.33"/>
    <m/>
    <m/>
    <m/>
    <x v="1"/>
    <x v="0"/>
    <x v="0"/>
    <x v="1"/>
    <x v="0"/>
    <x v="0"/>
  </r>
  <r>
    <x v="0"/>
    <x v="1596"/>
    <x v="15"/>
    <x v="0"/>
    <x v="0"/>
    <n v="0.4"/>
    <x v="9"/>
    <n v="0.33"/>
    <m/>
    <m/>
    <m/>
    <x v="1"/>
    <x v="0"/>
    <x v="0"/>
    <x v="1"/>
    <x v="0"/>
    <x v="0"/>
  </r>
  <r>
    <x v="0"/>
    <x v="1597"/>
    <x v="13"/>
    <x v="0"/>
    <x v="0"/>
    <n v="0.38600000000000001"/>
    <x v="1"/>
    <n v="0.4"/>
    <m/>
    <m/>
    <m/>
    <x v="1"/>
    <x v="0"/>
    <x v="0"/>
    <x v="1"/>
    <x v="0"/>
    <x v="0"/>
  </r>
  <r>
    <x v="0"/>
    <x v="1598"/>
    <x v="12"/>
    <x v="0"/>
    <x v="0"/>
    <n v="0.38600000000000001"/>
    <x v="1"/>
    <n v="0.4"/>
    <m/>
    <m/>
    <m/>
    <x v="1"/>
    <x v="0"/>
    <x v="0"/>
    <x v="1"/>
    <x v="0"/>
    <x v="0"/>
  </r>
  <r>
    <x v="0"/>
    <x v="1599"/>
    <x v="14"/>
    <x v="0"/>
    <x v="0"/>
    <n v="0.38600000000000001"/>
    <x v="1"/>
    <n v="0.4"/>
    <m/>
    <m/>
    <m/>
    <x v="1"/>
    <x v="0"/>
    <x v="0"/>
    <x v="1"/>
    <x v="0"/>
    <x v="0"/>
  </r>
  <r>
    <x v="0"/>
    <x v="1600"/>
    <x v="15"/>
    <x v="0"/>
    <x v="0"/>
    <n v="0.38600000000000001"/>
    <x v="1"/>
    <n v="0.4"/>
    <m/>
    <m/>
    <m/>
    <x v="1"/>
    <x v="0"/>
    <x v="0"/>
    <x v="1"/>
    <x v="0"/>
    <x v="0"/>
  </r>
  <r>
    <x v="0"/>
    <x v="1601"/>
    <x v="13"/>
    <x v="1"/>
    <x v="1"/>
    <m/>
    <x v="2"/>
    <n v="0.34"/>
    <m/>
    <m/>
    <m/>
    <x v="1"/>
    <x v="0"/>
    <x v="0"/>
    <x v="1"/>
    <x v="0"/>
    <x v="0"/>
  </r>
  <r>
    <x v="0"/>
    <x v="1602"/>
    <x v="12"/>
    <x v="1"/>
    <x v="1"/>
    <m/>
    <x v="2"/>
    <n v="0.34"/>
    <m/>
    <m/>
    <m/>
    <x v="1"/>
    <x v="0"/>
    <x v="0"/>
    <x v="1"/>
    <x v="0"/>
    <x v="0"/>
  </r>
  <r>
    <x v="0"/>
    <x v="1603"/>
    <x v="14"/>
    <x v="1"/>
    <x v="1"/>
    <m/>
    <x v="2"/>
    <n v="0.34"/>
    <m/>
    <m/>
    <m/>
    <x v="1"/>
    <x v="0"/>
    <x v="0"/>
    <x v="1"/>
    <x v="0"/>
    <x v="0"/>
  </r>
  <r>
    <x v="0"/>
    <x v="1604"/>
    <x v="15"/>
    <x v="1"/>
    <x v="1"/>
    <m/>
    <x v="2"/>
    <n v="0.34"/>
    <m/>
    <m/>
    <m/>
    <x v="1"/>
    <x v="0"/>
    <x v="0"/>
    <x v="1"/>
    <x v="0"/>
    <x v="0"/>
  </r>
  <r>
    <x v="0"/>
    <x v="1605"/>
    <x v="13"/>
    <x v="1"/>
    <x v="1"/>
    <m/>
    <x v="2"/>
    <n v="0.45"/>
    <m/>
    <m/>
    <m/>
    <x v="1"/>
    <x v="0"/>
    <x v="0"/>
    <x v="1"/>
    <x v="0"/>
    <x v="0"/>
  </r>
  <r>
    <x v="0"/>
    <x v="1606"/>
    <x v="12"/>
    <x v="1"/>
    <x v="1"/>
    <m/>
    <x v="2"/>
    <n v="0.45"/>
    <m/>
    <m/>
    <m/>
    <x v="1"/>
    <x v="0"/>
    <x v="0"/>
    <x v="1"/>
    <x v="0"/>
    <x v="0"/>
  </r>
  <r>
    <x v="0"/>
    <x v="1607"/>
    <x v="14"/>
    <x v="1"/>
    <x v="1"/>
    <m/>
    <x v="2"/>
    <n v="0.45"/>
    <m/>
    <m/>
    <m/>
    <x v="1"/>
    <x v="0"/>
    <x v="0"/>
    <x v="1"/>
    <x v="0"/>
    <x v="0"/>
  </r>
  <r>
    <x v="0"/>
    <x v="1608"/>
    <x v="15"/>
    <x v="1"/>
    <x v="1"/>
    <m/>
    <x v="2"/>
    <n v="0.45"/>
    <m/>
    <m/>
    <m/>
    <x v="1"/>
    <x v="0"/>
    <x v="0"/>
    <x v="1"/>
    <x v="0"/>
    <x v="0"/>
  </r>
  <r>
    <x v="0"/>
    <x v="1609"/>
    <x v="26"/>
    <x v="4"/>
    <x v="0"/>
    <n v="0.74"/>
    <x v="5"/>
    <n v="1.02"/>
    <n v="2.2109540000000001"/>
    <n v="3.6869999999999998"/>
    <n v="48.202672999999997"/>
    <x v="3"/>
    <x v="0"/>
    <x v="0"/>
    <x v="0"/>
    <x v="0"/>
    <x v="0"/>
  </r>
  <r>
    <x v="0"/>
    <x v="1610"/>
    <x v="13"/>
    <x v="0"/>
    <x v="0"/>
    <n v="0.3"/>
    <x v="8"/>
    <n v="0.32500000000000001"/>
    <m/>
    <n v="1.96"/>
    <n v="56.055999999999997"/>
    <x v="1"/>
    <x v="0"/>
    <x v="0"/>
    <x v="1"/>
    <x v="0"/>
    <x v="0"/>
  </r>
  <r>
    <x v="0"/>
    <x v="1611"/>
    <x v="12"/>
    <x v="0"/>
    <x v="0"/>
    <n v="0.3"/>
    <x v="8"/>
    <n v="0.32500000000000001"/>
    <m/>
    <n v="1.96"/>
    <n v="56.055999999999997"/>
    <x v="1"/>
    <x v="0"/>
    <x v="0"/>
    <x v="1"/>
    <x v="0"/>
    <x v="0"/>
  </r>
  <r>
    <x v="0"/>
    <x v="1612"/>
    <x v="14"/>
    <x v="0"/>
    <x v="0"/>
    <n v="0.3"/>
    <x v="8"/>
    <n v="0.32500000000000001"/>
    <m/>
    <n v="1.96"/>
    <n v="56.055999999999997"/>
    <x v="1"/>
    <x v="0"/>
    <x v="0"/>
    <x v="1"/>
    <x v="0"/>
    <x v="0"/>
  </r>
  <r>
    <x v="0"/>
    <x v="1613"/>
    <x v="15"/>
    <x v="0"/>
    <x v="0"/>
    <n v="0.3"/>
    <x v="8"/>
    <n v="0.32500000000000001"/>
    <m/>
    <n v="1.96"/>
    <n v="56.055999999999997"/>
    <x v="1"/>
    <x v="0"/>
    <x v="0"/>
    <x v="1"/>
    <x v="0"/>
    <x v="0"/>
  </r>
  <r>
    <x v="0"/>
    <x v="1614"/>
    <x v="12"/>
    <x v="0"/>
    <x v="0"/>
    <n v="0.24"/>
    <x v="1"/>
    <n v="0.28999999999999998"/>
    <m/>
    <m/>
    <m/>
    <x v="1"/>
    <x v="0"/>
    <x v="0"/>
    <x v="1"/>
    <x v="0"/>
    <x v="0"/>
  </r>
  <r>
    <x v="0"/>
    <x v="1615"/>
    <x v="17"/>
    <x v="0"/>
    <x v="0"/>
    <n v="0.5"/>
    <x v="20"/>
    <n v="0.29499999999999998"/>
    <m/>
    <n v="1.53"/>
    <n v="12.050668"/>
    <x v="1"/>
    <x v="0"/>
    <x v="0"/>
    <x v="1"/>
    <x v="0"/>
    <x v="0"/>
  </r>
  <r>
    <x v="0"/>
    <x v="1616"/>
    <x v="13"/>
    <x v="0"/>
    <x v="0"/>
    <n v="0.14000000000000001"/>
    <x v="9"/>
    <n v="0.13"/>
    <m/>
    <m/>
    <m/>
    <x v="1"/>
    <x v="0"/>
    <x v="0"/>
    <x v="1"/>
    <x v="0"/>
    <x v="0"/>
  </r>
  <r>
    <x v="0"/>
    <x v="1617"/>
    <x v="12"/>
    <x v="0"/>
    <x v="0"/>
    <n v="0.14000000000000001"/>
    <x v="9"/>
    <n v="0.13"/>
    <m/>
    <m/>
    <m/>
    <x v="1"/>
    <x v="0"/>
    <x v="0"/>
    <x v="1"/>
    <x v="0"/>
    <x v="0"/>
  </r>
  <r>
    <x v="0"/>
    <x v="1618"/>
    <x v="14"/>
    <x v="0"/>
    <x v="0"/>
    <n v="0.14000000000000001"/>
    <x v="9"/>
    <n v="0.13"/>
    <m/>
    <m/>
    <m/>
    <x v="1"/>
    <x v="0"/>
    <x v="0"/>
    <x v="1"/>
    <x v="0"/>
    <x v="0"/>
  </r>
  <r>
    <x v="0"/>
    <x v="1619"/>
    <x v="15"/>
    <x v="0"/>
    <x v="0"/>
    <n v="0.14000000000000001"/>
    <x v="9"/>
    <n v="0.13"/>
    <m/>
    <m/>
    <m/>
    <x v="1"/>
    <x v="0"/>
    <x v="0"/>
    <x v="1"/>
    <x v="0"/>
    <x v="0"/>
  </r>
  <r>
    <x v="0"/>
    <x v="1620"/>
    <x v="22"/>
    <x v="4"/>
    <x v="0"/>
    <n v="0.30303000000000002"/>
    <x v="5"/>
    <n v="0.92"/>
    <n v="0.63400000000000001"/>
    <n v="1.1519999999999999"/>
    <n v="48.202672999999997"/>
    <x v="11"/>
    <x v="0"/>
    <x v="0"/>
    <x v="2"/>
    <x v="0"/>
    <x v="0"/>
  </r>
  <r>
    <x v="0"/>
    <x v="1621"/>
    <x v="13"/>
    <x v="0"/>
    <x v="0"/>
    <n v="0.6"/>
    <x v="21"/>
    <n v="0.35"/>
    <m/>
    <n v="1.96"/>
    <n v="56.055999999999997"/>
    <x v="1"/>
    <x v="0"/>
    <x v="0"/>
    <x v="1"/>
    <x v="0"/>
    <x v="0"/>
  </r>
  <r>
    <x v="0"/>
    <x v="1622"/>
    <x v="12"/>
    <x v="0"/>
    <x v="0"/>
    <n v="0.6"/>
    <x v="21"/>
    <n v="0.35"/>
    <m/>
    <n v="1.96"/>
    <n v="56.055999999999997"/>
    <x v="1"/>
    <x v="0"/>
    <x v="0"/>
    <x v="1"/>
    <x v="0"/>
    <x v="0"/>
  </r>
  <r>
    <x v="0"/>
    <x v="1623"/>
    <x v="14"/>
    <x v="0"/>
    <x v="0"/>
    <n v="0.6"/>
    <x v="21"/>
    <n v="0.35"/>
    <m/>
    <n v="1.96"/>
    <n v="56.055999999999997"/>
    <x v="1"/>
    <x v="0"/>
    <x v="0"/>
    <x v="1"/>
    <x v="0"/>
    <x v="0"/>
  </r>
  <r>
    <x v="0"/>
    <x v="1624"/>
    <x v="15"/>
    <x v="0"/>
    <x v="0"/>
    <n v="0.6"/>
    <x v="21"/>
    <n v="0.35"/>
    <m/>
    <n v="1.96"/>
    <n v="56.055999999999997"/>
    <x v="1"/>
    <x v="0"/>
    <x v="0"/>
    <x v="1"/>
    <x v="0"/>
    <x v="0"/>
  </r>
  <r>
    <x v="0"/>
    <x v="1625"/>
    <x v="13"/>
    <x v="0"/>
    <x v="0"/>
    <n v="0.4"/>
    <x v="1"/>
    <n v="0.35"/>
    <m/>
    <n v="1.96"/>
    <n v="56.055999999999997"/>
    <x v="1"/>
    <x v="0"/>
    <x v="0"/>
    <x v="1"/>
    <x v="0"/>
    <x v="0"/>
  </r>
  <r>
    <x v="0"/>
    <x v="1626"/>
    <x v="12"/>
    <x v="0"/>
    <x v="0"/>
    <n v="0.4"/>
    <x v="1"/>
    <n v="0.35"/>
    <m/>
    <n v="1.96"/>
    <n v="56.055999999999997"/>
    <x v="1"/>
    <x v="0"/>
    <x v="0"/>
    <x v="1"/>
    <x v="0"/>
    <x v="0"/>
  </r>
  <r>
    <x v="0"/>
    <x v="1627"/>
    <x v="14"/>
    <x v="0"/>
    <x v="0"/>
    <n v="0.4"/>
    <x v="1"/>
    <n v="0.35"/>
    <m/>
    <n v="1.96"/>
    <n v="56.055999999999997"/>
    <x v="1"/>
    <x v="0"/>
    <x v="0"/>
    <x v="1"/>
    <x v="0"/>
    <x v="0"/>
  </r>
  <r>
    <x v="0"/>
    <x v="1628"/>
    <x v="15"/>
    <x v="0"/>
    <x v="0"/>
    <n v="0.4"/>
    <x v="1"/>
    <n v="0.35"/>
    <m/>
    <n v="1.96"/>
    <n v="56.055999999999997"/>
    <x v="1"/>
    <x v="0"/>
    <x v="0"/>
    <x v="1"/>
    <x v="0"/>
    <x v="0"/>
  </r>
  <r>
    <x v="0"/>
    <x v="1629"/>
    <x v="11"/>
    <x v="0"/>
    <x v="0"/>
    <n v="0.85"/>
    <x v="1"/>
    <n v="0.33"/>
    <n v="0.433"/>
    <n v="2"/>
    <n v="33.332999999999998"/>
    <x v="14"/>
    <x v="0"/>
    <x v="0"/>
    <x v="0"/>
    <x v="0"/>
    <x v="0"/>
  </r>
  <r>
    <x v="0"/>
    <x v="1630"/>
    <x v="11"/>
    <x v="1"/>
    <x v="1"/>
    <m/>
    <x v="2"/>
    <n v="0.28999999999999998"/>
    <n v="0.187"/>
    <n v="4"/>
    <n v="33.332999999999998"/>
    <x v="8"/>
    <x v="0"/>
    <x v="0"/>
    <x v="0"/>
    <x v="0"/>
    <x v="0"/>
  </r>
  <r>
    <x v="0"/>
    <x v="1631"/>
    <x v="11"/>
    <x v="1"/>
    <x v="1"/>
    <m/>
    <x v="2"/>
    <n v="0.28999999999999998"/>
    <n v="0.19"/>
    <n v="4"/>
    <n v="33.33"/>
    <x v="8"/>
    <x v="0"/>
    <x v="0"/>
    <x v="0"/>
    <x v="0"/>
    <x v="0"/>
  </r>
  <r>
    <x v="0"/>
    <x v="1632"/>
    <x v="11"/>
    <x v="1"/>
    <x v="1"/>
    <m/>
    <x v="2"/>
    <n v="0.28999999999999998"/>
    <n v="0.19"/>
    <n v="4"/>
    <n v="33.33"/>
    <x v="8"/>
    <x v="0"/>
    <x v="0"/>
    <x v="0"/>
    <x v="0"/>
    <x v="0"/>
  </r>
  <r>
    <x v="0"/>
    <x v="1633"/>
    <x v="11"/>
    <x v="1"/>
    <x v="1"/>
    <m/>
    <x v="2"/>
    <n v="0.28999999999999998"/>
    <n v="0.19"/>
    <n v="4"/>
    <n v="33.33"/>
    <x v="8"/>
    <x v="0"/>
    <x v="0"/>
    <x v="0"/>
    <x v="0"/>
    <x v="0"/>
  </r>
  <r>
    <x v="0"/>
    <x v="1634"/>
    <x v="11"/>
    <x v="1"/>
    <x v="1"/>
    <m/>
    <x v="2"/>
    <n v="0.28999999999999998"/>
    <n v="0.19"/>
    <n v="4"/>
    <n v="33.33"/>
    <x v="8"/>
    <x v="0"/>
    <x v="0"/>
    <x v="0"/>
    <x v="0"/>
    <x v="0"/>
  </r>
  <r>
    <x v="0"/>
    <x v="1635"/>
    <x v="11"/>
    <x v="1"/>
    <x v="1"/>
    <m/>
    <x v="2"/>
    <n v="0.28999999999999998"/>
    <n v="0.19"/>
    <n v="4"/>
    <n v="33.33"/>
    <x v="8"/>
    <x v="0"/>
    <x v="0"/>
    <x v="0"/>
    <x v="0"/>
    <x v="0"/>
  </r>
  <r>
    <x v="0"/>
    <x v="1636"/>
    <x v="11"/>
    <x v="1"/>
    <x v="1"/>
    <m/>
    <x v="2"/>
    <n v="0.28999999999999998"/>
    <n v="0.19"/>
    <n v="4"/>
    <n v="33.33"/>
    <x v="8"/>
    <x v="0"/>
    <x v="0"/>
    <x v="0"/>
    <x v="0"/>
    <x v="0"/>
  </r>
  <r>
    <x v="0"/>
    <x v="1637"/>
    <x v="11"/>
    <x v="1"/>
    <x v="1"/>
    <m/>
    <x v="2"/>
    <n v="0.28999999999999998"/>
    <n v="0.19"/>
    <n v="4"/>
    <n v="33.33"/>
    <x v="8"/>
    <x v="0"/>
    <x v="0"/>
    <x v="0"/>
    <x v="0"/>
    <x v="0"/>
  </r>
  <r>
    <x v="0"/>
    <x v="1638"/>
    <x v="11"/>
    <x v="1"/>
    <x v="1"/>
    <m/>
    <x v="2"/>
    <n v="0.33"/>
    <n v="0.48"/>
    <n v="1.97"/>
    <n v="30"/>
    <x v="14"/>
    <x v="0"/>
    <x v="0"/>
    <x v="0"/>
    <x v="0"/>
    <x v="0"/>
  </r>
  <r>
    <x v="0"/>
    <x v="1639"/>
    <x v="0"/>
    <x v="4"/>
    <x v="0"/>
    <n v="1"/>
    <x v="5"/>
    <n v="0.9"/>
    <m/>
    <m/>
    <m/>
    <x v="1"/>
    <x v="0"/>
    <x v="0"/>
    <x v="1"/>
    <x v="0"/>
    <x v="0"/>
  </r>
  <r>
    <x v="0"/>
    <x v="1640"/>
    <x v="1"/>
    <x v="4"/>
    <x v="0"/>
    <n v="1"/>
    <x v="5"/>
    <n v="0.9"/>
    <m/>
    <m/>
    <m/>
    <x v="1"/>
    <x v="0"/>
    <x v="0"/>
    <x v="1"/>
    <x v="0"/>
    <x v="0"/>
  </r>
  <r>
    <x v="0"/>
    <x v="1641"/>
    <x v="2"/>
    <x v="4"/>
    <x v="0"/>
    <n v="1"/>
    <x v="5"/>
    <n v="0.9"/>
    <m/>
    <m/>
    <m/>
    <x v="1"/>
    <x v="0"/>
    <x v="0"/>
    <x v="1"/>
    <x v="0"/>
    <x v="0"/>
  </r>
  <r>
    <x v="0"/>
    <x v="1642"/>
    <x v="3"/>
    <x v="4"/>
    <x v="0"/>
    <n v="1"/>
    <x v="5"/>
    <n v="0.9"/>
    <m/>
    <m/>
    <m/>
    <x v="1"/>
    <x v="0"/>
    <x v="0"/>
    <x v="1"/>
    <x v="0"/>
    <x v="0"/>
  </r>
  <r>
    <x v="0"/>
    <x v="1643"/>
    <x v="4"/>
    <x v="4"/>
    <x v="0"/>
    <n v="1"/>
    <x v="5"/>
    <n v="0.9"/>
    <m/>
    <m/>
    <m/>
    <x v="1"/>
    <x v="0"/>
    <x v="0"/>
    <x v="1"/>
    <x v="0"/>
    <x v="0"/>
  </r>
  <r>
    <x v="0"/>
    <x v="1644"/>
    <x v="13"/>
    <x v="1"/>
    <x v="1"/>
    <m/>
    <x v="2"/>
    <n v="0.4"/>
    <m/>
    <m/>
    <m/>
    <x v="1"/>
    <x v="0"/>
    <x v="0"/>
    <x v="1"/>
    <x v="0"/>
    <x v="0"/>
  </r>
  <r>
    <x v="0"/>
    <x v="1645"/>
    <x v="12"/>
    <x v="1"/>
    <x v="1"/>
    <m/>
    <x v="2"/>
    <n v="0.4"/>
    <m/>
    <m/>
    <m/>
    <x v="1"/>
    <x v="0"/>
    <x v="0"/>
    <x v="1"/>
    <x v="0"/>
    <x v="0"/>
  </r>
  <r>
    <x v="0"/>
    <x v="1646"/>
    <x v="14"/>
    <x v="1"/>
    <x v="1"/>
    <m/>
    <x v="2"/>
    <n v="0.4"/>
    <m/>
    <m/>
    <m/>
    <x v="1"/>
    <x v="0"/>
    <x v="0"/>
    <x v="1"/>
    <x v="0"/>
    <x v="0"/>
  </r>
  <r>
    <x v="0"/>
    <x v="1647"/>
    <x v="15"/>
    <x v="1"/>
    <x v="1"/>
    <m/>
    <x v="2"/>
    <n v="0.4"/>
    <m/>
    <m/>
    <m/>
    <x v="1"/>
    <x v="0"/>
    <x v="0"/>
    <x v="1"/>
    <x v="0"/>
    <x v="0"/>
  </r>
  <r>
    <x v="0"/>
    <x v="1648"/>
    <x v="0"/>
    <x v="0"/>
    <x v="0"/>
    <n v="1.6"/>
    <x v="9"/>
    <n v="0.58299999999999996"/>
    <m/>
    <n v="1.53"/>
    <n v="12.050668"/>
    <x v="1"/>
    <x v="0"/>
    <x v="0"/>
    <x v="1"/>
    <x v="0"/>
    <x v="0"/>
  </r>
  <r>
    <x v="0"/>
    <x v="1649"/>
    <x v="1"/>
    <x v="0"/>
    <x v="0"/>
    <n v="1.6"/>
    <x v="9"/>
    <n v="0.58299999999999996"/>
    <m/>
    <n v="1.53"/>
    <n v="12.050668"/>
    <x v="1"/>
    <x v="0"/>
    <x v="0"/>
    <x v="1"/>
    <x v="0"/>
    <x v="0"/>
  </r>
  <r>
    <x v="0"/>
    <x v="1650"/>
    <x v="2"/>
    <x v="0"/>
    <x v="0"/>
    <n v="1.6"/>
    <x v="9"/>
    <n v="0.58299999999999996"/>
    <m/>
    <n v="1.53"/>
    <n v="12.050668"/>
    <x v="1"/>
    <x v="0"/>
    <x v="0"/>
    <x v="1"/>
    <x v="0"/>
    <x v="0"/>
  </r>
  <r>
    <x v="0"/>
    <x v="1651"/>
    <x v="3"/>
    <x v="0"/>
    <x v="0"/>
    <n v="1.6"/>
    <x v="9"/>
    <n v="0.58299999999999996"/>
    <m/>
    <n v="1.53"/>
    <n v="12.050668"/>
    <x v="1"/>
    <x v="0"/>
    <x v="0"/>
    <x v="1"/>
    <x v="0"/>
    <x v="0"/>
  </r>
  <r>
    <x v="0"/>
    <x v="1652"/>
    <x v="4"/>
    <x v="0"/>
    <x v="0"/>
    <n v="1.6"/>
    <x v="9"/>
    <n v="0.58299999999999996"/>
    <m/>
    <n v="1.53"/>
    <n v="12.050668"/>
    <x v="1"/>
    <x v="0"/>
    <x v="0"/>
    <x v="1"/>
    <x v="0"/>
    <x v="0"/>
  </r>
  <r>
    <x v="0"/>
    <x v="1653"/>
    <x v="13"/>
    <x v="1"/>
    <x v="1"/>
    <m/>
    <x v="2"/>
    <n v="0.35"/>
    <m/>
    <m/>
    <m/>
    <x v="1"/>
    <x v="0"/>
    <x v="0"/>
    <x v="1"/>
    <x v="0"/>
    <x v="0"/>
  </r>
  <r>
    <x v="0"/>
    <x v="1654"/>
    <x v="12"/>
    <x v="1"/>
    <x v="1"/>
    <m/>
    <x v="2"/>
    <n v="0.35"/>
    <m/>
    <m/>
    <m/>
    <x v="1"/>
    <x v="0"/>
    <x v="0"/>
    <x v="1"/>
    <x v="0"/>
    <x v="0"/>
  </r>
  <r>
    <x v="0"/>
    <x v="1655"/>
    <x v="14"/>
    <x v="1"/>
    <x v="1"/>
    <m/>
    <x v="2"/>
    <n v="0.35"/>
    <m/>
    <m/>
    <m/>
    <x v="1"/>
    <x v="0"/>
    <x v="0"/>
    <x v="1"/>
    <x v="0"/>
    <x v="0"/>
  </r>
  <r>
    <x v="0"/>
    <x v="1656"/>
    <x v="15"/>
    <x v="1"/>
    <x v="1"/>
    <m/>
    <x v="2"/>
    <n v="0.35"/>
    <m/>
    <m/>
    <m/>
    <x v="1"/>
    <x v="0"/>
    <x v="0"/>
    <x v="1"/>
    <x v="0"/>
    <x v="0"/>
  </r>
  <r>
    <x v="0"/>
    <x v="1657"/>
    <x v="22"/>
    <x v="4"/>
    <x v="0"/>
    <n v="0.33333299999999999"/>
    <x v="5"/>
    <n v="0.92"/>
    <n v="0.63400000000000001"/>
    <n v="1.1519999999999999"/>
    <n v="48.202672999999997"/>
    <x v="11"/>
    <x v="0"/>
    <x v="0"/>
    <x v="2"/>
    <x v="0"/>
    <x v="0"/>
  </r>
  <r>
    <x v="0"/>
    <x v="1658"/>
    <x v="22"/>
    <x v="4"/>
    <x v="0"/>
    <n v="0.45833299999999999"/>
    <x v="5"/>
    <n v="0.92"/>
    <n v="0.63400000000000001"/>
    <n v="1.1519999999999999"/>
    <n v="48.202672999999997"/>
    <x v="11"/>
    <x v="0"/>
    <x v="0"/>
    <x v="2"/>
    <x v="0"/>
    <x v="0"/>
  </r>
  <r>
    <x v="0"/>
    <x v="1659"/>
    <x v="5"/>
    <x v="1"/>
    <x v="1"/>
    <m/>
    <x v="2"/>
    <n v="0.41"/>
    <m/>
    <m/>
    <m/>
    <x v="1"/>
    <x v="0"/>
    <x v="0"/>
    <x v="1"/>
    <x v="0"/>
    <x v="0"/>
  </r>
  <r>
    <x v="0"/>
    <x v="1660"/>
    <x v="13"/>
    <x v="1"/>
    <x v="1"/>
    <m/>
    <x v="2"/>
    <n v="0.38"/>
    <m/>
    <m/>
    <m/>
    <x v="1"/>
    <x v="0"/>
    <x v="0"/>
    <x v="1"/>
    <x v="0"/>
    <x v="0"/>
  </r>
  <r>
    <x v="0"/>
    <x v="1661"/>
    <x v="12"/>
    <x v="1"/>
    <x v="1"/>
    <m/>
    <x v="2"/>
    <n v="0.38"/>
    <m/>
    <m/>
    <m/>
    <x v="1"/>
    <x v="0"/>
    <x v="0"/>
    <x v="1"/>
    <x v="0"/>
    <x v="0"/>
  </r>
  <r>
    <x v="0"/>
    <x v="1662"/>
    <x v="14"/>
    <x v="1"/>
    <x v="1"/>
    <m/>
    <x v="2"/>
    <n v="0.38"/>
    <m/>
    <m/>
    <m/>
    <x v="1"/>
    <x v="0"/>
    <x v="0"/>
    <x v="1"/>
    <x v="0"/>
    <x v="0"/>
  </r>
  <r>
    <x v="0"/>
    <x v="1663"/>
    <x v="15"/>
    <x v="1"/>
    <x v="1"/>
    <m/>
    <x v="2"/>
    <n v="0.38"/>
    <m/>
    <m/>
    <m/>
    <x v="1"/>
    <x v="0"/>
    <x v="0"/>
    <x v="1"/>
    <x v="0"/>
    <x v="0"/>
  </r>
  <r>
    <x v="0"/>
    <x v="1664"/>
    <x v="0"/>
    <x v="5"/>
    <x v="3"/>
    <m/>
    <x v="5"/>
    <n v="1.01"/>
    <n v="6.5412999999999999E-2"/>
    <n v="0.40555999999999998"/>
    <n v="1.2101379999999999"/>
    <x v="3"/>
    <x v="0"/>
    <x v="0"/>
    <x v="17"/>
    <x v="0"/>
    <x v="0"/>
  </r>
  <r>
    <x v="0"/>
    <x v="1665"/>
    <x v="1"/>
    <x v="5"/>
    <x v="3"/>
    <m/>
    <x v="5"/>
    <n v="1.01"/>
    <n v="6.5412999999999999E-2"/>
    <n v="0.40555999999999998"/>
    <n v="1.2101379999999999"/>
    <x v="3"/>
    <x v="0"/>
    <x v="0"/>
    <x v="17"/>
    <x v="0"/>
    <x v="0"/>
  </r>
  <r>
    <x v="0"/>
    <x v="1666"/>
    <x v="2"/>
    <x v="5"/>
    <x v="3"/>
    <m/>
    <x v="5"/>
    <n v="1.01"/>
    <n v="6.5412999999999999E-2"/>
    <n v="0.40555999999999998"/>
    <n v="1.2101379999999999"/>
    <x v="3"/>
    <x v="0"/>
    <x v="0"/>
    <x v="17"/>
    <x v="0"/>
    <x v="0"/>
  </r>
  <r>
    <x v="0"/>
    <x v="1667"/>
    <x v="3"/>
    <x v="5"/>
    <x v="3"/>
    <m/>
    <x v="5"/>
    <n v="1.01"/>
    <n v="6.5412999999999999E-2"/>
    <n v="0.40555999999999998"/>
    <n v="1.2101379999999999"/>
    <x v="3"/>
    <x v="0"/>
    <x v="0"/>
    <x v="17"/>
    <x v="0"/>
    <x v="0"/>
  </r>
  <r>
    <x v="0"/>
    <x v="1668"/>
    <x v="4"/>
    <x v="5"/>
    <x v="3"/>
    <m/>
    <x v="5"/>
    <n v="1.01"/>
    <n v="6.5412999999999999E-2"/>
    <n v="0.40555999999999998"/>
    <n v="1.2101379999999999"/>
    <x v="3"/>
    <x v="0"/>
    <x v="0"/>
    <x v="17"/>
    <x v="0"/>
    <x v="0"/>
  </r>
  <r>
    <x v="0"/>
    <x v="1669"/>
    <x v="0"/>
    <x v="5"/>
    <x v="3"/>
    <m/>
    <x v="5"/>
    <n v="1.01"/>
    <n v="6.5412999999999999E-2"/>
    <n v="0.40555999999999998"/>
    <n v="1.2101379999999999"/>
    <x v="3"/>
    <x v="0"/>
    <x v="0"/>
    <x v="17"/>
    <x v="0"/>
    <x v="0"/>
  </r>
  <r>
    <x v="0"/>
    <x v="1670"/>
    <x v="1"/>
    <x v="5"/>
    <x v="3"/>
    <m/>
    <x v="5"/>
    <n v="1.01"/>
    <n v="6.5412999999999999E-2"/>
    <n v="0.40555999999999998"/>
    <n v="1.2101379999999999"/>
    <x v="3"/>
    <x v="0"/>
    <x v="0"/>
    <x v="17"/>
    <x v="0"/>
    <x v="0"/>
  </r>
  <r>
    <x v="0"/>
    <x v="1671"/>
    <x v="2"/>
    <x v="5"/>
    <x v="3"/>
    <m/>
    <x v="5"/>
    <n v="1.01"/>
    <n v="6.5412999999999999E-2"/>
    <n v="0.40555999999999998"/>
    <n v="1.2101379999999999"/>
    <x v="3"/>
    <x v="0"/>
    <x v="0"/>
    <x v="17"/>
    <x v="0"/>
    <x v="0"/>
  </r>
  <r>
    <x v="0"/>
    <x v="1672"/>
    <x v="3"/>
    <x v="5"/>
    <x v="3"/>
    <m/>
    <x v="5"/>
    <n v="1.01"/>
    <n v="6.5412999999999999E-2"/>
    <n v="0.40555999999999998"/>
    <n v="1.2101379999999999"/>
    <x v="3"/>
    <x v="0"/>
    <x v="0"/>
    <x v="17"/>
    <x v="0"/>
    <x v="0"/>
  </r>
  <r>
    <x v="0"/>
    <x v="1673"/>
    <x v="4"/>
    <x v="5"/>
    <x v="3"/>
    <m/>
    <x v="5"/>
    <n v="1.01"/>
    <n v="6.5412999999999999E-2"/>
    <n v="0.40555999999999998"/>
    <n v="1.2101379999999999"/>
    <x v="3"/>
    <x v="0"/>
    <x v="0"/>
    <x v="17"/>
    <x v="0"/>
    <x v="0"/>
  </r>
  <r>
    <x v="0"/>
    <x v="1674"/>
    <x v="0"/>
    <x v="4"/>
    <x v="0"/>
    <n v="0.99"/>
    <x v="5"/>
    <n v="0.87"/>
    <m/>
    <n v="1.61"/>
    <n v="12.050668"/>
    <x v="15"/>
    <x v="0"/>
    <x v="0"/>
    <x v="13"/>
    <x v="0"/>
    <x v="0"/>
  </r>
  <r>
    <x v="0"/>
    <x v="1675"/>
    <x v="1"/>
    <x v="4"/>
    <x v="0"/>
    <n v="0.99"/>
    <x v="5"/>
    <n v="0.87"/>
    <m/>
    <n v="1.61"/>
    <n v="12.050668"/>
    <x v="15"/>
    <x v="0"/>
    <x v="0"/>
    <x v="13"/>
    <x v="0"/>
    <x v="0"/>
  </r>
  <r>
    <x v="0"/>
    <x v="1676"/>
    <x v="2"/>
    <x v="4"/>
    <x v="0"/>
    <n v="0.99"/>
    <x v="5"/>
    <n v="0.87"/>
    <m/>
    <n v="1.61"/>
    <n v="12.050668"/>
    <x v="15"/>
    <x v="0"/>
    <x v="0"/>
    <x v="13"/>
    <x v="0"/>
    <x v="0"/>
  </r>
  <r>
    <x v="0"/>
    <x v="1677"/>
    <x v="3"/>
    <x v="4"/>
    <x v="0"/>
    <n v="0.99"/>
    <x v="5"/>
    <n v="0.87"/>
    <m/>
    <n v="1.61"/>
    <n v="12.050668"/>
    <x v="15"/>
    <x v="0"/>
    <x v="0"/>
    <x v="13"/>
    <x v="0"/>
    <x v="0"/>
  </r>
  <r>
    <x v="0"/>
    <x v="1678"/>
    <x v="4"/>
    <x v="4"/>
    <x v="0"/>
    <n v="0.99"/>
    <x v="5"/>
    <n v="0.87"/>
    <m/>
    <n v="1.61"/>
    <n v="12.050668"/>
    <x v="15"/>
    <x v="0"/>
    <x v="0"/>
    <x v="13"/>
    <x v="0"/>
    <x v="0"/>
  </r>
  <r>
    <x v="0"/>
    <x v="1679"/>
    <x v="0"/>
    <x v="0"/>
    <x v="0"/>
    <n v="1.53"/>
    <x v="22"/>
    <n v="0.56999999999999995"/>
    <m/>
    <n v="1.39"/>
    <n v="12.050668"/>
    <x v="13"/>
    <x v="0"/>
    <x v="0"/>
    <x v="2"/>
    <x v="0"/>
    <x v="0"/>
  </r>
  <r>
    <x v="0"/>
    <x v="1680"/>
    <x v="1"/>
    <x v="0"/>
    <x v="0"/>
    <n v="1.53"/>
    <x v="22"/>
    <n v="0.56999999999999995"/>
    <m/>
    <n v="1.39"/>
    <n v="12.050668"/>
    <x v="13"/>
    <x v="0"/>
    <x v="0"/>
    <x v="2"/>
    <x v="0"/>
    <x v="0"/>
  </r>
  <r>
    <x v="0"/>
    <x v="1681"/>
    <x v="2"/>
    <x v="0"/>
    <x v="0"/>
    <n v="1.53"/>
    <x v="22"/>
    <n v="0.56999999999999995"/>
    <m/>
    <n v="1.39"/>
    <n v="12.050668"/>
    <x v="13"/>
    <x v="0"/>
    <x v="0"/>
    <x v="2"/>
    <x v="0"/>
    <x v="0"/>
  </r>
  <r>
    <x v="0"/>
    <x v="1682"/>
    <x v="3"/>
    <x v="0"/>
    <x v="0"/>
    <n v="1.53"/>
    <x v="22"/>
    <n v="0.56999999999999995"/>
    <m/>
    <n v="1.39"/>
    <n v="12.050668"/>
    <x v="13"/>
    <x v="0"/>
    <x v="0"/>
    <x v="2"/>
    <x v="0"/>
    <x v="0"/>
  </r>
  <r>
    <x v="0"/>
    <x v="1683"/>
    <x v="4"/>
    <x v="0"/>
    <x v="0"/>
    <n v="1.53"/>
    <x v="22"/>
    <n v="0.56999999999999995"/>
    <m/>
    <n v="1.39"/>
    <n v="12.050668"/>
    <x v="13"/>
    <x v="0"/>
    <x v="0"/>
    <x v="2"/>
    <x v="0"/>
    <x v="0"/>
  </r>
  <r>
    <x v="0"/>
    <x v="1684"/>
    <x v="13"/>
    <x v="0"/>
    <x v="0"/>
    <n v="3.4"/>
    <x v="1"/>
    <n v="0.25"/>
    <m/>
    <m/>
    <m/>
    <x v="1"/>
    <x v="0"/>
    <x v="0"/>
    <x v="1"/>
    <x v="0"/>
    <x v="0"/>
  </r>
  <r>
    <x v="0"/>
    <x v="1685"/>
    <x v="12"/>
    <x v="0"/>
    <x v="0"/>
    <n v="3.4"/>
    <x v="1"/>
    <n v="0.25"/>
    <m/>
    <m/>
    <m/>
    <x v="1"/>
    <x v="0"/>
    <x v="0"/>
    <x v="1"/>
    <x v="0"/>
    <x v="0"/>
  </r>
  <r>
    <x v="0"/>
    <x v="1686"/>
    <x v="14"/>
    <x v="0"/>
    <x v="0"/>
    <n v="3.4"/>
    <x v="1"/>
    <n v="0.25"/>
    <m/>
    <m/>
    <m/>
    <x v="1"/>
    <x v="0"/>
    <x v="0"/>
    <x v="1"/>
    <x v="0"/>
    <x v="0"/>
  </r>
  <r>
    <x v="0"/>
    <x v="1687"/>
    <x v="15"/>
    <x v="0"/>
    <x v="0"/>
    <n v="3.4"/>
    <x v="1"/>
    <n v="0.25"/>
    <m/>
    <m/>
    <m/>
    <x v="1"/>
    <x v="0"/>
    <x v="0"/>
    <x v="1"/>
    <x v="0"/>
    <x v="0"/>
  </r>
  <r>
    <x v="0"/>
    <x v="1688"/>
    <x v="13"/>
    <x v="1"/>
    <x v="1"/>
    <m/>
    <x v="2"/>
    <n v="0.35"/>
    <m/>
    <m/>
    <m/>
    <x v="1"/>
    <x v="0"/>
    <x v="0"/>
    <x v="1"/>
    <x v="0"/>
    <x v="0"/>
  </r>
  <r>
    <x v="0"/>
    <x v="1689"/>
    <x v="12"/>
    <x v="1"/>
    <x v="1"/>
    <m/>
    <x v="2"/>
    <n v="0.35"/>
    <m/>
    <m/>
    <m/>
    <x v="1"/>
    <x v="0"/>
    <x v="0"/>
    <x v="1"/>
    <x v="0"/>
    <x v="0"/>
  </r>
  <r>
    <x v="0"/>
    <x v="1690"/>
    <x v="14"/>
    <x v="1"/>
    <x v="1"/>
    <m/>
    <x v="2"/>
    <n v="0.35"/>
    <m/>
    <m/>
    <m/>
    <x v="1"/>
    <x v="0"/>
    <x v="0"/>
    <x v="1"/>
    <x v="0"/>
    <x v="0"/>
  </r>
  <r>
    <x v="0"/>
    <x v="1691"/>
    <x v="15"/>
    <x v="1"/>
    <x v="1"/>
    <m/>
    <x v="2"/>
    <n v="0.35"/>
    <m/>
    <m/>
    <m/>
    <x v="1"/>
    <x v="0"/>
    <x v="0"/>
    <x v="1"/>
    <x v="0"/>
    <x v="0"/>
  </r>
  <r>
    <x v="0"/>
    <x v="1692"/>
    <x v="0"/>
    <x v="4"/>
    <x v="0"/>
    <n v="1"/>
    <x v="5"/>
    <n v="0.9"/>
    <m/>
    <m/>
    <m/>
    <x v="1"/>
    <x v="0"/>
    <x v="0"/>
    <x v="1"/>
    <x v="0"/>
    <x v="0"/>
  </r>
  <r>
    <x v="0"/>
    <x v="1693"/>
    <x v="1"/>
    <x v="4"/>
    <x v="0"/>
    <n v="1"/>
    <x v="5"/>
    <n v="0.9"/>
    <m/>
    <m/>
    <m/>
    <x v="1"/>
    <x v="0"/>
    <x v="0"/>
    <x v="1"/>
    <x v="0"/>
    <x v="0"/>
  </r>
  <r>
    <x v="0"/>
    <x v="1694"/>
    <x v="2"/>
    <x v="4"/>
    <x v="0"/>
    <n v="1"/>
    <x v="5"/>
    <n v="0.9"/>
    <m/>
    <m/>
    <m/>
    <x v="1"/>
    <x v="0"/>
    <x v="0"/>
    <x v="1"/>
    <x v="0"/>
    <x v="0"/>
  </r>
  <r>
    <x v="0"/>
    <x v="1695"/>
    <x v="3"/>
    <x v="4"/>
    <x v="0"/>
    <n v="1"/>
    <x v="5"/>
    <n v="0.9"/>
    <m/>
    <m/>
    <m/>
    <x v="1"/>
    <x v="0"/>
    <x v="0"/>
    <x v="1"/>
    <x v="0"/>
    <x v="0"/>
  </r>
  <r>
    <x v="0"/>
    <x v="1696"/>
    <x v="4"/>
    <x v="4"/>
    <x v="0"/>
    <n v="1"/>
    <x v="5"/>
    <n v="0.9"/>
    <m/>
    <m/>
    <m/>
    <x v="1"/>
    <x v="0"/>
    <x v="0"/>
    <x v="1"/>
    <x v="0"/>
    <x v="0"/>
  </r>
  <r>
    <x v="0"/>
    <x v="1697"/>
    <x v="22"/>
    <x v="4"/>
    <x v="0"/>
    <n v="0.28999999999999998"/>
    <x v="5"/>
    <n v="1.02"/>
    <n v="0.61299999999999999"/>
    <n v="1.113"/>
    <n v="48.202672999999997"/>
    <x v="16"/>
    <x v="0"/>
    <x v="0"/>
    <x v="2"/>
    <x v="0"/>
    <x v="0"/>
  </r>
  <r>
    <x v="0"/>
    <x v="1698"/>
    <x v="13"/>
    <x v="4"/>
    <x v="0"/>
    <n v="0.45"/>
    <x v="5"/>
    <n v="0.90222222222222204"/>
    <m/>
    <m/>
    <m/>
    <x v="1"/>
    <x v="0"/>
    <x v="0"/>
    <x v="1"/>
    <x v="0"/>
    <x v="0"/>
  </r>
  <r>
    <x v="0"/>
    <x v="1699"/>
    <x v="12"/>
    <x v="4"/>
    <x v="0"/>
    <n v="0.45"/>
    <x v="5"/>
    <n v="0.90222222222222204"/>
    <m/>
    <m/>
    <m/>
    <x v="1"/>
    <x v="0"/>
    <x v="0"/>
    <x v="1"/>
    <x v="0"/>
    <x v="0"/>
  </r>
  <r>
    <x v="0"/>
    <x v="1700"/>
    <x v="14"/>
    <x v="4"/>
    <x v="0"/>
    <n v="0.45"/>
    <x v="5"/>
    <n v="0.90222222222222204"/>
    <m/>
    <m/>
    <m/>
    <x v="1"/>
    <x v="0"/>
    <x v="0"/>
    <x v="1"/>
    <x v="0"/>
    <x v="0"/>
  </r>
  <r>
    <x v="0"/>
    <x v="1701"/>
    <x v="15"/>
    <x v="4"/>
    <x v="0"/>
    <n v="0.45"/>
    <x v="5"/>
    <n v="0.90222222222222204"/>
    <m/>
    <m/>
    <m/>
    <x v="1"/>
    <x v="0"/>
    <x v="0"/>
    <x v="1"/>
    <x v="0"/>
    <x v="0"/>
  </r>
  <r>
    <x v="0"/>
    <x v="1702"/>
    <x v="13"/>
    <x v="0"/>
    <x v="0"/>
    <n v="0.28999999999999998"/>
    <x v="23"/>
    <n v="0.28000000000000003"/>
    <m/>
    <m/>
    <m/>
    <x v="1"/>
    <x v="0"/>
    <x v="0"/>
    <x v="1"/>
    <x v="0"/>
    <x v="0"/>
  </r>
  <r>
    <x v="0"/>
    <x v="1703"/>
    <x v="12"/>
    <x v="0"/>
    <x v="0"/>
    <n v="0.28999999999999998"/>
    <x v="23"/>
    <n v="0.28000000000000003"/>
    <m/>
    <m/>
    <m/>
    <x v="1"/>
    <x v="0"/>
    <x v="0"/>
    <x v="1"/>
    <x v="0"/>
    <x v="0"/>
  </r>
  <r>
    <x v="0"/>
    <x v="1704"/>
    <x v="14"/>
    <x v="0"/>
    <x v="0"/>
    <n v="0.28999999999999998"/>
    <x v="23"/>
    <n v="0.28000000000000003"/>
    <m/>
    <m/>
    <m/>
    <x v="1"/>
    <x v="0"/>
    <x v="0"/>
    <x v="1"/>
    <x v="0"/>
    <x v="0"/>
  </r>
  <r>
    <x v="0"/>
    <x v="1705"/>
    <x v="15"/>
    <x v="0"/>
    <x v="0"/>
    <n v="0.28999999999999998"/>
    <x v="23"/>
    <n v="0.28000000000000003"/>
    <m/>
    <m/>
    <m/>
    <x v="1"/>
    <x v="0"/>
    <x v="0"/>
    <x v="1"/>
    <x v="0"/>
    <x v="0"/>
  </r>
  <r>
    <x v="0"/>
    <x v="1706"/>
    <x v="13"/>
    <x v="0"/>
    <x v="0"/>
    <n v="0.28999999999999998"/>
    <x v="24"/>
    <n v="0.28000000000000003"/>
    <m/>
    <m/>
    <m/>
    <x v="1"/>
    <x v="0"/>
    <x v="0"/>
    <x v="1"/>
    <x v="0"/>
    <x v="0"/>
  </r>
  <r>
    <x v="0"/>
    <x v="1707"/>
    <x v="12"/>
    <x v="0"/>
    <x v="0"/>
    <n v="0.28999999999999998"/>
    <x v="24"/>
    <n v="0.28000000000000003"/>
    <m/>
    <m/>
    <m/>
    <x v="1"/>
    <x v="0"/>
    <x v="0"/>
    <x v="1"/>
    <x v="0"/>
    <x v="0"/>
  </r>
  <r>
    <x v="0"/>
    <x v="1708"/>
    <x v="14"/>
    <x v="0"/>
    <x v="0"/>
    <n v="0.28999999999999998"/>
    <x v="24"/>
    <n v="0.28000000000000003"/>
    <m/>
    <m/>
    <m/>
    <x v="1"/>
    <x v="0"/>
    <x v="0"/>
    <x v="1"/>
    <x v="0"/>
    <x v="0"/>
  </r>
  <r>
    <x v="0"/>
    <x v="1709"/>
    <x v="15"/>
    <x v="0"/>
    <x v="0"/>
    <n v="0.28999999999999998"/>
    <x v="24"/>
    <n v="0.28000000000000003"/>
    <m/>
    <m/>
    <m/>
    <x v="1"/>
    <x v="0"/>
    <x v="0"/>
    <x v="1"/>
    <x v="0"/>
    <x v="0"/>
  </r>
  <r>
    <x v="0"/>
    <x v="1710"/>
    <x v="13"/>
    <x v="4"/>
    <x v="0"/>
    <n v="1"/>
    <x v="5"/>
    <n v="1"/>
    <m/>
    <m/>
    <m/>
    <x v="1"/>
    <x v="0"/>
    <x v="0"/>
    <x v="1"/>
    <x v="0"/>
    <x v="0"/>
  </r>
  <r>
    <x v="0"/>
    <x v="1711"/>
    <x v="12"/>
    <x v="4"/>
    <x v="0"/>
    <n v="1"/>
    <x v="5"/>
    <n v="1"/>
    <m/>
    <m/>
    <m/>
    <x v="1"/>
    <x v="0"/>
    <x v="0"/>
    <x v="1"/>
    <x v="0"/>
    <x v="0"/>
  </r>
  <r>
    <x v="0"/>
    <x v="1712"/>
    <x v="14"/>
    <x v="4"/>
    <x v="0"/>
    <n v="1"/>
    <x v="5"/>
    <n v="1"/>
    <m/>
    <m/>
    <m/>
    <x v="1"/>
    <x v="0"/>
    <x v="0"/>
    <x v="1"/>
    <x v="0"/>
    <x v="0"/>
  </r>
  <r>
    <x v="0"/>
    <x v="1713"/>
    <x v="15"/>
    <x v="4"/>
    <x v="0"/>
    <n v="1"/>
    <x v="5"/>
    <n v="1"/>
    <m/>
    <m/>
    <m/>
    <x v="1"/>
    <x v="0"/>
    <x v="0"/>
    <x v="1"/>
    <x v="0"/>
    <x v="0"/>
  </r>
  <r>
    <x v="0"/>
    <x v="1714"/>
    <x v="22"/>
    <x v="4"/>
    <x v="0"/>
    <n v="0.11600000000000001"/>
    <x v="5"/>
    <n v="0.92"/>
    <n v="0.63400000000000001"/>
    <n v="1.1519999999999999"/>
    <n v="48.202672999999997"/>
    <x v="11"/>
    <x v="0"/>
    <x v="0"/>
    <x v="2"/>
    <x v="0"/>
    <x v="0"/>
  </r>
  <r>
    <x v="0"/>
    <x v="1715"/>
    <x v="13"/>
    <x v="4"/>
    <x v="0"/>
    <n v="0.7"/>
    <x v="5"/>
    <n v="0.60714285714285698"/>
    <m/>
    <m/>
    <m/>
    <x v="1"/>
    <x v="0"/>
    <x v="0"/>
    <x v="1"/>
    <x v="0"/>
    <x v="0"/>
  </r>
  <r>
    <x v="0"/>
    <x v="1716"/>
    <x v="12"/>
    <x v="4"/>
    <x v="0"/>
    <n v="0.7"/>
    <x v="5"/>
    <n v="0.60714285714285698"/>
    <m/>
    <m/>
    <m/>
    <x v="1"/>
    <x v="0"/>
    <x v="0"/>
    <x v="1"/>
    <x v="0"/>
    <x v="0"/>
  </r>
  <r>
    <x v="0"/>
    <x v="1717"/>
    <x v="14"/>
    <x v="4"/>
    <x v="0"/>
    <n v="0.7"/>
    <x v="5"/>
    <n v="0.60714285714285698"/>
    <m/>
    <m/>
    <m/>
    <x v="1"/>
    <x v="0"/>
    <x v="0"/>
    <x v="1"/>
    <x v="0"/>
    <x v="0"/>
  </r>
  <r>
    <x v="0"/>
    <x v="1718"/>
    <x v="15"/>
    <x v="4"/>
    <x v="0"/>
    <n v="0.7"/>
    <x v="5"/>
    <n v="0.60714285714285698"/>
    <m/>
    <m/>
    <m/>
    <x v="1"/>
    <x v="0"/>
    <x v="0"/>
    <x v="1"/>
    <x v="0"/>
    <x v="0"/>
  </r>
  <r>
    <x v="0"/>
    <x v="1719"/>
    <x v="13"/>
    <x v="4"/>
    <x v="0"/>
    <n v="0.45"/>
    <x v="5"/>
    <n v="0.90222222222222204"/>
    <m/>
    <m/>
    <m/>
    <x v="1"/>
    <x v="0"/>
    <x v="0"/>
    <x v="1"/>
    <x v="0"/>
    <x v="0"/>
  </r>
  <r>
    <x v="0"/>
    <x v="1720"/>
    <x v="12"/>
    <x v="4"/>
    <x v="0"/>
    <n v="0.45"/>
    <x v="5"/>
    <n v="0.90222222222222204"/>
    <m/>
    <m/>
    <m/>
    <x v="1"/>
    <x v="0"/>
    <x v="0"/>
    <x v="1"/>
    <x v="0"/>
    <x v="0"/>
  </r>
  <r>
    <x v="0"/>
    <x v="1721"/>
    <x v="14"/>
    <x v="4"/>
    <x v="0"/>
    <n v="0.45"/>
    <x v="5"/>
    <n v="0.90222222222222204"/>
    <m/>
    <m/>
    <m/>
    <x v="1"/>
    <x v="0"/>
    <x v="0"/>
    <x v="1"/>
    <x v="0"/>
    <x v="0"/>
  </r>
  <r>
    <x v="0"/>
    <x v="1722"/>
    <x v="15"/>
    <x v="4"/>
    <x v="0"/>
    <n v="0.45"/>
    <x v="5"/>
    <n v="0.90222222222222204"/>
    <m/>
    <m/>
    <m/>
    <x v="1"/>
    <x v="0"/>
    <x v="0"/>
    <x v="1"/>
    <x v="0"/>
    <x v="0"/>
  </r>
  <r>
    <x v="0"/>
    <x v="1723"/>
    <x v="22"/>
    <x v="4"/>
    <x v="0"/>
    <n v="0.45833299999999999"/>
    <x v="5"/>
    <n v="0.92"/>
    <n v="0.63400000000000001"/>
    <n v="1.1519999999999999"/>
    <n v="48.202672999999997"/>
    <x v="11"/>
    <x v="0"/>
    <x v="0"/>
    <x v="2"/>
    <x v="0"/>
    <x v="0"/>
  </r>
  <r>
    <x v="0"/>
    <x v="1724"/>
    <x v="7"/>
    <x v="0"/>
    <x v="0"/>
    <n v="0.6"/>
    <x v="10"/>
    <n v="0.43"/>
    <m/>
    <n v="1.5680000000000001"/>
    <n v="39.200000000000003"/>
    <x v="1"/>
    <x v="0"/>
    <x v="0"/>
    <x v="1"/>
    <x v="0"/>
    <x v="0"/>
  </r>
  <r>
    <x v="0"/>
    <x v="1725"/>
    <x v="13"/>
    <x v="4"/>
    <x v="0"/>
    <n v="2"/>
    <x v="5"/>
    <n v="0.3"/>
    <m/>
    <m/>
    <m/>
    <x v="1"/>
    <x v="0"/>
    <x v="0"/>
    <x v="1"/>
    <x v="0"/>
    <x v="0"/>
  </r>
  <r>
    <x v="0"/>
    <x v="1726"/>
    <x v="12"/>
    <x v="4"/>
    <x v="0"/>
    <n v="2"/>
    <x v="5"/>
    <n v="0.3"/>
    <m/>
    <m/>
    <m/>
    <x v="1"/>
    <x v="0"/>
    <x v="0"/>
    <x v="1"/>
    <x v="0"/>
    <x v="0"/>
  </r>
  <r>
    <x v="0"/>
    <x v="1727"/>
    <x v="14"/>
    <x v="4"/>
    <x v="0"/>
    <n v="2"/>
    <x v="5"/>
    <n v="0.3"/>
    <m/>
    <m/>
    <m/>
    <x v="1"/>
    <x v="0"/>
    <x v="0"/>
    <x v="1"/>
    <x v="0"/>
    <x v="0"/>
  </r>
  <r>
    <x v="0"/>
    <x v="1728"/>
    <x v="15"/>
    <x v="4"/>
    <x v="0"/>
    <n v="2"/>
    <x v="5"/>
    <n v="0.3"/>
    <m/>
    <m/>
    <m/>
    <x v="1"/>
    <x v="0"/>
    <x v="0"/>
    <x v="1"/>
    <x v="0"/>
    <x v="0"/>
  </r>
  <r>
    <x v="0"/>
    <x v="1729"/>
    <x v="13"/>
    <x v="4"/>
    <x v="0"/>
    <n v="0.5"/>
    <x v="5"/>
    <n v="0.9"/>
    <m/>
    <m/>
    <m/>
    <x v="1"/>
    <x v="0"/>
    <x v="0"/>
    <x v="1"/>
    <x v="0"/>
    <x v="0"/>
  </r>
  <r>
    <x v="0"/>
    <x v="1730"/>
    <x v="12"/>
    <x v="4"/>
    <x v="0"/>
    <n v="0.5"/>
    <x v="5"/>
    <n v="0.9"/>
    <m/>
    <m/>
    <m/>
    <x v="1"/>
    <x v="0"/>
    <x v="0"/>
    <x v="1"/>
    <x v="0"/>
    <x v="0"/>
  </r>
  <r>
    <x v="0"/>
    <x v="1731"/>
    <x v="14"/>
    <x v="4"/>
    <x v="0"/>
    <n v="0.5"/>
    <x v="5"/>
    <n v="0.9"/>
    <m/>
    <m/>
    <m/>
    <x v="1"/>
    <x v="0"/>
    <x v="0"/>
    <x v="1"/>
    <x v="0"/>
    <x v="0"/>
  </r>
  <r>
    <x v="0"/>
    <x v="1732"/>
    <x v="15"/>
    <x v="4"/>
    <x v="0"/>
    <n v="0.5"/>
    <x v="5"/>
    <n v="0.9"/>
    <m/>
    <m/>
    <m/>
    <x v="1"/>
    <x v="0"/>
    <x v="0"/>
    <x v="1"/>
    <x v="0"/>
    <x v="0"/>
  </r>
  <r>
    <x v="0"/>
    <x v="1733"/>
    <x v="22"/>
    <x v="4"/>
    <x v="0"/>
    <n v="0.59523800000000004"/>
    <x v="5"/>
    <n v="0.92"/>
    <n v="0.63400000000000001"/>
    <n v="1.1519999999999999"/>
    <n v="48.202672999999997"/>
    <x v="11"/>
    <x v="0"/>
    <x v="0"/>
    <x v="2"/>
    <x v="0"/>
    <x v="0"/>
  </r>
  <r>
    <x v="0"/>
    <x v="1734"/>
    <x v="22"/>
    <x v="4"/>
    <x v="0"/>
    <n v="0.38181799999999999"/>
    <x v="5"/>
    <n v="0.92"/>
    <n v="0.63400000000000001"/>
    <n v="1.1519999999999999"/>
    <n v="48.202672999999997"/>
    <x v="11"/>
    <x v="0"/>
    <x v="0"/>
    <x v="2"/>
    <x v="0"/>
    <x v="0"/>
  </r>
  <r>
    <x v="0"/>
    <x v="1735"/>
    <x v="19"/>
    <x v="0"/>
    <x v="0"/>
    <n v="0.6"/>
    <x v="7"/>
    <n v="0.36499999999999999"/>
    <m/>
    <n v="0.80359999999999998"/>
    <n v="37.24"/>
    <x v="1"/>
    <x v="0"/>
    <x v="0"/>
    <x v="1"/>
    <x v="0"/>
    <x v="0"/>
  </r>
  <r>
    <x v="0"/>
    <x v="1736"/>
    <x v="13"/>
    <x v="0"/>
    <x v="0"/>
    <n v="0.4"/>
    <x v="25"/>
    <n v="0.28599999999999998"/>
    <m/>
    <n v="1.96"/>
    <n v="56.055999999999997"/>
    <x v="1"/>
    <x v="0"/>
    <x v="0"/>
    <x v="1"/>
    <x v="0"/>
    <x v="0"/>
  </r>
  <r>
    <x v="0"/>
    <x v="1737"/>
    <x v="12"/>
    <x v="0"/>
    <x v="0"/>
    <n v="0.4"/>
    <x v="25"/>
    <n v="0.28599999999999998"/>
    <m/>
    <n v="1.96"/>
    <n v="56.055999999999997"/>
    <x v="1"/>
    <x v="0"/>
    <x v="0"/>
    <x v="1"/>
    <x v="0"/>
    <x v="0"/>
  </r>
  <r>
    <x v="0"/>
    <x v="1738"/>
    <x v="14"/>
    <x v="0"/>
    <x v="0"/>
    <n v="0.4"/>
    <x v="25"/>
    <n v="0.28599999999999998"/>
    <m/>
    <n v="1.96"/>
    <n v="56.055999999999997"/>
    <x v="1"/>
    <x v="0"/>
    <x v="0"/>
    <x v="1"/>
    <x v="0"/>
    <x v="0"/>
  </r>
  <r>
    <x v="0"/>
    <x v="1739"/>
    <x v="15"/>
    <x v="0"/>
    <x v="0"/>
    <n v="0.4"/>
    <x v="25"/>
    <n v="0.28599999999999998"/>
    <m/>
    <n v="1.96"/>
    <n v="56.055999999999997"/>
    <x v="1"/>
    <x v="0"/>
    <x v="0"/>
    <x v="1"/>
    <x v="0"/>
    <x v="0"/>
  </r>
  <r>
    <x v="0"/>
    <x v="1740"/>
    <x v="10"/>
    <x v="4"/>
    <x v="0"/>
    <n v="0.40528999999999998"/>
    <x v="5"/>
    <n v="1.01"/>
    <n v="1.7330000000000001"/>
    <n v="1.333"/>
    <n v="21.332999999999998"/>
    <x v="3"/>
    <x v="0"/>
    <x v="0"/>
    <x v="3"/>
    <x v="0"/>
    <x v="0"/>
  </r>
  <r>
    <x v="0"/>
    <x v="1741"/>
    <x v="22"/>
    <x v="4"/>
    <x v="0"/>
    <n v="0.24"/>
    <x v="5"/>
    <n v="0.89"/>
    <n v="0.63400000000000001"/>
    <n v="1.1519999999999999"/>
    <n v="48.202672999999997"/>
    <x v="11"/>
    <x v="0"/>
    <x v="0"/>
    <x v="2"/>
    <x v="0"/>
    <x v="0"/>
  </r>
  <r>
    <x v="0"/>
    <x v="1742"/>
    <x v="0"/>
    <x v="0"/>
    <x v="0"/>
    <n v="1.1000000000000001"/>
    <x v="26"/>
    <n v="0.52"/>
    <m/>
    <n v="1.53"/>
    <n v="12.050668"/>
    <x v="1"/>
    <x v="0"/>
    <x v="0"/>
    <x v="1"/>
    <x v="0"/>
    <x v="0"/>
  </r>
  <r>
    <x v="0"/>
    <x v="1743"/>
    <x v="1"/>
    <x v="0"/>
    <x v="0"/>
    <n v="1.1000000000000001"/>
    <x v="26"/>
    <n v="0.52"/>
    <m/>
    <n v="1.53"/>
    <n v="12.050668"/>
    <x v="1"/>
    <x v="0"/>
    <x v="0"/>
    <x v="1"/>
    <x v="0"/>
    <x v="0"/>
  </r>
  <r>
    <x v="0"/>
    <x v="1744"/>
    <x v="2"/>
    <x v="0"/>
    <x v="0"/>
    <n v="1.1000000000000001"/>
    <x v="26"/>
    <n v="0.52"/>
    <m/>
    <n v="1.53"/>
    <n v="12.050668"/>
    <x v="1"/>
    <x v="0"/>
    <x v="0"/>
    <x v="1"/>
    <x v="0"/>
    <x v="0"/>
  </r>
  <r>
    <x v="0"/>
    <x v="1745"/>
    <x v="3"/>
    <x v="0"/>
    <x v="0"/>
    <n v="1.1000000000000001"/>
    <x v="26"/>
    <n v="0.52"/>
    <m/>
    <n v="1.53"/>
    <n v="12.050668"/>
    <x v="1"/>
    <x v="0"/>
    <x v="0"/>
    <x v="1"/>
    <x v="0"/>
    <x v="0"/>
  </r>
  <r>
    <x v="0"/>
    <x v="1746"/>
    <x v="4"/>
    <x v="0"/>
    <x v="0"/>
    <n v="1.1000000000000001"/>
    <x v="26"/>
    <n v="0.52"/>
    <m/>
    <n v="1.53"/>
    <n v="12.050668"/>
    <x v="1"/>
    <x v="0"/>
    <x v="0"/>
    <x v="1"/>
    <x v="0"/>
    <x v="0"/>
  </r>
  <r>
    <x v="0"/>
    <x v="1747"/>
    <x v="13"/>
    <x v="0"/>
    <x v="0"/>
    <n v="0.08"/>
    <x v="9"/>
    <n v="0.18"/>
    <m/>
    <m/>
    <m/>
    <x v="1"/>
    <x v="0"/>
    <x v="0"/>
    <x v="1"/>
    <x v="0"/>
    <x v="0"/>
  </r>
  <r>
    <x v="0"/>
    <x v="1748"/>
    <x v="12"/>
    <x v="0"/>
    <x v="0"/>
    <n v="0.08"/>
    <x v="9"/>
    <n v="0.18"/>
    <m/>
    <m/>
    <m/>
    <x v="1"/>
    <x v="0"/>
    <x v="0"/>
    <x v="1"/>
    <x v="0"/>
    <x v="0"/>
  </r>
  <r>
    <x v="0"/>
    <x v="1749"/>
    <x v="14"/>
    <x v="0"/>
    <x v="0"/>
    <n v="0.08"/>
    <x v="9"/>
    <n v="0.18"/>
    <m/>
    <m/>
    <m/>
    <x v="1"/>
    <x v="0"/>
    <x v="0"/>
    <x v="1"/>
    <x v="0"/>
    <x v="0"/>
  </r>
  <r>
    <x v="0"/>
    <x v="1750"/>
    <x v="15"/>
    <x v="0"/>
    <x v="0"/>
    <n v="0.08"/>
    <x v="9"/>
    <n v="0.18"/>
    <m/>
    <m/>
    <m/>
    <x v="1"/>
    <x v="0"/>
    <x v="0"/>
    <x v="1"/>
    <x v="0"/>
    <x v="0"/>
  </r>
  <r>
    <x v="0"/>
    <x v="1751"/>
    <x v="13"/>
    <x v="0"/>
    <x v="0"/>
    <n v="0.1"/>
    <x v="24"/>
    <n v="0.18"/>
    <m/>
    <m/>
    <m/>
    <x v="1"/>
    <x v="0"/>
    <x v="0"/>
    <x v="1"/>
    <x v="0"/>
    <x v="0"/>
  </r>
  <r>
    <x v="0"/>
    <x v="1752"/>
    <x v="12"/>
    <x v="0"/>
    <x v="0"/>
    <n v="0.1"/>
    <x v="24"/>
    <n v="0.18"/>
    <m/>
    <m/>
    <m/>
    <x v="1"/>
    <x v="0"/>
    <x v="0"/>
    <x v="1"/>
    <x v="0"/>
    <x v="0"/>
  </r>
  <r>
    <x v="0"/>
    <x v="1753"/>
    <x v="14"/>
    <x v="0"/>
    <x v="0"/>
    <n v="0.1"/>
    <x v="24"/>
    <n v="0.18"/>
    <m/>
    <m/>
    <m/>
    <x v="1"/>
    <x v="0"/>
    <x v="0"/>
    <x v="1"/>
    <x v="0"/>
    <x v="0"/>
  </r>
  <r>
    <x v="0"/>
    <x v="1754"/>
    <x v="15"/>
    <x v="0"/>
    <x v="0"/>
    <n v="0.1"/>
    <x v="24"/>
    <n v="0.18"/>
    <m/>
    <m/>
    <m/>
    <x v="1"/>
    <x v="0"/>
    <x v="0"/>
    <x v="1"/>
    <x v="0"/>
    <x v="0"/>
  </r>
  <r>
    <x v="0"/>
    <x v="1755"/>
    <x v="13"/>
    <x v="4"/>
    <x v="0"/>
    <n v="0.26"/>
    <x v="5"/>
    <n v="0.92076923076923101"/>
    <m/>
    <m/>
    <m/>
    <x v="1"/>
    <x v="0"/>
    <x v="0"/>
    <x v="1"/>
    <x v="0"/>
    <x v="0"/>
  </r>
  <r>
    <x v="0"/>
    <x v="1756"/>
    <x v="12"/>
    <x v="4"/>
    <x v="0"/>
    <n v="0.26"/>
    <x v="5"/>
    <n v="0.92076923076923101"/>
    <m/>
    <m/>
    <m/>
    <x v="1"/>
    <x v="0"/>
    <x v="0"/>
    <x v="1"/>
    <x v="0"/>
    <x v="0"/>
  </r>
  <r>
    <x v="0"/>
    <x v="1757"/>
    <x v="14"/>
    <x v="4"/>
    <x v="0"/>
    <n v="0.26"/>
    <x v="5"/>
    <n v="0.92076923076923101"/>
    <m/>
    <m/>
    <m/>
    <x v="1"/>
    <x v="0"/>
    <x v="0"/>
    <x v="1"/>
    <x v="0"/>
    <x v="0"/>
  </r>
  <r>
    <x v="0"/>
    <x v="1758"/>
    <x v="15"/>
    <x v="4"/>
    <x v="0"/>
    <n v="0.26"/>
    <x v="5"/>
    <n v="0.92076923076923101"/>
    <m/>
    <m/>
    <m/>
    <x v="1"/>
    <x v="0"/>
    <x v="0"/>
    <x v="1"/>
    <x v="0"/>
    <x v="0"/>
  </r>
  <r>
    <x v="0"/>
    <x v="1759"/>
    <x v="13"/>
    <x v="0"/>
    <x v="0"/>
    <n v="0.13"/>
    <x v="1"/>
    <n v="0.24"/>
    <m/>
    <m/>
    <m/>
    <x v="1"/>
    <x v="0"/>
    <x v="0"/>
    <x v="1"/>
    <x v="0"/>
    <x v="0"/>
  </r>
  <r>
    <x v="0"/>
    <x v="1760"/>
    <x v="12"/>
    <x v="0"/>
    <x v="0"/>
    <n v="0.13"/>
    <x v="1"/>
    <n v="0.24"/>
    <m/>
    <m/>
    <m/>
    <x v="1"/>
    <x v="0"/>
    <x v="0"/>
    <x v="1"/>
    <x v="0"/>
    <x v="0"/>
  </r>
  <r>
    <x v="0"/>
    <x v="1761"/>
    <x v="14"/>
    <x v="0"/>
    <x v="0"/>
    <n v="0.13"/>
    <x v="1"/>
    <n v="0.24"/>
    <m/>
    <m/>
    <m/>
    <x v="1"/>
    <x v="0"/>
    <x v="0"/>
    <x v="1"/>
    <x v="0"/>
    <x v="0"/>
  </r>
  <r>
    <x v="0"/>
    <x v="1762"/>
    <x v="15"/>
    <x v="0"/>
    <x v="0"/>
    <n v="0.13"/>
    <x v="1"/>
    <n v="0.24"/>
    <m/>
    <m/>
    <m/>
    <x v="1"/>
    <x v="0"/>
    <x v="0"/>
    <x v="1"/>
    <x v="0"/>
    <x v="0"/>
  </r>
  <r>
    <x v="0"/>
    <x v="1763"/>
    <x v="13"/>
    <x v="0"/>
    <x v="0"/>
    <n v="0.13"/>
    <x v="1"/>
    <n v="0.24"/>
    <m/>
    <m/>
    <m/>
    <x v="1"/>
    <x v="0"/>
    <x v="0"/>
    <x v="1"/>
    <x v="0"/>
    <x v="0"/>
  </r>
  <r>
    <x v="0"/>
    <x v="1764"/>
    <x v="12"/>
    <x v="0"/>
    <x v="0"/>
    <n v="0.13"/>
    <x v="1"/>
    <n v="0.24"/>
    <m/>
    <m/>
    <m/>
    <x v="1"/>
    <x v="0"/>
    <x v="0"/>
    <x v="1"/>
    <x v="0"/>
    <x v="0"/>
  </r>
  <r>
    <x v="0"/>
    <x v="1765"/>
    <x v="14"/>
    <x v="0"/>
    <x v="0"/>
    <n v="0.13"/>
    <x v="1"/>
    <n v="0.24"/>
    <m/>
    <m/>
    <m/>
    <x v="1"/>
    <x v="0"/>
    <x v="0"/>
    <x v="1"/>
    <x v="0"/>
    <x v="0"/>
  </r>
  <r>
    <x v="0"/>
    <x v="1766"/>
    <x v="15"/>
    <x v="0"/>
    <x v="0"/>
    <n v="0.13"/>
    <x v="1"/>
    <n v="0.24"/>
    <m/>
    <m/>
    <m/>
    <x v="1"/>
    <x v="0"/>
    <x v="0"/>
    <x v="1"/>
    <x v="0"/>
    <x v="0"/>
  </r>
  <r>
    <x v="0"/>
    <x v="1767"/>
    <x v="0"/>
    <x v="4"/>
    <x v="0"/>
    <n v="1"/>
    <x v="5"/>
    <n v="0.9"/>
    <m/>
    <m/>
    <m/>
    <x v="1"/>
    <x v="0"/>
    <x v="0"/>
    <x v="1"/>
    <x v="0"/>
    <x v="0"/>
  </r>
  <r>
    <x v="0"/>
    <x v="1768"/>
    <x v="1"/>
    <x v="4"/>
    <x v="0"/>
    <n v="1"/>
    <x v="5"/>
    <n v="0.9"/>
    <m/>
    <m/>
    <m/>
    <x v="1"/>
    <x v="0"/>
    <x v="0"/>
    <x v="1"/>
    <x v="0"/>
    <x v="0"/>
  </r>
  <r>
    <x v="0"/>
    <x v="1769"/>
    <x v="2"/>
    <x v="4"/>
    <x v="0"/>
    <n v="1"/>
    <x v="5"/>
    <n v="0.9"/>
    <m/>
    <m/>
    <m/>
    <x v="1"/>
    <x v="0"/>
    <x v="0"/>
    <x v="1"/>
    <x v="0"/>
    <x v="0"/>
  </r>
  <r>
    <x v="0"/>
    <x v="1770"/>
    <x v="3"/>
    <x v="4"/>
    <x v="0"/>
    <n v="1"/>
    <x v="5"/>
    <n v="0.9"/>
    <m/>
    <m/>
    <m/>
    <x v="1"/>
    <x v="0"/>
    <x v="0"/>
    <x v="1"/>
    <x v="0"/>
    <x v="0"/>
  </r>
  <r>
    <x v="0"/>
    <x v="1771"/>
    <x v="4"/>
    <x v="4"/>
    <x v="0"/>
    <n v="1"/>
    <x v="5"/>
    <n v="0.9"/>
    <m/>
    <m/>
    <m/>
    <x v="1"/>
    <x v="0"/>
    <x v="0"/>
    <x v="1"/>
    <x v="0"/>
    <x v="0"/>
  </r>
  <r>
    <x v="0"/>
    <x v="1772"/>
    <x v="13"/>
    <x v="4"/>
    <x v="0"/>
    <n v="1"/>
    <x v="5"/>
    <n v="1"/>
    <m/>
    <m/>
    <m/>
    <x v="1"/>
    <x v="0"/>
    <x v="0"/>
    <x v="1"/>
    <x v="0"/>
    <x v="0"/>
  </r>
  <r>
    <x v="0"/>
    <x v="1773"/>
    <x v="12"/>
    <x v="4"/>
    <x v="0"/>
    <n v="1"/>
    <x v="5"/>
    <n v="1"/>
    <m/>
    <m/>
    <m/>
    <x v="1"/>
    <x v="0"/>
    <x v="0"/>
    <x v="1"/>
    <x v="0"/>
    <x v="0"/>
  </r>
  <r>
    <x v="0"/>
    <x v="1774"/>
    <x v="14"/>
    <x v="4"/>
    <x v="0"/>
    <n v="1"/>
    <x v="5"/>
    <n v="1"/>
    <m/>
    <m/>
    <m/>
    <x v="1"/>
    <x v="0"/>
    <x v="0"/>
    <x v="1"/>
    <x v="0"/>
    <x v="0"/>
  </r>
  <r>
    <x v="0"/>
    <x v="1775"/>
    <x v="15"/>
    <x v="4"/>
    <x v="0"/>
    <n v="1"/>
    <x v="5"/>
    <n v="1"/>
    <m/>
    <m/>
    <m/>
    <x v="1"/>
    <x v="0"/>
    <x v="0"/>
    <x v="1"/>
    <x v="0"/>
    <x v="0"/>
  </r>
  <r>
    <x v="0"/>
    <x v="1776"/>
    <x v="0"/>
    <x v="4"/>
    <x v="0"/>
    <n v="1"/>
    <x v="5"/>
    <n v="0.9"/>
    <m/>
    <m/>
    <m/>
    <x v="1"/>
    <x v="0"/>
    <x v="0"/>
    <x v="1"/>
    <x v="0"/>
    <x v="0"/>
  </r>
  <r>
    <x v="0"/>
    <x v="1777"/>
    <x v="1"/>
    <x v="4"/>
    <x v="0"/>
    <n v="1"/>
    <x v="5"/>
    <n v="0.9"/>
    <m/>
    <m/>
    <m/>
    <x v="1"/>
    <x v="0"/>
    <x v="0"/>
    <x v="1"/>
    <x v="0"/>
    <x v="0"/>
  </r>
  <r>
    <x v="0"/>
    <x v="1778"/>
    <x v="2"/>
    <x v="4"/>
    <x v="0"/>
    <n v="1"/>
    <x v="5"/>
    <n v="0.9"/>
    <m/>
    <m/>
    <m/>
    <x v="1"/>
    <x v="0"/>
    <x v="0"/>
    <x v="1"/>
    <x v="0"/>
    <x v="0"/>
  </r>
  <r>
    <x v="0"/>
    <x v="1779"/>
    <x v="3"/>
    <x v="4"/>
    <x v="0"/>
    <n v="1"/>
    <x v="5"/>
    <n v="0.9"/>
    <m/>
    <m/>
    <m/>
    <x v="1"/>
    <x v="0"/>
    <x v="0"/>
    <x v="1"/>
    <x v="0"/>
    <x v="0"/>
  </r>
  <r>
    <x v="0"/>
    <x v="1780"/>
    <x v="4"/>
    <x v="4"/>
    <x v="0"/>
    <n v="1"/>
    <x v="5"/>
    <n v="0.9"/>
    <m/>
    <m/>
    <m/>
    <x v="1"/>
    <x v="0"/>
    <x v="0"/>
    <x v="1"/>
    <x v="0"/>
    <x v="0"/>
  </r>
  <r>
    <x v="0"/>
    <x v="1781"/>
    <x v="13"/>
    <x v="4"/>
    <x v="0"/>
    <n v="1"/>
    <x v="5"/>
    <n v="1"/>
    <m/>
    <m/>
    <m/>
    <x v="1"/>
    <x v="0"/>
    <x v="0"/>
    <x v="1"/>
    <x v="0"/>
    <x v="0"/>
  </r>
  <r>
    <x v="0"/>
    <x v="1782"/>
    <x v="12"/>
    <x v="4"/>
    <x v="0"/>
    <n v="1"/>
    <x v="5"/>
    <n v="1"/>
    <m/>
    <m/>
    <m/>
    <x v="1"/>
    <x v="0"/>
    <x v="0"/>
    <x v="1"/>
    <x v="0"/>
    <x v="0"/>
  </r>
  <r>
    <x v="0"/>
    <x v="1783"/>
    <x v="14"/>
    <x v="4"/>
    <x v="0"/>
    <n v="1"/>
    <x v="5"/>
    <n v="1"/>
    <m/>
    <m/>
    <m/>
    <x v="1"/>
    <x v="0"/>
    <x v="0"/>
    <x v="1"/>
    <x v="0"/>
    <x v="0"/>
  </r>
  <r>
    <x v="0"/>
    <x v="1784"/>
    <x v="15"/>
    <x v="4"/>
    <x v="0"/>
    <n v="1"/>
    <x v="5"/>
    <n v="1"/>
    <m/>
    <m/>
    <m/>
    <x v="1"/>
    <x v="0"/>
    <x v="0"/>
    <x v="1"/>
    <x v="0"/>
    <x v="0"/>
  </r>
</pivotCacheRecords>
</file>

<file path=xl/pivotCache/pivotCacheRecords27.xml><?xml version="1.0" encoding="utf-8"?>
<pivotCacheRecords xmlns="http://schemas.openxmlformats.org/spreadsheetml/2006/main" xmlns:r="http://schemas.openxmlformats.org/officeDocument/2006/relationships" count="73">
  <r>
    <x v="0"/>
    <x v="0"/>
    <x v="0"/>
    <x v="0"/>
    <x v="0"/>
    <x v="0"/>
    <x v="0"/>
    <x v="0"/>
    <x v="0"/>
    <n v="27.156161704360802"/>
    <n v="6607.9993480611201"/>
    <n v="23788.797653019999"/>
  </r>
  <r>
    <x v="0"/>
    <x v="0"/>
    <x v="0"/>
    <x v="0"/>
    <x v="0"/>
    <x v="0"/>
    <x v="0"/>
    <x v="0"/>
    <x v="1"/>
    <n v="44.0974204461941"/>
    <n v="10730.3723085739"/>
    <n v="38629.340310865999"/>
  </r>
  <r>
    <x v="0"/>
    <x v="0"/>
    <x v="0"/>
    <x v="0"/>
    <x v="0"/>
    <x v="1"/>
    <x v="1"/>
    <x v="0"/>
    <x v="1"/>
    <n v="50.363279320916"/>
    <n v="12255.0646347562"/>
    <n v="44118.232685122399"/>
  </r>
  <r>
    <x v="0"/>
    <x v="0"/>
    <x v="0"/>
    <x v="0"/>
    <x v="0"/>
    <x v="2"/>
    <x v="2"/>
    <x v="1"/>
    <x v="2"/>
    <n v="477.77368756653902"/>
    <n v="116258.263974524"/>
    <n v="418529.75030828803"/>
  </r>
  <r>
    <x v="0"/>
    <x v="0"/>
    <x v="0"/>
    <x v="0"/>
    <x v="0"/>
    <x v="2"/>
    <x v="2"/>
    <x v="1"/>
    <x v="3"/>
    <n v="507.53904208249099"/>
    <n v="123501.166906739"/>
    <n v="444604.20086426201"/>
  </r>
  <r>
    <x v="0"/>
    <x v="0"/>
    <x v="0"/>
    <x v="0"/>
    <x v="0"/>
    <x v="2"/>
    <x v="2"/>
    <x v="1"/>
    <x v="4"/>
    <n v="595.15913840597705"/>
    <n v="144822.05701212099"/>
    <n v="521359.40524363599"/>
  </r>
  <r>
    <x v="0"/>
    <x v="0"/>
    <x v="0"/>
    <x v="0"/>
    <x v="0"/>
    <x v="2"/>
    <x v="2"/>
    <x v="1"/>
    <x v="5"/>
    <n v="510.85907501445098"/>
    <n v="124309.04158685"/>
    <n v="447512.54971265898"/>
  </r>
  <r>
    <x v="0"/>
    <x v="0"/>
    <x v="0"/>
    <x v="0"/>
    <x v="0"/>
    <x v="2"/>
    <x v="2"/>
    <x v="1"/>
    <x v="0"/>
    <n v="491.804418103827"/>
    <n v="119672.408405265"/>
    <n v="430820.67025895201"/>
  </r>
  <r>
    <x v="0"/>
    <x v="0"/>
    <x v="0"/>
    <x v="0"/>
    <x v="0"/>
    <x v="2"/>
    <x v="2"/>
    <x v="1"/>
    <x v="6"/>
    <n v="589.47722399230202"/>
    <n v="143439.45783812701"/>
    <n v="516382.04821725702"/>
  </r>
  <r>
    <x v="0"/>
    <x v="0"/>
    <x v="0"/>
    <x v="0"/>
    <x v="0"/>
    <x v="2"/>
    <x v="2"/>
    <x v="1"/>
    <x v="1"/>
    <n v="490.88520377955001"/>
    <n v="119448.73291969"/>
    <n v="430015.438510885"/>
  </r>
  <r>
    <x v="0"/>
    <x v="0"/>
    <x v="0"/>
    <x v="0"/>
    <x v="0"/>
    <x v="2"/>
    <x v="2"/>
    <x v="1"/>
    <x v="7"/>
    <n v="627.98566662254404"/>
    <n v="152809.84554481899"/>
    <n v="550115.44396134897"/>
  </r>
  <r>
    <x v="0"/>
    <x v="0"/>
    <x v="0"/>
    <x v="0"/>
    <x v="0"/>
    <x v="2"/>
    <x v="2"/>
    <x v="1"/>
    <x v="8"/>
    <n v="548.829328828543"/>
    <n v="133548.47001494499"/>
    <n v="480774.492053803"/>
  </r>
  <r>
    <x v="0"/>
    <x v="0"/>
    <x v="0"/>
    <x v="0"/>
    <x v="0"/>
    <x v="2"/>
    <x v="2"/>
    <x v="1"/>
    <x v="9"/>
    <n v="430.45097054609897"/>
    <n v="104743.069499551"/>
    <n v="377075.05019838299"/>
  </r>
  <r>
    <x v="0"/>
    <x v="0"/>
    <x v="0"/>
    <x v="0"/>
    <x v="0"/>
    <x v="2"/>
    <x v="2"/>
    <x v="1"/>
    <x v="10"/>
    <n v="439.06206845266303"/>
    <n v="106838.436656815"/>
    <n v="384618.371964533"/>
  </r>
  <r>
    <x v="0"/>
    <x v="0"/>
    <x v="0"/>
    <x v="0"/>
    <x v="0"/>
    <x v="2"/>
    <x v="2"/>
    <x v="1"/>
    <x v="11"/>
    <n v="430.57264695516"/>
    <n v="104772.677425756"/>
    <n v="377181.63873271999"/>
  </r>
  <r>
    <x v="0"/>
    <x v="0"/>
    <x v="0"/>
    <x v="0"/>
    <x v="0"/>
    <x v="2"/>
    <x v="2"/>
    <x v="0"/>
    <x v="2"/>
    <n v="183.04029833667201"/>
    <n v="44539.805928590198"/>
    <n v="160343.301342925"/>
  </r>
  <r>
    <x v="0"/>
    <x v="0"/>
    <x v="0"/>
    <x v="0"/>
    <x v="0"/>
    <x v="2"/>
    <x v="2"/>
    <x v="0"/>
    <x v="3"/>
    <n v="297.78914433216897"/>
    <n v="72462.025120827806"/>
    <n v="260863.29043498001"/>
  </r>
  <r>
    <x v="0"/>
    <x v="0"/>
    <x v="0"/>
    <x v="0"/>
    <x v="0"/>
    <x v="2"/>
    <x v="2"/>
    <x v="0"/>
    <x v="4"/>
    <n v="329.77575482024503"/>
    <n v="80245.433672926301"/>
    <n v="288883.56122253498"/>
  </r>
  <r>
    <x v="0"/>
    <x v="0"/>
    <x v="0"/>
    <x v="0"/>
    <x v="0"/>
    <x v="2"/>
    <x v="2"/>
    <x v="0"/>
    <x v="5"/>
    <n v="295.22671534209502"/>
    <n v="71838.500733243098"/>
    <n v="258618.60263967499"/>
  </r>
  <r>
    <x v="0"/>
    <x v="0"/>
    <x v="0"/>
    <x v="0"/>
    <x v="0"/>
    <x v="2"/>
    <x v="2"/>
    <x v="0"/>
    <x v="6"/>
    <n v="80.145929328024394"/>
    <n v="19502.176136485901"/>
    <n v="70207.834091349403"/>
  </r>
  <r>
    <x v="0"/>
    <x v="0"/>
    <x v="0"/>
    <x v="0"/>
    <x v="0"/>
    <x v="2"/>
    <x v="2"/>
    <x v="0"/>
    <x v="7"/>
    <n v="225.18103609091301"/>
    <n v="54794.052115455597"/>
    <n v="197258.58761563999"/>
  </r>
  <r>
    <x v="0"/>
    <x v="0"/>
    <x v="0"/>
    <x v="0"/>
    <x v="0"/>
    <x v="2"/>
    <x v="2"/>
    <x v="0"/>
    <x v="8"/>
    <n v="209.397170666081"/>
    <n v="50953.311528746402"/>
    <n v="183431.92150348701"/>
  </r>
  <r>
    <x v="0"/>
    <x v="0"/>
    <x v="0"/>
    <x v="0"/>
    <x v="0"/>
    <x v="2"/>
    <x v="2"/>
    <x v="0"/>
    <x v="9"/>
    <n v="152.80271085123499"/>
    <n v="37181.992973800501"/>
    <n v="133855.174705682"/>
  </r>
  <r>
    <x v="0"/>
    <x v="0"/>
    <x v="0"/>
    <x v="0"/>
    <x v="0"/>
    <x v="2"/>
    <x v="2"/>
    <x v="0"/>
    <x v="10"/>
    <n v="178.47561086512499"/>
    <n v="43429.065310513703"/>
    <n v="156344.63511784899"/>
  </r>
  <r>
    <x v="0"/>
    <x v="0"/>
    <x v="0"/>
    <x v="0"/>
    <x v="0"/>
    <x v="2"/>
    <x v="2"/>
    <x v="0"/>
    <x v="11"/>
    <n v="90.247083889518294"/>
    <n v="21960.123746449401"/>
    <n v="79056.445487218007"/>
  </r>
  <r>
    <x v="0"/>
    <x v="0"/>
    <x v="0"/>
    <x v="0"/>
    <x v="0"/>
    <x v="2"/>
    <x v="2"/>
    <x v="2"/>
    <x v="2"/>
    <n v="118.80683817696701"/>
    <n v="28909.663956395401"/>
    <n v="104074.790243023"/>
  </r>
  <r>
    <x v="0"/>
    <x v="0"/>
    <x v="0"/>
    <x v="0"/>
    <x v="0"/>
    <x v="2"/>
    <x v="2"/>
    <x v="2"/>
    <x v="3"/>
    <n v="108.918021800421"/>
    <n v="26503.385304769101"/>
    <n v="95412.187097168804"/>
  </r>
  <r>
    <x v="0"/>
    <x v="0"/>
    <x v="0"/>
    <x v="0"/>
    <x v="0"/>
    <x v="2"/>
    <x v="2"/>
    <x v="2"/>
    <x v="4"/>
    <n v="108.993249281856"/>
    <n v="26521.690658584899"/>
    <n v="95478.086370905599"/>
  </r>
  <r>
    <x v="0"/>
    <x v="0"/>
    <x v="0"/>
    <x v="0"/>
    <x v="0"/>
    <x v="2"/>
    <x v="2"/>
    <x v="2"/>
    <x v="5"/>
    <n v="89.626508252671897"/>
    <n v="21809.117008150199"/>
    <n v="78512.821229340596"/>
  </r>
  <r>
    <x v="0"/>
    <x v="0"/>
    <x v="0"/>
    <x v="0"/>
    <x v="0"/>
    <x v="2"/>
    <x v="2"/>
    <x v="2"/>
    <x v="0"/>
    <n v="76.157845246523394"/>
    <n v="18531.7423433207"/>
    <n v="66714.272435954495"/>
  </r>
  <r>
    <x v="0"/>
    <x v="0"/>
    <x v="0"/>
    <x v="0"/>
    <x v="0"/>
    <x v="2"/>
    <x v="2"/>
    <x v="2"/>
    <x v="6"/>
    <n v="105.70251400267399"/>
    <n v="25720.945073984101"/>
    <n v="92595.402266342702"/>
  </r>
  <r>
    <x v="0"/>
    <x v="0"/>
    <x v="0"/>
    <x v="0"/>
    <x v="0"/>
    <x v="2"/>
    <x v="2"/>
    <x v="2"/>
    <x v="1"/>
    <n v="85.230241992389594"/>
    <n v="20739.358884814799"/>
    <n v="74661.691985333295"/>
  </r>
  <r>
    <x v="0"/>
    <x v="0"/>
    <x v="0"/>
    <x v="0"/>
    <x v="0"/>
    <x v="2"/>
    <x v="2"/>
    <x v="2"/>
    <x v="7"/>
    <n v="121.919102787643"/>
    <n v="29666.981678326501"/>
    <n v="106801.13404197599"/>
  </r>
  <r>
    <x v="0"/>
    <x v="0"/>
    <x v="0"/>
    <x v="0"/>
    <x v="0"/>
    <x v="2"/>
    <x v="2"/>
    <x v="2"/>
    <x v="8"/>
    <n v="100.527758642762"/>
    <n v="24461.754603072"/>
    <n v="88062.316571059302"/>
  </r>
  <r>
    <x v="0"/>
    <x v="0"/>
    <x v="0"/>
    <x v="0"/>
    <x v="0"/>
    <x v="2"/>
    <x v="2"/>
    <x v="2"/>
    <x v="9"/>
    <n v="75.058953921038196"/>
    <n v="18264.345454119299"/>
    <n v="65751.643634829496"/>
  </r>
  <r>
    <x v="0"/>
    <x v="0"/>
    <x v="0"/>
    <x v="0"/>
    <x v="0"/>
    <x v="2"/>
    <x v="2"/>
    <x v="2"/>
    <x v="10"/>
    <n v="100.272403979149"/>
    <n v="24399.618301593"/>
    <n v="87838.625885734902"/>
  </r>
  <r>
    <x v="0"/>
    <x v="0"/>
    <x v="0"/>
    <x v="0"/>
    <x v="0"/>
    <x v="2"/>
    <x v="2"/>
    <x v="2"/>
    <x v="11"/>
    <n v="115.27991316319201"/>
    <n v="28051.445536376799"/>
    <n v="100985.20393095601"/>
  </r>
  <r>
    <x v="0"/>
    <x v="0"/>
    <x v="0"/>
    <x v="0"/>
    <x v="1"/>
    <x v="3"/>
    <x v="3"/>
    <x v="0"/>
    <x v="1"/>
    <n v="6.3300082751977698"/>
    <n v="1540.3020136314601"/>
    <n v="5545.0872490732399"/>
  </r>
  <r>
    <x v="0"/>
    <x v="0"/>
    <x v="0"/>
    <x v="0"/>
    <x v="1"/>
    <x v="4"/>
    <x v="4"/>
    <x v="1"/>
    <x v="2"/>
    <n v="120.79994584471601"/>
    <n v="29394.6534888809"/>
    <n v="105820.75255997101"/>
  </r>
  <r>
    <x v="0"/>
    <x v="0"/>
    <x v="0"/>
    <x v="0"/>
    <x v="1"/>
    <x v="4"/>
    <x v="4"/>
    <x v="1"/>
    <x v="3"/>
    <n v="101.661426987471"/>
    <n v="24737.613900284599"/>
    <n v="89055.410041024603"/>
  </r>
  <r>
    <x v="0"/>
    <x v="0"/>
    <x v="0"/>
    <x v="0"/>
    <x v="1"/>
    <x v="4"/>
    <x v="4"/>
    <x v="1"/>
    <x v="4"/>
    <n v="119.21196652523101"/>
    <n v="29008.2451878061"/>
    <n v="104429.68267610201"/>
  </r>
  <r>
    <x v="0"/>
    <x v="0"/>
    <x v="0"/>
    <x v="0"/>
    <x v="1"/>
    <x v="4"/>
    <x v="4"/>
    <x v="1"/>
    <x v="5"/>
    <n v="102.326438459541"/>
    <n v="24899.433358488401"/>
    <n v="89637.960090558307"/>
  </r>
  <r>
    <x v="0"/>
    <x v="0"/>
    <x v="0"/>
    <x v="0"/>
    <x v="1"/>
    <x v="4"/>
    <x v="4"/>
    <x v="1"/>
    <x v="0"/>
    <n v="98.509739739493298"/>
    <n v="23970.70333661"/>
    <n v="86294.532011796095"/>
  </r>
  <r>
    <x v="0"/>
    <x v="0"/>
    <x v="0"/>
    <x v="0"/>
    <x v="1"/>
    <x v="4"/>
    <x v="4"/>
    <x v="1"/>
    <x v="6"/>
    <n v="116.947424934816"/>
    <n v="28457.206734138599"/>
    <n v="102445.944242899"/>
  </r>
  <r>
    <x v="0"/>
    <x v="0"/>
    <x v="0"/>
    <x v="0"/>
    <x v="1"/>
    <x v="4"/>
    <x v="4"/>
    <x v="1"/>
    <x v="1"/>
    <n v="98.325618652906698"/>
    <n v="23925.900538874001"/>
    <n v="86133.241939946194"/>
  </r>
  <r>
    <x v="0"/>
    <x v="0"/>
    <x v="0"/>
    <x v="0"/>
    <x v="1"/>
    <x v="4"/>
    <x v="4"/>
    <x v="1"/>
    <x v="7"/>
    <n v="125.78720788567399"/>
    <n v="30608.220585513998"/>
    <n v="110189.59410785"/>
  </r>
  <r>
    <x v="0"/>
    <x v="0"/>
    <x v="0"/>
    <x v="0"/>
    <x v="1"/>
    <x v="4"/>
    <x v="4"/>
    <x v="1"/>
    <x v="8"/>
    <n v="109.93198180844"/>
    <n v="26750.1155733872"/>
    <n v="96300.416064193807"/>
  </r>
  <r>
    <x v="0"/>
    <x v="0"/>
    <x v="0"/>
    <x v="0"/>
    <x v="1"/>
    <x v="4"/>
    <x v="4"/>
    <x v="1"/>
    <x v="9"/>
    <n v="86.220480170953905"/>
    <n v="20980.3168415988"/>
    <n v="75529.140629755595"/>
  </r>
  <r>
    <x v="0"/>
    <x v="0"/>
    <x v="0"/>
    <x v="0"/>
    <x v="1"/>
    <x v="4"/>
    <x v="4"/>
    <x v="1"/>
    <x v="10"/>
    <n v="87.945306102606693"/>
    <n v="21400.024484967598"/>
    <n v="77040.088145883507"/>
  </r>
  <r>
    <x v="0"/>
    <x v="0"/>
    <x v="0"/>
    <x v="0"/>
    <x v="1"/>
    <x v="4"/>
    <x v="4"/>
    <x v="1"/>
    <x v="11"/>
    <n v="86.244852280979302"/>
    <n v="20986.247388371601"/>
    <n v="75550.490598137796"/>
  </r>
  <r>
    <x v="0"/>
    <x v="0"/>
    <x v="0"/>
    <x v="0"/>
    <x v="1"/>
    <x v="4"/>
    <x v="4"/>
    <x v="0"/>
    <x v="2"/>
    <n v="79.094515829846401"/>
    <n v="19246.3321852626"/>
    <n v="69286.795866945395"/>
  </r>
  <r>
    <x v="0"/>
    <x v="0"/>
    <x v="0"/>
    <x v="0"/>
    <x v="1"/>
    <x v="4"/>
    <x v="4"/>
    <x v="0"/>
    <x v="3"/>
    <n v="59.647961721269702"/>
    <n v="14514.3373521756"/>
    <n v="52251.614467832202"/>
  </r>
  <r>
    <x v="0"/>
    <x v="0"/>
    <x v="0"/>
    <x v="0"/>
    <x v="1"/>
    <x v="4"/>
    <x v="4"/>
    <x v="0"/>
    <x v="4"/>
    <n v="66.054965315254606"/>
    <n v="16073.374893378599"/>
    <n v="57864.1496161631"/>
  </r>
  <r>
    <x v="0"/>
    <x v="0"/>
    <x v="0"/>
    <x v="0"/>
    <x v="1"/>
    <x v="4"/>
    <x v="4"/>
    <x v="0"/>
    <x v="5"/>
    <n v="59.134700344142601"/>
    <n v="14389.443750408"/>
    <n v="51801.997501468897"/>
  </r>
  <r>
    <x v="0"/>
    <x v="0"/>
    <x v="0"/>
    <x v="0"/>
    <x v="1"/>
    <x v="4"/>
    <x v="4"/>
    <x v="0"/>
    <x v="0"/>
    <n v="11.2087772105723"/>
    <n v="2727.4691212392499"/>
    <n v="9818.8888364613103"/>
  </r>
  <r>
    <x v="0"/>
    <x v="0"/>
    <x v="0"/>
    <x v="0"/>
    <x v="1"/>
    <x v="4"/>
    <x v="4"/>
    <x v="0"/>
    <x v="6"/>
    <n v="27.262221117651499"/>
    <n v="6633.8071386285201"/>
    <n v="23881.705699062699"/>
  </r>
  <r>
    <x v="0"/>
    <x v="0"/>
    <x v="0"/>
    <x v="0"/>
    <x v="1"/>
    <x v="4"/>
    <x v="4"/>
    <x v="0"/>
    <x v="7"/>
    <n v="45.104363529532698"/>
    <n v="10975.395125519601"/>
    <n v="39511.422451870698"/>
  </r>
  <r>
    <x v="0"/>
    <x v="0"/>
    <x v="0"/>
    <x v="0"/>
    <x v="1"/>
    <x v="4"/>
    <x v="4"/>
    <x v="0"/>
    <x v="8"/>
    <n v="41.942813088245003"/>
    <n v="10206.0845181396"/>
    <n v="36741.904265302597"/>
  </r>
  <r>
    <x v="0"/>
    <x v="0"/>
    <x v="0"/>
    <x v="0"/>
    <x v="1"/>
    <x v="4"/>
    <x v="4"/>
    <x v="0"/>
    <x v="9"/>
    <n v="30.606791487315199"/>
    <n v="7447.6525952467"/>
    <n v="26811.549342888102"/>
  </r>
  <r>
    <x v="0"/>
    <x v="0"/>
    <x v="0"/>
    <x v="0"/>
    <x v="1"/>
    <x v="4"/>
    <x v="4"/>
    <x v="0"/>
    <x v="10"/>
    <n v="35.749141994203903"/>
    <n v="8698.9578852562809"/>
    <n v="31316.248386922602"/>
  </r>
  <r>
    <x v="0"/>
    <x v="0"/>
    <x v="0"/>
    <x v="0"/>
    <x v="1"/>
    <x v="4"/>
    <x v="4"/>
    <x v="0"/>
    <x v="11"/>
    <n v="18.076732170242099"/>
    <n v="4398.6714947589198"/>
    <n v="15835.217381132101"/>
  </r>
  <r>
    <x v="0"/>
    <x v="0"/>
    <x v="0"/>
    <x v="0"/>
    <x v="1"/>
    <x v="4"/>
    <x v="4"/>
    <x v="2"/>
    <x v="2"/>
    <n v="23.797327305860701"/>
    <n v="5790.6829777594403"/>
    <n v="20846.458719933999"/>
  </r>
  <r>
    <x v="0"/>
    <x v="0"/>
    <x v="0"/>
    <x v="0"/>
    <x v="1"/>
    <x v="4"/>
    <x v="4"/>
    <x v="2"/>
    <x v="3"/>
    <n v="21.816570948809101"/>
    <n v="5308.6989308768898"/>
    <n v="19111.3161511568"/>
  </r>
  <r>
    <x v="0"/>
    <x v="0"/>
    <x v="0"/>
    <x v="0"/>
    <x v="1"/>
    <x v="4"/>
    <x v="4"/>
    <x v="2"/>
    <x v="4"/>
    <n v="21.831639214454199"/>
    <n v="5312.3655421838503"/>
    <n v="19124.515951861798"/>
  </r>
  <r>
    <x v="0"/>
    <x v="0"/>
    <x v="0"/>
    <x v="0"/>
    <x v="1"/>
    <x v="4"/>
    <x v="4"/>
    <x v="2"/>
    <x v="5"/>
    <n v="17.9524292111306"/>
    <n v="4368.4244413751203"/>
    <n v="15726.327988950399"/>
  </r>
  <r>
    <x v="0"/>
    <x v="0"/>
    <x v="0"/>
    <x v="0"/>
    <x v="1"/>
    <x v="4"/>
    <x v="4"/>
    <x v="2"/>
    <x v="0"/>
    <n v="15.2546200037833"/>
    <n v="3711.9575342539301"/>
    <n v="13363.0471233141"/>
  </r>
  <r>
    <x v="0"/>
    <x v="0"/>
    <x v="0"/>
    <x v="0"/>
    <x v="1"/>
    <x v="4"/>
    <x v="4"/>
    <x v="2"/>
    <x v="6"/>
    <n v="21.1724961405599"/>
    <n v="5151.9740608695802"/>
    <n v="18547.1066191305"/>
  </r>
  <r>
    <x v="0"/>
    <x v="0"/>
    <x v="0"/>
    <x v="0"/>
    <x v="1"/>
    <x v="4"/>
    <x v="4"/>
    <x v="2"/>
    <x v="1"/>
    <n v="17.071845326187798"/>
    <n v="4154.14902937237"/>
    <n v="14954.936505740499"/>
  </r>
  <r>
    <x v="0"/>
    <x v="0"/>
    <x v="0"/>
    <x v="0"/>
    <x v="1"/>
    <x v="4"/>
    <x v="4"/>
    <x v="2"/>
    <x v="7"/>
    <n v="24.4207222277286"/>
    <n v="5942.3757420806296"/>
    <n v="21392.552671490299"/>
  </r>
  <r>
    <x v="0"/>
    <x v="0"/>
    <x v="0"/>
    <x v="0"/>
    <x v="1"/>
    <x v="4"/>
    <x v="4"/>
    <x v="2"/>
    <x v="8"/>
    <n v="20.135978807743001"/>
    <n v="4899.7548432174699"/>
    <n v="17639.117435582899"/>
  </r>
  <r>
    <x v="0"/>
    <x v="0"/>
    <x v="0"/>
    <x v="0"/>
    <x v="1"/>
    <x v="4"/>
    <x v="4"/>
    <x v="2"/>
    <x v="9"/>
    <n v="15.034509133505001"/>
    <n v="3658.39722248621"/>
    <n v="13170.2300009504"/>
  </r>
  <r>
    <x v="0"/>
    <x v="0"/>
    <x v="0"/>
    <x v="0"/>
    <x v="1"/>
    <x v="4"/>
    <x v="4"/>
    <x v="2"/>
    <x v="10"/>
    <n v="20.084830585954599"/>
    <n v="4887.3087759156197"/>
    <n v="17594.311593296199"/>
  </r>
  <r>
    <x v="0"/>
    <x v="0"/>
    <x v="0"/>
    <x v="0"/>
    <x v="1"/>
    <x v="4"/>
    <x v="4"/>
    <x v="2"/>
    <x v="11"/>
    <n v="23.090874796696099"/>
    <n v="5618.7795338627202"/>
    <n v="20227.6063219058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pivotTable1.xml><?xml version="1.0" encoding="utf-8"?>
<pivotTableDefinition xmlns="http://schemas.openxmlformats.org/spreadsheetml/2006/main" name="PivotTable1" cacheId="60"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15" firstHeaderRow="1" firstDataRow="1" firstDataCol="1"/>
  <pivotFields count="3">
    <pivotField showAll="0" defaultSubtotal="0"/>
    <pivotField showAll="0" defaultSubtotal="0"/>
    <pivotField axis="axisRow" showAll="0" defaultSubtotal="0">
      <items count="1">
        <item x="0"/>
      </items>
    </pivotField>
  </pivotFields>
  <rowFields count="1">
    <field x="2"/>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6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D8" firstHeaderRow="1" firstDataRow="3" firstDataCol="1" rowPageCount="1" colPageCount="1"/>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axis="axisCol" compact="0" outline="0" multipleItemSelectionAllowed="1" showAll="0" sortType="ascending" defaultSubtotal="0">
      <items count="2">
        <item x="0"/>
        <item h="1" x="1"/>
      </items>
      <extLst>
        <ext xmlns:x14="http://schemas.microsoft.com/office/spreadsheetml/2009/9/main" uri="{2946ED86-A175-432a-8AC1-64E0C546D7DE}">
          <x14:pivotField fillDownLabels="1"/>
        </ext>
      </extLst>
    </pivotField>
    <pivotField compact="0" outline="0"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2"/>
  </rowFields>
  <rowItems count="2">
    <i>
      <x/>
    </i>
    <i t="grand">
      <x/>
    </i>
  </rowItems>
  <colFields count="2">
    <field x="0"/>
    <field x="4"/>
  </colFields>
  <colItems count="2">
    <i>
      <x/>
      <x/>
    </i>
    <i t="grand">
      <x/>
    </i>
  </colItems>
  <pageFields count="1">
    <pageField fld="3" hier="-1"/>
  </pageFields>
  <dataFields count="1">
    <dataField name="Average of OMONEY/MWh" fld="7" subtotal="average" baseField="4" baseItem="0"/>
  </dataFields>
  <chartFormats count="1">
    <chartFormat chart="1" format="39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6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F44" firstHeaderRow="1" firstDataRow="3" firstDataCol="3"/>
  <pivotFields count="10">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2"/>
    <field x="6"/>
    <field x="7"/>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2">
    <field x="0"/>
    <field x="3"/>
  </colFields>
  <colItems count="2">
    <i>
      <x/>
      <x/>
    </i>
    <i t="grand">
      <x/>
    </i>
  </colItems>
  <dataFields count="1">
    <dataField name="Sum of OMONEY/MWh"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7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4:G7" firstHeaderRow="1" firstDataRow="2" firstDataCol="3" rowPageCount="1" colPageCount="1"/>
  <pivotFields count="12">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0">
        <item x="6"/>
        <item h="1" x="0"/>
        <item h="1" x="9"/>
        <item h="1" x="5"/>
        <item h="1" x="1"/>
        <item h="1" x="2"/>
        <item h="1" x="3"/>
        <item h="1" x="7"/>
        <item h="1" x="8"/>
        <item h="1"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56">
        <item x="31"/>
        <item x="0"/>
        <item x="1"/>
        <item x="32"/>
        <item x="2"/>
        <item x="3"/>
        <item x="4"/>
        <item x="5"/>
        <item x="6"/>
        <item x="51"/>
        <item x="55"/>
        <item x="43"/>
        <item x="44"/>
        <item x="9"/>
        <item x="45"/>
        <item x="18"/>
        <item x="10"/>
        <item x="11"/>
        <item x="19"/>
        <item x="46"/>
        <item x="12"/>
        <item x="22"/>
        <item x="23"/>
        <item x="13"/>
        <item x="33"/>
        <item x="34"/>
        <item x="35"/>
        <item x="36"/>
        <item x="37"/>
        <item x="38"/>
        <item x="39"/>
        <item x="40"/>
        <item x="41"/>
        <item x="42"/>
        <item x="17"/>
        <item x="24"/>
        <item x="25"/>
        <item x="26"/>
        <item x="53"/>
        <item x="48"/>
        <item x="50"/>
        <item x="7"/>
        <item x="8"/>
        <item x="14"/>
        <item x="47"/>
        <item x="15"/>
        <item x="52"/>
        <item x="29"/>
        <item x="30"/>
        <item x="28"/>
        <item x="27"/>
        <item x="16"/>
        <item x="20"/>
        <item x="21"/>
        <item x="49"/>
        <item x="5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2"/>
    <field x="3"/>
  </rowFields>
  <rowItems count="2">
    <i>
      <x/>
      <x/>
      <x/>
    </i>
    <i t="grand">
      <x/>
    </i>
  </rowItems>
  <colFields count="1">
    <field x="9"/>
  </colFields>
  <colItems count="3">
    <i>
      <x v="35"/>
    </i>
    <i>
      <x v="36"/>
    </i>
    <i t="grand">
      <x/>
    </i>
  </colItems>
  <pageFields count="1">
    <pageField fld="6" hier="-1"/>
  </pageFields>
  <dataFields count="1">
    <dataField name="Sum of TWh" fld="10"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7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1" fieldListSortAscending="1">
  <location ref="B5:O43" firstHeaderRow="1" firstDataRow="2" firstDataCol="3" rowPageCount="2" colPageCount="1"/>
  <pivotFields count="15">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0">
        <item x="2"/>
        <item x="4"/>
        <item x="7"/>
        <item x="8"/>
        <item x="6"/>
        <item x="1"/>
        <item x="9"/>
        <item x="5"/>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2"/>
        <item x="1"/>
      </items>
      <extLst>
        <ext xmlns:x14="http://schemas.microsoft.com/office/spreadsheetml/2009/9/main" uri="{2946ED86-A175-432a-8AC1-64E0C546D7DE}">
          <x14:pivotField fillDownLabels="1"/>
        </ext>
      </extLst>
    </pivotField>
    <pivotField axis="axisRow" compact="0" outline="0" showAll="0" sortType="ascending" defaultSubtotal="0">
      <items count="12">
        <item x="9"/>
        <item x="3"/>
        <item x="10"/>
        <item x="4"/>
        <item x="6"/>
        <item x="7"/>
        <item x="0"/>
        <item x="1"/>
        <item x="2"/>
        <item x="5"/>
        <item x="11"/>
        <item x="8"/>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2"/>
    <field x="10"/>
    <field x="11"/>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1">
    <field x="6"/>
  </colFields>
  <colItems count="11">
    <i>
      <x/>
    </i>
    <i>
      <x v="1"/>
    </i>
    <i>
      <x v="2"/>
    </i>
    <i>
      <x v="3"/>
    </i>
    <i>
      <x v="4"/>
    </i>
    <i>
      <x v="5"/>
    </i>
    <i>
      <x v="6"/>
    </i>
    <i>
      <x v="7"/>
    </i>
    <i>
      <x v="8"/>
    </i>
    <i>
      <x v="9"/>
    </i>
    <i t="grand">
      <x/>
    </i>
  </colItems>
  <pageFields count="2">
    <pageField fld="3" hier="-1"/>
    <pageField fld="0" hier="-1"/>
  </pageFields>
  <dataFields count="1">
    <dataField name="Sum of MW" fld="12" baseField="0" baseItem="0"/>
  </dataFields>
  <chartFormats count="1">
    <chartFormat chart="2" format="119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7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L7" firstHeaderRow="1" firstDataRow="2" firstDataCol="2" rowPageCount="2" colPageCount="1"/>
  <pivotFields count="12">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h="1" x="1"/>
        <item x="7"/>
        <item x="10"/>
        <item x="2"/>
        <item x="6"/>
        <item x="8"/>
        <item x="9"/>
        <item x="3"/>
        <item x="4"/>
        <item h="1" x="0"/>
        <item h="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7">
        <item x="0"/>
        <item x="5"/>
        <item x="6"/>
        <item x="1"/>
        <item x="2"/>
        <item x="3"/>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2">
    <i>
      <x/>
      <x/>
    </i>
    <i t="grand">
      <x/>
    </i>
  </rowItems>
  <colFields count="1">
    <field x="6"/>
  </colFields>
  <colItems count="9">
    <i>
      <x v="1"/>
    </i>
    <i>
      <x v="2"/>
    </i>
    <i>
      <x v="3"/>
    </i>
    <i>
      <x v="4"/>
    </i>
    <i>
      <x v="5"/>
    </i>
    <i>
      <x v="6"/>
    </i>
    <i>
      <x v="7"/>
    </i>
    <i>
      <x v="8"/>
    </i>
    <i t="grand">
      <x/>
    </i>
  </colItems>
  <pageFields count="2">
    <pageField fld="0" hier="-1"/>
    <pageField fld="8" hier="-1"/>
  </pageFields>
  <dataFields count="1">
    <dataField name="Sum of TWh" fld="10" baseField="0" baseItem="0"/>
  </dataFields>
  <chartFormats count="9">
    <chartFormat chart="0" format="57" series="1">
      <pivotArea type="data" outline="0" fieldPosition="0">
        <references count="2">
          <reference field="4294967294" count="1" selected="0">
            <x v="0"/>
          </reference>
          <reference field="6" count="1" selected="0">
            <x v="0"/>
          </reference>
        </references>
      </pivotArea>
    </chartFormat>
    <chartFormat chart="0" format="58" series="1">
      <pivotArea type="data" outline="0" fieldPosition="0">
        <references count="2">
          <reference field="4294967294" count="1" selected="0">
            <x v="0"/>
          </reference>
          <reference field="6" count="1" selected="0">
            <x v="1"/>
          </reference>
        </references>
      </pivotArea>
    </chartFormat>
    <chartFormat chart="0" format="59" series="1">
      <pivotArea type="data" outline="0" fieldPosition="0">
        <references count="2">
          <reference field="4294967294" count="1" selected="0">
            <x v="0"/>
          </reference>
          <reference field="6" count="1" selected="0">
            <x v="2"/>
          </reference>
        </references>
      </pivotArea>
    </chartFormat>
    <chartFormat chart="0" format="60" series="1">
      <pivotArea type="data" outline="0" fieldPosition="0">
        <references count="2">
          <reference field="4294967294" count="1" selected="0">
            <x v="0"/>
          </reference>
          <reference field="6" count="1" selected="0">
            <x v="3"/>
          </reference>
        </references>
      </pivotArea>
    </chartFormat>
    <chartFormat chart="0" format="61" series="1">
      <pivotArea type="data" outline="0" fieldPosition="0">
        <references count="2">
          <reference field="4294967294" count="1" selected="0">
            <x v="0"/>
          </reference>
          <reference field="6" count="1" selected="0">
            <x v="4"/>
          </reference>
        </references>
      </pivotArea>
    </chartFormat>
    <chartFormat chart="0" format="62" series="1">
      <pivotArea type="data" outline="0" fieldPosition="0">
        <references count="2">
          <reference field="4294967294" count="1" selected="0">
            <x v="0"/>
          </reference>
          <reference field="6" count="1" selected="0">
            <x v="5"/>
          </reference>
        </references>
      </pivotArea>
    </chartFormat>
    <chartFormat chart="0" format="63" series="1">
      <pivotArea type="data" outline="0" fieldPosition="0">
        <references count="2">
          <reference field="4294967294" count="1" selected="0">
            <x v="0"/>
          </reference>
          <reference field="6" count="1" selected="0">
            <x v="6"/>
          </reference>
        </references>
      </pivotArea>
    </chartFormat>
    <chartFormat chart="0" format="68" series="1">
      <pivotArea type="data" outline="0" fieldPosition="0">
        <references count="2">
          <reference field="4294967294" count="1" selected="0">
            <x v="0"/>
          </reference>
          <reference field="6" count="1" selected="0">
            <x v="7"/>
          </reference>
        </references>
      </pivotArea>
    </chartFormat>
    <chartFormat chart="0" format="69" series="1">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7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6:P44" firstHeaderRow="1" firstDataRow="2" firstDataCol="3" rowPageCount="2" colPageCount="1"/>
  <pivotFields count="15">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7"/>
        <item x="1"/>
        <item x="10"/>
        <item x="2"/>
        <item x="6"/>
        <item x="8"/>
        <item x="3"/>
        <item x="9"/>
        <item x="4"/>
        <item x="0"/>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2"/>
        <item x="1"/>
      </items>
      <extLst>
        <ext xmlns:x14="http://schemas.microsoft.com/office/spreadsheetml/2009/9/main" uri="{2946ED86-A175-432a-8AC1-64E0C546D7DE}">
          <x14:pivotField fillDownLabels="1"/>
        </ext>
      </extLst>
    </pivotField>
    <pivotField axis="axisRow" compact="0" outline="0" showAll="0" defaultSubtotal="0">
      <items count="12">
        <item x="3"/>
        <item x="5"/>
        <item x="0"/>
        <item x="1"/>
        <item x="2"/>
        <item x="4"/>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2"/>
    <field x="10"/>
    <field x="11"/>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1">
    <field x="6"/>
  </colFields>
  <colItems count="12">
    <i>
      <x/>
    </i>
    <i>
      <x v="1"/>
    </i>
    <i>
      <x v="2"/>
    </i>
    <i>
      <x v="3"/>
    </i>
    <i>
      <x v="4"/>
    </i>
    <i>
      <x v="5"/>
    </i>
    <i>
      <x v="6"/>
    </i>
    <i>
      <x v="7"/>
    </i>
    <i>
      <x v="8"/>
    </i>
    <i>
      <x v="9"/>
    </i>
    <i>
      <x v="10"/>
    </i>
    <i t="grand">
      <x/>
    </i>
  </colItems>
  <pageFields count="2">
    <pageField fld="0" hier="-1"/>
    <pageField fld="3" hier="-1"/>
  </pageFields>
  <dataFields count="1">
    <dataField name="Sum of MW" fld="12" baseField="0" baseItem="0"/>
  </dataFields>
  <chartFormats count="10">
    <chartFormat chart="1" format="369" series="1">
      <pivotArea type="data" outline="0" fieldPosition="0">
        <references count="2">
          <reference field="4294967294" count="1" selected="0">
            <x v="0"/>
          </reference>
          <reference field="6" count="1" selected="0">
            <x v="1"/>
          </reference>
        </references>
      </pivotArea>
    </chartFormat>
    <chartFormat chart="1" format="371" series="1">
      <pivotArea type="data" outline="0" fieldPosition="0">
        <references count="2">
          <reference field="4294967294" count="1" selected="0">
            <x v="0"/>
          </reference>
          <reference field="6" count="1" selected="0">
            <x v="0"/>
          </reference>
        </references>
      </pivotArea>
    </chartFormat>
    <chartFormat chart="1" format="385" series="1">
      <pivotArea type="data" outline="0" fieldPosition="0">
        <references count="2">
          <reference field="4294967294" count="1" selected="0">
            <x v="0"/>
          </reference>
          <reference field="6" count="1" selected="0">
            <x v="3"/>
          </reference>
        </references>
      </pivotArea>
    </chartFormat>
    <chartFormat chart="1" format="386" series="1">
      <pivotArea type="data" outline="0" fieldPosition="0">
        <references count="2">
          <reference field="4294967294" count="1" selected="0">
            <x v="0"/>
          </reference>
          <reference field="6" count="1" selected="0">
            <x v="4"/>
          </reference>
        </references>
      </pivotArea>
    </chartFormat>
    <chartFormat chart="1" format="387" series="1">
      <pivotArea type="data" outline="0" fieldPosition="0">
        <references count="2">
          <reference field="4294967294" count="1" selected="0">
            <x v="0"/>
          </reference>
          <reference field="6" count="1" selected="0">
            <x v="5"/>
          </reference>
        </references>
      </pivotArea>
    </chartFormat>
    <chartFormat chart="1" format="388" series="1">
      <pivotArea type="data" outline="0" fieldPosition="0">
        <references count="2">
          <reference field="4294967294" count="1" selected="0">
            <x v="0"/>
          </reference>
          <reference field="6" count="1" selected="0">
            <x v="7"/>
          </reference>
        </references>
      </pivotArea>
    </chartFormat>
    <chartFormat chart="1" format="389" series="1">
      <pivotArea type="data" outline="0" fieldPosition="0">
        <references count="2">
          <reference field="4294967294" count="1" selected="0">
            <x v="0"/>
          </reference>
          <reference field="6" count="1" selected="0">
            <x v="6"/>
          </reference>
        </references>
      </pivotArea>
    </chartFormat>
    <chartFormat chart="1" format="390" series="1">
      <pivotArea type="data" outline="0" fieldPosition="0">
        <references count="2">
          <reference field="4294967294" count="1" selected="0">
            <x v="0"/>
          </reference>
          <reference field="6" count="1" selected="0">
            <x v="8"/>
          </reference>
        </references>
      </pivotArea>
    </chartFormat>
    <chartFormat chart="1" format="395" series="1">
      <pivotArea type="data" outline="0" fieldPosition="0">
        <references count="2">
          <reference field="4294967294" count="1" selected="0">
            <x v="0"/>
          </reference>
          <reference field="6" count="1" selected="0">
            <x v="2"/>
          </reference>
        </references>
      </pivotArea>
    </chartFormat>
    <chartFormat chart="1" format="404" series="1">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8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5:Q8" firstHeaderRow="1" firstDataRow="2" firstDataCol="2" rowPageCount="1" colPageCount="1"/>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3">
        <item x="5"/>
        <item x="0"/>
        <item x="12"/>
        <item x="8"/>
        <item x="1"/>
        <item x="2"/>
        <item x="3"/>
        <item x="4"/>
        <item x="6"/>
        <item x="9"/>
        <item x="10"/>
        <item x="7"/>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1"/>
    <field x="2"/>
  </rowFields>
  <rowItems count="2">
    <i>
      <x/>
      <x/>
    </i>
    <i t="grand">
      <x/>
    </i>
  </rowItems>
  <colFields count="1">
    <field x="6"/>
  </colFields>
  <colItems count="14">
    <i>
      <x/>
    </i>
    <i>
      <x v="1"/>
    </i>
    <i>
      <x v="2"/>
    </i>
    <i>
      <x v="3"/>
    </i>
    <i>
      <x v="4"/>
    </i>
    <i>
      <x v="5"/>
    </i>
    <i>
      <x v="6"/>
    </i>
    <i>
      <x v="7"/>
    </i>
    <i>
      <x v="8"/>
    </i>
    <i>
      <x v="9"/>
    </i>
    <i>
      <x v="10"/>
    </i>
    <i>
      <x v="11"/>
    </i>
    <i>
      <x v="12"/>
    </i>
    <i t="grand">
      <x/>
    </i>
  </colItems>
  <pageFields count="1">
    <pageField fld="3" hier="-1"/>
  </pageFields>
  <dataFields count="1">
    <dataField name="Sum of PJ" fld="11" baseField="0" baseItem="0"/>
  </dataFields>
  <chartFormats count="13">
    <chartFormat chart="1" format="0" series="1">
      <pivotArea type="data" outline="0" fieldPosition="0">
        <references count="2">
          <reference field="4294967294" count="1" selected="0">
            <x v="0"/>
          </reference>
          <reference field="6" count="1" selected="0">
            <x v="0"/>
          </reference>
        </references>
      </pivotArea>
    </chartFormat>
    <chartFormat chart="1" format="1" series="1">
      <pivotArea type="data" outline="0" fieldPosition="0">
        <references count="2">
          <reference field="4294967294" count="1" selected="0">
            <x v="0"/>
          </reference>
          <reference field="6" count="1" selected="0">
            <x v="1"/>
          </reference>
        </references>
      </pivotArea>
    </chartFormat>
    <chartFormat chart="1" format="2" series="1">
      <pivotArea type="data" outline="0" fieldPosition="0">
        <references count="2">
          <reference field="4294967294" count="1" selected="0">
            <x v="0"/>
          </reference>
          <reference field="6" count="1" selected="0">
            <x v="2"/>
          </reference>
        </references>
      </pivotArea>
    </chartFormat>
    <chartFormat chart="1" format="3" series="1">
      <pivotArea type="data" outline="0" fieldPosition="0">
        <references count="2">
          <reference field="4294967294" count="1" selected="0">
            <x v="0"/>
          </reference>
          <reference field="6" count="1" selected="0">
            <x v="3"/>
          </reference>
        </references>
      </pivotArea>
    </chartFormat>
    <chartFormat chart="1" format="4" series="1">
      <pivotArea type="data" outline="0" fieldPosition="0">
        <references count="2">
          <reference field="4294967294" count="1" selected="0">
            <x v="0"/>
          </reference>
          <reference field="6" count="1" selected="0">
            <x v="4"/>
          </reference>
        </references>
      </pivotArea>
    </chartFormat>
    <chartFormat chart="1" format="5" series="1">
      <pivotArea type="data" outline="0" fieldPosition="0">
        <references count="2">
          <reference field="4294967294" count="1" selected="0">
            <x v="0"/>
          </reference>
          <reference field="6" count="1" selected="0">
            <x v="5"/>
          </reference>
        </references>
      </pivotArea>
    </chartFormat>
    <chartFormat chart="1" format="6" series="1">
      <pivotArea type="data" outline="0" fieldPosition="0">
        <references count="2">
          <reference field="4294967294" count="1" selected="0">
            <x v="0"/>
          </reference>
          <reference field="6" count="1" selected="0">
            <x v="6"/>
          </reference>
        </references>
      </pivotArea>
    </chartFormat>
    <chartFormat chart="1" format="7" series="1">
      <pivotArea type="data" outline="0" fieldPosition="0">
        <references count="2">
          <reference field="4294967294" count="1" selected="0">
            <x v="0"/>
          </reference>
          <reference field="6" count="1" selected="0">
            <x v="7"/>
          </reference>
        </references>
      </pivotArea>
    </chartFormat>
    <chartFormat chart="1" format="8" series="1">
      <pivotArea type="data" outline="0" fieldPosition="0">
        <references count="2">
          <reference field="4294967294" count="1" selected="0">
            <x v="0"/>
          </reference>
          <reference field="6" count="1" selected="0">
            <x v="8"/>
          </reference>
        </references>
      </pivotArea>
    </chartFormat>
    <chartFormat chart="1" format="9" series="1">
      <pivotArea type="data" outline="0" fieldPosition="0">
        <references count="2">
          <reference field="4294967294" count="1" selected="0">
            <x v="0"/>
          </reference>
          <reference field="6" count="1" selected="0">
            <x v="9"/>
          </reference>
        </references>
      </pivotArea>
    </chartFormat>
    <chartFormat chart="1" format="10" series="1">
      <pivotArea type="data" outline="0" fieldPosition="0">
        <references count="2">
          <reference field="4294967294" count="1" selected="0">
            <x v="0"/>
          </reference>
          <reference field="6" count="1" selected="0">
            <x v="10"/>
          </reference>
        </references>
      </pivotArea>
    </chartFormat>
    <chartFormat chart="1" format="11" series="1">
      <pivotArea type="data" outline="0" fieldPosition="0">
        <references count="2">
          <reference field="4294967294" count="1" selected="0">
            <x v="0"/>
          </reference>
          <reference field="6" count="1" selected="0">
            <x v="11"/>
          </reference>
        </references>
      </pivotArea>
    </chartFormat>
    <chartFormat chart="1" format="12" series="1">
      <pivotArea type="data" outline="0" fieldPosition="0">
        <references count="2">
          <reference field="4294967294" count="1" selected="0">
            <x v="0"/>
          </reference>
          <reference field="6"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3" cacheId="8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5" fieldListSortAscending="1">
  <location ref="B3:H7" firstHeaderRow="1" firstDataRow="3" firstDataCol="1" rowPageCount="1" colPageCount="1"/>
  <pivotFields count="16">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2"/>
  </rowFields>
  <rowItems count="2">
    <i>
      <x/>
    </i>
    <i t="grand">
      <x/>
    </i>
  </rowItems>
  <colFields count="2">
    <field x="0"/>
    <field x="-2"/>
  </colFields>
  <colItems count="6">
    <i>
      <x/>
      <x/>
    </i>
    <i r="1" i="1">
      <x v="1"/>
    </i>
    <i r="1" i="2">
      <x v="2"/>
    </i>
    <i t="grand">
      <x/>
    </i>
    <i t="grand" i="1">
      <x/>
    </i>
    <i t="grand" i="2">
      <x/>
    </i>
  </colItems>
  <pageFields count="1">
    <pageField fld="3" hier="-1"/>
  </pageFields>
  <dataFields count="3">
    <dataField name="Sum of CO2 megatons" fld="11" baseField="3" baseItem="0"/>
    <dataField name="Sum of N2O tons" fld="14" baseField="2" baseItem="3"/>
    <dataField name="Sum of N2O kilotons" fld="15" baseField="2" baseItem="3"/>
  </dataFields>
  <formats count="1">
    <format dxfId="1">
      <pivotArea outline="0" fieldPosition="0">
        <references count="2">
          <reference field="0" count="0" selected="0"/>
          <reference field="2" count="0" selected="0"/>
        </references>
      </pivotArea>
    </format>
  </formats>
  <chartFormats count="1">
    <chartFormat chart="3"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8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G43" firstHeaderRow="1" firstDataRow="2" firstDataCol="3"/>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7"/>
    <field x="8"/>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1">
    <field x="3"/>
  </colFields>
  <colItems count="2">
    <i>
      <x/>
    </i>
    <i t="grand">
      <x/>
    </i>
  </colItems>
  <dataFields count="1">
    <dataField name="Sum of MWh" fld="9" baseField="0" baseItem="0"/>
  </dataFields>
  <chartFormats count="1">
    <chartFormat chart="1" format="40"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2" cacheId="9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D5" firstHeaderRow="1" firstDataRow="2" firstDataCol="1" rowPageCount="1" colPageCount="1"/>
  <pivotFields count="8">
    <pivotField axis="axisCol" showAll="0">
      <items count="1">
        <item t="default"/>
      </items>
    </pivotField>
    <pivotField showAll="0" defaultSubtotal="0"/>
    <pivotField showAll="0" defaultSubtotal="0"/>
    <pivotField axis="axisPage" showAll="0">
      <items count="1">
        <item t="default"/>
      </items>
    </pivotField>
    <pivotField showAll="0"/>
    <pivotField showAll="0"/>
    <pivotField axis="axisRow" showAll="0">
      <items count="1">
        <item t="default"/>
      </items>
    </pivotField>
    <pivotField dataField="1" showAll="0"/>
  </pivotFields>
  <rowFields count="1">
    <field x="6"/>
  </rowFields>
  <colFields count="1">
    <field x="0"/>
  </colFields>
  <pageFields count="1">
    <pageField fld="3" hier="-1"/>
  </pageFields>
  <dataFields count="1">
    <dataField name="Sum of M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9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G44" firstHeaderRow="1" firstDataRow="4" firstDataCol="2"/>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0"/>
        <item h="1" x="1"/>
      </items>
      <extLst>
        <ext xmlns:x14="http://schemas.microsoft.com/office/spreadsheetml/2009/9/main" uri="{2946ED86-A175-432a-8AC1-64E0C546D7DE}">
          <x14:pivotField fillDownLabels="1"/>
        </ext>
      </extLst>
    </pivotField>
    <pivotField axis="axisCol" compact="0" outline="0" showAll="0" defaultSubtotal="0">
      <items count="2">
        <item x="0"/>
        <item h="1" x="1"/>
      </items>
      <extLst>
        <ext xmlns:x14="http://schemas.microsoft.com/office/spreadsheetml/2009/9/main" uri="{2946ED86-A175-432a-8AC1-64E0C546D7DE}">
          <x14:pivotField fillDownLabels="1"/>
        </ext>
      </extLst>
    </pivotField>
    <pivotField axis="axisRow" compact="0" outline="0" showAll="0" defaultSubtotal="0">
      <items count="3">
        <item x="2"/>
        <item x="0"/>
        <item x="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37">
    <i>
      <x/>
      <x/>
    </i>
    <i r="1">
      <x v="1"/>
    </i>
    <i r="1">
      <x v="2"/>
    </i>
    <i r="1">
      <x v="3"/>
    </i>
    <i r="1">
      <x v="4"/>
    </i>
    <i r="1">
      <x v="5"/>
    </i>
    <i r="1">
      <x v="6"/>
    </i>
    <i r="1">
      <x v="7"/>
    </i>
    <i r="1">
      <x v="8"/>
    </i>
    <i r="1">
      <x v="9"/>
    </i>
    <i r="1">
      <x v="10"/>
    </i>
    <i r="1">
      <x v="11"/>
    </i>
    <i>
      <x v="1"/>
      <x/>
    </i>
    <i r="1">
      <x v="1"/>
    </i>
    <i r="1">
      <x v="2"/>
    </i>
    <i r="1">
      <x v="3"/>
    </i>
    <i r="1">
      <x v="4"/>
    </i>
    <i r="1">
      <x v="5"/>
    </i>
    <i r="1">
      <x v="6"/>
    </i>
    <i r="1">
      <x v="7"/>
    </i>
    <i r="1">
      <x v="8"/>
    </i>
    <i r="1">
      <x v="9"/>
    </i>
    <i r="1">
      <x v="10"/>
    </i>
    <i r="1">
      <x v="11"/>
    </i>
    <i>
      <x v="2"/>
      <x/>
    </i>
    <i r="1">
      <x v="1"/>
    </i>
    <i r="1">
      <x v="2"/>
    </i>
    <i r="1">
      <x v="3"/>
    </i>
    <i r="1">
      <x v="4"/>
    </i>
    <i r="1">
      <x v="5"/>
    </i>
    <i r="1">
      <x v="6"/>
    </i>
    <i r="1">
      <x v="7"/>
    </i>
    <i r="1">
      <x v="8"/>
    </i>
    <i r="1">
      <x v="9"/>
    </i>
    <i r="1">
      <x v="10"/>
    </i>
    <i r="1">
      <x v="11"/>
    </i>
    <i t="grand">
      <x/>
    </i>
  </rowItems>
  <colFields count="3">
    <field x="0"/>
    <field x="3"/>
    <field x="4"/>
  </colFields>
  <colItems count="2">
    <i>
      <x/>
      <x/>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3.xml><?xml version="1.0" encoding="utf-8"?>
<pivotTableDefinition xmlns="http://schemas.openxmlformats.org/spreadsheetml/2006/main" name="PivotTable5" cacheId="10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2:D5" firstHeaderRow="1" firstDataRow="2"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4"/>
  </rowFields>
  <rowItems count="2">
    <i>
      <x/>
    </i>
    <i>
      <x v="1"/>
    </i>
  </rowItems>
  <colFields count="1">
    <field x="6"/>
  </colFields>
  <colItems count="2">
    <i>
      <x/>
    </i>
    <i>
      <x v="1"/>
    </i>
  </colItems>
  <dataFields count="1">
    <dataField name="Sum of GWh" fld="7" baseField="0" baseItem="0" numFmtId="164"/>
  </dataFields>
  <formats count="1">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8" cacheId="10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38:E41" firstHeaderRow="1" firstDataRow="2" firstDataCol="2"/>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0"/>
    <field x="6"/>
  </rowFields>
  <rowItems count="2">
    <i>
      <x/>
      <x/>
    </i>
    <i r="1">
      <x v="1"/>
    </i>
  </rowItems>
  <colFields count="1">
    <field x="4"/>
  </colFields>
  <colItems count="2">
    <i>
      <x/>
    </i>
    <i>
      <x v="1"/>
    </i>
  </colItems>
  <dataFields count="1">
    <dataField name="Sum of M€"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103"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fieldListSortAscending="1">
  <location ref="B4:D5" firstHeaderRow="1" firstDataRow="2" firstDataCol="2"/>
  <pivotFields count="9">
    <pivotField axis="axisRow"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Col"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0"/>
    <field x="3"/>
  </rowFields>
  <colFields count="1">
    <field x="4"/>
  </colFields>
  <dataFields count="1">
    <dataField name="Sum of MW" fld="8" baseField="0" baseItem="0"/>
  </dataFields>
  <chartFormats count="1">
    <chartFormat chart="2" format="16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2" cacheId="106"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 fieldListSortAscending="1">
  <location ref="B48:Y71" firstHeaderRow="1" firstDataRow="2" firstDataCol="2" rowPageCount="1" colPageCount="1"/>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2">
        <item x="4"/>
        <item x="5"/>
        <item x="6"/>
        <item x="7"/>
        <item x="8"/>
        <item x="9"/>
        <item x="10"/>
        <item x="11"/>
        <item x="12"/>
        <item x="13"/>
        <item x="14"/>
        <item x="15"/>
        <item x="16"/>
        <item x="17"/>
        <item x="18"/>
        <item x="19"/>
        <item x="20"/>
        <item x="21"/>
        <item x="0"/>
        <item x="1"/>
        <item x="2"/>
        <item x="3"/>
      </items>
      <extLst>
        <ext xmlns:x14="http://schemas.microsoft.com/office/spreadsheetml/2009/9/main" uri="{2946ED86-A175-432a-8AC1-64E0C546D7DE}">
          <x14:pivotField fillDownLabels="1"/>
        </ext>
      </extLst>
    </pivotField>
    <pivotField axis="axisCol" compact="0" outline="0" showAll="0" defaultSubtotal="0">
      <items count="22">
        <item x="9"/>
        <item x="11"/>
        <item x="4"/>
        <item x="3"/>
        <item x="8"/>
        <item x="6"/>
        <item x="7"/>
        <item x="10"/>
        <item x="12"/>
        <item x="13"/>
        <item x="14"/>
        <item x="15"/>
        <item x="16"/>
        <item x="17"/>
        <item x="18"/>
        <item x="19"/>
        <item x="20"/>
        <item x="21"/>
        <item x="0"/>
        <item x="1"/>
        <item x="2"/>
        <item x="5"/>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2"/>
    <field x="3"/>
  </rowFields>
  <rowItems count="22">
    <i>
      <x/>
      <x/>
    </i>
    <i r="1">
      <x v="1"/>
    </i>
    <i r="1">
      <x v="2"/>
    </i>
    <i r="1">
      <x v="3"/>
    </i>
    <i r="1">
      <x v="4"/>
    </i>
    <i r="1">
      <x v="5"/>
    </i>
    <i r="1">
      <x v="6"/>
    </i>
    <i r="1">
      <x v="7"/>
    </i>
    <i r="1">
      <x v="8"/>
    </i>
    <i r="1">
      <x v="9"/>
    </i>
    <i r="1">
      <x v="10"/>
    </i>
    <i r="1">
      <x v="11"/>
    </i>
    <i r="1">
      <x v="12"/>
    </i>
    <i r="1">
      <x v="13"/>
    </i>
    <i r="1">
      <x v="14"/>
    </i>
    <i r="1">
      <x v="15"/>
    </i>
    <i r="1">
      <x v="16"/>
    </i>
    <i r="1">
      <x v="17"/>
    </i>
    <i r="1">
      <x v="18"/>
    </i>
    <i r="1">
      <x v="19"/>
    </i>
    <i r="1">
      <x v="20"/>
    </i>
    <i r="1">
      <x v="21"/>
    </i>
  </rowItems>
  <colFields count="1">
    <field x="4"/>
  </colFields>
  <colItems count="22">
    <i>
      <x/>
    </i>
    <i>
      <x v="1"/>
    </i>
    <i>
      <x v="2"/>
    </i>
    <i>
      <x v="3"/>
    </i>
    <i>
      <x v="4"/>
    </i>
    <i>
      <x v="5"/>
    </i>
    <i>
      <x v="6"/>
    </i>
    <i>
      <x v="7"/>
    </i>
    <i>
      <x v="8"/>
    </i>
    <i>
      <x v="9"/>
    </i>
    <i>
      <x v="10"/>
    </i>
    <i>
      <x v="11"/>
    </i>
    <i>
      <x v="12"/>
    </i>
    <i>
      <x v="13"/>
    </i>
    <i>
      <x v="14"/>
    </i>
    <i>
      <x v="15"/>
    </i>
    <i>
      <x v="16"/>
    </i>
    <i>
      <x v="17"/>
    </i>
    <i>
      <x v="18"/>
    </i>
    <i>
      <x v="19"/>
    </i>
    <i>
      <x v="20"/>
    </i>
    <i>
      <x v="21"/>
    </i>
  </colItems>
  <pageFields count="1">
    <pageField fld="5" hier="-1"/>
  </pageFields>
  <dataFields count="1">
    <dataField name="Sum of MW" fld="6" baseField="0" baseItem="0"/>
  </dataFields>
  <chartFormats count="22">
    <chartFormat chart="0" format="66" series="1">
      <pivotArea type="data" outline="0" fieldPosition="0">
        <references count="2">
          <reference field="4294967294" count="1" selected="0">
            <x v="0"/>
          </reference>
          <reference field="4" count="1" selected="0">
            <x v="0"/>
          </reference>
        </references>
      </pivotArea>
    </chartFormat>
    <chartFormat chart="0" format="67" series="1">
      <pivotArea type="data" outline="0" fieldPosition="0">
        <references count="2">
          <reference field="4294967294" count="1" selected="0">
            <x v="0"/>
          </reference>
          <reference field="4" count="1" selected="0">
            <x v="1"/>
          </reference>
        </references>
      </pivotArea>
    </chartFormat>
    <chartFormat chart="0" format="73" series="1">
      <pivotArea type="data" outline="0" fieldPosition="0">
        <references count="2">
          <reference field="4294967294" count="1" selected="0">
            <x v="0"/>
          </reference>
          <reference field="4" count="1" selected="0">
            <x v="2"/>
          </reference>
        </references>
      </pivotArea>
    </chartFormat>
    <chartFormat chart="0" format="76" series="1">
      <pivotArea type="data" outline="0" fieldPosition="0">
        <references count="2">
          <reference field="4294967294" count="1" selected="0">
            <x v="0"/>
          </reference>
          <reference field="4" count="1" selected="0">
            <x v="3"/>
          </reference>
        </references>
      </pivotArea>
    </chartFormat>
    <chartFormat chart="0" format="77" series="1">
      <pivotArea type="data" outline="0" fieldPosition="0">
        <references count="2">
          <reference field="4294967294" count="1" selected="0">
            <x v="0"/>
          </reference>
          <reference field="4" count="1" selected="0">
            <x v="4"/>
          </reference>
        </references>
      </pivotArea>
    </chartFormat>
    <chartFormat chart="0" format="78" series="1">
      <pivotArea type="data" outline="0" fieldPosition="0">
        <references count="2">
          <reference field="4294967294" count="1" selected="0">
            <x v="0"/>
          </reference>
          <reference field="4" count="1" selected="0">
            <x v="5"/>
          </reference>
        </references>
      </pivotArea>
    </chartFormat>
    <chartFormat chart="0" format="79" series="1">
      <pivotArea type="data" outline="0" fieldPosition="0">
        <references count="2">
          <reference field="4294967294" count="1" selected="0">
            <x v="0"/>
          </reference>
          <reference field="4" count="1" selected="0">
            <x v="6"/>
          </reference>
        </references>
      </pivotArea>
    </chartFormat>
    <chartFormat chart="0" format="80" series="1">
      <pivotArea type="data" outline="0" fieldPosition="0">
        <references count="2">
          <reference field="4294967294" count="1" selected="0">
            <x v="0"/>
          </reference>
          <reference field="4" count="1" selected="0">
            <x v="7"/>
          </reference>
        </references>
      </pivotArea>
    </chartFormat>
    <chartFormat chart="0" format="81" series="1">
      <pivotArea type="data" outline="0" fieldPosition="0">
        <references count="2">
          <reference field="4294967294" count="1" selected="0">
            <x v="0"/>
          </reference>
          <reference field="4" count="1" selected="0">
            <x v="8"/>
          </reference>
        </references>
      </pivotArea>
    </chartFormat>
    <chartFormat chart="0" format="82" series="1">
      <pivotArea type="data" outline="0" fieldPosition="0">
        <references count="2">
          <reference field="4294967294" count="1" selected="0">
            <x v="0"/>
          </reference>
          <reference field="4" count="1" selected="0">
            <x v="9"/>
          </reference>
        </references>
      </pivotArea>
    </chartFormat>
    <chartFormat chart="0" format="83" series="1">
      <pivotArea type="data" outline="0" fieldPosition="0">
        <references count="2">
          <reference field="4294967294" count="1" selected="0">
            <x v="0"/>
          </reference>
          <reference field="4" count="1" selected="0">
            <x v="10"/>
          </reference>
        </references>
      </pivotArea>
    </chartFormat>
    <chartFormat chart="0" format="84" series="1">
      <pivotArea type="data" outline="0" fieldPosition="0">
        <references count="2">
          <reference field="4294967294" count="1" selected="0">
            <x v="0"/>
          </reference>
          <reference field="4" count="1" selected="0">
            <x v="11"/>
          </reference>
        </references>
      </pivotArea>
    </chartFormat>
    <chartFormat chart="0" format="85" series="1">
      <pivotArea type="data" outline="0" fieldPosition="0">
        <references count="2">
          <reference field="4294967294" count="1" selected="0">
            <x v="0"/>
          </reference>
          <reference field="4" count="1" selected="0">
            <x v="12"/>
          </reference>
        </references>
      </pivotArea>
    </chartFormat>
    <chartFormat chart="0" format="86" series="1">
      <pivotArea type="data" outline="0" fieldPosition="0">
        <references count="2">
          <reference field="4294967294" count="1" selected="0">
            <x v="0"/>
          </reference>
          <reference field="4" count="1" selected="0">
            <x v="13"/>
          </reference>
        </references>
      </pivotArea>
    </chartFormat>
    <chartFormat chart="0" format="87" series="1">
      <pivotArea type="data" outline="0" fieldPosition="0">
        <references count="2">
          <reference field="4294967294" count="1" selected="0">
            <x v="0"/>
          </reference>
          <reference field="4" count="1" selected="0">
            <x v="14"/>
          </reference>
        </references>
      </pivotArea>
    </chartFormat>
    <chartFormat chart="0" format="88" series="1">
      <pivotArea type="data" outline="0" fieldPosition="0">
        <references count="2">
          <reference field="4294967294" count="1" selected="0">
            <x v="0"/>
          </reference>
          <reference field="4" count="1" selected="0">
            <x v="15"/>
          </reference>
        </references>
      </pivotArea>
    </chartFormat>
    <chartFormat chart="0" format="89" series="1">
      <pivotArea type="data" outline="0" fieldPosition="0">
        <references count="2">
          <reference field="4294967294" count="1" selected="0">
            <x v="0"/>
          </reference>
          <reference field="4" count="1" selected="0">
            <x v="16"/>
          </reference>
        </references>
      </pivotArea>
    </chartFormat>
    <chartFormat chart="0" format="90" series="1">
      <pivotArea type="data" outline="0" fieldPosition="0">
        <references count="2">
          <reference field="4294967294" count="1" selected="0">
            <x v="0"/>
          </reference>
          <reference field="4" count="1" selected="0">
            <x v="17"/>
          </reference>
        </references>
      </pivotArea>
    </chartFormat>
    <chartFormat chart="0" format="108" series="1">
      <pivotArea type="data" outline="0" fieldPosition="0">
        <references count="2">
          <reference field="4294967294" count="1" selected="0">
            <x v="0"/>
          </reference>
          <reference field="4" count="1" selected="0">
            <x v="18"/>
          </reference>
        </references>
      </pivotArea>
    </chartFormat>
    <chartFormat chart="0" format="109" series="1">
      <pivotArea type="data" outline="0" fieldPosition="0">
        <references count="2">
          <reference field="4294967294" count="1" selected="0">
            <x v="0"/>
          </reference>
          <reference field="4" count="1" selected="0">
            <x v="19"/>
          </reference>
        </references>
      </pivotArea>
    </chartFormat>
    <chartFormat chart="0" format="110" series="1">
      <pivotArea type="data" outline="0" fieldPosition="0">
        <references count="2">
          <reference field="4294967294" count="1" selected="0">
            <x v="0"/>
          </reference>
          <reference field="4" count="1" selected="0">
            <x v="20"/>
          </reference>
        </references>
      </pivotArea>
    </chartFormat>
    <chartFormat chart="0" format="111" series="1">
      <pivotArea type="data" outline="0" fieldPosition="0">
        <references count="2">
          <reference field="4294967294" count="1" selected="0">
            <x v="0"/>
          </reference>
          <reference field="4"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7.xml><?xml version="1.0" encoding="utf-8"?>
<pivotTableDefinition xmlns="http://schemas.openxmlformats.org/spreadsheetml/2006/main" name="PivotTable3" cacheId="10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5:M9" firstHeaderRow="1" firstDataRow="3" firstDataCol="3"/>
  <pivotFields count="11">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5">
        <item x="1"/>
        <item x="2"/>
        <item x="0"/>
        <item x="4"/>
        <item x="3"/>
      </items>
      <extLst>
        <ext xmlns:x14="http://schemas.microsoft.com/office/spreadsheetml/2009/9/main" uri="{2946ED86-A175-432a-8AC1-64E0C546D7DE}">
          <x14:pivotField fillDownLabels="1"/>
        </ext>
      </extLst>
    </pivotField>
    <pivotField axis="axisCol" compact="0" outline="0" showAll="0" defaultSubtotal="0">
      <items count="8">
        <item x="2"/>
        <item x="3"/>
        <item x="0"/>
        <item x="1"/>
        <item x="6"/>
        <item x="7"/>
        <item x="4"/>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2">
    <i>
      <x/>
      <x/>
      <x/>
    </i>
    <i t="grand">
      <x/>
    </i>
  </rowItems>
  <colFields count="2">
    <field x="7"/>
    <field x="8"/>
  </colFields>
  <colItems count="9">
    <i>
      <x/>
      <x/>
    </i>
    <i>
      <x v="1"/>
      <x v="1"/>
    </i>
    <i>
      <x v="2"/>
      <x v="2"/>
    </i>
    <i r="1">
      <x v="3"/>
    </i>
    <i r="1">
      <x v="7"/>
    </i>
    <i>
      <x v="3"/>
      <x v="4"/>
    </i>
    <i r="1">
      <x v="5"/>
    </i>
    <i>
      <x v="4"/>
      <x v="6"/>
    </i>
    <i t="grand">
      <x/>
    </i>
  </colItems>
  <dataFields count="1">
    <dataField name="Sum of MW" fld="10" baseField="0" baseItem="0"/>
  </dataFields>
  <chartFormats count="4">
    <chartFormat chart="0" format="128" series="1">
      <pivotArea type="data" outline="0" fieldPosition="0">
        <references count="2">
          <reference field="4294967294" count="1" selected="0">
            <x v="0"/>
          </reference>
          <reference field="7" count="1" selected="0">
            <x v="0"/>
          </reference>
        </references>
      </pivotArea>
    </chartFormat>
    <chartFormat chart="0" format="129" series="1">
      <pivotArea type="data" outline="0" fieldPosition="0">
        <references count="2">
          <reference field="4294967294" count="1" selected="0">
            <x v="0"/>
          </reference>
          <reference field="7" count="1" selected="0">
            <x v="1"/>
          </reference>
        </references>
      </pivotArea>
    </chartFormat>
    <chartFormat chart="0" format="130" series="1">
      <pivotArea type="data" outline="0" fieldPosition="0">
        <references count="2">
          <reference field="4294967294" count="1" selected="0">
            <x v="0"/>
          </reference>
          <reference field="7" count="1" selected="0">
            <x v="2"/>
          </reference>
        </references>
      </pivotArea>
    </chartFormat>
    <chartFormat chart="0" format="132" series="1">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8.xml><?xml version="1.0" encoding="utf-8"?>
<pivotTableDefinition xmlns="http://schemas.openxmlformats.org/spreadsheetml/2006/main" name="PivotTable1" cacheId="11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6:P9" firstHeaderRow="1" firstDataRow="2" firstDataCol="3" rowPageCount="1" colPageCount="1"/>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4"/>
        <item h="1" x="5"/>
        <item h="1" x="7"/>
        <item h="1" x="8"/>
        <item h="1" x="9"/>
        <item h="1" x="10"/>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3">
        <item x="3"/>
        <item x="0"/>
        <item x="1"/>
        <item x="2"/>
        <item x="4"/>
        <item x="5"/>
        <item x="6"/>
        <item x="7"/>
        <item x="8"/>
        <item x="9"/>
        <item x="10"/>
        <item x="11"/>
        <item x="12"/>
        <item x="13"/>
        <item x="14"/>
        <item x="15"/>
        <item x="16"/>
        <item x="17"/>
        <item x="18"/>
        <item x="19"/>
        <item x="20"/>
        <item x="21"/>
        <item x="2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3"/>
    <field x="2"/>
  </rowFields>
  <rowItems count="2">
    <i>
      <x/>
      <x/>
      <x/>
    </i>
    <i t="grand">
      <x/>
    </i>
  </rowItems>
  <colFields count="1">
    <field x="6"/>
  </colFields>
  <colItems count="12">
    <i>
      <x/>
    </i>
    <i>
      <x v="1"/>
    </i>
    <i>
      <x v="2"/>
    </i>
    <i>
      <x v="3"/>
    </i>
    <i>
      <x v="4"/>
    </i>
    <i>
      <x v="5"/>
    </i>
    <i>
      <x v="7"/>
    </i>
    <i>
      <x v="8"/>
    </i>
    <i>
      <x v="9"/>
    </i>
    <i>
      <x v="10"/>
    </i>
    <i>
      <x v="11"/>
    </i>
    <i t="grand">
      <x/>
    </i>
  </colItems>
  <pageFields count="1">
    <pageField fld="9" item="0" hier="-1"/>
  </pageFields>
  <dataFields count="1">
    <dataField name="Sum of MW" fld="11" baseField="0" baseItem="0"/>
  </dataFields>
  <chartFormats count="1">
    <chartFormat chart="0" format="10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9.xml><?xml version="1.0" encoding="utf-8"?>
<pivotTableDefinition xmlns="http://schemas.openxmlformats.org/spreadsheetml/2006/main" name="PivotTable1" cacheId="11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3:AA14" firstHeaderRow="1" firstDataRow="2" firstDataCol="3"/>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9">
        <item x="0"/>
        <item x="1"/>
        <item x="2"/>
        <item x="3"/>
        <item x="4"/>
        <item x="5"/>
        <item x="6"/>
        <item x="8"/>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6"/>
        <item x="0"/>
        <item x="1"/>
        <item x="2"/>
        <item x="3"/>
        <item x="4"/>
        <item x="5"/>
        <item x="7"/>
        <item x="9"/>
        <item x="10"/>
        <item x="11"/>
        <item x="12"/>
        <item x="13"/>
        <item x="14"/>
        <item x="15"/>
        <item x="16"/>
        <item x="17"/>
        <item x="18"/>
        <item x="19"/>
        <item x="20"/>
        <item x="21"/>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3"/>
    <field x="2"/>
  </rowFields>
  <rowItems count="10">
    <i>
      <x/>
      <x/>
      <x/>
    </i>
    <i r="1">
      <x v="1"/>
      <x/>
    </i>
    <i r="1">
      <x v="2"/>
      <x/>
    </i>
    <i r="1">
      <x v="3"/>
      <x/>
    </i>
    <i r="1">
      <x v="4"/>
      <x/>
    </i>
    <i r="1">
      <x v="5"/>
      <x/>
    </i>
    <i r="1">
      <x v="6"/>
      <x/>
    </i>
    <i r="1">
      <x v="7"/>
      <x/>
    </i>
    <i r="1">
      <x v="8"/>
      <x/>
    </i>
    <i t="grand">
      <x/>
    </i>
  </rowItems>
  <colFields count="1">
    <field x="6"/>
  </colFields>
  <colItems count="23">
    <i>
      <x/>
    </i>
    <i>
      <x v="1"/>
    </i>
    <i>
      <x v="2"/>
    </i>
    <i>
      <x v="3"/>
    </i>
    <i>
      <x v="4"/>
    </i>
    <i>
      <x v="5"/>
    </i>
    <i>
      <x v="6"/>
    </i>
    <i>
      <x v="7"/>
    </i>
    <i>
      <x v="8"/>
    </i>
    <i>
      <x v="9"/>
    </i>
    <i>
      <x v="10"/>
    </i>
    <i>
      <x v="11"/>
    </i>
    <i>
      <x v="12"/>
    </i>
    <i>
      <x v="13"/>
    </i>
    <i>
      <x v="14"/>
    </i>
    <i>
      <x v="15"/>
    </i>
    <i>
      <x v="16"/>
    </i>
    <i>
      <x v="17"/>
    </i>
    <i>
      <x v="18"/>
    </i>
    <i>
      <x v="19"/>
    </i>
    <i>
      <x v="20"/>
    </i>
    <i>
      <x v="21"/>
    </i>
    <i t="grand">
      <x/>
    </i>
  </colItems>
  <dataFields count="1">
    <dataField name="Sum of MW" fld="11" baseField="1" baseItem="1"/>
  </dataFields>
  <chartFormats count="22">
    <chartFormat chart="1" format="321" series="1">
      <pivotArea type="data" outline="0" fieldPosition="0">
        <references count="2">
          <reference field="4294967294" count="1" selected="0">
            <x v="0"/>
          </reference>
          <reference field="6" count="1" selected="0">
            <x v="0"/>
          </reference>
        </references>
      </pivotArea>
    </chartFormat>
    <chartFormat chart="1" format="342" series="1">
      <pivotArea type="data" outline="0" fieldPosition="0">
        <references count="2">
          <reference field="4294967294" count="1" selected="0">
            <x v="0"/>
          </reference>
          <reference field="6" count="1" selected="0">
            <x v="1"/>
          </reference>
        </references>
      </pivotArea>
    </chartFormat>
    <chartFormat chart="1" format="343" series="1">
      <pivotArea type="data" outline="0" fieldPosition="0">
        <references count="2">
          <reference field="4294967294" count="1" selected="0">
            <x v="0"/>
          </reference>
          <reference field="6" count="1" selected="0">
            <x v="2"/>
          </reference>
        </references>
      </pivotArea>
    </chartFormat>
    <chartFormat chart="1" format="344" series="1">
      <pivotArea type="data" outline="0" fieldPosition="0">
        <references count="2">
          <reference field="4294967294" count="1" selected="0">
            <x v="0"/>
          </reference>
          <reference field="6" count="1" selected="0">
            <x v="3"/>
          </reference>
        </references>
      </pivotArea>
    </chartFormat>
    <chartFormat chart="1" format="345" series="1">
      <pivotArea type="data" outline="0" fieldPosition="0">
        <references count="2">
          <reference field="4294967294" count="1" selected="0">
            <x v="0"/>
          </reference>
          <reference field="6" count="1" selected="0">
            <x v="4"/>
          </reference>
        </references>
      </pivotArea>
    </chartFormat>
    <chartFormat chart="1" format="346" series="1">
      <pivotArea type="data" outline="0" fieldPosition="0">
        <references count="2">
          <reference field="4294967294" count="1" selected="0">
            <x v="0"/>
          </reference>
          <reference field="6" count="1" selected="0">
            <x v="5"/>
          </reference>
        </references>
      </pivotArea>
    </chartFormat>
    <chartFormat chart="1" format="347" series="1">
      <pivotArea type="data" outline="0" fieldPosition="0">
        <references count="2">
          <reference field="4294967294" count="1" selected="0">
            <x v="0"/>
          </reference>
          <reference field="6" count="1" selected="0">
            <x v="6"/>
          </reference>
        </references>
      </pivotArea>
    </chartFormat>
    <chartFormat chart="1" format="348" series="1">
      <pivotArea type="data" outline="0" fieldPosition="0">
        <references count="2">
          <reference field="4294967294" count="1" selected="0">
            <x v="0"/>
          </reference>
          <reference field="6" count="1" selected="0">
            <x v="7"/>
          </reference>
        </references>
      </pivotArea>
    </chartFormat>
    <chartFormat chart="1" format="349" series="1">
      <pivotArea type="data" outline="0" fieldPosition="0">
        <references count="2">
          <reference field="4294967294" count="1" selected="0">
            <x v="0"/>
          </reference>
          <reference field="6" count="1" selected="0">
            <x v="8"/>
          </reference>
        </references>
      </pivotArea>
    </chartFormat>
    <chartFormat chart="1" format="350" series="1">
      <pivotArea type="data" outline="0" fieldPosition="0">
        <references count="2">
          <reference field="4294967294" count="1" selected="0">
            <x v="0"/>
          </reference>
          <reference field="6" count="1" selected="0">
            <x v="9"/>
          </reference>
        </references>
      </pivotArea>
    </chartFormat>
    <chartFormat chart="1" format="351" series="1">
      <pivotArea type="data" outline="0" fieldPosition="0">
        <references count="2">
          <reference field="4294967294" count="1" selected="0">
            <x v="0"/>
          </reference>
          <reference field="6" count="1" selected="0">
            <x v="10"/>
          </reference>
        </references>
      </pivotArea>
    </chartFormat>
    <chartFormat chart="1" format="352" series="1">
      <pivotArea type="data" outline="0" fieldPosition="0">
        <references count="2">
          <reference field="4294967294" count="1" selected="0">
            <x v="0"/>
          </reference>
          <reference field="6" count="1" selected="0">
            <x v="11"/>
          </reference>
        </references>
      </pivotArea>
    </chartFormat>
    <chartFormat chart="1" format="353" series="1">
      <pivotArea type="data" outline="0" fieldPosition="0">
        <references count="2">
          <reference field="4294967294" count="1" selected="0">
            <x v="0"/>
          </reference>
          <reference field="6" count="1" selected="0">
            <x v="12"/>
          </reference>
        </references>
      </pivotArea>
    </chartFormat>
    <chartFormat chart="1" format="354" series="1">
      <pivotArea type="data" outline="0" fieldPosition="0">
        <references count="2">
          <reference field="4294967294" count="1" selected="0">
            <x v="0"/>
          </reference>
          <reference field="6" count="1" selected="0">
            <x v="13"/>
          </reference>
        </references>
      </pivotArea>
    </chartFormat>
    <chartFormat chart="1" format="355" series="1">
      <pivotArea type="data" outline="0" fieldPosition="0">
        <references count="2">
          <reference field="4294967294" count="1" selected="0">
            <x v="0"/>
          </reference>
          <reference field="6" count="1" selected="0">
            <x v="14"/>
          </reference>
        </references>
      </pivotArea>
    </chartFormat>
    <chartFormat chart="1" format="356" series="1">
      <pivotArea type="data" outline="0" fieldPosition="0">
        <references count="2">
          <reference field="4294967294" count="1" selected="0">
            <x v="0"/>
          </reference>
          <reference field="6" count="1" selected="0">
            <x v="15"/>
          </reference>
        </references>
      </pivotArea>
    </chartFormat>
    <chartFormat chart="1" format="357" series="1">
      <pivotArea type="data" outline="0" fieldPosition="0">
        <references count="2">
          <reference field="4294967294" count="1" selected="0">
            <x v="0"/>
          </reference>
          <reference field="6" count="1" selected="0">
            <x v="16"/>
          </reference>
        </references>
      </pivotArea>
    </chartFormat>
    <chartFormat chart="1" format="358" series="1">
      <pivotArea type="data" outline="0" fieldPosition="0">
        <references count="2">
          <reference field="4294967294" count="1" selected="0">
            <x v="0"/>
          </reference>
          <reference field="6" count="1" selected="0">
            <x v="17"/>
          </reference>
        </references>
      </pivotArea>
    </chartFormat>
    <chartFormat chart="1" format="359" series="1">
      <pivotArea type="data" outline="0" fieldPosition="0">
        <references count="2">
          <reference field="4294967294" count="1" selected="0">
            <x v="0"/>
          </reference>
          <reference field="6" count="1" selected="0">
            <x v="18"/>
          </reference>
        </references>
      </pivotArea>
    </chartFormat>
    <chartFormat chart="1" format="360" series="1">
      <pivotArea type="data" outline="0" fieldPosition="0">
        <references count="2">
          <reference field="4294967294" count="1" selected="0">
            <x v="0"/>
          </reference>
          <reference field="6" count="1" selected="0">
            <x v="19"/>
          </reference>
        </references>
      </pivotArea>
    </chartFormat>
    <chartFormat chart="1" format="361" series="1">
      <pivotArea type="data" outline="0" fieldPosition="0">
        <references count="2">
          <reference field="4294967294" count="1" selected="0">
            <x v="0"/>
          </reference>
          <reference field="6" count="1" selected="0">
            <x v="20"/>
          </reference>
        </references>
      </pivotArea>
    </chartFormat>
    <chartFormat chart="1" format="362" series="1">
      <pivotArea type="data" outline="0" fieldPosition="0">
        <references count="2">
          <reference field="4294967294" count="1" selected="0">
            <x v="0"/>
          </reference>
          <reference field="6"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0.xml><?xml version="1.0" encoding="utf-8"?>
<pivotTableDefinition xmlns="http://schemas.openxmlformats.org/spreadsheetml/2006/main" name="PivotTable1" cacheId="11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C3:H6" firstHeaderRow="1" firstDataRow="2" firstDataCol="2"/>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7">
        <item x="0"/>
        <item h="1" x="1"/>
        <item h="1" x="2"/>
        <item h="1" x="3"/>
        <item h="1" x="4"/>
        <item h="1" x="5"/>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2"/>
    <field x="3"/>
  </rowFields>
  <rowItems count="2">
    <i>
      <x/>
      <x/>
    </i>
    <i t="grand">
      <x/>
    </i>
  </rowItems>
  <colFields count="1">
    <field x="7"/>
  </colFields>
  <colItems count="4">
    <i>
      <x/>
    </i>
    <i>
      <x v="2"/>
    </i>
    <i>
      <x v="3"/>
    </i>
    <i t="grand">
      <x/>
    </i>
  </colItems>
  <dataFields count="1">
    <dataField name="Sum of GWh" fld="11" baseField="0" baseItem="0"/>
  </dataFields>
  <chartFormats count="1">
    <chartFormat chart="0"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1.xml><?xml version="1.0" encoding="utf-8"?>
<pivotTableDefinition xmlns="http://schemas.openxmlformats.org/spreadsheetml/2006/main" name="PivotTable2" cacheId="12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 fieldListSortAscending="1">
  <location ref="B43:E45" firstHeaderRow="1" firstDataRow="3" firstDataCol="2"/>
  <pivotFields count="12">
    <pivotField compact="0" outline="0" showAll="0" defaultSubtotal="0">
      <extLst>
        <ext xmlns:x14="http://schemas.microsoft.com/office/spreadsheetml/2009/9/main" uri="{2946ED86-A175-432a-8AC1-64E0C546D7DE}">
          <x14:pivotField fillDownLabels="1"/>
        </ext>
      </extLst>
    </pivotField>
    <pivotField compact="0" outline="0" showAll="0" sortType="ascending" defaultSubtotal="0">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h="1" x="0"/>
        <item h="1" x="1"/>
        <item h="1" x="2"/>
        <item h="1" x="3"/>
        <item h="1" x="4"/>
        <item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6">
        <item x="7"/>
        <item h="1" x="1"/>
        <item h="1" x="14"/>
        <item h="1" x="10"/>
        <item h="1" x="6"/>
        <item h="1" x="17"/>
        <item h="1" x="11"/>
        <item h="1" x="15"/>
        <item h="1" x="24"/>
        <item h="1" x="25"/>
        <item h="1" x="2"/>
        <item x="3"/>
        <item h="1" x="23"/>
        <item h="1" x="22"/>
        <item h="1" x="21"/>
        <item h="1" x="18"/>
        <item h="1" x="20"/>
        <item h="1" x="4"/>
        <item h="1" x="12"/>
        <item h="1" x="8"/>
        <item x="9"/>
        <item h="1" x="19"/>
        <item h="1" x="5"/>
        <item h="1" x="16"/>
        <item h="1" x="1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3">
        <item h="1" x="1"/>
        <item x="0"/>
        <item h="1" x="7"/>
        <item h="1" x="6"/>
        <item h="1" x="9"/>
        <item x="2"/>
        <item h="1" x="3"/>
        <item h="1" x="10"/>
        <item h="1" x="4"/>
        <item h="1" x="8"/>
        <item h="1" x="11"/>
        <item h="1" x="12"/>
        <item h="1" x="5"/>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3"/>
    <field x="2"/>
  </rowFields>
  <colFields count="2">
    <field x="6"/>
    <field x="10"/>
  </colFields>
  <dataFields count="1">
    <dataField name="Average of Value" fld="11" subtotal="average" baseField="8" baseItem="0"/>
  </dataFields>
  <chartFormats count="7">
    <chartFormat chart="0" format="25" series="1">
      <pivotArea type="data" outline="0" fieldPosition="0">
        <references count="2">
          <reference field="4294967294" count="1" selected="0">
            <x v="0"/>
          </reference>
          <reference field="6" count="1" selected="0">
            <x v="0"/>
          </reference>
        </references>
      </pivotArea>
    </chartFormat>
    <chartFormat chart="0" format="26" series="1">
      <pivotArea type="data" outline="0" fieldPosition="0">
        <references count="2">
          <reference field="4294967294" count="1" selected="0">
            <x v="0"/>
          </reference>
          <reference field="6" count="1" selected="0">
            <x v="11"/>
          </reference>
        </references>
      </pivotArea>
    </chartFormat>
    <chartFormat chart="0" format="27" series="1">
      <pivotArea type="data" outline="0" fieldPosition="0">
        <references count="2">
          <reference field="4294967294" count="1" selected="0">
            <x v="0"/>
          </reference>
          <reference field="6" count="1" selected="0">
            <x v="20"/>
          </reference>
        </references>
      </pivotArea>
    </chartFormat>
    <chartFormat chart="0" format="28" series="1">
      <pivotArea type="data" outline="0" fieldPosition="0">
        <references count="2">
          <reference field="4294967294" count="1" selected="0">
            <x v="0"/>
          </reference>
          <reference field="6" count="1" selected="0">
            <x v="25"/>
          </reference>
        </references>
      </pivotArea>
    </chartFormat>
    <chartFormat chart="0" format="29" series="1">
      <pivotArea type="data" outline="0" fieldPosition="0">
        <references count="3">
          <reference field="4294967294" count="1" selected="0">
            <x v="0"/>
          </reference>
          <reference field="6" count="1" selected="0">
            <x v="0"/>
          </reference>
          <reference field="10" count="1" selected="0">
            <x v="5"/>
          </reference>
        </references>
      </pivotArea>
    </chartFormat>
    <chartFormat chart="0" format="30" series="1">
      <pivotArea type="data" outline="0" fieldPosition="0">
        <references count="3">
          <reference field="4294967294" count="1" selected="0">
            <x v="0"/>
          </reference>
          <reference field="6" count="1" selected="0">
            <x v="11"/>
          </reference>
          <reference field="10" count="1" selected="0">
            <x v="5"/>
          </reference>
        </references>
      </pivotArea>
    </chartFormat>
    <chartFormat chart="0" format="31" series="1">
      <pivotArea type="data" outline="0" fieldPosition="0">
        <references count="3">
          <reference field="4294967294" count="1" selected="0">
            <x v="0"/>
          </reference>
          <reference field="6" count="1" selected="0">
            <x v="20"/>
          </reference>
          <reference field="10"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2.xml><?xml version="1.0" encoding="utf-8"?>
<pivotTableDefinition xmlns="http://schemas.openxmlformats.org/spreadsheetml/2006/main" name="PivotTable1" cacheId="12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3:H6" firstHeaderRow="1" firstDataRow="2" firstDataCol="1"/>
  <pivotFields count="12">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sortType="ascending" defaultSubtotal="0">
      <extLst>
        <ext xmlns:x14="http://schemas.microsoft.com/office/spreadsheetml/2009/9/main" uri="{2946ED86-A175-432a-8AC1-64E0C546D7DE}">
          <x14:pivotField fillDownLabels="1"/>
        </ext>
      </extLst>
    </pivotField>
    <pivotField compact="0" outline="0"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3">
        <item h="1" x="0"/>
        <item h="1" x="2"/>
        <item h="1" x="4"/>
        <item h="1" x="1"/>
        <item h="1" x="3"/>
        <item x="6"/>
        <item x="7"/>
        <item x="9"/>
        <item x="10"/>
        <item x="8"/>
        <item h="1" x="11"/>
        <item h="1" x="12"/>
        <item h="1" x="5"/>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0"/>
  </rowFields>
  <rowItems count="2">
    <i>
      <x/>
    </i>
    <i t="grand">
      <x/>
    </i>
  </rowItems>
  <colFields count="1">
    <field x="10"/>
  </colFields>
  <colItems count="6">
    <i>
      <x v="5"/>
    </i>
    <i>
      <x v="6"/>
    </i>
    <i>
      <x v="7"/>
    </i>
    <i>
      <x v="8"/>
    </i>
    <i>
      <x v="9"/>
    </i>
    <i t="grand">
      <x/>
    </i>
  </colItems>
  <dataFields count="1">
    <dataField name="Sum of Value" fld="11" baseField="2" baseItem="0"/>
  </dataFields>
  <chartFormats count="5">
    <chartFormat chart="1" format="303" series="1">
      <pivotArea type="data" outline="0" fieldPosition="0">
        <references count="2">
          <reference field="4294967294" count="1" selected="0">
            <x v="0"/>
          </reference>
          <reference field="10" count="1" selected="0">
            <x v="5"/>
          </reference>
        </references>
      </pivotArea>
    </chartFormat>
    <chartFormat chart="1" format="304" series="1">
      <pivotArea type="data" outline="0" fieldPosition="0">
        <references count="2">
          <reference field="4294967294" count="1" selected="0">
            <x v="0"/>
          </reference>
          <reference field="10" count="1" selected="0">
            <x v="6"/>
          </reference>
        </references>
      </pivotArea>
    </chartFormat>
    <chartFormat chart="1" format="305" series="1">
      <pivotArea type="data" outline="0" fieldPosition="0">
        <references count="2">
          <reference field="4294967294" count="1" selected="0">
            <x v="0"/>
          </reference>
          <reference field="10" count="1" selected="0">
            <x v="7"/>
          </reference>
        </references>
      </pivotArea>
    </chartFormat>
    <chartFormat chart="1" format="306" series="1">
      <pivotArea type="data" outline="0" fieldPosition="0">
        <references count="2">
          <reference field="4294967294" count="1" selected="0">
            <x v="0"/>
          </reference>
          <reference field="10" count="1" selected="0">
            <x v="8"/>
          </reference>
        </references>
      </pivotArea>
    </chartFormat>
    <chartFormat chart="1" format="307" series="1">
      <pivotArea type="data" outline="0" fieldPosition="0">
        <references count="2">
          <reference field="4294967294" count="1" selected="0">
            <x v="0"/>
          </reference>
          <reference field="1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3.xml><?xml version="1.0" encoding="utf-8"?>
<pivotTableDefinition xmlns="http://schemas.openxmlformats.org/spreadsheetml/2006/main" name="PivotTable1" cacheId="12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G42" firstHeaderRow="1" firstDataRow="3"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2"/>
        <item x="0"/>
        <item x="1"/>
      </items>
      <extLst>
        <ext xmlns:x14="http://schemas.microsoft.com/office/spreadsheetml/2009/9/main" uri="{2946ED86-A175-432a-8AC1-64E0C546D7DE}">
          <x14:pivotField fillDownLabels="1"/>
        </ext>
      </extLst>
    </pivotField>
    <pivotField axis="axisRow" compact="0" outline="0" showAll="0" defaultSubtotal="0">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37">
    <i>
      <x/>
      <x/>
      <x/>
    </i>
    <i r="2">
      <x v="1"/>
    </i>
    <i r="2">
      <x v="2"/>
    </i>
    <i r="2">
      <x v="3"/>
    </i>
    <i r="2">
      <x v="4"/>
    </i>
    <i r="2">
      <x v="5"/>
    </i>
    <i r="2">
      <x v="6"/>
    </i>
    <i r="2">
      <x v="7"/>
    </i>
    <i r="2">
      <x v="8"/>
    </i>
    <i r="2">
      <x v="9"/>
    </i>
    <i r="2">
      <x v="10"/>
    </i>
    <i r="2">
      <x v="11"/>
    </i>
    <i r="1">
      <x v="1"/>
      <x/>
    </i>
    <i r="2">
      <x v="1"/>
    </i>
    <i r="2">
      <x v="2"/>
    </i>
    <i r="2">
      <x v="3"/>
    </i>
    <i r="2">
      <x v="4"/>
    </i>
    <i r="2">
      <x v="5"/>
    </i>
    <i r="2">
      <x v="6"/>
    </i>
    <i r="2">
      <x v="7"/>
    </i>
    <i r="2">
      <x v="8"/>
    </i>
    <i r="2">
      <x v="9"/>
    </i>
    <i r="2">
      <x v="10"/>
    </i>
    <i r="2">
      <x v="11"/>
    </i>
    <i r="1">
      <x v="2"/>
      <x/>
    </i>
    <i r="2">
      <x v="1"/>
    </i>
    <i r="2">
      <x v="2"/>
    </i>
    <i r="2">
      <x v="3"/>
    </i>
    <i r="2">
      <x v="4"/>
    </i>
    <i r="2">
      <x v="5"/>
    </i>
    <i r="2">
      <x v="6"/>
    </i>
    <i r="2">
      <x v="7"/>
    </i>
    <i r="2">
      <x v="8"/>
    </i>
    <i r="2">
      <x v="9"/>
    </i>
    <i r="2">
      <x v="10"/>
    </i>
    <i r="2">
      <x v="11"/>
    </i>
    <i t="grand">
      <x/>
    </i>
  </rowItems>
  <colFields count="2">
    <field x="2"/>
    <field x="4"/>
  </colFields>
  <colItems count="3">
    <i>
      <x/>
      <x/>
    </i>
    <i r="1">
      <x v="1"/>
    </i>
    <i t="grand">
      <x/>
    </i>
  </colItems>
  <dataFields count="1">
    <dataField name="Sum of MW" fld="7" baseField="0" baseItem="0"/>
  </dataFields>
  <chartFormats count="6">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56" series="1">
      <pivotArea type="data" outline="0" fieldPosition="0">
        <references count="3">
          <reference field="4294967294" count="1" selected="0">
            <x v="0"/>
          </reference>
          <reference field="2"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4.xml><?xml version="1.0" encoding="utf-8"?>
<pivotTableDefinition xmlns="http://schemas.openxmlformats.org/spreadsheetml/2006/main" name="PivotTable3" cacheId="13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G9" firstHeaderRow="1" firstDataRow="3" firstDataCol="1"/>
  <pivotFields count="7">
    <pivotField axis="axisCol" showAll="0">
      <items count="2">
        <item x="0"/>
        <item t="default"/>
      </items>
    </pivotField>
    <pivotField axis="axisRow" showAll="0" sortType="ascending">
      <items count="2">
        <item x="0"/>
        <item t="default"/>
      </items>
    </pivotField>
    <pivotField axis="axisRow" showAll="0">
      <items count="2">
        <item x="0"/>
        <item t="default"/>
      </items>
    </pivotField>
    <pivotField showAll="0"/>
    <pivotField axis="axisCol" showAll="0" defaultSubtotal="0">
      <items count="2">
        <item x="0"/>
        <item x="1"/>
      </items>
    </pivotField>
    <pivotField dataField="1" showAll="0"/>
    <pivotField showAll="0"/>
  </pivotFields>
  <rowFields count="2">
    <field x="1"/>
    <field x="2"/>
  </rowFields>
  <rowItems count="3">
    <i>
      <x/>
    </i>
    <i r="1">
      <x/>
    </i>
    <i t="grand">
      <x/>
    </i>
  </rowItems>
  <colFields count="2">
    <field x="0"/>
    <field x="4"/>
  </colFields>
  <colItems count="4">
    <i>
      <x/>
      <x/>
    </i>
    <i r="1">
      <x v="1"/>
    </i>
    <i t="default">
      <x/>
    </i>
    <i t="grand">
      <x/>
    </i>
  </colItems>
  <dataFields count="1">
    <dataField name="Sum of TWh" fld="5" baseField="0" baseItem="0"/>
  </dataFields>
  <chartFormats count="2">
    <chartFormat chart="1" format="0" series="1">
      <pivotArea type="data" outline="0" fieldPosition="0">
        <references count="1">
          <reference field="4294967294" count="1" selected="0">
            <x v="0"/>
          </reference>
        </references>
      </pivotArea>
    </chartFormat>
    <chartFormat chart="1" format="17"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1" cacheId="133"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 fieldListSortAscending="1">
  <location ref="B3:H6" firstHeaderRow="1" firstDataRow="3" firstDataCol="3"/>
  <pivotFields count="11">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6"/>
    <field x="7"/>
  </rowFields>
  <rowItems count="1">
    <i>
      <x/>
      <x/>
      <x/>
    </i>
  </rowItems>
  <colFields count="2">
    <field x="2"/>
    <field x="5"/>
  </colFields>
  <colItems count="4">
    <i>
      <x/>
      <x/>
    </i>
    <i r="1">
      <x v="1"/>
    </i>
    <i r="1">
      <x v="2"/>
    </i>
    <i r="1">
      <x v="3"/>
    </i>
  </colItems>
  <dataFields count="1">
    <dataField name="Sum of MWh" fld="9" baseField="0" baseItem="0"/>
  </dataFields>
  <chartFormats count="2">
    <chartFormat chart="1" format="0" series="1">
      <pivotArea type="data" outline="0" fieldPosition="0">
        <references count="1">
          <reference field="4294967294" count="1" selected="0">
            <x v="0"/>
          </reference>
        </references>
      </pivotArea>
    </chartFormat>
    <chartFormat chart="1" format="7" series="1">
      <pivotArea type="data" outline="0" fieldPosition="0">
        <references count="3">
          <reference field="4294967294" count="1" selected="0">
            <x v="0"/>
          </reference>
          <reference field="2"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6.xml><?xml version="1.0" encoding="utf-8"?>
<pivotTableDefinition xmlns="http://schemas.openxmlformats.org/spreadsheetml/2006/main" name="PivotTable3" cacheId="137"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 fieldListSortAscending="1">
  <location ref="B3:H14" firstHeaderRow="1" firstDataRow="3" firstDataCol="1"/>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9">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0"/>
        <item x="1"/>
        <item x="2"/>
      </items>
      <extLst>
        <ext xmlns:x14="http://schemas.microsoft.com/office/spreadsheetml/2009/9/main" uri="{2946ED86-A175-432a-8AC1-64E0C546D7DE}">
          <x14:pivotField fillDownLabels="1"/>
        </ext>
      </extLst>
    </pivotField>
    <pivotField axis="axisCol" compact="0" outline="0" showAll="0" defaultSubtotal="0">
      <items count="11">
        <item h="1" x="0"/>
        <item x="1"/>
        <item h="1" x="2"/>
        <item h="1" x="3"/>
        <item h="1" x="4"/>
        <item h="1"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9">
        <item h="1" x="1"/>
        <item h="1" x="3"/>
        <item x="4"/>
        <item h="1" x="7"/>
        <item h="1" x="9"/>
        <item h="1" x="10"/>
        <item h="1" x="11"/>
        <item h="1" x="12"/>
        <item x="13"/>
        <item h="1" x="15"/>
        <item h="1" x="16"/>
        <item h="1" x="17"/>
        <item h="1" x="18"/>
        <item h="1" x="19"/>
        <item h="1" x="20"/>
        <item h="1" x="23"/>
        <item x="24"/>
        <item x="25"/>
        <item x="26"/>
        <item x="27"/>
        <item h="1" x="0"/>
        <item h="1" x="2"/>
        <item h="1" x="5"/>
        <item h="1" x="6"/>
        <item h="1" x="8"/>
        <item h="1" x="14"/>
        <item h="1" x="21"/>
        <item h="1" x="22"/>
        <item h="1" x="28"/>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9">
    <i>
      <x/>
    </i>
    <i>
      <x v="1"/>
    </i>
    <i>
      <x v="5"/>
    </i>
    <i>
      <x v="10"/>
    </i>
    <i>
      <x v="15"/>
    </i>
    <i>
      <x v="20"/>
    </i>
    <i>
      <x v="25"/>
    </i>
    <i>
      <x v="30"/>
    </i>
    <i>
      <x v="35"/>
    </i>
  </rowItems>
  <colFields count="2">
    <field x="5"/>
    <field x="2"/>
  </colFields>
  <colItems count="6">
    <i>
      <x v="2"/>
      <x v="1"/>
    </i>
    <i>
      <x v="8"/>
      <x v="1"/>
    </i>
    <i>
      <x v="16"/>
      <x v="1"/>
    </i>
    <i>
      <x v="17"/>
      <x v="1"/>
    </i>
    <i>
      <x v="18"/>
      <x v="1"/>
    </i>
    <i>
      <x v="19"/>
      <x v="1"/>
    </i>
  </colItems>
  <dataFields count="1">
    <dataField name="Average of €/MWh" fld="6" subtotal="average" baseField="1" baseItem="3"/>
  </dataFields>
  <chartFormats count="33">
    <chartFormat chart="1" format="72" series="1">
      <pivotArea type="data" outline="0" fieldPosition="0">
        <references count="2">
          <reference field="4294967294" count="1" selected="0">
            <x v="0"/>
          </reference>
          <reference field="5" count="1" selected="0">
            <x v="0"/>
          </reference>
        </references>
      </pivotArea>
    </chartFormat>
    <chartFormat chart="1" format="73" series="1">
      <pivotArea type="data" outline="0" fieldPosition="0">
        <references count="2">
          <reference field="4294967294" count="1" selected="0">
            <x v="0"/>
          </reference>
          <reference field="5" count="1" selected="0">
            <x v="1"/>
          </reference>
        </references>
      </pivotArea>
    </chartFormat>
    <chartFormat chart="1" format="74" series="1">
      <pivotArea type="data" outline="0" fieldPosition="0">
        <references count="2">
          <reference field="4294967294" count="1" selected="0">
            <x v="0"/>
          </reference>
          <reference field="5" count="1" selected="0">
            <x v="2"/>
          </reference>
        </references>
      </pivotArea>
    </chartFormat>
    <chartFormat chart="1" format="77" series="1">
      <pivotArea type="data" outline="0" fieldPosition="0">
        <references count="2">
          <reference field="4294967294" count="1" selected="0">
            <x v="0"/>
          </reference>
          <reference field="5" count="1" selected="0">
            <x v="3"/>
          </reference>
        </references>
      </pivotArea>
    </chartFormat>
    <chartFormat chart="1" format="79" series="1">
      <pivotArea type="data" outline="0" fieldPosition="0">
        <references count="2">
          <reference field="4294967294" count="1" selected="0">
            <x v="0"/>
          </reference>
          <reference field="5" count="1" selected="0">
            <x v="4"/>
          </reference>
        </references>
      </pivotArea>
    </chartFormat>
    <chartFormat chart="1" format="80" series="1">
      <pivotArea type="data" outline="0" fieldPosition="0">
        <references count="2">
          <reference field="4294967294" count="1" selected="0">
            <x v="0"/>
          </reference>
          <reference field="5" count="1" selected="0">
            <x v="5"/>
          </reference>
        </references>
      </pivotArea>
    </chartFormat>
    <chartFormat chart="1" format="81" series="1">
      <pivotArea type="data" outline="0" fieldPosition="0">
        <references count="2">
          <reference field="4294967294" count="1" selected="0">
            <x v="0"/>
          </reference>
          <reference field="5" count="1" selected="0">
            <x v="6"/>
          </reference>
        </references>
      </pivotArea>
    </chartFormat>
    <chartFormat chart="1" format="82" series="1">
      <pivotArea type="data" outline="0" fieldPosition="0">
        <references count="2">
          <reference field="4294967294" count="1" selected="0">
            <x v="0"/>
          </reference>
          <reference field="5" count="1" selected="0">
            <x v="7"/>
          </reference>
        </references>
      </pivotArea>
    </chartFormat>
    <chartFormat chart="1" format="83" series="1">
      <pivotArea type="data" outline="0" fieldPosition="0">
        <references count="2">
          <reference field="4294967294" count="1" selected="0">
            <x v="0"/>
          </reference>
          <reference field="5" count="1" selected="0">
            <x v="8"/>
          </reference>
        </references>
      </pivotArea>
    </chartFormat>
    <chartFormat chart="1" format="85" series="1">
      <pivotArea type="data" outline="0" fieldPosition="0">
        <references count="2">
          <reference field="4294967294" count="1" selected="0">
            <x v="0"/>
          </reference>
          <reference field="5" count="1" selected="0">
            <x v="9"/>
          </reference>
        </references>
      </pivotArea>
    </chartFormat>
    <chartFormat chart="1" format="86" series="1">
      <pivotArea type="data" outline="0" fieldPosition="0">
        <references count="2">
          <reference field="4294967294" count="1" selected="0">
            <x v="0"/>
          </reference>
          <reference field="5" count="1" selected="0">
            <x v="10"/>
          </reference>
        </references>
      </pivotArea>
    </chartFormat>
    <chartFormat chart="1" format="87" series="1">
      <pivotArea type="data" outline="0" fieldPosition="0">
        <references count="2">
          <reference field="4294967294" count="1" selected="0">
            <x v="0"/>
          </reference>
          <reference field="5" count="1" selected="0">
            <x v="11"/>
          </reference>
        </references>
      </pivotArea>
    </chartFormat>
    <chartFormat chart="1" format="88" series="1">
      <pivotArea type="data" outline="0" fieldPosition="0">
        <references count="2">
          <reference field="4294967294" count="1" selected="0">
            <x v="0"/>
          </reference>
          <reference field="5" count="1" selected="0">
            <x v="12"/>
          </reference>
        </references>
      </pivotArea>
    </chartFormat>
    <chartFormat chart="1" format="89" series="1">
      <pivotArea type="data" outline="0" fieldPosition="0">
        <references count="2">
          <reference field="4294967294" count="1" selected="0">
            <x v="0"/>
          </reference>
          <reference field="5" count="1" selected="0">
            <x v="13"/>
          </reference>
        </references>
      </pivotArea>
    </chartFormat>
    <chartFormat chart="1" format="90" series="1">
      <pivotArea type="data" outline="0" fieldPosition="0">
        <references count="2">
          <reference field="4294967294" count="1" selected="0">
            <x v="0"/>
          </reference>
          <reference field="5" count="1" selected="0">
            <x v="14"/>
          </reference>
        </references>
      </pivotArea>
    </chartFormat>
    <chartFormat chart="1" format="91" series="1">
      <pivotArea type="data" outline="0" fieldPosition="0">
        <references count="2">
          <reference field="4294967294" count="1" selected="0">
            <x v="0"/>
          </reference>
          <reference field="5" count="1" selected="0">
            <x v="15"/>
          </reference>
        </references>
      </pivotArea>
    </chartFormat>
    <chartFormat chart="1" format="92" series="1">
      <pivotArea type="data" outline="0" fieldPosition="0">
        <references count="2">
          <reference field="4294967294" count="1" selected="0">
            <x v="0"/>
          </reference>
          <reference field="5" count="1" selected="0">
            <x v="16"/>
          </reference>
        </references>
      </pivotArea>
    </chartFormat>
    <chartFormat chart="1" format="93" series="1">
      <pivotArea type="data" outline="0" fieldPosition="0">
        <references count="2">
          <reference field="4294967294" count="1" selected="0">
            <x v="0"/>
          </reference>
          <reference field="5" count="1" selected="0">
            <x v="17"/>
          </reference>
        </references>
      </pivotArea>
    </chartFormat>
    <chartFormat chart="1" format="94" series="1">
      <pivotArea type="data" outline="0" fieldPosition="0">
        <references count="2">
          <reference field="4294967294" count="1" selected="0">
            <x v="0"/>
          </reference>
          <reference field="5" count="1" selected="0">
            <x v="18"/>
          </reference>
        </references>
      </pivotArea>
    </chartFormat>
    <chartFormat chart="1" format="95" series="1">
      <pivotArea type="data" outline="0" fieldPosition="0">
        <references count="2">
          <reference field="4294967294" count="1" selected="0">
            <x v="0"/>
          </reference>
          <reference field="5" count="1" selected="0">
            <x v="19"/>
          </reference>
        </references>
      </pivotArea>
    </chartFormat>
    <chartFormat chart="1" format="96" series="1">
      <pivotArea type="data" outline="0" fieldPosition="0">
        <references count="3">
          <reference field="4294967294" count="1" selected="0">
            <x v="0"/>
          </reference>
          <reference field="2" count="1" selected="0">
            <x v="0"/>
          </reference>
          <reference field="5" count="1" selected="0">
            <x v="16"/>
          </reference>
        </references>
      </pivotArea>
    </chartFormat>
    <chartFormat chart="1" format="97" series="1">
      <pivotArea type="data" outline="0" fieldPosition="0">
        <references count="3">
          <reference field="4294967294" count="1" selected="0">
            <x v="0"/>
          </reference>
          <reference field="2" count="1" selected="0">
            <x v="7"/>
          </reference>
          <reference field="5" count="1" selected="0">
            <x v="16"/>
          </reference>
        </references>
      </pivotArea>
    </chartFormat>
    <chartFormat chart="1" format="98" series="1">
      <pivotArea type="data" outline="0" fieldPosition="0">
        <references count="3">
          <reference field="4294967294" count="1" selected="0">
            <x v="0"/>
          </reference>
          <reference field="2" count="1" selected="0">
            <x v="0"/>
          </reference>
          <reference field="5" count="1" selected="0">
            <x v="17"/>
          </reference>
        </references>
      </pivotArea>
    </chartFormat>
    <chartFormat chart="1" format="99" series="1">
      <pivotArea type="data" outline="0" fieldPosition="0">
        <references count="3">
          <reference field="4294967294" count="1" selected="0">
            <x v="0"/>
          </reference>
          <reference field="2" count="1" selected="0">
            <x v="7"/>
          </reference>
          <reference field="5" count="1" selected="0">
            <x v="17"/>
          </reference>
        </references>
      </pivotArea>
    </chartFormat>
    <chartFormat chart="1" format="100" series="1">
      <pivotArea type="data" outline="0" fieldPosition="0">
        <references count="3">
          <reference field="4294967294" count="1" selected="0">
            <x v="0"/>
          </reference>
          <reference field="2" count="1" selected="0">
            <x v="0"/>
          </reference>
          <reference field="5" count="1" selected="0">
            <x v="2"/>
          </reference>
        </references>
      </pivotArea>
    </chartFormat>
    <chartFormat chart="1" format="101" series="1">
      <pivotArea type="data" outline="0" fieldPosition="0">
        <references count="3">
          <reference field="4294967294" count="1" selected="0">
            <x v="0"/>
          </reference>
          <reference field="2" count="1" selected="0">
            <x v="7"/>
          </reference>
          <reference field="5" count="1" selected="0">
            <x v="2"/>
          </reference>
        </references>
      </pivotArea>
    </chartFormat>
    <chartFormat chart="1" format="102" series="1">
      <pivotArea type="data" outline="0" fieldPosition="0">
        <references count="3">
          <reference field="4294967294" count="1" selected="0">
            <x v="0"/>
          </reference>
          <reference field="2" count="1" selected="0">
            <x v="0"/>
          </reference>
          <reference field="5" count="1" selected="0">
            <x v="8"/>
          </reference>
        </references>
      </pivotArea>
    </chartFormat>
    <chartFormat chart="1" format="103" series="1">
      <pivotArea type="data" outline="0" fieldPosition="0">
        <references count="3">
          <reference field="4294967294" count="1" selected="0">
            <x v="0"/>
          </reference>
          <reference field="2" count="1" selected="0">
            <x v="7"/>
          </reference>
          <reference field="5" count="1" selected="0">
            <x v="8"/>
          </reference>
        </references>
      </pivotArea>
    </chartFormat>
    <chartFormat chart="1" format="104" series="1">
      <pivotArea type="data" outline="0" fieldPosition="0">
        <references count="3">
          <reference field="4294967294" count="1" selected="0">
            <x v="0"/>
          </reference>
          <reference field="2" count="1" selected="0">
            <x v="1"/>
          </reference>
          <reference field="5" count="1" selected="0">
            <x v="18"/>
          </reference>
        </references>
      </pivotArea>
    </chartFormat>
    <chartFormat chart="1" format="105" series="1">
      <pivotArea type="data" outline="0" fieldPosition="0">
        <references count="3">
          <reference field="4294967294" count="1" selected="0">
            <x v="0"/>
          </reference>
          <reference field="2" count="1" selected="0">
            <x v="1"/>
          </reference>
          <reference field="5" count="1" selected="0">
            <x v="2"/>
          </reference>
        </references>
      </pivotArea>
    </chartFormat>
    <chartFormat chart="1" format="106" series="1">
      <pivotArea type="data" outline="0" fieldPosition="0">
        <references count="3">
          <reference field="4294967294" count="1" selected="0">
            <x v="0"/>
          </reference>
          <reference field="2" count="1" selected="0">
            <x v="1"/>
          </reference>
          <reference field="5" count="1" selected="0">
            <x v="8"/>
          </reference>
        </references>
      </pivotArea>
    </chartFormat>
    <chartFormat chart="1" format="107" series="1">
      <pivotArea type="data" outline="0" fieldPosition="0">
        <references count="3">
          <reference field="4294967294" count="1" selected="0">
            <x v="0"/>
          </reference>
          <reference field="2" count="1" selected="0">
            <x v="1"/>
          </reference>
          <reference field="5" count="1" selected="0">
            <x v="16"/>
          </reference>
        </references>
      </pivotArea>
    </chartFormat>
    <chartFormat chart="1" format="108" series="1">
      <pivotArea type="data" outline="0" fieldPosition="0">
        <references count="3">
          <reference field="4294967294" count="1" selected="0">
            <x v="0"/>
          </reference>
          <reference field="2" count="1" selected="0">
            <x v="1"/>
          </reference>
          <reference field="5"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7.xml><?xml version="1.0" encoding="utf-8"?>
<pivotTableDefinition xmlns="http://schemas.openxmlformats.org/spreadsheetml/2006/main" name="PivotTable4" cacheId="14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4:E452" firstHeaderRow="1" firstDataRow="1" firstDataCol="3" rowPageCount="1" colPageCount="1"/>
  <pivotFields count="17">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785">
        <item x="0"/>
        <item x="5"/>
        <item x="10"/>
        <item x="11"/>
        <item x="12"/>
        <item x="13"/>
        <item x="14"/>
        <item x="15"/>
        <item x="16"/>
        <item x="17"/>
        <item x="18"/>
        <item x="19"/>
        <item x="20"/>
        <item x="21"/>
        <item x="22"/>
        <item x="27"/>
        <item x="28"/>
        <item x="29"/>
        <item x="30"/>
        <item x="31"/>
        <item x="32"/>
        <item x="33"/>
        <item x="34"/>
        <item x="35"/>
        <item x="39"/>
        <item x="43"/>
        <item x="47"/>
        <item x="51"/>
        <item x="55"/>
        <item x="59"/>
        <item x="64"/>
        <item x="65"/>
        <item x="69"/>
        <item x="70"/>
        <item x="71"/>
        <item x="72"/>
        <item x="73"/>
        <item x="74"/>
        <item x="75"/>
        <item x="76"/>
        <item x="77"/>
        <item x="78"/>
        <item x="79"/>
        <item x="80"/>
        <item x="81"/>
        <item x="82"/>
        <item x="83"/>
        <item x="84"/>
        <item x="85"/>
        <item x="86"/>
        <item x="87"/>
        <item x="88"/>
        <item x="89"/>
        <item x="90"/>
        <item x="91"/>
        <item x="92"/>
        <item x="96"/>
        <item x="100"/>
        <item x="104"/>
        <item x="108"/>
        <item x="112"/>
        <item x="113"/>
        <item x="114"/>
        <item x="115"/>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90"/>
        <item x="195"/>
        <item x="200"/>
        <item x="205"/>
        <item x="210"/>
        <item x="215"/>
        <item x="220"/>
        <item x="225"/>
        <item x="231"/>
        <item x="237"/>
        <item x="242"/>
        <item x="247"/>
        <item x="252"/>
        <item x="257"/>
        <item x="262"/>
        <item x="263"/>
        <item x="264"/>
        <item x="265"/>
        <item x="266"/>
        <item x="267"/>
        <item x="268"/>
        <item x="269"/>
        <item x="306"/>
        <item x="307"/>
        <item x="308"/>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9"/>
        <item x="313"/>
        <item x="317"/>
        <item x="318"/>
        <item x="319"/>
        <item x="324"/>
        <item x="329"/>
        <item x="334"/>
        <item x="339"/>
        <item x="344"/>
        <item x="349"/>
        <item x="354"/>
        <item x="359"/>
        <item x="364"/>
        <item x="369"/>
        <item x="374"/>
        <item x="379"/>
        <item x="384"/>
        <item x="389"/>
        <item x="394"/>
        <item x="399"/>
        <item x="404"/>
        <item x="409"/>
        <item x="414"/>
        <item x="419"/>
        <item x="424"/>
        <item x="429"/>
        <item x="434"/>
        <item x="439"/>
        <item x="444"/>
        <item x="449"/>
        <item x="454"/>
        <item x="459"/>
        <item x="464"/>
        <item x="469"/>
        <item x="474"/>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5"/>
        <item x="540"/>
        <item x="545"/>
        <item x="550"/>
        <item x="555"/>
        <item x="560"/>
        <item x="565"/>
        <item x="570"/>
        <item x="575"/>
        <item x="580"/>
        <item x="585"/>
        <item x="590"/>
        <item x="595"/>
        <item x="600"/>
        <item x="605"/>
        <item x="610"/>
        <item x="615"/>
        <item x="620"/>
        <item x="625"/>
        <item x="630"/>
        <item x="635"/>
        <item x="640"/>
        <item x="645"/>
        <item x="650"/>
        <item x="655"/>
        <item x="660"/>
        <item x="665"/>
        <item x="672"/>
        <item x="673"/>
        <item x="674"/>
        <item x="675"/>
        <item x="676"/>
        <item x="677"/>
        <item x="678"/>
        <item x="679"/>
        <item x="680"/>
        <item x="681"/>
        <item x="682"/>
        <item x="687"/>
        <item x="688"/>
        <item x="689"/>
        <item x="690"/>
        <item x="691"/>
        <item x="692"/>
        <item x="693"/>
        <item x="694"/>
        <item x="695"/>
        <item x="696"/>
        <item x="697"/>
        <item x="698"/>
        <item x="699"/>
        <item x="700"/>
        <item x="701"/>
        <item x="702"/>
        <item x="707"/>
        <item x="712"/>
        <item x="717"/>
        <item x="722"/>
        <item x="727"/>
        <item x="732"/>
        <item x="737"/>
        <item x="742"/>
        <item x="747"/>
        <item x="752"/>
        <item x="757"/>
        <item x="762"/>
        <item x="767"/>
        <item x="772"/>
        <item x="777"/>
        <item x="782"/>
        <item x="787"/>
        <item x="792"/>
        <item x="797"/>
        <item x="802"/>
        <item x="807"/>
        <item x="812"/>
        <item x="817"/>
        <item x="822"/>
        <item x="827"/>
        <item x="832"/>
        <item x="837"/>
        <item x="842"/>
        <item x="847"/>
        <item x="852"/>
        <item x="857"/>
        <item x="862"/>
        <item x="867"/>
        <item x="872"/>
        <item x="877"/>
        <item x="882"/>
        <item x="887"/>
        <item x="892"/>
        <item x="897"/>
        <item x="902"/>
        <item x="907"/>
        <item x="912"/>
        <item x="917"/>
        <item x="928"/>
        <item x="929"/>
        <item x="930"/>
        <item x="931"/>
        <item x="932"/>
        <item x="933"/>
        <item x="938"/>
        <item x="943"/>
        <item x="944"/>
        <item x="945"/>
        <item x="946"/>
        <item x="947"/>
        <item x="948"/>
        <item x="949"/>
        <item x="950"/>
        <item x="951"/>
        <item x="952"/>
        <item x="953"/>
        <item x="954"/>
        <item x="955"/>
        <item x="956"/>
        <item x="957"/>
        <item x="958"/>
        <item x="959"/>
        <item x="960"/>
        <item x="961"/>
        <item x="962"/>
        <item x="963"/>
        <item x="964"/>
        <item x="965"/>
        <item x="966"/>
        <item x="967"/>
        <item x="969"/>
        <item x="970"/>
        <item x="971"/>
        <item x="972"/>
        <item x="973"/>
        <item x="974"/>
        <item x="975"/>
        <item x="976"/>
        <item x="977"/>
        <item x="968"/>
        <item x="978"/>
        <item x="979"/>
        <item x="980"/>
        <item x="981"/>
        <item x="982"/>
        <item x="986"/>
        <item x="987"/>
        <item x="988"/>
        <item x="989"/>
        <item x="990"/>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4"/>
        <item x="1058"/>
        <item x="1062"/>
        <item x="1066"/>
        <item x="1070"/>
        <item x="1074"/>
        <item x="1078"/>
        <item x="1082"/>
        <item x="1086"/>
        <item x="1090"/>
        <item x="1094"/>
        <item x="1098"/>
        <item x="1102"/>
        <item x="1106"/>
        <item x="1110"/>
        <item x="1114"/>
        <item x="1118"/>
        <item x="1122"/>
        <item x="1126"/>
        <item x="1130"/>
        <item x="1134"/>
        <item x="1138"/>
        <item x="1142"/>
        <item x="1146"/>
        <item x="1150"/>
        <item x="1154"/>
        <item x="1158"/>
        <item x="1162"/>
        <item x="1166"/>
        <item x="1170"/>
        <item x="1174"/>
        <item x="1178"/>
        <item x="1182"/>
        <item x="1186"/>
        <item x="1190"/>
        <item x="1194"/>
        <item x="1198"/>
        <item x="1202"/>
        <item x="1206"/>
        <item x="1210"/>
        <item x="1214"/>
        <item x="1215"/>
        <item x="1216"/>
        <item x="1217"/>
        <item x="1218"/>
        <item x="1219"/>
        <item x="1220"/>
        <item x="1221"/>
        <item x="1222"/>
        <item x="1223"/>
        <item x="1224"/>
        <item x="1225"/>
        <item x="1226"/>
        <item x="1227"/>
        <item x="1228"/>
        <item x="1229"/>
        <item x="1230"/>
        <item x="1231"/>
        <item x="1232"/>
        <item x="1233"/>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5"/>
        <item x="1300"/>
        <item x="1305"/>
        <item x="1310"/>
        <item x="1315"/>
        <item x="1320"/>
        <item x="1325"/>
        <item x="1330"/>
        <item x="1335"/>
        <item x="1340"/>
        <item x="1345"/>
        <item x="1350"/>
        <item x="1355"/>
        <item x="1360"/>
        <item x="1365"/>
        <item x="1370"/>
        <item x="1375"/>
        <item x="1380"/>
        <item x="1385"/>
        <item x="1390"/>
        <item x="1395"/>
        <item x="1400"/>
        <item x="1405"/>
        <item x="1410"/>
        <item x="1415"/>
        <item x="1420"/>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531"/>
        <item x="1532"/>
        <item x="1533"/>
        <item x="1534"/>
        <item x="1535"/>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500"/>
        <item x="1501"/>
        <item x="1502"/>
        <item x="1503"/>
        <item x="1504"/>
        <item x="1508"/>
        <item x="1509"/>
        <item x="1510"/>
        <item x="1511"/>
        <item x="1512"/>
        <item x="1513"/>
        <item x="1514"/>
        <item x="1515"/>
        <item x="1516"/>
        <item x="1517"/>
        <item x="1518"/>
        <item x="1519"/>
        <item x="1520"/>
        <item x="1521"/>
        <item x="1522"/>
        <item x="1523"/>
        <item x="1524"/>
        <item x="1525"/>
        <item x="1526"/>
        <item x="1527"/>
        <item x="1528"/>
        <item x="1529"/>
        <item x="1530"/>
        <item x="1536"/>
        <item x="1537"/>
        <item x="1538"/>
        <item x="1539"/>
        <item x="1540"/>
        <item x="1541"/>
        <item x="1542"/>
        <item x="1544"/>
        <item x="1545"/>
        <item x="1546"/>
        <item x="1547"/>
        <item x="1548"/>
        <item x="1549"/>
        <item x="1543"/>
        <item x="1550"/>
        <item x="1556"/>
        <item x="1557"/>
        <item x="1562"/>
        <item x="1566"/>
        <item x="1570"/>
        <item x="1574"/>
        <item x="1578"/>
        <item x="1579"/>
        <item x="1581"/>
        <item x="1585"/>
        <item x="1589"/>
        <item x="1593"/>
        <item x="1597"/>
        <item x="1601"/>
        <item x="1605"/>
        <item x="1609"/>
        <item x="1610"/>
        <item x="1614"/>
        <item x="1615"/>
        <item x="1616"/>
        <item x="1621"/>
        <item x="1625"/>
        <item x="1631"/>
        <item x="1629"/>
        <item x="1630"/>
        <item x="1632"/>
        <item x="1633"/>
        <item x="1634"/>
        <item x="1635"/>
        <item x="1636"/>
        <item x="1637"/>
        <item x="1638"/>
        <item x="1639"/>
        <item x="1644"/>
        <item x="1648"/>
        <item x="1653"/>
        <item x="1659"/>
        <item x="1660"/>
        <item x="1664"/>
        <item x="1669"/>
        <item x="1674"/>
        <item x="1679"/>
        <item x="1692"/>
        <item x="1684"/>
        <item x="1688"/>
        <item x="1698"/>
        <item x="1702"/>
        <item x="1706"/>
        <item x="1710"/>
        <item x="1715"/>
        <item x="1719"/>
        <item x="1747"/>
        <item x="1751"/>
        <item x="1755"/>
        <item x="1759"/>
        <item x="1763"/>
        <item x="1767"/>
        <item x="1772"/>
        <item x="1776"/>
        <item x="1781"/>
        <item x="1724"/>
        <item x="1725"/>
        <item x="1729"/>
        <item x="1735"/>
        <item x="1736"/>
        <item x="1740"/>
        <item x="1742"/>
        <item x="1497"/>
        <item x="1498"/>
        <item x="1499"/>
        <item x="1505"/>
        <item x="1506"/>
        <item x="1507"/>
        <item x="1"/>
        <item x="2"/>
        <item x="3"/>
        <item x="4"/>
        <item x="6"/>
        <item x="7"/>
        <item x="8"/>
        <item x="9"/>
        <item x="23"/>
        <item x="24"/>
        <item x="25"/>
        <item x="26"/>
        <item x="36"/>
        <item x="37"/>
        <item x="38"/>
        <item x="40"/>
        <item x="41"/>
        <item x="42"/>
        <item x="44"/>
        <item x="45"/>
        <item x="46"/>
        <item x="48"/>
        <item x="49"/>
        <item x="50"/>
        <item x="52"/>
        <item x="53"/>
        <item x="54"/>
        <item x="56"/>
        <item x="57"/>
        <item x="58"/>
        <item x="60"/>
        <item x="61"/>
        <item x="62"/>
        <item x="63"/>
        <item x="66"/>
        <item x="67"/>
        <item x="68"/>
        <item x="93"/>
        <item x="94"/>
        <item x="95"/>
        <item x="97"/>
        <item x="98"/>
        <item x="99"/>
        <item x="101"/>
        <item x="102"/>
        <item x="103"/>
        <item x="105"/>
        <item x="106"/>
        <item x="107"/>
        <item x="109"/>
        <item x="110"/>
        <item x="111"/>
        <item x="116"/>
        <item x="117"/>
        <item x="118"/>
        <item x="119"/>
        <item x="120"/>
        <item x="121"/>
        <item x="122"/>
        <item x="123"/>
        <item x="186"/>
        <item x="187"/>
        <item x="188"/>
        <item x="189"/>
        <item x="191"/>
        <item x="192"/>
        <item x="193"/>
        <item x="194"/>
        <item x="196"/>
        <item x="197"/>
        <item x="198"/>
        <item x="199"/>
        <item x="201"/>
        <item x="202"/>
        <item x="203"/>
        <item x="204"/>
        <item x="206"/>
        <item x="207"/>
        <item x="208"/>
        <item x="209"/>
        <item x="211"/>
        <item x="212"/>
        <item x="213"/>
        <item x="214"/>
        <item x="216"/>
        <item x="217"/>
        <item x="218"/>
        <item x="219"/>
        <item x="221"/>
        <item x="222"/>
        <item x="223"/>
        <item x="224"/>
        <item x="226"/>
        <item x="227"/>
        <item x="228"/>
        <item x="229"/>
        <item x="230"/>
        <item x="232"/>
        <item x="233"/>
        <item x="234"/>
        <item x="235"/>
        <item x="236"/>
        <item x="238"/>
        <item x="239"/>
        <item x="240"/>
        <item x="241"/>
        <item x="243"/>
        <item x="244"/>
        <item x="245"/>
        <item x="246"/>
        <item x="248"/>
        <item x="249"/>
        <item x="250"/>
        <item x="251"/>
        <item x="253"/>
        <item x="254"/>
        <item x="255"/>
        <item x="256"/>
        <item x="258"/>
        <item x="259"/>
        <item x="260"/>
        <item x="261"/>
        <item x="310"/>
        <item x="311"/>
        <item x="312"/>
        <item x="314"/>
        <item x="315"/>
        <item x="316"/>
        <item x="320"/>
        <item x="321"/>
        <item x="322"/>
        <item x="323"/>
        <item x="325"/>
        <item x="326"/>
        <item x="327"/>
        <item x="328"/>
        <item x="330"/>
        <item x="331"/>
        <item x="332"/>
        <item x="333"/>
        <item x="335"/>
        <item x="336"/>
        <item x="337"/>
        <item x="338"/>
        <item x="340"/>
        <item x="341"/>
        <item x="342"/>
        <item x="343"/>
        <item x="345"/>
        <item x="346"/>
        <item x="347"/>
        <item x="348"/>
        <item x="350"/>
        <item x="351"/>
        <item x="352"/>
        <item x="353"/>
        <item x="355"/>
        <item x="356"/>
        <item x="357"/>
        <item x="358"/>
        <item x="360"/>
        <item x="361"/>
        <item x="362"/>
        <item x="363"/>
        <item x="365"/>
        <item x="366"/>
        <item x="367"/>
        <item x="368"/>
        <item x="370"/>
        <item x="371"/>
        <item x="372"/>
        <item x="373"/>
        <item x="375"/>
        <item x="376"/>
        <item x="377"/>
        <item x="378"/>
        <item x="380"/>
        <item x="381"/>
        <item x="382"/>
        <item x="383"/>
        <item x="385"/>
        <item x="386"/>
        <item x="387"/>
        <item x="388"/>
        <item x="390"/>
        <item x="391"/>
        <item x="392"/>
        <item x="393"/>
        <item x="395"/>
        <item x="396"/>
        <item x="397"/>
        <item x="398"/>
        <item x="400"/>
        <item x="401"/>
        <item x="402"/>
        <item x="403"/>
        <item x="405"/>
        <item x="406"/>
        <item x="407"/>
        <item x="408"/>
        <item x="410"/>
        <item x="411"/>
        <item x="412"/>
        <item x="413"/>
        <item x="415"/>
        <item x="416"/>
        <item x="417"/>
        <item x="418"/>
        <item x="420"/>
        <item x="421"/>
        <item x="422"/>
        <item x="423"/>
        <item x="425"/>
        <item x="426"/>
        <item x="427"/>
        <item x="428"/>
        <item x="430"/>
        <item x="431"/>
        <item x="432"/>
        <item x="433"/>
        <item x="435"/>
        <item x="436"/>
        <item x="437"/>
        <item x="438"/>
        <item x="440"/>
        <item x="441"/>
        <item x="442"/>
        <item x="443"/>
        <item x="445"/>
        <item x="446"/>
        <item x="447"/>
        <item x="448"/>
        <item x="450"/>
        <item x="451"/>
        <item x="452"/>
        <item x="453"/>
        <item x="455"/>
        <item x="456"/>
        <item x="457"/>
        <item x="458"/>
        <item x="460"/>
        <item x="461"/>
        <item x="462"/>
        <item x="463"/>
        <item x="465"/>
        <item x="466"/>
        <item x="467"/>
        <item x="468"/>
        <item x="470"/>
        <item x="471"/>
        <item x="472"/>
        <item x="473"/>
        <item x="475"/>
        <item x="476"/>
        <item x="477"/>
        <item x="478"/>
        <item x="479"/>
        <item x="480"/>
        <item x="481"/>
        <item x="482"/>
        <item x="483"/>
        <item x="484"/>
        <item x="485"/>
        <item x="531"/>
        <item x="532"/>
        <item x="533"/>
        <item x="534"/>
        <item x="536"/>
        <item x="537"/>
        <item x="538"/>
        <item x="539"/>
        <item x="541"/>
        <item x="542"/>
        <item x="543"/>
        <item x="544"/>
        <item x="546"/>
        <item x="547"/>
        <item x="548"/>
        <item x="549"/>
        <item x="551"/>
        <item x="552"/>
        <item x="553"/>
        <item x="554"/>
        <item x="556"/>
        <item x="557"/>
        <item x="558"/>
        <item x="559"/>
        <item x="561"/>
        <item x="562"/>
        <item x="563"/>
        <item x="564"/>
        <item x="566"/>
        <item x="567"/>
        <item x="568"/>
        <item x="569"/>
        <item x="571"/>
        <item x="572"/>
        <item x="573"/>
        <item x="574"/>
        <item x="576"/>
        <item x="577"/>
        <item x="578"/>
        <item x="579"/>
        <item x="581"/>
        <item x="582"/>
        <item x="583"/>
        <item x="584"/>
        <item x="586"/>
        <item x="587"/>
        <item x="588"/>
        <item x="589"/>
        <item x="591"/>
        <item x="592"/>
        <item x="593"/>
        <item x="594"/>
        <item x="596"/>
        <item x="597"/>
        <item x="598"/>
        <item x="599"/>
        <item x="601"/>
        <item x="602"/>
        <item x="603"/>
        <item x="604"/>
        <item x="606"/>
        <item x="607"/>
        <item x="608"/>
        <item x="609"/>
        <item x="611"/>
        <item x="612"/>
        <item x="613"/>
        <item x="614"/>
        <item x="616"/>
        <item x="617"/>
        <item x="618"/>
        <item x="619"/>
        <item x="621"/>
        <item x="622"/>
        <item x="623"/>
        <item x="624"/>
        <item x="626"/>
        <item x="627"/>
        <item x="628"/>
        <item x="629"/>
        <item x="631"/>
        <item x="632"/>
        <item x="633"/>
        <item x="634"/>
        <item x="636"/>
        <item x="637"/>
        <item x="638"/>
        <item x="639"/>
        <item x="641"/>
        <item x="642"/>
        <item x="643"/>
        <item x="644"/>
        <item x="646"/>
        <item x="647"/>
        <item x="648"/>
        <item x="649"/>
        <item x="651"/>
        <item x="652"/>
        <item x="653"/>
        <item x="654"/>
        <item x="656"/>
        <item x="657"/>
        <item x="658"/>
        <item x="659"/>
        <item x="661"/>
        <item x="662"/>
        <item x="663"/>
        <item x="664"/>
        <item x="666"/>
        <item x="667"/>
        <item x="668"/>
        <item x="669"/>
        <item x="670"/>
        <item x="671"/>
        <item x="683"/>
        <item x="684"/>
        <item x="685"/>
        <item x="686"/>
        <item x="703"/>
        <item x="704"/>
        <item x="705"/>
        <item x="706"/>
        <item x="708"/>
        <item x="709"/>
        <item x="710"/>
        <item x="711"/>
        <item x="713"/>
        <item x="714"/>
        <item x="715"/>
        <item x="716"/>
        <item x="718"/>
        <item x="719"/>
        <item x="720"/>
        <item x="721"/>
        <item x="723"/>
        <item x="724"/>
        <item x="725"/>
        <item x="726"/>
        <item x="728"/>
        <item x="729"/>
        <item x="730"/>
        <item x="731"/>
        <item x="733"/>
        <item x="734"/>
        <item x="735"/>
        <item x="736"/>
        <item x="738"/>
        <item x="739"/>
        <item x="740"/>
        <item x="741"/>
        <item x="743"/>
        <item x="744"/>
        <item x="745"/>
        <item x="746"/>
        <item x="748"/>
        <item x="749"/>
        <item x="750"/>
        <item x="751"/>
        <item x="753"/>
        <item x="754"/>
        <item x="755"/>
        <item x="756"/>
        <item x="758"/>
        <item x="759"/>
        <item x="760"/>
        <item x="761"/>
        <item x="763"/>
        <item x="764"/>
        <item x="765"/>
        <item x="766"/>
        <item x="768"/>
        <item x="769"/>
        <item x="770"/>
        <item x="771"/>
        <item x="773"/>
        <item x="774"/>
        <item x="775"/>
        <item x="776"/>
        <item x="778"/>
        <item x="779"/>
        <item x="780"/>
        <item x="781"/>
        <item x="783"/>
        <item x="784"/>
        <item x="785"/>
        <item x="786"/>
        <item x="788"/>
        <item x="789"/>
        <item x="790"/>
        <item x="791"/>
        <item x="793"/>
        <item x="794"/>
        <item x="795"/>
        <item x="796"/>
        <item x="798"/>
        <item x="799"/>
        <item x="800"/>
        <item x="801"/>
        <item x="803"/>
        <item x="804"/>
        <item x="805"/>
        <item x="806"/>
        <item x="808"/>
        <item x="809"/>
        <item x="810"/>
        <item x="811"/>
        <item x="813"/>
        <item x="814"/>
        <item x="815"/>
        <item x="816"/>
        <item x="818"/>
        <item x="819"/>
        <item x="820"/>
        <item x="821"/>
        <item x="823"/>
        <item x="824"/>
        <item x="825"/>
        <item x="826"/>
        <item x="828"/>
        <item x="829"/>
        <item x="830"/>
        <item x="831"/>
        <item x="833"/>
        <item x="834"/>
        <item x="835"/>
        <item x="836"/>
        <item x="838"/>
        <item x="839"/>
        <item x="840"/>
        <item x="841"/>
        <item x="843"/>
        <item x="844"/>
        <item x="845"/>
        <item x="846"/>
        <item x="848"/>
        <item x="849"/>
        <item x="850"/>
        <item x="851"/>
        <item x="853"/>
        <item x="854"/>
        <item x="855"/>
        <item x="856"/>
        <item x="858"/>
        <item x="859"/>
        <item x="860"/>
        <item x="861"/>
        <item x="863"/>
        <item x="864"/>
        <item x="865"/>
        <item x="866"/>
        <item x="868"/>
        <item x="869"/>
        <item x="870"/>
        <item x="871"/>
        <item x="873"/>
        <item x="874"/>
        <item x="875"/>
        <item x="876"/>
        <item x="878"/>
        <item x="879"/>
        <item x="880"/>
        <item x="881"/>
        <item x="883"/>
        <item x="884"/>
        <item x="885"/>
        <item x="886"/>
        <item x="888"/>
        <item x="889"/>
        <item x="890"/>
        <item x="891"/>
        <item x="893"/>
        <item x="894"/>
        <item x="895"/>
        <item x="896"/>
        <item x="898"/>
        <item x="899"/>
        <item x="900"/>
        <item x="901"/>
        <item x="903"/>
        <item x="904"/>
        <item x="905"/>
        <item x="906"/>
        <item x="908"/>
        <item x="909"/>
        <item x="910"/>
        <item x="911"/>
        <item x="913"/>
        <item x="914"/>
        <item x="915"/>
        <item x="916"/>
        <item x="918"/>
        <item x="919"/>
        <item x="920"/>
        <item x="921"/>
        <item x="922"/>
        <item x="923"/>
        <item x="924"/>
        <item x="925"/>
        <item x="926"/>
        <item x="927"/>
        <item x="934"/>
        <item x="935"/>
        <item x="936"/>
        <item x="937"/>
        <item x="939"/>
        <item x="940"/>
        <item x="941"/>
        <item x="942"/>
        <item x="983"/>
        <item x="984"/>
        <item x="985"/>
        <item x="991"/>
        <item x="992"/>
        <item x="993"/>
        <item x="994"/>
        <item x="1051"/>
        <item x="1052"/>
        <item x="1053"/>
        <item x="1055"/>
        <item x="1056"/>
        <item x="1057"/>
        <item x="1059"/>
        <item x="1060"/>
        <item x="1061"/>
        <item x="1063"/>
        <item x="1064"/>
        <item x="1065"/>
        <item x="1067"/>
        <item x="1068"/>
        <item x="1069"/>
        <item x="1071"/>
        <item x="1072"/>
        <item x="1073"/>
        <item x="1075"/>
        <item x="1076"/>
        <item x="1077"/>
        <item x="1079"/>
        <item x="1080"/>
        <item x="1081"/>
        <item x="1083"/>
        <item x="1084"/>
        <item x="1085"/>
        <item x="1087"/>
        <item x="1088"/>
        <item x="1089"/>
        <item x="1091"/>
        <item x="1092"/>
        <item x="1093"/>
        <item x="1095"/>
        <item x="1096"/>
        <item x="1097"/>
        <item x="1099"/>
        <item x="1100"/>
        <item x="1101"/>
        <item x="1103"/>
        <item x="1104"/>
        <item x="1105"/>
        <item x="1107"/>
        <item x="1108"/>
        <item x="1109"/>
        <item x="1111"/>
        <item x="1112"/>
        <item x="1113"/>
        <item x="1115"/>
        <item x="1116"/>
        <item x="1117"/>
        <item x="1119"/>
        <item x="1120"/>
        <item x="1121"/>
        <item x="1123"/>
        <item x="1124"/>
        <item x="1125"/>
        <item x="1127"/>
        <item x="1128"/>
        <item x="1129"/>
        <item x="1131"/>
        <item x="1132"/>
        <item x="1133"/>
        <item x="1135"/>
        <item x="1136"/>
        <item x="1137"/>
        <item x="1139"/>
        <item x="1140"/>
        <item x="1141"/>
        <item x="1143"/>
        <item x="1144"/>
        <item x="1145"/>
        <item x="1147"/>
        <item x="1148"/>
        <item x="1149"/>
        <item x="1151"/>
        <item x="1152"/>
        <item x="1153"/>
        <item x="1155"/>
        <item x="1156"/>
        <item x="1157"/>
        <item x="1159"/>
        <item x="1160"/>
        <item x="1161"/>
        <item x="1163"/>
        <item x="1164"/>
        <item x="1165"/>
        <item x="1167"/>
        <item x="1168"/>
        <item x="1169"/>
        <item x="1171"/>
        <item x="1172"/>
        <item x="1173"/>
        <item x="1175"/>
        <item x="1176"/>
        <item x="1177"/>
        <item x="1179"/>
        <item x="1180"/>
        <item x="1181"/>
        <item x="1183"/>
        <item x="1184"/>
        <item x="1185"/>
        <item x="1187"/>
        <item x="1188"/>
        <item x="1189"/>
        <item x="1191"/>
        <item x="1192"/>
        <item x="1193"/>
        <item x="1195"/>
        <item x="1196"/>
        <item x="1197"/>
        <item x="1199"/>
        <item x="1200"/>
        <item x="1201"/>
        <item x="1203"/>
        <item x="1204"/>
        <item x="1205"/>
        <item x="1207"/>
        <item x="1208"/>
        <item x="1209"/>
        <item x="1211"/>
        <item x="1212"/>
        <item x="1213"/>
        <item x="1234"/>
        <item x="1235"/>
        <item x="1236"/>
        <item x="1237"/>
        <item x="1291"/>
        <item x="1292"/>
        <item x="1293"/>
        <item x="1294"/>
        <item x="1296"/>
        <item x="1297"/>
        <item x="1298"/>
        <item x="1299"/>
        <item x="1301"/>
        <item x="1302"/>
        <item x="1303"/>
        <item x="1304"/>
        <item x="1306"/>
        <item x="1307"/>
        <item x="1308"/>
        <item x="1309"/>
        <item x="1311"/>
        <item x="1312"/>
        <item x="1313"/>
        <item x="1314"/>
        <item x="1316"/>
        <item x="1317"/>
        <item x="1318"/>
        <item x="1319"/>
        <item x="1321"/>
        <item x="1322"/>
        <item x="1323"/>
        <item x="1324"/>
        <item x="1326"/>
        <item x="1327"/>
        <item x="1328"/>
        <item x="1329"/>
        <item x="1331"/>
        <item x="1332"/>
        <item x="1333"/>
        <item x="1334"/>
        <item x="1336"/>
        <item x="1337"/>
        <item x="1338"/>
        <item x="1339"/>
        <item x="1341"/>
        <item x="1342"/>
        <item x="1343"/>
        <item x="1344"/>
        <item x="1346"/>
        <item x="1347"/>
        <item x="1348"/>
        <item x="1349"/>
        <item x="1351"/>
        <item x="1352"/>
        <item x="1353"/>
        <item x="1354"/>
        <item x="1356"/>
        <item x="1357"/>
        <item x="1358"/>
        <item x="1359"/>
        <item x="1361"/>
        <item x="1362"/>
        <item x="1363"/>
        <item x="1364"/>
        <item x="1366"/>
        <item x="1367"/>
        <item x="1368"/>
        <item x="1369"/>
        <item x="1371"/>
        <item x="1372"/>
        <item x="1373"/>
        <item x="1374"/>
        <item x="1376"/>
        <item x="1377"/>
        <item x="1378"/>
        <item x="1379"/>
        <item x="1381"/>
        <item x="1382"/>
        <item x="1383"/>
        <item x="1384"/>
        <item x="1386"/>
        <item x="1387"/>
        <item x="1388"/>
        <item x="1389"/>
        <item x="1391"/>
        <item x="1392"/>
        <item x="1393"/>
        <item x="1394"/>
        <item x="1396"/>
        <item x="1397"/>
        <item x="1398"/>
        <item x="1399"/>
        <item x="1401"/>
        <item x="1402"/>
        <item x="1403"/>
        <item x="1404"/>
        <item x="1406"/>
        <item x="1407"/>
        <item x="1408"/>
        <item x="1409"/>
        <item x="1411"/>
        <item x="1412"/>
        <item x="1413"/>
        <item x="1414"/>
        <item x="1416"/>
        <item x="1417"/>
        <item x="1418"/>
        <item x="1419"/>
        <item x="1421"/>
        <item x="1422"/>
        <item x="1423"/>
        <item x="1424"/>
        <item x="1551"/>
        <item x="1552"/>
        <item x="1553"/>
        <item x="1554"/>
        <item x="1555"/>
        <item x="1558"/>
        <item x="1559"/>
        <item x="1560"/>
        <item x="1561"/>
        <item x="1563"/>
        <item x="1564"/>
        <item x="1565"/>
        <item x="1567"/>
        <item x="1568"/>
        <item x="1569"/>
        <item x="1571"/>
        <item x="1572"/>
        <item x="1573"/>
        <item x="1575"/>
        <item x="1576"/>
        <item x="1577"/>
        <item x="1580"/>
        <item x="1582"/>
        <item x="1583"/>
        <item x="1584"/>
        <item x="1586"/>
        <item x="1587"/>
        <item x="1588"/>
        <item x="1590"/>
        <item x="1591"/>
        <item x="1592"/>
        <item x="1594"/>
        <item x="1595"/>
        <item x="1596"/>
        <item x="1598"/>
        <item x="1599"/>
        <item x="1600"/>
        <item x="1602"/>
        <item x="1603"/>
        <item x="1604"/>
        <item x="1606"/>
        <item x="1607"/>
        <item x="1608"/>
        <item x="1611"/>
        <item x="1612"/>
        <item x="1613"/>
        <item x="1617"/>
        <item x="1618"/>
        <item x="1619"/>
        <item x="1620"/>
        <item x="1622"/>
        <item x="1623"/>
        <item x="1624"/>
        <item x="1626"/>
        <item x="1627"/>
        <item x="1628"/>
        <item x="1640"/>
        <item x="1641"/>
        <item x="1642"/>
        <item x="1643"/>
        <item x="1645"/>
        <item x="1646"/>
        <item x="1647"/>
        <item x="1649"/>
        <item x="1650"/>
        <item x="1651"/>
        <item x="1652"/>
        <item x="1654"/>
        <item x="1655"/>
        <item x="1656"/>
        <item x="1657"/>
        <item x="1658"/>
        <item x="1661"/>
        <item x="1662"/>
        <item x="1663"/>
        <item x="1665"/>
        <item x="1666"/>
        <item x="1667"/>
        <item x="1668"/>
        <item x="1670"/>
        <item x="1671"/>
        <item x="1672"/>
        <item x="1673"/>
        <item x="1675"/>
        <item x="1676"/>
        <item x="1677"/>
        <item x="1678"/>
        <item x="1680"/>
        <item x="1681"/>
        <item x="1682"/>
        <item x="1683"/>
        <item x="1685"/>
        <item x="1686"/>
        <item x="1687"/>
        <item x="1689"/>
        <item x="1690"/>
        <item x="1691"/>
        <item x="1693"/>
        <item x="1694"/>
        <item x="1695"/>
        <item x="1696"/>
        <item x="1697"/>
        <item x="1699"/>
        <item x="1700"/>
        <item x="1701"/>
        <item x="1703"/>
        <item x="1704"/>
        <item x="1705"/>
        <item x="1707"/>
        <item x="1708"/>
        <item x="1709"/>
        <item x="1711"/>
        <item x="1712"/>
        <item x="1713"/>
        <item x="1714"/>
        <item x="1716"/>
        <item x="1717"/>
        <item x="1718"/>
        <item x="1720"/>
        <item x="1721"/>
        <item x="1722"/>
        <item x="1723"/>
        <item x="1726"/>
        <item x="1727"/>
        <item x="1728"/>
        <item x="1730"/>
        <item x="1731"/>
        <item x="1732"/>
        <item x="1733"/>
        <item x="1734"/>
        <item x="1737"/>
        <item x="1738"/>
        <item x="1739"/>
        <item x="1741"/>
        <item x="1743"/>
        <item x="1744"/>
        <item x="1745"/>
        <item x="1746"/>
        <item x="1748"/>
        <item x="1749"/>
        <item x="1750"/>
        <item x="1752"/>
        <item x="1753"/>
        <item x="1754"/>
        <item x="1756"/>
        <item x="1757"/>
        <item x="1758"/>
        <item x="1760"/>
        <item x="1761"/>
        <item x="1762"/>
        <item x="1764"/>
        <item x="1765"/>
        <item x="1766"/>
        <item x="1768"/>
        <item x="1769"/>
        <item x="1770"/>
        <item x="1771"/>
        <item x="1773"/>
        <item x="1774"/>
        <item x="1775"/>
        <item x="1777"/>
        <item x="1778"/>
        <item x="1779"/>
        <item x="1780"/>
        <item x="1782"/>
        <item x="1783"/>
        <item x="1784"/>
      </items>
      <extLst>
        <ext xmlns:x14="http://schemas.microsoft.com/office/spreadsheetml/2009/9/main" uri="{2946ED86-A175-432a-8AC1-64E0C546D7DE}">
          <x14:pivotField fillDownLabels="1"/>
        </ext>
      </extLst>
    </pivotField>
    <pivotField axis="axisRow" compact="0" outline="0" showAll="0" defaultSubtotal="0">
      <items count="31">
        <item x="0"/>
        <item x="5"/>
        <item x="6"/>
        <item x="7"/>
        <item x="8"/>
        <item x="9"/>
        <item x="10"/>
        <item x="11"/>
        <item x="12"/>
        <item x="13"/>
        <item x="14"/>
        <item x="15"/>
        <item x="16"/>
        <item x="17"/>
        <item x="18"/>
        <item x="19"/>
        <item x="20"/>
        <item x="21"/>
        <item x="22"/>
        <item x="23"/>
        <item x="26"/>
        <item x="27"/>
        <item x="28"/>
        <item x="29"/>
        <item x="30"/>
        <item x="1"/>
        <item x="2"/>
        <item x="3"/>
        <item x="4"/>
        <item x="24"/>
        <item x="2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7">
        <item h="1" x="15"/>
        <item h="1" x="8"/>
        <item h="1" x="0"/>
        <item h="1" x="12"/>
        <item h="1" x="10"/>
        <item h="1" x="14"/>
        <item h="1" x="13"/>
        <item h="1" x="11"/>
        <item x="3"/>
        <item x="16"/>
        <item x="2"/>
        <item x="9"/>
        <item x="4"/>
        <item x="5"/>
        <item x="7"/>
        <item h="1" x="1"/>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2"/>
    <field x="11"/>
  </rowFields>
  <rowItems count="448">
    <i>
      <x v="64"/>
      <x v="2"/>
      <x v="12"/>
    </i>
    <i>
      <x v="65"/>
      <x v="2"/>
      <x v="13"/>
    </i>
    <i>
      <x v="66"/>
      <x v="2"/>
      <x v="14"/>
    </i>
    <i>
      <x v="67"/>
      <x v="2"/>
      <x v="12"/>
    </i>
    <i>
      <x v="68"/>
      <x v="2"/>
      <x v="13"/>
    </i>
    <i>
      <x v="69"/>
      <x v="2"/>
      <x v="14"/>
    </i>
    <i>
      <x v="70"/>
      <x v="2"/>
      <x v="12"/>
    </i>
    <i>
      <x v="71"/>
      <x v="2"/>
      <x v="13"/>
    </i>
    <i>
      <x v="72"/>
      <x v="2"/>
      <x v="14"/>
    </i>
    <i>
      <x v="120"/>
      <x v="6"/>
      <x v="12"/>
    </i>
    <i>
      <x v="121"/>
      <x v="6"/>
      <x v="13"/>
    </i>
    <i>
      <x v="122"/>
      <x v="6"/>
      <x v="14"/>
    </i>
    <i>
      <x v="131"/>
      <x/>
      <x v="12"/>
    </i>
    <i>
      <x v="132"/>
      <x/>
      <x v="13"/>
    </i>
    <i>
      <x v="133"/>
      <x/>
      <x v="14"/>
    </i>
    <i>
      <x v="145"/>
      <x v="8"/>
      <x v="12"/>
    </i>
    <i>
      <x v="146"/>
      <x v="8"/>
      <x v="13"/>
    </i>
    <i>
      <x v="147"/>
      <x v="8"/>
      <x v="14"/>
    </i>
    <i>
      <x v="149"/>
      <x v="18"/>
      <x v="8"/>
    </i>
    <i>
      <x v="162"/>
      <x v="10"/>
      <x v="12"/>
    </i>
    <i>
      <x v="163"/>
      <x v="10"/>
      <x v="13"/>
    </i>
    <i>
      <x v="164"/>
      <x v="10"/>
      <x v="14"/>
    </i>
    <i>
      <x v="171"/>
      <x v="11"/>
      <x v="12"/>
    </i>
    <i>
      <x v="172"/>
      <x v="11"/>
      <x v="13"/>
    </i>
    <i>
      <x v="173"/>
      <x v="11"/>
      <x v="14"/>
    </i>
    <i>
      <x v="174"/>
      <x v="11"/>
      <x v="12"/>
    </i>
    <i>
      <x v="176"/>
      <x v="11"/>
      <x v="13"/>
    </i>
    <i>
      <x v="177"/>
      <x v="11"/>
      <x v="14"/>
    </i>
    <i>
      <x v="198"/>
      <x/>
      <x v="12"/>
    </i>
    <i>
      <x v="200"/>
      <x/>
      <x v="13"/>
    </i>
    <i>
      <x v="202"/>
      <x/>
      <x v="14"/>
    </i>
    <i>
      <x v="209"/>
      <x/>
      <x v="12"/>
    </i>
    <i>
      <x v="211"/>
      <x/>
      <x v="13"/>
    </i>
    <i>
      <x v="212"/>
      <x/>
      <x v="14"/>
    </i>
    <i>
      <x v="215"/>
      <x/>
      <x v="14"/>
    </i>
    <i>
      <x v="216"/>
      <x/>
      <x v="12"/>
    </i>
    <i>
      <x v="217"/>
      <x/>
      <x v="13"/>
    </i>
    <i>
      <x v="218"/>
      <x/>
      <x v="14"/>
    </i>
    <i>
      <x v="219"/>
      <x/>
      <x v="12"/>
    </i>
    <i>
      <x v="220"/>
      <x/>
      <x v="13"/>
    </i>
    <i>
      <x v="221"/>
      <x/>
      <x v="14"/>
    </i>
    <i>
      <x v="238"/>
      <x v="14"/>
      <x v="12"/>
    </i>
    <i>
      <x v="240"/>
      <x v="14"/>
      <x v="13"/>
    </i>
    <i>
      <x v="241"/>
      <x v="14"/>
      <x v="14"/>
    </i>
    <i>
      <x v="246"/>
      <x v="14"/>
      <x v="12"/>
    </i>
    <i>
      <x v="249"/>
      <x v="14"/>
      <x v="13"/>
    </i>
    <i>
      <x v="250"/>
      <x v="14"/>
      <x v="14"/>
    </i>
    <i>
      <x v="283"/>
      <x/>
      <x v="12"/>
    </i>
    <i>
      <x v="284"/>
      <x/>
      <x v="13"/>
    </i>
    <i>
      <x v="285"/>
      <x/>
      <x v="14"/>
    </i>
    <i>
      <x v="289"/>
      <x/>
      <x v="12"/>
    </i>
    <i>
      <x v="290"/>
      <x/>
      <x v="13"/>
    </i>
    <i>
      <x v="291"/>
      <x/>
      <x v="14"/>
    </i>
    <i>
      <x v="293"/>
      <x/>
      <x v="8"/>
    </i>
    <i>
      <x v="294"/>
      <x v="12"/>
      <x v="8"/>
    </i>
    <i>
      <x v="295"/>
      <x v="2"/>
      <x v="11"/>
    </i>
    <i>
      <x v="296"/>
      <x v="2"/>
      <x v="13"/>
    </i>
    <i>
      <x v="297"/>
      <x v="2"/>
      <x v="11"/>
    </i>
    <i>
      <x v="298"/>
      <x v="2"/>
      <x v="13"/>
    </i>
    <i>
      <x v="299"/>
      <x v="2"/>
      <x v="11"/>
    </i>
    <i>
      <x v="300"/>
      <x v="2"/>
      <x v="13"/>
    </i>
    <i>
      <x v="301"/>
      <x v="2"/>
      <x v="10"/>
    </i>
    <i>
      <x v="302"/>
      <x v="2"/>
      <x v="12"/>
    </i>
    <i>
      <x v="303"/>
      <x v="2"/>
      <x v="11"/>
    </i>
    <i>
      <x v="304"/>
      <x v="2"/>
      <x v="12"/>
    </i>
    <i>
      <x v="339"/>
      <x/>
      <x v="12"/>
    </i>
    <i>
      <x v="342"/>
      <x/>
      <x v="13"/>
    </i>
    <i>
      <x v="343"/>
      <x/>
      <x v="14"/>
    </i>
    <i>
      <x v="346"/>
      <x/>
      <x v="12"/>
    </i>
    <i>
      <x v="348"/>
      <x/>
      <x v="13"/>
    </i>
    <i>
      <x v="350"/>
      <x/>
      <x v="14"/>
    </i>
    <i>
      <x v="356"/>
      <x/>
      <x v="12"/>
    </i>
    <i>
      <x v="358"/>
      <x/>
      <x v="13"/>
    </i>
    <i>
      <x v="360"/>
      <x/>
      <x v="14"/>
    </i>
    <i>
      <x v="362"/>
      <x/>
      <x v="12"/>
    </i>
    <i>
      <x v="363"/>
      <x/>
      <x v="13"/>
    </i>
    <i>
      <x v="364"/>
      <x/>
      <x v="14"/>
    </i>
    <i>
      <x v="365"/>
      <x v="2"/>
      <x v="12"/>
    </i>
    <i>
      <x v="366"/>
      <x v="2"/>
      <x v="12"/>
    </i>
    <i>
      <x v="367"/>
      <x v="2"/>
      <x v="13"/>
    </i>
    <i>
      <x v="368"/>
      <x v="2"/>
      <x v="13"/>
    </i>
    <i>
      <x v="369"/>
      <x v="2"/>
      <x v="14"/>
    </i>
    <i>
      <x v="370"/>
      <x v="2"/>
      <x v="14"/>
    </i>
    <i>
      <x v="371"/>
      <x v="2"/>
      <x v="13"/>
    </i>
    <i>
      <x v="372"/>
      <x v="2"/>
      <x v="14"/>
    </i>
    <i>
      <x v="377"/>
      <x v="2"/>
      <x v="12"/>
    </i>
    <i>
      <x v="382"/>
      <x v="2"/>
      <x v="13"/>
    </i>
    <i>
      <x v="384"/>
      <x v="2"/>
      <x v="12"/>
    </i>
    <i>
      <x v="387"/>
      <x v="2"/>
      <x v="13"/>
    </i>
    <i>
      <x v="388"/>
      <x v="2"/>
      <x v="14"/>
    </i>
    <i>
      <x v="389"/>
      <x v="2"/>
      <x v="14"/>
    </i>
    <i>
      <x v="390"/>
      <x v="2"/>
      <x v="12"/>
    </i>
    <i>
      <x v="391"/>
      <x v="2"/>
      <x v="12"/>
    </i>
    <i>
      <x v="392"/>
      <x v="2"/>
      <x v="12"/>
    </i>
    <i>
      <x v="393"/>
      <x v="2"/>
      <x v="13"/>
    </i>
    <i>
      <x v="394"/>
      <x v="2"/>
      <x v="13"/>
    </i>
    <i>
      <x v="395"/>
      <x v="2"/>
      <x v="14"/>
    </i>
    <i>
      <x v="396"/>
      <x v="2"/>
      <x v="14"/>
    </i>
    <i>
      <x v="398"/>
      <x v="20"/>
      <x v="12"/>
    </i>
    <i>
      <x v="399"/>
      <x v="20"/>
      <x v="13"/>
    </i>
    <i>
      <x v="400"/>
      <x v="20"/>
      <x v="14"/>
    </i>
    <i>
      <x v="401"/>
      <x v="20"/>
      <x v="12"/>
    </i>
    <i>
      <x v="402"/>
      <x v="20"/>
      <x v="13"/>
    </i>
    <i>
      <x v="403"/>
      <x v="20"/>
      <x v="14"/>
    </i>
    <i>
      <x v="404"/>
      <x v="20"/>
      <x v="8"/>
    </i>
    <i>
      <x v="405"/>
      <x v="20"/>
      <x v="8"/>
    </i>
    <i>
      <x v="431"/>
      <x v="21"/>
      <x v="12"/>
    </i>
    <i>
      <x v="432"/>
      <x v="21"/>
      <x v="13"/>
    </i>
    <i>
      <x v="433"/>
      <x v="21"/>
      <x v="14"/>
    </i>
    <i>
      <x v="434"/>
      <x v="21"/>
      <x v="12"/>
    </i>
    <i>
      <x v="435"/>
      <x v="21"/>
      <x v="13"/>
    </i>
    <i>
      <x v="436"/>
      <x v="21"/>
      <x v="14"/>
    </i>
    <i>
      <x v="437"/>
      <x v="21"/>
      <x v="12"/>
    </i>
    <i>
      <x v="438"/>
      <x v="21"/>
      <x v="13"/>
    </i>
    <i>
      <x v="439"/>
      <x v="21"/>
      <x v="14"/>
    </i>
    <i>
      <x v="451"/>
      <x v="2"/>
      <x v="11"/>
    </i>
    <i>
      <x v="455"/>
      <x v="21"/>
      <x v="12"/>
    </i>
    <i>
      <x v="456"/>
      <x v="21"/>
      <x v="13"/>
    </i>
    <i>
      <x v="457"/>
      <x v="21"/>
      <x v="14"/>
    </i>
    <i>
      <x v="458"/>
      <x v="21"/>
      <x v="12"/>
    </i>
    <i>
      <x v="459"/>
      <x v="21"/>
      <x v="13"/>
    </i>
    <i>
      <x v="460"/>
      <x v="21"/>
      <x v="14"/>
    </i>
    <i>
      <x v="498"/>
      <x v="9"/>
      <x v="12"/>
    </i>
    <i>
      <x v="499"/>
      <x v="9"/>
      <x v="13"/>
    </i>
    <i>
      <x v="500"/>
      <x v="9"/>
      <x v="14"/>
    </i>
    <i>
      <x v="510"/>
      <x v="9"/>
      <x v="12"/>
    </i>
    <i>
      <x v="511"/>
      <x v="9"/>
      <x v="13"/>
    </i>
    <i>
      <x v="512"/>
      <x v="9"/>
      <x v="14"/>
    </i>
    <i>
      <x v="560"/>
      <x v="6"/>
      <x v="12"/>
    </i>
    <i>
      <x v="561"/>
      <x v="6"/>
      <x v="12"/>
    </i>
    <i>
      <x v="562"/>
      <x v="6"/>
      <x v="12"/>
    </i>
    <i>
      <x v="563"/>
      <x v="6"/>
      <x v="13"/>
    </i>
    <i>
      <x v="564"/>
      <x v="6"/>
      <x v="13"/>
    </i>
    <i>
      <x v="565"/>
      <x v="6"/>
      <x v="14"/>
    </i>
    <i>
      <x v="566"/>
      <x v="6"/>
      <x v="13"/>
    </i>
    <i>
      <x v="567"/>
      <x v="6"/>
      <x v="14"/>
    </i>
    <i>
      <x v="569"/>
      <x v="6"/>
      <x v="14"/>
    </i>
    <i>
      <x v="574"/>
      <x v="6"/>
      <x v="12"/>
    </i>
    <i>
      <x v="575"/>
      <x v="6"/>
      <x v="12"/>
    </i>
    <i>
      <x v="576"/>
      <x v="6"/>
      <x v="12"/>
    </i>
    <i>
      <x v="577"/>
      <x v="6"/>
      <x v="13"/>
    </i>
    <i>
      <x v="578"/>
      <x v="6"/>
      <x v="13"/>
    </i>
    <i>
      <x v="579"/>
      <x v="6"/>
      <x v="14"/>
    </i>
    <i>
      <x v="580"/>
      <x v="6"/>
      <x v="13"/>
    </i>
    <i>
      <x v="581"/>
      <x v="6"/>
      <x v="14"/>
    </i>
    <i>
      <x v="582"/>
      <x v="6"/>
      <x v="14"/>
    </i>
    <i>
      <x v="601"/>
      <x/>
      <x v="12"/>
    </i>
    <i>
      <x v="602"/>
      <x/>
      <x v="13"/>
    </i>
    <i>
      <x v="603"/>
      <x/>
      <x v="14"/>
    </i>
    <i>
      <x v="609"/>
      <x/>
      <x v="12"/>
    </i>
    <i>
      <x v="610"/>
      <x/>
      <x v="13"/>
    </i>
    <i>
      <x v="611"/>
      <x/>
      <x v="14"/>
    </i>
    <i>
      <x v="621"/>
      <x v="8"/>
      <x v="12"/>
    </i>
    <i>
      <x v="622"/>
      <x v="8"/>
      <x v="13"/>
    </i>
    <i>
      <x v="623"/>
      <x v="8"/>
      <x v="14"/>
    </i>
    <i>
      <x v="627"/>
      <x v="8"/>
      <x v="12"/>
    </i>
    <i>
      <x v="628"/>
      <x v="8"/>
      <x v="13"/>
    </i>
    <i>
      <x v="629"/>
      <x v="8"/>
      <x v="14"/>
    </i>
    <i>
      <x v="633"/>
      <x v="8"/>
      <x v="12"/>
    </i>
    <i>
      <x v="634"/>
      <x v="8"/>
      <x v="13"/>
    </i>
    <i>
      <x v="635"/>
      <x v="8"/>
      <x v="14"/>
    </i>
    <i>
      <x v="636"/>
      <x v="8"/>
      <x v="12"/>
    </i>
    <i>
      <x v="637"/>
      <x v="8"/>
      <x v="13"/>
    </i>
    <i>
      <x v="638"/>
      <x v="8"/>
      <x v="14"/>
    </i>
    <i>
      <x v="639"/>
      <x v="8"/>
      <x v="12"/>
    </i>
    <i>
      <x v="640"/>
      <x v="8"/>
      <x v="13"/>
    </i>
    <i>
      <x v="641"/>
      <x v="8"/>
      <x v="14"/>
    </i>
    <i>
      <x v="642"/>
      <x v="8"/>
      <x v="12"/>
    </i>
    <i>
      <x v="643"/>
      <x v="8"/>
      <x v="13"/>
    </i>
    <i>
      <x v="644"/>
      <x v="8"/>
      <x v="14"/>
    </i>
    <i>
      <x v="660"/>
      <x v="10"/>
      <x v="12"/>
    </i>
    <i>
      <x v="661"/>
      <x v="10"/>
      <x v="13"/>
    </i>
    <i>
      <x v="662"/>
      <x v="10"/>
      <x v="14"/>
    </i>
    <i>
      <x v="667"/>
      <x v="10"/>
      <x v="12"/>
    </i>
    <i>
      <x v="668"/>
      <x v="10"/>
      <x v="13"/>
    </i>
    <i>
      <x v="669"/>
      <x v="10"/>
      <x v="14"/>
    </i>
    <i>
      <x v="670"/>
      <x v="10"/>
      <x v="12"/>
    </i>
    <i>
      <x v="671"/>
      <x v="10"/>
      <x v="13"/>
    </i>
    <i>
      <x v="672"/>
      <x v="10"/>
      <x v="14"/>
    </i>
    <i>
      <x v="674"/>
      <x v="10"/>
      <x v="12"/>
    </i>
    <i>
      <x v="675"/>
      <x v="10"/>
      <x v="13"/>
    </i>
    <i>
      <x v="676"/>
      <x v="10"/>
      <x v="14"/>
    </i>
    <i>
      <x v="677"/>
      <x v="10"/>
      <x v="12"/>
    </i>
    <i>
      <x v="678"/>
      <x v="10"/>
      <x v="13"/>
    </i>
    <i>
      <x v="679"/>
      <x v="10"/>
      <x v="14"/>
    </i>
    <i>
      <x v="680"/>
      <x v="10"/>
      <x v="12"/>
    </i>
    <i>
      <x v="681"/>
      <x v="10"/>
      <x v="13"/>
    </i>
    <i>
      <x v="682"/>
      <x v="10"/>
      <x v="14"/>
    </i>
    <i>
      <x v="691"/>
      <x v="11"/>
      <x v="12"/>
    </i>
    <i>
      <x v="692"/>
      <x v="11"/>
      <x v="13"/>
    </i>
    <i>
      <x v="693"/>
      <x v="11"/>
      <x v="14"/>
    </i>
    <i>
      <x v="694"/>
      <x v="11"/>
      <x v="12"/>
    </i>
    <i>
      <x v="695"/>
      <x v="11"/>
      <x v="13"/>
    </i>
    <i>
      <x v="696"/>
      <x v="11"/>
      <x v="14"/>
    </i>
    <i>
      <x v="697"/>
      <x v="11"/>
      <x v="12"/>
    </i>
    <i>
      <x v="698"/>
      <x v="11"/>
      <x v="13"/>
    </i>
    <i>
      <x v="699"/>
      <x v="11"/>
      <x v="14"/>
    </i>
    <i>
      <x v="700"/>
      <x v="11"/>
      <x v="12"/>
    </i>
    <i>
      <x v="701"/>
      <x v="11"/>
      <x v="13"/>
    </i>
    <i>
      <x v="702"/>
      <x v="11"/>
      <x v="14"/>
    </i>
    <i>
      <x v="704"/>
      <x v="11"/>
      <x v="12"/>
    </i>
    <i>
      <x v="705"/>
      <x v="11"/>
      <x v="13"/>
    </i>
    <i>
      <x v="706"/>
      <x v="11"/>
      <x v="14"/>
    </i>
    <i>
      <x v="707"/>
      <x v="11"/>
      <x v="12"/>
    </i>
    <i>
      <x v="709"/>
      <x v="11"/>
      <x v="13"/>
    </i>
    <i>
      <x v="710"/>
      <x v="11"/>
      <x v="14"/>
    </i>
    <i>
      <x v="716"/>
      <x v="4"/>
      <x v="8"/>
    </i>
    <i>
      <x v="718"/>
      <x v="24"/>
      <x v="12"/>
    </i>
    <i>
      <x v="719"/>
      <x v="24"/>
      <x v="13"/>
    </i>
    <i>
      <x v="720"/>
      <x v="24"/>
      <x v="14"/>
    </i>
    <i>
      <x v="721"/>
      <x v="24"/>
      <x v="12"/>
    </i>
    <i>
      <x v="722"/>
      <x v="24"/>
      <x v="13"/>
    </i>
    <i>
      <x v="723"/>
      <x v="24"/>
      <x v="14"/>
    </i>
    <i>
      <x v="724"/>
      <x v="24"/>
      <x v="12"/>
    </i>
    <i>
      <x v="725"/>
      <x v="24"/>
      <x v="13"/>
    </i>
    <i>
      <x v="726"/>
      <x v="24"/>
      <x v="14"/>
    </i>
    <i>
      <x v="727"/>
      <x v="24"/>
      <x v="12"/>
    </i>
    <i>
      <x v="728"/>
      <x v="24"/>
      <x v="13"/>
    </i>
    <i>
      <x v="729"/>
      <x v="24"/>
      <x v="14"/>
    </i>
    <i>
      <x v="799"/>
      <x v="11"/>
      <x v="12"/>
    </i>
    <i>
      <x v="800"/>
      <x v="11"/>
      <x v="13"/>
    </i>
    <i>
      <x v="801"/>
      <x v="11"/>
      <x v="14"/>
    </i>
    <i>
      <x v="802"/>
      <x v="11"/>
      <x v="12"/>
    </i>
    <i>
      <x v="803"/>
      <x v="11"/>
      <x v="13"/>
    </i>
    <i>
      <x v="804"/>
      <x v="11"/>
      <x v="14"/>
    </i>
    <i>
      <x v="857"/>
      <x v="2"/>
      <x v="12"/>
    </i>
    <i>
      <x v="858"/>
      <x v="2"/>
      <x v="13"/>
    </i>
    <i>
      <x v="860"/>
      <x v="2"/>
      <x v="14"/>
    </i>
    <i>
      <x v="861"/>
      <x v="2"/>
      <x v="12"/>
    </i>
    <i>
      <x v="862"/>
      <x v="2"/>
      <x v="13"/>
    </i>
    <i>
      <x v="864"/>
      <x v="2"/>
      <x v="14"/>
    </i>
    <i>
      <x v="889"/>
      <x v="25"/>
      <x v="12"/>
    </i>
    <i>
      <x v="890"/>
      <x v="26"/>
      <x v="12"/>
    </i>
    <i>
      <x v="891"/>
      <x v="27"/>
      <x v="12"/>
    </i>
    <i>
      <x v="892"/>
      <x v="28"/>
      <x v="12"/>
    </i>
    <i>
      <x v="893"/>
      <x v="25"/>
      <x v="13"/>
    </i>
    <i>
      <x v="894"/>
      <x v="26"/>
      <x v="13"/>
    </i>
    <i>
      <x v="895"/>
      <x v="27"/>
      <x v="13"/>
    </i>
    <i>
      <x v="896"/>
      <x v="28"/>
      <x v="13"/>
    </i>
    <i>
      <x v="897"/>
      <x v="25"/>
      <x v="14"/>
    </i>
    <i>
      <x v="898"/>
      <x v="26"/>
      <x v="14"/>
    </i>
    <i>
      <x v="899"/>
      <x v="27"/>
      <x v="14"/>
    </i>
    <i>
      <x v="900"/>
      <x v="28"/>
      <x v="14"/>
    </i>
    <i>
      <x v="901"/>
      <x/>
      <x v="12"/>
    </i>
    <i>
      <x v="906"/>
      <x/>
      <x v="12"/>
    </i>
    <i>
      <x v="961"/>
      <x v="25"/>
      <x v="12"/>
    </i>
    <i>
      <x v="962"/>
      <x v="26"/>
      <x v="12"/>
    </i>
    <i>
      <x v="963"/>
      <x v="27"/>
      <x v="12"/>
    </i>
    <i>
      <x v="964"/>
      <x v="28"/>
      <x v="12"/>
    </i>
    <i>
      <x v="969"/>
      <x v="25"/>
      <x v="13"/>
    </i>
    <i>
      <x v="970"/>
      <x v="26"/>
      <x v="13"/>
    </i>
    <i>
      <x v="971"/>
      <x v="27"/>
      <x v="13"/>
    </i>
    <i>
      <x v="972"/>
      <x v="28"/>
      <x v="13"/>
    </i>
    <i>
      <x v="977"/>
      <x v="25"/>
      <x v="14"/>
    </i>
    <i>
      <x v="978"/>
      <x v="26"/>
      <x v="14"/>
    </i>
    <i>
      <x v="979"/>
      <x v="27"/>
      <x v="14"/>
    </i>
    <i>
      <x v="980"/>
      <x v="28"/>
      <x v="14"/>
    </i>
    <i>
      <x v="1005"/>
      <x v="25"/>
      <x v="12"/>
    </i>
    <i>
      <x v="1006"/>
      <x v="26"/>
      <x v="12"/>
    </i>
    <i>
      <x v="1007"/>
      <x v="27"/>
      <x v="12"/>
    </i>
    <i>
      <x v="1008"/>
      <x v="28"/>
      <x v="12"/>
    </i>
    <i>
      <x v="1013"/>
      <x v="25"/>
      <x v="13"/>
    </i>
    <i>
      <x v="1014"/>
      <x v="26"/>
      <x v="13"/>
    </i>
    <i>
      <x v="1015"/>
      <x v="27"/>
      <x v="13"/>
    </i>
    <i>
      <x v="1016"/>
      <x v="28"/>
      <x v="13"/>
    </i>
    <i>
      <x v="1017"/>
      <x v="25"/>
      <x v="14"/>
    </i>
    <i>
      <x v="1018"/>
      <x v="26"/>
      <x v="14"/>
    </i>
    <i>
      <x v="1019"/>
      <x v="27"/>
      <x v="14"/>
    </i>
    <i>
      <x v="1020"/>
      <x v="28"/>
      <x v="14"/>
    </i>
    <i>
      <x v="1029"/>
      <x v="25"/>
      <x v="14"/>
    </i>
    <i>
      <x v="1030"/>
      <x v="26"/>
      <x v="14"/>
    </i>
    <i>
      <x v="1031"/>
      <x v="27"/>
      <x v="14"/>
    </i>
    <i>
      <x v="1032"/>
      <x v="28"/>
      <x v="14"/>
    </i>
    <i>
      <x v="1033"/>
      <x v="25"/>
      <x v="12"/>
    </i>
    <i>
      <x v="1034"/>
      <x v="26"/>
      <x v="12"/>
    </i>
    <i>
      <x v="1035"/>
      <x v="27"/>
      <x v="12"/>
    </i>
    <i>
      <x v="1036"/>
      <x v="28"/>
      <x v="12"/>
    </i>
    <i>
      <x v="1037"/>
      <x v="25"/>
      <x v="13"/>
    </i>
    <i>
      <x v="1038"/>
      <x v="26"/>
      <x v="13"/>
    </i>
    <i>
      <x v="1039"/>
      <x v="27"/>
      <x v="13"/>
    </i>
    <i>
      <x v="1040"/>
      <x v="28"/>
      <x v="13"/>
    </i>
    <i>
      <x v="1041"/>
      <x v="25"/>
      <x v="14"/>
    </i>
    <i>
      <x v="1042"/>
      <x v="26"/>
      <x v="14"/>
    </i>
    <i>
      <x v="1043"/>
      <x v="27"/>
      <x v="14"/>
    </i>
    <i>
      <x v="1044"/>
      <x v="28"/>
      <x v="14"/>
    </i>
    <i>
      <x v="1045"/>
      <x v="25"/>
      <x v="12"/>
    </i>
    <i>
      <x v="1046"/>
      <x v="26"/>
      <x v="12"/>
    </i>
    <i>
      <x v="1047"/>
      <x v="27"/>
      <x v="12"/>
    </i>
    <i>
      <x v="1048"/>
      <x v="28"/>
      <x v="12"/>
    </i>
    <i>
      <x v="1049"/>
      <x v="25"/>
      <x v="13"/>
    </i>
    <i>
      <x v="1050"/>
      <x v="26"/>
      <x v="13"/>
    </i>
    <i>
      <x v="1051"/>
      <x v="27"/>
      <x v="13"/>
    </i>
    <i>
      <x v="1052"/>
      <x v="28"/>
      <x v="13"/>
    </i>
    <i>
      <x v="1053"/>
      <x v="25"/>
      <x v="14"/>
    </i>
    <i>
      <x v="1054"/>
      <x v="26"/>
      <x v="14"/>
    </i>
    <i>
      <x v="1055"/>
      <x v="27"/>
      <x v="14"/>
    </i>
    <i>
      <x v="1056"/>
      <x v="28"/>
      <x v="14"/>
    </i>
    <i>
      <x v="1057"/>
      <x v="2"/>
      <x v="10"/>
    </i>
    <i>
      <x v="1058"/>
      <x v="2"/>
      <x v="12"/>
    </i>
    <i>
      <x v="1059"/>
      <x v="2"/>
      <x v="13"/>
    </i>
    <i>
      <x v="1060"/>
      <x v="2"/>
      <x v="14"/>
    </i>
    <i>
      <x v="1061"/>
      <x v="2"/>
      <x v="10"/>
    </i>
    <i>
      <x v="1062"/>
      <x v="2"/>
      <x v="12"/>
    </i>
    <i>
      <x v="1063"/>
      <x v="2"/>
      <x v="13"/>
    </i>
    <i>
      <x v="1064"/>
      <x v="2"/>
      <x v="14"/>
    </i>
    <i>
      <x v="1065"/>
      <x v="2"/>
      <x v="12"/>
    </i>
    <i>
      <x v="1066"/>
      <x v="2"/>
      <x v="13"/>
    </i>
    <i>
      <x v="1067"/>
      <x v="2"/>
      <x v="14"/>
    </i>
    <i>
      <x v="1132"/>
      <x v="25"/>
      <x v="12"/>
    </i>
    <i>
      <x v="1133"/>
      <x v="26"/>
      <x v="12"/>
    </i>
    <i>
      <x v="1134"/>
      <x v="27"/>
      <x v="12"/>
    </i>
    <i>
      <x v="1135"/>
      <x v="28"/>
      <x v="12"/>
    </i>
    <i>
      <x v="1136"/>
      <x v="25"/>
      <x v="13"/>
    </i>
    <i>
      <x v="1137"/>
      <x v="26"/>
      <x v="13"/>
    </i>
    <i>
      <x v="1138"/>
      <x v="27"/>
      <x v="13"/>
    </i>
    <i>
      <x v="1139"/>
      <x v="28"/>
      <x v="13"/>
    </i>
    <i>
      <x v="1140"/>
      <x v="25"/>
      <x v="14"/>
    </i>
    <i>
      <x v="1141"/>
      <x v="26"/>
      <x v="14"/>
    </i>
    <i>
      <x v="1142"/>
      <x v="27"/>
      <x v="14"/>
    </i>
    <i>
      <x v="1143"/>
      <x v="28"/>
      <x v="14"/>
    </i>
    <i>
      <x v="1156"/>
      <x v="25"/>
      <x v="12"/>
    </i>
    <i>
      <x v="1157"/>
      <x v="26"/>
      <x v="12"/>
    </i>
    <i>
      <x v="1158"/>
      <x v="27"/>
      <x v="12"/>
    </i>
    <i>
      <x v="1159"/>
      <x v="28"/>
      <x v="12"/>
    </i>
    <i>
      <x v="1160"/>
      <x v="25"/>
      <x v="13"/>
    </i>
    <i>
      <x v="1161"/>
      <x v="26"/>
      <x v="13"/>
    </i>
    <i>
      <x v="1162"/>
      <x v="27"/>
      <x v="13"/>
    </i>
    <i>
      <x v="1163"/>
      <x v="28"/>
      <x v="13"/>
    </i>
    <i>
      <x v="1164"/>
      <x v="25"/>
      <x v="14"/>
    </i>
    <i>
      <x v="1165"/>
      <x v="26"/>
      <x v="14"/>
    </i>
    <i>
      <x v="1166"/>
      <x v="27"/>
      <x v="14"/>
    </i>
    <i>
      <x v="1167"/>
      <x v="28"/>
      <x v="14"/>
    </i>
    <i>
      <x v="1172"/>
      <x v="25"/>
      <x v="8"/>
    </i>
    <i>
      <x v="1173"/>
      <x v="26"/>
      <x v="8"/>
    </i>
    <i>
      <x v="1174"/>
      <x v="27"/>
      <x v="8"/>
    </i>
    <i>
      <x v="1175"/>
      <x v="28"/>
      <x v="8"/>
    </i>
    <i>
      <x v="1176"/>
      <x v="29"/>
      <x v="12"/>
    </i>
    <i>
      <x v="1177"/>
      <x v="29"/>
      <x v="13"/>
    </i>
    <i>
      <x v="1178"/>
      <x v="29"/>
      <x v="14"/>
    </i>
    <i>
      <x v="1179"/>
      <x v="29"/>
      <x v="12"/>
    </i>
    <i>
      <x v="1180"/>
      <x v="29"/>
      <x v="13"/>
    </i>
    <i>
      <x v="1181"/>
      <x v="29"/>
      <x v="14"/>
    </i>
    <i>
      <x v="1182"/>
      <x v="30"/>
      <x v="10"/>
    </i>
    <i>
      <x v="1183"/>
      <x v="30"/>
      <x v="12"/>
    </i>
    <i>
      <x v="1184"/>
      <x v="30"/>
      <x v="13"/>
    </i>
    <i>
      <x v="1185"/>
      <x v="30"/>
      <x v="14"/>
    </i>
    <i>
      <x v="1258"/>
      <x v="25"/>
      <x v="12"/>
    </i>
    <i>
      <x v="1259"/>
      <x v="26"/>
      <x v="12"/>
    </i>
    <i>
      <x v="1260"/>
      <x v="27"/>
      <x v="12"/>
    </i>
    <i>
      <x v="1261"/>
      <x v="28"/>
      <x v="12"/>
    </i>
    <i>
      <x v="1270"/>
      <x v="25"/>
      <x v="13"/>
    </i>
    <i>
      <x v="1271"/>
      <x v="26"/>
      <x v="13"/>
    </i>
    <i>
      <x v="1272"/>
      <x v="27"/>
      <x v="13"/>
    </i>
    <i>
      <x v="1273"/>
      <x v="28"/>
      <x v="13"/>
    </i>
    <i>
      <x v="1274"/>
      <x v="25"/>
      <x v="14"/>
    </i>
    <i>
      <x v="1275"/>
      <x v="26"/>
      <x v="14"/>
    </i>
    <i>
      <x v="1276"/>
      <x v="27"/>
      <x v="14"/>
    </i>
    <i>
      <x v="1277"/>
      <x v="28"/>
      <x v="14"/>
    </i>
    <i>
      <x v="1286"/>
      <x v="25"/>
      <x v="12"/>
    </i>
    <i>
      <x v="1287"/>
      <x v="26"/>
      <x v="12"/>
    </i>
    <i>
      <x v="1288"/>
      <x v="27"/>
      <x v="12"/>
    </i>
    <i>
      <x v="1289"/>
      <x v="28"/>
      <x v="12"/>
    </i>
    <i>
      <x v="1294"/>
      <x v="25"/>
      <x v="13"/>
    </i>
    <i>
      <x v="1295"/>
      <x v="26"/>
      <x v="13"/>
    </i>
    <i>
      <x v="1296"/>
      <x v="27"/>
      <x v="13"/>
    </i>
    <i>
      <x v="1297"/>
      <x v="28"/>
      <x v="13"/>
    </i>
    <i>
      <x v="1302"/>
      <x v="25"/>
      <x v="14"/>
    </i>
    <i>
      <x v="1303"/>
      <x v="26"/>
      <x v="14"/>
    </i>
    <i>
      <x v="1304"/>
      <x v="27"/>
      <x v="14"/>
    </i>
    <i>
      <x v="1305"/>
      <x v="28"/>
      <x v="14"/>
    </i>
    <i>
      <x v="1326"/>
      <x v="25"/>
      <x v="12"/>
    </i>
    <i>
      <x v="1327"/>
      <x v="26"/>
      <x v="12"/>
    </i>
    <i>
      <x v="1328"/>
      <x v="27"/>
      <x v="12"/>
    </i>
    <i>
      <x v="1329"/>
      <x v="28"/>
      <x v="12"/>
    </i>
    <i>
      <x v="1334"/>
      <x v="25"/>
      <x v="13"/>
    </i>
    <i>
      <x v="1335"/>
      <x v="26"/>
      <x v="13"/>
    </i>
    <i>
      <x v="1336"/>
      <x v="27"/>
      <x v="13"/>
    </i>
    <i>
      <x v="1337"/>
      <x v="28"/>
      <x v="13"/>
    </i>
    <i>
      <x v="1342"/>
      <x v="25"/>
      <x v="14"/>
    </i>
    <i>
      <x v="1343"/>
      <x v="26"/>
      <x v="14"/>
    </i>
    <i>
      <x v="1344"/>
      <x v="27"/>
      <x v="14"/>
    </i>
    <i>
      <x v="1345"/>
      <x v="28"/>
      <x v="14"/>
    </i>
    <i>
      <x v="1350"/>
      <x v="25"/>
      <x v="12"/>
    </i>
    <i>
      <x v="1351"/>
      <x v="26"/>
      <x v="12"/>
    </i>
    <i>
      <x v="1352"/>
      <x v="27"/>
      <x v="12"/>
    </i>
    <i>
      <x v="1353"/>
      <x v="28"/>
      <x v="12"/>
    </i>
    <i>
      <x v="1354"/>
      <x v="25"/>
      <x v="13"/>
    </i>
    <i>
      <x v="1355"/>
      <x v="26"/>
      <x v="13"/>
    </i>
    <i>
      <x v="1356"/>
      <x v="27"/>
      <x v="13"/>
    </i>
    <i>
      <x v="1357"/>
      <x v="28"/>
      <x v="13"/>
    </i>
    <i>
      <x v="1358"/>
      <x v="25"/>
      <x v="14"/>
    </i>
    <i>
      <x v="1359"/>
      <x v="26"/>
      <x v="14"/>
    </i>
    <i>
      <x v="1360"/>
      <x v="27"/>
      <x v="14"/>
    </i>
    <i>
      <x v="1361"/>
      <x v="28"/>
      <x v="14"/>
    </i>
    <i>
      <x v="1362"/>
      <x v="30"/>
      <x v="10"/>
    </i>
    <i>
      <x v="1363"/>
      <x v="30"/>
      <x v="13"/>
    </i>
    <i>
      <x v="1364"/>
      <x v="30"/>
      <x v="10"/>
    </i>
    <i>
      <x v="1365"/>
      <x v="30"/>
      <x v="13"/>
    </i>
    <i>
      <x v="1366"/>
      <x v="30"/>
      <x v="10"/>
    </i>
    <i>
      <x v="1367"/>
      <x v="30"/>
      <x v="13"/>
    </i>
    <i>
      <x v="1368"/>
      <x v="2"/>
      <x v="12"/>
    </i>
    <i>
      <x v="1369"/>
      <x v="2"/>
      <x v="13"/>
    </i>
    <i>
      <x v="1371"/>
      <x v="2"/>
      <x v="14"/>
    </i>
    <i>
      <x v="1372"/>
      <x v="2"/>
      <x v="12"/>
    </i>
    <i>
      <x v="1373"/>
      <x v="2"/>
      <x v="13"/>
    </i>
    <i>
      <x v="1375"/>
      <x v="2"/>
      <x v="14"/>
    </i>
    <i>
      <x v="1461"/>
      <x v="8"/>
      <x v="12"/>
    </i>
    <i>
      <x v="1462"/>
      <x v="10"/>
      <x v="12"/>
    </i>
    <i>
      <x v="1463"/>
      <x v="11"/>
      <x v="12"/>
    </i>
    <i>
      <x v="1464"/>
      <x v="8"/>
      <x v="13"/>
    </i>
    <i>
      <x v="1465"/>
      <x v="10"/>
      <x v="13"/>
    </i>
    <i>
      <x v="1466"/>
      <x v="11"/>
      <x v="13"/>
    </i>
    <i>
      <x v="1467"/>
      <x v="8"/>
      <x v="14"/>
    </i>
    <i>
      <x v="1468"/>
      <x v="10"/>
      <x v="14"/>
    </i>
    <i>
      <x v="1469"/>
      <x v="11"/>
      <x v="14"/>
    </i>
    <i>
      <x v="1497"/>
      <x v="8"/>
      <x v="12"/>
    </i>
    <i>
      <x v="1498"/>
      <x v="10"/>
      <x v="12"/>
    </i>
    <i>
      <x v="1499"/>
      <x v="11"/>
      <x v="12"/>
    </i>
    <i>
      <x v="1500"/>
      <x v="8"/>
      <x v="13"/>
    </i>
    <i>
      <x v="1501"/>
      <x v="10"/>
      <x v="13"/>
    </i>
    <i>
      <x v="1502"/>
      <x v="11"/>
      <x v="13"/>
    </i>
    <i>
      <x v="1503"/>
      <x v="8"/>
      <x v="14"/>
    </i>
    <i>
      <x v="1504"/>
      <x v="10"/>
      <x v="14"/>
    </i>
    <i>
      <x v="1505"/>
      <x v="11"/>
      <x v="14"/>
    </i>
    <i>
      <x v="1574"/>
      <x v="25"/>
      <x v="12"/>
    </i>
    <i>
      <x v="1575"/>
      <x v="26"/>
      <x v="12"/>
    </i>
    <i>
      <x v="1576"/>
      <x v="27"/>
      <x v="12"/>
    </i>
    <i>
      <x v="1577"/>
      <x v="28"/>
      <x v="12"/>
    </i>
    <i>
      <x v="1578"/>
      <x v="25"/>
      <x v="13"/>
    </i>
    <i>
      <x v="1579"/>
      <x v="26"/>
      <x v="13"/>
    </i>
    <i>
      <x v="1580"/>
      <x v="27"/>
      <x v="13"/>
    </i>
    <i>
      <x v="1581"/>
      <x v="28"/>
      <x v="13"/>
    </i>
    <i>
      <x v="1582"/>
      <x v="25"/>
      <x v="14"/>
    </i>
    <i>
      <x v="1583"/>
      <x v="26"/>
      <x v="14"/>
    </i>
    <i>
      <x v="1584"/>
      <x v="27"/>
      <x v="14"/>
    </i>
    <i>
      <x v="1585"/>
      <x v="28"/>
      <x v="14"/>
    </i>
    <i>
      <x v="1606"/>
      <x v="25"/>
      <x v="12"/>
    </i>
    <i>
      <x v="1607"/>
      <x v="26"/>
      <x v="12"/>
    </i>
    <i>
      <x v="1608"/>
      <x v="27"/>
      <x v="12"/>
    </i>
    <i>
      <x v="1609"/>
      <x v="28"/>
      <x v="12"/>
    </i>
    <i>
      <x v="1610"/>
      <x v="25"/>
      <x v="13"/>
    </i>
    <i>
      <x v="1611"/>
      <x v="26"/>
      <x v="13"/>
    </i>
    <i>
      <x v="1612"/>
      <x v="27"/>
      <x v="13"/>
    </i>
    <i>
      <x v="1613"/>
      <x v="28"/>
      <x v="13"/>
    </i>
    <i>
      <x v="1614"/>
      <x v="25"/>
      <x v="14"/>
    </i>
    <i>
      <x v="1615"/>
      <x v="26"/>
      <x v="14"/>
    </i>
    <i>
      <x v="1616"/>
      <x v="27"/>
      <x v="14"/>
    </i>
    <i>
      <x v="1617"/>
      <x v="28"/>
      <x v="14"/>
    </i>
  </rowItems>
  <colItems count="1">
    <i/>
  </colItems>
  <pageFields count="1">
    <pageField fld="13" item="0" hier="-1"/>
  </pageFields>
  <dataFields count="1">
    <dataField name="Sum of Investment cost M€/MW" fld="8" baseField="11" baseItem="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8.xml><?xml version="1.0" encoding="utf-8"?>
<pivotTableDefinition xmlns="http://schemas.openxmlformats.org/spreadsheetml/2006/main" name="PivotTable9" cacheId="14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C5:G41" firstHeaderRow="1" firstDataRow="2" firstDataCol="3"/>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h="1" x="0"/>
        <item h="1" x="1"/>
        <item x="2"/>
        <item h="1" x="3"/>
        <item h="1" x="4"/>
      </items>
      <extLst>
        <ext xmlns:x14="http://schemas.microsoft.com/office/spreadsheetml/2009/9/main" uri="{2946ED86-A175-432a-8AC1-64E0C546D7DE}">
          <x14:pivotField fillDownLabels="1"/>
        </ext>
      </extLst>
    </pivotField>
    <pivotField axis="axisCol" compact="0" outline="0" showAll="0" defaultSubtotal="0">
      <items count="5">
        <item x="0"/>
        <item x="2"/>
        <item x="1"/>
        <item x="3"/>
        <item x="4"/>
      </items>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12">
        <item x="2"/>
        <item x="3"/>
        <item x="4"/>
        <item x="5"/>
        <item x="0"/>
        <item x="6"/>
        <item x="1"/>
        <item x="7"/>
        <item x="8"/>
        <item x="9"/>
        <item x="10"/>
        <item x="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5"/>
    <field x="7"/>
    <field x="8"/>
  </rowFields>
  <rowItems count="35">
    <i>
      <x v="2"/>
      <x/>
      <x/>
    </i>
    <i r="2">
      <x v="1"/>
    </i>
    <i r="2">
      <x v="2"/>
    </i>
    <i r="2">
      <x v="3"/>
    </i>
    <i r="2">
      <x v="4"/>
    </i>
    <i r="2">
      <x v="5"/>
    </i>
    <i r="2">
      <x v="6"/>
    </i>
    <i r="2">
      <x v="7"/>
    </i>
    <i r="2">
      <x v="8"/>
    </i>
    <i r="2">
      <x v="9"/>
    </i>
    <i r="2">
      <x v="10"/>
    </i>
    <i r="2">
      <x v="11"/>
    </i>
    <i r="1">
      <x v="1"/>
      <x/>
    </i>
    <i r="2">
      <x v="1"/>
    </i>
    <i r="2">
      <x v="2"/>
    </i>
    <i r="2">
      <x v="3"/>
    </i>
    <i r="2">
      <x v="5"/>
    </i>
    <i r="2">
      <x v="7"/>
    </i>
    <i r="2">
      <x v="8"/>
    </i>
    <i r="2">
      <x v="9"/>
    </i>
    <i r="2">
      <x v="10"/>
    </i>
    <i r="2">
      <x v="11"/>
    </i>
    <i r="1">
      <x v="2"/>
      <x/>
    </i>
    <i r="2">
      <x v="1"/>
    </i>
    <i r="2">
      <x v="2"/>
    </i>
    <i r="2">
      <x v="3"/>
    </i>
    <i r="2">
      <x v="4"/>
    </i>
    <i r="2">
      <x v="5"/>
    </i>
    <i r="2">
      <x v="6"/>
    </i>
    <i r="2">
      <x v="7"/>
    </i>
    <i r="2">
      <x v="8"/>
    </i>
    <i r="2">
      <x v="9"/>
    </i>
    <i r="2">
      <x v="10"/>
    </i>
    <i r="2">
      <x v="11"/>
    </i>
    <i t="grand">
      <x/>
    </i>
  </rowItems>
  <colFields count="1">
    <field x="6"/>
  </colFields>
  <colItems count="2">
    <i>
      <x v="1"/>
    </i>
    <i t="grand">
      <x/>
    </i>
  </colItems>
  <dataFields count="1">
    <dataField name="Sum of MWh" fld="10" baseField="0" baseItem="0"/>
  </dataFields>
  <chartFormats count="6">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1" format="5"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4.bin"/><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16.xml"/><Relationship Id="rId1" Type="http://schemas.openxmlformats.org/officeDocument/2006/relationships/pivotTable" Target="../pivotTables/pivotTable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20.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ivotTable" Target="../pivotTables/pivotTable23.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2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ivotTable" Target="../pivotTables/pivotTable2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ivotTable" Target="../pivotTables/pivotTable26.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7.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H22" sqref="H22"/>
    </sheetView>
  </sheetViews>
  <sheetFormatPr defaultRowHeight="15" x14ac:dyDescent="0.25"/>
  <cols>
    <col min="1" max="1" width="9.140625" style="5"/>
    <col min="2" max="2" width="2.85546875" style="5" customWidth="1"/>
    <col min="3" max="3" width="27.28515625" style="5" customWidth="1"/>
    <col min="4" max="5" width="9.140625" style="5"/>
    <col min="6" max="6" width="3.28515625" style="5" customWidth="1"/>
    <col min="7" max="7" width="10.28515625" style="5" customWidth="1"/>
    <col min="8" max="11" width="9.140625" style="5"/>
    <col min="12" max="12" width="10.42578125" style="5" customWidth="1"/>
    <col min="13" max="16384" width="9.140625" style="5"/>
  </cols>
  <sheetData>
    <row r="1" spans="1:9996" x14ac:dyDescent="0.25">
      <c r="A1" s="5" t="s">
        <v>638</v>
      </c>
    </row>
    <row r="9" spans="1:9996" x14ac:dyDescent="0.25">
      <c r="F9" s="5" t="s">
        <v>137</v>
      </c>
    </row>
    <row r="10" spans="1:9996" ht="15.75" thickBot="1" x14ac:dyDescent="0.3">
      <c r="G10" s="13"/>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B11" s="6"/>
      <c r="C11" s="24"/>
      <c r="D11" s="7"/>
      <c r="G11" s="20" t="s">
        <v>639</v>
      </c>
    </row>
    <row r="12" spans="1:9996" x14ac:dyDescent="0.25">
      <c r="A12"/>
      <c r="B12" s="14">
        <v>3</v>
      </c>
      <c r="C12" s="15" t="s">
        <v>111</v>
      </c>
      <c r="D12" s="16"/>
      <c r="E12"/>
    </row>
    <row r="13" spans="1:9996" x14ac:dyDescent="0.25">
      <c r="A13"/>
      <c r="B13" s="14"/>
      <c r="C13" s="15" t="s">
        <v>240</v>
      </c>
      <c r="D13" s="16"/>
      <c r="E13"/>
      <c r="F13" s="5" t="s">
        <v>135</v>
      </c>
    </row>
    <row r="14" spans="1:9996" x14ac:dyDescent="0.25">
      <c r="A14"/>
      <c r="B14" s="14" t="b">
        <f>IF(O_Model=3,TRUE(),FALSE())</f>
        <v>1</v>
      </c>
      <c r="C14" s="15" t="s">
        <v>239</v>
      </c>
      <c r="D14" s="16"/>
      <c r="E14"/>
      <c r="G14" s="1" t="s">
        <v>11</v>
      </c>
      <c r="H14"/>
      <c r="I14"/>
    </row>
    <row r="15" spans="1:9996" ht="15.75" thickBot="1" x14ac:dyDescent="0.3">
      <c r="A15"/>
      <c r="B15" s="8"/>
      <c r="C15" s="25"/>
      <c r="D15" s="16"/>
      <c r="E15"/>
      <c r="G15" s="2" t="s">
        <v>6</v>
      </c>
      <c r="H15"/>
    </row>
    <row r="16" spans="1:9996" x14ac:dyDescent="0.25">
      <c r="A16"/>
      <c r="B16" s="14"/>
      <c r="C16" s="15"/>
      <c r="D16" s="16"/>
      <c r="E16"/>
      <c r="G16"/>
      <c r="H16"/>
      <c r="J16" s="6" t="s">
        <v>134</v>
      </c>
      <c r="K16" s="7"/>
    </row>
    <row r="17" spans="1:11" x14ac:dyDescent="0.25">
      <c r="A17"/>
      <c r="B17" s="14" t="b">
        <v>1</v>
      </c>
      <c r="C17" s="15" t="s">
        <v>241</v>
      </c>
      <c r="D17" s="16"/>
      <c r="E17"/>
      <c r="G17"/>
      <c r="H17"/>
      <c r="J17" s="8" t="s">
        <v>119</v>
      </c>
      <c r="K17" s="9" t="s">
        <v>127</v>
      </c>
    </row>
    <row r="18" spans="1:11" x14ac:dyDescent="0.25">
      <c r="A18"/>
      <c r="B18" s="14" t="b">
        <v>1</v>
      </c>
      <c r="C18" s="15" t="s">
        <v>95</v>
      </c>
      <c r="D18" s="16"/>
      <c r="E18"/>
      <c r="G18"/>
      <c r="H18"/>
      <c r="J18" s="8" t="s">
        <v>120</v>
      </c>
      <c r="K18" s="9" t="s">
        <v>128</v>
      </c>
    </row>
    <row r="19" spans="1:11" x14ac:dyDescent="0.25">
      <c r="A19"/>
      <c r="B19" s="14" t="b">
        <v>1</v>
      </c>
      <c r="C19" s="15" t="s">
        <v>96</v>
      </c>
      <c r="D19" s="16"/>
      <c r="E19"/>
      <c r="F19" s="12"/>
      <c r="G19"/>
      <c r="H19"/>
      <c r="J19" s="8" t="s">
        <v>121</v>
      </c>
      <c r="K19" s="9" t="s">
        <v>129</v>
      </c>
    </row>
    <row r="20" spans="1:11" x14ac:dyDescent="0.25">
      <c r="A20"/>
      <c r="B20" s="14" t="b">
        <v>1</v>
      </c>
      <c r="C20" s="15" t="s">
        <v>97</v>
      </c>
      <c r="D20" s="16"/>
      <c r="E20"/>
      <c r="G20"/>
      <c r="H20"/>
      <c r="J20" s="8" t="s">
        <v>122</v>
      </c>
      <c r="K20" s="9" t="s">
        <v>130</v>
      </c>
    </row>
    <row r="21" spans="1:11" x14ac:dyDescent="0.25">
      <c r="A21"/>
      <c r="B21" s="14" t="b">
        <v>1</v>
      </c>
      <c r="C21" s="15" t="s">
        <v>98</v>
      </c>
      <c r="D21" s="16"/>
      <c r="E21"/>
      <c r="G21"/>
      <c r="H21"/>
      <c r="J21" s="8" t="s">
        <v>123</v>
      </c>
      <c r="K21" s="9" t="s">
        <v>131</v>
      </c>
    </row>
    <row r="22" spans="1:11" x14ac:dyDescent="0.25">
      <c r="A22"/>
      <c r="B22" s="14" t="b">
        <v>1</v>
      </c>
      <c r="C22" s="15" t="s">
        <v>99</v>
      </c>
      <c r="D22" s="16"/>
      <c r="E22"/>
      <c r="G22"/>
      <c r="H22"/>
      <c r="J22" s="8" t="s">
        <v>124</v>
      </c>
      <c r="K22" s="9" t="s">
        <v>102</v>
      </c>
    </row>
    <row r="23" spans="1:11" x14ac:dyDescent="0.25">
      <c r="A23"/>
      <c r="B23" s="14" t="b">
        <v>1</v>
      </c>
      <c r="C23" s="15" t="s">
        <v>100</v>
      </c>
      <c r="D23" s="16"/>
      <c r="E23"/>
      <c r="G23"/>
      <c r="H23"/>
      <c r="J23" s="8" t="s">
        <v>125</v>
      </c>
      <c r="K23" s="9" t="s">
        <v>132</v>
      </c>
    </row>
    <row r="24" spans="1:11" x14ac:dyDescent="0.25">
      <c r="A24"/>
      <c r="B24" s="14" t="b">
        <v>1</v>
      </c>
      <c r="C24" s="15" t="s">
        <v>101</v>
      </c>
      <c r="D24" s="16"/>
      <c r="E24"/>
      <c r="G24"/>
      <c r="H24"/>
      <c r="J24" s="8" t="s">
        <v>126</v>
      </c>
      <c r="K24" s="9" t="s">
        <v>133</v>
      </c>
    </row>
    <row r="25" spans="1:11" x14ac:dyDescent="0.25">
      <c r="A25"/>
      <c r="B25" s="14" t="b">
        <v>1</v>
      </c>
      <c r="C25" s="15" t="s">
        <v>102</v>
      </c>
      <c r="D25" s="16"/>
      <c r="E25"/>
      <c r="G25"/>
      <c r="H25"/>
      <c r="J25" s="8"/>
      <c r="K25" s="9"/>
    </row>
    <row r="26" spans="1:11" x14ac:dyDescent="0.25">
      <c r="A26"/>
      <c r="B26" s="14" t="b">
        <v>1</v>
      </c>
      <c r="C26" s="15" t="s">
        <v>117</v>
      </c>
      <c r="D26" s="16"/>
      <c r="E26"/>
      <c r="G26"/>
      <c r="H26"/>
      <c r="J26" s="8"/>
      <c r="K26" s="9"/>
    </row>
    <row r="27" spans="1:11" x14ac:dyDescent="0.25">
      <c r="A27"/>
      <c r="B27" s="14" t="b">
        <v>1</v>
      </c>
      <c r="C27" s="15" t="s">
        <v>226</v>
      </c>
      <c r="D27" s="16"/>
      <c r="E27"/>
      <c r="G27"/>
      <c r="H27"/>
      <c r="J27" s="8"/>
      <c r="K27" s="9"/>
    </row>
    <row r="28" spans="1:11" x14ac:dyDescent="0.25">
      <c r="A28"/>
      <c r="B28" s="14"/>
      <c r="C28" s="15"/>
      <c r="D28" s="16"/>
      <c r="E28"/>
      <c r="G28"/>
      <c r="H28"/>
      <c r="J28" s="8"/>
      <c r="K28" s="9"/>
    </row>
    <row r="29" spans="1:11" x14ac:dyDescent="0.25">
      <c r="A29"/>
      <c r="B29" s="14"/>
      <c r="C29" s="15"/>
      <c r="D29" s="16"/>
      <c r="E29"/>
      <c r="G29"/>
      <c r="H29"/>
      <c r="J29" s="8"/>
      <c r="K29" s="9"/>
    </row>
    <row r="30" spans="1:11" ht="15.75" thickBot="1" x14ac:dyDescent="0.3">
      <c r="A30"/>
      <c r="B30" s="14"/>
      <c r="C30" s="15"/>
      <c r="D30" s="16"/>
      <c r="E30"/>
      <c r="G30"/>
      <c r="H30"/>
      <c r="J30" s="10"/>
      <c r="K30" s="11"/>
    </row>
    <row r="31" spans="1:11" x14ac:dyDescent="0.25">
      <c r="A31"/>
      <c r="B31" s="14" t="b">
        <v>0</v>
      </c>
      <c r="C31" s="15" t="s">
        <v>112</v>
      </c>
      <c r="D31" s="16"/>
      <c r="E31"/>
      <c r="G31"/>
      <c r="H31"/>
    </row>
    <row r="32" spans="1:11" x14ac:dyDescent="0.25">
      <c r="A32"/>
      <c r="B32" s="14" t="b">
        <v>0</v>
      </c>
      <c r="C32" s="15" t="s">
        <v>299</v>
      </c>
      <c r="D32" s="16"/>
      <c r="E32"/>
      <c r="G32"/>
    </row>
    <row r="33" spans="1:7" x14ac:dyDescent="0.25">
      <c r="A33"/>
      <c r="B33" s="14"/>
      <c r="C33" s="15"/>
      <c r="D33" s="16"/>
      <c r="E33"/>
      <c r="G33"/>
    </row>
    <row r="34" spans="1:7" ht="15.75" thickBot="1" x14ac:dyDescent="0.3">
      <c r="A34"/>
      <c r="B34" s="17"/>
      <c r="C34" s="18"/>
      <c r="D34" s="19"/>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11</xdr:row>
                    <xdr:rowOff>0</xdr:rowOff>
                  </from>
                  <to>
                    <xdr:col>2</xdr:col>
                    <xdr:colOff>0</xdr:colOff>
                    <xdr:row>12</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4</xdr:col>
                    <xdr:colOff>9525</xdr:colOff>
                    <xdr:row>1</xdr:row>
                    <xdr:rowOff>171450</xdr:rowOff>
                  </from>
                  <to>
                    <xdr:col>7</xdr:col>
                    <xdr:colOff>9525</xdr:colOff>
                    <xdr:row>5</xdr:row>
                    <xdr:rowOff>0</xdr:rowOff>
                  </to>
                </anchor>
              </controlPr>
            </control>
          </mc:Choice>
        </mc:AlternateContent>
        <mc:AlternateContent xmlns:mc="http://schemas.openxmlformats.org/markup-compatibility/2006">
          <mc:Choice Requires="x14">
            <control shapeId="2945" r:id="rId22" name="Check Box 897">
              <controlPr defaultSize="0" autoFill="0" autoLine="0" autoPict="0">
                <anchor moveWithCells="1">
                  <from>
                    <xdr:col>1</xdr:col>
                    <xdr:colOff>0</xdr:colOff>
                    <xdr:row>25</xdr:row>
                    <xdr:rowOff>171450</xdr:rowOff>
                  </from>
                  <to>
                    <xdr:col>2</xdr:col>
                    <xdr:colOff>123825</xdr:colOff>
                    <xdr:row>27</xdr:row>
                    <xdr:rowOff>28575</xdr:rowOff>
                  </to>
                </anchor>
              </controlPr>
            </control>
          </mc:Choice>
        </mc:AlternateContent>
        <mc:AlternateContent xmlns:mc="http://schemas.openxmlformats.org/markup-compatibility/2006">
          <mc:Choice Requires="x14">
            <control shapeId="2979" r:id="rId23" name="Option Button 931">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3056" r:id="rId24" name="Check Box 1008">
              <controlPr defaultSize="0" autoFill="0" autoLine="0" autoPict="0">
                <anchor moveWithCells="1">
                  <from>
                    <xdr:col>1</xdr:col>
                    <xdr:colOff>0</xdr:colOff>
                    <xdr:row>30</xdr:row>
                    <xdr:rowOff>171450</xdr:rowOff>
                  </from>
                  <to>
                    <xdr:col>2</xdr:col>
                    <xdr:colOff>123825</xdr:colOff>
                    <xdr:row>32</xdr:row>
                    <xdr:rowOff>28575</xdr:rowOff>
                  </to>
                </anchor>
              </controlPr>
            </control>
          </mc:Choice>
        </mc:AlternateContent>
        <mc:AlternateContent xmlns:mc="http://schemas.openxmlformats.org/markup-compatibility/2006">
          <mc:Choice Requires="x14">
            <control shapeId="28712" r:id="rId25" name="Check Box 1064">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92"/>
  <sheetViews>
    <sheetView topLeftCell="A5" zoomScaleNormal="100" workbookViewId="0">
      <selection activeCell="D27" sqref="D27"/>
    </sheetView>
  </sheetViews>
  <sheetFormatPr defaultRowHeight="15" x14ac:dyDescent="0.25"/>
  <cols>
    <col min="4" max="4" width="38.85546875" customWidth="1"/>
  </cols>
  <sheetData>
    <row r="1" spans="2:5" x14ac:dyDescent="0.25">
      <c r="B1" t="s">
        <v>2</v>
      </c>
      <c r="C1" t="b">
        <f t="shared" ref="C1:C12" si="0">VGE_T</f>
        <v>1</v>
      </c>
      <c r="D1" t="s">
        <v>4</v>
      </c>
      <c r="E1" t="s">
        <v>22</v>
      </c>
    </row>
    <row r="2" spans="2:5" x14ac:dyDescent="0.25">
      <c r="B2" t="s">
        <v>1</v>
      </c>
      <c r="C2" t="b">
        <f t="shared" si="0"/>
        <v>1</v>
      </c>
      <c r="D2" t="s">
        <v>4</v>
      </c>
      <c r="E2" t="s">
        <v>45</v>
      </c>
    </row>
    <row r="3" spans="2:5" x14ac:dyDescent="0.25">
      <c r="B3" t="s">
        <v>3</v>
      </c>
      <c r="C3" t="b">
        <f t="shared" si="0"/>
        <v>1</v>
      </c>
      <c r="D3" t="s">
        <v>4</v>
      </c>
      <c r="E3" t="s">
        <v>143</v>
      </c>
    </row>
    <row r="4" spans="2:5" x14ac:dyDescent="0.25">
      <c r="B4" t="s">
        <v>2</v>
      </c>
      <c r="C4" t="b">
        <f t="shared" si="0"/>
        <v>1</v>
      </c>
      <c r="D4" t="s">
        <v>31</v>
      </c>
      <c r="E4" t="s">
        <v>25</v>
      </c>
    </row>
    <row r="5" spans="2:5" x14ac:dyDescent="0.25">
      <c r="B5" t="s">
        <v>1</v>
      </c>
      <c r="C5" t="b">
        <f t="shared" si="0"/>
        <v>1</v>
      </c>
      <c r="D5" t="s">
        <v>31</v>
      </c>
      <c r="E5" t="s">
        <v>91</v>
      </c>
    </row>
    <row r="6" spans="2:5" x14ac:dyDescent="0.25">
      <c r="B6" t="s">
        <v>3</v>
      </c>
      <c r="C6" t="b">
        <f t="shared" si="0"/>
        <v>1</v>
      </c>
      <c r="D6" t="s">
        <v>31</v>
      </c>
      <c r="E6" t="s">
        <v>93</v>
      </c>
    </row>
    <row r="7" spans="2:5" x14ac:dyDescent="0.25">
      <c r="B7" t="s">
        <v>136</v>
      </c>
      <c r="C7" t="b">
        <f t="shared" si="0"/>
        <v>1</v>
      </c>
      <c r="D7" t="s">
        <v>31</v>
      </c>
      <c r="E7" t="s">
        <v>155</v>
      </c>
    </row>
    <row r="8" spans="2:5" x14ac:dyDescent="0.25">
      <c r="B8" t="s">
        <v>136</v>
      </c>
      <c r="C8" t="b">
        <f t="shared" si="0"/>
        <v>1</v>
      </c>
      <c r="D8" t="s">
        <v>31</v>
      </c>
      <c r="E8" t="s">
        <v>154</v>
      </c>
    </row>
    <row r="9" spans="2:5" x14ac:dyDescent="0.25">
      <c r="B9" t="s">
        <v>136</v>
      </c>
      <c r="C9" t="b">
        <f t="shared" si="0"/>
        <v>1</v>
      </c>
      <c r="D9" t="s">
        <v>31</v>
      </c>
      <c r="E9" t="str">
        <f>"DELETE FROM 'Electricity generation - Term' WHERE NOT (COUNTRY IN ( " &amp; C_filter &amp; "));"</f>
        <v>DELETE FROM 'Electricity generation - Term' WHERE NOT (COUNTRY IN ( 'DENMARK'));</v>
      </c>
    </row>
    <row r="10" spans="2:5" x14ac:dyDescent="0.25">
      <c r="B10" t="s">
        <v>2</v>
      </c>
      <c r="C10" t="b">
        <f t="shared" si="0"/>
        <v>1</v>
      </c>
      <c r="D10" t="s">
        <v>5</v>
      </c>
      <c r="E10" t="s">
        <v>23</v>
      </c>
    </row>
    <row r="11" spans="2:5" x14ac:dyDescent="0.25">
      <c r="B11" t="s">
        <v>1</v>
      </c>
      <c r="C11" t="b">
        <f t="shared" si="0"/>
        <v>1</v>
      </c>
      <c r="D11" t="s">
        <v>5</v>
      </c>
      <c r="E11" t="s">
        <v>92</v>
      </c>
    </row>
    <row r="12" spans="2:5" x14ac:dyDescent="0.25">
      <c r="B12" t="s">
        <v>3</v>
      </c>
      <c r="C12" t="b">
        <f t="shared" si="0"/>
        <v>1</v>
      </c>
      <c r="D12" t="s">
        <v>5</v>
      </c>
      <c r="E12" t="s">
        <v>94</v>
      </c>
    </row>
    <row r="13" spans="2:5" x14ac:dyDescent="0.25">
      <c r="B13" t="s">
        <v>2</v>
      </c>
      <c r="C13" t="b">
        <f>QEEQ</f>
        <v>1</v>
      </c>
      <c r="D13" t="s">
        <v>21</v>
      </c>
      <c r="E13" t="s">
        <v>24</v>
      </c>
    </row>
    <row r="14" spans="2:5" x14ac:dyDescent="0.25">
      <c r="B14" t="s">
        <v>1</v>
      </c>
      <c r="C14" t="b">
        <f>QEEQ</f>
        <v>1</v>
      </c>
      <c r="D14" t="s">
        <v>21</v>
      </c>
      <c r="E14" t="s">
        <v>82</v>
      </c>
    </row>
    <row r="15" spans="2:5" x14ac:dyDescent="0.25">
      <c r="B15" t="s">
        <v>3</v>
      </c>
      <c r="C15" t="b">
        <f>QEEQ</f>
        <v>1</v>
      </c>
      <c r="D15" t="s">
        <v>21</v>
      </c>
      <c r="E15" t="s">
        <v>83</v>
      </c>
    </row>
    <row r="16" spans="2:5" x14ac:dyDescent="0.25">
      <c r="B16" t="s">
        <v>2</v>
      </c>
      <c r="C16" t="b">
        <f>QHEQ</f>
        <v>1</v>
      </c>
      <c r="D16" t="s">
        <v>78</v>
      </c>
      <c r="E16" t="s">
        <v>79</v>
      </c>
    </row>
    <row r="17" spans="2:5" x14ac:dyDescent="0.25">
      <c r="B17" t="s">
        <v>1</v>
      </c>
      <c r="C17" t="b">
        <f>QHEQ</f>
        <v>1</v>
      </c>
      <c r="D17" t="s">
        <v>78</v>
      </c>
      <c r="E17" t="s">
        <v>108</v>
      </c>
    </row>
    <row r="18" spans="2:5" x14ac:dyDescent="0.25">
      <c r="B18" t="s">
        <v>3</v>
      </c>
      <c r="C18" t="b">
        <f>QHEQ</f>
        <v>1</v>
      </c>
      <c r="D18" t="s">
        <v>78</v>
      </c>
      <c r="E18" t="s">
        <v>110</v>
      </c>
    </row>
    <row r="19" spans="2:5" x14ac:dyDescent="0.25">
      <c r="B19" t="s">
        <v>2</v>
      </c>
      <c r="C19" t="b">
        <f t="shared" ref="C19:C28" si="1">VGH_T</f>
        <v>1</v>
      </c>
      <c r="D19" t="s">
        <v>26</v>
      </c>
      <c r="E19" t="s">
        <v>27</v>
      </c>
    </row>
    <row r="20" spans="2:5" x14ac:dyDescent="0.25">
      <c r="B20" t="s">
        <v>1</v>
      </c>
      <c r="C20" t="b">
        <f t="shared" si="1"/>
        <v>1</v>
      </c>
      <c r="D20" t="s">
        <v>26</v>
      </c>
      <c r="E20" t="s">
        <v>46</v>
      </c>
    </row>
    <row r="21" spans="2:5" x14ac:dyDescent="0.25">
      <c r="B21" t="s">
        <v>3</v>
      </c>
      <c r="C21" t="b">
        <f t="shared" si="1"/>
        <v>1</v>
      </c>
      <c r="D21" t="s">
        <v>26</v>
      </c>
      <c r="E21" t="s">
        <v>142</v>
      </c>
    </row>
    <row r="22" spans="2:5" x14ac:dyDescent="0.25">
      <c r="B22" t="s">
        <v>2</v>
      </c>
      <c r="C22" t="b">
        <f t="shared" si="1"/>
        <v>1</v>
      </c>
      <c r="D22" t="s">
        <v>28</v>
      </c>
      <c r="E22" t="s">
        <v>30</v>
      </c>
    </row>
    <row r="23" spans="2:5" x14ac:dyDescent="0.25">
      <c r="B23" t="s">
        <v>1</v>
      </c>
      <c r="C23" t="b">
        <f t="shared" si="1"/>
        <v>1</v>
      </c>
      <c r="D23" t="s">
        <v>28</v>
      </c>
      <c r="E23" t="s">
        <v>47</v>
      </c>
    </row>
    <row r="24" spans="2:5" x14ac:dyDescent="0.25">
      <c r="B24" t="s">
        <v>3</v>
      </c>
      <c r="C24" t="b">
        <f t="shared" si="1"/>
        <v>1</v>
      </c>
      <c r="D24" t="s">
        <v>28</v>
      </c>
      <c r="E24" t="s">
        <v>48</v>
      </c>
    </row>
    <row r="25" spans="2:5" x14ac:dyDescent="0.25">
      <c r="B25" t="s">
        <v>136</v>
      </c>
      <c r="C25" t="b">
        <f t="shared" si="1"/>
        <v>1</v>
      </c>
      <c r="D25" t="s">
        <v>28</v>
      </c>
      <c r="E25" t="str">
        <f>"DELETE FROM 'Heat generation - Term' WHERE NOT (COUNTRY IN ( " &amp; C_filter &amp; "));"</f>
        <v>DELETE FROM 'Heat generation - Term' WHERE NOT (COUNTRY IN ( 'DENMARK'));</v>
      </c>
    </row>
    <row r="26" spans="2:5" x14ac:dyDescent="0.25">
      <c r="B26" t="s">
        <v>2</v>
      </c>
      <c r="C26" t="b">
        <f t="shared" si="1"/>
        <v>1</v>
      </c>
      <c r="D26" t="s">
        <v>29</v>
      </c>
      <c r="E26" t="s">
        <v>32</v>
      </c>
    </row>
    <row r="27" spans="2:5" x14ac:dyDescent="0.25">
      <c r="B27" t="s">
        <v>1</v>
      </c>
      <c r="C27" t="b">
        <f t="shared" si="1"/>
        <v>1</v>
      </c>
      <c r="D27" t="s">
        <v>29</v>
      </c>
      <c r="E27" t="s">
        <v>49</v>
      </c>
    </row>
    <row r="28" spans="2:5" x14ac:dyDescent="0.25">
      <c r="B28" t="s">
        <v>3</v>
      </c>
      <c r="C28" t="b">
        <f t="shared" si="1"/>
        <v>1</v>
      </c>
      <c r="D28" t="s">
        <v>29</v>
      </c>
      <c r="E28" t="s">
        <v>59</v>
      </c>
    </row>
    <row r="29" spans="2:5" x14ac:dyDescent="0.25">
      <c r="B29" t="s">
        <v>2</v>
      </c>
      <c r="C29" t="b">
        <f t="shared" ref="C29:C45" si="2">VGF_T</f>
        <v>1</v>
      </c>
      <c r="D29" t="s">
        <v>35</v>
      </c>
      <c r="E29" t="s">
        <v>36</v>
      </c>
    </row>
    <row r="30" spans="2:5" x14ac:dyDescent="0.25">
      <c r="B30" t="s">
        <v>1</v>
      </c>
      <c r="C30" t="b">
        <f t="shared" si="2"/>
        <v>1</v>
      </c>
      <c r="D30" t="s">
        <v>35</v>
      </c>
      <c r="E30" t="s">
        <v>50</v>
      </c>
    </row>
    <row r="31" spans="2:5" x14ac:dyDescent="0.25">
      <c r="B31" t="s">
        <v>3</v>
      </c>
      <c r="C31" t="b">
        <f t="shared" si="2"/>
        <v>1</v>
      </c>
      <c r="D31" t="s">
        <v>35</v>
      </c>
      <c r="E31" t="s">
        <v>144</v>
      </c>
    </row>
    <row r="32" spans="2:5" x14ac:dyDescent="0.25">
      <c r="B32" t="s">
        <v>2</v>
      </c>
      <c r="C32" t="b">
        <f t="shared" si="2"/>
        <v>1</v>
      </c>
      <c r="D32" t="s">
        <v>37</v>
      </c>
      <c r="E32" t="s">
        <v>39</v>
      </c>
    </row>
    <row r="33" spans="2:5" x14ac:dyDescent="0.25">
      <c r="B33" t="s">
        <v>1</v>
      </c>
      <c r="C33" t="b">
        <f t="shared" si="2"/>
        <v>1</v>
      </c>
      <c r="D33" t="s">
        <v>37</v>
      </c>
      <c r="E33" t="s">
        <v>51</v>
      </c>
    </row>
    <row r="34" spans="2:5" x14ac:dyDescent="0.25">
      <c r="B34" t="s">
        <v>3</v>
      </c>
      <c r="C34" t="b">
        <f t="shared" si="2"/>
        <v>1</v>
      </c>
      <c r="D34" t="s">
        <v>37</v>
      </c>
      <c r="E34" t="s">
        <v>52</v>
      </c>
    </row>
    <row r="35" spans="2:5" x14ac:dyDescent="0.25">
      <c r="B35" t="s">
        <v>136</v>
      </c>
      <c r="C35" t="b">
        <f t="shared" si="2"/>
        <v>1</v>
      </c>
      <c r="D35" t="s">
        <v>37</v>
      </c>
      <c r="E35" t="str">
        <f>"DELETE FROM 'Fuel consumption - Term' WHERE NOT (COUNTRY IN ( " &amp; C_filter &amp; "));"</f>
        <v>DELETE FROM 'Fuel consumption - Term' WHERE NOT (COUNTRY IN ( 'DENMARK'));</v>
      </c>
    </row>
    <row r="36" spans="2:5" x14ac:dyDescent="0.25">
      <c r="B36" t="s">
        <v>2</v>
      </c>
      <c r="C36" t="b">
        <f t="shared" si="2"/>
        <v>1</v>
      </c>
      <c r="D36" t="s">
        <v>38</v>
      </c>
      <c r="E36" t="s">
        <v>40</v>
      </c>
    </row>
    <row r="37" spans="2:5" x14ac:dyDescent="0.25">
      <c r="B37" t="s">
        <v>1</v>
      </c>
      <c r="C37" t="b">
        <f t="shared" si="2"/>
        <v>1</v>
      </c>
      <c r="D37" t="s">
        <v>38</v>
      </c>
      <c r="E37" t="s">
        <v>53</v>
      </c>
    </row>
    <row r="38" spans="2:5" x14ac:dyDescent="0.25">
      <c r="B38" t="s">
        <v>3</v>
      </c>
      <c r="C38" t="b">
        <f t="shared" si="2"/>
        <v>1</v>
      </c>
      <c r="D38" t="s">
        <v>38</v>
      </c>
      <c r="E38" t="s">
        <v>54</v>
      </c>
    </row>
    <row r="39" spans="2:5" x14ac:dyDescent="0.25">
      <c r="B39" t="s">
        <v>2</v>
      </c>
      <c r="C39" t="b">
        <f t="shared" si="2"/>
        <v>1</v>
      </c>
      <c r="D39" t="s">
        <v>42</v>
      </c>
      <c r="E39" t="s">
        <v>41</v>
      </c>
    </row>
    <row r="40" spans="2:5" x14ac:dyDescent="0.25">
      <c r="B40" t="s">
        <v>1</v>
      </c>
      <c r="C40" t="b">
        <f t="shared" si="2"/>
        <v>1</v>
      </c>
      <c r="D40" t="s">
        <v>42</v>
      </c>
      <c r="E40" t="s">
        <v>55</v>
      </c>
    </row>
    <row r="41" spans="2:5" x14ac:dyDescent="0.25">
      <c r="B41" t="s">
        <v>3</v>
      </c>
      <c r="C41" t="b">
        <f t="shared" si="2"/>
        <v>1</v>
      </c>
      <c r="D41" t="s">
        <v>42</v>
      </c>
      <c r="E41" t="s">
        <v>56</v>
      </c>
    </row>
    <row r="42" spans="2:5" x14ac:dyDescent="0.25">
      <c r="B42" t="s">
        <v>136</v>
      </c>
      <c r="C42" t="b">
        <f t="shared" si="2"/>
        <v>1</v>
      </c>
      <c r="D42" t="s">
        <v>42</v>
      </c>
      <c r="E42" t="str">
        <f>"DELETE FROM 'Emissions - Term' WHERE NOT (COUNTRY IN ( " &amp; C_filter &amp; "));"</f>
        <v>DELETE FROM 'Emissions - Term' WHERE NOT (COUNTRY IN ( 'DENMARK'));</v>
      </c>
    </row>
    <row r="43" spans="2:5" x14ac:dyDescent="0.25">
      <c r="B43" t="s">
        <v>2</v>
      </c>
      <c r="C43" t="b">
        <f t="shared" si="2"/>
        <v>1</v>
      </c>
      <c r="D43" t="s">
        <v>43</v>
      </c>
      <c r="E43" t="s">
        <v>44</v>
      </c>
    </row>
    <row r="44" spans="2:5" x14ac:dyDescent="0.25">
      <c r="B44" t="s">
        <v>1</v>
      </c>
      <c r="C44" t="b">
        <f t="shared" si="2"/>
        <v>1</v>
      </c>
      <c r="D44" t="s">
        <v>43</v>
      </c>
      <c r="E44" t="s">
        <v>57</v>
      </c>
    </row>
    <row r="45" spans="2:5" x14ac:dyDescent="0.25">
      <c r="B45" t="s">
        <v>3</v>
      </c>
      <c r="C45" t="b">
        <f t="shared" si="2"/>
        <v>1</v>
      </c>
      <c r="D45" t="s">
        <v>43</v>
      </c>
      <c r="E45" t="s">
        <v>58</v>
      </c>
    </row>
    <row r="46" spans="2:5" x14ac:dyDescent="0.25">
      <c r="B46" t="s">
        <v>2</v>
      </c>
      <c r="C46" t="b">
        <f t="shared" ref="C46:C52" si="3">STO</f>
        <v>1</v>
      </c>
      <c r="D46" t="s">
        <v>62</v>
      </c>
      <c r="E46" t="s">
        <v>63</v>
      </c>
    </row>
    <row r="47" spans="2:5" x14ac:dyDescent="0.25">
      <c r="B47" t="s">
        <v>1</v>
      </c>
      <c r="C47" t="b">
        <f t="shared" si="3"/>
        <v>1</v>
      </c>
      <c r="D47" t="s">
        <v>62</v>
      </c>
      <c r="E47" t="s">
        <v>66</v>
      </c>
    </row>
    <row r="48" spans="2:5" x14ac:dyDescent="0.25">
      <c r="B48" t="s">
        <v>3</v>
      </c>
      <c r="C48" t="b">
        <f t="shared" si="3"/>
        <v>1</v>
      </c>
      <c r="D48" t="s">
        <v>62</v>
      </c>
      <c r="E48" s="4" t="s">
        <v>67</v>
      </c>
    </row>
    <row r="49" spans="2:5" x14ac:dyDescent="0.25">
      <c r="B49" t="s">
        <v>136</v>
      </c>
      <c r="C49" t="b">
        <f t="shared" si="3"/>
        <v>1</v>
      </c>
      <c r="D49" t="s">
        <v>62</v>
      </c>
      <c r="E49" s="4" t="str">
        <f>"DELETE FROM 'Heat Storage volume' WHERE NOT (COUNTRY IN ( " &amp; C_filter &amp; "));"</f>
        <v>DELETE FROM 'Heat Storage volume' WHERE NOT (COUNTRY IN ( 'DENMARK'));</v>
      </c>
    </row>
    <row r="50" spans="2:5" x14ac:dyDescent="0.25">
      <c r="B50" t="s">
        <v>2</v>
      </c>
      <c r="C50" t="b">
        <f t="shared" si="3"/>
        <v>1</v>
      </c>
      <c r="D50" t="s">
        <v>64</v>
      </c>
      <c r="E50" t="s">
        <v>65</v>
      </c>
    </row>
    <row r="51" spans="2:5" x14ac:dyDescent="0.25">
      <c r="B51" t="s">
        <v>1</v>
      </c>
      <c r="C51" t="b">
        <f t="shared" si="3"/>
        <v>1</v>
      </c>
      <c r="D51" t="s">
        <v>64</v>
      </c>
      <c r="E51" t="s">
        <v>68</v>
      </c>
    </row>
    <row r="52" spans="2:5" x14ac:dyDescent="0.25">
      <c r="B52" t="s">
        <v>3</v>
      </c>
      <c r="C52" t="b">
        <f t="shared" si="3"/>
        <v>1</v>
      </c>
      <c r="D52" t="s">
        <v>64</v>
      </c>
      <c r="E52" s="4" t="s">
        <v>69</v>
      </c>
    </row>
    <row r="53" spans="2:5" x14ac:dyDescent="0.25">
      <c r="B53" t="s">
        <v>2</v>
      </c>
      <c r="C53" t="b">
        <f>IGK</f>
        <v>1</v>
      </c>
      <c r="D53" t="s">
        <v>156</v>
      </c>
      <c r="E53" s="4" t="s">
        <v>157</v>
      </c>
    </row>
    <row r="54" spans="2:5" x14ac:dyDescent="0.25">
      <c r="B54" t="s">
        <v>1</v>
      </c>
      <c r="C54" t="b">
        <f>IGK</f>
        <v>1</v>
      </c>
      <c r="D54" t="s">
        <v>156</v>
      </c>
      <c r="E54" s="4" t="s">
        <v>158</v>
      </c>
    </row>
    <row r="55" spans="2:5" x14ac:dyDescent="0.25">
      <c r="B55" t="s">
        <v>3</v>
      </c>
      <c r="C55" t="b">
        <f>IGK</f>
        <v>1</v>
      </c>
      <c r="D55" t="s">
        <v>156</v>
      </c>
      <c r="E55" s="4" t="s">
        <v>159</v>
      </c>
    </row>
    <row r="56" spans="2:5" x14ac:dyDescent="0.25">
      <c r="B56" t="s">
        <v>136</v>
      </c>
      <c r="C56" t="b">
        <f>IGK</f>
        <v>1</v>
      </c>
      <c r="D56" t="s">
        <v>156</v>
      </c>
      <c r="E56" t="s">
        <v>160</v>
      </c>
    </row>
    <row r="57" spans="2:5" x14ac:dyDescent="0.25">
      <c r="B57" t="s">
        <v>136</v>
      </c>
      <c r="C57" t="b">
        <f>IGK</f>
        <v>1</v>
      </c>
      <c r="D57" t="s">
        <v>156</v>
      </c>
      <c r="E57" t="s">
        <v>161</v>
      </c>
    </row>
    <row r="58" spans="2:5" x14ac:dyDescent="0.25">
      <c r="B58" t="s">
        <v>2</v>
      </c>
      <c r="C58" t="b">
        <f t="shared" ref="C58:C68" si="4">VGKN</f>
        <v>1</v>
      </c>
      <c r="D58" t="s">
        <v>162</v>
      </c>
      <c r="E58" t="s">
        <v>163</v>
      </c>
    </row>
    <row r="59" spans="2:5" x14ac:dyDescent="0.25">
      <c r="B59" t="s">
        <v>1</v>
      </c>
      <c r="C59" t="b">
        <f t="shared" si="4"/>
        <v>1</v>
      </c>
      <c r="D59" t="s">
        <v>162</v>
      </c>
      <c r="E59" t="s">
        <v>164</v>
      </c>
    </row>
    <row r="60" spans="2:5" x14ac:dyDescent="0.25">
      <c r="B60" t="s">
        <v>3</v>
      </c>
      <c r="C60" t="b">
        <f t="shared" si="4"/>
        <v>1</v>
      </c>
      <c r="D60" t="s">
        <v>162</v>
      </c>
      <c r="E60" t="s">
        <v>165</v>
      </c>
    </row>
    <row r="61" spans="2:5" x14ac:dyDescent="0.25">
      <c r="B61" t="s">
        <v>136</v>
      </c>
      <c r="C61" t="b">
        <f t="shared" si="4"/>
        <v>1</v>
      </c>
      <c r="D61" t="s">
        <v>162</v>
      </c>
      <c r="E61" t="s">
        <v>166</v>
      </c>
    </row>
    <row r="62" spans="2:5" x14ac:dyDescent="0.25">
      <c r="B62" t="s">
        <v>136</v>
      </c>
      <c r="C62" t="b">
        <f t="shared" si="4"/>
        <v>1</v>
      </c>
      <c r="D62" t="s">
        <v>162</v>
      </c>
      <c r="E62" t="s">
        <v>167</v>
      </c>
    </row>
    <row r="63" spans="2:5" x14ac:dyDescent="0.25">
      <c r="B63" t="s">
        <v>2</v>
      </c>
      <c r="C63" t="b">
        <f t="shared" si="4"/>
        <v>1</v>
      </c>
      <c r="D63" t="s">
        <v>168</v>
      </c>
      <c r="E63" s="4" t="s">
        <v>169</v>
      </c>
    </row>
    <row r="64" spans="2:5" x14ac:dyDescent="0.25">
      <c r="B64" t="s">
        <v>1</v>
      </c>
      <c r="C64" t="b">
        <f t="shared" si="4"/>
        <v>1</v>
      </c>
      <c r="D64" t="s">
        <v>168</v>
      </c>
      <c r="E64" s="4" t="s">
        <v>177</v>
      </c>
    </row>
    <row r="65" spans="2:5" x14ac:dyDescent="0.25">
      <c r="B65" t="s">
        <v>3</v>
      </c>
      <c r="C65" t="b">
        <f t="shared" si="4"/>
        <v>1</v>
      </c>
      <c r="D65" t="s">
        <v>168</v>
      </c>
      <c r="E65" s="4" t="s">
        <v>178</v>
      </c>
    </row>
    <row r="66" spans="2:5" x14ac:dyDescent="0.25">
      <c r="B66" t="s">
        <v>2</v>
      </c>
      <c r="C66" t="b">
        <f t="shared" si="4"/>
        <v>1</v>
      </c>
      <c r="D66" t="s">
        <v>173</v>
      </c>
      <c r="E66" s="4" t="s">
        <v>174</v>
      </c>
    </row>
    <row r="67" spans="2:5" x14ac:dyDescent="0.25">
      <c r="B67" t="s">
        <v>1</v>
      </c>
      <c r="C67" t="b">
        <f t="shared" si="4"/>
        <v>1</v>
      </c>
      <c r="D67" t="s">
        <v>173</v>
      </c>
      <c r="E67" s="4" t="s">
        <v>179</v>
      </c>
    </row>
    <row r="68" spans="2:5" x14ac:dyDescent="0.25">
      <c r="B68" t="s">
        <v>3</v>
      </c>
      <c r="C68" t="b">
        <f t="shared" si="4"/>
        <v>1</v>
      </c>
      <c r="D68" t="s">
        <v>173</v>
      </c>
      <c r="E68" s="4" t="s">
        <v>180</v>
      </c>
    </row>
    <row r="69" spans="2:5" x14ac:dyDescent="0.25">
      <c r="B69" t="s">
        <v>2</v>
      </c>
      <c r="C69" t="b">
        <f t="shared" ref="C69:C80" si="5">DE</f>
        <v>1</v>
      </c>
      <c r="D69" t="s">
        <v>72</v>
      </c>
      <c r="E69" s="4" t="s">
        <v>70</v>
      </c>
    </row>
    <row r="70" spans="2:5" x14ac:dyDescent="0.25">
      <c r="B70" t="s">
        <v>1</v>
      </c>
      <c r="C70" t="b">
        <f t="shared" si="5"/>
        <v>1</v>
      </c>
      <c r="D70" t="s">
        <v>72</v>
      </c>
      <c r="E70" s="4" t="s">
        <v>145</v>
      </c>
    </row>
    <row r="71" spans="2:5" x14ac:dyDescent="0.25">
      <c r="B71" t="s">
        <v>3</v>
      </c>
      <c r="C71" t="b">
        <f t="shared" si="5"/>
        <v>1</v>
      </c>
      <c r="D71" t="s">
        <v>72</v>
      </c>
      <c r="E71" s="4" t="s">
        <v>146</v>
      </c>
    </row>
    <row r="72" spans="2:5" x14ac:dyDescent="0.25">
      <c r="B72" t="s">
        <v>2</v>
      </c>
      <c r="C72" t="b">
        <f t="shared" si="5"/>
        <v>1</v>
      </c>
      <c r="D72" t="s">
        <v>74</v>
      </c>
      <c r="E72" s="4" t="s">
        <v>77</v>
      </c>
    </row>
    <row r="73" spans="2:5" x14ac:dyDescent="0.25">
      <c r="B73" t="s">
        <v>1</v>
      </c>
      <c r="C73" t="b">
        <f t="shared" si="5"/>
        <v>1</v>
      </c>
      <c r="D73" t="s">
        <v>74</v>
      </c>
      <c r="E73" s="4" t="s">
        <v>147</v>
      </c>
    </row>
    <row r="74" spans="2:5" x14ac:dyDescent="0.25">
      <c r="B74" t="s">
        <v>3</v>
      </c>
      <c r="C74" t="b">
        <f t="shared" si="5"/>
        <v>1</v>
      </c>
      <c r="D74" t="s">
        <v>74</v>
      </c>
      <c r="E74" s="4" t="s">
        <v>148</v>
      </c>
    </row>
    <row r="75" spans="2:5" x14ac:dyDescent="0.25">
      <c r="B75" t="s">
        <v>2</v>
      </c>
      <c r="C75" t="b">
        <f t="shared" si="5"/>
        <v>1</v>
      </c>
      <c r="D75" t="s">
        <v>71</v>
      </c>
      <c r="E75" s="4" t="s">
        <v>73</v>
      </c>
    </row>
    <row r="76" spans="2:5" x14ac:dyDescent="0.25">
      <c r="B76" t="s">
        <v>1</v>
      </c>
      <c r="C76" t="b">
        <f t="shared" si="5"/>
        <v>1</v>
      </c>
      <c r="D76" t="s">
        <v>71</v>
      </c>
      <c r="E76" s="4" t="s">
        <v>149</v>
      </c>
    </row>
    <row r="77" spans="2:5" x14ac:dyDescent="0.25">
      <c r="B77" t="s">
        <v>3</v>
      </c>
      <c r="C77" t="b">
        <f t="shared" si="5"/>
        <v>1</v>
      </c>
      <c r="D77" t="s">
        <v>71</v>
      </c>
      <c r="E77" s="4" t="s">
        <v>150</v>
      </c>
    </row>
    <row r="78" spans="2:5" x14ac:dyDescent="0.25">
      <c r="B78" t="s">
        <v>2</v>
      </c>
      <c r="C78" t="b">
        <f t="shared" si="5"/>
        <v>1</v>
      </c>
      <c r="D78" t="s">
        <v>75</v>
      </c>
      <c r="E78" s="5" t="s">
        <v>76</v>
      </c>
    </row>
    <row r="79" spans="2:5" x14ac:dyDescent="0.25">
      <c r="B79" t="s">
        <v>1</v>
      </c>
      <c r="C79" t="b">
        <f t="shared" si="5"/>
        <v>1</v>
      </c>
      <c r="D79" t="s">
        <v>75</v>
      </c>
      <c r="E79" s="5" t="s">
        <v>151</v>
      </c>
    </row>
    <row r="80" spans="2:5" x14ac:dyDescent="0.25">
      <c r="B80" t="s">
        <v>3</v>
      </c>
      <c r="C80" t="b">
        <f t="shared" si="5"/>
        <v>1</v>
      </c>
      <c r="D80" t="s">
        <v>75</v>
      </c>
      <c r="E80" s="5" t="s">
        <v>152</v>
      </c>
    </row>
    <row r="81" spans="2:5" x14ac:dyDescent="0.25">
      <c r="B81" t="s">
        <v>2</v>
      </c>
      <c r="C81" t="b">
        <f>VX_T</f>
        <v>1</v>
      </c>
      <c r="D81" t="s">
        <v>175</v>
      </c>
      <c r="E81" s="5" t="s">
        <v>176</v>
      </c>
    </row>
    <row r="82" spans="2:5" x14ac:dyDescent="0.25">
      <c r="B82" t="s">
        <v>1</v>
      </c>
      <c r="C82" t="b">
        <f>VX_T</f>
        <v>1</v>
      </c>
      <c r="D82" t="s">
        <v>175</v>
      </c>
      <c r="E82" s="5" t="s">
        <v>181</v>
      </c>
    </row>
    <row r="83" spans="2:5" x14ac:dyDescent="0.25">
      <c r="B83" t="s">
        <v>3</v>
      </c>
      <c r="C83" t="b">
        <f>VX_T</f>
        <v>1</v>
      </c>
      <c r="D83" t="s">
        <v>175</v>
      </c>
      <c r="E83" s="5" t="s">
        <v>182</v>
      </c>
    </row>
    <row r="84" spans="2:5" x14ac:dyDescent="0.25">
      <c r="B84" t="s">
        <v>2</v>
      </c>
      <c r="C84" t="b">
        <f t="shared" ref="C84:C92" si="6">VX_T</f>
        <v>1</v>
      </c>
      <c r="D84" t="s">
        <v>84</v>
      </c>
      <c r="E84" s="4" t="s">
        <v>87</v>
      </c>
    </row>
    <row r="85" spans="2:5" x14ac:dyDescent="0.25">
      <c r="B85" t="s">
        <v>1</v>
      </c>
      <c r="C85" t="b">
        <f t="shared" si="6"/>
        <v>1</v>
      </c>
      <c r="D85" t="s">
        <v>84</v>
      </c>
      <c r="E85" s="4" t="s">
        <v>88</v>
      </c>
    </row>
    <row r="86" spans="2:5" x14ac:dyDescent="0.25">
      <c r="B86" t="s">
        <v>3</v>
      </c>
      <c r="C86" t="b">
        <f t="shared" si="6"/>
        <v>1</v>
      </c>
      <c r="D86" t="s">
        <v>84</v>
      </c>
      <c r="E86" s="4" t="s">
        <v>89</v>
      </c>
    </row>
    <row r="87" spans="2:5" x14ac:dyDescent="0.25">
      <c r="B87" t="s">
        <v>2</v>
      </c>
      <c r="C87" t="b">
        <f t="shared" si="6"/>
        <v>1</v>
      </c>
      <c r="D87" t="s">
        <v>85</v>
      </c>
      <c r="E87" s="4" t="s">
        <v>86</v>
      </c>
    </row>
    <row r="88" spans="2:5" x14ac:dyDescent="0.25">
      <c r="B88" t="s">
        <v>1</v>
      </c>
      <c r="C88" t="b">
        <f t="shared" si="6"/>
        <v>1</v>
      </c>
      <c r="D88" t="s">
        <v>85</v>
      </c>
      <c r="E88" s="4" t="s">
        <v>90</v>
      </c>
    </row>
    <row r="89" spans="2:5" x14ac:dyDescent="0.25">
      <c r="B89" t="s">
        <v>3</v>
      </c>
      <c r="C89" t="b">
        <f t="shared" si="6"/>
        <v>1</v>
      </c>
      <c r="D89" t="s">
        <v>85</v>
      </c>
      <c r="E89" s="4" t="s">
        <v>103</v>
      </c>
    </row>
    <row r="90" spans="2:5" x14ac:dyDescent="0.25">
      <c r="B90" t="s">
        <v>2</v>
      </c>
      <c r="C90" t="b">
        <f t="shared" si="6"/>
        <v>1</v>
      </c>
      <c r="D90" t="s">
        <v>116</v>
      </c>
      <c r="E90" t="s">
        <v>113</v>
      </c>
    </row>
    <row r="91" spans="2:5" x14ac:dyDescent="0.25">
      <c r="B91" t="s">
        <v>1</v>
      </c>
      <c r="C91" t="b">
        <f t="shared" si="6"/>
        <v>1</v>
      </c>
      <c r="D91" t="s">
        <v>116</v>
      </c>
      <c r="E91" t="s">
        <v>114</v>
      </c>
    </row>
    <row r="92" spans="2:5" x14ac:dyDescent="0.25">
      <c r="B92" t="s">
        <v>3</v>
      </c>
      <c r="C92" t="b">
        <f t="shared" si="6"/>
        <v>1</v>
      </c>
      <c r="D92" t="s">
        <v>116</v>
      </c>
      <c r="E92" t="s">
        <v>115</v>
      </c>
    </row>
  </sheetData>
  <conditionalFormatting sqref="C16:C18">
    <cfRule type="containsText" dxfId="27" priority="2" operator="containsText" text="TRUE">
      <formula>NOT(ISERROR(SEARCH("TRUE",C16)))</formula>
    </cfRule>
  </conditionalFormatting>
  <conditionalFormatting sqref="C1:C15 C19:C80 C84:C92">
    <cfRule type="containsText" dxfId="26" priority="20" operator="containsText" text="TRUE">
      <formula>NOT(ISERROR(SEARCH("TRUE",C1)))</formula>
    </cfRule>
    <cfRule type="colorScale" priority="21">
      <colorScale>
        <cfvo type="min"/>
        <cfvo type="percentile" val="50"/>
        <cfvo type="max"/>
        <color rgb="FFF8696B"/>
        <color rgb="FFFCFCFF"/>
        <color rgb="FF63BE7B"/>
      </colorScale>
    </cfRule>
  </conditionalFormatting>
  <conditionalFormatting sqref="C81:C83">
    <cfRule type="containsText" dxfId="25" priority="1" operator="containsText" text="TRUE">
      <formula>NOT(ISERROR(SEARCH("TRUE",C81)))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H159"/>
  <sheetViews>
    <sheetView topLeftCell="A25" zoomScaleNormal="100" workbookViewId="0">
      <selection activeCell="F37" sqref="F37"/>
    </sheetView>
  </sheetViews>
  <sheetFormatPr defaultRowHeight="15" x14ac:dyDescent="0.25"/>
  <cols>
    <col min="3" max="3" width="23.28515625" bestFit="1" customWidth="1"/>
    <col min="4" max="4" width="40.140625" bestFit="1" customWidth="1"/>
  </cols>
  <sheetData>
    <row r="1" spans="1:5" s="23" customFormat="1" x14ac:dyDescent="0.25">
      <c r="A1" s="23">
        <v>9.0000003576278687E-2</v>
      </c>
      <c r="B1" s="23" t="s">
        <v>2</v>
      </c>
      <c r="C1" s="23" t="b">
        <f>TRUE()</f>
        <v>1</v>
      </c>
      <c r="D1" s="23" t="s">
        <v>284</v>
      </c>
      <c r="E1" s="4" t="s">
        <v>285</v>
      </c>
    </row>
    <row r="2" spans="1:5" s="23" customFormat="1" x14ac:dyDescent="0.25">
      <c r="A2" s="23">
        <v>0.15999999642372131</v>
      </c>
      <c r="B2" s="23" t="s">
        <v>1</v>
      </c>
      <c r="C2" s="23" t="b">
        <f>TRUE()</f>
        <v>1</v>
      </c>
      <c r="D2" s="23" t="s">
        <v>284</v>
      </c>
      <c r="E2" s="4" t="s">
        <v>590</v>
      </c>
    </row>
    <row r="3" spans="1:5" s="23" customFormat="1" x14ac:dyDescent="0.25">
      <c r="A3" s="23">
        <v>0.43000000715255737</v>
      </c>
      <c r="B3" s="23" t="s">
        <v>3</v>
      </c>
      <c r="C3" s="23" t="b">
        <f>TRUE()</f>
        <v>1</v>
      </c>
      <c r="D3" s="23" t="s">
        <v>284</v>
      </c>
      <c r="E3" s="4" t="s">
        <v>606</v>
      </c>
    </row>
    <row r="4" spans="1:5" s="23" customFormat="1" x14ac:dyDescent="0.25">
      <c r="A4" s="23">
        <v>0.8399999737739563</v>
      </c>
      <c r="B4" s="23" t="s">
        <v>136</v>
      </c>
      <c r="C4" s="23" t="b">
        <f>TRUE()</f>
        <v>1</v>
      </c>
      <c r="D4" s="23" t="s">
        <v>284</v>
      </c>
      <c r="E4" s="4" t="s">
        <v>591</v>
      </c>
    </row>
    <row r="5" spans="1:5" s="23" customFormat="1" x14ac:dyDescent="0.25">
      <c r="A5" s="23">
        <v>0.99000000953674316</v>
      </c>
      <c r="B5" s="23" t="s">
        <v>136</v>
      </c>
      <c r="C5" s="23" t="b">
        <f>TRUE()</f>
        <v>1</v>
      </c>
      <c r="D5" s="23" t="s">
        <v>284</v>
      </c>
      <c r="E5" s="4" t="s">
        <v>342</v>
      </c>
    </row>
    <row r="6" spans="1:5" x14ac:dyDescent="0.25">
      <c r="A6">
        <v>1.0499999523162842</v>
      </c>
      <c r="B6" t="s">
        <v>2</v>
      </c>
      <c r="C6" t="b">
        <f t="shared" ref="C6:C16" si="0">VGE_T</f>
        <v>1</v>
      </c>
      <c r="D6" t="s">
        <v>4</v>
      </c>
      <c r="E6" s="23" t="s">
        <v>291</v>
      </c>
    </row>
    <row r="7" spans="1:5" x14ac:dyDescent="0.25">
      <c r="A7">
        <v>1.1200000047683716</v>
      </c>
      <c r="B7" t="s">
        <v>1</v>
      </c>
      <c r="C7" t="b">
        <f t="shared" si="0"/>
        <v>1</v>
      </c>
      <c r="D7" t="s">
        <v>4</v>
      </c>
      <c r="E7" s="23" t="s">
        <v>292</v>
      </c>
    </row>
    <row r="8" spans="1:5" x14ac:dyDescent="0.25">
      <c r="A8">
        <v>1.2100000381469727</v>
      </c>
      <c r="B8" t="s">
        <v>2</v>
      </c>
      <c r="C8" t="b">
        <f t="shared" si="0"/>
        <v>1</v>
      </c>
      <c r="D8" t="s">
        <v>31</v>
      </c>
      <c r="E8" s="23" t="s">
        <v>25</v>
      </c>
    </row>
    <row r="9" spans="1:5" x14ac:dyDescent="0.25">
      <c r="A9">
        <v>1.2899999618530273</v>
      </c>
      <c r="B9" t="s">
        <v>1</v>
      </c>
      <c r="C9" t="b">
        <f t="shared" si="0"/>
        <v>1</v>
      </c>
      <c r="D9" t="s">
        <v>31</v>
      </c>
      <c r="E9" s="23" t="s">
        <v>325</v>
      </c>
    </row>
    <row r="10" spans="1:5" x14ac:dyDescent="0.25">
      <c r="A10">
        <v>1.4199999570846558</v>
      </c>
      <c r="B10" t="s">
        <v>3</v>
      </c>
      <c r="C10" t="b">
        <f t="shared" si="0"/>
        <v>1</v>
      </c>
      <c r="D10" t="s">
        <v>31</v>
      </c>
      <c r="E10" s="23" t="s">
        <v>605</v>
      </c>
    </row>
    <row r="11" spans="1:5" x14ac:dyDescent="0.25">
      <c r="A11">
        <v>1.5</v>
      </c>
      <c r="B11" t="s">
        <v>136</v>
      </c>
      <c r="C11" t="b">
        <f t="shared" si="0"/>
        <v>1</v>
      </c>
      <c r="D11" t="s">
        <v>31</v>
      </c>
      <c r="E11" s="23" t="s">
        <v>154</v>
      </c>
    </row>
    <row r="12" spans="1:5" s="23" customFormat="1" x14ac:dyDescent="0.25">
      <c r="A12" s="23">
        <v>1.559999942779541</v>
      </c>
      <c r="B12" s="23" t="s">
        <v>136</v>
      </c>
      <c r="C12" s="23" t="b">
        <f t="shared" si="0"/>
        <v>1</v>
      </c>
      <c r="D12" s="23" t="s">
        <v>31</v>
      </c>
      <c r="E12" s="23" t="str">
        <f>"DELETE FROM 'Electricity generation - Term' WHERE NOT (COUNTRY IN ( " &amp; C_filter &amp;"));"</f>
        <v>DELETE FROM 'Electricity generation - Term' WHERE NOT (COUNTRY IN ( 'DENMARK'));</v>
      </c>
    </row>
    <row r="13" spans="1:5" x14ac:dyDescent="0.25">
      <c r="A13">
        <v>1.6100000143051147</v>
      </c>
      <c r="B13" t="s">
        <v>136</v>
      </c>
      <c r="C13" t="b">
        <f t="shared" si="0"/>
        <v>1</v>
      </c>
      <c r="D13" t="s">
        <v>31</v>
      </c>
      <c r="E13" s="23" t="s">
        <v>293</v>
      </c>
    </row>
    <row r="14" spans="1:5" x14ac:dyDescent="0.25">
      <c r="A14">
        <v>1.7599999904632568</v>
      </c>
      <c r="B14" t="s">
        <v>2</v>
      </c>
      <c r="C14" t="b">
        <f t="shared" si="0"/>
        <v>1</v>
      </c>
      <c r="D14" t="s">
        <v>5</v>
      </c>
      <c r="E14" s="23" t="s">
        <v>23</v>
      </c>
    </row>
    <row r="15" spans="1:5" x14ac:dyDescent="0.25">
      <c r="A15">
        <v>1.8400000333786011</v>
      </c>
      <c r="B15" t="s">
        <v>1</v>
      </c>
      <c r="C15" t="b">
        <f t="shared" si="0"/>
        <v>1</v>
      </c>
      <c r="D15" t="s">
        <v>5</v>
      </c>
      <c r="E15" s="23" t="s">
        <v>323</v>
      </c>
    </row>
    <row r="16" spans="1:5" x14ac:dyDescent="0.25">
      <c r="A16">
        <v>1.9299999475479126</v>
      </c>
      <c r="B16" t="s">
        <v>3</v>
      </c>
      <c r="C16" t="b">
        <f t="shared" si="0"/>
        <v>1</v>
      </c>
      <c r="D16" t="s">
        <v>5</v>
      </c>
      <c r="E16" s="23" t="s">
        <v>324</v>
      </c>
    </row>
    <row r="17" spans="1:5" x14ac:dyDescent="0.25">
      <c r="A17">
        <v>1.9800000190734863</v>
      </c>
      <c r="B17" t="s">
        <v>2</v>
      </c>
      <c r="C17" t="b">
        <f>QEEQ</f>
        <v>1</v>
      </c>
      <c r="D17" t="s">
        <v>21</v>
      </c>
      <c r="E17" s="23" t="s">
        <v>24</v>
      </c>
    </row>
    <row r="18" spans="1:5" x14ac:dyDescent="0.25">
      <c r="A18">
        <v>2.0399999618530273</v>
      </c>
      <c r="B18" t="s">
        <v>1</v>
      </c>
      <c r="C18" t="b">
        <f>QEEQ</f>
        <v>1</v>
      </c>
      <c r="D18" t="s">
        <v>21</v>
      </c>
      <c r="E18" s="23" t="s">
        <v>242</v>
      </c>
    </row>
    <row r="19" spans="1:5" x14ac:dyDescent="0.25">
      <c r="A19">
        <v>2.119999885559082</v>
      </c>
      <c r="B19" t="s">
        <v>3</v>
      </c>
      <c r="C19" t="b">
        <f>QEEQ</f>
        <v>1</v>
      </c>
      <c r="D19" t="s">
        <v>21</v>
      </c>
      <c r="E19" s="23" t="s">
        <v>243</v>
      </c>
    </row>
    <row r="20" spans="1:5" s="23" customFormat="1" x14ac:dyDescent="0.25">
      <c r="A20" s="23">
        <v>2.1800000667572021</v>
      </c>
      <c r="B20" s="23" t="s">
        <v>136</v>
      </c>
      <c r="C20" s="23" t="b">
        <f>IF(QEEQ*O_ModelBB4All&gt;0,TRUE(),FALSE())</f>
        <v>1</v>
      </c>
      <c r="D20" s="23" t="s">
        <v>21</v>
      </c>
      <c r="E20" s="23" t="s">
        <v>244</v>
      </c>
    </row>
    <row r="21" spans="1:5" x14ac:dyDescent="0.25">
      <c r="A21">
        <v>2.25</v>
      </c>
      <c r="B21" t="s">
        <v>2</v>
      </c>
      <c r="C21" t="b">
        <f>QHEQ</f>
        <v>1</v>
      </c>
      <c r="D21" t="s">
        <v>78</v>
      </c>
      <c r="E21" s="23" t="s">
        <v>79</v>
      </c>
    </row>
    <row r="22" spans="1:5" x14ac:dyDescent="0.25">
      <c r="A22">
        <v>2.3199999332427979</v>
      </c>
      <c r="B22" t="s">
        <v>1</v>
      </c>
      <c r="C22" t="b">
        <f>QHEQ</f>
        <v>1</v>
      </c>
      <c r="D22" t="s">
        <v>78</v>
      </c>
      <c r="E22" s="23" t="s">
        <v>245</v>
      </c>
    </row>
    <row r="23" spans="1:5" x14ac:dyDescent="0.25">
      <c r="A23">
        <v>2.4200000762939453</v>
      </c>
      <c r="B23" t="s">
        <v>3</v>
      </c>
      <c r="C23" t="b">
        <f>QHEQ</f>
        <v>1</v>
      </c>
      <c r="D23" t="s">
        <v>78</v>
      </c>
      <c r="E23" s="23" t="s">
        <v>246</v>
      </c>
    </row>
    <row r="24" spans="1:5" s="23" customFormat="1" x14ac:dyDescent="0.25">
      <c r="A24" s="23">
        <v>2.5399999618530273</v>
      </c>
      <c r="B24" s="23" t="s">
        <v>136</v>
      </c>
      <c r="C24" s="23" t="b">
        <f>IF(QHEQ*O_ModelBB4All&gt;0,TRUE(),FALSE())</f>
        <v>1</v>
      </c>
      <c r="D24" s="23" t="s">
        <v>78</v>
      </c>
      <c r="E24" s="23" t="s">
        <v>247</v>
      </c>
    </row>
    <row r="25" spans="1:5" x14ac:dyDescent="0.25">
      <c r="A25">
        <v>2.619999885559082</v>
      </c>
      <c r="B25" t="s">
        <v>2</v>
      </c>
      <c r="C25" t="b">
        <f t="shared" ref="C25:C34" si="1">VGH_T</f>
        <v>1</v>
      </c>
      <c r="D25" t="s">
        <v>26</v>
      </c>
      <c r="E25" s="23" t="s">
        <v>294</v>
      </c>
    </row>
    <row r="26" spans="1:5" x14ac:dyDescent="0.25">
      <c r="A26">
        <v>2.6800000667572021</v>
      </c>
      <c r="B26" t="s">
        <v>1</v>
      </c>
      <c r="C26" t="b">
        <f t="shared" si="1"/>
        <v>1</v>
      </c>
      <c r="D26" t="s">
        <v>26</v>
      </c>
      <c r="E26" s="23" t="s">
        <v>295</v>
      </c>
    </row>
    <row r="27" spans="1:5" x14ac:dyDescent="0.25">
      <c r="A27">
        <v>2.809999942779541</v>
      </c>
      <c r="B27" t="s">
        <v>2</v>
      </c>
      <c r="C27" t="b">
        <f t="shared" si="1"/>
        <v>1</v>
      </c>
      <c r="D27" t="s">
        <v>28</v>
      </c>
      <c r="E27" s="23" t="s">
        <v>30</v>
      </c>
    </row>
    <row r="28" spans="1:5" x14ac:dyDescent="0.25">
      <c r="A28">
        <v>2.8900001049041748</v>
      </c>
      <c r="B28" t="s">
        <v>1</v>
      </c>
      <c r="C28" t="b">
        <f t="shared" si="1"/>
        <v>1</v>
      </c>
      <c r="D28" t="s">
        <v>28</v>
      </c>
      <c r="E28" s="23" t="s">
        <v>326</v>
      </c>
    </row>
    <row r="29" spans="1:5" x14ac:dyDescent="0.25">
      <c r="A29">
        <v>3.0499999523162842</v>
      </c>
      <c r="B29" t="s">
        <v>3</v>
      </c>
      <c r="C29" t="b">
        <f t="shared" si="1"/>
        <v>1</v>
      </c>
      <c r="D29" t="s">
        <v>28</v>
      </c>
      <c r="E29" s="23" t="s">
        <v>343</v>
      </c>
    </row>
    <row r="30" spans="1:5" x14ac:dyDescent="0.25">
      <c r="A30">
        <v>3.119999885559082</v>
      </c>
      <c r="B30" t="s">
        <v>136</v>
      </c>
      <c r="C30" t="b">
        <f t="shared" si="1"/>
        <v>1</v>
      </c>
      <c r="D30" t="s">
        <v>28</v>
      </c>
      <c r="E30" s="23" t="str">
        <f>"DELETE FROM 'Heat Generation - Term' WHERE NOT (COUNTRY IN ( " &amp; C_filter &amp; "));"</f>
        <v>DELETE FROM 'Heat Generation - Term' WHERE NOT (COUNTRY IN ( 'DENMARK'));</v>
      </c>
    </row>
    <row r="31" spans="1:5" s="23" customFormat="1" x14ac:dyDescent="0.25">
      <c r="A31" s="23">
        <v>3.190000057220459</v>
      </c>
      <c r="B31" s="23" t="s">
        <v>136</v>
      </c>
      <c r="C31" s="23" t="b">
        <f>IF(VGH_T*O_ModelBB4All&gt;0,TRUE(),FALSE())</f>
        <v>1</v>
      </c>
      <c r="D31" s="23" t="s">
        <v>28</v>
      </c>
      <c r="E31" s="23" t="s">
        <v>296</v>
      </c>
    </row>
    <row r="32" spans="1:5" x14ac:dyDescent="0.25">
      <c r="A32">
        <v>3.2599999904632568</v>
      </c>
      <c r="B32" t="s">
        <v>2</v>
      </c>
      <c r="C32" t="b">
        <f t="shared" si="1"/>
        <v>1</v>
      </c>
      <c r="D32" t="s">
        <v>29</v>
      </c>
      <c r="E32" s="23" t="s">
        <v>32</v>
      </c>
    </row>
    <row r="33" spans="1:5" x14ac:dyDescent="0.25">
      <c r="A33">
        <v>3.440000057220459</v>
      </c>
      <c r="B33" t="s">
        <v>1</v>
      </c>
      <c r="C33" t="b">
        <f t="shared" si="1"/>
        <v>1</v>
      </c>
      <c r="D33" t="s">
        <v>29</v>
      </c>
      <c r="E33" s="23" t="s">
        <v>327</v>
      </c>
    </row>
    <row r="34" spans="1:5" x14ac:dyDescent="0.25">
      <c r="A34">
        <v>3.5099999904632568</v>
      </c>
      <c r="B34" t="s">
        <v>3</v>
      </c>
      <c r="C34" t="b">
        <f t="shared" si="1"/>
        <v>1</v>
      </c>
      <c r="D34" t="s">
        <v>29</v>
      </c>
      <c r="E34" s="23" t="s">
        <v>328</v>
      </c>
    </row>
    <row r="35" spans="1:5" x14ac:dyDescent="0.25">
      <c r="A35">
        <v>3.5699999332427979</v>
      </c>
      <c r="B35" t="s">
        <v>2</v>
      </c>
      <c r="C35" t="b">
        <f t="shared" ref="C35:C41" si="2">VGF_T</f>
        <v>1</v>
      </c>
      <c r="D35" t="s">
        <v>38</v>
      </c>
      <c r="E35" s="23" t="s">
        <v>344</v>
      </c>
    </row>
    <row r="36" spans="1:5" x14ac:dyDescent="0.25">
      <c r="A36">
        <v>3.6400001049041748</v>
      </c>
      <c r="B36" t="s">
        <v>1</v>
      </c>
      <c r="C36" t="b">
        <f t="shared" si="2"/>
        <v>1</v>
      </c>
      <c r="D36" t="s">
        <v>38</v>
      </c>
      <c r="E36" s="23" t="s">
        <v>345</v>
      </c>
    </row>
    <row r="37" spans="1:5" x14ac:dyDescent="0.25">
      <c r="A37">
        <v>3.8199999332427979</v>
      </c>
      <c r="B37" t="s">
        <v>3</v>
      </c>
      <c r="C37" t="b">
        <f t="shared" si="2"/>
        <v>1</v>
      </c>
      <c r="D37" t="s">
        <v>38</v>
      </c>
      <c r="E37" s="23" t="s">
        <v>346</v>
      </c>
    </row>
    <row r="38" spans="1:5" s="23" customFormat="1" x14ac:dyDescent="0.25">
      <c r="A38" s="23">
        <v>3.880000114440918</v>
      </c>
      <c r="B38" s="23" t="s">
        <v>136</v>
      </c>
      <c r="C38" s="23" t="b">
        <f t="shared" si="2"/>
        <v>1</v>
      </c>
      <c r="D38" s="23" t="s">
        <v>38</v>
      </c>
      <c r="E38" s="23" t="s">
        <v>347</v>
      </c>
    </row>
    <row r="39" spans="1:5" x14ac:dyDescent="0.25">
      <c r="A39">
        <v>3.940000057220459</v>
      </c>
      <c r="B39" t="s">
        <v>2</v>
      </c>
      <c r="C39" t="b">
        <f t="shared" si="2"/>
        <v>1</v>
      </c>
      <c r="D39" t="s">
        <v>43</v>
      </c>
      <c r="E39" s="23" t="s">
        <v>44</v>
      </c>
    </row>
    <row r="40" spans="1:5" x14ac:dyDescent="0.25">
      <c r="A40">
        <v>4.0199999809265137</v>
      </c>
      <c r="B40" t="s">
        <v>1</v>
      </c>
      <c r="C40" t="b">
        <f t="shared" si="2"/>
        <v>1</v>
      </c>
      <c r="D40" t="s">
        <v>43</v>
      </c>
      <c r="E40" s="23" t="s">
        <v>348</v>
      </c>
    </row>
    <row r="41" spans="1:5" x14ac:dyDescent="0.25">
      <c r="A41">
        <v>4.0900001525878906</v>
      </c>
      <c r="B41" t="s">
        <v>3</v>
      </c>
      <c r="C41" t="b">
        <f t="shared" si="2"/>
        <v>1</v>
      </c>
      <c r="D41" t="s">
        <v>43</v>
      </c>
      <c r="E41" s="23" t="s">
        <v>637</v>
      </c>
    </row>
    <row r="42" spans="1:5" x14ac:dyDescent="0.25">
      <c r="A42">
        <v>4.2199997901916504</v>
      </c>
      <c r="B42" t="s">
        <v>2</v>
      </c>
      <c r="C42" t="b">
        <f t="shared" ref="C42:C49" si="3">STO</f>
        <v>1</v>
      </c>
      <c r="D42" t="s">
        <v>62</v>
      </c>
      <c r="E42" s="23" t="s">
        <v>63</v>
      </c>
    </row>
    <row r="43" spans="1:5" x14ac:dyDescent="0.25">
      <c r="A43">
        <v>4.320000171661377</v>
      </c>
      <c r="B43" t="s">
        <v>1</v>
      </c>
      <c r="C43" t="b">
        <f t="shared" si="3"/>
        <v>1</v>
      </c>
      <c r="D43" t="s">
        <v>62</v>
      </c>
      <c r="E43" s="23" t="s">
        <v>340</v>
      </c>
    </row>
    <row r="44" spans="1:5" x14ac:dyDescent="0.25">
      <c r="A44">
        <v>4.3899998664855957</v>
      </c>
      <c r="B44" t="s">
        <v>3</v>
      </c>
      <c r="C44" t="b">
        <f t="shared" si="3"/>
        <v>1</v>
      </c>
      <c r="D44" t="s">
        <v>62</v>
      </c>
      <c r="E44" s="4" t="s">
        <v>341</v>
      </c>
    </row>
    <row r="45" spans="1:5" s="23" customFormat="1" x14ac:dyDescent="0.25">
      <c r="A45" s="23">
        <v>4.4499998092651367</v>
      </c>
      <c r="B45" s="23" t="s">
        <v>136</v>
      </c>
      <c r="C45" s="23" t="b">
        <f>IF(STO*O_ModelBB4All&gt;0,TRUE(),FALSE())</f>
        <v>1</v>
      </c>
      <c r="D45" s="23" t="s">
        <v>62</v>
      </c>
      <c r="E45" s="4" t="str">
        <f>"DELETE FROM [" &amp; D45 &amp;"] WHERE NOT ((BaseYear=ModelYear AND BaseYear&lt;(SELECT MAX(BaseYear) FROM [" &amp; D45 &amp;"])) OR (BaseYear=(SELECT MAX(BaseYear) FROM [" &amp; D45 &amp;"])));"</f>
        <v>DELETE FROM [Heat storage volume] WHERE NOT ((BaseYear=ModelYear AND BaseYear&lt;(SELECT MAX(BaseYear) FROM [Heat storage volume])) OR (BaseYear=(SELECT MAX(BaseYear) FROM [Heat storage volume])));</v>
      </c>
    </row>
    <row r="46" spans="1:5" x14ac:dyDescent="0.25">
      <c r="A46">
        <v>4.5</v>
      </c>
      <c r="B46" t="s">
        <v>136</v>
      </c>
      <c r="C46" t="b">
        <f t="shared" si="3"/>
        <v>1</v>
      </c>
      <c r="D46" t="s">
        <v>62</v>
      </c>
      <c r="E46" s="4" t="str">
        <f>"DELETE FROM 'Heat Storage volume' WHERE NOT (COUNTRY IN ( " &amp; C_filter &amp; "));"</f>
        <v>DELETE FROM 'Heat Storage volume' WHERE NOT (COUNTRY IN ( 'DENMARK'));</v>
      </c>
    </row>
    <row r="47" spans="1:5" x14ac:dyDescent="0.25">
      <c r="A47">
        <v>4.5799999237060547</v>
      </c>
      <c r="B47" t="s">
        <v>2</v>
      </c>
      <c r="C47" t="b">
        <f t="shared" si="3"/>
        <v>1</v>
      </c>
      <c r="D47" t="s">
        <v>64</v>
      </c>
      <c r="E47" s="23" t="s">
        <v>65</v>
      </c>
    </row>
    <row r="48" spans="1:5" x14ac:dyDescent="0.25">
      <c r="A48">
        <v>4.6599998474121094</v>
      </c>
      <c r="B48" t="s">
        <v>1</v>
      </c>
      <c r="C48" t="b">
        <f t="shared" si="3"/>
        <v>1</v>
      </c>
      <c r="D48" t="s">
        <v>64</v>
      </c>
      <c r="E48" s="23" t="s">
        <v>171</v>
      </c>
    </row>
    <row r="49" spans="1:5" x14ac:dyDescent="0.25">
      <c r="A49">
        <v>4.7100000381469727</v>
      </c>
      <c r="B49" t="s">
        <v>3</v>
      </c>
      <c r="C49" t="b">
        <f t="shared" si="3"/>
        <v>1</v>
      </c>
      <c r="D49" t="s">
        <v>64</v>
      </c>
      <c r="E49" s="4" t="s">
        <v>248</v>
      </c>
    </row>
    <row r="50" spans="1:5" s="23" customFormat="1" x14ac:dyDescent="0.25">
      <c r="A50" s="23">
        <v>4.7699999809265137</v>
      </c>
      <c r="B50" s="23" t="s">
        <v>136</v>
      </c>
      <c r="C50" s="23" t="b">
        <f>IF(STO*O_ModelBB4All&gt;0,TRUE(),FALSE())</f>
        <v>1</v>
      </c>
      <c r="D50" s="23" t="s">
        <v>64</v>
      </c>
      <c r="E50" s="4" t="str">
        <f>"DELETE FROM [" &amp; D50 &amp;"] WHERE NOT ((BaseYear=ModelYear AND BaseYear&lt;(SELECT MAX(BaseYear) FROM [" &amp; D50 &amp;"])) OR (BaseYear=(SELECT MAX(BaseYear) FROM [" &amp; D50 &amp;"])));"</f>
        <v>DELETE FROM [Weekly Hydro Storage Volume] WHERE NOT ((BaseYear=ModelYear AND BaseYear&lt;(SELECT MAX(BaseYear) FROM [Weekly Hydro Storage Volume])) OR (BaseYear=(SELECT MAX(BaseYear) FROM [Weekly Hydro Storage Volume])));</v>
      </c>
    </row>
    <row r="51" spans="1:5" x14ac:dyDescent="0.25">
      <c r="A51">
        <v>4.8499999046325684</v>
      </c>
      <c r="B51" t="s">
        <v>2</v>
      </c>
      <c r="C51" t="b">
        <f>VGKN</f>
        <v>1</v>
      </c>
      <c r="D51" t="s">
        <v>189</v>
      </c>
      <c r="E51" s="23" t="s">
        <v>190</v>
      </c>
    </row>
    <row r="52" spans="1:5" x14ac:dyDescent="0.25">
      <c r="A52">
        <v>4.929999828338623</v>
      </c>
      <c r="B52" t="s">
        <v>1</v>
      </c>
      <c r="C52" t="b">
        <f>VGKN</f>
        <v>1</v>
      </c>
      <c r="D52" t="s">
        <v>189</v>
      </c>
      <c r="E52" s="23" t="s">
        <v>329</v>
      </c>
    </row>
    <row r="53" spans="1:5" x14ac:dyDescent="0.25">
      <c r="A53">
        <v>5.070000171661377</v>
      </c>
      <c r="B53" t="s">
        <v>3</v>
      </c>
      <c r="C53" t="b">
        <f>VGKN</f>
        <v>1</v>
      </c>
      <c r="D53" t="s">
        <v>189</v>
      </c>
      <c r="E53" s="23" t="s">
        <v>349</v>
      </c>
    </row>
    <row r="54" spans="1:5" s="23" customFormat="1" x14ac:dyDescent="0.25">
      <c r="A54" s="23">
        <v>5.130000114440918</v>
      </c>
      <c r="B54" s="23" t="s">
        <v>136</v>
      </c>
      <c r="C54" s="23" t="b">
        <f>IF(VGKN*O_ModelBB4All&gt;0,TRUE(),FALSE())</f>
        <v>1</v>
      </c>
      <c r="D54" s="23" t="s">
        <v>189</v>
      </c>
      <c r="E54" s="4" t="s">
        <v>288</v>
      </c>
    </row>
    <row r="55" spans="1:5" x14ac:dyDescent="0.25">
      <c r="A55">
        <v>5.2199997901916504</v>
      </c>
      <c r="B55" t="s">
        <v>136</v>
      </c>
      <c r="C55" t="b">
        <f>VGKN</f>
        <v>1</v>
      </c>
      <c r="D55" t="s">
        <v>189</v>
      </c>
      <c r="E55" s="23" t="s">
        <v>593</v>
      </c>
    </row>
    <row r="56" spans="1:5" x14ac:dyDescent="0.25">
      <c r="A56">
        <v>5.3000001907348633</v>
      </c>
      <c r="B56" t="s">
        <v>2</v>
      </c>
      <c r="C56" t="b">
        <f>IGK</f>
        <v>1</v>
      </c>
      <c r="D56" t="s">
        <v>156</v>
      </c>
      <c r="E56" s="4" t="s">
        <v>157</v>
      </c>
    </row>
    <row r="57" spans="1:5" x14ac:dyDescent="0.25">
      <c r="A57">
        <v>5.3600001335144043</v>
      </c>
      <c r="B57" t="s">
        <v>1</v>
      </c>
      <c r="C57" t="b">
        <f>IGK</f>
        <v>1</v>
      </c>
      <c r="D57" t="s">
        <v>156</v>
      </c>
      <c r="E57" s="4" t="s">
        <v>330</v>
      </c>
    </row>
    <row r="58" spans="1:5" x14ac:dyDescent="0.25">
      <c r="A58">
        <v>5.6399998664855957</v>
      </c>
      <c r="B58" t="s">
        <v>3</v>
      </c>
      <c r="C58" t="b">
        <f>IGK</f>
        <v>1</v>
      </c>
      <c r="D58" t="s">
        <v>156</v>
      </c>
      <c r="E58" s="4" t="s">
        <v>350</v>
      </c>
    </row>
    <row r="59" spans="1:5" x14ac:dyDescent="0.25">
      <c r="A59">
        <v>5.7199997901916504</v>
      </c>
      <c r="B59" t="s">
        <v>2</v>
      </c>
      <c r="C59" t="b">
        <f t="shared" ref="C59:C67" si="4">VGKN</f>
        <v>1</v>
      </c>
      <c r="D59" t="s">
        <v>162</v>
      </c>
      <c r="E59" s="23" t="s">
        <v>163</v>
      </c>
    </row>
    <row r="60" spans="1:5" x14ac:dyDescent="0.25">
      <c r="A60">
        <v>5.880000114440918</v>
      </c>
      <c r="B60" t="s">
        <v>1</v>
      </c>
      <c r="C60" t="b">
        <f t="shared" si="4"/>
        <v>1</v>
      </c>
      <c r="D60" t="s">
        <v>162</v>
      </c>
      <c r="E60" s="23" t="s">
        <v>331</v>
      </c>
    </row>
    <row r="61" spans="1:5" x14ac:dyDescent="0.25">
      <c r="A61">
        <v>5.9499998092651367</v>
      </c>
      <c r="B61" t="s">
        <v>3</v>
      </c>
      <c r="C61" t="b">
        <f t="shared" si="4"/>
        <v>1</v>
      </c>
      <c r="D61" t="s">
        <v>162</v>
      </c>
      <c r="E61" s="23" t="s">
        <v>351</v>
      </c>
    </row>
    <row r="62" spans="1:5" x14ac:dyDescent="0.25">
      <c r="A62">
        <v>6.0199999809265137</v>
      </c>
      <c r="B62" t="s">
        <v>136</v>
      </c>
      <c r="C62" t="b">
        <f t="shared" si="4"/>
        <v>1</v>
      </c>
      <c r="D62" t="s">
        <v>162</v>
      </c>
      <c r="E62" s="23" t="s">
        <v>289</v>
      </c>
    </row>
    <row r="63" spans="1:5" s="23" customFormat="1" x14ac:dyDescent="0.25">
      <c r="A63" s="23">
        <v>6.0900001525878906</v>
      </c>
      <c r="B63" s="23" t="s">
        <v>1</v>
      </c>
      <c r="C63" s="23" t="b">
        <f t="shared" si="4"/>
        <v>1</v>
      </c>
      <c r="D63" s="23" t="s">
        <v>614</v>
      </c>
      <c r="E63" s="23" t="s">
        <v>615</v>
      </c>
    </row>
    <row r="64" spans="1:5" s="23" customFormat="1" x14ac:dyDescent="0.25">
      <c r="A64" s="23">
        <v>6.1500000953674316</v>
      </c>
      <c r="B64" s="23" t="s">
        <v>1</v>
      </c>
      <c r="C64" s="23" t="b">
        <f t="shared" si="4"/>
        <v>1</v>
      </c>
      <c r="D64" s="23" t="s">
        <v>614</v>
      </c>
      <c r="E64" s="23" t="s">
        <v>616</v>
      </c>
    </row>
    <row r="65" spans="1:5" s="23" customFormat="1" x14ac:dyDescent="0.25">
      <c r="A65" s="23">
        <v>6.2100000381469727</v>
      </c>
      <c r="B65" s="23" t="s">
        <v>1</v>
      </c>
      <c r="C65" s="23" t="b">
        <f t="shared" si="4"/>
        <v>1</v>
      </c>
      <c r="D65" s="23" t="s">
        <v>356</v>
      </c>
      <c r="E65" s="23" t="s">
        <v>357</v>
      </c>
    </row>
    <row r="66" spans="1:5" s="23" customFormat="1" x14ac:dyDescent="0.25">
      <c r="A66" s="23">
        <v>6.2800002098083496</v>
      </c>
      <c r="B66" s="23" t="s">
        <v>3</v>
      </c>
      <c r="C66" s="23" t="b">
        <f t="shared" si="4"/>
        <v>1</v>
      </c>
      <c r="D66" s="23" t="s">
        <v>356</v>
      </c>
      <c r="E66" s="23" t="s">
        <v>358</v>
      </c>
    </row>
    <row r="67" spans="1:5" s="23" customFormat="1" x14ac:dyDescent="0.25">
      <c r="A67" s="23">
        <v>6.369999885559082</v>
      </c>
      <c r="B67" s="23" t="s">
        <v>136</v>
      </c>
      <c r="C67" s="23" t="b">
        <f t="shared" si="4"/>
        <v>1</v>
      </c>
      <c r="D67" s="23" t="s">
        <v>356</v>
      </c>
      <c r="E67" s="23" t="s">
        <v>617</v>
      </c>
    </row>
    <row r="68" spans="1:5" x14ac:dyDescent="0.25">
      <c r="A68">
        <v>6.429999828338623</v>
      </c>
      <c r="B68" t="s">
        <v>2</v>
      </c>
      <c r="C68" t="b">
        <f t="shared" ref="C68:C76" si="5">VGKN</f>
        <v>1</v>
      </c>
      <c r="D68" t="s">
        <v>168</v>
      </c>
      <c r="E68" s="23" t="s">
        <v>169</v>
      </c>
    </row>
    <row r="69" spans="1:5" x14ac:dyDescent="0.25">
      <c r="A69">
        <v>6.4899997711181641</v>
      </c>
      <c r="B69" t="s">
        <v>1</v>
      </c>
      <c r="C69" t="b">
        <f t="shared" si="5"/>
        <v>1</v>
      </c>
      <c r="D69" t="s">
        <v>168</v>
      </c>
      <c r="E69" s="4" t="s">
        <v>332</v>
      </c>
    </row>
    <row r="70" spans="1:5" x14ac:dyDescent="0.25">
      <c r="A70">
        <v>6.619999885559082</v>
      </c>
      <c r="B70" t="s">
        <v>3</v>
      </c>
      <c r="C70" t="b">
        <f t="shared" si="5"/>
        <v>1</v>
      </c>
      <c r="D70" t="s">
        <v>168</v>
      </c>
      <c r="E70" s="4" t="s">
        <v>618</v>
      </c>
    </row>
    <row r="71" spans="1:5" s="23" customFormat="1" x14ac:dyDescent="0.25">
      <c r="A71" s="23">
        <v>6.7699999809265137</v>
      </c>
      <c r="B71" s="23" t="s">
        <v>136</v>
      </c>
      <c r="C71" s="23" t="b">
        <f t="shared" si="5"/>
        <v>1</v>
      </c>
      <c r="D71" s="23" t="s">
        <v>168</v>
      </c>
      <c r="E71" s="4" t="s">
        <v>594</v>
      </c>
    </row>
    <row r="72" spans="1:5" x14ac:dyDescent="0.25">
      <c r="A72">
        <v>6.8600001335144043</v>
      </c>
      <c r="B72" t="s">
        <v>2</v>
      </c>
      <c r="C72" t="b">
        <f t="shared" si="5"/>
        <v>1</v>
      </c>
      <c r="D72" t="s">
        <v>173</v>
      </c>
      <c r="E72" s="4" t="s">
        <v>174</v>
      </c>
    </row>
    <row r="73" spans="1:5" x14ac:dyDescent="0.25">
      <c r="A73">
        <v>6.9200000762939453</v>
      </c>
      <c r="B73" t="s">
        <v>1</v>
      </c>
      <c r="C73" t="b">
        <f t="shared" si="5"/>
        <v>1</v>
      </c>
      <c r="D73" t="s">
        <v>173</v>
      </c>
      <c r="E73" s="4" t="s">
        <v>333</v>
      </c>
    </row>
    <row r="74" spans="1:5" x14ac:dyDescent="0.25">
      <c r="A74">
        <v>7.0900001525878906</v>
      </c>
      <c r="B74" t="s">
        <v>3</v>
      </c>
      <c r="C74" t="b">
        <f>VGKN</f>
        <v>1</v>
      </c>
      <c r="D74" t="s">
        <v>173</v>
      </c>
      <c r="E74" s="4" t="s">
        <v>619</v>
      </c>
    </row>
    <row r="75" spans="1:5" s="23" customFormat="1" x14ac:dyDescent="0.25">
      <c r="A75" s="23">
        <v>7.1999998092651367</v>
      </c>
      <c r="B75" s="23" t="s">
        <v>136</v>
      </c>
      <c r="C75" s="23" t="b">
        <f t="shared" si="5"/>
        <v>1</v>
      </c>
      <c r="D75" s="23" t="s">
        <v>173</v>
      </c>
      <c r="E75" s="4" t="s">
        <v>613</v>
      </c>
    </row>
    <row r="76" spans="1:5" s="23" customFormat="1" x14ac:dyDescent="0.25">
      <c r="A76" s="23">
        <v>7.2800002098083496</v>
      </c>
      <c r="B76" s="23" t="s">
        <v>136</v>
      </c>
      <c r="C76" s="23" t="b">
        <f t="shared" si="5"/>
        <v>1</v>
      </c>
      <c r="D76" s="23" t="s">
        <v>173</v>
      </c>
      <c r="E76" s="4" t="s">
        <v>595</v>
      </c>
    </row>
    <row r="77" spans="1:5" x14ac:dyDescent="0.25">
      <c r="A77">
        <v>7.369999885559082</v>
      </c>
      <c r="B77" t="s">
        <v>2</v>
      </c>
      <c r="C77" t="b">
        <f t="shared" ref="C77:C88" si="6">DE</f>
        <v>1</v>
      </c>
      <c r="D77" t="s">
        <v>72</v>
      </c>
      <c r="E77" s="4" t="s">
        <v>70</v>
      </c>
    </row>
    <row r="78" spans="1:5" x14ac:dyDescent="0.25">
      <c r="A78">
        <v>7.4499998092651367</v>
      </c>
      <c r="B78" t="s">
        <v>1</v>
      </c>
      <c r="C78" t="b">
        <f t="shared" si="6"/>
        <v>1</v>
      </c>
      <c r="D78" t="s">
        <v>72</v>
      </c>
      <c r="E78" s="4" t="s">
        <v>145</v>
      </c>
    </row>
    <row r="79" spans="1:5" x14ac:dyDescent="0.25">
      <c r="A79">
        <v>7.5799999237060547</v>
      </c>
      <c r="B79" t="s">
        <v>3</v>
      </c>
      <c r="C79" t="b">
        <f t="shared" si="6"/>
        <v>1</v>
      </c>
      <c r="D79" t="s">
        <v>72</v>
      </c>
      <c r="E79" s="4" t="s">
        <v>146</v>
      </c>
    </row>
    <row r="80" spans="1:5" x14ac:dyDescent="0.25">
      <c r="A80">
        <v>7.6399998664855957</v>
      </c>
      <c r="B80" t="s">
        <v>2</v>
      </c>
      <c r="C80" t="b">
        <f t="shared" si="6"/>
        <v>1</v>
      </c>
      <c r="D80" t="s">
        <v>74</v>
      </c>
      <c r="E80" s="4" t="s">
        <v>77</v>
      </c>
    </row>
    <row r="81" spans="1:5" x14ac:dyDescent="0.25">
      <c r="A81">
        <v>7.6999998092651367</v>
      </c>
      <c r="B81" t="s">
        <v>1</v>
      </c>
      <c r="C81" t="b">
        <f t="shared" si="6"/>
        <v>1</v>
      </c>
      <c r="D81" t="s">
        <v>74</v>
      </c>
      <c r="E81" s="4" t="s">
        <v>147</v>
      </c>
    </row>
    <row r="82" spans="1:5" x14ac:dyDescent="0.25">
      <c r="A82">
        <v>7.7800002098083496</v>
      </c>
      <c r="B82" t="s">
        <v>3</v>
      </c>
      <c r="C82" t="b">
        <f t="shared" si="6"/>
        <v>1</v>
      </c>
      <c r="D82" t="s">
        <v>74</v>
      </c>
      <c r="E82" s="4" t="s">
        <v>148</v>
      </c>
    </row>
    <row r="83" spans="1:5" x14ac:dyDescent="0.25">
      <c r="A83">
        <v>7.8400001525878906</v>
      </c>
      <c r="B83" t="s">
        <v>2</v>
      </c>
      <c r="C83" t="b">
        <f t="shared" si="6"/>
        <v>1</v>
      </c>
      <c r="D83" t="s">
        <v>71</v>
      </c>
      <c r="E83" s="4" t="s">
        <v>73</v>
      </c>
    </row>
    <row r="84" spans="1:5" x14ac:dyDescent="0.25">
      <c r="A84">
        <v>7.929999828338623</v>
      </c>
      <c r="B84" t="s">
        <v>1</v>
      </c>
      <c r="C84" t="b">
        <f t="shared" si="6"/>
        <v>1</v>
      </c>
      <c r="D84" t="s">
        <v>71</v>
      </c>
      <c r="E84" s="4" t="s">
        <v>149</v>
      </c>
    </row>
    <row r="85" spans="1:5" x14ac:dyDescent="0.25">
      <c r="A85">
        <v>8.0299997329711914</v>
      </c>
      <c r="B85" t="s">
        <v>3</v>
      </c>
      <c r="C85" t="b">
        <f t="shared" si="6"/>
        <v>1</v>
      </c>
      <c r="D85" t="s">
        <v>71</v>
      </c>
      <c r="E85" s="4" t="s">
        <v>150</v>
      </c>
    </row>
    <row r="86" spans="1:5" x14ac:dyDescent="0.25">
      <c r="A86">
        <v>8.1099996566772461</v>
      </c>
      <c r="B86" t="s">
        <v>2</v>
      </c>
      <c r="C86" t="b">
        <f t="shared" si="6"/>
        <v>1</v>
      </c>
      <c r="D86" t="s">
        <v>75</v>
      </c>
      <c r="E86" s="5" t="s">
        <v>76</v>
      </c>
    </row>
    <row r="87" spans="1:5" x14ac:dyDescent="0.25">
      <c r="A87">
        <v>8.1700000762939453</v>
      </c>
      <c r="B87" t="s">
        <v>1</v>
      </c>
      <c r="C87" t="b">
        <f t="shared" si="6"/>
        <v>1</v>
      </c>
      <c r="D87" t="s">
        <v>75</v>
      </c>
      <c r="E87" s="5" t="s">
        <v>151</v>
      </c>
    </row>
    <row r="88" spans="1:5" x14ac:dyDescent="0.25">
      <c r="A88">
        <v>8.2299995422363281</v>
      </c>
      <c r="B88" t="s">
        <v>3</v>
      </c>
      <c r="C88" t="b">
        <f t="shared" si="6"/>
        <v>1</v>
      </c>
      <c r="D88" t="s">
        <v>75</v>
      </c>
      <c r="E88" s="5" t="s">
        <v>152</v>
      </c>
    </row>
    <row r="89" spans="1:5" x14ac:dyDescent="0.25">
      <c r="A89">
        <v>8.3599996566772461</v>
      </c>
      <c r="B89" t="s">
        <v>2</v>
      </c>
      <c r="C89" t="b">
        <f t="shared" ref="C89:C95" si="7">VX_T</f>
        <v>1</v>
      </c>
      <c r="D89" t="s">
        <v>183</v>
      </c>
      <c r="E89" s="5" t="s">
        <v>184</v>
      </c>
    </row>
    <row r="90" spans="1:5" x14ac:dyDescent="0.25">
      <c r="A90">
        <v>8.4300003051757813</v>
      </c>
      <c r="B90" t="s">
        <v>1</v>
      </c>
      <c r="C90" t="b">
        <f t="shared" si="7"/>
        <v>1</v>
      </c>
      <c r="D90" t="s">
        <v>183</v>
      </c>
      <c r="E90" s="5" t="s">
        <v>237</v>
      </c>
    </row>
    <row r="91" spans="1:5" x14ac:dyDescent="0.25">
      <c r="A91">
        <v>8.4899997711181641</v>
      </c>
      <c r="B91" t="s">
        <v>3</v>
      </c>
      <c r="C91" t="b">
        <f t="shared" si="7"/>
        <v>1</v>
      </c>
      <c r="D91" t="s">
        <v>183</v>
      </c>
      <c r="E91" s="5" t="s">
        <v>238</v>
      </c>
    </row>
    <row r="92" spans="1:5" s="23" customFormat="1" x14ac:dyDescent="0.25">
      <c r="A92" s="23">
        <v>8.5500001907348633</v>
      </c>
      <c r="B92" s="23" t="s">
        <v>136</v>
      </c>
      <c r="C92" s="23" t="b">
        <f>IF(VX_T*O_ModelBB4All&gt;0,TRUE(),FALSE())</f>
        <v>1</v>
      </c>
      <c r="D92" s="23" t="s">
        <v>183</v>
      </c>
      <c r="E92" s="4" t="str">
        <f>"DELETE FROM [" &amp; D92 &amp;"] WHERE NOT ((BaseYear=ModelYear AND BaseYear&lt;(SELECT MAX(BaseYear) FROM [" &amp; D92 &amp;"])) OR (BaseYear=(SELECT MAX(BaseYear) FROM [" &amp; D92 &amp;"])));"</f>
        <v>DELETE FROM [Transmission Investments] WHERE NOT ((BaseYear=ModelYear AND BaseYear&lt;(SELECT MAX(BaseYear) FROM [Transmission Investments])) OR (BaseYear=(SELECT MAX(BaseYear) FROM [Transmission Investments])));</v>
      </c>
    </row>
    <row r="93" spans="1:5" x14ac:dyDescent="0.25">
      <c r="A93">
        <v>8.6099996566772461</v>
      </c>
      <c r="B93" t="s">
        <v>2</v>
      </c>
      <c r="C93" t="b">
        <f t="shared" si="7"/>
        <v>1</v>
      </c>
      <c r="D93" t="s">
        <v>185</v>
      </c>
      <c r="E93" s="5" t="s">
        <v>186</v>
      </c>
    </row>
    <row r="94" spans="1:5" x14ac:dyDescent="0.25">
      <c r="A94">
        <v>8.6800003051757813</v>
      </c>
      <c r="B94" t="s">
        <v>1</v>
      </c>
      <c r="C94" t="b">
        <f t="shared" si="7"/>
        <v>1</v>
      </c>
      <c r="D94" t="s">
        <v>185</v>
      </c>
      <c r="E94" s="5" t="s">
        <v>249</v>
      </c>
    </row>
    <row r="95" spans="1:5" x14ac:dyDescent="0.25">
      <c r="A95">
        <v>8.7899999618530273</v>
      </c>
      <c r="B95" t="s">
        <v>3</v>
      </c>
      <c r="C95" t="b">
        <f t="shared" si="7"/>
        <v>1</v>
      </c>
      <c r="D95" t="s">
        <v>185</v>
      </c>
      <c r="E95" s="5" t="s">
        <v>257</v>
      </c>
    </row>
    <row r="96" spans="1:5" s="23" customFormat="1" x14ac:dyDescent="0.25">
      <c r="A96" s="23">
        <v>8.8500003814697266</v>
      </c>
      <c r="B96" s="23" t="s">
        <v>136</v>
      </c>
      <c r="C96" s="23" t="b">
        <f>IF(VX_T*O_ModelBB4All&gt;0,TRUE(),FALSE())</f>
        <v>1</v>
      </c>
      <c r="D96" s="23" t="s">
        <v>185</v>
      </c>
      <c r="E96" s="4" t="str">
        <f>"DELETE FROM [" &amp; D96 &amp;"] WHERE NOT ((BaseYear=ModelYear AND BaseYear&lt;(SELECT MAX(BaseYear) FROM [" &amp; D96 &amp;"])) OR (BaseYear=(SELECT MAX(BaseYear) FROM [" &amp; D96 &amp;"])));"</f>
        <v>DELETE FROM [Transmission Capacity] WHERE NOT ((BaseYear=ModelYear AND BaseYear&lt;(SELECT MAX(BaseYear) FROM [Transmission Capacity])) OR (BaseYear=(SELECT MAX(BaseYear) FROM [Transmission Capacity])));</v>
      </c>
    </row>
    <row r="97" spans="1:5" x14ac:dyDescent="0.25">
      <c r="A97">
        <v>8.9300003051757813</v>
      </c>
      <c r="B97" t="s">
        <v>2</v>
      </c>
      <c r="C97" t="b">
        <f t="shared" ref="C97:C103" si="8">VX_T</f>
        <v>1</v>
      </c>
      <c r="D97" t="s">
        <v>258</v>
      </c>
      <c r="E97" s="4" t="s">
        <v>87</v>
      </c>
    </row>
    <row r="98" spans="1:5" x14ac:dyDescent="0.25">
      <c r="A98">
        <v>8.9799995422363281</v>
      </c>
      <c r="B98" t="s">
        <v>1</v>
      </c>
      <c r="C98" t="b">
        <f t="shared" si="8"/>
        <v>1</v>
      </c>
      <c r="D98" s="23" t="s">
        <v>258</v>
      </c>
      <c r="E98" s="4" t="s">
        <v>172</v>
      </c>
    </row>
    <row r="99" spans="1:5" x14ac:dyDescent="0.25">
      <c r="A99">
        <v>9.0500001907348633</v>
      </c>
      <c r="B99" t="s">
        <v>3</v>
      </c>
      <c r="C99" t="b">
        <f t="shared" si="8"/>
        <v>1</v>
      </c>
      <c r="D99" s="23" t="s">
        <v>258</v>
      </c>
      <c r="E99" s="4" t="s">
        <v>250</v>
      </c>
    </row>
    <row r="100" spans="1:5" s="23" customFormat="1" x14ac:dyDescent="0.25">
      <c r="A100" s="23">
        <v>9.1099996566772461</v>
      </c>
      <c r="B100" s="23" t="s">
        <v>136</v>
      </c>
      <c r="C100" s="23" t="b">
        <f>IF(VX_T*O_ModelBB4All&gt;0,TRUE(),FALSE())</f>
        <v>1</v>
      </c>
      <c r="D100" s="23" t="s">
        <v>258</v>
      </c>
      <c r="E100" s="4" t="str">
        <f>"DELETE FROM [" &amp; D100 &amp;"] WHERE NOT ((BaseYear=ModelYear AND BaseYear&lt;(SELECT MAX(BaseYear) FROM [" &amp; D100 &amp;"])) OR (BaseYear=(SELECT MAX(BaseYear) FROM [" &amp; D100 &amp;"])));"</f>
        <v>DELETE FROM [El Transmission between regions net - Term] WHERE NOT ((BaseYear=ModelYear AND BaseYear&lt;(SELECT MAX(BaseYear) FROM [El Transmission between regions net - Term])) OR (BaseYear=(SELECT MAX(BaseYear) FROM [El Transmission between regions net - Term])));</v>
      </c>
    </row>
    <row r="101" spans="1:5" x14ac:dyDescent="0.25">
      <c r="A101">
        <v>9.2399997711181641</v>
      </c>
      <c r="B101" t="s">
        <v>2</v>
      </c>
      <c r="C101" t="b">
        <f t="shared" si="8"/>
        <v>1</v>
      </c>
      <c r="D101" t="s">
        <v>85</v>
      </c>
      <c r="E101" s="4" t="s">
        <v>86</v>
      </c>
    </row>
    <row r="102" spans="1:5" x14ac:dyDescent="0.25">
      <c r="A102">
        <v>9.3100004196166992</v>
      </c>
      <c r="B102" t="s">
        <v>1</v>
      </c>
      <c r="C102" t="b">
        <f t="shared" si="8"/>
        <v>1</v>
      </c>
      <c r="D102" t="s">
        <v>85</v>
      </c>
      <c r="E102" s="4" t="s">
        <v>231</v>
      </c>
    </row>
    <row r="103" spans="1:5" x14ac:dyDescent="0.25">
      <c r="A103">
        <v>9.380000114440918</v>
      </c>
      <c r="B103" t="s">
        <v>3</v>
      </c>
      <c r="C103" t="b">
        <f t="shared" si="8"/>
        <v>1</v>
      </c>
      <c r="D103" t="s">
        <v>85</v>
      </c>
      <c r="E103" s="4" t="s">
        <v>251</v>
      </c>
    </row>
    <row r="104" spans="1:5" x14ac:dyDescent="0.25">
      <c r="A104">
        <v>9.5</v>
      </c>
      <c r="B104" t="s">
        <v>2</v>
      </c>
      <c r="C104" t="b">
        <f t="shared" ref="C104:C127" si="9">ECON</f>
        <v>1</v>
      </c>
      <c r="D104" t="s">
        <v>223</v>
      </c>
      <c r="E104" s="23" t="s">
        <v>220</v>
      </c>
    </row>
    <row r="105" spans="1:5" x14ac:dyDescent="0.25">
      <c r="A105">
        <v>9.5600004196166992</v>
      </c>
      <c r="B105" t="s">
        <v>1</v>
      </c>
      <c r="C105" t="b">
        <f t="shared" si="9"/>
        <v>1</v>
      </c>
      <c r="D105" t="s">
        <v>223</v>
      </c>
      <c r="E105" s="23" t="s">
        <v>221</v>
      </c>
    </row>
    <row r="106" spans="1:5" x14ac:dyDescent="0.25">
      <c r="A106">
        <v>10.010000228881836</v>
      </c>
      <c r="B106" t="s">
        <v>3</v>
      </c>
      <c r="C106" t="b">
        <f t="shared" si="9"/>
        <v>1</v>
      </c>
      <c r="D106" t="s">
        <v>223</v>
      </c>
      <c r="E106" s="23" t="s">
        <v>222</v>
      </c>
    </row>
    <row r="107" spans="1:5" s="23" customFormat="1" x14ac:dyDescent="0.25">
      <c r="B107" s="23" t="s">
        <v>2</v>
      </c>
      <c r="C107" s="23" t="b">
        <f>VXH_T</f>
        <v>0</v>
      </c>
      <c r="D107" s="23" t="s">
        <v>299</v>
      </c>
      <c r="E107" s="23" t="s">
        <v>300</v>
      </c>
    </row>
    <row r="108" spans="1:5" s="23" customFormat="1" x14ac:dyDescent="0.25">
      <c r="B108" s="23" t="s">
        <v>1</v>
      </c>
      <c r="C108" s="23" t="b">
        <f>VXH_T</f>
        <v>0</v>
      </c>
      <c r="D108" s="23" t="s">
        <v>299</v>
      </c>
      <c r="E108" s="23" t="s">
        <v>301</v>
      </c>
    </row>
    <row r="109" spans="1:5" s="23" customFormat="1" x14ac:dyDescent="0.25">
      <c r="B109" s="23" t="s">
        <v>3</v>
      </c>
      <c r="C109" s="23" t="b">
        <f>VXH_T</f>
        <v>0</v>
      </c>
      <c r="D109" s="23" t="s">
        <v>299</v>
      </c>
      <c r="E109" s="23" t="s">
        <v>302</v>
      </c>
    </row>
    <row r="110" spans="1:5" s="23" customFormat="1" x14ac:dyDescent="0.25">
      <c r="B110" s="23" t="s">
        <v>136</v>
      </c>
      <c r="C110" s="23" t="b">
        <f>IF(VXH_T*O_ModelBB4All&gt;0,TRUE(),FALSE())</f>
        <v>0</v>
      </c>
      <c r="D110" s="23" t="s">
        <v>299</v>
      </c>
      <c r="E110" s="23" t="s">
        <v>303</v>
      </c>
    </row>
    <row r="111" spans="1:5" x14ac:dyDescent="0.25">
      <c r="A111">
        <v>10.140000343322754</v>
      </c>
      <c r="B111" s="23" t="s">
        <v>2</v>
      </c>
      <c r="C111" t="b">
        <f t="shared" si="9"/>
        <v>1</v>
      </c>
      <c r="D111" t="s">
        <v>225</v>
      </c>
      <c r="E111" s="23" t="s">
        <v>224</v>
      </c>
    </row>
    <row r="112" spans="1:5" x14ac:dyDescent="0.25">
      <c r="A112">
        <v>10.210000038146973</v>
      </c>
      <c r="B112" s="23" t="s">
        <v>1</v>
      </c>
      <c r="C112" t="b">
        <f t="shared" si="9"/>
        <v>1</v>
      </c>
      <c r="D112" t="s">
        <v>225</v>
      </c>
      <c r="E112" s="4" t="s">
        <v>334</v>
      </c>
    </row>
    <row r="113" spans="1:5" x14ac:dyDescent="0.25">
      <c r="A113">
        <v>10.270000457763672</v>
      </c>
      <c r="B113" t="s">
        <v>3</v>
      </c>
      <c r="C113" t="b">
        <f t="shared" si="9"/>
        <v>1</v>
      </c>
      <c r="D113" t="s">
        <v>225</v>
      </c>
      <c r="E113" s="4" t="s">
        <v>252</v>
      </c>
    </row>
    <row r="114" spans="1:5" x14ac:dyDescent="0.25">
      <c r="A114">
        <v>10.359999656677246</v>
      </c>
      <c r="B114" t="s">
        <v>3</v>
      </c>
      <c r="C114" t="b">
        <f t="shared" si="9"/>
        <v>1</v>
      </c>
      <c r="D114" t="s">
        <v>225</v>
      </c>
      <c r="E114" s="4" t="s">
        <v>253</v>
      </c>
    </row>
    <row r="115" spans="1:5" x14ac:dyDescent="0.25">
      <c r="A115">
        <v>10.449999809265137</v>
      </c>
      <c r="B115" s="23" t="s">
        <v>3</v>
      </c>
      <c r="C115" s="23" t="b">
        <f t="shared" si="9"/>
        <v>1</v>
      </c>
      <c r="D115" s="23" t="s">
        <v>225</v>
      </c>
      <c r="E115" s="4" t="s">
        <v>335</v>
      </c>
    </row>
    <row r="116" spans="1:5" x14ac:dyDescent="0.25">
      <c r="A116">
        <v>10.560000419616699</v>
      </c>
      <c r="B116" s="23" t="s">
        <v>3</v>
      </c>
      <c r="C116" s="23" t="b">
        <f t="shared" si="9"/>
        <v>1</v>
      </c>
      <c r="D116" s="23" t="s">
        <v>225</v>
      </c>
      <c r="E116" s="4" t="s">
        <v>336</v>
      </c>
    </row>
    <row r="117" spans="1:5" x14ac:dyDescent="0.25">
      <c r="A117">
        <v>10.619999885559082</v>
      </c>
      <c r="B117" s="23" t="s">
        <v>3</v>
      </c>
      <c r="C117" s="23" t="b">
        <f t="shared" si="9"/>
        <v>1</v>
      </c>
      <c r="D117" s="23" t="s">
        <v>225</v>
      </c>
      <c r="E117" s="4" t="s">
        <v>337</v>
      </c>
    </row>
    <row r="118" spans="1:5" x14ac:dyDescent="0.25">
      <c r="A118">
        <v>10.680000305175781</v>
      </c>
      <c r="B118" s="23" t="s">
        <v>3</v>
      </c>
      <c r="C118" s="23" t="b">
        <f t="shared" si="9"/>
        <v>1</v>
      </c>
      <c r="D118" s="23" t="s">
        <v>225</v>
      </c>
      <c r="E118" s="4" t="s">
        <v>338</v>
      </c>
    </row>
    <row r="119" spans="1:5" x14ac:dyDescent="0.25">
      <c r="A119">
        <v>10.770000457763672</v>
      </c>
      <c r="B119" s="23" t="s">
        <v>3</v>
      </c>
      <c r="C119" s="23" t="b">
        <f t="shared" si="9"/>
        <v>1</v>
      </c>
      <c r="D119" s="23" t="s">
        <v>225</v>
      </c>
      <c r="E119" s="4" t="s">
        <v>612</v>
      </c>
    </row>
    <row r="120" spans="1:5" x14ac:dyDescent="0.25">
      <c r="A120">
        <v>11.029999732971191</v>
      </c>
      <c r="B120" s="23" t="s">
        <v>3</v>
      </c>
      <c r="C120" s="23" t="b">
        <f t="shared" si="9"/>
        <v>1</v>
      </c>
      <c r="D120" s="23" t="s">
        <v>225</v>
      </c>
      <c r="E120" s="4" t="s">
        <v>352</v>
      </c>
    </row>
    <row r="121" spans="1:5" x14ac:dyDescent="0.25">
      <c r="A121">
        <v>11.159999847412109</v>
      </c>
      <c r="B121" s="23" t="s">
        <v>3</v>
      </c>
      <c r="C121" s="23" t="b">
        <f t="shared" si="9"/>
        <v>1</v>
      </c>
      <c r="D121" s="23" t="s">
        <v>225</v>
      </c>
      <c r="E121" s="4" t="s">
        <v>353</v>
      </c>
    </row>
    <row r="122" spans="1:5" x14ac:dyDescent="0.25">
      <c r="A122">
        <v>18.950000762939453</v>
      </c>
      <c r="B122" s="23" t="s">
        <v>3</v>
      </c>
      <c r="C122" s="23" t="b">
        <f t="shared" si="9"/>
        <v>1</v>
      </c>
      <c r="D122" s="23" t="s">
        <v>225</v>
      </c>
      <c r="E122" s="4" t="s">
        <v>620</v>
      </c>
    </row>
    <row r="123" spans="1:5" x14ac:dyDescent="0.25">
      <c r="A123">
        <v>34.299999237060547</v>
      </c>
      <c r="B123" s="23" t="s">
        <v>3</v>
      </c>
      <c r="C123" s="23" t="b">
        <f t="shared" si="9"/>
        <v>1</v>
      </c>
      <c r="D123" s="23" t="s">
        <v>225</v>
      </c>
      <c r="E123" s="4" t="s">
        <v>354</v>
      </c>
    </row>
    <row r="124" spans="1:5" s="23" customFormat="1" x14ac:dyDescent="0.25">
      <c r="A124" s="23">
        <v>34.659999847412109</v>
      </c>
      <c r="B124" s="23" t="s">
        <v>3</v>
      </c>
      <c r="C124" s="23" t="b">
        <f t="shared" si="9"/>
        <v>1</v>
      </c>
      <c r="D124" s="23" t="s">
        <v>225</v>
      </c>
      <c r="E124" s="4" t="s">
        <v>255</v>
      </c>
    </row>
    <row r="125" spans="1:5" s="23" customFormat="1" x14ac:dyDescent="0.25">
      <c r="A125" s="23">
        <v>34.75</v>
      </c>
      <c r="B125" s="23" t="s">
        <v>3</v>
      </c>
      <c r="C125" s="23" t="b">
        <f t="shared" si="9"/>
        <v>1</v>
      </c>
      <c r="D125" s="23" t="s">
        <v>225</v>
      </c>
      <c r="E125" s="4" t="s">
        <v>256</v>
      </c>
    </row>
    <row r="126" spans="1:5" s="23" customFormat="1" x14ac:dyDescent="0.25">
      <c r="A126" s="23">
        <v>34.819999694824219</v>
      </c>
      <c r="B126" s="23" t="s">
        <v>3</v>
      </c>
      <c r="C126" s="23" t="b">
        <f t="shared" si="9"/>
        <v>1</v>
      </c>
      <c r="D126" s="23" t="s">
        <v>225</v>
      </c>
      <c r="E126" s="4" t="s">
        <v>355</v>
      </c>
    </row>
    <row r="127" spans="1:5" s="23" customFormat="1" x14ac:dyDescent="0.25">
      <c r="A127" s="23">
        <v>34.889999389648438</v>
      </c>
      <c r="B127" s="23" t="s">
        <v>136</v>
      </c>
      <c r="C127" s="23" t="b">
        <f t="shared" si="9"/>
        <v>1</v>
      </c>
      <c r="D127" s="23" t="s">
        <v>225</v>
      </c>
      <c r="E127" s="4" t="s">
        <v>339</v>
      </c>
    </row>
    <row r="128" spans="1:5" s="23" customFormat="1" x14ac:dyDescent="0.25">
      <c r="E128" s="4"/>
    </row>
    <row r="129" spans="2:8" s="23" customFormat="1" x14ac:dyDescent="0.25">
      <c r="E129" s="4"/>
    </row>
    <row r="130" spans="2:8" s="23" customFormat="1" x14ac:dyDescent="0.25">
      <c r="E130" s="4"/>
    </row>
    <row r="131" spans="2:8" s="23" customFormat="1" x14ac:dyDescent="0.25">
      <c r="E131" s="4"/>
    </row>
    <row r="132" spans="2:8" s="23" customFormat="1" x14ac:dyDescent="0.25">
      <c r="E132" s="4"/>
    </row>
    <row r="133" spans="2:8" x14ac:dyDescent="0.25">
      <c r="E133" s="4"/>
    </row>
    <row r="134" spans="2:8" x14ac:dyDescent="0.25">
      <c r="B134" s="23"/>
      <c r="C134" s="23"/>
      <c r="D134" s="23"/>
      <c r="E134" s="4"/>
      <c r="F134" s="23"/>
      <c r="G134" s="23"/>
      <c r="H134" s="23"/>
    </row>
    <row r="135" spans="2:8" x14ac:dyDescent="0.25">
      <c r="B135" s="23"/>
      <c r="C135" s="23"/>
      <c r="D135" s="23"/>
      <c r="E135" s="4"/>
      <c r="F135" s="23"/>
      <c r="G135" s="23"/>
      <c r="H135" s="23"/>
    </row>
    <row r="136" spans="2:8" x14ac:dyDescent="0.25">
      <c r="B136" s="23"/>
      <c r="C136" s="23"/>
      <c r="D136" s="23"/>
      <c r="E136" s="4"/>
      <c r="F136" s="23"/>
      <c r="G136" s="23"/>
      <c r="H136" s="23"/>
    </row>
    <row r="137" spans="2:8" x14ac:dyDescent="0.25">
      <c r="B137" s="23"/>
      <c r="C137" s="23"/>
      <c r="D137" s="23"/>
      <c r="E137" s="4"/>
      <c r="F137" s="23"/>
      <c r="G137" s="23"/>
      <c r="H137" s="23"/>
    </row>
    <row r="138" spans="2:8" x14ac:dyDescent="0.25">
      <c r="B138" s="23"/>
      <c r="C138" s="23"/>
      <c r="D138" s="23"/>
      <c r="E138" s="4"/>
      <c r="F138" s="23"/>
      <c r="G138" s="23"/>
      <c r="H138" s="23"/>
    </row>
    <row r="139" spans="2:8" x14ac:dyDescent="0.25">
      <c r="B139" s="23"/>
      <c r="C139" s="23"/>
      <c r="D139" s="23"/>
      <c r="E139" s="4"/>
      <c r="F139" s="23"/>
      <c r="G139" s="23"/>
      <c r="H139" s="23"/>
    </row>
    <row r="140" spans="2:8" x14ac:dyDescent="0.25">
      <c r="B140" s="23"/>
      <c r="C140" s="23"/>
      <c r="D140" s="23"/>
      <c r="E140" s="4"/>
      <c r="F140" s="23"/>
      <c r="G140" s="23"/>
      <c r="H140" s="23"/>
    </row>
    <row r="141" spans="2:8" x14ac:dyDescent="0.25">
      <c r="B141" s="23"/>
      <c r="C141" s="23"/>
      <c r="D141" s="23"/>
      <c r="E141" s="4"/>
      <c r="F141" s="23"/>
      <c r="G141" s="23"/>
      <c r="H141" s="23"/>
    </row>
    <row r="142" spans="2:8" x14ac:dyDescent="0.25">
      <c r="B142" s="23"/>
      <c r="C142" s="23"/>
      <c r="D142" s="23"/>
      <c r="E142" s="4"/>
      <c r="F142" s="23"/>
      <c r="G142" s="23"/>
      <c r="H142" s="23"/>
    </row>
    <row r="143" spans="2:8" x14ac:dyDescent="0.25">
      <c r="B143" s="23"/>
      <c r="C143" s="23"/>
      <c r="D143" s="23"/>
      <c r="E143" s="4"/>
      <c r="F143" s="23"/>
      <c r="G143" s="23"/>
      <c r="H143" s="23"/>
    </row>
    <row r="144" spans="2:8" x14ac:dyDescent="0.25">
      <c r="B144" s="23"/>
      <c r="C144" s="23"/>
      <c r="D144" s="23"/>
      <c r="E144" s="4"/>
      <c r="F144" s="23"/>
      <c r="G144" s="23"/>
      <c r="H144" s="23"/>
    </row>
    <row r="145" spans="2:8" x14ac:dyDescent="0.25">
      <c r="B145" s="23"/>
      <c r="C145" s="23"/>
      <c r="D145" s="23"/>
      <c r="E145" s="4"/>
      <c r="F145" s="23"/>
      <c r="G145" s="23"/>
      <c r="H145" s="23"/>
    </row>
    <row r="146" spans="2:8" x14ac:dyDescent="0.25">
      <c r="B146" s="23"/>
      <c r="C146" s="23"/>
      <c r="D146" s="23"/>
      <c r="E146" s="4"/>
      <c r="F146" s="23"/>
      <c r="G146" s="23"/>
      <c r="H146" s="23"/>
    </row>
    <row r="147" spans="2:8" x14ac:dyDescent="0.25">
      <c r="B147" s="23"/>
      <c r="C147" s="23"/>
      <c r="D147" s="23"/>
      <c r="E147" s="4"/>
      <c r="F147" s="23"/>
      <c r="G147" s="23"/>
      <c r="H147" s="23"/>
    </row>
    <row r="148" spans="2:8" x14ac:dyDescent="0.25">
      <c r="B148" s="23"/>
      <c r="C148" s="23"/>
      <c r="D148" s="23"/>
      <c r="E148" s="4"/>
      <c r="F148" s="23"/>
      <c r="G148" s="23"/>
      <c r="H148" s="23"/>
    </row>
    <row r="149" spans="2:8" x14ac:dyDescent="0.25">
      <c r="B149" s="23"/>
      <c r="C149" s="23"/>
      <c r="D149" s="23"/>
      <c r="E149" s="4"/>
      <c r="F149" s="23"/>
      <c r="G149" s="23"/>
      <c r="H149" s="23"/>
    </row>
    <row r="150" spans="2:8" x14ac:dyDescent="0.25">
      <c r="B150" s="23"/>
      <c r="C150" s="23"/>
      <c r="D150" s="23"/>
      <c r="E150" s="23"/>
      <c r="F150" s="23"/>
      <c r="G150" s="23"/>
      <c r="H150" s="23"/>
    </row>
    <row r="151" spans="2:8" x14ac:dyDescent="0.25">
      <c r="B151" s="23"/>
      <c r="C151" s="23"/>
      <c r="D151" s="23"/>
      <c r="E151" s="23"/>
      <c r="F151" s="23"/>
      <c r="G151" s="23"/>
      <c r="H151" s="23"/>
    </row>
    <row r="152" spans="2:8" x14ac:dyDescent="0.25">
      <c r="B152" s="23"/>
      <c r="C152" s="23"/>
      <c r="D152" s="23"/>
      <c r="E152" s="23"/>
      <c r="F152" s="23"/>
      <c r="G152" s="23"/>
      <c r="H152" s="23"/>
    </row>
    <row r="153" spans="2:8" x14ac:dyDescent="0.25">
      <c r="B153" s="23"/>
      <c r="C153" s="23"/>
      <c r="D153" s="23" t="s">
        <v>275</v>
      </c>
      <c r="E153" s="23"/>
      <c r="F153" s="23"/>
      <c r="G153" s="23"/>
      <c r="H153" s="23"/>
    </row>
    <row r="154" spans="2:8" x14ac:dyDescent="0.25">
      <c r="B154" s="23"/>
      <c r="C154" s="23"/>
      <c r="D154" s="4" t="s">
        <v>254</v>
      </c>
      <c r="E154" s="23"/>
      <c r="F154" s="23"/>
      <c r="G154" s="23"/>
      <c r="H154" s="23"/>
    </row>
    <row r="155" spans="2:8" x14ac:dyDescent="0.25">
      <c r="B155" s="23"/>
      <c r="C155" s="23"/>
      <c r="D155" s="23"/>
      <c r="E155" s="23"/>
      <c r="F155" s="23"/>
      <c r="G155" s="23"/>
      <c r="H155" s="23"/>
    </row>
    <row r="156" spans="2:8" x14ac:dyDescent="0.25">
      <c r="B156" s="23"/>
      <c r="C156" s="23"/>
      <c r="D156" s="23"/>
      <c r="E156" s="23"/>
      <c r="F156" s="23"/>
      <c r="G156" s="23"/>
      <c r="H156" s="23"/>
    </row>
    <row r="157" spans="2:8" x14ac:dyDescent="0.25">
      <c r="B157" s="23"/>
      <c r="C157" s="23"/>
      <c r="D157" s="23" t="s">
        <v>191</v>
      </c>
      <c r="E157" s="23"/>
      <c r="F157" s="23"/>
      <c r="G157" s="23"/>
      <c r="H157" s="23"/>
    </row>
    <row r="158" spans="2:8" x14ac:dyDescent="0.25">
      <c r="B158" s="23"/>
      <c r="C158" s="23"/>
      <c r="D158" s="23" t="s">
        <v>192</v>
      </c>
      <c r="E158" s="23"/>
      <c r="F158" s="23"/>
      <c r="G158" s="23"/>
      <c r="H158" s="23"/>
    </row>
    <row r="159" spans="2:8" x14ac:dyDescent="0.25">
      <c r="B159" s="23"/>
      <c r="C159" s="23"/>
      <c r="D159" s="23" t="s">
        <v>195</v>
      </c>
      <c r="E159" s="23"/>
      <c r="F159" s="23"/>
      <c r="G159" s="23"/>
      <c r="H159" s="23"/>
    </row>
  </sheetData>
  <conditionalFormatting sqref="C14:C19 C32:C37 C39:C44 C47:C50 C21:C29 C68:C74 C56:C58 C1:C11 C76:C116">
    <cfRule type="containsText" dxfId="24" priority="44" operator="containsText" text="TRUE">
      <formula>NOT(ISERROR(SEARCH("TRUE",C1)))</formula>
    </cfRule>
  </conditionalFormatting>
  <conditionalFormatting sqref="C46">
    <cfRule type="colorScale" priority="30">
      <colorScale>
        <cfvo type="min"/>
        <cfvo type="percentile" val="50"/>
        <cfvo type="max"/>
        <color rgb="FFF8696B"/>
        <color rgb="FFFCFCFF"/>
        <color rgb="FF63BE7B"/>
      </colorScale>
    </cfRule>
  </conditionalFormatting>
  <conditionalFormatting sqref="C117">
    <cfRule type="containsText" dxfId="23" priority="22" operator="containsText" text="TRUE">
      <formula>NOT(ISERROR(SEARCH("TRUE",C117)))</formula>
    </cfRule>
  </conditionalFormatting>
  <conditionalFormatting sqref="C118">
    <cfRule type="containsText" dxfId="22" priority="21" operator="containsText" text="TRUE">
      <formula>NOT(ISERROR(SEARCH("TRUE",C118)))</formula>
    </cfRule>
  </conditionalFormatting>
  <conditionalFormatting sqref="C119">
    <cfRule type="containsText" dxfId="21" priority="20" operator="containsText" text="TRUE">
      <formula>NOT(ISERROR(SEARCH("TRUE",C119)))</formula>
    </cfRule>
  </conditionalFormatting>
  <conditionalFormatting sqref="C120">
    <cfRule type="containsText" dxfId="20" priority="19" operator="containsText" text="TRUE">
      <formula>NOT(ISERROR(SEARCH("TRUE",C120)))</formula>
    </cfRule>
  </conditionalFormatting>
  <conditionalFormatting sqref="C121">
    <cfRule type="containsText" dxfId="19" priority="18" operator="containsText" text="TRUE">
      <formula>NOT(ISERROR(SEARCH("TRUE",C121)))</formula>
    </cfRule>
  </conditionalFormatting>
  <conditionalFormatting sqref="C122:C123">
    <cfRule type="containsText" dxfId="18" priority="17" operator="containsText" text="TRUE">
      <formula>NOT(ISERROR(SEARCH("TRUE",C122)))</formula>
    </cfRule>
  </conditionalFormatting>
  <conditionalFormatting sqref="C124">
    <cfRule type="containsText" dxfId="17" priority="16" operator="containsText" text="TRUE">
      <formula>NOT(ISERROR(SEARCH("TRUE",C124)))</formula>
    </cfRule>
  </conditionalFormatting>
  <conditionalFormatting sqref="C125">
    <cfRule type="containsText" dxfId="16" priority="15" operator="containsText" text="TRUE">
      <formula>NOT(ISERROR(SEARCH("TRUE",C125)))</formula>
    </cfRule>
  </conditionalFormatting>
  <conditionalFormatting sqref="C20">
    <cfRule type="containsText" dxfId="15" priority="14" operator="containsText" text="TRUE">
      <formula>NOT(ISERROR(SEARCH("TRUE",C20)))</formula>
    </cfRule>
  </conditionalFormatting>
  <conditionalFormatting sqref="C45">
    <cfRule type="containsText" dxfId="14" priority="11" operator="containsText" text="TRUE">
      <formula>NOT(ISERROR(SEARCH("TRUE",C45)))</formula>
    </cfRule>
  </conditionalFormatting>
  <conditionalFormatting sqref="C127">
    <cfRule type="containsText" dxfId="13" priority="10" operator="containsText" text="TRUE">
      <formula>NOT(ISERROR(SEARCH("TRUE",C127)))</formula>
    </cfRule>
  </conditionalFormatting>
  <conditionalFormatting sqref="C126">
    <cfRule type="containsText" dxfId="12" priority="9" operator="containsText" text="TRUE">
      <formula>NOT(ISERROR(SEARCH("TRUE",C126)))</formula>
    </cfRule>
  </conditionalFormatting>
  <conditionalFormatting sqref="C12">
    <cfRule type="containsText" dxfId="11" priority="8" operator="containsText" text="TRUE">
      <formula>NOT(ISERROR(SEARCH("TRUE",C12)))</formula>
    </cfRule>
  </conditionalFormatting>
  <conditionalFormatting sqref="C13">
    <cfRule type="colorScale" priority="56">
      <colorScale>
        <cfvo type="min"/>
        <cfvo type="percentile" val="50"/>
        <cfvo type="max"/>
        <color rgb="FFF8696B"/>
        <color rgb="FFFCFCFF"/>
        <color rgb="FF63BE7B"/>
      </colorScale>
    </cfRule>
  </conditionalFormatting>
  <conditionalFormatting sqref="C30:C31">
    <cfRule type="colorScale" priority="57">
      <colorScale>
        <cfvo type="min"/>
        <cfvo type="percentile" val="50"/>
        <cfvo type="max"/>
        <color rgb="FFF8696B"/>
        <color rgb="FFFCFCFF"/>
        <color rgb="FF63BE7B"/>
      </colorScale>
    </cfRule>
  </conditionalFormatting>
  <conditionalFormatting sqref="C38">
    <cfRule type="containsText" dxfId="10" priority="6" operator="containsText" text="TRUE">
      <formula>NOT(ISERROR(SEARCH("TRUE",C38)))</formula>
    </cfRule>
  </conditionalFormatting>
  <conditionalFormatting sqref="C51:C55">
    <cfRule type="containsText" dxfId="9" priority="60" operator="containsText" text="TRUE">
      <formula>NOT(ISERROR(SEARCH("TRUE",C51)))</formula>
    </cfRule>
    <cfRule type="colorScale" priority="61">
      <colorScale>
        <cfvo type="min"/>
        <cfvo type="percentile" val="50"/>
        <cfvo type="max"/>
        <color rgb="FFF8696B"/>
        <color rgb="FFFCFCFF"/>
        <color rgb="FF63BE7B"/>
      </colorScale>
    </cfRule>
  </conditionalFormatting>
  <conditionalFormatting sqref="C59:C62 C65:C67">
    <cfRule type="containsText" dxfId="8" priority="62" operator="containsText" text="TRUE">
      <formula>NOT(ISERROR(SEARCH("TRUE",C59)))</formula>
    </cfRule>
    <cfRule type="colorScale" priority="63">
      <colorScale>
        <cfvo type="min"/>
        <cfvo type="percentile" val="50"/>
        <cfvo type="max"/>
        <color rgb="FFF8696B"/>
        <color rgb="FFFCFCFF"/>
        <color rgb="FF63BE7B"/>
      </colorScale>
    </cfRule>
  </conditionalFormatting>
  <conditionalFormatting sqref="C75">
    <cfRule type="containsText" dxfId="7" priority="5" operator="containsText" text="TRUE">
      <formula>NOT(ISERROR(SEARCH("TRUE",C75)))</formula>
    </cfRule>
  </conditionalFormatting>
  <conditionalFormatting sqref="C64">
    <cfRule type="containsText" dxfId="6" priority="3" operator="containsText" text="TRUE">
      <formula>NOT(ISERROR(SEARCH("TRUE",C64)))</formula>
    </cfRule>
    <cfRule type="colorScale" priority="4">
      <colorScale>
        <cfvo type="min"/>
        <cfvo type="percentile" val="50"/>
        <cfvo type="max"/>
        <color rgb="FFF8696B"/>
        <color rgb="FFFCFCFF"/>
        <color rgb="FF63BE7B"/>
      </colorScale>
    </cfRule>
  </conditionalFormatting>
  <conditionalFormatting sqref="C63">
    <cfRule type="containsText" dxfId="5" priority="1" operator="containsText" text="TRUE">
      <formula>NOT(ISERROR(SEARCH("TRUE",C63)))</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40" operator="containsText" text="TRUE" id="{49790E47-265C-4B12-A427-32C13585EFDD}">
            <xm:f>NOT(ISERROR(SEARCH("TRUE",Queries_BB3!C49)))</xm:f>
            <x14:dxf>
              <font>
                <color rgb="FF006100"/>
              </font>
              <fill>
                <patternFill>
                  <bgColor rgb="FFC6EFCE"/>
                </patternFill>
              </fill>
            </x14:dxf>
          </x14:cfRule>
          <xm:sqref>C46</xm:sqref>
        </x14:conditionalFormatting>
        <x14:conditionalFormatting xmlns:xm="http://schemas.microsoft.com/office/excel/2006/main">
          <x14:cfRule type="containsText" priority="47" operator="containsText" text="TRUE" id="{49790E47-265C-4B12-A427-32C13585EFDD}">
            <xm:f>NOT(ISERROR(SEARCH("TRUE",Queries_BB3!C9)))</xm:f>
            <x14:dxf>
              <font>
                <color rgb="FF006100"/>
              </font>
              <fill>
                <patternFill>
                  <bgColor rgb="FFC6EFCE"/>
                </patternFill>
              </fill>
            </x14:dxf>
          </x14:cfRule>
          <xm:sqref>C13</xm:sqref>
        </x14:conditionalFormatting>
        <x14:conditionalFormatting xmlns:xm="http://schemas.microsoft.com/office/excel/2006/main">
          <x14:cfRule type="containsText" priority="59" operator="containsText" text="TRUE" id="{49790E47-265C-4B12-A427-32C13585EFDD}">
            <xm:f>NOT(ISERROR(SEARCH("TRUE",Queries_BB3!C25)))</xm:f>
            <x14:dxf>
              <font>
                <color rgb="FF006100"/>
              </font>
              <fill>
                <patternFill>
                  <bgColor rgb="FFC6EFCE"/>
                </patternFill>
              </fill>
            </x14:dxf>
          </x14:cfRule>
          <xm:sqref>C30:C31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I318"/>
  <sheetViews>
    <sheetView zoomScale="85" zoomScaleNormal="85" workbookViewId="0">
      <selection activeCell="G32" sqref="G32"/>
    </sheetView>
  </sheetViews>
  <sheetFormatPr defaultRowHeight="15" x14ac:dyDescent="0.25"/>
  <cols>
    <col min="2" max="2" width="25.7109375" customWidth="1"/>
    <col min="3" max="4" width="12.28515625" customWidth="1"/>
    <col min="5" max="5" width="22" bestFit="1" customWidth="1"/>
    <col min="6" max="7" width="12.28515625" customWidth="1"/>
    <col min="8" max="31" width="12.28515625" bestFit="1" customWidth="1"/>
    <col min="32"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9" x14ac:dyDescent="0.25">
      <c r="B2" s="1" t="s">
        <v>11</v>
      </c>
      <c r="C2" s="23" t="s">
        <v>138</v>
      </c>
    </row>
    <row r="4" spans="2:9" x14ac:dyDescent="0.25">
      <c r="B4" s="1" t="s">
        <v>81</v>
      </c>
      <c r="C4" s="1" t="s">
        <v>217</v>
      </c>
      <c r="D4" s="1" t="s">
        <v>60</v>
      </c>
    </row>
    <row r="5" spans="2:9" x14ac:dyDescent="0.25">
      <c r="C5" s="23" t="s">
        <v>640</v>
      </c>
      <c r="D5" s="23" t="s">
        <v>0</v>
      </c>
    </row>
    <row r="6" spans="2:9" x14ac:dyDescent="0.25">
      <c r="B6" s="1" t="s">
        <v>272</v>
      </c>
      <c r="C6" s="23" t="s">
        <v>199</v>
      </c>
    </row>
    <row r="7" spans="2:9" x14ac:dyDescent="0.25">
      <c r="B7" s="23" t="s">
        <v>269</v>
      </c>
      <c r="C7" s="3">
        <v>46.980703044894554</v>
      </c>
      <c r="D7" s="3">
        <v>46.980703044894554</v>
      </c>
      <c r="I7" s="3"/>
    </row>
    <row r="8" spans="2:9" x14ac:dyDescent="0.25">
      <c r="B8" s="23" t="s">
        <v>0</v>
      </c>
      <c r="C8" s="3">
        <v>46.980703044894554</v>
      </c>
      <c r="D8" s="3">
        <v>46.980703044894554</v>
      </c>
      <c r="I8" s="3"/>
    </row>
    <row r="9" spans="2:9" x14ac:dyDescent="0.25">
      <c r="I9" s="3"/>
    </row>
    <row r="10" spans="2:9" x14ac:dyDescent="0.25">
      <c r="I10" s="3"/>
    </row>
    <row r="11" spans="2:9" x14ac:dyDescent="0.25">
      <c r="I11" s="3"/>
    </row>
    <row r="12" spans="2:9" x14ac:dyDescent="0.25">
      <c r="I12" s="3"/>
    </row>
    <row r="13" spans="2:9" x14ac:dyDescent="0.25">
      <c r="I13" s="3"/>
    </row>
    <row r="14" spans="2:9" x14ac:dyDescent="0.25">
      <c r="I14" s="3"/>
    </row>
    <row r="15" spans="2:9" x14ac:dyDescent="0.25">
      <c r="I15" s="3"/>
    </row>
    <row r="16" spans="2:9" x14ac:dyDescent="0.25">
      <c r="I16" s="3"/>
    </row>
    <row r="17" spans="9:9" x14ac:dyDescent="0.25">
      <c r="I17" s="3"/>
    </row>
    <row r="18" spans="9:9" x14ac:dyDescent="0.25">
      <c r="I18" s="3"/>
    </row>
    <row r="19" spans="9:9" x14ac:dyDescent="0.25">
      <c r="I19" s="3"/>
    </row>
    <row r="20" spans="9:9" x14ac:dyDescent="0.25">
      <c r="I20" s="3"/>
    </row>
    <row r="21" spans="9:9" x14ac:dyDescent="0.25">
      <c r="I21" s="3"/>
    </row>
    <row r="22" spans="9:9" x14ac:dyDescent="0.25">
      <c r="I22" s="3"/>
    </row>
    <row r="23" spans="9:9" x14ac:dyDescent="0.25">
      <c r="I23" s="3"/>
    </row>
    <row r="24" spans="9:9" x14ac:dyDescent="0.25">
      <c r="I24" s="3"/>
    </row>
    <row r="25" spans="9:9" x14ac:dyDescent="0.25">
      <c r="I25" s="3"/>
    </row>
    <row r="26" spans="9:9" x14ac:dyDescent="0.25">
      <c r="I26" s="3"/>
    </row>
    <row r="27" spans="9:9" x14ac:dyDescent="0.25">
      <c r="I27" s="3"/>
    </row>
    <row r="28" spans="9:9" x14ac:dyDescent="0.25">
      <c r="I28" s="3"/>
    </row>
    <row r="29" spans="9:9" x14ac:dyDescent="0.25">
      <c r="I29" s="3"/>
    </row>
    <row r="30" spans="9:9" x14ac:dyDescent="0.25">
      <c r="I30" s="3"/>
    </row>
    <row r="31" spans="9:9" x14ac:dyDescent="0.25">
      <c r="I31" s="3"/>
    </row>
    <row r="32" spans="9:9" x14ac:dyDescent="0.25">
      <c r="I32" s="3"/>
    </row>
    <row r="33" spans="9:9" x14ac:dyDescent="0.25">
      <c r="I33" s="3"/>
    </row>
    <row r="34" spans="9:9" x14ac:dyDescent="0.25">
      <c r="I34" s="3"/>
    </row>
    <row r="35" spans="9:9" x14ac:dyDescent="0.25">
      <c r="I35" s="3"/>
    </row>
    <row r="36" spans="9:9" x14ac:dyDescent="0.25">
      <c r="I36" s="3"/>
    </row>
    <row r="37" spans="9:9" x14ac:dyDescent="0.25">
      <c r="I37" s="3"/>
    </row>
    <row r="38" spans="9:9" x14ac:dyDescent="0.25">
      <c r="I38" s="3"/>
    </row>
    <row r="39" spans="9:9" x14ac:dyDescent="0.25">
      <c r="I39" s="3"/>
    </row>
    <row r="40" spans="9:9" x14ac:dyDescent="0.25">
      <c r="I40" s="3"/>
    </row>
    <row r="41" spans="9:9" x14ac:dyDescent="0.25">
      <c r="I41" s="3"/>
    </row>
    <row r="42" spans="9:9" x14ac:dyDescent="0.25">
      <c r="I42" s="3"/>
    </row>
    <row r="43" spans="9:9" x14ac:dyDescent="0.25">
      <c r="I43" s="3"/>
    </row>
    <row r="44" spans="9:9" x14ac:dyDescent="0.25">
      <c r="I44" s="3"/>
    </row>
    <row r="45" spans="9:9" x14ac:dyDescent="0.25">
      <c r="I45" s="3"/>
    </row>
    <row r="46" spans="9:9" x14ac:dyDescent="0.25">
      <c r="I46" s="3"/>
    </row>
    <row r="47" spans="9:9" x14ac:dyDescent="0.25">
      <c r="I47" s="3"/>
    </row>
    <row r="48" spans="9:9" x14ac:dyDescent="0.25">
      <c r="I48" s="3"/>
    </row>
    <row r="49" spans="9:9" x14ac:dyDescent="0.25">
      <c r="I49" s="3"/>
    </row>
    <row r="50" spans="9:9" x14ac:dyDescent="0.25">
      <c r="I50" s="3"/>
    </row>
    <row r="51" spans="9:9" x14ac:dyDescent="0.25">
      <c r="I51" s="3"/>
    </row>
    <row r="52" spans="9:9" x14ac:dyDescent="0.25">
      <c r="I52" s="3"/>
    </row>
    <row r="53" spans="9:9" x14ac:dyDescent="0.25">
      <c r="I53" s="3"/>
    </row>
    <row r="54" spans="9:9" x14ac:dyDescent="0.25">
      <c r="I54" s="3"/>
    </row>
    <row r="55" spans="9:9" x14ac:dyDescent="0.25">
      <c r="I55" s="3"/>
    </row>
    <row r="56" spans="9:9" x14ac:dyDescent="0.25">
      <c r="I56" s="3"/>
    </row>
    <row r="57" spans="9:9" x14ac:dyDescent="0.25">
      <c r="I57" s="3"/>
    </row>
    <row r="58" spans="9:9" x14ac:dyDescent="0.25">
      <c r="I58" s="3"/>
    </row>
    <row r="59" spans="9:9" x14ac:dyDescent="0.25">
      <c r="I59" s="3"/>
    </row>
    <row r="60" spans="9:9" x14ac:dyDescent="0.25">
      <c r="I60" s="3"/>
    </row>
    <row r="61" spans="9:9" x14ac:dyDescent="0.25">
      <c r="I61" s="3"/>
    </row>
    <row r="62" spans="9:9" x14ac:dyDescent="0.25">
      <c r="I62" s="3"/>
    </row>
    <row r="63" spans="9:9" x14ac:dyDescent="0.25">
      <c r="I63" s="3"/>
    </row>
    <row r="64" spans="9:9" x14ac:dyDescent="0.25">
      <c r="I64" s="3"/>
    </row>
    <row r="65" spans="9:9" x14ac:dyDescent="0.25">
      <c r="I65" s="3"/>
    </row>
    <row r="66" spans="9:9" x14ac:dyDescent="0.25">
      <c r="I66" s="3"/>
    </row>
    <row r="67" spans="9:9" x14ac:dyDescent="0.25">
      <c r="I67" s="3"/>
    </row>
    <row r="68" spans="9:9" x14ac:dyDescent="0.25">
      <c r="I68" s="3"/>
    </row>
    <row r="69" spans="9:9" x14ac:dyDescent="0.25">
      <c r="I69" s="3"/>
    </row>
    <row r="70" spans="9:9" x14ac:dyDescent="0.25">
      <c r="I70" s="3"/>
    </row>
    <row r="71" spans="9:9" x14ac:dyDescent="0.25">
      <c r="I71" s="3"/>
    </row>
    <row r="72" spans="9:9" x14ac:dyDescent="0.25">
      <c r="I72" s="3"/>
    </row>
    <row r="73" spans="9:9" x14ac:dyDescent="0.25">
      <c r="I73" s="3"/>
    </row>
    <row r="74" spans="9:9" x14ac:dyDescent="0.25">
      <c r="I74" s="3"/>
    </row>
    <row r="75" spans="9:9" x14ac:dyDescent="0.25">
      <c r="I75" s="3"/>
    </row>
    <row r="76" spans="9:9" x14ac:dyDescent="0.25">
      <c r="I76" s="3"/>
    </row>
    <row r="77" spans="9:9" x14ac:dyDescent="0.25">
      <c r="I77" s="3"/>
    </row>
    <row r="78" spans="9:9" x14ac:dyDescent="0.25">
      <c r="I78" s="3"/>
    </row>
    <row r="79" spans="9:9" x14ac:dyDescent="0.25">
      <c r="I79" s="3"/>
    </row>
    <row r="80" spans="9:9" x14ac:dyDescent="0.25">
      <c r="I80" s="3"/>
    </row>
    <row r="81" spans="9:9" x14ac:dyDescent="0.25">
      <c r="I81" s="3"/>
    </row>
    <row r="82" spans="9:9" x14ac:dyDescent="0.25">
      <c r="I82" s="3"/>
    </row>
    <row r="83" spans="9:9" x14ac:dyDescent="0.25">
      <c r="I83" s="3"/>
    </row>
    <row r="84" spans="9:9" x14ac:dyDescent="0.25">
      <c r="I84" s="3"/>
    </row>
    <row r="85" spans="9:9" x14ac:dyDescent="0.25">
      <c r="I85" s="3"/>
    </row>
    <row r="86" spans="9:9" x14ac:dyDescent="0.25">
      <c r="I86" s="3"/>
    </row>
    <row r="87" spans="9:9" x14ac:dyDescent="0.25">
      <c r="I87" s="3"/>
    </row>
    <row r="88" spans="9:9" x14ac:dyDescent="0.25">
      <c r="I88" s="3"/>
    </row>
    <row r="89" spans="9:9" x14ac:dyDescent="0.25">
      <c r="I89" s="3"/>
    </row>
    <row r="90" spans="9:9" x14ac:dyDescent="0.25">
      <c r="I90" s="3"/>
    </row>
    <row r="91" spans="9:9" x14ac:dyDescent="0.25">
      <c r="I91" s="3"/>
    </row>
    <row r="92" spans="9:9" x14ac:dyDescent="0.25">
      <c r="I92" s="3"/>
    </row>
    <row r="93" spans="9:9" x14ac:dyDescent="0.25">
      <c r="I93" s="3"/>
    </row>
    <row r="94" spans="9:9" x14ac:dyDescent="0.25">
      <c r="I94" s="3"/>
    </row>
    <row r="95" spans="9:9" x14ac:dyDescent="0.25">
      <c r="I95" s="3"/>
    </row>
    <row r="96" spans="9:9" x14ac:dyDescent="0.25">
      <c r="I96" s="3"/>
    </row>
    <row r="97" spans="9:9" x14ac:dyDescent="0.25">
      <c r="I97" s="3"/>
    </row>
    <row r="98" spans="9:9" x14ac:dyDescent="0.25">
      <c r="I98" s="3"/>
    </row>
    <row r="99" spans="9:9" x14ac:dyDescent="0.25">
      <c r="I99" s="3"/>
    </row>
    <row r="100" spans="9:9" x14ac:dyDescent="0.25">
      <c r="I100" s="3"/>
    </row>
    <row r="101" spans="9:9" x14ac:dyDescent="0.25">
      <c r="I101" s="3"/>
    </row>
    <row r="102" spans="9:9" x14ac:dyDescent="0.25">
      <c r="I102" s="3"/>
    </row>
    <row r="103" spans="9:9" x14ac:dyDescent="0.25">
      <c r="I103" s="3"/>
    </row>
    <row r="104" spans="9:9" x14ac:dyDescent="0.25">
      <c r="I104" s="3"/>
    </row>
    <row r="105" spans="9:9" x14ac:dyDescent="0.25">
      <c r="I105" s="3"/>
    </row>
    <row r="106" spans="9:9" x14ac:dyDescent="0.25">
      <c r="I106" s="3"/>
    </row>
    <row r="107" spans="9:9" x14ac:dyDescent="0.25">
      <c r="I107" s="3"/>
    </row>
    <row r="108" spans="9:9" x14ac:dyDescent="0.25">
      <c r="I108" s="3"/>
    </row>
    <row r="109" spans="9:9" x14ac:dyDescent="0.25">
      <c r="I109" s="3"/>
    </row>
    <row r="110" spans="9:9" x14ac:dyDescent="0.25">
      <c r="I110" s="3"/>
    </row>
    <row r="111" spans="9:9" x14ac:dyDescent="0.25">
      <c r="I111" s="3"/>
    </row>
    <row r="112" spans="9:9" x14ac:dyDescent="0.25">
      <c r="I112" s="3"/>
    </row>
    <row r="113" spans="9:9" x14ac:dyDescent="0.25">
      <c r="I113" s="3"/>
    </row>
    <row r="114" spans="9:9" x14ac:dyDescent="0.25">
      <c r="I114" s="3"/>
    </row>
    <row r="115" spans="9:9" x14ac:dyDescent="0.25">
      <c r="I115" s="3"/>
    </row>
    <row r="116" spans="9:9" x14ac:dyDescent="0.25">
      <c r="I116" s="3"/>
    </row>
    <row r="117" spans="9:9" x14ac:dyDescent="0.25">
      <c r="I117" s="3"/>
    </row>
    <row r="118" spans="9:9" x14ac:dyDescent="0.25">
      <c r="I118" s="3"/>
    </row>
    <row r="119" spans="9:9" x14ac:dyDescent="0.25">
      <c r="I119" s="3"/>
    </row>
    <row r="120" spans="9:9" x14ac:dyDescent="0.25">
      <c r="I120" s="3"/>
    </row>
    <row r="121" spans="9:9" x14ac:dyDescent="0.25">
      <c r="I121" s="3"/>
    </row>
    <row r="122" spans="9:9" x14ac:dyDescent="0.25">
      <c r="I122" s="3"/>
    </row>
    <row r="123" spans="9:9" x14ac:dyDescent="0.25">
      <c r="I123" s="3"/>
    </row>
    <row r="124" spans="9:9" x14ac:dyDescent="0.25">
      <c r="I124" s="3"/>
    </row>
    <row r="125" spans="9:9" x14ac:dyDescent="0.25">
      <c r="I125" s="3"/>
    </row>
    <row r="126" spans="9:9" x14ac:dyDescent="0.25">
      <c r="I126" s="3"/>
    </row>
    <row r="127" spans="9:9" x14ac:dyDescent="0.25">
      <c r="I127" s="3"/>
    </row>
    <row r="128" spans="9:9" x14ac:dyDescent="0.25">
      <c r="I128" s="3"/>
    </row>
    <row r="129" spans="9:9" x14ac:dyDescent="0.25">
      <c r="I129" s="3"/>
    </row>
    <row r="130" spans="9:9" x14ac:dyDescent="0.25">
      <c r="I130" s="3"/>
    </row>
    <row r="131" spans="9:9" x14ac:dyDescent="0.25">
      <c r="I131" s="3"/>
    </row>
    <row r="132" spans="9:9" x14ac:dyDescent="0.25">
      <c r="I132" s="3"/>
    </row>
    <row r="133" spans="9:9" x14ac:dyDescent="0.25">
      <c r="I133" s="3"/>
    </row>
    <row r="134" spans="9:9" x14ac:dyDescent="0.25">
      <c r="I134" s="3"/>
    </row>
    <row r="135" spans="9:9" x14ac:dyDescent="0.25">
      <c r="I135" s="3"/>
    </row>
    <row r="136" spans="9:9" x14ac:dyDescent="0.25">
      <c r="I136" s="3"/>
    </row>
    <row r="137" spans="9:9" x14ac:dyDescent="0.25">
      <c r="I137" s="3"/>
    </row>
    <row r="138" spans="9:9" x14ac:dyDescent="0.25">
      <c r="I138" s="3"/>
    </row>
    <row r="139" spans="9:9" x14ac:dyDescent="0.25">
      <c r="I139" s="3"/>
    </row>
    <row r="140" spans="9:9" x14ac:dyDescent="0.25">
      <c r="I140" s="3"/>
    </row>
    <row r="141" spans="9:9" x14ac:dyDescent="0.25">
      <c r="I141" s="3"/>
    </row>
    <row r="142" spans="9:9" x14ac:dyDescent="0.25">
      <c r="I142" s="3"/>
    </row>
    <row r="143" spans="9:9" x14ac:dyDescent="0.25">
      <c r="I143" s="3"/>
    </row>
    <row r="144" spans="9:9" x14ac:dyDescent="0.25">
      <c r="I144" s="3"/>
    </row>
    <row r="145" spans="9:9" x14ac:dyDescent="0.25">
      <c r="I145" s="3"/>
    </row>
    <row r="146" spans="9:9" x14ac:dyDescent="0.25">
      <c r="I146" s="3"/>
    </row>
    <row r="147" spans="9:9" x14ac:dyDescent="0.25">
      <c r="I147" s="3"/>
    </row>
    <row r="148" spans="9:9" x14ac:dyDescent="0.25">
      <c r="I148" s="3"/>
    </row>
    <row r="149" spans="9:9" x14ac:dyDescent="0.25">
      <c r="I149" s="3"/>
    </row>
    <row r="150" spans="9:9" x14ac:dyDescent="0.25">
      <c r="I150" s="3"/>
    </row>
    <row r="151" spans="9:9" x14ac:dyDescent="0.25">
      <c r="I151" s="3"/>
    </row>
    <row r="152" spans="9:9" x14ac:dyDescent="0.25">
      <c r="I152" s="3"/>
    </row>
    <row r="153" spans="9:9" x14ac:dyDescent="0.25">
      <c r="I153" s="3"/>
    </row>
    <row r="154" spans="9:9" x14ac:dyDescent="0.25">
      <c r="I154" s="3"/>
    </row>
    <row r="155" spans="9:9" x14ac:dyDescent="0.25">
      <c r="I155" s="3"/>
    </row>
    <row r="156" spans="9:9" x14ac:dyDescent="0.25">
      <c r="I156" s="3"/>
    </row>
    <row r="157" spans="9:9" x14ac:dyDescent="0.25">
      <c r="I157" s="3"/>
    </row>
    <row r="158" spans="9:9" x14ac:dyDescent="0.25">
      <c r="I158" s="3"/>
    </row>
    <row r="159" spans="9:9" x14ac:dyDescent="0.25">
      <c r="I159" s="3"/>
    </row>
    <row r="160" spans="9:9" x14ac:dyDescent="0.25">
      <c r="I160" s="3"/>
    </row>
    <row r="161" spans="9:9" x14ac:dyDescent="0.25">
      <c r="I161" s="3"/>
    </row>
    <row r="162" spans="9:9" x14ac:dyDescent="0.25">
      <c r="I162" s="3"/>
    </row>
    <row r="163" spans="9:9" x14ac:dyDescent="0.25">
      <c r="I163" s="3"/>
    </row>
    <row r="164" spans="9:9" x14ac:dyDescent="0.25">
      <c r="I164" s="3"/>
    </row>
    <row r="165" spans="9:9" x14ac:dyDescent="0.25">
      <c r="I165" s="3"/>
    </row>
    <row r="166" spans="9:9" x14ac:dyDescent="0.25">
      <c r="I166" s="3"/>
    </row>
    <row r="167" spans="9:9" x14ac:dyDescent="0.25">
      <c r="I167" s="3"/>
    </row>
    <row r="168" spans="9:9" x14ac:dyDescent="0.25">
      <c r="I168" s="3"/>
    </row>
    <row r="169" spans="9:9" x14ac:dyDescent="0.25">
      <c r="I169" s="3"/>
    </row>
    <row r="170" spans="9:9" x14ac:dyDescent="0.25">
      <c r="I170" s="3"/>
    </row>
    <row r="171" spans="9:9" x14ac:dyDescent="0.25">
      <c r="I171" s="3"/>
    </row>
    <row r="172" spans="9:9" x14ac:dyDescent="0.25">
      <c r="I172" s="3"/>
    </row>
    <row r="173" spans="9:9" x14ac:dyDescent="0.25">
      <c r="I173" s="3"/>
    </row>
    <row r="174" spans="9:9" x14ac:dyDescent="0.25">
      <c r="I174" s="3"/>
    </row>
    <row r="175" spans="9:9" x14ac:dyDescent="0.25">
      <c r="I175" s="3"/>
    </row>
    <row r="176" spans="9:9" x14ac:dyDescent="0.25">
      <c r="I176" s="3"/>
    </row>
    <row r="177" spans="9:9" x14ac:dyDescent="0.25">
      <c r="I177" s="3"/>
    </row>
    <row r="178" spans="9:9" x14ac:dyDescent="0.25">
      <c r="I178" s="3"/>
    </row>
    <row r="179" spans="9:9" x14ac:dyDescent="0.25">
      <c r="I179" s="3"/>
    </row>
    <row r="180" spans="9:9" x14ac:dyDescent="0.25">
      <c r="I180" s="3"/>
    </row>
    <row r="181" spans="9:9" x14ac:dyDescent="0.25">
      <c r="I181" s="3"/>
    </row>
    <row r="182" spans="9:9" x14ac:dyDescent="0.25">
      <c r="I182" s="3"/>
    </row>
    <row r="183" spans="9:9" x14ac:dyDescent="0.25">
      <c r="I183" s="3"/>
    </row>
    <row r="184" spans="9:9" x14ac:dyDescent="0.25">
      <c r="I184" s="3"/>
    </row>
    <row r="185" spans="9:9" x14ac:dyDescent="0.25">
      <c r="I185" s="3"/>
    </row>
    <row r="186" spans="9:9" x14ac:dyDescent="0.25">
      <c r="I186" s="3"/>
    </row>
    <row r="187" spans="9:9" x14ac:dyDescent="0.25">
      <c r="I187" s="3"/>
    </row>
    <row r="188" spans="9:9" x14ac:dyDescent="0.25">
      <c r="I188" s="3"/>
    </row>
    <row r="189" spans="9:9" x14ac:dyDescent="0.25">
      <c r="I189" s="3"/>
    </row>
    <row r="190" spans="9:9" x14ac:dyDescent="0.25">
      <c r="I190" s="3"/>
    </row>
    <row r="191" spans="9:9" x14ac:dyDescent="0.25">
      <c r="I191" s="3"/>
    </row>
    <row r="192" spans="9:9" x14ac:dyDescent="0.25">
      <c r="I192" s="3"/>
    </row>
    <row r="193" spans="9:9" x14ac:dyDescent="0.25">
      <c r="I193" s="3"/>
    </row>
    <row r="194" spans="9:9" x14ac:dyDescent="0.25">
      <c r="I194" s="3"/>
    </row>
    <row r="195" spans="9:9" x14ac:dyDescent="0.25">
      <c r="I195" s="3"/>
    </row>
    <row r="196" spans="9:9" x14ac:dyDescent="0.25">
      <c r="I196" s="3"/>
    </row>
    <row r="197" spans="9:9" x14ac:dyDescent="0.25">
      <c r="I197" s="3"/>
    </row>
    <row r="198" spans="9:9" x14ac:dyDescent="0.25">
      <c r="I198" s="3"/>
    </row>
    <row r="199" spans="9:9" x14ac:dyDescent="0.25">
      <c r="I199" s="3"/>
    </row>
    <row r="200" spans="9:9" x14ac:dyDescent="0.25">
      <c r="I200" s="3"/>
    </row>
    <row r="201" spans="9:9" x14ac:dyDescent="0.25">
      <c r="I201" s="3"/>
    </row>
    <row r="202" spans="9:9" x14ac:dyDescent="0.25">
      <c r="I202" s="3"/>
    </row>
    <row r="203" spans="9:9" x14ac:dyDescent="0.25">
      <c r="I203" s="3"/>
    </row>
    <row r="204" spans="9:9" x14ac:dyDescent="0.25">
      <c r="I204" s="3"/>
    </row>
    <row r="205" spans="9:9" x14ac:dyDescent="0.25">
      <c r="I205" s="3"/>
    </row>
    <row r="206" spans="9:9" x14ac:dyDescent="0.25">
      <c r="I206" s="3"/>
    </row>
    <row r="207" spans="9:9" x14ac:dyDescent="0.25">
      <c r="I207" s="3"/>
    </row>
    <row r="208" spans="9:9" x14ac:dyDescent="0.25">
      <c r="I208" s="3"/>
    </row>
    <row r="209" spans="9:9" x14ac:dyDescent="0.25">
      <c r="I209" s="3"/>
    </row>
    <row r="210" spans="9:9" x14ac:dyDescent="0.25">
      <c r="I210" s="3"/>
    </row>
    <row r="211" spans="9:9" x14ac:dyDescent="0.25">
      <c r="I211" s="3"/>
    </row>
    <row r="212" spans="9:9" x14ac:dyDescent="0.25">
      <c r="I212" s="3"/>
    </row>
    <row r="213" spans="9:9" x14ac:dyDescent="0.25">
      <c r="I213" s="3"/>
    </row>
    <row r="214" spans="9:9" x14ac:dyDescent="0.25">
      <c r="I214" s="3"/>
    </row>
    <row r="215" spans="9:9" x14ac:dyDescent="0.25">
      <c r="I215" s="3"/>
    </row>
    <row r="216" spans="9:9" x14ac:dyDescent="0.25">
      <c r="I216" s="3"/>
    </row>
    <row r="217" spans="9:9" x14ac:dyDescent="0.25">
      <c r="I217" s="3"/>
    </row>
    <row r="218" spans="9:9" x14ac:dyDescent="0.25">
      <c r="I218" s="3"/>
    </row>
    <row r="219" spans="9:9" x14ac:dyDescent="0.25">
      <c r="I219" s="3"/>
    </row>
    <row r="220" spans="9:9" x14ac:dyDescent="0.25">
      <c r="I220" s="3"/>
    </row>
    <row r="221" spans="9:9" x14ac:dyDescent="0.25">
      <c r="I221" s="3"/>
    </row>
    <row r="222" spans="9:9" x14ac:dyDescent="0.25">
      <c r="I222" s="3"/>
    </row>
    <row r="223" spans="9:9" x14ac:dyDescent="0.25">
      <c r="I223" s="3"/>
    </row>
    <row r="224" spans="9:9" x14ac:dyDescent="0.25">
      <c r="I224" s="3"/>
    </row>
    <row r="225" spans="9:9" x14ac:dyDescent="0.25">
      <c r="I225" s="3"/>
    </row>
    <row r="226" spans="9:9" x14ac:dyDescent="0.25">
      <c r="I226" s="3"/>
    </row>
    <row r="227" spans="9:9" x14ac:dyDescent="0.25">
      <c r="I227" s="3"/>
    </row>
    <row r="228" spans="9:9" x14ac:dyDescent="0.25">
      <c r="I228" s="3"/>
    </row>
    <row r="229" spans="9:9" x14ac:dyDescent="0.25">
      <c r="I229" s="3"/>
    </row>
    <row r="230" spans="9:9" x14ac:dyDescent="0.25">
      <c r="I230" s="3"/>
    </row>
    <row r="231" spans="9:9" x14ac:dyDescent="0.25">
      <c r="I231" s="3"/>
    </row>
    <row r="232" spans="9:9" x14ac:dyDescent="0.25">
      <c r="I232" s="3"/>
    </row>
    <row r="233" spans="9:9" x14ac:dyDescent="0.25">
      <c r="I233" s="3"/>
    </row>
    <row r="234" spans="9:9" x14ac:dyDescent="0.25">
      <c r="I234" s="3"/>
    </row>
    <row r="235" spans="9:9" x14ac:dyDescent="0.25">
      <c r="I235" s="3"/>
    </row>
    <row r="236" spans="9:9" x14ac:dyDescent="0.25">
      <c r="I236" s="3"/>
    </row>
    <row r="237" spans="9:9" x14ac:dyDescent="0.25">
      <c r="I237" s="3"/>
    </row>
    <row r="238" spans="9:9" x14ac:dyDescent="0.25">
      <c r="I238" s="3"/>
    </row>
    <row r="239" spans="9:9" x14ac:dyDescent="0.25">
      <c r="I239" s="3"/>
    </row>
    <row r="240" spans="9:9" x14ac:dyDescent="0.25">
      <c r="I240" s="3"/>
    </row>
    <row r="241" spans="9:9" x14ac:dyDescent="0.25">
      <c r="I241" s="3"/>
    </row>
    <row r="242" spans="9:9" x14ac:dyDescent="0.25">
      <c r="I242" s="3"/>
    </row>
    <row r="243" spans="9:9" x14ac:dyDescent="0.25">
      <c r="I243" s="3"/>
    </row>
    <row r="244" spans="9:9" x14ac:dyDescent="0.25">
      <c r="I244" s="3"/>
    </row>
    <row r="245" spans="9:9" x14ac:dyDescent="0.25">
      <c r="I245" s="3"/>
    </row>
    <row r="246" spans="9:9" x14ac:dyDescent="0.25">
      <c r="I246" s="3"/>
    </row>
    <row r="247" spans="9:9" x14ac:dyDescent="0.25">
      <c r="I247" s="3"/>
    </row>
    <row r="248" spans="9:9" x14ac:dyDescent="0.25">
      <c r="I248" s="3"/>
    </row>
    <row r="249" spans="9:9" x14ac:dyDescent="0.25">
      <c r="I249" s="3"/>
    </row>
    <row r="250" spans="9:9" x14ac:dyDescent="0.25">
      <c r="I250" s="3"/>
    </row>
    <row r="251" spans="9:9" x14ac:dyDescent="0.25">
      <c r="I251" s="3"/>
    </row>
    <row r="252" spans="9:9" x14ac:dyDescent="0.25">
      <c r="I252" s="3"/>
    </row>
    <row r="253" spans="9:9" x14ac:dyDescent="0.25">
      <c r="I253" s="3"/>
    </row>
    <row r="254" spans="9:9" x14ac:dyDescent="0.25">
      <c r="I254" s="3"/>
    </row>
    <row r="255" spans="9:9" x14ac:dyDescent="0.25">
      <c r="I255" s="3"/>
    </row>
    <row r="256" spans="9:9" x14ac:dyDescent="0.25">
      <c r="I256" s="3"/>
    </row>
    <row r="257" spans="9:9" x14ac:dyDescent="0.25">
      <c r="I257" s="3"/>
    </row>
    <row r="258" spans="9:9" x14ac:dyDescent="0.25">
      <c r="I258" s="3"/>
    </row>
    <row r="259" spans="9:9" x14ac:dyDescent="0.25">
      <c r="I259" s="3"/>
    </row>
    <row r="260" spans="9:9" x14ac:dyDescent="0.25">
      <c r="I260" s="3"/>
    </row>
    <row r="261" spans="9:9" x14ac:dyDescent="0.25">
      <c r="I261" s="3"/>
    </row>
    <row r="262" spans="9:9" x14ac:dyDescent="0.25">
      <c r="I262" s="3"/>
    </row>
    <row r="263" spans="9:9" x14ac:dyDescent="0.25">
      <c r="I263" s="3"/>
    </row>
    <row r="264" spans="9:9" x14ac:dyDescent="0.25">
      <c r="I264" s="3"/>
    </row>
    <row r="265" spans="9:9" x14ac:dyDescent="0.25">
      <c r="I265" s="3"/>
    </row>
    <row r="266" spans="9:9" x14ac:dyDescent="0.25">
      <c r="I266" s="3"/>
    </row>
    <row r="267" spans="9:9" x14ac:dyDescent="0.25">
      <c r="I267" s="3"/>
    </row>
    <row r="268" spans="9:9" x14ac:dyDescent="0.25">
      <c r="I268" s="3"/>
    </row>
    <row r="269" spans="9:9" x14ac:dyDescent="0.25">
      <c r="I269" s="3"/>
    </row>
    <row r="270" spans="9:9" x14ac:dyDescent="0.25">
      <c r="I270" s="3"/>
    </row>
    <row r="271" spans="9:9" x14ac:dyDescent="0.25">
      <c r="I271" s="3"/>
    </row>
    <row r="272" spans="9:9" x14ac:dyDescent="0.25">
      <c r="I272" s="3"/>
    </row>
    <row r="273" spans="9:9" x14ac:dyDescent="0.25">
      <c r="I273" s="3"/>
    </row>
    <row r="274" spans="9:9" x14ac:dyDescent="0.25">
      <c r="I274" s="3"/>
    </row>
    <row r="275" spans="9:9" x14ac:dyDescent="0.25">
      <c r="I275" s="3"/>
    </row>
    <row r="276" spans="9:9" x14ac:dyDescent="0.25">
      <c r="I276" s="3"/>
    </row>
    <row r="277" spans="9:9" x14ac:dyDescent="0.25">
      <c r="I277" s="3"/>
    </row>
    <row r="278" spans="9:9" x14ac:dyDescent="0.25">
      <c r="I278" s="3"/>
    </row>
    <row r="279" spans="9:9" x14ac:dyDescent="0.25">
      <c r="I279" s="3"/>
    </row>
    <row r="280" spans="9:9" x14ac:dyDescent="0.25">
      <c r="I280" s="3"/>
    </row>
    <row r="281" spans="9:9" x14ac:dyDescent="0.25">
      <c r="I281" s="3"/>
    </row>
    <row r="282" spans="9:9" x14ac:dyDescent="0.25">
      <c r="I282" s="3"/>
    </row>
    <row r="283" spans="9:9" x14ac:dyDescent="0.25">
      <c r="I283" s="3"/>
    </row>
    <row r="284" spans="9:9" x14ac:dyDescent="0.25">
      <c r="I284" s="3"/>
    </row>
    <row r="285" spans="9:9" x14ac:dyDescent="0.25">
      <c r="I285" s="3"/>
    </row>
    <row r="286" spans="9:9" x14ac:dyDescent="0.25">
      <c r="I286" s="3"/>
    </row>
    <row r="287" spans="9:9" x14ac:dyDescent="0.25">
      <c r="I287" s="3"/>
    </row>
    <row r="288" spans="9:9" x14ac:dyDescent="0.25">
      <c r="I288" s="3"/>
    </row>
    <row r="289" spans="9:9" x14ac:dyDescent="0.25">
      <c r="I289" s="3"/>
    </row>
    <row r="290" spans="9:9" x14ac:dyDescent="0.25">
      <c r="I290" s="3"/>
    </row>
    <row r="291" spans="9:9" x14ac:dyDescent="0.25">
      <c r="I291" s="3"/>
    </row>
    <row r="292" spans="9:9" x14ac:dyDescent="0.25">
      <c r="I292" s="3"/>
    </row>
    <row r="293" spans="9:9" x14ac:dyDescent="0.25">
      <c r="I293" s="3"/>
    </row>
    <row r="294" spans="9:9" x14ac:dyDescent="0.25">
      <c r="I294" s="3"/>
    </row>
    <row r="295" spans="9:9" x14ac:dyDescent="0.25">
      <c r="I295" s="3"/>
    </row>
    <row r="296" spans="9:9" x14ac:dyDescent="0.25">
      <c r="I296" s="3"/>
    </row>
    <row r="297" spans="9:9" x14ac:dyDescent="0.25">
      <c r="I297" s="3"/>
    </row>
    <row r="298" spans="9:9" x14ac:dyDescent="0.25">
      <c r="I298" s="3"/>
    </row>
    <row r="299" spans="9:9" x14ac:dyDescent="0.25">
      <c r="I299" s="3"/>
    </row>
    <row r="300" spans="9:9" x14ac:dyDescent="0.25">
      <c r="I300" s="3"/>
    </row>
    <row r="301" spans="9:9" x14ac:dyDescent="0.25">
      <c r="I301" s="3"/>
    </row>
    <row r="302" spans="9:9" x14ac:dyDescent="0.25">
      <c r="I302" s="3"/>
    </row>
    <row r="303" spans="9:9" x14ac:dyDescent="0.25">
      <c r="I303" s="3"/>
    </row>
    <row r="304" spans="9:9" x14ac:dyDescent="0.25">
      <c r="I304" s="3"/>
    </row>
    <row r="305" spans="9:9" x14ac:dyDescent="0.25">
      <c r="I305" s="3"/>
    </row>
    <row r="306" spans="9:9" x14ac:dyDescent="0.25">
      <c r="I306" s="3"/>
    </row>
    <row r="307" spans="9:9" x14ac:dyDescent="0.25">
      <c r="I307" s="3"/>
    </row>
    <row r="308" spans="9:9" x14ac:dyDescent="0.25">
      <c r="I308" s="3"/>
    </row>
    <row r="309" spans="9:9" x14ac:dyDescent="0.25">
      <c r="I309" s="3"/>
    </row>
    <row r="310" spans="9:9" x14ac:dyDescent="0.25">
      <c r="I310" s="3"/>
    </row>
    <row r="311" spans="9:9" x14ac:dyDescent="0.25">
      <c r="I311" s="3"/>
    </row>
    <row r="312" spans="9:9" x14ac:dyDescent="0.25">
      <c r="I312" s="3"/>
    </row>
    <row r="313" spans="9:9" x14ac:dyDescent="0.25">
      <c r="I313" s="3"/>
    </row>
    <row r="314" spans="9:9" x14ac:dyDescent="0.25">
      <c r="I314" s="3"/>
    </row>
    <row r="315" spans="9:9" x14ac:dyDescent="0.25">
      <c r="I315" s="3"/>
    </row>
    <row r="316" spans="9:9" x14ac:dyDescent="0.25">
      <c r="I316" s="3"/>
    </row>
    <row r="317" spans="9:9" x14ac:dyDescent="0.25">
      <c r="I317" s="3"/>
    </row>
    <row r="318" spans="9:9" x14ac:dyDescent="0.25">
      <c r="I318"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F44"/>
  <sheetViews>
    <sheetView topLeftCell="A7" workbookViewId="0">
      <selection activeCell="F35" sqref="F35"/>
    </sheetView>
  </sheetViews>
  <sheetFormatPr defaultRowHeight="15" x14ac:dyDescent="0.25"/>
  <cols>
    <col min="2" max="2" width="22.140625" bestFit="1" customWidth="1"/>
    <col min="3" max="3" width="7.85546875" bestFit="1" customWidth="1"/>
    <col min="4" max="4" width="7.85546875" customWidth="1"/>
    <col min="5" max="6" width="12" customWidth="1"/>
    <col min="7" max="31" width="22" bestFit="1" customWidth="1"/>
    <col min="32" max="32" width="12" bestFit="1" customWidth="1"/>
    <col min="33" max="44" width="15" bestFit="1" customWidth="1"/>
    <col min="45" max="45" width="12" bestFit="1" customWidth="1"/>
    <col min="46" max="52" width="15.42578125" bestFit="1" customWidth="1"/>
    <col min="53" max="53" width="12.7109375" bestFit="1" customWidth="1"/>
    <col min="54" max="54" width="12" customWidth="1"/>
    <col min="55" max="222" width="23.42578125" bestFit="1" customWidth="1"/>
    <col min="223" max="223" width="11.28515625" bestFit="1" customWidth="1"/>
  </cols>
  <sheetData>
    <row r="5" spans="2:6" x14ac:dyDescent="0.25">
      <c r="B5" s="1" t="s">
        <v>109</v>
      </c>
      <c r="E5" s="1" t="s">
        <v>118</v>
      </c>
      <c r="F5" s="1" t="s">
        <v>11</v>
      </c>
    </row>
    <row r="6" spans="2:6" x14ac:dyDescent="0.25">
      <c r="E6" s="23" t="s">
        <v>640</v>
      </c>
      <c r="F6" s="23" t="s">
        <v>0</v>
      </c>
    </row>
    <row r="7" spans="2:6" x14ac:dyDescent="0.25">
      <c r="B7" s="1" t="s">
        <v>272</v>
      </c>
      <c r="C7" s="1" t="s">
        <v>15</v>
      </c>
      <c r="D7" s="1" t="s">
        <v>61</v>
      </c>
      <c r="E7" s="23" t="s">
        <v>6</v>
      </c>
    </row>
    <row r="8" spans="2:6" x14ac:dyDescent="0.25">
      <c r="B8" s="23" t="s">
        <v>269</v>
      </c>
      <c r="C8" s="23" t="s">
        <v>306</v>
      </c>
      <c r="D8" s="23" t="s">
        <v>310</v>
      </c>
      <c r="E8" s="3">
        <v>563.12778716706248</v>
      </c>
      <c r="F8" s="3">
        <v>563.12778716706248</v>
      </c>
    </row>
    <row r="9" spans="2:6" x14ac:dyDescent="0.25">
      <c r="B9" s="23" t="s">
        <v>269</v>
      </c>
      <c r="C9" s="23" t="s">
        <v>306</v>
      </c>
      <c r="D9" s="23" t="s">
        <v>311</v>
      </c>
      <c r="E9" s="3">
        <v>547.58238454915261</v>
      </c>
      <c r="F9" s="3">
        <v>547.58238454915261</v>
      </c>
    </row>
    <row r="10" spans="2:6" x14ac:dyDescent="0.25">
      <c r="B10" s="23" t="s">
        <v>269</v>
      </c>
      <c r="C10" s="23" t="s">
        <v>306</v>
      </c>
      <c r="D10" s="23" t="s">
        <v>312</v>
      </c>
      <c r="E10" s="3">
        <v>572.94531311953085</v>
      </c>
      <c r="F10" s="3">
        <v>572.94531311953085</v>
      </c>
    </row>
    <row r="11" spans="2:6" x14ac:dyDescent="0.25">
      <c r="B11" s="23" t="s">
        <v>269</v>
      </c>
      <c r="C11" s="23" t="s">
        <v>306</v>
      </c>
      <c r="D11" s="23" t="s">
        <v>313</v>
      </c>
      <c r="E11" s="3">
        <v>540.14549322458436</v>
      </c>
      <c r="F11" s="3">
        <v>540.14549322458436</v>
      </c>
    </row>
    <row r="12" spans="2:6" x14ac:dyDescent="0.25">
      <c r="B12" s="23" t="s">
        <v>269</v>
      </c>
      <c r="C12" s="23" t="s">
        <v>306</v>
      </c>
      <c r="D12" s="23" t="s">
        <v>308</v>
      </c>
      <c r="E12" s="3">
        <v>537.91964508299611</v>
      </c>
      <c r="F12" s="3">
        <v>537.91964508299611</v>
      </c>
    </row>
    <row r="13" spans="2:6" x14ac:dyDescent="0.25">
      <c r="B13" s="23" t="s">
        <v>269</v>
      </c>
      <c r="C13" s="23" t="s">
        <v>306</v>
      </c>
      <c r="D13" s="23" t="s">
        <v>314</v>
      </c>
      <c r="E13" s="3">
        <v>603.51731008773436</v>
      </c>
      <c r="F13" s="3">
        <v>603.51731008773436</v>
      </c>
    </row>
    <row r="14" spans="2:6" x14ac:dyDescent="0.25">
      <c r="B14" s="23" t="s">
        <v>269</v>
      </c>
      <c r="C14" s="23" t="s">
        <v>306</v>
      </c>
      <c r="D14" s="23" t="s">
        <v>309</v>
      </c>
      <c r="E14" s="3">
        <v>542.13783771162059</v>
      </c>
      <c r="F14" s="3">
        <v>542.13783771162059</v>
      </c>
    </row>
    <row r="15" spans="2:6" x14ac:dyDescent="0.25">
      <c r="B15" s="23" t="s">
        <v>269</v>
      </c>
      <c r="C15" s="23" t="s">
        <v>306</v>
      </c>
      <c r="D15" s="23" t="s">
        <v>315</v>
      </c>
      <c r="E15" s="3">
        <v>546.51796328493845</v>
      </c>
      <c r="F15" s="3">
        <v>546.51796328493845</v>
      </c>
    </row>
    <row r="16" spans="2:6" x14ac:dyDescent="0.25">
      <c r="B16" s="23" t="s">
        <v>269</v>
      </c>
      <c r="C16" s="23" t="s">
        <v>306</v>
      </c>
      <c r="D16" s="23" t="s">
        <v>316</v>
      </c>
      <c r="E16" s="3">
        <v>548.33905710867782</v>
      </c>
      <c r="F16" s="3">
        <v>548.33905710867782</v>
      </c>
    </row>
    <row r="17" spans="2:6" x14ac:dyDescent="0.25">
      <c r="B17" s="23" t="s">
        <v>269</v>
      </c>
      <c r="C17" s="23" t="s">
        <v>306</v>
      </c>
      <c r="D17" s="23" t="s">
        <v>317</v>
      </c>
      <c r="E17" s="3">
        <v>534.85173495751553</v>
      </c>
      <c r="F17" s="3">
        <v>534.85173495751553</v>
      </c>
    </row>
    <row r="18" spans="2:6" x14ac:dyDescent="0.25">
      <c r="B18" s="23" t="s">
        <v>269</v>
      </c>
      <c r="C18" s="23" t="s">
        <v>306</v>
      </c>
      <c r="D18" s="23" t="s">
        <v>318</v>
      </c>
      <c r="E18" s="3">
        <v>535.83197675440101</v>
      </c>
      <c r="F18" s="3">
        <v>535.83197675440101</v>
      </c>
    </row>
    <row r="19" spans="2:6" x14ac:dyDescent="0.25">
      <c r="B19" s="23" t="s">
        <v>269</v>
      </c>
      <c r="C19" s="23" t="s">
        <v>306</v>
      </c>
      <c r="D19" s="23" t="s">
        <v>319</v>
      </c>
      <c r="E19" s="3">
        <v>535.4840573700119</v>
      </c>
      <c r="F19" s="3">
        <v>535.4840573700119</v>
      </c>
    </row>
    <row r="20" spans="2:6" x14ac:dyDescent="0.25">
      <c r="B20" s="23" t="s">
        <v>269</v>
      </c>
      <c r="C20" s="23" t="s">
        <v>298</v>
      </c>
      <c r="D20" s="23" t="s">
        <v>310</v>
      </c>
      <c r="E20" s="3">
        <v>519.51020228736888</v>
      </c>
      <c r="F20" s="3">
        <v>519.51020228736888</v>
      </c>
    </row>
    <row r="21" spans="2:6" x14ac:dyDescent="0.25">
      <c r="B21" s="23" t="s">
        <v>269</v>
      </c>
      <c r="C21" s="23" t="s">
        <v>298</v>
      </c>
      <c r="D21" s="23" t="s">
        <v>311</v>
      </c>
      <c r="E21" s="3">
        <v>512.42800717224532</v>
      </c>
      <c r="F21" s="3">
        <v>512.42800717224532</v>
      </c>
    </row>
    <row r="22" spans="2:6" x14ac:dyDescent="0.25">
      <c r="B22" s="23" t="s">
        <v>269</v>
      </c>
      <c r="C22" s="23" t="s">
        <v>298</v>
      </c>
      <c r="D22" s="23" t="s">
        <v>312</v>
      </c>
      <c r="E22" s="3">
        <v>524.07809964104581</v>
      </c>
      <c r="F22" s="3">
        <v>524.07809964104581</v>
      </c>
    </row>
    <row r="23" spans="2:6" x14ac:dyDescent="0.25">
      <c r="B23" s="23" t="s">
        <v>269</v>
      </c>
      <c r="C23" s="23" t="s">
        <v>298</v>
      </c>
      <c r="D23" s="23" t="s">
        <v>313</v>
      </c>
      <c r="E23" s="3">
        <v>512.42800717224532</v>
      </c>
      <c r="F23" s="3">
        <v>512.42800717224532</v>
      </c>
    </row>
    <row r="24" spans="2:6" x14ac:dyDescent="0.25">
      <c r="B24" s="23" t="s">
        <v>269</v>
      </c>
      <c r="C24" s="23" t="s">
        <v>298</v>
      </c>
      <c r="D24" s="23" t="s">
        <v>308</v>
      </c>
      <c r="E24" s="3">
        <v>509.82914692429944</v>
      </c>
      <c r="F24" s="3">
        <v>509.82914692429944</v>
      </c>
    </row>
    <row r="25" spans="2:6" x14ac:dyDescent="0.25">
      <c r="B25" s="23" t="s">
        <v>269</v>
      </c>
      <c r="C25" s="23" t="s">
        <v>298</v>
      </c>
      <c r="D25" s="23" t="s">
        <v>314</v>
      </c>
      <c r="E25" s="3">
        <v>516.03496185501444</v>
      </c>
      <c r="F25" s="3">
        <v>516.03496185501444</v>
      </c>
    </row>
    <row r="26" spans="2:6" x14ac:dyDescent="0.25">
      <c r="B26" s="23" t="s">
        <v>269</v>
      </c>
      <c r="C26" s="23" t="s">
        <v>298</v>
      </c>
      <c r="D26" s="23" t="s">
        <v>309</v>
      </c>
      <c r="E26" s="3">
        <v>487.95709084323056</v>
      </c>
      <c r="F26" s="3">
        <v>487.95709084323056</v>
      </c>
    </row>
    <row r="27" spans="2:6" x14ac:dyDescent="0.25">
      <c r="B27" s="23" t="s">
        <v>269</v>
      </c>
      <c r="C27" s="23" t="s">
        <v>298</v>
      </c>
      <c r="D27" s="23" t="s">
        <v>315</v>
      </c>
      <c r="E27" s="3">
        <v>515.48139614036472</v>
      </c>
      <c r="F27" s="3">
        <v>515.48139614036472</v>
      </c>
    </row>
    <row r="28" spans="2:6" x14ac:dyDescent="0.25">
      <c r="B28" s="23" t="s">
        <v>269</v>
      </c>
      <c r="C28" s="23" t="s">
        <v>298</v>
      </c>
      <c r="D28" s="23" t="s">
        <v>316</v>
      </c>
      <c r="E28" s="3">
        <v>516.70906065047211</v>
      </c>
      <c r="F28" s="3">
        <v>516.70906065047211</v>
      </c>
    </row>
    <row r="29" spans="2:6" x14ac:dyDescent="0.25">
      <c r="B29" s="23" t="s">
        <v>269</v>
      </c>
      <c r="C29" s="23" t="s">
        <v>298</v>
      </c>
      <c r="D29" s="23" t="s">
        <v>317</v>
      </c>
      <c r="E29" s="3">
        <v>518.62690663201352</v>
      </c>
      <c r="F29" s="3">
        <v>518.62690663201352</v>
      </c>
    </row>
    <row r="30" spans="2:6" x14ac:dyDescent="0.25">
      <c r="B30" s="23" t="s">
        <v>269</v>
      </c>
      <c r="C30" s="23" t="s">
        <v>298</v>
      </c>
      <c r="D30" s="23" t="s">
        <v>318</v>
      </c>
      <c r="E30" s="3">
        <v>515.48139614036472</v>
      </c>
      <c r="F30" s="3">
        <v>515.48139614036472</v>
      </c>
    </row>
    <row r="31" spans="2:6" x14ac:dyDescent="0.25">
      <c r="B31" s="23" t="s">
        <v>269</v>
      </c>
      <c r="C31" s="23" t="s">
        <v>298</v>
      </c>
      <c r="D31" s="23" t="s">
        <v>319</v>
      </c>
      <c r="E31" s="3">
        <v>518.62690663201352</v>
      </c>
      <c r="F31" s="3">
        <v>518.62690663201352</v>
      </c>
    </row>
    <row r="32" spans="2:6" x14ac:dyDescent="0.25">
      <c r="B32" s="23" t="s">
        <v>269</v>
      </c>
      <c r="C32" s="23" t="s">
        <v>307</v>
      </c>
      <c r="D32" s="23" t="s">
        <v>310</v>
      </c>
      <c r="E32" s="3">
        <v>500.92301091439572</v>
      </c>
      <c r="F32" s="3">
        <v>500.92301091439572</v>
      </c>
    </row>
    <row r="33" spans="2:6" x14ac:dyDescent="0.25">
      <c r="B33" s="23" t="s">
        <v>269</v>
      </c>
      <c r="C33" s="23" t="s">
        <v>307</v>
      </c>
      <c r="D33" s="23" t="s">
        <v>311</v>
      </c>
      <c r="E33" s="3">
        <v>497.24806302172624</v>
      </c>
      <c r="F33" s="3">
        <v>497.24806302172624</v>
      </c>
    </row>
    <row r="34" spans="2:6" x14ac:dyDescent="0.25">
      <c r="B34" s="23" t="s">
        <v>269</v>
      </c>
      <c r="C34" s="23" t="s">
        <v>307</v>
      </c>
      <c r="D34" s="23" t="s">
        <v>312</v>
      </c>
      <c r="E34" s="3">
        <v>508.18429652615606</v>
      </c>
      <c r="F34" s="3">
        <v>508.18429652615606</v>
      </c>
    </row>
    <row r="35" spans="2:6" x14ac:dyDescent="0.25">
      <c r="B35" s="23" t="s">
        <v>269</v>
      </c>
      <c r="C35" s="23" t="s">
        <v>307</v>
      </c>
      <c r="D35" s="23" t="s">
        <v>313</v>
      </c>
      <c r="E35" s="3">
        <v>496.87406976646554</v>
      </c>
      <c r="F35" s="3">
        <v>496.87406976646554</v>
      </c>
    </row>
    <row r="36" spans="2:6" x14ac:dyDescent="0.25">
      <c r="B36" s="23" t="s">
        <v>269</v>
      </c>
      <c r="C36" s="23" t="s">
        <v>307</v>
      </c>
      <c r="D36" s="23" t="s">
        <v>308</v>
      </c>
      <c r="E36" s="3">
        <v>498.83495134553925</v>
      </c>
      <c r="F36" s="3">
        <v>498.83495134553925</v>
      </c>
    </row>
    <row r="37" spans="2:6" x14ac:dyDescent="0.25">
      <c r="B37" s="23" t="s">
        <v>269</v>
      </c>
      <c r="C37" s="23" t="s">
        <v>307</v>
      </c>
      <c r="D37" s="23" t="s">
        <v>314</v>
      </c>
      <c r="E37" s="3">
        <v>499.33576384619931</v>
      </c>
      <c r="F37" s="3">
        <v>499.33576384619931</v>
      </c>
    </row>
    <row r="38" spans="2:6" x14ac:dyDescent="0.25">
      <c r="B38" s="23" t="s">
        <v>269</v>
      </c>
      <c r="C38" s="23" t="s">
        <v>307</v>
      </c>
      <c r="D38" s="23" t="s">
        <v>309</v>
      </c>
      <c r="E38" s="3">
        <v>498.63818469957727</v>
      </c>
      <c r="F38" s="3">
        <v>498.63818469957727</v>
      </c>
    </row>
    <row r="39" spans="2:6" x14ac:dyDescent="0.25">
      <c r="B39" s="23" t="s">
        <v>269</v>
      </c>
      <c r="C39" s="23" t="s">
        <v>307</v>
      </c>
      <c r="D39" s="23" t="s">
        <v>315</v>
      </c>
      <c r="E39" s="3">
        <v>498.32216549620131</v>
      </c>
      <c r="F39" s="3">
        <v>498.32216549620131</v>
      </c>
    </row>
    <row r="40" spans="2:6" x14ac:dyDescent="0.25">
      <c r="B40" s="23" t="s">
        <v>269</v>
      </c>
      <c r="C40" s="23" t="s">
        <v>307</v>
      </c>
      <c r="D40" s="23" t="s">
        <v>316</v>
      </c>
      <c r="E40" s="3">
        <v>498.22279438427267</v>
      </c>
      <c r="F40" s="3">
        <v>498.22279438427267</v>
      </c>
    </row>
    <row r="41" spans="2:6" x14ac:dyDescent="0.25">
      <c r="B41" s="23" t="s">
        <v>269</v>
      </c>
      <c r="C41" s="23" t="s">
        <v>307</v>
      </c>
      <c r="D41" s="23" t="s">
        <v>317</v>
      </c>
      <c r="E41" s="3">
        <v>497.82536256469461</v>
      </c>
      <c r="F41" s="3">
        <v>497.82536256469461</v>
      </c>
    </row>
    <row r="42" spans="2:6" x14ac:dyDescent="0.25">
      <c r="B42" s="23" t="s">
        <v>269</v>
      </c>
      <c r="C42" s="23" t="s">
        <v>307</v>
      </c>
      <c r="D42" s="23" t="s">
        <v>318</v>
      </c>
      <c r="E42" s="3">
        <v>499.70975710146001</v>
      </c>
      <c r="F42" s="3">
        <v>499.70975710146001</v>
      </c>
    </row>
    <row r="43" spans="2:6" x14ac:dyDescent="0.25">
      <c r="B43" s="23" t="s">
        <v>269</v>
      </c>
      <c r="C43" s="23" t="s">
        <v>307</v>
      </c>
      <c r="D43" s="23" t="s">
        <v>319</v>
      </c>
      <c r="E43" s="3">
        <v>500.92265217001233</v>
      </c>
      <c r="F43" s="3">
        <v>500.92265217001233</v>
      </c>
    </row>
    <row r="44" spans="2:6" x14ac:dyDescent="0.25">
      <c r="B44" s="23" t="s">
        <v>0</v>
      </c>
      <c r="E44" s="3">
        <v>18770.632814345605</v>
      </c>
      <c r="F44" s="3">
        <v>18770.632814345605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G7"/>
  <sheetViews>
    <sheetView topLeftCell="A7" zoomScale="130" zoomScaleNormal="130" workbookViewId="0">
      <selection activeCell="H16" sqref="H16"/>
    </sheetView>
  </sheetViews>
  <sheetFormatPr defaultRowHeight="15" x14ac:dyDescent="0.25"/>
  <cols>
    <col min="2" max="2" width="20" customWidth="1"/>
    <col min="3" max="4" width="10.28515625" customWidth="1"/>
    <col min="5" max="6" width="30" customWidth="1"/>
    <col min="7" max="7" width="13.140625" customWidth="1"/>
    <col min="8" max="8" width="24.85546875" customWidth="1"/>
    <col min="9" max="13" width="24.85546875" bestFit="1" customWidth="1"/>
    <col min="14" max="16" width="24.85546875" customWidth="1"/>
    <col min="17" max="17" width="12.28515625" customWidth="1"/>
    <col min="18" max="23" width="13.5703125" customWidth="1"/>
    <col min="24" max="26" width="13.5703125" bestFit="1" customWidth="1"/>
    <col min="27" max="27" width="12.28515625" customWidth="1"/>
    <col min="28" max="28" width="13.5703125" bestFit="1" customWidth="1"/>
    <col min="29" max="49" width="13.5703125" customWidth="1"/>
    <col min="50" max="50" width="16.7109375" customWidth="1"/>
    <col min="51" max="51" width="18" customWidth="1"/>
    <col min="52" max="140" width="18.140625" customWidth="1"/>
    <col min="141" max="141" width="12.28515625" customWidth="1"/>
    <col min="142" max="192" width="41.5703125" customWidth="1"/>
    <col min="193" max="193" width="12.28515625" customWidth="1"/>
    <col min="194" max="198" width="53.28515625" bestFit="1" customWidth="1"/>
    <col min="199" max="199" width="12.85546875" bestFit="1" customWidth="1"/>
  </cols>
  <sheetData>
    <row r="2" spans="2:7" x14ac:dyDescent="0.25">
      <c r="B2" s="1" t="s">
        <v>12</v>
      </c>
      <c r="C2" s="23" t="s">
        <v>9</v>
      </c>
    </row>
    <row r="4" spans="2:7" x14ac:dyDescent="0.25">
      <c r="B4" s="1" t="s">
        <v>13</v>
      </c>
      <c r="E4" s="1" t="s">
        <v>286</v>
      </c>
    </row>
    <row r="5" spans="2:7" x14ac:dyDescent="0.25">
      <c r="B5" s="1" t="s">
        <v>118</v>
      </c>
      <c r="C5" s="1" t="s">
        <v>272</v>
      </c>
      <c r="D5" s="1" t="s">
        <v>11</v>
      </c>
      <c r="E5" s="23" t="s">
        <v>641</v>
      </c>
      <c r="F5" s="23" t="s">
        <v>468</v>
      </c>
      <c r="G5" s="23" t="s">
        <v>0</v>
      </c>
    </row>
    <row r="6" spans="2:7" x14ac:dyDescent="0.25">
      <c r="B6" s="23" t="s">
        <v>640</v>
      </c>
      <c r="C6" s="23" t="s">
        <v>269</v>
      </c>
      <c r="D6" s="23" t="s">
        <v>6</v>
      </c>
      <c r="E6" s="3">
        <v>0.86014869982413611</v>
      </c>
      <c r="F6" s="3">
        <v>5.0526537886599101</v>
      </c>
      <c r="G6" s="3">
        <v>5.9128024884840462</v>
      </c>
    </row>
    <row r="7" spans="2:7" x14ac:dyDescent="0.25">
      <c r="B7" s="23" t="s">
        <v>0</v>
      </c>
      <c r="E7" s="3">
        <v>0.86014869982413611</v>
      </c>
      <c r="F7" s="3">
        <v>5.0526537886599101</v>
      </c>
      <c r="G7" s="3">
        <v>5.9128024884840462</v>
      </c>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O43"/>
  <sheetViews>
    <sheetView topLeftCell="B9" zoomScale="85" zoomScaleNormal="85" workbookViewId="0">
      <selection activeCell="K6" sqref="K6"/>
    </sheetView>
  </sheetViews>
  <sheetFormatPr defaultRowHeight="15" x14ac:dyDescent="0.25"/>
  <cols>
    <col min="2" max="2" width="13.28515625" customWidth="1"/>
    <col min="3" max="4" width="8.140625" customWidth="1"/>
    <col min="5" max="14" width="12.85546875" customWidth="1"/>
    <col min="15" max="15" width="12.28515625" customWidth="1"/>
    <col min="16" max="31" width="22" customWidth="1"/>
    <col min="32" max="32" width="12.28515625" customWidth="1"/>
    <col min="33" max="34" width="22" customWidth="1"/>
    <col min="35" max="35" width="12.28515625" customWidth="1"/>
    <col min="36" max="76" width="22" customWidth="1"/>
    <col min="77" max="77" width="12.28515625" customWidth="1"/>
    <col min="78" max="87" width="20" customWidth="1"/>
    <col min="88" max="88" width="12.28515625" customWidth="1"/>
    <col min="89" max="97" width="15.42578125" customWidth="1"/>
    <col min="98" max="98" width="12.28515625" customWidth="1"/>
    <col min="99" max="114" width="17" bestFit="1" customWidth="1"/>
    <col min="115" max="115" width="12.5703125" bestFit="1" customWidth="1"/>
  </cols>
  <sheetData>
    <row r="1" spans="2:15" x14ac:dyDescent="0.25">
      <c r="F1">
        <f>293*28.07</f>
        <v>8224.51</v>
      </c>
    </row>
    <row r="2" spans="2:15" x14ac:dyDescent="0.25">
      <c r="B2" s="1" t="s">
        <v>11</v>
      </c>
      <c r="C2" s="23" t="s">
        <v>138</v>
      </c>
      <c r="F2">
        <f>312*28.07</f>
        <v>8757.84</v>
      </c>
    </row>
    <row r="3" spans="2:15" x14ac:dyDescent="0.25">
      <c r="B3" s="1" t="s">
        <v>118</v>
      </c>
      <c r="C3" s="23" t="s">
        <v>640</v>
      </c>
    </row>
    <row r="5" spans="2:15" x14ac:dyDescent="0.25">
      <c r="B5" s="1" t="s">
        <v>14</v>
      </c>
      <c r="E5" s="1" t="s">
        <v>12</v>
      </c>
    </row>
    <row r="6" spans="2:15" x14ac:dyDescent="0.25">
      <c r="B6" s="1" t="s">
        <v>272</v>
      </c>
      <c r="C6" s="1" t="s">
        <v>15</v>
      </c>
      <c r="D6" s="1" t="s">
        <v>61</v>
      </c>
      <c r="E6" s="23" t="s">
        <v>141</v>
      </c>
      <c r="F6" s="23" t="s">
        <v>198</v>
      </c>
      <c r="G6" s="23" t="s">
        <v>10</v>
      </c>
      <c r="H6" s="23" t="s">
        <v>139</v>
      </c>
      <c r="I6" s="23" t="s">
        <v>9</v>
      </c>
      <c r="J6" s="23" t="s">
        <v>140</v>
      </c>
      <c r="K6" s="23" t="s">
        <v>259</v>
      </c>
      <c r="L6" s="23" t="s">
        <v>260</v>
      </c>
      <c r="M6" s="23" t="s">
        <v>270</v>
      </c>
      <c r="N6" s="23" t="s">
        <v>236</v>
      </c>
      <c r="O6" s="23" t="s">
        <v>0</v>
      </c>
    </row>
    <row r="7" spans="2:15" x14ac:dyDescent="0.25">
      <c r="B7" s="23" t="s">
        <v>269</v>
      </c>
      <c r="C7" s="23" t="s">
        <v>306</v>
      </c>
      <c r="D7" s="23" t="s">
        <v>310</v>
      </c>
      <c r="E7" s="3">
        <v>389.28233958031399</v>
      </c>
      <c r="F7" s="3"/>
      <c r="G7" s="3">
        <v>1.2847402289237059E-2</v>
      </c>
      <c r="H7" s="3">
        <v>5487.7736222826225</v>
      </c>
      <c r="I7" s="3">
        <v>0.73258178309242816</v>
      </c>
      <c r="J7" s="3"/>
      <c r="K7" s="3"/>
      <c r="L7" s="3">
        <v>-300.96576866778537</v>
      </c>
      <c r="M7" s="3"/>
      <c r="N7" s="3"/>
      <c r="O7" s="3">
        <v>5576.8356223805322</v>
      </c>
    </row>
    <row r="8" spans="2:15" x14ac:dyDescent="0.25">
      <c r="B8" s="23" t="s">
        <v>269</v>
      </c>
      <c r="C8" s="23" t="s">
        <v>306</v>
      </c>
      <c r="D8" s="23" t="s">
        <v>311</v>
      </c>
      <c r="E8" s="3">
        <v>389.28233958031399</v>
      </c>
      <c r="F8" s="3">
        <v>0.33</v>
      </c>
      <c r="G8" s="3">
        <v>1.2847402289237059E-2</v>
      </c>
      <c r="H8" s="3">
        <v>2756.7286807907567</v>
      </c>
      <c r="I8" s="3">
        <v>92.854741006965327</v>
      </c>
      <c r="J8" s="3">
        <v>425.88818884708672</v>
      </c>
      <c r="K8" s="3">
        <v>162</v>
      </c>
      <c r="L8" s="3">
        <v>1130.2894878572049</v>
      </c>
      <c r="M8" s="3">
        <v>156</v>
      </c>
      <c r="N8" s="3"/>
      <c r="O8" s="3">
        <v>5113.3862854846175</v>
      </c>
    </row>
    <row r="9" spans="2:15" x14ac:dyDescent="0.25">
      <c r="B9" s="23" t="s">
        <v>269</v>
      </c>
      <c r="C9" s="23" t="s">
        <v>306</v>
      </c>
      <c r="D9" s="23" t="s">
        <v>312</v>
      </c>
      <c r="E9" s="3">
        <v>389.28233958031399</v>
      </c>
      <c r="F9" s="3"/>
      <c r="G9" s="3">
        <v>1.2847402289237059E-2</v>
      </c>
      <c r="H9" s="3">
        <v>4733.3205948704526</v>
      </c>
      <c r="I9" s="3">
        <v>1339.1594994929603</v>
      </c>
      <c r="J9" s="3"/>
      <c r="K9" s="3">
        <v>21.8488483920043</v>
      </c>
      <c r="L9" s="3">
        <v>-72.909386742288362</v>
      </c>
      <c r="M9" s="3"/>
      <c r="N9" s="3"/>
      <c r="O9" s="3">
        <v>6410.7147429957322</v>
      </c>
    </row>
    <row r="10" spans="2:15" x14ac:dyDescent="0.25">
      <c r="B10" s="23" t="s">
        <v>269</v>
      </c>
      <c r="C10" s="23" t="s">
        <v>306</v>
      </c>
      <c r="D10" s="23" t="s">
        <v>313</v>
      </c>
      <c r="E10" s="3">
        <v>389.28233958031399</v>
      </c>
      <c r="F10" s="3">
        <v>0.33</v>
      </c>
      <c r="G10" s="3">
        <v>1.2847402289237059E-2</v>
      </c>
      <c r="H10" s="3">
        <v>3265.9327407578612</v>
      </c>
      <c r="I10" s="3"/>
      <c r="J10" s="3">
        <v>176.3102198091525</v>
      </c>
      <c r="K10" s="3">
        <v>162</v>
      </c>
      <c r="L10" s="3">
        <v>-72.796053408955032</v>
      </c>
      <c r="M10" s="3">
        <v>156</v>
      </c>
      <c r="N10" s="3"/>
      <c r="O10" s="3">
        <v>4077.0720941406616</v>
      </c>
    </row>
    <row r="11" spans="2:15" x14ac:dyDescent="0.25">
      <c r="B11" s="23" t="s">
        <v>269</v>
      </c>
      <c r="C11" s="23" t="s">
        <v>306</v>
      </c>
      <c r="D11" s="23" t="s">
        <v>308</v>
      </c>
      <c r="E11" s="3">
        <v>389.28233958031399</v>
      </c>
      <c r="F11" s="3">
        <v>0.33</v>
      </c>
      <c r="G11" s="3">
        <v>1.2847402289237059E-2</v>
      </c>
      <c r="H11" s="3">
        <v>2905.9036922756172</v>
      </c>
      <c r="I11" s="3">
        <v>1466.6287297510426</v>
      </c>
      <c r="J11" s="3">
        <v>35.263031927811099</v>
      </c>
      <c r="K11" s="3">
        <v>245.333333333333</v>
      </c>
      <c r="L11" s="3">
        <v>-72.796053408955032</v>
      </c>
      <c r="M11" s="3"/>
      <c r="N11" s="3"/>
      <c r="O11" s="3">
        <v>4969.9579208614523</v>
      </c>
    </row>
    <row r="12" spans="2:15" x14ac:dyDescent="0.25">
      <c r="B12" s="23" t="s">
        <v>269</v>
      </c>
      <c r="C12" s="23" t="s">
        <v>306</v>
      </c>
      <c r="D12" s="23" t="s">
        <v>314</v>
      </c>
      <c r="E12" s="3">
        <v>389.28233958031399</v>
      </c>
      <c r="F12" s="3">
        <v>7.83</v>
      </c>
      <c r="G12" s="3">
        <v>1.2847402289237059E-2</v>
      </c>
      <c r="H12" s="3">
        <v>964.03504173242641</v>
      </c>
      <c r="I12" s="3"/>
      <c r="J12" s="3">
        <v>1453.6070864955252</v>
      </c>
      <c r="K12" s="3">
        <v>162</v>
      </c>
      <c r="L12" s="3">
        <v>-72.296053408955032</v>
      </c>
      <c r="M12" s="3">
        <v>156</v>
      </c>
      <c r="N12" s="3"/>
      <c r="O12" s="3">
        <v>3060.4712618015997</v>
      </c>
    </row>
    <row r="13" spans="2:15" x14ac:dyDescent="0.25">
      <c r="B13" s="23" t="s">
        <v>269</v>
      </c>
      <c r="C13" s="23" t="s">
        <v>306</v>
      </c>
      <c r="D13" s="23" t="s">
        <v>309</v>
      </c>
      <c r="E13" s="3">
        <v>389.28233958031399</v>
      </c>
      <c r="F13" s="3">
        <v>100.58</v>
      </c>
      <c r="G13" s="3">
        <v>1.2847402289237059E-2</v>
      </c>
      <c r="H13" s="3">
        <v>1368.1502076250124</v>
      </c>
      <c r="I13" s="3">
        <v>152.37701088322518</v>
      </c>
      <c r="J13" s="3">
        <v>1883.6401930628142</v>
      </c>
      <c r="K13" s="3">
        <v>162</v>
      </c>
      <c r="L13" s="3">
        <v>242.5961887214259</v>
      </c>
      <c r="M13" s="3">
        <v>156</v>
      </c>
      <c r="N13" s="3">
        <v>58.48</v>
      </c>
      <c r="O13" s="3">
        <v>4513.1187872750806</v>
      </c>
    </row>
    <row r="14" spans="2:15" x14ac:dyDescent="0.25">
      <c r="B14" s="23" t="s">
        <v>269</v>
      </c>
      <c r="C14" s="23" t="s">
        <v>306</v>
      </c>
      <c r="D14" s="23" t="s">
        <v>315</v>
      </c>
      <c r="E14" s="3">
        <v>389.28233958031399</v>
      </c>
      <c r="F14" s="3">
        <v>100.58</v>
      </c>
      <c r="G14" s="3">
        <v>1.2847402289237059E-2</v>
      </c>
      <c r="H14" s="3">
        <v>297.46508139348663</v>
      </c>
      <c r="I14" s="3">
        <v>394.12899930372612</v>
      </c>
      <c r="J14" s="3">
        <v>1883.6401930628142</v>
      </c>
      <c r="K14" s="3">
        <v>162</v>
      </c>
      <c r="L14" s="3">
        <v>602.77404384898591</v>
      </c>
      <c r="M14" s="3">
        <v>156</v>
      </c>
      <c r="N14" s="3">
        <v>58.48</v>
      </c>
      <c r="O14" s="3">
        <v>4044.3635045916162</v>
      </c>
    </row>
    <row r="15" spans="2:15" x14ac:dyDescent="0.25">
      <c r="B15" s="23" t="s">
        <v>269</v>
      </c>
      <c r="C15" s="23" t="s">
        <v>306</v>
      </c>
      <c r="D15" s="23" t="s">
        <v>316</v>
      </c>
      <c r="E15" s="3">
        <v>389.28233958031399</v>
      </c>
      <c r="F15" s="3">
        <v>100.58</v>
      </c>
      <c r="G15" s="3">
        <v>1.2847402289237059E-2</v>
      </c>
      <c r="H15" s="3">
        <v>136.9362052732186</v>
      </c>
      <c r="I15" s="3"/>
      <c r="J15" s="3">
        <v>1883.6401930628142</v>
      </c>
      <c r="K15" s="3">
        <v>162</v>
      </c>
      <c r="L15" s="3">
        <v>1414.084272973744</v>
      </c>
      <c r="M15" s="3">
        <v>156</v>
      </c>
      <c r="N15" s="3">
        <v>58.48</v>
      </c>
      <c r="O15" s="3">
        <v>4301.0158582923796</v>
      </c>
    </row>
    <row r="16" spans="2:15" x14ac:dyDescent="0.25">
      <c r="B16" s="23" t="s">
        <v>269</v>
      </c>
      <c r="C16" s="23" t="s">
        <v>306</v>
      </c>
      <c r="D16" s="23" t="s">
        <v>317</v>
      </c>
      <c r="E16" s="3">
        <v>389.28233958031399</v>
      </c>
      <c r="F16" s="3">
        <v>7.83</v>
      </c>
      <c r="G16" s="3">
        <v>1.2847402289237059E-2</v>
      </c>
      <c r="H16" s="3">
        <v>220.42415404120692</v>
      </c>
      <c r="I16" s="3">
        <v>1785.3018053962487</v>
      </c>
      <c r="J16" s="3">
        <v>1512.4115486496798</v>
      </c>
      <c r="K16" s="3">
        <v>162</v>
      </c>
      <c r="L16" s="3">
        <v>-72.296053408955032</v>
      </c>
      <c r="M16" s="3">
        <v>156</v>
      </c>
      <c r="N16" s="3"/>
      <c r="O16" s="3">
        <v>4160.9666416607834</v>
      </c>
    </row>
    <row r="17" spans="2:15" x14ac:dyDescent="0.25">
      <c r="B17" s="23" t="s">
        <v>269</v>
      </c>
      <c r="C17" s="23" t="s">
        <v>306</v>
      </c>
      <c r="D17" s="23" t="s">
        <v>318</v>
      </c>
      <c r="E17" s="3">
        <v>389.28233958031399</v>
      </c>
      <c r="F17" s="3">
        <v>0.33</v>
      </c>
      <c r="G17" s="3">
        <v>1.2847402289237059E-2</v>
      </c>
      <c r="H17" s="3">
        <v>1073.641553588915</v>
      </c>
      <c r="I17" s="3"/>
      <c r="J17" s="3">
        <v>1310.2161870896252</v>
      </c>
      <c r="K17" s="3">
        <v>162</v>
      </c>
      <c r="L17" s="3">
        <v>-72.796053408955032</v>
      </c>
      <c r="M17" s="3">
        <v>156</v>
      </c>
      <c r="N17" s="3"/>
      <c r="O17" s="3">
        <v>3018.6868742521883</v>
      </c>
    </row>
    <row r="18" spans="2:15" x14ac:dyDescent="0.25">
      <c r="B18" s="23" t="s">
        <v>269</v>
      </c>
      <c r="C18" s="23" t="s">
        <v>306</v>
      </c>
      <c r="D18" s="23" t="s">
        <v>319</v>
      </c>
      <c r="E18" s="3">
        <v>389.28233958031399</v>
      </c>
      <c r="F18" s="3">
        <v>0.33</v>
      </c>
      <c r="G18" s="3">
        <v>1.2847402289237059E-2</v>
      </c>
      <c r="H18" s="3">
        <v>575.27963334275796</v>
      </c>
      <c r="I18" s="3">
        <v>900.34301142059439</v>
      </c>
      <c r="J18" s="3">
        <v>1487.7888850706561</v>
      </c>
      <c r="K18" s="3">
        <v>162</v>
      </c>
      <c r="L18" s="3">
        <v>-72.296053408955032</v>
      </c>
      <c r="M18" s="3">
        <v>156</v>
      </c>
      <c r="N18" s="3"/>
      <c r="O18" s="3">
        <v>3598.7406634076565</v>
      </c>
    </row>
    <row r="19" spans="2:15" x14ac:dyDescent="0.25">
      <c r="B19" s="23" t="s">
        <v>269</v>
      </c>
      <c r="C19" s="23" t="s">
        <v>298</v>
      </c>
      <c r="D19" s="23" t="s">
        <v>310</v>
      </c>
      <c r="E19" s="3">
        <v>389.28233958031399</v>
      </c>
      <c r="F19" s="3"/>
      <c r="G19" s="3">
        <v>1.3869866596221421E-2</v>
      </c>
      <c r="H19" s="3">
        <v>4923.3375582186964</v>
      </c>
      <c r="I19" s="3">
        <v>252.7407151668877</v>
      </c>
      <c r="J19" s="3"/>
      <c r="K19" s="3"/>
      <c r="L19" s="3">
        <v>-354.2942318284318</v>
      </c>
      <c r="M19" s="3"/>
      <c r="N19" s="3"/>
      <c r="O19" s="3">
        <v>5211.0802510040621</v>
      </c>
    </row>
    <row r="20" spans="2:15" x14ac:dyDescent="0.25">
      <c r="B20" s="23" t="s">
        <v>269</v>
      </c>
      <c r="C20" s="23" t="s">
        <v>298</v>
      </c>
      <c r="D20" s="23" t="s">
        <v>311</v>
      </c>
      <c r="E20" s="3">
        <v>389.28233958031399</v>
      </c>
      <c r="F20" s="3">
        <v>0.33</v>
      </c>
      <c r="G20" s="3">
        <v>1.3869866596221421E-2</v>
      </c>
      <c r="H20" s="3">
        <v>1850.4768362988427</v>
      </c>
      <c r="I20" s="3">
        <v>46.152652334823031</v>
      </c>
      <c r="J20" s="3">
        <v>1245.1953455363102</v>
      </c>
      <c r="K20" s="3">
        <v>162</v>
      </c>
      <c r="L20" s="3">
        <v>711.47367231847784</v>
      </c>
      <c r="M20" s="3">
        <v>125</v>
      </c>
      <c r="N20" s="3"/>
      <c r="O20" s="3">
        <v>4529.9247159353636</v>
      </c>
    </row>
    <row r="21" spans="2:15" x14ac:dyDescent="0.25">
      <c r="B21" s="23" t="s">
        <v>269</v>
      </c>
      <c r="C21" s="23" t="s">
        <v>298</v>
      </c>
      <c r="D21" s="23" t="s">
        <v>312</v>
      </c>
      <c r="E21" s="3">
        <v>389.28233958031399</v>
      </c>
      <c r="F21" s="3">
        <v>0.33</v>
      </c>
      <c r="G21" s="3">
        <v>1.3869866596221421E-2</v>
      </c>
      <c r="H21" s="3">
        <v>732.70642606349224</v>
      </c>
      <c r="I21" s="3">
        <v>2009.471831022533</v>
      </c>
      <c r="J21" s="3">
        <v>905.73271121236542</v>
      </c>
      <c r="K21" s="3">
        <v>162</v>
      </c>
      <c r="L21" s="3">
        <v>411.78011328925294</v>
      </c>
      <c r="M21" s="3">
        <v>138.8126663591392</v>
      </c>
      <c r="N21" s="3"/>
      <c r="O21" s="3">
        <v>4750.1299573936922</v>
      </c>
    </row>
    <row r="22" spans="2:15" x14ac:dyDescent="0.25">
      <c r="B22" s="23" t="s">
        <v>269</v>
      </c>
      <c r="C22" s="23" t="s">
        <v>298</v>
      </c>
      <c r="D22" s="23" t="s">
        <v>313</v>
      </c>
      <c r="E22" s="3">
        <v>389.28233958031399</v>
      </c>
      <c r="F22" s="3">
        <v>0.33</v>
      </c>
      <c r="G22" s="3">
        <v>1.3869866596221421E-2</v>
      </c>
      <c r="H22" s="3">
        <v>916.58368885627783</v>
      </c>
      <c r="I22" s="3"/>
      <c r="J22" s="3">
        <v>1290.9570193928382</v>
      </c>
      <c r="K22" s="3">
        <v>162</v>
      </c>
      <c r="L22" s="3">
        <v>920.42671065295303</v>
      </c>
      <c r="M22" s="3">
        <v>156</v>
      </c>
      <c r="N22" s="3"/>
      <c r="O22" s="3">
        <v>3835.5936283489791</v>
      </c>
    </row>
    <row r="23" spans="2:15" x14ac:dyDescent="0.25">
      <c r="B23" s="23" t="s">
        <v>269</v>
      </c>
      <c r="C23" s="23" t="s">
        <v>298</v>
      </c>
      <c r="D23" s="23" t="s">
        <v>308</v>
      </c>
      <c r="E23" s="3">
        <v>389.28233958031399</v>
      </c>
      <c r="F23" s="3"/>
      <c r="G23" s="3">
        <v>1.3869866596221421E-2</v>
      </c>
      <c r="H23" s="3">
        <v>3478.7064610286907</v>
      </c>
      <c r="I23" s="3">
        <v>1997.7505224930539</v>
      </c>
      <c r="J23" s="3"/>
      <c r="K23" s="3"/>
      <c r="L23" s="3">
        <v>-408.00542132922845</v>
      </c>
      <c r="M23" s="3"/>
      <c r="N23" s="3"/>
      <c r="O23" s="3">
        <v>5457.747771639426</v>
      </c>
    </row>
    <row r="24" spans="2:15" x14ac:dyDescent="0.25">
      <c r="B24" s="23" t="s">
        <v>269</v>
      </c>
      <c r="C24" s="23" t="s">
        <v>298</v>
      </c>
      <c r="D24" s="23" t="s">
        <v>314</v>
      </c>
      <c r="E24" s="3">
        <v>389.28233958031399</v>
      </c>
      <c r="F24" s="3"/>
      <c r="G24" s="3">
        <v>1.3869866596221421E-2</v>
      </c>
      <c r="H24" s="3">
        <v>3507.6925200655614</v>
      </c>
      <c r="I24" s="3">
        <v>2.1977453492772843</v>
      </c>
      <c r="J24" s="3"/>
      <c r="K24" s="3"/>
      <c r="L24" s="3">
        <v>-408.00542132922845</v>
      </c>
      <c r="M24" s="3"/>
      <c r="N24" s="3"/>
      <c r="O24" s="3">
        <v>3491.1810535325208</v>
      </c>
    </row>
    <row r="25" spans="2:15" x14ac:dyDescent="0.25">
      <c r="B25" s="23" t="s">
        <v>269</v>
      </c>
      <c r="C25" s="23" t="s">
        <v>298</v>
      </c>
      <c r="D25" s="23" t="s">
        <v>309</v>
      </c>
      <c r="E25" s="3">
        <v>389.28233958031399</v>
      </c>
      <c r="F25" s="3"/>
      <c r="G25" s="3">
        <v>1.3869866596221421E-2</v>
      </c>
      <c r="H25" s="3">
        <v>4306.3515302483956</v>
      </c>
      <c r="I25" s="3">
        <v>651.26520516916901</v>
      </c>
      <c r="J25" s="3"/>
      <c r="K25" s="3"/>
      <c r="L25" s="3">
        <v>-408.00542132922845</v>
      </c>
      <c r="M25" s="3"/>
      <c r="N25" s="3"/>
      <c r="O25" s="3">
        <v>4938.9075235352466</v>
      </c>
    </row>
    <row r="26" spans="2:15" x14ac:dyDescent="0.25">
      <c r="B26" s="23" t="s">
        <v>269</v>
      </c>
      <c r="C26" s="23" t="s">
        <v>298</v>
      </c>
      <c r="D26" s="23" t="s">
        <v>315</v>
      </c>
      <c r="E26" s="3">
        <v>389.28233958031399</v>
      </c>
      <c r="F26" s="3">
        <v>0.33</v>
      </c>
      <c r="G26" s="3">
        <v>1.3869866596221421E-2</v>
      </c>
      <c r="H26" s="3">
        <v>550.66065355099931</v>
      </c>
      <c r="I26" s="3">
        <v>1058.5806765685606</v>
      </c>
      <c r="J26" s="3">
        <v>499.76676265425448</v>
      </c>
      <c r="K26" s="3">
        <v>162</v>
      </c>
      <c r="L26" s="3">
        <v>285.51277437631296</v>
      </c>
      <c r="M26" s="3">
        <v>125</v>
      </c>
      <c r="N26" s="3"/>
      <c r="O26" s="3">
        <v>3071.1470765970375</v>
      </c>
    </row>
    <row r="27" spans="2:15" x14ac:dyDescent="0.25">
      <c r="B27" s="23" t="s">
        <v>269</v>
      </c>
      <c r="C27" s="23" t="s">
        <v>298</v>
      </c>
      <c r="D27" s="23" t="s">
        <v>316</v>
      </c>
      <c r="E27" s="3">
        <v>389.28233958031399</v>
      </c>
      <c r="F27" s="3">
        <v>0.33</v>
      </c>
      <c r="G27" s="3">
        <v>1.3869866596221421E-2</v>
      </c>
      <c r="H27" s="3">
        <v>1862.035104988463</v>
      </c>
      <c r="I27" s="3">
        <v>250.1766789260642</v>
      </c>
      <c r="J27" s="3">
        <v>543.35249770969801</v>
      </c>
      <c r="K27" s="3">
        <v>162</v>
      </c>
      <c r="L27" s="3">
        <v>190.40278772626399</v>
      </c>
      <c r="M27" s="3">
        <v>125</v>
      </c>
      <c r="N27" s="3"/>
      <c r="O27" s="3">
        <v>3522.5932787973993</v>
      </c>
    </row>
    <row r="28" spans="2:15" x14ac:dyDescent="0.25">
      <c r="B28" s="23" t="s">
        <v>269</v>
      </c>
      <c r="C28" s="23" t="s">
        <v>298</v>
      </c>
      <c r="D28" s="23" t="s">
        <v>317</v>
      </c>
      <c r="E28" s="3">
        <v>389.28233958031399</v>
      </c>
      <c r="F28" s="3">
        <v>0.33</v>
      </c>
      <c r="G28" s="3">
        <v>1.3869866596221421E-2</v>
      </c>
      <c r="H28" s="3">
        <v>702.70875825788551</v>
      </c>
      <c r="I28" s="3">
        <v>2621.9102016878019</v>
      </c>
      <c r="J28" s="3"/>
      <c r="K28" s="3">
        <v>81.419831679281302</v>
      </c>
      <c r="L28" s="3">
        <v>-72.296053408955032</v>
      </c>
      <c r="M28" s="3"/>
      <c r="N28" s="3"/>
      <c r="O28" s="3">
        <v>3723.3689476629238</v>
      </c>
    </row>
    <row r="29" spans="2:15" x14ac:dyDescent="0.25">
      <c r="B29" s="23" t="s">
        <v>269</v>
      </c>
      <c r="C29" s="23" t="s">
        <v>298</v>
      </c>
      <c r="D29" s="23" t="s">
        <v>318</v>
      </c>
      <c r="E29" s="3">
        <v>389.28233958031399</v>
      </c>
      <c r="F29" s="3">
        <v>0.33</v>
      </c>
      <c r="G29" s="3">
        <v>1.3869866596221421E-2</v>
      </c>
      <c r="H29" s="3">
        <v>231.22426930499938</v>
      </c>
      <c r="I29" s="3"/>
      <c r="J29" s="3">
        <v>369.35199988913394</v>
      </c>
      <c r="K29" s="3">
        <v>162</v>
      </c>
      <c r="L29" s="3">
        <v>1567.7649341581114</v>
      </c>
      <c r="M29" s="3">
        <v>125</v>
      </c>
      <c r="N29" s="3"/>
      <c r="O29" s="3">
        <v>2844.9674127991548</v>
      </c>
    </row>
    <row r="30" spans="2:15" x14ac:dyDescent="0.25">
      <c r="B30" s="23" t="s">
        <v>269</v>
      </c>
      <c r="C30" s="23" t="s">
        <v>298</v>
      </c>
      <c r="D30" s="23" t="s">
        <v>319</v>
      </c>
      <c r="E30" s="3">
        <v>389.28233958031399</v>
      </c>
      <c r="F30" s="3">
        <v>0.33</v>
      </c>
      <c r="G30" s="3">
        <v>1.3869866596221421E-2</v>
      </c>
      <c r="H30" s="3">
        <v>816.37991099394458</v>
      </c>
      <c r="I30" s="3">
        <v>1912.7710356543323</v>
      </c>
      <c r="J30" s="3"/>
      <c r="K30" s="3">
        <v>181.27828255663201</v>
      </c>
      <c r="L30" s="3">
        <v>-72.296053408955032</v>
      </c>
      <c r="M30" s="3"/>
      <c r="N30" s="3"/>
      <c r="O30" s="3">
        <v>3227.7593852428636</v>
      </c>
    </row>
    <row r="31" spans="2:15" x14ac:dyDescent="0.25">
      <c r="B31" s="23" t="s">
        <v>269</v>
      </c>
      <c r="C31" s="23" t="s">
        <v>307</v>
      </c>
      <c r="D31" s="23" t="s">
        <v>310</v>
      </c>
      <c r="E31" s="3">
        <v>389.28233958031399</v>
      </c>
      <c r="F31" s="3"/>
      <c r="G31" s="3">
        <v>1.4548661257536051E-2</v>
      </c>
      <c r="H31" s="3">
        <v>3851.9921919147746</v>
      </c>
      <c r="I31" s="3">
        <v>34.431343805344156</v>
      </c>
      <c r="J31" s="3"/>
      <c r="K31" s="3"/>
      <c r="L31" s="3">
        <v>-82.623113363215097</v>
      </c>
      <c r="M31" s="3"/>
      <c r="N31" s="3"/>
      <c r="O31" s="3">
        <v>4193.0973105984749</v>
      </c>
    </row>
    <row r="32" spans="2:15" x14ac:dyDescent="0.25">
      <c r="B32" s="23" t="s">
        <v>269</v>
      </c>
      <c r="C32" s="23" t="s">
        <v>307</v>
      </c>
      <c r="D32" s="23" t="s">
        <v>311</v>
      </c>
      <c r="E32" s="3">
        <v>389.28233958031399</v>
      </c>
      <c r="F32" s="3">
        <v>8.58</v>
      </c>
      <c r="G32" s="3">
        <v>1.4548661257536051E-2</v>
      </c>
      <c r="H32" s="3">
        <v>274.01592225174977</v>
      </c>
      <c r="I32" s="3">
        <v>4.3954906985545801</v>
      </c>
      <c r="J32" s="3">
        <v>1842.8401930628143</v>
      </c>
      <c r="K32" s="3">
        <v>162</v>
      </c>
      <c r="L32" s="3">
        <v>1603.1353859126161</v>
      </c>
      <c r="M32" s="3">
        <v>156</v>
      </c>
      <c r="N32" s="3">
        <v>31.271000000000001</v>
      </c>
      <c r="O32" s="3">
        <v>4471.5348801673053</v>
      </c>
    </row>
    <row r="33" spans="2:15" x14ac:dyDescent="0.25">
      <c r="B33" s="23" t="s">
        <v>269</v>
      </c>
      <c r="C33" s="23" t="s">
        <v>307</v>
      </c>
      <c r="D33" s="23" t="s">
        <v>312</v>
      </c>
      <c r="E33" s="3">
        <v>389.28233958031399</v>
      </c>
      <c r="F33" s="3">
        <v>0.33</v>
      </c>
      <c r="G33" s="3">
        <v>1.4548661257536051E-2</v>
      </c>
      <c r="H33" s="3">
        <v>2620.2258697492543</v>
      </c>
      <c r="I33" s="3">
        <v>1677.6122832816627</v>
      </c>
      <c r="J33" s="3">
        <v>262.04564295703648</v>
      </c>
      <c r="K33" s="3">
        <v>245.333333333333</v>
      </c>
      <c r="L33" s="3">
        <v>-72.296053408955032</v>
      </c>
      <c r="M33" s="3"/>
      <c r="N33" s="3"/>
      <c r="O33" s="3">
        <v>5122.5479641539032</v>
      </c>
    </row>
    <row r="34" spans="2:15" x14ac:dyDescent="0.25">
      <c r="B34" s="23" t="s">
        <v>269</v>
      </c>
      <c r="C34" s="23" t="s">
        <v>307</v>
      </c>
      <c r="D34" s="23" t="s">
        <v>313</v>
      </c>
      <c r="E34" s="3">
        <v>389.28233958031399</v>
      </c>
      <c r="F34" s="3">
        <v>7.83</v>
      </c>
      <c r="G34" s="3">
        <v>1.4548661257536051E-2</v>
      </c>
      <c r="H34" s="3">
        <v>608.58450338104956</v>
      </c>
      <c r="I34" s="3"/>
      <c r="J34" s="3">
        <v>1841.8701930628142</v>
      </c>
      <c r="K34" s="3">
        <v>162</v>
      </c>
      <c r="L34" s="3">
        <v>505.84019280611591</v>
      </c>
      <c r="M34" s="3">
        <v>156</v>
      </c>
      <c r="N34" s="3">
        <v>31.271000000000001</v>
      </c>
      <c r="O34" s="3">
        <v>3702.6927774915512</v>
      </c>
    </row>
    <row r="35" spans="2:15" x14ac:dyDescent="0.25">
      <c r="B35" s="23" t="s">
        <v>269</v>
      </c>
      <c r="C35" s="23" t="s">
        <v>307</v>
      </c>
      <c r="D35" s="23" t="s">
        <v>308</v>
      </c>
      <c r="E35" s="3">
        <v>389.28233958031399</v>
      </c>
      <c r="F35" s="3">
        <v>0.33</v>
      </c>
      <c r="G35" s="3">
        <v>1.4548661257536051E-2</v>
      </c>
      <c r="H35" s="3">
        <v>594.35540118677795</v>
      </c>
      <c r="I35" s="3">
        <v>1864.4206379702309</v>
      </c>
      <c r="J35" s="3">
        <v>1565.2971861785045</v>
      </c>
      <c r="K35" s="3">
        <v>162</v>
      </c>
      <c r="L35" s="3">
        <v>-27.518695659438773</v>
      </c>
      <c r="M35" s="3">
        <v>156</v>
      </c>
      <c r="N35" s="3"/>
      <c r="O35" s="3">
        <v>4704.1814179176463</v>
      </c>
    </row>
    <row r="36" spans="2:15" x14ac:dyDescent="0.25">
      <c r="B36" s="23" t="s">
        <v>269</v>
      </c>
      <c r="C36" s="23" t="s">
        <v>307</v>
      </c>
      <c r="D36" s="23" t="s">
        <v>314</v>
      </c>
      <c r="E36" s="3">
        <v>389.28233958031399</v>
      </c>
      <c r="F36" s="3">
        <v>0.33</v>
      </c>
      <c r="G36" s="3">
        <v>1.4548661257536051E-2</v>
      </c>
      <c r="H36" s="3">
        <v>2867.136800088113</v>
      </c>
      <c r="I36" s="3"/>
      <c r="J36" s="3">
        <v>229.14748878228028</v>
      </c>
      <c r="K36" s="3">
        <v>245.333333333333</v>
      </c>
      <c r="L36" s="3">
        <v>-71.670624837526461</v>
      </c>
      <c r="M36" s="3"/>
      <c r="N36" s="3"/>
      <c r="O36" s="3">
        <v>3659.5738856077714</v>
      </c>
    </row>
    <row r="37" spans="2:15" x14ac:dyDescent="0.25">
      <c r="B37" s="23" t="s">
        <v>269</v>
      </c>
      <c r="C37" s="23" t="s">
        <v>307</v>
      </c>
      <c r="D37" s="23" t="s">
        <v>309</v>
      </c>
      <c r="E37" s="3">
        <v>389.28233958031399</v>
      </c>
      <c r="F37" s="3">
        <v>8.58</v>
      </c>
      <c r="G37" s="3">
        <v>1.4548661257536051E-2</v>
      </c>
      <c r="H37" s="3">
        <v>345.77964883834147</v>
      </c>
      <c r="I37" s="3">
        <v>212.44871709680461</v>
      </c>
      <c r="J37" s="3">
        <v>1842.8401930628143</v>
      </c>
      <c r="K37" s="3">
        <v>162</v>
      </c>
      <c r="L37" s="3">
        <v>1331.763244080405</v>
      </c>
      <c r="M37" s="3">
        <v>156</v>
      </c>
      <c r="N37" s="3">
        <v>31.271000000000001</v>
      </c>
      <c r="O37" s="3">
        <v>4479.9796913199361</v>
      </c>
    </row>
    <row r="38" spans="2:15" x14ac:dyDescent="0.25">
      <c r="B38" s="23" t="s">
        <v>269</v>
      </c>
      <c r="C38" s="23" t="s">
        <v>307</v>
      </c>
      <c r="D38" s="23" t="s">
        <v>315</v>
      </c>
      <c r="E38" s="3">
        <v>389.28233958031399</v>
      </c>
      <c r="F38" s="3">
        <v>0.33</v>
      </c>
      <c r="G38" s="3">
        <v>1.4548661257536051E-2</v>
      </c>
      <c r="H38" s="3">
        <v>1321.5816519882603</v>
      </c>
      <c r="I38" s="3">
        <v>146.51635661848576</v>
      </c>
      <c r="J38" s="3">
        <v>1593.7728191207532</v>
      </c>
      <c r="K38" s="3">
        <v>162</v>
      </c>
      <c r="L38" s="3">
        <v>-68.536066638335171</v>
      </c>
      <c r="M38" s="3">
        <v>156</v>
      </c>
      <c r="N38" s="3"/>
      <c r="O38" s="3">
        <v>3700.9616493307353</v>
      </c>
    </row>
    <row r="39" spans="2:15" x14ac:dyDescent="0.25">
      <c r="B39" s="23" t="s">
        <v>269</v>
      </c>
      <c r="C39" s="23" t="s">
        <v>307</v>
      </c>
      <c r="D39" s="23" t="s">
        <v>316</v>
      </c>
      <c r="E39" s="3">
        <v>389.28233958031399</v>
      </c>
      <c r="F39" s="3">
        <v>8.58</v>
      </c>
      <c r="G39" s="3">
        <v>1.4548661257536051E-2</v>
      </c>
      <c r="H39" s="3">
        <v>1271.7464890180868</v>
      </c>
      <c r="I39" s="3">
        <v>8.0583996140167216</v>
      </c>
      <c r="J39" s="3">
        <v>1842.8401930628143</v>
      </c>
      <c r="K39" s="3">
        <v>162</v>
      </c>
      <c r="L39" s="3">
        <v>36.471774010979587</v>
      </c>
      <c r="M39" s="3">
        <v>156</v>
      </c>
      <c r="N39" s="3">
        <v>31.271000000000001</v>
      </c>
      <c r="O39" s="3">
        <v>3906.264743947469</v>
      </c>
    </row>
    <row r="40" spans="2:15" x14ac:dyDescent="0.25">
      <c r="B40" s="23" t="s">
        <v>269</v>
      </c>
      <c r="C40" s="23" t="s">
        <v>307</v>
      </c>
      <c r="D40" s="23" t="s">
        <v>317</v>
      </c>
      <c r="E40" s="3">
        <v>389.28233958031399</v>
      </c>
      <c r="F40" s="3">
        <v>0.33</v>
      </c>
      <c r="G40" s="3">
        <v>1.4548661257536051E-2</v>
      </c>
      <c r="H40" s="3">
        <v>1187.8678852544804</v>
      </c>
      <c r="I40" s="3">
        <v>2088.5906635965148</v>
      </c>
      <c r="J40" s="3">
        <v>86.011582753426296</v>
      </c>
      <c r="K40" s="3">
        <v>148.563093604263</v>
      </c>
      <c r="L40" s="3">
        <v>-71.670624837526461</v>
      </c>
      <c r="M40" s="3"/>
      <c r="N40" s="3"/>
      <c r="O40" s="3">
        <v>3828.9894886127299</v>
      </c>
    </row>
    <row r="41" spans="2:15" x14ac:dyDescent="0.25">
      <c r="B41" s="23" t="s">
        <v>269</v>
      </c>
      <c r="C41" s="23" t="s">
        <v>307</v>
      </c>
      <c r="D41" s="23" t="s">
        <v>318</v>
      </c>
      <c r="E41" s="3">
        <v>389.28233958031399</v>
      </c>
      <c r="F41" s="3">
        <v>0.33</v>
      </c>
      <c r="G41" s="3">
        <v>1.4548661257536051E-2</v>
      </c>
      <c r="H41" s="3">
        <v>2303.0906762408626</v>
      </c>
      <c r="I41" s="3"/>
      <c r="J41" s="3">
        <v>79.091582753426309</v>
      </c>
      <c r="K41" s="3">
        <v>143.47973383466601</v>
      </c>
      <c r="L41" s="3">
        <v>-72.796053408955032</v>
      </c>
      <c r="M41" s="3"/>
      <c r="N41" s="3"/>
      <c r="O41" s="3">
        <v>2842.4928276615715</v>
      </c>
    </row>
    <row r="42" spans="2:15" x14ac:dyDescent="0.25">
      <c r="B42" s="23" t="s">
        <v>269</v>
      </c>
      <c r="C42" s="23" t="s">
        <v>307</v>
      </c>
      <c r="D42" s="23" t="s">
        <v>319</v>
      </c>
      <c r="E42" s="3">
        <v>389.28233958031399</v>
      </c>
      <c r="F42" s="3"/>
      <c r="G42" s="3">
        <v>1.4548661257536051E-2</v>
      </c>
      <c r="H42" s="3">
        <v>2843.8318674306311</v>
      </c>
      <c r="I42" s="3">
        <v>1328.1707727465728</v>
      </c>
      <c r="J42" s="3"/>
      <c r="K42" s="3"/>
      <c r="L42" s="3">
        <v>-72.909386742288362</v>
      </c>
      <c r="M42" s="3"/>
      <c r="N42" s="3"/>
      <c r="O42" s="3">
        <v>4488.3901416764875</v>
      </c>
    </row>
    <row r="43" spans="2:15" x14ac:dyDescent="0.25">
      <c r="B43" s="23" t="s">
        <v>0</v>
      </c>
      <c r="E43" s="3">
        <v>14014.164224891298</v>
      </c>
      <c r="F43" s="3">
        <v>357.23999999999967</v>
      </c>
      <c r="G43" s="3">
        <v>0.49519116171593447</v>
      </c>
      <c r="H43" s="3">
        <v>67754.663833192943</v>
      </c>
      <c r="I43" s="3">
        <v>24299.188308838544</v>
      </c>
      <c r="J43" s="3">
        <v>28092.519138269265</v>
      </c>
      <c r="K43" s="3">
        <v>4714.5897900668451</v>
      </c>
      <c r="L43" s="3">
        <v>7882.240885338776</v>
      </c>
      <c r="M43" s="3">
        <v>3134.8126663591393</v>
      </c>
      <c r="N43" s="3">
        <v>300.52400000000006</v>
      </c>
      <c r="O43" s="3">
        <v>150550.43803811859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L7"/>
  <sheetViews>
    <sheetView workbookViewId="0">
      <selection activeCell="B4" sqref="B4"/>
    </sheetView>
  </sheetViews>
  <sheetFormatPr defaultRowHeight="15" x14ac:dyDescent="0.25"/>
  <cols>
    <col min="2" max="2" width="11.7109375" customWidth="1"/>
    <col min="3" max="3" width="13.140625" bestFit="1" customWidth="1"/>
    <col min="4" max="10" width="13.5703125" customWidth="1"/>
    <col min="11" max="11" width="13.5703125" bestFit="1" customWidth="1"/>
    <col min="12" max="12" width="12" bestFit="1" customWidth="1"/>
    <col min="13" max="14" width="12" customWidth="1"/>
    <col min="15" max="20" width="13.5703125" bestFit="1" customWidth="1"/>
    <col min="21" max="21" width="12" bestFit="1" customWidth="1"/>
    <col min="22" max="24" width="14.140625" bestFit="1" customWidth="1"/>
    <col min="25" max="27" width="12" bestFit="1" customWidth="1"/>
    <col min="28" max="28" width="16" bestFit="1" customWidth="1"/>
    <col min="29" max="29" width="12" bestFit="1" customWidth="1"/>
  </cols>
  <sheetData>
    <row r="1" spans="2:12" x14ac:dyDescent="0.25">
      <c r="B1" s="1" t="s">
        <v>118</v>
      </c>
      <c r="C1" s="23" t="s">
        <v>138</v>
      </c>
    </row>
    <row r="2" spans="2:12" x14ac:dyDescent="0.25">
      <c r="B2" s="1" t="s">
        <v>322</v>
      </c>
      <c r="C2" s="23" t="s">
        <v>138</v>
      </c>
    </row>
    <row r="4" spans="2:12" x14ac:dyDescent="0.25">
      <c r="B4" s="1" t="s">
        <v>13</v>
      </c>
      <c r="D4" s="1" t="s">
        <v>12</v>
      </c>
    </row>
    <row r="5" spans="2:12" x14ac:dyDescent="0.25">
      <c r="B5" s="1" t="s">
        <v>11</v>
      </c>
      <c r="C5" s="1" t="s">
        <v>272</v>
      </c>
      <c r="D5" s="23" t="s">
        <v>198</v>
      </c>
      <c r="E5" s="23" t="s">
        <v>259</v>
      </c>
      <c r="F5" s="23" t="s">
        <v>141</v>
      </c>
      <c r="G5" s="23" t="s">
        <v>262</v>
      </c>
      <c r="H5" s="23" t="s">
        <v>260</v>
      </c>
      <c r="I5" s="23" t="s">
        <v>261</v>
      </c>
      <c r="J5" s="23" t="s">
        <v>140</v>
      </c>
      <c r="K5" s="23" t="s">
        <v>270</v>
      </c>
      <c r="L5" s="23" t="s">
        <v>0</v>
      </c>
    </row>
    <row r="6" spans="2:12" x14ac:dyDescent="0.25">
      <c r="B6" s="23" t="s">
        <v>6</v>
      </c>
      <c r="C6" s="23" t="s">
        <v>269</v>
      </c>
      <c r="D6" s="3">
        <v>2.3528978505278508</v>
      </c>
      <c r="E6" s="3">
        <v>1.529622465221689</v>
      </c>
      <c r="F6" s="3">
        <v>11.63128412032294</v>
      </c>
      <c r="G6" s="3">
        <v>6.1933199999999999</v>
      </c>
      <c r="H6" s="3">
        <v>2.2803100021518792</v>
      </c>
      <c r="I6" s="3">
        <v>0.26451682324902714</v>
      </c>
      <c r="J6" s="3">
        <v>22.278964560536341</v>
      </c>
      <c r="K6" s="3">
        <v>3.0873320864086184</v>
      </c>
      <c r="L6" s="3">
        <v>49.618247908418347</v>
      </c>
    </row>
    <row r="7" spans="2:12" x14ac:dyDescent="0.25">
      <c r="B7" s="23" t="s">
        <v>0</v>
      </c>
      <c r="D7" s="3">
        <v>2.3528978505278508</v>
      </c>
      <c r="E7" s="3">
        <v>1.529622465221689</v>
      </c>
      <c r="F7" s="3">
        <v>11.63128412032294</v>
      </c>
      <c r="G7" s="3">
        <v>6.1933199999999999</v>
      </c>
      <c r="H7" s="3">
        <v>2.2803100021518792</v>
      </c>
      <c r="I7" s="3">
        <v>0.26451682324902714</v>
      </c>
      <c r="J7" s="3">
        <v>22.278964560536341</v>
      </c>
      <c r="K7" s="3">
        <v>3.0873320864086184</v>
      </c>
      <c r="L7" s="3">
        <v>49.618247908418347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P44"/>
  <sheetViews>
    <sheetView topLeftCell="A5" zoomScale="85" zoomScaleNormal="85" workbookViewId="0">
      <selection activeCell="F6" sqref="F6"/>
    </sheetView>
  </sheetViews>
  <sheetFormatPr defaultRowHeight="15" x14ac:dyDescent="0.25"/>
  <cols>
    <col min="2" max="2" width="13.28515625" bestFit="1" customWidth="1"/>
    <col min="3" max="3" width="8.140625" bestFit="1" customWidth="1"/>
    <col min="4" max="4" width="8.140625" customWidth="1"/>
    <col min="5" max="15" width="13.5703125" customWidth="1"/>
    <col min="16" max="16" width="12.28515625" customWidth="1"/>
    <col min="17" max="25" width="14.140625" bestFit="1" customWidth="1"/>
    <col min="26" max="26" width="12.28515625" bestFit="1" customWidth="1"/>
    <col min="27" max="27" width="12.28515625" customWidth="1"/>
    <col min="28" max="28" width="55.140625" bestFit="1" customWidth="1"/>
    <col min="29" max="31" width="55.140625" customWidth="1"/>
    <col min="32" max="32" width="55.140625" bestFit="1" customWidth="1"/>
    <col min="33" max="34" width="55.140625" customWidth="1"/>
    <col min="35" max="35" width="55.140625" bestFit="1" customWidth="1"/>
    <col min="36" max="41" width="55.140625" customWidth="1"/>
    <col min="42" max="42" width="55.140625" bestFit="1" customWidth="1"/>
    <col min="43" max="43" width="55.140625" customWidth="1"/>
    <col min="44" max="112" width="55.140625" bestFit="1" customWidth="1"/>
    <col min="113" max="113" width="12.28515625" customWidth="1"/>
    <col min="114" max="120" width="29.42578125" bestFit="1" customWidth="1"/>
    <col min="121" max="121" width="12.28515625" bestFit="1" customWidth="1"/>
  </cols>
  <sheetData>
    <row r="3" spans="2:16" x14ac:dyDescent="0.25">
      <c r="B3" s="1" t="s">
        <v>118</v>
      </c>
      <c r="C3" s="23" t="s">
        <v>138</v>
      </c>
    </row>
    <row r="4" spans="2:16" x14ac:dyDescent="0.25">
      <c r="B4" s="1" t="s">
        <v>11</v>
      </c>
      <c r="C4" s="23" t="s">
        <v>138</v>
      </c>
    </row>
    <row r="6" spans="2:16" x14ac:dyDescent="0.25">
      <c r="B6" s="1" t="s">
        <v>14</v>
      </c>
      <c r="E6" s="1" t="s">
        <v>12</v>
      </c>
    </row>
    <row r="7" spans="2:16" x14ac:dyDescent="0.25">
      <c r="B7" s="1" t="s">
        <v>272</v>
      </c>
      <c r="C7" s="1" t="s">
        <v>15</v>
      </c>
      <c r="D7" s="1" t="s">
        <v>61</v>
      </c>
      <c r="E7" s="23" t="s">
        <v>198</v>
      </c>
      <c r="F7" s="23" t="s">
        <v>153</v>
      </c>
      <c r="G7" s="23" t="s">
        <v>259</v>
      </c>
      <c r="H7" s="23" t="s">
        <v>141</v>
      </c>
      <c r="I7" s="23" t="s">
        <v>262</v>
      </c>
      <c r="J7" s="23" t="s">
        <v>260</v>
      </c>
      <c r="K7" s="23" t="s">
        <v>140</v>
      </c>
      <c r="L7" s="23" t="s">
        <v>261</v>
      </c>
      <c r="M7" s="23" t="s">
        <v>270</v>
      </c>
      <c r="N7" s="23" t="s">
        <v>236</v>
      </c>
      <c r="O7" s="23" t="s">
        <v>9</v>
      </c>
      <c r="P7" s="23" t="s">
        <v>0</v>
      </c>
    </row>
    <row r="8" spans="2:16" x14ac:dyDescent="0.25">
      <c r="B8" s="23" t="s">
        <v>269</v>
      </c>
      <c r="C8" s="23" t="s">
        <v>306</v>
      </c>
      <c r="D8" s="23" t="s">
        <v>311</v>
      </c>
      <c r="E8" s="3">
        <v>420.90558823529415</v>
      </c>
      <c r="F8" s="3">
        <v>3645.5971789587247</v>
      </c>
      <c r="G8" s="3">
        <v>216.00000000000028</v>
      </c>
      <c r="H8" s="3">
        <v>1327.7721598542171</v>
      </c>
      <c r="I8" s="3">
        <v>707</v>
      </c>
      <c r="J8" s="3">
        <v>277.83501449513471</v>
      </c>
      <c r="K8" s="3">
        <v>3587.8841920271539</v>
      </c>
      <c r="L8" s="3">
        <v>35.257999999999996</v>
      </c>
      <c r="M8" s="3">
        <v>504.29340708233741</v>
      </c>
      <c r="N8" s="3"/>
      <c r="O8" s="3"/>
      <c r="P8" s="3">
        <v>10722.545540652862</v>
      </c>
    </row>
    <row r="9" spans="2:16" x14ac:dyDescent="0.25">
      <c r="B9" s="23" t="s">
        <v>269</v>
      </c>
      <c r="C9" s="23" t="s">
        <v>306</v>
      </c>
      <c r="D9" s="23" t="s">
        <v>310</v>
      </c>
      <c r="E9" s="3">
        <v>435.78295692476132</v>
      </c>
      <c r="F9" s="3">
        <v>4882.6332885501379</v>
      </c>
      <c r="G9" s="3"/>
      <c r="H9" s="3">
        <v>1327.7721598542171</v>
      </c>
      <c r="I9" s="3">
        <v>707</v>
      </c>
      <c r="J9" s="3">
        <v>503.95083260137602</v>
      </c>
      <c r="K9" s="3">
        <v>3533.8669964655137</v>
      </c>
      <c r="L9" s="3">
        <v>41.917999999999992</v>
      </c>
      <c r="M9" s="3">
        <v>279.36</v>
      </c>
      <c r="N9" s="3"/>
      <c r="O9" s="3"/>
      <c r="P9" s="3">
        <v>11712.284234396006</v>
      </c>
    </row>
    <row r="10" spans="2:16" x14ac:dyDescent="0.25">
      <c r="B10" s="23" t="s">
        <v>269</v>
      </c>
      <c r="C10" s="23" t="s">
        <v>306</v>
      </c>
      <c r="D10" s="23" t="s">
        <v>309</v>
      </c>
      <c r="E10" s="3">
        <v>443.76760448743187</v>
      </c>
      <c r="F10" s="3">
        <v>1831.5314360444229</v>
      </c>
      <c r="G10" s="3">
        <v>216.00000000000028</v>
      </c>
      <c r="H10" s="3">
        <v>1327.7721598542171</v>
      </c>
      <c r="I10" s="3">
        <v>707</v>
      </c>
      <c r="J10" s="3">
        <v>1.6500000000000001</v>
      </c>
      <c r="K10" s="3">
        <v>4990.492871174064</v>
      </c>
      <c r="L10" s="3">
        <v>35.257999999999996</v>
      </c>
      <c r="M10" s="3">
        <v>504.29340708233741</v>
      </c>
      <c r="N10" s="3">
        <v>71.317073170731717</v>
      </c>
      <c r="O10" s="3">
        <v>110.49592049242742</v>
      </c>
      <c r="P10" s="3">
        <v>10239.578472305631</v>
      </c>
    </row>
    <row r="11" spans="2:16" x14ac:dyDescent="0.25">
      <c r="B11" s="23" t="s">
        <v>269</v>
      </c>
      <c r="C11" s="23" t="s">
        <v>306</v>
      </c>
      <c r="D11" s="23" t="s">
        <v>315</v>
      </c>
      <c r="E11" s="3">
        <v>445.17029411764707</v>
      </c>
      <c r="F11" s="3">
        <v>2724.1026719358401</v>
      </c>
      <c r="G11" s="3">
        <v>216.00000000000028</v>
      </c>
      <c r="H11" s="3">
        <v>1327.7721598542171</v>
      </c>
      <c r="I11" s="3">
        <v>707</v>
      </c>
      <c r="J11" s="3">
        <v>2.15</v>
      </c>
      <c r="K11" s="3">
        <v>5853.6143547334977</v>
      </c>
      <c r="L11" s="3">
        <v>35.257999999999996</v>
      </c>
      <c r="M11" s="3">
        <v>504.29340708233741</v>
      </c>
      <c r="N11" s="3">
        <v>71.317073170731717</v>
      </c>
      <c r="O11" s="3"/>
      <c r="P11" s="3">
        <v>11886.677960894272</v>
      </c>
    </row>
    <row r="12" spans="2:16" x14ac:dyDescent="0.25">
      <c r="B12" s="23" t="s">
        <v>269</v>
      </c>
      <c r="C12" s="23" t="s">
        <v>306</v>
      </c>
      <c r="D12" s="23" t="s">
        <v>316</v>
      </c>
      <c r="E12" s="3">
        <v>445.17029411764707</v>
      </c>
      <c r="F12" s="3">
        <v>2565.0518654952348</v>
      </c>
      <c r="G12" s="3">
        <v>216.00000000000028</v>
      </c>
      <c r="H12" s="3">
        <v>1327.7721598542171</v>
      </c>
      <c r="I12" s="3">
        <v>707</v>
      </c>
      <c r="J12" s="3">
        <v>2.15</v>
      </c>
      <c r="K12" s="3">
        <v>5405.8729565036792</v>
      </c>
      <c r="L12" s="3">
        <v>35.257999999999996</v>
      </c>
      <c r="M12" s="3">
        <v>504.29340708233741</v>
      </c>
      <c r="N12" s="3">
        <v>71.317073170731717</v>
      </c>
      <c r="O12" s="3"/>
      <c r="P12" s="3">
        <v>11279.885756223848</v>
      </c>
    </row>
    <row r="13" spans="2:16" x14ac:dyDescent="0.25">
      <c r="B13" s="23" t="s">
        <v>269</v>
      </c>
      <c r="C13" s="23" t="s">
        <v>306</v>
      </c>
      <c r="D13" s="23" t="s">
        <v>313</v>
      </c>
      <c r="E13" s="3">
        <v>414.90281299429444</v>
      </c>
      <c r="F13" s="3">
        <v>3159.8282159961577</v>
      </c>
      <c r="G13" s="3">
        <v>216.00000000000028</v>
      </c>
      <c r="H13" s="3">
        <v>1327.7721598542171</v>
      </c>
      <c r="I13" s="3">
        <v>707</v>
      </c>
      <c r="J13" s="3">
        <v>277.83501449513471</v>
      </c>
      <c r="K13" s="3">
        <v>3362.9822557420393</v>
      </c>
      <c r="L13" s="3">
        <v>35.257999999999996</v>
      </c>
      <c r="M13" s="3">
        <v>504.29340708233741</v>
      </c>
      <c r="N13" s="3"/>
      <c r="O13" s="3"/>
      <c r="P13" s="3">
        <v>10005.871866164181</v>
      </c>
    </row>
    <row r="14" spans="2:16" x14ac:dyDescent="0.25">
      <c r="B14" s="23" t="s">
        <v>269</v>
      </c>
      <c r="C14" s="23" t="s">
        <v>306</v>
      </c>
      <c r="D14" s="23" t="s">
        <v>312</v>
      </c>
      <c r="E14" s="3">
        <v>420.46372790243083</v>
      </c>
      <c r="F14" s="3">
        <v>4844.3315180946829</v>
      </c>
      <c r="G14" s="3">
        <v>29.1317978560058</v>
      </c>
      <c r="H14" s="3">
        <v>1327.7721598542171</v>
      </c>
      <c r="I14" s="3">
        <v>707</v>
      </c>
      <c r="J14" s="3">
        <v>278.17501449513469</v>
      </c>
      <c r="K14" s="3">
        <v>3831.5997808133707</v>
      </c>
      <c r="L14" s="3">
        <v>35.257999999999996</v>
      </c>
      <c r="M14" s="3">
        <v>270.33</v>
      </c>
      <c r="N14" s="3"/>
      <c r="O14" s="3"/>
      <c r="P14" s="3">
        <v>11744.061999015841</v>
      </c>
    </row>
    <row r="15" spans="2:16" x14ac:dyDescent="0.25">
      <c r="B15" s="23" t="s">
        <v>269</v>
      </c>
      <c r="C15" s="23" t="s">
        <v>306</v>
      </c>
      <c r="D15" s="23" t="s">
        <v>308</v>
      </c>
      <c r="E15" s="3">
        <v>415.28167159951334</v>
      </c>
      <c r="F15" s="3">
        <v>2936.9692978277299</v>
      </c>
      <c r="G15" s="3">
        <v>327.11111111111131</v>
      </c>
      <c r="H15" s="3">
        <v>1327.7721598542171</v>
      </c>
      <c r="I15" s="3">
        <v>707</v>
      </c>
      <c r="J15" s="3">
        <v>277.83501449513471</v>
      </c>
      <c r="K15" s="3">
        <v>3086.8781473377912</v>
      </c>
      <c r="L15" s="3">
        <v>35.257999999999996</v>
      </c>
      <c r="M15" s="3">
        <v>267.91000000000003</v>
      </c>
      <c r="N15" s="3"/>
      <c r="O15" s="3">
        <v>453.66940519318081</v>
      </c>
      <c r="P15" s="3">
        <v>9835.6848074186782</v>
      </c>
    </row>
    <row r="16" spans="2:16" x14ac:dyDescent="0.25">
      <c r="B16" s="23" t="s">
        <v>269</v>
      </c>
      <c r="C16" s="23" t="s">
        <v>306</v>
      </c>
      <c r="D16" s="23" t="s">
        <v>314</v>
      </c>
      <c r="E16" s="3">
        <v>431.3889175709017</v>
      </c>
      <c r="F16" s="3">
        <v>2219.1769801666842</v>
      </c>
      <c r="G16" s="3">
        <v>216.00000000000028</v>
      </c>
      <c r="H16" s="3">
        <v>1327.7721598542171</v>
      </c>
      <c r="I16" s="3">
        <v>707</v>
      </c>
      <c r="J16" s="3">
        <v>276.33501449513471</v>
      </c>
      <c r="K16" s="3">
        <v>5548.4652780008282</v>
      </c>
      <c r="L16" s="3">
        <v>35.257999999999996</v>
      </c>
      <c r="M16" s="3">
        <v>504.29340708233741</v>
      </c>
      <c r="N16" s="3"/>
      <c r="O16" s="3"/>
      <c r="P16" s="3">
        <v>11265.689757170105</v>
      </c>
    </row>
    <row r="17" spans="2:16" x14ac:dyDescent="0.25">
      <c r="B17" s="23" t="s">
        <v>269</v>
      </c>
      <c r="C17" s="23" t="s">
        <v>306</v>
      </c>
      <c r="D17" s="23" t="s">
        <v>317</v>
      </c>
      <c r="E17" s="3">
        <v>429.74595789117564</v>
      </c>
      <c r="F17" s="3">
        <v>2244.06169158996</v>
      </c>
      <c r="G17" s="3">
        <v>216.00000000000028</v>
      </c>
      <c r="H17" s="3">
        <v>1327.7721598542171</v>
      </c>
      <c r="I17" s="3">
        <v>707</v>
      </c>
      <c r="J17" s="3">
        <v>276.33501449513471</v>
      </c>
      <c r="K17" s="3">
        <v>4225.7553466911713</v>
      </c>
      <c r="L17" s="3">
        <v>35.257999999999996</v>
      </c>
      <c r="M17" s="3">
        <v>504.29340708233741</v>
      </c>
      <c r="N17" s="3"/>
      <c r="O17" s="3">
        <v>241.29618033298217</v>
      </c>
      <c r="P17" s="3">
        <v>10207.517757936977</v>
      </c>
    </row>
    <row r="18" spans="2:16" x14ac:dyDescent="0.25">
      <c r="B18" s="23" t="s">
        <v>269</v>
      </c>
      <c r="C18" s="23" t="s">
        <v>306</v>
      </c>
      <c r="D18" s="23" t="s">
        <v>318</v>
      </c>
      <c r="E18" s="3">
        <v>401.97196617822965</v>
      </c>
      <c r="F18" s="3">
        <v>2438.9683819660531</v>
      </c>
      <c r="G18" s="3">
        <v>216.00000000000028</v>
      </c>
      <c r="H18" s="3">
        <v>1327.7721598542171</v>
      </c>
      <c r="I18" s="3">
        <v>707</v>
      </c>
      <c r="J18" s="3">
        <v>277.83501449513471</v>
      </c>
      <c r="K18" s="3">
        <v>4059.9303918366445</v>
      </c>
      <c r="L18" s="3">
        <v>35.257999999999996</v>
      </c>
      <c r="M18" s="3">
        <v>504.29340708233741</v>
      </c>
      <c r="N18" s="3"/>
      <c r="O18" s="3"/>
      <c r="P18" s="3">
        <v>9969.0293214126159</v>
      </c>
    </row>
    <row r="19" spans="2:16" x14ac:dyDescent="0.25">
      <c r="B19" s="23" t="s">
        <v>269</v>
      </c>
      <c r="C19" s="23" t="s">
        <v>306</v>
      </c>
      <c r="D19" s="23" t="s">
        <v>319</v>
      </c>
      <c r="E19" s="3">
        <v>406.59439256129065</v>
      </c>
      <c r="F19" s="3">
        <v>2450.2594689723232</v>
      </c>
      <c r="G19" s="3">
        <v>216.00000000000028</v>
      </c>
      <c r="H19" s="3">
        <v>1327.7721598542171</v>
      </c>
      <c r="I19" s="3">
        <v>707</v>
      </c>
      <c r="J19" s="3">
        <v>276.33501449513471</v>
      </c>
      <c r="K19" s="3">
        <v>4204.0997786688422</v>
      </c>
      <c r="L19" s="3">
        <v>35.257999999999996</v>
      </c>
      <c r="M19" s="3">
        <v>504.29340708233741</v>
      </c>
      <c r="N19" s="3"/>
      <c r="O19" s="3">
        <v>19.25161131480656</v>
      </c>
      <c r="P19" s="3">
        <v>10146.863832948953</v>
      </c>
    </row>
    <row r="20" spans="2:16" x14ac:dyDescent="0.25">
      <c r="B20" s="23" t="s">
        <v>269</v>
      </c>
      <c r="C20" s="23" t="s">
        <v>298</v>
      </c>
      <c r="D20" s="23" t="s">
        <v>311</v>
      </c>
      <c r="E20" s="3">
        <v>168.64443582643327</v>
      </c>
      <c r="F20" s="3"/>
      <c r="G20" s="3">
        <v>216.00000000000028</v>
      </c>
      <c r="H20" s="3">
        <v>1327.7721598542171</v>
      </c>
      <c r="I20" s="3">
        <v>707</v>
      </c>
      <c r="J20" s="3">
        <v>276.33501449513471</v>
      </c>
      <c r="K20" s="3">
        <v>3083.5692143251094</v>
      </c>
      <c r="L20" s="3">
        <v>26.68</v>
      </c>
      <c r="M20" s="3">
        <v>429.89120229735164</v>
      </c>
      <c r="N20" s="3"/>
      <c r="O20" s="3"/>
      <c r="P20" s="3">
        <v>6235.8920267982467</v>
      </c>
    </row>
    <row r="21" spans="2:16" x14ac:dyDescent="0.25">
      <c r="B21" s="23" t="s">
        <v>269</v>
      </c>
      <c r="C21" s="23" t="s">
        <v>298</v>
      </c>
      <c r="D21" s="23" t="s">
        <v>310</v>
      </c>
      <c r="E21" s="3">
        <v>201.03000000000003</v>
      </c>
      <c r="F21" s="3">
        <v>526.05526073845601</v>
      </c>
      <c r="G21" s="3"/>
      <c r="H21" s="3">
        <v>1327.7721598542171</v>
      </c>
      <c r="I21" s="3">
        <v>707</v>
      </c>
      <c r="J21" s="3">
        <v>556.74601113041649</v>
      </c>
      <c r="K21" s="3">
        <v>2144.4977164806387</v>
      </c>
      <c r="L21" s="3">
        <v>26.68</v>
      </c>
      <c r="M21" s="3">
        <v>239.12205307258614</v>
      </c>
      <c r="N21" s="3"/>
      <c r="O21" s="3"/>
      <c r="P21" s="3">
        <v>5728.9032012763146</v>
      </c>
    </row>
    <row r="22" spans="2:16" x14ac:dyDescent="0.25">
      <c r="B22" s="23" t="s">
        <v>269</v>
      </c>
      <c r="C22" s="23" t="s">
        <v>298</v>
      </c>
      <c r="D22" s="23" t="s">
        <v>309</v>
      </c>
      <c r="E22" s="3">
        <v>216.17956358409796</v>
      </c>
      <c r="F22" s="3">
        <v>360.38980066068603</v>
      </c>
      <c r="G22" s="3"/>
      <c r="H22" s="3">
        <v>1327.7721598542171</v>
      </c>
      <c r="I22" s="3">
        <v>707</v>
      </c>
      <c r="J22" s="3">
        <v>609.92008873620523</v>
      </c>
      <c r="K22" s="3">
        <v>629.92697881566642</v>
      </c>
      <c r="L22" s="3">
        <v>26.68</v>
      </c>
      <c r="M22" s="3">
        <v>249.1652122948596</v>
      </c>
      <c r="N22" s="3"/>
      <c r="O22" s="3"/>
      <c r="P22" s="3">
        <v>4127.033803945732</v>
      </c>
    </row>
    <row r="23" spans="2:16" x14ac:dyDescent="0.25">
      <c r="B23" s="23" t="s">
        <v>269</v>
      </c>
      <c r="C23" s="23" t="s">
        <v>298</v>
      </c>
      <c r="D23" s="23" t="s">
        <v>315</v>
      </c>
      <c r="E23" s="3">
        <v>159.40058823529412</v>
      </c>
      <c r="F23" s="3"/>
      <c r="G23" s="3">
        <v>216.00000000000028</v>
      </c>
      <c r="H23" s="3">
        <v>1327.7721598542171</v>
      </c>
      <c r="I23" s="3">
        <v>707</v>
      </c>
      <c r="J23" s="3">
        <v>276.33501449513471</v>
      </c>
      <c r="K23" s="3">
        <v>1889.0032436284077</v>
      </c>
      <c r="L23" s="3">
        <v>26.68</v>
      </c>
      <c r="M23" s="3">
        <v>375.47940173507209</v>
      </c>
      <c r="N23" s="3"/>
      <c r="O23" s="3"/>
      <c r="P23" s="3">
        <v>4977.670407948126</v>
      </c>
    </row>
    <row r="24" spans="2:16" x14ac:dyDescent="0.25">
      <c r="B24" s="23" t="s">
        <v>269</v>
      </c>
      <c r="C24" s="23" t="s">
        <v>298</v>
      </c>
      <c r="D24" s="23" t="s">
        <v>316</v>
      </c>
      <c r="E24" s="3">
        <v>215.43509220670757</v>
      </c>
      <c r="F24" s="3">
        <v>22.138703482740802</v>
      </c>
      <c r="G24" s="3">
        <v>216.00000000000028</v>
      </c>
      <c r="H24" s="3">
        <v>1327.7721598542171</v>
      </c>
      <c r="I24" s="3">
        <v>707</v>
      </c>
      <c r="J24" s="3">
        <v>276.33501449513471</v>
      </c>
      <c r="K24" s="3">
        <v>1832.4148463414003</v>
      </c>
      <c r="L24" s="3">
        <v>30.48</v>
      </c>
      <c r="M24" s="3">
        <v>366.4135039542964</v>
      </c>
      <c r="N24" s="3"/>
      <c r="O24" s="3"/>
      <c r="P24" s="3">
        <v>4993.9893203344964</v>
      </c>
    </row>
    <row r="25" spans="2:16" x14ac:dyDescent="0.25">
      <c r="B25" s="23" t="s">
        <v>269</v>
      </c>
      <c r="C25" s="23" t="s">
        <v>298</v>
      </c>
      <c r="D25" s="23" t="s">
        <v>313</v>
      </c>
      <c r="E25" s="3">
        <v>173.82126316337968</v>
      </c>
      <c r="F25" s="3"/>
      <c r="G25" s="3">
        <v>216.00000000000028</v>
      </c>
      <c r="H25" s="3">
        <v>1327.7721598542171</v>
      </c>
      <c r="I25" s="3">
        <v>707</v>
      </c>
      <c r="J25" s="3">
        <v>276.33501449513471</v>
      </c>
      <c r="K25" s="3">
        <v>3131.4373676785622</v>
      </c>
      <c r="L25" s="3">
        <v>26.68</v>
      </c>
      <c r="M25" s="3">
        <v>474.12456394736961</v>
      </c>
      <c r="N25" s="3"/>
      <c r="O25" s="3"/>
      <c r="P25" s="3">
        <v>6333.1703691386638</v>
      </c>
    </row>
    <row r="26" spans="2:16" x14ac:dyDescent="0.25">
      <c r="B26" s="23" t="s">
        <v>269</v>
      </c>
      <c r="C26" s="23" t="s">
        <v>298</v>
      </c>
      <c r="D26" s="23" t="s">
        <v>312</v>
      </c>
      <c r="E26" s="3">
        <v>369.2721184888016</v>
      </c>
      <c r="F26" s="3">
        <v>552.85695143884277</v>
      </c>
      <c r="G26" s="3">
        <v>216.00000000000028</v>
      </c>
      <c r="H26" s="3">
        <v>1327.7721598542171</v>
      </c>
      <c r="I26" s="3">
        <v>707</v>
      </c>
      <c r="J26" s="3">
        <v>276.33501449513471</v>
      </c>
      <c r="K26" s="3">
        <v>2957.704734597166</v>
      </c>
      <c r="L26" s="3">
        <v>35.257999999999996</v>
      </c>
      <c r="M26" s="3">
        <v>465.64034650564673</v>
      </c>
      <c r="N26" s="3"/>
      <c r="O26" s="3">
        <v>98.994001238780896</v>
      </c>
      <c r="P26" s="3">
        <v>7006.8333266185891</v>
      </c>
    </row>
    <row r="27" spans="2:16" x14ac:dyDescent="0.25">
      <c r="B27" s="23" t="s">
        <v>269</v>
      </c>
      <c r="C27" s="23" t="s">
        <v>298</v>
      </c>
      <c r="D27" s="23" t="s">
        <v>308</v>
      </c>
      <c r="E27" s="3">
        <v>387.46000062058687</v>
      </c>
      <c r="F27" s="3">
        <v>1045.8587358397683</v>
      </c>
      <c r="G27" s="3"/>
      <c r="H27" s="3">
        <v>1327.7721598542171</v>
      </c>
      <c r="I27" s="3">
        <v>707</v>
      </c>
      <c r="J27" s="3">
        <v>609.92008873620523</v>
      </c>
      <c r="K27" s="3">
        <v>966.71513384404693</v>
      </c>
      <c r="L27" s="3">
        <v>35.257999999999996</v>
      </c>
      <c r="M27" s="3">
        <v>267.91000000000003</v>
      </c>
      <c r="N27" s="3"/>
      <c r="O27" s="3"/>
      <c r="P27" s="3">
        <v>5347.8941188948238</v>
      </c>
    </row>
    <row r="28" spans="2:16" x14ac:dyDescent="0.25">
      <c r="B28" s="23" t="s">
        <v>269</v>
      </c>
      <c r="C28" s="23" t="s">
        <v>298</v>
      </c>
      <c r="D28" s="23" t="s">
        <v>314</v>
      </c>
      <c r="E28" s="3">
        <v>183.67229669680992</v>
      </c>
      <c r="F28" s="3">
        <v>397.70722814424107</v>
      </c>
      <c r="G28" s="3"/>
      <c r="H28" s="3">
        <v>1327.7721598542171</v>
      </c>
      <c r="I28" s="3">
        <v>707</v>
      </c>
      <c r="J28" s="3">
        <v>609.92008873620523</v>
      </c>
      <c r="K28" s="3">
        <v>1482.5625237543318</v>
      </c>
      <c r="L28" s="3">
        <v>26.68</v>
      </c>
      <c r="M28" s="3">
        <v>240.53160025712413</v>
      </c>
      <c r="N28" s="3"/>
      <c r="O28" s="3"/>
      <c r="P28" s="3">
        <v>4975.8458974429295</v>
      </c>
    </row>
    <row r="29" spans="2:16" x14ac:dyDescent="0.25">
      <c r="B29" s="23" t="s">
        <v>269</v>
      </c>
      <c r="C29" s="23" t="s">
        <v>298</v>
      </c>
      <c r="D29" s="23" t="s">
        <v>317</v>
      </c>
      <c r="E29" s="3">
        <v>202.00058823529415</v>
      </c>
      <c r="F29" s="3">
        <v>249.02051038937768</v>
      </c>
      <c r="G29" s="3">
        <v>108.5597755723751</v>
      </c>
      <c r="H29" s="3">
        <v>1327.7721598542171</v>
      </c>
      <c r="I29" s="3">
        <v>707</v>
      </c>
      <c r="J29" s="3">
        <v>276.33501449513471</v>
      </c>
      <c r="K29" s="3">
        <v>953.93183548551553</v>
      </c>
      <c r="L29" s="3">
        <v>26.68</v>
      </c>
      <c r="M29" s="3">
        <v>220.53614708320544</v>
      </c>
      <c r="N29" s="3"/>
      <c r="O29" s="3">
        <v>37.108777483604428</v>
      </c>
      <c r="P29" s="3">
        <v>4108.9448085987233</v>
      </c>
    </row>
    <row r="30" spans="2:16" x14ac:dyDescent="0.25">
      <c r="B30" s="23" t="s">
        <v>269</v>
      </c>
      <c r="C30" s="23" t="s">
        <v>298</v>
      </c>
      <c r="D30" s="23" t="s">
        <v>318</v>
      </c>
      <c r="E30" s="3">
        <v>159.40058823529412</v>
      </c>
      <c r="F30" s="3"/>
      <c r="G30" s="3">
        <v>216.00000000000028</v>
      </c>
      <c r="H30" s="3">
        <v>1327.7721598542171</v>
      </c>
      <c r="I30" s="3">
        <v>707</v>
      </c>
      <c r="J30" s="3">
        <v>276.33501449513471</v>
      </c>
      <c r="K30" s="3">
        <v>1463.1486390855466</v>
      </c>
      <c r="L30" s="3">
        <v>26.68</v>
      </c>
      <c r="M30" s="3">
        <v>381.36011248221439</v>
      </c>
      <c r="N30" s="3"/>
      <c r="O30" s="3"/>
      <c r="P30" s="3">
        <v>4557.696514152407</v>
      </c>
    </row>
    <row r="31" spans="2:16" x14ac:dyDescent="0.25">
      <c r="B31" s="23" t="s">
        <v>269</v>
      </c>
      <c r="C31" s="23" t="s">
        <v>298</v>
      </c>
      <c r="D31" s="23" t="s">
        <v>319</v>
      </c>
      <c r="E31" s="3">
        <v>167.22072607425795</v>
      </c>
      <c r="F31" s="3">
        <v>387.61960220148336</v>
      </c>
      <c r="G31" s="3">
        <v>241.70437674217533</v>
      </c>
      <c r="H31" s="3">
        <v>1327.7721598542171</v>
      </c>
      <c r="I31" s="3">
        <v>707</v>
      </c>
      <c r="J31" s="3">
        <v>276.33501449513471</v>
      </c>
      <c r="K31" s="3">
        <v>562.8951735201058</v>
      </c>
      <c r="L31" s="3">
        <v>26.68</v>
      </c>
      <c r="M31" s="3">
        <v>224.05459816222714</v>
      </c>
      <c r="N31" s="3"/>
      <c r="O31" s="3"/>
      <c r="P31" s="3">
        <v>3921.2816510496014</v>
      </c>
    </row>
    <row r="32" spans="2:16" x14ac:dyDescent="0.25">
      <c r="B32" s="23" t="s">
        <v>269</v>
      </c>
      <c r="C32" s="23" t="s">
        <v>307</v>
      </c>
      <c r="D32" s="23" t="s">
        <v>311</v>
      </c>
      <c r="E32" s="3">
        <v>183.66529411764711</v>
      </c>
      <c r="F32" s="3">
        <v>29.838199903929102</v>
      </c>
      <c r="G32" s="3">
        <v>216.00000000000028</v>
      </c>
      <c r="H32" s="3">
        <v>1327.7721598542171</v>
      </c>
      <c r="I32" s="3">
        <v>707</v>
      </c>
      <c r="J32" s="3">
        <v>2.15</v>
      </c>
      <c r="K32" s="3">
        <v>2548.7659356368331</v>
      </c>
      <c r="L32" s="3">
        <v>26.68</v>
      </c>
      <c r="M32" s="3">
        <v>399.82026968954193</v>
      </c>
      <c r="N32" s="3">
        <v>38.135365853658534</v>
      </c>
      <c r="O32" s="3"/>
      <c r="P32" s="3">
        <v>5479.8272250558275</v>
      </c>
    </row>
    <row r="33" spans="2:16" x14ac:dyDescent="0.25">
      <c r="B33" s="23" t="s">
        <v>269</v>
      </c>
      <c r="C33" s="23" t="s">
        <v>307</v>
      </c>
      <c r="D33" s="23" t="s">
        <v>310</v>
      </c>
      <c r="E33" s="3">
        <v>182.9802552906043</v>
      </c>
      <c r="F33" s="3">
        <v>780.03790661959658</v>
      </c>
      <c r="G33" s="3"/>
      <c r="H33" s="3">
        <v>1327.7721598542171</v>
      </c>
      <c r="I33" s="3">
        <v>707</v>
      </c>
      <c r="J33" s="3">
        <v>287.79160384985215</v>
      </c>
      <c r="K33" s="3">
        <v>734.61529078191325</v>
      </c>
      <c r="L33" s="3">
        <v>26.423438009700419</v>
      </c>
      <c r="M33" s="3">
        <v>218.8181150200034</v>
      </c>
      <c r="N33" s="3"/>
      <c r="O33" s="3"/>
      <c r="P33" s="3">
        <v>4265.4387694258867</v>
      </c>
    </row>
    <row r="34" spans="2:16" x14ac:dyDescent="0.25">
      <c r="B34" s="23" t="s">
        <v>269</v>
      </c>
      <c r="C34" s="23" t="s">
        <v>307</v>
      </c>
      <c r="D34" s="23" t="s">
        <v>309</v>
      </c>
      <c r="E34" s="3">
        <v>194.46529411764712</v>
      </c>
      <c r="F34" s="3">
        <v>60.391202477590802</v>
      </c>
      <c r="G34" s="3">
        <v>216.00000000000028</v>
      </c>
      <c r="H34" s="3">
        <v>1327.7721598542171</v>
      </c>
      <c r="I34" s="3">
        <v>707</v>
      </c>
      <c r="J34" s="3">
        <v>2.15</v>
      </c>
      <c r="K34" s="3">
        <v>2397.917241397668</v>
      </c>
      <c r="L34" s="3">
        <v>26.68</v>
      </c>
      <c r="M34" s="3">
        <v>414.00401338132627</v>
      </c>
      <c r="N34" s="3">
        <v>38.135365853658534</v>
      </c>
      <c r="O34" s="3">
        <v>64.626444957466234</v>
      </c>
      <c r="P34" s="3">
        <v>5449.1417220395742</v>
      </c>
    </row>
    <row r="35" spans="2:16" x14ac:dyDescent="0.25">
      <c r="B35" s="23" t="s">
        <v>269</v>
      </c>
      <c r="C35" s="23" t="s">
        <v>307</v>
      </c>
      <c r="D35" s="23" t="s">
        <v>315</v>
      </c>
      <c r="E35" s="3">
        <v>187.86394716386064</v>
      </c>
      <c r="F35" s="3">
        <v>104.353388390259</v>
      </c>
      <c r="G35" s="3">
        <v>216.00000000000028</v>
      </c>
      <c r="H35" s="3">
        <v>1327.7721598542171</v>
      </c>
      <c r="I35" s="3">
        <v>707</v>
      </c>
      <c r="J35" s="3">
        <v>262.23469333820873</v>
      </c>
      <c r="K35" s="3">
        <v>2368.0298371602789</v>
      </c>
      <c r="L35" s="3">
        <v>26.68</v>
      </c>
      <c r="M35" s="3">
        <v>410.70428272860124</v>
      </c>
      <c r="N35" s="3"/>
      <c r="O35" s="3"/>
      <c r="P35" s="3">
        <v>5610.6383086354263</v>
      </c>
    </row>
    <row r="36" spans="2:16" x14ac:dyDescent="0.25">
      <c r="B36" s="23" t="s">
        <v>269</v>
      </c>
      <c r="C36" s="23" t="s">
        <v>307</v>
      </c>
      <c r="D36" s="23" t="s">
        <v>316</v>
      </c>
      <c r="E36" s="3">
        <v>183.66529411764711</v>
      </c>
      <c r="F36" s="3">
        <v>45.9685479935427</v>
      </c>
      <c r="G36" s="3">
        <v>216.00000000000028</v>
      </c>
      <c r="H36" s="3">
        <v>1327.7721598542171</v>
      </c>
      <c r="I36" s="3">
        <v>707</v>
      </c>
      <c r="J36" s="3">
        <v>2.15</v>
      </c>
      <c r="K36" s="3">
        <v>2499.1038096375478</v>
      </c>
      <c r="L36" s="3">
        <v>26.68</v>
      </c>
      <c r="M36" s="3">
        <v>418.29752977368958</v>
      </c>
      <c r="N36" s="3">
        <v>38.135365853658534</v>
      </c>
      <c r="O36" s="3"/>
      <c r="P36" s="3">
        <v>5464.7727072303023</v>
      </c>
    </row>
    <row r="37" spans="2:16" x14ac:dyDescent="0.25">
      <c r="B37" s="23" t="s">
        <v>269</v>
      </c>
      <c r="C37" s="23" t="s">
        <v>307</v>
      </c>
      <c r="D37" s="23" t="s">
        <v>313</v>
      </c>
      <c r="E37" s="3">
        <v>188.29538415551156</v>
      </c>
      <c r="F37" s="3">
        <v>1.8084284104064301</v>
      </c>
      <c r="G37" s="3">
        <v>216.00000000000028</v>
      </c>
      <c r="H37" s="3">
        <v>1327.7721598542171</v>
      </c>
      <c r="I37" s="3">
        <v>707</v>
      </c>
      <c r="J37" s="3">
        <v>2.15</v>
      </c>
      <c r="K37" s="3">
        <v>2428.0018121413395</v>
      </c>
      <c r="L37" s="3">
        <v>25.75</v>
      </c>
      <c r="M37" s="3">
        <v>291.07530954733835</v>
      </c>
      <c r="N37" s="3">
        <v>38.135365853658534</v>
      </c>
      <c r="O37" s="3"/>
      <c r="P37" s="3">
        <v>5225.9884599624711</v>
      </c>
    </row>
    <row r="38" spans="2:16" x14ac:dyDescent="0.25">
      <c r="B38" s="23" t="s">
        <v>269</v>
      </c>
      <c r="C38" s="23" t="s">
        <v>307</v>
      </c>
      <c r="D38" s="23" t="s">
        <v>312</v>
      </c>
      <c r="E38" s="3">
        <v>195.23303708149336</v>
      </c>
      <c r="F38" s="3">
        <v>1024.0588879301879</v>
      </c>
      <c r="G38" s="3">
        <v>327.11111111111131</v>
      </c>
      <c r="H38" s="3">
        <v>1327.7721598542171</v>
      </c>
      <c r="I38" s="3">
        <v>707</v>
      </c>
      <c r="J38" s="3">
        <v>276.33501449513471</v>
      </c>
      <c r="K38" s="3">
        <v>924.74097814340007</v>
      </c>
      <c r="L38" s="3">
        <v>26.68</v>
      </c>
      <c r="M38" s="3">
        <v>247.23028038793882</v>
      </c>
      <c r="N38" s="3"/>
      <c r="O38" s="3"/>
      <c r="P38" s="3">
        <v>5056.1614690034839</v>
      </c>
    </row>
    <row r="39" spans="2:16" x14ac:dyDescent="0.25">
      <c r="B39" s="23" t="s">
        <v>269</v>
      </c>
      <c r="C39" s="23" t="s">
        <v>307</v>
      </c>
      <c r="D39" s="23" t="s">
        <v>308</v>
      </c>
      <c r="E39" s="3">
        <v>202.00058823529415</v>
      </c>
      <c r="F39" s="3">
        <v>32.889159552283871</v>
      </c>
      <c r="G39" s="3">
        <v>216.00000000000028</v>
      </c>
      <c r="H39" s="3">
        <v>1327.7721598542171</v>
      </c>
      <c r="I39" s="3">
        <v>707</v>
      </c>
      <c r="J39" s="3">
        <v>106.26628361840169</v>
      </c>
      <c r="K39" s="3">
        <v>2055.2122404271977</v>
      </c>
      <c r="L39" s="3">
        <v>26.68</v>
      </c>
      <c r="M39" s="3">
        <v>448.93716344708264</v>
      </c>
      <c r="N39" s="3"/>
      <c r="O39" s="3">
        <v>288.32509478302836</v>
      </c>
      <c r="P39" s="3">
        <v>5411.0826899175063</v>
      </c>
    </row>
    <row r="40" spans="2:16" x14ac:dyDescent="0.25">
      <c r="B40" s="23" t="s">
        <v>269</v>
      </c>
      <c r="C40" s="23" t="s">
        <v>307</v>
      </c>
      <c r="D40" s="23" t="s">
        <v>314</v>
      </c>
      <c r="E40" s="3">
        <v>159.40058823529412</v>
      </c>
      <c r="F40" s="3">
        <v>434.29414005564536</v>
      </c>
      <c r="G40" s="3">
        <v>327.11111111111131</v>
      </c>
      <c r="H40" s="3">
        <v>1327.7721598542171</v>
      </c>
      <c r="I40" s="3">
        <v>707</v>
      </c>
      <c r="J40" s="3">
        <v>274.14601449513469</v>
      </c>
      <c r="K40" s="3">
        <v>873.66910218522173</v>
      </c>
      <c r="L40" s="3">
        <v>25.75</v>
      </c>
      <c r="M40" s="3">
        <v>125.51393692720514</v>
      </c>
      <c r="N40" s="3"/>
      <c r="O40" s="3"/>
      <c r="P40" s="3">
        <v>4254.6570528638304</v>
      </c>
    </row>
    <row r="41" spans="2:16" x14ac:dyDescent="0.25">
      <c r="B41" s="23" t="s">
        <v>269</v>
      </c>
      <c r="C41" s="23" t="s">
        <v>307</v>
      </c>
      <c r="D41" s="23" t="s">
        <v>317</v>
      </c>
      <c r="E41" s="3">
        <v>31.97058823529412</v>
      </c>
      <c r="F41" s="3">
        <v>545.36612640181897</v>
      </c>
      <c r="G41" s="3">
        <v>198.08412480568433</v>
      </c>
      <c r="H41" s="3">
        <v>1327.7721598542171</v>
      </c>
      <c r="I41" s="3">
        <v>707</v>
      </c>
      <c r="J41" s="3">
        <v>274.14601449513469</v>
      </c>
      <c r="K41" s="3">
        <v>535.64308086726567</v>
      </c>
      <c r="L41" s="3">
        <v>25.75</v>
      </c>
      <c r="M41" s="3">
        <v>20.025480513551578</v>
      </c>
      <c r="N41" s="3"/>
      <c r="O41" s="3">
        <v>440.10003816615784</v>
      </c>
      <c r="P41" s="3">
        <v>4105.8576133391243</v>
      </c>
    </row>
    <row r="42" spans="2:16" x14ac:dyDescent="0.25">
      <c r="B42" s="23" t="s">
        <v>269</v>
      </c>
      <c r="C42" s="23" t="s">
        <v>307</v>
      </c>
      <c r="D42" s="23" t="s">
        <v>318</v>
      </c>
      <c r="E42" s="3">
        <v>142.40058823529412</v>
      </c>
      <c r="F42" s="3">
        <v>619.77323685524595</v>
      </c>
      <c r="G42" s="3">
        <v>191.30631177955428</v>
      </c>
      <c r="H42" s="3">
        <v>1327.7721598542171</v>
      </c>
      <c r="I42" s="3">
        <v>707</v>
      </c>
      <c r="J42" s="3">
        <v>277.83501449513471</v>
      </c>
      <c r="K42" s="3">
        <v>683.54473071242808</v>
      </c>
      <c r="L42" s="3">
        <v>26.68</v>
      </c>
      <c r="M42" s="3">
        <v>161.89046965453011</v>
      </c>
      <c r="N42" s="3"/>
      <c r="O42" s="3"/>
      <c r="P42" s="3">
        <v>4138.2025115864044</v>
      </c>
    </row>
    <row r="43" spans="2:16" x14ac:dyDescent="0.25">
      <c r="B43" s="23" t="s">
        <v>269</v>
      </c>
      <c r="C43" s="23" t="s">
        <v>307</v>
      </c>
      <c r="D43" s="23" t="s">
        <v>319</v>
      </c>
      <c r="E43" s="3">
        <v>102.81891641417361</v>
      </c>
      <c r="F43" s="3">
        <v>848.11860743997943</v>
      </c>
      <c r="G43" s="3"/>
      <c r="H43" s="3">
        <v>1327.7721598542171</v>
      </c>
      <c r="I43" s="3">
        <v>707</v>
      </c>
      <c r="J43" s="3">
        <v>278.17501449513469</v>
      </c>
      <c r="K43" s="3">
        <v>718.8947883016931</v>
      </c>
      <c r="L43" s="3">
        <v>25.75</v>
      </c>
      <c r="M43" s="3">
        <v>240.87985192477953</v>
      </c>
      <c r="N43" s="3"/>
      <c r="O43" s="3">
        <v>124.35592329783908</v>
      </c>
      <c r="P43" s="3">
        <v>4373.7652617278163</v>
      </c>
    </row>
    <row r="44" spans="2:16" x14ac:dyDescent="0.25">
      <c r="B44" s="23" t="s">
        <v>0</v>
      </c>
      <c r="E44" s="3">
        <v>9669.4432213473337</v>
      </c>
      <c r="F44" s="3">
        <v>44011.056620524025</v>
      </c>
      <c r="G44" s="3">
        <v>6286.1197200891338</v>
      </c>
      <c r="H44" s="3">
        <v>47799.797754751831</v>
      </c>
      <c r="I44" s="3">
        <v>25452</v>
      </c>
      <c r="J44" s="3">
        <v>9371.1369951446941</v>
      </c>
      <c r="K44" s="3">
        <v>91557.388604943873</v>
      </c>
      <c r="L44" s="3">
        <v>1087.0554380096999</v>
      </c>
      <c r="M44" s="3">
        <v>12687.66610852858</v>
      </c>
      <c r="N44" s="3">
        <v>366.49268292682927</v>
      </c>
      <c r="O44" s="3">
        <v>1878.2233972602739</v>
      </c>
      <c r="P44" s="3">
        <v>250166.38054352617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Q8"/>
  <sheetViews>
    <sheetView zoomScale="55" zoomScaleNormal="55" workbookViewId="0">
      <selection activeCell="I8" sqref="I8"/>
    </sheetView>
  </sheetViews>
  <sheetFormatPr defaultRowHeight="15" x14ac:dyDescent="0.25"/>
  <cols>
    <col min="2" max="2" width="15" customWidth="1"/>
    <col min="3" max="3" width="14.7109375" customWidth="1"/>
    <col min="4" max="16" width="13.5703125" customWidth="1"/>
    <col min="17" max="17" width="12.5703125" customWidth="1"/>
    <col min="18" max="29" width="14.140625" bestFit="1" customWidth="1"/>
    <col min="30" max="30" width="12.5703125" bestFit="1" customWidth="1"/>
  </cols>
  <sheetData>
    <row r="3" spans="2:17" x14ac:dyDescent="0.25">
      <c r="B3" s="1" t="s">
        <v>11</v>
      </c>
      <c r="C3" s="23" t="s">
        <v>138</v>
      </c>
    </row>
    <row r="5" spans="2:17" x14ac:dyDescent="0.25">
      <c r="B5" s="1" t="s">
        <v>592</v>
      </c>
      <c r="D5" s="1" t="s">
        <v>12</v>
      </c>
    </row>
    <row r="6" spans="2:17" x14ac:dyDescent="0.25">
      <c r="B6" s="1" t="s">
        <v>273</v>
      </c>
      <c r="C6" s="1" t="s">
        <v>272</v>
      </c>
      <c r="D6" s="23" t="s">
        <v>9</v>
      </c>
      <c r="E6" s="23" t="s">
        <v>236</v>
      </c>
      <c r="F6" s="23" t="s">
        <v>259</v>
      </c>
      <c r="G6" s="23" t="s">
        <v>260</v>
      </c>
      <c r="H6" s="23" t="s">
        <v>153</v>
      </c>
      <c r="I6" s="23" t="s">
        <v>141</v>
      </c>
      <c r="J6" s="23" t="s">
        <v>140</v>
      </c>
      <c r="K6" s="23" t="s">
        <v>270</v>
      </c>
      <c r="L6" s="23" t="s">
        <v>262</v>
      </c>
      <c r="M6" s="23" t="s">
        <v>10</v>
      </c>
      <c r="N6" s="23" t="s">
        <v>139</v>
      </c>
      <c r="O6" s="23" t="s">
        <v>198</v>
      </c>
      <c r="P6" s="23" t="s">
        <v>261</v>
      </c>
      <c r="Q6" s="23" t="s">
        <v>0</v>
      </c>
    </row>
    <row r="7" spans="2:17" x14ac:dyDescent="0.25">
      <c r="B7" s="23" t="s">
        <v>269</v>
      </c>
      <c r="C7" s="23" t="s">
        <v>269</v>
      </c>
      <c r="D7" s="3">
        <v>22.931412654542569</v>
      </c>
      <c r="E7" s="3">
        <v>0.65256272589546882</v>
      </c>
      <c r="F7" s="3">
        <v>11.79994473171017</v>
      </c>
      <c r="G7" s="3">
        <v>13.490002334728581</v>
      </c>
      <c r="H7" s="3">
        <v>42.072400755950312</v>
      </c>
      <c r="I7" s="3">
        <v>51.4937837686794</v>
      </c>
      <c r="J7" s="3">
        <v>120.83034275187478</v>
      </c>
      <c r="K7" s="3">
        <v>15.284578852289325</v>
      </c>
      <c r="L7" s="3">
        <v>22.295951999999996</v>
      </c>
      <c r="M7" s="3">
        <v>4.3378745766315795E-4</v>
      </c>
      <c r="N7" s="3">
        <v>59.35308551787702</v>
      </c>
      <c r="O7" s="3">
        <v>8.770800000000003</v>
      </c>
      <c r="P7" s="3">
        <v>0.95362765055900922</v>
      </c>
      <c r="Q7" s="3">
        <v>369.92892753156428</v>
      </c>
    </row>
    <row r="8" spans="2:17" x14ac:dyDescent="0.25">
      <c r="B8" s="23" t="s">
        <v>0</v>
      </c>
      <c r="D8" s="3">
        <v>22.931412654542569</v>
      </c>
      <c r="E8" s="3">
        <v>0.65256272589546882</v>
      </c>
      <c r="F8" s="3">
        <v>11.79994473171017</v>
      </c>
      <c r="G8" s="3">
        <v>13.490002334728581</v>
      </c>
      <c r="H8" s="3">
        <v>42.072400755950312</v>
      </c>
      <c r="I8" s="3">
        <v>51.4937837686794</v>
      </c>
      <c r="J8" s="3">
        <v>120.83034275187478</v>
      </c>
      <c r="K8" s="3">
        <v>15.284578852289325</v>
      </c>
      <c r="L8" s="3">
        <v>22.295951999999996</v>
      </c>
      <c r="M8" s="3">
        <v>4.3378745766315795E-4</v>
      </c>
      <c r="N8" s="3">
        <v>59.35308551787702</v>
      </c>
      <c r="O8" s="3">
        <v>8.770800000000003</v>
      </c>
      <c r="P8" s="3">
        <v>0.95362765055900922</v>
      </c>
      <c r="Q8" s="3">
        <v>369.92892753156428</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H7"/>
  <sheetViews>
    <sheetView workbookViewId="0">
      <selection activeCell="I24" sqref="I24"/>
    </sheetView>
  </sheetViews>
  <sheetFormatPr defaultRowHeight="15" x14ac:dyDescent="0.25"/>
  <cols>
    <col min="2" max="2" width="13.140625" bestFit="1" customWidth="1"/>
    <col min="3" max="5" width="20.5703125" bestFit="1" customWidth="1"/>
    <col min="6" max="6" width="25.7109375" bestFit="1" customWidth="1"/>
    <col min="7" max="7" width="20.85546875" bestFit="1" customWidth="1"/>
    <col min="8" max="8" width="24.28515625" bestFit="1" customWidth="1"/>
    <col min="9" max="11" width="20.5703125" bestFit="1" customWidth="1"/>
    <col min="12" max="12" width="25.7109375" bestFit="1" customWidth="1"/>
    <col min="13" max="13" width="20.85546875" bestFit="1" customWidth="1"/>
    <col min="14" max="14" width="24.28515625" bestFit="1" customWidth="1"/>
    <col min="15" max="35" width="50.5703125" bestFit="1" customWidth="1"/>
    <col min="36" max="36" width="12" customWidth="1"/>
    <col min="37"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1" spans="2:8" x14ac:dyDescent="0.25">
      <c r="B1" s="1" t="s">
        <v>11</v>
      </c>
      <c r="C1" s="23" t="s">
        <v>138</v>
      </c>
    </row>
    <row r="3" spans="2:8" x14ac:dyDescent="0.25">
      <c r="C3" s="1" t="s">
        <v>118</v>
      </c>
      <c r="D3" s="1" t="s">
        <v>631</v>
      </c>
    </row>
    <row r="4" spans="2:8" x14ac:dyDescent="0.25">
      <c r="C4" s="23" t="s">
        <v>640</v>
      </c>
      <c r="D4" s="23" t="s">
        <v>640</v>
      </c>
      <c r="E4" s="23" t="s">
        <v>640</v>
      </c>
      <c r="F4" s="23" t="s">
        <v>632</v>
      </c>
      <c r="G4" s="23" t="s">
        <v>633</v>
      </c>
      <c r="H4" s="23" t="s">
        <v>635</v>
      </c>
    </row>
    <row r="5" spans="2:8" x14ac:dyDescent="0.25">
      <c r="B5" s="1" t="s">
        <v>272</v>
      </c>
      <c r="C5" s="23" t="s">
        <v>197</v>
      </c>
      <c r="D5" s="23" t="s">
        <v>634</v>
      </c>
      <c r="E5" s="23" t="s">
        <v>636</v>
      </c>
    </row>
    <row r="6" spans="2:8" x14ac:dyDescent="0.25">
      <c r="B6" s="23" t="s">
        <v>269</v>
      </c>
      <c r="C6" s="27">
        <v>7.8948569999999689</v>
      </c>
      <c r="D6" s="27">
        <v>429.76838893669833</v>
      </c>
      <c r="E6" s="27">
        <v>0.42976838893669855</v>
      </c>
      <c r="F6" s="3">
        <v>7.8948569999999689</v>
      </c>
      <c r="G6" s="3">
        <v>429.76838893669833</v>
      </c>
      <c r="H6" s="3">
        <v>0.42976838893669855</v>
      </c>
    </row>
    <row r="7" spans="2:8" x14ac:dyDescent="0.25">
      <c r="B7" s="23" t="s">
        <v>0</v>
      </c>
      <c r="C7" s="3">
        <v>7.8948569999999689</v>
      </c>
      <c r="D7" s="3">
        <v>429.76838893669833</v>
      </c>
      <c r="E7" s="3">
        <v>0.42976838893669855</v>
      </c>
      <c r="F7" s="3">
        <v>7.8948569999999689</v>
      </c>
      <c r="G7" s="3">
        <v>429.76838893669833</v>
      </c>
      <c r="H7" s="3">
        <v>0.42976838893669855</v>
      </c>
    </row>
  </sheetData>
  <pageMargins left="0.7" right="0.7" top="0.75" bottom="0.75" header="0.3" footer="0.3"/>
  <pageSetup paperSize="9"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G43"/>
  <sheetViews>
    <sheetView topLeftCell="F1" workbookViewId="0">
      <selection activeCell="D10" sqref="D10"/>
    </sheetView>
  </sheetViews>
  <sheetFormatPr defaultRowHeight="15" x14ac:dyDescent="0.25"/>
  <cols>
    <col min="3" max="3" width="13.140625" bestFit="1" customWidth="1"/>
    <col min="4" max="5" width="7.85546875" bestFit="1" customWidth="1"/>
    <col min="6" max="15" width="12" customWidth="1"/>
    <col min="16" max="16" width="18.140625" bestFit="1" customWidth="1"/>
    <col min="17" max="24" width="12" bestFit="1" customWidth="1"/>
  </cols>
  <sheetData>
    <row r="5" spans="3:7" x14ac:dyDescent="0.25">
      <c r="C5" s="1" t="s">
        <v>80</v>
      </c>
      <c r="F5" s="1" t="s">
        <v>11</v>
      </c>
    </row>
    <row r="6" spans="3:7" x14ac:dyDescent="0.25">
      <c r="C6" s="1" t="s">
        <v>118</v>
      </c>
      <c r="D6" s="1" t="s">
        <v>15</v>
      </c>
      <c r="E6" s="1" t="s">
        <v>61</v>
      </c>
      <c r="F6" s="23" t="s">
        <v>6</v>
      </c>
      <c r="G6" s="23" t="s">
        <v>0</v>
      </c>
    </row>
    <row r="7" spans="3:7" x14ac:dyDescent="0.25">
      <c r="C7" s="23" t="s">
        <v>640</v>
      </c>
      <c r="D7" s="23" t="s">
        <v>306</v>
      </c>
      <c r="E7" s="23" t="s">
        <v>310</v>
      </c>
      <c r="F7" s="3">
        <v>5789.646744937193</v>
      </c>
      <c r="G7" s="3">
        <v>5789.646744937193</v>
      </c>
    </row>
    <row r="8" spans="3:7" x14ac:dyDescent="0.25">
      <c r="C8" s="23" t="s">
        <v>640</v>
      </c>
      <c r="D8" s="23" t="s">
        <v>306</v>
      </c>
      <c r="E8" s="23" t="s">
        <v>311</v>
      </c>
      <c r="F8" s="3">
        <v>3819.6012665135308</v>
      </c>
      <c r="G8" s="3">
        <v>3819.6012665135308</v>
      </c>
    </row>
    <row r="9" spans="3:7" x14ac:dyDescent="0.25">
      <c r="C9" s="23" t="s">
        <v>640</v>
      </c>
      <c r="D9" s="23" t="s">
        <v>306</v>
      </c>
      <c r="E9" s="23" t="s">
        <v>312</v>
      </c>
      <c r="F9" s="3">
        <v>3106.4474265943045</v>
      </c>
      <c r="G9" s="3">
        <v>3106.4474265943045</v>
      </c>
    </row>
    <row r="10" spans="3:7" x14ac:dyDescent="0.25">
      <c r="C10" s="23" t="s">
        <v>640</v>
      </c>
      <c r="D10" s="23" t="s">
        <v>306</v>
      </c>
      <c r="E10" s="23" t="s">
        <v>313</v>
      </c>
      <c r="F10" s="3">
        <v>1131.4679665319668</v>
      </c>
      <c r="G10" s="3">
        <v>1131.4679665319668</v>
      </c>
    </row>
    <row r="11" spans="3:7" x14ac:dyDescent="0.25">
      <c r="C11" s="23" t="s">
        <v>640</v>
      </c>
      <c r="D11" s="23" t="s">
        <v>306</v>
      </c>
      <c r="E11" s="23" t="s">
        <v>308</v>
      </c>
      <c r="F11" s="3">
        <v>882.19857677742925</v>
      </c>
      <c r="G11" s="3">
        <v>882.19857677742925</v>
      </c>
    </row>
    <row r="12" spans="3:7" x14ac:dyDescent="0.25">
      <c r="C12" s="23" t="s">
        <v>640</v>
      </c>
      <c r="D12" s="23" t="s">
        <v>306</v>
      </c>
      <c r="E12" s="23" t="s">
        <v>314</v>
      </c>
      <c r="F12" s="3">
        <v>839.59177294885012</v>
      </c>
      <c r="G12" s="3">
        <v>839.59177294885012</v>
      </c>
    </row>
    <row r="13" spans="3:7" x14ac:dyDescent="0.25">
      <c r="C13" s="23" t="s">
        <v>640</v>
      </c>
      <c r="D13" s="23" t="s">
        <v>306</v>
      </c>
      <c r="E13" s="23" t="s">
        <v>309</v>
      </c>
      <c r="F13" s="3">
        <v>1605.1858893492554</v>
      </c>
      <c r="G13" s="3">
        <v>1605.1858893492554</v>
      </c>
    </row>
    <row r="14" spans="3:7" x14ac:dyDescent="0.25">
      <c r="C14" s="23" t="s">
        <v>640</v>
      </c>
      <c r="D14" s="23" t="s">
        <v>306</v>
      </c>
      <c r="E14" s="23" t="s">
        <v>315</v>
      </c>
      <c r="F14" s="3">
        <v>1874.8910670872474</v>
      </c>
      <c r="G14" s="3">
        <v>1874.8910670872474</v>
      </c>
    </row>
    <row r="15" spans="3:7" x14ac:dyDescent="0.25">
      <c r="C15" s="23" t="s">
        <v>640</v>
      </c>
      <c r="D15" s="23" t="s">
        <v>306</v>
      </c>
      <c r="E15" s="23" t="s">
        <v>316</v>
      </c>
      <c r="F15" s="3">
        <v>1617.0719728905553</v>
      </c>
      <c r="G15" s="3">
        <v>1617.0719728905553</v>
      </c>
    </row>
    <row r="16" spans="3:7" x14ac:dyDescent="0.25">
      <c r="C16" s="23" t="s">
        <v>640</v>
      </c>
      <c r="D16" s="23" t="s">
        <v>306</v>
      </c>
      <c r="E16" s="23" t="s">
        <v>317</v>
      </c>
      <c r="F16" s="3">
        <v>2038.5853528446376</v>
      </c>
      <c r="G16" s="3">
        <v>2038.5853528446376</v>
      </c>
    </row>
    <row r="17" spans="3:7" x14ac:dyDescent="0.25">
      <c r="C17" s="23" t="s">
        <v>640</v>
      </c>
      <c r="D17" s="23" t="s">
        <v>306</v>
      </c>
      <c r="E17" s="23" t="s">
        <v>318</v>
      </c>
      <c r="F17" s="3">
        <v>3066.3109284016086</v>
      </c>
      <c r="G17" s="3">
        <v>3066.3109284016086</v>
      </c>
    </row>
    <row r="18" spans="3:7" x14ac:dyDescent="0.25">
      <c r="C18" s="23" t="s">
        <v>640</v>
      </c>
      <c r="D18" s="23" t="s">
        <v>306</v>
      </c>
      <c r="E18" s="23" t="s">
        <v>319</v>
      </c>
      <c r="F18" s="3">
        <v>4446.7006499087083</v>
      </c>
      <c r="G18" s="3">
        <v>4446.7006499087083</v>
      </c>
    </row>
    <row r="19" spans="3:7" x14ac:dyDescent="0.25">
      <c r="C19" s="23" t="s">
        <v>640</v>
      </c>
      <c r="D19" s="23" t="s">
        <v>298</v>
      </c>
      <c r="E19" s="23" t="s">
        <v>310</v>
      </c>
      <c r="F19" s="3">
        <v>290.61411923784647</v>
      </c>
      <c r="G19" s="3">
        <v>290.61411923784647</v>
      </c>
    </row>
    <row r="20" spans="3:7" x14ac:dyDescent="0.25">
      <c r="C20" s="23" t="s">
        <v>640</v>
      </c>
      <c r="D20" s="23" t="s">
        <v>298</v>
      </c>
      <c r="E20" s="23" t="s">
        <v>311</v>
      </c>
      <c r="F20" s="3">
        <v>145.79790111091586</v>
      </c>
      <c r="G20" s="3">
        <v>145.79790111091586</v>
      </c>
    </row>
    <row r="21" spans="3:7" x14ac:dyDescent="0.25">
      <c r="C21" s="23" t="s">
        <v>640</v>
      </c>
      <c r="D21" s="23" t="s">
        <v>298</v>
      </c>
      <c r="E21" s="23" t="s">
        <v>312</v>
      </c>
      <c r="F21" s="3">
        <v>881.57301878608519</v>
      </c>
      <c r="G21" s="3">
        <v>881.57301878608519</v>
      </c>
    </row>
    <row r="22" spans="3:7" x14ac:dyDescent="0.25">
      <c r="C22" s="23" t="s">
        <v>640</v>
      </c>
      <c r="D22" s="23" t="s">
        <v>298</v>
      </c>
      <c r="E22" s="23" t="s">
        <v>313</v>
      </c>
      <c r="F22" s="3">
        <v>748.69745088881837</v>
      </c>
      <c r="G22" s="3">
        <v>748.69745088881837</v>
      </c>
    </row>
    <row r="23" spans="3:7" x14ac:dyDescent="0.25">
      <c r="C23" s="23" t="s">
        <v>640</v>
      </c>
      <c r="D23" s="23" t="s">
        <v>298</v>
      </c>
      <c r="E23" s="23" t="s">
        <v>308</v>
      </c>
      <c r="F23" s="3">
        <v>1561.9644679124551</v>
      </c>
      <c r="G23" s="3">
        <v>1561.9644679124551</v>
      </c>
    </row>
    <row r="24" spans="3:7" x14ac:dyDescent="0.25">
      <c r="C24" s="23" t="s">
        <v>640</v>
      </c>
      <c r="D24" s="23" t="s">
        <v>298</v>
      </c>
      <c r="E24" s="23" t="s">
        <v>314</v>
      </c>
      <c r="F24" s="3">
        <v>903.56765094744799</v>
      </c>
      <c r="G24" s="3">
        <v>903.56765094744799</v>
      </c>
    </row>
    <row r="25" spans="3:7" x14ac:dyDescent="0.25">
      <c r="C25" s="23" t="s">
        <v>640</v>
      </c>
      <c r="D25" s="23" t="s">
        <v>298</v>
      </c>
      <c r="E25" s="23" t="s">
        <v>309</v>
      </c>
      <c r="F25" s="3">
        <v>684.73103088833648</v>
      </c>
      <c r="G25" s="3">
        <v>684.73103088833648</v>
      </c>
    </row>
    <row r="26" spans="3:7" x14ac:dyDescent="0.25">
      <c r="C26" s="23" t="s">
        <v>640</v>
      </c>
      <c r="D26" s="23" t="s">
        <v>298</v>
      </c>
      <c r="E26" s="23" t="s">
        <v>315</v>
      </c>
      <c r="F26" s="3">
        <v>596.43565579915537</v>
      </c>
      <c r="G26" s="3">
        <v>596.43565579915537</v>
      </c>
    </row>
    <row r="27" spans="3:7" x14ac:dyDescent="0.25">
      <c r="C27" s="23" t="s">
        <v>640</v>
      </c>
      <c r="D27" s="23" t="s">
        <v>298</v>
      </c>
      <c r="E27" s="23" t="s">
        <v>316</v>
      </c>
      <c r="F27" s="3">
        <v>607.96818000263056</v>
      </c>
      <c r="G27" s="3">
        <v>607.96818000263056</v>
      </c>
    </row>
    <row r="28" spans="3:7" x14ac:dyDescent="0.25">
      <c r="C28" s="23" t="s">
        <v>640</v>
      </c>
      <c r="D28" s="23" t="s">
        <v>298</v>
      </c>
      <c r="E28" s="23" t="s">
        <v>317</v>
      </c>
      <c r="F28" s="3">
        <v>584.66428159974544</v>
      </c>
      <c r="G28" s="3">
        <v>584.66428159974544</v>
      </c>
    </row>
    <row r="29" spans="3:7" x14ac:dyDescent="0.25">
      <c r="C29" s="23" t="s">
        <v>640</v>
      </c>
      <c r="D29" s="23" t="s">
        <v>298</v>
      </c>
      <c r="E29" s="23" t="s">
        <v>318</v>
      </c>
      <c r="F29" s="3">
        <v>353.06873502850505</v>
      </c>
      <c r="G29" s="3">
        <v>353.06873502850505</v>
      </c>
    </row>
    <row r="30" spans="3:7" x14ac:dyDescent="0.25">
      <c r="C30" s="23" t="s">
        <v>640</v>
      </c>
      <c r="D30" s="23" t="s">
        <v>298</v>
      </c>
      <c r="E30" s="23" t="s">
        <v>319</v>
      </c>
      <c r="F30" s="3">
        <v>663.79223537854591</v>
      </c>
      <c r="G30" s="3">
        <v>663.79223537854591</v>
      </c>
    </row>
    <row r="31" spans="3:7" x14ac:dyDescent="0.25">
      <c r="C31" s="23" t="s">
        <v>640</v>
      </c>
      <c r="D31" s="23" t="s">
        <v>307</v>
      </c>
      <c r="E31" s="23" t="s">
        <v>310</v>
      </c>
      <c r="F31" s="3">
        <v>1288.874044051988</v>
      </c>
      <c r="G31" s="3">
        <v>1288.874044051988</v>
      </c>
    </row>
    <row r="32" spans="3:7" x14ac:dyDescent="0.25">
      <c r="C32" s="23" t="s">
        <v>640</v>
      </c>
      <c r="D32" s="23" t="s">
        <v>307</v>
      </c>
      <c r="E32" s="23" t="s">
        <v>311</v>
      </c>
      <c r="F32" s="3">
        <v>504.38140376338549</v>
      </c>
      <c r="G32" s="3">
        <v>504.38140376338549</v>
      </c>
    </row>
    <row r="33" spans="3:7" x14ac:dyDescent="0.25">
      <c r="C33" s="23" t="s">
        <v>640</v>
      </c>
      <c r="D33" s="23" t="s">
        <v>307</v>
      </c>
      <c r="E33" s="23" t="s">
        <v>312</v>
      </c>
      <c r="F33" s="3">
        <v>1296.5756012832949</v>
      </c>
      <c r="G33" s="3">
        <v>1296.5756012832949</v>
      </c>
    </row>
    <row r="34" spans="3:7" x14ac:dyDescent="0.25">
      <c r="C34" s="23" t="s">
        <v>640</v>
      </c>
      <c r="D34" s="23" t="s">
        <v>307</v>
      </c>
      <c r="E34" s="23" t="s">
        <v>313</v>
      </c>
      <c r="F34" s="3">
        <v>218.61887714625459</v>
      </c>
      <c r="G34" s="3">
        <v>218.61887714625459</v>
      </c>
    </row>
    <row r="35" spans="3:7" x14ac:dyDescent="0.25">
      <c r="C35" s="23" t="s">
        <v>640</v>
      </c>
      <c r="D35" s="23" t="s">
        <v>307</v>
      </c>
      <c r="E35" s="23" t="s">
        <v>308</v>
      </c>
      <c r="F35" s="3">
        <v>1220.6032331265571</v>
      </c>
      <c r="G35" s="3">
        <v>1220.6032331265571</v>
      </c>
    </row>
    <row r="36" spans="3:7" x14ac:dyDescent="0.25">
      <c r="C36" s="23" t="s">
        <v>640</v>
      </c>
      <c r="D36" s="23" t="s">
        <v>307</v>
      </c>
      <c r="E36" s="23" t="s">
        <v>314</v>
      </c>
      <c r="F36" s="3">
        <v>1588.6078401443444</v>
      </c>
      <c r="G36" s="3">
        <v>1588.6078401443444</v>
      </c>
    </row>
    <row r="37" spans="3:7" x14ac:dyDescent="0.25">
      <c r="C37" s="23" t="s">
        <v>640</v>
      </c>
      <c r="D37" s="23" t="s">
        <v>307</v>
      </c>
      <c r="E37" s="23" t="s">
        <v>309</v>
      </c>
      <c r="F37" s="3">
        <v>1187.2113562470226</v>
      </c>
      <c r="G37" s="3">
        <v>1187.2113562470226</v>
      </c>
    </row>
    <row r="38" spans="3:7" x14ac:dyDescent="0.25">
      <c r="C38" s="23" t="s">
        <v>640</v>
      </c>
      <c r="D38" s="23" t="s">
        <v>307</v>
      </c>
      <c r="E38" s="23" t="s">
        <v>315</v>
      </c>
      <c r="F38" s="3">
        <v>2020.5885105272375</v>
      </c>
      <c r="G38" s="3">
        <v>2020.5885105272375</v>
      </c>
    </row>
    <row r="39" spans="3:7" x14ac:dyDescent="0.25">
      <c r="C39" s="23" t="s">
        <v>640</v>
      </c>
      <c r="D39" s="23" t="s">
        <v>307</v>
      </c>
      <c r="E39" s="23" t="s">
        <v>316</v>
      </c>
      <c r="F39" s="3">
        <v>2334.7398344234721</v>
      </c>
      <c r="G39" s="3">
        <v>2334.7398344234721</v>
      </c>
    </row>
    <row r="40" spans="3:7" x14ac:dyDescent="0.25">
      <c r="C40" s="23" t="s">
        <v>640</v>
      </c>
      <c r="D40" s="23" t="s">
        <v>307</v>
      </c>
      <c r="E40" s="23" t="s">
        <v>317</v>
      </c>
      <c r="F40" s="3">
        <v>3156.1703087110368</v>
      </c>
      <c r="G40" s="3">
        <v>3156.1703087110368</v>
      </c>
    </row>
    <row r="41" spans="3:7" x14ac:dyDescent="0.25">
      <c r="C41" s="23" t="s">
        <v>640</v>
      </c>
      <c r="D41" s="23" t="s">
        <v>307</v>
      </c>
      <c r="E41" s="23" t="s">
        <v>318</v>
      </c>
      <c r="F41" s="3">
        <v>2781.9943547235862</v>
      </c>
      <c r="G41" s="3">
        <v>2781.9943547235862</v>
      </c>
    </row>
    <row r="42" spans="3:7" x14ac:dyDescent="0.25">
      <c r="C42" s="23" t="s">
        <v>640</v>
      </c>
      <c r="D42" s="23" t="s">
        <v>307</v>
      </c>
      <c r="E42" s="23" t="s">
        <v>319</v>
      </c>
      <c r="F42" s="3">
        <v>2165.4390433965295</v>
      </c>
      <c r="G42" s="3">
        <v>2165.4390433965295</v>
      </c>
    </row>
    <row r="43" spans="3:7" x14ac:dyDescent="0.25">
      <c r="C43" s="23" t="s">
        <v>0</v>
      </c>
      <c r="F43" s="3">
        <v>58004.378749910516</v>
      </c>
      <c r="G43" s="3">
        <v>58004.378749910516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2:D5"/>
  <sheetViews>
    <sheetView zoomScale="70" zoomScaleNormal="70" workbookViewId="0">
      <selection activeCell="C4" sqref="C4"/>
    </sheetView>
  </sheetViews>
  <sheetFormatPr defaultRowHeight="15" x14ac:dyDescent="0.25"/>
  <cols>
    <col min="3" max="3" width="13.85546875" customWidth="1"/>
    <col min="4" max="4" width="16.28515625" bestFit="1" customWidth="1"/>
    <col min="5" max="5" width="20.140625" bestFit="1" customWidth="1"/>
    <col min="6" max="6" width="12.5703125" bestFit="1" customWidth="1"/>
    <col min="7" max="7" width="12.5703125" customWidth="1"/>
    <col min="8" max="8" width="12.5703125" bestFit="1" customWidth="1"/>
    <col min="9" max="9" width="20.140625" bestFit="1" customWidth="1"/>
    <col min="10" max="10" width="12.5703125" bestFit="1" customWidth="1"/>
    <col min="11" max="11" width="15.28515625" bestFit="1" customWidth="1"/>
    <col min="12" max="12" width="12.5703125" customWidth="1"/>
    <col min="13" max="13" width="20.140625" bestFit="1" customWidth="1"/>
    <col min="14" max="14" width="12.5703125" bestFit="1" customWidth="1"/>
    <col min="15" max="15" width="13.7109375" bestFit="1" customWidth="1"/>
    <col min="16" max="16" width="11.42578125" bestFit="1" customWidth="1"/>
    <col min="17" max="17" width="20.140625" bestFit="1" customWidth="1"/>
    <col min="18" max="18" width="11.42578125" bestFit="1" customWidth="1"/>
    <col min="19" max="19" width="12.140625" bestFit="1" customWidth="1"/>
    <col min="20" max="20" width="12.5703125" bestFit="1" customWidth="1"/>
    <col min="21" max="21" width="20.140625" bestFit="1" customWidth="1"/>
    <col min="22" max="22" width="12.5703125" bestFit="1" customWidth="1"/>
    <col min="23" max="23" width="14.42578125" bestFit="1" customWidth="1"/>
    <col min="24" max="24" width="12.5703125" bestFit="1" customWidth="1"/>
    <col min="25" max="25" width="20.140625" bestFit="1" customWidth="1"/>
    <col min="26" max="26" width="12.5703125" bestFit="1" customWidth="1"/>
    <col min="27" max="27" width="12.85546875" bestFit="1" customWidth="1"/>
    <col min="28" max="28" width="12.5703125" bestFit="1" customWidth="1"/>
  </cols>
  <sheetData>
    <row r="2" spans="3:4" x14ac:dyDescent="0.25">
      <c r="C2" s="1" t="s">
        <v>11</v>
      </c>
      <c r="D2" s="23" t="s">
        <v>138</v>
      </c>
    </row>
    <row r="4" spans="3:4" x14ac:dyDescent="0.25">
      <c r="C4" s="1" t="s">
        <v>80</v>
      </c>
      <c r="D4" s="1" t="s">
        <v>33</v>
      </c>
    </row>
    <row r="5" spans="3:4" x14ac:dyDescent="0.25">
      <c r="C5" s="1" t="s">
        <v>34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G44"/>
  <sheetViews>
    <sheetView workbookViewId="0">
      <selection activeCell="E9" sqref="E9"/>
    </sheetView>
  </sheetViews>
  <sheetFormatPr defaultRowHeight="15" x14ac:dyDescent="0.25"/>
  <cols>
    <col min="3" max="3" width="13.140625" customWidth="1"/>
    <col min="4" max="4" width="7.85546875" bestFit="1" customWidth="1"/>
    <col min="5" max="6" width="12.7109375" customWidth="1"/>
    <col min="7" max="7" width="13.5703125" customWidth="1"/>
    <col min="8" max="8" width="12.7109375" bestFit="1" customWidth="1"/>
    <col min="9" max="10" width="13.5703125" bestFit="1" customWidth="1"/>
    <col min="11" max="11" width="12.7109375" bestFit="1" customWidth="1"/>
    <col min="12" max="18" width="13.5703125" bestFit="1" customWidth="1"/>
    <col min="19" max="19" width="13.5703125" customWidth="1"/>
    <col min="20" max="121" width="13.5703125" bestFit="1" customWidth="1"/>
    <col min="122" max="122" width="12.7109375" bestFit="1" customWidth="1"/>
  </cols>
  <sheetData>
    <row r="4" spans="3:7" x14ac:dyDescent="0.25">
      <c r="C4" s="1" t="s">
        <v>104</v>
      </c>
      <c r="E4" s="1" t="s">
        <v>118</v>
      </c>
      <c r="F4" s="1" t="s">
        <v>105</v>
      </c>
      <c r="G4" s="1" t="s">
        <v>107</v>
      </c>
    </row>
    <row r="5" spans="3:7" x14ac:dyDescent="0.25">
      <c r="E5" s="23" t="s">
        <v>640</v>
      </c>
      <c r="F5" s="23" t="s">
        <v>0</v>
      </c>
    </row>
    <row r="6" spans="3:7" x14ac:dyDescent="0.25">
      <c r="E6" s="23" t="s">
        <v>199</v>
      </c>
    </row>
    <row r="7" spans="3:7" x14ac:dyDescent="0.25">
      <c r="C7" s="1" t="s">
        <v>15</v>
      </c>
      <c r="D7" s="1" t="s">
        <v>61</v>
      </c>
      <c r="E7" s="23" t="s">
        <v>200</v>
      </c>
    </row>
    <row r="8" spans="3:7" x14ac:dyDescent="0.25">
      <c r="C8" s="23" t="s">
        <v>307</v>
      </c>
      <c r="D8" s="23" t="s">
        <v>310</v>
      </c>
      <c r="E8" s="3">
        <v>0</v>
      </c>
      <c r="F8" s="3">
        <v>0</v>
      </c>
    </row>
    <row r="9" spans="3:7" x14ac:dyDescent="0.25">
      <c r="C9" s="23" t="s">
        <v>307</v>
      </c>
      <c r="D9" s="23" t="s">
        <v>311</v>
      </c>
      <c r="E9" s="3">
        <v>0</v>
      </c>
      <c r="F9" s="3">
        <v>0</v>
      </c>
    </row>
    <row r="10" spans="3:7" x14ac:dyDescent="0.25">
      <c r="C10" s="23" t="s">
        <v>307</v>
      </c>
      <c r="D10" s="23" t="s">
        <v>312</v>
      </c>
      <c r="E10" s="3">
        <v>0</v>
      </c>
      <c r="F10" s="3">
        <v>0</v>
      </c>
    </row>
    <row r="11" spans="3:7" x14ac:dyDescent="0.25">
      <c r="C11" s="23" t="s">
        <v>307</v>
      </c>
      <c r="D11" s="23" t="s">
        <v>313</v>
      </c>
      <c r="E11" s="3">
        <v>-1.9585878672128802E-2</v>
      </c>
      <c r="F11" s="3">
        <v>-1.9585878672128802E-2</v>
      </c>
    </row>
    <row r="12" spans="3:7" x14ac:dyDescent="0.25">
      <c r="C12" s="23" t="s">
        <v>307</v>
      </c>
      <c r="D12" s="23" t="s">
        <v>308</v>
      </c>
      <c r="E12" s="3">
        <v>0</v>
      </c>
      <c r="F12" s="3">
        <v>0</v>
      </c>
    </row>
    <row r="13" spans="3:7" x14ac:dyDescent="0.25">
      <c r="C13" s="23" t="s">
        <v>307</v>
      </c>
      <c r="D13" s="23" t="s">
        <v>314</v>
      </c>
      <c r="E13" s="3">
        <v>0</v>
      </c>
      <c r="F13" s="3">
        <v>0</v>
      </c>
    </row>
    <row r="14" spans="3:7" x14ac:dyDescent="0.25">
      <c r="C14" s="23" t="s">
        <v>307</v>
      </c>
      <c r="D14" s="23" t="s">
        <v>309</v>
      </c>
      <c r="E14" s="3">
        <v>0</v>
      </c>
      <c r="F14" s="3">
        <v>0</v>
      </c>
    </row>
    <row r="15" spans="3:7" x14ac:dyDescent="0.25">
      <c r="C15" s="23" t="s">
        <v>307</v>
      </c>
      <c r="D15" s="23" t="s">
        <v>315</v>
      </c>
      <c r="E15" s="3">
        <v>0.15599997539864299</v>
      </c>
      <c r="F15" s="3">
        <v>0.15599997539864299</v>
      </c>
    </row>
    <row r="16" spans="3:7" x14ac:dyDescent="0.25">
      <c r="C16" s="23" t="s">
        <v>307</v>
      </c>
      <c r="D16" s="23" t="s">
        <v>316</v>
      </c>
      <c r="E16" s="3">
        <v>0</v>
      </c>
      <c r="F16" s="3">
        <v>0</v>
      </c>
    </row>
    <row r="17" spans="3:6" x14ac:dyDescent="0.25">
      <c r="C17" s="23" t="s">
        <v>307</v>
      </c>
      <c r="D17" s="23" t="s">
        <v>317</v>
      </c>
      <c r="E17" s="3">
        <v>-2.8440792118137301E-2</v>
      </c>
      <c r="F17" s="3">
        <v>-2.8440792118137301E-2</v>
      </c>
    </row>
    <row r="18" spans="3:6" x14ac:dyDescent="0.25">
      <c r="C18" s="23" t="s">
        <v>307</v>
      </c>
      <c r="D18" s="23" t="s">
        <v>318</v>
      </c>
      <c r="E18" s="3">
        <v>0.54</v>
      </c>
      <c r="F18" s="3">
        <v>0.54</v>
      </c>
    </row>
    <row r="19" spans="3:6" x14ac:dyDescent="0.25">
      <c r="C19" s="23" t="s">
        <v>307</v>
      </c>
      <c r="D19" s="23" t="s">
        <v>319</v>
      </c>
      <c r="E19" s="3">
        <v>0</v>
      </c>
      <c r="F19" s="3">
        <v>0</v>
      </c>
    </row>
    <row r="20" spans="3:6" x14ac:dyDescent="0.25">
      <c r="C20" s="23" t="s">
        <v>306</v>
      </c>
      <c r="D20" s="23" t="s">
        <v>310</v>
      </c>
      <c r="E20" s="3">
        <v>0.28530072927442202</v>
      </c>
      <c r="F20" s="3">
        <v>0.28530072927442202</v>
      </c>
    </row>
    <row r="21" spans="3:6" x14ac:dyDescent="0.25">
      <c r="C21" s="23" t="s">
        <v>306</v>
      </c>
      <c r="D21" s="23" t="s">
        <v>311</v>
      </c>
      <c r="E21" s="3">
        <v>0</v>
      </c>
      <c r="F21" s="3">
        <v>0</v>
      </c>
    </row>
    <row r="22" spans="3:6" x14ac:dyDescent="0.25">
      <c r="C22" s="23" t="s">
        <v>306</v>
      </c>
      <c r="D22" s="23" t="s">
        <v>312</v>
      </c>
      <c r="E22" s="3">
        <v>0.43655071222761299</v>
      </c>
      <c r="F22" s="3">
        <v>0.43655071222761299</v>
      </c>
    </row>
    <row r="23" spans="3:6" x14ac:dyDescent="0.25">
      <c r="C23" s="23" t="s">
        <v>306</v>
      </c>
      <c r="D23" s="23" t="s">
        <v>313</v>
      </c>
      <c r="E23" s="3">
        <v>2.1661500660383599E-2</v>
      </c>
      <c r="F23" s="3">
        <v>2.1661500660383599E-2</v>
      </c>
    </row>
    <row r="24" spans="3:6" x14ac:dyDescent="0.25">
      <c r="C24" s="23" t="s">
        <v>306</v>
      </c>
      <c r="D24" s="23" t="s">
        <v>308</v>
      </c>
      <c r="E24" s="3">
        <v>7.1713245567414305E-2</v>
      </c>
      <c r="F24" s="3">
        <v>7.1713245567414305E-2</v>
      </c>
    </row>
    <row r="25" spans="3:6" x14ac:dyDescent="0.25">
      <c r="C25" s="23" t="s">
        <v>306</v>
      </c>
      <c r="D25" s="23" t="s">
        <v>314</v>
      </c>
      <c r="E25" s="3">
        <v>-3.7761403867755901E-2</v>
      </c>
      <c r="F25" s="3">
        <v>-3.7761403867755901E-2</v>
      </c>
    </row>
    <row r="26" spans="3:6" x14ac:dyDescent="0.25">
      <c r="C26" s="23" t="s">
        <v>306</v>
      </c>
      <c r="D26" s="23" t="s">
        <v>309</v>
      </c>
      <c r="E26" s="3">
        <v>0.216539330916</v>
      </c>
      <c r="F26" s="3">
        <v>0.216539330916</v>
      </c>
    </row>
    <row r="27" spans="3:6" x14ac:dyDescent="0.25">
      <c r="C27" s="23" t="s">
        <v>306</v>
      </c>
      <c r="D27" s="23" t="s">
        <v>315</v>
      </c>
      <c r="E27" s="3">
        <v>7.0012616736057201E-2</v>
      </c>
      <c r="F27" s="3">
        <v>7.0012616736057201E-2</v>
      </c>
    </row>
    <row r="28" spans="3:6" x14ac:dyDescent="0.25">
      <c r="C28" s="23" t="s">
        <v>306</v>
      </c>
      <c r="D28" s="23" t="s">
        <v>316</v>
      </c>
      <c r="E28" s="3">
        <v>0.116452977058219</v>
      </c>
      <c r="F28" s="3">
        <v>0.116452977058219</v>
      </c>
    </row>
    <row r="29" spans="3:6" x14ac:dyDescent="0.25">
      <c r="C29" s="23" t="s">
        <v>306</v>
      </c>
      <c r="D29" s="23" t="s">
        <v>317</v>
      </c>
      <c r="E29" s="3">
        <v>-4.93132946161218E-2</v>
      </c>
      <c r="F29" s="3">
        <v>-4.93132946161218E-2</v>
      </c>
    </row>
    <row r="30" spans="3:6" x14ac:dyDescent="0.25">
      <c r="C30" s="23" t="s">
        <v>306</v>
      </c>
      <c r="D30" s="23" t="s">
        <v>318</v>
      </c>
      <c r="E30" s="3">
        <v>9.3993915218762894E-2</v>
      </c>
      <c r="F30" s="3">
        <v>9.3993915218762894E-2</v>
      </c>
    </row>
    <row r="31" spans="3:6" x14ac:dyDescent="0.25">
      <c r="C31" s="23" t="s">
        <v>306</v>
      </c>
      <c r="D31" s="23" t="s">
        <v>319</v>
      </c>
      <c r="E31" s="3">
        <v>1.37139234273782E-2</v>
      </c>
      <c r="F31" s="3">
        <v>1.37139234273782E-2</v>
      </c>
    </row>
    <row r="32" spans="3:6" x14ac:dyDescent="0.25">
      <c r="C32" s="23" t="s">
        <v>298</v>
      </c>
      <c r="D32" s="23" t="s">
        <v>310</v>
      </c>
      <c r="E32" s="3">
        <v>0.54</v>
      </c>
      <c r="F32" s="3">
        <v>0.54</v>
      </c>
    </row>
    <row r="33" spans="3:6" x14ac:dyDescent="0.25">
      <c r="C33" s="23" t="s">
        <v>298</v>
      </c>
      <c r="D33" s="23" t="s">
        <v>311</v>
      </c>
      <c r="E33" s="3">
        <v>0.37007311391214298</v>
      </c>
      <c r="F33" s="3">
        <v>0.37007311391214298</v>
      </c>
    </row>
    <row r="34" spans="3:6" x14ac:dyDescent="0.25">
      <c r="C34" s="23" t="s">
        <v>298</v>
      </c>
      <c r="D34" s="23" t="s">
        <v>312</v>
      </c>
      <c r="E34" s="3">
        <v>-0.14810840218437801</v>
      </c>
      <c r="F34" s="3">
        <v>-0.14810840218437801</v>
      </c>
    </row>
    <row r="35" spans="3:6" x14ac:dyDescent="0.25">
      <c r="C35" s="23" t="s">
        <v>298</v>
      </c>
      <c r="D35" s="23" t="s">
        <v>313</v>
      </c>
      <c r="E35" s="3">
        <v>0.53073610070473298</v>
      </c>
      <c r="F35" s="3">
        <v>0.53073610070473298</v>
      </c>
    </row>
    <row r="36" spans="3:6" x14ac:dyDescent="0.25">
      <c r="C36" s="23" t="s">
        <v>298</v>
      </c>
      <c r="D36" s="23" t="s">
        <v>308</v>
      </c>
      <c r="E36" s="3">
        <v>0</v>
      </c>
      <c r="F36" s="3">
        <v>0</v>
      </c>
    </row>
    <row r="37" spans="3:6" x14ac:dyDescent="0.25">
      <c r="C37" s="23" t="s">
        <v>298</v>
      </c>
      <c r="D37" s="23" t="s">
        <v>314</v>
      </c>
      <c r="E37" s="3">
        <v>0</v>
      </c>
      <c r="F37" s="3">
        <v>0</v>
      </c>
    </row>
    <row r="38" spans="3:6" x14ac:dyDescent="0.25">
      <c r="C38" s="23" t="s">
        <v>298</v>
      </c>
      <c r="D38" s="23" t="s">
        <v>309</v>
      </c>
      <c r="E38" s="3">
        <v>1.004455562362E-2</v>
      </c>
      <c r="F38" s="3">
        <v>1.004455562362E-2</v>
      </c>
    </row>
    <row r="39" spans="3:6" x14ac:dyDescent="0.25">
      <c r="C39" s="23" t="s">
        <v>298</v>
      </c>
      <c r="D39" s="23" t="s">
        <v>315</v>
      </c>
      <c r="E39" s="3">
        <v>0.13060565147488301</v>
      </c>
      <c r="F39" s="3">
        <v>0.13060565147488301</v>
      </c>
    </row>
    <row r="40" spans="3:6" x14ac:dyDescent="0.25">
      <c r="C40" s="23" t="s">
        <v>298</v>
      </c>
      <c r="D40" s="23" t="s">
        <v>316</v>
      </c>
      <c r="E40" s="3">
        <v>0.15848977398686301</v>
      </c>
      <c r="F40" s="3">
        <v>0.15848977398686301</v>
      </c>
    </row>
    <row r="41" spans="3:6" x14ac:dyDescent="0.25">
      <c r="C41" s="23" t="s">
        <v>298</v>
      </c>
      <c r="D41" s="23" t="s">
        <v>317</v>
      </c>
      <c r="E41" s="3">
        <v>3.0291553737233901E-2</v>
      </c>
      <c r="F41" s="3">
        <v>3.0291553737233901E-2</v>
      </c>
    </row>
    <row r="42" spans="3:6" x14ac:dyDescent="0.25">
      <c r="C42" s="23" t="s">
        <v>298</v>
      </c>
      <c r="D42" s="23" t="s">
        <v>318</v>
      </c>
      <c r="E42" s="3">
        <v>3.9525795665148203E-2</v>
      </c>
      <c r="F42" s="3">
        <v>3.9525795665148203E-2</v>
      </c>
    </row>
    <row r="43" spans="3:6" x14ac:dyDescent="0.25">
      <c r="C43" s="23" t="s">
        <v>298</v>
      </c>
      <c r="D43" s="23" t="s">
        <v>319</v>
      </c>
      <c r="E43" s="3">
        <v>-0.18282491980006499</v>
      </c>
      <c r="F43" s="3">
        <v>-0.18282491980006499</v>
      </c>
    </row>
    <row r="44" spans="3:6" x14ac:dyDescent="0.25">
      <c r="C44" s="23" t="s">
        <v>0</v>
      </c>
      <c r="E44" s="3">
        <v>3.3656707803309307</v>
      </c>
      <c r="F44" s="3">
        <v>3.3656707803309307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E41"/>
  <sheetViews>
    <sheetView zoomScale="85" zoomScaleNormal="85" workbookViewId="0">
      <selection activeCell="H32" sqref="H32"/>
    </sheetView>
  </sheetViews>
  <sheetFormatPr defaultRowHeight="15" x14ac:dyDescent="0.25"/>
  <cols>
    <col min="2" max="2" width="16.28515625" customWidth="1"/>
    <col min="3" max="3" width="16.5703125" customWidth="1"/>
    <col min="4" max="4" width="16.28515625" customWidth="1"/>
    <col min="5" max="5" width="12.28515625" customWidth="1"/>
    <col min="6" max="8" width="9.28515625" customWidth="1"/>
    <col min="9" max="9" width="8.140625" customWidth="1"/>
    <col min="10" max="12" width="9.28515625" customWidth="1"/>
    <col min="13" max="15" width="8.140625" customWidth="1"/>
    <col min="16" max="16" width="7.140625" customWidth="1"/>
    <col min="17" max="17" width="8.140625" customWidth="1"/>
    <col min="18" max="21" width="9.28515625" customWidth="1"/>
    <col min="22" max="22" width="8.140625" customWidth="1"/>
    <col min="23" max="23" width="9.28515625" customWidth="1"/>
    <col min="24" max="24" width="7.140625" customWidth="1"/>
    <col min="25" max="26" width="9.28515625" customWidth="1"/>
    <col min="27" max="30" width="12.28515625" customWidth="1"/>
  </cols>
  <sheetData>
    <row r="1" spans="2:4" x14ac:dyDescent="0.25">
      <c r="B1" t="s">
        <v>230</v>
      </c>
    </row>
    <row r="2" spans="2:4" x14ac:dyDescent="0.25">
      <c r="B2" s="21" t="s">
        <v>106</v>
      </c>
      <c r="C2" s="21" t="s">
        <v>232</v>
      </c>
      <c r="D2" s="22"/>
    </row>
    <row r="3" spans="2:4" x14ac:dyDescent="0.25">
      <c r="B3" s="21" t="s">
        <v>233</v>
      </c>
      <c r="C3" s="22" t="s">
        <v>199</v>
      </c>
      <c r="D3" s="22" t="s">
        <v>200</v>
      </c>
    </row>
    <row r="4" spans="2:4" x14ac:dyDescent="0.25">
      <c r="B4" s="22" t="s">
        <v>199</v>
      </c>
      <c r="C4" s="22"/>
      <c r="D4" s="22">
        <v>932.38166475344997</v>
      </c>
    </row>
    <row r="5" spans="2:4" x14ac:dyDescent="0.25">
      <c r="B5" s="22" t="s">
        <v>200</v>
      </c>
      <c r="C5" s="22">
        <v>113.401774872923</v>
      </c>
      <c r="D5" s="22"/>
    </row>
    <row r="37" spans="2:5" x14ac:dyDescent="0.25">
      <c r="B37" t="s">
        <v>229</v>
      </c>
    </row>
    <row r="38" spans="2:5" x14ac:dyDescent="0.25">
      <c r="B38" s="1" t="s">
        <v>228</v>
      </c>
      <c r="D38" s="1" t="s">
        <v>233</v>
      </c>
    </row>
    <row r="39" spans="2:5" x14ac:dyDescent="0.25">
      <c r="B39" s="1" t="s">
        <v>118</v>
      </c>
      <c r="C39" s="1" t="s">
        <v>232</v>
      </c>
      <c r="D39" s="23" t="s">
        <v>199</v>
      </c>
      <c r="E39" s="23" t="s">
        <v>200</v>
      </c>
    </row>
    <row r="40" spans="2:5" x14ac:dyDescent="0.25">
      <c r="B40" s="23" t="s">
        <v>640</v>
      </c>
      <c r="C40" s="23" t="s">
        <v>199</v>
      </c>
      <c r="D40" s="3"/>
      <c r="E40" s="3">
        <v>0.227779101343874</v>
      </c>
    </row>
    <row r="41" spans="2:5" x14ac:dyDescent="0.25">
      <c r="B41" s="23" t="s">
        <v>640</v>
      </c>
      <c r="C41" s="23" t="s">
        <v>200</v>
      </c>
      <c r="D41" s="3">
        <v>3.7530392006794799</v>
      </c>
      <c r="E41" s="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1:AC71"/>
  <sheetViews>
    <sheetView topLeftCell="A3" zoomScale="85" zoomScaleNormal="85" workbookViewId="0">
      <selection activeCell="A13" sqref="A13:XFD13"/>
    </sheetView>
  </sheetViews>
  <sheetFormatPr defaultRowHeight="15" x14ac:dyDescent="0.25"/>
  <cols>
    <col min="2" max="2" width="18" customWidth="1"/>
    <col min="3" max="3" width="15.7109375" customWidth="1"/>
    <col min="4" max="4" width="16" customWidth="1"/>
    <col min="5" max="12" width="5.140625" customWidth="1"/>
    <col min="13" max="13" width="4.140625" customWidth="1"/>
    <col min="14" max="14" width="5.140625" customWidth="1"/>
    <col min="15" max="15" width="4.85546875" customWidth="1"/>
    <col min="16" max="18" width="5.140625" customWidth="1"/>
    <col min="19" max="19" width="4.85546875" customWidth="1"/>
    <col min="20" max="21" width="5.140625" customWidth="1"/>
    <col min="22" max="22" width="6.5703125" customWidth="1"/>
    <col min="23" max="23" width="6.140625" customWidth="1"/>
    <col min="24" max="24" width="7" customWidth="1"/>
    <col min="25" max="25" width="6.140625" customWidth="1"/>
    <col min="26" max="27" width="12.28515625" customWidth="1"/>
    <col min="28" max="28" width="6.5703125" customWidth="1"/>
    <col min="29" max="29" width="6.42578125" customWidth="1"/>
    <col min="30" max="119" width="16" bestFit="1" customWidth="1"/>
  </cols>
  <sheetData>
    <row r="1" spans="2:4" x14ac:dyDescent="0.25">
      <c r="B1" t="s">
        <v>218</v>
      </c>
    </row>
    <row r="4" spans="2:4" x14ac:dyDescent="0.25">
      <c r="B4" s="1" t="s">
        <v>14</v>
      </c>
      <c r="D4" s="1" t="s">
        <v>622</v>
      </c>
    </row>
    <row r="5" spans="2:4" x14ac:dyDescent="0.25">
      <c r="B5" s="1" t="s">
        <v>118</v>
      </c>
      <c r="C5" s="1" t="s">
        <v>621</v>
      </c>
    </row>
    <row r="33" spans="2:29"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row>
    <row r="34" spans="2:29"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row>
    <row r="35" spans="2:29"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row>
    <row r="36" spans="2:29"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row>
    <row r="37" spans="2:29"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row>
    <row r="38" spans="2:29"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row>
    <row r="39" spans="2:29"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row>
    <row r="40" spans="2:29"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row>
    <row r="41" spans="2:29"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row>
    <row r="42" spans="2:29"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row>
    <row r="43" spans="2:29"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row>
    <row r="44" spans="2:29"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row>
    <row r="45" spans="2:29" x14ac:dyDescent="0.25">
      <c r="B45" t="s">
        <v>219</v>
      </c>
      <c r="C45" s="3"/>
      <c r="D45" s="3"/>
      <c r="E45" s="3"/>
      <c r="F45" s="3"/>
      <c r="G45" s="3"/>
      <c r="H45" s="3"/>
      <c r="I45" s="3"/>
      <c r="J45" s="3"/>
      <c r="K45" s="3"/>
      <c r="L45" s="3"/>
      <c r="M45" s="3"/>
      <c r="N45" s="3"/>
      <c r="O45" s="3"/>
      <c r="P45" s="3"/>
      <c r="Q45" s="3"/>
      <c r="R45" s="3"/>
      <c r="S45" s="3"/>
      <c r="T45" s="3"/>
      <c r="U45" s="3"/>
      <c r="V45" s="3"/>
      <c r="W45" s="3"/>
      <c r="X45" s="3"/>
      <c r="Y45" s="3"/>
      <c r="Z45" s="3"/>
      <c r="AA45" s="3"/>
      <c r="AB45" s="3"/>
      <c r="AC45" s="3"/>
    </row>
    <row r="46" spans="2:29" x14ac:dyDescent="0.25">
      <c r="B46" s="1" t="s">
        <v>170</v>
      </c>
      <c r="C46" s="23" t="s">
        <v>138</v>
      </c>
      <c r="D46" s="3"/>
      <c r="E46" s="3"/>
      <c r="F46" s="3"/>
      <c r="G46" s="3"/>
      <c r="H46" s="3"/>
      <c r="I46" s="3"/>
      <c r="J46" s="3"/>
      <c r="K46" s="3"/>
      <c r="L46" s="3"/>
      <c r="M46" s="3"/>
      <c r="N46" s="3"/>
      <c r="O46" s="3"/>
      <c r="P46" s="3"/>
      <c r="Q46" s="3"/>
      <c r="R46" s="3"/>
      <c r="S46" s="3"/>
      <c r="T46" s="3"/>
      <c r="U46" s="3"/>
      <c r="V46" s="3"/>
      <c r="W46" s="3"/>
      <c r="X46" s="3"/>
      <c r="Y46" s="3"/>
      <c r="Z46" s="3"/>
      <c r="AA46" s="3"/>
      <c r="AB46" s="3"/>
      <c r="AC46" s="3"/>
    </row>
    <row r="47" spans="2:29"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row>
    <row r="48" spans="2:29" x14ac:dyDescent="0.25">
      <c r="B48" s="1" t="s">
        <v>14</v>
      </c>
      <c r="D48" s="1" t="s">
        <v>187</v>
      </c>
    </row>
    <row r="49" spans="2:25" x14ac:dyDescent="0.25">
      <c r="B49" s="1" t="s">
        <v>272</v>
      </c>
      <c r="C49" s="1" t="s">
        <v>188</v>
      </c>
      <c r="D49" s="23" t="s">
        <v>205</v>
      </c>
      <c r="E49" s="23" t="s">
        <v>216</v>
      </c>
      <c r="F49" s="23" t="s">
        <v>211</v>
      </c>
      <c r="G49" s="23" t="s">
        <v>200</v>
      </c>
      <c r="H49" s="23" t="s">
        <v>215</v>
      </c>
      <c r="I49" s="23" t="s">
        <v>199</v>
      </c>
      <c r="J49" s="23" t="s">
        <v>207</v>
      </c>
      <c r="K49" s="23" t="s">
        <v>214</v>
      </c>
      <c r="L49" s="23" t="s">
        <v>202</v>
      </c>
      <c r="M49" s="23" t="s">
        <v>204</v>
      </c>
      <c r="N49" s="23" t="s">
        <v>201</v>
      </c>
      <c r="O49" s="23" t="s">
        <v>209</v>
      </c>
      <c r="P49" s="23" t="s">
        <v>212</v>
      </c>
      <c r="Q49" s="23" t="s">
        <v>203</v>
      </c>
      <c r="R49" s="23" t="s">
        <v>208</v>
      </c>
      <c r="S49" s="23" t="s">
        <v>210</v>
      </c>
      <c r="T49" s="23" t="s">
        <v>206</v>
      </c>
      <c r="U49" s="23" t="s">
        <v>213</v>
      </c>
      <c r="V49" s="23" t="s">
        <v>264</v>
      </c>
      <c r="W49" s="23" t="s">
        <v>266</v>
      </c>
      <c r="X49" s="23" t="s">
        <v>267</v>
      </c>
      <c r="Y49" s="23" t="s">
        <v>265</v>
      </c>
    </row>
    <row r="50" spans="2:25" x14ac:dyDescent="0.25">
      <c r="B50" s="23" t="s">
        <v>269</v>
      </c>
      <c r="C50" s="23" t="s">
        <v>199</v>
      </c>
      <c r="D50" s="3">
        <v>700</v>
      </c>
      <c r="E50" s="3">
        <v>1400</v>
      </c>
      <c r="F50" s="3"/>
      <c r="G50" s="3">
        <v>600</v>
      </c>
      <c r="H50" s="3"/>
      <c r="I50" s="3"/>
      <c r="J50" s="3">
        <v>1700</v>
      </c>
      <c r="K50" s="3">
        <v>740</v>
      </c>
      <c r="L50" s="3"/>
      <c r="M50" s="3"/>
      <c r="N50" s="3"/>
      <c r="O50" s="3"/>
      <c r="P50" s="3"/>
      <c r="Q50" s="3"/>
      <c r="R50" s="3"/>
      <c r="S50" s="3"/>
      <c r="T50" s="3"/>
      <c r="U50" s="3"/>
      <c r="V50" s="3">
        <v>3000</v>
      </c>
      <c r="W50" s="3"/>
      <c r="X50" s="3"/>
      <c r="Y50" s="3"/>
    </row>
    <row r="51" spans="2:25" x14ac:dyDescent="0.25">
      <c r="B51" s="23" t="s">
        <v>269</v>
      </c>
      <c r="C51" s="23" t="s">
        <v>200</v>
      </c>
      <c r="D51" s="3"/>
      <c r="E51" s="3"/>
      <c r="F51" s="3"/>
      <c r="G51" s="3"/>
      <c r="H51" s="3">
        <v>1700</v>
      </c>
      <c r="I51" s="3">
        <v>600</v>
      </c>
      <c r="J51" s="3"/>
      <c r="K51" s="3"/>
      <c r="L51" s="3"/>
      <c r="M51" s="3"/>
      <c r="N51" s="3"/>
      <c r="O51" s="3"/>
      <c r="P51" s="3"/>
      <c r="Q51" s="3"/>
      <c r="R51" s="3"/>
      <c r="S51" s="3"/>
      <c r="T51" s="3"/>
      <c r="U51" s="3"/>
      <c r="V51" s="3"/>
      <c r="W51" s="3"/>
      <c r="X51" s="3"/>
      <c r="Y51" s="3">
        <v>985</v>
      </c>
    </row>
    <row r="52" spans="2:25" x14ac:dyDescent="0.25">
      <c r="B52" s="23" t="s">
        <v>269</v>
      </c>
      <c r="C52" s="23" t="s">
        <v>201</v>
      </c>
      <c r="D52" s="3"/>
      <c r="E52" s="3"/>
      <c r="F52" s="3"/>
      <c r="G52" s="3"/>
      <c r="H52" s="3"/>
      <c r="I52" s="3"/>
      <c r="J52" s="3"/>
      <c r="K52" s="3"/>
      <c r="L52" s="3">
        <v>1000</v>
      </c>
      <c r="M52" s="3">
        <v>800</v>
      </c>
      <c r="N52" s="3"/>
      <c r="O52" s="3"/>
      <c r="P52" s="3"/>
      <c r="Q52" s="3"/>
      <c r="R52" s="3"/>
      <c r="S52" s="3"/>
      <c r="T52" s="3"/>
      <c r="U52" s="3"/>
      <c r="V52" s="3"/>
      <c r="W52" s="3"/>
      <c r="X52" s="3"/>
      <c r="Y52" s="3"/>
    </row>
    <row r="53" spans="2:25" x14ac:dyDescent="0.25">
      <c r="B53" s="23" t="s">
        <v>269</v>
      </c>
      <c r="C53" s="23" t="s">
        <v>202</v>
      </c>
      <c r="D53" s="3"/>
      <c r="E53" s="3"/>
      <c r="F53" s="3"/>
      <c r="G53" s="3"/>
      <c r="H53" s="3"/>
      <c r="I53" s="3"/>
      <c r="J53" s="3"/>
      <c r="K53" s="3">
        <v>1350</v>
      </c>
      <c r="L53" s="3"/>
      <c r="M53" s="3"/>
      <c r="N53" s="3">
        <v>1000</v>
      </c>
      <c r="O53" s="3">
        <v>700</v>
      </c>
      <c r="P53" s="3">
        <v>1300</v>
      </c>
      <c r="Q53" s="3"/>
      <c r="R53" s="3"/>
      <c r="S53" s="3"/>
      <c r="T53" s="3"/>
      <c r="U53" s="3"/>
      <c r="V53" s="3"/>
      <c r="W53" s="3"/>
      <c r="X53" s="3"/>
      <c r="Y53" s="3"/>
    </row>
    <row r="54" spans="2:25" x14ac:dyDescent="0.25">
      <c r="B54" s="23" t="s">
        <v>269</v>
      </c>
      <c r="C54" s="23" t="s">
        <v>203</v>
      </c>
      <c r="D54" s="3"/>
      <c r="E54" s="3"/>
      <c r="F54" s="3">
        <v>1000</v>
      </c>
      <c r="G54" s="3"/>
      <c r="H54" s="3">
        <v>700</v>
      </c>
      <c r="I54" s="3"/>
      <c r="J54" s="3"/>
      <c r="K54" s="3"/>
      <c r="L54" s="3"/>
      <c r="M54" s="3">
        <v>700</v>
      </c>
      <c r="N54" s="3"/>
      <c r="O54" s="3"/>
      <c r="P54" s="3"/>
      <c r="Q54" s="3"/>
      <c r="R54" s="3"/>
      <c r="S54" s="3"/>
      <c r="T54" s="3"/>
      <c r="U54" s="3"/>
      <c r="V54" s="3"/>
      <c r="W54" s="3"/>
      <c r="X54" s="3"/>
      <c r="Y54" s="3"/>
    </row>
    <row r="55" spans="2:25" x14ac:dyDescent="0.25">
      <c r="B55" s="23" t="s">
        <v>269</v>
      </c>
      <c r="C55" s="23" t="s">
        <v>204</v>
      </c>
      <c r="D55" s="3"/>
      <c r="E55" s="3"/>
      <c r="F55" s="3"/>
      <c r="G55" s="3"/>
      <c r="H55" s="3"/>
      <c r="I55" s="3"/>
      <c r="J55" s="3"/>
      <c r="K55" s="3"/>
      <c r="L55" s="3"/>
      <c r="M55" s="3"/>
      <c r="N55" s="3">
        <v>800</v>
      </c>
      <c r="O55" s="3"/>
      <c r="P55" s="3"/>
      <c r="Q55" s="3">
        <v>1200</v>
      </c>
      <c r="R55" s="3"/>
      <c r="S55" s="3"/>
      <c r="T55" s="3"/>
      <c r="U55" s="3"/>
      <c r="V55" s="3"/>
      <c r="W55" s="3"/>
      <c r="X55" s="3"/>
      <c r="Y55" s="3"/>
    </row>
    <row r="56" spans="2:25" x14ac:dyDescent="0.25">
      <c r="B56" s="23" t="s">
        <v>269</v>
      </c>
      <c r="C56" s="23" t="s">
        <v>205</v>
      </c>
      <c r="D56" s="3"/>
      <c r="E56" s="3">
        <v>1000</v>
      </c>
      <c r="F56" s="3"/>
      <c r="G56" s="3"/>
      <c r="H56" s="3"/>
      <c r="I56" s="3">
        <v>700</v>
      </c>
      <c r="J56" s="3">
        <v>1400</v>
      </c>
      <c r="K56" s="3"/>
      <c r="L56" s="3"/>
      <c r="M56" s="3"/>
      <c r="N56" s="3"/>
      <c r="O56" s="3"/>
      <c r="P56" s="3"/>
      <c r="Q56" s="3"/>
      <c r="R56" s="3"/>
      <c r="S56" s="3"/>
      <c r="T56" s="3"/>
      <c r="U56" s="3"/>
      <c r="V56" s="3"/>
      <c r="W56" s="3"/>
      <c r="X56" s="3">
        <v>5100</v>
      </c>
      <c r="Y56" s="3"/>
    </row>
    <row r="57" spans="2:25" x14ac:dyDescent="0.25">
      <c r="B57" s="23" t="s">
        <v>269</v>
      </c>
      <c r="C57" s="23" t="s">
        <v>206</v>
      </c>
      <c r="D57" s="3"/>
      <c r="E57" s="3"/>
      <c r="F57" s="3"/>
      <c r="G57" s="3"/>
      <c r="H57" s="3"/>
      <c r="I57" s="3"/>
      <c r="J57" s="3">
        <v>1900</v>
      </c>
      <c r="K57" s="3">
        <v>3345</v>
      </c>
      <c r="L57" s="3"/>
      <c r="M57" s="3"/>
      <c r="N57" s="3"/>
      <c r="O57" s="3"/>
      <c r="P57" s="3"/>
      <c r="Q57" s="3"/>
      <c r="R57" s="3">
        <v>800</v>
      </c>
      <c r="S57" s="3">
        <v>300</v>
      </c>
      <c r="T57" s="3"/>
      <c r="U57" s="3"/>
      <c r="V57" s="3"/>
      <c r="W57" s="3"/>
      <c r="X57" s="3"/>
      <c r="Y57" s="3"/>
    </row>
    <row r="58" spans="2:25" x14ac:dyDescent="0.25">
      <c r="B58" s="23" t="s">
        <v>269</v>
      </c>
      <c r="C58" s="23" t="s">
        <v>207</v>
      </c>
      <c r="D58" s="3">
        <v>1400</v>
      </c>
      <c r="E58" s="3">
        <v>1400</v>
      </c>
      <c r="F58" s="3"/>
      <c r="G58" s="3"/>
      <c r="H58" s="3"/>
      <c r="I58" s="3">
        <v>1700</v>
      </c>
      <c r="J58" s="3"/>
      <c r="K58" s="3"/>
      <c r="L58" s="3"/>
      <c r="M58" s="3"/>
      <c r="N58" s="3"/>
      <c r="O58" s="3"/>
      <c r="P58" s="3"/>
      <c r="Q58" s="3"/>
      <c r="R58" s="3"/>
      <c r="S58" s="3">
        <v>500</v>
      </c>
      <c r="T58" s="3">
        <v>2600</v>
      </c>
      <c r="U58" s="3"/>
      <c r="V58" s="3">
        <v>1400</v>
      </c>
      <c r="W58" s="3"/>
      <c r="X58" s="3"/>
      <c r="Y58" s="3"/>
    </row>
    <row r="59" spans="2:25" x14ac:dyDescent="0.25">
      <c r="B59" s="23" t="s">
        <v>269</v>
      </c>
      <c r="C59" s="23" t="s">
        <v>208</v>
      </c>
      <c r="D59" s="3"/>
      <c r="E59" s="3"/>
      <c r="F59" s="3"/>
      <c r="G59" s="3"/>
      <c r="H59" s="3"/>
      <c r="I59" s="3"/>
      <c r="J59" s="3"/>
      <c r="K59" s="3"/>
      <c r="L59" s="3"/>
      <c r="M59" s="3"/>
      <c r="N59" s="3"/>
      <c r="O59" s="3">
        <v>200</v>
      </c>
      <c r="P59" s="3"/>
      <c r="Q59" s="3"/>
      <c r="R59" s="3"/>
      <c r="S59" s="3"/>
      <c r="T59" s="3">
        <v>500</v>
      </c>
      <c r="U59" s="3">
        <v>600</v>
      </c>
      <c r="V59" s="3"/>
      <c r="W59" s="3"/>
      <c r="X59" s="3"/>
      <c r="Y59" s="3"/>
    </row>
    <row r="60" spans="2:25" x14ac:dyDescent="0.25">
      <c r="B60" s="23" t="s">
        <v>269</v>
      </c>
      <c r="C60" s="23" t="s">
        <v>209</v>
      </c>
      <c r="D60" s="3"/>
      <c r="E60" s="3"/>
      <c r="F60" s="3"/>
      <c r="G60" s="3"/>
      <c r="H60" s="3"/>
      <c r="I60" s="3"/>
      <c r="J60" s="3"/>
      <c r="K60" s="3"/>
      <c r="L60" s="3">
        <v>600</v>
      </c>
      <c r="M60" s="3"/>
      <c r="N60" s="3"/>
      <c r="O60" s="3"/>
      <c r="P60" s="3"/>
      <c r="Q60" s="3"/>
      <c r="R60" s="3">
        <v>1000</v>
      </c>
      <c r="S60" s="3"/>
      <c r="T60" s="3"/>
      <c r="U60" s="3">
        <v>250</v>
      </c>
      <c r="V60" s="3"/>
      <c r="W60" s="3"/>
      <c r="X60" s="3"/>
      <c r="Y60" s="3"/>
    </row>
    <row r="61" spans="2:25" x14ac:dyDescent="0.25">
      <c r="B61" s="23" t="s">
        <v>269</v>
      </c>
      <c r="C61" s="23" t="s">
        <v>210</v>
      </c>
      <c r="D61" s="3"/>
      <c r="E61" s="3"/>
      <c r="F61" s="3"/>
      <c r="G61" s="3"/>
      <c r="H61" s="3"/>
      <c r="I61" s="3"/>
      <c r="J61" s="3">
        <v>600</v>
      </c>
      <c r="K61" s="3"/>
      <c r="L61" s="3"/>
      <c r="M61" s="3"/>
      <c r="N61" s="3"/>
      <c r="O61" s="3"/>
      <c r="P61" s="3"/>
      <c r="Q61" s="3"/>
      <c r="R61" s="3"/>
      <c r="S61" s="3"/>
      <c r="T61" s="3">
        <v>3700</v>
      </c>
      <c r="U61" s="3"/>
      <c r="V61" s="3"/>
      <c r="W61" s="3"/>
      <c r="X61" s="3"/>
      <c r="Y61" s="3"/>
    </row>
    <row r="62" spans="2:25" x14ac:dyDescent="0.25">
      <c r="B62" s="23" t="s">
        <v>269</v>
      </c>
      <c r="C62" s="23" t="s">
        <v>211</v>
      </c>
      <c r="D62" s="3"/>
      <c r="E62" s="3"/>
      <c r="F62" s="3"/>
      <c r="G62" s="3"/>
      <c r="H62" s="3"/>
      <c r="I62" s="3"/>
      <c r="J62" s="3"/>
      <c r="K62" s="3"/>
      <c r="L62" s="3"/>
      <c r="M62" s="3"/>
      <c r="N62" s="3"/>
      <c r="O62" s="3"/>
      <c r="P62" s="3"/>
      <c r="Q62" s="3">
        <v>1000</v>
      </c>
      <c r="R62" s="3"/>
      <c r="S62" s="3"/>
      <c r="T62" s="3"/>
      <c r="U62" s="3"/>
      <c r="V62" s="3"/>
      <c r="W62" s="3"/>
      <c r="X62" s="3"/>
      <c r="Y62" s="3">
        <v>2000</v>
      </c>
    </row>
    <row r="63" spans="2:25" x14ac:dyDescent="0.25">
      <c r="B63" s="23" t="s">
        <v>269</v>
      </c>
      <c r="C63" s="23" t="s">
        <v>212</v>
      </c>
      <c r="D63" s="3"/>
      <c r="E63" s="3"/>
      <c r="F63" s="3"/>
      <c r="G63" s="3"/>
      <c r="H63" s="3"/>
      <c r="I63" s="3"/>
      <c r="J63" s="3"/>
      <c r="K63" s="3"/>
      <c r="L63" s="3">
        <v>1300</v>
      </c>
      <c r="M63" s="3"/>
      <c r="N63" s="3"/>
      <c r="O63" s="3">
        <v>600</v>
      </c>
      <c r="P63" s="3"/>
      <c r="Q63" s="3"/>
      <c r="R63" s="3"/>
      <c r="S63" s="3"/>
      <c r="T63" s="3"/>
      <c r="U63" s="3">
        <v>3300</v>
      </c>
      <c r="V63" s="3"/>
      <c r="W63" s="3"/>
      <c r="X63" s="3"/>
      <c r="Y63" s="3"/>
    </row>
    <row r="64" spans="2:25" x14ac:dyDescent="0.25">
      <c r="B64" s="23" t="s">
        <v>269</v>
      </c>
      <c r="C64" s="23" t="s">
        <v>213</v>
      </c>
      <c r="D64" s="3"/>
      <c r="E64" s="3"/>
      <c r="F64" s="3"/>
      <c r="G64" s="3"/>
      <c r="H64" s="3"/>
      <c r="I64" s="3"/>
      <c r="J64" s="3"/>
      <c r="K64" s="3">
        <v>7300</v>
      </c>
      <c r="L64" s="3"/>
      <c r="M64" s="3"/>
      <c r="N64" s="3"/>
      <c r="O64" s="3">
        <v>300</v>
      </c>
      <c r="P64" s="3">
        <v>3300</v>
      </c>
      <c r="Q64" s="3"/>
      <c r="R64" s="3">
        <v>1000</v>
      </c>
      <c r="S64" s="3"/>
      <c r="T64" s="3"/>
      <c r="U64" s="3"/>
      <c r="V64" s="3"/>
      <c r="W64" s="3"/>
      <c r="X64" s="3"/>
      <c r="Y64" s="3"/>
    </row>
    <row r="65" spans="2:25" x14ac:dyDescent="0.25">
      <c r="B65" s="23" t="s">
        <v>269</v>
      </c>
      <c r="C65" s="23" t="s">
        <v>214</v>
      </c>
      <c r="D65" s="3"/>
      <c r="E65" s="3"/>
      <c r="F65" s="3"/>
      <c r="G65" s="3"/>
      <c r="H65" s="3">
        <v>6500</v>
      </c>
      <c r="I65" s="3">
        <v>680</v>
      </c>
      <c r="J65" s="3"/>
      <c r="K65" s="3"/>
      <c r="L65" s="3">
        <v>1350</v>
      </c>
      <c r="M65" s="3"/>
      <c r="N65" s="3"/>
      <c r="O65" s="3"/>
      <c r="P65" s="3"/>
      <c r="Q65" s="3"/>
      <c r="R65" s="3"/>
      <c r="S65" s="3"/>
      <c r="T65" s="3">
        <v>3295</v>
      </c>
      <c r="U65" s="3">
        <v>7300</v>
      </c>
      <c r="V65" s="3"/>
      <c r="W65" s="3"/>
      <c r="X65" s="3"/>
      <c r="Y65" s="3"/>
    </row>
    <row r="66" spans="2:25" x14ac:dyDescent="0.25">
      <c r="B66" s="23" t="s">
        <v>269</v>
      </c>
      <c r="C66" s="23" t="s">
        <v>215</v>
      </c>
      <c r="D66" s="3"/>
      <c r="E66" s="3"/>
      <c r="F66" s="3"/>
      <c r="G66" s="3">
        <v>1300</v>
      </c>
      <c r="H66" s="3"/>
      <c r="I66" s="3"/>
      <c r="J66" s="3"/>
      <c r="K66" s="3">
        <v>3200</v>
      </c>
      <c r="L66" s="3"/>
      <c r="M66" s="3"/>
      <c r="N66" s="3"/>
      <c r="O66" s="3"/>
      <c r="P66" s="3"/>
      <c r="Q66" s="3">
        <v>700</v>
      </c>
      <c r="R66" s="3"/>
      <c r="S66" s="3"/>
      <c r="T66" s="3"/>
      <c r="U66" s="3"/>
      <c r="V66" s="3">
        <v>610</v>
      </c>
      <c r="W66" s="3"/>
      <c r="X66" s="3"/>
      <c r="Y66" s="3"/>
    </row>
    <row r="67" spans="2:25" x14ac:dyDescent="0.25">
      <c r="B67" s="23" t="s">
        <v>269</v>
      </c>
      <c r="C67" s="23" t="s">
        <v>216</v>
      </c>
      <c r="D67" s="3">
        <v>1000</v>
      </c>
      <c r="E67" s="3"/>
      <c r="F67" s="3"/>
      <c r="G67" s="3"/>
      <c r="H67" s="3"/>
      <c r="I67" s="3">
        <v>1400</v>
      </c>
      <c r="J67" s="3">
        <v>1400</v>
      </c>
      <c r="K67" s="3"/>
      <c r="L67" s="3"/>
      <c r="M67" s="3"/>
      <c r="N67" s="3"/>
      <c r="O67" s="3"/>
      <c r="P67" s="3"/>
      <c r="Q67" s="3"/>
      <c r="R67" s="3"/>
      <c r="S67" s="3"/>
      <c r="T67" s="3"/>
      <c r="U67" s="3"/>
      <c r="V67" s="3"/>
      <c r="W67" s="3"/>
      <c r="X67" s="3"/>
      <c r="Y67" s="3"/>
    </row>
    <row r="68" spans="2:25" x14ac:dyDescent="0.25">
      <c r="B68" s="23" t="s">
        <v>269</v>
      </c>
      <c r="C68" s="23" t="s">
        <v>265</v>
      </c>
      <c r="D68" s="3"/>
      <c r="E68" s="3"/>
      <c r="F68" s="3">
        <v>2000</v>
      </c>
      <c r="G68" s="3">
        <v>1000</v>
      </c>
      <c r="H68" s="3"/>
      <c r="I68" s="3"/>
      <c r="J68" s="3"/>
      <c r="K68" s="3"/>
      <c r="L68" s="3"/>
      <c r="M68" s="3"/>
      <c r="N68" s="3"/>
      <c r="O68" s="3"/>
      <c r="P68" s="3"/>
      <c r="Q68" s="3"/>
      <c r="R68" s="3"/>
      <c r="S68" s="3"/>
      <c r="T68" s="3"/>
      <c r="U68" s="3"/>
      <c r="V68" s="3">
        <v>3010</v>
      </c>
      <c r="W68" s="3">
        <v>3010</v>
      </c>
      <c r="X68" s="3">
        <v>6020</v>
      </c>
      <c r="Y68" s="3"/>
    </row>
    <row r="69" spans="2:25" x14ac:dyDescent="0.25">
      <c r="B69" s="23" t="s">
        <v>269</v>
      </c>
      <c r="C69" s="23" t="s">
        <v>264</v>
      </c>
      <c r="D69" s="3"/>
      <c r="E69" s="3"/>
      <c r="F69" s="3"/>
      <c r="G69" s="3"/>
      <c r="H69" s="3">
        <v>600</v>
      </c>
      <c r="I69" s="3">
        <v>3000</v>
      </c>
      <c r="J69" s="3">
        <v>1400</v>
      </c>
      <c r="K69" s="3"/>
      <c r="L69" s="3"/>
      <c r="M69" s="3"/>
      <c r="N69" s="3"/>
      <c r="O69" s="3"/>
      <c r="P69" s="3"/>
      <c r="Q69" s="3"/>
      <c r="R69" s="3"/>
      <c r="S69" s="3"/>
      <c r="T69" s="3"/>
      <c r="U69" s="3"/>
      <c r="V69" s="3"/>
      <c r="W69" s="3"/>
      <c r="X69" s="3">
        <v>8634</v>
      </c>
      <c r="Y69" s="3">
        <v>3010</v>
      </c>
    </row>
    <row r="70" spans="2:25" x14ac:dyDescent="0.25">
      <c r="B70" s="23" t="s">
        <v>269</v>
      </c>
      <c r="C70" s="23" t="s">
        <v>266</v>
      </c>
      <c r="D70" s="3"/>
      <c r="E70" s="3"/>
      <c r="F70" s="3"/>
      <c r="G70" s="3"/>
      <c r="H70" s="3"/>
      <c r="I70" s="3"/>
      <c r="J70" s="3"/>
      <c r="K70" s="3"/>
      <c r="L70" s="3"/>
      <c r="M70" s="3"/>
      <c r="N70" s="3"/>
      <c r="O70" s="3"/>
      <c r="P70" s="3"/>
      <c r="Q70" s="3"/>
      <c r="R70" s="3"/>
      <c r="S70" s="3"/>
      <c r="T70" s="3"/>
      <c r="U70" s="3"/>
      <c r="V70" s="3"/>
      <c r="W70" s="3"/>
      <c r="X70" s="3">
        <v>14416</v>
      </c>
      <c r="Y70" s="3">
        <v>3010</v>
      </c>
    </row>
    <row r="71" spans="2:25" x14ac:dyDescent="0.25">
      <c r="B71" s="23" t="s">
        <v>269</v>
      </c>
      <c r="C71" s="23" t="s">
        <v>267</v>
      </c>
      <c r="D71" s="3">
        <v>5900</v>
      </c>
      <c r="E71" s="3"/>
      <c r="F71" s="3"/>
      <c r="G71" s="3"/>
      <c r="H71" s="3"/>
      <c r="I71" s="3"/>
      <c r="J71" s="3"/>
      <c r="K71" s="3"/>
      <c r="L71" s="3"/>
      <c r="M71" s="3"/>
      <c r="N71" s="3"/>
      <c r="O71" s="3"/>
      <c r="P71" s="3"/>
      <c r="Q71" s="3"/>
      <c r="R71" s="3"/>
      <c r="S71" s="3"/>
      <c r="T71" s="3"/>
      <c r="U71" s="3"/>
      <c r="V71" s="3">
        <v>8634</v>
      </c>
      <c r="W71" s="3">
        <v>14416</v>
      </c>
      <c r="X71" s="3"/>
      <c r="Y71" s="3">
        <v>6020</v>
      </c>
    </row>
  </sheetData>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5:M9"/>
  <sheetViews>
    <sheetView zoomScale="85" zoomScaleNormal="85" workbookViewId="0">
      <selection activeCell="E15" sqref="E15"/>
    </sheetView>
  </sheetViews>
  <sheetFormatPr defaultRowHeight="15" x14ac:dyDescent="0.25"/>
  <cols>
    <col min="2" max="2" width="18" customWidth="1"/>
    <col min="3" max="3" width="13.140625" customWidth="1"/>
    <col min="4" max="4" width="13.140625" bestFit="1" customWidth="1"/>
    <col min="5" max="9" width="22" bestFit="1" customWidth="1"/>
    <col min="10" max="10" width="22" customWidth="1"/>
    <col min="11" max="12" width="22" bestFit="1" customWidth="1"/>
    <col min="13" max="13" width="12.28515625" customWidth="1"/>
    <col min="14" max="17" width="22" bestFit="1" customWidth="1"/>
    <col min="18" max="18" width="12.28515625" bestFit="1" customWidth="1"/>
    <col min="19" max="110" width="15" customWidth="1"/>
    <col min="111" max="111" width="12.28515625" customWidth="1"/>
    <col min="112" max="112" width="53.28515625" bestFit="1" customWidth="1"/>
    <col min="113" max="113" width="12.28515625" bestFit="1" customWidth="1"/>
  </cols>
  <sheetData>
    <row r="5" spans="2:13" x14ac:dyDescent="0.25">
      <c r="B5" s="1" t="s">
        <v>14</v>
      </c>
      <c r="E5" s="1" t="s">
        <v>623</v>
      </c>
      <c r="F5" s="1" t="s">
        <v>322</v>
      </c>
    </row>
    <row r="6" spans="2:13" x14ac:dyDescent="0.25">
      <c r="E6" s="23" t="s">
        <v>625</v>
      </c>
      <c r="F6" s="23" t="s">
        <v>626</v>
      </c>
      <c r="G6" s="23" t="s">
        <v>131</v>
      </c>
      <c r="H6" s="23" t="s">
        <v>131</v>
      </c>
      <c r="I6" s="23" t="s">
        <v>131</v>
      </c>
      <c r="J6" s="23" t="s">
        <v>624</v>
      </c>
      <c r="K6" s="23" t="s">
        <v>624</v>
      </c>
      <c r="L6" s="23" t="s">
        <v>642</v>
      </c>
      <c r="M6" s="23" t="s">
        <v>0</v>
      </c>
    </row>
    <row r="7" spans="2:13" x14ac:dyDescent="0.25">
      <c r="B7" s="1" t="s">
        <v>11</v>
      </c>
      <c r="C7" s="1" t="s">
        <v>273</v>
      </c>
      <c r="D7" s="1" t="s">
        <v>272</v>
      </c>
      <c r="E7" s="23" t="s">
        <v>627</v>
      </c>
      <c r="F7" s="23" t="s">
        <v>628</v>
      </c>
      <c r="G7" s="23" t="s">
        <v>287</v>
      </c>
      <c r="H7" s="23" t="s">
        <v>359</v>
      </c>
      <c r="I7" s="23" t="s">
        <v>643</v>
      </c>
      <c r="J7" s="23" t="s">
        <v>629</v>
      </c>
      <c r="K7" s="23" t="s">
        <v>630</v>
      </c>
      <c r="L7" s="23" t="s">
        <v>644</v>
      </c>
    </row>
    <row r="8" spans="2:13" x14ac:dyDescent="0.25">
      <c r="B8" s="23" t="s">
        <v>6</v>
      </c>
      <c r="C8" s="23" t="s">
        <v>269</v>
      </c>
      <c r="D8" s="23" t="s">
        <v>269</v>
      </c>
      <c r="E8" s="3">
        <v>2041.8085326431283</v>
      </c>
      <c r="F8" s="3">
        <v>594.5030887362052</v>
      </c>
      <c r="G8" s="3">
        <v>2188.4318600239853</v>
      </c>
      <c r="H8" s="3">
        <v>46108.878656757915</v>
      </c>
      <c r="I8" s="3">
        <v>282.57108206094318</v>
      </c>
      <c r="J8" s="3">
        <v>4599.2849420992807</v>
      </c>
      <c r="K8" s="3">
        <v>490.08634828731402</v>
      </c>
      <c r="L8" s="3">
        <v>4088.4989019741411</v>
      </c>
      <c r="M8" s="3">
        <v>60394.063412582916</v>
      </c>
    </row>
    <row r="9" spans="2:13" x14ac:dyDescent="0.25">
      <c r="B9" s="23" t="s">
        <v>0</v>
      </c>
      <c r="E9" s="3">
        <v>2041.8085326431283</v>
      </c>
      <c r="F9" s="3">
        <v>594.5030887362052</v>
      </c>
      <c r="G9" s="3">
        <v>2188.4318600239853</v>
      </c>
      <c r="H9" s="3">
        <v>46108.878656757915</v>
      </c>
      <c r="I9" s="3">
        <v>282.57108206094318</v>
      </c>
      <c r="J9" s="3">
        <v>4599.2849420992807</v>
      </c>
      <c r="K9" s="3">
        <v>490.08634828731402</v>
      </c>
      <c r="L9" s="3">
        <v>4088.4989019741411</v>
      </c>
      <c r="M9" s="3">
        <v>60394.063412582916</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4:P9"/>
  <sheetViews>
    <sheetView zoomScale="70" zoomScaleNormal="70" workbookViewId="0">
      <selection activeCell="G48" sqref="G48"/>
    </sheetView>
  </sheetViews>
  <sheetFormatPr defaultRowHeight="15" x14ac:dyDescent="0.25"/>
  <cols>
    <col min="2" max="2" width="13.28515625" customWidth="1"/>
    <col min="3" max="3" width="17.7109375" customWidth="1"/>
    <col min="4" max="4" width="13.85546875" customWidth="1"/>
    <col min="5" max="15" width="12.85546875" customWidth="1"/>
    <col min="16" max="17" width="12.5703125" customWidth="1"/>
    <col min="18" max="21" width="14.28515625" customWidth="1"/>
    <col min="22" max="22" width="14.28515625" bestFit="1" customWidth="1"/>
    <col min="23" max="27" width="14.28515625" customWidth="1"/>
    <col min="28" max="29" width="14.28515625" bestFit="1" customWidth="1"/>
    <col min="30" max="31" width="12.5703125" customWidth="1"/>
    <col min="32" max="32" width="28.140625" bestFit="1" customWidth="1"/>
    <col min="33" max="33" width="28.140625" customWidth="1"/>
    <col min="34" max="34" width="28.140625" bestFit="1" customWidth="1"/>
    <col min="35" max="35" width="28.140625" customWidth="1"/>
    <col min="36" max="36" width="12.5703125" customWidth="1"/>
    <col min="37" max="42" width="52.140625" bestFit="1" customWidth="1"/>
    <col min="43" max="43" width="12.5703125" bestFit="1" customWidth="1"/>
    <col min="44" max="161" width="20.85546875" bestFit="1" customWidth="1"/>
    <col min="162" max="162" width="12.28515625" bestFit="1" customWidth="1"/>
  </cols>
  <sheetData>
    <row r="4" spans="2:16" x14ac:dyDescent="0.25">
      <c r="B4" s="1" t="s">
        <v>170</v>
      </c>
      <c r="C4" s="23" t="s">
        <v>297</v>
      </c>
    </row>
    <row r="6" spans="2:16" x14ac:dyDescent="0.25">
      <c r="B6" s="1" t="s">
        <v>14</v>
      </c>
      <c r="E6" s="1" t="s">
        <v>12</v>
      </c>
    </row>
    <row r="7" spans="2:16" x14ac:dyDescent="0.25">
      <c r="B7" s="1" t="s">
        <v>118</v>
      </c>
      <c r="C7" s="1" t="s">
        <v>11</v>
      </c>
      <c r="D7" s="1" t="s">
        <v>272</v>
      </c>
      <c r="E7" s="23" t="s">
        <v>140</v>
      </c>
      <c r="F7" s="23" t="s">
        <v>236</v>
      </c>
      <c r="G7" s="23" t="s">
        <v>596</v>
      </c>
      <c r="H7" s="23" t="s">
        <v>141</v>
      </c>
      <c r="I7" s="23" t="s">
        <v>270</v>
      </c>
      <c r="J7" s="23" t="s">
        <v>198</v>
      </c>
      <c r="K7" s="23" t="s">
        <v>9</v>
      </c>
      <c r="L7" s="23" t="s">
        <v>10</v>
      </c>
      <c r="M7" s="23" t="s">
        <v>139</v>
      </c>
      <c r="N7" s="23" t="s">
        <v>259</v>
      </c>
      <c r="O7" s="23" t="s">
        <v>597</v>
      </c>
      <c r="P7" s="23" t="s">
        <v>0</v>
      </c>
    </row>
    <row r="8" spans="2:16" x14ac:dyDescent="0.25">
      <c r="B8" s="23" t="s">
        <v>640</v>
      </c>
      <c r="C8" s="23" t="s">
        <v>6</v>
      </c>
      <c r="D8" s="23" t="s">
        <v>269</v>
      </c>
      <c r="E8" s="3">
        <v>233.72499999999999</v>
      </c>
      <c r="F8" s="3">
        <v>79.736999999999981</v>
      </c>
      <c r="G8" s="3">
        <v>146.18700000000001</v>
      </c>
      <c r="H8" s="3">
        <v>45.3</v>
      </c>
      <c r="I8" s="3">
        <v>31</v>
      </c>
      <c r="J8" s="3">
        <v>100.58</v>
      </c>
      <c r="K8" s="3">
        <v>782.87415599973895</v>
      </c>
      <c r="L8" s="3">
        <v>2.5000000000000001E-2</v>
      </c>
      <c r="M8" s="3">
        <v>3984.302999999999</v>
      </c>
      <c r="N8" s="3">
        <v>287</v>
      </c>
      <c r="O8" s="3">
        <v>0.2</v>
      </c>
      <c r="P8" s="3">
        <v>5690.9311559997377</v>
      </c>
    </row>
    <row r="9" spans="2:16" x14ac:dyDescent="0.25">
      <c r="B9" s="23" t="s">
        <v>0</v>
      </c>
      <c r="E9" s="3">
        <v>233.72499999999999</v>
      </c>
      <c r="F9" s="3">
        <v>79.736999999999981</v>
      </c>
      <c r="G9" s="3">
        <v>146.18700000000001</v>
      </c>
      <c r="H9" s="3">
        <v>45.3</v>
      </c>
      <c r="I9" s="3">
        <v>31</v>
      </c>
      <c r="J9" s="3">
        <v>100.58</v>
      </c>
      <c r="K9" s="3">
        <v>782.87415599973895</v>
      </c>
      <c r="L9" s="3">
        <v>2.5000000000000001E-2</v>
      </c>
      <c r="M9" s="3">
        <v>3984.302999999999</v>
      </c>
      <c r="N9" s="3">
        <v>287</v>
      </c>
      <c r="O9" s="3">
        <v>0.2</v>
      </c>
      <c r="P9" s="3">
        <v>5690.9311559997377</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3:AA14"/>
  <sheetViews>
    <sheetView topLeftCell="A13" workbookViewId="0">
      <selection activeCell="K4" sqref="K4"/>
    </sheetView>
  </sheetViews>
  <sheetFormatPr defaultRowHeight="15" x14ac:dyDescent="0.25"/>
  <cols>
    <col min="2" max="2" width="11.85546875" customWidth="1"/>
    <col min="3" max="3" width="12.5703125" customWidth="1"/>
    <col min="4" max="4" width="11.42578125" customWidth="1"/>
    <col min="5" max="6" width="14.140625" bestFit="1" customWidth="1"/>
    <col min="7" max="25" width="14.140625" customWidth="1"/>
    <col min="26" max="26" width="14.140625" bestFit="1" customWidth="1"/>
    <col min="27" max="27" width="12" bestFit="1" customWidth="1"/>
    <col min="28" max="34" width="14.42578125" customWidth="1"/>
    <col min="35" max="35" width="12" customWidth="1"/>
    <col min="36" max="43" width="46" customWidth="1"/>
    <col min="44" max="87" width="46" bestFit="1" customWidth="1"/>
    <col min="88" max="88" width="12" bestFit="1" customWidth="1"/>
  </cols>
  <sheetData>
    <row r="3" spans="2:27" x14ac:dyDescent="0.25">
      <c r="B3" s="1" t="s">
        <v>14</v>
      </c>
      <c r="E3" s="1" t="s">
        <v>12</v>
      </c>
    </row>
    <row r="4" spans="2:27" x14ac:dyDescent="0.25">
      <c r="B4" s="1" t="s">
        <v>118</v>
      </c>
      <c r="C4" s="1" t="s">
        <v>11</v>
      </c>
      <c r="D4" s="1" t="s">
        <v>273</v>
      </c>
      <c r="E4" s="23" t="s">
        <v>140</v>
      </c>
      <c r="F4" s="23" t="s">
        <v>236</v>
      </c>
      <c r="G4" s="23" t="s">
        <v>603</v>
      </c>
      <c r="H4" s="23" t="s">
        <v>260</v>
      </c>
      <c r="I4" s="23" t="s">
        <v>153</v>
      </c>
      <c r="J4" s="23" t="s">
        <v>596</v>
      </c>
      <c r="K4" s="23" t="s">
        <v>141</v>
      </c>
      <c r="L4" s="23" t="s">
        <v>270</v>
      </c>
      <c r="M4" s="23" t="s">
        <v>262</v>
      </c>
      <c r="N4" s="23" t="s">
        <v>198</v>
      </c>
      <c r="O4" s="23" t="s">
        <v>271</v>
      </c>
      <c r="P4" s="23" t="s">
        <v>597</v>
      </c>
      <c r="Q4" s="23" t="s">
        <v>261</v>
      </c>
      <c r="R4" s="23" t="s">
        <v>259</v>
      </c>
      <c r="S4" s="23" t="s">
        <v>598</v>
      </c>
      <c r="T4" s="23" t="s">
        <v>263</v>
      </c>
      <c r="U4" s="23" t="s">
        <v>599</v>
      </c>
      <c r="V4" s="23" t="s">
        <v>600</v>
      </c>
      <c r="W4" s="23" t="s">
        <v>601</v>
      </c>
      <c r="X4" s="23" t="s">
        <v>602</v>
      </c>
      <c r="Y4" s="23" t="s">
        <v>604</v>
      </c>
      <c r="Z4" s="23" t="s">
        <v>9</v>
      </c>
      <c r="AA4" s="23" t="s">
        <v>0</v>
      </c>
    </row>
    <row r="5" spans="2:27" x14ac:dyDescent="0.25">
      <c r="B5" s="23" t="s">
        <v>640</v>
      </c>
      <c r="C5" s="23" t="s">
        <v>6</v>
      </c>
      <c r="D5" s="23" t="s">
        <v>269</v>
      </c>
      <c r="E5" s="3">
        <v>7874.5313802598012</v>
      </c>
      <c r="F5" s="3">
        <v>102.76538461538462</v>
      </c>
      <c r="G5" s="3">
        <v>140</v>
      </c>
      <c r="H5" s="3">
        <v>978.73008873620506</v>
      </c>
      <c r="I5" s="3">
        <v>48297.310516781901</v>
      </c>
      <c r="J5" s="3">
        <v>775.5194871794871</v>
      </c>
      <c r="K5" s="3">
        <v>527.07992253886414</v>
      </c>
      <c r="L5" s="3">
        <v>345.32358974358971</v>
      </c>
      <c r="M5" s="3">
        <v>707</v>
      </c>
      <c r="N5" s="3">
        <v>654.07045454545482</v>
      </c>
      <c r="O5" s="3">
        <v>103.134</v>
      </c>
      <c r="P5" s="3">
        <v>24</v>
      </c>
      <c r="Q5" s="3">
        <v>41.917999999999992</v>
      </c>
      <c r="R5" s="3">
        <v>331.52680652680641</v>
      </c>
      <c r="S5" s="3"/>
      <c r="T5" s="3"/>
      <c r="U5" s="3"/>
      <c r="V5" s="3"/>
      <c r="W5" s="3"/>
      <c r="X5" s="3"/>
      <c r="Y5" s="3"/>
      <c r="Z5" s="3">
        <v>660.12</v>
      </c>
      <c r="AA5" s="3">
        <v>61563.029630927485</v>
      </c>
    </row>
    <row r="6" spans="2:27" x14ac:dyDescent="0.25">
      <c r="B6" s="23" t="s">
        <v>640</v>
      </c>
      <c r="C6" s="23" t="s">
        <v>16</v>
      </c>
      <c r="D6" s="23" t="s">
        <v>269</v>
      </c>
      <c r="E6" s="3">
        <v>2461.7263636363641</v>
      </c>
      <c r="F6" s="3">
        <v>4.0909090909090917</v>
      </c>
      <c r="G6" s="3"/>
      <c r="H6" s="3"/>
      <c r="I6" s="3"/>
      <c r="J6" s="3"/>
      <c r="K6" s="3">
        <v>21.794871794871799</v>
      </c>
      <c r="L6" s="3"/>
      <c r="M6" s="3"/>
      <c r="N6" s="3"/>
      <c r="O6" s="3"/>
      <c r="P6" s="3">
        <v>607.68999999999994</v>
      </c>
      <c r="Q6" s="3">
        <v>29.4871794871795</v>
      </c>
      <c r="R6" s="3"/>
      <c r="S6" s="3">
        <v>107.954545454545</v>
      </c>
      <c r="T6" s="3">
        <v>1426.6666666666667</v>
      </c>
      <c r="U6" s="3">
        <v>268.18181818181802</v>
      </c>
      <c r="V6" s="3"/>
      <c r="W6" s="3"/>
      <c r="X6" s="3"/>
      <c r="Y6" s="3"/>
      <c r="Z6" s="3"/>
      <c r="AA6" s="3">
        <v>4927.5923543123545</v>
      </c>
    </row>
    <row r="7" spans="2:27" x14ac:dyDescent="0.25">
      <c r="B7" s="23" t="s">
        <v>640</v>
      </c>
      <c r="C7" s="23" t="s">
        <v>17</v>
      </c>
      <c r="D7" s="23" t="s">
        <v>269</v>
      </c>
      <c r="E7" s="3">
        <v>2636.7384615384622</v>
      </c>
      <c r="F7" s="3">
        <v>66.092307692307713</v>
      </c>
      <c r="G7" s="3"/>
      <c r="H7" s="3">
        <v>44.4</v>
      </c>
      <c r="I7" s="3">
        <v>3290.625</v>
      </c>
      <c r="J7" s="3">
        <v>1111.551282051282</v>
      </c>
      <c r="K7" s="3">
        <v>223.61538461538458</v>
      </c>
      <c r="L7" s="3"/>
      <c r="M7" s="3">
        <v>570.1</v>
      </c>
      <c r="N7" s="3">
        <v>1418.7820512820504</v>
      </c>
      <c r="O7" s="3">
        <v>351.83249999999998</v>
      </c>
      <c r="P7" s="3">
        <v>1750.8871794871793</v>
      </c>
      <c r="Q7" s="3">
        <v>1859.0746794871775</v>
      </c>
      <c r="R7" s="3"/>
      <c r="S7" s="3"/>
      <c r="T7" s="3"/>
      <c r="U7" s="3"/>
      <c r="V7" s="3">
        <v>1476.5994172494177</v>
      </c>
      <c r="W7" s="3">
        <v>158.07692307692304</v>
      </c>
      <c r="X7" s="3"/>
      <c r="Y7" s="3"/>
      <c r="Z7" s="3"/>
      <c r="AA7" s="3">
        <v>14958.375186480185</v>
      </c>
    </row>
    <row r="8" spans="2:27" x14ac:dyDescent="0.25">
      <c r="B8" s="23" t="s">
        <v>640</v>
      </c>
      <c r="C8" s="23" t="s">
        <v>18</v>
      </c>
      <c r="D8" s="23" t="s">
        <v>269</v>
      </c>
      <c r="E8" s="3">
        <v>9037.0043589743582</v>
      </c>
      <c r="F8" s="3">
        <v>3140.1741025641022</v>
      </c>
      <c r="G8" s="3"/>
      <c r="H8" s="3">
        <v>21985.95</v>
      </c>
      <c r="I8" s="3"/>
      <c r="J8" s="3"/>
      <c r="K8" s="3">
        <v>2180.7558974358981</v>
      </c>
      <c r="L8" s="3"/>
      <c r="M8" s="3"/>
      <c r="N8" s="3"/>
      <c r="O8" s="3"/>
      <c r="P8" s="3">
        <v>1562.37</v>
      </c>
      <c r="Q8" s="3"/>
      <c r="R8" s="3">
        <v>8515.0269230769263</v>
      </c>
      <c r="S8" s="3"/>
      <c r="T8" s="3"/>
      <c r="U8" s="3"/>
      <c r="V8" s="3"/>
      <c r="W8" s="3"/>
      <c r="X8" s="3">
        <v>7276.9230769230762</v>
      </c>
      <c r="Y8" s="3"/>
      <c r="Z8" s="3"/>
      <c r="AA8" s="3">
        <v>53698.20435897437</v>
      </c>
    </row>
    <row r="9" spans="2:27" x14ac:dyDescent="0.25">
      <c r="B9" s="23" t="s">
        <v>640</v>
      </c>
      <c r="C9" s="23" t="s">
        <v>19</v>
      </c>
      <c r="D9" s="23" t="s">
        <v>269</v>
      </c>
      <c r="E9" s="3">
        <v>4000.5235431235396</v>
      </c>
      <c r="F9" s="3">
        <v>70.512820512820497</v>
      </c>
      <c r="G9" s="3"/>
      <c r="H9" s="3"/>
      <c r="I9" s="3"/>
      <c r="J9" s="3"/>
      <c r="K9" s="3"/>
      <c r="L9" s="3"/>
      <c r="M9" s="3"/>
      <c r="N9" s="3"/>
      <c r="O9" s="3"/>
      <c r="P9" s="3">
        <v>16.3</v>
      </c>
      <c r="Q9" s="3"/>
      <c r="R9" s="3">
        <v>47.5</v>
      </c>
      <c r="S9" s="3"/>
      <c r="T9" s="3">
        <v>1917.3507692307692</v>
      </c>
      <c r="U9" s="3"/>
      <c r="V9" s="3"/>
      <c r="W9" s="3"/>
      <c r="X9" s="3"/>
      <c r="Y9" s="3"/>
      <c r="Z9" s="3"/>
      <c r="AA9" s="3">
        <v>6052.1871328671295</v>
      </c>
    </row>
    <row r="10" spans="2:27" x14ac:dyDescent="0.25">
      <c r="B10" s="23" t="s">
        <v>640</v>
      </c>
      <c r="C10" s="23" t="s">
        <v>20</v>
      </c>
      <c r="D10" s="23" t="s">
        <v>269</v>
      </c>
      <c r="E10" s="3">
        <v>1705.5567832167833</v>
      </c>
      <c r="F10" s="3">
        <v>44.318181818181799</v>
      </c>
      <c r="G10" s="3"/>
      <c r="H10" s="3"/>
      <c r="I10" s="3">
        <v>47.435897435897402</v>
      </c>
      <c r="J10" s="3"/>
      <c r="K10" s="3">
        <v>148.71794871794879</v>
      </c>
      <c r="L10" s="3"/>
      <c r="M10" s="3"/>
      <c r="N10" s="3"/>
      <c r="O10" s="3"/>
      <c r="P10" s="3">
        <v>181.81818181818201</v>
      </c>
      <c r="Q10" s="3">
        <v>6.9230769230769198</v>
      </c>
      <c r="R10" s="3"/>
      <c r="S10" s="3"/>
      <c r="T10" s="3">
        <v>210.71794871794862</v>
      </c>
      <c r="U10" s="3"/>
      <c r="V10" s="3"/>
      <c r="W10" s="3"/>
      <c r="X10" s="3"/>
      <c r="Y10" s="3"/>
      <c r="Z10" s="3"/>
      <c r="AA10" s="3">
        <v>2345.4880186480191</v>
      </c>
    </row>
    <row r="11" spans="2:27" x14ac:dyDescent="0.25">
      <c r="B11" s="23" t="s">
        <v>640</v>
      </c>
      <c r="C11" s="23" t="s">
        <v>7</v>
      </c>
      <c r="D11" s="23" t="s">
        <v>269</v>
      </c>
      <c r="E11" s="3">
        <v>906.94102564102604</v>
      </c>
      <c r="F11" s="3">
        <v>4.9000000000000004</v>
      </c>
      <c r="G11" s="3">
        <v>57.9</v>
      </c>
      <c r="H11" s="3">
        <v>334.4083333333333</v>
      </c>
      <c r="I11" s="3"/>
      <c r="J11" s="3"/>
      <c r="K11" s="3">
        <v>80.622649572649578</v>
      </c>
      <c r="L11" s="3"/>
      <c r="M11" s="3">
        <v>84.5</v>
      </c>
      <c r="N11" s="3">
        <v>56.3</v>
      </c>
      <c r="O11" s="3">
        <v>49.7</v>
      </c>
      <c r="P11" s="3">
        <v>343.93333333333334</v>
      </c>
      <c r="Q11" s="3">
        <v>55.400000000000006</v>
      </c>
      <c r="R11" s="3">
        <v>19.200000000000003</v>
      </c>
      <c r="S11" s="3"/>
      <c r="T11" s="3"/>
      <c r="U11" s="3"/>
      <c r="V11" s="3"/>
      <c r="W11" s="3">
        <v>8.3000000000000007</v>
      </c>
      <c r="X11" s="3"/>
      <c r="Y11" s="3">
        <v>153.06666666666666</v>
      </c>
      <c r="Z11" s="3"/>
      <c r="AA11" s="3">
        <v>2155.1720085470092</v>
      </c>
    </row>
    <row r="12" spans="2:27" x14ac:dyDescent="0.25">
      <c r="B12" s="23" t="s">
        <v>640</v>
      </c>
      <c r="C12" s="23" t="s">
        <v>8</v>
      </c>
      <c r="D12" s="23" t="s">
        <v>269</v>
      </c>
      <c r="E12" s="3">
        <v>1343.5088391608401</v>
      </c>
      <c r="F12" s="3">
        <v>52.445750000000004</v>
      </c>
      <c r="G12" s="3">
        <v>2378.4160000000006</v>
      </c>
      <c r="H12" s="3">
        <v>633.67889999999989</v>
      </c>
      <c r="I12" s="3">
        <v>3252.1875</v>
      </c>
      <c r="J12" s="3">
        <v>3780.1199999999985</v>
      </c>
      <c r="K12" s="3">
        <v>419.4271974855634</v>
      </c>
      <c r="L12" s="3">
        <v>16.551000000000002</v>
      </c>
      <c r="M12" s="3">
        <v>657.43679487410213</v>
      </c>
      <c r="N12" s="3">
        <v>3976.0807028743561</v>
      </c>
      <c r="O12" s="3">
        <v>946.38841025641022</v>
      </c>
      <c r="P12" s="3">
        <v>3195.12</v>
      </c>
      <c r="Q12" s="3">
        <v>392.16584292762286</v>
      </c>
      <c r="R12" s="3">
        <v>147.727272727273</v>
      </c>
      <c r="S12" s="3"/>
      <c r="T12" s="3"/>
      <c r="U12" s="3"/>
      <c r="V12" s="3">
        <v>27.307692307692271</v>
      </c>
      <c r="W12" s="3">
        <v>88.315999999999988</v>
      </c>
      <c r="X12" s="3"/>
      <c r="Y12" s="3"/>
      <c r="Z12" s="3"/>
      <c r="AA12" s="3">
        <v>21306.877902613855</v>
      </c>
    </row>
    <row r="13" spans="2:27" x14ac:dyDescent="0.25">
      <c r="B13" s="23" t="s">
        <v>640</v>
      </c>
      <c r="C13" s="23" t="s">
        <v>235</v>
      </c>
      <c r="D13" s="23" t="s">
        <v>269</v>
      </c>
      <c r="E13" s="3">
        <v>7888.9044289044296</v>
      </c>
      <c r="F13" s="3"/>
      <c r="G13" s="3"/>
      <c r="H13" s="3"/>
      <c r="I13" s="3"/>
      <c r="J13" s="3"/>
      <c r="K13" s="3">
        <v>1015.4545454545455</v>
      </c>
      <c r="L13" s="3">
        <v>2742.0512820512822</v>
      </c>
      <c r="M13" s="3"/>
      <c r="N13" s="3"/>
      <c r="O13" s="3"/>
      <c r="P13" s="3">
        <v>1512.8205128205129</v>
      </c>
      <c r="Q13" s="3"/>
      <c r="R13" s="3">
        <v>48230.506993007002</v>
      </c>
      <c r="S13" s="3"/>
      <c r="T13" s="3">
        <v>2400</v>
      </c>
      <c r="U13" s="3"/>
      <c r="V13" s="3"/>
      <c r="W13" s="3"/>
      <c r="X13" s="3"/>
      <c r="Y13" s="3"/>
      <c r="Z13" s="3"/>
      <c r="AA13" s="3">
        <v>63789.737762237775</v>
      </c>
    </row>
    <row r="14" spans="2:27" x14ac:dyDescent="0.25">
      <c r="B14" s="23" t="s">
        <v>0</v>
      </c>
      <c r="E14" s="3">
        <v>37855.435184455608</v>
      </c>
      <c r="F14" s="3">
        <v>3485.299456293706</v>
      </c>
      <c r="G14" s="3">
        <v>2576.3160000000007</v>
      </c>
      <c r="H14" s="3">
        <v>23977.167322069537</v>
      </c>
      <c r="I14" s="3">
        <v>54887.5589142178</v>
      </c>
      <c r="J14" s="3">
        <v>5667.1907692307677</v>
      </c>
      <c r="K14" s="3">
        <v>4617.4684176157261</v>
      </c>
      <c r="L14" s="3">
        <v>3103.9258717948719</v>
      </c>
      <c r="M14" s="3">
        <v>2019.036794874102</v>
      </c>
      <c r="N14" s="3">
        <v>6105.2332087018622</v>
      </c>
      <c r="O14" s="3">
        <v>1451.0549102564103</v>
      </c>
      <c r="P14" s="3">
        <v>9194.9392074592088</v>
      </c>
      <c r="Q14" s="3">
        <v>2384.9687788250567</v>
      </c>
      <c r="R14" s="3">
        <v>57291.487995338008</v>
      </c>
      <c r="S14" s="3">
        <v>107.954545454545</v>
      </c>
      <c r="T14" s="3">
        <v>5954.7353846153846</v>
      </c>
      <c r="U14" s="3">
        <v>268.18181818181802</v>
      </c>
      <c r="V14" s="3">
        <v>1503.9071095571101</v>
      </c>
      <c r="W14" s="3">
        <v>254.69292307692302</v>
      </c>
      <c r="X14" s="3">
        <v>7276.9230769230762</v>
      </c>
      <c r="Y14" s="3">
        <v>153.06666666666666</v>
      </c>
      <c r="Z14" s="3">
        <v>660.12</v>
      </c>
      <c r="AA14" s="3">
        <v>230796.6643556082</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H6"/>
  <sheetViews>
    <sheetView workbookViewId="0">
      <selection activeCell="D7" sqref="D7"/>
    </sheetView>
  </sheetViews>
  <sheetFormatPr defaultRowHeight="15" x14ac:dyDescent="0.25"/>
  <cols>
    <col min="3" max="3" width="13.7109375" customWidth="1"/>
    <col min="4" max="4" width="10.28515625" customWidth="1"/>
    <col min="5" max="5" width="18.28515625" bestFit="1" customWidth="1"/>
    <col min="6" max="6" width="18.28515625" customWidth="1"/>
    <col min="7" max="7" width="18.28515625" bestFit="1" customWidth="1"/>
    <col min="8" max="8" width="12" bestFit="1" customWidth="1"/>
    <col min="9" max="13" width="12" customWidth="1"/>
    <col min="14" max="14" width="18.140625" bestFit="1" customWidth="1"/>
    <col min="15" max="15" width="12" bestFit="1" customWidth="1"/>
  </cols>
  <sheetData>
    <row r="3" spans="3:8" x14ac:dyDescent="0.25">
      <c r="C3" s="1" t="s">
        <v>106</v>
      </c>
      <c r="E3" s="1" t="s">
        <v>322</v>
      </c>
    </row>
    <row r="4" spans="3:8" x14ac:dyDescent="0.25">
      <c r="C4" s="1" t="s">
        <v>272</v>
      </c>
      <c r="D4" s="1" t="s">
        <v>11</v>
      </c>
      <c r="E4" s="23" t="s">
        <v>643</v>
      </c>
      <c r="F4" s="23" t="s">
        <v>287</v>
      </c>
      <c r="G4" s="23" t="s">
        <v>359</v>
      </c>
      <c r="H4" s="23" t="s">
        <v>0</v>
      </c>
    </row>
    <row r="5" spans="3:8" x14ac:dyDescent="0.25">
      <c r="C5" s="23" t="s">
        <v>269</v>
      </c>
      <c r="D5" s="23" t="s">
        <v>6</v>
      </c>
      <c r="E5" s="3">
        <v>2.2605686564875458</v>
      </c>
      <c r="F5" s="3">
        <v>17.507454880191872</v>
      </c>
      <c r="G5" s="3">
        <v>368.8710292540631</v>
      </c>
      <c r="H5" s="3">
        <v>388.63905279074254</v>
      </c>
    </row>
    <row r="6" spans="3:8" x14ac:dyDescent="0.25">
      <c r="C6" s="23" t="s">
        <v>0</v>
      </c>
      <c r="E6" s="3">
        <v>2.2605686564875458</v>
      </c>
      <c r="F6" s="3">
        <v>17.507454880191872</v>
      </c>
      <c r="G6" s="3">
        <v>368.8710292540631</v>
      </c>
      <c r="H6" s="3">
        <v>388.63905279074254</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3:H45"/>
  <sheetViews>
    <sheetView zoomScale="85" zoomScaleNormal="85" workbookViewId="0">
      <selection activeCell="B6" sqref="B6"/>
    </sheetView>
  </sheetViews>
  <sheetFormatPr defaultRowHeight="15" x14ac:dyDescent="0.25"/>
  <cols>
    <col min="2" max="2" width="12.7109375" customWidth="1"/>
    <col min="3" max="7" width="32.5703125" customWidth="1"/>
    <col min="8" max="9" width="12.28515625" customWidth="1"/>
    <col min="10" max="12" width="32.5703125" customWidth="1"/>
    <col min="13" max="14" width="12.28515625" customWidth="1"/>
    <col min="15" max="18" width="24.42578125" customWidth="1"/>
    <col min="19" max="43" width="22" customWidth="1"/>
    <col min="44" max="44" width="12" customWidth="1"/>
    <col min="45" max="108" width="22" customWidth="1"/>
    <col min="109" max="176" width="22" bestFit="1" customWidth="1"/>
    <col min="177" max="177" width="12" bestFit="1" customWidth="1"/>
  </cols>
  <sheetData>
    <row r="3" spans="2:8" x14ac:dyDescent="0.25">
      <c r="B3" s="1" t="s">
        <v>234</v>
      </c>
      <c r="C3" s="1" t="s">
        <v>227</v>
      </c>
    </row>
    <row r="4" spans="2:8" x14ac:dyDescent="0.25">
      <c r="B4" s="1" t="s">
        <v>118</v>
      </c>
      <c r="C4" s="23" t="s">
        <v>607</v>
      </c>
      <c r="D4" s="23" t="s">
        <v>608</v>
      </c>
      <c r="E4" s="23" t="s">
        <v>609</v>
      </c>
      <c r="F4" s="23" t="s">
        <v>610</v>
      </c>
      <c r="G4" s="23" t="s">
        <v>611</v>
      </c>
      <c r="H4" s="23" t="s">
        <v>0</v>
      </c>
    </row>
    <row r="5" spans="2:8" x14ac:dyDescent="0.25">
      <c r="B5" s="23" t="s">
        <v>640</v>
      </c>
      <c r="C5" s="3">
        <v>556.51758190712883</v>
      </c>
      <c r="D5" s="3">
        <v>994.35084672349751</v>
      </c>
      <c r="E5" s="3">
        <v>519.90786007150894</v>
      </c>
      <c r="F5" s="3">
        <v>1.0687906752981529E-4</v>
      </c>
      <c r="G5" s="3">
        <v>11876.10528737216</v>
      </c>
      <c r="H5" s="3">
        <v>13946.881682953363</v>
      </c>
    </row>
    <row r="6" spans="2:8" x14ac:dyDescent="0.25">
      <c r="B6" s="23" t="s">
        <v>0</v>
      </c>
      <c r="C6" s="3">
        <v>556.51758190712883</v>
      </c>
      <c r="D6" s="3">
        <v>994.35084672349751</v>
      </c>
      <c r="E6" s="3">
        <v>519.90786007150894</v>
      </c>
      <c r="F6" s="3">
        <v>1.0687906752981529E-4</v>
      </c>
      <c r="G6" s="3">
        <v>11876.10528737216</v>
      </c>
      <c r="H6" s="3">
        <v>13946.881682953363</v>
      </c>
    </row>
    <row r="43" spans="2:5" x14ac:dyDescent="0.25">
      <c r="B43" s="1" t="s">
        <v>276</v>
      </c>
      <c r="D43" s="1" t="s">
        <v>12</v>
      </c>
      <c r="E43" s="1" t="s">
        <v>227</v>
      </c>
    </row>
    <row r="45" spans="2:5" x14ac:dyDescent="0.25">
      <c r="B45" s="1" t="s">
        <v>11</v>
      </c>
      <c r="C45" s="1" t="s">
        <v>272</v>
      </c>
    </row>
  </sheetData>
  <pageMargins left="0.7" right="0.7" top="0.75" bottom="0.75" header="0.3" footer="0.3"/>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4.9989318521683403E-2"/>
  </sheetPr>
  <dimension ref="B3:G42"/>
  <sheetViews>
    <sheetView topLeftCell="A3" workbookViewId="0">
      <selection activeCell="F13" sqref="F13"/>
    </sheetView>
  </sheetViews>
  <sheetFormatPr defaultRowHeight="15" x14ac:dyDescent="0.25"/>
  <cols>
    <col min="2" max="2" width="12.5703125" customWidth="1"/>
    <col min="3" max="3" width="7.85546875" customWidth="1"/>
    <col min="4" max="4" width="7.85546875" bestFit="1" customWidth="1"/>
    <col min="5" max="6" width="13" customWidth="1"/>
    <col min="7" max="7" width="12" customWidth="1"/>
    <col min="8" max="15" width="20" bestFit="1" customWidth="1"/>
    <col min="16" max="16" width="20" customWidth="1"/>
    <col min="17" max="17" width="20" bestFit="1" customWidth="1"/>
    <col min="18" max="18" width="12" bestFit="1" customWidth="1"/>
  </cols>
  <sheetData>
    <row r="3" spans="2:7" x14ac:dyDescent="0.25">
      <c r="B3" s="1" t="s">
        <v>14</v>
      </c>
      <c r="E3" s="1" t="s">
        <v>11</v>
      </c>
      <c r="F3" s="1" t="s">
        <v>193</v>
      </c>
    </row>
    <row r="4" spans="2:7" x14ac:dyDescent="0.25">
      <c r="E4" s="23" t="s">
        <v>6</v>
      </c>
      <c r="F4" s="23" t="s">
        <v>6</v>
      </c>
      <c r="G4" s="23" t="s">
        <v>0</v>
      </c>
    </row>
    <row r="5" spans="2:7" x14ac:dyDescent="0.25">
      <c r="B5" s="1" t="s">
        <v>118</v>
      </c>
      <c r="C5" s="1" t="s">
        <v>15</v>
      </c>
      <c r="D5" s="1" t="s">
        <v>61</v>
      </c>
      <c r="E5" s="23" t="s">
        <v>194</v>
      </c>
      <c r="F5" s="23" t="s">
        <v>645</v>
      </c>
    </row>
    <row r="6" spans="2:7" x14ac:dyDescent="0.25">
      <c r="B6" s="23" t="s">
        <v>640</v>
      </c>
      <c r="C6" s="23" t="s">
        <v>307</v>
      </c>
      <c r="D6" s="23" t="s">
        <v>310</v>
      </c>
      <c r="E6" s="3">
        <v>2496.0013806554102</v>
      </c>
      <c r="F6" s="3">
        <v>109.5807974778959</v>
      </c>
      <c r="G6" s="3">
        <v>2605.5821781333061</v>
      </c>
    </row>
    <row r="7" spans="2:7" x14ac:dyDescent="0.25">
      <c r="B7" s="23" t="s">
        <v>640</v>
      </c>
      <c r="C7" s="23" t="s">
        <v>307</v>
      </c>
      <c r="D7" s="23" t="s">
        <v>311</v>
      </c>
      <c r="E7" s="3">
        <v>4108.7939364740396</v>
      </c>
      <c r="F7" s="3">
        <v>179.16430435937968</v>
      </c>
      <c r="G7" s="3">
        <v>4287.958240833419</v>
      </c>
    </row>
    <row r="8" spans="2:7" x14ac:dyDescent="0.25">
      <c r="B8" s="23" t="s">
        <v>640</v>
      </c>
      <c r="C8" s="23" t="s">
        <v>307</v>
      </c>
      <c r="D8" s="23" t="s">
        <v>312</v>
      </c>
      <c r="E8" s="3">
        <v>4257.0516572960305</v>
      </c>
      <c r="F8" s="3">
        <v>183.9111586890204</v>
      </c>
      <c r="G8" s="3">
        <v>4440.9628159850508</v>
      </c>
    </row>
    <row r="9" spans="2:7" x14ac:dyDescent="0.25">
      <c r="B9" s="23" t="s">
        <v>640</v>
      </c>
      <c r="C9" s="23" t="s">
        <v>307</v>
      </c>
      <c r="D9" s="23" t="s">
        <v>313</v>
      </c>
      <c r="E9" s="3">
        <v>3401.7693763957604</v>
      </c>
      <c r="F9" s="3">
        <v>148.12235650098472</v>
      </c>
      <c r="G9" s="3">
        <v>3549.891732896745</v>
      </c>
    </row>
    <row r="10" spans="2:7" x14ac:dyDescent="0.25">
      <c r="B10" s="23" t="s">
        <v>640</v>
      </c>
      <c r="C10" s="23" t="s">
        <v>307</v>
      </c>
      <c r="D10" s="23" t="s">
        <v>308</v>
      </c>
      <c r="E10" s="3">
        <v>4322.3380396933198</v>
      </c>
      <c r="F10" s="3">
        <v>188.7155510550715</v>
      </c>
      <c r="G10" s="3">
        <v>4511.0535907483918</v>
      </c>
    </row>
    <row r="11" spans="2:7" x14ac:dyDescent="0.25">
      <c r="B11" s="23" t="s">
        <v>640</v>
      </c>
      <c r="C11" s="23" t="s">
        <v>307</v>
      </c>
      <c r="D11" s="23" t="s">
        <v>314</v>
      </c>
      <c r="E11" s="3">
        <v>2660.27997022411</v>
      </c>
      <c r="F11" s="3">
        <v>115.95639341741659</v>
      </c>
      <c r="G11" s="3">
        <v>2776.2363636415266</v>
      </c>
    </row>
    <row r="12" spans="2:7" x14ac:dyDescent="0.25">
      <c r="B12" s="23" t="s">
        <v>640</v>
      </c>
      <c r="C12" s="23" t="s">
        <v>307</v>
      </c>
      <c r="D12" s="23" t="s">
        <v>309</v>
      </c>
      <c r="E12" s="3">
        <v>4115.8134549572005</v>
      </c>
      <c r="F12" s="3">
        <v>180.2428995093687</v>
      </c>
      <c r="G12" s="3">
        <v>4296.0563544665692</v>
      </c>
    </row>
    <row r="13" spans="2:7" x14ac:dyDescent="0.25">
      <c r="B13" s="23" t="s">
        <v>640</v>
      </c>
      <c r="C13" s="23" t="s">
        <v>307</v>
      </c>
      <c r="D13" s="23" t="s">
        <v>315</v>
      </c>
      <c r="E13" s="3">
        <v>3395.3054678984799</v>
      </c>
      <c r="F13" s="3">
        <v>147.43203272012022</v>
      </c>
      <c r="G13" s="3">
        <v>3542.7375006186003</v>
      </c>
    </row>
    <row r="14" spans="2:7" x14ac:dyDescent="0.25">
      <c r="B14" s="23" t="s">
        <v>640</v>
      </c>
      <c r="C14" s="23" t="s">
        <v>307</v>
      </c>
      <c r="D14" s="23" t="s">
        <v>316</v>
      </c>
      <c r="E14" s="3">
        <v>3588.4782525995897</v>
      </c>
      <c r="F14" s="3">
        <v>157.41673616093328</v>
      </c>
      <c r="G14" s="3">
        <v>3745.8949887605231</v>
      </c>
    </row>
    <row r="15" spans="2:7" x14ac:dyDescent="0.25">
      <c r="B15" s="23" t="s">
        <v>640</v>
      </c>
      <c r="C15" s="23" t="s">
        <v>307</v>
      </c>
      <c r="D15" s="23" t="s">
        <v>317</v>
      </c>
      <c r="E15" s="3">
        <v>3516.0261736716202</v>
      </c>
      <c r="F15" s="3">
        <v>154.62058378629462</v>
      </c>
      <c r="G15" s="3">
        <v>3670.6467574579146</v>
      </c>
    </row>
    <row r="16" spans="2:7" x14ac:dyDescent="0.25">
      <c r="B16" s="23" t="s">
        <v>640</v>
      </c>
      <c r="C16" s="23" t="s">
        <v>307</v>
      </c>
      <c r="D16" s="23" t="s">
        <v>318</v>
      </c>
      <c r="E16" s="3">
        <v>2590.00380185111</v>
      </c>
      <c r="F16" s="3">
        <v>114.043013395206</v>
      </c>
      <c r="G16" s="3">
        <v>2704.0468152463159</v>
      </c>
    </row>
    <row r="17" spans="2:7" x14ac:dyDescent="0.25">
      <c r="B17" s="23" t="s">
        <v>640</v>
      </c>
      <c r="C17" s="23" t="s">
        <v>307</v>
      </c>
      <c r="D17" s="23" t="s">
        <v>319</v>
      </c>
      <c r="E17" s="3">
        <v>3337.8560965225997</v>
      </c>
      <c r="F17" s="3">
        <v>146.82870546525231</v>
      </c>
      <c r="G17" s="3">
        <v>3484.6848019878521</v>
      </c>
    </row>
    <row r="18" spans="2:7" x14ac:dyDescent="0.25">
      <c r="B18" s="23" t="s">
        <v>640</v>
      </c>
      <c r="C18" s="23" t="s">
        <v>306</v>
      </c>
      <c r="D18" s="23" t="s">
        <v>310</v>
      </c>
      <c r="E18" s="3">
        <v>2970.4317401831599</v>
      </c>
      <c r="F18" s="3">
        <v>131.15265625898849</v>
      </c>
      <c r="G18" s="3">
        <v>3101.5843964421483</v>
      </c>
    </row>
    <row r="19" spans="2:7" x14ac:dyDescent="0.25">
      <c r="B19" s="23" t="s">
        <v>640</v>
      </c>
      <c r="C19" s="23" t="s">
        <v>306</v>
      </c>
      <c r="D19" s="23" t="s">
        <v>311</v>
      </c>
      <c r="E19" s="3">
        <v>4696.3658926957496</v>
      </c>
      <c r="F19" s="3">
        <v>207.09286341441</v>
      </c>
      <c r="G19" s="3">
        <v>4903.4587561101598</v>
      </c>
    </row>
    <row r="20" spans="2:7" x14ac:dyDescent="0.25">
      <c r="B20" s="23" t="s">
        <v>640</v>
      </c>
      <c r="C20" s="23" t="s">
        <v>306</v>
      </c>
      <c r="D20" s="23" t="s">
        <v>312</v>
      </c>
      <c r="E20" s="3">
        <v>4733.6034367699003</v>
      </c>
      <c r="F20" s="3">
        <v>206.965508152224</v>
      </c>
      <c r="G20" s="3">
        <v>4940.5689449221245</v>
      </c>
    </row>
    <row r="21" spans="2:7" x14ac:dyDescent="0.25">
      <c r="B21" s="23" t="s">
        <v>640</v>
      </c>
      <c r="C21" s="23" t="s">
        <v>306</v>
      </c>
      <c r="D21" s="23" t="s">
        <v>313</v>
      </c>
      <c r="E21" s="3">
        <v>3744.0758456761105</v>
      </c>
      <c r="F21" s="3">
        <v>164.74165017607208</v>
      </c>
      <c r="G21" s="3">
        <v>3908.8174958521827</v>
      </c>
    </row>
    <row r="22" spans="2:7" x14ac:dyDescent="0.25">
      <c r="B22" s="23" t="s">
        <v>640</v>
      </c>
      <c r="C22" s="23" t="s">
        <v>306</v>
      </c>
      <c r="D22" s="23" t="s">
        <v>308</v>
      </c>
      <c r="E22" s="3">
        <v>4563.3952743005902</v>
      </c>
      <c r="F22" s="3">
        <v>199.63519537549109</v>
      </c>
      <c r="G22" s="3">
        <v>4763.0304696760813</v>
      </c>
    </row>
    <row r="23" spans="2:7" x14ac:dyDescent="0.25">
      <c r="B23" s="23" t="s">
        <v>640</v>
      </c>
      <c r="C23" s="23" t="s">
        <v>306</v>
      </c>
      <c r="D23" s="23" t="s">
        <v>314</v>
      </c>
      <c r="E23" s="3">
        <v>2810.5541103846299</v>
      </c>
      <c r="F23" s="3">
        <v>122.7501593616598</v>
      </c>
      <c r="G23" s="3">
        <v>2933.3042697462897</v>
      </c>
    </row>
    <row r="24" spans="2:7" x14ac:dyDescent="0.25">
      <c r="B24" s="23" t="s">
        <v>640</v>
      </c>
      <c r="C24" s="23" t="s">
        <v>306</v>
      </c>
      <c r="D24" s="23" t="s">
        <v>309</v>
      </c>
      <c r="E24" s="3">
        <v>4137.6455828280195</v>
      </c>
      <c r="F24" s="3">
        <v>181.46808300972538</v>
      </c>
      <c r="G24" s="3">
        <v>4319.1136658377445</v>
      </c>
    </row>
    <row r="25" spans="2:7" x14ac:dyDescent="0.25">
      <c r="B25" s="23" t="s">
        <v>640</v>
      </c>
      <c r="C25" s="23" t="s">
        <v>306</v>
      </c>
      <c r="D25" s="23" t="s">
        <v>315</v>
      </c>
      <c r="E25" s="3">
        <v>3713.5786437536899</v>
      </c>
      <c r="F25" s="3">
        <v>161.92572184382618</v>
      </c>
      <c r="G25" s="3">
        <v>3875.504365597516</v>
      </c>
    </row>
    <row r="26" spans="2:7" x14ac:dyDescent="0.25">
      <c r="B26" s="23" t="s">
        <v>640</v>
      </c>
      <c r="C26" s="23" t="s">
        <v>306</v>
      </c>
      <c r="D26" s="23" t="s">
        <v>316</v>
      </c>
      <c r="E26" s="3">
        <v>3945.9548818687699</v>
      </c>
      <c r="F26" s="3">
        <v>173.79468423986361</v>
      </c>
      <c r="G26" s="3">
        <v>4119.7495661086332</v>
      </c>
    </row>
    <row r="27" spans="2:7" x14ac:dyDescent="0.25">
      <c r="B27" s="23" t="s">
        <v>640</v>
      </c>
      <c r="C27" s="23" t="s">
        <v>306</v>
      </c>
      <c r="D27" s="23" t="s">
        <v>317</v>
      </c>
      <c r="E27" s="3">
        <v>3819.3099551436599</v>
      </c>
      <c r="F27" s="3">
        <v>168.8441436694568</v>
      </c>
      <c r="G27" s="3">
        <v>3988.1540988131164</v>
      </c>
    </row>
    <row r="28" spans="2:7" x14ac:dyDescent="0.25">
      <c r="B28" s="23" t="s">
        <v>640</v>
      </c>
      <c r="C28" s="23" t="s">
        <v>306</v>
      </c>
      <c r="D28" s="23" t="s">
        <v>318</v>
      </c>
      <c r="E28" s="3">
        <v>2767.9891327843297</v>
      </c>
      <c r="F28" s="3">
        <v>122.98138227982599</v>
      </c>
      <c r="G28" s="3">
        <v>2890.9705150641557</v>
      </c>
    </row>
    <row r="29" spans="2:7" x14ac:dyDescent="0.25">
      <c r="B29" s="23" t="s">
        <v>640</v>
      </c>
      <c r="C29" s="23" t="s">
        <v>306</v>
      </c>
      <c r="D29" s="23" t="s">
        <v>319</v>
      </c>
      <c r="E29" s="3">
        <v>3303.4337992076698</v>
      </c>
      <c r="F29" s="3">
        <v>147.01001909102609</v>
      </c>
      <c r="G29" s="3">
        <v>3450.443818298696</v>
      </c>
    </row>
    <row r="30" spans="2:7" x14ac:dyDescent="0.25">
      <c r="B30" s="23" t="s">
        <v>640</v>
      </c>
      <c r="C30" s="23" t="s">
        <v>298</v>
      </c>
      <c r="D30" s="23" t="s">
        <v>310</v>
      </c>
      <c r="E30" s="3">
        <v>2626.5302253330801</v>
      </c>
      <c r="F30" s="3">
        <v>114.0565102991939</v>
      </c>
      <c r="G30" s="3">
        <v>2740.5867356322742</v>
      </c>
    </row>
    <row r="31" spans="2:7" x14ac:dyDescent="0.25">
      <c r="B31" s="23" t="s">
        <v>640</v>
      </c>
      <c r="C31" s="23" t="s">
        <v>298</v>
      </c>
      <c r="D31" s="23" t="s">
        <v>311</v>
      </c>
      <c r="E31" s="3">
        <v>4147.9973898880098</v>
      </c>
      <c r="F31" s="3">
        <v>181.048563314604</v>
      </c>
      <c r="G31" s="3">
        <v>4329.0459532026134</v>
      </c>
    </row>
    <row r="32" spans="2:7" x14ac:dyDescent="0.25">
      <c r="B32" s="23" t="s">
        <v>640</v>
      </c>
      <c r="C32" s="23" t="s">
        <v>298</v>
      </c>
      <c r="D32" s="23" t="s">
        <v>312</v>
      </c>
      <c r="E32" s="3">
        <v>4360.1564487527203</v>
      </c>
      <c r="F32" s="3">
        <v>188.99411586060779</v>
      </c>
      <c r="G32" s="3">
        <v>4549.1505646133282</v>
      </c>
    </row>
    <row r="33" spans="2:7" x14ac:dyDescent="0.25">
      <c r="B33" s="23" t="s">
        <v>640</v>
      </c>
      <c r="C33" s="23" t="s">
        <v>298</v>
      </c>
      <c r="D33" s="23" t="s">
        <v>313</v>
      </c>
      <c r="E33" s="3">
        <v>3504.0912628723399</v>
      </c>
      <c r="F33" s="3">
        <v>152.6582040160782</v>
      </c>
      <c r="G33" s="3">
        <v>3656.7494668884183</v>
      </c>
    </row>
    <row r="34" spans="2:7" x14ac:dyDescent="0.25">
      <c r="B34" s="23" t="s">
        <v>640</v>
      </c>
      <c r="C34" s="23" t="s">
        <v>298</v>
      </c>
      <c r="D34" s="23" t="s">
        <v>308</v>
      </c>
      <c r="E34" s="3">
        <v>4523.0553459154899</v>
      </c>
      <c r="F34" s="3">
        <v>196.95674498342112</v>
      </c>
      <c r="G34" s="3">
        <v>4720.0120908989111</v>
      </c>
    </row>
    <row r="35" spans="2:7" x14ac:dyDescent="0.25">
      <c r="B35" s="23" t="s">
        <v>640</v>
      </c>
      <c r="C35" s="23" t="s">
        <v>298</v>
      </c>
      <c r="D35" s="23" t="s">
        <v>314</v>
      </c>
      <c r="E35" s="3">
        <v>2667.26627248763</v>
      </c>
      <c r="F35" s="3">
        <v>118.28737132256271</v>
      </c>
      <c r="G35" s="3">
        <v>2785.5536438101926</v>
      </c>
    </row>
    <row r="36" spans="2:7" x14ac:dyDescent="0.25">
      <c r="B36" s="23" t="s">
        <v>640</v>
      </c>
      <c r="C36" s="23" t="s">
        <v>298</v>
      </c>
      <c r="D36" s="23" t="s">
        <v>309</v>
      </c>
      <c r="E36" s="3">
        <v>3424.8018024053499</v>
      </c>
      <c r="F36" s="3">
        <v>152.09972471460731</v>
      </c>
      <c r="G36" s="3">
        <v>3576.9015271199573</v>
      </c>
    </row>
    <row r="37" spans="2:7" x14ac:dyDescent="0.25">
      <c r="B37" s="23" t="s">
        <v>640</v>
      </c>
      <c r="C37" s="23" t="s">
        <v>298</v>
      </c>
      <c r="D37" s="23" t="s">
        <v>315</v>
      </c>
      <c r="E37" s="3">
        <v>2816.2563882910099</v>
      </c>
      <c r="F37" s="3">
        <v>123.546037911504</v>
      </c>
      <c r="G37" s="3">
        <v>2939.8024262025137</v>
      </c>
    </row>
    <row r="38" spans="2:7" x14ac:dyDescent="0.25">
      <c r="B38" s="23" t="s">
        <v>640</v>
      </c>
      <c r="C38" s="23" t="s">
        <v>298</v>
      </c>
      <c r="D38" s="23" t="s">
        <v>316</v>
      </c>
      <c r="E38" s="3">
        <v>3228.8603003335902</v>
      </c>
      <c r="F38" s="3">
        <v>142.7313760342754</v>
      </c>
      <c r="G38" s="3">
        <v>3371.5916763678656</v>
      </c>
    </row>
    <row r="39" spans="2:7" x14ac:dyDescent="0.25">
      <c r="B39" s="23" t="s">
        <v>640</v>
      </c>
      <c r="C39" s="23" t="s">
        <v>298</v>
      </c>
      <c r="D39" s="23" t="s">
        <v>317</v>
      </c>
      <c r="E39" s="3">
        <v>3418.4428945156396</v>
      </c>
      <c r="F39" s="3">
        <v>150.84498000125231</v>
      </c>
      <c r="G39" s="3">
        <v>3569.2878745168919</v>
      </c>
    </row>
    <row r="40" spans="2:7" x14ac:dyDescent="0.25">
      <c r="B40" s="23" t="s">
        <v>640</v>
      </c>
      <c r="C40" s="23" t="s">
        <v>298</v>
      </c>
      <c r="D40" s="23" t="s">
        <v>318</v>
      </c>
      <c r="E40" s="3">
        <v>2611.1500641291</v>
      </c>
      <c r="F40" s="3">
        <v>115.4266977603322</v>
      </c>
      <c r="G40" s="3">
        <v>2726.576761889432</v>
      </c>
    </row>
    <row r="41" spans="2:7" x14ac:dyDescent="0.25">
      <c r="B41" s="23" t="s">
        <v>640</v>
      </c>
      <c r="C41" s="23" t="s">
        <v>298</v>
      </c>
      <c r="D41" s="23" t="s">
        <v>319</v>
      </c>
      <c r="E41" s="3">
        <v>2956.73433137743</v>
      </c>
      <c r="F41" s="3">
        <v>131.147594919993</v>
      </c>
      <c r="G41" s="3">
        <v>3087.881926297423</v>
      </c>
    </row>
    <row r="42" spans="2:7" x14ac:dyDescent="0.25">
      <c r="B42" s="23" t="s">
        <v>0</v>
      </c>
      <c r="E42" s="3">
        <v>127281.39863013696</v>
      </c>
      <c r="F42" s="3">
        <v>5582.1945205479451</v>
      </c>
      <c r="G42" s="3">
        <v>132863.59315068487</v>
      </c>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tint="-4.9989318521683403E-2"/>
  </sheetPr>
  <dimension ref="C4:G9"/>
  <sheetViews>
    <sheetView topLeftCell="A15" workbookViewId="0">
      <selection activeCell="E39" sqref="E39"/>
    </sheetView>
  </sheetViews>
  <sheetFormatPr defaultRowHeight="15" x14ac:dyDescent="0.25"/>
  <cols>
    <col min="3" max="3" width="13.7109375" customWidth="1"/>
    <col min="4" max="4" width="16.28515625" customWidth="1"/>
    <col min="5" max="5" width="9" customWidth="1"/>
    <col min="6" max="6" width="10.28515625" customWidth="1"/>
    <col min="7" max="7" width="11.28515625" customWidth="1"/>
    <col min="8" max="8" width="12.85546875" bestFit="1" customWidth="1"/>
    <col min="9" max="9" width="16" bestFit="1" customWidth="1"/>
    <col min="10" max="10" width="12" customWidth="1"/>
    <col min="11" max="16" width="12" bestFit="1" customWidth="1"/>
  </cols>
  <sheetData>
    <row r="4" spans="3:7" x14ac:dyDescent="0.25">
      <c r="C4" s="1" t="s">
        <v>13</v>
      </c>
      <c r="D4" s="1" t="s">
        <v>33</v>
      </c>
    </row>
    <row r="5" spans="3:7" x14ac:dyDescent="0.25">
      <c r="D5" s="23" t="s">
        <v>640</v>
      </c>
      <c r="F5" s="23" t="s">
        <v>646</v>
      </c>
      <c r="G5" s="23" t="s">
        <v>0</v>
      </c>
    </row>
    <row r="6" spans="3:7" x14ac:dyDescent="0.25">
      <c r="C6" s="1" t="s">
        <v>34</v>
      </c>
      <c r="D6" s="23" t="s">
        <v>194</v>
      </c>
      <c r="E6" s="23" t="s">
        <v>645</v>
      </c>
    </row>
    <row r="7" spans="3:7" x14ac:dyDescent="0.25">
      <c r="C7" s="2" t="s">
        <v>269</v>
      </c>
      <c r="D7" s="3">
        <v>30.971806999999998</v>
      </c>
      <c r="E7" s="3">
        <v>1.3583339999999999</v>
      </c>
      <c r="F7" s="3">
        <v>32.330140999999998</v>
      </c>
      <c r="G7" s="3">
        <v>32.330140999999998</v>
      </c>
    </row>
    <row r="8" spans="3:7" x14ac:dyDescent="0.25">
      <c r="C8" s="26" t="s">
        <v>6</v>
      </c>
      <c r="D8" s="3">
        <v>30.971806999999998</v>
      </c>
      <c r="E8" s="3">
        <v>1.3583339999999999</v>
      </c>
      <c r="F8" s="3">
        <v>32.330140999999998</v>
      </c>
      <c r="G8" s="3">
        <v>32.330140999999998</v>
      </c>
    </row>
    <row r="9" spans="3:7" x14ac:dyDescent="0.25">
      <c r="C9" s="2" t="s">
        <v>0</v>
      </c>
      <c r="D9" s="3">
        <v>30.971806999999998</v>
      </c>
      <c r="E9" s="3">
        <v>1.3583339999999999</v>
      </c>
      <c r="F9" s="3">
        <v>32.330140999999998</v>
      </c>
      <c r="G9" s="3">
        <v>32.330140999999998</v>
      </c>
    </row>
  </sheetData>
  <pageMargins left="0.7" right="0.7" top="0.75" bottom="0.75"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0"/>
  </sheetPr>
  <dimension ref="B3:H6"/>
  <sheetViews>
    <sheetView workbookViewId="0">
      <selection activeCell="E8" sqref="E8"/>
    </sheetView>
  </sheetViews>
  <sheetFormatPr defaultRowHeight="15" x14ac:dyDescent="0.25"/>
  <cols>
    <col min="2" max="2" width="13.140625" customWidth="1"/>
    <col min="3" max="3" width="16.28515625" bestFit="1" customWidth="1"/>
    <col min="4" max="4" width="7.85546875" customWidth="1"/>
    <col min="5" max="13" width="13" bestFit="1" customWidth="1"/>
  </cols>
  <sheetData>
    <row r="3" spans="2:8" x14ac:dyDescent="0.25">
      <c r="B3" s="1" t="s">
        <v>80</v>
      </c>
      <c r="E3" s="1" t="s">
        <v>11</v>
      </c>
      <c r="F3" s="1" t="s">
        <v>193</v>
      </c>
    </row>
    <row r="4" spans="2:8" x14ac:dyDescent="0.25">
      <c r="E4" s="23" t="s">
        <v>6</v>
      </c>
      <c r="F4" s="23" t="s">
        <v>6</v>
      </c>
      <c r="G4" s="23" t="s">
        <v>6</v>
      </c>
      <c r="H4" s="23" t="s">
        <v>6</v>
      </c>
    </row>
    <row r="5" spans="2:8" x14ac:dyDescent="0.25">
      <c r="B5" s="1" t="s">
        <v>282</v>
      </c>
      <c r="C5" s="1" t="s">
        <v>15</v>
      </c>
      <c r="D5" s="1" t="s">
        <v>61</v>
      </c>
      <c r="E5" s="23" t="s">
        <v>290</v>
      </c>
      <c r="F5" s="23" t="s">
        <v>647</v>
      </c>
      <c r="G5" s="23" t="s">
        <v>648</v>
      </c>
      <c r="H5" s="23" t="s">
        <v>649</v>
      </c>
    </row>
    <row r="6" spans="2:8" x14ac:dyDescent="0.25">
      <c r="B6" s="23" t="s">
        <v>269</v>
      </c>
      <c r="C6" s="23" t="s">
        <v>307</v>
      </c>
      <c r="D6" s="23" t="s">
        <v>319</v>
      </c>
      <c r="E6" s="3">
        <v>23065755.899999995</v>
      </c>
      <c r="F6" s="3">
        <v>12509961.1</v>
      </c>
      <c r="G6" s="3">
        <v>9565971.5999999996</v>
      </c>
      <c r="H6" s="3">
        <v>3765850.7800000003</v>
      </c>
    </row>
  </sheetData>
  <pageMargins left="0.7" right="0.7" top="0.75" bottom="0.75" header="0.3" footer="0.3"/>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0" tint="-4.9989318521683403E-2"/>
  </sheetPr>
  <dimension ref="B3:H14"/>
  <sheetViews>
    <sheetView topLeftCell="A3" workbookViewId="0">
      <selection activeCell="C35" sqref="C35"/>
    </sheetView>
  </sheetViews>
  <sheetFormatPr defaultRowHeight="15" x14ac:dyDescent="0.25"/>
  <cols>
    <col min="2" max="2" width="18.140625" customWidth="1"/>
    <col min="3" max="8" width="16" bestFit="1" customWidth="1"/>
    <col min="9" max="10" width="14.140625" customWidth="1"/>
    <col min="11" max="11" width="14.28515625" bestFit="1" customWidth="1"/>
    <col min="12" max="12" width="12" bestFit="1" customWidth="1"/>
    <col min="13" max="13" width="12" customWidth="1"/>
    <col min="14" max="14" width="12.5703125" bestFit="1" customWidth="1"/>
    <col min="15" max="15" width="12" customWidth="1"/>
    <col min="16" max="16" width="14.7109375" bestFit="1" customWidth="1"/>
    <col min="17" max="17" width="12" bestFit="1" customWidth="1"/>
    <col min="18" max="18" width="12" customWidth="1"/>
    <col min="19" max="19" width="16" bestFit="1" customWidth="1"/>
    <col min="20" max="20" width="11.42578125" customWidth="1"/>
    <col min="21" max="23" width="12" bestFit="1" customWidth="1"/>
    <col min="24" max="24" width="12" customWidth="1"/>
    <col min="25" max="25" width="12.28515625" customWidth="1"/>
    <col min="26" max="26" width="14.140625" bestFit="1" customWidth="1"/>
    <col min="27" max="27" width="13.5703125" bestFit="1" customWidth="1"/>
  </cols>
  <sheetData>
    <row r="3" spans="2:8" x14ac:dyDescent="0.25">
      <c r="B3" s="1" t="s">
        <v>283</v>
      </c>
      <c r="C3" s="1" t="s">
        <v>12</v>
      </c>
      <c r="D3" s="1" t="s">
        <v>11</v>
      </c>
    </row>
    <row r="4" spans="2:8" x14ac:dyDescent="0.25">
      <c r="C4" s="23" t="s">
        <v>259</v>
      </c>
      <c r="D4" s="23" t="s">
        <v>140</v>
      </c>
      <c r="E4" s="23" t="s">
        <v>263</v>
      </c>
      <c r="F4" s="23" t="s">
        <v>198</v>
      </c>
      <c r="G4" s="23" t="s">
        <v>271</v>
      </c>
      <c r="H4" s="23" t="s">
        <v>261</v>
      </c>
    </row>
    <row r="5" spans="2:8" x14ac:dyDescent="0.25">
      <c r="B5" s="1" t="s">
        <v>282</v>
      </c>
      <c r="C5" s="23" t="s">
        <v>16</v>
      </c>
      <c r="D5" s="23" t="s">
        <v>16</v>
      </c>
      <c r="E5" s="23" t="s">
        <v>16</v>
      </c>
      <c r="F5" s="23" t="s">
        <v>16</v>
      </c>
      <c r="G5" s="23" t="s">
        <v>16</v>
      </c>
      <c r="H5" s="23" t="s">
        <v>16</v>
      </c>
    </row>
    <row r="6" spans="2:8" x14ac:dyDescent="0.25">
      <c r="B6" s="23" t="s">
        <v>277</v>
      </c>
      <c r="C6" s="3">
        <v>8.1139884009941898</v>
      </c>
      <c r="D6" s="3">
        <v>21.519708367854204</v>
      </c>
      <c r="E6" s="3">
        <v>20.016102573453797</v>
      </c>
      <c r="F6" s="3">
        <v>22.356874337357308</v>
      </c>
      <c r="G6" s="3">
        <v>29.665103238765496</v>
      </c>
      <c r="H6" s="3">
        <v>21.049332228666096</v>
      </c>
    </row>
    <row r="7" spans="2:8" x14ac:dyDescent="0.25">
      <c r="B7" s="23" t="s">
        <v>274</v>
      </c>
      <c r="C7" s="3">
        <v>8.1139884009941898</v>
      </c>
      <c r="D7" s="3">
        <v>21.519708367854204</v>
      </c>
      <c r="E7" s="3">
        <v>20.016102573453797</v>
      </c>
      <c r="F7" s="3">
        <v>22.356874337357308</v>
      </c>
      <c r="G7" s="3">
        <v>29.665103238765496</v>
      </c>
      <c r="H7" s="3">
        <v>21.049332228666096</v>
      </c>
    </row>
    <row r="8" spans="2:8" x14ac:dyDescent="0.25">
      <c r="B8" s="23" t="s">
        <v>268</v>
      </c>
      <c r="C8" s="3">
        <v>8.1139884009941898</v>
      </c>
      <c r="D8" s="3">
        <v>21.519708367854204</v>
      </c>
      <c r="E8" s="3">
        <v>19.174223581093905</v>
      </c>
      <c r="F8" s="3">
        <v>22.356874337357308</v>
      </c>
      <c r="G8" s="3">
        <v>29.665103238765496</v>
      </c>
      <c r="H8" s="3">
        <v>20.163995508318802</v>
      </c>
    </row>
    <row r="9" spans="2:8" x14ac:dyDescent="0.25">
      <c r="B9" s="23" t="s">
        <v>278</v>
      </c>
      <c r="C9" s="3">
        <v>7.4084241922120802</v>
      </c>
      <c r="D9" s="3">
        <v>24.694747307373692</v>
      </c>
      <c r="E9" s="3">
        <v>19.174223581093905</v>
      </c>
      <c r="F9" s="3">
        <v>23.613931806316799</v>
      </c>
      <c r="G9" s="3">
        <v>30.869217554900899</v>
      </c>
      <c r="H9" s="3">
        <v>20.163995508318802</v>
      </c>
    </row>
    <row r="10" spans="2:8" x14ac:dyDescent="0.25">
      <c r="B10" s="23" t="s">
        <v>269</v>
      </c>
      <c r="C10" s="3">
        <v>15.169630488815196</v>
      </c>
      <c r="D10" s="3">
        <v>24.341965202982603</v>
      </c>
      <c r="E10" s="3">
        <v>19.174223581093905</v>
      </c>
      <c r="F10" s="3">
        <v>25.064747068787096</v>
      </c>
      <c r="G10" s="3">
        <v>32.516643167392601</v>
      </c>
      <c r="H10" s="3">
        <v>20.163995508318802</v>
      </c>
    </row>
    <row r="11" spans="2:8" x14ac:dyDescent="0.25">
      <c r="B11" s="23" t="s">
        <v>279</v>
      </c>
      <c r="C11" s="3">
        <v>10.759854183927102</v>
      </c>
      <c r="D11" s="3">
        <v>26.987830985915497</v>
      </c>
      <c r="E11" s="3">
        <v>19.174223581093905</v>
      </c>
      <c r="F11" s="3">
        <v>25.665295301292193</v>
      </c>
      <c r="G11" s="3">
        <v>32.971098611263095</v>
      </c>
      <c r="H11" s="3">
        <v>20.163995508318802</v>
      </c>
    </row>
    <row r="12" spans="2:8" x14ac:dyDescent="0.25">
      <c r="B12" s="23" t="s">
        <v>280</v>
      </c>
      <c r="C12" s="3">
        <v>6.3500778790389409</v>
      </c>
      <c r="D12" s="3">
        <v>29.633696768848395</v>
      </c>
      <c r="E12" s="3">
        <v>19.174223581093905</v>
      </c>
      <c r="F12" s="3">
        <v>26.209507293842595</v>
      </c>
      <c r="G12" s="3">
        <v>33.320887798496699</v>
      </c>
      <c r="H12" s="3">
        <v>20.163995508318802</v>
      </c>
    </row>
    <row r="13" spans="2:8" x14ac:dyDescent="0.25">
      <c r="B13" s="23" t="s">
        <v>281</v>
      </c>
      <c r="C13" s="3">
        <v>6.3500778790389409</v>
      </c>
      <c r="D13" s="3">
        <v>29.633696768848395</v>
      </c>
      <c r="E13" s="3">
        <v>19.174223581093905</v>
      </c>
      <c r="F13" s="3">
        <v>26.209507293842595</v>
      </c>
      <c r="G13" s="3">
        <v>33.320887798496699</v>
      </c>
      <c r="H13" s="3">
        <v>20.163995508318802</v>
      </c>
    </row>
    <row r="14" spans="2:8" x14ac:dyDescent="0.25">
      <c r="B14" s="23" t="s">
        <v>196</v>
      </c>
      <c r="C14" s="3">
        <v>6.3500778790389409</v>
      </c>
      <c r="D14" s="3">
        <v>29.633696768848395</v>
      </c>
      <c r="E14" s="3">
        <v>19.174223581093905</v>
      </c>
      <c r="F14" s="3">
        <v>26.209507293842595</v>
      </c>
      <c r="G14" s="3">
        <v>33.320887798496699</v>
      </c>
      <c r="H14" s="3">
        <v>20.163995508318802</v>
      </c>
    </row>
  </sheetData>
  <pageMargins left="0.7" right="0.7" top="0.75" bottom="0.75" header="0.3" footer="0.3"/>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0" tint="-4.9989318521683403E-2"/>
  </sheetPr>
  <dimension ref="B2:E452"/>
  <sheetViews>
    <sheetView workbookViewId="0">
      <selection activeCell="B15" sqref="B15"/>
    </sheetView>
  </sheetViews>
  <sheetFormatPr defaultRowHeight="15" x14ac:dyDescent="0.25"/>
  <cols>
    <col min="2" max="2" width="57.42578125" bestFit="1" customWidth="1"/>
    <col min="3" max="3" width="11.5703125" bestFit="1" customWidth="1"/>
    <col min="4" max="4" width="31.42578125" customWidth="1"/>
    <col min="5" max="5" width="30.42578125" customWidth="1"/>
    <col min="6" max="6" width="20.85546875" bestFit="1" customWidth="1"/>
    <col min="7" max="9" width="19.85546875" bestFit="1" customWidth="1"/>
    <col min="10" max="10" width="7.5703125" bestFit="1" customWidth="1"/>
    <col min="11" max="11" width="19.85546875" bestFit="1" customWidth="1"/>
    <col min="12" max="12" width="5.5703125" bestFit="1" customWidth="1"/>
    <col min="13" max="14" width="14.7109375" bestFit="1" customWidth="1"/>
    <col min="15" max="15" width="6.5703125" bestFit="1" customWidth="1"/>
    <col min="16" max="16" width="8.5703125" bestFit="1" customWidth="1"/>
    <col min="17" max="17" width="6.5703125" bestFit="1" customWidth="1"/>
    <col min="18" max="18" width="13.7109375" bestFit="1" customWidth="1"/>
    <col min="19" max="20" width="14.7109375" bestFit="1" customWidth="1"/>
    <col min="21" max="22" width="6.5703125" bestFit="1" customWidth="1"/>
    <col min="23" max="23" width="14.7109375" bestFit="1" customWidth="1"/>
    <col min="24" max="24" width="5.5703125" customWidth="1"/>
    <col min="25" max="25" width="13.7109375" bestFit="1" customWidth="1"/>
    <col min="26" max="26" width="17.85546875" bestFit="1" customWidth="1"/>
    <col min="27" max="27" width="14.7109375" customWidth="1"/>
    <col min="28" max="28" width="14.7109375" bestFit="1" customWidth="1"/>
    <col min="29" max="29" width="17.85546875" customWidth="1"/>
    <col min="30" max="30" width="17.85546875" bestFit="1" customWidth="1"/>
    <col min="31" max="32" width="5.5703125" customWidth="1"/>
    <col min="33" max="33" width="17.85546875" customWidth="1"/>
    <col min="34" max="34" width="4.5703125" customWidth="1"/>
    <col min="35" max="35" width="17.85546875" customWidth="1"/>
    <col min="36" max="36" width="6.5703125" customWidth="1"/>
    <col min="37" max="37" width="9.5703125" bestFit="1" customWidth="1"/>
    <col min="38" max="38" width="8.5703125" customWidth="1"/>
    <col min="39" max="39" width="5.5703125" customWidth="1"/>
    <col min="40" max="40" width="6.5703125" customWidth="1"/>
    <col min="41" max="41" width="9.5703125" bestFit="1" customWidth="1"/>
    <col min="42" max="42" width="6.5703125" customWidth="1"/>
    <col min="43" max="43" width="8.5703125" customWidth="1"/>
    <col min="44" max="44" width="5.5703125" customWidth="1"/>
    <col min="45" max="45" width="13.7109375" customWidth="1"/>
    <col min="46" max="48" width="17.85546875" bestFit="1" customWidth="1"/>
    <col min="49" max="49" width="5.5703125" customWidth="1"/>
    <col min="50" max="50" width="7.5703125" customWidth="1"/>
    <col min="51" max="51" width="17.85546875" customWidth="1"/>
    <col min="52" max="52" width="17.85546875" bestFit="1" customWidth="1"/>
    <col min="53" max="53" width="6.5703125" customWidth="1"/>
    <col min="54" max="54" width="5.5703125" customWidth="1"/>
    <col min="55" max="56" width="17.85546875" bestFit="1" customWidth="1"/>
    <col min="57" max="57" width="10.5703125" customWidth="1"/>
    <col min="58" max="58" width="6.5703125" customWidth="1"/>
    <col min="59" max="59" width="17.85546875" bestFit="1" customWidth="1"/>
    <col min="60" max="60" width="5.5703125" customWidth="1"/>
    <col min="61" max="61" width="3.5703125" customWidth="1"/>
    <col min="62" max="62" width="6.5703125" customWidth="1"/>
    <col min="63" max="63" width="13.7109375" customWidth="1"/>
    <col min="64" max="64" width="8.5703125" customWidth="1"/>
    <col min="65" max="65" width="17.85546875" customWidth="1"/>
    <col min="66" max="66" width="15.7109375" customWidth="1"/>
    <col min="67" max="67" width="9.5703125" customWidth="1"/>
    <col min="68" max="68" width="5.5703125" customWidth="1"/>
    <col min="69" max="69" width="9.5703125" customWidth="1"/>
    <col min="70" max="70" width="6.5703125" customWidth="1"/>
    <col min="71" max="71" width="17.85546875" customWidth="1"/>
    <col min="72" max="73" width="5.5703125" customWidth="1"/>
    <col min="74" max="74" width="11.5703125" bestFit="1" customWidth="1"/>
    <col min="75" max="76" width="17.85546875" bestFit="1" customWidth="1"/>
    <col min="77" max="77" width="5.5703125" customWidth="1"/>
    <col min="78" max="78" width="17.85546875" bestFit="1" customWidth="1"/>
    <col min="79" max="79" width="9.5703125" customWidth="1"/>
    <col min="80" max="80" width="8.5703125" customWidth="1"/>
    <col min="81" max="81" width="15.7109375" customWidth="1"/>
    <col min="82" max="82" width="8.5703125" customWidth="1"/>
    <col min="83" max="83" width="6.5703125" customWidth="1"/>
    <col min="84" max="84" width="5.5703125" customWidth="1"/>
    <col min="85" max="85" width="15.7109375" customWidth="1"/>
    <col min="86" max="86" width="7.42578125" customWidth="1"/>
    <col min="87" max="87" width="16.7109375" customWidth="1"/>
    <col min="88" max="88" width="16.7109375" bestFit="1" customWidth="1"/>
    <col min="89" max="89" width="5.5703125" customWidth="1"/>
    <col min="90" max="91" width="16.7109375" bestFit="1" customWidth="1"/>
    <col min="92" max="92" width="7.5703125" customWidth="1"/>
    <col min="93" max="93" width="5.5703125" customWidth="1"/>
    <col min="94" max="94" width="16.7109375" customWidth="1"/>
    <col min="95" max="95" width="4.5703125" customWidth="1"/>
    <col min="96" max="96" width="7.42578125" customWidth="1"/>
    <col min="97" max="97" width="16.7109375" customWidth="1"/>
    <col min="98" max="98" width="16.7109375" bestFit="1" customWidth="1"/>
    <col min="99" max="99" width="4.5703125" customWidth="1"/>
    <col min="100" max="100" width="16.7109375" customWidth="1"/>
    <col min="101" max="101" width="5.5703125" customWidth="1"/>
    <col min="102" max="102" width="16.7109375" customWidth="1"/>
    <col min="103" max="103" width="15.7109375" customWidth="1"/>
    <col min="104" max="104" width="16.7109375" customWidth="1"/>
    <col min="105" max="105" width="5.5703125" customWidth="1"/>
    <col min="106" max="106" width="16.7109375" customWidth="1"/>
    <col min="107" max="107" width="6.5703125" customWidth="1"/>
    <col min="108" max="108" width="5.5703125" customWidth="1"/>
    <col min="109" max="109" width="15.7109375" customWidth="1"/>
    <col min="110" max="110" width="16.7109375" customWidth="1"/>
    <col min="111" max="111" width="6.5703125" customWidth="1"/>
    <col min="112" max="112" width="16.7109375" customWidth="1"/>
    <col min="113" max="114" width="16.7109375" bestFit="1" customWidth="1"/>
    <col min="115" max="115" width="6.5703125" customWidth="1"/>
    <col min="116" max="116" width="16.7109375" customWidth="1"/>
    <col min="117" max="117" width="5.5703125" customWidth="1"/>
    <col min="118" max="118" width="3.5703125" customWidth="1"/>
    <col min="119" max="119" width="16.7109375" customWidth="1"/>
    <col min="120" max="120" width="8.5703125" customWidth="1"/>
    <col min="121" max="121" width="15.7109375" bestFit="1" customWidth="1"/>
    <col min="122" max="122" width="16.7109375" customWidth="1"/>
    <col min="123" max="124" width="16.7109375" bestFit="1" customWidth="1"/>
    <col min="125" max="125" width="8.5703125" customWidth="1"/>
    <col min="126" max="126" width="16.7109375" customWidth="1"/>
    <col min="127" max="129" width="16.7109375" bestFit="1" customWidth="1"/>
    <col min="130" max="130" width="3.5703125" customWidth="1"/>
    <col min="131" max="131" width="16.7109375" customWidth="1"/>
    <col min="132" max="133" width="16.7109375" bestFit="1" customWidth="1"/>
    <col min="134" max="134" width="15.7109375" customWidth="1"/>
    <col min="135" max="135" width="16.7109375" customWidth="1"/>
    <col min="136" max="136" width="7.5703125" customWidth="1"/>
    <col min="137" max="137" width="16.7109375" bestFit="1" customWidth="1"/>
    <col min="138" max="138" width="6.5703125" customWidth="1"/>
    <col min="139" max="139" width="16.7109375" customWidth="1"/>
    <col min="140" max="140" width="5.5703125" customWidth="1"/>
    <col min="141" max="141" width="7.42578125" customWidth="1"/>
    <col min="142" max="142" width="16.7109375" customWidth="1"/>
    <col min="143" max="143" width="15.7109375" customWidth="1"/>
    <col min="144" max="144" width="7.42578125" customWidth="1"/>
    <col min="145" max="145" width="3.5703125" customWidth="1"/>
    <col min="146" max="146" width="16.7109375" customWidth="1"/>
    <col min="147" max="147" width="15.7109375" customWidth="1"/>
    <col min="148" max="153" width="16.7109375" bestFit="1" customWidth="1"/>
    <col min="154" max="154" width="7.42578125" customWidth="1"/>
    <col min="155" max="155" width="16.7109375" customWidth="1"/>
    <col min="156" max="156" width="16.7109375" bestFit="1" customWidth="1"/>
    <col min="157" max="157" width="15.7109375" customWidth="1"/>
    <col min="158" max="158" width="16.7109375" customWidth="1"/>
    <col min="159" max="159" width="7.42578125" customWidth="1"/>
    <col min="160" max="160" width="16.7109375" customWidth="1"/>
    <col min="161" max="161" width="15.7109375" customWidth="1"/>
    <col min="162" max="162" width="16.7109375" customWidth="1"/>
    <col min="163" max="164" width="7.28515625" customWidth="1"/>
    <col min="165" max="165" width="16.7109375" bestFit="1" customWidth="1"/>
    <col min="166" max="166" width="7.42578125" bestFit="1" customWidth="1"/>
    <col min="167" max="167" width="16.7109375" bestFit="1" customWidth="1"/>
    <col min="168" max="168" width="15.7109375" bestFit="1" customWidth="1"/>
    <col min="169" max="169" width="16.7109375" bestFit="1" customWidth="1"/>
    <col min="170" max="170" width="7.28515625" bestFit="1" customWidth="1"/>
  </cols>
  <sheetData>
    <row r="2" spans="2:5" x14ac:dyDescent="0.25">
      <c r="B2" s="1" t="s">
        <v>587</v>
      </c>
      <c r="C2" s="23" t="s">
        <v>588</v>
      </c>
    </row>
    <row r="4" spans="2:5" x14ac:dyDescent="0.25">
      <c r="B4" s="1" t="s">
        <v>286</v>
      </c>
      <c r="C4" s="1" t="s">
        <v>589</v>
      </c>
      <c r="D4" s="1" t="s">
        <v>360</v>
      </c>
      <c r="E4" t="s">
        <v>586</v>
      </c>
    </row>
    <row r="5" spans="2:5" x14ac:dyDescent="0.25">
      <c r="B5" s="23" t="s">
        <v>361</v>
      </c>
      <c r="C5" s="23" t="s">
        <v>260</v>
      </c>
      <c r="D5" s="23">
        <v>2020</v>
      </c>
      <c r="E5" s="3">
        <v>6.8599999999999994E-2</v>
      </c>
    </row>
    <row r="6" spans="2:5" x14ac:dyDescent="0.25">
      <c r="B6" s="23" t="s">
        <v>362</v>
      </c>
      <c r="C6" s="23" t="s">
        <v>260</v>
      </c>
      <c r="D6" s="23">
        <v>2030</v>
      </c>
      <c r="E6" s="3">
        <v>5.8799999999999998E-2</v>
      </c>
    </row>
    <row r="7" spans="2:5" x14ac:dyDescent="0.25">
      <c r="B7" s="23" t="s">
        <v>363</v>
      </c>
      <c r="C7" s="23" t="s">
        <v>260</v>
      </c>
      <c r="D7" s="23">
        <v>2050</v>
      </c>
      <c r="E7" s="3">
        <v>5.8799999999999998E-2</v>
      </c>
    </row>
    <row r="8" spans="2:5" x14ac:dyDescent="0.25">
      <c r="B8" s="23" t="s">
        <v>364</v>
      </c>
      <c r="C8" s="23" t="s">
        <v>260</v>
      </c>
      <c r="D8" s="23">
        <v>2020</v>
      </c>
      <c r="E8" s="3">
        <v>0.14699999999999999</v>
      </c>
    </row>
    <row r="9" spans="2:5" x14ac:dyDescent="0.25">
      <c r="B9" s="23" t="s">
        <v>365</v>
      </c>
      <c r="C9" s="23" t="s">
        <v>260</v>
      </c>
      <c r="D9" s="23">
        <v>2030</v>
      </c>
      <c r="E9" s="3">
        <v>0.13719999999999999</v>
      </c>
    </row>
    <row r="10" spans="2:5" x14ac:dyDescent="0.25">
      <c r="B10" s="23" t="s">
        <v>366</v>
      </c>
      <c r="C10" s="23" t="s">
        <v>260</v>
      </c>
      <c r="D10" s="23">
        <v>2050</v>
      </c>
      <c r="E10" s="3">
        <v>0.12740000000000001</v>
      </c>
    </row>
    <row r="11" spans="2:5" x14ac:dyDescent="0.25">
      <c r="B11" s="23" t="s">
        <v>367</v>
      </c>
      <c r="C11" s="23" t="s">
        <v>260</v>
      </c>
      <c r="D11" s="23">
        <v>2020</v>
      </c>
      <c r="E11" s="3">
        <v>0.8</v>
      </c>
    </row>
    <row r="12" spans="2:5" x14ac:dyDescent="0.25">
      <c r="B12" s="23" t="s">
        <v>368</v>
      </c>
      <c r="C12" s="23" t="s">
        <v>260</v>
      </c>
      <c r="D12" s="23">
        <v>2030</v>
      </c>
      <c r="E12" s="3">
        <v>0.8</v>
      </c>
    </row>
    <row r="13" spans="2:5" x14ac:dyDescent="0.25">
      <c r="B13" s="23" t="s">
        <v>369</v>
      </c>
      <c r="C13" s="23" t="s">
        <v>260</v>
      </c>
      <c r="D13" s="23">
        <v>2050</v>
      </c>
      <c r="E13" s="3">
        <v>0.8</v>
      </c>
    </row>
    <row r="14" spans="2:5" x14ac:dyDescent="0.25">
      <c r="B14" s="23" t="s">
        <v>370</v>
      </c>
      <c r="C14" s="23" t="s">
        <v>141</v>
      </c>
      <c r="D14" s="23">
        <v>2020</v>
      </c>
      <c r="E14" s="3">
        <v>1.90273541530645</v>
      </c>
    </row>
    <row r="15" spans="2:5" x14ac:dyDescent="0.25">
      <c r="B15" s="23" t="s">
        <v>371</v>
      </c>
      <c r="C15" s="23" t="s">
        <v>141</v>
      </c>
      <c r="D15" s="23">
        <v>2030</v>
      </c>
      <c r="E15" s="3">
        <v>1.81404069990143</v>
      </c>
    </row>
    <row r="16" spans="2:5" x14ac:dyDescent="0.25">
      <c r="B16" s="23" t="s">
        <v>372</v>
      </c>
      <c r="C16" s="23" t="s">
        <v>141</v>
      </c>
      <c r="D16" s="23">
        <v>2050</v>
      </c>
      <c r="E16" s="3">
        <v>1.7103804308737001</v>
      </c>
    </row>
    <row r="17" spans="2:5" x14ac:dyDescent="0.25">
      <c r="B17" s="23" t="s">
        <v>373</v>
      </c>
      <c r="C17" s="23" t="s">
        <v>140</v>
      </c>
      <c r="D17" s="23">
        <v>2020</v>
      </c>
      <c r="E17" s="3">
        <v>5.8799999999999998E-2</v>
      </c>
    </row>
    <row r="18" spans="2:5" x14ac:dyDescent="0.25">
      <c r="B18" s="23" t="s">
        <v>374</v>
      </c>
      <c r="C18" s="23" t="s">
        <v>140</v>
      </c>
      <c r="D18" s="23">
        <v>2030</v>
      </c>
      <c r="E18" s="3">
        <v>4.9000000000000002E-2</v>
      </c>
    </row>
    <row r="19" spans="2:5" x14ac:dyDescent="0.25">
      <c r="B19" s="23" t="s">
        <v>375</v>
      </c>
      <c r="C19" s="23" t="s">
        <v>140</v>
      </c>
      <c r="D19" s="23">
        <v>2050</v>
      </c>
      <c r="E19" s="3">
        <v>4.9000000000000002E-2</v>
      </c>
    </row>
    <row r="20" spans="2:5" x14ac:dyDescent="0.25">
      <c r="B20" s="23" t="s">
        <v>376</v>
      </c>
      <c r="C20" s="23" t="s">
        <v>270</v>
      </c>
      <c r="D20" s="23">
        <v>2020</v>
      </c>
      <c r="E20" s="3">
        <v>0.69170817142718699</v>
      </c>
    </row>
    <row r="21" spans="2:5" x14ac:dyDescent="0.25">
      <c r="B21" s="23" t="s">
        <v>377</v>
      </c>
      <c r="C21" s="23" t="s">
        <v>270</v>
      </c>
      <c r="D21" s="23">
        <v>2030</v>
      </c>
      <c r="E21" s="3">
        <v>0.657890649170352</v>
      </c>
    </row>
    <row r="22" spans="2:5" x14ac:dyDescent="0.25">
      <c r="B22" s="23" t="s">
        <v>378</v>
      </c>
      <c r="C22" s="23" t="s">
        <v>270</v>
      </c>
      <c r="D22" s="23">
        <v>2050</v>
      </c>
      <c r="E22" s="3">
        <v>0.59513477611417298</v>
      </c>
    </row>
    <row r="23" spans="2:5" x14ac:dyDescent="0.25">
      <c r="B23" s="23" t="s">
        <v>379</v>
      </c>
      <c r="C23" s="23" t="s">
        <v>263</v>
      </c>
      <c r="D23" s="23">
        <v>2010</v>
      </c>
      <c r="E23" s="3">
        <v>0.52330299999999996</v>
      </c>
    </row>
    <row r="24" spans="2:5" x14ac:dyDescent="0.25">
      <c r="B24" s="23" t="s">
        <v>380</v>
      </c>
      <c r="C24" s="23" t="s">
        <v>198</v>
      </c>
      <c r="D24" s="23">
        <v>2020</v>
      </c>
      <c r="E24" s="3">
        <v>1.19237716160598</v>
      </c>
    </row>
    <row r="25" spans="2:5" x14ac:dyDescent="0.25">
      <c r="B25" s="23" t="s">
        <v>381</v>
      </c>
      <c r="C25" s="23" t="s">
        <v>198</v>
      </c>
      <c r="D25" s="23">
        <v>2030</v>
      </c>
      <c r="E25" s="3">
        <v>1.13408199773947</v>
      </c>
    </row>
    <row r="26" spans="2:5" x14ac:dyDescent="0.25">
      <c r="B26" s="23" t="s">
        <v>382</v>
      </c>
      <c r="C26" s="23" t="s">
        <v>198</v>
      </c>
      <c r="D26" s="23">
        <v>2050</v>
      </c>
      <c r="E26" s="3">
        <v>1.0259024606459</v>
      </c>
    </row>
    <row r="27" spans="2:5" x14ac:dyDescent="0.25">
      <c r="B27" s="23" t="s">
        <v>383</v>
      </c>
      <c r="C27" s="23" t="s">
        <v>271</v>
      </c>
      <c r="D27" s="23">
        <v>2020</v>
      </c>
      <c r="E27" s="3">
        <v>0.95402529177495898</v>
      </c>
    </row>
    <row r="28" spans="2:5" x14ac:dyDescent="0.25">
      <c r="B28" s="23" t="s">
        <v>384</v>
      </c>
      <c r="C28" s="23" t="s">
        <v>271</v>
      </c>
      <c r="D28" s="23">
        <v>2030</v>
      </c>
      <c r="E28" s="3">
        <v>0.907383119727728</v>
      </c>
    </row>
    <row r="29" spans="2:5" x14ac:dyDescent="0.25">
      <c r="B29" s="23" t="s">
        <v>385</v>
      </c>
      <c r="C29" s="23" t="s">
        <v>271</v>
      </c>
      <c r="D29" s="23">
        <v>2050</v>
      </c>
      <c r="E29" s="3">
        <v>0.82082827972998096</v>
      </c>
    </row>
    <row r="30" spans="2:5" x14ac:dyDescent="0.25">
      <c r="B30" s="23" t="s">
        <v>386</v>
      </c>
      <c r="C30" s="23" t="s">
        <v>271</v>
      </c>
      <c r="D30" s="23">
        <v>2020</v>
      </c>
      <c r="E30" s="3">
        <v>2.2000000000000002</v>
      </c>
    </row>
    <row r="31" spans="2:5" x14ac:dyDescent="0.25">
      <c r="B31" s="23" t="s">
        <v>387</v>
      </c>
      <c r="C31" s="23" t="s">
        <v>271</v>
      </c>
      <c r="D31" s="23">
        <v>2030</v>
      </c>
      <c r="E31" s="3">
        <v>3</v>
      </c>
    </row>
    <row r="32" spans="2:5" x14ac:dyDescent="0.25">
      <c r="B32" s="23" t="s">
        <v>388</v>
      </c>
      <c r="C32" s="23" t="s">
        <v>271</v>
      </c>
      <c r="D32" s="23">
        <v>2050</v>
      </c>
      <c r="E32" s="3">
        <v>3</v>
      </c>
    </row>
    <row r="33" spans="2:5" x14ac:dyDescent="0.25">
      <c r="B33" s="23" t="s">
        <v>389</v>
      </c>
      <c r="C33" s="23" t="s">
        <v>140</v>
      </c>
      <c r="D33" s="23">
        <v>2020</v>
      </c>
      <c r="E33" s="3">
        <v>1.274</v>
      </c>
    </row>
    <row r="34" spans="2:5" x14ac:dyDescent="0.25">
      <c r="B34" s="23" t="s">
        <v>390</v>
      </c>
      <c r="C34" s="23" t="s">
        <v>140</v>
      </c>
      <c r="D34" s="23">
        <v>2030</v>
      </c>
      <c r="E34" s="3">
        <v>1.1759999999999999</v>
      </c>
    </row>
    <row r="35" spans="2:5" x14ac:dyDescent="0.25">
      <c r="B35" s="23" t="s">
        <v>391</v>
      </c>
      <c r="C35" s="23" t="s">
        <v>140</v>
      </c>
      <c r="D35" s="23">
        <v>2050</v>
      </c>
      <c r="E35" s="3">
        <v>1.0780000000000001</v>
      </c>
    </row>
    <row r="36" spans="2:5" x14ac:dyDescent="0.25">
      <c r="B36" s="23" t="s">
        <v>392</v>
      </c>
      <c r="C36" s="23" t="s">
        <v>140</v>
      </c>
      <c r="D36" s="23">
        <v>2020</v>
      </c>
      <c r="E36" s="3">
        <v>1.274</v>
      </c>
    </row>
    <row r="37" spans="2:5" x14ac:dyDescent="0.25">
      <c r="B37" s="23" t="s">
        <v>393</v>
      </c>
      <c r="C37" s="23" t="s">
        <v>140</v>
      </c>
      <c r="D37" s="23">
        <v>2030</v>
      </c>
      <c r="E37" s="3">
        <v>1.1759999999999999</v>
      </c>
    </row>
    <row r="38" spans="2:5" x14ac:dyDescent="0.25">
      <c r="B38" s="23" t="s">
        <v>394</v>
      </c>
      <c r="C38" s="23" t="s">
        <v>140</v>
      </c>
      <c r="D38" s="23">
        <v>2050</v>
      </c>
      <c r="E38" s="3">
        <v>1.0780000000000001</v>
      </c>
    </row>
    <row r="39" spans="2:5" x14ac:dyDescent="0.25">
      <c r="B39" s="23" t="s">
        <v>395</v>
      </c>
      <c r="C39" s="23" t="s">
        <v>140</v>
      </c>
      <c r="D39" s="23">
        <v>2050</v>
      </c>
      <c r="E39" s="3">
        <v>0.38400000000000001</v>
      </c>
    </row>
    <row r="40" spans="2:5" x14ac:dyDescent="0.25">
      <c r="B40" s="23" t="s">
        <v>396</v>
      </c>
      <c r="C40" s="23" t="s">
        <v>140</v>
      </c>
      <c r="D40" s="23">
        <v>2020</v>
      </c>
      <c r="E40" s="3">
        <v>0.86240000000000006</v>
      </c>
    </row>
    <row r="41" spans="2:5" x14ac:dyDescent="0.25">
      <c r="B41" s="23" t="s">
        <v>397</v>
      </c>
      <c r="C41" s="23" t="s">
        <v>140</v>
      </c>
      <c r="D41" s="23">
        <v>2030</v>
      </c>
      <c r="E41" s="3">
        <v>0.81340000000000001</v>
      </c>
    </row>
    <row r="42" spans="2:5" x14ac:dyDescent="0.25">
      <c r="B42" s="23" t="s">
        <v>398</v>
      </c>
      <c r="C42" s="23" t="s">
        <v>140</v>
      </c>
      <c r="D42" s="23">
        <v>2050</v>
      </c>
      <c r="E42" s="3">
        <v>0.78400000000000003</v>
      </c>
    </row>
    <row r="43" spans="2:5" x14ac:dyDescent="0.25">
      <c r="B43" s="23" t="s">
        <v>399</v>
      </c>
      <c r="C43" s="23" t="s">
        <v>140</v>
      </c>
      <c r="D43" s="23">
        <v>2020</v>
      </c>
      <c r="E43" s="3">
        <v>0.86240000000000006</v>
      </c>
    </row>
    <row r="44" spans="2:5" x14ac:dyDescent="0.25">
      <c r="B44" s="23" t="s">
        <v>400</v>
      </c>
      <c r="C44" s="23" t="s">
        <v>140</v>
      </c>
      <c r="D44" s="23">
        <v>2030</v>
      </c>
      <c r="E44" s="3">
        <v>0.81340000000000001</v>
      </c>
    </row>
    <row r="45" spans="2:5" x14ac:dyDescent="0.25">
      <c r="B45" s="23" t="s">
        <v>401</v>
      </c>
      <c r="C45" s="23" t="s">
        <v>140</v>
      </c>
      <c r="D45" s="23">
        <v>2050</v>
      </c>
      <c r="E45" s="3">
        <v>0.78400000000000003</v>
      </c>
    </row>
    <row r="46" spans="2:5" x14ac:dyDescent="0.25">
      <c r="B46" s="23" t="s">
        <v>402</v>
      </c>
      <c r="C46" s="23" t="s">
        <v>236</v>
      </c>
      <c r="D46" s="23">
        <v>2020</v>
      </c>
      <c r="E46" s="3">
        <v>0.93100000000000005</v>
      </c>
    </row>
    <row r="47" spans="2:5" x14ac:dyDescent="0.25">
      <c r="B47" s="23" t="s">
        <v>403</v>
      </c>
      <c r="C47" s="23" t="s">
        <v>236</v>
      </c>
      <c r="D47" s="23">
        <v>2030</v>
      </c>
      <c r="E47" s="3">
        <v>0.88200000000000001</v>
      </c>
    </row>
    <row r="48" spans="2:5" x14ac:dyDescent="0.25">
      <c r="B48" s="23" t="s">
        <v>404</v>
      </c>
      <c r="C48" s="23" t="s">
        <v>236</v>
      </c>
      <c r="D48" s="23">
        <v>2050</v>
      </c>
      <c r="E48" s="3">
        <v>0.83299999999999996</v>
      </c>
    </row>
    <row r="49" spans="2:5" x14ac:dyDescent="0.25">
      <c r="B49" s="23" t="s">
        <v>405</v>
      </c>
      <c r="C49" s="23" t="s">
        <v>236</v>
      </c>
      <c r="D49" s="23">
        <v>2020</v>
      </c>
      <c r="E49" s="3">
        <v>0.93100000000000005</v>
      </c>
    </row>
    <row r="50" spans="2:5" x14ac:dyDescent="0.25">
      <c r="B50" s="23" t="s">
        <v>406</v>
      </c>
      <c r="C50" s="23" t="s">
        <v>236</v>
      </c>
      <c r="D50" s="23">
        <v>2030</v>
      </c>
      <c r="E50" s="3">
        <v>0.88200000000000001</v>
      </c>
    </row>
    <row r="51" spans="2:5" x14ac:dyDescent="0.25">
      <c r="B51" s="23" t="s">
        <v>407</v>
      </c>
      <c r="C51" s="23" t="s">
        <v>236</v>
      </c>
      <c r="D51" s="23">
        <v>2050</v>
      </c>
      <c r="E51" s="3">
        <v>0.83299999999999996</v>
      </c>
    </row>
    <row r="52" spans="2:5" x14ac:dyDescent="0.25">
      <c r="B52" s="23" t="s">
        <v>408</v>
      </c>
      <c r="C52" s="23" t="s">
        <v>140</v>
      </c>
      <c r="D52" s="23">
        <v>2020</v>
      </c>
      <c r="E52" s="3">
        <v>0.93100000000000005</v>
      </c>
    </row>
    <row r="53" spans="2:5" x14ac:dyDescent="0.25">
      <c r="B53" s="23" t="s">
        <v>409</v>
      </c>
      <c r="C53" s="23" t="s">
        <v>140</v>
      </c>
      <c r="D53" s="23">
        <v>2030</v>
      </c>
      <c r="E53" s="3">
        <v>0.88200000000000001</v>
      </c>
    </row>
    <row r="54" spans="2:5" x14ac:dyDescent="0.25">
      <c r="B54" s="23" t="s">
        <v>410</v>
      </c>
      <c r="C54" s="23" t="s">
        <v>140</v>
      </c>
      <c r="D54" s="23">
        <v>2050</v>
      </c>
      <c r="E54" s="3">
        <v>0.83299999999999996</v>
      </c>
    </row>
    <row r="55" spans="2:5" x14ac:dyDescent="0.25">
      <c r="B55" s="23" t="s">
        <v>411</v>
      </c>
      <c r="C55" s="23" t="s">
        <v>140</v>
      </c>
      <c r="D55" s="23">
        <v>2020</v>
      </c>
      <c r="E55" s="3">
        <v>0.93100000000000005</v>
      </c>
    </row>
    <row r="56" spans="2:5" x14ac:dyDescent="0.25">
      <c r="B56" s="23" t="s">
        <v>412</v>
      </c>
      <c r="C56" s="23" t="s">
        <v>140</v>
      </c>
      <c r="D56" s="23">
        <v>2030</v>
      </c>
      <c r="E56" s="3">
        <v>0.88200000000000001</v>
      </c>
    </row>
    <row r="57" spans="2:5" x14ac:dyDescent="0.25">
      <c r="B57" s="23" t="s">
        <v>413</v>
      </c>
      <c r="C57" s="23" t="s">
        <v>140</v>
      </c>
      <c r="D57" s="23">
        <v>2050</v>
      </c>
      <c r="E57" s="3">
        <v>0.83299999999999996</v>
      </c>
    </row>
    <row r="58" spans="2:5" x14ac:dyDescent="0.25">
      <c r="B58" s="23" t="s">
        <v>414</v>
      </c>
      <c r="C58" s="23" t="s">
        <v>140</v>
      </c>
      <c r="D58" s="23">
        <v>2010</v>
      </c>
      <c r="E58" s="3">
        <v>0.81766099999999997</v>
      </c>
    </row>
    <row r="59" spans="2:5" x14ac:dyDescent="0.25">
      <c r="B59" s="23" t="s">
        <v>415</v>
      </c>
      <c r="C59" s="23" t="s">
        <v>598</v>
      </c>
      <c r="D59" s="23">
        <v>2010</v>
      </c>
      <c r="E59" s="3">
        <v>0.81766099999999997</v>
      </c>
    </row>
    <row r="60" spans="2:5" x14ac:dyDescent="0.25">
      <c r="B60" s="23" t="s">
        <v>416</v>
      </c>
      <c r="C60" s="23" t="s">
        <v>260</v>
      </c>
      <c r="D60" s="23">
        <v>2016</v>
      </c>
      <c r="E60" s="3">
        <v>0.10903492431300001</v>
      </c>
    </row>
    <row r="61" spans="2:5" x14ac:dyDescent="0.25">
      <c r="B61" s="23" t="s">
        <v>417</v>
      </c>
      <c r="C61" s="23" t="s">
        <v>260</v>
      </c>
      <c r="D61" s="23">
        <v>2030</v>
      </c>
      <c r="E61" s="3">
        <v>5.4888329245999998E-2</v>
      </c>
    </row>
    <row r="62" spans="2:5" x14ac:dyDescent="0.25">
      <c r="B62" s="23" t="s">
        <v>418</v>
      </c>
      <c r="C62" s="23" t="s">
        <v>260</v>
      </c>
      <c r="D62" s="23">
        <v>2016</v>
      </c>
      <c r="E62" s="3">
        <v>0.261090431008</v>
      </c>
    </row>
    <row r="63" spans="2:5" x14ac:dyDescent="0.25">
      <c r="B63" s="23" t="s">
        <v>419</v>
      </c>
      <c r="C63" s="23" t="s">
        <v>260</v>
      </c>
      <c r="D63" s="23">
        <v>2030</v>
      </c>
      <c r="E63" s="3">
        <v>0.107551455955</v>
      </c>
    </row>
    <row r="64" spans="2:5" x14ac:dyDescent="0.25">
      <c r="B64" s="23" t="s">
        <v>420</v>
      </c>
      <c r="C64" s="23" t="s">
        <v>260</v>
      </c>
      <c r="D64" s="23">
        <v>2016</v>
      </c>
      <c r="E64" s="3">
        <v>0.59021956114999996</v>
      </c>
    </row>
    <row r="65" spans="2:5" x14ac:dyDescent="0.25">
      <c r="B65" s="23" t="s">
        <v>421</v>
      </c>
      <c r="C65" s="23" t="s">
        <v>260</v>
      </c>
      <c r="D65" s="23">
        <v>2030</v>
      </c>
      <c r="E65" s="3">
        <v>0.13959975707200001</v>
      </c>
    </row>
    <row r="66" spans="2:5" x14ac:dyDescent="0.25">
      <c r="B66" s="23" t="s">
        <v>422</v>
      </c>
      <c r="C66" s="23" t="s">
        <v>260</v>
      </c>
      <c r="D66" s="23">
        <v>2015</v>
      </c>
      <c r="E66" s="3">
        <v>7.1852816139999998E-2</v>
      </c>
    </row>
    <row r="67" spans="2:5" x14ac:dyDescent="0.25">
      <c r="B67" s="23" t="s">
        <v>423</v>
      </c>
      <c r="C67" s="23" t="s">
        <v>260</v>
      </c>
      <c r="D67" s="23">
        <v>2020</v>
      </c>
      <c r="E67" s="3">
        <v>5.2349908902000003E-2</v>
      </c>
    </row>
    <row r="68" spans="2:5" x14ac:dyDescent="0.25">
      <c r="B68" s="23" t="s">
        <v>424</v>
      </c>
      <c r="C68" s="23" t="s">
        <v>260</v>
      </c>
      <c r="D68" s="23">
        <v>2016</v>
      </c>
      <c r="E68" s="3">
        <v>0.24635251248000001</v>
      </c>
    </row>
    <row r="69" spans="2:5" x14ac:dyDescent="0.25">
      <c r="B69" s="23" t="s">
        <v>425</v>
      </c>
      <c r="C69" s="23" t="s">
        <v>260</v>
      </c>
      <c r="D69" s="23">
        <v>2020</v>
      </c>
      <c r="E69" s="3">
        <v>0.25251132529199999</v>
      </c>
    </row>
    <row r="70" spans="2:5" x14ac:dyDescent="0.25">
      <c r="B70" s="23" t="s">
        <v>426</v>
      </c>
      <c r="C70" s="23" t="s">
        <v>140</v>
      </c>
      <c r="D70" s="23">
        <v>2020</v>
      </c>
      <c r="E70" s="3">
        <v>0.71540000000000004</v>
      </c>
    </row>
    <row r="71" spans="2:5" x14ac:dyDescent="0.25">
      <c r="B71" s="23" t="s">
        <v>427</v>
      </c>
      <c r="C71" s="23" t="s">
        <v>140</v>
      </c>
      <c r="D71" s="23">
        <v>2030</v>
      </c>
      <c r="E71" s="3">
        <v>0.68600000000000005</v>
      </c>
    </row>
    <row r="72" spans="2:5" x14ac:dyDescent="0.25">
      <c r="B72" s="23" t="s">
        <v>428</v>
      </c>
      <c r="C72" s="23" t="s">
        <v>140</v>
      </c>
      <c r="D72" s="23">
        <v>2050</v>
      </c>
      <c r="E72" s="3">
        <v>0.66639999999999999</v>
      </c>
    </row>
    <row r="73" spans="2:5" x14ac:dyDescent="0.25">
      <c r="B73" s="23" t="s">
        <v>429</v>
      </c>
      <c r="C73" s="23" t="s">
        <v>140</v>
      </c>
      <c r="D73" s="23">
        <v>2020</v>
      </c>
      <c r="E73" s="3">
        <v>0.57820000000000005</v>
      </c>
    </row>
    <row r="74" spans="2:5" x14ac:dyDescent="0.25">
      <c r="B74" s="23" t="s">
        <v>430</v>
      </c>
      <c r="C74" s="23" t="s">
        <v>140</v>
      </c>
      <c r="D74" s="23">
        <v>2030</v>
      </c>
      <c r="E74" s="3">
        <v>0.54879999999999995</v>
      </c>
    </row>
    <row r="75" spans="2:5" x14ac:dyDescent="0.25">
      <c r="B75" s="23" t="s">
        <v>431</v>
      </c>
      <c r="C75" s="23" t="s">
        <v>140</v>
      </c>
      <c r="D75" s="23">
        <v>2050</v>
      </c>
      <c r="E75" s="3">
        <v>0.50960000000000005</v>
      </c>
    </row>
    <row r="76" spans="2:5" x14ac:dyDescent="0.25">
      <c r="B76" s="23" t="s">
        <v>432</v>
      </c>
      <c r="C76" s="23" t="s">
        <v>140</v>
      </c>
      <c r="D76" s="23">
        <v>2020</v>
      </c>
      <c r="E76" s="3">
        <v>0.71540000000000004</v>
      </c>
    </row>
    <row r="77" spans="2:5" x14ac:dyDescent="0.25">
      <c r="B77" s="23" t="s">
        <v>433</v>
      </c>
      <c r="C77" s="23" t="s">
        <v>140</v>
      </c>
      <c r="D77" s="23">
        <v>2030</v>
      </c>
      <c r="E77" s="3">
        <v>0.68600000000000005</v>
      </c>
    </row>
    <row r="78" spans="2:5" x14ac:dyDescent="0.25">
      <c r="B78" s="23" t="s">
        <v>434</v>
      </c>
      <c r="C78" s="23" t="s">
        <v>140</v>
      </c>
      <c r="D78" s="23">
        <v>2050</v>
      </c>
      <c r="E78" s="3">
        <v>0.66639999999999999</v>
      </c>
    </row>
    <row r="79" spans="2:5" x14ac:dyDescent="0.25">
      <c r="B79" s="23" t="s">
        <v>435</v>
      </c>
      <c r="C79" s="23" t="s">
        <v>140</v>
      </c>
      <c r="D79" s="23">
        <v>2020</v>
      </c>
      <c r="E79" s="3">
        <v>0.57820000000000005</v>
      </c>
    </row>
    <row r="80" spans="2:5" x14ac:dyDescent="0.25">
      <c r="B80" s="23" t="s">
        <v>436</v>
      </c>
      <c r="C80" s="23" t="s">
        <v>140</v>
      </c>
      <c r="D80" s="23">
        <v>2030</v>
      </c>
      <c r="E80" s="3">
        <v>0.54879999999999995</v>
      </c>
    </row>
    <row r="81" spans="2:5" x14ac:dyDescent="0.25">
      <c r="B81" s="23" t="s">
        <v>437</v>
      </c>
      <c r="C81" s="23" t="s">
        <v>140</v>
      </c>
      <c r="D81" s="23">
        <v>2050</v>
      </c>
      <c r="E81" s="3">
        <v>0.50960000000000005</v>
      </c>
    </row>
    <row r="82" spans="2:5" x14ac:dyDescent="0.25">
      <c r="B82" s="23" t="s">
        <v>438</v>
      </c>
      <c r="C82" s="23" t="s">
        <v>260</v>
      </c>
      <c r="D82" s="23">
        <v>2020</v>
      </c>
      <c r="E82" s="3">
        <v>0.70809947244281901</v>
      </c>
    </row>
    <row r="83" spans="2:5" x14ac:dyDescent="0.25">
      <c r="B83" s="23" t="s">
        <v>439</v>
      </c>
      <c r="C83" s="23" t="s">
        <v>260</v>
      </c>
      <c r="D83" s="23">
        <v>2020</v>
      </c>
      <c r="E83" s="3">
        <v>0.91930076488915102</v>
      </c>
    </row>
    <row r="84" spans="2:5" x14ac:dyDescent="0.25">
      <c r="B84" s="23" t="s">
        <v>440</v>
      </c>
      <c r="C84" s="23" t="s">
        <v>260</v>
      </c>
      <c r="D84" s="23">
        <v>2030</v>
      </c>
      <c r="E84" s="3">
        <v>0.83128260654870001</v>
      </c>
    </row>
    <row r="85" spans="2:5" x14ac:dyDescent="0.25">
      <c r="B85" s="23" t="s">
        <v>441</v>
      </c>
      <c r="C85" s="23" t="s">
        <v>260</v>
      </c>
      <c r="D85" s="23">
        <v>2030</v>
      </c>
      <c r="E85" s="3">
        <v>0.66561407563359698</v>
      </c>
    </row>
    <row r="86" spans="2:5" x14ac:dyDescent="0.25">
      <c r="B86" s="23" t="s">
        <v>442</v>
      </c>
      <c r="C86" s="23" t="s">
        <v>260</v>
      </c>
      <c r="D86" s="23">
        <v>2050</v>
      </c>
      <c r="E86" s="3">
        <v>0.743264448208249</v>
      </c>
    </row>
    <row r="87" spans="2:5" x14ac:dyDescent="0.25">
      <c r="B87" s="23" t="s">
        <v>443</v>
      </c>
      <c r="C87" s="23" t="s">
        <v>260</v>
      </c>
      <c r="D87" s="23">
        <v>2050</v>
      </c>
      <c r="E87" s="3">
        <v>0.599051827574139</v>
      </c>
    </row>
    <row r="88" spans="2:5" x14ac:dyDescent="0.25">
      <c r="B88" s="23" t="s">
        <v>444</v>
      </c>
      <c r="C88" s="23" t="s">
        <v>260</v>
      </c>
      <c r="D88" s="23">
        <v>2030</v>
      </c>
      <c r="E88" s="3">
        <v>0.58035599999999998</v>
      </c>
    </row>
    <row r="89" spans="2:5" x14ac:dyDescent="0.25">
      <c r="B89" s="23" t="s">
        <v>445</v>
      </c>
      <c r="C89" s="23" t="s">
        <v>260</v>
      </c>
      <c r="D89" s="23">
        <v>2050</v>
      </c>
      <c r="E89" s="3">
        <v>0.52232040000000002</v>
      </c>
    </row>
    <row r="90" spans="2:5" x14ac:dyDescent="0.25">
      <c r="B90" s="23" t="s">
        <v>446</v>
      </c>
      <c r="C90" s="23" t="s">
        <v>260</v>
      </c>
      <c r="D90" s="23">
        <v>2020</v>
      </c>
      <c r="E90" s="3">
        <v>0.64483999999999997</v>
      </c>
    </row>
    <row r="91" spans="2:5" x14ac:dyDescent="0.25">
      <c r="B91" s="23" t="s">
        <v>447</v>
      </c>
      <c r="C91" s="23" t="s">
        <v>260</v>
      </c>
      <c r="D91" s="23">
        <v>2030</v>
      </c>
      <c r="E91" s="3">
        <v>0.58035599999999998</v>
      </c>
    </row>
    <row r="92" spans="2:5" x14ac:dyDescent="0.25">
      <c r="B92" s="23" t="s">
        <v>448</v>
      </c>
      <c r="C92" s="23" t="s">
        <v>260</v>
      </c>
      <c r="D92" s="23">
        <v>2020</v>
      </c>
      <c r="E92" s="3">
        <v>0.64483999999999997</v>
      </c>
    </row>
    <row r="93" spans="2:5" x14ac:dyDescent="0.25">
      <c r="B93" s="23" t="s">
        <v>449</v>
      </c>
      <c r="C93" s="23" t="s">
        <v>260</v>
      </c>
      <c r="D93" s="23">
        <v>2030</v>
      </c>
      <c r="E93" s="3">
        <v>0.58035599999999998</v>
      </c>
    </row>
    <row r="94" spans="2:5" x14ac:dyDescent="0.25">
      <c r="B94" s="23" t="s">
        <v>450</v>
      </c>
      <c r="C94" s="23" t="s">
        <v>260</v>
      </c>
      <c r="D94" s="23">
        <v>2050</v>
      </c>
      <c r="E94" s="3">
        <v>0.52232040000000002</v>
      </c>
    </row>
    <row r="95" spans="2:5" x14ac:dyDescent="0.25">
      <c r="B95" s="23" t="s">
        <v>451</v>
      </c>
      <c r="C95" s="23" t="s">
        <v>260</v>
      </c>
      <c r="D95" s="23">
        <v>2050</v>
      </c>
      <c r="E95" s="3">
        <v>0.52232040000000002</v>
      </c>
    </row>
    <row r="96" spans="2:5" x14ac:dyDescent="0.25">
      <c r="B96" s="23" t="s">
        <v>452</v>
      </c>
      <c r="C96" s="23" t="s">
        <v>260</v>
      </c>
      <c r="D96" s="23">
        <v>2020</v>
      </c>
      <c r="E96" s="3">
        <v>0.64483999999999997</v>
      </c>
    </row>
    <row r="97" spans="2:5" x14ac:dyDescent="0.25">
      <c r="B97" s="23" t="s">
        <v>453</v>
      </c>
      <c r="C97" s="23" t="s">
        <v>260</v>
      </c>
      <c r="D97" s="23">
        <v>2020</v>
      </c>
      <c r="E97" s="3">
        <v>0.64483999999999997</v>
      </c>
    </row>
    <row r="98" spans="2:5" x14ac:dyDescent="0.25">
      <c r="B98" s="23" t="s">
        <v>454</v>
      </c>
      <c r="C98" s="23" t="s">
        <v>260</v>
      </c>
      <c r="D98" s="23">
        <v>2020</v>
      </c>
      <c r="E98" s="3">
        <v>1.4669693056741799</v>
      </c>
    </row>
    <row r="99" spans="2:5" x14ac:dyDescent="0.25">
      <c r="B99" s="23" t="s">
        <v>455</v>
      </c>
      <c r="C99" s="23" t="s">
        <v>260</v>
      </c>
      <c r="D99" s="23">
        <v>2030</v>
      </c>
      <c r="E99" s="3">
        <v>0.58035599999999998</v>
      </c>
    </row>
    <row r="100" spans="2:5" x14ac:dyDescent="0.25">
      <c r="B100" s="23" t="s">
        <v>456</v>
      </c>
      <c r="C100" s="23" t="s">
        <v>260</v>
      </c>
      <c r="D100" s="23">
        <v>2030</v>
      </c>
      <c r="E100" s="3">
        <v>1.3691713519625599</v>
      </c>
    </row>
    <row r="101" spans="2:5" x14ac:dyDescent="0.25">
      <c r="B101" s="23" t="s">
        <v>457</v>
      </c>
      <c r="C101" s="23" t="s">
        <v>260</v>
      </c>
      <c r="D101" s="23">
        <v>2050</v>
      </c>
      <c r="E101" s="3">
        <v>1.17357544453934</v>
      </c>
    </row>
    <row r="102" spans="2:5" x14ac:dyDescent="0.25">
      <c r="B102" s="23" t="s">
        <v>458</v>
      </c>
      <c r="C102" s="23" t="s">
        <v>260</v>
      </c>
      <c r="D102" s="23">
        <v>2050</v>
      </c>
      <c r="E102" s="3">
        <v>0.52232040000000002</v>
      </c>
    </row>
    <row r="103" spans="2:5" x14ac:dyDescent="0.25">
      <c r="B103" s="23" t="s">
        <v>459</v>
      </c>
      <c r="C103" s="23" t="s">
        <v>153</v>
      </c>
      <c r="D103" s="23">
        <v>2020</v>
      </c>
      <c r="E103" s="3">
        <v>1.4350213544844399E-3</v>
      </c>
    </row>
    <row r="104" spans="2:5" x14ac:dyDescent="0.25">
      <c r="B104" s="23" t="s">
        <v>460</v>
      </c>
      <c r="C104" s="23" t="s">
        <v>153</v>
      </c>
      <c r="D104" s="23">
        <v>2030</v>
      </c>
      <c r="E104" s="3">
        <v>1.3745333953250501E-3</v>
      </c>
    </row>
    <row r="105" spans="2:5" x14ac:dyDescent="0.25">
      <c r="B105" s="23" t="s">
        <v>461</v>
      </c>
      <c r="C105" s="23" t="s">
        <v>153</v>
      </c>
      <c r="D105" s="23">
        <v>2050</v>
      </c>
      <c r="E105" s="3">
        <v>1.21282358411034E-3</v>
      </c>
    </row>
    <row r="106" spans="2:5" x14ac:dyDescent="0.25">
      <c r="B106" s="23" t="s">
        <v>462</v>
      </c>
      <c r="C106" s="23" t="s">
        <v>153</v>
      </c>
      <c r="D106" s="23">
        <v>2020</v>
      </c>
      <c r="E106" s="3">
        <v>4.4269488900361398E-4</v>
      </c>
    </row>
    <row r="107" spans="2:5" x14ac:dyDescent="0.25">
      <c r="B107" s="23" t="s">
        <v>463</v>
      </c>
      <c r="C107" s="23" t="s">
        <v>153</v>
      </c>
      <c r="D107" s="23">
        <v>2030</v>
      </c>
      <c r="E107" s="3">
        <v>4.2403474134627002E-4</v>
      </c>
    </row>
    <row r="108" spans="2:5" x14ac:dyDescent="0.25">
      <c r="B108" s="23" t="s">
        <v>464</v>
      </c>
      <c r="C108" s="23" t="s">
        <v>153</v>
      </c>
      <c r="D108" s="23">
        <v>2050</v>
      </c>
      <c r="E108" s="3">
        <v>3.74148301187885E-4</v>
      </c>
    </row>
    <row r="109" spans="2:5" x14ac:dyDescent="0.25">
      <c r="B109" s="23" t="s">
        <v>465</v>
      </c>
      <c r="C109" s="23" t="s">
        <v>153</v>
      </c>
      <c r="D109" s="23">
        <v>2010</v>
      </c>
      <c r="E109" s="3">
        <v>2.9399999999999999E-3</v>
      </c>
    </row>
    <row r="110" spans="2:5" x14ac:dyDescent="0.25">
      <c r="B110" s="23" t="s">
        <v>466</v>
      </c>
      <c r="C110" s="23" t="s">
        <v>153</v>
      </c>
      <c r="D110" s="23">
        <v>2010</v>
      </c>
      <c r="E110" s="3">
        <v>3.8168991136938802E-3</v>
      </c>
    </row>
    <row r="111" spans="2:5" x14ac:dyDescent="0.25">
      <c r="B111" s="23" t="s">
        <v>467</v>
      </c>
      <c r="C111" s="23" t="s">
        <v>9</v>
      </c>
      <c r="D111" s="23">
        <v>2020</v>
      </c>
      <c r="E111" s="3">
        <v>0.60418518689291201</v>
      </c>
    </row>
    <row r="112" spans="2:5" x14ac:dyDescent="0.25">
      <c r="B112" s="23" t="s">
        <v>468</v>
      </c>
      <c r="C112" s="23" t="s">
        <v>9</v>
      </c>
      <c r="D112" s="23">
        <v>2030</v>
      </c>
      <c r="E112" s="3">
        <v>0.500063028115734</v>
      </c>
    </row>
    <row r="113" spans="2:5" x14ac:dyDescent="0.25">
      <c r="B113" s="23" t="s">
        <v>469</v>
      </c>
      <c r="C113" s="23" t="s">
        <v>9</v>
      </c>
      <c r="D113" s="23">
        <v>2050</v>
      </c>
      <c r="E113" s="3">
        <v>0.40462546548787098</v>
      </c>
    </row>
    <row r="114" spans="2:5" x14ac:dyDescent="0.25">
      <c r="B114" s="23" t="s">
        <v>470</v>
      </c>
      <c r="C114" s="23" t="s">
        <v>9</v>
      </c>
      <c r="D114" s="23">
        <v>2020</v>
      </c>
      <c r="E114" s="3">
        <v>1.0445819999999999</v>
      </c>
    </row>
    <row r="115" spans="2:5" x14ac:dyDescent="0.25">
      <c r="B115" s="23" t="s">
        <v>471</v>
      </c>
      <c r="C115" s="23" t="s">
        <v>9</v>
      </c>
      <c r="D115" s="23">
        <v>2030</v>
      </c>
      <c r="E115" s="3">
        <v>0.83566560000000001</v>
      </c>
    </row>
    <row r="116" spans="2:5" x14ac:dyDescent="0.25">
      <c r="B116" s="23" t="s">
        <v>472</v>
      </c>
      <c r="C116" s="23" t="s">
        <v>9</v>
      </c>
      <c r="D116" s="23">
        <v>2050</v>
      </c>
      <c r="E116" s="3">
        <v>0.71031575999999996</v>
      </c>
    </row>
    <row r="117" spans="2:5" x14ac:dyDescent="0.25">
      <c r="B117" s="23" t="s">
        <v>473</v>
      </c>
      <c r="C117" s="23" t="s">
        <v>9</v>
      </c>
      <c r="D117" s="23">
        <v>2020</v>
      </c>
      <c r="E117" s="3">
        <v>1.22451</v>
      </c>
    </row>
    <row r="118" spans="2:5" x14ac:dyDescent="0.25">
      <c r="B118" s="23" t="s">
        <v>474</v>
      </c>
      <c r="C118" s="23" t="s">
        <v>9</v>
      </c>
      <c r="D118" s="23">
        <v>2030</v>
      </c>
      <c r="E118" s="3">
        <v>0.97960800000000003</v>
      </c>
    </row>
    <row r="119" spans="2:5" x14ac:dyDescent="0.25">
      <c r="B119" s="23" t="s">
        <v>475</v>
      </c>
      <c r="C119" s="23" t="s">
        <v>9</v>
      </c>
      <c r="D119" s="23">
        <v>2050</v>
      </c>
      <c r="E119" s="3">
        <v>0.83266680000000004</v>
      </c>
    </row>
    <row r="120" spans="2:5" x14ac:dyDescent="0.25">
      <c r="B120" s="23" t="s">
        <v>476</v>
      </c>
      <c r="C120" s="23" t="s">
        <v>260</v>
      </c>
      <c r="D120" s="23">
        <v>2016</v>
      </c>
      <c r="E120" s="3">
        <v>0.34215626733333299</v>
      </c>
    </row>
    <row r="121" spans="2:5" x14ac:dyDescent="0.25">
      <c r="B121" s="23" t="s">
        <v>477</v>
      </c>
      <c r="C121" s="23" t="s">
        <v>9</v>
      </c>
      <c r="D121" s="23">
        <v>2020</v>
      </c>
      <c r="E121" s="3">
        <v>0.30987887264150898</v>
      </c>
    </row>
    <row r="122" spans="2:5" x14ac:dyDescent="0.25">
      <c r="B122" s="23" t="s">
        <v>478</v>
      </c>
      <c r="C122" s="23" t="s">
        <v>9</v>
      </c>
      <c r="D122" s="23">
        <v>2030</v>
      </c>
      <c r="E122" s="3">
        <v>0.25165920566037697</v>
      </c>
    </row>
    <row r="123" spans="2:5" x14ac:dyDescent="0.25">
      <c r="B123" s="23" t="s">
        <v>479</v>
      </c>
      <c r="C123" s="23" t="s">
        <v>9</v>
      </c>
      <c r="D123" s="23">
        <v>2050</v>
      </c>
      <c r="E123" s="3">
        <v>0.25165920566037697</v>
      </c>
    </row>
    <row r="124" spans="2:5" x14ac:dyDescent="0.25">
      <c r="B124" s="23" t="s">
        <v>480</v>
      </c>
      <c r="C124" s="23" t="s">
        <v>9</v>
      </c>
      <c r="D124" s="23">
        <v>2020</v>
      </c>
      <c r="E124" s="3">
        <v>1.21428571428571</v>
      </c>
    </row>
    <row r="125" spans="2:5" x14ac:dyDescent="0.25">
      <c r="B125" s="23" t="s">
        <v>481</v>
      </c>
      <c r="C125" s="23" t="s">
        <v>9</v>
      </c>
      <c r="D125" s="23">
        <v>2030</v>
      </c>
      <c r="E125" s="3">
        <v>1.0952380952381</v>
      </c>
    </row>
    <row r="126" spans="2:5" x14ac:dyDescent="0.25">
      <c r="B126" s="23" t="s">
        <v>482</v>
      </c>
      <c r="C126" s="23" t="s">
        <v>9</v>
      </c>
      <c r="D126" s="23">
        <v>2050</v>
      </c>
      <c r="E126" s="3">
        <v>0.88095238095238104</v>
      </c>
    </row>
    <row r="127" spans="2:5" x14ac:dyDescent="0.25">
      <c r="B127" s="23" t="s">
        <v>483</v>
      </c>
      <c r="C127" s="23" t="s">
        <v>259</v>
      </c>
      <c r="D127" s="23">
        <v>2020</v>
      </c>
      <c r="E127" s="3">
        <v>1.9894000000000001</v>
      </c>
    </row>
    <row r="128" spans="2:5" x14ac:dyDescent="0.25">
      <c r="B128" s="23" t="s">
        <v>484</v>
      </c>
      <c r="C128" s="23" t="s">
        <v>259</v>
      </c>
      <c r="D128" s="23">
        <v>2030</v>
      </c>
      <c r="E128" s="3">
        <v>1.9501999999999999</v>
      </c>
    </row>
    <row r="129" spans="2:5" x14ac:dyDescent="0.25">
      <c r="B129" s="23" t="s">
        <v>485</v>
      </c>
      <c r="C129" s="23" t="s">
        <v>259</v>
      </c>
      <c r="D129" s="23">
        <v>2050</v>
      </c>
      <c r="E129" s="3">
        <v>1.8522000000000001</v>
      </c>
    </row>
    <row r="130" spans="2:5" x14ac:dyDescent="0.25">
      <c r="B130" s="23" t="s">
        <v>486</v>
      </c>
      <c r="C130" s="23" t="s">
        <v>259</v>
      </c>
      <c r="D130" s="23">
        <v>2020</v>
      </c>
      <c r="E130" s="3">
        <v>1.9894000000000001</v>
      </c>
    </row>
    <row r="131" spans="2:5" x14ac:dyDescent="0.25">
      <c r="B131" s="23" t="s">
        <v>487</v>
      </c>
      <c r="C131" s="23" t="s">
        <v>259</v>
      </c>
      <c r="D131" s="23">
        <v>2030</v>
      </c>
      <c r="E131" s="3">
        <v>1.9501999999999999</v>
      </c>
    </row>
    <row r="132" spans="2:5" x14ac:dyDescent="0.25">
      <c r="B132" s="23" t="s">
        <v>488</v>
      </c>
      <c r="C132" s="23" t="s">
        <v>259</v>
      </c>
      <c r="D132" s="23">
        <v>2050</v>
      </c>
      <c r="E132" s="3">
        <v>1.8522000000000001</v>
      </c>
    </row>
    <row r="133" spans="2:5" x14ac:dyDescent="0.25">
      <c r="B133" s="23" t="s">
        <v>489</v>
      </c>
      <c r="C133" s="23" t="s">
        <v>141</v>
      </c>
      <c r="D133" s="23">
        <v>2020</v>
      </c>
      <c r="E133" s="3">
        <v>7.6736656134377998</v>
      </c>
    </row>
    <row r="134" spans="2:5" x14ac:dyDescent="0.25">
      <c r="B134" s="23" t="s">
        <v>490</v>
      </c>
      <c r="C134" s="23" t="s">
        <v>141</v>
      </c>
      <c r="D134" s="23">
        <v>2020</v>
      </c>
      <c r="E134" s="3">
        <v>8.9194232257455006</v>
      </c>
    </row>
    <row r="135" spans="2:5" x14ac:dyDescent="0.25">
      <c r="B135" s="23" t="s">
        <v>491</v>
      </c>
      <c r="C135" s="23" t="s">
        <v>141</v>
      </c>
      <c r="D135" s="23">
        <v>2020</v>
      </c>
      <c r="E135" s="3">
        <v>10.245668865323101</v>
      </c>
    </row>
    <row r="136" spans="2:5" x14ac:dyDescent="0.25">
      <c r="B136" s="23" t="s">
        <v>492</v>
      </c>
      <c r="C136" s="23" t="s">
        <v>141</v>
      </c>
      <c r="D136" s="23">
        <v>2030</v>
      </c>
      <c r="E136" s="3">
        <v>7.2875442595951601</v>
      </c>
    </row>
    <row r="137" spans="2:5" x14ac:dyDescent="0.25">
      <c r="B137" s="23" t="s">
        <v>493</v>
      </c>
      <c r="C137" s="23" t="s">
        <v>141</v>
      </c>
      <c r="D137" s="23">
        <v>2030</v>
      </c>
      <c r="E137" s="3">
        <v>8.49232640499201</v>
      </c>
    </row>
    <row r="138" spans="2:5" x14ac:dyDescent="0.25">
      <c r="B138" s="23" t="s">
        <v>494</v>
      </c>
      <c r="C138" s="23" t="s">
        <v>141</v>
      </c>
      <c r="D138" s="23">
        <v>2050</v>
      </c>
      <c r="E138" s="3">
        <v>7.4413996523345602</v>
      </c>
    </row>
    <row r="139" spans="2:5" x14ac:dyDescent="0.25">
      <c r="B139" s="23" t="s">
        <v>495</v>
      </c>
      <c r="C139" s="23" t="s">
        <v>141</v>
      </c>
      <c r="D139" s="23">
        <v>2030</v>
      </c>
      <c r="E139" s="3">
        <v>9.3698295121034505</v>
      </c>
    </row>
    <row r="140" spans="2:5" x14ac:dyDescent="0.25">
      <c r="B140" s="23" t="s">
        <v>496</v>
      </c>
      <c r="C140" s="23" t="s">
        <v>141</v>
      </c>
      <c r="D140" s="23">
        <v>2050</v>
      </c>
      <c r="E140" s="3">
        <v>8.6363644846640497</v>
      </c>
    </row>
    <row r="141" spans="2:5" x14ac:dyDescent="0.25">
      <c r="B141" s="23" t="s">
        <v>497</v>
      </c>
      <c r="C141" s="23" t="s">
        <v>141</v>
      </c>
      <c r="D141" s="23">
        <v>2050</v>
      </c>
      <c r="E141" s="3">
        <v>6.3763537516850501</v>
      </c>
    </row>
    <row r="142" spans="2:5" x14ac:dyDescent="0.25">
      <c r="B142" s="23" t="s">
        <v>498</v>
      </c>
      <c r="C142" s="23" t="s">
        <v>141</v>
      </c>
      <c r="D142" s="23">
        <v>2020</v>
      </c>
      <c r="E142" s="3">
        <v>7.6736656134377998</v>
      </c>
    </row>
    <row r="143" spans="2:5" x14ac:dyDescent="0.25">
      <c r="B143" s="23" t="s">
        <v>499</v>
      </c>
      <c r="C143" s="23" t="s">
        <v>141</v>
      </c>
      <c r="D143" s="23">
        <v>2020</v>
      </c>
      <c r="E143" s="3">
        <v>8.9194232257455006</v>
      </c>
    </row>
    <row r="144" spans="2:5" x14ac:dyDescent="0.25">
      <c r="B144" s="23" t="s">
        <v>500</v>
      </c>
      <c r="C144" s="23" t="s">
        <v>141</v>
      </c>
      <c r="D144" s="23">
        <v>2020</v>
      </c>
      <c r="E144" s="3">
        <v>10.245668865323101</v>
      </c>
    </row>
    <row r="145" spans="2:5" x14ac:dyDescent="0.25">
      <c r="B145" s="23" t="s">
        <v>501</v>
      </c>
      <c r="C145" s="23" t="s">
        <v>141</v>
      </c>
      <c r="D145" s="23">
        <v>2030</v>
      </c>
      <c r="E145" s="3">
        <v>7.2875442595951601</v>
      </c>
    </row>
    <row r="146" spans="2:5" x14ac:dyDescent="0.25">
      <c r="B146" s="23" t="s">
        <v>502</v>
      </c>
      <c r="C146" s="23" t="s">
        <v>141</v>
      </c>
      <c r="D146" s="23">
        <v>2030</v>
      </c>
      <c r="E146" s="3">
        <v>8.49232640499201</v>
      </c>
    </row>
    <row r="147" spans="2:5" x14ac:dyDescent="0.25">
      <c r="B147" s="23" t="s">
        <v>503</v>
      </c>
      <c r="C147" s="23" t="s">
        <v>141</v>
      </c>
      <c r="D147" s="23">
        <v>2050</v>
      </c>
      <c r="E147" s="3">
        <v>7.4413996523345602</v>
      </c>
    </row>
    <row r="148" spans="2:5" x14ac:dyDescent="0.25">
      <c r="B148" s="23" t="s">
        <v>504</v>
      </c>
      <c r="C148" s="23" t="s">
        <v>141</v>
      </c>
      <c r="D148" s="23">
        <v>2030</v>
      </c>
      <c r="E148" s="3">
        <v>9.3698295121034505</v>
      </c>
    </row>
    <row r="149" spans="2:5" x14ac:dyDescent="0.25">
      <c r="B149" s="23" t="s">
        <v>505</v>
      </c>
      <c r="C149" s="23" t="s">
        <v>141</v>
      </c>
      <c r="D149" s="23">
        <v>2050</v>
      </c>
      <c r="E149" s="3">
        <v>8.6363644846640497</v>
      </c>
    </row>
    <row r="150" spans="2:5" x14ac:dyDescent="0.25">
      <c r="B150" s="23" t="s">
        <v>506</v>
      </c>
      <c r="C150" s="23" t="s">
        <v>141</v>
      </c>
      <c r="D150" s="23">
        <v>2050</v>
      </c>
      <c r="E150" s="3">
        <v>6.3763537516850501</v>
      </c>
    </row>
    <row r="151" spans="2:5" x14ac:dyDescent="0.25">
      <c r="B151" s="23" t="s">
        <v>507</v>
      </c>
      <c r="C151" s="23" t="s">
        <v>140</v>
      </c>
      <c r="D151" s="23">
        <v>2020</v>
      </c>
      <c r="E151" s="3">
        <v>1.274</v>
      </c>
    </row>
    <row r="152" spans="2:5" x14ac:dyDescent="0.25">
      <c r="B152" s="23" t="s">
        <v>508</v>
      </c>
      <c r="C152" s="23" t="s">
        <v>140</v>
      </c>
      <c r="D152" s="23">
        <v>2030</v>
      </c>
      <c r="E152" s="3">
        <v>1.274</v>
      </c>
    </row>
    <row r="153" spans="2:5" x14ac:dyDescent="0.25">
      <c r="B153" s="23" t="s">
        <v>509</v>
      </c>
      <c r="C153" s="23" t="s">
        <v>140</v>
      </c>
      <c r="D153" s="23">
        <v>2050</v>
      </c>
      <c r="E153" s="3">
        <v>1.274</v>
      </c>
    </row>
    <row r="154" spans="2:5" x14ac:dyDescent="0.25">
      <c r="B154" s="23" t="s">
        <v>510</v>
      </c>
      <c r="C154" s="23" t="s">
        <v>140</v>
      </c>
      <c r="D154" s="23">
        <v>2020</v>
      </c>
      <c r="E154" s="3">
        <v>1.274</v>
      </c>
    </row>
    <row r="155" spans="2:5" x14ac:dyDescent="0.25">
      <c r="B155" s="23" t="s">
        <v>511</v>
      </c>
      <c r="C155" s="23" t="s">
        <v>140</v>
      </c>
      <c r="D155" s="23">
        <v>2030</v>
      </c>
      <c r="E155" s="3">
        <v>1.274</v>
      </c>
    </row>
    <row r="156" spans="2:5" x14ac:dyDescent="0.25">
      <c r="B156" s="23" t="s">
        <v>512</v>
      </c>
      <c r="C156" s="23" t="s">
        <v>140</v>
      </c>
      <c r="D156" s="23">
        <v>2050</v>
      </c>
      <c r="E156" s="3">
        <v>1.274</v>
      </c>
    </row>
    <row r="157" spans="2:5" x14ac:dyDescent="0.25">
      <c r="B157" s="23" t="s">
        <v>513</v>
      </c>
      <c r="C157" s="23" t="s">
        <v>270</v>
      </c>
      <c r="D157" s="23">
        <v>2020</v>
      </c>
      <c r="E157" s="3">
        <v>5.4418297444372303</v>
      </c>
    </row>
    <row r="158" spans="2:5" x14ac:dyDescent="0.25">
      <c r="B158" s="23" t="s">
        <v>514</v>
      </c>
      <c r="C158" s="23" t="s">
        <v>270</v>
      </c>
      <c r="D158" s="23">
        <v>2030</v>
      </c>
      <c r="E158" s="3">
        <v>5.1755814053771996</v>
      </c>
    </row>
    <row r="159" spans="2:5" x14ac:dyDescent="0.25">
      <c r="B159" s="23" t="s">
        <v>515</v>
      </c>
      <c r="C159" s="23" t="s">
        <v>270</v>
      </c>
      <c r="D159" s="23">
        <v>2050</v>
      </c>
      <c r="E159" s="3">
        <v>4.6818851808186501</v>
      </c>
    </row>
    <row r="160" spans="2:5" x14ac:dyDescent="0.25">
      <c r="B160" s="23" t="s">
        <v>516</v>
      </c>
      <c r="C160" s="23" t="s">
        <v>270</v>
      </c>
      <c r="D160" s="23">
        <v>2020</v>
      </c>
      <c r="E160" s="3">
        <v>3.3175291168097898</v>
      </c>
    </row>
    <row r="161" spans="2:5" x14ac:dyDescent="0.25">
      <c r="B161" s="23" t="s">
        <v>517</v>
      </c>
      <c r="C161" s="23" t="s">
        <v>270</v>
      </c>
      <c r="D161" s="23">
        <v>2030</v>
      </c>
      <c r="E161" s="3">
        <v>3.2223667018783599</v>
      </c>
    </row>
    <row r="162" spans="2:5" x14ac:dyDescent="0.25">
      <c r="B162" s="23" t="s">
        <v>518</v>
      </c>
      <c r="C162" s="23" t="s">
        <v>270</v>
      </c>
      <c r="D162" s="23">
        <v>2050</v>
      </c>
      <c r="E162" s="3">
        <v>2.91802124487028</v>
      </c>
    </row>
    <row r="163" spans="2:5" x14ac:dyDescent="0.25">
      <c r="B163" s="23" t="s">
        <v>519</v>
      </c>
      <c r="C163" s="23" t="s">
        <v>270</v>
      </c>
      <c r="D163" s="23">
        <v>2020</v>
      </c>
      <c r="E163" s="3">
        <v>2.57628945881951</v>
      </c>
    </row>
    <row r="164" spans="2:5" x14ac:dyDescent="0.25">
      <c r="B164" s="23" t="s">
        <v>520</v>
      </c>
      <c r="C164" s="23" t="s">
        <v>270</v>
      </c>
      <c r="D164" s="23">
        <v>2030</v>
      </c>
      <c r="E164" s="3">
        <v>2.4432004440073101</v>
      </c>
    </row>
    <row r="165" spans="2:5" x14ac:dyDescent="0.25">
      <c r="B165" s="23" t="s">
        <v>521</v>
      </c>
      <c r="C165" s="23" t="s">
        <v>270</v>
      </c>
      <c r="D165" s="23">
        <v>2050</v>
      </c>
      <c r="E165" s="3">
        <v>2.21014472477603</v>
      </c>
    </row>
    <row r="166" spans="2:5" x14ac:dyDescent="0.25">
      <c r="B166" s="23" t="s">
        <v>522</v>
      </c>
      <c r="C166" s="23" t="s">
        <v>270</v>
      </c>
      <c r="D166" s="23">
        <v>2020</v>
      </c>
      <c r="E166" s="3">
        <v>5.4418297444372303</v>
      </c>
    </row>
    <row r="167" spans="2:5" x14ac:dyDescent="0.25">
      <c r="B167" s="23" t="s">
        <v>523</v>
      </c>
      <c r="C167" s="23" t="s">
        <v>270</v>
      </c>
      <c r="D167" s="23">
        <v>2030</v>
      </c>
      <c r="E167" s="3">
        <v>5.1755814053771996</v>
      </c>
    </row>
    <row r="168" spans="2:5" x14ac:dyDescent="0.25">
      <c r="B168" s="23" t="s">
        <v>524</v>
      </c>
      <c r="C168" s="23" t="s">
        <v>270</v>
      </c>
      <c r="D168" s="23">
        <v>2050</v>
      </c>
      <c r="E168" s="3">
        <v>4.6818851808186501</v>
      </c>
    </row>
    <row r="169" spans="2:5" x14ac:dyDescent="0.25">
      <c r="B169" s="23" t="s">
        <v>525</v>
      </c>
      <c r="C169" s="23" t="s">
        <v>270</v>
      </c>
      <c r="D169" s="23">
        <v>2020</v>
      </c>
      <c r="E169" s="3">
        <v>3.3175291168097898</v>
      </c>
    </row>
    <row r="170" spans="2:5" x14ac:dyDescent="0.25">
      <c r="B170" s="23" t="s">
        <v>526</v>
      </c>
      <c r="C170" s="23" t="s">
        <v>270</v>
      </c>
      <c r="D170" s="23">
        <v>2030</v>
      </c>
      <c r="E170" s="3">
        <v>3.2223667018783599</v>
      </c>
    </row>
    <row r="171" spans="2:5" x14ac:dyDescent="0.25">
      <c r="B171" s="23" t="s">
        <v>527</v>
      </c>
      <c r="C171" s="23" t="s">
        <v>270</v>
      </c>
      <c r="D171" s="23">
        <v>2050</v>
      </c>
      <c r="E171" s="3">
        <v>2.91802124487028</v>
      </c>
    </row>
    <row r="172" spans="2:5" x14ac:dyDescent="0.25">
      <c r="B172" s="23" t="s">
        <v>528</v>
      </c>
      <c r="C172" s="23" t="s">
        <v>270</v>
      </c>
      <c r="D172" s="23">
        <v>2020</v>
      </c>
      <c r="E172" s="3">
        <v>2.57628945881951</v>
      </c>
    </row>
    <row r="173" spans="2:5" x14ac:dyDescent="0.25">
      <c r="B173" s="23" t="s">
        <v>529</v>
      </c>
      <c r="C173" s="23" t="s">
        <v>270</v>
      </c>
      <c r="D173" s="23">
        <v>2030</v>
      </c>
      <c r="E173" s="3">
        <v>2.4432004440073101</v>
      </c>
    </row>
    <row r="174" spans="2:5" x14ac:dyDescent="0.25">
      <c r="B174" s="23" t="s">
        <v>530</v>
      </c>
      <c r="C174" s="23" t="s">
        <v>270</v>
      </c>
      <c r="D174" s="23">
        <v>2050</v>
      </c>
      <c r="E174" s="3">
        <v>2.21014472477603</v>
      </c>
    </row>
    <row r="175" spans="2:5" x14ac:dyDescent="0.25">
      <c r="B175" s="23" t="s">
        <v>531</v>
      </c>
      <c r="C175" s="23" t="s">
        <v>198</v>
      </c>
      <c r="D175" s="23">
        <v>2020</v>
      </c>
      <c r="E175" s="3">
        <v>5.88604768372186</v>
      </c>
    </row>
    <row r="176" spans="2:5" x14ac:dyDescent="0.25">
      <c r="B176" s="23" t="s">
        <v>532</v>
      </c>
      <c r="C176" s="23" t="s">
        <v>198</v>
      </c>
      <c r="D176" s="23">
        <v>2030</v>
      </c>
      <c r="E176" s="3">
        <v>5.5983504670808104</v>
      </c>
    </row>
    <row r="177" spans="2:5" x14ac:dyDescent="0.25">
      <c r="B177" s="23" t="s">
        <v>533</v>
      </c>
      <c r="C177" s="23" t="s">
        <v>198</v>
      </c>
      <c r="D177" s="23">
        <v>2050</v>
      </c>
      <c r="E177" s="3">
        <v>5.1249710683904102</v>
      </c>
    </row>
    <row r="178" spans="2:5" x14ac:dyDescent="0.25">
      <c r="B178" s="23" t="s">
        <v>534</v>
      </c>
      <c r="C178" s="23" t="s">
        <v>198</v>
      </c>
      <c r="D178" s="23">
        <v>2020</v>
      </c>
      <c r="E178" s="3">
        <v>3.24468363374395</v>
      </c>
    </row>
    <row r="179" spans="2:5" x14ac:dyDescent="0.25">
      <c r="B179" s="23" t="s">
        <v>535</v>
      </c>
      <c r="C179" s="23" t="s">
        <v>198</v>
      </c>
      <c r="D179" s="23">
        <v>2030</v>
      </c>
      <c r="E179" s="3">
        <v>3.0750291967813501</v>
      </c>
    </row>
    <row r="180" spans="2:5" x14ac:dyDescent="0.25">
      <c r="B180" s="23" t="s">
        <v>536</v>
      </c>
      <c r="C180" s="23" t="s">
        <v>198</v>
      </c>
      <c r="D180" s="23">
        <v>2050</v>
      </c>
      <c r="E180" s="3">
        <v>2.7817036380009599</v>
      </c>
    </row>
    <row r="181" spans="2:5" x14ac:dyDescent="0.25">
      <c r="B181" s="23" t="s">
        <v>537</v>
      </c>
      <c r="C181" s="23" t="s">
        <v>198</v>
      </c>
      <c r="D181" s="23">
        <v>2020</v>
      </c>
      <c r="E181" s="3">
        <v>3.6890524215843801</v>
      </c>
    </row>
    <row r="182" spans="2:5" x14ac:dyDescent="0.25">
      <c r="B182" s="23" t="s">
        <v>538</v>
      </c>
      <c r="C182" s="23" t="s">
        <v>198</v>
      </c>
      <c r="D182" s="23">
        <v>2030</v>
      </c>
      <c r="E182" s="3">
        <v>3.49525864441335</v>
      </c>
    </row>
    <row r="183" spans="2:5" x14ac:dyDescent="0.25">
      <c r="B183" s="23" t="s">
        <v>539</v>
      </c>
      <c r="C183" s="23" t="s">
        <v>198</v>
      </c>
      <c r="D183" s="23">
        <v>2050</v>
      </c>
      <c r="E183" s="3">
        <v>3.2550487702556001</v>
      </c>
    </row>
    <row r="184" spans="2:5" x14ac:dyDescent="0.25">
      <c r="B184" s="23" t="s">
        <v>540</v>
      </c>
      <c r="C184" s="23" t="s">
        <v>198</v>
      </c>
      <c r="D184" s="23">
        <v>2020</v>
      </c>
      <c r="E184" s="3">
        <v>5.88604768372186</v>
      </c>
    </row>
    <row r="185" spans="2:5" x14ac:dyDescent="0.25">
      <c r="B185" s="23" t="s">
        <v>541</v>
      </c>
      <c r="C185" s="23" t="s">
        <v>198</v>
      </c>
      <c r="D185" s="23">
        <v>2030</v>
      </c>
      <c r="E185" s="3">
        <v>5.5983504670808104</v>
      </c>
    </row>
    <row r="186" spans="2:5" x14ac:dyDescent="0.25">
      <c r="B186" s="23" t="s">
        <v>542</v>
      </c>
      <c r="C186" s="23" t="s">
        <v>198</v>
      </c>
      <c r="D186" s="23">
        <v>2050</v>
      </c>
      <c r="E186" s="3">
        <v>5.1249710683904102</v>
      </c>
    </row>
    <row r="187" spans="2:5" x14ac:dyDescent="0.25">
      <c r="B187" s="23" t="s">
        <v>543</v>
      </c>
      <c r="C187" s="23" t="s">
        <v>198</v>
      </c>
      <c r="D187" s="23">
        <v>2020</v>
      </c>
      <c r="E187" s="3">
        <v>3.24468363374395</v>
      </c>
    </row>
    <row r="188" spans="2:5" x14ac:dyDescent="0.25">
      <c r="B188" s="23" t="s">
        <v>544</v>
      </c>
      <c r="C188" s="23" t="s">
        <v>198</v>
      </c>
      <c r="D188" s="23">
        <v>2030</v>
      </c>
      <c r="E188" s="3">
        <v>3.0750291967813501</v>
      </c>
    </row>
    <row r="189" spans="2:5" x14ac:dyDescent="0.25">
      <c r="B189" s="23" t="s">
        <v>545</v>
      </c>
      <c r="C189" s="23" t="s">
        <v>198</v>
      </c>
      <c r="D189" s="23">
        <v>2050</v>
      </c>
      <c r="E189" s="3">
        <v>2.7817036380009599</v>
      </c>
    </row>
    <row r="190" spans="2:5" x14ac:dyDescent="0.25">
      <c r="B190" s="23" t="s">
        <v>546</v>
      </c>
      <c r="C190" s="23" t="s">
        <v>198</v>
      </c>
      <c r="D190" s="23">
        <v>2020</v>
      </c>
      <c r="E190" s="3">
        <v>3.6890524215843801</v>
      </c>
    </row>
    <row r="191" spans="2:5" x14ac:dyDescent="0.25">
      <c r="B191" s="23" t="s">
        <v>547</v>
      </c>
      <c r="C191" s="23" t="s">
        <v>198</v>
      </c>
      <c r="D191" s="23">
        <v>2030</v>
      </c>
      <c r="E191" s="3">
        <v>3.49525864441335</v>
      </c>
    </row>
    <row r="192" spans="2:5" x14ac:dyDescent="0.25">
      <c r="B192" s="23" t="s">
        <v>548</v>
      </c>
      <c r="C192" s="23" t="s">
        <v>198</v>
      </c>
      <c r="D192" s="23">
        <v>2050</v>
      </c>
      <c r="E192" s="3">
        <v>3.2550487702556001</v>
      </c>
    </row>
    <row r="193" spans="2:5" x14ac:dyDescent="0.25">
      <c r="B193" s="23" t="s">
        <v>549</v>
      </c>
      <c r="C193" s="23" t="s">
        <v>271</v>
      </c>
      <c r="D193" s="23">
        <v>2020</v>
      </c>
      <c r="E193" s="3">
        <v>2.8608927781958098</v>
      </c>
    </row>
    <row r="194" spans="2:5" x14ac:dyDescent="0.25">
      <c r="B194" s="23" t="s">
        <v>550</v>
      </c>
      <c r="C194" s="23" t="s">
        <v>271</v>
      </c>
      <c r="D194" s="23">
        <v>2030</v>
      </c>
      <c r="E194" s="3">
        <v>2.7133392210451102</v>
      </c>
    </row>
    <row r="195" spans="2:5" x14ac:dyDescent="0.25">
      <c r="B195" s="23" t="s">
        <v>551</v>
      </c>
      <c r="C195" s="23" t="s">
        <v>271</v>
      </c>
      <c r="D195" s="23">
        <v>2050</v>
      </c>
      <c r="E195" s="3">
        <v>2.4877230430713499</v>
      </c>
    </row>
    <row r="196" spans="2:5" x14ac:dyDescent="0.25">
      <c r="B196" s="23" t="s">
        <v>552</v>
      </c>
      <c r="C196" s="23" t="s">
        <v>271</v>
      </c>
      <c r="D196" s="23">
        <v>2020</v>
      </c>
      <c r="E196" s="3">
        <v>2.8608927781958098</v>
      </c>
    </row>
    <row r="197" spans="2:5" x14ac:dyDescent="0.25">
      <c r="B197" s="23" t="s">
        <v>553</v>
      </c>
      <c r="C197" s="23" t="s">
        <v>271</v>
      </c>
      <c r="D197" s="23">
        <v>2030</v>
      </c>
      <c r="E197" s="3">
        <v>2.7133392210451102</v>
      </c>
    </row>
    <row r="198" spans="2:5" x14ac:dyDescent="0.25">
      <c r="B198" s="23" t="s">
        <v>554</v>
      </c>
      <c r="C198" s="23" t="s">
        <v>271</v>
      </c>
      <c r="D198" s="23">
        <v>2050</v>
      </c>
      <c r="E198" s="3">
        <v>2.4877230430713499</v>
      </c>
    </row>
    <row r="199" spans="2:5" x14ac:dyDescent="0.25">
      <c r="B199" s="23" t="s">
        <v>555</v>
      </c>
      <c r="C199" s="23" t="s">
        <v>271</v>
      </c>
      <c r="D199" s="23">
        <v>2020</v>
      </c>
      <c r="E199" s="3">
        <v>1.98898332782198</v>
      </c>
    </row>
    <row r="200" spans="2:5" x14ac:dyDescent="0.25">
      <c r="B200" s="23" t="s">
        <v>556</v>
      </c>
      <c r="C200" s="23" t="s">
        <v>271</v>
      </c>
      <c r="D200" s="23">
        <v>2030</v>
      </c>
      <c r="E200" s="3">
        <v>1.8867666262581</v>
      </c>
    </row>
    <row r="201" spans="2:5" x14ac:dyDescent="0.25">
      <c r="B201" s="23" t="s">
        <v>557</v>
      </c>
      <c r="C201" s="23" t="s">
        <v>271</v>
      </c>
      <c r="D201" s="23">
        <v>2050</v>
      </c>
      <c r="E201" s="3">
        <v>1.7067888638481601</v>
      </c>
    </row>
    <row r="202" spans="2:5" x14ac:dyDescent="0.25">
      <c r="B202" s="23" t="s">
        <v>558</v>
      </c>
      <c r="C202" s="23" t="s">
        <v>271</v>
      </c>
      <c r="D202" s="23">
        <v>2020</v>
      </c>
      <c r="E202" s="3">
        <v>1.9894000000000001</v>
      </c>
    </row>
    <row r="203" spans="2:5" x14ac:dyDescent="0.25">
      <c r="B203" s="23" t="s">
        <v>559</v>
      </c>
      <c r="C203" s="23" t="s">
        <v>271</v>
      </c>
      <c r="D203" s="23">
        <v>2030</v>
      </c>
      <c r="E203" s="3">
        <v>1.9501999999999999</v>
      </c>
    </row>
    <row r="204" spans="2:5" x14ac:dyDescent="0.25">
      <c r="B204" s="23" t="s">
        <v>560</v>
      </c>
      <c r="C204" s="23" t="s">
        <v>271</v>
      </c>
      <c r="D204" s="23">
        <v>2050</v>
      </c>
      <c r="E204" s="3">
        <v>1.8522000000000001</v>
      </c>
    </row>
    <row r="205" spans="2:5" x14ac:dyDescent="0.25">
      <c r="B205" s="23" t="s">
        <v>561</v>
      </c>
      <c r="C205" s="23" t="s">
        <v>271</v>
      </c>
      <c r="D205" s="23">
        <v>2020</v>
      </c>
      <c r="E205" s="3">
        <v>1.98898332782198</v>
      </c>
    </row>
    <row r="206" spans="2:5" x14ac:dyDescent="0.25">
      <c r="B206" s="23" t="s">
        <v>562</v>
      </c>
      <c r="C206" s="23" t="s">
        <v>271</v>
      </c>
      <c r="D206" s="23">
        <v>2030</v>
      </c>
      <c r="E206" s="3">
        <v>1.8867666262581</v>
      </c>
    </row>
    <row r="207" spans="2:5" x14ac:dyDescent="0.25">
      <c r="B207" s="23" t="s">
        <v>563</v>
      </c>
      <c r="C207" s="23" t="s">
        <v>271</v>
      </c>
      <c r="D207" s="23">
        <v>2050</v>
      </c>
      <c r="E207" s="3">
        <v>1.7067888638481601</v>
      </c>
    </row>
    <row r="208" spans="2:5" x14ac:dyDescent="0.25">
      <c r="B208" s="23" t="s">
        <v>564</v>
      </c>
      <c r="C208" s="23" t="s">
        <v>271</v>
      </c>
      <c r="D208" s="23">
        <v>2020</v>
      </c>
      <c r="E208" s="3">
        <v>1.9894000000000001</v>
      </c>
    </row>
    <row r="209" spans="2:5" x14ac:dyDescent="0.25">
      <c r="B209" s="23" t="s">
        <v>565</v>
      </c>
      <c r="C209" s="23" t="s">
        <v>271</v>
      </c>
      <c r="D209" s="23">
        <v>2030</v>
      </c>
      <c r="E209" s="3">
        <v>1.9501999999999999</v>
      </c>
    </row>
    <row r="210" spans="2:5" x14ac:dyDescent="0.25">
      <c r="B210" s="23" t="s">
        <v>566</v>
      </c>
      <c r="C210" s="23" t="s">
        <v>271</v>
      </c>
      <c r="D210" s="23">
        <v>2050</v>
      </c>
      <c r="E210" s="3">
        <v>1.8522000000000001</v>
      </c>
    </row>
    <row r="211" spans="2:5" x14ac:dyDescent="0.25">
      <c r="B211" s="23" t="s">
        <v>567</v>
      </c>
      <c r="C211" s="23" t="s">
        <v>261</v>
      </c>
      <c r="D211" s="23">
        <v>2010</v>
      </c>
      <c r="E211" s="3">
        <v>2.616514</v>
      </c>
    </row>
    <row r="212" spans="2:5" x14ac:dyDescent="0.25">
      <c r="B212" s="23" t="s">
        <v>568</v>
      </c>
      <c r="C212" s="23" t="s">
        <v>139</v>
      </c>
      <c r="D212" s="23">
        <v>2020</v>
      </c>
      <c r="E212" s="3">
        <v>2.2543880995608001</v>
      </c>
    </row>
    <row r="213" spans="2:5" x14ac:dyDescent="0.25">
      <c r="B213" s="23" t="s">
        <v>569</v>
      </c>
      <c r="C213" s="23" t="s">
        <v>139</v>
      </c>
      <c r="D213" s="23">
        <v>2030</v>
      </c>
      <c r="E213" s="3">
        <v>1.95295398505801</v>
      </c>
    </row>
    <row r="214" spans="2:5" x14ac:dyDescent="0.25">
      <c r="B214" s="23" t="s">
        <v>570</v>
      </c>
      <c r="C214" s="23" t="s">
        <v>139</v>
      </c>
      <c r="D214" s="23">
        <v>2050</v>
      </c>
      <c r="E214" s="3">
        <v>1.6749726784801799</v>
      </c>
    </row>
    <row r="215" spans="2:5" x14ac:dyDescent="0.25">
      <c r="B215" s="23" t="s">
        <v>571</v>
      </c>
      <c r="C215" s="23" t="s">
        <v>139</v>
      </c>
      <c r="D215" s="23">
        <v>2020</v>
      </c>
      <c r="E215" s="3">
        <v>1.95614302318043</v>
      </c>
    </row>
    <row r="216" spans="2:5" x14ac:dyDescent="0.25">
      <c r="B216" s="23" t="s">
        <v>572</v>
      </c>
      <c r="C216" s="23" t="s">
        <v>139</v>
      </c>
      <c r="D216" s="23">
        <v>2030</v>
      </c>
      <c r="E216" s="3">
        <v>1.71365213712141</v>
      </c>
    </row>
    <row r="217" spans="2:5" x14ac:dyDescent="0.25">
      <c r="B217" s="23" t="s">
        <v>573</v>
      </c>
      <c r="C217" s="23" t="s">
        <v>139</v>
      </c>
      <c r="D217" s="23">
        <v>2050</v>
      </c>
      <c r="E217" s="3">
        <v>1.4699102767813399</v>
      </c>
    </row>
    <row r="218" spans="2:5" x14ac:dyDescent="0.25">
      <c r="B218" s="23" t="s">
        <v>574</v>
      </c>
      <c r="C218" s="23" t="s">
        <v>139</v>
      </c>
      <c r="D218" s="23">
        <v>2020</v>
      </c>
      <c r="E218" s="3">
        <v>0.96561359999999996</v>
      </c>
    </row>
    <row r="219" spans="2:5" x14ac:dyDescent="0.25">
      <c r="B219" s="23" t="s">
        <v>575</v>
      </c>
      <c r="C219" s="23" t="s">
        <v>139</v>
      </c>
      <c r="D219" s="23">
        <v>2030</v>
      </c>
      <c r="E219" s="3">
        <v>0.888364512</v>
      </c>
    </row>
    <row r="220" spans="2:5" x14ac:dyDescent="0.25">
      <c r="B220" s="23" t="s">
        <v>576</v>
      </c>
      <c r="C220" s="23" t="s">
        <v>139</v>
      </c>
      <c r="D220" s="23">
        <v>2050</v>
      </c>
      <c r="E220" s="3">
        <v>0.81729535103999995</v>
      </c>
    </row>
    <row r="221" spans="2:5" x14ac:dyDescent="0.25">
      <c r="B221" s="23" t="s">
        <v>577</v>
      </c>
      <c r="C221" s="23" t="s">
        <v>139</v>
      </c>
      <c r="D221" s="23">
        <v>2020</v>
      </c>
      <c r="E221" s="3">
        <v>3.7240000000000002</v>
      </c>
    </row>
    <row r="222" spans="2:5" x14ac:dyDescent="0.25">
      <c r="B222" s="23" t="s">
        <v>578</v>
      </c>
      <c r="C222" s="23" t="s">
        <v>139</v>
      </c>
      <c r="D222" s="23">
        <v>2030</v>
      </c>
      <c r="E222" s="3">
        <v>3.5377999999999998</v>
      </c>
    </row>
    <row r="223" spans="2:5" x14ac:dyDescent="0.25">
      <c r="B223" s="23" t="s">
        <v>579</v>
      </c>
      <c r="C223" s="23" t="s">
        <v>139</v>
      </c>
      <c r="D223" s="23">
        <v>2050</v>
      </c>
      <c r="E223" s="3">
        <v>3.3609100000000001</v>
      </c>
    </row>
    <row r="224" spans="2:5" x14ac:dyDescent="0.25">
      <c r="B224" s="23" t="s">
        <v>580</v>
      </c>
      <c r="C224" s="23" t="s">
        <v>271</v>
      </c>
      <c r="D224" s="23">
        <v>2020</v>
      </c>
      <c r="E224" s="3">
        <v>5.4539935236075596</v>
      </c>
    </row>
    <row r="225" spans="2:5" x14ac:dyDescent="0.25">
      <c r="B225" s="23" t="s">
        <v>581</v>
      </c>
      <c r="C225" s="23" t="s">
        <v>271</v>
      </c>
      <c r="D225" s="23">
        <v>2030</v>
      </c>
      <c r="E225" s="3">
        <v>5.1873962512644702</v>
      </c>
    </row>
    <row r="226" spans="2:5" x14ac:dyDescent="0.25">
      <c r="B226" s="23" t="s">
        <v>582</v>
      </c>
      <c r="C226" s="23" t="s">
        <v>271</v>
      </c>
      <c r="D226" s="23">
        <v>2050</v>
      </c>
      <c r="E226" s="3">
        <v>4.7507320984685997</v>
      </c>
    </row>
    <row r="227" spans="2:5" x14ac:dyDescent="0.25">
      <c r="B227" s="23" t="s">
        <v>583</v>
      </c>
      <c r="C227" s="23" t="s">
        <v>271</v>
      </c>
      <c r="D227" s="23">
        <v>2020</v>
      </c>
      <c r="E227" s="3">
        <v>5.4539935236075596</v>
      </c>
    </row>
    <row r="228" spans="2:5" x14ac:dyDescent="0.25">
      <c r="B228" s="23" t="s">
        <v>584</v>
      </c>
      <c r="C228" s="23" t="s">
        <v>271</v>
      </c>
      <c r="D228" s="23">
        <v>2030</v>
      </c>
      <c r="E228" s="3">
        <v>5.1873962512644702</v>
      </c>
    </row>
    <row r="229" spans="2:5" x14ac:dyDescent="0.25">
      <c r="B229" s="23" t="s">
        <v>585</v>
      </c>
      <c r="C229" s="23" t="s">
        <v>271</v>
      </c>
      <c r="D229" s="23">
        <v>2050</v>
      </c>
      <c r="E229" s="3">
        <v>4.7507320984685997</v>
      </c>
    </row>
    <row r="230" spans="2:5" x14ac:dyDescent="0.25">
      <c r="B230" s="23" t="s">
        <v>650</v>
      </c>
      <c r="C230" s="23" t="s">
        <v>260</v>
      </c>
      <c r="D230" s="23">
        <v>2020</v>
      </c>
      <c r="E230" s="3">
        <v>6.8599999999999994E-2</v>
      </c>
    </row>
    <row r="231" spans="2:5" x14ac:dyDescent="0.25">
      <c r="B231" s="23" t="s">
        <v>651</v>
      </c>
      <c r="C231" s="23" t="s">
        <v>260</v>
      </c>
      <c r="D231" s="23">
        <v>2030</v>
      </c>
      <c r="E231" s="3">
        <v>5.8799999999999998E-2</v>
      </c>
    </row>
    <row r="232" spans="2:5" x14ac:dyDescent="0.25">
      <c r="B232" s="23" t="s">
        <v>652</v>
      </c>
      <c r="C232" s="23" t="s">
        <v>260</v>
      </c>
      <c r="D232" s="23">
        <v>2050</v>
      </c>
      <c r="E232" s="3">
        <v>5.8799999999999998E-2</v>
      </c>
    </row>
    <row r="233" spans="2:5" x14ac:dyDescent="0.25">
      <c r="B233" s="23" t="s">
        <v>653</v>
      </c>
      <c r="C233" s="23" t="s">
        <v>260</v>
      </c>
      <c r="D233" s="23">
        <v>2020</v>
      </c>
      <c r="E233" s="3">
        <v>6.8599999999999994E-2</v>
      </c>
    </row>
    <row r="234" spans="2:5" x14ac:dyDescent="0.25">
      <c r="B234" s="23" t="s">
        <v>654</v>
      </c>
      <c r="C234" s="23" t="s">
        <v>260</v>
      </c>
      <c r="D234" s="23">
        <v>2030</v>
      </c>
      <c r="E234" s="3">
        <v>5.8799999999999998E-2</v>
      </c>
    </row>
    <row r="235" spans="2:5" x14ac:dyDescent="0.25">
      <c r="B235" s="23" t="s">
        <v>655</v>
      </c>
      <c r="C235" s="23" t="s">
        <v>260</v>
      </c>
      <c r="D235" s="23">
        <v>2050</v>
      </c>
      <c r="E235" s="3">
        <v>5.8799999999999998E-2</v>
      </c>
    </row>
    <row r="236" spans="2:5" x14ac:dyDescent="0.25">
      <c r="B236" s="23" t="s">
        <v>656</v>
      </c>
      <c r="C236" s="23" t="s">
        <v>657</v>
      </c>
      <c r="D236" s="23">
        <v>2020</v>
      </c>
      <c r="E236" s="3">
        <v>5.8799999999999998E-2</v>
      </c>
    </row>
    <row r="237" spans="2:5" x14ac:dyDescent="0.25">
      <c r="B237" s="23" t="s">
        <v>658</v>
      </c>
      <c r="C237" s="23" t="s">
        <v>659</v>
      </c>
      <c r="D237" s="23">
        <v>2020</v>
      </c>
      <c r="E237" s="3">
        <v>5.8799999999999998E-2</v>
      </c>
    </row>
    <row r="238" spans="2:5" x14ac:dyDescent="0.25">
      <c r="B238" s="23" t="s">
        <v>660</v>
      </c>
      <c r="C238" s="23" t="s">
        <v>661</v>
      </c>
      <c r="D238" s="23">
        <v>2020</v>
      </c>
      <c r="E238" s="3">
        <v>5.8799999999999998E-2</v>
      </c>
    </row>
    <row r="239" spans="2:5" x14ac:dyDescent="0.25">
      <c r="B239" s="23" t="s">
        <v>662</v>
      </c>
      <c r="C239" s="23" t="s">
        <v>663</v>
      </c>
      <c r="D239" s="23">
        <v>2020</v>
      </c>
      <c r="E239" s="3">
        <v>5.8799999999999998E-2</v>
      </c>
    </row>
    <row r="240" spans="2:5" x14ac:dyDescent="0.25">
      <c r="B240" s="23" t="s">
        <v>664</v>
      </c>
      <c r="C240" s="23" t="s">
        <v>657</v>
      </c>
      <c r="D240" s="23">
        <v>2030</v>
      </c>
      <c r="E240" s="3">
        <v>4.9000000000000002E-2</v>
      </c>
    </row>
    <row r="241" spans="2:5" x14ac:dyDescent="0.25">
      <c r="B241" s="23" t="s">
        <v>665</v>
      </c>
      <c r="C241" s="23" t="s">
        <v>659</v>
      </c>
      <c r="D241" s="23">
        <v>2030</v>
      </c>
      <c r="E241" s="3">
        <v>4.9000000000000002E-2</v>
      </c>
    </row>
    <row r="242" spans="2:5" x14ac:dyDescent="0.25">
      <c r="B242" s="23" t="s">
        <v>666</v>
      </c>
      <c r="C242" s="23" t="s">
        <v>661</v>
      </c>
      <c r="D242" s="23">
        <v>2030</v>
      </c>
      <c r="E242" s="3">
        <v>4.9000000000000002E-2</v>
      </c>
    </row>
    <row r="243" spans="2:5" x14ac:dyDescent="0.25">
      <c r="B243" s="23" t="s">
        <v>667</v>
      </c>
      <c r="C243" s="23" t="s">
        <v>663</v>
      </c>
      <c r="D243" s="23">
        <v>2030</v>
      </c>
      <c r="E243" s="3">
        <v>4.9000000000000002E-2</v>
      </c>
    </row>
    <row r="244" spans="2:5" x14ac:dyDescent="0.25">
      <c r="B244" s="23" t="s">
        <v>668</v>
      </c>
      <c r="C244" s="23" t="s">
        <v>657</v>
      </c>
      <c r="D244" s="23">
        <v>2050</v>
      </c>
      <c r="E244" s="3">
        <v>4.9000000000000002E-2</v>
      </c>
    </row>
    <row r="245" spans="2:5" x14ac:dyDescent="0.25">
      <c r="B245" s="23" t="s">
        <v>669</v>
      </c>
      <c r="C245" s="23" t="s">
        <v>659</v>
      </c>
      <c r="D245" s="23">
        <v>2050</v>
      </c>
      <c r="E245" s="3">
        <v>4.9000000000000002E-2</v>
      </c>
    </row>
    <row r="246" spans="2:5" x14ac:dyDescent="0.25">
      <c r="B246" s="23" t="s">
        <v>670</v>
      </c>
      <c r="C246" s="23" t="s">
        <v>661</v>
      </c>
      <c r="D246" s="23">
        <v>2050</v>
      </c>
      <c r="E246" s="3">
        <v>4.9000000000000002E-2</v>
      </c>
    </row>
    <row r="247" spans="2:5" x14ac:dyDescent="0.25">
      <c r="B247" s="23" t="s">
        <v>671</v>
      </c>
      <c r="C247" s="23" t="s">
        <v>663</v>
      </c>
      <c r="D247" s="23">
        <v>2050</v>
      </c>
      <c r="E247" s="3">
        <v>4.9000000000000002E-2</v>
      </c>
    </row>
    <row r="248" spans="2:5" x14ac:dyDescent="0.25">
      <c r="B248" s="23" t="s">
        <v>672</v>
      </c>
      <c r="C248" s="23" t="s">
        <v>140</v>
      </c>
      <c r="D248" s="23">
        <v>2020</v>
      </c>
      <c r="E248" s="3"/>
    </row>
    <row r="249" spans="2:5" x14ac:dyDescent="0.25">
      <c r="B249" s="23" t="s">
        <v>673</v>
      </c>
      <c r="C249" s="23" t="s">
        <v>140</v>
      </c>
      <c r="D249" s="23">
        <v>2020</v>
      </c>
      <c r="E249" s="3"/>
    </row>
    <row r="250" spans="2:5" x14ac:dyDescent="0.25">
      <c r="B250" s="23" t="s">
        <v>674</v>
      </c>
      <c r="C250" s="23" t="s">
        <v>657</v>
      </c>
      <c r="D250" s="23">
        <v>2020</v>
      </c>
      <c r="E250" s="3">
        <v>1.274</v>
      </c>
    </row>
    <row r="251" spans="2:5" x14ac:dyDescent="0.25">
      <c r="B251" s="23" t="s">
        <v>675</v>
      </c>
      <c r="C251" s="23" t="s">
        <v>659</v>
      </c>
      <c r="D251" s="23">
        <v>2020</v>
      </c>
      <c r="E251" s="3">
        <v>1.274</v>
      </c>
    </row>
    <row r="252" spans="2:5" x14ac:dyDescent="0.25">
      <c r="B252" s="23" t="s">
        <v>676</v>
      </c>
      <c r="C252" s="23" t="s">
        <v>661</v>
      </c>
      <c r="D252" s="23">
        <v>2020</v>
      </c>
      <c r="E252" s="3">
        <v>1.274</v>
      </c>
    </row>
    <row r="253" spans="2:5" x14ac:dyDescent="0.25">
      <c r="B253" s="23" t="s">
        <v>677</v>
      </c>
      <c r="C253" s="23" t="s">
        <v>663</v>
      </c>
      <c r="D253" s="23">
        <v>2020</v>
      </c>
      <c r="E253" s="3">
        <v>1.274</v>
      </c>
    </row>
    <row r="254" spans="2:5" x14ac:dyDescent="0.25">
      <c r="B254" s="23" t="s">
        <v>678</v>
      </c>
      <c r="C254" s="23" t="s">
        <v>657</v>
      </c>
      <c r="D254" s="23">
        <v>2030</v>
      </c>
      <c r="E254" s="3">
        <v>1.1759999999999999</v>
      </c>
    </row>
    <row r="255" spans="2:5" x14ac:dyDescent="0.25">
      <c r="B255" s="23" t="s">
        <v>679</v>
      </c>
      <c r="C255" s="23" t="s">
        <v>659</v>
      </c>
      <c r="D255" s="23">
        <v>2030</v>
      </c>
      <c r="E255" s="3">
        <v>1.1759999999999999</v>
      </c>
    </row>
    <row r="256" spans="2:5" x14ac:dyDescent="0.25">
      <c r="B256" s="23" t="s">
        <v>680</v>
      </c>
      <c r="C256" s="23" t="s">
        <v>661</v>
      </c>
      <c r="D256" s="23">
        <v>2030</v>
      </c>
      <c r="E256" s="3">
        <v>1.1759999999999999</v>
      </c>
    </row>
    <row r="257" spans="2:5" x14ac:dyDescent="0.25">
      <c r="B257" s="23" t="s">
        <v>681</v>
      </c>
      <c r="C257" s="23" t="s">
        <v>663</v>
      </c>
      <c r="D257" s="23">
        <v>2030</v>
      </c>
      <c r="E257" s="3">
        <v>1.1759999999999999</v>
      </c>
    </row>
    <row r="258" spans="2:5" x14ac:dyDescent="0.25">
      <c r="B258" s="23" t="s">
        <v>682</v>
      </c>
      <c r="C258" s="23" t="s">
        <v>657</v>
      </c>
      <c r="D258" s="23">
        <v>2050</v>
      </c>
      <c r="E258" s="3">
        <v>1.0780000000000001</v>
      </c>
    </row>
    <row r="259" spans="2:5" x14ac:dyDescent="0.25">
      <c r="B259" s="23" t="s">
        <v>683</v>
      </c>
      <c r="C259" s="23" t="s">
        <v>659</v>
      </c>
      <c r="D259" s="23">
        <v>2050</v>
      </c>
      <c r="E259" s="3">
        <v>1.0780000000000001</v>
      </c>
    </row>
    <row r="260" spans="2:5" x14ac:dyDescent="0.25">
      <c r="B260" s="23" t="s">
        <v>684</v>
      </c>
      <c r="C260" s="23" t="s">
        <v>661</v>
      </c>
      <c r="D260" s="23">
        <v>2050</v>
      </c>
      <c r="E260" s="3">
        <v>1.0780000000000001</v>
      </c>
    </row>
    <row r="261" spans="2:5" x14ac:dyDescent="0.25">
      <c r="B261" s="23" t="s">
        <v>685</v>
      </c>
      <c r="C261" s="23" t="s">
        <v>663</v>
      </c>
      <c r="D261" s="23">
        <v>2050</v>
      </c>
      <c r="E261" s="3">
        <v>1.0780000000000001</v>
      </c>
    </row>
    <row r="262" spans="2:5" x14ac:dyDescent="0.25">
      <c r="B262" s="23" t="s">
        <v>686</v>
      </c>
      <c r="C262" s="23" t="s">
        <v>657</v>
      </c>
      <c r="D262" s="23">
        <v>2020</v>
      </c>
      <c r="E262" s="3">
        <v>1.274</v>
      </c>
    </row>
    <row r="263" spans="2:5" x14ac:dyDescent="0.25">
      <c r="B263" s="23" t="s">
        <v>687</v>
      </c>
      <c r="C263" s="23" t="s">
        <v>659</v>
      </c>
      <c r="D263" s="23">
        <v>2020</v>
      </c>
      <c r="E263" s="3">
        <v>1.274</v>
      </c>
    </row>
    <row r="264" spans="2:5" x14ac:dyDescent="0.25">
      <c r="B264" s="23" t="s">
        <v>688</v>
      </c>
      <c r="C264" s="23" t="s">
        <v>661</v>
      </c>
      <c r="D264" s="23">
        <v>2020</v>
      </c>
      <c r="E264" s="3">
        <v>1.274</v>
      </c>
    </row>
    <row r="265" spans="2:5" x14ac:dyDescent="0.25">
      <c r="B265" s="23" t="s">
        <v>689</v>
      </c>
      <c r="C265" s="23" t="s">
        <v>663</v>
      </c>
      <c r="D265" s="23">
        <v>2020</v>
      </c>
      <c r="E265" s="3">
        <v>1.274</v>
      </c>
    </row>
    <row r="266" spans="2:5" x14ac:dyDescent="0.25">
      <c r="B266" s="23" t="s">
        <v>690</v>
      </c>
      <c r="C266" s="23" t="s">
        <v>657</v>
      </c>
      <c r="D266" s="23">
        <v>2030</v>
      </c>
      <c r="E266" s="3">
        <v>1.1759999999999999</v>
      </c>
    </row>
    <row r="267" spans="2:5" x14ac:dyDescent="0.25">
      <c r="B267" s="23" t="s">
        <v>691</v>
      </c>
      <c r="C267" s="23" t="s">
        <v>659</v>
      </c>
      <c r="D267" s="23">
        <v>2030</v>
      </c>
      <c r="E267" s="3">
        <v>1.1759999999999999</v>
      </c>
    </row>
    <row r="268" spans="2:5" x14ac:dyDescent="0.25">
      <c r="B268" s="23" t="s">
        <v>692</v>
      </c>
      <c r="C268" s="23" t="s">
        <v>661</v>
      </c>
      <c r="D268" s="23">
        <v>2030</v>
      </c>
      <c r="E268" s="3">
        <v>1.1759999999999999</v>
      </c>
    </row>
    <row r="269" spans="2:5" x14ac:dyDescent="0.25">
      <c r="B269" s="23" t="s">
        <v>693</v>
      </c>
      <c r="C269" s="23" t="s">
        <v>663</v>
      </c>
      <c r="D269" s="23">
        <v>2030</v>
      </c>
      <c r="E269" s="3">
        <v>1.1759999999999999</v>
      </c>
    </row>
    <row r="270" spans="2:5" x14ac:dyDescent="0.25">
      <c r="B270" s="23" t="s">
        <v>694</v>
      </c>
      <c r="C270" s="23" t="s">
        <v>657</v>
      </c>
      <c r="D270" s="23">
        <v>2050</v>
      </c>
      <c r="E270" s="3">
        <v>1.0780000000000001</v>
      </c>
    </row>
    <row r="271" spans="2:5" x14ac:dyDescent="0.25">
      <c r="B271" s="23" t="s">
        <v>695</v>
      </c>
      <c r="C271" s="23" t="s">
        <v>659</v>
      </c>
      <c r="D271" s="23">
        <v>2050</v>
      </c>
      <c r="E271" s="3">
        <v>1.0780000000000001</v>
      </c>
    </row>
    <row r="272" spans="2:5" x14ac:dyDescent="0.25">
      <c r="B272" s="23" t="s">
        <v>696</v>
      </c>
      <c r="C272" s="23" t="s">
        <v>661</v>
      </c>
      <c r="D272" s="23">
        <v>2050</v>
      </c>
      <c r="E272" s="3">
        <v>1.0780000000000001</v>
      </c>
    </row>
    <row r="273" spans="2:5" x14ac:dyDescent="0.25">
      <c r="B273" s="23" t="s">
        <v>697</v>
      </c>
      <c r="C273" s="23" t="s">
        <v>663</v>
      </c>
      <c r="D273" s="23">
        <v>2050</v>
      </c>
      <c r="E273" s="3">
        <v>1.0780000000000001</v>
      </c>
    </row>
    <row r="274" spans="2:5" x14ac:dyDescent="0.25">
      <c r="B274" s="23" t="s">
        <v>698</v>
      </c>
      <c r="C274" s="23" t="s">
        <v>657</v>
      </c>
      <c r="D274" s="23">
        <v>2050</v>
      </c>
      <c r="E274" s="3">
        <v>0.38400000000000001</v>
      </c>
    </row>
    <row r="275" spans="2:5" x14ac:dyDescent="0.25">
      <c r="B275" s="23" t="s">
        <v>699</v>
      </c>
      <c r="C275" s="23" t="s">
        <v>659</v>
      </c>
      <c r="D275" s="23">
        <v>2050</v>
      </c>
      <c r="E275" s="3">
        <v>0.38400000000000001</v>
      </c>
    </row>
    <row r="276" spans="2:5" x14ac:dyDescent="0.25">
      <c r="B276" s="23" t="s">
        <v>700</v>
      </c>
      <c r="C276" s="23" t="s">
        <v>661</v>
      </c>
      <c r="D276" s="23">
        <v>2050</v>
      </c>
      <c r="E276" s="3">
        <v>0.38400000000000001</v>
      </c>
    </row>
    <row r="277" spans="2:5" x14ac:dyDescent="0.25">
      <c r="B277" s="23" t="s">
        <v>701</v>
      </c>
      <c r="C277" s="23" t="s">
        <v>663</v>
      </c>
      <c r="D277" s="23">
        <v>2050</v>
      </c>
      <c r="E277" s="3">
        <v>0.38400000000000001</v>
      </c>
    </row>
    <row r="278" spans="2:5" x14ac:dyDescent="0.25">
      <c r="B278" s="23" t="s">
        <v>702</v>
      </c>
      <c r="C278" s="23" t="s">
        <v>657</v>
      </c>
      <c r="D278" s="23">
        <v>2020</v>
      </c>
      <c r="E278" s="3">
        <v>0.86240000000000006</v>
      </c>
    </row>
    <row r="279" spans="2:5" x14ac:dyDescent="0.25">
      <c r="B279" s="23" t="s">
        <v>703</v>
      </c>
      <c r="C279" s="23" t="s">
        <v>659</v>
      </c>
      <c r="D279" s="23">
        <v>2020</v>
      </c>
      <c r="E279" s="3">
        <v>0.86240000000000006</v>
      </c>
    </row>
    <row r="280" spans="2:5" x14ac:dyDescent="0.25">
      <c r="B280" s="23" t="s">
        <v>704</v>
      </c>
      <c r="C280" s="23" t="s">
        <v>661</v>
      </c>
      <c r="D280" s="23">
        <v>2020</v>
      </c>
      <c r="E280" s="3">
        <v>0.86240000000000006</v>
      </c>
    </row>
    <row r="281" spans="2:5" x14ac:dyDescent="0.25">
      <c r="B281" s="23" t="s">
        <v>705</v>
      </c>
      <c r="C281" s="23" t="s">
        <v>663</v>
      </c>
      <c r="D281" s="23">
        <v>2020</v>
      </c>
      <c r="E281" s="3">
        <v>0.86240000000000006</v>
      </c>
    </row>
    <row r="282" spans="2:5" x14ac:dyDescent="0.25">
      <c r="B282" s="23" t="s">
        <v>706</v>
      </c>
      <c r="C282" s="23" t="s">
        <v>657</v>
      </c>
      <c r="D282" s="23">
        <v>2030</v>
      </c>
      <c r="E282" s="3">
        <v>0.81340000000000001</v>
      </c>
    </row>
    <row r="283" spans="2:5" x14ac:dyDescent="0.25">
      <c r="B283" s="23" t="s">
        <v>707</v>
      </c>
      <c r="C283" s="23" t="s">
        <v>659</v>
      </c>
      <c r="D283" s="23">
        <v>2030</v>
      </c>
      <c r="E283" s="3">
        <v>0.81340000000000001</v>
      </c>
    </row>
    <row r="284" spans="2:5" x14ac:dyDescent="0.25">
      <c r="B284" s="23" t="s">
        <v>708</v>
      </c>
      <c r="C284" s="23" t="s">
        <v>661</v>
      </c>
      <c r="D284" s="23">
        <v>2030</v>
      </c>
      <c r="E284" s="3">
        <v>0.81340000000000001</v>
      </c>
    </row>
    <row r="285" spans="2:5" x14ac:dyDescent="0.25">
      <c r="B285" s="23" t="s">
        <v>709</v>
      </c>
      <c r="C285" s="23" t="s">
        <v>663</v>
      </c>
      <c r="D285" s="23">
        <v>2030</v>
      </c>
      <c r="E285" s="3">
        <v>0.81340000000000001</v>
      </c>
    </row>
    <row r="286" spans="2:5" x14ac:dyDescent="0.25">
      <c r="B286" s="23" t="s">
        <v>710</v>
      </c>
      <c r="C286" s="23" t="s">
        <v>657</v>
      </c>
      <c r="D286" s="23">
        <v>2050</v>
      </c>
      <c r="E286" s="3">
        <v>0.78400000000000003</v>
      </c>
    </row>
    <row r="287" spans="2:5" x14ac:dyDescent="0.25">
      <c r="B287" s="23" t="s">
        <v>711</v>
      </c>
      <c r="C287" s="23" t="s">
        <v>659</v>
      </c>
      <c r="D287" s="23">
        <v>2050</v>
      </c>
      <c r="E287" s="3">
        <v>0.78400000000000003</v>
      </c>
    </row>
    <row r="288" spans="2:5" x14ac:dyDescent="0.25">
      <c r="B288" s="23" t="s">
        <v>712</v>
      </c>
      <c r="C288" s="23" t="s">
        <v>661</v>
      </c>
      <c r="D288" s="23">
        <v>2050</v>
      </c>
      <c r="E288" s="3">
        <v>0.78400000000000003</v>
      </c>
    </row>
    <row r="289" spans="2:5" x14ac:dyDescent="0.25">
      <c r="B289" s="23" t="s">
        <v>713</v>
      </c>
      <c r="C289" s="23" t="s">
        <v>663</v>
      </c>
      <c r="D289" s="23">
        <v>2050</v>
      </c>
      <c r="E289" s="3">
        <v>0.78400000000000003</v>
      </c>
    </row>
    <row r="290" spans="2:5" x14ac:dyDescent="0.25">
      <c r="B290" s="23" t="s">
        <v>714</v>
      </c>
      <c r="C290" s="23" t="s">
        <v>657</v>
      </c>
      <c r="D290" s="23">
        <v>2020</v>
      </c>
      <c r="E290" s="3">
        <v>0.86240000000000006</v>
      </c>
    </row>
    <row r="291" spans="2:5" x14ac:dyDescent="0.25">
      <c r="B291" s="23" t="s">
        <v>715</v>
      </c>
      <c r="C291" s="23" t="s">
        <v>659</v>
      </c>
      <c r="D291" s="23">
        <v>2020</v>
      </c>
      <c r="E291" s="3">
        <v>0.86240000000000006</v>
      </c>
    </row>
    <row r="292" spans="2:5" x14ac:dyDescent="0.25">
      <c r="B292" s="23" t="s">
        <v>716</v>
      </c>
      <c r="C292" s="23" t="s">
        <v>661</v>
      </c>
      <c r="D292" s="23">
        <v>2020</v>
      </c>
      <c r="E292" s="3">
        <v>0.86240000000000006</v>
      </c>
    </row>
    <row r="293" spans="2:5" x14ac:dyDescent="0.25">
      <c r="B293" s="23" t="s">
        <v>717</v>
      </c>
      <c r="C293" s="23" t="s">
        <v>663</v>
      </c>
      <c r="D293" s="23">
        <v>2020</v>
      </c>
      <c r="E293" s="3">
        <v>0.86240000000000006</v>
      </c>
    </row>
    <row r="294" spans="2:5" x14ac:dyDescent="0.25">
      <c r="B294" s="23" t="s">
        <v>718</v>
      </c>
      <c r="C294" s="23" t="s">
        <v>657</v>
      </c>
      <c r="D294" s="23">
        <v>2030</v>
      </c>
      <c r="E294" s="3">
        <v>0.81340000000000001</v>
      </c>
    </row>
    <row r="295" spans="2:5" x14ac:dyDescent="0.25">
      <c r="B295" s="23" t="s">
        <v>719</v>
      </c>
      <c r="C295" s="23" t="s">
        <v>659</v>
      </c>
      <c r="D295" s="23">
        <v>2030</v>
      </c>
      <c r="E295" s="3">
        <v>0.81340000000000001</v>
      </c>
    </row>
    <row r="296" spans="2:5" x14ac:dyDescent="0.25">
      <c r="B296" s="23" t="s">
        <v>720</v>
      </c>
      <c r="C296" s="23" t="s">
        <v>661</v>
      </c>
      <c r="D296" s="23">
        <v>2030</v>
      </c>
      <c r="E296" s="3">
        <v>0.81340000000000001</v>
      </c>
    </row>
    <row r="297" spans="2:5" x14ac:dyDescent="0.25">
      <c r="B297" s="23" t="s">
        <v>721</v>
      </c>
      <c r="C297" s="23" t="s">
        <v>663</v>
      </c>
      <c r="D297" s="23">
        <v>2030</v>
      </c>
      <c r="E297" s="3">
        <v>0.81340000000000001</v>
      </c>
    </row>
    <row r="298" spans="2:5" x14ac:dyDescent="0.25">
      <c r="B298" s="23" t="s">
        <v>722</v>
      </c>
      <c r="C298" s="23" t="s">
        <v>657</v>
      </c>
      <c r="D298" s="23">
        <v>2050</v>
      </c>
      <c r="E298" s="3">
        <v>0.78400000000000003</v>
      </c>
    </row>
    <row r="299" spans="2:5" x14ac:dyDescent="0.25">
      <c r="B299" s="23" t="s">
        <v>723</v>
      </c>
      <c r="C299" s="23" t="s">
        <v>659</v>
      </c>
      <c r="D299" s="23">
        <v>2050</v>
      </c>
      <c r="E299" s="3">
        <v>0.78400000000000003</v>
      </c>
    </row>
    <row r="300" spans="2:5" x14ac:dyDescent="0.25">
      <c r="B300" s="23" t="s">
        <v>724</v>
      </c>
      <c r="C300" s="23" t="s">
        <v>661</v>
      </c>
      <c r="D300" s="23">
        <v>2050</v>
      </c>
      <c r="E300" s="3">
        <v>0.78400000000000003</v>
      </c>
    </row>
    <row r="301" spans="2:5" x14ac:dyDescent="0.25">
      <c r="B301" s="23" t="s">
        <v>725</v>
      </c>
      <c r="C301" s="23" t="s">
        <v>663</v>
      </c>
      <c r="D301" s="23">
        <v>2050</v>
      </c>
      <c r="E301" s="3">
        <v>0.78400000000000003</v>
      </c>
    </row>
    <row r="302" spans="2:5" x14ac:dyDescent="0.25">
      <c r="B302" s="23" t="s">
        <v>726</v>
      </c>
      <c r="C302" s="23" t="s">
        <v>260</v>
      </c>
      <c r="D302" s="23">
        <v>2015</v>
      </c>
      <c r="E302" s="3">
        <v>1.0486</v>
      </c>
    </row>
    <row r="303" spans="2:5" x14ac:dyDescent="0.25">
      <c r="B303" s="23" t="s">
        <v>727</v>
      </c>
      <c r="C303" s="23" t="s">
        <v>260</v>
      </c>
      <c r="D303" s="23">
        <v>2020</v>
      </c>
      <c r="E303" s="3">
        <v>0.58799999999999997</v>
      </c>
    </row>
    <row r="304" spans="2:5" x14ac:dyDescent="0.25">
      <c r="B304" s="23" t="s">
        <v>728</v>
      </c>
      <c r="C304" s="23" t="s">
        <v>260</v>
      </c>
      <c r="D304" s="23">
        <v>2030</v>
      </c>
      <c r="E304" s="3">
        <v>0.53900000000000003</v>
      </c>
    </row>
    <row r="305" spans="2:5" x14ac:dyDescent="0.25">
      <c r="B305" s="23" t="s">
        <v>729</v>
      </c>
      <c r="C305" s="23" t="s">
        <v>260</v>
      </c>
      <c r="D305" s="23">
        <v>2050</v>
      </c>
      <c r="E305" s="3">
        <v>0.49</v>
      </c>
    </row>
    <row r="306" spans="2:5" x14ac:dyDescent="0.25">
      <c r="B306" s="23" t="s">
        <v>730</v>
      </c>
      <c r="C306" s="23" t="s">
        <v>260</v>
      </c>
      <c r="D306" s="23">
        <v>2015</v>
      </c>
      <c r="E306" s="3">
        <v>1.8620000000000001</v>
      </c>
    </row>
    <row r="307" spans="2:5" x14ac:dyDescent="0.25">
      <c r="B307" s="23" t="s">
        <v>731</v>
      </c>
      <c r="C307" s="23" t="s">
        <v>260</v>
      </c>
      <c r="D307" s="23">
        <v>2020</v>
      </c>
      <c r="E307" s="3">
        <v>1.0780000000000001</v>
      </c>
    </row>
    <row r="308" spans="2:5" x14ac:dyDescent="0.25">
      <c r="B308" s="23" t="s">
        <v>732</v>
      </c>
      <c r="C308" s="23" t="s">
        <v>260</v>
      </c>
      <c r="D308" s="23">
        <v>2030</v>
      </c>
      <c r="E308" s="3">
        <v>0.58799999999999997</v>
      </c>
    </row>
    <row r="309" spans="2:5" x14ac:dyDescent="0.25">
      <c r="B309" s="23" t="s">
        <v>733</v>
      </c>
      <c r="C309" s="23" t="s">
        <v>260</v>
      </c>
      <c r="D309" s="23">
        <v>2050</v>
      </c>
      <c r="E309" s="3">
        <v>0.39200000000000002</v>
      </c>
    </row>
    <row r="310" spans="2:5" x14ac:dyDescent="0.25">
      <c r="B310" s="23" t="s">
        <v>734</v>
      </c>
      <c r="C310" s="23" t="s">
        <v>260</v>
      </c>
      <c r="D310" s="23">
        <v>2020</v>
      </c>
      <c r="E310" s="3">
        <v>2.1560000000000001</v>
      </c>
    </row>
    <row r="311" spans="2:5" x14ac:dyDescent="0.25">
      <c r="B311" s="23" t="s">
        <v>735</v>
      </c>
      <c r="C311" s="23" t="s">
        <v>260</v>
      </c>
      <c r="D311" s="23">
        <v>2030</v>
      </c>
      <c r="E311" s="3">
        <v>0.58799999999999997</v>
      </c>
    </row>
    <row r="312" spans="2:5" x14ac:dyDescent="0.25">
      <c r="B312" s="23" t="s">
        <v>736</v>
      </c>
      <c r="C312" s="23" t="s">
        <v>260</v>
      </c>
      <c r="D312" s="23">
        <v>2050</v>
      </c>
      <c r="E312" s="3">
        <v>0.39200000000000002</v>
      </c>
    </row>
    <row r="313" spans="2:5" x14ac:dyDescent="0.25">
      <c r="B313" s="23" t="s">
        <v>737</v>
      </c>
      <c r="C313" s="23" t="s">
        <v>657</v>
      </c>
      <c r="D313" s="23">
        <v>2020</v>
      </c>
      <c r="E313" s="3">
        <v>0.93100000000000005</v>
      </c>
    </row>
    <row r="314" spans="2:5" x14ac:dyDescent="0.25">
      <c r="B314" s="23" t="s">
        <v>738</v>
      </c>
      <c r="C314" s="23" t="s">
        <v>659</v>
      </c>
      <c r="D314" s="23">
        <v>2020</v>
      </c>
      <c r="E314" s="3">
        <v>0.93100000000000005</v>
      </c>
    </row>
    <row r="315" spans="2:5" x14ac:dyDescent="0.25">
      <c r="B315" s="23" t="s">
        <v>739</v>
      </c>
      <c r="C315" s="23" t="s">
        <v>661</v>
      </c>
      <c r="D315" s="23">
        <v>2020</v>
      </c>
      <c r="E315" s="3">
        <v>0.93100000000000005</v>
      </c>
    </row>
    <row r="316" spans="2:5" x14ac:dyDescent="0.25">
      <c r="B316" s="23" t="s">
        <v>740</v>
      </c>
      <c r="C316" s="23" t="s">
        <v>663</v>
      </c>
      <c r="D316" s="23">
        <v>2020</v>
      </c>
      <c r="E316" s="3">
        <v>0.93100000000000005</v>
      </c>
    </row>
    <row r="317" spans="2:5" x14ac:dyDescent="0.25">
      <c r="B317" s="23" t="s">
        <v>741</v>
      </c>
      <c r="C317" s="23" t="s">
        <v>657</v>
      </c>
      <c r="D317" s="23">
        <v>2030</v>
      </c>
      <c r="E317" s="3">
        <v>0.88200000000000001</v>
      </c>
    </row>
    <row r="318" spans="2:5" x14ac:dyDescent="0.25">
      <c r="B318" s="23" t="s">
        <v>742</v>
      </c>
      <c r="C318" s="23" t="s">
        <v>659</v>
      </c>
      <c r="D318" s="23">
        <v>2030</v>
      </c>
      <c r="E318" s="3">
        <v>0.88200000000000001</v>
      </c>
    </row>
    <row r="319" spans="2:5" x14ac:dyDescent="0.25">
      <c r="B319" s="23" t="s">
        <v>743</v>
      </c>
      <c r="C319" s="23" t="s">
        <v>661</v>
      </c>
      <c r="D319" s="23">
        <v>2030</v>
      </c>
      <c r="E319" s="3">
        <v>0.88200000000000001</v>
      </c>
    </row>
    <row r="320" spans="2:5" x14ac:dyDescent="0.25">
      <c r="B320" s="23" t="s">
        <v>744</v>
      </c>
      <c r="C320" s="23" t="s">
        <v>663</v>
      </c>
      <c r="D320" s="23">
        <v>2030</v>
      </c>
      <c r="E320" s="3">
        <v>0.88200000000000001</v>
      </c>
    </row>
    <row r="321" spans="2:5" x14ac:dyDescent="0.25">
      <c r="B321" s="23" t="s">
        <v>745</v>
      </c>
      <c r="C321" s="23" t="s">
        <v>657</v>
      </c>
      <c r="D321" s="23">
        <v>2050</v>
      </c>
      <c r="E321" s="3">
        <v>0.83299999999999996</v>
      </c>
    </row>
    <row r="322" spans="2:5" x14ac:dyDescent="0.25">
      <c r="B322" s="23" t="s">
        <v>746</v>
      </c>
      <c r="C322" s="23" t="s">
        <v>659</v>
      </c>
      <c r="D322" s="23">
        <v>2050</v>
      </c>
      <c r="E322" s="3">
        <v>0.83299999999999996</v>
      </c>
    </row>
    <row r="323" spans="2:5" x14ac:dyDescent="0.25">
      <c r="B323" s="23" t="s">
        <v>747</v>
      </c>
      <c r="C323" s="23" t="s">
        <v>661</v>
      </c>
      <c r="D323" s="23">
        <v>2050</v>
      </c>
      <c r="E323" s="3">
        <v>0.83299999999999996</v>
      </c>
    </row>
    <row r="324" spans="2:5" x14ac:dyDescent="0.25">
      <c r="B324" s="23" t="s">
        <v>748</v>
      </c>
      <c r="C324" s="23" t="s">
        <v>663</v>
      </c>
      <c r="D324" s="23">
        <v>2050</v>
      </c>
      <c r="E324" s="3">
        <v>0.83299999999999996</v>
      </c>
    </row>
    <row r="325" spans="2:5" x14ac:dyDescent="0.25">
      <c r="B325" s="23" t="s">
        <v>749</v>
      </c>
      <c r="C325" s="23" t="s">
        <v>657</v>
      </c>
      <c r="D325" s="23">
        <v>2020</v>
      </c>
      <c r="E325" s="3">
        <v>0.93100000000000005</v>
      </c>
    </row>
    <row r="326" spans="2:5" x14ac:dyDescent="0.25">
      <c r="B326" s="23" t="s">
        <v>750</v>
      </c>
      <c r="C326" s="23" t="s">
        <v>659</v>
      </c>
      <c r="D326" s="23">
        <v>2020</v>
      </c>
      <c r="E326" s="3">
        <v>0.93100000000000005</v>
      </c>
    </row>
    <row r="327" spans="2:5" x14ac:dyDescent="0.25">
      <c r="B327" s="23" t="s">
        <v>751</v>
      </c>
      <c r="C327" s="23" t="s">
        <v>661</v>
      </c>
      <c r="D327" s="23">
        <v>2020</v>
      </c>
      <c r="E327" s="3">
        <v>0.93100000000000005</v>
      </c>
    </row>
    <row r="328" spans="2:5" x14ac:dyDescent="0.25">
      <c r="B328" s="23" t="s">
        <v>752</v>
      </c>
      <c r="C328" s="23" t="s">
        <v>663</v>
      </c>
      <c r="D328" s="23">
        <v>2020</v>
      </c>
      <c r="E328" s="3">
        <v>0.93100000000000005</v>
      </c>
    </row>
    <row r="329" spans="2:5" x14ac:dyDescent="0.25">
      <c r="B329" s="23" t="s">
        <v>753</v>
      </c>
      <c r="C329" s="23" t="s">
        <v>657</v>
      </c>
      <c r="D329" s="23">
        <v>2030</v>
      </c>
      <c r="E329" s="3">
        <v>0.88200000000000001</v>
      </c>
    </row>
    <row r="330" spans="2:5" x14ac:dyDescent="0.25">
      <c r="B330" s="23" t="s">
        <v>754</v>
      </c>
      <c r="C330" s="23" t="s">
        <v>659</v>
      </c>
      <c r="D330" s="23">
        <v>2030</v>
      </c>
      <c r="E330" s="3">
        <v>0.88200000000000001</v>
      </c>
    </row>
    <row r="331" spans="2:5" x14ac:dyDescent="0.25">
      <c r="B331" s="23" t="s">
        <v>755</v>
      </c>
      <c r="C331" s="23" t="s">
        <v>661</v>
      </c>
      <c r="D331" s="23">
        <v>2030</v>
      </c>
      <c r="E331" s="3">
        <v>0.88200000000000001</v>
      </c>
    </row>
    <row r="332" spans="2:5" x14ac:dyDescent="0.25">
      <c r="B332" s="23" t="s">
        <v>756</v>
      </c>
      <c r="C332" s="23" t="s">
        <v>663</v>
      </c>
      <c r="D332" s="23">
        <v>2030</v>
      </c>
      <c r="E332" s="3">
        <v>0.88200000000000001</v>
      </c>
    </row>
    <row r="333" spans="2:5" x14ac:dyDescent="0.25">
      <c r="B333" s="23" t="s">
        <v>757</v>
      </c>
      <c r="C333" s="23" t="s">
        <v>657</v>
      </c>
      <c r="D333" s="23">
        <v>2050</v>
      </c>
      <c r="E333" s="3">
        <v>0.83299999999999996</v>
      </c>
    </row>
    <row r="334" spans="2:5" x14ac:dyDescent="0.25">
      <c r="B334" s="23" t="s">
        <v>758</v>
      </c>
      <c r="C334" s="23" t="s">
        <v>659</v>
      </c>
      <c r="D334" s="23">
        <v>2050</v>
      </c>
      <c r="E334" s="3">
        <v>0.83299999999999996</v>
      </c>
    </row>
    <row r="335" spans="2:5" x14ac:dyDescent="0.25">
      <c r="B335" s="23" t="s">
        <v>759</v>
      </c>
      <c r="C335" s="23" t="s">
        <v>661</v>
      </c>
      <c r="D335" s="23">
        <v>2050</v>
      </c>
      <c r="E335" s="3">
        <v>0.83299999999999996</v>
      </c>
    </row>
    <row r="336" spans="2:5" x14ac:dyDescent="0.25">
      <c r="B336" s="23" t="s">
        <v>760</v>
      </c>
      <c r="C336" s="23" t="s">
        <v>663</v>
      </c>
      <c r="D336" s="23">
        <v>2050</v>
      </c>
      <c r="E336" s="3">
        <v>0.83299999999999996</v>
      </c>
    </row>
    <row r="337" spans="2:5" x14ac:dyDescent="0.25">
      <c r="B337" s="23" t="s">
        <v>761</v>
      </c>
      <c r="C337" s="23" t="s">
        <v>657</v>
      </c>
      <c r="D337" s="23">
        <v>2010</v>
      </c>
      <c r="E337" s="3">
        <v>0.81766099999999997</v>
      </c>
    </row>
    <row r="338" spans="2:5" x14ac:dyDescent="0.25">
      <c r="B338" s="23" t="s">
        <v>762</v>
      </c>
      <c r="C338" s="23" t="s">
        <v>659</v>
      </c>
      <c r="D338" s="23">
        <v>2010</v>
      </c>
      <c r="E338" s="3">
        <v>0.81766099999999997</v>
      </c>
    </row>
    <row r="339" spans="2:5" x14ac:dyDescent="0.25">
      <c r="B339" s="23" t="s">
        <v>763</v>
      </c>
      <c r="C339" s="23" t="s">
        <v>661</v>
      </c>
      <c r="D339" s="23">
        <v>2010</v>
      </c>
      <c r="E339" s="3">
        <v>0.81766099999999997</v>
      </c>
    </row>
    <row r="340" spans="2:5" x14ac:dyDescent="0.25">
      <c r="B340" s="23" t="s">
        <v>764</v>
      </c>
      <c r="C340" s="23" t="s">
        <v>663</v>
      </c>
      <c r="D340" s="23">
        <v>2010</v>
      </c>
      <c r="E340" s="3">
        <v>0.81766099999999997</v>
      </c>
    </row>
    <row r="341" spans="2:5" x14ac:dyDescent="0.25">
      <c r="B341" s="23" t="s">
        <v>765</v>
      </c>
      <c r="C341" s="23" t="s">
        <v>766</v>
      </c>
      <c r="D341" s="23">
        <v>2020</v>
      </c>
      <c r="E341" s="3">
        <v>0.93100000000000005</v>
      </c>
    </row>
    <row r="342" spans="2:5" x14ac:dyDescent="0.25">
      <c r="B342" s="23" t="s">
        <v>767</v>
      </c>
      <c r="C342" s="23" t="s">
        <v>766</v>
      </c>
      <c r="D342" s="23">
        <v>2030</v>
      </c>
      <c r="E342" s="3">
        <v>0.88200000000000001</v>
      </c>
    </row>
    <row r="343" spans="2:5" x14ac:dyDescent="0.25">
      <c r="B343" s="23" t="s">
        <v>768</v>
      </c>
      <c r="C343" s="23" t="s">
        <v>766</v>
      </c>
      <c r="D343" s="23">
        <v>2050</v>
      </c>
      <c r="E343" s="3">
        <v>0.83299999999999996</v>
      </c>
    </row>
    <row r="344" spans="2:5" x14ac:dyDescent="0.25">
      <c r="B344" s="23" t="s">
        <v>769</v>
      </c>
      <c r="C344" s="23" t="s">
        <v>766</v>
      </c>
      <c r="D344" s="23">
        <v>2020</v>
      </c>
      <c r="E344" s="3">
        <v>0.93100000000000005</v>
      </c>
    </row>
    <row r="345" spans="2:5" x14ac:dyDescent="0.25">
      <c r="B345" s="23" t="s">
        <v>770</v>
      </c>
      <c r="C345" s="23" t="s">
        <v>766</v>
      </c>
      <c r="D345" s="23">
        <v>2030</v>
      </c>
      <c r="E345" s="3">
        <v>0.88200000000000001</v>
      </c>
    </row>
    <row r="346" spans="2:5" x14ac:dyDescent="0.25">
      <c r="B346" s="23" t="s">
        <v>771</v>
      </c>
      <c r="C346" s="23" t="s">
        <v>766</v>
      </c>
      <c r="D346" s="23">
        <v>2050</v>
      </c>
      <c r="E346" s="3">
        <v>0.88300000000000001</v>
      </c>
    </row>
    <row r="347" spans="2:5" x14ac:dyDescent="0.25">
      <c r="B347" s="23" t="s">
        <v>772</v>
      </c>
      <c r="C347" s="23" t="s">
        <v>773</v>
      </c>
      <c r="D347" s="23">
        <v>2015</v>
      </c>
      <c r="E347" s="3">
        <v>4.9000000000000004</v>
      </c>
    </row>
    <row r="348" spans="2:5" x14ac:dyDescent="0.25">
      <c r="B348" s="23" t="s">
        <v>774</v>
      </c>
      <c r="C348" s="23" t="s">
        <v>773</v>
      </c>
      <c r="D348" s="23">
        <v>2020</v>
      </c>
      <c r="E348" s="3">
        <v>1.47</v>
      </c>
    </row>
    <row r="349" spans="2:5" x14ac:dyDescent="0.25">
      <c r="B349" s="23" t="s">
        <v>775</v>
      </c>
      <c r="C349" s="23" t="s">
        <v>773</v>
      </c>
      <c r="D349" s="23">
        <v>2030</v>
      </c>
      <c r="E349" s="3">
        <v>0.78400000000000003</v>
      </c>
    </row>
    <row r="350" spans="2:5" x14ac:dyDescent="0.25">
      <c r="B350" s="23" t="s">
        <v>776</v>
      </c>
      <c r="C350" s="23" t="s">
        <v>773</v>
      </c>
      <c r="D350" s="23">
        <v>2050</v>
      </c>
      <c r="E350" s="3">
        <v>0.49</v>
      </c>
    </row>
    <row r="351" spans="2:5" x14ac:dyDescent="0.25">
      <c r="B351" s="23" t="s">
        <v>777</v>
      </c>
      <c r="C351" s="23" t="s">
        <v>657</v>
      </c>
      <c r="D351" s="23">
        <v>2020</v>
      </c>
      <c r="E351" s="3">
        <v>0.71540000000000004</v>
      </c>
    </row>
    <row r="352" spans="2:5" x14ac:dyDescent="0.25">
      <c r="B352" s="23" t="s">
        <v>778</v>
      </c>
      <c r="C352" s="23" t="s">
        <v>659</v>
      </c>
      <c r="D352" s="23">
        <v>2020</v>
      </c>
      <c r="E352" s="3">
        <v>0.71540000000000004</v>
      </c>
    </row>
    <row r="353" spans="2:5" x14ac:dyDescent="0.25">
      <c r="B353" s="23" t="s">
        <v>779</v>
      </c>
      <c r="C353" s="23" t="s">
        <v>661</v>
      </c>
      <c r="D353" s="23">
        <v>2020</v>
      </c>
      <c r="E353" s="3">
        <v>0.71540000000000004</v>
      </c>
    </row>
    <row r="354" spans="2:5" x14ac:dyDescent="0.25">
      <c r="B354" s="23" t="s">
        <v>780</v>
      </c>
      <c r="C354" s="23" t="s">
        <v>663</v>
      </c>
      <c r="D354" s="23">
        <v>2020</v>
      </c>
      <c r="E354" s="3">
        <v>0.71540000000000004</v>
      </c>
    </row>
    <row r="355" spans="2:5" x14ac:dyDescent="0.25">
      <c r="B355" s="23" t="s">
        <v>781</v>
      </c>
      <c r="C355" s="23" t="s">
        <v>657</v>
      </c>
      <c r="D355" s="23">
        <v>2030</v>
      </c>
      <c r="E355" s="3">
        <v>0.68600000000000005</v>
      </c>
    </row>
    <row r="356" spans="2:5" x14ac:dyDescent="0.25">
      <c r="B356" s="23" t="s">
        <v>782</v>
      </c>
      <c r="C356" s="23" t="s">
        <v>659</v>
      </c>
      <c r="D356" s="23">
        <v>2030</v>
      </c>
      <c r="E356" s="3">
        <v>0.68600000000000005</v>
      </c>
    </row>
    <row r="357" spans="2:5" x14ac:dyDescent="0.25">
      <c r="B357" s="23" t="s">
        <v>783</v>
      </c>
      <c r="C357" s="23" t="s">
        <v>661</v>
      </c>
      <c r="D357" s="23">
        <v>2030</v>
      </c>
      <c r="E357" s="3">
        <v>0.68600000000000005</v>
      </c>
    </row>
    <row r="358" spans="2:5" x14ac:dyDescent="0.25">
      <c r="B358" s="23" t="s">
        <v>784</v>
      </c>
      <c r="C358" s="23" t="s">
        <v>663</v>
      </c>
      <c r="D358" s="23">
        <v>2030</v>
      </c>
      <c r="E358" s="3">
        <v>0.68600000000000005</v>
      </c>
    </row>
    <row r="359" spans="2:5" x14ac:dyDescent="0.25">
      <c r="B359" s="23" t="s">
        <v>785</v>
      </c>
      <c r="C359" s="23" t="s">
        <v>657</v>
      </c>
      <c r="D359" s="23">
        <v>2050</v>
      </c>
      <c r="E359" s="3">
        <v>0.66639999999999999</v>
      </c>
    </row>
    <row r="360" spans="2:5" x14ac:dyDescent="0.25">
      <c r="B360" s="23" t="s">
        <v>786</v>
      </c>
      <c r="C360" s="23" t="s">
        <v>659</v>
      </c>
      <c r="D360" s="23">
        <v>2050</v>
      </c>
      <c r="E360" s="3">
        <v>0.66639999999999999</v>
      </c>
    </row>
    <row r="361" spans="2:5" x14ac:dyDescent="0.25">
      <c r="B361" s="23" t="s">
        <v>787</v>
      </c>
      <c r="C361" s="23" t="s">
        <v>661</v>
      </c>
      <c r="D361" s="23">
        <v>2050</v>
      </c>
      <c r="E361" s="3">
        <v>0.66639999999999999</v>
      </c>
    </row>
    <row r="362" spans="2:5" x14ac:dyDescent="0.25">
      <c r="B362" s="23" t="s">
        <v>788</v>
      </c>
      <c r="C362" s="23" t="s">
        <v>663</v>
      </c>
      <c r="D362" s="23">
        <v>2050</v>
      </c>
      <c r="E362" s="3">
        <v>0.66639999999999999</v>
      </c>
    </row>
    <row r="363" spans="2:5" x14ac:dyDescent="0.25">
      <c r="B363" s="23" t="s">
        <v>789</v>
      </c>
      <c r="C363" s="23" t="s">
        <v>657</v>
      </c>
      <c r="D363" s="23">
        <v>2020</v>
      </c>
      <c r="E363" s="3">
        <v>0.57820000000000005</v>
      </c>
    </row>
    <row r="364" spans="2:5" x14ac:dyDescent="0.25">
      <c r="B364" s="23" t="s">
        <v>790</v>
      </c>
      <c r="C364" s="23" t="s">
        <v>659</v>
      </c>
      <c r="D364" s="23">
        <v>2020</v>
      </c>
      <c r="E364" s="3">
        <v>0.57820000000000005</v>
      </c>
    </row>
    <row r="365" spans="2:5" x14ac:dyDescent="0.25">
      <c r="B365" s="23" t="s">
        <v>791</v>
      </c>
      <c r="C365" s="23" t="s">
        <v>661</v>
      </c>
      <c r="D365" s="23">
        <v>2020</v>
      </c>
      <c r="E365" s="3">
        <v>0.57820000000000005</v>
      </c>
    </row>
    <row r="366" spans="2:5" x14ac:dyDescent="0.25">
      <c r="B366" s="23" t="s">
        <v>792</v>
      </c>
      <c r="C366" s="23" t="s">
        <v>663</v>
      </c>
      <c r="D366" s="23">
        <v>2020</v>
      </c>
      <c r="E366" s="3">
        <v>0.57820000000000005</v>
      </c>
    </row>
    <row r="367" spans="2:5" x14ac:dyDescent="0.25">
      <c r="B367" s="23" t="s">
        <v>793</v>
      </c>
      <c r="C367" s="23" t="s">
        <v>657</v>
      </c>
      <c r="D367" s="23">
        <v>2030</v>
      </c>
      <c r="E367" s="3">
        <v>0.54879999999999995</v>
      </c>
    </row>
    <row r="368" spans="2:5" x14ac:dyDescent="0.25">
      <c r="B368" s="23" t="s">
        <v>794</v>
      </c>
      <c r="C368" s="23" t="s">
        <v>659</v>
      </c>
      <c r="D368" s="23">
        <v>2030</v>
      </c>
      <c r="E368" s="3">
        <v>0.54879999999999995</v>
      </c>
    </row>
    <row r="369" spans="2:5" x14ac:dyDescent="0.25">
      <c r="B369" s="23" t="s">
        <v>795</v>
      </c>
      <c r="C369" s="23" t="s">
        <v>661</v>
      </c>
      <c r="D369" s="23">
        <v>2030</v>
      </c>
      <c r="E369" s="3">
        <v>0.54879999999999995</v>
      </c>
    </row>
    <row r="370" spans="2:5" x14ac:dyDescent="0.25">
      <c r="B370" s="23" t="s">
        <v>796</v>
      </c>
      <c r="C370" s="23" t="s">
        <v>663</v>
      </c>
      <c r="D370" s="23">
        <v>2030</v>
      </c>
      <c r="E370" s="3">
        <v>0.54879999999999995</v>
      </c>
    </row>
    <row r="371" spans="2:5" x14ac:dyDescent="0.25">
      <c r="B371" s="23" t="s">
        <v>797</v>
      </c>
      <c r="C371" s="23" t="s">
        <v>657</v>
      </c>
      <c r="D371" s="23">
        <v>2050</v>
      </c>
      <c r="E371" s="3">
        <v>0.50960000000000005</v>
      </c>
    </row>
    <row r="372" spans="2:5" x14ac:dyDescent="0.25">
      <c r="B372" s="23" t="s">
        <v>798</v>
      </c>
      <c r="C372" s="23" t="s">
        <v>659</v>
      </c>
      <c r="D372" s="23">
        <v>2050</v>
      </c>
      <c r="E372" s="3">
        <v>0.50960000000000005</v>
      </c>
    </row>
    <row r="373" spans="2:5" x14ac:dyDescent="0.25">
      <c r="B373" s="23" t="s">
        <v>799</v>
      </c>
      <c r="C373" s="23" t="s">
        <v>661</v>
      </c>
      <c r="D373" s="23">
        <v>2050</v>
      </c>
      <c r="E373" s="3">
        <v>0.50960000000000005</v>
      </c>
    </row>
    <row r="374" spans="2:5" x14ac:dyDescent="0.25">
      <c r="B374" s="23" t="s">
        <v>800</v>
      </c>
      <c r="C374" s="23" t="s">
        <v>663</v>
      </c>
      <c r="D374" s="23">
        <v>2050</v>
      </c>
      <c r="E374" s="3">
        <v>0.50960000000000005</v>
      </c>
    </row>
    <row r="375" spans="2:5" x14ac:dyDescent="0.25">
      <c r="B375" s="23" t="s">
        <v>801</v>
      </c>
      <c r="C375" s="23" t="s">
        <v>657</v>
      </c>
      <c r="D375" s="23">
        <v>2020</v>
      </c>
      <c r="E375" s="3">
        <v>0.71540000000000004</v>
      </c>
    </row>
    <row r="376" spans="2:5" x14ac:dyDescent="0.25">
      <c r="B376" s="23" t="s">
        <v>802</v>
      </c>
      <c r="C376" s="23" t="s">
        <v>659</v>
      </c>
      <c r="D376" s="23">
        <v>2020</v>
      </c>
      <c r="E376" s="3">
        <v>0.71540000000000004</v>
      </c>
    </row>
    <row r="377" spans="2:5" x14ac:dyDescent="0.25">
      <c r="B377" s="23" t="s">
        <v>803</v>
      </c>
      <c r="C377" s="23" t="s">
        <v>661</v>
      </c>
      <c r="D377" s="23">
        <v>2020</v>
      </c>
      <c r="E377" s="3">
        <v>0.71540000000000004</v>
      </c>
    </row>
    <row r="378" spans="2:5" x14ac:dyDescent="0.25">
      <c r="B378" s="23" t="s">
        <v>804</v>
      </c>
      <c r="C378" s="23" t="s">
        <v>663</v>
      </c>
      <c r="D378" s="23">
        <v>2020</v>
      </c>
      <c r="E378" s="3">
        <v>0.71540000000000004</v>
      </c>
    </row>
    <row r="379" spans="2:5" x14ac:dyDescent="0.25">
      <c r="B379" s="23" t="s">
        <v>805</v>
      </c>
      <c r="C379" s="23" t="s">
        <v>657</v>
      </c>
      <c r="D379" s="23">
        <v>2030</v>
      </c>
      <c r="E379" s="3">
        <v>0.68600000000000005</v>
      </c>
    </row>
    <row r="380" spans="2:5" x14ac:dyDescent="0.25">
      <c r="B380" s="23" t="s">
        <v>806</v>
      </c>
      <c r="C380" s="23" t="s">
        <v>659</v>
      </c>
      <c r="D380" s="23">
        <v>2030</v>
      </c>
      <c r="E380" s="3">
        <v>0.68600000000000005</v>
      </c>
    </row>
    <row r="381" spans="2:5" x14ac:dyDescent="0.25">
      <c r="B381" s="23" t="s">
        <v>807</v>
      </c>
      <c r="C381" s="23" t="s">
        <v>661</v>
      </c>
      <c r="D381" s="23">
        <v>2030</v>
      </c>
      <c r="E381" s="3">
        <v>0.68600000000000005</v>
      </c>
    </row>
    <row r="382" spans="2:5" x14ac:dyDescent="0.25">
      <c r="B382" s="23" t="s">
        <v>808</v>
      </c>
      <c r="C382" s="23" t="s">
        <v>663</v>
      </c>
      <c r="D382" s="23">
        <v>2030</v>
      </c>
      <c r="E382" s="3">
        <v>0.68600000000000005</v>
      </c>
    </row>
    <row r="383" spans="2:5" x14ac:dyDescent="0.25">
      <c r="B383" s="23" t="s">
        <v>809</v>
      </c>
      <c r="C383" s="23" t="s">
        <v>657</v>
      </c>
      <c r="D383" s="23">
        <v>2050</v>
      </c>
      <c r="E383" s="3">
        <v>0.66639999999999999</v>
      </c>
    </row>
    <row r="384" spans="2:5" x14ac:dyDescent="0.25">
      <c r="B384" s="23" t="s">
        <v>810</v>
      </c>
      <c r="C384" s="23" t="s">
        <v>659</v>
      </c>
      <c r="D384" s="23">
        <v>2050</v>
      </c>
      <c r="E384" s="3">
        <v>0.66639999999999999</v>
      </c>
    </row>
    <row r="385" spans="2:5" x14ac:dyDescent="0.25">
      <c r="B385" s="23" t="s">
        <v>811</v>
      </c>
      <c r="C385" s="23" t="s">
        <v>661</v>
      </c>
      <c r="D385" s="23">
        <v>2050</v>
      </c>
      <c r="E385" s="3">
        <v>0.66639999999999999</v>
      </c>
    </row>
    <row r="386" spans="2:5" x14ac:dyDescent="0.25">
      <c r="B386" s="23" t="s">
        <v>812</v>
      </c>
      <c r="C386" s="23" t="s">
        <v>663</v>
      </c>
      <c r="D386" s="23">
        <v>2050</v>
      </c>
      <c r="E386" s="3">
        <v>0.66639999999999999</v>
      </c>
    </row>
    <row r="387" spans="2:5" x14ac:dyDescent="0.25">
      <c r="B387" s="23" t="s">
        <v>813</v>
      </c>
      <c r="C387" s="23" t="s">
        <v>657</v>
      </c>
      <c r="D387" s="23">
        <v>2020</v>
      </c>
      <c r="E387" s="3">
        <v>0.57820000000000005</v>
      </c>
    </row>
    <row r="388" spans="2:5" x14ac:dyDescent="0.25">
      <c r="B388" s="23" t="s">
        <v>814</v>
      </c>
      <c r="C388" s="23" t="s">
        <v>659</v>
      </c>
      <c r="D388" s="23">
        <v>2020</v>
      </c>
      <c r="E388" s="3">
        <v>0.57820000000000005</v>
      </c>
    </row>
    <row r="389" spans="2:5" x14ac:dyDescent="0.25">
      <c r="B389" s="23" t="s">
        <v>815</v>
      </c>
      <c r="C389" s="23" t="s">
        <v>661</v>
      </c>
      <c r="D389" s="23">
        <v>2020</v>
      </c>
      <c r="E389" s="3">
        <v>0.57820000000000005</v>
      </c>
    </row>
    <row r="390" spans="2:5" x14ac:dyDescent="0.25">
      <c r="B390" s="23" t="s">
        <v>816</v>
      </c>
      <c r="C390" s="23" t="s">
        <v>663</v>
      </c>
      <c r="D390" s="23">
        <v>2020</v>
      </c>
      <c r="E390" s="3">
        <v>0.57820000000000005</v>
      </c>
    </row>
    <row r="391" spans="2:5" x14ac:dyDescent="0.25">
      <c r="B391" s="23" t="s">
        <v>817</v>
      </c>
      <c r="C391" s="23" t="s">
        <v>657</v>
      </c>
      <c r="D391" s="23">
        <v>2030</v>
      </c>
      <c r="E391" s="3">
        <v>0.54879999999999995</v>
      </c>
    </row>
    <row r="392" spans="2:5" x14ac:dyDescent="0.25">
      <c r="B392" s="23" t="s">
        <v>818</v>
      </c>
      <c r="C392" s="23" t="s">
        <v>659</v>
      </c>
      <c r="D392" s="23">
        <v>2030</v>
      </c>
      <c r="E392" s="3">
        <v>0.54879999999999995</v>
      </c>
    </row>
    <row r="393" spans="2:5" x14ac:dyDescent="0.25">
      <c r="B393" s="23" t="s">
        <v>819</v>
      </c>
      <c r="C393" s="23" t="s">
        <v>661</v>
      </c>
      <c r="D393" s="23">
        <v>2030</v>
      </c>
      <c r="E393" s="3">
        <v>0.54879999999999995</v>
      </c>
    </row>
    <row r="394" spans="2:5" x14ac:dyDescent="0.25">
      <c r="B394" s="23" t="s">
        <v>820</v>
      </c>
      <c r="C394" s="23" t="s">
        <v>663</v>
      </c>
      <c r="D394" s="23">
        <v>2030</v>
      </c>
      <c r="E394" s="3">
        <v>0.54879999999999995</v>
      </c>
    </row>
    <row r="395" spans="2:5" x14ac:dyDescent="0.25">
      <c r="B395" s="23" t="s">
        <v>821</v>
      </c>
      <c r="C395" s="23" t="s">
        <v>657</v>
      </c>
      <c r="D395" s="23">
        <v>2050</v>
      </c>
      <c r="E395" s="3">
        <v>0.50960000000000005</v>
      </c>
    </row>
    <row r="396" spans="2:5" x14ac:dyDescent="0.25">
      <c r="B396" s="23" t="s">
        <v>822</v>
      </c>
      <c r="C396" s="23" t="s">
        <v>659</v>
      </c>
      <c r="D396" s="23">
        <v>2050</v>
      </c>
      <c r="E396" s="3">
        <v>0.50960000000000005</v>
      </c>
    </row>
    <row r="397" spans="2:5" x14ac:dyDescent="0.25">
      <c r="B397" s="23" t="s">
        <v>823</v>
      </c>
      <c r="C397" s="23" t="s">
        <v>661</v>
      </c>
      <c r="D397" s="23">
        <v>2050</v>
      </c>
      <c r="E397" s="3">
        <v>0.50960000000000005</v>
      </c>
    </row>
    <row r="398" spans="2:5" x14ac:dyDescent="0.25">
      <c r="B398" s="23" t="s">
        <v>824</v>
      </c>
      <c r="C398" s="23" t="s">
        <v>663</v>
      </c>
      <c r="D398" s="23">
        <v>2050</v>
      </c>
      <c r="E398" s="3">
        <v>0.50960000000000005</v>
      </c>
    </row>
    <row r="399" spans="2:5" x14ac:dyDescent="0.25">
      <c r="B399" s="23" t="s">
        <v>825</v>
      </c>
      <c r="C399" s="23" t="s">
        <v>773</v>
      </c>
      <c r="D399" s="23">
        <v>2015</v>
      </c>
      <c r="E399" s="3">
        <v>4.8000000000000001E-5</v>
      </c>
    </row>
    <row r="400" spans="2:5" x14ac:dyDescent="0.25">
      <c r="B400" s="23" t="s">
        <v>826</v>
      </c>
      <c r="C400" s="23" t="s">
        <v>773</v>
      </c>
      <c r="D400" s="23">
        <v>2030</v>
      </c>
      <c r="E400" s="3">
        <v>3.6999999999999998E-5</v>
      </c>
    </row>
    <row r="401" spans="2:5" x14ac:dyDescent="0.25">
      <c r="B401" s="23" t="s">
        <v>827</v>
      </c>
      <c r="C401" s="23" t="s">
        <v>773</v>
      </c>
      <c r="D401" s="23">
        <v>2015</v>
      </c>
      <c r="E401" s="3">
        <v>8.5000000000000006E-5</v>
      </c>
    </row>
    <row r="402" spans="2:5" x14ac:dyDescent="0.25">
      <c r="B402" s="23" t="s">
        <v>828</v>
      </c>
      <c r="C402" s="23" t="s">
        <v>773</v>
      </c>
      <c r="D402" s="23">
        <v>2030</v>
      </c>
      <c r="E402" s="3">
        <v>6.6000000000000005E-5</v>
      </c>
    </row>
    <row r="403" spans="2:5" x14ac:dyDescent="0.25">
      <c r="B403" s="23" t="s">
        <v>829</v>
      </c>
      <c r="C403" s="23" t="s">
        <v>773</v>
      </c>
      <c r="D403" s="23">
        <v>2015</v>
      </c>
      <c r="E403" s="3">
        <v>1.2999999999999999E-5</v>
      </c>
    </row>
    <row r="404" spans="2:5" x14ac:dyDescent="0.25">
      <c r="B404" s="23" t="s">
        <v>830</v>
      </c>
      <c r="C404" s="23" t="s">
        <v>773</v>
      </c>
      <c r="D404" s="23">
        <v>2030</v>
      </c>
      <c r="E404" s="3">
        <v>1.0000000000000001E-5</v>
      </c>
    </row>
    <row r="405" spans="2:5" x14ac:dyDescent="0.25">
      <c r="B405" s="23" t="s">
        <v>831</v>
      </c>
      <c r="C405" s="23" t="s">
        <v>260</v>
      </c>
      <c r="D405" s="23">
        <v>2020</v>
      </c>
      <c r="E405" s="3">
        <v>0.64483999999999997</v>
      </c>
    </row>
    <row r="406" spans="2:5" x14ac:dyDescent="0.25">
      <c r="B406" s="23" t="s">
        <v>832</v>
      </c>
      <c r="C406" s="23" t="s">
        <v>260</v>
      </c>
      <c r="D406" s="23">
        <v>2030</v>
      </c>
      <c r="E406" s="3">
        <v>0.58035599999999998</v>
      </c>
    </row>
    <row r="407" spans="2:5" x14ac:dyDescent="0.25">
      <c r="B407" s="23" t="s">
        <v>833</v>
      </c>
      <c r="C407" s="23" t="s">
        <v>260</v>
      </c>
      <c r="D407" s="23">
        <v>2050</v>
      </c>
      <c r="E407" s="3">
        <v>0.52232040000000002</v>
      </c>
    </row>
    <row r="408" spans="2:5" x14ac:dyDescent="0.25">
      <c r="B408" s="23" t="s">
        <v>834</v>
      </c>
      <c r="C408" s="23" t="s">
        <v>260</v>
      </c>
      <c r="D408" s="23">
        <v>2020</v>
      </c>
      <c r="E408" s="3">
        <v>0.64483999999999997</v>
      </c>
    </row>
    <row r="409" spans="2:5" x14ac:dyDescent="0.25">
      <c r="B409" s="23" t="s">
        <v>835</v>
      </c>
      <c r="C409" s="23" t="s">
        <v>260</v>
      </c>
      <c r="D409" s="23">
        <v>2030</v>
      </c>
      <c r="E409" s="3">
        <v>0.58035599999999998</v>
      </c>
    </row>
    <row r="410" spans="2:5" x14ac:dyDescent="0.25">
      <c r="B410" s="23" t="s">
        <v>836</v>
      </c>
      <c r="C410" s="23" t="s">
        <v>260</v>
      </c>
      <c r="D410" s="23">
        <v>2050</v>
      </c>
      <c r="E410" s="3">
        <v>0.52232040000000002</v>
      </c>
    </row>
    <row r="411" spans="2:5" x14ac:dyDescent="0.25">
      <c r="B411" s="23" t="s">
        <v>837</v>
      </c>
      <c r="C411" s="23" t="s">
        <v>270</v>
      </c>
      <c r="D411" s="23">
        <v>2020</v>
      </c>
      <c r="E411" s="3">
        <v>1.9894000000000001</v>
      </c>
    </row>
    <row r="412" spans="2:5" x14ac:dyDescent="0.25">
      <c r="B412" s="23" t="s">
        <v>838</v>
      </c>
      <c r="C412" s="23" t="s">
        <v>198</v>
      </c>
      <c r="D412" s="23">
        <v>2020</v>
      </c>
      <c r="E412" s="3">
        <v>1.9894000000000001</v>
      </c>
    </row>
    <row r="413" spans="2:5" x14ac:dyDescent="0.25">
      <c r="B413" s="23" t="s">
        <v>839</v>
      </c>
      <c r="C413" s="23" t="s">
        <v>271</v>
      </c>
      <c r="D413" s="23">
        <v>2020</v>
      </c>
      <c r="E413" s="3">
        <v>1.9894000000000001</v>
      </c>
    </row>
    <row r="414" spans="2:5" x14ac:dyDescent="0.25">
      <c r="B414" s="23" t="s">
        <v>840</v>
      </c>
      <c r="C414" s="23" t="s">
        <v>270</v>
      </c>
      <c r="D414" s="23">
        <v>2030</v>
      </c>
      <c r="E414" s="3">
        <v>1.9501999999999999</v>
      </c>
    </row>
    <row r="415" spans="2:5" x14ac:dyDescent="0.25">
      <c r="B415" s="23" t="s">
        <v>841</v>
      </c>
      <c r="C415" s="23" t="s">
        <v>198</v>
      </c>
      <c r="D415" s="23">
        <v>2030</v>
      </c>
      <c r="E415" s="3">
        <v>1.9501999999999999</v>
      </c>
    </row>
    <row r="416" spans="2:5" x14ac:dyDescent="0.25">
      <c r="B416" s="23" t="s">
        <v>842</v>
      </c>
      <c r="C416" s="23" t="s">
        <v>271</v>
      </c>
      <c r="D416" s="23">
        <v>2030</v>
      </c>
      <c r="E416" s="3">
        <v>1.9501999999999999</v>
      </c>
    </row>
    <row r="417" spans="2:5" x14ac:dyDescent="0.25">
      <c r="B417" s="23" t="s">
        <v>843</v>
      </c>
      <c r="C417" s="23" t="s">
        <v>270</v>
      </c>
      <c r="D417" s="23">
        <v>2050</v>
      </c>
      <c r="E417" s="3">
        <v>1.8522000000000001</v>
      </c>
    </row>
    <row r="418" spans="2:5" x14ac:dyDescent="0.25">
      <c r="B418" s="23" t="s">
        <v>844</v>
      </c>
      <c r="C418" s="23" t="s">
        <v>198</v>
      </c>
      <c r="D418" s="23">
        <v>2050</v>
      </c>
      <c r="E418" s="3">
        <v>1.8522000000000001</v>
      </c>
    </row>
    <row r="419" spans="2:5" x14ac:dyDescent="0.25">
      <c r="B419" s="23" t="s">
        <v>845</v>
      </c>
      <c r="C419" s="23" t="s">
        <v>271</v>
      </c>
      <c r="D419" s="23">
        <v>2050</v>
      </c>
      <c r="E419" s="3">
        <v>1.8522000000000001</v>
      </c>
    </row>
    <row r="420" spans="2:5" x14ac:dyDescent="0.25">
      <c r="B420" s="23" t="s">
        <v>846</v>
      </c>
      <c r="C420" s="23" t="s">
        <v>270</v>
      </c>
      <c r="D420" s="23">
        <v>2020</v>
      </c>
      <c r="E420" s="3">
        <v>1.9894000000000001</v>
      </c>
    </row>
    <row r="421" spans="2:5" x14ac:dyDescent="0.25">
      <c r="B421" s="23" t="s">
        <v>847</v>
      </c>
      <c r="C421" s="23" t="s">
        <v>198</v>
      </c>
      <c r="D421" s="23">
        <v>2020</v>
      </c>
      <c r="E421" s="3">
        <v>1.9894000000000001</v>
      </c>
    </row>
    <row r="422" spans="2:5" x14ac:dyDescent="0.25">
      <c r="B422" s="23" t="s">
        <v>848</v>
      </c>
      <c r="C422" s="23" t="s">
        <v>271</v>
      </c>
      <c r="D422" s="23">
        <v>2020</v>
      </c>
      <c r="E422" s="3">
        <v>1.9894000000000001</v>
      </c>
    </row>
    <row r="423" spans="2:5" x14ac:dyDescent="0.25">
      <c r="B423" s="23" t="s">
        <v>849</v>
      </c>
      <c r="C423" s="23" t="s">
        <v>270</v>
      </c>
      <c r="D423" s="23">
        <v>2030</v>
      </c>
      <c r="E423" s="3">
        <v>1.9501999999999999</v>
      </c>
    </row>
    <row r="424" spans="2:5" x14ac:dyDescent="0.25">
      <c r="B424" s="23" t="s">
        <v>850</v>
      </c>
      <c r="C424" s="23" t="s">
        <v>198</v>
      </c>
      <c r="D424" s="23">
        <v>2030</v>
      </c>
      <c r="E424" s="3">
        <v>1.9501999999999999</v>
      </c>
    </row>
    <row r="425" spans="2:5" x14ac:dyDescent="0.25">
      <c r="B425" s="23" t="s">
        <v>851</v>
      </c>
      <c r="C425" s="23" t="s">
        <v>271</v>
      </c>
      <c r="D425" s="23">
        <v>2030</v>
      </c>
      <c r="E425" s="3">
        <v>1.9501999999999999</v>
      </c>
    </row>
    <row r="426" spans="2:5" x14ac:dyDescent="0.25">
      <c r="B426" s="23" t="s">
        <v>852</v>
      </c>
      <c r="C426" s="23" t="s">
        <v>270</v>
      </c>
      <c r="D426" s="23">
        <v>2050</v>
      </c>
      <c r="E426" s="3">
        <v>1.8522000000000001</v>
      </c>
    </row>
    <row r="427" spans="2:5" x14ac:dyDescent="0.25">
      <c r="B427" s="23" t="s">
        <v>853</v>
      </c>
      <c r="C427" s="23" t="s">
        <v>198</v>
      </c>
      <c r="D427" s="23">
        <v>2050</v>
      </c>
      <c r="E427" s="3">
        <v>1.8522000000000001</v>
      </c>
    </row>
    <row r="428" spans="2:5" x14ac:dyDescent="0.25">
      <c r="B428" s="23" t="s">
        <v>854</v>
      </c>
      <c r="C428" s="23" t="s">
        <v>271</v>
      </c>
      <c r="D428" s="23">
        <v>2050</v>
      </c>
      <c r="E428" s="3">
        <v>1.8522000000000001</v>
      </c>
    </row>
    <row r="429" spans="2:5" x14ac:dyDescent="0.25">
      <c r="B429" s="23" t="s">
        <v>855</v>
      </c>
      <c r="C429" s="23" t="s">
        <v>657</v>
      </c>
      <c r="D429" s="23">
        <v>2020</v>
      </c>
      <c r="E429" s="3">
        <v>1.274</v>
      </c>
    </row>
    <row r="430" spans="2:5" x14ac:dyDescent="0.25">
      <c r="B430" s="23" t="s">
        <v>856</v>
      </c>
      <c r="C430" s="23" t="s">
        <v>659</v>
      </c>
      <c r="D430" s="23">
        <v>2020</v>
      </c>
      <c r="E430" s="3">
        <v>1.274</v>
      </c>
    </row>
    <row r="431" spans="2:5" x14ac:dyDescent="0.25">
      <c r="B431" s="23" t="s">
        <v>857</v>
      </c>
      <c r="C431" s="23" t="s">
        <v>661</v>
      </c>
      <c r="D431" s="23">
        <v>2020</v>
      </c>
      <c r="E431" s="3">
        <v>1.274</v>
      </c>
    </row>
    <row r="432" spans="2:5" x14ac:dyDescent="0.25">
      <c r="B432" s="23" t="s">
        <v>858</v>
      </c>
      <c r="C432" s="23" t="s">
        <v>663</v>
      </c>
      <c r="D432" s="23">
        <v>2020</v>
      </c>
      <c r="E432" s="3">
        <v>1.274</v>
      </c>
    </row>
    <row r="433" spans="2:5" x14ac:dyDescent="0.25">
      <c r="B433" s="23" t="s">
        <v>859</v>
      </c>
      <c r="C433" s="23" t="s">
        <v>657</v>
      </c>
      <c r="D433" s="23">
        <v>2030</v>
      </c>
      <c r="E433" s="3">
        <v>1.274</v>
      </c>
    </row>
    <row r="434" spans="2:5" x14ac:dyDescent="0.25">
      <c r="B434" s="23" t="s">
        <v>860</v>
      </c>
      <c r="C434" s="23" t="s">
        <v>659</v>
      </c>
      <c r="D434" s="23">
        <v>2030</v>
      </c>
      <c r="E434" s="3">
        <v>1.274</v>
      </c>
    </row>
    <row r="435" spans="2:5" x14ac:dyDescent="0.25">
      <c r="B435" s="23" t="s">
        <v>861</v>
      </c>
      <c r="C435" s="23" t="s">
        <v>661</v>
      </c>
      <c r="D435" s="23">
        <v>2030</v>
      </c>
      <c r="E435" s="3">
        <v>1.274</v>
      </c>
    </row>
    <row r="436" spans="2:5" x14ac:dyDescent="0.25">
      <c r="B436" s="23" t="s">
        <v>862</v>
      </c>
      <c r="C436" s="23" t="s">
        <v>663</v>
      </c>
      <c r="D436" s="23">
        <v>2030</v>
      </c>
      <c r="E436" s="3">
        <v>1.274</v>
      </c>
    </row>
    <row r="437" spans="2:5" x14ac:dyDescent="0.25">
      <c r="B437" s="23" t="s">
        <v>863</v>
      </c>
      <c r="C437" s="23" t="s">
        <v>657</v>
      </c>
      <c r="D437" s="23">
        <v>2050</v>
      </c>
      <c r="E437" s="3">
        <v>1.274</v>
      </c>
    </row>
    <row r="438" spans="2:5" x14ac:dyDescent="0.25">
      <c r="B438" s="23" t="s">
        <v>864</v>
      </c>
      <c r="C438" s="23" t="s">
        <v>659</v>
      </c>
      <c r="D438" s="23">
        <v>2050</v>
      </c>
      <c r="E438" s="3">
        <v>1.274</v>
      </c>
    </row>
    <row r="439" spans="2:5" x14ac:dyDescent="0.25">
      <c r="B439" s="23" t="s">
        <v>865</v>
      </c>
      <c r="C439" s="23" t="s">
        <v>661</v>
      </c>
      <c r="D439" s="23">
        <v>2050</v>
      </c>
      <c r="E439" s="3">
        <v>1.274</v>
      </c>
    </row>
    <row r="440" spans="2:5" x14ac:dyDescent="0.25">
      <c r="B440" s="23" t="s">
        <v>866</v>
      </c>
      <c r="C440" s="23" t="s">
        <v>663</v>
      </c>
      <c r="D440" s="23">
        <v>2050</v>
      </c>
      <c r="E440" s="3">
        <v>1.274</v>
      </c>
    </row>
    <row r="441" spans="2:5" x14ac:dyDescent="0.25">
      <c r="B441" s="23" t="s">
        <v>867</v>
      </c>
      <c r="C441" s="23" t="s">
        <v>657</v>
      </c>
      <c r="D441" s="23">
        <v>2020</v>
      </c>
      <c r="E441" s="3">
        <v>1.274</v>
      </c>
    </row>
    <row r="442" spans="2:5" x14ac:dyDescent="0.25">
      <c r="B442" s="23" t="s">
        <v>868</v>
      </c>
      <c r="C442" s="23" t="s">
        <v>659</v>
      </c>
      <c r="D442" s="23">
        <v>2020</v>
      </c>
      <c r="E442" s="3">
        <v>1.274</v>
      </c>
    </row>
    <row r="443" spans="2:5" x14ac:dyDescent="0.25">
      <c r="B443" s="23" t="s">
        <v>869</v>
      </c>
      <c r="C443" s="23" t="s">
        <v>661</v>
      </c>
      <c r="D443" s="23">
        <v>2020</v>
      </c>
      <c r="E443" s="3">
        <v>1.274</v>
      </c>
    </row>
    <row r="444" spans="2:5" x14ac:dyDescent="0.25">
      <c r="B444" s="23" t="s">
        <v>870</v>
      </c>
      <c r="C444" s="23" t="s">
        <v>663</v>
      </c>
      <c r="D444" s="23">
        <v>2020</v>
      </c>
      <c r="E444" s="3">
        <v>1.274</v>
      </c>
    </row>
    <row r="445" spans="2:5" x14ac:dyDescent="0.25">
      <c r="B445" s="23" t="s">
        <v>871</v>
      </c>
      <c r="C445" s="23" t="s">
        <v>657</v>
      </c>
      <c r="D445" s="23">
        <v>2030</v>
      </c>
      <c r="E445" s="3">
        <v>1.274</v>
      </c>
    </row>
    <row r="446" spans="2:5" x14ac:dyDescent="0.25">
      <c r="B446" s="23" t="s">
        <v>872</v>
      </c>
      <c r="C446" s="23" t="s">
        <v>659</v>
      </c>
      <c r="D446" s="23">
        <v>2030</v>
      </c>
      <c r="E446" s="3">
        <v>1.274</v>
      </c>
    </row>
    <row r="447" spans="2:5" x14ac:dyDescent="0.25">
      <c r="B447" s="23" t="s">
        <v>873</v>
      </c>
      <c r="C447" s="23" t="s">
        <v>661</v>
      </c>
      <c r="D447" s="23">
        <v>2030</v>
      </c>
      <c r="E447" s="3">
        <v>1.274</v>
      </c>
    </row>
    <row r="448" spans="2:5" x14ac:dyDescent="0.25">
      <c r="B448" s="23" t="s">
        <v>874</v>
      </c>
      <c r="C448" s="23" t="s">
        <v>663</v>
      </c>
      <c r="D448" s="23">
        <v>2030</v>
      </c>
      <c r="E448" s="3">
        <v>1.274</v>
      </c>
    </row>
    <row r="449" spans="2:5" x14ac:dyDescent="0.25">
      <c r="B449" s="23" t="s">
        <v>875</v>
      </c>
      <c r="C449" s="23" t="s">
        <v>657</v>
      </c>
      <c r="D449" s="23">
        <v>2050</v>
      </c>
      <c r="E449" s="3">
        <v>1.274</v>
      </c>
    </row>
    <row r="450" spans="2:5" x14ac:dyDescent="0.25">
      <c r="B450" s="23" t="s">
        <v>876</v>
      </c>
      <c r="C450" s="23" t="s">
        <v>659</v>
      </c>
      <c r="D450" s="23">
        <v>2050</v>
      </c>
      <c r="E450" s="3">
        <v>1.274</v>
      </c>
    </row>
    <row r="451" spans="2:5" x14ac:dyDescent="0.25">
      <c r="B451" s="23" t="s">
        <v>877</v>
      </c>
      <c r="C451" s="23" t="s">
        <v>661</v>
      </c>
      <c r="D451" s="23">
        <v>2050</v>
      </c>
      <c r="E451" s="3">
        <v>1.274</v>
      </c>
    </row>
    <row r="452" spans="2:5" x14ac:dyDescent="0.25">
      <c r="B452" s="23" t="s">
        <v>878</v>
      </c>
      <c r="C452" s="23" t="s">
        <v>663</v>
      </c>
      <c r="D452" s="23">
        <v>2050</v>
      </c>
      <c r="E452" s="3">
        <v>1.274</v>
      </c>
    </row>
  </sheetData>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C5:G41"/>
  <sheetViews>
    <sheetView workbookViewId="0">
      <selection activeCell="D17" sqref="D17"/>
    </sheetView>
  </sheetViews>
  <sheetFormatPr defaultRowHeight="15" x14ac:dyDescent="0.25"/>
  <cols>
    <col min="3" max="3" width="16.85546875" customWidth="1"/>
    <col min="4" max="4" width="16.28515625" bestFit="1" customWidth="1"/>
    <col min="5" max="5" width="7.85546875" customWidth="1"/>
    <col min="6" max="6" width="15.42578125" bestFit="1" customWidth="1"/>
    <col min="7" max="7" width="12" customWidth="1"/>
    <col min="8" max="8" width="15.42578125" bestFit="1" customWidth="1"/>
    <col min="9" max="9" width="12" bestFit="1" customWidth="1"/>
  </cols>
  <sheetData>
    <row r="5" spans="3:7" x14ac:dyDescent="0.25">
      <c r="C5" s="1" t="s">
        <v>80</v>
      </c>
      <c r="F5" s="1" t="s">
        <v>320</v>
      </c>
    </row>
    <row r="6" spans="3:7" x14ac:dyDescent="0.25">
      <c r="C6" s="1" t="s">
        <v>321</v>
      </c>
      <c r="D6" s="1" t="s">
        <v>15</v>
      </c>
      <c r="E6" s="1" t="s">
        <v>61</v>
      </c>
      <c r="F6" s="23" t="s">
        <v>304</v>
      </c>
      <c r="G6" s="23" t="s">
        <v>0</v>
      </c>
    </row>
    <row r="7" spans="3:7" x14ac:dyDescent="0.25">
      <c r="C7" s="23" t="s">
        <v>305</v>
      </c>
      <c r="D7" s="23" t="s">
        <v>306</v>
      </c>
      <c r="E7" s="23" t="s">
        <v>310</v>
      </c>
      <c r="F7" s="3">
        <v>116258.263974524</v>
      </c>
      <c r="G7" s="3">
        <v>116258.263974524</v>
      </c>
    </row>
    <row r="8" spans="3:7" x14ac:dyDescent="0.25">
      <c r="C8" s="23" t="s">
        <v>305</v>
      </c>
      <c r="D8" s="23" t="s">
        <v>306</v>
      </c>
      <c r="E8" s="23" t="s">
        <v>311</v>
      </c>
      <c r="F8" s="3">
        <v>123501.166906739</v>
      </c>
      <c r="G8" s="3">
        <v>123501.166906739</v>
      </c>
    </row>
    <row r="9" spans="3:7" x14ac:dyDescent="0.25">
      <c r="C9" s="23" t="s">
        <v>305</v>
      </c>
      <c r="D9" s="23" t="s">
        <v>306</v>
      </c>
      <c r="E9" s="23" t="s">
        <v>312</v>
      </c>
      <c r="F9" s="3">
        <v>144822.05701212099</v>
      </c>
      <c r="G9" s="3">
        <v>144822.05701212099</v>
      </c>
    </row>
    <row r="10" spans="3:7" x14ac:dyDescent="0.25">
      <c r="C10" s="23" t="s">
        <v>305</v>
      </c>
      <c r="D10" s="23" t="s">
        <v>306</v>
      </c>
      <c r="E10" s="23" t="s">
        <v>313</v>
      </c>
      <c r="F10" s="3">
        <v>124309.04158685</v>
      </c>
      <c r="G10" s="3">
        <v>124309.04158685</v>
      </c>
    </row>
    <row r="11" spans="3:7" x14ac:dyDescent="0.25">
      <c r="C11" s="23" t="s">
        <v>305</v>
      </c>
      <c r="D11" s="23" t="s">
        <v>306</v>
      </c>
      <c r="E11" s="23" t="s">
        <v>308</v>
      </c>
      <c r="F11" s="3">
        <v>119672.408405265</v>
      </c>
      <c r="G11" s="3">
        <v>119672.408405265</v>
      </c>
    </row>
    <row r="12" spans="3:7" x14ac:dyDescent="0.25">
      <c r="C12" s="23" t="s">
        <v>305</v>
      </c>
      <c r="D12" s="23" t="s">
        <v>306</v>
      </c>
      <c r="E12" s="23" t="s">
        <v>314</v>
      </c>
      <c r="F12" s="3">
        <v>143439.45783812701</v>
      </c>
      <c r="G12" s="3">
        <v>143439.45783812701</v>
      </c>
    </row>
    <row r="13" spans="3:7" x14ac:dyDescent="0.25">
      <c r="C13" s="23" t="s">
        <v>305</v>
      </c>
      <c r="D13" s="23" t="s">
        <v>306</v>
      </c>
      <c r="E13" s="23" t="s">
        <v>309</v>
      </c>
      <c r="F13" s="3">
        <v>119448.73291969</v>
      </c>
      <c r="G13" s="3">
        <v>119448.73291969</v>
      </c>
    </row>
    <row r="14" spans="3:7" x14ac:dyDescent="0.25">
      <c r="C14" s="23" t="s">
        <v>305</v>
      </c>
      <c r="D14" s="23" t="s">
        <v>306</v>
      </c>
      <c r="E14" s="23" t="s">
        <v>315</v>
      </c>
      <c r="F14" s="3">
        <v>152809.84554481899</v>
      </c>
      <c r="G14" s="3">
        <v>152809.84554481899</v>
      </c>
    </row>
    <row r="15" spans="3:7" x14ac:dyDescent="0.25">
      <c r="C15" s="23" t="s">
        <v>305</v>
      </c>
      <c r="D15" s="23" t="s">
        <v>306</v>
      </c>
      <c r="E15" s="23" t="s">
        <v>316</v>
      </c>
      <c r="F15" s="3">
        <v>133548.47001494499</v>
      </c>
      <c r="G15" s="3">
        <v>133548.47001494499</v>
      </c>
    </row>
    <row r="16" spans="3:7" x14ac:dyDescent="0.25">
      <c r="C16" s="23" t="s">
        <v>305</v>
      </c>
      <c r="D16" s="23" t="s">
        <v>306</v>
      </c>
      <c r="E16" s="23" t="s">
        <v>317</v>
      </c>
      <c r="F16" s="3">
        <v>104743.069499551</v>
      </c>
      <c r="G16" s="3">
        <v>104743.069499551</v>
      </c>
    </row>
    <row r="17" spans="3:7" x14ac:dyDescent="0.25">
      <c r="C17" s="23" t="s">
        <v>305</v>
      </c>
      <c r="D17" s="23" t="s">
        <v>306</v>
      </c>
      <c r="E17" s="23" t="s">
        <v>318</v>
      </c>
      <c r="F17" s="3">
        <v>106838.436656815</v>
      </c>
      <c r="G17" s="3">
        <v>106838.436656815</v>
      </c>
    </row>
    <row r="18" spans="3:7" x14ac:dyDescent="0.25">
      <c r="C18" s="23" t="s">
        <v>305</v>
      </c>
      <c r="D18" s="23" t="s">
        <v>306</v>
      </c>
      <c r="E18" s="23" t="s">
        <v>319</v>
      </c>
      <c r="F18" s="3">
        <v>104772.677425756</v>
      </c>
      <c r="G18" s="3">
        <v>104772.677425756</v>
      </c>
    </row>
    <row r="19" spans="3:7" x14ac:dyDescent="0.25">
      <c r="C19" s="23" t="s">
        <v>305</v>
      </c>
      <c r="D19" s="23" t="s">
        <v>298</v>
      </c>
      <c r="E19" s="23" t="s">
        <v>310</v>
      </c>
      <c r="F19" s="3">
        <v>44539.805928590198</v>
      </c>
      <c r="G19" s="3">
        <v>44539.805928590198</v>
      </c>
    </row>
    <row r="20" spans="3:7" x14ac:dyDescent="0.25">
      <c r="C20" s="23" t="s">
        <v>305</v>
      </c>
      <c r="D20" s="23" t="s">
        <v>298</v>
      </c>
      <c r="E20" s="23" t="s">
        <v>311</v>
      </c>
      <c r="F20" s="3">
        <v>72462.025120827806</v>
      </c>
      <c r="G20" s="3">
        <v>72462.025120827806</v>
      </c>
    </row>
    <row r="21" spans="3:7" x14ac:dyDescent="0.25">
      <c r="C21" s="23" t="s">
        <v>305</v>
      </c>
      <c r="D21" s="23" t="s">
        <v>298</v>
      </c>
      <c r="E21" s="23" t="s">
        <v>312</v>
      </c>
      <c r="F21" s="3">
        <v>80245.433672926301</v>
      </c>
      <c r="G21" s="3">
        <v>80245.433672926301</v>
      </c>
    </row>
    <row r="22" spans="3:7" x14ac:dyDescent="0.25">
      <c r="C22" s="23" t="s">
        <v>305</v>
      </c>
      <c r="D22" s="23" t="s">
        <v>298</v>
      </c>
      <c r="E22" s="23" t="s">
        <v>313</v>
      </c>
      <c r="F22" s="3">
        <v>71838.500733243098</v>
      </c>
      <c r="G22" s="3">
        <v>71838.500733243098</v>
      </c>
    </row>
    <row r="23" spans="3:7" x14ac:dyDescent="0.25">
      <c r="C23" s="23" t="s">
        <v>305</v>
      </c>
      <c r="D23" s="23" t="s">
        <v>298</v>
      </c>
      <c r="E23" s="23" t="s">
        <v>314</v>
      </c>
      <c r="F23" s="3">
        <v>19502.176136485901</v>
      </c>
      <c r="G23" s="3">
        <v>19502.176136485901</v>
      </c>
    </row>
    <row r="24" spans="3:7" x14ac:dyDescent="0.25">
      <c r="C24" s="23" t="s">
        <v>305</v>
      </c>
      <c r="D24" s="23" t="s">
        <v>298</v>
      </c>
      <c r="E24" s="23" t="s">
        <v>315</v>
      </c>
      <c r="F24" s="3">
        <v>54794.052115455597</v>
      </c>
      <c r="G24" s="3">
        <v>54794.052115455597</v>
      </c>
    </row>
    <row r="25" spans="3:7" x14ac:dyDescent="0.25">
      <c r="C25" s="23" t="s">
        <v>305</v>
      </c>
      <c r="D25" s="23" t="s">
        <v>298</v>
      </c>
      <c r="E25" s="23" t="s">
        <v>316</v>
      </c>
      <c r="F25" s="3">
        <v>50953.311528746402</v>
      </c>
      <c r="G25" s="3">
        <v>50953.311528746402</v>
      </c>
    </row>
    <row r="26" spans="3:7" x14ac:dyDescent="0.25">
      <c r="C26" s="23" t="s">
        <v>305</v>
      </c>
      <c r="D26" s="23" t="s">
        <v>298</v>
      </c>
      <c r="E26" s="23" t="s">
        <v>317</v>
      </c>
      <c r="F26" s="3">
        <v>37181.992973800501</v>
      </c>
      <c r="G26" s="3">
        <v>37181.992973800501</v>
      </c>
    </row>
    <row r="27" spans="3:7" x14ac:dyDescent="0.25">
      <c r="C27" s="23" t="s">
        <v>305</v>
      </c>
      <c r="D27" s="23" t="s">
        <v>298</v>
      </c>
      <c r="E27" s="23" t="s">
        <v>318</v>
      </c>
      <c r="F27" s="3">
        <v>43429.065310513703</v>
      </c>
      <c r="G27" s="3">
        <v>43429.065310513703</v>
      </c>
    </row>
    <row r="28" spans="3:7" x14ac:dyDescent="0.25">
      <c r="C28" s="23" t="s">
        <v>305</v>
      </c>
      <c r="D28" s="23" t="s">
        <v>298</v>
      </c>
      <c r="E28" s="23" t="s">
        <v>319</v>
      </c>
      <c r="F28" s="3">
        <v>21960.123746449401</v>
      </c>
      <c r="G28" s="3">
        <v>21960.123746449401</v>
      </c>
    </row>
    <row r="29" spans="3:7" x14ac:dyDescent="0.25">
      <c r="C29" s="23" t="s">
        <v>305</v>
      </c>
      <c r="D29" s="23" t="s">
        <v>307</v>
      </c>
      <c r="E29" s="23" t="s">
        <v>310</v>
      </c>
      <c r="F29" s="3">
        <v>28909.663956395401</v>
      </c>
      <c r="G29" s="3">
        <v>28909.663956395401</v>
      </c>
    </row>
    <row r="30" spans="3:7" x14ac:dyDescent="0.25">
      <c r="C30" s="23" t="s">
        <v>305</v>
      </c>
      <c r="D30" s="23" t="s">
        <v>307</v>
      </c>
      <c r="E30" s="23" t="s">
        <v>311</v>
      </c>
      <c r="F30" s="3">
        <v>26503.385304769101</v>
      </c>
      <c r="G30" s="3">
        <v>26503.385304769101</v>
      </c>
    </row>
    <row r="31" spans="3:7" x14ac:dyDescent="0.25">
      <c r="C31" s="23" t="s">
        <v>305</v>
      </c>
      <c r="D31" s="23" t="s">
        <v>307</v>
      </c>
      <c r="E31" s="23" t="s">
        <v>312</v>
      </c>
      <c r="F31" s="3">
        <v>26521.690658584899</v>
      </c>
      <c r="G31" s="3">
        <v>26521.690658584899</v>
      </c>
    </row>
    <row r="32" spans="3:7" x14ac:dyDescent="0.25">
      <c r="C32" s="23" t="s">
        <v>305</v>
      </c>
      <c r="D32" s="23" t="s">
        <v>307</v>
      </c>
      <c r="E32" s="23" t="s">
        <v>313</v>
      </c>
      <c r="F32" s="3">
        <v>21809.117008150199</v>
      </c>
      <c r="G32" s="3">
        <v>21809.117008150199</v>
      </c>
    </row>
    <row r="33" spans="3:7" x14ac:dyDescent="0.25">
      <c r="C33" s="23" t="s">
        <v>305</v>
      </c>
      <c r="D33" s="23" t="s">
        <v>307</v>
      </c>
      <c r="E33" s="23" t="s">
        <v>308</v>
      </c>
      <c r="F33" s="3">
        <v>18531.7423433207</v>
      </c>
      <c r="G33" s="3">
        <v>18531.7423433207</v>
      </c>
    </row>
    <row r="34" spans="3:7" x14ac:dyDescent="0.25">
      <c r="C34" s="23" t="s">
        <v>305</v>
      </c>
      <c r="D34" s="23" t="s">
        <v>307</v>
      </c>
      <c r="E34" s="23" t="s">
        <v>314</v>
      </c>
      <c r="F34" s="3">
        <v>25720.945073984101</v>
      </c>
      <c r="G34" s="3">
        <v>25720.945073984101</v>
      </c>
    </row>
    <row r="35" spans="3:7" x14ac:dyDescent="0.25">
      <c r="C35" s="23" t="s">
        <v>305</v>
      </c>
      <c r="D35" s="23" t="s">
        <v>307</v>
      </c>
      <c r="E35" s="23" t="s">
        <v>309</v>
      </c>
      <c r="F35" s="3">
        <v>20739.358884814799</v>
      </c>
      <c r="G35" s="3">
        <v>20739.358884814799</v>
      </c>
    </row>
    <row r="36" spans="3:7" x14ac:dyDescent="0.25">
      <c r="C36" s="23" t="s">
        <v>305</v>
      </c>
      <c r="D36" s="23" t="s">
        <v>307</v>
      </c>
      <c r="E36" s="23" t="s">
        <v>315</v>
      </c>
      <c r="F36" s="3">
        <v>29666.981678326501</v>
      </c>
      <c r="G36" s="3">
        <v>29666.981678326501</v>
      </c>
    </row>
    <row r="37" spans="3:7" x14ac:dyDescent="0.25">
      <c r="C37" s="23" t="s">
        <v>305</v>
      </c>
      <c r="D37" s="23" t="s">
        <v>307</v>
      </c>
      <c r="E37" s="23" t="s">
        <v>316</v>
      </c>
      <c r="F37" s="3">
        <v>24461.754603072</v>
      </c>
      <c r="G37" s="3">
        <v>24461.754603072</v>
      </c>
    </row>
    <row r="38" spans="3:7" x14ac:dyDescent="0.25">
      <c r="C38" s="23" t="s">
        <v>305</v>
      </c>
      <c r="D38" s="23" t="s">
        <v>307</v>
      </c>
      <c r="E38" s="23" t="s">
        <v>317</v>
      </c>
      <c r="F38" s="3">
        <v>18264.345454119299</v>
      </c>
      <c r="G38" s="3">
        <v>18264.345454119299</v>
      </c>
    </row>
    <row r="39" spans="3:7" x14ac:dyDescent="0.25">
      <c r="C39" s="23" t="s">
        <v>305</v>
      </c>
      <c r="D39" s="23" t="s">
        <v>307</v>
      </c>
      <c r="E39" s="23" t="s">
        <v>318</v>
      </c>
      <c r="F39" s="3">
        <v>24399.618301593</v>
      </c>
      <c r="G39" s="3">
        <v>24399.618301593</v>
      </c>
    </row>
    <row r="40" spans="3:7" x14ac:dyDescent="0.25">
      <c r="C40" s="23" t="s">
        <v>305</v>
      </c>
      <c r="D40" s="23" t="s">
        <v>307</v>
      </c>
      <c r="E40" s="23" t="s">
        <v>319</v>
      </c>
      <c r="F40" s="3">
        <v>28051.445536376799</v>
      </c>
      <c r="G40" s="3">
        <v>28051.445536376799</v>
      </c>
    </row>
    <row r="41" spans="3:7" x14ac:dyDescent="0.25">
      <c r="C41" s="23" t="s">
        <v>0</v>
      </c>
      <c r="F41" s="3">
        <v>2284650.1638557473</v>
      </c>
      <c r="G41" s="3">
        <v>2284650.1638557473</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Control</vt:lpstr>
      <vt:lpstr>Queries_BB3</vt:lpstr>
      <vt:lpstr>Queries_BB4</vt:lpstr>
      <vt:lpstr>EL Prices</vt:lpstr>
      <vt:lpstr>HE Prices</vt:lpstr>
      <vt:lpstr>EL GEN - Annual</vt:lpstr>
      <vt:lpstr>EL GEN - Time</vt:lpstr>
      <vt:lpstr>HE GEN - Annual</vt:lpstr>
      <vt:lpstr>HE GEN - Time</vt:lpstr>
      <vt:lpstr>Fuel CON - Annual</vt:lpstr>
      <vt:lpstr>Emissions - Annual</vt:lpstr>
      <vt:lpstr>HE STO - Time</vt:lpstr>
      <vt:lpstr>HY STO - Time</vt:lpstr>
      <vt:lpstr>EL TRAN - Time</vt:lpstr>
      <vt:lpstr>EL TRAN - GWh &amp; €</vt:lpstr>
      <vt:lpstr>El Trans Cap</vt:lpstr>
      <vt:lpstr>GEN INVEST</vt:lpstr>
      <vt:lpstr>EL GEN CAP</vt:lpstr>
      <vt:lpstr>HE GEN CAP</vt:lpstr>
      <vt:lpstr>STO CAP</vt:lpstr>
      <vt:lpstr>Economy</vt:lpstr>
      <vt:lpstr>EL DEM - Time</vt:lpstr>
      <vt:lpstr>EL DEM - Annual</vt:lpstr>
      <vt:lpstr>HE DEM - Time</vt:lpstr>
      <vt:lpstr>Fuelprice</vt:lpstr>
      <vt:lpstr>Tech Specs</vt:lpstr>
      <vt:lpstr>AO - HE TRANS</vt:lpstr>
      <vt:lpstr>C_filter</vt:lpstr>
      <vt:lpstr>CountryCB</vt:lpstr>
      <vt:lpstr>DE</vt:lpstr>
      <vt:lpstr>ECON</vt:lpstr>
      <vt:lpstr>IGK</vt:lpstr>
      <vt:lpstr>O_Model</vt:lpstr>
      <vt:lpstr>O_ModelBB4All</vt:lpstr>
      <vt:lpstr>O_ModelBB4BY</vt:lpstr>
      <vt:lpstr>QEEQ</vt:lpstr>
      <vt:lpstr>QHEQ</vt:lpstr>
      <vt:lpstr>STO</vt:lpstr>
      <vt:lpstr>VGE_T</vt:lpstr>
      <vt:lpstr>VGF_T</vt:lpstr>
      <vt:lpstr>VGH_T</vt:lpstr>
      <vt:lpstr>VGKN</vt:lpstr>
      <vt:lpstr>VX_T</vt:lpstr>
      <vt:lpstr>VXH_T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2019-01-10T15:19:00Z</dcterms:modified>
</cp:coreProperties>
</file>